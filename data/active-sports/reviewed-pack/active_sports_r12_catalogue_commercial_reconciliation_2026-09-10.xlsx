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0dd1bc49f94a88" /></Relationships>
</file>

<file path=xl/workbook.xml><?xml version="1.0" encoding="utf-8"?>
<x:workbook xmlns:x="http://schemas.openxmlformats.org/spreadsheetml/2006/main">
  <x:sheets>
    <x:sheet xmlns:r="http://schemas.openxmlformats.org/officeDocument/2006/relationships" name="Catalogue" sheetId="1" r:id="R9c11c4a88e1f4e9d"/>
    <x:sheet xmlns:r="http://schemas.openxmlformats.org/officeDocument/2006/relationships" name="Parent Products" sheetId="2" r:id="R4eb526abb5c54528"/>
    <x:sheet xmlns:r="http://schemas.openxmlformats.org/officeDocument/2006/relationships" name="R12 Catalogue Rules" sheetId="3" r:id="R864b5c8d3e58413f"/>
    <x:sheet xmlns:r="http://schemas.openxmlformats.org/officeDocument/2006/relationships" name="Coverage" sheetId="4" r:id="Re78281bfab6348d4"/>
    <x:sheet xmlns:r="http://schemas.openxmlformats.org/officeDocument/2006/relationships" name="Extraction Notes" sheetId="5" r:id="Ra0b2701fea664770"/>
    <x:sheet xmlns:r="http://schemas.openxmlformats.org/officeDocument/2006/relationships" name="GSN Catalogue" sheetId="6" r:id="Rdc46209bf77547f7"/>
    <x:sheet xmlns:r="http://schemas.openxmlformats.org/officeDocument/2006/relationships" name="GSN Enrichment" sheetId="7" r:id="R38d1fa5c1a874248"/>
    <x:sheet xmlns:r="http://schemas.openxmlformats.org/officeDocument/2006/relationships" name="GSN Deals" sheetId="8" r:id="Rf10ef0836d94422c"/>
    <x:sheet xmlns:r="http://schemas.openxmlformats.org/officeDocument/2006/relationships" name="Trade Capture Log" sheetId="9" r:id="R5edef4850bc444a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
    <x:numFmt numFmtId="202" formatCode="0%"/>
    <x:numFmt numFmtId="203" formatCode="£0"/>
    <x:numFmt numFmtId="204" formatCode="&quot;£&quot;#,##0.00"/>
    <x:numFmt numFmtId="205" formatCode="&quot;£&quot;#,##0"/>
  </x:numFmts>
  <x:fonts count="3">
    <x:font>
      <x:sz val="11"/>
      <x:name val="Carlito"/>
    </x:font>
    <x:font>
      <x:b/>
      <x:sz val="11"/>
      <x:color rgb="FFFFFFFF"/>
      <x:name val="Carlito"/>
    </x:font>
    <x:font>
      <x:b/>
      <x:sz val="11"/>
      <x:name val="Carlito"/>
    </x:font>
  </x:fonts>
  <x:fills count="14">
    <x:fill>
      <x:patternFill patternType="none"/>
    </x:fill>
    <x:fill>
      <x:patternFill patternType="gray125"/>
    </x:fill>
    <x:fill>
      <x:patternFill patternType="solid">
        <x:fgColor rgb="FF4C3A78"/>
      </x:patternFill>
    </x:fill>
    <x:fill>
      <x:patternFill patternType="solid">
        <x:fgColor rgb="FF4C3A78"/>
      </x:patternFill>
    </x:fill>
    <x:fill>
      <x:patternFill patternType="solid">
        <x:fgColor rgb="FF4C3A78"/>
      </x:patternFill>
    </x:fill>
    <x:fill>
      <x:patternFill patternType="solid">
        <x:fgColor rgb="FF2F5597"/>
      </x:patternFill>
    </x:fill>
    <x:fill>
      <x:patternFill patternType="solid">
        <x:fgColor rgb="FF548235"/>
      </x:patternFill>
    </x:fill>
    <x:fill>
      <x:patternFill patternType="solid">
        <x:fgColor rgb="FF7030A0"/>
      </x:patternFill>
    </x:fill>
    <x:fill>
      <x:patternFill patternType="solid">
        <x:fgColor rgb="FFD9EAD3"/>
      </x:patternFill>
    </x:fill>
    <x:fill>
      <x:patternFill patternType="solid">
        <x:fgColor rgb="FFEADCF8"/>
      </x:patternFill>
    </x:fill>
    <x:fill>
      <x:patternFill patternType="solid">
        <x:fgColor rgb="FF6A1B9A"/>
      </x:patternFill>
    </x:fill>
    <x:fill>
      <x:patternFill patternType="solid">
        <x:fgColor rgb="FFEADCF8"/>
      </x:patternFill>
    </x:fill>
    <x:fill>
      <x:patternFill patternType="solid">
        <x:fgColor rgb="FF1F4E78"/>
      </x:patternFill>
    </x:fill>
    <x:fill>
      <x:patternFill patternType="solid">
        <x:fgColor rgb="FF2F3E68"/>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0" fillId="11" borderId="0" xfId="0" applyNumberFormat="1" applyFont="1" applyFill="1" applyBorder="1"/>
    <x:xf numFmtId="0" fontId="2" fillId="11" borderId="0" xfId="0" applyNumberFormat="1" applyFont="1" applyFill="1" applyBorder="1"/>
    <x:xf numFmtId="0" fontId="1" fillId="10" borderId="0" xfId="0" applyNumberFormat="1" applyFont="1" applyFill="1" applyBorder="1" applyAlignment="1">
      <x:alignment wrapText="1"/>
    </x:xf>
    <x:xf numFmtId="0" fontId="2" fillId="11" borderId="0"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vertical="center" wrapText="1"/>
    </x:xf>
    <x:xf numFmtId="202" fontId="0" fillId="0" borderId="0" xfId="0" applyNumberFormat="1" applyFont="1" applyFill="1" applyBorder="1"/>
    <x:xf numFmtId="203"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204" fontId="0" fillId="0" borderId="0" xfId="0" applyNumberFormat="1" applyFont="1" applyFill="1" applyBorder="1"/>
    <x:xf numFmtId="205"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c8c49a89f0485f" /><Relationship Type="http://schemas.openxmlformats.org/officeDocument/2006/relationships/theme" Target="/xl/theme/theme1.xml" Id="R29a9d5e872fb49cb" /><Relationship Type="http://schemas.openxmlformats.org/officeDocument/2006/relationships/sharedStrings" Target="/xl/sharedStrings.xml" Id="Re042a19414e34d67" /><Relationship Type="http://schemas.openxmlformats.org/officeDocument/2006/relationships/worksheet" Target="/xl/worksheets/sheet1.xml" Id="R9c11c4a88e1f4e9d" /><Relationship Type="http://schemas.openxmlformats.org/officeDocument/2006/relationships/worksheet" Target="/xl/worksheets/sheet2.xml" Id="R4eb526abb5c54528" /><Relationship Type="http://schemas.openxmlformats.org/officeDocument/2006/relationships/worksheet" Target="/xl/worksheets/sheet3.xml" Id="R864b5c8d3e58413f" /><Relationship Type="http://schemas.openxmlformats.org/officeDocument/2006/relationships/worksheet" Target="/xl/worksheets/sheet4.xml" Id="Re78281bfab6348d4" /><Relationship Type="http://schemas.openxmlformats.org/officeDocument/2006/relationships/worksheet" Target="/xl/worksheets/sheet5.xml" Id="Ra0b2701fea664770" /><Relationship Type="http://schemas.openxmlformats.org/officeDocument/2006/relationships/worksheet" Target="/xl/worksheets/sheet6.xml" Id="Rdc46209bf77547f7" /><Relationship Type="http://schemas.openxmlformats.org/officeDocument/2006/relationships/worksheet" Target="/xl/worksheets/sheet7.xml" Id="R38d1fa5c1a874248" /><Relationship Type="http://schemas.openxmlformats.org/officeDocument/2006/relationships/worksheet" Target="/xl/worksheets/sheet8.xml" Id="Rf10ef0836d94422c" /><Relationship Type="http://schemas.openxmlformats.org/officeDocument/2006/relationships/worksheet" Target="/xl/worksheets/sheet9.xml" Id="R5edef4850bc444a6" /></Relationships>
</file>

<file path=xl/tables/table1.xml><?xml version="1.0" encoding="utf-8"?>
<x:table xmlns:x="http://schemas.openxmlformats.org/spreadsheetml/2006/main" id="102" name="CatalogueTable" displayName="CatalogueTable" ref="A1:S3539" headerRowCount="1" totalsRowCount="0" totalsRowShown="0">
  <x:tableColumns count="19">
    <x:tableColumn id="1" name="Supplier"/>
    <x:tableColumn id="2" name="Brand"/>
    <x:tableColumn id="3" name="Parent Product"/>
    <x:tableColumn id="4" name="Category"/>
    <x:tableColumn id="5" name="Subcategory"/>
    <x:tableColumn id="6" name="Description"/>
    <x:tableColumn id="7" name="Size / Format"/>
    <x:tableColumn id="8" name="Variant / Flavour"/>
    <x:tableColumn id="9" name="Pack Qty"/>
    <x:tableColumn id="10" name="Member Order Unit"/>
    <x:tableColumn id="11" name="Supplier Stock"/>
    <x:tableColumn id="12" name="Stock Checked"/>
    <x:tableColumn id="13" name="Supplier SKU"/>
    <x:tableColumn id="14" name="Barcode"/>
    <x:tableColumn id="15" name="Source URL"/>
    <x:tableColumn id="16" name="Notes"/>
    <x:tableColumn id="17" name="Parent Image URL"/>
    <x:tableColumn id="18" name="Variant Image URL"/>
    <x:tableColumn id="19" name="Image Status"/>
  </x:tableColumns>
  <x:tableStyleInfo name="TableStyleMedium2" showFirstColumn="0" showLastColumn="0" showRowStripes="1" showColumnStripes="0"/>
</x:table>
</file>

<file path=xl/tables/table2.xml><?xml version="1.0" encoding="utf-8"?>
<x:table xmlns:x="http://schemas.openxmlformats.org/spreadsheetml/2006/main" id="103" name="ParentProductsTable" displayName="ParentProductsTable" ref="A1:I937" headerRowCount="1" totalsRowCount="0" totalsRowShown="0">
  <x:tableColumns count="9">
    <x:tableColumn id="1" name="Brand"/>
    <x:tableColumn id="2" name="Parent Product"/>
    <x:tableColumn id="3" name="Category"/>
    <x:tableColumn id="4" name="Subcategory"/>
    <x:tableColumn id="5" name="Sizes / Formats"/>
    <x:tableColumn id="6" name="Variant Rows"/>
    <x:tableColumn id="7" name="Source"/>
    <x:tableColumn id="8" name="Parent Image URL"/>
    <x:tableColumn id="9" name="Image Status"/>
  </x:tableColumns>
  <x:tableStyleInfo name="TableStyleMedium2" showFirstColumn="0" showLastColumn="0" showRowStripes="1" showColumnStripes="0"/>
</x:table>
</file>

<file path=xl/tables/table3.xml><?xml version="1.0" encoding="utf-8"?>
<x:table xmlns:x="http://schemas.openxmlformats.org/spreadsheetml/2006/main" id="3" name="CoverageTable" displayName="CoverageTable" ref="A1:B88" headerRowCount="1" totalsRowCount="0" totalsRowShown="0">
  <x:tableColumns count="2">
    <x:tableColumn id="1" name="Brand"/>
    <x:tableColumn id="2" name="Extraction Status"/>
  </x:tableColumns>
  <x:tableStyleInfo name="TableStyleMedium2" showFirstColumn="0" showLastColumn="0" showRowStripes="1" showColumnStripes="0"/>
</x:table>
</file>

<file path=xl/tables/table4.xml><?xml version="1.0" encoding="utf-8"?>
<x:table xmlns:x="http://schemas.openxmlformats.org/spreadsheetml/2006/main" id="106" name="GSNCatalogueTable" displayName="GSNCatalogueTable" ref="A1:R40" headerRowCount="1" totalsRowCount="0" totalsRowShown="0">
  <x:tableColumns count="18">
    <x:tableColumn id="1" name="Source"/>
    <x:tableColumn id="2" name="Brand"/>
    <x:tableColumn id="3" name="Range"/>
    <x:tableColumn id="4" name="Product / Variant"/>
    <x:tableColumn id="5" name="Category"/>
    <x:tableColumn id="6" name="Format"/>
    <x:tableColumn id="7" name="Local Stock"/>
    <x:tableColumn id="8" name="Stock Count"/>
    <x:tableColumn id="9" name="Retail Price"/>
    <x:tableColumn id="10" name="Deal Eligible"/>
    <x:tableColumn id="11" name="Supplier Orderable"/>
    <x:tableColumn id="12" name="Kcal / Serving"/>
    <x:tableColumn id="13" name="Protein g / Serving"/>
    <x:tableColumn id="14" name="Official Source URL"/>
    <x:tableColumn id="15" name="Image URL"/>
    <x:tableColumn id="16" name="Image Status"/>
    <x:tableColumn id="17" name="Nutrition Status"/>
    <x:tableColumn id="18" name="Notes"/>
  </x:tableColumns>
  <x:tableStyleInfo name="TableStyleMedium2" showFirstColumn="0" showLastColumn="0" showRowStripes="1" showColumnStripes="0"/>
</x:table>
</file>

<file path=xl/tables/table5.xml><?xml version="1.0" encoding="utf-8"?>
<x:table xmlns:x="http://schemas.openxmlformats.org/spreadsheetml/2006/main" id="107" name="GSNEnrichmentTable" displayName="GSNEnrichmentTable" ref="A1:R40" headerRowCount="1" totalsRowCount="0" totalsRowShown="0">
  <x:tableColumns count="18">
    <x:tableColumn id="1" name="Brand"/>
    <x:tableColumn id="2" name="Range"/>
    <x:tableColumn id="3" name="Product / Variant"/>
    <x:tableColumn id="4" name="Nutrition Basis"/>
    <x:tableColumn id="5" name="Kcal"/>
    <x:tableColumn id="6" name="Protein g"/>
    <x:tableColumn id="7" name="Carbs g"/>
    <x:tableColumn id="8" name="Sugars g"/>
    <x:tableColumn id="9" name="Fat g"/>
    <x:tableColumn id="10" name="Saturates g"/>
    <x:tableColumn id="11" name="Fibre g"/>
    <x:tableColumn id="12" name="Salt g"/>
    <x:tableColumn id="13" name="Serving Size"/>
    <x:tableColumn id="14" name="Ingredients"/>
    <x:tableColumn id="15" name="Allergens"/>
    <x:tableColumn id="16" name="Official Product URL"/>
    <x:tableColumn id="17" name="Official Image URL"/>
    <x:tableColumn id="18" name="Ver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6f20f194b604e6e" /></Relationships>
</file>

<file path=xl/worksheets/_rels/sheet2.xml.rels>&#65279;<?xml version="1.0" encoding="utf-8"?><Relationships xmlns="http://schemas.openxmlformats.org/package/2006/relationships"><Relationship Type="http://schemas.openxmlformats.org/officeDocument/2006/relationships/table" Target="/xl/tables/table2.xml" Id="Rf3508a3d21094712" /></Relationships>
</file>

<file path=xl/worksheets/_rels/sheet4.xml.rels>&#65279;<?xml version="1.0" encoding="utf-8"?><Relationships xmlns="http://schemas.openxmlformats.org/package/2006/relationships"><Relationship Type="http://schemas.openxmlformats.org/officeDocument/2006/relationships/table" Target="/xl/tables/table3.xml" Id="R04a37ddc0e3442ee" /></Relationships>
</file>

<file path=xl/worksheets/_rels/sheet6.xml.rels>&#65279;<?xml version="1.0" encoding="utf-8"?><Relationships xmlns="http://schemas.openxmlformats.org/package/2006/relationships"><Relationship Type="http://schemas.openxmlformats.org/officeDocument/2006/relationships/table" Target="/xl/tables/table4.xml" Id="R6a4b000351bd47c5" /></Relationships>
</file>

<file path=xl/worksheets/_rels/sheet7.xml.rels>&#65279;<?xml version="1.0" encoding="utf-8"?><Relationships xmlns="http://schemas.openxmlformats.org/package/2006/relationships"><Relationship Type="http://schemas.openxmlformats.org/officeDocument/2006/relationships/table" Target="/xl/tables/table5.xml" Id="Rcf28dcd186524d53" /></Relationships>
</file>

<file path=xl/worksheets/sheet1.xml><?xml version="1.0" encoding="utf-8"?>
<x:worksheet xmlns:x="http://schemas.openxmlformats.org/spreadsheetml/2006/main">
  <x:sheetFormatPr defaultRowHeight="15"/>
  <x:cols>
    <x:col min="1" max="1" width="22" hidden="0" customWidth="1"/>
    <x:col min="2" max="2" width="20" hidden="0" customWidth="1"/>
    <x:col min="3" max="3" width="30" hidden="0" customWidth="1"/>
    <x:col min="4" max="4" width="20" hidden="0" customWidth="1"/>
    <x:col min="5" max="5" width="24" hidden="0" customWidth="1"/>
    <x:col min="6" max="6" width="42" hidden="0" customWidth="1"/>
    <x:col min="7" max="7" width="22" hidden="0" customWidth="1"/>
    <x:col min="8" max="8" width="28" hidden="0" customWidth="1"/>
    <x:col min="9" max="9" width="12" hidden="0" customWidth="1"/>
    <x:col min="10" max="10" width="18" hidden="0" customWidth="1"/>
    <x:col min="11" max="11" width="18" hidden="0" customWidth="1"/>
    <x:col min="12" max="12" width="16" hidden="0" customWidth="1"/>
    <x:col min="13" max="13" width="18" hidden="0" customWidth="1"/>
    <x:col min="14" max="14" width="18" hidden="0" customWidth="1"/>
    <x:col min="15" max="15" width="48" hidden="0" customWidth="1"/>
    <x:col min="16" max="16" width="38" hidden="0" customWidth="1"/>
    <x:col min="17" max="17" width="48" hidden="0" customWidth="1"/>
    <x:col min="18" max="18" width="48" hidden="0" customWidth="1"/>
    <x:col min="19" max="19" width="2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28" hidden="0" customWidth="1"/>
    <x:col min="36" max="36" width="34" hidden="0" customWidth="1"/>
    <x:col min="34" max="34" width="22" hidden="0" customWidth="1"/>
    <x:col min="35" max="35" width="22"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s>
  <x:sheetData>
    <x:row r="1" ht="34" customHeight="1">
      <x:c r="A1" s="5" t="str">
        <x:v>Supplier</x:v>
      </x:c>
      <x:c r="B1" s="5" t="str">
        <x:v>Brand</x:v>
      </x:c>
      <x:c r="C1" s="5" t="str">
        <x:v>Parent Product</x:v>
      </x:c>
      <x:c r="D1" s="5" t="str">
        <x:v>Category</x:v>
      </x:c>
      <x:c r="E1" s="5" t="str">
        <x:v>Subcategory</x:v>
      </x:c>
      <x:c r="F1" s="5" t="str">
        <x:v>Description</x:v>
      </x:c>
      <x:c r="G1" s="5" t="str">
        <x:v>Size / Format</x:v>
      </x:c>
      <x:c r="H1" s="5" t="str">
        <x:v>Variant / Flavour</x:v>
      </x:c>
      <x:c r="I1" s="5" t="str">
        <x:v>Pack Qty</x:v>
      </x:c>
      <x:c r="J1" s="5" t="str">
        <x:v>Member Order Unit</x:v>
      </x:c>
      <x:c r="K1" s="5" t="str">
        <x:v>Supplier Stock</x:v>
      </x:c>
      <x:c r="L1" s="5" t="str">
        <x:v>Stock Checked</x:v>
      </x:c>
      <x:c r="M1" s="5" t="str">
        <x:v>Supplier SKU</x:v>
      </x:c>
      <x:c r="N1" s="5" t="str">
        <x:v>Barcode</x:v>
      </x:c>
      <x:c r="O1" s="5" t="str">
        <x:v>Source URL</x:v>
      </x:c>
      <x:c r="P1" s="5" t="str">
        <x:v>Notes</x:v>
      </x:c>
      <x:c r="Q1" s="18" t="str">
        <x:v>Parent Image URL</x:v>
      </x:c>
      <x:c r="R1" s="18" t="str">
        <x:v>Variant Image URL</x:v>
      </x:c>
      <x:c r="S1" s="18" t="str">
        <x:v>Image Status</x:v>
      </x:c>
      <x:c r="T1" s="46" t="str">
        <x:v>Current Bold Trade Cost ex VAT</x:v>
      </x:c>
      <x:c r="U1" s="46" t="str">
        <x:v>VAT Rate</x:v>
      </x:c>
      <x:c r="V1" s="46" t="str">
        <x:v>Actual Cost inc VAT</x:v>
      </x:c>
      <x:c r="W1" s="46" t="str">
        <x:v>Target Gross Margin</x:v>
      </x:c>
      <x:c r="X1" s="46" t="str">
        <x:v>Unrounded Retail</x:v>
      </x:c>
      <x:c r="Y1" s="46" t="str">
        <x:v>Suggested Retail Floor</x:v>
      </x:c>
      <x:c r="Z1" s="46" t="str">
        <x:v>Cost Status</x:v>
      </x:c>
      <x:c r="AA1" s="46" t="str">
        <x:v>Cost Source / Snapshot</x:v>
      </x:c>
      <x:c r="AB1" s="53" t="str">
        <x:v>10% Promo Price</x:v>
      </x:c>
      <x:c r="AC1" s="53" t="str">
        <x:v>10% Promo Profit after Stripe</x:v>
      </x:c>
      <x:c r="AD1" s="53" t="str">
        <x:v>Golden Ticket 20% Price</x:v>
      </x:c>
      <x:c r="AE1" s="53" t="str">
        <x:v>GT Stripe Fee</x:v>
      </x:c>
      <x:c r="AF1" s="53" t="str">
        <x:v>GT Profit after Stripe</x:v>
      </x:c>
      <x:c r="AG1" s="53" t="str">
        <x:v>GT Profit Test</x:v>
      </x:c>
      <x:c r="AH1" s="53" t="str">
        <x:v>Commercial Status</x:v>
      </x:c>
      <x:c r="AI1" s="53" t="str">
        <x:v>Pricing Snapshot</x:v>
      </x:c>
      <x:c r="AJ1" s="53" t="str">
        <x:v>Pricing Notes</x:v>
      </x:c>
    </x:row>
    <x:row r="2">
      <x:c r="A2" s="10" t="str">
        <x:v>Active Sports Nutrition</x:v>
      </x:c>
      <x:c r="B2" s="10" t="str">
        <x:v>Applied Nutrition</x:v>
      </x:c>
      <x:c r="C2" s="10" t="str">
        <x:v>100% Micellar Casein</x:v>
      </x:c>
      <x:c r="D2" s="10" t="str">
        <x:v>Supplements</x:v>
      </x:c>
      <x:c r="E2" s="10" t="str">
        <x:v>Casein Protein</x:v>
      </x:c>
      <x:c r="F2" s="10" t="str">
        <x:v>Slow-digesting casein protein intended for sustained protein intake.</x:v>
      </x:c>
      <x:c r="G2" s="10" t="str">
        <x:v>1.8kg</x:v>
      </x:c>
      <x:c r="H2" s="10" t="str">
        <x:v>Chocolate</x:v>
      </x:c>
      <x:c r="I2" s="10" t="str"/>
      <x:c r="J2" s="10" t="str">
        <x:v>Unit</x:v>
      </x:c>
      <x:c r="K2" s="10" t="str">
        <x:v>In stock</x:v>
      </x:c>
      <x:c r="L2" s="10" t="str">
        <x:v>2026-09-08</x:v>
      </x:c>
      <x:c r="M2" s="10" t="str"/>
      <x:c r="N2" s="10" t="str"/>
      <x:c r="O2" s="10" t="str">
        <x:v>https://www.activesportstrade.co.uk/applied-nutrition-trade</x:v>
      </x:c>
      <x:c r="P2" s="10" t="str"/>
      <x:c r="S2" t="str">
        <x:v>Pending genuine supplier/brand image</x:v>
      </x:c>
      <x:c r="T2" s="54" t="n">
        <x:v>30.9</x:v>
      </x:c>
      <x:c r="U2" s="47" t="n">
        <x:v>0.2</x:v>
      </x:c>
      <x:c r="V2" s="54" t="n">
        <x:f>IF(ISNUMBER(T2),T2*(1+U2),"")</x:f>
        <x:v>37.08</x:v>
      </x:c>
      <x:c r="W2" s="47" t="n">
        <x:v>0.3</x:v>
      </x:c>
      <x:c r="X2" s="54" t="n">
        <x:f>IF(ISNUMBER(V2),V2/(1-W2),"")</x:f>
        <x:v>52.971428571428575</x:v>
      </x:c>
      <x:c r="Y2" s="55" t="n">
        <x:f>IF(ISNUMBER(X2),ROUNDUP(X2,0),"")</x:f>
        <x:v>53</x:v>
      </x:c>
      <x:c r="Z2" t="str">
        <x:v>Source match pending</x:v>
      </x:c>
      <x:c r="AA2" t="str">
        <x:v>screencapture-www-activesportstrade-co-uk-applied-nutrition-trade-2026-09-10-08_59_59.pdf / page-01</x:v>
      </x:c>
      <x:c r="AB2" s="36" t="n">
        <x:f>IF(ISNUMBER(Y2),ROUND(Y2*0.9,2),"")</x:f>
        <x:v>47.7</x:v>
      </x:c>
      <x:c r="AC2" s="36" t="n">
        <x:f>IF(ISNUMBER(AB2),ROUND(AB2-(AB2*0.015+0.2)-V2,2),"")</x:f>
        <x:v>9.7</x:v>
      </x:c>
      <x:c r="AD2" s="36" t="n">
        <x:f>IF(ISNUMBER(Y2),ROUND(Y2*0.8,2),"")</x:f>
        <x:v>42.4</x:v>
      </x:c>
      <x:c r="AE2" s="36" t="n">
        <x:f>IF(ISNUMBER(AD2),ROUND(AD2*0.015+0.2,2),"")</x:f>
        <x:v>0.84</x:v>
      </x:c>
      <x:c r="AF2" s="36" t="n">
        <x:f>IF(ISNUMBER(AD2),ROUND(AD2-AE2-V2,2),"")</x:f>
        <x:v>4.48</x:v>
      </x:c>
      <x:c r="AG2" t="str">
        <x:f>IF(NOT(ISNUMBER(T2)),"PENDING",IF(AF2&gt;0,"PASS","FAIL"))</x:f>
        <x:v>PASS</x:v>
      </x:c>
      <x:c r="AH2" t="str">
        <x:f>IF(NOT(ISNUMBER(T2)),"Needs supplier cost",IF(K2&lt;&gt;"In stock","Supplier unavailable",IF(AG2&lt;&gt;"PASS","BLOCK - GT loss risk","Commercially protected")))</x:f>
        <x:v>Commercially protected</x:v>
      </x:c>
      <x:c r="AI2" t="str">
        <x:v>2026-09-10 Active Sports trade capture</x:v>
      </x:c>
      <x:c r="AJ2" t="str">
        <x:v>Management-only economics. Stripe stress test uses 1.5% + £0.20 standard UK online-card fee; pallet/mix-and-match pricing ignored.</x:v>
      </x:c>
    </x:row>
    <x:row r="3">
      <x:c r="A3" s="10" t="str">
        <x:v>Active Sports Nutrition</x:v>
      </x:c>
      <x:c r="B3" s="10" t="str">
        <x:v>Applied Nutrition</x:v>
      </x:c>
      <x:c r="C3" s="10" t="str">
        <x:v>100% Micellar Casein</x:v>
      </x:c>
      <x:c r="D3" s="10" t="str">
        <x:v>Supplements</x:v>
      </x:c>
      <x:c r="E3" s="10" t="str">
        <x:v>Casein Protein</x:v>
      </x:c>
      <x:c r="F3" s="10" t="str">
        <x:v>Slow-digesting casein protein intended for sustained protein intake.</x:v>
      </x:c>
      <x:c r="G3" s="10" t="str">
        <x:v>1.8kg</x:v>
      </x:c>
      <x:c r="H3" s="10" t="str">
        <x:v>Strawberry</x:v>
      </x:c>
      <x:c r="I3" s="10" t="str"/>
      <x:c r="J3" s="10" t="str">
        <x:v>Unit</x:v>
      </x:c>
      <x:c r="K3" s="10" t="str">
        <x:v>In stock</x:v>
      </x:c>
      <x:c r="L3" s="10" t="str">
        <x:v>2026-09-08</x:v>
      </x:c>
      <x:c r="M3" s="10" t="str"/>
      <x:c r="N3" s="10" t="str"/>
      <x:c r="O3" s="10" t="str">
        <x:v>https://www.activesportstrade.co.uk/applied-nutrition-trade</x:v>
      </x:c>
      <x:c r="P3" s="10" t="str"/>
      <x:c r="S3" t="str">
        <x:v>Pending genuine supplier/brand image</x:v>
      </x:c>
      <x:c r="T3" s="54" t="n">
        <x:v>30.9</x:v>
      </x:c>
      <x:c r="U3" s="47" t="n">
        <x:v>0.2</x:v>
      </x:c>
      <x:c r="V3" s="54" t="n">
        <x:f>IF(ISNUMBER(T3),T3*(1+U3),"")</x:f>
        <x:v>37.08</x:v>
      </x:c>
      <x:c r="W3" s="47" t="n">
        <x:v>0.3</x:v>
      </x:c>
      <x:c r="X3" s="54" t="n">
        <x:f>IF(ISNUMBER(V3),V3/(1-W3),"")</x:f>
        <x:v>52.971428571428575</x:v>
      </x:c>
      <x:c r="Y3" s="55" t="n">
        <x:f>IF(ISNUMBER(X3),ROUNDUP(X3,0),"")</x:f>
        <x:v>53</x:v>
      </x:c>
      <x:c r="Z3" t="str">
        <x:v>Source match pending</x:v>
      </x:c>
      <x:c r="AA3" t="str">
        <x:v>screencapture-www-activesportstrade-co-uk-applied-nutrition-trade-2026-09-10-08_59_59.pdf / page-01</x:v>
      </x:c>
      <x:c r="AB3" s="36" t="n">
        <x:f>IF(ISNUMBER(Y3),ROUND(Y3*0.9,2),"")</x:f>
        <x:v>47.7</x:v>
      </x:c>
      <x:c r="AC3" s="36" t="n">
        <x:f>IF(ISNUMBER(AB3),ROUND(AB3-(AB3*0.015+0.2)-V3,2),"")</x:f>
        <x:v>9.7</x:v>
      </x:c>
      <x:c r="AD3" s="36" t="n">
        <x:f>IF(ISNUMBER(Y3),ROUND(Y3*0.8,2),"")</x:f>
        <x:v>42.4</x:v>
      </x:c>
      <x:c r="AE3" s="36" t="n">
        <x:f>IF(ISNUMBER(AD3),ROUND(AD3*0.015+0.2,2),"")</x:f>
        <x:v>0.84</x:v>
      </x:c>
      <x:c r="AF3" s="36" t="n">
        <x:f>IF(ISNUMBER(AD3),ROUND(AD3-AE3-V3,2),"")</x:f>
        <x:v>4.48</x:v>
      </x:c>
      <x:c r="AG3" t="str">
        <x:f>IF(NOT(ISNUMBER(T3)),"PENDING",IF(AF3&gt;0,"PASS","FAIL"))</x:f>
        <x:v>PASS</x:v>
      </x:c>
      <x:c r="AH3" t="str">
        <x:f>IF(NOT(ISNUMBER(T3)),"Needs supplier cost",IF(K3&lt;&gt;"In stock","Supplier unavailable",IF(AG3&lt;&gt;"PASS","BLOCK - GT loss risk","Commercially protected")))</x:f>
        <x:v>Commercially protected</x:v>
      </x:c>
      <x:c r="AI3" t="str">
        <x:v>2026-09-10 Active Sports trade capture</x:v>
      </x:c>
      <x:c r="AJ3" t="str">
        <x:v>Management-only economics. Stripe stress test uses 1.5% + £0.20 standard UK online-card fee; pallet/mix-and-match pricing ignored.</x:v>
      </x:c>
    </x:row>
    <x:row r="4">
      <x:c r="A4" s="10" t="str">
        <x:v>Active Sports Nutrition</x:v>
      </x:c>
      <x:c r="B4" s="10" t="str">
        <x:v>Applied Nutrition</x:v>
      </x:c>
      <x:c r="C4" s="10" t="str">
        <x:v>100% Micellar Casein</x:v>
      </x:c>
      <x:c r="D4" s="10" t="str">
        <x:v>Supplements</x:v>
      </x:c>
      <x:c r="E4" s="10" t="str">
        <x:v>Casein Protein</x:v>
      </x:c>
      <x:c r="F4" s="10" t="str">
        <x:v>Slow-digesting casein protein intended for sustained protein intake.</x:v>
      </x:c>
      <x:c r="G4" s="10" t="str">
        <x:v>1.8kg</x:v>
      </x:c>
      <x:c r="H4" s="10" t="str">
        <x:v>Vanilla</x:v>
      </x:c>
      <x:c r="I4" s="10" t="str"/>
      <x:c r="J4" s="10" t="str">
        <x:v>Unit</x:v>
      </x:c>
      <x:c r="K4" s="10" t="str">
        <x:v>In stock</x:v>
      </x:c>
      <x:c r="L4" s="10" t="str">
        <x:v>2026-09-08</x:v>
      </x:c>
      <x:c r="M4" s="10" t="str"/>
      <x:c r="N4" s="10" t="str"/>
      <x:c r="O4" s="10" t="str">
        <x:v>https://www.activesportstrade.co.uk/applied-nutrition-trade</x:v>
      </x:c>
      <x:c r="P4" s="10" t="str"/>
      <x:c r="S4" t="str">
        <x:v>Pending genuine supplier/brand image</x:v>
      </x:c>
      <x:c r="T4" s="54" t="n">
        <x:v>30.9</x:v>
      </x:c>
      <x:c r="U4" s="47" t="n">
        <x:v>0.2</x:v>
      </x:c>
      <x:c r="V4" s="54" t="n">
        <x:f>IF(ISNUMBER(T4),T4*(1+U4),"")</x:f>
        <x:v>37.08</x:v>
      </x:c>
      <x:c r="W4" s="47" t="n">
        <x:v>0.3</x:v>
      </x:c>
      <x:c r="X4" s="54" t="n">
        <x:f>IF(ISNUMBER(V4),V4/(1-W4),"")</x:f>
        <x:v>52.971428571428575</x:v>
      </x:c>
      <x:c r="Y4" s="55" t="n">
        <x:f>IF(ISNUMBER(X4),ROUNDUP(X4,0),"")</x:f>
        <x:v>53</x:v>
      </x:c>
      <x:c r="Z4" t="str">
        <x:v>Source match pending</x:v>
      </x:c>
      <x:c r="AA4" t="str">
        <x:v>screencapture-www-activesportstrade-co-uk-applied-nutrition-trade-2026-09-10-08_59_59.pdf / page-01</x:v>
      </x:c>
      <x:c r="AB4" s="36" t="n">
        <x:f>IF(ISNUMBER(Y4),ROUND(Y4*0.9,2),"")</x:f>
        <x:v>47.7</x:v>
      </x:c>
      <x:c r="AC4" s="36" t="n">
        <x:f>IF(ISNUMBER(AB4),ROUND(AB4-(AB4*0.015+0.2)-V4,2),"")</x:f>
        <x:v>9.7</x:v>
      </x:c>
      <x:c r="AD4" s="36" t="n">
        <x:f>IF(ISNUMBER(Y4),ROUND(Y4*0.8,2),"")</x:f>
        <x:v>42.4</x:v>
      </x:c>
      <x:c r="AE4" s="36" t="n">
        <x:f>IF(ISNUMBER(AD4),ROUND(AD4*0.015+0.2,2),"")</x:f>
        <x:v>0.84</x:v>
      </x:c>
      <x:c r="AF4" s="36" t="n">
        <x:f>IF(ISNUMBER(AD4),ROUND(AD4-AE4-V4,2),"")</x:f>
        <x:v>4.48</x:v>
      </x:c>
      <x:c r="AG4" t="str">
        <x:f>IF(NOT(ISNUMBER(T4)),"PENDING",IF(AF4&gt;0,"PASS","FAIL"))</x:f>
        <x:v>PASS</x:v>
      </x:c>
      <x:c r="AH4" t="str">
        <x:f>IF(NOT(ISNUMBER(T4)),"Needs supplier cost",IF(K4&lt;&gt;"In stock","Supplier unavailable",IF(AG4&lt;&gt;"PASS","BLOCK - GT loss risk","Commercially protected")))</x:f>
        <x:v>Commercially protected</x:v>
      </x:c>
      <x:c r="AI4" t="str">
        <x:v>2026-09-10 Active Sports trade capture</x:v>
      </x:c>
      <x:c r="AJ4" t="str">
        <x:v>Management-only economics. Stripe stress test uses 1.5% + £0.20 standard UK online-card fee; pallet/mix-and-match pricing ignored.</x:v>
      </x:c>
    </x:row>
    <x:row r="5">
      <x:c r="A5" s="10" t="str">
        <x:v>Active Sports Nutrition</x:v>
      </x:c>
      <x:c r="B5" s="10" t="str">
        <x:v>Applied Nutrition</x:v>
      </x:c>
      <x:c r="C5" s="10" t="str">
        <x:v>100% Micellar Casein</x:v>
      </x:c>
      <x:c r="D5" s="10" t="str">
        <x:v>Supplements</x:v>
      </x:c>
      <x:c r="E5" s="10" t="str">
        <x:v>Casein Protein</x:v>
      </x:c>
      <x:c r="F5" s="10" t="str">
        <x:v>Slow-digesting casein protein intended for sustained protein intake.</x:v>
      </x:c>
      <x:c r="G5" s="10" t="str">
        <x:v>900g</x:v>
      </x:c>
      <x:c r="H5" s="10" t="str">
        <x:v>Chocolate Cream</x:v>
      </x:c>
      <x:c r="I5" s="10" t="str"/>
      <x:c r="J5" s="10" t="str">
        <x:v>Unit</x:v>
      </x:c>
      <x:c r="K5" s="10" t="str">
        <x:v>In stock</x:v>
      </x:c>
      <x:c r="L5" s="10" t="str">
        <x:v>2026-09-08</x:v>
      </x:c>
      <x:c r="M5" s="10" t="str"/>
      <x:c r="N5" s="10" t="str"/>
      <x:c r="O5" s="10" t="str">
        <x:v>https://www.activesportstrade.co.uk/applied-nutrition-trade</x:v>
      </x:c>
      <x:c r="P5" s="10" t="str"/>
      <x:c r="S5" t="str">
        <x:v>Pending genuine supplier/brand image</x:v>
      </x:c>
      <x:c r="T5" s="54" t="n">
        <x:v>19.99</x:v>
      </x:c>
      <x:c r="U5" s="47" t="n">
        <x:v>0.2</x:v>
      </x:c>
      <x:c r="V5" s="54" t="n">
        <x:f>IF(ISNUMBER(T5),T5*(1+U5),"")</x:f>
        <x:v>23.987999999999996</x:v>
      </x:c>
      <x:c r="W5" s="47" t="n">
        <x:v>0.3</x:v>
      </x:c>
      <x:c r="X5" s="54" t="n">
        <x:f>IF(ISNUMBER(V5),V5/(1-W5),"")</x:f>
        <x:v>34.26857142857143</x:v>
      </x:c>
      <x:c r="Y5" s="55" t="n">
        <x:f>IF(ISNUMBER(X5),ROUNDUP(X5,0),"")</x:f>
        <x:v>35</x:v>
      </x:c>
      <x:c r="Z5" t="str">
        <x:v>Source match pending</x:v>
      </x:c>
      <x:c r="AA5" t="str">
        <x:v>screencapture-www-activesportstrade-co-uk-applied-nutrition-trade-2026-09-10-08_59_59.pdf / page-01</x:v>
      </x:c>
      <x:c r="AB5" s="36" t="n">
        <x:f>IF(ISNUMBER(Y5),ROUND(Y5*0.9,2),"")</x:f>
        <x:v>31.5</x:v>
      </x:c>
      <x:c r="AC5" s="36" t="n">
        <x:f>IF(ISNUMBER(AB5),ROUND(AB5-(AB5*0.015+0.2)-V5,2),"")</x:f>
        <x:v>6.84</x:v>
      </x:c>
      <x:c r="AD5" s="36" t="n">
        <x:f>IF(ISNUMBER(Y5),ROUND(Y5*0.8,2),"")</x:f>
        <x:v>28</x:v>
      </x:c>
      <x:c r="AE5" s="36" t="n">
        <x:f>IF(ISNUMBER(AD5),ROUND(AD5*0.015+0.2,2),"")</x:f>
        <x:v>0.62</x:v>
      </x:c>
      <x:c r="AF5" s="36" t="n">
        <x:f>IF(ISNUMBER(AD5),ROUND(AD5-AE5-V5,2),"")</x:f>
        <x:v>3.39</x:v>
      </x:c>
      <x:c r="AG5" t="str">
        <x:f>IF(NOT(ISNUMBER(T5)),"PENDING",IF(AF5&gt;0,"PASS","FAIL"))</x:f>
        <x:v>PASS</x:v>
      </x:c>
      <x:c r="AH5" t="str">
        <x:f>IF(NOT(ISNUMBER(T5)),"Needs supplier cost",IF(K5&lt;&gt;"In stock","Supplier unavailable",IF(AG5&lt;&gt;"PASS","BLOCK - GT loss risk","Commercially protected")))</x:f>
        <x:v>Commercially protected</x:v>
      </x:c>
      <x:c r="AI5" t="str">
        <x:v>2026-09-10 Active Sports trade capture</x:v>
      </x:c>
      <x:c r="AJ5" t="str">
        <x:v>Management-only economics. Stripe stress test uses 1.5% + £0.20 standard UK online-card fee; pallet/mix-and-match pricing ignored.</x:v>
      </x:c>
    </x:row>
    <x:row r="6">
      <x:c r="A6" s="10" t="str">
        <x:v>Active Sports Nutrition</x:v>
      </x:c>
      <x:c r="B6" s="10" t="str">
        <x:v>Applied Nutrition</x:v>
      </x:c>
      <x:c r="C6" s="10" t="str">
        <x:v>100% Micellar Casein</x:v>
      </x:c>
      <x:c r="D6" s="10" t="str">
        <x:v>Supplements</x:v>
      </x:c>
      <x:c r="E6" s="10" t="str">
        <x:v>Casein Protein</x:v>
      </x:c>
      <x:c r="F6" s="10" t="str">
        <x:v>Slow-digesting casein protein intended for sustained protein intake.</x:v>
      </x:c>
      <x:c r="G6" s="10" t="str">
        <x:v>900g</x:v>
      </x:c>
      <x:c r="H6" s="10" t="str">
        <x:v>Strawberry Cream</x:v>
      </x:c>
      <x:c r="I6" s="10" t="str"/>
      <x:c r="J6" s="10" t="str">
        <x:v>Unit</x:v>
      </x:c>
      <x:c r="K6" s="10" t="str">
        <x:v>In stock</x:v>
      </x:c>
      <x:c r="L6" s="10" t="str">
        <x:v>2026-09-08</x:v>
      </x:c>
      <x:c r="M6" s="10" t="str"/>
      <x:c r="N6" s="10" t="str"/>
      <x:c r="O6" s="10" t="str">
        <x:v>https://www.activesportstrade.co.uk/applied-nutrition-trade</x:v>
      </x:c>
      <x:c r="P6" s="10" t="str"/>
      <x:c r="S6" t="str">
        <x:v>Pending genuine supplier/brand image</x:v>
      </x:c>
      <x:c r="T6" s="54" t="n">
        <x:v>19.99</x:v>
      </x:c>
      <x:c r="U6" s="47" t="n">
        <x:v>0.2</x:v>
      </x:c>
      <x:c r="V6" s="54" t="n">
        <x:f>IF(ISNUMBER(T6),T6*(1+U6),"")</x:f>
        <x:v>23.987999999999996</x:v>
      </x:c>
      <x:c r="W6" s="47" t="n">
        <x:v>0.3</x:v>
      </x:c>
      <x:c r="X6" s="54" t="n">
        <x:f>IF(ISNUMBER(V6),V6/(1-W6),"")</x:f>
        <x:v>34.26857142857143</x:v>
      </x:c>
      <x:c r="Y6" s="55" t="n">
        <x:f>IF(ISNUMBER(X6),ROUNDUP(X6,0),"")</x:f>
        <x:v>35</x:v>
      </x:c>
      <x:c r="Z6" t="str">
        <x:v>Source match pending</x:v>
      </x:c>
      <x:c r="AA6" t="str">
        <x:v>screencapture-www-activesportstrade-co-uk-applied-nutrition-trade-2026-09-10-08_59_59.pdf / page-01</x:v>
      </x:c>
      <x:c r="AB6" s="36" t="n">
        <x:f>IF(ISNUMBER(Y6),ROUND(Y6*0.9,2),"")</x:f>
        <x:v>31.5</x:v>
      </x:c>
      <x:c r="AC6" s="36" t="n">
        <x:f>IF(ISNUMBER(AB6),ROUND(AB6-(AB6*0.015+0.2)-V6,2),"")</x:f>
        <x:v>6.84</x:v>
      </x:c>
      <x:c r="AD6" s="36" t="n">
        <x:f>IF(ISNUMBER(Y6),ROUND(Y6*0.8,2),"")</x:f>
        <x:v>28</x:v>
      </x:c>
      <x:c r="AE6" s="36" t="n">
        <x:f>IF(ISNUMBER(AD6),ROUND(AD6*0.015+0.2,2),"")</x:f>
        <x:v>0.62</x:v>
      </x:c>
      <x:c r="AF6" s="36" t="n">
        <x:f>IF(ISNUMBER(AD6),ROUND(AD6-AE6-V6,2),"")</x:f>
        <x:v>3.39</x:v>
      </x:c>
      <x:c r="AG6" t="str">
        <x:f>IF(NOT(ISNUMBER(T6)),"PENDING",IF(AF6&gt;0,"PASS","FAIL"))</x:f>
        <x:v>PASS</x:v>
      </x:c>
      <x:c r="AH6" t="str">
        <x:f>IF(NOT(ISNUMBER(T6)),"Needs supplier cost",IF(K6&lt;&gt;"In stock","Supplier unavailable",IF(AG6&lt;&gt;"PASS","BLOCK - GT loss risk","Commercially protected")))</x:f>
        <x:v>Commercially protected</x:v>
      </x:c>
      <x:c r="AI6" t="str">
        <x:v>2026-09-10 Active Sports trade capture</x:v>
      </x:c>
      <x:c r="AJ6" t="str">
        <x:v>Management-only economics. Stripe stress test uses 1.5% + £0.20 standard UK online-card fee; pallet/mix-and-match pricing ignored.</x:v>
      </x:c>
    </x:row>
    <x:row r="7">
      <x:c r="A7" s="10" t="str">
        <x:v>Active Sports Nutrition</x:v>
      </x:c>
      <x:c r="B7" s="10" t="str">
        <x:v>Applied Nutrition</x:v>
      </x:c>
      <x:c r="C7" s="10" t="str">
        <x:v>100% Micellar Casein</x:v>
      </x:c>
      <x:c r="D7" s="10" t="str">
        <x:v>Supplements</x:v>
      </x:c>
      <x:c r="E7" s="10" t="str">
        <x:v>Casein Protein</x:v>
      </x:c>
      <x:c r="F7" s="10" t="str">
        <x:v>Slow-digesting casein protein intended for sustained protein intake.</x:v>
      </x:c>
      <x:c r="G7" s="10" t="str">
        <x:v>900g</x:v>
      </x:c>
      <x:c r="H7" s="10" t="str">
        <x:v>Vanilla Cream</x:v>
      </x:c>
      <x:c r="I7" s="10" t="str"/>
      <x:c r="J7" s="10" t="str">
        <x:v>Unit</x:v>
      </x:c>
      <x:c r="K7" s="10" t="str">
        <x:v>In stock</x:v>
      </x:c>
      <x:c r="L7" s="10" t="str">
        <x:v>2026-09-08</x:v>
      </x:c>
      <x:c r="M7" s="10" t="str"/>
      <x:c r="N7" s="10" t="str"/>
      <x:c r="O7" s="10" t="str">
        <x:v>https://www.activesportstrade.co.uk/applied-nutrition-trade</x:v>
      </x:c>
      <x:c r="P7" s="10" t="str"/>
      <x:c r="S7" t="str">
        <x:v>Pending genuine supplier/brand image</x:v>
      </x:c>
      <x:c r="T7" s="54" t="n">
        <x:v>19.99</x:v>
      </x:c>
      <x:c r="U7" s="47" t="n">
        <x:v>0.2</x:v>
      </x:c>
      <x:c r="V7" s="54" t="n">
        <x:f>IF(ISNUMBER(T7),T7*(1+U7),"")</x:f>
        <x:v>23.987999999999996</x:v>
      </x:c>
      <x:c r="W7" s="47" t="n">
        <x:v>0.3</x:v>
      </x:c>
      <x:c r="X7" s="54" t="n">
        <x:f>IF(ISNUMBER(V7),V7/(1-W7),"")</x:f>
        <x:v>34.26857142857143</x:v>
      </x:c>
      <x:c r="Y7" s="55" t="n">
        <x:f>IF(ISNUMBER(X7),ROUNDUP(X7,0),"")</x:f>
        <x:v>35</x:v>
      </x:c>
      <x:c r="Z7" t="str">
        <x:v>Source match pending</x:v>
      </x:c>
      <x:c r="AA7" t="str">
        <x:v>screencapture-www-activesportstrade-co-uk-applied-nutrition-trade-2026-09-10-08_59_59.pdf / page-01</x:v>
      </x:c>
      <x:c r="AB7" s="36" t="n">
        <x:f>IF(ISNUMBER(Y7),ROUND(Y7*0.9,2),"")</x:f>
        <x:v>31.5</x:v>
      </x:c>
      <x:c r="AC7" s="36" t="n">
        <x:f>IF(ISNUMBER(AB7),ROUND(AB7-(AB7*0.015+0.2)-V7,2),"")</x:f>
        <x:v>6.84</x:v>
      </x:c>
      <x:c r="AD7" s="36" t="n">
        <x:f>IF(ISNUMBER(Y7),ROUND(Y7*0.8,2),"")</x:f>
        <x:v>28</x:v>
      </x:c>
      <x:c r="AE7" s="36" t="n">
        <x:f>IF(ISNUMBER(AD7),ROUND(AD7*0.015+0.2,2),"")</x:f>
        <x:v>0.62</x:v>
      </x:c>
      <x:c r="AF7" s="36" t="n">
        <x:f>IF(ISNUMBER(AD7),ROUND(AD7-AE7-V7,2),"")</x:f>
        <x:v>3.39</x:v>
      </x:c>
      <x:c r="AG7" t="str">
        <x:f>IF(NOT(ISNUMBER(T7)),"PENDING",IF(AF7&gt;0,"PASS","FAIL"))</x:f>
        <x:v>PASS</x:v>
      </x:c>
      <x:c r="AH7" t="str">
        <x:f>IF(NOT(ISNUMBER(T7)),"Needs supplier cost",IF(K7&lt;&gt;"In stock","Supplier unavailable",IF(AG7&lt;&gt;"PASS","BLOCK - GT loss risk","Commercially protected")))</x:f>
        <x:v>Commercially protected</x:v>
      </x:c>
      <x:c r="AI7" t="str">
        <x:v>2026-09-10 Active Sports trade capture</x:v>
      </x:c>
      <x:c r="AJ7" t="str">
        <x:v>Management-only economics. Stripe stress test uses 1.5% + £0.20 standard UK online-card fee; pallet/mix-and-match pricing ignored.</x:v>
      </x:c>
    </x:row>
    <x:row r="8">
      <x:c r="A8" s="10" t="str">
        <x:v>Active Sports Nutrition</x:v>
      </x:c>
      <x:c r="B8" s="10" t="str">
        <x:v>Applied Nutrition</x:v>
      </x:c>
      <x:c r="C8" s="10" t="str">
        <x:v>Beef-XP Clear Beef Protein Isolate</x:v>
      </x:c>
      <x:c r="D8" s="10" t="str">
        <x:v>Supplements</x:v>
      </x:c>
      <x:c r="E8" s="10" t="str">
        <x:v>Protein Blends</x:v>
      </x:c>
      <x:c r="F8" s="10" t="str">
        <x:v>Dairy-free hydrolysed beef protein isolate; over 27g protein per serving.</x:v>
      </x:c>
      <x:c r="G8" s="10" t="str">
        <x:v>1.8kg</x:v>
      </x:c>
      <x:c r="H8" s="10" t="str">
        <x:v>Blue Raspberry</x:v>
      </x:c>
      <x:c r="I8" s="10" t="str"/>
      <x:c r="J8" s="10" t="str">
        <x:v>Unit</x:v>
      </x:c>
      <x:c r="K8" s="10" t="str">
        <x:v>In stock</x:v>
      </x:c>
      <x:c r="L8" s="10" t="str">
        <x:v>2026-09-08</x:v>
      </x:c>
      <x:c r="M8" s="10" t="str"/>
      <x:c r="N8" s="10" t="str"/>
      <x:c r="O8" s="10" t="str">
        <x:v>https://www.activesportstrade.co.uk/applied-nutrition-trade</x:v>
      </x:c>
      <x:c r="P8" s="10" t="str">
        <x:v>Supplier free-gift wording removed from canonical product.</x:v>
      </x:c>
      <x:c r="S8" t="str">
        <x:v>Pending genuine supplier/brand image</x:v>
      </x:c>
      <x:c r="T8" s="54"/>
      <x:c r="U8" s="47" t="n">
        <x:v>0.2</x:v>
      </x:c>
      <x:c r="V8" s="54" t="str">
        <x:f>IF(ISNUMBER(T8),T8*(1+U8),"")</x:f>
      </x:c>
      <x:c r="W8" s="47" t="n">
        <x:v>0.3</x:v>
      </x:c>
      <x:c r="X8" s="54" t="str">
        <x:f>IF(ISNUMBER(V8),V8/(1-W8),"")</x:f>
      </x:c>
      <x:c r="Y8" s="55" t="str">
        <x:f>IF(ISNUMBER(X8),ROUNDUP(X8,0),"")</x:f>
      </x:c>
      <x:c r="Z8" t="str">
        <x:f>IF(ISNUMBER(T8),"Cost captured","Awaiting trade cost")</x:f>
        <x:v>Awaiting trade cost</x:v>
      </x:c>
      <x:c r="AB8" s="36" t="str">
        <x:f>IF(ISNUMBER(Y8),ROUND(Y8*0.9,2),"")</x:f>
      </x:c>
      <x:c r="AC8" s="36" t="str">
        <x:f>IF(ISNUMBER(AB8),ROUND(AB8-(AB8*0.015+0.2)-V8,2),"")</x:f>
      </x:c>
      <x:c r="AD8" s="36" t="str">
        <x:f>IF(ISNUMBER(Y8),ROUND(Y8*0.8,2),"")</x:f>
      </x:c>
      <x:c r="AE8" s="36" t="str">
        <x:f>IF(ISNUMBER(AD8),ROUND(AD8*0.015+0.2,2),"")</x:f>
      </x:c>
      <x:c r="AF8" s="36" t="str">
        <x:f>IF(ISNUMBER(AD8),ROUND(AD8-AE8-V8,2),"")</x:f>
      </x:c>
      <x:c r="AG8" t="str">
        <x:f>IF(NOT(ISNUMBER(T8)),"PENDING",IF(AF8&gt;0,"PASS","FAIL"))</x:f>
        <x:v>PENDING</x:v>
      </x:c>
      <x:c r="AH8" t="str">
        <x:f>IF(NOT(ISNUMBER(T8)),"Needs supplier cost",IF(K8&lt;&gt;"In stock","Supplier unavailable",IF(AG8&lt;&gt;"PASS","BLOCK - GT loss risk","Commercially protected")))</x:f>
        <x:v>Needs supplier cost</x:v>
      </x:c>
      <x:c r="AI8" t="str">
        <x:v>2026-09-10 Active Sports trade capture</x:v>
      </x:c>
      <x:c r="AJ8" t="str">
        <x:v>Management-only economics. Stripe stress test uses 1.5% + £0.20 standard UK online-card fee; pallet/mix-and-match pricing ignored.</x:v>
      </x:c>
    </x:row>
    <x:row r="9">
      <x:c r="A9" s="10" t="str">
        <x:v>Active Sports Nutrition</x:v>
      </x:c>
      <x:c r="B9" s="10" t="str">
        <x:v>Applied Nutrition</x:v>
      </x:c>
      <x:c r="C9" s="10" t="str">
        <x:v>Beef-XP Clear Beef Protein Isolate</x:v>
      </x:c>
      <x:c r="D9" s="10" t="str">
        <x:v>Supplements</x:v>
      </x:c>
      <x:c r="E9" s="10" t="str">
        <x:v>Protein Blends</x:v>
      </x:c>
      <x:c r="F9" s="10" t="str">
        <x:v>Dairy-free hydrolysed beef protein isolate; over 27g protein per serving.</x:v>
      </x:c>
      <x:c r="G9" s="10" t="str">
        <x:v>1.8kg</x:v>
      </x:c>
      <x:c r="H9" s="10" t="str">
        <x:v>Cherry &amp; Apple</x:v>
      </x:c>
      <x:c r="I9" s="10" t="str"/>
      <x:c r="J9" s="10" t="str">
        <x:v>Unit</x:v>
      </x:c>
      <x:c r="K9" s="10" t="str">
        <x:v>In stock</x:v>
      </x:c>
      <x:c r="L9" s="10" t="str">
        <x:v>2026-09-08</x:v>
      </x:c>
      <x:c r="M9" s="10" t="str"/>
      <x:c r="N9" s="10" t="str"/>
      <x:c r="O9" s="10" t="str">
        <x:v>https://www.activesportstrade.co.uk/applied-nutrition-trade</x:v>
      </x:c>
      <x:c r="P9" s="10" t="str">
        <x:v>Supplier free-gift wording removed from canonical product.</x:v>
      </x:c>
      <x:c r="S9" t="str">
        <x:v>Pending genuine supplier/brand image</x:v>
      </x:c>
      <x:c r="T9" s="54"/>
      <x:c r="U9" s="47" t="n">
        <x:v>0.2</x:v>
      </x:c>
      <x:c r="V9" s="54" t="str">
        <x:f>IF(ISNUMBER(T9),T9*(1+U9),"")</x:f>
      </x:c>
      <x:c r="W9" s="47" t="n">
        <x:v>0.3</x:v>
      </x:c>
      <x:c r="X9" s="54" t="str">
        <x:f>IF(ISNUMBER(V9),V9/(1-W9),"")</x:f>
      </x:c>
      <x:c r="Y9" s="55" t="str">
        <x:f>IF(ISNUMBER(X9),ROUNDUP(X9,0),"")</x:f>
      </x:c>
      <x:c r="Z9" t="str">
        <x:f>IF(ISNUMBER(T9),"Cost captured","Awaiting trade cost")</x:f>
        <x:v>Awaiting trade cost</x:v>
      </x:c>
      <x:c r="AB9" s="36" t="str">
        <x:f>IF(ISNUMBER(Y9),ROUND(Y9*0.9,2),"")</x:f>
      </x:c>
      <x:c r="AC9" s="36" t="str">
        <x:f>IF(ISNUMBER(AB9),ROUND(AB9-(AB9*0.015+0.2)-V9,2),"")</x:f>
      </x:c>
      <x:c r="AD9" s="36" t="str">
        <x:f>IF(ISNUMBER(Y9),ROUND(Y9*0.8,2),"")</x:f>
      </x:c>
      <x:c r="AE9" s="36" t="str">
        <x:f>IF(ISNUMBER(AD9),ROUND(AD9*0.015+0.2,2),"")</x:f>
      </x:c>
      <x:c r="AF9" s="36" t="str">
        <x:f>IF(ISNUMBER(AD9),ROUND(AD9-AE9-V9,2),"")</x:f>
      </x:c>
      <x:c r="AG9" t="str">
        <x:f>IF(NOT(ISNUMBER(T9)),"PENDING",IF(AF9&gt;0,"PASS","FAIL"))</x:f>
        <x:v>PENDING</x:v>
      </x:c>
      <x:c r="AH9" t="str">
        <x:f>IF(NOT(ISNUMBER(T9)),"Needs supplier cost",IF(K9&lt;&gt;"In stock","Supplier unavailable",IF(AG9&lt;&gt;"PASS","BLOCK - GT loss risk","Commercially protected")))</x:f>
        <x:v>Needs supplier cost</x:v>
      </x:c>
      <x:c r="AI9" t="str">
        <x:v>2026-09-10 Active Sports trade capture</x:v>
      </x:c>
      <x:c r="AJ9" t="str">
        <x:v>Management-only economics. Stripe stress test uses 1.5% + £0.20 standard UK online-card fee; pallet/mix-and-match pricing ignored.</x:v>
      </x:c>
    </x:row>
    <x:row r="10">
      <x:c r="A10" s="10" t="str">
        <x:v>Active Sports Nutrition</x:v>
      </x:c>
      <x:c r="B10" s="10" t="str">
        <x:v>Applied Nutrition</x:v>
      </x:c>
      <x:c r="C10" s="10" t="str">
        <x:v>Beef-XP Clear Beef Protein Isolate</x:v>
      </x:c>
      <x:c r="D10" s="10" t="str">
        <x:v>Supplements</x:v>
      </x:c>
      <x:c r="E10" s="10" t="str">
        <x:v>Protein Blends</x:v>
      </x:c>
      <x:c r="F10" s="10" t="str">
        <x:v>Dairy-free hydrolysed beef protein isolate; over 27g protein per serving.</x:v>
      </x:c>
      <x:c r="G10" s="10" t="str">
        <x:v>1.8kg</x:v>
      </x:c>
      <x:c r="H10" s="10" t="str">
        <x:v>Citrus Twist</x:v>
      </x:c>
      <x:c r="I10" s="10" t="str"/>
      <x:c r="J10" s="10" t="str">
        <x:v>Unit</x:v>
      </x:c>
      <x:c r="K10" s="10" t="str">
        <x:v>In stock</x:v>
      </x:c>
      <x:c r="L10" s="10" t="str">
        <x:v>2026-09-08</x:v>
      </x:c>
      <x:c r="M10" s="10" t="str"/>
      <x:c r="N10" s="10" t="str"/>
      <x:c r="O10" s="10" t="str">
        <x:v>https://www.activesportstrade.co.uk/applied-nutrition-trade</x:v>
      </x:c>
      <x:c r="P10" s="10" t="str">
        <x:v>Supplier free-gift wording removed from canonical product.</x:v>
      </x:c>
      <x:c r="S10" t="str">
        <x:v>Pending genuine supplier/brand image</x:v>
      </x:c>
      <x:c r="T10" s="54"/>
      <x:c r="U10" s="47" t="n">
        <x:v>0.2</x:v>
      </x:c>
      <x:c r="V10" s="54" t="str">
        <x:f>IF(ISNUMBER(T10),T10*(1+U10),"")</x:f>
      </x:c>
      <x:c r="W10" s="47" t="n">
        <x:v>0.3</x:v>
      </x:c>
      <x:c r="X10" s="54" t="str">
        <x:f>IF(ISNUMBER(V10),V10/(1-W10),"")</x:f>
      </x:c>
      <x:c r="Y10" s="55" t="str">
        <x:f>IF(ISNUMBER(X10),ROUNDUP(X10,0),"")</x:f>
      </x:c>
      <x:c r="Z10" t="str">
        <x:f>IF(ISNUMBER(T10),"Cost captured","Awaiting trade cost")</x:f>
        <x:v>Awaiting trade cost</x:v>
      </x:c>
      <x:c r="AB10" s="36" t="str">
        <x:f>IF(ISNUMBER(Y10),ROUND(Y10*0.9,2),"")</x:f>
      </x:c>
      <x:c r="AC10" s="36" t="str">
        <x:f>IF(ISNUMBER(AB10),ROUND(AB10-(AB10*0.015+0.2)-V10,2),"")</x:f>
      </x:c>
      <x:c r="AD10" s="36" t="str">
        <x:f>IF(ISNUMBER(Y10),ROUND(Y10*0.8,2),"")</x:f>
      </x:c>
      <x:c r="AE10" s="36" t="str">
        <x:f>IF(ISNUMBER(AD10),ROUND(AD10*0.015+0.2,2),"")</x:f>
      </x:c>
      <x:c r="AF10" s="36" t="str">
        <x:f>IF(ISNUMBER(AD10),ROUND(AD10-AE10-V10,2),"")</x:f>
      </x:c>
      <x:c r="AG10" t="str">
        <x:f>IF(NOT(ISNUMBER(T10)),"PENDING",IF(AF10&gt;0,"PASS","FAIL"))</x:f>
        <x:v>PENDING</x:v>
      </x:c>
      <x:c r="AH10" t="str">
        <x:f>IF(NOT(ISNUMBER(T10)),"Needs supplier cost",IF(K10&lt;&gt;"In stock","Supplier unavailable",IF(AG10&lt;&gt;"PASS","BLOCK - GT loss risk","Commercially protected")))</x:f>
        <x:v>Needs supplier cost</x:v>
      </x:c>
      <x:c r="AI10" t="str">
        <x:v>2026-09-10 Active Sports trade capture</x:v>
      </x:c>
      <x:c r="AJ10" t="str">
        <x:v>Management-only economics. Stripe stress test uses 1.5% + £0.20 standard UK online-card fee; pallet/mix-and-match pricing ignored.</x:v>
      </x:c>
    </x:row>
    <x:row r="11">
      <x:c r="A11" s="10" t="str">
        <x:v>Active Sports Nutrition</x:v>
      </x:c>
      <x:c r="B11" s="10" t="str">
        <x:v>Applied Nutrition</x:v>
      </x:c>
      <x:c r="C11" s="10" t="str">
        <x:v>Beef-XP Clear Beef Protein Isolate</x:v>
      </x:c>
      <x:c r="D11" s="10" t="str">
        <x:v>Supplements</x:v>
      </x:c>
      <x:c r="E11" s="10" t="str">
        <x:v>Protein Blends</x:v>
      </x:c>
      <x:c r="F11" s="10" t="str">
        <x:v>Dairy-free hydrolysed beef protein isolate; over 27g protein per serving.</x:v>
      </x:c>
      <x:c r="G11" s="10" t="str">
        <x:v>1.8kg</x:v>
      </x:c>
      <x:c r="H11" s="10" t="str">
        <x:v>Lemon &amp; Mint</x:v>
      </x:c>
      <x:c r="I11" s="10" t="str"/>
      <x:c r="J11" s="10" t="str">
        <x:v>Unit</x:v>
      </x:c>
      <x:c r="K11" s="10" t="str">
        <x:v>In stock</x:v>
      </x:c>
      <x:c r="L11" s="10" t="str">
        <x:v>2026-09-08</x:v>
      </x:c>
      <x:c r="M11" s="10" t="str"/>
      <x:c r="N11" s="10" t="str"/>
      <x:c r="O11" s="10" t="str">
        <x:v>https://www.activesportstrade.co.uk/applied-nutrition-trade</x:v>
      </x:c>
      <x:c r="P11" s="10" t="str">
        <x:v>Supplier free-gift wording removed from canonical product.</x:v>
      </x:c>
      <x:c r="S11" t="str">
        <x:v>Pending genuine supplier/brand image</x:v>
      </x:c>
      <x:c r="T11" s="54"/>
      <x:c r="U11" s="47" t="n">
        <x:v>0.2</x:v>
      </x:c>
      <x:c r="V11" s="54" t="str">
        <x:f>IF(ISNUMBER(T11),T11*(1+U11),"")</x:f>
      </x:c>
      <x:c r="W11" s="47" t="n">
        <x:v>0.3</x:v>
      </x:c>
      <x:c r="X11" s="54" t="str">
        <x:f>IF(ISNUMBER(V11),V11/(1-W11),"")</x:f>
      </x:c>
      <x:c r="Y11" s="55" t="str">
        <x:f>IF(ISNUMBER(X11),ROUNDUP(X11,0),"")</x:f>
      </x:c>
      <x:c r="Z11" t="str">
        <x:f>IF(ISNUMBER(T11),"Cost captured","Awaiting trade cost")</x:f>
        <x:v>Awaiting trade cost</x:v>
      </x:c>
      <x:c r="AB11" s="36" t="str">
        <x:f>IF(ISNUMBER(Y11),ROUND(Y11*0.9,2),"")</x:f>
      </x:c>
      <x:c r="AC11" s="36" t="str">
        <x:f>IF(ISNUMBER(AB11),ROUND(AB11-(AB11*0.015+0.2)-V11,2),"")</x:f>
      </x:c>
      <x:c r="AD11" s="36" t="str">
        <x:f>IF(ISNUMBER(Y11),ROUND(Y11*0.8,2),"")</x:f>
      </x:c>
      <x:c r="AE11" s="36" t="str">
        <x:f>IF(ISNUMBER(AD11),ROUND(AD11*0.015+0.2,2),"")</x:f>
      </x:c>
      <x:c r="AF11" s="36" t="str">
        <x:f>IF(ISNUMBER(AD11),ROUND(AD11-AE11-V11,2),"")</x:f>
      </x:c>
      <x:c r="AG11" t="str">
        <x:f>IF(NOT(ISNUMBER(T11)),"PENDING",IF(AF11&gt;0,"PASS","FAIL"))</x:f>
        <x:v>PENDING</x:v>
      </x:c>
      <x:c r="AH11" t="str">
        <x:f>IF(NOT(ISNUMBER(T11)),"Needs supplier cost",IF(K11&lt;&gt;"In stock","Supplier unavailable",IF(AG11&lt;&gt;"PASS","BLOCK - GT loss risk","Commercially protected")))</x:f>
        <x:v>Needs supplier cost</x:v>
      </x:c>
      <x:c r="AI11" t="str">
        <x:v>2026-09-10 Active Sports trade capture</x:v>
      </x:c>
      <x:c r="AJ11" t="str">
        <x:v>Management-only economics. Stripe stress test uses 1.5% + £0.20 standard UK online-card fee; pallet/mix-and-match pricing ignored.</x:v>
      </x:c>
    </x:row>
    <x:row r="12">
      <x:c r="A12" s="10" t="str">
        <x:v>Active Sports Nutrition</x:v>
      </x:c>
      <x:c r="B12" s="10" t="str">
        <x:v>Applied Nutrition</x:v>
      </x:c>
      <x:c r="C12" s="10" t="str">
        <x:v>Beef-XP Clear Beef Protein Isolate</x:v>
      </x:c>
      <x:c r="D12" s="10" t="str">
        <x:v>Supplements</x:v>
      </x:c>
      <x:c r="E12" s="10" t="str">
        <x:v>Protein Blends</x:v>
      </x:c>
      <x:c r="F12" s="10" t="str">
        <x:v>Dairy-free hydrolysed beef protein isolate; over 27g protein per serving.</x:v>
      </x:c>
      <x:c r="G12" s="10" t="str">
        <x:v>1.8kg</x:v>
      </x:c>
      <x:c r="H12" s="10" t="str">
        <x:v>Millions Blackcurrant</x:v>
      </x:c>
      <x:c r="I12" s="10" t="str"/>
      <x:c r="J12" s="10" t="str">
        <x:v>Unit</x:v>
      </x:c>
      <x:c r="K12" s="10" t="str">
        <x:v>In stock</x:v>
      </x:c>
      <x:c r="L12" s="10" t="str">
        <x:v>2026-09-08</x:v>
      </x:c>
      <x:c r="M12" s="10" t="str"/>
      <x:c r="N12" s="10" t="str"/>
      <x:c r="O12" s="10" t="str">
        <x:v>https://www.activesportstrade.co.uk/applied-nutrition-trade</x:v>
      </x:c>
      <x:c r="P12" s="10" t="str">
        <x:v>Supplier free-gift wording removed from canonical product.</x:v>
      </x:c>
      <x:c r="S12" t="str">
        <x:v>Pending genuine supplier/brand image</x:v>
      </x:c>
      <x:c r="T12" s="54"/>
      <x:c r="U12" s="47" t="n">
        <x:v>0.2</x:v>
      </x:c>
      <x:c r="V12" s="54" t="str">
        <x:f>IF(ISNUMBER(T12),T12*(1+U12),"")</x:f>
      </x:c>
      <x:c r="W12" s="47" t="n">
        <x:v>0.3</x:v>
      </x:c>
      <x:c r="X12" s="54" t="str">
        <x:f>IF(ISNUMBER(V12),V12/(1-W12),"")</x:f>
      </x:c>
      <x:c r="Y12" s="55" t="str">
        <x:f>IF(ISNUMBER(X12),ROUNDUP(X12,0),"")</x:f>
      </x:c>
      <x:c r="Z12" t="str">
        <x:f>IF(ISNUMBER(T12),"Cost captured","Awaiting trade cost")</x:f>
        <x:v>Awaiting trade cost</x:v>
      </x:c>
      <x:c r="AB12" s="36" t="str">
        <x:f>IF(ISNUMBER(Y12),ROUND(Y12*0.9,2),"")</x:f>
      </x:c>
      <x:c r="AC12" s="36" t="str">
        <x:f>IF(ISNUMBER(AB12),ROUND(AB12-(AB12*0.015+0.2)-V12,2),"")</x:f>
      </x:c>
      <x:c r="AD12" s="36" t="str">
        <x:f>IF(ISNUMBER(Y12),ROUND(Y12*0.8,2),"")</x:f>
      </x:c>
      <x:c r="AE12" s="36" t="str">
        <x:f>IF(ISNUMBER(AD12),ROUND(AD12*0.015+0.2,2),"")</x:f>
      </x:c>
      <x:c r="AF12" s="36" t="str">
        <x:f>IF(ISNUMBER(AD12),ROUND(AD12-AE12-V12,2),"")</x:f>
      </x:c>
      <x:c r="AG12" t="str">
        <x:f>IF(NOT(ISNUMBER(T12)),"PENDING",IF(AF12&gt;0,"PASS","FAIL"))</x:f>
        <x:v>PENDING</x:v>
      </x:c>
      <x:c r="AH12" t="str">
        <x:f>IF(NOT(ISNUMBER(T12)),"Needs supplier cost",IF(K12&lt;&gt;"In stock","Supplier unavailable",IF(AG12&lt;&gt;"PASS","BLOCK - GT loss risk","Commercially protected")))</x:f>
        <x:v>Needs supplier cost</x:v>
      </x:c>
      <x:c r="AI12" t="str">
        <x:v>2026-09-10 Active Sports trade capture</x:v>
      </x:c>
      <x:c r="AJ12" t="str">
        <x:v>Management-only economics. Stripe stress test uses 1.5% + £0.20 standard UK online-card fee; pallet/mix-and-match pricing ignored.</x:v>
      </x:c>
    </x:row>
    <x:row r="13">
      <x:c r="A13" s="10" t="str">
        <x:v>Active Sports Nutrition</x:v>
      </x:c>
      <x:c r="B13" s="10" t="str">
        <x:v>Applied Nutrition</x:v>
      </x:c>
      <x:c r="C13" s="10" t="str">
        <x:v>Beef-XP Clear Beef Protein Isolate</x:v>
      </x:c>
      <x:c r="D13" s="10" t="str">
        <x:v>Supplements</x:v>
      </x:c>
      <x:c r="E13" s="10" t="str">
        <x:v>Protein Blends</x:v>
      </x:c>
      <x:c r="F13" s="10" t="str">
        <x:v>Dairy-free hydrolysed beef protein isolate; over 27g protein per serving.</x:v>
      </x:c>
      <x:c r="G13" s="10" t="str">
        <x:v>1.8kg</x:v>
      </x:c>
      <x:c r="H13" s="10" t="str">
        <x:v>Millions Cola</x:v>
      </x:c>
      <x:c r="I13" s="10" t="str"/>
      <x:c r="J13" s="10" t="str">
        <x:v>Unit</x:v>
      </x:c>
      <x:c r="K13" s="10" t="str">
        <x:v>In stock</x:v>
      </x:c>
      <x:c r="L13" s="10" t="str">
        <x:v>2026-09-08</x:v>
      </x:c>
      <x:c r="M13" s="10" t="str"/>
      <x:c r="N13" s="10" t="str"/>
      <x:c r="O13" s="10" t="str">
        <x:v>https://www.activesportstrade.co.uk/applied-nutrition-trade</x:v>
      </x:c>
      <x:c r="P13" s="10" t="str">
        <x:v>Supplier free-gift wording removed from canonical product.</x:v>
      </x:c>
      <x:c r="S13" t="str">
        <x:v>Pending genuine supplier/brand image</x:v>
      </x:c>
      <x:c r="T13" s="54"/>
      <x:c r="U13" s="47" t="n">
        <x:v>0.2</x:v>
      </x:c>
      <x:c r="V13" s="54" t="str">
        <x:f>IF(ISNUMBER(T13),T13*(1+U13),"")</x:f>
      </x:c>
      <x:c r="W13" s="47" t="n">
        <x:v>0.3</x:v>
      </x:c>
      <x:c r="X13" s="54" t="str">
        <x:f>IF(ISNUMBER(V13),V13/(1-W13),"")</x:f>
      </x:c>
      <x:c r="Y13" s="55" t="str">
        <x:f>IF(ISNUMBER(X13),ROUNDUP(X13,0),"")</x:f>
      </x:c>
      <x:c r="Z13" t="str">
        <x:f>IF(ISNUMBER(T13),"Cost captured","Awaiting trade cost")</x:f>
        <x:v>Awaiting trade cost</x:v>
      </x:c>
      <x:c r="AB13" s="36" t="str">
        <x:f>IF(ISNUMBER(Y13),ROUND(Y13*0.9,2),"")</x:f>
      </x:c>
      <x:c r="AC13" s="36" t="str">
        <x:f>IF(ISNUMBER(AB13),ROUND(AB13-(AB13*0.015+0.2)-V13,2),"")</x:f>
      </x:c>
      <x:c r="AD13" s="36" t="str">
        <x:f>IF(ISNUMBER(Y13),ROUND(Y13*0.8,2),"")</x:f>
      </x:c>
      <x:c r="AE13" s="36" t="str">
        <x:f>IF(ISNUMBER(AD13),ROUND(AD13*0.015+0.2,2),"")</x:f>
      </x:c>
      <x:c r="AF13" s="36" t="str">
        <x:f>IF(ISNUMBER(AD13),ROUND(AD13-AE13-V13,2),"")</x:f>
      </x:c>
      <x:c r="AG13" t="str">
        <x:f>IF(NOT(ISNUMBER(T13)),"PENDING",IF(AF13&gt;0,"PASS","FAIL"))</x:f>
        <x:v>PENDING</x:v>
      </x:c>
      <x:c r="AH13" t="str">
        <x:f>IF(NOT(ISNUMBER(T13)),"Needs supplier cost",IF(K13&lt;&gt;"In stock","Supplier unavailable",IF(AG13&lt;&gt;"PASS","BLOCK - GT loss risk","Commercially protected")))</x:f>
        <x:v>Needs supplier cost</x:v>
      </x:c>
      <x:c r="AI13" t="str">
        <x:v>2026-09-10 Active Sports trade capture</x:v>
      </x:c>
      <x:c r="AJ13" t="str">
        <x:v>Management-only economics. Stripe stress test uses 1.5% + £0.20 standard UK online-card fee; pallet/mix-and-match pricing ignored.</x:v>
      </x:c>
    </x:row>
    <x:row r="14">
      <x:c r="A14" s="10" t="str">
        <x:v>Active Sports Nutrition</x:v>
      </x:c>
      <x:c r="B14" s="10" t="str">
        <x:v>Applied Nutrition</x:v>
      </x:c>
      <x:c r="C14" s="10" t="str">
        <x:v>Beef-XP Clear Beef Protein Isolate</x:v>
      </x:c>
      <x:c r="D14" s="10" t="str">
        <x:v>Supplements</x:v>
      </x:c>
      <x:c r="E14" s="10" t="str">
        <x:v>Protein Blends</x:v>
      </x:c>
      <x:c r="F14" s="10" t="str">
        <x:v>Dairy-free hydrolysed beef protein isolate; over 27g protein per serving.</x:v>
      </x:c>
      <x:c r="G14" s="10" t="str">
        <x:v>1.8kg</x:v>
      </x:c>
      <x:c r="H14" s="10" t="str">
        <x:v>Millions Pineapple</x:v>
      </x:c>
      <x:c r="I14" s="10" t="str"/>
      <x:c r="J14" s="10" t="str">
        <x:v>Unit</x:v>
      </x:c>
      <x:c r="K14" s="10" t="str">
        <x:v>In stock</x:v>
      </x:c>
      <x:c r="L14" s="10" t="str">
        <x:v>2026-09-08</x:v>
      </x:c>
      <x:c r="M14" s="10" t="str"/>
      <x:c r="N14" s="10" t="str"/>
      <x:c r="O14" s="10" t="str">
        <x:v>https://www.activesportstrade.co.uk/applied-nutrition-trade</x:v>
      </x:c>
      <x:c r="P14" s="10" t="str">
        <x:v>Supplier free-gift wording removed from canonical product.</x:v>
      </x:c>
      <x:c r="S14" t="str">
        <x:v>Pending genuine supplier/brand image</x:v>
      </x:c>
      <x:c r="T14" s="54"/>
      <x:c r="U14" s="47" t="n">
        <x:v>0.2</x:v>
      </x:c>
      <x:c r="V14" s="54" t="str">
        <x:f>IF(ISNUMBER(T14),T14*(1+U14),"")</x:f>
      </x:c>
      <x:c r="W14" s="47" t="n">
        <x:v>0.3</x:v>
      </x:c>
      <x:c r="X14" s="54" t="str">
        <x:f>IF(ISNUMBER(V14),V14/(1-W14),"")</x:f>
      </x:c>
      <x:c r="Y14" s="55" t="str">
        <x:f>IF(ISNUMBER(X14),ROUNDUP(X14,0),"")</x:f>
      </x:c>
      <x:c r="Z14" t="str">
        <x:f>IF(ISNUMBER(T14),"Cost captured","Awaiting trade cost")</x:f>
        <x:v>Awaiting trade cost</x:v>
      </x:c>
      <x:c r="AB14" s="36" t="str">
        <x:f>IF(ISNUMBER(Y14),ROUND(Y14*0.9,2),"")</x:f>
      </x:c>
      <x:c r="AC14" s="36" t="str">
        <x:f>IF(ISNUMBER(AB14),ROUND(AB14-(AB14*0.015+0.2)-V14,2),"")</x:f>
      </x:c>
      <x:c r="AD14" s="36" t="str">
        <x:f>IF(ISNUMBER(Y14),ROUND(Y14*0.8,2),"")</x:f>
      </x:c>
      <x:c r="AE14" s="36" t="str">
        <x:f>IF(ISNUMBER(AD14),ROUND(AD14*0.015+0.2,2),"")</x:f>
      </x:c>
      <x:c r="AF14" s="36" t="str">
        <x:f>IF(ISNUMBER(AD14),ROUND(AD14-AE14-V14,2),"")</x:f>
      </x:c>
      <x:c r="AG14" t="str">
        <x:f>IF(NOT(ISNUMBER(T14)),"PENDING",IF(AF14&gt;0,"PASS","FAIL"))</x:f>
        <x:v>PENDING</x:v>
      </x:c>
      <x:c r="AH14" t="str">
        <x:f>IF(NOT(ISNUMBER(T14)),"Needs supplier cost",IF(K14&lt;&gt;"In stock","Supplier unavailable",IF(AG14&lt;&gt;"PASS","BLOCK - GT loss risk","Commercially protected")))</x:f>
        <x:v>Needs supplier cost</x:v>
      </x:c>
      <x:c r="AI14" t="str">
        <x:v>2026-09-10 Active Sports trade capture</x:v>
      </x:c>
      <x:c r="AJ14" t="str">
        <x:v>Management-only economics. Stripe stress test uses 1.5% + £0.20 standard UK online-card fee; pallet/mix-and-match pricing ignored.</x:v>
      </x:c>
    </x:row>
    <x:row r="15">
      <x:c r="A15" s="10" t="str">
        <x:v>Active Sports Nutrition</x:v>
      </x:c>
      <x:c r="B15" s="10" t="str">
        <x:v>Applied Nutrition</x:v>
      </x:c>
      <x:c r="C15" s="10" t="str">
        <x:v>Beef-XP Clear Beef Protein Isolate</x:v>
      </x:c>
      <x:c r="D15" s="10" t="str">
        <x:v>Supplements</x:v>
      </x:c>
      <x:c r="E15" s="10" t="str">
        <x:v>Protein Blends</x:v>
      </x:c>
      <x:c r="F15" s="10" t="str">
        <x:v>Dairy-free hydrolysed beef protein isolate; over 27g protein per serving.</x:v>
      </x:c>
      <x:c r="G15" s="10" t="str">
        <x:v>1.8kg</x:v>
      </x:c>
      <x:c r="H15" s="10" t="str">
        <x:v>Mixed Berry</x:v>
      </x:c>
      <x:c r="I15" s="10" t="str"/>
      <x:c r="J15" s="10" t="str">
        <x:v>Unit</x:v>
      </x:c>
      <x:c r="K15" s="10" t="str">
        <x:v>In stock</x:v>
      </x:c>
      <x:c r="L15" s="10" t="str">
        <x:v>2026-09-08</x:v>
      </x:c>
      <x:c r="M15" s="10" t="str"/>
      <x:c r="N15" s="10" t="str"/>
      <x:c r="O15" s="10" t="str">
        <x:v>https://www.activesportstrade.co.uk/applied-nutrition-trade</x:v>
      </x:c>
      <x:c r="P15" s="10" t="str">
        <x:v>Supplier free-gift wording removed from canonical product.</x:v>
      </x:c>
      <x:c r="S15" t="str">
        <x:v>Pending genuine supplier/brand image</x:v>
      </x:c>
      <x:c r="T15" s="54"/>
      <x:c r="U15" s="47" t="n">
        <x:v>0.2</x:v>
      </x:c>
      <x:c r="V15" s="54" t="str">
        <x:f>IF(ISNUMBER(T15),T15*(1+U15),"")</x:f>
      </x:c>
      <x:c r="W15" s="47" t="n">
        <x:v>0.3</x:v>
      </x:c>
      <x:c r="X15" s="54" t="str">
        <x:f>IF(ISNUMBER(V15),V15/(1-W15),"")</x:f>
      </x:c>
      <x:c r="Y15" s="55" t="str">
        <x:f>IF(ISNUMBER(X15),ROUNDUP(X15,0),"")</x:f>
      </x:c>
      <x:c r="Z15" t="str">
        <x:f>IF(ISNUMBER(T15),"Cost captured","Awaiting trade cost")</x:f>
        <x:v>Awaiting trade cost</x:v>
      </x:c>
      <x:c r="AB15" s="36" t="str">
        <x:f>IF(ISNUMBER(Y15),ROUND(Y15*0.9,2),"")</x:f>
      </x:c>
      <x:c r="AC15" s="36" t="str">
        <x:f>IF(ISNUMBER(AB15),ROUND(AB15-(AB15*0.015+0.2)-V15,2),"")</x:f>
      </x:c>
      <x:c r="AD15" s="36" t="str">
        <x:f>IF(ISNUMBER(Y15),ROUND(Y15*0.8,2),"")</x:f>
      </x:c>
      <x:c r="AE15" s="36" t="str">
        <x:f>IF(ISNUMBER(AD15),ROUND(AD15*0.015+0.2,2),"")</x:f>
      </x:c>
      <x:c r="AF15" s="36" t="str">
        <x:f>IF(ISNUMBER(AD15),ROUND(AD15-AE15-V15,2),"")</x:f>
      </x:c>
      <x:c r="AG15" t="str">
        <x:f>IF(NOT(ISNUMBER(T15)),"PENDING",IF(AF15&gt;0,"PASS","FAIL"))</x:f>
        <x:v>PENDING</x:v>
      </x:c>
      <x:c r="AH15" t="str">
        <x:f>IF(NOT(ISNUMBER(T15)),"Needs supplier cost",IF(K15&lt;&gt;"In stock","Supplier unavailable",IF(AG15&lt;&gt;"PASS","BLOCK - GT loss risk","Commercially protected")))</x:f>
        <x:v>Needs supplier cost</x:v>
      </x:c>
      <x:c r="AI15" t="str">
        <x:v>2026-09-10 Active Sports trade capture</x:v>
      </x:c>
      <x:c r="AJ15" t="str">
        <x:v>Management-only economics. Stripe stress test uses 1.5% + £0.20 standard UK online-card fee; pallet/mix-and-match pricing ignored.</x:v>
      </x:c>
    </x:row>
    <x:row r="16">
      <x:c r="A16" s="10" t="str">
        <x:v>Active Sports Nutrition</x:v>
      </x:c>
      <x:c r="B16" s="10" t="str">
        <x:v>Applied Nutrition</x:v>
      </x:c>
      <x:c r="C16" s="10" t="str">
        <x:v>Beef-XP Clear Beef Protein Isolate</x:v>
      </x:c>
      <x:c r="D16" s="10" t="str">
        <x:v>Supplements</x:v>
      </x:c>
      <x:c r="E16" s="10" t="str">
        <x:v>Protein Blends</x:v>
      </x:c>
      <x:c r="F16" s="10" t="str">
        <x:v>Dairy-free hydrolysed beef protein isolate; over 27g protein per serving.</x:v>
      </x:c>
      <x:c r="G16" s="10" t="str">
        <x:v>1.8kg</x:v>
      </x:c>
      <x:c r="H16" s="10" t="str">
        <x:v>Orange Mango</x:v>
      </x:c>
      <x:c r="I16" s="10" t="str"/>
      <x:c r="J16" s="10" t="str">
        <x:v>Unit</x:v>
      </x:c>
      <x:c r="K16" s="10" t="str">
        <x:v>In stock</x:v>
      </x:c>
      <x:c r="L16" s="10" t="str">
        <x:v>2026-09-08</x:v>
      </x:c>
      <x:c r="M16" s="10" t="str"/>
      <x:c r="N16" s="10" t="str"/>
      <x:c r="O16" s="10" t="str">
        <x:v>https://www.activesportstrade.co.uk/applied-nutrition-trade</x:v>
      </x:c>
      <x:c r="P16" s="10" t="str">
        <x:v>Supplier free-gift wording removed from canonical product.</x:v>
      </x:c>
      <x:c r="S16" t="str">
        <x:v>Pending genuine supplier/brand image</x:v>
      </x:c>
      <x:c r="T16" s="54"/>
      <x:c r="U16" s="47" t="n">
        <x:v>0.2</x:v>
      </x:c>
      <x:c r="V16" s="54" t="str">
        <x:f>IF(ISNUMBER(T16),T16*(1+U16),"")</x:f>
      </x:c>
      <x:c r="W16" s="47" t="n">
        <x:v>0.3</x:v>
      </x:c>
      <x:c r="X16" s="54" t="str">
        <x:f>IF(ISNUMBER(V16),V16/(1-W16),"")</x:f>
      </x:c>
      <x:c r="Y16" s="55" t="str">
        <x:f>IF(ISNUMBER(X16),ROUNDUP(X16,0),"")</x:f>
      </x:c>
      <x:c r="Z16" t="str">
        <x:f>IF(ISNUMBER(T16),"Cost captured","Awaiting trade cost")</x:f>
        <x:v>Awaiting trade cost</x:v>
      </x:c>
      <x:c r="AB16" s="36" t="str">
        <x:f>IF(ISNUMBER(Y16),ROUND(Y16*0.9,2),"")</x:f>
      </x:c>
      <x:c r="AC16" s="36" t="str">
        <x:f>IF(ISNUMBER(AB16),ROUND(AB16-(AB16*0.015+0.2)-V16,2),"")</x:f>
      </x:c>
      <x:c r="AD16" s="36" t="str">
        <x:f>IF(ISNUMBER(Y16),ROUND(Y16*0.8,2),"")</x:f>
      </x:c>
      <x:c r="AE16" s="36" t="str">
        <x:f>IF(ISNUMBER(AD16),ROUND(AD16*0.015+0.2,2),"")</x:f>
      </x:c>
      <x:c r="AF16" s="36" t="str">
        <x:f>IF(ISNUMBER(AD16),ROUND(AD16-AE16-V16,2),"")</x:f>
      </x:c>
      <x:c r="AG16" t="str">
        <x:f>IF(NOT(ISNUMBER(T16)),"PENDING",IF(AF16&gt;0,"PASS","FAIL"))</x:f>
        <x:v>PENDING</x:v>
      </x:c>
      <x:c r="AH16" t="str">
        <x:f>IF(NOT(ISNUMBER(T16)),"Needs supplier cost",IF(K16&lt;&gt;"In stock","Supplier unavailable",IF(AG16&lt;&gt;"PASS","BLOCK - GT loss risk","Commercially protected")))</x:f>
        <x:v>Needs supplier cost</x:v>
      </x:c>
      <x:c r="AI16" t="str">
        <x:v>2026-09-10 Active Sports trade capture</x:v>
      </x:c>
      <x:c r="AJ16" t="str">
        <x:v>Management-only economics. Stripe stress test uses 1.5% + £0.20 standard UK online-card fee; pallet/mix-and-match pricing ignored.</x:v>
      </x:c>
    </x:row>
    <x:row r="17">
      <x:c r="A17" s="10" t="str">
        <x:v>Active Sports Nutrition</x:v>
      </x:c>
      <x:c r="B17" s="10" t="str">
        <x:v>Applied Nutrition</x:v>
      </x:c>
      <x:c r="C17" s="10" t="str">
        <x:v>Beef-XP Clear Beef Protein Isolate</x:v>
      </x:c>
      <x:c r="D17" s="10" t="str">
        <x:v>Supplements</x:v>
      </x:c>
      <x:c r="E17" s="10" t="str">
        <x:v>Protein Blends</x:v>
      </x:c>
      <x:c r="F17" s="10" t="str">
        <x:v>Dairy-free hydrolysed beef protein isolate; over 27g protein per serving.</x:v>
      </x:c>
      <x:c r="G17" s="10" t="str">
        <x:v>1.8kg</x:v>
      </x:c>
      <x:c r="H17" s="10" t="str">
        <x:v>Strawberry &amp; Raspberry</x:v>
      </x:c>
      <x:c r="I17" s="10" t="str"/>
      <x:c r="J17" s="10" t="str">
        <x:v>Unit</x:v>
      </x:c>
      <x:c r="K17" s="10" t="str">
        <x:v>In stock</x:v>
      </x:c>
      <x:c r="L17" s="10" t="str">
        <x:v>2026-09-08</x:v>
      </x:c>
      <x:c r="M17" s="10" t="str"/>
      <x:c r="N17" s="10" t="str"/>
      <x:c r="O17" s="10" t="str">
        <x:v>https://www.activesportstrade.co.uk/applied-nutrition-trade</x:v>
      </x:c>
      <x:c r="P17" s="10" t="str">
        <x:v>Supplier free-gift wording removed from canonical product.</x:v>
      </x:c>
      <x:c r="S17" t="str">
        <x:v>Pending genuine supplier/brand image</x:v>
      </x:c>
      <x:c r="T17" s="54"/>
      <x:c r="U17" s="47" t="n">
        <x:v>0.2</x:v>
      </x:c>
      <x:c r="V17" s="54" t="str">
        <x:f>IF(ISNUMBER(T17),T17*(1+U17),"")</x:f>
      </x:c>
      <x:c r="W17" s="47" t="n">
        <x:v>0.3</x:v>
      </x:c>
      <x:c r="X17" s="54" t="str">
        <x:f>IF(ISNUMBER(V17),V17/(1-W17),"")</x:f>
      </x:c>
      <x:c r="Y17" s="55" t="str">
        <x:f>IF(ISNUMBER(X17),ROUNDUP(X17,0),"")</x:f>
      </x:c>
      <x:c r="Z17" t="str">
        <x:f>IF(ISNUMBER(T17),"Cost captured","Awaiting trade cost")</x:f>
        <x:v>Awaiting trade cost</x:v>
      </x:c>
      <x:c r="AB17" s="36" t="str">
        <x:f>IF(ISNUMBER(Y17),ROUND(Y17*0.9,2),"")</x:f>
      </x:c>
      <x:c r="AC17" s="36" t="str">
        <x:f>IF(ISNUMBER(AB17),ROUND(AB17-(AB17*0.015+0.2)-V17,2),"")</x:f>
      </x:c>
      <x:c r="AD17" s="36" t="str">
        <x:f>IF(ISNUMBER(Y17),ROUND(Y17*0.8,2),"")</x:f>
      </x:c>
      <x:c r="AE17" s="36" t="str">
        <x:f>IF(ISNUMBER(AD17),ROUND(AD17*0.015+0.2,2),"")</x:f>
      </x:c>
      <x:c r="AF17" s="36" t="str">
        <x:f>IF(ISNUMBER(AD17),ROUND(AD17-AE17-V17,2),"")</x:f>
      </x:c>
      <x:c r="AG17" t="str">
        <x:f>IF(NOT(ISNUMBER(T17)),"PENDING",IF(AF17&gt;0,"PASS","FAIL"))</x:f>
        <x:v>PENDING</x:v>
      </x:c>
      <x:c r="AH17" t="str">
        <x:f>IF(NOT(ISNUMBER(T17)),"Needs supplier cost",IF(K17&lt;&gt;"In stock","Supplier unavailable",IF(AG17&lt;&gt;"PASS","BLOCK - GT loss risk","Commercially protected")))</x:f>
        <x:v>Needs supplier cost</x:v>
      </x:c>
      <x:c r="AI17" t="str">
        <x:v>2026-09-10 Active Sports trade capture</x:v>
      </x:c>
      <x:c r="AJ17" t="str">
        <x:v>Management-only economics. Stripe stress test uses 1.5% + £0.20 standard UK online-card fee; pallet/mix-and-match pricing ignored.</x:v>
      </x:c>
    </x:row>
    <x:row r="18">
      <x:c r="A18" s="10" t="str">
        <x:v>Active Sports Nutrition</x:v>
      </x:c>
      <x:c r="B18" s="10" t="str">
        <x:v>Applied Nutrition</x:v>
      </x:c>
      <x:c r="C18" s="10" t="str">
        <x:v>Beef-XP Clear Beef Protein Isolate</x:v>
      </x:c>
      <x:c r="D18" s="10" t="str">
        <x:v>Supplements</x:v>
      </x:c>
      <x:c r="E18" s="10" t="str">
        <x:v>Protein Blends</x:v>
      </x:c>
      <x:c r="F18" s="10" t="str">
        <x:v>Dairy-free hydrolysed beef protein isolate; over 27g protein per serving.</x:v>
      </x:c>
      <x:c r="G18" s="10" t="str">
        <x:v>1.8kg</x:v>
      </x:c>
      <x:c r="H18" s="10" t="str">
        <x:v>Tropical Vibes</x:v>
      </x:c>
      <x:c r="I18" s="10" t="str"/>
      <x:c r="J18" s="10" t="str">
        <x:v>Unit</x:v>
      </x:c>
      <x:c r="K18" s="10" t="str">
        <x:v>In stock</x:v>
      </x:c>
      <x:c r="L18" s="10" t="str">
        <x:v>2026-09-08</x:v>
      </x:c>
      <x:c r="M18" s="10" t="str"/>
      <x:c r="N18" s="10" t="str"/>
      <x:c r="O18" s="10" t="str">
        <x:v>https://www.activesportstrade.co.uk/applied-nutrition-trade</x:v>
      </x:c>
      <x:c r="P18" s="10" t="str">
        <x:v>Supplier free-gift wording removed from canonical product.</x:v>
      </x:c>
      <x:c r="S18" t="str">
        <x:v>Pending genuine supplier/brand image</x:v>
      </x:c>
      <x:c r="T18" s="54"/>
      <x:c r="U18" s="47" t="n">
        <x:v>0.2</x:v>
      </x:c>
      <x:c r="V18" s="54" t="str">
        <x:f>IF(ISNUMBER(T18),T18*(1+U18),"")</x:f>
      </x:c>
      <x:c r="W18" s="47" t="n">
        <x:v>0.3</x:v>
      </x:c>
      <x:c r="X18" s="54" t="str">
        <x:f>IF(ISNUMBER(V18),V18/(1-W18),"")</x:f>
      </x:c>
      <x:c r="Y18" s="55" t="str">
        <x:f>IF(ISNUMBER(X18),ROUNDUP(X18,0),"")</x:f>
      </x:c>
      <x:c r="Z18" t="str">
        <x:f>IF(ISNUMBER(T18),"Cost captured","Awaiting trade cost")</x:f>
        <x:v>Awaiting trade cost</x:v>
      </x:c>
      <x:c r="AB18" s="36" t="str">
        <x:f>IF(ISNUMBER(Y18),ROUND(Y18*0.9,2),"")</x:f>
      </x:c>
      <x:c r="AC18" s="36" t="str">
        <x:f>IF(ISNUMBER(AB18),ROUND(AB18-(AB18*0.015+0.2)-V18,2),"")</x:f>
      </x:c>
      <x:c r="AD18" s="36" t="str">
        <x:f>IF(ISNUMBER(Y18),ROUND(Y18*0.8,2),"")</x:f>
      </x:c>
      <x:c r="AE18" s="36" t="str">
        <x:f>IF(ISNUMBER(AD18),ROUND(AD18*0.015+0.2,2),"")</x:f>
      </x:c>
      <x:c r="AF18" s="36" t="str">
        <x:f>IF(ISNUMBER(AD18),ROUND(AD18-AE18-V18,2),"")</x:f>
      </x:c>
      <x:c r="AG18" t="str">
        <x:f>IF(NOT(ISNUMBER(T18)),"PENDING",IF(AF18&gt;0,"PASS","FAIL"))</x:f>
        <x:v>PENDING</x:v>
      </x:c>
      <x:c r="AH18" t="str">
        <x:f>IF(NOT(ISNUMBER(T18)),"Needs supplier cost",IF(K18&lt;&gt;"In stock","Supplier unavailable",IF(AG18&lt;&gt;"PASS","BLOCK - GT loss risk","Commercially protected")))</x:f>
        <x:v>Needs supplier cost</x:v>
      </x:c>
      <x:c r="AI18" t="str">
        <x:v>2026-09-10 Active Sports trade capture</x:v>
      </x:c>
      <x:c r="AJ18" t="str">
        <x:v>Management-only economics. Stripe stress test uses 1.5% + £0.20 standard UK online-card fee; pallet/mix-and-match pricing ignored.</x:v>
      </x:c>
    </x:row>
    <x:row r="19">
      <x:c r="A19" s="10" t="str">
        <x:v>Active Sports Nutrition</x:v>
      </x:c>
      <x:c r="B19" s="10" t="str">
        <x:v>Applied Nutrition</x:v>
      </x:c>
      <x:c r="C19" s="10" t="str">
        <x:v>Beef-XP Clear Beef Protein Isolate</x:v>
      </x:c>
      <x:c r="D19" s="10" t="str">
        <x:v>Supplements</x:v>
      </x:c>
      <x:c r="E19" s="10" t="str">
        <x:v>Protein Blends</x:v>
      </x:c>
      <x:c r="F19" s="10" t="str">
        <x:v>Dairy-free hydrolysed beef protein isolate; over 27g protein per serving.</x:v>
      </x:c>
      <x:c r="G19" s="10" t="str">
        <x:v>30g single serving sachet</x:v>
      </x:c>
      <x:c r="H19" s="10" t="str">
        <x:v>Blue Raspberry</x:v>
      </x:c>
      <x:c r="I19" s="10" t="str"/>
      <x:c r="J19" s="10" t="str">
        <x:v>Unit</x:v>
      </x:c>
      <x:c r="K19" s="10" t="str">
        <x:v>Out of stock</x:v>
      </x:c>
      <x:c r="L19" s="10" t="str">
        <x:v>2026-09-08</x:v>
      </x:c>
      <x:c r="M19" s="10" t="str"/>
      <x:c r="N19" s="10" t="str"/>
      <x:c r="O19" s="10" t="str">
        <x:v>https://www.activesportstrade.co.uk/applied-nutrition-trade</x:v>
      </x:c>
      <x:c r="P19" s="10" t="str"/>
      <x:c r="S19" t="str">
        <x:v>Pending genuine supplier/brand image</x:v>
      </x:c>
      <x:c r="T19" s="54" t="n">
        <x:v>0.87</x:v>
      </x:c>
      <x:c r="U19" s="47" t="n">
        <x:v>0.2</x:v>
      </x:c>
      <x:c r="V19" s="54" t="n">
        <x:f>IF(ISNUMBER(T19),T19*(1+U19),"")</x:f>
        <x:v>1.044</x:v>
      </x:c>
      <x:c r="W19" s="47" t="n">
        <x:v>0.3</x:v>
      </x:c>
      <x:c r="X19" s="54" t="n">
        <x:f>IF(ISNUMBER(V19),V19/(1-W19),"")</x:f>
        <x:v>1.4914285714285715</x:v>
      </x:c>
      <x:c r="Y19" s="55" t="n">
        <x:f>IF(ISNUMBER(X19),ROUNDUP(X19,0),"")</x:f>
        <x:v>2</x:v>
      </x:c>
      <x:c r="Z19" t="str">
        <x:v>Source match pending</x:v>
      </x:c>
      <x:c r="AA19" t="str">
        <x:v>screencapture-www-activesportstrade-co-uk-applied-nutrition-trade-2026-09-10-08_59_59.pdf / page-04</x:v>
      </x:c>
      <x:c r="AB19" s="36" t="n">
        <x:f>IF(ISNUMBER(Y19),ROUND(Y19*0.9,2),"")</x:f>
        <x:v>1.8</x:v>
      </x:c>
      <x:c r="AC19" s="36" t="n">
        <x:f>IF(ISNUMBER(AB19),ROUND(AB19-(AB19*0.015+0.2)-V19,2),"")</x:f>
        <x:v>0.53</x:v>
      </x:c>
      <x:c r="AD19" s="36" t="n">
        <x:f>IF(ISNUMBER(Y19),ROUND(Y19*0.8,2),"")</x:f>
        <x:v>1.6</x:v>
      </x:c>
      <x:c r="AE19" s="36" t="n">
        <x:f>IF(ISNUMBER(AD19),ROUND(AD19*0.015+0.2,2),"")</x:f>
        <x:v>0.22</x:v>
      </x:c>
      <x:c r="AF19" s="36" t="n">
        <x:f>IF(ISNUMBER(AD19),ROUND(AD19-AE19-V19,2),"")</x:f>
        <x:v>0.34</x:v>
      </x:c>
      <x:c r="AG19" t="str">
        <x:f>IF(NOT(ISNUMBER(T19)),"PENDING",IF(AF19&gt;0,"PASS","FAIL"))</x:f>
        <x:v>PASS</x:v>
      </x:c>
      <x:c r="AH19" t="str">
        <x:f>IF(NOT(ISNUMBER(T19)),"Needs supplier cost",IF(K19&lt;&gt;"In stock","Supplier unavailable",IF(AG19&lt;&gt;"PASS","BLOCK - GT loss risk","Commercially protected")))</x:f>
        <x:v>Supplier unavailable</x:v>
      </x:c>
      <x:c r="AI19" t="str">
        <x:v>2026-09-10 Active Sports trade capture</x:v>
      </x:c>
      <x:c r="AJ19" t="str">
        <x:v>Management-only economics. Stripe stress test uses 1.5% + £0.20 standard UK online-card fee; pallet/mix-and-match pricing ignored.</x:v>
      </x:c>
    </x:row>
    <x:row r="20">
      <x:c r="A20" s="10" t="str">
        <x:v>Active Sports Nutrition</x:v>
      </x:c>
      <x:c r="B20" s="10" t="str">
        <x:v>Applied Nutrition</x:v>
      </x:c>
      <x:c r="C20" s="10" t="str">
        <x:v>Beef-XP Clear Beef Protein Isolate</x:v>
      </x:c>
      <x:c r="D20" s="10" t="str">
        <x:v>Supplements</x:v>
      </x:c>
      <x:c r="E20" s="10" t="str">
        <x:v>Protein Blends</x:v>
      </x:c>
      <x:c r="F20" s="10" t="str">
        <x:v>Dairy-free hydrolysed beef protein isolate; over 27g protein per serving.</x:v>
      </x:c>
      <x:c r="G20" s="10" t="str">
        <x:v>30g single serving sachet</x:v>
      </x:c>
      <x:c r="H20" s="10" t="str">
        <x:v>Millions Blackcurrant</x:v>
      </x:c>
      <x:c r="I20" s="10" t="str"/>
      <x:c r="J20" s="10" t="str">
        <x:v>Unit</x:v>
      </x:c>
      <x:c r="K20" s="10" t="str">
        <x:v>In stock</x:v>
      </x:c>
      <x:c r="L20" s="10" t="str">
        <x:v>2026-09-08</x:v>
      </x:c>
      <x:c r="M20" s="10" t="str"/>
      <x:c r="N20" s="10" t="str"/>
      <x:c r="O20" s="10" t="str">
        <x:v>https://www.activesportstrade.co.uk/applied-nutrition-trade</x:v>
      </x:c>
      <x:c r="P20" s="10" t="str"/>
      <x:c r="S20" t="str">
        <x:v>Pending genuine supplier/brand image</x:v>
      </x:c>
      <x:c r="T20" s="54" t="n">
        <x:v>0.87</x:v>
      </x:c>
      <x:c r="U20" s="47" t="n">
        <x:v>0.2</x:v>
      </x:c>
      <x:c r="V20" s="54" t="n">
        <x:f>IF(ISNUMBER(T20),T20*(1+U20),"")</x:f>
        <x:v>1.044</x:v>
      </x:c>
      <x:c r="W20" s="47" t="n">
        <x:v>0.3</x:v>
      </x:c>
      <x:c r="X20" s="54" t="n">
        <x:f>IF(ISNUMBER(V20),V20/(1-W20),"")</x:f>
        <x:v>1.4914285714285715</x:v>
      </x:c>
      <x:c r="Y20" s="55" t="n">
        <x:f>IF(ISNUMBER(X20),ROUNDUP(X20,0),"")</x:f>
        <x:v>2</x:v>
      </x:c>
      <x:c r="Z20" t="str">
        <x:v>Source match pending</x:v>
      </x:c>
      <x:c r="AA20" t="str">
        <x:v>screencapture-www-activesportstrade-co-uk-applied-nutrition-trade-2026-09-10-08_59_59.pdf / page-04</x:v>
      </x:c>
      <x:c r="AB20" s="36" t="n">
        <x:f>IF(ISNUMBER(Y20),ROUND(Y20*0.9,2),"")</x:f>
        <x:v>1.8</x:v>
      </x:c>
      <x:c r="AC20" s="36" t="n">
        <x:f>IF(ISNUMBER(AB20),ROUND(AB20-(AB20*0.015+0.2)-V20,2),"")</x:f>
        <x:v>0.53</x:v>
      </x:c>
      <x:c r="AD20" s="36" t="n">
        <x:f>IF(ISNUMBER(Y20),ROUND(Y20*0.8,2),"")</x:f>
        <x:v>1.6</x:v>
      </x:c>
      <x:c r="AE20" s="36" t="n">
        <x:f>IF(ISNUMBER(AD20),ROUND(AD20*0.015+0.2,2),"")</x:f>
        <x:v>0.22</x:v>
      </x:c>
      <x:c r="AF20" s="36" t="n">
        <x:f>IF(ISNUMBER(AD20),ROUND(AD20-AE20-V20,2),"")</x:f>
        <x:v>0.34</x:v>
      </x:c>
      <x:c r="AG20" t="str">
        <x:f>IF(NOT(ISNUMBER(T20)),"PENDING",IF(AF20&gt;0,"PASS","FAIL"))</x:f>
        <x:v>PASS</x:v>
      </x:c>
      <x:c r="AH20" t="str">
        <x:f>IF(NOT(ISNUMBER(T20)),"Needs supplier cost",IF(K20&lt;&gt;"In stock","Supplier unavailable",IF(AG20&lt;&gt;"PASS","BLOCK - GT loss risk","Commercially protected")))</x:f>
        <x:v>Commercially protected</x:v>
      </x:c>
      <x:c r="AI20" t="str">
        <x:v>2026-09-10 Active Sports trade capture</x:v>
      </x:c>
      <x:c r="AJ20" t="str">
        <x:v>Management-only economics. Stripe stress test uses 1.5% + £0.20 standard UK online-card fee; pallet/mix-and-match pricing ignored.</x:v>
      </x:c>
    </x:row>
    <x:row r="21">
      <x:c r="A21" s="10" t="str">
        <x:v>Active Sports Nutrition</x:v>
      </x:c>
      <x:c r="B21" s="10" t="str">
        <x:v>Applied Nutrition</x:v>
      </x:c>
      <x:c r="C21" s="10" t="str">
        <x:v>Beef-XP Clear Beef Protein Isolate</x:v>
      </x:c>
      <x:c r="D21" s="10" t="str">
        <x:v>Supplements</x:v>
      </x:c>
      <x:c r="E21" s="10" t="str">
        <x:v>Protein Blends</x:v>
      </x:c>
      <x:c r="F21" s="10" t="str">
        <x:v>Dairy-free hydrolysed beef protein isolate; over 27g protein per serving.</x:v>
      </x:c>
      <x:c r="G21" s="10" t="str">
        <x:v>30g single serving sachet</x:v>
      </x:c>
      <x:c r="H21" s="10" t="str">
        <x:v>Millions Cola</x:v>
      </x:c>
      <x:c r="I21" s="10" t="str"/>
      <x:c r="J21" s="10" t="str">
        <x:v>Unit</x:v>
      </x:c>
      <x:c r="K21" s="10" t="str">
        <x:v>In stock</x:v>
      </x:c>
      <x:c r="L21" s="10" t="str">
        <x:v>2026-09-08</x:v>
      </x:c>
      <x:c r="M21" s="10" t="str"/>
      <x:c r="N21" s="10" t="str"/>
      <x:c r="O21" s="10" t="str">
        <x:v>https://www.activesportstrade.co.uk/applied-nutrition-trade</x:v>
      </x:c>
      <x:c r="P21" s="10" t="str"/>
      <x:c r="S21" t="str">
        <x:v>Pending genuine supplier/brand image</x:v>
      </x:c>
      <x:c r="T21" s="54" t="n">
        <x:v>0.87</x:v>
      </x:c>
      <x:c r="U21" s="47" t="n">
        <x:v>0.2</x:v>
      </x:c>
      <x:c r="V21" s="54" t="n">
        <x:f>IF(ISNUMBER(T21),T21*(1+U21),"")</x:f>
        <x:v>1.044</x:v>
      </x:c>
      <x:c r="W21" s="47" t="n">
        <x:v>0.3</x:v>
      </x:c>
      <x:c r="X21" s="54" t="n">
        <x:f>IF(ISNUMBER(V21),V21/(1-W21),"")</x:f>
        <x:v>1.4914285714285715</x:v>
      </x:c>
      <x:c r="Y21" s="55" t="n">
        <x:f>IF(ISNUMBER(X21),ROUNDUP(X21,0),"")</x:f>
        <x:v>2</x:v>
      </x:c>
      <x:c r="Z21" t="str">
        <x:v>Source match pending</x:v>
      </x:c>
      <x:c r="AA21" t="str">
        <x:v>screencapture-www-activesportstrade-co-uk-applied-nutrition-trade-2026-09-10-08_59_59.pdf / page-04</x:v>
      </x:c>
      <x:c r="AB21" s="36" t="n">
        <x:f>IF(ISNUMBER(Y21),ROUND(Y21*0.9,2),"")</x:f>
        <x:v>1.8</x:v>
      </x:c>
      <x:c r="AC21" s="36" t="n">
        <x:f>IF(ISNUMBER(AB21),ROUND(AB21-(AB21*0.015+0.2)-V21,2),"")</x:f>
        <x:v>0.53</x:v>
      </x:c>
      <x:c r="AD21" s="36" t="n">
        <x:f>IF(ISNUMBER(Y21),ROUND(Y21*0.8,2),"")</x:f>
        <x:v>1.6</x:v>
      </x:c>
      <x:c r="AE21" s="36" t="n">
        <x:f>IF(ISNUMBER(AD21),ROUND(AD21*0.015+0.2,2),"")</x:f>
        <x:v>0.22</x:v>
      </x:c>
      <x:c r="AF21" s="36" t="n">
        <x:f>IF(ISNUMBER(AD21),ROUND(AD21-AE21-V21,2),"")</x:f>
        <x:v>0.34</x:v>
      </x:c>
      <x:c r="AG21" t="str">
        <x:f>IF(NOT(ISNUMBER(T21)),"PENDING",IF(AF21&gt;0,"PASS","FAIL"))</x:f>
        <x:v>PASS</x:v>
      </x:c>
      <x:c r="AH21" t="str">
        <x:f>IF(NOT(ISNUMBER(T21)),"Needs supplier cost",IF(K21&lt;&gt;"In stock","Supplier unavailable",IF(AG21&lt;&gt;"PASS","BLOCK - GT loss risk","Commercially protected")))</x:f>
        <x:v>Commercially protected</x:v>
      </x:c>
      <x:c r="AI21" t="str">
        <x:v>2026-09-10 Active Sports trade capture</x:v>
      </x:c>
      <x:c r="AJ21" t="str">
        <x:v>Management-only economics. Stripe stress test uses 1.5% + £0.20 standard UK online-card fee; pallet/mix-and-match pricing ignored.</x:v>
      </x:c>
    </x:row>
    <x:row r="22">
      <x:c r="A22" s="10" t="str">
        <x:v>Active Sports Nutrition</x:v>
      </x:c>
      <x:c r="B22" s="10" t="str">
        <x:v>Applied Nutrition</x:v>
      </x:c>
      <x:c r="C22" s="10" t="str">
        <x:v>Beef-XP Clear Beef Protein Isolate</x:v>
      </x:c>
      <x:c r="D22" s="10" t="str">
        <x:v>Supplements</x:v>
      </x:c>
      <x:c r="E22" s="10" t="str">
        <x:v>Protein Blends</x:v>
      </x:c>
      <x:c r="F22" s="10" t="str">
        <x:v>Dairy-free hydrolysed beef protein isolate; over 27g protein per serving.</x:v>
      </x:c>
      <x:c r="G22" s="10" t="str">
        <x:v>30g single serving sachet</x:v>
      </x:c>
      <x:c r="H22" s="10" t="str">
        <x:v>Millions Pineapple</x:v>
      </x:c>
      <x:c r="I22" s="10" t="str"/>
      <x:c r="J22" s="10" t="str">
        <x:v>Unit</x:v>
      </x:c>
      <x:c r="K22" s="10" t="str">
        <x:v>In stock</x:v>
      </x:c>
      <x:c r="L22" s="10" t="str">
        <x:v>2026-09-08</x:v>
      </x:c>
      <x:c r="M22" s="10" t="str"/>
      <x:c r="N22" s="10" t="str"/>
      <x:c r="O22" s="10" t="str">
        <x:v>https://www.activesportstrade.co.uk/applied-nutrition-trade</x:v>
      </x:c>
      <x:c r="P22" s="10" t="str"/>
      <x:c r="S22" t="str">
        <x:v>Pending genuine supplier/brand image</x:v>
      </x:c>
      <x:c r="T22" s="54" t="n">
        <x:v>0.87</x:v>
      </x:c>
      <x:c r="U22" s="47" t="n">
        <x:v>0.2</x:v>
      </x:c>
      <x:c r="V22" s="54" t="n">
        <x:f>IF(ISNUMBER(T22),T22*(1+U22),"")</x:f>
        <x:v>1.044</x:v>
      </x:c>
      <x:c r="W22" s="47" t="n">
        <x:v>0.3</x:v>
      </x:c>
      <x:c r="X22" s="54" t="n">
        <x:f>IF(ISNUMBER(V22),V22/(1-W22),"")</x:f>
        <x:v>1.4914285714285715</x:v>
      </x:c>
      <x:c r="Y22" s="55" t="n">
        <x:f>IF(ISNUMBER(X22),ROUNDUP(X22,0),"")</x:f>
        <x:v>2</x:v>
      </x:c>
      <x:c r="Z22" t="str">
        <x:v>Source match pending</x:v>
      </x:c>
      <x:c r="AA22" t="str">
        <x:v>screencapture-www-activesportstrade-co-uk-applied-nutrition-trade-2026-09-10-08_59_59.pdf / page-04</x:v>
      </x:c>
      <x:c r="AB22" s="36" t="n">
        <x:f>IF(ISNUMBER(Y22),ROUND(Y22*0.9,2),"")</x:f>
        <x:v>1.8</x:v>
      </x:c>
      <x:c r="AC22" s="36" t="n">
        <x:f>IF(ISNUMBER(AB22),ROUND(AB22-(AB22*0.015+0.2)-V22,2),"")</x:f>
        <x:v>0.53</x:v>
      </x:c>
      <x:c r="AD22" s="36" t="n">
        <x:f>IF(ISNUMBER(Y22),ROUND(Y22*0.8,2),"")</x:f>
        <x:v>1.6</x:v>
      </x:c>
      <x:c r="AE22" s="36" t="n">
        <x:f>IF(ISNUMBER(AD22),ROUND(AD22*0.015+0.2,2),"")</x:f>
        <x:v>0.22</x:v>
      </x:c>
      <x:c r="AF22" s="36" t="n">
        <x:f>IF(ISNUMBER(AD22),ROUND(AD22-AE22-V22,2),"")</x:f>
        <x:v>0.34</x:v>
      </x:c>
      <x:c r="AG22" t="str">
        <x:f>IF(NOT(ISNUMBER(T22)),"PENDING",IF(AF22&gt;0,"PASS","FAIL"))</x:f>
        <x:v>PASS</x:v>
      </x:c>
      <x:c r="AH22" t="str">
        <x:f>IF(NOT(ISNUMBER(T22)),"Needs supplier cost",IF(K22&lt;&gt;"In stock","Supplier unavailable",IF(AG22&lt;&gt;"PASS","BLOCK - GT loss risk","Commercially protected")))</x:f>
        <x:v>Commercially protected</x:v>
      </x:c>
      <x:c r="AI22" t="str">
        <x:v>2026-09-10 Active Sports trade capture</x:v>
      </x:c>
      <x:c r="AJ22" t="str">
        <x:v>Management-only economics. Stripe stress test uses 1.5% + £0.20 standard UK online-card fee; pallet/mix-and-match pricing ignored.</x:v>
      </x:c>
    </x:row>
    <x:row r="23">
      <x:c r="A23" s="10" t="str">
        <x:v>Active Sports Nutrition</x:v>
      </x:c>
      <x:c r="B23" s="10" t="str">
        <x:v>Applied Nutrition</x:v>
      </x:c>
      <x:c r="C23" s="10" t="str">
        <x:v>Beef-XP Clear Beef Protein Isolate</x:v>
      </x:c>
      <x:c r="D23" s="10" t="str">
        <x:v>Supplements</x:v>
      </x:c>
      <x:c r="E23" s="10" t="str">
        <x:v>Protein Blends</x:v>
      </x:c>
      <x:c r="F23" s="10" t="str">
        <x:v>Dairy-free hydrolysed beef protein isolate; over 27g protein per serving.</x:v>
      </x:c>
      <x:c r="G23" s="10" t="str">
        <x:v>30g single serving sachet</x:v>
      </x:c>
      <x:c r="H23" s="10" t="str">
        <x:v>Strawberry Raspberry</x:v>
      </x:c>
      <x:c r="I23" s="10" t="str"/>
      <x:c r="J23" s="10" t="str">
        <x:v>Unit</x:v>
      </x:c>
      <x:c r="K23" s="10" t="str">
        <x:v>In stock</x:v>
      </x:c>
      <x:c r="L23" s="10" t="str">
        <x:v>2026-09-08</x:v>
      </x:c>
      <x:c r="M23" s="10" t="str"/>
      <x:c r="N23" s="10" t="str"/>
      <x:c r="O23" s="10" t="str">
        <x:v>https://www.activesportstrade.co.uk/applied-nutrition-trade</x:v>
      </x:c>
      <x:c r="P23" s="10" t="str"/>
      <x:c r="S23" t="str">
        <x:v>Pending genuine supplier/brand image</x:v>
      </x:c>
      <x:c r="T23" s="54" t="n">
        <x:v>0.87</x:v>
      </x:c>
      <x:c r="U23" s="47" t="n">
        <x:v>0.2</x:v>
      </x:c>
      <x:c r="V23" s="54" t="n">
        <x:f>IF(ISNUMBER(T23),T23*(1+U23),"")</x:f>
        <x:v>1.044</x:v>
      </x:c>
      <x:c r="W23" s="47" t="n">
        <x:v>0.3</x:v>
      </x:c>
      <x:c r="X23" s="54" t="n">
        <x:f>IF(ISNUMBER(V23),V23/(1-W23),"")</x:f>
        <x:v>1.4914285714285715</x:v>
      </x:c>
      <x:c r="Y23" s="55" t="n">
        <x:f>IF(ISNUMBER(X23),ROUNDUP(X23,0),"")</x:f>
        <x:v>2</x:v>
      </x:c>
      <x:c r="Z23" t="str">
        <x:v>Source match pending</x:v>
      </x:c>
      <x:c r="AA23" t="str">
        <x:v>screencapture-www-activesportstrade-co-uk-applied-nutrition-trade-2026-09-10-08_59_59.pdf / page-04</x:v>
      </x:c>
      <x:c r="AB23" s="36" t="n">
        <x:f>IF(ISNUMBER(Y23),ROUND(Y23*0.9,2),"")</x:f>
        <x:v>1.8</x:v>
      </x:c>
      <x:c r="AC23" s="36" t="n">
        <x:f>IF(ISNUMBER(AB23),ROUND(AB23-(AB23*0.015+0.2)-V23,2),"")</x:f>
        <x:v>0.53</x:v>
      </x:c>
      <x:c r="AD23" s="36" t="n">
        <x:f>IF(ISNUMBER(Y23),ROUND(Y23*0.8,2),"")</x:f>
        <x:v>1.6</x:v>
      </x:c>
      <x:c r="AE23" s="36" t="n">
        <x:f>IF(ISNUMBER(AD23),ROUND(AD23*0.015+0.2,2),"")</x:f>
        <x:v>0.22</x:v>
      </x:c>
      <x:c r="AF23" s="36" t="n">
        <x:f>IF(ISNUMBER(AD23),ROUND(AD23-AE23-V23,2),"")</x:f>
        <x:v>0.34</x:v>
      </x:c>
      <x:c r="AG23" t="str">
        <x:f>IF(NOT(ISNUMBER(T23)),"PENDING",IF(AF23&gt;0,"PASS","FAIL"))</x:f>
        <x:v>PASS</x:v>
      </x:c>
      <x:c r="AH23" t="str">
        <x:f>IF(NOT(ISNUMBER(T23)),"Needs supplier cost",IF(K23&lt;&gt;"In stock","Supplier unavailable",IF(AG23&lt;&gt;"PASS","BLOCK - GT loss risk","Commercially protected")))</x:f>
        <x:v>Commercially protected</x:v>
      </x:c>
      <x:c r="AI23" t="str">
        <x:v>2026-09-10 Active Sports trade capture</x:v>
      </x:c>
      <x:c r="AJ23" t="str">
        <x:v>Management-only economics. Stripe stress test uses 1.5% + £0.20 standard UK online-card fee; pallet/mix-and-match pricing ignored.</x:v>
      </x:c>
    </x:row>
    <x:row r="24">
      <x:c r="A24" s="10" t="str">
        <x:v>Active Sports Nutrition</x:v>
      </x:c>
      <x:c r="B24" s="10" t="str">
        <x:v>Applied Nutrition</x:v>
      </x:c>
      <x:c r="C24" s="10" t="str">
        <x:v>Critical Whey</x:v>
      </x:c>
      <x:c r="D24" s="10" t="str">
        <x:v>Supplements</x:v>
      </x:c>
      <x:c r="E24" s="10" t="str">
        <x:v>Whey Protein</x:v>
      </x:c>
      <x:c r="F24" s="10" t="str">
        <x:v>Whey protein blend manufactured from high-quality ingredients.</x:v>
      </x:c>
      <x:c r="G24" s="10" t="str">
        <x:v>33g single serving sachet</x:v>
      </x:c>
      <x:c r="H24" s="10" t="str">
        <x:v>Chiquita Banana Strawberry</x:v>
      </x:c>
      <x:c r="I24" s="10" t="str"/>
      <x:c r="J24" s="10" t="str">
        <x:v>Unit</x:v>
      </x:c>
      <x:c r="K24" s="10" t="str">
        <x:v>In stock</x:v>
      </x:c>
      <x:c r="L24" s="10" t="str">
        <x:v>2026-09-08</x:v>
      </x:c>
      <x:c r="M24" s="10" t="str"/>
      <x:c r="N24" s="10" t="str"/>
      <x:c r="O24" s="10" t="str">
        <x:v>https://www.activesportstrade.co.uk/applied-nutrition-trade</x:v>
      </x:c>
      <x:c r="P24" s="10" t="str"/>
      <x:c r="S24" t="str">
        <x:v>Pending genuine supplier/brand image</x:v>
      </x:c>
      <x:c r="T24" s="54" t="n">
        <x:v>1.25</x:v>
      </x:c>
      <x:c r="U24" s="47" t="n">
        <x:v>0.2</x:v>
      </x:c>
      <x:c r="V24" s="54" t="n">
        <x:f>IF(ISNUMBER(T24),T24*(1+U24),"")</x:f>
        <x:v>1.5</x:v>
      </x:c>
      <x:c r="W24" s="47" t="n">
        <x:v>0.3</x:v>
      </x:c>
      <x:c r="X24" s="54" t="n">
        <x:f>IF(ISNUMBER(V24),V24/(1-W24),"")</x:f>
        <x:v>2.142857142857143</x:v>
      </x:c>
      <x:c r="Y24" s="55" t="n">
        <x:f>IF(ISNUMBER(X24),ROUNDUP(X24,0),"")</x:f>
        <x:v>3</x:v>
      </x:c>
      <x:c r="Z24" t="str">
        <x:v>Source match pending</x:v>
      </x:c>
      <x:c r="AA24" t="str">
        <x:v>screencapture-www-activesportstrade-co-uk-applied-nutrition-trade-2026-09-10-08_59_59.pdf / page-10</x:v>
      </x:c>
      <x:c r="AB24" s="36" t="n">
        <x:f>IF(ISNUMBER(Y24),ROUND(Y24*0.9,2),"")</x:f>
        <x:v>2.7</x:v>
      </x:c>
      <x:c r="AC24" s="36" t="n">
        <x:f>IF(ISNUMBER(AB24),ROUND(AB24-(AB24*0.015+0.2)-V24,2),"")</x:f>
        <x:v>0.96</x:v>
      </x:c>
      <x:c r="AD24" s="36" t="n">
        <x:f>IF(ISNUMBER(Y24),ROUND(Y24*0.8,2),"")</x:f>
        <x:v>2.4</x:v>
      </x:c>
      <x:c r="AE24" s="36" t="n">
        <x:f>IF(ISNUMBER(AD24),ROUND(AD24*0.015+0.2,2),"")</x:f>
        <x:v>0.24</x:v>
      </x:c>
      <x:c r="AF24" s="36" t="n">
        <x:f>IF(ISNUMBER(AD24),ROUND(AD24-AE24-V24,2),"")</x:f>
        <x:v>0.66</x:v>
      </x:c>
      <x:c r="AG24" t="str">
        <x:f>IF(NOT(ISNUMBER(T24)),"PENDING",IF(AF24&gt;0,"PASS","FAIL"))</x:f>
        <x:v>PASS</x:v>
      </x:c>
      <x:c r="AH24" t="str">
        <x:f>IF(NOT(ISNUMBER(T24)),"Needs supplier cost",IF(K24&lt;&gt;"In stock","Supplier unavailable",IF(AG24&lt;&gt;"PASS","BLOCK - GT loss risk","Commercially protected")))</x:f>
        <x:v>Commercially protected</x:v>
      </x:c>
      <x:c r="AI24" t="str">
        <x:v>2026-09-10 Active Sports trade capture</x:v>
      </x:c>
      <x:c r="AJ24" t="str">
        <x:v>Management-only economics. Stripe stress test uses 1.5% + £0.20 standard UK online-card fee; pallet/mix-and-match pricing ignored.</x:v>
      </x:c>
    </x:row>
    <x:row r="25">
      <x:c r="A25" s="10" t="str">
        <x:v>Active Sports Nutrition</x:v>
      </x:c>
      <x:c r="B25" s="10" t="str">
        <x:v>Applied Nutrition</x:v>
      </x:c>
      <x:c r="C25" s="10" t="str">
        <x:v>Critical Whey</x:v>
      </x:c>
      <x:c r="D25" s="10" t="str">
        <x:v>Supplements</x:v>
      </x:c>
      <x:c r="E25" s="10" t="str">
        <x:v>Whey Protein</x:v>
      </x:c>
      <x:c r="F25" s="10" t="str">
        <x:v>Whey protein blend manufactured from high-quality ingredients.</x:v>
      </x:c>
      <x:c r="G25" s="10" t="str">
        <x:v>33g single serving sachet</x:v>
      </x:c>
      <x:c r="H25" s="10" t="str">
        <x:v>Chocolate Milkshake</x:v>
      </x:c>
      <x:c r="I25" s="10" t="str"/>
      <x:c r="J25" s="10" t="str">
        <x:v>Unit</x:v>
      </x:c>
      <x:c r="K25" s="10" t="str">
        <x:v>In stock</x:v>
      </x:c>
      <x:c r="L25" s="10" t="str">
        <x:v>2026-09-08</x:v>
      </x:c>
      <x:c r="M25" s="10" t="str"/>
      <x:c r="N25" s="10" t="str"/>
      <x:c r="O25" s="10" t="str">
        <x:v>https://www.activesportstrade.co.uk/applied-nutrition-trade</x:v>
      </x:c>
      <x:c r="P25" s="10" t="str"/>
      <x:c r="S25" t="str">
        <x:v>Pending genuine supplier/brand image</x:v>
      </x:c>
      <x:c r="T25" s="54" t="n">
        <x:v>1.25</x:v>
      </x:c>
      <x:c r="U25" s="47" t="n">
        <x:v>0.2</x:v>
      </x:c>
      <x:c r="V25" s="54" t="n">
        <x:f>IF(ISNUMBER(T25),T25*(1+U25),"")</x:f>
        <x:v>1.5</x:v>
      </x:c>
      <x:c r="W25" s="47" t="n">
        <x:v>0.3</x:v>
      </x:c>
      <x:c r="X25" s="54" t="n">
        <x:f>IF(ISNUMBER(V25),V25/(1-W25),"")</x:f>
        <x:v>2.142857142857143</x:v>
      </x:c>
      <x:c r="Y25" s="55" t="n">
        <x:f>IF(ISNUMBER(X25),ROUNDUP(X25,0),"")</x:f>
        <x:v>3</x:v>
      </x:c>
      <x:c r="Z25" t="str">
        <x:v>Source match pending</x:v>
      </x:c>
      <x:c r="AA25" t="str">
        <x:v>screencapture-www-activesportstrade-co-uk-applied-nutrition-trade-2026-09-10-08_59_59.pdf / page-10</x:v>
      </x:c>
      <x:c r="AB25" s="36" t="n">
        <x:f>IF(ISNUMBER(Y25),ROUND(Y25*0.9,2),"")</x:f>
        <x:v>2.7</x:v>
      </x:c>
      <x:c r="AC25" s="36" t="n">
        <x:f>IF(ISNUMBER(AB25),ROUND(AB25-(AB25*0.015+0.2)-V25,2),"")</x:f>
        <x:v>0.96</x:v>
      </x:c>
      <x:c r="AD25" s="36" t="n">
        <x:f>IF(ISNUMBER(Y25),ROUND(Y25*0.8,2),"")</x:f>
        <x:v>2.4</x:v>
      </x:c>
      <x:c r="AE25" s="36" t="n">
        <x:f>IF(ISNUMBER(AD25),ROUND(AD25*0.015+0.2,2),"")</x:f>
        <x:v>0.24</x:v>
      </x:c>
      <x:c r="AF25" s="36" t="n">
        <x:f>IF(ISNUMBER(AD25),ROUND(AD25-AE25-V25,2),"")</x:f>
        <x:v>0.66</x:v>
      </x:c>
      <x:c r="AG25" t="str">
        <x:f>IF(NOT(ISNUMBER(T25)),"PENDING",IF(AF25&gt;0,"PASS","FAIL"))</x:f>
        <x:v>PASS</x:v>
      </x:c>
      <x:c r="AH25" t="str">
        <x:f>IF(NOT(ISNUMBER(T25)),"Needs supplier cost",IF(K25&lt;&gt;"In stock","Supplier unavailable",IF(AG25&lt;&gt;"PASS","BLOCK - GT loss risk","Commercially protected")))</x:f>
        <x:v>Commercially protected</x:v>
      </x:c>
      <x:c r="AI25" t="str">
        <x:v>2026-09-10 Active Sports trade capture</x:v>
      </x:c>
      <x:c r="AJ25" t="str">
        <x:v>Management-only economics. Stripe stress test uses 1.5% + £0.20 standard UK online-card fee; pallet/mix-and-match pricing ignored.</x:v>
      </x:c>
    </x:row>
    <x:row r="26">
      <x:c r="A26" s="10" t="str">
        <x:v>Active Sports Nutrition</x:v>
      </x:c>
      <x:c r="B26" s="10" t="str">
        <x:v>Applied Nutrition</x:v>
      </x:c>
      <x:c r="C26" s="10" t="str">
        <x:v>Critical Whey</x:v>
      </x:c>
      <x:c r="D26" s="10" t="str">
        <x:v>Supplements</x:v>
      </x:c>
      <x:c r="E26" s="10" t="str">
        <x:v>Whey Protein</x:v>
      </x:c>
      <x:c r="F26" s="10" t="str">
        <x:v>Whey protein blend manufactured from high-quality ingredients.</x:v>
      </x:c>
      <x:c r="G26" s="10" t="str">
        <x:v>33g single serving sachet</x:v>
      </x:c>
      <x:c r="H26" s="10" t="str">
        <x:v>Frappuccino</x:v>
      </x:c>
      <x:c r="I26" s="10" t="str"/>
      <x:c r="J26" s="10" t="str">
        <x:v>Unit</x:v>
      </x:c>
      <x:c r="K26" s="10" t="str">
        <x:v>In stock</x:v>
      </x:c>
      <x:c r="L26" s="10" t="str">
        <x:v>2026-09-08</x:v>
      </x:c>
      <x:c r="M26" s="10" t="str"/>
      <x:c r="N26" s="10" t="str"/>
      <x:c r="O26" s="10" t="str">
        <x:v>https://www.activesportstrade.co.uk/applied-nutrition-trade</x:v>
      </x:c>
      <x:c r="P26" s="10" t="str"/>
      <x:c r="S26" t="str">
        <x:v>Pending genuine supplier/brand image</x:v>
      </x:c>
      <x:c r="T26" s="54" t="n">
        <x:v>1.25</x:v>
      </x:c>
      <x:c r="U26" s="47" t="n">
        <x:v>0.2</x:v>
      </x:c>
      <x:c r="V26" s="54" t="n">
        <x:f>IF(ISNUMBER(T26),T26*(1+U26),"")</x:f>
        <x:v>1.5</x:v>
      </x:c>
      <x:c r="W26" s="47" t="n">
        <x:v>0.3</x:v>
      </x:c>
      <x:c r="X26" s="54" t="n">
        <x:f>IF(ISNUMBER(V26),V26/(1-W26),"")</x:f>
        <x:v>2.142857142857143</x:v>
      </x:c>
      <x:c r="Y26" s="55" t="n">
        <x:f>IF(ISNUMBER(X26),ROUNDUP(X26,0),"")</x:f>
        <x:v>3</x:v>
      </x:c>
      <x:c r="Z26" t="str">
        <x:v>Source match pending</x:v>
      </x:c>
      <x:c r="AA26" t="str">
        <x:v>screencapture-www-activesportstrade-co-uk-applied-nutrition-trade-2026-09-10-08_59_59.pdf / page-10</x:v>
      </x:c>
      <x:c r="AB26" s="36" t="n">
        <x:f>IF(ISNUMBER(Y26),ROUND(Y26*0.9,2),"")</x:f>
        <x:v>2.7</x:v>
      </x:c>
      <x:c r="AC26" s="36" t="n">
        <x:f>IF(ISNUMBER(AB26),ROUND(AB26-(AB26*0.015+0.2)-V26,2),"")</x:f>
        <x:v>0.96</x:v>
      </x:c>
      <x:c r="AD26" s="36" t="n">
        <x:f>IF(ISNUMBER(Y26),ROUND(Y26*0.8,2),"")</x:f>
        <x:v>2.4</x:v>
      </x:c>
      <x:c r="AE26" s="36" t="n">
        <x:f>IF(ISNUMBER(AD26),ROUND(AD26*0.015+0.2,2),"")</x:f>
        <x:v>0.24</x:v>
      </x:c>
      <x:c r="AF26" s="36" t="n">
        <x:f>IF(ISNUMBER(AD26),ROUND(AD26-AE26-V26,2),"")</x:f>
        <x:v>0.66</x:v>
      </x:c>
      <x:c r="AG26" t="str">
        <x:f>IF(NOT(ISNUMBER(T26)),"PENDING",IF(AF26&gt;0,"PASS","FAIL"))</x:f>
        <x:v>PASS</x:v>
      </x:c>
      <x:c r="AH26" t="str">
        <x:f>IF(NOT(ISNUMBER(T26)),"Needs supplier cost",IF(K26&lt;&gt;"In stock","Supplier unavailable",IF(AG26&lt;&gt;"PASS","BLOCK - GT loss risk","Commercially protected")))</x:f>
        <x:v>Commercially protected</x:v>
      </x:c>
      <x:c r="AI26" t="str">
        <x:v>2026-09-10 Active Sports trade capture</x:v>
      </x:c>
      <x:c r="AJ26" t="str">
        <x:v>Management-only economics. Stripe stress test uses 1.5% + £0.20 standard UK online-card fee; pallet/mix-and-match pricing ignored.</x:v>
      </x:c>
    </x:row>
    <x:row r="27">
      <x:c r="A27" s="10" t="str">
        <x:v>Active Sports Nutrition</x:v>
      </x:c>
      <x:c r="B27" s="10" t="str">
        <x:v>Applied Nutrition</x:v>
      </x:c>
      <x:c r="C27" s="10" t="str">
        <x:v>Critical Whey</x:v>
      </x:c>
      <x:c r="D27" s="10" t="str">
        <x:v>Supplements</x:v>
      </x:c>
      <x:c r="E27" s="10" t="str">
        <x:v>Whey Protein</x:v>
      </x:c>
      <x:c r="F27" s="10" t="str">
        <x:v>Whey protein blend manufactured from high-quality ingredients.</x:v>
      </x:c>
      <x:c r="G27" s="10" t="str">
        <x:v>33g single serving sachet</x:v>
      </x:c>
      <x:c r="H27" s="10" t="str">
        <x:v>Strawberry Milkshake</x:v>
      </x:c>
      <x:c r="I27" s="10" t="str"/>
      <x:c r="J27" s="10" t="str">
        <x:v>Unit</x:v>
      </x:c>
      <x:c r="K27" s="10" t="str">
        <x:v>In stock</x:v>
      </x:c>
      <x:c r="L27" s="10" t="str">
        <x:v>2026-09-08</x:v>
      </x:c>
      <x:c r="M27" s="10" t="str"/>
      <x:c r="N27" s="10" t="str"/>
      <x:c r="O27" s="10" t="str">
        <x:v>https://www.activesportstrade.co.uk/applied-nutrition-trade</x:v>
      </x:c>
      <x:c r="P27" s="10" t="str"/>
      <x:c r="S27" t="str">
        <x:v>Pending genuine supplier/brand image</x:v>
      </x:c>
      <x:c r="T27" s="54" t="n">
        <x:v>1.25</x:v>
      </x:c>
      <x:c r="U27" s="47" t="n">
        <x:v>0.2</x:v>
      </x:c>
      <x:c r="V27" s="54" t="n">
        <x:f>IF(ISNUMBER(T27),T27*(1+U27),"")</x:f>
        <x:v>1.5</x:v>
      </x:c>
      <x:c r="W27" s="47" t="n">
        <x:v>0.3</x:v>
      </x:c>
      <x:c r="X27" s="54" t="n">
        <x:f>IF(ISNUMBER(V27),V27/(1-W27),"")</x:f>
        <x:v>2.142857142857143</x:v>
      </x:c>
      <x:c r="Y27" s="55" t="n">
        <x:f>IF(ISNUMBER(X27),ROUNDUP(X27,0),"")</x:f>
        <x:v>3</x:v>
      </x:c>
      <x:c r="Z27" t="str">
        <x:v>Source match pending</x:v>
      </x:c>
      <x:c r="AA27" t="str">
        <x:v>screencapture-www-activesportstrade-co-uk-applied-nutrition-trade-2026-09-10-08_59_59.pdf / page-10</x:v>
      </x:c>
      <x:c r="AB27" s="36" t="n">
        <x:f>IF(ISNUMBER(Y27),ROUND(Y27*0.9,2),"")</x:f>
        <x:v>2.7</x:v>
      </x:c>
      <x:c r="AC27" s="36" t="n">
        <x:f>IF(ISNUMBER(AB27),ROUND(AB27-(AB27*0.015+0.2)-V27,2),"")</x:f>
        <x:v>0.96</x:v>
      </x:c>
      <x:c r="AD27" s="36" t="n">
        <x:f>IF(ISNUMBER(Y27),ROUND(Y27*0.8,2),"")</x:f>
        <x:v>2.4</x:v>
      </x:c>
      <x:c r="AE27" s="36" t="n">
        <x:f>IF(ISNUMBER(AD27),ROUND(AD27*0.015+0.2,2),"")</x:f>
        <x:v>0.24</x:v>
      </x:c>
      <x:c r="AF27" s="36" t="n">
        <x:f>IF(ISNUMBER(AD27),ROUND(AD27-AE27-V27,2),"")</x:f>
        <x:v>0.66</x:v>
      </x:c>
      <x:c r="AG27" t="str">
        <x:f>IF(NOT(ISNUMBER(T27)),"PENDING",IF(AF27&gt;0,"PASS","FAIL"))</x:f>
        <x:v>PASS</x:v>
      </x:c>
      <x:c r="AH27" t="str">
        <x:f>IF(NOT(ISNUMBER(T27)),"Needs supplier cost",IF(K27&lt;&gt;"In stock","Supplier unavailable",IF(AG27&lt;&gt;"PASS","BLOCK - GT loss risk","Commercially protected")))</x:f>
        <x:v>Commercially protected</x:v>
      </x:c>
      <x:c r="AI27" t="str">
        <x:v>2026-09-10 Active Sports trade capture</x:v>
      </x:c>
      <x:c r="AJ27" t="str">
        <x:v>Management-only economics. Stripe stress test uses 1.5% + £0.20 standard UK online-card fee; pallet/mix-and-match pricing ignored.</x:v>
      </x:c>
    </x:row>
    <x:row r="28">
      <x:c r="A28" s="10" t="str">
        <x:v>Active Sports Nutrition</x:v>
      </x:c>
      <x:c r="B28" s="10" t="str">
        <x:v>Applied Nutrition</x:v>
      </x:c>
      <x:c r="C28" s="10" t="str">
        <x:v>Critical Whey</x:v>
      </x:c>
      <x:c r="D28" s="10" t="str">
        <x:v>Supplements</x:v>
      </x:c>
      <x:c r="E28" s="10" t="str">
        <x:v>Whey Protein</x:v>
      </x:c>
      <x:c r="F28" s="10" t="str">
        <x:v>Whey protein blend manufactured from high-quality ingredients.</x:v>
      </x:c>
      <x:c r="G28" s="10" t="str">
        <x:v>33g single serving sachet</x:v>
      </x:c>
      <x:c r="H28" s="10" t="str">
        <x:v>Vanilla Ice Cream</x:v>
      </x:c>
      <x:c r="I28" s="10" t="str"/>
      <x:c r="J28" s="10" t="str">
        <x:v>Unit</x:v>
      </x:c>
      <x:c r="K28" s="10" t="str">
        <x:v>In stock</x:v>
      </x:c>
      <x:c r="L28" s="10" t="str">
        <x:v>2026-09-08</x:v>
      </x:c>
      <x:c r="M28" s="10" t="str"/>
      <x:c r="N28" s="10" t="str"/>
      <x:c r="O28" s="10" t="str">
        <x:v>https://www.activesportstrade.co.uk/applied-nutrition-trade</x:v>
      </x:c>
      <x:c r="P28" s="10" t="str"/>
      <x:c r="S28" t="str">
        <x:v>Pending genuine supplier/brand image</x:v>
      </x:c>
      <x:c r="T28" s="54" t="n">
        <x:v>1.25</x:v>
      </x:c>
      <x:c r="U28" s="47" t="n">
        <x:v>0.2</x:v>
      </x:c>
      <x:c r="V28" s="54" t="n">
        <x:f>IF(ISNUMBER(T28),T28*(1+U28),"")</x:f>
        <x:v>1.5</x:v>
      </x:c>
      <x:c r="W28" s="47" t="n">
        <x:v>0.3</x:v>
      </x:c>
      <x:c r="X28" s="54" t="n">
        <x:f>IF(ISNUMBER(V28),V28/(1-W28),"")</x:f>
        <x:v>2.142857142857143</x:v>
      </x:c>
      <x:c r="Y28" s="55" t="n">
        <x:f>IF(ISNUMBER(X28),ROUNDUP(X28,0),"")</x:f>
        <x:v>3</x:v>
      </x:c>
      <x:c r="Z28" t="str">
        <x:v>Source match pending</x:v>
      </x:c>
      <x:c r="AA28" t="str">
        <x:v>screencapture-www-activesportstrade-co-uk-applied-nutrition-trade-2026-09-10-08_59_59.pdf / page-10</x:v>
      </x:c>
      <x:c r="AB28" s="36" t="n">
        <x:f>IF(ISNUMBER(Y28),ROUND(Y28*0.9,2),"")</x:f>
        <x:v>2.7</x:v>
      </x:c>
      <x:c r="AC28" s="36" t="n">
        <x:f>IF(ISNUMBER(AB28),ROUND(AB28-(AB28*0.015+0.2)-V28,2),"")</x:f>
        <x:v>0.96</x:v>
      </x:c>
      <x:c r="AD28" s="36" t="n">
        <x:f>IF(ISNUMBER(Y28),ROUND(Y28*0.8,2),"")</x:f>
        <x:v>2.4</x:v>
      </x:c>
      <x:c r="AE28" s="36" t="n">
        <x:f>IF(ISNUMBER(AD28),ROUND(AD28*0.015+0.2,2),"")</x:f>
        <x:v>0.24</x:v>
      </x:c>
      <x:c r="AF28" s="36" t="n">
        <x:f>IF(ISNUMBER(AD28),ROUND(AD28-AE28-V28,2),"")</x:f>
        <x:v>0.66</x:v>
      </x:c>
      <x:c r="AG28" t="str">
        <x:f>IF(NOT(ISNUMBER(T28)),"PENDING",IF(AF28&gt;0,"PASS","FAIL"))</x:f>
        <x:v>PASS</x:v>
      </x:c>
      <x:c r="AH28" t="str">
        <x:f>IF(NOT(ISNUMBER(T28)),"Needs supplier cost",IF(K28&lt;&gt;"In stock","Supplier unavailable",IF(AG28&lt;&gt;"PASS","BLOCK - GT loss risk","Commercially protected")))</x:f>
        <x:v>Commercially protected</x:v>
      </x:c>
      <x:c r="AI28" t="str">
        <x:v>2026-09-10 Active Sports trade capture</x:v>
      </x:c>
      <x:c r="AJ28" t="str">
        <x:v>Management-only economics. Stripe stress test uses 1.5% + £0.20 standard UK online-card fee; pallet/mix-and-match pricing ignored.</x:v>
      </x:c>
    </x:row>
    <x:row r="29">
      <x:c r="A29" s="10" t="str">
        <x:v>Active Sports Nutrition</x:v>
      </x:c>
      <x:c r="B29" s="10" t="str">
        <x:v>Applied Nutrition</x:v>
      </x:c>
      <x:c r="C29" s="10" t="str">
        <x:v>Critical Whey</x:v>
      </x:c>
      <x:c r="D29" s="10" t="str">
        <x:v>Supplements</x:v>
      </x:c>
      <x:c r="E29" s="10" t="str">
        <x:v>Whey Protein</x:v>
      </x:c>
      <x:c r="F29" s="10" t="str">
        <x:v>Whey protein blend manufactured from high-quality ingredients.</x:v>
      </x:c>
      <x:c r="G29" s="10" t="str">
        <x:v>33g single serving sachet</x:v>
      </x:c>
      <x:c r="H29" s="10" t="str">
        <x:v>Vanilla Matcha</x:v>
      </x:c>
      <x:c r="I29" s="10" t="str"/>
      <x:c r="J29" s="10" t="str">
        <x:v>Unit</x:v>
      </x:c>
      <x:c r="K29" s="10" t="str">
        <x:v>In stock</x:v>
      </x:c>
      <x:c r="L29" s="10" t="str">
        <x:v>2026-09-08</x:v>
      </x:c>
      <x:c r="M29" s="10" t="str"/>
      <x:c r="N29" s="10" t="str"/>
      <x:c r="O29" s="10" t="str">
        <x:v>https://www.activesportstrade.co.uk/applied-nutrition-trade</x:v>
      </x:c>
      <x:c r="P29" s="10" t="str"/>
      <x:c r="S29" t="str">
        <x:v>Pending genuine supplier/brand image</x:v>
      </x:c>
      <x:c r="T29" s="54" t="n">
        <x:v>1.25</x:v>
      </x:c>
      <x:c r="U29" s="47" t="n">
        <x:v>0.2</x:v>
      </x:c>
      <x:c r="V29" s="54" t="n">
        <x:f>IF(ISNUMBER(T29),T29*(1+U29),"")</x:f>
        <x:v>1.5</x:v>
      </x:c>
      <x:c r="W29" s="47" t="n">
        <x:v>0.3</x:v>
      </x:c>
      <x:c r="X29" s="54" t="n">
        <x:f>IF(ISNUMBER(V29),V29/(1-W29),"")</x:f>
        <x:v>2.142857142857143</x:v>
      </x:c>
      <x:c r="Y29" s="55" t="n">
        <x:f>IF(ISNUMBER(X29),ROUNDUP(X29,0),"")</x:f>
        <x:v>3</x:v>
      </x:c>
      <x:c r="Z29" t="str">
        <x:v>Source match pending</x:v>
      </x:c>
      <x:c r="AA29" t="str">
        <x:v>screencapture-www-activesportstrade-co-uk-applied-nutrition-trade-2026-09-10-08_59_59.pdf / page-10</x:v>
      </x:c>
      <x:c r="AB29" s="36" t="n">
        <x:f>IF(ISNUMBER(Y29),ROUND(Y29*0.9,2),"")</x:f>
        <x:v>2.7</x:v>
      </x:c>
      <x:c r="AC29" s="36" t="n">
        <x:f>IF(ISNUMBER(AB29),ROUND(AB29-(AB29*0.015+0.2)-V29,2),"")</x:f>
        <x:v>0.96</x:v>
      </x:c>
      <x:c r="AD29" s="36" t="n">
        <x:f>IF(ISNUMBER(Y29),ROUND(Y29*0.8,2),"")</x:f>
        <x:v>2.4</x:v>
      </x:c>
      <x:c r="AE29" s="36" t="n">
        <x:f>IF(ISNUMBER(AD29),ROUND(AD29*0.015+0.2,2),"")</x:f>
        <x:v>0.24</x:v>
      </x:c>
      <x:c r="AF29" s="36" t="n">
        <x:f>IF(ISNUMBER(AD29),ROUND(AD29-AE29-V29,2),"")</x:f>
        <x:v>0.66</x:v>
      </x:c>
      <x:c r="AG29" t="str">
        <x:f>IF(NOT(ISNUMBER(T29)),"PENDING",IF(AF29&gt;0,"PASS","FAIL"))</x:f>
        <x:v>PASS</x:v>
      </x:c>
      <x:c r="AH29" t="str">
        <x:f>IF(NOT(ISNUMBER(T29)),"Needs supplier cost",IF(K29&lt;&gt;"In stock","Supplier unavailable",IF(AG29&lt;&gt;"PASS","BLOCK - GT loss risk","Commercially protected")))</x:f>
        <x:v>Commercially protected</x:v>
      </x:c>
      <x:c r="AI29" t="str">
        <x:v>2026-09-10 Active Sports trade capture</x:v>
      </x:c>
      <x:c r="AJ29" t="str">
        <x:v>Management-only economics. Stripe stress test uses 1.5% + £0.20 standard UK online-card fee; pallet/mix-and-match pricing ignored.</x:v>
      </x:c>
    </x:row>
    <x:row r="30">
      <x:c r="A30" s="10" t="str">
        <x:v>Active Sports Nutrition</x:v>
      </x:c>
      <x:c r="B30" s="10" t="str">
        <x:v>Applied Nutrition</x:v>
      </x:c>
      <x:c r="C30" s="10" t="str">
        <x:v>Critical Whey</x:v>
      </x:c>
      <x:c r="D30" s="10" t="str">
        <x:v>Supplements</x:v>
      </x:c>
      <x:c r="E30" s="10" t="str">
        <x:v>Whey Protein</x:v>
      </x:c>
      <x:c r="F30" s="10" t="str">
        <x:v>Whey protein blend manufactured from high-quality ingredients.</x:v>
      </x:c>
      <x:c r="G30" s="10" t="str">
        <x:v>33g single serving sachet</x:v>
      </x:c>
      <x:c r="H30" s="10" t="str">
        <x:v>White Choc Pistachio</x:v>
      </x:c>
      <x:c r="I30" s="10" t="str"/>
      <x:c r="J30" s="10" t="str">
        <x:v>Unit</x:v>
      </x:c>
      <x:c r="K30" s="10" t="str">
        <x:v>In stock</x:v>
      </x:c>
      <x:c r="L30" s="10" t="str">
        <x:v>2026-09-08</x:v>
      </x:c>
      <x:c r="M30" s="10" t="str"/>
      <x:c r="N30" s="10" t="str"/>
      <x:c r="O30" s="10" t="str">
        <x:v>https://www.activesportstrade.co.uk/applied-nutrition-trade</x:v>
      </x:c>
      <x:c r="P30" s="10" t="str"/>
      <x:c r="S30" t="str">
        <x:v>Pending genuine supplier/brand image</x:v>
      </x:c>
      <x:c r="T30" s="54" t="n">
        <x:v>1.25</x:v>
      </x:c>
      <x:c r="U30" s="47" t="n">
        <x:v>0.2</x:v>
      </x:c>
      <x:c r="V30" s="54" t="n">
        <x:f>IF(ISNUMBER(T30),T30*(1+U30),"")</x:f>
        <x:v>1.5</x:v>
      </x:c>
      <x:c r="W30" s="47" t="n">
        <x:v>0.3</x:v>
      </x:c>
      <x:c r="X30" s="54" t="n">
        <x:f>IF(ISNUMBER(V30),V30/(1-W30),"")</x:f>
        <x:v>2.142857142857143</x:v>
      </x:c>
      <x:c r="Y30" s="55" t="n">
        <x:f>IF(ISNUMBER(X30),ROUNDUP(X30,0),"")</x:f>
        <x:v>3</x:v>
      </x:c>
      <x:c r="Z30" t="str">
        <x:v>Source match pending</x:v>
      </x:c>
      <x:c r="AA30" t="str">
        <x:v>screencapture-www-activesportstrade-co-uk-applied-nutrition-trade-2026-09-10-08_59_59.pdf / page-10</x:v>
      </x:c>
      <x:c r="AB30" s="36" t="n">
        <x:f>IF(ISNUMBER(Y30),ROUND(Y30*0.9,2),"")</x:f>
        <x:v>2.7</x:v>
      </x:c>
      <x:c r="AC30" s="36" t="n">
        <x:f>IF(ISNUMBER(AB30),ROUND(AB30-(AB30*0.015+0.2)-V30,2),"")</x:f>
        <x:v>0.96</x:v>
      </x:c>
      <x:c r="AD30" s="36" t="n">
        <x:f>IF(ISNUMBER(Y30),ROUND(Y30*0.8,2),"")</x:f>
        <x:v>2.4</x:v>
      </x:c>
      <x:c r="AE30" s="36" t="n">
        <x:f>IF(ISNUMBER(AD30),ROUND(AD30*0.015+0.2,2),"")</x:f>
        <x:v>0.24</x:v>
      </x:c>
      <x:c r="AF30" s="36" t="n">
        <x:f>IF(ISNUMBER(AD30),ROUND(AD30-AE30-V30,2),"")</x:f>
        <x:v>0.66</x:v>
      </x:c>
      <x:c r="AG30" t="str">
        <x:f>IF(NOT(ISNUMBER(T30)),"PENDING",IF(AF30&gt;0,"PASS","FAIL"))</x:f>
        <x:v>PASS</x:v>
      </x:c>
      <x:c r="AH30" t="str">
        <x:f>IF(NOT(ISNUMBER(T30)),"Needs supplier cost",IF(K30&lt;&gt;"In stock","Supplier unavailable",IF(AG30&lt;&gt;"PASS","BLOCK - GT loss risk","Commercially protected")))</x:f>
        <x:v>Commercially protected</x:v>
      </x:c>
      <x:c r="AI30" t="str">
        <x:v>2026-09-10 Active Sports trade capture</x:v>
      </x:c>
      <x:c r="AJ30" t="str">
        <x:v>Management-only economics. Stripe stress test uses 1.5% + £0.20 standard UK online-card fee; pallet/mix-and-match pricing ignored.</x:v>
      </x:c>
    </x:row>
    <x:row r="31">
      <x:c r="A31" s="10" t="str">
        <x:v>Active Sports Nutrition</x:v>
      </x:c>
      <x:c r="B31" s="10" t="str">
        <x:v>Applied Nutrition</x:v>
      </x:c>
      <x:c r="C31" s="10" t="str">
        <x:v>Critical Whey</x:v>
      </x:c>
      <x:c r="D31" s="10" t="str">
        <x:v>Supplements</x:v>
      </x:c>
      <x:c r="E31" s="10" t="str">
        <x:v>Whey Protein</x:v>
      </x:c>
      <x:c r="F31" s="10" t="str">
        <x:v>Whey protein blend manufactured from high-quality ingredients.</x:v>
      </x:c>
      <x:c r="G31" s="10" t="str">
        <x:v>2kg</x:v>
      </x:c>
      <x:c r="H31" s="10" t="str">
        <x:v>Banana Milkshake</x:v>
      </x:c>
      <x:c r="I31" s="10" t="str"/>
      <x:c r="J31" s="10" t="str">
        <x:v>Unit</x:v>
      </x:c>
      <x:c r="K31" s="10" t="str">
        <x:v>In stock</x:v>
      </x:c>
      <x:c r="L31" s="10" t="str">
        <x:v>2026-09-08</x:v>
      </x:c>
      <x:c r="M31" s="10" t="str"/>
      <x:c r="N31" s="10" t="str"/>
      <x:c r="O31" s="10" t="str">
        <x:v>https://www.activesportstrade.co.uk/applied-nutrition-trade</x:v>
      </x:c>
      <x:c r="P31" s="10" t="str">
        <x:v>Promo/free-item text removed; one duplicate promotional listing consolidated.</x:v>
      </x:c>
      <x:c r="S31" t="str">
        <x:v>Pending genuine supplier/brand image</x:v>
      </x:c>
      <x:c r="T31" s="54" t="n">
        <x:v>21.99</x:v>
      </x:c>
      <x:c r="U31" s="47" t="n">
        <x:v>0.2</x:v>
      </x:c>
      <x:c r="V31" s="54" t="n">
        <x:f>IF(ISNUMBER(T31),T31*(1+U31),"")</x:f>
        <x:v>26.387999999999998</x:v>
      </x:c>
      <x:c r="W31" s="47" t="n">
        <x:v>0.3</x:v>
      </x:c>
      <x:c r="X31" s="54" t="n">
        <x:f>IF(ISNUMBER(V31),V31/(1-W31),"")</x:f>
        <x:v>37.69714285714286</x:v>
      </x:c>
      <x:c r="Y31" s="55" t="n">
        <x:f>IF(ISNUMBER(X31),ROUNDUP(X31,0),"")</x:f>
        <x:v>38</x:v>
      </x:c>
      <x:c r="Z31" t="str">
        <x:v>Source match pending</x:v>
      </x:c>
      <x:c r="AA31" t="str">
        <x:v>screencapture-www-activesportstrade-co-uk-applied-nutrition-trade-2026-09-10-08_59_59.pdf / page-10</x:v>
      </x:c>
      <x:c r="AB31" s="36" t="n">
        <x:f>IF(ISNUMBER(Y31),ROUND(Y31*0.9,2),"")</x:f>
        <x:v>34.2</x:v>
      </x:c>
      <x:c r="AC31" s="36" t="n">
        <x:f>IF(ISNUMBER(AB31),ROUND(AB31-(AB31*0.015+0.2)-V31,2),"")</x:f>
        <x:v>7.1</x:v>
      </x:c>
      <x:c r="AD31" s="36" t="n">
        <x:f>IF(ISNUMBER(Y31),ROUND(Y31*0.8,2),"")</x:f>
        <x:v>30.4</x:v>
      </x:c>
      <x:c r="AE31" s="36" t="n">
        <x:f>IF(ISNUMBER(AD31),ROUND(AD31*0.015+0.2,2),"")</x:f>
        <x:v>0.66</x:v>
      </x:c>
      <x:c r="AF31" s="36" t="n">
        <x:f>IF(ISNUMBER(AD31),ROUND(AD31-AE31-V31,2),"")</x:f>
        <x:v>3.35</x:v>
      </x:c>
      <x:c r="AG31" t="str">
        <x:f>IF(NOT(ISNUMBER(T31)),"PENDING",IF(AF31&gt;0,"PASS","FAIL"))</x:f>
        <x:v>PASS</x:v>
      </x:c>
      <x:c r="AH31" t="str">
        <x:f>IF(NOT(ISNUMBER(T31)),"Needs supplier cost",IF(K31&lt;&gt;"In stock","Supplier unavailable",IF(AG31&lt;&gt;"PASS","BLOCK - GT loss risk","Commercially protected")))</x:f>
        <x:v>Commercially protected</x:v>
      </x:c>
      <x:c r="AI31" t="str">
        <x:v>2026-09-10 Active Sports trade capture</x:v>
      </x:c>
      <x:c r="AJ31" t="str">
        <x:v>Management-only economics. Stripe stress test uses 1.5% + £0.20 standard UK online-card fee; pallet/mix-and-match pricing ignored.</x:v>
      </x:c>
    </x:row>
    <x:row r="32">
      <x:c r="A32" s="10" t="str">
        <x:v>Active Sports Nutrition</x:v>
      </x:c>
      <x:c r="B32" s="10" t="str">
        <x:v>Applied Nutrition</x:v>
      </x:c>
      <x:c r="C32" s="10" t="str">
        <x:v>Critical Whey</x:v>
      </x:c>
      <x:c r="D32" s="10" t="str">
        <x:v>Supplements</x:v>
      </x:c>
      <x:c r="E32" s="10" t="str">
        <x:v>Whey Protein</x:v>
      </x:c>
      <x:c r="F32" s="10" t="str">
        <x:v>Whey protein blend manufactured from high-quality ingredients.</x:v>
      </x:c>
      <x:c r="G32" s="10" t="str">
        <x:v>2kg</x:v>
      </x:c>
      <x:c r="H32" s="10" t="str">
        <x:v>Caramel Latte</x:v>
      </x:c>
      <x:c r="I32" s="10" t="str"/>
      <x:c r="J32" s="10" t="str">
        <x:v>Unit</x:v>
      </x:c>
      <x:c r="K32" s="10" t="str">
        <x:v>In stock</x:v>
      </x:c>
      <x:c r="L32" s="10" t="str">
        <x:v>2026-09-08</x:v>
      </x:c>
      <x:c r="M32" s="10" t="str"/>
      <x:c r="N32" s="10" t="str"/>
      <x:c r="O32" s="10" t="str">
        <x:v>https://www.activesportstrade.co.uk/applied-nutrition-trade</x:v>
      </x:c>
      <x:c r="P32" s="10" t="str">
        <x:v>Promo/free-item text removed; one duplicate promotional listing consolidated.</x:v>
      </x:c>
      <x:c r="S32" t="str">
        <x:v>Pending genuine supplier/brand image</x:v>
      </x:c>
      <x:c r="T32" s="54" t="n">
        <x:v>21.99</x:v>
      </x:c>
      <x:c r="U32" s="47" t="n">
        <x:v>0.2</x:v>
      </x:c>
      <x:c r="V32" s="54" t="n">
        <x:f>IF(ISNUMBER(T32),T32*(1+U32),"")</x:f>
        <x:v>26.387999999999998</x:v>
      </x:c>
      <x:c r="W32" s="47" t="n">
        <x:v>0.3</x:v>
      </x:c>
      <x:c r="X32" s="54" t="n">
        <x:f>IF(ISNUMBER(V32),V32/(1-W32),"")</x:f>
        <x:v>37.69714285714286</x:v>
      </x:c>
      <x:c r="Y32" s="55" t="n">
        <x:f>IF(ISNUMBER(X32),ROUNDUP(X32,0),"")</x:f>
        <x:v>38</x:v>
      </x:c>
      <x:c r="Z32" t="str">
        <x:v>Source match pending</x:v>
      </x:c>
      <x:c r="AA32" t="str">
        <x:v>screencapture-www-activesportstrade-co-uk-applied-nutrition-trade-2026-09-10-08_59_59.pdf / page-10</x:v>
      </x:c>
      <x:c r="AB32" s="36" t="n">
        <x:f>IF(ISNUMBER(Y32),ROUND(Y32*0.9,2),"")</x:f>
        <x:v>34.2</x:v>
      </x:c>
      <x:c r="AC32" s="36" t="n">
        <x:f>IF(ISNUMBER(AB32),ROUND(AB32-(AB32*0.015+0.2)-V32,2),"")</x:f>
        <x:v>7.1</x:v>
      </x:c>
      <x:c r="AD32" s="36" t="n">
        <x:f>IF(ISNUMBER(Y32),ROUND(Y32*0.8,2),"")</x:f>
        <x:v>30.4</x:v>
      </x:c>
      <x:c r="AE32" s="36" t="n">
        <x:f>IF(ISNUMBER(AD32),ROUND(AD32*0.015+0.2,2),"")</x:f>
        <x:v>0.66</x:v>
      </x:c>
      <x:c r="AF32" s="36" t="n">
        <x:f>IF(ISNUMBER(AD32),ROUND(AD32-AE32-V32,2),"")</x:f>
        <x:v>3.35</x:v>
      </x:c>
      <x:c r="AG32" t="str">
        <x:f>IF(NOT(ISNUMBER(T32)),"PENDING",IF(AF32&gt;0,"PASS","FAIL"))</x:f>
        <x:v>PASS</x:v>
      </x:c>
      <x:c r="AH32" t="str">
        <x:f>IF(NOT(ISNUMBER(T32)),"Needs supplier cost",IF(K32&lt;&gt;"In stock","Supplier unavailable",IF(AG32&lt;&gt;"PASS","BLOCK - GT loss risk","Commercially protected")))</x:f>
        <x:v>Commercially protected</x:v>
      </x:c>
      <x:c r="AI32" t="str">
        <x:v>2026-09-10 Active Sports trade capture</x:v>
      </x:c>
      <x:c r="AJ32" t="str">
        <x:v>Management-only economics. Stripe stress test uses 1.5% + £0.20 standard UK online-card fee; pallet/mix-and-match pricing ignored.</x:v>
      </x:c>
    </x:row>
    <x:row r="33">
      <x:c r="A33" s="10" t="str">
        <x:v>Active Sports Nutrition</x:v>
      </x:c>
      <x:c r="B33" s="10" t="str">
        <x:v>Applied Nutrition</x:v>
      </x:c>
      <x:c r="C33" s="10" t="str">
        <x:v>Critical Whey</x:v>
      </x:c>
      <x:c r="D33" s="10" t="str">
        <x:v>Supplements</x:v>
      </x:c>
      <x:c r="E33" s="10" t="str">
        <x:v>Whey Protein</x:v>
      </x:c>
      <x:c r="F33" s="10" t="str">
        <x:v>Whey protein blend manufactured from high-quality ingredients.</x:v>
      </x:c>
      <x:c r="G33" s="10" t="str">
        <x:v>2kg</x:v>
      </x:c>
      <x:c r="H33" s="10" t="str">
        <x:v>Chiquita Banana Strawberry</x:v>
      </x:c>
      <x:c r="I33" s="10" t="str"/>
      <x:c r="J33" s="10" t="str">
        <x:v>Unit</x:v>
      </x:c>
      <x:c r="K33" s="10" t="str">
        <x:v>In stock</x:v>
      </x:c>
      <x:c r="L33" s="10" t="str">
        <x:v>2026-09-08</x:v>
      </x:c>
      <x:c r="M33" s="10" t="str"/>
      <x:c r="N33" s="10" t="str"/>
      <x:c r="O33" s="10" t="str">
        <x:v>https://www.activesportstrade.co.uk/applied-nutrition-trade</x:v>
      </x:c>
      <x:c r="P33" s="10" t="str">
        <x:v>Promo/free-item text removed; one duplicate promotional listing consolidated.</x:v>
      </x:c>
      <x:c r="S33" t="str">
        <x:v>Pending genuine supplier/brand image</x:v>
      </x:c>
      <x:c r="T33" s="54" t="n">
        <x:v>21.99</x:v>
      </x:c>
      <x:c r="U33" s="47" t="n">
        <x:v>0.2</x:v>
      </x:c>
      <x:c r="V33" s="54" t="n">
        <x:f>IF(ISNUMBER(T33),T33*(1+U33),"")</x:f>
        <x:v>26.387999999999998</x:v>
      </x:c>
      <x:c r="W33" s="47" t="n">
        <x:v>0.3</x:v>
      </x:c>
      <x:c r="X33" s="54" t="n">
        <x:f>IF(ISNUMBER(V33),V33/(1-W33),"")</x:f>
        <x:v>37.69714285714286</x:v>
      </x:c>
      <x:c r="Y33" s="55" t="n">
        <x:f>IF(ISNUMBER(X33),ROUNDUP(X33,0),"")</x:f>
        <x:v>38</x:v>
      </x:c>
      <x:c r="Z33" t="str">
        <x:v>Source match pending</x:v>
      </x:c>
      <x:c r="AA33" t="str">
        <x:v>screencapture-www-activesportstrade-co-uk-applied-nutrition-trade-2026-09-10-08_59_59.pdf / page-10</x:v>
      </x:c>
      <x:c r="AB33" s="36" t="n">
        <x:f>IF(ISNUMBER(Y33),ROUND(Y33*0.9,2),"")</x:f>
        <x:v>34.2</x:v>
      </x:c>
      <x:c r="AC33" s="36" t="n">
        <x:f>IF(ISNUMBER(AB33),ROUND(AB33-(AB33*0.015+0.2)-V33,2),"")</x:f>
        <x:v>7.1</x:v>
      </x:c>
      <x:c r="AD33" s="36" t="n">
        <x:f>IF(ISNUMBER(Y33),ROUND(Y33*0.8,2),"")</x:f>
        <x:v>30.4</x:v>
      </x:c>
      <x:c r="AE33" s="36" t="n">
        <x:f>IF(ISNUMBER(AD33),ROUND(AD33*0.015+0.2,2),"")</x:f>
        <x:v>0.66</x:v>
      </x:c>
      <x:c r="AF33" s="36" t="n">
        <x:f>IF(ISNUMBER(AD33),ROUND(AD33-AE33-V33,2),"")</x:f>
        <x:v>3.35</x:v>
      </x:c>
      <x:c r="AG33" t="str">
        <x:f>IF(NOT(ISNUMBER(T33)),"PENDING",IF(AF33&gt;0,"PASS","FAIL"))</x:f>
        <x:v>PASS</x:v>
      </x:c>
      <x:c r="AH33" t="str">
        <x:f>IF(NOT(ISNUMBER(T33)),"Needs supplier cost",IF(K33&lt;&gt;"In stock","Supplier unavailable",IF(AG33&lt;&gt;"PASS","BLOCK - GT loss risk","Commercially protected")))</x:f>
        <x:v>Commercially protected</x:v>
      </x:c>
      <x:c r="AI33" t="str">
        <x:v>2026-09-10 Active Sports trade capture</x:v>
      </x:c>
      <x:c r="AJ33" t="str">
        <x:v>Management-only economics. Stripe stress test uses 1.5% + £0.20 standard UK online-card fee; pallet/mix-and-match pricing ignored.</x:v>
      </x:c>
    </x:row>
    <x:row r="34">
      <x:c r="A34" s="10" t="str">
        <x:v>Active Sports Nutrition</x:v>
      </x:c>
      <x:c r="B34" s="10" t="str">
        <x:v>Applied Nutrition</x:v>
      </x:c>
      <x:c r="C34" s="10" t="str">
        <x:v>Critical Whey</x:v>
      </x:c>
      <x:c r="D34" s="10" t="str">
        <x:v>Supplements</x:v>
      </x:c>
      <x:c r="E34" s="10" t="str">
        <x:v>Whey Protein</x:v>
      </x:c>
      <x:c r="F34" s="10" t="str">
        <x:v>Whey protein blend manufactured from high-quality ingredients.</x:v>
      </x:c>
      <x:c r="G34" s="10" t="str">
        <x:v>2kg</x:v>
      </x:c>
      <x:c r="H34" s="10" t="str">
        <x:v>Choco Hazelnut</x:v>
      </x:c>
      <x:c r="I34" s="10" t="str"/>
      <x:c r="J34" s="10" t="str">
        <x:v>Unit</x:v>
      </x:c>
      <x:c r="K34" s="10" t="str">
        <x:v>In stock</x:v>
      </x:c>
      <x:c r="L34" s="10" t="str">
        <x:v>2026-09-08</x:v>
      </x:c>
      <x:c r="M34" s="10" t="str"/>
      <x:c r="N34" s="10" t="str"/>
      <x:c r="O34" s="10" t="str">
        <x:v>https://www.activesportstrade.co.uk/applied-nutrition-trade</x:v>
      </x:c>
      <x:c r="P34" s="10" t="str">
        <x:v>Promo/free-item text removed; one duplicate promotional listing consolidated.</x:v>
      </x:c>
      <x:c r="S34" t="str">
        <x:v>Pending genuine supplier/brand image</x:v>
      </x:c>
      <x:c r="T34" s="54" t="n">
        <x:v>21.99</x:v>
      </x:c>
      <x:c r="U34" s="47" t="n">
        <x:v>0.2</x:v>
      </x:c>
      <x:c r="V34" s="54" t="n">
        <x:f>IF(ISNUMBER(T34),T34*(1+U34),"")</x:f>
        <x:v>26.387999999999998</x:v>
      </x:c>
      <x:c r="W34" s="47" t="n">
        <x:v>0.3</x:v>
      </x:c>
      <x:c r="X34" s="54" t="n">
        <x:f>IF(ISNUMBER(V34),V34/(1-W34),"")</x:f>
        <x:v>37.69714285714286</x:v>
      </x:c>
      <x:c r="Y34" s="55" t="n">
        <x:f>IF(ISNUMBER(X34),ROUNDUP(X34,0),"")</x:f>
        <x:v>38</x:v>
      </x:c>
      <x:c r="Z34" t="str">
        <x:v>Source match pending</x:v>
      </x:c>
      <x:c r="AA34" t="str">
        <x:v>screencapture-www-activesportstrade-co-uk-applied-nutrition-trade-2026-09-10-08_59_59.pdf / page-10</x:v>
      </x:c>
      <x:c r="AB34" s="36" t="n">
        <x:f>IF(ISNUMBER(Y34),ROUND(Y34*0.9,2),"")</x:f>
        <x:v>34.2</x:v>
      </x:c>
      <x:c r="AC34" s="36" t="n">
        <x:f>IF(ISNUMBER(AB34),ROUND(AB34-(AB34*0.015+0.2)-V34,2),"")</x:f>
        <x:v>7.1</x:v>
      </x:c>
      <x:c r="AD34" s="36" t="n">
        <x:f>IF(ISNUMBER(Y34),ROUND(Y34*0.8,2),"")</x:f>
        <x:v>30.4</x:v>
      </x:c>
      <x:c r="AE34" s="36" t="n">
        <x:f>IF(ISNUMBER(AD34),ROUND(AD34*0.015+0.2,2),"")</x:f>
        <x:v>0.66</x:v>
      </x:c>
      <x:c r="AF34" s="36" t="n">
        <x:f>IF(ISNUMBER(AD34),ROUND(AD34-AE34-V34,2),"")</x:f>
        <x:v>3.35</x:v>
      </x:c>
      <x:c r="AG34" t="str">
        <x:f>IF(NOT(ISNUMBER(T34)),"PENDING",IF(AF34&gt;0,"PASS","FAIL"))</x:f>
        <x:v>PASS</x:v>
      </x:c>
      <x:c r="AH34" t="str">
        <x:f>IF(NOT(ISNUMBER(T34)),"Needs supplier cost",IF(K34&lt;&gt;"In stock","Supplier unavailable",IF(AG34&lt;&gt;"PASS","BLOCK - GT loss risk","Commercially protected")))</x:f>
        <x:v>Commercially protected</x:v>
      </x:c>
      <x:c r="AI34" t="str">
        <x:v>2026-09-10 Active Sports trade capture</x:v>
      </x:c>
      <x:c r="AJ34" t="str">
        <x:v>Management-only economics. Stripe stress test uses 1.5% + £0.20 standard UK online-card fee; pallet/mix-and-match pricing ignored.</x:v>
      </x:c>
    </x:row>
    <x:row r="35">
      <x:c r="A35" s="10" t="str">
        <x:v>Active Sports Nutrition</x:v>
      </x:c>
      <x:c r="B35" s="10" t="str">
        <x:v>Applied Nutrition</x:v>
      </x:c>
      <x:c r="C35" s="10" t="str">
        <x:v>Critical Whey</x:v>
      </x:c>
      <x:c r="D35" s="10" t="str">
        <x:v>Supplements</x:v>
      </x:c>
      <x:c r="E35" s="10" t="str">
        <x:v>Whey Protein</x:v>
      </x:c>
      <x:c r="F35" s="10" t="str">
        <x:v>Whey protein blend manufactured from high-quality ingredients.</x:v>
      </x:c>
      <x:c r="G35" s="10" t="str">
        <x:v>2kg</x:v>
      </x:c>
      <x:c r="H35" s="10" t="str">
        <x:v>Chocolate Milkshake</x:v>
      </x:c>
      <x:c r="I35" s="10" t="str"/>
      <x:c r="J35" s="10" t="str">
        <x:v>Unit</x:v>
      </x:c>
      <x:c r="K35" s="10" t="str">
        <x:v>In stock</x:v>
      </x:c>
      <x:c r="L35" s="10" t="str">
        <x:v>2026-09-08</x:v>
      </x:c>
      <x:c r="M35" s="10" t="str"/>
      <x:c r="N35" s="10" t="str"/>
      <x:c r="O35" s="10" t="str">
        <x:v>https://www.activesportstrade.co.uk/applied-nutrition-trade</x:v>
      </x:c>
      <x:c r="P35" s="10" t="str">
        <x:v>Promo/free-item text removed; one duplicate promotional listing consolidated.</x:v>
      </x:c>
      <x:c r="S35" t="str">
        <x:v>Pending genuine supplier/brand image</x:v>
      </x:c>
      <x:c r="T35" s="54" t="n">
        <x:v>21.99</x:v>
      </x:c>
      <x:c r="U35" s="47" t="n">
        <x:v>0.2</x:v>
      </x:c>
      <x:c r="V35" s="54" t="n">
        <x:f>IF(ISNUMBER(T35),T35*(1+U35),"")</x:f>
        <x:v>26.387999999999998</x:v>
      </x:c>
      <x:c r="W35" s="47" t="n">
        <x:v>0.3</x:v>
      </x:c>
      <x:c r="X35" s="54" t="n">
        <x:f>IF(ISNUMBER(V35),V35/(1-W35),"")</x:f>
        <x:v>37.69714285714286</x:v>
      </x:c>
      <x:c r="Y35" s="55" t="n">
        <x:f>IF(ISNUMBER(X35),ROUNDUP(X35,0),"")</x:f>
        <x:v>38</x:v>
      </x:c>
      <x:c r="Z35" t="str">
        <x:v>Source match pending</x:v>
      </x:c>
      <x:c r="AA35" t="str">
        <x:v>screencapture-www-activesportstrade-co-uk-applied-nutrition-trade-2026-09-10-08_59_59.pdf / page-10</x:v>
      </x:c>
      <x:c r="AB35" s="36" t="n">
        <x:f>IF(ISNUMBER(Y35),ROUND(Y35*0.9,2),"")</x:f>
        <x:v>34.2</x:v>
      </x:c>
      <x:c r="AC35" s="36" t="n">
        <x:f>IF(ISNUMBER(AB35),ROUND(AB35-(AB35*0.015+0.2)-V35,2),"")</x:f>
        <x:v>7.1</x:v>
      </x:c>
      <x:c r="AD35" s="36" t="n">
        <x:f>IF(ISNUMBER(Y35),ROUND(Y35*0.8,2),"")</x:f>
        <x:v>30.4</x:v>
      </x:c>
      <x:c r="AE35" s="36" t="n">
        <x:f>IF(ISNUMBER(AD35),ROUND(AD35*0.015+0.2,2),"")</x:f>
        <x:v>0.66</x:v>
      </x:c>
      <x:c r="AF35" s="36" t="n">
        <x:f>IF(ISNUMBER(AD35),ROUND(AD35-AE35-V35,2),"")</x:f>
        <x:v>3.35</x:v>
      </x:c>
      <x:c r="AG35" t="str">
        <x:f>IF(NOT(ISNUMBER(T35)),"PENDING",IF(AF35&gt;0,"PASS","FAIL"))</x:f>
        <x:v>PASS</x:v>
      </x:c>
      <x:c r="AH35" t="str">
        <x:f>IF(NOT(ISNUMBER(T35)),"Needs supplier cost",IF(K35&lt;&gt;"In stock","Supplier unavailable",IF(AG35&lt;&gt;"PASS","BLOCK - GT loss risk","Commercially protected")))</x:f>
        <x:v>Commercially protected</x:v>
      </x:c>
      <x:c r="AI35" t="str">
        <x:v>2026-09-10 Active Sports trade capture</x:v>
      </x:c>
      <x:c r="AJ35" t="str">
        <x:v>Management-only economics. Stripe stress test uses 1.5% + £0.20 standard UK online-card fee; pallet/mix-and-match pricing ignored.</x:v>
      </x:c>
    </x:row>
    <x:row r="36">
      <x:c r="A36" s="10" t="str">
        <x:v>Active Sports Nutrition</x:v>
      </x:c>
      <x:c r="B36" s="10" t="str">
        <x:v>Applied Nutrition</x:v>
      </x:c>
      <x:c r="C36" s="10" t="str">
        <x:v>Critical Whey</x:v>
      </x:c>
      <x:c r="D36" s="10" t="str">
        <x:v>Supplements</x:v>
      </x:c>
      <x:c r="E36" s="10" t="str">
        <x:v>Whey Protein</x:v>
      </x:c>
      <x:c r="F36" s="10" t="str">
        <x:v>Whey protein blend manufactured from high-quality ingredients.</x:v>
      </x:c>
      <x:c r="G36" s="10" t="str">
        <x:v>2kg</x:v>
      </x:c>
      <x:c r="H36" s="10" t="str">
        <x:v>Cookies and Cream</x:v>
      </x:c>
      <x:c r="I36" s="10" t="str"/>
      <x:c r="J36" s="10" t="str">
        <x:v>Unit</x:v>
      </x:c>
      <x:c r="K36" s="10" t="str">
        <x:v>In stock</x:v>
      </x:c>
      <x:c r="L36" s="10" t="str">
        <x:v>2026-09-08</x:v>
      </x:c>
      <x:c r="M36" s="10" t="str"/>
      <x:c r="N36" s="10" t="str"/>
      <x:c r="O36" s="10" t="str">
        <x:v>https://www.activesportstrade.co.uk/applied-nutrition-trade</x:v>
      </x:c>
      <x:c r="P36" s="10" t="str">
        <x:v>Promo/free-item text removed; one duplicate promotional listing consolidated.</x:v>
      </x:c>
      <x:c r="S36" t="str">
        <x:v>Pending genuine supplier/brand image</x:v>
      </x:c>
      <x:c r="T36" s="54" t="n">
        <x:v>21.99</x:v>
      </x:c>
      <x:c r="U36" s="47" t="n">
        <x:v>0.2</x:v>
      </x:c>
      <x:c r="V36" s="54" t="n">
        <x:f>IF(ISNUMBER(T36),T36*(1+U36),"")</x:f>
        <x:v>26.387999999999998</x:v>
      </x:c>
      <x:c r="W36" s="47" t="n">
        <x:v>0.3</x:v>
      </x:c>
      <x:c r="X36" s="54" t="n">
        <x:f>IF(ISNUMBER(V36),V36/(1-W36),"")</x:f>
        <x:v>37.69714285714286</x:v>
      </x:c>
      <x:c r="Y36" s="55" t="n">
        <x:f>IF(ISNUMBER(X36),ROUNDUP(X36,0),"")</x:f>
        <x:v>38</x:v>
      </x:c>
      <x:c r="Z36" t="str">
        <x:v>Source match pending</x:v>
      </x:c>
      <x:c r="AA36" t="str">
        <x:v>screencapture-www-activesportstrade-co-uk-applied-nutrition-trade-2026-09-10-08_59_59.pdf / page-10</x:v>
      </x:c>
      <x:c r="AB36" s="36" t="n">
        <x:f>IF(ISNUMBER(Y36),ROUND(Y36*0.9,2),"")</x:f>
        <x:v>34.2</x:v>
      </x:c>
      <x:c r="AC36" s="36" t="n">
        <x:f>IF(ISNUMBER(AB36),ROUND(AB36-(AB36*0.015+0.2)-V36,2),"")</x:f>
        <x:v>7.1</x:v>
      </x:c>
      <x:c r="AD36" s="36" t="n">
        <x:f>IF(ISNUMBER(Y36),ROUND(Y36*0.8,2),"")</x:f>
        <x:v>30.4</x:v>
      </x:c>
      <x:c r="AE36" s="36" t="n">
        <x:f>IF(ISNUMBER(AD36),ROUND(AD36*0.015+0.2,2),"")</x:f>
        <x:v>0.66</x:v>
      </x:c>
      <x:c r="AF36" s="36" t="n">
        <x:f>IF(ISNUMBER(AD36),ROUND(AD36-AE36-V36,2),"")</x:f>
        <x:v>3.35</x:v>
      </x:c>
      <x:c r="AG36" t="str">
        <x:f>IF(NOT(ISNUMBER(T36)),"PENDING",IF(AF36&gt;0,"PASS","FAIL"))</x:f>
        <x:v>PASS</x:v>
      </x:c>
      <x:c r="AH36" t="str">
        <x:f>IF(NOT(ISNUMBER(T36)),"Needs supplier cost",IF(K36&lt;&gt;"In stock","Supplier unavailable",IF(AG36&lt;&gt;"PASS","BLOCK - GT loss risk","Commercially protected")))</x:f>
        <x:v>Commercially protected</x:v>
      </x:c>
      <x:c r="AI36" t="str">
        <x:v>2026-09-10 Active Sports trade capture</x:v>
      </x:c>
      <x:c r="AJ36" t="str">
        <x:v>Management-only economics. Stripe stress test uses 1.5% + £0.20 standard UK online-card fee; pallet/mix-and-match pricing ignored.</x:v>
      </x:c>
    </x:row>
    <x:row r="37">
      <x:c r="A37" s="10" t="str">
        <x:v>Active Sports Nutrition</x:v>
      </x:c>
      <x:c r="B37" s="10" t="str">
        <x:v>Applied Nutrition</x:v>
      </x:c>
      <x:c r="C37" s="10" t="str">
        <x:v>Critical Whey</x:v>
      </x:c>
      <x:c r="D37" s="10" t="str">
        <x:v>Supplements</x:v>
      </x:c>
      <x:c r="E37" s="10" t="str">
        <x:v>Whey Protein</x:v>
      </x:c>
      <x:c r="F37" s="10" t="str">
        <x:v>Whey protein blend manufactured from high-quality ingredients.</x:v>
      </x:c>
      <x:c r="G37" s="10" t="str">
        <x:v>2kg</x:v>
      </x:c>
      <x:c r="H37" s="10" t="str">
        <x:v>Frappuccino</x:v>
      </x:c>
      <x:c r="I37" s="10" t="str"/>
      <x:c r="J37" s="10" t="str">
        <x:v>Unit</x:v>
      </x:c>
      <x:c r="K37" s="10" t="str">
        <x:v>In stock</x:v>
      </x:c>
      <x:c r="L37" s="10" t="str">
        <x:v>2026-09-08</x:v>
      </x:c>
      <x:c r="M37" s="10" t="str"/>
      <x:c r="N37" s="10" t="str"/>
      <x:c r="O37" s="10" t="str">
        <x:v>https://www.activesportstrade.co.uk/applied-nutrition-trade</x:v>
      </x:c>
      <x:c r="P37" s="10" t="str">
        <x:v>Promo/free-item text removed; one duplicate promotional listing consolidated.</x:v>
      </x:c>
      <x:c r="S37" t="str">
        <x:v>Pending genuine supplier/brand image</x:v>
      </x:c>
      <x:c r="T37" s="54" t="n">
        <x:v>21.99</x:v>
      </x:c>
      <x:c r="U37" s="47" t="n">
        <x:v>0.2</x:v>
      </x:c>
      <x:c r="V37" s="54" t="n">
        <x:f>IF(ISNUMBER(T37),T37*(1+U37),"")</x:f>
        <x:v>26.387999999999998</x:v>
      </x:c>
      <x:c r="W37" s="47" t="n">
        <x:v>0.3</x:v>
      </x:c>
      <x:c r="X37" s="54" t="n">
        <x:f>IF(ISNUMBER(V37),V37/(1-W37),"")</x:f>
        <x:v>37.69714285714286</x:v>
      </x:c>
      <x:c r="Y37" s="55" t="n">
        <x:f>IF(ISNUMBER(X37),ROUNDUP(X37,0),"")</x:f>
        <x:v>38</x:v>
      </x:c>
      <x:c r="Z37" t="str">
        <x:v>Source match pending</x:v>
      </x:c>
      <x:c r="AA37" t="str">
        <x:v>screencapture-www-activesportstrade-co-uk-applied-nutrition-trade-2026-09-10-08_59_59.pdf / page-10</x:v>
      </x:c>
      <x:c r="AB37" s="36" t="n">
        <x:f>IF(ISNUMBER(Y37),ROUND(Y37*0.9,2),"")</x:f>
        <x:v>34.2</x:v>
      </x:c>
      <x:c r="AC37" s="36" t="n">
        <x:f>IF(ISNUMBER(AB37),ROUND(AB37-(AB37*0.015+0.2)-V37,2),"")</x:f>
        <x:v>7.1</x:v>
      </x:c>
      <x:c r="AD37" s="36" t="n">
        <x:f>IF(ISNUMBER(Y37),ROUND(Y37*0.8,2),"")</x:f>
        <x:v>30.4</x:v>
      </x:c>
      <x:c r="AE37" s="36" t="n">
        <x:f>IF(ISNUMBER(AD37),ROUND(AD37*0.015+0.2,2),"")</x:f>
        <x:v>0.66</x:v>
      </x:c>
      <x:c r="AF37" s="36" t="n">
        <x:f>IF(ISNUMBER(AD37),ROUND(AD37-AE37-V37,2),"")</x:f>
        <x:v>3.35</x:v>
      </x:c>
      <x:c r="AG37" t="str">
        <x:f>IF(NOT(ISNUMBER(T37)),"PENDING",IF(AF37&gt;0,"PASS","FAIL"))</x:f>
        <x:v>PASS</x:v>
      </x:c>
      <x:c r="AH37" t="str">
        <x:f>IF(NOT(ISNUMBER(T37)),"Needs supplier cost",IF(K37&lt;&gt;"In stock","Supplier unavailable",IF(AG37&lt;&gt;"PASS","BLOCK - GT loss risk","Commercially protected")))</x:f>
        <x:v>Commercially protected</x:v>
      </x:c>
      <x:c r="AI37" t="str">
        <x:v>2026-09-10 Active Sports trade capture</x:v>
      </x:c>
      <x:c r="AJ37" t="str">
        <x:v>Management-only economics. Stripe stress test uses 1.5% + £0.20 standard UK online-card fee; pallet/mix-and-match pricing ignored.</x:v>
      </x:c>
    </x:row>
    <x:row r="38">
      <x:c r="A38" s="10" t="str">
        <x:v>Active Sports Nutrition</x:v>
      </x:c>
      <x:c r="B38" s="10" t="str">
        <x:v>Applied Nutrition</x:v>
      </x:c>
      <x:c r="C38" s="10" t="str">
        <x:v>Critical Whey</x:v>
      </x:c>
      <x:c r="D38" s="10" t="str">
        <x:v>Supplements</x:v>
      </x:c>
      <x:c r="E38" s="10" t="str">
        <x:v>Whey Protein</x:v>
      </x:c>
      <x:c r="F38" s="10" t="str">
        <x:v>Whey protein blend manufactured from high-quality ingredients.</x:v>
      </x:c>
      <x:c r="G38" s="10" t="str">
        <x:v>2kg</x:v>
      </x:c>
      <x:c r="H38" s="10" t="str">
        <x:v>Salted Caramel</x:v>
      </x:c>
      <x:c r="I38" s="10" t="str"/>
      <x:c r="J38" s="10" t="str">
        <x:v>Unit</x:v>
      </x:c>
      <x:c r="K38" s="10" t="str">
        <x:v>In stock</x:v>
      </x:c>
      <x:c r="L38" s="10" t="str">
        <x:v>2026-09-08</x:v>
      </x:c>
      <x:c r="M38" s="10" t="str"/>
      <x:c r="N38" s="10" t="str"/>
      <x:c r="O38" s="10" t="str">
        <x:v>https://www.activesportstrade.co.uk/applied-nutrition-trade</x:v>
      </x:c>
      <x:c r="P38" s="10" t="str">
        <x:v>Promo/free-item text removed; one duplicate promotional listing consolidated.</x:v>
      </x:c>
      <x:c r="S38" t="str">
        <x:v>Pending genuine supplier/brand image</x:v>
      </x:c>
      <x:c r="T38" s="54" t="n">
        <x:v>21.99</x:v>
      </x:c>
      <x:c r="U38" s="47" t="n">
        <x:v>0.2</x:v>
      </x:c>
      <x:c r="V38" s="54" t="n">
        <x:f>IF(ISNUMBER(T38),T38*(1+U38),"")</x:f>
        <x:v>26.387999999999998</x:v>
      </x:c>
      <x:c r="W38" s="47" t="n">
        <x:v>0.3</x:v>
      </x:c>
      <x:c r="X38" s="54" t="n">
        <x:f>IF(ISNUMBER(V38),V38/(1-W38),"")</x:f>
        <x:v>37.69714285714286</x:v>
      </x:c>
      <x:c r="Y38" s="55" t="n">
        <x:f>IF(ISNUMBER(X38),ROUNDUP(X38,0),"")</x:f>
        <x:v>38</x:v>
      </x:c>
      <x:c r="Z38" t="str">
        <x:v>Source match pending</x:v>
      </x:c>
      <x:c r="AA38" t="str">
        <x:v>screencapture-www-activesportstrade-co-uk-applied-nutrition-trade-2026-09-10-08_59_59.pdf / page-10</x:v>
      </x:c>
      <x:c r="AB38" s="36" t="n">
        <x:f>IF(ISNUMBER(Y38),ROUND(Y38*0.9,2),"")</x:f>
        <x:v>34.2</x:v>
      </x:c>
      <x:c r="AC38" s="36" t="n">
        <x:f>IF(ISNUMBER(AB38),ROUND(AB38-(AB38*0.015+0.2)-V38,2),"")</x:f>
        <x:v>7.1</x:v>
      </x:c>
      <x:c r="AD38" s="36" t="n">
        <x:f>IF(ISNUMBER(Y38),ROUND(Y38*0.8,2),"")</x:f>
        <x:v>30.4</x:v>
      </x:c>
      <x:c r="AE38" s="36" t="n">
        <x:f>IF(ISNUMBER(AD38),ROUND(AD38*0.015+0.2,2),"")</x:f>
        <x:v>0.66</x:v>
      </x:c>
      <x:c r="AF38" s="36" t="n">
        <x:f>IF(ISNUMBER(AD38),ROUND(AD38-AE38-V38,2),"")</x:f>
        <x:v>3.35</x:v>
      </x:c>
      <x:c r="AG38" t="str">
        <x:f>IF(NOT(ISNUMBER(T38)),"PENDING",IF(AF38&gt;0,"PASS","FAIL"))</x:f>
        <x:v>PASS</x:v>
      </x:c>
      <x:c r="AH38" t="str">
        <x:f>IF(NOT(ISNUMBER(T38)),"Needs supplier cost",IF(K38&lt;&gt;"In stock","Supplier unavailable",IF(AG38&lt;&gt;"PASS","BLOCK - GT loss risk","Commercially protected")))</x:f>
        <x:v>Commercially protected</x:v>
      </x:c>
      <x:c r="AI38" t="str">
        <x:v>2026-09-10 Active Sports trade capture</x:v>
      </x:c>
      <x:c r="AJ38" t="str">
        <x:v>Management-only economics. Stripe stress test uses 1.5% + £0.20 standard UK online-card fee; pallet/mix-and-match pricing ignored.</x:v>
      </x:c>
    </x:row>
    <x:row r="39">
      <x:c r="A39" s="10" t="str">
        <x:v>Active Sports Nutrition</x:v>
      </x:c>
      <x:c r="B39" s="10" t="str">
        <x:v>Applied Nutrition</x:v>
      </x:c>
      <x:c r="C39" s="10" t="str">
        <x:v>Critical Whey</x:v>
      </x:c>
      <x:c r="D39" s="10" t="str">
        <x:v>Supplements</x:v>
      </x:c>
      <x:c r="E39" s="10" t="str">
        <x:v>Whey Protein</x:v>
      </x:c>
      <x:c r="F39" s="10" t="str">
        <x:v>Whey protein blend manufactured from high-quality ingredients.</x:v>
      </x:c>
      <x:c r="G39" s="10" t="str">
        <x:v>2kg</x:v>
      </x:c>
      <x:c r="H39" s="10" t="str">
        <x:v>Strawberry Milkshake</x:v>
      </x:c>
      <x:c r="I39" s="10" t="str"/>
      <x:c r="J39" s="10" t="str">
        <x:v>Unit</x:v>
      </x:c>
      <x:c r="K39" s="10" t="str">
        <x:v>In stock</x:v>
      </x:c>
      <x:c r="L39" s="10" t="str">
        <x:v>2026-09-08</x:v>
      </x:c>
      <x:c r="M39" s="10" t="str"/>
      <x:c r="N39" s="10" t="str"/>
      <x:c r="O39" s="10" t="str">
        <x:v>https://www.activesportstrade.co.uk/applied-nutrition-trade</x:v>
      </x:c>
      <x:c r="P39" s="10" t="str">
        <x:v>Promo/free-item text removed; one duplicate promotional listing consolidated.</x:v>
      </x:c>
      <x:c r="S39" t="str">
        <x:v>Pending genuine supplier/brand image</x:v>
      </x:c>
      <x:c r="T39" s="54" t="n">
        <x:v>21.99</x:v>
      </x:c>
      <x:c r="U39" s="47" t="n">
        <x:v>0.2</x:v>
      </x:c>
      <x:c r="V39" s="54" t="n">
        <x:f>IF(ISNUMBER(T39),T39*(1+U39),"")</x:f>
        <x:v>26.387999999999998</x:v>
      </x:c>
      <x:c r="W39" s="47" t="n">
        <x:v>0.3</x:v>
      </x:c>
      <x:c r="X39" s="54" t="n">
        <x:f>IF(ISNUMBER(V39),V39/(1-W39),"")</x:f>
        <x:v>37.69714285714286</x:v>
      </x:c>
      <x:c r="Y39" s="55" t="n">
        <x:f>IF(ISNUMBER(X39),ROUNDUP(X39,0),"")</x:f>
        <x:v>38</x:v>
      </x:c>
      <x:c r="Z39" t="str">
        <x:v>Source match pending</x:v>
      </x:c>
      <x:c r="AA39" t="str">
        <x:v>screencapture-www-activesportstrade-co-uk-applied-nutrition-trade-2026-09-10-08_59_59.pdf / page-10</x:v>
      </x:c>
      <x:c r="AB39" s="36" t="n">
        <x:f>IF(ISNUMBER(Y39),ROUND(Y39*0.9,2),"")</x:f>
        <x:v>34.2</x:v>
      </x:c>
      <x:c r="AC39" s="36" t="n">
        <x:f>IF(ISNUMBER(AB39),ROUND(AB39-(AB39*0.015+0.2)-V39,2),"")</x:f>
        <x:v>7.1</x:v>
      </x:c>
      <x:c r="AD39" s="36" t="n">
        <x:f>IF(ISNUMBER(Y39),ROUND(Y39*0.8,2),"")</x:f>
        <x:v>30.4</x:v>
      </x:c>
      <x:c r="AE39" s="36" t="n">
        <x:f>IF(ISNUMBER(AD39),ROUND(AD39*0.015+0.2,2),"")</x:f>
        <x:v>0.66</x:v>
      </x:c>
      <x:c r="AF39" s="36" t="n">
        <x:f>IF(ISNUMBER(AD39),ROUND(AD39-AE39-V39,2),"")</x:f>
        <x:v>3.35</x:v>
      </x:c>
      <x:c r="AG39" t="str">
        <x:f>IF(NOT(ISNUMBER(T39)),"PENDING",IF(AF39&gt;0,"PASS","FAIL"))</x:f>
        <x:v>PASS</x:v>
      </x:c>
      <x:c r="AH39" t="str">
        <x:f>IF(NOT(ISNUMBER(T39)),"Needs supplier cost",IF(K39&lt;&gt;"In stock","Supplier unavailable",IF(AG39&lt;&gt;"PASS","BLOCK - GT loss risk","Commercially protected")))</x:f>
        <x:v>Commercially protected</x:v>
      </x:c>
      <x:c r="AI39" t="str">
        <x:v>2026-09-10 Active Sports trade capture</x:v>
      </x:c>
      <x:c r="AJ39" t="str">
        <x:v>Management-only economics. Stripe stress test uses 1.5% + £0.20 standard UK online-card fee; pallet/mix-and-match pricing ignored.</x:v>
      </x:c>
    </x:row>
    <x:row r="40">
      <x:c r="A40" s="10" t="str">
        <x:v>Active Sports Nutrition</x:v>
      </x:c>
      <x:c r="B40" s="10" t="str">
        <x:v>Applied Nutrition</x:v>
      </x:c>
      <x:c r="C40" s="10" t="str">
        <x:v>Critical Whey</x:v>
      </x:c>
      <x:c r="D40" s="10" t="str">
        <x:v>Supplements</x:v>
      </x:c>
      <x:c r="E40" s="10" t="str">
        <x:v>Whey Protein</x:v>
      </x:c>
      <x:c r="F40" s="10" t="str">
        <x:v>Whey protein blend manufactured from high-quality ingredients.</x:v>
      </x:c>
      <x:c r="G40" s="10" t="str">
        <x:v>2kg</x:v>
      </x:c>
      <x:c r="H40" s="10" t="str">
        <x:v>Vanilla Ice Cream</x:v>
      </x:c>
      <x:c r="I40" s="10" t="str"/>
      <x:c r="J40" s="10" t="str">
        <x:v>Unit</x:v>
      </x:c>
      <x:c r="K40" s="10" t="str">
        <x:v>In stock</x:v>
      </x:c>
      <x:c r="L40" s="10" t="str">
        <x:v>2026-09-08</x:v>
      </x:c>
      <x:c r="M40" s="10" t="str"/>
      <x:c r="N40" s="10" t="str"/>
      <x:c r="O40" s="10" t="str">
        <x:v>https://www.activesportstrade.co.uk/applied-nutrition-trade</x:v>
      </x:c>
      <x:c r="P40" s="10" t="str">
        <x:v>Promo/free-item text removed; one duplicate promotional listing consolidated.</x:v>
      </x:c>
      <x:c r="S40" t="str">
        <x:v>Pending genuine supplier/brand image</x:v>
      </x:c>
      <x:c r="T40" s="54" t="n">
        <x:v>21.99</x:v>
      </x:c>
      <x:c r="U40" s="47" t="n">
        <x:v>0.2</x:v>
      </x:c>
      <x:c r="V40" s="54" t="n">
        <x:f>IF(ISNUMBER(T40),T40*(1+U40),"")</x:f>
        <x:v>26.387999999999998</x:v>
      </x:c>
      <x:c r="W40" s="47" t="n">
        <x:v>0.3</x:v>
      </x:c>
      <x:c r="X40" s="54" t="n">
        <x:f>IF(ISNUMBER(V40),V40/(1-W40),"")</x:f>
        <x:v>37.69714285714286</x:v>
      </x:c>
      <x:c r="Y40" s="55" t="n">
        <x:f>IF(ISNUMBER(X40),ROUNDUP(X40,0),"")</x:f>
        <x:v>38</x:v>
      </x:c>
      <x:c r="Z40" t="str">
        <x:v>Source match pending</x:v>
      </x:c>
      <x:c r="AA40" t="str">
        <x:v>screencapture-www-activesportstrade-co-uk-applied-nutrition-trade-2026-09-10-08_59_59.pdf / page-10</x:v>
      </x:c>
      <x:c r="AB40" s="36" t="n">
        <x:f>IF(ISNUMBER(Y40),ROUND(Y40*0.9,2),"")</x:f>
        <x:v>34.2</x:v>
      </x:c>
      <x:c r="AC40" s="36" t="n">
        <x:f>IF(ISNUMBER(AB40),ROUND(AB40-(AB40*0.015+0.2)-V40,2),"")</x:f>
        <x:v>7.1</x:v>
      </x:c>
      <x:c r="AD40" s="36" t="n">
        <x:f>IF(ISNUMBER(Y40),ROUND(Y40*0.8,2),"")</x:f>
        <x:v>30.4</x:v>
      </x:c>
      <x:c r="AE40" s="36" t="n">
        <x:f>IF(ISNUMBER(AD40),ROUND(AD40*0.015+0.2,2),"")</x:f>
        <x:v>0.66</x:v>
      </x:c>
      <x:c r="AF40" s="36" t="n">
        <x:f>IF(ISNUMBER(AD40),ROUND(AD40-AE40-V40,2),"")</x:f>
        <x:v>3.35</x:v>
      </x:c>
      <x:c r="AG40" t="str">
        <x:f>IF(NOT(ISNUMBER(T40)),"PENDING",IF(AF40&gt;0,"PASS","FAIL"))</x:f>
        <x:v>PASS</x:v>
      </x:c>
      <x:c r="AH40" t="str">
        <x:f>IF(NOT(ISNUMBER(T40)),"Needs supplier cost",IF(K40&lt;&gt;"In stock","Supplier unavailable",IF(AG40&lt;&gt;"PASS","BLOCK - GT loss risk","Commercially protected")))</x:f>
        <x:v>Commercially protected</x:v>
      </x:c>
      <x:c r="AI40" t="str">
        <x:v>2026-09-10 Active Sports trade capture</x:v>
      </x:c>
      <x:c r="AJ40" t="str">
        <x:v>Management-only economics. Stripe stress test uses 1.5% + £0.20 standard UK online-card fee; pallet/mix-and-match pricing ignored.</x:v>
      </x:c>
    </x:row>
    <x:row r="41">
      <x:c r="A41" s="10" t="str">
        <x:v>Active Sports Nutrition</x:v>
      </x:c>
      <x:c r="B41" s="10" t="str">
        <x:v>Applied Nutrition</x:v>
      </x:c>
      <x:c r="C41" s="10" t="str">
        <x:v>Critical Whey</x:v>
      </x:c>
      <x:c r="D41" s="10" t="str">
        <x:v>Supplements</x:v>
      </x:c>
      <x:c r="E41" s="10" t="str">
        <x:v>Whey Protein</x:v>
      </x:c>
      <x:c r="F41" s="10" t="str">
        <x:v>Whey protein blend manufactured from high-quality ingredients.</x:v>
      </x:c>
      <x:c r="G41" s="10" t="str">
        <x:v>2kg</x:v>
      </x:c>
      <x:c r="H41" s="10" t="str">
        <x:v>Vanilla Matcha</x:v>
      </x:c>
      <x:c r="I41" s="10" t="str"/>
      <x:c r="J41" s="10" t="str">
        <x:v>Unit</x:v>
      </x:c>
      <x:c r="K41" s="10" t="str">
        <x:v>In stock</x:v>
      </x:c>
      <x:c r="L41" s="10" t="str">
        <x:v>2026-09-08</x:v>
      </x:c>
      <x:c r="M41" s="10" t="str"/>
      <x:c r="N41" s="10" t="str"/>
      <x:c r="O41" s="10" t="str">
        <x:v>https://www.activesportstrade.co.uk/applied-nutrition-trade</x:v>
      </x:c>
      <x:c r="P41" s="10" t="str">
        <x:v>Promo/free-item text removed; one duplicate promotional listing consolidated.</x:v>
      </x:c>
      <x:c r="S41" t="str">
        <x:v>Pending genuine supplier/brand image</x:v>
      </x:c>
      <x:c r="T41" s="54" t="n">
        <x:v>21.99</x:v>
      </x:c>
      <x:c r="U41" s="47" t="n">
        <x:v>0.2</x:v>
      </x:c>
      <x:c r="V41" s="54" t="n">
        <x:f>IF(ISNUMBER(T41),T41*(1+U41),"")</x:f>
        <x:v>26.387999999999998</x:v>
      </x:c>
      <x:c r="W41" s="47" t="n">
        <x:v>0.3</x:v>
      </x:c>
      <x:c r="X41" s="54" t="n">
        <x:f>IF(ISNUMBER(V41),V41/(1-W41),"")</x:f>
        <x:v>37.69714285714286</x:v>
      </x:c>
      <x:c r="Y41" s="55" t="n">
        <x:f>IF(ISNUMBER(X41),ROUNDUP(X41,0),"")</x:f>
        <x:v>38</x:v>
      </x:c>
      <x:c r="Z41" t="str">
        <x:v>Source match pending</x:v>
      </x:c>
      <x:c r="AA41" t="str">
        <x:v>screencapture-www-activesportstrade-co-uk-applied-nutrition-trade-2026-09-10-08_59_59.pdf / page-10</x:v>
      </x:c>
      <x:c r="AB41" s="36" t="n">
        <x:f>IF(ISNUMBER(Y41),ROUND(Y41*0.9,2),"")</x:f>
        <x:v>34.2</x:v>
      </x:c>
      <x:c r="AC41" s="36" t="n">
        <x:f>IF(ISNUMBER(AB41),ROUND(AB41-(AB41*0.015+0.2)-V41,2),"")</x:f>
        <x:v>7.1</x:v>
      </x:c>
      <x:c r="AD41" s="36" t="n">
        <x:f>IF(ISNUMBER(Y41),ROUND(Y41*0.8,2),"")</x:f>
        <x:v>30.4</x:v>
      </x:c>
      <x:c r="AE41" s="36" t="n">
        <x:f>IF(ISNUMBER(AD41),ROUND(AD41*0.015+0.2,2),"")</x:f>
        <x:v>0.66</x:v>
      </x:c>
      <x:c r="AF41" s="36" t="n">
        <x:f>IF(ISNUMBER(AD41),ROUND(AD41-AE41-V41,2),"")</x:f>
        <x:v>3.35</x:v>
      </x:c>
      <x:c r="AG41" t="str">
        <x:f>IF(NOT(ISNUMBER(T41)),"PENDING",IF(AF41&gt;0,"PASS","FAIL"))</x:f>
        <x:v>PASS</x:v>
      </x:c>
      <x:c r="AH41" t="str">
        <x:f>IF(NOT(ISNUMBER(T41)),"Needs supplier cost",IF(K41&lt;&gt;"In stock","Supplier unavailable",IF(AG41&lt;&gt;"PASS","BLOCK - GT loss risk","Commercially protected")))</x:f>
        <x:v>Commercially protected</x:v>
      </x:c>
      <x:c r="AI41" t="str">
        <x:v>2026-09-10 Active Sports trade capture</x:v>
      </x:c>
      <x:c r="AJ41" t="str">
        <x:v>Management-only economics. Stripe stress test uses 1.5% + £0.20 standard UK online-card fee; pallet/mix-and-match pricing ignored.</x:v>
      </x:c>
    </x:row>
    <x:row r="42">
      <x:c r="A42" s="10" t="str">
        <x:v>Active Sports Nutrition</x:v>
      </x:c>
      <x:c r="B42" s="10" t="str">
        <x:v>Applied Nutrition</x:v>
      </x:c>
      <x:c r="C42" s="10" t="str">
        <x:v>Critical Whey</x:v>
      </x:c>
      <x:c r="D42" s="10" t="str">
        <x:v>Supplements</x:v>
      </x:c>
      <x:c r="E42" s="10" t="str">
        <x:v>Whey Protein</x:v>
      </x:c>
      <x:c r="F42" s="10" t="str">
        <x:v>Whey protein blend manufactured from high-quality ingredients.</x:v>
      </x:c>
      <x:c r="G42" s="10" t="str">
        <x:v>2kg</x:v>
      </x:c>
      <x:c r="H42" s="10" t="str">
        <x:v>White Choc Pistachio</x:v>
      </x:c>
      <x:c r="I42" s="10" t="str"/>
      <x:c r="J42" s="10" t="str">
        <x:v>Unit</x:v>
      </x:c>
      <x:c r="K42" s="10" t="str">
        <x:v>In stock</x:v>
      </x:c>
      <x:c r="L42" s="10" t="str">
        <x:v>2026-09-08</x:v>
      </x:c>
      <x:c r="M42" s="10" t="str"/>
      <x:c r="N42" s="10" t="str"/>
      <x:c r="O42" s="10" t="str">
        <x:v>https://www.activesportstrade.co.uk/applied-nutrition-trade</x:v>
      </x:c>
      <x:c r="P42" s="10" t="str">
        <x:v>Promo/free-item text removed; one duplicate promotional listing consolidated.</x:v>
      </x:c>
      <x:c r="S42" t="str">
        <x:v>Pending genuine supplier/brand image</x:v>
      </x:c>
      <x:c r="T42" s="54" t="n">
        <x:v>21.99</x:v>
      </x:c>
      <x:c r="U42" s="47" t="n">
        <x:v>0.2</x:v>
      </x:c>
      <x:c r="V42" s="54" t="n">
        <x:f>IF(ISNUMBER(T42),T42*(1+U42),"")</x:f>
        <x:v>26.387999999999998</x:v>
      </x:c>
      <x:c r="W42" s="47" t="n">
        <x:v>0.3</x:v>
      </x:c>
      <x:c r="X42" s="54" t="n">
        <x:f>IF(ISNUMBER(V42),V42/(1-W42),"")</x:f>
        <x:v>37.69714285714286</x:v>
      </x:c>
      <x:c r="Y42" s="55" t="n">
        <x:f>IF(ISNUMBER(X42),ROUNDUP(X42,0),"")</x:f>
        <x:v>38</x:v>
      </x:c>
      <x:c r="Z42" t="str">
        <x:v>Source match pending</x:v>
      </x:c>
      <x:c r="AA42" t="str">
        <x:v>screencapture-www-activesportstrade-co-uk-applied-nutrition-trade-2026-09-10-08_59_59.pdf / page-10</x:v>
      </x:c>
      <x:c r="AB42" s="36" t="n">
        <x:f>IF(ISNUMBER(Y42),ROUND(Y42*0.9,2),"")</x:f>
        <x:v>34.2</x:v>
      </x:c>
      <x:c r="AC42" s="36" t="n">
        <x:f>IF(ISNUMBER(AB42),ROUND(AB42-(AB42*0.015+0.2)-V42,2),"")</x:f>
        <x:v>7.1</x:v>
      </x:c>
      <x:c r="AD42" s="36" t="n">
        <x:f>IF(ISNUMBER(Y42),ROUND(Y42*0.8,2),"")</x:f>
        <x:v>30.4</x:v>
      </x:c>
      <x:c r="AE42" s="36" t="n">
        <x:f>IF(ISNUMBER(AD42),ROUND(AD42*0.015+0.2,2),"")</x:f>
        <x:v>0.66</x:v>
      </x:c>
      <x:c r="AF42" s="36" t="n">
        <x:f>IF(ISNUMBER(AD42),ROUND(AD42-AE42-V42,2),"")</x:f>
        <x:v>3.35</x:v>
      </x:c>
      <x:c r="AG42" t="str">
        <x:f>IF(NOT(ISNUMBER(T42)),"PENDING",IF(AF42&gt;0,"PASS","FAIL"))</x:f>
        <x:v>PASS</x:v>
      </x:c>
      <x:c r="AH42" t="str">
        <x:f>IF(NOT(ISNUMBER(T42)),"Needs supplier cost",IF(K42&lt;&gt;"In stock","Supplier unavailable",IF(AG42&lt;&gt;"PASS","BLOCK - GT loss risk","Commercially protected")))</x:f>
        <x:v>Commercially protected</x:v>
      </x:c>
      <x:c r="AI42" t="str">
        <x:v>2026-09-10 Active Sports trade capture</x:v>
      </x:c>
      <x:c r="AJ42" t="str">
        <x:v>Management-only economics. Stripe stress test uses 1.5% + £0.20 standard UK online-card fee; pallet/mix-and-match pricing ignored.</x:v>
      </x:c>
    </x:row>
    <x:row r="43">
      <x:c r="A43" s="10" t="str">
        <x:v>Active Sports Nutrition</x:v>
      </x:c>
      <x:c r="B43" s="10" t="str">
        <x:v>Applied Nutrition</x:v>
      </x:c>
      <x:c r="C43" s="10" t="str">
        <x:v>Critical Whey</x:v>
      </x:c>
      <x:c r="D43" s="10" t="str">
        <x:v>Supplements</x:v>
      </x:c>
      <x:c r="E43" s="10" t="str">
        <x:v>Whey Protein</x:v>
      </x:c>
      <x:c r="F43" s="10" t="str">
        <x:v>Whey protein blend manufactured from high-quality ingredients.</x:v>
      </x:c>
      <x:c r="G43" s="10" t="str">
        <x:v>2kg</x:v>
      </x:c>
      <x:c r="H43" s="10" t="str">
        <x:v>White Choco Hazelnut</x:v>
      </x:c>
      <x:c r="I43" s="10" t="str"/>
      <x:c r="J43" s="10" t="str">
        <x:v>Unit</x:v>
      </x:c>
      <x:c r="K43" s="10" t="str">
        <x:v>In stock</x:v>
      </x:c>
      <x:c r="L43" s="10" t="str">
        <x:v>2026-09-08</x:v>
      </x:c>
      <x:c r="M43" s="10" t="str"/>
      <x:c r="N43" s="10" t="str"/>
      <x:c r="O43" s="10" t="str">
        <x:v>https://www.activesportstrade.co.uk/applied-nutrition-trade</x:v>
      </x:c>
      <x:c r="P43" s="10" t="str">
        <x:v>Promo/free-item text removed; one duplicate promotional listing consolidated.</x:v>
      </x:c>
      <x:c r="S43" t="str">
        <x:v>Pending genuine supplier/brand image</x:v>
      </x:c>
      <x:c r="T43" s="54" t="n">
        <x:v>21.99</x:v>
      </x:c>
      <x:c r="U43" s="47" t="n">
        <x:v>0.2</x:v>
      </x:c>
      <x:c r="V43" s="54" t="n">
        <x:f>IF(ISNUMBER(T43),T43*(1+U43),"")</x:f>
        <x:v>26.387999999999998</x:v>
      </x:c>
      <x:c r="W43" s="47" t="n">
        <x:v>0.3</x:v>
      </x:c>
      <x:c r="X43" s="54" t="n">
        <x:f>IF(ISNUMBER(V43),V43/(1-W43),"")</x:f>
        <x:v>37.69714285714286</x:v>
      </x:c>
      <x:c r="Y43" s="55" t="n">
        <x:f>IF(ISNUMBER(X43),ROUNDUP(X43,0),"")</x:f>
        <x:v>38</x:v>
      </x:c>
      <x:c r="Z43" t="str">
        <x:v>Source match pending</x:v>
      </x:c>
      <x:c r="AA43" t="str">
        <x:v>screencapture-www-activesportstrade-co-uk-applied-nutrition-trade-2026-09-10-08_59_59.pdf / page-10</x:v>
      </x:c>
      <x:c r="AB43" s="36" t="n">
        <x:f>IF(ISNUMBER(Y43),ROUND(Y43*0.9,2),"")</x:f>
        <x:v>34.2</x:v>
      </x:c>
      <x:c r="AC43" s="36" t="n">
        <x:f>IF(ISNUMBER(AB43),ROUND(AB43-(AB43*0.015+0.2)-V43,2),"")</x:f>
        <x:v>7.1</x:v>
      </x:c>
      <x:c r="AD43" s="36" t="n">
        <x:f>IF(ISNUMBER(Y43),ROUND(Y43*0.8,2),"")</x:f>
        <x:v>30.4</x:v>
      </x:c>
      <x:c r="AE43" s="36" t="n">
        <x:f>IF(ISNUMBER(AD43),ROUND(AD43*0.015+0.2,2),"")</x:f>
        <x:v>0.66</x:v>
      </x:c>
      <x:c r="AF43" s="36" t="n">
        <x:f>IF(ISNUMBER(AD43),ROUND(AD43-AE43-V43,2),"")</x:f>
        <x:v>3.35</x:v>
      </x:c>
      <x:c r="AG43" t="str">
        <x:f>IF(NOT(ISNUMBER(T43)),"PENDING",IF(AF43&gt;0,"PASS","FAIL"))</x:f>
        <x:v>PASS</x:v>
      </x:c>
      <x:c r="AH43" t="str">
        <x:f>IF(NOT(ISNUMBER(T43)),"Needs supplier cost",IF(K43&lt;&gt;"In stock","Supplier unavailable",IF(AG43&lt;&gt;"PASS","BLOCK - GT loss risk","Commercially protected")))</x:f>
        <x:v>Commercially protected</x:v>
      </x:c>
      <x:c r="AI43" t="str">
        <x:v>2026-09-10 Active Sports trade capture</x:v>
      </x:c>
      <x:c r="AJ43" t="str">
        <x:v>Management-only economics. Stripe stress test uses 1.5% + £0.20 standard UK online-card fee; pallet/mix-and-match pricing ignored.</x:v>
      </x:c>
    </x:row>
    <x:row r="44">
      <x:c r="A44" s="10" t="str">
        <x:v>Active Sports Nutrition</x:v>
      </x:c>
      <x:c r="B44" s="10" t="str">
        <x:v>Applied Nutrition</x:v>
      </x:c>
      <x:c r="C44" s="10" t="str">
        <x:v>Diet Whey Protein</x:v>
      </x:c>
      <x:c r="D44" s="10" t="str">
        <x:v>Supplements</x:v>
      </x:c>
      <x:c r="E44" s="10" t="str">
        <x:v>Diet Protein Shakes</x:v>
      </x:c>
      <x:c r="F44" s="10" t="str">
        <x:v>Weight-management protein formula.</x:v>
      </x:c>
      <x:c r="G44" s="10" t="str">
        <x:v>1.8kg</x:v>
      </x:c>
      <x:c r="H44" s="10" t="str">
        <x:v>Banana</x:v>
      </x:c>
      <x:c r="I44" s="10" t="str"/>
      <x:c r="J44" s="10" t="str">
        <x:v>Unit</x:v>
      </x:c>
      <x:c r="K44" s="10" t="str">
        <x:v>In stock</x:v>
      </x:c>
      <x:c r="L44" s="10" t="str">
        <x:v>2026-09-08</x:v>
      </x:c>
      <x:c r="M44" s="10" t="str"/>
      <x:c r="N44" s="10" t="str"/>
      <x:c r="O44" s="10" t="str">
        <x:v>https://www.activesportstrade.co.uk/applied-nutrition-trade</x:v>
      </x:c>
      <x:c r="P44" s="10" t="str"/>
      <x:c r="S44" t="str">
        <x:v>Pending genuine supplier/brand image</x:v>
      </x:c>
      <x:c r="T44" s="54" t="n">
        <x:v>37.31</x:v>
      </x:c>
      <x:c r="U44" s="47" t="n">
        <x:v>0.2</x:v>
      </x:c>
      <x:c r="V44" s="54" t="n">
        <x:f>IF(ISNUMBER(T44),T44*(1+U44),"")</x:f>
        <x:v>44.772</x:v>
      </x:c>
      <x:c r="W44" s="47" t="n">
        <x:v>0.3</x:v>
      </x:c>
      <x:c r="X44" s="54" t="n">
        <x:f>IF(ISNUMBER(V44),V44/(1-W44),"")</x:f>
        <x:v>63.96</x:v>
      </x:c>
      <x:c r="Y44" s="55" t="n">
        <x:f>IF(ISNUMBER(X44),ROUNDUP(X44,0),"")</x:f>
        <x:v>64</x:v>
      </x:c>
      <x:c r="Z44" t="str">
        <x:v>Source match pending</x:v>
      </x:c>
      <x:c r="AA44" t="str">
        <x:v>screencapture-www-activesportstrade-co-uk-applied-nutrition-trade-2026-09-10-08_59_59.pdf / page-11</x:v>
      </x:c>
      <x:c r="AB44" s="36" t="n">
        <x:f>IF(ISNUMBER(Y44),ROUND(Y44*0.9,2),"")</x:f>
        <x:v>57.6</x:v>
      </x:c>
      <x:c r="AC44" s="36" t="n">
        <x:f>IF(ISNUMBER(AB44),ROUND(AB44-(AB44*0.015+0.2)-V44,2),"")</x:f>
        <x:v>11.76</x:v>
      </x:c>
      <x:c r="AD44" s="36" t="n">
        <x:f>IF(ISNUMBER(Y44),ROUND(Y44*0.8,2),"")</x:f>
        <x:v>51.2</x:v>
      </x:c>
      <x:c r="AE44" s="36" t="n">
        <x:f>IF(ISNUMBER(AD44),ROUND(AD44*0.015+0.2,2),"")</x:f>
        <x:v>0.97</x:v>
      </x:c>
      <x:c r="AF44" s="36" t="n">
        <x:f>IF(ISNUMBER(AD44),ROUND(AD44-AE44-V44,2),"")</x:f>
        <x:v>5.46</x:v>
      </x:c>
      <x:c r="AG44" t="str">
        <x:f>IF(NOT(ISNUMBER(T44)),"PENDING",IF(AF44&gt;0,"PASS","FAIL"))</x:f>
        <x:v>PASS</x:v>
      </x:c>
      <x:c r="AH44" t="str">
        <x:f>IF(NOT(ISNUMBER(T44)),"Needs supplier cost",IF(K44&lt;&gt;"In stock","Supplier unavailable",IF(AG44&lt;&gt;"PASS","BLOCK - GT loss risk","Commercially protected")))</x:f>
        <x:v>Commercially protected</x:v>
      </x:c>
      <x:c r="AI44" t="str">
        <x:v>2026-09-10 Active Sports trade capture</x:v>
      </x:c>
      <x:c r="AJ44" t="str">
        <x:v>Management-only economics. Stripe stress test uses 1.5% + £0.20 standard UK online-card fee; pallet/mix-and-match pricing ignored.</x:v>
      </x:c>
    </x:row>
    <x:row r="45">
      <x:c r="A45" s="10" t="str">
        <x:v>Active Sports Nutrition</x:v>
      </x:c>
      <x:c r="B45" s="10" t="str">
        <x:v>Applied Nutrition</x:v>
      </x:c>
      <x:c r="C45" s="10" t="str">
        <x:v>Diet Whey Protein</x:v>
      </x:c>
      <x:c r="D45" s="10" t="str">
        <x:v>Supplements</x:v>
      </x:c>
      <x:c r="E45" s="10" t="str">
        <x:v>Diet Protein Shakes</x:v>
      </x:c>
      <x:c r="F45" s="10" t="str">
        <x:v>Weight-management protein formula.</x:v>
      </x:c>
      <x:c r="G45" s="10" t="str">
        <x:v>1.8kg</x:v>
      </x:c>
      <x:c r="H45" s="10" t="str">
        <x:v>Chocolate</x:v>
      </x:c>
      <x:c r="I45" s="10" t="str"/>
      <x:c r="J45" s="10" t="str">
        <x:v>Unit</x:v>
      </x:c>
      <x:c r="K45" s="10" t="str">
        <x:v>In stock</x:v>
      </x:c>
      <x:c r="L45" s="10" t="str">
        <x:v>2026-09-08</x:v>
      </x:c>
      <x:c r="M45" s="10" t="str"/>
      <x:c r="N45" s="10" t="str"/>
      <x:c r="O45" s="10" t="str">
        <x:v>https://www.activesportstrade.co.uk/applied-nutrition-trade</x:v>
      </x:c>
      <x:c r="P45" s="10" t="str"/>
      <x:c r="S45" t="str">
        <x:v>Pending genuine supplier/brand image</x:v>
      </x:c>
      <x:c r="T45" s="54" t="n">
        <x:v>37.31</x:v>
      </x:c>
      <x:c r="U45" s="47" t="n">
        <x:v>0.2</x:v>
      </x:c>
      <x:c r="V45" s="54" t="n">
        <x:f>IF(ISNUMBER(T45),T45*(1+U45),"")</x:f>
        <x:v>44.772</x:v>
      </x:c>
      <x:c r="W45" s="47" t="n">
        <x:v>0.3</x:v>
      </x:c>
      <x:c r="X45" s="54" t="n">
        <x:f>IF(ISNUMBER(V45),V45/(1-W45),"")</x:f>
        <x:v>63.96</x:v>
      </x:c>
      <x:c r="Y45" s="55" t="n">
        <x:f>IF(ISNUMBER(X45),ROUNDUP(X45,0),"")</x:f>
        <x:v>64</x:v>
      </x:c>
      <x:c r="Z45" t="str">
        <x:v>Source match pending</x:v>
      </x:c>
      <x:c r="AA45" t="str">
        <x:v>screencapture-www-activesportstrade-co-uk-applied-nutrition-trade-2026-09-10-08_59_59.pdf / page-11</x:v>
      </x:c>
      <x:c r="AB45" s="36" t="n">
        <x:f>IF(ISNUMBER(Y45),ROUND(Y45*0.9,2),"")</x:f>
        <x:v>57.6</x:v>
      </x:c>
      <x:c r="AC45" s="36" t="n">
        <x:f>IF(ISNUMBER(AB45),ROUND(AB45-(AB45*0.015+0.2)-V45,2),"")</x:f>
        <x:v>11.76</x:v>
      </x:c>
      <x:c r="AD45" s="36" t="n">
        <x:f>IF(ISNUMBER(Y45),ROUND(Y45*0.8,2),"")</x:f>
        <x:v>51.2</x:v>
      </x:c>
      <x:c r="AE45" s="36" t="n">
        <x:f>IF(ISNUMBER(AD45),ROUND(AD45*0.015+0.2,2),"")</x:f>
        <x:v>0.97</x:v>
      </x:c>
      <x:c r="AF45" s="36" t="n">
        <x:f>IF(ISNUMBER(AD45),ROUND(AD45-AE45-V45,2),"")</x:f>
        <x:v>5.46</x:v>
      </x:c>
      <x:c r="AG45" t="str">
        <x:f>IF(NOT(ISNUMBER(T45)),"PENDING",IF(AF45&gt;0,"PASS","FAIL"))</x:f>
        <x:v>PASS</x:v>
      </x:c>
      <x:c r="AH45" t="str">
        <x:f>IF(NOT(ISNUMBER(T45)),"Needs supplier cost",IF(K45&lt;&gt;"In stock","Supplier unavailable",IF(AG45&lt;&gt;"PASS","BLOCK - GT loss risk","Commercially protected")))</x:f>
        <x:v>Commercially protected</x:v>
      </x:c>
      <x:c r="AI45" t="str">
        <x:v>2026-09-10 Active Sports trade capture</x:v>
      </x:c>
      <x:c r="AJ45" t="str">
        <x:v>Management-only economics. Stripe stress test uses 1.5% + £0.20 standard UK online-card fee; pallet/mix-and-match pricing ignored.</x:v>
      </x:c>
    </x:row>
    <x:row r="46">
      <x:c r="A46" s="10" t="str">
        <x:v>Active Sports Nutrition</x:v>
      </x:c>
      <x:c r="B46" s="10" t="str">
        <x:v>Applied Nutrition</x:v>
      </x:c>
      <x:c r="C46" s="10" t="str">
        <x:v>Diet Whey Protein</x:v>
      </x:c>
      <x:c r="D46" s="10" t="str">
        <x:v>Supplements</x:v>
      </x:c>
      <x:c r="E46" s="10" t="str">
        <x:v>Diet Protein Shakes</x:v>
      </x:c>
      <x:c r="F46" s="10" t="str">
        <x:v>Weight-management protein formula.</x:v>
      </x:c>
      <x:c r="G46" s="10" t="str">
        <x:v>1.8kg</x:v>
      </x:c>
      <x:c r="H46" s="10" t="str">
        <x:v>Strawberry</x:v>
      </x:c>
      <x:c r="I46" s="10" t="str"/>
      <x:c r="J46" s="10" t="str">
        <x:v>Unit</x:v>
      </x:c>
      <x:c r="K46" s="10" t="str">
        <x:v>In stock</x:v>
      </x:c>
      <x:c r="L46" s="10" t="str">
        <x:v>2026-09-08</x:v>
      </x:c>
      <x:c r="M46" s="10" t="str"/>
      <x:c r="N46" s="10" t="str"/>
      <x:c r="O46" s="10" t="str">
        <x:v>https://www.activesportstrade.co.uk/applied-nutrition-trade</x:v>
      </x:c>
      <x:c r="P46" s="10" t="str"/>
      <x:c r="S46" t="str">
        <x:v>Pending genuine supplier/brand image</x:v>
      </x:c>
      <x:c r="T46" s="54" t="n">
        <x:v>37.31</x:v>
      </x:c>
      <x:c r="U46" s="47" t="n">
        <x:v>0.2</x:v>
      </x:c>
      <x:c r="V46" s="54" t="n">
        <x:f>IF(ISNUMBER(T46),T46*(1+U46),"")</x:f>
        <x:v>44.772</x:v>
      </x:c>
      <x:c r="W46" s="47" t="n">
        <x:v>0.3</x:v>
      </x:c>
      <x:c r="X46" s="54" t="n">
        <x:f>IF(ISNUMBER(V46),V46/(1-W46),"")</x:f>
        <x:v>63.96</x:v>
      </x:c>
      <x:c r="Y46" s="55" t="n">
        <x:f>IF(ISNUMBER(X46),ROUNDUP(X46,0),"")</x:f>
        <x:v>64</x:v>
      </x:c>
      <x:c r="Z46" t="str">
        <x:v>Source match pending</x:v>
      </x:c>
      <x:c r="AA46" t="str">
        <x:v>screencapture-www-activesportstrade-co-uk-applied-nutrition-trade-2026-09-10-08_59_59.pdf / page-11</x:v>
      </x:c>
      <x:c r="AB46" s="36" t="n">
        <x:f>IF(ISNUMBER(Y46),ROUND(Y46*0.9,2),"")</x:f>
        <x:v>57.6</x:v>
      </x:c>
      <x:c r="AC46" s="36" t="n">
        <x:f>IF(ISNUMBER(AB46),ROUND(AB46-(AB46*0.015+0.2)-V46,2),"")</x:f>
        <x:v>11.76</x:v>
      </x:c>
      <x:c r="AD46" s="36" t="n">
        <x:f>IF(ISNUMBER(Y46),ROUND(Y46*0.8,2),"")</x:f>
        <x:v>51.2</x:v>
      </x:c>
      <x:c r="AE46" s="36" t="n">
        <x:f>IF(ISNUMBER(AD46),ROUND(AD46*0.015+0.2,2),"")</x:f>
        <x:v>0.97</x:v>
      </x:c>
      <x:c r="AF46" s="36" t="n">
        <x:f>IF(ISNUMBER(AD46),ROUND(AD46-AE46-V46,2),"")</x:f>
        <x:v>5.46</x:v>
      </x:c>
      <x:c r="AG46" t="str">
        <x:f>IF(NOT(ISNUMBER(T46)),"PENDING",IF(AF46&gt;0,"PASS","FAIL"))</x:f>
        <x:v>PASS</x:v>
      </x:c>
      <x:c r="AH46" t="str">
        <x:f>IF(NOT(ISNUMBER(T46)),"Needs supplier cost",IF(K46&lt;&gt;"In stock","Supplier unavailable",IF(AG46&lt;&gt;"PASS","BLOCK - GT loss risk","Commercially protected")))</x:f>
        <x:v>Commercially protected</x:v>
      </x:c>
      <x:c r="AI46" t="str">
        <x:v>2026-09-10 Active Sports trade capture</x:v>
      </x:c>
      <x:c r="AJ46" t="str">
        <x:v>Management-only economics. Stripe stress test uses 1.5% + £0.20 standard UK online-card fee; pallet/mix-and-match pricing ignored.</x:v>
      </x:c>
    </x:row>
    <x:row r="47">
      <x:c r="A47" s="10" t="str">
        <x:v>Active Sports Nutrition</x:v>
      </x:c>
      <x:c r="B47" s="10" t="str">
        <x:v>Applied Nutrition</x:v>
      </x:c>
      <x:c r="C47" s="10" t="str">
        <x:v>Diet Whey Protein</x:v>
      </x:c>
      <x:c r="D47" s="10" t="str">
        <x:v>Supplements</x:v>
      </x:c>
      <x:c r="E47" s="10" t="str">
        <x:v>Diet Protein Shakes</x:v>
      </x:c>
      <x:c r="F47" s="10" t="str">
        <x:v>Weight-management protein formula.</x:v>
      </x:c>
      <x:c r="G47" s="10" t="str">
        <x:v>1.8kg</x:v>
      </x:c>
      <x:c r="H47" s="10" t="str">
        <x:v>Vanilla</x:v>
      </x:c>
      <x:c r="I47" s="10" t="str"/>
      <x:c r="J47" s="10" t="str">
        <x:v>Unit</x:v>
      </x:c>
      <x:c r="K47" s="10" t="str">
        <x:v>In stock</x:v>
      </x:c>
      <x:c r="L47" s="10" t="str">
        <x:v>2026-09-08</x:v>
      </x:c>
      <x:c r="M47" s="10" t="str"/>
      <x:c r="N47" s="10" t="str"/>
      <x:c r="O47" s="10" t="str">
        <x:v>https://www.activesportstrade.co.uk/applied-nutrition-trade</x:v>
      </x:c>
      <x:c r="P47" s="10" t="str"/>
      <x:c r="S47" t="str">
        <x:v>Pending genuine supplier/brand image</x:v>
      </x:c>
      <x:c r="T47" s="54" t="n">
        <x:v>37.31</x:v>
      </x:c>
      <x:c r="U47" s="47" t="n">
        <x:v>0.2</x:v>
      </x:c>
      <x:c r="V47" s="54" t="n">
        <x:f>IF(ISNUMBER(T47),T47*(1+U47),"")</x:f>
        <x:v>44.772</x:v>
      </x:c>
      <x:c r="W47" s="47" t="n">
        <x:v>0.3</x:v>
      </x:c>
      <x:c r="X47" s="54" t="n">
        <x:f>IF(ISNUMBER(V47),V47/(1-W47),"")</x:f>
        <x:v>63.96</x:v>
      </x:c>
      <x:c r="Y47" s="55" t="n">
        <x:f>IF(ISNUMBER(X47),ROUNDUP(X47,0),"")</x:f>
        <x:v>64</x:v>
      </x:c>
      <x:c r="Z47" t="str">
        <x:v>Source match pending</x:v>
      </x:c>
      <x:c r="AA47" t="str">
        <x:v>screencapture-www-activesportstrade-co-uk-applied-nutrition-trade-2026-09-10-08_59_59.pdf / page-11</x:v>
      </x:c>
      <x:c r="AB47" s="36" t="n">
        <x:f>IF(ISNUMBER(Y47),ROUND(Y47*0.9,2),"")</x:f>
        <x:v>57.6</x:v>
      </x:c>
      <x:c r="AC47" s="36" t="n">
        <x:f>IF(ISNUMBER(AB47),ROUND(AB47-(AB47*0.015+0.2)-V47,2),"")</x:f>
        <x:v>11.76</x:v>
      </x:c>
      <x:c r="AD47" s="36" t="n">
        <x:f>IF(ISNUMBER(Y47),ROUND(Y47*0.8,2),"")</x:f>
        <x:v>51.2</x:v>
      </x:c>
      <x:c r="AE47" s="36" t="n">
        <x:f>IF(ISNUMBER(AD47),ROUND(AD47*0.015+0.2,2),"")</x:f>
        <x:v>0.97</x:v>
      </x:c>
      <x:c r="AF47" s="36" t="n">
        <x:f>IF(ISNUMBER(AD47),ROUND(AD47-AE47-V47,2),"")</x:f>
        <x:v>5.46</x:v>
      </x:c>
      <x:c r="AG47" t="str">
        <x:f>IF(NOT(ISNUMBER(T47)),"PENDING",IF(AF47&gt;0,"PASS","FAIL"))</x:f>
        <x:v>PASS</x:v>
      </x:c>
      <x:c r="AH47" t="str">
        <x:f>IF(NOT(ISNUMBER(T47)),"Needs supplier cost",IF(K47&lt;&gt;"In stock","Supplier unavailable",IF(AG47&lt;&gt;"PASS","BLOCK - GT loss risk","Commercially protected")))</x:f>
        <x:v>Commercially protected</x:v>
      </x:c>
      <x:c r="AI47" t="str">
        <x:v>2026-09-10 Active Sports trade capture</x:v>
      </x:c>
      <x:c r="AJ47" t="str">
        <x:v>Management-only economics. Stripe stress test uses 1.5% + £0.20 standard UK online-card fee; pallet/mix-and-match pricing ignored.</x:v>
      </x:c>
    </x:row>
    <x:row r="48">
      <x:c r="A48" s="10" t="str">
        <x:v>Active Sports Nutrition</x:v>
      </x:c>
      <x:c r="B48" s="10" t="str">
        <x:v>Applied Nutrition</x:v>
      </x:c>
      <x:c r="C48" s="10" t="str">
        <x:v>Diet Whey Protein</x:v>
      </x:c>
      <x:c r="D48" s="10" t="str">
        <x:v>Supplements</x:v>
      </x:c>
      <x:c r="E48" s="10" t="str">
        <x:v>Diet Protein Shakes</x:v>
      </x:c>
      <x:c r="F48" s="10" t="str">
        <x:v>Weight-management protein formula.</x:v>
      </x:c>
      <x:c r="G48" s="10" t="str">
        <x:v>1kg</x:v>
      </x:c>
      <x:c r="H48" s="10" t="str">
        <x:v>Banana Milkshake</x:v>
      </x:c>
      <x:c r="I48" s="10" t="str"/>
      <x:c r="J48" s="10" t="str">
        <x:v>Unit</x:v>
      </x:c>
      <x:c r="K48" s="10" t="str">
        <x:v>In stock</x:v>
      </x:c>
      <x:c r="L48" s="10" t="str">
        <x:v>2026-09-08</x:v>
      </x:c>
      <x:c r="M48" s="10" t="str"/>
      <x:c r="N48" s="10" t="str"/>
      <x:c r="O48" s="10" t="str">
        <x:v>https://www.activesportstrade.co.uk/applied-nutrition-trade</x:v>
      </x:c>
      <x:c r="P48" s="10" t="str"/>
      <x:c r="S48" t="str">
        <x:v>Pending genuine supplier/brand image</x:v>
      </x:c>
      <x:c r="T48" s="54" t="n">
        <x:v>19.55</x:v>
      </x:c>
      <x:c r="U48" s="47" t="n">
        <x:v>0.2</x:v>
      </x:c>
      <x:c r="V48" s="54" t="n">
        <x:f>IF(ISNUMBER(T48),T48*(1+U48),"")</x:f>
        <x:v>23.46</x:v>
      </x:c>
      <x:c r="W48" s="47" t="n">
        <x:v>0.3</x:v>
      </x:c>
      <x:c r="X48" s="54" t="n">
        <x:f>IF(ISNUMBER(V48),V48/(1-W48),"")</x:f>
        <x:v>33.51428571428572</x:v>
      </x:c>
      <x:c r="Y48" s="55" t="n">
        <x:f>IF(ISNUMBER(X48),ROUNDUP(X48,0),"")</x:f>
        <x:v>34</x:v>
      </x:c>
      <x:c r="Z48" t="str">
        <x:v>Source match pending</x:v>
      </x:c>
      <x:c r="AA48" t="str">
        <x:v>screencapture-www-activesportstrade-co-uk-applied-nutrition-trade-2026-09-10-08_59_59.pdf / page-11</x:v>
      </x:c>
      <x:c r="AB48" s="36" t="n">
        <x:f>IF(ISNUMBER(Y48),ROUND(Y48*0.9,2),"")</x:f>
        <x:v>30.6</x:v>
      </x:c>
      <x:c r="AC48" s="36" t="n">
        <x:f>IF(ISNUMBER(AB48),ROUND(AB48-(AB48*0.015+0.2)-V48,2),"")</x:f>
        <x:v>6.48</x:v>
      </x:c>
      <x:c r="AD48" s="36" t="n">
        <x:f>IF(ISNUMBER(Y48),ROUND(Y48*0.8,2),"")</x:f>
        <x:v>27.2</x:v>
      </x:c>
      <x:c r="AE48" s="36" t="n">
        <x:f>IF(ISNUMBER(AD48),ROUND(AD48*0.015+0.2,2),"")</x:f>
        <x:v>0.61</x:v>
      </x:c>
      <x:c r="AF48" s="36" t="n">
        <x:f>IF(ISNUMBER(AD48),ROUND(AD48-AE48-V48,2),"")</x:f>
        <x:v>3.13</x:v>
      </x:c>
      <x:c r="AG48" t="str">
        <x:f>IF(NOT(ISNUMBER(T48)),"PENDING",IF(AF48&gt;0,"PASS","FAIL"))</x:f>
        <x:v>PASS</x:v>
      </x:c>
      <x:c r="AH48" t="str">
        <x:f>IF(NOT(ISNUMBER(T48)),"Needs supplier cost",IF(K48&lt;&gt;"In stock","Supplier unavailable",IF(AG48&lt;&gt;"PASS","BLOCK - GT loss risk","Commercially protected")))</x:f>
        <x:v>Commercially protected</x:v>
      </x:c>
      <x:c r="AI48" t="str">
        <x:v>2026-09-10 Active Sports trade capture</x:v>
      </x:c>
      <x:c r="AJ48" t="str">
        <x:v>Management-only economics. Stripe stress test uses 1.5% + £0.20 standard UK online-card fee; pallet/mix-and-match pricing ignored.</x:v>
      </x:c>
    </x:row>
    <x:row r="49">
      <x:c r="A49" s="10" t="str">
        <x:v>Active Sports Nutrition</x:v>
      </x:c>
      <x:c r="B49" s="10" t="str">
        <x:v>Applied Nutrition</x:v>
      </x:c>
      <x:c r="C49" s="10" t="str">
        <x:v>Diet Whey Protein</x:v>
      </x:c>
      <x:c r="D49" s="10" t="str">
        <x:v>Supplements</x:v>
      </x:c>
      <x:c r="E49" s="10" t="str">
        <x:v>Diet Protein Shakes</x:v>
      </x:c>
      <x:c r="F49" s="10" t="str">
        <x:v>Weight-management protein formula.</x:v>
      </x:c>
      <x:c r="G49" s="10" t="str">
        <x:v>1kg</x:v>
      </x:c>
      <x:c r="H49" s="10" t="str">
        <x:v>Chocolate Dessert</x:v>
      </x:c>
      <x:c r="I49" s="10" t="str"/>
      <x:c r="J49" s="10" t="str">
        <x:v>Unit</x:v>
      </x:c>
      <x:c r="K49" s="10" t="str">
        <x:v>In stock</x:v>
      </x:c>
      <x:c r="L49" s="10" t="str">
        <x:v>2026-09-08</x:v>
      </x:c>
      <x:c r="M49" s="10" t="str"/>
      <x:c r="N49" s="10" t="str"/>
      <x:c r="O49" s="10" t="str">
        <x:v>https://www.activesportstrade.co.uk/applied-nutrition-trade</x:v>
      </x:c>
      <x:c r="P49" s="10" t="str"/>
      <x:c r="S49" t="str">
        <x:v>Pending genuine supplier/brand image</x:v>
      </x:c>
      <x:c r="T49" s="54" t="n">
        <x:v>19.55</x:v>
      </x:c>
      <x:c r="U49" s="47" t="n">
        <x:v>0.2</x:v>
      </x:c>
      <x:c r="V49" s="54" t="n">
        <x:f>IF(ISNUMBER(T49),T49*(1+U49),"")</x:f>
        <x:v>23.46</x:v>
      </x:c>
      <x:c r="W49" s="47" t="n">
        <x:v>0.3</x:v>
      </x:c>
      <x:c r="X49" s="54" t="n">
        <x:f>IF(ISNUMBER(V49),V49/(1-W49),"")</x:f>
        <x:v>33.51428571428572</x:v>
      </x:c>
      <x:c r="Y49" s="55" t="n">
        <x:f>IF(ISNUMBER(X49),ROUNDUP(X49,0),"")</x:f>
        <x:v>34</x:v>
      </x:c>
      <x:c r="Z49" t="str">
        <x:v>Source match pending</x:v>
      </x:c>
      <x:c r="AA49" t="str">
        <x:v>screencapture-www-activesportstrade-co-uk-applied-nutrition-trade-2026-09-10-08_59_59.pdf / page-11</x:v>
      </x:c>
      <x:c r="AB49" s="36" t="n">
        <x:f>IF(ISNUMBER(Y49),ROUND(Y49*0.9,2),"")</x:f>
        <x:v>30.6</x:v>
      </x:c>
      <x:c r="AC49" s="36" t="n">
        <x:f>IF(ISNUMBER(AB49),ROUND(AB49-(AB49*0.015+0.2)-V49,2),"")</x:f>
        <x:v>6.48</x:v>
      </x:c>
      <x:c r="AD49" s="36" t="n">
        <x:f>IF(ISNUMBER(Y49),ROUND(Y49*0.8,2),"")</x:f>
        <x:v>27.2</x:v>
      </x:c>
      <x:c r="AE49" s="36" t="n">
        <x:f>IF(ISNUMBER(AD49),ROUND(AD49*0.015+0.2,2),"")</x:f>
        <x:v>0.61</x:v>
      </x:c>
      <x:c r="AF49" s="36" t="n">
        <x:f>IF(ISNUMBER(AD49),ROUND(AD49-AE49-V49,2),"")</x:f>
        <x:v>3.13</x:v>
      </x:c>
      <x:c r="AG49" t="str">
        <x:f>IF(NOT(ISNUMBER(T49)),"PENDING",IF(AF49&gt;0,"PASS","FAIL"))</x:f>
        <x:v>PASS</x:v>
      </x:c>
      <x:c r="AH49" t="str">
        <x:f>IF(NOT(ISNUMBER(T49)),"Needs supplier cost",IF(K49&lt;&gt;"In stock","Supplier unavailable",IF(AG49&lt;&gt;"PASS","BLOCK - GT loss risk","Commercially protected")))</x:f>
        <x:v>Commercially protected</x:v>
      </x:c>
      <x:c r="AI49" t="str">
        <x:v>2026-09-10 Active Sports trade capture</x:v>
      </x:c>
      <x:c r="AJ49" t="str">
        <x:v>Management-only economics. Stripe stress test uses 1.5% + £0.20 standard UK online-card fee; pallet/mix-and-match pricing ignored.</x:v>
      </x:c>
    </x:row>
    <x:row r="50">
      <x:c r="A50" s="10" t="str">
        <x:v>Active Sports Nutrition</x:v>
      </x:c>
      <x:c r="B50" s="10" t="str">
        <x:v>Applied Nutrition</x:v>
      </x:c>
      <x:c r="C50" s="10" t="str">
        <x:v>Diet Whey Protein</x:v>
      </x:c>
      <x:c r="D50" s="10" t="str">
        <x:v>Supplements</x:v>
      </x:c>
      <x:c r="E50" s="10" t="str">
        <x:v>Diet Protein Shakes</x:v>
      </x:c>
      <x:c r="F50" s="10" t="str">
        <x:v>Weight-management protein formula.</x:v>
      </x:c>
      <x:c r="G50" s="10" t="str">
        <x:v>1kg</x:v>
      </x:c>
      <x:c r="H50" s="10" t="str">
        <x:v>Strawberry Milkshake</x:v>
      </x:c>
      <x:c r="I50" s="10" t="str"/>
      <x:c r="J50" s="10" t="str">
        <x:v>Unit</x:v>
      </x:c>
      <x:c r="K50" s="10" t="str">
        <x:v>In stock</x:v>
      </x:c>
      <x:c r="L50" s="10" t="str">
        <x:v>2026-09-08</x:v>
      </x:c>
      <x:c r="M50" s="10" t="str"/>
      <x:c r="N50" s="10" t="str"/>
      <x:c r="O50" s="10" t="str">
        <x:v>https://www.activesportstrade.co.uk/applied-nutrition-trade</x:v>
      </x:c>
      <x:c r="P50" s="10" t="str"/>
      <x:c r="S50" t="str">
        <x:v>Pending genuine supplier/brand image</x:v>
      </x:c>
      <x:c r="T50" s="54" t="n">
        <x:v>19.55</x:v>
      </x:c>
      <x:c r="U50" s="47" t="n">
        <x:v>0.2</x:v>
      </x:c>
      <x:c r="V50" s="54" t="n">
        <x:f>IF(ISNUMBER(T50),T50*(1+U50),"")</x:f>
        <x:v>23.46</x:v>
      </x:c>
      <x:c r="W50" s="47" t="n">
        <x:v>0.3</x:v>
      </x:c>
      <x:c r="X50" s="54" t="n">
        <x:f>IF(ISNUMBER(V50),V50/(1-W50),"")</x:f>
        <x:v>33.51428571428572</x:v>
      </x:c>
      <x:c r="Y50" s="55" t="n">
        <x:f>IF(ISNUMBER(X50),ROUNDUP(X50,0),"")</x:f>
        <x:v>34</x:v>
      </x:c>
      <x:c r="Z50" t="str">
        <x:v>Source match pending</x:v>
      </x:c>
      <x:c r="AA50" t="str">
        <x:v>screencapture-www-activesportstrade-co-uk-applied-nutrition-trade-2026-09-10-08_59_59.pdf / page-11</x:v>
      </x:c>
      <x:c r="AB50" s="36" t="n">
        <x:f>IF(ISNUMBER(Y50),ROUND(Y50*0.9,2),"")</x:f>
        <x:v>30.6</x:v>
      </x:c>
      <x:c r="AC50" s="36" t="n">
        <x:f>IF(ISNUMBER(AB50),ROUND(AB50-(AB50*0.015+0.2)-V50,2),"")</x:f>
        <x:v>6.48</x:v>
      </x:c>
      <x:c r="AD50" s="36" t="n">
        <x:f>IF(ISNUMBER(Y50),ROUND(Y50*0.8,2),"")</x:f>
        <x:v>27.2</x:v>
      </x:c>
      <x:c r="AE50" s="36" t="n">
        <x:f>IF(ISNUMBER(AD50),ROUND(AD50*0.015+0.2,2),"")</x:f>
        <x:v>0.61</x:v>
      </x:c>
      <x:c r="AF50" s="36" t="n">
        <x:f>IF(ISNUMBER(AD50),ROUND(AD50-AE50-V50,2),"")</x:f>
        <x:v>3.13</x:v>
      </x:c>
      <x:c r="AG50" t="str">
        <x:f>IF(NOT(ISNUMBER(T50)),"PENDING",IF(AF50&gt;0,"PASS","FAIL"))</x:f>
        <x:v>PASS</x:v>
      </x:c>
      <x:c r="AH50" t="str">
        <x:f>IF(NOT(ISNUMBER(T50)),"Needs supplier cost",IF(K50&lt;&gt;"In stock","Supplier unavailable",IF(AG50&lt;&gt;"PASS","BLOCK - GT loss risk","Commercially protected")))</x:f>
        <x:v>Commercially protected</x:v>
      </x:c>
      <x:c r="AI50" t="str">
        <x:v>2026-09-10 Active Sports trade capture</x:v>
      </x:c>
      <x:c r="AJ50" t="str">
        <x:v>Management-only economics. Stripe stress test uses 1.5% + £0.20 standard UK online-card fee; pallet/mix-and-match pricing ignored.</x:v>
      </x:c>
    </x:row>
    <x:row r="51">
      <x:c r="A51" s="10" t="str">
        <x:v>Active Sports Nutrition</x:v>
      </x:c>
      <x:c r="B51" s="10" t="str">
        <x:v>Applied Nutrition</x:v>
      </x:c>
      <x:c r="C51" s="10" t="str">
        <x:v>Diet Whey Protein</x:v>
      </x:c>
      <x:c r="D51" s="10" t="str">
        <x:v>Supplements</x:v>
      </x:c>
      <x:c r="E51" s="10" t="str">
        <x:v>Diet Protein Shakes</x:v>
      </x:c>
      <x:c r="F51" s="10" t="str">
        <x:v>Weight-management protein formula.</x:v>
      </x:c>
      <x:c r="G51" s="10" t="str">
        <x:v>1kg</x:v>
      </x:c>
      <x:c r="H51" s="10" t="str">
        <x:v>Vanilla Cream</x:v>
      </x:c>
      <x:c r="I51" s="10" t="str"/>
      <x:c r="J51" s="10" t="str">
        <x:v>Unit</x:v>
      </x:c>
      <x:c r="K51" s="10" t="str">
        <x:v>Out of stock</x:v>
      </x:c>
      <x:c r="L51" s="10" t="str">
        <x:v>2026-09-08</x:v>
      </x:c>
      <x:c r="M51" s="10" t="str"/>
      <x:c r="N51" s="10" t="str"/>
      <x:c r="O51" s="10" t="str">
        <x:v>https://www.activesportstrade.co.uk/applied-nutrition-trade</x:v>
      </x:c>
      <x:c r="P51" s="10" t="str"/>
      <x:c r="S51" t="str">
        <x:v>Pending genuine supplier/brand image</x:v>
      </x:c>
      <x:c r="T51" s="54" t="n">
        <x:v>19.55</x:v>
      </x:c>
      <x:c r="U51" s="47" t="n">
        <x:v>0.2</x:v>
      </x:c>
      <x:c r="V51" s="54" t="n">
        <x:f>IF(ISNUMBER(T51),T51*(1+U51),"")</x:f>
        <x:v>23.46</x:v>
      </x:c>
      <x:c r="W51" s="47" t="n">
        <x:v>0.3</x:v>
      </x:c>
      <x:c r="X51" s="54" t="n">
        <x:f>IF(ISNUMBER(V51),V51/(1-W51),"")</x:f>
        <x:v>33.51428571428572</x:v>
      </x:c>
      <x:c r="Y51" s="55" t="n">
        <x:f>IF(ISNUMBER(X51),ROUNDUP(X51,0),"")</x:f>
        <x:v>34</x:v>
      </x:c>
      <x:c r="Z51" t="str">
        <x:v>Source match pending</x:v>
      </x:c>
      <x:c r="AA51" t="str">
        <x:v>screencapture-www-activesportstrade-co-uk-applied-nutrition-trade-2026-09-10-08_59_59.pdf / page-11</x:v>
      </x:c>
      <x:c r="AB51" s="36" t="n">
        <x:f>IF(ISNUMBER(Y51),ROUND(Y51*0.9,2),"")</x:f>
        <x:v>30.6</x:v>
      </x:c>
      <x:c r="AC51" s="36" t="n">
        <x:f>IF(ISNUMBER(AB51),ROUND(AB51-(AB51*0.015+0.2)-V51,2),"")</x:f>
        <x:v>6.48</x:v>
      </x:c>
      <x:c r="AD51" s="36" t="n">
        <x:f>IF(ISNUMBER(Y51),ROUND(Y51*0.8,2),"")</x:f>
        <x:v>27.2</x:v>
      </x:c>
      <x:c r="AE51" s="36" t="n">
        <x:f>IF(ISNUMBER(AD51),ROUND(AD51*0.015+0.2,2),"")</x:f>
        <x:v>0.61</x:v>
      </x:c>
      <x:c r="AF51" s="36" t="n">
        <x:f>IF(ISNUMBER(AD51),ROUND(AD51-AE51-V51,2),"")</x:f>
        <x:v>3.13</x:v>
      </x:c>
      <x:c r="AG51" t="str">
        <x:f>IF(NOT(ISNUMBER(T51)),"PENDING",IF(AF51&gt;0,"PASS","FAIL"))</x:f>
        <x:v>PASS</x:v>
      </x:c>
      <x:c r="AH51" t="str">
        <x:f>IF(NOT(ISNUMBER(T51)),"Needs supplier cost",IF(K51&lt;&gt;"In stock","Supplier unavailable",IF(AG51&lt;&gt;"PASS","BLOCK - GT loss risk","Commercially protected")))</x:f>
        <x:v>Supplier unavailable</x:v>
      </x:c>
      <x:c r="AI51" t="str">
        <x:v>2026-09-10 Active Sports trade capture</x:v>
      </x:c>
      <x:c r="AJ51" t="str">
        <x:v>Management-only economics. Stripe stress test uses 1.5% + £0.20 standard UK online-card fee; pallet/mix-and-match pricing ignored.</x:v>
      </x:c>
    </x:row>
    <x:row r="52">
      <x:c r="A52" s="10" t="str">
        <x:v>Active Sports Nutrition</x:v>
      </x:c>
      <x:c r="B52" s="10" t="str">
        <x:v>Applied Nutrition</x:v>
      </x:c>
      <x:c r="C52" s="10" t="str">
        <x:v>ISO-XP Whey Protein Isolate</x:v>
      </x:c>
      <x:c r="D52" s="10" t="str">
        <x:v>Supplements</x:v>
      </x:c>
      <x:c r="E52" s="10" t="str">
        <x:v>Whey Protein</x:v>
      </x:c>
      <x:c r="F52" s="10" t="str">
        <x:v>High-protein whey isolate.</x:v>
      </x:c>
      <x:c r="G52" s="10" t="str">
        <x:v>1.8kg</x:v>
      </x:c>
      <x:c r="H52" s="10" t="str">
        <x:v>Banana</x:v>
      </x:c>
      <x:c r="I52" s="10" t="str"/>
      <x:c r="J52" s="10" t="str">
        <x:v>Unit</x:v>
      </x:c>
      <x:c r="K52" s="10" t="str">
        <x:v>In stock</x:v>
      </x:c>
      <x:c r="L52" s="10" t="str">
        <x:v>2026-09-08</x:v>
      </x:c>
      <x:c r="M52" s="10" t="str"/>
      <x:c r="N52" s="10" t="str"/>
      <x:c r="O52" s="10" t="str">
        <x:v>https://www.activesportstrade.co.uk/applied-nutrition-trade</x:v>
      </x:c>
      <x:c r="P52" s="10" t="str"/>
      <x:c r="S52" t="str">
        <x:v>Pending genuine supplier/brand image</x:v>
      </x:c>
      <x:c r="T52" s="54" t="n">
        <x:v>55.38</x:v>
      </x:c>
      <x:c r="U52" s="47" t="n">
        <x:v>0.2</x:v>
      </x:c>
      <x:c r="V52" s="54" t="n">
        <x:f>IF(ISNUMBER(T52),T52*(1+U52),"")</x:f>
        <x:v>66.456</x:v>
      </x:c>
      <x:c r="W52" s="47" t="n">
        <x:v>0.3</x:v>
      </x:c>
      <x:c r="X52" s="54" t="n">
        <x:f>IF(ISNUMBER(V52),V52/(1-W52),"")</x:f>
        <x:v>94.93714285714287</x:v>
      </x:c>
      <x:c r="Y52" s="55" t="n">
        <x:f>IF(ISNUMBER(X52),ROUNDUP(X52,0),"")</x:f>
        <x:v>95</x:v>
      </x:c>
      <x:c r="Z52" t="str">
        <x:v>Source match pending</x:v>
      </x:c>
      <x:c r="AA52" t="str">
        <x:v>screencapture-www-activesportstrade-co-uk-applied-nutrition-trade-2026-09-10-08_59_59.pdf / page-13</x:v>
      </x:c>
      <x:c r="AB52" s="36" t="n">
        <x:f>IF(ISNUMBER(Y52),ROUND(Y52*0.9,2),"")</x:f>
        <x:v>85.5</x:v>
      </x:c>
      <x:c r="AC52" s="36" t="n">
        <x:f>IF(ISNUMBER(AB52),ROUND(AB52-(AB52*0.015+0.2)-V52,2),"")</x:f>
        <x:v>17.56</x:v>
      </x:c>
      <x:c r="AD52" s="36" t="n">
        <x:f>IF(ISNUMBER(Y52),ROUND(Y52*0.8,2),"")</x:f>
        <x:v>76</x:v>
      </x:c>
      <x:c r="AE52" s="36" t="n">
        <x:f>IF(ISNUMBER(AD52),ROUND(AD52*0.015+0.2,2),"")</x:f>
        <x:v>1.34</x:v>
      </x:c>
      <x:c r="AF52" s="36" t="n">
        <x:f>IF(ISNUMBER(AD52),ROUND(AD52-AE52-V52,2),"")</x:f>
        <x:v>8.2</x:v>
      </x:c>
      <x:c r="AG52" t="str">
        <x:f>IF(NOT(ISNUMBER(T52)),"PENDING",IF(AF52&gt;0,"PASS","FAIL"))</x:f>
        <x:v>PASS</x:v>
      </x:c>
      <x:c r="AH52" t="str">
        <x:f>IF(NOT(ISNUMBER(T52)),"Needs supplier cost",IF(K52&lt;&gt;"In stock","Supplier unavailable",IF(AG52&lt;&gt;"PASS","BLOCK - GT loss risk","Commercially protected")))</x:f>
        <x:v>Commercially protected</x:v>
      </x:c>
      <x:c r="AI52" t="str">
        <x:v>2026-09-10 Active Sports trade capture</x:v>
      </x:c>
      <x:c r="AJ52" t="str">
        <x:v>Management-only economics. Stripe stress test uses 1.5% + £0.20 standard UK online-card fee; pallet/mix-and-match pricing ignored.</x:v>
      </x:c>
    </x:row>
    <x:row r="53">
      <x:c r="A53" s="10" t="str">
        <x:v>Active Sports Nutrition</x:v>
      </x:c>
      <x:c r="B53" s="10" t="str">
        <x:v>Applied Nutrition</x:v>
      </x:c>
      <x:c r="C53" s="10" t="str">
        <x:v>ISO-XP Whey Protein Isolate</x:v>
      </x:c>
      <x:c r="D53" s="10" t="str">
        <x:v>Supplements</x:v>
      </x:c>
      <x:c r="E53" s="10" t="str">
        <x:v>Whey Protein</x:v>
      </x:c>
      <x:c r="F53" s="10" t="str">
        <x:v>High-protein whey isolate.</x:v>
      </x:c>
      <x:c r="G53" s="10" t="str">
        <x:v>1.8kg</x:v>
      </x:c>
      <x:c r="H53" s="10" t="str">
        <x:v>Cafe Latte</x:v>
      </x:c>
      <x:c r="I53" s="10" t="str"/>
      <x:c r="J53" s="10" t="str">
        <x:v>Unit</x:v>
      </x:c>
      <x:c r="K53" s="10" t="str">
        <x:v>In stock</x:v>
      </x:c>
      <x:c r="L53" s="10" t="str">
        <x:v>2026-09-08</x:v>
      </x:c>
      <x:c r="M53" s="10" t="str"/>
      <x:c r="N53" s="10" t="str"/>
      <x:c r="O53" s="10" t="str">
        <x:v>https://www.activesportstrade.co.uk/applied-nutrition-trade</x:v>
      </x:c>
      <x:c r="P53" s="10" t="str"/>
      <x:c r="S53" t="str">
        <x:v>Pending genuine supplier/brand image</x:v>
      </x:c>
      <x:c r="T53" s="54" t="n">
        <x:v>55.38</x:v>
      </x:c>
      <x:c r="U53" s="47" t="n">
        <x:v>0.2</x:v>
      </x:c>
      <x:c r="V53" s="54" t="n">
        <x:f>IF(ISNUMBER(T53),T53*(1+U53),"")</x:f>
        <x:v>66.456</x:v>
      </x:c>
      <x:c r="W53" s="47" t="n">
        <x:v>0.3</x:v>
      </x:c>
      <x:c r="X53" s="54" t="n">
        <x:f>IF(ISNUMBER(V53),V53/(1-W53),"")</x:f>
        <x:v>94.93714285714287</x:v>
      </x:c>
      <x:c r="Y53" s="55" t="n">
        <x:f>IF(ISNUMBER(X53),ROUNDUP(X53,0),"")</x:f>
        <x:v>95</x:v>
      </x:c>
      <x:c r="Z53" t="str">
        <x:v>Source match pending</x:v>
      </x:c>
      <x:c r="AA53" t="str">
        <x:v>screencapture-www-activesportstrade-co-uk-applied-nutrition-trade-2026-09-10-08_59_59.pdf / page-13</x:v>
      </x:c>
      <x:c r="AB53" s="36" t="n">
        <x:f>IF(ISNUMBER(Y53),ROUND(Y53*0.9,2),"")</x:f>
        <x:v>85.5</x:v>
      </x:c>
      <x:c r="AC53" s="36" t="n">
        <x:f>IF(ISNUMBER(AB53),ROUND(AB53-(AB53*0.015+0.2)-V53,2),"")</x:f>
        <x:v>17.56</x:v>
      </x:c>
      <x:c r="AD53" s="36" t="n">
        <x:f>IF(ISNUMBER(Y53),ROUND(Y53*0.8,2),"")</x:f>
        <x:v>76</x:v>
      </x:c>
      <x:c r="AE53" s="36" t="n">
        <x:f>IF(ISNUMBER(AD53),ROUND(AD53*0.015+0.2,2),"")</x:f>
        <x:v>1.34</x:v>
      </x:c>
      <x:c r="AF53" s="36" t="n">
        <x:f>IF(ISNUMBER(AD53),ROUND(AD53-AE53-V53,2),"")</x:f>
        <x:v>8.2</x:v>
      </x:c>
      <x:c r="AG53" t="str">
        <x:f>IF(NOT(ISNUMBER(T53)),"PENDING",IF(AF53&gt;0,"PASS","FAIL"))</x:f>
        <x:v>PASS</x:v>
      </x:c>
      <x:c r="AH53" t="str">
        <x:f>IF(NOT(ISNUMBER(T53)),"Needs supplier cost",IF(K53&lt;&gt;"In stock","Supplier unavailable",IF(AG53&lt;&gt;"PASS","BLOCK - GT loss risk","Commercially protected")))</x:f>
        <x:v>Commercially protected</x:v>
      </x:c>
      <x:c r="AI53" t="str">
        <x:v>2026-09-10 Active Sports trade capture</x:v>
      </x:c>
      <x:c r="AJ53" t="str">
        <x:v>Management-only economics. Stripe stress test uses 1.5% + £0.20 standard UK online-card fee; pallet/mix-and-match pricing ignored.</x:v>
      </x:c>
    </x:row>
    <x:row r="54">
      <x:c r="A54" s="10" t="str">
        <x:v>Active Sports Nutrition</x:v>
      </x:c>
      <x:c r="B54" s="10" t="str">
        <x:v>Applied Nutrition</x:v>
      </x:c>
      <x:c r="C54" s="10" t="str">
        <x:v>ISO-XP Whey Protein Isolate</x:v>
      </x:c>
      <x:c r="D54" s="10" t="str">
        <x:v>Supplements</x:v>
      </x:c>
      <x:c r="E54" s="10" t="str">
        <x:v>Whey Protein</x:v>
      </x:c>
      <x:c r="F54" s="10" t="str">
        <x:v>High-protein whey isolate.</x:v>
      </x:c>
      <x:c r="G54" s="10" t="str">
        <x:v>1.8kg</x:v>
      </x:c>
      <x:c r="H54" s="10" t="str">
        <x:v>Chocolate</x:v>
      </x:c>
      <x:c r="I54" s="10" t="str"/>
      <x:c r="J54" s="10" t="str">
        <x:v>Unit</x:v>
      </x:c>
      <x:c r="K54" s="10" t="str">
        <x:v>In stock</x:v>
      </x:c>
      <x:c r="L54" s="10" t="str">
        <x:v>2026-09-08</x:v>
      </x:c>
      <x:c r="M54" s="10" t="str"/>
      <x:c r="N54" s="10" t="str"/>
      <x:c r="O54" s="10" t="str">
        <x:v>https://www.activesportstrade.co.uk/applied-nutrition-trade</x:v>
      </x:c>
      <x:c r="P54" s="10" t="str"/>
      <x:c r="S54" t="str">
        <x:v>Pending genuine supplier/brand image</x:v>
      </x:c>
      <x:c r="T54" s="54" t="n">
        <x:v>55.38</x:v>
      </x:c>
      <x:c r="U54" s="47" t="n">
        <x:v>0.2</x:v>
      </x:c>
      <x:c r="V54" s="54" t="n">
        <x:f>IF(ISNUMBER(T54),T54*(1+U54),"")</x:f>
        <x:v>66.456</x:v>
      </x:c>
      <x:c r="W54" s="47" t="n">
        <x:v>0.3</x:v>
      </x:c>
      <x:c r="X54" s="54" t="n">
        <x:f>IF(ISNUMBER(V54),V54/(1-W54),"")</x:f>
        <x:v>94.93714285714287</x:v>
      </x:c>
      <x:c r="Y54" s="55" t="n">
        <x:f>IF(ISNUMBER(X54),ROUNDUP(X54,0),"")</x:f>
        <x:v>95</x:v>
      </x:c>
      <x:c r="Z54" t="str">
        <x:v>Source match pending</x:v>
      </x:c>
      <x:c r="AA54" t="str">
        <x:v>screencapture-www-activesportstrade-co-uk-applied-nutrition-trade-2026-09-10-08_59_59.pdf / page-13</x:v>
      </x:c>
      <x:c r="AB54" s="36" t="n">
        <x:f>IF(ISNUMBER(Y54),ROUND(Y54*0.9,2),"")</x:f>
        <x:v>85.5</x:v>
      </x:c>
      <x:c r="AC54" s="36" t="n">
        <x:f>IF(ISNUMBER(AB54),ROUND(AB54-(AB54*0.015+0.2)-V54,2),"")</x:f>
        <x:v>17.56</x:v>
      </x:c>
      <x:c r="AD54" s="36" t="n">
        <x:f>IF(ISNUMBER(Y54),ROUND(Y54*0.8,2),"")</x:f>
        <x:v>76</x:v>
      </x:c>
      <x:c r="AE54" s="36" t="n">
        <x:f>IF(ISNUMBER(AD54),ROUND(AD54*0.015+0.2,2),"")</x:f>
        <x:v>1.34</x:v>
      </x:c>
      <x:c r="AF54" s="36" t="n">
        <x:f>IF(ISNUMBER(AD54),ROUND(AD54-AE54-V54,2),"")</x:f>
        <x:v>8.2</x:v>
      </x:c>
      <x:c r="AG54" t="str">
        <x:f>IF(NOT(ISNUMBER(T54)),"PENDING",IF(AF54&gt;0,"PASS","FAIL"))</x:f>
        <x:v>PASS</x:v>
      </x:c>
      <x:c r="AH54" t="str">
        <x:f>IF(NOT(ISNUMBER(T54)),"Needs supplier cost",IF(K54&lt;&gt;"In stock","Supplier unavailable",IF(AG54&lt;&gt;"PASS","BLOCK - GT loss risk","Commercially protected")))</x:f>
        <x:v>Commercially protected</x:v>
      </x:c>
      <x:c r="AI54" t="str">
        <x:v>2026-09-10 Active Sports trade capture</x:v>
      </x:c>
      <x:c r="AJ54" t="str">
        <x:v>Management-only economics. Stripe stress test uses 1.5% + £0.20 standard UK online-card fee; pallet/mix-and-match pricing ignored.</x:v>
      </x:c>
    </x:row>
    <x:row r="55">
      <x:c r="A55" s="10" t="str">
        <x:v>Active Sports Nutrition</x:v>
      </x:c>
      <x:c r="B55" s="10" t="str">
        <x:v>Applied Nutrition</x:v>
      </x:c>
      <x:c r="C55" s="10" t="str">
        <x:v>ISO-XP Whey Protein Isolate</x:v>
      </x:c>
      <x:c r="D55" s="10" t="str">
        <x:v>Supplements</x:v>
      </x:c>
      <x:c r="E55" s="10" t="str">
        <x:v>Whey Protein</x:v>
      </x:c>
      <x:c r="F55" s="10" t="str">
        <x:v>High-protein whey isolate.</x:v>
      </x:c>
      <x:c r="G55" s="10" t="str">
        <x:v>1.8kg</x:v>
      </x:c>
      <x:c r="H55" s="10" t="str">
        <x:v>Strawberry</x:v>
      </x:c>
      <x:c r="I55" s="10" t="str"/>
      <x:c r="J55" s="10" t="str">
        <x:v>Unit</x:v>
      </x:c>
      <x:c r="K55" s="10" t="str">
        <x:v>In stock</x:v>
      </x:c>
      <x:c r="L55" s="10" t="str">
        <x:v>2026-09-08</x:v>
      </x:c>
      <x:c r="M55" s="10" t="str"/>
      <x:c r="N55" s="10" t="str"/>
      <x:c r="O55" s="10" t="str">
        <x:v>https://www.activesportstrade.co.uk/applied-nutrition-trade</x:v>
      </x:c>
      <x:c r="P55" s="10" t="str"/>
      <x:c r="S55" t="str">
        <x:v>Pending genuine supplier/brand image</x:v>
      </x:c>
      <x:c r="T55" s="54" t="n">
        <x:v>55.38</x:v>
      </x:c>
      <x:c r="U55" s="47" t="n">
        <x:v>0.2</x:v>
      </x:c>
      <x:c r="V55" s="54" t="n">
        <x:f>IF(ISNUMBER(T55),T55*(1+U55),"")</x:f>
        <x:v>66.456</x:v>
      </x:c>
      <x:c r="W55" s="47" t="n">
        <x:v>0.3</x:v>
      </x:c>
      <x:c r="X55" s="54" t="n">
        <x:f>IF(ISNUMBER(V55),V55/(1-W55),"")</x:f>
        <x:v>94.93714285714287</x:v>
      </x:c>
      <x:c r="Y55" s="55" t="n">
        <x:f>IF(ISNUMBER(X55),ROUNDUP(X55,0),"")</x:f>
        <x:v>95</x:v>
      </x:c>
      <x:c r="Z55" t="str">
        <x:v>Source match pending</x:v>
      </x:c>
      <x:c r="AA55" t="str">
        <x:v>screencapture-www-activesportstrade-co-uk-applied-nutrition-trade-2026-09-10-08_59_59.pdf / page-13</x:v>
      </x:c>
      <x:c r="AB55" s="36" t="n">
        <x:f>IF(ISNUMBER(Y55),ROUND(Y55*0.9,2),"")</x:f>
        <x:v>85.5</x:v>
      </x:c>
      <x:c r="AC55" s="36" t="n">
        <x:f>IF(ISNUMBER(AB55),ROUND(AB55-(AB55*0.015+0.2)-V55,2),"")</x:f>
        <x:v>17.56</x:v>
      </x:c>
      <x:c r="AD55" s="36" t="n">
        <x:f>IF(ISNUMBER(Y55),ROUND(Y55*0.8,2),"")</x:f>
        <x:v>76</x:v>
      </x:c>
      <x:c r="AE55" s="36" t="n">
        <x:f>IF(ISNUMBER(AD55),ROUND(AD55*0.015+0.2,2),"")</x:f>
        <x:v>1.34</x:v>
      </x:c>
      <x:c r="AF55" s="36" t="n">
        <x:f>IF(ISNUMBER(AD55),ROUND(AD55-AE55-V55,2),"")</x:f>
        <x:v>8.2</x:v>
      </x:c>
      <x:c r="AG55" t="str">
        <x:f>IF(NOT(ISNUMBER(T55)),"PENDING",IF(AF55&gt;0,"PASS","FAIL"))</x:f>
        <x:v>PASS</x:v>
      </x:c>
      <x:c r="AH55" t="str">
        <x:f>IF(NOT(ISNUMBER(T55)),"Needs supplier cost",IF(K55&lt;&gt;"In stock","Supplier unavailable",IF(AG55&lt;&gt;"PASS","BLOCK - GT loss risk","Commercially protected")))</x:f>
        <x:v>Commercially protected</x:v>
      </x:c>
      <x:c r="AI55" t="str">
        <x:v>2026-09-10 Active Sports trade capture</x:v>
      </x:c>
      <x:c r="AJ55" t="str">
        <x:v>Management-only economics. Stripe stress test uses 1.5% + £0.20 standard UK online-card fee; pallet/mix-and-match pricing ignored.</x:v>
      </x:c>
    </x:row>
    <x:row r="56">
      <x:c r="A56" s="10" t="str">
        <x:v>Active Sports Nutrition</x:v>
      </x:c>
      <x:c r="B56" s="10" t="str">
        <x:v>Applied Nutrition</x:v>
      </x:c>
      <x:c r="C56" s="10" t="str">
        <x:v>ISO-XP Whey Protein Isolate</x:v>
      </x:c>
      <x:c r="D56" s="10" t="str">
        <x:v>Supplements</x:v>
      </x:c>
      <x:c r="E56" s="10" t="str">
        <x:v>Whey Protein</x:v>
      </x:c>
      <x:c r="F56" s="10" t="str">
        <x:v>High-protein whey isolate.</x:v>
      </x:c>
      <x:c r="G56" s="10" t="str">
        <x:v>1.8kg</x:v>
      </x:c>
      <x:c r="H56" s="10" t="str">
        <x:v>Vanilla</x:v>
      </x:c>
      <x:c r="I56" s="10" t="str"/>
      <x:c r="J56" s="10" t="str">
        <x:v>Unit</x:v>
      </x:c>
      <x:c r="K56" s="10" t="str">
        <x:v>In stock</x:v>
      </x:c>
      <x:c r="L56" s="10" t="str">
        <x:v>2026-09-08</x:v>
      </x:c>
      <x:c r="M56" s="10" t="str"/>
      <x:c r="N56" s="10" t="str"/>
      <x:c r="O56" s="10" t="str">
        <x:v>https://www.activesportstrade.co.uk/applied-nutrition-trade</x:v>
      </x:c>
      <x:c r="P56" s="10" t="str"/>
      <x:c r="S56" t="str">
        <x:v>Pending genuine supplier/brand image</x:v>
      </x:c>
      <x:c r="T56" s="54" t="n">
        <x:v>55.38</x:v>
      </x:c>
      <x:c r="U56" s="47" t="n">
        <x:v>0.2</x:v>
      </x:c>
      <x:c r="V56" s="54" t="n">
        <x:f>IF(ISNUMBER(T56),T56*(1+U56),"")</x:f>
        <x:v>66.456</x:v>
      </x:c>
      <x:c r="W56" s="47" t="n">
        <x:v>0.3</x:v>
      </x:c>
      <x:c r="X56" s="54" t="n">
        <x:f>IF(ISNUMBER(V56),V56/(1-W56),"")</x:f>
        <x:v>94.93714285714287</x:v>
      </x:c>
      <x:c r="Y56" s="55" t="n">
        <x:f>IF(ISNUMBER(X56),ROUNDUP(X56,0),"")</x:f>
        <x:v>95</x:v>
      </x:c>
      <x:c r="Z56" t="str">
        <x:v>Source match pending</x:v>
      </x:c>
      <x:c r="AA56" t="str">
        <x:v>screencapture-www-activesportstrade-co-uk-applied-nutrition-trade-2026-09-10-08_59_59.pdf / page-13</x:v>
      </x:c>
      <x:c r="AB56" s="36" t="n">
        <x:f>IF(ISNUMBER(Y56),ROUND(Y56*0.9,2),"")</x:f>
        <x:v>85.5</x:v>
      </x:c>
      <x:c r="AC56" s="36" t="n">
        <x:f>IF(ISNUMBER(AB56),ROUND(AB56-(AB56*0.015+0.2)-V56,2),"")</x:f>
        <x:v>17.56</x:v>
      </x:c>
      <x:c r="AD56" s="36" t="n">
        <x:f>IF(ISNUMBER(Y56),ROUND(Y56*0.8,2),"")</x:f>
        <x:v>76</x:v>
      </x:c>
      <x:c r="AE56" s="36" t="n">
        <x:f>IF(ISNUMBER(AD56),ROUND(AD56*0.015+0.2,2),"")</x:f>
        <x:v>1.34</x:v>
      </x:c>
      <x:c r="AF56" s="36" t="n">
        <x:f>IF(ISNUMBER(AD56),ROUND(AD56-AE56-V56,2),"")</x:f>
        <x:v>8.2</x:v>
      </x:c>
      <x:c r="AG56" t="str">
        <x:f>IF(NOT(ISNUMBER(T56)),"PENDING",IF(AF56&gt;0,"PASS","FAIL"))</x:f>
        <x:v>PASS</x:v>
      </x:c>
      <x:c r="AH56" t="str">
        <x:f>IF(NOT(ISNUMBER(T56)),"Needs supplier cost",IF(K56&lt;&gt;"In stock","Supplier unavailable",IF(AG56&lt;&gt;"PASS","BLOCK - GT loss risk","Commercially protected")))</x:f>
        <x:v>Commercially protected</x:v>
      </x:c>
      <x:c r="AI56" t="str">
        <x:v>2026-09-10 Active Sports trade capture</x:v>
      </x:c>
      <x:c r="AJ56" t="str">
        <x:v>Management-only economics. Stripe stress test uses 1.5% + £0.20 standard UK online-card fee; pallet/mix-and-match pricing ignored.</x:v>
      </x:c>
    </x:row>
    <x:row r="57">
      <x:c r="A57" s="10" t="str">
        <x:v>Active Sports Nutrition</x:v>
      </x:c>
      <x:c r="B57" s="10" t="str">
        <x:v>Applied Nutrition</x:v>
      </x:c>
      <x:c r="C57" s="10" t="str">
        <x:v>ISO-XP Whey Protein Isolate</x:v>
      </x:c>
      <x:c r="D57" s="10" t="str">
        <x:v>Supplements</x:v>
      </x:c>
      <x:c r="E57" s="10" t="str">
        <x:v>Whey Protein</x:v>
      </x:c>
      <x:c r="F57" s="10" t="str">
        <x:v>High-protein whey isolate.</x:v>
      </x:c>
      <x:c r="G57" s="10" t="str">
        <x:v>1kg</x:v>
      </x:c>
      <x:c r="H57" s="10" t="str">
        <x:v>Choco Bueno</x:v>
      </x:c>
      <x:c r="I57" s="10" t="str"/>
      <x:c r="J57" s="10" t="str">
        <x:v>Unit</x:v>
      </x:c>
      <x:c r="K57" s="10" t="str">
        <x:v>Out of stock</x:v>
      </x:c>
      <x:c r="L57" s="10" t="str">
        <x:v>2026-09-08</x:v>
      </x:c>
      <x:c r="M57" s="10" t="str"/>
      <x:c r="N57" s="10" t="str"/>
      <x:c r="O57" s="10" t="str">
        <x:v>https://www.activesportstrade.co.uk/applied-nutrition-trade</x:v>
      </x:c>
      <x:c r="P57" s="10" t="str"/>
      <x:c r="S57" t="str">
        <x:v>Pending genuine supplier/brand image</x:v>
      </x:c>
      <x:c r="T57" s="54" t="n">
        <x:v>25.79</x:v>
      </x:c>
      <x:c r="U57" s="47" t="n">
        <x:v>0.2</x:v>
      </x:c>
      <x:c r="V57" s="54" t="n">
        <x:f>IF(ISNUMBER(T57),T57*(1+U57),"")</x:f>
        <x:v>30.947999999999997</x:v>
      </x:c>
      <x:c r="W57" s="47" t="n">
        <x:v>0.3</x:v>
      </x:c>
      <x:c r="X57" s="54" t="n">
        <x:f>IF(ISNUMBER(V57),V57/(1-W57),"")</x:f>
        <x:v>44.21142857142857</x:v>
      </x:c>
      <x:c r="Y57" s="55" t="n">
        <x:f>IF(ISNUMBER(X57),ROUNDUP(X57,0),"")</x:f>
        <x:v>45</x:v>
      </x:c>
      <x:c r="Z57" t="str">
        <x:v>Source match pending</x:v>
      </x:c>
      <x:c r="AA57" t="str">
        <x:v>screencapture-www-activesportstrade-co-uk-applied-nutrition-trade-2026-09-10-08_59_59.pdf / page-14</x:v>
      </x:c>
      <x:c r="AB57" s="36" t="n">
        <x:f>IF(ISNUMBER(Y57),ROUND(Y57*0.9,2),"")</x:f>
        <x:v>40.5</x:v>
      </x:c>
      <x:c r="AC57" s="36" t="n">
        <x:f>IF(ISNUMBER(AB57),ROUND(AB57-(AB57*0.015+0.2)-V57,2),"")</x:f>
        <x:v>8.74</x:v>
      </x:c>
      <x:c r="AD57" s="36" t="n">
        <x:f>IF(ISNUMBER(Y57),ROUND(Y57*0.8,2),"")</x:f>
        <x:v>36</x:v>
      </x:c>
      <x:c r="AE57" s="36" t="n">
        <x:f>IF(ISNUMBER(AD57),ROUND(AD57*0.015+0.2,2),"")</x:f>
        <x:v>0.74</x:v>
      </x:c>
      <x:c r="AF57" s="36" t="n">
        <x:f>IF(ISNUMBER(AD57),ROUND(AD57-AE57-V57,2),"")</x:f>
        <x:v>4.31</x:v>
      </x:c>
      <x:c r="AG57" t="str">
        <x:f>IF(NOT(ISNUMBER(T57)),"PENDING",IF(AF57&gt;0,"PASS","FAIL"))</x:f>
        <x:v>PASS</x:v>
      </x:c>
      <x:c r="AH57" t="str">
        <x:f>IF(NOT(ISNUMBER(T57)),"Needs supplier cost",IF(K57&lt;&gt;"In stock","Supplier unavailable",IF(AG57&lt;&gt;"PASS","BLOCK - GT loss risk","Commercially protected")))</x:f>
        <x:v>Supplier unavailable</x:v>
      </x:c>
      <x:c r="AI57" t="str">
        <x:v>2026-09-10 Active Sports trade capture</x:v>
      </x:c>
      <x:c r="AJ57" t="str">
        <x:v>Management-only economics. Stripe stress test uses 1.5% + £0.20 standard UK online-card fee; pallet/mix-and-match pricing ignored.</x:v>
      </x:c>
    </x:row>
    <x:row r="58">
      <x:c r="A58" s="10" t="str">
        <x:v>Active Sports Nutrition</x:v>
      </x:c>
      <x:c r="B58" s="10" t="str">
        <x:v>Applied Nutrition</x:v>
      </x:c>
      <x:c r="C58" s="10" t="str">
        <x:v>ISO-XP Whey Protein Isolate</x:v>
      </x:c>
      <x:c r="D58" s="10" t="str">
        <x:v>Supplements</x:v>
      </x:c>
      <x:c r="E58" s="10" t="str">
        <x:v>Whey Protein</x:v>
      </x:c>
      <x:c r="F58" s="10" t="str">
        <x:v>High-protein whey isolate.</x:v>
      </x:c>
      <x:c r="G58" s="10" t="str">
        <x:v>1kg</x:v>
      </x:c>
      <x:c r="H58" s="10" t="str">
        <x:v>Choco Candies</x:v>
      </x:c>
      <x:c r="I58" s="10" t="str"/>
      <x:c r="J58" s="10" t="str">
        <x:v>Unit</x:v>
      </x:c>
      <x:c r="K58" s="10" t="str">
        <x:v>Out of stock</x:v>
      </x:c>
      <x:c r="L58" s="10" t="str">
        <x:v>2026-09-08</x:v>
      </x:c>
      <x:c r="M58" s="10" t="str"/>
      <x:c r="N58" s="10" t="str"/>
      <x:c r="O58" s="10" t="str">
        <x:v>https://www.activesportstrade.co.uk/applied-nutrition-trade</x:v>
      </x:c>
      <x:c r="P58" s="10" t="str"/>
      <x:c r="S58" t="str">
        <x:v>Pending genuine supplier/brand image</x:v>
      </x:c>
      <x:c r="T58" s="54" t="n">
        <x:v>25.79</x:v>
      </x:c>
      <x:c r="U58" s="47" t="n">
        <x:v>0.2</x:v>
      </x:c>
      <x:c r="V58" s="54" t="n">
        <x:f>IF(ISNUMBER(T58),T58*(1+U58),"")</x:f>
        <x:v>30.947999999999997</x:v>
      </x:c>
      <x:c r="W58" s="47" t="n">
        <x:v>0.3</x:v>
      </x:c>
      <x:c r="X58" s="54" t="n">
        <x:f>IF(ISNUMBER(V58),V58/(1-W58),"")</x:f>
        <x:v>44.21142857142857</x:v>
      </x:c>
      <x:c r="Y58" s="55" t="n">
        <x:f>IF(ISNUMBER(X58),ROUNDUP(X58,0),"")</x:f>
        <x:v>45</x:v>
      </x:c>
      <x:c r="Z58" t="str">
        <x:v>Source match pending</x:v>
      </x:c>
      <x:c r="AA58" t="str">
        <x:v>screencapture-www-activesportstrade-co-uk-applied-nutrition-trade-2026-09-10-08_59_59.pdf / page-14</x:v>
      </x:c>
      <x:c r="AB58" s="36" t="n">
        <x:f>IF(ISNUMBER(Y58),ROUND(Y58*0.9,2),"")</x:f>
        <x:v>40.5</x:v>
      </x:c>
      <x:c r="AC58" s="36" t="n">
        <x:f>IF(ISNUMBER(AB58),ROUND(AB58-(AB58*0.015+0.2)-V58,2),"")</x:f>
        <x:v>8.74</x:v>
      </x:c>
      <x:c r="AD58" s="36" t="n">
        <x:f>IF(ISNUMBER(Y58),ROUND(Y58*0.8,2),"")</x:f>
        <x:v>36</x:v>
      </x:c>
      <x:c r="AE58" s="36" t="n">
        <x:f>IF(ISNUMBER(AD58),ROUND(AD58*0.015+0.2,2),"")</x:f>
        <x:v>0.74</x:v>
      </x:c>
      <x:c r="AF58" s="36" t="n">
        <x:f>IF(ISNUMBER(AD58),ROUND(AD58-AE58-V58,2),"")</x:f>
        <x:v>4.31</x:v>
      </x:c>
      <x:c r="AG58" t="str">
        <x:f>IF(NOT(ISNUMBER(T58)),"PENDING",IF(AF58&gt;0,"PASS","FAIL"))</x:f>
        <x:v>PASS</x:v>
      </x:c>
      <x:c r="AH58" t="str">
        <x:f>IF(NOT(ISNUMBER(T58)),"Needs supplier cost",IF(K58&lt;&gt;"In stock","Supplier unavailable",IF(AG58&lt;&gt;"PASS","BLOCK - GT loss risk","Commercially protected")))</x:f>
        <x:v>Supplier unavailable</x:v>
      </x:c>
      <x:c r="AI58" t="str">
        <x:v>2026-09-10 Active Sports trade capture</x:v>
      </x:c>
      <x:c r="AJ58" t="str">
        <x:v>Management-only economics. Stripe stress test uses 1.5% + £0.20 standard UK online-card fee; pallet/mix-and-match pricing ignored.</x:v>
      </x:c>
    </x:row>
    <x:row r="59">
      <x:c r="A59" s="10" t="str">
        <x:v>Active Sports Nutrition</x:v>
      </x:c>
      <x:c r="B59" s="10" t="str">
        <x:v>Applied Nutrition</x:v>
      </x:c>
      <x:c r="C59" s="10" t="str">
        <x:v>ISO-XP Whey Protein Isolate</x:v>
      </x:c>
      <x:c r="D59" s="10" t="str">
        <x:v>Supplements</x:v>
      </x:c>
      <x:c r="E59" s="10" t="str">
        <x:v>Whey Protein</x:v>
      </x:c>
      <x:c r="F59" s="10" t="str">
        <x:v>High-protein whey isolate.</x:v>
      </x:c>
      <x:c r="G59" s="10" t="str">
        <x:v>1kg</x:v>
      </x:c>
      <x:c r="H59" s="10" t="str">
        <x:v>Choco Caramel</x:v>
      </x:c>
      <x:c r="I59" s="10" t="str"/>
      <x:c r="J59" s="10" t="str">
        <x:v>Unit</x:v>
      </x:c>
      <x:c r="K59" s="10" t="str">
        <x:v>Out of stock</x:v>
      </x:c>
      <x:c r="L59" s="10" t="str">
        <x:v>2026-09-08</x:v>
      </x:c>
      <x:c r="M59" s="10" t="str"/>
      <x:c r="N59" s="10" t="str"/>
      <x:c r="O59" s="10" t="str">
        <x:v>https://www.activesportstrade.co.uk/applied-nutrition-trade</x:v>
      </x:c>
      <x:c r="P59" s="10" t="str"/>
      <x:c r="S59" t="str">
        <x:v>Pending genuine supplier/brand image</x:v>
      </x:c>
      <x:c r="T59" s="54" t="n">
        <x:v>25.79</x:v>
      </x:c>
      <x:c r="U59" s="47" t="n">
        <x:v>0.2</x:v>
      </x:c>
      <x:c r="V59" s="54" t="n">
        <x:f>IF(ISNUMBER(T59),T59*(1+U59),"")</x:f>
        <x:v>30.947999999999997</x:v>
      </x:c>
      <x:c r="W59" s="47" t="n">
        <x:v>0.3</x:v>
      </x:c>
      <x:c r="X59" s="54" t="n">
        <x:f>IF(ISNUMBER(V59),V59/(1-W59),"")</x:f>
        <x:v>44.21142857142857</x:v>
      </x:c>
      <x:c r="Y59" s="55" t="n">
        <x:f>IF(ISNUMBER(X59),ROUNDUP(X59,0),"")</x:f>
        <x:v>45</x:v>
      </x:c>
      <x:c r="Z59" t="str">
        <x:v>Source match pending</x:v>
      </x:c>
      <x:c r="AA59" t="str">
        <x:v>screencapture-www-activesportstrade-co-uk-applied-nutrition-trade-2026-09-10-08_59_59.pdf / page-14</x:v>
      </x:c>
      <x:c r="AB59" s="36" t="n">
        <x:f>IF(ISNUMBER(Y59),ROUND(Y59*0.9,2),"")</x:f>
        <x:v>40.5</x:v>
      </x:c>
      <x:c r="AC59" s="36" t="n">
        <x:f>IF(ISNUMBER(AB59),ROUND(AB59-(AB59*0.015+0.2)-V59,2),"")</x:f>
        <x:v>8.74</x:v>
      </x:c>
      <x:c r="AD59" s="36" t="n">
        <x:f>IF(ISNUMBER(Y59),ROUND(Y59*0.8,2),"")</x:f>
        <x:v>36</x:v>
      </x:c>
      <x:c r="AE59" s="36" t="n">
        <x:f>IF(ISNUMBER(AD59),ROUND(AD59*0.015+0.2,2),"")</x:f>
        <x:v>0.74</x:v>
      </x:c>
      <x:c r="AF59" s="36" t="n">
        <x:f>IF(ISNUMBER(AD59),ROUND(AD59-AE59-V59,2),"")</x:f>
        <x:v>4.31</x:v>
      </x:c>
      <x:c r="AG59" t="str">
        <x:f>IF(NOT(ISNUMBER(T59)),"PENDING",IF(AF59&gt;0,"PASS","FAIL"))</x:f>
        <x:v>PASS</x:v>
      </x:c>
      <x:c r="AH59" t="str">
        <x:f>IF(NOT(ISNUMBER(T59)),"Needs supplier cost",IF(K59&lt;&gt;"In stock","Supplier unavailable",IF(AG59&lt;&gt;"PASS","BLOCK - GT loss risk","Commercially protected")))</x:f>
        <x:v>Supplier unavailable</x:v>
      </x:c>
      <x:c r="AI59" t="str">
        <x:v>2026-09-10 Active Sports trade capture</x:v>
      </x:c>
      <x:c r="AJ59" t="str">
        <x:v>Management-only economics. Stripe stress test uses 1.5% + £0.20 standard UK online-card fee; pallet/mix-and-match pricing ignored.</x:v>
      </x:c>
    </x:row>
    <x:row r="60">
      <x:c r="A60" s="10" t="str">
        <x:v>Active Sports Nutrition</x:v>
      </x:c>
      <x:c r="B60" s="10" t="str">
        <x:v>Applied Nutrition</x:v>
      </x:c>
      <x:c r="C60" s="10" t="str">
        <x:v>ISO-XP Whey Protein Isolate</x:v>
      </x:c>
      <x:c r="D60" s="10" t="str">
        <x:v>Supplements</x:v>
      </x:c>
      <x:c r="E60" s="10" t="str">
        <x:v>Whey Protein</x:v>
      </x:c>
      <x:c r="F60" s="10" t="str">
        <x:v>High-protein whey isolate.</x:v>
      </x:c>
      <x:c r="G60" s="10" t="str">
        <x:v>1kg</x:v>
      </x:c>
      <x:c r="H60" s="10" t="str">
        <x:v>Choco Coco</x:v>
      </x:c>
      <x:c r="I60" s="10" t="str"/>
      <x:c r="J60" s="10" t="str">
        <x:v>Unit</x:v>
      </x:c>
      <x:c r="K60" s="10" t="str">
        <x:v>In stock</x:v>
      </x:c>
      <x:c r="L60" s="10" t="str">
        <x:v>2026-09-08</x:v>
      </x:c>
      <x:c r="M60" s="10" t="str"/>
      <x:c r="N60" s="10" t="str"/>
      <x:c r="O60" s="10" t="str">
        <x:v>https://www.activesportstrade.co.uk/applied-nutrition-trade</x:v>
      </x:c>
      <x:c r="P60" s="10" t="str"/>
      <x:c r="S60" t="str">
        <x:v>Pending genuine supplier/brand image</x:v>
      </x:c>
      <x:c r="T60" s="54" t="n">
        <x:v>25.79</x:v>
      </x:c>
      <x:c r="U60" s="47" t="n">
        <x:v>0.2</x:v>
      </x:c>
      <x:c r="V60" s="54" t="n">
        <x:f>IF(ISNUMBER(T60),T60*(1+U60),"")</x:f>
        <x:v>30.947999999999997</x:v>
      </x:c>
      <x:c r="W60" s="47" t="n">
        <x:v>0.3</x:v>
      </x:c>
      <x:c r="X60" s="54" t="n">
        <x:f>IF(ISNUMBER(V60),V60/(1-W60),"")</x:f>
        <x:v>44.21142857142857</x:v>
      </x:c>
      <x:c r="Y60" s="55" t="n">
        <x:f>IF(ISNUMBER(X60),ROUNDUP(X60,0),"")</x:f>
        <x:v>45</x:v>
      </x:c>
      <x:c r="Z60" t="str">
        <x:v>Source match pending</x:v>
      </x:c>
      <x:c r="AA60" t="str">
        <x:v>screencapture-www-activesportstrade-co-uk-applied-nutrition-trade-2026-09-10-08_59_59.pdf / page-14</x:v>
      </x:c>
      <x:c r="AB60" s="36" t="n">
        <x:f>IF(ISNUMBER(Y60),ROUND(Y60*0.9,2),"")</x:f>
        <x:v>40.5</x:v>
      </x:c>
      <x:c r="AC60" s="36" t="n">
        <x:f>IF(ISNUMBER(AB60),ROUND(AB60-(AB60*0.015+0.2)-V60,2),"")</x:f>
        <x:v>8.74</x:v>
      </x:c>
      <x:c r="AD60" s="36" t="n">
        <x:f>IF(ISNUMBER(Y60),ROUND(Y60*0.8,2),"")</x:f>
        <x:v>36</x:v>
      </x:c>
      <x:c r="AE60" s="36" t="n">
        <x:f>IF(ISNUMBER(AD60),ROUND(AD60*0.015+0.2,2),"")</x:f>
        <x:v>0.74</x:v>
      </x:c>
      <x:c r="AF60" s="36" t="n">
        <x:f>IF(ISNUMBER(AD60),ROUND(AD60-AE60-V60,2),"")</x:f>
        <x:v>4.31</x:v>
      </x:c>
      <x:c r="AG60" t="str">
        <x:f>IF(NOT(ISNUMBER(T60)),"PENDING",IF(AF60&gt;0,"PASS","FAIL"))</x:f>
        <x:v>PASS</x:v>
      </x:c>
      <x:c r="AH60" t="str">
        <x:f>IF(NOT(ISNUMBER(T60)),"Needs supplier cost",IF(K60&lt;&gt;"In stock","Supplier unavailable",IF(AG60&lt;&gt;"PASS","BLOCK - GT loss risk","Commercially protected")))</x:f>
        <x:v>Commercially protected</x:v>
      </x:c>
      <x:c r="AI60" t="str">
        <x:v>2026-09-10 Active Sports trade capture</x:v>
      </x:c>
      <x:c r="AJ60" t="str">
        <x:v>Management-only economics. Stripe stress test uses 1.5% + £0.20 standard UK online-card fee; pallet/mix-and-match pricing ignored.</x:v>
      </x:c>
    </x:row>
    <x:row r="61">
      <x:c r="A61" s="10" t="str">
        <x:v>Active Sports Nutrition</x:v>
      </x:c>
      <x:c r="B61" s="10" t="str">
        <x:v>Applied Nutrition</x:v>
      </x:c>
      <x:c r="C61" s="10" t="str">
        <x:v>ISO-XP Whey Protein Isolate</x:v>
      </x:c>
      <x:c r="D61" s="10" t="str">
        <x:v>Supplements</x:v>
      </x:c>
      <x:c r="E61" s="10" t="str">
        <x:v>Whey Protein</x:v>
      </x:c>
      <x:c r="F61" s="10" t="str">
        <x:v>High-protein whey isolate.</x:v>
      </x:c>
      <x:c r="G61" s="10" t="str">
        <x:v>1kg</x:v>
      </x:c>
      <x:c r="H61" s="10" t="str">
        <x:v>Choco Honeycomb</x:v>
      </x:c>
      <x:c r="I61" s="10" t="str"/>
      <x:c r="J61" s="10" t="str">
        <x:v>Unit</x:v>
      </x:c>
      <x:c r="K61" s="10" t="str">
        <x:v>Out of stock</x:v>
      </x:c>
      <x:c r="L61" s="10" t="str">
        <x:v>2026-09-08</x:v>
      </x:c>
      <x:c r="M61" s="10" t="str"/>
      <x:c r="N61" s="10" t="str"/>
      <x:c r="O61" s="10" t="str">
        <x:v>https://www.activesportstrade.co.uk/applied-nutrition-trade</x:v>
      </x:c>
      <x:c r="P61" s="10" t="str"/>
      <x:c r="S61" t="str">
        <x:v>Pending genuine supplier/brand image</x:v>
      </x:c>
      <x:c r="T61" s="54" t="n">
        <x:v>25.79</x:v>
      </x:c>
      <x:c r="U61" s="47" t="n">
        <x:v>0.2</x:v>
      </x:c>
      <x:c r="V61" s="54" t="n">
        <x:f>IF(ISNUMBER(T61),T61*(1+U61),"")</x:f>
        <x:v>30.947999999999997</x:v>
      </x:c>
      <x:c r="W61" s="47" t="n">
        <x:v>0.3</x:v>
      </x:c>
      <x:c r="X61" s="54" t="n">
        <x:f>IF(ISNUMBER(V61),V61/(1-W61),"")</x:f>
        <x:v>44.21142857142857</x:v>
      </x:c>
      <x:c r="Y61" s="55" t="n">
        <x:f>IF(ISNUMBER(X61),ROUNDUP(X61,0),"")</x:f>
        <x:v>45</x:v>
      </x:c>
      <x:c r="Z61" t="str">
        <x:v>Source match pending</x:v>
      </x:c>
      <x:c r="AA61" t="str">
        <x:v>screencapture-www-activesportstrade-co-uk-applied-nutrition-trade-2026-09-10-08_59_59.pdf / page-14</x:v>
      </x:c>
      <x:c r="AB61" s="36" t="n">
        <x:f>IF(ISNUMBER(Y61),ROUND(Y61*0.9,2),"")</x:f>
        <x:v>40.5</x:v>
      </x:c>
      <x:c r="AC61" s="36" t="n">
        <x:f>IF(ISNUMBER(AB61),ROUND(AB61-(AB61*0.015+0.2)-V61,2),"")</x:f>
        <x:v>8.74</x:v>
      </x:c>
      <x:c r="AD61" s="36" t="n">
        <x:f>IF(ISNUMBER(Y61),ROUND(Y61*0.8,2),"")</x:f>
        <x:v>36</x:v>
      </x:c>
      <x:c r="AE61" s="36" t="n">
        <x:f>IF(ISNUMBER(AD61),ROUND(AD61*0.015+0.2,2),"")</x:f>
        <x:v>0.74</x:v>
      </x:c>
      <x:c r="AF61" s="36" t="n">
        <x:f>IF(ISNUMBER(AD61),ROUND(AD61-AE61-V61,2),"")</x:f>
        <x:v>4.31</x:v>
      </x:c>
      <x:c r="AG61" t="str">
        <x:f>IF(NOT(ISNUMBER(T61)),"PENDING",IF(AF61&gt;0,"PASS","FAIL"))</x:f>
        <x:v>PASS</x:v>
      </x:c>
      <x:c r="AH61" t="str">
        <x:f>IF(NOT(ISNUMBER(T61)),"Needs supplier cost",IF(K61&lt;&gt;"In stock","Supplier unavailable",IF(AG61&lt;&gt;"PASS","BLOCK - GT loss risk","Commercially protected")))</x:f>
        <x:v>Supplier unavailable</x:v>
      </x:c>
      <x:c r="AI61" t="str">
        <x:v>2026-09-10 Active Sports trade capture</x:v>
      </x:c>
      <x:c r="AJ61" t="str">
        <x:v>Management-only economics. Stripe stress test uses 1.5% + £0.20 standard UK online-card fee; pallet/mix-and-match pricing ignored.</x:v>
      </x:c>
    </x:row>
    <x:row r="62">
      <x:c r="A62" s="10" t="str">
        <x:v>Active Sports Nutrition</x:v>
      </x:c>
      <x:c r="B62" s="10" t="str">
        <x:v>Applied Nutrition</x:v>
      </x:c>
      <x:c r="C62" s="10" t="str">
        <x:v>ISO-XP Whey Protein Isolate</x:v>
      </x:c>
      <x:c r="D62" s="10" t="str">
        <x:v>Supplements</x:v>
      </x:c>
      <x:c r="E62" s="10" t="str">
        <x:v>Whey Protein</x:v>
      </x:c>
      <x:c r="F62" s="10" t="str">
        <x:v>High-protein whey isolate.</x:v>
      </x:c>
      <x:c r="G62" s="10" t="str">
        <x:v>1kg</x:v>
      </x:c>
      <x:c r="H62" s="10" t="str">
        <x:v>Choco Peanut</x:v>
      </x:c>
      <x:c r="I62" s="10" t="str"/>
      <x:c r="J62" s="10" t="str">
        <x:v>Unit</x:v>
      </x:c>
      <x:c r="K62" s="10" t="str">
        <x:v>In stock</x:v>
      </x:c>
      <x:c r="L62" s="10" t="str">
        <x:v>2026-09-08</x:v>
      </x:c>
      <x:c r="M62" s="10" t="str"/>
      <x:c r="N62" s="10" t="str"/>
      <x:c r="O62" s="10" t="str">
        <x:v>https://www.activesportstrade.co.uk/applied-nutrition-trade</x:v>
      </x:c>
      <x:c r="P62" s="10" t="str"/>
      <x:c r="S62" t="str">
        <x:v>Pending genuine supplier/brand image</x:v>
      </x:c>
      <x:c r="T62" s="54" t="n">
        <x:v>25.79</x:v>
      </x:c>
      <x:c r="U62" s="47" t="n">
        <x:v>0.2</x:v>
      </x:c>
      <x:c r="V62" s="54" t="n">
        <x:f>IF(ISNUMBER(T62),T62*(1+U62),"")</x:f>
        <x:v>30.947999999999997</x:v>
      </x:c>
      <x:c r="W62" s="47" t="n">
        <x:v>0.3</x:v>
      </x:c>
      <x:c r="X62" s="54" t="n">
        <x:f>IF(ISNUMBER(V62),V62/(1-W62),"")</x:f>
        <x:v>44.21142857142857</x:v>
      </x:c>
      <x:c r="Y62" s="55" t="n">
        <x:f>IF(ISNUMBER(X62),ROUNDUP(X62,0),"")</x:f>
        <x:v>45</x:v>
      </x:c>
      <x:c r="Z62" t="str">
        <x:v>Source match pending</x:v>
      </x:c>
      <x:c r="AA62" t="str">
        <x:v>screencapture-www-activesportstrade-co-uk-applied-nutrition-trade-2026-09-10-08_59_59.pdf / page-14</x:v>
      </x:c>
      <x:c r="AB62" s="36" t="n">
        <x:f>IF(ISNUMBER(Y62),ROUND(Y62*0.9,2),"")</x:f>
        <x:v>40.5</x:v>
      </x:c>
      <x:c r="AC62" s="36" t="n">
        <x:f>IF(ISNUMBER(AB62),ROUND(AB62-(AB62*0.015+0.2)-V62,2),"")</x:f>
        <x:v>8.74</x:v>
      </x:c>
      <x:c r="AD62" s="36" t="n">
        <x:f>IF(ISNUMBER(Y62),ROUND(Y62*0.8,2),"")</x:f>
        <x:v>36</x:v>
      </x:c>
      <x:c r="AE62" s="36" t="n">
        <x:f>IF(ISNUMBER(AD62),ROUND(AD62*0.015+0.2,2),"")</x:f>
        <x:v>0.74</x:v>
      </x:c>
      <x:c r="AF62" s="36" t="n">
        <x:f>IF(ISNUMBER(AD62),ROUND(AD62-AE62-V62,2),"")</x:f>
        <x:v>4.31</x:v>
      </x:c>
      <x:c r="AG62" t="str">
        <x:f>IF(NOT(ISNUMBER(T62)),"PENDING",IF(AF62&gt;0,"PASS","FAIL"))</x:f>
        <x:v>PASS</x:v>
      </x:c>
      <x:c r="AH62" t="str">
        <x:f>IF(NOT(ISNUMBER(T62)),"Needs supplier cost",IF(K62&lt;&gt;"In stock","Supplier unavailable",IF(AG62&lt;&gt;"PASS","BLOCK - GT loss risk","Commercially protected")))</x:f>
        <x:v>Commercially protected</x:v>
      </x:c>
      <x:c r="AI62" t="str">
        <x:v>2026-09-10 Active Sports trade capture</x:v>
      </x:c>
      <x:c r="AJ62" t="str">
        <x:v>Management-only economics. Stripe stress test uses 1.5% + £0.20 standard UK online-card fee; pallet/mix-and-match pricing ignored.</x:v>
      </x:c>
    </x:row>
    <x:row r="63">
      <x:c r="A63" s="10" t="str">
        <x:v>Active Sports Nutrition</x:v>
      </x:c>
      <x:c r="B63" s="10" t="str">
        <x:v>Applied Nutrition</x:v>
      </x:c>
      <x:c r="C63" s="10" t="str">
        <x:v>ISO-XP Whey Protein Isolate</x:v>
      </x:c>
      <x:c r="D63" s="10" t="str">
        <x:v>Supplements</x:v>
      </x:c>
      <x:c r="E63" s="10" t="str">
        <x:v>Whey Protein</x:v>
      </x:c>
      <x:c r="F63" s="10" t="str">
        <x:v>High-protein whey isolate.</x:v>
      </x:c>
      <x:c r="G63" s="10" t="str">
        <x:v>1kg</x:v>
      </x:c>
      <x:c r="H63" s="10" t="str">
        <x:v>Chocolate Dessert</x:v>
      </x:c>
      <x:c r="I63" s="10" t="str"/>
      <x:c r="J63" s="10" t="str">
        <x:v>Unit</x:v>
      </x:c>
      <x:c r="K63" s="10" t="str">
        <x:v>Out of stock</x:v>
      </x:c>
      <x:c r="L63" s="10" t="str">
        <x:v>2026-09-08</x:v>
      </x:c>
      <x:c r="M63" s="10" t="str"/>
      <x:c r="N63" s="10" t="str"/>
      <x:c r="O63" s="10" t="str">
        <x:v>https://www.activesportstrade.co.uk/applied-nutrition-trade</x:v>
      </x:c>
      <x:c r="P63" s="10" t="str"/>
      <x:c r="S63" t="str">
        <x:v>Pending genuine supplier/brand image</x:v>
      </x:c>
      <x:c r="T63" s="54" t="n">
        <x:v>25.79</x:v>
      </x:c>
      <x:c r="U63" s="47" t="n">
        <x:v>0.2</x:v>
      </x:c>
      <x:c r="V63" s="54" t="n">
        <x:f>IF(ISNUMBER(T63),T63*(1+U63),"")</x:f>
        <x:v>30.947999999999997</x:v>
      </x:c>
      <x:c r="W63" s="47" t="n">
        <x:v>0.3</x:v>
      </x:c>
      <x:c r="X63" s="54" t="n">
        <x:f>IF(ISNUMBER(V63),V63/(1-W63),"")</x:f>
        <x:v>44.21142857142857</x:v>
      </x:c>
      <x:c r="Y63" s="55" t="n">
        <x:f>IF(ISNUMBER(X63),ROUNDUP(X63,0),"")</x:f>
        <x:v>45</x:v>
      </x:c>
      <x:c r="Z63" t="str">
        <x:v>Source match pending</x:v>
      </x:c>
      <x:c r="AA63" t="str">
        <x:v>screencapture-www-activesportstrade-co-uk-applied-nutrition-trade-2026-09-10-08_59_59.pdf / page-14</x:v>
      </x:c>
      <x:c r="AB63" s="36" t="n">
        <x:f>IF(ISNUMBER(Y63),ROUND(Y63*0.9,2),"")</x:f>
        <x:v>40.5</x:v>
      </x:c>
      <x:c r="AC63" s="36" t="n">
        <x:f>IF(ISNUMBER(AB63),ROUND(AB63-(AB63*0.015+0.2)-V63,2),"")</x:f>
        <x:v>8.74</x:v>
      </x:c>
      <x:c r="AD63" s="36" t="n">
        <x:f>IF(ISNUMBER(Y63),ROUND(Y63*0.8,2),"")</x:f>
        <x:v>36</x:v>
      </x:c>
      <x:c r="AE63" s="36" t="n">
        <x:f>IF(ISNUMBER(AD63),ROUND(AD63*0.015+0.2,2),"")</x:f>
        <x:v>0.74</x:v>
      </x:c>
      <x:c r="AF63" s="36" t="n">
        <x:f>IF(ISNUMBER(AD63),ROUND(AD63-AE63-V63,2),"")</x:f>
        <x:v>4.31</x:v>
      </x:c>
      <x:c r="AG63" t="str">
        <x:f>IF(NOT(ISNUMBER(T63)),"PENDING",IF(AF63&gt;0,"PASS","FAIL"))</x:f>
        <x:v>PASS</x:v>
      </x:c>
      <x:c r="AH63" t="str">
        <x:f>IF(NOT(ISNUMBER(T63)),"Needs supplier cost",IF(K63&lt;&gt;"In stock","Supplier unavailable",IF(AG63&lt;&gt;"PASS","BLOCK - GT loss risk","Commercially protected")))</x:f>
        <x:v>Supplier unavailable</x:v>
      </x:c>
      <x:c r="AI63" t="str">
        <x:v>2026-09-10 Active Sports trade capture</x:v>
      </x:c>
      <x:c r="AJ63" t="str">
        <x:v>Management-only economics. Stripe stress test uses 1.5% + £0.20 standard UK online-card fee; pallet/mix-and-match pricing ignored.</x:v>
      </x:c>
    </x:row>
    <x:row r="64">
      <x:c r="A64" s="10" t="str">
        <x:v>Active Sports Nutrition</x:v>
      </x:c>
      <x:c r="B64" s="10" t="str">
        <x:v>Applied Nutrition</x:v>
      </x:c>
      <x:c r="C64" s="10" t="str">
        <x:v>ISO-XP Whey Protein Isolate</x:v>
      </x:c>
      <x:c r="D64" s="10" t="str">
        <x:v>Supplements</x:v>
      </x:c>
      <x:c r="E64" s="10" t="str">
        <x:v>Whey Protein</x:v>
      </x:c>
      <x:c r="F64" s="10" t="str">
        <x:v>High-protein whey isolate.</x:v>
      </x:c>
      <x:c r="G64" s="10" t="str">
        <x:v>1kg</x:v>
      </x:c>
      <x:c r="H64" s="10" t="str">
        <x:v>Strawberry</x:v>
      </x:c>
      <x:c r="I64" s="10" t="str"/>
      <x:c r="J64" s="10" t="str">
        <x:v>Unit</x:v>
      </x:c>
      <x:c r="K64" s="10" t="str">
        <x:v>Out of stock</x:v>
      </x:c>
      <x:c r="L64" s="10" t="str">
        <x:v>2026-09-08</x:v>
      </x:c>
      <x:c r="M64" s="10" t="str"/>
      <x:c r="N64" s="10" t="str"/>
      <x:c r="O64" s="10" t="str">
        <x:v>https://www.activesportstrade.co.uk/applied-nutrition-trade</x:v>
      </x:c>
      <x:c r="P64" s="10" t="str"/>
      <x:c r="S64" t="str">
        <x:v>Pending genuine supplier/brand image</x:v>
      </x:c>
      <x:c r="T64" s="54" t="n">
        <x:v>25.79</x:v>
      </x:c>
      <x:c r="U64" s="47" t="n">
        <x:v>0.2</x:v>
      </x:c>
      <x:c r="V64" s="54" t="n">
        <x:f>IF(ISNUMBER(T64),T64*(1+U64),"")</x:f>
        <x:v>30.947999999999997</x:v>
      </x:c>
      <x:c r="W64" s="47" t="n">
        <x:v>0.3</x:v>
      </x:c>
      <x:c r="X64" s="54" t="n">
        <x:f>IF(ISNUMBER(V64),V64/(1-W64),"")</x:f>
        <x:v>44.21142857142857</x:v>
      </x:c>
      <x:c r="Y64" s="55" t="n">
        <x:f>IF(ISNUMBER(X64),ROUNDUP(X64,0),"")</x:f>
        <x:v>45</x:v>
      </x:c>
      <x:c r="Z64" t="str">
        <x:v>Source match pending</x:v>
      </x:c>
      <x:c r="AA64" t="str">
        <x:v>screencapture-www-activesportstrade-co-uk-applied-nutrition-trade-2026-09-10-08_59_59.pdf / page-14</x:v>
      </x:c>
      <x:c r="AB64" s="36" t="n">
        <x:f>IF(ISNUMBER(Y64),ROUND(Y64*0.9,2),"")</x:f>
        <x:v>40.5</x:v>
      </x:c>
      <x:c r="AC64" s="36" t="n">
        <x:f>IF(ISNUMBER(AB64),ROUND(AB64-(AB64*0.015+0.2)-V64,2),"")</x:f>
        <x:v>8.74</x:v>
      </x:c>
      <x:c r="AD64" s="36" t="n">
        <x:f>IF(ISNUMBER(Y64),ROUND(Y64*0.8,2),"")</x:f>
        <x:v>36</x:v>
      </x:c>
      <x:c r="AE64" s="36" t="n">
        <x:f>IF(ISNUMBER(AD64),ROUND(AD64*0.015+0.2,2),"")</x:f>
        <x:v>0.74</x:v>
      </x:c>
      <x:c r="AF64" s="36" t="n">
        <x:f>IF(ISNUMBER(AD64),ROUND(AD64-AE64-V64,2),"")</x:f>
        <x:v>4.31</x:v>
      </x:c>
      <x:c r="AG64" t="str">
        <x:f>IF(NOT(ISNUMBER(T64)),"PENDING",IF(AF64&gt;0,"PASS","FAIL"))</x:f>
        <x:v>PASS</x:v>
      </x:c>
      <x:c r="AH64" t="str">
        <x:f>IF(NOT(ISNUMBER(T64)),"Needs supplier cost",IF(K64&lt;&gt;"In stock","Supplier unavailable",IF(AG64&lt;&gt;"PASS","BLOCK - GT loss risk","Commercially protected")))</x:f>
        <x:v>Supplier unavailable</x:v>
      </x:c>
      <x:c r="AI64" t="str">
        <x:v>2026-09-10 Active Sports trade capture</x:v>
      </x:c>
      <x:c r="AJ64" t="str">
        <x:v>Management-only economics. Stripe stress test uses 1.5% + £0.20 standard UK online-card fee; pallet/mix-and-match pricing ignored.</x:v>
      </x:c>
    </x:row>
    <x:row r="65">
      <x:c r="A65" s="10" t="str">
        <x:v>Active Sports Nutrition</x:v>
      </x:c>
      <x:c r="B65" s="10" t="str">
        <x:v>Applied Nutrition</x:v>
      </x:c>
      <x:c r="C65" s="10" t="str">
        <x:v>ISO-XP Whey Protein Isolate</x:v>
      </x:c>
      <x:c r="D65" s="10" t="str">
        <x:v>Supplements</x:v>
      </x:c>
      <x:c r="E65" s="10" t="str">
        <x:v>Whey Protein</x:v>
      </x:c>
      <x:c r="F65" s="10" t="str">
        <x:v>High-protein whey isolate.</x:v>
      </x:c>
      <x:c r="G65" s="10" t="str">
        <x:v>1kg</x:v>
      </x:c>
      <x:c r="H65" s="10" t="str">
        <x:v>Vanilla</x:v>
      </x:c>
      <x:c r="I65" s="10" t="str"/>
      <x:c r="J65" s="10" t="str">
        <x:v>Unit</x:v>
      </x:c>
      <x:c r="K65" s="10" t="str">
        <x:v>Out of stock</x:v>
      </x:c>
      <x:c r="L65" s="10" t="str">
        <x:v>2026-09-08</x:v>
      </x:c>
      <x:c r="M65" s="10" t="str"/>
      <x:c r="N65" s="10" t="str"/>
      <x:c r="O65" s="10" t="str">
        <x:v>https://www.activesportstrade.co.uk/applied-nutrition-trade</x:v>
      </x:c>
      <x:c r="P65" s="10" t="str"/>
      <x:c r="S65" t="str">
        <x:v>Pending genuine supplier/brand image</x:v>
      </x:c>
      <x:c r="T65" s="54" t="n">
        <x:v>25.79</x:v>
      </x:c>
      <x:c r="U65" s="47" t="n">
        <x:v>0.2</x:v>
      </x:c>
      <x:c r="V65" s="54" t="n">
        <x:f>IF(ISNUMBER(T65),T65*(1+U65),"")</x:f>
        <x:v>30.947999999999997</x:v>
      </x:c>
      <x:c r="W65" s="47" t="n">
        <x:v>0.3</x:v>
      </x:c>
      <x:c r="X65" s="54" t="n">
        <x:f>IF(ISNUMBER(V65),V65/(1-W65),"")</x:f>
        <x:v>44.21142857142857</x:v>
      </x:c>
      <x:c r="Y65" s="55" t="n">
        <x:f>IF(ISNUMBER(X65),ROUNDUP(X65,0),"")</x:f>
        <x:v>45</x:v>
      </x:c>
      <x:c r="Z65" t="str">
        <x:v>Source match pending</x:v>
      </x:c>
      <x:c r="AA65" t="str">
        <x:v>screencapture-www-activesportstrade-co-uk-applied-nutrition-trade-2026-09-10-08_59_59.pdf / page-14</x:v>
      </x:c>
      <x:c r="AB65" s="36" t="n">
        <x:f>IF(ISNUMBER(Y65),ROUND(Y65*0.9,2),"")</x:f>
        <x:v>40.5</x:v>
      </x:c>
      <x:c r="AC65" s="36" t="n">
        <x:f>IF(ISNUMBER(AB65),ROUND(AB65-(AB65*0.015+0.2)-V65,2),"")</x:f>
        <x:v>8.74</x:v>
      </x:c>
      <x:c r="AD65" s="36" t="n">
        <x:f>IF(ISNUMBER(Y65),ROUND(Y65*0.8,2),"")</x:f>
        <x:v>36</x:v>
      </x:c>
      <x:c r="AE65" s="36" t="n">
        <x:f>IF(ISNUMBER(AD65),ROUND(AD65*0.015+0.2,2),"")</x:f>
        <x:v>0.74</x:v>
      </x:c>
      <x:c r="AF65" s="36" t="n">
        <x:f>IF(ISNUMBER(AD65),ROUND(AD65-AE65-V65,2),"")</x:f>
        <x:v>4.31</x:v>
      </x:c>
      <x:c r="AG65" t="str">
        <x:f>IF(NOT(ISNUMBER(T65)),"PENDING",IF(AF65&gt;0,"PASS","FAIL"))</x:f>
        <x:v>PASS</x:v>
      </x:c>
      <x:c r="AH65" t="str">
        <x:f>IF(NOT(ISNUMBER(T65)),"Needs supplier cost",IF(K65&lt;&gt;"In stock","Supplier unavailable",IF(AG65&lt;&gt;"PASS","BLOCK - GT loss risk","Commercially protected")))</x:f>
        <x:v>Supplier unavailable</x:v>
      </x:c>
      <x:c r="AI65" t="str">
        <x:v>2026-09-10 Active Sports trade capture</x:v>
      </x:c>
      <x:c r="AJ65" t="str">
        <x:v>Management-only economics. Stripe stress test uses 1.5% + £0.20 standard UK online-card fee; pallet/mix-and-match pricing ignored.</x:v>
      </x:c>
    </x:row>
    <x:row r="66">
      <x:c r="A66" s="10" t="str">
        <x:v>Active Sports Nutrition</x:v>
      </x:c>
      <x:c r="B66" s="10" t="str">
        <x:v>Applied Nutrition</x:v>
      </x:c>
      <x:c r="C66" s="10" t="str">
        <x:v>ISO-XP Whey Protein Isolate</x:v>
      </x:c>
      <x:c r="D66" s="10" t="str">
        <x:v>Supplements</x:v>
      </x:c>
      <x:c r="E66" s="10" t="str">
        <x:v>Whey Protein</x:v>
      </x:c>
      <x:c r="F66" s="10" t="str">
        <x:v>High-protein whey isolate.</x:v>
      </x:c>
      <x:c r="G66" s="10" t="str">
        <x:v>850g</x:v>
      </x:c>
      <x:c r="H66" s="10" t="str">
        <x:v>Cafe Latte</x:v>
      </x:c>
      <x:c r="I66" s="10" t="str"/>
      <x:c r="J66" s="10" t="str">
        <x:v>Unit</x:v>
      </x:c>
      <x:c r="K66" s="10" t="str">
        <x:v>In stock</x:v>
      </x:c>
      <x:c r="L66" s="10" t="str">
        <x:v>2026-09-08</x:v>
      </x:c>
      <x:c r="M66" s="10" t="str"/>
      <x:c r="N66" s="10" t="str"/>
      <x:c r="O66" s="10" t="str">
        <x:v>https://www.activesportstrade.co.uk/applied-nutrition-trade</x:v>
      </x:c>
      <x:c r="P66" s="10" t="str"/>
      <x:c r="S66" t="str">
        <x:v>Pending genuine supplier/brand image</x:v>
      </x:c>
      <x:c r="T66" s="54" t="n">
        <x:v>25.85</x:v>
      </x:c>
      <x:c r="U66" s="47" t="n">
        <x:v>0.2</x:v>
      </x:c>
      <x:c r="V66" s="54" t="n">
        <x:f>IF(ISNUMBER(T66),T66*(1+U66),"")</x:f>
        <x:v>31.02</x:v>
      </x:c>
      <x:c r="W66" s="47" t="n">
        <x:v>0.3</x:v>
      </x:c>
      <x:c r="X66" s="54" t="n">
        <x:f>IF(ISNUMBER(V66),V66/(1-W66),"")</x:f>
        <x:v>44.31428571428572</x:v>
      </x:c>
      <x:c r="Y66" s="55" t="n">
        <x:f>IF(ISNUMBER(X66),ROUNDUP(X66,0),"")</x:f>
        <x:v>45</x:v>
      </x:c>
      <x:c r="Z66" t="str">
        <x:v>Source match pending</x:v>
      </x:c>
      <x:c r="AA66" t="str">
        <x:v>screencapture-www-activesportstrade-co-uk-applied-nutrition-trade-2026-09-10-08_59_59.pdf / page-14</x:v>
      </x:c>
      <x:c r="AB66" s="36" t="n">
        <x:f>IF(ISNUMBER(Y66),ROUND(Y66*0.9,2),"")</x:f>
        <x:v>40.5</x:v>
      </x:c>
      <x:c r="AC66" s="36" t="n">
        <x:f>IF(ISNUMBER(AB66),ROUND(AB66-(AB66*0.015+0.2)-V66,2),"")</x:f>
        <x:v>8.67</x:v>
      </x:c>
      <x:c r="AD66" s="36" t="n">
        <x:f>IF(ISNUMBER(Y66),ROUND(Y66*0.8,2),"")</x:f>
        <x:v>36</x:v>
      </x:c>
      <x:c r="AE66" s="36" t="n">
        <x:f>IF(ISNUMBER(AD66),ROUND(AD66*0.015+0.2,2),"")</x:f>
        <x:v>0.74</x:v>
      </x:c>
      <x:c r="AF66" s="36" t="n">
        <x:f>IF(ISNUMBER(AD66),ROUND(AD66-AE66-V66,2),"")</x:f>
        <x:v>4.24</x:v>
      </x:c>
      <x:c r="AG66" t="str">
        <x:f>IF(NOT(ISNUMBER(T66)),"PENDING",IF(AF66&gt;0,"PASS","FAIL"))</x:f>
        <x:v>PASS</x:v>
      </x:c>
      <x:c r="AH66" t="str">
        <x:f>IF(NOT(ISNUMBER(T66)),"Needs supplier cost",IF(K66&lt;&gt;"In stock","Supplier unavailable",IF(AG66&lt;&gt;"PASS","BLOCK - GT loss risk","Commercially protected")))</x:f>
        <x:v>Commercially protected</x:v>
      </x:c>
      <x:c r="AI66" t="str">
        <x:v>2026-09-10 Active Sports trade capture</x:v>
      </x:c>
      <x:c r="AJ66" t="str">
        <x:v>Management-only economics. Stripe stress test uses 1.5% + £0.20 standard UK online-card fee; pallet/mix-and-match pricing ignored.</x:v>
      </x:c>
    </x:row>
    <x:row r="67">
      <x:c r="A67" s="10" t="str">
        <x:v>Active Sports Nutrition</x:v>
      </x:c>
      <x:c r="B67" s="10" t="str">
        <x:v>Applied Nutrition</x:v>
      </x:c>
      <x:c r="C67" s="10" t="str">
        <x:v>ISO-XP Whey Protein Isolate</x:v>
      </x:c>
      <x:c r="D67" s="10" t="str">
        <x:v>Supplements</x:v>
      </x:c>
      <x:c r="E67" s="10" t="str">
        <x:v>Whey Protein</x:v>
      </x:c>
      <x:c r="F67" s="10" t="str">
        <x:v>High-protein whey isolate.</x:v>
      </x:c>
      <x:c r="G67" s="10" t="str">
        <x:v>850g</x:v>
      </x:c>
      <x:c r="H67" s="10" t="str">
        <x:v>Choco Caramel</x:v>
      </x:c>
      <x:c r="I67" s="10" t="str"/>
      <x:c r="J67" s="10" t="str">
        <x:v>Unit</x:v>
      </x:c>
      <x:c r="K67" s="10" t="str">
        <x:v>In stock</x:v>
      </x:c>
      <x:c r="L67" s="10" t="str">
        <x:v>2026-09-08</x:v>
      </x:c>
      <x:c r="M67" s="10" t="str"/>
      <x:c r="N67" s="10" t="str"/>
      <x:c r="O67" s="10" t="str">
        <x:v>https://www.activesportstrade.co.uk/applied-nutrition-trade</x:v>
      </x:c>
      <x:c r="P67" s="10" t="str"/>
      <x:c r="S67" t="str">
        <x:v>Pending genuine supplier/brand image</x:v>
      </x:c>
      <x:c r="T67" s="54" t="n">
        <x:v>25.85</x:v>
      </x:c>
      <x:c r="U67" s="47" t="n">
        <x:v>0.2</x:v>
      </x:c>
      <x:c r="V67" s="54" t="n">
        <x:f>IF(ISNUMBER(T67),T67*(1+U67),"")</x:f>
        <x:v>31.02</x:v>
      </x:c>
      <x:c r="W67" s="47" t="n">
        <x:v>0.3</x:v>
      </x:c>
      <x:c r="X67" s="54" t="n">
        <x:f>IF(ISNUMBER(V67),V67/(1-W67),"")</x:f>
        <x:v>44.31428571428572</x:v>
      </x:c>
      <x:c r="Y67" s="55" t="n">
        <x:f>IF(ISNUMBER(X67),ROUNDUP(X67,0),"")</x:f>
        <x:v>45</x:v>
      </x:c>
      <x:c r="Z67" t="str">
        <x:v>Source match pending</x:v>
      </x:c>
      <x:c r="AA67" t="str">
        <x:v>screencapture-www-activesportstrade-co-uk-applied-nutrition-trade-2026-09-10-08_59_59.pdf / page-14</x:v>
      </x:c>
      <x:c r="AB67" s="36" t="n">
        <x:f>IF(ISNUMBER(Y67),ROUND(Y67*0.9,2),"")</x:f>
        <x:v>40.5</x:v>
      </x:c>
      <x:c r="AC67" s="36" t="n">
        <x:f>IF(ISNUMBER(AB67),ROUND(AB67-(AB67*0.015+0.2)-V67,2),"")</x:f>
        <x:v>8.67</x:v>
      </x:c>
      <x:c r="AD67" s="36" t="n">
        <x:f>IF(ISNUMBER(Y67),ROUND(Y67*0.8,2),"")</x:f>
        <x:v>36</x:v>
      </x:c>
      <x:c r="AE67" s="36" t="n">
        <x:f>IF(ISNUMBER(AD67),ROUND(AD67*0.015+0.2,2),"")</x:f>
        <x:v>0.74</x:v>
      </x:c>
      <x:c r="AF67" s="36" t="n">
        <x:f>IF(ISNUMBER(AD67),ROUND(AD67-AE67-V67,2),"")</x:f>
        <x:v>4.24</x:v>
      </x:c>
      <x:c r="AG67" t="str">
        <x:f>IF(NOT(ISNUMBER(T67)),"PENDING",IF(AF67&gt;0,"PASS","FAIL"))</x:f>
        <x:v>PASS</x:v>
      </x:c>
      <x:c r="AH67" t="str">
        <x:f>IF(NOT(ISNUMBER(T67)),"Needs supplier cost",IF(K67&lt;&gt;"In stock","Supplier unavailable",IF(AG67&lt;&gt;"PASS","BLOCK - GT loss risk","Commercially protected")))</x:f>
        <x:v>Commercially protected</x:v>
      </x:c>
      <x:c r="AI67" t="str">
        <x:v>2026-09-10 Active Sports trade capture</x:v>
      </x:c>
      <x:c r="AJ67" t="str">
        <x:v>Management-only economics. Stripe stress test uses 1.5% + £0.20 standard UK online-card fee; pallet/mix-and-match pricing ignored.</x:v>
      </x:c>
    </x:row>
    <x:row r="68">
      <x:c r="A68" s="10" t="str">
        <x:v>Active Sports Nutrition</x:v>
      </x:c>
      <x:c r="B68" s="10" t="str">
        <x:v>Applied Nutrition</x:v>
      </x:c>
      <x:c r="C68" s="10" t="str">
        <x:v>ISO-XP Whey Protein Isolate</x:v>
      </x:c>
      <x:c r="D68" s="10" t="str">
        <x:v>Supplements</x:v>
      </x:c>
      <x:c r="E68" s="10" t="str">
        <x:v>Whey Protein</x:v>
      </x:c>
      <x:c r="F68" s="10" t="str">
        <x:v>High-protein whey isolate.</x:v>
      </x:c>
      <x:c r="G68" s="10" t="str">
        <x:v>850g</x:v>
      </x:c>
      <x:c r="H68" s="10" t="str">
        <x:v>Choco Hazelnut</x:v>
      </x:c>
      <x:c r="I68" s="10" t="str"/>
      <x:c r="J68" s="10" t="str">
        <x:v>Unit</x:v>
      </x:c>
      <x:c r="K68" s="10" t="str">
        <x:v>In stock</x:v>
      </x:c>
      <x:c r="L68" s="10" t="str">
        <x:v>2026-09-08</x:v>
      </x:c>
      <x:c r="M68" s="10" t="str"/>
      <x:c r="N68" s="10" t="str"/>
      <x:c r="O68" s="10" t="str">
        <x:v>https://www.activesportstrade.co.uk/applied-nutrition-trade</x:v>
      </x:c>
      <x:c r="P68" s="10" t="str"/>
      <x:c r="S68" t="str">
        <x:v>Pending genuine supplier/brand image</x:v>
      </x:c>
      <x:c r="T68" s="54" t="n">
        <x:v>25.85</x:v>
      </x:c>
      <x:c r="U68" s="47" t="n">
        <x:v>0.2</x:v>
      </x:c>
      <x:c r="V68" s="54" t="n">
        <x:f>IF(ISNUMBER(T68),T68*(1+U68),"")</x:f>
        <x:v>31.02</x:v>
      </x:c>
      <x:c r="W68" s="47" t="n">
        <x:v>0.3</x:v>
      </x:c>
      <x:c r="X68" s="54" t="n">
        <x:f>IF(ISNUMBER(V68),V68/(1-W68),"")</x:f>
        <x:v>44.31428571428572</x:v>
      </x:c>
      <x:c r="Y68" s="55" t="n">
        <x:f>IF(ISNUMBER(X68),ROUNDUP(X68,0),"")</x:f>
        <x:v>45</x:v>
      </x:c>
      <x:c r="Z68" t="str">
        <x:v>Source match pending</x:v>
      </x:c>
      <x:c r="AA68" t="str">
        <x:v>screencapture-www-activesportstrade-co-uk-applied-nutrition-trade-2026-09-10-08_59_59.pdf / page-14</x:v>
      </x:c>
      <x:c r="AB68" s="36" t="n">
        <x:f>IF(ISNUMBER(Y68),ROUND(Y68*0.9,2),"")</x:f>
        <x:v>40.5</x:v>
      </x:c>
      <x:c r="AC68" s="36" t="n">
        <x:f>IF(ISNUMBER(AB68),ROUND(AB68-(AB68*0.015+0.2)-V68,2),"")</x:f>
        <x:v>8.67</x:v>
      </x:c>
      <x:c r="AD68" s="36" t="n">
        <x:f>IF(ISNUMBER(Y68),ROUND(Y68*0.8,2),"")</x:f>
        <x:v>36</x:v>
      </x:c>
      <x:c r="AE68" s="36" t="n">
        <x:f>IF(ISNUMBER(AD68),ROUND(AD68*0.015+0.2,2),"")</x:f>
        <x:v>0.74</x:v>
      </x:c>
      <x:c r="AF68" s="36" t="n">
        <x:f>IF(ISNUMBER(AD68),ROUND(AD68-AE68-V68,2),"")</x:f>
        <x:v>4.24</x:v>
      </x:c>
      <x:c r="AG68" t="str">
        <x:f>IF(NOT(ISNUMBER(T68)),"PENDING",IF(AF68&gt;0,"PASS","FAIL"))</x:f>
        <x:v>PASS</x:v>
      </x:c>
      <x:c r="AH68" t="str">
        <x:f>IF(NOT(ISNUMBER(T68)),"Needs supplier cost",IF(K68&lt;&gt;"In stock","Supplier unavailable",IF(AG68&lt;&gt;"PASS","BLOCK - GT loss risk","Commercially protected")))</x:f>
        <x:v>Commercially protected</x:v>
      </x:c>
      <x:c r="AI68" t="str">
        <x:v>2026-09-10 Active Sports trade capture</x:v>
      </x:c>
      <x:c r="AJ68" t="str">
        <x:v>Management-only economics. Stripe stress test uses 1.5% + £0.20 standard UK online-card fee; pallet/mix-and-match pricing ignored.</x:v>
      </x:c>
    </x:row>
    <x:row r="69">
      <x:c r="A69" s="10" t="str">
        <x:v>Active Sports Nutrition</x:v>
      </x:c>
      <x:c r="B69" s="10" t="str">
        <x:v>Applied Nutrition</x:v>
      </x:c>
      <x:c r="C69" s="10" t="str">
        <x:v>ISO-XP Whey Protein Isolate</x:v>
      </x:c>
      <x:c r="D69" s="10" t="str">
        <x:v>Supplements</x:v>
      </x:c>
      <x:c r="E69" s="10" t="str">
        <x:v>Whey Protein</x:v>
      </x:c>
      <x:c r="F69" s="10" t="str">
        <x:v>High-protein whey isolate.</x:v>
      </x:c>
      <x:c r="G69" s="10" t="str">
        <x:v>850g</x:v>
      </x:c>
      <x:c r="H69" s="10" t="str">
        <x:v>Choco Honeycomb</x:v>
      </x:c>
      <x:c r="I69" s="10" t="str"/>
      <x:c r="J69" s="10" t="str">
        <x:v>Unit</x:v>
      </x:c>
      <x:c r="K69" s="10" t="str">
        <x:v>In stock</x:v>
      </x:c>
      <x:c r="L69" s="10" t="str">
        <x:v>2026-09-08</x:v>
      </x:c>
      <x:c r="M69" s="10" t="str"/>
      <x:c r="N69" s="10" t="str"/>
      <x:c r="O69" s="10" t="str">
        <x:v>https://www.activesportstrade.co.uk/applied-nutrition-trade</x:v>
      </x:c>
      <x:c r="P69" s="10" t="str"/>
      <x:c r="S69" t="str">
        <x:v>Pending genuine supplier/brand image</x:v>
      </x:c>
      <x:c r="T69" s="54" t="n">
        <x:v>25.85</x:v>
      </x:c>
      <x:c r="U69" s="47" t="n">
        <x:v>0.2</x:v>
      </x:c>
      <x:c r="V69" s="54" t="n">
        <x:f>IF(ISNUMBER(T69),T69*(1+U69),"")</x:f>
        <x:v>31.02</x:v>
      </x:c>
      <x:c r="W69" s="47" t="n">
        <x:v>0.3</x:v>
      </x:c>
      <x:c r="X69" s="54" t="n">
        <x:f>IF(ISNUMBER(V69),V69/(1-W69),"")</x:f>
        <x:v>44.31428571428572</x:v>
      </x:c>
      <x:c r="Y69" s="55" t="n">
        <x:f>IF(ISNUMBER(X69),ROUNDUP(X69,0),"")</x:f>
        <x:v>45</x:v>
      </x:c>
      <x:c r="Z69" t="str">
        <x:v>Source match pending</x:v>
      </x:c>
      <x:c r="AA69" t="str">
        <x:v>screencapture-www-activesportstrade-co-uk-applied-nutrition-trade-2026-09-10-08_59_59.pdf / page-14</x:v>
      </x:c>
      <x:c r="AB69" s="36" t="n">
        <x:f>IF(ISNUMBER(Y69),ROUND(Y69*0.9,2),"")</x:f>
        <x:v>40.5</x:v>
      </x:c>
      <x:c r="AC69" s="36" t="n">
        <x:f>IF(ISNUMBER(AB69),ROUND(AB69-(AB69*0.015+0.2)-V69,2),"")</x:f>
        <x:v>8.67</x:v>
      </x:c>
      <x:c r="AD69" s="36" t="n">
        <x:f>IF(ISNUMBER(Y69),ROUND(Y69*0.8,2),"")</x:f>
        <x:v>36</x:v>
      </x:c>
      <x:c r="AE69" s="36" t="n">
        <x:f>IF(ISNUMBER(AD69),ROUND(AD69*0.015+0.2,2),"")</x:f>
        <x:v>0.74</x:v>
      </x:c>
      <x:c r="AF69" s="36" t="n">
        <x:f>IF(ISNUMBER(AD69),ROUND(AD69-AE69-V69,2),"")</x:f>
        <x:v>4.24</x:v>
      </x:c>
      <x:c r="AG69" t="str">
        <x:f>IF(NOT(ISNUMBER(T69)),"PENDING",IF(AF69&gt;0,"PASS","FAIL"))</x:f>
        <x:v>PASS</x:v>
      </x:c>
      <x:c r="AH69" t="str">
        <x:f>IF(NOT(ISNUMBER(T69)),"Needs supplier cost",IF(K69&lt;&gt;"In stock","Supplier unavailable",IF(AG69&lt;&gt;"PASS","BLOCK - GT loss risk","Commercially protected")))</x:f>
        <x:v>Commercially protected</x:v>
      </x:c>
      <x:c r="AI69" t="str">
        <x:v>2026-09-10 Active Sports trade capture</x:v>
      </x:c>
      <x:c r="AJ69" t="str">
        <x:v>Management-only economics. Stripe stress test uses 1.5% + £0.20 standard UK online-card fee; pallet/mix-and-match pricing ignored.</x:v>
      </x:c>
    </x:row>
    <x:row r="70">
      <x:c r="A70" s="10" t="str">
        <x:v>Active Sports Nutrition</x:v>
      </x:c>
      <x:c r="B70" s="10" t="str">
        <x:v>Applied Nutrition</x:v>
      </x:c>
      <x:c r="C70" s="10" t="str">
        <x:v>ISO-XP Whey Protein Isolate</x:v>
      </x:c>
      <x:c r="D70" s="10" t="str">
        <x:v>Supplements</x:v>
      </x:c>
      <x:c r="E70" s="10" t="str">
        <x:v>Whey Protein</x:v>
      </x:c>
      <x:c r="F70" s="10" t="str">
        <x:v>High-protein whey isolate.</x:v>
      </x:c>
      <x:c r="G70" s="10" t="str">
        <x:v>850g</x:v>
      </x:c>
      <x:c r="H70" s="10" t="str">
        <x:v>Choco Peanut</x:v>
      </x:c>
      <x:c r="I70" s="10" t="str"/>
      <x:c r="J70" s="10" t="str">
        <x:v>Unit</x:v>
      </x:c>
      <x:c r="K70" s="10" t="str">
        <x:v>In stock</x:v>
      </x:c>
      <x:c r="L70" s="10" t="str">
        <x:v>2026-09-08</x:v>
      </x:c>
      <x:c r="M70" s="10" t="str"/>
      <x:c r="N70" s="10" t="str"/>
      <x:c r="O70" s="10" t="str">
        <x:v>https://www.activesportstrade.co.uk/applied-nutrition-trade</x:v>
      </x:c>
      <x:c r="P70" s="10" t="str"/>
      <x:c r="S70" t="str">
        <x:v>Pending genuine supplier/brand image</x:v>
      </x:c>
      <x:c r="T70" s="54" t="n">
        <x:v>25.85</x:v>
      </x:c>
      <x:c r="U70" s="47" t="n">
        <x:v>0.2</x:v>
      </x:c>
      <x:c r="V70" s="54" t="n">
        <x:f>IF(ISNUMBER(T70),T70*(1+U70),"")</x:f>
        <x:v>31.02</x:v>
      </x:c>
      <x:c r="W70" s="47" t="n">
        <x:v>0.3</x:v>
      </x:c>
      <x:c r="X70" s="54" t="n">
        <x:f>IF(ISNUMBER(V70),V70/(1-W70),"")</x:f>
        <x:v>44.31428571428572</x:v>
      </x:c>
      <x:c r="Y70" s="55" t="n">
        <x:f>IF(ISNUMBER(X70),ROUNDUP(X70,0),"")</x:f>
        <x:v>45</x:v>
      </x:c>
      <x:c r="Z70" t="str">
        <x:v>Source match pending</x:v>
      </x:c>
      <x:c r="AA70" t="str">
        <x:v>screencapture-www-activesportstrade-co-uk-applied-nutrition-trade-2026-09-10-08_59_59.pdf / page-14</x:v>
      </x:c>
      <x:c r="AB70" s="36" t="n">
        <x:f>IF(ISNUMBER(Y70),ROUND(Y70*0.9,2),"")</x:f>
        <x:v>40.5</x:v>
      </x:c>
      <x:c r="AC70" s="36" t="n">
        <x:f>IF(ISNUMBER(AB70),ROUND(AB70-(AB70*0.015+0.2)-V70,2),"")</x:f>
        <x:v>8.67</x:v>
      </x:c>
      <x:c r="AD70" s="36" t="n">
        <x:f>IF(ISNUMBER(Y70),ROUND(Y70*0.8,2),"")</x:f>
        <x:v>36</x:v>
      </x:c>
      <x:c r="AE70" s="36" t="n">
        <x:f>IF(ISNUMBER(AD70),ROUND(AD70*0.015+0.2,2),"")</x:f>
        <x:v>0.74</x:v>
      </x:c>
      <x:c r="AF70" s="36" t="n">
        <x:f>IF(ISNUMBER(AD70),ROUND(AD70-AE70-V70,2),"")</x:f>
        <x:v>4.24</x:v>
      </x:c>
      <x:c r="AG70" t="str">
        <x:f>IF(NOT(ISNUMBER(T70)),"PENDING",IF(AF70&gt;0,"PASS","FAIL"))</x:f>
        <x:v>PASS</x:v>
      </x:c>
      <x:c r="AH70" t="str">
        <x:f>IF(NOT(ISNUMBER(T70)),"Needs supplier cost",IF(K70&lt;&gt;"In stock","Supplier unavailable",IF(AG70&lt;&gt;"PASS","BLOCK - GT loss risk","Commercially protected")))</x:f>
        <x:v>Commercially protected</x:v>
      </x:c>
      <x:c r="AI70" t="str">
        <x:v>2026-09-10 Active Sports trade capture</x:v>
      </x:c>
      <x:c r="AJ70" t="str">
        <x:v>Management-only economics. Stripe stress test uses 1.5% + £0.20 standard UK online-card fee; pallet/mix-and-match pricing ignored.</x:v>
      </x:c>
    </x:row>
    <x:row r="71">
      <x:c r="A71" s="10" t="str">
        <x:v>Active Sports Nutrition</x:v>
      </x:c>
      <x:c r="B71" s="10" t="str">
        <x:v>Applied Nutrition</x:v>
      </x:c>
      <x:c r="C71" s="10" t="str">
        <x:v>ISO-XP Whey Protein Isolate</x:v>
      </x:c>
      <x:c r="D71" s="10" t="str">
        <x:v>Supplements</x:v>
      </x:c>
      <x:c r="E71" s="10" t="str">
        <x:v>Whey Protein</x:v>
      </x:c>
      <x:c r="F71" s="10" t="str">
        <x:v>High-protein whey isolate.</x:v>
      </x:c>
      <x:c r="G71" s="10" t="str">
        <x:v>850g</x:v>
      </x:c>
      <x:c r="H71" s="10" t="str">
        <x:v>Chocolate Dessert</x:v>
      </x:c>
      <x:c r="I71" s="10" t="str"/>
      <x:c r="J71" s="10" t="str">
        <x:v>Unit</x:v>
      </x:c>
      <x:c r="K71" s="10" t="str">
        <x:v>In stock</x:v>
      </x:c>
      <x:c r="L71" s="10" t="str">
        <x:v>2026-09-08</x:v>
      </x:c>
      <x:c r="M71" s="10" t="str"/>
      <x:c r="N71" s="10" t="str"/>
      <x:c r="O71" s="10" t="str">
        <x:v>https://www.activesportstrade.co.uk/applied-nutrition-trade</x:v>
      </x:c>
      <x:c r="P71" s="10" t="str"/>
      <x:c r="S71" t="str">
        <x:v>Pending genuine supplier/brand image</x:v>
      </x:c>
      <x:c r="T71" s="54" t="n">
        <x:v>25.85</x:v>
      </x:c>
      <x:c r="U71" s="47" t="n">
        <x:v>0.2</x:v>
      </x:c>
      <x:c r="V71" s="54" t="n">
        <x:f>IF(ISNUMBER(T71),T71*(1+U71),"")</x:f>
        <x:v>31.02</x:v>
      </x:c>
      <x:c r="W71" s="47" t="n">
        <x:v>0.3</x:v>
      </x:c>
      <x:c r="X71" s="54" t="n">
        <x:f>IF(ISNUMBER(V71),V71/(1-W71),"")</x:f>
        <x:v>44.31428571428572</x:v>
      </x:c>
      <x:c r="Y71" s="55" t="n">
        <x:f>IF(ISNUMBER(X71),ROUNDUP(X71,0),"")</x:f>
        <x:v>45</x:v>
      </x:c>
      <x:c r="Z71" t="str">
        <x:v>Source match pending</x:v>
      </x:c>
      <x:c r="AA71" t="str">
        <x:v>screencapture-www-activesportstrade-co-uk-applied-nutrition-trade-2026-09-10-08_59_59.pdf / page-14</x:v>
      </x:c>
      <x:c r="AB71" s="36" t="n">
        <x:f>IF(ISNUMBER(Y71),ROUND(Y71*0.9,2),"")</x:f>
        <x:v>40.5</x:v>
      </x:c>
      <x:c r="AC71" s="36" t="n">
        <x:f>IF(ISNUMBER(AB71),ROUND(AB71-(AB71*0.015+0.2)-V71,2),"")</x:f>
        <x:v>8.67</x:v>
      </x:c>
      <x:c r="AD71" s="36" t="n">
        <x:f>IF(ISNUMBER(Y71),ROUND(Y71*0.8,2),"")</x:f>
        <x:v>36</x:v>
      </x:c>
      <x:c r="AE71" s="36" t="n">
        <x:f>IF(ISNUMBER(AD71),ROUND(AD71*0.015+0.2,2),"")</x:f>
        <x:v>0.74</x:v>
      </x:c>
      <x:c r="AF71" s="36" t="n">
        <x:f>IF(ISNUMBER(AD71),ROUND(AD71-AE71-V71,2),"")</x:f>
        <x:v>4.24</x:v>
      </x:c>
      <x:c r="AG71" t="str">
        <x:f>IF(NOT(ISNUMBER(T71)),"PENDING",IF(AF71&gt;0,"PASS","FAIL"))</x:f>
        <x:v>PASS</x:v>
      </x:c>
      <x:c r="AH71" t="str">
        <x:f>IF(NOT(ISNUMBER(T71)),"Needs supplier cost",IF(K71&lt;&gt;"In stock","Supplier unavailable",IF(AG71&lt;&gt;"PASS","BLOCK - GT loss risk","Commercially protected")))</x:f>
        <x:v>Commercially protected</x:v>
      </x:c>
      <x:c r="AI71" t="str">
        <x:v>2026-09-10 Active Sports trade capture</x:v>
      </x:c>
      <x:c r="AJ71" t="str">
        <x:v>Management-only economics. Stripe stress test uses 1.5% + £0.20 standard UK online-card fee; pallet/mix-and-match pricing ignored.</x:v>
      </x:c>
    </x:row>
    <x:row r="72">
      <x:c r="A72" s="10" t="str">
        <x:v>Active Sports Nutrition</x:v>
      </x:c>
      <x:c r="B72" s="10" t="str">
        <x:v>Applied Nutrition</x:v>
      </x:c>
      <x:c r="C72" s="10" t="str">
        <x:v>ISO-XP Whey Protein Isolate</x:v>
      </x:c>
      <x:c r="D72" s="10" t="str">
        <x:v>Supplements</x:v>
      </x:c>
      <x:c r="E72" s="10" t="str">
        <x:v>Whey Protein</x:v>
      </x:c>
      <x:c r="F72" s="10" t="str">
        <x:v>High-protein whey isolate.</x:v>
      </x:c>
      <x:c r="G72" s="10" t="str">
        <x:v>850g</x:v>
      </x:c>
      <x:c r="H72" s="10" t="str">
        <x:v>Cookies &amp; Cream</x:v>
      </x:c>
      <x:c r="I72" s="10" t="str"/>
      <x:c r="J72" s="10" t="str">
        <x:v>Unit</x:v>
      </x:c>
      <x:c r="K72" s="10" t="str">
        <x:v>In stock</x:v>
      </x:c>
      <x:c r="L72" s="10" t="str">
        <x:v>2026-09-08</x:v>
      </x:c>
      <x:c r="M72" s="10" t="str"/>
      <x:c r="N72" s="10" t="str"/>
      <x:c r="O72" s="10" t="str">
        <x:v>https://www.activesportstrade.co.uk/applied-nutrition-trade</x:v>
      </x:c>
      <x:c r="P72" s="10" t="str"/>
      <x:c r="S72" t="str">
        <x:v>Pending genuine supplier/brand image</x:v>
      </x:c>
      <x:c r="T72" s="54" t="n">
        <x:v>25.85</x:v>
      </x:c>
      <x:c r="U72" s="47" t="n">
        <x:v>0.2</x:v>
      </x:c>
      <x:c r="V72" s="54" t="n">
        <x:f>IF(ISNUMBER(T72),T72*(1+U72),"")</x:f>
        <x:v>31.02</x:v>
      </x:c>
      <x:c r="W72" s="47" t="n">
        <x:v>0.3</x:v>
      </x:c>
      <x:c r="X72" s="54" t="n">
        <x:f>IF(ISNUMBER(V72),V72/(1-W72),"")</x:f>
        <x:v>44.31428571428572</x:v>
      </x:c>
      <x:c r="Y72" s="55" t="n">
        <x:f>IF(ISNUMBER(X72),ROUNDUP(X72,0),"")</x:f>
        <x:v>45</x:v>
      </x:c>
      <x:c r="Z72" t="str">
        <x:v>Source match pending</x:v>
      </x:c>
      <x:c r="AA72" t="str">
        <x:v>screencapture-www-activesportstrade-co-uk-applied-nutrition-trade-2026-09-10-08_59_59.pdf / page-14</x:v>
      </x:c>
      <x:c r="AB72" s="36" t="n">
        <x:f>IF(ISNUMBER(Y72),ROUND(Y72*0.9,2),"")</x:f>
        <x:v>40.5</x:v>
      </x:c>
      <x:c r="AC72" s="36" t="n">
        <x:f>IF(ISNUMBER(AB72),ROUND(AB72-(AB72*0.015+0.2)-V72,2),"")</x:f>
        <x:v>8.67</x:v>
      </x:c>
      <x:c r="AD72" s="36" t="n">
        <x:f>IF(ISNUMBER(Y72),ROUND(Y72*0.8,2),"")</x:f>
        <x:v>36</x:v>
      </x:c>
      <x:c r="AE72" s="36" t="n">
        <x:f>IF(ISNUMBER(AD72),ROUND(AD72*0.015+0.2,2),"")</x:f>
        <x:v>0.74</x:v>
      </x:c>
      <x:c r="AF72" s="36" t="n">
        <x:f>IF(ISNUMBER(AD72),ROUND(AD72-AE72-V72,2),"")</x:f>
        <x:v>4.24</x:v>
      </x:c>
      <x:c r="AG72" t="str">
        <x:f>IF(NOT(ISNUMBER(T72)),"PENDING",IF(AF72&gt;0,"PASS","FAIL"))</x:f>
        <x:v>PASS</x:v>
      </x:c>
      <x:c r="AH72" t="str">
        <x:f>IF(NOT(ISNUMBER(T72)),"Needs supplier cost",IF(K72&lt;&gt;"In stock","Supplier unavailable",IF(AG72&lt;&gt;"PASS","BLOCK - GT loss risk","Commercially protected")))</x:f>
        <x:v>Commercially protected</x:v>
      </x:c>
      <x:c r="AI72" t="str">
        <x:v>2026-09-10 Active Sports trade capture</x:v>
      </x:c>
      <x:c r="AJ72" t="str">
        <x:v>Management-only economics. Stripe stress test uses 1.5% + £0.20 standard UK online-card fee; pallet/mix-and-match pricing ignored.</x:v>
      </x:c>
    </x:row>
    <x:row r="73">
      <x:c r="A73" s="10" t="str">
        <x:v>Active Sports Nutrition</x:v>
      </x:c>
      <x:c r="B73" s="10" t="str">
        <x:v>Applied Nutrition</x:v>
      </x:c>
      <x:c r="C73" s="10" t="str">
        <x:v>Clear Whey Protein</x:v>
      </x:c>
      <x:c r="D73" s="10" t="str">
        <x:v>Supplements</x:v>
      </x:c>
      <x:c r="E73" s="10" t="str">
        <x:v>Whey Protein</x:v>
      </x:c>
      <x:c r="F73" s="10" t="str">
        <x:v>Clear-style ultra-hydrolysed whey protein isolate.</x:v>
      </x:c>
      <x:c r="G73" s="10" t="str">
        <x:v>875g</x:v>
      </x:c>
      <x:c r="H73" s="10" t="str">
        <x:v>Cherry &amp; Apple</x:v>
      </x:c>
      <x:c r="I73" s="10" t="str"/>
      <x:c r="J73" s="10" t="str">
        <x:v>Unit</x:v>
      </x:c>
      <x:c r="K73" s="10" t="str">
        <x:v>In stock</x:v>
      </x:c>
      <x:c r="L73" s="10" t="str">
        <x:v>2026-09-08</x:v>
      </x:c>
      <x:c r="M73" s="10" t="str"/>
      <x:c r="N73" s="10" t="str"/>
      <x:c r="O73" s="10" t="str">
        <x:v>https://www.activesportstrade.co.uk/applied-nutrition-trade</x:v>
      </x:c>
      <x:c r="P73" s="10" t="str"/>
      <x:c r="S73" t="str">
        <x:v>Pending genuine supplier/brand image</x:v>
      </x:c>
      <x:c r="T73" s="54" t="n">
        <x:v>31.59</x:v>
      </x:c>
      <x:c r="U73" s="47" t="n">
        <x:v>0.2</x:v>
      </x:c>
      <x:c r="V73" s="54" t="n">
        <x:f>IF(ISNUMBER(T73),T73*(1+U73),"")</x:f>
        <x:v>37.908</x:v>
      </x:c>
      <x:c r="W73" s="47" t="n">
        <x:v>0.3</x:v>
      </x:c>
      <x:c r="X73" s="54" t="n">
        <x:f>IF(ISNUMBER(V73),V73/(1-W73),"")</x:f>
        <x:v>54.15428571428572</x:v>
      </x:c>
      <x:c r="Y73" s="55" t="n">
        <x:f>IF(ISNUMBER(X73),ROUNDUP(X73,0),"")</x:f>
        <x:v>55</x:v>
      </x:c>
      <x:c r="Z73" t="str">
        <x:v>Source match pending</x:v>
      </x:c>
      <x:c r="AA73" t="str">
        <x:v>screencapture-www-activesportstrade-co-uk-applied-nutrition-trade-2026-09-10-08_59_59.pdf / page-05</x:v>
      </x:c>
      <x:c r="AB73" s="36" t="n">
        <x:f>IF(ISNUMBER(Y73),ROUND(Y73*0.9,2),"")</x:f>
        <x:v>49.5</x:v>
      </x:c>
      <x:c r="AC73" s="36" t="n">
        <x:f>IF(ISNUMBER(AB73),ROUND(AB73-(AB73*0.015+0.2)-V73,2),"")</x:f>
        <x:v>10.65</x:v>
      </x:c>
      <x:c r="AD73" s="36" t="n">
        <x:f>IF(ISNUMBER(Y73),ROUND(Y73*0.8,2),"")</x:f>
        <x:v>44</x:v>
      </x:c>
      <x:c r="AE73" s="36" t="n">
        <x:f>IF(ISNUMBER(AD73),ROUND(AD73*0.015+0.2,2),"")</x:f>
        <x:v>0.86</x:v>
      </x:c>
      <x:c r="AF73" s="36" t="n">
        <x:f>IF(ISNUMBER(AD73),ROUND(AD73-AE73-V73,2),"")</x:f>
        <x:v>5.23</x:v>
      </x:c>
      <x:c r="AG73" t="str">
        <x:f>IF(NOT(ISNUMBER(T73)),"PENDING",IF(AF73&gt;0,"PASS","FAIL"))</x:f>
        <x:v>PASS</x:v>
      </x:c>
      <x:c r="AH73" t="str">
        <x:f>IF(NOT(ISNUMBER(T73)),"Needs supplier cost",IF(K73&lt;&gt;"In stock","Supplier unavailable",IF(AG73&lt;&gt;"PASS","BLOCK - GT loss risk","Commercially protected")))</x:f>
        <x:v>Commercially protected</x:v>
      </x:c>
      <x:c r="AI73" t="str">
        <x:v>2026-09-10 Active Sports trade capture</x:v>
      </x:c>
      <x:c r="AJ73" t="str">
        <x:v>Management-only economics. Stripe stress test uses 1.5% + £0.20 standard UK online-card fee; pallet/mix-and-match pricing ignored.</x:v>
      </x:c>
    </x:row>
    <x:row r="74">
      <x:c r="A74" s="10" t="str">
        <x:v>Active Sports Nutrition</x:v>
      </x:c>
      <x:c r="B74" s="10" t="str">
        <x:v>Applied Nutrition</x:v>
      </x:c>
      <x:c r="C74" s="10" t="str">
        <x:v>Clear Whey Protein</x:v>
      </x:c>
      <x:c r="D74" s="10" t="str">
        <x:v>Supplements</x:v>
      </x:c>
      <x:c r="E74" s="10" t="str">
        <x:v>Whey Protein</x:v>
      </x:c>
      <x:c r="F74" s="10" t="str">
        <x:v>Clear-style ultra-hydrolysed whey protein isolate.</x:v>
      </x:c>
      <x:c r="G74" s="10" t="str">
        <x:v>875g</x:v>
      </x:c>
      <x:c r="H74" s="10" t="str">
        <x:v>Cranberry &amp; Pomegranate</x:v>
      </x:c>
      <x:c r="I74" s="10" t="str"/>
      <x:c r="J74" s="10" t="str">
        <x:v>Unit</x:v>
      </x:c>
      <x:c r="K74" s="10" t="str">
        <x:v>Out of stock</x:v>
      </x:c>
      <x:c r="L74" s="10" t="str">
        <x:v>2026-09-08</x:v>
      </x:c>
      <x:c r="M74" s="10" t="str"/>
      <x:c r="N74" s="10" t="str"/>
      <x:c r="O74" s="10" t="str">
        <x:v>https://www.activesportstrade.co.uk/applied-nutrition-trade</x:v>
      </x:c>
      <x:c r="P74" s="10" t="str"/>
      <x:c r="S74" t="str">
        <x:v>Pending genuine supplier/brand image</x:v>
      </x:c>
      <x:c r="T74" s="54" t="n">
        <x:v>31.59</x:v>
      </x:c>
      <x:c r="U74" s="47" t="n">
        <x:v>0.2</x:v>
      </x:c>
      <x:c r="V74" s="54" t="n">
        <x:f>IF(ISNUMBER(T74),T74*(1+U74),"")</x:f>
        <x:v>37.908</x:v>
      </x:c>
      <x:c r="W74" s="47" t="n">
        <x:v>0.3</x:v>
      </x:c>
      <x:c r="X74" s="54" t="n">
        <x:f>IF(ISNUMBER(V74),V74/(1-W74),"")</x:f>
        <x:v>54.15428571428572</x:v>
      </x:c>
      <x:c r="Y74" s="55" t="n">
        <x:f>IF(ISNUMBER(X74),ROUNDUP(X74,0),"")</x:f>
        <x:v>55</x:v>
      </x:c>
      <x:c r="Z74" t="str">
        <x:v>Source match pending</x:v>
      </x:c>
      <x:c r="AA74" t="str">
        <x:v>screencapture-www-activesportstrade-co-uk-applied-nutrition-trade-2026-09-10-08_59_59.pdf / page-05</x:v>
      </x:c>
      <x:c r="AB74" s="36" t="n">
        <x:f>IF(ISNUMBER(Y74),ROUND(Y74*0.9,2),"")</x:f>
        <x:v>49.5</x:v>
      </x:c>
      <x:c r="AC74" s="36" t="n">
        <x:f>IF(ISNUMBER(AB74),ROUND(AB74-(AB74*0.015+0.2)-V74,2),"")</x:f>
        <x:v>10.65</x:v>
      </x:c>
      <x:c r="AD74" s="36" t="n">
        <x:f>IF(ISNUMBER(Y74),ROUND(Y74*0.8,2),"")</x:f>
        <x:v>44</x:v>
      </x:c>
      <x:c r="AE74" s="36" t="n">
        <x:f>IF(ISNUMBER(AD74),ROUND(AD74*0.015+0.2,2),"")</x:f>
        <x:v>0.86</x:v>
      </x:c>
      <x:c r="AF74" s="36" t="n">
        <x:f>IF(ISNUMBER(AD74),ROUND(AD74-AE74-V74,2),"")</x:f>
        <x:v>5.23</x:v>
      </x:c>
      <x:c r="AG74" t="str">
        <x:f>IF(NOT(ISNUMBER(T74)),"PENDING",IF(AF74&gt;0,"PASS","FAIL"))</x:f>
        <x:v>PASS</x:v>
      </x:c>
      <x:c r="AH74" t="str">
        <x:f>IF(NOT(ISNUMBER(T74)),"Needs supplier cost",IF(K74&lt;&gt;"In stock","Supplier unavailable",IF(AG74&lt;&gt;"PASS","BLOCK - GT loss risk","Commercially protected")))</x:f>
        <x:v>Supplier unavailable</x:v>
      </x:c>
      <x:c r="AI74" t="str">
        <x:v>2026-09-10 Active Sports trade capture</x:v>
      </x:c>
      <x:c r="AJ74" t="str">
        <x:v>Management-only economics. Stripe stress test uses 1.5% + £0.20 standard UK online-card fee; pallet/mix-and-match pricing ignored.</x:v>
      </x:c>
    </x:row>
    <x:row r="75">
      <x:c r="A75" s="10" t="str">
        <x:v>Active Sports Nutrition</x:v>
      </x:c>
      <x:c r="B75" s="10" t="str">
        <x:v>Applied Nutrition</x:v>
      </x:c>
      <x:c r="C75" s="10" t="str">
        <x:v>Clear Whey Protein</x:v>
      </x:c>
      <x:c r="D75" s="10" t="str">
        <x:v>Supplements</x:v>
      </x:c>
      <x:c r="E75" s="10" t="str">
        <x:v>Whey Protein</x:v>
      </x:c>
      <x:c r="F75" s="10" t="str">
        <x:v>Clear-style ultra-hydrolysed whey protein isolate.</x:v>
      </x:c>
      <x:c r="G75" s="10" t="str">
        <x:v>875g</x:v>
      </x:c>
      <x:c r="H75" s="10" t="str">
        <x:v>Grapefruit</x:v>
      </x:c>
      <x:c r="I75" s="10" t="str"/>
      <x:c r="J75" s="10" t="str">
        <x:v>Unit</x:v>
      </x:c>
      <x:c r="K75" s="10" t="str">
        <x:v>In stock</x:v>
      </x:c>
      <x:c r="L75" s="10" t="str">
        <x:v>2026-09-08</x:v>
      </x:c>
      <x:c r="M75" s="10" t="str"/>
      <x:c r="N75" s="10" t="str"/>
      <x:c r="O75" s="10" t="str">
        <x:v>https://www.activesportstrade.co.uk/applied-nutrition-trade</x:v>
      </x:c>
      <x:c r="P75" s="10" t="str"/>
      <x:c r="S75" t="str">
        <x:v>Pending genuine supplier/brand image</x:v>
      </x:c>
      <x:c r="T75" s="54" t="n">
        <x:v>31.59</x:v>
      </x:c>
      <x:c r="U75" s="47" t="n">
        <x:v>0.2</x:v>
      </x:c>
      <x:c r="V75" s="54" t="n">
        <x:f>IF(ISNUMBER(T75),T75*(1+U75),"")</x:f>
        <x:v>37.908</x:v>
      </x:c>
      <x:c r="W75" s="47" t="n">
        <x:v>0.3</x:v>
      </x:c>
      <x:c r="X75" s="54" t="n">
        <x:f>IF(ISNUMBER(V75),V75/(1-W75),"")</x:f>
        <x:v>54.15428571428572</x:v>
      </x:c>
      <x:c r="Y75" s="55" t="n">
        <x:f>IF(ISNUMBER(X75),ROUNDUP(X75,0),"")</x:f>
        <x:v>55</x:v>
      </x:c>
      <x:c r="Z75" t="str">
        <x:v>Source match pending</x:v>
      </x:c>
      <x:c r="AA75" t="str">
        <x:v>screencapture-www-activesportstrade-co-uk-applied-nutrition-trade-2026-09-10-08_59_59.pdf / page-05</x:v>
      </x:c>
      <x:c r="AB75" s="36" t="n">
        <x:f>IF(ISNUMBER(Y75),ROUND(Y75*0.9,2),"")</x:f>
        <x:v>49.5</x:v>
      </x:c>
      <x:c r="AC75" s="36" t="n">
        <x:f>IF(ISNUMBER(AB75),ROUND(AB75-(AB75*0.015+0.2)-V75,2),"")</x:f>
        <x:v>10.65</x:v>
      </x:c>
      <x:c r="AD75" s="36" t="n">
        <x:f>IF(ISNUMBER(Y75),ROUND(Y75*0.8,2),"")</x:f>
        <x:v>44</x:v>
      </x:c>
      <x:c r="AE75" s="36" t="n">
        <x:f>IF(ISNUMBER(AD75),ROUND(AD75*0.015+0.2,2),"")</x:f>
        <x:v>0.86</x:v>
      </x:c>
      <x:c r="AF75" s="36" t="n">
        <x:f>IF(ISNUMBER(AD75),ROUND(AD75-AE75-V75,2),"")</x:f>
        <x:v>5.23</x:v>
      </x:c>
      <x:c r="AG75" t="str">
        <x:f>IF(NOT(ISNUMBER(T75)),"PENDING",IF(AF75&gt;0,"PASS","FAIL"))</x:f>
        <x:v>PASS</x:v>
      </x:c>
      <x:c r="AH75" t="str">
        <x:f>IF(NOT(ISNUMBER(T75)),"Needs supplier cost",IF(K75&lt;&gt;"In stock","Supplier unavailable",IF(AG75&lt;&gt;"PASS","BLOCK - GT loss risk","Commercially protected")))</x:f>
        <x:v>Commercially protected</x:v>
      </x:c>
      <x:c r="AI75" t="str">
        <x:v>2026-09-10 Active Sports trade capture</x:v>
      </x:c>
      <x:c r="AJ75" t="str">
        <x:v>Management-only economics. Stripe stress test uses 1.5% + £0.20 standard UK online-card fee; pallet/mix-and-match pricing ignored.</x:v>
      </x:c>
    </x:row>
    <x:row r="76">
      <x:c r="A76" s="10" t="str">
        <x:v>Active Sports Nutrition</x:v>
      </x:c>
      <x:c r="B76" s="10" t="str">
        <x:v>Applied Nutrition</x:v>
      </x:c>
      <x:c r="C76" s="10" t="str">
        <x:v>Clear Whey Protein</x:v>
      </x:c>
      <x:c r="D76" s="10" t="str">
        <x:v>Supplements</x:v>
      </x:c>
      <x:c r="E76" s="10" t="str">
        <x:v>Whey Protein</x:v>
      </x:c>
      <x:c r="F76" s="10" t="str">
        <x:v>Clear-style ultra-hydrolysed whey protein isolate.</x:v>
      </x:c>
      <x:c r="G76" s="10" t="str">
        <x:v>875g</x:v>
      </x:c>
      <x:c r="H76" s="10" t="str">
        <x:v>Orange Squash</x:v>
      </x:c>
      <x:c r="I76" s="10" t="str"/>
      <x:c r="J76" s="10" t="str">
        <x:v>Unit</x:v>
      </x:c>
      <x:c r="K76" s="10" t="str">
        <x:v>In stock</x:v>
      </x:c>
      <x:c r="L76" s="10" t="str">
        <x:v>2026-09-08</x:v>
      </x:c>
      <x:c r="M76" s="10" t="str"/>
      <x:c r="N76" s="10" t="str"/>
      <x:c r="O76" s="10" t="str">
        <x:v>https://www.activesportstrade.co.uk/applied-nutrition-trade</x:v>
      </x:c>
      <x:c r="P76" s="10" t="str"/>
      <x:c r="S76" t="str">
        <x:v>Pending genuine supplier/brand image</x:v>
      </x:c>
      <x:c r="T76" s="54" t="n">
        <x:v>31.59</x:v>
      </x:c>
      <x:c r="U76" s="47" t="n">
        <x:v>0.2</x:v>
      </x:c>
      <x:c r="V76" s="54" t="n">
        <x:f>IF(ISNUMBER(T76),T76*(1+U76),"")</x:f>
        <x:v>37.908</x:v>
      </x:c>
      <x:c r="W76" s="47" t="n">
        <x:v>0.3</x:v>
      </x:c>
      <x:c r="X76" s="54" t="n">
        <x:f>IF(ISNUMBER(V76),V76/(1-W76),"")</x:f>
        <x:v>54.15428571428572</x:v>
      </x:c>
      <x:c r="Y76" s="55" t="n">
        <x:f>IF(ISNUMBER(X76),ROUNDUP(X76,0),"")</x:f>
        <x:v>55</x:v>
      </x:c>
      <x:c r="Z76" t="str">
        <x:v>Source match pending</x:v>
      </x:c>
      <x:c r="AA76" t="str">
        <x:v>screencapture-www-activesportstrade-co-uk-applied-nutrition-trade-2026-09-10-08_59_59.pdf / page-05</x:v>
      </x:c>
      <x:c r="AB76" s="36" t="n">
        <x:f>IF(ISNUMBER(Y76),ROUND(Y76*0.9,2),"")</x:f>
        <x:v>49.5</x:v>
      </x:c>
      <x:c r="AC76" s="36" t="n">
        <x:f>IF(ISNUMBER(AB76),ROUND(AB76-(AB76*0.015+0.2)-V76,2),"")</x:f>
        <x:v>10.65</x:v>
      </x:c>
      <x:c r="AD76" s="36" t="n">
        <x:f>IF(ISNUMBER(Y76),ROUND(Y76*0.8,2),"")</x:f>
        <x:v>44</x:v>
      </x:c>
      <x:c r="AE76" s="36" t="n">
        <x:f>IF(ISNUMBER(AD76),ROUND(AD76*0.015+0.2,2),"")</x:f>
        <x:v>0.86</x:v>
      </x:c>
      <x:c r="AF76" s="36" t="n">
        <x:f>IF(ISNUMBER(AD76),ROUND(AD76-AE76-V76,2),"")</x:f>
        <x:v>5.23</x:v>
      </x:c>
      <x:c r="AG76" t="str">
        <x:f>IF(NOT(ISNUMBER(T76)),"PENDING",IF(AF76&gt;0,"PASS","FAIL"))</x:f>
        <x:v>PASS</x:v>
      </x:c>
      <x:c r="AH76" t="str">
        <x:f>IF(NOT(ISNUMBER(T76)),"Needs supplier cost",IF(K76&lt;&gt;"In stock","Supplier unavailable",IF(AG76&lt;&gt;"PASS","BLOCK - GT loss risk","Commercially protected")))</x:f>
        <x:v>Commercially protected</x:v>
      </x:c>
      <x:c r="AI76" t="str">
        <x:v>2026-09-10 Active Sports trade capture</x:v>
      </x:c>
      <x:c r="AJ76" t="str">
        <x:v>Management-only economics. Stripe stress test uses 1.5% + £0.20 standard UK online-card fee; pallet/mix-and-match pricing ignored.</x:v>
      </x:c>
    </x:row>
    <x:row r="77">
      <x:c r="A77" s="10" t="str">
        <x:v>Active Sports Nutrition</x:v>
      </x:c>
      <x:c r="B77" s="10" t="str">
        <x:v>Applied Nutrition</x:v>
      </x:c>
      <x:c r="C77" s="10" t="str">
        <x:v>Clear Whey Protein</x:v>
      </x:c>
      <x:c r="D77" s="10" t="str">
        <x:v>Supplements</x:v>
      </x:c>
      <x:c r="E77" s="10" t="str">
        <x:v>Whey Protein</x:v>
      </x:c>
      <x:c r="F77" s="10" t="str">
        <x:v>Clear-style ultra-hydrolysed whey protein isolate.</x:v>
      </x:c>
      <x:c r="G77" s="10" t="str">
        <x:v>875g</x:v>
      </x:c>
      <x:c r="H77" s="10" t="str">
        <x:v>Slush Puppie - Cherry Chill</x:v>
      </x:c>
      <x:c r="I77" s="10" t="str"/>
      <x:c r="J77" s="10" t="str">
        <x:v>Unit</x:v>
      </x:c>
      <x:c r="K77" s="10" t="str">
        <x:v>In stock</x:v>
      </x:c>
      <x:c r="L77" s="10" t="str">
        <x:v>2026-09-08</x:v>
      </x:c>
      <x:c r="M77" s="10" t="str"/>
      <x:c r="N77" s="10" t="str"/>
      <x:c r="O77" s="10" t="str">
        <x:v>https://www.activesportstrade.co.uk/applied-nutrition-trade</x:v>
      </x:c>
      <x:c r="P77" s="10" t="str"/>
      <x:c r="S77" t="str">
        <x:v>Pending genuine supplier/brand image</x:v>
      </x:c>
      <x:c r="T77" s="54" t="n">
        <x:v>31.59</x:v>
      </x:c>
      <x:c r="U77" s="47" t="n">
        <x:v>0.2</x:v>
      </x:c>
      <x:c r="V77" s="54" t="n">
        <x:f>IF(ISNUMBER(T77),T77*(1+U77),"")</x:f>
        <x:v>37.908</x:v>
      </x:c>
      <x:c r="W77" s="47" t="n">
        <x:v>0.3</x:v>
      </x:c>
      <x:c r="X77" s="54" t="n">
        <x:f>IF(ISNUMBER(V77),V77/(1-W77),"")</x:f>
        <x:v>54.15428571428572</x:v>
      </x:c>
      <x:c r="Y77" s="55" t="n">
        <x:f>IF(ISNUMBER(X77),ROUNDUP(X77,0),"")</x:f>
        <x:v>55</x:v>
      </x:c>
      <x:c r="Z77" t="str">
        <x:v>Source match pending</x:v>
      </x:c>
      <x:c r="AA77" t="str">
        <x:v>screencapture-www-activesportstrade-co-uk-applied-nutrition-trade-2026-09-10-08_59_59.pdf / page-05</x:v>
      </x:c>
      <x:c r="AB77" s="36" t="n">
        <x:f>IF(ISNUMBER(Y77),ROUND(Y77*0.9,2),"")</x:f>
        <x:v>49.5</x:v>
      </x:c>
      <x:c r="AC77" s="36" t="n">
        <x:f>IF(ISNUMBER(AB77),ROUND(AB77-(AB77*0.015+0.2)-V77,2),"")</x:f>
        <x:v>10.65</x:v>
      </x:c>
      <x:c r="AD77" s="36" t="n">
        <x:f>IF(ISNUMBER(Y77),ROUND(Y77*0.8,2),"")</x:f>
        <x:v>44</x:v>
      </x:c>
      <x:c r="AE77" s="36" t="n">
        <x:f>IF(ISNUMBER(AD77),ROUND(AD77*0.015+0.2,2),"")</x:f>
        <x:v>0.86</x:v>
      </x:c>
      <x:c r="AF77" s="36" t="n">
        <x:f>IF(ISNUMBER(AD77),ROUND(AD77-AE77-V77,2),"")</x:f>
        <x:v>5.23</x:v>
      </x:c>
      <x:c r="AG77" t="str">
        <x:f>IF(NOT(ISNUMBER(T77)),"PENDING",IF(AF77&gt;0,"PASS","FAIL"))</x:f>
        <x:v>PASS</x:v>
      </x:c>
      <x:c r="AH77" t="str">
        <x:f>IF(NOT(ISNUMBER(T77)),"Needs supplier cost",IF(K77&lt;&gt;"In stock","Supplier unavailable",IF(AG77&lt;&gt;"PASS","BLOCK - GT loss risk","Commercially protected")))</x:f>
        <x:v>Commercially protected</x:v>
      </x:c>
      <x:c r="AI77" t="str">
        <x:v>2026-09-10 Active Sports trade capture</x:v>
      </x:c>
      <x:c r="AJ77" t="str">
        <x:v>Management-only economics. Stripe stress test uses 1.5% + £0.20 standard UK online-card fee; pallet/mix-and-match pricing ignored.</x:v>
      </x:c>
    </x:row>
    <x:row r="78">
      <x:c r="A78" s="10" t="str">
        <x:v>Active Sports Nutrition</x:v>
      </x:c>
      <x:c r="B78" s="10" t="str">
        <x:v>Applied Nutrition</x:v>
      </x:c>
      <x:c r="C78" s="10" t="str">
        <x:v>Clear Whey Protein</x:v>
      </x:c>
      <x:c r="D78" s="10" t="str">
        <x:v>Supplements</x:v>
      </x:c>
      <x:c r="E78" s="10" t="str">
        <x:v>Whey Protein</x:v>
      </x:c>
      <x:c r="F78" s="10" t="str">
        <x:v>Clear-style ultra-hydrolysed whey protein isolate.</x:v>
      </x:c>
      <x:c r="G78" s="10" t="str">
        <x:v>875g</x:v>
      </x:c>
      <x:c r="H78" s="10" t="str">
        <x:v>Strawberry &amp; Lime</x:v>
      </x:c>
      <x:c r="I78" s="10" t="str"/>
      <x:c r="J78" s="10" t="str">
        <x:v>Unit</x:v>
      </x:c>
      <x:c r="K78" s="10" t="str">
        <x:v>In stock</x:v>
      </x:c>
      <x:c r="L78" s="10" t="str">
        <x:v>2026-09-08</x:v>
      </x:c>
      <x:c r="M78" s="10" t="str"/>
      <x:c r="N78" s="10" t="str"/>
      <x:c r="O78" s="10" t="str">
        <x:v>https://www.activesportstrade.co.uk/applied-nutrition-trade</x:v>
      </x:c>
      <x:c r="P78" s="10" t="str"/>
      <x:c r="S78" t="str">
        <x:v>Pending genuine supplier/brand image</x:v>
      </x:c>
      <x:c r="T78" s="54" t="n">
        <x:v>31.59</x:v>
      </x:c>
      <x:c r="U78" s="47" t="n">
        <x:v>0.2</x:v>
      </x:c>
      <x:c r="V78" s="54" t="n">
        <x:f>IF(ISNUMBER(T78),T78*(1+U78),"")</x:f>
        <x:v>37.908</x:v>
      </x:c>
      <x:c r="W78" s="47" t="n">
        <x:v>0.3</x:v>
      </x:c>
      <x:c r="X78" s="54" t="n">
        <x:f>IF(ISNUMBER(V78),V78/(1-W78),"")</x:f>
        <x:v>54.15428571428572</x:v>
      </x:c>
      <x:c r="Y78" s="55" t="n">
        <x:f>IF(ISNUMBER(X78),ROUNDUP(X78,0),"")</x:f>
        <x:v>55</x:v>
      </x:c>
      <x:c r="Z78" t="str">
        <x:v>Source match pending</x:v>
      </x:c>
      <x:c r="AA78" t="str">
        <x:v>screencapture-www-activesportstrade-co-uk-applied-nutrition-trade-2026-09-10-08_59_59.pdf / page-05</x:v>
      </x:c>
      <x:c r="AB78" s="36" t="n">
        <x:f>IF(ISNUMBER(Y78),ROUND(Y78*0.9,2),"")</x:f>
        <x:v>49.5</x:v>
      </x:c>
      <x:c r="AC78" s="36" t="n">
        <x:f>IF(ISNUMBER(AB78),ROUND(AB78-(AB78*0.015+0.2)-V78,2),"")</x:f>
        <x:v>10.65</x:v>
      </x:c>
      <x:c r="AD78" s="36" t="n">
        <x:f>IF(ISNUMBER(Y78),ROUND(Y78*0.8,2),"")</x:f>
        <x:v>44</x:v>
      </x:c>
      <x:c r="AE78" s="36" t="n">
        <x:f>IF(ISNUMBER(AD78),ROUND(AD78*0.015+0.2,2),"")</x:f>
        <x:v>0.86</x:v>
      </x:c>
      <x:c r="AF78" s="36" t="n">
        <x:f>IF(ISNUMBER(AD78),ROUND(AD78-AE78-V78,2),"")</x:f>
        <x:v>5.23</x:v>
      </x:c>
      <x:c r="AG78" t="str">
        <x:f>IF(NOT(ISNUMBER(T78)),"PENDING",IF(AF78&gt;0,"PASS","FAIL"))</x:f>
        <x:v>PASS</x:v>
      </x:c>
      <x:c r="AH78" t="str">
        <x:f>IF(NOT(ISNUMBER(T78)),"Needs supplier cost",IF(K78&lt;&gt;"In stock","Supplier unavailable",IF(AG78&lt;&gt;"PASS","BLOCK - GT loss risk","Commercially protected")))</x:f>
        <x:v>Commercially protected</x:v>
      </x:c>
      <x:c r="AI78" t="str">
        <x:v>2026-09-10 Active Sports trade capture</x:v>
      </x:c>
      <x:c r="AJ78" t="str">
        <x:v>Management-only economics. Stripe stress test uses 1.5% + £0.20 standard UK online-card fee; pallet/mix-and-match pricing ignored.</x:v>
      </x:c>
    </x:row>
    <x:row r="79">
      <x:c r="A79" s="10" t="str">
        <x:v>Active Sports Nutrition</x:v>
      </x:c>
      <x:c r="B79" s="10" t="str">
        <x:v>Applied Nutrition</x:v>
      </x:c>
      <x:c r="C79" s="10" t="str">
        <x:v>Clear Whey Protein</x:v>
      </x:c>
      <x:c r="D79" s="10" t="str">
        <x:v>Supplements</x:v>
      </x:c>
      <x:c r="E79" s="10" t="str">
        <x:v>Whey Protein</x:v>
      </x:c>
      <x:c r="F79" s="10" t="str">
        <x:v>Clear-style ultra-hydrolysed whey protein isolate.</x:v>
      </x:c>
      <x:c r="G79" s="10" t="str">
        <x:v>875g</x:v>
      </x:c>
      <x:c r="H79" s="10" t="str">
        <x:v>Strawberry &amp; Raspberry</x:v>
      </x:c>
      <x:c r="I79" s="10" t="str"/>
      <x:c r="J79" s="10" t="str">
        <x:v>Unit</x:v>
      </x:c>
      <x:c r="K79" s="10" t="str">
        <x:v>Out of stock</x:v>
      </x:c>
      <x:c r="L79" s="10" t="str">
        <x:v>2026-09-08</x:v>
      </x:c>
      <x:c r="M79" s="10" t="str"/>
      <x:c r="N79" s="10" t="str"/>
      <x:c r="O79" s="10" t="str">
        <x:v>https://www.activesportstrade.co.uk/applied-nutrition-trade</x:v>
      </x:c>
      <x:c r="P79" s="10" t="str"/>
      <x:c r="S79" t="str">
        <x:v>Pending genuine supplier/brand image</x:v>
      </x:c>
      <x:c r="T79" s="54" t="n">
        <x:v>31.59</x:v>
      </x:c>
      <x:c r="U79" s="47" t="n">
        <x:v>0.2</x:v>
      </x:c>
      <x:c r="V79" s="54" t="n">
        <x:f>IF(ISNUMBER(T79),T79*(1+U79),"")</x:f>
        <x:v>37.908</x:v>
      </x:c>
      <x:c r="W79" s="47" t="n">
        <x:v>0.3</x:v>
      </x:c>
      <x:c r="X79" s="54" t="n">
        <x:f>IF(ISNUMBER(V79),V79/(1-W79),"")</x:f>
        <x:v>54.15428571428572</x:v>
      </x:c>
      <x:c r="Y79" s="55" t="n">
        <x:f>IF(ISNUMBER(X79),ROUNDUP(X79,0),"")</x:f>
        <x:v>55</x:v>
      </x:c>
      <x:c r="Z79" t="str">
        <x:v>Source match pending</x:v>
      </x:c>
      <x:c r="AA79" t="str">
        <x:v>screencapture-www-activesportstrade-co-uk-applied-nutrition-trade-2026-09-10-08_59_59.pdf / page-05</x:v>
      </x:c>
      <x:c r="AB79" s="36" t="n">
        <x:f>IF(ISNUMBER(Y79),ROUND(Y79*0.9,2),"")</x:f>
        <x:v>49.5</x:v>
      </x:c>
      <x:c r="AC79" s="36" t="n">
        <x:f>IF(ISNUMBER(AB79),ROUND(AB79-(AB79*0.015+0.2)-V79,2),"")</x:f>
        <x:v>10.65</x:v>
      </x:c>
      <x:c r="AD79" s="36" t="n">
        <x:f>IF(ISNUMBER(Y79),ROUND(Y79*0.8,2),"")</x:f>
        <x:v>44</x:v>
      </x:c>
      <x:c r="AE79" s="36" t="n">
        <x:f>IF(ISNUMBER(AD79),ROUND(AD79*0.015+0.2,2),"")</x:f>
        <x:v>0.86</x:v>
      </x:c>
      <x:c r="AF79" s="36" t="n">
        <x:f>IF(ISNUMBER(AD79),ROUND(AD79-AE79-V79,2),"")</x:f>
        <x:v>5.23</x:v>
      </x:c>
      <x:c r="AG79" t="str">
        <x:f>IF(NOT(ISNUMBER(T79)),"PENDING",IF(AF79&gt;0,"PASS","FAIL"))</x:f>
        <x:v>PASS</x:v>
      </x:c>
      <x:c r="AH79" t="str">
        <x:f>IF(NOT(ISNUMBER(T79)),"Needs supplier cost",IF(K79&lt;&gt;"In stock","Supplier unavailable",IF(AG79&lt;&gt;"PASS","BLOCK - GT loss risk","Commercially protected")))</x:f>
        <x:v>Supplier unavailable</x:v>
      </x:c>
      <x:c r="AI79" t="str">
        <x:v>2026-09-10 Active Sports trade capture</x:v>
      </x:c>
      <x:c r="AJ79" t="str">
        <x:v>Management-only economics. Stripe stress test uses 1.5% + £0.20 standard UK online-card fee; pallet/mix-and-match pricing ignored.</x:v>
      </x:c>
    </x:row>
    <x:row r="80">
      <x:c r="A80" s="10" t="str">
        <x:v>Active Sports Nutrition</x:v>
      </x:c>
      <x:c r="B80" s="10" t="str">
        <x:v>Applied Nutrition</x:v>
      </x:c>
      <x:c r="C80" s="10" t="str">
        <x:v>Clear Whey Protein</x:v>
      </x:c>
      <x:c r="D80" s="10" t="str">
        <x:v>Supplements</x:v>
      </x:c>
      <x:c r="E80" s="10" t="str">
        <x:v>Whey Protein</x:v>
      </x:c>
      <x:c r="F80" s="10" t="str">
        <x:v>Clear-style ultra-hydrolysed whey protein isolate.</x:v>
      </x:c>
      <x:c r="G80" s="10" t="str">
        <x:v>875g</x:v>
      </x:c>
      <x:c r="H80" s="10" t="str">
        <x:v>Twirler Ice Cream</x:v>
      </x:c>
      <x:c r="I80" s="10" t="str"/>
      <x:c r="J80" s="10" t="str">
        <x:v>Unit</x:v>
      </x:c>
      <x:c r="K80" s="10" t="str">
        <x:v>In stock</x:v>
      </x:c>
      <x:c r="L80" s="10" t="str">
        <x:v>2026-09-08</x:v>
      </x:c>
      <x:c r="M80" s="10" t="str"/>
      <x:c r="N80" s="10" t="str"/>
      <x:c r="O80" s="10" t="str">
        <x:v>https://www.activesportstrade.co.uk/applied-nutrition-trade</x:v>
      </x:c>
      <x:c r="P80" s="10" t="str"/>
      <x:c r="S80" t="str">
        <x:v>Pending genuine supplier/brand image</x:v>
      </x:c>
      <x:c r="T80" s="54" t="n">
        <x:v>31.59</x:v>
      </x:c>
      <x:c r="U80" s="47" t="n">
        <x:v>0.2</x:v>
      </x:c>
      <x:c r="V80" s="54" t="n">
        <x:f>IF(ISNUMBER(T80),T80*(1+U80),"")</x:f>
        <x:v>37.908</x:v>
      </x:c>
      <x:c r="W80" s="47" t="n">
        <x:v>0.3</x:v>
      </x:c>
      <x:c r="X80" s="54" t="n">
        <x:f>IF(ISNUMBER(V80),V80/(1-W80),"")</x:f>
        <x:v>54.15428571428572</x:v>
      </x:c>
      <x:c r="Y80" s="55" t="n">
        <x:f>IF(ISNUMBER(X80),ROUNDUP(X80,0),"")</x:f>
        <x:v>55</x:v>
      </x:c>
      <x:c r="Z80" t="str">
        <x:v>Source match pending</x:v>
      </x:c>
      <x:c r="AA80" t="str">
        <x:v>screencapture-www-activesportstrade-co-uk-applied-nutrition-trade-2026-09-10-08_59_59.pdf / page-05</x:v>
      </x:c>
      <x:c r="AB80" s="36" t="n">
        <x:f>IF(ISNUMBER(Y80),ROUND(Y80*0.9,2),"")</x:f>
        <x:v>49.5</x:v>
      </x:c>
      <x:c r="AC80" s="36" t="n">
        <x:f>IF(ISNUMBER(AB80),ROUND(AB80-(AB80*0.015+0.2)-V80,2),"")</x:f>
        <x:v>10.65</x:v>
      </x:c>
      <x:c r="AD80" s="36" t="n">
        <x:f>IF(ISNUMBER(Y80),ROUND(Y80*0.8,2),"")</x:f>
        <x:v>44</x:v>
      </x:c>
      <x:c r="AE80" s="36" t="n">
        <x:f>IF(ISNUMBER(AD80),ROUND(AD80*0.015+0.2,2),"")</x:f>
        <x:v>0.86</x:v>
      </x:c>
      <x:c r="AF80" s="36" t="n">
        <x:f>IF(ISNUMBER(AD80),ROUND(AD80-AE80-V80,2),"")</x:f>
        <x:v>5.23</x:v>
      </x:c>
      <x:c r="AG80" t="str">
        <x:f>IF(NOT(ISNUMBER(T80)),"PENDING",IF(AF80&gt;0,"PASS","FAIL"))</x:f>
        <x:v>PASS</x:v>
      </x:c>
      <x:c r="AH80" t="str">
        <x:f>IF(NOT(ISNUMBER(T80)),"Needs supplier cost",IF(K80&lt;&gt;"In stock","Supplier unavailable",IF(AG80&lt;&gt;"PASS","BLOCK - GT loss risk","Commercially protected")))</x:f>
        <x:v>Commercially protected</x:v>
      </x:c>
      <x:c r="AI80" t="str">
        <x:v>2026-09-10 Active Sports trade capture</x:v>
      </x:c>
      <x:c r="AJ80" t="str">
        <x:v>Management-only economics. Stripe stress test uses 1.5% + £0.20 standard UK online-card fee; pallet/mix-and-match pricing ignored.</x:v>
      </x:c>
    </x:row>
    <x:row r="81">
      <x:c r="A81" s="10" t="str">
        <x:v>Active Sports Nutrition</x:v>
      </x:c>
      <x:c r="B81" s="10" t="str">
        <x:v>Applied Nutrition</x:v>
      </x:c>
      <x:c r="C81" s="10" t="str">
        <x:v>Clear Whey Protein</x:v>
      </x:c>
      <x:c r="D81" s="10" t="str">
        <x:v>Supplements</x:v>
      </x:c>
      <x:c r="E81" s="10" t="str">
        <x:v>Whey Protein</x:v>
      </x:c>
      <x:c r="F81" s="10" t="str">
        <x:v>Clear-style ultra-hydrolysed whey protein isolate.</x:v>
      </x:c>
      <x:c r="G81" s="10" t="str">
        <x:v>875g</x:v>
      </x:c>
      <x:c r="H81" s="10" t="str">
        <x:v>Watermelon</x:v>
      </x:c>
      <x:c r="I81" s="10" t="str"/>
      <x:c r="J81" s="10" t="str">
        <x:v>Unit</x:v>
      </x:c>
      <x:c r="K81" s="10" t="str">
        <x:v>In stock</x:v>
      </x:c>
      <x:c r="L81" s="10" t="str">
        <x:v>2026-09-08</x:v>
      </x:c>
      <x:c r="M81" s="10" t="str"/>
      <x:c r="N81" s="10" t="str"/>
      <x:c r="O81" s="10" t="str">
        <x:v>https://www.activesportstrade.co.uk/applied-nutrition-trade</x:v>
      </x:c>
      <x:c r="P81" s="10" t="str"/>
      <x:c r="S81" t="str">
        <x:v>Pending genuine supplier/brand image</x:v>
      </x:c>
      <x:c r="T81" s="54" t="n">
        <x:v>31.59</x:v>
      </x:c>
      <x:c r="U81" s="47" t="n">
        <x:v>0.2</x:v>
      </x:c>
      <x:c r="V81" s="54" t="n">
        <x:f>IF(ISNUMBER(T81),T81*(1+U81),"")</x:f>
        <x:v>37.908</x:v>
      </x:c>
      <x:c r="W81" s="47" t="n">
        <x:v>0.3</x:v>
      </x:c>
      <x:c r="X81" s="54" t="n">
        <x:f>IF(ISNUMBER(V81),V81/(1-W81),"")</x:f>
        <x:v>54.15428571428572</x:v>
      </x:c>
      <x:c r="Y81" s="55" t="n">
        <x:f>IF(ISNUMBER(X81),ROUNDUP(X81,0),"")</x:f>
        <x:v>55</x:v>
      </x:c>
      <x:c r="Z81" t="str">
        <x:v>Source match pending</x:v>
      </x:c>
      <x:c r="AA81" t="str">
        <x:v>screencapture-www-activesportstrade-co-uk-applied-nutrition-trade-2026-09-10-08_59_59.pdf / page-05</x:v>
      </x:c>
      <x:c r="AB81" s="36" t="n">
        <x:f>IF(ISNUMBER(Y81),ROUND(Y81*0.9,2),"")</x:f>
        <x:v>49.5</x:v>
      </x:c>
      <x:c r="AC81" s="36" t="n">
        <x:f>IF(ISNUMBER(AB81),ROUND(AB81-(AB81*0.015+0.2)-V81,2),"")</x:f>
        <x:v>10.65</x:v>
      </x:c>
      <x:c r="AD81" s="36" t="n">
        <x:f>IF(ISNUMBER(Y81),ROUND(Y81*0.8,2),"")</x:f>
        <x:v>44</x:v>
      </x:c>
      <x:c r="AE81" s="36" t="n">
        <x:f>IF(ISNUMBER(AD81),ROUND(AD81*0.015+0.2,2),"")</x:f>
        <x:v>0.86</x:v>
      </x:c>
      <x:c r="AF81" s="36" t="n">
        <x:f>IF(ISNUMBER(AD81),ROUND(AD81-AE81-V81,2),"")</x:f>
        <x:v>5.23</x:v>
      </x:c>
      <x:c r="AG81" t="str">
        <x:f>IF(NOT(ISNUMBER(T81)),"PENDING",IF(AF81&gt;0,"PASS","FAIL"))</x:f>
        <x:v>PASS</x:v>
      </x:c>
      <x:c r="AH81" t="str">
        <x:f>IF(NOT(ISNUMBER(T81)),"Needs supplier cost",IF(K81&lt;&gt;"In stock","Supplier unavailable",IF(AG81&lt;&gt;"PASS","BLOCK - GT loss risk","Commercially protected")))</x:f>
        <x:v>Commercially protected</x:v>
      </x:c>
      <x:c r="AI81" t="str">
        <x:v>2026-09-10 Active Sports trade capture</x:v>
      </x:c>
      <x:c r="AJ81" t="str">
        <x:v>Management-only economics. Stripe stress test uses 1.5% + £0.20 standard UK online-card fee; pallet/mix-and-match pricing ignored.</x:v>
      </x:c>
    </x:row>
    <x:row r="82">
      <x:c r="A82" s="10" t="str">
        <x:v>Active Sports Nutrition</x:v>
      </x:c>
      <x:c r="B82" s="10" t="str">
        <x:v>Applied Nutrition</x:v>
      </x:c>
      <x:c r="C82" s="10" t="str">
        <x:v>Creatine Monohydrate</x:v>
      </x:c>
      <x:c r="D82" s="10" t="str">
        <x:v>Supplements</x:v>
      </x:c>
      <x:c r="E82" s="10" t="str">
        <x:v>Creatine Powders</x:v>
      </x:c>
      <x:c r="F82" s="10" t="str">
        <x:v>Micronized creatine monohydrate.</x:v>
      </x:c>
      <x:c r="G82" s="10" t="str">
        <x:v>250g</x:v>
      </x:c>
      <x:c r="H82" s="10" t="str">
        <x:v>Unflavoured</x:v>
      </x:c>
      <x:c r="I82" s="10" t="str"/>
      <x:c r="J82" s="10" t="str">
        <x:v>Unit</x:v>
      </x:c>
      <x:c r="K82" s="10" t="str">
        <x:v>In stock</x:v>
      </x:c>
      <x:c r="L82" s="10" t="str">
        <x:v>2026-09-08</x:v>
      </x:c>
      <x:c r="M82" s="10" t="str"/>
      <x:c r="N82" s="10" t="str"/>
      <x:c r="O82" s="10" t="str">
        <x:v>https://www.activesportstrade.co.uk/applied-nutrition-trade</x:v>
      </x:c>
      <x:c r="P82" s="10" t="str"/>
      <x:c r="S82" t="str">
        <x:v>Pending genuine supplier/brand image</x:v>
      </x:c>
      <x:c r="T82" s="54" t="n">
        <x:v>7.44</x:v>
      </x:c>
      <x:c r="U82" s="47" t="n">
        <x:v>0.2</x:v>
      </x:c>
      <x:c r="V82" s="54" t="n">
        <x:f>IF(ISNUMBER(T82),T82*(1+U82),"")</x:f>
        <x:v>8.928</x:v>
      </x:c>
      <x:c r="W82" s="47" t="n">
        <x:v>0.3</x:v>
      </x:c>
      <x:c r="X82" s="54" t="n">
        <x:f>IF(ISNUMBER(V82),V82/(1-W82),"")</x:f>
        <x:v>12.754285714285716</x:v>
      </x:c>
      <x:c r="Y82" s="55" t="n">
        <x:f>IF(ISNUMBER(X82),ROUNDUP(X82,0),"")</x:f>
        <x:v>13</x:v>
      </x:c>
      <x:c r="Z82" t="str">
        <x:v>Source match pending</x:v>
      </x:c>
      <x:c r="AA82" t="str">
        <x:v>screencapture-www-activesportstrade-co-uk-applied-nutrition-trade-2026-09-10-08_59_59.pdf / page-08</x:v>
      </x:c>
      <x:c r="AB82" s="36" t="n">
        <x:f>IF(ISNUMBER(Y82),ROUND(Y82*0.9,2),"")</x:f>
        <x:v>11.7</x:v>
      </x:c>
      <x:c r="AC82" s="36" t="n">
        <x:f>IF(ISNUMBER(AB82),ROUND(AB82-(AB82*0.015+0.2)-V82,2),"")</x:f>
        <x:v>2.4</x:v>
      </x:c>
      <x:c r="AD82" s="36" t="n">
        <x:f>IF(ISNUMBER(Y82),ROUND(Y82*0.8,2),"")</x:f>
        <x:v>10.4</x:v>
      </x:c>
      <x:c r="AE82" s="36" t="n">
        <x:f>IF(ISNUMBER(AD82),ROUND(AD82*0.015+0.2,2),"")</x:f>
        <x:v>0.36</x:v>
      </x:c>
      <x:c r="AF82" s="36" t="n">
        <x:f>IF(ISNUMBER(AD82),ROUND(AD82-AE82-V82,2),"")</x:f>
        <x:v>1.11</x:v>
      </x:c>
      <x:c r="AG82" t="str">
        <x:f>IF(NOT(ISNUMBER(T82)),"PENDING",IF(AF82&gt;0,"PASS","FAIL"))</x:f>
        <x:v>PASS</x:v>
      </x:c>
      <x:c r="AH82" t="str">
        <x:f>IF(NOT(ISNUMBER(T82)),"Needs supplier cost",IF(K82&lt;&gt;"In stock","Supplier unavailable",IF(AG82&lt;&gt;"PASS","BLOCK - GT loss risk","Commercially protected")))</x:f>
        <x:v>Commercially protected</x:v>
      </x:c>
      <x:c r="AI82" t="str">
        <x:v>2026-09-10 Active Sports trade capture</x:v>
      </x:c>
      <x:c r="AJ82" t="str">
        <x:v>Management-only economics. Stripe stress test uses 1.5% + £0.20 standard UK online-card fee; pallet/mix-and-match pricing ignored.</x:v>
      </x:c>
    </x:row>
    <x:row r="83">
      <x:c r="A83" s="10" t="str">
        <x:v>Active Sports Nutrition</x:v>
      </x:c>
      <x:c r="B83" s="10" t="str">
        <x:v>Applied Nutrition</x:v>
      </x:c>
      <x:c r="C83" s="10" t="str">
        <x:v>Creatine Monohydrate</x:v>
      </x:c>
      <x:c r="D83" s="10" t="str">
        <x:v>Supplements</x:v>
      </x:c>
      <x:c r="E83" s="10" t="str">
        <x:v>Creatine Powders</x:v>
      </x:c>
      <x:c r="F83" s="10" t="str">
        <x:v>Micronized creatine monohydrate.</x:v>
      </x:c>
      <x:c r="G83" s="10" t="str">
        <x:v>500g</x:v>
      </x:c>
      <x:c r="H83" s="10" t="str">
        <x:v>Unflavoured</x:v>
      </x:c>
      <x:c r="I83" s="10" t="str"/>
      <x:c r="J83" s="10" t="str">
        <x:v>Unit</x:v>
      </x:c>
      <x:c r="K83" s="10" t="str">
        <x:v>In stock</x:v>
      </x:c>
      <x:c r="L83" s="10" t="str">
        <x:v>2026-09-08</x:v>
      </x:c>
      <x:c r="M83" s="10" t="str"/>
      <x:c r="N83" s="10" t="str"/>
      <x:c r="O83" s="10" t="str">
        <x:v>https://www.activesportstrade.co.uk/applied-nutrition-trade</x:v>
      </x:c>
      <x:c r="P83" s="10" t="str"/>
      <x:c r="S83" t="str">
        <x:v>Pending genuine supplier/brand image</x:v>
      </x:c>
      <x:c r="T83" s="54" t="n">
        <x:v>11.24</x:v>
      </x:c>
      <x:c r="U83" s="47" t="n">
        <x:v>0.2</x:v>
      </x:c>
      <x:c r="V83" s="54" t="n">
        <x:f>IF(ISNUMBER(T83),T83*(1+U83),"")</x:f>
        <x:v>13.488</x:v>
      </x:c>
      <x:c r="W83" s="47" t="n">
        <x:v>0.3</x:v>
      </x:c>
      <x:c r="X83" s="54" t="n">
        <x:f>IF(ISNUMBER(V83),V83/(1-W83),"")</x:f>
        <x:v>19.26857142857143</x:v>
      </x:c>
      <x:c r="Y83" s="55" t="n">
        <x:f>IF(ISNUMBER(X83),ROUNDUP(X83,0),"")</x:f>
        <x:v>20</x:v>
      </x:c>
      <x:c r="Z83" t="str">
        <x:v>Source match pending</x:v>
      </x:c>
      <x:c r="AA83" t="str">
        <x:v>screencapture-www-activesportstrade-co-uk-applied-nutrition-trade-2026-09-10-08_59_59.pdf / page-08</x:v>
      </x:c>
      <x:c r="AB83" s="36" t="n">
        <x:f>IF(ISNUMBER(Y83),ROUND(Y83*0.9,2),"")</x:f>
        <x:v>18</x:v>
      </x:c>
      <x:c r="AC83" s="36" t="n">
        <x:f>IF(ISNUMBER(AB83),ROUND(AB83-(AB83*0.015+0.2)-V83,2),"")</x:f>
        <x:v>4.04</x:v>
      </x:c>
      <x:c r="AD83" s="36" t="n">
        <x:f>IF(ISNUMBER(Y83),ROUND(Y83*0.8,2),"")</x:f>
        <x:v>16</x:v>
      </x:c>
      <x:c r="AE83" s="36" t="n">
        <x:f>IF(ISNUMBER(AD83),ROUND(AD83*0.015+0.2,2),"")</x:f>
        <x:v>0.44</x:v>
      </x:c>
      <x:c r="AF83" s="36" t="n">
        <x:f>IF(ISNUMBER(AD83),ROUND(AD83-AE83-V83,2),"")</x:f>
        <x:v>2.07</x:v>
      </x:c>
      <x:c r="AG83" t="str">
        <x:f>IF(NOT(ISNUMBER(T83)),"PENDING",IF(AF83&gt;0,"PASS","FAIL"))</x:f>
        <x:v>PASS</x:v>
      </x:c>
      <x:c r="AH83" t="str">
        <x:f>IF(NOT(ISNUMBER(T83)),"Needs supplier cost",IF(K83&lt;&gt;"In stock","Supplier unavailable",IF(AG83&lt;&gt;"PASS","BLOCK - GT loss risk","Commercially protected")))</x:f>
        <x:v>Commercially protected</x:v>
      </x:c>
      <x:c r="AI83" t="str">
        <x:v>2026-09-10 Active Sports trade capture</x:v>
      </x:c>
      <x:c r="AJ83" t="str">
        <x:v>Management-only economics. Stripe stress test uses 1.5% + £0.20 standard UK online-card fee; pallet/mix-and-match pricing ignored.</x:v>
      </x:c>
    </x:row>
    <x:row r="84">
      <x:c r="A84" s="10" t="str">
        <x:v>Active Sports Nutrition</x:v>
      </x:c>
      <x:c r="B84" s="10" t="str">
        <x:v>Applied Nutrition</x:v>
      </x:c>
      <x:c r="C84" s="10" t="str">
        <x:v>Creatine Monohydrate</x:v>
      </x:c>
      <x:c r="D84" s="10" t="str">
        <x:v>Supplements</x:v>
      </x:c>
      <x:c r="E84" s="10" t="str">
        <x:v>Creatine Powders</x:v>
      </x:c>
      <x:c r="F84" s="10" t="str">
        <x:v>Micronized creatine monohydrate.</x:v>
      </x:c>
      <x:c r="G84" s="10" t="str">
        <x:v>1kg</x:v>
      </x:c>
      <x:c r="H84" s="10" t="str">
        <x:v>Unflavoured</x:v>
      </x:c>
      <x:c r="I84" s="10" t="str"/>
      <x:c r="J84" s="10" t="str">
        <x:v>Unit</x:v>
      </x:c>
      <x:c r="K84" s="10" t="str">
        <x:v>In stock</x:v>
      </x:c>
      <x:c r="L84" s="10" t="str">
        <x:v>2026-09-08</x:v>
      </x:c>
      <x:c r="M84" s="10" t="str"/>
      <x:c r="N84" s="10" t="str"/>
      <x:c r="O84" s="10" t="str">
        <x:v>https://www.activesportstrade.co.uk/applied-nutrition-trade</x:v>
      </x:c>
      <x:c r="P84" s="10" t="str"/>
      <x:c r="S84" t="str">
        <x:v>Pending genuine supplier/brand image</x:v>
      </x:c>
      <x:c r="T84" s="54" t="n">
        <x:v>16.18</x:v>
      </x:c>
      <x:c r="U84" s="47" t="n">
        <x:v>0.2</x:v>
      </x:c>
      <x:c r="V84" s="54" t="n">
        <x:f>IF(ISNUMBER(T84),T84*(1+U84),"")</x:f>
        <x:v>19.416</x:v>
      </x:c>
      <x:c r="W84" s="47" t="n">
        <x:v>0.3</x:v>
      </x:c>
      <x:c r="X84" s="54" t="n">
        <x:f>IF(ISNUMBER(V84),V84/(1-W84),"")</x:f>
        <x:v>27.73714285714286</x:v>
      </x:c>
      <x:c r="Y84" s="55" t="n">
        <x:f>IF(ISNUMBER(X84),ROUNDUP(X84,0),"")</x:f>
        <x:v>28</x:v>
      </x:c>
      <x:c r="Z84" t="str">
        <x:v>Source match pending</x:v>
      </x:c>
      <x:c r="AA84" t="str">
        <x:v>screencapture-www-activesportstrade-co-uk-applied-nutrition-trade-2026-09-10-08_59_59.pdf / page-08</x:v>
      </x:c>
      <x:c r="AB84" s="36" t="n">
        <x:f>IF(ISNUMBER(Y84),ROUND(Y84*0.9,2),"")</x:f>
        <x:v>25.2</x:v>
      </x:c>
      <x:c r="AC84" s="36" t="n">
        <x:f>IF(ISNUMBER(AB84),ROUND(AB84-(AB84*0.015+0.2)-V84,2),"")</x:f>
        <x:v>5.21</x:v>
      </x:c>
      <x:c r="AD84" s="36" t="n">
        <x:f>IF(ISNUMBER(Y84),ROUND(Y84*0.8,2),"")</x:f>
        <x:v>22.4</x:v>
      </x:c>
      <x:c r="AE84" s="36" t="n">
        <x:f>IF(ISNUMBER(AD84),ROUND(AD84*0.015+0.2,2),"")</x:f>
        <x:v>0.54</x:v>
      </x:c>
      <x:c r="AF84" s="36" t="n">
        <x:f>IF(ISNUMBER(AD84),ROUND(AD84-AE84-V84,2),"")</x:f>
        <x:v>2.44</x:v>
      </x:c>
      <x:c r="AG84" t="str">
        <x:f>IF(NOT(ISNUMBER(T84)),"PENDING",IF(AF84&gt;0,"PASS","FAIL"))</x:f>
        <x:v>PASS</x:v>
      </x:c>
      <x:c r="AH84" t="str">
        <x:f>IF(NOT(ISNUMBER(T84)),"Needs supplier cost",IF(K84&lt;&gt;"In stock","Supplier unavailable",IF(AG84&lt;&gt;"PASS","BLOCK - GT loss risk","Commercially protected")))</x:f>
        <x:v>Commercially protected</x:v>
      </x:c>
      <x:c r="AI84" t="str">
        <x:v>2026-09-10 Active Sports trade capture</x:v>
      </x:c>
      <x:c r="AJ84" t="str">
        <x:v>Management-only economics. Stripe stress test uses 1.5% + £0.20 standard UK online-card fee; pallet/mix-and-match pricing ignored.</x:v>
      </x:c>
    </x:row>
    <x:row r="85">
      <x:c r="A85" s="10" t="str">
        <x:v>Active Sports Nutrition</x:v>
      </x:c>
      <x:c r="B85" s="10" t="str">
        <x:v>Applied Nutrition</x:v>
      </x:c>
      <x:c r="C85" s="10" t="str">
        <x:v>Creapure Creatine Monohydrate</x:v>
      </x:c>
      <x:c r="D85" s="10" t="str">
        <x:v>Supplements</x:v>
      </x:c>
      <x:c r="E85" s="10" t="str">
        <x:v>Creatine Powders</x:v>
      </x:c>
      <x:c r="F85" s="10" t="str">
        <x:v>Creapure creatine monohydrate.</x:v>
      </x:c>
      <x:c r="G85" s="10" t="str">
        <x:v>250g</x:v>
      </x:c>
      <x:c r="H85" s="10" t="str">
        <x:v>Unflavoured</x:v>
      </x:c>
      <x:c r="I85" s="10" t="str"/>
      <x:c r="J85" s="10" t="str">
        <x:v>Unit</x:v>
      </x:c>
      <x:c r="K85" s="10" t="str">
        <x:v>Out of stock</x:v>
      </x:c>
      <x:c r="L85" s="10" t="str">
        <x:v>2026-09-08</x:v>
      </x:c>
      <x:c r="M85" s="10" t="str"/>
      <x:c r="N85" s="10" t="str"/>
      <x:c r="O85" s="10" t="str">
        <x:v>https://www.activesportstrade.co.uk/applied-nutrition-trade</x:v>
      </x:c>
      <x:c r="P85" s="10" t="str"/>
      <x:c r="S85" t="str">
        <x:v>Pending genuine supplier/brand image</x:v>
      </x:c>
      <x:c r="T85" s="54" t="n">
        <x:v>12.49</x:v>
      </x:c>
      <x:c r="U85" s="47" t="n">
        <x:v>0.2</x:v>
      </x:c>
      <x:c r="V85" s="54" t="n">
        <x:f>IF(ISNUMBER(T85),T85*(1+U85),"")</x:f>
        <x:v>14.988</x:v>
      </x:c>
      <x:c r="W85" s="47" t="n">
        <x:v>0.3</x:v>
      </x:c>
      <x:c r="X85" s="54" t="n">
        <x:f>IF(ISNUMBER(V85),V85/(1-W85),"")</x:f>
        <x:v>21.411428571428573</x:v>
      </x:c>
      <x:c r="Y85" s="55" t="n">
        <x:f>IF(ISNUMBER(X85),ROUNDUP(X85,0),"")</x:f>
        <x:v>22</x:v>
      </x:c>
      <x:c r="Z85" t="str">
        <x:v>Source match pending</x:v>
      </x:c>
      <x:c r="AA85" t="str">
        <x:v>screencapture-www-activesportstrade-co-uk-applied-nutrition-trade-2026-09-10-08_59_59.pdf / page-07</x:v>
      </x:c>
      <x:c r="AB85" s="36" t="n">
        <x:f>IF(ISNUMBER(Y85),ROUND(Y85*0.9,2),"")</x:f>
        <x:v>19.8</x:v>
      </x:c>
      <x:c r="AC85" s="36" t="n">
        <x:f>IF(ISNUMBER(AB85),ROUND(AB85-(AB85*0.015+0.2)-V85,2),"")</x:f>
        <x:v>4.32</x:v>
      </x:c>
      <x:c r="AD85" s="36" t="n">
        <x:f>IF(ISNUMBER(Y85),ROUND(Y85*0.8,2),"")</x:f>
        <x:v>17.6</x:v>
      </x:c>
      <x:c r="AE85" s="36" t="n">
        <x:f>IF(ISNUMBER(AD85),ROUND(AD85*0.015+0.2,2),"")</x:f>
        <x:v>0.46</x:v>
      </x:c>
      <x:c r="AF85" s="36" t="n">
        <x:f>IF(ISNUMBER(AD85),ROUND(AD85-AE85-V85,2),"")</x:f>
        <x:v>2.15</x:v>
      </x:c>
      <x:c r="AG85" t="str">
        <x:f>IF(NOT(ISNUMBER(T85)),"PENDING",IF(AF85&gt;0,"PASS","FAIL"))</x:f>
        <x:v>PASS</x:v>
      </x:c>
      <x:c r="AH85" t="str">
        <x:f>IF(NOT(ISNUMBER(T85)),"Needs supplier cost",IF(K85&lt;&gt;"In stock","Supplier unavailable",IF(AG85&lt;&gt;"PASS","BLOCK - GT loss risk","Commercially protected")))</x:f>
        <x:v>Supplier unavailable</x:v>
      </x:c>
      <x:c r="AI85" t="str">
        <x:v>2026-09-10 Active Sports trade capture</x:v>
      </x:c>
      <x:c r="AJ85" t="str">
        <x:v>Management-only economics. Stripe stress test uses 1.5% + £0.20 standard UK online-card fee; pallet/mix-and-match pricing ignored.</x:v>
      </x:c>
    </x:row>
    <x:row r="86">
      <x:c r="A86" s="10" t="str">
        <x:v>Active Sports Nutrition</x:v>
      </x:c>
      <x:c r="B86" s="10" t="str">
        <x:v>Applied Nutrition</x:v>
      </x:c>
      <x:c r="C86" s="10" t="str">
        <x:v>Creatine Monohydrate Flavoured</x:v>
      </x:c>
      <x:c r="D86" s="10" t="str">
        <x:v>Supplements</x:v>
      </x:c>
      <x:c r="E86" s="10" t="str">
        <x:v>Creatine Powders</x:v>
      </x:c>
      <x:c r="F86" s="10" t="str">
        <x:v>Flavoured creatine monohydrate.</x:v>
      </x:c>
      <x:c r="G86" s="10" t="str">
        <x:v>250g</x:v>
      </x:c>
      <x:c r="H86" s="10" t="str">
        <x:v>Cherry &amp; Apple</x:v>
      </x:c>
      <x:c r="I86" s="10" t="str"/>
      <x:c r="J86" s="10" t="str">
        <x:v>Unit</x:v>
      </x:c>
      <x:c r="K86" s="10" t="str">
        <x:v>In stock</x:v>
      </x:c>
      <x:c r="L86" s="10" t="str">
        <x:v>2026-09-08</x:v>
      </x:c>
      <x:c r="M86" s="10" t="str"/>
      <x:c r="N86" s="10" t="str"/>
      <x:c r="O86" s="10" t="str">
        <x:v>https://www.activesportstrade.co.uk/applied-nutrition-trade</x:v>
      </x:c>
      <x:c r="P86" s="10" t="str"/>
      <x:c r="S86" t="str">
        <x:v>Pending genuine supplier/brand image</x:v>
      </x:c>
      <x:c r="T86" s="54" t="n">
        <x:v>7.45</x:v>
      </x:c>
      <x:c r="U86" s="47" t="n">
        <x:v>0.2</x:v>
      </x:c>
      <x:c r="V86" s="54" t="n">
        <x:f>IF(ISNUMBER(T86),T86*(1+U86),"")</x:f>
        <x:v>8.94</x:v>
      </x:c>
      <x:c r="W86" s="47" t="n">
        <x:v>0.3</x:v>
      </x:c>
      <x:c r="X86" s="54" t="n">
        <x:f>IF(ISNUMBER(V86),V86/(1-W86),"")</x:f>
        <x:v>12.771428571428572</x:v>
      </x:c>
      <x:c r="Y86" s="55" t="n">
        <x:f>IF(ISNUMBER(X86),ROUNDUP(X86,0),"")</x:f>
        <x:v>13</x:v>
      </x:c>
      <x:c r="Z86" t="str">
        <x:v>Source match pending</x:v>
      </x:c>
      <x:c r="AA86" t="str">
        <x:v>screencapture-www-activesportstrade-co-uk-applied-nutrition-trade-2026-09-10-08_59_59.pdf / page-08</x:v>
      </x:c>
      <x:c r="AB86" s="36" t="n">
        <x:f>IF(ISNUMBER(Y86),ROUND(Y86*0.9,2),"")</x:f>
        <x:v>11.7</x:v>
      </x:c>
      <x:c r="AC86" s="36" t="n">
        <x:f>IF(ISNUMBER(AB86),ROUND(AB86-(AB86*0.015+0.2)-V86,2),"")</x:f>
        <x:v>2.38</x:v>
      </x:c>
      <x:c r="AD86" s="36" t="n">
        <x:f>IF(ISNUMBER(Y86),ROUND(Y86*0.8,2),"")</x:f>
        <x:v>10.4</x:v>
      </x:c>
      <x:c r="AE86" s="36" t="n">
        <x:f>IF(ISNUMBER(AD86),ROUND(AD86*0.015+0.2,2),"")</x:f>
        <x:v>0.36</x:v>
      </x:c>
      <x:c r="AF86" s="36" t="n">
        <x:f>IF(ISNUMBER(AD86),ROUND(AD86-AE86-V86,2),"")</x:f>
        <x:v>1.1</x:v>
      </x:c>
      <x:c r="AG86" t="str">
        <x:f>IF(NOT(ISNUMBER(T86)),"PENDING",IF(AF86&gt;0,"PASS","FAIL"))</x:f>
        <x:v>PASS</x:v>
      </x:c>
      <x:c r="AH86" t="str">
        <x:f>IF(NOT(ISNUMBER(T86)),"Needs supplier cost",IF(K86&lt;&gt;"In stock","Supplier unavailable",IF(AG86&lt;&gt;"PASS","BLOCK - GT loss risk","Commercially protected")))</x:f>
        <x:v>Commercially protected</x:v>
      </x:c>
      <x:c r="AI86" t="str">
        <x:v>2026-09-10 Active Sports trade capture</x:v>
      </x:c>
      <x:c r="AJ86" t="str">
        <x:v>Management-only economics. Stripe stress test uses 1.5% + £0.20 standard UK online-card fee; pallet/mix-and-match pricing ignored.</x:v>
      </x:c>
    </x:row>
    <x:row r="87">
      <x:c r="A87" s="10" t="str">
        <x:v>Active Sports Nutrition</x:v>
      </x:c>
      <x:c r="B87" s="10" t="str">
        <x:v>Applied Nutrition</x:v>
      </x:c>
      <x:c r="C87" s="10" t="str">
        <x:v>Creatine Monohydrate Flavoured</x:v>
      </x:c>
      <x:c r="D87" s="10" t="str">
        <x:v>Supplements</x:v>
      </x:c>
      <x:c r="E87" s="10" t="str">
        <x:v>Creatine Powders</x:v>
      </x:c>
      <x:c r="F87" s="10" t="str">
        <x:v>Flavoured creatine monohydrate.</x:v>
      </x:c>
      <x:c r="G87" s="10" t="str">
        <x:v>250g</x:v>
      </x:c>
      <x:c r="H87" s="10" t="str">
        <x:v>Icy Blue Razz</x:v>
      </x:c>
      <x:c r="I87" s="10" t="str"/>
      <x:c r="J87" s="10" t="str">
        <x:v>Unit</x:v>
      </x:c>
      <x:c r="K87" s="10" t="str">
        <x:v>In stock</x:v>
      </x:c>
      <x:c r="L87" s="10" t="str">
        <x:v>2026-09-08</x:v>
      </x:c>
      <x:c r="M87" s="10" t="str"/>
      <x:c r="N87" s="10" t="str"/>
      <x:c r="O87" s="10" t="str">
        <x:v>https://www.activesportstrade.co.uk/applied-nutrition-trade</x:v>
      </x:c>
      <x:c r="P87" s="10" t="str"/>
      <x:c r="S87" t="str">
        <x:v>Pending genuine supplier/brand image</x:v>
      </x:c>
      <x:c r="T87" s="54" t="n">
        <x:v>7.45</x:v>
      </x:c>
      <x:c r="U87" s="47" t="n">
        <x:v>0.2</x:v>
      </x:c>
      <x:c r="V87" s="54" t="n">
        <x:f>IF(ISNUMBER(T87),T87*(1+U87),"")</x:f>
        <x:v>8.94</x:v>
      </x:c>
      <x:c r="W87" s="47" t="n">
        <x:v>0.3</x:v>
      </x:c>
      <x:c r="X87" s="54" t="n">
        <x:f>IF(ISNUMBER(V87),V87/(1-W87),"")</x:f>
        <x:v>12.771428571428572</x:v>
      </x:c>
      <x:c r="Y87" s="55" t="n">
        <x:f>IF(ISNUMBER(X87),ROUNDUP(X87,0),"")</x:f>
        <x:v>13</x:v>
      </x:c>
      <x:c r="Z87" t="str">
        <x:v>Source match pending</x:v>
      </x:c>
      <x:c r="AA87" t="str">
        <x:v>screencapture-www-activesportstrade-co-uk-applied-nutrition-trade-2026-09-10-08_59_59.pdf / page-08</x:v>
      </x:c>
      <x:c r="AB87" s="36" t="n">
        <x:f>IF(ISNUMBER(Y87),ROUND(Y87*0.9,2),"")</x:f>
        <x:v>11.7</x:v>
      </x:c>
      <x:c r="AC87" s="36" t="n">
        <x:f>IF(ISNUMBER(AB87),ROUND(AB87-(AB87*0.015+0.2)-V87,2),"")</x:f>
        <x:v>2.38</x:v>
      </x:c>
      <x:c r="AD87" s="36" t="n">
        <x:f>IF(ISNUMBER(Y87),ROUND(Y87*0.8,2),"")</x:f>
        <x:v>10.4</x:v>
      </x:c>
      <x:c r="AE87" s="36" t="n">
        <x:f>IF(ISNUMBER(AD87),ROUND(AD87*0.015+0.2,2),"")</x:f>
        <x:v>0.36</x:v>
      </x:c>
      <x:c r="AF87" s="36" t="n">
        <x:f>IF(ISNUMBER(AD87),ROUND(AD87-AE87-V87,2),"")</x:f>
        <x:v>1.1</x:v>
      </x:c>
      <x:c r="AG87" t="str">
        <x:f>IF(NOT(ISNUMBER(T87)),"PENDING",IF(AF87&gt;0,"PASS","FAIL"))</x:f>
        <x:v>PASS</x:v>
      </x:c>
      <x:c r="AH87" t="str">
        <x:f>IF(NOT(ISNUMBER(T87)),"Needs supplier cost",IF(K87&lt;&gt;"In stock","Supplier unavailable",IF(AG87&lt;&gt;"PASS","BLOCK - GT loss risk","Commercially protected")))</x:f>
        <x:v>Commercially protected</x:v>
      </x:c>
      <x:c r="AI87" t="str">
        <x:v>2026-09-10 Active Sports trade capture</x:v>
      </x:c>
      <x:c r="AJ87" t="str">
        <x:v>Management-only economics. Stripe stress test uses 1.5% + £0.20 standard UK online-card fee; pallet/mix-and-match pricing ignored.</x:v>
      </x:c>
    </x:row>
    <x:row r="88">
      <x:c r="A88" s="10" t="str">
        <x:v>Active Sports Nutrition</x:v>
      </x:c>
      <x:c r="B88" s="10" t="str">
        <x:v>Applied Nutrition</x:v>
      </x:c>
      <x:c r="C88" s="10" t="str">
        <x:v>Creatine Monohydrate Flavoured</x:v>
      </x:c>
      <x:c r="D88" s="10" t="str">
        <x:v>Supplements</x:v>
      </x:c>
      <x:c r="E88" s="10" t="str">
        <x:v>Creatine Powders</x:v>
      </x:c>
      <x:c r="F88" s="10" t="str">
        <x:v>Flavoured creatine monohydrate.</x:v>
      </x:c>
      <x:c r="G88" s="10" t="str">
        <x:v>250g</x:v>
      </x:c>
      <x:c r="H88" s="10" t="str">
        <x:v>Strawberry &amp; Raspberry</x:v>
      </x:c>
      <x:c r="I88" s="10" t="str"/>
      <x:c r="J88" s="10" t="str">
        <x:v>Unit</x:v>
      </x:c>
      <x:c r="K88" s="10" t="str">
        <x:v>In stock</x:v>
      </x:c>
      <x:c r="L88" s="10" t="str">
        <x:v>2026-09-08</x:v>
      </x:c>
      <x:c r="M88" s="10" t="str"/>
      <x:c r="N88" s="10" t="str"/>
      <x:c r="O88" s="10" t="str">
        <x:v>https://www.activesportstrade.co.uk/applied-nutrition-trade</x:v>
      </x:c>
      <x:c r="P88" s="10" t="str"/>
      <x:c r="S88" t="str">
        <x:v>Pending genuine supplier/brand image</x:v>
      </x:c>
      <x:c r="T88" s="54" t="n">
        <x:v>7.45</x:v>
      </x:c>
      <x:c r="U88" s="47" t="n">
        <x:v>0.2</x:v>
      </x:c>
      <x:c r="V88" s="54" t="n">
        <x:f>IF(ISNUMBER(T88),T88*(1+U88),"")</x:f>
        <x:v>8.94</x:v>
      </x:c>
      <x:c r="W88" s="47" t="n">
        <x:v>0.3</x:v>
      </x:c>
      <x:c r="X88" s="54" t="n">
        <x:f>IF(ISNUMBER(V88),V88/(1-W88),"")</x:f>
        <x:v>12.771428571428572</x:v>
      </x:c>
      <x:c r="Y88" s="55" t="n">
        <x:f>IF(ISNUMBER(X88),ROUNDUP(X88,0),"")</x:f>
        <x:v>13</x:v>
      </x:c>
      <x:c r="Z88" t="str">
        <x:v>Source match pending</x:v>
      </x:c>
      <x:c r="AA88" t="str">
        <x:v>screencapture-www-activesportstrade-co-uk-applied-nutrition-trade-2026-09-10-08_59_59.pdf / page-08</x:v>
      </x:c>
      <x:c r="AB88" s="36" t="n">
        <x:f>IF(ISNUMBER(Y88),ROUND(Y88*0.9,2),"")</x:f>
        <x:v>11.7</x:v>
      </x:c>
      <x:c r="AC88" s="36" t="n">
        <x:f>IF(ISNUMBER(AB88),ROUND(AB88-(AB88*0.015+0.2)-V88,2),"")</x:f>
        <x:v>2.38</x:v>
      </x:c>
      <x:c r="AD88" s="36" t="n">
        <x:f>IF(ISNUMBER(Y88),ROUND(Y88*0.8,2),"")</x:f>
        <x:v>10.4</x:v>
      </x:c>
      <x:c r="AE88" s="36" t="n">
        <x:f>IF(ISNUMBER(AD88),ROUND(AD88*0.015+0.2,2),"")</x:f>
        <x:v>0.36</x:v>
      </x:c>
      <x:c r="AF88" s="36" t="n">
        <x:f>IF(ISNUMBER(AD88),ROUND(AD88-AE88-V88,2),"")</x:f>
        <x:v>1.1</x:v>
      </x:c>
      <x:c r="AG88" t="str">
        <x:f>IF(NOT(ISNUMBER(T88)),"PENDING",IF(AF88&gt;0,"PASS","FAIL"))</x:f>
        <x:v>PASS</x:v>
      </x:c>
      <x:c r="AH88" t="str">
        <x:f>IF(NOT(ISNUMBER(T88)),"Needs supplier cost",IF(K88&lt;&gt;"In stock","Supplier unavailable",IF(AG88&lt;&gt;"PASS","BLOCK - GT loss risk","Commercially protected")))</x:f>
        <x:v>Commercially protected</x:v>
      </x:c>
      <x:c r="AI88" t="str">
        <x:v>2026-09-10 Active Sports trade capture</x:v>
      </x:c>
      <x:c r="AJ88" t="str">
        <x:v>Management-only economics. Stripe stress test uses 1.5% + £0.20 standard UK online-card fee; pallet/mix-and-match pricing ignored.</x:v>
      </x:c>
    </x:row>
    <x:row r="89">
      <x:c r="A89" s="10" t="str">
        <x:v>Active Sports Nutrition</x:v>
      </x:c>
      <x:c r="B89" s="10" t="str">
        <x:v>Applied Nutrition</x:v>
      </x:c>
      <x:c r="C89" s="10" t="str">
        <x:v>Creatine + Hydration</x:v>
      </x:c>
      <x:c r="D89" s="10" t="str">
        <x:v>Supplements</x:v>
      </x:c>
      <x:c r="E89" s="10" t="str">
        <x:v>Creatine Powders</x:v>
      </x:c>
      <x:c r="F89" s="10" t="str">
        <x:v>Creatine monohydrate with hydration ingredients.</x:v>
      </x:c>
      <x:c r="G89" s="10" t="str">
        <x:v>360g</x:v>
      </x:c>
      <x:c r="H89" s="10" t="str">
        <x:v>Berry Slush</x:v>
      </x:c>
      <x:c r="I89" s="10" t="str"/>
      <x:c r="J89" s="10" t="str">
        <x:v>Unit</x:v>
      </x:c>
      <x:c r="K89" s="10" t="str">
        <x:v>In stock</x:v>
      </x:c>
      <x:c r="L89" s="10" t="str">
        <x:v>2026-09-08</x:v>
      </x:c>
      <x:c r="M89" s="10" t="str"/>
      <x:c r="N89" s="10" t="str"/>
      <x:c r="O89" s="10" t="str">
        <x:v>https://www.activesportstrade.co.uk/applied-nutrition-trade</x:v>
      </x:c>
      <x:c r="P89" s="10" t="str"/>
      <x:c r="S89" t="str">
        <x:v>Pending genuine supplier/brand image</x:v>
      </x:c>
      <x:c r="T89" s="54" t="n">
        <x:v>12.5</x:v>
      </x:c>
      <x:c r="U89" s="47" t="n">
        <x:v>0.2</x:v>
      </x:c>
      <x:c r="V89" s="54" t="n">
        <x:f>IF(ISNUMBER(T89),T89*(1+U89),"")</x:f>
        <x:v>15</x:v>
      </x:c>
      <x:c r="W89" s="47" t="n">
        <x:v>0.3</x:v>
      </x:c>
      <x:c r="X89" s="54" t="n">
        <x:f>IF(ISNUMBER(V89),V89/(1-W89),"")</x:f>
        <x:v>21.42857142857143</x:v>
      </x:c>
      <x:c r="Y89" s="55" t="n">
        <x:f>IF(ISNUMBER(X89),ROUNDUP(X89,0),"")</x:f>
        <x:v>22</x:v>
      </x:c>
      <x:c r="Z89" t="str">
        <x:v>Source match pending</x:v>
      </x:c>
      <x:c r="AA89" t="str">
        <x:v>screencapture-www-activesportstrade-co-uk-applied-nutrition-trade-2026-09-10-08_59_59.pdf / page-07</x:v>
      </x:c>
      <x:c r="AB89" s="36" t="n">
        <x:f>IF(ISNUMBER(Y89),ROUND(Y89*0.9,2),"")</x:f>
        <x:v>19.8</x:v>
      </x:c>
      <x:c r="AC89" s="36" t="n">
        <x:f>IF(ISNUMBER(AB89),ROUND(AB89-(AB89*0.015+0.2)-V89,2),"")</x:f>
        <x:v>4.3</x:v>
      </x:c>
      <x:c r="AD89" s="36" t="n">
        <x:f>IF(ISNUMBER(Y89),ROUND(Y89*0.8,2),"")</x:f>
        <x:v>17.6</x:v>
      </x:c>
      <x:c r="AE89" s="36" t="n">
        <x:f>IF(ISNUMBER(AD89),ROUND(AD89*0.015+0.2,2),"")</x:f>
        <x:v>0.46</x:v>
      </x:c>
      <x:c r="AF89" s="36" t="n">
        <x:f>IF(ISNUMBER(AD89),ROUND(AD89-AE89-V89,2),"")</x:f>
        <x:v>2.14</x:v>
      </x:c>
      <x:c r="AG89" t="str">
        <x:f>IF(NOT(ISNUMBER(T89)),"PENDING",IF(AF89&gt;0,"PASS","FAIL"))</x:f>
        <x:v>PASS</x:v>
      </x:c>
      <x:c r="AH89" t="str">
        <x:f>IF(NOT(ISNUMBER(T89)),"Needs supplier cost",IF(K89&lt;&gt;"In stock","Supplier unavailable",IF(AG89&lt;&gt;"PASS","BLOCK - GT loss risk","Commercially protected")))</x:f>
        <x:v>Commercially protected</x:v>
      </x:c>
      <x:c r="AI89" t="str">
        <x:v>2026-09-10 Active Sports trade capture</x:v>
      </x:c>
      <x:c r="AJ89" t="str">
        <x:v>Management-only economics. Stripe stress test uses 1.5% + £0.20 standard UK online-card fee; pallet/mix-and-match pricing ignored.</x:v>
      </x:c>
    </x:row>
    <x:row r="90">
      <x:c r="A90" s="10" t="str">
        <x:v>Active Sports Nutrition</x:v>
      </x:c>
      <x:c r="B90" s="10" t="str">
        <x:v>Applied Nutrition</x:v>
      </x:c>
      <x:c r="C90" s="10" t="str">
        <x:v>Creatine + Hydration</x:v>
      </x:c>
      <x:c r="D90" s="10" t="str">
        <x:v>Supplements</x:v>
      </x:c>
      <x:c r="E90" s="10" t="str">
        <x:v>Creatine Powders</x:v>
      </x:c>
      <x:c r="F90" s="10" t="str">
        <x:v>Creatine monohydrate with hydration ingredients.</x:v>
      </x:c>
      <x:c r="G90" s="10" t="str">
        <x:v>360g</x:v>
      </x:c>
      <x:c r="H90" s="10" t="str">
        <x:v>Blue Raspberry</x:v>
      </x:c>
      <x:c r="I90" s="10" t="str"/>
      <x:c r="J90" s="10" t="str">
        <x:v>Unit</x:v>
      </x:c>
      <x:c r="K90" s="10" t="str">
        <x:v>In stock</x:v>
      </x:c>
      <x:c r="L90" s="10" t="str">
        <x:v>2026-09-08</x:v>
      </x:c>
      <x:c r="M90" s="10" t="str"/>
      <x:c r="N90" s="10" t="str"/>
      <x:c r="O90" s="10" t="str">
        <x:v>https://www.activesportstrade.co.uk/applied-nutrition-trade</x:v>
      </x:c>
      <x:c r="P90" s="10" t="str"/>
      <x:c r="S90" t="str">
        <x:v>Pending genuine supplier/brand image</x:v>
      </x:c>
      <x:c r="T90" s="54" t="n">
        <x:v>12.5</x:v>
      </x:c>
      <x:c r="U90" s="47" t="n">
        <x:v>0.2</x:v>
      </x:c>
      <x:c r="V90" s="54" t="n">
        <x:f>IF(ISNUMBER(T90),T90*(1+U90),"")</x:f>
        <x:v>15</x:v>
      </x:c>
      <x:c r="W90" s="47" t="n">
        <x:v>0.3</x:v>
      </x:c>
      <x:c r="X90" s="54" t="n">
        <x:f>IF(ISNUMBER(V90),V90/(1-W90),"")</x:f>
        <x:v>21.42857142857143</x:v>
      </x:c>
      <x:c r="Y90" s="55" t="n">
        <x:f>IF(ISNUMBER(X90),ROUNDUP(X90,0),"")</x:f>
        <x:v>22</x:v>
      </x:c>
      <x:c r="Z90" t="str">
        <x:v>Source match pending</x:v>
      </x:c>
      <x:c r="AA90" t="str">
        <x:v>screencapture-www-activesportstrade-co-uk-applied-nutrition-trade-2026-09-10-08_59_59.pdf / page-07</x:v>
      </x:c>
      <x:c r="AB90" s="36" t="n">
        <x:f>IF(ISNUMBER(Y90),ROUND(Y90*0.9,2),"")</x:f>
        <x:v>19.8</x:v>
      </x:c>
      <x:c r="AC90" s="36" t="n">
        <x:f>IF(ISNUMBER(AB90),ROUND(AB90-(AB90*0.015+0.2)-V90,2),"")</x:f>
        <x:v>4.3</x:v>
      </x:c>
      <x:c r="AD90" s="36" t="n">
        <x:f>IF(ISNUMBER(Y90),ROUND(Y90*0.8,2),"")</x:f>
        <x:v>17.6</x:v>
      </x:c>
      <x:c r="AE90" s="36" t="n">
        <x:f>IF(ISNUMBER(AD90),ROUND(AD90*0.015+0.2,2),"")</x:f>
        <x:v>0.46</x:v>
      </x:c>
      <x:c r="AF90" s="36" t="n">
        <x:f>IF(ISNUMBER(AD90),ROUND(AD90-AE90-V90,2),"")</x:f>
        <x:v>2.14</x:v>
      </x:c>
      <x:c r="AG90" t="str">
        <x:f>IF(NOT(ISNUMBER(T90)),"PENDING",IF(AF90&gt;0,"PASS","FAIL"))</x:f>
        <x:v>PASS</x:v>
      </x:c>
      <x:c r="AH90" t="str">
        <x:f>IF(NOT(ISNUMBER(T90)),"Needs supplier cost",IF(K90&lt;&gt;"In stock","Supplier unavailable",IF(AG90&lt;&gt;"PASS","BLOCK - GT loss risk","Commercially protected")))</x:f>
        <x:v>Commercially protected</x:v>
      </x:c>
      <x:c r="AI90" t="str">
        <x:v>2026-09-10 Active Sports trade capture</x:v>
      </x:c>
      <x:c r="AJ90" t="str">
        <x:v>Management-only economics. Stripe stress test uses 1.5% + £0.20 standard UK online-card fee; pallet/mix-and-match pricing ignored.</x:v>
      </x:c>
    </x:row>
    <x:row r="91">
      <x:c r="A91" s="10" t="str">
        <x:v>Active Sports Nutrition</x:v>
      </x:c>
      <x:c r="B91" s="10" t="str">
        <x:v>Applied Nutrition</x:v>
      </x:c>
      <x:c r="C91" s="10" t="str">
        <x:v>Creatine + Hydration</x:v>
      </x:c>
      <x:c r="D91" s="10" t="str">
        <x:v>Supplements</x:v>
      </x:c>
      <x:c r="E91" s="10" t="str">
        <x:v>Creatine Powders</x:v>
      </x:c>
      <x:c r="F91" s="10" t="str">
        <x:v>Creatine monohydrate with hydration ingredients.</x:v>
      </x:c>
      <x:c r="G91" s="10" t="str">
        <x:v>360g</x:v>
      </x:c>
      <x:c r="H91" s="10" t="str">
        <x:v>Citrus Burst</x:v>
      </x:c>
      <x:c r="I91" s="10" t="str"/>
      <x:c r="J91" s="10" t="str">
        <x:v>Unit</x:v>
      </x:c>
      <x:c r="K91" s="10" t="str">
        <x:v>Out of stock</x:v>
      </x:c>
      <x:c r="L91" s="10" t="str">
        <x:v>2026-09-08</x:v>
      </x:c>
      <x:c r="M91" s="10" t="str"/>
      <x:c r="N91" s="10" t="str"/>
      <x:c r="O91" s="10" t="str">
        <x:v>https://www.activesportstrade.co.uk/applied-nutrition-trade</x:v>
      </x:c>
      <x:c r="P91" s="10" t="str"/>
      <x:c r="S91" t="str">
        <x:v>Pending genuine supplier/brand image</x:v>
      </x:c>
      <x:c r="T91" s="54" t="n">
        <x:v>12.5</x:v>
      </x:c>
      <x:c r="U91" s="47" t="n">
        <x:v>0.2</x:v>
      </x:c>
      <x:c r="V91" s="54" t="n">
        <x:f>IF(ISNUMBER(T91),T91*(1+U91),"")</x:f>
        <x:v>15</x:v>
      </x:c>
      <x:c r="W91" s="47" t="n">
        <x:v>0.3</x:v>
      </x:c>
      <x:c r="X91" s="54" t="n">
        <x:f>IF(ISNUMBER(V91),V91/(1-W91),"")</x:f>
        <x:v>21.42857142857143</x:v>
      </x:c>
      <x:c r="Y91" s="55" t="n">
        <x:f>IF(ISNUMBER(X91),ROUNDUP(X91,0),"")</x:f>
        <x:v>22</x:v>
      </x:c>
      <x:c r="Z91" t="str">
        <x:v>Source match pending</x:v>
      </x:c>
      <x:c r="AA91" t="str">
        <x:v>screencapture-www-activesportstrade-co-uk-applied-nutrition-trade-2026-09-10-08_59_59.pdf / page-07</x:v>
      </x:c>
      <x:c r="AB91" s="36" t="n">
        <x:f>IF(ISNUMBER(Y91),ROUND(Y91*0.9,2),"")</x:f>
        <x:v>19.8</x:v>
      </x:c>
      <x:c r="AC91" s="36" t="n">
        <x:f>IF(ISNUMBER(AB91),ROUND(AB91-(AB91*0.015+0.2)-V91,2),"")</x:f>
        <x:v>4.3</x:v>
      </x:c>
      <x:c r="AD91" s="36" t="n">
        <x:f>IF(ISNUMBER(Y91),ROUND(Y91*0.8,2),"")</x:f>
        <x:v>17.6</x:v>
      </x:c>
      <x:c r="AE91" s="36" t="n">
        <x:f>IF(ISNUMBER(AD91),ROUND(AD91*0.015+0.2,2),"")</x:f>
        <x:v>0.46</x:v>
      </x:c>
      <x:c r="AF91" s="36" t="n">
        <x:f>IF(ISNUMBER(AD91),ROUND(AD91-AE91-V91,2),"")</x:f>
        <x:v>2.14</x:v>
      </x:c>
      <x:c r="AG91" t="str">
        <x:f>IF(NOT(ISNUMBER(T91)),"PENDING",IF(AF91&gt;0,"PASS","FAIL"))</x:f>
        <x:v>PASS</x:v>
      </x:c>
      <x:c r="AH91" t="str">
        <x:f>IF(NOT(ISNUMBER(T91)),"Needs supplier cost",IF(K91&lt;&gt;"In stock","Supplier unavailable",IF(AG91&lt;&gt;"PASS","BLOCK - GT loss risk","Commercially protected")))</x:f>
        <x:v>Supplier unavailable</x:v>
      </x:c>
      <x:c r="AI91" t="str">
        <x:v>2026-09-10 Active Sports trade capture</x:v>
      </x:c>
      <x:c r="AJ91" t="str">
        <x:v>Management-only economics. Stripe stress test uses 1.5% + £0.20 standard UK online-card fee; pallet/mix-and-match pricing ignored.</x:v>
      </x:c>
    </x:row>
    <x:row r="92">
      <x:c r="A92" s="10" t="str">
        <x:v>Active Sports Nutrition</x:v>
      </x:c>
      <x:c r="B92" s="10" t="str">
        <x:v>Applied Nutrition</x:v>
      </x:c>
      <x:c r="C92" s="10" t="str">
        <x:v>Creatine + Hydration</x:v>
      </x:c>
      <x:c r="D92" s="10" t="str">
        <x:v>Supplements</x:v>
      </x:c>
      <x:c r="E92" s="10" t="str">
        <x:v>Creatine Powders</x:v>
      </x:c>
      <x:c r="F92" s="10" t="str">
        <x:v>Creatine monohydrate with hydration ingredients.</x:v>
      </x:c>
      <x:c r="G92" s="10" t="str">
        <x:v>360g</x:v>
      </x:c>
      <x:c r="H92" s="10" t="str">
        <x:v>Unflavoured</x:v>
      </x:c>
      <x:c r="I92" s="10" t="str"/>
      <x:c r="J92" s="10" t="str">
        <x:v>Unit</x:v>
      </x:c>
      <x:c r="K92" s="10" t="str">
        <x:v>In stock</x:v>
      </x:c>
      <x:c r="L92" s="10" t="str">
        <x:v>2026-09-08</x:v>
      </x:c>
      <x:c r="M92" s="10" t="str"/>
      <x:c r="N92" s="10" t="str"/>
      <x:c r="O92" s="10" t="str">
        <x:v>https://www.activesportstrade.co.uk/applied-nutrition-trade</x:v>
      </x:c>
      <x:c r="P92" s="10" t="str"/>
      <x:c r="S92" t="str">
        <x:v>Pending genuine supplier/brand image</x:v>
      </x:c>
      <x:c r="T92" s="54" t="n">
        <x:v>12.5</x:v>
      </x:c>
      <x:c r="U92" s="47" t="n">
        <x:v>0.2</x:v>
      </x:c>
      <x:c r="V92" s="54" t="n">
        <x:f>IF(ISNUMBER(T92),T92*(1+U92),"")</x:f>
        <x:v>15</x:v>
      </x:c>
      <x:c r="W92" s="47" t="n">
        <x:v>0.3</x:v>
      </x:c>
      <x:c r="X92" s="54" t="n">
        <x:f>IF(ISNUMBER(V92),V92/(1-W92),"")</x:f>
        <x:v>21.42857142857143</x:v>
      </x:c>
      <x:c r="Y92" s="55" t="n">
        <x:f>IF(ISNUMBER(X92),ROUNDUP(X92,0),"")</x:f>
        <x:v>22</x:v>
      </x:c>
      <x:c r="Z92" t="str">
        <x:v>Source match pending</x:v>
      </x:c>
      <x:c r="AA92" t="str">
        <x:v>screencapture-www-activesportstrade-co-uk-applied-nutrition-trade-2026-09-10-08_59_59.pdf / page-07</x:v>
      </x:c>
      <x:c r="AB92" s="36" t="n">
        <x:f>IF(ISNUMBER(Y92),ROUND(Y92*0.9,2),"")</x:f>
        <x:v>19.8</x:v>
      </x:c>
      <x:c r="AC92" s="36" t="n">
        <x:f>IF(ISNUMBER(AB92),ROUND(AB92-(AB92*0.015+0.2)-V92,2),"")</x:f>
        <x:v>4.3</x:v>
      </x:c>
      <x:c r="AD92" s="36" t="n">
        <x:f>IF(ISNUMBER(Y92),ROUND(Y92*0.8,2),"")</x:f>
        <x:v>17.6</x:v>
      </x:c>
      <x:c r="AE92" s="36" t="n">
        <x:f>IF(ISNUMBER(AD92),ROUND(AD92*0.015+0.2,2),"")</x:f>
        <x:v>0.46</x:v>
      </x:c>
      <x:c r="AF92" s="36" t="n">
        <x:f>IF(ISNUMBER(AD92),ROUND(AD92-AE92-V92,2),"")</x:f>
        <x:v>2.14</x:v>
      </x:c>
      <x:c r="AG92" t="str">
        <x:f>IF(NOT(ISNUMBER(T92)),"PENDING",IF(AF92&gt;0,"PASS","FAIL"))</x:f>
        <x:v>PASS</x:v>
      </x:c>
      <x:c r="AH92" t="str">
        <x:f>IF(NOT(ISNUMBER(T92)),"Needs supplier cost",IF(K92&lt;&gt;"In stock","Supplier unavailable",IF(AG92&lt;&gt;"PASS","BLOCK - GT loss risk","Commercially protected")))</x:f>
        <x:v>Commercially protected</x:v>
      </x:c>
      <x:c r="AI92" t="str">
        <x:v>2026-09-10 Active Sports trade capture</x:v>
      </x:c>
      <x:c r="AJ92" t="str">
        <x:v>Management-only economics. Stripe stress test uses 1.5% + £0.20 standard UK online-card fee; pallet/mix-and-match pricing ignored.</x:v>
      </x:c>
    </x:row>
    <x:row r="93">
      <x:c r="A93" s="10" t="str">
        <x:v>Active Sports Nutrition</x:v>
      </x:c>
      <x:c r="B93" s="10" t="str">
        <x:v>Applied Nutrition</x:v>
      </x:c>
      <x:c r="C93" s="10" t="str">
        <x:v>Creatine Gummies</x:v>
      </x:c>
      <x:c r="D93" s="10" t="str">
        <x:v>Supplements</x:v>
      </x:c>
      <x:c r="E93" s="10" t="str">
        <x:v>Creatine Pills</x:v>
      </x:c>
      <x:c r="F93" s="10" t="str">
        <x:v>Creatine gummies.</x:v>
      </x:c>
      <x:c r="G93" s="10" t="str">
        <x:v>80 gummies</x:v>
      </x:c>
      <x:c r="H93" s="10" t="str">
        <x:v>Blue Raspberry</x:v>
      </x:c>
      <x:c r="I93" s="10" t="str"/>
      <x:c r="J93" s="10" t="str">
        <x:v>Unit</x:v>
      </x:c>
      <x:c r="K93" s="10" t="str">
        <x:v>In stock</x:v>
      </x:c>
      <x:c r="L93" s="10" t="str">
        <x:v>2026-09-08</x:v>
      </x:c>
      <x:c r="M93" s="10" t="str"/>
      <x:c r="N93" s="10" t="str"/>
      <x:c r="O93" s="10" t="str">
        <x:v>https://www.activesportstrade.co.uk/applied-nutrition-trade</x:v>
      </x:c>
      <x:c r="P93" s="10" t="str"/>
      <x:c r="S93" t="str">
        <x:v>Pending genuine supplier/brand image</x:v>
      </x:c>
      <x:c r="T93" s="54" t="n">
        <x:v>9.95</x:v>
      </x:c>
      <x:c r="U93" s="47" t="n">
        <x:v>0.2</x:v>
      </x:c>
      <x:c r="V93" s="54" t="n">
        <x:f>IF(ISNUMBER(T93),T93*(1+U93),"")</x:f>
        <x:v>11.94</x:v>
      </x:c>
      <x:c r="W93" s="47" t="n">
        <x:v>0.3</x:v>
      </x:c>
      <x:c r="X93" s="54" t="n">
        <x:f>IF(ISNUMBER(V93),V93/(1-W93),"")</x:f>
        <x:v>17.057142857142857</x:v>
      </x:c>
      <x:c r="Y93" s="55" t="n">
        <x:f>IF(ISNUMBER(X93),ROUNDUP(X93,0),"")</x:f>
        <x:v>18</x:v>
      </x:c>
      <x:c r="Z93" t="str">
        <x:v>Source match pending</x:v>
      </x:c>
      <x:c r="AA93" t="str">
        <x:v>screencapture-www-activesportstrade-co-uk-applied-nutrition-trade-2026-09-10-08_59_59.pdf / page-08</x:v>
      </x:c>
      <x:c r="AB93" s="36" t="n">
        <x:f>IF(ISNUMBER(Y93),ROUND(Y93*0.9,2),"")</x:f>
        <x:v>16.2</x:v>
      </x:c>
      <x:c r="AC93" s="36" t="n">
        <x:f>IF(ISNUMBER(AB93),ROUND(AB93-(AB93*0.015+0.2)-V93,2),"")</x:f>
        <x:v>3.82</x:v>
      </x:c>
      <x:c r="AD93" s="36" t="n">
        <x:f>IF(ISNUMBER(Y93),ROUND(Y93*0.8,2),"")</x:f>
        <x:v>14.4</x:v>
      </x:c>
      <x:c r="AE93" s="36" t="n">
        <x:f>IF(ISNUMBER(AD93),ROUND(AD93*0.015+0.2,2),"")</x:f>
        <x:v>0.42</x:v>
      </x:c>
      <x:c r="AF93" s="36" t="n">
        <x:f>IF(ISNUMBER(AD93),ROUND(AD93-AE93-V93,2),"")</x:f>
        <x:v>2.04</x:v>
      </x:c>
      <x:c r="AG93" t="str">
        <x:f>IF(NOT(ISNUMBER(T93)),"PENDING",IF(AF93&gt;0,"PASS","FAIL"))</x:f>
        <x:v>PASS</x:v>
      </x:c>
      <x:c r="AH93" t="str">
        <x:f>IF(NOT(ISNUMBER(T93)),"Needs supplier cost",IF(K93&lt;&gt;"In stock","Supplier unavailable",IF(AG93&lt;&gt;"PASS","BLOCK - GT loss risk","Commercially protected")))</x:f>
        <x:v>Commercially protected</x:v>
      </x:c>
      <x:c r="AI93" t="str">
        <x:v>2026-09-10 Active Sports trade capture</x:v>
      </x:c>
      <x:c r="AJ93" t="str">
        <x:v>Management-only economics. Stripe stress test uses 1.5% + £0.20 standard UK online-card fee; pallet/mix-and-match pricing ignored.</x:v>
      </x:c>
    </x:row>
    <x:row r="94">
      <x:c r="A94" s="10" t="str">
        <x:v>Active Sports Nutrition</x:v>
      </x:c>
      <x:c r="B94" s="10" t="str">
        <x:v>Applied Nutrition</x:v>
      </x:c>
      <x:c r="C94" s="10" t="str">
        <x:v>Creatine Gummies</x:v>
      </x:c>
      <x:c r="D94" s="10" t="str">
        <x:v>Supplements</x:v>
      </x:c>
      <x:c r="E94" s="10" t="str">
        <x:v>Creatine Pills</x:v>
      </x:c>
      <x:c r="F94" s="10" t="str">
        <x:v>Creatine gummies.</x:v>
      </x:c>
      <x:c r="G94" s="10" t="str">
        <x:v>80 gummies</x:v>
      </x:c>
      <x:c r="H94" s="10" t="str">
        <x:v>Cola Blast</x:v>
      </x:c>
      <x:c r="I94" s="10" t="str"/>
      <x:c r="J94" s="10" t="str">
        <x:v>Unit</x:v>
      </x:c>
      <x:c r="K94" s="10" t="str">
        <x:v>In stock</x:v>
      </x:c>
      <x:c r="L94" s="10" t="str">
        <x:v>2026-09-08</x:v>
      </x:c>
      <x:c r="M94" s="10" t="str"/>
      <x:c r="N94" s="10" t="str"/>
      <x:c r="O94" s="10" t="str">
        <x:v>https://www.activesportstrade.co.uk/applied-nutrition-trade</x:v>
      </x:c>
      <x:c r="P94" s="10" t="str"/>
      <x:c r="S94" t="str">
        <x:v>Pending genuine supplier/brand image</x:v>
      </x:c>
      <x:c r="T94" s="54" t="n">
        <x:v>9.95</x:v>
      </x:c>
      <x:c r="U94" s="47" t="n">
        <x:v>0.2</x:v>
      </x:c>
      <x:c r="V94" s="54" t="n">
        <x:f>IF(ISNUMBER(T94),T94*(1+U94),"")</x:f>
        <x:v>11.94</x:v>
      </x:c>
      <x:c r="W94" s="47" t="n">
        <x:v>0.3</x:v>
      </x:c>
      <x:c r="X94" s="54" t="n">
        <x:f>IF(ISNUMBER(V94),V94/(1-W94),"")</x:f>
        <x:v>17.057142857142857</x:v>
      </x:c>
      <x:c r="Y94" s="55" t="n">
        <x:f>IF(ISNUMBER(X94),ROUNDUP(X94,0),"")</x:f>
        <x:v>18</x:v>
      </x:c>
      <x:c r="Z94" t="str">
        <x:v>Source match pending</x:v>
      </x:c>
      <x:c r="AA94" t="str">
        <x:v>screencapture-www-activesportstrade-co-uk-applied-nutrition-trade-2026-09-10-08_59_59.pdf / page-08</x:v>
      </x:c>
      <x:c r="AB94" s="36" t="n">
        <x:f>IF(ISNUMBER(Y94),ROUND(Y94*0.9,2),"")</x:f>
        <x:v>16.2</x:v>
      </x:c>
      <x:c r="AC94" s="36" t="n">
        <x:f>IF(ISNUMBER(AB94),ROUND(AB94-(AB94*0.015+0.2)-V94,2),"")</x:f>
        <x:v>3.82</x:v>
      </x:c>
      <x:c r="AD94" s="36" t="n">
        <x:f>IF(ISNUMBER(Y94),ROUND(Y94*0.8,2),"")</x:f>
        <x:v>14.4</x:v>
      </x:c>
      <x:c r="AE94" s="36" t="n">
        <x:f>IF(ISNUMBER(AD94),ROUND(AD94*0.015+0.2,2),"")</x:f>
        <x:v>0.42</x:v>
      </x:c>
      <x:c r="AF94" s="36" t="n">
        <x:f>IF(ISNUMBER(AD94),ROUND(AD94-AE94-V94,2),"")</x:f>
        <x:v>2.04</x:v>
      </x:c>
      <x:c r="AG94" t="str">
        <x:f>IF(NOT(ISNUMBER(T94)),"PENDING",IF(AF94&gt;0,"PASS","FAIL"))</x:f>
        <x:v>PASS</x:v>
      </x:c>
      <x:c r="AH94" t="str">
        <x:f>IF(NOT(ISNUMBER(T94)),"Needs supplier cost",IF(K94&lt;&gt;"In stock","Supplier unavailable",IF(AG94&lt;&gt;"PASS","BLOCK - GT loss risk","Commercially protected")))</x:f>
        <x:v>Commercially protected</x:v>
      </x:c>
      <x:c r="AI94" t="str">
        <x:v>2026-09-10 Active Sports trade capture</x:v>
      </x:c>
      <x:c r="AJ94" t="str">
        <x:v>Management-only economics. Stripe stress test uses 1.5% + £0.20 standard UK online-card fee; pallet/mix-and-match pricing ignored.</x:v>
      </x:c>
    </x:row>
    <x:row r="95">
      <x:c r="A95" s="10" t="str">
        <x:v>Active Sports Nutrition</x:v>
      </x:c>
      <x:c r="B95" s="10" t="str">
        <x:v>Applied Nutrition</x:v>
      </x:c>
      <x:c r="C95" s="10" t="str">
        <x:v>Creatine Gummies</x:v>
      </x:c>
      <x:c r="D95" s="10" t="str">
        <x:v>Supplements</x:v>
      </x:c>
      <x:c r="E95" s="10" t="str">
        <x:v>Creatine Pills</x:v>
      </x:c>
      <x:c r="F95" s="10" t="str">
        <x:v>Creatine gummies.</x:v>
      </x:c>
      <x:c r="G95" s="10" t="str">
        <x:v>80 gummies</x:v>
      </x:c>
      <x:c r="H95" s="10" t="str">
        <x:v>Millions Blackcurrant</x:v>
      </x:c>
      <x:c r="I95" s="10" t="str"/>
      <x:c r="J95" s="10" t="str">
        <x:v>Unit</x:v>
      </x:c>
      <x:c r="K95" s="10" t="str">
        <x:v>In stock</x:v>
      </x:c>
      <x:c r="L95" s="10" t="str">
        <x:v>2026-09-08</x:v>
      </x:c>
      <x:c r="M95" s="10" t="str"/>
      <x:c r="N95" s="10" t="str"/>
      <x:c r="O95" s="10" t="str">
        <x:v>https://www.activesportstrade.co.uk/applied-nutrition-trade</x:v>
      </x:c>
      <x:c r="P95" s="10" t="str"/>
      <x:c r="S95" t="str">
        <x:v>Pending genuine supplier/brand image</x:v>
      </x:c>
      <x:c r="T95" s="54" t="n">
        <x:v>9.95</x:v>
      </x:c>
      <x:c r="U95" s="47" t="n">
        <x:v>0.2</x:v>
      </x:c>
      <x:c r="V95" s="54" t="n">
        <x:f>IF(ISNUMBER(T95),T95*(1+U95),"")</x:f>
        <x:v>11.94</x:v>
      </x:c>
      <x:c r="W95" s="47" t="n">
        <x:v>0.3</x:v>
      </x:c>
      <x:c r="X95" s="54" t="n">
        <x:f>IF(ISNUMBER(V95),V95/(1-W95),"")</x:f>
        <x:v>17.057142857142857</x:v>
      </x:c>
      <x:c r="Y95" s="55" t="n">
        <x:f>IF(ISNUMBER(X95),ROUNDUP(X95,0),"")</x:f>
        <x:v>18</x:v>
      </x:c>
      <x:c r="Z95" t="str">
        <x:v>Source match pending</x:v>
      </x:c>
      <x:c r="AA95" t="str">
        <x:v>screencapture-www-activesportstrade-co-uk-applied-nutrition-trade-2026-09-10-08_59_59.pdf / page-08</x:v>
      </x:c>
      <x:c r="AB95" s="36" t="n">
        <x:f>IF(ISNUMBER(Y95),ROUND(Y95*0.9,2),"")</x:f>
        <x:v>16.2</x:v>
      </x:c>
      <x:c r="AC95" s="36" t="n">
        <x:f>IF(ISNUMBER(AB95),ROUND(AB95-(AB95*0.015+0.2)-V95,2),"")</x:f>
        <x:v>3.82</x:v>
      </x:c>
      <x:c r="AD95" s="36" t="n">
        <x:f>IF(ISNUMBER(Y95),ROUND(Y95*0.8,2),"")</x:f>
        <x:v>14.4</x:v>
      </x:c>
      <x:c r="AE95" s="36" t="n">
        <x:f>IF(ISNUMBER(AD95),ROUND(AD95*0.015+0.2,2),"")</x:f>
        <x:v>0.42</x:v>
      </x:c>
      <x:c r="AF95" s="36" t="n">
        <x:f>IF(ISNUMBER(AD95),ROUND(AD95-AE95-V95,2),"")</x:f>
        <x:v>2.04</x:v>
      </x:c>
      <x:c r="AG95" t="str">
        <x:f>IF(NOT(ISNUMBER(T95)),"PENDING",IF(AF95&gt;0,"PASS","FAIL"))</x:f>
        <x:v>PASS</x:v>
      </x:c>
      <x:c r="AH95" t="str">
        <x:f>IF(NOT(ISNUMBER(T95)),"Needs supplier cost",IF(K95&lt;&gt;"In stock","Supplier unavailable",IF(AG95&lt;&gt;"PASS","BLOCK - GT loss risk","Commercially protected")))</x:f>
        <x:v>Commercially protected</x:v>
      </x:c>
      <x:c r="AI95" t="str">
        <x:v>2026-09-10 Active Sports trade capture</x:v>
      </x:c>
      <x:c r="AJ95" t="str">
        <x:v>Management-only economics. Stripe stress test uses 1.5% + £0.20 standard UK online-card fee; pallet/mix-and-match pricing ignored.</x:v>
      </x:c>
    </x:row>
    <x:row r="96">
      <x:c r="A96" s="10" t="str">
        <x:v>Active Sports Nutrition</x:v>
      </x:c>
      <x:c r="B96" s="10" t="str">
        <x:v>Applied Nutrition</x:v>
      </x:c>
      <x:c r="C96" s="10" t="str">
        <x:v>Creatine Gummies</x:v>
      </x:c>
      <x:c r="D96" s="10" t="str">
        <x:v>Supplements</x:v>
      </x:c>
      <x:c r="E96" s="10" t="str">
        <x:v>Creatine Pills</x:v>
      </x:c>
      <x:c r="F96" s="10" t="str">
        <x:v>Creatine gummies.</x:v>
      </x:c>
      <x:c r="G96" s="10" t="str">
        <x:v>80 gummies</x:v>
      </x:c>
      <x:c r="H96" s="10" t="str">
        <x:v>Slush Puppie - Cherry Chill</x:v>
      </x:c>
      <x:c r="I96" s="10" t="str"/>
      <x:c r="J96" s="10" t="str">
        <x:v>Unit</x:v>
      </x:c>
      <x:c r="K96" s="10" t="str">
        <x:v>In stock</x:v>
      </x:c>
      <x:c r="L96" s="10" t="str">
        <x:v>2026-09-08</x:v>
      </x:c>
      <x:c r="M96" s="10" t="str"/>
      <x:c r="N96" s="10" t="str"/>
      <x:c r="O96" s="10" t="str">
        <x:v>https://www.activesportstrade.co.uk/applied-nutrition-trade</x:v>
      </x:c>
      <x:c r="P96" s="10" t="str"/>
      <x:c r="S96" t="str">
        <x:v>Pending genuine supplier/brand image</x:v>
      </x:c>
      <x:c r="T96" s="54" t="n">
        <x:v>9.95</x:v>
      </x:c>
      <x:c r="U96" s="47" t="n">
        <x:v>0.2</x:v>
      </x:c>
      <x:c r="V96" s="54" t="n">
        <x:f>IF(ISNUMBER(T96),T96*(1+U96),"")</x:f>
        <x:v>11.94</x:v>
      </x:c>
      <x:c r="W96" s="47" t="n">
        <x:v>0.3</x:v>
      </x:c>
      <x:c r="X96" s="54" t="n">
        <x:f>IF(ISNUMBER(V96),V96/(1-W96),"")</x:f>
        <x:v>17.057142857142857</x:v>
      </x:c>
      <x:c r="Y96" s="55" t="n">
        <x:f>IF(ISNUMBER(X96),ROUNDUP(X96,0),"")</x:f>
        <x:v>18</x:v>
      </x:c>
      <x:c r="Z96" t="str">
        <x:v>Source match pending</x:v>
      </x:c>
      <x:c r="AA96" t="str">
        <x:v>screencapture-www-activesportstrade-co-uk-applied-nutrition-trade-2026-09-10-08_59_59.pdf / page-08</x:v>
      </x:c>
      <x:c r="AB96" s="36" t="n">
        <x:f>IF(ISNUMBER(Y96),ROUND(Y96*0.9,2),"")</x:f>
        <x:v>16.2</x:v>
      </x:c>
      <x:c r="AC96" s="36" t="n">
        <x:f>IF(ISNUMBER(AB96),ROUND(AB96-(AB96*0.015+0.2)-V96,2),"")</x:f>
        <x:v>3.82</x:v>
      </x:c>
      <x:c r="AD96" s="36" t="n">
        <x:f>IF(ISNUMBER(Y96),ROUND(Y96*0.8,2),"")</x:f>
        <x:v>14.4</x:v>
      </x:c>
      <x:c r="AE96" s="36" t="n">
        <x:f>IF(ISNUMBER(AD96),ROUND(AD96*0.015+0.2,2),"")</x:f>
        <x:v>0.42</x:v>
      </x:c>
      <x:c r="AF96" s="36" t="n">
        <x:f>IF(ISNUMBER(AD96),ROUND(AD96-AE96-V96,2),"")</x:f>
        <x:v>2.04</x:v>
      </x:c>
      <x:c r="AG96" t="str">
        <x:f>IF(NOT(ISNUMBER(T96)),"PENDING",IF(AF96&gt;0,"PASS","FAIL"))</x:f>
        <x:v>PASS</x:v>
      </x:c>
      <x:c r="AH96" t="str">
        <x:f>IF(NOT(ISNUMBER(T96)),"Needs supplier cost",IF(K96&lt;&gt;"In stock","Supplier unavailable",IF(AG96&lt;&gt;"PASS","BLOCK - GT loss risk","Commercially protected")))</x:f>
        <x:v>Commercially protected</x:v>
      </x:c>
      <x:c r="AI96" t="str">
        <x:v>2026-09-10 Active Sports trade capture</x:v>
      </x:c>
      <x:c r="AJ96" t="str">
        <x:v>Management-only economics. Stripe stress test uses 1.5% + £0.20 standard UK online-card fee; pallet/mix-and-match pricing ignored.</x:v>
      </x:c>
    </x:row>
    <x:row r="97">
      <x:c r="A97" s="10" t="str">
        <x:v>Active Sports Nutrition</x:v>
      </x:c>
      <x:c r="B97" s="10" t="str">
        <x:v>Applied Nutrition</x:v>
      </x:c>
      <x:c r="C97" s="10" t="str">
        <x:v>Creatine 3000</x:v>
      </x:c>
      <x:c r="D97" s="10" t="str">
        <x:v>Supplements</x:v>
      </x:c>
      <x:c r="E97" s="10" t="str">
        <x:v>Creatine Pills</x:v>
      </x:c>
      <x:c r="F97" s="10" t="str">
        <x:v>Creatine monohydrate capsules.</x:v>
      </x:c>
      <x:c r="G97" s="10" t="str">
        <x:v>120 caps</x:v>
      </x:c>
      <x:c r="H97" s="10" t="str">
        <x:v>Default</x:v>
      </x:c>
      <x:c r="I97" s="10" t="str"/>
      <x:c r="J97" s="10" t="str">
        <x:v>Unit</x:v>
      </x:c>
      <x:c r="K97" s="10" t="str">
        <x:v>In stock</x:v>
      </x:c>
      <x:c r="L97" s="10" t="str">
        <x:v>2026-09-08</x:v>
      </x:c>
      <x:c r="M97" s="10" t="str"/>
      <x:c r="N97" s="10" t="str"/>
      <x:c r="O97" s="10" t="str">
        <x:v>https://www.activesportstrade.co.uk/applied-nutrition-trade</x:v>
      </x:c>
      <x:c r="P97" s="10" t="str"/>
      <x:c r="S97" t="str">
        <x:v>Pending genuine supplier/brand image</x:v>
      </x:c>
      <x:c r="T97" s="54" t="n">
        <x:v>6.42</x:v>
      </x:c>
      <x:c r="U97" s="47" t="n">
        <x:v>0.2</x:v>
      </x:c>
      <x:c r="V97" s="54" t="n">
        <x:f>IF(ISNUMBER(T97),T97*(1+U97),"")</x:f>
        <x:v>7.704</x:v>
      </x:c>
      <x:c r="W97" s="47" t="n">
        <x:v>0.3</x:v>
      </x:c>
      <x:c r="X97" s="54" t="n">
        <x:f>IF(ISNUMBER(V97),V97/(1-W97),"")</x:f>
        <x:v>11.005714285714285</x:v>
      </x:c>
      <x:c r="Y97" s="55" t="n">
        <x:f>IF(ISNUMBER(X97),ROUNDUP(X97,0),"")</x:f>
        <x:v>12</x:v>
      </x:c>
      <x:c r="Z97" t="str">
        <x:v>Source match pending</x:v>
      </x:c>
      <x:c r="AA97" t="str">
        <x:v>screencapture-www-activesportstrade-co-uk-applied-nutrition-trade-2026-09-10-08_59_59.pdf / page-07</x:v>
      </x:c>
      <x:c r="AB97" s="36" t="n">
        <x:f>IF(ISNUMBER(Y97),ROUND(Y97*0.9,2),"")</x:f>
        <x:v>10.8</x:v>
      </x:c>
      <x:c r="AC97" s="36" t="n">
        <x:f>IF(ISNUMBER(AB97),ROUND(AB97-(AB97*0.015+0.2)-V97,2),"")</x:f>
        <x:v>2.73</x:v>
      </x:c>
      <x:c r="AD97" s="36" t="n">
        <x:f>IF(ISNUMBER(Y97),ROUND(Y97*0.8,2),"")</x:f>
        <x:v>9.6</x:v>
      </x:c>
      <x:c r="AE97" s="36" t="n">
        <x:f>IF(ISNUMBER(AD97),ROUND(AD97*0.015+0.2,2),"")</x:f>
        <x:v>0.34</x:v>
      </x:c>
      <x:c r="AF97" s="36" t="n">
        <x:f>IF(ISNUMBER(AD97),ROUND(AD97-AE97-V97,2),"")</x:f>
        <x:v>1.56</x:v>
      </x:c>
      <x:c r="AG97" t="str">
        <x:f>IF(NOT(ISNUMBER(T97)),"PENDING",IF(AF97&gt;0,"PASS","FAIL"))</x:f>
        <x:v>PASS</x:v>
      </x:c>
      <x:c r="AH97" t="str">
        <x:f>IF(NOT(ISNUMBER(T97)),"Needs supplier cost",IF(K97&lt;&gt;"In stock","Supplier unavailable",IF(AG97&lt;&gt;"PASS","BLOCK - GT loss risk","Commercially protected")))</x:f>
        <x:v>Commercially protected</x:v>
      </x:c>
      <x:c r="AI97" t="str">
        <x:v>2026-09-10 Active Sports trade capture</x:v>
      </x:c>
      <x:c r="AJ97" t="str">
        <x:v>Management-only economics. Stripe stress test uses 1.5% + £0.20 standard UK online-card fee; pallet/mix-and-match pricing ignored.</x:v>
      </x:c>
    </x:row>
    <x:row r="98">
      <x:c r="A98" s="10" t="str">
        <x:v>Active Sports Nutrition</x:v>
      </x:c>
      <x:c r="B98" s="10" t="str">
        <x:v>Applied Nutrition</x:v>
      </x:c>
      <x:c r="C98" s="10" t="str">
        <x:v>Creatine + HMB</x:v>
      </x:c>
      <x:c r="D98" s="10" t="str">
        <x:v>Supplements</x:v>
      </x:c>
      <x:c r="E98" s="10" t="str">
        <x:v>Creatine Powders</x:v>
      </x:c>
      <x:c r="F98" s="10" t="str">
        <x:v>Creatine and HMB performance formula.</x:v>
      </x:c>
      <x:c r="G98" s="10" t="str">
        <x:v>240g</x:v>
      </x:c>
      <x:c r="H98" s="10" t="str">
        <x:v>Default</x:v>
      </x:c>
      <x:c r="I98" s="10" t="str"/>
      <x:c r="J98" s="10" t="str">
        <x:v>Unit</x:v>
      </x:c>
      <x:c r="K98" s="10" t="str">
        <x:v>In stock</x:v>
      </x:c>
      <x:c r="L98" s="10" t="str">
        <x:v>2026-09-08</x:v>
      </x:c>
      <x:c r="M98" s="10" t="str"/>
      <x:c r="N98" s="10" t="str"/>
      <x:c r="O98" s="10" t="str">
        <x:v>https://www.activesportstrade.co.uk/applied-nutrition-trade</x:v>
      </x:c>
      <x:c r="P98" s="10" t="str"/>
      <x:c r="S98" t="str">
        <x:v>Pending genuine supplier/brand image</x:v>
      </x:c>
      <x:c r="T98" s="54" t="n">
        <x:v>12.5</x:v>
      </x:c>
      <x:c r="U98" s="47" t="n">
        <x:v>0.2</x:v>
      </x:c>
      <x:c r="V98" s="54" t="n">
        <x:f>IF(ISNUMBER(T98),T98*(1+U98),"")</x:f>
        <x:v>15</x:v>
      </x:c>
      <x:c r="W98" s="47" t="n">
        <x:v>0.3</x:v>
      </x:c>
      <x:c r="X98" s="54" t="n">
        <x:f>IF(ISNUMBER(V98),V98/(1-W98),"")</x:f>
        <x:v>21.42857142857143</x:v>
      </x:c>
      <x:c r="Y98" s="55" t="n">
        <x:f>IF(ISNUMBER(X98),ROUNDUP(X98,0),"")</x:f>
        <x:v>22</x:v>
      </x:c>
      <x:c r="Z98" t="str">
        <x:v>Source match pending</x:v>
      </x:c>
      <x:c r="AA98" t="str">
        <x:v>screencapture-www-activesportstrade-co-uk-applied-nutrition-trade-2026-09-10-08_59_59.pdf / page-07</x:v>
      </x:c>
      <x:c r="AB98" s="36" t="n">
        <x:f>IF(ISNUMBER(Y98),ROUND(Y98*0.9,2),"")</x:f>
        <x:v>19.8</x:v>
      </x:c>
      <x:c r="AC98" s="36" t="n">
        <x:f>IF(ISNUMBER(AB98),ROUND(AB98-(AB98*0.015+0.2)-V98,2),"")</x:f>
        <x:v>4.3</x:v>
      </x:c>
      <x:c r="AD98" s="36" t="n">
        <x:f>IF(ISNUMBER(Y98),ROUND(Y98*0.8,2),"")</x:f>
        <x:v>17.6</x:v>
      </x:c>
      <x:c r="AE98" s="36" t="n">
        <x:f>IF(ISNUMBER(AD98),ROUND(AD98*0.015+0.2,2),"")</x:f>
        <x:v>0.46</x:v>
      </x:c>
      <x:c r="AF98" s="36" t="n">
        <x:f>IF(ISNUMBER(AD98),ROUND(AD98-AE98-V98,2),"")</x:f>
        <x:v>2.14</x:v>
      </x:c>
      <x:c r="AG98" t="str">
        <x:f>IF(NOT(ISNUMBER(T98)),"PENDING",IF(AF98&gt;0,"PASS","FAIL"))</x:f>
        <x:v>PASS</x:v>
      </x:c>
      <x:c r="AH98" t="str">
        <x:f>IF(NOT(ISNUMBER(T98)),"Needs supplier cost",IF(K98&lt;&gt;"In stock","Supplier unavailable",IF(AG98&lt;&gt;"PASS","BLOCK - GT loss risk","Commercially protected")))</x:f>
        <x:v>Commercially protected</x:v>
      </x:c>
      <x:c r="AI98" t="str">
        <x:v>2026-09-10 Active Sports trade capture</x:v>
      </x:c>
      <x:c r="AJ98" t="str">
        <x:v>Management-only economics. Stripe stress test uses 1.5% + £0.20 standard UK online-card fee; pallet/mix-and-match pricing ignored.</x:v>
      </x:c>
    </x:row>
    <x:row r="99">
      <x:c r="A99" s="10" t="str">
        <x:v>Active Sports Nutrition</x:v>
      </x:c>
      <x:c r="B99" s="10" t="str">
        <x:v>Applied Nutrition</x:v>
      </x:c>
      <x:c r="C99" s="10" t="str">
        <x:v>Creatine + Peptide</x:v>
      </x:c>
      <x:c r="D99" s="10" t="str">
        <x:v>Supplements</x:v>
      </x:c>
      <x:c r="E99" s="10" t="str">
        <x:v>Creatine Powders</x:v>
      </x:c>
      <x:c r="F99" s="10" t="str">
        <x:v>Creatine plus peptide formula.</x:v>
      </x:c>
      <x:c r="G99" s="10" t="str">
        <x:v>222g</x:v>
      </x:c>
      <x:c r="H99" s="10" t="str">
        <x:v>Default</x:v>
      </x:c>
      <x:c r="I99" s="10" t="str"/>
      <x:c r="J99" s="10" t="str">
        <x:v>Unit</x:v>
      </x:c>
      <x:c r="K99" s="10" t="str">
        <x:v>In stock</x:v>
      </x:c>
      <x:c r="L99" s="10" t="str">
        <x:v>2026-09-08</x:v>
      </x:c>
      <x:c r="M99" s="10" t="str"/>
      <x:c r="N99" s="10" t="str"/>
      <x:c r="O99" s="10" t="str">
        <x:v>https://www.activesportstrade.co.uk/applied-nutrition-trade</x:v>
      </x:c>
      <x:c r="P99" s="10" t="str"/>
      <x:c r="S99" t="str">
        <x:v>Pending genuine supplier/brand image</x:v>
      </x:c>
      <x:c r="T99" s="54" t="n">
        <x:v>12.5</x:v>
      </x:c>
      <x:c r="U99" s="47" t="n">
        <x:v>0.2</x:v>
      </x:c>
      <x:c r="V99" s="54" t="n">
        <x:f>IF(ISNUMBER(T99),T99*(1+U99),"")</x:f>
        <x:v>15</x:v>
      </x:c>
      <x:c r="W99" s="47" t="n">
        <x:v>0.3</x:v>
      </x:c>
      <x:c r="X99" s="54" t="n">
        <x:f>IF(ISNUMBER(V99),V99/(1-W99),"")</x:f>
        <x:v>21.42857142857143</x:v>
      </x:c>
      <x:c r="Y99" s="55" t="n">
        <x:f>IF(ISNUMBER(X99),ROUNDUP(X99,0),"")</x:f>
        <x:v>22</x:v>
      </x:c>
      <x:c r="Z99" t="str">
        <x:v>Source match pending</x:v>
      </x:c>
      <x:c r="AA99" t="str">
        <x:v>screencapture-www-activesportstrade-co-uk-applied-nutrition-trade-2026-09-10-08_59_59.pdf / page-07</x:v>
      </x:c>
      <x:c r="AB99" s="36" t="n">
        <x:f>IF(ISNUMBER(Y99),ROUND(Y99*0.9,2),"")</x:f>
        <x:v>19.8</x:v>
      </x:c>
      <x:c r="AC99" s="36" t="n">
        <x:f>IF(ISNUMBER(AB99),ROUND(AB99-(AB99*0.015+0.2)-V99,2),"")</x:f>
        <x:v>4.3</x:v>
      </x:c>
      <x:c r="AD99" s="36" t="n">
        <x:f>IF(ISNUMBER(Y99),ROUND(Y99*0.8,2),"")</x:f>
        <x:v>17.6</x:v>
      </x:c>
      <x:c r="AE99" s="36" t="n">
        <x:f>IF(ISNUMBER(AD99),ROUND(AD99*0.015+0.2,2),"")</x:f>
        <x:v>0.46</x:v>
      </x:c>
      <x:c r="AF99" s="36" t="n">
        <x:f>IF(ISNUMBER(AD99),ROUND(AD99-AE99-V99,2),"")</x:f>
        <x:v>2.14</x:v>
      </x:c>
      <x:c r="AG99" t="str">
        <x:f>IF(NOT(ISNUMBER(T99)),"PENDING",IF(AF99&gt;0,"PASS","FAIL"))</x:f>
        <x:v>PASS</x:v>
      </x:c>
      <x:c r="AH99" t="str">
        <x:f>IF(NOT(ISNUMBER(T99)),"Needs supplier cost",IF(K99&lt;&gt;"In stock","Supplier unavailable",IF(AG99&lt;&gt;"PASS","BLOCK - GT loss risk","Commercially protected")))</x:f>
        <x:v>Commercially protected</x:v>
      </x:c>
      <x:c r="AI99" t="str">
        <x:v>2026-09-10 Active Sports trade capture</x:v>
      </x:c>
      <x:c r="AJ99" t="str">
        <x:v>Management-only economics. Stripe stress test uses 1.5% + £0.20 standard UK online-card fee; pallet/mix-and-match pricing ignored.</x:v>
      </x:c>
    </x:row>
    <x:row r="100">
      <x:c r="A100" s="10" t="str">
        <x:v>Active Sports Nutrition</x:v>
      </x:c>
      <x:c r="B100" s="10" t="str">
        <x:v>Applied Nutrition</x:v>
      </x:c>
      <x:c r="C100" s="10" t="str">
        <x:v>Creatine + Peptide</x:v>
      </x:c>
      <x:c r="D100" s="10" t="str">
        <x:v>Supplements</x:v>
      </x:c>
      <x:c r="E100" s="10" t="str">
        <x:v>Creatine Powders</x:v>
      </x:c>
      <x:c r="F100" s="10" t="str">
        <x:v>Creatine plus peptide formula.</x:v>
      </x:c>
      <x:c r="G100" s="10" t="str">
        <x:v>444g</x:v>
      </x:c>
      <x:c r="H100" s="10" t="str">
        <x:v>Default</x:v>
      </x:c>
      <x:c r="I100" s="10" t="str"/>
      <x:c r="J100" s="10" t="str">
        <x:v>Unit</x:v>
      </x:c>
      <x:c r="K100" s="10" t="str">
        <x:v>In stock</x:v>
      </x:c>
      <x:c r="L100" s="10" t="str">
        <x:v>2026-09-08</x:v>
      </x:c>
      <x:c r="M100" s="10" t="str"/>
      <x:c r="N100" s="10" t="str"/>
      <x:c r="O100" s="10" t="str">
        <x:v>https://www.activesportstrade.co.uk/applied-nutrition-trade</x:v>
      </x:c>
      <x:c r="P100" s="10" t="str"/>
      <x:c r="S100" t="str">
        <x:v>Pending genuine supplier/brand image</x:v>
      </x:c>
      <x:c r="T100" s="54" t="n">
        <x:v>17.47</x:v>
      </x:c>
      <x:c r="U100" s="47" t="n">
        <x:v>0.2</x:v>
      </x:c>
      <x:c r="V100" s="54" t="n">
        <x:f>IF(ISNUMBER(T100),T100*(1+U100),"")</x:f>
        <x:v>20.964</x:v>
      </x:c>
      <x:c r="W100" s="47" t="n">
        <x:v>0.3</x:v>
      </x:c>
      <x:c r="X100" s="54" t="n">
        <x:f>IF(ISNUMBER(V100),V100/(1-W100),"")</x:f>
        <x:v>29.94857142857143</x:v>
      </x:c>
      <x:c r="Y100" s="55" t="n">
        <x:f>IF(ISNUMBER(X100),ROUNDUP(X100,0),"")</x:f>
        <x:v>30</x:v>
      </x:c>
      <x:c r="Z100" t="str">
        <x:v>Source match pending</x:v>
      </x:c>
      <x:c r="AA100" t="str">
        <x:v>screencapture-www-activesportstrade-co-uk-applied-nutrition-trade-2026-09-10-08_59_59.pdf / page-07</x:v>
      </x:c>
      <x:c r="AB100" s="36" t="n">
        <x:f>IF(ISNUMBER(Y100),ROUND(Y100*0.9,2),"")</x:f>
        <x:v>27</x:v>
      </x:c>
      <x:c r="AC100" s="36" t="n">
        <x:f>IF(ISNUMBER(AB100),ROUND(AB100-(AB100*0.015+0.2)-V100,2),"")</x:f>
        <x:v>5.43</x:v>
      </x:c>
      <x:c r="AD100" s="36" t="n">
        <x:f>IF(ISNUMBER(Y100),ROUND(Y100*0.8,2),"")</x:f>
        <x:v>24</x:v>
      </x:c>
      <x:c r="AE100" s="36" t="n">
        <x:f>IF(ISNUMBER(AD100),ROUND(AD100*0.015+0.2,2),"")</x:f>
        <x:v>0.56</x:v>
      </x:c>
      <x:c r="AF100" s="36" t="n">
        <x:f>IF(ISNUMBER(AD100),ROUND(AD100-AE100-V100,2),"")</x:f>
        <x:v>2.48</x:v>
      </x:c>
      <x:c r="AG100" t="str">
        <x:f>IF(NOT(ISNUMBER(T100)),"PENDING",IF(AF100&gt;0,"PASS","FAIL"))</x:f>
        <x:v>PASS</x:v>
      </x:c>
      <x:c r="AH100" t="str">
        <x:f>IF(NOT(ISNUMBER(T100)),"Needs supplier cost",IF(K100&lt;&gt;"In stock","Supplier unavailable",IF(AG100&lt;&gt;"PASS","BLOCK - GT loss risk","Commercially protected")))</x:f>
        <x:v>Commercially protected</x:v>
      </x:c>
      <x:c r="AI100" t="str">
        <x:v>2026-09-10 Active Sports trade capture</x:v>
      </x:c>
      <x:c r="AJ100" t="str">
        <x:v>Management-only economics. Stripe stress test uses 1.5% + £0.20 standard UK online-card fee; pallet/mix-and-match pricing ignored.</x:v>
      </x:c>
    </x:row>
    <x:row r="101">
      <x:c r="A101" s="10" t="str">
        <x:v>Active Sports Nutrition</x:v>
      </x:c>
      <x:c r="B101" s="10" t="str">
        <x:v>Applied Nutrition</x:v>
      </x:c>
      <x:c r="C101" s="10" t="str">
        <x:v>ABE Pre Workout</x:v>
      </x:c>
      <x:c r="D101" s="10" t="str">
        <x:v>Pre Workouts</x:v>
      </x:c>
      <x:c r="E101" s="10" t="str">
        <x:v>Pre Workout Powders</x:v>
      </x:c>
      <x:c r="F101" s="10" t="str">
        <x:v>Pre-workout performance formula.</x:v>
      </x:c>
      <x:c r="G101" s="10" t="str">
        <x:v>30 servings</x:v>
      </x:c>
      <x:c r="H101" s="10" t="str">
        <x:v>Bubblegum Crush</x:v>
      </x:c>
      <x:c r="I101" s="10" t="str"/>
      <x:c r="J101" s="10" t="str">
        <x:v>Unit</x:v>
      </x:c>
      <x:c r="K101" s="10" t="str">
        <x:v>In stock</x:v>
      </x:c>
      <x:c r="L101" s="10" t="str">
        <x:v>2026-09-08</x:v>
      </x:c>
      <x:c r="M101" s="10" t="str"/>
      <x:c r="N101" s="10" t="str"/>
      <x:c r="O101" s="10" t="str">
        <x:v>https://www.activesportstrade.co.uk/applied-nutrition-trade</x:v>
      </x:c>
      <x:c r="P101" s="10" t="str">
        <x:v>Free shaker/T-shirt supplier promo ignored.</x:v>
      </x:c>
      <x:c r="S101" t="str">
        <x:v>Pending genuine supplier/brand image</x:v>
      </x:c>
      <x:c r="T101" s="54"/>
      <x:c r="U101" s="47" t="n">
        <x:v>0.2</x:v>
      </x:c>
      <x:c r="V101" s="54" t="str">
        <x:f>IF(ISNUMBER(T101),T101*(1+U101),"")</x:f>
      </x:c>
      <x:c r="W101" s="47" t="n">
        <x:v>0.3</x:v>
      </x:c>
      <x:c r="X101" s="54" t="str">
        <x:f>IF(ISNUMBER(V101),V101/(1-W101),"")</x:f>
      </x:c>
      <x:c r="Y101" s="55" t="str">
        <x:f>IF(ISNUMBER(X101),ROUNDUP(X101,0),"")</x:f>
      </x:c>
      <x:c r="Z101" t="str">
        <x:f>IF(ISNUMBER(T101),"Cost captured","Awaiting trade cost")</x:f>
        <x:v>Awaiting trade cost</x:v>
      </x:c>
      <x:c r="AB101" s="36" t="str">
        <x:f>IF(ISNUMBER(Y101),ROUND(Y101*0.9,2),"")</x:f>
      </x:c>
      <x:c r="AC101" s="36" t="str">
        <x:f>IF(ISNUMBER(AB101),ROUND(AB101-(AB101*0.015+0.2)-V101,2),"")</x:f>
      </x:c>
      <x:c r="AD101" s="36" t="str">
        <x:f>IF(ISNUMBER(Y101),ROUND(Y101*0.8,2),"")</x:f>
      </x:c>
      <x:c r="AE101" s="36" t="str">
        <x:f>IF(ISNUMBER(AD101),ROUND(AD101*0.015+0.2,2),"")</x:f>
      </x:c>
      <x:c r="AF101" s="36" t="str">
        <x:f>IF(ISNUMBER(AD101),ROUND(AD101-AE101-V101,2),"")</x:f>
      </x:c>
      <x:c r="AG101" t="str">
        <x:f>IF(NOT(ISNUMBER(T101)),"PENDING",IF(AF101&gt;0,"PASS","FAIL"))</x:f>
        <x:v>PENDING</x:v>
      </x:c>
      <x:c r="AH101" t="str">
        <x:f>IF(NOT(ISNUMBER(T101)),"Needs supplier cost",IF(K101&lt;&gt;"In stock","Supplier unavailable",IF(AG101&lt;&gt;"PASS","BLOCK - GT loss risk","Commercially protected")))</x:f>
        <x:v>Needs supplier cost</x:v>
      </x:c>
      <x:c r="AI101" t="str">
        <x:v>2026-09-10 Active Sports trade capture</x:v>
      </x:c>
      <x:c r="AJ101" t="str">
        <x:v>Management-only economics. Stripe stress test uses 1.5% + £0.20 standard UK online-card fee; pallet/mix-and-match pricing ignored.</x:v>
      </x:c>
    </x:row>
    <x:row r="102">
      <x:c r="A102" s="10" t="str">
        <x:v>Active Sports Nutrition</x:v>
      </x:c>
      <x:c r="B102" s="10" t="str">
        <x:v>Applied Nutrition</x:v>
      </x:c>
      <x:c r="C102" s="10" t="str">
        <x:v>ABE Pre Workout</x:v>
      </x:c>
      <x:c r="D102" s="10" t="str">
        <x:v>Pre Workouts</x:v>
      </x:c>
      <x:c r="E102" s="10" t="str">
        <x:v>Pre Workout Powders</x:v>
      </x:c>
      <x:c r="F102" s="10" t="str">
        <x:v>Pre-workout performance formula.</x:v>
      </x:c>
      <x:c r="G102" s="10" t="str">
        <x:v>30 servings</x:v>
      </x:c>
      <x:c r="H102" s="10" t="str">
        <x:v>Candy Ice Blast</x:v>
      </x:c>
      <x:c r="I102" s="10" t="str"/>
      <x:c r="J102" s="10" t="str">
        <x:v>Unit</x:v>
      </x:c>
      <x:c r="K102" s="10" t="str">
        <x:v>In stock</x:v>
      </x:c>
      <x:c r="L102" s="10" t="str">
        <x:v>2026-09-08</x:v>
      </x:c>
      <x:c r="M102" s="10" t="str"/>
      <x:c r="N102" s="10" t="str"/>
      <x:c r="O102" s="10" t="str">
        <x:v>https://www.activesportstrade.co.uk/applied-nutrition-trade</x:v>
      </x:c>
      <x:c r="P102" s="10" t="str">
        <x:v>Free shaker/T-shirt supplier promo ignored.</x:v>
      </x:c>
      <x:c r="S102" t="str">
        <x:v>Pending genuine supplier/brand image</x:v>
      </x:c>
      <x:c r="T102" s="54"/>
      <x:c r="U102" s="47" t="n">
        <x:v>0.2</x:v>
      </x:c>
      <x:c r="V102" s="54" t="str">
        <x:f>IF(ISNUMBER(T102),T102*(1+U102),"")</x:f>
      </x:c>
      <x:c r="W102" s="47" t="n">
        <x:v>0.3</x:v>
      </x:c>
      <x:c r="X102" s="54" t="str">
        <x:f>IF(ISNUMBER(V102),V102/(1-W102),"")</x:f>
      </x:c>
      <x:c r="Y102" s="55" t="str">
        <x:f>IF(ISNUMBER(X102),ROUNDUP(X102,0),"")</x:f>
      </x:c>
      <x:c r="Z102" t="str">
        <x:f>IF(ISNUMBER(T102),"Cost captured","Awaiting trade cost")</x:f>
        <x:v>Awaiting trade cost</x:v>
      </x:c>
      <x:c r="AB102" s="36" t="str">
        <x:f>IF(ISNUMBER(Y102),ROUND(Y102*0.9,2),"")</x:f>
      </x:c>
      <x:c r="AC102" s="36" t="str">
        <x:f>IF(ISNUMBER(AB102),ROUND(AB102-(AB102*0.015+0.2)-V102,2),"")</x:f>
      </x:c>
      <x:c r="AD102" s="36" t="str">
        <x:f>IF(ISNUMBER(Y102),ROUND(Y102*0.8,2),"")</x:f>
      </x:c>
      <x:c r="AE102" s="36" t="str">
        <x:f>IF(ISNUMBER(AD102),ROUND(AD102*0.015+0.2,2),"")</x:f>
      </x:c>
      <x:c r="AF102" s="36" t="str">
        <x:f>IF(ISNUMBER(AD102),ROUND(AD102-AE102-V102,2),"")</x:f>
      </x:c>
      <x:c r="AG102" t="str">
        <x:f>IF(NOT(ISNUMBER(T102)),"PENDING",IF(AF102&gt;0,"PASS","FAIL"))</x:f>
        <x:v>PENDING</x:v>
      </x:c>
      <x:c r="AH102" t="str">
        <x:f>IF(NOT(ISNUMBER(T102)),"Needs supplier cost",IF(K102&lt;&gt;"In stock","Supplier unavailable",IF(AG102&lt;&gt;"PASS","BLOCK - GT loss risk","Commercially protected")))</x:f>
        <x:v>Needs supplier cost</x:v>
      </x:c>
      <x:c r="AI102" t="str">
        <x:v>2026-09-10 Active Sports trade capture</x:v>
      </x:c>
      <x:c r="AJ102" t="str">
        <x:v>Management-only economics. Stripe stress test uses 1.5% + £0.20 standard UK online-card fee; pallet/mix-and-match pricing ignored.</x:v>
      </x:c>
    </x:row>
    <x:row r="103">
      <x:c r="A103" s="10" t="str">
        <x:v>Active Sports Nutrition</x:v>
      </x:c>
      <x:c r="B103" s="10" t="str">
        <x:v>Applied Nutrition</x:v>
      </x:c>
      <x:c r="C103" s="10" t="str">
        <x:v>ABE Pre Workout</x:v>
      </x:c>
      <x:c r="D103" s="10" t="str">
        <x:v>Pre Workouts</x:v>
      </x:c>
      <x:c r="E103" s="10" t="str">
        <x:v>Pre Workout Powders</x:v>
      </x:c>
      <x:c r="F103" s="10" t="str">
        <x:v>Pre-workout performance formula.</x:v>
      </x:c>
      <x:c r="G103" s="10" t="str">
        <x:v>30 servings</x:v>
      </x:c>
      <x:c r="H103" s="10" t="str">
        <x:v>Cherry Cola</x:v>
      </x:c>
      <x:c r="I103" s="10" t="str"/>
      <x:c r="J103" s="10" t="str">
        <x:v>Unit</x:v>
      </x:c>
      <x:c r="K103" s="10" t="str">
        <x:v>In stock</x:v>
      </x:c>
      <x:c r="L103" s="10" t="str">
        <x:v>2026-09-08</x:v>
      </x:c>
      <x:c r="M103" s="10" t="str"/>
      <x:c r="N103" s="10" t="str"/>
      <x:c r="O103" s="10" t="str">
        <x:v>https://www.activesportstrade.co.uk/applied-nutrition-trade</x:v>
      </x:c>
      <x:c r="P103" s="10" t="str">
        <x:v>Free shaker/T-shirt supplier promo ignored.</x:v>
      </x:c>
      <x:c r="S103" t="str">
        <x:v>Pending genuine supplier/brand image</x:v>
      </x:c>
      <x:c r="T103" s="54"/>
      <x:c r="U103" s="47" t="n">
        <x:v>0.2</x:v>
      </x:c>
      <x:c r="V103" s="54" t="str">
        <x:f>IF(ISNUMBER(T103),T103*(1+U103),"")</x:f>
      </x:c>
      <x:c r="W103" s="47" t="n">
        <x:v>0.3</x:v>
      </x:c>
      <x:c r="X103" s="54" t="str">
        <x:f>IF(ISNUMBER(V103),V103/(1-W103),"")</x:f>
      </x:c>
      <x:c r="Y103" s="55" t="str">
        <x:f>IF(ISNUMBER(X103),ROUNDUP(X103,0),"")</x:f>
      </x:c>
      <x:c r="Z103" t="str">
        <x:f>IF(ISNUMBER(T103),"Cost captured","Awaiting trade cost")</x:f>
        <x:v>Awaiting trade cost</x:v>
      </x:c>
      <x:c r="AB103" s="36" t="str">
        <x:f>IF(ISNUMBER(Y103),ROUND(Y103*0.9,2),"")</x:f>
      </x:c>
      <x:c r="AC103" s="36" t="str">
        <x:f>IF(ISNUMBER(AB103),ROUND(AB103-(AB103*0.015+0.2)-V103,2),"")</x:f>
      </x:c>
      <x:c r="AD103" s="36" t="str">
        <x:f>IF(ISNUMBER(Y103),ROUND(Y103*0.8,2),"")</x:f>
      </x:c>
      <x:c r="AE103" s="36" t="str">
        <x:f>IF(ISNUMBER(AD103),ROUND(AD103*0.015+0.2,2),"")</x:f>
      </x:c>
      <x:c r="AF103" s="36" t="str">
        <x:f>IF(ISNUMBER(AD103),ROUND(AD103-AE103-V103,2),"")</x:f>
      </x:c>
      <x:c r="AG103" t="str">
        <x:f>IF(NOT(ISNUMBER(T103)),"PENDING",IF(AF103&gt;0,"PASS","FAIL"))</x:f>
        <x:v>PENDING</x:v>
      </x:c>
      <x:c r="AH103" t="str">
        <x:f>IF(NOT(ISNUMBER(T103)),"Needs supplier cost",IF(K103&lt;&gt;"In stock","Supplier unavailable",IF(AG103&lt;&gt;"PASS","BLOCK - GT loss risk","Commercially protected")))</x:f>
        <x:v>Needs supplier cost</x:v>
      </x:c>
      <x:c r="AI103" t="str">
        <x:v>2026-09-10 Active Sports trade capture</x:v>
      </x:c>
      <x:c r="AJ103" t="str">
        <x:v>Management-only economics. Stripe stress test uses 1.5% + £0.20 standard UK online-card fee; pallet/mix-and-match pricing ignored.</x:v>
      </x:c>
    </x:row>
    <x:row r="104">
      <x:c r="A104" s="10" t="str">
        <x:v>Active Sports Nutrition</x:v>
      </x:c>
      <x:c r="B104" s="10" t="str">
        <x:v>Applied Nutrition</x:v>
      </x:c>
      <x:c r="C104" s="10" t="str">
        <x:v>ABE Pre Workout</x:v>
      </x:c>
      <x:c r="D104" s="10" t="str">
        <x:v>Pre Workouts</x:v>
      </x:c>
      <x:c r="E104" s="10" t="str">
        <x:v>Pre Workout Powders</x:v>
      </x:c>
      <x:c r="F104" s="10" t="str">
        <x:v>Pre-workout performance formula.</x:v>
      </x:c>
      <x:c r="G104" s="10" t="str">
        <x:v>30 servings</x:v>
      </x:c>
      <x:c r="H104" s="10" t="str">
        <x:v>Cool Watermelon</x:v>
      </x:c>
      <x:c r="I104" s="10" t="str"/>
      <x:c r="J104" s="10" t="str">
        <x:v>Unit</x:v>
      </x:c>
      <x:c r="K104" s="10" t="str">
        <x:v>In stock</x:v>
      </x:c>
      <x:c r="L104" s="10" t="str">
        <x:v>2026-09-08</x:v>
      </x:c>
      <x:c r="M104" s="10" t="str"/>
      <x:c r="N104" s="10" t="str"/>
      <x:c r="O104" s="10" t="str">
        <x:v>https://www.activesportstrade.co.uk/applied-nutrition-trade</x:v>
      </x:c>
      <x:c r="P104" s="10" t="str">
        <x:v>Free shaker/T-shirt supplier promo ignored.</x:v>
      </x:c>
      <x:c r="S104" t="str">
        <x:v>Pending genuine supplier/brand image</x:v>
      </x:c>
      <x:c r="T104" s="54"/>
      <x:c r="U104" s="47" t="n">
        <x:v>0.2</x:v>
      </x:c>
      <x:c r="V104" s="54" t="str">
        <x:f>IF(ISNUMBER(T104),T104*(1+U104),"")</x:f>
      </x:c>
      <x:c r="W104" s="47" t="n">
        <x:v>0.3</x:v>
      </x:c>
      <x:c r="X104" s="54" t="str">
        <x:f>IF(ISNUMBER(V104),V104/(1-W104),"")</x:f>
      </x:c>
      <x:c r="Y104" s="55" t="str">
        <x:f>IF(ISNUMBER(X104),ROUNDUP(X104,0),"")</x:f>
      </x:c>
      <x:c r="Z104" t="str">
        <x:f>IF(ISNUMBER(T104),"Cost captured","Awaiting trade cost")</x:f>
        <x:v>Awaiting trade cost</x:v>
      </x:c>
      <x:c r="AB104" s="36" t="str">
        <x:f>IF(ISNUMBER(Y104),ROUND(Y104*0.9,2),"")</x:f>
      </x:c>
      <x:c r="AC104" s="36" t="str">
        <x:f>IF(ISNUMBER(AB104),ROUND(AB104-(AB104*0.015+0.2)-V104,2),"")</x:f>
      </x:c>
      <x:c r="AD104" s="36" t="str">
        <x:f>IF(ISNUMBER(Y104),ROUND(Y104*0.8,2),"")</x:f>
      </x:c>
      <x:c r="AE104" s="36" t="str">
        <x:f>IF(ISNUMBER(AD104),ROUND(AD104*0.015+0.2,2),"")</x:f>
      </x:c>
      <x:c r="AF104" s="36" t="str">
        <x:f>IF(ISNUMBER(AD104),ROUND(AD104-AE104-V104,2),"")</x:f>
      </x:c>
      <x:c r="AG104" t="str">
        <x:f>IF(NOT(ISNUMBER(T104)),"PENDING",IF(AF104&gt;0,"PASS","FAIL"))</x:f>
        <x:v>PENDING</x:v>
      </x:c>
      <x:c r="AH104" t="str">
        <x:f>IF(NOT(ISNUMBER(T104)),"Needs supplier cost",IF(K104&lt;&gt;"In stock","Supplier unavailable",IF(AG104&lt;&gt;"PASS","BLOCK - GT loss risk","Commercially protected")))</x:f>
        <x:v>Needs supplier cost</x:v>
      </x:c>
      <x:c r="AI104" t="str">
        <x:v>2026-09-10 Active Sports trade capture</x:v>
      </x:c>
      <x:c r="AJ104" t="str">
        <x:v>Management-only economics. Stripe stress test uses 1.5% + £0.20 standard UK online-card fee; pallet/mix-and-match pricing ignored.</x:v>
      </x:c>
    </x:row>
    <x:row r="105">
      <x:c r="A105" s="10" t="str">
        <x:v>Active Sports Nutrition</x:v>
      </x:c>
      <x:c r="B105" s="10" t="str">
        <x:v>Applied Nutrition</x:v>
      </x:c>
      <x:c r="C105" s="10" t="str">
        <x:v>ABE Pre Workout</x:v>
      </x:c>
      <x:c r="D105" s="10" t="str">
        <x:v>Pre Workouts</x:v>
      </x:c>
      <x:c r="E105" s="10" t="str">
        <x:v>Pre Workout Powders</x:v>
      </x:c>
      <x:c r="F105" s="10" t="str">
        <x:v>Pre-workout performance formula.</x:v>
      </x:c>
      <x:c r="G105" s="10" t="str">
        <x:v>30 servings</x:v>
      </x:c>
      <x:c r="H105" s="10" t="str">
        <x:v>Energy Flavour</x:v>
      </x:c>
      <x:c r="I105" s="10" t="str"/>
      <x:c r="J105" s="10" t="str">
        <x:v>Unit</x:v>
      </x:c>
      <x:c r="K105" s="10" t="str">
        <x:v>In stock</x:v>
      </x:c>
      <x:c r="L105" s="10" t="str">
        <x:v>2026-09-08</x:v>
      </x:c>
      <x:c r="M105" s="10" t="str"/>
      <x:c r="N105" s="10" t="str"/>
      <x:c r="O105" s="10" t="str">
        <x:v>https://www.activesportstrade.co.uk/applied-nutrition-trade</x:v>
      </x:c>
      <x:c r="P105" s="10" t="str">
        <x:v>Free shaker/T-shirt supplier promo ignored.</x:v>
      </x:c>
      <x:c r="S105" t="str">
        <x:v>Pending genuine supplier/brand image</x:v>
      </x:c>
      <x:c r="T105" s="54"/>
      <x:c r="U105" s="47" t="n">
        <x:v>0.2</x:v>
      </x:c>
      <x:c r="V105" s="54" t="str">
        <x:f>IF(ISNUMBER(T105),T105*(1+U105),"")</x:f>
      </x:c>
      <x:c r="W105" s="47" t="n">
        <x:v>0.3</x:v>
      </x:c>
      <x:c r="X105" s="54" t="str">
        <x:f>IF(ISNUMBER(V105),V105/(1-W105),"")</x:f>
      </x:c>
      <x:c r="Y105" s="55" t="str">
        <x:f>IF(ISNUMBER(X105),ROUNDUP(X105,0),"")</x:f>
      </x:c>
      <x:c r="Z105" t="str">
        <x:f>IF(ISNUMBER(T105),"Cost captured","Awaiting trade cost")</x:f>
        <x:v>Awaiting trade cost</x:v>
      </x:c>
      <x:c r="AB105" s="36" t="str">
        <x:f>IF(ISNUMBER(Y105),ROUND(Y105*0.9,2),"")</x:f>
      </x:c>
      <x:c r="AC105" s="36" t="str">
        <x:f>IF(ISNUMBER(AB105),ROUND(AB105-(AB105*0.015+0.2)-V105,2),"")</x:f>
      </x:c>
      <x:c r="AD105" s="36" t="str">
        <x:f>IF(ISNUMBER(Y105),ROUND(Y105*0.8,2),"")</x:f>
      </x:c>
      <x:c r="AE105" s="36" t="str">
        <x:f>IF(ISNUMBER(AD105),ROUND(AD105*0.015+0.2,2),"")</x:f>
      </x:c>
      <x:c r="AF105" s="36" t="str">
        <x:f>IF(ISNUMBER(AD105),ROUND(AD105-AE105-V105,2),"")</x:f>
      </x:c>
      <x:c r="AG105" t="str">
        <x:f>IF(NOT(ISNUMBER(T105)),"PENDING",IF(AF105&gt;0,"PASS","FAIL"))</x:f>
        <x:v>PENDING</x:v>
      </x:c>
      <x:c r="AH105" t="str">
        <x:f>IF(NOT(ISNUMBER(T105)),"Needs supplier cost",IF(K105&lt;&gt;"In stock","Supplier unavailable",IF(AG105&lt;&gt;"PASS","BLOCK - GT loss risk","Commercially protected")))</x:f>
        <x:v>Needs supplier cost</x:v>
      </x:c>
      <x:c r="AI105" t="str">
        <x:v>2026-09-10 Active Sports trade capture</x:v>
      </x:c>
      <x:c r="AJ105" t="str">
        <x:v>Management-only economics. Stripe stress test uses 1.5% + £0.20 standard UK online-card fee; pallet/mix-and-match pricing ignored.</x:v>
      </x:c>
    </x:row>
    <x:row r="106">
      <x:c r="A106" s="10" t="str">
        <x:v>Active Sports Nutrition</x:v>
      </x:c>
      <x:c r="B106" s="10" t="str">
        <x:v>Applied Nutrition</x:v>
      </x:c>
      <x:c r="C106" s="10" t="str">
        <x:v>ABE Pre Workout</x:v>
      </x:c>
      <x:c r="D106" s="10" t="str">
        <x:v>Pre Workouts</x:v>
      </x:c>
      <x:c r="E106" s="10" t="str">
        <x:v>Pre Workout Powders</x:v>
      </x:c>
      <x:c r="F106" s="10" t="str">
        <x:v>Pre-workout performance formula.</x:v>
      </x:c>
      <x:c r="G106" s="10" t="str">
        <x:v>30 servings</x:v>
      </x:c>
      <x:c r="H106" s="10" t="str">
        <x:v>Fruit Punch</x:v>
      </x:c>
      <x:c r="I106" s="10" t="str"/>
      <x:c r="J106" s="10" t="str">
        <x:v>Unit</x:v>
      </x:c>
      <x:c r="K106" s="10" t="str">
        <x:v>In stock</x:v>
      </x:c>
      <x:c r="L106" s="10" t="str">
        <x:v>2026-09-08</x:v>
      </x:c>
      <x:c r="M106" s="10" t="str"/>
      <x:c r="N106" s="10" t="str"/>
      <x:c r="O106" s="10" t="str">
        <x:v>https://www.activesportstrade.co.uk/applied-nutrition-trade</x:v>
      </x:c>
      <x:c r="P106" s="10" t="str">
        <x:v>Free shaker/T-shirt supplier promo ignored.</x:v>
      </x:c>
      <x:c r="S106" t="str">
        <x:v>Pending genuine supplier/brand image</x:v>
      </x:c>
      <x:c r="T106" s="54"/>
      <x:c r="U106" s="47" t="n">
        <x:v>0.2</x:v>
      </x:c>
      <x:c r="V106" s="54" t="str">
        <x:f>IF(ISNUMBER(T106),T106*(1+U106),"")</x:f>
      </x:c>
      <x:c r="W106" s="47" t="n">
        <x:v>0.3</x:v>
      </x:c>
      <x:c r="X106" s="54" t="str">
        <x:f>IF(ISNUMBER(V106),V106/(1-W106),"")</x:f>
      </x:c>
      <x:c r="Y106" s="55" t="str">
        <x:f>IF(ISNUMBER(X106),ROUNDUP(X106,0),"")</x:f>
      </x:c>
      <x:c r="Z106" t="str">
        <x:f>IF(ISNUMBER(T106),"Cost captured","Awaiting trade cost")</x:f>
        <x:v>Awaiting trade cost</x:v>
      </x:c>
      <x:c r="AB106" s="36" t="str">
        <x:f>IF(ISNUMBER(Y106),ROUND(Y106*0.9,2),"")</x:f>
      </x:c>
      <x:c r="AC106" s="36" t="str">
        <x:f>IF(ISNUMBER(AB106),ROUND(AB106-(AB106*0.015+0.2)-V106,2),"")</x:f>
      </x:c>
      <x:c r="AD106" s="36" t="str">
        <x:f>IF(ISNUMBER(Y106),ROUND(Y106*0.8,2),"")</x:f>
      </x:c>
      <x:c r="AE106" s="36" t="str">
        <x:f>IF(ISNUMBER(AD106),ROUND(AD106*0.015+0.2,2),"")</x:f>
      </x:c>
      <x:c r="AF106" s="36" t="str">
        <x:f>IF(ISNUMBER(AD106),ROUND(AD106-AE106-V106,2),"")</x:f>
      </x:c>
      <x:c r="AG106" t="str">
        <x:f>IF(NOT(ISNUMBER(T106)),"PENDING",IF(AF106&gt;0,"PASS","FAIL"))</x:f>
        <x:v>PENDING</x:v>
      </x:c>
      <x:c r="AH106" t="str">
        <x:f>IF(NOT(ISNUMBER(T106)),"Needs supplier cost",IF(K106&lt;&gt;"In stock","Supplier unavailable",IF(AG106&lt;&gt;"PASS","BLOCK - GT loss risk","Commercially protected")))</x:f>
        <x:v>Needs supplier cost</x:v>
      </x:c>
      <x:c r="AI106" t="str">
        <x:v>2026-09-10 Active Sports trade capture</x:v>
      </x:c>
      <x:c r="AJ106" t="str">
        <x:v>Management-only economics. Stripe stress test uses 1.5% + £0.20 standard UK online-card fee; pallet/mix-and-match pricing ignored.</x:v>
      </x:c>
    </x:row>
    <x:row r="107">
      <x:c r="A107" s="10" t="str">
        <x:v>Active Sports Nutrition</x:v>
      </x:c>
      <x:c r="B107" s="10" t="str">
        <x:v>Applied Nutrition</x:v>
      </x:c>
      <x:c r="C107" s="10" t="str">
        <x:v>ABE Pre Workout</x:v>
      </x:c>
      <x:c r="D107" s="10" t="str">
        <x:v>Pre Workouts</x:v>
      </x:c>
      <x:c r="E107" s="10" t="str">
        <x:v>Pre Workout Powders</x:v>
      </x:c>
      <x:c r="F107" s="10" t="str">
        <x:v>Pre-workout performance formula.</x:v>
      </x:c>
      <x:c r="G107" s="10" t="str">
        <x:v>30 servings</x:v>
      </x:c>
      <x:c r="H107" s="10" t="str">
        <x:v>Icy Blue Raz</x:v>
      </x:c>
      <x:c r="I107" s="10" t="str"/>
      <x:c r="J107" s="10" t="str">
        <x:v>Unit</x:v>
      </x:c>
      <x:c r="K107" s="10" t="str">
        <x:v>In stock</x:v>
      </x:c>
      <x:c r="L107" s="10" t="str">
        <x:v>2026-09-08</x:v>
      </x:c>
      <x:c r="M107" s="10" t="str"/>
      <x:c r="N107" s="10" t="str"/>
      <x:c r="O107" s="10" t="str">
        <x:v>https://www.activesportstrade.co.uk/applied-nutrition-trade</x:v>
      </x:c>
      <x:c r="P107" s="10" t="str">
        <x:v>Free shaker/T-shirt supplier promo ignored.</x:v>
      </x:c>
      <x:c r="S107" t="str">
        <x:v>Pending genuine supplier/brand image</x:v>
      </x:c>
      <x:c r="T107" s="54"/>
      <x:c r="U107" s="47" t="n">
        <x:v>0.2</x:v>
      </x:c>
      <x:c r="V107" s="54" t="str">
        <x:f>IF(ISNUMBER(T107),T107*(1+U107),"")</x:f>
      </x:c>
      <x:c r="W107" s="47" t="n">
        <x:v>0.3</x:v>
      </x:c>
      <x:c r="X107" s="54" t="str">
        <x:f>IF(ISNUMBER(V107),V107/(1-W107),"")</x:f>
      </x:c>
      <x:c r="Y107" s="55" t="str">
        <x:f>IF(ISNUMBER(X107),ROUNDUP(X107,0),"")</x:f>
      </x:c>
      <x:c r="Z107" t="str">
        <x:f>IF(ISNUMBER(T107),"Cost captured","Awaiting trade cost")</x:f>
        <x:v>Awaiting trade cost</x:v>
      </x:c>
      <x:c r="AB107" s="36" t="str">
        <x:f>IF(ISNUMBER(Y107),ROUND(Y107*0.9,2),"")</x:f>
      </x:c>
      <x:c r="AC107" s="36" t="str">
        <x:f>IF(ISNUMBER(AB107),ROUND(AB107-(AB107*0.015+0.2)-V107,2),"")</x:f>
      </x:c>
      <x:c r="AD107" s="36" t="str">
        <x:f>IF(ISNUMBER(Y107),ROUND(Y107*0.8,2),"")</x:f>
      </x:c>
      <x:c r="AE107" s="36" t="str">
        <x:f>IF(ISNUMBER(AD107),ROUND(AD107*0.015+0.2,2),"")</x:f>
      </x:c>
      <x:c r="AF107" s="36" t="str">
        <x:f>IF(ISNUMBER(AD107),ROUND(AD107-AE107-V107,2),"")</x:f>
      </x:c>
      <x:c r="AG107" t="str">
        <x:f>IF(NOT(ISNUMBER(T107)),"PENDING",IF(AF107&gt;0,"PASS","FAIL"))</x:f>
        <x:v>PENDING</x:v>
      </x:c>
      <x:c r="AH107" t="str">
        <x:f>IF(NOT(ISNUMBER(T107)),"Needs supplier cost",IF(K107&lt;&gt;"In stock","Supplier unavailable",IF(AG107&lt;&gt;"PASS","BLOCK - GT loss risk","Commercially protected")))</x:f>
        <x:v>Needs supplier cost</x:v>
      </x:c>
      <x:c r="AI107" t="str">
        <x:v>2026-09-10 Active Sports trade capture</x:v>
      </x:c>
      <x:c r="AJ107" t="str">
        <x:v>Management-only economics. Stripe stress test uses 1.5% + £0.20 standard UK online-card fee; pallet/mix-and-match pricing ignored.</x:v>
      </x:c>
    </x:row>
    <x:row r="108">
      <x:c r="A108" s="10" t="str">
        <x:v>Active Sports Nutrition</x:v>
      </x:c>
      <x:c r="B108" s="10" t="str">
        <x:v>Applied Nutrition</x:v>
      </x:c>
      <x:c r="C108" s="10" t="str">
        <x:v>ABE Pre Workout</x:v>
      </x:c>
      <x:c r="D108" s="10" t="str">
        <x:v>Pre Workouts</x:v>
      </x:c>
      <x:c r="E108" s="10" t="str">
        <x:v>Pre Workout Powders</x:v>
      </x:c>
      <x:c r="F108" s="10" t="str">
        <x:v>Pre-workout performance formula.</x:v>
      </x:c>
      <x:c r="G108" s="10" t="str">
        <x:v>30 servings</x:v>
      </x:c>
      <x:c r="H108" s="10" t="str">
        <x:v>Paddy The Baddy - Baddy Berry</x:v>
      </x:c>
      <x:c r="I108" s="10" t="str"/>
      <x:c r="J108" s="10" t="str">
        <x:v>Unit</x:v>
      </x:c>
      <x:c r="K108" s="10" t="str">
        <x:v>In stock</x:v>
      </x:c>
      <x:c r="L108" s="10" t="str">
        <x:v>2026-09-08</x:v>
      </x:c>
      <x:c r="M108" s="10" t="str"/>
      <x:c r="N108" s="10" t="str"/>
      <x:c r="O108" s="10" t="str">
        <x:v>https://www.activesportstrade.co.uk/applied-nutrition-trade</x:v>
      </x:c>
      <x:c r="P108" s="10" t="str">
        <x:v>Free shaker/T-shirt supplier promo ignored.</x:v>
      </x:c>
      <x:c r="S108" t="str">
        <x:v>Pending genuine supplier/brand image</x:v>
      </x:c>
      <x:c r="T108" s="54"/>
      <x:c r="U108" s="47" t="n">
        <x:v>0.2</x:v>
      </x:c>
      <x:c r="V108" s="54" t="str">
        <x:f>IF(ISNUMBER(T108),T108*(1+U108),"")</x:f>
      </x:c>
      <x:c r="W108" s="47" t="n">
        <x:v>0.3</x:v>
      </x:c>
      <x:c r="X108" s="54" t="str">
        <x:f>IF(ISNUMBER(V108),V108/(1-W108),"")</x:f>
      </x:c>
      <x:c r="Y108" s="55" t="str">
        <x:f>IF(ISNUMBER(X108),ROUNDUP(X108,0),"")</x:f>
      </x:c>
      <x:c r="Z108" t="str">
        <x:f>IF(ISNUMBER(T108),"Cost captured","Awaiting trade cost")</x:f>
        <x:v>Awaiting trade cost</x:v>
      </x:c>
      <x:c r="AB108" s="36" t="str">
        <x:f>IF(ISNUMBER(Y108),ROUND(Y108*0.9,2),"")</x:f>
      </x:c>
      <x:c r="AC108" s="36" t="str">
        <x:f>IF(ISNUMBER(AB108),ROUND(AB108-(AB108*0.015+0.2)-V108,2),"")</x:f>
      </x:c>
      <x:c r="AD108" s="36" t="str">
        <x:f>IF(ISNUMBER(Y108),ROUND(Y108*0.8,2),"")</x:f>
      </x:c>
      <x:c r="AE108" s="36" t="str">
        <x:f>IF(ISNUMBER(AD108),ROUND(AD108*0.015+0.2,2),"")</x:f>
      </x:c>
      <x:c r="AF108" s="36" t="str">
        <x:f>IF(ISNUMBER(AD108),ROUND(AD108-AE108-V108,2),"")</x:f>
      </x:c>
      <x:c r="AG108" t="str">
        <x:f>IF(NOT(ISNUMBER(T108)),"PENDING",IF(AF108&gt;0,"PASS","FAIL"))</x:f>
        <x:v>PENDING</x:v>
      </x:c>
      <x:c r="AH108" t="str">
        <x:f>IF(NOT(ISNUMBER(T108)),"Needs supplier cost",IF(K108&lt;&gt;"In stock","Supplier unavailable",IF(AG108&lt;&gt;"PASS","BLOCK - GT loss risk","Commercially protected")))</x:f>
        <x:v>Needs supplier cost</x:v>
      </x:c>
      <x:c r="AI108" t="str">
        <x:v>2026-09-10 Active Sports trade capture</x:v>
      </x:c>
      <x:c r="AJ108" t="str">
        <x:v>Management-only economics. Stripe stress test uses 1.5% + £0.20 standard UK online-card fee; pallet/mix-and-match pricing ignored.</x:v>
      </x:c>
    </x:row>
    <x:row r="109">
      <x:c r="A109" s="10" t="str">
        <x:v>Active Sports Nutrition</x:v>
      </x:c>
      <x:c r="B109" s="10" t="str">
        <x:v>Applied Nutrition</x:v>
      </x:c>
      <x:c r="C109" s="10" t="str">
        <x:v>ABE Pre Workout</x:v>
      </x:c>
      <x:c r="D109" s="10" t="str">
        <x:v>Pre Workouts</x:v>
      </x:c>
      <x:c r="E109" s="10" t="str">
        <x:v>Pre Workout Powders</x:v>
      </x:c>
      <x:c r="F109" s="10" t="str">
        <x:v>Pre-workout performance formula.</x:v>
      </x:c>
      <x:c r="G109" s="10" t="str">
        <x:v>30 servings</x:v>
      </x:c>
      <x:c r="H109" s="10" t="str">
        <x:v>Slush Puppie Red &amp; Blue Mix</x:v>
      </x:c>
      <x:c r="I109" s="10" t="str"/>
      <x:c r="J109" s="10" t="str">
        <x:v>Unit</x:v>
      </x:c>
      <x:c r="K109" s="10" t="str">
        <x:v>In stock</x:v>
      </x:c>
      <x:c r="L109" s="10" t="str">
        <x:v>2026-09-08</x:v>
      </x:c>
      <x:c r="M109" s="10" t="str"/>
      <x:c r="N109" s="10" t="str"/>
      <x:c r="O109" s="10" t="str">
        <x:v>https://www.activesportstrade.co.uk/applied-nutrition-trade</x:v>
      </x:c>
      <x:c r="P109" s="10" t="str">
        <x:v>Free shaker/T-shirt supplier promo ignored.</x:v>
      </x:c>
      <x:c r="S109" t="str">
        <x:v>Pending genuine supplier/brand image</x:v>
      </x:c>
      <x:c r="T109" s="54"/>
      <x:c r="U109" s="47" t="n">
        <x:v>0.2</x:v>
      </x:c>
      <x:c r="V109" s="54" t="str">
        <x:f>IF(ISNUMBER(T109),T109*(1+U109),"")</x:f>
      </x:c>
      <x:c r="W109" s="47" t="n">
        <x:v>0.3</x:v>
      </x:c>
      <x:c r="X109" s="54" t="str">
        <x:f>IF(ISNUMBER(V109),V109/(1-W109),"")</x:f>
      </x:c>
      <x:c r="Y109" s="55" t="str">
        <x:f>IF(ISNUMBER(X109),ROUNDUP(X109,0),"")</x:f>
      </x:c>
      <x:c r="Z109" t="str">
        <x:f>IF(ISNUMBER(T109),"Cost captured","Awaiting trade cost")</x:f>
        <x:v>Awaiting trade cost</x:v>
      </x:c>
      <x:c r="AB109" s="36" t="str">
        <x:f>IF(ISNUMBER(Y109),ROUND(Y109*0.9,2),"")</x:f>
      </x:c>
      <x:c r="AC109" s="36" t="str">
        <x:f>IF(ISNUMBER(AB109),ROUND(AB109-(AB109*0.015+0.2)-V109,2),"")</x:f>
      </x:c>
      <x:c r="AD109" s="36" t="str">
        <x:f>IF(ISNUMBER(Y109),ROUND(Y109*0.8,2),"")</x:f>
      </x:c>
      <x:c r="AE109" s="36" t="str">
        <x:f>IF(ISNUMBER(AD109),ROUND(AD109*0.015+0.2,2),"")</x:f>
      </x:c>
      <x:c r="AF109" s="36" t="str">
        <x:f>IF(ISNUMBER(AD109),ROUND(AD109-AE109-V109,2),"")</x:f>
      </x:c>
      <x:c r="AG109" t="str">
        <x:f>IF(NOT(ISNUMBER(T109)),"PENDING",IF(AF109&gt;0,"PASS","FAIL"))</x:f>
        <x:v>PENDING</x:v>
      </x:c>
      <x:c r="AH109" t="str">
        <x:f>IF(NOT(ISNUMBER(T109)),"Needs supplier cost",IF(K109&lt;&gt;"In stock","Supplier unavailable",IF(AG109&lt;&gt;"PASS","BLOCK - GT loss risk","Commercially protected")))</x:f>
        <x:v>Needs supplier cost</x:v>
      </x:c>
      <x:c r="AI109" t="str">
        <x:v>2026-09-10 Active Sports trade capture</x:v>
      </x:c>
      <x:c r="AJ109" t="str">
        <x:v>Management-only economics. Stripe stress test uses 1.5% + £0.20 standard UK online-card fee; pallet/mix-and-match pricing ignored.</x:v>
      </x:c>
    </x:row>
    <x:row r="110">
      <x:c r="A110" s="10" t="str">
        <x:v>Active Sports Nutrition</x:v>
      </x:c>
      <x:c r="B110" s="10" t="str">
        <x:v>Applied Nutrition</x:v>
      </x:c>
      <x:c r="C110" s="10" t="str">
        <x:v>ABE Pre Workout</x:v>
      </x:c>
      <x:c r="D110" s="10" t="str">
        <x:v>Pre Workouts</x:v>
      </x:c>
      <x:c r="E110" s="10" t="str">
        <x:v>Pre Workout Powders</x:v>
      </x:c>
      <x:c r="F110" s="10" t="str">
        <x:v>Pre-workout performance formula.</x:v>
      </x:c>
      <x:c r="G110" s="10" t="str">
        <x:v>30 servings</x:v>
      </x:c>
      <x:c r="H110" s="10" t="str">
        <x:v>Slush Puppie Twisted Citrus</x:v>
      </x:c>
      <x:c r="I110" s="10" t="str"/>
      <x:c r="J110" s="10" t="str">
        <x:v>Unit</x:v>
      </x:c>
      <x:c r="K110" s="10" t="str">
        <x:v>In stock</x:v>
      </x:c>
      <x:c r="L110" s="10" t="str">
        <x:v>2026-09-08</x:v>
      </x:c>
      <x:c r="M110" s="10" t="str"/>
      <x:c r="N110" s="10" t="str"/>
      <x:c r="O110" s="10" t="str">
        <x:v>https://www.activesportstrade.co.uk/applied-nutrition-trade</x:v>
      </x:c>
      <x:c r="P110" s="10" t="str">
        <x:v>Free shaker/T-shirt supplier promo ignored.</x:v>
      </x:c>
      <x:c r="S110" t="str">
        <x:v>Pending genuine supplier/brand image</x:v>
      </x:c>
      <x:c r="T110" s="54"/>
      <x:c r="U110" s="47" t="n">
        <x:v>0.2</x:v>
      </x:c>
      <x:c r="V110" s="54" t="str">
        <x:f>IF(ISNUMBER(T110),T110*(1+U110),"")</x:f>
      </x:c>
      <x:c r="W110" s="47" t="n">
        <x:v>0.3</x:v>
      </x:c>
      <x:c r="X110" s="54" t="str">
        <x:f>IF(ISNUMBER(V110),V110/(1-W110),"")</x:f>
      </x:c>
      <x:c r="Y110" s="55" t="str">
        <x:f>IF(ISNUMBER(X110),ROUNDUP(X110,0),"")</x:f>
      </x:c>
      <x:c r="Z110" t="str">
        <x:f>IF(ISNUMBER(T110),"Cost captured","Awaiting trade cost")</x:f>
        <x:v>Awaiting trade cost</x:v>
      </x:c>
      <x:c r="AB110" s="36" t="str">
        <x:f>IF(ISNUMBER(Y110),ROUND(Y110*0.9,2),"")</x:f>
      </x:c>
      <x:c r="AC110" s="36" t="str">
        <x:f>IF(ISNUMBER(AB110),ROUND(AB110-(AB110*0.015+0.2)-V110,2),"")</x:f>
      </x:c>
      <x:c r="AD110" s="36" t="str">
        <x:f>IF(ISNUMBER(Y110),ROUND(Y110*0.8,2),"")</x:f>
      </x:c>
      <x:c r="AE110" s="36" t="str">
        <x:f>IF(ISNUMBER(AD110),ROUND(AD110*0.015+0.2,2),"")</x:f>
      </x:c>
      <x:c r="AF110" s="36" t="str">
        <x:f>IF(ISNUMBER(AD110),ROUND(AD110-AE110-V110,2),"")</x:f>
      </x:c>
      <x:c r="AG110" t="str">
        <x:f>IF(NOT(ISNUMBER(T110)),"PENDING",IF(AF110&gt;0,"PASS","FAIL"))</x:f>
        <x:v>PENDING</x:v>
      </x:c>
      <x:c r="AH110" t="str">
        <x:f>IF(NOT(ISNUMBER(T110)),"Needs supplier cost",IF(K110&lt;&gt;"In stock","Supplier unavailable",IF(AG110&lt;&gt;"PASS","BLOCK - GT loss risk","Commercially protected")))</x:f>
        <x:v>Needs supplier cost</x:v>
      </x:c>
      <x:c r="AI110" t="str">
        <x:v>2026-09-10 Active Sports trade capture</x:v>
      </x:c>
      <x:c r="AJ110" t="str">
        <x:v>Management-only economics. Stripe stress test uses 1.5% + £0.20 standard UK online-card fee; pallet/mix-and-match pricing ignored.</x:v>
      </x:c>
    </x:row>
    <x:row r="111">
      <x:c r="A111" s="10" t="str">
        <x:v>Active Sports Nutrition</x:v>
      </x:c>
      <x:c r="B111" s="10" t="str">
        <x:v>Applied Nutrition</x:v>
      </x:c>
      <x:c r="C111" s="10" t="str">
        <x:v>ABE Pre Workout</x:v>
      </x:c>
      <x:c r="D111" s="10" t="str">
        <x:v>Pre Workouts</x:v>
      </x:c>
      <x:c r="E111" s="10" t="str">
        <x:v>Pre Workout Powders</x:v>
      </x:c>
      <x:c r="F111" s="10" t="str">
        <x:v>Pre-workout performance formula.</x:v>
      </x:c>
      <x:c r="G111" s="10" t="str">
        <x:v>30 servings</x:v>
      </x:c>
      <x:c r="H111" s="10" t="str">
        <x:v>Sour Apple</x:v>
      </x:c>
      <x:c r="I111" s="10" t="str"/>
      <x:c r="J111" s="10" t="str">
        <x:v>Unit</x:v>
      </x:c>
      <x:c r="K111" s="10" t="str">
        <x:v>In stock</x:v>
      </x:c>
      <x:c r="L111" s="10" t="str">
        <x:v>2026-09-08</x:v>
      </x:c>
      <x:c r="M111" s="10" t="str"/>
      <x:c r="N111" s="10" t="str"/>
      <x:c r="O111" s="10" t="str">
        <x:v>https://www.activesportstrade.co.uk/applied-nutrition-trade</x:v>
      </x:c>
      <x:c r="P111" s="10" t="str">
        <x:v>Free shaker/T-shirt supplier promo ignored.</x:v>
      </x:c>
      <x:c r="S111" t="str">
        <x:v>Pending genuine supplier/brand image</x:v>
      </x:c>
      <x:c r="T111" s="54"/>
      <x:c r="U111" s="47" t="n">
        <x:v>0.2</x:v>
      </x:c>
      <x:c r="V111" s="54" t="str">
        <x:f>IF(ISNUMBER(T111),T111*(1+U111),"")</x:f>
      </x:c>
      <x:c r="W111" s="47" t="n">
        <x:v>0.3</x:v>
      </x:c>
      <x:c r="X111" s="54" t="str">
        <x:f>IF(ISNUMBER(V111),V111/(1-W111),"")</x:f>
      </x:c>
      <x:c r="Y111" s="55" t="str">
        <x:f>IF(ISNUMBER(X111),ROUNDUP(X111,0),"")</x:f>
      </x:c>
      <x:c r="Z111" t="str">
        <x:f>IF(ISNUMBER(T111),"Cost captured","Awaiting trade cost")</x:f>
        <x:v>Awaiting trade cost</x:v>
      </x:c>
      <x:c r="AB111" s="36" t="str">
        <x:f>IF(ISNUMBER(Y111),ROUND(Y111*0.9,2),"")</x:f>
      </x:c>
      <x:c r="AC111" s="36" t="str">
        <x:f>IF(ISNUMBER(AB111),ROUND(AB111-(AB111*0.015+0.2)-V111,2),"")</x:f>
      </x:c>
      <x:c r="AD111" s="36" t="str">
        <x:f>IF(ISNUMBER(Y111),ROUND(Y111*0.8,2),"")</x:f>
      </x:c>
      <x:c r="AE111" s="36" t="str">
        <x:f>IF(ISNUMBER(AD111),ROUND(AD111*0.015+0.2,2),"")</x:f>
      </x:c>
      <x:c r="AF111" s="36" t="str">
        <x:f>IF(ISNUMBER(AD111),ROUND(AD111-AE111-V111,2),"")</x:f>
      </x:c>
      <x:c r="AG111" t="str">
        <x:f>IF(NOT(ISNUMBER(T111)),"PENDING",IF(AF111&gt;0,"PASS","FAIL"))</x:f>
        <x:v>PENDING</x:v>
      </x:c>
      <x:c r="AH111" t="str">
        <x:f>IF(NOT(ISNUMBER(T111)),"Needs supplier cost",IF(K111&lt;&gt;"In stock","Supplier unavailable",IF(AG111&lt;&gt;"PASS","BLOCK - GT loss risk","Commercially protected")))</x:f>
        <x:v>Needs supplier cost</x:v>
      </x:c>
      <x:c r="AI111" t="str">
        <x:v>2026-09-10 Active Sports trade capture</x:v>
      </x:c>
      <x:c r="AJ111" t="str">
        <x:v>Management-only economics. Stripe stress test uses 1.5% + £0.20 standard UK online-card fee; pallet/mix-and-match pricing ignored.</x:v>
      </x:c>
    </x:row>
    <x:row r="112">
      <x:c r="A112" s="10" t="str">
        <x:v>Active Sports Nutrition</x:v>
      </x:c>
      <x:c r="B112" s="10" t="str">
        <x:v>Applied Nutrition</x:v>
      </x:c>
      <x:c r="C112" s="10" t="str">
        <x:v>ABE Pre Workout</x:v>
      </x:c>
      <x:c r="D112" s="10" t="str">
        <x:v>Pre Workouts</x:v>
      </x:c>
      <x:c r="E112" s="10" t="str">
        <x:v>Pre Workout Powders</x:v>
      </x:c>
      <x:c r="F112" s="10" t="str">
        <x:v>Pre-workout performance formula.</x:v>
      </x:c>
      <x:c r="G112" s="10" t="str">
        <x:v>30 servings</x:v>
      </x:c>
      <x:c r="H112" s="10" t="str">
        <x:v>Sour Gummy Bear</x:v>
      </x:c>
      <x:c r="I112" s="10" t="str"/>
      <x:c r="J112" s="10" t="str">
        <x:v>Unit</x:v>
      </x:c>
      <x:c r="K112" s="10" t="str">
        <x:v>In stock</x:v>
      </x:c>
      <x:c r="L112" s="10" t="str">
        <x:v>2026-09-08</x:v>
      </x:c>
      <x:c r="M112" s="10" t="str"/>
      <x:c r="N112" s="10" t="str"/>
      <x:c r="O112" s="10" t="str">
        <x:v>https://www.activesportstrade.co.uk/applied-nutrition-trade</x:v>
      </x:c>
      <x:c r="P112" s="10" t="str">
        <x:v>Free shaker/T-shirt supplier promo ignored.</x:v>
      </x:c>
      <x:c r="S112" t="str">
        <x:v>Pending genuine supplier/brand image</x:v>
      </x:c>
      <x:c r="T112" s="54"/>
      <x:c r="U112" s="47" t="n">
        <x:v>0.2</x:v>
      </x:c>
      <x:c r="V112" s="54" t="str">
        <x:f>IF(ISNUMBER(T112),T112*(1+U112),"")</x:f>
      </x:c>
      <x:c r="W112" s="47" t="n">
        <x:v>0.3</x:v>
      </x:c>
      <x:c r="X112" s="54" t="str">
        <x:f>IF(ISNUMBER(V112),V112/(1-W112),"")</x:f>
      </x:c>
      <x:c r="Y112" s="55" t="str">
        <x:f>IF(ISNUMBER(X112),ROUNDUP(X112,0),"")</x:f>
      </x:c>
      <x:c r="Z112" t="str">
        <x:f>IF(ISNUMBER(T112),"Cost captured","Awaiting trade cost")</x:f>
        <x:v>Awaiting trade cost</x:v>
      </x:c>
      <x:c r="AB112" s="36" t="str">
        <x:f>IF(ISNUMBER(Y112),ROUND(Y112*0.9,2),"")</x:f>
      </x:c>
      <x:c r="AC112" s="36" t="str">
        <x:f>IF(ISNUMBER(AB112),ROUND(AB112-(AB112*0.015+0.2)-V112,2),"")</x:f>
      </x:c>
      <x:c r="AD112" s="36" t="str">
        <x:f>IF(ISNUMBER(Y112),ROUND(Y112*0.8,2),"")</x:f>
      </x:c>
      <x:c r="AE112" s="36" t="str">
        <x:f>IF(ISNUMBER(AD112),ROUND(AD112*0.015+0.2,2),"")</x:f>
      </x:c>
      <x:c r="AF112" s="36" t="str">
        <x:f>IF(ISNUMBER(AD112),ROUND(AD112-AE112-V112,2),"")</x:f>
      </x:c>
      <x:c r="AG112" t="str">
        <x:f>IF(NOT(ISNUMBER(T112)),"PENDING",IF(AF112&gt;0,"PASS","FAIL"))</x:f>
        <x:v>PENDING</x:v>
      </x:c>
      <x:c r="AH112" t="str">
        <x:f>IF(NOT(ISNUMBER(T112)),"Needs supplier cost",IF(K112&lt;&gt;"In stock","Supplier unavailable",IF(AG112&lt;&gt;"PASS","BLOCK - GT loss risk","Commercially protected")))</x:f>
        <x:v>Needs supplier cost</x:v>
      </x:c>
      <x:c r="AI112" t="str">
        <x:v>2026-09-10 Active Sports trade capture</x:v>
      </x:c>
      <x:c r="AJ112" t="str">
        <x:v>Management-only economics. Stripe stress test uses 1.5% + £0.20 standard UK online-card fee; pallet/mix-and-match pricing ignored.</x:v>
      </x:c>
    </x:row>
    <x:row r="113">
      <x:c r="A113" s="10" t="str">
        <x:v>Active Sports Nutrition</x:v>
      </x:c>
      <x:c r="B113" s="10" t="str">
        <x:v>Applied Nutrition</x:v>
      </x:c>
      <x:c r="C113" s="10" t="str">
        <x:v>ABE Pre Workout</x:v>
      </x:c>
      <x:c r="D113" s="10" t="str">
        <x:v>Pre Workouts</x:v>
      </x:c>
      <x:c r="E113" s="10" t="str">
        <x:v>Pre Workout Powders</x:v>
      </x:c>
      <x:c r="F113" s="10" t="str">
        <x:v>Pre-workout performance formula.</x:v>
      </x:c>
      <x:c r="G113" s="10" t="str">
        <x:v>30 servings</x:v>
      </x:c>
      <x:c r="H113" s="10" t="str">
        <x:v>Strawberry Mojito</x:v>
      </x:c>
      <x:c r="I113" s="10" t="str"/>
      <x:c r="J113" s="10" t="str">
        <x:v>Unit</x:v>
      </x:c>
      <x:c r="K113" s="10" t="str">
        <x:v>In stock</x:v>
      </x:c>
      <x:c r="L113" s="10" t="str">
        <x:v>2026-09-08</x:v>
      </x:c>
      <x:c r="M113" s="10" t="str"/>
      <x:c r="N113" s="10" t="str"/>
      <x:c r="O113" s="10" t="str">
        <x:v>https://www.activesportstrade.co.uk/applied-nutrition-trade</x:v>
      </x:c>
      <x:c r="P113" s="10" t="str">
        <x:v>Free shaker/T-shirt supplier promo ignored.</x:v>
      </x:c>
      <x:c r="S113" t="str">
        <x:v>Pending genuine supplier/brand image</x:v>
      </x:c>
      <x:c r="T113" s="54"/>
      <x:c r="U113" s="47" t="n">
        <x:v>0.2</x:v>
      </x:c>
      <x:c r="V113" s="54" t="str">
        <x:f>IF(ISNUMBER(T113),T113*(1+U113),"")</x:f>
      </x:c>
      <x:c r="W113" s="47" t="n">
        <x:v>0.3</x:v>
      </x:c>
      <x:c r="X113" s="54" t="str">
        <x:f>IF(ISNUMBER(V113),V113/(1-W113),"")</x:f>
      </x:c>
      <x:c r="Y113" s="55" t="str">
        <x:f>IF(ISNUMBER(X113),ROUNDUP(X113,0),"")</x:f>
      </x:c>
      <x:c r="Z113" t="str">
        <x:f>IF(ISNUMBER(T113),"Cost captured","Awaiting trade cost")</x:f>
        <x:v>Awaiting trade cost</x:v>
      </x:c>
      <x:c r="AB113" s="36" t="str">
        <x:f>IF(ISNUMBER(Y113),ROUND(Y113*0.9,2),"")</x:f>
      </x:c>
      <x:c r="AC113" s="36" t="str">
        <x:f>IF(ISNUMBER(AB113),ROUND(AB113-(AB113*0.015+0.2)-V113,2),"")</x:f>
      </x:c>
      <x:c r="AD113" s="36" t="str">
        <x:f>IF(ISNUMBER(Y113),ROUND(Y113*0.8,2),"")</x:f>
      </x:c>
      <x:c r="AE113" s="36" t="str">
        <x:f>IF(ISNUMBER(AD113),ROUND(AD113*0.015+0.2,2),"")</x:f>
      </x:c>
      <x:c r="AF113" s="36" t="str">
        <x:f>IF(ISNUMBER(AD113),ROUND(AD113-AE113-V113,2),"")</x:f>
      </x:c>
      <x:c r="AG113" t="str">
        <x:f>IF(NOT(ISNUMBER(T113)),"PENDING",IF(AF113&gt;0,"PASS","FAIL"))</x:f>
        <x:v>PENDING</x:v>
      </x:c>
      <x:c r="AH113" t="str">
        <x:f>IF(NOT(ISNUMBER(T113)),"Needs supplier cost",IF(K113&lt;&gt;"In stock","Supplier unavailable",IF(AG113&lt;&gt;"PASS","BLOCK - GT loss risk","Commercially protected")))</x:f>
        <x:v>Needs supplier cost</x:v>
      </x:c>
      <x:c r="AI113" t="str">
        <x:v>2026-09-10 Active Sports trade capture</x:v>
      </x:c>
      <x:c r="AJ113" t="str">
        <x:v>Management-only economics. Stripe stress test uses 1.5% + £0.20 standard UK online-card fee; pallet/mix-and-match pricing ignored.</x:v>
      </x:c>
    </x:row>
    <x:row r="114">
      <x:c r="A114" s="10" t="str">
        <x:v>Active Sports Nutrition</x:v>
      </x:c>
      <x:c r="B114" s="10" t="str">
        <x:v>Applied Nutrition</x:v>
      </x:c>
      <x:c r="C114" s="10" t="str">
        <x:v>ABE Pre Workout</x:v>
      </x:c>
      <x:c r="D114" s="10" t="str">
        <x:v>Pre Workouts</x:v>
      </x:c>
      <x:c r="E114" s="10" t="str">
        <x:v>Pre Workout Powders</x:v>
      </x:c>
      <x:c r="F114" s="10" t="str">
        <x:v>Pre-workout performance formula.</x:v>
      </x:c>
      <x:c r="G114" s="10" t="str">
        <x:v>30 servings</x:v>
      </x:c>
      <x:c r="H114" s="10" t="str">
        <x:v>Tropical</x:v>
      </x:c>
      <x:c r="I114" s="10" t="str"/>
      <x:c r="J114" s="10" t="str">
        <x:v>Unit</x:v>
      </x:c>
      <x:c r="K114" s="10" t="str">
        <x:v>In stock</x:v>
      </x:c>
      <x:c r="L114" s="10" t="str">
        <x:v>2026-09-08</x:v>
      </x:c>
      <x:c r="M114" s="10" t="str"/>
      <x:c r="N114" s="10" t="str"/>
      <x:c r="O114" s="10" t="str">
        <x:v>https://www.activesportstrade.co.uk/applied-nutrition-trade</x:v>
      </x:c>
      <x:c r="P114" s="10" t="str">
        <x:v>Free shaker/T-shirt supplier promo ignored.</x:v>
      </x:c>
      <x:c r="S114" t="str">
        <x:v>Pending genuine supplier/brand image</x:v>
      </x:c>
      <x:c r="T114" s="54"/>
      <x:c r="U114" s="47" t="n">
        <x:v>0.2</x:v>
      </x:c>
      <x:c r="V114" s="54" t="str">
        <x:f>IF(ISNUMBER(T114),T114*(1+U114),"")</x:f>
      </x:c>
      <x:c r="W114" s="47" t="n">
        <x:v>0.3</x:v>
      </x:c>
      <x:c r="X114" s="54" t="str">
        <x:f>IF(ISNUMBER(V114),V114/(1-W114),"")</x:f>
      </x:c>
      <x:c r="Y114" s="55" t="str">
        <x:f>IF(ISNUMBER(X114),ROUNDUP(X114,0),"")</x:f>
      </x:c>
      <x:c r="Z114" t="str">
        <x:f>IF(ISNUMBER(T114),"Cost captured","Awaiting trade cost")</x:f>
        <x:v>Awaiting trade cost</x:v>
      </x:c>
      <x:c r="AB114" s="36" t="str">
        <x:f>IF(ISNUMBER(Y114),ROUND(Y114*0.9,2),"")</x:f>
      </x:c>
      <x:c r="AC114" s="36" t="str">
        <x:f>IF(ISNUMBER(AB114),ROUND(AB114-(AB114*0.015+0.2)-V114,2),"")</x:f>
      </x:c>
      <x:c r="AD114" s="36" t="str">
        <x:f>IF(ISNUMBER(Y114),ROUND(Y114*0.8,2),"")</x:f>
      </x:c>
      <x:c r="AE114" s="36" t="str">
        <x:f>IF(ISNUMBER(AD114),ROUND(AD114*0.015+0.2,2),"")</x:f>
      </x:c>
      <x:c r="AF114" s="36" t="str">
        <x:f>IF(ISNUMBER(AD114),ROUND(AD114-AE114-V114,2),"")</x:f>
      </x:c>
      <x:c r="AG114" t="str">
        <x:f>IF(NOT(ISNUMBER(T114)),"PENDING",IF(AF114&gt;0,"PASS","FAIL"))</x:f>
        <x:v>PENDING</x:v>
      </x:c>
      <x:c r="AH114" t="str">
        <x:f>IF(NOT(ISNUMBER(T114)),"Needs supplier cost",IF(K114&lt;&gt;"In stock","Supplier unavailable",IF(AG114&lt;&gt;"PASS","BLOCK - GT loss risk","Commercially protected")))</x:f>
        <x:v>Needs supplier cost</x:v>
      </x:c>
      <x:c r="AI114" t="str">
        <x:v>2026-09-10 Active Sports trade capture</x:v>
      </x:c>
      <x:c r="AJ114" t="str">
        <x:v>Management-only economics. Stripe stress test uses 1.5% + £0.20 standard UK online-card fee; pallet/mix-and-match pricing ignored.</x:v>
      </x:c>
    </x:row>
    <x:row r="115">
      <x:c r="A115" s="10" t="str">
        <x:v>Active Sports Nutrition</x:v>
      </x:c>
      <x:c r="B115" s="10" t="str">
        <x:v>Applied Nutrition</x:v>
      </x:c>
      <x:c r="C115" s="10" t="str">
        <x:v>ABE Pre Workout</x:v>
      </x:c>
      <x:c r="D115" s="10" t="str">
        <x:v>Pre Workouts</x:v>
      </x:c>
      <x:c r="E115" s="10" t="str">
        <x:v>Pre Workout Powders</x:v>
      </x:c>
      <x:c r="F115" s="10" t="str">
        <x:v>Pre-workout performance formula.</x:v>
      </x:c>
      <x:c r="G115" s="10" t="str">
        <x:v>30 servings</x:v>
      </x:c>
      <x:c r="H115" s="10" t="str">
        <x:v>White</x:v>
      </x:c>
      <x:c r="I115" s="10" t="str"/>
      <x:c r="J115" s="10" t="str">
        <x:v>Unit</x:v>
      </x:c>
      <x:c r="K115" s="10" t="str">
        <x:v>In stock</x:v>
      </x:c>
      <x:c r="L115" s="10" t="str">
        <x:v>2026-09-08</x:v>
      </x:c>
      <x:c r="M115" s="10" t="str"/>
      <x:c r="N115" s="10" t="str"/>
      <x:c r="O115" s="10" t="str">
        <x:v>https://www.activesportstrade.co.uk/applied-nutrition-trade</x:v>
      </x:c>
      <x:c r="P115" s="10" t="str">
        <x:v>Free shaker/T-shirt supplier promo ignored.</x:v>
      </x:c>
      <x:c r="S115" t="str">
        <x:v>Pending genuine supplier/brand image</x:v>
      </x:c>
      <x:c r="T115" s="54"/>
      <x:c r="U115" s="47" t="n">
        <x:v>0.2</x:v>
      </x:c>
      <x:c r="V115" s="54" t="str">
        <x:f>IF(ISNUMBER(T115),T115*(1+U115),"")</x:f>
      </x:c>
      <x:c r="W115" s="47" t="n">
        <x:v>0.3</x:v>
      </x:c>
      <x:c r="X115" s="54" t="str">
        <x:f>IF(ISNUMBER(V115),V115/(1-W115),"")</x:f>
      </x:c>
      <x:c r="Y115" s="55" t="str">
        <x:f>IF(ISNUMBER(X115),ROUNDUP(X115,0),"")</x:f>
      </x:c>
      <x:c r="Z115" t="str">
        <x:f>IF(ISNUMBER(T115),"Cost captured","Awaiting trade cost")</x:f>
        <x:v>Awaiting trade cost</x:v>
      </x:c>
      <x:c r="AB115" s="36" t="str">
        <x:f>IF(ISNUMBER(Y115),ROUND(Y115*0.9,2),"")</x:f>
      </x:c>
      <x:c r="AC115" s="36" t="str">
        <x:f>IF(ISNUMBER(AB115),ROUND(AB115-(AB115*0.015+0.2)-V115,2),"")</x:f>
      </x:c>
      <x:c r="AD115" s="36" t="str">
        <x:f>IF(ISNUMBER(Y115),ROUND(Y115*0.8,2),"")</x:f>
      </x:c>
      <x:c r="AE115" s="36" t="str">
        <x:f>IF(ISNUMBER(AD115),ROUND(AD115*0.015+0.2,2),"")</x:f>
      </x:c>
      <x:c r="AF115" s="36" t="str">
        <x:f>IF(ISNUMBER(AD115),ROUND(AD115-AE115-V115,2),"")</x:f>
      </x:c>
      <x:c r="AG115" t="str">
        <x:f>IF(NOT(ISNUMBER(T115)),"PENDING",IF(AF115&gt;0,"PASS","FAIL"))</x:f>
        <x:v>PENDING</x:v>
      </x:c>
      <x:c r="AH115" t="str">
        <x:f>IF(NOT(ISNUMBER(T115)),"Needs supplier cost",IF(K115&lt;&gt;"In stock","Supplier unavailable",IF(AG115&lt;&gt;"PASS","BLOCK - GT loss risk","Commercially protected")))</x:f>
        <x:v>Needs supplier cost</x:v>
      </x:c>
      <x:c r="AI115" t="str">
        <x:v>2026-09-10 Active Sports trade capture</x:v>
      </x:c>
      <x:c r="AJ115" t="str">
        <x:v>Management-only economics. Stripe stress test uses 1.5% + £0.20 standard UK online-card fee; pallet/mix-and-match pricing ignored.</x:v>
      </x:c>
    </x:row>
    <x:row r="116">
      <x:c r="A116" s="10" t="str">
        <x:v>Active Sports Nutrition</x:v>
      </x:c>
      <x:c r="B116" s="10" t="str">
        <x:v>Applied Nutrition</x:v>
      </x:c>
      <x:c r="C116" s="10" t="str">
        <x:v>ABE Pre Workout</x:v>
      </x:c>
      <x:c r="D116" s="10" t="str">
        <x:v>Pre Workouts</x:v>
      </x:c>
      <x:c r="E116" s="10" t="str">
        <x:v>Pre Workout Powders</x:v>
      </x:c>
      <x:c r="F116" s="10" t="str">
        <x:v>Pre-workout performance formula.</x:v>
      </x:c>
      <x:c r="G116" s="10" t="str">
        <x:v>12.5g single serving sachet</x:v>
      </x:c>
      <x:c r="H116" s="10" t="str">
        <x:v>Candy Ice Blast</x:v>
      </x:c>
      <x:c r="I116" s="10" t="str"/>
      <x:c r="J116" s="10" t="str">
        <x:v>Unit</x:v>
      </x:c>
      <x:c r="K116" s="10" t="str">
        <x:v>In stock</x:v>
      </x:c>
      <x:c r="L116" s="10" t="str">
        <x:v>2026-09-08</x:v>
      </x:c>
      <x:c r="M116" s="10" t="str"/>
      <x:c r="N116" s="10" t="str"/>
      <x:c r="O116" s="10" t="str">
        <x:v>https://www.activesportstrade.co.uk/applied-nutrition-trade</x:v>
      </x:c>
      <x:c r="P116" s="10" t="str"/>
      <x:c r="S116" t="str">
        <x:v>Pending genuine supplier/brand image</x:v>
      </x:c>
      <x:c r="T116" s="54" t="n">
        <x:v>0.42</x:v>
      </x:c>
      <x:c r="U116" s="47" t="n">
        <x:v>0.2</x:v>
      </x:c>
      <x:c r="V116" s="54" t="n">
        <x:f>IF(ISNUMBER(T116),T116*(1+U116),"")</x:f>
        <x:v>0.504</x:v>
      </x:c>
      <x:c r="W116" s="47" t="n">
        <x:v>0.3</x:v>
      </x:c>
      <x:c r="X116" s="54" t="n">
        <x:f>IF(ISNUMBER(V116),V116/(1-W116),"")</x:f>
        <x:v>0.7200000000000001</x:v>
      </x:c>
      <x:c r="Y116" s="55" t="n">
        <x:f>IF(ISNUMBER(X116),ROUNDUP(X116,0),"")</x:f>
        <x:v>1</x:v>
      </x:c>
      <x:c r="Z116" t="str">
        <x:v>Source match pending</x:v>
      </x:c>
      <x:c r="AA116" t="str">
        <x:v>screencapture-www-activesportstrade-co-uk-applied-nutrition-trade-2026-09-10-08_59_59.pdf / page-01</x:v>
      </x:c>
      <x:c r="AB116" s="36" t="n">
        <x:f>IF(ISNUMBER(Y116),ROUND(Y116*0.9,2),"")</x:f>
        <x:v>0.9</x:v>
      </x:c>
      <x:c r="AC116" s="36" t="n">
        <x:f>IF(ISNUMBER(AB116),ROUND(AB116-(AB116*0.015+0.2)-V116,2),"")</x:f>
        <x:v>0.18</x:v>
      </x:c>
      <x:c r="AD116" s="36" t="n">
        <x:f>IF(ISNUMBER(Y116),ROUND(Y116*0.8,2),"")</x:f>
        <x:v>0.8</x:v>
      </x:c>
      <x:c r="AE116" s="36" t="n">
        <x:f>IF(ISNUMBER(AD116),ROUND(AD116*0.015+0.2,2),"")</x:f>
        <x:v>0.21</x:v>
      </x:c>
      <x:c r="AF116" s="36" t="n">
        <x:f>IF(ISNUMBER(AD116),ROUND(AD116-AE116-V116,2),"")</x:f>
        <x:v>0.09</x:v>
      </x:c>
      <x:c r="AG116" t="str">
        <x:f>IF(NOT(ISNUMBER(T116)),"PENDING",IF(AF116&gt;0,"PASS","FAIL"))</x:f>
        <x:v>PASS</x:v>
      </x:c>
      <x:c r="AH116" t="str">
        <x:f>IF(NOT(ISNUMBER(T116)),"Needs supplier cost",IF(K116&lt;&gt;"In stock","Supplier unavailable",IF(AG116&lt;&gt;"PASS","BLOCK - GT loss risk","Commercially protected")))</x:f>
        <x:v>Commercially protected</x:v>
      </x:c>
      <x:c r="AI116" t="str">
        <x:v>2026-09-10 Active Sports trade capture</x:v>
      </x:c>
      <x:c r="AJ116" t="str">
        <x:v>Management-only economics. Stripe stress test uses 1.5% + £0.20 standard UK online-card fee; pallet/mix-and-match pricing ignored.</x:v>
      </x:c>
    </x:row>
    <x:row r="117">
      <x:c r="A117" s="10" t="str">
        <x:v>Active Sports Nutrition</x:v>
      </x:c>
      <x:c r="B117" s="10" t="str">
        <x:v>Applied Nutrition</x:v>
      </x:c>
      <x:c r="C117" s="10" t="str">
        <x:v>ABE Pre Workout</x:v>
      </x:c>
      <x:c r="D117" s="10" t="str">
        <x:v>Pre Workouts</x:v>
      </x:c>
      <x:c r="E117" s="10" t="str">
        <x:v>Pre Workout Powders</x:v>
      </x:c>
      <x:c r="F117" s="10" t="str">
        <x:v>Pre-workout performance formula.</x:v>
      </x:c>
      <x:c r="G117" s="10" t="str">
        <x:v>12.5g single serving sachet</x:v>
      </x:c>
      <x:c r="H117" s="10" t="str">
        <x:v>Cherry Cola</x:v>
      </x:c>
      <x:c r="I117" s="10" t="str"/>
      <x:c r="J117" s="10" t="str">
        <x:v>Unit</x:v>
      </x:c>
      <x:c r="K117" s="10" t="str">
        <x:v>In stock</x:v>
      </x:c>
      <x:c r="L117" s="10" t="str">
        <x:v>2026-09-08</x:v>
      </x:c>
      <x:c r="M117" s="10" t="str"/>
      <x:c r="N117" s="10" t="str"/>
      <x:c r="O117" s="10" t="str">
        <x:v>https://www.activesportstrade.co.uk/applied-nutrition-trade</x:v>
      </x:c>
      <x:c r="P117" s="10" t="str"/>
      <x:c r="S117" t="str">
        <x:v>Pending genuine supplier/brand image</x:v>
      </x:c>
      <x:c r="T117" s="54" t="n">
        <x:v>0.42</x:v>
      </x:c>
      <x:c r="U117" s="47" t="n">
        <x:v>0.2</x:v>
      </x:c>
      <x:c r="V117" s="54" t="n">
        <x:f>IF(ISNUMBER(T117),T117*(1+U117),"")</x:f>
        <x:v>0.504</x:v>
      </x:c>
      <x:c r="W117" s="47" t="n">
        <x:v>0.3</x:v>
      </x:c>
      <x:c r="X117" s="54" t="n">
        <x:f>IF(ISNUMBER(V117),V117/(1-W117),"")</x:f>
        <x:v>0.7200000000000001</x:v>
      </x:c>
      <x:c r="Y117" s="55" t="n">
        <x:f>IF(ISNUMBER(X117),ROUNDUP(X117,0),"")</x:f>
        <x:v>1</x:v>
      </x:c>
      <x:c r="Z117" t="str">
        <x:v>Source match pending</x:v>
      </x:c>
      <x:c r="AA117" t="str">
        <x:v>screencapture-www-activesportstrade-co-uk-applied-nutrition-trade-2026-09-10-08_59_59.pdf / page-01</x:v>
      </x:c>
      <x:c r="AB117" s="36" t="n">
        <x:f>IF(ISNUMBER(Y117),ROUND(Y117*0.9,2),"")</x:f>
        <x:v>0.9</x:v>
      </x:c>
      <x:c r="AC117" s="36" t="n">
        <x:f>IF(ISNUMBER(AB117),ROUND(AB117-(AB117*0.015+0.2)-V117,2),"")</x:f>
        <x:v>0.18</x:v>
      </x:c>
      <x:c r="AD117" s="36" t="n">
        <x:f>IF(ISNUMBER(Y117),ROUND(Y117*0.8,2),"")</x:f>
        <x:v>0.8</x:v>
      </x:c>
      <x:c r="AE117" s="36" t="n">
        <x:f>IF(ISNUMBER(AD117),ROUND(AD117*0.015+0.2,2),"")</x:f>
        <x:v>0.21</x:v>
      </x:c>
      <x:c r="AF117" s="36" t="n">
        <x:f>IF(ISNUMBER(AD117),ROUND(AD117-AE117-V117,2),"")</x:f>
        <x:v>0.09</x:v>
      </x:c>
      <x:c r="AG117" t="str">
        <x:f>IF(NOT(ISNUMBER(T117)),"PENDING",IF(AF117&gt;0,"PASS","FAIL"))</x:f>
        <x:v>PASS</x:v>
      </x:c>
      <x:c r="AH117" t="str">
        <x:f>IF(NOT(ISNUMBER(T117)),"Needs supplier cost",IF(K117&lt;&gt;"In stock","Supplier unavailable",IF(AG117&lt;&gt;"PASS","BLOCK - GT loss risk","Commercially protected")))</x:f>
        <x:v>Commercially protected</x:v>
      </x:c>
      <x:c r="AI117" t="str">
        <x:v>2026-09-10 Active Sports trade capture</x:v>
      </x:c>
      <x:c r="AJ117" t="str">
        <x:v>Management-only economics. Stripe stress test uses 1.5% + £0.20 standard UK online-card fee; pallet/mix-and-match pricing ignored.</x:v>
      </x:c>
    </x:row>
    <x:row r="118">
      <x:c r="A118" s="10" t="str">
        <x:v>Active Sports Nutrition</x:v>
      </x:c>
      <x:c r="B118" s="10" t="str">
        <x:v>Applied Nutrition</x:v>
      </x:c>
      <x:c r="C118" s="10" t="str">
        <x:v>ABE Pre Workout</x:v>
      </x:c>
      <x:c r="D118" s="10" t="str">
        <x:v>Pre Workouts</x:v>
      </x:c>
      <x:c r="E118" s="10" t="str">
        <x:v>Pre Workout Powders</x:v>
      </x:c>
      <x:c r="F118" s="10" t="str">
        <x:v>Pre-workout performance formula.</x:v>
      </x:c>
      <x:c r="G118" s="10" t="str">
        <x:v>12.5g single serving sachet</x:v>
      </x:c>
      <x:c r="H118" s="10" t="str">
        <x:v>Cool Watermelon</x:v>
      </x:c>
      <x:c r="I118" s="10" t="str"/>
      <x:c r="J118" s="10" t="str">
        <x:v>Unit</x:v>
      </x:c>
      <x:c r="K118" s="10" t="str">
        <x:v>In stock</x:v>
      </x:c>
      <x:c r="L118" s="10" t="str">
        <x:v>2026-09-08</x:v>
      </x:c>
      <x:c r="M118" s="10" t="str"/>
      <x:c r="N118" s="10" t="str"/>
      <x:c r="O118" s="10" t="str">
        <x:v>https://www.activesportstrade.co.uk/applied-nutrition-trade</x:v>
      </x:c>
      <x:c r="P118" s="10" t="str"/>
      <x:c r="S118" t="str">
        <x:v>Pending genuine supplier/brand image</x:v>
      </x:c>
      <x:c r="T118" s="54" t="n">
        <x:v>0.42</x:v>
      </x:c>
      <x:c r="U118" s="47" t="n">
        <x:v>0.2</x:v>
      </x:c>
      <x:c r="V118" s="54" t="n">
        <x:f>IF(ISNUMBER(T118),T118*(1+U118),"")</x:f>
        <x:v>0.504</x:v>
      </x:c>
      <x:c r="W118" s="47" t="n">
        <x:v>0.3</x:v>
      </x:c>
      <x:c r="X118" s="54" t="n">
        <x:f>IF(ISNUMBER(V118),V118/(1-W118),"")</x:f>
        <x:v>0.7200000000000001</x:v>
      </x:c>
      <x:c r="Y118" s="55" t="n">
        <x:f>IF(ISNUMBER(X118),ROUNDUP(X118,0),"")</x:f>
        <x:v>1</x:v>
      </x:c>
      <x:c r="Z118" t="str">
        <x:v>Source match pending</x:v>
      </x:c>
      <x:c r="AA118" t="str">
        <x:v>screencapture-www-activesportstrade-co-uk-applied-nutrition-trade-2026-09-10-08_59_59.pdf / page-01</x:v>
      </x:c>
      <x:c r="AB118" s="36" t="n">
        <x:f>IF(ISNUMBER(Y118),ROUND(Y118*0.9,2),"")</x:f>
        <x:v>0.9</x:v>
      </x:c>
      <x:c r="AC118" s="36" t="n">
        <x:f>IF(ISNUMBER(AB118),ROUND(AB118-(AB118*0.015+0.2)-V118,2),"")</x:f>
        <x:v>0.18</x:v>
      </x:c>
      <x:c r="AD118" s="36" t="n">
        <x:f>IF(ISNUMBER(Y118),ROUND(Y118*0.8,2),"")</x:f>
        <x:v>0.8</x:v>
      </x:c>
      <x:c r="AE118" s="36" t="n">
        <x:f>IF(ISNUMBER(AD118),ROUND(AD118*0.015+0.2,2),"")</x:f>
        <x:v>0.21</x:v>
      </x:c>
      <x:c r="AF118" s="36" t="n">
        <x:f>IF(ISNUMBER(AD118),ROUND(AD118-AE118-V118,2),"")</x:f>
        <x:v>0.09</x:v>
      </x:c>
      <x:c r="AG118" t="str">
        <x:f>IF(NOT(ISNUMBER(T118)),"PENDING",IF(AF118&gt;0,"PASS","FAIL"))</x:f>
        <x:v>PASS</x:v>
      </x:c>
      <x:c r="AH118" t="str">
        <x:f>IF(NOT(ISNUMBER(T118)),"Needs supplier cost",IF(K118&lt;&gt;"In stock","Supplier unavailable",IF(AG118&lt;&gt;"PASS","BLOCK - GT loss risk","Commercially protected")))</x:f>
        <x:v>Commercially protected</x:v>
      </x:c>
      <x:c r="AI118" t="str">
        <x:v>2026-09-10 Active Sports trade capture</x:v>
      </x:c>
      <x:c r="AJ118" t="str">
        <x:v>Management-only economics. Stripe stress test uses 1.5% + £0.20 standard UK online-card fee; pallet/mix-and-match pricing ignored.</x:v>
      </x:c>
    </x:row>
    <x:row r="119">
      <x:c r="A119" s="10" t="str">
        <x:v>Active Sports Nutrition</x:v>
      </x:c>
      <x:c r="B119" s="10" t="str">
        <x:v>Applied Nutrition</x:v>
      </x:c>
      <x:c r="C119" s="10" t="str">
        <x:v>ABE Pre Workout</x:v>
      </x:c>
      <x:c r="D119" s="10" t="str">
        <x:v>Pre Workouts</x:v>
      </x:c>
      <x:c r="E119" s="10" t="str">
        <x:v>Pre Workout Powders</x:v>
      </x:c>
      <x:c r="F119" s="10" t="str">
        <x:v>Pre-workout performance formula.</x:v>
      </x:c>
      <x:c r="G119" s="10" t="str">
        <x:v>12.5g single serving sachet</x:v>
      </x:c>
      <x:c r="H119" s="10" t="str">
        <x:v>Energy Flavour</x:v>
      </x:c>
      <x:c r="I119" s="10" t="str"/>
      <x:c r="J119" s="10" t="str">
        <x:v>Unit</x:v>
      </x:c>
      <x:c r="K119" s="10" t="str">
        <x:v>In stock</x:v>
      </x:c>
      <x:c r="L119" s="10" t="str">
        <x:v>2026-09-08</x:v>
      </x:c>
      <x:c r="M119" s="10" t="str"/>
      <x:c r="N119" s="10" t="str"/>
      <x:c r="O119" s="10" t="str">
        <x:v>https://www.activesportstrade.co.uk/applied-nutrition-trade</x:v>
      </x:c>
      <x:c r="P119" s="10" t="str"/>
      <x:c r="S119" t="str">
        <x:v>Pending genuine supplier/brand image</x:v>
      </x:c>
      <x:c r="T119" s="54" t="n">
        <x:v>0.42</x:v>
      </x:c>
      <x:c r="U119" s="47" t="n">
        <x:v>0.2</x:v>
      </x:c>
      <x:c r="V119" s="54" t="n">
        <x:f>IF(ISNUMBER(T119),T119*(1+U119),"")</x:f>
        <x:v>0.504</x:v>
      </x:c>
      <x:c r="W119" s="47" t="n">
        <x:v>0.3</x:v>
      </x:c>
      <x:c r="X119" s="54" t="n">
        <x:f>IF(ISNUMBER(V119),V119/(1-W119),"")</x:f>
        <x:v>0.7200000000000001</x:v>
      </x:c>
      <x:c r="Y119" s="55" t="n">
        <x:f>IF(ISNUMBER(X119),ROUNDUP(X119,0),"")</x:f>
        <x:v>1</x:v>
      </x:c>
      <x:c r="Z119" t="str">
        <x:v>Source match pending</x:v>
      </x:c>
      <x:c r="AA119" t="str">
        <x:v>screencapture-www-activesportstrade-co-uk-applied-nutrition-trade-2026-09-10-08_59_59.pdf / page-01</x:v>
      </x:c>
      <x:c r="AB119" s="36" t="n">
        <x:f>IF(ISNUMBER(Y119),ROUND(Y119*0.9,2),"")</x:f>
        <x:v>0.9</x:v>
      </x:c>
      <x:c r="AC119" s="36" t="n">
        <x:f>IF(ISNUMBER(AB119),ROUND(AB119-(AB119*0.015+0.2)-V119,2),"")</x:f>
        <x:v>0.18</x:v>
      </x:c>
      <x:c r="AD119" s="36" t="n">
        <x:f>IF(ISNUMBER(Y119),ROUND(Y119*0.8,2),"")</x:f>
        <x:v>0.8</x:v>
      </x:c>
      <x:c r="AE119" s="36" t="n">
        <x:f>IF(ISNUMBER(AD119),ROUND(AD119*0.015+0.2,2),"")</x:f>
        <x:v>0.21</x:v>
      </x:c>
      <x:c r="AF119" s="36" t="n">
        <x:f>IF(ISNUMBER(AD119),ROUND(AD119-AE119-V119,2),"")</x:f>
        <x:v>0.09</x:v>
      </x:c>
      <x:c r="AG119" t="str">
        <x:f>IF(NOT(ISNUMBER(T119)),"PENDING",IF(AF119&gt;0,"PASS","FAIL"))</x:f>
        <x:v>PASS</x:v>
      </x:c>
      <x:c r="AH119" t="str">
        <x:f>IF(NOT(ISNUMBER(T119)),"Needs supplier cost",IF(K119&lt;&gt;"In stock","Supplier unavailable",IF(AG119&lt;&gt;"PASS","BLOCK - GT loss risk","Commercially protected")))</x:f>
        <x:v>Commercially protected</x:v>
      </x:c>
      <x:c r="AI119" t="str">
        <x:v>2026-09-10 Active Sports trade capture</x:v>
      </x:c>
      <x:c r="AJ119" t="str">
        <x:v>Management-only economics. Stripe stress test uses 1.5% + £0.20 standard UK online-card fee; pallet/mix-and-match pricing ignored.</x:v>
      </x:c>
    </x:row>
    <x:row r="120">
      <x:c r="A120" s="10" t="str">
        <x:v>Active Sports Nutrition</x:v>
      </x:c>
      <x:c r="B120" s="10" t="str">
        <x:v>Applied Nutrition</x:v>
      </x:c>
      <x:c r="C120" s="10" t="str">
        <x:v>ABE Pre Workout</x:v>
      </x:c>
      <x:c r="D120" s="10" t="str">
        <x:v>Pre Workouts</x:v>
      </x:c>
      <x:c r="E120" s="10" t="str">
        <x:v>Pre Workout Powders</x:v>
      </x:c>
      <x:c r="F120" s="10" t="str">
        <x:v>Pre-workout performance formula.</x:v>
      </x:c>
      <x:c r="G120" s="10" t="str">
        <x:v>12.5g single serving sachet</x:v>
      </x:c>
      <x:c r="H120" s="10" t="str">
        <x:v>Icy Blue Raz</x:v>
      </x:c>
      <x:c r="I120" s="10" t="str"/>
      <x:c r="J120" s="10" t="str">
        <x:v>Unit</x:v>
      </x:c>
      <x:c r="K120" s="10" t="str">
        <x:v>In stock</x:v>
      </x:c>
      <x:c r="L120" s="10" t="str">
        <x:v>2026-09-08</x:v>
      </x:c>
      <x:c r="M120" s="10" t="str"/>
      <x:c r="N120" s="10" t="str"/>
      <x:c r="O120" s="10" t="str">
        <x:v>https://www.activesportstrade.co.uk/applied-nutrition-trade</x:v>
      </x:c>
      <x:c r="P120" s="10" t="str"/>
      <x:c r="S120" t="str">
        <x:v>Pending genuine supplier/brand image</x:v>
      </x:c>
      <x:c r="T120" s="54" t="n">
        <x:v>0.42</x:v>
      </x:c>
      <x:c r="U120" s="47" t="n">
        <x:v>0.2</x:v>
      </x:c>
      <x:c r="V120" s="54" t="n">
        <x:f>IF(ISNUMBER(T120),T120*(1+U120),"")</x:f>
        <x:v>0.504</x:v>
      </x:c>
      <x:c r="W120" s="47" t="n">
        <x:v>0.3</x:v>
      </x:c>
      <x:c r="X120" s="54" t="n">
        <x:f>IF(ISNUMBER(V120),V120/(1-W120),"")</x:f>
        <x:v>0.7200000000000001</x:v>
      </x:c>
      <x:c r="Y120" s="55" t="n">
        <x:f>IF(ISNUMBER(X120),ROUNDUP(X120,0),"")</x:f>
        <x:v>1</x:v>
      </x:c>
      <x:c r="Z120" t="str">
        <x:v>Source match pending</x:v>
      </x:c>
      <x:c r="AA120" t="str">
        <x:v>screencapture-www-activesportstrade-co-uk-applied-nutrition-trade-2026-09-10-08_59_59.pdf / page-01</x:v>
      </x:c>
      <x:c r="AB120" s="36" t="n">
        <x:f>IF(ISNUMBER(Y120),ROUND(Y120*0.9,2),"")</x:f>
        <x:v>0.9</x:v>
      </x:c>
      <x:c r="AC120" s="36" t="n">
        <x:f>IF(ISNUMBER(AB120),ROUND(AB120-(AB120*0.015+0.2)-V120,2),"")</x:f>
        <x:v>0.18</x:v>
      </x:c>
      <x:c r="AD120" s="36" t="n">
        <x:f>IF(ISNUMBER(Y120),ROUND(Y120*0.8,2),"")</x:f>
        <x:v>0.8</x:v>
      </x:c>
      <x:c r="AE120" s="36" t="n">
        <x:f>IF(ISNUMBER(AD120),ROUND(AD120*0.015+0.2,2),"")</x:f>
        <x:v>0.21</x:v>
      </x:c>
      <x:c r="AF120" s="36" t="n">
        <x:f>IF(ISNUMBER(AD120),ROUND(AD120-AE120-V120,2),"")</x:f>
        <x:v>0.09</x:v>
      </x:c>
      <x:c r="AG120" t="str">
        <x:f>IF(NOT(ISNUMBER(T120)),"PENDING",IF(AF120&gt;0,"PASS","FAIL"))</x:f>
        <x:v>PASS</x:v>
      </x:c>
      <x:c r="AH120" t="str">
        <x:f>IF(NOT(ISNUMBER(T120)),"Needs supplier cost",IF(K120&lt;&gt;"In stock","Supplier unavailable",IF(AG120&lt;&gt;"PASS","BLOCK - GT loss risk","Commercially protected")))</x:f>
        <x:v>Commercially protected</x:v>
      </x:c>
      <x:c r="AI120" t="str">
        <x:v>2026-09-10 Active Sports trade capture</x:v>
      </x:c>
      <x:c r="AJ120" t="str">
        <x:v>Management-only economics. Stripe stress test uses 1.5% + £0.20 standard UK online-card fee; pallet/mix-and-match pricing ignored.</x:v>
      </x:c>
    </x:row>
    <x:row r="121">
      <x:c r="A121" s="10" t="str">
        <x:v>Active Sports Nutrition</x:v>
      </x:c>
      <x:c r="B121" s="10" t="str">
        <x:v>Applied Nutrition</x:v>
      </x:c>
      <x:c r="C121" s="10" t="str">
        <x:v>ABE Pump</x:v>
      </x:c>
      <x:c r="D121" s="10" t="str">
        <x:v>Pre Workouts</x:v>
      </x:c>
      <x:c r="E121" s="10" t="str">
        <x:v>Stim FREE</x:v>
      </x:c>
      <x:c r="F121" s="10" t="str">
        <x:v>Stimulant-free pump formula.</x:v>
      </x:c>
      <x:c r="G121" s="10" t="str">
        <x:v>500g</x:v>
      </x:c>
      <x:c r="H121" s="10" t="str">
        <x:v>Blue Razz</x:v>
      </x:c>
      <x:c r="I121" s="10" t="str"/>
      <x:c r="J121" s="10" t="str">
        <x:v>Unit</x:v>
      </x:c>
      <x:c r="K121" s="10" t="str">
        <x:v>In stock</x:v>
      </x:c>
      <x:c r="L121" s="10" t="str">
        <x:v>2026-09-08</x:v>
      </x:c>
      <x:c r="M121" s="10" t="str"/>
      <x:c r="N121" s="10" t="str"/>
      <x:c r="O121" s="10" t="str">
        <x:v>https://www.activesportstrade.co.uk/applied-nutrition-trade</x:v>
      </x:c>
      <x:c r="P121" s="10" t="str"/>
      <x:c r="S121" t="str">
        <x:v>Pending genuine supplier/brand image</x:v>
      </x:c>
      <x:c r="T121" s="54" t="n">
        <x:v>19.99</x:v>
      </x:c>
      <x:c r="U121" s="47" t="n">
        <x:v>0.2</x:v>
      </x:c>
      <x:c r="V121" s="54" t="n">
        <x:f>IF(ISNUMBER(T121),T121*(1+U121),"")</x:f>
        <x:v>23.987999999999996</x:v>
      </x:c>
      <x:c r="W121" s="47" t="n">
        <x:v>0.3</x:v>
      </x:c>
      <x:c r="X121" s="54" t="n">
        <x:f>IF(ISNUMBER(V121),V121/(1-W121),"")</x:f>
        <x:v>34.26857142857143</x:v>
      </x:c>
      <x:c r="Y121" s="55" t="n">
        <x:f>IF(ISNUMBER(X121),ROUNDUP(X121,0),"")</x:f>
        <x:v>35</x:v>
      </x:c>
      <x:c r="Z121" t="str">
        <x:v>Source match pending</x:v>
      </x:c>
      <x:c r="AA121" t="str">
        <x:v>screencapture-www-activesportstrade-co-uk-applied-nutrition-trade-2026-09-10-08_59_59.pdf / page-02</x:v>
      </x:c>
      <x:c r="AB121" s="36" t="n">
        <x:f>IF(ISNUMBER(Y121),ROUND(Y121*0.9,2),"")</x:f>
        <x:v>31.5</x:v>
      </x:c>
      <x:c r="AC121" s="36" t="n">
        <x:f>IF(ISNUMBER(AB121),ROUND(AB121-(AB121*0.015+0.2)-V121,2),"")</x:f>
        <x:v>6.84</x:v>
      </x:c>
      <x:c r="AD121" s="36" t="n">
        <x:f>IF(ISNUMBER(Y121),ROUND(Y121*0.8,2),"")</x:f>
        <x:v>28</x:v>
      </x:c>
      <x:c r="AE121" s="36" t="n">
        <x:f>IF(ISNUMBER(AD121),ROUND(AD121*0.015+0.2,2),"")</x:f>
        <x:v>0.62</x:v>
      </x:c>
      <x:c r="AF121" s="36" t="n">
        <x:f>IF(ISNUMBER(AD121),ROUND(AD121-AE121-V121,2),"")</x:f>
        <x:v>3.39</x:v>
      </x:c>
      <x:c r="AG121" t="str">
        <x:f>IF(NOT(ISNUMBER(T121)),"PENDING",IF(AF121&gt;0,"PASS","FAIL"))</x:f>
        <x:v>PASS</x:v>
      </x:c>
      <x:c r="AH121" t="str">
        <x:f>IF(NOT(ISNUMBER(T121)),"Needs supplier cost",IF(K121&lt;&gt;"In stock","Supplier unavailable",IF(AG121&lt;&gt;"PASS","BLOCK - GT loss risk","Commercially protected")))</x:f>
        <x:v>Commercially protected</x:v>
      </x:c>
      <x:c r="AI121" t="str">
        <x:v>2026-09-10 Active Sports trade capture</x:v>
      </x:c>
      <x:c r="AJ121" t="str">
        <x:v>Management-only economics. Stripe stress test uses 1.5% + £0.20 standard UK online-card fee; pallet/mix-and-match pricing ignored.</x:v>
      </x:c>
    </x:row>
    <x:row r="122">
      <x:c r="A122" s="10" t="str">
        <x:v>Active Sports Nutrition</x:v>
      </x:c>
      <x:c r="B122" s="10" t="str">
        <x:v>Applied Nutrition</x:v>
      </x:c>
      <x:c r="C122" s="10" t="str">
        <x:v>ABE Pump</x:v>
      </x:c>
      <x:c r="D122" s="10" t="str">
        <x:v>Pre Workouts</x:v>
      </x:c>
      <x:c r="E122" s="10" t="str">
        <x:v>Stim FREE</x:v>
      </x:c>
      <x:c r="F122" s="10" t="str">
        <x:v>Stimulant-free pump formula.</x:v>
      </x:c>
      <x:c r="G122" s="10" t="str">
        <x:v>500g</x:v>
      </x:c>
      <x:c r="H122" s="10" t="str">
        <x:v>Red Hawaiian</x:v>
      </x:c>
      <x:c r="I122" s="10" t="str"/>
      <x:c r="J122" s="10" t="str">
        <x:v>Unit</x:v>
      </x:c>
      <x:c r="K122" s="10" t="str">
        <x:v>In stock</x:v>
      </x:c>
      <x:c r="L122" s="10" t="str">
        <x:v>2026-09-08</x:v>
      </x:c>
      <x:c r="M122" s="10" t="str"/>
      <x:c r="N122" s="10" t="str"/>
      <x:c r="O122" s="10" t="str">
        <x:v>https://www.activesportstrade.co.uk/applied-nutrition-trade</x:v>
      </x:c>
      <x:c r="P122" s="10" t="str"/>
      <x:c r="S122" t="str">
        <x:v>Pending genuine supplier/brand image</x:v>
      </x:c>
      <x:c r="T122" s="54" t="n">
        <x:v>19.99</x:v>
      </x:c>
      <x:c r="U122" s="47" t="n">
        <x:v>0.2</x:v>
      </x:c>
      <x:c r="V122" s="54" t="n">
        <x:f>IF(ISNUMBER(T122),T122*(1+U122),"")</x:f>
        <x:v>23.987999999999996</x:v>
      </x:c>
      <x:c r="W122" s="47" t="n">
        <x:v>0.3</x:v>
      </x:c>
      <x:c r="X122" s="54" t="n">
        <x:f>IF(ISNUMBER(V122),V122/(1-W122),"")</x:f>
        <x:v>34.26857142857143</x:v>
      </x:c>
      <x:c r="Y122" s="55" t="n">
        <x:f>IF(ISNUMBER(X122),ROUNDUP(X122,0),"")</x:f>
        <x:v>35</x:v>
      </x:c>
      <x:c r="Z122" t="str">
        <x:v>Source match pending</x:v>
      </x:c>
      <x:c r="AA122" t="str">
        <x:v>screencapture-www-activesportstrade-co-uk-applied-nutrition-trade-2026-09-10-08_59_59.pdf / page-02</x:v>
      </x:c>
      <x:c r="AB122" s="36" t="n">
        <x:f>IF(ISNUMBER(Y122),ROUND(Y122*0.9,2),"")</x:f>
        <x:v>31.5</x:v>
      </x:c>
      <x:c r="AC122" s="36" t="n">
        <x:f>IF(ISNUMBER(AB122),ROUND(AB122-(AB122*0.015+0.2)-V122,2),"")</x:f>
        <x:v>6.84</x:v>
      </x:c>
      <x:c r="AD122" s="36" t="n">
        <x:f>IF(ISNUMBER(Y122),ROUND(Y122*0.8,2),"")</x:f>
        <x:v>28</x:v>
      </x:c>
      <x:c r="AE122" s="36" t="n">
        <x:f>IF(ISNUMBER(AD122),ROUND(AD122*0.015+0.2,2),"")</x:f>
        <x:v>0.62</x:v>
      </x:c>
      <x:c r="AF122" s="36" t="n">
        <x:f>IF(ISNUMBER(AD122),ROUND(AD122-AE122-V122,2),"")</x:f>
        <x:v>3.39</x:v>
      </x:c>
      <x:c r="AG122" t="str">
        <x:f>IF(NOT(ISNUMBER(T122)),"PENDING",IF(AF122&gt;0,"PASS","FAIL"))</x:f>
        <x:v>PASS</x:v>
      </x:c>
      <x:c r="AH122" t="str">
        <x:f>IF(NOT(ISNUMBER(T122)),"Needs supplier cost",IF(K122&lt;&gt;"In stock","Supplier unavailable",IF(AG122&lt;&gt;"PASS","BLOCK - GT loss risk","Commercially protected")))</x:f>
        <x:v>Commercially protected</x:v>
      </x:c>
      <x:c r="AI122" t="str">
        <x:v>2026-09-10 Active Sports trade capture</x:v>
      </x:c>
      <x:c r="AJ122" t="str">
        <x:v>Management-only economics. Stripe stress test uses 1.5% + £0.20 standard UK online-card fee; pallet/mix-and-match pricing ignored.</x:v>
      </x:c>
    </x:row>
    <x:row r="123">
      <x:c r="A123" s="10" t="str">
        <x:v>Active Sports Nutrition</x:v>
      </x:c>
      <x:c r="B123" s="10" t="str">
        <x:v>Applied Nutrition</x:v>
      </x:c>
      <x:c r="C123" s="10" t="str">
        <x:v>ABE Pump</x:v>
      </x:c>
      <x:c r="D123" s="10" t="str">
        <x:v>Pre Workouts</x:v>
      </x:c>
      <x:c r="E123" s="10" t="str">
        <x:v>Stim FREE</x:v>
      </x:c>
      <x:c r="F123" s="10" t="str">
        <x:v>Stimulant-free pump formula.</x:v>
      </x:c>
      <x:c r="G123" s="10" t="str">
        <x:v>500g</x:v>
      </x:c>
      <x:c r="H123" s="10" t="str">
        <x:v>Slush Puppie Red &amp; Blue Mix</x:v>
      </x:c>
      <x:c r="I123" s="10" t="str"/>
      <x:c r="J123" s="10" t="str">
        <x:v>Unit</x:v>
      </x:c>
      <x:c r="K123" s="10" t="str">
        <x:v>In stock</x:v>
      </x:c>
      <x:c r="L123" s="10" t="str">
        <x:v>2026-09-08</x:v>
      </x:c>
      <x:c r="M123" s="10" t="str"/>
      <x:c r="N123" s="10" t="str"/>
      <x:c r="O123" s="10" t="str">
        <x:v>https://www.activesportstrade.co.uk/applied-nutrition-trade</x:v>
      </x:c>
      <x:c r="P123" s="10" t="str"/>
      <x:c r="S123" t="str">
        <x:v>Pending genuine supplier/brand image</x:v>
      </x:c>
      <x:c r="T123" s="54" t="n">
        <x:v>19.99</x:v>
      </x:c>
      <x:c r="U123" s="47" t="n">
        <x:v>0.2</x:v>
      </x:c>
      <x:c r="V123" s="54" t="n">
        <x:f>IF(ISNUMBER(T123),T123*(1+U123),"")</x:f>
        <x:v>23.987999999999996</x:v>
      </x:c>
      <x:c r="W123" s="47" t="n">
        <x:v>0.3</x:v>
      </x:c>
      <x:c r="X123" s="54" t="n">
        <x:f>IF(ISNUMBER(V123),V123/(1-W123),"")</x:f>
        <x:v>34.26857142857143</x:v>
      </x:c>
      <x:c r="Y123" s="55" t="n">
        <x:f>IF(ISNUMBER(X123),ROUNDUP(X123,0),"")</x:f>
        <x:v>35</x:v>
      </x:c>
      <x:c r="Z123" t="str">
        <x:v>Source match pending</x:v>
      </x:c>
      <x:c r="AA123" t="str">
        <x:v>screencapture-www-activesportstrade-co-uk-applied-nutrition-trade-2026-09-10-08_59_59.pdf / page-02</x:v>
      </x:c>
      <x:c r="AB123" s="36" t="n">
        <x:f>IF(ISNUMBER(Y123),ROUND(Y123*0.9,2),"")</x:f>
        <x:v>31.5</x:v>
      </x:c>
      <x:c r="AC123" s="36" t="n">
        <x:f>IF(ISNUMBER(AB123),ROUND(AB123-(AB123*0.015+0.2)-V123,2),"")</x:f>
        <x:v>6.84</x:v>
      </x:c>
      <x:c r="AD123" s="36" t="n">
        <x:f>IF(ISNUMBER(Y123),ROUND(Y123*0.8,2),"")</x:f>
        <x:v>28</x:v>
      </x:c>
      <x:c r="AE123" s="36" t="n">
        <x:f>IF(ISNUMBER(AD123),ROUND(AD123*0.015+0.2,2),"")</x:f>
        <x:v>0.62</x:v>
      </x:c>
      <x:c r="AF123" s="36" t="n">
        <x:f>IF(ISNUMBER(AD123),ROUND(AD123-AE123-V123,2),"")</x:f>
        <x:v>3.39</x:v>
      </x:c>
      <x:c r="AG123" t="str">
        <x:f>IF(NOT(ISNUMBER(T123)),"PENDING",IF(AF123&gt;0,"PASS","FAIL"))</x:f>
        <x:v>PASS</x:v>
      </x:c>
      <x:c r="AH123" t="str">
        <x:f>IF(NOT(ISNUMBER(T123)),"Needs supplier cost",IF(K123&lt;&gt;"In stock","Supplier unavailable",IF(AG123&lt;&gt;"PASS","BLOCK - GT loss risk","Commercially protected")))</x:f>
        <x:v>Commercially protected</x:v>
      </x:c>
      <x:c r="AI123" t="str">
        <x:v>2026-09-10 Active Sports trade capture</x:v>
      </x:c>
      <x:c r="AJ123" t="str">
        <x:v>Management-only economics. Stripe stress test uses 1.5% + £0.20 standard UK online-card fee; pallet/mix-and-match pricing ignored.</x:v>
      </x:c>
    </x:row>
    <x:row r="124">
      <x:c r="A124" s="10" t="str">
        <x:v>Active Sports Nutrition</x:v>
      </x:c>
      <x:c r="B124" s="10" t="str">
        <x:v>Applied Nutrition</x:v>
      </x:c>
      <x:c r="C124" s="10" t="str">
        <x:v>ABE Pump</x:v>
      </x:c>
      <x:c r="D124" s="10" t="str">
        <x:v>Pre Workouts</x:v>
      </x:c>
      <x:c r="E124" s="10" t="str">
        <x:v>Stim FREE</x:v>
      </x:c>
      <x:c r="F124" s="10" t="str">
        <x:v>Stimulant-free pump formula.</x:v>
      </x:c>
      <x:c r="G124" s="10" t="str">
        <x:v>500g</x:v>
      </x:c>
      <x:c r="H124" s="10" t="str">
        <x:v>Slush Puppie Twisted Citrus</x:v>
      </x:c>
      <x:c r="I124" s="10" t="str"/>
      <x:c r="J124" s="10" t="str">
        <x:v>Unit</x:v>
      </x:c>
      <x:c r="K124" s="10" t="str">
        <x:v>In stock</x:v>
      </x:c>
      <x:c r="L124" s="10" t="str">
        <x:v>2026-09-08</x:v>
      </x:c>
      <x:c r="M124" s="10" t="str"/>
      <x:c r="N124" s="10" t="str"/>
      <x:c r="O124" s="10" t="str">
        <x:v>https://www.activesportstrade.co.uk/applied-nutrition-trade</x:v>
      </x:c>
      <x:c r="P124" s="10" t="str"/>
      <x:c r="S124" t="str">
        <x:v>Pending genuine supplier/brand image</x:v>
      </x:c>
      <x:c r="T124" s="54" t="n">
        <x:v>19.99</x:v>
      </x:c>
      <x:c r="U124" s="47" t="n">
        <x:v>0.2</x:v>
      </x:c>
      <x:c r="V124" s="54" t="n">
        <x:f>IF(ISNUMBER(T124),T124*(1+U124),"")</x:f>
        <x:v>23.987999999999996</x:v>
      </x:c>
      <x:c r="W124" s="47" t="n">
        <x:v>0.3</x:v>
      </x:c>
      <x:c r="X124" s="54" t="n">
        <x:f>IF(ISNUMBER(V124),V124/(1-W124),"")</x:f>
        <x:v>34.26857142857143</x:v>
      </x:c>
      <x:c r="Y124" s="55" t="n">
        <x:f>IF(ISNUMBER(X124),ROUNDUP(X124,0),"")</x:f>
        <x:v>35</x:v>
      </x:c>
      <x:c r="Z124" t="str">
        <x:v>Source match pending</x:v>
      </x:c>
      <x:c r="AA124" t="str">
        <x:v>screencapture-www-activesportstrade-co-uk-applied-nutrition-trade-2026-09-10-08_59_59.pdf / page-02</x:v>
      </x:c>
      <x:c r="AB124" s="36" t="n">
        <x:f>IF(ISNUMBER(Y124),ROUND(Y124*0.9,2),"")</x:f>
        <x:v>31.5</x:v>
      </x:c>
      <x:c r="AC124" s="36" t="n">
        <x:f>IF(ISNUMBER(AB124),ROUND(AB124-(AB124*0.015+0.2)-V124,2),"")</x:f>
        <x:v>6.84</x:v>
      </x:c>
      <x:c r="AD124" s="36" t="n">
        <x:f>IF(ISNUMBER(Y124),ROUND(Y124*0.8,2),"")</x:f>
        <x:v>28</x:v>
      </x:c>
      <x:c r="AE124" s="36" t="n">
        <x:f>IF(ISNUMBER(AD124),ROUND(AD124*0.015+0.2,2),"")</x:f>
        <x:v>0.62</x:v>
      </x:c>
      <x:c r="AF124" s="36" t="n">
        <x:f>IF(ISNUMBER(AD124),ROUND(AD124-AE124-V124,2),"")</x:f>
        <x:v>3.39</x:v>
      </x:c>
      <x:c r="AG124" t="str">
        <x:f>IF(NOT(ISNUMBER(T124)),"PENDING",IF(AF124&gt;0,"PASS","FAIL"))</x:f>
        <x:v>PASS</x:v>
      </x:c>
      <x:c r="AH124" t="str">
        <x:f>IF(NOT(ISNUMBER(T124)),"Needs supplier cost",IF(K124&lt;&gt;"In stock","Supplier unavailable",IF(AG124&lt;&gt;"PASS","BLOCK - GT loss risk","Commercially protected")))</x:f>
        <x:v>Commercially protected</x:v>
      </x:c>
      <x:c r="AI124" t="str">
        <x:v>2026-09-10 Active Sports trade capture</x:v>
      </x:c>
      <x:c r="AJ124" t="str">
        <x:v>Management-only economics. Stripe stress test uses 1.5% + £0.20 standard UK online-card fee; pallet/mix-and-match pricing ignored.</x:v>
      </x:c>
    </x:row>
    <x:row r="125">
      <x:c r="A125" s="10" t="str">
        <x:v>Active Sports Nutrition</x:v>
      </x:c>
      <x:c r="B125" s="10" t="str">
        <x:v>Applied Nutrition</x:v>
      </x:c>
      <x:c r="C125" s="10" t="str">
        <x:v>ABE Pump</x:v>
      </x:c>
      <x:c r="D125" s="10" t="str">
        <x:v>Pre Workouts</x:v>
      </x:c>
      <x:c r="E125" s="10" t="str">
        <x:v>Stim FREE</x:v>
      </x:c>
      <x:c r="F125" s="10" t="str">
        <x:v>Stimulant-free pump formula.</x:v>
      </x:c>
      <x:c r="G125" s="10" t="str">
        <x:v>500g</x:v>
      </x:c>
      <x:c r="H125" s="10" t="str">
        <x:v>Tigers Blood</x:v>
      </x:c>
      <x:c r="I125" s="10" t="str"/>
      <x:c r="J125" s="10" t="str">
        <x:v>Unit</x:v>
      </x:c>
      <x:c r="K125" s="10" t="str">
        <x:v>In stock</x:v>
      </x:c>
      <x:c r="L125" s="10" t="str">
        <x:v>2026-09-08</x:v>
      </x:c>
      <x:c r="M125" s="10" t="str"/>
      <x:c r="N125" s="10" t="str"/>
      <x:c r="O125" s="10" t="str">
        <x:v>https://www.activesportstrade.co.uk/applied-nutrition-trade</x:v>
      </x:c>
      <x:c r="P125" s="10" t="str"/>
      <x:c r="S125" t="str">
        <x:v>Pending genuine supplier/brand image</x:v>
      </x:c>
      <x:c r="T125" s="54" t="n">
        <x:v>19.99</x:v>
      </x:c>
      <x:c r="U125" s="47" t="n">
        <x:v>0.2</x:v>
      </x:c>
      <x:c r="V125" s="54" t="n">
        <x:f>IF(ISNUMBER(T125),T125*(1+U125),"")</x:f>
        <x:v>23.987999999999996</x:v>
      </x:c>
      <x:c r="W125" s="47" t="n">
        <x:v>0.3</x:v>
      </x:c>
      <x:c r="X125" s="54" t="n">
        <x:f>IF(ISNUMBER(V125),V125/(1-W125),"")</x:f>
        <x:v>34.26857142857143</x:v>
      </x:c>
      <x:c r="Y125" s="55" t="n">
        <x:f>IF(ISNUMBER(X125),ROUNDUP(X125,0),"")</x:f>
        <x:v>35</x:v>
      </x:c>
      <x:c r="Z125" t="str">
        <x:v>Source match pending</x:v>
      </x:c>
      <x:c r="AA125" t="str">
        <x:v>screencapture-www-activesportstrade-co-uk-applied-nutrition-trade-2026-09-10-08_59_59.pdf / page-02</x:v>
      </x:c>
      <x:c r="AB125" s="36" t="n">
        <x:f>IF(ISNUMBER(Y125),ROUND(Y125*0.9,2),"")</x:f>
        <x:v>31.5</x:v>
      </x:c>
      <x:c r="AC125" s="36" t="n">
        <x:f>IF(ISNUMBER(AB125),ROUND(AB125-(AB125*0.015+0.2)-V125,2),"")</x:f>
        <x:v>6.84</x:v>
      </x:c>
      <x:c r="AD125" s="36" t="n">
        <x:f>IF(ISNUMBER(Y125),ROUND(Y125*0.8,2),"")</x:f>
        <x:v>28</x:v>
      </x:c>
      <x:c r="AE125" s="36" t="n">
        <x:f>IF(ISNUMBER(AD125),ROUND(AD125*0.015+0.2,2),"")</x:f>
        <x:v>0.62</x:v>
      </x:c>
      <x:c r="AF125" s="36" t="n">
        <x:f>IF(ISNUMBER(AD125),ROUND(AD125-AE125-V125,2),"")</x:f>
        <x:v>3.39</x:v>
      </x:c>
      <x:c r="AG125" t="str">
        <x:f>IF(NOT(ISNUMBER(T125)),"PENDING",IF(AF125&gt;0,"PASS","FAIL"))</x:f>
        <x:v>PASS</x:v>
      </x:c>
      <x:c r="AH125" t="str">
        <x:f>IF(NOT(ISNUMBER(T125)),"Needs supplier cost",IF(K125&lt;&gt;"In stock","Supplier unavailable",IF(AG125&lt;&gt;"PASS","BLOCK - GT loss risk","Commercially protected")))</x:f>
        <x:v>Commercially protected</x:v>
      </x:c>
      <x:c r="AI125" t="str">
        <x:v>2026-09-10 Active Sports trade capture</x:v>
      </x:c>
      <x:c r="AJ125" t="str">
        <x:v>Management-only economics. Stripe stress test uses 1.5% + £0.20 standard UK online-card fee; pallet/mix-and-match pricing ignored.</x:v>
      </x:c>
    </x:row>
    <x:row r="126">
      <x:c r="A126" s="10" t="str">
        <x:v>Active Sports Nutrition</x:v>
      </x:c>
      <x:c r="B126" s="10" t="str">
        <x:v>Applied Nutrition</x:v>
      </x:c>
      <x:c r="C126" s="10" t="str">
        <x:v>Amino Fuel EAA</x:v>
      </x:c>
      <x:c r="D126" s="10" t="str">
        <x:v>Supplements</x:v>
      </x:c>
      <x:c r="E126" s="10" t="str">
        <x:v>Amino Acids</x:v>
      </x:c>
      <x:c r="F126" s="10" t="str">
        <x:v>Essential amino acid blend.</x:v>
      </x:c>
      <x:c r="G126" s="10" t="str">
        <x:v>30 servings</x:v>
      </x:c>
      <x:c r="H126" s="10" t="str">
        <x:v>Candy Ice Blast</x:v>
      </x:c>
      <x:c r="I126" s="10" t="str"/>
      <x:c r="J126" s="10" t="str">
        <x:v>Unit</x:v>
      </x:c>
      <x:c r="K126" s="10" t="str">
        <x:v>In stock</x:v>
      </x:c>
      <x:c r="L126" s="10" t="str">
        <x:v>2026-09-08</x:v>
      </x:c>
      <x:c r="M126" s="10" t="str"/>
      <x:c r="N126" s="10" t="str"/>
      <x:c r="O126" s="10" t="str">
        <x:v>https://www.activesportstrade.co.uk/applied-nutrition-trade</x:v>
      </x:c>
      <x:c r="P126" s="10" t="str"/>
      <x:c r="S126" t="str">
        <x:v>Pending genuine supplier/brand image</x:v>
      </x:c>
      <x:c r="T126" s="54"/>
      <x:c r="U126" s="47" t="n">
        <x:v>0.2</x:v>
      </x:c>
      <x:c r="V126" s="54" t="str">
        <x:f>IF(ISNUMBER(T126),T126*(1+U126),"")</x:f>
      </x:c>
      <x:c r="W126" s="47" t="n">
        <x:v>0.3</x:v>
      </x:c>
      <x:c r="X126" s="54" t="str">
        <x:f>IF(ISNUMBER(V126),V126/(1-W126),"")</x:f>
      </x:c>
      <x:c r="Y126" s="55" t="str">
        <x:f>IF(ISNUMBER(X126),ROUNDUP(X126,0),"")</x:f>
      </x:c>
      <x:c r="Z126" t="str">
        <x:f>IF(ISNUMBER(T126),"Cost captured","Awaiting trade cost")</x:f>
        <x:v>Awaiting trade cost</x:v>
      </x:c>
      <x:c r="AB126" s="36" t="str">
        <x:f>IF(ISNUMBER(Y126),ROUND(Y126*0.9,2),"")</x:f>
      </x:c>
      <x:c r="AC126" s="36" t="str">
        <x:f>IF(ISNUMBER(AB126),ROUND(AB126-(AB126*0.015+0.2)-V126,2),"")</x:f>
      </x:c>
      <x:c r="AD126" s="36" t="str">
        <x:f>IF(ISNUMBER(Y126),ROUND(Y126*0.8,2),"")</x:f>
      </x:c>
      <x:c r="AE126" s="36" t="str">
        <x:f>IF(ISNUMBER(AD126),ROUND(AD126*0.015+0.2,2),"")</x:f>
      </x:c>
      <x:c r="AF126" s="36" t="str">
        <x:f>IF(ISNUMBER(AD126),ROUND(AD126-AE126-V126,2),"")</x:f>
      </x:c>
      <x:c r="AG126" t="str">
        <x:f>IF(NOT(ISNUMBER(T126)),"PENDING",IF(AF126&gt;0,"PASS","FAIL"))</x:f>
        <x:v>PENDING</x:v>
      </x:c>
      <x:c r="AH126" t="str">
        <x:f>IF(NOT(ISNUMBER(T126)),"Needs supplier cost",IF(K126&lt;&gt;"In stock","Supplier unavailable",IF(AG126&lt;&gt;"PASS","BLOCK - GT loss risk","Commercially protected")))</x:f>
        <x:v>Needs supplier cost</x:v>
      </x:c>
      <x:c r="AI126" t="str">
        <x:v>2026-09-10 Active Sports trade capture</x:v>
      </x:c>
      <x:c r="AJ126" t="str">
        <x:v>Management-only economics. Stripe stress test uses 1.5% + £0.20 standard UK online-card fee; pallet/mix-and-match pricing ignored.</x:v>
      </x:c>
    </x:row>
    <x:row r="127">
      <x:c r="A127" s="10" t="str">
        <x:v>Active Sports Nutrition</x:v>
      </x:c>
      <x:c r="B127" s="10" t="str">
        <x:v>Applied Nutrition</x:v>
      </x:c>
      <x:c r="C127" s="10" t="str">
        <x:v>Amino Fuel EAA</x:v>
      </x:c>
      <x:c r="D127" s="10" t="str">
        <x:v>Supplements</x:v>
      </x:c>
      <x:c r="E127" s="10" t="str">
        <x:v>Amino Acids</x:v>
      </x:c>
      <x:c r="F127" s="10" t="str">
        <x:v>Essential amino acid blend.</x:v>
      </x:c>
      <x:c r="G127" s="10" t="str">
        <x:v>30 servings</x:v>
      </x:c>
      <x:c r="H127" s="10" t="str">
        <x:v>Cherry Limeade</x:v>
      </x:c>
      <x:c r="I127" s="10" t="str"/>
      <x:c r="J127" s="10" t="str">
        <x:v>Unit</x:v>
      </x:c>
      <x:c r="K127" s="10" t="str">
        <x:v>In stock</x:v>
      </x:c>
      <x:c r="L127" s="10" t="str">
        <x:v>2026-09-08</x:v>
      </x:c>
      <x:c r="M127" s="10" t="str"/>
      <x:c r="N127" s="10" t="str"/>
      <x:c r="O127" s="10" t="str">
        <x:v>https://www.activesportstrade.co.uk/applied-nutrition-trade</x:v>
      </x:c>
      <x:c r="P127" s="10" t="str"/>
      <x:c r="S127" t="str">
        <x:v>Pending genuine supplier/brand image</x:v>
      </x:c>
      <x:c r="T127" s="54"/>
      <x:c r="U127" s="47" t="n">
        <x:v>0.2</x:v>
      </x:c>
      <x:c r="V127" s="54" t="str">
        <x:f>IF(ISNUMBER(T127),T127*(1+U127),"")</x:f>
      </x:c>
      <x:c r="W127" s="47" t="n">
        <x:v>0.3</x:v>
      </x:c>
      <x:c r="X127" s="54" t="str">
        <x:f>IF(ISNUMBER(V127),V127/(1-W127),"")</x:f>
      </x:c>
      <x:c r="Y127" s="55" t="str">
        <x:f>IF(ISNUMBER(X127),ROUNDUP(X127,0),"")</x:f>
      </x:c>
      <x:c r="Z127" t="str">
        <x:f>IF(ISNUMBER(T127),"Cost captured","Awaiting trade cost")</x:f>
        <x:v>Awaiting trade cost</x:v>
      </x:c>
      <x:c r="AB127" s="36" t="str">
        <x:f>IF(ISNUMBER(Y127),ROUND(Y127*0.9,2),"")</x:f>
      </x:c>
      <x:c r="AC127" s="36" t="str">
        <x:f>IF(ISNUMBER(AB127),ROUND(AB127-(AB127*0.015+0.2)-V127,2),"")</x:f>
      </x:c>
      <x:c r="AD127" s="36" t="str">
        <x:f>IF(ISNUMBER(Y127),ROUND(Y127*0.8,2),"")</x:f>
      </x:c>
      <x:c r="AE127" s="36" t="str">
        <x:f>IF(ISNUMBER(AD127),ROUND(AD127*0.015+0.2,2),"")</x:f>
      </x:c>
      <x:c r="AF127" s="36" t="str">
        <x:f>IF(ISNUMBER(AD127),ROUND(AD127-AE127-V127,2),"")</x:f>
      </x:c>
      <x:c r="AG127" t="str">
        <x:f>IF(NOT(ISNUMBER(T127)),"PENDING",IF(AF127&gt;0,"PASS","FAIL"))</x:f>
        <x:v>PENDING</x:v>
      </x:c>
      <x:c r="AH127" t="str">
        <x:f>IF(NOT(ISNUMBER(T127)),"Needs supplier cost",IF(K127&lt;&gt;"In stock","Supplier unavailable",IF(AG127&lt;&gt;"PASS","BLOCK - GT loss risk","Commercially protected")))</x:f>
        <x:v>Needs supplier cost</x:v>
      </x:c>
      <x:c r="AI127" t="str">
        <x:v>2026-09-10 Active Sports trade capture</x:v>
      </x:c>
      <x:c r="AJ127" t="str">
        <x:v>Management-only economics. Stripe stress test uses 1.5% + £0.20 standard UK online-card fee; pallet/mix-and-match pricing ignored.</x:v>
      </x:c>
    </x:row>
    <x:row r="128">
      <x:c r="A128" s="10" t="str">
        <x:v>Active Sports Nutrition</x:v>
      </x:c>
      <x:c r="B128" s="10" t="str">
        <x:v>Applied Nutrition</x:v>
      </x:c>
      <x:c r="C128" s="10" t="str">
        <x:v>Amino Fuel EAA</x:v>
      </x:c>
      <x:c r="D128" s="10" t="str">
        <x:v>Supplements</x:v>
      </x:c>
      <x:c r="E128" s="10" t="str">
        <x:v>Amino Acids</x:v>
      </x:c>
      <x:c r="F128" s="10" t="str">
        <x:v>Essential amino acid blend.</x:v>
      </x:c>
      <x:c r="G128" s="10" t="str">
        <x:v>30 servings</x:v>
      </x:c>
      <x:c r="H128" s="10" t="str">
        <x:v>Fruit Burst</x:v>
      </x:c>
      <x:c r="I128" s="10" t="str"/>
      <x:c r="J128" s="10" t="str">
        <x:v>Unit</x:v>
      </x:c>
      <x:c r="K128" s="10" t="str">
        <x:v>In stock</x:v>
      </x:c>
      <x:c r="L128" s="10" t="str">
        <x:v>2026-09-08</x:v>
      </x:c>
      <x:c r="M128" s="10" t="str"/>
      <x:c r="N128" s="10" t="str"/>
      <x:c r="O128" s="10" t="str">
        <x:v>https://www.activesportstrade.co.uk/applied-nutrition-trade</x:v>
      </x:c>
      <x:c r="P128" s="10" t="str"/>
      <x:c r="S128" t="str">
        <x:v>Pending genuine supplier/brand image</x:v>
      </x:c>
      <x:c r="T128" s="54"/>
      <x:c r="U128" s="47" t="n">
        <x:v>0.2</x:v>
      </x:c>
      <x:c r="V128" s="54" t="str">
        <x:f>IF(ISNUMBER(T128),T128*(1+U128),"")</x:f>
      </x:c>
      <x:c r="W128" s="47" t="n">
        <x:v>0.3</x:v>
      </x:c>
      <x:c r="X128" s="54" t="str">
        <x:f>IF(ISNUMBER(V128),V128/(1-W128),"")</x:f>
      </x:c>
      <x:c r="Y128" s="55" t="str">
        <x:f>IF(ISNUMBER(X128),ROUNDUP(X128,0),"")</x:f>
      </x:c>
      <x:c r="Z128" t="str">
        <x:f>IF(ISNUMBER(T128),"Cost captured","Awaiting trade cost")</x:f>
        <x:v>Awaiting trade cost</x:v>
      </x:c>
      <x:c r="AB128" s="36" t="str">
        <x:f>IF(ISNUMBER(Y128),ROUND(Y128*0.9,2),"")</x:f>
      </x:c>
      <x:c r="AC128" s="36" t="str">
        <x:f>IF(ISNUMBER(AB128),ROUND(AB128-(AB128*0.015+0.2)-V128,2),"")</x:f>
      </x:c>
      <x:c r="AD128" s="36" t="str">
        <x:f>IF(ISNUMBER(Y128),ROUND(Y128*0.8,2),"")</x:f>
      </x:c>
      <x:c r="AE128" s="36" t="str">
        <x:f>IF(ISNUMBER(AD128),ROUND(AD128*0.015+0.2,2),"")</x:f>
      </x:c>
      <x:c r="AF128" s="36" t="str">
        <x:f>IF(ISNUMBER(AD128),ROUND(AD128-AE128-V128,2),"")</x:f>
      </x:c>
      <x:c r="AG128" t="str">
        <x:f>IF(NOT(ISNUMBER(T128)),"PENDING",IF(AF128&gt;0,"PASS","FAIL"))</x:f>
        <x:v>PENDING</x:v>
      </x:c>
      <x:c r="AH128" t="str">
        <x:f>IF(NOT(ISNUMBER(T128)),"Needs supplier cost",IF(K128&lt;&gt;"In stock","Supplier unavailable",IF(AG128&lt;&gt;"PASS","BLOCK - GT loss risk","Commercially protected")))</x:f>
        <x:v>Needs supplier cost</x:v>
      </x:c>
      <x:c r="AI128" t="str">
        <x:v>2026-09-10 Active Sports trade capture</x:v>
      </x:c>
      <x:c r="AJ128" t="str">
        <x:v>Management-only economics. Stripe stress test uses 1.5% + £0.20 standard UK online-card fee; pallet/mix-and-match pricing ignored.</x:v>
      </x:c>
    </x:row>
    <x:row r="129">
      <x:c r="A129" s="10" t="str">
        <x:v>Active Sports Nutrition</x:v>
      </x:c>
      <x:c r="B129" s="10" t="str">
        <x:v>Applied Nutrition</x:v>
      </x:c>
      <x:c r="C129" s="10" t="str">
        <x:v>Amino Fuel EAA</x:v>
      </x:c>
      <x:c r="D129" s="10" t="str">
        <x:v>Supplements</x:v>
      </x:c>
      <x:c r="E129" s="10" t="str">
        <x:v>Amino Acids</x:v>
      </x:c>
      <x:c r="F129" s="10" t="str">
        <x:v>Essential amino acid blend.</x:v>
      </x:c>
      <x:c r="G129" s="10" t="str">
        <x:v>30 servings</x:v>
      </x:c>
      <x:c r="H129" s="10" t="str">
        <x:v>Fruit Salad</x:v>
      </x:c>
      <x:c r="I129" s="10" t="str"/>
      <x:c r="J129" s="10" t="str">
        <x:v>Unit</x:v>
      </x:c>
      <x:c r="K129" s="10" t="str">
        <x:v>In stock</x:v>
      </x:c>
      <x:c r="L129" s="10" t="str">
        <x:v>2026-09-08</x:v>
      </x:c>
      <x:c r="M129" s="10" t="str"/>
      <x:c r="N129" s="10" t="str"/>
      <x:c r="O129" s="10" t="str">
        <x:v>https://www.activesportstrade.co.uk/applied-nutrition-trade</x:v>
      </x:c>
      <x:c r="P129" s="10" t="str"/>
      <x:c r="S129" t="str">
        <x:v>Pending genuine supplier/brand image</x:v>
      </x:c>
      <x:c r="T129" s="54"/>
      <x:c r="U129" s="47" t="n">
        <x:v>0.2</x:v>
      </x:c>
      <x:c r="V129" s="54" t="str">
        <x:f>IF(ISNUMBER(T129),T129*(1+U129),"")</x:f>
      </x:c>
      <x:c r="W129" s="47" t="n">
        <x:v>0.3</x:v>
      </x:c>
      <x:c r="X129" s="54" t="str">
        <x:f>IF(ISNUMBER(V129),V129/(1-W129),"")</x:f>
      </x:c>
      <x:c r="Y129" s="55" t="str">
        <x:f>IF(ISNUMBER(X129),ROUNDUP(X129,0),"")</x:f>
      </x:c>
      <x:c r="Z129" t="str">
        <x:f>IF(ISNUMBER(T129),"Cost captured","Awaiting trade cost")</x:f>
        <x:v>Awaiting trade cost</x:v>
      </x:c>
      <x:c r="AB129" s="36" t="str">
        <x:f>IF(ISNUMBER(Y129),ROUND(Y129*0.9,2),"")</x:f>
      </x:c>
      <x:c r="AC129" s="36" t="str">
        <x:f>IF(ISNUMBER(AB129),ROUND(AB129-(AB129*0.015+0.2)-V129,2),"")</x:f>
      </x:c>
      <x:c r="AD129" s="36" t="str">
        <x:f>IF(ISNUMBER(Y129),ROUND(Y129*0.8,2),"")</x:f>
      </x:c>
      <x:c r="AE129" s="36" t="str">
        <x:f>IF(ISNUMBER(AD129),ROUND(AD129*0.015+0.2,2),"")</x:f>
      </x:c>
      <x:c r="AF129" s="36" t="str">
        <x:f>IF(ISNUMBER(AD129),ROUND(AD129-AE129-V129,2),"")</x:f>
      </x:c>
      <x:c r="AG129" t="str">
        <x:f>IF(NOT(ISNUMBER(T129)),"PENDING",IF(AF129&gt;0,"PASS","FAIL"))</x:f>
        <x:v>PENDING</x:v>
      </x:c>
      <x:c r="AH129" t="str">
        <x:f>IF(NOT(ISNUMBER(T129)),"Needs supplier cost",IF(K129&lt;&gt;"In stock","Supplier unavailable",IF(AG129&lt;&gt;"PASS","BLOCK - GT loss risk","Commercially protected")))</x:f>
        <x:v>Needs supplier cost</x:v>
      </x:c>
      <x:c r="AI129" t="str">
        <x:v>2026-09-10 Active Sports trade capture</x:v>
      </x:c>
      <x:c r="AJ129" t="str">
        <x:v>Management-only economics. Stripe stress test uses 1.5% + £0.20 standard UK online-card fee; pallet/mix-and-match pricing ignored.</x:v>
      </x:c>
    </x:row>
    <x:row r="130">
      <x:c r="A130" s="10" t="str">
        <x:v>Active Sports Nutrition</x:v>
      </x:c>
      <x:c r="B130" s="10" t="str">
        <x:v>Applied Nutrition</x:v>
      </x:c>
      <x:c r="C130" s="10" t="str">
        <x:v>Amino Fuel EAA</x:v>
      </x:c>
      <x:c r="D130" s="10" t="str">
        <x:v>Supplements</x:v>
      </x:c>
      <x:c r="E130" s="10" t="str">
        <x:v>Amino Acids</x:v>
      </x:c>
      <x:c r="F130" s="10" t="str">
        <x:v>Essential amino acid blend.</x:v>
      </x:c>
      <x:c r="G130" s="10" t="str">
        <x:v>30 servings</x:v>
      </x:c>
      <x:c r="H130" s="10" t="str">
        <x:v>Icy Blue Raz</x:v>
      </x:c>
      <x:c r="I130" s="10" t="str"/>
      <x:c r="J130" s="10" t="str">
        <x:v>Unit</x:v>
      </x:c>
      <x:c r="K130" s="10" t="str">
        <x:v>In stock</x:v>
      </x:c>
      <x:c r="L130" s="10" t="str">
        <x:v>2026-09-08</x:v>
      </x:c>
      <x:c r="M130" s="10" t="str"/>
      <x:c r="N130" s="10" t="str"/>
      <x:c r="O130" s="10" t="str">
        <x:v>https://www.activesportstrade.co.uk/applied-nutrition-trade</x:v>
      </x:c>
      <x:c r="P130" s="10" t="str"/>
      <x:c r="S130" t="str">
        <x:v>Pending genuine supplier/brand image</x:v>
      </x:c>
      <x:c r="T130" s="54"/>
      <x:c r="U130" s="47" t="n">
        <x:v>0.2</x:v>
      </x:c>
      <x:c r="V130" s="54" t="str">
        <x:f>IF(ISNUMBER(T130),T130*(1+U130),"")</x:f>
      </x:c>
      <x:c r="W130" s="47" t="n">
        <x:v>0.3</x:v>
      </x:c>
      <x:c r="X130" s="54" t="str">
        <x:f>IF(ISNUMBER(V130),V130/(1-W130),"")</x:f>
      </x:c>
      <x:c r="Y130" s="55" t="str">
        <x:f>IF(ISNUMBER(X130),ROUNDUP(X130,0),"")</x:f>
      </x:c>
      <x:c r="Z130" t="str">
        <x:f>IF(ISNUMBER(T130),"Cost captured","Awaiting trade cost")</x:f>
        <x:v>Awaiting trade cost</x:v>
      </x:c>
      <x:c r="AB130" s="36" t="str">
        <x:f>IF(ISNUMBER(Y130),ROUND(Y130*0.9,2),"")</x:f>
      </x:c>
      <x:c r="AC130" s="36" t="str">
        <x:f>IF(ISNUMBER(AB130),ROUND(AB130-(AB130*0.015+0.2)-V130,2),"")</x:f>
      </x:c>
      <x:c r="AD130" s="36" t="str">
        <x:f>IF(ISNUMBER(Y130),ROUND(Y130*0.8,2),"")</x:f>
      </x:c>
      <x:c r="AE130" s="36" t="str">
        <x:f>IF(ISNUMBER(AD130),ROUND(AD130*0.015+0.2,2),"")</x:f>
      </x:c>
      <x:c r="AF130" s="36" t="str">
        <x:f>IF(ISNUMBER(AD130),ROUND(AD130-AE130-V130,2),"")</x:f>
      </x:c>
      <x:c r="AG130" t="str">
        <x:f>IF(NOT(ISNUMBER(T130)),"PENDING",IF(AF130&gt;0,"PASS","FAIL"))</x:f>
        <x:v>PENDING</x:v>
      </x:c>
      <x:c r="AH130" t="str">
        <x:f>IF(NOT(ISNUMBER(T130)),"Needs supplier cost",IF(K130&lt;&gt;"In stock","Supplier unavailable",IF(AG130&lt;&gt;"PASS","BLOCK - GT loss risk","Commercially protected")))</x:f>
        <x:v>Needs supplier cost</x:v>
      </x:c>
      <x:c r="AI130" t="str">
        <x:v>2026-09-10 Active Sports trade capture</x:v>
      </x:c>
      <x:c r="AJ130" t="str">
        <x:v>Management-only economics. Stripe stress test uses 1.5% + £0.20 standard UK online-card fee; pallet/mix-and-match pricing ignored.</x:v>
      </x:c>
    </x:row>
    <x:row r="131">
      <x:c r="A131" s="10" t="str">
        <x:v>Active Sports Nutrition</x:v>
      </x:c>
      <x:c r="B131" s="10" t="str">
        <x:v>Applied Nutrition</x:v>
      </x:c>
      <x:c r="C131" s="10" t="str">
        <x:v>Amino Fuel EAA</x:v>
      </x:c>
      <x:c r="D131" s="10" t="str">
        <x:v>Supplements</x:v>
      </x:c>
      <x:c r="E131" s="10" t="str">
        <x:v>Amino Acids</x:v>
      </x:c>
      <x:c r="F131" s="10" t="str">
        <x:v>Essential amino acid blend.</x:v>
      </x:c>
      <x:c r="G131" s="10" t="str">
        <x:v>30 servings</x:v>
      </x:c>
      <x:c r="H131" s="10" t="str">
        <x:v>Millions Cola</x:v>
      </x:c>
      <x:c r="I131" s="10" t="str"/>
      <x:c r="J131" s="10" t="str">
        <x:v>Unit</x:v>
      </x:c>
      <x:c r="K131" s="10" t="str">
        <x:v>In stock</x:v>
      </x:c>
      <x:c r="L131" s="10" t="str">
        <x:v>2026-09-08</x:v>
      </x:c>
      <x:c r="M131" s="10" t="str"/>
      <x:c r="N131" s="10" t="str"/>
      <x:c r="O131" s="10" t="str">
        <x:v>https://www.activesportstrade.co.uk/applied-nutrition-trade</x:v>
      </x:c>
      <x:c r="P131" s="10" t="str"/>
      <x:c r="S131" t="str">
        <x:v>Pending genuine supplier/brand image</x:v>
      </x:c>
      <x:c r="T131" s="54"/>
      <x:c r="U131" s="47" t="n">
        <x:v>0.2</x:v>
      </x:c>
      <x:c r="V131" s="54" t="str">
        <x:f>IF(ISNUMBER(T131),T131*(1+U131),"")</x:f>
      </x:c>
      <x:c r="W131" s="47" t="n">
        <x:v>0.3</x:v>
      </x:c>
      <x:c r="X131" s="54" t="str">
        <x:f>IF(ISNUMBER(V131),V131/(1-W131),"")</x:f>
      </x:c>
      <x:c r="Y131" s="55" t="str">
        <x:f>IF(ISNUMBER(X131),ROUNDUP(X131,0),"")</x:f>
      </x:c>
      <x:c r="Z131" t="str">
        <x:f>IF(ISNUMBER(T131),"Cost captured","Awaiting trade cost")</x:f>
        <x:v>Awaiting trade cost</x:v>
      </x:c>
      <x:c r="AB131" s="36" t="str">
        <x:f>IF(ISNUMBER(Y131),ROUND(Y131*0.9,2),"")</x:f>
      </x:c>
      <x:c r="AC131" s="36" t="str">
        <x:f>IF(ISNUMBER(AB131),ROUND(AB131-(AB131*0.015+0.2)-V131,2),"")</x:f>
      </x:c>
      <x:c r="AD131" s="36" t="str">
        <x:f>IF(ISNUMBER(Y131),ROUND(Y131*0.8,2),"")</x:f>
      </x:c>
      <x:c r="AE131" s="36" t="str">
        <x:f>IF(ISNUMBER(AD131),ROUND(AD131*0.015+0.2,2),"")</x:f>
      </x:c>
      <x:c r="AF131" s="36" t="str">
        <x:f>IF(ISNUMBER(AD131),ROUND(AD131-AE131-V131,2),"")</x:f>
      </x:c>
      <x:c r="AG131" t="str">
        <x:f>IF(NOT(ISNUMBER(T131)),"PENDING",IF(AF131&gt;0,"PASS","FAIL"))</x:f>
        <x:v>PENDING</x:v>
      </x:c>
      <x:c r="AH131" t="str">
        <x:f>IF(NOT(ISNUMBER(T131)),"Needs supplier cost",IF(K131&lt;&gt;"In stock","Supplier unavailable",IF(AG131&lt;&gt;"PASS","BLOCK - GT loss risk","Commercially protected")))</x:f>
        <x:v>Needs supplier cost</x:v>
      </x:c>
      <x:c r="AI131" t="str">
        <x:v>2026-09-10 Active Sports trade capture</x:v>
      </x:c>
      <x:c r="AJ131" t="str">
        <x:v>Management-only economics. Stripe stress test uses 1.5% + £0.20 standard UK online-card fee; pallet/mix-and-match pricing ignored.</x:v>
      </x:c>
    </x:row>
    <x:row r="132">
      <x:c r="A132" s="10" t="str">
        <x:v>Active Sports Nutrition</x:v>
      </x:c>
      <x:c r="B132" s="10" t="str">
        <x:v>Applied Nutrition</x:v>
      </x:c>
      <x:c r="C132" s="10" t="str">
        <x:v>Amino Fuel EAA</x:v>
      </x:c>
      <x:c r="D132" s="10" t="str">
        <x:v>Supplements</x:v>
      </x:c>
      <x:c r="E132" s="10" t="str">
        <x:v>Amino Acids</x:v>
      </x:c>
      <x:c r="F132" s="10" t="str">
        <x:v>Essential amino acid blend.</x:v>
      </x:c>
      <x:c r="G132" s="10" t="str">
        <x:v>30 servings</x:v>
      </x:c>
      <x:c r="H132" s="10" t="str">
        <x:v>Millions Pineapple</x:v>
      </x:c>
      <x:c r="I132" s="10" t="str"/>
      <x:c r="J132" s="10" t="str">
        <x:v>Unit</x:v>
      </x:c>
      <x:c r="K132" s="10" t="str">
        <x:v>In stock</x:v>
      </x:c>
      <x:c r="L132" s="10" t="str">
        <x:v>2026-09-08</x:v>
      </x:c>
      <x:c r="M132" s="10" t="str"/>
      <x:c r="N132" s="10" t="str"/>
      <x:c r="O132" s="10" t="str">
        <x:v>https://www.activesportstrade.co.uk/applied-nutrition-trade</x:v>
      </x:c>
      <x:c r="P132" s="10" t="str"/>
      <x:c r="S132" t="str">
        <x:v>Pending genuine supplier/brand image</x:v>
      </x:c>
      <x:c r="T132" s="54"/>
      <x:c r="U132" s="47" t="n">
        <x:v>0.2</x:v>
      </x:c>
      <x:c r="V132" s="54" t="str">
        <x:f>IF(ISNUMBER(T132),T132*(1+U132),"")</x:f>
      </x:c>
      <x:c r="W132" s="47" t="n">
        <x:v>0.3</x:v>
      </x:c>
      <x:c r="X132" s="54" t="str">
        <x:f>IF(ISNUMBER(V132),V132/(1-W132),"")</x:f>
      </x:c>
      <x:c r="Y132" s="55" t="str">
        <x:f>IF(ISNUMBER(X132),ROUNDUP(X132,0),"")</x:f>
      </x:c>
      <x:c r="Z132" t="str">
        <x:f>IF(ISNUMBER(T132),"Cost captured","Awaiting trade cost")</x:f>
        <x:v>Awaiting trade cost</x:v>
      </x:c>
      <x:c r="AB132" s="36" t="str">
        <x:f>IF(ISNUMBER(Y132),ROUND(Y132*0.9,2),"")</x:f>
      </x:c>
      <x:c r="AC132" s="36" t="str">
        <x:f>IF(ISNUMBER(AB132),ROUND(AB132-(AB132*0.015+0.2)-V132,2),"")</x:f>
      </x:c>
      <x:c r="AD132" s="36" t="str">
        <x:f>IF(ISNUMBER(Y132),ROUND(Y132*0.8,2),"")</x:f>
      </x:c>
      <x:c r="AE132" s="36" t="str">
        <x:f>IF(ISNUMBER(AD132),ROUND(AD132*0.015+0.2,2),"")</x:f>
      </x:c>
      <x:c r="AF132" s="36" t="str">
        <x:f>IF(ISNUMBER(AD132),ROUND(AD132-AE132-V132,2),"")</x:f>
      </x:c>
      <x:c r="AG132" t="str">
        <x:f>IF(NOT(ISNUMBER(T132)),"PENDING",IF(AF132&gt;0,"PASS","FAIL"))</x:f>
        <x:v>PENDING</x:v>
      </x:c>
      <x:c r="AH132" t="str">
        <x:f>IF(NOT(ISNUMBER(T132)),"Needs supplier cost",IF(K132&lt;&gt;"In stock","Supplier unavailable",IF(AG132&lt;&gt;"PASS","BLOCK - GT loss risk","Commercially protected")))</x:f>
        <x:v>Needs supplier cost</x:v>
      </x:c>
      <x:c r="AI132" t="str">
        <x:v>2026-09-10 Active Sports trade capture</x:v>
      </x:c>
      <x:c r="AJ132" t="str">
        <x:v>Management-only economics. Stripe stress test uses 1.5% + £0.20 standard UK online-card fee; pallet/mix-and-match pricing ignored.</x:v>
      </x:c>
    </x:row>
    <x:row r="133">
      <x:c r="A133" s="10" t="str">
        <x:v>Active Sports Nutrition</x:v>
      </x:c>
      <x:c r="B133" s="10" t="str">
        <x:v>Applied Nutrition</x:v>
      </x:c>
      <x:c r="C133" s="10" t="str">
        <x:v>Amino Fuel EAA</x:v>
      </x:c>
      <x:c r="D133" s="10" t="str">
        <x:v>Supplements</x:v>
      </x:c>
      <x:c r="E133" s="10" t="str">
        <x:v>Amino Acids</x:v>
      </x:c>
      <x:c r="F133" s="10" t="str">
        <x:v>Essential amino acid blend.</x:v>
      </x:c>
      <x:c r="G133" s="10" t="str">
        <x:v>30 servings</x:v>
      </x:c>
      <x:c r="H133" s="10" t="str">
        <x:v>Raspberry Mojito</x:v>
      </x:c>
      <x:c r="I133" s="10" t="str"/>
      <x:c r="J133" s="10" t="str">
        <x:v>Unit</x:v>
      </x:c>
      <x:c r="K133" s="10" t="str">
        <x:v>In stock</x:v>
      </x:c>
      <x:c r="L133" s="10" t="str">
        <x:v>2026-09-08</x:v>
      </x:c>
      <x:c r="M133" s="10" t="str"/>
      <x:c r="N133" s="10" t="str"/>
      <x:c r="O133" s="10" t="str">
        <x:v>https://www.activesportstrade.co.uk/applied-nutrition-trade</x:v>
      </x:c>
      <x:c r="P133" s="10" t="str"/>
      <x:c r="S133" t="str">
        <x:v>Pending genuine supplier/brand image</x:v>
      </x:c>
      <x:c r="T133" s="54"/>
      <x:c r="U133" s="47" t="n">
        <x:v>0.2</x:v>
      </x:c>
      <x:c r="V133" s="54" t="str">
        <x:f>IF(ISNUMBER(T133),T133*(1+U133),"")</x:f>
      </x:c>
      <x:c r="W133" s="47" t="n">
        <x:v>0.3</x:v>
      </x:c>
      <x:c r="X133" s="54" t="str">
        <x:f>IF(ISNUMBER(V133),V133/(1-W133),"")</x:f>
      </x:c>
      <x:c r="Y133" s="55" t="str">
        <x:f>IF(ISNUMBER(X133),ROUNDUP(X133,0),"")</x:f>
      </x:c>
      <x:c r="Z133" t="str">
        <x:f>IF(ISNUMBER(T133),"Cost captured","Awaiting trade cost")</x:f>
        <x:v>Awaiting trade cost</x:v>
      </x:c>
      <x:c r="AB133" s="36" t="str">
        <x:f>IF(ISNUMBER(Y133),ROUND(Y133*0.9,2),"")</x:f>
      </x:c>
      <x:c r="AC133" s="36" t="str">
        <x:f>IF(ISNUMBER(AB133),ROUND(AB133-(AB133*0.015+0.2)-V133,2),"")</x:f>
      </x:c>
      <x:c r="AD133" s="36" t="str">
        <x:f>IF(ISNUMBER(Y133),ROUND(Y133*0.8,2),"")</x:f>
      </x:c>
      <x:c r="AE133" s="36" t="str">
        <x:f>IF(ISNUMBER(AD133),ROUND(AD133*0.015+0.2,2),"")</x:f>
      </x:c>
      <x:c r="AF133" s="36" t="str">
        <x:f>IF(ISNUMBER(AD133),ROUND(AD133-AE133-V133,2),"")</x:f>
      </x:c>
      <x:c r="AG133" t="str">
        <x:f>IF(NOT(ISNUMBER(T133)),"PENDING",IF(AF133&gt;0,"PASS","FAIL"))</x:f>
        <x:v>PENDING</x:v>
      </x:c>
      <x:c r="AH133" t="str">
        <x:f>IF(NOT(ISNUMBER(T133)),"Needs supplier cost",IF(K133&lt;&gt;"In stock","Supplier unavailable",IF(AG133&lt;&gt;"PASS","BLOCK - GT loss risk","Commercially protected")))</x:f>
        <x:v>Needs supplier cost</x:v>
      </x:c>
      <x:c r="AI133" t="str">
        <x:v>2026-09-10 Active Sports trade capture</x:v>
      </x:c>
      <x:c r="AJ133" t="str">
        <x:v>Management-only economics. Stripe stress test uses 1.5% + £0.20 standard UK online-card fee; pallet/mix-and-match pricing ignored.</x:v>
      </x:c>
    </x:row>
    <x:row r="134">
      <x:c r="A134" s="10" t="str">
        <x:v>Active Sports Nutrition</x:v>
      </x:c>
      <x:c r="B134" s="10" t="str">
        <x:v>Applied Nutrition</x:v>
      </x:c>
      <x:c r="C134" s="10" t="str">
        <x:v>BCAA Amino Hydrate</x:v>
      </x:c>
      <x:c r="D134" s="10" t="str">
        <x:v>Supplements</x:v>
      </x:c>
      <x:c r="E134" s="10" t="str">
        <x:v>BCAAS</x:v>
      </x:c>
      <x:c r="F134" s="10" t="str">
        <x:v>BCAA intra-workout and recovery drink mix.</x:v>
      </x:c>
      <x:c r="G134" s="10" t="str">
        <x:v>32 servings</x:v>
      </x:c>
      <x:c r="H134" s="10" t="str">
        <x:v>Fruit Burst</x:v>
      </x:c>
      <x:c r="I134" s="10" t="str"/>
      <x:c r="J134" s="10" t="str">
        <x:v>Unit</x:v>
      </x:c>
      <x:c r="K134" s="10" t="str">
        <x:v>In stock</x:v>
      </x:c>
      <x:c r="L134" s="10" t="str">
        <x:v>2026-09-08</x:v>
      </x:c>
      <x:c r="M134" s="10" t="str"/>
      <x:c r="N134" s="10" t="str"/>
      <x:c r="O134" s="10" t="str">
        <x:v>https://www.activesportstrade.co.uk/applied-nutrition-trade</x:v>
      </x:c>
      <x:c r="P134" s="10" t="str"/>
      <x:c r="S134" t="str">
        <x:v>Pending genuine supplier/brand image</x:v>
      </x:c>
      <x:c r="T134" s="54" t="n">
        <x:v>13.58</x:v>
      </x:c>
      <x:c r="U134" s="47" t="n">
        <x:v>0.2</x:v>
      </x:c>
      <x:c r="V134" s="54" t="n">
        <x:f>IF(ISNUMBER(T134),T134*(1+U134),"")</x:f>
        <x:v>16.296</x:v>
      </x:c>
      <x:c r="W134" s="47" t="n">
        <x:v>0.3</x:v>
      </x:c>
      <x:c r="X134" s="54" t="n">
        <x:f>IF(ISNUMBER(V134),V134/(1-W134),"")</x:f>
        <x:v>23.28</x:v>
      </x:c>
      <x:c r="Y134" s="55" t="n">
        <x:f>IF(ISNUMBER(X134),ROUNDUP(X134,0),"")</x:f>
        <x:v>24</x:v>
      </x:c>
      <x:c r="Z134" t="str">
        <x:v>Source match pending</x:v>
      </x:c>
      <x:c r="AA134" t="str">
        <x:v>screencapture-www-activesportstrade-co-uk-applied-nutrition-trade-2026-09-10-08_59_59.pdf / page-03</x:v>
      </x:c>
      <x:c r="AB134" s="36" t="n">
        <x:f>IF(ISNUMBER(Y134),ROUND(Y134*0.9,2),"")</x:f>
        <x:v>21.6</x:v>
      </x:c>
      <x:c r="AC134" s="36" t="n">
        <x:f>IF(ISNUMBER(AB134),ROUND(AB134-(AB134*0.015+0.2)-V134,2),"")</x:f>
        <x:v>4.78</x:v>
      </x:c>
      <x:c r="AD134" s="36" t="n">
        <x:f>IF(ISNUMBER(Y134),ROUND(Y134*0.8,2),"")</x:f>
        <x:v>19.2</x:v>
      </x:c>
      <x:c r="AE134" s="36" t="n">
        <x:f>IF(ISNUMBER(AD134),ROUND(AD134*0.015+0.2,2),"")</x:f>
        <x:v>0.49</x:v>
      </x:c>
      <x:c r="AF134" s="36" t="n">
        <x:f>IF(ISNUMBER(AD134),ROUND(AD134-AE134-V134,2),"")</x:f>
        <x:v>2.41</x:v>
      </x:c>
      <x:c r="AG134" t="str">
        <x:f>IF(NOT(ISNUMBER(T134)),"PENDING",IF(AF134&gt;0,"PASS","FAIL"))</x:f>
        <x:v>PASS</x:v>
      </x:c>
      <x:c r="AH134" t="str">
        <x:f>IF(NOT(ISNUMBER(T134)),"Needs supplier cost",IF(K134&lt;&gt;"In stock","Supplier unavailable",IF(AG134&lt;&gt;"PASS","BLOCK - GT loss risk","Commercially protected")))</x:f>
        <x:v>Commercially protected</x:v>
      </x:c>
      <x:c r="AI134" t="str">
        <x:v>2026-09-10 Active Sports trade capture</x:v>
      </x:c>
      <x:c r="AJ134" t="str">
        <x:v>Management-only economics. Stripe stress test uses 1.5% + £0.20 standard UK online-card fee; pallet/mix-and-match pricing ignored.</x:v>
      </x:c>
    </x:row>
    <x:row r="135">
      <x:c r="A135" s="10" t="str">
        <x:v>Active Sports Nutrition</x:v>
      </x:c>
      <x:c r="B135" s="10" t="str">
        <x:v>Applied Nutrition</x:v>
      </x:c>
      <x:c r="C135" s="10" t="str">
        <x:v>BCAA Amino Hydrate</x:v>
      </x:c>
      <x:c r="D135" s="10" t="str">
        <x:v>Supplements</x:v>
      </x:c>
      <x:c r="E135" s="10" t="str">
        <x:v>BCAAS</x:v>
      </x:c>
      <x:c r="F135" s="10" t="str">
        <x:v>BCAA intra-workout and recovery drink mix.</x:v>
      </x:c>
      <x:c r="G135" s="10" t="str">
        <x:v>32 servings</x:v>
      </x:c>
      <x:c r="H135" s="10" t="str">
        <x:v>Green Apple</x:v>
      </x:c>
      <x:c r="I135" s="10" t="str"/>
      <x:c r="J135" s="10" t="str">
        <x:v>Unit</x:v>
      </x:c>
      <x:c r="K135" s="10" t="str">
        <x:v>In stock</x:v>
      </x:c>
      <x:c r="L135" s="10" t="str">
        <x:v>2026-09-08</x:v>
      </x:c>
      <x:c r="M135" s="10" t="str"/>
      <x:c r="N135" s="10" t="str"/>
      <x:c r="O135" s="10" t="str">
        <x:v>https://www.activesportstrade.co.uk/applied-nutrition-trade</x:v>
      </x:c>
      <x:c r="P135" s="10" t="str"/>
      <x:c r="S135" t="str">
        <x:v>Pending genuine supplier/brand image</x:v>
      </x:c>
      <x:c r="T135" s="54" t="n">
        <x:v>13.58</x:v>
      </x:c>
      <x:c r="U135" s="47" t="n">
        <x:v>0.2</x:v>
      </x:c>
      <x:c r="V135" s="54" t="n">
        <x:f>IF(ISNUMBER(T135),T135*(1+U135),"")</x:f>
        <x:v>16.296</x:v>
      </x:c>
      <x:c r="W135" s="47" t="n">
        <x:v>0.3</x:v>
      </x:c>
      <x:c r="X135" s="54" t="n">
        <x:f>IF(ISNUMBER(V135),V135/(1-W135),"")</x:f>
        <x:v>23.28</x:v>
      </x:c>
      <x:c r="Y135" s="55" t="n">
        <x:f>IF(ISNUMBER(X135),ROUNDUP(X135,0),"")</x:f>
        <x:v>24</x:v>
      </x:c>
      <x:c r="Z135" t="str">
        <x:v>Source match pending</x:v>
      </x:c>
      <x:c r="AA135" t="str">
        <x:v>screencapture-www-activesportstrade-co-uk-applied-nutrition-trade-2026-09-10-08_59_59.pdf / page-03</x:v>
      </x:c>
      <x:c r="AB135" s="36" t="n">
        <x:f>IF(ISNUMBER(Y135),ROUND(Y135*0.9,2),"")</x:f>
        <x:v>21.6</x:v>
      </x:c>
      <x:c r="AC135" s="36" t="n">
        <x:f>IF(ISNUMBER(AB135),ROUND(AB135-(AB135*0.015+0.2)-V135,2),"")</x:f>
        <x:v>4.78</x:v>
      </x:c>
      <x:c r="AD135" s="36" t="n">
        <x:f>IF(ISNUMBER(Y135),ROUND(Y135*0.8,2),"")</x:f>
        <x:v>19.2</x:v>
      </x:c>
      <x:c r="AE135" s="36" t="n">
        <x:f>IF(ISNUMBER(AD135),ROUND(AD135*0.015+0.2,2),"")</x:f>
        <x:v>0.49</x:v>
      </x:c>
      <x:c r="AF135" s="36" t="n">
        <x:f>IF(ISNUMBER(AD135),ROUND(AD135-AE135-V135,2),"")</x:f>
        <x:v>2.41</x:v>
      </x:c>
      <x:c r="AG135" t="str">
        <x:f>IF(NOT(ISNUMBER(T135)),"PENDING",IF(AF135&gt;0,"PASS","FAIL"))</x:f>
        <x:v>PASS</x:v>
      </x:c>
      <x:c r="AH135" t="str">
        <x:f>IF(NOT(ISNUMBER(T135)),"Needs supplier cost",IF(K135&lt;&gt;"In stock","Supplier unavailable",IF(AG135&lt;&gt;"PASS","BLOCK - GT loss risk","Commercially protected")))</x:f>
        <x:v>Commercially protected</x:v>
      </x:c>
      <x:c r="AI135" t="str">
        <x:v>2026-09-10 Active Sports trade capture</x:v>
      </x:c>
      <x:c r="AJ135" t="str">
        <x:v>Management-only economics. Stripe stress test uses 1.5% + £0.20 standard UK online-card fee; pallet/mix-and-match pricing ignored.</x:v>
      </x:c>
    </x:row>
    <x:row r="136">
      <x:c r="A136" s="10" t="str">
        <x:v>Active Sports Nutrition</x:v>
      </x:c>
      <x:c r="B136" s="10" t="str">
        <x:v>Applied Nutrition</x:v>
      </x:c>
      <x:c r="C136" s="10" t="str">
        <x:v>BCAA Amino Hydrate</x:v>
      </x:c>
      <x:c r="D136" s="10" t="str">
        <x:v>Supplements</x:v>
      </x:c>
      <x:c r="E136" s="10" t="str">
        <x:v>BCAAS</x:v>
      </x:c>
      <x:c r="F136" s="10" t="str">
        <x:v>BCAA intra-workout and recovery drink mix.</x:v>
      </x:c>
      <x:c r="G136" s="10" t="str">
        <x:v>32 servings</x:v>
      </x:c>
      <x:c r="H136" s="10" t="str">
        <x:v>Icy Blue Raz</x:v>
      </x:c>
      <x:c r="I136" s="10" t="str"/>
      <x:c r="J136" s="10" t="str">
        <x:v>Unit</x:v>
      </x:c>
      <x:c r="K136" s="10" t="str">
        <x:v>In stock</x:v>
      </x:c>
      <x:c r="L136" s="10" t="str">
        <x:v>2026-09-08</x:v>
      </x:c>
      <x:c r="M136" s="10" t="str"/>
      <x:c r="N136" s="10" t="str"/>
      <x:c r="O136" s="10" t="str">
        <x:v>https://www.activesportstrade.co.uk/applied-nutrition-trade</x:v>
      </x:c>
      <x:c r="P136" s="10" t="str"/>
      <x:c r="S136" t="str">
        <x:v>Pending genuine supplier/brand image</x:v>
      </x:c>
      <x:c r="T136" s="54" t="n">
        <x:v>13.58</x:v>
      </x:c>
      <x:c r="U136" s="47" t="n">
        <x:v>0.2</x:v>
      </x:c>
      <x:c r="V136" s="54" t="n">
        <x:f>IF(ISNUMBER(T136),T136*(1+U136),"")</x:f>
        <x:v>16.296</x:v>
      </x:c>
      <x:c r="W136" s="47" t="n">
        <x:v>0.3</x:v>
      </x:c>
      <x:c r="X136" s="54" t="n">
        <x:f>IF(ISNUMBER(V136),V136/(1-W136),"")</x:f>
        <x:v>23.28</x:v>
      </x:c>
      <x:c r="Y136" s="55" t="n">
        <x:f>IF(ISNUMBER(X136),ROUNDUP(X136,0),"")</x:f>
        <x:v>24</x:v>
      </x:c>
      <x:c r="Z136" t="str">
        <x:v>Source match pending</x:v>
      </x:c>
      <x:c r="AA136" t="str">
        <x:v>screencapture-www-activesportstrade-co-uk-applied-nutrition-trade-2026-09-10-08_59_59.pdf / page-03</x:v>
      </x:c>
      <x:c r="AB136" s="36" t="n">
        <x:f>IF(ISNUMBER(Y136),ROUND(Y136*0.9,2),"")</x:f>
        <x:v>21.6</x:v>
      </x:c>
      <x:c r="AC136" s="36" t="n">
        <x:f>IF(ISNUMBER(AB136),ROUND(AB136-(AB136*0.015+0.2)-V136,2),"")</x:f>
        <x:v>4.78</x:v>
      </x:c>
      <x:c r="AD136" s="36" t="n">
        <x:f>IF(ISNUMBER(Y136),ROUND(Y136*0.8,2),"")</x:f>
        <x:v>19.2</x:v>
      </x:c>
      <x:c r="AE136" s="36" t="n">
        <x:f>IF(ISNUMBER(AD136),ROUND(AD136*0.015+0.2,2),"")</x:f>
        <x:v>0.49</x:v>
      </x:c>
      <x:c r="AF136" s="36" t="n">
        <x:f>IF(ISNUMBER(AD136),ROUND(AD136-AE136-V136,2),"")</x:f>
        <x:v>2.41</x:v>
      </x:c>
      <x:c r="AG136" t="str">
        <x:f>IF(NOT(ISNUMBER(T136)),"PENDING",IF(AF136&gt;0,"PASS","FAIL"))</x:f>
        <x:v>PASS</x:v>
      </x:c>
      <x:c r="AH136" t="str">
        <x:f>IF(NOT(ISNUMBER(T136)),"Needs supplier cost",IF(K136&lt;&gt;"In stock","Supplier unavailable",IF(AG136&lt;&gt;"PASS","BLOCK - GT loss risk","Commercially protected")))</x:f>
        <x:v>Commercially protected</x:v>
      </x:c>
      <x:c r="AI136" t="str">
        <x:v>2026-09-10 Active Sports trade capture</x:v>
      </x:c>
      <x:c r="AJ136" t="str">
        <x:v>Management-only economics. Stripe stress test uses 1.5% + £0.20 standard UK online-card fee; pallet/mix-and-match pricing ignored.</x:v>
      </x:c>
    </x:row>
    <x:row r="137">
      <x:c r="A137" s="10" t="str">
        <x:v>Active Sports Nutrition</x:v>
      </x:c>
      <x:c r="B137" s="10" t="str">
        <x:v>Applied Nutrition</x:v>
      </x:c>
      <x:c r="C137" s="10" t="str">
        <x:v>BCAA Amino Hydrate</x:v>
      </x:c>
      <x:c r="D137" s="10" t="str">
        <x:v>Supplements</x:v>
      </x:c>
      <x:c r="E137" s="10" t="str">
        <x:v>BCAAS</x:v>
      </x:c>
      <x:c r="F137" s="10" t="str">
        <x:v>BCAA intra-workout and recovery drink mix.</x:v>
      </x:c>
      <x:c r="G137" s="10" t="str">
        <x:v>32 servings</x:v>
      </x:c>
      <x:c r="H137" s="10" t="str">
        <x:v>Lemon Lime</x:v>
      </x:c>
      <x:c r="I137" s="10" t="str"/>
      <x:c r="J137" s="10" t="str">
        <x:v>Unit</x:v>
      </x:c>
      <x:c r="K137" s="10" t="str">
        <x:v>In stock</x:v>
      </x:c>
      <x:c r="L137" s="10" t="str">
        <x:v>2026-09-08</x:v>
      </x:c>
      <x:c r="M137" s="10" t="str"/>
      <x:c r="N137" s="10" t="str"/>
      <x:c r="O137" s="10" t="str">
        <x:v>https://www.activesportstrade.co.uk/applied-nutrition-trade</x:v>
      </x:c>
      <x:c r="P137" s="10" t="str"/>
      <x:c r="S137" t="str">
        <x:v>Pending genuine supplier/brand image</x:v>
      </x:c>
      <x:c r="T137" s="54" t="n">
        <x:v>13.58</x:v>
      </x:c>
      <x:c r="U137" s="47" t="n">
        <x:v>0.2</x:v>
      </x:c>
      <x:c r="V137" s="54" t="n">
        <x:f>IF(ISNUMBER(T137),T137*(1+U137),"")</x:f>
        <x:v>16.296</x:v>
      </x:c>
      <x:c r="W137" s="47" t="n">
        <x:v>0.3</x:v>
      </x:c>
      <x:c r="X137" s="54" t="n">
        <x:f>IF(ISNUMBER(V137),V137/(1-W137),"")</x:f>
        <x:v>23.28</x:v>
      </x:c>
      <x:c r="Y137" s="55" t="n">
        <x:f>IF(ISNUMBER(X137),ROUNDUP(X137,0),"")</x:f>
        <x:v>24</x:v>
      </x:c>
      <x:c r="Z137" t="str">
        <x:v>Source match pending</x:v>
      </x:c>
      <x:c r="AA137" t="str">
        <x:v>screencapture-www-activesportstrade-co-uk-applied-nutrition-trade-2026-09-10-08_59_59.pdf / page-03</x:v>
      </x:c>
      <x:c r="AB137" s="36" t="n">
        <x:f>IF(ISNUMBER(Y137),ROUND(Y137*0.9,2),"")</x:f>
        <x:v>21.6</x:v>
      </x:c>
      <x:c r="AC137" s="36" t="n">
        <x:f>IF(ISNUMBER(AB137),ROUND(AB137-(AB137*0.015+0.2)-V137,2),"")</x:f>
        <x:v>4.78</x:v>
      </x:c>
      <x:c r="AD137" s="36" t="n">
        <x:f>IF(ISNUMBER(Y137),ROUND(Y137*0.8,2),"")</x:f>
        <x:v>19.2</x:v>
      </x:c>
      <x:c r="AE137" s="36" t="n">
        <x:f>IF(ISNUMBER(AD137),ROUND(AD137*0.015+0.2,2),"")</x:f>
        <x:v>0.49</x:v>
      </x:c>
      <x:c r="AF137" s="36" t="n">
        <x:f>IF(ISNUMBER(AD137),ROUND(AD137-AE137-V137,2),"")</x:f>
        <x:v>2.41</x:v>
      </x:c>
      <x:c r="AG137" t="str">
        <x:f>IF(NOT(ISNUMBER(T137)),"PENDING",IF(AF137&gt;0,"PASS","FAIL"))</x:f>
        <x:v>PASS</x:v>
      </x:c>
      <x:c r="AH137" t="str">
        <x:f>IF(NOT(ISNUMBER(T137)),"Needs supplier cost",IF(K137&lt;&gt;"In stock","Supplier unavailable",IF(AG137&lt;&gt;"PASS","BLOCK - GT loss risk","Commercially protected")))</x:f>
        <x:v>Commercially protected</x:v>
      </x:c>
      <x:c r="AI137" t="str">
        <x:v>2026-09-10 Active Sports trade capture</x:v>
      </x:c>
      <x:c r="AJ137" t="str">
        <x:v>Management-only economics. Stripe stress test uses 1.5% + £0.20 standard UK online-card fee; pallet/mix-and-match pricing ignored.</x:v>
      </x:c>
    </x:row>
    <x:row r="138">
      <x:c r="A138" s="10" t="str">
        <x:v>Active Sports Nutrition</x:v>
      </x:c>
      <x:c r="B138" s="10" t="str">
        <x:v>Applied Nutrition</x:v>
      </x:c>
      <x:c r="C138" s="10" t="str">
        <x:v>BCAA Amino Hydrate</x:v>
      </x:c>
      <x:c r="D138" s="10" t="str">
        <x:v>Supplements</x:v>
      </x:c>
      <x:c r="E138" s="10" t="str">
        <x:v>BCAAS</x:v>
      </x:c>
      <x:c r="F138" s="10" t="str">
        <x:v>BCAA intra-workout and recovery drink mix.</x:v>
      </x:c>
      <x:c r="G138" s="10" t="str">
        <x:v>32 servings</x:v>
      </x:c>
      <x:c r="H138" s="10" t="str">
        <x:v>Orange and Mango</x:v>
      </x:c>
      <x:c r="I138" s="10" t="str"/>
      <x:c r="J138" s="10" t="str">
        <x:v>Unit</x:v>
      </x:c>
      <x:c r="K138" s="10" t="str">
        <x:v>In stock</x:v>
      </x:c>
      <x:c r="L138" s="10" t="str">
        <x:v>2026-09-08</x:v>
      </x:c>
      <x:c r="M138" s="10" t="str"/>
      <x:c r="N138" s="10" t="str"/>
      <x:c r="O138" s="10" t="str">
        <x:v>https://www.activesportstrade.co.uk/applied-nutrition-trade</x:v>
      </x:c>
      <x:c r="P138" s="10" t="str"/>
      <x:c r="S138" t="str">
        <x:v>Pending genuine supplier/brand image</x:v>
      </x:c>
      <x:c r="T138" s="54" t="n">
        <x:v>13.58</x:v>
      </x:c>
      <x:c r="U138" s="47" t="n">
        <x:v>0.2</x:v>
      </x:c>
      <x:c r="V138" s="54" t="n">
        <x:f>IF(ISNUMBER(T138),T138*(1+U138),"")</x:f>
        <x:v>16.296</x:v>
      </x:c>
      <x:c r="W138" s="47" t="n">
        <x:v>0.3</x:v>
      </x:c>
      <x:c r="X138" s="54" t="n">
        <x:f>IF(ISNUMBER(V138),V138/(1-W138),"")</x:f>
        <x:v>23.28</x:v>
      </x:c>
      <x:c r="Y138" s="55" t="n">
        <x:f>IF(ISNUMBER(X138),ROUNDUP(X138,0),"")</x:f>
        <x:v>24</x:v>
      </x:c>
      <x:c r="Z138" t="str">
        <x:v>Source match pending</x:v>
      </x:c>
      <x:c r="AA138" t="str">
        <x:v>screencapture-www-activesportstrade-co-uk-applied-nutrition-trade-2026-09-10-08_59_59.pdf / page-03</x:v>
      </x:c>
      <x:c r="AB138" s="36" t="n">
        <x:f>IF(ISNUMBER(Y138),ROUND(Y138*0.9,2),"")</x:f>
        <x:v>21.6</x:v>
      </x:c>
      <x:c r="AC138" s="36" t="n">
        <x:f>IF(ISNUMBER(AB138),ROUND(AB138-(AB138*0.015+0.2)-V138,2),"")</x:f>
        <x:v>4.78</x:v>
      </x:c>
      <x:c r="AD138" s="36" t="n">
        <x:f>IF(ISNUMBER(Y138),ROUND(Y138*0.8,2),"")</x:f>
        <x:v>19.2</x:v>
      </x:c>
      <x:c r="AE138" s="36" t="n">
        <x:f>IF(ISNUMBER(AD138),ROUND(AD138*0.015+0.2,2),"")</x:f>
        <x:v>0.49</x:v>
      </x:c>
      <x:c r="AF138" s="36" t="n">
        <x:f>IF(ISNUMBER(AD138),ROUND(AD138-AE138-V138,2),"")</x:f>
        <x:v>2.41</x:v>
      </x:c>
      <x:c r="AG138" t="str">
        <x:f>IF(NOT(ISNUMBER(T138)),"PENDING",IF(AF138&gt;0,"PASS","FAIL"))</x:f>
        <x:v>PASS</x:v>
      </x:c>
      <x:c r="AH138" t="str">
        <x:f>IF(NOT(ISNUMBER(T138)),"Needs supplier cost",IF(K138&lt;&gt;"In stock","Supplier unavailable",IF(AG138&lt;&gt;"PASS","BLOCK - GT loss risk","Commercially protected")))</x:f>
        <x:v>Commercially protected</x:v>
      </x:c>
      <x:c r="AI138" t="str">
        <x:v>2026-09-10 Active Sports trade capture</x:v>
      </x:c>
      <x:c r="AJ138" t="str">
        <x:v>Management-only economics. Stripe stress test uses 1.5% + £0.20 standard UK online-card fee; pallet/mix-and-match pricing ignored.</x:v>
      </x:c>
    </x:row>
    <x:row r="139">
      <x:c r="A139" s="10" t="str">
        <x:v>Active Sports Nutrition</x:v>
      </x:c>
      <x:c r="B139" s="10" t="str">
        <x:v>Applied Nutrition</x:v>
      </x:c>
      <x:c r="C139" s="10" t="str">
        <x:v>BCAA Amino Hydrate</x:v>
      </x:c>
      <x:c r="D139" s="10" t="str">
        <x:v>Supplements</x:v>
      </x:c>
      <x:c r="E139" s="10" t="str">
        <x:v>BCAAS</x:v>
      </x:c>
      <x:c r="F139" s="10" t="str">
        <x:v>BCAA intra-workout and recovery drink mix.</x:v>
      </x:c>
      <x:c r="G139" s="10" t="str">
        <x:v>32 servings</x:v>
      </x:c>
      <x:c r="H139" s="10" t="str">
        <x:v>Pineapple</x:v>
      </x:c>
      <x:c r="I139" s="10" t="str"/>
      <x:c r="J139" s="10" t="str">
        <x:v>Unit</x:v>
      </x:c>
      <x:c r="K139" s="10" t="str">
        <x:v>In stock</x:v>
      </x:c>
      <x:c r="L139" s="10" t="str">
        <x:v>2026-09-08</x:v>
      </x:c>
      <x:c r="M139" s="10" t="str"/>
      <x:c r="N139" s="10" t="str"/>
      <x:c r="O139" s="10" t="str">
        <x:v>https://www.activesportstrade.co.uk/applied-nutrition-trade</x:v>
      </x:c>
      <x:c r="P139" s="10" t="str"/>
      <x:c r="S139" t="str">
        <x:v>Pending genuine supplier/brand image</x:v>
      </x:c>
      <x:c r="T139" s="54" t="n">
        <x:v>13.58</x:v>
      </x:c>
      <x:c r="U139" s="47" t="n">
        <x:v>0.2</x:v>
      </x:c>
      <x:c r="V139" s="54" t="n">
        <x:f>IF(ISNUMBER(T139),T139*(1+U139),"")</x:f>
        <x:v>16.296</x:v>
      </x:c>
      <x:c r="W139" s="47" t="n">
        <x:v>0.3</x:v>
      </x:c>
      <x:c r="X139" s="54" t="n">
        <x:f>IF(ISNUMBER(V139),V139/(1-W139),"")</x:f>
        <x:v>23.28</x:v>
      </x:c>
      <x:c r="Y139" s="55" t="n">
        <x:f>IF(ISNUMBER(X139),ROUNDUP(X139,0),"")</x:f>
        <x:v>24</x:v>
      </x:c>
      <x:c r="Z139" t="str">
        <x:v>Source match pending</x:v>
      </x:c>
      <x:c r="AA139" t="str">
        <x:v>screencapture-www-activesportstrade-co-uk-applied-nutrition-trade-2026-09-10-08_59_59.pdf / page-03</x:v>
      </x:c>
      <x:c r="AB139" s="36" t="n">
        <x:f>IF(ISNUMBER(Y139),ROUND(Y139*0.9,2),"")</x:f>
        <x:v>21.6</x:v>
      </x:c>
      <x:c r="AC139" s="36" t="n">
        <x:f>IF(ISNUMBER(AB139),ROUND(AB139-(AB139*0.015+0.2)-V139,2),"")</x:f>
        <x:v>4.78</x:v>
      </x:c>
      <x:c r="AD139" s="36" t="n">
        <x:f>IF(ISNUMBER(Y139),ROUND(Y139*0.8,2),"")</x:f>
        <x:v>19.2</x:v>
      </x:c>
      <x:c r="AE139" s="36" t="n">
        <x:f>IF(ISNUMBER(AD139),ROUND(AD139*0.015+0.2,2),"")</x:f>
        <x:v>0.49</x:v>
      </x:c>
      <x:c r="AF139" s="36" t="n">
        <x:f>IF(ISNUMBER(AD139),ROUND(AD139-AE139-V139,2),"")</x:f>
        <x:v>2.41</x:v>
      </x:c>
      <x:c r="AG139" t="str">
        <x:f>IF(NOT(ISNUMBER(T139)),"PENDING",IF(AF139&gt;0,"PASS","FAIL"))</x:f>
        <x:v>PASS</x:v>
      </x:c>
      <x:c r="AH139" t="str">
        <x:f>IF(NOT(ISNUMBER(T139)),"Needs supplier cost",IF(K139&lt;&gt;"In stock","Supplier unavailable",IF(AG139&lt;&gt;"PASS","BLOCK - GT loss risk","Commercially protected")))</x:f>
        <x:v>Commercially protected</x:v>
      </x:c>
      <x:c r="AI139" t="str">
        <x:v>2026-09-10 Active Sports trade capture</x:v>
      </x:c>
      <x:c r="AJ139" t="str">
        <x:v>Management-only economics. Stripe stress test uses 1.5% + £0.20 standard UK online-card fee; pallet/mix-and-match pricing ignored.</x:v>
      </x:c>
    </x:row>
    <x:row r="140">
      <x:c r="A140" s="10" t="str">
        <x:v>Active Sports Nutrition</x:v>
      </x:c>
      <x:c r="B140" s="10" t="str">
        <x:v>Applied Nutrition</x:v>
      </x:c>
      <x:c r="C140" s="10" t="str">
        <x:v>BCAA Amino Hydrate</x:v>
      </x:c>
      <x:c r="D140" s="10" t="str">
        <x:v>Supplements</x:v>
      </x:c>
      <x:c r="E140" s="10" t="str">
        <x:v>BCAAS</x:v>
      </x:c>
      <x:c r="F140" s="10" t="str">
        <x:v>BCAA intra-workout and recovery drink mix.</x:v>
      </x:c>
      <x:c r="G140" s="10" t="str">
        <x:v>32 servings</x:v>
      </x:c>
      <x:c r="H140" s="10" t="str">
        <x:v>Watermelon</x:v>
      </x:c>
      <x:c r="I140" s="10" t="str"/>
      <x:c r="J140" s="10" t="str">
        <x:v>Unit</x:v>
      </x:c>
      <x:c r="K140" s="10" t="str">
        <x:v>In stock</x:v>
      </x:c>
      <x:c r="L140" s="10" t="str">
        <x:v>2026-09-08</x:v>
      </x:c>
      <x:c r="M140" s="10" t="str"/>
      <x:c r="N140" s="10" t="str"/>
      <x:c r="O140" s="10" t="str">
        <x:v>https://www.activesportstrade.co.uk/applied-nutrition-trade</x:v>
      </x:c>
      <x:c r="P140" s="10" t="str"/>
      <x:c r="S140" t="str">
        <x:v>Pending genuine supplier/brand image</x:v>
      </x:c>
      <x:c r="T140" s="54" t="n">
        <x:v>13.58</x:v>
      </x:c>
      <x:c r="U140" s="47" t="n">
        <x:v>0.2</x:v>
      </x:c>
      <x:c r="V140" s="54" t="n">
        <x:f>IF(ISNUMBER(T140),T140*(1+U140),"")</x:f>
        <x:v>16.296</x:v>
      </x:c>
      <x:c r="W140" s="47" t="n">
        <x:v>0.3</x:v>
      </x:c>
      <x:c r="X140" s="54" t="n">
        <x:f>IF(ISNUMBER(V140),V140/(1-W140),"")</x:f>
        <x:v>23.28</x:v>
      </x:c>
      <x:c r="Y140" s="55" t="n">
        <x:f>IF(ISNUMBER(X140),ROUNDUP(X140,0),"")</x:f>
        <x:v>24</x:v>
      </x:c>
      <x:c r="Z140" t="str">
        <x:v>Source match pending</x:v>
      </x:c>
      <x:c r="AA140" t="str">
        <x:v>screencapture-www-activesportstrade-co-uk-applied-nutrition-trade-2026-09-10-08_59_59.pdf / page-03</x:v>
      </x:c>
      <x:c r="AB140" s="36" t="n">
        <x:f>IF(ISNUMBER(Y140),ROUND(Y140*0.9,2),"")</x:f>
        <x:v>21.6</x:v>
      </x:c>
      <x:c r="AC140" s="36" t="n">
        <x:f>IF(ISNUMBER(AB140),ROUND(AB140-(AB140*0.015+0.2)-V140,2),"")</x:f>
        <x:v>4.78</x:v>
      </x:c>
      <x:c r="AD140" s="36" t="n">
        <x:f>IF(ISNUMBER(Y140),ROUND(Y140*0.8,2),"")</x:f>
        <x:v>19.2</x:v>
      </x:c>
      <x:c r="AE140" s="36" t="n">
        <x:f>IF(ISNUMBER(AD140),ROUND(AD140*0.015+0.2,2),"")</x:f>
        <x:v>0.49</x:v>
      </x:c>
      <x:c r="AF140" s="36" t="n">
        <x:f>IF(ISNUMBER(AD140),ROUND(AD140-AE140-V140,2),"")</x:f>
        <x:v>2.41</x:v>
      </x:c>
      <x:c r="AG140" t="str">
        <x:f>IF(NOT(ISNUMBER(T140)),"PENDING",IF(AF140&gt;0,"PASS","FAIL"))</x:f>
        <x:v>PASS</x:v>
      </x:c>
      <x:c r="AH140" t="str">
        <x:f>IF(NOT(ISNUMBER(T140)),"Needs supplier cost",IF(K140&lt;&gt;"In stock","Supplier unavailable",IF(AG140&lt;&gt;"PASS","BLOCK - GT loss risk","Commercially protected")))</x:f>
        <x:v>Commercially protected</x:v>
      </x:c>
      <x:c r="AI140" t="str">
        <x:v>2026-09-10 Active Sports trade capture</x:v>
      </x:c>
      <x:c r="AJ140" t="str">
        <x:v>Management-only economics. Stripe stress test uses 1.5% + £0.20 standard UK online-card fee; pallet/mix-and-match pricing ignored.</x:v>
      </x:c>
    </x:row>
    <x:row r="141">
      <x:c r="A141" s="10" t="str">
        <x:v>Active Sports Nutrition</x:v>
      </x:c>
      <x:c r="B141" s="10" t="str">
        <x:v>Applied Nutrition</x:v>
      </x:c>
      <x:c r="C141" s="10" t="str">
        <x:v>BCAA Amino Hydrate</x:v>
      </x:c>
      <x:c r="D141" s="10" t="str">
        <x:v>Supplements</x:v>
      </x:c>
      <x:c r="E141" s="10" t="str">
        <x:v>BCAAS</x:v>
      </x:c>
      <x:c r="F141" s="10" t="str">
        <x:v>BCAA intra-workout and recovery drink mix.</x:v>
      </x:c>
      <x:c r="G141" s="10" t="str">
        <x:v>1.4kg / 100 servings</x:v>
      </x:c>
      <x:c r="H141" s="10" t="str">
        <x:v>Blue Raspberry</x:v>
      </x:c>
      <x:c r="I141" s="10" t="str"/>
      <x:c r="J141" s="10" t="str">
        <x:v>Unit</x:v>
      </x:c>
      <x:c r="K141" s="10" t="str">
        <x:v>In stock</x:v>
      </x:c>
      <x:c r="L141" s="10" t="str">
        <x:v>2026-09-08</x:v>
      </x:c>
      <x:c r="M141" s="10" t="str"/>
      <x:c r="N141" s="10" t="str"/>
      <x:c r="O141" s="10" t="str">
        <x:v>https://www.activesportstrade.co.uk/applied-nutrition-trade</x:v>
      </x:c>
      <x:c r="P141" s="10" t="str"/>
      <x:c r="S141" t="str">
        <x:v>Pending genuine supplier/brand image</x:v>
      </x:c>
      <x:c r="T141" s="54" t="n">
        <x:v>27.8</x:v>
      </x:c>
      <x:c r="U141" s="47" t="n">
        <x:v>0.2</x:v>
      </x:c>
      <x:c r="V141" s="54" t="n">
        <x:f>IF(ISNUMBER(T141),T141*(1+U141),"")</x:f>
        <x:v>33.36</x:v>
      </x:c>
      <x:c r="W141" s="47" t="n">
        <x:v>0.3</x:v>
      </x:c>
      <x:c r="X141" s="54" t="n">
        <x:f>IF(ISNUMBER(V141),V141/(1-W141),"")</x:f>
        <x:v>47.65714285714286</x:v>
      </x:c>
      <x:c r="Y141" s="55" t="n">
        <x:f>IF(ISNUMBER(X141),ROUNDUP(X141,0),"")</x:f>
        <x:v>48</x:v>
      </x:c>
      <x:c r="Z141" t="str">
        <x:v>Source match pending</x:v>
      </x:c>
      <x:c r="AA141" t="str">
        <x:v>screencapture-www-activesportstrade-co-uk-applied-nutrition-trade-2026-09-10-08_59_59.pdf / page-03</x:v>
      </x:c>
      <x:c r="AB141" s="36" t="n">
        <x:f>IF(ISNUMBER(Y141),ROUND(Y141*0.9,2),"")</x:f>
        <x:v>43.2</x:v>
      </x:c>
      <x:c r="AC141" s="36" t="n">
        <x:f>IF(ISNUMBER(AB141),ROUND(AB141-(AB141*0.015+0.2)-V141,2),"")</x:f>
        <x:v>8.99</x:v>
      </x:c>
      <x:c r="AD141" s="36" t="n">
        <x:f>IF(ISNUMBER(Y141),ROUND(Y141*0.8,2),"")</x:f>
        <x:v>38.4</x:v>
      </x:c>
      <x:c r="AE141" s="36" t="n">
        <x:f>IF(ISNUMBER(AD141),ROUND(AD141*0.015+0.2,2),"")</x:f>
        <x:v>0.78</x:v>
      </x:c>
      <x:c r="AF141" s="36" t="n">
        <x:f>IF(ISNUMBER(AD141),ROUND(AD141-AE141-V141,2),"")</x:f>
        <x:v>4.26</x:v>
      </x:c>
      <x:c r="AG141" t="str">
        <x:f>IF(NOT(ISNUMBER(T141)),"PENDING",IF(AF141&gt;0,"PASS","FAIL"))</x:f>
        <x:v>PASS</x:v>
      </x:c>
      <x:c r="AH141" t="str">
        <x:f>IF(NOT(ISNUMBER(T141)),"Needs supplier cost",IF(K141&lt;&gt;"In stock","Supplier unavailable",IF(AG141&lt;&gt;"PASS","BLOCK - GT loss risk","Commercially protected")))</x:f>
        <x:v>Commercially protected</x:v>
      </x:c>
      <x:c r="AI141" t="str">
        <x:v>2026-09-10 Active Sports trade capture</x:v>
      </x:c>
      <x:c r="AJ141" t="str">
        <x:v>Management-only economics. Stripe stress test uses 1.5% + £0.20 standard UK online-card fee; pallet/mix-and-match pricing ignored.</x:v>
      </x:c>
    </x:row>
    <x:row r="142">
      <x:c r="A142" s="10" t="str">
        <x:v>Active Sports Nutrition</x:v>
      </x:c>
      <x:c r="B142" s="10" t="str">
        <x:v>Applied Nutrition</x:v>
      </x:c>
      <x:c r="C142" s="10" t="str">
        <x:v>BCAA Amino Hydrate</x:v>
      </x:c>
      <x:c r="D142" s="10" t="str">
        <x:v>Supplements</x:v>
      </x:c>
      <x:c r="E142" s="10" t="str">
        <x:v>BCAAS</x:v>
      </x:c>
      <x:c r="F142" s="10" t="str">
        <x:v>BCAA intra-workout and recovery drink mix.</x:v>
      </x:c>
      <x:c r="G142" s="10" t="str">
        <x:v>1.4kg / 100 servings</x:v>
      </x:c>
      <x:c r="H142" s="10" t="str">
        <x:v>Fruit Burst</x:v>
      </x:c>
      <x:c r="I142" s="10" t="str"/>
      <x:c r="J142" s="10" t="str">
        <x:v>Unit</x:v>
      </x:c>
      <x:c r="K142" s="10" t="str">
        <x:v>In stock</x:v>
      </x:c>
      <x:c r="L142" s="10" t="str">
        <x:v>2026-09-08</x:v>
      </x:c>
      <x:c r="M142" s="10" t="str"/>
      <x:c r="N142" s="10" t="str"/>
      <x:c r="O142" s="10" t="str">
        <x:v>https://www.activesportstrade.co.uk/applied-nutrition-trade</x:v>
      </x:c>
      <x:c r="P142" s="10" t="str"/>
      <x:c r="S142" t="str">
        <x:v>Pending genuine supplier/brand image</x:v>
      </x:c>
      <x:c r="T142" s="54" t="n">
        <x:v>27.8</x:v>
      </x:c>
      <x:c r="U142" s="47" t="n">
        <x:v>0.2</x:v>
      </x:c>
      <x:c r="V142" s="54" t="n">
        <x:f>IF(ISNUMBER(T142),T142*(1+U142),"")</x:f>
        <x:v>33.36</x:v>
      </x:c>
      <x:c r="W142" s="47" t="n">
        <x:v>0.3</x:v>
      </x:c>
      <x:c r="X142" s="54" t="n">
        <x:f>IF(ISNUMBER(V142),V142/(1-W142),"")</x:f>
        <x:v>47.65714285714286</x:v>
      </x:c>
      <x:c r="Y142" s="55" t="n">
        <x:f>IF(ISNUMBER(X142),ROUNDUP(X142,0),"")</x:f>
        <x:v>48</x:v>
      </x:c>
      <x:c r="Z142" t="str">
        <x:v>Source match pending</x:v>
      </x:c>
      <x:c r="AA142" t="str">
        <x:v>screencapture-www-activesportstrade-co-uk-applied-nutrition-trade-2026-09-10-08_59_59.pdf / page-03</x:v>
      </x:c>
      <x:c r="AB142" s="36" t="n">
        <x:f>IF(ISNUMBER(Y142),ROUND(Y142*0.9,2),"")</x:f>
        <x:v>43.2</x:v>
      </x:c>
      <x:c r="AC142" s="36" t="n">
        <x:f>IF(ISNUMBER(AB142),ROUND(AB142-(AB142*0.015+0.2)-V142,2),"")</x:f>
        <x:v>8.99</x:v>
      </x:c>
      <x:c r="AD142" s="36" t="n">
        <x:f>IF(ISNUMBER(Y142),ROUND(Y142*0.8,2),"")</x:f>
        <x:v>38.4</x:v>
      </x:c>
      <x:c r="AE142" s="36" t="n">
        <x:f>IF(ISNUMBER(AD142),ROUND(AD142*0.015+0.2,2),"")</x:f>
        <x:v>0.78</x:v>
      </x:c>
      <x:c r="AF142" s="36" t="n">
        <x:f>IF(ISNUMBER(AD142),ROUND(AD142-AE142-V142,2),"")</x:f>
        <x:v>4.26</x:v>
      </x:c>
      <x:c r="AG142" t="str">
        <x:f>IF(NOT(ISNUMBER(T142)),"PENDING",IF(AF142&gt;0,"PASS","FAIL"))</x:f>
        <x:v>PASS</x:v>
      </x:c>
      <x:c r="AH142" t="str">
        <x:f>IF(NOT(ISNUMBER(T142)),"Needs supplier cost",IF(K142&lt;&gt;"In stock","Supplier unavailable",IF(AG142&lt;&gt;"PASS","BLOCK - GT loss risk","Commercially protected")))</x:f>
        <x:v>Commercially protected</x:v>
      </x:c>
      <x:c r="AI142" t="str">
        <x:v>2026-09-10 Active Sports trade capture</x:v>
      </x:c>
      <x:c r="AJ142" t="str">
        <x:v>Management-only economics. Stripe stress test uses 1.5% + £0.20 standard UK online-card fee; pallet/mix-and-match pricing ignored.</x:v>
      </x:c>
    </x:row>
    <x:row r="143">
      <x:c r="A143" s="10" t="str">
        <x:v>Active Sports Nutrition</x:v>
      </x:c>
      <x:c r="B143" s="10" t="str">
        <x:v>Applied Nutrition</x:v>
      </x:c>
      <x:c r="C143" s="10" t="str">
        <x:v>Carb-X</x:v>
      </x:c>
      <x:c r="D143" s="10" t="str">
        <x:v>Supplements</x:v>
      </x:c>
      <x:c r="E143" s="10" t="str">
        <x:v>Carbohydrates</x:v>
      </x:c>
      <x:c r="F143" s="10" t="str">
        <x:v>Highly branched cyclic dextrin carbohydrate powder.</x:v>
      </x:c>
      <x:c r="G143" s="10" t="str">
        <x:v>1.2kg</x:v>
      </x:c>
      <x:c r="H143" s="10" t="str">
        <x:v>Fruit Burst</x:v>
      </x:c>
      <x:c r="I143" s="10" t="str"/>
      <x:c r="J143" s="10" t="str">
        <x:v>Unit</x:v>
      </x:c>
      <x:c r="K143" s="10" t="str">
        <x:v>In stock</x:v>
      </x:c>
      <x:c r="L143" s="10" t="str">
        <x:v>2026-09-08</x:v>
      </x:c>
      <x:c r="M143" s="10" t="str"/>
      <x:c r="N143" s="10" t="str"/>
      <x:c r="O143" s="10" t="str">
        <x:v>https://www.activesportstrade.co.uk/applied-nutrition-trade</x:v>
      </x:c>
      <x:c r="P143" s="10" t="str"/>
      <x:c r="S143" t="str">
        <x:v>Pending genuine supplier/brand image</x:v>
      </x:c>
      <x:c r="T143" s="54" t="n">
        <x:v>13.38</x:v>
      </x:c>
      <x:c r="U143" s="47" t="n">
        <x:v>0.2</x:v>
      </x:c>
      <x:c r="V143" s="54" t="n">
        <x:f>IF(ISNUMBER(T143),T143*(1+U143),"")</x:f>
        <x:v>16.056</x:v>
      </x:c>
      <x:c r="W143" s="47" t="n">
        <x:v>0.3</x:v>
      </x:c>
      <x:c r="X143" s="54" t="n">
        <x:f>IF(ISNUMBER(V143),V143/(1-W143),"")</x:f>
        <x:v>22.93714285714286</x:v>
      </x:c>
      <x:c r="Y143" s="55" t="n">
        <x:f>IF(ISNUMBER(X143),ROUNDUP(X143,0),"")</x:f>
        <x:v>23</x:v>
      </x:c>
      <x:c r="Z143" t="str">
        <x:v>Source match pending</x:v>
      </x:c>
      <x:c r="AA143" t="str">
        <x:v>screencapture-www-activesportstrade-co-uk-applied-nutrition-trade-2026-09-10-08_59_59.pdf / page-05</x:v>
      </x:c>
      <x:c r="AB143" s="36" t="n">
        <x:f>IF(ISNUMBER(Y143),ROUND(Y143*0.9,2),"")</x:f>
        <x:v>20.7</x:v>
      </x:c>
      <x:c r="AC143" s="36" t="n">
        <x:f>IF(ISNUMBER(AB143),ROUND(AB143-(AB143*0.015+0.2)-V143,2),"")</x:f>
        <x:v>4.13</x:v>
      </x:c>
      <x:c r="AD143" s="36" t="n">
        <x:f>IF(ISNUMBER(Y143),ROUND(Y143*0.8,2),"")</x:f>
        <x:v>18.4</x:v>
      </x:c>
      <x:c r="AE143" s="36" t="n">
        <x:f>IF(ISNUMBER(AD143),ROUND(AD143*0.015+0.2,2),"")</x:f>
        <x:v>0.48</x:v>
      </x:c>
      <x:c r="AF143" s="36" t="n">
        <x:f>IF(ISNUMBER(AD143),ROUND(AD143-AE143-V143,2),"")</x:f>
        <x:v>1.86</x:v>
      </x:c>
      <x:c r="AG143" t="str">
        <x:f>IF(NOT(ISNUMBER(T143)),"PENDING",IF(AF143&gt;0,"PASS","FAIL"))</x:f>
        <x:v>PASS</x:v>
      </x:c>
      <x:c r="AH143" t="str">
        <x:f>IF(NOT(ISNUMBER(T143)),"Needs supplier cost",IF(K143&lt;&gt;"In stock","Supplier unavailable",IF(AG143&lt;&gt;"PASS","BLOCK - GT loss risk","Commercially protected")))</x:f>
        <x:v>Commercially protected</x:v>
      </x:c>
      <x:c r="AI143" t="str">
        <x:v>2026-09-10 Active Sports trade capture</x:v>
      </x:c>
      <x:c r="AJ143" t="str">
        <x:v>Management-only economics. Stripe stress test uses 1.5% + £0.20 standard UK online-card fee; pallet/mix-and-match pricing ignored.</x:v>
      </x:c>
    </x:row>
    <x:row r="144">
      <x:c r="A144" s="10" t="str">
        <x:v>Active Sports Nutrition</x:v>
      </x:c>
      <x:c r="B144" s="10" t="str">
        <x:v>Applied Nutrition</x:v>
      </x:c>
      <x:c r="C144" s="10" t="str">
        <x:v>Carb-X</x:v>
      </x:c>
      <x:c r="D144" s="10" t="str">
        <x:v>Supplements</x:v>
      </x:c>
      <x:c r="E144" s="10" t="str">
        <x:v>Carbohydrates</x:v>
      </x:c>
      <x:c r="F144" s="10" t="str">
        <x:v>Highly branched cyclic dextrin carbohydrate powder.</x:v>
      </x:c>
      <x:c r="G144" s="10" t="str">
        <x:v>1.2kg</x:v>
      </x:c>
      <x:c r="H144" s="10" t="str">
        <x:v>Millions Blackcurrant</x:v>
      </x:c>
      <x:c r="I144" s="10" t="str"/>
      <x:c r="J144" s="10" t="str">
        <x:v>Unit</x:v>
      </x:c>
      <x:c r="K144" s="10" t="str">
        <x:v>In stock</x:v>
      </x:c>
      <x:c r="L144" s="10" t="str">
        <x:v>2026-09-08</x:v>
      </x:c>
      <x:c r="M144" s="10" t="str"/>
      <x:c r="N144" s="10" t="str"/>
      <x:c r="O144" s="10" t="str">
        <x:v>https://www.activesportstrade.co.uk/applied-nutrition-trade</x:v>
      </x:c>
      <x:c r="P144" s="10" t="str"/>
      <x:c r="S144" t="str">
        <x:v>Pending genuine supplier/brand image</x:v>
      </x:c>
      <x:c r="T144" s="54" t="n">
        <x:v>13.38</x:v>
      </x:c>
      <x:c r="U144" s="47" t="n">
        <x:v>0.2</x:v>
      </x:c>
      <x:c r="V144" s="54" t="n">
        <x:f>IF(ISNUMBER(T144),T144*(1+U144),"")</x:f>
        <x:v>16.056</x:v>
      </x:c>
      <x:c r="W144" s="47" t="n">
        <x:v>0.3</x:v>
      </x:c>
      <x:c r="X144" s="54" t="n">
        <x:f>IF(ISNUMBER(V144),V144/(1-W144),"")</x:f>
        <x:v>22.93714285714286</x:v>
      </x:c>
      <x:c r="Y144" s="55" t="n">
        <x:f>IF(ISNUMBER(X144),ROUNDUP(X144,0),"")</x:f>
        <x:v>23</x:v>
      </x:c>
      <x:c r="Z144" t="str">
        <x:v>Source match pending</x:v>
      </x:c>
      <x:c r="AA144" t="str">
        <x:v>screencapture-www-activesportstrade-co-uk-applied-nutrition-trade-2026-09-10-08_59_59.pdf / page-05</x:v>
      </x:c>
      <x:c r="AB144" s="36" t="n">
        <x:f>IF(ISNUMBER(Y144),ROUND(Y144*0.9,2),"")</x:f>
        <x:v>20.7</x:v>
      </x:c>
      <x:c r="AC144" s="36" t="n">
        <x:f>IF(ISNUMBER(AB144),ROUND(AB144-(AB144*0.015+0.2)-V144,2),"")</x:f>
        <x:v>4.13</x:v>
      </x:c>
      <x:c r="AD144" s="36" t="n">
        <x:f>IF(ISNUMBER(Y144),ROUND(Y144*0.8,2),"")</x:f>
        <x:v>18.4</x:v>
      </x:c>
      <x:c r="AE144" s="36" t="n">
        <x:f>IF(ISNUMBER(AD144),ROUND(AD144*0.015+0.2,2),"")</x:f>
        <x:v>0.48</x:v>
      </x:c>
      <x:c r="AF144" s="36" t="n">
        <x:f>IF(ISNUMBER(AD144),ROUND(AD144-AE144-V144,2),"")</x:f>
        <x:v>1.86</x:v>
      </x:c>
      <x:c r="AG144" t="str">
        <x:f>IF(NOT(ISNUMBER(T144)),"PENDING",IF(AF144&gt;0,"PASS","FAIL"))</x:f>
        <x:v>PASS</x:v>
      </x:c>
      <x:c r="AH144" t="str">
        <x:f>IF(NOT(ISNUMBER(T144)),"Needs supplier cost",IF(K144&lt;&gt;"In stock","Supplier unavailable",IF(AG144&lt;&gt;"PASS","BLOCK - GT loss risk","Commercially protected")))</x:f>
        <x:v>Commercially protected</x:v>
      </x:c>
      <x:c r="AI144" t="str">
        <x:v>2026-09-10 Active Sports trade capture</x:v>
      </x:c>
      <x:c r="AJ144" t="str">
        <x:v>Management-only economics. Stripe stress test uses 1.5% + £0.20 standard UK online-card fee; pallet/mix-and-match pricing ignored.</x:v>
      </x:c>
    </x:row>
    <x:row r="145">
      <x:c r="A145" s="10" t="str">
        <x:v>Active Sports Nutrition</x:v>
      </x:c>
      <x:c r="B145" s="10" t="str">
        <x:v>Applied Nutrition</x:v>
      </x:c>
      <x:c r="C145" s="10" t="str">
        <x:v>Carb-X</x:v>
      </x:c>
      <x:c r="D145" s="10" t="str">
        <x:v>Supplements</x:v>
      </x:c>
      <x:c r="E145" s="10" t="str">
        <x:v>Carbohydrates</x:v>
      </x:c>
      <x:c r="F145" s="10" t="str">
        <x:v>Highly branched cyclic dextrin carbohydrate powder.</x:v>
      </x:c>
      <x:c r="G145" s="10" t="str">
        <x:v>1.2kg</x:v>
      </x:c>
      <x:c r="H145" s="10" t="str">
        <x:v>Millions Cola</x:v>
      </x:c>
      <x:c r="I145" s="10" t="str"/>
      <x:c r="J145" s="10" t="str">
        <x:v>Unit</x:v>
      </x:c>
      <x:c r="K145" s="10" t="str">
        <x:v>In stock</x:v>
      </x:c>
      <x:c r="L145" s="10" t="str">
        <x:v>2026-09-08</x:v>
      </x:c>
      <x:c r="M145" s="10" t="str"/>
      <x:c r="N145" s="10" t="str"/>
      <x:c r="O145" s="10" t="str">
        <x:v>https://www.activesportstrade.co.uk/applied-nutrition-trade</x:v>
      </x:c>
      <x:c r="P145" s="10" t="str"/>
      <x:c r="S145" t="str">
        <x:v>Pending genuine supplier/brand image</x:v>
      </x:c>
      <x:c r="T145" s="54" t="n">
        <x:v>13.38</x:v>
      </x:c>
      <x:c r="U145" s="47" t="n">
        <x:v>0.2</x:v>
      </x:c>
      <x:c r="V145" s="54" t="n">
        <x:f>IF(ISNUMBER(T145),T145*(1+U145),"")</x:f>
        <x:v>16.056</x:v>
      </x:c>
      <x:c r="W145" s="47" t="n">
        <x:v>0.3</x:v>
      </x:c>
      <x:c r="X145" s="54" t="n">
        <x:f>IF(ISNUMBER(V145),V145/(1-W145),"")</x:f>
        <x:v>22.93714285714286</x:v>
      </x:c>
      <x:c r="Y145" s="55" t="n">
        <x:f>IF(ISNUMBER(X145),ROUNDUP(X145,0),"")</x:f>
        <x:v>23</x:v>
      </x:c>
      <x:c r="Z145" t="str">
        <x:v>Source match pending</x:v>
      </x:c>
      <x:c r="AA145" t="str">
        <x:v>screencapture-www-activesportstrade-co-uk-applied-nutrition-trade-2026-09-10-08_59_59.pdf / page-05</x:v>
      </x:c>
      <x:c r="AB145" s="36" t="n">
        <x:f>IF(ISNUMBER(Y145),ROUND(Y145*0.9,2),"")</x:f>
        <x:v>20.7</x:v>
      </x:c>
      <x:c r="AC145" s="36" t="n">
        <x:f>IF(ISNUMBER(AB145),ROUND(AB145-(AB145*0.015+0.2)-V145,2),"")</x:f>
        <x:v>4.13</x:v>
      </x:c>
      <x:c r="AD145" s="36" t="n">
        <x:f>IF(ISNUMBER(Y145),ROUND(Y145*0.8,2),"")</x:f>
        <x:v>18.4</x:v>
      </x:c>
      <x:c r="AE145" s="36" t="n">
        <x:f>IF(ISNUMBER(AD145),ROUND(AD145*0.015+0.2,2),"")</x:f>
        <x:v>0.48</x:v>
      </x:c>
      <x:c r="AF145" s="36" t="n">
        <x:f>IF(ISNUMBER(AD145),ROUND(AD145-AE145-V145,2),"")</x:f>
        <x:v>1.86</x:v>
      </x:c>
      <x:c r="AG145" t="str">
        <x:f>IF(NOT(ISNUMBER(T145)),"PENDING",IF(AF145&gt;0,"PASS","FAIL"))</x:f>
        <x:v>PASS</x:v>
      </x:c>
      <x:c r="AH145" t="str">
        <x:f>IF(NOT(ISNUMBER(T145)),"Needs supplier cost",IF(K145&lt;&gt;"In stock","Supplier unavailable",IF(AG145&lt;&gt;"PASS","BLOCK - GT loss risk","Commercially protected")))</x:f>
        <x:v>Commercially protected</x:v>
      </x:c>
      <x:c r="AI145" t="str">
        <x:v>2026-09-10 Active Sports trade capture</x:v>
      </x:c>
      <x:c r="AJ145" t="str">
        <x:v>Management-only economics. Stripe stress test uses 1.5% + £0.20 standard UK online-card fee; pallet/mix-and-match pricing ignored.</x:v>
      </x:c>
    </x:row>
    <x:row r="146">
      <x:c r="A146" s="10" t="str">
        <x:v>Active Sports Nutrition</x:v>
      </x:c>
      <x:c r="B146" s="10" t="str">
        <x:v>Applied Nutrition</x:v>
      </x:c>
      <x:c r="C146" s="10" t="str">
        <x:v>Carb-X</x:v>
      </x:c>
      <x:c r="D146" s="10" t="str">
        <x:v>Supplements</x:v>
      </x:c>
      <x:c r="E146" s="10" t="str">
        <x:v>Carbohydrates</x:v>
      </x:c>
      <x:c r="F146" s="10" t="str">
        <x:v>Highly branched cyclic dextrin carbohydrate powder.</x:v>
      </x:c>
      <x:c r="G146" s="10" t="str">
        <x:v>1.2kg</x:v>
      </x:c>
      <x:c r="H146" s="10" t="str">
        <x:v>Millions Pineapple</x:v>
      </x:c>
      <x:c r="I146" s="10" t="str"/>
      <x:c r="J146" s="10" t="str">
        <x:v>Unit</x:v>
      </x:c>
      <x:c r="K146" s="10" t="str">
        <x:v>In stock</x:v>
      </x:c>
      <x:c r="L146" s="10" t="str">
        <x:v>2026-09-08</x:v>
      </x:c>
      <x:c r="M146" s="10" t="str"/>
      <x:c r="N146" s="10" t="str"/>
      <x:c r="O146" s="10" t="str">
        <x:v>https://www.activesportstrade.co.uk/applied-nutrition-trade</x:v>
      </x:c>
      <x:c r="P146" s="10" t="str"/>
      <x:c r="S146" t="str">
        <x:v>Pending genuine supplier/brand image</x:v>
      </x:c>
      <x:c r="T146" s="54" t="n">
        <x:v>13.38</x:v>
      </x:c>
      <x:c r="U146" s="47" t="n">
        <x:v>0.2</x:v>
      </x:c>
      <x:c r="V146" s="54" t="n">
        <x:f>IF(ISNUMBER(T146),T146*(1+U146),"")</x:f>
        <x:v>16.056</x:v>
      </x:c>
      <x:c r="W146" s="47" t="n">
        <x:v>0.3</x:v>
      </x:c>
      <x:c r="X146" s="54" t="n">
        <x:f>IF(ISNUMBER(V146),V146/(1-W146),"")</x:f>
        <x:v>22.93714285714286</x:v>
      </x:c>
      <x:c r="Y146" s="55" t="n">
        <x:f>IF(ISNUMBER(X146),ROUNDUP(X146,0),"")</x:f>
        <x:v>23</x:v>
      </x:c>
      <x:c r="Z146" t="str">
        <x:v>Source match pending</x:v>
      </x:c>
      <x:c r="AA146" t="str">
        <x:v>screencapture-www-activesportstrade-co-uk-applied-nutrition-trade-2026-09-10-08_59_59.pdf / page-05</x:v>
      </x:c>
      <x:c r="AB146" s="36" t="n">
        <x:f>IF(ISNUMBER(Y146),ROUND(Y146*0.9,2),"")</x:f>
        <x:v>20.7</x:v>
      </x:c>
      <x:c r="AC146" s="36" t="n">
        <x:f>IF(ISNUMBER(AB146),ROUND(AB146-(AB146*0.015+0.2)-V146,2),"")</x:f>
        <x:v>4.13</x:v>
      </x:c>
      <x:c r="AD146" s="36" t="n">
        <x:f>IF(ISNUMBER(Y146),ROUND(Y146*0.8,2),"")</x:f>
        <x:v>18.4</x:v>
      </x:c>
      <x:c r="AE146" s="36" t="n">
        <x:f>IF(ISNUMBER(AD146),ROUND(AD146*0.015+0.2,2),"")</x:f>
        <x:v>0.48</x:v>
      </x:c>
      <x:c r="AF146" s="36" t="n">
        <x:f>IF(ISNUMBER(AD146),ROUND(AD146-AE146-V146,2),"")</x:f>
        <x:v>1.86</x:v>
      </x:c>
      <x:c r="AG146" t="str">
        <x:f>IF(NOT(ISNUMBER(T146)),"PENDING",IF(AF146&gt;0,"PASS","FAIL"))</x:f>
        <x:v>PASS</x:v>
      </x:c>
      <x:c r="AH146" t="str">
        <x:f>IF(NOT(ISNUMBER(T146)),"Needs supplier cost",IF(K146&lt;&gt;"In stock","Supplier unavailable",IF(AG146&lt;&gt;"PASS","BLOCK - GT loss risk","Commercially protected")))</x:f>
        <x:v>Commercially protected</x:v>
      </x:c>
      <x:c r="AI146" t="str">
        <x:v>2026-09-10 Active Sports trade capture</x:v>
      </x:c>
      <x:c r="AJ146" t="str">
        <x:v>Management-only economics. Stripe stress test uses 1.5% + £0.20 standard UK online-card fee; pallet/mix-and-match pricing ignored.</x:v>
      </x:c>
    </x:row>
    <x:row r="147">
      <x:c r="A147" s="10" t="str">
        <x:v>Active Sports Nutrition</x:v>
      </x:c>
      <x:c r="B147" s="10" t="str">
        <x:v>Applied Nutrition</x:v>
      </x:c>
      <x:c r="C147" s="10" t="str">
        <x:v>Carb-X</x:v>
      </x:c>
      <x:c r="D147" s="10" t="str">
        <x:v>Supplements</x:v>
      </x:c>
      <x:c r="E147" s="10" t="str">
        <x:v>Carbohydrates</x:v>
      </x:c>
      <x:c r="F147" s="10" t="str">
        <x:v>Highly branched cyclic dextrin carbohydrate powder.</x:v>
      </x:c>
      <x:c r="G147" s="10" t="str">
        <x:v>1.2kg</x:v>
      </x:c>
      <x:c r="H147" s="10" t="str">
        <x:v>Orange Burst</x:v>
      </x:c>
      <x:c r="I147" s="10" t="str"/>
      <x:c r="J147" s="10" t="str">
        <x:v>Unit</x:v>
      </x:c>
      <x:c r="K147" s="10" t="str">
        <x:v>In stock</x:v>
      </x:c>
      <x:c r="L147" s="10" t="str">
        <x:v>2026-09-08</x:v>
      </x:c>
      <x:c r="M147" s="10" t="str"/>
      <x:c r="N147" s="10" t="str"/>
      <x:c r="O147" s="10" t="str">
        <x:v>https://www.activesportstrade.co.uk/applied-nutrition-trade</x:v>
      </x:c>
      <x:c r="P147" s="10" t="str"/>
      <x:c r="S147" t="str">
        <x:v>Pending genuine supplier/brand image</x:v>
      </x:c>
      <x:c r="T147" s="54" t="n">
        <x:v>13.38</x:v>
      </x:c>
      <x:c r="U147" s="47" t="n">
        <x:v>0.2</x:v>
      </x:c>
      <x:c r="V147" s="54" t="n">
        <x:f>IF(ISNUMBER(T147),T147*(1+U147),"")</x:f>
        <x:v>16.056</x:v>
      </x:c>
      <x:c r="W147" s="47" t="n">
        <x:v>0.3</x:v>
      </x:c>
      <x:c r="X147" s="54" t="n">
        <x:f>IF(ISNUMBER(V147),V147/(1-W147),"")</x:f>
        <x:v>22.93714285714286</x:v>
      </x:c>
      <x:c r="Y147" s="55" t="n">
        <x:f>IF(ISNUMBER(X147),ROUNDUP(X147,0),"")</x:f>
        <x:v>23</x:v>
      </x:c>
      <x:c r="Z147" t="str">
        <x:v>Source match pending</x:v>
      </x:c>
      <x:c r="AA147" t="str">
        <x:v>screencapture-www-activesportstrade-co-uk-applied-nutrition-trade-2026-09-10-08_59_59.pdf / page-05</x:v>
      </x:c>
      <x:c r="AB147" s="36" t="n">
        <x:f>IF(ISNUMBER(Y147),ROUND(Y147*0.9,2),"")</x:f>
        <x:v>20.7</x:v>
      </x:c>
      <x:c r="AC147" s="36" t="n">
        <x:f>IF(ISNUMBER(AB147),ROUND(AB147-(AB147*0.015+0.2)-V147,2),"")</x:f>
        <x:v>4.13</x:v>
      </x:c>
      <x:c r="AD147" s="36" t="n">
        <x:f>IF(ISNUMBER(Y147),ROUND(Y147*0.8,2),"")</x:f>
        <x:v>18.4</x:v>
      </x:c>
      <x:c r="AE147" s="36" t="n">
        <x:f>IF(ISNUMBER(AD147),ROUND(AD147*0.015+0.2,2),"")</x:f>
        <x:v>0.48</x:v>
      </x:c>
      <x:c r="AF147" s="36" t="n">
        <x:f>IF(ISNUMBER(AD147),ROUND(AD147-AE147-V147,2),"")</x:f>
        <x:v>1.86</x:v>
      </x:c>
      <x:c r="AG147" t="str">
        <x:f>IF(NOT(ISNUMBER(T147)),"PENDING",IF(AF147&gt;0,"PASS","FAIL"))</x:f>
        <x:v>PASS</x:v>
      </x:c>
      <x:c r="AH147" t="str">
        <x:f>IF(NOT(ISNUMBER(T147)),"Needs supplier cost",IF(K147&lt;&gt;"In stock","Supplier unavailable",IF(AG147&lt;&gt;"PASS","BLOCK - GT loss risk","Commercially protected")))</x:f>
        <x:v>Commercially protected</x:v>
      </x:c>
      <x:c r="AI147" t="str">
        <x:v>2026-09-10 Active Sports trade capture</x:v>
      </x:c>
      <x:c r="AJ147" t="str">
        <x:v>Management-only economics. Stripe stress test uses 1.5% + £0.20 standard UK online-card fee; pallet/mix-and-match pricing ignored.</x:v>
      </x:c>
    </x:row>
    <x:row r="148">
      <x:c r="A148" s="10" t="str">
        <x:v>Active Sports Nutrition</x:v>
      </x:c>
      <x:c r="B148" s="10" t="str">
        <x:v>Applied Nutrition</x:v>
      </x:c>
      <x:c r="C148" s="10" t="str">
        <x:v>Carb-X</x:v>
      </x:c>
      <x:c r="D148" s="10" t="str">
        <x:v>Supplements</x:v>
      </x:c>
      <x:c r="E148" s="10" t="str">
        <x:v>Carbohydrates</x:v>
      </x:c>
      <x:c r="F148" s="10" t="str">
        <x:v>Highly branched cyclic dextrin carbohydrate powder.</x:v>
      </x:c>
      <x:c r="G148" s="10" t="str">
        <x:v>1.2kg</x:v>
      </x:c>
      <x:c r="H148" s="10" t="str">
        <x:v>Unflavoured</x:v>
      </x:c>
      <x:c r="I148" s="10" t="str"/>
      <x:c r="J148" s="10" t="str">
        <x:v>Unit</x:v>
      </x:c>
      <x:c r="K148" s="10" t="str">
        <x:v>In stock</x:v>
      </x:c>
      <x:c r="L148" s="10" t="str">
        <x:v>2026-09-08</x:v>
      </x:c>
      <x:c r="M148" s="10" t="str"/>
      <x:c r="N148" s="10" t="str"/>
      <x:c r="O148" s="10" t="str">
        <x:v>https://www.activesportstrade.co.uk/applied-nutrition-trade</x:v>
      </x:c>
      <x:c r="P148" s="10" t="str"/>
      <x:c r="S148" t="str">
        <x:v>Pending genuine supplier/brand image</x:v>
      </x:c>
      <x:c r="T148" s="54" t="n">
        <x:v>13.38</x:v>
      </x:c>
      <x:c r="U148" s="47" t="n">
        <x:v>0.2</x:v>
      </x:c>
      <x:c r="V148" s="54" t="n">
        <x:f>IF(ISNUMBER(T148),T148*(1+U148),"")</x:f>
        <x:v>16.056</x:v>
      </x:c>
      <x:c r="W148" s="47" t="n">
        <x:v>0.3</x:v>
      </x:c>
      <x:c r="X148" s="54" t="n">
        <x:f>IF(ISNUMBER(V148),V148/(1-W148),"")</x:f>
        <x:v>22.93714285714286</x:v>
      </x:c>
      <x:c r="Y148" s="55" t="n">
        <x:f>IF(ISNUMBER(X148),ROUNDUP(X148,0),"")</x:f>
        <x:v>23</x:v>
      </x:c>
      <x:c r="Z148" t="str">
        <x:v>Source match pending</x:v>
      </x:c>
      <x:c r="AA148" t="str">
        <x:v>screencapture-www-activesportstrade-co-uk-applied-nutrition-trade-2026-09-10-08_59_59.pdf / page-05</x:v>
      </x:c>
      <x:c r="AB148" s="36" t="n">
        <x:f>IF(ISNUMBER(Y148),ROUND(Y148*0.9,2),"")</x:f>
        <x:v>20.7</x:v>
      </x:c>
      <x:c r="AC148" s="36" t="n">
        <x:f>IF(ISNUMBER(AB148),ROUND(AB148-(AB148*0.015+0.2)-V148,2),"")</x:f>
        <x:v>4.13</x:v>
      </x:c>
      <x:c r="AD148" s="36" t="n">
        <x:f>IF(ISNUMBER(Y148),ROUND(Y148*0.8,2),"")</x:f>
        <x:v>18.4</x:v>
      </x:c>
      <x:c r="AE148" s="36" t="n">
        <x:f>IF(ISNUMBER(AD148),ROUND(AD148*0.015+0.2,2),"")</x:f>
        <x:v>0.48</x:v>
      </x:c>
      <x:c r="AF148" s="36" t="n">
        <x:f>IF(ISNUMBER(AD148),ROUND(AD148-AE148-V148,2),"")</x:f>
        <x:v>1.86</x:v>
      </x:c>
      <x:c r="AG148" t="str">
        <x:f>IF(NOT(ISNUMBER(T148)),"PENDING",IF(AF148&gt;0,"PASS","FAIL"))</x:f>
        <x:v>PASS</x:v>
      </x:c>
      <x:c r="AH148" t="str">
        <x:f>IF(NOT(ISNUMBER(T148)),"Needs supplier cost",IF(K148&lt;&gt;"In stock","Supplier unavailable",IF(AG148&lt;&gt;"PASS","BLOCK - GT loss risk","Commercially protected")))</x:f>
        <x:v>Commercially protected</x:v>
      </x:c>
      <x:c r="AI148" t="str">
        <x:v>2026-09-10 Active Sports trade capture</x:v>
      </x:c>
      <x:c r="AJ148" t="str">
        <x:v>Management-only economics. Stripe stress test uses 1.5% + £0.20 standard UK online-card fee; pallet/mix-and-match pricing ignored.</x:v>
      </x:c>
    </x:row>
    <x:row r="149">
      <x:c r="A149" s="10" t="str">
        <x:v>Active Sports Nutrition</x:v>
      </x:c>
      <x:c r="B149" s="10" t="str">
        <x:v>Applied Nutrition</x:v>
      </x:c>
      <x:c r="C149" s="10" t="str">
        <x:v>Endurance Energy + Electrolytes</x:v>
      </x:c>
      <x:c r="D149" s="10" t="str">
        <x:v>Supplements</x:v>
      </x:c>
      <x:c r="E149" s="10" t="str">
        <x:v>Hydration</x:v>
      </x:c>
      <x:c r="F149" s="10" t="str">
        <x:v>Carbohydrate and electrolyte energy powder.</x:v>
      </x:c>
      <x:c r="G149" s="10" t="str">
        <x:v>1.5kg</x:v>
      </x:c>
      <x:c r="H149" s="10" t="str">
        <x:v>Blackcurrant</x:v>
      </x:c>
      <x:c r="I149" s="10" t="str"/>
      <x:c r="J149" s="10" t="str">
        <x:v>Unit</x:v>
      </x:c>
      <x:c r="K149" s="10" t="str">
        <x:v>In stock</x:v>
      </x:c>
      <x:c r="L149" s="10" t="str">
        <x:v>2026-09-08</x:v>
      </x:c>
      <x:c r="M149" s="10" t="str"/>
      <x:c r="N149" s="10" t="str"/>
      <x:c r="O149" s="10" t="str">
        <x:v>https://www.activesportstrade.co.uk/applied-nutrition-trade</x:v>
      </x:c>
      <x:c r="P149" s="10" t="str"/>
      <x:c r="S149" t="str">
        <x:v>Pending genuine supplier/brand image</x:v>
      </x:c>
      <x:c r="T149" s="54" t="n">
        <x:v>12.99</x:v>
      </x:c>
      <x:c r="U149" s="47" t="n">
        <x:v>0.2</x:v>
      </x:c>
      <x:c r="V149" s="54" t="n">
        <x:f>IF(ISNUMBER(T149),T149*(1+U149),"")</x:f>
        <x:v>15.588</x:v>
      </x:c>
      <x:c r="W149" s="47" t="n">
        <x:v>0.3</x:v>
      </x:c>
      <x:c r="X149" s="54" t="n">
        <x:f>IF(ISNUMBER(V149),V149/(1-W149),"")</x:f>
        <x:v>22.26857142857143</x:v>
      </x:c>
      <x:c r="Y149" s="55" t="n">
        <x:f>IF(ISNUMBER(X149),ROUNDUP(X149,0),"")</x:f>
        <x:v>23</x:v>
      </x:c>
      <x:c r="Z149" t="str">
        <x:v>Source match pending</x:v>
      </x:c>
      <x:c r="AA149" t="str">
        <x:v>screencapture-www-activesportstrade-co-uk-applied-nutrition-trade-2026-09-10-08_59_59.pdf / page-11</x:v>
      </x:c>
      <x:c r="AB149" s="36" t="n">
        <x:f>IF(ISNUMBER(Y149),ROUND(Y149*0.9,2),"")</x:f>
        <x:v>20.7</x:v>
      </x:c>
      <x:c r="AC149" s="36" t="n">
        <x:f>IF(ISNUMBER(AB149),ROUND(AB149-(AB149*0.015+0.2)-V149,2),"")</x:f>
        <x:v>4.6</x:v>
      </x:c>
      <x:c r="AD149" s="36" t="n">
        <x:f>IF(ISNUMBER(Y149),ROUND(Y149*0.8,2),"")</x:f>
        <x:v>18.4</x:v>
      </x:c>
      <x:c r="AE149" s="36" t="n">
        <x:f>IF(ISNUMBER(AD149),ROUND(AD149*0.015+0.2,2),"")</x:f>
        <x:v>0.48</x:v>
      </x:c>
      <x:c r="AF149" s="36" t="n">
        <x:f>IF(ISNUMBER(AD149),ROUND(AD149-AE149-V149,2),"")</x:f>
        <x:v>2.33</x:v>
      </x:c>
      <x:c r="AG149" t="str">
        <x:f>IF(NOT(ISNUMBER(T149)),"PENDING",IF(AF149&gt;0,"PASS","FAIL"))</x:f>
        <x:v>PASS</x:v>
      </x:c>
      <x:c r="AH149" t="str">
        <x:f>IF(NOT(ISNUMBER(T149)),"Needs supplier cost",IF(K149&lt;&gt;"In stock","Supplier unavailable",IF(AG149&lt;&gt;"PASS","BLOCK - GT loss risk","Commercially protected")))</x:f>
        <x:v>Commercially protected</x:v>
      </x:c>
      <x:c r="AI149" t="str">
        <x:v>2026-09-10 Active Sports trade capture</x:v>
      </x:c>
      <x:c r="AJ149" t="str">
        <x:v>Management-only economics. Stripe stress test uses 1.5% + £0.20 standard UK online-card fee; pallet/mix-and-match pricing ignored.</x:v>
      </x:c>
    </x:row>
    <x:row r="150">
      <x:c r="A150" s="10" t="str">
        <x:v>Active Sports Nutrition</x:v>
      </x:c>
      <x:c r="B150" s="10" t="str">
        <x:v>Applied Nutrition</x:v>
      </x:c>
      <x:c r="C150" s="10" t="str">
        <x:v>Endurance Energy + Electrolytes</x:v>
      </x:c>
      <x:c r="D150" s="10" t="str">
        <x:v>Supplements</x:v>
      </x:c>
      <x:c r="E150" s="10" t="str">
        <x:v>Hydration</x:v>
      </x:c>
      <x:c r="F150" s="10" t="str">
        <x:v>Carbohydrate and electrolyte energy powder.</x:v>
      </x:c>
      <x:c r="G150" s="10" t="str">
        <x:v>1.5kg</x:v>
      </x:c>
      <x:c r="H150" s="10" t="str">
        <x:v>Lemon &amp; Lime</x:v>
      </x:c>
      <x:c r="I150" s="10" t="str"/>
      <x:c r="J150" s="10" t="str">
        <x:v>Unit</x:v>
      </x:c>
      <x:c r="K150" s="10" t="str">
        <x:v>In stock</x:v>
      </x:c>
      <x:c r="L150" s="10" t="str">
        <x:v>2026-09-08</x:v>
      </x:c>
      <x:c r="M150" s="10" t="str"/>
      <x:c r="N150" s="10" t="str"/>
      <x:c r="O150" s="10" t="str">
        <x:v>https://www.activesportstrade.co.uk/applied-nutrition-trade</x:v>
      </x:c>
      <x:c r="P150" s="10" t="str"/>
      <x:c r="S150" t="str">
        <x:v>Pending genuine supplier/brand image</x:v>
      </x:c>
      <x:c r="T150" s="54" t="n">
        <x:v>12.99</x:v>
      </x:c>
      <x:c r="U150" s="47" t="n">
        <x:v>0.2</x:v>
      </x:c>
      <x:c r="V150" s="54" t="n">
        <x:f>IF(ISNUMBER(T150),T150*(1+U150),"")</x:f>
        <x:v>15.588</x:v>
      </x:c>
      <x:c r="W150" s="47" t="n">
        <x:v>0.3</x:v>
      </x:c>
      <x:c r="X150" s="54" t="n">
        <x:f>IF(ISNUMBER(V150),V150/(1-W150),"")</x:f>
        <x:v>22.26857142857143</x:v>
      </x:c>
      <x:c r="Y150" s="55" t="n">
        <x:f>IF(ISNUMBER(X150),ROUNDUP(X150,0),"")</x:f>
        <x:v>23</x:v>
      </x:c>
      <x:c r="Z150" t="str">
        <x:v>Source match pending</x:v>
      </x:c>
      <x:c r="AA150" t="str">
        <x:v>screencapture-www-activesportstrade-co-uk-applied-nutrition-trade-2026-09-10-08_59_59.pdf / page-11</x:v>
      </x:c>
      <x:c r="AB150" s="36" t="n">
        <x:f>IF(ISNUMBER(Y150),ROUND(Y150*0.9,2),"")</x:f>
        <x:v>20.7</x:v>
      </x:c>
      <x:c r="AC150" s="36" t="n">
        <x:f>IF(ISNUMBER(AB150),ROUND(AB150-(AB150*0.015+0.2)-V150,2),"")</x:f>
        <x:v>4.6</x:v>
      </x:c>
      <x:c r="AD150" s="36" t="n">
        <x:f>IF(ISNUMBER(Y150),ROUND(Y150*0.8,2),"")</x:f>
        <x:v>18.4</x:v>
      </x:c>
      <x:c r="AE150" s="36" t="n">
        <x:f>IF(ISNUMBER(AD150),ROUND(AD150*0.015+0.2,2),"")</x:f>
        <x:v>0.48</x:v>
      </x:c>
      <x:c r="AF150" s="36" t="n">
        <x:f>IF(ISNUMBER(AD150),ROUND(AD150-AE150-V150,2),"")</x:f>
        <x:v>2.33</x:v>
      </x:c>
      <x:c r="AG150" t="str">
        <x:f>IF(NOT(ISNUMBER(T150)),"PENDING",IF(AF150&gt;0,"PASS","FAIL"))</x:f>
        <x:v>PASS</x:v>
      </x:c>
      <x:c r="AH150" t="str">
        <x:f>IF(NOT(ISNUMBER(T150)),"Needs supplier cost",IF(K150&lt;&gt;"In stock","Supplier unavailable",IF(AG150&lt;&gt;"PASS","BLOCK - GT loss risk","Commercially protected")))</x:f>
        <x:v>Commercially protected</x:v>
      </x:c>
      <x:c r="AI150" t="str">
        <x:v>2026-09-10 Active Sports trade capture</x:v>
      </x:c>
      <x:c r="AJ150" t="str">
        <x:v>Management-only economics. Stripe stress test uses 1.5% + £0.20 standard UK online-card fee; pallet/mix-and-match pricing ignored.</x:v>
      </x:c>
    </x:row>
    <x:row r="151">
      <x:c r="A151" s="10" t="str">
        <x:v>Active Sports Nutrition</x:v>
      </x:c>
      <x:c r="B151" s="10" t="str">
        <x:v>Applied Nutrition</x:v>
      </x:c>
      <x:c r="C151" s="10" t="str">
        <x:v>Endurance Energy + Electrolytes</x:v>
      </x:c>
      <x:c r="D151" s="10" t="str">
        <x:v>Supplements</x:v>
      </x:c>
      <x:c r="E151" s="10" t="str">
        <x:v>Hydration</x:v>
      </x:c>
      <x:c r="F151" s="10" t="str">
        <x:v>Carbohydrate and electrolyte energy powder.</x:v>
      </x:c>
      <x:c r="G151" s="10" t="str">
        <x:v>1.5kg</x:v>
      </x:c>
      <x:c r="H151" s="10" t="str">
        <x:v>Orange Burst</x:v>
      </x:c>
      <x:c r="I151" s="10" t="str"/>
      <x:c r="J151" s="10" t="str">
        <x:v>Unit</x:v>
      </x:c>
      <x:c r="K151" s="10" t="str">
        <x:v>In stock</x:v>
      </x:c>
      <x:c r="L151" s="10" t="str">
        <x:v>2026-09-08</x:v>
      </x:c>
      <x:c r="M151" s="10" t="str"/>
      <x:c r="N151" s="10" t="str"/>
      <x:c r="O151" s="10" t="str">
        <x:v>https://www.activesportstrade.co.uk/applied-nutrition-trade</x:v>
      </x:c>
      <x:c r="P151" s="10" t="str"/>
      <x:c r="S151" t="str">
        <x:v>Pending genuine supplier/brand image</x:v>
      </x:c>
      <x:c r="T151" s="54" t="n">
        <x:v>12.99</x:v>
      </x:c>
      <x:c r="U151" s="47" t="n">
        <x:v>0.2</x:v>
      </x:c>
      <x:c r="V151" s="54" t="n">
        <x:f>IF(ISNUMBER(T151),T151*(1+U151),"")</x:f>
        <x:v>15.588</x:v>
      </x:c>
      <x:c r="W151" s="47" t="n">
        <x:v>0.3</x:v>
      </x:c>
      <x:c r="X151" s="54" t="n">
        <x:f>IF(ISNUMBER(V151),V151/(1-W151),"")</x:f>
        <x:v>22.26857142857143</x:v>
      </x:c>
      <x:c r="Y151" s="55" t="n">
        <x:f>IF(ISNUMBER(X151),ROUNDUP(X151,0),"")</x:f>
        <x:v>23</x:v>
      </x:c>
      <x:c r="Z151" t="str">
        <x:v>Source match pending</x:v>
      </x:c>
      <x:c r="AA151" t="str">
        <x:v>screencapture-www-activesportstrade-co-uk-applied-nutrition-trade-2026-09-10-08_59_59.pdf / page-11</x:v>
      </x:c>
      <x:c r="AB151" s="36" t="n">
        <x:f>IF(ISNUMBER(Y151),ROUND(Y151*0.9,2),"")</x:f>
        <x:v>20.7</x:v>
      </x:c>
      <x:c r="AC151" s="36" t="n">
        <x:f>IF(ISNUMBER(AB151),ROUND(AB151-(AB151*0.015+0.2)-V151,2),"")</x:f>
        <x:v>4.6</x:v>
      </x:c>
      <x:c r="AD151" s="36" t="n">
        <x:f>IF(ISNUMBER(Y151),ROUND(Y151*0.8,2),"")</x:f>
        <x:v>18.4</x:v>
      </x:c>
      <x:c r="AE151" s="36" t="n">
        <x:f>IF(ISNUMBER(AD151),ROUND(AD151*0.015+0.2,2),"")</x:f>
        <x:v>0.48</x:v>
      </x:c>
      <x:c r="AF151" s="36" t="n">
        <x:f>IF(ISNUMBER(AD151),ROUND(AD151-AE151-V151,2),"")</x:f>
        <x:v>2.33</x:v>
      </x:c>
      <x:c r="AG151" t="str">
        <x:f>IF(NOT(ISNUMBER(T151)),"PENDING",IF(AF151&gt;0,"PASS","FAIL"))</x:f>
        <x:v>PASS</x:v>
      </x:c>
      <x:c r="AH151" t="str">
        <x:f>IF(NOT(ISNUMBER(T151)),"Needs supplier cost",IF(K151&lt;&gt;"In stock","Supplier unavailable",IF(AG151&lt;&gt;"PASS","BLOCK - GT loss risk","Commercially protected")))</x:f>
        <x:v>Commercially protected</x:v>
      </x:c>
      <x:c r="AI151" t="str">
        <x:v>2026-09-10 Active Sports trade capture</x:v>
      </x:c>
      <x:c r="AJ151" t="str">
        <x:v>Management-only economics. Stripe stress test uses 1.5% + £0.20 standard UK online-card fee; pallet/mix-and-match pricing ignored.</x:v>
      </x:c>
    </x:row>
    <x:row r="152">
      <x:c r="A152" s="10" t="str">
        <x:v>Active Sports Nutrition</x:v>
      </x:c>
      <x:c r="B152" s="10" t="str">
        <x:v>Applied Nutrition</x:v>
      </x:c>
      <x:c r="C152" s="10" t="str">
        <x:v>Cream of Rice</x:v>
      </x:c>
      <x:c r="D152" s="10" t="str">
        <x:v>Supplements</x:v>
      </x:c>
      <x:c r="E152" s="10" t="str">
        <x:v>High Protein Foods</x:v>
      </x:c>
      <x:c r="F152" s="10" t="str">
        <x:v>Easy-to-prepare rice carbohydrate food.</x:v>
      </x:c>
      <x:c r="G152" s="10" t="str">
        <x:v>1kg</x:v>
      </x:c>
      <x:c r="H152" s="10" t="str">
        <x:v>Apple Crumble</x:v>
      </x:c>
      <x:c r="I152" s="10" t="str"/>
      <x:c r="J152" s="10" t="str">
        <x:v>Unit</x:v>
      </x:c>
      <x:c r="K152" s="10" t="str">
        <x:v>In stock</x:v>
      </x:c>
      <x:c r="L152" s="10" t="str">
        <x:v>2026-09-08</x:v>
      </x:c>
      <x:c r="M152" s="10" t="str"/>
      <x:c r="N152" s="10" t="str"/>
      <x:c r="O152" s="10" t="str">
        <x:v>https://www.activesportstrade.co.uk/applied-nutrition-trade</x:v>
      </x:c>
      <x:c r="P152" s="10" t="str"/>
      <x:c r="S152" t="str">
        <x:v>Pending genuine supplier/brand image</x:v>
      </x:c>
      <x:c r="T152" s="54"/>
      <x:c r="U152" s="47" t="n">
        <x:v>0.2</x:v>
      </x:c>
      <x:c r="V152" s="54" t="str">
        <x:f>IF(ISNUMBER(T152),T152*(1+U152),"")</x:f>
      </x:c>
      <x:c r="W152" s="47" t="n">
        <x:v>0.3</x:v>
      </x:c>
      <x:c r="X152" s="54" t="str">
        <x:f>IF(ISNUMBER(V152),V152/(1-W152),"")</x:f>
      </x:c>
      <x:c r="Y152" s="55" t="str">
        <x:f>IF(ISNUMBER(X152),ROUNDUP(X152,0),"")</x:f>
      </x:c>
      <x:c r="Z152" t="str">
        <x:f>IF(ISNUMBER(T152),"Cost captured","Awaiting trade cost")</x:f>
        <x:v>Awaiting trade cost</x:v>
      </x:c>
      <x:c r="AB152" s="36" t="str">
        <x:f>IF(ISNUMBER(Y152),ROUND(Y152*0.9,2),"")</x:f>
      </x:c>
      <x:c r="AC152" s="36" t="str">
        <x:f>IF(ISNUMBER(AB152),ROUND(AB152-(AB152*0.015+0.2)-V152,2),"")</x:f>
      </x:c>
      <x:c r="AD152" s="36" t="str">
        <x:f>IF(ISNUMBER(Y152),ROUND(Y152*0.8,2),"")</x:f>
      </x:c>
      <x:c r="AE152" s="36" t="str">
        <x:f>IF(ISNUMBER(AD152),ROUND(AD152*0.015+0.2,2),"")</x:f>
      </x:c>
      <x:c r="AF152" s="36" t="str">
        <x:f>IF(ISNUMBER(AD152),ROUND(AD152-AE152-V152,2),"")</x:f>
      </x:c>
      <x:c r="AG152" t="str">
        <x:f>IF(NOT(ISNUMBER(T152)),"PENDING",IF(AF152&gt;0,"PASS","FAIL"))</x:f>
        <x:v>PENDING</x:v>
      </x:c>
      <x:c r="AH152" t="str">
        <x:f>IF(NOT(ISNUMBER(T152)),"Needs supplier cost",IF(K152&lt;&gt;"In stock","Supplier unavailable",IF(AG152&lt;&gt;"PASS","BLOCK - GT loss risk","Commercially protected")))</x:f>
        <x:v>Needs supplier cost</x:v>
      </x:c>
      <x:c r="AI152" t="str">
        <x:v>2026-09-10 Active Sports trade capture</x:v>
      </x:c>
      <x:c r="AJ152" t="str">
        <x:v>Management-only economics. Stripe stress test uses 1.5% + £0.20 standard UK online-card fee; pallet/mix-and-match pricing ignored.</x:v>
      </x:c>
    </x:row>
    <x:row r="153">
      <x:c r="A153" s="10" t="str">
        <x:v>Active Sports Nutrition</x:v>
      </x:c>
      <x:c r="B153" s="10" t="str">
        <x:v>Applied Nutrition</x:v>
      </x:c>
      <x:c r="C153" s="10" t="str">
        <x:v>Cream of Rice</x:v>
      </x:c>
      <x:c r="D153" s="10" t="str">
        <x:v>Supplements</x:v>
      </x:c>
      <x:c r="E153" s="10" t="str">
        <x:v>High Protein Foods</x:v>
      </x:c>
      <x:c r="F153" s="10" t="str">
        <x:v>Easy-to-prepare rice carbohydrate food.</x:v>
      </x:c>
      <x:c r="G153" s="10" t="str">
        <x:v>1kg</x:v>
      </x:c>
      <x:c r="H153" s="10" t="str">
        <x:v>Golden Syrup</x:v>
      </x:c>
      <x:c r="I153" s="10" t="str"/>
      <x:c r="J153" s="10" t="str">
        <x:v>Unit</x:v>
      </x:c>
      <x:c r="K153" s="10" t="str">
        <x:v>Out of stock</x:v>
      </x:c>
      <x:c r="L153" s="10" t="str">
        <x:v>2026-09-08</x:v>
      </x:c>
      <x:c r="M153" s="10" t="str"/>
      <x:c r="N153" s="10" t="str"/>
      <x:c r="O153" s="10" t="str">
        <x:v>https://www.activesportstrade.co.uk/applied-nutrition-trade</x:v>
      </x:c>
      <x:c r="P153" s="10" t="str"/>
      <x:c r="S153" t="str">
        <x:v>Pending genuine supplier/brand image</x:v>
      </x:c>
      <x:c r="T153" s="54"/>
      <x:c r="U153" s="47" t="n">
        <x:v>0.2</x:v>
      </x:c>
      <x:c r="V153" s="54" t="str">
        <x:f>IF(ISNUMBER(T153),T153*(1+U153),"")</x:f>
      </x:c>
      <x:c r="W153" s="47" t="n">
        <x:v>0.3</x:v>
      </x:c>
      <x:c r="X153" s="54" t="str">
        <x:f>IF(ISNUMBER(V153),V153/(1-W153),"")</x:f>
      </x:c>
      <x:c r="Y153" s="55" t="str">
        <x:f>IF(ISNUMBER(X153),ROUNDUP(X153,0),"")</x:f>
      </x:c>
      <x:c r="Z153" t="str">
        <x:f>IF(ISNUMBER(T153),"Cost captured","Awaiting trade cost")</x:f>
        <x:v>Awaiting trade cost</x:v>
      </x:c>
      <x:c r="AB153" s="36" t="str">
        <x:f>IF(ISNUMBER(Y153),ROUND(Y153*0.9,2),"")</x:f>
      </x:c>
      <x:c r="AC153" s="36" t="str">
        <x:f>IF(ISNUMBER(AB153),ROUND(AB153-(AB153*0.015+0.2)-V153,2),"")</x:f>
      </x:c>
      <x:c r="AD153" s="36" t="str">
        <x:f>IF(ISNUMBER(Y153),ROUND(Y153*0.8,2),"")</x:f>
      </x:c>
      <x:c r="AE153" s="36" t="str">
        <x:f>IF(ISNUMBER(AD153),ROUND(AD153*0.015+0.2,2),"")</x:f>
      </x:c>
      <x:c r="AF153" s="36" t="str">
        <x:f>IF(ISNUMBER(AD153),ROUND(AD153-AE153-V153,2),"")</x:f>
      </x:c>
      <x:c r="AG153" t="str">
        <x:f>IF(NOT(ISNUMBER(T153)),"PENDING",IF(AF153&gt;0,"PASS","FAIL"))</x:f>
        <x:v>PENDING</x:v>
      </x:c>
      <x:c r="AH153" t="str">
        <x:f>IF(NOT(ISNUMBER(T153)),"Needs supplier cost",IF(K153&lt;&gt;"In stock","Supplier unavailable",IF(AG153&lt;&gt;"PASS","BLOCK - GT loss risk","Commercially protected")))</x:f>
        <x:v>Needs supplier cost</x:v>
      </x:c>
      <x:c r="AI153" t="str">
        <x:v>2026-09-10 Active Sports trade capture</x:v>
      </x:c>
      <x:c r="AJ153" t="str">
        <x:v>Management-only economics. Stripe stress test uses 1.5% + £0.20 standard UK online-card fee; pallet/mix-and-match pricing ignored.</x:v>
      </x:c>
    </x:row>
    <x:row r="154">
      <x:c r="A154" s="10" t="str">
        <x:v>Active Sports Nutrition</x:v>
      </x:c>
      <x:c r="B154" s="10" t="str">
        <x:v>Applied Nutrition</x:v>
      </x:c>
      <x:c r="C154" s="10" t="str">
        <x:v>Cream of Rice</x:v>
      </x:c>
      <x:c r="D154" s="10" t="str">
        <x:v>Supplements</x:v>
      </x:c>
      <x:c r="E154" s="10" t="str">
        <x:v>High Protein Foods</x:v>
      </x:c>
      <x:c r="F154" s="10" t="str">
        <x:v>Easy-to-prepare rice carbohydrate food.</x:v>
      </x:c>
      <x:c r="G154" s="10" t="str">
        <x:v>1kg</x:v>
      </x:c>
      <x:c r="H154" s="10" t="str">
        <x:v>Raspberry Ripple</x:v>
      </x:c>
      <x:c r="I154" s="10" t="str"/>
      <x:c r="J154" s="10" t="str">
        <x:v>Unit</x:v>
      </x:c>
      <x:c r="K154" s="10" t="str">
        <x:v>In stock</x:v>
      </x:c>
      <x:c r="L154" s="10" t="str">
        <x:v>2026-09-08</x:v>
      </x:c>
      <x:c r="M154" s="10" t="str"/>
      <x:c r="N154" s="10" t="str"/>
      <x:c r="O154" s="10" t="str">
        <x:v>https://www.activesportstrade.co.uk/applied-nutrition-trade</x:v>
      </x:c>
      <x:c r="P154" s="10" t="str"/>
      <x:c r="S154" t="str">
        <x:v>Pending genuine supplier/brand image</x:v>
      </x:c>
      <x:c r="T154" s="54"/>
      <x:c r="U154" s="47" t="n">
        <x:v>0.2</x:v>
      </x:c>
      <x:c r="V154" s="54" t="str">
        <x:f>IF(ISNUMBER(T154),T154*(1+U154),"")</x:f>
      </x:c>
      <x:c r="W154" s="47" t="n">
        <x:v>0.3</x:v>
      </x:c>
      <x:c r="X154" s="54" t="str">
        <x:f>IF(ISNUMBER(V154),V154/(1-W154),"")</x:f>
      </x:c>
      <x:c r="Y154" s="55" t="str">
        <x:f>IF(ISNUMBER(X154),ROUNDUP(X154,0),"")</x:f>
      </x:c>
      <x:c r="Z154" t="str">
        <x:f>IF(ISNUMBER(T154),"Cost captured","Awaiting trade cost")</x:f>
        <x:v>Awaiting trade cost</x:v>
      </x:c>
      <x:c r="AB154" s="36" t="str">
        <x:f>IF(ISNUMBER(Y154),ROUND(Y154*0.9,2),"")</x:f>
      </x:c>
      <x:c r="AC154" s="36" t="str">
        <x:f>IF(ISNUMBER(AB154),ROUND(AB154-(AB154*0.015+0.2)-V154,2),"")</x:f>
      </x:c>
      <x:c r="AD154" s="36" t="str">
        <x:f>IF(ISNUMBER(Y154),ROUND(Y154*0.8,2),"")</x:f>
      </x:c>
      <x:c r="AE154" s="36" t="str">
        <x:f>IF(ISNUMBER(AD154),ROUND(AD154*0.015+0.2,2),"")</x:f>
      </x:c>
      <x:c r="AF154" s="36" t="str">
        <x:f>IF(ISNUMBER(AD154),ROUND(AD154-AE154-V154,2),"")</x:f>
      </x:c>
      <x:c r="AG154" t="str">
        <x:f>IF(NOT(ISNUMBER(T154)),"PENDING",IF(AF154&gt;0,"PASS","FAIL"))</x:f>
        <x:v>PENDING</x:v>
      </x:c>
      <x:c r="AH154" t="str">
        <x:f>IF(NOT(ISNUMBER(T154)),"Needs supplier cost",IF(K154&lt;&gt;"In stock","Supplier unavailable",IF(AG154&lt;&gt;"PASS","BLOCK - GT loss risk","Commercially protected")))</x:f>
        <x:v>Needs supplier cost</x:v>
      </x:c>
      <x:c r="AI154" t="str">
        <x:v>2026-09-10 Active Sports trade capture</x:v>
      </x:c>
      <x:c r="AJ154" t="str">
        <x:v>Management-only economics. Stripe stress test uses 1.5% + £0.20 standard UK online-card fee; pallet/mix-and-match pricing ignored.</x:v>
      </x:c>
    </x:row>
    <x:row r="155">
      <x:c r="A155" s="10" t="str">
        <x:v>Active Sports Nutrition</x:v>
      </x:c>
      <x:c r="B155" s="10" t="str">
        <x:v>Applied Nutrition</x:v>
      </x:c>
      <x:c r="C155" s="10" t="str">
        <x:v>Cream of Rice</x:v>
      </x:c>
      <x:c r="D155" s="10" t="str">
        <x:v>Supplements</x:v>
      </x:c>
      <x:c r="E155" s="10" t="str">
        <x:v>High Protein Foods</x:v>
      </x:c>
      <x:c r="F155" s="10" t="str">
        <x:v>Easy-to-prepare rice carbohydrate food.</x:v>
      </x:c>
      <x:c r="G155" s="10" t="str">
        <x:v>1kg</x:v>
      </x:c>
      <x:c r="H155" s="10" t="str">
        <x:v>Toffee Biscuit</x:v>
      </x:c>
      <x:c r="I155" s="10" t="str"/>
      <x:c r="J155" s="10" t="str">
        <x:v>Unit</x:v>
      </x:c>
      <x:c r="K155" s="10" t="str">
        <x:v>In stock</x:v>
      </x:c>
      <x:c r="L155" s="10" t="str">
        <x:v>2026-09-08</x:v>
      </x:c>
      <x:c r="M155" s="10" t="str"/>
      <x:c r="N155" s="10" t="str"/>
      <x:c r="O155" s="10" t="str">
        <x:v>https://www.activesportstrade.co.uk/applied-nutrition-trade</x:v>
      </x:c>
      <x:c r="P155" s="10" t="str"/>
      <x:c r="S155" t="str">
        <x:v>Pending genuine supplier/brand image</x:v>
      </x:c>
      <x:c r="T155" s="54"/>
      <x:c r="U155" s="47" t="n">
        <x:v>0.2</x:v>
      </x:c>
      <x:c r="V155" s="54" t="str">
        <x:f>IF(ISNUMBER(T155),T155*(1+U155),"")</x:f>
      </x:c>
      <x:c r="W155" s="47" t="n">
        <x:v>0.3</x:v>
      </x:c>
      <x:c r="X155" s="54" t="str">
        <x:f>IF(ISNUMBER(V155),V155/(1-W155),"")</x:f>
      </x:c>
      <x:c r="Y155" s="55" t="str">
        <x:f>IF(ISNUMBER(X155),ROUNDUP(X155,0),"")</x:f>
      </x:c>
      <x:c r="Z155" t="str">
        <x:f>IF(ISNUMBER(T155),"Cost captured","Awaiting trade cost")</x:f>
        <x:v>Awaiting trade cost</x:v>
      </x:c>
      <x:c r="AB155" s="36" t="str">
        <x:f>IF(ISNUMBER(Y155),ROUND(Y155*0.9,2),"")</x:f>
      </x:c>
      <x:c r="AC155" s="36" t="str">
        <x:f>IF(ISNUMBER(AB155),ROUND(AB155-(AB155*0.015+0.2)-V155,2),"")</x:f>
      </x:c>
      <x:c r="AD155" s="36" t="str">
        <x:f>IF(ISNUMBER(Y155),ROUND(Y155*0.8,2),"")</x:f>
      </x:c>
      <x:c r="AE155" s="36" t="str">
        <x:f>IF(ISNUMBER(AD155),ROUND(AD155*0.015+0.2,2),"")</x:f>
      </x:c>
      <x:c r="AF155" s="36" t="str">
        <x:f>IF(ISNUMBER(AD155),ROUND(AD155-AE155-V155,2),"")</x:f>
      </x:c>
      <x:c r="AG155" t="str">
        <x:f>IF(NOT(ISNUMBER(T155)),"PENDING",IF(AF155&gt;0,"PASS","FAIL"))</x:f>
        <x:v>PENDING</x:v>
      </x:c>
      <x:c r="AH155" t="str">
        <x:f>IF(NOT(ISNUMBER(T155)),"Needs supplier cost",IF(K155&lt;&gt;"In stock","Supplier unavailable",IF(AG155&lt;&gt;"PASS","BLOCK - GT loss risk","Commercially protected")))</x:f>
        <x:v>Needs supplier cost</x:v>
      </x:c>
      <x:c r="AI155" t="str">
        <x:v>2026-09-10 Active Sports trade capture</x:v>
      </x:c>
      <x:c r="AJ155" t="str">
        <x:v>Management-only economics. Stripe stress test uses 1.5% + £0.20 standard UK online-card fee; pallet/mix-and-match pricing ignored.</x:v>
      </x:c>
    </x:row>
    <x:row r="156">
      <x:c r="A156" s="10" t="str">
        <x:v>Active Sports Nutrition</x:v>
      </x:c>
      <x:c r="B156" s="10" t="str">
        <x:v>Applied Nutrition</x:v>
      </x:c>
      <x:c r="C156" s="10" t="str">
        <x:v>Cream of Rice</x:v>
      </x:c>
      <x:c r="D156" s="10" t="str">
        <x:v>Supplements</x:v>
      </x:c>
      <x:c r="E156" s="10" t="str">
        <x:v>High Protein Foods</x:v>
      </x:c>
      <x:c r="F156" s="10" t="str">
        <x:v>Easy-to-prepare rice carbohydrate food.</x:v>
      </x:c>
      <x:c r="G156" s="10" t="str">
        <x:v>1kg</x:v>
      </x:c>
      <x:c r="H156" s="10" t="str">
        <x:v>Unflavoured</x:v>
      </x:c>
      <x:c r="I156" s="10" t="str"/>
      <x:c r="J156" s="10" t="str">
        <x:v>Unit</x:v>
      </x:c>
      <x:c r="K156" s="10" t="str">
        <x:v>In stock</x:v>
      </x:c>
      <x:c r="L156" s="10" t="str">
        <x:v>2026-09-08</x:v>
      </x:c>
      <x:c r="M156" s="10" t="str"/>
      <x:c r="N156" s="10" t="str"/>
      <x:c r="O156" s="10" t="str">
        <x:v>https://www.activesportstrade.co.uk/applied-nutrition-trade</x:v>
      </x:c>
      <x:c r="P156" s="10" t="str"/>
      <x:c r="S156" t="str">
        <x:v>Pending genuine supplier/brand image</x:v>
      </x:c>
      <x:c r="T156" s="54"/>
      <x:c r="U156" s="47" t="n">
        <x:v>0.2</x:v>
      </x:c>
      <x:c r="V156" s="54" t="str">
        <x:f>IF(ISNUMBER(T156),T156*(1+U156),"")</x:f>
      </x:c>
      <x:c r="W156" s="47" t="n">
        <x:v>0.3</x:v>
      </x:c>
      <x:c r="X156" s="54" t="str">
        <x:f>IF(ISNUMBER(V156),V156/(1-W156),"")</x:f>
      </x:c>
      <x:c r="Y156" s="55" t="str">
        <x:f>IF(ISNUMBER(X156),ROUNDUP(X156,0),"")</x:f>
      </x:c>
      <x:c r="Z156" t="str">
        <x:f>IF(ISNUMBER(T156),"Cost captured","Awaiting trade cost")</x:f>
        <x:v>Awaiting trade cost</x:v>
      </x:c>
      <x:c r="AB156" s="36" t="str">
        <x:f>IF(ISNUMBER(Y156),ROUND(Y156*0.9,2),"")</x:f>
      </x:c>
      <x:c r="AC156" s="36" t="str">
        <x:f>IF(ISNUMBER(AB156),ROUND(AB156-(AB156*0.015+0.2)-V156,2),"")</x:f>
      </x:c>
      <x:c r="AD156" s="36" t="str">
        <x:f>IF(ISNUMBER(Y156),ROUND(Y156*0.8,2),"")</x:f>
      </x:c>
      <x:c r="AE156" s="36" t="str">
        <x:f>IF(ISNUMBER(AD156),ROUND(AD156*0.015+0.2,2),"")</x:f>
      </x:c>
      <x:c r="AF156" s="36" t="str">
        <x:f>IF(ISNUMBER(AD156),ROUND(AD156-AE156-V156,2),"")</x:f>
      </x:c>
      <x:c r="AG156" t="str">
        <x:f>IF(NOT(ISNUMBER(T156)),"PENDING",IF(AF156&gt;0,"PASS","FAIL"))</x:f>
        <x:v>PENDING</x:v>
      </x:c>
      <x:c r="AH156" t="str">
        <x:f>IF(NOT(ISNUMBER(T156)),"Needs supplier cost",IF(K156&lt;&gt;"In stock","Supplier unavailable",IF(AG156&lt;&gt;"PASS","BLOCK - GT loss risk","Commercially protected")))</x:f>
        <x:v>Needs supplier cost</x:v>
      </x:c>
      <x:c r="AI156" t="str">
        <x:v>2026-09-10 Active Sports trade capture</x:v>
      </x:c>
      <x:c r="AJ156" t="str">
        <x:v>Management-only economics. Stripe stress test uses 1.5% + £0.20 standard UK online-card fee; pallet/mix-and-match pricing ignored.</x:v>
      </x:c>
    </x:row>
    <x:row r="157">
      <x:c r="A157" s="10" t="str">
        <x:v>Active Sports Nutrition</x:v>
      </x:c>
      <x:c r="B157" s="10" t="str">
        <x:v>Applied Nutrition</x:v>
      </x:c>
      <x:c r="C157" s="10" t="str">
        <x:v>Cream of Rice</x:v>
      </x:c>
      <x:c r="D157" s="10" t="str">
        <x:v>Supplements</x:v>
      </x:c>
      <x:c r="E157" s="10" t="str">
        <x:v>High Protein Foods</x:v>
      </x:c>
      <x:c r="F157" s="10" t="str">
        <x:v>Easy-to-prepare rice carbohydrate food.</x:v>
      </x:c>
      <x:c r="G157" s="10" t="str">
        <x:v>2kg</x:v>
      </x:c>
      <x:c r="H157" s="10" t="str">
        <x:v>Apple Crumble</x:v>
      </x:c>
      <x:c r="I157" s="10" t="str"/>
      <x:c r="J157" s="10" t="str">
        <x:v>Unit</x:v>
      </x:c>
      <x:c r="K157" s="10" t="str">
        <x:v>In stock</x:v>
      </x:c>
      <x:c r="L157" s="10" t="str">
        <x:v>2026-09-08</x:v>
      </x:c>
      <x:c r="M157" s="10" t="str"/>
      <x:c r="N157" s="10" t="str"/>
      <x:c r="O157" s="10" t="str">
        <x:v>https://www.activesportstrade.co.uk/applied-nutrition-trade</x:v>
      </x:c>
      <x:c r="P157" s="10" t="str"/>
      <x:c r="S157" t="str">
        <x:v>Pending genuine supplier/brand image</x:v>
      </x:c>
      <x:c r="T157" s="54" t="n">
        <x:v>12.6</x:v>
      </x:c>
      <x:c r="U157" s="47" t="n">
        <x:v>0</x:v>
      </x:c>
      <x:c r="V157" s="54" t="n">
        <x:f>IF(ISNUMBER(T157),T157*(1+U157),"")</x:f>
        <x:v>12.6</x:v>
      </x:c>
      <x:c r="W157" s="47" t="n">
        <x:v>0.3</x:v>
      </x:c>
      <x:c r="X157" s="54" t="n">
        <x:f>IF(ISNUMBER(V157),V157/(1-W157),"")</x:f>
        <x:v>18</x:v>
      </x:c>
      <x:c r="Y157" s="55" t="n">
        <x:f>IF(ISNUMBER(X157),ROUNDUP(X157,0),"")</x:f>
        <x:v>18</x:v>
      </x:c>
      <x:c r="Z157" t="str">
        <x:v>Source match pending</x:v>
      </x:c>
      <x:c r="AA157" t="str">
        <x:v>screencapture-www-activesportstrade-co-uk-applied-nutrition-trade-2026-09-10-08_59_59.pdf / page-07</x:v>
      </x:c>
      <x:c r="AB157" s="36" t="n">
        <x:f>IF(ISNUMBER(Y157),ROUND(Y157*0.9,2),"")</x:f>
        <x:v>16.2</x:v>
      </x:c>
      <x:c r="AC157" s="36" t="n">
        <x:f>IF(ISNUMBER(AB157),ROUND(AB157-(AB157*0.015+0.2)-V157,2),"")</x:f>
        <x:v>3.16</x:v>
      </x:c>
      <x:c r="AD157" s="36" t="n">
        <x:f>IF(ISNUMBER(Y157),ROUND(Y157*0.8,2),"")</x:f>
        <x:v>14.4</x:v>
      </x:c>
      <x:c r="AE157" s="36" t="n">
        <x:f>IF(ISNUMBER(AD157),ROUND(AD157*0.015+0.2,2),"")</x:f>
        <x:v>0.42</x:v>
      </x:c>
      <x:c r="AF157" s="36" t="n">
        <x:f>IF(ISNUMBER(AD157),ROUND(AD157-AE157-V157,2),"")</x:f>
        <x:v>1.38</x:v>
      </x:c>
      <x:c r="AG157" t="str">
        <x:f>IF(NOT(ISNUMBER(T157)),"PENDING",IF(AF157&gt;0,"PASS","FAIL"))</x:f>
        <x:v>PASS</x:v>
      </x:c>
      <x:c r="AH157" t="str">
        <x:f>IF(NOT(ISNUMBER(T157)),"Needs supplier cost",IF(K157&lt;&gt;"In stock","Supplier unavailable",IF(AG157&lt;&gt;"PASS","BLOCK - GT loss risk","Commercially protected")))</x:f>
        <x:v>Commercially protected</x:v>
      </x:c>
      <x:c r="AI157" t="str">
        <x:v>2026-09-10 Active Sports trade capture</x:v>
      </x:c>
      <x:c r="AJ157" t="str">
        <x:v>Management-only economics. Stripe stress test uses 1.5% + £0.20 standard UK online-card fee; pallet/mix-and-match pricing ignored.</x:v>
      </x:c>
    </x:row>
    <x:row r="158">
      <x:c r="A158" s="10" t="str">
        <x:v>Active Sports Nutrition</x:v>
      </x:c>
      <x:c r="B158" s="10" t="str">
        <x:v>Applied Nutrition</x:v>
      </x:c>
      <x:c r="C158" s="10" t="str">
        <x:v>Cream of Rice</x:v>
      </x:c>
      <x:c r="D158" s="10" t="str">
        <x:v>Supplements</x:v>
      </x:c>
      <x:c r="E158" s="10" t="str">
        <x:v>High Protein Foods</x:v>
      </x:c>
      <x:c r="F158" s="10" t="str">
        <x:v>Easy-to-prepare rice carbohydrate food.</x:v>
      </x:c>
      <x:c r="G158" s="10" t="str">
        <x:v>2kg</x:v>
      </x:c>
      <x:c r="H158" s="10" t="str">
        <x:v>Golden Syrup</x:v>
      </x:c>
      <x:c r="I158" s="10" t="str"/>
      <x:c r="J158" s="10" t="str">
        <x:v>Unit</x:v>
      </x:c>
      <x:c r="K158" s="10" t="str">
        <x:v>In stock</x:v>
      </x:c>
      <x:c r="L158" s="10" t="str">
        <x:v>2026-09-08</x:v>
      </x:c>
      <x:c r="M158" s="10" t="str"/>
      <x:c r="N158" s="10" t="str"/>
      <x:c r="O158" s="10" t="str">
        <x:v>https://www.activesportstrade.co.uk/applied-nutrition-trade</x:v>
      </x:c>
      <x:c r="P158" s="10" t="str"/>
      <x:c r="S158" t="str">
        <x:v>Pending genuine supplier/brand image</x:v>
      </x:c>
      <x:c r="T158" s="54" t="n">
        <x:v>12.6</x:v>
      </x:c>
      <x:c r="U158" s="47" t="n">
        <x:v>0</x:v>
      </x:c>
      <x:c r="V158" s="54" t="n">
        <x:f>IF(ISNUMBER(T158),T158*(1+U158),"")</x:f>
        <x:v>12.6</x:v>
      </x:c>
      <x:c r="W158" s="47" t="n">
        <x:v>0.3</x:v>
      </x:c>
      <x:c r="X158" s="54" t="n">
        <x:f>IF(ISNUMBER(V158),V158/(1-W158),"")</x:f>
        <x:v>18</x:v>
      </x:c>
      <x:c r="Y158" s="55" t="n">
        <x:f>IF(ISNUMBER(X158),ROUNDUP(X158,0),"")</x:f>
        <x:v>18</x:v>
      </x:c>
      <x:c r="Z158" t="str">
        <x:v>Source match pending</x:v>
      </x:c>
      <x:c r="AA158" t="str">
        <x:v>screencapture-www-activesportstrade-co-uk-applied-nutrition-trade-2026-09-10-08_59_59.pdf / page-07</x:v>
      </x:c>
      <x:c r="AB158" s="36" t="n">
        <x:f>IF(ISNUMBER(Y158),ROUND(Y158*0.9,2),"")</x:f>
        <x:v>16.2</x:v>
      </x:c>
      <x:c r="AC158" s="36" t="n">
        <x:f>IF(ISNUMBER(AB158),ROUND(AB158-(AB158*0.015+0.2)-V158,2),"")</x:f>
        <x:v>3.16</x:v>
      </x:c>
      <x:c r="AD158" s="36" t="n">
        <x:f>IF(ISNUMBER(Y158),ROUND(Y158*0.8,2),"")</x:f>
        <x:v>14.4</x:v>
      </x:c>
      <x:c r="AE158" s="36" t="n">
        <x:f>IF(ISNUMBER(AD158),ROUND(AD158*0.015+0.2,2),"")</x:f>
        <x:v>0.42</x:v>
      </x:c>
      <x:c r="AF158" s="36" t="n">
        <x:f>IF(ISNUMBER(AD158),ROUND(AD158-AE158-V158,2),"")</x:f>
        <x:v>1.38</x:v>
      </x:c>
      <x:c r="AG158" t="str">
        <x:f>IF(NOT(ISNUMBER(T158)),"PENDING",IF(AF158&gt;0,"PASS","FAIL"))</x:f>
        <x:v>PASS</x:v>
      </x:c>
      <x:c r="AH158" t="str">
        <x:f>IF(NOT(ISNUMBER(T158)),"Needs supplier cost",IF(K158&lt;&gt;"In stock","Supplier unavailable",IF(AG158&lt;&gt;"PASS","BLOCK - GT loss risk","Commercially protected")))</x:f>
        <x:v>Commercially protected</x:v>
      </x:c>
      <x:c r="AI158" t="str">
        <x:v>2026-09-10 Active Sports trade capture</x:v>
      </x:c>
      <x:c r="AJ158" t="str">
        <x:v>Management-only economics. Stripe stress test uses 1.5% + £0.20 standard UK online-card fee; pallet/mix-and-match pricing ignored.</x:v>
      </x:c>
    </x:row>
    <x:row r="159">
      <x:c r="A159" s="10" t="str">
        <x:v>Active Sports Nutrition</x:v>
      </x:c>
      <x:c r="B159" s="10" t="str">
        <x:v>Applied Nutrition</x:v>
      </x:c>
      <x:c r="C159" s="10" t="str">
        <x:v>Cream of Rice</x:v>
      </x:c>
      <x:c r="D159" s="10" t="str">
        <x:v>Supplements</x:v>
      </x:c>
      <x:c r="E159" s="10" t="str">
        <x:v>High Protein Foods</x:v>
      </x:c>
      <x:c r="F159" s="10" t="str">
        <x:v>Easy-to-prepare rice carbohydrate food.</x:v>
      </x:c>
      <x:c r="G159" s="10" t="str">
        <x:v>2kg</x:v>
      </x:c>
      <x:c r="H159" s="10" t="str">
        <x:v>Raspberry Ripple</x:v>
      </x:c>
      <x:c r="I159" s="10" t="str"/>
      <x:c r="J159" s="10" t="str">
        <x:v>Unit</x:v>
      </x:c>
      <x:c r="K159" s="10" t="str">
        <x:v>In stock</x:v>
      </x:c>
      <x:c r="L159" s="10" t="str">
        <x:v>2026-09-08</x:v>
      </x:c>
      <x:c r="M159" s="10" t="str"/>
      <x:c r="N159" s="10" t="str"/>
      <x:c r="O159" s="10" t="str">
        <x:v>https://www.activesportstrade.co.uk/applied-nutrition-trade</x:v>
      </x:c>
      <x:c r="P159" s="10" t="str"/>
      <x:c r="S159" t="str">
        <x:v>Pending genuine supplier/brand image</x:v>
      </x:c>
      <x:c r="T159" s="54" t="n">
        <x:v>12.6</x:v>
      </x:c>
      <x:c r="U159" s="47" t="n">
        <x:v>0</x:v>
      </x:c>
      <x:c r="V159" s="54" t="n">
        <x:f>IF(ISNUMBER(T159),T159*(1+U159),"")</x:f>
        <x:v>12.6</x:v>
      </x:c>
      <x:c r="W159" s="47" t="n">
        <x:v>0.3</x:v>
      </x:c>
      <x:c r="X159" s="54" t="n">
        <x:f>IF(ISNUMBER(V159),V159/(1-W159),"")</x:f>
        <x:v>18</x:v>
      </x:c>
      <x:c r="Y159" s="55" t="n">
        <x:f>IF(ISNUMBER(X159),ROUNDUP(X159,0),"")</x:f>
        <x:v>18</x:v>
      </x:c>
      <x:c r="Z159" t="str">
        <x:v>Source match pending</x:v>
      </x:c>
      <x:c r="AA159" t="str">
        <x:v>screencapture-www-activesportstrade-co-uk-applied-nutrition-trade-2026-09-10-08_59_59.pdf / page-07</x:v>
      </x:c>
      <x:c r="AB159" s="36" t="n">
        <x:f>IF(ISNUMBER(Y159),ROUND(Y159*0.9,2),"")</x:f>
        <x:v>16.2</x:v>
      </x:c>
      <x:c r="AC159" s="36" t="n">
        <x:f>IF(ISNUMBER(AB159),ROUND(AB159-(AB159*0.015+0.2)-V159,2),"")</x:f>
        <x:v>3.16</x:v>
      </x:c>
      <x:c r="AD159" s="36" t="n">
        <x:f>IF(ISNUMBER(Y159),ROUND(Y159*0.8,2),"")</x:f>
        <x:v>14.4</x:v>
      </x:c>
      <x:c r="AE159" s="36" t="n">
        <x:f>IF(ISNUMBER(AD159),ROUND(AD159*0.015+0.2,2),"")</x:f>
        <x:v>0.42</x:v>
      </x:c>
      <x:c r="AF159" s="36" t="n">
        <x:f>IF(ISNUMBER(AD159),ROUND(AD159-AE159-V159,2),"")</x:f>
        <x:v>1.38</x:v>
      </x:c>
      <x:c r="AG159" t="str">
        <x:f>IF(NOT(ISNUMBER(T159)),"PENDING",IF(AF159&gt;0,"PASS","FAIL"))</x:f>
        <x:v>PASS</x:v>
      </x:c>
      <x:c r="AH159" t="str">
        <x:f>IF(NOT(ISNUMBER(T159)),"Needs supplier cost",IF(K159&lt;&gt;"In stock","Supplier unavailable",IF(AG159&lt;&gt;"PASS","BLOCK - GT loss risk","Commercially protected")))</x:f>
        <x:v>Commercially protected</x:v>
      </x:c>
      <x:c r="AI159" t="str">
        <x:v>2026-09-10 Active Sports trade capture</x:v>
      </x:c>
      <x:c r="AJ159" t="str">
        <x:v>Management-only economics. Stripe stress test uses 1.5% + £0.20 standard UK online-card fee; pallet/mix-and-match pricing ignored.</x:v>
      </x:c>
    </x:row>
    <x:row r="160">
      <x:c r="A160" s="10" t="str">
        <x:v>Active Sports Nutrition</x:v>
      </x:c>
      <x:c r="B160" s="10" t="str">
        <x:v>Applied Nutrition</x:v>
      </x:c>
      <x:c r="C160" s="10" t="str">
        <x:v>Cream of Rice</x:v>
      </x:c>
      <x:c r="D160" s="10" t="str">
        <x:v>Supplements</x:v>
      </x:c>
      <x:c r="E160" s="10" t="str">
        <x:v>High Protein Foods</x:v>
      </x:c>
      <x:c r="F160" s="10" t="str">
        <x:v>Easy-to-prepare rice carbohydrate food.</x:v>
      </x:c>
      <x:c r="G160" s="10" t="str">
        <x:v>2kg</x:v>
      </x:c>
      <x:c r="H160" s="10" t="str">
        <x:v>Toffee Biscuit</x:v>
      </x:c>
      <x:c r="I160" s="10" t="str"/>
      <x:c r="J160" s="10" t="str">
        <x:v>Unit</x:v>
      </x:c>
      <x:c r="K160" s="10" t="str">
        <x:v>In stock</x:v>
      </x:c>
      <x:c r="L160" s="10" t="str">
        <x:v>2026-09-08</x:v>
      </x:c>
      <x:c r="M160" s="10" t="str"/>
      <x:c r="N160" s="10" t="str"/>
      <x:c r="O160" s="10" t="str">
        <x:v>https://www.activesportstrade.co.uk/applied-nutrition-trade</x:v>
      </x:c>
      <x:c r="P160" s="10" t="str"/>
      <x:c r="S160" t="str">
        <x:v>Pending genuine supplier/brand image</x:v>
      </x:c>
      <x:c r="T160" s="54" t="n">
        <x:v>12.6</x:v>
      </x:c>
      <x:c r="U160" s="47" t="n">
        <x:v>0</x:v>
      </x:c>
      <x:c r="V160" s="54" t="n">
        <x:f>IF(ISNUMBER(T160),T160*(1+U160),"")</x:f>
        <x:v>12.6</x:v>
      </x:c>
      <x:c r="W160" s="47" t="n">
        <x:v>0.3</x:v>
      </x:c>
      <x:c r="X160" s="54" t="n">
        <x:f>IF(ISNUMBER(V160),V160/(1-W160),"")</x:f>
        <x:v>18</x:v>
      </x:c>
      <x:c r="Y160" s="55" t="n">
        <x:f>IF(ISNUMBER(X160),ROUNDUP(X160,0),"")</x:f>
        <x:v>18</x:v>
      </x:c>
      <x:c r="Z160" t="str">
        <x:v>Source match pending</x:v>
      </x:c>
      <x:c r="AA160" t="str">
        <x:v>screencapture-www-activesportstrade-co-uk-applied-nutrition-trade-2026-09-10-08_59_59.pdf / page-07</x:v>
      </x:c>
      <x:c r="AB160" s="36" t="n">
        <x:f>IF(ISNUMBER(Y160),ROUND(Y160*0.9,2),"")</x:f>
        <x:v>16.2</x:v>
      </x:c>
      <x:c r="AC160" s="36" t="n">
        <x:f>IF(ISNUMBER(AB160),ROUND(AB160-(AB160*0.015+0.2)-V160,2),"")</x:f>
        <x:v>3.16</x:v>
      </x:c>
      <x:c r="AD160" s="36" t="n">
        <x:f>IF(ISNUMBER(Y160),ROUND(Y160*0.8,2),"")</x:f>
        <x:v>14.4</x:v>
      </x:c>
      <x:c r="AE160" s="36" t="n">
        <x:f>IF(ISNUMBER(AD160),ROUND(AD160*0.015+0.2,2),"")</x:f>
        <x:v>0.42</x:v>
      </x:c>
      <x:c r="AF160" s="36" t="n">
        <x:f>IF(ISNUMBER(AD160),ROUND(AD160-AE160-V160,2),"")</x:f>
        <x:v>1.38</x:v>
      </x:c>
      <x:c r="AG160" t="str">
        <x:f>IF(NOT(ISNUMBER(T160)),"PENDING",IF(AF160&gt;0,"PASS","FAIL"))</x:f>
        <x:v>PASS</x:v>
      </x:c>
      <x:c r="AH160" t="str">
        <x:f>IF(NOT(ISNUMBER(T160)),"Needs supplier cost",IF(K160&lt;&gt;"In stock","Supplier unavailable",IF(AG160&lt;&gt;"PASS","BLOCK - GT loss risk","Commercially protected")))</x:f>
        <x:v>Commercially protected</x:v>
      </x:c>
      <x:c r="AI160" t="str">
        <x:v>2026-09-10 Active Sports trade capture</x:v>
      </x:c>
      <x:c r="AJ160" t="str">
        <x:v>Management-only economics. Stripe stress test uses 1.5% + £0.20 standard UK online-card fee; pallet/mix-and-match pricing ignored.</x:v>
      </x:c>
    </x:row>
    <x:row r="161">
      <x:c r="A161" s="10" t="str">
        <x:v>Active Sports Nutrition</x:v>
      </x:c>
      <x:c r="B161" s="10" t="str">
        <x:v>Applied Nutrition</x:v>
      </x:c>
      <x:c r="C161" s="10" t="str">
        <x:v>Cream of Rice</x:v>
      </x:c>
      <x:c r="D161" s="10" t="str">
        <x:v>Supplements</x:v>
      </x:c>
      <x:c r="E161" s="10" t="str">
        <x:v>High Protein Foods</x:v>
      </x:c>
      <x:c r="F161" s="10" t="str">
        <x:v>Easy-to-prepare rice carbohydrate food.</x:v>
      </x:c>
      <x:c r="G161" s="10" t="str">
        <x:v>2kg</x:v>
      </x:c>
      <x:c r="H161" s="10" t="str">
        <x:v>Unflavoured</x:v>
      </x:c>
      <x:c r="I161" s="10" t="str"/>
      <x:c r="J161" s="10" t="str">
        <x:v>Unit</x:v>
      </x:c>
      <x:c r="K161" s="10" t="str">
        <x:v>In stock</x:v>
      </x:c>
      <x:c r="L161" s="10" t="str">
        <x:v>2026-09-08</x:v>
      </x:c>
      <x:c r="M161" s="10" t="str"/>
      <x:c r="N161" s="10" t="str"/>
      <x:c r="O161" s="10" t="str">
        <x:v>https://www.activesportstrade.co.uk/applied-nutrition-trade</x:v>
      </x:c>
      <x:c r="P161" s="10" t="str"/>
      <x:c r="S161" t="str">
        <x:v>Pending genuine supplier/brand image</x:v>
      </x:c>
      <x:c r="T161" s="54" t="n">
        <x:v>12.6</x:v>
      </x:c>
      <x:c r="U161" s="47" t="n">
        <x:v>0</x:v>
      </x:c>
      <x:c r="V161" s="54" t="n">
        <x:f>IF(ISNUMBER(T161),T161*(1+U161),"")</x:f>
        <x:v>12.6</x:v>
      </x:c>
      <x:c r="W161" s="47" t="n">
        <x:v>0.3</x:v>
      </x:c>
      <x:c r="X161" s="54" t="n">
        <x:f>IF(ISNUMBER(V161),V161/(1-W161),"")</x:f>
        <x:v>18</x:v>
      </x:c>
      <x:c r="Y161" s="55" t="n">
        <x:f>IF(ISNUMBER(X161),ROUNDUP(X161,0),"")</x:f>
        <x:v>18</x:v>
      </x:c>
      <x:c r="Z161" t="str">
        <x:v>Source match pending</x:v>
      </x:c>
      <x:c r="AA161" t="str">
        <x:v>screencapture-www-activesportstrade-co-uk-applied-nutrition-trade-2026-09-10-08_59_59.pdf / page-07</x:v>
      </x:c>
      <x:c r="AB161" s="36" t="n">
        <x:f>IF(ISNUMBER(Y161),ROUND(Y161*0.9,2),"")</x:f>
        <x:v>16.2</x:v>
      </x:c>
      <x:c r="AC161" s="36" t="n">
        <x:f>IF(ISNUMBER(AB161),ROUND(AB161-(AB161*0.015+0.2)-V161,2),"")</x:f>
        <x:v>3.16</x:v>
      </x:c>
      <x:c r="AD161" s="36" t="n">
        <x:f>IF(ISNUMBER(Y161),ROUND(Y161*0.8,2),"")</x:f>
        <x:v>14.4</x:v>
      </x:c>
      <x:c r="AE161" s="36" t="n">
        <x:f>IF(ISNUMBER(AD161),ROUND(AD161*0.015+0.2,2),"")</x:f>
        <x:v>0.42</x:v>
      </x:c>
      <x:c r="AF161" s="36" t="n">
        <x:f>IF(ISNUMBER(AD161),ROUND(AD161-AE161-V161,2),"")</x:f>
        <x:v>1.38</x:v>
      </x:c>
      <x:c r="AG161" t="str">
        <x:f>IF(NOT(ISNUMBER(T161)),"PENDING",IF(AF161&gt;0,"PASS","FAIL"))</x:f>
        <x:v>PASS</x:v>
      </x:c>
      <x:c r="AH161" t="str">
        <x:f>IF(NOT(ISNUMBER(T161)),"Needs supplier cost",IF(K161&lt;&gt;"In stock","Supplier unavailable",IF(AG161&lt;&gt;"PASS","BLOCK - GT loss risk","Commercially protected")))</x:f>
        <x:v>Commercially protected</x:v>
      </x:c>
      <x:c r="AI161" t="str">
        <x:v>2026-09-10 Active Sports trade capture</x:v>
      </x:c>
      <x:c r="AJ161" t="str">
        <x:v>Management-only economics. Stripe stress test uses 1.5% + £0.20 standard UK online-card fee; pallet/mix-and-match pricing ignored.</x:v>
      </x:c>
    </x:row>
    <x:row r="162">
      <x:c r="A162" s="10" t="str">
        <x:v>Active Sports Nutrition</x:v>
      </x:c>
      <x:c r="B162" s="10" t="str">
        <x:v>Applied Nutrition</x:v>
      </x:c>
      <x:c r="C162" s="10" t="str">
        <x:v>Critical Oats</x:v>
      </x:c>
      <x:c r="D162" s="10" t="str">
        <x:v>Supplements</x:v>
      </x:c>
      <x:c r="E162" s="10" t="str">
        <x:v>High Protein Foods</x:v>
      </x:c>
      <x:c r="F162" s="10" t="str">
        <x:v>Protein porridge based on wholegrain oats.</x:v>
      </x:c>
      <x:c r="G162" s="10" t="str">
        <x:v>600g</x:v>
      </x:c>
      <x:c r="H162" s="10" t="str">
        <x:v>Chocolate</x:v>
      </x:c>
      <x:c r="I162" s="10" t="str"/>
      <x:c r="J162" s="10" t="str">
        <x:v>Unit</x:v>
      </x:c>
      <x:c r="K162" s="10" t="str">
        <x:v>In stock</x:v>
      </x:c>
      <x:c r="L162" s="10" t="str">
        <x:v>2026-09-08</x:v>
      </x:c>
      <x:c r="M162" s="10" t="str"/>
      <x:c r="N162" s="10" t="str"/>
      <x:c r="O162" s="10" t="str">
        <x:v>https://www.activesportstrade.co.uk/applied-nutrition-trade</x:v>
      </x:c>
      <x:c r="P162" s="10" t="str"/>
      <x:c r="S162" t="str">
        <x:v>Pending genuine supplier/brand image</x:v>
      </x:c>
      <x:c r="T162" s="54" t="n">
        <x:v>8.26</x:v>
      </x:c>
      <x:c r="U162" s="47" t="n">
        <x:v>0</x:v>
      </x:c>
      <x:c r="V162" s="54" t="n">
        <x:f>IF(ISNUMBER(T162),T162*(1+U162),"")</x:f>
        <x:v>8.26</x:v>
      </x:c>
      <x:c r="W162" s="47" t="n">
        <x:v>0.3</x:v>
      </x:c>
      <x:c r="X162" s="54" t="n">
        <x:f>IF(ISNUMBER(V162),V162/(1-W162),"")</x:f>
        <x:v>11.8</x:v>
      </x:c>
      <x:c r="Y162" s="55" t="n">
        <x:f>IF(ISNUMBER(X162),ROUNDUP(X162,0),"")</x:f>
        <x:v>12</x:v>
      </x:c>
      <x:c r="Z162" t="str">
        <x:v>Source match pending</x:v>
      </x:c>
      <x:c r="AA162" t="str">
        <x:v>screencapture-www-activesportstrade-co-uk-applied-nutrition-trade-2026-09-10-08_59_59.pdf / page-09</x:v>
      </x:c>
      <x:c r="AB162" s="36" t="n">
        <x:f>IF(ISNUMBER(Y162),ROUND(Y162*0.9,2),"")</x:f>
        <x:v>10.8</x:v>
      </x:c>
      <x:c r="AC162" s="36" t="n">
        <x:f>IF(ISNUMBER(AB162),ROUND(AB162-(AB162*0.015+0.2)-V162,2),"")</x:f>
        <x:v>2.18</x:v>
      </x:c>
      <x:c r="AD162" s="36" t="n">
        <x:f>IF(ISNUMBER(Y162),ROUND(Y162*0.8,2),"")</x:f>
        <x:v>9.6</x:v>
      </x:c>
      <x:c r="AE162" s="36" t="n">
        <x:f>IF(ISNUMBER(AD162),ROUND(AD162*0.015+0.2,2),"")</x:f>
        <x:v>0.34</x:v>
      </x:c>
      <x:c r="AF162" s="36" t="n">
        <x:f>IF(ISNUMBER(AD162),ROUND(AD162-AE162-V162,2),"")</x:f>
        <x:v>1</x:v>
      </x:c>
      <x:c r="AG162" t="str">
        <x:f>IF(NOT(ISNUMBER(T162)),"PENDING",IF(AF162&gt;0,"PASS","FAIL"))</x:f>
        <x:v>PASS</x:v>
      </x:c>
      <x:c r="AH162" t="str">
        <x:f>IF(NOT(ISNUMBER(T162)),"Needs supplier cost",IF(K162&lt;&gt;"In stock","Supplier unavailable",IF(AG162&lt;&gt;"PASS","BLOCK - GT loss risk","Commercially protected")))</x:f>
        <x:v>Commercially protected</x:v>
      </x:c>
      <x:c r="AI162" t="str">
        <x:v>2026-09-10 Active Sports trade capture</x:v>
      </x:c>
      <x:c r="AJ162" t="str">
        <x:v>Management-only economics. Stripe stress test uses 1.5% + £0.20 standard UK online-card fee; pallet/mix-and-match pricing ignored.</x:v>
      </x:c>
    </x:row>
    <x:row r="163">
      <x:c r="A163" s="10" t="str">
        <x:v>Active Sports Nutrition</x:v>
      </x:c>
      <x:c r="B163" s="10" t="str">
        <x:v>Applied Nutrition</x:v>
      </x:c>
      <x:c r="C163" s="10" t="str">
        <x:v>Critical Oats</x:v>
      </x:c>
      <x:c r="D163" s="10" t="str">
        <x:v>Supplements</x:v>
      </x:c>
      <x:c r="E163" s="10" t="str">
        <x:v>High Protein Foods</x:v>
      </x:c>
      <x:c r="F163" s="10" t="str">
        <x:v>Protein porridge based on wholegrain oats.</x:v>
      </x:c>
      <x:c r="G163" s="10" t="str">
        <x:v>600g</x:v>
      </x:c>
      <x:c r="H163" s="10" t="str">
        <x:v>Cookies &amp; Cream</x:v>
      </x:c>
      <x:c r="I163" s="10" t="str"/>
      <x:c r="J163" s="10" t="str">
        <x:v>Unit</x:v>
      </x:c>
      <x:c r="K163" s="10" t="str">
        <x:v>In stock</x:v>
      </x:c>
      <x:c r="L163" s="10" t="str">
        <x:v>2026-09-08</x:v>
      </x:c>
      <x:c r="M163" s="10" t="str"/>
      <x:c r="N163" s="10" t="str"/>
      <x:c r="O163" s="10" t="str">
        <x:v>https://www.activesportstrade.co.uk/applied-nutrition-trade</x:v>
      </x:c>
      <x:c r="P163" s="10" t="str"/>
      <x:c r="S163" t="str">
        <x:v>Pending genuine supplier/brand image</x:v>
      </x:c>
      <x:c r="T163" s="54" t="n">
        <x:v>8.26</x:v>
      </x:c>
      <x:c r="U163" s="47" t="n">
        <x:v>0</x:v>
      </x:c>
      <x:c r="V163" s="54" t="n">
        <x:f>IF(ISNUMBER(T163),T163*(1+U163),"")</x:f>
        <x:v>8.26</x:v>
      </x:c>
      <x:c r="W163" s="47" t="n">
        <x:v>0.3</x:v>
      </x:c>
      <x:c r="X163" s="54" t="n">
        <x:f>IF(ISNUMBER(V163),V163/(1-W163),"")</x:f>
        <x:v>11.8</x:v>
      </x:c>
      <x:c r="Y163" s="55" t="n">
        <x:f>IF(ISNUMBER(X163),ROUNDUP(X163,0),"")</x:f>
        <x:v>12</x:v>
      </x:c>
      <x:c r="Z163" t="str">
        <x:v>Source match pending</x:v>
      </x:c>
      <x:c r="AA163" t="str">
        <x:v>screencapture-www-activesportstrade-co-uk-applied-nutrition-trade-2026-09-10-08_59_59.pdf / page-09</x:v>
      </x:c>
      <x:c r="AB163" s="36" t="n">
        <x:f>IF(ISNUMBER(Y163),ROUND(Y163*0.9,2),"")</x:f>
        <x:v>10.8</x:v>
      </x:c>
      <x:c r="AC163" s="36" t="n">
        <x:f>IF(ISNUMBER(AB163),ROUND(AB163-(AB163*0.015+0.2)-V163,2),"")</x:f>
        <x:v>2.18</x:v>
      </x:c>
      <x:c r="AD163" s="36" t="n">
        <x:f>IF(ISNUMBER(Y163),ROUND(Y163*0.8,2),"")</x:f>
        <x:v>9.6</x:v>
      </x:c>
      <x:c r="AE163" s="36" t="n">
        <x:f>IF(ISNUMBER(AD163),ROUND(AD163*0.015+0.2,2),"")</x:f>
        <x:v>0.34</x:v>
      </x:c>
      <x:c r="AF163" s="36" t="n">
        <x:f>IF(ISNUMBER(AD163),ROUND(AD163-AE163-V163,2),"")</x:f>
        <x:v>1</x:v>
      </x:c>
      <x:c r="AG163" t="str">
        <x:f>IF(NOT(ISNUMBER(T163)),"PENDING",IF(AF163&gt;0,"PASS","FAIL"))</x:f>
        <x:v>PASS</x:v>
      </x:c>
      <x:c r="AH163" t="str">
        <x:f>IF(NOT(ISNUMBER(T163)),"Needs supplier cost",IF(K163&lt;&gt;"In stock","Supplier unavailable",IF(AG163&lt;&gt;"PASS","BLOCK - GT loss risk","Commercially protected")))</x:f>
        <x:v>Commercially protected</x:v>
      </x:c>
      <x:c r="AI163" t="str">
        <x:v>2026-09-10 Active Sports trade capture</x:v>
      </x:c>
      <x:c r="AJ163" t="str">
        <x:v>Management-only economics. Stripe stress test uses 1.5% + £0.20 standard UK online-card fee; pallet/mix-and-match pricing ignored.</x:v>
      </x:c>
    </x:row>
    <x:row r="164">
      <x:c r="A164" s="10" t="str">
        <x:v>Active Sports Nutrition</x:v>
      </x:c>
      <x:c r="B164" s="10" t="str">
        <x:v>Applied Nutrition</x:v>
      </x:c>
      <x:c r="C164" s="10" t="str">
        <x:v>Critical Oats</x:v>
      </x:c>
      <x:c r="D164" s="10" t="str">
        <x:v>Supplements</x:v>
      </x:c>
      <x:c r="E164" s="10" t="str">
        <x:v>High Protein Foods</x:v>
      </x:c>
      <x:c r="F164" s="10" t="str">
        <x:v>Protein porridge based on wholegrain oats.</x:v>
      </x:c>
      <x:c r="G164" s="10" t="str">
        <x:v>600g</x:v>
      </x:c>
      <x:c r="H164" s="10" t="str">
        <x:v>Golden Syrup</x:v>
      </x:c>
      <x:c r="I164" s="10" t="str"/>
      <x:c r="J164" s="10" t="str">
        <x:v>Unit</x:v>
      </x:c>
      <x:c r="K164" s="10" t="str">
        <x:v>In stock</x:v>
      </x:c>
      <x:c r="L164" s="10" t="str">
        <x:v>2026-09-08</x:v>
      </x:c>
      <x:c r="M164" s="10" t="str"/>
      <x:c r="N164" s="10" t="str"/>
      <x:c r="O164" s="10" t="str">
        <x:v>https://www.activesportstrade.co.uk/applied-nutrition-trade</x:v>
      </x:c>
      <x:c r="P164" s="10" t="str"/>
      <x:c r="S164" t="str">
        <x:v>Pending genuine supplier/brand image</x:v>
      </x:c>
      <x:c r="T164" s="54" t="n">
        <x:v>8.26</x:v>
      </x:c>
      <x:c r="U164" s="47" t="n">
        <x:v>0</x:v>
      </x:c>
      <x:c r="V164" s="54" t="n">
        <x:f>IF(ISNUMBER(T164),T164*(1+U164),"")</x:f>
        <x:v>8.26</x:v>
      </x:c>
      <x:c r="W164" s="47" t="n">
        <x:v>0.3</x:v>
      </x:c>
      <x:c r="X164" s="54" t="n">
        <x:f>IF(ISNUMBER(V164),V164/(1-W164),"")</x:f>
        <x:v>11.8</x:v>
      </x:c>
      <x:c r="Y164" s="55" t="n">
        <x:f>IF(ISNUMBER(X164),ROUNDUP(X164,0),"")</x:f>
        <x:v>12</x:v>
      </x:c>
      <x:c r="Z164" t="str">
        <x:v>Source match pending</x:v>
      </x:c>
      <x:c r="AA164" t="str">
        <x:v>screencapture-www-activesportstrade-co-uk-applied-nutrition-trade-2026-09-10-08_59_59.pdf / page-09</x:v>
      </x:c>
      <x:c r="AB164" s="36" t="n">
        <x:f>IF(ISNUMBER(Y164),ROUND(Y164*0.9,2),"")</x:f>
        <x:v>10.8</x:v>
      </x:c>
      <x:c r="AC164" s="36" t="n">
        <x:f>IF(ISNUMBER(AB164),ROUND(AB164-(AB164*0.015+0.2)-V164,2),"")</x:f>
        <x:v>2.18</x:v>
      </x:c>
      <x:c r="AD164" s="36" t="n">
        <x:f>IF(ISNUMBER(Y164),ROUND(Y164*0.8,2),"")</x:f>
        <x:v>9.6</x:v>
      </x:c>
      <x:c r="AE164" s="36" t="n">
        <x:f>IF(ISNUMBER(AD164),ROUND(AD164*0.015+0.2,2),"")</x:f>
        <x:v>0.34</x:v>
      </x:c>
      <x:c r="AF164" s="36" t="n">
        <x:f>IF(ISNUMBER(AD164),ROUND(AD164-AE164-V164,2),"")</x:f>
        <x:v>1</x:v>
      </x:c>
      <x:c r="AG164" t="str">
        <x:f>IF(NOT(ISNUMBER(T164)),"PENDING",IF(AF164&gt;0,"PASS","FAIL"))</x:f>
        <x:v>PASS</x:v>
      </x:c>
      <x:c r="AH164" t="str">
        <x:f>IF(NOT(ISNUMBER(T164)),"Needs supplier cost",IF(K164&lt;&gt;"In stock","Supplier unavailable",IF(AG164&lt;&gt;"PASS","BLOCK - GT loss risk","Commercially protected")))</x:f>
        <x:v>Commercially protected</x:v>
      </x:c>
      <x:c r="AI164" t="str">
        <x:v>2026-09-10 Active Sports trade capture</x:v>
      </x:c>
      <x:c r="AJ164" t="str">
        <x:v>Management-only economics. Stripe stress test uses 1.5% + £0.20 standard UK online-card fee; pallet/mix-and-match pricing ignored.</x:v>
      </x:c>
    </x:row>
    <x:row r="165">
      <x:c r="A165" s="10" t="str">
        <x:v>Active Sports Nutrition</x:v>
      </x:c>
      <x:c r="B165" s="10" t="str">
        <x:v>Applied Nutrition</x:v>
      </x:c>
      <x:c r="C165" s="10" t="str">
        <x:v>Critical Oats</x:v>
      </x:c>
      <x:c r="D165" s="10" t="str">
        <x:v>Supplements</x:v>
      </x:c>
      <x:c r="E165" s="10" t="str">
        <x:v>High Protein Foods</x:v>
      </x:c>
      <x:c r="F165" s="10" t="str">
        <x:v>Protein porridge based on wholegrain oats.</x:v>
      </x:c>
      <x:c r="G165" s="10" t="str">
        <x:v>600g</x:v>
      </x:c>
      <x:c r="H165" s="10" t="str">
        <x:v>Salted Caramel</x:v>
      </x:c>
      <x:c r="I165" s="10" t="str"/>
      <x:c r="J165" s="10" t="str">
        <x:v>Unit</x:v>
      </x:c>
      <x:c r="K165" s="10" t="str">
        <x:v>In stock</x:v>
      </x:c>
      <x:c r="L165" s="10" t="str">
        <x:v>2026-09-08</x:v>
      </x:c>
      <x:c r="M165" s="10" t="str"/>
      <x:c r="N165" s="10" t="str"/>
      <x:c r="O165" s="10" t="str">
        <x:v>https://www.activesportstrade.co.uk/applied-nutrition-trade</x:v>
      </x:c>
      <x:c r="P165" s="10" t="str"/>
      <x:c r="S165" t="str">
        <x:v>Pending genuine supplier/brand image</x:v>
      </x:c>
      <x:c r="T165" s="54" t="n">
        <x:v>8.26</x:v>
      </x:c>
      <x:c r="U165" s="47" t="n">
        <x:v>0</x:v>
      </x:c>
      <x:c r="V165" s="54" t="n">
        <x:f>IF(ISNUMBER(T165),T165*(1+U165),"")</x:f>
        <x:v>8.26</x:v>
      </x:c>
      <x:c r="W165" s="47" t="n">
        <x:v>0.3</x:v>
      </x:c>
      <x:c r="X165" s="54" t="n">
        <x:f>IF(ISNUMBER(V165),V165/(1-W165),"")</x:f>
        <x:v>11.8</x:v>
      </x:c>
      <x:c r="Y165" s="55" t="n">
        <x:f>IF(ISNUMBER(X165),ROUNDUP(X165,0),"")</x:f>
        <x:v>12</x:v>
      </x:c>
      <x:c r="Z165" t="str">
        <x:v>Source match pending</x:v>
      </x:c>
      <x:c r="AA165" t="str">
        <x:v>screencapture-www-activesportstrade-co-uk-applied-nutrition-trade-2026-09-10-08_59_59.pdf / page-09</x:v>
      </x:c>
      <x:c r="AB165" s="36" t="n">
        <x:f>IF(ISNUMBER(Y165),ROUND(Y165*0.9,2),"")</x:f>
        <x:v>10.8</x:v>
      </x:c>
      <x:c r="AC165" s="36" t="n">
        <x:f>IF(ISNUMBER(AB165),ROUND(AB165-(AB165*0.015+0.2)-V165,2),"")</x:f>
        <x:v>2.18</x:v>
      </x:c>
      <x:c r="AD165" s="36" t="n">
        <x:f>IF(ISNUMBER(Y165),ROUND(Y165*0.8,2),"")</x:f>
        <x:v>9.6</x:v>
      </x:c>
      <x:c r="AE165" s="36" t="n">
        <x:f>IF(ISNUMBER(AD165),ROUND(AD165*0.015+0.2,2),"")</x:f>
        <x:v>0.34</x:v>
      </x:c>
      <x:c r="AF165" s="36" t="n">
        <x:f>IF(ISNUMBER(AD165),ROUND(AD165-AE165-V165,2),"")</x:f>
        <x:v>1</x:v>
      </x:c>
      <x:c r="AG165" t="str">
        <x:f>IF(NOT(ISNUMBER(T165)),"PENDING",IF(AF165&gt;0,"PASS","FAIL"))</x:f>
        <x:v>PASS</x:v>
      </x:c>
      <x:c r="AH165" t="str">
        <x:f>IF(NOT(ISNUMBER(T165)),"Needs supplier cost",IF(K165&lt;&gt;"In stock","Supplier unavailable",IF(AG165&lt;&gt;"PASS","BLOCK - GT loss risk","Commercially protected")))</x:f>
        <x:v>Commercially protected</x:v>
      </x:c>
      <x:c r="AI165" t="str">
        <x:v>2026-09-10 Active Sports trade capture</x:v>
      </x:c>
      <x:c r="AJ165" t="str">
        <x:v>Management-only economics. Stripe stress test uses 1.5% + £0.20 standard UK online-card fee; pallet/mix-and-match pricing ignored.</x:v>
      </x:c>
    </x:row>
    <x:row r="166">
      <x:c r="A166" s="10" t="str">
        <x:v>Active Sports Nutrition</x:v>
      </x:c>
      <x:c r="B166" s="10" t="str">
        <x:v>Applied Nutrition</x:v>
      </x:c>
      <x:c r="C166" s="10" t="str">
        <x:v>Critical Oats</x:v>
      </x:c>
      <x:c r="D166" s="10" t="str">
        <x:v>Supplements</x:v>
      </x:c>
      <x:c r="E166" s="10" t="str">
        <x:v>High Protein Foods</x:v>
      </x:c>
      <x:c r="F166" s="10" t="str">
        <x:v>Protein porridge based on wholegrain oats.</x:v>
      </x:c>
      <x:c r="G166" s="10" t="str">
        <x:v>3kg</x:v>
      </x:c>
      <x:c r="H166" s="10" t="str">
        <x:v>Banana</x:v>
      </x:c>
      <x:c r="I166" s="10" t="str"/>
      <x:c r="J166" s="10" t="str">
        <x:v>Unit</x:v>
      </x:c>
      <x:c r="K166" s="10" t="str">
        <x:v>In stock</x:v>
      </x:c>
      <x:c r="L166" s="10" t="str">
        <x:v>2026-09-08</x:v>
      </x:c>
      <x:c r="M166" s="10" t="str"/>
      <x:c r="N166" s="10" t="str"/>
      <x:c r="O166" s="10" t="str">
        <x:v>https://www.activesportstrade.co.uk/applied-nutrition-trade</x:v>
      </x:c>
      <x:c r="P166" s="10" t="str"/>
      <x:c r="S166" t="str">
        <x:v>Pending genuine supplier/brand image</x:v>
      </x:c>
      <x:c r="T166" s="54" t="n">
        <x:v>29.23</x:v>
      </x:c>
      <x:c r="U166" s="47" t="n">
        <x:v>0</x:v>
      </x:c>
      <x:c r="V166" s="54" t="n">
        <x:f>IF(ISNUMBER(T166),T166*(1+U166),"")</x:f>
        <x:v>29.23</x:v>
      </x:c>
      <x:c r="W166" s="47" t="n">
        <x:v>0.3</x:v>
      </x:c>
      <x:c r="X166" s="54" t="n">
        <x:f>IF(ISNUMBER(V166),V166/(1-W166),"")</x:f>
        <x:v>41.75714285714286</x:v>
      </x:c>
      <x:c r="Y166" s="55" t="n">
        <x:f>IF(ISNUMBER(X166),ROUNDUP(X166,0),"")</x:f>
        <x:v>42</x:v>
      </x:c>
      <x:c r="Z166" t="str">
        <x:v>Source match pending</x:v>
      </x:c>
      <x:c r="AA166" t="str">
        <x:v>screencapture-www-activesportstrade-co-uk-applied-nutrition-trade-2026-09-10-08_59_59.pdf / page-09</x:v>
      </x:c>
      <x:c r="AB166" s="36" t="n">
        <x:f>IF(ISNUMBER(Y166),ROUND(Y166*0.9,2),"")</x:f>
        <x:v>37.8</x:v>
      </x:c>
      <x:c r="AC166" s="36" t="n">
        <x:f>IF(ISNUMBER(AB166),ROUND(AB166-(AB166*0.015+0.2)-V166,2),"")</x:f>
        <x:v>7.8</x:v>
      </x:c>
      <x:c r="AD166" s="36" t="n">
        <x:f>IF(ISNUMBER(Y166),ROUND(Y166*0.8,2),"")</x:f>
        <x:v>33.6</x:v>
      </x:c>
      <x:c r="AE166" s="36" t="n">
        <x:f>IF(ISNUMBER(AD166),ROUND(AD166*0.015+0.2,2),"")</x:f>
        <x:v>0.7</x:v>
      </x:c>
      <x:c r="AF166" s="36" t="n">
        <x:f>IF(ISNUMBER(AD166),ROUND(AD166-AE166-V166,2),"")</x:f>
        <x:v>3.67</x:v>
      </x:c>
      <x:c r="AG166" t="str">
        <x:f>IF(NOT(ISNUMBER(T166)),"PENDING",IF(AF166&gt;0,"PASS","FAIL"))</x:f>
        <x:v>PASS</x:v>
      </x:c>
      <x:c r="AH166" t="str">
        <x:f>IF(NOT(ISNUMBER(T166)),"Needs supplier cost",IF(K166&lt;&gt;"In stock","Supplier unavailable",IF(AG166&lt;&gt;"PASS","BLOCK - GT loss risk","Commercially protected")))</x:f>
        <x:v>Commercially protected</x:v>
      </x:c>
      <x:c r="AI166" t="str">
        <x:v>2026-09-10 Active Sports trade capture</x:v>
      </x:c>
      <x:c r="AJ166" t="str">
        <x:v>Management-only economics. Stripe stress test uses 1.5% + £0.20 standard UK online-card fee; pallet/mix-and-match pricing ignored.</x:v>
      </x:c>
    </x:row>
    <x:row r="167">
      <x:c r="A167" s="10" t="str">
        <x:v>Active Sports Nutrition</x:v>
      </x:c>
      <x:c r="B167" s="10" t="str">
        <x:v>Applied Nutrition</x:v>
      </x:c>
      <x:c r="C167" s="10" t="str">
        <x:v>Critical Oats</x:v>
      </x:c>
      <x:c r="D167" s="10" t="str">
        <x:v>Supplements</x:v>
      </x:c>
      <x:c r="E167" s="10" t="str">
        <x:v>High Protein Foods</x:v>
      </x:c>
      <x:c r="F167" s="10" t="str">
        <x:v>Protein porridge based on wholegrain oats.</x:v>
      </x:c>
      <x:c r="G167" s="10" t="str">
        <x:v>3kg</x:v>
      </x:c>
      <x:c r="H167" s="10" t="str">
        <x:v>Chocolate</x:v>
      </x:c>
      <x:c r="I167" s="10" t="str"/>
      <x:c r="J167" s="10" t="str">
        <x:v>Unit</x:v>
      </x:c>
      <x:c r="K167" s="10" t="str">
        <x:v>In stock</x:v>
      </x:c>
      <x:c r="L167" s="10" t="str">
        <x:v>2026-09-08</x:v>
      </x:c>
      <x:c r="M167" s="10" t="str"/>
      <x:c r="N167" s="10" t="str"/>
      <x:c r="O167" s="10" t="str">
        <x:v>https://www.activesportstrade.co.uk/applied-nutrition-trade</x:v>
      </x:c>
      <x:c r="P167" s="10" t="str"/>
      <x:c r="S167" t="str">
        <x:v>Pending genuine supplier/brand image</x:v>
      </x:c>
      <x:c r="T167" s="54" t="n">
        <x:v>29.23</x:v>
      </x:c>
      <x:c r="U167" s="47" t="n">
        <x:v>0</x:v>
      </x:c>
      <x:c r="V167" s="54" t="n">
        <x:f>IF(ISNUMBER(T167),T167*(1+U167),"")</x:f>
        <x:v>29.23</x:v>
      </x:c>
      <x:c r="W167" s="47" t="n">
        <x:v>0.3</x:v>
      </x:c>
      <x:c r="X167" s="54" t="n">
        <x:f>IF(ISNUMBER(V167),V167/(1-W167),"")</x:f>
        <x:v>41.75714285714286</x:v>
      </x:c>
      <x:c r="Y167" s="55" t="n">
        <x:f>IF(ISNUMBER(X167),ROUNDUP(X167,0),"")</x:f>
        <x:v>42</x:v>
      </x:c>
      <x:c r="Z167" t="str">
        <x:v>Source match pending</x:v>
      </x:c>
      <x:c r="AA167" t="str">
        <x:v>screencapture-www-activesportstrade-co-uk-applied-nutrition-trade-2026-09-10-08_59_59.pdf / page-09</x:v>
      </x:c>
      <x:c r="AB167" s="36" t="n">
        <x:f>IF(ISNUMBER(Y167),ROUND(Y167*0.9,2),"")</x:f>
        <x:v>37.8</x:v>
      </x:c>
      <x:c r="AC167" s="36" t="n">
        <x:f>IF(ISNUMBER(AB167),ROUND(AB167-(AB167*0.015+0.2)-V167,2),"")</x:f>
        <x:v>7.8</x:v>
      </x:c>
      <x:c r="AD167" s="36" t="n">
        <x:f>IF(ISNUMBER(Y167),ROUND(Y167*0.8,2),"")</x:f>
        <x:v>33.6</x:v>
      </x:c>
      <x:c r="AE167" s="36" t="n">
        <x:f>IF(ISNUMBER(AD167),ROUND(AD167*0.015+0.2,2),"")</x:f>
        <x:v>0.7</x:v>
      </x:c>
      <x:c r="AF167" s="36" t="n">
        <x:f>IF(ISNUMBER(AD167),ROUND(AD167-AE167-V167,2),"")</x:f>
        <x:v>3.67</x:v>
      </x:c>
      <x:c r="AG167" t="str">
        <x:f>IF(NOT(ISNUMBER(T167)),"PENDING",IF(AF167&gt;0,"PASS","FAIL"))</x:f>
        <x:v>PASS</x:v>
      </x:c>
      <x:c r="AH167" t="str">
        <x:f>IF(NOT(ISNUMBER(T167)),"Needs supplier cost",IF(K167&lt;&gt;"In stock","Supplier unavailable",IF(AG167&lt;&gt;"PASS","BLOCK - GT loss risk","Commercially protected")))</x:f>
        <x:v>Commercially protected</x:v>
      </x:c>
      <x:c r="AI167" t="str">
        <x:v>2026-09-10 Active Sports trade capture</x:v>
      </x:c>
      <x:c r="AJ167" t="str">
        <x:v>Management-only economics. Stripe stress test uses 1.5% + £0.20 standard UK online-card fee; pallet/mix-and-match pricing ignored.</x:v>
      </x:c>
    </x:row>
    <x:row r="168">
      <x:c r="A168" s="10" t="str">
        <x:v>Active Sports Nutrition</x:v>
      </x:c>
      <x:c r="B168" s="10" t="str">
        <x:v>Applied Nutrition</x:v>
      </x:c>
      <x:c r="C168" s="10" t="str">
        <x:v>Critical Oats</x:v>
      </x:c>
      <x:c r="D168" s="10" t="str">
        <x:v>Supplements</x:v>
      </x:c>
      <x:c r="E168" s="10" t="str">
        <x:v>High Protein Foods</x:v>
      </x:c>
      <x:c r="F168" s="10" t="str">
        <x:v>Protein porridge based on wholegrain oats.</x:v>
      </x:c>
      <x:c r="G168" s="10" t="str">
        <x:v>3kg</x:v>
      </x:c>
      <x:c r="H168" s="10" t="str">
        <x:v>Coconut</x:v>
      </x:c>
      <x:c r="I168" s="10" t="str"/>
      <x:c r="J168" s="10" t="str">
        <x:v>Unit</x:v>
      </x:c>
      <x:c r="K168" s="10" t="str">
        <x:v>In stock</x:v>
      </x:c>
      <x:c r="L168" s="10" t="str">
        <x:v>2026-09-08</x:v>
      </x:c>
      <x:c r="M168" s="10" t="str"/>
      <x:c r="N168" s="10" t="str"/>
      <x:c r="O168" s="10" t="str">
        <x:v>https://www.activesportstrade.co.uk/applied-nutrition-trade</x:v>
      </x:c>
      <x:c r="P168" s="10" t="str"/>
      <x:c r="S168" t="str">
        <x:v>Pending genuine supplier/brand image</x:v>
      </x:c>
      <x:c r="T168" s="54" t="n">
        <x:v>29.23</x:v>
      </x:c>
      <x:c r="U168" s="47" t="n">
        <x:v>0</x:v>
      </x:c>
      <x:c r="V168" s="54" t="n">
        <x:f>IF(ISNUMBER(T168),T168*(1+U168),"")</x:f>
        <x:v>29.23</x:v>
      </x:c>
      <x:c r="W168" s="47" t="n">
        <x:v>0.3</x:v>
      </x:c>
      <x:c r="X168" s="54" t="n">
        <x:f>IF(ISNUMBER(V168),V168/(1-W168),"")</x:f>
        <x:v>41.75714285714286</x:v>
      </x:c>
      <x:c r="Y168" s="55" t="n">
        <x:f>IF(ISNUMBER(X168),ROUNDUP(X168,0),"")</x:f>
        <x:v>42</x:v>
      </x:c>
      <x:c r="Z168" t="str">
        <x:v>Source match pending</x:v>
      </x:c>
      <x:c r="AA168" t="str">
        <x:v>screencapture-www-activesportstrade-co-uk-applied-nutrition-trade-2026-09-10-08_59_59.pdf / page-09</x:v>
      </x:c>
      <x:c r="AB168" s="36" t="n">
        <x:f>IF(ISNUMBER(Y168),ROUND(Y168*0.9,2),"")</x:f>
        <x:v>37.8</x:v>
      </x:c>
      <x:c r="AC168" s="36" t="n">
        <x:f>IF(ISNUMBER(AB168),ROUND(AB168-(AB168*0.015+0.2)-V168,2),"")</x:f>
        <x:v>7.8</x:v>
      </x:c>
      <x:c r="AD168" s="36" t="n">
        <x:f>IF(ISNUMBER(Y168),ROUND(Y168*0.8,2),"")</x:f>
        <x:v>33.6</x:v>
      </x:c>
      <x:c r="AE168" s="36" t="n">
        <x:f>IF(ISNUMBER(AD168),ROUND(AD168*0.015+0.2,2),"")</x:f>
        <x:v>0.7</x:v>
      </x:c>
      <x:c r="AF168" s="36" t="n">
        <x:f>IF(ISNUMBER(AD168),ROUND(AD168-AE168-V168,2),"")</x:f>
        <x:v>3.67</x:v>
      </x:c>
      <x:c r="AG168" t="str">
        <x:f>IF(NOT(ISNUMBER(T168)),"PENDING",IF(AF168&gt;0,"PASS","FAIL"))</x:f>
        <x:v>PASS</x:v>
      </x:c>
      <x:c r="AH168" t="str">
        <x:f>IF(NOT(ISNUMBER(T168)),"Needs supplier cost",IF(K168&lt;&gt;"In stock","Supplier unavailable",IF(AG168&lt;&gt;"PASS","BLOCK - GT loss risk","Commercially protected")))</x:f>
        <x:v>Commercially protected</x:v>
      </x:c>
      <x:c r="AI168" t="str">
        <x:v>2026-09-10 Active Sports trade capture</x:v>
      </x:c>
      <x:c r="AJ168" t="str">
        <x:v>Management-only economics. Stripe stress test uses 1.5% + £0.20 standard UK online-card fee; pallet/mix-and-match pricing ignored.</x:v>
      </x:c>
    </x:row>
    <x:row r="169">
      <x:c r="A169" s="10" t="str">
        <x:v>Active Sports Nutrition</x:v>
      </x:c>
      <x:c r="B169" s="10" t="str">
        <x:v>Applied Nutrition</x:v>
      </x:c>
      <x:c r="C169" s="10" t="str">
        <x:v>Critical Oats</x:v>
      </x:c>
      <x:c r="D169" s="10" t="str">
        <x:v>Supplements</x:v>
      </x:c>
      <x:c r="E169" s="10" t="str">
        <x:v>High Protein Foods</x:v>
      </x:c>
      <x:c r="F169" s="10" t="str">
        <x:v>Protein porridge based on wholegrain oats.</x:v>
      </x:c>
      <x:c r="G169" s="10" t="str">
        <x:v>3kg</x:v>
      </x:c>
      <x:c r="H169" s="10" t="str">
        <x:v>Golden Syrup</x:v>
      </x:c>
      <x:c r="I169" s="10" t="str"/>
      <x:c r="J169" s="10" t="str">
        <x:v>Unit</x:v>
      </x:c>
      <x:c r="K169" s="10" t="str">
        <x:v>In stock</x:v>
      </x:c>
      <x:c r="L169" s="10" t="str">
        <x:v>2026-09-08</x:v>
      </x:c>
      <x:c r="M169" s="10" t="str"/>
      <x:c r="N169" s="10" t="str"/>
      <x:c r="O169" s="10" t="str">
        <x:v>https://www.activesportstrade.co.uk/applied-nutrition-trade</x:v>
      </x:c>
      <x:c r="P169" s="10" t="str"/>
      <x:c r="S169" t="str">
        <x:v>Pending genuine supplier/brand image</x:v>
      </x:c>
      <x:c r="T169" s="54" t="n">
        <x:v>29.23</x:v>
      </x:c>
      <x:c r="U169" s="47" t="n">
        <x:v>0</x:v>
      </x:c>
      <x:c r="V169" s="54" t="n">
        <x:f>IF(ISNUMBER(T169),T169*(1+U169),"")</x:f>
        <x:v>29.23</x:v>
      </x:c>
      <x:c r="W169" s="47" t="n">
        <x:v>0.3</x:v>
      </x:c>
      <x:c r="X169" s="54" t="n">
        <x:f>IF(ISNUMBER(V169),V169/(1-W169),"")</x:f>
        <x:v>41.75714285714286</x:v>
      </x:c>
      <x:c r="Y169" s="55" t="n">
        <x:f>IF(ISNUMBER(X169),ROUNDUP(X169,0),"")</x:f>
        <x:v>42</x:v>
      </x:c>
      <x:c r="Z169" t="str">
        <x:v>Source match pending</x:v>
      </x:c>
      <x:c r="AA169" t="str">
        <x:v>screencapture-www-activesportstrade-co-uk-applied-nutrition-trade-2026-09-10-08_59_59.pdf / page-09</x:v>
      </x:c>
      <x:c r="AB169" s="36" t="n">
        <x:f>IF(ISNUMBER(Y169),ROUND(Y169*0.9,2),"")</x:f>
        <x:v>37.8</x:v>
      </x:c>
      <x:c r="AC169" s="36" t="n">
        <x:f>IF(ISNUMBER(AB169),ROUND(AB169-(AB169*0.015+0.2)-V169,2),"")</x:f>
        <x:v>7.8</x:v>
      </x:c>
      <x:c r="AD169" s="36" t="n">
        <x:f>IF(ISNUMBER(Y169),ROUND(Y169*0.8,2),"")</x:f>
        <x:v>33.6</x:v>
      </x:c>
      <x:c r="AE169" s="36" t="n">
        <x:f>IF(ISNUMBER(AD169),ROUND(AD169*0.015+0.2,2),"")</x:f>
        <x:v>0.7</x:v>
      </x:c>
      <x:c r="AF169" s="36" t="n">
        <x:f>IF(ISNUMBER(AD169),ROUND(AD169-AE169-V169,2),"")</x:f>
        <x:v>3.67</x:v>
      </x:c>
      <x:c r="AG169" t="str">
        <x:f>IF(NOT(ISNUMBER(T169)),"PENDING",IF(AF169&gt;0,"PASS","FAIL"))</x:f>
        <x:v>PASS</x:v>
      </x:c>
      <x:c r="AH169" t="str">
        <x:f>IF(NOT(ISNUMBER(T169)),"Needs supplier cost",IF(K169&lt;&gt;"In stock","Supplier unavailable",IF(AG169&lt;&gt;"PASS","BLOCK - GT loss risk","Commercially protected")))</x:f>
        <x:v>Commercially protected</x:v>
      </x:c>
      <x:c r="AI169" t="str">
        <x:v>2026-09-10 Active Sports trade capture</x:v>
      </x:c>
      <x:c r="AJ169" t="str">
        <x:v>Management-only economics. Stripe stress test uses 1.5% + £0.20 standard UK online-card fee; pallet/mix-and-match pricing ignored.</x:v>
      </x:c>
    </x:row>
    <x:row r="170">
      <x:c r="A170" s="10" t="str">
        <x:v>Active Sports Nutrition</x:v>
      </x:c>
      <x:c r="B170" s="10" t="str">
        <x:v>Applied Nutrition</x:v>
      </x:c>
      <x:c r="C170" s="10" t="str">
        <x:v>Critical Oats</x:v>
      </x:c>
      <x:c r="D170" s="10" t="str">
        <x:v>Drinks and Bars</x:v>
      </x:c>
      <x:c r="E170" s="10" t="str">
        <x:v>Bars and Snacks</x:v>
      </x:c>
      <x:c r="F170" s="10" t="str">
        <x:v>Protein porridge pots.</x:v>
      </x:c>
      <x:c r="G170" s="10" t="str">
        <x:v>12 x 60g pots</x:v>
      </x:c>
      <x:c r="H170" s="10" t="str">
        <x:v>Chocolate</x:v>
      </x:c>
      <x:c r="I170" s="10" t="str">
        <x:v>12</x:v>
      </x:c>
      <x:c r="J170" s="10" t="str">
        <x:v>Case</x:v>
      </x:c>
      <x:c r="K170" s="10" t="str">
        <x:v>In stock</x:v>
      </x:c>
      <x:c r="L170" s="10" t="str">
        <x:v>2026-09-08</x:v>
      </x:c>
      <x:c r="M170" s="10" t="str"/>
      <x:c r="N170" s="10" t="str"/>
      <x:c r="O170" s="10" t="str">
        <x:v>https://www.activesportstrade.co.uk/applied-nutrition-trade</x:v>
      </x:c>
      <x:c r="P170" s="10" t="str"/>
      <x:c r="S170" t="str">
        <x:v>Pending genuine supplier/brand image</x:v>
      </x:c>
      <x:c r="T170" s="54" t="n">
        <x:v>13.49</x:v>
      </x:c>
      <x:c r="U170" s="47" t="n">
        <x:v>0</x:v>
      </x:c>
      <x:c r="V170" s="54" t="n">
        <x:f>IF(ISNUMBER(T170),T170*(1+U170),"")</x:f>
        <x:v>13.49</x:v>
      </x:c>
      <x:c r="W170" s="47" t="n">
        <x:v>0.3</x:v>
      </x:c>
      <x:c r="X170" s="54" t="n">
        <x:f>IF(ISNUMBER(V170),V170/(1-W170),"")</x:f>
        <x:v>19.271428571428572</x:v>
      </x:c>
      <x:c r="Y170" s="55" t="n">
        <x:f>IF(ISNUMBER(X170),ROUNDUP(X170,0),"")</x:f>
        <x:v>20</x:v>
      </x:c>
      <x:c r="Z170" t="str">
        <x:v>Source match pending</x:v>
      </x:c>
      <x:c r="AA170" t="str">
        <x:v>screencapture-www-activesportstrade-co-uk-applied-nutrition-trade-2026-09-10-08_59_59.pdf / page-09</x:v>
      </x:c>
      <x:c r="AB170" s="36" t="n">
        <x:f>IF(ISNUMBER(Y170),ROUND(Y170*0.9,2),"")</x:f>
        <x:v>18</x:v>
      </x:c>
      <x:c r="AC170" s="36" t="n">
        <x:f>IF(ISNUMBER(AB170),ROUND(AB170-(AB170*0.015+0.2)-V170,2),"")</x:f>
        <x:v>4.04</x:v>
      </x:c>
      <x:c r="AD170" s="36" t="n">
        <x:f>IF(ISNUMBER(Y170),ROUND(Y170*0.8,2),"")</x:f>
        <x:v>16</x:v>
      </x:c>
      <x:c r="AE170" s="36" t="n">
        <x:f>IF(ISNUMBER(AD170),ROUND(AD170*0.015+0.2,2),"")</x:f>
        <x:v>0.44</x:v>
      </x:c>
      <x:c r="AF170" s="36" t="n">
        <x:f>IF(ISNUMBER(AD170),ROUND(AD170-AE170-V170,2),"")</x:f>
        <x:v>2.07</x:v>
      </x:c>
      <x:c r="AG170" t="str">
        <x:f>IF(NOT(ISNUMBER(T170)),"PENDING",IF(AF170&gt;0,"PASS","FAIL"))</x:f>
        <x:v>PASS</x:v>
      </x:c>
      <x:c r="AH170" t="str">
        <x:f>IF(NOT(ISNUMBER(T170)),"Needs supplier cost",IF(K170&lt;&gt;"In stock","Supplier unavailable",IF(AG170&lt;&gt;"PASS","BLOCK - GT loss risk","Commercially protected")))</x:f>
        <x:v>Commercially protected</x:v>
      </x:c>
      <x:c r="AI170" t="str">
        <x:v>2026-09-10 Active Sports trade capture</x:v>
      </x:c>
      <x:c r="AJ170" t="str">
        <x:v>Management-only economics. Stripe stress test uses 1.5% + £0.20 standard UK online-card fee; pallet/mix-and-match pricing ignored.</x:v>
      </x:c>
    </x:row>
    <x:row r="171">
      <x:c r="A171" s="10" t="str">
        <x:v>Active Sports Nutrition</x:v>
      </x:c>
      <x:c r="B171" s="10" t="str">
        <x:v>Applied Nutrition</x:v>
      </x:c>
      <x:c r="C171" s="10" t="str">
        <x:v>Critical Oats</x:v>
      </x:c>
      <x:c r="D171" s="10" t="str">
        <x:v>Drinks and Bars</x:v>
      </x:c>
      <x:c r="E171" s="10" t="str">
        <x:v>Bars and Snacks</x:v>
      </x:c>
      <x:c r="F171" s="10" t="str">
        <x:v>Protein porridge pots.</x:v>
      </x:c>
      <x:c r="G171" s="10" t="str">
        <x:v>12 x 60g pots</x:v>
      </x:c>
      <x:c r="H171" s="10" t="str">
        <x:v>Cookies &amp; Cream</x:v>
      </x:c>
      <x:c r="I171" s="10" t="str">
        <x:v>12</x:v>
      </x:c>
      <x:c r="J171" s="10" t="str">
        <x:v>Case</x:v>
      </x:c>
      <x:c r="K171" s="10" t="str">
        <x:v>In stock</x:v>
      </x:c>
      <x:c r="L171" s="10" t="str">
        <x:v>2026-09-08</x:v>
      </x:c>
      <x:c r="M171" s="10" t="str"/>
      <x:c r="N171" s="10" t="str"/>
      <x:c r="O171" s="10" t="str">
        <x:v>https://www.activesportstrade.co.uk/applied-nutrition-trade</x:v>
      </x:c>
      <x:c r="P171" s="10" t="str"/>
      <x:c r="S171" t="str">
        <x:v>Pending genuine supplier/brand image</x:v>
      </x:c>
      <x:c r="T171" s="54" t="n">
        <x:v>13.49</x:v>
      </x:c>
      <x:c r="U171" s="47" t="n">
        <x:v>0</x:v>
      </x:c>
      <x:c r="V171" s="54" t="n">
        <x:f>IF(ISNUMBER(T171),T171*(1+U171),"")</x:f>
        <x:v>13.49</x:v>
      </x:c>
      <x:c r="W171" s="47" t="n">
        <x:v>0.3</x:v>
      </x:c>
      <x:c r="X171" s="54" t="n">
        <x:f>IF(ISNUMBER(V171),V171/(1-W171),"")</x:f>
        <x:v>19.271428571428572</x:v>
      </x:c>
      <x:c r="Y171" s="55" t="n">
        <x:f>IF(ISNUMBER(X171),ROUNDUP(X171,0),"")</x:f>
        <x:v>20</x:v>
      </x:c>
      <x:c r="Z171" t="str">
        <x:v>Source match pending</x:v>
      </x:c>
      <x:c r="AA171" t="str">
        <x:v>screencapture-www-activesportstrade-co-uk-applied-nutrition-trade-2026-09-10-08_59_59.pdf / page-09</x:v>
      </x:c>
      <x:c r="AB171" s="36" t="n">
        <x:f>IF(ISNUMBER(Y171),ROUND(Y171*0.9,2),"")</x:f>
        <x:v>18</x:v>
      </x:c>
      <x:c r="AC171" s="36" t="n">
        <x:f>IF(ISNUMBER(AB171),ROUND(AB171-(AB171*0.015+0.2)-V171,2),"")</x:f>
        <x:v>4.04</x:v>
      </x:c>
      <x:c r="AD171" s="36" t="n">
        <x:f>IF(ISNUMBER(Y171),ROUND(Y171*0.8,2),"")</x:f>
        <x:v>16</x:v>
      </x:c>
      <x:c r="AE171" s="36" t="n">
        <x:f>IF(ISNUMBER(AD171),ROUND(AD171*0.015+0.2,2),"")</x:f>
        <x:v>0.44</x:v>
      </x:c>
      <x:c r="AF171" s="36" t="n">
        <x:f>IF(ISNUMBER(AD171),ROUND(AD171-AE171-V171,2),"")</x:f>
        <x:v>2.07</x:v>
      </x:c>
      <x:c r="AG171" t="str">
        <x:f>IF(NOT(ISNUMBER(T171)),"PENDING",IF(AF171&gt;0,"PASS","FAIL"))</x:f>
        <x:v>PASS</x:v>
      </x:c>
      <x:c r="AH171" t="str">
        <x:f>IF(NOT(ISNUMBER(T171)),"Needs supplier cost",IF(K171&lt;&gt;"In stock","Supplier unavailable",IF(AG171&lt;&gt;"PASS","BLOCK - GT loss risk","Commercially protected")))</x:f>
        <x:v>Commercially protected</x:v>
      </x:c>
      <x:c r="AI171" t="str">
        <x:v>2026-09-10 Active Sports trade capture</x:v>
      </x:c>
      <x:c r="AJ171" t="str">
        <x:v>Management-only economics. Stripe stress test uses 1.5% + £0.20 standard UK online-card fee; pallet/mix-and-match pricing ignored.</x:v>
      </x:c>
    </x:row>
    <x:row r="172">
      <x:c r="A172" s="10" t="str">
        <x:v>Active Sports Nutrition</x:v>
      </x:c>
      <x:c r="B172" s="10" t="str">
        <x:v>Applied Nutrition</x:v>
      </x:c>
      <x:c r="C172" s="10" t="str">
        <x:v>Critical Oats</x:v>
      </x:c>
      <x:c r="D172" s="10" t="str">
        <x:v>Drinks and Bars</x:v>
      </x:c>
      <x:c r="E172" s="10" t="str">
        <x:v>Bars and Snacks</x:v>
      </x:c>
      <x:c r="F172" s="10" t="str">
        <x:v>Protein porridge pots.</x:v>
      </x:c>
      <x:c r="G172" s="10" t="str">
        <x:v>12 x 60g pots</x:v>
      </x:c>
      <x:c r="H172" s="10" t="str">
        <x:v>Golden Syrup</x:v>
      </x:c>
      <x:c r="I172" s="10" t="str">
        <x:v>12</x:v>
      </x:c>
      <x:c r="J172" s="10" t="str">
        <x:v>Case</x:v>
      </x:c>
      <x:c r="K172" s="10" t="str">
        <x:v>In stock</x:v>
      </x:c>
      <x:c r="L172" s="10" t="str">
        <x:v>2026-09-08</x:v>
      </x:c>
      <x:c r="M172" s="10" t="str"/>
      <x:c r="N172" s="10" t="str"/>
      <x:c r="O172" s="10" t="str">
        <x:v>https://www.activesportstrade.co.uk/applied-nutrition-trade</x:v>
      </x:c>
      <x:c r="P172" s="10" t="str"/>
      <x:c r="S172" t="str">
        <x:v>Pending genuine supplier/brand image</x:v>
      </x:c>
      <x:c r="T172" s="54" t="n">
        <x:v>13.49</x:v>
      </x:c>
      <x:c r="U172" s="47" t="n">
        <x:v>0</x:v>
      </x:c>
      <x:c r="V172" s="54" t="n">
        <x:f>IF(ISNUMBER(T172),T172*(1+U172),"")</x:f>
        <x:v>13.49</x:v>
      </x:c>
      <x:c r="W172" s="47" t="n">
        <x:v>0.3</x:v>
      </x:c>
      <x:c r="X172" s="54" t="n">
        <x:f>IF(ISNUMBER(V172),V172/(1-W172),"")</x:f>
        <x:v>19.271428571428572</x:v>
      </x:c>
      <x:c r="Y172" s="55" t="n">
        <x:f>IF(ISNUMBER(X172),ROUNDUP(X172,0),"")</x:f>
        <x:v>20</x:v>
      </x:c>
      <x:c r="Z172" t="str">
        <x:v>Source match pending</x:v>
      </x:c>
      <x:c r="AA172" t="str">
        <x:v>screencapture-www-activesportstrade-co-uk-applied-nutrition-trade-2026-09-10-08_59_59.pdf / page-09</x:v>
      </x:c>
      <x:c r="AB172" s="36" t="n">
        <x:f>IF(ISNUMBER(Y172),ROUND(Y172*0.9,2),"")</x:f>
        <x:v>18</x:v>
      </x:c>
      <x:c r="AC172" s="36" t="n">
        <x:f>IF(ISNUMBER(AB172),ROUND(AB172-(AB172*0.015+0.2)-V172,2),"")</x:f>
        <x:v>4.04</x:v>
      </x:c>
      <x:c r="AD172" s="36" t="n">
        <x:f>IF(ISNUMBER(Y172),ROUND(Y172*0.8,2),"")</x:f>
        <x:v>16</x:v>
      </x:c>
      <x:c r="AE172" s="36" t="n">
        <x:f>IF(ISNUMBER(AD172),ROUND(AD172*0.015+0.2,2),"")</x:f>
        <x:v>0.44</x:v>
      </x:c>
      <x:c r="AF172" s="36" t="n">
        <x:f>IF(ISNUMBER(AD172),ROUND(AD172-AE172-V172,2),"")</x:f>
        <x:v>2.07</x:v>
      </x:c>
      <x:c r="AG172" t="str">
        <x:f>IF(NOT(ISNUMBER(T172)),"PENDING",IF(AF172&gt;0,"PASS","FAIL"))</x:f>
        <x:v>PASS</x:v>
      </x:c>
      <x:c r="AH172" t="str">
        <x:f>IF(NOT(ISNUMBER(T172)),"Needs supplier cost",IF(K172&lt;&gt;"In stock","Supplier unavailable",IF(AG172&lt;&gt;"PASS","BLOCK - GT loss risk","Commercially protected")))</x:f>
        <x:v>Commercially protected</x:v>
      </x:c>
      <x:c r="AI172" t="str">
        <x:v>2026-09-10 Active Sports trade capture</x:v>
      </x:c>
      <x:c r="AJ172" t="str">
        <x:v>Management-only economics. Stripe stress test uses 1.5% + £0.20 standard UK online-card fee; pallet/mix-and-match pricing ignored.</x:v>
      </x:c>
    </x:row>
    <x:row r="173">
      <x:c r="A173" s="10" t="str">
        <x:v>Active Sports Nutrition</x:v>
      </x:c>
      <x:c r="B173" s="10" t="str">
        <x:v>Applied Nutrition</x:v>
      </x:c>
      <x:c r="C173" s="10" t="str">
        <x:v>Critical Cookie</x:v>
      </x:c>
      <x:c r="D173" s="10" t="str">
        <x:v>Drinks and Bars</x:v>
      </x:c>
      <x:c r="E173" s="10" t="str">
        <x:v>Bars and Snacks</x:v>
      </x:c>
      <x:c r="F173" s="10" t="str">
        <x:v>High-protein cookie.</x:v>
      </x:c>
      <x:c r="G173" s="10" t="str">
        <x:v>Box of 12</x:v>
      </x:c>
      <x:c r="H173" s="10" t="str">
        <x:v>Chocolate Chip</x:v>
      </x:c>
      <x:c r="I173" s="10" t="str">
        <x:v>12</x:v>
      </x:c>
      <x:c r="J173" s="10" t="str">
        <x:v>Case</x:v>
      </x:c>
      <x:c r="K173" s="10" t="str">
        <x:v>Out of stock</x:v>
      </x:c>
      <x:c r="L173" s="10" t="str">
        <x:v>2026-09-08</x:v>
      </x:c>
      <x:c r="M173" s="10" t="str"/>
      <x:c r="N173" s="10" t="str"/>
      <x:c r="O173" s="10" t="str">
        <x:v>https://www.activesportstrade.co.uk/applied-nutrition-trade</x:v>
      </x:c>
      <x:c r="P173" s="10" t="str"/>
      <x:c r="S173" t="str">
        <x:v>Pending genuine supplier/brand image</x:v>
      </x:c>
      <x:c r="T173" s="54" t="n">
        <x:v>12.99</x:v>
      </x:c>
      <x:c r="U173" s="47" t="n">
        <x:v>0</x:v>
      </x:c>
      <x:c r="V173" s="54" t="n">
        <x:f>IF(ISNUMBER(T173),T173*(1+U173),"")</x:f>
        <x:v>12.99</x:v>
      </x:c>
      <x:c r="W173" s="47" t="n">
        <x:v>0.3</x:v>
      </x:c>
      <x:c r="X173" s="54" t="n">
        <x:f>IF(ISNUMBER(V173),V173/(1-W173),"")</x:f>
        <x:v>18.557142857142857</x:v>
      </x:c>
      <x:c r="Y173" s="55" t="n">
        <x:f>IF(ISNUMBER(X173),ROUNDUP(X173,0),"")</x:f>
        <x:v>19</x:v>
      </x:c>
      <x:c r="Z173" t="str">
        <x:v>Source match pending</x:v>
      </x:c>
      <x:c r="AA173" t="str">
        <x:v>screencapture-www-activesportstrade-co-uk-applied-nutrition-trade-2026-09-10-08_59_59.pdf / page-08</x:v>
      </x:c>
      <x:c r="AB173" s="36" t="n">
        <x:f>IF(ISNUMBER(Y173),ROUND(Y173*0.9,2),"")</x:f>
        <x:v>17.1</x:v>
      </x:c>
      <x:c r="AC173" s="36" t="n">
        <x:f>IF(ISNUMBER(AB173),ROUND(AB173-(AB173*0.015+0.2)-V173,2),"")</x:f>
        <x:v>3.65</x:v>
      </x:c>
      <x:c r="AD173" s="36" t="n">
        <x:f>IF(ISNUMBER(Y173),ROUND(Y173*0.8,2),"")</x:f>
        <x:v>15.2</x:v>
      </x:c>
      <x:c r="AE173" s="36" t="n">
        <x:f>IF(ISNUMBER(AD173),ROUND(AD173*0.015+0.2,2),"")</x:f>
        <x:v>0.43</x:v>
      </x:c>
      <x:c r="AF173" s="36" t="n">
        <x:f>IF(ISNUMBER(AD173),ROUND(AD173-AE173-V173,2),"")</x:f>
        <x:v>1.78</x:v>
      </x:c>
      <x:c r="AG173" t="str">
        <x:f>IF(NOT(ISNUMBER(T173)),"PENDING",IF(AF173&gt;0,"PASS","FAIL"))</x:f>
        <x:v>PASS</x:v>
      </x:c>
      <x:c r="AH173" t="str">
        <x:f>IF(NOT(ISNUMBER(T173)),"Needs supplier cost",IF(K173&lt;&gt;"In stock","Supplier unavailable",IF(AG173&lt;&gt;"PASS","BLOCK - GT loss risk","Commercially protected")))</x:f>
        <x:v>Supplier unavailable</x:v>
      </x:c>
      <x:c r="AI173" t="str">
        <x:v>2026-09-10 Active Sports trade capture</x:v>
      </x:c>
      <x:c r="AJ173" t="str">
        <x:v>Management-only economics. Stripe stress test uses 1.5% + £0.20 standard UK online-card fee; pallet/mix-and-match pricing ignored.</x:v>
      </x:c>
    </x:row>
    <x:row r="174">
      <x:c r="A174" s="10" t="str">
        <x:v>Active Sports Nutrition</x:v>
      </x:c>
      <x:c r="B174" s="10" t="str">
        <x:v>Applied Nutrition</x:v>
      </x:c>
      <x:c r="C174" s="10" t="str">
        <x:v>Critical Cookie</x:v>
      </x:c>
      <x:c r="D174" s="10" t="str">
        <x:v>Drinks and Bars</x:v>
      </x:c>
      <x:c r="E174" s="10" t="str">
        <x:v>Bars and Snacks</x:v>
      </x:c>
      <x:c r="F174" s="10" t="str">
        <x:v>High-protein cookie.</x:v>
      </x:c>
      <x:c r="G174" s="10" t="str">
        <x:v>Box of 12</x:v>
      </x:c>
      <x:c r="H174" s="10" t="str">
        <x:v>Double Chocolate</x:v>
      </x:c>
      <x:c r="I174" s="10" t="str">
        <x:v>12</x:v>
      </x:c>
      <x:c r="J174" s="10" t="str">
        <x:v>Case</x:v>
      </x:c>
      <x:c r="K174" s="10" t="str">
        <x:v>In stock</x:v>
      </x:c>
      <x:c r="L174" s="10" t="str">
        <x:v>2026-09-08</x:v>
      </x:c>
      <x:c r="M174" s="10" t="str"/>
      <x:c r="N174" s="10" t="str"/>
      <x:c r="O174" s="10" t="str">
        <x:v>https://www.activesportstrade.co.uk/applied-nutrition-trade</x:v>
      </x:c>
      <x:c r="P174" s="10" t="str"/>
      <x:c r="S174" t="str">
        <x:v>Pending genuine supplier/brand image</x:v>
      </x:c>
      <x:c r="T174" s="54" t="n">
        <x:v>12.99</x:v>
      </x:c>
      <x:c r="U174" s="47" t="n">
        <x:v>0</x:v>
      </x:c>
      <x:c r="V174" s="54" t="n">
        <x:f>IF(ISNUMBER(T174),T174*(1+U174),"")</x:f>
        <x:v>12.99</x:v>
      </x:c>
      <x:c r="W174" s="47" t="n">
        <x:v>0.3</x:v>
      </x:c>
      <x:c r="X174" s="54" t="n">
        <x:f>IF(ISNUMBER(V174),V174/(1-W174),"")</x:f>
        <x:v>18.557142857142857</x:v>
      </x:c>
      <x:c r="Y174" s="55" t="n">
        <x:f>IF(ISNUMBER(X174),ROUNDUP(X174,0),"")</x:f>
        <x:v>19</x:v>
      </x:c>
      <x:c r="Z174" t="str">
        <x:v>Source match pending</x:v>
      </x:c>
      <x:c r="AA174" t="str">
        <x:v>screencapture-www-activesportstrade-co-uk-applied-nutrition-trade-2026-09-10-08_59_59.pdf / page-08</x:v>
      </x:c>
      <x:c r="AB174" s="36" t="n">
        <x:f>IF(ISNUMBER(Y174),ROUND(Y174*0.9,2),"")</x:f>
        <x:v>17.1</x:v>
      </x:c>
      <x:c r="AC174" s="36" t="n">
        <x:f>IF(ISNUMBER(AB174),ROUND(AB174-(AB174*0.015+0.2)-V174,2),"")</x:f>
        <x:v>3.65</x:v>
      </x:c>
      <x:c r="AD174" s="36" t="n">
        <x:f>IF(ISNUMBER(Y174),ROUND(Y174*0.8,2),"")</x:f>
        <x:v>15.2</x:v>
      </x:c>
      <x:c r="AE174" s="36" t="n">
        <x:f>IF(ISNUMBER(AD174),ROUND(AD174*0.015+0.2,2),"")</x:f>
        <x:v>0.43</x:v>
      </x:c>
      <x:c r="AF174" s="36" t="n">
        <x:f>IF(ISNUMBER(AD174),ROUND(AD174-AE174-V174,2),"")</x:f>
        <x:v>1.78</x:v>
      </x:c>
      <x:c r="AG174" t="str">
        <x:f>IF(NOT(ISNUMBER(T174)),"PENDING",IF(AF174&gt;0,"PASS","FAIL"))</x:f>
        <x:v>PASS</x:v>
      </x:c>
      <x:c r="AH174" t="str">
        <x:f>IF(NOT(ISNUMBER(T174)),"Needs supplier cost",IF(K174&lt;&gt;"In stock","Supplier unavailable",IF(AG174&lt;&gt;"PASS","BLOCK - GT loss risk","Commercially protected")))</x:f>
        <x:v>Commercially protected</x:v>
      </x:c>
      <x:c r="AI174" t="str">
        <x:v>2026-09-10 Active Sports trade capture</x:v>
      </x:c>
      <x:c r="AJ174" t="str">
        <x:v>Management-only economics. Stripe stress test uses 1.5% + £0.20 standard UK online-card fee; pallet/mix-and-match pricing ignored.</x:v>
      </x:c>
    </x:row>
    <x:row r="175">
      <x:c r="A175" s="10" t="str">
        <x:v>Active Sports Nutrition</x:v>
      </x:c>
      <x:c r="B175" s="10" t="str">
        <x:v>Applied Nutrition</x:v>
      </x:c>
      <x:c r="C175" s="10" t="str">
        <x:v>Critical Cookie</x:v>
      </x:c>
      <x:c r="D175" s="10" t="str">
        <x:v>Drinks and Bars</x:v>
      </x:c>
      <x:c r="E175" s="10" t="str">
        <x:v>Bars and Snacks</x:v>
      </x:c>
      <x:c r="F175" s="10" t="str">
        <x:v>High-protein cookie.</x:v>
      </x:c>
      <x:c r="G175" s="10" t="str">
        <x:v>Box of 12</x:v>
      </x:c>
      <x:c r="H175" s="10" t="str">
        <x:v>Salted Caramel</x:v>
      </x:c>
      <x:c r="I175" s="10" t="str">
        <x:v>12</x:v>
      </x:c>
      <x:c r="J175" s="10" t="str">
        <x:v>Case</x:v>
      </x:c>
      <x:c r="K175" s="10" t="str">
        <x:v>In stock</x:v>
      </x:c>
      <x:c r="L175" s="10" t="str">
        <x:v>2026-09-08</x:v>
      </x:c>
      <x:c r="M175" s="10" t="str"/>
      <x:c r="N175" s="10" t="str"/>
      <x:c r="O175" s="10" t="str">
        <x:v>https://www.activesportstrade.co.uk/applied-nutrition-trade</x:v>
      </x:c>
      <x:c r="P175" s="10" t="str"/>
      <x:c r="S175" t="str">
        <x:v>Pending genuine supplier/brand image</x:v>
      </x:c>
      <x:c r="T175" s="54" t="n">
        <x:v>12.99</x:v>
      </x:c>
      <x:c r="U175" s="47" t="n">
        <x:v>0</x:v>
      </x:c>
      <x:c r="V175" s="54" t="n">
        <x:f>IF(ISNUMBER(T175),T175*(1+U175),"")</x:f>
        <x:v>12.99</x:v>
      </x:c>
      <x:c r="W175" s="47" t="n">
        <x:v>0.3</x:v>
      </x:c>
      <x:c r="X175" s="54" t="n">
        <x:f>IF(ISNUMBER(V175),V175/(1-W175),"")</x:f>
        <x:v>18.557142857142857</x:v>
      </x:c>
      <x:c r="Y175" s="55" t="n">
        <x:f>IF(ISNUMBER(X175),ROUNDUP(X175,0),"")</x:f>
        <x:v>19</x:v>
      </x:c>
      <x:c r="Z175" t="str">
        <x:v>Source match pending</x:v>
      </x:c>
      <x:c r="AA175" t="str">
        <x:v>screencapture-www-activesportstrade-co-uk-applied-nutrition-trade-2026-09-10-08_59_59.pdf / page-08</x:v>
      </x:c>
      <x:c r="AB175" s="36" t="n">
        <x:f>IF(ISNUMBER(Y175),ROUND(Y175*0.9,2),"")</x:f>
        <x:v>17.1</x:v>
      </x:c>
      <x:c r="AC175" s="36" t="n">
        <x:f>IF(ISNUMBER(AB175),ROUND(AB175-(AB175*0.015+0.2)-V175,2),"")</x:f>
        <x:v>3.65</x:v>
      </x:c>
      <x:c r="AD175" s="36" t="n">
        <x:f>IF(ISNUMBER(Y175),ROUND(Y175*0.8,2),"")</x:f>
        <x:v>15.2</x:v>
      </x:c>
      <x:c r="AE175" s="36" t="n">
        <x:f>IF(ISNUMBER(AD175),ROUND(AD175*0.015+0.2,2),"")</x:f>
        <x:v>0.43</x:v>
      </x:c>
      <x:c r="AF175" s="36" t="n">
        <x:f>IF(ISNUMBER(AD175),ROUND(AD175-AE175-V175,2),"")</x:f>
        <x:v>1.78</x:v>
      </x:c>
      <x:c r="AG175" t="str">
        <x:f>IF(NOT(ISNUMBER(T175)),"PENDING",IF(AF175&gt;0,"PASS","FAIL"))</x:f>
        <x:v>PASS</x:v>
      </x:c>
      <x:c r="AH175" t="str">
        <x:f>IF(NOT(ISNUMBER(T175)),"Needs supplier cost",IF(K175&lt;&gt;"In stock","Supplier unavailable",IF(AG175&lt;&gt;"PASS","BLOCK - GT loss risk","Commercially protected")))</x:f>
        <x:v>Commercially protected</x:v>
      </x:c>
      <x:c r="AI175" t="str">
        <x:v>2026-09-10 Active Sports trade capture</x:v>
      </x:c>
      <x:c r="AJ175" t="str">
        <x:v>Management-only economics. Stripe stress test uses 1.5% + £0.20 standard UK online-card fee; pallet/mix-and-match pricing ignored.</x:v>
      </x:c>
    </x:row>
    <x:row r="176">
      <x:c r="A176" s="10" t="str">
        <x:v>Active Sports Nutrition</x:v>
      </x:c>
      <x:c r="B176" s="10" t="str">
        <x:v>Applied Nutrition</x:v>
      </x:c>
      <x:c r="C176" s="10" t="str">
        <x:v>Critical Cookie</x:v>
      </x:c>
      <x:c r="D176" s="10" t="str">
        <x:v>Drinks and Bars</x:v>
      </x:c>
      <x:c r="E176" s="10" t="str">
        <x:v>Bars and Snacks</x:v>
      </x:c>
      <x:c r="F176" s="10" t="str">
        <x:v>High-protein cookie.</x:v>
      </x:c>
      <x:c r="G176" s="10" t="str">
        <x:v>Box of 12</x:v>
      </x:c>
      <x:c r="H176" s="10" t="str">
        <x:v>White Chocolate Raspberry</x:v>
      </x:c>
      <x:c r="I176" s="10" t="str">
        <x:v>12</x:v>
      </x:c>
      <x:c r="J176" s="10" t="str">
        <x:v>Case</x:v>
      </x:c>
      <x:c r="K176" s="10" t="str">
        <x:v>In stock</x:v>
      </x:c>
      <x:c r="L176" s="10" t="str">
        <x:v>2026-09-08</x:v>
      </x:c>
      <x:c r="M176" s="10" t="str"/>
      <x:c r="N176" s="10" t="str"/>
      <x:c r="O176" s="10" t="str">
        <x:v>https://www.activesportstrade.co.uk/applied-nutrition-trade</x:v>
      </x:c>
      <x:c r="P176" s="10" t="str"/>
      <x:c r="S176" t="str">
        <x:v>Pending genuine supplier/brand image</x:v>
      </x:c>
      <x:c r="T176" s="54" t="n">
        <x:v>12.99</x:v>
      </x:c>
      <x:c r="U176" s="47" t="n">
        <x:v>0</x:v>
      </x:c>
      <x:c r="V176" s="54" t="n">
        <x:f>IF(ISNUMBER(T176),T176*(1+U176),"")</x:f>
        <x:v>12.99</x:v>
      </x:c>
      <x:c r="W176" s="47" t="n">
        <x:v>0.3</x:v>
      </x:c>
      <x:c r="X176" s="54" t="n">
        <x:f>IF(ISNUMBER(V176),V176/(1-W176),"")</x:f>
        <x:v>18.557142857142857</x:v>
      </x:c>
      <x:c r="Y176" s="55" t="n">
        <x:f>IF(ISNUMBER(X176),ROUNDUP(X176,0),"")</x:f>
        <x:v>19</x:v>
      </x:c>
      <x:c r="Z176" t="str">
        <x:v>Source match pending</x:v>
      </x:c>
      <x:c r="AA176" t="str">
        <x:v>screencapture-www-activesportstrade-co-uk-applied-nutrition-trade-2026-09-10-08_59_59.pdf / page-08</x:v>
      </x:c>
      <x:c r="AB176" s="36" t="n">
        <x:f>IF(ISNUMBER(Y176),ROUND(Y176*0.9,2),"")</x:f>
        <x:v>17.1</x:v>
      </x:c>
      <x:c r="AC176" s="36" t="n">
        <x:f>IF(ISNUMBER(AB176),ROUND(AB176-(AB176*0.015+0.2)-V176,2),"")</x:f>
        <x:v>3.65</x:v>
      </x:c>
      <x:c r="AD176" s="36" t="n">
        <x:f>IF(ISNUMBER(Y176),ROUND(Y176*0.8,2),"")</x:f>
        <x:v>15.2</x:v>
      </x:c>
      <x:c r="AE176" s="36" t="n">
        <x:f>IF(ISNUMBER(AD176),ROUND(AD176*0.015+0.2,2),"")</x:f>
        <x:v>0.43</x:v>
      </x:c>
      <x:c r="AF176" s="36" t="n">
        <x:f>IF(ISNUMBER(AD176),ROUND(AD176-AE176-V176,2),"")</x:f>
        <x:v>1.78</x:v>
      </x:c>
      <x:c r="AG176" t="str">
        <x:f>IF(NOT(ISNUMBER(T176)),"PENDING",IF(AF176&gt;0,"PASS","FAIL"))</x:f>
        <x:v>PASS</x:v>
      </x:c>
      <x:c r="AH176" t="str">
        <x:f>IF(NOT(ISNUMBER(T176)),"Needs supplier cost",IF(K176&lt;&gt;"In stock","Supplier unavailable",IF(AG176&lt;&gt;"PASS","BLOCK - GT loss risk","Commercially protected")))</x:f>
        <x:v>Commercially protected</x:v>
      </x:c>
      <x:c r="AI176" t="str">
        <x:v>2026-09-10 Active Sports trade capture</x:v>
      </x:c>
      <x:c r="AJ176" t="str">
        <x:v>Management-only economics. Stripe stress test uses 1.5% + £0.20 standard UK online-card fee; pallet/mix-and-match pricing ignored.</x:v>
      </x:c>
    </x:row>
    <x:row r="177">
      <x:c r="A177" s="10" t="str">
        <x:v>Active Sports Nutrition</x:v>
      </x:c>
      <x:c r="B177" s="10" t="str">
        <x:v>Applied Nutrition</x:v>
      </x:c>
      <x:c r="C177" s="10" t="str">
        <x:v>ABE Energy + Performance RTD</x:v>
      </x:c>
      <x:c r="D177" s="10" t="str">
        <x:v>Drinks and Bars</x:v>
      </x:c>
      <x:c r="E177" s="10" t="str">
        <x:v>Ready to Drink Energy</x:v>
      </x:c>
      <x:c r="F177" s="10" t="str">
        <x:v>ABE energy and performance drink.</x:v>
      </x:c>
      <x:c r="G177" s="10" t="str">
        <x:v>12 x 330ml cans</x:v>
      </x:c>
      <x:c r="H177" s="10" t="str">
        <x:v>Apple Burst</x:v>
      </x:c>
      <x:c r="I177" s="10" t="str">
        <x:v>12</x:v>
      </x:c>
      <x:c r="J177" s="10" t="str">
        <x:v>Case</x:v>
      </x:c>
      <x:c r="K177" s="10" t="str">
        <x:v>In stock</x:v>
      </x:c>
      <x:c r="L177" s="10" t="str">
        <x:v>2026-09-08</x:v>
      </x:c>
      <x:c r="M177" s="10" t="str"/>
      <x:c r="N177" s="10" t="str"/>
      <x:c r="O177" s="10" t="str">
        <x:v>https://www.activesportstrade.co.uk/applied-nutrition-trade</x:v>
      </x:c>
      <x:c r="P177" s="10" t="str">
        <x:v>Case-only member order. Pallet-promo wording ignored.</x:v>
      </x:c>
      <x:c r="S177" t="str">
        <x:v>Pending genuine supplier/brand image</x:v>
      </x:c>
      <x:c r="T177" s="54" t="n">
        <x:v>12</x:v>
      </x:c>
      <x:c r="U177" s="47" t="n">
        <x:v>0.2</x:v>
      </x:c>
      <x:c r="V177" s="54" t="n">
        <x:f>IF(ISNUMBER(T177),T177*(1+U177),"")</x:f>
        <x:v>14.399999999999999</x:v>
      </x:c>
      <x:c r="W177" s="47" t="n">
        <x:v>0.3</x:v>
      </x:c>
      <x:c r="X177" s="54" t="n">
        <x:f>IF(ISNUMBER(V177),V177/(1-W177),"")</x:f>
        <x:v>20.57142857142857</x:v>
      </x:c>
      <x:c r="Y177" s="55" t="n">
        <x:f>IF(ISNUMBER(X177),ROUNDUP(X177,0),"")</x:f>
        <x:v>21</x:v>
      </x:c>
      <x:c r="Z177" t="str">
        <x:f>IF(ISNUMBER(T177),"Cost captured","Awaiting trade cost")</x:f>
        <x:v>Cost captured</x:v>
      </x:c>
      <x:c r="AB177" s="36" t="n">
        <x:f>IF(ISNUMBER(Y177),ROUND(Y177*0.9,2),"")</x:f>
        <x:v>18.9</x:v>
      </x:c>
      <x:c r="AC177" s="36" t="n">
        <x:f>IF(ISNUMBER(AB177),ROUND(AB177-(AB177*0.015+0.2)-V177,2),"")</x:f>
        <x:v>4.02</x:v>
      </x:c>
      <x:c r="AD177" s="36" t="n">
        <x:f>IF(ISNUMBER(Y177),ROUND(Y177*0.8,2),"")</x:f>
        <x:v>16.8</x:v>
      </x:c>
      <x:c r="AE177" s="36" t="n">
        <x:f>IF(ISNUMBER(AD177),ROUND(AD177*0.015+0.2,2),"")</x:f>
        <x:v>0.45</x:v>
      </x:c>
      <x:c r="AF177" s="36" t="n">
        <x:f>IF(ISNUMBER(AD177),ROUND(AD177-AE177-V177,2),"")</x:f>
        <x:v>1.95</x:v>
      </x:c>
      <x:c r="AG177" t="str">
        <x:f>IF(NOT(ISNUMBER(T177)),"PENDING",IF(AF177&gt;0,"PASS","FAIL"))</x:f>
        <x:v>PASS</x:v>
      </x:c>
      <x:c r="AH177" t="str">
        <x:f>IF(NOT(ISNUMBER(T177)),"Needs supplier cost",IF(K177&lt;&gt;"In stock","Supplier unavailable",IF(AG177&lt;&gt;"PASS","BLOCK - GT loss risk","Commercially protected")))</x:f>
        <x:v>Commercially protected</x:v>
      </x:c>
      <x:c r="AI177" t="str">
        <x:v>2026-09-10 Active Sports trade capture</x:v>
      </x:c>
      <x:c r="AJ177" t="str">
        <x:v>Management-only economics. Stripe stress test uses 1.5% + £0.20 standard UK online-card fee; pallet/mix-and-match pricing ignored.</x:v>
      </x:c>
    </x:row>
    <x:row r="178">
      <x:c r="A178" s="10" t="str">
        <x:v>Active Sports Nutrition</x:v>
      </x:c>
      <x:c r="B178" s="10" t="str">
        <x:v>Applied Nutrition</x:v>
      </x:c>
      <x:c r="C178" s="10" t="str">
        <x:v>ABE Energy + Performance RTD</x:v>
      </x:c>
      <x:c r="D178" s="10" t="str">
        <x:v>Drinks and Bars</x:v>
      </x:c>
      <x:c r="E178" s="10" t="str">
        <x:v>Ready to Drink Energy</x:v>
      </x:c>
      <x:c r="F178" s="10" t="str">
        <x:v>ABE energy and performance drink.</x:v>
      </x:c>
      <x:c r="G178" s="10" t="str">
        <x:v>12 x 330ml cans</x:v>
      </x:c>
      <x:c r="H178" s="10" t="str">
        <x:v>Blue Lagoon</x:v>
      </x:c>
      <x:c r="I178" s="10" t="str">
        <x:v>12</x:v>
      </x:c>
      <x:c r="J178" s="10" t="str">
        <x:v>Case</x:v>
      </x:c>
      <x:c r="K178" s="10" t="str">
        <x:v>In stock</x:v>
      </x:c>
      <x:c r="L178" s="10" t="str">
        <x:v>2026-09-08</x:v>
      </x:c>
      <x:c r="M178" s="10" t="str"/>
      <x:c r="N178" s="10" t="str"/>
      <x:c r="O178" s="10" t="str">
        <x:v>https://www.activesportstrade.co.uk/applied-nutrition-trade</x:v>
      </x:c>
      <x:c r="P178" s="10" t="str">
        <x:v>Case-only member order. Pallet-promo wording ignored.</x:v>
      </x:c>
      <x:c r="S178" t="str">
        <x:v>Pending genuine supplier/brand image</x:v>
      </x:c>
      <x:c r="T178" s="54" t="n">
        <x:v>12</x:v>
      </x:c>
      <x:c r="U178" s="47" t="n">
        <x:v>0.2</x:v>
      </x:c>
      <x:c r="V178" s="54" t="n">
        <x:f>IF(ISNUMBER(T178),T178*(1+U178),"")</x:f>
        <x:v>14.399999999999999</x:v>
      </x:c>
      <x:c r="W178" s="47" t="n">
        <x:v>0.3</x:v>
      </x:c>
      <x:c r="X178" s="54" t="n">
        <x:f>IF(ISNUMBER(V178),V178/(1-W178),"")</x:f>
        <x:v>20.57142857142857</x:v>
      </x:c>
      <x:c r="Y178" s="55" t="n">
        <x:f>IF(ISNUMBER(X178),ROUNDUP(X178,0),"")</x:f>
        <x:v>21</x:v>
      </x:c>
      <x:c r="Z178" t="str">
        <x:f>IF(ISNUMBER(T178),"Cost captured","Awaiting trade cost")</x:f>
        <x:v>Cost captured</x:v>
      </x:c>
      <x:c r="AB178" s="36" t="n">
        <x:f>IF(ISNUMBER(Y178),ROUND(Y178*0.9,2),"")</x:f>
        <x:v>18.9</x:v>
      </x:c>
      <x:c r="AC178" s="36" t="n">
        <x:f>IF(ISNUMBER(AB178),ROUND(AB178-(AB178*0.015+0.2)-V178,2),"")</x:f>
        <x:v>4.02</x:v>
      </x:c>
      <x:c r="AD178" s="36" t="n">
        <x:f>IF(ISNUMBER(Y178),ROUND(Y178*0.8,2),"")</x:f>
        <x:v>16.8</x:v>
      </x:c>
      <x:c r="AE178" s="36" t="n">
        <x:f>IF(ISNUMBER(AD178),ROUND(AD178*0.015+0.2,2),"")</x:f>
        <x:v>0.45</x:v>
      </x:c>
      <x:c r="AF178" s="36" t="n">
        <x:f>IF(ISNUMBER(AD178),ROUND(AD178-AE178-V178,2),"")</x:f>
        <x:v>1.95</x:v>
      </x:c>
      <x:c r="AG178" t="str">
        <x:f>IF(NOT(ISNUMBER(T178)),"PENDING",IF(AF178&gt;0,"PASS","FAIL"))</x:f>
        <x:v>PASS</x:v>
      </x:c>
      <x:c r="AH178" t="str">
        <x:f>IF(NOT(ISNUMBER(T178)),"Needs supplier cost",IF(K178&lt;&gt;"In stock","Supplier unavailable",IF(AG178&lt;&gt;"PASS","BLOCK - GT loss risk","Commercially protected")))</x:f>
        <x:v>Commercially protected</x:v>
      </x:c>
      <x:c r="AI178" t="str">
        <x:v>2026-09-10 Active Sports trade capture</x:v>
      </x:c>
      <x:c r="AJ178" t="str">
        <x:v>Management-only economics. Stripe stress test uses 1.5% + £0.20 standard UK online-card fee; pallet/mix-and-match pricing ignored.</x:v>
      </x:c>
    </x:row>
    <x:row r="179">
      <x:c r="A179" s="10" t="str">
        <x:v>Active Sports Nutrition</x:v>
      </x:c>
      <x:c r="B179" s="10" t="str">
        <x:v>Applied Nutrition</x:v>
      </x:c>
      <x:c r="C179" s="10" t="str">
        <x:v>ABE Energy + Performance RTD</x:v>
      </x:c>
      <x:c r="D179" s="10" t="str">
        <x:v>Drinks and Bars</x:v>
      </x:c>
      <x:c r="E179" s="10" t="str">
        <x:v>Ready to Drink Energy</x:v>
      </x:c>
      <x:c r="F179" s="10" t="str">
        <x:v>ABE energy and performance drink.</x:v>
      </x:c>
      <x:c r="G179" s="10" t="str">
        <x:v>12 x 330ml cans</x:v>
      </x:c>
      <x:c r="H179" s="10" t="str">
        <x:v>Cherry Slushie</x:v>
      </x:c>
      <x:c r="I179" s="10" t="str">
        <x:v>12</x:v>
      </x:c>
      <x:c r="J179" s="10" t="str">
        <x:v>Case</x:v>
      </x:c>
      <x:c r="K179" s="10" t="str">
        <x:v>In stock</x:v>
      </x:c>
      <x:c r="L179" s="10" t="str">
        <x:v>2026-09-08</x:v>
      </x:c>
      <x:c r="M179" s="10" t="str"/>
      <x:c r="N179" s="10" t="str"/>
      <x:c r="O179" s="10" t="str">
        <x:v>https://www.activesportstrade.co.uk/applied-nutrition-trade</x:v>
      </x:c>
      <x:c r="P179" s="10" t="str">
        <x:v>Case-only member order. Pallet-promo wording ignored.</x:v>
      </x:c>
      <x:c r="S179" t="str">
        <x:v>Pending genuine supplier/brand image</x:v>
      </x:c>
      <x:c r="T179" s="54" t="n">
        <x:v>12</x:v>
      </x:c>
      <x:c r="U179" s="47" t="n">
        <x:v>0.2</x:v>
      </x:c>
      <x:c r="V179" s="54" t="n">
        <x:f>IF(ISNUMBER(T179),T179*(1+U179),"")</x:f>
        <x:v>14.399999999999999</x:v>
      </x:c>
      <x:c r="W179" s="47" t="n">
        <x:v>0.3</x:v>
      </x:c>
      <x:c r="X179" s="54" t="n">
        <x:f>IF(ISNUMBER(V179),V179/(1-W179),"")</x:f>
        <x:v>20.57142857142857</x:v>
      </x:c>
      <x:c r="Y179" s="55" t="n">
        <x:f>IF(ISNUMBER(X179),ROUNDUP(X179,0),"")</x:f>
        <x:v>21</x:v>
      </x:c>
      <x:c r="Z179" t="str">
        <x:f>IF(ISNUMBER(T179),"Cost captured","Awaiting trade cost")</x:f>
        <x:v>Cost captured</x:v>
      </x:c>
      <x:c r="AB179" s="36" t="n">
        <x:f>IF(ISNUMBER(Y179),ROUND(Y179*0.9,2),"")</x:f>
        <x:v>18.9</x:v>
      </x:c>
      <x:c r="AC179" s="36" t="n">
        <x:f>IF(ISNUMBER(AB179),ROUND(AB179-(AB179*0.015+0.2)-V179,2),"")</x:f>
        <x:v>4.02</x:v>
      </x:c>
      <x:c r="AD179" s="36" t="n">
        <x:f>IF(ISNUMBER(Y179),ROUND(Y179*0.8,2),"")</x:f>
        <x:v>16.8</x:v>
      </x:c>
      <x:c r="AE179" s="36" t="n">
        <x:f>IF(ISNUMBER(AD179),ROUND(AD179*0.015+0.2,2),"")</x:f>
        <x:v>0.45</x:v>
      </x:c>
      <x:c r="AF179" s="36" t="n">
        <x:f>IF(ISNUMBER(AD179),ROUND(AD179-AE179-V179,2),"")</x:f>
        <x:v>1.95</x:v>
      </x:c>
      <x:c r="AG179" t="str">
        <x:f>IF(NOT(ISNUMBER(T179)),"PENDING",IF(AF179&gt;0,"PASS","FAIL"))</x:f>
        <x:v>PASS</x:v>
      </x:c>
      <x:c r="AH179" t="str">
        <x:f>IF(NOT(ISNUMBER(T179)),"Needs supplier cost",IF(K179&lt;&gt;"In stock","Supplier unavailable",IF(AG179&lt;&gt;"PASS","BLOCK - GT loss risk","Commercially protected")))</x:f>
        <x:v>Commercially protected</x:v>
      </x:c>
      <x:c r="AI179" t="str">
        <x:v>2026-09-10 Active Sports trade capture</x:v>
      </x:c>
      <x:c r="AJ179" t="str">
        <x:v>Management-only economics. Stripe stress test uses 1.5% + £0.20 standard UK online-card fee; pallet/mix-and-match pricing ignored.</x:v>
      </x:c>
    </x:row>
    <x:row r="180">
      <x:c r="A180" s="10" t="str">
        <x:v>Active Sports Nutrition</x:v>
      </x:c>
      <x:c r="B180" s="10" t="str">
        <x:v>Applied Nutrition</x:v>
      </x:c>
      <x:c r="C180" s="10" t="str">
        <x:v>ABE Energy + Performance RTD</x:v>
      </x:c>
      <x:c r="D180" s="10" t="str">
        <x:v>Drinks and Bars</x:v>
      </x:c>
      <x:c r="E180" s="10" t="str">
        <x:v>Ready to Drink Energy</x:v>
      </x:c>
      <x:c r="F180" s="10" t="str">
        <x:v>ABE energy and performance drink.</x:v>
      </x:c>
      <x:c r="G180" s="10" t="str">
        <x:v>12 x 330ml cans</x:v>
      </x:c>
      <x:c r="H180" s="10" t="str">
        <x:v>Cloudy Lemonade</x:v>
      </x:c>
      <x:c r="I180" s="10" t="str">
        <x:v>12</x:v>
      </x:c>
      <x:c r="J180" s="10" t="str">
        <x:v>Case</x:v>
      </x:c>
      <x:c r="K180" s="10" t="str">
        <x:v>In stock</x:v>
      </x:c>
      <x:c r="L180" s="10" t="str">
        <x:v>2026-09-08</x:v>
      </x:c>
      <x:c r="M180" s="10" t="str"/>
      <x:c r="N180" s="10" t="str"/>
      <x:c r="O180" s="10" t="str">
        <x:v>https://www.activesportstrade.co.uk/applied-nutrition-trade</x:v>
      </x:c>
      <x:c r="P180" s="10" t="str">
        <x:v>Case-only member order. Pallet-promo wording ignored.</x:v>
      </x:c>
      <x:c r="S180" t="str">
        <x:v>Pending genuine supplier/brand image</x:v>
      </x:c>
      <x:c r="T180" s="54" t="n">
        <x:v>12</x:v>
      </x:c>
      <x:c r="U180" s="47" t="n">
        <x:v>0.2</x:v>
      </x:c>
      <x:c r="V180" s="54" t="n">
        <x:f>IF(ISNUMBER(T180),T180*(1+U180),"")</x:f>
        <x:v>14.399999999999999</x:v>
      </x:c>
      <x:c r="W180" s="47" t="n">
        <x:v>0.3</x:v>
      </x:c>
      <x:c r="X180" s="54" t="n">
        <x:f>IF(ISNUMBER(V180),V180/(1-W180),"")</x:f>
        <x:v>20.57142857142857</x:v>
      </x:c>
      <x:c r="Y180" s="55" t="n">
        <x:f>IF(ISNUMBER(X180),ROUNDUP(X180,0),"")</x:f>
        <x:v>21</x:v>
      </x:c>
      <x:c r="Z180" t="str">
        <x:f>IF(ISNUMBER(T180),"Cost captured","Awaiting trade cost")</x:f>
        <x:v>Cost captured</x:v>
      </x:c>
      <x:c r="AB180" s="36" t="n">
        <x:f>IF(ISNUMBER(Y180),ROUND(Y180*0.9,2),"")</x:f>
        <x:v>18.9</x:v>
      </x:c>
      <x:c r="AC180" s="36" t="n">
        <x:f>IF(ISNUMBER(AB180),ROUND(AB180-(AB180*0.015+0.2)-V180,2),"")</x:f>
        <x:v>4.02</x:v>
      </x:c>
      <x:c r="AD180" s="36" t="n">
        <x:f>IF(ISNUMBER(Y180),ROUND(Y180*0.8,2),"")</x:f>
        <x:v>16.8</x:v>
      </x:c>
      <x:c r="AE180" s="36" t="n">
        <x:f>IF(ISNUMBER(AD180),ROUND(AD180*0.015+0.2,2),"")</x:f>
        <x:v>0.45</x:v>
      </x:c>
      <x:c r="AF180" s="36" t="n">
        <x:f>IF(ISNUMBER(AD180),ROUND(AD180-AE180-V180,2),"")</x:f>
        <x:v>1.95</x:v>
      </x:c>
      <x:c r="AG180" t="str">
        <x:f>IF(NOT(ISNUMBER(T180)),"PENDING",IF(AF180&gt;0,"PASS","FAIL"))</x:f>
        <x:v>PASS</x:v>
      </x:c>
      <x:c r="AH180" t="str">
        <x:f>IF(NOT(ISNUMBER(T180)),"Needs supplier cost",IF(K180&lt;&gt;"In stock","Supplier unavailable",IF(AG180&lt;&gt;"PASS","BLOCK - GT loss risk","Commercially protected")))</x:f>
        <x:v>Commercially protected</x:v>
      </x:c>
      <x:c r="AI180" t="str">
        <x:v>2026-09-10 Active Sports trade capture</x:v>
      </x:c>
      <x:c r="AJ180" t="str">
        <x:v>Management-only economics. Stripe stress test uses 1.5% + £0.20 standard UK online-card fee; pallet/mix-and-match pricing ignored.</x:v>
      </x:c>
    </x:row>
    <x:row r="181">
      <x:c r="A181" s="10" t="str">
        <x:v>Active Sports Nutrition</x:v>
      </x:c>
      <x:c r="B181" s="10" t="str">
        <x:v>Applied Nutrition</x:v>
      </x:c>
      <x:c r="C181" s="10" t="str">
        <x:v>ABE Energy + Performance RTD</x:v>
      </x:c>
      <x:c r="D181" s="10" t="str">
        <x:v>Drinks and Bars</x:v>
      </x:c>
      <x:c r="E181" s="10" t="str">
        <x:v>Ready to Drink Energy</x:v>
      </x:c>
      <x:c r="F181" s="10" t="str">
        <x:v>ABE energy and performance drink.</x:v>
      </x:c>
      <x:c r="G181" s="10" t="str">
        <x:v>12 x 330ml cans</x:v>
      </x:c>
      <x:c r="H181" s="10" t="str">
        <x:v>Energy</x:v>
      </x:c>
      <x:c r="I181" s="10" t="str">
        <x:v>12</x:v>
      </x:c>
      <x:c r="J181" s="10" t="str">
        <x:v>Case</x:v>
      </x:c>
      <x:c r="K181" s="10" t="str">
        <x:v>In stock</x:v>
      </x:c>
      <x:c r="L181" s="10" t="str">
        <x:v>2026-09-08</x:v>
      </x:c>
      <x:c r="M181" s="10" t="str"/>
      <x:c r="N181" s="10" t="str"/>
      <x:c r="O181" s="10" t="str">
        <x:v>https://www.activesportstrade.co.uk/applied-nutrition-trade</x:v>
      </x:c>
      <x:c r="P181" s="10" t="str">
        <x:v>Case-only member order. Pallet-promo wording ignored.</x:v>
      </x:c>
      <x:c r="S181" t="str">
        <x:v>Pending genuine supplier/brand image</x:v>
      </x:c>
      <x:c r="T181" s="54" t="n">
        <x:v>12</x:v>
      </x:c>
      <x:c r="U181" s="47" t="n">
        <x:v>0.2</x:v>
      </x:c>
      <x:c r="V181" s="54" t="n">
        <x:f>IF(ISNUMBER(T181),T181*(1+U181),"")</x:f>
        <x:v>14.399999999999999</x:v>
      </x:c>
      <x:c r="W181" s="47" t="n">
        <x:v>0.3</x:v>
      </x:c>
      <x:c r="X181" s="54" t="n">
        <x:f>IF(ISNUMBER(V181),V181/(1-W181),"")</x:f>
        <x:v>20.57142857142857</x:v>
      </x:c>
      <x:c r="Y181" s="55" t="n">
        <x:f>IF(ISNUMBER(X181),ROUNDUP(X181,0),"")</x:f>
        <x:v>21</x:v>
      </x:c>
      <x:c r="Z181" t="str">
        <x:f>IF(ISNUMBER(T181),"Cost captured","Awaiting trade cost")</x:f>
        <x:v>Cost captured</x:v>
      </x:c>
      <x:c r="AB181" s="36" t="n">
        <x:f>IF(ISNUMBER(Y181),ROUND(Y181*0.9,2),"")</x:f>
        <x:v>18.9</x:v>
      </x:c>
      <x:c r="AC181" s="36" t="n">
        <x:f>IF(ISNUMBER(AB181),ROUND(AB181-(AB181*0.015+0.2)-V181,2),"")</x:f>
        <x:v>4.02</x:v>
      </x:c>
      <x:c r="AD181" s="36" t="n">
        <x:f>IF(ISNUMBER(Y181),ROUND(Y181*0.8,2),"")</x:f>
        <x:v>16.8</x:v>
      </x:c>
      <x:c r="AE181" s="36" t="n">
        <x:f>IF(ISNUMBER(AD181),ROUND(AD181*0.015+0.2,2),"")</x:f>
        <x:v>0.45</x:v>
      </x:c>
      <x:c r="AF181" s="36" t="n">
        <x:f>IF(ISNUMBER(AD181),ROUND(AD181-AE181-V181,2),"")</x:f>
        <x:v>1.95</x:v>
      </x:c>
      <x:c r="AG181" t="str">
        <x:f>IF(NOT(ISNUMBER(T181)),"PENDING",IF(AF181&gt;0,"PASS","FAIL"))</x:f>
        <x:v>PASS</x:v>
      </x:c>
      <x:c r="AH181" t="str">
        <x:f>IF(NOT(ISNUMBER(T181)),"Needs supplier cost",IF(K181&lt;&gt;"In stock","Supplier unavailable",IF(AG181&lt;&gt;"PASS","BLOCK - GT loss risk","Commercially protected")))</x:f>
        <x:v>Commercially protected</x:v>
      </x:c>
      <x:c r="AI181" t="str">
        <x:v>2026-09-10 Active Sports trade capture</x:v>
      </x:c>
      <x:c r="AJ181" t="str">
        <x:v>Management-only economics. Stripe stress test uses 1.5% + £0.20 standard UK online-card fee; pallet/mix-and-match pricing ignored.</x:v>
      </x:c>
    </x:row>
    <x:row r="182">
      <x:c r="A182" s="10" t="str">
        <x:v>Active Sports Nutrition</x:v>
      </x:c>
      <x:c r="B182" s="10" t="str">
        <x:v>Applied Nutrition</x:v>
      </x:c>
      <x:c r="C182" s="10" t="str">
        <x:v>ABE Energy + Performance RTD</x:v>
      </x:c>
      <x:c r="D182" s="10" t="str">
        <x:v>Drinks and Bars</x:v>
      </x:c>
      <x:c r="E182" s="10" t="str">
        <x:v>Ready to Drink Energy</x:v>
      </x:c>
      <x:c r="F182" s="10" t="str">
        <x:v>ABE energy and performance drink.</x:v>
      </x:c>
      <x:c r="G182" s="10" t="str">
        <x:v>12 x 330ml cans</x:v>
      </x:c>
      <x:c r="H182" s="10" t="str">
        <x:v>Fruit Candy</x:v>
      </x:c>
      <x:c r="I182" s="10" t="str">
        <x:v>12</x:v>
      </x:c>
      <x:c r="J182" s="10" t="str">
        <x:v>Case</x:v>
      </x:c>
      <x:c r="K182" s="10" t="str">
        <x:v>In stock</x:v>
      </x:c>
      <x:c r="L182" s="10" t="str">
        <x:v>2026-09-08</x:v>
      </x:c>
      <x:c r="M182" s="10" t="str"/>
      <x:c r="N182" s="10" t="str"/>
      <x:c r="O182" s="10" t="str">
        <x:v>https://www.activesportstrade.co.uk/applied-nutrition-trade</x:v>
      </x:c>
      <x:c r="P182" s="10" t="str">
        <x:v>Case-only member order. Pallet-promo wording ignored.</x:v>
      </x:c>
      <x:c r="S182" t="str">
        <x:v>Pending genuine supplier/brand image</x:v>
      </x:c>
      <x:c r="T182" s="54" t="n">
        <x:v>12</x:v>
      </x:c>
      <x:c r="U182" s="47" t="n">
        <x:v>0.2</x:v>
      </x:c>
      <x:c r="V182" s="54" t="n">
        <x:f>IF(ISNUMBER(T182),T182*(1+U182),"")</x:f>
        <x:v>14.399999999999999</x:v>
      </x:c>
      <x:c r="W182" s="47" t="n">
        <x:v>0.3</x:v>
      </x:c>
      <x:c r="X182" s="54" t="n">
        <x:f>IF(ISNUMBER(V182),V182/(1-W182),"")</x:f>
        <x:v>20.57142857142857</x:v>
      </x:c>
      <x:c r="Y182" s="55" t="n">
        <x:f>IF(ISNUMBER(X182),ROUNDUP(X182,0),"")</x:f>
        <x:v>21</x:v>
      </x:c>
      <x:c r="Z182" t="str">
        <x:f>IF(ISNUMBER(T182),"Cost captured","Awaiting trade cost")</x:f>
        <x:v>Cost captured</x:v>
      </x:c>
      <x:c r="AB182" s="36" t="n">
        <x:f>IF(ISNUMBER(Y182),ROUND(Y182*0.9,2),"")</x:f>
        <x:v>18.9</x:v>
      </x:c>
      <x:c r="AC182" s="36" t="n">
        <x:f>IF(ISNUMBER(AB182),ROUND(AB182-(AB182*0.015+0.2)-V182,2),"")</x:f>
        <x:v>4.02</x:v>
      </x:c>
      <x:c r="AD182" s="36" t="n">
        <x:f>IF(ISNUMBER(Y182),ROUND(Y182*0.8,2),"")</x:f>
        <x:v>16.8</x:v>
      </x:c>
      <x:c r="AE182" s="36" t="n">
        <x:f>IF(ISNUMBER(AD182),ROUND(AD182*0.015+0.2,2),"")</x:f>
        <x:v>0.45</x:v>
      </x:c>
      <x:c r="AF182" s="36" t="n">
        <x:f>IF(ISNUMBER(AD182),ROUND(AD182-AE182-V182,2),"")</x:f>
        <x:v>1.95</x:v>
      </x:c>
      <x:c r="AG182" t="str">
        <x:f>IF(NOT(ISNUMBER(T182)),"PENDING",IF(AF182&gt;0,"PASS","FAIL"))</x:f>
        <x:v>PASS</x:v>
      </x:c>
      <x:c r="AH182" t="str">
        <x:f>IF(NOT(ISNUMBER(T182)),"Needs supplier cost",IF(K182&lt;&gt;"In stock","Supplier unavailable",IF(AG182&lt;&gt;"PASS","BLOCK - GT loss risk","Commercially protected")))</x:f>
        <x:v>Commercially protected</x:v>
      </x:c>
      <x:c r="AI182" t="str">
        <x:v>2026-09-10 Active Sports trade capture</x:v>
      </x:c>
      <x:c r="AJ182" t="str">
        <x:v>Management-only economics. Stripe stress test uses 1.5% + £0.20 standard UK online-card fee; pallet/mix-and-match pricing ignored.</x:v>
      </x:c>
    </x:row>
    <x:row r="183">
      <x:c r="A183" s="10" t="str">
        <x:v>Active Sports Nutrition</x:v>
      </x:c>
      <x:c r="B183" s="10" t="str">
        <x:v>Applied Nutrition</x:v>
      </x:c>
      <x:c r="C183" s="10" t="str">
        <x:v>ABE Energy + Performance RTD</x:v>
      </x:c>
      <x:c r="D183" s="10" t="str">
        <x:v>Drinks and Bars</x:v>
      </x:c>
      <x:c r="E183" s="10" t="str">
        <x:v>Ready to Drink Energy</x:v>
      </x:c>
      <x:c r="F183" s="10" t="str">
        <x:v>ABE energy and performance drink.</x:v>
      </x:c>
      <x:c r="G183" s="10" t="str">
        <x:v>12 x 330ml cans</x:v>
      </x:c>
      <x:c r="H183" s="10" t="str">
        <x:v>Grape Soda</x:v>
      </x:c>
      <x:c r="I183" s="10" t="str">
        <x:v>12</x:v>
      </x:c>
      <x:c r="J183" s="10" t="str">
        <x:v>Case</x:v>
      </x:c>
      <x:c r="K183" s="10" t="str">
        <x:v>Out of stock</x:v>
      </x:c>
      <x:c r="L183" s="10" t="str">
        <x:v>2026-09-08</x:v>
      </x:c>
      <x:c r="M183" s="10" t="str"/>
      <x:c r="N183" s="10" t="str"/>
      <x:c r="O183" s="10" t="str">
        <x:v>https://www.activesportstrade.co.uk/applied-nutrition-trade</x:v>
      </x:c>
      <x:c r="P183" s="10" t="str">
        <x:v>Case-only member order. Pallet-promo wording ignored.</x:v>
      </x:c>
      <x:c r="S183" t="str">
        <x:v>Pending genuine supplier/brand image</x:v>
      </x:c>
      <x:c r="T183" s="54" t="n">
        <x:v>12</x:v>
      </x:c>
      <x:c r="U183" s="47" t="n">
        <x:v>0.2</x:v>
      </x:c>
      <x:c r="V183" s="54" t="n">
        <x:f>IF(ISNUMBER(T183),T183*(1+U183),"")</x:f>
        <x:v>14.399999999999999</x:v>
      </x:c>
      <x:c r="W183" s="47" t="n">
        <x:v>0.3</x:v>
      </x:c>
      <x:c r="X183" s="54" t="n">
        <x:f>IF(ISNUMBER(V183),V183/(1-W183),"")</x:f>
        <x:v>20.57142857142857</x:v>
      </x:c>
      <x:c r="Y183" s="55" t="n">
        <x:f>IF(ISNUMBER(X183),ROUNDUP(X183,0),"")</x:f>
        <x:v>21</x:v>
      </x:c>
      <x:c r="Z183" t="str">
        <x:f>IF(ISNUMBER(T183),"Cost captured","Awaiting trade cost")</x:f>
        <x:v>Cost captured</x:v>
      </x:c>
      <x:c r="AB183" s="36" t="n">
        <x:f>IF(ISNUMBER(Y183),ROUND(Y183*0.9,2),"")</x:f>
        <x:v>18.9</x:v>
      </x:c>
      <x:c r="AC183" s="36" t="n">
        <x:f>IF(ISNUMBER(AB183),ROUND(AB183-(AB183*0.015+0.2)-V183,2),"")</x:f>
        <x:v>4.02</x:v>
      </x:c>
      <x:c r="AD183" s="36" t="n">
        <x:f>IF(ISNUMBER(Y183),ROUND(Y183*0.8,2),"")</x:f>
        <x:v>16.8</x:v>
      </x:c>
      <x:c r="AE183" s="36" t="n">
        <x:f>IF(ISNUMBER(AD183),ROUND(AD183*0.015+0.2,2),"")</x:f>
        <x:v>0.45</x:v>
      </x:c>
      <x:c r="AF183" s="36" t="n">
        <x:f>IF(ISNUMBER(AD183),ROUND(AD183-AE183-V183,2),"")</x:f>
        <x:v>1.95</x:v>
      </x:c>
      <x:c r="AG183" t="str">
        <x:f>IF(NOT(ISNUMBER(T183)),"PENDING",IF(AF183&gt;0,"PASS","FAIL"))</x:f>
        <x:v>PASS</x:v>
      </x:c>
      <x:c r="AH183" t="str">
        <x:f>IF(NOT(ISNUMBER(T183)),"Needs supplier cost",IF(K183&lt;&gt;"In stock","Supplier unavailable",IF(AG183&lt;&gt;"PASS","BLOCK - GT loss risk","Commercially protected")))</x:f>
        <x:v>Supplier unavailable</x:v>
      </x:c>
      <x:c r="AI183" t="str">
        <x:v>2026-09-10 Active Sports trade capture</x:v>
      </x:c>
      <x:c r="AJ183" t="str">
        <x:v>Management-only economics. Stripe stress test uses 1.5% + £0.20 standard UK online-card fee; pallet/mix-and-match pricing ignored.</x:v>
      </x:c>
    </x:row>
    <x:row r="184">
      <x:c r="A184" s="10" t="str">
        <x:v>Active Sports Nutrition</x:v>
      </x:c>
      <x:c r="B184" s="10" t="str">
        <x:v>Applied Nutrition</x:v>
      </x:c>
      <x:c r="C184" s="10" t="str">
        <x:v>ABE Energy + Performance RTD</x:v>
      </x:c>
      <x:c r="D184" s="10" t="str">
        <x:v>Drinks and Bars</x:v>
      </x:c>
      <x:c r="E184" s="10" t="str">
        <x:v>Ready to Drink Energy</x:v>
      </x:c>
      <x:c r="F184" s="10" t="str">
        <x:v>ABE energy and performance drink.</x:v>
      </x:c>
      <x:c r="G184" s="10" t="str">
        <x:v>12 x 330ml cans</x:v>
      </x:c>
      <x:c r="H184" s="10" t="str">
        <x:v>Orange Burst</x:v>
      </x:c>
      <x:c r="I184" s="10" t="str">
        <x:v>12</x:v>
      </x:c>
      <x:c r="J184" s="10" t="str">
        <x:v>Case</x:v>
      </x:c>
      <x:c r="K184" s="10" t="str">
        <x:v>In stock</x:v>
      </x:c>
      <x:c r="L184" s="10" t="str">
        <x:v>2026-09-08</x:v>
      </x:c>
      <x:c r="M184" s="10" t="str"/>
      <x:c r="N184" s="10" t="str"/>
      <x:c r="O184" s="10" t="str">
        <x:v>https://www.activesportstrade.co.uk/applied-nutrition-trade</x:v>
      </x:c>
      <x:c r="P184" s="10" t="str">
        <x:v>Case-only member order. Pallet-promo wording ignored.</x:v>
      </x:c>
      <x:c r="S184" t="str">
        <x:v>Pending genuine supplier/brand image</x:v>
      </x:c>
      <x:c r="T184" s="54" t="n">
        <x:v>12</x:v>
      </x:c>
      <x:c r="U184" s="47" t="n">
        <x:v>0.2</x:v>
      </x:c>
      <x:c r="V184" s="54" t="n">
        <x:f>IF(ISNUMBER(T184),T184*(1+U184),"")</x:f>
        <x:v>14.399999999999999</x:v>
      </x:c>
      <x:c r="W184" s="47" t="n">
        <x:v>0.3</x:v>
      </x:c>
      <x:c r="X184" s="54" t="n">
        <x:f>IF(ISNUMBER(V184),V184/(1-W184),"")</x:f>
        <x:v>20.57142857142857</x:v>
      </x:c>
      <x:c r="Y184" s="55" t="n">
        <x:f>IF(ISNUMBER(X184),ROUNDUP(X184,0),"")</x:f>
        <x:v>21</x:v>
      </x:c>
      <x:c r="Z184" t="str">
        <x:f>IF(ISNUMBER(T184),"Cost captured","Awaiting trade cost")</x:f>
        <x:v>Cost captured</x:v>
      </x:c>
      <x:c r="AB184" s="36" t="n">
        <x:f>IF(ISNUMBER(Y184),ROUND(Y184*0.9,2),"")</x:f>
        <x:v>18.9</x:v>
      </x:c>
      <x:c r="AC184" s="36" t="n">
        <x:f>IF(ISNUMBER(AB184),ROUND(AB184-(AB184*0.015+0.2)-V184,2),"")</x:f>
        <x:v>4.02</x:v>
      </x:c>
      <x:c r="AD184" s="36" t="n">
        <x:f>IF(ISNUMBER(Y184),ROUND(Y184*0.8,2),"")</x:f>
        <x:v>16.8</x:v>
      </x:c>
      <x:c r="AE184" s="36" t="n">
        <x:f>IF(ISNUMBER(AD184),ROUND(AD184*0.015+0.2,2),"")</x:f>
        <x:v>0.45</x:v>
      </x:c>
      <x:c r="AF184" s="36" t="n">
        <x:f>IF(ISNUMBER(AD184),ROUND(AD184-AE184-V184,2),"")</x:f>
        <x:v>1.95</x:v>
      </x:c>
      <x:c r="AG184" t="str">
        <x:f>IF(NOT(ISNUMBER(T184)),"PENDING",IF(AF184&gt;0,"PASS","FAIL"))</x:f>
        <x:v>PASS</x:v>
      </x:c>
      <x:c r="AH184" t="str">
        <x:f>IF(NOT(ISNUMBER(T184)),"Needs supplier cost",IF(K184&lt;&gt;"In stock","Supplier unavailable",IF(AG184&lt;&gt;"PASS","BLOCK - GT loss risk","Commercially protected")))</x:f>
        <x:v>Commercially protected</x:v>
      </x:c>
      <x:c r="AI184" t="str">
        <x:v>2026-09-10 Active Sports trade capture</x:v>
      </x:c>
      <x:c r="AJ184" t="str">
        <x:v>Management-only economics. Stripe stress test uses 1.5% + £0.20 standard UK online-card fee; pallet/mix-and-match pricing ignored.</x:v>
      </x:c>
    </x:row>
    <x:row r="185">
      <x:c r="A185" s="10" t="str">
        <x:v>Active Sports Nutrition</x:v>
      </x:c>
      <x:c r="B185" s="10" t="str">
        <x:v>Applied Nutrition</x:v>
      </x:c>
      <x:c r="C185" s="10" t="str">
        <x:v>ABE Energy + Performance RTD</x:v>
      </x:c>
      <x:c r="D185" s="10" t="str">
        <x:v>Drinks and Bars</x:v>
      </x:c>
      <x:c r="E185" s="10" t="str">
        <x:v>Ready to Drink Energy</x:v>
      </x:c>
      <x:c r="F185" s="10" t="str">
        <x:v>ABE energy and performance drink.</x:v>
      </x:c>
      <x:c r="G185" s="10" t="str">
        <x:v>12 x 330ml cans</x:v>
      </x:c>
      <x:c r="H185" s="10" t="str">
        <x:v>Slush Puppie</x:v>
      </x:c>
      <x:c r="I185" s="10" t="str">
        <x:v>12</x:v>
      </x:c>
      <x:c r="J185" s="10" t="str">
        <x:v>Case</x:v>
      </x:c>
      <x:c r="K185" s="10" t="str">
        <x:v>In stock</x:v>
      </x:c>
      <x:c r="L185" s="10" t="str">
        <x:v>2026-09-08</x:v>
      </x:c>
      <x:c r="M185" s="10" t="str"/>
      <x:c r="N185" s="10" t="str"/>
      <x:c r="O185" s="10" t="str">
        <x:v>https://www.activesportstrade.co.uk/applied-nutrition-trade</x:v>
      </x:c>
      <x:c r="P185" s="10" t="str">
        <x:v>Case-only member order. Pallet-promo wording ignored.</x:v>
      </x:c>
      <x:c r="S185" t="str">
        <x:v>Pending genuine supplier/brand image</x:v>
      </x:c>
      <x:c r="T185" s="54" t="n">
        <x:v>12</x:v>
      </x:c>
      <x:c r="U185" s="47" t="n">
        <x:v>0.2</x:v>
      </x:c>
      <x:c r="V185" s="54" t="n">
        <x:f>IF(ISNUMBER(T185),T185*(1+U185),"")</x:f>
        <x:v>14.399999999999999</x:v>
      </x:c>
      <x:c r="W185" s="47" t="n">
        <x:v>0.3</x:v>
      </x:c>
      <x:c r="X185" s="54" t="n">
        <x:f>IF(ISNUMBER(V185),V185/(1-W185),"")</x:f>
        <x:v>20.57142857142857</x:v>
      </x:c>
      <x:c r="Y185" s="55" t="n">
        <x:f>IF(ISNUMBER(X185),ROUNDUP(X185,0),"")</x:f>
        <x:v>21</x:v>
      </x:c>
      <x:c r="Z185" t="str">
        <x:f>IF(ISNUMBER(T185),"Cost captured","Awaiting trade cost")</x:f>
        <x:v>Cost captured</x:v>
      </x:c>
      <x:c r="AB185" s="36" t="n">
        <x:f>IF(ISNUMBER(Y185),ROUND(Y185*0.9,2),"")</x:f>
        <x:v>18.9</x:v>
      </x:c>
      <x:c r="AC185" s="36" t="n">
        <x:f>IF(ISNUMBER(AB185),ROUND(AB185-(AB185*0.015+0.2)-V185,2),"")</x:f>
        <x:v>4.02</x:v>
      </x:c>
      <x:c r="AD185" s="36" t="n">
        <x:f>IF(ISNUMBER(Y185),ROUND(Y185*0.8,2),"")</x:f>
        <x:v>16.8</x:v>
      </x:c>
      <x:c r="AE185" s="36" t="n">
        <x:f>IF(ISNUMBER(AD185),ROUND(AD185*0.015+0.2,2),"")</x:f>
        <x:v>0.45</x:v>
      </x:c>
      <x:c r="AF185" s="36" t="n">
        <x:f>IF(ISNUMBER(AD185),ROUND(AD185-AE185-V185,2),"")</x:f>
        <x:v>1.95</x:v>
      </x:c>
      <x:c r="AG185" t="str">
        <x:f>IF(NOT(ISNUMBER(T185)),"PENDING",IF(AF185&gt;0,"PASS","FAIL"))</x:f>
        <x:v>PASS</x:v>
      </x:c>
      <x:c r="AH185" t="str">
        <x:f>IF(NOT(ISNUMBER(T185)),"Needs supplier cost",IF(K185&lt;&gt;"In stock","Supplier unavailable",IF(AG185&lt;&gt;"PASS","BLOCK - GT loss risk","Commercially protected")))</x:f>
        <x:v>Commercially protected</x:v>
      </x:c>
      <x:c r="AI185" t="str">
        <x:v>2026-09-10 Active Sports trade capture</x:v>
      </x:c>
      <x:c r="AJ185" t="str">
        <x:v>Management-only economics. Stripe stress test uses 1.5% + £0.20 standard UK online-card fee; pallet/mix-and-match pricing ignored.</x:v>
      </x:c>
    </x:row>
    <x:row r="186">
      <x:c r="A186" s="10" t="str">
        <x:v>Active Sports Nutrition</x:v>
      </x:c>
      <x:c r="B186" s="10" t="str">
        <x:v>Applied Nutrition</x:v>
      </x:c>
      <x:c r="C186" s="10" t="str">
        <x:v>ABE Energy + Performance RTD</x:v>
      </x:c>
      <x:c r="D186" s="10" t="str">
        <x:v>Drinks and Bars</x:v>
      </x:c>
      <x:c r="E186" s="10" t="str">
        <x:v>Ready to Drink Energy</x:v>
      </x:c>
      <x:c r="F186" s="10" t="str">
        <x:v>ABE energy and performance drink.</x:v>
      </x:c>
      <x:c r="G186" s="10" t="str">
        <x:v>12 x 330ml cans</x:v>
      </x:c>
      <x:c r="H186" s="10" t="str">
        <x:v>White</x:v>
      </x:c>
      <x:c r="I186" s="10" t="str">
        <x:v>12</x:v>
      </x:c>
      <x:c r="J186" s="10" t="str">
        <x:v>Case</x:v>
      </x:c>
      <x:c r="K186" s="10" t="str">
        <x:v>In stock</x:v>
      </x:c>
      <x:c r="L186" s="10" t="str">
        <x:v>2026-09-08</x:v>
      </x:c>
      <x:c r="M186" s="10" t="str"/>
      <x:c r="N186" s="10" t="str"/>
      <x:c r="O186" s="10" t="str">
        <x:v>https://www.activesportstrade.co.uk/applied-nutrition-trade</x:v>
      </x:c>
      <x:c r="P186" s="10" t="str">
        <x:v>Case-only member order. Pallet-promo wording ignored.</x:v>
      </x:c>
      <x:c r="S186" t="str">
        <x:v>Pending genuine supplier/brand image</x:v>
      </x:c>
      <x:c r="T186" s="54" t="n">
        <x:v>12</x:v>
      </x:c>
      <x:c r="U186" s="47" t="n">
        <x:v>0.2</x:v>
      </x:c>
      <x:c r="V186" s="54" t="n">
        <x:f>IF(ISNUMBER(T186),T186*(1+U186),"")</x:f>
        <x:v>14.399999999999999</x:v>
      </x:c>
      <x:c r="W186" s="47" t="n">
        <x:v>0.3</x:v>
      </x:c>
      <x:c r="X186" s="54" t="n">
        <x:f>IF(ISNUMBER(V186),V186/(1-W186),"")</x:f>
        <x:v>20.57142857142857</x:v>
      </x:c>
      <x:c r="Y186" s="55" t="n">
        <x:f>IF(ISNUMBER(X186),ROUNDUP(X186,0),"")</x:f>
        <x:v>21</x:v>
      </x:c>
      <x:c r="Z186" t="str">
        <x:f>IF(ISNUMBER(T186),"Cost captured","Awaiting trade cost")</x:f>
        <x:v>Cost captured</x:v>
      </x:c>
      <x:c r="AB186" s="36" t="n">
        <x:f>IF(ISNUMBER(Y186),ROUND(Y186*0.9,2),"")</x:f>
        <x:v>18.9</x:v>
      </x:c>
      <x:c r="AC186" s="36" t="n">
        <x:f>IF(ISNUMBER(AB186),ROUND(AB186-(AB186*0.015+0.2)-V186,2),"")</x:f>
        <x:v>4.02</x:v>
      </x:c>
      <x:c r="AD186" s="36" t="n">
        <x:f>IF(ISNUMBER(Y186),ROUND(Y186*0.8,2),"")</x:f>
        <x:v>16.8</x:v>
      </x:c>
      <x:c r="AE186" s="36" t="n">
        <x:f>IF(ISNUMBER(AD186),ROUND(AD186*0.015+0.2,2),"")</x:f>
        <x:v>0.45</x:v>
      </x:c>
      <x:c r="AF186" s="36" t="n">
        <x:f>IF(ISNUMBER(AD186),ROUND(AD186-AE186-V186,2),"")</x:f>
        <x:v>1.95</x:v>
      </x:c>
      <x:c r="AG186" t="str">
        <x:f>IF(NOT(ISNUMBER(T186)),"PENDING",IF(AF186&gt;0,"PASS","FAIL"))</x:f>
        <x:v>PASS</x:v>
      </x:c>
      <x:c r="AH186" t="str">
        <x:f>IF(NOT(ISNUMBER(T186)),"Needs supplier cost",IF(K186&lt;&gt;"In stock","Supplier unavailable",IF(AG186&lt;&gt;"PASS","BLOCK - GT loss risk","Commercially protected")))</x:f>
        <x:v>Commercially protected</x:v>
      </x:c>
      <x:c r="AI186" t="str">
        <x:v>2026-09-10 Active Sports trade capture</x:v>
      </x:c>
      <x:c r="AJ186" t="str">
        <x:v>Management-only economics. Stripe stress test uses 1.5% + £0.20 standard UK online-card fee; pallet/mix-and-match pricing ignored.</x:v>
      </x:c>
    </x:row>
    <x:row r="187">
      <x:c r="A187" s="10" t="str">
        <x:v>Active Sports Nutrition</x:v>
      </x:c>
      <x:c r="B187" s="10" t="str">
        <x:v>Applied Nutrition</x:v>
      </x:c>
      <x:c r="C187" s="10" t="str">
        <x:v>ABE Shots</x:v>
      </x:c>
      <x:c r="D187" s="10" t="str">
        <x:v>Pre Workouts</x:v>
      </x:c>
      <x:c r="E187" s="10" t="str">
        <x:v>Shots and Ready To Drink</x:v>
      </x:c>
      <x:c r="F187" s="10" t="str">
        <x:v>ABE pre-workout shots.</x:v>
      </x:c>
      <x:c r="G187" s="10" t="str">
        <x:v>12 x 60ml shots</x:v>
      </x:c>
      <x:c r="H187" s="10" t="str">
        <x:v>Blue Lagoon</x:v>
      </x:c>
      <x:c r="I187" s="10" t="str">
        <x:v>12</x:v>
      </x:c>
      <x:c r="J187" s="10" t="str">
        <x:v>Case</x:v>
      </x:c>
      <x:c r="K187" s="10" t="str">
        <x:v>In stock</x:v>
      </x:c>
      <x:c r="L187" s="10" t="str">
        <x:v>2026-09-08</x:v>
      </x:c>
      <x:c r="M187" s="10" t="str"/>
      <x:c r="N187" s="10" t="str"/>
      <x:c r="O187" s="10" t="str">
        <x:v>https://www.activesportstrade.co.uk/applied-nutrition-trade</x:v>
      </x:c>
      <x:c r="P187" s="10" t="str"/>
      <x:c r="S187" t="str">
        <x:v>Pending genuine supplier/brand image</x:v>
      </x:c>
      <x:c r="T187" s="54" t="n">
        <x:v>12</x:v>
      </x:c>
      <x:c r="U187" s="47" t="n">
        <x:v>0.2</x:v>
      </x:c>
      <x:c r="V187" s="54" t="n">
        <x:f>IF(ISNUMBER(T187),T187*(1+U187),"")</x:f>
        <x:v>14.399999999999999</x:v>
      </x:c>
      <x:c r="W187" s="47" t="n">
        <x:v>0.3</x:v>
      </x:c>
      <x:c r="X187" s="54" t="n">
        <x:f>IF(ISNUMBER(V187),V187/(1-W187),"")</x:f>
        <x:v>20.57142857142857</x:v>
      </x:c>
      <x:c r="Y187" s="55" t="n">
        <x:f>IF(ISNUMBER(X187),ROUNDUP(X187,0),"")</x:f>
        <x:v>21</x:v>
      </x:c>
      <x:c r="Z187" t="str">
        <x:f>IF(ISNUMBER(T187),"Cost captured","Awaiting trade cost")</x:f>
        <x:v>Cost captured</x:v>
      </x:c>
      <x:c r="AB187" s="36" t="n">
        <x:f>IF(ISNUMBER(Y187),ROUND(Y187*0.9,2),"")</x:f>
        <x:v>18.9</x:v>
      </x:c>
      <x:c r="AC187" s="36" t="n">
        <x:f>IF(ISNUMBER(AB187),ROUND(AB187-(AB187*0.015+0.2)-V187,2),"")</x:f>
        <x:v>4.02</x:v>
      </x:c>
      <x:c r="AD187" s="36" t="n">
        <x:f>IF(ISNUMBER(Y187),ROUND(Y187*0.8,2),"")</x:f>
        <x:v>16.8</x:v>
      </x:c>
      <x:c r="AE187" s="36" t="n">
        <x:f>IF(ISNUMBER(AD187),ROUND(AD187*0.015+0.2,2),"")</x:f>
        <x:v>0.45</x:v>
      </x:c>
      <x:c r="AF187" s="36" t="n">
        <x:f>IF(ISNUMBER(AD187),ROUND(AD187-AE187-V187,2),"")</x:f>
        <x:v>1.95</x:v>
      </x:c>
      <x:c r="AG187" t="str">
        <x:f>IF(NOT(ISNUMBER(T187)),"PENDING",IF(AF187&gt;0,"PASS","FAIL"))</x:f>
        <x:v>PASS</x:v>
      </x:c>
      <x:c r="AH187" t="str">
        <x:f>IF(NOT(ISNUMBER(T187)),"Needs supplier cost",IF(K187&lt;&gt;"In stock","Supplier unavailable",IF(AG187&lt;&gt;"PASS","BLOCK - GT loss risk","Commercially protected")))</x:f>
        <x:v>Commercially protected</x:v>
      </x:c>
      <x:c r="AI187" t="str">
        <x:v>2026-09-10 Active Sports trade capture</x:v>
      </x:c>
      <x:c r="AJ187" t="str">
        <x:v>Management-only economics. Stripe stress test uses 1.5% + £0.20 standard UK online-card fee; pallet/mix-and-match pricing ignored.</x:v>
      </x:c>
    </x:row>
    <x:row r="188">
      <x:c r="A188" s="10" t="str">
        <x:v>Active Sports Nutrition</x:v>
      </x:c>
      <x:c r="B188" s="10" t="str">
        <x:v>Applied Nutrition</x:v>
      </x:c>
      <x:c r="C188" s="10" t="str">
        <x:v>ABE Shots</x:v>
      </x:c>
      <x:c r="D188" s="10" t="str">
        <x:v>Pre Workouts</x:v>
      </x:c>
      <x:c r="E188" s="10" t="str">
        <x:v>Shots and Ready To Drink</x:v>
      </x:c>
      <x:c r="F188" s="10" t="str">
        <x:v>ABE pre-workout shots.</x:v>
      </x:c>
      <x:c r="G188" s="10" t="str">
        <x:v>12 x 60ml shots</x:v>
      </x:c>
      <x:c r="H188" s="10" t="str">
        <x:v>Cherry Cola</x:v>
      </x:c>
      <x:c r="I188" s="10" t="str">
        <x:v>12</x:v>
      </x:c>
      <x:c r="J188" s="10" t="str">
        <x:v>Case</x:v>
      </x:c>
      <x:c r="K188" s="10" t="str">
        <x:v>In stock</x:v>
      </x:c>
      <x:c r="L188" s="10" t="str">
        <x:v>2026-09-08</x:v>
      </x:c>
      <x:c r="M188" s="10" t="str"/>
      <x:c r="N188" s="10" t="str"/>
      <x:c r="O188" s="10" t="str">
        <x:v>https://www.activesportstrade.co.uk/applied-nutrition-trade</x:v>
      </x:c>
      <x:c r="P188" s="10" t="str"/>
      <x:c r="S188" t="str">
        <x:v>Pending genuine supplier/brand image</x:v>
      </x:c>
      <x:c r="T188" s="54" t="n">
        <x:v>12</x:v>
      </x:c>
      <x:c r="U188" s="47" t="n">
        <x:v>0.2</x:v>
      </x:c>
      <x:c r="V188" s="54" t="n">
        <x:f>IF(ISNUMBER(T188),T188*(1+U188),"")</x:f>
        <x:v>14.399999999999999</x:v>
      </x:c>
      <x:c r="W188" s="47" t="n">
        <x:v>0.3</x:v>
      </x:c>
      <x:c r="X188" s="54" t="n">
        <x:f>IF(ISNUMBER(V188),V188/(1-W188),"")</x:f>
        <x:v>20.57142857142857</x:v>
      </x:c>
      <x:c r="Y188" s="55" t="n">
        <x:f>IF(ISNUMBER(X188),ROUNDUP(X188,0),"")</x:f>
        <x:v>21</x:v>
      </x:c>
      <x:c r="Z188" t="str">
        <x:f>IF(ISNUMBER(T188),"Cost captured","Awaiting trade cost")</x:f>
        <x:v>Cost captured</x:v>
      </x:c>
      <x:c r="AB188" s="36" t="n">
        <x:f>IF(ISNUMBER(Y188),ROUND(Y188*0.9,2),"")</x:f>
        <x:v>18.9</x:v>
      </x:c>
      <x:c r="AC188" s="36" t="n">
        <x:f>IF(ISNUMBER(AB188),ROUND(AB188-(AB188*0.015+0.2)-V188,2),"")</x:f>
        <x:v>4.02</x:v>
      </x:c>
      <x:c r="AD188" s="36" t="n">
        <x:f>IF(ISNUMBER(Y188),ROUND(Y188*0.8,2),"")</x:f>
        <x:v>16.8</x:v>
      </x:c>
      <x:c r="AE188" s="36" t="n">
        <x:f>IF(ISNUMBER(AD188),ROUND(AD188*0.015+0.2,2),"")</x:f>
        <x:v>0.45</x:v>
      </x:c>
      <x:c r="AF188" s="36" t="n">
        <x:f>IF(ISNUMBER(AD188),ROUND(AD188-AE188-V188,2),"")</x:f>
        <x:v>1.95</x:v>
      </x:c>
      <x:c r="AG188" t="str">
        <x:f>IF(NOT(ISNUMBER(T188)),"PENDING",IF(AF188&gt;0,"PASS","FAIL"))</x:f>
        <x:v>PASS</x:v>
      </x:c>
      <x:c r="AH188" t="str">
        <x:f>IF(NOT(ISNUMBER(T188)),"Needs supplier cost",IF(K188&lt;&gt;"In stock","Supplier unavailable",IF(AG188&lt;&gt;"PASS","BLOCK - GT loss risk","Commercially protected")))</x:f>
        <x:v>Commercially protected</x:v>
      </x:c>
      <x:c r="AI188" t="str">
        <x:v>2026-09-10 Active Sports trade capture</x:v>
      </x:c>
      <x:c r="AJ188" t="str">
        <x:v>Management-only economics. Stripe stress test uses 1.5% + £0.20 standard UK online-card fee; pallet/mix-and-match pricing ignored.</x:v>
      </x:c>
    </x:row>
    <x:row r="189">
      <x:c r="A189" s="10" t="str">
        <x:v>Active Sports Nutrition</x:v>
      </x:c>
      <x:c r="B189" s="10" t="str">
        <x:v>Applied Nutrition</x:v>
      </x:c>
      <x:c r="C189" s="10" t="str">
        <x:v>ABE Shots</x:v>
      </x:c>
      <x:c r="D189" s="10" t="str">
        <x:v>Pre Workouts</x:v>
      </x:c>
      <x:c r="E189" s="10" t="str">
        <x:v>Shots and Ready To Drink</x:v>
      </x:c>
      <x:c r="F189" s="10" t="str">
        <x:v>ABE pre-workout shots.</x:v>
      </x:c>
      <x:c r="G189" s="10" t="str">
        <x:v>12 x 60ml shots</x:v>
      </x:c>
      <x:c r="H189" s="10" t="str">
        <x:v>Energy Flavour</x:v>
      </x:c>
      <x:c r="I189" s="10" t="str">
        <x:v>12</x:v>
      </x:c>
      <x:c r="J189" s="10" t="str">
        <x:v>Case</x:v>
      </x:c>
      <x:c r="K189" s="10" t="str">
        <x:v>In stock</x:v>
      </x:c>
      <x:c r="L189" s="10" t="str">
        <x:v>2026-09-08</x:v>
      </x:c>
      <x:c r="M189" s="10" t="str"/>
      <x:c r="N189" s="10" t="str"/>
      <x:c r="O189" s="10" t="str">
        <x:v>https://www.activesportstrade.co.uk/applied-nutrition-trade</x:v>
      </x:c>
      <x:c r="P189" s="10" t="str"/>
      <x:c r="S189" t="str">
        <x:v>Pending genuine supplier/brand image</x:v>
      </x:c>
      <x:c r="T189" s="54" t="n">
        <x:v>12</x:v>
      </x:c>
      <x:c r="U189" s="47" t="n">
        <x:v>0.2</x:v>
      </x:c>
      <x:c r="V189" s="54" t="n">
        <x:f>IF(ISNUMBER(T189),T189*(1+U189),"")</x:f>
        <x:v>14.399999999999999</x:v>
      </x:c>
      <x:c r="W189" s="47" t="n">
        <x:v>0.3</x:v>
      </x:c>
      <x:c r="X189" s="54" t="n">
        <x:f>IF(ISNUMBER(V189),V189/(1-W189),"")</x:f>
        <x:v>20.57142857142857</x:v>
      </x:c>
      <x:c r="Y189" s="55" t="n">
        <x:f>IF(ISNUMBER(X189),ROUNDUP(X189,0),"")</x:f>
        <x:v>21</x:v>
      </x:c>
      <x:c r="Z189" t="str">
        <x:f>IF(ISNUMBER(T189),"Cost captured","Awaiting trade cost")</x:f>
        <x:v>Cost captured</x:v>
      </x:c>
      <x:c r="AB189" s="36" t="n">
        <x:f>IF(ISNUMBER(Y189),ROUND(Y189*0.9,2),"")</x:f>
        <x:v>18.9</x:v>
      </x:c>
      <x:c r="AC189" s="36" t="n">
        <x:f>IF(ISNUMBER(AB189),ROUND(AB189-(AB189*0.015+0.2)-V189,2),"")</x:f>
        <x:v>4.02</x:v>
      </x:c>
      <x:c r="AD189" s="36" t="n">
        <x:f>IF(ISNUMBER(Y189),ROUND(Y189*0.8,2),"")</x:f>
        <x:v>16.8</x:v>
      </x:c>
      <x:c r="AE189" s="36" t="n">
        <x:f>IF(ISNUMBER(AD189),ROUND(AD189*0.015+0.2,2),"")</x:f>
        <x:v>0.45</x:v>
      </x:c>
      <x:c r="AF189" s="36" t="n">
        <x:f>IF(ISNUMBER(AD189),ROUND(AD189-AE189-V189,2),"")</x:f>
        <x:v>1.95</x:v>
      </x:c>
      <x:c r="AG189" t="str">
        <x:f>IF(NOT(ISNUMBER(T189)),"PENDING",IF(AF189&gt;0,"PASS","FAIL"))</x:f>
        <x:v>PASS</x:v>
      </x:c>
      <x:c r="AH189" t="str">
        <x:f>IF(NOT(ISNUMBER(T189)),"Needs supplier cost",IF(K189&lt;&gt;"In stock","Supplier unavailable",IF(AG189&lt;&gt;"PASS","BLOCK - GT loss risk","Commercially protected")))</x:f>
        <x:v>Commercially protected</x:v>
      </x:c>
      <x:c r="AI189" t="str">
        <x:v>2026-09-10 Active Sports trade capture</x:v>
      </x:c>
      <x:c r="AJ189" t="str">
        <x:v>Management-only economics. Stripe stress test uses 1.5% + £0.20 standard UK online-card fee; pallet/mix-and-match pricing ignored.</x:v>
      </x:c>
    </x:row>
    <x:row r="190">
      <x:c r="A190" s="10" t="str">
        <x:v>Active Sports Nutrition</x:v>
      </x:c>
      <x:c r="B190" s="10" t="str">
        <x:v>Applied Nutrition</x:v>
      </x:c>
      <x:c r="C190" s="10" t="str">
        <x:v>ABE Shots</x:v>
      </x:c>
      <x:c r="D190" s="10" t="str">
        <x:v>Pre Workouts</x:v>
      </x:c>
      <x:c r="E190" s="10" t="str">
        <x:v>Shots and Ready To Drink</x:v>
      </x:c>
      <x:c r="F190" s="10" t="str">
        <x:v>ABE pre-workout shots.</x:v>
      </x:c>
      <x:c r="G190" s="10" t="str">
        <x:v>12 x 60ml shots</x:v>
      </x:c>
      <x:c r="H190" s="10" t="str">
        <x:v>Fruit Candy</x:v>
      </x:c>
      <x:c r="I190" s="10" t="str">
        <x:v>12</x:v>
      </x:c>
      <x:c r="J190" s="10" t="str">
        <x:v>Case</x:v>
      </x:c>
      <x:c r="K190" s="10" t="str">
        <x:v>In stock</x:v>
      </x:c>
      <x:c r="L190" s="10" t="str">
        <x:v>2026-09-08</x:v>
      </x:c>
      <x:c r="M190" s="10" t="str"/>
      <x:c r="N190" s="10" t="str"/>
      <x:c r="O190" s="10" t="str">
        <x:v>https://www.activesportstrade.co.uk/applied-nutrition-trade</x:v>
      </x:c>
      <x:c r="P190" s="10" t="str"/>
      <x:c r="S190" t="str">
        <x:v>Pending genuine supplier/brand image</x:v>
      </x:c>
      <x:c r="T190" s="54" t="n">
        <x:v>12</x:v>
      </x:c>
      <x:c r="U190" s="47" t="n">
        <x:v>0.2</x:v>
      </x:c>
      <x:c r="V190" s="54" t="n">
        <x:f>IF(ISNUMBER(T190),T190*(1+U190),"")</x:f>
        <x:v>14.399999999999999</x:v>
      </x:c>
      <x:c r="W190" s="47" t="n">
        <x:v>0.3</x:v>
      </x:c>
      <x:c r="X190" s="54" t="n">
        <x:f>IF(ISNUMBER(V190),V190/(1-W190),"")</x:f>
        <x:v>20.57142857142857</x:v>
      </x:c>
      <x:c r="Y190" s="55" t="n">
        <x:f>IF(ISNUMBER(X190),ROUNDUP(X190,0),"")</x:f>
        <x:v>21</x:v>
      </x:c>
      <x:c r="Z190" t="str">
        <x:f>IF(ISNUMBER(T190),"Cost captured","Awaiting trade cost")</x:f>
        <x:v>Cost captured</x:v>
      </x:c>
      <x:c r="AB190" s="36" t="n">
        <x:f>IF(ISNUMBER(Y190),ROUND(Y190*0.9,2),"")</x:f>
        <x:v>18.9</x:v>
      </x:c>
      <x:c r="AC190" s="36" t="n">
        <x:f>IF(ISNUMBER(AB190),ROUND(AB190-(AB190*0.015+0.2)-V190,2),"")</x:f>
        <x:v>4.02</x:v>
      </x:c>
      <x:c r="AD190" s="36" t="n">
        <x:f>IF(ISNUMBER(Y190),ROUND(Y190*0.8,2),"")</x:f>
        <x:v>16.8</x:v>
      </x:c>
      <x:c r="AE190" s="36" t="n">
        <x:f>IF(ISNUMBER(AD190),ROUND(AD190*0.015+0.2,2),"")</x:f>
        <x:v>0.45</x:v>
      </x:c>
      <x:c r="AF190" s="36" t="n">
        <x:f>IF(ISNUMBER(AD190),ROUND(AD190-AE190-V190,2),"")</x:f>
        <x:v>1.95</x:v>
      </x:c>
      <x:c r="AG190" t="str">
        <x:f>IF(NOT(ISNUMBER(T190)),"PENDING",IF(AF190&gt;0,"PASS","FAIL"))</x:f>
        <x:v>PASS</x:v>
      </x:c>
      <x:c r="AH190" t="str">
        <x:f>IF(NOT(ISNUMBER(T190)),"Needs supplier cost",IF(K190&lt;&gt;"In stock","Supplier unavailable",IF(AG190&lt;&gt;"PASS","BLOCK - GT loss risk","Commercially protected")))</x:f>
        <x:v>Commercially protected</x:v>
      </x:c>
      <x:c r="AI190" t="str">
        <x:v>2026-09-10 Active Sports trade capture</x:v>
      </x:c>
      <x:c r="AJ190" t="str">
        <x:v>Management-only economics. Stripe stress test uses 1.5% + £0.20 standard UK online-card fee; pallet/mix-and-match pricing ignored.</x:v>
      </x:c>
    </x:row>
    <x:row r="191">
      <x:c r="A191" s="10" t="str">
        <x:v>Active Sports Nutrition</x:v>
      </x:c>
      <x:c r="B191" s="10" t="str">
        <x:v>Applied Nutrition</x:v>
      </x:c>
      <x:c r="C191" s="10" t="str">
        <x:v>ABE Pump Shots</x:v>
      </x:c>
      <x:c r="D191" s="10" t="str">
        <x:v>Pre Workouts</x:v>
      </x:c>
      <x:c r="E191" s="10" t="str">
        <x:v>Shots and Ready To Drink</x:v>
      </x:c>
      <x:c r="F191" s="10" t="str">
        <x:v>Stimulant-free ABE pump shots.</x:v>
      </x:c>
      <x:c r="G191" s="10" t="str">
        <x:v>12 x 100ml shots</x:v>
      </x:c>
      <x:c r="H191" s="10" t="str">
        <x:v>Cherry Cola</x:v>
      </x:c>
      <x:c r="I191" s="10" t="str">
        <x:v>12</x:v>
      </x:c>
      <x:c r="J191" s="10" t="str">
        <x:v>Case</x:v>
      </x:c>
      <x:c r="K191" s="10" t="str">
        <x:v>In stock</x:v>
      </x:c>
      <x:c r="L191" s="10" t="str">
        <x:v>2026-09-08</x:v>
      </x:c>
      <x:c r="M191" s="10" t="str"/>
      <x:c r="N191" s="10" t="str"/>
      <x:c r="O191" s="10" t="str">
        <x:v>https://www.activesportstrade.co.uk/applied-nutrition-trade</x:v>
      </x:c>
      <x:c r="P191" s="10" t="str"/>
      <x:c r="S191" t="str">
        <x:v>Pending genuine supplier/brand image</x:v>
      </x:c>
      <x:c r="T191" s="54" t="n">
        <x:v>12.75</x:v>
      </x:c>
      <x:c r="U191" s="47" t="n">
        <x:v>0.2</x:v>
      </x:c>
      <x:c r="V191" s="54" t="n">
        <x:f>IF(ISNUMBER(T191),T191*(1+U191),"")</x:f>
        <x:v>15.299999999999999</x:v>
      </x:c>
      <x:c r="W191" s="47" t="n">
        <x:v>0.3</x:v>
      </x:c>
      <x:c r="X191" s="54" t="n">
        <x:f>IF(ISNUMBER(V191),V191/(1-W191),"")</x:f>
        <x:v>21.857142857142858</x:v>
      </x:c>
      <x:c r="Y191" s="55" t="n">
        <x:f>IF(ISNUMBER(X191),ROUNDUP(X191,0),"")</x:f>
        <x:v>22</x:v>
      </x:c>
      <x:c r="Z191" t="str">
        <x:f>IF(ISNUMBER(T191),"Cost captured","Awaiting trade cost")</x:f>
        <x:v>Cost captured</x:v>
      </x:c>
      <x:c r="AB191" s="36" t="n">
        <x:f>IF(ISNUMBER(Y191),ROUND(Y191*0.9,2),"")</x:f>
        <x:v>19.8</x:v>
      </x:c>
      <x:c r="AC191" s="36" t="n">
        <x:f>IF(ISNUMBER(AB191),ROUND(AB191-(AB191*0.015+0.2)-V191,2),"")</x:f>
        <x:v>4</x:v>
      </x:c>
      <x:c r="AD191" s="36" t="n">
        <x:f>IF(ISNUMBER(Y191),ROUND(Y191*0.8,2),"")</x:f>
        <x:v>17.6</x:v>
      </x:c>
      <x:c r="AE191" s="36" t="n">
        <x:f>IF(ISNUMBER(AD191),ROUND(AD191*0.015+0.2,2),"")</x:f>
        <x:v>0.46</x:v>
      </x:c>
      <x:c r="AF191" s="36" t="n">
        <x:f>IF(ISNUMBER(AD191),ROUND(AD191-AE191-V191,2),"")</x:f>
        <x:v>1.84</x:v>
      </x:c>
      <x:c r="AG191" t="str">
        <x:f>IF(NOT(ISNUMBER(T191)),"PENDING",IF(AF191&gt;0,"PASS","FAIL"))</x:f>
        <x:v>PASS</x:v>
      </x:c>
      <x:c r="AH191" t="str">
        <x:f>IF(NOT(ISNUMBER(T191)),"Needs supplier cost",IF(K191&lt;&gt;"In stock","Supplier unavailable",IF(AG191&lt;&gt;"PASS","BLOCK - GT loss risk","Commercially protected")))</x:f>
        <x:v>Commercially protected</x:v>
      </x:c>
      <x:c r="AI191" t="str">
        <x:v>2026-09-10 Active Sports trade capture</x:v>
      </x:c>
      <x:c r="AJ191" t="str">
        <x:v>Management-only economics. Stripe stress test uses 1.5% + £0.20 standard UK online-card fee; pallet/mix-and-match pricing ignored.</x:v>
      </x:c>
    </x:row>
    <x:row r="192">
      <x:c r="A192" s="10" t="str">
        <x:v>Active Sports Nutrition</x:v>
      </x:c>
      <x:c r="B192" s="10" t="str">
        <x:v>Applied Nutrition</x:v>
      </x:c>
      <x:c r="C192" s="10" t="str">
        <x:v>ABE Pump Shots</x:v>
      </x:c>
      <x:c r="D192" s="10" t="str">
        <x:v>Pre Workouts</x:v>
      </x:c>
      <x:c r="E192" s="10" t="str">
        <x:v>Shots and Ready To Drink</x:v>
      </x:c>
      <x:c r="F192" s="10" t="str">
        <x:v>Stimulant-free ABE pump shots.</x:v>
      </x:c>
      <x:c r="G192" s="10" t="str">
        <x:v>12 x 100ml shots</x:v>
      </x:c>
      <x:c r="H192" s="10" t="str">
        <x:v>Citrus Twist</x:v>
      </x:c>
      <x:c r="I192" s="10" t="str">
        <x:v>12</x:v>
      </x:c>
      <x:c r="J192" s="10" t="str">
        <x:v>Case</x:v>
      </x:c>
      <x:c r="K192" s="10" t="str">
        <x:v>In stock</x:v>
      </x:c>
      <x:c r="L192" s="10" t="str">
        <x:v>2026-09-08</x:v>
      </x:c>
      <x:c r="M192" s="10" t="str"/>
      <x:c r="N192" s="10" t="str"/>
      <x:c r="O192" s="10" t="str">
        <x:v>https://www.activesportstrade.co.uk/applied-nutrition-trade</x:v>
      </x:c>
      <x:c r="P192" s="10" t="str"/>
      <x:c r="S192" t="str">
        <x:v>Pending genuine supplier/brand image</x:v>
      </x:c>
      <x:c r="T192" s="54" t="n">
        <x:v>12.75</x:v>
      </x:c>
      <x:c r="U192" s="47" t="n">
        <x:v>0.2</x:v>
      </x:c>
      <x:c r="V192" s="54" t="n">
        <x:f>IF(ISNUMBER(T192),T192*(1+U192),"")</x:f>
        <x:v>15.299999999999999</x:v>
      </x:c>
      <x:c r="W192" s="47" t="n">
        <x:v>0.3</x:v>
      </x:c>
      <x:c r="X192" s="54" t="n">
        <x:f>IF(ISNUMBER(V192),V192/(1-W192),"")</x:f>
        <x:v>21.857142857142858</x:v>
      </x:c>
      <x:c r="Y192" s="55" t="n">
        <x:f>IF(ISNUMBER(X192),ROUNDUP(X192,0),"")</x:f>
        <x:v>22</x:v>
      </x:c>
      <x:c r="Z192" t="str">
        <x:f>IF(ISNUMBER(T192),"Cost captured","Awaiting trade cost")</x:f>
        <x:v>Cost captured</x:v>
      </x:c>
      <x:c r="AB192" s="36" t="n">
        <x:f>IF(ISNUMBER(Y192),ROUND(Y192*0.9,2),"")</x:f>
        <x:v>19.8</x:v>
      </x:c>
      <x:c r="AC192" s="36" t="n">
        <x:f>IF(ISNUMBER(AB192),ROUND(AB192-(AB192*0.015+0.2)-V192,2),"")</x:f>
        <x:v>4</x:v>
      </x:c>
      <x:c r="AD192" s="36" t="n">
        <x:f>IF(ISNUMBER(Y192),ROUND(Y192*0.8,2),"")</x:f>
        <x:v>17.6</x:v>
      </x:c>
      <x:c r="AE192" s="36" t="n">
        <x:f>IF(ISNUMBER(AD192),ROUND(AD192*0.015+0.2,2),"")</x:f>
        <x:v>0.46</x:v>
      </x:c>
      <x:c r="AF192" s="36" t="n">
        <x:f>IF(ISNUMBER(AD192),ROUND(AD192-AE192-V192,2),"")</x:f>
        <x:v>1.84</x:v>
      </x:c>
      <x:c r="AG192" t="str">
        <x:f>IF(NOT(ISNUMBER(T192)),"PENDING",IF(AF192&gt;0,"PASS","FAIL"))</x:f>
        <x:v>PASS</x:v>
      </x:c>
      <x:c r="AH192" t="str">
        <x:f>IF(NOT(ISNUMBER(T192)),"Needs supplier cost",IF(K192&lt;&gt;"In stock","Supplier unavailable",IF(AG192&lt;&gt;"PASS","BLOCK - GT loss risk","Commercially protected")))</x:f>
        <x:v>Commercially protected</x:v>
      </x:c>
      <x:c r="AI192" t="str">
        <x:v>2026-09-10 Active Sports trade capture</x:v>
      </x:c>
      <x:c r="AJ192" t="str">
        <x:v>Management-only economics. Stripe stress test uses 1.5% + £0.20 standard UK online-card fee; pallet/mix-and-match pricing ignored.</x:v>
      </x:c>
    </x:row>
    <x:row r="193">
      <x:c r="A193" s="10" t="str">
        <x:v>Active Sports Nutrition</x:v>
      </x:c>
      <x:c r="B193" s="10" t="str">
        <x:v>Applied Nutrition</x:v>
      </x:c>
      <x:c r="C193" s="10" t="str">
        <x:v>ABE Pump Shots</x:v>
      </x:c>
      <x:c r="D193" s="10" t="str">
        <x:v>Pre Workouts</x:v>
      </x:c>
      <x:c r="E193" s="10" t="str">
        <x:v>Shots and Ready To Drink</x:v>
      </x:c>
      <x:c r="F193" s="10" t="str">
        <x:v>Stimulant-free ABE pump shots.</x:v>
      </x:c>
      <x:c r="G193" s="10" t="str">
        <x:v>12 x 100ml shots</x:v>
      </x:c>
      <x:c r="H193" s="10" t="str">
        <x:v>Strawberry Lime</x:v>
      </x:c>
      <x:c r="I193" s="10" t="str">
        <x:v>12</x:v>
      </x:c>
      <x:c r="J193" s="10" t="str">
        <x:v>Case</x:v>
      </x:c>
      <x:c r="K193" s="10" t="str">
        <x:v>In stock</x:v>
      </x:c>
      <x:c r="L193" s="10" t="str">
        <x:v>2026-09-08</x:v>
      </x:c>
      <x:c r="M193" s="10" t="str"/>
      <x:c r="N193" s="10" t="str"/>
      <x:c r="O193" s="10" t="str">
        <x:v>https://www.activesportstrade.co.uk/applied-nutrition-trade</x:v>
      </x:c>
      <x:c r="P193" s="10" t="str"/>
      <x:c r="S193" t="str">
        <x:v>Pending genuine supplier/brand image</x:v>
      </x:c>
      <x:c r="T193" s="54" t="n">
        <x:v>12.75</x:v>
      </x:c>
      <x:c r="U193" s="47" t="n">
        <x:v>0.2</x:v>
      </x:c>
      <x:c r="V193" s="54" t="n">
        <x:f>IF(ISNUMBER(T193),T193*(1+U193),"")</x:f>
        <x:v>15.299999999999999</x:v>
      </x:c>
      <x:c r="W193" s="47" t="n">
        <x:v>0.3</x:v>
      </x:c>
      <x:c r="X193" s="54" t="n">
        <x:f>IF(ISNUMBER(V193),V193/(1-W193),"")</x:f>
        <x:v>21.857142857142858</x:v>
      </x:c>
      <x:c r="Y193" s="55" t="n">
        <x:f>IF(ISNUMBER(X193),ROUNDUP(X193,0),"")</x:f>
        <x:v>22</x:v>
      </x:c>
      <x:c r="Z193" t="str">
        <x:f>IF(ISNUMBER(T193),"Cost captured","Awaiting trade cost")</x:f>
        <x:v>Cost captured</x:v>
      </x:c>
      <x:c r="AB193" s="36" t="n">
        <x:f>IF(ISNUMBER(Y193),ROUND(Y193*0.9,2),"")</x:f>
        <x:v>19.8</x:v>
      </x:c>
      <x:c r="AC193" s="36" t="n">
        <x:f>IF(ISNUMBER(AB193),ROUND(AB193-(AB193*0.015+0.2)-V193,2),"")</x:f>
        <x:v>4</x:v>
      </x:c>
      <x:c r="AD193" s="36" t="n">
        <x:f>IF(ISNUMBER(Y193),ROUND(Y193*0.8,2),"")</x:f>
        <x:v>17.6</x:v>
      </x:c>
      <x:c r="AE193" s="36" t="n">
        <x:f>IF(ISNUMBER(AD193),ROUND(AD193*0.015+0.2,2),"")</x:f>
        <x:v>0.46</x:v>
      </x:c>
      <x:c r="AF193" s="36" t="n">
        <x:f>IF(ISNUMBER(AD193),ROUND(AD193-AE193-V193,2),"")</x:f>
        <x:v>1.84</x:v>
      </x:c>
      <x:c r="AG193" t="str">
        <x:f>IF(NOT(ISNUMBER(T193)),"PENDING",IF(AF193&gt;0,"PASS","FAIL"))</x:f>
        <x:v>PASS</x:v>
      </x:c>
      <x:c r="AH193" t="str">
        <x:f>IF(NOT(ISNUMBER(T193)),"Needs supplier cost",IF(K193&lt;&gt;"In stock","Supplier unavailable",IF(AG193&lt;&gt;"PASS","BLOCK - GT loss risk","Commercially protected")))</x:f>
        <x:v>Commercially protected</x:v>
      </x:c>
      <x:c r="AI193" t="str">
        <x:v>2026-09-10 Active Sports trade capture</x:v>
      </x:c>
      <x:c r="AJ193" t="str">
        <x:v>Management-only economics. Stripe stress test uses 1.5% + £0.20 standard UK online-card fee; pallet/mix-and-match pricing ignored.</x:v>
      </x:c>
    </x:row>
    <x:row r="194">
      <x:c r="A194" s="10" t="str">
        <x:v>Active Sports Nutrition</x:v>
      </x:c>
      <x:c r="B194" s="10" t="str">
        <x:v>Applied Nutrition</x:v>
      </x:c>
      <x:c r="C194" s="10" t="str">
        <x:v>Beef-XP RTD</x:v>
      </x:c>
      <x:c r="D194" s="10" t="str">
        <x:v>Drinks and Bars</x:v>
      </x:c>
      <x:c r="E194" s="10" t="str">
        <x:v>Ready to Drink Protein</x:v>
      </x:c>
      <x:c r="F194" s="10" t="str">
        <x:v>Refreshing beef-protein drink with 30g protein per can.</x:v>
      </x:c>
      <x:c r="G194" s="10" t="str">
        <x:v>12 x 500ml cans</x:v>
      </x:c>
      <x:c r="H194" s="10" t="str">
        <x:v>Cherry Slushie</x:v>
      </x:c>
      <x:c r="I194" s="10" t="str">
        <x:v>12</x:v>
      </x:c>
      <x:c r="J194" s="10" t="str">
        <x:v>Case</x:v>
      </x:c>
      <x:c r="K194" s="10" t="str">
        <x:v>In stock</x:v>
      </x:c>
      <x:c r="L194" s="10" t="str">
        <x:v>2026-09-08</x:v>
      </x:c>
      <x:c r="M194" s="10" t="str"/>
      <x:c r="N194" s="10" t="str"/>
      <x:c r="O194" s="10" t="str">
        <x:v>https://www.activesportstrade.co.uk/applied-nutrition-trade</x:v>
      </x:c>
      <x:c r="P194" s="10" t="str">
        <x:v>Case-only member order. Buy-4-get-1-free supplier promo ignored.</x:v>
      </x:c>
      <x:c r="S194" t="str">
        <x:v>Pending genuine supplier/brand image</x:v>
      </x:c>
      <x:c r="T194" s="54"/>
      <x:c r="U194" s="47" t="n">
        <x:v>0.2</x:v>
      </x:c>
      <x:c r="V194" s="54" t="str">
        <x:f>IF(ISNUMBER(T194),T194*(1+U194),"")</x:f>
      </x:c>
      <x:c r="W194" s="47" t="n">
        <x:v>0.3</x:v>
      </x:c>
      <x:c r="X194" s="54" t="str">
        <x:f>IF(ISNUMBER(V194),V194/(1-W194),"")</x:f>
      </x:c>
      <x:c r="Y194" s="55" t="str">
        <x:f>IF(ISNUMBER(X194),ROUNDUP(X194,0),"")</x:f>
      </x:c>
      <x:c r="Z194" t="str">
        <x:f>IF(ISNUMBER(T194),"Cost captured","Awaiting trade cost")</x:f>
        <x:v>Awaiting trade cost</x:v>
      </x:c>
      <x:c r="AB194" s="36" t="str">
        <x:f>IF(ISNUMBER(Y194),ROUND(Y194*0.9,2),"")</x:f>
      </x:c>
      <x:c r="AC194" s="36" t="str">
        <x:f>IF(ISNUMBER(AB194),ROUND(AB194-(AB194*0.015+0.2)-V194,2),"")</x:f>
      </x:c>
      <x:c r="AD194" s="36" t="str">
        <x:f>IF(ISNUMBER(Y194),ROUND(Y194*0.8,2),"")</x:f>
      </x:c>
      <x:c r="AE194" s="36" t="str">
        <x:f>IF(ISNUMBER(AD194),ROUND(AD194*0.015+0.2,2),"")</x:f>
      </x:c>
      <x:c r="AF194" s="36" t="str">
        <x:f>IF(ISNUMBER(AD194),ROUND(AD194-AE194-V194,2),"")</x:f>
      </x:c>
      <x:c r="AG194" t="str">
        <x:f>IF(NOT(ISNUMBER(T194)),"PENDING",IF(AF194&gt;0,"PASS","FAIL"))</x:f>
        <x:v>PENDING</x:v>
      </x:c>
      <x:c r="AH194" t="str">
        <x:f>IF(NOT(ISNUMBER(T194)),"Needs supplier cost",IF(K194&lt;&gt;"In stock","Supplier unavailable",IF(AG194&lt;&gt;"PASS","BLOCK - GT loss risk","Commercially protected")))</x:f>
        <x:v>Needs supplier cost</x:v>
      </x:c>
      <x:c r="AI194" t="str">
        <x:v>2026-09-10 Active Sports trade capture</x:v>
      </x:c>
      <x:c r="AJ194" t="str">
        <x:v>Management-only economics. Stripe stress test uses 1.5% + £0.20 standard UK online-card fee; pallet/mix-and-match pricing ignored.</x:v>
      </x:c>
    </x:row>
    <x:row r="195">
      <x:c r="A195" s="10" t="str">
        <x:v>Active Sports Nutrition</x:v>
      </x:c>
      <x:c r="B195" s="10" t="str">
        <x:v>Applied Nutrition</x:v>
      </x:c>
      <x:c r="C195" s="10" t="str">
        <x:v>Beef-XP RTD</x:v>
      </x:c>
      <x:c r="D195" s="10" t="str">
        <x:v>Drinks and Bars</x:v>
      </x:c>
      <x:c r="E195" s="10" t="str">
        <x:v>Ready to Drink Protein</x:v>
      </x:c>
      <x:c r="F195" s="10" t="str">
        <x:v>Refreshing beef-protein drink with 30g protein per can.</x:v>
      </x:c>
      <x:c r="G195" s="10" t="str">
        <x:v>12 x 500ml cans</x:v>
      </x:c>
      <x:c r="H195" s="10" t="str">
        <x:v>Millions Cola</x:v>
      </x:c>
      <x:c r="I195" s="10" t="str">
        <x:v>12</x:v>
      </x:c>
      <x:c r="J195" s="10" t="str">
        <x:v>Case</x:v>
      </x:c>
      <x:c r="K195" s="10" t="str">
        <x:v>In stock</x:v>
      </x:c>
      <x:c r="L195" s="10" t="str">
        <x:v>2026-09-08</x:v>
      </x:c>
      <x:c r="M195" s="10" t="str"/>
      <x:c r="N195" s="10" t="str"/>
      <x:c r="O195" s="10" t="str">
        <x:v>https://www.activesportstrade.co.uk/applied-nutrition-trade</x:v>
      </x:c>
      <x:c r="P195" s="10" t="str">
        <x:v>Case-only member order. Buy-4-get-1-free supplier promo ignored.</x:v>
      </x:c>
      <x:c r="S195" t="str">
        <x:v>Pending genuine supplier/brand image</x:v>
      </x:c>
      <x:c r="T195" s="54"/>
      <x:c r="U195" s="47" t="n">
        <x:v>0.2</x:v>
      </x:c>
      <x:c r="V195" s="54" t="str">
        <x:f>IF(ISNUMBER(T195),T195*(1+U195),"")</x:f>
      </x:c>
      <x:c r="W195" s="47" t="n">
        <x:v>0.3</x:v>
      </x:c>
      <x:c r="X195" s="54" t="str">
        <x:f>IF(ISNUMBER(V195),V195/(1-W195),"")</x:f>
      </x:c>
      <x:c r="Y195" s="55" t="str">
        <x:f>IF(ISNUMBER(X195),ROUNDUP(X195,0),"")</x:f>
      </x:c>
      <x:c r="Z195" t="str">
        <x:f>IF(ISNUMBER(T195),"Cost captured","Awaiting trade cost")</x:f>
        <x:v>Awaiting trade cost</x:v>
      </x:c>
      <x:c r="AB195" s="36" t="str">
        <x:f>IF(ISNUMBER(Y195),ROUND(Y195*0.9,2),"")</x:f>
      </x:c>
      <x:c r="AC195" s="36" t="str">
        <x:f>IF(ISNUMBER(AB195),ROUND(AB195-(AB195*0.015+0.2)-V195,2),"")</x:f>
      </x:c>
      <x:c r="AD195" s="36" t="str">
        <x:f>IF(ISNUMBER(Y195),ROUND(Y195*0.8,2),"")</x:f>
      </x:c>
      <x:c r="AE195" s="36" t="str">
        <x:f>IF(ISNUMBER(AD195),ROUND(AD195*0.015+0.2,2),"")</x:f>
      </x:c>
      <x:c r="AF195" s="36" t="str">
        <x:f>IF(ISNUMBER(AD195),ROUND(AD195-AE195-V195,2),"")</x:f>
      </x:c>
      <x:c r="AG195" t="str">
        <x:f>IF(NOT(ISNUMBER(T195)),"PENDING",IF(AF195&gt;0,"PASS","FAIL"))</x:f>
        <x:v>PENDING</x:v>
      </x:c>
      <x:c r="AH195" t="str">
        <x:f>IF(NOT(ISNUMBER(T195)),"Needs supplier cost",IF(K195&lt;&gt;"In stock","Supplier unavailable",IF(AG195&lt;&gt;"PASS","BLOCK - GT loss risk","Commercially protected")))</x:f>
        <x:v>Needs supplier cost</x:v>
      </x:c>
      <x:c r="AI195" t="str">
        <x:v>2026-09-10 Active Sports trade capture</x:v>
      </x:c>
      <x:c r="AJ195" t="str">
        <x:v>Management-only economics. Stripe stress test uses 1.5% + £0.20 standard UK online-card fee; pallet/mix-and-match pricing ignored.</x:v>
      </x:c>
    </x:row>
    <x:row r="196">
      <x:c r="A196" s="10" t="str">
        <x:v>Active Sports Nutrition</x:v>
      </x:c>
      <x:c r="B196" s="10" t="str">
        <x:v>Applied Nutrition</x:v>
      </x:c>
      <x:c r="C196" s="10" t="str">
        <x:v>Beef-XP RTD</x:v>
      </x:c>
      <x:c r="D196" s="10" t="str">
        <x:v>Drinks and Bars</x:v>
      </x:c>
      <x:c r="E196" s="10" t="str">
        <x:v>Ready to Drink Protein</x:v>
      </x:c>
      <x:c r="F196" s="10" t="str">
        <x:v>Refreshing beef-protein drink with 30g protein per can.</x:v>
      </x:c>
      <x:c r="G196" s="10" t="str">
        <x:v>12 x 500ml cans</x:v>
      </x:c>
      <x:c r="H196" s="10" t="str">
        <x:v>Millions Pineapple</x:v>
      </x:c>
      <x:c r="I196" s="10" t="str">
        <x:v>12</x:v>
      </x:c>
      <x:c r="J196" s="10" t="str">
        <x:v>Case</x:v>
      </x:c>
      <x:c r="K196" s="10" t="str">
        <x:v>In stock</x:v>
      </x:c>
      <x:c r="L196" s="10" t="str">
        <x:v>2026-09-08</x:v>
      </x:c>
      <x:c r="M196" s="10" t="str"/>
      <x:c r="N196" s="10" t="str"/>
      <x:c r="O196" s="10" t="str">
        <x:v>https://www.activesportstrade.co.uk/applied-nutrition-trade</x:v>
      </x:c>
      <x:c r="P196" s="10" t="str">
        <x:v>Case-only member order. Buy-4-get-1-free supplier promo ignored.</x:v>
      </x:c>
      <x:c r="S196" t="str">
        <x:v>Pending genuine supplier/brand image</x:v>
      </x:c>
      <x:c r="T196" s="54"/>
      <x:c r="U196" s="47" t="n">
        <x:v>0.2</x:v>
      </x:c>
      <x:c r="V196" s="54" t="str">
        <x:f>IF(ISNUMBER(T196),T196*(1+U196),"")</x:f>
      </x:c>
      <x:c r="W196" s="47" t="n">
        <x:v>0.3</x:v>
      </x:c>
      <x:c r="X196" s="54" t="str">
        <x:f>IF(ISNUMBER(V196),V196/(1-W196),"")</x:f>
      </x:c>
      <x:c r="Y196" s="55" t="str">
        <x:f>IF(ISNUMBER(X196),ROUNDUP(X196,0),"")</x:f>
      </x:c>
      <x:c r="Z196" t="str">
        <x:f>IF(ISNUMBER(T196),"Cost captured","Awaiting trade cost")</x:f>
        <x:v>Awaiting trade cost</x:v>
      </x:c>
      <x:c r="AB196" s="36" t="str">
        <x:f>IF(ISNUMBER(Y196),ROUND(Y196*0.9,2),"")</x:f>
      </x:c>
      <x:c r="AC196" s="36" t="str">
        <x:f>IF(ISNUMBER(AB196),ROUND(AB196-(AB196*0.015+0.2)-V196,2),"")</x:f>
      </x:c>
      <x:c r="AD196" s="36" t="str">
        <x:f>IF(ISNUMBER(Y196),ROUND(Y196*0.8,2),"")</x:f>
      </x:c>
      <x:c r="AE196" s="36" t="str">
        <x:f>IF(ISNUMBER(AD196),ROUND(AD196*0.015+0.2,2),"")</x:f>
      </x:c>
      <x:c r="AF196" s="36" t="str">
        <x:f>IF(ISNUMBER(AD196),ROUND(AD196-AE196-V196,2),"")</x:f>
      </x:c>
      <x:c r="AG196" t="str">
        <x:f>IF(NOT(ISNUMBER(T196)),"PENDING",IF(AF196&gt;0,"PASS","FAIL"))</x:f>
        <x:v>PENDING</x:v>
      </x:c>
      <x:c r="AH196" t="str">
        <x:f>IF(NOT(ISNUMBER(T196)),"Needs supplier cost",IF(K196&lt;&gt;"In stock","Supplier unavailable",IF(AG196&lt;&gt;"PASS","BLOCK - GT loss risk","Commercially protected")))</x:f>
        <x:v>Needs supplier cost</x:v>
      </x:c>
      <x:c r="AI196" t="str">
        <x:v>2026-09-10 Active Sports trade capture</x:v>
      </x:c>
      <x:c r="AJ196" t="str">
        <x:v>Management-only economics. Stripe stress test uses 1.5% + £0.20 standard UK online-card fee; pallet/mix-and-match pricing ignored.</x:v>
      </x:c>
    </x:row>
    <x:row r="197">
      <x:c r="A197" s="10" t="str">
        <x:v>Active Sports Nutrition</x:v>
      </x:c>
      <x:c r="B197" s="10" t="str">
        <x:v>Applied Nutrition</x:v>
      </x:c>
      <x:c r="C197" s="10" t="str">
        <x:v>Beef-XP RTD</x:v>
      </x:c>
      <x:c r="D197" s="10" t="str">
        <x:v>Drinks and Bars</x:v>
      </x:c>
      <x:c r="E197" s="10" t="str">
        <x:v>Ready to Drink Protein</x:v>
      </x:c>
      <x:c r="F197" s="10" t="str">
        <x:v>Refreshing beef-protein drink with 30g protein per can.</x:v>
      </x:c>
      <x:c r="G197" s="10" t="str">
        <x:v>12 x 500ml cans</x:v>
      </x:c>
      <x:c r="H197" s="10" t="str">
        <x:v>Mixed Berry</x:v>
      </x:c>
      <x:c r="I197" s="10" t="str">
        <x:v>12</x:v>
      </x:c>
      <x:c r="J197" s="10" t="str">
        <x:v>Case</x:v>
      </x:c>
      <x:c r="K197" s="10" t="str">
        <x:v>In stock</x:v>
      </x:c>
      <x:c r="L197" s="10" t="str">
        <x:v>2026-09-08</x:v>
      </x:c>
      <x:c r="M197" s="10" t="str"/>
      <x:c r="N197" s="10" t="str"/>
      <x:c r="O197" s="10" t="str">
        <x:v>https://www.activesportstrade.co.uk/applied-nutrition-trade</x:v>
      </x:c>
      <x:c r="P197" s="10" t="str">
        <x:v>Case-only member order. Buy-4-get-1-free supplier promo ignored.</x:v>
      </x:c>
      <x:c r="S197" t="str">
        <x:v>Pending genuine supplier/brand image</x:v>
      </x:c>
      <x:c r="T197" s="54"/>
      <x:c r="U197" s="47" t="n">
        <x:v>0.2</x:v>
      </x:c>
      <x:c r="V197" s="54" t="str">
        <x:f>IF(ISNUMBER(T197),T197*(1+U197),"")</x:f>
      </x:c>
      <x:c r="W197" s="47" t="n">
        <x:v>0.3</x:v>
      </x:c>
      <x:c r="X197" s="54" t="str">
        <x:f>IF(ISNUMBER(V197),V197/(1-W197),"")</x:f>
      </x:c>
      <x:c r="Y197" s="55" t="str">
        <x:f>IF(ISNUMBER(X197),ROUNDUP(X197,0),"")</x:f>
      </x:c>
      <x:c r="Z197" t="str">
        <x:f>IF(ISNUMBER(T197),"Cost captured","Awaiting trade cost")</x:f>
        <x:v>Awaiting trade cost</x:v>
      </x:c>
      <x:c r="AB197" s="36" t="str">
        <x:f>IF(ISNUMBER(Y197),ROUND(Y197*0.9,2),"")</x:f>
      </x:c>
      <x:c r="AC197" s="36" t="str">
        <x:f>IF(ISNUMBER(AB197),ROUND(AB197-(AB197*0.015+0.2)-V197,2),"")</x:f>
      </x:c>
      <x:c r="AD197" s="36" t="str">
        <x:f>IF(ISNUMBER(Y197),ROUND(Y197*0.8,2),"")</x:f>
      </x:c>
      <x:c r="AE197" s="36" t="str">
        <x:f>IF(ISNUMBER(AD197),ROUND(AD197*0.015+0.2,2),"")</x:f>
      </x:c>
      <x:c r="AF197" s="36" t="str">
        <x:f>IF(ISNUMBER(AD197),ROUND(AD197-AE197-V197,2),"")</x:f>
      </x:c>
      <x:c r="AG197" t="str">
        <x:f>IF(NOT(ISNUMBER(T197)),"PENDING",IF(AF197&gt;0,"PASS","FAIL"))</x:f>
        <x:v>PENDING</x:v>
      </x:c>
      <x:c r="AH197" t="str">
        <x:f>IF(NOT(ISNUMBER(T197)),"Needs supplier cost",IF(K197&lt;&gt;"In stock","Supplier unavailable",IF(AG197&lt;&gt;"PASS","BLOCK - GT loss risk","Commercially protected")))</x:f>
        <x:v>Needs supplier cost</x:v>
      </x:c>
      <x:c r="AI197" t="str">
        <x:v>2026-09-10 Active Sports trade capture</x:v>
      </x:c>
      <x:c r="AJ197" t="str">
        <x:v>Management-only economics. Stripe stress test uses 1.5% + £0.20 standard UK online-card fee; pallet/mix-and-match pricing ignored.</x:v>
      </x:c>
    </x:row>
    <x:row r="198">
      <x:c r="A198" s="10" t="str">
        <x:v>Active Sports Nutrition</x:v>
      </x:c>
      <x:c r="B198" s="10" t="str">
        <x:v>Applied Nutrition</x:v>
      </x:c>
      <x:c r="C198" s="10" t="str">
        <x:v>Body Fuel Electrolyte Water</x:v>
      </x:c>
      <x:c r="D198" s="10" t="str">
        <x:v>Drinks and Bars</x:v>
      </x:c>
      <x:c r="E198" s="10" t="str">
        <x:v>Ready to Drink Hydration</x:v>
      </x:c>
      <x:c r="F198" s="10" t="str">
        <x:v>Electrolyte water.</x:v>
      </x:c>
      <x:c r="G198" s="10" t="str">
        <x:v>12 x 500ml bottles</x:v>
      </x:c>
      <x:c r="H198" s="10" t="str">
        <x:v>Icy Blue Raz</x:v>
      </x:c>
      <x:c r="I198" s="10" t="str">
        <x:v>12</x:v>
      </x:c>
      <x:c r="J198" s="10" t="str">
        <x:v>Case</x:v>
      </x:c>
      <x:c r="K198" s="10" t="str">
        <x:v>In stock</x:v>
      </x:c>
      <x:c r="L198" s="10" t="str">
        <x:v>2026-09-08</x:v>
      </x:c>
      <x:c r="M198" s="10" t="str"/>
      <x:c r="N198" s="10" t="str"/>
      <x:c r="O198" s="10" t="str">
        <x:v>https://www.activesportstrade.co.uk/applied-nutrition-trade</x:v>
      </x:c>
      <x:c r="P198" s="10" t="str"/>
      <x:c r="S198" t="str">
        <x:v>Pending genuine supplier/brand image</x:v>
      </x:c>
      <x:c r="T198" s="54" t="n">
        <x:v>9.99</x:v>
      </x:c>
      <x:c r="U198" s="47" t="n">
        <x:v>0.2</x:v>
      </x:c>
      <x:c r="V198" s="54" t="n">
        <x:f>IF(ISNUMBER(T198),T198*(1+U198),"")</x:f>
        <x:v>11.988</x:v>
      </x:c>
      <x:c r="W198" s="47" t="n">
        <x:v>0.3</x:v>
      </x:c>
      <x:c r="X198" s="54" t="n">
        <x:f>IF(ISNUMBER(V198),V198/(1-W198),"")</x:f>
        <x:v>17.125714285714285</x:v>
      </x:c>
      <x:c r="Y198" s="55" t="n">
        <x:f>IF(ISNUMBER(X198),ROUNDUP(X198,0),"")</x:f>
        <x:v>18</x:v>
      </x:c>
      <x:c r="Z198" t="str">
        <x:v>Source match pending</x:v>
      </x:c>
      <x:c r="AA198" t="str">
        <x:v>screencapture-www-activesportstrade-co-uk-applied-nutrition-trade-2026-09-10-08_59_59.pdf / page-04</x:v>
      </x:c>
      <x:c r="AB198" s="36" t="n">
        <x:f>IF(ISNUMBER(Y198),ROUND(Y198*0.9,2),"")</x:f>
        <x:v>16.2</x:v>
      </x:c>
      <x:c r="AC198" s="36" t="n">
        <x:f>IF(ISNUMBER(AB198),ROUND(AB198-(AB198*0.015+0.2)-V198,2),"")</x:f>
        <x:v>3.77</x:v>
      </x:c>
      <x:c r="AD198" s="36" t="n">
        <x:f>IF(ISNUMBER(Y198),ROUND(Y198*0.8,2),"")</x:f>
        <x:v>14.4</x:v>
      </x:c>
      <x:c r="AE198" s="36" t="n">
        <x:f>IF(ISNUMBER(AD198),ROUND(AD198*0.015+0.2,2),"")</x:f>
        <x:v>0.42</x:v>
      </x:c>
      <x:c r="AF198" s="36" t="n">
        <x:f>IF(ISNUMBER(AD198),ROUND(AD198-AE198-V198,2),"")</x:f>
        <x:v>1.99</x:v>
      </x:c>
      <x:c r="AG198" t="str">
        <x:f>IF(NOT(ISNUMBER(T198)),"PENDING",IF(AF198&gt;0,"PASS","FAIL"))</x:f>
        <x:v>PASS</x:v>
      </x:c>
      <x:c r="AH198" t="str">
        <x:f>IF(NOT(ISNUMBER(T198)),"Needs supplier cost",IF(K198&lt;&gt;"In stock","Supplier unavailable",IF(AG198&lt;&gt;"PASS","BLOCK - GT loss risk","Commercially protected")))</x:f>
        <x:v>Commercially protected</x:v>
      </x:c>
      <x:c r="AI198" t="str">
        <x:v>2026-09-10 Active Sports trade capture</x:v>
      </x:c>
      <x:c r="AJ198" t="str">
        <x:v>Management-only economics. Stripe stress test uses 1.5% + £0.20 standard UK online-card fee; pallet/mix-and-match pricing ignored.</x:v>
      </x:c>
    </x:row>
    <x:row r="199">
      <x:c r="A199" s="10" t="str">
        <x:v>Active Sports Nutrition</x:v>
      </x:c>
      <x:c r="B199" s="10" t="str">
        <x:v>Applied Nutrition</x:v>
      </x:c>
      <x:c r="C199" s="10" t="str">
        <x:v>Body Fuel Electrolyte Water</x:v>
      </x:c>
      <x:c r="D199" s="10" t="str">
        <x:v>Drinks and Bars</x:v>
      </x:c>
      <x:c r="E199" s="10" t="str">
        <x:v>Ready to Drink Hydration</x:v>
      </x:c>
      <x:c r="F199" s="10" t="str">
        <x:v>Electrolyte water.</x:v>
      </x:c>
      <x:c r="G199" s="10" t="str">
        <x:v>12 x 500ml bottles</x:v>
      </x:c>
      <x:c r="H199" s="10" t="str">
        <x:v>Lemon and Lime</x:v>
      </x:c>
      <x:c r="I199" s="10" t="str">
        <x:v>12</x:v>
      </x:c>
      <x:c r="J199" s="10" t="str">
        <x:v>Case</x:v>
      </x:c>
      <x:c r="K199" s="10" t="str">
        <x:v>In stock</x:v>
      </x:c>
      <x:c r="L199" s="10" t="str">
        <x:v>2026-09-08</x:v>
      </x:c>
      <x:c r="M199" s="10" t="str"/>
      <x:c r="N199" s="10" t="str"/>
      <x:c r="O199" s="10" t="str">
        <x:v>https://www.activesportstrade.co.uk/applied-nutrition-trade</x:v>
      </x:c>
      <x:c r="P199" s="10" t="str"/>
      <x:c r="S199" t="str">
        <x:v>Pending genuine supplier/brand image</x:v>
      </x:c>
      <x:c r="T199" s="54" t="n">
        <x:v>9.99</x:v>
      </x:c>
      <x:c r="U199" s="47" t="n">
        <x:v>0.2</x:v>
      </x:c>
      <x:c r="V199" s="54" t="n">
        <x:f>IF(ISNUMBER(T199),T199*(1+U199),"")</x:f>
        <x:v>11.988</x:v>
      </x:c>
      <x:c r="W199" s="47" t="n">
        <x:v>0.3</x:v>
      </x:c>
      <x:c r="X199" s="54" t="n">
        <x:f>IF(ISNUMBER(V199),V199/(1-W199),"")</x:f>
        <x:v>17.125714285714285</x:v>
      </x:c>
      <x:c r="Y199" s="55" t="n">
        <x:f>IF(ISNUMBER(X199),ROUNDUP(X199,0),"")</x:f>
        <x:v>18</x:v>
      </x:c>
      <x:c r="Z199" t="str">
        <x:v>Source match pending</x:v>
      </x:c>
      <x:c r="AA199" t="str">
        <x:v>screencapture-www-activesportstrade-co-uk-applied-nutrition-trade-2026-09-10-08_59_59.pdf / page-04</x:v>
      </x:c>
      <x:c r="AB199" s="36" t="n">
        <x:f>IF(ISNUMBER(Y199),ROUND(Y199*0.9,2),"")</x:f>
        <x:v>16.2</x:v>
      </x:c>
      <x:c r="AC199" s="36" t="n">
        <x:f>IF(ISNUMBER(AB199),ROUND(AB199-(AB199*0.015+0.2)-V199,2),"")</x:f>
        <x:v>3.77</x:v>
      </x:c>
      <x:c r="AD199" s="36" t="n">
        <x:f>IF(ISNUMBER(Y199),ROUND(Y199*0.8,2),"")</x:f>
        <x:v>14.4</x:v>
      </x:c>
      <x:c r="AE199" s="36" t="n">
        <x:f>IF(ISNUMBER(AD199),ROUND(AD199*0.015+0.2,2),"")</x:f>
        <x:v>0.42</x:v>
      </x:c>
      <x:c r="AF199" s="36" t="n">
        <x:f>IF(ISNUMBER(AD199),ROUND(AD199-AE199-V199,2),"")</x:f>
        <x:v>1.99</x:v>
      </x:c>
      <x:c r="AG199" t="str">
        <x:f>IF(NOT(ISNUMBER(T199)),"PENDING",IF(AF199&gt;0,"PASS","FAIL"))</x:f>
        <x:v>PASS</x:v>
      </x:c>
      <x:c r="AH199" t="str">
        <x:f>IF(NOT(ISNUMBER(T199)),"Needs supplier cost",IF(K199&lt;&gt;"In stock","Supplier unavailable",IF(AG199&lt;&gt;"PASS","BLOCK - GT loss risk","Commercially protected")))</x:f>
        <x:v>Commercially protected</x:v>
      </x:c>
      <x:c r="AI199" t="str">
        <x:v>2026-09-10 Active Sports trade capture</x:v>
      </x:c>
      <x:c r="AJ199" t="str">
        <x:v>Management-only economics. Stripe stress test uses 1.5% + £0.20 standard UK online-card fee; pallet/mix-and-match pricing ignored.</x:v>
      </x:c>
    </x:row>
    <x:row r="200">
      <x:c r="A200" s="10" t="str">
        <x:v>Active Sports Nutrition</x:v>
      </x:c>
      <x:c r="B200" s="10" t="str">
        <x:v>Applied Nutrition</x:v>
      </x:c>
      <x:c r="C200" s="10" t="str">
        <x:v>Body Fuel Electrolyte Water</x:v>
      </x:c>
      <x:c r="D200" s="10" t="str">
        <x:v>Drinks and Bars</x:v>
      </x:c>
      <x:c r="E200" s="10" t="str">
        <x:v>Ready to Drink Hydration</x:v>
      </x:c>
      <x:c r="F200" s="10" t="str">
        <x:v>Electrolyte water.</x:v>
      </x:c>
      <x:c r="G200" s="10" t="str">
        <x:v>12 x 500ml bottles</x:v>
      </x:c>
      <x:c r="H200" s="10" t="str">
        <x:v>Orange</x:v>
      </x:c>
      <x:c r="I200" s="10" t="str">
        <x:v>12</x:v>
      </x:c>
      <x:c r="J200" s="10" t="str">
        <x:v>Case</x:v>
      </x:c>
      <x:c r="K200" s="10" t="str">
        <x:v>In stock</x:v>
      </x:c>
      <x:c r="L200" s="10" t="str">
        <x:v>2026-09-08</x:v>
      </x:c>
      <x:c r="M200" s="10" t="str"/>
      <x:c r="N200" s="10" t="str"/>
      <x:c r="O200" s="10" t="str">
        <x:v>https://www.activesportstrade.co.uk/applied-nutrition-trade</x:v>
      </x:c>
      <x:c r="P200" s="10" t="str"/>
      <x:c r="S200" t="str">
        <x:v>Pending genuine supplier/brand image</x:v>
      </x:c>
      <x:c r="T200" s="54" t="n">
        <x:v>9.99</x:v>
      </x:c>
      <x:c r="U200" s="47" t="n">
        <x:v>0.2</x:v>
      </x:c>
      <x:c r="V200" s="54" t="n">
        <x:f>IF(ISNUMBER(T200),T200*(1+U200),"")</x:f>
        <x:v>11.988</x:v>
      </x:c>
      <x:c r="W200" s="47" t="n">
        <x:v>0.3</x:v>
      </x:c>
      <x:c r="X200" s="54" t="n">
        <x:f>IF(ISNUMBER(V200),V200/(1-W200),"")</x:f>
        <x:v>17.125714285714285</x:v>
      </x:c>
      <x:c r="Y200" s="55" t="n">
        <x:f>IF(ISNUMBER(X200),ROUNDUP(X200,0),"")</x:f>
        <x:v>18</x:v>
      </x:c>
      <x:c r="Z200" t="str">
        <x:v>Source match pending</x:v>
      </x:c>
      <x:c r="AA200" t="str">
        <x:v>screencapture-www-activesportstrade-co-uk-applied-nutrition-trade-2026-09-10-08_59_59.pdf / page-04</x:v>
      </x:c>
      <x:c r="AB200" s="36" t="n">
        <x:f>IF(ISNUMBER(Y200),ROUND(Y200*0.9,2),"")</x:f>
        <x:v>16.2</x:v>
      </x:c>
      <x:c r="AC200" s="36" t="n">
        <x:f>IF(ISNUMBER(AB200),ROUND(AB200-(AB200*0.015+0.2)-V200,2),"")</x:f>
        <x:v>3.77</x:v>
      </x:c>
      <x:c r="AD200" s="36" t="n">
        <x:f>IF(ISNUMBER(Y200),ROUND(Y200*0.8,2),"")</x:f>
        <x:v>14.4</x:v>
      </x:c>
      <x:c r="AE200" s="36" t="n">
        <x:f>IF(ISNUMBER(AD200),ROUND(AD200*0.015+0.2,2),"")</x:f>
        <x:v>0.42</x:v>
      </x:c>
      <x:c r="AF200" s="36" t="n">
        <x:f>IF(ISNUMBER(AD200),ROUND(AD200-AE200-V200,2),"")</x:f>
        <x:v>1.99</x:v>
      </x:c>
      <x:c r="AG200" t="str">
        <x:f>IF(NOT(ISNUMBER(T200)),"PENDING",IF(AF200&gt;0,"PASS","FAIL"))</x:f>
        <x:v>PASS</x:v>
      </x:c>
      <x:c r="AH200" t="str">
        <x:f>IF(NOT(ISNUMBER(T200)),"Needs supplier cost",IF(K200&lt;&gt;"In stock","Supplier unavailable",IF(AG200&lt;&gt;"PASS","BLOCK - GT loss risk","Commercially protected")))</x:f>
        <x:v>Commercially protected</x:v>
      </x:c>
      <x:c r="AI200" t="str">
        <x:v>2026-09-10 Active Sports trade capture</x:v>
      </x:c>
      <x:c r="AJ200" t="str">
        <x:v>Management-only economics. Stripe stress test uses 1.5% + £0.20 standard UK online-card fee; pallet/mix-and-match pricing ignored.</x:v>
      </x:c>
    </x:row>
    <x:row r="201">
      <x:c r="A201" s="10" t="str">
        <x:v>Active Sports Nutrition</x:v>
      </x:c>
      <x:c r="B201" s="10" t="str">
        <x:v>Applied Nutrition</x:v>
      </x:c>
      <x:c r="C201" s="10" t="str">
        <x:v>Body Fuel Electrolyte Water</x:v>
      </x:c>
      <x:c r="D201" s="10" t="str">
        <x:v>Drinks and Bars</x:v>
      </x:c>
      <x:c r="E201" s="10" t="str">
        <x:v>Ready to Drink Hydration</x:v>
      </x:c>
      <x:c r="F201" s="10" t="str">
        <x:v>Electrolyte water.</x:v>
      </x:c>
      <x:c r="G201" s="10" t="str">
        <x:v>12 x 500ml bottles</x:v>
      </x:c>
      <x:c r="H201" s="10" t="str">
        <x:v>Tropical</x:v>
      </x:c>
      <x:c r="I201" s="10" t="str">
        <x:v>12</x:v>
      </x:c>
      <x:c r="J201" s="10" t="str">
        <x:v>Case</x:v>
      </x:c>
      <x:c r="K201" s="10" t="str">
        <x:v>In stock</x:v>
      </x:c>
      <x:c r="L201" s="10" t="str">
        <x:v>2026-09-08</x:v>
      </x:c>
      <x:c r="M201" s="10" t="str"/>
      <x:c r="N201" s="10" t="str"/>
      <x:c r="O201" s="10" t="str">
        <x:v>https://www.activesportstrade.co.uk/applied-nutrition-trade</x:v>
      </x:c>
      <x:c r="P201" s="10" t="str"/>
      <x:c r="S201" t="str">
        <x:v>Pending genuine supplier/brand image</x:v>
      </x:c>
      <x:c r="T201" s="54" t="n">
        <x:v>9.99</x:v>
      </x:c>
      <x:c r="U201" s="47" t="n">
        <x:v>0.2</x:v>
      </x:c>
      <x:c r="V201" s="54" t="n">
        <x:f>IF(ISNUMBER(T201),T201*(1+U201),"")</x:f>
        <x:v>11.988</x:v>
      </x:c>
      <x:c r="W201" s="47" t="n">
        <x:v>0.3</x:v>
      </x:c>
      <x:c r="X201" s="54" t="n">
        <x:f>IF(ISNUMBER(V201),V201/(1-W201),"")</x:f>
        <x:v>17.125714285714285</x:v>
      </x:c>
      <x:c r="Y201" s="55" t="n">
        <x:f>IF(ISNUMBER(X201),ROUNDUP(X201,0),"")</x:f>
        <x:v>18</x:v>
      </x:c>
      <x:c r="Z201" t="str">
        <x:v>Source match pending</x:v>
      </x:c>
      <x:c r="AA201" t="str">
        <x:v>screencapture-www-activesportstrade-co-uk-applied-nutrition-trade-2026-09-10-08_59_59.pdf / page-04</x:v>
      </x:c>
      <x:c r="AB201" s="36" t="n">
        <x:f>IF(ISNUMBER(Y201),ROUND(Y201*0.9,2),"")</x:f>
        <x:v>16.2</x:v>
      </x:c>
      <x:c r="AC201" s="36" t="n">
        <x:f>IF(ISNUMBER(AB201),ROUND(AB201-(AB201*0.015+0.2)-V201,2),"")</x:f>
        <x:v>3.77</x:v>
      </x:c>
      <x:c r="AD201" s="36" t="n">
        <x:f>IF(ISNUMBER(Y201),ROUND(Y201*0.8,2),"")</x:f>
        <x:v>14.4</x:v>
      </x:c>
      <x:c r="AE201" s="36" t="n">
        <x:f>IF(ISNUMBER(AD201),ROUND(AD201*0.015+0.2,2),"")</x:f>
        <x:v>0.42</x:v>
      </x:c>
      <x:c r="AF201" s="36" t="n">
        <x:f>IF(ISNUMBER(AD201),ROUND(AD201-AE201-V201,2),"")</x:f>
        <x:v>1.99</x:v>
      </x:c>
      <x:c r="AG201" t="str">
        <x:f>IF(NOT(ISNUMBER(T201)),"PENDING",IF(AF201&gt;0,"PASS","FAIL"))</x:f>
        <x:v>PASS</x:v>
      </x:c>
      <x:c r="AH201" t="str">
        <x:f>IF(NOT(ISNUMBER(T201)),"Needs supplier cost",IF(K201&lt;&gt;"In stock","Supplier unavailable",IF(AG201&lt;&gt;"PASS","BLOCK - GT loss risk","Commercially protected")))</x:f>
        <x:v>Commercially protected</x:v>
      </x:c>
      <x:c r="AI201" t="str">
        <x:v>2026-09-10 Active Sports trade capture</x:v>
      </x:c>
      <x:c r="AJ201" t="str">
        <x:v>Management-only economics. Stripe stress test uses 1.5% + £0.20 standard UK online-card fee; pallet/mix-and-match pricing ignored.</x:v>
      </x:c>
    </x:row>
    <x:row r="202">
      <x:c r="A202" s="10" t="str">
        <x:v>Active Sports Nutrition</x:v>
      </x:c>
      <x:c r="B202" s="10" t="str">
        <x:v>Applied Nutrition</x:v>
      </x:c>
      <x:c r="C202" s="10" t="str">
        <x:v>Body Fuel Energy</x:v>
      </x:c>
      <x:c r="D202" s="10" t="str">
        <x:v>Drinks and Bars</x:v>
      </x:c>
      <x:c r="E202" s="10" t="str">
        <x:v>Ready to Drink Energy</x:v>
      </x:c>
      <x:c r="F202" s="10" t="str">
        <x:v>Body Fuel energy drink.</x:v>
      </x:c>
      <x:c r="G202" s="10" t="str">
        <x:v>12 x 330ml cans</x:v>
      </x:c>
      <x:c r="H202" s="10" t="str">
        <x:v>Blue Raspberry</x:v>
      </x:c>
      <x:c r="I202" s="10" t="str">
        <x:v>12</x:v>
      </x:c>
      <x:c r="J202" s="10" t="str">
        <x:v>Case</x:v>
      </x:c>
      <x:c r="K202" s="10" t="str">
        <x:v>In stock</x:v>
      </x:c>
      <x:c r="L202" s="10" t="str">
        <x:v>2026-09-08</x:v>
      </x:c>
      <x:c r="M202" s="10" t="str"/>
      <x:c r="N202" s="10" t="str"/>
      <x:c r="O202" s="10" t="str">
        <x:v>https://www.activesportstrade.co.uk/applied-nutrition-trade</x:v>
      </x:c>
      <x:c r="P202" s="10" t="str"/>
      <x:c r="S202" t="str">
        <x:v>Pending genuine supplier/brand image</x:v>
      </x:c>
      <x:c r="T202" s="54" t="n">
        <x:v>7.56</x:v>
      </x:c>
      <x:c r="U202" s="47" t="n">
        <x:v>0.2</x:v>
      </x:c>
      <x:c r="V202" s="54" t="n">
        <x:f>IF(ISNUMBER(T202),T202*(1+U202),"")</x:f>
        <x:v>9.072</x:v>
      </x:c>
      <x:c r="W202" s="47" t="n">
        <x:v>0.3</x:v>
      </x:c>
      <x:c r="X202" s="54" t="n">
        <x:f>IF(ISNUMBER(V202),V202/(1-W202),"")</x:f>
        <x:v>12.959999999999999</x:v>
      </x:c>
      <x:c r="Y202" s="55" t="n">
        <x:f>IF(ISNUMBER(X202),ROUNDUP(X202,0),"")</x:f>
        <x:v>13</x:v>
      </x:c>
      <x:c r="Z202" t="str">
        <x:v>Source match pending</x:v>
      </x:c>
      <x:c r="AA202" t="str">
        <x:v>screencapture-www-activesportstrade-co-uk-applied-nutrition-trade-2026-09-10-08_59_59.pdf / page-04</x:v>
      </x:c>
      <x:c r="AB202" s="36" t="n">
        <x:f>IF(ISNUMBER(Y202),ROUND(Y202*0.9,2),"")</x:f>
        <x:v>11.7</x:v>
      </x:c>
      <x:c r="AC202" s="36" t="n">
        <x:f>IF(ISNUMBER(AB202),ROUND(AB202-(AB202*0.015+0.2)-V202,2),"")</x:f>
        <x:v>2.25</x:v>
      </x:c>
      <x:c r="AD202" s="36" t="n">
        <x:f>IF(ISNUMBER(Y202),ROUND(Y202*0.8,2),"")</x:f>
        <x:v>10.4</x:v>
      </x:c>
      <x:c r="AE202" s="36" t="n">
        <x:f>IF(ISNUMBER(AD202),ROUND(AD202*0.015+0.2,2),"")</x:f>
        <x:v>0.36</x:v>
      </x:c>
      <x:c r="AF202" s="36" t="n">
        <x:f>IF(ISNUMBER(AD202),ROUND(AD202-AE202-V202,2),"")</x:f>
        <x:v>0.97</x:v>
      </x:c>
      <x:c r="AG202" t="str">
        <x:f>IF(NOT(ISNUMBER(T202)),"PENDING",IF(AF202&gt;0,"PASS","FAIL"))</x:f>
        <x:v>PASS</x:v>
      </x:c>
      <x:c r="AH202" t="str">
        <x:f>IF(NOT(ISNUMBER(T202)),"Needs supplier cost",IF(K202&lt;&gt;"In stock","Supplier unavailable",IF(AG202&lt;&gt;"PASS","BLOCK - GT loss risk","Commercially protected")))</x:f>
        <x:v>Commercially protected</x:v>
      </x:c>
      <x:c r="AI202" t="str">
        <x:v>2026-09-10 Active Sports trade capture</x:v>
      </x:c>
      <x:c r="AJ202" t="str">
        <x:v>Management-only economics. Stripe stress test uses 1.5% + £0.20 standard UK online-card fee; pallet/mix-and-match pricing ignored.</x:v>
      </x:c>
    </x:row>
    <x:row r="203">
      <x:c r="A203" s="10" t="str">
        <x:v>Active Sports Nutrition</x:v>
      </x:c>
      <x:c r="B203" s="10" t="str">
        <x:v>Applied Nutrition</x:v>
      </x:c>
      <x:c r="C203" s="10" t="str">
        <x:v>Body Fuel Energy</x:v>
      </x:c>
      <x:c r="D203" s="10" t="str">
        <x:v>Drinks and Bars</x:v>
      </x:c>
      <x:c r="E203" s="10" t="str">
        <x:v>Ready to Drink Energy</x:v>
      </x:c>
      <x:c r="F203" s="10" t="str">
        <x:v>Body Fuel energy drink.</x:v>
      </x:c>
      <x:c r="G203" s="10" t="str">
        <x:v>12 x 330ml cans</x:v>
      </x:c>
      <x:c r="H203" s="10" t="str">
        <x:v>Lemonade</x:v>
      </x:c>
      <x:c r="I203" s="10" t="str">
        <x:v>12</x:v>
      </x:c>
      <x:c r="J203" s="10" t="str">
        <x:v>Case</x:v>
      </x:c>
      <x:c r="K203" s="10" t="str">
        <x:v>In stock</x:v>
      </x:c>
      <x:c r="L203" s="10" t="str">
        <x:v>2026-09-08</x:v>
      </x:c>
      <x:c r="M203" s="10" t="str"/>
      <x:c r="N203" s="10" t="str"/>
      <x:c r="O203" s="10" t="str">
        <x:v>https://www.activesportstrade.co.uk/applied-nutrition-trade</x:v>
      </x:c>
      <x:c r="P203" s="10" t="str"/>
      <x:c r="S203" t="str">
        <x:v>Pending genuine supplier/brand image</x:v>
      </x:c>
      <x:c r="T203" s="54" t="n">
        <x:v>7.56</x:v>
      </x:c>
      <x:c r="U203" s="47" t="n">
        <x:v>0.2</x:v>
      </x:c>
      <x:c r="V203" s="54" t="n">
        <x:f>IF(ISNUMBER(T203),T203*(1+U203),"")</x:f>
        <x:v>9.072</x:v>
      </x:c>
      <x:c r="W203" s="47" t="n">
        <x:v>0.3</x:v>
      </x:c>
      <x:c r="X203" s="54" t="n">
        <x:f>IF(ISNUMBER(V203),V203/(1-W203),"")</x:f>
        <x:v>12.959999999999999</x:v>
      </x:c>
      <x:c r="Y203" s="55" t="n">
        <x:f>IF(ISNUMBER(X203),ROUNDUP(X203,0),"")</x:f>
        <x:v>13</x:v>
      </x:c>
      <x:c r="Z203" t="str">
        <x:v>Source match pending</x:v>
      </x:c>
      <x:c r="AA203" t="str">
        <x:v>screencapture-www-activesportstrade-co-uk-applied-nutrition-trade-2026-09-10-08_59_59.pdf / page-04</x:v>
      </x:c>
      <x:c r="AB203" s="36" t="n">
        <x:f>IF(ISNUMBER(Y203),ROUND(Y203*0.9,2),"")</x:f>
        <x:v>11.7</x:v>
      </x:c>
      <x:c r="AC203" s="36" t="n">
        <x:f>IF(ISNUMBER(AB203),ROUND(AB203-(AB203*0.015+0.2)-V203,2),"")</x:f>
        <x:v>2.25</x:v>
      </x:c>
      <x:c r="AD203" s="36" t="n">
        <x:f>IF(ISNUMBER(Y203),ROUND(Y203*0.8,2),"")</x:f>
        <x:v>10.4</x:v>
      </x:c>
      <x:c r="AE203" s="36" t="n">
        <x:f>IF(ISNUMBER(AD203),ROUND(AD203*0.015+0.2,2),"")</x:f>
        <x:v>0.36</x:v>
      </x:c>
      <x:c r="AF203" s="36" t="n">
        <x:f>IF(ISNUMBER(AD203),ROUND(AD203-AE203-V203,2),"")</x:f>
        <x:v>0.97</x:v>
      </x:c>
      <x:c r="AG203" t="str">
        <x:f>IF(NOT(ISNUMBER(T203)),"PENDING",IF(AF203&gt;0,"PASS","FAIL"))</x:f>
        <x:v>PASS</x:v>
      </x:c>
      <x:c r="AH203" t="str">
        <x:f>IF(NOT(ISNUMBER(T203)),"Needs supplier cost",IF(K203&lt;&gt;"In stock","Supplier unavailable",IF(AG203&lt;&gt;"PASS","BLOCK - GT loss risk","Commercially protected")))</x:f>
        <x:v>Commercially protected</x:v>
      </x:c>
      <x:c r="AI203" t="str">
        <x:v>2026-09-10 Active Sports trade capture</x:v>
      </x:c>
      <x:c r="AJ203" t="str">
        <x:v>Management-only economics. Stripe stress test uses 1.5% + £0.20 standard UK online-card fee; pallet/mix-and-match pricing ignored.</x:v>
      </x:c>
    </x:row>
    <x:row r="204">
      <x:c r="A204" s="10" t="str">
        <x:v>Active Sports Nutrition</x:v>
      </x:c>
      <x:c r="B204" s="10" t="str">
        <x:v>Applied Nutrition</x:v>
      </x:c>
      <x:c r="C204" s="10" t="str">
        <x:v>Body Fuel Energy</x:v>
      </x:c>
      <x:c r="D204" s="10" t="str">
        <x:v>Drinks and Bars</x:v>
      </x:c>
      <x:c r="E204" s="10" t="str">
        <x:v>Ready to Drink Energy</x:v>
      </x:c>
      <x:c r="F204" s="10" t="str">
        <x:v>Body Fuel energy drink.</x:v>
      </x:c>
      <x:c r="G204" s="10" t="str">
        <x:v>12 x 330ml cans</x:v>
      </x:c>
      <x:c r="H204" s="10" t="str">
        <x:v>Orange</x:v>
      </x:c>
      <x:c r="I204" s="10" t="str">
        <x:v>12</x:v>
      </x:c>
      <x:c r="J204" s="10" t="str">
        <x:v>Case</x:v>
      </x:c>
      <x:c r="K204" s="10" t="str">
        <x:v>In stock</x:v>
      </x:c>
      <x:c r="L204" s="10" t="str">
        <x:v>2026-09-08</x:v>
      </x:c>
      <x:c r="M204" s="10" t="str"/>
      <x:c r="N204" s="10" t="str"/>
      <x:c r="O204" s="10" t="str">
        <x:v>https://www.activesportstrade.co.uk/applied-nutrition-trade</x:v>
      </x:c>
      <x:c r="P204" s="10" t="str"/>
      <x:c r="S204" t="str">
        <x:v>Pending genuine supplier/brand image</x:v>
      </x:c>
      <x:c r="T204" s="54" t="n">
        <x:v>7.56</x:v>
      </x:c>
      <x:c r="U204" s="47" t="n">
        <x:v>0.2</x:v>
      </x:c>
      <x:c r="V204" s="54" t="n">
        <x:f>IF(ISNUMBER(T204),T204*(1+U204),"")</x:f>
        <x:v>9.072</x:v>
      </x:c>
      <x:c r="W204" s="47" t="n">
        <x:v>0.3</x:v>
      </x:c>
      <x:c r="X204" s="54" t="n">
        <x:f>IF(ISNUMBER(V204),V204/(1-W204),"")</x:f>
        <x:v>12.959999999999999</x:v>
      </x:c>
      <x:c r="Y204" s="55" t="n">
        <x:f>IF(ISNUMBER(X204),ROUNDUP(X204,0),"")</x:f>
        <x:v>13</x:v>
      </x:c>
      <x:c r="Z204" t="str">
        <x:v>Source match pending</x:v>
      </x:c>
      <x:c r="AA204" t="str">
        <x:v>screencapture-www-activesportstrade-co-uk-applied-nutrition-trade-2026-09-10-08_59_59.pdf / page-04</x:v>
      </x:c>
      <x:c r="AB204" s="36" t="n">
        <x:f>IF(ISNUMBER(Y204),ROUND(Y204*0.9,2),"")</x:f>
        <x:v>11.7</x:v>
      </x:c>
      <x:c r="AC204" s="36" t="n">
        <x:f>IF(ISNUMBER(AB204),ROUND(AB204-(AB204*0.015+0.2)-V204,2),"")</x:f>
        <x:v>2.25</x:v>
      </x:c>
      <x:c r="AD204" s="36" t="n">
        <x:f>IF(ISNUMBER(Y204),ROUND(Y204*0.8,2),"")</x:f>
        <x:v>10.4</x:v>
      </x:c>
      <x:c r="AE204" s="36" t="n">
        <x:f>IF(ISNUMBER(AD204),ROUND(AD204*0.015+0.2,2),"")</x:f>
        <x:v>0.36</x:v>
      </x:c>
      <x:c r="AF204" s="36" t="n">
        <x:f>IF(ISNUMBER(AD204),ROUND(AD204-AE204-V204,2),"")</x:f>
        <x:v>0.97</x:v>
      </x:c>
      <x:c r="AG204" t="str">
        <x:f>IF(NOT(ISNUMBER(T204)),"PENDING",IF(AF204&gt;0,"PASS","FAIL"))</x:f>
        <x:v>PASS</x:v>
      </x:c>
      <x:c r="AH204" t="str">
        <x:f>IF(NOT(ISNUMBER(T204)),"Needs supplier cost",IF(K204&lt;&gt;"In stock","Supplier unavailable",IF(AG204&lt;&gt;"PASS","BLOCK - GT loss risk","Commercially protected")))</x:f>
        <x:v>Commercially protected</x:v>
      </x:c>
      <x:c r="AI204" t="str">
        <x:v>2026-09-10 Active Sports trade capture</x:v>
      </x:c>
      <x:c r="AJ204" t="str">
        <x:v>Management-only economics. Stripe stress test uses 1.5% + £0.20 standard UK online-card fee; pallet/mix-and-match pricing ignored.</x:v>
      </x:c>
    </x:row>
    <x:row r="205">
      <x:c r="A205" s="10" t="str">
        <x:v>Active Sports Nutrition</x:v>
      </x:c>
      <x:c r="B205" s="10" t="str">
        <x:v>10X Athletic</x:v>
      </x:c>
      <x:c r="C205" s="10" t="str">
        <x:v>Protein Bars</x:v>
      </x:c>
      <x:c r="D205" s="10" t="str">
        <x:v>Drinks and Bars</x:v>
      </x:c>
      <x:c r="E205" s="10" t="str">
        <x:v>Bars and Snacks</x:v>
      </x:c>
      <x:c r="F205" s="10" t="str">
        <x:v>High-protein bar with caramel centre and protein nuggets.</x:v>
      </x:c>
      <x:c r="G205" s="10" t="str">
        <x:v>12 x 55g bars</x:v>
      </x:c>
      <x:c r="H205" s="10" t="str">
        <x:v>Chocolate Brownie</x:v>
      </x:c>
      <x:c r="I205" s="10" t="str">
        <x:v>12</x:v>
      </x:c>
      <x:c r="J205" s="10" t="str">
        <x:v>Case</x:v>
      </x:c>
      <x:c r="K205" s="10" t="str">
        <x:v>In stock</x:v>
      </x:c>
      <x:c r="L205" s="10" t="str">
        <x:v>2026-09-08</x:v>
      </x:c>
      <x:c r="M205" s="10" t="str"/>
      <x:c r="N205" s="10" t="str"/>
      <x:c r="O205" s="10" t="str">
        <x:v>https://www.activesportstrade.co.uk/trade-convienience</x:v>
      </x:c>
      <x:c r="P205" s="10" t="str">
        <x:v>Supplier special-offer wording ignored.</x:v>
      </x:c>
      <x:c r="S205" t="str">
        <x:v>Pending genuine supplier/brand image</x:v>
      </x:c>
      <x:c r="T205" s="54" t="n">
        <x:v>16.99</x:v>
      </x:c>
      <x:c r="U205" s="47" t="n">
        <x:v>0.2</x:v>
      </x:c>
      <x:c r="V205" s="54" t="n">
        <x:f>IF(ISNUMBER(T205),T205*(1+U205),"")</x:f>
        <x:v>20.387999999999998</x:v>
      </x:c>
      <x:c r="W205" s="47" t="n">
        <x:v>0.3</x:v>
      </x:c>
      <x:c r="X205" s="54" t="n">
        <x:f>IF(ISNUMBER(V205),V205/(1-W205),"")</x:f>
        <x:v>29.125714285714285</x:v>
      </x:c>
      <x:c r="Y205" s="55" t="n">
        <x:f>IF(ISNUMBER(X205),ROUNDUP(X205,0),"")</x:f>
        <x:v>30</x:v>
      </x:c>
      <x:c r="Z205" t="str">
        <x:v>Source match pending</x:v>
      </x:c>
      <x:c r="AA205" t="str">
        <x:v>screencapture-www-activesportstrade-co-uk-10x-athletic-trade-2026-09-09-18_13_27.png / page-001</x:v>
      </x:c>
      <x:c r="AB205" s="36" t="n">
        <x:f>IF(ISNUMBER(Y205),ROUND(Y205*0.9,2),"")</x:f>
        <x:v>27</x:v>
      </x:c>
      <x:c r="AC205" s="36" t="n">
        <x:f>IF(ISNUMBER(AB205),ROUND(AB205-(AB205*0.015+0.2)-V205,2),"")</x:f>
        <x:v>6.01</x:v>
      </x:c>
      <x:c r="AD205" s="36" t="n">
        <x:f>IF(ISNUMBER(Y205),ROUND(Y205*0.8,2),"")</x:f>
        <x:v>24</x:v>
      </x:c>
      <x:c r="AE205" s="36" t="n">
        <x:f>IF(ISNUMBER(AD205),ROUND(AD205*0.015+0.2,2),"")</x:f>
        <x:v>0.56</x:v>
      </x:c>
      <x:c r="AF205" s="36" t="n">
        <x:f>IF(ISNUMBER(AD205),ROUND(AD205-AE205-V205,2),"")</x:f>
        <x:v>3.05</x:v>
      </x:c>
      <x:c r="AG205" t="str">
        <x:f>IF(NOT(ISNUMBER(T205)),"PENDING",IF(AF205&gt;0,"PASS","FAIL"))</x:f>
        <x:v>PASS</x:v>
      </x:c>
      <x:c r="AH205" t="str">
        <x:f>IF(NOT(ISNUMBER(T205)),"Needs supplier cost",IF(K205&lt;&gt;"In stock","Supplier unavailable",IF(AG205&lt;&gt;"PASS","BLOCK - GT loss risk","Commercially protected")))</x:f>
        <x:v>Commercially protected</x:v>
      </x:c>
      <x:c r="AI205" t="str">
        <x:v>2026-09-10 Active Sports trade capture</x:v>
      </x:c>
      <x:c r="AJ205" t="str">
        <x:v>Management-only economics. Stripe stress test uses 1.5% + £0.20 standard UK online-card fee; pallet/mix-and-match pricing ignored.</x:v>
      </x:c>
    </x:row>
    <x:row r="206">
      <x:c r="A206" s="10" t="str">
        <x:v>Active Sports Nutrition</x:v>
      </x:c>
      <x:c r="B206" s="10" t="str">
        <x:v>10X Athletic</x:v>
      </x:c>
      <x:c r="C206" s="10" t="str">
        <x:v>Protein Bars</x:v>
      </x:c>
      <x:c r="D206" s="10" t="str">
        <x:v>Drinks and Bars</x:v>
      </x:c>
      <x:c r="E206" s="10" t="str">
        <x:v>Bars and Snacks</x:v>
      </x:c>
      <x:c r="F206" s="10" t="str">
        <x:v>High-protein bar with caramel centre and protein nuggets.</x:v>
      </x:c>
      <x:c r="G206" s="10" t="str">
        <x:v>12 x 55g bars</x:v>
      </x:c>
      <x:c r="H206" s="10" t="str">
        <x:v>Chocolate Cherry</x:v>
      </x:c>
      <x:c r="I206" s="10" t="str">
        <x:v>12</x:v>
      </x:c>
      <x:c r="J206" s="10" t="str">
        <x:v>Case</x:v>
      </x:c>
      <x:c r="K206" s="10" t="str">
        <x:v>In stock</x:v>
      </x:c>
      <x:c r="L206" s="10" t="str">
        <x:v>2026-09-08</x:v>
      </x:c>
      <x:c r="M206" s="10" t="str"/>
      <x:c r="N206" s="10" t="str"/>
      <x:c r="O206" s="10" t="str">
        <x:v>https://www.activesportstrade.co.uk/trade-convienience</x:v>
      </x:c>
      <x:c r="P206" s="10" t="str">
        <x:v>Supplier special-offer wording ignored.</x:v>
      </x:c>
      <x:c r="S206" t="str">
        <x:v>Pending genuine supplier/brand image</x:v>
      </x:c>
      <x:c r="T206" s="54" t="n">
        <x:v>16.99</x:v>
      </x:c>
      <x:c r="U206" s="47" t="n">
        <x:v>0.2</x:v>
      </x:c>
      <x:c r="V206" s="54" t="n">
        <x:f>IF(ISNUMBER(T206),T206*(1+U206),"")</x:f>
        <x:v>20.387999999999998</x:v>
      </x:c>
      <x:c r="W206" s="47" t="n">
        <x:v>0.3</x:v>
      </x:c>
      <x:c r="X206" s="54" t="n">
        <x:f>IF(ISNUMBER(V206),V206/(1-W206),"")</x:f>
        <x:v>29.125714285714285</x:v>
      </x:c>
      <x:c r="Y206" s="55" t="n">
        <x:f>IF(ISNUMBER(X206),ROUNDUP(X206,0),"")</x:f>
        <x:v>30</x:v>
      </x:c>
      <x:c r="Z206" t="str">
        <x:v>Source match pending</x:v>
      </x:c>
      <x:c r="AA206" t="str">
        <x:v>screencapture-www-activesportstrade-co-uk-10x-athletic-trade-2026-09-09-18_13_27.png / page-001</x:v>
      </x:c>
      <x:c r="AB206" s="36" t="n">
        <x:f>IF(ISNUMBER(Y206),ROUND(Y206*0.9,2),"")</x:f>
        <x:v>27</x:v>
      </x:c>
      <x:c r="AC206" s="36" t="n">
        <x:f>IF(ISNUMBER(AB206),ROUND(AB206-(AB206*0.015+0.2)-V206,2),"")</x:f>
        <x:v>6.01</x:v>
      </x:c>
      <x:c r="AD206" s="36" t="n">
        <x:f>IF(ISNUMBER(Y206),ROUND(Y206*0.8,2),"")</x:f>
        <x:v>24</x:v>
      </x:c>
      <x:c r="AE206" s="36" t="n">
        <x:f>IF(ISNUMBER(AD206),ROUND(AD206*0.015+0.2,2),"")</x:f>
        <x:v>0.56</x:v>
      </x:c>
      <x:c r="AF206" s="36" t="n">
        <x:f>IF(ISNUMBER(AD206),ROUND(AD206-AE206-V206,2),"")</x:f>
        <x:v>3.05</x:v>
      </x:c>
      <x:c r="AG206" t="str">
        <x:f>IF(NOT(ISNUMBER(T206)),"PENDING",IF(AF206&gt;0,"PASS","FAIL"))</x:f>
        <x:v>PASS</x:v>
      </x:c>
      <x:c r="AH206" t="str">
        <x:f>IF(NOT(ISNUMBER(T206)),"Needs supplier cost",IF(K206&lt;&gt;"In stock","Supplier unavailable",IF(AG206&lt;&gt;"PASS","BLOCK - GT loss risk","Commercially protected")))</x:f>
        <x:v>Commercially protected</x:v>
      </x:c>
      <x:c r="AI206" t="str">
        <x:v>2026-09-10 Active Sports trade capture</x:v>
      </x:c>
      <x:c r="AJ206" t="str">
        <x:v>Management-only economics. Stripe stress test uses 1.5% + £0.20 standard UK online-card fee; pallet/mix-and-match pricing ignored.</x:v>
      </x:c>
    </x:row>
    <x:row r="207">
      <x:c r="A207" s="10" t="str">
        <x:v>Active Sports Nutrition</x:v>
      </x:c>
      <x:c r="B207" s="10" t="str">
        <x:v>10X Athletic</x:v>
      </x:c>
      <x:c r="C207" s="10" t="str">
        <x:v>Protein Bars</x:v>
      </x:c>
      <x:c r="D207" s="10" t="str">
        <x:v>Drinks and Bars</x:v>
      </x:c>
      <x:c r="E207" s="10" t="str">
        <x:v>Bars and Snacks</x:v>
      </x:c>
      <x:c r="F207" s="10" t="str">
        <x:v>High-protein bar with caramel centre and protein nuggets.</x:v>
      </x:c>
      <x:c r="G207" s="10" t="str">
        <x:v>12 x 55g bars</x:v>
      </x:c>
      <x:c r="H207" s="10" t="str">
        <x:v>Chocolate Hazelnut</x:v>
      </x:c>
      <x:c r="I207" s="10" t="str">
        <x:v>12</x:v>
      </x:c>
      <x:c r="J207" s="10" t="str">
        <x:v>Case</x:v>
      </x:c>
      <x:c r="K207" s="10" t="str">
        <x:v>In stock</x:v>
      </x:c>
      <x:c r="L207" s="10" t="str">
        <x:v>2026-09-08</x:v>
      </x:c>
      <x:c r="M207" s="10" t="str"/>
      <x:c r="N207" s="10" t="str"/>
      <x:c r="O207" s="10" t="str">
        <x:v>https://www.activesportstrade.co.uk/trade-convienience</x:v>
      </x:c>
      <x:c r="P207" s="10" t="str">
        <x:v>Supplier special-offer wording ignored.</x:v>
      </x:c>
      <x:c r="S207" t="str">
        <x:v>Pending genuine supplier/brand image</x:v>
      </x:c>
      <x:c r="T207" s="54" t="n">
        <x:v>16.99</x:v>
      </x:c>
      <x:c r="U207" s="47" t="n">
        <x:v>0.2</x:v>
      </x:c>
      <x:c r="V207" s="54" t="n">
        <x:f>IF(ISNUMBER(T207),T207*(1+U207),"")</x:f>
        <x:v>20.387999999999998</x:v>
      </x:c>
      <x:c r="W207" s="47" t="n">
        <x:v>0.3</x:v>
      </x:c>
      <x:c r="X207" s="54" t="n">
        <x:f>IF(ISNUMBER(V207),V207/(1-W207),"")</x:f>
        <x:v>29.125714285714285</x:v>
      </x:c>
      <x:c r="Y207" s="55" t="n">
        <x:f>IF(ISNUMBER(X207),ROUNDUP(X207,0),"")</x:f>
        <x:v>30</x:v>
      </x:c>
      <x:c r="Z207" t="str">
        <x:v>Source match pending</x:v>
      </x:c>
      <x:c r="AA207" t="str">
        <x:v>screencapture-www-activesportstrade-co-uk-10x-athletic-trade-2026-09-09-18_13_27.png / page-001</x:v>
      </x:c>
      <x:c r="AB207" s="36" t="n">
        <x:f>IF(ISNUMBER(Y207),ROUND(Y207*0.9,2),"")</x:f>
        <x:v>27</x:v>
      </x:c>
      <x:c r="AC207" s="36" t="n">
        <x:f>IF(ISNUMBER(AB207),ROUND(AB207-(AB207*0.015+0.2)-V207,2),"")</x:f>
        <x:v>6.01</x:v>
      </x:c>
      <x:c r="AD207" s="36" t="n">
        <x:f>IF(ISNUMBER(Y207),ROUND(Y207*0.8,2),"")</x:f>
        <x:v>24</x:v>
      </x:c>
      <x:c r="AE207" s="36" t="n">
        <x:f>IF(ISNUMBER(AD207),ROUND(AD207*0.015+0.2,2),"")</x:f>
        <x:v>0.56</x:v>
      </x:c>
      <x:c r="AF207" s="36" t="n">
        <x:f>IF(ISNUMBER(AD207),ROUND(AD207-AE207-V207,2),"")</x:f>
        <x:v>3.05</x:v>
      </x:c>
      <x:c r="AG207" t="str">
        <x:f>IF(NOT(ISNUMBER(T207)),"PENDING",IF(AF207&gt;0,"PASS","FAIL"))</x:f>
        <x:v>PASS</x:v>
      </x:c>
      <x:c r="AH207" t="str">
        <x:f>IF(NOT(ISNUMBER(T207)),"Needs supplier cost",IF(K207&lt;&gt;"In stock","Supplier unavailable",IF(AG207&lt;&gt;"PASS","BLOCK - GT loss risk","Commercially protected")))</x:f>
        <x:v>Commercially protected</x:v>
      </x:c>
      <x:c r="AI207" t="str">
        <x:v>2026-09-10 Active Sports trade capture</x:v>
      </x:c>
      <x:c r="AJ207" t="str">
        <x:v>Management-only economics. Stripe stress test uses 1.5% + £0.20 standard UK online-card fee; pallet/mix-and-match pricing ignored.</x:v>
      </x:c>
    </x:row>
    <x:row r="208">
      <x:c r="A208" s="10" t="str">
        <x:v>Active Sports Nutrition</x:v>
      </x:c>
      <x:c r="B208" s="10" t="str">
        <x:v>10X Athletic</x:v>
      </x:c>
      <x:c r="C208" s="10" t="str">
        <x:v>Protein Bars</x:v>
      </x:c>
      <x:c r="D208" s="10" t="str">
        <x:v>Drinks and Bars</x:v>
      </x:c>
      <x:c r="E208" s="10" t="str">
        <x:v>Bars and Snacks</x:v>
      </x:c>
      <x:c r="F208" s="10" t="str">
        <x:v>High-protein bar with caramel centre and protein nuggets.</x:v>
      </x:c>
      <x:c r="G208" s="10" t="str">
        <x:v>12 x 55g bars</x:v>
      </x:c>
      <x:c r="H208" s="10" t="str">
        <x:v>Chocolate Peanut Butter</x:v>
      </x:c>
      <x:c r="I208" s="10" t="str">
        <x:v>12</x:v>
      </x:c>
      <x:c r="J208" s="10" t="str">
        <x:v>Case</x:v>
      </x:c>
      <x:c r="K208" s="10" t="str">
        <x:v>In stock</x:v>
      </x:c>
      <x:c r="L208" s="10" t="str">
        <x:v>2026-09-08</x:v>
      </x:c>
      <x:c r="M208" s="10" t="str"/>
      <x:c r="N208" s="10" t="str"/>
      <x:c r="O208" s="10" t="str">
        <x:v>https://www.activesportstrade.co.uk/trade-convienience</x:v>
      </x:c>
      <x:c r="P208" s="10" t="str">
        <x:v>Supplier special-offer wording ignored.</x:v>
      </x:c>
      <x:c r="S208" t="str">
        <x:v>Pending genuine supplier/brand image</x:v>
      </x:c>
      <x:c r="T208" s="54" t="n">
        <x:v>16.99</x:v>
      </x:c>
      <x:c r="U208" s="47" t="n">
        <x:v>0.2</x:v>
      </x:c>
      <x:c r="V208" s="54" t="n">
        <x:f>IF(ISNUMBER(T208),T208*(1+U208),"")</x:f>
        <x:v>20.387999999999998</x:v>
      </x:c>
      <x:c r="W208" s="47" t="n">
        <x:v>0.3</x:v>
      </x:c>
      <x:c r="X208" s="54" t="n">
        <x:f>IF(ISNUMBER(V208),V208/(1-W208),"")</x:f>
        <x:v>29.125714285714285</x:v>
      </x:c>
      <x:c r="Y208" s="55" t="n">
        <x:f>IF(ISNUMBER(X208),ROUNDUP(X208,0),"")</x:f>
        <x:v>30</x:v>
      </x:c>
      <x:c r="Z208" t="str">
        <x:v>Source match pending</x:v>
      </x:c>
      <x:c r="AA208" t="str">
        <x:v>screencapture-www-activesportstrade-co-uk-10x-athletic-trade-2026-09-09-18_13_27.png / page-001</x:v>
      </x:c>
      <x:c r="AB208" s="36" t="n">
        <x:f>IF(ISNUMBER(Y208),ROUND(Y208*0.9,2),"")</x:f>
        <x:v>27</x:v>
      </x:c>
      <x:c r="AC208" s="36" t="n">
        <x:f>IF(ISNUMBER(AB208),ROUND(AB208-(AB208*0.015+0.2)-V208,2),"")</x:f>
        <x:v>6.01</x:v>
      </x:c>
      <x:c r="AD208" s="36" t="n">
        <x:f>IF(ISNUMBER(Y208),ROUND(Y208*0.8,2),"")</x:f>
        <x:v>24</x:v>
      </x:c>
      <x:c r="AE208" s="36" t="n">
        <x:f>IF(ISNUMBER(AD208),ROUND(AD208*0.015+0.2,2),"")</x:f>
        <x:v>0.56</x:v>
      </x:c>
      <x:c r="AF208" s="36" t="n">
        <x:f>IF(ISNUMBER(AD208),ROUND(AD208-AE208-V208,2),"")</x:f>
        <x:v>3.05</x:v>
      </x:c>
      <x:c r="AG208" t="str">
        <x:f>IF(NOT(ISNUMBER(T208)),"PENDING",IF(AF208&gt;0,"PASS","FAIL"))</x:f>
        <x:v>PASS</x:v>
      </x:c>
      <x:c r="AH208" t="str">
        <x:f>IF(NOT(ISNUMBER(T208)),"Needs supplier cost",IF(K208&lt;&gt;"In stock","Supplier unavailable",IF(AG208&lt;&gt;"PASS","BLOCK - GT loss risk","Commercially protected")))</x:f>
        <x:v>Commercially protected</x:v>
      </x:c>
      <x:c r="AI208" t="str">
        <x:v>2026-09-10 Active Sports trade capture</x:v>
      </x:c>
      <x:c r="AJ208" t="str">
        <x:v>Management-only economics. Stripe stress test uses 1.5% + £0.20 standard UK online-card fee; pallet/mix-and-match pricing ignored.</x:v>
      </x:c>
    </x:row>
    <x:row r="209">
      <x:c r="A209" s="10" t="str">
        <x:v>Active Sports Nutrition</x:v>
      </x:c>
      <x:c r="B209" s="10" t="str">
        <x:v>10X Athletic</x:v>
      </x:c>
      <x:c r="C209" s="10" t="str">
        <x:v>Protein Bars</x:v>
      </x:c>
      <x:c r="D209" s="10" t="str">
        <x:v>Drinks and Bars</x:v>
      </x:c>
      <x:c r="E209" s="10" t="str">
        <x:v>Bars and Snacks</x:v>
      </x:c>
      <x:c r="F209" s="10" t="str">
        <x:v>High-protein bar with caramel centre and protein nuggets.</x:v>
      </x:c>
      <x:c r="G209" s="10" t="str">
        <x:v>12 x 55g bars</x:v>
      </x:c>
      <x:c r="H209" s="10" t="str">
        <x:v>Cookies &amp; Cream</x:v>
      </x:c>
      <x:c r="I209" s="10" t="str">
        <x:v>12</x:v>
      </x:c>
      <x:c r="J209" s="10" t="str">
        <x:v>Case</x:v>
      </x:c>
      <x:c r="K209" s="10" t="str">
        <x:v>In stock</x:v>
      </x:c>
      <x:c r="L209" s="10" t="str">
        <x:v>2026-09-08</x:v>
      </x:c>
      <x:c r="M209" s="10" t="str"/>
      <x:c r="N209" s="10" t="str"/>
      <x:c r="O209" s="10" t="str">
        <x:v>https://www.activesportstrade.co.uk/trade-convienience</x:v>
      </x:c>
      <x:c r="P209" s="10" t="str">
        <x:v>Supplier special-offer wording ignored.</x:v>
      </x:c>
      <x:c r="S209" t="str">
        <x:v>Pending genuine supplier/brand image</x:v>
      </x:c>
      <x:c r="T209" s="54" t="n">
        <x:v>16.99</x:v>
      </x:c>
      <x:c r="U209" s="47" t="n">
        <x:v>0.2</x:v>
      </x:c>
      <x:c r="V209" s="54" t="n">
        <x:f>IF(ISNUMBER(T209),T209*(1+U209),"")</x:f>
        <x:v>20.387999999999998</x:v>
      </x:c>
      <x:c r="W209" s="47" t="n">
        <x:v>0.3</x:v>
      </x:c>
      <x:c r="X209" s="54" t="n">
        <x:f>IF(ISNUMBER(V209),V209/(1-W209),"")</x:f>
        <x:v>29.125714285714285</x:v>
      </x:c>
      <x:c r="Y209" s="55" t="n">
        <x:f>IF(ISNUMBER(X209),ROUNDUP(X209,0),"")</x:f>
        <x:v>30</x:v>
      </x:c>
      <x:c r="Z209" t="str">
        <x:v>Source match pending</x:v>
      </x:c>
      <x:c r="AA209" t="str">
        <x:v>screencapture-www-activesportstrade-co-uk-10x-athletic-trade-2026-09-09-18_13_27.png / page-001</x:v>
      </x:c>
      <x:c r="AB209" s="36" t="n">
        <x:f>IF(ISNUMBER(Y209),ROUND(Y209*0.9,2),"")</x:f>
        <x:v>27</x:v>
      </x:c>
      <x:c r="AC209" s="36" t="n">
        <x:f>IF(ISNUMBER(AB209),ROUND(AB209-(AB209*0.015+0.2)-V209,2),"")</x:f>
        <x:v>6.01</x:v>
      </x:c>
      <x:c r="AD209" s="36" t="n">
        <x:f>IF(ISNUMBER(Y209),ROUND(Y209*0.8,2),"")</x:f>
        <x:v>24</x:v>
      </x:c>
      <x:c r="AE209" s="36" t="n">
        <x:f>IF(ISNUMBER(AD209),ROUND(AD209*0.015+0.2,2),"")</x:f>
        <x:v>0.56</x:v>
      </x:c>
      <x:c r="AF209" s="36" t="n">
        <x:f>IF(ISNUMBER(AD209),ROUND(AD209-AE209-V209,2),"")</x:f>
        <x:v>3.05</x:v>
      </x:c>
      <x:c r="AG209" t="str">
        <x:f>IF(NOT(ISNUMBER(T209)),"PENDING",IF(AF209&gt;0,"PASS","FAIL"))</x:f>
        <x:v>PASS</x:v>
      </x:c>
      <x:c r="AH209" t="str">
        <x:f>IF(NOT(ISNUMBER(T209)),"Needs supplier cost",IF(K209&lt;&gt;"In stock","Supplier unavailable",IF(AG209&lt;&gt;"PASS","BLOCK - GT loss risk","Commercially protected")))</x:f>
        <x:v>Commercially protected</x:v>
      </x:c>
      <x:c r="AI209" t="str">
        <x:v>2026-09-10 Active Sports trade capture</x:v>
      </x:c>
      <x:c r="AJ209" t="str">
        <x:v>Management-only economics. Stripe stress test uses 1.5% + £0.20 standard UK online-card fee; pallet/mix-and-match pricing ignored.</x:v>
      </x:c>
    </x:row>
    <x:row r="210">
      <x:c r="A210" s="10" t="str">
        <x:v>Active Sports Nutrition</x:v>
      </x:c>
      <x:c r="B210" s="10" t="str">
        <x:v>10X Athletic</x:v>
      </x:c>
      <x:c r="C210" s="10" t="str">
        <x:v>Protein Bars</x:v>
      </x:c>
      <x:c r="D210" s="10" t="str">
        <x:v>Drinks and Bars</x:v>
      </x:c>
      <x:c r="E210" s="10" t="str">
        <x:v>Bars and Snacks</x:v>
      </x:c>
      <x:c r="F210" s="10" t="str">
        <x:v>High-protein bar with caramel centre and protein nuggets.</x:v>
      </x:c>
      <x:c r="G210" s="10" t="str">
        <x:v>12 x 55g bars</x:v>
      </x:c>
      <x:c r="H210" s="10" t="str">
        <x:v>Milk Chocolate Pistachio</x:v>
      </x:c>
      <x:c r="I210" s="10" t="str">
        <x:v>12</x:v>
      </x:c>
      <x:c r="J210" s="10" t="str">
        <x:v>Case</x:v>
      </x:c>
      <x:c r="K210" s="10" t="str">
        <x:v>In stock</x:v>
      </x:c>
      <x:c r="L210" s="10" t="str">
        <x:v>2026-09-08</x:v>
      </x:c>
      <x:c r="M210" s="10" t="str"/>
      <x:c r="N210" s="10" t="str"/>
      <x:c r="O210" s="10" t="str">
        <x:v>https://www.activesportstrade.co.uk/trade-convienience</x:v>
      </x:c>
      <x:c r="P210" s="10" t="str">
        <x:v>Supplier special-offer wording ignored.</x:v>
      </x:c>
      <x:c r="S210" t="str">
        <x:v>Pending genuine supplier/brand image</x:v>
      </x:c>
      <x:c r="T210" s="54" t="n">
        <x:v>16.99</x:v>
      </x:c>
      <x:c r="U210" s="47" t="n">
        <x:v>0.2</x:v>
      </x:c>
      <x:c r="V210" s="54" t="n">
        <x:f>IF(ISNUMBER(T210),T210*(1+U210),"")</x:f>
        <x:v>20.387999999999998</x:v>
      </x:c>
      <x:c r="W210" s="47" t="n">
        <x:v>0.3</x:v>
      </x:c>
      <x:c r="X210" s="54" t="n">
        <x:f>IF(ISNUMBER(V210),V210/(1-W210),"")</x:f>
        <x:v>29.125714285714285</x:v>
      </x:c>
      <x:c r="Y210" s="55" t="n">
        <x:f>IF(ISNUMBER(X210),ROUNDUP(X210,0),"")</x:f>
        <x:v>30</x:v>
      </x:c>
      <x:c r="Z210" t="str">
        <x:v>Source match pending</x:v>
      </x:c>
      <x:c r="AA210" t="str">
        <x:v>screencapture-www-activesportstrade-co-uk-10x-athletic-trade-2026-09-09-18_13_27.png / page-001</x:v>
      </x:c>
      <x:c r="AB210" s="36" t="n">
        <x:f>IF(ISNUMBER(Y210),ROUND(Y210*0.9,2),"")</x:f>
        <x:v>27</x:v>
      </x:c>
      <x:c r="AC210" s="36" t="n">
        <x:f>IF(ISNUMBER(AB210),ROUND(AB210-(AB210*0.015+0.2)-V210,2),"")</x:f>
        <x:v>6.01</x:v>
      </x:c>
      <x:c r="AD210" s="36" t="n">
        <x:f>IF(ISNUMBER(Y210),ROUND(Y210*0.8,2),"")</x:f>
        <x:v>24</x:v>
      </x:c>
      <x:c r="AE210" s="36" t="n">
        <x:f>IF(ISNUMBER(AD210),ROUND(AD210*0.015+0.2,2),"")</x:f>
        <x:v>0.56</x:v>
      </x:c>
      <x:c r="AF210" s="36" t="n">
        <x:f>IF(ISNUMBER(AD210),ROUND(AD210-AE210-V210,2),"")</x:f>
        <x:v>3.05</x:v>
      </x:c>
      <x:c r="AG210" t="str">
        <x:f>IF(NOT(ISNUMBER(T210)),"PENDING",IF(AF210&gt;0,"PASS","FAIL"))</x:f>
        <x:v>PASS</x:v>
      </x:c>
      <x:c r="AH210" t="str">
        <x:f>IF(NOT(ISNUMBER(T210)),"Needs supplier cost",IF(K210&lt;&gt;"In stock","Supplier unavailable",IF(AG210&lt;&gt;"PASS","BLOCK - GT loss risk","Commercially protected")))</x:f>
        <x:v>Commercially protected</x:v>
      </x:c>
      <x:c r="AI210" t="str">
        <x:v>2026-09-10 Active Sports trade capture</x:v>
      </x:c>
      <x:c r="AJ210" t="str">
        <x:v>Management-only economics. Stripe stress test uses 1.5% + £0.20 standard UK online-card fee; pallet/mix-and-match pricing ignored.</x:v>
      </x:c>
    </x:row>
    <x:row r="211">
      <x:c r="A211" s="10" t="str">
        <x:v>Active Sports Nutrition</x:v>
      </x:c>
      <x:c r="B211" s="10" t="str">
        <x:v>10X Athletic</x:v>
      </x:c>
      <x:c r="C211" s="10" t="str">
        <x:v>Protein Bars</x:v>
      </x:c>
      <x:c r="D211" s="10" t="str">
        <x:v>Drinks and Bars</x:v>
      </x:c>
      <x:c r="E211" s="10" t="str">
        <x:v>Bars and Snacks</x:v>
      </x:c>
      <x:c r="F211" s="10" t="str">
        <x:v>High-protein bar with caramel centre and protein nuggets.</x:v>
      </x:c>
      <x:c r="G211" s="10" t="str">
        <x:v>12 x 55g bars</x:v>
      </x:c>
      <x:c r="H211" s="10" t="str">
        <x:v>Strawberries &amp; Cream</x:v>
      </x:c>
      <x:c r="I211" s="10" t="str">
        <x:v>12</x:v>
      </x:c>
      <x:c r="J211" s="10" t="str">
        <x:v>Case</x:v>
      </x:c>
      <x:c r="K211" s="10" t="str">
        <x:v>In stock</x:v>
      </x:c>
      <x:c r="L211" s="10" t="str">
        <x:v>2026-09-08</x:v>
      </x:c>
      <x:c r="M211" s="10" t="str"/>
      <x:c r="N211" s="10" t="str"/>
      <x:c r="O211" s="10" t="str">
        <x:v>https://www.activesportstrade.co.uk/trade-convienience</x:v>
      </x:c>
      <x:c r="P211" s="10" t="str">
        <x:v>Supplier special-offer wording ignored.</x:v>
      </x:c>
      <x:c r="S211" t="str">
        <x:v>Pending genuine supplier/brand image</x:v>
      </x:c>
      <x:c r="T211" s="54" t="n">
        <x:v>16.99</x:v>
      </x:c>
      <x:c r="U211" s="47" t="n">
        <x:v>0.2</x:v>
      </x:c>
      <x:c r="V211" s="54" t="n">
        <x:f>IF(ISNUMBER(T211),T211*(1+U211),"")</x:f>
        <x:v>20.387999999999998</x:v>
      </x:c>
      <x:c r="W211" s="47" t="n">
        <x:v>0.3</x:v>
      </x:c>
      <x:c r="X211" s="54" t="n">
        <x:f>IF(ISNUMBER(V211),V211/(1-W211),"")</x:f>
        <x:v>29.125714285714285</x:v>
      </x:c>
      <x:c r="Y211" s="55" t="n">
        <x:f>IF(ISNUMBER(X211),ROUNDUP(X211,0),"")</x:f>
        <x:v>30</x:v>
      </x:c>
      <x:c r="Z211" t="str">
        <x:v>Source match pending</x:v>
      </x:c>
      <x:c r="AA211" t="str">
        <x:v>screencapture-www-activesportstrade-co-uk-10x-athletic-trade-2026-09-09-18_13_27.png / page-001</x:v>
      </x:c>
      <x:c r="AB211" s="36" t="n">
        <x:f>IF(ISNUMBER(Y211),ROUND(Y211*0.9,2),"")</x:f>
        <x:v>27</x:v>
      </x:c>
      <x:c r="AC211" s="36" t="n">
        <x:f>IF(ISNUMBER(AB211),ROUND(AB211-(AB211*0.015+0.2)-V211,2),"")</x:f>
        <x:v>6.01</x:v>
      </x:c>
      <x:c r="AD211" s="36" t="n">
        <x:f>IF(ISNUMBER(Y211),ROUND(Y211*0.8,2),"")</x:f>
        <x:v>24</x:v>
      </x:c>
      <x:c r="AE211" s="36" t="n">
        <x:f>IF(ISNUMBER(AD211),ROUND(AD211*0.015+0.2,2),"")</x:f>
        <x:v>0.56</x:v>
      </x:c>
      <x:c r="AF211" s="36" t="n">
        <x:f>IF(ISNUMBER(AD211),ROUND(AD211-AE211-V211,2),"")</x:f>
        <x:v>3.05</x:v>
      </x:c>
      <x:c r="AG211" t="str">
        <x:f>IF(NOT(ISNUMBER(T211)),"PENDING",IF(AF211&gt;0,"PASS","FAIL"))</x:f>
        <x:v>PASS</x:v>
      </x:c>
      <x:c r="AH211" t="str">
        <x:f>IF(NOT(ISNUMBER(T211)),"Needs supplier cost",IF(K211&lt;&gt;"In stock","Supplier unavailable",IF(AG211&lt;&gt;"PASS","BLOCK - GT loss risk","Commercially protected")))</x:f>
        <x:v>Commercially protected</x:v>
      </x:c>
      <x:c r="AI211" t="str">
        <x:v>2026-09-10 Active Sports trade capture</x:v>
      </x:c>
      <x:c r="AJ211" t="str">
        <x:v>Management-only economics. Stripe stress test uses 1.5% + £0.20 standard UK online-card fee; pallet/mix-and-match pricing ignored.</x:v>
      </x:c>
    </x:row>
    <x:row r="212">
      <x:c r="A212" s="10" t="str">
        <x:v>Active Sports Nutrition</x:v>
      </x:c>
      <x:c r="B212" s="10" t="str">
        <x:v>10X Athletic</x:v>
      </x:c>
      <x:c r="C212" s="10" t="str">
        <x:v>Protein Bars</x:v>
      </x:c>
      <x:c r="D212" s="10" t="str">
        <x:v>Drinks and Bars</x:v>
      </x:c>
      <x:c r="E212" s="10" t="str">
        <x:v>Bars and Snacks</x:v>
      </x:c>
      <x:c r="F212" s="10" t="str">
        <x:v>High-protein bar with caramel centre and protein nuggets.</x:v>
      </x:c>
      <x:c r="G212" s="10" t="str">
        <x:v>12 x 55g bars</x:v>
      </x:c>
      <x:c r="H212" s="10" t="str">
        <x:v>White Chocolate Pistachio</x:v>
      </x:c>
      <x:c r="I212" s="10" t="str">
        <x:v>12</x:v>
      </x:c>
      <x:c r="J212" s="10" t="str">
        <x:v>Case</x:v>
      </x:c>
      <x:c r="K212" s="10" t="str">
        <x:v>In stock</x:v>
      </x:c>
      <x:c r="L212" s="10" t="str">
        <x:v>2026-09-08</x:v>
      </x:c>
      <x:c r="M212" s="10" t="str"/>
      <x:c r="N212" s="10" t="str"/>
      <x:c r="O212" s="10" t="str">
        <x:v>https://www.activesportstrade.co.uk/trade-convienience</x:v>
      </x:c>
      <x:c r="P212" s="10" t="str">
        <x:v>Supplier special-offer wording ignored.</x:v>
      </x:c>
      <x:c r="S212" t="str">
        <x:v>Pending genuine supplier/brand image</x:v>
      </x:c>
      <x:c r="T212" s="54" t="n">
        <x:v>16.99</x:v>
      </x:c>
      <x:c r="U212" s="47" t="n">
        <x:v>0.2</x:v>
      </x:c>
      <x:c r="V212" s="54" t="n">
        <x:f>IF(ISNUMBER(T212),T212*(1+U212),"")</x:f>
        <x:v>20.387999999999998</x:v>
      </x:c>
      <x:c r="W212" s="47" t="n">
        <x:v>0.3</x:v>
      </x:c>
      <x:c r="X212" s="54" t="n">
        <x:f>IF(ISNUMBER(V212),V212/(1-W212),"")</x:f>
        <x:v>29.125714285714285</x:v>
      </x:c>
      <x:c r="Y212" s="55" t="n">
        <x:f>IF(ISNUMBER(X212),ROUNDUP(X212,0),"")</x:f>
        <x:v>30</x:v>
      </x:c>
      <x:c r="Z212" t="str">
        <x:v>Source match pending</x:v>
      </x:c>
      <x:c r="AA212" t="str">
        <x:v>screencapture-www-activesportstrade-co-uk-10x-athletic-trade-2026-09-09-18_13_27.png / page-001</x:v>
      </x:c>
      <x:c r="AB212" s="36" t="n">
        <x:f>IF(ISNUMBER(Y212),ROUND(Y212*0.9,2),"")</x:f>
        <x:v>27</x:v>
      </x:c>
      <x:c r="AC212" s="36" t="n">
        <x:f>IF(ISNUMBER(AB212),ROUND(AB212-(AB212*0.015+0.2)-V212,2),"")</x:f>
        <x:v>6.01</x:v>
      </x:c>
      <x:c r="AD212" s="36" t="n">
        <x:f>IF(ISNUMBER(Y212),ROUND(Y212*0.8,2),"")</x:f>
        <x:v>24</x:v>
      </x:c>
      <x:c r="AE212" s="36" t="n">
        <x:f>IF(ISNUMBER(AD212),ROUND(AD212*0.015+0.2,2),"")</x:f>
        <x:v>0.56</x:v>
      </x:c>
      <x:c r="AF212" s="36" t="n">
        <x:f>IF(ISNUMBER(AD212),ROUND(AD212-AE212-V212,2),"")</x:f>
        <x:v>3.05</x:v>
      </x:c>
      <x:c r="AG212" t="str">
        <x:f>IF(NOT(ISNUMBER(T212)),"PENDING",IF(AF212&gt;0,"PASS","FAIL"))</x:f>
        <x:v>PASS</x:v>
      </x:c>
      <x:c r="AH212" t="str">
        <x:f>IF(NOT(ISNUMBER(T212)),"Needs supplier cost",IF(K212&lt;&gt;"In stock","Supplier unavailable",IF(AG212&lt;&gt;"PASS","BLOCK - GT loss risk","Commercially protected")))</x:f>
        <x:v>Commercially protected</x:v>
      </x:c>
      <x:c r="AI212" t="str">
        <x:v>2026-09-10 Active Sports trade capture</x:v>
      </x:c>
      <x:c r="AJ212" t="str">
        <x:v>Management-only economics. Stripe stress test uses 1.5% + £0.20 standard UK online-card fee; pallet/mix-and-match pricing ignored.</x:v>
      </x:c>
    </x:row>
    <x:row r="213">
      <x:c r="A213" s="10" t="str">
        <x:v>Active Sports Nutrition</x:v>
      </x:c>
      <x:c r="B213" s="10" t="str">
        <x:v>10X Athletic</x:v>
      </x:c>
      <x:c r="C213" s="10" t="str">
        <x:v>Extreme STIM Pre Workout</x:v>
      </x:c>
      <x:c r="D213" s="10" t="str">
        <x:v>Pre Workouts</x:v>
      </x:c>
      <x:c r="E213" s="10" t="str">
        <x:v>High Stim</x:v>
      </x:c>
      <x:c r="F213" s="10" t="str">
        <x:v>High-stimulant pre-workout.</x:v>
      </x:c>
      <x:c r="G213" s="10" t="str">
        <x:v>600g</x:v>
      </x:c>
      <x:c r="H213" s="10" t="str">
        <x:v>Apple Attack</x:v>
      </x:c>
      <x:c r="I213" s="10" t="str"/>
      <x:c r="J213" s="10" t="str">
        <x:v>Unit</x:v>
      </x:c>
      <x:c r="K213" s="10" t="str">
        <x:v>In stock</x:v>
      </x:c>
      <x:c r="L213" s="10" t="str">
        <x:v>2026-09-08</x:v>
      </x:c>
      <x:c r="M213" s="10" t="str"/>
      <x:c r="N213" s="10" t="str"/>
      <x:c r="O213" s="10" t="str">
        <x:v>https://www.activesportstrade.co.uk/trade-pre-workout-supplements</x:v>
      </x:c>
      <x:c r="P213" s="10" t="str"/>
      <x:c r="S213" t="str">
        <x:v>Pending genuine supplier/brand image</x:v>
      </x:c>
      <x:c r="T213" s="54" t="n">
        <x:v>18.99</x:v>
      </x:c>
      <x:c r="U213" s="47" t="n">
        <x:v>0.2</x:v>
      </x:c>
      <x:c r="V213" s="54" t="n">
        <x:f>IF(ISNUMBER(T213),T213*(1+U213),"")</x:f>
        <x:v>22.787999999999997</x:v>
      </x:c>
      <x:c r="W213" s="47" t="n">
        <x:v>0.3</x:v>
      </x:c>
      <x:c r="X213" s="54" t="n">
        <x:f>IF(ISNUMBER(V213),V213/(1-W213),"")</x:f>
        <x:v>32.55428571428571</x:v>
      </x:c>
      <x:c r="Y213" s="55" t="n">
        <x:f>IF(ISNUMBER(X213),ROUNDUP(X213,0),"")</x:f>
        <x:v>33</x:v>
      </x:c>
      <x:c r="Z213" t="str">
        <x:v>Source match pending</x:v>
      </x:c>
      <x:c r="AA213" t="str">
        <x:v>screencapture-www-activesportstrade-co-uk-10x-athletic-trade-2026-09-09-18_13_27.png / page-001</x:v>
      </x:c>
      <x:c r="AB213" s="36" t="n">
        <x:f>IF(ISNUMBER(Y213),ROUND(Y213*0.9,2),"")</x:f>
        <x:v>29.7</x:v>
      </x:c>
      <x:c r="AC213" s="36" t="n">
        <x:f>IF(ISNUMBER(AB213),ROUND(AB213-(AB213*0.015+0.2)-V213,2),"")</x:f>
        <x:v>6.27</x:v>
      </x:c>
      <x:c r="AD213" s="36" t="n">
        <x:f>IF(ISNUMBER(Y213),ROUND(Y213*0.8,2),"")</x:f>
        <x:v>26.4</x:v>
      </x:c>
      <x:c r="AE213" s="36" t="n">
        <x:f>IF(ISNUMBER(AD213),ROUND(AD213*0.015+0.2,2),"")</x:f>
        <x:v>0.6</x:v>
      </x:c>
      <x:c r="AF213" s="36" t="n">
        <x:f>IF(ISNUMBER(AD213),ROUND(AD213-AE213-V213,2),"")</x:f>
        <x:v>3.01</x:v>
      </x:c>
      <x:c r="AG213" t="str">
        <x:f>IF(NOT(ISNUMBER(T213)),"PENDING",IF(AF213&gt;0,"PASS","FAIL"))</x:f>
        <x:v>PASS</x:v>
      </x:c>
      <x:c r="AH213" t="str">
        <x:f>IF(NOT(ISNUMBER(T213)),"Needs supplier cost",IF(K213&lt;&gt;"In stock","Supplier unavailable",IF(AG213&lt;&gt;"PASS","BLOCK - GT loss risk","Commercially protected")))</x:f>
        <x:v>Commercially protected</x:v>
      </x:c>
      <x:c r="AI213" t="str">
        <x:v>2026-09-10 Active Sports trade capture</x:v>
      </x:c>
      <x:c r="AJ213" t="str">
        <x:v>Management-only economics. Stripe stress test uses 1.5% + £0.20 standard UK online-card fee; pallet/mix-and-match pricing ignored.</x:v>
      </x:c>
    </x:row>
    <x:row r="214">
      <x:c r="A214" s="10" t="str">
        <x:v>Active Sports Nutrition</x:v>
      </x:c>
      <x:c r="B214" s="10" t="str">
        <x:v>10X Athletic</x:v>
      </x:c>
      <x:c r="C214" s="10" t="str">
        <x:v>Extreme STIM Pre Workout</x:v>
      </x:c>
      <x:c r="D214" s="10" t="str">
        <x:v>Pre Workouts</x:v>
      </x:c>
      <x:c r="E214" s="10" t="str">
        <x:v>High Stim</x:v>
      </x:c>
      <x:c r="F214" s="10" t="str">
        <x:v>High-stimulant pre-workout.</x:v>
      </x:c>
      <x:c r="G214" s="10" t="str">
        <x:v>600g</x:v>
      </x:c>
      <x:c r="H214" s="10" t="str">
        <x:v>Atomic Orange</x:v>
      </x:c>
      <x:c r="I214" s="10" t="str"/>
      <x:c r="J214" s="10" t="str">
        <x:v>Unit</x:v>
      </x:c>
      <x:c r="K214" s="10" t="str">
        <x:v>In stock</x:v>
      </x:c>
      <x:c r="L214" s="10" t="str">
        <x:v>2026-09-08</x:v>
      </x:c>
      <x:c r="M214" s="10" t="str"/>
      <x:c r="N214" s="10" t="str"/>
      <x:c r="O214" s="10" t="str">
        <x:v>https://www.activesportstrade.co.uk/trade-pre-workout-supplements</x:v>
      </x:c>
      <x:c r="P214" s="10" t="str"/>
      <x:c r="S214" t="str">
        <x:v>Pending genuine supplier/brand image</x:v>
      </x:c>
      <x:c r="T214" s="54" t="n">
        <x:v>18.99</x:v>
      </x:c>
      <x:c r="U214" s="47" t="n">
        <x:v>0.2</x:v>
      </x:c>
      <x:c r="V214" s="54" t="n">
        <x:f>IF(ISNUMBER(T214),T214*(1+U214),"")</x:f>
        <x:v>22.787999999999997</x:v>
      </x:c>
      <x:c r="W214" s="47" t="n">
        <x:v>0.3</x:v>
      </x:c>
      <x:c r="X214" s="54" t="n">
        <x:f>IF(ISNUMBER(V214),V214/(1-W214),"")</x:f>
        <x:v>32.55428571428571</x:v>
      </x:c>
      <x:c r="Y214" s="55" t="n">
        <x:f>IF(ISNUMBER(X214),ROUNDUP(X214,0),"")</x:f>
        <x:v>33</x:v>
      </x:c>
      <x:c r="Z214" t="str">
        <x:v>Source match pending</x:v>
      </x:c>
      <x:c r="AA214" t="str">
        <x:v>screencapture-www-activesportstrade-co-uk-10x-athletic-trade-2026-09-09-18_13_27.png / page-001</x:v>
      </x:c>
      <x:c r="AB214" s="36" t="n">
        <x:f>IF(ISNUMBER(Y214),ROUND(Y214*0.9,2),"")</x:f>
        <x:v>29.7</x:v>
      </x:c>
      <x:c r="AC214" s="36" t="n">
        <x:f>IF(ISNUMBER(AB214),ROUND(AB214-(AB214*0.015+0.2)-V214,2),"")</x:f>
        <x:v>6.27</x:v>
      </x:c>
      <x:c r="AD214" s="36" t="n">
        <x:f>IF(ISNUMBER(Y214),ROUND(Y214*0.8,2),"")</x:f>
        <x:v>26.4</x:v>
      </x:c>
      <x:c r="AE214" s="36" t="n">
        <x:f>IF(ISNUMBER(AD214),ROUND(AD214*0.015+0.2,2),"")</x:f>
        <x:v>0.6</x:v>
      </x:c>
      <x:c r="AF214" s="36" t="n">
        <x:f>IF(ISNUMBER(AD214),ROUND(AD214-AE214-V214,2),"")</x:f>
        <x:v>3.01</x:v>
      </x:c>
      <x:c r="AG214" t="str">
        <x:f>IF(NOT(ISNUMBER(T214)),"PENDING",IF(AF214&gt;0,"PASS","FAIL"))</x:f>
        <x:v>PASS</x:v>
      </x:c>
      <x:c r="AH214" t="str">
        <x:f>IF(NOT(ISNUMBER(T214)),"Needs supplier cost",IF(K214&lt;&gt;"In stock","Supplier unavailable",IF(AG214&lt;&gt;"PASS","BLOCK - GT loss risk","Commercially protected")))</x:f>
        <x:v>Commercially protected</x:v>
      </x:c>
      <x:c r="AI214" t="str">
        <x:v>2026-09-10 Active Sports trade capture</x:v>
      </x:c>
      <x:c r="AJ214" t="str">
        <x:v>Management-only economics. Stripe stress test uses 1.5% + £0.20 standard UK online-card fee; pallet/mix-and-match pricing ignored.</x:v>
      </x:c>
    </x:row>
    <x:row r="215">
      <x:c r="A215" s="10" t="str">
        <x:v>Active Sports Nutrition</x:v>
      </x:c>
      <x:c r="B215" s="10" t="str">
        <x:v>10X Athletic</x:v>
      </x:c>
      <x:c r="C215" s="10" t="str">
        <x:v>Extreme STIM Pre Workout</x:v>
      </x:c>
      <x:c r="D215" s="10" t="str">
        <x:v>Pre Workouts</x:v>
      </x:c>
      <x:c r="E215" s="10" t="str">
        <x:v>High Stim</x:v>
      </x:c>
      <x:c r="F215" s="10" t="str">
        <x:v>High-stimulant pre-workout.</x:v>
      </x:c>
      <x:c r="G215" s="10" t="str">
        <x:v>600g</x:v>
      </x:c>
      <x:c r="H215" s="10" t="str">
        <x:v>Cobra Ki</x:v>
      </x:c>
      <x:c r="I215" s="10" t="str"/>
      <x:c r="J215" s="10" t="str">
        <x:v>Unit</x:v>
      </x:c>
      <x:c r="K215" s="10" t="str">
        <x:v>In stock</x:v>
      </x:c>
      <x:c r="L215" s="10" t="str">
        <x:v>2026-09-08</x:v>
      </x:c>
      <x:c r="M215" s="10" t="str"/>
      <x:c r="N215" s="10" t="str"/>
      <x:c r="O215" s="10" t="str">
        <x:v>https://www.activesportstrade.co.uk/trade-pre-workout-supplements</x:v>
      </x:c>
      <x:c r="P215" s="10" t="str"/>
      <x:c r="S215" t="str">
        <x:v>Pending genuine supplier/brand image</x:v>
      </x:c>
      <x:c r="T215" s="54" t="n">
        <x:v>18.99</x:v>
      </x:c>
      <x:c r="U215" s="47" t="n">
        <x:v>0.2</x:v>
      </x:c>
      <x:c r="V215" s="54" t="n">
        <x:f>IF(ISNUMBER(T215),T215*(1+U215),"")</x:f>
        <x:v>22.787999999999997</x:v>
      </x:c>
      <x:c r="W215" s="47" t="n">
        <x:v>0.3</x:v>
      </x:c>
      <x:c r="X215" s="54" t="n">
        <x:f>IF(ISNUMBER(V215),V215/(1-W215),"")</x:f>
        <x:v>32.55428571428571</x:v>
      </x:c>
      <x:c r="Y215" s="55" t="n">
        <x:f>IF(ISNUMBER(X215),ROUNDUP(X215,0),"")</x:f>
        <x:v>33</x:v>
      </x:c>
      <x:c r="Z215" t="str">
        <x:v>Source match pending</x:v>
      </x:c>
      <x:c r="AA215" t="str">
        <x:v>screencapture-www-activesportstrade-co-uk-10x-athletic-trade-2026-09-09-18_13_27.png / page-001</x:v>
      </x:c>
      <x:c r="AB215" s="36" t="n">
        <x:f>IF(ISNUMBER(Y215),ROUND(Y215*0.9,2),"")</x:f>
        <x:v>29.7</x:v>
      </x:c>
      <x:c r="AC215" s="36" t="n">
        <x:f>IF(ISNUMBER(AB215),ROUND(AB215-(AB215*0.015+0.2)-V215,2),"")</x:f>
        <x:v>6.27</x:v>
      </x:c>
      <x:c r="AD215" s="36" t="n">
        <x:f>IF(ISNUMBER(Y215),ROUND(Y215*0.8,2),"")</x:f>
        <x:v>26.4</x:v>
      </x:c>
      <x:c r="AE215" s="36" t="n">
        <x:f>IF(ISNUMBER(AD215),ROUND(AD215*0.015+0.2,2),"")</x:f>
        <x:v>0.6</x:v>
      </x:c>
      <x:c r="AF215" s="36" t="n">
        <x:f>IF(ISNUMBER(AD215),ROUND(AD215-AE215-V215,2),"")</x:f>
        <x:v>3.01</x:v>
      </x:c>
      <x:c r="AG215" t="str">
        <x:f>IF(NOT(ISNUMBER(T215)),"PENDING",IF(AF215&gt;0,"PASS","FAIL"))</x:f>
        <x:v>PASS</x:v>
      </x:c>
      <x:c r="AH215" t="str">
        <x:f>IF(NOT(ISNUMBER(T215)),"Needs supplier cost",IF(K215&lt;&gt;"In stock","Supplier unavailable",IF(AG215&lt;&gt;"PASS","BLOCK - GT loss risk","Commercially protected")))</x:f>
        <x:v>Commercially protected</x:v>
      </x:c>
      <x:c r="AI215" t="str">
        <x:v>2026-09-10 Active Sports trade capture</x:v>
      </x:c>
      <x:c r="AJ215" t="str">
        <x:v>Management-only economics. Stripe stress test uses 1.5% + £0.20 standard UK online-card fee; pallet/mix-and-match pricing ignored.</x:v>
      </x:c>
    </x:row>
    <x:row r="216">
      <x:c r="A216" s="10" t="str">
        <x:v>Active Sports Nutrition</x:v>
      </x:c>
      <x:c r="B216" s="10" t="str">
        <x:v>10X Athletic</x:v>
      </x:c>
      <x:c r="C216" s="10" t="str">
        <x:v>Extreme STIM Pre Workout</x:v>
      </x:c>
      <x:c r="D216" s="10" t="str">
        <x:v>Pre Workouts</x:v>
      </x:c>
      <x:c r="E216" s="10" t="str">
        <x:v>High Stim</x:v>
      </x:c>
      <x:c r="F216" s="10" t="str">
        <x:v>High-stimulant pre-workout.</x:v>
      </x:c>
      <x:c r="G216" s="10" t="str">
        <x:v>600g</x:v>
      </x:c>
      <x:c r="H216" s="10" t="str">
        <x:v>Fruit Bomb</x:v>
      </x:c>
      <x:c r="I216" s="10" t="str"/>
      <x:c r="J216" s="10" t="str">
        <x:v>Unit</x:v>
      </x:c>
      <x:c r="K216" s="10" t="str">
        <x:v>In stock</x:v>
      </x:c>
      <x:c r="L216" s="10" t="str">
        <x:v>2026-09-08</x:v>
      </x:c>
      <x:c r="M216" s="10" t="str"/>
      <x:c r="N216" s="10" t="str"/>
      <x:c r="O216" s="10" t="str">
        <x:v>https://www.activesportstrade.co.uk/trade-pre-workout-supplements</x:v>
      </x:c>
      <x:c r="P216" s="10" t="str"/>
      <x:c r="S216" t="str">
        <x:v>Pending genuine supplier/brand image</x:v>
      </x:c>
      <x:c r="T216" s="54" t="n">
        <x:v>18.99</x:v>
      </x:c>
      <x:c r="U216" s="47" t="n">
        <x:v>0.2</x:v>
      </x:c>
      <x:c r="V216" s="54" t="n">
        <x:f>IF(ISNUMBER(T216),T216*(1+U216),"")</x:f>
        <x:v>22.787999999999997</x:v>
      </x:c>
      <x:c r="W216" s="47" t="n">
        <x:v>0.3</x:v>
      </x:c>
      <x:c r="X216" s="54" t="n">
        <x:f>IF(ISNUMBER(V216),V216/(1-W216),"")</x:f>
        <x:v>32.55428571428571</x:v>
      </x:c>
      <x:c r="Y216" s="55" t="n">
        <x:f>IF(ISNUMBER(X216),ROUNDUP(X216,0),"")</x:f>
        <x:v>33</x:v>
      </x:c>
      <x:c r="Z216" t="str">
        <x:v>Source match pending</x:v>
      </x:c>
      <x:c r="AA216" t="str">
        <x:v>screencapture-www-activesportstrade-co-uk-10x-athletic-trade-2026-09-09-18_13_27.png / page-001</x:v>
      </x:c>
      <x:c r="AB216" s="36" t="n">
        <x:f>IF(ISNUMBER(Y216),ROUND(Y216*0.9,2),"")</x:f>
        <x:v>29.7</x:v>
      </x:c>
      <x:c r="AC216" s="36" t="n">
        <x:f>IF(ISNUMBER(AB216),ROUND(AB216-(AB216*0.015+0.2)-V216,2),"")</x:f>
        <x:v>6.27</x:v>
      </x:c>
      <x:c r="AD216" s="36" t="n">
        <x:f>IF(ISNUMBER(Y216),ROUND(Y216*0.8,2),"")</x:f>
        <x:v>26.4</x:v>
      </x:c>
      <x:c r="AE216" s="36" t="n">
        <x:f>IF(ISNUMBER(AD216),ROUND(AD216*0.015+0.2,2),"")</x:f>
        <x:v>0.6</x:v>
      </x:c>
      <x:c r="AF216" s="36" t="n">
        <x:f>IF(ISNUMBER(AD216),ROUND(AD216-AE216-V216,2),"")</x:f>
        <x:v>3.01</x:v>
      </x:c>
      <x:c r="AG216" t="str">
        <x:f>IF(NOT(ISNUMBER(T216)),"PENDING",IF(AF216&gt;0,"PASS","FAIL"))</x:f>
        <x:v>PASS</x:v>
      </x:c>
      <x:c r="AH216" t="str">
        <x:f>IF(NOT(ISNUMBER(T216)),"Needs supplier cost",IF(K216&lt;&gt;"In stock","Supplier unavailable",IF(AG216&lt;&gt;"PASS","BLOCK - GT loss risk","Commercially protected")))</x:f>
        <x:v>Commercially protected</x:v>
      </x:c>
      <x:c r="AI216" t="str">
        <x:v>2026-09-10 Active Sports trade capture</x:v>
      </x:c>
      <x:c r="AJ216" t="str">
        <x:v>Management-only economics. Stripe stress test uses 1.5% + £0.20 standard UK online-card fee; pallet/mix-and-match pricing ignored.</x:v>
      </x:c>
    </x:row>
    <x:row r="217">
      <x:c r="A217" s="10" t="str">
        <x:v>Active Sports Nutrition</x:v>
      </x:c>
      <x:c r="B217" s="10" t="str">
        <x:v>10X Athletic</x:v>
      </x:c>
      <x:c r="C217" s="10" t="str">
        <x:v>Extreme STIM Pre Workout</x:v>
      </x:c>
      <x:c r="D217" s="10" t="str">
        <x:v>Pre Workouts</x:v>
      </x:c>
      <x:c r="E217" s="10" t="str">
        <x:v>High Stim</x:v>
      </x:c>
      <x:c r="F217" s="10" t="str">
        <x:v>High-stimulant pre-workout.</x:v>
      </x:c>
      <x:c r="G217" s="10" t="str">
        <x:v>600g</x:v>
      </x:c>
      <x:c r="H217" s="10" t="str">
        <x:v>Loco Lemon</x:v>
      </x:c>
      <x:c r="I217" s="10" t="str"/>
      <x:c r="J217" s="10" t="str">
        <x:v>Unit</x:v>
      </x:c>
      <x:c r="K217" s="10" t="str">
        <x:v>In stock</x:v>
      </x:c>
      <x:c r="L217" s="10" t="str">
        <x:v>2026-09-08</x:v>
      </x:c>
      <x:c r="M217" s="10" t="str"/>
      <x:c r="N217" s="10" t="str"/>
      <x:c r="O217" s="10" t="str">
        <x:v>https://www.activesportstrade.co.uk/trade-pre-workout-supplements</x:v>
      </x:c>
      <x:c r="P217" s="10" t="str"/>
      <x:c r="S217" t="str">
        <x:v>Pending genuine supplier/brand image</x:v>
      </x:c>
      <x:c r="T217" s="54" t="n">
        <x:v>18.99</x:v>
      </x:c>
      <x:c r="U217" s="47" t="n">
        <x:v>0.2</x:v>
      </x:c>
      <x:c r="V217" s="54" t="n">
        <x:f>IF(ISNUMBER(T217),T217*(1+U217),"")</x:f>
        <x:v>22.787999999999997</x:v>
      </x:c>
      <x:c r="W217" s="47" t="n">
        <x:v>0.3</x:v>
      </x:c>
      <x:c r="X217" s="54" t="n">
        <x:f>IF(ISNUMBER(V217),V217/(1-W217),"")</x:f>
        <x:v>32.55428571428571</x:v>
      </x:c>
      <x:c r="Y217" s="55" t="n">
        <x:f>IF(ISNUMBER(X217),ROUNDUP(X217,0),"")</x:f>
        <x:v>33</x:v>
      </x:c>
      <x:c r="Z217" t="str">
        <x:v>Source match pending</x:v>
      </x:c>
      <x:c r="AA217" t="str">
        <x:v>screencapture-www-activesportstrade-co-uk-10x-athletic-trade-2026-09-09-18_13_27.png / page-001</x:v>
      </x:c>
      <x:c r="AB217" s="36" t="n">
        <x:f>IF(ISNUMBER(Y217),ROUND(Y217*0.9,2),"")</x:f>
        <x:v>29.7</x:v>
      </x:c>
      <x:c r="AC217" s="36" t="n">
        <x:f>IF(ISNUMBER(AB217),ROUND(AB217-(AB217*0.015+0.2)-V217,2),"")</x:f>
        <x:v>6.27</x:v>
      </x:c>
      <x:c r="AD217" s="36" t="n">
        <x:f>IF(ISNUMBER(Y217),ROUND(Y217*0.8,2),"")</x:f>
        <x:v>26.4</x:v>
      </x:c>
      <x:c r="AE217" s="36" t="n">
        <x:f>IF(ISNUMBER(AD217),ROUND(AD217*0.015+0.2,2),"")</x:f>
        <x:v>0.6</x:v>
      </x:c>
      <x:c r="AF217" s="36" t="n">
        <x:f>IF(ISNUMBER(AD217),ROUND(AD217-AE217-V217,2),"")</x:f>
        <x:v>3.01</x:v>
      </x:c>
      <x:c r="AG217" t="str">
        <x:f>IF(NOT(ISNUMBER(T217)),"PENDING",IF(AF217&gt;0,"PASS","FAIL"))</x:f>
        <x:v>PASS</x:v>
      </x:c>
      <x:c r="AH217" t="str">
        <x:f>IF(NOT(ISNUMBER(T217)),"Needs supplier cost",IF(K217&lt;&gt;"In stock","Supplier unavailable",IF(AG217&lt;&gt;"PASS","BLOCK - GT loss risk","Commercially protected")))</x:f>
        <x:v>Commercially protected</x:v>
      </x:c>
      <x:c r="AI217" t="str">
        <x:v>2026-09-10 Active Sports trade capture</x:v>
      </x:c>
      <x:c r="AJ217" t="str">
        <x:v>Management-only economics. Stripe stress test uses 1.5% + £0.20 standard UK online-card fee; pallet/mix-and-match pricing ignored.</x:v>
      </x:c>
    </x:row>
    <x:row r="218">
      <x:c r="A218" s="10" t="str">
        <x:v>Active Sports Nutrition</x:v>
      </x:c>
      <x:c r="B218" s="10" t="str">
        <x:v>10X Athletic</x:v>
      </x:c>
      <x:c r="C218" s="10" t="str">
        <x:v>Extreme STIM Pre Workout</x:v>
      </x:c>
      <x:c r="D218" s="10" t="str">
        <x:v>Pre Workouts</x:v>
      </x:c>
      <x:c r="E218" s="10" t="str">
        <x:v>High Stim</x:v>
      </x:c>
      <x:c r="F218" s="10" t="str">
        <x:v>High-stimulant pre-workout.</x:v>
      </x:c>
      <x:c r="G218" s="10" t="str">
        <x:v>600g</x:v>
      </x:c>
      <x:c r="H218" s="10" t="str">
        <x:v>Mad Mandarin</x:v>
      </x:c>
      <x:c r="I218" s="10" t="str"/>
      <x:c r="J218" s="10" t="str">
        <x:v>Unit</x:v>
      </x:c>
      <x:c r="K218" s="10" t="str">
        <x:v>In stock</x:v>
      </x:c>
      <x:c r="L218" s="10" t="str">
        <x:v>2026-09-08</x:v>
      </x:c>
      <x:c r="M218" s="10" t="str"/>
      <x:c r="N218" s="10" t="str"/>
      <x:c r="O218" s="10" t="str">
        <x:v>https://www.activesportstrade.co.uk/trade-pre-workout-supplements</x:v>
      </x:c>
      <x:c r="P218" s="10" t="str"/>
      <x:c r="S218" t="str">
        <x:v>Pending genuine supplier/brand image</x:v>
      </x:c>
      <x:c r="T218" s="54" t="n">
        <x:v>18.99</x:v>
      </x:c>
      <x:c r="U218" s="47" t="n">
        <x:v>0.2</x:v>
      </x:c>
      <x:c r="V218" s="54" t="n">
        <x:f>IF(ISNUMBER(T218),T218*(1+U218),"")</x:f>
        <x:v>22.787999999999997</x:v>
      </x:c>
      <x:c r="W218" s="47" t="n">
        <x:v>0.3</x:v>
      </x:c>
      <x:c r="X218" s="54" t="n">
        <x:f>IF(ISNUMBER(V218),V218/(1-W218),"")</x:f>
        <x:v>32.55428571428571</x:v>
      </x:c>
      <x:c r="Y218" s="55" t="n">
        <x:f>IF(ISNUMBER(X218),ROUNDUP(X218,0),"")</x:f>
        <x:v>33</x:v>
      </x:c>
      <x:c r="Z218" t="str">
        <x:v>Source match pending</x:v>
      </x:c>
      <x:c r="AA218" t="str">
        <x:v>screencapture-www-activesportstrade-co-uk-10x-athletic-trade-2026-09-09-18_13_27.png / page-001</x:v>
      </x:c>
      <x:c r="AB218" s="36" t="n">
        <x:f>IF(ISNUMBER(Y218),ROUND(Y218*0.9,2),"")</x:f>
        <x:v>29.7</x:v>
      </x:c>
      <x:c r="AC218" s="36" t="n">
        <x:f>IF(ISNUMBER(AB218),ROUND(AB218-(AB218*0.015+0.2)-V218,2),"")</x:f>
        <x:v>6.27</x:v>
      </x:c>
      <x:c r="AD218" s="36" t="n">
        <x:f>IF(ISNUMBER(Y218),ROUND(Y218*0.8,2),"")</x:f>
        <x:v>26.4</x:v>
      </x:c>
      <x:c r="AE218" s="36" t="n">
        <x:f>IF(ISNUMBER(AD218),ROUND(AD218*0.015+0.2,2),"")</x:f>
        <x:v>0.6</x:v>
      </x:c>
      <x:c r="AF218" s="36" t="n">
        <x:f>IF(ISNUMBER(AD218),ROUND(AD218-AE218-V218,2),"")</x:f>
        <x:v>3.01</x:v>
      </x:c>
      <x:c r="AG218" t="str">
        <x:f>IF(NOT(ISNUMBER(T218)),"PENDING",IF(AF218&gt;0,"PASS","FAIL"))</x:f>
        <x:v>PASS</x:v>
      </x:c>
      <x:c r="AH218" t="str">
        <x:f>IF(NOT(ISNUMBER(T218)),"Needs supplier cost",IF(K218&lt;&gt;"In stock","Supplier unavailable",IF(AG218&lt;&gt;"PASS","BLOCK - GT loss risk","Commercially protected")))</x:f>
        <x:v>Commercially protected</x:v>
      </x:c>
      <x:c r="AI218" t="str">
        <x:v>2026-09-10 Active Sports trade capture</x:v>
      </x:c>
      <x:c r="AJ218" t="str">
        <x:v>Management-only economics. Stripe stress test uses 1.5% + £0.20 standard UK online-card fee; pallet/mix-and-match pricing ignored.</x:v>
      </x:c>
    </x:row>
    <x:row r="219">
      <x:c r="A219" s="10" t="str">
        <x:v>Active Sports Nutrition</x:v>
      </x:c>
      <x:c r="B219" s="10" t="str">
        <x:v>10X Athletic</x:v>
      </x:c>
      <x:c r="C219" s="10" t="str">
        <x:v>Extreme STIM Pre Workout</x:v>
      </x:c>
      <x:c r="D219" s="10" t="str">
        <x:v>Pre Workouts</x:v>
      </x:c>
      <x:c r="E219" s="10" t="str">
        <x:v>High Stim</x:v>
      </x:c>
      <x:c r="F219" s="10" t="str">
        <x:v>High-stimulant pre-workout.</x:v>
      </x:c>
      <x:c r="G219" s="10" t="str">
        <x:v>600g</x:v>
      </x:c>
      <x:c r="H219" s="10" t="str">
        <x:v>Peach Purge</x:v>
      </x:c>
      <x:c r="I219" s="10" t="str"/>
      <x:c r="J219" s="10" t="str">
        <x:v>Unit</x:v>
      </x:c>
      <x:c r="K219" s="10" t="str">
        <x:v>In stock</x:v>
      </x:c>
      <x:c r="L219" s="10" t="str">
        <x:v>2026-09-08</x:v>
      </x:c>
      <x:c r="M219" s="10" t="str"/>
      <x:c r="N219" s="10" t="str"/>
      <x:c r="O219" s="10" t="str">
        <x:v>https://www.activesportstrade.co.uk/trade-pre-workout-supplements</x:v>
      </x:c>
      <x:c r="P219" s="10" t="str"/>
      <x:c r="S219" t="str">
        <x:v>Pending genuine supplier/brand image</x:v>
      </x:c>
      <x:c r="T219" s="54" t="n">
        <x:v>18.99</x:v>
      </x:c>
      <x:c r="U219" s="47" t="n">
        <x:v>0.2</x:v>
      </x:c>
      <x:c r="V219" s="54" t="n">
        <x:f>IF(ISNUMBER(T219),T219*(1+U219),"")</x:f>
        <x:v>22.787999999999997</x:v>
      </x:c>
      <x:c r="W219" s="47" t="n">
        <x:v>0.3</x:v>
      </x:c>
      <x:c r="X219" s="54" t="n">
        <x:f>IF(ISNUMBER(V219),V219/(1-W219),"")</x:f>
        <x:v>32.55428571428571</x:v>
      </x:c>
      <x:c r="Y219" s="55" t="n">
        <x:f>IF(ISNUMBER(X219),ROUNDUP(X219,0),"")</x:f>
        <x:v>33</x:v>
      </x:c>
      <x:c r="Z219" t="str">
        <x:v>Source match pending</x:v>
      </x:c>
      <x:c r="AA219" t="str">
        <x:v>screencapture-www-activesportstrade-co-uk-10x-athletic-trade-2026-09-09-18_13_27.png / page-001</x:v>
      </x:c>
      <x:c r="AB219" s="36" t="n">
        <x:f>IF(ISNUMBER(Y219),ROUND(Y219*0.9,2),"")</x:f>
        <x:v>29.7</x:v>
      </x:c>
      <x:c r="AC219" s="36" t="n">
        <x:f>IF(ISNUMBER(AB219),ROUND(AB219-(AB219*0.015+0.2)-V219,2),"")</x:f>
        <x:v>6.27</x:v>
      </x:c>
      <x:c r="AD219" s="36" t="n">
        <x:f>IF(ISNUMBER(Y219),ROUND(Y219*0.8,2),"")</x:f>
        <x:v>26.4</x:v>
      </x:c>
      <x:c r="AE219" s="36" t="n">
        <x:f>IF(ISNUMBER(AD219),ROUND(AD219*0.015+0.2,2),"")</x:f>
        <x:v>0.6</x:v>
      </x:c>
      <x:c r="AF219" s="36" t="n">
        <x:f>IF(ISNUMBER(AD219),ROUND(AD219-AE219-V219,2),"")</x:f>
        <x:v>3.01</x:v>
      </x:c>
      <x:c r="AG219" t="str">
        <x:f>IF(NOT(ISNUMBER(T219)),"PENDING",IF(AF219&gt;0,"PASS","FAIL"))</x:f>
        <x:v>PASS</x:v>
      </x:c>
      <x:c r="AH219" t="str">
        <x:f>IF(NOT(ISNUMBER(T219)),"Needs supplier cost",IF(K219&lt;&gt;"In stock","Supplier unavailable",IF(AG219&lt;&gt;"PASS","BLOCK - GT loss risk","Commercially protected")))</x:f>
        <x:v>Commercially protected</x:v>
      </x:c>
      <x:c r="AI219" t="str">
        <x:v>2026-09-10 Active Sports trade capture</x:v>
      </x:c>
      <x:c r="AJ219" t="str">
        <x:v>Management-only economics. Stripe stress test uses 1.5% + £0.20 standard UK online-card fee; pallet/mix-and-match pricing ignored.</x:v>
      </x:c>
    </x:row>
    <x:row r="220">
      <x:c r="A220" s="10" t="str">
        <x:v>Active Sports Nutrition</x:v>
      </x:c>
      <x:c r="B220" s="10" t="str">
        <x:v>10X Athletic</x:v>
      </x:c>
      <x:c r="C220" s="10" t="str">
        <x:v>Extreme STIM Pre Workout</x:v>
      </x:c>
      <x:c r="D220" s="10" t="str">
        <x:v>Pre Workouts</x:v>
      </x:c>
      <x:c r="E220" s="10" t="str">
        <x:v>High Stim</x:v>
      </x:c>
      <x:c r="F220" s="10" t="str">
        <x:v>High-stimulant pre-workout.</x:v>
      </x:c>
      <x:c r="G220" s="10" t="str">
        <x:v>600g</x:v>
      </x:c>
      <x:c r="H220" s="10" t="str">
        <x:v>Wreck It Raz</x:v>
      </x:c>
      <x:c r="I220" s="10" t="str"/>
      <x:c r="J220" s="10" t="str">
        <x:v>Unit</x:v>
      </x:c>
      <x:c r="K220" s="10" t="str">
        <x:v>In stock</x:v>
      </x:c>
      <x:c r="L220" s="10" t="str">
        <x:v>2026-09-08</x:v>
      </x:c>
      <x:c r="M220" s="10" t="str"/>
      <x:c r="N220" s="10" t="str"/>
      <x:c r="O220" s="10" t="str">
        <x:v>https://www.activesportstrade.co.uk/trade-pre-workout-supplements</x:v>
      </x:c>
      <x:c r="P220" s="10" t="str"/>
      <x:c r="S220" t="str">
        <x:v>Pending genuine supplier/brand image</x:v>
      </x:c>
      <x:c r="T220" s="54" t="n">
        <x:v>18.99</x:v>
      </x:c>
      <x:c r="U220" s="47" t="n">
        <x:v>0.2</x:v>
      </x:c>
      <x:c r="V220" s="54" t="n">
        <x:f>IF(ISNUMBER(T220),T220*(1+U220),"")</x:f>
        <x:v>22.787999999999997</x:v>
      </x:c>
      <x:c r="W220" s="47" t="n">
        <x:v>0.3</x:v>
      </x:c>
      <x:c r="X220" s="54" t="n">
        <x:f>IF(ISNUMBER(V220),V220/(1-W220),"")</x:f>
        <x:v>32.55428571428571</x:v>
      </x:c>
      <x:c r="Y220" s="55" t="n">
        <x:f>IF(ISNUMBER(X220),ROUNDUP(X220,0),"")</x:f>
        <x:v>33</x:v>
      </x:c>
      <x:c r="Z220" t="str">
        <x:v>Source match pending</x:v>
      </x:c>
      <x:c r="AA220" t="str">
        <x:v>screencapture-www-activesportstrade-co-uk-10x-athletic-trade-2026-09-09-18_13_27.png / page-001</x:v>
      </x:c>
      <x:c r="AB220" s="36" t="n">
        <x:f>IF(ISNUMBER(Y220),ROUND(Y220*0.9,2),"")</x:f>
        <x:v>29.7</x:v>
      </x:c>
      <x:c r="AC220" s="36" t="n">
        <x:f>IF(ISNUMBER(AB220),ROUND(AB220-(AB220*0.015+0.2)-V220,2),"")</x:f>
        <x:v>6.27</x:v>
      </x:c>
      <x:c r="AD220" s="36" t="n">
        <x:f>IF(ISNUMBER(Y220),ROUND(Y220*0.8,2),"")</x:f>
        <x:v>26.4</x:v>
      </x:c>
      <x:c r="AE220" s="36" t="n">
        <x:f>IF(ISNUMBER(AD220),ROUND(AD220*0.015+0.2,2),"")</x:f>
        <x:v>0.6</x:v>
      </x:c>
      <x:c r="AF220" s="36" t="n">
        <x:f>IF(ISNUMBER(AD220),ROUND(AD220-AE220-V220,2),"")</x:f>
        <x:v>3.01</x:v>
      </x:c>
      <x:c r="AG220" t="str">
        <x:f>IF(NOT(ISNUMBER(T220)),"PENDING",IF(AF220&gt;0,"PASS","FAIL"))</x:f>
        <x:v>PASS</x:v>
      </x:c>
      <x:c r="AH220" t="str">
        <x:f>IF(NOT(ISNUMBER(T220)),"Needs supplier cost",IF(K220&lt;&gt;"In stock","Supplier unavailable",IF(AG220&lt;&gt;"PASS","BLOCK - GT loss risk","Commercially protected")))</x:f>
        <x:v>Commercially protected</x:v>
      </x:c>
      <x:c r="AI220" t="str">
        <x:v>2026-09-10 Active Sports trade capture</x:v>
      </x:c>
      <x:c r="AJ220" t="str">
        <x:v>Management-only economics. Stripe stress test uses 1.5% + £0.20 standard UK online-card fee; pallet/mix-and-match pricing ignored.</x:v>
      </x:c>
    </x:row>
    <x:row r="221">
      <x:c r="A221" s="10" t="str">
        <x:v>Active Sports Nutrition</x:v>
      </x:c>
      <x:c r="B221" s="10" t="str">
        <x:v>DNA Sports</x:v>
      </x:c>
      <x:c r="C221" s="10" t="str">
        <x:v>Amino 1 EAA Formula</x:v>
      </x:c>
      <x:c r="D221" s="10" t="str">
        <x:v>Supplements</x:v>
      </x:c>
      <x:c r="E221" s="10" t="str">
        <x:v>Amino Acids</x:v>
      </x:c>
      <x:c r="F221" s="10" t="str">
        <x:v>Essential amino acid formula.</x:v>
      </x:c>
      <x:c r="G221" s="10" t="str">
        <x:v>30 servings</x:v>
      </x:c>
      <x:c r="H221" s="10" t="str">
        <x:v>Apple &amp; Mango</x:v>
      </x:c>
      <x:c r="I221" s="10" t="str"/>
      <x:c r="J221" s="10" t="str">
        <x:v>Unit</x:v>
      </x:c>
      <x:c r="K221" s="10" t="str">
        <x:v>In stock</x:v>
      </x:c>
      <x:c r="L221" s="10" t="str">
        <x:v>2026-09-08</x:v>
      </x:c>
      <x:c r="M221" s="10" t="str"/>
      <x:c r="N221" s="10" t="str"/>
      <x:c r="O221" s="10" t="str">
        <x:v>https://www.activesportstrade.co.uk/dna-sports-trade</x:v>
      </x:c>
      <x:c r="P221" s="10" t="str"/>
      <x:c r="S221" t="str">
        <x:v>Pending genuine supplier/brand image</x:v>
      </x:c>
      <x:c r="T221" s="54"/>
      <x:c r="U221" s="47" t="n">
        <x:v>0.2</x:v>
      </x:c>
      <x:c r="V221" s="54" t="str">
        <x:f>IF(ISNUMBER(T221),T221*(1+U221),"")</x:f>
      </x:c>
      <x:c r="W221" s="47" t="n">
        <x:v>0.3</x:v>
      </x:c>
      <x:c r="X221" s="54" t="str">
        <x:f>IF(ISNUMBER(V221),V221/(1-W221),"")</x:f>
      </x:c>
      <x:c r="Y221" s="55" t="str">
        <x:f>IF(ISNUMBER(X221),ROUNDUP(X221,0),"")</x:f>
      </x:c>
      <x:c r="Z221" t="str">
        <x:f>IF(ISNUMBER(T221),"Cost captured","Awaiting trade cost")</x:f>
        <x:v>Awaiting trade cost</x:v>
      </x:c>
      <x:c r="AB221" s="36" t="str">
        <x:f>IF(ISNUMBER(Y221),ROUND(Y221*0.9,2),"")</x:f>
      </x:c>
      <x:c r="AC221" s="36" t="str">
        <x:f>IF(ISNUMBER(AB221),ROUND(AB221-(AB221*0.015+0.2)-V221,2),"")</x:f>
      </x:c>
      <x:c r="AD221" s="36" t="str">
        <x:f>IF(ISNUMBER(Y221),ROUND(Y221*0.8,2),"")</x:f>
      </x:c>
      <x:c r="AE221" s="36" t="str">
        <x:f>IF(ISNUMBER(AD221),ROUND(AD221*0.015+0.2,2),"")</x:f>
      </x:c>
      <x:c r="AF221" s="36" t="str">
        <x:f>IF(ISNUMBER(AD221),ROUND(AD221-AE221-V221,2),"")</x:f>
      </x:c>
      <x:c r="AG221" t="str">
        <x:f>IF(NOT(ISNUMBER(T221)),"PENDING",IF(AF221&gt;0,"PASS","FAIL"))</x:f>
        <x:v>PENDING</x:v>
      </x:c>
      <x:c r="AH221" t="str">
        <x:f>IF(NOT(ISNUMBER(T221)),"Needs supplier cost",IF(K221&lt;&gt;"In stock","Supplier unavailable",IF(AG221&lt;&gt;"PASS","BLOCK - GT loss risk","Commercially protected")))</x:f>
        <x:v>Needs supplier cost</x:v>
      </x:c>
      <x:c r="AI221" t="str">
        <x:v>2026-09-10 Active Sports trade capture</x:v>
      </x:c>
      <x:c r="AJ221" t="str">
        <x:v>Management-only economics. Stripe stress test uses 1.5% + £0.20 standard UK online-card fee; pallet/mix-and-match pricing ignored.</x:v>
      </x:c>
    </x:row>
    <x:row r="222">
      <x:c r="A222" s="10" t="str">
        <x:v>Active Sports Nutrition</x:v>
      </x:c>
      <x:c r="B222" s="10" t="str">
        <x:v>DNA Sports</x:v>
      </x:c>
      <x:c r="C222" s="10" t="str">
        <x:v>Amino 1 EAA Formula</x:v>
      </x:c>
      <x:c r="D222" s="10" t="str">
        <x:v>Supplements</x:v>
      </x:c>
      <x:c r="E222" s="10" t="str">
        <x:v>Amino Acids</x:v>
      </x:c>
      <x:c r="F222" s="10" t="str">
        <x:v>Essential amino acid formula.</x:v>
      </x:c>
      <x:c r="G222" s="10" t="str">
        <x:v>30 servings</x:v>
      </x:c>
      <x:c r="H222" s="10" t="str">
        <x:v>Cherry Lime</x:v>
      </x:c>
      <x:c r="I222" s="10" t="str"/>
      <x:c r="J222" s="10" t="str">
        <x:v>Unit</x:v>
      </x:c>
      <x:c r="K222" s="10" t="str">
        <x:v>Out of stock</x:v>
      </x:c>
      <x:c r="L222" s="10" t="str">
        <x:v>2026-09-08</x:v>
      </x:c>
      <x:c r="M222" s="10" t="str"/>
      <x:c r="N222" s="10" t="str"/>
      <x:c r="O222" s="10" t="str">
        <x:v>https://www.activesportstrade.co.uk/dna-sports-trade</x:v>
      </x:c>
      <x:c r="P222" s="10" t="str"/>
      <x:c r="S222" t="str">
        <x:v>Pending genuine supplier/brand image</x:v>
      </x:c>
      <x:c r="T222" s="54"/>
      <x:c r="U222" s="47" t="n">
        <x:v>0.2</x:v>
      </x:c>
      <x:c r="V222" s="54" t="str">
        <x:f>IF(ISNUMBER(T222),T222*(1+U222),"")</x:f>
      </x:c>
      <x:c r="W222" s="47" t="n">
        <x:v>0.3</x:v>
      </x:c>
      <x:c r="X222" s="54" t="str">
        <x:f>IF(ISNUMBER(V222),V222/(1-W222),"")</x:f>
      </x:c>
      <x:c r="Y222" s="55" t="str">
        <x:f>IF(ISNUMBER(X222),ROUNDUP(X222,0),"")</x:f>
      </x:c>
      <x:c r="Z222" t="str">
        <x:f>IF(ISNUMBER(T222),"Cost captured","Awaiting trade cost")</x:f>
        <x:v>Awaiting trade cost</x:v>
      </x:c>
      <x:c r="AB222" s="36" t="str">
        <x:f>IF(ISNUMBER(Y222),ROUND(Y222*0.9,2),"")</x:f>
      </x:c>
      <x:c r="AC222" s="36" t="str">
        <x:f>IF(ISNUMBER(AB222),ROUND(AB222-(AB222*0.015+0.2)-V222,2),"")</x:f>
      </x:c>
      <x:c r="AD222" s="36" t="str">
        <x:f>IF(ISNUMBER(Y222),ROUND(Y222*0.8,2),"")</x:f>
      </x:c>
      <x:c r="AE222" s="36" t="str">
        <x:f>IF(ISNUMBER(AD222),ROUND(AD222*0.015+0.2,2),"")</x:f>
      </x:c>
      <x:c r="AF222" s="36" t="str">
        <x:f>IF(ISNUMBER(AD222),ROUND(AD222-AE222-V222,2),"")</x:f>
      </x:c>
      <x:c r="AG222" t="str">
        <x:f>IF(NOT(ISNUMBER(T222)),"PENDING",IF(AF222&gt;0,"PASS","FAIL"))</x:f>
        <x:v>PENDING</x:v>
      </x:c>
      <x:c r="AH222" t="str">
        <x:f>IF(NOT(ISNUMBER(T222)),"Needs supplier cost",IF(K222&lt;&gt;"In stock","Supplier unavailable",IF(AG222&lt;&gt;"PASS","BLOCK - GT loss risk","Commercially protected")))</x:f>
        <x:v>Needs supplier cost</x:v>
      </x:c>
      <x:c r="AI222" t="str">
        <x:v>2026-09-10 Active Sports trade capture</x:v>
      </x:c>
      <x:c r="AJ222" t="str">
        <x:v>Management-only economics. Stripe stress test uses 1.5% + £0.20 standard UK online-card fee; pallet/mix-and-match pricing ignored.</x:v>
      </x:c>
    </x:row>
    <x:row r="223">
      <x:c r="A223" s="10" t="str">
        <x:v>Active Sports Nutrition</x:v>
      </x:c>
      <x:c r="B223" s="10" t="str">
        <x:v>DNA Sports</x:v>
      </x:c>
      <x:c r="C223" s="10" t="str">
        <x:v>Amino 1 EAA Formula</x:v>
      </x:c>
      <x:c r="D223" s="10" t="str">
        <x:v>Supplements</x:v>
      </x:c>
      <x:c r="E223" s="10" t="str">
        <x:v>Amino Acids</x:v>
      </x:c>
      <x:c r="F223" s="10" t="str">
        <x:v>Essential amino acid formula.</x:v>
      </x:c>
      <x:c r="G223" s="10" t="str">
        <x:v>30 servings</x:v>
      </x:c>
      <x:c r="H223" s="10" t="str">
        <x:v>Grape Soda</x:v>
      </x:c>
      <x:c r="I223" s="10" t="str"/>
      <x:c r="J223" s="10" t="str">
        <x:v>Unit</x:v>
      </x:c>
      <x:c r="K223" s="10" t="str">
        <x:v>Out of stock</x:v>
      </x:c>
      <x:c r="L223" s="10" t="str">
        <x:v>2026-09-08</x:v>
      </x:c>
      <x:c r="M223" s="10" t="str"/>
      <x:c r="N223" s="10" t="str"/>
      <x:c r="O223" s="10" t="str">
        <x:v>https://www.activesportstrade.co.uk/dna-sports-trade</x:v>
      </x:c>
      <x:c r="P223" s="10" t="str"/>
      <x:c r="S223" t="str">
        <x:v>Pending genuine supplier/brand image</x:v>
      </x:c>
      <x:c r="T223" s="54"/>
      <x:c r="U223" s="47" t="n">
        <x:v>0.2</x:v>
      </x:c>
      <x:c r="V223" s="54" t="str">
        <x:f>IF(ISNUMBER(T223),T223*(1+U223),"")</x:f>
      </x:c>
      <x:c r="W223" s="47" t="n">
        <x:v>0.3</x:v>
      </x:c>
      <x:c r="X223" s="54" t="str">
        <x:f>IF(ISNUMBER(V223),V223/(1-W223),"")</x:f>
      </x:c>
      <x:c r="Y223" s="55" t="str">
        <x:f>IF(ISNUMBER(X223),ROUNDUP(X223,0),"")</x:f>
      </x:c>
      <x:c r="Z223" t="str">
        <x:f>IF(ISNUMBER(T223),"Cost captured","Awaiting trade cost")</x:f>
        <x:v>Awaiting trade cost</x:v>
      </x:c>
      <x:c r="AB223" s="36" t="str">
        <x:f>IF(ISNUMBER(Y223),ROUND(Y223*0.9,2),"")</x:f>
      </x:c>
      <x:c r="AC223" s="36" t="str">
        <x:f>IF(ISNUMBER(AB223),ROUND(AB223-(AB223*0.015+0.2)-V223,2),"")</x:f>
      </x:c>
      <x:c r="AD223" s="36" t="str">
        <x:f>IF(ISNUMBER(Y223),ROUND(Y223*0.8,2),"")</x:f>
      </x:c>
      <x:c r="AE223" s="36" t="str">
        <x:f>IF(ISNUMBER(AD223),ROUND(AD223*0.015+0.2,2),"")</x:f>
      </x:c>
      <x:c r="AF223" s="36" t="str">
        <x:f>IF(ISNUMBER(AD223),ROUND(AD223-AE223-V223,2),"")</x:f>
      </x:c>
      <x:c r="AG223" t="str">
        <x:f>IF(NOT(ISNUMBER(T223)),"PENDING",IF(AF223&gt;0,"PASS","FAIL"))</x:f>
        <x:v>PENDING</x:v>
      </x:c>
      <x:c r="AH223" t="str">
        <x:f>IF(NOT(ISNUMBER(T223)),"Needs supplier cost",IF(K223&lt;&gt;"In stock","Supplier unavailable",IF(AG223&lt;&gt;"PASS","BLOCK - GT loss risk","Commercially protected")))</x:f>
        <x:v>Needs supplier cost</x:v>
      </x:c>
      <x:c r="AI223" t="str">
        <x:v>2026-09-10 Active Sports trade capture</x:v>
      </x:c>
      <x:c r="AJ223" t="str">
        <x:v>Management-only economics. Stripe stress test uses 1.5% + £0.20 standard UK online-card fee; pallet/mix-and-match pricing ignored.</x:v>
      </x:c>
    </x:row>
    <x:row r="224">
      <x:c r="A224" s="10" t="str">
        <x:v>Active Sports Nutrition</x:v>
      </x:c>
      <x:c r="B224" s="10" t="str">
        <x:v>DNA Sports</x:v>
      </x:c>
      <x:c r="C224" s="10" t="str">
        <x:v>Amino 1 EAA Formula</x:v>
      </x:c>
      <x:c r="D224" s="10" t="str">
        <x:v>Supplements</x:v>
      </x:c>
      <x:c r="E224" s="10" t="str">
        <x:v>Amino Acids</x:v>
      </x:c>
      <x:c r="F224" s="10" t="str">
        <x:v>Essential amino acid formula.</x:v>
      </x:c>
      <x:c r="G224" s="10" t="str">
        <x:v>30 servings</x:v>
      </x:c>
      <x:c r="H224" s="10" t="str">
        <x:v>Pink Lemonade</x:v>
      </x:c>
      <x:c r="I224" s="10" t="str"/>
      <x:c r="J224" s="10" t="str">
        <x:v>Unit</x:v>
      </x:c>
      <x:c r="K224" s="10" t="str">
        <x:v>Out of stock</x:v>
      </x:c>
      <x:c r="L224" s="10" t="str">
        <x:v>2026-09-08</x:v>
      </x:c>
      <x:c r="M224" s="10" t="str"/>
      <x:c r="N224" s="10" t="str"/>
      <x:c r="O224" s="10" t="str">
        <x:v>https://www.activesportstrade.co.uk/dna-sports-trade</x:v>
      </x:c>
      <x:c r="P224" s="10" t="str"/>
      <x:c r="S224" t="str">
        <x:v>Pending genuine supplier/brand image</x:v>
      </x:c>
      <x:c r="T224" s="54"/>
      <x:c r="U224" s="47" t="n">
        <x:v>0.2</x:v>
      </x:c>
      <x:c r="V224" s="54" t="str">
        <x:f>IF(ISNUMBER(T224),T224*(1+U224),"")</x:f>
      </x:c>
      <x:c r="W224" s="47" t="n">
        <x:v>0.3</x:v>
      </x:c>
      <x:c r="X224" s="54" t="str">
        <x:f>IF(ISNUMBER(V224),V224/(1-W224),"")</x:f>
      </x:c>
      <x:c r="Y224" s="55" t="str">
        <x:f>IF(ISNUMBER(X224),ROUNDUP(X224,0),"")</x:f>
      </x:c>
      <x:c r="Z224" t="str">
        <x:f>IF(ISNUMBER(T224),"Cost captured","Awaiting trade cost")</x:f>
        <x:v>Awaiting trade cost</x:v>
      </x:c>
      <x:c r="AB224" s="36" t="str">
        <x:f>IF(ISNUMBER(Y224),ROUND(Y224*0.9,2),"")</x:f>
      </x:c>
      <x:c r="AC224" s="36" t="str">
        <x:f>IF(ISNUMBER(AB224),ROUND(AB224-(AB224*0.015+0.2)-V224,2),"")</x:f>
      </x:c>
      <x:c r="AD224" s="36" t="str">
        <x:f>IF(ISNUMBER(Y224),ROUND(Y224*0.8,2),"")</x:f>
      </x:c>
      <x:c r="AE224" s="36" t="str">
        <x:f>IF(ISNUMBER(AD224),ROUND(AD224*0.015+0.2,2),"")</x:f>
      </x:c>
      <x:c r="AF224" s="36" t="str">
        <x:f>IF(ISNUMBER(AD224),ROUND(AD224-AE224-V224,2),"")</x:f>
      </x:c>
      <x:c r="AG224" t="str">
        <x:f>IF(NOT(ISNUMBER(T224)),"PENDING",IF(AF224&gt;0,"PASS","FAIL"))</x:f>
        <x:v>PENDING</x:v>
      </x:c>
      <x:c r="AH224" t="str">
        <x:f>IF(NOT(ISNUMBER(T224)),"Needs supplier cost",IF(K224&lt;&gt;"In stock","Supplier unavailable",IF(AG224&lt;&gt;"PASS","BLOCK - GT loss risk","Commercially protected")))</x:f>
        <x:v>Needs supplier cost</x:v>
      </x:c>
      <x:c r="AI224" t="str">
        <x:v>2026-09-10 Active Sports trade capture</x:v>
      </x:c>
      <x:c r="AJ224" t="str">
        <x:v>Management-only economics. Stripe stress test uses 1.5% + £0.20 standard UK online-card fee; pallet/mix-and-match pricing ignored.</x:v>
      </x:c>
    </x:row>
    <x:row r="225">
      <x:c r="A225" s="10" t="str">
        <x:v>Active Sports Nutrition</x:v>
      </x:c>
      <x:c r="B225" s="10" t="str">
        <x:v>DNA Sports</x:v>
      </x:c>
      <x:c r="C225" s="10" t="str">
        <x:v>Amino 1 EAA Formula</x:v>
      </x:c>
      <x:c r="D225" s="10" t="str">
        <x:v>Supplements</x:v>
      </x:c>
      <x:c r="E225" s="10" t="str">
        <x:v>Amino Acids</x:v>
      </x:c>
      <x:c r="F225" s="10" t="str">
        <x:v>Essential amino acid formula.</x:v>
      </x:c>
      <x:c r="G225" s="10" t="str">
        <x:v>30 servings</x:v>
      </x:c>
      <x:c r="H225" s="10" t="str">
        <x:v>Strawberry Pineapple</x:v>
      </x:c>
      <x:c r="I225" s="10" t="str"/>
      <x:c r="J225" s="10" t="str">
        <x:v>Unit</x:v>
      </x:c>
      <x:c r="K225" s="10" t="str">
        <x:v>Out of stock</x:v>
      </x:c>
      <x:c r="L225" s="10" t="str">
        <x:v>2026-09-08</x:v>
      </x:c>
      <x:c r="M225" s="10" t="str"/>
      <x:c r="N225" s="10" t="str"/>
      <x:c r="O225" s="10" t="str">
        <x:v>https://www.activesportstrade.co.uk/dna-sports-trade</x:v>
      </x:c>
      <x:c r="P225" s="10" t="str"/>
      <x:c r="S225" t="str">
        <x:v>Pending genuine supplier/brand image</x:v>
      </x:c>
      <x:c r="T225" s="54"/>
      <x:c r="U225" s="47" t="n">
        <x:v>0.2</x:v>
      </x:c>
      <x:c r="V225" s="54" t="str">
        <x:f>IF(ISNUMBER(T225),T225*(1+U225),"")</x:f>
      </x:c>
      <x:c r="W225" s="47" t="n">
        <x:v>0.3</x:v>
      </x:c>
      <x:c r="X225" s="54" t="str">
        <x:f>IF(ISNUMBER(V225),V225/(1-W225),"")</x:f>
      </x:c>
      <x:c r="Y225" s="55" t="str">
        <x:f>IF(ISNUMBER(X225),ROUNDUP(X225,0),"")</x:f>
      </x:c>
      <x:c r="Z225" t="str">
        <x:f>IF(ISNUMBER(T225),"Cost captured","Awaiting trade cost")</x:f>
        <x:v>Awaiting trade cost</x:v>
      </x:c>
      <x:c r="AB225" s="36" t="str">
        <x:f>IF(ISNUMBER(Y225),ROUND(Y225*0.9,2),"")</x:f>
      </x:c>
      <x:c r="AC225" s="36" t="str">
        <x:f>IF(ISNUMBER(AB225),ROUND(AB225-(AB225*0.015+0.2)-V225,2),"")</x:f>
      </x:c>
      <x:c r="AD225" s="36" t="str">
        <x:f>IF(ISNUMBER(Y225),ROUND(Y225*0.8,2),"")</x:f>
      </x:c>
      <x:c r="AE225" s="36" t="str">
        <x:f>IF(ISNUMBER(AD225),ROUND(AD225*0.015+0.2,2),"")</x:f>
      </x:c>
      <x:c r="AF225" s="36" t="str">
        <x:f>IF(ISNUMBER(AD225),ROUND(AD225-AE225-V225,2),"")</x:f>
      </x:c>
      <x:c r="AG225" t="str">
        <x:f>IF(NOT(ISNUMBER(T225)),"PENDING",IF(AF225&gt;0,"PASS","FAIL"))</x:f>
        <x:v>PENDING</x:v>
      </x:c>
      <x:c r="AH225" t="str">
        <x:f>IF(NOT(ISNUMBER(T225)),"Needs supplier cost",IF(K225&lt;&gt;"In stock","Supplier unavailable",IF(AG225&lt;&gt;"PASS","BLOCK - GT loss risk","Commercially protected")))</x:f>
        <x:v>Needs supplier cost</x:v>
      </x:c>
      <x:c r="AI225" t="str">
        <x:v>2026-09-10 Active Sports trade capture</x:v>
      </x:c>
      <x:c r="AJ225" t="str">
        <x:v>Management-only economics. Stripe stress test uses 1.5% + £0.20 standard UK online-card fee; pallet/mix-and-match pricing ignored.</x:v>
      </x:c>
    </x:row>
    <x:row r="226">
      <x:c r="A226" s="10" t="str">
        <x:v>Active Sports Nutrition</x:v>
      </x:c>
      <x:c r="B226" s="10" t="str">
        <x:v>NXT Nutrition</x:v>
      </x:c>
      <x:c r="C226" s="10" t="str">
        <x:v>Amino Fuel</x:v>
      </x:c>
      <x:c r="D226" s="10" t="str">
        <x:v>Supplements</x:v>
      </x:c>
      <x:c r="E226" s="10" t="str">
        <x:v>Amino Acids</x:v>
      </x:c>
      <x:c r="F226" s="10" t="str">
        <x:v>BCAA and glutamine amino formula.</x:v>
      </x:c>
      <x:c r="G226" s="10" t="str">
        <x:v>300g</x:v>
      </x:c>
      <x:c r="H226" s="10" t="str">
        <x:v>Apple</x:v>
      </x:c>
      <x:c r="I226" s="10" t="str"/>
      <x:c r="J226" s="10" t="str">
        <x:v>Unit</x:v>
      </x:c>
      <x:c r="K226" s="10" t="str">
        <x:v>In stock</x:v>
      </x:c>
      <x:c r="L226" s="10" t="str">
        <x:v>2026-09-08</x:v>
      </x:c>
      <x:c r="M226" s="10" t="str"/>
      <x:c r="N226" s="10" t="str"/>
      <x:c r="O226" s="10" t="str">
        <x:v>https://www.activesportstrade.co.uk/nxt-nutrition-trade</x:v>
      </x:c>
      <x:c r="P226" s="10" t="str"/>
      <x:c r="S226" t="str">
        <x:v>Pending genuine supplier/brand image</x:v>
      </x:c>
      <x:c r="T226" s="54"/>
      <x:c r="U226" s="47" t="n">
        <x:v>0.2</x:v>
      </x:c>
      <x:c r="V226" s="54" t="str">
        <x:f>IF(ISNUMBER(T226),T226*(1+U226),"")</x:f>
      </x:c>
      <x:c r="W226" s="47" t="n">
        <x:v>0.3</x:v>
      </x:c>
      <x:c r="X226" s="54" t="str">
        <x:f>IF(ISNUMBER(V226),V226/(1-W226),"")</x:f>
      </x:c>
      <x:c r="Y226" s="55" t="str">
        <x:f>IF(ISNUMBER(X226),ROUNDUP(X226,0),"")</x:f>
      </x:c>
      <x:c r="Z226" t="str">
        <x:f>IF(ISNUMBER(T226),"Cost captured","Awaiting trade cost")</x:f>
        <x:v>Awaiting trade cost</x:v>
      </x:c>
      <x:c r="AB226" s="36" t="str">
        <x:f>IF(ISNUMBER(Y226),ROUND(Y226*0.9,2),"")</x:f>
      </x:c>
      <x:c r="AC226" s="36" t="str">
        <x:f>IF(ISNUMBER(AB226),ROUND(AB226-(AB226*0.015+0.2)-V226,2),"")</x:f>
      </x:c>
      <x:c r="AD226" s="36" t="str">
        <x:f>IF(ISNUMBER(Y226),ROUND(Y226*0.8,2),"")</x:f>
      </x:c>
      <x:c r="AE226" s="36" t="str">
        <x:f>IF(ISNUMBER(AD226),ROUND(AD226*0.015+0.2,2),"")</x:f>
      </x:c>
      <x:c r="AF226" s="36" t="str">
        <x:f>IF(ISNUMBER(AD226),ROUND(AD226-AE226-V226,2),"")</x:f>
      </x:c>
      <x:c r="AG226" t="str">
        <x:f>IF(NOT(ISNUMBER(T226)),"PENDING",IF(AF226&gt;0,"PASS","FAIL"))</x:f>
        <x:v>PENDING</x:v>
      </x:c>
      <x:c r="AH226" t="str">
        <x:f>IF(NOT(ISNUMBER(T226)),"Needs supplier cost",IF(K226&lt;&gt;"In stock","Supplier unavailable",IF(AG226&lt;&gt;"PASS","BLOCK - GT loss risk","Commercially protected")))</x:f>
        <x:v>Needs supplier cost</x:v>
      </x:c>
      <x:c r="AI226" t="str">
        <x:v>2026-09-10 Active Sports trade capture</x:v>
      </x:c>
      <x:c r="AJ226" t="str">
        <x:v>Management-only economics. Stripe stress test uses 1.5% + £0.20 standard UK online-card fee; pallet/mix-and-match pricing ignored.</x:v>
      </x:c>
    </x:row>
    <x:row r="227">
      <x:c r="A227" s="10" t="str">
        <x:v>Active Sports Nutrition</x:v>
      </x:c>
      <x:c r="B227" s="10" t="str">
        <x:v>NXT Nutrition</x:v>
      </x:c>
      <x:c r="C227" s="10" t="str">
        <x:v>Amino Fuel</x:v>
      </x:c>
      <x:c r="D227" s="10" t="str">
        <x:v>Supplements</x:v>
      </x:c>
      <x:c r="E227" s="10" t="str">
        <x:v>Amino Acids</x:v>
      </x:c>
      <x:c r="F227" s="10" t="str">
        <x:v>BCAA and glutamine amino formula.</x:v>
      </x:c>
      <x:c r="G227" s="10" t="str">
        <x:v>300g</x:v>
      </x:c>
      <x:c r="H227" s="10" t="str">
        <x:v>Apple &amp; Blackcurrant</x:v>
      </x:c>
      <x:c r="I227" s="10" t="str"/>
      <x:c r="J227" s="10" t="str">
        <x:v>Unit</x:v>
      </x:c>
      <x:c r="K227" s="10" t="str">
        <x:v>In stock</x:v>
      </x:c>
      <x:c r="L227" s="10" t="str">
        <x:v>2026-09-08</x:v>
      </x:c>
      <x:c r="M227" s="10" t="str"/>
      <x:c r="N227" s="10" t="str"/>
      <x:c r="O227" s="10" t="str">
        <x:v>https://www.activesportstrade.co.uk/nxt-nutrition-trade</x:v>
      </x:c>
      <x:c r="P227" s="10" t="str"/>
      <x:c r="S227" t="str">
        <x:v>Pending genuine supplier/brand image</x:v>
      </x:c>
      <x:c r="T227" s="54"/>
      <x:c r="U227" s="47" t="n">
        <x:v>0.2</x:v>
      </x:c>
      <x:c r="V227" s="54" t="str">
        <x:f>IF(ISNUMBER(T227),T227*(1+U227),"")</x:f>
      </x:c>
      <x:c r="W227" s="47" t="n">
        <x:v>0.3</x:v>
      </x:c>
      <x:c r="X227" s="54" t="str">
        <x:f>IF(ISNUMBER(V227),V227/(1-W227),"")</x:f>
      </x:c>
      <x:c r="Y227" s="55" t="str">
        <x:f>IF(ISNUMBER(X227),ROUNDUP(X227,0),"")</x:f>
      </x:c>
      <x:c r="Z227" t="str">
        <x:f>IF(ISNUMBER(T227),"Cost captured","Awaiting trade cost")</x:f>
        <x:v>Awaiting trade cost</x:v>
      </x:c>
      <x:c r="AB227" s="36" t="str">
        <x:f>IF(ISNUMBER(Y227),ROUND(Y227*0.9,2),"")</x:f>
      </x:c>
      <x:c r="AC227" s="36" t="str">
        <x:f>IF(ISNUMBER(AB227),ROUND(AB227-(AB227*0.015+0.2)-V227,2),"")</x:f>
      </x:c>
      <x:c r="AD227" s="36" t="str">
        <x:f>IF(ISNUMBER(Y227),ROUND(Y227*0.8,2),"")</x:f>
      </x:c>
      <x:c r="AE227" s="36" t="str">
        <x:f>IF(ISNUMBER(AD227),ROUND(AD227*0.015+0.2,2),"")</x:f>
      </x:c>
      <x:c r="AF227" s="36" t="str">
        <x:f>IF(ISNUMBER(AD227),ROUND(AD227-AE227-V227,2),"")</x:f>
      </x:c>
      <x:c r="AG227" t="str">
        <x:f>IF(NOT(ISNUMBER(T227)),"PENDING",IF(AF227&gt;0,"PASS","FAIL"))</x:f>
        <x:v>PENDING</x:v>
      </x:c>
      <x:c r="AH227" t="str">
        <x:f>IF(NOT(ISNUMBER(T227)),"Needs supplier cost",IF(K227&lt;&gt;"In stock","Supplier unavailable",IF(AG227&lt;&gt;"PASS","BLOCK - GT loss risk","Commercially protected")))</x:f>
        <x:v>Needs supplier cost</x:v>
      </x:c>
      <x:c r="AI227" t="str">
        <x:v>2026-09-10 Active Sports trade capture</x:v>
      </x:c>
      <x:c r="AJ227" t="str">
        <x:v>Management-only economics. Stripe stress test uses 1.5% + £0.20 standard UK online-card fee; pallet/mix-and-match pricing ignored.</x:v>
      </x:c>
    </x:row>
    <x:row r="228">
      <x:c r="A228" s="10" t="str">
        <x:v>Active Sports Nutrition</x:v>
      </x:c>
      <x:c r="B228" s="10" t="str">
        <x:v>NXT Nutrition</x:v>
      </x:c>
      <x:c r="C228" s="10" t="str">
        <x:v>Amino Fuel</x:v>
      </x:c>
      <x:c r="D228" s="10" t="str">
        <x:v>Supplements</x:v>
      </x:c>
      <x:c r="E228" s="10" t="str">
        <x:v>Amino Acids</x:v>
      </x:c>
      <x:c r="F228" s="10" t="str">
        <x:v>BCAA and glutamine amino formula.</x:v>
      </x:c>
      <x:c r="G228" s="10" t="str">
        <x:v>300g</x:v>
      </x:c>
      <x:c r="H228" s="10" t="str">
        <x:v>Blue Raspberry</x:v>
      </x:c>
      <x:c r="I228" s="10" t="str"/>
      <x:c r="J228" s="10" t="str">
        <x:v>Unit</x:v>
      </x:c>
      <x:c r="K228" s="10" t="str">
        <x:v>In stock</x:v>
      </x:c>
      <x:c r="L228" s="10" t="str">
        <x:v>2026-09-08</x:v>
      </x:c>
      <x:c r="M228" s="10" t="str"/>
      <x:c r="N228" s="10" t="str"/>
      <x:c r="O228" s="10" t="str">
        <x:v>https://www.activesportstrade.co.uk/nxt-nutrition-trade</x:v>
      </x:c>
      <x:c r="P228" s="10" t="str"/>
      <x:c r="S228" t="str">
        <x:v>Pending genuine supplier/brand image</x:v>
      </x:c>
      <x:c r="T228" s="54"/>
      <x:c r="U228" s="47" t="n">
        <x:v>0.2</x:v>
      </x:c>
      <x:c r="V228" s="54" t="str">
        <x:f>IF(ISNUMBER(T228),T228*(1+U228),"")</x:f>
      </x:c>
      <x:c r="W228" s="47" t="n">
        <x:v>0.3</x:v>
      </x:c>
      <x:c r="X228" s="54" t="str">
        <x:f>IF(ISNUMBER(V228),V228/(1-W228),"")</x:f>
      </x:c>
      <x:c r="Y228" s="55" t="str">
        <x:f>IF(ISNUMBER(X228),ROUNDUP(X228,0),"")</x:f>
      </x:c>
      <x:c r="Z228" t="str">
        <x:f>IF(ISNUMBER(T228),"Cost captured","Awaiting trade cost")</x:f>
        <x:v>Awaiting trade cost</x:v>
      </x:c>
      <x:c r="AB228" s="36" t="str">
        <x:f>IF(ISNUMBER(Y228),ROUND(Y228*0.9,2),"")</x:f>
      </x:c>
      <x:c r="AC228" s="36" t="str">
        <x:f>IF(ISNUMBER(AB228),ROUND(AB228-(AB228*0.015+0.2)-V228,2),"")</x:f>
      </x:c>
      <x:c r="AD228" s="36" t="str">
        <x:f>IF(ISNUMBER(Y228),ROUND(Y228*0.8,2),"")</x:f>
      </x:c>
      <x:c r="AE228" s="36" t="str">
        <x:f>IF(ISNUMBER(AD228),ROUND(AD228*0.015+0.2,2),"")</x:f>
      </x:c>
      <x:c r="AF228" s="36" t="str">
        <x:f>IF(ISNUMBER(AD228),ROUND(AD228-AE228-V228,2),"")</x:f>
      </x:c>
      <x:c r="AG228" t="str">
        <x:f>IF(NOT(ISNUMBER(T228)),"PENDING",IF(AF228&gt;0,"PASS","FAIL"))</x:f>
        <x:v>PENDING</x:v>
      </x:c>
      <x:c r="AH228" t="str">
        <x:f>IF(NOT(ISNUMBER(T228)),"Needs supplier cost",IF(K228&lt;&gt;"In stock","Supplier unavailable",IF(AG228&lt;&gt;"PASS","BLOCK - GT loss risk","Commercially protected")))</x:f>
        <x:v>Needs supplier cost</x:v>
      </x:c>
      <x:c r="AI228" t="str">
        <x:v>2026-09-10 Active Sports trade capture</x:v>
      </x:c>
      <x:c r="AJ228" t="str">
        <x:v>Management-only economics. Stripe stress test uses 1.5% + £0.20 standard UK online-card fee; pallet/mix-and-match pricing ignored.</x:v>
      </x:c>
    </x:row>
    <x:row r="229">
      <x:c r="A229" s="10" t="str">
        <x:v>Active Sports Nutrition</x:v>
      </x:c>
      <x:c r="B229" s="10" t="str">
        <x:v>NXT Nutrition</x:v>
      </x:c>
      <x:c r="C229" s="10" t="str">
        <x:v>Amino Fuel</x:v>
      </x:c>
      <x:c r="D229" s="10" t="str">
        <x:v>Supplements</x:v>
      </x:c>
      <x:c r="E229" s="10" t="str">
        <x:v>Amino Acids</x:v>
      </x:c>
      <x:c r="F229" s="10" t="str">
        <x:v>BCAA and glutamine amino formula.</x:v>
      </x:c>
      <x:c r="G229" s="10" t="str">
        <x:v>300g</x:v>
      </x:c>
      <x:c r="H229" s="10" t="str">
        <x:v>Cola</x:v>
      </x:c>
      <x:c r="I229" s="10" t="str"/>
      <x:c r="J229" s="10" t="str">
        <x:v>Unit</x:v>
      </x:c>
      <x:c r="K229" s="10" t="str">
        <x:v>In stock</x:v>
      </x:c>
      <x:c r="L229" s="10" t="str">
        <x:v>2026-09-08</x:v>
      </x:c>
      <x:c r="M229" s="10" t="str"/>
      <x:c r="N229" s="10" t="str"/>
      <x:c r="O229" s="10" t="str">
        <x:v>https://www.activesportstrade.co.uk/nxt-nutrition-trade</x:v>
      </x:c>
      <x:c r="P229" s="10" t="str"/>
      <x:c r="S229" t="str">
        <x:v>Pending genuine supplier/brand image</x:v>
      </x:c>
      <x:c r="T229" s="54"/>
      <x:c r="U229" s="47" t="n">
        <x:v>0.2</x:v>
      </x:c>
      <x:c r="V229" s="54" t="str">
        <x:f>IF(ISNUMBER(T229),T229*(1+U229),"")</x:f>
      </x:c>
      <x:c r="W229" s="47" t="n">
        <x:v>0.3</x:v>
      </x:c>
      <x:c r="X229" s="54" t="str">
        <x:f>IF(ISNUMBER(V229),V229/(1-W229),"")</x:f>
      </x:c>
      <x:c r="Y229" s="55" t="str">
        <x:f>IF(ISNUMBER(X229),ROUNDUP(X229,0),"")</x:f>
      </x:c>
      <x:c r="Z229" t="str">
        <x:f>IF(ISNUMBER(T229),"Cost captured","Awaiting trade cost")</x:f>
        <x:v>Awaiting trade cost</x:v>
      </x:c>
      <x:c r="AB229" s="36" t="str">
        <x:f>IF(ISNUMBER(Y229),ROUND(Y229*0.9,2),"")</x:f>
      </x:c>
      <x:c r="AC229" s="36" t="str">
        <x:f>IF(ISNUMBER(AB229),ROUND(AB229-(AB229*0.015+0.2)-V229,2),"")</x:f>
      </x:c>
      <x:c r="AD229" s="36" t="str">
        <x:f>IF(ISNUMBER(Y229),ROUND(Y229*0.8,2),"")</x:f>
      </x:c>
      <x:c r="AE229" s="36" t="str">
        <x:f>IF(ISNUMBER(AD229),ROUND(AD229*0.015+0.2,2),"")</x:f>
      </x:c>
      <x:c r="AF229" s="36" t="str">
        <x:f>IF(ISNUMBER(AD229),ROUND(AD229-AE229-V229,2),"")</x:f>
      </x:c>
      <x:c r="AG229" t="str">
        <x:f>IF(NOT(ISNUMBER(T229)),"PENDING",IF(AF229&gt;0,"PASS","FAIL"))</x:f>
        <x:v>PENDING</x:v>
      </x:c>
      <x:c r="AH229" t="str">
        <x:f>IF(NOT(ISNUMBER(T229)),"Needs supplier cost",IF(K229&lt;&gt;"In stock","Supplier unavailable",IF(AG229&lt;&gt;"PASS","BLOCK - GT loss risk","Commercially protected")))</x:f>
        <x:v>Needs supplier cost</x:v>
      </x:c>
      <x:c r="AI229" t="str">
        <x:v>2026-09-10 Active Sports trade capture</x:v>
      </x:c>
      <x:c r="AJ229" t="str">
        <x:v>Management-only economics. Stripe stress test uses 1.5% + £0.20 standard UK online-card fee; pallet/mix-and-match pricing ignored.</x:v>
      </x:c>
    </x:row>
    <x:row r="230">
      <x:c r="A230" s="10" t="str">
        <x:v>Active Sports Nutrition</x:v>
      </x:c>
      <x:c r="B230" s="10" t="str">
        <x:v>NXT Nutrition</x:v>
      </x:c>
      <x:c r="C230" s="10" t="str">
        <x:v>Amino Fuel</x:v>
      </x:c>
      <x:c r="D230" s="10" t="str">
        <x:v>Supplements</x:v>
      </x:c>
      <x:c r="E230" s="10" t="str">
        <x:v>Amino Acids</x:v>
      </x:c>
      <x:c r="F230" s="10" t="str">
        <x:v>BCAA and glutamine amino formula.</x:v>
      </x:c>
      <x:c r="G230" s="10" t="str">
        <x:v>300g</x:v>
      </x:c>
      <x:c r="H230" s="10" t="str">
        <x:v>Kiwi Lime</x:v>
      </x:c>
      <x:c r="I230" s="10" t="str"/>
      <x:c r="J230" s="10" t="str">
        <x:v>Unit</x:v>
      </x:c>
      <x:c r="K230" s="10" t="str">
        <x:v>In stock</x:v>
      </x:c>
      <x:c r="L230" s="10" t="str">
        <x:v>2026-09-08</x:v>
      </x:c>
      <x:c r="M230" s="10" t="str"/>
      <x:c r="N230" s="10" t="str"/>
      <x:c r="O230" s="10" t="str">
        <x:v>https://www.activesportstrade.co.uk/nxt-nutrition-trade</x:v>
      </x:c>
      <x:c r="P230" s="10" t="str"/>
      <x:c r="S230" t="str">
        <x:v>Pending genuine supplier/brand image</x:v>
      </x:c>
      <x:c r="T230" s="54"/>
      <x:c r="U230" s="47" t="n">
        <x:v>0.2</x:v>
      </x:c>
      <x:c r="V230" s="54" t="str">
        <x:f>IF(ISNUMBER(T230),T230*(1+U230),"")</x:f>
      </x:c>
      <x:c r="W230" s="47" t="n">
        <x:v>0.3</x:v>
      </x:c>
      <x:c r="X230" s="54" t="str">
        <x:f>IF(ISNUMBER(V230),V230/(1-W230),"")</x:f>
      </x:c>
      <x:c r="Y230" s="55" t="str">
        <x:f>IF(ISNUMBER(X230),ROUNDUP(X230,0),"")</x:f>
      </x:c>
      <x:c r="Z230" t="str">
        <x:f>IF(ISNUMBER(T230),"Cost captured","Awaiting trade cost")</x:f>
        <x:v>Awaiting trade cost</x:v>
      </x:c>
      <x:c r="AB230" s="36" t="str">
        <x:f>IF(ISNUMBER(Y230),ROUND(Y230*0.9,2),"")</x:f>
      </x:c>
      <x:c r="AC230" s="36" t="str">
        <x:f>IF(ISNUMBER(AB230),ROUND(AB230-(AB230*0.015+0.2)-V230,2),"")</x:f>
      </x:c>
      <x:c r="AD230" s="36" t="str">
        <x:f>IF(ISNUMBER(Y230),ROUND(Y230*0.8,2),"")</x:f>
      </x:c>
      <x:c r="AE230" s="36" t="str">
        <x:f>IF(ISNUMBER(AD230),ROUND(AD230*0.015+0.2,2),"")</x:f>
      </x:c>
      <x:c r="AF230" s="36" t="str">
        <x:f>IF(ISNUMBER(AD230),ROUND(AD230-AE230-V230,2),"")</x:f>
      </x:c>
      <x:c r="AG230" t="str">
        <x:f>IF(NOT(ISNUMBER(T230)),"PENDING",IF(AF230&gt;0,"PASS","FAIL"))</x:f>
        <x:v>PENDING</x:v>
      </x:c>
      <x:c r="AH230" t="str">
        <x:f>IF(NOT(ISNUMBER(T230)),"Needs supplier cost",IF(K230&lt;&gt;"In stock","Supplier unavailable",IF(AG230&lt;&gt;"PASS","BLOCK - GT loss risk","Commercially protected")))</x:f>
        <x:v>Needs supplier cost</x:v>
      </x:c>
      <x:c r="AI230" t="str">
        <x:v>2026-09-10 Active Sports trade capture</x:v>
      </x:c>
      <x:c r="AJ230" t="str">
        <x:v>Management-only economics. Stripe stress test uses 1.5% + £0.20 standard UK online-card fee; pallet/mix-and-match pricing ignored.</x:v>
      </x:c>
    </x:row>
    <x:row r="231">
      <x:c r="A231" s="10" t="str">
        <x:v>Active Sports Nutrition</x:v>
      </x:c>
      <x:c r="B231" s="10" t="str">
        <x:v>NXT Nutrition</x:v>
      </x:c>
      <x:c r="C231" s="10" t="str">
        <x:v>Amino Fuel</x:v>
      </x:c>
      <x:c r="D231" s="10" t="str">
        <x:v>Supplements</x:v>
      </x:c>
      <x:c r="E231" s="10" t="str">
        <x:v>Amino Acids</x:v>
      </x:c>
      <x:c r="F231" s="10" t="str">
        <x:v>BCAA and glutamine amino formula.</x:v>
      </x:c>
      <x:c r="G231" s="10" t="str">
        <x:v>300g</x:v>
      </x:c>
      <x:c r="H231" s="10" t="str">
        <x:v>Orange</x:v>
      </x:c>
      <x:c r="I231" s="10" t="str"/>
      <x:c r="J231" s="10" t="str">
        <x:v>Unit</x:v>
      </x:c>
      <x:c r="K231" s="10" t="str">
        <x:v>In stock</x:v>
      </x:c>
      <x:c r="L231" s="10" t="str">
        <x:v>2026-09-08</x:v>
      </x:c>
      <x:c r="M231" s="10" t="str"/>
      <x:c r="N231" s="10" t="str"/>
      <x:c r="O231" s="10" t="str">
        <x:v>https://www.activesportstrade.co.uk/nxt-nutrition-trade</x:v>
      </x:c>
      <x:c r="P231" s="10" t="str"/>
      <x:c r="S231" t="str">
        <x:v>Pending genuine supplier/brand image</x:v>
      </x:c>
      <x:c r="T231" s="54"/>
      <x:c r="U231" s="47" t="n">
        <x:v>0.2</x:v>
      </x:c>
      <x:c r="V231" s="54" t="str">
        <x:f>IF(ISNUMBER(T231),T231*(1+U231),"")</x:f>
      </x:c>
      <x:c r="W231" s="47" t="n">
        <x:v>0.3</x:v>
      </x:c>
      <x:c r="X231" s="54" t="str">
        <x:f>IF(ISNUMBER(V231),V231/(1-W231),"")</x:f>
      </x:c>
      <x:c r="Y231" s="55" t="str">
        <x:f>IF(ISNUMBER(X231),ROUNDUP(X231,0),"")</x:f>
      </x:c>
      <x:c r="Z231" t="str">
        <x:f>IF(ISNUMBER(T231),"Cost captured","Awaiting trade cost")</x:f>
        <x:v>Awaiting trade cost</x:v>
      </x:c>
      <x:c r="AB231" s="36" t="str">
        <x:f>IF(ISNUMBER(Y231),ROUND(Y231*0.9,2),"")</x:f>
      </x:c>
      <x:c r="AC231" s="36" t="str">
        <x:f>IF(ISNUMBER(AB231),ROUND(AB231-(AB231*0.015+0.2)-V231,2),"")</x:f>
      </x:c>
      <x:c r="AD231" s="36" t="str">
        <x:f>IF(ISNUMBER(Y231),ROUND(Y231*0.8,2),"")</x:f>
      </x:c>
      <x:c r="AE231" s="36" t="str">
        <x:f>IF(ISNUMBER(AD231),ROUND(AD231*0.015+0.2,2),"")</x:f>
      </x:c>
      <x:c r="AF231" s="36" t="str">
        <x:f>IF(ISNUMBER(AD231),ROUND(AD231-AE231-V231,2),"")</x:f>
      </x:c>
      <x:c r="AG231" t="str">
        <x:f>IF(NOT(ISNUMBER(T231)),"PENDING",IF(AF231&gt;0,"PASS","FAIL"))</x:f>
        <x:v>PENDING</x:v>
      </x:c>
      <x:c r="AH231" t="str">
        <x:f>IF(NOT(ISNUMBER(T231)),"Needs supplier cost",IF(K231&lt;&gt;"In stock","Supplier unavailable",IF(AG231&lt;&gt;"PASS","BLOCK - GT loss risk","Commercially protected")))</x:f>
        <x:v>Needs supplier cost</x:v>
      </x:c>
      <x:c r="AI231" t="str">
        <x:v>2026-09-10 Active Sports trade capture</x:v>
      </x:c>
      <x:c r="AJ231" t="str">
        <x:v>Management-only economics. Stripe stress test uses 1.5% + £0.20 standard UK online-card fee; pallet/mix-and-match pricing ignored.</x:v>
      </x:c>
    </x:row>
    <x:row r="232">
      <x:c r="A232" s="10" t="str">
        <x:v>Active Sports Nutrition</x:v>
      </x:c>
      <x:c r="B232" s="10" t="str">
        <x:v>NXT Nutrition</x:v>
      </x:c>
      <x:c r="C232" s="10" t="str">
        <x:v>Amino Fuel</x:v>
      </x:c>
      <x:c r="D232" s="10" t="str">
        <x:v>Supplements</x:v>
      </x:c>
      <x:c r="E232" s="10" t="str">
        <x:v>Amino Acids</x:v>
      </x:c>
      <x:c r="F232" s="10" t="str">
        <x:v>BCAA and glutamine amino formula.</x:v>
      </x:c>
      <x:c r="G232" s="10" t="str">
        <x:v>300g</x:v>
      </x:c>
      <x:c r="H232" s="10" t="str">
        <x:v>Pineapple</x:v>
      </x:c>
      <x:c r="I232" s="10" t="str"/>
      <x:c r="J232" s="10" t="str">
        <x:v>Unit</x:v>
      </x:c>
      <x:c r="K232" s="10" t="str">
        <x:v>In stock</x:v>
      </x:c>
      <x:c r="L232" s="10" t="str">
        <x:v>2026-09-08</x:v>
      </x:c>
      <x:c r="M232" s="10" t="str"/>
      <x:c r="N232" s="10" t="str"/>
      <x:c r="O232" s="10" t="str">
        <x:v>https://www.activesportstrade.co.uk/nxt-nutrition-trade</x:v>
      </x:c>
      <x:c r="P232" s="10" t="str"/>
      <x:c r="S232" t="str">
        <x:v>Pending genuine supplier/brand image</x:v>
      </x:c>
      <x:c r="T232" s="54"/>
      <x:c r="U232" s="47" t="n">
        <x:v>0.2</x:v>
      </x:c>
      <x:c r="V232" s="54" t="str">
        <x:f>IF(ISNUMBER(T232),T232*(1+U232),"")</x:f>
      </x:c>
      <x:c r="W232" s="47" t="n">
        <x:v>0.3</x:v>
      </x:c>
      <x:c r="X232" s="54" t="str">
        <x:f>IF(ISNUMBER(V232),V232/(1-W232),"")</x:f>
      </x:c>
      <x:c r="Y232" s="55" t="str">
        <x:f>IF(ISNUMBER(X232),ROUNDUP(X232,0),"")</x:f>
      </x:c>
      <x:c r="Z232" t="str">
        <x:f>IF(ISNUMBER(T232),"Cost captured","Awaiting trade cost")</x:f>
        <x:v>Awaiting trade cost</x:v>
      </x:c>
      <x:c r="AB232" s="36" t="str">
        <x:f>IF(ISNUMBER(Y232),ROUND(Y232*0.9,2),"")</x:f>
      </x:c>
      <x:c r="AC232" s="36" t="str">
        <x:f>IF(ISNUMBER(AB232),ROUND(AB232-(AB232*0.015+0.2)-V232,2),"")</x:f>
      </x:c>
      <x:c r="AD232" s="36" t="str">
        <x:f>IF(ISNUMBER(Y232),ROUND(Y232*0.8,2),"")</x:f>
      </x:c>
      <x:c r="AE232" s="36" t="str">
        <x:f>IF(ISNUMBER(AD232),ROUND(AD232*0.015+0.2,2),"")</x:f>
      </x:c>
      <x:c r="AF232" s="36" t="str">
        <x:f>IF(ISNUMBER(AD232),ROUND(AD232-AE232-V232,2),"")</x:f>
      </x:c>
      <x:c r="AG232" t="str">
        <x:f>IF(NOT(ISNUMBER(T232)),"PENDING",IF(AF232&gt;0,"PASS","FAIL"))</x:f>
        <x:v>PENDING</x:v>
      </x:c>
      <x:c r="AH232" t="str">
        <x:f>IF(NOT(ISNUMBER(T232)),"Needs supplier cost",IF(K232&lt;&gt;"In stock","Supplier unavailable",IF(AG232&lt;&gt;"PASS","BLOCK - GT loss risk","Commercially protected")))</x:f>
        <x:v>Needs supplier cost</x:v>
      </x:c>
      <x:c r="AI232" t="str">
        <x:v>2026-09-10 Active Sports trade capture</x:v>
      </x:c>
      <x:c r="AJ232" t="str">
        <x:v>Management-only economics. Stripe stress test uses 1.5% + £0.20 standard UK online-card fee; pallet/mix-and-match pricing ignored.</x:v>
      </x:c>
    </x:row>
    <x:row r="233">
      <x:c r="A233" s="10" t="str">
        <x:v>Active Sports Nutrition</x:v>
      </x:c>
      <x:c r="B233" s="10" t="str">
        <x:v>NXT Nutrition</x:v>
      </x:c>
      <x:c r="C233" s="10" t="str">
        <x:v>Amino Fuel</x:v>
      </x:c>
      <x:c r="D233" s="10" t="str">
        <x:v>Supplements</x:v>
      </x:c>
      <x:c r="E233" s="10" t="str">
        <x:v>Amino Acids</x:v>
      </x:c>
      <x:c r="F233" s="10" t="str">
        <x:v>BCAA and glutamine amino formula.</x:v>
      </x:c>
      <x:c r="G233" s="10" t="str">
        <x:v>300g</x:v>
      </x:c>
      <x:c r="H233" s="10" t="str">
        <x:v>Strawberry Lime</x:v>
      </x:c>
      <x:c r="I233" s="10" t="str"/>
      <x:c r="J233" s="10" t="str">
        <x:v>Unit</x:v>
      </x:c>
      <x:c r="K233" s="10" t="str">
        <x:v>In stock</x:v>
      </x:c>
      <x:c r="L233" s="10" t="str">
        <x:v>2026-09-08</x:v>
      </x:c>
      <x:c r="M233" s="10" t="str"/>
      <x:c r="N233" s="10" t="str"/>
      <x:c r="O233" s="10" t="str">
        <x:v>https://www.activesportstrade.co.uk/nxt-nutrition-trade</x:v>
      </x:c>
      <x:c r="P233" s="10" t="str"/>
      <x:c r="S233" t="str">
        <x:v>Pending genuine supplier/brand image</x:v>
      </x:c>
      <x:c r="T233" s="54"/>
      <x:c r="U233" s="47" t="n">
        <x:v>0.2</x:v>
      </x:c>
      <x:c r="V233" s="54" t="str">
        <x:f>IF(ISNUMBER(T233),T233*(1+U233),"")</x:f>
      </x:c>
      <x:c r="W233" s="47" t="n">
        <x:v>0.3</x:v>
      </x:c>
      <x:c r="X233" s="54" t="str">
        <x:f>IF(ISNUMBER(V233),V233/(1-W233),"")</x:f>
      </x:c>
      <x:c r="Y233" s="55" t="str">
        <x:f>IF(ISNUMBER(X233),ROUNDUP(X233,0),"")</x:f>
      </x:c>
      <x:c r="Z233" t="str">
        <x:f>IF(ISNUMBER(T233),"Cost captured","Awaiting trade cost")</x:f>
        <x:v>Awaiting trade cost</x:v>
      </x:c>
      <x:c r="AB233" s="36" t="str">
        <x:f>IF(ISNUMBER(Y233),ROUND(Y233*0.9,2),"")</x:f>
      </x:c>
      <x:c r="AC233" s="36" t="str">
        <x:f>IF(ISNUMBER(AB233),ROUND(AB233-(AB233*0.015+0.2)-V233,2),"")</x:f>
      </x:c>
      <x:c r="AD233" s="36" t="str">
        <x:f>IF(ISNUMBER(Y233),ROUND(Y233*0.8,2),"")</x:f>
      </x:c>
      <x:c r="AE233" s="36" t="str">
        <x:f>IF(ISNUMBER(AD233),ROUND(AD233*0.015+0.2,2),"")</x:f>
      </x:c>
      <x:c r="AF233" s="36" t="str">
        <x:f>IF(ISNUMBER(AD233),ROUND(AD233-AE233-V233,2),"")</x:f>
      </x:c>
      <x:c r="AG233" t="str">
        <x:f>IF(NOT(ISNUMBER(T233)),"PENDING",IF(AF233&gt;0,"PASS","FAIL"))</x:f>
        <x:v>PENDING</x:v>
      </x:c>
      <x:c r="AH233" t="str">
        <x:f>IF(NOT(ISNUMBER(T233)),"Needs supplier cost",IF(K233&lt;&gt;"In stock","Supplier unavailable",IF(AG233&lt;&gt;"PASS","BLOCK - GT loss risk","Commercially protected")))</x:f>
        <x:v>Needs supplier cost</x:v>
      </x:c>
      <x:c r="AI233" t="str">
        <x:v>2026-09-10 Active Sports trade capture</x:v>
      </x:c>
      <x:c r="AJ233" t="str">
        <x:v>Management-only economics. Stripe stress test uses 1.5% + £0.20 standard UK online-card fee; pallet/mix-and-match pricing ignored.</x:v>
      </x:c>
    </x:row>
    <x:row r="234">
      <x:c r="A234" t="str">
        <x:v>Active Sports Nutrition</x:v>
      </x:c>
      <x:c r="B234" t="str">
        <x:v>10X Athletic</x:v>
      </x:c>
      <x:c r="C234" t="str">
        <x:v>CRE Micronised Creatine Monohydrate</x:v>
      </x:c>
      <x:c r="D234" t="str">
        <x:v>Supplements</x:v>
      </x:c>
      <x:c r="E234" t="str">
        <x:v>Creatine Powders</x:v>
      </x:c>
      <x:c r="F234" t="str">
        <x:v>Micronised creatine monohydrate powder.</x:v>
      </x:c>
      <x:c r="G234" t="str">
        <x:v>300g</x:v>
      </x:c>
      <x:c r="H234" t="str">
        <x:v>Unflavoured</x:v>
      </x:c>
      <x:c r="I234" t="str"/>
      <x:c r="J234" t="str">
        <x:v>Unit</x:v>
      </x:c>
      <x:c r="K234" t="str">
        <x:v>In stock</x:v>
      </x:c>
      <x:c r="L234" t="str">
        <x:v>2026-09-08</x:v>
      </x:c>
      <x:c r="M234" t="str"/>
      <x:c r="N234" t="str"/>
      <x:c r="O234" t="str">
        <x:v>https://www.activesportstrade.co.uk/Creatine-Powders-Trade</x:v>
      </x:c>
      <x:c r="P234" t="str">
        <x:v>Supplier SPECIAL OFFER / FREE SHAKER wording removed from canonical title.</x:v>
      </x:c>
      <x:c r="S234" t="str">
        <x:v>Pending genuine supplier/brand image</x:v>
      </x:c>
      <x:c r="T234" s="54" t="n">
        <x:v>10.99</x:v>
      </x:c>
      <x:c r="U234" s="47" t="n">
        <x:v>0.2</x:v>
      </x:c>
      <x:c r="V234" s="54" t="n">
        <x:f>IF(ISNUMBER(T234),T234*(1+U234),"")</x:f>
        <x:v>13.188</x:v>
      </x:c>
      <x:c r="W234" s="47" t="n">
        <x:v>0.3</x:v>
      </x:c>
      <x:c r="X234" s="54" t="n">
        <x:f>IF(ISNUMBER(V234),V234/(1-W234),"")</x:f>
        <x:v>18.840000000000003</x:v>
      </x:c>
      <x:c r="Y234" s="55" t="n">
        <x:f>IF(ISNUMBER(X234),ROUNDUP(X234,0),"")</x:f>
        <x:v>19</x:v>
      </x:c>
      <x:c r="Z234" t="str">
        <x:v>Source match pending</x:v>
      </x:c>
      <x:c r="AA234" t="str">
        <x:v>screencapture-www-activesportstrade-co-uk-10x-athletic-trade-2026-09-09-18_13_27.png / page-001</x:v>
      </x:c>
      <x:c r="AB234" s="36" t="n">
        <x:f>IF(ISNUMBER(Y234),ROUND(Y234*0.9,2),"")</x:f>
        <x:v>17.1</x:v>
      </x:c>
      <x:c r="AC234" s="36" t="n">
        <x:f>IF(ISNUMBER(AB234),ROUND(AB234-(AB234*0.015+0.2)-V234,2),"")</x:f>
        <x:v>3.46</x:v>
      </x:c>
      <x:c r="AD234" s="36" t="n">
        <x:f>IF(ISNUMBER(Y234),ROUND(Y234*0.8,2),"")</x:f>
        <x:v>15.2</x:v>
      </x:c>
      <x:c r="AE234" s="36" t="n">
        <x:f>IF(ISNUMBER(AD234),ROUND(AD234*0.015+0.2,2),"")</x:f>
        <x:v>0.43</x:v>
      </x:c>
      <x:c r="AF234" s="36" t="n">
        <x:f>IF(ISNUMBER(AD234),ROUND(AD234-AE234-V234,2),"")</x:f>
        <x:v>1.58</x:v>
      </x:c>
      <x:c r="AG234" t="str">
        <x:f>IF(NOT(ISNUMBER(T234)),"PENDING",IF(AF234&gt;0,"PASS","FAIL"))</x:f>
        <x:v>PASS</x:v>
      </x:c>
      <x:c r="AH234" t="str">
        <x:f>IF(NOT(ISNUMBER(T234)),"Needs supplier cost",IF(K234&lt;&gt;"In stock","Supplier unavailable",IF(AG234&lt;&gt;"PASS","BLOCK - GT loss risk","Commercially protected")))</x:f>
        <x:v>Commercially protected</x:v>
      </x:c>
      <x:c r="AI234" t="str">
        <x:v>2026-09-10 Active Sports trade capture</x:v>
      </x:c>
      <x:c r="AJ234" t="str">
        <x:v>Management-only economics. Stripe stress test uses 1.5% + £0.20 standard UK online-card fee; pallet/mix-and-match pricing ignored.</x:v>
      </x:c>
    </x:row>
    <x:row r="235">
      <x:c r="A235" t="str">
        <x:v>Active Sports Nutrition</x:v>
      </x:c>
      <x:c r="B235" t="str">
        <x:v>10X Athletic</x:v>
      </x:c>
      <x:c r="C235" t="str">
        <x:v>EAA</x:v>
      </x:c>
      <x:c r="D235" t="str">
        <x:v>Supplements</x:v>
      </x:c>
      <x:c r="E235" t="str">
        <x:v>Amino Acids</x:v>
      </x:c>
      <x:c r="F235" t="str">
        <x:v>Essential amino acid formula with electrolytes, B vitamins, citrulline malate and leucine.</x:v>
      </x:c>
      <x:c r="G235" t="str">
        <x:v>450g</x:v>
      </x:c>
      <x:c r="H235" t="str">
        <x:v>Appletize</x:v>
      </x:c>
      <x:c r="I235" t="str"/>
      <x:c r="J235" t="str">
        <x:v>Unit</x:v>
      </x:c>
      <x:c r="K235" t="str">
        <x:v>In stock</x:v>
      </x:c>
      <x:c r="L235" t="str">
        <x:v>2026-09-08</x:v>
      </x:c>
      <x:c r="M235" t="str"/>
      <x:c r="N235" t="str"/>
      <x:c r="O235" t="str">
        <x:v>https://www.activesportstrade.co.uk/Amino-Acids</x:v>
      </x:c>
      <x:c r="P235" t="str"/>
      <x:c r="S235" t="str">
        <x:v>Pending genuine supplier/brand image</x:v>
      </x:c>
      <x:c r="T235" s="54" t="n">
        <x:v>18.99</x:v>
      </x:c>
      <x:c r="U235" s="47" t="n">
        <x:v>0.2</x:v>
      </x:c>
      <x:c r="V235" s="54" t="n">
        <x:f>IF(ISNUMBER(T235),T235*(1+U235),"")</x:f>
        <x:v>22.787999999999997</x:v>
      </x:c>
      <x:c r="W235" s="47" t="n">
        <x:v>0.3</x:v>
      </x:c>
      <x:c r="X235" s="54" t="n">
        <x:f>IF(ISNUMBER(V235),V235/(1-W235),"")</x:f>
        <x:v>32.55428571428571</x:v>
      </x:c>
      <x:c r="Y235" s="55" t="n">
        <x:f>IF(ISNUMBER(X235),ROUNDUP(X235,0),"")</x:f>
        <x:v>33</x:v>
      </x:c>
      <x:c r="Z235" t="str">
        <x:v>Source match pending</x:v>
      </x:c>
      <x:c r="AA235" t="str">
        <x:v>screencapture-www-activesportstrade-co-uk-10x-athletic-trade-2026-09-09-18_13_27.png / page-001</x:v>
      </x:c>
      <x:c r="AB235" s="36" t="n">
        <x:f>IF(ISNUMBER(Y235),ROUND(Y235*0.9,2),"")</x:f>
        <x:v>29.7</x:v>
      </x:c>
      <x:c r="AC235" s="36" t="n">
        <x:f>IF(ISNUMBER(AB235),ROUND(AB235-(AB235*0.015+0.2)-V235,2),"")</x:f>
        <x:v>6.27</x:v>
      </x:c>
      <x:c r="AD235" s="36" t="n">
        <x:f>IF(ISNUMBER(Y235),ROUND(Y235*0.8,2),"")</x:f>
        <x:v>26.4</x:v>
      </x:c>
      <x:c r="AE235" s="36" t="n">
        <x:f>IF(ISNUMBER(AD235),ROUND(AD235*0.015+0.2,2),"")</x:f>
        <x:v>0.6</x:v>
      </x:c>
      <x:c r="AF235" s="36" t="n">
        <x:f>IF(ISNUMBER(AD235),ROUND(AD235-AE235-V235,2),"")</x:f>
        <x:v>3.01</x:v>
      </x:c>
      <x:c r="AG235" t="str">
        <x:f>IF(NOT(ISNUMBER(T235)),"PENDING",IF(AF235&gt;0,"PASS","FAIL"))</x:f>
        <x:v>PASS</x:v>
      </x:c>
      <x:c r="AH235" t="str">
        <x:f>IF(NOT(ISNUMBER(T235)),"Needs supplier cost",IF(K235&lt;&gt;"In stock","Supplier unavailable",IF(AG235&lt;&gt;"PASS","BLOCK - GT loss risk","Commercially protected")))</x:f>
        <x:v>Commercially protected</x:v>
      </x:c>
      <x:c r="AI235" t="str">
        <x:v>2026-09-10 Active Sports trade capture</x:v>
      </x:c>
      <x:c r="AJ235" t="str">
        <x:v>Management-only economics. Stripe stress test uses 1.5% + £0.20 standard UK online-card fee; pallet/mix-and-match pricing ignored.</x:v>
      </x:c>
    </x:row>
    <x:row r="236">
      <x:c r="A236" t="str">
        <x:v>Active Sports Nutrition</x:v>
      </x:c>
      <x:c r="B236" t="str">
        <x:v>10X Athletic</x:v>
      </x:c>
      <x:c r="C236" t="str">
        <x:v>EAA</x:v>
      </x:c>
      <x:c r="D236" t="str">
        <x:v>Supplements</x:v>
      </x:c>
      <x:c r="E236" t="str">
        <x:v>Amino Acids</x:v>
      </x:c>
      <x:c r="F236" t="str">
        <x:v>Essential amino acid formula with electrolytes, B vitamins, citrulline malate and leucine.</x:v>
      </x:c>
      <x:c r="G236" t="str">
        <x:v>450g</x:v>
      </x:c>
      <x:c r="H236" t="str">
        <x:v>Lemonaze</x:v>
      </x:c>
      <x:c r="I236" t="str"/>
      <x:c r="J236" t="str">
        <x:v>Unit</x:v>
      </x:c>
      <x:c r="K236" t="str">
        <x:v>In stock</x:v>
      </x:c>
      <x:c r="L236" t="str">
        <x:v>2026-09-08</x:v>
      </x:c>
      <x:c r="M236" t="str"/>
      <x:c r="N236" t="str"/>
      <x:c r="O236" t="str">
        <x:v>https://www.activesportstrade.co.uk/Amino-Acids</x:v>
      </x:c>
      <x:c r="P236" t="str"/>
      <x:c r="S236" t="str">
        <x:v>Pending genuine supplier/brand image</x:v>
      </x:c>
      <x:c r="T236" s="54" t="n">
        <x:v>18.99</x:v>
      </x:c>
      <x:c r="U236" s="47" t="n">
        <x:v>0.2</x:v>
      </x:c>
      <x:c r="V236" s="54" t="n">
        <x:f>IF(ISNUMBER(T236),T236*(1+U236),"")</x:f>
        <x:v>22.787999999999997</x:v>
      </x:c>
      <x:c r="W236" s="47" t="n">
        <x:v>0.3</x:v>
      </x:c>
      <x:c r="X236" s="54" t="n">
        <x:f>IF(ISNUMBER(V236),V236/(1-W236),"")</x:f>
        <x:v>32.55428571428571</x:v>
      </x:c>
      <x:c r="Y236" s="55" t="n">
        <x:f>IF(ISNUMBER(X236),ROUNDUP(X236,0),"")</x:f>
        <x:v>33</x:v>
      </x:c>
      <x:c r="Z236" t="str">
        <x:v>Source match pending</x:v>
      </x:c>
      <x:c r="AA236" t="str">
        <x:v>screencapture-www-activesportstrade-co-uk-10x-athletic-trade-2026-09-09-18_13_27.png / page-001</x:v>
      </x:c>
      <x:c r="AB236" s="36" t="n">
        <x:f>IF(ISNUMBER(Y236),ROUND(Y236*0.9,2),"")</x:f>
        <x:v>29.7</x:v>
      </x:c>
      <x:c r="AC236" s="36" t="n">
        <x:f>IF(ISNUMBER(AB236),ROUND(AB236-(AB236*0.015+0.2)-V236,2),"")</x:f>
        <x:v>6.27</x:v>
      </x:c>
      <x:c r="AD236" s="36" t="n">
        <x:f>IF(ISNUMBER(Y236),ROUND(Y236*0.8,2),"")</x:f>
        <x:v>26.4</x:v>
      </x:c>
      <x:c r="AE236" s="36" t="n">
        <x:f>IF(ISNUMBER(AD236),ROUND(AD236*0.015+0.2,2),"")</x:f>
        <x:v>0.6</x:v>
      </x:c>
      <x:c r="AF236" s="36" t="n">
        <x:f>IF(ISNUMBER(AD236),ROUND(AD236-AE236-V236,2),"")</x:f>
        <x:v>3.01</x:v>
      </x:c>
      <x:c r="AG236" t="str">
        <x:f>IF(NOT(ISNUMBER(T236)),"PENDING",IF(AF236&gt;0,"PASS","FAIL"))</x:f>
        <x:v>PASS</x:v>
      </x:c>
      <x:c r="AH236" t="str">
        <x:f>IF(NOT(ISNUMBER(T236)),"Needs supplier cost",IF(K236&lt;&gt;"In stock","Supplier unavailable",IF(AG236&lt;&gt;"PASS","BLOCK - GT loss risk","Commercially protected")))</x:f>
        <x:v>Commercially protected</x:v>
      </x:c>
      <x:c r="AI236" t="str">
        <x:v>2026-09-10 Active Sports trade capture</x:v>
      </x:c>
      <x:c r="AJ236" t="str">
        <x:v>Management-only economics. Stripe stress test uses 1.5% + £0.20 standard UK online-card fee; pallet/mix-and-match pricing ignored.</x:v>
      </x:c>
    </x:row>
    <x:row r="237">
      <x:c r="A237" t="str">
        <x:v>Active Sports Nutrition</x:v>
      </x:c>
      <x:c r="B237" t="str">
        <x:v>10X Athletic</x:v>
      </x:c>
      <x:c r="C237" t="str">
        <x:v>EAA</x:v>
      </x:c>
      <x:c r="D237" t="str">
        <x:v>Supplements</x:v>
      </x:c>
      <x:c r="E237" t="str">
        <x:v>Amino Acids</x:v>
      </x:c>
      <x:c r="F237" t="str">
        <x:v>Essential amino acid formula with electrolytes, B vitamins, citrulline malate and leucine.</x:v>
      </x:c>
      <x:c r="G237" t="str">
        <x:v>450g</x:v>
      </x:c>
      <x:c r="H237" t="str">
        <x:v>Peacherine</x:v>
      </x:c>
      <x:c r="I237" t="str"/>
      <x:c r="J237" t="str">
        <x:v>Unit</x:v>
      </x:c>
      <x:c r="K237" t="str">
        <x:v>In stock</x:v>
      </x:c>
      <x:c r="L237" t="str">
        <x:v>2026-09-08</x:v>
      </x:c>
      <x:c r="M237" t="str"/>
      <x:c r="N237" t="str"/>
      <x:c r="O237" t="str">
        <x:v>https://www.activesportstrade.co.uk/Amino-Acids</x:v>
      </x:c>
      <x:c r="P237" t="str"/>
      <x:c r="S237" t="str">
        <x:v>Pending genuine supplier/brand image</x:v>
      </x:c>
      <x:c r="T237" s="54" t="n">
        <x:v>18.99</x:v>
      </x:c>
      <x:c r="U237" s="47" t="n">
        <x:v>0.2</x:v>
      </x:c>
      <x:c r="V237" s="54" t="n">
        <x:f>IF(ISNUMBER(T237),T237*(1+U237),"")</x:f>
        <x:v>22.787999999999997</x:v>
      </x:c>
      <x:c r="W237" s="47" t="n">
        <x:v>0.3</x:v>
      </x:c>
      <x:c r="X237" s="54" t="n">
        <x:f>IF(ISNUMBER(V237),V237/(1-W237),"")</x:f>
        <x:v>32.55428571428571</x:v>
      </x:c>
      <x:c r="Y237" s="55" t="n">
        <x:f>IF(ISNUMBER(X237),ROUNDUP(X237,0),"")</x:f>
        <x:v>33</x:v>
      </x:c>
      <x:c r="Z237" t="str">
        <x:v>Source match pending</x:v>
      </x:c>
      <x:c r="AA237" t="str">
        <x:v>screencapture-www-activesportstrade-co-uk-10x-athletic-trade-2026-09-09-18_13_27.png / page-001</x:v>
      </x:c>
      <x:c r="AB237" s="36" t="n">
        <x:f>IF(ISNUMBER(Y237),ROUND(Y237*0.9,2),"")</x:f>
        <x:v>29.7</x:v>
      </x:c>
      <x:c r="AC237" s="36" t="n">
        <x:f>IF(ISNUMBER(AB237),ROUND(AB237-(AB237*0.015+0.2)-V237,2),"")</x:f>
        <x:v>6.27</x:v>
      </x:c>
      <x:c r="AD237" s="36" t="n">
        <x:f>IF(ISNUMBER(Y237),ROUND(Y237*0.8,2),"")</x:f>
        <x:v>26.4</x:v>
      </x:c>
      <x:c r="AE237" s="36" t="n">
        <x:f>IF(ISNUMBER(AD237),ROUND(AD237*0.015+0.2,2),"")</x:f>
        <x:v>0.6</x:v>
      </x:c>
      <x:c r="AF237" s="36" t="n">
        <x:f>IF(ISNUMBER(AD237),ROUND(AD237-AE237-V237,2),"")</x:f>
        <x:v>3.01</x:v>
      </x:c>
      <x:c r="AG237" t="str">
        <x:f>IF(NOT(ISNUMBER(T237)),"PENDING",IF(AF237&gt;0,"PASS","FAIL"))</x:f>
        <x:v>PASS</x:v>
      </x:c>
      <x:c r="AH237" t="str">
        <x:f>IF(NOT(ISNUMBER(T237)),"Needs supplier cost",IF(K237&lt;&gt;"In stock","Supplier unavailable",IF(AG237&lt;&gt;"PASS","BLOCK - GT loss risk","Commercially protected")))</x:f>
        <x:v>Commercially protected</x:v>
      </x:c>
      <x:c r="AI237" t="str">
        <x:v>2026-09-10 Active Sports trade capture</x:v>
      </x:c>
      <x:c r="AJ237" t="str">
        <x:v>Management-only economics. Stripe stress test uses 1.5% + £0.20 standard UK online-card fee; pallet/mix-and-match pricing ignored.</x:v>
      </x:c>
    </x:row>
    <x:row r="238">
      <x:c r="A238" t="str">
        <x:v>Active Sports Nutrition</x:v>
      </x:c>
      <x:c r="B238" t="str">
        <x:v>10X Athletic</x:v>
      </x:c>
      <x:c r="C238" t="str">
        <x:v>EAA</x:v>
      </x:c>
      <x:c r="D238" t="str">
        <x:v>Supplements</x:v>
      </x:c>
      <x:c r="E238" t="str">
        <x:v>Amino Acids</x:v>
      </x:c>
      <x:c r="F238" t="str">
        <x:v>Essential amino acid formula with electrolytes, B vitamins, citrulline malate and leucine.</x:v>
      </x:c>
      <x:c r="G238" t="str">
        <x:v>450g</x:v>
      </x:c>
      <x:c r="H238" t="str">
        <x:v>Tangerine</x:v>
      </x:c>
      <x:c r="I238" t="str"/>
      <x:c r="J238" t="str">
        <x:v>Unit</x:v>
      </x:c>
      <x:c r="K238" t="str">
        <x:v>Out of stock</x:v>
      </x:c>
      <x:c r="L238" t="str">
        <x:v>2026-09-08</x:v>
      </x:c>
      <x:c r="M238" t="str"/>
      <x:c r="N238" t="str"/>
      <x:c r="O238" t="str">
        <x:v>https://www.activesportstrade.co.uk/Amino-Acids</x:v>
      </x:c>
      <x:c r="P238" t="str"/>
      <x:c r="S238" t="str">
        <x:v>Pending genuine supplier/brand image</x:v>
      </x:c>
      <x:c r="T238" s="54" t="n">
        <x:v>18.99</x:v>
      </x:c>
      <x:c r="U238" s="47" t="n">
        <x:v>0.2</x:v>
      </x:c>
      <x:c r="V238" s="54" t="n">
        <x:f>IF(ISNUMBER(T238),T238*(1+U238),"")</x:f>
        <x:v>22.787999999999997</x:v>
      </x:c>
      <x:c r="W238" s="47" t="n">
        <x:v>0.3</x:v>
      </x:c>
      <x:c r="X238" s="54" t="n">
        <x:f>IF(ISNUMBER(V238),V238/(1-W238),"")</x:f>
        <x:v>32.55428571428571</x:v>
      </x:c>
      <x:c r="Y238" s="55" t="n">
        <x:f>IF(ISNUMBER(X238),ROUNDUP(X238,0),"")</x:f>
        <x:v>33</x:v>
      </x:c>
      <x:c r="Z238" t="str">
        <x:v>Source match pending</x:v>
      </x:c>
      <x:c r="AA238" t="str">
        <x:v>screencapture-www-activesportstrade-co-uk-10x-athletic-trade-2026-09-09-18_13_27.png / page-001</x:v>
      </x:c>
      <x:c r="AB238" s="36" t="n">
        <x:f>IF(ISNUMBER(Y238),ROUND(Y238*0.9,2),"")</x:f>
        <x:v>29.7</x:v>
      </x:c>
      <x:c r="AC238" s="36" t="n">
        <x:f>IF(ISNUMBER(AB238),ROUND(AB238-(AB238*0.015+0.2)-V238,2),"")</x:f>
        <x:v>6.27</x:v>
      </x:c>
      <x:c r="AD238" s="36" t="n">
        <x:f>IF(ISNUMBER(Y238),ROUND(Y238*0.8,2),"")</x:f>
        <x:v>26.4</x:v>
      </x:c>
      <x:c r="AE238" s="36" t="n">
        <x:f>IF(ISNUMBER(AD238),ROUND(AD238*0.015+0.2,2),"")</x:f>
        <x:v>0.6</x:v>
      </x:c>
      <x:c r="AF238" s="36" t="n">
        <x:f>IF(ISNUMBER(AD238),ROUND(AD238-AE238-V238,2),"")</x:f>
        <x:v>3.01</x:v>
      </x:c>
      <x:c r="AG238" t="str">
        <x:f>IF(NOT(ISNUMBER(T238)),"PENDING",IF(AF238&gt;0,"PASS","FAIL"))</x:f>
        <x:v>PASS</x:v>
      </x:c>
      <x:c r="AH238" t="str">
        <x:f>IF(NOT(ISNUMBER(T238)),"Needs supplier cost",IF(K238&lt;&gt;"In stock","Supplier unavailable",IF(AG238&lt;&gt;"PASS","BLOCK - GT loss risk","Commercially protected")))</x:f>
        <x:v>Supplier unavailable</x:v>
      </x:c>
      <x:c r="AI238" t="str">
        <x:v>2026-09-10 Active Sports trade capture</x:v>
      </x:c>
      <x:c r="AJ238" t="str">
        <x:v>Management-only economics. Stripe stress test uses 1.5% + £0.20 standard UK online-card fee; pallet/mix-and-match pricing ignored.</x:v>
      </x:c>
    </x:row>
    <x:row r="239">
      <x:c r="A239" t="str">
        <x:v>Active Sports Nutrition</x:v>
      </x:c>
      <x:c r="B239" t="str">
        <x:v>10X Athletic</x:v>
      </x:c>
      <x:c r="C239" t="str">
        <x:v>EAA</x:v>
      </x:c>
      <x:c r="D239" t="str">
        <x:v>Supplements</x:v>
      </x:c>
      <x:c r="E239" t="str">
        <x:v>Amino Acids</x:v>
      </x:c>
      <x:c r="F239" t="str">
        <x:v>Essential amino acid formula with electrolytes, B vitamins, citrulline malate and leucine.</x:v>
      </x:c>
      <x:c r="G239" t="str">
        <x:v>450g</x:v>
      </x:c>
      <x:c r="H239" t="str">
        <x:v>Watermalone</x:v>
      </x:c>
      <x:c r="I239" t="str"/>
      <x:c r="J239" t="str">
        <x:v>Unit</x:v>
      </x:c>
      <x:c r="K239" t="str">
        <x:v>In stock</x:v>
      </x:c>
      <x:c r="L239" t="str">
        <x:v>2026-09-08</x:v>
      </x:c>
      <x:c r="M239" t="str"/>
      <x:c r="N239" t="str"/>
      <x:c r="O239" t="str">
        <x:v>https://www.activesportstrade.co.uk/Amino-Acids</x:v>
      </x:c>
      <x:c r="P239" t="str"/>
      <x:c r="S239" t="str">
        <x:v>Pending genuine supplier/brand image</x:v>
      </x:c>
      <x:c r="T239" s="54" t="n">
        <x:v>18.99</x:v>
      </x:c>
      <x:c r="U239" s="47" t="n">
        <x:v>0.2</x:v>
      </x:c>
      <x:c r="V239" s="54" t="n">
        <x:f>IF(ISNUMBER(T239),T239*(1+U239),"")</x:f>
        <x:v>22.787999999999997</x:v>
      </x:c>
      <x:c r="W239" s="47" t="n">
        <x:v>0.3</x:v>
      </x:c>
      <x:c r="X239" s="54" t="n">
        <x:f>IF(ISNUMBER(V239),V239/(1-W239),"")</x:f>
        <x:v>32.55428571428571</x:v>
      </x:c>
      <x:c r="Y239" s="55" t="n">
        <x:f>IF(ISNUMBER(X239),ROUNDUP(X239,0),"")</x:f>
        <x:v>33</x:v>
      </x:c>
      <x:c r="Z239" t="str">
        <x:v>Source match pending</x:v>
      </x:c>
      <x:c r="AA239" t="str">
        <x:v>screencapture-www-activesportstrade-co-uk-10x-athletic-trade-2026-09-09-18_13_27.png / page-001</x:v>
      </x:c>
      <x:c r="AB239" s="36" t="n">
        <x:f>IF(ISNUMBER(Y239),ROUND(Y239*0.9,2),"")</x:f>
        <x:v>29.7</x:v>
      </x:c>
      <x:c r="AC239" s="36" t="n">
        <x:f>IF(ISNUMBER(AB239),ROUND(AB239-(AB239*0.015+0.2)-V239,2),"")</x:f>
        <x:v>6.27</x:v>
      </x:c>
      <x:c r="AD239" s="36" t="n">
        <x:f>IF(ISNUMBER(Y239),ROUND(Y239*0.8,2),"")</x:f>
        <x:v>26.4</x:v>
      </x:c>
      <x:c r="AE239" s="36" t="n">
        <x:f>IF(ISNUMBER(AD239),ROUND(AD239*0.015+0.2,2),"")</x:f>
        <x:v>0.6</x:v>
      </x:c>
      <x:c r="AF239" s="36" t="n">
        <x:f>IF(ISNUMBER(AD239),ROUND(AD239-AE239-V239,2),"")</x:f>
        <x:v>3.01</x:v>
      </x:c>
      <x:c r="AG239" t="str">
        <x:f>IF(NOT(ISNUMBER(T239)),"PENDING",IF(AF239&gt;0,"PASS","FAIL"))</x:f>
        <x:v>PASS</x:v>
      </x:c>
      <x:c r="AH239" t="str">
        <x:f>IF(NOT(ISNUMBER(T239)),"Needs supplier cost",IF(K239&lt;&gt;"In stock","Supplier unavailable",IF(AG239&lt;&gt;"PASS","BLOCK - GT loss risk","Commercially protected")))</x:f>
        <x:v>Commercially protected</x:v>
      </x:c>
      <x:c r="AI239" t="str">
        <x:v>2026-09-10 Active Sports trade capture</x:v>
      </x:c>
      <x:c r="AJ239" t="str">
        <x:v>Management-only economics. Stripe stress test uses 1.5% + £0.20 standard UK online-card fee; pallet/mix-and-match pricing ignored.</x:v>
      </x:c>
    </x:row>
    <x:row r="240">
      <x:c r="A240" t="str">
        <x:v>Active Sports Nutrition</x:v>
      </x:c>
      <x:c r="B240" t="str">
        <x:v>10X Athletic</x:v>
      </x:c>
      <x:c r="C240" t="str">
        <x:v>GLUT+ Micronised L-Glutamine</x:v>
      </x:c>
      <x:c r="D240" t="str">
        <x:v>Supplements</x:v>
      </x:c>
      <x:c r="E240" t="str">
        <x:v>L-Glutamine</x:v>
      </x:c>
      <x:c r="F240" t="str">
        <x:v>Micronised L-glutamine powder.</x:v>
      </x:c>
      <x:c r="G240" t="str">
        <x:v>300g</x:v>
      </x:c>
      <x:c r="H240" t="str">
        <x:v>Unflavoured</x:v>
      </x:c>
      <x:c r="I240" t="str"/>
      <x:c r="J240" t="str">
        <x:v>Unit</x:v>
      </x:c>
      <x:c r="K240" t="str">
        <x:v>Out of stock</x:v>
      </x:c>
      <x:c r="L240" t="str">
        <x:v>2026-09-08</x:v>
      </x:c>
      <x:c r="M240" t="str"/>
      <x:c r="N240" t="str"/>
      <x:c r="O240" t="str">
        <x:v>https://www.activesportstrade.co.uk/Amino-Acids</x:v>
      </x:c>
      <x:c r="P240" t="str">
        <x:v>Supplier SPECIAL OFFER wording removed from canonical title.</x:v>
      </x:c>
      <x:c r="S240" t="str">
        <x:v>Pending genuine supplier/brand image</x:v>
      </x:c>
      <x:c r="T240" s="54" t="n">
        <x:v>11.99</x:v>
      </x:c>
      <x:c r="U240" s="47" t="n">
        <x:v>0.2</x:v>
      </x:c>
      <x:c r="V240" s="54" t="n">
        <x:f>IF(ISNUMBER(T240),T240*(1+U240),"")</x:f>
        <x:v>14.388</x:v>
      </x:c>
      <x:c r="W240" s="47" t="n">
        <x:v>0.3</x:v>
      </x:c>
      <x:c r="X240" s="54" t="n">
        <x:f>IF(ISNUMBER(V240),V240/(1-W240),"")</x:f>
        <x:v>20.554285714285715</x:v>
      </x:c>
      <x:c r="Y240" s="55" t="n">
        <x:f>IF(ISNUMBER(X240),ROUNDUP(X240,0),"")</x:f>
        <x:v>21</x:v>
      </x:c>
      <x:c r="Z240" t="str">
        <x:v>Source match pending</x:v>
      </x:c>
      <x:c r="AA240" t="str">
        <x:v>screencapture-www-activesportstrade-co-uk-10x-athletic-trade-2026-09-09-18_13_27.png / page-001</x:v>
      </x:c>
      <x:c r="AB240" s="36" t="n">
        <x:f>IF(ISNUMBER(Y240),ROUND(Y240*0.9,2),"")</x:f>
        <x:v>18.9</x:v>
      </x:c>
      <x:c r="AC240" s="36" t="n">
        <x:f>IF(ISNUMBER(AB240),ROUND(AB240-(AB240*0.015+0.2)-V240,2),"")</x:f>
        <x:v>4.03</x:v>
      </x:c>
      <x:c r="AD240" s="36" t="n">
        <x:f>IF(ISNUMBER(Y240),ROUND(Y240*0.8,2),"")</x:f>
        <x:v>16.8</x:v>
      </x:c>
      <x:c r="AE240" s="36" t="n">
        <x:f>IF(ISNUMBER(AD240),ROUND(AD240*0.015+0.2,2),"")</x:f>
        <x:v>0.45</x:v>
      </x:c>
      <x:c r="AF240" s="36" t="n">
        <x:f>IF(ISNUMBER(AD240),ROUND(AD240-AE240-V240,2),"")</x:f>
        <x:v>1.96</x:v>
      </x:c>
      <x:c r="AG240" t="str">
        <x:f>IF(NOT(ISNUMBER(T240)),"PENDING",IF(AF240&gt;0,"PASS","FAIL"))</x:f>
        <x:v>PASS</x:v>
      </x:c>
      <x:c r="AH240" t="str">
        <x:f>IF(NOT(ISNUMBER(T240)),"Needs supplier cost",IF(K240&lt;&gt;"In stock","Supplier unavailable",IF(AG240&lt;&gt;"PASS","BLOCK - GT loss risk","Commercially protected")))</x:f>
        <x:v>Supplier unavailable</x:v>
      </x:c>
      <x:c r="AI240" t="str">
        <x:v>2026-09-10 Active Sports trade capture</x:v>
      </x:c>
      <x:c r="AJ240" t="str">
        <x:v>Management-only economics. Stripe stress test uses 1.5% + £0.20 standard UK online-card fee; pallet/mix-and-match pricing ignored.</x:v>
      </x:c>
    </x:row>
    <x:row r="241">
      <x:c r="A241" t="str">
        <x:v>Active Sports Nutrition</x:v>
      </x:c>
      <x:c r="B241" t="str">
        <x:v>10X Athletic</x:v>
      </x:c>
      <x:c r="C241" t="str">
        <x:v>PUMP Non-Stim Pre Workout</x:v>
      </x:c>
      <x:c r="D241" t="str">
        <x:v>Pre Workouts</x:v>
      </x:c>
      <x:c r="E241" t="str">
        <x:v>Stim FREE</x:v>
      </x:c>
      <x:c r="F241" t="str">
        <x:v>Stimulant-free pre-workout / pump formula.</x:v>
      </x:c>
      <x:c r="G241" t="str">
        <x:v>600g</x:v>
      </x:c>
      <x:c r="H241" t="str">
        <x:v>Apple Attack</x:v>
      </x:c>
      <x:c r="I241" t="str"/>
      <x:c r="J241" t="str">
        <x:v>Unit</x:v>
      </x:c>
      <x:c r="K241" t="str">
        <x:v>In stock</x:v>
      </x:c>
      <x:c r="L241" t="str">
        <x:v>2026-09-08</x:v>
      </x:c>
      <x:c r="M241" t="str"/>
      <x:c r="N241" t="str"/>
      <x:c r="O241" t="str">
        <x:v>https://www.activesportstrade.co.uk/stim-free-pre-workouts-trade</x:v>
      </x:c>
      <x:c r="P241" t="str">
        <x:v>Supplier special-offer/free-shaker wording removed.</x:v>
      </x:c>
      <x:c r="S241" t="str">
        <x:v>Pending genuine supplier/brand image</x:v>
      </x:c>
      <x:c r="T241" s="54" t="n">
        <x:v>18.99</x:v>
      </x:c>
      <x:c r="U241" s="47" t="n">
        <x:v>0.2</x:v>
      </x:c>
      <x:c r="V241" s="54" t="n">
        <x:f>IF(ISNUMBER(T241),T241*(1+U241),"")</x:f>
        <x:v>22.787999999999997</x:v>
      </x:c>
      <x:c r="W241" s="47" t="n">
        <x:v>0.3</x:v>
      </x:c>
      <x:c r="X241" s="54" t="n">
        <x:f>IF(ISNUMBER(V241),V241/(1-W241),"")</x:f>
        <x:v>32.55428571428571</x:v>
      </x:c>
      <x:c r="Y241" s="55" t="n">
        <x:f>IF(ISNUMBER(X241),ROUNDUP(X241,0),"")</x:f>
        <x:v>33</x:v>
      </x:c>
      <x:c r="Z241" t="str">
        <x:v>Source match pending</x:v>
      </x:c>
      <x:c r="AA241" t="str">
        <x:v>screencapture-www-activesportstrade-co-uk-10x-athletic-trade-2026-09-09-18_13_27.png / page-001</x:v>
      </x:c>
      <x:c r="AB241" s="36" t="n">
        <x:f>IF(ISNUMBER(Y241),ROUND(Y241*0.9,2),"")</x:f>
        <x:v>29.7</x:v>
      </x:c>
      <x:c r="AC241" s="36" t="n">
        <x:f>IF(ISNUMBER(AB241),ROUND(AB241-(AB241*0.015+0.2)-V241,2),"")</x:f>
        <x:v>6.27</x:v>
      </x:c>
      <x:c r="AD241" s="36" t="n">
        <x:f>IF(ISNUMBER(Y241),ROUND(Y241*0.8,2),"")</x:f>
        <x:v>26.4</x:v>
      </x:c>
      <x:c r="AE241" s="36" t="n">
        <x:f>IF(ISNUMBER(AD241),ROUND(AD241*0.015+0.2,2),"")</x:f>
        <x:v>0.6</x:v>
      </x:c>
      <x:c r="AF241" s="36" t="n">
        <x:f>IF(ISNUMBER(AD241),ROUND(AD241-AE241-V241,2),"")</x:f>
        <x:v>3.01</x:v>
      </x:c>
      <x:c r="AG241" t="str">
        <x:f>IF(NOT(ISNUMBER(T241)),"PENDING",IF(AF241&gt;0,"PASS","FAIL"))</x:f>
        <x:v>PASS</x:v>
      </x:c>
      <x:c r="AH241" t="str">
        <x:f>IF(NOT(ISNUMBER(T241)),"Needs supplier cost",IF(K241&lt;&gt;"In stock","Supplier unavailable",IF(AG241&lt;&gt;"PASS","BLOCK - GT loss risk","Commercially protected")))</x:f>
        <x:v>Commercially protected</x:v>
      </x:c>
      <x:c r="AI241" t="str">
        <x:v>2026-09-10 Active Sports trade capture</x:v>
      </x:c>
      <x:c r="AJ241" t="str">
        <x:v>Management-only economics. Stripe stress test uses 1.5% + £0.20 standard UK online-card fee; pallet/mix-and-match pricing ignored.</x:v>
      </x:c>
    </x:row>
    <x:row r="242">
      <x:c r="A242" t="str">
        <x:v>Active Sports Nutrition</x:v>
      </x:c>
      <x:c r="B242" t="str">
        <x:v>10X Athletic</x:v>
      </x:c>
      <x:c r="C242" t="str">
        <x:v>PUMP Non-Stim Pre Workout</x:v>
      </x:c>
      <x:c r="D242" t="str">
        <x:v>Pre Workouts</x:v>
      </x:c>
      <x:c r="E242" t="str">
        <x:v>Stim FREE</x:v>
      </x:c>
      <x:c r="F242" t="str">
        <x:v>Stimulant-free pre-workout / pump formula.</x:v>
      </x:c>
      <x:c r="G242" t="str">
        <x:v>600g</x:v>
      </x:c>
      <x:c r="H242" t="str">
        <x:v>Atomic Orange</x:v>
      </x:c>
      <x:c r="I242" t="str"/>
      <x:c r="J242" t="str">
        <x:v>Unit</x:v>
      </x:c>
      <x:c r="K242" t="str">
        <x:v>In stock</x:v>
      </x:c>
      <x:c r="L242" t="str">
        <x:v>2026-09-08</x:v>
      </x:c>
      <x:c r="M242" t="str"/>
      <x:c r="N242" t="str"/>
      <x:c r="O242" t="str">
        <x:v>https://www.activesportstrade.co.uk/stim-free-pre-workouts-trade</x:v>
      </x:c>
      <x:c r="P242" t="str">
        <x:v>Supplier special-offer/free-shaker wording removed.</x:v>
      </x:c>
      <x:c r="S242" t="str">
        <x:v>Pending genuine supplier/brand image</x:v>
      </x:c>
      <x:c r="T242" s="54" t="n">
        <x:v>18.99</x:v>
      </x:c>
      <x:c r="U242" s="47" t="n">
        <x:v>0.2</x:v>
      </x:c>
      <x:c r="V242" s="54" t="n">
        <x:f>IF(ISNUMBER(T242),T242*(1+U242),"")</x:f>
        <x:v>22.787999999999997</x:v>
      </x:c>
      <x:c r="W242" s="47" t="n">
        <x:v>0.3</x:v>
      </x:c>
      <x:c r="X242" s="54" t="n">
        <x:f>IF(ISNUMBER(V242),V242/(1-W242),"")</x:f>
        <x:v>32.55428571428571</x:v>
      </x:c>
      <x:c r="Y242" s="55" t="n">
        <x:f>IF(ISNUMBER(X242),ROUNDUP(X242,0),"")</x:f>
        <x:v>33</x:v>
      </x:c>
      <x:c r="Z242" t="str">
        <x:v>Source match pending</x:v>
      </x:c>
      <x:c r="AA242" t="str">
        <x:v>screencapture-www-activesportstrade-co-uk-10x-athletic-trade-2026-09-09-18_13_27.png / page-001</x:v>
      </x:c>
      <x:c r="AB242" s="36" t="n">
        <x:f>IF(ISNUMBER(Y242),ROUND(Y242*0.9,2),"")</x:f>
        <x:v>29.7</x:v>
      </x:c>
      <x:c r="AC242" s="36" t="n">
        <x:f>IF(ISNUMBER(AB242),ROUND(AB242-(AB242*0.015+0.2)-V242,2),"")</x:f>
        <x:v>6.27</x:v>
      </x:c>
      <x:c r="AD242" s="36" t="n">
        <x:f>IF(ISNUMBER(Y242),ROUND(Y242*0.8,2),"")</x:f>
        <x:v>26.4</x:v>
      </x:c>
      <x:c r="AE242" s="36" t="n">
        <x:f>IF(ISNUMBER(AD242),ROUND(AD242*0.015+0.2,2),"")</x:f>
        <x:v>0.6</x:v>
      </x:c>
      <x:c r="AF242" s="36" t="n">
        <x:f>IF(ISNUMBER(AD242),ROUND(AD242-AE242-V242,2),"")</x:f>
        <x:v>3.01</x:v>
      </x:c>
      <x:c r="AG242" t="str">
        <x:f>IF(NOT(ISNUMBER(T242)),"PENDING",IF(AF242&gt;0,"PASS","FAIL"))</x:f>
        <x:v>PASS</x:v>
      </x:c>
      <x:c r="AH242" t="str">
        <x:f>IF(NOT(ISNUMBER(T242)),"Needs supplier cost",IF(K242&lt;&gt;"In stock","Supplier unavailable",IF(AG242&lt;&gt;"PASS","BLOCK - GT loss risk","Commercially protected")))</x:f>
        <x:v>Commercially protected</x:v>
      </x:c>
      <x:c r="AI242" t="str">
        <x:v>2026-09-10 Active Sports trade capture</x:v>
      </x:c>
      <x:c r="AJ242" t="str">
        <x:v>Management-only economics. Stripe stress test uses 1.5% + £0.20 standard UK online-card fee; pallet/mix-and-match pricing ignored.</x:v>
      </x:c>
    </x:row>
    <x:row r="243">
      <x:c r="A243" t="str">
        <x:v>Active Sports Nutrition</x:v>
      </x:c>
      <x:c r="B243" t="str">
        <x:v>10X Athletic</x:v>
      </x:c>
      <x:c r="C243" t="str">
        <x:v>PUMP Non-Stim Pre Workout</x:v>
      </x:c>
      <x:c r="D243" t="str">
        <x:v>Pre Workouts</x:v>
      </x:c>
      <x:c r="E243" t="str">
        <x:v>Stim FREE</x:v>
      </x:c>
      <x:c r="F243" t="str">
        <x:v>Stimulant-free pre-workout / pump formula.</x:v>
      </x:c>
      <x:c r="G243" t="str">
        <x:v>600g</x:v>
      </x:c>
      <x:c r="H243" t="str">
        <x:v>Cobra Ki</x:v>
      </x:c>
      <x:c r="I243" t="str"/>
      <x:c r="J243" t="str">
        <x:v>Unit</x:v>
      </x:c>
      <x:c r="K243" t="str">
        <x:v>In stock</x:v>
      </x:c>
      <x:c r="L243" t="str">
        <x:v>2026-09-08</x:v>
      </x:c>
      <x:c r="M243" t="str"/>
      <x:c r="N243" t="str"/>
      <x:c r="O243" t="str">
        <x:v>https://www.activesportstrade.co.uk/stim-free-pre-workouts-trade</x:v>
      </x:c>
      <x:c r="P243" t="str">
        <x:v>Supplier special-offer/free-shaker wording removed.</x:v>
      </x:c>
      <x:c r="S243" t="str">
        <x:v>Pending genuine supplier/brand image</x:v>
      </x:c>
      <x:c r="T243" s="54" t="n">
        <x:v>18.99</x:v>
      </x:c>
      <x:c r="U243" s="47" t="n">
        <x:v>0.2</x:v>
      </x:c>
      <x:c r="V243" s="54" t="n">
        <x:f>IF(ISNUMBER(T243),T243*(1+U243),"")</x:f>
        <x:v>22.787999999999997</x:v>
      </x:c>
      <x:c r="W243" s="47" t="n">
        <x:v>0.3</x:v>
      </x:c>
      <x:c r="X243" s="54" t="n">
        <x:f>IF(ISNUMBER(V243),V243/(1-W243),"")</x:f>
        <x:v>32.55428571428571</x:v>
      </x:c>
      <x:c r="Y243" s="55" t="n">
        <x:f>IF(ISNUMBER(X243),ROUNDUP(X243,0),"")</x:f>
        <x:v>33</x:v>
      </x:c>
      <x:c r="Z243" t="str">
        <x:v>Source match pending</x:v>
      </x:c>
      <x:c r="AA243" t="str">
        <x:v>screencapture-www-activesportstrade-co-uk-10x-athletic-trade-2026-09-09-18_13_27.png / page-001</x:v>
      </x:c>
      <x:c r="AB243" s="36" t="n">
        <x:f>IF(ISNUMBER(Y243),ROUND(Y243*0.9,2),"")</x:f>
        <x:v>29.7</x:v>
      </x:c>
      <x:c r="AC243" s="36" t="n">
        <x:f>IF(ISNUMBER(AB243),ROUND(AB243-(AB243*0.015+0.2)-V243,2),"")</x:f>
        <x:v>6.27</x:v>
      </x:c>
      <x:c r="AD243" s="36" t="n">
        <x:f>IF(ISNUMBER(Y243),ROUND(Y243*0.8,2),"")</x:f>
        <x:v>26.4</x:v>
      </x:c>
      <x:c r="AE243" s="36" t="n">
        <x:f>IF(ISNUMBER(AD243),ROUND(AD243*0.015+0.2,2),"")</x:f>
        <x:v>0.6</x:v>
      </x:c>
      <x:c r="AF243" s="36" t="n">
        <x:f>IF(ISNUMBER(AD243),ROUND(AD243-AE243-V243,2),"")</x:f>
        <x:v>3.01</x:v>
      </x:c>
      <x:c r="AG243" t="str">
        <x:f>IF(NOT(ISNUMBER(T243)),"PENDING",IF(AF243&gt;0,"PASS","FAIL"))</x:f>
        <x:v>PASS</x:v>
      </x:c>
      <x:c r="AH243" t="str">
        <x:f>IF(NOT(ISNUMBER(T243)),"Needs supplier cost",IF(K243&lt;&gt;"In stock","Supplier unavailable",IF(AG243&lt;&gt;"PASS","BLOCK - GT loss risk","Commercially protected")))</x:f>
        <x:v>Commercially protected</x:v>
      </x:c>
      <x:c r="AI243" t="str">
        <x:v>2026-09-10 Active Sports trade capture</x:v>
      </x:c>
      <x:c r="AJ243" t="str">
        <x:v>Management-only economics. Stripe stress test uses 1.5% + £0.20 standard UK online-card fee; pallet/mix-and-match pricing ignored.</x:v>
      </x:c>
    </x:row>
    <x:row r="244">
      <x:c r="A244" t="str">
        <x:v>Active Sports Nutrition</x:v>
      </x:c>
      <x:c r="B244" t="str">
        <x:v>10X Athletic</x:v>
      </x:c>
      <x:c r="C244" t="str">
        <x:v>PUMP Non-Stim Pre Workout</x:v>
      </x:c>
      <x:c r="D244" t="str">
        <x:v>Pre Workouts</x:v>
      </x:c>
      <x:c r="E244" t="str">
        <x:v>Stim FREE</x:v>
      </x:c>
      <x:c r="F244" t="str">
        <x:v>Stimulant-free pre-workout / pump formula.</x:v>
      </x:c>
      <x:c r="G244" t="str">
        <x:v>600g</x:v>
      </x:c>
      <x:c r="H244" t="str">
        <x:v>Fruit Bomb</x:v>
      </x:c>
      <x:c r="I244" t="str"/>
      <x:c r="J244" t="str">
        <x:v>Unit</x:v>
      </x:c>
      <x:c r="K244" t="str">
        <x:v>In stock</x:v>
      </x:c>
      <x:c r="L244" t="str">
        <x:v>2026-09-08</x:v>
      </x:c>
      <x:c r="M244" t="str"/>
      <x:c r="N244" t="str"/>
      <x:c r="O244" t="str">
        <x:v>https://www.activesportstrade.co.uk/stim-free-pre-workouts-trade</x:v>
      </x:c>
      <x:c r="P244" t="str">
        <x:v>Supplier special-offer/free-shaker wording removed.</x:v>
      </x:c>
      <x:c r="S244" t="str">
        <x:v>Pending genuine supplier/brand image</x:v>
      </x:c>
      <x:c r="T244" s="54" t="n">
        <x:v>18.99</x:v>
      </x:c>
      <x:c r="U244" s="47" t="n">
        <x:v>0.2</x:v>
      </x:c>
      <x:c r="V244" s="54" t="n">
        <x:f>IF(ISNUMBER(T244),T244*(1+U244),"")</x:f>
        <x:v>22.787999999999997</x:v>
      </x:c>
      <x:c r="W244" s="47" t="n">
        <x:v>0.3</x:v>
      </x:c>
      <x:c r="X244" s="54" t="n">
        <x:f>IF(ISNUMBER(V244),V244/(1-W244),"")</x:f>
        <x:v>32.55428571428571</x:v>
      </x:c>
      <x:c r="Y244" s="55" t="n">
        <x:f>IF(ISNUMBER(X244),ROUNDUP(X244,0),"")</x:f>
        <x:v>33</x:v>
      </x:c>
      <x:c r="Z244" t="str">
        <x:v>Source match pending</x:v>
      </x:c>
      <x:c r="AA244" t="str">
        <x:v>screencapture-www-activesportstrade-co-uk-10x-athletic-trade-2026-09-09-18_13_27.png / page-001</x:v>
      </x:c>
      <x:c r="AB244" s="36" t="n">
        <x:f>IF(ISNUMBER(Y244),ROUND(Y244*0.9,2),"")</x:f>
        <x:v>29.7</x:v>
      </x:c>
      <x:c r="AC244" s="36" t="n">
        <x:f>IF(ISNUMBER(AB244),ROUND(AB244-(AB244*0.015+0.2)-V244,2),"")</x:f>
        <x:v>6.27</x:v>
      </x:c>
      <x:c r="AD244" s="36" t="n">
        <x:f>IF(ISNUMBER(Y244),ROUND(Y244*0.8,2),"")</x:f>
        <x:v>26.4</x:v>
      </x:c>
      <x:c r="AE244" s="36" t="n">
        <x:f>IF(ISNUMBER(AD244),ROUND(AD244*0.015+0.2,2),"")</x:f>
        <x:v>0.6</x:v>
      </x:c>
      <x:c r="AF244" s="36" t="n">
        <x:f>IF(ISNUMBER(AD244),ROUND(AD244-AE244-V244,2),"")</x:f>
        <x:v>3.01</x:v>
      </x:c>
      <x:c r="AG244" t="str">
        <x:f>IF(NOT(ISNUMBER(T244)),"PENDING",IF(AF244&gt;0,"PASS","FAIL"))</x:f>
        <x:v>PASS</x:v>
      </x:c>
      <x:c r="AH244" t="str">
        <x:f>IF(NOT(ISNUMBER(T244)),"Needs supplier cost",IF(K244&lt;&gt;"In stock","Supplier unavailable",IF(AG244&lt;&gt;"PASS","BLOCK - GT loss risk","Commercially protected")))</x:f>
        <x:v>Commercially protected</x:v>
      </x:c>
      <x:c r="AI244" t="str">
        <x:v>2026-09-10 Active Sports trade capture</x:v>
      </x:c>
      <x:c r="AJ244" t="str">
        <x:v>Management-only economics. Stripe stress test uses 1.5% + £0.20 standard UK online-card fee; pallet/mix-and-match pricing ignored.</x:v>
      </x:c>
    </x:row>
    <x:row r="245">
      <x:c r="A245" t="str">
        <x:v>Active Sports Nutrition</x:v>
      </x:c>
      <x:c r="B245" t="str">
        <x:v>10X Athletic</x:v>
      </x:c>
      <x:c r="C245" t="str">
        <x:v>PUMP Non-Stim Pre Workout</x:v>
      </x:c>
      <x:c r="D245" t="str">
        <x:v>Pre Workouts</x:v>
      </x:c>
      <x:c r="E245" t="str">
        <x:v>Stim FREE</x:v>
      </x:c>
      <x:c r="F245" t="str">
        <x:v>Stimulant-free pre-workout / pump formula.</x:v>
      </x:c>
      <x:c r="G245" t="str">
        <x:v>600g</x:v>
      </x:c>
      <x:c r="H245" t="str">
        <x:v>Loco Lemon</x:v>
      </x:c>
      <x:c r="I245" t="str"/>
      <x:c r="J245" t="str">
        <x:v>Unit</x:v>
      </x:c>
      <x:c r="K245" t="str">
        <x:v>In stock</x:v>
      </x:c>
      <x:c r="L245" t="str">
        <x:v>2026-09-08</x:v>
      </x:c>
      <x:c r="M245" t="str"/>
      <x:c r="N245" t="str"/>
      <x:c r="O245" t="str">
        <x:v>https://www.activesportstrade.co.uk/stim-free-pre-workouts-trade</x:v>
      </x:c>
      <x:c r="P245" t="str">
        <x:v>Supplier special-offer/free-shaker wording removed.</x:v>
      </x:c>
      <x:c r="S245" t="str">
        <x:v>Pending genuine supplier/brand image</x:v>
      </x:c>
      <x:c r="T245" s="54" t="n">
        <x:v>18.99</x:v>
      </x:c>
      <x:c r="U245" s="47" t="n">
        <x:v>0.2</x:v>
      </x:c>
      <x:c r="V245" s="54" t="n">
        <x:f>IF(ISNUMBER(T245),T245*(1+U245),"")</x:f>
        <x:v>22.787999999999997</x:v>
      </x:c>
      <x:c r="W245" s="47" t="n">
        <x:v>0.3</x:v>
      </x:c>
      <x:c r="X245" s="54" t="n">
        <x:f>IF(ISNUMBER(V245),V245/(1-W245),"")</x:f>
        <x:v>32.55428571428571</x:v>
      </x:c>
      <x:c r="Y245" s="55" t="n">
        <x:f>IF(ISNUMBER(X245),ROUNDUP(X245,0),"")</x:f>
        <x:v>33</x:v>
      </x:c>
      <x:c r="Z245" t="str">
        <x:v>Source match pending</x:v>
      </x:c>
      <x:c r="AA245" t="str">
        <x:v>screencapture-www-activesportstrade-co-uk-10x-athletic-trade-2026-09-09-18_13_27.png / page-001</x:v>
      </x:c>
      <x:c r="AB245" s="36" t="n">
        <x:f>IF(ISNUMBER(Y245),ROUND(Y245*0.9,2),"")</x:f>
        <x:v>29.7</x:v>
      </x:c>
      <x:c r="AC245" s="36" t="n">
        <x:f>IF(ISNUMBER(AB245),ROUND(AB245-(AB245*0.015+0.2)-V245,2),"")</x:f>
        <x:v>6.27</x:v>
      </x:c>
      <x:c r="AD245" s="36" t="n">
        <x:f>IF(ISNUMBER(Y245),ROUND(Y245*0.8,2),"")</x:f>
        <x:v>26.4</x:v>
      </x:c>
      <x:c r="AE245" s="36" t="n">
        <x:f>IF(ISNUMBER(AD245),ROUND(AD245*0.015+0.2,2),"")</x:f>
        <x:v>0.6</x:v>
      </x:c>
      <x:c r="AF245" s="36" t="n">
        <x:f>IF(ISNUMBER(AD245),ROUND(AD245-AE245-V245,2),"")</x:f>
        <x:v>3.01</x:v>
      </x:c>
      <x:c r="AG245" t="str">
        <x:f>IF(NOT(ISNUMBER(T245)),"PENDING",IF(AF245&gt;0,"PASS","FAIL"))</x:f>
        <x:v>PASS</x:v>
      </x:c>
      <x:c r="AH245" t="str">
        <x:f>IF(NOT(ISNUMBER(T245)),"Needs supplier cost",IF(K245&lt;&gt;"In stock","Supplier unavailable",IF(AG245&lt;&gt;"PASS","BLOCK - GT loss risk","Commercially protected")))</x:f>
        <x:v>Commercially protected</x:v>
      </x:c>
      <x:c r="AI245" t="str">
        <x:v>2026-09-10 Active Sports trade capture</x:v>
      </x:c>
      <x:c r="AJ245" t="str">
        <x:v>Management-only economics. Stripe stress test uses 1.5% + £0.20 standard UK online-card fee; pallet/mix-and-match pricing ignored.</x:v>
      </x:c>
    </x:row>
    <x:row r="246">
      <x:c r="A246" t="str">
        <x:v>Active Sports Nutrition</x:v>
      </x:c>
      <x:c r="B246" t="str">
        <x:v>10X Athletic</x:v>
      </x:c>
      <x:c r="C246" t="str">
        <x:v>PUMP Non-Stim Pre Workout</x:v>
      </x:c>
      <x:c r="D246" t="str">
        <x:v>Pre Workouts</x:v>
      </x:c>
      <x:c r="E246" t="str">
        <x:v>Stim FREE</x:v>
      </x:c>
      <x:c r="F246" t="str">
        <x:v>Stimulant-free pre-workout / pump formula.</x:v>
      </x:c>
      <x:c r="G246" t="str">
        <x:v>600g</x:v>
      </x:c>
      <x:c r="H246" t="str">
        <x:v>Mad Mandarin</x:v>
      </x:c>
      <x:c r="I246" t="str"/>
      <x:c r="J246" t="str">
        <x:v>Unit</x:v>
      </x:c>
      <x:c r="K246" t="str">
        <x:v>In stock</x:v>
      </x:c>
      <x:c r="L246" t="str">
        <x:v>2026-09-08</x:v>
      </x:c>
      <x:c r="M246" t="str"/>
      <x:c r="N246" t="str"/>
      <x:c r="O246" t="str">
        <x:v>https://www.activesportstrade.co.uk/stim-free-pre-workouts-trade</x:v>
      </x:c>
      <x:c r="P246" t="str">
        <x:v>Supplier special-offer/free-shaker wording removed.</x:v>
      </x:c>
      <x:c r="S246" t="str">
        <x:v>Pending genuine supplier/brand image</x:v>
      </x:c>
      <x:c r="T246" s="54" t="n">
        <x:v>18.99</x:v>
      </x:c>
      <x:c r="U246" s="47" t="n">
        <x:v>0.2</x:v>
      </x:c>
      <x:c r="V246" s="54" t="n">
        <x:f>IF(ISNUMBER(T246),T246*(1+U246),"")</x:f>
        <x:v>22.787999999999997</x:v>
      </x:c>
      <x:c r="W246" s="47" t="n">
        <x:v>0.3</x:v>
      </x:c>
      <x:c r="X246" s="54" t="n">
        <x:f>IF(ISNUMBER(V246),V246/(1-W246),"")</x:f>
        <x:v>32.55428571428571</x:v>
      </x:c>
      <x:c r="Y246" s="55" t="n">
        <x:f>IF(ISNUMBER(X246),ROUNDUP(X246,0),"")</x:f>
        <x:v>33</x:v>
      </x:c>
      <x:c r="Z246" t="str">
        <x:v>Source match pending</x:v>
      </x:c>
      <x:c r="AA246" t="str">
        <x:v>screencapture-www-activesportstrade-co-uk-10x-athletic-trade-2026-09-09-18_13_27.png / page-001</x:v>
      </x:c>
      <x:c r="AB246" s="36" t="n">
        <x:f>IF(ISNUMBER(Y246),ROUND(Y246*0.9,2),"")</x:f>
        <x:v>29.7</x:v>
      </x:c>
      <x:c r="AC246" s="36" t="n">
        <x:f>IF(ISNUMBER(AB246),ROUND(AB246-(AB246*0.015+0.2)-V246,2),"")</x:f>
        <x:v>6.27</x:v>
      </x:c>
      <x:c r="AD246" s="36" t="n">
        <x:f>IF(ISNUMBER(Y246),ROUND(Y246*0.8,2),"")</x:f>
        <x:v>26.4</x:v>
      </x:c>
      <x:c r="AE246" s="36" t="n">
        <x:f>IF(ISNUMBER(AD246),ROUND(AD246*0.015+0.2,2),"")</x:f>
        <x:v>0.6</x:v>
      </x:c>
      <x:c r="AF246" s="36" t="n">
        <x:f>IF(ISNUMBER(AD246),ROUND(AD246-AE246-V246,2),"")</x:f>
        <x:v>3.01</x:v>
      </x:c>
      <x:c r="AG246" t="str">
        <x:f>IF(NOT(ISNUMBER(T246)),"PENDING",IF(AF246&gt;0,"PASS","FAIL"))</x:f>
        <x:v>PASS</x:v>
      </x:c>
      <x:c r="AH246" t="str">
        <x:f>IF(NOT(ISNUMBER(T246)),"Needs supplier cost",IF(K246&lt;&gt;"In stock","Supplier unavailable",IF(AG246&lt;&gt;"PASS","BLOCK - GT loss risk","Commercially protected")))</x:f>
        <x:v>Commercially protected</x:v>
      </x:c>
      <x:c r="AI246" t="str">
        <x:v>2026-09-10 Active Sports trade capture</x:v>
      </x:c>
      <x:c r="AJ246" t="str">
        <x:v>Management-only economics. Stripe stress test uses 1.5% + £0.20 standard UK online-card fee; pallet/mix-and-match pricing ignored.</x:v>
      </x:c>
    </x:row>
    <x:row r="247">
      <x:c r="A247" t="str">
        <x:v>Active Sports Nutrition</x:v>
      </x:c>
      <x:c r="B247" t="str">
        <x:v>10X Athletic</x:v>
      </x:c>
      <x:c r="C247" t="str">
        <x:v>PUMP Non-Stim Pre Workout</x:v>
      </x:c>
      <x:c r="D247" t="str">
        <x:v>Pre Workouts</x:v>
      </x:c>
      <x:c r="E247" t="str">
        <x:v>Stim FREE</x:v>
      </x:c>
      <x:c r="F247" t="str">
        <x:v>Stimulant-free pre-workout / pump formula.</x:v>
      </x:c>
      <x:c r="G247" t="str">
        <x:v>600g</x:v>
      </x:c>
      <x:c r="H247" t="str">
        <x:v>Peach Purge</x:v>
      </x:c>
      <x:c r="I247" t="str"/>
      <x:c r="J247" t="str">
        <x:v>Unit</x:v>
      </x:c>
      <x:c r="K247" t="str">
        <x:v>In stock</x:v>
      </x:c>
      <x:c r="L247" t="str">
        <x:v>2026-09-08</x:v>
      </x:c>
      <x:c r="M247" t="str"/>
      <x:c r="N247" t="str"/>
      <x:c r="O247" t="str">
        <x:v>https://www.activesportstrade.co.uk/stim-free-pre-workouts-trade</x:v>
      </x:c>
      <x:c r="P247" t="str">
        <x:v>Supplier special-offer/free-shaker wording removed.</x:v>
      </x:c>
      <x:c r="S247" t="str">
        <x:v>Pending genuine supplier/brand image</x:v>
      </x:c>
      <x:c r="T247" s="54" t="n">
        <x:v>18.99</x:v>
      </x:c>
      <x:c r="U247" s="47" t="n">
        <x:v>0.2</x:v>
      </x:c>
      <x:c r="V247" s="54" t="n">
        <x:f>IF(ISNUMBER(T247),T247*(1+U247),"")</x:f>
        <x:v>22.787999999999997</x:v>
      </x:c>
      <x:c r="W247" s="47" t="n">
        <x:v>0.3</x:v>
      </x:c>
      <x:c r="X247" s="54" t="n">
        <x:f>IF(ISNUMBER(V247),V247/(1-W247),"")</x:f>
        <x:v>32.55428571428571</x:v>
      </x:c>
      <x:c r="Y247" s="55" t="n">
        <x:f>IF(ISNUMBER(X247),ROUNDUP(X247,0),"")</x:f>
        <x:v>33</x:v>
      </x:c>
      <x:c r="Z247" t="str">
        <x:v>Source match pending</x:v>
      </x:c>
      <x:c r="AA247" t="str">
        <x:v>screencapture-www-activesportstrade-co-uk-10x-athletic-trade-2026-09-09-18_13_27.png / page-001</x:v>
      </x:c>
      <x:c r="AB247" s="36" t="n">
        <x:f>IF(ISNUMBER(Y247),ROUND(Y247*0.9,2),"")</x:f>
        <x:v>29.7</x:v>
      </x:c>
      <x:c r="AC247" s="36" t="n">
        <x:f>IF(ISNUMBER(AB247),ROUND(AB247-(AB247*0.015+0.2)-V247,2),"")</x:f>
        <x:v>6.27</x:v>
      </x:c>
      <x:c r="AD247" s="36" t="n">
        <x:f>IF(ISNUMBER(Y247),ROUND(Y247*0.8,2),"")</x:f>
        <x:v>26.4</x:v>
      </x:c>
      <x:c r="AE247" s="36" t="n">
        <x:f>IF(ISNUMBER(AD247),ROUND(AD247*0.015+0.2,2),"")</x:f>
        <x:v>0.6</x:v>
      </x:c>
      <x:c r="AF247" s="36" t="n">
        <x:f>IF(ISNUMBER(AD247),ROUND(AD247-AE247-V247,2),"")</x:f>
        <x:v>3.01</x:v>
      </x:c>
      <x:c r="AG247" t="str">
        <x:f>IF(NOT(ISNUMBER(T247)),"PENDING",IF(AF247&gt;0,"PASS","FAIL"))</x:f>
        <x:v>PASS</x:v>
      </x:c>
      <x:c r="AH247" t="str">
        <x:f>IF(NOT(ISNUMBER(T247)),"Needs supplier cost",IF(K247&lt;&gt;"In stock","Supplier unavailable",IF(AG247&lt;&gt;"PASS","BLOCK - GT loss risk","Commercially protected")))</x:f>
        <x:v>Commercially protected</x:v>
      </x:c>
      <x:c r="AI247" t="str">
        <x:v>2026-09-10 Active Sports trade capture</x:v>
      </x:c>
      <x:c r="AJ247" t="str">
        <x:v>Management-only economics. Stripe stress test uses 1.5% + £0.20 standard UK online-card fee; pallet/mix-and-match pricing ignored.</x:v>
      </x:c>
    </x:row>
    <x:row r="248">
      <x:c r="A248" t="str">
        <x:v>Active Sports Nutrition</x:v>
      </x:c>
      <x:c r="B248" t="str">
        <x:v>10X Athletic</x:v>
      </x:c>
      <x:c r="C248" t="str">
        <x:v>PUMP Non-Stim Pre Workout</x:v>
      </x:c>
      <x:c r="D248" t="str">
        <x:v>Pre Workouts</x:v>
      </x:c>
      <x:c r="E248" t="str">
        <x:v>Stim FREE</x:v>
      </x:c>
      <x:c r="F248" t="str">
        <x:v>Stimulant-free pre-workout / pump formula.</x:v>
      </x:c>
      <x:c r="G248" t="str">
        <x:v>600g</x:v>
      </x:c>
      <x:c r="H248" t="str">
        <x:v>Wreck It Raz</x:v>
      </x:c>
      <x:c r="I248" t="str"/>
      <x:c r="J248" t="str">
        <x:v>Unit</x:v>
      </x:c>
      <x:c r="K248" t="str">
        <x:v>In stock</x:v>
      </x:c>
      <x:c r="L248" t="str">
        <x:v>2026-09-08</x:v>
      </x:c>
      <x:c r="M248" t="str"/>
      <x:c r="N248" t="str"/>
      <x:c r="O248" t="str">
        <x:v>https://www.activesportstrade.co.uk/stim-free-pre-workouts-trade</x:v>
      </x:c>
      <x:c r="P248" t="str">
        <x:v>Supplier special-offer/free-shaker wording removed.</x:v>
      </x:c>
      <x:c r="S248" t="str">
        <x:v>Pending genuine supplier/brand image</x:v>
      </x:c>
      <x:c r="T248" s="54" t="n">
        <x:v>18.99</x:v>
      </x:c>
      <x:c r="U248" s="47" t="n">
        <x:v>0.2</x:v>
      </x:c>
      <x:c r="V248" s="54" t="n">
        <x:f>IF(ISNUMBER(T248),T248*(1+U248),"")</x:f>
        <x:v>22.787999999999997</x:v>
      </x:c>
      <x:c r="W248" s="47" t="n">
        <x:v>0.3</x:v>
      </x:c>
      <x:c r="X248" s="54" t="n">
        <x:f>IF(ISNUMBER(V248),V248/(1-W248),"")</x:f>
        <x:v>32.55428571428571</x:v>
      </x:c>
      <x:c r="Y248" s="55" t="n">
        <x:f>IF(ISNUMBER(X248),ROUNDUP(X248,0),"")</x:f>
        <x:v>33</x:v>
      </x:c>
      <x:c r="Z248" t="str">
        <x:v>Source match pending</x:v>
      </x:c>
      <x:c r="AA248" t="str">
        <x:v>screencapture-www-activesportstrade-co-uk-10x-athletic-trade-2026-09-09-18_13_27.png / page-001</x:v>
      </x:c>
      <x:c r="AB248" s="36" t="n">
        <x:f>IF(ISNUMBER(Y248),ROUND(Y248*0.9,2),"")</x:f>
        <x:v>29.7</x:v>
      </x:c>
      <x:c r="AC248" s="36" t="n">
        <x:f>IF(ISNUMBER(AB248),ROUND(AB248-(AB248*0.015+0.2)-V248,2),"")</x:f>
        <x:v>6.27</x:v>
      </x:c>
      <x:c r="AD248" s="36" t="n">
        <x:f>IF(ISNUMBER(Y248),ROUND(Y248*0.8,2),"")</x:f>
        <x:v>26.4</x:v>
      </x:c>
      <x:c r="AE248" s="36" t="n">
        <x:f>IF(ISNUMBER(AD248),ROUND(AD248*0.015+0.2,2),"")</x:f>
        <x:v>0.6</x:v>
      </x:c>
      <x:c r="AF248" s="36" t="n">
        <x:f>IF(ISNUMBER(AD248),ROUND(AD248-AE248-V248,2),"")</x:f>
        <x:v>3.01</x:v>
      </x:c>
      <x:c r="AG248" t="str">
        <x:f>IF(NOT(ISNUMBER(T248)),"PENDING",IF(AF248&gt;0,"PASS","FAIL"))</x:f>
        <x:v>PASS</x:v>
      </x:c>
      <x:c r="AH248" t="str">
        <x:f>IF(NOT(ISNUMBER(T248)),"Needs supplier cost",IF(K248&lt;&gt;"In stock","Supplier unavailable",IF(AG248&lt;&gt;"PASS","BLOCK - GT loss risk","Commercially protected")))</x:f>
        <x:v>Commercially protected</x:v>
      </x:c>
      <x:c r="AI248" t="str">
        <x:v>2026-09-10 Active Sports trade capture</x:v>
      </x:c>
      <x:c r="AJ248" t="str">
        <x:v>Management-only economics. Stripe stress test uses 1.5% + £0.20 standard UK online-card fee; pallet/mix-and-match pricing ignored.</x:v>
      </x:c>
    </x:row>
    <x:row r="249">
      <x:c r="A249" t="str">
        <x:v>Active Sports Nutrition</x:v>
      </x:c>
      <x:c r="B249" t="str">
        <x:v>10X Athletic</x:v>
      </x:c>
      <x:c r="C249" t="str">
        <x:v>Grass Fed Whey Protein</x:v>
      </x:c>
      <x:c r="D249" t="str">
        <x:v>Supplements</x:v>
      </x:c>
      <x:c r="E249" t="str">
        <x:v>Whey Protein</x:v>
      </x:c>
      <x:c r="F249" t="str">
        <x:v>Informed Sport certified grass-fed whey protein delivering 23g protein per serving.</x:v>
      </x:c>
      <x:c r="G249" t="str">
        <x:v>750g</x:v>
      </x:c>
      <x:c r="H249" t="str">
        <x:v>Banana Split</x:v>
      </x:c>
      <x:c r="I249" t="str"/>
      <x:c r="J249" t="str">
        <x:v>Unit</x:v>
      </x:c>
      <x:c r="K249" t="str">
        <x:v>In stock</x:v>
      </x:c>
      <x:c r="L249" t="str">
        <x:v>2026-09-08</x:v>
      </x:c>
      <x:c r="M249" t="str"/>
      <x:c r="N249" t="str"/>
      <x:c r="O249" t="str">
        <x:v>https://www.activesportstrade.co.uk/Whey-Protein-Supplements-Trade</x:v>
      </x:c>
      <x:c r="P249" t="str">
        <x:v>Supplier SPECIAL OFFER / FREE CREATINE wording removed from canonical title.</x:v>
      </x:c>
      <x:c r="S249" t="str">
        <x:v>Pending genuine supplier/brand image</x:v>
      </x:c>
      <x:c r="T249" s="54" t="n">
        <x:v>22.99</x:v>
      </x:c>
      <x:c r="U249" s="47" t="n">
        <x:v>0.2</x:v>
      </x:c>
      <x:c r="V249" s="54" t="n">
        <x:f>IF(ISNUMBER(T249),T249*(1+U249),"")</x:f>
        <x:v>27.587999999999997</x:v>
      </x:c>
      <x:c r="W249" s="47" t="n">
        <x:v>0.3</x:v>
      </x:c>
      <x:c r="X249" s="54" t="n">
        <x:f>IF(ISNUMBER(V249),V249/(1-W249),"")</x:f>
        <x:v>39.41142857142857</x:v>
      </x:c>
      <x:c r="Y249" s="55" t="n">
        <x:f>IF(ISNUMBER(X249),ROUNDUP(X249,0),"")</x:f>
        <x:v>40</x:v>
      </x:c>
      <x:c r="Z249" t="str">
        <x:v>Source match pending</x:v>
      </x:c>
      <x:c r="AA249" t="str">
        <x:v>screencapture-www-activesportstrade-co-uk-10x-athletic-trade-2026-09-09-18_13_27.png / page-001</x:v>
      </x:c>
      <x:c r="AB249" s="36" t="n">
        <x:f>IF(ISNUMBER(Y249),ROUND(Y249*0.9,2),"")</x:f>
        <x:v>36</x:v>
      </x:c>
      <x:c r="AC249" s="36" t="n">
        <x:f>IF(ISNUMBER(AB249),ROUND(AB249-(AB249*0.015+0.2)-V249,2),"")</x:f>
        <x:v>7.67</x:v>
      </x:c>
      <x:c r="AD249" s="36" t="n">
        <x:f>IF(ISNUMBER(Y249),ROUND(Y249*0.8,2),"")</x:f>
        <x:v>32</x:v>
      </x:c>
      <x:c r="AE249" s="36" t="n">
        <x:f>IF(ISNUMBER(AD249),ROUND(AD249*0.015+0.2,2),"")</x:f>
        <x:v>0.68</x:v>
      </x:c>
      <x:c r="AF249" s="36" t="n">
        <x:f>IF(ISNUMBER(AD249),ROUND(AD249-AE249-V249,2),"")</x:f>
        <x:v>3.73</x:v>
      </x:c>
      <x:c r="AG249" t="str">
        <x:f>IF(NOT(ISNUMBER(T249)),"PENDING",IF(AF249&gt;0,"PASS","FAIL"))</x:f>
        <x:v>PASS</x:v>
      </x:c>
      <x:c r="AH249" t="str">
        <x:f>IF(NOT(ISNUMBER(T249)),"Needs supplier cost",IF(K249&lt;&gt;"In stock","Supplier unavailable",IF(AG249&lt;&gt;"PASS","BLOCK - GT loss risk","Commercially protected")))</x:f>
        <x:v>Commercially protected</x:v>
      </x:c>
      <x:c r="AI249" t="str">
        <x:v>2026-09-10 Active Sports trade capture</x:v>
      </x:c>
      <x:c r="AJ249" t="str">
        <x:v>Management-only economics. Stripe stress test uses 1.5% + £0.20 standard UK online-card fee; pallet/mix-and-match pricing ignored.</x:v>
      </x:c>
    </x:row>
    <x:row r="250">
      <x:c r="A250" t="str">
        <x:v>Active Sports Nutrition</x:v>
      </x:c>
      <x:c r="B250" t="str">
        <x:v>10X Athletic</x:v>
      </x:c>
      <x:c r="C250" t="str">
        <x:v>Grass Fed Whey Protein</x:v>
      </x:c>
      <x:c r="D250" t="str">
        <x:v>Supplements</x:v>
      </x:c>
      <x:c r="E250" t="str">
        <x:v>Whey Protein</x:v>
      </x:c>
      <x:c r="F250" t="str">
        <x:v>Informed Sport certified grass-fed whey protein delivering 23g protein per serving.</x:v>
      </x:c>
      <x:c r="G250" t="str">
        <x:v>750g</x:v>
      </x:c>
      <x:c r="H250" t="str">
        <x:v>Chocolate Hazelnut</x:v>
      </x:c>
      <x:c r="I250" t="str"/>
      <x:c r="J250" t="str">
        <x:v>Unit</x:v>
      </x:c>
      <x:c r="K250" t="str">
        <x:v>In stock</x:v>
      </x:c>
      <x:c r="L250" t="str">
        <x:v>2026-09-08</x:v>
      </x:c>
      <x:c r="M250" t="str"/>
      <x:c r="N250" t="str"/>
      <x:c r="O250" t="str">
        <x:v>https://www.activesportstrade.co.uk/Whey-Protein-Supplements-Trade</x:v>
      </x:c>
      <x:c r="P250" t="str">
        <x:v>Supplier SPECIAL OFFER / FREE CREATINE wording removed from canonical title.</x:v>
      </x:c>
      <x:c r="S250" t="str">
        <x:v>Pending genuine supplier/brand image</x:v>
      </x:c>
      <x:c r="T250" s="54" t="n">
        <x:v>22.99</x:v>
      </x:c>
      <x:c r="U250" s="47" t="n">
        <x:v>0.2</x:v>
      </x:c>
      <x:c r="V250" s="54" t="n">
        <x:f>IF(ISNUMBER(T250),T250*(1+U250),"")</x:f>
        <x:v>27.587999999999997</x:v>
      </x:c>
      <x:c r="W250" s="47" t="n">
        <x:v>0.3</x:v>
      </x:c>
      <x:c r="X250" s="54" t="n">
        <x:f>IF(ISNUMBER(V250),V250/(1-W250),"")</x:f>
        <x:v>39.41142857142857</x:v>
      </x:c>
      <x:c r="Y250" s="55" t="n">
        <x:f>IF(ISNUMBER(X250),ROUNDUP(X250,0),"")</x:f>
        <x:v>40</x:v>
      </x:c>
      <x:c r="Z250" t="str">
        <x:v>Source match pending</x:v>
      </x:c>
      <x:c r="AA250" t="str">
        <x:v>screencapture-www-activesportstrade-co-uk-10x-athletic-trade-2026-09-09-18_13_27.png / page-001</x:v>
      </x:c>
      <x:c r="AB250" s="36" t="n">
        <x:f>IF(ISNUMBER(Y250),ROUND(Y250*0.9,2),"")</x:f>
        <x:v>36</x:v>
      </x:c>
      <x:c r="AC250" s="36" t="n">
        <x:f>IF(ISNUMBER(AB250),ROUND(AB250-(AB250*0.015+0.2)-V250,2),"")</x:f>
        <x:v>7.67</x:v>
      </x:c>
      <x:c r="AD250" s="36" t="n">
        <x:f>IF(ISNUMBER(Y250),ROUND(Y250*0.8,2),"")</x:f>
        <x:v>32</x:v>
      </x:c>
      <x:c r="AE250" s="36" t="n">
        <x:f>IF(ISNUMBER(AD250),ROUND(AD250*0.015+0.2,2),"")</x:f>
        <x:v>0.68</x:v>
      </x:c>
      <x:c r="AF250" s="36" t="n">
        <x:f>IF(ISNUMBER(AD250),ROUND(AD250-AE250-V250,2),"")</x:f>
        <x:v>3.73</x:v>
      </x:c>
      <x:c r="AG250" t="str">
        <x:f>IF(NOT(ISNUMBER(T250)),"PENDING",IF(AF250&gt;0,"PASS","FAIL"))</x:f>
        <x:v>PASS</x:v>
      </x:c>
      <x:c r="AH250" t="str">
        <x:f>IF(NOT(ISNUMBER(T250)),"Needs supplier cost",IF(K250&lt;&gt;"In stock","Supplier unavailable",IF(AG250&lt;&gt;"PASS","BLOCK - GT loss risk","Commercially protected")))</x:f>
        <x:v>Commercially protected</x:v>
      </x:c>
      <x:c r="AI250" t="str">
        <x:v>2026-09-10 Active Sports trade capture</x:v>
      </x:c>
      <x:c r="AJ250" t="str">
        <x:v>Management-only economics. Stripe stress test uses 1.5% + £0.20 standard UK online-card fee; pallet/mix-and-match pricing ignored.</x:v>
      </x:c>
    </x:row>
    <x:row r="251">
      <x:c r="A251" t="str">
        <x:v>Active Sports Nutrition</x:v>
      </x:c>
      <x:c r="B251" t="str">
        <x:v>10X Athletic</x:v>
      </x:c>
      <x:c r="C251" t="str">
        <x:v>Grass Fed Whey Protein</x:v>
      </x:c>
      <x:c r="D251" t="str">
        <x:v>Supplements</x:v>
      </x:c>
      <x:c r="E251" t="str">
        <x:v>Whey Protein</x:v>
      </x:c>
      <x:c r="F251" t="str">
        <x:v>Informed Sport certified grass-fed whey protein delivering 23g protein per serving.</x:v>
      </x:c>
      <x:c r="G251" t="str">
        <x:v>750g</x:v>
      </x:c>
      <x:c r="H251" t="str">
        <x:v>Chocolate Milk</x:v>
      </x:c>
      <x:c r="I251" t="str"/>
      <x:c r="J251" t="str">
        <x:v>Unit</x:v>
      </x:c>
      <x:c r="K251" t="str">
        <x:v>Out of stock</x:v>
      </x:c>
      <x:c r="L251" t="str">
        <x:v>2026-09-08</x:v>
      </x:c>
      <x:c r="M251" t="str"/>
      <x:c r="N251" t="str"/>
      <x:c r="O251" t="str">
        <x:v>https://www.activesportstrade.co.uk/Whey-Protein-Supplements-Trade</x:v>
      </x:c>
      <x:c r="P251" t="str">
        <x:v>Supplier SPECIAL OFFER / FREE CREATINE wording removed from canonical title.</x:v>
      </x:c>
      <x:c r="S251" t="str">
        <x:v>Pending genuine supplier/brand image</x:v>
      </x:c>
      <x:c r="T251" s="54" t="n">
        <x:v>22.99</x:v>
      </x:c>
      <x:c r="U251" s="47" t="n">
        <x:v>0.2</x:v>
      </x:c>
      <x:c r="V251" s="54" t="n">
        <x:f>IF(ISNUMBER(T251),T251*(1+U251),"")</x:f>
        <x:v>27.587999999999997</x:v>
      </x:c>
      <x:c r="W251" s="47" t="n">
        <x:v>0.3</x:v>
      </x:c>
      <x:c r="X251" s="54" t="n">
        <x:f>IF(ISNUMBER(V251),V251/(1-W251),"")</x:f>
        <x:v>39.41142857142857</x:v>
      </x:c>
      <x:c r="Y251" s="55" t="n">
        <x:f>IF(ISNUMBER(X251),ROUNDUP(X251,0),"")</x:f>
        <x:v>40</x:v>
      </x:c>
      <x:c r="Z251" t="str">
        <x:v>Source match pending</x:v>
      </x:c>
      <x:c r="AA251" t="str">
        <x:v>screencapture-www-activesportstrade-co-uk-10x-athletic-trade-2026-09-09-18_13_27.png / page-001</x:v>
      </x:c>
      <x:c r="AB251" s="36" t="n">
        <x:f>IF(ISNUMBER(Y251),ROUND(Y251*0.9,2),"")</x:f>
        <x:v>36</x:v>
      </x:c>
      <x:c r="AC251" s="36" t="n">
        <x:f>IF(ISNUMBER(AB251),ROUND(AB251-(AB251*0.015+0.2)-V251,2),"")</x:f>
        <x:v>7.67</x:v>
      </x:c>
      <x:c r="AD251" s="36" t="n">
        <x:f>IF(ISNUMBER(Y251),ROUND(Y251*0.8,2),"")</x:f>
        <x:v>32</x:v>
      </x:c>
      <x:c r="AE251" s="36" t="n">
        <x:f>IF(ISNUMBER(AD251),ROUND(AD251*0.015+0.2,2),"")</x:f>
        <x:v>0.68</x:v>
      </x:c>
      <x:c r="AF251" s="36" t="n">
        <x:f>IF(ISNUMBER(AD251),ROUND(AD251-AE251-V251,2),"")</x:f>
        <x:v>3.73</x:v>
      </x:c>
      <x:c r="AG251" t="str">
        <x:f>IF(NOT(ISNUMBER(T251)),"PENDING",IF(AF251&gt;0,"PASS","FAIL"))</x:f>
        <x:v>PASS</x:v>
      </x:c>
      <x:c r="AH251" t="str">
        <x:f>IF(NOT(ISNUMBER(T251)),"Needs supplier cost",IF(K251&lt;&gt;"In stock","Supplier unavailable",IF(AG251&lt;&gt;"PASS","BLOCK - GT loss risk","Commercially protected")))</x:f>
        <x:v>Supplier unavailable</x:v>
      </x:c>
      <x:c r="AI251" t="str">
        <x:v>2026-09-10 Active Sports trade capture</x:v>
      </x:c>
      <x:c r="AJ251" t="str">
        <x:v>Management-only economics. Stripe stress test uses 1.5% + £0.20 standard UK online-card fee; pallet/mix-and-match pricing ignored.</x:v>
      </x:c>
    </x:row>
    <x:row r="252">
      <x:c r="A252" t="str">
        <x:v>Active Sports Nutrition</x:v>
      </x:c>
      <x:c r="B252" t="str">
        <x:v>10X Athletic</x:v>
      </x:c>
      <x:c r="C252" t="str">
        <x:v>Grass Fed Whey Protein</x:v>
      </x:c>
      <x:c r="D252" t="str">
        <x:v>Supplements</x:v>
      </x:c>
      <x:c r="E252" t="str">
        <x:v>Whey Protein</x:v>
      </x:c>
      <x:c r="F252" t="str">
        <x:v>Informed Sport certified grass-fed whey protein delivering 23g protein per serving.</x:v>
      </x:c>
      <x:c r="G252" t="str">
        <x:v>750g</x:v>
      </x:c>
      <x:c r="H252" t="str">
        <x:v>Chocolate Mint</x:v>
      </x:c>
      <x:c r="I252" t="str"/>
      <x:c r="J252" t="str">
        <x:v>Unit</x:v>
      </x:c>
      <x:c r="K252" t="str">
        <x:v>In stock</x:v>
      </x:c>
      <x:c r="L252" t="str">
        <x:v>2026-09-08</x:v>
      </x:c>
      <x:c r="M252" t="str"/>
      <x:c r="N252" t="str"/>
      <x:c r="O252" t="str">
        <x:v>https://www.activesportstrade.co.uk/Whey-Protein-Supplements-Trade</x:v>
      </x:c>
      <x:c r="P252" t="str">
        <x:v>Supplier SPECIAL OFFER / FREE CREATINE wording removed from canonical title.</x:v>
      </x:c>
      <x:c r="S252" t="str">
        <x:v>Pending genuine supplier/brand image</x:v>
      </x:c>
      <x:c r="T252" s="54" t="n">
        <x:v>22.99</x:v>
      </x:c>
      <x:c r="U252" s="47" t="n">
        <x:v>0.2</x:v>
      </x:c>
      <x:c r="V252" s="54" t="n">
        <x:f>IF(ISNUMBER(T252),T252*(1+U252),"")</x:f>
        <x:v>27.587999999999997</x:v>
      </x:c>
      <x:c r="W252" s="47" t="n">
        <x:v>0.3</x:v>
      </x:c>
      <x:c r="X252" s="54" t="n">
        <x:f>IF(ISNUMBER(V252),V252/(1-W252),"")</x:f>
        <x:v>39.41142857142857</x:v>
      </x:c>
      <x:c r="Y252" s="55" t="n">
        <x:f>IF(ISNUMBER(X252),ROUNDUP(X252,0),"")</x:f>
        <x:v>40</x:v>
      </x:c>
      <x:c r="Z252" t="str">
        <x:v>Source match pending</x:v>
      </x:c>
      <x:c r="AA252" t="str">
        <x:v>screencapture-www-activesportstrade-co-uk-10x-athletic-trade-2026-09-09-18_13_27.png / page-001</x:v>
      </x:c>
      <x:c r="AB252" s="36" t="n">
        <x:f>IF(ISNUMBER(Y252),ROUND(Y252*0.9,2),"")</x:f>
        <x:v>36</x:v>
      </x:c>
      <x:c r="AC252" s="36" t="n">
        <x:f>IF(ISNUMBER(AB252),ROUND(AB252-(AB252*0.015+0.2)-V252,2),"")</x:f>
        <x:v>7.67</x:v>
      </x:c>
      <x:c r="AD252" s="36" t="n">
        <x:f>IF(ISNUMBER(Y252),ROUND(Y252*0.8,2),"")</x:f>
        <x:v>32</x:v>
      </x:c>
      <x:c r="AE252" s="36" t="n">
        <x:f>IF(ISNUMBER(AD252),ROUND(AD252*0.015+0.2,2),"")</x:f>
        <x:v>0.68</x:v>
      </x:c>
      <x:c r="AF252" s="36" t="n">
        <x:f>IF(ISNUMBER(AD252),ROUND(AD252-AE252-V252,2),"")</x:f>
        <x:v>3.73</x:v>
      </x:c>
      <x:c r="AG252" t="str">
        <x:f>IF(NOT(ISNUMBER(T252)),"PENDING",IF(AF252&gt;0,"PASS","FAIL"))</x:f>
        <x:v>PASS</x:v>
      </x:c>
      <x:c r="AH252" t="str">
        <x:f>IF(NOT(ISNUMBER(T252)),"Needs supplier cost",IF(K252&lt;&gt;"In stock","Supplier unavailable",IF(AG252&lt;&gt;"PASS","BLOCK - GT loss risk","Commercially protected")))</x:f>
        <x:v>Commercially protected</x:v>
      </x:c>
      <x:c r="AI252" t="str">
        <x:v>2026-09-10 Active Sports trade capture</x:v>
      </x:c>
      <x:c r="AJ252" t="str">
        <x:v>Management-only economics. Stripe stress test uses 1.5% + £0.20 standard UK online-card fee; pallet/mix-and-match pricing ignored.</x:v>
      </x:c>
    </x:row>
    <x:row r="253">
      <x:c r="A253" t="str">
        <x:v>Active Sports Nutrition</x:v>
      </x:c>
      <x:c r="B253" t="str">
        <x:v>10X Athletic</x:v>
      </x:c>
      <x:c r="C253" t="str">
        <x:v>Grass Fed Whey Protein</x:v>
      </x:c>
      <x:c r="D253" t="str">
        <x:v>Supplements</x:v>
      </x:c>
      <x:c r="E253" t="str">
        <x:v>Whey Protein</x:v>
      </x:c>
      <x:c r="F253" t="str">
        <x:v>Informed Sport certified grass-fed whey protein delivering 23g protein per serving.</x:v>
      </x:c>
      <x:c r="G253" t="str">
        <x:v>750g</x:v>
      </x:c>
      <x:c r="H253" t="str">
        <x:v>Chocolate Peanut Butter</x:v>
      </x:c>
      <x:c r="I253" t="str"/>
      <x:c r="J253" t="str">
        <x:v>Unit</x:v>
      </x:c>
      <x:c r="K253" t="str">
        <x:v>In stock</x:v>
      </x:c>
      <x:c r="L253" t="str">
        <x:v>2026-09-08</x:v>
      </x:c>
      <x:c r="M253" t="str"/>
      <x:c r="N253" t="str"/>
      <x:c r="O253" t="str">
        <x:v>https://www.activesportstrade.co.uk/Whey-Protein-Supplements-Trade</x:v>
      </x:c>
      <x:c r="P253" t="str">
        <x:v>Supplier SPECIAL OFFER / FREE CREATINE wording removed from canonical title.</x:v>
      </x:c>
      <x:c r="S253" t="str">
        <x:v>Pending genuine supplier/brand image</x:v>
      </x:c>
      <x:c r="T253" s="54" t="n">
        <x:v>22.99</x:v>
      </x:c>
      <x:c r="U253" s="47" t="n">
        <x:v>0.2</x:v>
      </x:c>
      <x:c r="V253" s="54" t="n">
        <x:f>IF(ISNUMBER(T253),T253*(1+U253),"")</x:f>
        <x:v>27.587999999999997</x:v>
      </x:c>
      <x:c r="W253" s="47" t="n">
        <x:v>0.3</x:v>
      </x:c>
      <x:c r="X253" s="54" t="n">
        <x:f>IF(ISNUMBER(V253),V253/(1-W253),"")</x:f>
        <x:v>39.41142857142857</x:v>
      </x:c>
      <x:c r="Y253" s="55" t="n">
        <x:f>IF(ISNUMBER(X253),ROUNDUP(X253,0),"")</x:f>
        <x:v>40</x:v>
      </x:c>
      <x:c r="Z253" t="str">
        <x:v>Source match pending</x:v>
      </x:c>
      <x:c r="AA253" t="str">
        <x:v>screencapture-www-activesportstrade-co-uk-10x-athletic-trade-2026-09-09-18_13_27.png / page-001</x:v>
      </x:c>
      <x:c r="AB253" s="36" t="n">
        <x:f>IF(ISNUMBER(Y253),ROUND(Y253*0.9,2),"")</x:f>
        <x:v>36</x:v>
      </x:c>
      <x:c r="AC253" s="36" t="n">
        <x:f>IF(ISNUMBER(AB253),ROUND(AB253-(AB253*0.015+0.2)-V253,2),"")</x:f>
        <x:v>7.67</x:v>
      </x:c>
      <x:c r="AD253" s="36" t="n">
        <x:f>IF(ISNUMBER(Y253),ROUND(Y253*0.8,2),"")</x:f>
        <x:v>32</x:v>
      </x:c>
      <x:c r="AE253" s="36" t="n">
        <x:f>IF(ISNUMBER(AD253),ROUND(AD253*0.015+0.2,2),"")</x:f>
        <x:v>0.68</x:v>
      </x:c>
      <x:c r="AF253" s="36" t="n">
        <x:f>IF(ISNUMBER(AD253),ROUND(AD253-AE253-V253,2),"")</x:f>
        <x:v>3.73</x:v>
      </x:c>
      <x:c r="AG253" t="str">
        <x:f>IF(NOT(ISNUMBER(T253)),"PENDING",IF(AF253&gt;0,"PASS","FAIL"))</x:f>
        <x:v>PASS</x:v>
      </x:c>
      <x:c r="AH253" t="str">
        <x:f>IF(NOT(ISNUMBER(T253)),"Needs supplier cost",IF(K253&lt;&gt;"In stock","Supplier unavailable",IF(AG253&lt;&gt;"PASS","BLOCK - GT loss risk","Commercially protected")))</x:f>
        <x:v>Commercially protected</x:v>
      </x:c>
      <x:c r="AI253" t="str">
        <x:v>2026-09-10 Active Sports trade capture</x:v>
      </x:c>
      <x:c r="AJ253" t="str">
        <x:v>Management-only economics. Stripe stress test uses 1.5% + £0.20 standard UK online-card fee; pallet/mix-and-match pricing ignored.</x:v>
      </x:c>
    </x:row>
    <x:row r="254">
      <x:c r="A254" t="str">
        <x:v>Active Sports Nutrition</x:v>
      </x:c>
      <x:c r="B254" t="str">
        <x:v>10X Athletic</x:v>
      </x:c>
      <x:c r="C254" t="str">
        <x:v>Grass Fed Whey Protein</x:v>
      </x:c>
      <x:c r="D254" t="str">
        <x:v>Supplements</x:v>
      </x:c>
      <x:c r="E254" t="str">
        <x:v>Whey Protein</x:v>
      </x:c>
      <x:c r="F254" t="str">
        <x:v>Informed Sport certified grass-fed whey protein delivering 23g protein per serving.</x:v>
      </x:c>
      <x:c r="G254" t="str">
        <x:v>750g</x:v>
      </x:c>
      <x:c r="H254" t="str">
        <x:v>Strawberry Milkshake</x:v>
      </x:c>
      <x:c r="I254" t="str"/>
      <x:c r="J254" t="str">
        <x:v>Unit</x:v>
      </x:c>
      <x:c r="K254" t="str">
        <x:v>In stock</x:v>
      </x:c>
      <x:c r="L254" t="str">
        <x:v>2026-09-08</x:v>
      </x:c>
      <x:c r="M254" t="str"/>
      <x:c r="N254" t="str"/>
      <x:c r="O254" t="str">
        <x:v>https://www.activesportstrade.co.uk/Whey-Protein-Supplements-Trade</x:v>
      </x:c>
      <x:c r="P254" t="str">
        <x:v>Supplier SPECIAL OFFER / FREE CREATINE wording removed from canonical title.</x:v>
      </x:c>
      <x:c r="S254" t="str">
        <x:v>Pending genuine supplier/brand image</x:v>
      </x:c>
      <x:c r="T254" s="54" t="n">
        <x:v>22.99</x:v>
      </x:c>
      <x:c r="U254" s="47" t="n">
        <x:v>0.2</x:v>
      </x:c>
      <x:c r="V254" s="54" t="n">
        <x:f>IF(ISNUMBER(T254),T254*(1+U254),"")</x:f>
        <x:v>27.587999999999997</x:v>
      </x:c>
      <x:c r="W254" s="47" t="n">
        <x:v>0.3</x:v>
      </x:c>
      <x:c r="X254" s="54" t="n">
        <x:f>IF(ISNUMBER(V254),V254/(1-W254),"")</x:f>
        <x:v>39.41142857142857</x:v>
      </x:c>
      <x:c r="Y254" s="55" t="n">
        <x:f>IF(ISNUMBER(X254),ROUNDUP(X254,0),"")</x:f>
        <x:v>40</x:v>
      </x:c>
      <x:c r="Z254" t="str">
        <x:v>Source match pending</x:v>
      </x:c>
      <x:c r="AA254" t="str">
        <x:v>screencapture-www-activesportstrade-co-uk-10x-athletic-trade-2026-09-09-18_13_27.png / page-001</x:v>
      </x:c>
      <x:c r="AB254" s="36" t="n">
        <x:f>IF(ISNUMBER(Y254),ROUND(Y254*0.9,2),"")</x:f>
        <x:v>36</x:v>
      </x:c>
      <x:c r="AC254" s="36" t="n">
        <x:f>IF(ISNUMBER(AB254),ROUND(AB254-(AB254*0.015+0.2)-V254,2),"")</x:f>
        <x:v>7.67</x:v>
      </x:c>
      <x:c r="AD254" s="36" t="n">
        <x:f>IF(ISNUMBER(Y254),ROUND(Y254*0.8,2),"")</x:f>
        <x:v>32</x:v>
      </x:c>
      <x:c r="AE254" s="36" t="n">
        <x:f>IF(ISNUMBER(AD254),ROUND(AD254*0.015+0.2,2),"")</x:f>
        <x:v>0.68</x:v>
      </x:c>
      <x:c r="AF254" s="36" t="n">
        <x:f>IF(ISNUMBER(AD254),ROUND(AD254-AE254-V254,2),"")</x:f>
        <x:v>3.73</x:v>
      </x:c>
      <x:c r="AG254" t="str">
        <x:f>IF(NOT(ISNUMBER(T254)),"PENDING",IF(AF254&gt;0,"PASS","FAIL"))</x:f>
        <x:v>PASS</x:v>
      </x:c>
      <x:c r="AH254" t="str">
        <x:f>IF(NOT(ISNUMBER(T254)),"Needs supplier cost",IF(K254&lt;&gt;"In stock","Supplier unavailable",IF(AG254&lt;&gt;"PASS","BLOCK - GT loss risk","Commercially protected")))</x:f>
        <x:v>Commercially protected</x:v>
      </x:c>
      <x:c r="AI254" t="str">
        <x:v>2026-09-10 Active Sports trade capture</x:v>
      </x:c>
      <x:c r="AJ254" t="str">
        <x:v>Management-only economics. Stripe stress test uses 1.5% + £0.20 standard UK online-card fee; pallet/mix-and-match pricing ignored.</x:v>
      </x:c>
    </x:row>
    <x:row r="255">
      <x:c r="A255" t="str">
        <x:v>Active Sports Nutrition</x:v>
      </x:c>
      <x:c r="B255" t="str">
        <x:v>10X Athletic</x:v>
      </x:c>
      <x:c r="C255" t="str">
        <x:v>Grass Fed Whey Protein</x:v>
      </x:c>
      <x:c r="D255" t="str">
        <x:v>Supplements</x:v>
      </x:c>
      <x:c r="E255" t="str">
        <x:v>Whey Protein</x:v>
      </x:c>
      <x:c r="F255" t="str">
        <x:v>Informed Sport certified grass-fed whey protein delivering 23g protein per serving.</x:v>
      </x:c>
      <x:c r="G255" t="str">
        <x:v>750g</x:v>
      </x:c>
      <x:c r="H255" t="str">
        <x:v>Vanilla Ice Cream</x:v>
      </x:c>
      <x:c r="I255" t="str"/>
      <x:c r="J255" t="str">
        <x:v>Unit</x:v>
      </x:c>
      <x:c r="K255" t="str">
        <x:v>Out of stock</x:v>
      </x:c>
      <x:c r="L255" t="str">
        <x:v>2026-09-08</x:v>
      </x:c>
      <x:c r="M255" t="str"/>
      <x:c r="N255" t="str"/>
      <x:c r="O255" t="str">
        <x:v>https://www.activesportstrade.co.uk/Whey-Protein-Supplements-Trade</x:v>
      </x:c>
      <x:c r="P255" t="str">
        <x:v>Supplier SPECIAL OFFER / FREE CREATINE wording removed from canonical title.</x:v>
      </x:c>
      <x:c r="S255" t="str">
        <x:v>Pending genuine supplier/brand image</x:v>
      </x:c>
      <x:c r="T255" s="54" t="n">
        <x:v>22.99</x:v>
      </x:c>
      <x:c r="U255" s="47" t="n">
        <x:v>0.2</x:v>
      </x:c>
      <x:c r="V255" s="54" t="n">
        <x:f>IF(ISNUMBER(T255),T255*(1+U255),"")</x:f>
        <x:v>27.587999999999997</x:v>
      </x:c>
      <x:c r="W255" s="47" t="n">
        <x:v>0.3</x:v>
      </x:c>
      <x:c r="X255" s="54" t="n">
        <x:f>IF(ISNUMBER(V255),V255/(1-W255),"")</x:f>
        <x:v>39.41142857142857</x:v>
      </x:c>
      <x:c r="Y255" s="55" t="n">
        <x:f>IF(ISNUMBER(X255),ROUNDUP(X255,0),"")</x:f>
        <x:v>40</x:v>
      </x:c>
      <x:c r="Z255" t="str">
        <x:v>Source match pending</x:v>
      </x:c>
      <x:c r="AA255" t="str">
        <x:v>screencapture-www-activesportstrade-co-uk-10x-athletic-trade-2026-09-09-18_13_27.png / page-001</x:v>
      </x:c>
      <x:c r="AB255" s="36" t="n">
        <x:f>IF(ISNUMBER(Y255),ROUND(Y255*0.9,2),"")</x:f>
        <x:v>36</x:v>
      </x:c>
      <x:c r="AC255" s="36" t="n">
        <x:f>IF(ISNUMBER(AB255),ROUND(AB255-(AB255*0.015+0.2)-V255,2),"")</x:f>
        <x:v>7.67</x:v>
      </x:c>
      <x:c r="AD255" s="36" t="n">
        <x:f>IF(ISNUMBER(Y255),ROUND(Y255*0.8,2),"")</x:f>
        <x:v>32</x:v>
      </x:c>
      <x:c r="AE255" s="36" t="n">
        <x:f>IF(ISNUMBER(AD255),ROUND(AD255*0.015+0.2,2),"")</x:f>
        <x:v>0.68</x:v>
      </x:c>
      <x:c r="AF255" s="36" t="n">
        <x:f>IF(ISNUMBER(AD255),ROUND(AD255-AE255-V255,2),"")</x:f>
        <x:v>3.73</x:v>
      </x:c>
      <x:c r="AG255" t="str">
        <x:f>IF(NOT(ISNUMBER(T255)),"PENDING",IF(AF255&gt;0,"PASS","FAIL"))</x:f>
        <x:v>PASS</x:v>
      </x:c>
      <x:c r="AH255" t="str">
        <x:f>IF(NOT(ISNUMBER(T255)),"Needs supplier cost",IF(K255&lt;&gt;"In stock","Supplier unavailable",IF(AG255&lt;&gt;"PASS","BLOCK - GT loss risk","Commercially protected")))</x:f>
        <x:v>Supplier unavailable</x:v>
      </x:c>
      <x:c r="AI255" t="str">
        <x:v>2026-09-10 Active Sports trade capture</x:v>
      </x:c>
      <x:c r="AJ255" t="str">
        <x:v>Management-only economics. Stripe stress test uses 1.5% + £0.20 standard UK online-card fee; pallet/mix-and-match pricing ignored.</x:v>
      </x:c>
    </x:row>
    <x:row r="256">
      <x:c r="A256" t="str">
        <x:v>Active Sports Nutrition</x:v>
      </x:c>
      <x:c r="B256" t="str">
        <x:v>3D Energy</x:v>
      </x:c>
      <x:c r="C256" t="str">
        <x:v>3D Energy Drinks</x:v>
      </x:c>
      <x:c r="D256" t="str">
        <x:v>Drinks and Bars</x:v>
      </x:c>
      <x:c r="E256" t="str">
        <x:v>Ready to Drink Energy</x:v>
      </x:c>
      <x:c r="F256" t="str">
        <x:v>Energy drink intended to support focus and concentration.</x:v>
      </x:c>
      <x:c r="G256" t="str">
        <x:v>12 x 473ml cans</x:v>
      </x:c>
      <x:c r="H256" t="str">
        <x:v>Blue / Blueberry Mist</x:v>
      </x:c>
      <x:c r="I256" t="str">
        <x:v>12</x:v>
      </x:c>
      <x:c r="J256" t="str">
        <x:v>Case</x:v>
      </x:c>
      <x:c r="K256" t="str">
        <x:v>In stock</x:v>
      </x:c>
      <x:c r="L256" t="str">
        <x:v>2026-09-08</x:v>
      </x:c>
      <x:c r="M256" t="str"/>
      <x:c r="N256" t="str"/>
      <x:c r="O256" t="str">
        <x:v>https://www.activesportstrade.co.uk/Ready-to-Drink-Energy</x:v>
      </x:c>
      <x:c r="P256" t="str">
        <x:v>Case-only member order. 'NEW' wording removed from canonical flavour naming.</x:v>
      </x:c>
      <x:c r="Q256" t="str"/>
      <x:c r="R256" t="str"/>
      <x:c r="S256" t="str">
        <x:v>Pending genuine supplier/brand image</x:v>
      </x:c>
      <x:c r="T256" s="54"/>
      <x:c r="U256" s="47" t="n">
        <x:v>0.2</x:v>
      </x:c>
      <x:c r="V256" s="54" t="str">
        <x:f>IF(ISNUMBER(T256),T256*(1+U256),"")</x:f>
      </x:c>
      <x:c r="W256" s="47" t="n">
        <x:v>0.3</x:v>
      </x:c>
      <x:c r="X256" s="54" t="str">
        <x:f>IF(ISNUMBER(V256),V256/(1-W256),"")</x:f>
      </x:c>
      <x:c r="Y256" s="55" t="str">
        <x:f>IF(ISNUMBER(X256),ROUNDUP(X256,0),"")</x:f>
      </x:c>
      <x:c r="Z256" t="str">
        <x:f>IF(ISNUMBER(T256),"Cost captured","Awaiting trade cost")</x:f>
        <x:v>Awaiting trade cost</x:v>
      </x:c>
      <x:c r="AB256" s="36" t="str">
        <x:f>IF(ISNUMBER(Y256),ROUND(Y256*0.9,2),"")</x:f>
      </x:c>
      <x:c r="AC256" s="36" t="str">
        <x:f>IF(ISNUMBER(AB256),ROUND(AB256-(AB256*0.015+0.2)-V256,2),"")</x:f>
      </x:c>
      <x:c r="AD256" s="36" t="str">
        <x:f>IF(ISNUMBER(Y256),ROUND(Y256*0.8,2),"")</x:f>
      </x:c>
      <x:c r="AE256" s="36" t="str">
        <x:f>IF(ISNUMBER(AD256),ROUND(AD256*0.015+0.2,2),"")</x:f>
      </x:c>
      <x:c r="AF256" s="36" t="str">
        <x:f>IF(ISNUMBER(AD256),ROUND(AD256-AE256-V256,2),"")</x:f>
      </x:c>
      <x:c r="AG256" t="str">
        <x:f>IF(NOT(ISNUMBER(T256)),"PENDING",IF(AF256&gt;0,"PASS","FAIL"))</x:f>
        <x:v>PENDING</x:v>
      </x:c>
      <x:c r="AH256" t="str">
        <x:f>IF(NOT(ISNUMBER(T256)),"Needs supplier cost",IF(K256&lt;&gt;"In stock","Supplier unavailable",IF(AG256&lt;&gt;"PASS","BLOCK - GT loss risk","Commercially protected")))</x:f>
        <x:v>Needs supplier cost</x:v>
      </x:c>
      <x:c r="AI256" t="str">
        <x:v>2026-09-10 Active Sports trade capture</x:v>
      </x:c>
      <x:c r="AJ256" t="str">
        <x:v>Management-only economics. Stripe stress test uses 1.5% + £0.20 standard UK online-card fee; pallet/mix-and-match pricing ignored.</x:v>
      </x:c>
    </x:row>
    <x:row r="257">
      <x:c r="A257" t="str">
        <x:v>Active Sports Nutrition</x:v>
      </x:c>
      <x:c r="B257" t="str">
        <x:v>3D Energy</x:v>
      </x:c>
      <x:c r="C257" t="str">
        <x:v>3D Energy Drinks</x:v>
      </x:c>
      <x:c r="D257" t="str">
        <x:v>Drinks and Bars</x:v>
      </x:c>
      <x:c r="E257" t="str">
        <x:v>Ready to Drink Energy</x:v>
      </x:c>
      <x:c r="F257" t="str">
        <x:v>Energy drink intended to support focus and concentration.</x:v>
      </x:c>
      <x:c r="G257" t="str">
        <x:v>12 x 473ml cans</x:v>
      </x:c>
      <x:c r="H257" t="str">
        <x:v>Green / Cucumber Melon</x:v>
      </x:c>
      <x:c r="I257" t="str">
        <x:v>12</x:v>
      </x:c>
      <x:c r="J257" t="str">
        <x:v>Case</x:v>
      </x:c>
      <x:c r="K257" t="str">
        <x:v>Out of stock</x:v>
      </x:c>
      <x:c r="L257" t="str">
        <x:v>2026-09-08</x:v>
      </x:c>
      <x:c r="M257" t="str"/>
      <x:c r="N257" t="str"/>
      <x:c r="O257" t="str">
        <x:v>https://www.activesportstrade.co.uk/Ready-to-Drink-Energy</x:v>
      </x:c>
      <x:c r="P257" t="str">
        <x:v>Case-only member order. 'NEW' wording removed from canonical flavour naming.</x:v>
      </x:c>
      <x:c r="Q257" t="str"/>
      <x:c r="R257" t="str"/>
      <x:c r="S257" t="str">
        <x:v>Pending genuine supplier/brand image</x:v>
      </x:c>
      <x:c r="T257" s="54"/>
      <x:c r="U257" s="47" t="n">
        <x:v>0.2</x:v>
      </x:c>
      <x:c r="V257" s="54" t="str">
        <x:f>IF(ISNUMBER(T257),T257*(1+U257),"")</x:f>
      </x:c>
      <x:c r="W257" s="47" t="n">
        <x:v>0.3</x:v>
      </x:c>
      <x:c r="X257" s="54" t="str">
        <x:f>IF(ISNUMBER(V257),V257/(1-W257),"")</x:f>
      </x:c>
      <x:c r="Y257" s="55" t="str">
        <x:f>IF(ISNUMBER(X257),ROUNDUP(X257,0),"")</x:f>
      </x:c>
      <x:c r="Z257" t="str">
        <x:f>IF(ISNUMBER(T257),"Cost captured","Awaiting trade cost")</x:f>
        <x:v>Awaiting trade cost</x:v>
      </x:c>
      <x:c r="AB257" s="36" t="str">
        <x:f>IF(ISNUMBER(Y257),ROUND(Y257*0.9,2),"")</x:f>
      </x:c>
      <x:c r="AC257" s="36" t="str">
        <x:f>IF(ISNUMBER(AB257),ROUND(AB257-(AB257*0.015+0.2)-V257,2),"")</x:f>
      </x:c>
      <x:c r="AD257" s="36" t="str">
        <x:f>IF(ISNUMBER(Y257),ROUND(Y257*0.8,2),"")</x:f>
      </x:c>
      <x:c r="AE257" s="36" t="str">
        <x:f>IF(ISNUMBER(AD257),ROUND(AD257*0.015+0.2,2),"")</x:f>
      </x:c>
      <x:c r="AF257" s="36" t="str">
        <x:f>IF(ISNUMBER(AD257),ROUND(AD257-AE257-V257,2),"")</x:f>
      </x:c>
      <x:c r="AG257" t="str">
        <x:f>IF(NOT(ISNUMBER(T257)),"PENDING",IF(AF257&gt;0,"PASS","FAIL"))</x:f>
        <x:v>PENDING</x:v>
      </x:c>
      <x:c r="AH257" t="str">
        <x:f>IF(NOT(ISNUMBER(T257)),"Needs supplier cost",IF(K257&lt;&gt;"In stock","Supplier unavailable",IF(AG257&lt;&gt;"PASS","BLOCK - GT loss risk","Commercially protected")))</x:f>
        <x:v>Needs supplier cost</x:v>
      </x:c>
      <x:c r="AI257" t="str">
        <x:v>2026-09-10 Active Sports trade capture</x:v>
      </x:c>
      <x:c r="AJ257" t="str">
        <x:v>Management-only economics. Stripe stress test uses 1.5% + £0.20 standard UK online-card fee; pallet/mix-and-match pricing ignored.</x:v>
      </x:c>
    </x:row>
    <x:row r="258">
      <x:c r="A258" t="str">
        <x:v>Active Sports Nutrition</x:v>
      </x:c>
      <x:c r="B258" t="str">
        <x:v>3D Energy</x:v>
      </x:c>
      <x:c r="C258" t="str">
        <x:v>3D Energy Drinks</x:v>
      </x:c>
      <x:c r="D258" t="str">
        <x:v>Drinks and Bars</x:v>
      </x:c>
      <x:c r="E258" t="str">
        <x:v>Ready to Drink Energy</x:v>
      </x:c>
      <x:c r="F258" t="str">
        <x:v>Energy drink intended to support focus and concentration.</x:v>
      </x:c>
      <x:c r="G258" t="str">
        <x:v>12 x 473ml cans</x:v>
      </x:c>
      <x:c r="H258" t="str">
        <x:v>Liberty Pop / Red, White &amp; Blue</x:v>
      </x:c>
      <x:c r="I258" t="str">
        <x:v>12</x:v>
      </x:c>
      <x:c r="J258" t="str">
        <x:v>Case</x:v>
      </x:c>
      <x:c r="K258" t="str">
        <x:v>In stock</x:v>
      </x:c>
      <x:c r="L258" t="str">
        <x:v>2026-09-08</x:v>
      </x:c>
      <x:c r="M258" t="str"/>
      <x:c r="N258" t="str"/>
      <x:c r="O258" t="str">
        <x:v>https://www.activesportstrade.co.uk/Ready-to-Drink-Energy</x:v>
      </x:c>
      <x:c r="P258" t="str">
        <x:v>Case-only member order. 'NEW' wording removed from canonical flavour naming.</x:v>
      </x:c>
      <x:c r="Q258" t="str"/>
      <x:c r="R258" t="str"/>
      <x:c r="S258" t="str">
        <x:v>Pending genuine supplier/brand image</x:v>
      </x:c>
      <x:c r="T258" s="54"/>
      <x:c r="U258" s="47" t="n">
        <x:v>0.2</x:v>
      </x:c>
      <x:c r="V258" s="54" t="str">
        <x:f>IF(ISNUMBER(T258),T258*(1+U258),"")</x:f>
      </x:c>
      <x:c r="W258" s="47" t="n">
        <x:v>0.3</x:v>
      </x:c>
      <x:c r="X258" s="54" t="str">
        <x:f>IF(ISNUMBER(V258),V258/(1-W258),"")</x:f>
      </x:c>
      <x:c r="Y258" s="55" t="str">
        <x:f>IF(ISNUMBER(X258),ROUNDUP(X258,0),"")</x:f>
      </x:c>
      <x:c r="Z258" t="str">
        <x:f>IF(ISNUMBER(T258),"Cost captured","Awaiting trade cost")</x:f>
        <x:v>Awaiting trade cost</x:v>
      </x:c>
      <x:c r="AB258" s="36" t="str">
        <x:f>IF(ISNUMBER(Y258),ROUND(Y258*0.9,2),"")</x:f>
      </x:c>
      <x:c r="AC258" s="36" t="str">
        <x:f>IF(ISNUMBER(AB258),ROUND(AB258-(AB258*0.015+0.2)-V258,2),"")</x:f>
      </x:c>
      <x:c r="AD258" s="36" t="str">
        <x:f>IF(ISNUMBER(Y258),ROUND(Y258*0.8,2),"")</x:f>
      </x:c>
      <x:c r="AE258" s="36" t="str">
        <x:f>IF(ISNUMBER(AD258),ROUND(AD258*0.015+0.2,2),"")</x:f>
      </x:c>
      <x:c r="AF258" s="36" t="str">
        <x:f>IF(ISNUMBER(AD258),ROUND(AD258-AE258-V258,2),"")</x:f>
      </x:c>
      <x:c r="AG258" t="str">
        <x:f>IF(NOT(ISNUMBER(T258)),"PENDING",IF(AF258&gt;0,"PASS","FAIL"))</x:f>
        <x:v>PENDING</x:v>
      </x:c>
      <x:c r="AH258" t="str">
        <x:f>IF(NOT(ISNUMBER(T258)),"Needs supplier cost",IF(K258&lt;&gt;"In stock","Supplier unavailable",IF(AG258&lt;&gt;"PASS","BLOCK - GT loss risk","Commercially protected")))</x:f>
        <x:v>Needs supplier cost</x:v>
      </x:c>
      <x:c r="AI258" t="str">
        <x:v>2026-09-10 Active Sports trade capture</x:v>
      </x:c>
      <x:c r="AJ258" t="str">
        <x:v>Management-only economics. Stripe stress test uses 1.5% + £0.20 standard UK online-card fee; pallet/mix-and-match pricing ignored.</x:v>
      </x:c>
    </x:row>
    <x:row r="259">
      <x:c r="A259" t="str">
        <x:v>Active Sports Nutrition</x:v>
      </x:c>
      <x:c r="B259" t="str">
        <x:v>3D Energy</x:v>
      </x:c>
      <x:c r="C259" t="str">
        <x:v>3D Energy Drinks</x:v>
      </x:c>
      <x:c r="D259" t="str">
        <x:v>Drinks and Bars</x:v>
      </x:c>
      <x:c r="E259" t="str">
        <x:v>Ready to Drink Energy</x:v>
      </x:c>
      <x:c r="F259" t="str">
        <x:v>Energy drink intended to support focus and concentration.</x:v>
      </x:c>
      <x:c r="G259" t="str">
        <x:v>12 x 473ml cans</x:v>
      </x:c>
      <x:c r="H259" t="str">
        <x:v>Orange / Orange Cream</x:v>
      </x:c>
      <x:c r="I259" t="str">
        <x:v>12</x:v>
      </x:c>
      <x:c r="J259" t="str">
        <x:v>Case</x:v>
      </x:c>
      <x:c r="K259" t="str">
        <x:v>In stock</x:v>
      </x:c>
      <x:c r="L259" t="str">
        <x:v>2026-09-08</x:v>
      </x:c>
      <x:c r="M259" t="str"/>
      <x:c r="N259" t="str"/>
      <x:c r="O259" t="str">
        <x:v>https://www.activesportstrade.co.uk/Ready-to-Drink-Energy</x:v>
      </x:c>
      <x:c r="P259" t="str">
        <x:v>Case-only member order. 'NEW' wording removed from canonical flavour naming.</x:v>
      </x:c>
      <x:c r="Q259" t="str"/>
      <x:c r="R259" t="str"/>
      <x:c r="S259" t="str">
        <x:v>Pending genuine supplier/brand image</x:v>
      </x:c>
      <x:c r="T259" s="54"/>
      <x:c r="U259" s="47" t="n">
        <x:v>0.2</x:v>
      </x:c>
      <x:c r="V259" s="54" t="str">
        <x:f>IF(ISNUMBER(T259),T259*(1+U259),"")</x:f>
      </x:c>
      <x:c r="W259" s="47" t="n">
        <x:v>0.3</x:v>
      </x:c>
      <x:c r="X259" s="54" t="str">
        <x:f>IF(ISNUMBER(V259),V259/(1-W259),"")</x:f>
      </x:c>
      <x:c r="Y259" s="55" t="str">
        <x:f>IF(ISNUMBER(X259),ROUNDUP(X259,0),"")</x:f>
      </x:c>
      <x:c r="Z259" t="str">
        <x:f>IF(ISNUMBER(T259),"Cost captured","Awaiting trade cost")</x:f>
        <x:v>Awaiting trade cost</x:v>
      </x:c>
      <x:c r="AB259" s="36" t="str">
        <x:f>IF(ISNUMBER(Y259),ROUND(Y259*0.9,2),"")</x:f>
      </x:c>
      <x:c r="AC259" s="36" t="str">
        <x:f>IF(ISNUMBER(AB259),ROUND(AB259-(AB259*0.015+0.2)-V259,2),"")</x:f>
      </x:c>
      <x:c r="AD259" s="36" t="str">
        <x:f>IF(ISNUMBER(Y259),ROUND(Y259*0.8,2),"")</x:f>
      </x:c>
      <x:c r="AE259" s="36" t="str">
        <x:f>IF(ISNUMBER(AD259),ROUND(AD259*0.015+0.2,2),"")</x:f>
      </x:c>
      <x:c r="AF259" s="36" t="str">
        <x:f>IF(ISNUMBER(AD259),ROUND(AD259-AE259-V259,2),"")</x:f>
      </x:c>
      <x:c r="AG259" t="str">
        <x:f>IF(NOT(ISNUMBER(T259)),"PENDING",IF(AF259&gt;0,"PASS","FAIL"))</x:f>
        <x:v>PENDING</x:v>
      </x:c>
      <x:c r="AH259" t="str">
        <x:f>IF(NOT(ISNUMBER(T259)),"Needs supplier cost",IF(K259&lt;&gt;"In stock","Supplier unavailable",IF(AG259&lt;&gt;"PASS","BLOCK - GT loss risk","Commercially protected")))</x:f>
        <x:v>Needs supplier cost</x:v>
      </x:c>
      <x:c r="AI259" t="str">
        <x:v>2026-09-10 Active Sports trade capture</x:v>
      </x:c>
      <x:c r="AJ259" t="str">
        <x:v>Management-only economics. Stripe stress test uses 1.5% + £0.20 standard UK online-card fee; pallet/mix-and-match pricing ignored.</x:v>
      </x:c>
    </x:row>
    <x:row r="260">
      <x:c r="A260" t="str">
        <x:v>Active Sports Nutrition</x:v>
      </x:c>
      <x:c r="B260" t="str">
        <x:v>3D Energy</x:v>
      </x:c>
      <x:c r="C260" t="str">
        <x:v>3D Energy Drinks</x:v>
      </x:c>
      <x:c r="D260" t="str">
        <x:v>Drinks and Bars</x:v>
      </x:c>
      <x:c r="E260" t="str">
        <x:v>Ready to Drink Energy</x:v>
      </x:c>
      <x:c r="F260" t="str">
        <x:v>Energy drink intended to support focus and concentration.</x:v>
      </x:c>
      <x:c r="G260" t="str">
        <x:v>12 x 473ml cans</x:v>
      </x:c>
      <x:c r="H260" t="str">
        <x:v>Purple / Watermelon Grape</x:v>
      </x:c>
      <x:c r="I260" t="str">
        <x:v>12</x:v>
      </x:c>
      <x:c r="J260" t="str">
        <x:v>Case</x:v>
      </x:c>
      <x:c r="K260" t="str">
        <x:v>In stock</x:v>
      </x:c>
      <x:c r="L260" t="str">
        <x:v>2026-09-08</x:v>
      </x:c>
      <x:c r="M260" t="str"/>
      <x:c r="N260" t="str"/>
      <x:c r="O260" t="str">
        <x:v>https://www.activesportstrade.co.uk/Ready-to-Drink-Energy</x:v>
      </x:c>
      <x:c r="P260" t="str">
        <x:v>Case-only member order. 'NEW' wording removed from canonical flavour naming.</x:v>
      </x:c>
      <x:c r="Q260" t="str"/>
      <x:c r="R260" t="str"/>
      <x:c r="S260" t="str">
        <x:v>Pending genuine supplier/brand image</x:v>
      </x:c>
      <x:c r="T260" s="54"/>
      <x:c r="U260" s="47" t="n">
        <x:v>0.2</x:v>
      </x:c>
      <x:c r="V260" s="54" t="str">
        <x:f>IF(ISNUMBER(T260),T260*(1+U260),"")</x:f>
      </x:c>
      <x:c r="W260" s="47" t="n">
        <x:v>0.3</x:v>
      </x:c>
      <x:c r="X260" s="54" t="str">
        <x:f>IF(ISNUMBER(V260),V260/(1-W260),"")</x:f>
      </x:c>
      <x:c r="Y260" s="55" t="str">
        <x:f>IF(ISNUMBER(X260),ROUNDUP(X260,0),"")</x:f>
      </x:c>
      <x:c r="Z260" t="str">
        <x:f>IF(ISNUMBER(T260),"Cost captured","Awaiting trade cost")</x:f>
        <x:v>Awaiting trade cost</x:v>
      </x:c>
      <x:c r="AB260" s="36" t="str">
        <x:f>IF(ISNUMBER(Y260),ROUND(Y260*0.9,2),"")</x:f>
      </x:c>
      <x:c r="AC260" s="36" t="str">
        <x:f>IF(ISNUMBER(AB260),ROUND(AB260-(AB260*0.015+0.2)-V260,2),"")</x:f>
      </x:c>
      <x:c r="AD260" s="36" t="str">
        <x:f>IF(ISNUMBER(Y260),ROUND(Y260*0.8,2),"")</x:f>
      </x:c>
      <x:c r="AE260" s="36" t="str">
        <x:f>IF(ISNUMBER(AD260),ROUND(AD260*0.015+0.2,2),"")</x:f>
      </x:c>
      <x:c r="AF260" s="36" t="str">
        <x:f>IF(ISNUMBER(AD260),ROUND(AD260-AE260-V260,2),"")</x:f>
      </x:c>
      <x:c r="AG260" t="str">
        <x:f>IF(NOT(ISNUMBER(T260)),"PENDING",IF(AF260&gt;0,"PASS","FAIL"))</x:f>
        <x:v>PENDING</x:v>
      </x:c>
      <x:c r="AH260" t="str">
        <x:f>IF(NOT(ISNUMBER(T260)),"Needs supplier cost",IF(K260&lt;&gt;"In stock","Supplier unavailable",IF(AG260&lt;&gt;"PASS","BLOCK - GT loss risk","Commercially protected")))</x:f>
        <x:v>Needs supplier cost</x:v>
      </x:c>
      <x:c r="AI260" t="str">
        <x:v>2026-09-10 Active Sports trade capture</x:v>
      </x:c>
      <x:c r="AJ260" t="str">
        <x:v>Management-only economics. Stripe stress test uses 1.5% + £0.20 standard UK online-card fee; pallet/mix-and-match pricing ignored.</x:v>
      </x:c>
    </x:row>
    <x:row r="261">
      <x:c r="A261" t="str">
        <x:v>Active Sports Nutrition</x:v>
      </x:c>
      <x:c r="B261" t="str">
        <x:v>3D Energy</x:v>
      </x:c>
      <x:c r="C261" t="str">
        <x:v>3D Energy Drinks</x:v>
      </x:c>
      <x:c r="D261" t="str">
        <x:v>Drinks and Bars</x:v>
      </x:c>
      <x:c r="E261" t="str">
        <x:v>Ready to Drink Energy</x:v>
      </x:c>
      <x:c r="F261" t="str">
        <x:v>Energy drink intended to support focus and concentration.</x:v>
      </x:c>
      <x:c r="G261" t="str">
        <x:v>12 x 473ml cans</x:v>
      </x:c>
      <x:c r="H261" t="str">
        <x:v>Red / Raspberry Sorbet</x:v>
      </x:c>
      <x:c r="I261" t="str">
        <x:v>12</x:v>
      </x:c>
      <x:c r="J261" t="str">
        <x:v>Case</x:v>
      </x:c>
      <x:c r="K261" t="str">
        <x:v>In stock</x:v>
      </x:c>
      <x:c r="L261" t="str">
        <x:v>2026-09-08</x:v>
      </x:c>
      <x:c r="M261" t="str"/>
      <x:c r="N261" t="str"/>
      <x:c r="O261" t="str">
        <x:v>https://www.activesportstrade.co.uk/Ready-to-Drink-Energy</x:v>
      </x:c>
      <x:c r="P261" t="str">
        <x:v>Case-only member order. 'NEW' wording removed from canonical flavour naming.</x:v>
      </x:c>
      <x:c r="Q261" t="str"/>
      <x:c r="R261" t="str"/>
      <x:c r="S261" t="str">
        <x:v>Pending genuine supplier/brand image</x:v>
      </x:c>
      <x:c r="T261" s="54"/>
      <x:c r="U261" s="47" t="n">
        <x:v>0.2</x:v>
      </x:c>
      <x:c r="V261" s="54" t="str">
        <x:f>IF(ISNUMBER(T261),T261*(1+U261),"")</x:f>
      </x:c>
      <x:c r="W261" s="47" t="n">
        <x:v>0.3</x:v>
      </x:c>
      <x:c r="X261" s="54" t="str">
        <x:f>IF(ISNUMBER(V261),V261/(1-W261),"")</x:f>
      </x:c>
      <x:c r="Y261" s="55" t="str">
        <x:f>IF(ISNUMBER(X261),ROUNDUP(X261,0),"")</x:f>
      </x:c>
      <x:c r="Z261" t="str">
        <x:f>IF(ISNUMBER(T261),"Cost captured","Awaiting trade cost")</x:f>
        <x:v>Awaiting trade cost</x:v>
      </x:c>
      <x:c r="AB261" s="36" t="str">
        <x:f>IF(ISNUMBER(Y261),ROUND(Y261*0.9,2),"")</x:f>
      </x:c>
      <x:c r="AC261" s="36" t="str">
        <x:f>IF(ISNUMBER(AB261),ROUND(AB261-(AB261*0.015+0.2)-V261,2),"")</x:f>
      </x:c>
      <x:c r="AD261" s="36" t="str">
        <x:f>IF(ISNUMBER(Y261),ROUND(Y261*0.8,2),"")</x:f>
      </x:c>
      <x:c r="AE261" s="36" t="str">
        <x:f>IF(ISNUMBER(AD261),ROUND(AD261*0.015+0.2,2),"")</x:f>
      </x:c>
      <x:c r="AF261" s="36" t="str">
        <x:f>IF(ISNUMBER(AD261),ROUND(AD261-AE261-V261,2),"")</x:f>
      </x:c>
      <x:c r="AG261" t="str">
        <x:f>IF(NOT(ISNUMBER(T261)),"PENDING",IF(AF261&gt;0,"PASS","FAIL"))</x:f>
        <x:v>PENDING</x:v>
      </x:c>
      <x:c r="AH261" t="str">
        <x:f>IF(NOT(ISNUMBER(T261)),"Needs supplier cost",IF(K261&lt;&gt;"In stock","Supplier unavailable",IF(AG261&lt;&gt;"PASS","BLOCK - GT loss risk","Commercially protected")))</x:f>
        <x:v>Needs supplier cost</x:v>
      </x:c>
      <x:c r="AI261" t="str">
        <x:v>2026-09-10 Active Sports trade capture</x:v>
      </x:c>
      <x:c r="AJ261" t="str">
        <x:v>Management-only economics. Stripe stress test uses 1.5% + £0.20 standard UK online-card fee; pallet/mix-and-match pricing ignored.</x:v>
      </x:c>
    </x:row>
    <x:row r="262">
      <x:c r="A262" t="str">
        <x:v>Active Sports Nutrition</x:v>
      </x:c>
      <x:c r="B262" t="str">
        <x:v>3D Energy</x:v>
      </x:c>
      <x:c r="C262" t="str">
        <x:v>3D Energy Drinks</x:v>
      </x:c>
      <x:c r="D262" t="str">
        <x:v>Drinks and Bars</x:v>
      </x:c>
      <x:c r="E262" t="str">
        <x:v>Ready to Drink Energy</x:v>
      </x:c>
      <x:c r="F262" t="str">
        <x:v>Energy drink intended to support focus and concentration.</x:v>
      </x:c>
      <x:c r="G262" t="str">
        <x:v>12 x 473ml cans</x:v>
      </x:c>
      <x:c r="H262" t="str">
        <x:v>Red / Yellow / Spicy Mango</x:v>
      </x:c>
      <x:c r="I262" t="str">
        <x:v>12</x:v>
      </x:c>
      <x:c r="J262" t="str">
        <x:v>Case</x:v>
      </x:c>
      <x:c r="K262" t="str">
        <x:v>In stock</x:v>
      </x:c>
      <x:c r="L262" t="str">
        <x:v>2026-09-08</x:v>
      </x:c>
      <x:c r="M262" t="str"/>
      <x:c r="N262" t="str"/>
      <x:c r="O262" t="str">
        <x:v>https://www.activesportstrade.co.uk/Ready-to-Drink-Energy</x:v>
      </x:c>
      <x:c r="P262" t="str">
        <x:v>Case-only member order. 'NEW' wording removed from canonical flavour naming.</x:v>
      </x:c>
      <x:c r="Q262" t="str"/>
      <x:c r="R262" t="str"/>
      <x:c r="S262" t="str">
        <x:v>Pending genuine supplier/brand image</x:v>
      </x:c>
      <x:c r="T262" s="54"/>
      <x:c r="U262" s="47" t="n">
        <x:v>0.2</x:v>
      </x:c>
      <x:c r="V262" s="54" t="str">
        <x:f>IF(ISNUMBER(T262),T262*(1+U262),"")</x:f>
      </x:c>
      <x:c r="W262" s="47" t="n">
        <x:v>0.3</x:v>
      </x:c>
      <x:c r="X262" s="54" t="str">
        <x:f>IF(ISNUMBER(V262),V262/(1-W262),"")</x:f>
      </x:c>
      <x:c r="Y262" s="55" t="str">
        <x:f>IF(ISNUMBER(X262),ROUNDUP(X262,0),"")</x:f>
      </x:c>
      <x:c r="Z262" t="str">
        <x:f>IF(ISNUMBER(T262),"Cost captured","Awaiting trade cost")</x:f>
        <x:v>Awaiting trade cost</x:v>
      </x:c>
      <x:c r="AB262" s="36" t="str">
        <x:f>IF(ISNUMBER(Y262),ROUND(Y262*0.9,2),"")</x:f>
      </x:c>
      <x:c r="AC262" s="36" t="str">
        <x:f>IF(ISNUMBER(AB262),ROUND(AB262-(AB262*0.015+0.2)-V262,2),"")</x:f>
      </x:c>
      <x:c r="AD262" s="36" t="str">
        <x:f>IF(ISNUMBER(Y262),ROUND(Y262*0.8,2),"")</x:f>
      </x:c>
      <x:c r="AE262" s="36" t="str">
        <x:f>IF(ISNUMBER(AD262),ROUND(AD262*0.015+0.2,2),"")</x:f>
      </x:c>
      <x:c r="AF262" s="36" t="str">
        <x:f>IF(ISNUMBER(AD262),ROUND(AD262-AE262-V262,2),"")</x:f>
      </x:c>
      <x:c r="AG262" t="str">
        <x:f>IF(NOT(ISNUMBER(T262)),"PENDING",IF(AF262&gt;0,"PASS","FAIL"))</x:f>
        <x:v>PENDING</x:v>
      </x:c>
      <x:c r="AH262" t="str">
        <x:f>IF(NOT(ISNUMBER(T262)),"Needs supplier cost",IF(K262&lt;&gt;"In stock","Supplier unavailable",IF(AG262&lt;&gt;"PASS","BLOCK - GT loss risk","Commercially protected")))</x:f>
        <x:v>Needs supplier cost</x:v>
      </x:c>
      <x:c r="AI262" t="str">
        <x:v>2026-09-10 Active Sports trade capture</x:v>
      </x:c>
      <x:c r="AJ262" t="str">
        <x:v>Management-only economics. Stripe stress test uses 1.5% + £0.20 standard UK online-card fee; pallet/mix-and-match pricing ignored.</x:v>
      </x:c>
    </x:row>
    <x:row r="263">
      <x:c r="A263" t="str">
        <x:v>Active Sports Nutrition</x:v>
      </x:c>
      <x:c r="B263" t="str">
        <x:v>3D Energy</x:v>
      </x:c>
      <x:c r="C263" t="str">
        <x:v>3D Energy Drinks</x:v>
      </x:c>
      <x:c r="D263" t="str">
        <x:v>Drinks and Bars</x:v>
      </x:c>
      <x:c r="E263" t="str">
        <x:v>Ready to Drink Energy</x:v>
      </x:c>
      <x:c r="F263" t="str">
        <x:v>Energy drink intended to support focus and concentration.</x:v>
      </x:c>
      <x:c r="G263" t="str">
        <x:v>12 x 473ml cans</x:v>
      </x:c>
      <x:c r="H263" t="str">
        <x:v>Silver / Strawberry Lemonade</x:v>
      </x:c>
      <x:c r="I263" t="str">
        <x:v>12</x:v>
      </x:c>
      <x:c r="J263" t="str">
        <x:v>Case</x:v>
      </x:c>
      <x:c r="K263" t="str">
        <x:v>In stock</x:v>
      </x:c>
      <x:c r="L263" t="str">
        <x:v>2026-09-08</x:v>
      </x:c>
      <x:c r="M263" t="str"/>
      <x:c r="N263" t="str"/>
      <x:c r="O263" t="str">
        <x:v>https://www.activesportstrade.co.uk/Ready-to-Drink-Energy</x:v>
      </x:c>
      <x:c r="P263" t="str">
        <x:v>Case-only member order. 'NEW' wording removed from canonical flavour naming.</x:v>
      </x:c>
      <x:c r="Q263" t="str"/>
      <x:c r="R263" t="str"/>
      <x:c r="S263" t="str">
        <x:v>Pending genuine supplier/brand image</x:v>
      </x:c>
      <x:c r="T263" s="54"/>
      <x:c r="U263" s="47" t="n">
        <x:v>0.2</x:v>
      </x:c>
      <x:c r="V263" s="54" t="str">
        <x:f>IF(ISNUMBER(T263),T263*(1+U263),"")</x:f>
      </x:c>
      <x:c r="W263" s="47" t="n">
        <x:v>0.3</x:v>
      </x:c>
      <x:c r="X263" s="54" t="str">
        <x:f>IF(ISNUMBER(V263),V263/(1-W263),"")</x:f>
      </x:c>
      <x:c r="Y263" s="55" t="str">
        <x:f>IF(ISNUMBER(X263),ROUNDUP(X263,0),"")</x:f>
      </x:c>
      <x:c r="Z263" t="str">
        <x:f>IF(ISNUMBER(T263),"Cost captured","Awaiting trade cost")</x:f>
        <x:v>Awaiting trade cost</x:v>
      </x:c>
      <x:c r="AB263" s="36" t="str">
        <x:f>IF(ISNUMBER(Y263),ROUND(Y263*0.9,2),"")</x:f>
      </x:c>
      <x:c r="AC263" s="36" t="str">
        <x:f>IF(ISNUMBER(AB263),ROUND(AB263-(AB263*0.015+0.2)-V263,2),"")</x:f>
      </x:c>
      <x:c r="AD263" s="36" t="str">
        <x:f>IF(ISNUMBER(Y263),ROUND(Y263*0.8,2),"")</x:f>
      </x:c>
      <x:c r="AE263" s="36" t="str">
        <x:f>IF(ISNUMBER(AD263),ROUND(AD263*0.015+0.2,2),"")</x:f>
      </x:c>
      <x:c r="AF263" s="36" t="str">
        <x:f>IF(ISNUMBER(AD263),ROUND(AD263-AE263-V263,2),"")</x:f>
      </x:c>
      <x:c r="AG263" t="str">
        <x:f>IF(NOT(ISNUMBER(T263)),"PENDING",IF(AF263&gt;0,"PASS","FAIL"))</x:f>
        <x:v>PENDING</x:v>
      </x:c>
      <x:c r="AH263" t="str">
        <x:f>IF(NOT(ISNUMBER(T263)),"Needs supplier cost",IF(K263&lt;&gt;"In stock","Supplier unavailable",IF(AG263&lt;&gt;"PASS","BLOCK - GT loss risk","Commercially protected")))</x:f>
        <x:v>Needs supplier cost</x:v>
      </x:c>
      <x:c r="AI263" t="str">
        <x:v>2026-09-10 Active Sports trade capture</x:v>
      </x:c>
      <x:c r="AJ263" t="str">
        <x:v>Management-only economics. Stripe stress test uses 1.5% + £0.20 standard UK online-card fee; pallet/mix-and-match pricing ignored.</x:v>
      </x:c>
    </x:row>
    <x:row r="264">
      <x:c r="A264" t="str">
        <x:v>Active Sports Nutrition</x:v>
      </x:c>
      <x:c r="B264" t="str">
        <x:v>3D Energy</x:v>
      </x:c>
      <x:c r="C264" t="str">
        <x:v>3D Energy Drinks</x:v>
      </x:c>
      <x:c r="D264" t="str">
        <x:v>Drinks and Bars</x:v>
      </x:c>
      <x:c r="E264" t="str">
        <x:v>Ready to Drink Energy</x:v>
      </x:c>
      <x:c r="F264" t="str">
        <x:v>Energy drink intended to support focus and concentration.</x:v>
      </x:c>
      <x:c r="G264" t="str">
        <x:v>12 x 473ml cans</x:v>
      </x:c>
      <x:c r="H264" t="str">
        <x:v>White / Citrus Frost</x:v>
      </x:c>
      <x:c r="I264" t="str">
        <x:v>12</x:v>
      </x:c>
      <x:c r="J264" t="str">
        <x:v>Case</x:v>
      </x:c>
      <x:c r="K264" t="str">
        <x:v>In stock</x:v>
      </x:c>
      <x:c r="L264" t="str">
        <x:v>2026-09-08</x:v>
      </x:c>
      <x:c r="M264" t="str"/>
      <x:c r="N264" t="str"/>
      <x:c r="O264" t="str">
        <x:v>https://www.activesportstrade.co.uk/Ready-to-Drink-Energy</x:v>
      </x:c>
      <x:c r="P264" t="str">
        <x:v>Case-only member order. 'NEW' wording removed from canonical flavour naming.</x:v>
      </x:c>
      <x:c r="Q264" t="str"/>
      <x:c r="R264" t="str"/>
      <x:c r="S264" t="str">
        <x:v>Pending genuine supplier/brand image</x:v>
      </x:c>
      <x:c r="T264" s="54"/>
      <x:c r="U264" s="47" t="n">
        <x:v>0.2</x:v>
      </x:c>
      <x:c r="V264" s="54" t="str">
        <x:f>IF(ISNUMBER(T264),T264*(1+U264),"")</x:f>
      </x:c>
      <x:c r="W264" s="47" t="n">
        <x:v>0.3</x:v>
      </x:c>
      <x:c r="X264" s="54" t="str">
        <x:f>IF(ISNUMBER(V264),V264/(1-W264),"")</x:f>
      </x:c>
      <x:c r="Y264" s="55" t="str">
        <x:f>IF(ISNUMBER(X264),ROUNDUP(X264,0),"")</x:f>
      </x:c>
      <x:c r="Z264" t="str">
        <x:f>IF(ISNUMBER(T264),"Cost captured","Awaiting trade cost")</x:f>
        <x:v>Awaiting trade cost</x:v>
      </x:c>
      <x:c r="AB264" s="36" t="str">
        <x:f>IF(ISNUMBER(Y264),ROUND(Y264*0.9,2),"")</x:f>
      </x:c>
      <x:c r="AC264" s="36" t="str">
        <x:f>IF(ISNUMBER(AB264),ROUND(AB264-(AB264*0.015+0.2)-V264,2),"")</x:f>
      </x:c>
      <x:c r="AD264" s="36" t="str">
        <x:f>IF(ISNUMBER(Y264),ROUND(Y264*0.8,2),"")</x:f>
      </x:c>
      <x:c r="AE264" s="36" t="str">
        <x:f>IF(ISNUMBER(AD264),ROUND(AD264*0.015+0.2,2),"")</x:f>
      </x:c>
      <x:c r="AF264" s="36" t="str">
        <x:f>IF(ISNUMBER(AD264),ROUND(AD264-AE264-V264,2),"")</x:f>
      </x:c>
      <x:c r="AG264" t="str">
        <x:f>IF(NOT(ISNUMBER(T264)),"PENDING",IF(AF264&gt;0,"PASS","FAIL"))</x:f>
        <x:v>PENDING</x:v>
      </x:c>
      <x:c r="AH264" t="str">
        <x:f>IF(NOT(ISNUMBER(T264)),"Needs supplier cost",IF(K264&lt;&gt;"In stock","Supplier unavailable",IF(AG264&lt;&gt;"PASS","BLOCK - GT loss risk","Commercially protected")))</x:f>
        <x:v>Needs supplier cost</x:v>
      </x:c>
      <x:c r="AI264" t="str">
        <x:v>2026-09-10 Active Sports trade capture</x:v>
      </x:c>
      <x:c r="AJ264" t="str">
        <x:v>Management-only economics. Stripe stress test uses 1.5% + £0.20 standard UK online-card fee; pallet/mix-and-match pricing ignored.</x:v>
      </x:c>
    </x:row>
    <x:row r="265">
      <x:c r="A265" t="str">
        <x:v>Active Sports Nutrition</x:v>
      </x:c>
      <x:c r="B265" t="str">
        <x:v>Adapt Nutrition</x:v>
      </x:c>
      <x:c r="C265" t="str">
        <x:v>Createc 1500</x:v>
      </x:c>
      <x:c r="D265" t="str">
        <x:v>Supplements</x:v>
      </x:c>
      <x:c r="E265" t="str">
        <x:v>Creatine Pills</x:v>
      </x:c>
      <x:c r="F265" t="str">
        <x:v>Creatine blend containing Creatine HCL and Creatine MagnaPower.</x:v>
      </x:c>
      <x:c r="G265" t="str">
        <x:v>120 caps</x:v>
      </x:c>
      <x:c r="H265" t="str">
        <x:v>Default</x:v>
      </x:c>
      <x:c r="I265" t="str"/>
      <x:c r="J265" t="str">
        <x:v>Unit</x:v>
      </x:c>
      <x:c r="K265" t="str">
        <x:v>In stock</x:v>
      </x:c>
      <x:c r="L265" t="str">
        <x:v>2026-09-08</x:v>
      </x:c>
      <x:c r="M265" t="str"/>
      <x:c r="N265" t="str"/>
      <x:c r="O265" t="str">
        <x:v>https://www.activesportstrade.co.uk/trade-sports-supplements</x:v>
      </x:c>
      <x:c r="P265" t="str">
        <x:v>Supplier SPECIAL OFFER wording removed.</x:v>
      </x:c>
      <x:c r="Q265" t="str"/>
      <x:c r="R265" t="str"/>
      <x:c r="S265" t="str">
        <x:v>Pending genuine supplier/brand image</x:v>
      </x:c>
      <x:c r="T265" s="54" t="n">
        <x:v>10.99</x:v>
      </x:c>
      <x:c r="U265" s="47" t="n">
        <x:v>0.2</x:v>
      </x:c>
      <x:c r="V265" s="54" t="n">
        <x:f>IF(ISNUMBER(T265),T265*(1+U265),"")</x:f>
        <x:v>13.188</x:v>
      </x:c>
      <x:c r="W265" s="47" t="n">
        <x:v>0.3</x:v>
      </x:c>
      <x:c r="X265" s="54" t="n">
        <x:f>IF(ISNUMBER(V265),V265/(1-W265),"")</x:f>
        <x:v>18.840000000000003</x:v>
      </x:c>
      <x:c r="Y265" s="55" t="n">
        <x:f>IF(ISNUMBER(X265),ROUNDUP(X265,0),"")</x:f>
        <x:v>19</x:v>
      </x:c>
      <x:c r="Z265" t="str">
        <x:v>Source match pending</x:v>
      </x:c>
      <x:c r="AA265" t="str">
        <x:v>screencapture-www-activesportstrade-co-uk-adapt-nutrition-trade-2026-09-09-18_13_58.png / page-001</x:v>
      </x:c>
      <x:c r="AB265" s="36" t="n">
        <x:f>IF(ISNUMBER(Y265),ROUND(Y265*0.9,2),"")</x:f>
        <x:v>17.1</x:v>
      </x:c>
      <x:c r="AC265" s="36" t="n">
        <x:f>IF(ISNUMBER(AB265),ROUND(AB265-(AB265*0.015+0.2)-V265,2),"")</x:f>
        <x:v>3.46</x:v>
      </x:c>
      <x:c r="AD265" s="36" t="n">
        <x:f>IF(ISNUMBER(Y265),ROUND(Y265*0.8,2),"")</x:f>
        <x:v>15.2</x:v>
      </x:c>
      <x:c r="AE265" s="36" t="n">
        <x:f>IF(ISNUMBER(AD265),ROUND(AD265*0.015+0.2,2),"")</x:f>
        <x:v>0.43</x:v>
      </x:c>
      <x:c r="AF265" s="36" t="n">
        <x:f>IF(ISNUMBER(AD265),ROUND(AD265-AE265-V265,2),"")</x:f>
        <x:v>1.58</x:v>
      </x:c>
      <x:c r="AG265" t="str">
        <x:f>IF(NOT(ISNUMBER(T265)),"PENDING",IF(AF265&gt;0,"PASS","FAIL"))</x:f>
        <x:v>PASS</x:v>
      </x:c>
      <x:c r="AH265" t="str">
        <x:f>IF(NOT(ISNUMBER(T265)),"Needs supplier cost",IF(K265&lt;&gt;"In stock","Supplier unavailable",IF(AG265&lt;&gt;"PASS","BLOCK - GT loss risk","Commercially protected")))</x:f>
        <x:v>Commercially protected</x:v>
      </x:c>
      <x:c r="AI265" t="str">
        <x:v>2026-09-10 Active Sports trade capture</x:v>
      </x:c>
      <x:c r="AJ265" t="str">
        <x:v>Management-only economics. Stripe stress test uses 1.5% + £0.20 standard UK online-card fee; pallet/mix-and-match pricing ignored.</x:v>
      </x:c>
    </x:row>
    <x:row r="266">
      <x:c r="A266" t="str">
        <x:v>Active Sports Nutrition</x:v>
      </x:c>
      <x:c r="B266" t="str">
        <x:v>Adapt Nutrition</x:v>
      </x:c>
      <x:c r="C266" t="str">
        <x:v>Intra Amino BCAA &amp; EAA</x:v>
      </x:c>
      <x:c r="D266" t="str">
        <x:v>Supplements</x:v>
      </x:c>
      <x:c r="E266" t="str">
        <x:v>BCAAS</x:v>
      </x:c>
      <x:c r="F266" t="str">
        <x:v>Intra-workout branched-chain and essential amino acid formula.</x:v>
      </x:c>
      <x:c r="G266" t="str">
        <x:v>480g</x:v>
      </x:c>
      <x:c r="H266" t="str">
        <x:v>Green Apple</x:v>
      </x:c>
      <x:c r="I266" t="str"/>
      <x:c r="J266" t="str">
        <x:v>Unit</x:v>
      </x:c>
      <x:c r="K266" t="str">
        <x:v>Out of stock</x:v>
      </x:c>
      <x:c r="L266" t="str">
        <x:v>2026-09-08</x:v>
      </x:c>
      <x:c r="M266" t="str"/>
      <x:c r="N266" t="str"/>
      <x:c r="O266" t="str">
        <x:v>https://www.activesportstrade.co.uk/Amino-Acids</x:v>
      </x:c>
      <x:c r="P266" t="str">
        <x:v>Active Sports pages expose different flavour subsets; retained all exact observed variants with their latest observed states.</x:v>
      </x:c>
      <x:c r="Q266" t="str"/>
      <x:c r="R266" t="str"/>
      <x:c r="S266" t="str">
        <x:v>Pending genuine supplier/brand image</x:v>
      </x:c>
      <x:c r="T266" s="54" t="n">
        <x:v>15.99</x:v>
      </x:c>
      <x:c r="U266" s="47" t="n">
        <x:v>0.2</x:v>
      </x:c>
      <x:c r="V266" s="54" t="n">
        <x:f>IF(ISNUMBER(T266),T266*(1+U266),"")</x:f>
        <x:v>19.188</x:v>
      </x:c>
      <x:c r="W266" s="47" t="n">
        <x:v>0.3</x:v>
      </x:c>
      <x:c r="X266" s="54" t="n">
        <x:f>IF(ISNUMBER(V266),V266/(1-W266),"")</x:f>
        <x:v>27.411428571428573</x:v>
      </x:c>
      <x:c r="Y266" s="55" t="n">
        <x:f>IF(ISNUMBER(X266),ROUNDUP(X266,0),"")</x:f>
        <x:v>28</x:v>
      </x:c>
      <x:c r="Z266" t="str">
        <x:v>Source match pending</x:v>
      </x:c>
      <x:c r="AA266" t="str">
        <x:v>screencapture-www-activesportstrade-co-uk-adapt-nutrition-trade-2026-09-09-18_13_58.png / page-001</x:v>
      </x:c>
      <x:c r="AB266" s="36" t="n">
        <x:f>IF(ISNUMBER(Y266),ROUND(Y266*0.9,2),"")</x:f>
        <x:v>25.2</x:v>
      </x:c>
      <x:c r="AC266" s="36" t="n">
        <x:f>IF(ISNUMBER(AB266),ROUND(AB266-(AB266*0.015+0.2)-V266,2),"")</x:f>
        <x:v>5.43</x:v>
      </x:c>
      <x:c r="AD266" s="36" t="n">
        <x:f>IF(ISNUMBER(Y266),ROUND(Y266*0.8,2),"")</x:f>
        <x:v>22.4</x:v>
      </x:c>
      <x:c r="AE266" s="36" t="n">
        <x:f>IF(ISNUMBER(AD266),ROUND(AD266*0.015+0.2,2),"")</x:f>
        <x:v>0.54</x:v>
      </x:c>
      <x:c r="AF266" s="36" t="n">
        <x:f>IF(ISNUMBER(AD266),ROUND(AD266-AE266-V266,2),"")</x:f>
        <x:v>2.67</x:v>
      </x:c>
      <x:c r="AG266" t="str">
        <x:f>IF(NOT(ISNUMBER(T266)),"PENDING",IF(AF266&gt;0,"PASS","FAIL"))</x:f>
        <x:v>PASS</x:v>
      </x:c>
      <x:c r="AH266" t="str">
        <x:f>IF(NOT(ISNUMBER(T266)),"Needs supplier cost",IF(K266&lt;&gt;"In stock","Supplier unavailable",IF(AG266&lt;&gt;"PASS","BLOCK - GT loss risk","Commercially protected")))</x:f>
        <x:v>Supplier unavailable</x:v>
      </x:c>
      <x:c r="AI266" t="str">
        <x:v>2026-09-10 Active Sports trade capture</x:v>
      </x:c>
      <x:c r="AJ266" t="str">
        <x:v>Management-only economics. Stripe stress test uses 1.5% + £0.20 standard UK online-card fee; pallet/mix-and-match pricing ignored.</x:v>
      </x:c>
    </x:row>
    <x:row r="267">
      <x:c r="A267" t="str">
        <x:v>Active Sports Nutrition</x:v>
      </x:c>
      <x:c r="B267" t="str">
        <x:v>Adapt Nutrition</x:v>
      </x:c>
      <x:c r="C267" t="str">
        <x:v>Intra Amino BCAA &amp; EAA</x:v>
      </x:c>
      <x:c r="D267" t="str">
        <x:v>Supplements</x:v>
      </x:c>
      <x:c r="E267" t="str">
        <x:v>BCAAS</x:v>
      </x:c>
      <x:c r="F267" t="str">
        <x:v>Intra-workout branched-chain and essential amino acid formula.</x:v>
      </x:c>
      <x:c r="G267" t="str">
        <x:v>480g</x:v>
      </x:c>
      <x:c r="H267" t="str">
        <x:v>Pineapple</x:v>
      </x:c>
      <x:c r="I267" t="str"/>
      <x:c r="J267" t="str">
        <x:v>Unit</x:v>
      </x:c>
      <x:c r="K267" t="str">
        <x:v>Out of stock</x:v>
      </x:c>
      <x:c r="L267" t="str">
        <x:v>2026-09-08</x:v>
      </x:c>
      <x:c r="M267" t="str"/>
      <x:c r="N267" t="str"/>
      <x:c r="O267" t="str">
        <x:v>https://www.activesportstrade.co.uk/Amino-Acids</x:v>
      </x:c>
      <x:c r="P267" t="str">
        <x:v>Active Sports pages expose different flavour subsets; retained all exact observed variants with their latest observed states.</x:v>
      </x:c>
      <x:c r="Q267" t="str"/>
      <x:c r="R267" t="str"/>
      <x:c r="S267" t="str">
        <x:v>Pending genuine supplier/brand image</x:v>
      </x:c>
      <x:c r="T267" s="54" t="n">
        <x:v>15.99</x:v>
      </x:c>
      <x:c r="U267" s="47" t="n">
        <x:v>0.2</x:v>
      </x:c>
      <x:c r="V267" s="54" t="n">
        <x:f>IF(ISNUMBER(T267),T267*(1+U267),"")</x:f>
        <x:v>19.188</x:v>
      </x:c>
      <x:c r="W267" s="47" t="n">
        <x:v>0.3</x:v>
      </x:c>
      <x:c r="X267" s="54" t="n">
        <x:f>IF(ISNUMBER(V267),V267/(1-W267),"")</x:f>
        <x:v>27.411428571428573</x:v>
      </x:c>
      <x:c r="Y267" s="55" t="n">
        <x:f>IF(ISNUMBER(X267),ROUNDUP(X267,0),"")</x:f>
        <x:v>28</x:v>
      </x:c>
      <x:c r="Z267" t="str">
        <x:v>Source match pending</x:v>
      </x:c>
      <x:c r="AA267" t="str">
        <x:v>screencapture-www-activesportstrade-co-uk-adapt-nutrition-trade-2026-09-09-18_13_58.png / page-001</x:v>
      </x:c>
      <x:c r="AB267" s="36" t="n">
        <x:f>IF(ISNUMBER(Y267),ROUND(Y267*0.9,2),"")</x:f>
        <x:v>25.2</x:v>
      </x:c>
      <x:c r="AC267" s="36" t="n">
        <x:f>IF(ISNUMBER(AB267),ROUND(AB267-(AB267*0.015+0.2)-V267,2),"")</x:f>
        <x:v>5.43</x:v>
      </x:c>
      <x:c r="AD267" s="36" t="n">
        <x:f>IF(ISNUMBER(Y267),ROUND(Y267*0.8,2),"")</x:f>
        <x:v>22.4</x:v>
      </x:c>
      <x:c r="AE267" s="36" t="n">
        <x:f>IF(ISNUMBER(AD267),ROUND(AD267*0.015+0.2,2),"")</x:f>
        <x:v>0.54</x:v>
      </x:c>
      <x:c r="AF267" s="36" t="n">
        <x:f>IF(ISNUMBER(AD267),ROUND(AD267-AE267-V267,2),"")</x:f>
        <x:v>2.67</x:v>
      </x:c>
      <x:c r="AG267" t="str">
        <x:f>IF(NOT(ISNUMBER(T267)),"PENDING",IF(AF267&gt;0,"PASS","FAIL"))</x:f>
        <x:v>PASS</x:v>
      </x:c>
      <x:c r="AH267" t="str">
        <x:f>IF(NOT(ISNUMBER(T267)),"Needs supplier cost",IF(K267&lt;&gt;"In stock","Supplier unavailable",IF(AG267&lt;&gt;"PASS","BLOCK - GT loss risk","Commercially protected")))</x:f>
        <x:v>Supplier unavailable</x:v>
      </x:c>
      <x:c r="AI267" t="str">
        <x:v>2026-09-10 Active Sports trade capture</x:v>
      </x:c>
      <x:c r="AJ267" t="str">
        <x:v>Management-only economics. Stripe stress test uses 1.5% + £0.20 standard UK online-card fee; pallet/mix-and-match pricing ignored.</x:v>
      </x:c>
    </x:row>
    <x:row r="268">
      <x:c r="A268" t="str">
        <x:v>Active Sports Nutrition</x:v>
      </x:c>
      <x:c r="B268" t="str">
        <x:v>Adapt Nutrition</x:v>
      </x:c>
      <x:c r="C268" t="str">
        <x:v>Intra Amino BCAA &amp; EAA</x:v>
      </x:c>
      <x:c r="D268" t="str">
        <x:v>Supplements</x:v>
      </x:c>
      <x:c r="E268" t="str">
        <x:v>BCAAS</x:v>
      </x:c>
      <x:c r="F268" t="str">
        <x:v>Intra-workout branched-chain and essential amino acid formula.</x:v>
      </x:c>
      <x:c r="G268" t="str">
        <x:v>480g</x:v>
      </x:c>
      <x:c r="H268" t="str">
        <x:v>Knockout Fruit Punch</x:v>
      </x:c>
      <x:c r="I268" t="str"/>
      <x:c r="J268" t="str">
        <x:v>Unit</x:v>
      </x:c>
      <x:c r="K268" t="str">
        <x:v>In stock</x:v>
      </x:c>
      <x:c r="L268" t="str">
        <x:v>2026-09-08</x:v>
      </x:c>
      <x:c r="M268" t="str"/>
      <x:c r="N268" t="str"/>
      <x:c r="O268" t="str">
        <x:v>https://www.activesportstrade.co.uk/Amino-Acids</x:v>
      </x:c>
      <x:c r="P268" t="str">
        <x:v>Active Sports pages expose different flavour subsets; retained all exact observed variants with their latest observed states.</x:v>
      </x:c>
      <x:c r="Q268" t="str"/>
      <x:c r="R268" t="str"/>
      <x:c r="S268" t="str">
        <x:v>Pending genuine supplier/brand image</x:v>
      </x:c>
      <x:c r="T268" s="54" t="n">
        <x:v>15.99</x:v>
      </x:c>
      <x:c r="U268" s="47" t="n">
        <x:v>0.2</x:v>
      </x:c>
      <x:c r="V268" s="54" t="n">
        <x:f>IF(ISNUMBER(T268),T268*(1+U268),"")</x:f>
        <x:v>19.188</x:v>
      </x:c>
      <x:c r="W268" s="47" t="n">
        <x:v>0.3</x:v>
      </x:c>
      <x:c r="X268" s="54" t="n">
        <x:f>IF(ISNUMBER(V268),V268/(1-W268),"")</x:f>
        <x:v>27.411428571428573</x:v>
      </x:c>
      <x:c r="Y268" s="55" t="n">
        <x:f>IF(ISNUMBER(X268),ROUNDUP(X268,0),"")</x:f>
        <x:v>28</x:v>
      </x:c>
      <x:c r="Z268" t="str">
        <x:v>Source match pending</x:v>
      </x:c>
      <x:c r="AA268" t="str">
        <x:v>screencapture-www-activesportstrade-co-uk-adapt-nutrition-trade-2026-09-09-18_13_58.png / page-001</x:v>
      </x:c>
      <x:c r="AB268" s="36" t="n">
        <x:f>IF(ISNUMBER(Y268),ROUND(Y268*0.9,2),"")</x:f>
        <x:v>25.2</x:v>
      </x:c>
      <x:c r="AC268" s="36" t="n">
        <x:f>IF(ISNUMBER(AB268),ROUND(AB268-(AB268*0.015+0.2)-V268,2),"")</x:f>
        <x:v>5.43</x:v>
      </x:c>
      <x:c r="AD268" s="36" t="n">
        <x:f>IF(ISNUMBER(Y268),ROUND(Y268*0.8,2),"")</x:f>
        <x:v>22.4</x:v>
      </x:c>
      <x:c r="AE268" s="36" t="n">
        <x:f>IF(ISNUMBER(AD268),ROUND(AD268*0.015+0.2,2),"")</x:f>
        <x:v>0.54</x:v>
      </x:c>
      <x:c r="AF268" s="36" t="n">
        <x:f>IF(ISNUMBER(AD268),ROUND(AD268-AE268-V268,2),"")</x:f>
        <x:v>2.67</x:v>
      </x:c>
      <x:c r="AG268" t="str">
        <x:f>IF(NOT(ISNUMBER(T268)),"PENDING",IF(AF268&gt;0,"PASS","FAIL"))</x:f>
        <x:v>PASS</x:v>
      </x:c>
      <x:c r="AH268" t="str">
        <x:f>IF(NOT(ISNUMBER(T268)),"Needs supplier cost",IF(K268&lt;&gt;"In stock","Supplier unavailable",IF(AG268&lt;&gt;"PASS","BLOCK - GT loss risk","Commercially protected")))</x:f>
        <x:v>Commercially protected</x:v>
      </x:c>
      <x:c r="AI268" t="str">
        <x:v>2026-09-10 Active Sports trade capture</x:v>
      </x:c>
      <x:c r="AJ268" t="str">
        <x:v>Management-only economics. Stripe stress test uses 1.5% + £0.20 standard UK online-card fee; pallet/mix-and-match pricing ignored.</x:v>
      </x:c>
    </x:row>
    <x:row r="269">
      <x:c r="A269" t="str">
        <x:v>Active Sports Nutrition</x:v>
      </x:c>
      <x:c r="B269" t="str">
        <x:v>Adapt Nutrition</x:v>
      </x:c>
      <x:c r="C269" t="str">
        <x:v>Intra Amino BCAA &amp; EAA</x:v>
      </x:c>
      <x:c r="D269" t="str">
        <x:v>Supplements</x:v>
      </x:c>
      <x:c r="E269" t="str">
        <x:v>BCAAS</x:v>
      </x:c>
      <x:c r="F269" t="str">
        <x:v>Intra-workout branched-chain and essential amino acid formula.</x:v>
      </x:c>
      <x:c r="G269" t="str">
        <x:v>480g</x:v>
      </x:c>
      <x:c r="H269" t="str">
        <x:v>Lemon Lime</x:v>
      </x:c>
      <x:c r="I269" t="str"/>
      <x:c r="J269" t="str">
        <x:v>Unit</x:v>
      </x:c>
      <x:c r="K269" t="str">
        <x:v>In stock</x:v>
      </x:c>
      <x:c r="L269" t="str">
        <x:v>2026-09-08</x:v>
      </x:c>
      <x:c r="M269" t="str"/>
      <x:c r="N269" t="str"/>
      <x:c r="O269" t="str">
        <x:v>https://www.activesportstrade.co.uk/Amino-Acids</x:v>
      </x:c>
      <x:c r="P269" t="str">
        <x:v>Active Sports pages expose different flavour subsets; retained all exact observed variants with their latest observed states.</x:v>
      </x:c>
      <x:c r="Q269" t="str"/>
      <x:c r="R269" t="str"/>
      <x:c r="S269" t="str">
        <x:v>Pending genuine supplier/brand image</x:v>
      </x:c>
      <x:c r="T269" s="54" t="n">
        <x:v>15.99</x:v>
      </x:c>
      <x:c r="U269" s="47" t="n">
        <x:v>0.2</x:v>
      </x:c>
      <x:c r="V269" s="54" t="n">
        <x:f>IF(ISNUMBER(T269),T269*(1+U269),"")</x:f>
        <x:v>19.188</x:v>
      </x:c>
      <x:c r="W269" s="47" t="n">
        <x:v>0.3</x:v>
      </x:c>
      <x:c r="X269" s="54" t="n">
        <x:f>IF(ISNUMBER(V269),V269/(1-W269),"")</x:f>
        <x:v>27.411428571428573</x:v>
      </x:c>
      <x:c r="Y269" s="55" t="n">
        <x:f>IF(ISNUMBER(X269),ROUNDUP(X269,0),"")</x:f>
        <x:v>28</x:v>
      </x:c>
      <x:c r="Z269" t="str">
        <x:v>Source match pending</x:v>
      </x:c>
      <x:c r="AA269" t="str">
        <x:v>screencapture-www-activesportstrade-co-uk-adapt-nutrition-trade-2026-09-09-18_13_58.png / page-001</x:v>
      </x:c>
      <x:c r="AB269" s="36" t="n">
        <x:f>IF(ISNUMBER(Y269),ROUND(Y269*0.9,2),"")</x:f>
        <x:v>25.2</x:v>
      </x:c>
      <x:c r="AC269" s="36" t="n">
        <x:f>IF(ISNUMBER(AB269),ROUND(AB269-(AB269*0.015+0.2)-V269,2),"")</x:f>
        <x:v>5.43</x:v>
      </x:c>
      <x:c r="AD269" s="36" t="n">
        <x:f>IF(ISNUMBER(Y269),ROUND(Y269*0.8,2),"")</x:f>
        <x:v>22.4</x:v>
      </x:c>
      <x:c r="AE269" s="36" t="n">
        <x:f>IF(ISNUMBER(AD269),ROUND(AD269*0.015+0.2,2),"")</x:f>
        <x:v>0.54</x:v>
      </x:c>
      <x:c r="AF269" s="36" t="n">
        <x:f>IF(ISNUMBER(AD269),ROUND(AD269-AE269-V269,2),"")</x:f>
        <x:v>2.67</x:v>
      </x:c>
      <x:c r="AG269" t="str">
        <x:f>IF(NOT(ISNUMBER(T269)),"PENDING",IF(AF269&gt;0,"PASS","FAIL"))</x:f>
        <x:v>PASS</x:v>
      </x:c>
      <x:c r="AH269" t="str">
        <x:f>IF(NOT(ISNUMBER(T269)),"Needs supplier cost",IF(K269&lt;&gt;"In stock","Supplier unavailable",IF(AG269&lt;&gt;"PASS","BLOCK - GT loss risk","Commercially protected")))</x:f>
        <x:v>Commercially protected</x:v>
      </x:c>
      <x:c r="AI269" t="str">
        <x:v>2026-09-10 Active Sports trade capture</x:v>
      </x:c>
      <x:c r="AJ269" t="str">
        <x:v>Management-only economics. Stripe stress test uses 1.5% + £0.20 standard UK online-card fee; pallet/mix-and-match pricing ignored.</x:v>
      </x:c>
    </x:row>
    <x:row r="270">
      <x:c r="A270" t="str">
        <x:v>Active Sports Nutrition</x:v>
      </x:c>
      <x:c r="B270" t="str">
        <x:v>Adapt Nutrition</x:v>
      </x:c>
      <x:c r="C270" t="str">
        <x:v>Intra Amino BCAA &amp; EAA</x:v>
      </x:c>
      <x:c r="D270" t="str">
        <x:v>Supplements</x:v>
      </x:c>
      <x:c r="E270" t="str">
        <x:v>BCAAS</x:v>
      </x:c>
      <x:c r="F270" t="str">
        <x:v>Intra-workout branched-chain and essential amino acid formula.</x:v>
      </x:c>
      <x:c r="G270" t="str">
        <x:v>480g</x:v>
      </x:c>
      <x:c r="H270" t="str">
        <x:v>Strawberry Kiwi</x:v>
      </x:c>
      <x:c r="I270" t="str"/>
      <x:c r="J270" t="str">
        <x:v>Unit</x:v>
      </x:c>
      <x:c r="K270" t="str">
        <x:v>In stock</x:v>
      </x:c>
      <x:c r="L270" t="str">
        <x:v>2026-09-08</x:v>
      </x:c>
      <x:c r="M270" t="str"/>
      <x:c r="N270" t="str"/>
      <x:c r="O270" t="str">
        <x:v>https://www.activesportstrade.co.uk/Amino-Acids</x:v>
      </x:c>
      <x:c r="P270" t="str">
        <x:v>Active Sports pages expose different flavour subsets; retained all exact observed variants with their latest observed states.</x:v>
      </x:c>
      <x:c r="Q270" t="str"/>
      <x:c r="R270" t="str"/>
      <x:c r="S270" t="str">
        <x:v>Pending genuine supplier/brand image</x:v>
      </x:c>
      <x:c r="T270" s="54" t="n">
        <x:v>15.99</x:v>
      </x:c>
      <x:c r="U270" s="47" t="n">
        <x:v>0.2</x:v>
      </x:c>
      <x:c r="V270" s="54" t="n">
        <x:f>IF(ISNUMBER(T270),T270*(1+U270),"")</x:f>
        <x:v>19.188</x:v>
      </x:c>
      <x:c r="W270" s="47" t="n">
        <x:v>0.3</x:v>
      </x:c>
      <x:c r="X270" s="54" t="n">
        <x:f>IF(ISNUMBER(V270),V270/(1-W270),"")</x:f>
        <x:v>27.411428571428573</x:v>
      </x:c>
      <x:c r="Y270" s="55" t="n">
        <x:f>IF(ISNUMBER(X270),ROUNDUP(X270,0),"")</x:f>
        <x:v>28</x:v>
      </x:c>
      <x:c r="Z270" t="str">
        <x:v>Source match pending</x:v>
      </x:c>
      <x:c r="AA270" t="str">
        <x:v>screencapture-www-activesportstrade-co-uk-adapt-nutrition-trade-2026-09-09-18_13_58.png / page-001</x:v>
      </x:c>
      <x:c r="AB270" s="36" t="n">
        <x:f>IF(ISNUMBER(Y270),ROUND(Y270*0.9,2),"")</x:f>
        <x:v>25.2</x:v>
      </x:c>
      <x:c r="AC270" s="36" t="n">
        <x:f>IF(ISNUMBER(AB270),ROUND(AB270-(AB270*0.015+0.2)-V270,2),"")</x:f>
        <x:v>5.43</x:v>
      </x:c>
      <x:c r="AD270" s="36" t="n">
        <x:f>IF(ISNUMBER(Y270),ROUND(Y270*0.8,2),"")</x:f>
        <x:v>22.4</x:v>
      </x:c>
      <x:c r="AE270" s="36" t="n">
        <x:f>IF(ISNUMBER(AD270),ROUND(AD270*0.015+0.2,2),"")</x:f>
        <x:v>0.54</x:v>
      </x:c>
      <x:c r="AF270" s="36" t="n">
        <x:f>IF(ISNUMBER(AD270),ROUND(AD270-AE270-V270,2),"")</x:f>
        <x:v>2.67</x:v>
      </x:c>
      <x:c r="AG270" t="str">
        <x:f>IF(NOT(ISNUMBER(T270)),"PENDING",IF(AF270&gt;0,"PASS","FAIL"))</x:f>
        <x:v>PASS</x:v>
      </x:c>
      <x:c r="AH270" t="str">
        <x:f>IF(NOT(ISNUMBER(T270)),"Needs supplier cost",IF(K270&lt;&gt;"In stock","Supplier unavailable",IF(AG270&lt;&gt;"PASS","BLOCK - GT loss risk","Commercially protected")))</x:f>
        <x:v>Commercially protected</x:v>
      </x:c>
      <x:c r="AI270" t="str">
        <x:v>2026-09-10 Active Sports trade capture</x:v>
      </x:c>
      <x:c r="AJ270" t="str">
        <x:v>Management-only economics. Stripe stress test uses 1.5% + £0.20 standard UK online-card fee; pallet/mix-and-match pricing ignored.</x:v>
      </x:c>
    </x:row>
    <x:row r="271">
      <x:c r="A271" t="str">
        <x:v>Active Sports Nutrition</x:v>
      </x:c>
      <x:c r="B271" t="str">
        <x:v>Adapt Nutrition</x:v>
      </x:c>
      <x:c r="C271" t="str">
        <x:v>Intra Amino BCAA &amp; EAA</x:v>
      </x:c>
      <x:c r="D271" t="str">
        <x:v>Supplements</x:v>
      </x:c>
      <x:c r="E271" t="str">
        <x:v>BCAAS</x:v>
      </x:c>
      <x:c r="F271" t="str">
        <x:v>Intra-workout branched-chain and essential amino acid formula.</x:v>
      </x:c>
      <x:c r="G271" t="str">
        <x:v>480g</x:v>
      </x:c>
      <x:c r="H271" t="str">
        <x:v>Watermelon</x:v>
      </x:c>
      <x:c r="I271" t="str"/>
      <x:c r="J271" t="str">
        <x:v>Unit</x:v>
      </x:c>
      <x:c r="K271" t="str">
        <x:v>In stock</x:v>
      </x:c>
      <x:c r="L271" t="str">
        <x:v>2026-09-08</x:v>
      </x:c>
      <x:c r="M271" t="str"/>
      <x:c r="N271" t="str"/>
      <x:c r="O271" t="str">
        <x:v>https://www.activesportstrade.co.uk/Amino-Acids</x:v>
      </x:c>
      <x:c r="P271" t="str">
        <x:v>Active Sports pages expose different flavour subsets; retained all exact observed variants with their latest observed states.</x:v>
      </x:c>
      <x:c r="Q271" t="str"/>
      <x:c r="R271" t="str"/>
      <x:c r="S271" t="str">
        <x:v>Pending genuine supplier/brand image</x:v>
      </x:c>
      <x:c r="T271" s="54" t="n">
        <x:v>15.99</x:v>
      </x:c>
      <x:c r="U271" s="47" t="n">
        <x:v>0.2</x:v>
      </x:c>
      <x:c r="V271" s="54" t="n">
        <x:f>IF(ISNUMBER(T271),T271*(1+U271),"")</x:f>
        <x:v>19.188</x:v>
      </x:c>
      <x:c r="W271" s="47" t="n">
        <x:v>0.3</x:v>
      </x:c>
      <x:c r="X271" s="54" t="n">
        <x:f>IF(ISNUMBER(V271),V271/(1-W271),"")</x:f>
        <x:v>27.411428571428573</x:v>
      </x:c>
      <x:c r="Y271" s="55" t="n">
        <x:f>IF(ISNUMBER(X271),ROUNDUP(X271,0),"")</x:f>
        <x:v>28</x:v>
      </x:c>
      <x:c r="Z271" t="str">
        <x:v>Source match pending</x:v>
      </x:c>
      <x:c r="AA271" t="str">
        <x:v>screencapture-www-activesportstrade-co-uk-adapt-nutrition-trade-2026-09-09-18_13_58.png / page-001</x:v>
      </x:c>
      <x:c r="AB271" s="36" t="n">
        <x:f>IF(ISNUMBER(Y271),ROUND(Y271*0.9,2),"")</x:f>
        <x:v>25.2</x:v>
      </x:c>
      <x:c r="AC271" s="36" t="n">
        <x:f>IF(ISNUMBER(AB271),ROUND(AB271-(AB271*0.015+0.2)-V271,2),"")</x:f>
        <x:v>5.43</x:v>
      </x:c>
      <x:c r="AD271" s="36" t="n">
        <x:f>IF(ISNUMBER(Y271),ROUND(Y271*0.8,2),"")</x:f>
        <x:v>22.4</x:v>
      </x:c>
      <x:c r="AE271" s="36" t="n">
        <x:f>IF(ISNUMBER(AD271),ROUND(AD271*0.015+0.2,2),"")</x:f>
        <x:v>0.54</x:v>
      </x:c>
      <x:c r="AF271" s="36" t="n">
        <x:f>IF(ISNUMBER(AD271),ROUND(AD271-AE271-V271,2),"")</x:f>
        <x:v>2.67</x:v>
      </x:c>
      <x:c r="AG271" t="str">
        <x:f>IF(NOT(ISNUMBER(T271)),"PENDING",IF(AF271&gt;0,"PASS","FAIL"))</x:f>
        <x:v>PASS</x:v>
      </x:c>
      <x:c r="AH271" t="str">
        <x:f>IF(NOT(ISNUMBER(T271)),"Needs supplier cost",IF(K271&lt;&gt;"In stock","Supplier unavailable",IF(AG271&lt;&gt;"PASS","BLOCK - GT loss risk","Commercially protected")))</x:f>
        <x:v>Commercially protected</x:v>
      </x:c>
      <x:c r="AI271" t="str">
        <x:v>2026-09-10 Active Sports trade capture</x:v>
      </x:c>
      <x:c r="AJ271" t="str">
        <x:v>Management-only economics. Stripe stress test uses 1.5% + £0.20 standard UK online-card fee; pallet/mix-and-match pricing ignored.</x:v>
      </x:c>
    </x:row>
    <x:row r="272">
      <x:c r="A272" t="str">
        <x:v>Active Sports Nutrition</x:v>
      </x:c>
      <x:c r="B272" t="str">
        <x:v>Adapt Nutrition</x:v>
      </x:c>
      <x:c r="C272" t="str">
        <x:v>Pre Train X</x:v>
      </x:c>
      <x:c r="D272" t="str">
        <x:v>Pre Workouts</x:v>
      </x:c>
      <x:c r="E272" t="str">
        <x:v>High Stim</x:v>
      </x:c>
      <x:c r="F272" t="str">
        <x:v>Advanced high-stimulant pre-workout formula.</x:v>
      </x:c>
      <x:c r="G272" t="str">
        <x:v>350g</x:v>
      </x:c>
      <x:c r="H272" t="str">
        <x:v>Iced Raspberry</x:v>
      </x:c>
      <x:c r="I272" t="str"/>
      <x:c r="J272" t="str">
        <x:v>Unit</x:v>
      </x:c>
      <x:c r="K272" t="str">
        <x:v>In stock</x:v>
      </x:c>
      <x:c r="L272" t="str">
        <x:v>2026-09-08</x:v>
      </x:c>
      <x:c r="M272" t="str"/>
      <x:c r="N272" t="str"/>
      <x:c r="O272" t="str">
        <x:v>https://www.activesportstrade.co.uk/trade-pre-workout-supplements</x:v>
      </x:c>
      <x:c r="P272" t="str"/>
      <x:c r="Q272" t="str">
        <x:v>https://www.activesportstrade.co.uk/popups/preview.asp?id=5657</x:v>
      </x:c>
      <x:c r="R272" t="str"/>
      <x:c r="S272" t="str">
        <x:v>Genuine Active Sports preview located</x:v>
      </x:c>
      <x:c r="T272" s="54" t="n">
        <x:v>15.99</x:v>
      </x:c>
      <x:c r="U272" s="47" t="n">
        <x:v>0.2</x:v>
      </x:c>
      <x:c r="V272" s="54" t="n">
        <x:f>IF(ISNUMBER(T272),T272*(1+U272),"")</x:f>
        <x:v>19.188</x:v>
      </x:c>
      <x:c r="W272" s="47" t="n">
        <x:v>0.3</x:v>
      </x:c>
      <x:c r="X272" s="54" t="n">
        <x:f>IF(ISNUMBER(V272),V272/(1-W272),"")</x:f>
        <x:v>27.411428571428573</x:v>
      </x:c>
      <x:c r="Y272" s="55" t="n">
        <x:f>IF(ISNUMBER(X272),ROUNDUP(X272,0),"")</x:f>
        <x:v>28</x:v>
      </x:c>
      <x:c r="Z272" t="str">
        <x:v>Source match pending</x:v>
      </x:c>
      <x:c r="AA272" t="str">
        <x:v>screencapture-www-activesportstrade-co-uk-adapt-nutrition-trade-2026-09-09-18_13_58.png / page-001</x:v>
      </x:c>
      <x:c r="AB272" s="36" t="n">
        <x:f>IF(ISNUMBER(Y272),ROUND(Y272*0.9,2),"")</x:f>
        <x:v>25.2</x:v>
      </x:c>
      <x:c r="AC272" s="36" t="n">
        <x:f>IF(ISNUMBER(AB272),ROUND(AB272-(AB272*0.015+0.2)-V272,2),"")</x:f>
        <x:v>5.43</x:v>
      </x:c>
      <x:c r="AD272" s="36" t="n">
        <x:f>IF(ISNUMBER(Y272),ROUND(Y272*0.8,2),"")</x:f>
        <x:v>22.4</x:v>
      </x:c>
      <x:c r="AE272" s="36" t="n">
        <x:f>IF(ISNUMBER(AD272),ROUND(AD272*0.015+0.2,2),"")</x:f>
        <x:v>0.54</x:v>
      </x:c>
      <x:c r="AF272" s="36" t="n">
        <x:f>IF(ISNUMBER(AD272),ROUND(AD272-AE272-V272,2),"")</x:f>
        <x:v>2.67</x:v>
      </x:c>
      <x:c r="AG272" t="str">
        <x:f>IF(NOT(ISNUMBER(T272)),"PENDING",IF(AF272&gt;0,"PASS","FAIL"))</x:f>
        <x:v>PASS</x:v>
      </x:c>
      <x:c r="AH272" t="str">
        <x:f>IF(NOT(ISNUMBER(T272)),"Needs supplier cost",IF(K272&lt;&gt;"In stock","Supplier unavailable",IF(AG272&lt;&gt;"PASS","BLOCK - GT loss risk","Commercially protected")))</x:f>
        <x:v>Commercially protected</x:v>
      </x:c>
      <x:c r="AI272" t="str">
        <x:v>2026-09-10 Active Sports trade capture</x:v>
      </x:c>
      <x:c r="AJ272" t="str">
        <x:v>Management-only economics. Stripe stress test uses 1.5% + £0.20 standard UK online-card fee; pallet/mix-and-match pricing ignored.</x:v>
      </x:c>
    </x:row>
    <x:row r="273">
      <x:c r="A273" t="str">
        <x:v>Active Sports Nutrition</x:v>
      </x:c>
      <x:c r="B273" t="str">
        <x:v>Adapt Nutrition</x:v>
      </x:c>
      <x:c r="C273" t="str">
        <x:v>Pre Train X</x:v>
      </x:c>
      <x:c r="D273" t="str">
        <x:v>Pre Workouts</x:v>
      </x:c>
      <x:c r="E273" t="str">
        <x:v>High Stim</x:v>
      </x:c>
      <x:c r="F273" t="str">
        <x:v>Advanced high-stimulant pre-workout formula.</x:v>
      </x:c>
      <x:c r="G273" t="str">
        <x:v>350g</x:v>
      </x:c>
      <x:c r="H273" t="str">
        <x:v>Mango Passion</x:v>
      </x:c>
      <x:c r="I273" t="str"/>
      <x:c r="J273" t="str">
        <x:v>Unit</x:v>
      </x:c>
      <x:c r="K273" t="str">
        <x:v>In stock</x:v>
      </x:c>
      <x:c r="L273" t="str">
        <x:v>2026-09-08</x:v>
      </x:c>
      <x:c r="M273" t="str"/>
      <x:c r="N273" t="str"/>
      <x:c r="O273" t="str">
        <x:v>https://www.activesportstrade.co.uk/trade-pre-workout-supplements</x:v>
      </x:c>
      <x:c r="P273" t="str"/>
      <x:c r="Q273" t="str">
        <x:v>https://www.activesportstrade.co.uk/popups/preview.asp?id=5657</x:v>
      </x:c>
      <x:c r="R273" t="str"/>
      <x:c r="S273" t="str">
        <x:v>Genuine Active Sports preview located</x:v>
      </x:c>
      <x:c r="T273" s="54" t="n">
        <x:v>15.99</x:v>
      </x:c>
      <x:c r="U273" s="47" t="n">
        <x:v>0.2</x:v>
      </x:c>
      <x:c r="V273" s="54" t="n">
        <x:f>IF(ISNUMBER(T273),T273*(1+U273),"")</x:f>
        <x:v>19.188</x:v>
      </x:c>
      <x:c r="W273" s="47" t="n">
        <x:v>0.3</x:v>
      </x:c>
      <x:c r="X273" s="54" t="n">
        <x:f>IF(ISNUMBER(V273),V273/(1-W273),"")</x:f>
        <x:v>27.411428571428573</x:v>
      </x:c>
      <x:c r="Y273" s="55" t="n">
        <x:f>IF(ISNUMBER(X273),ROUNDUP(X273,0),"")</x:f>
        <x:v>28</x:v>
      </x:c>
      <x:c r="Z273" t="str">
        <x:v>Source match pending</x:v>
      </x:c>
      <x:c r="AA273" t="str">
        <x:v>screencapture-www-activesportstrade-co-uk-adapt-nutrition-trade-2026-09-09-18_13_58.png / page-001</x:v>
      </x:c>
      <x:c r="AB273" s="36" t="n">
        <x:f>IF(ISNUMBER(Y273),ROUND(Y273*0.9,2),"")</x:f>
        <x:v>25.2</x:v>
      </x:c>
      <x:c r="AC273" s="36" t="n">
        <x:f>IF(ISNUMBER(AB273),ROUND(AB273-(AB273*0.015+0.2)-V273,2),"")</x:f>
        <x:v>5.43</x:v>
      </x:c>
      <x:c r="AD273" s="36" t="n">
        <x:f>IF(ISNUMBER(Y273),ROUND(Y273*0.8,2),"")</x:f>
        <x:v>22.4</x:v>
      </x:c>
      <x:c r="AE273" s="36" t="n">
        <x:f>IF(ISNUMBER(AD273),ROUND(AD273*0.015+0.2,2),"")</x:f>
        <x:v>0.54</x:v>
      </x:c>
      <x:c r="AF273" s="36" t="n">
        <x:f>IF(ISNUMBER(AD273),ROUND(AD273-AE273-V273,2),"")</x:f>
        <x:v>2.67</x:v>
      </x:c>
      <x:c r="AG273" t="str">
        <x:f>IF(NOT(ISNUMBER(T273)),"PENDING",IF(AF273&gt;0,"PASS","FAIL"))</x:f>
        <x:v>PASS</x:v>
      </x:c>
      <x:c r="AH273" t="str">
        <x:f>IF(NOT(ISNUMBER(T273)),"Needs supplier cost",IF(K273&lt;&gt;"In stock","Supplier unavailable",IF(AG273&lt;&gt;"PASS","BLOCK - GT loss risk","Commercially protected")))</x:f>
        <x:v>Commercially protected</x:v>
      </x:c>
      <x:c r="AI273" t="str">
        <x:v>2026-09-10 Active Sports trade capture</x:v>
      </x:c>
      <x:c r="AJ273" t="str">
        <x:v>Management-only economics. Stripe stress test uses 1.5% + £0.20 standard UK online-card fee; pallet/mix-and-match pricing ignored.</x:v>
      </x:c>
    </x:row>
    <x:row r="274">
      <x:c r="A274" t="str">
        <x:v>Active Sports Nutrition</x:v>
      </x:c>
      <x:c r="B274" t="str">
        <x:v>Adapt Nutrition</x:v>
      </x:c>
      <x:c r="C274" t="str">
        <x:v>PUMP</x:v>
      </x:c>
      <x:c r="D274" t="str">
        <x:v>Pre Workouts</x:v>
      </x:c>
      <x:c r="E274" t="str">
        <x:v>Stim FREE</x:v>
      </x:c>
      <x:c r="F274" t="str">
        <x:v>Non-stimulant vasodilation / pump formula.</x:v>
      </x:c>
      <x:c r="G274" t="str">
        <x:v>120 caps</x:v>
      </x:c>
      <x:c r="H274" t="str">
        <x:v>Default</x:v>
      </x:c>
      <x:c r="I274" t="str"/>
      <x:c r="J274" t="str">
        <x:v>Unit</x:v>
      </x:c>
      <x:c r="K274" t="str">
        <x:v>In stock</x:v>
      </x:c>
      <x:c r="L274" t="str">
        <x:v>2026-09-08</x:v>
      </x:c>
      <x:c r="M274" t="str"/>
      <x:c r="N274" t="str"/>
      <x:c r="O274" t="str">
        <x:v>https://www.activesportstrade.co.uk/Trade-special-offers</x:v>
      </x:c>
      <x:c r="P274" t="str">
        <x:v>Supplier SPECIAL OFFER wording removed.</x:v>
      </x:c>
      <x:c r="Q274" t="str"/>
      <x:c r="R274" t="str"/>
      <x:c r="S274" t="str">
        <x:v>Pending genuine supplier/brand image</x:v>
      </x:c>
      <x:c r="T274" s="54" t="n">
        <x:v>10.99</x:v>
      </x:c>
      <x:c r="U274" s="47" t="n">
        <x:v>0.2</x:v>
      </x:c>
      <x:c r="V274" s="54" t="n">
        <x:f>IF(ISNUMBER(T274),T274*(1+U274),"")</x:f>
        <x:v>13.188</x:v>
      </x:c>
      <x:c r="W274" s="47" t="n">
        <x:v>0.3</x:v>
      </x:c>
      <x:c r="X274" s="54" t="n">
        <x:f>IF(ISNUMBER(V274),V274/(1-W274),"")</x:f>
        <x:v>18.840000000000003</x:v>
      </x:c>
      <x:c r="Y274" s="55" t="n">
        <x:f>IF(ISNUMBER(X274),ROUNDUP(X274,0),"")</x:f>
        <x:v>19</x:v>
      </x:c>
      <x:c r="Z274" t="str">
        <x:v>Source match pending</x:v>
      </x:c>
      <x:c r="AA274" t="str">
        <x:v>screencapture-www-activesportstrade-co-uk-adapt-nutrition-trade-2026-09-09-18_13_58.png / page-001</x:v>
      </x:c>
      <x:c r="AB274" s="36" t="n">
        <x:f>IF(ISNUMBER(Y274),ROUND(Y274*0.9,2),"")</x:f>
        <x:v>17.1</x:v>
      </x:c>
      <x:c r="AC274" s="36" t="n">
        <x:f>IF(ISNUMBER(AB274),ROUND(AB274-(AB274*0.015+0.2)-V274,2),"")</x:f>
        <x:v>3.46</x:v>
      </x:c>
      <x:c r="AD274" s="36" t="n">
        <x:f>IF(ISNUMBER(Y274),ROUND(Y274*0.8,2),"")</x:f>
        <x:v>15.2</x:v>
      </x:c>
      <x:c r="AE274" s="36" t="n">
        <x:f>IF(ISNUMBER(AD274),ROUND(AD274*0.015+0.2,2),"")</x:f>
        <x:v>0.43</x:v>
      </x:c>
      <x:c r="AF274" s="36" t="n">
        <x:f>IF(ISNUMBER(AD274),ROUND(AD274-AE274-V274,2),"")</x:f>
        <x:v>1.58</x:v>
      </x:c>
      <x:c r="AG274" t="str">
        <x:f>IF(NOT(ISNUMBER(T274)),"PENDING",IF(AF274&gt;0,"PASS","FAIL"))</x:f>
        <x:v>PASS</x:v>
      </x:c>
      <x:c r="AH274" t="str">
        <x:f>IF(NOT(ISNUMBER(T274)),"Needs supplier cost",IF(K274&lt;&gt;"In stock","Supplier unavailable",IF(AG274&lt;&gt;"PASS","BLOCK - GT loss risk","Commercially protected")))</x:f>
        <x:v>Commercially protected</x:v>
      </x:c>
      <x:c r="AI274" t="str">
        <x:v>2026-09-10 Active Sports trade capture</x:v>
      </x:c>
      <x:c r="AJ274" t="str">
        <x:v>Management-only economics. Stripe stress test uses 1.5% + £0.20 standard UK online-card fee; pallet/mix-and-match pricing ignored.</x:v>
      </x:c>
    </x:row>
    <x:row r="275">
      <x:c r="A275" t="str">
        <x:v>Active Sports Nutrition</x:v>
      </x:c>
      <x:c r="B275" t="str">
        <x:v>Adapt Nutrition</x:v>
      </x:c>
      <x:c r="C275" t="str">
        <x:v>Testo+</x:v>
      </x:c>
      <x:c r="D275" t="str">
        <x:v>Supplements</x:v>
      </x:c>
      <x:c r="E275" t="str">
        <x:v>Testosterone Boosters</x:v>
      </x:c>
      <x:c r="F275" t="str">
        <x:v>Natural formula positioned to support normal testosterone levels and protein synthesis.</x:v>
      </x:c>
      <x:c r="G275" t="str">
        <x:v>120 caps</x:v>
      </x:c>
      <x:c r="H275" t="str">
        <x:v>Default</x:v>
      </x:c>
      <x:c r="I275" t="str"/>
      <x:c r="J275" t="str">
        <x:v>Unit</x:v>
      </x:c>
      <x:c r="K275" t="str">
        <x:v>Out of stock</x:v>
      </x:c>
      <x:c r="L275" t="str">
        <x:v>2026-09-08</x:v>
      </x:c>
      <x:c r="M275" t="str"/>
      <x:c r="N275" t="str"/>
      <x:c r="O275" t="str">
        <x:v>https://www.activesportstrade.co.uk/testosterone-boosters-trade</x:v>
      </x:c>
      <x:c r="P275" t="str">
        <x:v>Supplier SPECIAL OFFER wording removed.</x:v>
      </x:c>
      <x:c r="Q275" t="str"/>
      <x:c r="R275" t="str"/>
      <x:c r="S275" t="str">
        <x:v>Pending genuine supplier/brand image</x:v>
      </x:c>
      <x:c r="T275" s="54" t="n">
        <x:v>13.99</x:v>
      </x:c>
      <x:c r="U275" s="47" t="n">
        <x:v>0.2</x:v>
      </x:c>
      <x:c r="V275" s="54" t="n">
        <x:f>IF(ISNUMBER(T275),T275*(1+U275),"")</x:f>
        <x:v>16.788</x:v>
      </x:c>
      <x:c r="W275" s="47" t="n">
        <x:v>0.3</x:v>
      </x:c>
      <x:c r="X275" s="54" t="n">
        <x:f>IF(ISNUMBER(V275),V275/(1-W275),"")</x:f>
        <x:v>23.982857142857146</x:v>
      </x:c>
      <x:c r="Y275" s="55" t="n">
        <x:f>IF(ISNUMBER(X275),ROUNDUP(X275,0),"")</x:f>
        <x:v>24</x:v>
      </x:c>
      <x:c r="Z275" t="str">
        <x:v>Source match pending</x:v>
      </x:c>
      <x:c r="AA275" t="str">
        <x:v>screencapture-www-activesportstrade-co-uk-adapt-nutrition-trade-2026-09-09-18_13_58.png / page-001</x:v>
      </x:c>
      <x:c r="AB275" s="36" t="n">
        <x:f>IF(ISNUMBER(Y275),ROUND(Y275*0.9,2),"")</x:f>
        <x:v>21.6</x:v>
      </x:c>
      <x:c r="AC275" s="36" t="n">
        <x:f>IF(ISNUMBER(AB275),ROUND(AB275-(AB275*0.015+0.2)-V275,2),"")</x:f>
        <x:v>4.29</x:v>
      </x:c>
      <x:c r="AD275" s="36" t="n">
        <x:f>IF(ISNUMBER(Y275),ROUND(Y275*0.8,2),"")</x:f>
        <x:v>19.2</x:v>
      </x:c>
      <x:c r="AE275" s="36" t="n">
        <x:f>IF(ISNUMBER(AD275),ROUND(AD275*0.015+0.2,2),"")</x:f>
        <x:v>0.49</x:v>
      </x:c>
      <x:c r="AF275" s="36" t="n">
        <x:f>IF(ISNUMBER(AD275),ROUND(AD275-AE275-V275,2),"")</x:f>
        <x:v>1.92</x:v>
      </x:c>
      <x:c r="AG275" t="str">
        <x:f>IF(NOT(ISNUMBER(T275)),"PENDING",IF(AF275&gt;0,"PASS","FAIL"))</x:f>
        <x:v>PASS</x:v>
      </x:c>
      <x:c r="AH275" t="str">
        <x:f>IF(NOT(ISNUMBER(T275)),"Needs supplier cost",IF(K275&lt;&gt;"In stock","Supplier unavailable",IF(AG275&lt;&gt;"PASS","BLOCK - GT loss risk","Commercially protected")))</x:f>
        <x:v>Supplier unavailable</x:v>
      </x:c>
      <x:c r="AI275" t="str">
        <x:v>2026-09-10 Active Sports trade capture</x:v>
      </x:c>
      <x:c r="AJ275" t="str">
        <x:v>Management-only economics. Stripe stress test uses 1.5% + £0.20 standard UK online-card fee; pallet/mix-and-match pricing ignored.</x:v>
      </x:c>
    </x:row>
    <x:row r="276">
      <x:c r="A276" t="str">
        <x:v>Active Sports Nutrition</x:v>
      </x:c>
      <x:c r="B276" t="str">
        <x:v>Advanced Dietics</x:v>
      </x:c>
      <x:c r="C276" t="str">
        <x:v>T6 Incineration</x:v>
      </x:c>
      <x:c r="D276" t="str">
        <x:v>Supplements</x:v>
      </x:c>
      <x:c r="E276" t="str">
        <x:v>Fat Burners</x:v>
      </x:c>
      <x:c r="F276" t="str">
        <x:v>Fat-burner formula positioned to support energy and weight-management goals.</x:v>
      </x:c>
      <x:c r="G276" t="str">
        <x:v>60 caps</x:v>
      </x:c>
      <x:c r="H276" t="str">
        <x:v>Default</x:v>
      </x:c>
      <x:c r="I276" t="str"/>
      <x:c r="J276" t="str">
        <x:v>Unit</x:v>
      </x:c>
      <x:c r="K276" t="str">
        <x:v>In stock</x:v>
      </x:c>
      <x:c r="L276" t="str">
        <x:v>2026-09-08</x:v>
      </x:c>
      <x:c r="M276" t="str"/>
      <x:c r="N276" t="str"/>
      <x:c r="O276" t="str">
        <x:v>https://www.activesportstrade.co.uk/Fat-Burners</x:v>
      </x:c>
      <x:c r="P276" t="str"/>
      <x:c r="Q276" t="str"/>
      <x:c r="R276" t="str"/>
      <x:c r="S276" t="str">
        <x:v>Pending genuine supplier/brand image</x:v>
      </x:c>
      <x:c r="T276" s="54" t="n">
        <x:v>11.99</x:v>
      </x:c>
      <x:c r="U276" s="47" t="n">
        <x:v>0.2</x:v>
      </x:c>
      <x:c r="V276" s="54" t="n">
        <x:f>IF(ISNUMBER(T276),T276*(1+U276),"")</x:f>
        <x:v>14.388</x:v>
      </x:c>
      <x:c r="W276" s="47" t="n">
        <x:v>0.3</x:v>
      </x:c>
      <x:c r="X276" s="54" t="n">
        <x:f>IF(ISNUMBER(V276),V276/(1-W276),"")</x:f>
        <x:v>20.554285714285715</x:v>
      </x:c>
      <x:c r="Y276" s="55" t="n">
        <x:f>IF(ISNUMBER(X276),ROUNDUP(X276,0),"")</x:f>
        <x:v>21</x:v>
      </x:c>
      <x:c r="Z276" t="str">
        <x:v>Source match pending</x:v>
      </x:c>
      <x:c r="AA276" t="str">
        <x:v>screencapture-www-activesportstrade-co-uk-advanced-dietics-t6-2026-09-09-18_14_11.png / page-001</x:v>
      </x:c>
      <x:c r="AB276" s="36" t="n">
        <x:f>IF(ISNUMBER(Y276),ROUND(Y276*0.9,2),"")</x:f>
        <x:v>18.9</x:v>
      </x:c>
      <x:c r="AC276" s="36" t="n">
        <x:f>IF(ISNUMBER(AB276),ROUND(AB276-(AB276*0.015+0.2)-V276,2),"")</x:f>
        <x:v>4.03</x:v>
      </x:c>
      <x:c r="AD276" s="36" t="n">
        <x:f>IF(ISNUMBER(Y276),ROUND(Y276*0.8,2),"")</x:f>
        <x:v>16.8</x:v>
      </x:c>
      <x:c r="AE276" s="36" t="n">
        <x:f>IF(ISNUMBER(AD276),ROUND(AD276*0.015+0.2,2),"")</x:f>
        <x:v>0.45</x:v>
      </x:c>
      <x:c r="AF276" s="36" t="n">
        <x:f>IF(ISNUMBER(AD276),ROUND(AD276-AE276-V276,2),"")</x:f>
        <x:v>1.96</x:v>
      </x:c>
      <x:c r="AG276" t="str">
        <x:f>IF(NOT(ISNUMBER(T276)),"PENDING",IF(AF276&gt;0,"PASS","FAIL"))</x:f>
        <x:v>PASS</x:v>
      </x:c>
      <x:c r="AH276" t="str">
        <x:f>IF(NOT(ISNUMBER(T276)),"Needs supplier cost",IF(K276&lt;&gt;"In stock","Supplier unavailable",IF(AG276&lt;&gt;"PASS","BLOCK - GT loss risk","Commercially protected")))</x:f>
        <x:v>Commercially protected</x:v>
      </x:c>
      <x:c r="AI276" t="str">
        <x:v>2026-09-10 Active Sports trade capture</x:v>
      </x:c>
      <x:c r="AJ276" t="str">
        <x:v>Management-only economics. Stripe stress test uses 1.5% + £0.20 standard UK online-card fee; pallet/mix-and-match pricing ignored.</x:v>
      </x:c>
    </x:row>
    <x:row r="277">
      <x:c r="A277" t="str">
        <x:v>Active Sports Nutrition</x:v>
      </x:c>
      <x:c r="B277" t="str">
        <x:v>Advanced Dietics</x:v>
      </x:c>
      <x:c r="C277" t="str">
        <x:v>T6 Pre Workout Advanced</x:v>
      </x:c>
      <x:c r="D277" t="str">
        <x:v>Pre Workouts</x:v>
      </x:c>
      <x:c r="E277" t="str">
        <x:v>High Stim</x:v>
      </x:c>
      <x:c r="F277" t="str">
        <x:v>Pre-workout formula positioned to support training energy and body-composition goals.</x:v>
      </x:c>
      <x:c r="G277" t="str">
        <x:v>30 servings</x:v>
      </x:c>
      <x:c r="H277" t="str">
        <x:v>Blue Raspberry</x:v>
      </x:c>
      <x:c r="I277" t="str"/>
      <x:c r="J277" t="str">
        <x:v>Unit</x:v>
      </x:c>
      <x:c r="K277" t="str">
        <x:v>Out of stock</x:v>
      </x:c>
      <x:c r="L277" t="str">
        <x:v>2026-09-08</x:v>
      </x:c>
      <x:c r="M277" t="str"/>
      <x:c r="N277" t="str"/>
      <x:c r="O277" t="str">
        <x:v>https://www.activesportstrade.co.uk/trade-pre-workout-supplements</x:v>
      </x:c>
      <x:c r="P277" t="str"/>
      <x:c r="Q277" t="str"/>
      <x:c r="R277" t="str"/>
      <x:c r="S277" t="str">
        <x:v>Pending genuine supplier/brand image</x:v>
      </x:c>
      <x:c r="T277" s="54" t="n">
        <x:v>13.65</x:v>
      </x:c>
      <x:c r="U277" s="47" t="n">
        <x:v>0.2</x:v>
      </x:c>
      <x:c r="V277" s="54" t="n">
        <x:f>IF(ISNUMBER(T277),T277*(1+U277),"")</x:f>
        <x:v>16.38</x:v>
      </x:c>
      <x:c r="W277" s="47" t="n">
        <x:v>0.3</x:v>
      </x:c>
      <x:c r="X277" s="54" t="n">
        <x:f>IF(ISNUMBER(V277),V277/(1-W277),"")</x:f>
        <x:v>23.4</x:v>
      </x:c>
      <x:c r="Y277" s="55" t="n">
        <x:f>IF(ISNUMBER(X277),ROUNDUP(X277,0),"")</x:f>
        <x:v>24</x:v>
      </x:c>
      <x:c r="Z277" t="str">
        <x:v>Source match pending</x:v>
      </x:c>
      <x:c r="AA277" t="str">
        <x:v>screencapture-www-activesportstrade-co-uk-advanced-dietics-t6-2026-09-09-18_14_11.png / page-001</x:v>
      </x:c>
      <x:c r="AB277" s="36" t="n">
        <x:f>IF(ISNUMBER(Y277),ROUND(Y277*0.9,2),"")</x:f>
        <x:v>21.6</x:v>
      </x:c>
      <x:c r="AC277" s="36" t="n">
        <x:f>IF(ISNUMBER(AB277),ROUND(AB277-(AB277*0.015+0.2)-V277,2),"")</x:f>
        <x:v>4.7</x:v>
      </x:c>
      <x:c r="AD277" s="36" t="n">
        <x:f>IF(ISNUMBER(Y277),ROUND(Y277*0.8,2),"")</x:f>
        <x:v>19.2</x:v>
      </x:c>
      <x:c r="AE277" s="36" t="n">
        <x:f>IF(ISNUMBER(AD277),ROUND(AD277*0.015+0.2,2),"")</x:f>
        <x:v>0.49</x:v>
      </x:c>
      <x:c r="AF277" s="36" t="n">
        <x:f>IF(ISNUMBER(AD277),ROUND(AD277-AE277-V277,2),"")</x:f>
        <x:v>2.33</x:v>
      </x:c>
      <x:c r="AG277" t="str">
        <x:f>IF(NOT(ISNUMBER(T277)),"PENDING",IF(AF277&gt;0,"PASS","FAIL"))</x:f>
        <x:v>PASS</x:v>
      </x:c>
      <x:c r="AH277" t="str">
        <x:f>IF(NOT(ISNUMBER(T277)),"Needs supplier cost",IF(K277&lt;&gt;"In stock","Supplier unavailable",IF(AG277&lt;&gt;"PASS","BLOCK - GT loss risk","Commercially protected")))</x:f>
        <x:v>Supplier unavailable</x:v>
      </x:c>
      <x:c r="AI277" t="str">
        <x:v>2026-09-10 Active Sports trade capture</x:v>
      </x:c>
      <x:c r="AJ277" t="str">
        <x:v>Management-only economics. Stripe stress test uses 1.5% + £0.20 standard UK online-card fee; pallet/mix-and-match pricing ignored.</x:v>
      </x:c>
    </x:row>
    <x:row r="278">
      <x:c r="A278" t="str">
        <x:v>Active Sports Nutrition</x:v>
      </x:c>
      <x:c r="B278" t="str">
        <x:v>Alpha Designs</x:v>
      </x:c>
      <x:c r="C278" t="str">
        <x:v>Alpha Bottle Shaker V2</x:v>
      </x:c>
      <x:c r="D278" t="str">
        <x:v>Accessories</x:v>
      </x:c>
      <x:c r="E278" t="str">
        <x:v>Shakers</x:v>
      </x:c>
      <x:c r="F278" t="str">
        <x:v>Reusable shaker bottle focused on practical training use.</x:v>
      </x:c>
      <x:c r="G278" t="str">
        <x:v>750ml</x:v>
      </x:c>
      <x:c r="H278" t="str">
        <x:v>Blue</x:v>
      </x:c>
      <x:c r="I278" t="str"/>
      <x:c r="J278" t="str">
        <x:v>Unit</x:v>
      </x:c>
      <x:c r="K278" t="str">
        <x:v>In stock</x:v>
      </x:c>
      <x:c r="L278" t="str">
        <x:v>2026-09-08</x:v>
      </x:c>
      <x:c r="M278" t="str"/>
      <x:c r="N278" t="str"/>
      <x:c r="O278" t="str">
        <x:v>https://www.activesportstrade.co.uk/Trade-Body-Building-Accessories</x:v>
      </x:c>
      <x:c r="P278" t="str"/>
      <x:c r="Q278" t="str"/>
      <x:c r="R278" t="str"/>
      <x:c r="S278" t="str">
        <x:v>Pending genuine supplier/brand image</x:v>
      </x:c>
      <x:c r="T278" s="54"/>
      <x:c r="U278" s="47" t="n">
        <x:v>0.2</x:v>
      </x:c>
      <x:c r="V278" s="54" t="str">
        <x:f>IF(ISNUMBER(T278),T278*(1+U278),"")</x:f>
      </x:c>
      <x:c r="W278" s="47" t="n">
        <x:v>0.3</x:v>
      </x:c>
      <x:c r="X278" s="54" t="str">
        <x:f>IF(ISNUMBER(V278),V278/(1-W278),"")</x:f>
      </x:c>
      <x:c r="Y278" s="55" t="str">
        <x:f>IF(ISNUMBER(X278),ROUNDUP(X278,0),"")</x:f>
      </x:c>
      <x:c r="Z278" t="str">
        <x:f>IF(ISNUMBER(T278),"Cost captured","Awaiting trade cost")</x:f>
        <x:v>Awaiting trade cost</x:v>
      </x:c>
      <x:c r="AB278" s="36" t="str">
        <x:f>IF(ISNUMBER(Y278),ROUND(Y278*0.9,2),"")</x:f>
      </x:c>
      <x:c r="AC278" s="36" t="str">
        <x:f>IF(ISNUMBER(AB278),ROUND(AB278-(AB278*0.015+0.2)-V278,2),"")</x:f>
      </x:c>
      <x:c r="AD278" s="36" t="str">
        <x:f>IF(ISNUMBER(Y278),ROUND(Y278*0.8,2),"")</x:f>
      </x:c>
      <x:c r="AE278" s="36" t="str">
        <x:f>IF(ISNUMBER(AD278),ROUND(AD278*0.015+0.2,2),"")</x:f>
      </x:c>
      <x:c r="AF278" s="36" t="str">
        <x:f>IF(ISNUMBER(AD278),ROUND(AD278-AE278-V278,2),"")</x:f>
      </x:c>
      <x:c r="AG278" t="str">
        <x:f>IF(NOT(ISNUMBER(T278)),"PENDING",IF(AF278&gt;0,"PASS","FAIL"))</x:f>
        <x:v>PENDING</x:v>
      </x:c>
      <x:c r="AH278" t="str">
        <x:f>IF(NOT(ISNUMBER(T278)),"Needs supplier cost",IF(K278&lt;&gt;"In stock","Supplier unavailable",IF(AG278&lt;&gt;"PASS","BLOCK - GT loss risk","Commercially protected")))</x:f>
        <x:v>Needs supplier cost</x:v>
      </x:c>
      <x:c r="AI278" t="str">
        <x:v>2026-09-10 Active Sports trade capture</x:v>
      </x:c>
      <x:c r="AJ278" t="str">
        <x:v>Management-only economics. Stripe stress test uses 1.5% + £0.20 standard UK online-card fee; pallet/mix-and-match pricing ignored.</x:v>
      </x:c>
    </x:row>
    <x:row r="279">
      <x:c r="A279" t="str">
        <x:v>Active Sports Nutrition</x:v>
      </x:c>
      <x:c r="B279" t="str">
        <x:v>Alpha Designs</x:v>
      </x:c>
      <x:c r="C279" t="str">
        <x:v>Alpha Bottle Shaker V2</x:v>
      </x:c>
      <x:c r="D279" t="str">
        <x:v>Accessories</x:v>
      </x:c>
      <x:c r="E279" t="str">
        <x:v>Shakers</x:v>
      </x:c>
      <x:c r="F279" t="str">
        <x:v>Reusable shaker bottle focused on practical training use.</x:v>
      </x:c>
      <x:c r="G279" t="str">
        <x:v>750ml</x:v>
      </x:c>
      <x:c r="H279" t="str">
        <x:v>Clear</x:v>
      </x:c>
      <x:c r="I279" t="str"/>
      <x:c r="J279" t="str">
        <x:v>Unit</x:v>
      </x:c>
      <x:c r="K279" t="str">
        <x:v>In stock</x:v>
      </x:c>
      <x:c r="L279" t="str">
        <x:v>2026-09-08</x:v>
      </x:c>
      <x:c r="M279" t="str"/>
      <x:c r="N279" t="str"/>
      <x:c r="O279" t="str">
        <x:v>https://www.activesportstrade.co.uk/Trade-Body-Building-Accessories</x:v>
      </x:c>
      <x:c r="P279" t="str"/>
      <x:c r="Q279" t="str"/>
      <x:c r="R279" t="str"/>
      <x:c r="S279" t="str">
        <x:v>Pending genuine supplier/brand image</x:v>
      </x:c>
      <x:c r="T279" s="54"/>
      <x:c r="U279" s="47" t="n">
        <x:v>0.2</x:v>
      </x:c>
      <x:c r="V279" s="54" t="str">
        <x:f>IF(ISNUMBER(T279),T279*(1+U279),"")</x:f>
      </x:c>
      <x:c r="W279" s="47" t="n">
        <x:v>0.3</x:v>
      </x:c>
      <x:c r="X279" s="54" t="str">
        <x:f>IF(ISNUMBER(V279),V279/(1-W279),"")</x:f>
      </x:c>
      <x:c r="Y279" s="55" t="str">
        <x:f>IF(ISNUMBER(X279),ROUNDUP(X279,0),"")</x:f>
      </x:c>
      <x:c r="Z279" t="str">
        <x:f>IF(ISNUMBER(T279),"Cost captured","Awaiting trade cost")</x:f>
        <x:v>Awaiting trade cost</x:v>
      </x:c>
      <x:c r="AB279" s="36" t="str">
        <x:f>IF(ISNUMBER(Y279),ROUND(Y279*0.9,2),"")</x:f>
      </x:c>
      <x:c r="AC279" s="36" t="str">
        <x:f>IF(ISNUMBER(AB279),ROUND(AB279-(AB279*0.015+0.2)-V279,2),"")</x:f>
      </x:c>
      <x:c r="AD279" s="36" t="str">
        <x:f>IF(ISNUMBER(Y279),ROUND(Y279*0.8,2),"")</x:f>
      </x:c>
      <x:c r="AE279" s="36" t="str">
        <x:f>IF(ISNUMBER(AD279),ROUND(AD279*0.015+0.2,2),"")</x:f>
      </x:c>
      <x:c r="AF279" s="36" t="str">
        <x:f>IF(ISNUMBER(AD279),ROUND(AD279-AE279-V279,2),"")</x:f>
      </x:c>
      <x:c r="AG279" t="str">
        <x:f>IF(NOT(ISNUMBER(T279)),"PENDING",IF(AF279&gt;0,"PASS","FAIL"))</x:f>
        <x:v>PENDING</x:v>
      </x:c>
      <x:c r="AH279" t="str">
        <x:f>IF(NOT(ISNUMBER(T279)),"Needs supplier cost",IF(K279&lt;&gt;"In stock","Supplier unavailable",IF(AG279&lt;&gt;"PASS","BLOCK - GT loss risk","Commercially protected")))</x:f>
        <x:v>Needs supplier cost</x:v>
      </x:c>
      <x:c r="AI279" t="str">
        <x:v>2026-09-10 Active Sports trade capture</x:v>
      </x:c>
      <x:c r="AJ279" t="str">
        <x:v>Management-only economics. Stripe stress test uses 1.5% + £0.20 standard UK online-card fee; pallet/mix-and-match pricing ignored.</x:v>
      </x:c>
    </x:row>
    <x:row r="280">
      <x:c r="A280" t="str">
        <x:v>Active Sports Nutrition</x:v>
      </x:c>
      <x:c r="B280" t="str">
        <x:v>Alpha Designs</x:v>
      </x:c>
      <x:c r="C280" t="str">
        <x:v>Alpha Bottle Shaker V2</x:v>
      </x:c>
      <x:c r="D280" t="str">
        <x:v>Accessories</x:v>
      </x:c>
      <x:c r="E280" t="str">
        <x:v>Shakers</x:v>
      </x:c>
      <x:c r="F280" t="str">
        <x:v>Reusable shaker bottle focused on practical training use.</x:v>
      </x:c>
      <x:c r="G280" t="str">
        <x:v>750ml</x:v>
      </x:c>
      <x:c r="H280" t="str">
        <x:v>Green</x:v>
      </x:c>
      <x:c r="I280" t="str"/>
      <x:c r="J280" t="str">
        <x:v>Unit</x:v>
      </x:c>
      <x:c r="K280" t="str">
        <x:v>In stock</x:v>
      </x:c>
      <x:c r="L280" t="str">
        <x:v>2026-09-08</x:v>
      </x:c>
      <x:c r="M280" t="str"/>
      <x:c r="N280" t="str"/>
      <x:c r="O280" t="str">
        <x:v>https://www.activesportstrade.co.uk/Trade-Body-Building-Accessories</x:v>
      </x:c>
      <x:c r="P280" t="str"/>
      <x:c r="Q280" t="str"/>
      <x:c r="R280" t="str"/>
      <x:c r="S280" t="str">
        <x:v>Pending genuine supplier/brand image</x:v>
      </x:c>
      <x:c r="T280" s="54"/>
      <x:c r="U280" s="47" t="n">
        <x:v>0.2</x:v>
      </x:c>
      <x:c r="V280" s="54" t="str">
        <x:f>IF(ISNUMBER(T280),T280*(1+U280),"")</x:f>
      </x:c>
      <x:c r="W280" s="47" t="n">
        <x:v>0.3</x:v>
      </x:c>
      <x:c r="X280" s="54" t="str">
        <x:f>IF(ISNUMBER(V280),V280/(1-W280),"")</x:f>
      </x:c>
      <x:c r="Y280" s="55" t="str">
        <x:f>IF(ISNUMBER(X280),ROUNDUP(X280,0),"")</x:f>
      </x:c>
      <x:c r="Z280" t="str">
        <x:f>IF(ISNUMBER(T280),"Cost captured","Awaiting trade cost")</x:f>
        <x:v>Awaiting trade cost</x:v>
      </x:c>
      <x:c r="AB280" s="36" t="str">
        <x:f>IF(ISNUMBER(Y280),ROUND(Y280*0.9,2),"")</x:f>
      </x:c>
      <x:c r="AC280" s="36" t="str">
        <x:f>IF(ISNUMBER(AB280),ROUND(AB280-(AB280*0.015+0.2)-V280,2),"")</x:f>
      </x:c>
      <x:c r="AD280" s="36" t="str">
        <x:f>IF(ISNUMBER(Y280),ROUND(Y280*0.8,2),"")</x:f>
      </x:c>
      <x:c r="AE280" s="36" t="str">
        <x:f>IF(ISNUMBER(AD280),ROUND(AD280*0.015+0.2,2),"")</x:f>
      </x:c>
      <x:c r="AF280" s="36" t="str">
        <x:f>IF(ISNUMBER(AD280),ROUND(AD280-AE280-V280,2),"")</x:f>
      </x:c>
      <x:c r="AG280" t="str">
        <x:f>IF(NOT(ISNUMBER(T280)),"PENDING",IF(AF280&gt;0,"PASS","FAIL"))</x:f>
        <x:v>PENDING</x:v>
      </x:c>
      <x:c r="AH280" t="str">
        <x:f>IF(NOT(ISNUMBER(T280)),"Needs supplier cost",IF(K280&lt;&gt;"In stock","Supplier unavailable",IF(AG280&lt;&gt;"PASS","BLOCK - GT loss risk","Commercially protected")))</x:f>
        <x:v>Needs supplier cost</x:v>
      </x:c>
      <x:c r="AI280" t="str">
        <x:v>2026-09-10 Active Sports trade capture</x:v>
      </x:c>
      <x:c r="AJ280" t="str">
        <x:v>Management-only economics. Stripe stress test uses 1.5% + £0.20 standard UK online-card fee; pallet/mix-and-match pricing ignored.</x:v>
      </x:c>
    </x:row>
    <x:row r="281">
      <x:c r="A281" t="str">
        <x:v>Active Sports Nutrition</x:v>
      </x:c>
      <x:c r="B281" t="str">
        <x:v>Alpha Designs</x:v>
      </x:c>
      <x:c r="C281" t="str">
        <x:v>Alpha Bottle Shaker V2</x:v>
      </x:c>
      <x:c r="D281" t="str">
        <x:v>Accessories</x:v>
      </x:c>
      <x:c r="E281" t="str">
        <x:v>Shakers</x:v>
      </x:c>
      <x:c r="F281" t="str">
        <x:v>Reusable shaker bottle focused on practical training use.</x:v>
      </x:c>
      <x:c r="G281" t="str">
        <x:v>750ml</x:v>
      </x:c>
      <x:c r="H281" t="str">
        <x:v>Red</x:v>
      </x:c>
      <x:c r="I281" t="str"/>
      <x:c r="J281" t="str">
        <x:v>Unit</x:v>
      </x:c>
      <x:c r="K281" t="str">
        <x:v>In stock</x:v>
      </x:c>
      <x:c r="L281" t="str">
        <x:v>2026-09-08</x:v>
      </x:c>
      <x:c r="M281" t="str"/>
      <x:c r="N281" t="str"/>
      <x:c r="O281" t="str">
        <x:v>https://www.activesportstrade.co.uk/Trade-Body-Building-Accessories</x:v>
      </x:c>
      <x:c r="P281" t="str"/>
      <x:c r="Q281" t="str"/>
      <x:c r="R281" t="str"/>
      <x:c r="S281" t="str">
        <x:v>Pending genuine supplier/brand image</x:v>
      </x:c>
      <x:c r="T281" s="54"/>
      <x:c r="U281" s="47" t="n">
        <x:v>0.2</x:v>
      </x:c>
      <x:c r="V281" s="54" t="str">
        <x:f>IF(ISNUMBER(T281),T281*(1+U281),"")</x:f>
      </x:c>
      <x:c r="W281" s="47" t="n">
        <x:v>0.3</x:v>
      </x:c>
      <x:c r="X281" s="54" t="str">
        <x:f>IF(ISNUMBER(V281),V281/(1-W281),"")</x:f>
      </x:c>
      <x:c r="Y281" s="55" t="str">
        <x:f>IF(ISNUMBER(X281),ROUNDUP(X281,0),"")</x:f>
      </x:c>
      <x:c r="Z281" t="str">
        <x:f>IF(ISNUMBER(T281),"Cost captured","Awaiting trade cost")</x:f>
        <x:v>Awaiting trade cost</x:v>
      </x:c>
      <x:c r="AB281" s="36" t="str">
        <x:f>IF(ISNUMBER(Y281),ROUND(Y281*0.9,2),"")</x:f>
      </x:c>
      <x:c r="AC281" s="36" t="str">
        <x:f>IF(ISNUMBER(AB281),ROUND(AB281-(AB281*0.015+0.2)-V281,2),"")</x:f>
      </x:c>
      <x:c r="AD281" s="36" t="str">
        <x:f>IF(ISNUMBER(Y281),ROUND(Y281*0.8,2),"")</x:f>
      </x:c>
      <x:c r="AE281" s="36" t="str">
        <x:f>IF(ISNUMBER(AD281),ROUND(AD281*0.015+0.2,2),"")</x:f>
      </x:c>
      <x:c r="AF281" s="36" t="str">
        <x:f>IF(ISNUMBER(AD281),ROUND(AD281-AE281-V281,2),"")</x:f>
      </x:c>
      <x:c r="AG281" t="str">
        <x:f>IF(NOT(ISNUMBER(T281)),"PENDING",IF(AF281&gt;0,"PASS","FAIL"))</x:f>
        <x:v>PENDING</x:v>
      </x:c>
      <x:c r="AH281" t="str">
        <x:f>IF(NOT(ISNUMBER(T281)),"Needs supplier cost",IF(K281&lt;&gt;"In stock","Supplier unavailable",IF(AG281&lt;&gt;"PASS","BLOCK - GT loss risk","Commercially protected")))</x:f>
        <x:v>Needs supplier cost</x:v>
      </x:c>
      <x:c r="AI281" t="str">
        <x:v>2026-09-10 Active Sports trade capture</x:v>
      </x:c>
      <x:c r="AJ281" t="str">
        <x:v>Management-only economics. Stripe stress test uses 1.5% + £0.20 standard UK online-card fee; pallet/mix-and-match pricing ignored.</x:v>
      </x:c>
    </x:row>
    <x:row r="282">
      <x:c r="A282" t="str">
        <x:v>Active Sports Nutrition</x:v>
      </x:c>
      <x:c r="B282" t="str">
        <x:v>Alpha Designs</x:v>
      </x:c>
      <x:c r="C282" t="str">
        <x:v>Alpha Bottle Shaker V2</x:v>
      </x:c>
      <x:c r="D282" t="str">
        <x:v>Accessories</x:v>
      </x:c>
      <x:c r="E282" t="str">
        <x:v>Shakers</x:v>
      </x:c>
      <x:c r="F282" t="str">
        <x:v>Reusable shaker bottle focused on practical training use.</x:v>
      </x:c>
      <x:c r="G282" t="str">
        <x:v>750ml</x:v>
      </x:c>
      <x:c r="H282" t="str">
        <x:v>Smoke</x:v>
      </x:c>
      <x:c r="I282" t="str"/>
      <x:c r="J282" t="str">
        <x:v>Unit</x:v>
      </x:c>
      <x:c r="K282" t="str">
        <x:v>In stock</x:v>
      </x:c>
      <x:c r="L282" t="str">
        <x:v>2026-09-08</x:v>
      </x:c>
      <x:c r="M282" t="str"/>
      <x:c r="N282" t="str"/>
      <x:c r="O282" t="str">
        <x:v>https://www.activesportstrade.co.uk/Trade-Body-Building-Accessories</x:v>
      </x:c>
      <x:c r="P282" t="str"/>
      <x:c r="Q282" t="str"/>
      <x:c r="R282" t="str"/>
      <x:c r="S282" t="str">
        <x:v>Pending genuine supplier/brand image</x:v>
      </x:c>
      <x:c r="T282" s="54"/>
      <x:c r="U282" s="47" t="n">
        <x:v>0.2</x:v>
      </x:c>
      <x:c r="V282" s="54" t="str">
        <x:f>IF(ISNUMBER(T282),T282*(1+U282),"")</x:f>
      </x:c>
      <x:c r="W282" s="47" t="n">
        <x:v>0.3</x:v>
      </x:c>
      <x:c r="X282" s="54" t="str">
        <x:f>IF(ISNUMBER(V282),V282/(1-W282),"")</x:f>
      </x:c>
      <x:c r="Y282" s="55" t="str">
        <x:f>IF(ISNUMBER(X282),ROUNDUP(X282,0),"")</x:f>
      </x:c>
      <x:c r="Z282" t="str">
        <x:f>IF(ISNUMBER(T282),"Cost captured","Awaiting trade cost")</x:f>
        <x:v>Awaiting trade cost</x:v>
      </x:c>
      <x:c r="AB282" s="36" t="str">
        <x:f>IF(ISNUMBER(Y282),ROUND(Y282*0.9,2),"")</x:f>
      </x:c>
      <x:c r="AC282" s="36" t="str">
        <x:f>IF(ISNUMBER(AB282),ROUND(AB282-(AB282*0.015+0.2)-V282,2),"")</x:f>
      </x:c>
      <x:c r="AD282" s="36" t="str">
        <x:f>IF(ISNUMBER(Y282),ROUND(Y282*0.8,2),"")</x:f>
      </x:c>
      <x:c r="AE282" s="36" t="str">
        <x:f>IF(ISNUMBER(AD282),ROUND(AD282*0.015+0.2,2),"")</x:f>
      </x:c>
      <x:c r="AF282" s="36" t="str">
        <x:f>IF(ISNUMBER(AD282),ROUND(AD282-AE282-V282,2),"")</x:f>
      </x:c>
      <x:c r="AG282" t="str">
        <x:f>IF(NOT(ISNUMBER(T282)),"PENDING",IF(AF282&gt;0,"PASS","FAIL"))</x:f>
        <x:v>PENDING</x:v>
      </x:c>
      <x:c r="AH282" t="str">
        <x:f>IF(NOT(ISNUMBER(T282)),"Needs supplier cost",IF(K282&lt;&gt;"In stock","Supplier unavailable",IF(AG282&lt;&gt;"PASS","BLOCK - GT loss risk","Commercially protected")))</x:f>
        <x:v>Needs supplier cost</x:v>
      </x:c>
      <x:c r="AI282" t="str">
        <x:v>2026-09-10 Active Sports trade capture</x:v>
      </x:c>
      <x:c r="AJ282" t="str">
        <x:v>Management-only economics. Stripe stress test uses 1.5% + £0.20 standard UK online-card fee; pallet/mix-and-match pricing ignored.</x:v>
      </x:c>
    </x:row>
    <x:row r="283">
      <x:c r="A283" t="str">
        <x:v>Active Sports Nutrition</x:v>
      </x:c>
      <x:c r="B283" t="str">
        <x:v>Alpha Designs</x:v>
      </x:c>
      <x:c r="C283" t="str">
        <x:v>Alpha Bottle Shaker V2</x:v>
      </x:c>
      <x:c r="D283" t="str">
        <x:v>Accessories</x:v>
      </x:c>
      <x:c r="E283" t="str">
        <x:v>Shakers</x:v>
      </x:c>
      <x:c r="F283" t="str">
        <x:v>Reusable shaker bottle focused on practical training use.</x:v>
      </x:c>
      <x:c r="G283" t="str">
        <x:v>1000ml</x:v>
      </x:c>
      <x:c r="H283" t="str">
        <x:v>Blue</x:v>
      </x:c>
      <x:c r="I283" t="str"/>
      <x:c r="J283" t="str">
        <x:v>Unit</x:v>
      </x:c>
      <x:c r="K283" t="str">
        <x:v>In stock</x:v>
      </x:c>
      <x:c r="L283" t="str">
        <x:v>2026-09-08</x:v>
      </x:c>
      <x:c r="M283" t="str"/>
      <x:c r="N283" t="str"/>
      <x:c r="O283" t="str">
        <x:v>https://www.activesportstrade.co.uk/Trade-Body-Building-Accessories</x:v>
      </x:c>
      <x:c r="P283" t="str"/>
      <x:c r="Q283" t="str"/>
      <x:c r="R283" t="str"/>
      <x:c r="S283" t="str">
        <x:v>Pending genuine supplier/brand image</x:v>
      </x:c>
      <x:c r="T283" s="54"/>
      <x:c r="U283" s="47" t="n">
        <x:v>0.2</x:v>
      </x:c>
      <x:c r="V283" s="54" t="str">
        <x:f>IF(ISNUMBER(T283),T283*(1+U283),"")</x:f>
      </x:c>
      <x:c r="W283" s="47" t="n">
        <x:v>0.3</x:v>
      </x:c>
      <x:c r="X283" s="54" t="str">
        <x:f>IF(ISNUMBER(V283),V283/(1-W283),"")</x:f>
      </x:c>
      <x:c r="Y283" s="55" t="str">
        <x:f>IF(ISNUMBER(X283),ROUNDUP(X283,0),"")</x:f>
      </x:c>
      <x:c r="Z283" t="str">
        <x:f>IF(ISNUMBER(T283),"Cost captured","Awaiting trade cost")</x:f>
        <x:v>Awaiting trade cost</x:v>
      </x:c>
      <x:c r="AB283" s="36" t="str">
        <x:f>IF(ISNUMBER(Y283),ROUND(Y283*0.9,2),"")</x:f>
      </x:c>
      <x:c r="AC283" s="36" t="str">
        <x:f>IF(ISNUMBER(AB283),ROUND(AB283-(AB283*0.015+0.2)-V283,2),"")</x:f>
      </x:c>
      <x:c r="AD283" s="36" t="str">
        <x:f>IF(ISNUMBER(Y283),ROUND(Y283*0.8,2),"")</x:f>
      </x:c>
      <x:c r="AE283" s="36" t="str">
        <x:f>IF(ISNUMBER(AD283),ROUND(AD283*0.015+0.2,2),"")</x:f>
      </x:c>
      <x:c r="AF283" s="36" t="str">
        <x:f>IF(ISNUMBER(AD283),ROUND(AD283-AE283-V283,2),"")</x:f>
      </x:c>
      <x:c r="AG283" t="str">
        <x:f>IF(NOT(ISNUMBER(T283)),"PENDING",IF(AF283&gt;0,"PASS","FAIL"))</x:f>
        <x:v>PENDING</x:v>
      </x:c>
      <x:c r="AH283" t="str">
        <x:f>IF(NOT(ISNUMBER(T283)),"Needs supplier cost",IF(K283&lt;&gt;"In stock","Supplier unavailable",IF(AG283&lt;&gt;"PASS","BLOCK - GT loss risk","Commercially protected")))</x:f>
        <x:v>Needs supplier cost</x:v>
      </x:c>
      <x:c r="AI283" t="str">
        <x:v>2026-09-10 Active Sports trade capture</x:v>
      </x:c>
      <x:c r="AJ283" t="str">
        <x:v>Management-only economics. Stripe stress test uses 1.5% + £0.20 standard UK online-card fee; pallet/mix-and-match pricing ignored.</x:v>
      </x:c>
    </x:row>
    <x:row r="284">
      <x:c r="A284" t="str">
        <x:v>Active Sports Nutrition</x:v>
      </x:c>
      <x:c r="B284" t="str">
        <x:v>Alpha Designs</x:v>
      </x:c>
      <x:c r="C284" t="str">
        <x:v>Alpha Bottle Shaker V2</x:v>
      </x:c>
      <x:c r="D284" t="str">
        <x:v>Accessories</x:v>
      </x:c>
      <x:c r="E284" t="str">
        <x:v>Shakers</x:v>
      </x:c>
      <x:c r="F284" t="str">
        <x:v>Reusable shaker bottle focused on practical training use.</x:v>
      </x:c>
      <x:c r="G284" t="str">
        <x:v>1000ml</x:v>
      </x:c>
      <x:c r="H284" t="str">
        <x:v>Clear</x:v>
      </x:c>
      <x:c r="I284" t="str"/>
      <x:c r="J284" t="str">
        <x:v>Unit</x:v>
      </x:c>
      <x:c r="K284" t="str">
        <x:v>In stock</x:v>
      </x:c>
      <x:c r="L284" t="str">
        <x:v>2026-09-08</x:v>
      </x:c>
      <x:c r="M284" t="str"/>
      <x:c r="N284" t="str"/>
      <x:c r="O284" t="str">
        <x:v>https://www.activesportstrade.co.uk/Trade-Body-Building-Accessories</x:v>
      </x:c>
      <x:c r="P284" t="str"/>
      <x:c r="Q284" t="str"/>
      <x:c r="R284" t="str"/>
      <x:c r="S284" t="str">
        <x:v>Pending genuine supplier/brand image</x:v>
      </x:c>
      <x:c r="T284" s="54"/>
      <x:c r="U284" s="47" t="n">
        <x:v>0.2</x:v>
      </x:c>
      <x:c r="V284" s="54" t="str">
        <x:f>IF(ISNUMBER(T284),T284*(1+U284),"")</x:f>
      </x:c>
      <x:c r="W284" s="47" t="n">
        <x:v>0.3</x:v>
      </x:c>
      <x:c r="X284" s="54" t="str">
        <x:f>IF(ISNUMBER(V284),V284/(1-W284),"")</x:f>
      </x:c>
      <x:c r="Y284" s="55" t="str">
        <x:f>IF(ISNUMBER(X284),ROUNDUP(X284,0),"")</x:f>
      </x:c>
      <x:c r="Z284" t="str">
        <x:f>IF(ISNUMBER(T284),"Cost captured","Awaiting trade cost")</x:f>
        <x:v>Awaiting trade cost</x:v>
      </x:c>
      <x:c r="AB284" s="36" t="str">
        <x:f>IF(ISNUMBER(Y284),ROUND(Y284*0.9,2),"")</x:f>
      </x:c>
      <x:c r="AC284" s="36" t="str">
        <x:f>IF(ISNUMBER(AB284),ROUND(AB284-(AB284*0.015+0.2)-V284,2),"")</x:f>
      </x:c>
      <x:c r="AD284" s="36" t="str">
        <x:f>IF(ISNUMBER(Y284),ROUND(Y284*0.8,2),"")</x:f>
      </x:c>
      <x:c r="AE284" s="36" t="str">
        <x:f>IF(ISNUMBER(AD284),ROUND(AD284*0.015+0.2,2),"")</x:f>
      </x:c>
      <x:c r="AF284" s="36" t="str">
        <x:f>IF(ISNUMBER(AD284),ROUND(AD284-AE284-V284,2),"")</x:f>
      </x:c>
      <x:c r="AG284" t="str">
        <x:f>IF(NOT(ISNUMBER(T284)),"PENDING",IF(AF284&gt;0,"PASS","FAIL"))</x:f>
        <x:v>PENDING</x:v>
      </x:c>
      <x:c r="AH284" t="str">
        <x:f>IF(NOT(ISNUMBER(T284)),"Needs supplier cost",IF(K284&lt;&gt;"In stock","Supplier unavailable",IF(AG284&lt;&gt;"PASS","BLOCK - GT loss risk","Commercially protected")))</x:f>
        <x:v>Needs supplier cost</x:v>
      </x:c>
      <x:c r="AI284" t="str">
        <x:v>2026-09-10 Active Sports trade capture</x:v>
      </x:c>
      <x:c r="AJ284" t="str">
        <x:v>Management-only economics. Stripe stress test uses 1.5% + £0.20 standard UK online-card fee; pallet/mix-and-match pricing ignored.</x:v>
      </x:c>
    </x:row>
    <x:row r="285">
      <x:c r="A285" t="str">
        <x:v>Active Sports Nutrition</x:v>
      </x:c>
      <x:c r="B285" t="str">
        <x:v>Alpha Designs</x:v>
      </x:c>
      <x:c r="C285" t="str">
        <x:v>Alpha Bottle Shaker V2</x:v>
      </x:c>
      <x:c r="D285" t="str">
        <x:v>Accessories</x:v>
      </x:c>
      <x:c r="E285" t="str">
        <x:v>Shakers</x:v>
      </x:c>
      <x:c r="F285" t="str">
        <x:v>Reusable shaker bottle focused on practical training use.</x:v>
      </x:c>
      <x:c r="G285" t="str">
        <x:v>1000ml</x:v>
      </x:c>
      <x:c r="H285" t="str">
        <x:v>Green</x:v>
      </x:c>
      <x:c r="I285" t="str"/>
      <x:c r="J285" t="str">
        <x:v>Unit</x:v>
      </x:c>
      <x:c r="K285" t="str">
        <x:v>In stock</x:v>
      </x:c>
      <x:c r="L285" t="str">
        <x:v>2026-09-08</x:v>
      </x:c>
      <x:c r="M285" t="str"/>
      <x:c r="N285" t="str"/>
      <x:c r="O285" t="str">
        <x:v>https://www.activesportstrade.co.uk/Trade-Body-Building-Accessories</x:v>
      </x:c>
      <x:c r="P285" t="str"/>
      <x:c r="Q285" t="str"/>
      <x:c r="R285" t="str"/>
      <x:c r="S285" t="str">
        <x:v>Pending genuine supplier/brand image</x:v>
      </x:c>
      <x:c r="T285" s="54"/>
      <x:c r="U285" s="47" t="n">
        <x:v>0.2</x:v>
      </x:c>
      <x:c r="V285" s="54" t="str">
        <x:f>IF(ISNUMBER(T285),T285*(1+U285),"")</x:f>
      </x:c>
      <x:c r="W285" s="47" t="n">
        <x:v>0.3</x:v>
      </x:c>
      <x:c r="X285" s="54" t="str">
        <x:f>IF(ISNUMBER(V285),V285/(1-W285),"")</x:f>
      </x:c>
      <x:c r="Y285" s="55" t="str">
        <x:f>IF(ISNUMBER(X285),ROUNDUP(X285,0),"")</x:f>
      </x:c>
      <x:c r="Z285" t="str">
        <x:f>IF(ISNUMBER(T285),"Cost captured","Awaiting trade cost")</x:f>
        <x:v>Awaiting trade cost</x:v>
      </x:c>
      <x:c r="AB285" s="36" t="str">
        <x:f>IF(ISNUMBER(Y285),ROUND(Y285*0.9,2),"")</x:f>
      </x:c>
      <x:c r="AC285" s="36" t="str">
        <x:f>IF(ISNUMBER(AB285),ROUND(AB285-(AB285*0.015+0.2)-V285,2),"")</x:f>
      </x:c>
      <x:c r="AD285" s="36" t="str">
        <x:f>IF(ISNUMBER(Y285),ROUND(Y285*0.8,2),"")</x:f>
      </x:c>
      <x:c r="AE285" s="36" t="str">
        <x:f>IF(ISNUMBER(AD285),ROUND(AD285*0.015+0.2,2),"")</x:f>
      </x:c>
      <x:c r="AF285" s="36" t="str">
        <x:f>IF(ISNUMBER(AD285),ROUND(AD285-AE285-V285,2),"")</x:f>
      </x:c>
      <x:c r="AG285" t="str">
        <x:f>IF(NOT(ISNUMBER(T285)),"PENDING",IF(AF285&gt;0,"PASS","FAIL"))</x:f>
        <x:v>PENDING</x:v>
      </x:c>
      <x:c r="AH285" t="str">
        <x:f>IF(NOT(ISNUMBER(T285)),"Needs supplier cost",IF(K285&lt;&gt;"In stock","Supplier unavailable",IF(AG285&lt;&gt;"PASS","BLOCK - GT loss risk","Commercially protected")))</x:f>
        <x:v>Needs supplier cost</x:v>
      </x:c>
      <x:c r="AI285" t="str">
        <x:v>2026-09-10 Active Sports trade capture</x:v>
      </x:c>
      <x:c r="AJ285" t="str">
        <x:v>Management-only economics. Stripe stress test uses 1.5% + £0.20 standard UK online-card fee; pallet/mix-and-match pricing ignored.</x:v>
      </x:c>
    </x:row>
    <x:row r="286">
      <x:c r="A286" t="str">
        <x:v>Active Sports Nutrition</x:v>
      </x:c>
      <x:c r="B286" t="str">
        <x:v>Alpha Designs</x:v>
      </x:c>
      <x:c r="C286" t="str">
        <x:v>Alpha Bottle Shaker V2</x:v>
      </x:c>
      <x:c r="D286" t="str">
        <x:v>Accessories</x:v>
      </x:c>
      <x:c r="E286" t="str">
        <x:v>Shakers</x:v>
      </x:c>
      <x:c r="F286" t="str">
        <x:v>Reusable shaker bottle focused on practical training use.</x:v>
      </x:c>
      <x:c r="G286" t="str">
        <x:v>1000ml</x:v>
      </x:c>
      <x:c r="H286" t="str">
        <x:v>Red</x:v>
      </x:c>
      <x:c r="I286" t="str"/>
      <x:c r="J286" t="str">
        <x:v>Unit</x:v>
      </x:c>
      <x:c r="K286" t="str">
        <x:v>In stock</x:v>
      </x:c>
      <x:c r="L286" t="str">
        <x:v>2026-09-08</x:v>
      </x:c>
      <x:c r="M286" t="str"/>
      <x:c r="N286" t="str"/>
      <x:c r="O286" t="str">
        <x:v>https://www.activesportstrade.co.uk/Trade-Body-Building-Accessories</x:v>
      </x:c>
      <x:c r="P286" t="str"/>
      <x:c r="Q286" t="str"/>
      <x:c r="R286" t="str"/>
      <x:c r="S286" t="str">
        <x:v>Pending genuine supplier/brand image</x:v>
      </x:c>
      <x:c r="T286" s="54"/>
      <x:c r="U286" s="47" t="n">
        <x:v>0.2</x:v>
      </x:c>
      <x:c r="V286" s="54" t="str">
        <x:f>IF(ISNUMBER(T286),T286*(1+U286),"")</x:f>
      </x:c>
      <x:c r="W286" s="47" t="n">
        <x:v>0.3</x:v>
      </x:c>
      <x:c r="X286" s="54" t="str">
        <x:f>IF(ISNUMBER(V286),V286/(1-W286),"")</x:f>
      </x:c>
      <x:c r="Y286" s="55" t="str">
        <x:f>IF(ISNUMBER(X286),ROUNDUP(X286,0),"")</x:f>
      </x:c>
      <x:c r="Z286" t="str">
        <x:f>IF(ISNUMBER(T286),"Cost captured","Awaiting trade cost")</x:f>
        <x:v>Awaiting trade cost</x:v>
      </x:c>
      <x:c r="AB286" s="36" t="str">
        <x:f>IF(ISNUMBER(Y286),ROUND(Y286*0.9,2),"")</x:f>
      </x:c>
      <x:c r="AC286" s="36" t="str">
        <x:f>IF(ISNUMBER(AB286),ROUND(AB286-(AB286*0.015+0.2)-V286,2),"")</x:f>
      </x:c>
      <x:c r="AD286" s="36" t="str">
        <x:f>IF(ISNUMBER(Y286),ROUND(Y286*0.8,2),"")</x:f>
      </x:c>
      <x:c r="AE286" s="36" t="str">
        <x:f>IF(ISNUMBER(AD286),ROUND(AD286*0.015+0.2,2),"")</x:f>
      </x:c>
      <x:c r="AF286" s="36" t="str">
        <x:f>IF(ISNUMBER(AD286),ROUND(AD286-AE286-V286,2),"")</x:f>
      </x:c>
      <x:c r="AG286" t="str">
        <x:f>IF(NOT(ISNUMBER(T286)),"PENDING",IF(AF286&gt;0,"PASS","FAIL"))</x:f>
        <x:v>PENDING</x:v>
      </x:c>
      <x:c r="AH286" t="str">
        <x:f>IF(NOT(ISNUMBER(T286)),"Needs supplier cost",IF(K286&lt;&gt;"In stock","Supplier unavailable",IF(AG286&lt;&gt;"PASS","BLOCK - GT loss risk","Commercially protected")))</x:f>
        <x:v>Needs supplier cost</x:v>
      </x:c>
      <x:c r="AI286" t="str">
        <x:v>2026-09-10 Active Sports trade capture</x:v>
      </x:c>
      <x:c r="AJ286" t="str">
        <x:v>Management-only economics. Stripe stress test uses 1.5% + £0.20 standard UK online-card fee; pallet/mix-and-match pricing ignored.</x:v>
      </x:c>
    </x:row>
    <x:row r="287">
      <x:c r="A287" t="str">
        <x:v>Active Sports Nutrition</x:v>
      </x:c>
      <x:c r="B287" t="str">
        <x:v>Alpha Designs</x:v>
      </x:c>
      <x:c r="C287" t="str">
        <x:v>Alpha Bottle Shaker V2</x:v>
      </x:c>
      <x:c r="D287" t="str">
        <x:v>Accessories</x:v>
      </x:c>
      <x:c r="E287" t="str">
        <x:v>Shakers</x:v>
      </x:c>
      <x:c r="F287" t="str">
        <x:v>Reusable shaker bottle focused on practical training use.</x:v>
      </x:c>
      <x:c r="G287" t="str">
        <x:v>1000ml</x:v>
      </x:c>
      <x:c r="H287" t="str">
        <x:v>Smoke</x:v>
      </x:c>
      <x:c r="I287" t="str"/>
      <x:c r="J287" t="str">
        <x:v>Unit</x:v>
      </x:c>
      <x:c r="K287" t="str">
        <x:v>In stock</x:v>
      </x:c>
      <x:c r="L287" t="str">
        <x:v>2026-09-08</x:v>
      </x:c>
      <x:c r="M287" t="str"/>
      <x:c r="N287" t="str"/>
      <x:c r="O287" t="str">
        <x:v>https://www.activesportstrade.co.uk/Trade-Body-Building-Accessories</x:v>
      </x:c>
      <x:c r="P287" t="str"/>
      <x:c r="Q287" t="str"/>
      <x:c r="R287" t="str"/>
      <x:c r="S287" t="str">
        <x:v>Pending genuine supplier/brand image</x:v>
      </x:c>
      <x:c r="T287" s="54"/>
      <x:c r="U287" s="47" t="n">
        <x:v>0.2</x:v>
      </x:c>
      <x:c r="V287" s="54" t="str">
        <x:f>IF(ISNUMBER(T287),T287*(1+U287),"")</x:f>
      </x:c>
      <x:c r="W287" s="47" t="n">
        <x:v>0.3</x:v>
      </x:c>
      <x:c r="X287" s="54" t="str">
        <x:f>IF(ISNUMBER(V287),V287/(1-W287),"")</x:f>
      </x:c>
      <x:c r="Y287" s="55" t="str">
        <x:f>IF(ISNUMBER(X287),ROUNDUP(X287,0),"")</x:f>
      </x:c>
      <x:c r="Z287" t="str">
        <x:f>IF(ISNUMBER(T287),"Cost captured","Awaiting trade cost")</x:f>
        <x:v>Awaiting trade cost</x:v>
      </x:c>
      <x:c r="AB287" s="36" t="str">
        <x:f>IF(ISNUMBER(Y287),ROUND(Y287*0.9,2),"")</x:f>
      </x:c>
      <x:c r="AC287" s="36" t="str">
        <x:f>IF(ISNUMBER(AB287),ROUND(AB287-(AB287*0.015+0.2)-V287,2),"")</x:f>
      </x:c>
      <x:c r="AD287" s="36" t="str">
        <x:f>IF(ISNUMBER(Y287),ROUND(Y287*0.8,2),"")</x:f>
      </x:c>
      <x:c r="AE287" s="36" t="str">
        <x:f>IF(ISNUMBER(AD287),ROUND(AD287*0.015+0.2,2),"")</x:f>
      </x:c>
      <x:c r="AF287" s="36" t="str">
        <x:f>IF(ISNUMBER(AD287),ROUND(AD287-AE287-V287,2),"")</x:f>
      </x:c>
      <x:c r="AG287" t="str">
        <x:f>IF(NOT(ISNUMBER(T287)),"PENDING",IF(AF287&gt;0,"PASS","FAIL"))</x:f>
        <x:v>PENDING</x:v>
      </x:c>
      <x:c r="AH287" t="str">
        <x:f>IF(NOT(ISNUMBER(T287)),"Needs supplier cost",IF(K287&lt;&gt;"In stock","Supplier unavailable",IF(AG287&lt;&gt;"PASS","BLOCK - GT loss risk","Commercially protected")))</x:f>
        <x:v>Needs supplier cost</x:v>
      </x:c>
      <x:c r="AI287" t="str">
        <x:v>2026-09-10 Active Sports trade capture</x:v>
      </x:c>
      <x:c r="AJ287" t="str">
        <x:v>Management-only economics. Stripe stress test uses 1.5% + £0.20 standard UK online-card fee; pallet/mix-and-match pricing ignored.</x:v>
      </x:c>
    </x:row>
    <x:row r="288">
      <x:c r="A288" t="str">
        <x:v>Active Sports Nutrition</x:v>
      </x:c>
      <x:c r="B288" t="str">
        <x:v>Alpha Designs</x:v>
      </x:c>
      <x:c r="C288" t="str">
        <x:v>Alpha Bottle XL Jug</x:v>
      </x:c>
      <x:c r="D288" t="str">
        <x:v>Accessories</x:v>
      </x:c>
      <x:c r="E288" t="str">
        <x:v>Shakers</x:v>
      </x:c>
      <x:c r="F288" t="str">
        <x:v>Large reusable water jug.</x:v>
      </x:c>
      <x:c r="G288" t="str">
        <x:v>1600ml</x:v>
      </x:c>
      <x:c r="H288" t="str">
        <x:v>Blue</x:v>
      </x:c>
      <x:c r="I288" t="str"/>
      <x:c r="J288" t="str">
        <x:v>Unit</x:v>
      </x:c>
      <x:c r="K288" t="str">
        <x:v>In stock</x:v>
      </x:c>
      <x:c r="L288" t="str">
        <x:v>2026-09-08</x:v>
      </x:c>
      <x:c r="M288" t="str"/>
      <x:c r="N288" t="str"/>
      <x:c r="O288" t="str">
        <x:v>https://www.activesportstrade.co.uk/Trade-Body-Building-Accessories</x:v>
      </x:c>
      <x:c r="P288" t="str"/>
      <x:c r="Q288" t="str"/>
      <x:c r="R288" t="str"/>
      <x:c r="S288" t="str">
        <x:v>Pending genuine supplier/brand image</x:v>
      </x:c>
      <x:c r="T288" s="54"/>
      <x:c r="U288" s="47" t="n">
        <x:v>0.2</x:v>
      </x:c>
      <x:c r="V288" s="54" t="str">
        <x:f>IF(ISNUMBER(T288),T288*(1+U288),"")</x:f>
      </x:c>
      <x:c r="W288" s="47" t="n">
        <x:v>0.3</x:v>
      </x:c>
      <x:c r="X288" s="54" t="str">
        <x:f>IF(ISNUMBER(V288),V288/(1-W288),"")</x:f>
      </x:c>
      <x:c r="Y288" s="55" t="str">
        <x:f>IF(ISNUMBER(X288),ROUNDUP(X288,0),"")</x:f>
      </x:c>
      <x:c r="Z288" t="str">
        <x:f>IF(ISNUMBER(T288),"Cost captured","Awaiting trade cost")</x:f>
        <x:v>Awaiting trade cost</x:v>
      </x:c>
      <x:c r="AB288" s="36" t="str">
        <x:f>IF(ISNUMBER(Y288),ROUND(Y288*0.9,2),"")</x:f>
      </x:c>
      <x:c r="AC288" s="36" t="str">
        <x:f>IF(ISNUMBER(AB288),ROUND(AB288-(AB288*0.015+0.2)-V288,2),"")</x:f>
      </x:c>
      <x:c r="AD288" s="36" t="str">
        <x:f>IF(ISNUMBER(Y288),ROUND(Y288*0.8,2),"")</x:f>
      </x:c>
      <x:c r="AE288" s="36" t="str">
        <x:f>IF(ISNUMBER(AD288),ROUND(AD288*0.015+0.2,2),"")</x:f>
      </x:c>
      <x:c r="AF288" s="36" t="str">
        <x:f>IF(ISNUMBER(AD288),ROUND(AD288-AE288-V288,2),"")</x:f>
      </x:c>
      <x:c r="AG288" t="str">
        <x:f>IF(NOT(ISNUMBER(T288)),"PENDING",IF(AF288&gt;0,"PASS","FAIL"))</x:f>
        <x:v>PENDING</x:v>
      </x:c>
      <x:c r="AH288" t="str">
        <x:f>IF(NOT(ISNUMBER(T288)),"Needs supplier cost",IF(K288&lt;&gt;"In stock","Supplier unavailable",IF(AG288&lt;&gt;"PASS","BLOCK - GT loss risk","Commercially protected")))</x:f>
        <x:v>Needs supplier cost</x:v>
      </x:c>
      <x:c r="AI288" t="str">
        <x:v>2026-09-10 Active Sports trade capture</x:v>
      </x:c>
      <x:c r="AJ288" t="str">
        <x:v>Management-only economics. Stripe stress test uses 1.5% + £0.20 standard UK online-card fee; pallet/mix-and-match pricing ignored.</x:v>
      </x:c>
    </x:row>
    <x:row r="289">
      <x:c r="A289" t="str">
        <x:v>Active Sports Nutrition</x:v>
      </x:c>
      <x:c r="B289" t="str">
        <x:v>Alpha Designs</x:v>
      </x:c>
      <x:c r="C289" t="str">
        <x:v>Alpha Bottle XL Jug</x:v>
      </x:c>
      <x:c r="D289" t="str">
        <x:v>Accessories</x:v>
      </x:c>
      <x:c r="E289" t="str">
        <x:v>Shakers</x:v>
      </x:c>
      <x:c r="F289" t="str">
        <x:v>Large reusable water jug.</x:v>
      </x:c>
      <x:c r="G289" t="str">
        <x:v>1600ml</x:v>
      </x:c>
      <x:c r="H289" t="str">
        <x:v>Clear</x:v>
      </x:c>
      <x:c r="I289" t="str"/>
      <x:c r="J289" t="str">
        <x:v>Unit</x:v>
      </x:c>
      <x:c r="K289" t="str">
        <x:v>In stock</x:v>
      </x:c>
      <x:c r="L289" t="str">
        <x:v>2026-09-08</x:v>
      </x:c>
      <x:c r="M289" t="str"/>
      <x:c r="N289" t="str"/>
      <x:c r="O289" t="str">
        <x:v>https://www.activesportstrade.co.uk/Trade-Body-Building-Accessories</x:v>
      </x:c>
      <x:c r="P289" t="str"/>
      <x:c r="Q289" t="str"/>
      <x:c r="R289" t="str"/>
      <x:c r="S289" t="str">
        <x:v>Pending genuine supplier/brand image</x:v>
      </x:c>
      <x:c r="T289" s="54"/>
      <x:c r="U289" s="47" t="n">
        <x:v>0.2</x:v>
      </x:c>
      <x:c r="V289" s="54" t="str">
        <x:f>IF(ISNUMBER(T289),T289*(1+U289),"")</x:f>
      </x:c>
      <x:c r="W289" s="47" t="n">
        <x:v>0.3</x:v>
      </x:c>
      <x:c r="X289" s="54" t="str">
        <x:f>IF(ISNUMBER(V289),V289/(1-W289),"")</x:f>
      </x:c>
      <x:c r="Y289" s="55" t="str">
        <x:f>IF(ISNUMBER(X289),ROUNDUP(X289,0),"")</x:f>
      </x:c>
      <x:c r="Z289" t="str">
        <x:f>IF(ISNUMBER(T289),"Cost captured","Awaiting trade cost")</x:f>
        <x:v>Awaiting trade cost</x:v>
      </x:c>
      <x:c r="AB289" s="36" t="str">
        <x:f>IF(ISNUMBER(Y289),ROUND(Y289*0.9,2),"")</x:f>
      </x:c>
      <x:c r="AC289" s="36" t="str">
        <x:f>IF(ISNUMBER(AB289),ROUND(AB289-(AB289*0.015+0.2)-V289,2),"")</x:f>
      </x:c>
      <x:c r="AD289" s="36" t="str">
        <x:f>IF(ISNUMBER(Y289),ROUND(Y289*0.8,2),"")</x:f>
      </x:c>
      <x:c r="AE289" s="36" t="str">
        <x:f>IF(ISNUMBER(AD289),ROUND(AD289*0.015+0.2,2),"")</x:f>
      </x:c>
      <x:c r="AF289" s="36" t="str">
        <x:f>IF(ISNUMBER(AD289),ROUND(AD289-AE289-V289,2),"")</x:f>
      </x:c>
      <x:c r="AG289" t="str">
        <x:f>IF(NOT(ISNUMBER(T289)),"PENDING",IF(AF289&gt;0,"PASS","FAIL"))</x:f>
        <x:v>PENDING</x:v>
      </x:c>
      <x:c r="AH289" t="str">
        <x:f>IF(NOT(ISNUMBER(T289)),"Needs supplier cost",IF(K289&lt;&gt;"In stock","Supplier unavailable",IF(AG289&lt;&gt;"PASS","BLOCK - GT loss risk","Commercially protected")))</x:f>
        <x:v>Needs supplier cost</x:v>
      </x:c>
      <x:c r="AI289" t="str">
        <x:v>2026-09-10 Active Sports trade capture</x:v>
      </x:c>
      <x:c r="AJ289" t="str">
        <x:v>Management-only economics. Stripe stress test uses 1.5% + £0.20 standard UK online-card fee; pallet/mix-and-match pricing ignored.</x:v>
      </x:c>
    </x:row>
    <x:row r="290">
      <x:c r="A290" t="str">
        <x:v>Active Sports Nutrition</x:v>
      </x:c>
      <x:c r="B290" t="str">
        <x:v>Alpha Designs</x:v>
      </x:c>
      <x:c r="C290" t="str">
        <x:v>Alpha Bottle XL Jug</x:v>
      </x:c>
      <x:c r="D290" t="str">
        <x:v>Accessories</x:v>
      </x:c>
      <x:c r="E290" t="str">
        <x:v>Shakers</x:v>
      </x:c>
      <x:c r="F290" t="str">
        <x:v>Large reusable water jug.</x:v>
      </x:c>
      <x:c r="G290" t="str">
        <x:v>1600ml</x:v>
      </x:c>
      <x:c r="H290" t="str">
        <x:v>Green</x:v>
      </x:c>
      <x:c r="I290" t="str"/>
      <x:c r="J290" t="str">
        <x:v>Unit</x:v>
      </x:c>
      <x:c r="K290" t="str">
        <x:v>In stock</x:v>
      </x:c>
      <x:c r="L290" t="str">
        <x:v>2026-09-08</x:v>
      </x:c>
      <x:c r="M290" t="str"/>
      <x:c r="N290" t="str"/>
      <x:c r="O290" t="str">
        <x:v>https://www.activesportstrade.co.uk/Trade-Body-Building-Accessories</x:v>
      </x:c>
      <x:c r="P290" t="str"/>
      <x:c r="Q290" t="str"/>
      <x:c r="R290" t="str"/>
      <x:c r="S290" t="str">
        <x:v>Pending genuine supplier/brand image</x:v>
      </x:c>
      <x:c r="T290" s="54"/>
      <x:c r="U290" s="47" t="n">
        <x:v>0.2</x:v>
      </x:c>
      <x:c r="V290" s="54" t="str">
        <x:f>IF(ISNUMBER(T290),T290*(1+U290),"")</x:f>
      </x:c>
      <x:c r="W290" s="47" t="n">
        <x:v>0.3</x:v>
      </x:c>
      <x:c r="X290" s="54" t="str">
        <x:f>IF(ISNUMBER(V290),V290/(1-W290),"")</x:f>
      </x:c>
      <x:c r="Y290" s="55" t="str">
        <x:f>IF(ISNUMBER(X290),ROUNDUP(X290,0),"")</x:f>
      </x:c>
      <x:c r="Z290" t="str">
        <x:f>IF(ISNUMBER(T290),"Cost captured","Awaiting trade cost")</x:f>
        <x:v>Awaiting trade cost</x:v>
      </x:c>
      <x:c r="AB290" s="36" t="str">
        <x:f>IF(ISNUMBER(Y290),ROUND(Y290*0.9,2),"")</x:f>
      </x:c>
      <x:c r="AC290" s="36" t="str">
        <x:f>IF(ISNUMBER(AB290),ROUND(AB290-(AB290*0.015+0.2)-V290,2),"")</x:f>
      </x:c>
      <x:c r="AD290" s="36" t="str">
        <x:f>IF(ISNUMBER(Y290),ROUND(Y290*0.8,2),"")</x:f>
      </x:c>
      <x:c r="AE290" s="36" t="str">
        <x:f>IF(ISNUMBER(AD290),ROUND(AD290*0.015+0.2,2),"")</x:f>
      </x:c>
      <x:c r="AF290" s="36" t="str">
        <x:f>IF(ISNUMBER(AD290),ROUND(AD290-AE290-V290,2),"")</x:f>
      </x:c>
      <x:c r="AG290" t="str">
        <x:f>IF(NOT(ISNUMBER(T290)),"PENDING",IF(AF290&gt;0,"PASS","FAIL"))</x:f>
        <x:v>PENDING</x:v>
      </x:c>
      <x:c r="AH290" t="str">
        <x:f>IF(NOT(ISNUMBER(T290)),"Needs supplier cost",IF(K290&lt;&gt;"In stock","Supplier unavailable",IF(AG290&lt;&gt;"PASS","BLOCK - GT loss risk","Commercially protected")))</x:f>
        <x:v>Needs supplier cost</x:v>
      </x:c>
      <x:c r="AI290" t="str">
        <x:v>2026-09-10 Active Sports trade capture</x:v>
      </x:c>
      <x:c r="AJ290" t="str">
        <x:v>Management-only economics. Stripe stress test uses 1.5% + £0.20 standard UK online-card fee; pallet/mix-and-match pricing ignored.</x:v>
      </x:c>
    </x:row>
    <x:row r="291">
      <x:c r="A291" t="str">
        <x:v>Active Sports Nutrition</x:v>
      </x:c>
      <x:c r="B291" t="str">
        <x:v>Alpha Designs</x:v>
      </x:c>
      <x:c r="C291" t="str">
        <x:v>Alpha Bottle XL Jug</x:v>
      </x:c>
      <x:c r="D291" t="str">
        <x:v>Accessories</x:v>
      </x:c>
      <x:c r="E291" t="str">
        <x:v>Shakers</x:v>
      </x:c>
      <x:c r="F291" t="str">
        <x:v>Large reusable water jug.</x:v>
      </x:c>
      <x:c r="G291" t="str">
        <x:v>1600ml</x:v>
      </x:c>
      <x:c r="H291" t="str">
        <x:v>Red</x:v>
      </x:c>
      <x:c r="I291" t="str"/>
      <x:c r="J291" t="str">
        <x:v>Unit</x:v>
      </x:c>
      <x:c r="K291" t="str">
        <x:v>In stock</x:v>
      </x:c>
      <x:c r="L291" t="str">
        <x:v>2026-09-08</x:v>
      </x:c>
      <x:c r="M291" t="str"/>
      <x:c r="N291" t="str"/>
      <x:c r="O291" t="str">
        <x:v>https://www.activesportstrade.co.uk/Trade-Body-Building-Accessories</x:v>
      </x:c>
      <x:c r="P291" t="str"/>
      <x:c r="Q291" t="str"/>
      <x:c r="R291" t="str"/>
      <x:c r="S291" t="str">
        <x:v>Pending genuine supplier/brand image</x:v>
      </x:c>
      <x:c r="T291" s="54"/>
      <x:c r="U291" s="47" t="n">
        <x:v>0.2</x:v>
      </x:c>
      <x:c r="V291" s="54" t="str">
        <x:f>IF(ISNUMBER(T291),T291*(1+U291),"")</x:f>
      </x:c>
      <x:c r="W291" s="47" t="n">
        <x:v>0.3</x:v>
      </x:c>
      <x:c r="X291" s="54" t="str">
        <x:f>IF(ISNUMBER(V291),V291/(1-W291),"")</x:f>
      </x:c>
      <x:c r="Y291" s="55" t="str">
        <x:f>IF(ISNUMBER(X291),ROUNDUP(X291,0),"")</x:f>
      </x:c>
      <x:c r="Z291" t="str">
        <x:f>IF(ISNUMBER(T291),"Cost captured","Awaiting trade cost")</x:f>
        <x:v>Awaiting trade cost</x:v>
      </x:c>
      <x:c r="AB291" s="36" t="str">
        <x:f>IF(ISNUMBER(Y291),ROUND(Y291*0.9,2),"")</x:f>
      </x:c>
      <x:c r="AC291" s="36" t="str">
        <x:f>IF(ISNUMBER(AB291),ROUND(AB291-(AB291*0.015+0.2)-V291,2),"")</x:f>
      </x:c>
      <x:c r="AD291" s="36" t="str">
        <x:f>IF(ISNUMBER(Y291),ROUND(Y291*0.8,2),"")</x:f>
      </x:c>
      <x:c r="AE291" s="36" t="str">
        <x:f>IF(ISNUMBER(AD291),ROUND(AD291*0.015+0.2,2),"")</x:f>
      </x:c>
      <x:c r="AF291" s="36" t="str">
        <x:f>IF(ISNUMBER(AD291),ROUND(AD291-AE291-V291,2),"")</x:f>
      </x:c>
      <x:c r="AG291" t="str">
        <x:f>IF(NOT(ISNUMBER(T291)),"PENDING",IF(AF291&gt;0,"PASS","FAIL"))</x:f>
        <x:v>PENDING</x:v>
      </x:c>
      <x:c r="AH291" t="str">
        <x:f>IF(NOT(ISNUMBER(T291)),"Needs supplier cost",IF(K291&lt;&gt;"In stock","Supplier unavailable",IF(AG291&lt;&gt;"PASS","BLOCK - GT loss risk","Commercially protected")))</x:f>
        <x:v>Needs supplier cost</x:v>
      </x:c>
      <x:c r="AI291" t="str">
        <x:v>2026-09-10 Active Sports trade capture</x:v>
      </x:c>
      <x:c r="AJ291" t="str">
        <x:v>Management-only economics. Stripe stress test uses 1.5% + £0.20 standard UK online-card fee; pallet/mix-and-match pricing ignored.</x:v>
      </x:c>
    </x:row>
    <x:row r="292">
      <x:c r="A292" t="str">
        <x:v>Active Sports Nutrition</x:v>
      </x:c>
      <x:c r="B292" t="str">
        <x:v>Alpha Designs</x:v>
      </x:c>
      <x:c r="C292" t="str">
        <x:v>Alpha Bottle XL Jug</x:v>
      </x:c>
      <x:c r="D292" t="str">
        <x:v>Accessories</x:v>
      </x:c>
      <x:c r="E292" t="str">
        <x:v>Shakers</x:v>
      </x:c>
      <x:c r="F292" t="str">
        <x:v>Large reusable water jug.</x:v>
      </x:c>
      <x:c r="G292" t="str">
        <x:v>1600ml</x:v>
      </x:c>
      <x:c r="H292" t="str">
        <x:v>Smoke</x:v>
      </x:c>
      <x:c r="I292" t="str"/>
      <x:c r="J292" t="str">
        <x:v>Unit</x:v>
      </x:c>
      <x:c r="K292" t="str">
        <x:v>In stock</x:v>
      </x:c>
      <x:c r="L292" t="str">
        <x:v>2026-09-08</x:v>
      </x:c>
      <x:c r="M292" t="str"/>
      <x:c r="N292" t="str"/>
      <x:c r="O292" t="str">
        <x:v>https://www.activesportstrade.co.uk/Trade-Body-Building-Accessories</x:v>
      </x:c>
      <x:c r="P292" t="str"/>
      <x:c r="Q292" t="str"/>
      <x:c r="R292" t="str"/>
      <x:c r="S292" t="str">
        <x:v>Pending genuine supplier/brand image</x:v>
      </x:c>
      <x:c r="T292" s="54"/>
      <x:c r="U292" s="47" t="n">
        <x:v>0.2</x:v>
      </x:c>
      <x:c r="V292" s="54" t="str">
        <x:f>IF(ISNUMBER(T292),T292*(1+U292),"")</x:f>
      </x:c>
      <x:c r="W292" s="47" t="n">
        <x:v>0.3</x:v>
      </x:c>
      <x:c r="X292" s="54" t="str">
        <x:f>IF(ISNUMBER(V292),V292/(1-W292),"")</x:f>
      </x:c>
      <x:c r="Y292" s="55" t="str">
        <x:f>IF(ISNUMBER(X292),ROUNDUP(X292,0),"")</x:f>
      </x:c>
      <x:c r="Z292" t="str">
        <x:f>IF(ISNUMBER(T292),"Cost captured","Awaiting trade cost")</x:f>
        <x:v>Awaiting trade cost</x:v>
      </x:c>
      <x:c r="AB292" s="36" t="str">
        <x:f>IF(ISNUMBER(Y292),ROUND(Y292*0.9,2),"")</x:f>
      </x:c>
      <x:c r="AC292" s="36" t="str">
        <x:f>IF(ISNUMBER(AB292),ROUND(AB292-(AB292*0.015+0.2)-V292,2),"")</x:f>
      </x:c>
      <x:c r="AD292" s="36" t="str">
        <x:f>IF(ISNUMBER(Y292),ROUND(Y292*0.8,2),"")</x:f>
      </x:c>
      <x:c r="AE292" s="36" t="str">
        <x:f>IF(ISNUMBER(AD292),ROUND(AD292*0.015+0.2,2),"")</x:f>
      </x:c>
      <x:c r="AF292" s="36" t="str">
        <x:f>IF(ISNUMBER(AD292),ROUND(AD292-AE292-V292,2),"")</x:f>
      </x:c>
      <x:c r="AG292" t="str">
        <x:f>IF(NOT(ISNUMBER(T292)),"PENDING",IF(AF292&gt;0,"PASS","FAIL"))</x:f>
        <x:v>PENDING</x:v>
      </x:c>
      <x:c r="AH292" t="str">
        <x:f>IF(NOT(ISNUMBER(T292)),"Needs supplier cost",IF(K292&lt;&gt;"In stock","Supplier unavailable",IF(AG292&lt;&gt;"PASS","BLOCK - GT loss risk","Commercially protected")))</x:f>
        <x:v>Needs supplier cost</x:v>
      </x:c>
      <x:c r="AI292" t="str">
        <x:v>2026-09-10 Active Sports trade capture</x:v>
      </x:c>
      <x:c r="AJ292" t="str">
        <x:v>Management-only economics. Stripe stress test uses 1.5% + £0.20 standard UK online-card fee; pallet/mix-and-match pricing ignored.</x:v>
      </x:c>
    </x:row>
    <x:row r="293">
      <x:c r="A293" t="str">
        <x:v>Active Sports Nutrition</x:v>
      </x:c>
      <x:c r="B293" t="str">
        <x:v>Alpha Designs</x:v>
      </x:c>
      <x:c r="C293" t="str">
        <x:v>Alpha Bottle XXL Jug</x:v>
      </x:c>
      <x:c r="D293" t="str">
        <x:v>Accessories</x:v>
      </x:c>
      <x:c r="E293" t="str">
        <x:v>Shakers</x:v>
      </x:c>
      <x:c r="F293" t="str">
        <x:v>Extra-large reusable water jug.</x:v>
      </x:c>
      <x:c r="G293" t="str">
        <x:v>2400ml</x:v>
      </x:c>
      <x:c r="H293" t="str">
        <x:v>Blue</x:v>
      </x:c>
      <x:c r="I293" t="str"/>
      <x:c r="J293" t="str">
        <x:v>Unit</x:v>
      </x:c>
      <x:c r="K293" t="str">
        <x:v>In stock</x:v>
      </x:c>
      <x:c r="L293" t="str">
        <x:v>2026-09-08</x:v>
      </x:c>
      <x:c r="M293" t="str"/>
      <x:c r="N293" t="str"/>
      <x:c r="O293" t="str">
        <x:v>https://www.activesportstrade.co.uk/Trade-Body-Building-Accessories</x:v>
      </x:c>
      <x:c r="P293" t="str"/>
      <x:c r="Q293" t="str"/>
      <x:c r="R293" t="str"/>
      <x:c r="S293" t="str">
        <x:v>Pending genuine supplier/brand image</x:v>
      </x:c>
      <x:c r="T293" s="54"/>
      <x:c r="U293" s="47" t="n">
        <x:v>0.2</x:v>
      </x:c>
      <x:c r="V293" s="54" t="str">
        <x:f>IF(ISNUMBER(T293),T293*(1+U293),"")</x:f>
      </x:c>
      <x:c r="W293" s="47" t="n">
        <x:v>0.3</x:v>
      </x:c>
      <x:c r="X293" s="54" t="str">
        <x:f>IF(ISNUMBER(V293),V293/(1-W293),"")</x:f>
      </x:c>
      <x:c r="Y293" s="55" t="str">
        <x:f>IF(ISNUMBER(X293),ROUNDUP(X293,0),"")</x:f>
      </x:c>
      <x:c r="Z293" t="str">
        <x:f>IF(ISNUMBER(T293),"Cost captured","Awaiting trade cost")</x:f>
        <x:v>Awaiting trade cost</x:v>
      </x:c>
      <x:c r="AB293" s="36" t="str">
        <x:f>IF(ISNUMBER(Y293),ROUND(Y293*0.9,2),"")</x:f>
      </x:c>
      <x:c r="AC293" s="36" t="str">
        <x:f>IF(ISNUMBER(AB293),ROUND(AB293-(AB293*0.015+0.2)-V293,2),"")</x:f>
      </x:c>
      <x:c r="AD293" s="36" t="str">
        <x:f>IF(ISNUMBER(Y293),ROUND(Y293*0.8,2),"")</x:f>
      </x:c>
      <x:c r="AE293" s="36" t="str">
        <x:f>IF(ISNUMBER(AD293),ROUND(AD293*0.015+0.2,2),"")</x:f>
      </x:c>
      <x:c r="AF293" s="36" t="str">
        <x:f>IF(ISNUMBER(AD293),ROUND(AD293-AE293-V293,2),"")</x:f>
      </x:c>
      <x:c r="AG293" t="str">
        <x:f>IF(NOT(ISNUMBER(T293)),"PENDING",IF(AF293&gt;0,"PASS","FAIL"))</x:f>
        <x:v>PENDING</x:v>
      </x:c>
      <x:c r="AH293" t="str">
        <x:f>IF(NOT(ISNUMBER(T293)),"Needs supplier cost",IF(K293&lt;&gt;"In stock","Supplier unavailable",IF(AG293&lt;&gt;"PASS","BLOCK - GT loss risk","Commercially protected")))</x:f>
        <x:v>Needs supplier cost</x:v>
      </x:c>
      <x:c r="AI293" t="str">
        <x:v>2026-09-10 Active Sports trade capture</x:v>
      </x:c>
      <x:c r="AJ293" t="str">
        <x:v>Management-only economics. Stripe stress test uses 1.5% + £0.20 standard UK online-card fee; pallet/mix-and-match pricing ignored.</x:v>
      </x:c>
    </x:row>
    <x:row r="294">
      <x:c r="A294" t="str">
        <x:v>Active Sports Nutrition</x:v>
      </x:c>
      <x:c r="B294" t="str">
        <x:v>Alpha Designs</x:v>
      </x:c>
      <x:c r="C294" t="str">
        <x:v>Alpha Bottle XXL Jug</x:v>
      </x:c>
      <x:c r="D294" t="str">
        <x:v>Accessories</x:v>
      </x:c>
      <x:c r="E294" t="str">
        <x:v>Shakers</x:v>
      </x:c>
      <x:c r="F294" t="str">
        <x:v>Extra-large reusable water jug.</x:v>
      </x:c>
      <x:c r="G294" t="str">
        <x:v>2400ml</x:v>
      </x:c>
      <x:c r="H294" t="str">
        <x:v>Clear</x:v>
      </x:c>
      <x:c r="I294" t="str"/>
      <x:c r="J294" t="str">
        <x:v>Unit</x:v>
      </x:c>
      <x:c r="K294" t="str">
        <x:v>In stock</x:v>
      </x:c>
      <x:c r="L294" t="str">
        <x:v>2026-09-08</x:v>
      </x:c>
      <x:c r="M294" t="str"/>
      <x:c r="N294" t="str"/>
      <x:c r="O294" t="str">
        <x:v>https://www.activesportstrade.co.uk/Trade-Body-Building-Accessories</x:v>
      </x:c>
      <x:c r="P294" t="str"/>
      <x:c r="Q294" t="str"/>
      <x:c r="R294" t="str"/>
      <x:c r="S294" t="str">
        <x:v>Pending genuine supplier/brand image</x:v>
      </x:c>
      <x:c r="T294" s="54"/>
      <x:c r="U294" s="47" t="n">
        <x:v>0.2</x:v>
      </x:c>
      <x:c r="V294" s="54" t="str">
        <x:f>IF(ISNUMBER(T294),T294*(1+U294),"")</x:f>
      </x:c>
      <x:c r="W294" s="47" t="n">
        <x:v>0.3</x:v>
      </x:c>
      <x:c r="X294" s="54" t="str">
        <x:f>IF(ISNUMBER(V294),V294/(1-W294),"")</x:f>
      </x:c>
      <x:c r="Y294" s="55" t="str">
        <x:f>IF(ISNUMBER(X294),ROUNDUP(X294,0),"")</x:f>
      </x:c>
      <x:c r="Z294" t="str">
        <x:f>IF(ISNUMBER(T294),"Cost captured","Awaiting trade cost")</x:f>
        <x:v>Awaiting trade cost</x:v>
      </x:c>
      <x:c r="AB294" s="36" t="str">
        <x:f>IF(ISNUMBER(Y294),ROUND(Y294*0.9,2),"")</x:f>
      </x:c>
      <x:c r="AC294" s="36" t="str">
        <x:f>IF(ISNUMBER(AB294),ROUND(AB294-(AB294*0.015+0.2)-V294,2),"")</x:f>
      </x:c>
      <x:c r="AD294" s="36" t="str">
        <x:f>IF(ISNUMBER(Y294),ROUND(Y294*0.8,2),"")</x:f>
      </x:c>
      <x:c r="AE294" s="36" t="str">
        <x:f>IF(ISNUMBER(AD294),ROUND(AD294*0.015+0.2,2),"")</x:f>
      </x:c>
      <x:c r="AF294" s="36" t="str">
        <x:f>IF(ISNUMBER(AD294),ROUND(AD294-AE294-V294,2),"")</x:f>
      </x:c>
      <x:c r="AG294" t="str">
        <x:f>IF(NOT(ISNUMBER(T294)),"PENDING",IF(AF294&gt;0,"PASS","FAIL"))</x:f>
        <x:v>PENDING</x:v>
      </x:c>
      <x:c r="AH294" t="str">
        <x:f>IF(NOT(ISNUMBER(T294)),"Needs supplier cost",IF(K294&lt;&gt;"In stock","Supplier unavailable",IF(AG294&lt;&gt;"PASS","BLOCK - GT loss risk","Commercially protected")))</x:f>
        <x:v>Needs supplier cost</x:v>
      </x:c>
      <x:c r="AI294" t="str">
        <x:v>2026-09-10 Active Sports trade capture</x:v>
      </x:c>
      <x:c r="AJ294" t="str">
        <x:v>Management-only economics. Stripe stress test uses 1.5% + £0.20 standard UK online-card fee; pallet/mix-and-match pricing ignored.</x:v>
      </x:c>
    </x:row>
    <x:row r="295">
      <x:c r="A295" t="str">
        <x:v>Active Sports Nutrition</x:v>
      </x:c>
      <x:c r="B295" t="str">
        <x:v>Alpha Designs</x:v>
      </x:c>
      <x:c r="C295" t="str">
        <x:v>Alpha Bottle XXL Jug</x:v>
      </x:c>
      <x:c r="D295" t="str">
        <x:v>Accessories</x:v>
      </x:c>
      <x:c r="E295" t="str">
        <x:v>Shakers</x:v>
      </x:c>
      <x:c r="F295" t="str">
        <x:v>Extra-large reusable water jug.</x:v>
      </x:c>
      <x:c r="G295" t="str">
        <x:v>2400ml</x:v>
      </x:c>
      <x:c r="H295" t="str">
        <x:v>Green</x:v>
      </x:c>
      <x:c r="I295" t="str"/>
      <x:c r="J295" t="str">
        <x:v>Unit</x:v>
      </x:c>
      <x:c r="K295" t="str">
        <x:v>In stock</x:v>
      </x:c>
      <x:c r="L295" t="str">
        <x:v>2026-09-08</x:v>
      </x:c>
      <x:c r="M295" t="str"/>
      <x:c r="N295" t="str"/>
      <x:c r="O295" t="str">
        <x:v>https://www.activesportstrade.co.uk/Trade-Body-Building-Accessories</x:v>
      </x:c>
      <x:c r="P295" t="str"/>
      <x:c r="Q295" t="str"/>
      <x:c r="R295" t="str"/>
      <x:c r="S295" t="str">
        <x:v>Pending genuine supplier/brand image</x:v>
      </x:c>
      <x:c r="T295" s="54"/>
      <x:c r="U295" s="47" t="n">
        <x:v>0.2</x:v>
      </x:c>
      <x:c r="V295" s="54" t="str">
        <x:f>IF(ISNUMBER(T295),T295*(1+U295),"")</x:f>
      </x:c>
      <x:c r="W295" s="47" t="n">
        <x:v>0.3</x:v>
      </x:c>
      <x:c r="X295" s="54" t="str">
        <x:f>IF(ISNUMBER(V295),V295/(1-W295),"")</x:f>
      </x:c>
      <x:c r="Y295" s="55" t="str">
        <x:f>IF(ISNUMBER(X295),ROUNDUP(X295,0),"")</x:f>
      </x:c>
      <x:c r="Z295" t="str">
        <x:f>IF(ISNUMBER(T295),"Cost captured","Awaiting trade cost")</x:f>
        <x:v>Awaiting trade cost</x:v>
      </x:c>
      <x:c r="AB295" s="36" t="str">
        <x:f>IF(ISNUMBER(Y295),ROUND(Y295*0.9,2),"")</x:f>
      </x:c>
      <x:c r="AC295" s="36" t="str">
        <x:f>IF(ISNUMBER(AB295),ROUND(AB295-(AB295*0.015+0.2)-V295,2),"")</x:f>
      </x:c>
      <x:c r="AD295" s="36" t="str">
        <x:f>IF(ISNUMBER(Y295),ROUND(Y295*0.8,2),"")</x:f>
      </x:c>
      <x:c r="AE295" s="36" t="str">
        <x:f>IF(ISNUMBER(AD295),ROUND(AD295*0.015+0.2,2),"")</x:f>
      </x:c>
      <x:c r="AF295" s="36" t="str">
        <x:f>IF(ISNUMBER(AD295),ROUND(AD295-AE295-V295,2),"")</x:f>
      </x:c>
      <x:c r="AG295" t="str">
        <x:f>IF(NOT(ISNUMBER(T295)),"PENDING",IF(AF295&gt;0,"PASS","FAIL"))</x:f>
        <x:v>PENDING</x:v>
      </x:c>
      <x:c r="AH295" t="str">
        <x:f>IF(NOT(ISNUMBER(T295)),"Needs supplier cost",IF(K295&lt;&gt;"In stock","Supplier unavailable",IF(AG295&lt;&gt;"PASS","BLOCK - GT loss risk","Commercially protected")))</x:f>
        <x:v>Needs supplier cost</x:v>
      </x:c>
      <x:c r="AI295" t="str">
        <x:v>2026-09-10 Active Sports trade capture</x:v>
      </x:c>
      <x:c r="AJ295" t="str">
        <x:v>Management-only economics. Stripe stress test uses 1.5% + £0.20 standard UK online-card fee; pallet/mix-and-match pricing ignored.</x:v>
      </x:c>
    </x:row>
    <x:row r="296">
      <x:c r="A296" t="str">
        <x:v>Active Sports Nutrition</x:v>
      </x:c>
      <x:c r="B296" t="str">
        <x:v>Alpha Designs</x:v>
      </x:c>
      <x:c r="C296" t="str">
        <x:v>Alpha Bottle XXL Jug</x:v>
      </x:c>
      <x:c r="D296" t="str">
        <x:v>Accessories</x:v>
      </x:c>
      <x:c r="E296" t="str">
        <x:v>Shakers</x:v>
      </x:c>
      <x:c r="F296" t="str">
        <x:v>Extra-large reusable water jug.</x:v>
      </x:c>
      <x:c r="G296" t="str">
        <x:v>2400ml</x:v>
      </x:c>
      <x:c r="H296" t="str">
        <x:v>Red</x:v>
      </x:c>
      <x:c r="I296" t="str"/>
      <x:c r="J296" t="str">
        <x:v>Unit</x:v>
      </x:c>
      <x:c r="K296" t="str">
        <x:v>In stock</x:v>
      </x:c>
      <x:c r="L296" t="str">
        <x:v>2026-09-08</x:v>
      </x:c>
      <x:c r="M296" t="str"/>
      <x:c r="N296" t="str"/>
      <x:c r="O296" t="str">
        <x:v>https://www.activesportstrade.co.uk/Trade-Body-Building-Accessories</x:v>
      </x:c>
      <x:c r="P296" t="str"/>
      <x:c r="Q296" t="str"/>
      <x:c r="R296" t="str"/>
      <x:c r="S296" t="str">
        <x:v>Pending genuine supplier/brand image</x:v>
      </x:c>
      <x:c r="T296" s="54"/>
      <x:c r="U296" s="47" t="n">
        <x:v>0.2</x:v>
      </x:c>
      <x:c r="V296" s="54" t="str">
        <x:f>IF(ISNUMBER(T296),T296*(1+U296),"")</x:f>
      </x:c>
      <x:c r="W296" s="47" t="n">
        <x:v>0.3</x:v>
      </x:c>
      <x:c r="X296" s="54" t="str">
        <x:f>IF(ISNUMBER(V296),V296/(1-W296),"")</x:f>
      </x:c>
      <x:c r="Y296" s="55" t="str">
        <x:f>IF(ISNUMBER(X296),ROUNDUP(X296,0),"")</x:f>
      </x:c>
      <x:c r="Z296" t="str">
        <x:f>IF(ISNUMBER(T296),"Cost captured","Awaiting trade cost")</x:f>
        <x:v>Awaiting trade cost</x:v>
      </x:c>
      <x:c r="AB296" s="36" t="str">
        <x:f>IF(ISNUMBER(Y296),ROUND(Y296*0.9,2),"")</x:f>
      </x:c>
      <x:c r="AC296" s="36" t="str">
        <x:f>IF(ISNUMBER(AB296),ROUND(AB296-(AB296*0.015+0.2)-V296,2),"")</x:f>
      </x:c>
      <x:c r="AD296" s="36" t="str">
        <x:f>IF(ISNUMBER(Y296),ROUND(Y296*0.8,2),"")</x:f>
      </x:c>
      <x:c r="AE296" s="36" t="str">
        <x:f>IF(ISNUMBER(AD296),ROUND(AD296*0.015+0.2,2),"")</x:f>
      </x:c>
      <x:c r="AF296" s="36" t="str">
        <x:f>IF(ISNUMBER(AD296),ROUND(AD296-AE296-V296,2),"")</x:f>
      </x:c>
      <x:c r="AG296" t="str">
        <x:f>IF(NOT(ISNUMBER(T296)),"PENDING",IF(AF296&gt;0,"PASS","FAIL"))</x:f>
        <x:v>PENDING</x:v>
      </x:c>
      <x:c r="AH296" t="str">
        <x:f>IF(NOT(ISNUMBER(T296)),"Needs supplier cost",IF(K296&lt;&gt;"In stock","Supplier unavailable",IF(AG296&lt;&gt;"PASS","BLOCK - GT loss risk","Commercially protected")))</x:f>
        <x:v>Needs supplier cost</x:v>
      </x:c>
      <x:c r="AI296" t="str">
        <x:v>2026-09-10 Active Sports trade capture</x:v>
      </x:c>
      <x:c r="AJ296" t="str">
        <x:v>Management-only economics. Stripe stress test uses 1.5% + £0.20 standard UK online-card fee; pallet/mix-and-match pricing ignored.</x:v>
      </x:c>
    </x:row>
    <x:row r="297">
      <x:c r="A297" t="str">
        <x:v>Active Sports Nutrition</x:v>
      </x:c>
      <x:c r="B297" t="str">
        <x:v>Alpha Designs</x:v>
      </x:c>
      <x:c r="C297" t="str">
        <x:v>Alpha Bottle XXL Jug</x:v>
      </x:c>
      <x:c r="D297" t="str">
        <x:v>Accessories</x:v>
      </x:c>
      <x:c r="E297" t="str">
        <x:v>Shakers</x:v>
      </x:c>
      <x:c r="F297" t="str">
        <x:v>Extra-large reusable water jug.</x:v>
      </x:c>
      <x:c r="G297" t="str">
        <x:v>2400ml</x:v>
      </x:c>
      <x:c r="H297" t="str">
        <x:v>Smoke</x:v>
      </x:c>
      <x:c r="I297" t="str"/>
      <x:c r="J297" t="str">
        <x:v>Unit</x:v>
      </x:c>
      <x:c r="K297" t="str">
        <x:v>In stock</x:v>
      </x:c>
      <x:c r="L297" t="str">
        <x:v>2026-09-08</x:v>
      </x:c>
      <x:c r="M297" t="str"/>
      <x:c r="N297" t="str"/>
      <x:c r="O297" t="str">
        <x:v>https://www.activesportstrade.co.uk/Trade-Body-Building-Accessories</x:v>
      </x:c>
      <x:c r="P297" t="str"/>
      <x:c r="Q297" t="str"/>
      <x:c r="R297" t="str"/>
      <x:c r="S297" t="str">
        <x:v>Pending genuine supplier/brand image</x:v>
      </x:c>
      <x:c r="T297" s="54"/>
      <x:c r="U297" s="47" t="n">
        <x:v>0.2</x:v>
      </x:c>
      <x:c r="V297" s="54" t="str">
        <x:f>IF(ISNUMBER(T297),T297*(1+U297),"")</x:f>
      </x:c>
      <x:c r="W297" s="47" t="n">
        <x:v>0.3</x:v>
      </x:c>
      <x:c r="X297" s="54" t="str">
        <x:f>IF(ISNUMBER(V297),V297/(1-W297),"")</x:f>
      </x:c>
      <x:c r="Y297" s="55" t="str">
        <x:f>IF(ISNUMBER(X297),ROUNDUP(X297,0),"")</x:f>
      </x:c>
      <x:c r="Z297" t="str">
        <x:f>IF(ISNUMBER(T297),"Cost captured","Awaiting trade cost")</x:f>
        <x:v>Awaiting trade cost</x:v>
      </x:c>
      <x:c r="AB297" s="36" t="str">
        <x:f>IF(ISNUMBER(Y297),ROUND(Y297*0.9,2),"")</x:f>
      </x:c>
      <x:c r="AC297" s="36" t="str">
        <x:f>IF(ISNUMBER(AB297),ROUND(AB297-(AB297*0.015+0.2)-V297,2),"")</x:f>
      </x:c>
      <x:c r="AD297" s="36" t="str">
        <x:f>IF(ISNUMBER(Y297),ROUND(Y297*0.8,2),"")</x:f>
      </x:c>
      <x:c r="AE297" s="36" t="str">
        <x:f>IF(ISNUMBER(AD297),ROUND(AD297*0.015+0.2,2),"")</x:f>
      </x:c>
      <x:c r="AF297" s="36" t="str">
        <x:f>IF(ISNUMBER(AD297),ROUND(AD297-AE297-V297,2),"")</x:f>
      </x:c>
      <x:c r="AG297" t="str">
        <x:f>IF(NOT(ISNUMBER(T297)),"PENDING",IF(AF297&gt;0,"PASS","FAIL"))</x:f>
        <x:v>PENDING</x:v>
      </x:c>
      <x:c r="AH297" t="str">
        <x:f>IF(NOT(ISNUMBER(T297)),"Needs supplier cost",IF(K297&lt;&gt;"In stock","Supplier unavailable",IF(AG297&lt;&gt;"PASS","BLOCK - GT loss risk","Commercially protected")))</x:f>
        <x:v>Needs supplier cost</x:v>
      </x:c>
      <x:c r="AI297" t="str">
        <x:v>2026-09-10 Active Sports trade capture</x:v>
      </x:c>
      <x:c r="AJ297" t="str">
        <x:v>Management-only economics. Stripe stress test uses 1.5% + £0.20 standard UK online-card fee; pallet/mix-and-match pricing ignored.</x:v>
      </x:c>
    </x:row>
    <x:row r="298">
      <x:c r="A298" t="str">
        <x:v>Active Sports Nutrition</x:v>
      </x:c>
      <x:c r="B298" t="str">
        <x:v>Alpha Designs</x:v>
      </x:c>
      <x:c r="C298" t="str">
        <x:v>Alpha Pod</x:v>
      </x:c>
      <x:c r="D298" t="str">
        <x:v>Accessories</x:v>
      </x:c>
      <x:c r="E298" t="str">
        <x:v>Storage</x:v>
      </x:c>
      <x:c r="F298" t="str">
        <x:v>Three-pack storage pods for snacks and supplements.</x:v>
      </x:c>
      <x:c r="G298" t="str">
        <x:v>3 pack</x:v>
      </x:c>
      <x:c r="H298" t="str">
        <x:v>Black / Clear</x:v>
      </x:c>
      <x:c r="I298" t="str"/>
      <x:c r="J298" t="str">
        <x:v>Unit</x:v>
      </x:c>
      <x:c r="K298" t="str">
        <x:v>In stock</x:v>
      </x:c>
      <x:c r="L298" t="str">
        <x:v>2026-09-08</x:v>
      </x:c>
      <x:c r="M298" t="str"/>
      <x:c r="N298" t="str"/>
      <x:c r="O298" t="str">
        <x:v>https://www.activesportstrade.co.uk/Trade-Body-Building-Accessories</x:v>
      </x:c>
      <x:c r="P298" t="str"/>
      <x:c r="Q298" t="str"/>
      <x:c r="R298" t="str"/>
      <x:c r="S298" t="str">
        <x:v>Pending genuine supplier/brand image</x:v>
      </x:c>
      <x:c r="T298" s="54"/>
      <x:c r="U298" s="47" t="n">
        <x:v>0.2</x:v>
      </x:c>
      <x:c r="V298" s="54" t="str">
        <x:f>IF(ISNUMBER(T298),T298*(1+U298),"")</x:f>
      </x:c>
      <x:c r="W298" s="47" t="n">
        <x:v>0.3</x:v>
      </x:c>
      <x:c r="X298" s="54" t="str">
        <x:f>IF(ISNUMBER(V298),V298/(1-W298),"")</x:f>
      </x:c>
      <x:c r="Y298" s="55" t="str">
        <x:f>IF(ISNUMBER(X298),ROUNDUP(X298,0),"")</x:f>
      </x:c>
      <x:c r="Z298" t="str">
        <x:f>IF(ISNUMBER(T298),"Cost captured","Awaiting trade cost")</x:f>
        <x:v>Awaiting trade cost</x:v>
      </x:c>
      <x:c r="AB298" s="36" t="str">
        <x:f>IF(ISNUMBER(Y298),ROUND(Y298*0.9,2),"")</x:f>
      </x:c>
      <x:c r="AC298" s="36" t="str">
        <x:f>IF(ISNUMBER(AB298),ROUND(AB298-(AB298*0.015+0.2)-V298,2),"")</x:f>
      </x:c>
      <x:c r="AD298" s="36" t="str">
        <x:f>IF(ISNUMBER(Y298),ROUND(Y298*0.8,2),"")</x:f>
      </x:c>
      <x:c r="AE298" s="36" t="str">
        <x:f>IF(ISNUMBER(AD298),ROUND(AD298*0.015+0.2,2),"")</x:f>
      </x:c>
      <x:c r="AF298" s="36" t="str">
        <x:f>IF(ISNUMBER(AD298),ROUND(AD298-AE298-V298,2),"")</x:f>
      </x:c>
      <x:c r="AG298" t="str">
        <x:f>IF(NOT(ISNUMBER(T298)),"PENDING",IF(AF298&gt;0,"PASS","FAIL"))</x:f>
        <x:v>PENDING</x:v>
      </x:c>
      <x:c r="AH298" t="str">
        <x:f>IF(NOT(ISNUMBER(T298)),"Needs supplier cost",IF(K298&lt;&gt;"In stock","Supplier unavailable",IF(AG298&lt;&gt;"PASS","BLOCK - GT loss risk","Commercially protected")))</x:f>
        <x:v>Needs supplier cost</x:v>
      </x:c>
      <x:c r="AI298" t="str">
        <x:v>2026-09-10 Active Sports trade capture</x:v>
      </x:c>
      <x:c r="AJ298" t="str">
        <x:v>Management-only economics. Stripe stress test uses 1.5% + £0.20 standard UK online-card fee; pallet/mix-and-match pricing ignored.</x:v>
      </x:c>
    </x:row>
    <x:row r="299">
      <x:c r="A299" t="str">
        <x:v>Active Sports Nutrition</x:v>
      </x:c>
      <x:c r="B299" t="str">
        <x:v>Alpha Lion</x:v>
      </x:c>
      <x:c r="C299" t="str">
        <x:v>Super Human Muscle</x:v>
      </x:c>
      <x:c r="D299" t="str">
        <x:v>Supplements</x:v>
      </x:c>
      <x:c r="E299" t="str">
        <x:v>Testosterone Boosters</x:v>
      </x:c>
      <x:c r="F299" t="str">
        <x:v>Muscle-building support capsule formula.</x:v>
      </x:c>
      <x:c r="G299" t="str">
        <x:v>90 caps</x:v>
      </x:c>
      <x:c r="H299" t="str">
        <x:v>Default</x:v>
      </x:c>
      <x:c r="I299" t="str"/>
      <x:c r="J299" t="str">
        <x:v>Unit</x:v>
      </x:c>
      <x:c r="K299" t="str">
        <x:v>In stock</x:v>
      </x:c>
      <x:c r="L299" t="str">
        <x:v>2026-09-08</x:v>
      </x:c>
      <x:c r="M299" t="str"/>
      <x:c r="N299" t="str"/>
      <x:c r="O299" t="str">
        <x:v>https://www.activesportstrade.co.uk/alpha-lion-trade</x:v>
      </x:c>
      <x:c r="P299" t="str"/>
      <x:c r="Q299" t="str"/>
      <x:c r="R299" t="str"/>
      <x:c r="S299" t="str">
        <x:v>Pending genuine supplier/brand image</x:v>
      </x:c>
      <x:c r="T299" s="54"/>
      <x:c r="U299" s="47" t="n">
        <x:v>0.2</x:v>
      </x:c>
      <x:c r="V299" s="54" t="str">
        <x:f>IF(ISNUMBER(T299),T299*(1+U299),"")</x:f>
      </x:c>
      <x:c r="W299" s="47" t="n">
        <x:v>0.3</x:v>
      </x:c>
      <x:c r="X299" s="54" t="str">
        <x:f>IF(ISNUMBER(V299),V299/(1-W299),"")</x:f>
      </x:c>
      <x:c r="Y299" s="55" t="str">
        <x:f>IF(ISNUMBER(X299),ROUNDUP(X299,0),"")</x:f>
      </x:c>
      <x:c r="Z299" t="str">
        <x:f>IF(ISNUMBER(T299),"Cost captured","Awaiting trade cost")</x:f>
        <x:v>Awaiting trade cost</x:v>
      </x:c>
      <x:c r="AB299" s="36" t="str">
        <x:f>IF(ISNUMBER(Y299),ROUND(Y299*0.9,2),"")</x:f>
      </x:c>
      <x:c r="AC299" s="36" t="str">
        <x:f>IF(ISNUMBER(AB299),ROUND(AB299-(AB299*0.015+0.2)-V299,2),"")</x:f>
      </x:c>
      <x:c r="AD299" s="36" t="str">
        <x:f>IF(ISNUMBER(Y299),ROUND(Y299*0.8,2),"")</x:f>
      </x:c>
      <x:c r="AE299" s="36" t="str">
        <x:f>IF(ISNUMBER(AD299),ROUND(AD299*0.015+0.2,2),"")</x:f>
      </x:c>
      <x:c r="AF299" s="36" t="str">
        <x:f>IF(ISNUMBER(AD299),ROUND(AD299-AE299-V299,2),"")</x:f>
      </x:c>
      <x:c r="AG299" t="str">
        <x:f>IF(NOT(ISNUMBER(T299)),"PENDING",IF(AF299&gt;0,"PASS","FAIL"))</x:f>
        <x:v>PENDING</x:v>
      </x:c>
      <x:c r="AH299" t="str">
        <x:f>IF(NOT(ISNUMBER(T299)),"Needs supplier cost",IF(K299&lt;&gt;"In stock","Supplier unavailable",IF(AG299&lt;&gt;"PASS","BLOCK - GT loss risk","Commercially protected")))</x:f>
        <x:v>Needs supplier cost</x:v>
      </x:c>
      <x:c r="AI299" t="str">
        <x:v>2026-09-10 Active Sports trade capture</x:v>
      </x:c>
      <x:c r="AJ299" t="str">
        <x:v>Management-only economics. Stripe stress test uses 1.5% + £0.20 standard UK online-card fee; pallet/mix-and-match pricing ignored.</x:v>
      </x:c>
    </x:row>
    <x:row r="300">
      <x:c r="A300" t="str">
        <x:v>Active Sports Nutrition</x:v>
      </x:c>
      <x:c r="B300" t="str">
        <x:v>Alpha Lion</x:v>
      </x:c>
      <x:c r="C300" t="str">
        <x:v>Super Human Post</x:v>
      </x:c>
      <x:c r="D300" t="str">
        <x:v>Supplements</x:v>
      </x:c>
      <x:c r="E300" t="str">
        <x:v>Recovery Shakes</x:v>
      </x:c>
      <x:c r="F300" t="str">
        <x:v>Post-workout recovery and muscle-support formula.</x:v>
      </x:c>
      <x:c r="G300" t="str">
        <x:v>373g</x:v>
      </x:c>
      <x:c r="H300" t="str">
        <x:v>Gainy Smith Apple</x:v>
      </x:c>
      <x:c r="I300" t="str"/>
      <x:c r="J300" t="str">
        <x:v>Unit</x:v>
      </x:c>
      <x:c r="K300" t="str">
        <x:v>In stock</x:v>
      </x:c>
      <x:c r="L300" t="str">
        <x:v>2026-09-08</x:v>
      </x:c>
      <x:c r="M300" t="str"/>
      <x:c r="N300" t="str"/>
      <x:c r="O300" t="str">
        <x:v>https://www.activesportstrade.co.uk/alpha-lion-trade</x:v>
      </x:c>
      <x:c r="P300" t="str">
        <x:v>Date/promo suffixes removed from canonical flavour/title.</x:v>
      </x:c>
      <x:c r="Q300" t="str"/>
      <x:c r="R300" t="str"/>
      <x:c r="S300" t="str">
        <x:v>Pending genuine supplier/brand image</x:v>
      </x:c>
      <x:c r="T300" s="54"/>
      <x:c r="U300" s="47" t="n">
        <x:v>0.2</x:v>
      </x:c>
      <x:c r="V300" s="54" t="str">
        <x:f>IF(ISNUMBER(T300),T300*(1+U300),"")</x:f>
      </x:c>
      <x:c r="W300" s="47" t="n">
        <x:v>0.3</x:v>
      </x:c>
      <x:c r="X300" s="54" t="str">
        <x:f>IF(ISNUMBER(V300),V300/(1-W300),"")</x:f>
      </x:c>
      <x:c r="Y300" s="55" t="str">
        <x:f>IF(ISNUMBER(X300),ROUNDUP(X300,0),"")</x:f>
      </x:c>
      <x:c r="Z300" t="str">
        <x:f>IF(ISNUMBER(T300),"Cost captured","Awaiting trade cost")</x:f>
        <x:v>Awaiting trade cost</x:v>
      </x:c>
      <x:c r="AB300" s="36" t="str">
        <x:f>IF(ISNUMBER(Y300),ROUND(Y300*0.9,2),"")</x:f>
      </x:c>
      <x:c r="AC300" s="36" t="str">
        <x:f>IF(ISNUMBER(AB300),ROUND(AB300-(AB300*0.015+0.2)-V300,2),"")</x:f>
      </x:c>
      <x:c r="AD300" s="36" t="str">
        <x:f>IF(ISNUMBER(Y300),ROUND(Y300*0.8,2),"")</x:f>
      </x:c>
      <x:c r="AE300" s="36" t="str">
        <x:f>IF(ISNUMBER(AD300),ROUND(AD300*0.015+0.2,2),"")</x:f>
      </x:c>
      <x:c r="AF300" s="36" t="str">
        <x:f>IF(ISNUMBER(AD300),ROUND(AD300-AE300-V300,2),"")</x:f>
      </x:c>
      <x:c r="AG300" t="str">
        <x:f>IF(NOT(ISNUMBER(T300)),"PENDING",IF(AF300&gt;0,"PASS","FAIL"))</x:f>
        <x:v>PENDING</x:v>
      </x:c>
      <x:c r="AH300" t="str">
        <x:f>IF(NOT(ISNUMBER(T300)),"Needs supplier cost",IF(K300&lt;&gt;"In stock","Supplier unavailable",IF(AG300&lt;&gt;"PASS","BLOCK - GT loss risk","Commercially protected")))</x:f>
        <x:v>Needs supplier cost</x:v>
      </x:c>
      <x:c r="AI300" t="str">
        <x:v>2026-09-10 Active Sports trade capture</x:v>
      </x:c>
      <x:c r="AJ300" t="str">
        <x:v>Management-only economics. Stripe stress test uses 1.5% + £0.20 standard UK online-card fee; pallet/mix-and-match pricing ignored.</x:v>
      </x:c>
    </x:row>
    <x:row r="301">
      <x:c r="A301" t="str">
        <x:v>Active Sports Nutrition</x:v>
      </x:c>
      <x:c r="B301" t="str">
        <x:v>Alpha Lion</x:v>
      </x:c>
      <x:c r="C301" t="str">
        <x:v>Super Human Post</x:v>
      </x:c>
      <x:c r="D301" t="str">
        <x:v>Supplements</x:v>
      </x:c>
      <x:c r="E301" t="str">
        <x:v>Recovery Shakes</x:v>
      </x:c>
      <x:c r="F301" t="str">
        <x:v>Post-workout recovery and muscle-support formula.</x:v>
      </x:c>
      <x:c r="G301" t="str">
        <x:v>373g</x:v>
      </x:c>
      <x:c r="H301" t="str">
        <x:v>Muscle Marg</x:v>
      </x:c>
      <x:c r="I301" t="str"/>
      <x:c r="J301" t="str">
        <x:v>Unit</x:v>
      </x:c>
      <x:c r="K301" t="str">
        <x:v>Out of stock</x:v>
      </x:c>
      <x:c r="L301" t="str">
        <x:v>2026-09-08</x:v>
      </x:c>
      <x:c r="M301" t="str"/>
      <x:c r="N301" t="str"/>
      <x:c r="O301" t="str">
        <x:v>https://www.activesportstrade.co.uk/alpha-lion-trade</x:v>
      </x:c>
      <x:c r="P301" t="str">
        <x:v>Date/promo suffixes removed from canonical flavour/title.</x:v>
      </x:c>
      <x:c r="Q301" t="str"/>
      <x:c r="R301" t="str"/>
      <x:c r="S301" t="str">
        <x:v>Pending genuine supplier/brand image</x:v>
      </x:c>
      <x:c r="T301" s="54"/>
      <x:c r="U301" s="47" t="n">
        <x:v>0.2</x:v>
      </x:c>
      <x:c r="V301" s="54" t="str">
        <x:f>IF(ISNUMBER(T301),T301*(1+U301),"")</x:f>
      </x:c>
      <x:c r="W301" s="47" t="n">
        <x:v>0.3</x:v>
      </x:c>
      <x:c r="X301" s="54" t="str">
        <x:f>IF(ISNUMBER(V301),V301/(1-W301),"")</x:f>
      </x:c>
      <x:c r="Y301" s="55" t="str">
        <x:f>IF(ISNUMBER(X301),ROUNDUP(X301,0),"")</x:f>
      </x:c>
      <x:c r="Z301" t="str">
        <x:f>IF(ISNUMBER(T301),"Cost captured","Awaiting trade cost")</x:f>
        <x:v>Awaiting trade cost</x:v>
      </x:c>
      <x:c r="AB301" s="36" t="str">
        <x:f>IF(ISNUMBER(Y301),ROUND(Y301*0.9,2),"")</x:f>
      </x:c>
      <x:c r="AC301" s="36" t="str">
        <x:f>IF(ISNUMBER(AB301),ROUND(AB301-(AB301*0.015+0.2)-V301,2),"")</x:f>
      </x:c>
      <x:c r="AD301" s="36" t="str">
        <x:f>IF(ISNUMBER(Y301),ROUND(Y301*0.8,2),"")</x:f>
      </x:c>
      <x:c r="AE301" s="36" t="str">
        <x:f>IF(ISNUMBER(AD301),ROUND(AD301*0.015+0.2,2),"")</x:f>
      </x:c>
      <x:c r="AF301" s="36" t="str">
        <x:f>IF(ISNUMBER(AD301),ROUND(AD301-AE301-V301,2),"")</x:f>
      </x:c>
      <x:c r="AG301" t="str">
        <x:f>IF(NOT(ISNUMBER(T301)),"PENDING",IF(AF301&gt;0,"PASS","FAIL"))</x:f>
        <x:v>PENDING</x:v>
      </x:c>
      <x:c r="AH301" t="str">
        <x:f>IF(NOT(ISNUMBER(T301)),"Needs supplier cost",IF(K301&lt;&gt;"In stock","Supplier unavailable",IF(AG301&lt;&gt;"PASS","BLOCK - GT loss risk","Commercially protected")))</x:f>
        <x:v>Needs supplier cost</x:v>
      </x:c>
      <x:c r="AI301" t="str">
        <x:v>2026-09-10 Active Sports trade capture</x:v>
      </x:c>
      <x:c r="AJ301" t="str">
        <x:v>Management-only economics. Stripe stress test uses 1.5% + £0.20 standard UK online-card fee; pallet/mix-and-match pricing ignored.</x:v>
      </x:c>
    </x:row>
    <x:row r="302">
      <x:c r="A302" t="str">
        <x:v>Active Sports Nutrition</x:v>
      </x:c>
      <x:c r="B302" t="str">
        <x:v>Alpha Lion</x:v>
      </x:c>
      <x:c r="C302" t="str">
        <x:v>Super Human Pre Workout</x:v>
      </x:c>
      <x:c r="D302" t="str">
        <x:v>Pre Workouts</x:v>
      </x:c>
      <x:c r="E302" t="str">
        <x:v>High Stim</x:v>
      </x:c>
      <x:c r="F302" t="str">
        <x:v>High-stimulant pre-workout formula.</x:v>
      </x:c>
      <x:c r="G302" t="str">
        <x:v>368g</x:v>
      </x:c>
      <x:c r="H302" t="str">
        <x:v>Grapezilla</x:v>
      </x:c>
      <x:c r="I302" t="str"/>
      <x:c r="J302" t="str">
        <x:v>Unit</x:v>
      </x:c>
      <x:c r="K302" t="str">
        <x:v>In stock</x:v>
      </x:c>
      <x:c r="L302" t="str">
        <x:v>2026-09-08</x:v>
      </x:c>
      <x:c r="M302" t="str"/>
      <x:c r="N302" t="str"/>
      <x:c r="O302" t="str">
        <x:v>https://www.activesportstrade.co.uk/alpha-lion-trade</x:v>
      </x:c>
      <x:c r="P302" t="str">
        <x:v>BLACK FRIDAY / SPECIAL OFFER wording removed.</x:v>
      </x:c>
      <x:c r="Q302" t="str"/>
      <x:c r="R302" t="str"/>
      <x:c r="S302" t="str">
        <x:v>Pending genuine supplier/brand image</x:v>
      </x:c>
      <x:c r="T302" s="54"/>
      <x:c r="U302" s="47" t="n">
        <x:v>0.2</x:v>
      </x:c>
      <x:c r="V302" s="54" t="str">
        <x:f>IF(ISNUMBER(T302),T302*(1+U302),"")</x:f>
      </x:c>
      <x:c r="W302" s="47" t="n">
        <x:v>0.3</x:v>
      </x:c>
      <x:c r="X302" s="54" t="str">
        <x:f>IF(ISNUMBER(V302),V302/(1-W302),"")</x:f>
      </x:c>
      <x:c r="Y302" s="55" t="str">
        <x:f>IF(ISNUMBER(X302),ROUNDUP(X302,0),"")</x:f>
      </x:c>
      <x:c r="Z302" t="str">
        <x:f>IF(ISNUMBER(T302),"Cost captured","Awaiting trade cost")</x:f>
        <x:v>Awaiting trade cost</x:v>
      </x:c>
      <x:c r="AB302" s="36" t="str">
        <x:f>IF(ISNUMBER(Y302),ROUND(Y302*0.9,2),"")</x:f>
      </x:c>
      <x:c r="AC302" s="36" t="str">
        <x:f>IF(ISNUMBER(AB302),ROUND(AB302-(AB302*0.015+0.2)-V302,2),"")</x:f>
      </x:c>
      <x:c r="AD302" s="36" t="str">
        <x:f>IF(ISNUMBER(Y302),ROUND(Y302*0.8,2),"")</x:f>
      </x:c>
      <x:c r="AE302" s="36" t="str">
        <x:f>IF(ISNUMBER(AD302),ROUND(AD302*0.015+0.2,2),"")</x:f>
      </x:c>
      <x:c r="AF302" s="36" t="str">
        <x:f>IF(ISNUMBER(AD302),ROUND(AD302-AE302-V302,2),"")</x:f>
      </x:c>
      <x:c r="AG302" t="str">
        <x:f>IF(NOT(ISNUMBER(T302)),"PENDING",IF(AF302&gt;0,"PASS","FAIL"))</x:f>
        <x:v>PENDING</x:v>
      </x:c>
      <x:c r="AH302" t="str">
        <x:f>IF(NOT(ISNUMBER(T302)),"Needs supplier cost",IF(K302&lt;&gt;"In stock","Supplier unavailable",IF(AG302&lt;&gt;"PASS","BLOCK - GT loss risk","Commercially protected")))</x:f>
        <x:v>Needs supplier cost</x:v>
      </x:c>
      <x:c r="AI302" t="str">
        <x:v>2026-09-10 Active Sports trade capture</x:v>
      </x:c>
      <x:c r="AJ302" t="str">
        <x:v>Management-only economics. Stripe stress test uses 1.5% + £0.20 standard UK online-card fee; pallet/mix-and-match pricing ignored.</x:v>
      </x:c>
    </x:row>
    <x:row r="303">
      <x:c r="A303" t="str">
        <x:v>Active Sports Nutrition</x:v>
      </x:c>
      <x:c r="B303" t="str">
        <x:v>Alpha Lion</x:v>
      </x:c>
      <x:c r="C303" t="str">
        <x:v>Super Human Pre Workout</x:v>
      </x:c>
      <x:c r="D303" t="str">
        <x:v>Pre Workouts</x:v>
      </x:c>
      <x:c r="E303" t="str">
        <x:v>High Stim</x:v>
      </x:c>
      <x:c r="F303" t="str">
        <x:v>High-stimulant pre-workout formula.</x:v>
      </x:c>
      <x:c r="G303" t="str">
        <x:v>368g</x:v>
      </x:c>
      <x:c r="H303" t="str">
        <x:v>Hulk Juice</x:v>
      </x:c>
      <x:c r="I303" t="str"/>
      <x:c r="J303" t="str">
        <x:v>Unit</x:v>
      </x:c>
      <x:c r="K303" t="str">
        <x:v>In stock</x:v>
      </x:c>
      <x:c r="L303" t="str">
        <x:v>2026-09-08</x:v>
      </x:c>
      <x:c r="M303" t="str"/>
      <x:c r="N303" t="str"/>
      <x:c r="O303" t="str">
        <x:v>https://www.activesportstrade.co.uk/alpha-lion-trade</x:v>
      </x:c>
      <x:c r="P303" t="str">
        <x:v>BLACK FRIDAY / SPECIAL OFFER wording removed.</x:v>
      </x:c>
      <x:c r="Q303" t="str"/>
      <x:c r="R303" t="str"/>
      <x:c r="S303" t="str">
        <x:v>Pending genuine supplier/brand image</x:v>
      </x:c>
      <x:c r="T303" s="54"/>
      <x:c r="U303" s="47" t="n">
        <x:v>0.2</x:v>
      </x:c>
      <x:c r="V303" s="54" t="str">
        <x:f>IF(ISNUMBER(T303),T303*(1+U303),"")</x:f>
      </x:c>
      <x:c r="W303" s="47" t="n">
        <x:v>0.3</x:v>
      </x:c>
      <x:c r="X303" s="54" t="str">
        <x:f>IF(ISNUMBER(V303),V303/(1-W303),"")</x:f>
      </x:c>
      <x:c r="Y303" s="55" t="str">
        <x:f>IF(ISNUMBER(X303),ROUNDUP(X303,0),"")</x:f>
      </x:c>
      <x:c r="Z303" t="str">
        <x:f>IF(ISNUMBER(T303),"Cost captured","Awaiting trade cost")</x:f>
        <x:v>Awaiting trade cost</x:v>
      </x:c>
      <x:c r="AB303" s="36" t="str">
        <x:f>IF(ISNUMBER(Y303),ROUND(Y303*0.9,2),"")</x:f>
      </x:c>
      <x:c r="AC303" s="36" t="str">
        <x:f>IF(ISNUMBER(AB303),ROUND(AB303-(AB303*0.015+0.2)-V303,2),"")</x:f>
      </x:c>
      <x:c r="AD303" s="36" t="str">
        <x:f>IF(ISNUMBER(Y303),ROUND(Y303*0.8,2),"")</x:f>
      </x:c>
      <x:c r="AE303" s="36" t="str">
        <x:f>IF(ISNUMBER(AD303),ROUND(AD303*0.015+0.2,2),"")</x:f>
      </x:c>
      <x:c r="AF303" s="36" t="str">
        <x:f>IF(ISNUMBER(AD303),ROUND(AD303-AE303-V303,2),"")</x:f>
      </x:c>
      <x:c r="AG303" t="str">
        <x:f>IF(NOT(ISNUMBER(T303)),"PENDING",IF(AF303&gt;0,"PASS","FAIL"))</x:f>
        <x:v>PENDING</x:v>
      </x:c>
      <x:c r="AH303" t="str">
        <x:f>IF(NOT(ISNUMBER(T303)),"Needs supplier cost",IF(K303&lt;&gt;"In stock","Supplier unavailable",IF(AG303&lt;&gt;"PASS","BLOCK - GT loss risk","Commercially protected")))</x:f>
        <x:v>Needs supplier cost</x:v>
      </x:c>
      <x:c r="AI303" t="str">
        <x:v>2026-09-10 Active Sports trade capture</x:v>
      </x:c>
      <x:c r="AJ303" t="str">
        <x:v>Management-only economics. Stripe stress test uses 1.5% + £0.20 standard UK online-card fee; pallet/mix-and-match pricing ignored.</x:v>
      </x:c>
    </x:row>
    <x:row r="304">
      <x:c r="A304" t="str">
        <x:v>Active Sports Nutrition</x:v>
      </x:c>
      <x:c r="B304" t="str">
        <x:v>Alpha Lion</x:v>
      </x:c>
      <x:c r="C304" t="str">
        <x:v>Super Human Pre Workout</x:v>
      </x:c>
      <x:c r="D304" t="str">
        <x:v>Pre Workouts</x:v>
      </x:c>
      <x:c r="E304" t="str">
        <x:v>High Stim</x:v>
      </x:c>
      <x:c r="F304" t="str">
        <x:v>High-stimulant pre-workout formula.</x:v>
      </x:c>
      <x:c r="G304" t="str">
        <x:v>368g</x:v>
      </x:c>
      <x:c r="H304" t="str">
        <x:v>Lions Blood</x:v>
      </x:c>
      <x:c r="I304" t="str"/>
      <x:c r="J304" t="str">
        <x:v>Unit</x:v>
      </x:c>
      <x:c r="K304" t="str">
        <x:v>In stock</x:v>
      </x:c>
      <x:c r="L304" t="str">
        <x:v>2026-09-08</x:v>
      </x:c>
      <x:c r="M304" t="str"/>
      <x:c r="N304" t="str"/>
      <x:c r="O304" t="str">
        <x:v>https://www.activesportstrade.co.uk/alpha-lion-trade</x:v>
      </x:c>
      <x:c r="P304" t="str">
        <x:v>BLACK FRIDAY / SPECIAL OFFER wording removed.</x:v>
      </x:c>
      <x:c r="Q304" t="str"/>
      <x:c r="R304" t="str"/>
      <x:c r="S304" t="str">
        <x:v>Pending genuine supplier/brand image</x:v>
      </x:c>
      <x:c r="T304" s="54"/>
      <x:c r="U304" s="47" t="n">
        <x:v>0.2</x:v>
      </x:c>
      <x:c r="V304" s="54" t="str">
        <x:f>IF(ISNUMBER(T304),T304*(1+U304),"")</x:f>
      </x:c>
      <x:c r="W304" s="47" t="n">
        <x:v>0.3</x:v>
      </x:c>
      <x:c r="X304" s="54" t="str">
        <x:f>IF(ISNUMBER(V304),V304/(1-W304),"")</x:f>
      </x:c>
      <x:c r="Y304" s="55" t="str">
        <x:f>IF(ISNUMBER(X304),ROUNDUP(X304,0),"")</x:f>
      </x:c>
      <x:c r="Z304" t="str">
        <x:f>IF(ISNUMBER(T304),"Cost captured","Awaiting trade cost")</x:f>
        <x:v>Awaiting trade cost</x:v>
      </x:c>
      <x:c r="AB304" s="36" t="str">
        <x:f>IF(ISNUMBER(Y304),ROUND(Y304*0.9,2),"")</x:f>
      </x:c>
      <x:c r="AC304" s="36" t="str">
        <x:f>IF(ISNUMBER(AB304),ROUND(AB304-(AB304*0.015+0.2)-V304,2),"")</x:f>
      </x:c>
      <x:c r="AD304" s="36" t="str">
        <x:f>IF(ISNUMBER(Y304),ROUND(Y304*0.8,2),"")</x:f>
      </x:c>
      <x:c r="AE304" s="36" t="str">
        <x:f>IF(ISNUMBER(AD304),ROUND(AD304*0.015+0.2,2),"")</x:f>
      </x:c>
      <x:c r="AF304" s="36" t="str">
        <x:f>IF(ISNUMBER(AD304),ROUND(AD304-AE304-V304,2),"")</x:f>
      </x:c>
      <x:c r="AG304" t="str">
        <x:f>IF(NOT(ISNUMBER(T304)),"PENDING",IF(AF304&gt;0,"PASS","FAIL"))</x:f>
        <x:v>PENDING</x:v>
      </x:c>
      <x:c r="AH304" t="str">
        <x:f>IF(NOT(ISNUMBER(T304)),"Needs supplier cost",IF(K304&lt;&gt;"In stock","Supplier unavailable",IF(AG304&lt;&gt;"PASS","BLOCK - GT loss risk","Commercially protected")))</x:f>
        <x:v>Needs supplier cost</x:v>
      </x:c>
      <x:c r="AI304" t="str">
        <x:v>2026-09-10 Active Sports trade capture</x:v>
      </x:c>
      <x:c r="AJ304" t="str">
        <x:v>Management-only economics. Stripe stress test uses 1.5% + £0.20 standard UK online-card fee; pallet/mix-and-match pricing ignored.</x:v>
      </x:c>
    </x:row>
    <x:row r="305">
      <x:c r="A305" t="str">
        <x:v>Active Sports Nutrition</x:v>
      </x:c>
      <x:c r="B305" t="str">
        <x:v>Alpha Lion</x:v>
      </x:c>
      <x:c r="C305" t="str">
        <x:v>Super Human Pre Workout</x:v>
      </x:c>
      <x:c r="D305" t="str">
        <x:v>Pre Workouts</x:v>
      </x:c>
      <x:c r="E305" t="str">
        <x:v>High Stim</x:v>
      </x:c>
      <x:c r="F305" t="str">
        <x:v>High-stimulant pre-workout formula.</x:v>
      </x:c>
      <x:c r="G305" t="str">
        <x:v>368g</x:v>
      </x:c>
      <x:c r="H305" t="str">
        <x:v>Miami Vice</x:v>
      </x:c>
      <x:c r="I305" t="str"/>
      <x:c r="J305" t="str">
        <x:v>Unit</x:v>
      </x:c>
      <x:c r="K305" t="str">
        <x:v>In stock</x:v>
      </x:c>
      <x:c r="L305" t="str">
        <x:v>2026-09-08</x:v>
      </x:c>
      <x:c r="M305" t="str"/>
      <x:c r="N305" t="str"/>
      <x:c r="O305" t="str">
        <x:v>https://www.activesportstrade.co.uk/alpha-lion-trade</x:v>
      </x:c>
      <x:c r="P305" t="str">
        <x:v>BLACK FRIDAY / SPECIAL OFFER wording removed.</x:v>
      </x:c>
      <x:c r="Q305" t="str"/>
      <x:c r="R305" t="str"/>
      <x:c r="S305" t="str">
        <x:v>Pending genuine supplier/brand image</x:v>
      </x:c>
      <x:c r="T305" s="54"/>
      <x:c r="U305" s="47" t="n">
        <x:v>0.2</x:v>
      </x:c>
      <x:c r="V305" s="54" t="str">
        <x:f>IF(ISNUMBER(T305),T305*(1+U305),"")</x:f>
      </x:c>
      <x:c r="W305" s="47" t="n">
        <x:v>0.3</x:v>
      </x:c>
      <x:c r="X305" s="54" t="str">
        <x:f>IF(ISNUMBER(V305),V305/(1-W305),"")</x:f>
      </x:c>
      <x:c r="Y305" s="55" t="str">
        <x:f>IF(ISNUMBER(X305),ROUNDUP(X305,0),"")</x:f>
      </x:c>
      <x:c r="Z305" t="str">
        <x:f>IF(ISNUMBER(T305),"Cost captured","Awaiting trade cost")</x:f>
        <x:v>Awaiting trade cost</x:v>
      </x:c>
      <x:c r="AB305" s="36" t="str">
        <x:f>IF(ISNUMBER(Y305),ROUND(Y305*0.9,2),"")</x:f>
      </x:c>
      <x:c r="AC305" s="36" t="str">
        <x:f>IF(ISNUMBER(AB305),ROUND(AB305-(AB305*0.015+0.2)-V305,2),"")</x:f>
      </x:c>
      <x:c r="AD305" s="36" t="str">
        <x:f>IF(ISNUMBER(Y305),ROUND(Y305*0.8,2),"")</x:f>
      </x:c>
      <x:c r="AE305" s="36" t="str">
        <x:f>IF(ISNUMBER(AD305),ROUND(AD305*0.015+0.2,2),"")</x:f>
      </x:c>
      <x:c r="AF305" s="36" t="str">
        <x:f>IF(ISNUMBER(AD305),ROUND(AD305-AE305-V305,2),"")</x:f>
      </x:c>
      <x:c r="AG305" t="str">
        <x:f>IF(NOT(ISNUMBER(T305)),"PENDING",IF(AF305&gt;0,"PASS","FAIL"))</x:f>
        <x:v>PENDING</x:v>
      </x:c>
      <x:c r="AH305" t="str">
        <x:f>IF(NOT(ISNUMBER(T305)),"Needs supplier cost",IF(K305&lt;&gt;"In stock","Supplier unavailable",IF(AG305&lt;&gt;"PASS","BLOCK - GT loss risk","Commercially protected")))</x:f>
        <x:v>Needs supplier cost</x:v>
      </x:c>
      <x:c r="AI305" t="str">
        <x:v>2026-09-10 Active Sports trade capture</x:v>
      </x:c>
      <x:c r="AJ305" t="str">
        <x:v>Management-only economics. Stripe stress test uses 1.5% + £0.20 standard UK online-card fee; pallet/mix-and-match pricing ignored.</x:v>
      </x:c>
    </x:row>
    <x:row r="306">
      <x:c r="A306" t="str">
        <x:v>Active Sports Nutrition</x:v>
      </x:c>
      <x:c r="B306" t="str">
        <x:v>Alpha Lion</x:v>
      </x:c>
      <x:c r="C306" t="str">
        <x:v>Super Human Pre Workout</x:v>
      </x:c>
      <x:c r="D306" t="str">
        <x:v>Pre Workouts</x:v>
      </x:c>
      <x:c r="E306" t="str">
        <x:v>High Stim</x:v>
      </x:c>
      <x:c r="F306" t="str">
        <x:v>High-stimulant pre-workout formula.</x:v>
      </x:c>
      <x:c r="G306" t="str">
        <x:v>368g</x:v>
      </x:c>
      <x:c r="H306" t="str">
        <x:v>Orange Gainsicle</x:v>
      </x:c>
      <x:c r="I306" t="str"/>
      <x:c r="J306" t="str">
        <x:v>Unit</x:v>
      </x:c>
      <x:c r="K306" t="str">
        <x:v>In stock</x:v>
      </x:c>
      <x:c r="L306" t="str">
        <x:v>2026-09-08</x:v>
      </x:c>
      <x:c r="M306" t="str"/>
      <x:c r="N306" t="str"/>
      <x:c r="O306" t="str">
        <x:v>https://www.activesportstrade.co.uk/alpha-lion-trade</x:v>
      </x:c>
      <x:c r="P306" t="str">
        <x:v>BLACK FRIDAY / SPECIAL OFFER wording removed.</x:v>
      </x:c>
      <x:c r="Q306" t="str"/>
      <x:c r="R306" t="str"/>
      <x:c r="S306" t="str">
        <x:v>Pending genuine supplier/brand image</x:v>
      </x:c>
      <x:c r="T306" s="54"/>
      <x:c r="U306" s="47" t="n">
        <x:v>0.2</x:v>
      </x:c>
      <x:c r="V306" s="54" t="str">
        <x:f>IF(ISNUMBER(T306),T306*(1+U306),"")</x:f>
      </x:c>
      <x:c r="W306" s="47" t="n">
        <x:v>0.3</x:v>
      </x:c>
      <x:c r="X306" s="54" t="str">
        <x:f>IF(ISNUMBER(V306),V306/(1-W306),"")</x:f>
      </x:c>
      <x:c r="Y306" s="55" t="str">
        <x:f>IF(ISNUMBER(X306),ROUNDUP(X306,0),"")</x:f>
      </x:c>
      <x:c r="Z306" t="str">
        <x:f>IF(ISNUMBER(T306),"Cost captured","Awaiting trade cost")</x:f>
        <x:v>Awaiting trade cost</x:v>
      </x:c>
      <x:c r="AB306" s="36" t="str">
        <x:f>IF(ISNUMBER(Y306),ROUND(Y306*0.9,2),"")</x:f>
      </x:c>
      <x:c r="AC306" s="36" t="str">
        <x:f>IF(ISNUMBER(AB306),ROUND(AB306-(AB306*0.015+0.2)-V306,2),"")</x:f>
      </x:c>
      <x:c r="AD306" s="36" t="str">
        <x:f>IF(ISNUMBER(Y306),ROUND(Y306*0.8,2),"")</x:f>
      </x:c>
      <x:c r="AE306" s="36" t="str">
        <x:f>IF(ISNUMBER(AD306),ROUND(AD306*0.015+0.2,2),"")</x:f>
      </x:c>
      <x:c r="AF306" s="36" t="str">
        <x:f>IF(ISNUMBER(AD306),ROUND(AD306-AE306-V306,2),"")</x:f>
      </x:c>
      <x:c r="AG306" t="str">
        <x:f>IF(NOT(ISNUMBER(T306)),"PENDING",IF(AF306&gt;0,"PASS","FAIL"))</x:f>
        <x:v>PENDING</x:v>
      </x:c>
      <x:c r="AH306" t="str">
        <x:f>IF(NOT(ISNUMBER(T306)),"Needs supplier cost",IF(K306&lt;&gt;"In stock","Supplier unavailable",IF(AG306&lt;&gt;"PASS","BLOCK - GT loss risk","Commercially protected")))</x:f>
        <x:v>Needs supplier cost</x:v>
      </x:c>
      <x:c r="AI306" t="str">
        <x:v>2026-09-10 Active Sports trade capture</x:v>
      </x:c>
      <x:c r="AJ306" t="str">
        <x:v>Management-only economics. Stripe stress test uses 1.5% + £0.20 standard UK online-card fee; pallet/mix-and-match pricing ignored.</x:v>
      </x:c>
    </x:row>
    <x:row r="307">
      <x:c r="A307" t="str">
        <x:v>Active Sports Nutrition</x:v>
      </x:c>
      <x:c r="B307" t="str">
        <x:v>Alpha Lion</x:v>
      </x:c>
      <x:c r="C307" t="str">
        <x:v>Super Human Pre Workout</x:v>
      </x:c>
      <x:c r="D307" t="str">
        <x:v>Pre Workouts</x:v>
      </x:c>
      <x:c r="E307" t="str">
        <x:v>High Stim</x:v>
      </x:c>
      <x:c r="F307" t="str">
        <x:v>High-stimulant pre-workout formula.</x:v>
      </x:c>
      <x:c r="G307" t="str">
        <x:v>368g</x:v>
      </x:c>
      <x:c r="H307" t="str">
        <x:v>Unicorn Juice</x:v>
      </x:c>
      <x:c r="I307" t="str"/>
      <x:c r="J307" t="str">
        <x:v>Unit</x:v>
      </x:c>
      <x:c r="K307" t="str">
        <x:v>In stock</x:v>
      </x:c>
      <x:c r="L307" t="str">
        <x:v>2026-09-08</x:v>
      </x:c>
      <x:c r="M307" t="str"/>
      <x:c r="N307" t="str"/>
      <x:c r="O307" t="str">
        <x:v>https://www.activesportstrade.co.uk/alpha-lion-trade</x:v>
      </x:c>
      <x:c r="P307" t="str">
        <x:v>BLACK FRIDAY / SPECIAL OFFER wording removed.</x:v>
      </x:c>
      <x:c r="Q307" t="str"/>
      <x:c r="R307" t="str"/>
      <x:c r="S307" t="str">
        <x:v>Pending genuine supplier/brand image</x:v>
      </x:c>
      <x:c r="T307" s="54"/>
      <x:c r="U307" s="47" t="n">
        <x:v>0.2</x:v>
      </x:c>
      <x:c r="V307" s="54" t="str">
        <x:f>IF(ISNUMBER(T307),T307*(1+U307),"")</x:f>
      </x:c>
      <x:c r="W307" s="47" t="n">
        <x:v>0.3</x:v>
      </x:c>
      <x:c r="X307" s="54" t="str">
        <x:f>IF(ISNUMBER(V307),V307/(1-W307),"")</x:f>
      </x:c>
      <x:c r="Y307" s="55" t="str">
        <x:f>IF(ISNUMBER(X307),ROUNDUP(X307,0),"")</x:f>
      </x:c>
      <x:c r="Z307" t="str">
        <x:f>IF(ISNUMBER(T307),"Cost captured","Awaiting trade cost")</x:f>
        <x:v>Awaiting trade cost</x:v>
      </x:c>
      <x:c r="AB307" s="36" t="str">
        <x:f>IF(ISNUMBER(Y307),ROUND(Y307*0.9,2),"")</x:f>
      </x:c>
      <x:c r="AC307" s="36" t="str">
        <x:f>IF(ISNUMBER(AB307),ROUND(AB307-(AB307*0.015+0.2)-V307,2),"")</x:f>
      </x:c>
      <x:c r="AD307" s="36" t="str">
        <x:f>IF(ISNUMBER(Y307),ROUND(Y307*0.8,2),"")</x:f>
      </x:c>
      <x:c r="AE307" s="36" t="str">
        <x:f>IF(ISNUMBER(AD307),ROUND(AD307*0.015+0.2,2),"")</x:f>
      </x:c>
      <x:c r="AF307" s="36" t="str">
        <x:f>IF(ISNUMBER(AD307),ROUND(AD307-AE307-V307,2),"")</x:f>
      </x:c>
      <x:c r="AG307" t="str">
        <x:f>IF(NOT(ISNUMBER(T307)),"PENDING",IF(AF307&gt;0,"PASS","FAIL"))</x:f>
        <x:v>PENDING</x:v>
      </x:c>
      <x:c r="AH307" t="str">
        <x:f>IF(NOT(ISNUMBER(T307)),"Needs supplier cost",IF(K307&lt;&gt;"In stock","Supplier unavailable",IF(AG307&lt;&gt;"PASS","BLOCK - GT loss risk","Commercially protected")))</x:f>
        <x:v>Needs supplier cost</x:v>
      </x:c>
      <x:c r="AI307" t="str">
        <x:v>2026-09-10 Active Sports trade capture</x:v>
      </x:c>
      <x:c r="AJ307" t="str">
        <x:v>Management-only economics. Stripe stress test uses 1.5% + £0.20 standard UK online-card fee; pallet/mix-and-match pricing ignored.</x:v>
      </x:c>
    </x:row>
    <x:row r="308">
      <x:c r="A308" t="str">
        <x:v>Active Sports Nutrition</x:v>
      </x:c>
      <x:c r="B308" t="str">
        <x:v>Alpha Lion</x:v>
      </x:c>
      <x:c r="C308" t="str">
        <x:v>Super Human Test</x:v>
      </x:c>
      <x:c r="D308" t="str">
        <x:v>Supplements</x:v>
      </x:c>
      <x:c r="E308" t="str">
        <x:v>Testosterone Boosters</x:v>
      </x:c>
      <x:c r="F308" t="str">
        <x:v>Testosterone-support capsule formula.</x:v>
      </x:c>
      <x:c r="G308" t="str">
        <x:v>90 caps</x:v>
      </x:c>
      <x:c r="H308" t="str">
        <x:v>Default</x:v>
      </x:c>
      <x:c r="I308" t="str"/>
      <x:c r="J308" t="str">
        <x:v>Unit</x:v>
      </x:c>
      <x:c r="K308" t="str">
        <x:v>In stock</x:v>
      </x:c>
      <x:c r="L308" t="str">
        <x:v>2026-09-08</x:v>
      </x:c>
      <x:c r="M308" t="str"/>
      <x:c r="N308" t="str"/>
      <x:c r="O308" t="str">
        <x:v>https://www.activesportstrade.co.uk/alpha-lion-trade</x:v>
      </x:c>
      <x:c r="P308" t="str"/>
      <x:c r="Q308" t="str"/>
      <x:c r="R308" t="str"/>
      <x:c r="S308" t="str">
        <x:v>Pending genuine supplier/brand image</x:v>
      </x:c>
      <x:c r="T308" s="54"/>
      <x:c r="U308" s="47" t="n">
        <x:v>0.2</x:v>
      </x:c>
      <x:c r="V308" s="54" t="str">
        <x:f>IF(ISNUMBER(T308),T308*(1+U308),"")</x:f>
      </x:c>
      <x:c r="W308" s="47" t="n">
        <x:v>0.3</x:v>
      </x:c>
      <x:c r="X308" s="54" t="str">
        <x:f>IF(ISNUMBER(V308),V308/(1-W308),"")</x:f>
      </x:c>
      <x:c r="Y308" s="55" t="str">
        <x:f>IF(ISNUMBER(X308),ROUNDUP(X308,0),"")</x:f>
      </x:c>
      <x:c r="Z308" t="str">
        <x:f>IF(ISNUMBER(T308),"Cost captured","Awaiting trade cost")</x:f>
        <x:v>Awaiting trade cost</x:v>
      </x:c>
      <x:c r="AB308" s="36" t="str">
        <x:f>IF(ISNUMBER(Y308),ROUND(Y308*0.9,2),"")</x:f>
      </x:c>
      <x:c r="AC308" s="36" t="str">
        <x:f>IF(ISNUMBER(AB308),ROUND(AB308-(AB308*0.015+0.2)-V308,2),"")</x:f>
      </x:c>
      <x:c r="AD308" s="36" t="str">
        <x:f>IF(ISNUMBER(Y308),ROUND(Y308*0.8,2),"")</x:f>
      </x:c>
      <x:c r="AE308" s="36" t="str">
        <x:f>IF(ISNUMBER(AD308),ROUND(AD308*0.015+0.2,2),"")</x:f>
      </x:c>
      <x:c r="AF308" s="36" t="str">
        <x:f>IF(ISNUMBER(AD308),ROUND(AD308-AE308-V308,2),"")</x:f>
      </x:c>
      <x:c r="AG308" t="str">
        <x:f>IF(NOT(ISNUMBER(T308)),"PENDING",IF(AF308&gt;0,"PASS","FAIL"))</x:f>
        <x:v>PENDING</x:v>
      </x:c>
      <x:c r="AH308" t="str">
        <x:f>IF(NOT(ISNUMBER(T308)),"Needs supplier cost",IF(K308&lt;&gt;"In stock","Supplier unavailable",IF(AG308&lt;&gt;"PASS","BLOCK - GT loss risk","Commercially protected")))</x:f>
        <x:v>Needs supplier cost</x:v>
      </x:c>
      <x:c r="AI308" t="str">
        <x:v>2026-09-10 Active Sports trade capture</x:v>
      </x:c>
      <x:c r="AJ308" t="str">
        <x:v>Management-only economics. Stripe stress test uses 1.5% + £0.20 standard UK online-card fee; pallet/mix-and-match pricing ignored.</x:v>
      </x:c>
    </x:row>
    <x:row r="309">
      <x:c r="A309" t="str">
        <x:v>Active Sports Nutrition</x:v>
      </x:c>
      <x:c r="B309" t="str">
        <x:v>Animal</x:v>
      </x:c>
      <x:c r="C309" t="str">
        <x:v>Cuts</x:v>
      </x:c>
      <x:c r="D309" t="str">
        <x:v>Supplements</x:v>
      </x:c>
      <x:c r="E309" t="str">
        <x:v>Fat Burners</x:v>
      </x:c>
      <x:c r="F309" t="str">
        <x:v>Thermogenic body-composition support pack.</x:v>
      </x:c>
      <x:c r="G309" t="str">
        <x:v>42 packs</x:v>
      </x:c>
      <x:c r="H309" t="str">
        <x:v>Default</x:v>
      </x:c>
      <x:c r="I309" t="str"/>
      <x:c r="J309" t="str">
        <x:v>Unit</x:v>
      </x:c>
      <x:c r="K309" t="str">
        <x:v>In stock</x:v>
      </x:c>
      <x:c r="L309" t="str">
        <x:v>2026-09-08</x:v>
      </x:c>
      <x:c r="M309" t="str"/>
      <x:c r="N309" t="str"/>
      <x:c r="O309" t="str">
        <x:v>https://www.activesportstrade.co.uk/trade-sports-supplements/animal-supplements-trade</x:v>
      </x:c>
      <x:c r="P309" t="str"/>
      <x:c r="Q309" t="str"/>
      <x:c r="R309" t="str"/>
      <x:c r="S309" t="str">
        <x:v>Pending genuine supplier/brand image</x:v>
      </x:c>
      <x:c r="T309" s="54" t="n">
        <x:v>34.78</x:v>
      </x:c>
      <x:c r="U309" s="47" t="n">
        <x:v>0.2</x:v>
      </x:c>
      <x:c r="V309" s="54" t="n">
        <x:f>IF(ISNUMBER(T309),T309*(1+U309),"")</x:f>
        <x:v>41.736</x:v>
      </x:c>
      <x:c r="W309" s="47" t="n">
        <x:v>0.3</x:v>
      </x:c>
      <x:c r="X309" s="54" t="n">
        <x:f>IF(ISNUMBER(V309),V309/(1-W309),"")</x:f>
        <x:v>59.62285714285714</x:v>
      </x:c>
      <x:c r="Y309" s="55" t="n">
        <x:f>IF(ISNUMBER(X309),ROUNDUP(X309,0),"")</x:f>
        <x:v>60</x:v>
      </x:c>
      <x:c r="Z309" t="str">
        <x:v>Source match pending</x:v>
      </x:c>
      <x:c r="AA309" t="str">
        <x:v>screencapture-www-activesportstrade-co-uk-animal-supplements-trade-2026-09-09-18_14_46.png / page-001</x:v>
      </x:c>
      <x:c r="AB309" s="36" t="n">
        <x:f>IF(ISNUMBER(Y309),ROUND(Y309*0.9,2),"")</x:f>
        <x:v>54</x:v>
      </x:c>
      <x:c r="AC309" s="36" t="n">
        <x:f>IF(ISNUMBER(AB309),ROUND(AB309-(AB309*0.015+0.2)-V309,2),"")</x:f>
        <x:v>11.25</x:v>
      </x:c>
      <x:c r="AD309" s="36" t="n">
        <x:f>IF(ISNUMBER(Y309),ROUND(Y309*0.8,2),"")</x:f>
        <x:v>48</x:v>
      </x:c>
      <x:c r="AE309" s="36" t="n">
        <x:f>IF(ISNUMBER(AD309),ROUND(AD309*0.015+0.2,2),"")</x:f>
        <x:v>0.92</x:v>
      </x:c>
      <x:c r="AF309" s="36" t="n">
        <x:f>IF(ISNUMBER(AD309),ROUND(AD309-AE309-V309,2),"")</x:f>
        <x:v>5.34</x:v>
      </x:c>
      <x:c r="AG309" t="str">
        <x:f>IF(NOT(ISNUMBER(T309)),"PENDING",IF(AF309&gt;0,"PASS","FAIL"))</x:f>
        <x:v>PASS</x:v>
      </x:c>
      <x:c r="AH309" t="str">
        <x:f>IF(NOT(ISNUMBER(T309)),"Needs supplier cost",IF(K309&lt;&gt;"In stock","Supplier unavailable",IF(AG309&lt;&gt;"PASS","BLOCK - GT loss risk","Commercially protected")))</x:f>
        <x:v>Commercially protected</x:v>
      </x:c>
      <x:c r="AI309" t="str">
        <x:v>2026-09-10 Active Sports trade capture</x:v>
      </x:c>
      <x:c r="AJ309" t="str">
        <x:v>Management-only economics. Stripe stress test uses 1.5% + £0.20 standard UK online-card fee; pallet/mix-and-match pricing ignored.</x:v>
      </x:c>
    </x:row>
    <x:row r="310">
      <x:c r="A310" t="str">
        <x:v>Active Sports Nutrition</x:v>
      </x:c>
      <x:c r="B310" t="str">
        <x:v>Animal</x:v>
      </x:c>
      <x:c r="C310" t="str">
        <x:v>Cuts Powder</x:v>
      </x:c>
      <x:c r="D310" t="str">
        <x:v>Supplements</x:v>
      </x:c>
      <x:c r="E310" t="str">
        <x:v>Fat Burners</x:v>
      </x:c>
      <x:c r="F310" t="str">
        <x:v>Powdered thermogenic body-composition support formula.</x:v>
      </x:c>
      <x:c r="G310" t="str">
        <x:v>248g</x:v>
      </x:c>
      <x:c r="H310" t="str">
        <x:v>Blue Ice Pop</x:v>
      </x:c>
      <x:c r="I310" t="str"/>
      <x:c r="J310" t="str">
        <x:v>Unit</x:v>
      </x:c>
      <x:c r="K310" t="str">
        <x:v>In stock</x:v>
      </x:c>
      <x:c r="L310" t="str">
        <x:v>2026-09-08</x:v>
      </x:c>
      <x:c r="M310" t="str"/>
      <x:c r="N310" t="str"/>
      <x:c r="O310" t="str">
        <x:v>https://www.activesportstrade.co.uk/pre-workouts-powder-trade</x:v>
      </x:c>
      <x:c r="P310" t="str">
        <x:v>Used fresher current pre-workout/category listing for flavour stock.</x:v>
      </x:c>
      <x:c r="Q310" t="str"/>
      <x:c r="R310" t="str"/>
      <x:c r="S310" t="str">
        <x:v>Pending genuine supplier/brand image</x:v>
      </x:c>
      <x:c r="T310" s="54"/>
      <x:c r="U310" s="47" t="n">
        <x:v>0.2</x:v>
      </x:c>
      <x:c r="V310" s="54" t="str">
        <x:f>IF(ISNUMBER(T310),T310*(1+U310),"")</x:f>
      </x:c>
      <x:c r="W310" s="47" t="n">
        <x:v>0.3</x:v>
      </x:c>
      <x:c r="X310" s="54" t="str">
        <x:f>IF(ISNUMBER(V310),V310/(1-W310),"")</x:f>
      </x:c>
      <x:c r="Y310" s="55" t="str">
        <x:f>IF(ISNUMBER(X310),ROUNDUP(X310,0),"")</x:f>
      </x:c>
      <x:c r="Z310" t="str">
        <x:f>IF(ISNUMBER(T310),"Cost captured","Awaiting trade cost")</x:f>
        <x:v>Awaiting trade cost</x:v>
      </x:c>
      <x:c r="AB310" s="36" t="str">
        <x:f>IF(ISNUMBER(Y310),ROUND(Y310*0.9,2),"")</x:f>
      </x:c>
      <x:c r="AC310" s="36" t="str">
        <x:f>IF(ISNUMBER(AB310),ROUND(AB310-(AB310*0.015+0.2)-V310,2),"")</x:f>
      </x:c>
      <x:c r="AD310" s="36" t="str">
        <x:f>IF(ISNUMBER(Y310),ROUND(Y310*0.8,2),"")</x:f>
      </x:c>
      <x:c r="AE310" s="36" t="str">
        <x:f>IF(ISNUMBER(AD310),ROUND(AD310*0.015+0.2,2),"")</x:f>
      </x:c>
      <x:c r="AF310" s="36" t="str">
        <x:f>IF(ISNUMBER(AD310),ROUND(AD310-AE310-V310,2),"")</x:f>
      </x:c>
      <x:c r="AG310" t="str">
        <x:f>IF(NOT(ISNUMBER(T310)),"PENDING",IF(AF310&gt;0,"PASS","FAIL"))</x:f>
        <x:v>PENDING</x:v>
      </x:c>
      <x:c r="AH310" t="str">
        <x:f>IF(NOT(ISNUMBER(T310)),"Needs supplier cost",IF(K310&lt;&gt;"In stock","Supplier unavailable",IF(AG310&lt;&gt;"PASS","BLOCK - GT loss risk","Commercially protected")))</x:f>
        <x:v>Needs supplier cost</x:v>
      </x:c>
      <x:c r="AI310" t="str">
        <x:v>2026-09-10 Active Sports trade capture</x:v>
      </x:c>
      <x:c r="AJ310" t="str">
        <x:v>Management-only economics. Stripe stress test uses 1.5% + £0.20 standard UK online-card fee; pallet/mix-and-match pricing ignored.</x:v>
      </x:c>
    </x:row>
    <x:row r="311">
      <x:c r="A311" t="str">
        <x:v>Active Sports Nutrition</x:v>
      </x:c>
      <x:c r="B311" t="str">
        <x:v>Animal</x:v>
      </x:c>
      <x:c r="C311" t="str">
        <x:v>Cuts Powder</x:v>
      </x:c>
      <x:c r="D311" t="str">
        <x:v>Supplements</x:v>
      </x:c>
      <x:c r="E311" t="str">
        <x:v>Fat Burners</x:v>
      </x:c>
      <x:c r="F311" t="str">
        <x:v>Powdered thermogenic body-composition support formula.</x:v>
      </x:c>
      <x:c r="G311" t="str">
        <x:v>248g</x:v>
      </x:c>
      <x:c r="H311" t="str">
        <x:v>Orange Mango</x:v>
      </x:c>
      <x:c r="I311" t="str"/>
      <x:c r="J311" t="str">
        <x:v>Unit</x:v>
      </x:c>
      <x:c r="K311" t="str">
        <x:v>Out of stock</x:v>
      </x:c>
      <x:c r="L311" t="str">
        <x:v>2026-09-08</x:v>
      </x:c>
      <x:c r="M311" t="str"/>
      <x:c r="N311" t="str"/>
      <x:c r="O311" t="str">
        <x:v>https://www.activesportstrade.co.uk/pre-workouts-powder-trade</x:v>
      </x:c>
      <x:c r="P311" t="str">
        <x:v>Used fresher current pre-workout/category listing for flavour stock.</x:v>
      </x:c>
      <x:c r="Q311" t="str"/>
      <x:c r="R311" t="str"/>
      <x:c r="S311" t="str">
        <x:v>Pending genuine supplier/brand image</x:v>
      </x:c>
      <x:c r="T311" s="54"/>
      <x:c r="U311" s="47" t="n">
        <x:v>0.2</x:v>
      </x:c>
      <x:c r="V311" s="54" t="str">
        <x:f>IF(ISNUMBER(T311),T311*(1+U311),"")</x:f>
      </x:c>
      <x:c r="W311" s="47" t="n">
        <x:v>0.3</x:v>
      </x:c>
      <x:c r="X311" s="54" t="str">
        <x:f>IF(ISNUMBER(V311),V311/(1-W311),"")</x:f>
      </x:c>
      <x:c r="Y311" s="55" t="str">
        <x:f>IF(ISNUMBER(X311),ROUNDUP(X311,0),"")</x:f>
      </x:c>
      <x:c r="Z311" t="str">
        <x:f>IF(ISNUMBER(T311),"Cost captured","Awaiting trade cost")</x:f>
        <x:v>Awaiting trade cost</x:v>
      </x:c>
      <x:c r="AB311" s="36" t="str">
        <x:f>IF(ISNUMBER(Y311),ROUND(Y311*0.9,2),"")</x:f>
      </x:c>
      <x:c r="AC311" s="36" t="str">
        <x:f>IF(ISNUMBER(AB311),ROUND(AB311-(AB311*0.015+0.2)-V311,2),"")</x:f>
      </x:c>
      <x:c r="AD311" s="36" t="str">
        <x:f>IF(ISNUMBER(Y311),ROUND(Y311*0.8,2),"")</x:f>
      </x:c>
      <x:c r="AE311" s="36" t="str">
        <x:f>IF(ISNUMBER(AD311),ROUND(AD311*0.015+0.2,2),"")</x:f>
      </x:c>
      <x:c r="AF311" s="36" t="str">
        <x:f>IF(ISNUMBER(AD311),ROUND(AD311-AE311-V311,2),"")</x:f>
      </x:c>
      <x:c r="AG311" t="str">
        <x:f>IF(NOT(ISNUMBER(T311)),"PENDING",IF(AF311&gt;0,"PASS","FAIL"))</x:f>
        <x:v>PENDING</x:v>
      </x:c>
      <x:c r="AH311" t="str">
        <x:f>IF(NOT(ISNUMBER(T311)),"Needs supplier cost",IF(K311&lt;&gt;"In stock","Supplier unavailable",IF(AG311&lt;&gt;"PASS","BLOCK - GT loss risk","Commercially protected")))</x:f>
        <x:v>Needs supplier cost</x:v>
      </x:c>
      <x:c r="AI311" t="str">
        <x:v>2026-09-10 Active Sports trade capture</x:v>
      </x:c>
      <x:c r="AJ311" t="str">
        <x:v>Management-only economics. Stripe stress test uses 1.5% + £0.20 standard UK online-card fee; pallet/mix-and-match pricing ignored.</x:v>
      </x:c>
    </x:row>
    <x:row r="312">
      <x:c r="A312" t="str">
        <x:v>Active Sports Nutrition</x:v>
      </x:c>
      <x:c r="B312" t="str">
        <x:v>Animal</x:v>
      </x:c>
      <x:c r="C312" t="str">
        <x:v>Cuts Powder</x:v>
      </x:c>
      <x:c r="D312" t="str">
        <x:v>Supplements</x:v>
      </x:c>
      <x:c r="E312" t="str">
        <x:v>Fat Burners</x:v>
      </x:c>
      <x:c r="F312" t="str">
        <x:v>Powdered thermogenic body-composition support formula.</x:v>
      </x:c>
      <x:c r="G312" t="str">
        <x:v>248g</x:v>
      </x:c>
      <x:c r="H312" t="str">
        <x:v>Rainbow Candy</x:v>
      </x:c>
      <x:c r="I312" t="str"/>
      <x:c r="J312" t="str">
        <x:v>Unit</x:v>
      </x:c>
      <x:c r="K312" t="str">
        <x:v>In stock</x:v>
      </x:c>
      <x:c r="L312" t="str">
        <x:v>2026-09-08</x:v>
      </x:c>
      <x:c r="M312" t="str"/>
      <x:c r="N312" t="str"/>
      <x:c r="O312" t="str">
        <x:v>https://www.activesportstrade.co.uk/pre-workouts-powder-trade</x:v>
      </x:c>
      <x:c r="P312" t="str">
        <x:v>Used fresher current pre-workout/category listing for flavour stock.</x:v>
      </x:c>
      <x:c r="Q312" t="str"/>
      <x:c r="R312" t="str"/>
      <x:c r="S312" t="str">
        <x:v>Pending genuine supplier/brand image</x:v>
      </x:c>
      <x:c r="T312" s="54"/>
      <x:c r="U312" s="47" t="n">
        <x:v>0.2</x:v>
      </x:c>
      <x:c r="V312" s="54" t="str">
        <x:f>IF(ISNUMBER(T312),T312*(1+U312),"")</x:f>
      </x:c>
      <x:c r="W312" s="47" t="n">
        <x:v>0.3</x:v>
      </x:c>
      <x:c r="X312" s="54" t="str">
        <x:f>IF(ISNUMBER(V312),V312/(1-W312),"")</x:f>
      </x:c>
      <x:c r="Y312" s="55" t="str">
        <x:f>IF(ISNUMBER(X312),ROUNDUP(X312,0),"")</x:f>
      </x:c>
      <x:c r="Z312" t="str">
        <x:f>IF(ISNUMBER(T312),"Cost captured","Awaiting trade cost")</x:f>
        <x:v>Awaiting trade cost</x:v>
      </x:c>
      <x:c r="AB312" s="36" t="str">
        <x:f>IF(ISNUMBER(Y312),ROUND(Y312*0.9,2),"")</x:f>
      </x:c>
      <x:c r="AC312" s="36" t="str">
        <x:f>IF(ISNUMBER(AB312),ROUND(AB312-(AB312*0.015+0.2)-V312,2),"")</x:f>
      </x:c>
      <x:c r="AD312" s="36" t="str">
        <x:f>IF(ISNUMBER(Y312),ROUND(Y312*0.8,2),"")</x:f>
      </x:c>
      <x:c r="AE312" s="36" t="str">
        <x:f>IF(ISNUMBER(AD312),ROUND(AD312*0.015+0.2,2),"")</x:f>
      </x:c>
      <x:c r="AF312" s="36" t="str">
        <x:f>IF(ISNUMBER(AD312),ROUND(AD312-AE312-V312,2),"")</x:f>
      </x:c>
      <x:c r="AG312" t="str">
        <x:f>IF(NOT(ISNUMBER(T312)),"PENDING",IF(AF312&gt;0,"PASS","FAIL"))</x:f>
        <x:v>PENDING</x:v>
      </x:c>
      <x:c r="AH312" t="str">
        <x:f>IF(NOT(ISNUMBER(T312)),"Needs supplier cost",IF(K312&lt;&gt;"In stock","Supplier unavailable",IF(AG312&lt;&gt;"PASS","BLOCK - GT loss risk","Commercially protected")))</x:f>
        <x:v>Needs supplier cost</x:v>
      </x:c>
      <x:c r="AI312" t="str">
        <x:v>2026-09-10 Active Sports trade capture</x:v>
      </x:c>
      <x:c r="AJ312" t="str">
        <x:v>Management-only economics. Stripe stress test uses 1.5% + £0.20 standard UK online-card fee; pallet/mix-and-match pricing ignored.</x:v>
      </x:c>
    </x:row>
    <x:row r="313">
      <x:c r="A313" t="str">
        <x:v>Active Sports Nutrition</x:v>
      </x:c>
      <x:c r="B313" t="str">
        <x:v>Animal</x:v>
      </x:c>
      <x:c r="C313" t="str">
        <x:v>Daily Greens</x:v>
      </x:c>
      <x:c r="D313" t="str">
        <x:v>Supplements</x:v>
      </x:c>
      <x:c r="E313" t="str">
        <x:v>Health Foods</x:v>
      </x:c>
      <x:c r="F313" t="str">
        <x:v>Daily greens micronutrient pack.</x:v>
      </x:c>
      <x:c r="G313" t="str">
        <x:v>30 packs</x:v>
      </x:c>
      <x:c r="H313" t="str">
        <x:v>Default</x:v>
      </x:c>
      <x:c r="I313" t="str"/>
      <x:c r="J313" t="str">
        <x:v>Unit</x:v>
      </x:c>
      <x:c r="K313" t="str">
        <x:v>In stock</x:v>
      </x:c>
      <x:c r="L313" t="str">
        <x:v>2026-09-08</x:v>
      </x:c>
      <x:c r="M313" t="str"/>
      <x:c r="N313" t="str"/>
      <x:c r="O313" t="str">
        <x:v>https://www.activesportstrade.co.uk/trade-sports-supplements/animal-supplements-trade</x:v>
      </x:c>
      <x:c r="P313" t="str"/>
      <x:c r="Q313" t="str"/>
      <x:c r="R313" t="str"/>
      <x:c r="S313" t="str">
        <x:v>Pending genuine supplier/brand image</x:v>
      </x:c>
      <x:c r="T313" s="54"/>
      <x:c r="U313" s="47" t="n">
        <x:v>0.2</x:v>
      </x:c>
      <x:c r="V313" s="54" t="str">
        <x:f>IF(ISNUMBER(T313),T313*(1+U313),"")</x:f>
      </x:c>
      <x:c r="W313" s="47" t="n">
        <x:v>0.3</x:v>
      </x:c>
      <x:c r="X313" s="54" t="str">
        <x:f>IF(ISNUMBER(V313),V313/(1-W313),"")</x:f>
      </x:c>
      <x:c r="Y313" s="55" t="str">
        <x:f>IF(ISNUMBER(X313),ROUNDUP(X313,0),"")</x:f>
      </x:c>
      <x:c r="Z313" t="str">
        <x:f>IF(ISNUMBER(T313),"Cost captured","Awaiting trade cost")</x:f>
        <x:v>Awaiting trade cost</x:v>
      </x:c>
      <x:c r="AB313" s="36" t="str">
        <x:f>IF(ISNUMBER(Y313),ROUND(Y313*0.9,2),"")</x:f>
      </x:c>
      <x:c r="AC313" s="36" t="str">
        <x:f>IF(ISNUMBER(AB313),ROUND(AB313-(AB313*0.015+0.2)-V313,2),"")</x:f>
      </x:c>
      <x:c r="AD313" s="36" t="str">
        <x:f>IF(ISNUMBER(Y313),ROUND(Y313*0.8,2),"")</x:f>
      </x:c>
      <x:c r="AE313" s="36" t="str">
        <x:f>IF(ISNUMBER(AD313),ROUND(AD313*0.015+0.2,2),"")</x:f>
      </x:c>
      <x:c r="AF313" s="36" t="str">
        <x:f>IF(ISNUMBER(AD313),ROUND(AD313-AE313-V313,2),"")</x:f>
      </x:c>
      <x:c r="AG313" t="str">
        <x:f>IF(NOT(ISNUMBER(T313)),"PENDING",IF(AF313&gt;0,"PASS","FAIL"))</x:f>
        <x:v>PENDING</x:v>
      </x:c>
      <x:c r="AH313" t="str">
        <x:f>IF(NOT(ISNUMBER(T313)),"Needs supplier cost",IF(K313&lt;&gt;"In stock","Supplier unavailable",IF(AG313&lt;&gt;"PASS","BLOCK - GT loss risk","Commercially protected")))</x:f>
        <x:v>Needs supplier cost</x:v>
      </x:c>
      <x:c r="AI313" t="str">
        <x:v>2026-09-10 Active Sports trade capture</x:v>
      </x:c>
      <x:c r="AJ313" t="str">
        <x:v>Management-only economics. Stripe stress test uses 1.5% + £0.20 standard UK online-card fee; pallet/mix-and-match pricing ignored.</x:v>
      </x:c>
    </x:row>
    <x:row r="314">
      <x:c r="A314" t="str">
        <x:v>Active Sports Nutrition</x:v>
      </x:c>
      <x:c r="B314" t="str">
        <x:v>Animal</x:v>
      </x:c>
      <x:c r="C314" t="str">
        <x:v>Flex</x:v>
      </x:c>
      <x:c r="D314" t="str">
        <x:v>Supplements</x:v>
      </x:c>
      <x:c r="E314" t="str">
        <x:v>Joint Repair</x:v>
      </x:c>
      <x:c r="F314" t="str">
        <x:v>Joint support pill-pack formula.</x:v>
      </x:c>
      <x:c r="G314" t="str">
        <x:v>44 packs</x:v>
      </x:c>
      <x:c r="H314" t="str">
        <x:v>Default</x:v>
      </x:c>
      <x:c r="I314" t="str"/>
      <x:c r="J314" t="str">
        <x:v>Unit</x:v>
      </x:c>
      <x:c r="K314" t="str">
        <x:v>In stock</x:v>
      </x:c>
      <x:c r="L314" t="str">
        <x:v>2026-09-08</x:v>
      </x:c>
      <x:c r="M314" t="str"/>
      <x:c r="N314" t="str"/>
      <x:c r="O314" t="str">
        <x:v>https://www.activesportstrade.co.uk/trade-sports-supplements/animal-supplements-trade</x:v>
      </x:c>
      <x:c r="P314" t="str"/>
      <x:c r="Q314" t="str"/>
      <x:c r="R314" t="str"/>
      <x:c r="S314" t="str">
        <x:v>Pending genuine supplier/brand image</x:v>
      </x:c>
      <x:c r="T314" s="54"/>
      <x:c r="U314" s="47" t="n">
        <x:v>0.2</x:v>
      </x:c>
      <x:c r="V314" s="54" t="str">
        <x:f>IF(ISNUMBER(T314),T314*(1+U314),"")</x:f>
      </x:c>
      <x:c r="W314" s="47" t="n">
        <x:v>0.3</x:v>
      </x:c>
      <x:c r="X314" s="54" t="str">
        <x:f>IF(ISNUMBER(V314),V314/(1-W314),"")</x:f>
      </x:c>
      <x:c r="Y314" s="55" t="str">
        <x:f>IF(ISNUMBER(X314),ROUNDUP(X314,0),"")</x:f>
      </x:c>
      <x:c r="Z314" t="str">
        <x:f>IF(ISNUMBER(T314),"Cost captured","Awaiting trade cost")</x:f>
        <x:v>Awaiting trade cost</x:v>
      </x:c>
      <x:c r="AB314" s="36" t="str">
        <x:f>IF(ISNUMBER(Y314),ROUND(Y314*0.9,2),"")</x:f>
      </x:c>
      <x:c r="AC314" s="36" t="str">
        <x:f>IF(ISNUMBER(AB314),ROUND(AB314-(AB314*0.015+0.2)-V314,2),"")</x:f>
      </x:c>
      <x:c r="AD314" s="36" t="str">
        <x:f>IF(ISNUMBER(Y314),ROUND(Y314*0.8,2),"")</x:f>
      </x:c>
      <x:c r="AE314" s="36" t="str">
        <x:f>IF(ISNUMBER(AD314),ROUND(AD314*0.015+0.2,2),"")</x:f>
      </x:c>
      <x:c r="AF314" s="36" t="str">
        <x:f>IF(ISNUMBER(AD314),ROUND(AD314-AE314-V314,2),"")</x:f>
      </x:c>
      <x:c r="AG314" t="str">
        <x:f>IF(NOT(ISNUMBER(T314)),"PENDING",IF(AF314&gt;0,"PASS","FAIL"))</x:f>
        <x:v>PENDING</x:v>
      </x:c>
      <x:c r="AH314" t="str">
        <x:f>IF(NOT(ISNUMBER(T314)),"Needs supplier cost",IF(K314&lt;&gt;"In stock","Supplier unavailable",IF(AG314&lt;&gt;"PASS","BLOCK - GT loss risk","Commercially protected")))</x:f>
        <x:v>Needs supplier cost</x:v>
      </x:c>
      <x:c r="AI314" t="str">
        <x:v>2026-09-10 Active Sports trade capture</x:v>
      </x:c>
      <x:c r="AJ314" t="str">
        <x:v>Management-only economics. Stripe stress test uses 1.5% + £0.20 standard UK online-card fee; pallet/mix-and-match pricing ignored.</x:v>
      </x:c>
    </x:row>
    <x:row r="315">
      <x:c r="A315" t="str">
        <x:v>Active Sports Nutrition</x:v>
      </x:c>
      <x:c r="B315" t="str">
        <x:v>Animal</x:v>
      </x:c>
      <x:c r="C315" t="str">
        <x:v>Flex Powder</x:v>
      </x:c>
      <x:c r="D315" t="str">
        <x:v>Supplements</x:v>
      </x:c>
      <x:c r="E315" t="str">
        <x:v>Joint Repair</x:v>
      </x:c>
      <x:c r="F315" t="str">
        <x:v>Powdered joint-support formula.</x:v>
      </x:c>
      <x:c r="G315" t="str">
        <x:v>30 servings</x:v>
      </x:c>
      <x:c r="H315" t="str">
        <x:v>Blue Raspberry</x:v>
      </x:c>
      <x:c r="I315" t="str"/>
      <x:c r="J315" t="str">
        <x:v>Unit</x:v>
      </x:c>
      <x:c r="K315" t="str">
        <x:v>In stock</x:v>
      </x:c>
      <x:c r="L315" t="str">
        <x:v>2026-09-08</x:v>
      </x:c>
      <x:c r="M315" t="str"/>
      <x:c r="N315" t="str"/>
      <x:c r="O315" t="str">
        <x:v>https://www.activesportstrade.co.uk/trade-sports-supplements</x:v>
      </x:c>
      <x:c r="P315" t="str"/>
      <x:c r="Q315" t="str"/>
      <x:c r="R315" t="str"/>
      <x:c r="S315" t="str">
        <x:v>Pending genuine supplier/brand image</x:v>
      </x:c>
      <x:c r="T315" s="54"/>
      <x:c r="U315" s="47" t="n">
        <x:v>0.2</x:v>
      </x:c>
      <x:c r="V315" s="54" t="str">
        <x:f>IF(ISNUMBER(T315),T315*(1+U315),"")</x:f>
      </x:c>
      <x:c r="W315" s="47" t="n">
        <x:v>0.3</x:v>
      </x:c>
      <x:c r="X315" s="54" t="str">
        <x:f>IF(ISNUMBER(V315),V315/(1-W315),"")</x:f>
      </x:c>
      <x:c r="Y315" s="55" t="str">
        <x:f>IF(ISNUMBER(X315),ROUNDUP(X315,0),"")</x:f>
      </x:c>
      <x:c r="Z315" t="str">
        <x:f>IF(ISNUMBER(T315),"Cost captured","Awaiting trade cost")</x:f>
        <x:v>Awaiting trade cost</x:v>
      </x:c>
      <x:c r="AB315" s="36" t="str">
        <x:f>IF(ISNUMBER(Y315),ROUND(Y315*0.9,2),"")</x:f>
      </x:c>
      <x:c r="AC315" s="36" t="str">
        <x:f>IF(ISNUMBER(AB315),ROUND(AB315-(AB315*0.015+0.2)-V315,2),"")</x:f>
      </x:c>
      <x:c r="AD315" s="36" t="str">
        <x:f>IF(ISNUMBER(Y315),ROUND(Y315*0.8,2),"")</x:f>
      </x:c>
      <x:c r="AE315" s="36" t="str">
        <x:f>IF(ISNUMBER(AD315),ROUND(AD315*0.015+0.2,2),"")</x:f>
      </x:c>
      <x:c r="AF315" s="36" t="str">
        <x:f>IF(ISNUMBER(AD315),ROUND(AD315-AE315-V315,2),"")</x:f>
      </x:c>
      <x:c r="AG315" t="str">
        <x:f>IF(NOT(ISNUMBER(T315)),"PENDING",IF(AF315&gt;0,"PASS","FAIL"))</x:f>
        <x:v>PENDING</x:v>
      </x:c>
      <x:c r="AH315" t="str">
        <x:f>IF(NOT(ISNUMBER(T315)),"Needs supplier cost",IF(K315&lt;&gt;"In stock","Supplier unavailable",IF(AG315&lt;&gt;"PASS","BLOCK - GT loss risk","Commercially protected")))</x:f>
        <x:v>Needs supplier cost</x:v>
      </x:c>
      <x:c r="AI315" t="str">
        <x:v>2026-09-10 Active Sports trade capture</x:v>
      </x:c>
      <x:c r="AJ315" t="str">
        <x:v>Management-only economics. Stripe stress test uses 1.5% + £0.20 standard UK online-card fee; pallet/mix-and-match pricing ignored.</x:v>
      </x:c>
    </x:row>
    <x:row r="316">
      <x:c r="A316" t="str">
        <x:v>Active Sports Nutrition</x:v>
      </x:c>
      <x:c r="B316" t="str">
        <x:v>Animal</x:v>
      </x:c>
      <x:c r="C316" t="str">
        <x:v>Flex Powder</x:v>
      </x:c>
      <x:c r="D316" t="str">
        <x:v>Supplements</x:v>
      </x:c>
      <x:c r="E316" t="str">
        <x:v>Joint Repair</x:v>
      </x:c>
      <x:c r="F316" t="str">
        <x:v>Powdered joint-support formula.</x:v>
      </x:c>
      <x:c r="G316" t="str">
        <x:v>30 servings</x:v>
      </x:c>
      <x:c r="H316" t="str">
        <x:v>Cherry Berry</x:v>
      </x:c>
      <x:c r="I316" t="str"/>
      <x:c r="J316" t="str">
        <x:v>Unit</x:v>
      </x:c>
      <x:c r="K316" t="str">
        <x:v>In stock</x:v>
      </x:c>
      <x:c r="L316" t="str">
        <x:v>2026-09-08</x:v>
      </x:c>
      <x:c r="M316" t="str"/>
      <x:c r="N316" t="str"/>
      <x:c r="O316" t="str">
        <x:v>https://www.activesportstrade.co.uk/trade-sports-supplements</x:v>
      </x:c>
      <x:c r="P316" t="str"/>
      <x:c r="Q316" t="str"/>
      <x:c r="R316" t="str"/>
      <x:c r="S316" t="str">
        <x:v>Pending genuine supplier/brand image</x:v>
      </x:c>
      <x:c r="T316" s="54"/>
      <x:c r="U316" s="47" t="n">
        <x:v>0.2</x:v>
      </x:c>
      <x:c r="V316" s="54" t="str">
        <x:f>IF(ISNUMBER(T316),T316*(1+U316),"")</x:f>
      </x:c>
      <x:c r="W316" s="47" t="n">
        <x:v>0.3</x:v>
      </x:c>
      <x:c r="X316" s="54" t="str">
        <x:f>IF(ISNUMBER(V316),V316/(1-W316),"")</x:f>
      </x:c>
      <x:c r="Y316" s="55" t="str">
        <x:f>IF(ISNUMBER(X316),ROUNDUP(X316,0),"")</x:f>
      </x:c>
      <x:c r="Z316" t="str">
        <x:f>IF(ISNUMBER(T316),"Cost captured","Awaiting trade cost")</x:f>
        <x:v>Awaiting trade cost</x:v>
      </x:c>
      <x:c r="AB316" s="36" t="str">
        <x:f>IF(ISNUMBER(Y316),ROUND(Y316*0.9,2),"")</x:f>
      </x:c>
      <x:c r="AC316" s="36" t="str">
        <x:f>IF(ISNUMBER(AB316),ROUND(AB316-(AB316*0.015+0.2)-V316,2),"")</x:f>
      </x:c>
      <x:c r="AD316" s="36" t="str">
        <x:f>IF(ISNUMBER(Y316),ROUND(Y316*0.8,2),"")</x:f>
      </x:c>
      <x:c r="AE316" s="36" t="str">
        <x:f>IF(ISNUMBER(AD316),ROUND(AD316*0.015+0.2,2),"")</x:f>
      </x:c>
      <x:c r="AF316" s="36" t="str">
        <x:f>IF(ISNUMBER(AD316),ROUND(AD316-AE316-V316,2),"")</x:f>
      </x:c>
      <x:c r="AG316" t="str">
        <x:f>IF(NOT(ISNUMBER(T316)),"PENDING",IF(AF316&gt;0,"PASS","FAIL"))</x:f>
        <x:v>PENDING</x:v>
      </x:c>
      <x:c r="AH316" t="str">
        <x:f>IF(NOT(ISNUMBER(T316)),"Needs supplier cost",IF(K316&lt;&gt;"In stock","Supplier unavailable",IF(AG316&lt;&gt;"PASS","BLOCK - GT loss risk","Commercially protected")))</x:f>
        <x:v>Needs supplier cost</x:v>
      </x:c>
      <x:c r="AI316" t="str">
        <x:v>2026-09-10 Active Sports trade capture</x:v>
      </x:c>
      <x:c r="AJ316" t="str">
        <x:v>Management-only economics. Stripe stress test uses 1.5% + £0.20 standard UK online-card fee; pallet/mix-and-match pricing ignored.</x:v>
      </x:c>
    </x:row>
    <x:row r="317">
      <x:c r="A317" t="str">
        <x:v>Active Sports Nutrition</x:v>
      </x:c>
      <x:c r="B317" t="str">
        <x:v>Animal</x:v>
      </x:c>
      <x:c r="C317" t="str">
        <x:v>Flex Powder</x:v>
      </x:c>
      <x:c r="D317" t="str">
        <x:v>Supplements</x:v>
      </x:c>
      <x:c r="E317" t="str">
        <x:v>Joint Repair</x:v>
      </x:c>
      <x:c r="F317" t="str">
        <x:v>Powdered joint-support formula.</x:v>
      </x:c>
      <x:c r="G317" t="str">
        <x:v>30 servings</x:v>
      </x:c>
      <x:c r="H317" t="str">
        <x:v>Orange</x:v>
      </x:c>
      <x:c r="I317" t="str"/>
      <x:c r="J317" t="str">
        <x:v>Unit</x:v>
      </x:c>
      <x:c r="K317" t="str">
        <x:v>In stock</x:v>
      </x:c>
      <x:c r="L317" t="str">
        <x:v>2026-09-08</x:v>
      </x:c>
      <x:c r="M317" t="str"/>
      <x:c r="N317" t="str"/>
      <x:c r="O317" t="str">
        <x:v>https://www.activesportstrade.co.uk/trade-sports-supplements</x:v>
      </x:c>
      <x:c r="P317" t="str"/>
      <x:c r="Q317" t="str"/>
      <x:c r="R317" t="str"/>
      <x:c r="S317" t="str">
        <x:v>Pending genuine supplier/brand image</x:v>
      </x:c>
      <x:c r="T317" s="54"/>
      <x:c r="U317" s="47" t="n">
        <x:v>0.2</x:v>
      </x:c>
      <x:c r="V317" s="54" t="str">
        <x:f>IF(ISNUMBER(T317),T317*(1+U317),"")</x:f>
      </x:c>
      <x:c r="W317" s="47" t="n">
        <x:v>0.3</x:v>
      </x:c>
      <x:c r="X317" s="54" t="str">
        <x:f>IF(ISNUMBER(V317),V317/(1-W317),"")</x:f>
      </x:c>
      <x:c r="Y317" s="55" t="str">
        <x:f>IF(ISNUMBER(X317),ROUNDUP(X317,0),"")</x:f>
      </x:c>
      <x:c r="Z317" t="str">
        <x:f>IF(ISNUMBER(T317),"Cost captured","Awaiting trade cost")</x:f>
        <x:v>Awaiting trade cost</x:v>
      </x:c>
      <x:c r="AB317" s="36" t="str">
        <x:f>IF(ISNUMBER(Y317),ROUND(Y317*0.9,2),"")</x:f>
      </x:c>
      <x:c r="AC317" s="36" t="str">
        <x:f>IF(ISNUMBER(AB317),ROUND(AB317-(AB317*0.015+0.2)-V317,2),"")</x:f>
      </x:c>
      <x:c r="AD317" s="36" t="str">
        <x:f>IF(ISNUMBER(Y317),ROUND(Y317*0.8,2),"")</x:f>
      </x:c>
      <x:c r="AE317" s="36" t="str">
        <x:f>IF(ISNUMBER(AD317),ROUND(AD317*0.015+0.2,2),"")</x:f>
      </x:c>
      <x:c r="AF317" s="36" t="str">
        <x:f>IF(ISNUMBER(AD317),ROUND(AD317-AE317-V317,2),"")</x:f>
      </x:c>
      <x:c r="AG317" t="str">
        <x:f>IF(NOT(ISNUMBER(T317)),"PENDING",IF(AF317&gt;0,"PASS","FAIL"))</x:f>
        <x:v>PENDING</x:v>
      </x:c>
      <x:c r="AH317" t="str">
        <x:f>IF(NOT(ISNUMBER(T317)),"Needs supplier cost",IF(K317&lt;&gt;"In stock","Supplier unavailable",IF(AG317&lt;&gt;"PASS","BLOCK - GT loss risk","Commercially protected")))</x:f>
        <x:v>Needs supplier cost</x:v>
      </x:c>
      <x:c r="AI317" t="str">
        <x:v>2026-09-10 Active Sports trade capture</x:v>
      </x:c>
      <x:c r="AJ317" t="str">
        <x:v>Management-only economics. Stripe stress test uses 1.5% + £0.20 standard UK online-card fee; pallet/mix-and-match pricing ignored.</x:v>
      </x:c>
    </x:row>
    <x:row r="318">
      <x:c r="A318" t="str">
        <x:v>Active Sports Nutrition</x:v>
      </x:c>
      <x:c r="B318" t="str">
        <x:v>Animal</x:v>
      </x:c>
      <x:c r="C318" t="str">
        <x:v>Fury Pre Workout</x:v>
      </x:c>
      <x:c r="D318" t="str">
        <x:v>Pre Workouts</x:v>
      </x:c>
      <x:c r="E318" t="str">
        <x:v>High Stim</x:v>
      </x:c>
      <x:c r="F318" t="str">
        <x:v>High-stimulant pre-workout.</x:v>
      </x:c>
      <x:c r="G318" t="str">
        <x:v>491-512g</x:v>
      </x:c>
      <x:c r="H318" t="str">
        <x:v>Blue Ice Pop</x:v>
      </x:c>
      <x:c r="I318" t="str"/>
      <x:c r="J318" t="str">
        <x:v>Unit</x:v>
      </x:c>
      <x:c r="K318" t="str">
        <x:v>In stock</x:v>
      </x:c>
      <x:c r="L318" t="str">
        <x:v>2026-09-08</x:v>
      </x:c>
      <x:c r="M318" t="str"/>
      <x:c r="N318" t="str"/>
      <x:c r="O318" t="str">
        <x:v>https://www.activesportstrade.co.uk/trade-sports-supplements</x:v>
      </x:c>
      <x:c r="P318" t="str">
        <x:v>Supplier exposes slightly different gram weights by flavour; retained as one parent/variant family.</x:v>
      </x:c>
      <x:c r="Q318" t="str"/>
      <x:c r="R318" t="str"/>
      <x:c r="S318" t="str">
        <x:v>Pending genuine supplier/brand image</x:v>
      </x:c>
      <x:c r="T318" s="54"/>
      <x:c r="U318" s="47" t="n">
        <x:v>0.2</x:v>
      </x:c>
      <x:c r="V318" s="54" t="str">
        <x:f>IF(ISNUMBER(T318),T318*(1+U318),"")</x:f>
      </x:c>
      <x:c r="W318" s="47" t="n">
        <x:v>0.3</x:v>
      </x:c>
      <x:c r="X318" s="54" t="str">
        <x:f>IF(ISNUMBER(V318),V318/(1-W318),"")</x:f>
      </x:c>
      <x:c r="Y318" s="55" t="str">
        <x:f>IF(ISNUMBER(X318),ROUNDUP(X318,0),"")</x:f>
      </x:c>
      <x:c r="Z318" t="str">
        <x:f>IF(ISNUMBER(T318),"Cost captured","Awaiting trade cost")</x:f>
        <x:v>Awaiting trade cost</x:v>
      </x:c>
      <x:c r="AB318" s="36" t="str">
        <x:f>IF(ISNUMBER(Y318),ROUND(Y318*0.9,2),"")</x:f>
      </x:c>
      <x:c r="AC318" s="36" t="str">
        <x:f>IF(ISNUMBER(AB318),ROUND(AB318-(AB318*0.015+0.2)-V318,2),"")</x:f>
      </x:c>
      <x:c r="AD318" s="36" t="str">
        <x:f>IF(ISNUMBER(Y318),ROUND(Y318*0.8,2),"")</x:f>
      </x:c>
      <x:c r="AE318" s="36" t="str">
        <x:f>IF(ISNUMBER(AD318),ROUND(AD318*0.015+0.2,2),"")</x:f>
      </x:c>
      <x:c r="AF318" s="36" t="str">
        <x:f>IF(ISNUMBER(AD318),ROUND(AD318-AE318-V318,2),"")</x:f>
      </x:c>
      <x:c r="AG318" t="str">
        <x:f>IF(NOT(ISNUMBER(T318)),"PENDING",IF(AF318&gt;0,"PASS","FAIL"))</x:f>
        <x:v>PENDING</x:v>
      </x:c>
      <x:c r="AH318" t="str">
        <x:f>IF(NOT(ISNUMBER(T318)),"Needs supplier cost",IF(K318&lt;&gt;"In stock","Supplier unavailable",IF(AG318&lt;&gt;"PASS","BLOCK - GT loss risk","Commercially protected")))</x:f>
        <x:v>Needs supplier cost</x:v>
      </x:c>
      <x:c r="AI318" t="str">
        <x:v>2026-09-10 Active Sports trade capture</x:v>
      </x:c>
      <x:c r="AJ318" t="str">
        <x:v>Management-only economics. Stripe stress test uses 1.5% + £0.20 standard UK online-card fee; pallet/mix-and-match pricing ignored.</x:v>
      </x:c>
    </x:row>
    <x:row r="319">
      <x:c r="A319" t="str">
        <x:v>Active Sports Nutrition</x:v>
      </x:c>
      <x:c r="B319" t="str">
        <x:v>Animal</x:v>
      </x:c>
      <x:c r="C319" t="str">
        <x:v>Fury Pre Workout</x:v>
      </x:c>
      <x:c r="D319" t="str">
        <x:v>Pre Workouts</x:v>
      </x:c>
      <x:c r="E319" t="str">
        <x:v>High Stim</x:v>
      </x:c>
      <x:c r="F319" t="str">
        <x:v>High-stimulant pre-workout.</x:v>
      </x:c>
      <x:c r="G319" t="str">
        <x:v>491-512g</x:v>
      </x:c>
      <x:c r="H319" t="str">
        <x:v>Blue Raspberry</x:v>
      </x:c>
      <x:c r="I319" t="str"/>
      <x:c r="J319" t="str">
        <x:v>Unit</x:v>
      </x:c>
      <x:c r="K319" t="str">
        <x:v>In stock</x:v>
      </x:c>
      <x:c r="L319" t="str">
        <x:v>2026-09-08</x:v>
      </x:c>
      <x:c r="M319" t="str"/>
      <x:c r="N319" t="str"/>
      <x:c r="O319" t="str">
        <x:v>https://www.activesportstrade.co.uk/trade-sports-supplements</x:v>
      </x:c>
      <x:c r="P319" t="str">
        <x:v>Supplier exposes slightly different gram weights by flavour; retained as one parent/variant family.</x:v>
      </x:c>
      <x:c r="Q319" t="str"/>
      <x:c r="R319" t="str"/>
      <x:c r="S319" t="str">
        <x:v>Pending genuine supplier/brand image</x:v>
      </x:c>
      <x:c r="T319" s="54"/>
      <x:c r="U319" s="47" t="n">
        <x:v>0.2</x:v>
      </x:c>
      <x:c r="V319" s="54" t="str">
        <x:f>IF(ISNUMBER(T319),T319*(1+U319),"")</x:f>
      </x:c>
      <x:c r="W319" s="47" t="n">
        <x:v>0.3</x:v>
      </x:c>
      <x:c r="X319" s="54" t="str">
        <x:f>IF(ISNUMBER(V319),V319/(1-W319),"")</x:f>
      </x:c>
      <x:c r="Y319" s="55" t="str">
        <x:f>IF(ISNUMBER(X319),ROUNDUP(X319,0),"")</x:f>
      </x:c>
      <x:c r="Z319" t="str">
        <x:f>IF(ISNUMBER(T319),"Cost captured","Awaiting trade cost")</x:f>
        <x:v>Awaiting trade cost</x:v>
      </x:c>
      <x:c r="AB319" s="36" t="str">
        <x:f>IF(ISNUMBER(Y319),ROUND(Y319*0.9,2),"")</x:f>
      </x:c>
      <x:c r="AC319" s="36" t="str">
        <x:f>IF(ISNUMBER(AB319),ROUND(AB319-(AB319*0.015+0.2)-V319,2),"")</x:f>
      </x:c>
      <x:c r="AD319" s="36" t="str">
        <x:f>IF(ISNUMBER(Y319),ROUND(Y319*0.8,2),"")</x:f>
      </x:c>
      <x:c r="AE319" s="36" t="str">
        <x:f>IF(ISNUMBER(AD319),ROUND(AD319*0.015+0.2,2),"")</x:f>
      </x:c>
      <x:c r="AF319" s="36" t="str">
        <x:f>IF(ISNUMBER(AD319),ROUND(AD319-AE319-V319,2),"")</x:f>
      </x:c>
      <x:c r="AG319" t="str">
        <x:f>IF(NOT(ISNUMBER(T319)),"PENDING",IF(AF319&gt;0,"PASS","FAIL"))</x:f>
        <x:v>PENDING</x:v>
      </x:c>
      <x:c r="AH319" t="str">
        <x:f>IF(NOT(ISNUMBER(T319)),"Needs supplier cost",IF(K319&lt;&gt;"In stock","Supplier unavailable",IF(AG319&lt;&gt;"PASS","BLOCK - GT loss risk","Commercially protected")))</x:f>
        <x:v>Needs supplier cost</x:v>
      </x:c>
      <x:c r="AI319" t="str">
        <x:v>2026-09-10 Active Sports trade capture</x:v>
      </x:c>
      <x:c r="AJ319" t="str">
        <x:v>Management-only economics. Stripe stress test uses 1.5% + £0.20 standard UK online-card fee; pallet/mix-and-match pricing ignored.</x:v>
      </x:c>
    </x:row>
    <x:row r="320">
      <x:c r="A320" t="str">
        <x:v>Active Sports Nutrition</x:v>
      </x:c>
      <x:c r="B320" t="str">
        <x:v>Animal</x:v>
      </x:c>
      <x:c r="C320" t="str">
        <x:v>Fury Pre Workout</x:v>
      </x:c>
      <x:c r="D320" t="str">
        <x:v>Pre Workouts</x:v>
      </x:c>
      <x:c r="E320" t="str">
        <x:v>High Stim</x:v>
      </x:c>
      <x:c r="F320" t="str">
        <x:v>High-stimulant pre-workout.</x:v>
      </x:c>
      <x:c r="G320" t="str">
        <x:v>491-512g</x:v>
      </x:c>
      <x:c r="H320" t="str">
        <x:v>Green Apple</x:v>
      </x:c>
      <x:c r="I320" t="str"/>
      <x:c r="J320" t="str">
        <x:v>Unit</x:v>
      </x:c>
      <x:c r="K320" t="str">
        <x:v>Out of stock</x:v>
      </x:c>
      <x:c r="L320" t="str">
        <x:v>2026-09-08</x:v>
      </x:c>
      <x:c r="M320" t="str"/>
      <x:c r="N320" t="str"/>
      <x:c r="O320" t="str">
        <x:v>https://www.activesportstrade.co.uk/trade-sports-supplements</x:v>
      </x:c>
      <x:c r="P320" t="str">
        <x:v>Supplier exposes slightly different gram weights by flavour; retained as one parent/variant family.</x:v>
      </x:c>
      <x:c r="Q320" t="str"/>
      <x:c r="R320" t="str"/>
      <x:c r="S320" t="str">
        <x:v>Pending genuine supplier/brand image</x:v>
      </x:c>
      <x:c r="T320" s="54"/>
      <x:c r="U320" s="47" t="n">
        <x:v>0.2</x:v>
      </x:c>
      <x:c r="V320" s="54" t="str">
        <x:f>IF(ISNUMBER(T320),T320*(1+U320),"")</x:f>
      </x:c>
      <x:c r="W320" s="47" t="n">
        <x:v>0.3</x:v>
      </x:c>
      <x:c r="X320" s="54" t="str">
        <x:f>IF(ISNUMBER(V320),V320/(1-W320),"")</x:f>
      </x:c>
      <x:c r="Y320" s="55" t="str">
        <x:f>IF(ISNUMBER(X320),ROUNDUP(X320,0),"")</x:f>
      </x:c>
      <x:c r="Z320" t="str">
        <x:f>IF(ISNUMBER(T320),"Cost captured","Awaiting trade cost")</x:f>
        <x:v>Awaiting trade cost</x:v>
      </x:c>
      <x:c r="AB320" s="36" t="str">
        <x:f>IF(ISNUMBER(Y320),ROUND(Y320*0.9,2),"")</x:f>
      </x:c>
      <x:c r="AC320" s="36" t="str">
        <x:f>IF(ISNUMBER(AB320),ROUND(AB320-(AB320*0.015+0.2)-V320,2),"")</x:f>
      </x:c>
      <x:c r="AD320" s="36" t="str">
        <x:f>IF(ISNUMBER(Y320),ROUND(Y320*0.8,2),"")</x:f>
      </x:c>
      <x:c r="AE320" s="36" t="str">
        <x:f>IF(ISNUMBER(AD320),ROUND(AD320*0.015+0.2,2),"")</x:f>
      </x:c>
      <x:c r="AF320" s="36" t="str">
        <x:f>IF(ISNUMBER(AD320),ROUND(AD320-AE320-V320,2),"")</x:f>
      </x:c>
      <x:c r="AG320" t="str">
        <x:f>IF(NOT(ISNUMBER(T320)),"PENDING",IF(AF320&gt;0,"PASS","FAIL"))</x:f>
        <x:v>PENDING</x:v>
      </x:c>
      <x:c r="AH320" t="str">
        <x:f>IF(NOT(ISNUMBER(T320)),"Needs supplier cost",IF(K320&lt;&gt;"In stock","Supplier unavailable",IF(AG320&lt;&gt;"PASS","BLOCK - GT loss risk","Commercially protected")))</x:f>
        <x:v>Needs supplier cost</x:v>
      </x:c>
      <x:c r="AI320" t="str">
        <x:v>2026-09-10 Active Sports trade capture</x:v>
      </x:c>
      <x:c r="AJ320" t="str">
        <x:v>Management-only economics. Stripe stress test uses 1.5% + £0.20 standard UK online-card fee; pallet/mix-and-match pricing ignored.</x:v>
      </x:c>
    </x:row>
    <x:row r="321">
      <x:c r="A321" t="str">
        <x:v>Active Sports Nutrition</x:v>
      </x:c>
      <x:c r="B321" t="str">
        <x:v>Animal</x:v>
      </x:c>
      <x:c r="C321" t="str">
        <x:v>Fury Pre Workout</x:v>
      </x:c>
      <x:c r="D321" t="str">
        <x:v>Pre Workouts</x:v>
      </x:c>
      <x:c r="E321" t="str">
        <x:v>High Stim</x:v>
      </x:c>
      <x:c r="F321" t="str">
        <x:v>High-stimulant pre-workout.</x:v>
      </x:c>
      <x:c r="G321" t="str">
        <x:v>491-512g</x:v>
      </x:c>
      <x:c r="H321" t="str">
        <x:v>Kiwi Lime</x:v>
      </x:c>
      <x:c r="I321" t="str"/>
      <x:c r="J321" t="str">
        <x:v>Unit</x:v>
      </x:c>
      <x:c r="K321" t="str">
        <x:v>In stock</x:v>
      </x:c>
      <x:c r="L321" t="str">
        <x:v>2026-09-08</x:v>
      </x:c>
      <x:c r="M321" t="str"/>
      <x:c r="N321" t="str"/>
      <x:c r="O321" t="str">
        <x:v>https://www.activesportstrade.co.uk/trade-sports-supplements</x:v>
      </x:c>
      <x:c r="P321" t="str">
        <x:v>Supplier exposes slightly different gram weights by flavour; retained as one parent/variant family.</x:v>
      </x:c>
      <x:c r="Q321" t="str"/>
      <x:c r="R321" t="str"/>
      <x:c r="S321" t="str">
        <x:v>Pending genuine supplier/brand image</x:v>
      </x:c>
      <x:c r="T321" s="54"/>
      <x:c r="U321" s="47" t="n">
        <x:v>0.2</x:v>
      </x:c>
      <x:c r="V321" s="54" t="str">
        <x:f>IF(ISNUMBER(T321),T321*(1+U321),"")</x:f>
      </x:c>
      <x:c r="W321" s="47" t="n">
        <x:v>0.3</x:v>
      </x:c>
      <x:c r="X321" s="54" t="str">
        <x:f>IF(ISNUMBER(V321),V321/(1-W321),"")</x:f>
      </x:c>
      <x:c r="Y321" s="55" t="str">
        <x:f>IF(ISNUMBER(X321),ROUNDUP(X321,0),"")</x:f>
      </x:c>
      <x:c r="Z321" t="str">
        <x:f>IF(ISNUMBER(T321),"Cost captured","Awaiting trade cost")</x:f>
        <x:v>Awaiting trade cost</x:v>
      </x:c>
      <x:c r="AB321" s="36" t="str">
        <x:f>IF(ISNUMBER(Y321),ROUND(Y321*0.9,2),"")</x:f>
      </x:c>
      <x:c r="AC321" s="36" t="str">
        <x:f>IF(ISNUMBER(AB321),ROUND(AB321-(AB321*0.015+0.2)-V321,2),"")</x:f>
      </x:c>
      <x:c r="AD321" s="36" t="str">
        <x:f>IF(ISNUMBER(Y321),ROUND(Y321*0.8,2),"")</x:f>
      </x:c>
      <x:c r="AE321" s="36" t="str">
        <x:f>IF(ISNUMBER(AD321),ROUND(AD321*0.015+0.2,2),"")</x:f>
      </x:c>
      <x:c r="AF321" s="36" t="str">
        <x:f>IF(ISNUMBER(AD321),ROUND(AD321-AE321-V321,2),"")</x:f>
      </x:c>
      <x:c r="AG321" t="str">
        <x:f>IF(NOT(ISNUMBER(T321)),"PENDING",IF(AF321&gt;0,"PASS","FAIL"))</x:f>
        <x:v>PENDING</x:v>
      </x:c>
      <x:c r="AH321" t="str">
        <x:f>IF(NOT(ISNUMBER(T321)),"Needs supplier cost",IF(K321&lt;&gt;"In stock","Supplier unavailable",IF(AG321&lt;&gt;"PASS","BLOCK - GT loss risk","Commercially protected")))</x:f>
        <x:v>Needs supplier cost</x:v>
      </x:c>
      <x:c r="AI321" t="str">
        <x:v>2026-09-10 Active Sports trade capture</x:v>
      </x:c>
      <x:c r="AJ321" t="str">
        <x:v>Management-only economics. Stripe stress test uses 1.5% + £0.20 standard UK online-card fee; pallet/mix-and-match pricing ignored.</x:v>
      </x:c>
    </x:row>
    <x:row r="322">
      <x:c r="A322" t="str">
        <x:v>Active Sports Nutrition</x:v>
      </x:c>
      <x:c r="B322" t="str">
        <x:v>Animal</x:v>
      </x:c>
      <x:c r="C322" t="str">
        <x:v>Fury Pre Workout</x:v>
      </x:c>
      <x:c r="D322" t="str">
        <x:v>Pre Workouts</x:v>
      </x:c>
      <x:c r="E322" t="str">
        <x:v>High Stim</x:v>
      </x:c>
      <x:c r="F322" t="str">
        <x:v>High-stimulant pre-workout.</x:v>
      </x:c>
      <x:c r="G322" t="str">
        <x:v>491-512g</x:v>
      </x:c>
      <x:c r="H322" t="str">
        <x:v>Watermelon</x:v>
      </x:c>
      <x:c r="I322" t="str"/>
      <x:c r="J322" t="str">
        <x:v>Unit</x:v>
      </x:c>
      <x:c r="K322" t="str">
        <x:v>In stock</x:v>
      </x:c>
      <x:c r="L322" t="str">
        <x:v>2026-09-08</x:v>
      </x:c>
      <x:c r="M322" t="str"/>
      <x:c r="N322" t="str"/>
      <x:c r="O322" t="str">
        <x:v>https://www.activesportstrade.co.uk/trade-sports-supplements</x:v>
      </x:c>
      <x:c r="P322" t="str">
        <x:v>Supplier exposes slightly different gram weights by flavour; retained as one parent/variant family.</x:v>
      </x:c>
      <x:c r="Q322" t="str"/>
      <x:c r="R322" t="str"/>
      <x:c r="S322" t="str">
        <x:v>Pending genuine supplier/brand image</x:v>
      </x:c>
      <x:c r="T322" s="54"/>
      <x:c r="U322" s="47" t="n">
        <x:v>0.2</x:v>
      </x:c>
      <x:c r="V322" s="54" t="str">
        <x:f>IF(ISNUMBER(T322),T322*(1+U322),"")</x:f>
      </x:c>
      <x:c r="W322" s="47" t="n">
        <x:v>0.3</x:v>
      </x:c>
      <x:c r="X322" s="54" t="str">
        <x:f>IF(ISNUMBER(V322),V322/(1-W322),"")</x:f>
      </x:c>
      <x:c r="Y322" s="55" t="str">
        <x:f>IF(ISNUMBER(X322),ROUNDUP(X322,0),"")</x:f>
      </x:c>
      <x:c r="Z322" t="str">
        <x:f>IF(ISNUMBER(T322),"Cost captured","Awaiting trade cost")</x:f>
        <x:v>Awaiting trade cost</x:v>
      </x:c>
      <x:c r="AB322" s="36" t="str">
        <x:f>IF(ISNUMBER(Y322),ROUND(Y322*0.9,2),"")</x:f>
      </x:c>
      <x:c r="AC322" s="36" t="str">
        <x:f>IF(ISNUMBER(AB322),ROUND(AB322-(AB322*0.015+0.2)-V322,2),"")</x:f>
      </x:c>
      <x:c r="AD322" s="36" t="str">
        <x:f>IF(ISNUMBER(Y322),ROUND(Y322*0.8,2),"")</x:f>
      </x:c>
      <x:c r="AE322" s="36" t="str">
        <x:f>IF(ISNUMBER(AD322),ROUND(AD322*0.015+0.2,2),"")</x:f>
      </x:c>
      <x:c r="AF322" s="36" t="str">
        <x:f>IF(ISNUMBER(AD322),ROUND(AD322-AE322-V322,2),"")</x:f>
      </x:c>
      <x:c r="AG322" t="str">
        <x:f>IF(NOT(ISNUMBER(T322)),"PENDING",IF(AF322&gt;0,"PASS","FAIL"))</x:f>
        <x:v>PENDING</x:v>
      </x:c>
      <x:c r="AH322" t="str">
        <x:f>IF(NOT(ISNUMBER(T322)),"Needs supplier cost",IF(K322&lt;&gt;"In stock","Supplier unavailable",IF(AG322&lt;&gt;"PASS","BLOCK - GT loss risk","Commercially protected")))</x:f>
        <x:v>Needs supplier cost</x:v>
      </x:c>
      <x:c r="AI322" t="str">
        <x:v>2026-09-10 Active Sports trade capture</x:v>
      </x:c>
      <x:c r="AJ322" t="str">
        <x:v>Management-only economics. Stripe stress test uses 1.5% + £0.20 standard UK online-card fee; pallet/mix-and-match pricing ignored.</x:v>
      </x:c>
    </x:row>
    <x:row r="323">
      <x:c r="A323" t="str">
        <x:v>Active Sports Nutrition</x:v>
      </x:c>
      <x:c r="B323" t="str">
        <x:v>Animal</x:v>
      </x:c>
      <x:c r="C323" t="str">
        <x:v>Juiced Aminos</x:v>
      </x:c>
      <x:c r="D323" t="str">
        <x:v>Supplements</x:v>
      </x:c>
      <x:c r="E323" t="str">
        <x:v>Amino Acids</x:v>
      </x:c>
      <x:c r="F323" t="str">
        <x:v>Amino acid recovery/performance formula.</x:v>
      </x:c>
      <x:c r="G323" t="str">
        <x:v>385g</x:v>
      </x:c>
      <x:c r="H323" t="str">
        <x:v>Fruit Punch</x:v>
      </x:c>
      <x:c r="I323" t="str"/>
      <x:c r="J323" t="str">
        <x:v>Unit</x:v>
      </x:c>
      <x:c r="K323" t="str">
        <x:v>In stock</x:v>
      </x:c>
      <x:c r="L323" t="str">
        <x:v>2026-09-08</x:v>
      </x:c>
      <x:c r="M323" t="str"/>
      <x:c r="N323" t="str"/>
      <x:c r="O323" t="str">
        <x:v>https://www.activesportstrade.co.uk/trade-sports-supplements</x:v>
      </x:c>
      <x:c r="P323" t="str"/>
      <x:c r="Q323" t="str"/>
      <x:c r="R323" t="str"/>
      <x:c r="S323" t="str">
        <x:v>Pending genuine supplier/brand image</x:v>
      </x:c>
      <x:c r="T323" s="54"/>
      <x:c r="U323" s="47" t="n">
        <x:v>0.2</x:v>
      </x:c>
      <x:c r="V323" s="54" t="str">
        <x:f>IF(ISNUMBER(T323),T323*(1+U323),"")</x:f>
      </x:c>
      <x:c r="W323" s="47" t="n">
        <x:v>0.3</x:v>
      </x:c>
      <x:c r="X323" s="54" t="str">
        <x:f>IF(ISNUMBER(V323),V323/(1-W323),"")</x:f>
      </x:c>
      <x:c r="Y323" s="55" t="str">
        <x:f>IF(ISNUMBER(X323),ROUNDUP(X323,0),"")</x:f>
      </x:c>
      <x:c r="Z323" t="str">
        <x:f>IF(ISNUMBER(T323),"Cost captured","Awaiting trade cost")</x:f>
        <x:v>Awaiting trade cost</x:v>
      </x:c>
      <x:c r="AB323" s="36" t="str">
        <x:f>IF(ISNUMBER(Y323),ROUND(Y323*0.9,2),"")</x:f>
      </x:c>
      <x:c r="AC323" s="36" t="str">
        <x:f>IF(ISNUMBER(AB323),ROUND(AB323-(AB323*0.015+0.2)-V323,2),"")</x:f>
      </x:c>
      <x:c r="AD323" s="36" t="str">
        <x:f>IF(ISNUMBER(Y323),ROUND(Y323*0.8,2),"")</x:f>
      </x:c>
      <x:c r="AE323" s="36" t="str">
        <x:f>IF(ISNUMBER(AD323),ROUND(AD323*0.015+0.2,2),"")</x:f>
      </x:c>
      <x:c r="AF323" s="36" t="str">
        <x:f>IF(ISNUMBER(AD323),ROUND(AD323-AE323-V323,2),"")</x:f>
      </x:c>
      <x:c r="AG323" t="str">
        <x:f>IF(NOT(ISNUMBER(T323)),"PENDING",IF(AF323&gt;0,"PASS","FAIL"))</x:f>
        <x:v>PENDING</x:v>
      </x:c>
      <x:c r="AH323" t="str">
        <x:f>IF(NOT(ISNUMBER(T323)),"Needs supplier cost",IF(K323&lt;&gt;"In stock","Supplier unavailable",IF(AG323&lt;&gt;"PASS","BLOCK - GT loss risk","Commercially protected")))</x:f>
        <x:v>Needs supplier cost</x:v>
      </x:c>
      <x:c r="AI323" t="str">
        <x:v>2026-09-10 Active Sports trade capture</x:v>
      </x:c>
      <x:c r="AJ323" t="str">
        <x:v>Management-only economics. Stripe stress test uses 1.5% + £0.20 standard UK online-card fee; pallet/mix-and-match pricing ignored.</x:v>
      </x:c>
    </x:row>
    <x:row r="324">
      <x:c r="A324" t="str">
        <x:v>Active Sports Nutrition</x:v>
      </x:c>
      <x:c r="B324" t="str">
        <x:v>Animal</x:v>
      </x:c>
      <x:c r="C324" t="str">
        <x:v>Juiced Aminos</x:v>
      </x:c>
      <x:c r="D324" t="str">
        <x:v>Supplements</x:v>
      </x:c>
      <x:c r="E324" t="str">
        <x:v>Amino Acids</x:v>
      </x:c>
      <x:c r="F324" t="str">
        <x:v>Amino acid recovery/performance formula.</x:v>
      </x:c>
      <x:c r="G324" t="str">
        <x:v>385g</x:v>
      </x:c>
      <x:c r="H324" t="str">
        <x:v>Grape Juiced</x:v>
      </x:c>
      <x:c r="I324" t="str"/>
      <x:c r="J324" t="str">
        <x:v>Unit</x:v>
      </x:c>
      <x:c r="K324" t="str">
        <x:v>In stock</x:v>
      </x:c>
      <x:c r="L324" t="str">
        <x:v>2026-09-08</x:v>
      </x:c>
      <x:c r="M324" t="str"/>
      <x:c r="N324" t="str"/>
      <x:c r="O324" t="str">
        <x:v>https://www.activesportstrade.co.uk/trade-sports-supplements</x:v>
      </x:c>
      <x:c r="P324" t="str"/>
      <x:c r="Q324" t="str"/>
      <x:c r="R324" t="str"/>
      <x:c r="S324" t="str">
        <x:v>Pending genuine supplier/brand image</x:v>
      </x:c>
      <x:c r="T324" s="54"/>
      <x:c r="U324" s="47" t="n">
        <x:v>0.2</x:v>
      </x:c>
      <x:c r="V324" s="54" t="str">
        <x:f>IF(ISNUMBER(T324),T324*(1+U324),"")</x:f>
      </x:c>
      <x:c r="W324" s="47" t="n">
        <x:v>0.3</x:v>
      </x:c>
      <x:c r="X324" s="54" t="str">
        <x:f>IF(ISNUMBER(V324),V324/(1-W324),"")</x:f>
      </x:c>
      <x:c r="Y324" s="55" t="str">
        <x:f>IF(ISNUMBER(X324),ROUNDUP(X324,0),"")</x:f>
      </x:c>
      <x:c r="Z324" t="str">
        <x:f>IF(ISNUMBER(T324),"Cost captured","Awaiting trade cost")</x:f>
        <x:v>Awaiting trade cost</x:v>
      </x:c>
      <x:c r="AB324" s="36" t="str">
        <x:f>IF(ISNUMBER(Y324),ROUND(Y324*0.9,2),"")</x:f>
      </x:c>
      <x:c r="AC324" s="36" t="str">
        <x:f>IF(ISNUMBER(AB324),ROUND(AB324-(AB324*0.015+0.2)-V324,2),"")</x:f>
      </x:c>
      <x:c r="AD324" s="36" t="str">
        <x:f>IF(ISNUMBER(Y324),ROUND(Y324*0.8,2),"")</x:f>
      </x:c>
      <x:c r="AE324" s="36" t="str">
        <x:f>IF(ISNUMBER(AD324),ROUND(AD324*0.015+0.2,2),"")</x:f>
      </x:c>
      <x:c r="AF324" s="36" t="str">
        <x:f>IF(ISNUMBER(AD324),ROUND(AD324-AE324-V324,2),"")</x:f>
      </x:c>
      <x:c r="AG324" t="str">
        <x:f>IF(NOT(ISNUMBER(T324)),"PENDING",IF(AF324&gt;0,"PASS","FAIL"))</x:f>
        <x:v>PENDING</x:v>
      </x:c>
      <x:c r="AH324" t="str">
        <x:f>IF(NOT(ISNUMBER(T324)),"Needs supplier cost",IF(K324&lt;&gt;"In stock","Supplier unavailable",IF(AG324&lt;&gt;"PASS","BLOCK - GT loss risk","Commercially protected")))</x:f>
        <x:v>Needs supplier cost</x:v>
      </x:c>
      <x:c r="AI324" t="str">
        <x:v>2026-09-10 Active Sports trade capture</x:v>
      </x:c>
      <x:c r="AJ324" t="str">
        <x:v>Management-only economics. Stripe stress test uses 1.5% + £0.20 standard UK online-card fee; pallet/mix-and-match pricing ignored.</x:v>
      </x:c>
    </x:row>
    <x:row r="325">
      <x:c r="A325" t="str">
        <x:v>Active Sports Nutrition</x:v>
      </x:c>
      <x:c r="B325" t="str">
        <x:v>Animal</x:v>
      </x:c>
      <x:c r="C325" t="str">
        <x:v>Juiced Aminos</x:v>
      </x:c>
      <x:c r="D325" t="str">
        <x:v>Supplements</x:v>
      </x:c>
      <x:c r="E325" t="str">
        <x:v>Amino Acids</x:v>
      </x:c>
      <x:c r="F325" t="str">
        <x:v>Amino acid recovery/performance formula.</x:v>
      </x:c>
      <x:c r="G325" t="str">
        <x:v>385g</x:v>
      </x:c>
      <x:c r="H325" t="str">
        <x:v>Orange Juiced</x:v>
      </x:c>
      <x:c r="I325" t="str"/>
      <x:c r="J325" t="str">
        <x:v>Unit</x:v>
      </x:c>
      <x:c r="K325" t="str">
        <x:v>In stock</x:v>
      </x:c>
      <x:c r="L325" t="str">
        <x:v>2026-09-08</x:v>
      </x:c>
      <x:c r="M325" t="str"/>
      <x:c r="N325" t="str"/>
      <x:c r="O325" t="str">
        <x:v>https://www.activesportstrade.co.uk/trade-sports-supplements</x:v>
      </x:c>
      <x:c r="P325" t="str"/>
      <x:c r="Q325" t="str"/>
      <x:c r="R325" t="str"/>
      <x:c r="S325" t="str">
        <x:v>Pending genuine supplier/brand image</x:v>
      </x:c>
      <x:c r="T325" s="54"/>
      <x:c r="U325" s="47" t="n">
        <x:v>0.2</x:v>
      </x:c>
      <x:c r="V325" s="54" t="str">
        <x:f>IF(ISNUMBER(T325),T325*(1+U325),"")</x:f>
      </x:c>
      <x:c r="W325" s="47" t="n">
        <x:v>0.3</x:v>
      </x:c>
      <x:c r="X325" s="54" t="str">
        <x:f>IF(ISNUMBER(V325),V325/(1-W325),"")</x:f>
      </x:c>
      <x:c r="Y325" s="55" t="str">
        <x:f>IF(ISNUMBER(X325),ROUNDUP(X325,0),"")</x:f>
      </x:c>
      <x:c r="Z325" t="str">
        <x:f>IF(ISNUMBER(T325),"Cost captured","Awaiting trade cost")</x:f>
        <x:v>Awaiting trade cost</x:v>
      </x:c>
      <x:c r="AB325" s="36" t="str">
        <x:f>IF(ISNUMBER(Y325),ROUND(Y325*0.9,2),"")</x:f>
      </x:c>
      <x:c r="AC325" s="36" t="str">
        <x:f>IF(ISNUMBER(AB325),ROUND(AB325-(AB325*0.015+0.2)-V325,2),"")</x:f>
      </x:c>
      <x:c r="AD325" s="36" t="str">
        <x:f>IF(ISNUMBER(Y325),ROUND(Y325*0.8,2),"")</x:f>
      </x:c>
      <x:c r="AE325" s="36" t="str">
        <x:f>IF(ISNUMBER(AD325),ROUND(AD325*0.015+0.2,2),"")</x:f>
      </x:c>
      <x:c r="AF325" s="36" t="str">
        <x:f>IF(ISNUMBER(AD325),ROUND(AD325-AE325-V325,2),"")</x:f>
      </x:c>
      <x:c r="AG325" t="str">
        <x:f>IF(NOT(ISNUMBER(T325)),"PENDING",IF(AF325&gt;0,"PASS","FAIL"))</x:f>
        <x:v>PENDING</x:v>
      </x:c>
      <x:c r="AH325" t="str">
        <x:f>IF(NOT(ISNUMBER(T325)),"Needs supplier cost",IF(K325&lt;&gt;"In stock","Supplier unavailable",IF(AG325&lt;&gt;"PASS","BLOCK - GT loss risk","Commercially protected")))</x:f>
        <x:v>Needs supplier cost</x:v>
      </x:c>
      <x:c r="AI325" t="str">
        <x:v>2026-09-10 Active Sports trade capture</x:v>
      </x:c>
      <x:c r="AJ325" t="str">
        <x:v>Management-only economics. Stripe stress test uses 1.5% + £0.20 standard UK online-card fee; pallet/mix-and-match pricing ignored.</x:v>
      </x:c>
    </x:row>
    <x:row r="326">
      <x:c r="A326" t="str">
        <x:v>Active Sports Nutrition</x:v>
      </x:c>
      <x:c r="B326" t="str">
        <x:v>Animal</x:v>
      </x:c>
      <x:c r="C326" t="str">
        <x:v>Juiced Aminos</x:v>
      </x:c>
      <x:c r="D326" t="str">
        <x:v>Supplements</x:v>
      </x:c>
      <x:c r="E326" t="str">
        <x:v>Amino Acids</x:v>
      </x:c>
      <x:c r="F326" t="str">
        <x:v>Amino acid recovery/performance formula.</x:v>
      </x:c>
      <x:c r="G326" t="str">
        <x:v>385g</x:v>
      </x:c>
      <x:c r="H326" t="str">
        <x:v>Strawberry Limeade</x:v>
      </x:c>
      <x:c r="I326" t="str"/>
      <x:c r="J326" t="str">
        <x:v>Unit</x:v>
      </x:c>
      <x:c r="K326" t="str">
        <x:v>In stock</x:v>
      </x:c>
      <x:c r="L326" t="str">
        <x:v>2026-09-08</x:v>
      </x:c>
      <x:c r="M326" t="str"/>
      <x:c r="N326" t="str"/>
      <x:c r="O326" t="str">
        <x:v>https://www.activesportstrade.co.uk/trade-sports-supplements</x:v>
      </x:c>
      <x:c r="P326" t="str"/>
      <x:c r="Q326" t="str"/>
      <x:c r="R326" t="str"/>
      <x:c r="S326" t="str">
        <x:v>Pending genuine supplier/brand image</x:v>
      </x:c>
      <x:c r="T326" s="54"/>
      <x:c r="U326" s="47" t="n">
        <x:v>0.2</x:v>
      </x:c>
      <x:c r="V326" s="54" t="str">
        <x:f>IF(ISNUMBER(T326),T326*(1+U326),"")</x:f>
      </x:c>
      <x:c r="W326" s="47" t="n">
        <x:v>0.3</x:v>
      </x:c>
      <x:c r="X326" s="54" t="str">
        <x:f>IF(ISNUMBER(V326),V326/(1-W326),"")</x:f>
      </x:c>
      <x:c r="Y326" s="55" t="str">
        <x:f>IF(ISNUMBER(X326),ROUNDUP(X326,0),"")</x:f>
      </x:c>
      <x:c r="Z326" t="str">
        <x:f>IF(ISNUMBER(T326),"Cost captured","Awaiting trade cost")</x:f>
        <x:v>Awaiting trade cost</x:v>
      </x:c>
      <x:c r="AB326" s="36" t="str">
        <x:f>IF(ISNUMBER(Y326),ROUND(Y326*0.9,2),"")</x:f>
      </x:c>
      <x:c r="AC326" s="36" t="str">
        <x:f>IF(ISNUMBER(AB326),ROUND(AB326-(AB326*0.015+0.2)-V326,2),"")</x:f>
      </x:c>
      <x:c r="AD326" s="36" t="str">
        <x:f>IF(ISNUMBER(Y326),ROUND(Y326*0.8,2),"")</x:f>
      </x:c>
      <x:c r="AE326" s="36" t="str">
        <x:f>IF(ISNUMBER(AD326),ROUND(AD326*0.015+0.2,2),"")</x:f>
      </x:c>
      <x:c r="AF326" s="36" t="str">
        <x:f>IF(ISNUMBER(AD326),ROUND(AD326-AE326-V326,2),"")</x:f>
      </x:c>
      <x:c r="AG326" t="str">
        <x:f>IF(NOT(ISNUMBER(T326)),"PENDING",IF(AF326&gt;0,"PASS","FAIL"))</x:f>
        <x:v>PENDING</x:v>
      </x:c>
      <x:c r="AH326" t="str">
        <x:f>IF(NOT(ISNUMBER(T326)),"Needs supplier cost",IF(K326&lt;&gt;"In stock","Supplier unavailable",IF(AG326&lt;&gt;"PASS","BLOCK - GT loss risk","Commercially protected")))</x:f>
        <x:v>Needs supplier cost</x:v>
      </x:c>
      <x:c r="AI326" t="str">
        <x:v>2026-09-10 Active Sports trade capture</x:v>
      </x:c>
      <x:c r="AJ326" t="str">
        <x:v>Management-only economics. Stripe stress test uses 1.5% + £0.20 standard UK online-card fee; pallet/mix-and-match pricing ignored.</x:v>
      </x:c>
    </x:row>
    <x:row r="327">
      <x:c r="A327" t="str">
        <x:v>Active Sports Nutrition</x:v>
      </x:c>
      <x:c r="B327" t="str">
        <x:v>Animal</x:v>
      </x:c>
      <x:c r="C327" t="str">
        <x:v>M-Stak</x:v>
      </x:c>
      <x:c r="D327" t="str">
        <x:v>Supplements</x:v>
      </x:c>
      <x:c r="E327" t="str">
        <x:v>All In Ones</x:v>
      </x:c>
      <x:c r="F327" t="str">
        <x:v>Hardgainer/anabolic support pack.</x:v>
      </x:c>
      <x:c r="G327" t="str">
        <x:v>21 packs</x:v>
      </x:c>
      <x:c r="H327" t="str">
        <x:v>Default</x:v>
      </x:c>
      <x:c r="I327" t="str"/>
      <x:c r="J327" t="str">
        <x:v>Unit</x:v>
      </x:c>
      <x:c r="K327" t="str">
        <x:v>In stock</x:v>
      </x:c>
      <x:c r="L327" t="str">
        <x:v>2026-09-08</x:v>
      </x:c>
      <x:c r="M327" t="str"/>
      <x:c r="N327" t="str"/>
      <x:c r="O327" t="str">
        <x:v>https://www.activesportstrade.co.uk/trade-sports-supplements</x:v>
      </x:c>
      <x:c r="P327" t="str"/>
      <x:c r="Q327" t="str"/>
      <x:c r="R327" t="str"/>
      <x:c r="S327" t="str">
        <x:v>Pending genuine supplier/brand image</x:v>
      </x:c>
      <x:c r="T327" s="54"/>
      <x:c r="U327" s="47" t="n">
        <x:v>0.2</x:v>
      </x:c>
      <x:c r="V327" s="54" t="str">
        <x:f>IF(ISNUMBER(T327),T327*(1+U327),"")</x:f>
      </x:c>
      <x:c r="W327" s="47" t="n">
        <x:v>0.3</x:v>
      </x:c>
      <x:c r="X327" s="54" t="str">
        <x:f>IF(ISNUMBER(V327),V327/(1-W327),"")</x:f>
      </x:c>
      <x:c r="Y327" s="55" t="str">
        <x:f>IF(ISNUMBER(X327),ROUNDUP(X327,0),"")</x:f>
      </x:c>
      <x:c r="Z327" t="str">
        <x:f>IF(ISNUMBER(T327),"Cost captured","Awaiting trade cost")</x:f>
        <x:v>Awaiting trade cost</x:v>
      </x:c>
      <x:c r="AB327" s="36" t="str">
        <x:f>IF(ISNUMBER(Y327),ROUND(Y327*0.9,2),"")</x:f>
      </x:c>
      <x:c r="AC327" s="36" t="str">
        <x:f>IF(ISNUMBER(AB327),ROUND(AB327-(AB327*0.015+0.2)-V327,2),"")</x:f>
      </x:c>
      <x:c r="AD327" s="36" t="str">
        <x:f>IF(ISNUMBER(Y327),ROUND(Y327*0.8,2),"")</x:f>
      </x:c>
      <x:c r="AE327" s="36" t="str">
        <x:f>IF(ISNUMBER(AD327),ROUND(AD327*0.015+0.2,2),"")</x:f>
      </x:c>
      <x:c r="AF327" s="36" t="str">
        <x:f>IF(ISNUMBER(AD327),ROUND(AD327-AE327-V327,2),"")</x:f>
      </x:c>
      <x:c r="AG327" t="str">
        <x:f>IF(NOT(ISNUMBER(T327)),"PENDING",IF(AF327&gt;0,"PASS","FAIL"))</x:f>
        <x:v>PENDING</x:v>
      </x:c>
      <x:c r="AH327" t="str">
        <x:f>IF(NOT(ISNUMBER(T327)),"Needs supplier cost",IF(K327&lt;&gt;"In stock","Supplier unavailable",IF(AG327&lt;&gt;"PASS","BLOCK - GT loss risk","Commercially protected")))</x:f>
        <x:v>Needs supplier cost</x:v>
      </x:c>
      <x:c r="AI327" t="str">
        <x:v>2026-09-10 Active Sports trade capture</x:v>
      </x:c>
      <x:c r="AJ327" t="str">
        <x:v>Management-only economics. Stripe stress test uses 1.5% + £0.20 standard UK online-card fee; pallet/mix-and-match pricing ignored.</x:v>
      </x:c>
    </x:row>
    <x:row r="328">
      <x:c r="A328" t="str">
        <x:v>Active Sports Nutrition</x:v>
      </x:c>
      <x:c r="B328" t="str">
        <x:v>Animal</x:v>
      </x:c>
      <x:c r="C328" t="str">
        <x:v>Nitro EAA</x:v>
      </x:c>
      <x:c r="D328" t="str">
        <x:v>Supplements</x:v>
      </x:c>
      <x:c r="E328" t="str">
        <x:v>Amino Acids</x:v>
      </x:c>
      <x:c r="F328" t="str">
        <x:v>Essential amino acid pack.</x:v>
      </x:c>
      <x:c r="G328" t="str">
        <x:v>44 packs</x:v>
      </x:c>
      <x:c r="H328" t="str">
        <x:v>Default</x:v>
      </x:c>
      <x:c r="I328" t="str"/>
      <x:c r="J328" t="str">
        <x:v>Unit</x:v>
      </x:c>
      <x:c r="K328" t="str">
        <x:v>In stock</x:v>
      </x:c>
      <x:c r="L328" t="str">
        <x:v>2026-09-08</x:v>
      </x:c>
      <x:c r="M328" t="str"/>
      <x:c r="N328" t="str"/>
      <x:c r="O328" t="str">
        <x:v>https://www.activesportstrade.co.uk/trade-sports-supplements</x:v>
      </x:c>
      <x:c r="P328" t="str"/>
      <x:c r="Q328" t="str"/>
      <x:c r="R328" t="str"/>
      <x:c r="S328" t="str">
        <x:v>Pending genuine supplier/brand image</x:v>
      </x:c>
      <x:c r="T328" s="54" t="n">
        <x:v>40.18</x:v>
      </x:c>
      <x:c r="U328" s="47" t="n">
        <x:v>0.2</x:v>
      </x:c>
      <x:c r="V328" s="54" t="n">
        <x:f>IF(ISNUMBER(T328),T328*(1+U328),"")</x:f>
        <x:v>48.216</x:v>
      </x:c>
      <x:c r="W328" s="47" t="n">
        <x:v>0.3</x:v>
      </x:c>
      <x:c r="X328" s="54" t="n">
        <x:f>IF(ISNUMBER(V328),V328/(1-W328),"")</x:f>
        <x:v>68.88000000000001</x:v>
      </x:c>
      <x:c r="Y328" s="55" t="n">
        <x:f>IF(ISNUMBER(X328),ROUNDUP(X328,0),"")</x:f>
        <x:v>69</x:v>
      </x:c>
      <x:c r="Z328" t="str">
        <x:v>Source match pending</x:v>
      </x:c>
      <x:c r="AA328" t="str">
        <x:v>screencapture-www-activesportstrade-co-uk-animal-supplements-trade-2026-09-09-18_14_46.png / page-001</x:v>
      </x:c>
      <x:c r="AB328" s="36" t="n">
        <x:f>IF(ISNUMBER(Y328),ROUND(Y328*0.9,2),"")</x:f>
        <x:v>62.1</x:v>
      </x:c>
      <x:c r="AC328" s="36" t="n">
        <x:f>IF(ISNUMBER(AB328),ROUND(AB328-(AB328*0.015+0.2)-V328,2),"")</x:f>
        <x:v>12.75</x:v>
      </x:c>
      <x:c r="AD328" s="36" t="n">
        <x:f>IF(ISNUMBER(Y328),ROUND(Y328*0.8,2),"")</x:f>
        <x:v>55.2</x:v>
      </x:c>
      <x:c r="AE328" s="36" t="n">
        <x:f>IF(ISNUMBER(AD328),ROUND(AD328*0.015+0.2,2),"")</x:f>
        <x:v>1.03</x:v>
      </x:c>
      <x:c r="AF328" s="36" t="n">
        <x:f>IF(ISNUMBER(AD328),ROUND(AD328-AE328-V328,2),"")</x:f>
        <x:v>5.95</x:v>
      </x:c>
      <x:c r="AG328" t="str">
        <x:f>IF(NOT(ISNUMBER(T328)),"PENDING",IF(AF328&gt;0,"PASS","FAIL"))</x:f>
        <x:v>PASS</x:v>
      </x:c>
      <x:c r="AH328" t="str">
        <x:f>IF(NOT(ISNUMBER(T328)),"Needs supplier cost",IF(K328&lt;&gt;"In stock","Supplier unavailable",IF(AG328&lt;&gt;"PASS","BLOCK - GT loss risk","Commercially protected")))</x:f>
        <x:v>Commercially protected</x:v>
      </x:c>
      <x:c r="AI328" t="str">
        <x:v>2026-09-10 Active Sports trade capture</x:v>
      </x:c>
      <x:c r="AJ328" t="str">
        <x:v>Management-only economics. Stripe stress test uses 1.5% + £0.20 standard UK online-card fee; pallet/mix-and-match pricing ignored.</x:v>
      </x:c>
    </x:row>
    <x:row r="329">
      <x:c r="A329" t="str">
        <x:v>Active Sports Nutrition</x:v>
      </x:c>
      <x:c r="B329" t="str">
        <x:v>Animal</x:v>
      </x:c>
      <x:c r="C329" t="str">
        <x:v>Omega</x:v>
      </x:c>
      <x:c r="D329" t="str">
        <x:v>Supplements</x:v>
      </x:c>
      <x:c r="E329" t="str">
        <x:v>Omega and EFA</x:v>
      </x:c>
      <x:c r="F329" t="str">
        <x:v>Essential fatty-acid support pack.</x:v>
      </x:c>
      <x:c r="G329" t="str">
        <x:v>30 packs</x:v>
      </x:c>
      <x:c r="H329" t="str">
        <x:v>Default</x:v>
      </x:c>
      <x:c r="I329" t="str"/>
      <x:c r="J329" t="str">
        <x:v>Unit</x:v>
      </x:c>
      <x:c r="K329" t="str">
        <x:v>Out of stock</x:v>
      </x:c>
      <x:c r="L329" t="str">
        <x:v>2026-09-08</x:v>
      </x:c>
      <x:c r="M329" t="str"/>
      <x:c r="N329" t="str"/>
      <x:c r="O329" t="str">
        <x:v>https://www.activesportstrade.co.uk/trade-sports-supplements</x:v>
      </x:c>
      <x:c r="P329" t="str"/>
      <x:c r="Q329" t="str"/>
      <x:c r="R329" t="str"/>
      <x:c r="S329" t="str">
        <x:v>Pending genuine supplier/brand image</x:v>
      </x:c>
      <x:c r="T329" s="54"/>
      <x:c r="U329" s="47" t="n">
        <x:v>0.2</x:v>
      </x:c>
      <x:c r="V329" s="54" t="str">
        <x:f>IF(ISNUMBER(T329),T329*(1+U329),"")</x:f>
      </x:c>
      <x:c r="W329" s="47" t="n">
        <x:v>0.3</x:v>
      </x:c>
      <x:c r="X329" s="54" t="str">
        <x:f>IF(ISNUMBER(V329),V329/(1-W329),"")</x:f>
      </x:c>
      <x:c r="Y329" s="55" t="str">
        <x:f>IF(ISNUMBER(X329),ROUNDUP(X329,0),"")</x:f>
      </x:c>
      <x:c r="Z329" t="str">
        <x:f>IF(ISNUMBER(T329),"Cost captured","Awaiting trade cost")</x:f>
        <x:v>Awaiting trade cost</x:v>
      </x:c>
      <x:c r="AB329" s="36" t="str">
        <x:f>IF(ISNUMBER(Y329),ROUND(Y329*0.9,2),"")</x:f>
      </x:c>
      <x:c r="AC329" s="36" t="str">
        <x:f>IF(ISNUMBER(AB329),ROUND(AB329-(AB329*0.015+0.2)-V329,2),"")</x:f>
      </x:c>
      <x:c r="AD329" s="36" t="str">
        <x:f>IF(ISNUMBER(Y329),ROUND(Y329*0.8,2),"")</x:f>
      </x:c>
      <x:c r="AE329" s="36" t="str">
        <x:f>IF(ISNUMBER(AD329),ROUND(AD329*0.015+0.2,2),"")</x:f>
      </x:c>
      <x:c r="AF329" s="36" t="str">
        <x:f>IF(ISNUMBER(AD329),ROUND(AD329-AE329-V329,2),"")</x:f>
      </x:c>
      <x:c r="AG329" t="str">
        <x:f>IF(NOT(ISNUMBER(T329)),"PENDING",IF(AF329&gt;0,"PASS","FAIL"))</x:f>
        <x:v>PENDING</x:v>
      </x:c>
      <x:c r="AH329" t="str">
        <x:f>IF(NOT(ISNUMBER(T329)),"Needs supplier cost",IF(K329&lt;&gt;"In stock","Supplier unavailable",IF(AG329&lt;&gt;"PASS","BLOCK - GT loss risk","Commercially protected")))</x:f>
        <x:v>Needs supplier cost</x:v>
      </x:c>
      <x:c r="AI329" t="str">
        <x:v>2026-09-10 Active Sports trade capture</x:v>
      </x:c>
      <x:c r="AJ329" t="str">
        <x:v>Management-only economics. Stripe stress test uses 1.5% + £0.20 standard UK online-card fee; pallet/mix-and-match pricing ignored.</x:v>
      </x:c>
    </x:row>
    <x:row r="330">
      <x:c r="A330" t="str">
        <x:v>Active Sports Nutrition</x:v>
      </x:c>
      <x:c r="B330" t="str">
        <x:v>Animal</x:v>
      </x:c>
      <x:c r="C330" t="str">
        <x:v>Pak</x:v>
      </x:c>
      <x:c r="D330" t="str">
        <x:v>Supplements</x:v>
      </x:c>
      <x:c r="E330" t="str">
        <x:v>All In Ones</x:v>
      </x:c>
      <x:c r="F330" t="str">
        <x:v>Daily performance multinutrient pack.</x:v>
      </x:c>
      <x:c r="G330" t="str">
        <x:v>44 packs</x:v>
      </x:c>
      <x:c r="H330" t="str">
        <x:v>EU Formula</x:v>
      </x:c>
      <x:c r="I330" t="str"/>
      <x:c r="J330" t="str">
        <x:v>Unit</x:v>
      </x:c>
      <x:c r="K330" t="str">
        <x:v>Out of stock</x:v>
      </x:c>
      <x:c r="L330" t="str">
        <x:v>2026-09-08</x:v>
      </x:c>
      <x:c r="M330" t="str"/>
      <x:c r="N330" t="str"/>
      <x:c r="O330" t="str">
        <x:v>https://www.activesportstrade.co.uk/trade-sports-supplements</x:v>
      </x:c>
      <x:c r="P330" t="str"/>
      <x:c r="Q330" t="str"/>
      <x:c r="R330" t="str"/>
      <x:c r="S330" t="str">
        <x:v>Pending genuine supplier/brand image</x:v>
      </x:c>
      <x:c r="T330" s="54"/>
      <x:c r="U330" s="47" t="n">
        <x:v>0.2</x:v>
      </x:c>
      <x:c r="V330" s="54" t="str">
        <x:f>IF(ISNUMBER(T330),T330*(1+U330),"")</x:f>
      </x:c>
      <x:c r="W330" s="47" t="n">
        <x:v>0.3</x:v>
      </x:c>
      <x:c r="X330" s="54" t="str">
        <x:f>IF(ISNUMBER(V330),V330/(1-W330),"")</x:f>
      </x:c>
      <x:c r="Y330" s="55" t="str">
        <x:f>IF(ISNUMBER(X330),ROUNDUP(X330,0),"")</x:f>
      </x:c>
      <x:c r="Z330" t="str">
        <x:f>IF(ISNUMBER(T330),"Cost captured","Awaiting trade cost")</x:f>
        <x:v>Awaiting trade cost</x:v>
      </x:c>
      <x:c r="AB330" s="36" t="str">
        <x:f>IF(ISNUMBER(Y330),ROUND(Y330*0.9,2),"")</x:f>
      </x:c>
      <x:c r="AC330" s="36" t="str">
        <x:f>IF(ISNUMBER(AB330),ROUND(AB330-(AB330*0.015+0.2)-V330,2),"")</x:f>
      </x:c>
      <x:c r="AD330" s="36" t="str">
        <x:f>IF(ISNUMBER(Y330),ROUND(Y330*0.8,2),"")</x:f>
      </x:c>
      <x:c r="AE330" s="36" t="str">
        <x:f>IF(ISNUMBER(AD330),ROUND(AD330*0.015+0.2,2),"")</x:f>
      </x:c>
      <x:c r="AF330" s="36" t="str">
        <x:f>IF(ISNUMBER(AD330),ROUND(AD330-AE330-V330,2),"")</x:f>
      </x:c>
      <x:c r="AG330" t="str">
        <x:f>IF(NOT(ISNUMBER(T330)),"PENDING",IF(AF330&gt;0,"PASS","FAIL"))</x:f>
        <x:v>PENDING</x:v>
      </x:c>
      <x:c r="AH330" t="str">
        <x:f>IF(NOT(ISNUMBER(T330)),"Needs supplier cost",IF(K330&lt;&gt;"In stock","Supplier unavailable",IF(AG330&lt;&gt;"PASS","BLOCK - GT loss risk","Commercially protected")))</x:f>
        <x:v>Needs supplier cost</x:v>
      </x:c>
      <x:c r="AI330" t="str">
        <x:v>2026-09-10 Active Sports trade capture</x:v>
      </x:c>
      <x:c r="AJ330" t="str">
        <x:v>Management-only economics. Stripe stress test uses 1.5% + £0.20 standard UK online-card fee; pallet/mix-and-match pricing ignored.</x:v>
      </x:c>
    </x:row>
    <x:row r="331">
      <x:c r="A331" t="str">
        <x:v>Active Sports Nutrition</x:v>
      </x:c>
      <x:c r="B331" t="str">
        <x:v>Animal</x:v>
      </x:c>
      <x:c r="C331" t="str">
        <x:v>Pak Powder</x:v>
      </x:c>
      <x:c r="D331" t="str">
        <x:v>Supplements</x:v>
      </x:c>
      <x:c r="E331" t="str">
        <x:v>All In Ones</x:v>
      </x:c>
      <x:c r="F331" t="str">
        <x:v>Powdered daily performance multinutrient formula.</x:v>
      </x:c>
      <x:c r="G331" t="str">
        <x:v>44 servings</x:v>
      </x:c>
      <x:c r="H331" t="str">
        <x:v>Cherry Bomb</x:v>
      </x:c>
      <x:c r="I331" t="str"/>
      <x:c r="J331" t="str">
        <x:v>Unit</x:v>
      </x:c>
      <x:c r="K331" t="str">
        <x:v>In stock</x:v>
      </x:c>
      <x:c r="L331" t="str">
        <x:v>2026-09-08</x:v>
      </x:c>
      <x:c r="M331" t="str"/>
      <x:c r="N331" t="str"/>
      <x:c r="O331" t="str">
        <x:v>https://www.activesportstrade.co.uk/trade-sports-supplements</x:v>
      </x:c>
      <x:c r="P331" t="str"/>
      <x:c r="Q331" t="str"/>
      <x:c r="R331" t="str"/>
      <x:c r="S331" t="str">
        <x:v>Pending genuine supplier/brand image</x:v>
      </x:c>
      <x:c r="T331" s="54"/>
      <x:c r="U331" s="47" t="n">
        <x:v>0.2</x:v>
      </x:c>
      <x:c r="V331" s="54" t="str">
        <x:f>IF(ISNUMBER(T331),T331*(1+U331),"")</x:f>
      </x:c>
      <x:c r="W331" s="47" t="n">
        <x:v>0.3</x:v>
      </x:c>
      <x:c r="X331" s="54" t="str">
        <x:f>IF(ISNUMBER(V331),V331/(1-W331),"")</x:f>
      </x:c>
      <x:c r="Y331" s="55" t="str">
        <x:f>IF(ISNUMBER(X331),ROUNDUP(X331,0),"")</x:f>
      </x:c>
      <x:c r="Z331" t="str">
        <x:f>IF(ISNUMBER(T331),"Cost captured","Awaiting trade cost")</x:f>
        <x:v>Awaiting trade cost</x:v>
      </x:c>
      <x:c r="AB331" s="36" t="str">
        <x:f>IF(ISNUMBER(Y331),ROUND(Y331*0.9,2),"")</x:f>
      </x:c>
      <x:c r="AC331" s="36" t="str">
        <x:f>IF(ISNUMBER(AB331),ROUND(AB331-(AB331*0.015+0.2)-V331,2),"")</x:f>
      </x:c>
      <x:c r="AD331" s="36" t="str">
        <x:f>IF(ISNUMBER(Y331),ROUND(Y331*0.8,2),"")</x:f>
      </x:c>
      <x:c r="AE331" s="36" t="str">
        <x:f>IF(ISNUMBER(AD331),ROUND(AD331*0.015+0.2,2),"")</x:f>
      </x:c>
      <x:c r="AF331" s="36" t="str">
        <x:f>IF(ISNUMBER(AD331),ROUND(AD331-AE331-V331,2),"")</x:f>
      </x:c>
      <x:c r="AG331" t="str">
        <x:f>IF(NOT(ISNUMBER(T331)),"PENDING",IF(AF331&gt;0,"PASS","FAIL"))</x:f>
        <x:v>PENDING</x:v>
      </x:c>
      <x:c r="AH331" t="str">
        <x:f>IF(NOT(ISNUMBER(T331)),"Needs supplier cost",IF(K331&lt;&gt;"In stock","Supplier unavailable",IF(AG331&lt;&gt;"PASS","BLOCK - GT loss risk","Commercially protected")))</x:f>
        <x:v>Needs supplier cost</x:v>
      </x:c>
      <x:c r="AI331" t="str">
        <x:v>2026-09-10 Active Sports trade capture</x:v>
      </x:c>
      <x:c r="AJ331" t="str">
        <x:v>Management-only economics. Stripe stress test uses 1.5% + £0.20 standard UK online-card fee; pallet/mix-and-match pricing ignored.</x:v>
      </x:c>
    </x:row>
    <x:row r="332">
      <x:c r="A332" t="str">
        <x:v>Active Sports Nutrition</x:v>
      </x:c>
      <x:c r="B332" t="str">
        <x:v>Animal</x:v>
      </x:c>
      <x:c r="C332" t="str">
        <x:v>Pak Powder</x:v>
      </x:c>
      <x:c r="D332" t="str">
        <x:v>Supplements</x:v>
      </x:c>
      <x:c r="E332" t="str">
        <x:v>All In Ones</x:v>
      </x:c>
      <x:c r="F332" t="str">
        <x:v>Powdered daily performance multinutrient formula.</x:v>
      </x:c>
      <x:c r="G332" t="str">
        <x:v>44 servings</x:v>
      </x:c>
      <x:c r="H332" t="str">
        <x:v>Orange</x:v>
      </x:c>
      <x:c r="I332" t="str"/>
      <x:c r="J332" t="str">
        <x:v>Unit</x:v>
      </x:c>
      <x:c r="K332" t="str">
        <x:v>In stock</x:v>
      </x:c>
      <x:c r="L332" t="str">
        <x:v>2026-09-08</x:v>
      </x:c>
      <x:c r="M332" t="str"/>
      <x:c r="N332" t="str"/>
      <x:c r="O332" t="str">
        <x:v>https://www.activesportstrade.co.uk/trade-sports-supplements</x:v>
      </x:c>
      <x:c r="P332" t="str"/>
      <x:c r="Q332" t="str"/>
      <x:c r="R332" t="str"/>
      <x:c r="S332" t="str">
        <x:v>Pending genuine supplier/brand image</x:v>
      </x:c>
      <x:c r="T332" s="54"/>
      <x:c r="U332" s="47" t="n">
        <x:v>0.2</x:v>
      </x:c>
      <x:c r="V332" s="54" t="str">
        <x:f>IF(ISNUMBER(T332),T332*(1+U332),"")</x:f>
      </x:c>
      <x:c r="W332" s="47" t="n">
        <x:v>0.3</x:v>
      </x:c>
      <x:c r="X332" s="54" t="str">
        <x:f>IF(ISNUMBER(V332),V332/(1-W332),"")</x:f>
      </x:c>
      <x:c r="Y332" s="55" t="str">
        <x:f>IF(ISNUMBER(X332),ROUNDUP(X332,0),"")</x:f>
      </x:c>
      <x:c r="Z332" t="str">
        <x:f>IF(ISNUMBER(T332),"Cost captured","Awaiting trade cost")</x:f>
        <x:v>Awaiting trade cost</x:v>
      </x:c>
      <x:c r="AB332" s="36" t="str">
        <x:f>IF(ISNUMBER(Y332),ROUND(Y332*0.9,2),"")</x:f>
      </x:c>
      <x:c r="AC332" s="36" t="str">
        <x:f>IF(ISNUMBER(AB332),ROUND(AB332-(AB332*0.015+0.2)-V332,2),"")</x:f>
      </x:c>
      <x:c r="AD332" s="36" t="str">
        <x:f>IF(ISNUMBER(Y332),ROUND(Y332*0.8,2),"")</x:f>
      </x:c>
      <x:c r="AE332" s="36" t="str">
        <x:f>IF(ISNUMBER(AD332),ROUND(AD332*0.015+0.2,2),"")</x:f>
      </x:c>
      <x:c r="AF332" s="36" t="str">
        <x:f>IF(ISNUMBER(AD332),ROUND(AD332-AE332-V332,2),"")</x:f>
      </x:c>
      <x:c r="AG332" t="str">
        <x:f>IF(NOT(ISNUMBER(T332)),"PENDING",IF(AF332&gt;0,"PASS","FAIL"))</x:f>
        <x:v>PENDING</x:v>
      </x:c>
      <x:c r="AH332" t="str">
        <x:f>IF(NOT(ISNUMBER(T332)),"Needs supplier cost",IF(K332&lt;&gt;"In stock","Supplier unavailable",IF(AG332&lt;&gt;"PASS","BLOCK - GT loss risk","Commercially protected")))</x:f>
        <x:v>Needs supplier cost</x:v>
      </x:c>
      <x:c r="AI332" t="str">
        <x:v>2026-09-10 Active Sports trade capture</x:v>
      </x:c>
      <x:c r="AJ332" t="str">
        <x:v>Management-only economics. Stripe stress test uses 1.5% + £0.20 standard UK online-card fee; pallet/mix-and-match pricing ignored.</x:v>
      </x:c>
    </x:row>
    <x:row r="333">
      <x:c r="A333" t="str">
        <x:v>Active Sports Nutrition</x:v>
      </x:c>
      <x:c r="B333" t="str">
        <x:v>Animal</x:v>
      </x:c>
      <x:c r="C333" t="str">
        <x:v>Pre Workout Pump</x:v>
      </x:c>
      <x:c r="D333" t="str">
        <x:v>Pre Workouts</x:v>
      </x:c>
      <x:c r="E333" t="str">
        <x:v>Stim FREE</x:v>
      </x:c>
      <x:c r="F333" t="str">
        <x:v>Pump-focused pre-workout pack.</x:v>
      </x:c>
      <x:c r="G333" t="str">
        <x:v>30 packs</x:v>
      </x:c>
      <x:c r="H333" t="str">
        <x:v>Default</x:v>
      </x:c>
      <x:c r="I333" t="str"/>
      <x:c r="J333" t="str">
        <x:v>Unit</x:v>
      </x:c>
      <x:c r="K333" t="str">
        <x:v>Out of stock</x:v>
      </x:c>
      <x:c r="L333" t="str">
        <x:v>2026-09-08</x:v>
      </x:c>
      <x:c r="M333" t="str"/>
      <x:c r="N333" t="str"/>
      <x:c r="O333" t="str">
        <x:v>https://www.activesportstrade.co.uk/trade-sports-supplements</x:v>
      </x:c>
      <x:c r="P333" t="str"/>
      <x:c r="Q333" t="str"/>
      <x:c r="R333" t="str"/>
      <x:c r="S333" t="str">
        <x:v>Pending genuine supplier/brand image</x:v>
      </x:c>
      <x:c r="T333" s="54"/>
      <x:c r="U333" s="47" t="n">
        <x:v>0.2</x:v>
      </x:c>
      <x:c r="V333" s="54" t="str">
        <x:f>IF(ISNUMBER(T333),T333*(1+U333),"")</x:f>
      </x:c>
      <x:c r="W333" s="47" t="n">
        <x:v>0.3</x:v>
      </x:c>
      <x:c r="X333" s="54" t="str">
        <x:f>IF(ISNUMBER(V333),V333/(1-W333),"")</x:f>
      </x:c>
      <x:c r="Y333" s="55" t="str">
        <x:f>IF(ISNUMBER(X333),ROUNDUP(X333,0),"")</x:f>
      </x:c>
      <x:c r="Z333" t="str">
        <x:f>IF(ISNUMBER(T333),"Cost captured","Awaiting trade cost")</x:f>
        <x:v>Awaiting trade cost</x:v>
      </x:c>
      <x:c r="AB333" s="36" t="str">
        <x:f>IF(ISNUMBER(Y333),ROUND(Y333*0.9,2),"")</x:f>
      </x:c>
      <x:c r="AC333" s="36" t="str">
        <x:f>IF(ISNUMBER(AB333),ROUND(AB333-(AB333*0.015+0.2)-V333,2),"")</x:f>
      </x:c>
      <x:c r="AD333" s="36" t="str">
        <x:f>IF(ISNUMBER(Y333),ROUND(Y333*0.8,2),"")</x:f>
      </x:c>
      <x:c r="AE333" s="36" t="str">
        <x:f>IF(ISNUMBER(AD333),ROUND(AD333*0.015+0.2,2),"")</x:f>
      </x:c>
      <x:c r="AF333" s="36" t="str">
        <x:f>IF(ISNUMBER(AD333),ROUND(AD333-AE333-V333,2),"")</x:f>
      </x:c>
      <x:c r="AG333" t="str">
        <x:f>IF(NOT(ISNUMBER(T333)),"PENDING",IF(AF333&gt;0,"PASS","FAIL"))</x:f>
        <x:v>PENDING</x:v>
      </x:c>
      <x:c r="AH333" t="str">
        <x:f>IF(NOT(ISNUMBER(T333)),"Needs supplier cost",IF(K333&lt;&gt;"In stock","Supplier unavailable",IF(AG333&lt;&gt;"PASS","BLOCK - GT loss risk","Commercially protected")))</x:f>
        <x:v>Needs supplier cost</x:v>
      </x:c>
      <x:c r="AI333" t="str">
        <x:v>2026-09-10 Active Sports trade capture</x:v>
      </x:c>
      <x:c r="AJ333" t="str">
        <x:v>Management-only economics. Stripe stress test uses 1.5% + £0.20 standard UK online-card fee; pallet/mix-and-match pricing ignored.</x:v>
      </x:c>
    </x:row>
    <x:row r="334">
      <x:c r="A334" t="str">
        <x:v>Active Sports Nutrition</x:v>
      </x:c>
      <x:c r="B334" t="str">
        <x:v>Animal</x:v>
      </x:c>
      <x:c r="C334" t="str">
        <x:v>Primal Pre Workout</x:v>
      </x:c>
      <x:c r="D334" t="str">
        <x:v>Pre Workouts</x:v>
      </x:c>
      <x:c r="E334" t="str">
        <x:v>High Stim</x:v>
      </x:c>
      <x:c r="F334" t="str">
        <x:v>Pre-workout formula for energy, focus, pump and stamina.</x:v>
      </x:c>
      <x:c r="G334" t="str">
        <x:v>507g</x:v>
      </x:c>
      <x:c r="H334" t="str">
        <x:v>Fruit Punch</x:v>
      </x:c>
      <x:c r="I334" t="str"/>
      <x:c r="J334" t="str">
        <x:v>Unit</x:v>
      </x:c>
      <x:c r="K334" t="str">
        <x:v>In stock</x:v>
      </x:c>
      <x:c r="L334" t="str">
        <x:v>2026-09-08</x:v>
      </x:c>
      <x:c r="M334" t="str"/>
      <x:c r="N334" t="str"/>
      <x:c r="O334" t="str">
        <x:v>https://www.activesportstrade.co.uk/trade-sports-supplements</x:v>
      </x:c>
      <x:c r="P334" t="str"/>
      <x:c r="Q334" t="str"/>
      <x:c r="R334" t="str"/>
      <x:c r="S334" t="str">
        <x:v>Pending genuine supplier/brand image</x:v>
      </x:c>
      <x:c r="T334" s="54"/>
      <x:c r="U334" s="47" t="n">
        <x:v>0.2</x:v>
      </x:c>
      <x:c r="V334" s="54" t="str">
        <x:f>IF(ISNUMBER(T334),T334*(1+U334),"")</x:f>
      </x:c>
      <x:c r="W334" s="47" t="n">
        <x:v>0.3</x:v>
      </x:c>
      <x:c r="X334" s="54" t="str">
        <x:f>IF(ISNUMBER(V334),V334/(1-W334),"")</x:f>
      </x:c>
      <x:c r="Y334" s="55" t="str">
        <x:f>IF(ISNUMBER(X334),ROUNDUP(X334,0),"")</x:f>
      </x:c>
      <x:c r="Z334" t="str">
        <x:f>IF(ISNUMBER(T334),"Cost captured","Awaiting trade cost")</x:f>
        <x:v>Awaiting trade cost</x:v>
      </x:c>
      <x:c r="AB334" s="36" t="str">
        <x:f>IF(ISNUMBER(Y334),ROUND(Y334*0.9,2),"")</x:f>
      </x:c>
      <x:c r="AC334" s="36" t="str">
        <x:f>IF(ISNUMBER(AB334),ROUND(AB334-(AB334*0.015+0.2)-V334,2),"")</x:f>
      </x:c>
      <x:c r="AD334" s="36" t="str">
        <x:f>IF(ISNUMBER(Y334),ROUND(Y334*0.8,2),"")</x:f>
      </x:c>
      <x:c r="AE334" s="36" t="str">
        <x:f>IF(ISNUMBER(AD334),ROUND(AD334*0.015+0.2,2),"")</x:f>
      </x:c>
      <x:c r="AF334" s="36" t="str">
        <x:f>IF(ISNUMBER(AD334),ROUND(AD334-AE334-V334,2),"")</x:f>
      </x:c>
      <x:c r="AG334" t="str">
        <x:f>IF(NOT(ISNUMBER(T334)),"PENDING",IF(AF334&gt;0,"PASS","FAIL"))</x:f>
        <x:v>PENDING</x:v>
      </x:c>
      <x:c r="AH334" t="str">
        <x:f>IF(NOT(ISNUMBER(T334)),"Needs supplier cost",IF(K334&lt;&gt;"In stock","Supplier unavailable",IF(AG334&lt;&gt;"PASS","BLOCK - GT loss risk","Commercially protected")))</x:f>
        <x:v>Needs supplier cost</x:v>
      </x:c>
      <x:c r="AI334" t="str">
        <x:v>2026-09-10 Active Sports trade capture</x:v>
      </x:c>
      <x:c r="AJ334" t="str">
        <x:v>Management-only economics. Stripe stress test uses 1.5% + £0.20 standard UK online-card fee; pallet/mix-and-match pricing ignored.</x:v>
      </x:c>
    </x:row>
    <x:row r="335">
      <x:c r="A335" t="str">
        <x:v>Active Sports Nutrition</x:v>
      </x:c>
      <x:c r="B335" t="str">
        <x:v>Animal</x:v>
      </x:c>
      <x:c r="C335" t="str">
        <x:v>Primal Pre Workout</x:v>
      </x:c>
      <x:c r="D335" t="str">
        <x:v>Pre Workouts</x:v>
      </x:c>
      <x:c r="E335" t="str">
        <x:v>High Stim</x:v>
      </x:c>
      <x:c r="F335" t="str">
        <x:v>Pre-workout formula for energy, focus, pump and stamina.</x:v>
      </x:c>
      <x:c r="G335" t="str">
        <x:v>507g</x:v>
      </x:c>
      <x:c r="H335" t="str">
        <x:v>Strawberry Watermelon</x:v>
      </x:c>
      <x:c r="I335" t="str"/>
      <x:c r="J335" t="str">
        <x:v>Unit</x:v>
      </x:c>
      <x:c r="K335" t="str">
        <x:v>In stock</x:v>
      </x:c>
      <x:c r="L335" t="str">
        <x:v>2026-09-08</x:v>
      </x:c>
      <x:c r="M335" t="str"/>
      <x:c r="N335" t="str"/>
      <x:c r="O335" t="str">
        <x:v>https://www.activesportstrade.co.uk/trade-sports-supplements</x:v>
      </x:c>
      <x:c r="P335" t="str"/>
      <x:c r="Q335" t="str"/>
      <x:c r="R335" t="str"/>
      <x:c r="S335" t="str">
        <x:v>Pending genuine supplier/brand image</x:v>
      </x:c>
      <x:c r="T335" s="54"/>
      <x:c r="U335" s="47" t="n">
        <x:v>0.2</x:v>
      </x:c>
      <x:c r="V335" s="54" t="str">
        <x:f>IF(ISNUMBER(T335),T335*(1+U335),"")</x:f>
      </x:c>
      <x:c r="W335" s="47" t="n">
        <x:v>0.3</x:v>
      </x:c>
      <x:c r="X335" s="54" t="str">
        <x:f>IF(ISNUMBER(V335),V335/(1-W335),"")</x:f>
      </x:c>
      <x:c r="Y335" s="55" t="str">
        <x:f>IF(ISNUMBER(X335),ROUNDUP(X335,0),"")</x:f>
      </x:c>
      <x:c r="Z335" t="str">
        <x:f>IF(ISNUMBER(T335),"Cost captured","Awaiting trade cost")</x:f>
        <x:v>Awaiting trade cost</x:v>
      </x:c>
      <x:c r="AB335" s="36" t="str">
        <x:f>IF(ISNUMBER(Y335),ROUND(Y335*0.9,2),"")</x:f>
      </x:c>
      <x:c r="AC335" s="36" t="str">
        <x:f>IF(ISNUMBER(AB335),ROUND(AB335-(AB335*0.015+0.2)-V335,2),"")</x:f>
      </x:c>
      <x:c r="AD335" s="36" t="str">
        <x:f>IF(ISNUMBER(Y335),ROUND(Y335*0.8,2),"")</x:f>
      </x:c>
      <x:c r="AE335" s="36" t="str">
        <x:f>IF(ISNUMBER(AD335),ROUND(AD335*0.015+0.2,2),"")</x:f>
      </x:c>
      <x:c r="AF335" s="36" t="str">
        <x:f>IF(ISNUMBER(AD335),ROUND(AD335-AE335-V335,2),"")</x:f>
      </x:c>
      <x:c r="AG335" t="str">
        <x:f>IF(NOT(ISNUMBER(T335)),"PENDING",IF(AF335&gt;0,"PASS","FAIL"))</x:f>
        <x:v>PENDING</x:v>
      </x:c>
      <x:c r="AH335" t="str">
        <x:f>IF(NOT(ISNUMBER(T335)),"Needs supplier cost",IF(K335&lt;&gt;"In stock","Supplier unavailable",IF(AG335&lt;&gt;"PASS","BLOCK - GT loss risk","Commercially protected")))</x:f>
        <x:v>Needs supplier cost</x:v>
      </x:c>
      <x:c r="AI335" t="str">
        <x:v>2026-09-10 Active Sports trade capture</x:v>
      </x:c>
      <x:c r="AJ335" t="str">
        <x:v>Management-only economics. Stripe stress test uses 1.5% + £0.20 standard UK online-card fee; pallet/mix-and-match pricing ignored.</x:v>
      </x:c>
    </x:row>
    <x:row r="336">
      <x:c r="A336" t="str">
        <x:v>Active Sports Nutrition</x:v>
      </x:c>
      <x:c r="B336" t="str">
        <x:v>Animal</x:v>
      </x:c>
      <x:c r="C336" t="str">
        <x:v>Stak</x:v>
      </x:c>
      <x:c r="D336" t="str">
        <x:v>Supplements</x:v>
      </x:c>
      <x:c r="E336" t="str">
        <x:v>Testosterone Boosters</x:v>
      </x:c>
      <x:c r="F336" t="str">
        <x:v>Natural testosterone-support pack.</x:v>
      </x:c>
      <x:c r="G336" t="str">
        <x:v>21 packs</x:v>
      </x:c>
      <x:c r="H336" t="str">
        <x:v>Default</x:v>
      </x:c>
      <x:c r="I336" t="str"/>
      <x:c r="J336" t="str">
        <x:v>Unit</x:v>
      </x:c>
      <x:c r="K336" t="str">
        <x:v>Out of stock</x:v>
      </x:c>
      <x:c r="L336" t="str">
        <x:v>2026-09-08</x:v>
      </x:c>
      <x:c r="M336" t="str"/>
      <x:c r="N336" t="str"/>
      <x:c r="O336" t="str">
        <x:v>https://www.activesportstrade.co.uk/trade-sports-supplements</x:v>
      </x:c>
      <x:c r="P336" t="str"/>
      <x:c r="Q336" t="str"/>
      <x:c r="R336" t="str"/>
      <x:c r="S336" t="str">
        <x:v>Pending genuine supplier/brand image</x:v>
      </x:c>
      <x:c r="T336" s="54"/>
      <x:c r="U336" s="47" t="n">
        <x:v>0.2</x:v>
      </x:c>
      <x:c r="V336" s="54" t="str">
        <x:f>IF(ISNUMBER(T336),T336*(1+U336),"")</x:f>
      </x:c>
      <x:c r="W336" s="47" t="n">
        <x:v>0.3</x:v>
      </x:c>
      <x:c r="X336" s="54" t="str">
        <x:f>IF(ISNUMBER(V336),V336/(1-W336),"")</x:f>
      </x:c>
      <x:c r="Y336" s="55" t="str">
        <x:f>IF(ISNUMBER(X336),ROUNDUP(X336,0),"")</x:f>
      </x:c>
      <x:c r="Z336" t="str">
        <x:f>IF(ISNUMBER(T336),"Cost captured","Awaiting trade cost")</x:f>
        <x:v>Awaiting trade cost</x:v>
      </x:c>
      <x:c r="AB336" s="36" t="str">
        <x:f>IF(ISNUMBER(Y336),ROUND(Y336*0.9,2),"")</x:f>
      </x:c>
      <x:c r="AC336" s="36" t="str">
        <x:f>IF(ISNUMBER(AB336),ROUND(AB336-(AB336*0.015+0.2)-V336,2),"")</x:f>
      </x:c>
      <x:c r="AD336" s="36" t="str">
        <x:f>IF(ISNUMBER(Y336),ROUND(Y336*0.8,2),"")</x:f>
      </x:c>
      <x:c r="AE336" s="36" t="str">
        <x:f>IF(ISNUMBER(AD336),ROUND(AD336*0.015+0.2,2),"")</x:f>
      </x:c>
      <x:c r="AF336" s="36" t="str">
        <x:f>IF(ISNUMBER(AD336),ROUND(AD336-AE336-V336,2),"")</x:f>
      </x:c>
      <x:c r="AG336" t="str">
        <x:f>IF(NOT(ISNUMBER(T336)),"PENDING",IF(AF336&gt;0,"PASS","FAIL"))</x:f>
        <x:v>PENDING</x:v>
      </x:c>
      <x:c r="AH336" t="str">
        <x:f>IF(NOT(ISNUMBER(T336)),"Needs supplier cost",IF(K336&lt;&gt;"In stock","Supplier unavailable",IF(AG336&lt;&gt;"PASS","BLOCK - GT loss risk","Commercially protected")))</x:f>
        <x:v>Needs supplier cost</x:v>
      </x:c>
      <x:c r="AI336" t="str">
        <x:v>2026-09-10 Active Sports trade capture</x:v>
      </x:c>
      <x:c r="AJ336" t="str">
        <x:v>Management-only economics. Stripe stress test uses 1.5% + £0.20 standard UK online-card fee; pallet/mix-and-match pricing ignored.</x:v>
      </x:c>
    </x:row>
    <x:row r="337">
      <x:c r="A337" t="str">
        <x:v>Active Sports Nutrition</x:v>
      </x:c>
      <x:c r="B337" t="str">
        <x:v>Animal</x:v>
      </x:c>
      <x:c r="C337" t="str">
        <x:v>Test</x:v>
      </x:c>
      <x:c r="D337" t="str">
        <x:v>Supplements</x:v>
      </x:c>
      <x:c r="E337" t="str">
        <x:v>Testosterone Boosters</x:v>
      </x:c>
      <x:c r="F337" t="str">
        <x:v>Hypertrophy/testosterone-support supplement pack.</x:v>
      </x:c>
      <x:c r="G337" t="str">
        <x:v>21 packs</x:v>
      </x:c>
      <x:c r="H337" t="str">
        <x:v>Default</x:v>
      </x:c>
      <x:c r="I337" t="str"/>
      <x:c r="J337" t="str">
        <x:v>Unit</x:v>
      </x:c>
      <x:c r="K337" t="str">
        <x:v>Out of stock</x:v>
      </x:c>
      <x:c r="L337" t="str">
        <x:v>2026-09-08</x:v>
      </x:c>
      <x:c r="M337" t="str"/>
      <x:c r="N337" t="str"/>
      <x:c r="O337" t="str">
        <x:v>https://www.activesportstrade.co.uk/trade-sports-supplements</x:v>
      </x:c>
      <x:c r="P337" t="str"/>
      <x:c r="Q337" t="str"/>
      <x:c r="R337" t="str"/>
      <x:c r="S337" t="str">
        <x:v>Pending genuine supplier/brand image</x:v>
      </x:c>
      <x:c r="T337" s="54"/>
      <x:c r="U337" s="47" t="n">
        <x:v>0.2</x:v>
      </x:c>
      <x:c r="V337" s="54" t="str">
        <x:f>IF(ISNUMBER(T337),T337*(1+U337),"")</x:f>
      </x:c>
      <x:c r="W337" s="47" t="n">
        <x:v>0.3</x:v>
      </x:c>
      <x:c r="X337" s="54" t="str">
        <x:f>IF(ISNUMBER(V337),V337/(1-W337),"")</x:f>
      </x:c>
      <x:c r="Y337" s="55" t="str">
        <x:f>IF(ISNUMBER(X337),ROUNDUP(X337,0),"")</x:f>
      </x:c>
      <x:c r="Z337" t="str">
        <x:f>IF(ISNUMBER(T337),"Cost captured","Awaiting trade cost")</x:f>
        <x:v>Awaiting trade cost</x:v>
      </x:c>
      <x:c r="AB337" s="36" t="str">
        <x:f>IF(ISNUMBER(Y337),ROUND(Y337*0.9,2),"")</x:f>
      </x:c>
      <x:c r="AC337" s="36" t="str">
        <x:f>IF(ISNUMBER(AB337),ROUND(AB337-(AB337*0.015+0.2)-V337,2),"")</x:f>
      </x:c>
      <x:c r="AD337" s="36" t="str">
        <x:f>IF(ISNUMBER(Y337),ROUND(Y337*0.8,2),"")</x:f>
      </x:c>
      <x:c r="AE337" s="36" t="str">
        <x:f>IF(ISNUMBER(AD337),ROUND(AD337*0.015+0.2,2),"")</x:f>
      </x:c>
      <x:c r="AF337" s="36" t="str">
        <x:f>IF(ISNUMBER(AD337),ROUND(AD337-AE337-V337,2),"")</x:f>
      </x:c>
      <x:c r="AG337" t="str">
        <x:f>IF(NOT(ISNUMBER(T337)),"PENDING",IF(AF337&gt;0,"PASS","FAIL"))</x:f>
        <x:v>PENDING</x:v>
      </x:c>
      <x:c r="AH337" t="str">
        <x:f>IF(NOT(ISNUMBER(T337)),"Needs supplier cost",IF(K337&lt;&gt;"In stock","Supplier unavailable",IF(AG337&lt;&gt;"PASS","BLOCK - GT loss risk","Commercially protected")))</x:f>
        <x:v>Needs supplier cost</x:v>
      </x:c>
      <x:c r="AI337" t="str">
        <x:v>2026-09-10 Active Sports trade capture</x:v>
      </x:c>
      <x:c r="AJ337" t="str">
        <x:v>Management-only economics. Stripe stress test uses 1.5% + £0.20 standard UK online-card fee; pallet/mix-and-match pricing ignored.</x:v>
      </x:c>
    </x:row>
    <x:row r="338">
      <x:c r="A338" t="str">
        <x:v>Active Sports Nutrition</x:v>
      </x:c>
      <x:c r="B338" t="str">
        <x:v>Apex Formulas</x:v>
      </x:c>
      <x:c r="C338" t="str">
        <x:v>Apex Hydrate</x:v>
      </x:c>
      <x:c r="D338" t="str">
        <x:v>Supplements</x:v>
      </x:c>
      <x:c r="E338" t="str">
        <x:v>Hydration</x:v>
      </x:c>
      <x:c r="F338" t="str">
        <x:v>Daily hydration/performance formula.</x:v>
      </x:c>
      <x:c r="G338" t="str">
        <x:v>30 servings</x:v>
      </x:c>
      <x:c r="H338" t="str">
        <x:v>Iced Lemon</x:v>
      </x:c>
      <x:c r="I338" t="str"/>
      <x:c r="J338" t="str">
        <x:v>Unit</x:v>
      </x:c>
      <x:c r="K338" t="str">
        <x:v>Out of stock</x:v>
      </x:c>
      <x:c r="L338" t="str">
        <x:v>2026-09-08</x:v>
      </x:c>
      <x:c r="M338" t="str"/>
      <x:c r="N338" t="str"/>
      <x:c r="O338" t="str">
        <x:v>https://www.activesportstrade.co.uk/trade-sports-supplements</x:v>
      </x:c>
      <x:c r="P338" t="str"/>
      <x:c r="Q338" t="str"/>
      <x:c r="R338" t="str"/>
      <x:c r="S338" t="str">
        <x:v>Pending genuine supplier/brand image</x:v>
      </x:c>
      <x:c r="T338" s="54" t="n">
        <x:v>11.99</x:v>
      </x:c>
      <x:c r="U338" s="47" t="n">
        <x:v>0.2</x:v>
      </x:c>
      <x:c r="V338" s="54" t="n">
        <x:f>IF(ISNUMBER(T338),T338*(1+U338),"")</x:f>
        <x:v>14.388</x:v>
      </x:c>
      <x:c r="W338" s="47" t="n">
        <x:v>0.3</x:v>
      </x:c>
      <x:c r="X338" s="54" t="n">
        <x:f>IF(ISNUMBER(V338),V338/(1-W338),"")</x:f>
        <x:v>20.554285714285715</x:v>
      </x:c>
      <x:c r="Y338" s="55" t="n">
        <x:f>IF(ISNUMBER(X338),ROUNDUP(X338,0),"")</x:f>
        <x:v>21</x:v>
      </x:c>
      <x:c r="Z338" t="str">
        <x:v>Source match pending</x:v>
      </x:c>
      <x:c r="AA338" t="str">
        <x:v>screencapture-www-activesportstrade-co-uk-apex-formulas-trade-2026-09-09-18_15_15.png / page-001</x:v>
      </x:c>
      <x:c r="AB338" s="36" t="n">
        <x:f>IF(ISNUMBER(Y338),ROUND(Y338*0.9,2),"")</x:f>
        <x:v>18.9</x:v>
      </x:c>
      <x:c r="AC338" s="36" t="n">
        <x:f>IF(ISNUMBER(AB338),ROUND(AB338-(AB338*0.015+0.2)-V338,2),"")</x:f>
        <x:v>4.03</x:v>
      </x:c>
      <x:c r="AD338" s="36" t="n">
        <x:f>IF(ISNUMBER(Y338),ROUND(Y338*0.8,2),"")</x:f>
        <x:v>16.8</x:v>
      </x:c>
      <x:c r="AE338" s="36" t="n">
        <x:f>IF(ISNUMBER(AD338),ROUND(AD338*0.015+0.2,2),"")</x:f>
        <x:v>0.45</x:v>
      </x:c>
      <x:c r="AF338" s="36" t="n">
        <x:f>IF(ISNUMBER(AD338),ROUND(AD338-AE338-V338,2),"")</x:f>
        <x:v>1.96</x:v>
      </x:c>
      <x:c r="AG338" t="str">
        <x:f>IF(NOT(ISNUMBER(T338)),"PENDING",IF(AF338&gt;0,"PASS","FAIL"))</x:f>
        <x:v>PASS</x:v>
      </x:c>
      <x:c r="AH338" t="str">
        <x:f>IF(NOT(ISNUMBER(T338)),"Needs supplier cost",IF(K338&lt;&gt;"In stock","Supplier unavailable",IF(AG338&lt;&gt;"PASS","BLOCK - GT loss risk","Commercially protected")))</x:f>
        <x:v>Supplier unavailable</x:v>
      </x:c>
      <x:c r="AI338" t="str">
        <x:v>2026-09-10 Active Sports trade capture</x:v>
      </x:c>
      <x:c r="AJ338" t="str">
        <x:v>Management-only economics. Stripe stress test uses 1.5% + £0.20 standard UK online-card fee; pallet/mix-and-match pricing ignored.</x:v>
      </x:c>
    </x:row>
    <x:row r="339">
      <x:c r="A339" t="str">
        <x:v>Active Sports Nutrition</x:v>
      </x:c>
      <x:c r="B339" t="str">
        <x:v>Apex Formulas</x:v>
      </x:c>
      <x:c r="C339" t="str">
        <x:v>Apex Pump</x:v>
      </x:c>
      <x:c r="D339" t="str">
        <x:v>Pre Workouts</x:v>
      </x:c>
      <x:c r="E339" t="str">
        <x:v>Stim FREE</x:v>
      </x:c>
      <x:c r="F339" t="str">
        <x:v>Stimulant-free pump/performance formula.</x:v>
      </x:c>
      <x:c r="G339" t="str">
        <x:v>25 servings</x:v>
      </x:c>
      <x:c r="H339" t="str">
        <x:v>Raspberry Rush</x:v>
      </x:c>
      <x:c r="I339" t="str"/>
      <x:c r="J339" t="str">
        <x:v>Unit</x:v>
      </x:c>
      <x:c r="K339" t="str">
        <x:v>In stock</x:v>
      </x:c>
      <x:c r="L339" t="str">
        <x:v>2026-09-08</x:v>
      </x:c>
      <x:c r="M339" t="str"/>
      <x:c r="N339" t="str"/>
      <x:c r="O339" t="str">
        <x:v>https://www.activesportstrade.co.uk/trade-sports-supplements</x:v>
      </x:c>
      <x:c r="P339" t="str"/>
      <x:c r="Q339" t="str"/>
      <x:c r="R339" t="str"/>
      <x:c r="S339" t="str">
        <x:v>Pending genuine supplier/brand image</x:v>
      </x:c>
      <x:c r="T339" s="54" t="n">
        <x:v>20.99</x:v>
      </x:c>
      <x:c r="U339" s="47" t="n">
        <x:v>0.2</x:v>
      </x:c>
      <x:c r="V339" s="54" t="n">
        <x:f>IF(ISNUMBER(T339),T339*(1+U339),"")</x:f>
        <x:v>25.188</x:v>
      </x:c>
      <x:c r="W339" s="47" t="n">
        <x:v>0.3</x:v>
      </x:c>
      <x:c r="X339" s="54" t="n">
        <x:f>IF(ISNUMBER(V339),V339/(1-W339),"")</x:f>
        <x:v>35.98285714285714</x:v>
      </x:c>
      <x:c r="Y339" s="55" t="n">
        <x:f>IF(ISNUMBER(X339),ROUNDUP(X339,0),"")</x:f>
        <x:v>36</x:v>
      </x:c>
      <x:c r="Z339" t="str">
        <x:v>Source match pending</x:v>
      </x:c>
      <x:c r="AA339" t="str">
        <x:v>screencapture-www-activesportstrade-co-uk-apex-formulas-trade-2026-09-09-18_15_15.png / page-001</x:v>
      </x:c>
      <x:c r="AB339" s="36" t="n">
        <x:f>IF(ISNUMBER(Y339),ROUND(Y339*0.9,2),"")</x:f>
        <x:v>32.4</x:v>
      </x:c>
      <x:c r="AC339" s="36" t="n">
        <x:f>IF(ISNUMBER(AB339),ROUND(AB339-(AB339*0.015+0.2)-V339,2),"")</x:f>
        <x:v>6.53</x:v>
      </x:c>
      <x:c r="AD339" s="36" t="n">
        <x:f>IF(ISNUMBER(Y339),ROUND(Y339*0.8,2),"")</x:f>
        <x:v>28.8</x:v>
      </x:c>
      <x:c r="AE339" s="36" t="n">
        <x:f>IF(ISNUMBER(AD339),ROUND(AD339*0.015+0.2,2),"")</x:f>
        <x:v>0.63</x:v>
      </x:c>
      <x:c r="AF339" s="36" t="n">
        <x:f>IF(ISNUMBER(AD339),ROUND(AD339-AE339-V339,2),"")</x:f>
        <x:v>2.98</x:v>
      </x:c>
      <x:c r="AG339" t="str">
        <x:f>IF(NOT(ISNUMBER(T339)),"PENDING",IF(AF339&gt;0,"PASS","FAIL"))</x:f>
        <x:v>PASS</x:v>
      </x:c>
      <x:c r="AH339" t="str">
        <x:f>IF(NOT(ISNUMBER(T339)),"Needs supplier cost",IF(K339&lt;&gt;"In stock","Supplier unavailable",IF(AG339&lt;&gt;"PASS","BLOCK - GT loss risk","Commercially protected")))</x:f>
        <x:v>Commercially protected</x:v>
      </x:c>
      <x:c r="AI339" t="str">
        <x:v>2026-09-10 Active Sports trade capture</x:v>
      </x:c>
      <x:c r="AJ339" t="str">
        <x:v>Management-only economics. Stripe stress test uses 1.5% + £0.20 standard UK online-card fee; pallet/mix-and-match pricing ignored.</x:v>
      </x:c>
    </x:row>
    <x:row r="340">
      <x:c r="A340" t="str">
        <x:v>Active Sports Nutrition</x:v>
      </x:c>
      <x:c r="B340" t="str">
        <x:v>Apex Formulas</x:v>
      </x:c>
      <x:c r="C340" t="str">
        <x:v>Apex Pump</x:v>
      </x:c>
      <x:c r="D340" t="str">
        <x:v>Pre Workouts</x:v>
      </x:c>
      <x:c r="E340" t="str">
        <x:v>Stim FREE</x:v>
      </x:c>
      <x:c r="F340" t="str">
        <x:v>Stimulant-free pump/performance formula.</x:v>
      </x:c>
      <x:c r="G340" t="str">
        <x:v>25 servings</x:v>
      </x:c>
      <x:c r="H340" t="str">
        <x:v>Tropical Surge</x:v>
      </x:c>
      <x:c r="I340" t="str"/>
      <x:c r="J340" t="str">
        <x:v>Unit</x:v>
      </x:c>
      <x:c r="K340" t="str">
        <x:v>In stock</x:v>
      </x:c>
      <x:c r="L340" t="str">
        <x:v>2026-09-08</x:v>
      </x:c>
      <x:c r="M340" t="str"/>
      <x:c r="N340" t="str"/>
      <x:c r="O340" t="str">
        <x:v>https://www.activesportstrade.co.uk/trade-sports-supplements</x:v>
      </x:c>
      <x:c r="P340" t="str"/>
      <x:c r="Q340" t="str"/>
      <x:c r="R340" t="str"/>
      <x:c r="S340" t="str">
        <x:v>Pending genuine supplier/brand image</x:v>
      </x:c>
      <x:c r="T340" s="54" t="n">
        <x:v>20.99</x:v>
      </x:c>
      <x:c r="U340" s="47" t="n">
        <x:v>0.2</x:v>
      </x:c>
      <x:c r="V340" s="54" t="n">
        <x:f>IF(ISNUMBER(T340),T340*(1+U340),"")</x:f>
        <x:v>25.188</x:v>
      </x:c>
      <x:c r="W340" s="47" t="n">
        <x:v>0.3</x:v>
      </x:c>
      <x:c r="X340" s="54" t="n">
        <x:f>IF(ISNUMBER(V340),V340/(1-W340),"")</x:f>
        <x:v>35.98285714285714</x:v>
      </x:c>
      <x:c r="Y340" s="55" t="n">
        <x:f>IF(ISNUMBER(X340),ROUNDUP(X340,0),"")</x:f>
        <x:v>36</x:v>
      </x:c>
      <x:c r="Z340" t="str">
        <x:v>Source match pending</x:v>
      </x:c>
      <x:c r="AA340" t="str">
        <x:v>screencapture-www-activesportstrade-co-uk-apex-formulas-trade-2026-09-09-18_15_15.png / page-001</x:v>
      </x:c>
      <x:c r="AB340" s="36" t="n">
        <x:f>IF(ISNUMBER(Y340),ROUND(Y340*0.9,2),"")</x:f>
        <x:v>32.4</x:v>
      </x:c>
      <x:c r="AC340" s="36" t="n">
        <x:f>IF(ISNUMBER(AB340),ROUND(AB340-(AB340*0.015+0.2)-V340,2),"")</x:f>
        <x:v>6.53</x:v>
      </x:c>
      <x:c r="AD340" s="36" t="n">
        <x:f>IF(ISNUMBER(Y340),ROUND(Y340*0.8,2),"")</x:f>
        <x:v>28.8</x:v>
      </x:c>
      <x:c r="AE340" s="36" t="n">
        <x:f>IF(ISNUMBER(AD340),ROUND(AD340*0.015+0.2,2),"")</x:f>
        <x:v>0.63</x:v>
      </x:c>
      <x:c r="AF340" s="36" t="n">
        <x:f>IF(ISNUMBER(AD340),ROUND(AD340-AE340-V340,2),"")</x:f>
        <x:v>2.98</x:v>
      </x:c>
      <x:c r="AG340" t="str">
        <x:f>IF(NOT(ISNUMBER(T340)),"PENDING",IF(AF340&gt;0,"PASS","FAIL"))</x:f>
        <x:v>PASS</x:v>
      </x:c>
      <x:c r="AH340" t="str">
        <x:f>IF(NOT(ISNUMBER(T340)),"Needs supplier cost",IF(K340&lt;&gt;"In stock","Supplier unavailable",IF(AG340&lt;&gt;"PASS","BLOCK - GT loss risk","Commercially protected")))</x:f>
        <x:v>Commercially protected</x:v>
      </x:c>
      <x:c r="AI340" t="str">
        <x:v>2026-09-10 Active Sports trade capture</x:v>
      </x:c>
      <x:c r="AJ340" t="str">
        <x:v>Management-only economics. Stripe stress test uses 1.5% + £0.20 standard UK online-card fee; pallet/mix-and-match pricing ignored.</x:v>
      </x:c>
    </x:row>
    <x:row r="341">
      <x:c r="A341" t="str">
        <x:v>Active Sports Nutrition</x:v>
      </x:c>
      <x:c r="B341" t="str">
        <x:v>Apex Formulas</x:v>
      </x:c>
      <x:c r="C341" t="str">
        <x:v>Cream Of Oats</x:v>
      </x:c>
      <x:c r="D341" t="str">
        <x:v>Supplements</x:v>
      </x:c>
      <x:c r="E341" t="str">
        <x:v>Carbohydrates</x:v>
      </x:c>
      <x:c r="F341" t="str">
        <x:v>Ultra-fine oat flour carbohydrate food.</x:v>
      </x:c>
      <x:c r="G341" t="str">
        <x:v>2kg</x:v>
      </x:c>
      <x:c r="H341" t="str">
        <x:v>Banana</x:v>
      </x:c>
      <x:c r="I341" t="str"/>
      <x:c r="J341" t="str">
        <x:v>Unit</x:v>
      </x:c>
      <x:c r="K341" t="str">
        <x:v>In stock</x:v>
      </x:c>
      <x:c r="L341" t="str">
        <x:v>2026-09-08</x:v>
      </x:c>
      <x:c r="M341" t="str"/>
      <x:c r="N341" t="str"/>
      <x:c r="O341" t="str">
        <x:v>https://www.activesportstrade.co.uk/Carb-Powders</x:v>
      </x:c>
      <x:c r="P341" t="str"/>
      <x:c r="Q341" t="str"/>
      <x:c r="R341" t="str"/>
      <x:c r="S341" t="str">
        <x:v>Pending genuine supplier/brand image</x:v>
      </x:c>
      <x:c r="T341" s="54" t="n">
        <x:v>11.99</x:v>
      </x:c>
      <x:c r="U341" s="47" t="n">
        <x:v>0.2</x:v>
      </x:c>
      <x:c r="V341" s="54" t="n">
        <x:f>IF(ISNUMBER(T341),T341*(1+U341),"")</x:f>
        <x:v>14.388</x:v>
      </x:c>
      <x:c r="W341" s="47" t="n">
        <x:v>0.3</x:v>
      </x:c>
      <x:c r="X341" s="54" t="n">
        <x:f>IF(ISNUMBER(V341),V341/(1-W341),"")</x:f>
        <x:v>20.554285714285715</x:v>
      </x:c>
      <x:c r="Y341" s="55" t="n">
        <x:f>IF(ISNUMBER(X341),ROUNDUP(X341,0),"")</x:f>
        <x:v>21</x:v>
      </x:c>
      <x:c r="Z341" t="str">
        <x:v>Source match pending</x:v>
      </x:c>
      <x:c r="AA341" t="str">
        <x:v>screencapture-www-activesportstrade-co-uk-apex-formulas-trade-2026-09-09-18_15_15.png / page-001</x:v>
      </x:c>
      <x:c r="AB341" s="36" t="n">
        <x:f>IF(ISNUMBER(Y341),ROUND(Y341*0.9,2),"")</x:f>
        <x:v>18.9</x:v>
      </x:c>
      <x:c r="AC341" s="36" t="n">
        <x:f>IF(ISNUMBER(AB341),ROUND(AB341-(AB341*0.015+0.2)-V341,2),"")</x:f>
        <x:v>4.03</x:v>
      </x:c>
      <x:c r="AD341" s="36" t="n">
        <x:f>IF(ISNUMBER(Y341),ROUND(Y341*0.8,2),"")</x:f>
        <x:v>16.8</x:v>
      </x:c>
      <x:c r="AE341" s="36" t="n">
        <x:f>IF(ISNUMBER(AD341),ROUND(AD341*0.015+0.2,2),"")</x:f>
        <x:v>0.45</x:v>
      </x:c>
      <x:c r="AF341" s="36" t="n">
        <x:f>IF(ISNUMBER(AD341),ROUND(AD341-AE341-V341,2),"")</x:f>
        <x:v>1.96</x:v>
      </x:c>
      <x:c r="AG341" t="str">
        <x:f>IF(NOT(ISNUMBER(T341)),"PENDING",IF(AF341&gt;0,"PASS","FAIL"))</x:f>
        <x:v>PASS</x:v>
      </x:c>
      <x:c r="AH341" t="str">
        <x:f>IF(NOT(ISNUMBER(T341)),"Needs supplier cost",IF(K341&lt;&gt;"In stock","Supplier unavailable",IF(AG341&lt;&gt;"PASS","BLOCK - GT loss risk","Commercially protected")))</x:f>
        <x:v>Commercially protected</x:v>
      </x:c>
      <x:c r="AI341" t="str">
        <x:v>2026-09-10 Active Sports trade capture</x:v>
      </x:c>
      <x:c r="AJ341" t="str">
        <x:v>Management-only economics. Stripe stress test uses 1.5% + £0.20 standard UK online-card fee; pallet/mix-and-match pricing ignored.</x:v>
      </x:c>
    </x:row>
    <x:row r="342">
      <x:c r="A342" t="str">
        <x:v>Active Sports Nutrition</x:v>
      </x:c>
      <x:c r="B342" t="str">
        <x:v>Apex Formulas</x:v>
      </x:c>
      <x:c r="C342" t="str">
        <x:v>Cream Of Oats</x:v>
      </x:c>
      <x:c r="D342" t="str">
        <x:v>Supplements</x:v>
      </x:c>
      <x:c r="E342" t="str">
        <x:v>Carbohydrates</x:v>
      </x:c>
      <x:c r="F342" t="str">
        <x:v>Ultra-fine oat flour carbohydrate food.</x:v>
      </x:c>
      <x:c r="G342" t="str">
        <x:v>2kg</x:v>
      </x:c>
      <x:c r="H342" t="str">
        <x:v>Cherry Bakewell</x:v>
      </x:c>
      <x:c r="I342" t="str"/>
      <x:c r="J342" t="str">
        <x:v>Unit</x:v>
      </x:c>
      <x:c r="K342" t="str">
        <x:v>In stock</x:v>
      </x:c>
      <x:c r="L342" t="str">
        <x:v>2026-09-08</x:v>
      </x:c>
      <x:c r="M342" t="str"/>
      <x:c r="N342" t="str"/>
      <x:c r="O342" t="str">
        <x:v>https://www.activesportstrade.co.uk/Carb-Powders</x:v>
      </x:c>
      <x:c r="P342" t="str"/>
      <x:c r="Q342" t="str"/>
      <x:c r="R342" t="str"/>
      <x:c r="S342" t="str">
        <x:v>Pending genuine supplier/brand image</x:v>
      </x:c>
      <x:c r="T342" s="54" t="n">
        <x:v>11.99</x:v>
      </x:c>
      <x:c r="U342" s="47" t="n">
        <x:v>0.2</x:v>
      </x:c>
      <x:c r="V342" s="54" t="n">
        <x:f>IF(ISNUMBER(T342),T342*(1+U342),"")</x:f>
        <x:v>14.388</x:v>
      </x:c>
      <x:c r="W342" s="47" t="n">
        <x:v>0.3</x:v>
      </x:c>
      <x:c r="X342" s="54" t="n">
        <x:f>IF(ISNUMBER(V342),V342/(1-W342),"")</x:f>
        <x:v>20.554285714285715</x:v>
      </x:c>
      <x:c r="Y342" s="55" t="n">
        <x:f>IF(ISNUMBER(X342),ROUNDUP(X342,0),"")</x:f>
        <x:v>21</x:v>
      </x:c>
      <x:c r="Z342" t="str">
        <x:v>Source match pending</x:v>
      </x:c>
      <x:c r="AA342" t="str">
        <x:v>screencapture-www-activesportstrade-co-uk-apex-formulas-trade-2026-09-09-18_15_15.png / page-001</x:v>
      </x:c>
      <x:c r="AB342" s="36" t="n">
        <x:f>IF(ISNUMBER(Y342),ROUND(Y342*0.9,2),"")</x:f>
        <x:v>18.9</x:v>
      </x:c>
      <x:c r="AC342" s="36" t="n">
        <x:f>IF(ISNUMBER(AB342),ROUND(AB342-(AB342*0.015+0.2)-V342,2),"")</x:f>
        <x:v>4.03</x:v>
      </x:c>
      <x:c r="AD342" s="36" t="n">
        <x:f>IF(ISNUMBER(Y342),ROUND(Y342*0.8,2),"")</x:f>
        <x:v>16.8</x:v>
      </x:c>
      <x:c r="AE342" s="36" t="n">
        <x:f>IF(ISNUMBER(AD342),ROUND(AD342*0.015+0.2,2),"")</x:f>
        <x:v>0.45</x:v>
      </x:c>
      <x:c r="AF342" s="36" t="n">
        <x:f>IF(ISNUMBER(AD342),ROUND(AD342-AE342-V342,2),"")</x:f>
        <x:v>1.96</x:v>
      </x:c>
      <x:c r="AG342" t="str">
        <x:f>IF(NOT(ISNUMBER(T342)),"PENDING",IF(AF342&gt;0,"PASS","FAIL"))</x:f>
        <x:v>PASS</x:v>
      </x:c>
      <x:c r="AH342" t="str">
        <x:f>IF(NOT(ISNUMBER(T342)),"Needs supplier cost",IF(K342&lt;&gt;"In stock","Supplier unavailable",IF(AG342&lt;&gt;"PASS","BLOCK - GT loss risk","Commercially protected")))</x:f>
        <x:v>Commercially protected</x:v>
      </x:c>
      <x:c r="AI342" t="str">
        <x:v>2026-09-10 Active Sports trade capture</x:v>
      </x:c>
      <x:c r="AJ342" t="str">
        <x:v>Management-only economics. Stripe stress test uses 1.5% + £0.20 standard UK online-card fee; pallet/mix-and-match pricing ignored.</x:v>
      </x:c>
    </x:row>
    <x:row r="343">
      <x:c r="A343" t="str">
        <x:v>Active Sports Nutrition</x:v>
      </x:c>
      <x:c r="B343" t="str">
        <x:v>Apex Formulas</x:v>
      </x:c>
      <x:c r="C343" t="str">
        <x:v>Cream Of Oats</x:v>
      </x:c>
      <x:c r="D343" t="str">
        <x:v>Supplements</x:v>
      </x:c>
      <x:c r="E343" t="str">
        <x:v>Carbohydrates</x:v>
      </x:c>
      <x:c r="F343" t="str">
        <x:v>Ultra-fine oat flour carbohydrate food.</x:v>
      </x:c>
      <x:c r="G343" t="str">
        <x:v>2kg</x:v>
      </x:c>
      <x:c r="H343" t="str">
        <x:v>Cookies &amp; Cream</x:v>
      </x:c>
      <x:c r="I343" t="str"/>
      <x:c r="J343" t="str">
        <x:v>Unit</x:v>
      </x:c>
      <x:c r="K343" t="str">
        <x:v>In stock</x:v>
      </x:c>
      <x:c r="L343" t="str">
        <x:v>2026-09-08</x:v>
      </x:c>
      <x:c r="M343" t="str"/>
      <x:c r="N343" t="str"/>
      <x:c r="O343" t="str">
        <x:v>https://www.activesportstrade.co.uk/Carb-Powders</x:v>
      </x:c>
      <x:c r="P343" t="str"/>
      <x:c r="Q343" t="str"/>
      <x:c r="R343" t="str"/>
      <x:c r="S343" t="str">
        <x:v>Pending genuine supplier/brand image</x:v>
      </x:c>
      <x:c r="T343" s="54" t="n">
        <x:v>11.99</x:v>
      </x:c>
      <x:c r="U343" s="47" t="n">
        <x:v>0.2</x:v>
      </x:c>
      <x:c r="V343" s="54" t="n">
        <x:f>IF(ISNUMBER(T343),T343*(1+U343),"")</x:f>
        <x:v>14.388</x:v>
      </x:c>
      <x:c r="W343" s="47" t="n">
        <x:v>0.3</x:v>
      </x:c>
      <x:c r="X343" s="54" t="n">
        <x:f>IF(ISNUMBER(V343),V343/(1-W343),"")</x:f>
        <x:v>20.554285714285715</x:v>
      </x:c>
      <x:c r="Y343" s="55" t="n">
        <x:f>IF(ISNUMBER(X343),ROUNDUP(X343,0),"")</x:f>
        <x:v>21</x:v>
      </x:c>
      <x:c r="Z343" t="str">
        <x:v>Source match pending</x:v>
      </x:c>
      <x:c r="AA343" t="str">
        <x:v>screencapture-www-activesportstrade-co-uk-apex-formulas-trade-2026-09-09-18_15_15.png / page-001</x:v>
      </x:c>
      <x:c r="AB343" s="36" t="n">
        <x:f>IF(ISNUMBER(Y343),ROUND(Y343*0.9,2),"")</x:f>
        <x:v>18.9</x:v>
      </x:c>
      <x:c r="AC343" s="36" t="n">
        <x:f>IF(ISNUMBER(AB343),ROUND(AB343-(AB343*0.015+0.2)-V343,2),"")</x:f>
        <x:v>4.03</x:v>
      </x:c>
      <x:c r="AD343" s="36" t="n">
        <x:f>IF(ISNUMBER(Y343),ROUND(Y343*0.8,2),"")</x:f>
        <x:v>16.8</x:v>
      </x:c>
      <x:c r="AE343" s="36" t="n">
        <x:f>IF(ISNUMBER(AD343),ROUND(AD343*0.015+0.2,2),"")</x:f>
        <x:v>0.45</x:v>
      </x:c>
      <x:c r="AF343" s="36" t="n">
        <x:f>IF(ISNUMBER(AD343),ROUND(AD343-AE343-V343,2),"")</x:f>
        <x:v>1.96</x:v>
      </x:c>
      <x:c r="AG343" t="str">
        <x:f>IF(NOT(ISNUMBER(T343)),"PENDING",IF(AF343&gt;0,"PASS","FAIL"))</x:f>
        <x:v>PASS</x:v>
      </x:c>
      <x:c r="AH343" t="str">
        <x:f>IF(NOT(ISNUMBER(T343)),"Needs supplier cost",IF(K343&lt;&gt;"In stock","Supplier unavailable",IF(AG343&lt;&gt;"PASS","BLOCK - GT loss risk","Commercially protected")))</x:f>
        <x:v>Commercially protected</x:v>
      </x:c>
      <x:c r="AI343" t="str">
        <x:v>2026-09-10 Active Sports trade capture</x:v>
      </x:c>
      <x:c r="AJ343" t="str">
        <x:v>Management-only economics. Stripe stress test uses 1.5% + £0.20 standard UK online-card fee; pallet/mix-and-match pricing ignored.</x:v>
      </x:c>
    </x:row>
    <x:row r="344">
      <x:c r="A344" t="str">
        <x:v>Active Sports Nutrition</x:v>
      </x:c>
      <x:c r="B344" t="str">
        <x:v>Apex Formulas</x:v>
      </x:c>
      <x:c r="C344" t="str">
        <x:v>Cream Of Oats</x:v>
      </x:c>
      <x:c r="D344" t="str">
        <x:v>Supplements</x:v>
      </x:c>
      <x:c r="E344" t="str">
        <x:v>Carbohydrates</x:v>
      </x:c>
      <x:c r="F344" t="str">
        <x:v>Ultra-fine oat flour carbohydrate food.</x:v>
      </x:c>
      <x:c r="G344" t="str">
        <x:v>2kg</x:v>
      </x:c>
      <x:c r="H344" t="str">
        <x:v>Custard Cream</x:v>
      </x:c>
      <x:c r="I344" t="str"/>
      <x:c r="J344" t="str">
        <x:v>Unit</x:v>
      </x:c>
      <x:c r="K344" t="str">
        <x:v>Out of stock</x:v>
      </x:c>
      <x:c r="L344" t="str">
        <x:v>2026-09-08</x:v>
      </x:c>
      <x:c r="M344" t="str"/>
      <x:c r="N344" t="str"/>
      <x:c r="O344" t="str">
        <x:v>https://www.activesportstrade.co.uk/Carb-Powders</x:v>
      </x:c>
      <x:c r="P344" t="str"/>
      <x:c r="Q344" t="str"/>
      <x:c r="R344" t="str"/>
      <x:c r="S344" t="str">
        <x:v>Pending genuine supplier/brand image</x:v>
      </x:c>
      <x:c r="T344" s="54" t="n">
        <x:v>11.99</x:v>
      </x:c>
      <x:c r="U344" s="47" t="n">
        <x:v>0.2</x:v>
      </x:c>
      <x:c r="V344" s="54" t="n">
        <x:f>IF(ISNUMBER(T344),T344*(1+U344),"")</x:f>
        <x:v>14.388</x:v>
      </x:c>
      <x:c r="W344" s="47" t="n">
        <x:v>0.3</x:v>
      </x:c>
      <x:c r="X344" s="54" t="n">
        <x:f>IF(ISNUMBER(V344),V344/(1-W344),"")</x:f>
        <x:v>20.554285714285715</x:v>
      </x:c>
      <x:c r="Y344" s="55" t="n">
        <x:f>IF(ISNUMBER(X344),ROUNDUP(X344,0),"")</x:f>
        <x:v>21</x:v>
      </x:c>
      <x:c r="Z344" t="str">
        <x:v>Source match pending</x:v>
      </x:c>
      <x:c r="AA344" t="str">
        <x:v>screencapture-www-activesportstrade-co-uk-apex-formulas-trade-2026-09-09-18_15_15.png / page-001</x:v>
      </x:c>
      <x:c r="AB344" s="36" t="n">
        <x:f>IF(ISNUMBER(Y344),ROUND(Y344*0.9,2),"")</x:f>
        <x:v>18.9</x:v>
      </x:c>
      <x:c r="AC344" s="36" t="n">
        <x:f>IF(ISNUMBER(AB344),ROUND(AB344-(AB344*0.015+0.2)-V344,2),"")</x:f>
        <x:v>4.03</x:v>
      </x:c>
      <x:c r="AD344" s="36" t="n">
        <x:f>IF(ISNUMBER(Y344),ROUND(Y344*0.8,2),"")</x:f>
        <x:v>16.8</x:v>
      </x:c>
      <x:c r="AE344" s="36" t="n">
        <x:f>IF(ISNUMBER(AD344),ROUND(AD344*0.015+0.2,2),"")</x:f>
        <x:v>0.45</x:v>
      </x:c>
      <x:c r="AF344" s="36" t="n">
        <x:f>IF(ISNUMBER(AD344),ROUND(AD344-AE344-V344,2),"")</x:f>
        <x:v>1.96</x:v>
      </x:c>
      <x:c r="AG344" t="str">
        <x:f>IF(NOT(ISNUMBER(T344)),"PENDING",IF(AF344&gt;0,"PASS","FAIL"))</x:f>
        <x:v>PASS</x:v>
      </x:c>
      <x:c r="AH344" t="str">
        <x:f>IF(NOT(ISNUMBER(T344)),"Needs supplier cost",IF(K344&lt;&gt;"In stock","Supplier unavailable",IF(AG344&lt;&gt;"PASS","BLOCK - GT loss risk","Commercially protected")))</x:f>
        <x:v>Supplier unavailable</x:v>
      </x:c>
      <x:c r="AI344" t="str">
        <x:v>2026-09-10 Active Sports trade capture</x:v>
      </x:c>
      <x:c r="AJ344" t="str">
        <x:v>Management-only economics. Stripe stress test uses 1.5% + £0.20 standard UK online-card fee; pallet/mix-and-match pricing ignored.</x:v>
      </x:c>
    </x:row>
    <x:row r="345">
      <x:c r="A345" t="str">
        <x:v>Active Sports Nutrition</x:v>
      </x:c>
      <x:c r="B345" t="str">
        <x:v>Apex Formulas</x:v>
      </x:c>
      <x:c r="C345" t="str">
        <x:v>Cream Of Oats</x:v>
      </x:c>
      <x:c r="D345" t="str">
        <x:v>Supplements</x:v>
      </x:c>
      <x:c r="E345" t="str">
        <x:v>Carbohydrates</x:v>
      </x:c>
      <x:c r="F345" t="str">
        <x:v>Ultra-fine oat flour carbohydrate food.</x:v>
      </x:c>
      <x:c r="G345" t="str">
        <x:v>2kg</x:v>
      </x:c>
      <x:c r="H345" t="str">
        <x:v>Salted Caramel</x:v>
      </x:c>
      <x:c r="I345" t="str"/>
      <x:c r="J345" t="str">
        <x:v>Unit</x:v>
      </x:c>
      <x:c r="K345" t="str">
        <x:v>Out of stock</x:v>
      </x:c>
      <x:c r="L345" t="str">
        <x:v>2026-09-08</x:v>
      </x:c>
      <x:c r="M345" t="str"/>
      <x:c r="N345" t="str"/>
      <x:c r="O345" t="str">
        <x:v>https://www.activesportstrade.co.uk/Carb-Powders</x:v>
      </x:c>
      <x:c r="P345" t="str"/>
      <x:c r="Q345" t="str"/>
      <x:c r="R345" t="str"/>
      <x:c r="S345" t="str">
        <x:v>Pending genuine supplier/brand image</x:v>
      </x:c>
      <x:c r="T345" s="54" t="n">
        <x:v>11.99</x:v>
      </x:c>
      <x:c r="U345" s="47" t="n">
        <x:v>0.2</x:v>
      </x:c>
      <x:c r="V345" s="54" t="n">
        <x:f>IF(ISNUMBER(T345),T345*(1+U345),"")</x:f>
        <x:v>14.388</x:v>
      </x:c>
      <x:c r="W345" s="47" t="n">
        <x:v>0.3</x:v>
      </x:c>
      <x:c r="X345" s="54" t="n">
        <x:f>IF(ISNUMBER(V345),V345/(1-W345),"")</x:f>
        <x:v>20.554285714285715</x:v>
      </x:c>
      <x:c r="Y345" s="55" t="n">
        <x:f>IF(ISNUMBER(X345),ROUNDUP(X345,0),"")</x:f>
        <x:v>21</x:v>
      </x:c>
      <x:c r="Z345" t="str">
        <x:v>Source match pending</x:v>
      </x:c>
      <x:c r="AA345" t="str">
        <x:v>screencapture-www-activesportstrade-co-uk-apex-formulas-trade-2026-09-09-18_15_15.png / page-001</x:v>
      </x:c>
      <x:c r="AB345" s="36" t="n">
        <x:f>IF(ISNUMBER(Y345),ROUND(Y345*0.9,2),"")</x:f>
        <x:v>18.9</x:v>
      </x:c>
      <x:c r="AC345" s="36" t="n">
        <x:f>IF(ISNUMBER(AB345),ROUND(AB345-(AB345*0.015+0.2)-V345,2),"")</x:f>
        <x:v>4.03</x:v>
      </x:c>
      <x:c r="AD345" s="36" t="n">
        <x:f>IF(ISNUMBER(Y345),ROUND(Y345*0.8,2),"")</x:f>
        <x:v>16.8</x:v>
      </x:c>
      <x:c r="AE345" s="36" t="n">
        <x:f>IF(ISNUMBER(AD345),ROUND(AD345*0.015+0.2,2),"")</x:f>
        <x:v>0.45</x:v>
      </x:c>
      <x:c r="AF345" s="36" t="n">
        <x:f>IF(ISNUMBER(AD345),ROUND(AD345-AE345-V345,2),"")</x:f>
        <x:v>1.96</x:v>
      </x:c>
      <x:c r="AG345" t="str">
        <x:f>IF(NOT(ISNUMBER(T345)),"PENDING",IF(AF345&gt;0,"PASS","FAIL"))</x:f>
        <x:v>PASS</x:v>
      </x:c>
      <x:c r="AH345" t="str">
        <x:f>IF(NOT(ISNUMBER(T345)),"Needs supplier cost",IF(K345&lt;&gt;"In stock","Supplier unavailable",IF(AG345&lt;&gt;"PASS","BLOCK - GT loss risk","Commercially protected")))</x:f>
        <x:v>Supplier unavailable</x:v>
      </x:c>
      <x:c r="AI345" t="str">
        <x:v>2026-09-10 Active Sports trade capture</x:v>
      </x:c>
      <x:c r="AJ345" t="str">
        <x:v>Management-only economics. Stripe stress test uses 1.5% + £0.20 standard UK online-card fee; pallet/mix-and-match pricing ignored.</x:v>
      </x:c>
    </x:row>
    <x:row r="346">
      <x:c r="A346" t="str">
        <x:v>Active Sports Nutrition</x:v>
      </x:c>
      <x:c r="B346" t="str">
        <x:v>Apex Formulas</x:v>
      </x:c>
      <x:c r="C346" t="str">
        <x:v>Cream Of Oats</x:v>
      </x:c>
      <x:c r="D346" t="str">
        <x:v>Supplements</x:v>
      </x:c>
      <x:c r="E346" t="str">
        <x:v>Carbohydrates</x:v>
      </x:c>
      <x:c r="F346" t="str">
        <x:v>Ultra-fine oat flour carbohydrate food.</x:v>
      </x:c>
      <x:c r="G346" t="str">
        <x:v>2kg</x:v>
      </x:c>
      <x:c r="H346" t="str">
        <x:v>Strawberry</x:v>
      </x:c>
      <x:c r="I346" t="str"/>
      <x:c r="J346" t="str">
        <x:v>Unit</x:v>
      </x:c>
      <x:c r="K346" t="str">
        <x:v>In stock</x:v>
      </x:c>
      <x:c r="L346" t="str">
        <x:v>2026-09-08</x:v>
      </x:c>
      <x:c r="M346" t="str"/>
      <x:c r="N346" t="str"/>
      <x:c r="O346" t="str">
        <x:v>https://www.activesportstrade.co.uk/Carb-Powders</x:v>
      </x:c>
      <x:c r="P346" t="str"/>
      <x:c r="Q346" t="str"/>
      <x:c r="R346" t="str"/>
      <x:c r="S346" t="str">
        <x:v>Pending genuine supplier/brand image</x:v>
      </x:c>
      <x:c r="T346" s="54" t="n">
        <x:v>11.99</x:v>
      </x:c>
      <x:c r="U346" s="47" t="n">
        <x:v>0.2</x:v>
      </x:c>
      <x:c r="V346" s="54" t="n">
        <x:f>IF(ISNUMBER(T346),T346*(1+U346),"")</x:f>
        <x:v>14.388</x:v>
      </x:c>
      <x:c r="W346" s="47" t="n">
        <x:v>0.3</x:v>
      </x:c>
      <x:c r="X346" s="54" t="n">
        <x:f>IF(ISNUMBER(V346),V346/(1-W346),"")</x:f>
        <x:v>20.554285714285715</x:v>
      </x:c>
      <x:c r="Y346" s="55" t="n">
        <x:f>IF(ISNUMBER(X346),ROUNDUP(X346,0),"")</x:f>
        <x:v>21</x:v>
      </x:c>
      <x:c r="Z346" t="str">
        <x:v>Source match pending</x:v>
      </x:c>
      <x:c r="AA346" t="str">
        <x:v>screencapture-www-activesportstrade-co-uk-apex-formulas-trade-2026-09-09-18_15_15.png / page-001</x:v>
      </x:c>
      <x:c r="AB346" s="36" t="n">
        <x:f>IF(ISNUMBER(Y346),ROUND(Y346*0.9,2),"")</x:f>
        <x:v>18.9</x:v>
      </x:c>
      <x:c r="AC346" s="36" t="n">
        <x:f>IF(ISNUMBER(AB346),ROUND(AB346-(AB346*0.015+0.2)-V346,2),"")</x:f>
        <x:v>4.03</x:v>
      </x:c>
      <x:c r="AD346" s="36" t="n">
        <x:f>IF(ISNUMBER(Y346),ROUND(Y346*0.8,2),"")</x:f>
        <x:v>16.8</x:v>
      </x:c>
      <x:c r="AE346" s="36" t="n">
        <x:f>IF(ISNUMBER(AD346),ROUND(AD346*0.015+0.2,2),"")</x:f>
        <x:v>0.45</x:v>
      </x:c>
      <x:c r="AF346" s="36" t="n">
        <x:f>IF(ISNUMBER(AD346),ROUND(AD346-AE346-V346,2),"")</x:f>
        <x:v>1.96</x:v>
      </x:c>
      <x:c r="AG346" t="str">
        <x:f>IF(NOT(ISNUMBER(T346)),"PENDING",IF(AF346&gt;0,"PASS","FAIL"))</x:f>
        <x:v>PASS</x:v>
      </x:c>
      <x:c r="AH346" t="str">
        <x:f>IF(NOT(ISNUMBER(T346)),"Needs supplier cost",IF(K346&lt;&gt;"In stock","Supplier unavailable",IF(AG346&lt;&gt;"PASS","BLOCK - GT loss risk","Commercially protected")))</x:f>
        <x:v>Commercially protected</x:v>
      </x:c>
      <x:c r="AI346" t="str">
        <x:v>2026-09-10 Active Sports trade capture</x:v>
      </x:c>
      <x:c r="AJ346" t="str">
        <x:v>Management-only economics. Stripe stress test uses 1.5% + £0.20 standard UK online-card fee; pallet/mix-and-match pricing ignored.</x:v>
      </x:c>
    </x:row>
    <x:row r="347">
      <x:c r="A347" t="str">
        <x:v>Active Sports Nutrition</x:v>
      </x:c>
      <x:c r="B347" t="str">
        <x:v>Apex Formulas</x:v>
      </x:c>
      <x:c r="C347" t="str">
        <x:v>Cream Of Oats</x:v>
      </x:c>
      <x:c r="D347" t="str">
        <x:v>Supplements</x:v>
      </x:c>
      <x:c r="E347" t="str">
        <x:v>Carbohydrates</x:v>
      </x:c>
      <x:c r="F347" t="str">
        <x:v>Ultra-fine oat flour carbohydrate food.</x:v>
      </x:c>
      <x:c r="G347" t="str">
        <x:v>2kg</x:v>
      </x:c>
      <x:c r="H347" t="str">
        <x:v>Triple Chocolate</x:v>
      </x:c>
      <x:c r="I347" t="str"/>
      <x:c r="J347" t="str">
        <x:v>Unit</x:v>
      </x:c>
      <x:c r="K347" t="str">
        <x:v>In stock</x:v>
      </x:c>
      <x:c r="L347" t="str">
        <x:v>2026-09-08</x:v>
      </x:c>
      <x:c r="M347" t="str"/>
      <x:c r="N347" t="str"/>
      <x:c r="O347" t="str">
        <x:v>https://www.activesportstrade.co.uk/Carb-Powders</x:v>
      </x:c>
      <x:c r="P347" t="str"/>
      <x:c r="Q347" t="str"/>
      <x:c r="R347" t="str"/>
      <x:c r="S347" t="str">
        <x:v>Pending genuine supplier/brand image</x:v>
      </x:c>
      <x:c r="T347" s="54" t="n">
        <x:v>11.99</x:v>
      </x:c>
      <x:c r="U347" s="47" t="n">
        <x:v>0.2</x:v>
      </x:c>
      <x:c r="V347" s="54" t="n">
        <x:f>IF(ISNUMBER(T347),T347*(1+U347),"")</x:f>
        <x:v>14.388</x:v>
      </x:c>
      <x:c r="W347" s="47" t="n">
        <x:v>0.3</x:v>
      </x:c>
      <x:c r="X347" s="54" t="n">
        <x:f>IF(ISNUMBER(V347),V347/(1-W347),"")</x:f>
        <x:v>20.554285714285715</x:v>
      </x:c>
      <x:c r="Y347" s="55" t="n">
        <x:f>IF(ISNUMBER(X347),ROUNDUP(X347,0),"")</x:f>
        <x:v>21</x:v>
      </x:c>
      <x:c r="Z347" t="str">
        <x:v>Source match pending</x:v>
      </x:c>
      <x:c r="AA347" t="str">
        <x:v>screencapture-www-activesportstrade-co-uk-apex-formulas-trade-2026-09-09-18_15_15.png / page-001</x:v>
      </x:c>
      <x:c r="AB347" s="36" t="n">
        <x:f>IF(ISNUMBER(Y347),ROUND(Y347*0.9,2),"")</x:f>
        <x:v>18.9</x:v>
      </x:c>
      <x:c r="AC347" s="36" t="n">
        <x:f>IF(ISNUMBER(AB347),ROUND(AB347-(AB347*0.015+0.2)-V347,2),"")</x:f>
        <x:v>4.03</x:v>
      </x:c>
      <x:c r="AD347" s="36" t="n">
        <x:f>IF(ISNUMBER(Y347),ROUND(Y347*0.8,2),"")</x:f>
        <x:v>16.8</x:v>
      </x:c>
      <x:c r="AE347" s="36" t="n">
        <x:f>IF(ISNUMBER(AD347),ROUND(AD347*0.015+0.2,2),"")</x:f>
        <x:v>0.45</x:v>
      </x:c>
      <x:c r="AF347" s="36" t="n">
        <x:f>IF(ISNUMBER(AD347),ROUND(AD347-AE347-V347,2),"")</x:f>
        <x:v>1.96</x:v>
      </x:c>
      <x:c r="AG347" t="str">
        <x:f>IF(NOT(ISNUMBER(T347)),"PENDING",IF(AF347&gt;0,"PASS","FAIL"))</x:f>
        <x:v>PASS</x:v>
      </x:c>
      <x:c r="AH347" t="str">
        <x:f>IF(NOT(ISNUMBER(T347)),"Needs supplier cost",IF(K347&lt;&gt;"In stock","Supplier unavailable",IF(AG347&lt;&gt;"PASS","BLOCK - GT loss risk","Commercially protected")))</x:f>
        <x:v>Commercially protected</x:v>
      </x:c>
      <x:c r="AI347" t="str">
        <x:v>2026-09-10 Active Sports trade capture</x:v>
      </x:c>
      <x:c r="AJ347" t="str">
        <x:v>Management-only economics. Stripe stress test uses 1.5% + £0.20 standard UK online-card fee; pallet/mix-and-match pricing ignored.</x:v>
      </x:c>
    </x:row>
    <x:row r="348">
      <x:c r="A348" t="str">
        <x:v>Active Sports Nutrition</x:v>
      </x:c>
      <x:c r="B348" t="str">
        <x:v>Apex Formulas</x:v>
      </x:c>
      <x:c r="C348" t="str">
        <x:v>Cream Of Oats</x:v>
      </x:c>
      <x:c r="D348" t="str">
        <x:v>Supplements</x:v>
      </x:c>
      <x:c r="E348" t="str">
        <x:v>Carbohydrates</x:v>
      </x:c>
      <x:c r="F348" t="str">
        <x:v>Ultra-fine oat flour carbohydrate food.</x:v>
      </x:c>
      <x:c r="G348" t="str">
        <x:v>2kg</x:v>
      </x:c>
      <x:c r="H348" t="str">
        <x:v>Vanilla</x:v>
      </x:c>
      <x:c r="I348" t="str"/>
      <x:c r="J348" t="str">
        <x:v>Unit</x:v>
      </x:c>
      <x:c r="K348" t="str">
        <x:v>In stock</x:v>
      </x:c>
      <x:c r="L348" t="str">
        <x:v>2026-09-08</x:v>
      </x:c>
      <x:c r="M348" t="str"/>
      <x:c r="N348" t="str"/>
      <x:c r="O348" t="str">
        <x:v>https://www.activesportstrade.co.uk/Carb-Powders</x:v>
      </x:c>
      <x:c r="P348" t="str"/>
      <x:c r="Q348" t="str"/>
      <x:c r="R348" t="str"/>
      <x:c r="S348" t="str">
        <x:v>Pending genuine supplier/brand image</x:v>
      </x:c>
      <x:c r="T348" s="54" t="n">
        <x:v>11.99</x:v>
      </x:c>
      <x:c r="U348" s="47" t="n">
        <x:v>0.2</x:v>
      </x:c>
      <x:c r="V348" s="54" t="n">
        <x:f>IF(ISNUMBER(T348),T348*(1+U348),"")</x:f>
        <x:v>14.388</x:v>
      </x:c>
      <x:c r="W348" s="47" t="n">
        <x:v>0.3</x:v>
      </x:c>
      <x:c r="X348" s="54" t="n">
        <x:f>IF(ISNUMBER(V348),V348/(1-W348),"")</x:f>
        <x:v>20.554285714285715</x:v>
      </x:c>
      <x:c r="Y348" s="55" t="n">
        <x:f>IF(ISNUMBER(X348),ROUNDUP(X348,0),"")</x:f>
        <x:v>21</x:v>
      </x:c>
      <x:c r="Z348" t="str">
        <x:v>Source match pending</x:v>
      </x:c>
      <x:c r="AA348" t="str">
        <x:v>screencapture-www-activesportstrade-co-uk-apex-formulas-trade-2026-09-09-18_15_15.png / page-001</x:v>
      </x:c>
      <x:c r="AB348" s="36" t="n">
        <x:f>IF(ISNUMBER(Y348),ROUND(Y348*0.9,2),"")</x:f>
        <x:v>18.9</x:v>
      </x:c>
      <x:c r="AC348" s="36" t="n">
        <x:f>IF(ISNUMBER(AB348),ROUND(AB348-(AB348*0.015+0.2)-V348,2),"")</x:f>
        <x:v>4.03</x:v>
      </x:c>
      <x:c r="AD348" s="36" t="n">
        <x:f>IF(ISNUMBER(Y348),ROUND(Y348*0.8,2),"")</x:f>
        <x:v>16.8</x:v>
      </x:c>
      <x:c r="AE348" s="36" t="n">
        <x:f>IF(ISNUMBER(AD348),ROUND(AD348*0.015+0.2,2),"")</x:f>
        <x:v>0.45</x:v>
      </x:c>
      <x:c r="AF348" s="36" t="n">
        <x:f>IF(ISNUMBER(AD348),ROUND(AD348-AE348-V348,2),"")</x:f>
        <x:v>1.96</x:v>
      </x:c>
      <x:c r="AG348" t="str">
        <x:f>IF(NOT(ISNUMBER(T348)),"PENDING",IF(AF348&gt;0,"PASS","FAIL"))</x:f>
        <x:v>PASS</x:v>
      </x:c>
      <x:c r="AH348" t="str">
        <x:f>IF(NOT(ISNUMBER(T348)),"Needs supplier cost",IF(K348&lt;&gt;"In stock","Supplier unavailable",IF(AG348&lt;&gt;"PASS","BLOCK - GT loss risk","Commercially protected")))</x:f>
        <x:v>Commercially protected</x:v>
      </x:c>
      <x:c r="AI348" t="str">
        <x:v>2026-09-10 Active Sports trade capture</x:v>
      </x:c>
      <x:c r="AJ348" t="str">
        <x:v>Management-only economics. Stripe stress test uses 1.5% + £0.20 standard UK online-card fee; pallet/mix-and-match pricing ignored.</x:v>
      </x:c>
    </x:row>
    <x:row r="349">
      <x:c r="A349" t="str">
        <x:v>Active Sports Nutrition</x:v>
      </x:c>
      <x:c r="B349" t="str">
        <x:v>Apex Formulas</x:v>
      </x:c>
      <x:c r="C349" t="str">
        <x:v>Duel Creatine</x:v>
      </x:c>
      <x:c r="D349" t="str">
        <x:v>Supplements</x:v>
      </x:c>
      <x:c r="E349" t="str">
        <x:v>Creatine Powders</x:v>
      </x:c>
      <x:c r="F349" t="str">
        <x:v>Creatine performance powder.</x:v>
      </x:c>
      <x:c r="G349" t="str">
        <x:v>300g</x:v>
      </x:c>
      <x:c r="H349" t="str">
        <x:v>Berry</x:v>
      </x:c>
      <x:c r="I349" t="str"/>
      <x:c r="J349" t="str">
        <x:v>Unit</x:v>
      </x:c>
      <x:c r="K349" t="str">
        <x:v>In stock</x:v>
      </x:c>
      <x:c r="L349" t="str">
        <x:v>2026-09-08</x:v>
      </x:c>
      <x:c r="M349" t="str"/>
      <x:c r="N349" t="str"/>
      <x:c r="O349" t="str">
        <x:v>https://www.activesportstrade.co.uk/Creatine-Powders-Trade</x:v>
      </x:c>
      <x:c r="P349" t="str"/>
      <x:c r="Q349" t="str"/>
      <x:c r="R349" t="str"/>
      <x:c r="S349" t="str">
        <x:v>Pending genuine supplier/brand image</x:v>
      </x:c>
      <x:c r="T349" s="54" t="n">
        <x:v>11.99</x:v>
      </x:c>
      <x:c r="U349" s="47" t="n">
        <x:v>0.2</x:v>
      </x:c>
      <x:c r="V349" s="54" t="n">
        <x:f>IF(ISNUMBER(T349),T349*(1+U349),"")</x:f>
        <x:v>14.388</x:v>
      </x:c>
      <x:c r="W349" s="47" t="n">
        <x:v>0.3</x:v>
      </x:c>
      <x:c r="X349" s="54" t="n">
        <x:f>IF(ISNUMBER(V349),V349/(1-W349),"")</x:f>
        <x:v>20.554285714285715</x:v>
      </x:c>
      <x:c r="Y349" s="55" t="n">
        <x:f>IF(ISNUMBER(X349),ROUNDUP(X349,0),"")</x:f>
        <x:v>21</x:v>
      </x:c>
      <x:c r="Z349" t="str">
        <x:v>Source match pending</x:v>
      </x:c>
      <x:c r="AA349" t="str">
        <x:v>screencapture-www-activesportstrade-co-uk-apex-formulas-trade-2026-09-09-18_15_15.png / page-001</x:v>
      </x:c>
      <x:c r="AB349" s="36" t="n">
        <x:f>IF(ISNUMBER(Y349),ROUND(Y349*0.9,2),"")</x:f>
        <x:v>18.9</x:v>
      </x:c>
      <x:c r="AC349" s="36" t="n">
        <x:f>IF(ISNUMBER(AB349),ROUND(AB349-(AB349*0.015+0.2)-V349,2),"")</x:f>
        <x:v>4.03</x:v>
      </x:c>
      <x:c r="AD349" s="36" t="n">
        <x:f>IF(ISNUMBER(Y349),ROUND(Y349*0.8,2),"")</x:f>
        <x:v>16.8</x:v>
      </x:c>
      <x:c r="AE349" s="36" t="n">
        <x:f>IF(ISNUMBER(AD349),ROUND(AD349*0.015+0.2,2),"")</x:f>
        <x:v>0.45</x:v>
      </x:c>
      <x:c r="AF349" s="36" t="n">
        <x:f>IF(ISNUMBER(AD349),ROUND(AD349-AE349-V349,2),"")</x:f>
        <x:v>1.96</x:v>
      </x:c>
      <x:c r="AG349" t="str">
        <x:f>IF(NOT(ISNUMBER(T349)),"PENDING",IF(AF349&gt;0,"PASS","FAIL"))</x:f>
        <x:v>PASS</x:v>
      </x:c>
      <x:c r="AH349" t="str">
        <x:f>IF(NOT(ISNUMBER(T349)),"Needs supplier cost",IF(K349&lt;&gt;"In stock","Supplier unavailable",IF(AG349&lt;&gt;"PASS","BLOCK - GT loss risk","Commercially protected")))</x:f>
        <x:v>Commercially protected</x:v>
      </x:c>
      <x:c r="AI349" t="str">
        <x:v>2026-09-10 Active Sports trade capture</x:v>
      </x:c>
      <x:c r="AJ349" t="str">
        <x:v>Management-only economics. Stripe stress test uses 1.5% + £0.20 standard UK online-card fee; pallet/mix-and-match pricing ignored.</x:v>
      </x:c>
    </x:row>
    <x:row r="350">
      <x:c r="A350" t="str">
        <x:v>Active Sports Nutrition</x:v>
      </x:c>
      <x:c r="B350" t="str">
        <x:v>Apex Formulas</x:v>
      </x:c>
      <x:c r="C350" t="str">
        <x:v>Duel Creatine</x:v>
      </x:c>
      <x:c r="D350" t="str">
        <x:v>Supplements</x:v>
      </x:c>
      <x:c r="E350" t="str">
        <x:v>Creatine Powders</x:v>
      </x:c>
      <x:c r="F350" t="str">
        <x:v>Creatine performance powder.</x:v>
      </x:c>
      <x:c r="G350" t="str">
        <x:v>300g</x:v>
      </x:c>
      <x:c r="H350" t="str">
        <x:v>Orange</x:v>
      </x:c>
      <x:c r="I350" t="str"/>
      <x:c r="J350" t="str">
        <x:v>Unit</x:v>
      </x:c>
      <x:c r="K350" t="str">
        <x:v>In stock</x:v>
      </x:c>
      <x:c r="L350" t="str">
        <x:v>2026-09-08</x:v>
      </x:c>
      <x:c r="M350" t="str"/>
      <x:c r="N350" t="str"/>
      <x:c r="O350" t="str">
        <x:v>https://www.activesportstrade.co.uk/Creatine-Powders-Trade</x:v>
      </x:c>
      <x:c r="P350" t="str"/>
      <x:c r="Q350" t="str"/>
      <x:c r="R350" t="str"/>
      <x:c r="S350" t="str">
        <x:v>Pending genuine supplier/brand image</x:v>
      </x:c>
      <x:c r="T350" s="54" t="n">
        <x:v>11.99</x:v>
      </x:c>
      <x:c r="U350" s="47" t="n">
        <x:v>0.2</x:v>
      </x:c>
      <x:c r="V350" s="54" t="n">
        <x:f>IF(ISNUMBER(T350),T350*(1+U350),"")</x:f>
        <x:v>14.388</x:v>
      </x:c>
      <x:c r="W350" s="47" t="n">
        <x:v>0.3</x:v>
      </x:c>
      <x:c r="X350" s="54" t="n">
        <x:f>IF(ISNUMBER(V350),V350/(1-W350),"")</x:f>
        <x:v>20.554285714285715</x:v>
      </x:c>
      <x:c r="Y350" s="55" t="n">
        <x:f>IF(ISNUMBER(X350),ROUNDUP(X350,0),"")</x:f>
        <x:v>21</x:v>
      </x:c>
      <x:c r="Z350" t="str">
        <x:v>Source match pending</x:v>
      </x:c>
      <x:c r="AA350" t="str">
        <x:v>screencapture-www-activesportstrade-co-uk-apex-formulas-trade-2026-09-09-18_15_15.png / page-001</x:v>
      </x:c>
      <x:c r="AB350" s="36" t="n">
        <x:f>IF(ISNUMBER(Y350),ROUND(Y350*0.9,2),"")</x:f>
        <x:v>18.9</x:v>
      </x:c>
      <x:c r="AC350" s="36" t="n">
        <x:f>IF(ISNUMBER(AB350),ROUND(AB350-(AB350*0.015+0.2)-V350,2),"")</x:f>
        <x:v>4.03</x:v>
      </x:c>
      <x:c r="AD350" s="36" t="n">
        <x:f>IF(ISNUMBER(Y350),ROUND(Y350*0.8,2),"")</x:f>
        <x:v>16.8</x:v>
      </x:c>
      <x:c r="AE350" s="36" t="n">
        <x:f>IF(ISNUMBER(AD350),ROUND(AD350*0.015+0.2,2),"")</x:f>
        <x:v>0.45</x:v>
      </x:c>
      <x:c r="AF350" s="36" t="n">
        <x:f>IF(ISNUMBER(AD350),ROUND(AD350-AE350-V350,2),"")</x:f>
        <x:v>1.96</x:v>
      </x:c>
      <x:c r="AG350" t="str">
        <x:f>IF(NOT(ISNUMBER(T350)),"PENDING",IF(AF350&gt;0,"PASS","FAIL"))</x:f>
        <x:v>PASS</x:v>
      </x:c>
      <x:c r="AH350" t="str">
        <x:f>IF(NOT(ISNUMBER(T350)),"Needs supplier cost",IF(K350&lt;&gt;"In stock","Supplier unavailable",IF(AG350&lt;&gt;"PASS","BLOCK - GT loss risk","Commercially protected")))</x:f>
        <x:v>Commercially protected</x:v>
      </x:c>
      <x:c r="AI350" t="str">
        <x:v>2026-09-10 Active Sports trade capture</x:v>
      </x:c>
      <x:c r="AJ350" t="str">
        <x:v>Management-only economics. Stripe stress test uses 1.5% + £0.20 standard UK online-card fee; pallet/mix-and-match pricing ignored.</x:v>
      </x:c>
    </x:row>
    <x:row r="351">
      <x:c r="A351" t="str">
        <x:v>Active Sports Nutrition</x:v>
      </x:c>
      <x:c r="B351" t="str">
        <x:v>Apex Formulas</x:v>
      </x:c>
      <x:c r="C351" t="str">
        <x:v>Duel Creatine</x:v>
      </x:c>
      <x:c r="D351" t="str">
        <x:v>Supplements</x:v>
      </x:c>
      <x:c r="E351" t="str">
        <x:v>Creatine Powders</x:v>
      </x:c>
      <x:c r="F351" t="str">
        <x:v>Creatine performance powder.</x:v>
      </x:c>
      <x:c r="G351" t="str">
        <x:v>300g</x:v>
      </x:c>
      <x:c r="H351" t="str">
        <x:v>Unflavoured</x:v>
      </x:c>
      <x:c r="I351" t="str"/>
      <x:c r="J351" t="str">
        <x:v>Unit</x:v>
      </x:c>
      <x:c r="K351" t="str">
        <x:v>In stock</x:v>
      </x:c>
      <x:c r="L351" t="str">
        <x:v>2026-09-08</x:v>
      </x:c>
      <x:c r="M351" t="str"/>
      <x:c r="N351" t="str"/>
      <x:c r="O351" t="str">
        <x:v>https://www.activesportstrade.co.uk/Creatine-Powders-Trade</x:v>
      </x:c>
      <x:c r="P351" t="str"/>
      <x:c r="Q351" t="str"/>
      <x:c r="R351" t="str"/>
      <x:c r="S351" t="str">
        <x:v>Pending genuine supplier/brand image</x:v>
      </x:c>
      <x:c r="T351" s="54" t="n">
        <x:v>11.99</x:v>
      </x:c>
      <x:c r="U351" s="47" t="n">
        <x:v>0.2</x:v>
      </x:c>
      <x:c r="V351" s="54" t="n">
        <x:f>IF(ISNUMBER(T351),T351*(1+U351),"")</x:f>
        <x:v>14.388</x:v>
      </x:c>
      <x:c r="W351" s="47" t="n">
        <x:v>0.3</x:v>
      </x:c>
      <x:c r="X351" s="54" t="n">
        <x:f>IF(ISNUMBER(V351),V351/(1-W351),"")</x:f>
        <x:v>20.554285714285715</x:v>
      </x:c>
      <x:c r="Y351" s="55" t="n">
        <x:f>IF(ISNUMBER(X351),ROUNDUP(X351,0),"")</x:f>
        <x:v>21</x:v>
      </x:c>
      <x:c r="Z351" t="str">
        <x:v>Source match pending</x:v>
      </x:c>
      <x:c r="AA351" t="str">
        <x:v>screencapture-www-activesportstrade-co-uk-apex-formulas-trade-2026-09-09-18_15_15.png / page-001</x:v>
      </x:c>
      <x:c r="AB351" s="36" t="n">
        <x:f>IF(ISNUMBER(Y351),ROUND(Y351*0.9,2),"")</x:f>
        <x:v>18.9</x:v>
      </x:c>
      <x:c r="AC351" s="36" t="n">
        <x:f>IF(ISNUMBER(AB351),ROUND(AB351-(AB351*0.015+0.2)-V351,2),"")</x:f>
        <x:v>4.03</x:v>
      </x:c>
      <x:c r="AD351" s="36" t="n">
        <x:f>IF(ISNUMBER(Y351),ROUND(Y351*0.8,2),"")</x:f>
        <x:v>16.8</x:v>
      </x:c>
      <x:c r="AE351" s="36" t="n">
        <x:f>IF(ISNUMBER(AD351),ROUND(AD351*0.015+0.2,2),"")</x:f>
        <x:v>0.45</x:v>
      </x:c>
      <x:c r="AF351" s="36" t="n">
        <x:f>IF(ISNUMBER(AD351),ROUND(AD351-AE351-V351,2),"")</x:f>
        <x:v>1.96</x:v>
      </x:c>
      <x:c r="AG351" t="str">
        <x:f>IF(NOT(ISNUMBER(T351)),"PENDING",IF(AF351&gt;0,"PASS","FAIL"))</x:f>
        <x:v>PASS</x:v>
      </x:c>
      <x:c r="AH351" t="str">
        <x:f>IF(NOT(ISNUMBER(T351)),"Needs supplier cost",IF(K351&lt;&gt;"In stock","Supplier unavailable",IF(AG351&lt;&gt;"PASS","BLOCK - GT loss risk","Commercially protected")))</x:f>
        <x:v>Commercially protected</x:v>
      </x:c>
      <x:c r="AI351" t="str">
        <x:v>2026-09-10 Active Sports trade capture</x:v>
      </x:c>
      <x:c r="AJ351" t="str">
        <x:v>Management-only economics. Stripe stress test uses 1.5% + £0.20 standard UK online-card fee; pallet/mix-and-match pricing ignored.</x:v>
      </x:c>
    </x:row>
    <x:row r="352">
      <x:c r="A352" t="str">
        <x:v>Active Sports Nutrition</x:v>
      </x:c>
      <x:c r="B352" t="str">
        <x:v>Apex Formulas</x:v>
      </x:c>
      <x:c r="C352" t="str">
        <x:v>HMB</x:v>
      </x:c>
      <x:c r="D352" t="str">
        <x:v>Supplements</x:v>
      </x:c>
      <x:c r="E352" t="str">
        <x:v>HMB Supplements</x:v>
      </x:c>
      <x:c r="F352" t="str">
        <x:v>Standalone HMB powder.</x:v>
      </x:c>
      <x:c r="G352" t="str">
        <x:v>240g</x:v>
      </x:c>
      <x:c r="H352" t="str">
        <x:v>Unflavoured</x:v>
      </x:c>
      <x:c r="I352" t="str"/>
      <x:c r="J352" t="str">
        <x:v>Unit</x:v>
      </x:c>
      <x:c r="K352" t="str">
        <x:v>In stock</x:v>
      </x:c>
      <x:c r="L352" t="str">
        <x:v>2026-09-08</x:v>
      </x:c>
      <x:c r="M352" t="str"/>
      <x:c r="N352" t="str"/>
      <x:c r="O352" t="str">
        <x:v>https://www.activesportstrade.co.uk/trade-sports-supplements</x:v>
      </x:c>
      <x:c r="P352" t="str"/>
      <x:c r="Q352" t="str"/>
      <x:c r="R352" t="str"/>
      <x:c r="S352" t="str">
        <x:v>Pending genuine supplier/brand image</x:v>
      </x:c>
      <x:c r="T352" s="54" t="n">
        <x:v>11.99</x:v>
      </x:c>
      <x:c r="U352" s="47" t="n">
        <x:v>0.2</x:v>
      </x:c>
      <x:c r="V352" s="54" t="n">
        <x:f>IF(ISNUMBER(T352),T352*(1+U352),"")</x:f>
        <x:v>14.388</x:v>
      </x:c>
      <x:c r="W352" s="47" t="n">
        <x:v>0.3</x:v>
      </x:c>
      <x:c r="X352" s="54" t="n">
        <x:f>IF(ISNUMBER(V352),V352/(1-W352),"")</x:f>
        <x:v>20.554285714285715</x:v>
      </x:c>
      <x:c r="Y352" s="55" t="n">
        <x:f>IF(ISNUMBER(X352),ROUNDUP(X352,0),"")</x:f>
        <x:v>21</x:v>
      </x:c>
      <x:c r="Z352" t="str">
        <x:v>Source match pending</x:v>
      </x:c>
      <x:c r="AA352" t="str">
        <x:v>screencapture-www-activesportstrade-co-uk-apex-formulas-trade-2026-09-09-18_15_15.png / page-001</x:v>
      </x:c>
      <x:c r="AB352" s="36" t="n">
        <x:f>IF(ISNUMBER(Y352),ROUND(Y352*0.9,2),"")</x:f>
        <x:v>18.9</x:v>
      </x:c>
      <x:c r="AC352" s="36" t="n">
        <x:f>IF(ISNUMBER(AB352),ROUND(AB352-(AB352*0.015+0.2)-V352,2),"")</x:f>
        <x:v>4.03</x:v>
      </x:c>
      <x:c r="AD352" s="36" t="n">
        <x:f>IF(ISNUMBER(Y352),ROUND(Y352*0.8,2),"")</x:f>
        <x:v>16.8</x:v>
      </x:c>
      <x:c r="AE352" s="36" t="n">
        <x:f>IF(ISNUMBER(AD352),ROUND(AD352*0.015+0.2,2),"")</x:f>
        <x:v>0.45</x:v>
      </x:c>
      <x:c r="AF352" s="36" t="n">
        <x:f>IF(ISNUMBER(AD352),ROUND(AD352-AE352-V352,2),"")</x:f>
        <x:v>1.96</x:v>
      </x:c>
      <x:c r="AG352" t="str">
        <x:f>IF(NOT(ISNUMBER(T352)),"PENDING",IF(AF352&gt;0,"PASS","FAIL"))</x:f>
        <x:v>PASS</x:v>
      </x:c>
      <x:c r="AH352" t="str">
        <x:f>IF(NOT(ISNUMBER(T352)),"Needs supplier cost",IF(K352&lt;&gt;"In stock","Supplier unavailable",IF(AG352&lt;&gt;"PASS","BLOCK - GT loss risk","Commercially protected")))</x:f>
        <x:v>Commercially protected</x:v>
      </x:c>
      <x:c r="AI352" t="str">
        <x:v>2026-09-10 Active Sports trade capture</x:v>
      </x:c>
      <x:c r="AJ352" t="str">
        <x:v>Management-only economics. Stripe stress test uses 1.5% + £0.20 standard UK online-card fee; pallet/mix-and-match pricing ignored.</x:v>
      </x:c>
    </x:row>
    <x:row r="353">
      <x:c r="A353" t="str">
        <x:v>Active Sports Nutrition</x:v>
      </x:c>
      <x:c r="B353" t="str">
        <x:v>Apex Formulas</x:v>
      </x:c>
      <x:c r="C353" t="str">
        <x:v>Joint Support</x:v>
      </x:c>
      <x:c r="D353" t="str">
        <x:v>Supplements</x:v>
      </x:c>
      <x:c r="E353" t="str">
        <x:v>Joint Repair</x:v>
      </x:c>
      <x:c r="F353" t="str">
        <x:v>Joint and tissue-support formula.</x:v>
      </x:c>
      <x:c r="G353" t="str">
        <x:v>30 servings</x:v>
      </x:c>
      <x:c r="H353" t="str">
        <x:v>Black Cherry</x:v>
      </x:c>
      <x:c r="I353" t="str"/>
      <x:c r="J353" t="str">
        <x:v>Unit</x:v>
      </x:c>
      <x:c r="K353" t="str">
        <x:v>In stock</x:v>
      </x:c>
      <x:c r="L353" t="str">
        <x:v>2026-09-08</x:v>
      </x:c>
      <x:c r="M353" t="str"/>
      <x:c r="N353" t="str"/>
      <x:c r="O353" t="str">
        <x:v>https://www.activesportstrade.co.uk/trade-sports-supplements</x:v>
      </x:c>
      <x:c r="P353" t="str"/>
      <x:c r="Q353" t="str"/>
      <x:c r="R353" t="str"/>
      <x:c r="S353" t="str">
        <x:v>Pending genuine supplier/brand image</x:v>
      </x:c>
      <x:c r="T353" s="54" t="n">
        <x:v>20.99</x:v>
      </x:c>
      <x:c r="U353" s="47" t="n">
        <x:v>0.2</x:v>
      </x:c>
      <x:c r="V353" s="54" t="n">
        <x:f>IF(ISNUMBER(T353),T353*(1+U353),"")</x:f>
        <x:v>25.188</x:v>
      </x:c>
      <x:c r="W353" s="47" t="n">
        <x:v>0.3</x:v>
      </x:c>
      <x:c r="X353" s="54" t="n">
        <x:f>IF(ISNUMBER(V353),V353/(1-W353),"")</x:f>
        <x:v>35.98285714285714</x:v>
      </x:c>
      <x:c r="Y353" s="55" t="n">
        <x:f>IF(ISNUMBER(X353),ROUNDUP(X353,0),"")</x:f>
        <x:v>36</x:v>
      </x:c>
      <x:c r="Z353" t="str">
        <x:v>Source match pending</x:v>
      </x:c>
      <x:c r="AA353" t="str">
        <x:v>screencapture-www-activesportstrade-co-uk-apex-formulas-trade-2026-09-09-18_15_15.png / page-001</x:v>
      </x:c>
      <x:c r="AB353" s="36" t="n">
        <x:f>IF(ISNUMBER(Y353),ROUND(Y353*0.9,2),"")</x:f>
        <x:v>32.4</x:v>
      </x:c>
      <x:c r="AC353" s="36" t="n">
        <x:f>IF(ISNUMBER(AB353),ROUND(AB353-(AB353*0.015+0.2)-V353,2),"")</x:f>
        <x:v>6.53</x:v>
      </x:c>
      <x:c r="AD353" s="36" t="n">
        <x:f>IF(ISNUMBER(Y353),ROUND(Y353*0.8,2),"")</x:f>
        <x:v>28.8</x:v>
      </x:c>
      <x:c r="AE353" s="36" t="n">
        <x:f>IF(ISNUMBER(AD353),ROUND(AD353*0.015+0.2,2),"")</x:f>
        <x:v>0.63</x:v>
      </x:c>
      <x:c r="AF353" s="36" t="n">
        <x:f>IF(ISNUMBER(AD353),ROUND(AD353-AE353-V353,2),"")</x:f>
        <x:v>2.98</x:v>
      </x:c>
      <x:c r="AG353" t="str">
        <x:f>IF(NOT(ISNUMBER(T353)),"PENDING",IF(AF353&gt;0,"PASS","FAIL"))</x:f>
        <x:v>PASS</x:v>
      </x:c>
      <x:c r="AH353" t="str">
        <x:f>IF(NOT(ISNUMBER(T353)),"Needs supplier cost",IF(K353&lt;&gt;"In stock","Supplier unavailable",IF(AG353&lt;&gt;"PASS","BLOCK - GT loss risk","Commercially protected")))</x:f>
        <x:v>Commercially protected</x:v>
      </x:c>
      <x:c r="AI353" t="str">
        <x:v>2026-09-10 Active Sports trade capture</x:v>
      </x:c>
      <x:c r="AJ353" t="str">
        <x:v>Management-only economics. Stripe stress test uses 1.5% + £0.20 standard UK online-card fee; pallet/mix-and-match pricing ignored.</x:v>
      </x:c>
    </x:row>
    <x:row r="354">
      <x:c r="A354" t="str">
        <x:v>Active Sports Nutrition</x:v>
      </x:c>
      <x:c r="B354" t="str">
        <x:v>Apex Formulas</x:v>
      </x:c>
      <x:c r="C354" t="str">
        <x:v>Morning Ritual</x:v>
      </x:c>
      <x:c r="D354" t="str">
        <x:v>Supplements</x:v>
      </x:c>
      <x:c r="E354" t="str">
        <x:v>All In Ones</x:v>
      </x:c>
      <x:c r="F354" t="str">
        <x:v>All-in-one daily health and performance formula.</x:v>
      </x:c>
      <x:c r="G354" t="str">
        <x:v>30 servings</x:v>
      </x:c>
      <x:c r="H354" t="str">
        <x:v>Citrus Punch</x:v>
      </x:c>
      <x:c r="I354" t="str"/>
      <x:c r="J354" t="str">
        <x:v>Unit</x:v>
      </x:c>
      <x:c r="K354" t="str">
        <x:v>In stock</x:v>
      </x:c>
      <x:c r="L354" t="str">
        <x:v>2026-09-08</x:v>
      </x:c>
      <x:c r="M354" t="str"/>
      <x:c r="N354" t="str"/>
      <x:c r="O354" t="str">
        <x:v>https://www.activesportstrade.co.uk/trade-sports-supplements</x:v>
      </x:c>
      <x:c r="P354" t="str"/>
      <x:c r="Q354" t="str"/>
      <x:c r="R354" t="str"/>
      <x:c r="S354" t="str">
        <x:v>Pending genuine supplier/brand image</x:v>
      </x:c>
      <x:c r="T354" s="54" t="n">
        <x:v>22.99</x:v>
      </x:c>
      <x:c r="U354" s="47" t="n">
        <x:v>0.2</x:v>
      </x:c>
      <x:c r="V354" s="54" t="n">
        <x:f>IF(ISNUMBER(T354),T354*(1+U354),"")</x:f>
        <x:v>27.587999999999997</x:v>
      </x:c>
      <x:c r="W354" s="47" t="n">
        <x:v>0.3</x:v>
      </x:c>
      <x:c r="X354" s="54" t="n">
        <x:f>IF(ISNUMBER(V354),V354/(1-W354),"")</x:f>
        <x:v>39.41142857142857</x:v>
      </x:c>
      <x:c r="Y354" s="55" t="n">
        <x:f>IF(ISNUMBER(X354),ROUNDUP(X354,0),"")</x:f>
        <x:v>40</x:v>
      </x:c>
      <x:c r="Z354" t="str">
        <x:v>Source match pending</x:v>
      </x:c>
      <x:c r="AA354" t="str">
        <x:v>screencapture-www-activesportstrade-co-uk-apex-formulas-trade-2026-09-09-18_15_15.png / page-001</x:v>
      </x:c>
      <x:c r="AB354" s="36" t="n">
        <x:f>IF(ISNUMBER(Y354),ROUND(Y354*0.9,2),"")</x:f>
        <x:v>36</x:v>
      </x:c>
      <x:c r="AC354" s="36" t="n">
        <x:f>IF(ISNUMBER(AB354),ROUND(AB354-(AB354*0.015+0.2)-V354,2),"")</x:f>
        <x:v>7.67</x:v>
      </x:c>
      <x:c r="AD354" s="36" t="n">
        <x:f>IF(ISNUMBER(Y354),ROUND(Y354*0.8,2),"")</x:f>
        <x:v>32</x:v>
      </x:c>
      <x:c r="AE354" s="36" t="n">
        <x:f>IF(ISNUMBER(AD354),ROUND(AD354*0.015+0.2,2),"")</x:f>
        <x:v>0.68</x:v>
      </x:c>
      <x:c r="AF354" s="36" t="n">
        <x:f>IF(ISNUMBER(AD354),ROUND(AD354-AE354-V354,2),"")</x:f>
        <x:v>3.73</x:v>
      </x:c>
      <x:c r="AG354" t="str">
        <x:f>IF(NOT(ISNUMBER(T354)),"PENDING",IF(AF354&gt;0,"PASS","FAIL"))</x:f>
        <x:v>PASS</x:v>
      </x:c>
      <x:c r="AH354" t="str">
        <x:f>IF(NOT(ISNUMBER(T354)),"Needs supplier cost",IF(K354&lt;&gt;"In stock","Supplier unavailable",IF(AG354&lt;&gt;"PASS","BLOCK - GT loss risk","Commercially protected")))</x:f>
        <x:v>Commercially protected</x:v>
      </x:c>
      <x:c r="AI354" t="str">
        <x:v>2026-09-10 Active Sports trade capture</x:v>
      </x:c>
      <x:c r="AJ354" t="str">
        <x:v>Management-only economics. Stripe stress test uses 1.5% + £0.20 standard UK online-card fee; pallet/mix-and-match pricing ignored.</x:v>
      </x:c>
    </x:row>
    <x:row r="355">
      <x:c r="A355" t="str">
        <x:v>Active Sports Nutrition</x:v>
      </x:c>
      <x:c r="B355" t="str">
        <x:v>Apex Formulas</x:v>
      </x:c>
      <x:c r="C355" t="str">
        <x:v>Morning Ritual</x:v>
      </x:c>
      <x:c r="D355" t="str">
        <x:v>Supplements</x:v>
      </x:c>
      <x:c r="E355" t="str">
        <x:v>All In Ones</x:v>
      </x:c>
      <x:c r="F355" t="str">
        <x:v>All-in-one daily health and performance formula.</x:v>
      </x:c>
      <x:c r="G355" t="str">
        <x:v>30 servings</x:v>
      </x:c>
      <x:c r="H355" t="str">
        <x:v>Raspberry Blackberry</x:v>
      </x:c>
      <x:c r="I355" t="str"/>
      <x:c r="J355" t="str">
        <x:v>Unit</x:v>
      </x:c>
      <x:c r="K355" t="str">
        <x:v>In stock</x:v>
      </x:c>
      <x:c r="L355" t="str">
        <x:v>2026-09-08</x:v>
      </x:c>
      <x:c r="M355" t="str"/>
      <x:c r="N355" t="str"/>
      <x:c r="O355" t="str">
        <x:v>https://www.activesportstrade.co.uk/trade-sports-supplements</x:v>
      </x:c>
      <x:c r="P355" t="str"/>
      <x:c r="Q355" t="str"/>
      <x:c r="R355" t="str"/>
      <x:c r="S355" t="str">
        <x:v>Pending genuine supplier/brand image</x:v>
      </x:c>
      <x:c r="T355" s="54" t="n">
        <x:v>22.99</x:v>
      </x:c>
      <x:c r="U355" s="47" t="n">
        <x:v>0.2</x:v>
      </x:c>
      <x:c r="V355" s="54" t="n">
        <x:f>IF(ISNUMBER(T355),T355*(1+U355),"")</x:f>
        <x:v>27.587999999999997</x:v>
      </x:c>
      <x:c r="W355" s="47" t="n">
        <x:v>0.3</x:v>
      </x:c>
      <x:c r="X355" s="54" t="n">
        <x:f>IF(ISNUMBER(V355),V355/(1-W355),"")</x:f>
        <x:v>39.41142857142857</x:v>
      </x:c>
      <x:c r="Y355" s="55" t="n">
        <x:f>IF(ISNUMBER(X355),ROUNDUP(X355,0),"")</x:f>
        <x:v>40</x:v>
      </x:c>
      <x:c r="Z355" t="str">
        <x:v>Source match pending</x:v>
      </x:c>
      <x:c r="AA355" t="str">
        <x:v>screencapture-www-activesportstrade-co-uk-apex-formulas-trade-2026-09-09-18_15_15.png / page-001</x:v>
      </x:c>
      <x:c r="AB355" s="36" t="n">
        <x:f>IF(ISNUMBER(Y355),ROUND(Y355*0.9,2),"")</x:f>
        <x:v>36</x:v>
      </x:c>
      <x:c r="AC355" s="36" t="n">
        <x:f>IF(ISNUMBER(AB355),ROUND(AB355-(AB355*0.015+0.2)-V355,2),"")</x:f>
        <x:v>7.67</x:v>
      </x:c>
      <x:c r="AD355" s="36" t="n">
        <x:f>IF(ISNUMBER(Y355),ROUND(Y355*0.8,2),"")</x:f>
        <x:v>32</x:v>
      </x:c>
      <x:c r="AE355" s="36" t="n">
        <x:f>IF(ISNUMBER(AD355),ROUND(AD355*0.015+0.2,2),"")</x:f>
        <x:v>0.68</x:v>
      </x:c>
      <x:c r="AF355" s="36" t="n">
        <x:f>IF(ISNUMBER(AD355),ROUND(AD355-AE355-V355,2),"")</x:f>
        <x:v>3.73</x:v>
      </x:c>
      <x:c r="AG355" t="str">
        <x:f>IF(NOT(ISNUMBER(T355)),"PENDING",IF(AF355&gt;0,"PASS","FAIL"))</x:f>
        <x:v>PASS</x:v>
      </x:c>
      <x:c r="AH355" t="str">
        <x:f>IF(NOT(ISNUMBER(T355)),"Needs supplier cost",IF(K355&lt;&gt;"In stock","Supplier unavailable",IF(AG355&lt;&gt;"PASS","BLOCK - GT loss risk","Commercially protected")))</x:f>
        <x:v>Commercially protected</x:v>
      </x:c>
      <x:c r="AI355" t="str">
        <x:v>2026-09-10 Active Sports trade capture</x:v>
      </x:c>
      <x:c r="AJ355" t="str">
        <x:v>Management-only economics. Stripe stress test uses 1.5% + £0.20 standard UK online-card fee; pallet/mix-and-match pricing ignored.</x:v>
      </x:c>
    </x:row>
    <x:row r="356">
      <x:c r="A356" t="str">
        <x:v>Active Sports Nutrition</x:v>
      </x:c>
      <x:c r="B356" t="str">
        <x:v>Apex Formulas</x:v>
      </x:c>
      <x:c r="C356" t="str">
        <x:v>Morning Ritual</x:v>
      </x:c>
      <x:c r="D356" t="str">
        <x:v>Supplements</x:v>
      </x:c>
      <x:c r="E356" t="str">
        <x:v>All In Ones</x:v>
      </x:c>
      <x:c r="F356" t="str">
        <x:v>All-in-one daily health and performance formula.</x:v>
      </x:c>
      <x:c r="G356" t="str">
        <x:v>30 servings</x:v>
      </x:c>
      <x:c r="H356" t="str">
        <x:v>Strawberry Lime</x:v>
      </x:c>
      <x:c r="I356" t="str"/>
      <x:c r="J356" t="str">
        <x:v>Unit</x:v>
      </x:c>
      <x:c r="K356" t="str">
        <x:v>Out of stock</x:v>
      </x:c>
      <x:c r="L356" t="str">
        <x:v>2026-09-08</x:v>
      </x:c>
      <x:c r="M356" t="str"/>
      <x:c r="N356" t="str"/>
      <x:c r="O356" t="str">
        <x:v>https://www.activesportstrade.co.uk/trade-sports-supplements</x:v>
      </x:c>
      <x:c r="P356" t="str"/>
      <x:c r="Q356" t="str"/>
      <x:c r="R356" t="str"/>
      <x:c r="S356" t="str">
        <x:v>Pending genuine supplier/brand image</x:v>
      </x:c>
      <x:c r="T356" s="54" t="n">
        <x:v>22.99</x:v>
      </x:c>
      <x:c r="U356" s="47" t="n">
        <x:v>0.2</x:v>
      </x:c>
      <x:c r="V356" s="54" t="n">
        <x:f>IF(ISNUMBER(T356),T356*(1+U356),"")</x:f>
        <x:v>27.587999999999997</x:v>
      </x:c>
      <x:c r="W356" s="47" t="n">
        <x:v>0.3</x:v>
      </x:c>
      <x:c r="X356" s="54" t="n">
        <x:f>IF(ISNUMBER(V356),V356/(1-W356),"")</x:f>
        <x:v>39.41142857142857</x:v>
      </x:c>
      <x:c r="Y356" s="55" t="n">
        <x:f>IF(ISNUMBER(X356),ROUNDUP(X356,0),"")</x:f>
        <x:v>40</x:v>
      </x:c>
      <x:c r="Z356" t="str">
        <x:v>Source match pending</x:v>
      </x:c>
      <x:c r="AA356" t="str">
        <x:v>screencapture-www-activesportstrade-co-uk-apex-formulas-trade-2026-09-09-18_15_15.png / page-001</x:v>
      </x:c>
      <x:c r="AB356" s="36" t="n">
        <x:f>IF(ISNUMBER(Y356),ROUND(Y356*0.9,2),"")</x:f>
        <x:v>36</x:v>
      </x:c>
      <x:c r="AC356" s="36" t="n">
        <x:f>IF(ISNUMBER(AB356),ROUND(AB356-(AB356*0.015+0.2)-V356,2),"")</x:f>
        <x:v>7.67</x:v>
      </x:c>
      <x:c r="AD356" s="36" t="n">
        <x:f>IF(ISNUMBER(Y356),ROUND(Y356*0.8,2),"")</x:f>
        <x:v>32</x:v>
      </x:c>
      <x:c r="AE356" s="36" t="n">
        <x:f>IF(ISNUMBER(AD356),ROUND(AD356*0.015+0.2,2),"")</x:f>
        <x:v>0.68</x:v>
      </x:c>
      <x:c r="AF356" s="36" t="n">
        <x:f>IF(ISNUMBER(AD356),ROUND(AD356-AE356-V356,2),"")</x:f>
        <x:v>3.73</x:v>
      </x:c>
      <x:c r="AG356" t="str">
        <x:f>IF(NOT(ISNUMBER(T356)),"PENDING",IF(AF356&gt;0,"PASS","FAIL"))</x:f>
        <x:v>PASS</x:v>
      </x:c>
      <x:c r="AH356" t="str">
        <x:f>IF(NOT(ISNUMBER(T356)),"Needs supplier cost",IF(K356&lt;&gt;"In stock","Supplier unavailable",IF(AG356&lt;&gt;"PASS","BLOCK - GT loss risk","Commercially protected")))</x:f>
        <x:v>Supplier unavailable</x:v>
      </x:c>
      <x:c r="AI356" t="str">
        <x:v>2026-09-10 Active Sports trade capture</x:v>
      </x:c>
      <x:c r="AJ356" t="str">
        <x:v>Management-only economics. Stripe stress test uses 1.5% + £0.20 standard UK online-card fee; pallet/mix-and-match pricing ignored.</x:v>
      </x:c>
    </x:row>
    <x:row r="357">
      <x:c r="A357" t="str">
        <x:v>Active Sports Nutrition</x:v>
      </x:c>
      <x:c r="B357" t="str">
        <x:v>Apex Formulas</x:v>
      </x:c>
      <x:c r="C357" t="str">
        <x:v>Stress Recovery</x:v>
      </x:c>
      <x:c r="D357" t="str">
        <x:v>Supplements</x:v>
      </x:c>
      <x:c r="E357" t="str">
        <x:v>Sleep Aids</x:v>
      </x:c>
      <x:c r="F357" t="str">
        <x:v>Daily stress/recovery support formula.</x:v>
      </x:c>
      <x:c r="G357" t="str">
        <x:v>30 servings</x:v>
      </x:c>
      <x:c r="H357" t="str">
        <x:v>Blackcurrant</x:v>
      </x:c>
      <x:c r="I357" t="str"/>
      <x:c r="J357" t="str">
        <x:v>Unit</x:v>
      </x:c>
      <x:c r="K357" t="str">
        <x:v>In stock</x:v>
      </x:c>
      <x:c r="L357" t="str">
        <x:v>2026-09-08</x:v>
      </x:c>
      <x:c r="M357" t="str"/>
      <x:c r="N357" t="str"/>
      <x:c r="O357" t="str">
        <x:v>https://www.activesportstrade.co.uk/trade-sports-supplements</x:v>
      </x:c>
      <x:c r="P357" t="str"/>
      <x:c r="Q357" t="str"/>
      <x:c r="R357" t="str"/>
      <x:c r="S357" t="str">
        <x:v>Pending genuine supplier/brand image</x:v>
      </x:c>
      <x:c r="T357" s="54" t="n">
        <x:v>18.49</x:v>
      </x:c>
      <x:c r="U357" s="47" t="n">
        <x:v>0.2</x:v>
      </x:c>
      <x:c r="V357" s="54" t="n">
        <x:f>IF(ISNUMBER(T357),T357*(1+U357),"")</x:f>
        <x:v>22.188</x:v>
      </x:c>
      <x:c r="W357" s="47" t="n">
        <x:v>0.3</x:v>
      </x:c>
      <x:c r="X357" s="54" t="n">
        <x:f>IF(ISNUMBER(V357),V357/(1-W357),"")</x:f>
        <x:v>31.697142857142858</x:v>
      </x:c>
      <x:c r="Y357" s="55" t="n">
        <x:f>IF(ISNUMBER(X357),ROUNDUP(X357,0),"")</x:f>
        <x:v>32</x:v>
      </x:c>
      <x:c r="Z357" t="str">
        <x:v>Source match pending</x:v>
      </x:c>
      <x:c r="AA357" t="str">
        <x:v>screencapture-www-activesportstrade-co-uk-apex-formulas-trade-2026-09-09-18_15_15.png / page-001</x:v>
      </x:c>
      <x:c r="AB357" s="36" t="n">
        <x:f>IF(ISNUMBER(Y357),ROUND(Y357*0.9,2),"")</x:f>
        <x:v>28.8</x:v>
      </x:c>
      <x:c r="AC357" s="36" t="n">
        <x:f>IF(ISNUMBER(AB357),ROUND(AB357-(AB357*0.015+0.2)-V357,2),"")</x:f>
        <x:v>5.98</x:v>
      </x:c>
      <x:c r="AD357" s="36" t="n">
        <x:f>IF(ISNUMBER(Y357),ROUND(Y357*0.8,2),"")</x:f>
        <x:v>25.6</x:v>
      </x:c>
      <x:c r="AE357" s="36" t="n">
        <x:f>IF(ISNUMBER(AD357),ROUND(AD357*0.015+0.2,2),"")</x:f>
        <x:v>0.58</x:v>
      </x:c>
      <x:c r="AF357" s="36" t="n">
        <x:f>IF(ISNUMBER(AD357),ROUND(AD357-AE357-V357,2),"")</x:f>
        <x:v>2.83</x:v>
      </x:c>
      <x:c r="AG357" t="str">
        <x:f>IF(NOT(ISNUMBER(T357)),"PENDING",IF(AF357&gt;0,"PASS","FAIL"))</x:f>
        <x:v>PASS</x:v>
      </x:c>
      <x:c r="AH357" t="str">
        <x:f>IF(NOT(ISNUMBER(T357)),"Needs supplier cost",IF(K357&lt;&gt;"In stock","Supplier unavailable",IF(AG357&lt;&gt;"PASS","BLOCK - GT loss risk","Commercially protected")))</x:f>
        <x:v>Commercially protected</x:v>
      </x:c>
      <x:c r="AI357" t="str">
        <x:v>2026-09-10 Active Sports trade capture</x:v>
      </x:c>
      <x:c r="AJ357" t="str">
        <x:v>Management-only economics. Stripe stress test uses 1.5% + £0.20 standard UK online-card fee; pallet/mix-and-match pricing ignored.</x:v>
      </x:c>
    </x:row>
    <x:row r="358">
      <x:c r="A358" t="str">
        <x:v>Active Sports Nutrition</x:v>
      </x:c>
      <x:c r="B358" t="str">
        <x:v>Apex Formulas</x:v>
      </x:c>
      <x:c r="C358" t="str">
        <x:v>Vitamin D3 &amp; K2</x:v>
      </x:c>
      <x:c r="D358" t="str">
        <x:v>Supplements</x:v>
      </x:c>
      <x:c r="E358" t="str">
        <x:v>Vitamins</x:v>
      </x:c>
      <x:c r="F358" t="str">
        <x:v>Vitamin D3/K2 micronutrient complex.</x:v>
      </x:c>
      <x:c r="G358" t="str">
        <x:v>120 caps</x:v>
      </x:c>
      <x:c r="H358" t="str">
        <x:v>Default</x:v>
      </x:c>
      <x:c r="I358" t="str"/>
      <x:c r="J358" t="str">
        <x:v>Unit</x:v>
      </x:c>
      <x:c r="K358" t="str">
        <x:v>In stock</x:v>
      </x:c>
      <x:c r="L358" t="str">
        <x:v>2026-09-08</x:v>
      </x:c>
      <x:c r="M358" t="str"/>
      <x:c r="N358" t="str"/>
      <x:c r="O358" t="str">
        <x:v>https://www.activesportstrade.co.uk/trade-sports-supplements</x:v>
      </x:c>
      <x:c r="P358" t="str"/>
      <x:c r="Q358" t="str"/>
      <x:c r="R358" t="str"/>
      <x:c r="S358" t="str">
        <x:v>Pending genuine supplier/brand image</x:v>
      </x:c>
      <x:c r="T358" s="54" t="n">
        <x:v>10.99</x:v>
      </x:c>
      <x:c r="U358" s="47" t="n">
        <x:v>0.2</x:v>
      </x:c>
      <x:c r="V358" s="54" t="n">
        <x:f>IF(ISNUMBER(T358),T358*(1+U358),"")</x:f>
        <x:v>13.188</x:v>
      </x:c>
      <x:c r="W358" s="47" t="n">
        <x:v>0.3</x:v>
      </x:c>
      <x:c r="X358" s="54" t="n">
        <x:f>IF(ISNUMBER(V358),V358/(1-W358),"")</x:f>
        <x:v>18.840000000000003</x:v>
      </x:c>
      <x:c r="Y358" s="55" t="n">
        <x:f>IF(ISNUMBER(X358),ROUNDUP(X358,0),"")</x:f>
        <x:v>19</x:v>
      </x:c>
      <x:c r="Z358" t="str">
        <x:v>Source match pending</x:v>
      </x:c>
      <x:c r="AA358" t="str">
        <x:v>screencapture-www-activesportstrade-co-uk-apex-formulas-trade-2026-09-09-18_15_15.png / page-002</x:v>
      </x:c>
      <x:c r="AB358" s="36" t="n">
        <x:f>IF(ISNUMBER(Y358),ROUND(Y358*0.9,2),"")</x:f>
        <x:v>17.1</x:v>
      </x:c>
      <x:c r="AC358" s="36" t="n">
        <x:f>IF(ISNUMBER(AB358),ROUND(AB358-(AB358*0.015+0.2)-V358,2),"")</x:f>
        <x:v>3.46</x:v>
      </x:c>
      <x:c r="AD358" s="36" t="n">
        <x:f>IF(ISNUMBER(Y358),ROUND(Y358*0.8,2),"")</x:f>
        <x:v>15.2</x:v>
      </x:c>
      <x:c r="AE358" s="36" t="n">
        <x:f>IF(ISNUMBER(AD358),ROUND(AD358*0.015+0.2,2),"")</x:f>
        <x:v>0.43</x:v>
      </x:c>
      <x:c r="AF358" s="36" t="n">
        <x:f>IF(ISNUMBER(AD358),ROUND(AD358-AE358-V358,2),"")</x:f>
        <x:v>1.58</x:v>
      </x:c>
      <x:c r="AG358" t="str">
        <x:f>IF(NOT(ISNUMBER(T358)),"PENDING",IF(AF358&gt;0,"PASS","FAIL"))</x:f>
        <x:v>PASS</x:v>
      </x:c>
      <x:c r="AH358" t="str">
        <x:f>IF(NOT(ISNUMBER(T358)),"Needs supplier cost",IF(K358&lt;&gt;"In stock","Supplier unavailable",IF(AG358&lt;&gt;"PASS","BLOCK - GT loss risk","Commercially protected")))</x:f>
        <x:v>Commercially protected</x:v>
      </x:c>
      <x:c r="AI358" t="str">
        <x:v>2026-09-10 Active Sports trade capture</x:v>
      </x:c>
      <x:c r="AJ358" t="str">
        <x:v>Management-only economics. Stripe stress test uses 1.5% + £0.20 standard UK online-card fee; pallet/mix-and-match pricing ignored.</x:v>
      </x:c>
    </x:row>
    <x:row r="359">
      <x:c r="A359" t="str">
        <x:v>Active Sports Nutrition</x:v>
      </x:c>
      <x:c r="B359" t="str">
        <x:v>Apocalypse Nutrition</x:v>
      </x:c>
      <x:c r="C359" t="str">
        <x:v>Creatine 3000mg</x:v>
      </x:c>
      <x:c r="D359" t="str">
        <x:v>Supplements</x:v>
      </x:c>
      <x:c r="E359" t="str">
        <x:v>Creatine Pills</x:v>
      </x:c>
      <x:c r="F359" t="str">
        <x:v>Creatine monohydrate capsules.</x:v>
      </x:c>
      <x:c r="G359" t="str">
        <x:v>120 caps</x:v>
      </x:c>
      <x:c r="H359" t="str">
        <x:v>Default</x:v>
      </x:c>
      <x:c r="I359" t="str"/>
      <x:c r="J359" t="str">
        <x:v>Unit</x:v>
      </x:c>
      <x:c r="K359" t="str">
        <x:v>In stock</x:v>
      </x:c>
      <x:c r="L359" t="str">
        <x:v>2026-09-08</x:v>
      </x:c>
      <x:c r="M359" t="str"/>
      <x:c r="N359" t="str"/>
      <x:c r="O359" t="str">
        <x:v>https://www.activesportstrade.co.uk/apocalypse-nutrition</x:v>
      </x:c>
      <x:c r="P359" t="str">
        <x:v>SPECIAL OFFER / PRICE wording removed.</x:v>
      </x:c>
      <x:c r="Q359" t="str"/>
      <x:c r="R359" t="str"/>
      <x:c r="S359" t="str">
        <x:v>Pending genuine supplier/brand image</x:v>
      </x:c>
      <x:c r="T359" s="54"/>
      <x:c r="U359" s="47" t="n">
        <x:v>0.2</x:v>
      </x:c>
      <x:c r="V359" s="54" t="str">
        <x:f>IF(ISNUMBER(T359),T359*(1+U359),"")</x:f>
      </x:c>
      <x:c r="W359" s="47" t="n">
        <x:v>0.3</x:v>
      </x:c>
      <x:c r="X359" s="54" t="str">
        <x:f>IF(ISNUMBER(V359),V359/(1-W359),"")</x:f>
      </x:c>
      <x:c r="Y359" s="55" t="str">
        <x:f>IF(ISNUMBER(X359),ROUNDUP(X359,0),"")</x:f>
      </x:c>
      <x:c r="Z359" t="str">
        <x:f>IF(ISNUMBER(T359),"Cost captured","Awaiting trade cost")</x:f>
        <x:v>Awaiting trade cost</x:v>
      </x:c>
      <x:c r="AB359" s="36" t="str">
        <x:f>IF(ISNUMBER(Y359),ROUND(Y359*0.9,2),"")</x:f>
      </x:c>
      <x:c r="AC359" s="36" t="str">
        <x:f>IF(ISNUMBER(AB359),ROUND(AB359-(AB359*0.015+0.2)-V359,2),"")</x:f>
      </x:c>
      <x:c r="AD359" s="36" t="str">
        <x:f>IF(ISNUMBER(Y359),ROUND(Y359*0.8,2),"")</x:f>
      </x:c>
      <x:c r="AE359" s="36" t="str">
        <x:f>IF(ISNUMBER(AD359),ROUND(AD359*0.015+0.2,2),"")</x:f>
      </x:c>
      <x:c r="AF359" s="36" t="str">
        <x:f>IF(ISNUMBER(AD359),ROUND(AD359-AE359-V359,2),"")</x:f>
      </x:c>
      <x:c r="AG359" t="str">
        <x:f>IF(NOT(ISNUMBER(T359)),"PENDING",IF(AF359&gt;0,"PASS","FAIL"))</x:f>
        <x:v>PENDING</x:v>
      </x:c>
      <x:c r="AH359" t="str">
        <x:f>IF(NOT(ISNUMBER(T359)),"Needs supplier cost",IF(K359&lt;&gt;"In stock","Supplier unavailable",IF(AG359&lt;&gt;"PASS","BLOCK - GT loss risk","Commercially protected")))</x:f>
        <x:v>Needs supplier cost</x:v>
      </x:c>
      <x:c r="AI359" t="str">
        <x:v>2026-09-10 Active Sports trade capture</x:v>
      </x:c>
      <x:c r="AJ359" t="str">
        <x:v>Management-only economics. Stripe stress test uses 1.5% + £0.20 standard UK online-card fee; pallet/mix-and-match pricing ignored.</x:v>
      </x:c>
    </x:row>
    <x:row r="360">
      <x:c r="A360" t="str">
        <x:v>Active Sports Nutrition</x:v>
      </x:c>
      <x:c r="B360" t="str">
        <x:v>Apocalypse Nutrition</x:v>
      </x:c>
      <x:c r="C360" t="str">
        <x:v>Creatine Juice</x:v>
      </x:c>
      <x:c r="D360" t="str">
        <x:v>Supplements</x:v>
      </x:c>
      <x:c r="E360" t="str">
        <x:v>Creatine Powders</x:v>
      </x:c>
      <x:c r="F360" t="str">
        <x:v>Flavoured micronised creatine formula.</x:v>
      </x:c>
      <x:c r="G360" t="str">
        <x:v>300g / 60 servings</x:v>
      </x:c>
      <x:c r="H360" t="str">
        <x:v>Blue Razz</x:v>
      </x:c>
      <x:c r="I360" t="str"/>
      <x:c r="J360" t="str">
        <x:v>Unit</x:v>
      </x:c>
      <x:c r="K360" t="str">
        <x:v>In stock</x:v>
      </x:c>
      <x:c r="L360" t="str">
        <x:v>2026-09-08</x:v>
      </x:c>
      <x:c r="M360" t="str"/>
      <x:c r="N360" t="str"/>
      <x:c r="O360" t="str">
        <x:v>https://www.activesportstrade.co.uk/apocalypse-nutrition</x:v>
      </x:c>
      <x:c r="P360" t="str">
        <x:v>MEGA SPECIAL OFFER wording removed.</x:v>
      </x:c>
      <x:c r="Q360" t="str"/>
      <x:c r="R360" t="str"/>
      <x:c r="S360" t="str">
        <x:v>Pending genuine supplier/brand image</x:v>
      </x:c>
      <x:c r="T360" s="54" t="n">
        <x:v>5.99</x:v>
      </x:c>
      <x:c r="U360" s="47" t="n">
        <x:v>0.2</x:v>
      </x:c>
      <x:c r="V360" s="54" t="n">
        <x:f>IF(ISNUMBER(T360),T360*(1+U360),"")</x:f>
        <x:v>7.188</x:v>
      </x:c>
      <x:c r="W360" s="47" t="n">
        <x:v>0.3</x:v>
      </x:c>
      <x:c r="X360" s="54" t="n">
        <x:f>IF(ISNUMBER(V360),V360/(1-W360),"")</x:f>
        <x:v>10.268571428571429</x:v>
      </x:c>
      <x:c r="Y360" s="55" t="n">
        <x:f>IF(ISNUMBER(X360),ROUNDUP(X360,0),"")</x:f>
        <x:v>11</x:v>
      </x:c>
      <x:c r="Z360" t="str">
        <x:v>Source match pending</x:v>
      </x:c>
      <x:c r="AA360" t="str">
        <x:v>screencapture-www-activesportstrade-co-uk-apocalypse-nutrition-2026-09-09-18_15_34.png / page-001</x:v>
      </x:c>
      <x:c r="AB360" s="36" t="n">
        <x:f>IF(ISNUMBER(Y360),ROUND(Y360*0.9,2),"")</x:f>
        <x:v>9.9</x:v>
      </x:c>
      <x:c r="AC360" s="36" t="n">
        <x:f>IF(ISNUMBER(AB360),ROUND(AB360-(AB360*0.015+0.2)-V360,2),"")</x:f>
        <x:v>2.36</x:v>
      </x:c>
      <x:c r="AD360" s="36" t="n">
        <x:f>IF(ISNUMBER(Y360),ROUND(Y360*0.8,2),"")</x:f>
        <x:v>8.8</x:v>
      </x:c>
      <x:c r="AE360" s="36" t="n">
        <x:f>IF(ISNUMBER(AD360),ROUND(AD360*0.015+0.2,2),"")</x:f>
        <x:v>0.33</x:v>
      </x:c>
      <x:c r="AF360" s="36" t="n">
        <x:f>IF(ISNUMBER(AD360),ROUND(AD360-AE360-V360,2),"")</x:f>
        <x:v>1.28</x:v>
      </x:c>
      <x:c r="AG360" t="str">
        <x:f>IF(NOT(ISNUMBER(T360)),"PENDING",IF(AF360&gt;0,"PASS","FAIL"))</x:f>
        <x:v>PASS</x:v>
      </x:c>
      <x:c r="AH360" t="str">
        <x:f>IF(NOT(ISNUMBER(T360)),"Needs supplier cost",IF(K360&lt;&gt;"In stock","Supplier unavailable",IF(AG360&lt;&gt;"PASS","BLOCK - GT loss risk","Commercially protected")))</x:f>
        <x:v>Commercially protected</x:v>
      </x:c>
      <x:c r="AI360" t="str">
        <x:v>2026-09-10 Active Sports trade capture</x:v>
      </x:c>
      <x:c r="AJ360" t="str">
        <x:v>Management-only economics. Stripe stress test uses 1.5% + £0.20 standard UK online-card fee; pallet/mix-and-match pricing ignored.</x:v>
      </x:c>
    </x:row>
    <x:row r="361">
      <x:c r="A361" t="str">
        <x:v>Active Sports Nutrition</x:v>
      </x:c>
      <x:c r="B361" t="str">
        <x:v>Apocalypse Nutrition</x:v>
      </x:c>
      <x:c r="C361" t="str">
        <x:v>Creatine Juice</x:v>
      </x:c>
      <x:c r="D361" t="str">
        <x:v>Supplements</x:v>
      </x:c>
      <x:c r="E361" t="str">
        <x:v>Creatine Powders</x:v>
      </x:c>
      <x:c r="F361" t="str">
        <x:v>Flavoured micronised creatine formula.</x:v>
      </x:c>
      <x:c r="G361" t="str">
        <x:v>300g / 60 servings</x:v>
      </x:c>
      <x:c r="H361" t="str">
        <x:v>Cherry</x:v>
      </x:c>
      <x:c r="I361" t="str"/>
      <x:c r="J361" t="str">
        <x:v>Unit</x:v>
      </x:c>
      <x:c r="K361" t="str">
        <x:v>In stock</x:v>
      </x:c>
      <x:c r="L361" t="str">
        <x:v>2026-09-08</x:v>
      </x:c>
      <x:c r="M361" t="str"/>
      <x:c r="N361" t="str"/>
      <x:c r="O361" t="str">
        <x:v>https://www.activesportstrade.co.uk/apocalypse-nutrition</x:v>
      </x:c>
      <x:c r="P361" t="str">
        <x:v>MEGA SPECIAL OFFER wording removed.</x:v>
      </x:c>
      <x:c r="Q361" t="str"/>
      <x:c r="R361" t="str"/>
      <x:c r="S361" t="str">
        <x:v>Pending genuine supplier/brand image</x:v>
      </x:c>
      <x:c r="T361" s="54" t="n">
        <x:v>5.99</x:v>
      </x:c>
      <x:c r="U361" s="47" t="n">
        <x:v>0.2</x:v>
      </x:c>
      <x:c r="V361" s="54" t="n">
        <x:f>IF(ISNUMBER(T361),T361*(1+U361),"")</x:f>
        <x:v>7.188</x:v>
      </x:c>
      <x:c r="W361" s="47" t="n">
        <x:v>0.3</x:v>
      </x:c>
      <x:c r="X361" s="54" t="n">
        <x:f>IF(ISNUMBER(V361),V361/(1-W361),"")</x:f>
        <x:v>10.268571428571429</x:v>
      </x:c>
      <x:c r="Y361" s="55" t="n">
        <x:f>IF(ISNUMBER(X361),ROUNDUP(X361,0),"")</x:f>
        <x:v>11</x:v>
      </x:c>
      <x:c r="Z361" t="str">
        <x:v>Source match pending</x:v>
      </x:c>
      <x:c r="AA361" t="str">
        <x:v>screencapture-www-activesportstrade-co-uk-apocalypse-nutrition-2026-09-09-18_15_34.png / page-001</x:v>
      </x:c>
      <x:c r="AB361" s="36" t="n">
        <x:f>IF(ISNUMBER(Y361),ROUND(Y361*0.9,2),"")</x:f>
        <x:v>9.9</x:v>
      </x:c>
      <x:c r="AC361" s="36" t="n">
        <x:f>IF(ISNUMBER(AB361),ROUND(AB361-(AB361*0.015+0.2)-V361,2),"")</x:f>
        <x:v>2.36</x:v>
      </x:c>
      <x:c r="AD361" s="36" t="n">
        <x:f>IF(ISNUMBER(Y361),ROUND(Y361*0.8,2),"")</x:f>
        <x:v>8.8</x:v>
      </x:c>
      <x:c r="AE361" s="36" t="n">
        <x:f>IF(ISNUMBER(AD361),ROUND(AD361*0.015+0.2,2),"")</x:f>
        <x:v>0.33</x:v>
      </x:c>
      <x:c r="AF361" s="36" t="n">
        <x:f>IF(ISNUMBER(AD361),ROUND(AD361-AE361-V361,2),"")</x:f>
        <x:v>1.28</x:v>
      </x:c>
      <x:c r="AG361" t="str">
        <x:f>IF(NOT(ISNUMBER(T361)),"PENDING",IF(AF361&gt;0,"PASS","FAIL"))</x:f>
        <x:v>PASS</x:v>
      </x:c>
      <x:c r="AH361" t="str">
        <x:f>IF(NOT(ISNUMBER(T361)),"Needs supplier cost",IF(K361&lt;&gt;"In stock","Supplier unavailable",IF(AG361&lt;&gt;"PASS","BLOCK - GT loss risk","Commercially protected")))</x:f>
        <x:v>Commercially protected</x:v>
      </x:c>
      <x:c r="AI361" t="str">
        <x:v>2026-09-10 Active Sports trade capture</x:v>
      </x:c>
      <x:c r="AJ361" t="str">
        <x:v>Management-only economics. Stripe stress test uses 1.5% + £0.20 standard UK online-card fee; pallet/mix-and-match pricing ignored.</x:v>
      </x:c>
    </x:row>
    <x:row r="362">
      <x:c r="A362" t="str">
        <x:v>Active Sports Nutrition</x:v>
      </x:c>
      <x:c r="B362" t="str">
        <x:v>Apocalypse Nutrition</x:v>
      </x:c>
      <x:c r="C362" t="str">
        <x:v>Creatine Juice</x:v>
      </x:c>
      <x:c r="D362" t="str">
        <x:v>Supplements</x:v>
      </x:c>
      <x:c r="E362" t="str">
        <x:v>Creatine Powders</x:v>
      </x:c>
      <x:c r="F362" t="str">
        <x:v>Flavoured micronised creatine formula.</x:v>
      </x:c>
      <x:c r="G362" t="str">
        <x:v>300g / 60 servings</x:v>
      </x:c>
      <x:c r="H362" t="str">
        <x:v>Strawberry Sweets</x:v>
      </x:c>
      <x:c r="I362" t="str"/>
      <x:c r="J362" t="str">
        <x:v>Unit</x:v>
      </x:c>
      <x:c r="K362" t="str">
        <x:v>In stock</x:v>
      </x:c>
      <x:c r="L362" t="str">
        <x:v>2026-09-08</x:v>
      </x:c>
      <x:c r="M362" t="str"/>
      <x:c r="N362" t="str"/>
      <x:c r="O362" t="str">
        <x:v>https://www.activesportstrade.co.uk/apocalypse-nutrition</x:v>
      </x:c>
      <x:c r="P362" t="str">
        <x:v>MEGA SPECIAL OFFER wording removed.</x:v>
      </x:c>
      <x:c r="Q362" t="str"/>
      <x:c r="R362" t="str"/>
      <x:c r="S362" t="str">
        <x:v>Pending genuine supplier/brand image</x:v>
      </x:c>
      <x:c r="T362" s="54" t="n">
        <x:v>5.99</x:v>
      </x:c>
      <x:c r="U362" s="47" t="n">
        <x:v>0.2</x:v>
      </x:c>
      <x:c r="V362" s="54" t="n">
        <x:f>IF(ISNUMBER(T362),T362*(1+U362),"")</x:f>
        <x:v>7.188</x:v>
      </x:c>
      <x:c r="W362" s="47" t="n">
        <x:v>0.3</x:v>
      </x:c>
      <x:c r="X362" s="54" t="n">
        <x:f>IF(ISNUMBER(V362),V362/(1-W362),"")</x:f>
        <x:v>10.268571428571429</x:v>
      </x:c>
      <x:c r="Y362" s="55" t="n">
        <x:f>IF(ISNUMBER(X362),ROUNDUP(X362,0),"")</x:f>
        <x:v>11</x:v>
      </x:c>
      <x:c r="Z362" t="str">
        <x:v>Source match pending</x:v>
      </x:c>
      <x:c r="AA362" t="str">
        <x:v>screencapture-www-activesportstrade-co-uk-apocalypse-nutrition-2026-09-09-18_15_34.png / page-001</x:v>
      </x:c>
      <x:c r="AB362" s="36" t="n">
        <x:f>IF(ISNUMBER(Y362),ROUND(Y362*0.9,2),"")</x:f>
        <x:v>9.9</x:v>
      </x:c>
      <x:c r="AC362" s="36" t="n">
        <x:f>IF(ISNUMBER(AB362),ROUND(AB362-(AB362*0.015+0.2)-V362,2),"")</x:f>
        <x:v>2.36</x:v>
      </x:c>
      <x:c r="AD362" s="36" t="n">
        <x:f>IF(ISNUMBER(Y362),ROUND(Y362*0.8,2),"")</x:f>
        <x:v>8.8</x:v>
      </x:c>
      <x:c r="AE362" s="36" t="n">
        <x:f>IF(ISNUMBER(AD362),ROUND(AD362*0.015+0.2,2),"")</x:f>
        <x:v>0.33</x:v>
      </x:c>
      <x:c r="AF362" s="36" t="n">
        <x:f>IF(ISNUMBER(AD362),ROUND(AD362-AE362-V362,2),"")</x:f>
        <x:v>1.28</x:v>
      </x:c>
      <x:c r="AG362" t="str">
        <x:f>IF(NOT(ISNUMBER(T362)),"PENDING",IF(AF362&gt;0,"PASS","FAIL"))</x:f>
        <x:v>PASS</x:v>
      </x:c>
      <x:c r="AH362" t="str">
        <x:f>IF(NOT(ISNUMBER(T362)),"Needs supplier cost",IF(K362&lt;&gt;"In stock","Supplier unavailable",IF(AG362&lt;&gt;"PASS","BLOCK - GT loss risk","Commercially protected")))</x:f>
        <x:v>Commercially protected</x:v>
      </x:c>
      <x:c r="AI362" t="str">
        <x:v>2026-09-10 Active Sports trade capture</x:v>
      </x:c>
      <x:c r="AJ362" t="str">
        <x:v>Management-only economics. Stripe stress test uses 1.5% + £0.20 standard UK online-card fee; pallet/mix-and-match pricing ignored.</x:v>
      </x:c>
    </x:row>
    <x:row r="363">
      <x:c r="A363" t="str">
        <x:v>Active Sports Nutrition</x:v>
      </x:c>
      <x:c r="B363" t="str">
        <x:v>Apocalypse Nutrition</x:v>
      </x:c>
      <x:c r="C363" t="str">
        <x:v>Creatine Monohydrate Powder</x:v>
      </x:c>
      <x:c r="D363" t="str">
        <x:v>Supplements</x:v>
      </x:c>
      <x:c r="E363" t="str">
        <x:v>Creatine Powders</x:v>
      </x:c>
      <x:c r="F363" t="str">
        <x:v>100% micronised creatine monohydrate.</x:v>
      </x:c>
      <x:c r="G363" t="str">
        <x:v>300g</x:v>
      </x:c>
      <x:c r="H363" t="str">
        <x:v>Unflavoured</x:v>
      </x:c>
      <x:c r="I363" t="str"/>
      <x:c r="J363" t="str">
        <x:v>Unit</x:v>
      </x:c>
      <x:c r="K363" t="str">
        <x:v>In stock</x:v>
      </x:c>
      <x:c r="L363" t="str">
        <x:v>2026-09-08</x:v>
      </x:c>
      <x:c r="M363" t="str"/>
      <x:c r="N363" t="str"/>
      <x:c r="O363" t="str">
        <x:v>https://www.activesportstrade.co.uk/apocalypse-nutrition</x:v>
      </x:c>
      <x:c r="P363" t="str"/>
      <x:c r="Q363" t="str"/>
      <x:c r="R363" t="str"/>
      <x:c r="S363" t="str">
        <x:v>Pending genuine supplier/brand image</x:v>
      </x:c>
      <x:c r="T363" s="54"/>
      <x:c r="U363" s="47" t="n">
        <x:v>0.2</x:v>
      </x:c>
      <x:c r="V363" s="54" t="str">
        <x:f>IF(ISNUMBER(T363),T363*(1+U363),"")</x:f>
      </x:c>
      <x:c r="W363" s="47" t="n">
        <x:v>0.3</x:v>
      </x:c>
      <x:c r="X363" s="54" t="str">
        <x:f>IF(ISNUMBER(V363),V363/(1-W363),"")</x:f>
      </x:c>
      <x:c r="Y363" s="55" t="str">
        <x:f>IF(ISNUMBER(X363),ROUNDUP(X363,0),"")</x:f>
      </x:c>
      <x:c r="Z363" t="str">
        <x:f>IF(ISNUMBER(T363),"Cost captured","Awaiting trade cost")</x:f>
        <x:v>Awaiting trade cost</x:v>
      </x:c>
      <x:c r="AB363" s="36" t="str">
        <x:f>IF(ISNUMBER(Y363),ROUND(Y363*0.9,2),"")</x:f>
      </x:c>
      <x:c r="AC363" s="36" t="str">
        <x:f>IF(ISNUMBER(AB363),ROUND(AB363-(AB363*0.015+0.2)-V363,2),"")</x:f>
      </x:c>
      <x:c r="AD363" s="36" t="str">
        <x:f>IF(ISNUMBER(Y363),ROUND(Y363*0.8,2),"")</x:f>
      </x:c>
      <x:c r="AE363" s="36" t="str">
        <x:f>IF(ISNUMBER(AD363),ROUND(AD363*0.015+0.2,2),"")</x:f>
      </x:c>
      <x:c r="AF363" s="36" t="str">
        <x:f>IF(ISNUMBER(AD363),ROUND(AD363-AE363-V363,2),"")</x:f>
      </x:c>
      <x:c r="AG363" t="str">
        <x:f>IF(NOT(ISNUMBER(T363)),"PENDING",IF(AF363&gt;0,"PASS","FAIL"))</x:f>
        <x:v>PENDING</x:v>
      </x:c>
      <x:c r="AH363" t="str">
        <x:f>IF(NOT(ISNUMBER(T363)),"Needs supplier cost",IF(K363&lt;&gt;"In stock","Supplier unavailable",IF(AG363&lt;&gt;"PASS","BLOCK - GT loss risk","Commercially protected")))</x:f>
        <x:v>Needs supplier cost</x:v>
      </x:c>
      <x:c r="AI363" t="str">
        <x:v>2026-09-10 Active Sports trade capture</x:v>
      </x:c>
      <x:c r="AJ363" t="str">
        <x:v>Management-only economics. Stripe stress test uses 1.5% + £0.20 standard UK online-card fee; pallet/mix-and-match pricing ignored.</x:v>
      </x:c>
    </x:row>
    <x:row r="364">
      <x:c r="A364" t="str">
        <x:v>Active Sports Nutrition</x:v>
      </x:c>
      <x:c r="B364" t="str">
        <x:v>Apocalypse Nutrition</x:v>
      </x:c>
      <x:c r="C364" t="str">
        <x:v>Creatine Monohydrate Powder</x:v>
      </x:c>
      <x:c r="D364" t="str">
        <x:v>Supplements</x:v>
      </x:c>
      <x:c r="E364" t="str">
        <x:v>Creatine Powders</x:v>
      </x:c>
      <x:c r="F364" t="str">
        <x:v>100% micronised creatine monohydrate.</x:v>
      </x:c>
      <x:c r="G364" t="str">
        <x:v>600g</x:v>
      </x:c>
      <x:c r="H364" t="str">
        <x:v>Unflavoured</x:v>
      </x:c>
      <x:c r="I364" t="str"/>
      <x:c r="J364" t="str">
        <x:v>Unit</x:v>
      </x:c>
      <x:c r="K364" t="str">
        <x:v>In stock</x:v>
      </x:c>
      <x:c r="L364" t="str">
        <x:v>2026-09-08</x:v>
      </x:c>
      <x:c r="M364" t="str"/>
      <x:c r="N364" t="str"/>
      <x:c r="O364" t="str">
        <x:v>https://www.activesportstrade.co.uk/apocalypse-nutrition</x:v>
      </x:c>
      <x:c r="P364" t="str"/>
      <x:c r="Q364" t="str"/>
      <x:c r="R364" t="str"/>
      <x:c r="S364" t="str">
        <x:v>Pending genuine supplier/brand image</x:v>
      </x:c>
      <x:c r="T364" s="54"/>
      <x:c r="U364" s="47" t="n">
        <x:v>0.2</x:v>
      </x:c>
      <x:c r="V364" s="54" t="str">
        <x:f>IF(ISNUMBER(T364),T364*(1+U364),"")</x:f>
      </x:c>
      <x:c r="W364" s="47" t="n">
        <x:v>0.3</x:v>
      </x:c>
      <x:c r="X364" s="54" t="str">
        <x:f>IF(ISNUMBER(V364),V364/(1-W364),"")</x:f>
      </x:c>
      <x:c r="Y364" s="55" t="str">
        <x:f>IF(ISNUMBER(X364),ROUNDUP(X364,0),"")</x:f>
      </x:c>
      <x:c r="Z364" t="str">
        <x:f>IF(ISNUMBER(T364),"Cost captured","Awaiting trade cost")</x:f>
        <x:v>Awaiting trade cost</x:v>
      </x:c>
      <x:c r="AB364" s="36" t="str">
        <x:f>IF(ISNUMBER(Y364),ROUND(Y364*0.9,2),"")</x:f>
      </x:c>
      <x:c r="AC364" s="36" t="str">
        <x:f>IF(ISNUMBER(AB364),ROUND(AB364-(AB364*0.015+0.2)-V364,2),"")</x:f>
      </x:c>
      <x:c r="AD364" s="36" t="str">
        <x:f>IF(ISNUMBER(Y364),ROUND(Y364*0.8,2),"")</x:f>
      </x:c>
      <x:c r="AE364" s="36" t="str">
        <x:f>IF(ISNUMBER(AD364),ROUND(AD364*0.015+0.2,2),"")</x:f>
      </x:c>
      <x:c r="AF364" s="36" t="str">
        <x:f>IF(ISNUMBER(AD364),ROUND(AD364-AE364-V364,2),"")</x:f>
      </x:c>
      <x:c r="AG364" t="str">
        <x:f>IF(NOT(ISNUMBER(T364)),"PENDING",IF(AF364&gt;0,"PASS","FAIL"))</x:f>
        <x:v>PENDING</x:v>
      </x:c>
      <x:c r="AH364" t="str">
        <x:f>IF(NOT(ISNUMBER(T364)),"Needs supplier cost",IF(K364&lt;&gt;"In stock","Supplier unavailable",IF(AG364&lt;&gt;"PASS","BLOCK - GT loss risk","Commercially protected")))</x:f>
        <x:v>Needs supplier cost</x:v>
      </x:c>
      <x:c r="AI364" t="str">
        <x:v>2026-09-10 Active Sports trade capture</x:v>
      </x:c>
      <x:c r="AJ364" t="str">
        <x:v>Management-only economics. Stripe stress test uses 1.5% + £0.20 standard UK online-card fee; pallet/mix-and-match pricing ignored.</x:v>
      </x:c>
    </x:row>
    <x:row r="365">
      <x:c r="A365" t="str">
        <x:v>Active Sports Nutrition</x:v>
      </x:c>
      <x:c r="B365" t="str">
        <x:v>Apocalypse Nutrition</x:v>
      </x:c>
      <x:c r="C365" t="str">
        <x:v>D3 + K2</x:v>
      </x:c>
      <x:c r="D365" t="str">
        <x:v>Supplements</x:v>
      </x:c>
      <x:c r="E365" t="str">
        <x:v>Vitamins</x:v>
      </x:c>
      <x:c r="F365" t="str">
        <x:v>Vitamin D3 and K2 capsule formula.</x:v>
      </x:c>
      <x:c r="G365" t="str">
        <x:v>60 caps</x:v>
      </x:c>
      <x:c r="H365" t="str">
        <x:v>Default</x:v>
      </x:c>
      <x:c r="I365" t="str"/>
      <x:c r="J365" t="str">
        <x:v>Unit</x:v>
      </x:c>
      <x:c r="K365" t="str">
        <x:v>In stock</x:v>
      </x:c>
      <x:c r="L365" t="str">
        <x:v>2026-09-08</x:v>
      </x:c>
      <x:c r="M365" t="str"/>
      <x:c r="N365" t="str"/>
      <x:c r="O365" t="str">
        <x:v>https://www.activesportstrade.co.uk/apocalypse-nutrition</x:v>
      </x:c>
      <x:c r="P365" t="str"/>
      <x:c r="Q365" t="str"/>
      <x:c r="R365" t="str"/>
      <x:c r="S365" t="str">
        <x:v>Pending genuine supplier/brand image</x:v>
      </x:c>
      <x:c r="T365" s="54"/>
      <x:c r="U365" s="47" t="n">
        <x:v>0.2</x:v>
      </x:c>
      <x:c r="V365" s="54" t="str">
        <x:f>IF(ISNUMBER(T365),T365*(1+U365),"")</x:f>
      </x:c>
      <x:c r="W365" s="47" t="n">
        <x:v>0.3</x:v>
      </x:c>
      <x:c r="X365" s="54" t="str">
        <x:f>IF(ISNUMBER(V365),V365/(1-W365),"")</x:f>
      </x:c>
      <x:c r="Y365" s="55" t="str">
        <x:f>IF(ISNUMBER(X365),ROUNDUP(X365,0),"")</x:f>
      </x:c>
      <x:c r="Z365" t="str">
        <x:f>IF(ISNUMBER(T365),"Cost captured","Awaiting trade cost")</x:f>
        <x:v>Awaiting trade cost</x:v>
      </x:c>
      <x:c r="AB365" s="36" t="str">
        <x:f>IF(ISNUMBER(Y365),ROUND(Y365*0.9,2),"")</x:f>
      </x:c>
      <x:c r="AC365" s="36" t="str">
        <x:f>IF(ISNUMBER(AB365),ROUND(AB365-(AB365*0.015+0.2)-V365,2),"")</x:f>
      </x:c>
      <x:c r="AD365" s="36" t="str">
        <x:f>IF(ISNUMBER(Y365),ROUND(Y365*0.8,2),"")</x:f>
      </x:c>
      <x:c r="AE365" s="36" t="str">
        <x:f>IF(ISNUMBER(AD365),ROUND(AD365*0.015+0.2,2),"")</x:f>
      </x:c>
      <x:c r="AF365" s="36" t="str">
        <x:f>IF(ISNUMBER(AD365),ROUND(AD365-AE365-V365,2),"")</x:f>
      </x:c>
      <x:c r="AG365" t="str">
        <x:f>IF(NOT(ISNUMBER(T365)),"PENDING",IF(AF365&gt;0,"PASS","FAIL"))</x:f>
        <x:v>PENDING</x:v>
      </x:c>
      <x:c r="AH365" t="str">
        <x:f>IF(NOT(ISNUMBER(T365)),"Needs supplier cost",IF(K365&lt;&gt;"In stock","Supplier unavailable",IF(AG365&lt;&gt;"PASS","BLOCK - GT loss risk","Commercially protected")))</x:f>
        <x:v>Needs supplier cost</x:v>
      </x:c>
      <x:c r="AI365" t="str">
        <x:v>2026-09-10 Active Sports trade capture</x:v>
      </x:c>
      <x:c r="AJ365" t="str">
        <x:v>Management-only economics. Stripe stress test uses 1.5% + £0.20 standard UK online-card fee; pallet/mix-and-match pricing ignored.</x:v>
      </x:c>
    </x:row>
    <x:row r="366">
      <x:c r="A366" t="str">
        <x:v>Active Sports Nutrition</x:v>
      </x:c>
      <x:c r="B366" t="str">
        <x:v>Apocalypse Nutrition</x:v>
      </x:c>
      <x:c r="C366" t="str">
        <x:v>EAA Juice</x:v>
      </x:c>
      <x:c r="D366" t="str">
        <x:v>Supplements</x:v>
      </x:c>
      <x:c r="E366" t="str">
        <x:v>Amino Acids</x:v>
      </x:c>
      <x:c r="F366" t="str">
        <x:v>Essential amino acid formula with B-vitamins.</x:v>
      </x:c>
      <x:c r="G366" t="str">
        <x:v>300g / 30 servings</x:v>
      </x:c>
      <x:c r="H366" t="str">
        <x:v>Blue Razz</x:v>
      </x:c>
      <x:c r="I366" t="str"/>
      <x:c r="J366" t="str">
        <x:v>Unit</x:v>
      </x:c>
      <x:c r="K366" t="str">
        <x:v>In stock</x:v>
      </x:c>
      <x:c r="L366" t="str">
        <x:v>2026-09-08</x:v>
      </x:c>
      <x:c r="M366" t="str"/>
      <x:c r="N366" t="str"/>
      <x:c r="O366" t="str">
        <x:v>https://www.activesportstrade.co.uk/apocalypse-nutrition</x:v>
      </x:c>
      <x:c r="P366" t="str"/>
      <x:c r="Q366" t="str"/>
      <x:c r="R366" t="str"/>
      <x:c r="S366" t="str">
        <x:v>Pending genuine supplier/brand image</x:v>
      </x:c>
      <x:c r="T366" s="54"/>
      <x:c r="U366" s="47" t="n">
        <x:v>0.2</x:v>
      </x:c>
      <x:c r="V366" s="54" t="str">
        <x:f>IF(ISNUMBER(T366),T366*(1+U366),"")</x:f>
      </x:c>
      <x:c r="W366" s="47" t="n">
        <x:v>0.3</x:v>
      </x:c>
      <x:c r="X366" s="54" t="str">
        <x:f>IF(ISNUMBER(V366),V366/(1-W366),"")</x:f>
      </x:c>
      <x:c r="Y366" s="55" t="str">
        <x:f>IF(ISNUMBER(X366),ROUNDUP(X366,0),"")</x:f>
      </x:c>
      <x:c r="Z366" t="str">
        <x:f>IF(ISNUMBER(T366),"Cost captured","Awaiting trade cost")</x:f>
        <x:v>Awaiting trade cost</x:v>
      </x:c>
      <x:c r="AB366" s="36" t="str">
        <x:f>IF(ISNUMBER(Y366),ROUND(Y366*0.9,2),"")</x:f>
      </x:c>
      <x:c r="AC366" s="36" t="str">
        <x:f>IF(ISNUMBER(AB366),ROUND(AB366-(AB366*0.015+0.2)-V366,2),"")</x:f>
      </x:c>
      <x:c r="AD366" s="36" t="str">
        <x:f>IF(ISNUMBER(Y366),ROUND(Y366*0.8,2),"")</x:f>
      </x:c>
      <x:c r="AE366" s="36" t="str">
        <x:f>IF(ISNUMBER(AD366),ROUND(AD366*0.015+0.2,2),"")</x:f>
      </x:c>
      <x:c r="AF366" s="36" t="str">
        <x:f>IF(ISNUMBER(AD366),ROUND(AD366-AE366-V366,2),"")</x:f>
      </x:c>
      <x:c r="AG366" t="str">
        <x:f>IF(NOT(ISNUMBER(T366)),"PENDING",IF(AF366&gt;0,"PASS","FAIL"))</x:f>
        <x:v>PENDING</x:v>
      </x:c>
      <x:c r="AH366" t="str">
        <x:f>IF(NOT(ISNUMBER(T366)),"Needs supplier cost",IF(K366&lt;&gt;"In stock","Supplier unavailable",IF(AG366&lt;&gt;"PASS","BLOCK - GT loss risk","Commercially protected")))</x:f>
        <x:v>Needs supplier cost</x:v>
      </x:c>
      <x:c r="AI366" t="str">
        <x:v>2026-09-10 Active Sports trade capture</x:v>
      </x:c>
      <x:c r="AJ366" t="str">
        <x:v>Management-only economics. Stripe stress test uses 1.5% + £0.20 standard UK online-card fee; pallet/mix-and-match pricing ignored.</x:v>
      </x:c>
    </x:row>
    <x:row r="367">
      <x:c r="A367" t="str">
        <x:v>Active Sports Nutrition</x:v>
      </x:c>
      <x:c r="B367" t="str">
        <x:v>Apocalypse Nutrition</x:v>
      </x:c>
      <x:c r="C367" t="str">
        <x:v>EAA Juice</x:v>
      </x:c>
      <x:c r="D367" t="str">
        <x:v>Supplements</x:v>
      </x:c>
      <x:c r="E367" t="str">
        <x:v>Amino Acids</x:v>
      </x:c>
      <x:c r="F367" t="str">
        <x:v>Essential amino acid formula with B-vitamins.</x:v>
      </x:c>
      <x:c r="G367" t="str">
        <x:v>300g / 30 servings</x:v>
      </x:c>
      <x:c r="H367" t="str">
        <x:v>Cherry</x:v>
      </x:c>
      <x:c r="I367" t="str"/>
      <x:c r="J367" t="str">
        <x:v>Unit</x:v>
      </x:c>
      <x:c r="K367" t="str">
        <x:v>In stock</x:v>
      </x:c>
      <x:c r="L367" t="str">
        <x:v>2026-09-08</x:v>
      </x:c>
      <x:c r="M367" t="str"/>
      <x:c r="N367" t="str"/>
      <x:c r="O367" t="str">
        <x:v>https://www.activesportstrade.co.uk/apocalypse-nutrition</x:v>
      </x:c>
      <x:c r="P367" t="str"/>
      <x:c r="Q367" t="str"/>
      <x:c r="R367" t="str"/>
      <x:c r="S367" t="str">
        <x:v>Pending genuine supplier/brand image</x:v>
      </x:c>
      <x:c r="T367" s="54"/>
      <x:c r="U367" s="47" t="n">
        <x:v>0.2</x:v>
      </x:c>
      <x:c r="V367" s="54" t="str">
        <x:f>IF(ISNUMBER(T367),T367*(1+U367),"")</x:f>
      </x:c>
      <x:c r="W367" s="47" t="n">
        <x:v>0.3</x:v>
      </x:c>
      <x:c r="X367" s="54" t="str">
        <x:f>IF(ISNUMBER(V367),V367/(1-W367),"")</x:f>
      </x:c>
      <x:c r="Y367" s="55" t="str">
        <x:f>IF(ISNUMBER(X367),ROUNDUP(X367,0),"")</x:f>
      </x:c>
      <x:c r="Z367" t="str">
        <x:f>IF(ISNUMBER(T367),"Cost captured","Awaiting trade cost")</x:f>
        <x:v>Awaiting trade cost</x:v>
      </x:c>
      <x:c r="AB367" s="36" t="str">
        <x:f>IF(ISNUMBER(Y367),ROUND(Y367*0.9,2),"")</x:f>
      </x:c>
      <x:c r="AC367" s="36" t="str">
        <x:f>IF(ISNUMBER(AB367),ROUND(AB367-(AB367*0.015+0.2)-V367,2),"")</x:f>
      </x:c>
      <x:c r="AD367" s="36" t="str">
        <x:f>IF(ISNUMBER(Y367),ROUND(Y367*0.8,2),"")</x:f>
      </x:c>
      <x:c r="AE367" s="36" t="str">
        <x:f>IF(ISNUMBER(AD367),ROUND(AD367*0.015+0.2,2),"")</x:f>
      </x:c>
      <x:c r="AF367" s="36" t="str">
        <x:f>IF(ISNUMBER(AD367),ROUND(AD367-AE367-V367,2),"")</x:f>
      </x:c>
      <x:c r="AG367" t="str">
        <x:f>IF(NOT(ISNUMBER(T367)),"PENDING",IF(AF367&gt;0,"PASS","FAIL"))</x:f>
        <x:v>PENDING</x:v>
      </x:c>
      <x:c r="AH367" t="str">
        <x:f>IF(NOT(ISNUMBER(T367)),"Needs supplier cost",IF(K367&lt;&gt;"In stock","Supplier unavailable",IF(AG367&lt;&gt;"PASS","BLOCK - GT loss risk","Commercially protected")))</x:f>
        <x:v>Needs supplier cost</x:v>
      </x:c>
      <x:c r="AI367" t="str">
        <x:v>2026-09-10 Active Sports trade capture</x:v>
      </x:c>
      <x:c r="AJ367" t="str">
        <x:v>Management-only economics. Stripe stress test uses 1.5% + £0.20 standard UK online-card fee; pallet/mix-and-match pricing ignored.</x:v>
      </x:c>
    </x:row>
    <x:row r="368">
      <x:c r="A368" t="str">
        <x:v>Active Sports Nutrition</x:v>
      </x:c>
      <x:c r="B368" t="str">
        <x:v>Apocalypse Nutrition</x:v>
      </x:c>
      <x:c r="C368" t="str">
        <x:v>EAA Juice</x:v>
      </x:c>
      <x:c r="D368" t="str">
        <x:v>Supplements</x:v>
      </x:c>
      <x:c r="E368" t="str">
        <x:v>Amino Acids</x:v>
      </x:c>
      <x:c r="F368" t="str">
        <x:v>Essential amino acid formula with B-vitamins.</x:v>
      </x:c>
      <x:c r="G368" t="str">
        <x:v>300g / 30 servings</x:v>
      </x:c>
      <x:c r="H368" t="str">
        <x:v>Strawberry Sweets</x:v>
      </x:c>
      <x:c r="I368" t="str"/>
      <x:c r="J368" t="str">
        <x:v>Unit</x:v>
      </x:c>
      <x:c r="K368" t="str">
        <x:v>In stock</x:v>
      </x:c>
      <x:c r="L368" t="str">
        <x:v>2026-09-08</x:v>
      </x:c>
      <x:c r="M368" t="str"/>
      <x:c r="N368" t="str"/>
      <x:c r="O368" t="str">
        <x:v>https://www.activesportstrade.co.uk/apocalypse-nutrition</x:v>
      </x:c>
      <x:c r="P368" t="str"/>
      <x:c r="Q368" t="str"/>
      <x:c r="R368" t="str"/>
      <x:c r="S368" t="str">
        <x:v>Pending genuine supplier/brand image</x:v>
      </x:c>
      <x:c r="T368" s="54"/>
      <x:c r="U368" s="47" t="n">
        <x:v>0.2</x:v>
      </x:c>
      <x:c r="V368" s="54" t="str">
        <x:f>IF(ISNUMBER(T368),T368*(1+U368),"")</x:f>
      </x:c>
      <x:c r="W368" s="47" t="n">
        <x:v>0.3</x:v>
      </x:c>
      <x:c r="X368" s="54" t="str">
        <x:f>IF(ISNUMBER(V368),V368/(1-W368),"")</x:f>
      </x:c>
      <x:c r="Y368" s="55" t="str">
        <x:f>IF(ISNUMBER(X368),ROUNDUP(X368,0),"")</x:f>
      </x:c>
      <x:c r="Z368" t="str">
        <x:f>IF(ISNUMBER(T368),"Cost captured","Awaiting trade cost")</x:f>
        <x:v>Awaiting trade cost</x:v>
      </x:c>
      <x:c r="AB368" s="36" t="str">
        <x:f>IF(ISNUMBER(Y368),ROUND(Y368*0.9,2),"")</x:f>
      </x:c>
      <x:c r="AC368" s="36" t="str">
        <x:f>IF(ISNUMBER(AB368),ROUND(AB368-(AB368*0.015+0.2)-V368,2),"")</x:f>
      </x:c>
      <x:c r="AD368" s="36" t="str">
        <x:f>IF(ISNUMBER(Y368),ROUND(Y368*0.8,2),"")</x:f>
      </x:c>
      <x:c r="AE368" s="36" t="str">
        <x:f>IF(ISNUMBER(AD368),ROUND(AD368*0.015+0.2,2),"")</x:f>
      </x:c>
      <x:c r="AF368" s="36" t="str">
        <x:f>IF(ISNUMBER(AD368),ROUND(AD368-AE368-V368,2),"")</x:f>
      </x:c>
      <x:c r="AG368" t="str">
        <x:f>IF(NOT(ISNUMBER(T368)),"PENDING",IF(AF368&gt;0,"PASS","FAIL"))</x:f>
        <x:v>PENDING</x:v>
      </x:c>
      <x:c r="AH368" t="str">
        <x:f>IF(NOT(ISNUMBER(T368)),"Needs supplier cost",IF(K368&lt;&gt;"In stock","Supplier unavailable",IF(AG368&lt;&gt;"PASS","BLOCK - GT loss risk","Commercially protected")))</x:f>
        <x:v>Needs supplier cost</x:v>
      </x:c>
      <x:c r="AI368" t="str">
        <x:v>2026-09-10 Active Sports trade capture</x:v>
      </x:c>
      <x:c r="AJ368" t="str">
        <x:v>Management-only economics. Stripe stress test uses 1.5% + £0.20 standard UK online-card fee; pallet/mix-and-match pricing ignored.</x:v>
      </x:c>
    </x:row>
    <x:row r="369">
      <x:c r="A369" t="str">
        <x:v>Active Sports Nutrition</x:v>
      </x:c>
      <x:c r="B369" t="str">
        <x:v>Apocalypse Nutrition</x:v>
      </x:c>
      <x:c r="C369" t="str">
        <x:v>Hydration Juice</x:v>
      </x:c>
      <x:c r="D369" t="str">
        <x:v>Supplements</x:v>
      </x:c>
      <x:c r="E369" t="str">
        <x:v>Hydration</x:v>
      </x:c>
      <x:c r="F369" t="str">
        <x:v>Electrolyte hydration formula.</x:v>
      </x:c>
      <x:c r="G369" t="str">
        <x:v>30 servings</x:v>
      </x:c>
      <x:c r="H369" t="str">
        <x:v>Blue Razz</x:v>
      </x:c>
      <x:c r="I369" t="str"/>
      <x:c r="J369" t="str">
        <x:v>Unit</x:v>
      </x:c>
      <x:c r="K369" t="str">
        <x:v>In stock</x:v>
      </x:c>
      <x:c r="L369" t="str">
        <x:v>2026-09-08</x:v>
      </x:c>
      <x:c r="M369" t="str"/>
      <x:c r="N369" t="str"/>
      <x:c r="O369" t="str">
        <x:v>https://www.activesportstrade.co.uk/apocalypse-nutrition</x:v>
      </x:c>
      <x:c r="P369" t="str"/>
      <x:c r="Q369" t="str"/>
      <x:c r="R369" t="str"/>
      <x:c r="S369" t="str">
        <x:v>Pending genuine supplier/brand image</x:v>
      </x:c>
      <x:c r="T369" s="54"/>
      <x:c r="U369" s="47" t="n">
        <x:v>0.2</x:v>
      </x:c>
      <x:c r="V369" s="54" t="str">
        <x:f>IF(ISNUMBER(T369),T369*(1+U369),"")</x:f>
      </x:c>
      <x:c r="W369" s="47" t="n">
        <x:v>0.3</x:v>
      </x:c>
      <x:c r="X369" s="54" t="str">
        <x:f>IF(ISNUMBER(V369),V369/(1-W369),"")</x:f>
      </x:c>
      <x:c r="Y369" s="55" t="str">
        <x:f>IF(ISNUMBER(X369),ROUNDUP(X369,0),"")</x:f>
      </x:c>
      <x:c r="Z369" t="str">
        <x:f>IF(ISNUMBER(T369),"Cost captured","Awaiting trade cost")</x:f>
        <x:v>Awaiting trade cost</x:v>
      </x:c>
      <x:c r="AB369" s="36" t="str">
        <x:f>IF(ISNUMBER(Y369),ROUND(Y369*0.9,2),"")</x:f>
      </x:c>
      <x:c r="AC369" s="36" t="str">
        <x:f>IF(ISNUMBER(AB369),ROUND(AB369-(AB369*0.015+0.2)-V369,2),"")</x:f>
      </x:c>
      <x:c r="AD369" s="36" t="str">
        <x:f>IF(ISNUMBER(Y369),ROUND(Y369*0.8,2),"")</x:f>
      </x:c>
      <x:c r="AE369" s="36" t="str">
        <x:f>IF(ISNUMBER(AD369),ROUND(AD369*0.015+0.2,2),"")</x:f>
      </x:c>
      <x:c r="AF369" s="36" t="str">
        <x:f>IF(ISNUMBER(AD369),ROUND(AD369-AE369-V369,2),"")</x:f>
      </x:c>
      <x:c r="AG369" t="str">
        <x:f>IF(NOT(ISNUMBER(T369)),"PENDING",IF(AF369&gt;0,"PASS","FAIL"))</x:f>
        <x:v>PENDING</x:v>
      </x:c>
      <x:c r="AH369" t="str">
        <x:f>IF(NOT(ISNUMBER(T369)),"Needs supplier cost",IF(K369&lt;&gt;"In stock","Supplier unavailable",IF(AG369&lt;&gt;"PASS","BLOCK - GT loss risk","Commercially protected")))</x:f>
        <x:v>Needs supplier cost</x:v>
      </x:c>
      <x:c r="AI369" t="str">
        <x:v>2026-09-10 Active Sports trade capture</x:v>
      </x:c>
      <x:c r="AJ369" t="str">
        <x:v>Management-only economics. Stripe stress test uses 1.5% + £0.20 standard UK online-card fee; pallet/mix-and-match pricing ignored.</x:v>
      </x:c>
    </x:row>
    <x:row r="370">
      <x:c r="A370" t="str">
        <x:v>Active Sports Nutrition</x:v>
      </x:c>
      <x:c r="B370" t="str">
        <x:v>Apocalypse Nutrition</x:v>
      </x:c>
      <x:c r="C370" t="str">
        <x:v>Hydration Juice</x:v>
      </x:c>
      <x:c r="D370" t="str">
        <x:v>Supplements</x:v>
      </x:c>
      <x:c r="E370" t="str">
        <x:v>Hydration</x:v>
      </x:c>
      <x:c r="F370" t="str">
        <x:v>Electrolyte hydration formula.</x:v>
      </x:c>
      <x:c r="G370" t="str">
        <x:v>30 servings</x:v>
      </x:c>
      <x:c r="H370" t="str">
        <x:v>Cherry</x:v>
      </x:c>
      <x:c r="I370" t="str"/>
      <x:c r="J370" t="str">
        <x:v>Unit</x:v>
      </x:c>
      <x:c r="K370" t="str">
        <x:v>In stock</x:v>
      </x:c>
      <x:c r="L370" t="str">
        <x:v>2026-09-08</x:v>
      </x:c>
      <x:c r="M370" t="str"/>
      <x:c r="N370" t="str"/>
      <x:c r="O370" t="str">
        <x:v>https://www.activesportstrade.co.uk/apocalypse-nutrition</x:v>
      </x:c>
      <x:c r="P370" t="str"/>
      <x:c r="Q370" t="str"/>
      <x:c r="R370" t="str"/>
      <x:c r="S370" t="str">
        <x:v>Pending genuine supplier/brand image</x:v>
      </x:c>
      <x:c r="T370" s="54"/>
      <x:c r="U370" s="47" t="n">
        <x:v>0.2</x:v>
      </x:c>
      <x:c r="V370" s="54" t="str">
        <x:f>IF(ISNUMBER(T370),T370*(1+U370),"")</x:f>
      </x:c>
      <x:c r="W370" s="47" t="n">
        <x:v>0.3</x:v>
      </x:c>
      <x:c r="X370" s="54" t="str">
        <x:f>IF(ISNUMBER(V370),V370/(1-W370),"")</x:f>
      </x:c>
      <x:c r="Y370" s="55" t="str">
        <x:f>IF(ISNUMBER(X370),ROUNDUP(X370,0),"")</x:f>
      </x:c>
      <x:c r="Z370" t="str">
        <x:f>IF(ISNUMBER(T370),"Cost captured","Awaiting trade cost")</x:f>
        <x:v>Awaiting trade cost</x:v>
      </x:c>
      <x:c r="AB370" s="36" t="str">
        <x:f>IF(ISNUMBER(Y370),ROUND(Y370*0.9,2),"")</x:f>
      </x:c>
      <x:c r="AC370" s="36" t="str">
        <x:f>IF(ISNUMBER(AB370),ROUND(AB370-(AB370*0.015+0.2)-V370,2),"")</x:f>
      </x:c>
      <x:c r="AD370" s="36" t="str">
        <x:f>IF(ISNUMBER(Y370),ROUND(Y370*0.8,2),"")</x:f>
      </x:c>
      <x:c r="AE370" s="36" t="str">
        <x:f>IF(ISNUMBER(AD370),ROUND(AD370*0.015+0.2,2),"")</x:f>
      </x:c>
      <x:c r="AF370" s="36" t="str">
        <x:f>IF(ISNUMBER(AD370),ROUND(AD370-AE370-V370,2),"")</x:f>
      </x:c>
      <x:c r="AG370" t="str">
        <x:f>IF(NOT(ISNUMBER(T370)),"PENDING",IF(AF370&gt;0,"PASS","FAIL"))</x:f>
        <x:v>PENDING</x:v>
      </x:c>
      <x:c r="AH370" t="str">
        <x:f>IF(NOT(ISNUMBER(T370)),"Needs supplier cost",IF(K370&lt;&gt;"In stock","Supplier unavailable",IF(AG370&lt;&gt;"PASS","BLOCK - GT loss risk","Commercially protected")))</x:f>
        <x:v>Needs supplier cost</x:v>
      </x:c>
      <x:c r="AI370" t="str">
        <x:v>2026-09-10 Active Sports trade capture</x:v>
      </x:c>
      <x:c r="AJ370" t="str">
        <x:v>Management-only economics. Stripe stress test uses 1.5% + £0.20 standard UK online-card fee; pallet/mix-and-match pricing ignored.</x:v>
      </x:c>
    </x:row>
    <x:row r="371">
      <x:c r="A371" t="str">
        <x:v>Active Sports Nutrition</x:v>
      </x:c>
      <x:c r="B371" t="str">
        <x:v>Apocalypse Nutrition</x:v>
      </x:c>
      <x:c r="C371" t="str">
        <x:v>Hydration Juice</x:v>
      </x:c>
      <x:c r="D371" t="str">
        <x:v>Supplements</x:v>
      </x:c>
      <x:c r="E371" t="str">
        <x:v>Hydration</x:v>
      </x:c>
      <x:c r="F371" t="str">
        <x:v>Electrolyte hydration formula.</x:v>
      </x:c>
      <x:c r="G371" t="str">
        <x:v>30 servings</x:v>
      </x:c>
      <x:c r="H371" t="str">
        <x:v>Strawberry Sweets</x:v>
      </x:c>
      <x:c r="I371" t="str"/>
      <x:c r="J371" t="str">
        <x:v>Unit</x:v>
      </x:c>
      <x:c r="K371" t="str">
        <x:v>In stock</x:v>
      </x:c>
      <x:c r="L371" t="str">
        <x:v>2026-09-08</x:v>
      </x:c>
      <x:c r="M371" t="str"/>
      <x:c r="N371" t="str"/>
      <x:c r="O371" t="str">
        <x:v>https://www.activesportstrade.co.uk/apocalypse-nutrition</x:v>
      </x:c>
      <x:c r="P371" t="str"/>
      <x:c r="Q371" t="str"/>
      <x:c r="R371" t="str"/>
      <x:c r="S371" t="str">
        <x:v>Pending genuine supplier/brand image</x:v>
      </x:c>
      <x:c r="T371" s="54"/>
      <x:c r="U371" s="47" t="n">
        <x:v>0.2</x:v>
      </x:c>
      <x:c r="V371" s="54" t="str">
        <x:f>IF(ISNUMBER(T371),T371*(1+U371),"")</x:f>
      </x:c>
      <x:c r="W371" s="47" t="n">
        <x:v>0.3</x:v>
      </x:c>
      <x:c r="X371" s="54" t="str">
        <x:f>IF(ISNUMBER(V371),V371/(1-W371),"")</x:f>
      </x:c>
      <x:c r="Y371" s="55" t="str">
        <x:f>IF(ISNUMBER(X371),ROUNDUP(X371,0),"")</x:f>
      </x:c>
      <x:c r="Z371" t="str">
        <x:f>IF(ISNUMBER(T371),"Cost captured","Awaiting trade cost")</x:f>
        <x:v>Awaiting trade cost</x:v>
      </x:c>
      <x:c r="AB371" s="36" t="str">
        <x:f>IF(ISNUMBER(Y371),ROUND(Y371*0.9,2),"")</x:f>
      </x:c>
      <x:c r="AC371" s="36" t="str">
        <x:f>IF(ISNUMBER(AB371),ROUND(AB371-(AB371*0.015+0.2)-V371,2),"")</x:f>
      </x:c>
      <x:c r="AD371" s="36" t="str">
        <x:f>IF(ISNUMBER(Y371),ROUND(Y371*0.8,2),"")</x:f>
      </x:c>
      <x:c r="AE371" s="36" t="str">
        <x:f>IF(ISNUMBER(AD371),ROUND(AD371*0.015+0.2,2),"")</x:f>
      </x:c>
      <x:c r="AF371" s="36" t="str">
        <x:f>IF(ISNUMBER(AD371),ROUND(AD371-AE371-V371,2),"")</x:f>
      </x:c>
      <x:c r="AG371" t="str">
        <x:f>IF(NOT(ISNUMBER(T371)),"PENDING",IF(AF371&gt;0,"PASS","FAIL"))</x:f>
        <x:v>PENDING</x:v>
      </x:c>
      <x:c r="AH371" t="str">
        <x:f>IF(NOT(ISNUMBER(T371)),"Needs supplier cost",IF(K371&lt;&gt;"In stock","Supplier unavailable",IF(AG371&lt;&gt;"PASS","BLOCK - GT loss risk","Commercially protected")))</x:f>
        <x:v>Needs supplier cost</x:v>
      </x:c>
      <x:c r="AI371" t="str">
        <x:v>2026-09-10 Active Sports trade capture</x:v>
      </x:c>
      <x:c r="AJ371" t="str">
        <x:v>Management-only economics. Stripe stress test uses 1.5% + £0.20 standard UK online-card fee; pallet/mix-and-match pricing ignored.</x:v>
      </x:c>
    </x:row>
    <x:row r="372">
      <x:c r="A372" t="str">
        <x:v>Active Sports Nutrition</x:v>
      </x:c>
      <x:c r="B372" t="str">
        <x:v>Apocalypse Nutrition</x:v>
      </x:c>
      <x:c r="C372" t="str">
        <x:v>Magnesium Bisglycinate</x:v>
      </x:c>
      <x:c r="D372" t="str">
        <x:v>Supplements</x:v>
      </x:c>
      <x:c r="E372" t="str">
        <x:v>Vitamins</x:v>
      </x:c>
      <x:c r="F372" t="str">
        <x:v>Magnesium bisglycinate capsules.</x:v>
      </x:c>
      <x:c r="G372" t="str">
        <x:v>60 caps</x:v>
      </x:c>
      <x:c r="H372" t="str">
        <x:v>Default</x:v>
      </x:c>
      <x:c r="I372" t="str"/>
      <x:c r="J372" t="str">
        <x:v>Unit</x:v>
      </x:c>
      <x:c r="K372" t="str">
        <x:v>In stock</x:v>
      </x:c>
      <x:c r="L372" t="str">
        <x:v>2026-09-08</x:v>
      </x:c>
      <x:c r="M372" t="str"/>
      <x:c r="N372" t="str"/>
      <x:c r="O372" t="str">
        <x:v>https://www.activesportstrade.co.uk/apocalypse-nutrition</x:v>
      </x:c>
      <x:c r="P372" t="str"/>
      <x:c r="Q372" t="str"/>
      <x:c r="R372" t="str"/>
      <x:c r="S372" t="str">
        <x:v>Pending genuine supplier/brand image</x:v>
      </x:c>
      <x:c r="T372" s="54"/>
      <x:c r="U372" s="47" t="n">
        <x:v>0.2</x:v>
      </x:c>
      <x:c r="V372" s="54" t="str">
        <x:f>IF(ISNUMBER(T372),T372*(1+U372),"")</x:f>
      </x:c>
      <x:c r="W372" s="47" t="n">
        <x:v>0.3</x:v>
      </x:c>
      <x:c r="X372" s="54" t="str">
        <x:f>IF(ISNUMBER(V372),V372/(1-W372),"")</x:f>
      </x:c>
      <x:c r="Y372" s="55" t="str">
        <x:f>IF(ISNUMBER(X372),ROUNDUP(X372,0),"")</x:f>
      </x:c>
      <x:c r="Z372" t="str">
        <x:f>IF(ISNUMBER(T372),"Cost captured","Awaiting trade cost")</x:f>
        <x:v>Awaiting trade cost</x:v>
      </x:c>
      <x:c r="AB372" s="36" t="str">
        <x:f>IF(ISNUMBER(Y372),ROUND(Y372*0.9,2),"")</x:f>
      </x:c>
      <x:c r="AC372" s="36" t="str">
        <x:f>IF(ISNUMBER(AB372),ROUND(AB372-(AB372*0.015+0.2)-V372,2),"")</x:f>
      </x:c>
      <x:c r="AD372" s="36" t="str">
        <x:f>IF(ISNUMBER(Y372),ROUND(Y372*0.8,2),"")</x:f>
      </x:c>
      <x:c r="AE372" s="36" t="str">
        <x:f>IF(ISNUMBER(AD372),ROUND(AD372*0.015+0.2,2),"")</x:f>
      </x:c>
      <x:c r="AF372" s="36" t="str">
        <x:f>IF(ISNUMBER(AD372),ROUND(AD372-AE372-V372,2),"")</x:f>
      </x:c>
      <x:c r="AG372" t="str">
        <x:f>IF(NOT(ISNUMBER(T372)),"PENDING",IF(AF372&gt;0,"PASS","FAIL"))</x:f>
        <x:v>PENDING</x:v>
      </x:c>
      <x:c r="AH372" t="str">
        <x:f>IF(NOT(ISNUMBER(T372)),"Needs supplier cost",IF(K372&lt;&gt;"In stock","Supplier unavailable",IF(AG372&lt;&gt;"PASS","BLOCK - GT loss risk","Commercially protected")))</x:f>
        <x:v>Needs supplier cost</x:v>
      </x:c>
      <x:c r="AI372" t="str">
        <x:v>2026-09-10 Active Sports trade capture</x:v>
      </x:c>
      <x:c r="AJ372" t="str">
        <x:v>Management-only economics. Stripe stress test uses 1.5% + £0.20 standard UK online-card fee; pallet/mix-and-match pricing ignored.</x:v>
      </x:c>
    </x:row>
    <x:row r="373">
      <x:c r="A373" t="str">
        <x:v>Active Sports Nutrition</x:v>
      </x:c>
      <x:c r="B373" t="str">
        <x:v>Apocalypse Nutrition</x:v>
      </x:c>
      <x:c r="C373" t="str">
        <x:v>OCS</x:v>
      </x:c>
      <x:c r="D373" t="str">
        <x:v>Supplements</x:v>
      </x:c>
      <x:c r="E373" t="str">
        <x:v>OCS Supplements</x:v>
      </x:c>
      <x:c r="F373" t="str">
        <x:v>On-cycle support capsule formula.</x:v>
      </x:c>
      <x:c r="G373" t="str">
        <x:v>120 caps</x:v>
      </x:c>
      <x:c r="H373" t="str">
        <x:v>Default</x:v>
      </x:c>
      <x:c r="I373" t="str"/>
      <x:c r="J373" t="str">
        <x:v>Unit</x:v>
      </x:c>
      <x:c r="K373" t="str">
        <x:v>Out of stock</x:v>
      </x:c>
      <x:c r="L373" t="str">
        <x:v>2026-09-08</x:v>
      </x:c>
      <x:c r="M373" t="str"/>
      <x:c r="N373" t="str"/>
      <x:c r="O373" t="str">
        <x:v>https://www.activesportstrade.co.uk/apocalypse-nutrition</x:v>
      </x:c>
      <x:c r="P373" t="str"/>
      <x:c r="Q373" t="str"/>
      <x:c r="R373" t="str"/>
      <x:c r="S373" t="str">
        <x:v>Pending genuine supplier/brand image</x:v>
      </x:c>
      <x:c r="T373" s="54" t="n">
        <x:v>9.99</x:v>
      </x:c>
      <x:c r="U373" s="47" t="n">
        <x:v>0.2</x:v>
      </x:c>
      <x:c r="V373" s="54" t="n">
        <x:f>IF(ISNUMBER(T373),T373*(1+U373),"")</x:f>
        <x:v>11.988</x:v>
      </x:c>
      <x:c r="W373" s="47" t="n">
        <x:v>0.3</x:v>
      </x:c>
      <x:c r="X373" s="54" t="n">
        <x:f>IF(ISNUMBER(V373),V373/(1-W373),"")</x:f>
        <x:v>17.125714285714285</x:v>
      </x:c>
      <x:c r="Y373" s="55" t="n">
        <x:f>IF(ISNUMBER(X373),ROUNDUP(X373,0),"")</x:f>
        <x:v>18</x:v>
      </x:c>
      <x:c r="Z373" t="str">
        <x:v>Source match pending</x:v>
      </x:c>
      <x:c r="AA373" t="str">
        <x:v>screencapture-www-activesportstrade-co-uk-apocalypse-nutrition-2026-09-09-18_15_34.png / page-002</x:v>
      </x:c>
      <x:c r="AB373" s="36" t="n">
        <x:f>IF(ISNUMBER(Y373),ROUND(Y373*0.9,2),"")</x:f>
        <x:v>16.2</x:v>
      </x:c>
      <x:c r="AC373" s="36" t="n">
        <x:f>IF(ISNUMBER(AB373),ROUND(AB373-(AB373*0.015+0.2)-V373,2),"")</x:f>
        <x:v>3.77</x:v>
      </x:c>
      <x:c r="AD373" s="36" t="n">
        <x:f>IF(ISNUMBER(Y373),ROUND(Y373*0.8,2),"")</x:f>
        <x:v>14.4</x:v>
      </x:c>
      <x:c r="AE373" s="36" t="n">
        <x:f>IF(ISNUMBER(AD373),ROUND(AD373*0.015+0.2,2),"")</x:f>
        <x:v>0.42</x:v>
      </x:c>
      <x:c r="AF373" s="36" t="n">
        <x:f>IF(ISNUMBER(AD373),ROUND(AD373-AE373-V373,2),"")</x:f>
        <x:v>1.99</x:v>
      </x:c>
      <x:c r="AG373" t="str">
        <x:f>IF(NOT(ISNUMBER(T373)),"PENDING",IF(AF373&gt;0,"PASS","FAIL"))</x:f>
        <x:v>PASS</x:v>
      </x:c>
      <x:c r="AH373" t="str">
        <x:f>IF(NOT(ISNUMBER(T373)),"Needs supplier cost",IF(K373&lt;&gt;"In stock","Supplier unavailable",IF(AG373&lt;&gt;"PASS","BLOCK - GT loss risk","Commercially protected")))</x:f>
        <x:v>Supplier unavailable</x:v>
      </x:c>
      <x:c r="AI373" t="str">
        <x:v>2026-09-10 Active Sports trade capture</x:v>
      </x:c>
      <x:c r="AJ373" t="str">
        <x:v>Management-only economics. Stripe stress test uses 1.5% + £0.20 standard UK online-card fee; pallet/mix-and-match pricing ignored.</x:v>
      </x:c>
    </x:row>
    <x:row r="374">
      <x:c r="A374" t="str">
        <x:v>Active Sports Nutrition</x:v>
      </x:c>
      <x:c r="B374" t="str">
        <x:v>Apocalypse Nutrition</x:v>
      </x:c>
      <x:c r="C374" t="str">
        <x:v>Pac-A-Punch</x:v>
      </x:c>
      <x:c r="D374" t="str">
        <x:v>Pre Workouts</x:v>
      </x:c>
      <x:c r="E374" t="str">
        <x:v>High Stim</x:v>
      </x:c>
      <x:c r="F374" t="str">
        <x:v>High-stimulant pre-workout formula.</x:v>
      </x:c>
      <x:c r="G374" t="str">
        <x:v>400g</x:v>
      </x:c>
      <x:c r="H374" t="str">
        <x:v>Cherry Candy</x:v>
      </x:c>
      <x:c r="I374" t="str"/>
      <x:c r="J374" t="str">
        <x:v>Unit</x:v>
      </x:c>
      <x:c r="K374" t="str">
        <x:v>In stock</x:v>
      </x:c>
      <x:c r="L374" t="str">
        <x:v>2026-09-08</x:v>
      </x:c>
      <x:c r="M374" t="str"/>
      <x:c r="N374" t="str"/>
      <x:c r="O374" t="str">
        <x:v>https://www.activesportstrade.co.uk/apocalypse-nutrition</x:v>
      </x:c>
      <x:c r="P374" t="str">
        <x:v>BBE date suffixes and SPECIAL OFFER wording removed from canonical flavours/title.</x:v>
      </x:c>
      <x:c r="Q374" t="str"/>
      <x:c r="R374" t="str"/>
      <x:c r="S374" t="str">
        <x:v>Pending genuine supplier/brand image</x:v>
      </x:c>
      <x:c r="T374" s="54"/>
      <x:c r="U374" s="47" t="n">
        <x:v>0.2</x:v>
      </x:c>
      <x:c r="V374" s="54" t="str">
        <x:f>IF(ISNUMBER(T374),T374*(1+U374),"")</x:f>
      </x:c>
      <x:c r="W374" s="47" t="n">
        <x:v>0.3</x:v>
      </x:c>
      <x:c r="X374" s="54" t="str">
        <x:f>IF(ISNUMBER(V374),V374/(1-W374),"")</x:f>
      </x:c>
      <x:c r="Y374" s="55" t="str">
        <x:f>IF(ISNUMBER(X374),ROUNDUP(X374,0),"")</x:f>
      </x:c>
      <x:c r="Z374" t="str">
        <x:f>IF(ISNUMBER(T374),"Cost captured","Awaiting trade cost")</x:f>
        <x:v>Awaiting trade cost</x:v>
      </x:c>
      <x:c r="AB374" s="36" t="str">
        <x:f>IF(ISNUMBER(Y374),ROUND(Y374*0.9,2),"")</x:f>
      </x:c>
      <x:c r="AC374" s="36" t="str">
        <x:f>IF(ISNUMBER(AB374),ROUND(AB374-(AB374*0.015+0.2)-V374,2),"")</x:f>
      </x:c>
      <x:c r="AD374" s="36" t="str">
        <x:f>IF(ISNUMBER(Y374),ROUND(Y374*0.8,2),"")</x:f>
      </x:c>
      <x:c r="AE374" s="36" t="str">
        <x:f>IF(ISNUMBER(AD374),ROUND(AD374*0.015+0.2,2),"")</x:f>
      </x:c>
      <x:c r="AF374" s="36" t="str">
        <x:f>IF(ISNUMBER(AD374),ROUND(AD374-AE374-V374,2),"")</x:f>
      </x:c>
      <x:c r="AG374" t="str">
        <x:f>IF(NOT(ISNUMBER(T374)),"PENDING",IF(AF374&gt;0,"PASS","FAIL"))</x:f>
        <x:v>PENDING</x:v>
      </x:c>
      <x:c r="AH374" t="str">
        <x:f>IF(NOT(ISNUMBER(T374)),"Needs supplier cost",IF(K374&lt;&gt;"In stock","Supplier unavailable",IF(AG374&lt;&gt;"PASS","BLOCK - GT loss risk","Commercially protected")))</x:f>
        <x:v>Needs supplier cost</x:v>
      </x:c>
      <x:c r="AI374" t="str">
        <x:v>2026-09-10 Active Sports trade capture</x:v>
      </x:c>
      <x:c r="AJ374" t="str">
        <x:v>Management-only economics. Stripe stress test uses 1.5% + £0.20 standard UK online-card fee; pallet/mix-and-match pricing ignored.</x:v>
      </x:c>
    </x:row>
    <x:row r="375">
      <x:c r="A375" t="str">
        <x:v>Active Sports Nutrition</x:v>
      </x:c>
      <x:c r="B375" t="str">
        <x:v>Apocalypse Nutrition</x:v>
      </x:c>
      <x:c r="C375" t="str">
        <x:v>Pac-A-Punch</x:v>
      </x:c>
      <x:c r="D375" t="str">
        <x:v>Pre Workouts</x:v>
      </x:c>
      <x:c r="E375" t="str">
        <x:v>High Stim</x:v>
      </x:c>
      <x:c r="F375" t="str">
        <x:v>High-stimulant pre-workout formula.</x:v>
      </x:c>
      <x:c r="G375" t="str">
        <x:v>400g</x:v>
      </x:c>
      <x:c r="H375" t="str">
        <x:v>Dark Razz</x:v>
      </x:c>
      <x:c r="I375" t="str"/>
      <x:c r="J375" t="str">
        <x:v>Unit</x:v>
      </x:c>
      <x:c r="K375" t="str">
        <x:v>In stock</x:v>
      </x:c>
      <x:c r="L375" t="str">
        <x:v>2026-09-08</x:v>
      </x:c>
      <x:c r="M375" t="str"/>
      <x:c r="N375" t="str"/>
      <x:c r="O375" t="str">
        <x:v>https://www.activesportstrade.co.uk/apocalypse-nutrition</x:v>
      </x:c>
      <x:c r="P375" t="str">
        <x:v>BBE date suffixes and SPECIAL OFFER wording removed from canonical flavours/title.</x:v>
      </x:c>
      <x:c r="Q375" t="str"/>
      <x:c r="R375" t="str"/>
      <x:c r="S375" t="str">
        <x:v>Pending genuine supplier/brand image</x:v>
      </x:c>
      <x:c r="T375" s="54"/>
      <x:c r="U375" s="47" t="n">
        <x:v>0.2</x:v>
      </x:c>
      <x:c r="V375" s="54" t="str">
        <x:f>IF(ISNUMBER(T375),T375*(1+U375),"")</x:f>
      </x:c>
      <x:c r="W375" s="47" t="n">
        <x:v>0.3</x:v>
      </x:c>
      <x:c r="X375" s="54" t="str">
        <x:f>IF(ISNUMBER(V375),V375/(1-W375),"")</x:f>
      </x:c>
      <x:c r="Y375" s="55" t="str">
        <x:f>IF(ISNUMBER(X375),ROUNDUP(X375,0),"")</x:f>
      </x:c>
      <x:c r="Z375" t="str">
        <x:f>IF(ISNUMBER(T375),"Cost captured","Awaiting trade cost")</x:f>
        <x:v>Awaiting trade cost</x:v>
      </x:c>
      <x:c r="AB375" s="36" t="str">
        <x:f>IF(ISNUMBER(Y375),ROUND(Y375*0.9,2),"")</x:f>
      </x:c>
      <x:c r="AC375" s="36" t="str">
        <x:f>IF(ISNUMBER(AB375),ROUND(AB375-(AB375*0.015+0.2)-V375,2),"")</x:f>
      </x:c>
      <x:c r="AD375" s="36" t="str">
        <x:f>IF(ISNUMBER(Y375),ROUND(Y375*0.8,2),"")</x:f>
      </x:c>
      <x:c r="AE375" s="36" t="str">
        <x:f>IF(ISNUMBER(AD375),ROUND(AD375*0.015+0.2,2),"")</x:f>
      </x:c>
      <x:c r="AF375" s="36" t="str">
        <x:f>IF(ISNUMBER(AD375),ROUND(AD375-AE375-V375,2),"")</x:f>
      </x:c>
      <x:c r="AG375" t="str">
        <x:f>IF(NOT(ISNUMBER(T375)),"PENDING",IF(AF375&gt;0,"PASS","FAIL"))</x:f>
        <x:v>PENDING</x:v>
      </x:c>
      <x:c r="AH375" t="str">
        <x:f>IF(NOT(ISNUMBER(T375)),"Needs supplier cost",IF(K375&lt;&gt;"In stock","Supplier unavailable",IF(AG375&lt;&gt;"PASS","BLOCK - GT loss risk","Commercially protected")))</x:f>
        <x:v>Needs supplier cost</x:v>
      </x:c>
      <x:c r="AI375" t="str">
        <x:v>2026-09-10 Active Sports trade capture</x:v>
      </x:c>
      <x:c r="AJ375" t="str">
        <x:v>Management-only economics. Stripe stress test uses 1.5% + £0.20 standard UK online-card fee; pallet/mix-and-match pricing ignored.</x:v>
      </x:c>
    </x:row>
    <x:row r="376">
      <x:c r="A376" t="str">
        <x:v>Active Sports Nutrition</x:v>
      </x:c>
      <x:c r="B376" t="str">
        <x:v>Apocalypse Nutrition</x:v>
      </x:c>
      <x:c r="C376" t="str">
        <x:v>Pac-A-Punch</x:v>
      </x:c>
      <x:c r="D376" t="str">
        <x:v>Pre Workouts</x:v>
      </x:c>
      <x:c r="E376" t="str">
        <x:v>High Stim</x:v>
      </x:c>
      <x:c r="F376" t="str">
        <x:v>High-stimulant pre-workout formula.</x:v>
      </x:c>
      <x:c r="G376" t="str">
        <x:v>400g</x:v>
      </x:c>
      <x:c r="H376" t="str">
        <x:v>Sour Gummy Bear</x:v>
      </x:c>
      <x:c r="I376" t="str"/>
      <x:c r="J376" t="str">
        <x:v>Unit</x:v>
      </x:c>
      <x:c r="K376" t="str">
        <x:v>In stock</x:v>
      </x:c>
      <x:c r="L376" t="str">
        <x:v>2026-09-08</x:v>
      </x:c>
      <x:c r="M376" t="str"/>
      <x:c r="N376" t="str"/>
      <x:c r="O376" t="str">
        <x:v>https://www.activesportstrade.co.uk/apocalypse-nutrition</x:v>
      </x:c>
      <x:c r="P376" t="str">
        <x:v>BBE date suffixes and SPECIAL OFFER wording removed from canonical flavours/title.</x:v>
      </x:c>
      <x:c r="Q376" t="str"/>
      <x:c r="R376" t="str"/>
      <x:c r="S376" t="str">
        <x:v>Pending genuine supplier/brand image</x:v>
      </x:c>
      <x:c r="T376" s="54"/>
      <x:c r="U376" s="47" t="n">
        <x:v>0.2</x:v>
      </x:c>
      <x:c r="V376" s="54" t="str">
        <x:f>IF(ISNUMBER(T376),T376*(1+U376),"")</x:f>
      </x:c>
      <x:c r="W376" s="47" t="n">
        <x:v>0.3</x:v>
      </x:c>
      <x:c r="X376" s="54" t="str">
        <x:f>IF(ISNUMBER(V376),V376/(1-W376),"")</x:f>
      </x:c>
      <x:c r="Y376" s="55" t="str">
        <x:f>IF(ISNUMBER(X376),ROUNDUP(X376,0),"")</x:f>
      </x:c>
      <x:c r="Z376" t="str">
        <x:f>IF(ISNUMBER(T376),"Cost captured","Awaiting trade cost")</x:f>
        <x:v>Awaiting trade cost</x:v>
      </x:c>
      <x:c r="AB376" s="36" t="str">
        <x:f>IF(ISNUMBER(Y376),ROUND(Y376*0.9,2),"")</x:f>
      </x:c>
      <x:c r="AC376" s="36" t="str">
        <x:f>IF(ISNUMBER(AB376),ROUND(AB376-(AB376*0.015+0.2)-V376,2),"")</x:f>
      </x:c>
      <x:c r="AD376" s="36" t="str">
        <x:f>IF(ISNUMBER(Y376),ROUND(Y376*0.8,2),"")</x:f>
      </x:c>
      <x:c r="AE376" s="36" t="str">
        <x:f>IF(ISNUMBER(AD376),ROUND(AD376*0.015+0.2,2),"")</x:f>
      </x:c>
      <x:c r="AF376" s="36" t="str">
        <x:f>IF(ISNUMBER(AD376),ROUND(AD376-AE376-V376,2),"")</x:f>
      </x:c>
      <x:c r="AG376" t="str">
        <x:f>IF(NOT(ISNUMBER(T376)),"PENDING",IF(AF376&gt;0,"PASS","FAIL"))</x:f>
        <x:v>PENDING</x:v>
      </x:c>
      <x:c r="AH376" t="str">
        <x:f>IF(NOT(ISNUMBER(T376)),"Needs supplier cost",IF(K376&lt;&gt;"In stock","Supplier unavailable",IF(AG376&lt;&gt;"PASS","BLOCK - GT loss risk","Commercially protected")))</x:f>
        <x:v>Needs supplier cost</x:v>
      </x:c>
      <x:c r="AI376" t="str">
        <x:v>2026-09-10 Active Sports trade capture</x:v>
      </x:c>
      <x:c r="AJ376" t="str">
        <x:v>Management-only economics. Stripe stress test uses 1.5% + £0.20 standard UK online-card fee; pallet/mix-and-match pricing ignored.</x:v>
      </x:c>
    </x:row>
    <x:row r="377">
      <x:c r="A377" t="str">
        <x:v>Active Sports Nutrition</x:v>
      </x:c>
      <x:c r="B377" t="str">
        <x:v>Apocalypse Nutrition</x:v>
      </x:c>
      <x:c r="C377" t="str">
        <x:v>Screw Caps Shaker</x:v>
      </x:c>
      <x:c r="D377" t="str">
        <x:v>Accessories</x:v>
      </x:c>
      <x:c r="E377" t="str">
        <x:v>Shakers</x:v>
      </x:c>
      <x:c r="F377" t="str">
        <x:v>700ml screw-cap shaker.</x:v>
      </x:c>
      <x:c r="G377" t="str">
        <x:v>700ml</x:v>
      </x:c>
      <x:c r="H377" t="str">
        <x:v>Neon Green &amp; White</x:v>
      </x:c>
      <x:c r="I377" t="str"/>
      <x:c r="J377" t="str">
        <x:v>Unit</x:v>
      </x:c>
      <x:c r="K377" t="str">
        <x:v>In stock</x:v>
      </x:c>
      <x:c r="L377" t="str">
        <x:v>2026-09-08</x:v>
      </x:c>
      <x:c r="M377" t="str"/>
      <x:c r="N377" t="str"/>
      <x:c r="O377" t="str">
        <x:v>https://www.activesportstrade.co.uk/apocalypse-nutrition</x:v>
      </x:c>
      <x:c r="P377" t="str"/>
      <x:c r="Q377" t="str"/>
      <x:c r="R377" t="str"/>
      <x:c r="S377" t="str">
        <x:v>Pending genuine supplier/brand image</x:v>
      </x:c>
      <x:c r="T377" s="54"/>
      <x:c r="U377" s="47" t="n">
        <x:v>0.2</x:v>
      </x:c>
      <x:c r="V377" s="54" t="str">
        <x:f>IF(ISNUMBER(T377),T377*(1+U377),"")</x:f>
      </x:c>
      <x:c r="W377" s="47" t="n">
        <x:v>0.3</x:v>
      </x:c>
      <x:c r="X377" s="54" t="str">
        <x:f>IF(ISNUMBER(V377),V377/(1-W377),"")</x:f>
      </x:c>
      <x:c r="Y377" s="55" t="str">
        <x:f>IF(ISNUMBER(X377),ROUNDUP(X377,0),"")</x:f>
      </x:c>
      <x:c r="Z377" t="str">
        <x:f>IF(ISNUMBER(T377),"Cost captured","Awaiting trade cost")</x:f>
        <x:v>Awaiting trade cost</x:v>
      </x:c>
      <x:c r="AB377" s="36" t="str">
        <x:f>IF(ISNUMBER(Y377),ROUND(Y377*0.9,2),"")</x:f>
      </x:c>
      <x:c r="AC377" s="36" t="str">
        <x:f>IF(ISNUMBER(AB377),ROUND(AB377-(AB377*0.015+0.2)-V377,2),"")</x:f>
      </x:c>
      <x:c r="AD377" s="36" t="str">
        <x:f>IF(ISNUMBER(Y377),ROUND(Y377*0.8,2),"")</x:f>
      </x:c>
      <x:c r="AE377" s="36" t="str">
        <x:f>IF(ISNUMBER(AD377),ROUND(AD377*0.015+0.2,2),"")</x:f>
      </x:c>
      <x:c r="AF377" s="36" t="str">
        <x:f>IF(ISNUMBER(AD377),ROUND(AD377-AE377-V377,2),"")</x:f>
      </x:c>
      <x:c r="AG377" t="str">
        <x:f>IF(NOT(ISNUMBER(T377)),"PENDING",IF(AF377&gt;0,"PASS","FAIL"))</x:f>
        <x:v>PENDING</x:v>
      </x:c>
      <x:c r="AH377" t="str">
        <x:f>IF(NOT(ISNUMBER(T377)),"Needs supplier cost",IF(K377&lt;&gt;"In stock","Supplier unavailable",IF(AG377&lt;&gt;"PASS","BLOCK - GT loss risk","Commercially protected")))</x:f>
        <x:v>Needs supplier cost</x:v>
      </x:c>
      <x:c r="AI377" t="str">
        <x:v>2026-09-10 Active Sports trade capture</x:v>
      </x:c>
      <x:c r="AJ377" t="str">
        <x:v>Management-only economics. Stripe stress test uses 1.5% + £0.20 standard UK online-card fee; pallet/mix-and-match pricing ignored.</x:v>
      </x:c>
    </x:row>
    <x:row r="378">
      <x:c r="A378" t="str">
        <x:v>Active Sports Nutrition</x:v>
      </x:c>
      <x:c r="B378" t="str">
        <x:v>Apocalypse Nutrition</x:v>
      </x:c>
      <x:c r="C378" t="str">
        <x:v>Shilajit</x:v>
      </x:c>
      <x:c r="D378" t="str">
        <x:v>Supplements</x:v>
      </x:c>
      <x:c r="E378" t="str">
        <x:v>Health Foods</x:v>
      </x:c>
      <x:c r="F378" t="str">
        <x:v>Shilajit extract capsules.</x:v>
      </x:c>
      <x:c r="G378" t="str">
        <x:v>60 caps</x:v>
      </x:c>
      <x:c r="H378" t="str">
        <x:v>Default</x:v>
      </x:c>
      <x:c r="I378" t="str"/>
      <x:c r="J378" t="str">
        <x:v>Unit</x:v>
      </x:c>
      <x:c r="K378" t="str">
        <x:v>In stock</x:v>
      </x:c>
      <x:c r="L378" t="str">
        <x:v>2026-09-08</x:v>
      </x:c>
      <x:c r="M378" t="str"/>
      <x:c r="N378" t="str"/>
      <x:c r="O378" t="str">
        <x:v>https://www.activesportstrade.co.uk/apocalypse-nutrition</x:v>
      </x:c>
      <x:c r="P378" t="str"/>
      <x:c r="Q378" t="str"/>
      <x:c r="R378" t="str"/>
      <x:c r="S378" t="str">
        <x:v>Pending genuine supplier/brand image</x:v>
      </x:c>
      <x:c r="T378" s="54"/>
      <x:c r="U378" s="47" t="n">
        <x:v>0.2</x:v>
      </x:c>
      <x:c r="V378" s="54" t="str">
        <x:f>IF(ISNUMBER(T378),T378*(1+U378),"")</x:f>
      </x:c>
      <x:c r="W378" s="47" t="n">
        <x:v>0.3</x:v>
      </x:c>
      <x:c r="X378" s="54" t="str">
        <x:f>IF(ISNUMBER(V378),V378/(1-W378),"")</x:f>
      </x:c>
      <x:c r="Y378" s="55" t="str">
        <x:f>IF(ISNUMBER(X378),ROUNDUP(X378,0),"")</x:f>
      </x:c>
      <x:c r="Z378" t="str">
        <x:f>IF(ISNUMBER(T378),"Cost captured","Awaiting trade cost")</x:f>
        <x:v>Awaiting trade cost</x:v>
      </x:c>
      <x:c r="AB378" s="36" t="str">
        <x:f>IF(ISNUMBER(Y378),ROUND(Y378*0.9,2),"")</x:f>
      </x:c>
      <x:c r="AC378" s="36" t="str">
        <x:f>IF(ISNUMBER(AB378),ROUND(AB378-(AB378*0.015+0.2)-V378,2),"")</x:f>
      </x:c>
      <x:c r="AD378" s="36" t="str">
        <x:f>IF(ISNUMBER(Y378),ROUND(Y378*0.8,2),"")</x:f>
      </x:c>
      <x:c r="AE378" s="36" t="str">
        <x:f>IF(ISNUMBER(AD378),ROUND(AD378*0.015+0.2,2),"")</x:f>
      </x:c>
      <x:c r="AF378" s="36" t="str">
        <x:f>IF(ISNUMBER(AD378),ROUND(AD378-AE378-V378,2),"")</x:f>
      </x:c>
      <x:c r="AG378" t="str">
        <x:f>IF(NOT(ISNUMBER(T378)),"PENDING",IF(AF378&gt;0,"PASS","FAIL"))</x:f>
        <x:v>PENDING</x:v>
      </x:c>
      <x:c r="AH378" t="str">
        <x:f>IF(NOT(ISNUMBER(T378)),"Needs supplier cost",IF(K378&lt;&gt;"In stock","Supplier unavailable",IF(AG378&lt;&gt;"PASS","BLOCK - GT loss risk","Commercially protected")))</x:f>
        <x:v>Needs supplier cost</x:v>
      </x:c>
      <x:c r="AI378" t="str">
        <x:v>2026-09-10 Active Sports trade capture</x:v>
      </x:c>
      <x:c r="AJ378" t="str">
        <x:v>Management-only economics. Stripe stress test uses 1.5% + £0.20 standard UK online-card fee; pallet/mix-and-match pricing ignored.</x:v>
      </x:c>
    </x:row>
    <x:row r="379">
      <x:c r="A379" t="str">
        <x:v>Active Sports Nutrition</x:v>
      </x:c>
      <x:c r="B379" t="str">
        <x:v>Apocalypse Nutrition</x:v>
      </x:c>
      <x:c r="C379" t="str">
        <x:v>TURK</x:v>
      </x:c>
      <x:c r="D379" t="str">
        <x:v>Supplements</x:v>
      </x:c>
      <x:c r="E379" t="str">
        <x:v>All In Ones</x:v>
      </x:c>
      <x:c r="F379" t="str">
        <x:v>Turkesterone capsule formula with BioPerine.</x:v>
      </x:c>
      <x:c r="G379" t="str">
        <x:v>60 caps</x:v>
      </x:c>
      <x:c r="H379" t="str">
        <x:v>Default</x:v>
      </x:c>
      <x:c r="I379" t="str"/>
      <x:c r="J379" t="str">
        <x:v>Unit</x:v>
      </x:c>
      <x:c r="K379" t="str">
        <x:v>Out of stock</x:v>
      </x:c>
      <x:c r="L379" t="str">
        <x:v>2026-09-08</x:v>
      </x:c>
      <x:c r="M379" t="str"/>
      <x:c r="N379" t="str"/>
      <x:c r="O379" t="str">
        <x:v>https://www.activesportstrade.co.uk/apocalypse-nutrition</x:v>
      </x:c>
      <x:c r="P379" t="str"/>
      <x:c r="Q379" t="str"/>
      <x:c r="R379" t="str"/>
      <x:c r="S379" t="str">
        <x:v>Pending genuine supplier/brand image</x:v>
      </x:c>
      <x:c r="T379" s="54"/>
      <x:c r="U379" s="47" t="n">
        <x:v>0.2</x:v>
      </x:c>
      <x:c r="V379" s="54" t="str">
        <x:f>IF(ISNUMBER(T379),T379*(1+U379),"")</x:f>
      </x:c>
      <x:c r="W379" s="47" t="n">
        <x:v>0.3</x:v>
      </x:c>
      <x:c r="X379" s="54" t="str">
        <x:f>IF(ISNUMBER(V379),V379/(1-W379),"")</x:f>
      </x:c>
      <x:c r="Y379" s="55" t="str">
        <x:f>IF(ISNUMBER(X379),ROUNDUP(X379,0),"")</x:f>
      </x:c>
      <x:c r="Z379" t="str">
        <x:f>IF(ISNUMBER(T379),"Cost captured","Awaiting trade cost")</x:f>
        <x:v>Awaiting trade cost</x:v>
      </x:c>
      <x:c r="AB379" s="36" t="str">
        <x:f>IF(ISNUMBER(Y379),ROUND(Y379*0.9,2),"")</x:f>
      </x:c>
      <x:c r="AC379" s="36" t="str">
        <x:f>IF(ISNUMBER(AB379),ROUND(AB379-(AB379*0.015+0.2)-V379,2),"")</x:f>
      </x:c>
      <x:c r="AD379" s="36" t="str">
        <x:f>IF(ISNUMBER(Y379),ROUND(Y379*0.8,2),"")</x:f>
      </x:c>
      <x:c r="AE379" s="36" t="str">
        <x:f>IF(ISNUMBER(AD379),ROUND(AD379*0.015+0.2,2),"")</x:f>
      </x:c>
      <x:c r="AF379" s="36" t="str">
        <x:f>IF(ISNUMBER(AD379),ROUND(AD379-AE379-V379,2),"")</x:f>
      </x:c>
      <x:c r="AG379" t="str">
        <x:f>IF(NOT(ISNUMBER(T379)),"PENDING",IF(AF379&gt;0,"PASS","FAIL"))</x:f>
        <x:v>PENDING</x:v>
      </x:c>
      <x:c r="AH379" t="str">
        <x:f>IF(NOT(ISNUMBER(T379)),"Needs supplier cost",IF(K379&lt;&gt;"In stock","Supplier unavailable",IF(AG379&lt;&gt;"PASS","BLOCK - GT loss risk","Commercially protected")))</x:f>
        <x:v>Needs supplier cost</x:v>
      </x:c>
      <x:c r="AI379" t="str">
        <x:v>2026-09-10 Active Sports trade capture</x:v>
      </x:c>
      <x:c r="AJ379" t="str">
        <x:v>Management-only economics. Stripe stress test uses 1.5% + £0.20 standard UK online-card fee; pallet/mix-and-match pricing ignored.</x:v>
      </x:c>
    </x:row>
    <x:row r="380">
      <x:c r="A380" t="str">
        <x:v>Active Sports Nutrition</x:v>
      </x:c>
      <x:c r="B380" t="str">
        <x:v>Apocalypse Nutrition</x:v>
      </x:c>
      <x:c r="C380" t="str">
        <x:v>US Half Gallon Water Jug</x:v>
      </x:c>
      <x:c r="D380" t="str">
        <x:v>Accessories</x:v>
      </x:c>
      <x:c r="E380" t="str">
        <x:v>Shakers</x:v>
      </x:c>
      <x:c r="F380" t="str">
        <x:v>Large water jug.</x:v>
      </x:c>
      <x:c r="G380" t="str">
        <x:v>1.89 litres</x:v>
      </x:c>
      <x:c r="H380" t="str">
        <x:v>Default</x:v>
      </x:c>
      <x:c r="I380" t="str"/>
      <x:c r="J380" t="str">
        <x:v>Unit</x:v>
      </x:c>
      <x:c r="K380" t="str">
        <x:v>In stock</x:v>
      </x:c>
      <x:c r="L380" t="str">
        <x:v>2026-09-08</x:v>
      </x:c>
      <x:c r="M380" t="str"/>
      <x:c r="N380" t="str"/>
      <x:c r="O380" t="str">
        <x:v>https://www.activesportstrade.co.uk/apocalypse-nutrition</x:v>
      </x:c>
      <x:c r="P380" t="str"/>
      <x:c r="Q380" t="str"/>
      <x:c r="R380" t="str"/>
      <x:c r="S380" t="str">
        <x:v>Pending genuine supplier/brand image</x:v>
      </x:c>
      <x:c r="T380" s="54"/>
      <x:c r="U380" s="47" t="n">
        <x:v>0.2</x:v>
      </x:c>
      <x:c r="V380" s="54" t="str">
        <x:f>IF(ISNUMBER(T380),T380*(1+U380),"")</x:f>
      </x:c>
      <x:c r="W380" s="47" t="n">
        <x:v>0.3</x:v>
      </x:c>
      <x:c r="X380" s="54" t="str">
        <x:f>IF(ISNUMBER(V380),V380/(1-W380),"")</x:f>
      </x:c>
      <x:c r="Y380" s="55" t="str">
        <x:f>IF(ISNUMBER(X380),ROUNDUP(X380,0),"")</x:f>
      </x:c>
      <x:c r="Z380" t="str">
        <x:f>IF(ISNUMBER(T380),"Cost captured","Awaiting trade cost")</x:f>
        <x:v>Awaiting trade cost</x:v>
      </x:c>
      <x:c r="AB380" s="36" t="str">
        <x:f>IF(ISNUMBER(Y380),ROUND(Y380*0.9,2),"")</x:f>
      </x:c>
      <x:c r="AC380" s="36" t="str">
        <x:f>IF(ISNUMBER(AB380),ROUND(AB380-(AB380*0.015+0.2)-V380,2),"")</x:f>
      </x:c>
      <x:c r="AD380" s="36" t="str">
        <x:f>IF(ISNUMBER(Y380),ROUND(Y380*0.8,2),"")</x:f>
      </x:c>
      <x:c r="AE380" s="36" t="str">
        <x:f>IF(ISNUMBER(AD380),ROUND(AD380*0.015+0.2,2),"")</x:f>
      </x:c>
      <x:c r="AF380" s="36" t="str">
        <x:f>IF(ISNUMBER(AD380),ROUND(AD380-AE380-V380,2),"")</x:f>
      </x:c>
      <x:c r="AG380" t="str">
        <x:f>IF(NOT(ISNUMBER(T380)),"PENDING",IF(AF380&gt;0,"PASS","FAIL"))</x:f>
        <x:v>PENDING</x:v>
      </x:c>
      <x:c r="AH380" t="str">
        <x:f>IF(NOT(ISNUMBER(T380)),"Needs supplier cost",IF(K380&lt;&gt;"In stock","Supplier unavailable",IF(AG380&lt;&gt;"PASS","BLOCK - GT loss risk","Commercially protected")))</x:f>
        <x:v>Needs supplier cost</x:v>
      </x:c>
      <x:c r="AI380" t="str">
        <x:v>2026-09-10 Active Sports trade capture</x:v>
      </x:c>
      <x:c r="AJ380" t="str">
        <x:v>Management-only economics. Stripe stress test uses 1.5% + £0.20 standard UK online-card fee; pallet/mix-and-match pricing ignored.</x:v>
      </x:c>
    </x:row>
    <x:row r="381">
      <x:c r="A381" t="str">
        <x:v>Active Sports Nutrition</x:v>
      </x:c>
      <x:c r="B381" t="str">
        <x:v>Apocalypse Nutrition</x:v>
      </x:c>
      <x:c r="C381" t="str">
        <x:v>Zinc, Magnesium and Vitamin B6</x:v>
      </x:c>
      <x:c r="D381" t="str">
        <x:v>Supplements</x:v>
      </x:c>
      <x:c r="E381" t="str">
        <x:v>Vitamins</x:v>
      </x:c>
      <x:c r="F381" t="str">
        <x:v>Zinc, magnesium and vitamin B6 capsule formula.</x:v>
      </x:c>
      <x:c r="G381" t="str">
        <x:v>90 caps</x:v>
      </x:c>
      <x:c r="H381" t="str">
        <x:v>Default</x:v>
      </x:c>
      <x:c r="I381" t="str"/>
      <x:c r="J381" t="str">
        <x:v>Unit</x:v>
      </x:c>
      <x:c r="K381" t="str">
        <x:v>In stock</x:v>
      </x:c>
      <x:c r="L381" t="str">
        <x:v>2026-09-08</x:v>
      </x:c>
      <x:c r="M381" t="str"/>
      <x:c r="N381" t="str"/>
      <x:c r="O381" t="str">
        <x:v>https://www.activesportstrade.co.uk/apocalypse-nutrition</x:v>
      </x:c>
      <x:c r="P381" t="str"/>
      <x:c r="Q381" t="str"/>
      <x:c r="R381" t="str"/>
      <x:c r="S381" t="str">
        <x:v>Pending genuine supplier/brand image</x:v>
      </x:c>
      <x:c r="T381" s="54"/>
      <x:c r="U381" s="47" t="n">
        <x:v>0.2</x:v>
      </x:c>
      <x:c r="V381" s="54" t="str">
        <x:f>IF(ISNUMBER(T381),T381*(1+U381),"")</x:f>
      </x:c>
      <x:c r="W381" s="47" t="n">
        <x:v>0.3</x:v>
      </x:c>
      <x:c r="X381" s="54" t="str">
        <x:f>IF(ISNUMBER(V381),V381/(1-W381),"")</x:f>
      </x:c>
      <x:c r="Y381" s="55" t="str">
        <x:f>IF(ISNUMBER(X381),ROUNDUP(X381,0),"")</x:f>
      </x:c>
      <x:c r="Z381" t="str">
        <x:f>IF(ISNUMBER(T381),"Cost captured","Awaiting trade cost")</x:f>
        <x:v>Awaiting trade cost</x:v>
      </x:c>
      <x:c r="AB381" s="36" t="str">
        <x:f>IF(ISNUMBER(Y381),ROUND(Y381*0.9,2),"")</x:f>
      </x:c>
      <x:c r="AC381" s="36" t="str">
        <x:f>IF(ISNUMBER(AB381),ROUND(AB381-(AB381*0.015+0.2)-V381,2),"")</x:f>
      </x:c>
      <x:c r="AD381" s="36" t="str">
        <x:f>IF(ISNUMBER(Y381),ROUND(Y381*0.8,2),"")</x:f>
      </x:c>
      <x:c r="AE381" s="36" t="str">
        <x:f>IF(ISNUMBER(AD381),ROUND(AD381*0.015+0.2,2),"")</x:f>
      </x:c>
      <x:c r="AF381" s="36" t="str">
        <x:f>IF(ISNUMBER(AD381),ROUND(AD381-AE381-V381,2),"")</x:f>
      </x:c>
      <x:c r="AG381" t="str">
        <x:f>IF(NOT(ISNUMBER(T381)),"PENDING",IF(AF381&gt;0,"PASS","FAIL"))</x:f>
        <x:v>PENDING</x:v>
      </x:c>
      <x:c r="AH381" t="str">
        <x:f>IF(NOT(ISNUMBER(T381)),"Needs supplier cost",IF(K381&lt;&gt;"In stock","Supplier unavailable",IF(AG381&lt;&gt;"PASS","BLOCK - GT loss risk","Commercially protected")))</x:f>
        <x:v>Needs supplier cost</x:v>
      </x:c>
      <x:c r="AI381" t="str">
        <x:v>2026-09-10 Active Sports trade capture</x:v>
      </x:c>
      <x:c r="AJ381" t="str">
        <x:v>Management-only economics. Stripe stress test uses 1.5% + £0.20 standard UK online-card fee; pallet/mix-and-match pricing ignored.</x:v>
      </x:c>
    </x:row>
    <x:row r="382">
      <x:c r="A382" t="str">
        <x:v>Active Sports Nutrition</x:v>
      </x:c>
      <x:c r="B382" t="str">
        <x:v>Apocalypse Nutrition</x:v>
      </x:c>
      <x:c r="C382" t="str">
        <x:v>Zombie Juice V2</x:v>
      </x:c>
      <x:c r="D382" t="str">
        <x:v>Pre Workouts</x:v>
      </x:c>
      <x:c r="E382" t="str">
        <x:v>High Stim</x:v>
      </x:c>
      <x:c r="F382" t="str">
        <x:v>High-stimulant pre-workout formula.</x:v>
      </x:c>
      <x:c r="G382" t="str">
        <x:v>30 servings</x:v>
      </x:c>
      <x:c r="H382" t="str">
        <x:v>Blue Razz</x:v>
      </x:c>
      <x:c r="I382" t="str"/>
      <x:c r="J382" t="str">
        <x:v>Unit</x:v>
      </x:c>
      <x:c r="K382" t="str">
        <x:v>Out of stock</x:v>
      </x:c>
      <x:c r="L382" t="str">
        <x:v>2026-09-08</x:v>
      </x:c>
      <x:c r="M382" t="str"/>
      <x:c r="N382" t="str"/>
      <x:c r="O382" t="str">
        <x:v>https://www.activesportstrade.co.uk/apocalypse-nutrition</x:v>
      </x:c>
      <x:c r="P382" t="str">
        <x:v>Used fresher brand page stock state; older category pages disagree, so source/check-date retained.</x:v>
      </x:c>
      <x:c r="Q382" t="str"/>
      <x:c r="R382" t="str"/>
      <x:c r="S382" t="str">
        <x:v>Pending genuine supplier/brand image</x:v>
      </x:c>
      <x:c r="T382" s="54" t="n">
        <x:v>9.99</x:v>
      </x:c>
      <x:c r="U382" s="47" t="n">
        <x:v>0.2</x:v>
      </x:c>
      <x:c r="V382" s="54" t="n">
        <x:f>IF(ISNUMBER(T382),T382*(1+U382),"")</x:f>
        <x:v>11.988</x:v>
      </x:c>
      <x:c r="W382" s="47" t="n">
        <x:v>0.3</x:v>
      </x:c>
      <x:c r="X382" s="54" t="n">
        <x:f>IF(ISNUMBER(V382),V382/(1-W382),"")</x:f>
        <x:v>17.125714285714285</x:v>
      </x:c>
      <x:c r="Y382" s="55" t="n">
        <x:f>IF(ISNUMBER(X382),ROUNDUP(X382,0),"")</x:f>
        <x:v>18</x:v>
      </x:c>
      <x:c r="Z382" t="str">
        <x:v>Source match pending</x:v>
      </x:c>
      <x:c r="AA382" t="str">
        <x:v>screencapture-www-activesportstrade-co-uk-apocalypse-nutrition-2026-09-09-18_15_34.png / page-002</x:v>
      </x:c>
      <x:c r="AB382" s="36" t="n">
        <x:f>IF(ISNUMBER(Y382),ROUND(Y382*0.9,2),"")</x:f>
        <x:v>16.2</x:v>
      </x:c>
      <x:c r="AC382" s="36" t="n">
        <x:f>IF(ISNUMBER(AB382),ROUND(AB382-(AB382*0.015+0.2)-V382,2),"")</x:f>
        <x:v>3.77</x:v>
      </x:c>
      <x:c r="AD382" s="36" t="n">
        <x:f>IF(ISNUMBER(Y382),ROUND(Y382*0.8,2),"")</x:f>
        <x:v>14.4</x:v>
      </x:c>
      <x:c r="AE382" s="36" t="n">
        <x:f>IF(ISNUMBER(AD382),ROUND(AD382*0.015+0.2,2),"")</x:f>
        <x:v>0.42</x:v>
      </x:c>
      <x:c r="AF382" s="36" t="n">
        <x:f>IF(ISNUMBER(AD382),ROUND(AD382-AE382-V382,2),"")</x:f>
        <x:v>1.99</x:v>
      </x:c>
      <x:c r="AG382" t="str">
        <x:f>IF(NOT(ISNUMBER(T382)),"PENDING",IF(AF382&gt;0,"PASS","FAIL"))</x:f>
        <x:v>PASS</x:v>
      </x:c>
      <x:c r="AH382" t="str">
        <x:f>IF(NOT(ISNUMBER(T382)),"Needs supplier cost",IF(K382&lt;&gt;"In stock","Supplier unavailable",IF(AG382&lt;&gt;"PASS","BLOCK - GT loss risk","Commercially protected")))</x:f>
        <x:v>Supplier unavailable</x:v>
      </x:c>
      <x:c r="AI382" t="str">
        <x:v>2026-09-10 Active Sports trade capture</x:v>
      </x:c>
      <x:c r="AJ382" t="str">
        <x:v>Management-only economics. Stripe stress test uses 1.5% + £0.20 standard UK online-card fee; pallet/mix-and-match pricing ignored.</x:v>
      </x:c>
    </x:row>
    <x:row r="383">
      <x:c r="A383" t="str">
        <x:v>Active Sports Nutrition</x:v>
      </x:c>
      <x:c r="B383" t="str">
        <x:v>Apocalypse Nutrition</x:v>
      </x:c>
      <x:c r="C383" t="str">
        <x:v>Zombie Juice V2</x:v>
      </x:c>
      <x:c r="D383" t="str">
        <x:v>Pre Workouts</x:v>
      </x:c>
      <x:c r="E383" t="str">
        <x:v>High Stim</x:v>
      </x:c>
      <x:c r="F383" t="str">
        <x:v>High-stimulant pre-workout formula.</x:v>
      </x:c>
      <x:c r="G383" t="str">
        <x:v>30 servings</x:v>
      </x:c>
      <x:c r="H383" t="str">
        <x:v>Lemon Energy</x:v>
      </x:c>
      <x:c r="I383" t="str"/>
      <x:c r="J383" t="str">
        <x:v>Unit</x:v>
      </x:c>
      <x:c r="K383" t="str">
        <x:v>Out of stock</x:v>
      </x:c>
      <x:c r="L383" t="str">
        <x:v>2026-09-08</x:v>
      </x:c>
      <x:c r="M383" t="str"/>
      <x:c r="N383" t="str"/>
      <x:c r="O383" t="str">
        <x:v>https://www.activesportstrade.co.uk/apocalypse-nutrition</x:v>
      </x:c>
      <x:c r="P383" t="str">
        <x:v>Used fresher brand page stock state; older category pages disagree, so source/check-date retained.</x:v>
      </x:c>
      <x:c r="Q383" t="str"/>
      <x:c r="R383" t="str"/>
      <x:c r="S383" t="str">
        <x:v>Pending genuine supplier/brand image</x:v>
      </x:c>
      <x:c r="T383" s="54" t="n">
        <x:v>9.99</x:v>
      </x:c>
      <x:c r="U383" s="47" t="n">
        <x:v>0.2</x:v>
      </x:c>
      <x:c r="V383" s="54" t="n">
        <x:f>IF(ISNUMBER(T383),T383*(1+U383),"")</x:f>
        <x:v>11.988</x:v>
      </x:c>
      <x:c r="W383" s="47" t="n">
        <x:v>0.3</x:v>
      </x:c>
      <x:c r="X383" s="54" t="n">
        <x:f>IF(ISNUMBER(V383),V383/(1-W383),"")</x:f>
        <x:v>17.125714285714285</x:v>
      </x:c>
      <x:c r="Y383" s="55" t="n">
        <x:f>IF(ISNUMBER(X383),ROUNDUP(X383,0),"")</x:f>
        <x:v>18</x:v>
      </x:c>
      <x:c r="Z383" t="str">
        <x:v>Source match pending</x:v>
      </x:c>
      <x:c r="AA383" t="str">
        <x:v>screencapture-www-activesportstrade-co-uk-apocalypse-nutrition-2026-09-09-18_15_34.png / page-002</x:v>
      </x:c>
      <x:c r="AB383" s="36" t="n">
        <x:f>IF(ISNUMBER(Y383),ROUND(Y383*0.9,2),"")</x:f>
        <x:v>16.2</x:v>
      </x:c>
      <x:c r="AC383" s="36" t="n">
        <x:f>IF(ISNUMBER(AB383),ROUND(AB383-(AB383*0.015+0.2)-V383,2),"")</x:f>
        <x:v>3.77</x:v>
      </x:c>
      <x:c r="AD383" s="36" t="n">
        <x:f>IF(ISNUMBER(Y383),ROUND(Y383*0.8,2),"")</x:f>
        <x:v>14.4</x:v>
      </x:c>
      <x:c r="AE383" s="36" t="n">
        <x:f>IF(ISNUMBER(AD383),ROUND(AD383*0.015+0.2,2),"")</x:f>
        <x:v>0.42</x:v>
      </x:c>
      <x:c r="AF383" s="36" t="n">
        <x:f>IF(ISNUMBER(AD383),ROUND(AD383-AE383-V383,2),"")</x:f>
        <x:v>1.99</x:v>
      </x:c>
      <x:c r="AG383" t="str">
        <x:f>IF(NOT(ISNUMBER(T383)),"PENDING",IF(AF383&gt;0,"PASS","FAIL"))</x:f>
        <x:v>PASS</x:v>
      </x:c>
      <x:c r="AH383" t="str">
        <x:f>IF(NOT(ISNUMBER(T383)),"Needs supplier cost",IF(K383&lt;&gt;"In stock","Supplier unavailable",IF(AG383&lt;&gt;"PASS","BLOCK - GT loss risk","Commercially protected")))</x:f>
        <x:v>Supplier unavailable</x:v>
      </x:c>
      <x:c r="AI383" t="str">
        <x:v>2026-09-10 Active Sports trade capture</x:v>
      </x:c>
      <x:c r="AJ383" t="str">
        <x:v>Management-only economics. Stripe stress test uses 1.5% + £0.20 standard UK online-card fee; pallet/mix-and-match pricing ignored.</x:v>
      </x:c>
    </x:row>
    <x:row r="384">
      <x:c r="A384" t="str">
        <x:v>Active Sports Nutrition</x:v>
      </x:c>
      <x:c r="B384" t="str">
        <x:v>Apocalypse Nutrition</x:v>
      </x:c>
      <x:c r="C384" t="str">
        <x:v>Zombie Juice V2</x:v>
      </x:c>
      <x:c r="D384" t="str">
        <x:v>Pre Workouts</x:v>
      </x:c>
      <x:c r="E384" t="str">
        <x:v>High Stim</x:v>
      </x:c>
      <x:c r="F384" t="str">
        <x:v>High-stimulant pre-workout formula.</x:v>
      </x:c>
      <x:c r="G384" t="str">
        <x:v>30 servings</x:v>
      </x:c>
      <x:c r="H384" t="str">
        <x:v>Strawberry Bubblegum</x:v>
      </x:c>
      <x:c r="I384" t="str"/>
      <x:c r="J384" t="str">
        <x:v>Unit</x:v>
      </x:c>
      <x:c r="K384" t="str">
        <x:v>In stock</x:v>
      </x:c>
      <x:c r="L384" t="str">
        <x:v>2026-09-08</x:v>
      </x:c>
      <x:c r="M384" t="str"/>
      <x:c r="N384" t="str"/>
      <x:c r="O384" t="str">
        <x:v>https://www.activesportstrade.co.uk/apocalypse-nutrition</x:v>
      </x:c>
      <x:c r="P384" t="str">
        <x:v>Used fresher brand page stock state; older category pages disagree, so source/check-date retained.</x:v>
      </x:c>
      <x:c r="Q384" t="str"/>
      <x:c r="R384" t="str"/>
      <x:c r="S384" t="str">
        <x:v>Pending genuine supplier/brand image</x:v>
      </x:c>
      <x:c r="T384" s="54" t="n">
        <x:v>9.99</x:v>
      </x:c>
      <x:c r="U384" s="47" t="n">
        <x:v>0.2</x:v>
      </x:c>
      <x:c r="V384" s="54" t="n">
        <x:f>IF(ISNUMBER(T384),T384*(1+U384),"")</x:f>
        <x:v>11.988</x:v>
      </x:c>
      <x:c r="W384" s="47" t="n">
        <x:v>0.3</x:v>
      </x:c>
      <x:c r="X384" s="54" t="n">
        <x:f>IF(ISNUMBER(V384),V384/(1-W384),"")</x:f>
        <x:v>17.125714285714285</x:v>
      </x:c>
      <x:c r="Y384" s="55" t="n">
        <x:f>IF(ISNUMBER(X384),ROUNDUP(X384,0),"")</x:f>
        <x:v>18</x:v>
      </x:c>
      <x:c r="Z384" t="str">
        <x:v>Source match pending</x:v>
      </x:c>
      <x:c r="AA384" t="str">
        <x:v>screencapture-www-activesportstrade-co-uk-apocalypse-nutrition-2026-09-09-18_15_34.png / page-002</x:v>
      </x:c>
      <x:c r="AB384" s="36" t="n">
        <x:f>IF(ISNUMBER(Y384),ROUND(Y384*0.9,2),"")</x:f>
        <x:v>16.2</x:v>
      </x:c>
      <x:c r="AC384" s="36" t="n">
        <x:f>IF(ISNUMBER(AB384),ROUND(AB384-(AB384*0.015+0.2)-V384,2),"")</x:f>
        <x:v>3.77</x:v>
      </x:c>
      <x:c r="AD384" s="36" t="n">
        <x:f>IF(ISNUMBER(Y384),ROUND(Y384*0.8,2),"")</x:f>
        <x:v>14.4</x:v>
      </x:c>
      <x:c r="AE384" s="36" t="n">
        <x:f>IF(ISNUMBER(AD384),ROUND(AD384*0.015+0.2,2),"")</x:f>
        <x:v>0.42</x:v>
      </x:c>
      <x:c r="AF384" s="36" t="n">
        <x:f>IF(ISNUMBER(AD384),ROUND(AD384-AE384-V384,2),"")</x:f>
        <x:v>1.99</x:v>
      </x:c>
      <x:c r="AG384" t="str">
        <x:f>IF(NOT(ISNUMBER(T384)),"PENDING",IF(AF384&gt;0,"PASS","FAIL"))</x:f>
        <x:v>PASS</x:v>
      </x:c>
      <x:c r="AH384" t="str">
        <x:f>IF(NOT(ISNUMBER(T384)),"Needs supplier cost",IF(K384&lt;&gt;"In stock","Supplier unavailable",IF(AG384&lt;&gt;"PASS","BLOCK - GT loss risk","Commercially protected")))</x:f>
        <x:v>Commercially protected</x:v>
      </x:c>
      <x:c r="AI384" t="str">
        <x:v>2026-09-10 Active Sports trade capture</x:v>
      </x:c>
      <x:c r="AJ384" t="str">
        <x:v>Management-only economics. Stripe stress test uses 1.5% + £0.20 standard UK online-card fee; pallet/mix-and-match pricing ignored.</x:v>
      </x:c>
    </x:row>
    <x:row r="385">
      <x:c r="A385" t="str">
        <x:v>Active Sports Nutrition</x:v>
      </x:c>
      <x:c r="B385" t="str">
        <x:v>Apocalypse Nutrition</x:v>
      </x:c>
      <x:c r="C385" t="str">
        <x:v>Zombie Juice V2</x:v>
      </x:c>
      <x:c r="D385" t="str">
        <x:v>Pre Workouts</x:v>
      </x:c>
      <x:c r="E385" t="str">
        <x:v>High Stim</x:v>
      </x:c>
      <x:c r="F385" t="str">
        <x:v>High-stimulant pre-workout formula.</x:v>
      </x:c>
      <x:c r="G385" t="str">
        <x:v>30 servings</x:v>
      </x:c>
      <x:c r="H385" t="str">
        <x:v>Tropical Crush</x:v>
      </x:c>
      <x:c r="I385" t="str"/>
      <x:c r="J385" t="str">
        <x:v>Unit</x:v>
      </x:c>
      <x:c r="K385" t="str">
        <x:v>Out of stock</x:v>
      </x:c>
      <x:c r="L385" t="str">
        <x:v>2026-09-08</x:v>
      </x:c>
      <x:c r="M385" t="str"/>
      <x:c r="N385" t="str"/>
      <x:c r="O385" t="str">
        <x:v>https://www.activesportstrade.co.uk/apocalypse-nutrition</x:v>
      </x:c>
      <x:c r="P385" t="str">
        <x:v>Used fresher brand page stock state; older category pages disagree, so source/check-date retained.</x:v>
      </x:c>
      <x:c r="Q385" t="str"/>
      <x:c r="R385" t="str"/>
      <x:c r="S385" t="str">
        <x:v>Pending genuine supplier/brand image</x:v>
      </x:c>
      <x:c r="T385" s="54" t="n">
        <x:v>9.99</x:v>
      </x:c>
      <x:c r="U385" s="47" t="n">
        <x:v>0.2</x:v>
      </x:c>
      <x:c r="V385" s="54" t="n">
        <x:f>IF(ISNUMBER(T385),T385*(1+U385),"")</x:f>
        <x:v>11.988</x:v>
      </x:c>
      <x:c r="W385" s="47" t="n">
        <x:v>0.3</x:v>
      </x:c>
      <x:c r="X385" s="54" t="n">
        <x:f>IF(ISNUMBER(V385),V385/(1-W385),"")</x:f>
        <x:v>17.125714285714285</x:v>
      </x:c>
      <x:c r="Y385" s="55" t="n">
        <x:f>IF(ISNUMBER(X385),ROUNDUP(X385,0),"")</x:f>
        <x:v>18</x:v>
      </x:c>
      <x:c r="Z385" t="str">
        <x:v>Source match pending</x:v>
      </x:c>
      <x:c r="AA385" t="str">
        <x:v>screencapture-www-activesportstrade-co-uk-apocalypse-nutrition-2026-09-09-18_15_34.png / page-002</x:v>
      </x:c>
      <x:c r="AB385" s="36" t="n">
        <x:f>IF(ISNUMBER(Y385),ROUND(Y385*0.9,2),"")</x:f>
        <x:v>16.2</x:v>
      </x:c>
      <x:c r="AC385" s="36" t="n">
        <x:f>IF(ISNUMBER(AB385),ROUND(AB385-(AB385*0.015+0.2)-V385,2),"")</x:f>
        <x:v>3.77</x:v>
      </x:c>
      <x:c r="AD385" s="36" t="n">
        <x:f>IF(ISNUMBER(Y385),ROUND(Y385*0.8,2),"")</x:f>
        <x:v>14.4</x:v>
      </x:c>
      <x:c r="AE385" s="36" t="n">
        <x:f>IF(ISNUMBER(AD385),ROUND(AD385*0.015+0.2,2),"")</x:f>
        <x:v>0.42</x:v>
      </x:c>
      <x:c r="AF385" s="36" t="n">
        <x:f>IF(ISNUMBER(AD385),ROUND(AD385-AE385-V385,2),"")</x:f>
        <x:v>1.99</x:v>
      </x:c>
      <x:c r="AG385" t="str">
        <x:f>IF(NOT(ISNUMBER(T385)),"PENDING",IF(AF385&gt;0,"PASS","FAIL"))</x:f>
        <x:v>PASS</x:v>
      </x:c>
      <x:c r="AH385" t="str">
        <x:f>IF(NOT(ISNUMBER(T385)),"Needs supplier cost",IF(K385&lt;&gt;"In stock","Supplier unavailable",IF(AG385&lt;&gt;"PASS","BLOCK - GT loss risk","Commercially protected")))</x:f>
        <x:v>Supplier unavailable</x:v>
      </x:c>
      <x:c r="AI385" t="str">
        <x:v>2026-09-10 Active Sports trade capture</x:v>
      </x:c>
      <x:c r="AJ385" t="str">
        <x:v>Management-only economics. Stripe stress test uses 1.5% + £0.20 standard UK online-card fee; pallet/mix-and-match pricing ignored.</x:v>
      </x:c>
    </x:row>
    <x:row r="386">
      <x:c r="A386" t="str">
        <x:v>Active Sports Nutrition</x:v>
      </x:c>
      <x:c r="B386" t="str">
        <x:v>Barebells</x:v>
      </x:c>
      <x:c r="C386" t="str">
        <x:v>Protein Bars - Spread Editions</x:v>
      </x:c>
      <x:c r="D386" t="str">
        <x:v>Drinks and Bars</x:v>
      </x:c>
      <x:c r="E386" t="str">
        <x:v>Bars and Snacks</x:v>
      </x:c>
      <x:c r="F386" t="str">
        <x:v>Soft protein bar with creamy spread-style filling.</x:v>
      </x:c>
      <x:c r="G386" t="str">
        <x:v>12 x 45g bars</x:v>
      </x:c>
      <x:c r="H386" t="str">
        <x:v>Pistachio Spread</x:v>
      </x:c>
      <x:c r="I386" t="str">
        <x:v>12</x:v>
      </x:c>
      <x:c r="J386" t="str">
        <x:v>Case</x:v>
      </x:c>
      <x:c r="K386" t="str">
        <x:v>In stock</x:v>
      </x:c>
      <x:c r="L386" t="str">
        <x:v>2026-09-08</x:v>
      </x:c>
      <x:c r="M386" t="str"/>
      <x:c r="N386" t="str"/>
      <x:c r="O386" t="str">
        <x:v>https://www.activesportstrade.co.uk/trade-sports-supplements</x:v>
      </x:c>
      <x:c r="P386" t="str">
        <x:v>Supplier promotional wording removed.</x:v>
      </x:c>
      <x:c r="Q386" t="str"/>
      <x:c r="R386" t="str"/>
      <x:c r="S386" t="str">
        <x:v>Pending genuine supplier/brand image</x:v>
      </x:c>
      <x:c r="T386" s="54" t="n">
        <x:v>14.65</x:v>
      </x:c>
      <x:c r="U386" s="47" t="n">
        <x:v>0.2</x:v>
      </x:c>
      <x:c r="V386" s="54" t="n">
        <x:f>IF(ISNUMBER(T386),T386*(1+U386),"")</x:f>
        <x:v>17.58</x:v>
      </x:c>
      <x:c r="W386" s="47" t="n">
        <x:v>0.3</x:v>
      </x:c>
      <x:c r="X386" s="54" t="n">
        <x:f>IF(ISNUMBER(V386),V386/(1-W386),"")</x:f>
        <x:v>25.114285714285714</x:v>
      </x:c>
      <x:c r="Y386" s="55" t="n">
        <x:f>IF(ISNUMBER(X386),ROUNDUP(X386,0),"")</x:f>
        <x:v>26</x:v>
      </x:c>
      <x:c r="Z386" t="str">
        <x:v>Source match pending</x:v>
      </x:c>
      <x:c r="AA386" t="str">
        <x:v>screencapture-www-activesportstrade-co-uk-barebells-trade-2026-09-09-18_19_55.png / page-001</x:v>
      </x:c>
      <x:c r="AB386" s="36" t="n">
        <x:f>IF(ISNUMBER(Y386),ROUND(Y386*0.9,2),"")</x:f>
        <x:v>23.4</x:v>
      </x:c>
      <x:c r="AC386" s="36" t="n">
        <x:f>IF(ISNUMBER(AB386),ROUND(AB386-(AB386*0.015+0.2)-V386,2),"")</x:f>
        <x:v>5.27</x:v>
      </x:c>
      <x:c r="AD386" s="36" t="n">
        <x:f>IF(ISNUMBER(Y386),ROUND(Y386*0.8,2),"")</x:f>
        <x:v>20.8</x:v>
      </x:c>
      <x:c r="AE386" s="36" t="n">
        <x:f>IF(ISNUMBER(AD386),ROUND(AD386*0.015+0.2,2),"")</x:f>
        <x:v>0.51</x:v>
      </x:c>
      <x:c r="AF386" s="36" t="n">
        <x:f>IF(ISNUMBER(AD386),ROUND(AD386-AE386-V386,2),"")</x:f>
        <x:v>2.71</x:v>
      </x:c>
      <x:c r="AG386" t="str">
        <x:f>IF(NOT(ISNUMBER(T386)),"PENDING",IF(AF386&gt;0,"PASS","FAIL"))</x:f>
        <x:v>PASS</x:v>
      </x:c>
      <x:c r="AH386" t="str">
        <x:f>IF(NOT(ISNUMBER(T386)),"Needs supplier cost",IF(K386&lt;&gt;"In stock","Supplier unavailable",IF(AG386&lt;&gt;"PASS","BLOCK - GT loss risk","Commercially protected")))</x:f>
        <x:v>Commercially protected</x:v>
      </x:c>
      <x:c r="AI386" t="str">
        <x:v>2026-09-10 Active Sports trade capture</x:v>
      </x:c>
      <x:c r="AJ386" t="str">
        <x:v>Management-only economics. Stripe stress test uses 1.5% + £0.20 standard UK online-card fee; pallet/mix-and-match pricing ignored.</x:v>
      </x:c>
    </x:row>
    <x:row r="387">
      <x:c r="A387" t="str">
        <x:v>Active Sports Nutrition</x:v>
      </x:c>
      <x:c r="B387" t="str">
        <x:v>Barebells</x:v>
      </x:c>
      <x:c r="C387" t="str">
        <x:v>Protein Bars</x:v>
      </x:c>
      <x:c r="D387" t="str">
        <x:v>Drinks and Bars</x:v>
      </x:c>
      <x:c r="E387" t="str">
        <x:v>Bars and Snacks</x:v>
      </x:c>
      <x:c r="F387" t="str">
        <x:v>High-protein snack bar.</x:v>
      </x:c>
      <x:c r="G387" t="str">
        <x:v>12 x 55g bars</x:v>
      </x:c>
      <x:c r="H387" t="str">
        <x:v>Caramel Cashew</x:v>
      </x:c>
      <x:c r="I387" t="str">
        <x:v>12</x:v>
      </x:c>
      <x:c r="J387" t="str">
        <x:v>Case</x:v>
      </x:c>
      <x:c r="K387" t="str">
        <x:v>In stock</x:v>
      </x:c>
      <x:c r="L387" t="str">
        <x:v>2026-09-08</x:v>
      </x:c>
      <x:c r="M387" t="str"/>
      <x:c r="N387" t="str"/>
      <x:c r="O387" t="str">
        <x:v>https://www.activesportstrade.co.uk/trade-sports-supplements</x:v>
      </x:c>
      <x:c r="P387" t="str">
        <x:v>September special-offer wording removed.</x:v>
      </x:c>
      <x:c r="Q387" t="str"/>
      <x:c r="R387" t="str"/>
      <x:c r="S387" t="str">
        <x:v>Pending genuine supplier/brand image</x:v>
      </x:c>
      <x:c r="T387" s="54" t="n">
        <x:v>15.23</x:v>
      </x:c>
      <x:c r="U387" s="47" t="n">
        <x:v>0.2</x:v>
      </x:c>
      <x:c r="V387" s="54" t="n">
        <x:f>IF(ISNUMBER(T387),T387*(1+U387),"")</x:f>
        <x:v>18.276</x:v>
      </x:c>
      <x:c r="W387" s="47" t="n">
        <x:v>0.3</x:v>
      </x:c>
      <x:c r="X387" s="54" t="n">
        <x:f>IF(ISNUMBER(V387),V387/(1-W387),"")</x:f>
        <x:v>26.10857142857143</x:v>
      </x:c>
      <x:c r="Y387" s="55" t="n">
        <x:f>IF(ISNUMBER(X387),ROUNDUP(X387,0),"")</x:f>
        <x:v>27</x:v>
      </x:c>
      <x:c r="Z387" t="str">
        <x:v>Source match pending</x:v>
      </x:c>
      <x:c r="AA387" t="str">
        <x:v>screencapture-www-activesportstrade-co-uk-barebells-trade-2026-09-09-18_19_55.png / page-001</x:v>
      </x:c>
      <x:c r="AB387" s="36" t="n">
        <x:f>IF(ISNUMBER(Y387),ROUND(Y387*0.9,2),"")</x:f>
        <x:v>24.3</x:v>
      </x:c>
      <x:c r="AC387" s="36" t="n">
        <x:f>IF(ISNUMBER(AB387),ROUND(AB387-(AB387*0.015+0.2)-V387,2),"")</x:f>
        <x:v>5.46</x:v>
      </x:c>
      <x:c r="AD387" s="36" t="n">
        <x:f>IF(ISNUMBER(Y387),ROUND(Y387*0.8,2),"")</x:f>
        <x:v>21.6</x:v>
      </x:c>
      <x:c r="AE387" s="36" t="n">
        <x:f>IF(ISNUMBER(AD387),ROUND(AD387*0.015+0.2,2),"")</x:f>
        <x:v>0.52</x:v>
      </x:c>
      <x:c r="AF387" s="36" t="n">
        <x:f>IF(ISNUMBER(AD387),ROUND(AD387-AE387-V387,2),"")</x:f>
        <x:v>2.8</x:v>
      </x:c>
      <x:c r="AG387" t="str">
        <x:f>IF(NOT(ISNUMBER(T387)),"PENDING",IF(AF387&gt;0,"PASS","FAIL"))</x:f>
        <x:v>PASS</x:v>
      </x:c>
      <x:c r="AH387" t="str">
        <x:f>IF(NOT(ISNUMBER(T387)),"Needs supplier cost",IF(K387&lt;&gt;"In stock","Supplier unavailable",IF(AG387&lt;&gt;"PASS","BLOCK - GT loss risk","Commercially protected")))</x:f>
        <x:v>Commercially protected</x:v>
      </x:c>
      <x:c r="AI387" t="str">
        <x:v>2026-09-10 Active Sports trade capture</x:v>
      </x:c>
      <x:c r="AJ387" t="str">
        <x:v>Management-only economics. Stripe stress test uses 1.5% + £0.20 standard UK online-card fee; pallet/mix-and-match pricing ignored.</x:v>
      </x:c>
    </x:row>
    <x:row r="388">
      <x:c r="A388" t="str">
        <x:v>Active Sports Nutrition</x:v>
      </x:c>
      <x:c r="B388" t="str">
        <x:v>Barebells</x:v>
      </x:c>
      <x:c r="C388" t="str">
        <x:v>Protein Bars</x:v>
      </x:c>
      <x:c r="D388" t="str">
        <x:v>Drinks and Bars</x:v>
      </x:c>
      <x:c r="E388" t="str">
        <x:v>Bars and Snacks</x:v>
      </x:c>
      <x:c r="F388" t="str">
        <x:v>High-protein snack bar.</x:v>
      </x:c>
      <x:c r="G388" t="str">
        <x:v>12 x 55g bars</x:v>
      </x:c>
      <x:c r="H388" t="str">
        <x:v>Cookies &amp; Cream</x:v>
      </x:c>
      <x:c r="I388" t="str">
        <x:v>12</x:v>
      </x:c>
      <x:c r="J388" t="str">
        <x:v>Case</x:v>
      </x:c>
      <x:c r="K388" t="str">
        <x:v>In stock</x:v>
      </x:c>
      <x:c r="L388" t="str">
        <x:v>2026-09-08</x:v>
      </x:c>
      <x:c r="M388" t="str"/>
      <x:c r="N388" t="str"/>
      <x:c r="O388" t="str">
        <x:v>https://www.activesportstrade.co.uk/trade-sports-supplements</x:v>
      </x:c>
      <x:c r="P388" t="str">
        <x:v>September special-offer wording removed.</x:v>
      </x:c>
      <x:c r="Q388" t="str"/>
      <x:c r="R388" t="str"/>
      <x:c r="S388" t="str">
        <x:v>Pending genuine supplier/brand image</x:v>
      </x:c>
      <x:c r="T388" s="54" t="n">
        <x:v>15.23</x:v>
      </x:c>
      <x:c r="U388" s="47" t="n">
        <x:v>0.2</x:v>
      </x:c>
      <x:c r="V388" s="54" t="n">
        <x:f>IF(ISNUMBER(T388),T388*(1+U388),"")</x:f>
        <x:v>18.276</x:v>
      </x:c>
      <x:c r="W388" s="47" t="n">
        <x:v>0.3</x:v>
      </x:c>
      <x:c r="X388" s="54" t="n">
        <x:f>IF(ISNUMBER(V388),V388/(1-W388),"")</x:f>
        <x:v>26.10857142857143</x:v>
      </x:c>
      <x:c r="Y388" s="55" t="n">
        <x:f>IF(ISNUMBER(X388),ROUNDUP(X388,0),"")</x:f>
        <x:v>27</x:v>
      </x:c>
      <x:c r="Z388" t="str">
        <x:v>Source match pending</x:v>
      </x:c>
      <x:c r="AA388" t="str">
        <x:v>screencapture-www-activesportstrade-co-uk-barebells-trade-2026-09-09-18_19_55.png / page-001</x:v>
      </x:c>
      <x:c r="AB388" s="36" t="n">
        <x:f>IF(ISNUMBER(Y388),ROUND(Y388*0.9,2),"")</x:f>
        <x:v>24.3</x:v>
      </x:c>
      <x:c r="AC388" s="36" t="n">
        <x:f>IF(ISNUMBER(AB388),ROUND(AB388-(AB388*0.015+0.2)-V388,2),"")</x:f>
        <x:v>5.46</x:v>
      </x:c>
      <x:c r="AD388" s="36" t="n">
        <x:f>IF(ISNUMBER(Y388),ROUND(Y388*0.8,2),"")</x:f>
        <x:v>21.6</x:v>
      </x:c>
      <x:c r="AE388" s="36" t="n">
        <x:f>IF(ISNUMBER(AD388),ROUND(AD388*0.015+0.2,2),"")</x:f>
        <x:v>0.52</x:v>
      </x:c>
      <x:c r="AF388" s="36" t="n">
        <x:f>IF(ISNUMBER(AD388),ROUND(AD388-AE388-V388,2),"")</x:f>
        <x:v>2.8</x:v>
      </x:c>
      <x:c r="AG388" t="str">
        <x:f>IF(NOT(ISNUMBER(T388)),"PENDING",IF(AF388&gt;0,"PASS","FAIL"))</x:f>
        <x:v>PASS</x:v>
      </x:c>
      <x:c r="AH388" t="str">
        <x:f>IF(NOT(ISNUMBER(T388)),"Needs supplier cost",IF(K388&lt;&gt;"In stock","Supplier unavailable",IF(AG388&lt;&gt;"PASS","BLOCK - GT loss risk","Commercially protected")))</x:f>
        <x:v>Commercially protected</x:v>
      </x:c>
      <x:c r="AI388" t="str">
        <x:v>2026-09-10 Active Sports trade capture</x:v>
      </x:c>
      <x:c r="AJ388" t="str">
        <x:v>Management-only economics. Stripe stress test uses 1.5% + £0.20 standard UK online-card fee; pallet/mix-and-match pricing ignored.</x:v>
      </x:c>
    </x:row>
    <x:row r="389">
      <x:c r="A389" t="str">
        <x:v>Active Sports Nutrition</x:v>
      </x:c>
      <x:c r="B389" t="str">
        <x:v>Barebells</x:v>
      </x:c>
      <x:c r="C389" t="str">
        <x:v>Protein Bars</x:v>
      </x:c>
      <x:c r="D389" t="str">
        <x:v>Drinks and Bars</x:v>
      </x:c>
      <x:c r="E389" t="str">
        <x:v>Bars and Snacks</x:v>
      </x:c>
      <x:c r="F389" t="str">
        <x:v>High-protein snack bar.</x:v>
      </x:c>
      <x:c r="G389" t="str">
        <x:v>12 x 55g bars</x:v>
      </x:c>
      <x:c r="H389" t="str">
        <x:v>Hazelnut &amp; Nougat</x:v>
      </x:c>
      <x:c r="I389" t="str">
        <x:v>12</x:v>
      </x:c>
      <x:c r="J389" t="str">
        <x:v>Case</x:v>
      </x:c>
      <x:c r="K389" t="str">
        <x:v>Out of stock</x:v>
      </x:c>
      <x:c r="L389" t="str">
        <x:v>2026-09-08</x:v>
      </x:c>
      <x:c r="M389" t="str"/>
      <x:c r="N389" t="str"/>
      <x:c r="O389" t="str">
        <x:v>https://www.activesportstrade.co.uk/trade-sports-supplements</x:v>
      </x:c>
      <x:c r="P389" t="str">
        <x:v>September special-offer wording removed.</x:v>
      </x:c>
      <x:c r="Q389" t="str"/>
      <x:c r="R389" t="str"/>
      <x:c r="S389" t="str">
        <x:v>Pending genuine supplier/brand image</x:v>
      </x:c>
      <x:c r="T389" s="54" t="n">
        <x:v>15.23</x:v>
      </x:c>
      <x:c r="U389" s="47" t="n">
        <x:v>0.2</x:v>
      </x:c>
      <x:c r="V389" s="54" t="n">
        <x:f>IF(ISNUMBER(T389),T389*(1+U389),"")</x:f>
        <x:v>18.276</x:v>
      </x:c>
      <x:c r="W389" s="47" t="n">
        <x:v>0.3</x:v>
      </x:c>
      <x:c r="X389" s="54" t="n">
        <x:f>IF(ISNUMBER(V389),V389/(1-W389),"")</x:f>
        <x:v>26.10857142857143</x:v>
      </x:c>
      <x:c r="Y389" s="55" t="n">
        <x:f>IF(ISNUMBER(X389),ROUNDUP(X389,0),"")</x:f>
        <x:v>27</x:v>
      </x:c>
      <x:c r="Z389" t="str">
        <x:v>Source match pending</x:v>
      </x:c>
      <x:c r="AA389" t="str">
        <x:v>screencapture-www-activesportstrade-co-uk-barebells-trade-2026-09-09-18_19_55.png / page-001</x:v>
      </x:c>
      <x:c r="AB389" s="36" t="n">
        <x:f>IF(ISNUMBER(Y389),ROUND(Y389*0.9,2),"")</x:f>
        <x:v>24.3</x:v>
      </x:c>
      <x:c r="AC389" s="36" t="n">
        <x:f>IF(ISNUMBER(AB389),ROUND(AB389-(AB389*0.015+0.2)-V389,2),"")</x:f>
        <x:v>5.46</x:v>
      </x:c>
      <x:c r="AD389" s="36" t="n">
        <x:f>IF(ISNUMBER(Y389),ROUND(Y389*0.8,2),"")</x:f>
        <x:v>21.6</x:v>
      </x:c>
      <x:c r="AE389" s="36" t="n">
        <x:f>IF(ISNUMBER(AD389),ROUND(AD389*0.015+0.2,2),"")</x:f>
        <x:v>0.52</x:v>
      </x:c>
      <x:c r="AF389" s="36" t="n">
        <x:f>IF(ISNUMBER(AD389),ROUND(AD389-AE389-V389,2),"")</x:f>
        <x:v>2.8</x:v>
      </x:c>
      <x:c r="AG389" t="str">
        <x:f>IF(NOT(ISNUMBER(T389)),"PENDING",IF(AF389&gt;0,"PASS","FAIL"))</x:f>
        <x:v>PASS</x:v>
      </x:c>
      <x:c r="AH389" t="str">
        <x:f>IF(NOT(ISNUMBER(T389)),"Needs supplier cost",IF(K389&lt;&gt;"In stock","Supplier unavailable",IF(AG389&lt;&gt;"PASS","BLOCK - GT loss risk","Commercially protected")))</x:f>
        <x:v>Supplier unavailable</x:v>
      </x:c>
      <x:c r="AI389" t="str">
        <x:v>2026-09-10 Active Sports trade capture</x:v>
      </x:c>
      <x:c r="AJ389" t="str">
        <x:v>Management-only economics. Stripe stress test uses 1.5% + £0.20 standard UK online-card fee; pallet/mix-and-match pricing ignored.</x:v>
      </x:c>
    </x:row>
    <x:row r="390">
      <x:c r="A390" t="str">
        <x:v>Active Sports Nutrition</x:v>
      </x:c>
      <x:c r="B390" t="str">
        <x:v>Barebells</x:v>
      </x:c>
      <x:c r="C390" t="str">
        <x:v>Protein Bars</x:v>
      </x:c>
      <x:c r="D390" t="str">
        <x:v>Drinks and Bars</x:v>
      </x:c>
      <x:c r="E390" t="str">
        <x:v>Bars and Snacks</x:v>
      </x:c>
      <x:c r="F390" t="str">
        <x:v>High-protein snack bar.</x:v>
      </x:c>
      <x:c r="G390" t="str">
        <x:v>12 x 55g bars</x:v>
      </x:c>
      <x:c r="H390" t="str">
        <x:v>Peanut Butter</x:v>
      </x:c>
      <x:c r="I390" t="str">
        <x:v>12</x:v>
      </x:c>
      <x:c r="J390" t="str">
        <x:v>Case</x:v>
      </x:c>
      <x:c r="K390" t="str">
        <x:v>In stock</x:v>
      </x:c>
      <x:c r="L390" t="str">
        <x:v>2026-09-08</x:v>
      </x:c>
      <x:c r="M390" t="str"/>
      <x:c r="N390" t="str"/>
      <x:c r="O390" t="str">
        <x:v>https://www.activesportstrade.co.uk/trade-sports-supplements</x:v>
      </x:c>
      <x:c r="P390" t="str">
        <x:v>September special-offer wording removed.</x:v>
      </x:c>
      <x:c r="Q390" t="str"/>
      <x:c r="R390" t="str"/>
      <x:c r="S390" t="str">
        <x:v>Pending genuine supplier/brand image</x:v>
      </x:c>
      <x:c r="T390" s="54" t="n">
        <x:v>15.23</x:v>
      </x:c>
      <x:c r="U390" s="47" t="n">
        <x:v>0.2</x:v>
      </x:c>
      <x:c r="V390" s="54" t="n">
        <x:f>IF(ISNUMBER(T390),T390*(1+U390),"")</x:f>
        <x:v>18.276</x:v>
      </x:c>
      <x:c r="W390" s="47" t="n">
        <x:v>0.3</x:v>
      </x:c>
      <x:c r="X390" s="54" t="n">
        <x:f>IF(ISNUMBER(V390),V390/(1-W390),"")</x:f>
        <x:v>26.10857142857143</x:v>
      </x:c>
      <x:c r="Y390" s="55" t="n">
        <x:f>IF(ISNUMBER(X390),ROUNDUP(X390,0),"")</x:f>
        <x:v>27</x:v>
      </x:c>
      <x:c r="Z390" t="str">
        <x:v>Source match pending</x:v>
      </x:c>
      <x:c r="AA390" t="str">
        <x:v>screencapture-www-activesportstrade-co-uk-barebells-trade-2026-09-09-18_19_55.png / page-001</x:v>
      </x:c>
      <x:c r="AB390" s="36" t="n">
        <x:f>IF(ISNUMBER(Y390),ROUND(Y390*0.9,2),"")</x:f>
        <x:v>24.3</x:v>
      </x:c>
      <x:c r="AC390" s="36" t="n">
        <x:f>IF(ISNUMBER(AB390),ROUND(AB390-(AB390*0.015+0.2)-V390,2),"")</x:f>
        <x:v>5.46</x:v>
      </x:c>
      <x:c r="AD390" s="36" t="n">
        <x:f>IF(ISNUMBER(Y390),ROUND(Y390*0.8,2),"")</x:f>
        <x:v>21.6</x:v>
      </x:c>
      <x:c r="AE390" s="36" t="n">
        <x:f>IF(ISNUMBER(AD390),ROUND(AD390*0.015+0.2,2),"")</x:f>
        <x:v>0.52</x:v>
      </x:c>
      <x:c r="AF390" s="36" t="n">
        <x:f>IF(ISNUMBER(AD390),ROUND(AD390-AE390-V390,2),"")</x:f>
        <x:v>2.8</x:v>
      </x:c>
      <x:c r="AG390" t="str">
        <x:f>IF(NOT(ISNUMBER(T390)),"PENDING",IF(AF390&gt;0,"PASS","FAIL"))</x:f>
        <x:v>PASS</x:v>
      </x:c>
      <x:c r="AH390" t="str">
        <x:f>IF(NOT(ISNUMBER(T390)),"Needs supplier cost",IF(K390&lt;&gt;"In stock","Supplier unavailable",IF(AG390&lt;&gt;"PASS","BLOCK - GT loss risk","Commercially protected")))</x:f>
        <x:v>Commercially protected</x:v>
      </x:c>
      <x:c r="AI390" t="str">
        <x:v>2026-09-10 Active Sports trade capture</x:v>
      </x:c>
      <x:c r="AJ390" t="str">
        <x:v>Management-only economics. Stripe stress test uses 1.5% + £0.20 standard UK online-card fee; pallet/mix-and-match pricing ignored.</x:v>
      </x:c>
    </x:row>
    <x:row r="391">
      <x:c r="A391" t="str">
        <x:v>Active Sports Nutrition</x:v>
      </x:c>
      <x:c r="B391" t="str">
        <x:v>Barebells</x:v>
      </x:c>
      <x:c r="C391" t="str">
        <x:v>Protein Bars</x:v>
      </x:c>
      <x:c r="D391" t="str">
        <x:v>Drinks and Bars</x:v>
      </x:c>
      <x:c r="E391" t="str">
        <x:v>Bars and Snacks</x:v>
      </x:c>
      <x:c r="F391" t="str">
        <x:v>High-protein snack bar.</x:v>
      </x:c>
      <x:c r="G391" t="str">
        <x:v>12 x 55g bars</x:v>
      </x:c>
      <x:c r="H391" t="str">
        <x:v>Salty Peanut</x:v>
      </x:c>
      <x:c r="I391" t="str">
        <x:v>12</x:v>
      </x:c>
      <x:c r="J391" t="str">
        <x:v>Case</x:v>
      </x:c>
      <x:c r="K391" t="str">
        <x:v>In stock</x:v>
      </x:c>
      <x:c r="L391" t="str">
        <x:v>2026-09-08</x:v>
      </x:c>
      <x:c r="M391" t="str"/>
      <x:c r="N391" t="str"/>
      <x:c r="O391" t="str">
        <x:v>https://www.activesportstrade.co.uk/trade-sports-supplements</x:v>
      </x:c>
      <x:c r="P391" t="str">
        <x:v>September special-offer wording removed.</x:v>
      </x:c>
      <x:c r="Q391" t="str"/>
      <x:c r="R391" t="str"/>
      <x:c r="S391" t="str">
        <x:v>Pending genuine supplier/brand image</x:v>
      </x:c>
      <x:c r="T391" s="54" t="n">
        <x:v>15.23</x:v>
      </x:c>
      <x:c r="U391" s="47" t="n">
        <x:v>0.2</x:v>
      </x:c>
      <x:c r="V391" s="54" t="n">
        <x:f>IF(ISNUMBER(T391),T391*(1+U391),"")</x:f>
        <x:v>18.276</x:v>
      </x:c>
      <x:c r="W391" s="47" t="n">
        <x:v>0.3</x:v>
      </x:c>
      <x:c r="X391" s="54" t="n">
        <x:f>IF(ISNUMBER(V391),V391/(1-W391),"")</x:f>
        <x:v>26.10857142857143</x:v>
      </x:c>
      <x:c r="Y391" s="55" t="n">
        <x:f>IF(ISNUMBER(X391),ROUNDUP(X391,0),"")</x:f>
        <x:v>27</x:v>
      </x:c>
      <x:c r="Z391" t="str">
        <x:v>Source match pending</x:v>
      </x:c>
      <x:c r="AA391" t="str">
        <x:v>screencapture-www-activesportstrade-co-uk-barebells-trade-2026-09-09-18_19_55.png / page-001</x:v>
      </x:c>
      <x:c r="AB391" s="36" t="n">
        <x:f>IF(ISNUMBER(Y391),ROUND(Y391*0.9,2),"")</x:f>
        <x:v>24.3</x:v>
      </x:c>
      <x:c r="AC391" s="36" t="n">
        <x:f>IF(ISNUMBER(AB391),ROUND(AB391-(AB391*0.015+0.2)-V391,2),"")</x:f>
        <x:v>5.46</x:v>
      </x:c>
      <x:c r="AD391" s="36" t="n">
        <x:f>IF(ISNUMBER(Y391),ROUND(Y391*0.8,2),"")</x:f>
        <x:v>21.6</x:v>
      </x:c>
      <x:c r="AE391" s="36" t="n">
        <x:f>IF(ISNUMBER(AD391),ROUND(AD391*0.015+0.2,2),"")</x:f>
        <x:v>0.52</x:v>
      </x:c>
      <x:c r="AF391" s="36" t="n">
        <x:f>IF(ISNUMBER(AD391),ROUND(AD391-AE391-V391,2),"")</x:f>
        <x:v>2.8</x:v>
      </x:c>
      <x:c r="AG391" t="str">
        <x:f>IF(NOT(ISNUMBER(T391)),"PENDING",IF(AF391&gt;0,"PASS","FAIL"))</x:f>
        <x:v>PASS</x:v>
      </x:c>
      <x:c r="AH391" t="str">
        <x:f>IF(NOT(ISNUMBER(T391)),"Needs supplier cost",IF(K391&lt;&gt;"In stock","Supplier unavailable",IF(AG391&lt;&gt;"PASS","BLOCK - GT loss risk","Commercially protected")))</x:f>
        <x:v>Commercially protected</x:v>
      </x:c>
      <x:c r="AI391" t="str">
        <x:v>2026-09-10 Active Sports trade capture</x:v>
      </x:c>
      <x:c r="AJ391" t="str">
        <x:v>Management-only economics. Stripe stress test uses 1.5% + £0.20 standard UK online-card fee; pallet/mix-and-match pricing ignored.</x:v>
      </x:c>
    </x:row>
    <x:row r="392">
      <x:c r="A392" t="str">
        <x:v>Active Sports Nutrition</x:v>
      </x:c>
      <x:c r="B392" t="str">
        <x:v>Barebells</x:v>
      </x:c>
      <x:c r="C392" t="str">
        <x:v>Protein Bars</x:v>
      </x:c>
      <x:c r="D392" t="str">
        <x:v>Drinks and Bars</x:v>
      </x:c>
      <x:c r="E392" t="str">
        <x:v>Bars and Snacks</x:v>
      </x:c>
      <x:c r="F392" t="str">
        <x:v>High-protein snack bar.</x:v>
      </x:c>
      <x:c r="G392" t="str">
        <x:v>12 x 55g bars</x:v>
      </x:c>
      <x:c r="H392" t="str">
        <x:v>White Chocolate Almond</x:v>
      </x:c>
      <x:c r="I392" t="str">
        <x:v>12</x:v>
      </x:c>
      <x:c r="J392" t="str">
        <x:v>Case</x:v>
      </x:c>
      <x:c r="K392" t="str">
        <x:v>In stock</x:v>
      </x:c>
      <x:c r="L392" t="str">
        <x:v>2026-09-08</x:v>
      </x:c>
      <x:c r="M392" t="str"/>
      <x:c r="N392" t="str"/>
      <x:c r="O392" t="str">
        <x:v>https://www.activesportstrade.co.uk/trade-sports-supplements</x:v>
      </x:c>
      <x:c r="P392" t="str">
        <x:v>September special-offer wording removed.</x:v>
      </x:c>
      <x:c r="Q392" t="str"/>
      <x:c r="R392" t="str"/>
      <x:c r="S392" t="str">
        <x:v>Pending genuine supplier/brand image</x:v>
      </x:c>
      <x:c r="T392" s="54" t="n">
        <x:v>15.23</x:v>
      </x:c>
      <x:c r="U392" s="47" t="n">
        <x:v>0.2</x:v>
      </x:c>
      <x:c r="V392" s="54" t="n">
        <x:f>IF(ISNUMBER(T392),T392*(1+U392),"")</x:f>
        <x:v>18.276</x:v>
      </x:c>
      <x:c r="W392" s="47" t="n">
        <x:v>0.3</x:v>
      </x:c>
      <x:c r="X392" s="54" t="n">
        <x:f>IF(ISNUMBER(V392),V392/(1-W392),"")</x:f>
        <x:v>26.10857142857143</x:v>
      </x:c>
      <x:c r="Y392" s="55" t="n">
        <x:f>IF(ISNUMBER(X392),ROUNDUP(X392,0),"")</x:f>
        <x:v>27</x:v>
      </x:c>
      <x:c r="Z392" t="str">
        <x:v>Source match pending</x:v>
      </x:c>
      <x:c r="AA392" t="str">
        <x:v>screencapture-www-activesportstrade-co-uk-barebells-trade-2026-09-09-18_19_55.png / page-001</x:v>
      </x:c>
      <x:c r="AB392" s="36" t="n">
        <x:f>IF(ISNUMBER(Y392),ROUND(Y392*0.9,2),"")</x:f>
        <x:v>24.3</x:v>
      </x:c>
      <x:c r="AC392" s="36" t="n">
        <x:f>IF(ISNUMBER(AB392),ROUND(AB392-(AB392*0.015+0.2)-V392,2),"")</x:f>
        <x:v>5.46</x:v>
      </x:c>
      <x:c r="AD392" s="36" t="n">
        <x:f>IF(ISNUMBER(Y392),ROUND(Y392*0.8,2),"")</x:f>
        <x:v>21.6</x:v>
      </x:c>
      <x:c r="AE392" s="36" t="n">
        <x:f>IF(ISNUMBER(AD392),ROUND(AD392*0.015+0.2,2),"")</x:f>
        <x:v>0.52</x:v>
      </x:c>
      <x:c r="AF392" s="36" t="n">
        <x:f>IF(ISNUMBER(AD392),ROUND(AD392-AE392-V392,2),"")</x:f>
        <x:v>2.8</x:v>
      </x:c>
      <x:c r="AG392" t="str">
        <x:f>IF(NOT(ISNUMBER(T392)),"PENDING",IF(AF392&gt;0,"PASS","FAIL"))</x:f>
        <x:v>PASS</x:v>
      </x:c>
      <x:c r="AH392" t="str">
        <x:f>IF(NOT(ISNUMBER(T392)),"Needs supplier cost",IF(K392&lt;&gt;"In stock","Supplier unavailable",IF(AG392&lt;&gt;"PASS","BLOCK - GT loss risk","Commercially protected")))</x:f>
        <x:v>Commercially protected</x:v>
      </x:c>
      <x:c r="AI392" t="str">
        <x:v>2026-09-10 Active Sports trade capture</x:v>
      </x:c>
      <x:c r="AJ392" t="str">
        <x:v>Management-only economics. Stripe stress test uses 1.5% + £0.20 standard UK online-card fee; pallet/mix-and-match pricing ignored.</x:v>
      </x:c>
    </x:row>
    <x:row r="393">
      <x:c r="A393" t="str">
        <x:v>Active Sports Nutrition</x:v>
      </x:c>
      <x:c r="B393" t="str">
        <x:v>Barebells</x:v>
      </x:c>
      <x:c r="C393" t="str">
        <x:v>Protein Bars</x:v>
      </x:c>
      <x:c r="D393" t="str">
        <x:v>Drinks and Bars</x:v>
      </x:c>
      <x:c r="E393" t="str">
        <x:v>Bars and Snacks</x:v>
      </x:c>
      <x:c r="F393" t="str">
        <x:v>High-protein snack bar.</x:v>
      </x:c>
      <x:c r="G393" t="str">
        <x:v>12 x 55g bars</x:v>
      </x:c>
      <x:c r="H393" t="str">
        <x:v>White Chocolate Salty Peanut</x:v>
      </x:c>
      <x:c r="I393" t="str">
        <x:v>12</x:v>
      </x:c>
      <x:c r="J393" t="str">
        <x:v>Case</x:v>
      </x:c>
      <x:c r="K393" t="str">
        <x:v>In stock</x:v>
      </x:c>
      <x:c r="L393" t="str">
        <x:v>2026-09-08</x:v>
      </x:c>
      <x:c r="M393" t="str"/>
      <x:c r="N393" t="str"/>
      <x:c r="O393" t="str">
        <x:v>https://www.activesportstrade.co.uk/trade-sports-supplements</x:v>
      </x:c>
      <x:c r="P393" t="str">
        <x:v>September special-offer wording removed.</x:v>
      </x:c>
      <x:c r="Q393" t="str"/>
      <x:c r="R393" t="str"/>
      <x:c r="S393" t="str">
        <x:v>Pending genuine supplier/brand image</x:v>
      </x:c>
      <x:c r="T393" s="54" t="n">
        <x:v>15.23</x:v>
      </x:c>
      <x:c r="U393" s="47" t="n">
        <x:v>0.2</x:v>
      </x:c>
      <x:c r="V393" s="54" t="n">
        <x:f>IF(ISNUMBER(T393),T393*(1+U393),"")</x:f>
        <x:v>18.276</x:v>
      </x:c>
      <x:c r="W393" s="47" t="n">
        <x:v>0.3</x:v>
      </x:c>
      <x:c r="X393" s="54" t="n">
        <x:f>IF(ISNUMBER(V393),V393/(1-W393),"")</x:f>
        <x:v>26.10857142857143</x:v>
      </x:c>
      <x:c r="Y393" s="55" t="n">
        <x:f>IF(ISNUMBER(X393),ROUNDUP(X393,0),"")</x:f>
        <x:v>27</x:v>
      </x:c>
      <x:c r="Z393" t="str">
        <x:v>Source match pending</x:v>
      </x:c>
      <x:c r="AA393" t="str">
        <x:v>screencapture-www-activesportstrade-co-uk-barebells-trade-2026-09-09-18_19_55.png / page-001</x:v>
      </x:c>
      <x:c r="AB393" s="36" t="n">
        <x:f>IF(ISNUMBER(Y393),ROUND(Y393*0.9,2),"")</x:f>
        <x:v>24.3</x:v>
      </x:c>
      <x:c r="AC393" s="36" t="n">
        <x:f>IF(ISNUMBER(AB393),ROUND(AB393-(AB393*0.015+0.2)-V393,2),"")</x:f>
        <x:v>5.46</x:v>
      </x:c>
      <x:c r="AD393" s="36" t="n">
        <x:f>IF(ISNUMBER(Y393),ROUND(Y393*0.8,2),"")</x:f>
        <x:v>21.6</x:v>
      </x:c>
      <x:c r="AE393" s="36" t="n">
        <x:f>IF(ISNUMBER(AD393),ROUND(AD393*0.015+0.2,2),"")</x:f>
        <x:v>0.52</x:v>
      </x:c>
      <x:c r="AF393" s="36" t="n">
        <x:f>IF(ISNUMBER(AD393),ROUND(AD393-AE393-V393,2),"")</x:f>
        <x:v>2.8</x:v>
      </x:c>
      <x:c r="AG393" t="str">
        <x:f>IF(NOT(ISNUMBER(T393)),"PENDING",IF(AF393&gt;0,"PASS","FAIL"))</x:f>
        <x:v>PASS</x:v>
      </x:c>
      <x:c r="AH393" t="str">
        <x:f>IF(NOT(ISNUMBER(T393)),"Needs supplier cost",IF(K393&lt;&gt;"In stock","Supplier unavailable",IF(AG393&lt;&gt;"PASS","BLOCK - GT loss risk","Commercially protected")))</x:f>
        <x:v>Commercially protected</x:v>
      </x:c>
      <x:c r="AI393" t="str">
        <x:v>2026-09-10 Active Sports trade capture</x:v>
      </x:c>
      <x:c r="AJ393" t="str">
        <x:v>Management-only economics. Stripe stress test uses 1.5% + £0.20 standard UK online-card fee; pallet/mix-and-match pricing ignored.</x:v>
      </x:c>
    </x:row>
    <x:row r="394">
      <x:c r="A394" t="str">
        <x:v>Active Sports Nutrition</x:v>
      </x:c>
      <x:c r="B394" t="str">
        <x:v>Barebells</x:v>
      </x:c>
      <x:c r="C394" t="str">
        <x:v>Soft Protein Bar</x:v>
      </x:c>
      <x:c r="D394" t="str">
        <x:v>Drinks and Bars</x:v>
      </x:c>
      <x:c r="E394" t="str">
        <x:v>Bars and Snacks</x:v>
      </x:c>
      <x:c r="F394" t="str">
        <x:v>Soft-texture high-protein snack bar.</x:v>
      </x:c>
      <x:c r="G394" t="str">
        <x:v>12 x 55g bars</x:v>
      </x:c>
      <x:c r="H394" t="str">
        <x:v>Banana Dream</x:v>
      </x:c>
      <x:c r="I394" t="str">
        <x:v>12</x:v>
      </x:c>
      <x:c r="J394" t="str">
        <x:v>Case</x:v>
      </x:c>
      <x:c r="K394" t="str">
        <x:v>In stock</x:v>
      </x:c>
      <x:c r="L394" t="str">
        <x:v>2026-09-08</x:v>
      </x:c>
      <x:c r="M394" t="str"/>
      <x:c r="N394" t="str"/>
      <x:c r="O394" t="str">
        <x:v>https://www.activesportstrade.co.uk/Protein-Bars</x:v>
      </x:c>
      <x:c r="P394" t="str">
        <x:v>'NEW' and September promo wording removed.</x:v>
      </x:c>
      <x:c r="Q394" t="str"/>
      <x:c r="R394" t="str"/>
      <x:c r="S394" t="str">
        <x:v>Pending genuine supplier/brand image</x:v>
      </x:c>
      <x:c r="T394" s="54" t="n">
        <x:v>15.23</x:v>
      </x:c>
      <x:c r="U394" s="47" t="n">
        <x:v>0.2</x:v>
      </x:c>
      <x:c r="V394" s="54" t="n">
        <x:f>IF(ISNUMBER(T394),T394*(1+U394),"")</x:f>
        <x:v>18.276</x:v>
      </x:c>
      <x:c r="W394" s="47" t="n">
        <x:v>0.3</x:v>
      </x:c>
      <x:c r="X394" s="54" t="n">
        <x:f>IF(ISNUMBER(V394),V394/(1-W394),"")</x:f>
        <x:v>26.10857142857143</x:v>
      </x:c>
      <x:c r="Y394" s="55" t="n">
        <x:f>IF(ISNUMBER(X394),ROUNDUP(X394,0),"")</x:f>
        <x:v>27</x:v>
      </x:c>
      <x:c r="Z394" t="str">
        <x:v>Source match pending</x:v>
      </x:c>
      <x:c r="AA394" t="str">
        <x:v>screencapture-www-activesportstrade-co-uk-barebells-trade-2026-09-09-18_19_55.png / page-001</x:v>
      </x:c>
      <x:c r="AB394" s="36" t="n">
        <x:f>IF(ISNUMBER(Y394),ROUND(Y394*0.9,2),"")</x:f>
        <x:v>24.3</x:v>
      </x:c>
      <x:c r="AC394" s="36" t="n">
        <x:f>IF(ISNUMBER(AB394),ROUND(AB394-(AB394*0.015+0.2)-V394,2),"")</x:f>
        <x:v>5.46</x:v>
      </x:c>
      <x:c r="AD394" s="36" t="n">
        <x:f>IF(ISNUMBER(Y394),ROUND(Y394*0.8,2),"")</x:f>
        <x:v>21.6</x:v>
      </x:c>
      <x:c r="AE394" s="36" t="n">
        <x:f>IF(ISNUMBER(AD394),ROUND(AD394*0.015+0.2,2),"")</x:f>
        <x:v>0.52</x:v>
      </x:c>
      <x:c r="AF394" s="36" t="n">
        <x:f>IF(ISNUMBER(AD394),ROUND(AD394-AE394-V394,2),"")</x:f>
        <x:v>2.8</x:v>
      </x:c>
      <x:c r="AG394" t="str">
        <x:f>IF(NOT(ISNUMBER(T394)),"PENDING",IF(AF394&gt;0,"PASS","FAIL"))</x:f>
        <x:v>PASS</x:v>
      </x:c>
      <x:c r="AH394" t="str">
        <x:f>IF(NOT(ISNUMBER(T394)),"Needs supplier cost",IF(K394&lt;&gt;"In stock","Supplier unavailable",IF(AG394&lt;&gt;"PASS","BLOCK - GT loss risk","Commercially protected")))</x:f>
        <x:v>Commercially protected</x:v>
      </x:c>
      <x:c r="AI394" t="str">
        <x:v>2026-09-10 Active Sports trade capture</x:v>
      </x:c>
      <x:c r="AJ394" t="str">
        <x:v>Management-only economics. Stripe stress test uses 1.5% + £0.20 standard UK online-card fee; pallet/mix-and-match pricing ignored.</x:v>
      </x:c>
    </x:row>
    <x:row r="395">
      <x:c r="A395" t="str">
        <x:v>Active Sports Nutrition</x:v>
      </x:c>
      <x:c r="B395" t="str">
        <x:v>Barebells</x:v>
      </x:c>
      <x:c r="C395" t="str">
        <x:v>Soft Protein Bar</x:v>
      </x:c>
      <x:c r="D395" t="str">
        <x:v>Drinks and Bars</x:v>
      </x:c>
      <x:c r="E395" t="str">
        <x:v>Bars and Snacks</x:v>
      </x:c>
      <x:c r="F395" t="str">
        <x:v>Soft-texture high-protein snack bar.</x:v>
      </x:c>
      <x:c r="G395" t="str">
        <x:v>12 x 55g bars</x:v>
      </x:c>
      <x:c r="H395" t="str">
        <x:v>Caramel Choco</x:v>
      </x:c>
      <x:c r="I395" t="str">
        <x:v>12</x:v>
      </x:c>
      <x:c r="J395" t="str">
        <x:v>Case</x:v>
      </x:c>
      <x:c r="K395" t="str">
        <x:v>In stock</x:v>
      </x:c>
      <x:c r="L395" t="str">
        <x:v>2026-09-08</x:v>
      </x:c>
      <x:c r="M395" t="str"/>
      <x:c r="N395" t="str"/>
      <x:c r="O395" t="str">
        <x:v>https://www.activesportstrade.co.uk/Protein-Bars</x:v>
      </x:c>
      <x:c r="P395" t="str">
        <x:v>'NEW' and September promo wording removed.</x:v>
      </x:c>
      <x:c r="Q395" t="str"/>
      <x:c r="R395" t="str"/>
      <x:c r="S395" t="str">
        <x:v>Pending genuine supplier/brand image</x:v>
      </x:c>
      <x:c r="T395" s="54" t="n">
        <x:v>15.23</x:v>
      </x:c>
      <x:c r="U395" s="47" t="n">
        <x:v>0.2</x:v>
      </x:c>
      <x:c r="V395" s="54" t="n">
        <x:f>IF(ISNUMBER(T395),T395*(1+U395),"")</x:f>
        <x:v>18.276</x:v>
      </x:c>
      <x:c r="W395" s="47" t="n">
        <x:v>0.3</x:v>
      </x:c>
      <x:c r="X395" s="54" t="n">
        <x:f>IF(ISNUMBER(V395),V395/(1-W395),"")</x:f>
        <x:v>26.10857142857143</x:v>
      </x:c>
      <x:c r="Y395" s="55" t="n">
        <x:f>IF(ISNUMBER(X395),ROUNDUP(X395,0),"")</x:f>
        <x:v>27</x:v>
      </x:c>
      <x:c r="Z395" t="str">
        <x:v>Source match pending</x:v>
      </x:c>
      <x:c r="AA395" t="str">
        <x:v>screencapture-www-activesportstrade-co-uk-barebells-trade-2026-09-09-18_19_55.png / page-001</x:v>
      </x:c>
      <x:c r="AB395" s="36" t="n">
        <x:f>IF(ISNUMBER(Y395),ROUND(Y395*0.9,2),"")</x:f>
        <x:v>24.3</x:v>
      </x:c>
      <x:c r="AC395" s="36" t="n">
        <x:f>IF(ISNUMBER(AB395),ROUND(AB395-(AB395*0.015+0.2)-V395,2),"")</x:f>
        <x:v>5.46</x:v>
      </x:c>
      <x:c r="AD395" s="36" t="n">
        <x:f>IF(ISNUMBER(Y395),ROUND(Y395*0.8,2),"")</x:f>
        <x:v>21.6</x:v>
      </x:c>
      <x:c r="AE395" s="36" t="n">
        <x:f>IF(ISNUMBER(AD395),ROUND(AD395*0.015+0.2,2),"")</x:f>
        <x:v>0.52</x:v>
      </x:c>
      <x:c r="AF395" s="36" t="n">
        <x:f>IF(ISNUMBER(AD395),ROUND(AD395-AE395-V395,2),"")</x:f>
        <x:v>2.8</x:v>
      </x:c>
      <x:c r="AG395" t="str">
        <x:f>IF(NOT(ISNUMBER(T395)),"PENDING",IF(AF395&gt;0,"PASS","FAIL"))</x:f>
        <x:v>PASS</x:v>
      </x:c>
      <x:c r="AH395" t="str">
        <x:f>IF(NOT(ISNUMBER(T395)),"Needs supplier cost",IF(K395&lt;&gt;"In stock","Supplier unavailable",IF(AG395&lt;&gt;"PASS","BLOCK - GT loss risk","Commercially protected")))</x:f>
        <x:v>Commercially protected</x:v>
      </x:c>
      <x:c r="AI395" t="str">
        <x:v>2026-09-10 Active Sports trade capture</x:v>
      </x:c>
      <x:c r="AJ395" t="str">
        <x:v>Management-only economics. Stripe stress test uses 1.5% + £0.20 standard UK online-card fee; pallet/mix-and-match pricing ignored.</x:v>
      </x:c>
    </x:row>
    <x:row r="396">
      <x:c r="A396" t="str">
        <x:v>Active Sports Nutrition</x:v>
      </x:c>
      <x:c r="B396" t="str">
        <x:v>Barebells</x:v>
      </x:c>
      <x:c r="C396" t="str">
        <x:v>Soft Protein Bar</x:v>
      </x:c>
      <x:c r="D396" t="str">
        <x:v>Drinks and Bars</x:v>
      </x:c>
      <x:c r="E396" t="str">
        <x:v>Bars and Snacks</x:v>
      </x:c>
      <x:c r="F396" t="str">
        <x:v>Soft-texture high-protein snack bar.</x:v>
      </x:c>
      <x:c r="G396" t="str">
        <x:v>12 x 55g bars</x:v>
      </x:c>
      <x:c r="H396" t="str">
        <x:v>Cinnamon Bun</x:v>
      </x:c>
      <x:c r="I396" t="str">
        <x:v>12</x:v>
      </x:c>
      <x:c r="J396" t="str">
        <x:v>Case</x:v>
      </x:c>
      <x:c r="K396" t="str">
        <x:v>Out of stock</x:v>
      </x:c>
      <x:c r="L396" t="str">
        <x:v>2026-09-08</x:v>
      </x:c>
      <x:c r="M396" t="str"/>
      <x:c r="N396" t="str"/>
      <x:c r="O396" t="str">
        <x:v>https://www.activesportstrade.co.uk/Protein-Bars</x:v>
      </x:c>
      <x:c r="P396" t="str">
        <x:v>'NEW' and September promo wording removed.</x:v>
      </x:c>
      <x:c r="Q396" t="str"/>
      <x:c r="R396" t="str"/>
      <x:c r="S396" t="str">
        <x:v>Pending genuine supplier/brand image</x:v>
      </x:c>
      <x:c r="T396" s="54" t="n">
        <x:v>15.23</x:v>
      </x:c>
      <x:c r="U396" s="47" t="n">
        <x:v>0.2</x:v>
      </x:c>
      <x:c r="V396" s="54" t="n">
        <x:f>IF(ISNUMBER(T396),T396*(1+U396),"")</x:f>
        <x:v>18.276</x:v>
      </x:c>
      <x:c r="W396" s="47" t="n">
        <x:v>0.3</x:v>
      </x:c>
      <x:c r="X396" s="54" t="n">
        <x:f>IF(ISNUMBER(V396),V396/(1-W396),"")</x:f>
        <x:v>26.10857142857143</x:v>
      </x:c>
      <x:c r="Y396" s="55" t="n">
        <x:f>IF(ISNUMBER(X396),ROUNDUP(X396,0),"")</x:f>
        <x:v>27</x:v>
      </x:c>
      <x:c r="Z396" t="str">
        <x:v>Source match pending</x:v>
      </x:c>
      <x:c r="AA396" t="str">
        <x:v>screencapture-www-activesportstrade-co-uk-barebells-trade-2026-09-09-18_19_55.png / page-001</x:v>
      </x:c>
      <x:c r="AB396" s="36" t="n">
        <x:f>IF(ISNUMBER(Y396),ROUND(Y396*0.9,2),"")</x:f>
        <x:v>24.3</x:v>
      </x:c>
      <x:c r="AC396" s="36" t="n">
        <x:f>IF(ISNUMBER(AB396),ROUND(AB396-(AB396*0.015+0.2)-V396,2),"")</x:f>
        <x:v>5.46</x:v>
      </x:c>
      <x:c r="AD396" s="36" t="n">
        <x:f>IF(ISNUMBER(Y396),ROUND(Y396*0.8,2),"")</x:f>
        <x:v>21.6</x:v>
      </x:c>
      <x:c r="AE396" s="36" t="n">
        <x:f>IF(ISNUMBER(AD396),ROUND(AD396*0.015+0.2,2),"")</x:f>
        <x:v>0.52</x:v>
      </x:c>
      <x:c r="AF396" s="36" t="n">
        <x:f>IF(ISNUMBER(AD396),ROUND(AD396-AE396-V396,2),"")</x:f>
        <x:v>2.8</x:v>
      </x:c>
      <x:c r="AG396" t="str">
        <x:f>IF(NOT(ISNUMBER(T396)),"PENDING",IF(AF396&gt;0,"PASS","FAIL"))</x:f>
        <x:v>PASS</x:v>
      </x:c>
      <x:c r="AH396" t="str">
        <x:f>IF(NOT(ISNUMBER(T396)),"Needs supplier cost",IF(K396&lt;&gt;"In stock","Supplier unavailable",IF(AG396&lt;&gt;"PASS","BLOCK - GT loss risk","Commercially protected")))</x:f>
        <x:v>Supplier unavailable</x:v>
      </x:c>
      <x:c r="AI396" t="str">
        <x:v>2026-09-10 Active Sports trade capture</x:v>
      </x:c>
      <x:c r="AJ396" t="str">
        <x:v>Management-only economics. Stripe stress test uses 1.5% + £0.20 standard UK online-card fee; pallet/mix-and-match pricing ignored.</x:v>
      </x:c>
    </x:row>
    <x:row r="397">
      <x:c r="A397" t="str">
        <x:v>Active Sports Nutrition</x:v>
      </x:c>
      <x:c r="B397" t="str">
        <x:v>Barebells</x:v>
      </x:c>
      <x:c r="C397" t="str">
        <x:v>Soft Protein Bar</x:v>
      </x:c>
      <x:c r="D397" t="str">
        <x:v>Drinks and Bars</x:v>
      </x:c>
      <x:c r="E397" t="str">
        <x:v>Bars and Snacks</x:v>
      </x:c>
      <x:c r="F397" t="str">
        <x:v>Soft-texture high-protein snack bar.</x:v>
      </x:c>
      <x:c r="G397" t="str">
        <x:v>12 x 55g bars</x:v>
      </x:c>
      <x:c r="H397" t="str">
        <x:v>Coco Choco</x:v>
      </x:c>
      <x:c r="I397" t="str">
        <x:v>12</x:v>
      </x:c>
      <x:c r="J397" t="str">
        <x:v>Case</x:v>
      </x:c>
      <x:c r="K397" t="str">
        <x:v>In stock</x:v>
      </x:c>
      <x:c r="L397" t="str">
        <x:v>2026-09-08</x:v>
      </x:c>
      <x:c r="M397" t="str"/>
      <x:c r="N397" t="str"/>
      <x:c r="O397" t="str">
        <x:v>https://www.activesportstrade.co.uk/Protein-Bars</x:v>
      </x:c>
      <x:c r="P397" t="str">
        <x:v>'NEW' and September promo wording removed.</x:v>
      </x:c>
      <x:c r="Q397" t="str"/>
      <x:c r="R397" t="str"/>
      <x:c r="S397" t="str">
        <x:v>Pending genuine supplier/brand image</x:v>
      </x:c>
      <x:c r="T397" s="54" t="n">
        <x:v>15.23</x:v>
      </x:c>
      <x:c r="U397" s="47" t="n">
        <x:v>0.2</x:v>
      </x:c>
      <x:c r="V397" s="54" t="n">
        <x:f>IF(ISNUMBER(T397),T397*(1+U397),"")</x:f>
        <x:v>18.276</x:v>
      </x:c>
      <x:c r="W397" s="47" t="n">
        <x:v>0.3</x:v>
      </x:c>
      <x:c r="X397" s="54" t="n">
        <x:f>IF(ISNUMBER(V397),V397/(1-W397),"")</x:f>
        <x:v>26.10857142857143</x:v>
      </x:c>
      <x:c r="Y397" s="55" t="n">
        <x:f>IF(ISNUMBER(X397),ROUNDUP(X397,0),"")</x:f>
        <x:v>27</x:v>
      </x:c>
      <x:c r="Z397" t="str">
        <x:v>Source match pending</x:v>
      </x:c>
      <x:c r="AA397" t="str">
        <x:v>screencapture-www-activesportstrade-co-uk-barebells-trade-2026-09-09-18_19_55.png / page-001</x:v>
      </x:c>
      <x:c r="AB397" s="36" t="n">
        <x:f>IF(ISNUMBER(Y397),ROUND(Y397*0.9,2),"")</x:f>
        <x:v>24.3</x:v>
      </x:c>
      <x:c r="AC397" s="36" t="n">
        <x:f>IF(ISNUMBER(AB397),ROUND(AB397-(AB397*0.015+0.2)-V397,2),"")</x:f>
        <x:v>5.46</x:v>
      </x:c>
      <x:c r="AD397" s="36" t="n">
        <x:f>IF(ISNUMBER(Y397),ROUND(Y397*0.8,2),"")</x:f>
        <x:v>21.6</x:v>
      </x:c>
      <x:c r="AE397" s="36" t="n">
        <x:f>IF(ISNUMBER(AD397),ROUND(AD397*0.015+0.2,2),"")</x:f>
        <x:v>0.52</x:v>
      </x:c>
      <x:c r="AF397" s="36" t="n">
        <x:f>IF(ISNUMBER(AD397),ROUND(AD397-AE397-V397,2),"")</x:f>
        <x:v>2.8</x:v>
      </x:c>
      <x:c r="AG397" t="str">
        <x:f>IF(NOT(ISNUMBER(T397)),"PENDING",IF(AF397&gt;0,"PASS","FAIL"))</x:f>
        <x:v>PASS</x:v>
      </x:c>
      <x:c r="AH397" t="str">
        <x:f>IF(NOT(ISNUMBER(T397)),"Needs supplier cost",IF(K397&lt;&gt;"In stock","Supplier unavailable",IF(AG397&lt;&gt;"PASS","BLOCK - GT loss risk","Commercially protected")))</x:f>
        <x:v>Commercially protected</x:v>
      </x:c>
      <x:c r="AI397" t="str">
        <x:v>2026-09-10 Active Sports trade capture</x:v>
      </x:c>
      <x:c r="AJ397" t="str">
        <x:v>Management-only economics. Stripe stress test uses 1.5% + £0.20 standard UK online-card fee; pallet/mix-and-match pricing ignored.</x:v>
      </x:c>
    </x:row>
    <x:row r="398">
      <x:c r="A398" t="str">
        <x:v>Active Sports Nutrition</x:v>
      </x:c>
      <x:c r="B398" t="str">
        <x:v>Barebells</x:v>
      </x:c>
      <x:c r="C398" t="str">
        <x:v>Soft Protein Bar</x:v>
      </x:c>
      <x:c r="D398" t="str">
        <x:v>Drinks and Bars</x:v>
      </x:c>
      <x:c r="E398" t="str">
        <x:v>Bars and Snacks</x:v>
      </x:c>
      <x:c r="F398" t="str">
        <x:v>Soft-texture high-protein snack bar.</x:v>
      </x:c>
      <x:c r="G398" t="str">
        <x:v>12 x 55g bars</x:v>
      </x:c>
      <x:c r="H398" t="str">
        <x:v>Marshmallow Rocky Road</x:v>
      </x:c>
      <x:c r="I398" t="str">
        <x:v>12</x:v>
      </x:c>
      <x:c r="J398" t="str">
        <x:v>Case</x:v>
      </x:c>
      <x:c r="K398" t="str">
        <x:v>In stock</x:v>
      </x:c>
      <x:c r="L398" t="str">
        <x:v>2026-09-08</x:v>
      </x:c>
      <x:c r="M398" t="str"/>
      <x:c r="N398" t="str"/>
      <x:c r="O398" t="str">
        <x:v>https://www.activesportstrade.co.uk/Protein-Bars</x:v>
      </x:c>
      <x:c r="P398" t="str">
        <x:v>'NEW' and September promo wording removed.</x:v>
      </x:c>
      <x:c r="Q398" t="str"/>
      <x:c r="R398" t="str"/>
      <x:c r="S398" t="str">
        <x:v>Pending genuine supplier/brand image</x:v>
      </x:c>
      <x:c r="T398" s="54" t="n">
        <x:v>15.23</x:v>
      </x:c>
      <x:c r="U398" s="47" t="n">
        <x:v>0.2</x:v>
      </x:c>
      <x:c r="V398" s="54" t="n">
        <x:f>IF(ISNUMBER(T398),T398*(1+U398),"")</x:f>
        <x:v>18.276</x:v>
      </x:c>
      <x:c r="W398" s="47" t="n">
        <x:v>0.3</x:v>
      </x:c>
      <x:c r="X398" s="54" t="n">
        <x:f>IF(ISNUMBER(V398),V398/(1-W398),"")</x:f>
        <x:v>26.10857142857143</x:v>
      </x:c>
      <x:c r="Y398" s="55" t="n">
        <x:f>IF(ISNUMBER(X398),ROUNDUP(X398,0),"")</x:f>
        <x:v>27</x:v>
      </x:c>
      <x:c r="Z398" t="str">
        <x:v>Source match pending</x:v>
      </x:c>
      <x:c r="AA398" t="str">
        <x:v>screencapture-www-activesportstrade-co-uk-barebells-trade-2026-09-09-18_19_55.png / page-001</x:v>
      </x:c>
      <x:c r="AB398" s="36" t="n">
        <x:f>IF(ISNUMBER(Y398),ROUND(Y398*0.9,2),"")</x:f>
        <x:v>24.3</x:v>
      </x:c>
      <x:c r="AC398" s="36" t="n">
        <x:f>IF(ISNUMBER(AB398),ROUND(AB398-(AB398*0.015+0.2)-V398,2),"")</x:f>
        <x:v>5.46</x:v>
      </x:c>
      <x:c r="AD398" s="36" t="n">
        <x:f>IF(ISNUMBER(Y398),ROUND(Y398*0.8,2),"")</x:f>
        <x:v>21.6</x:v>
      </x:c>
      <x:c r="AE398" s="36" t="n">
        <x:f>IF(ISNUMBER(AD398),ROUND(AD398*0.015+0.2,2),"")</x:f>
        <x:v>0.52</x:v>
      </x:c>
      <x:c r="AF398" s="36" t="n">
        <x:f>IF(ISNUMBER(AD398),ROUND(AD398-AE398-V398,2),"")</x:f>
        <x:v>2.8</x:v>
      </x:c>
      <x:c r="AG398" t="str">
        <x:f>IF(NOT(ISNUMBER(T398)),"PENDING",IF(AF398&gt;0,"PASS","FAIL"))</x:f>
        <x:v>PASS</x:v>
      </x:c>
      <x:c r="AH398" t="str">
        <x:f>IF(NOT(ISNUMBER(T398)),"Needs supplier cost",IF(K398&lt;&gt;"In stock","Supplier unavailable",IF(AG398&lt;&gt;"PASS","BLOCK - GT loss risk","Commercially protected")))</x:f>
        <x:v>Commercially protected</x:v>
      </x:c>
      <x:c r="AI398" t="str">
        <x:v>2026-09-10 Active Sports trade capture</x:v>
      </x:c>
      <x:c r="AJ398" t="str">
        <x:v>Management-only economics. Stripe stress test uses 1.5% + £0.20 standard UK online-card fee; pallet/mix-and-match pricing ignored.</x:v>
      </x:c>
    </x:row>
    <x:row r="399">
      <x:c r="A399" t="str">
        <x:v>Active Sports Nutrition</x:v>
      </x:c>
      <x:c r="B399" t="str">
        <x:v>Barebells</x:v>
      </x:c>
      <x:c r="C399" t="str">
        <x:v>Soft Protein Bar</x:v>
      </x:c>
      <x:c r="D399" t="str">
        <x:v>Drinks and Bars</x:v>
      </x:c>
      <x:c r="E399" t="str">
        <x:v>Bars and Snacks</x:v>
      </x:c>
      <x:c r="F399" t="str">
        <x:v>Soft-texture high-protein snack bar.</x:v>
      </x:c>
      <x:c r="G399" t="str">
        <x:v>12 x 55g bars</x:v>
      </x:c>
      <x:c r="H399" t="str">
        <x:v>Salted Peanut Caramel</x:v>
      </x:c>
      <x:c r="I399" t="str">
        <x:v>12</x:v>
      </x:c>
      <x:c r="J399" t="str">
        <x:v>Case</x:v>
      </x:c>
      <x:c r="K399" t="str">
        <x:v>Out of stock</x:v>
      </x:c>
      <x:c r="L399" t="str">
        <x:v>2026-09-08</x:v>
      </x:c>
      <x:c r="M399" t="str"/>
      <x:c r="N399" t="str"/>
      <x:c r="O399" t="str">
        <x:v>https://www.activesportstrade.co.uk/Protein-Bars</x:v>
      </x:c>
      <x:c r="P399" t="str">
        <x:v>'NEW' and September promo wording removed.</x:v>
      </x:c>
      <x:c r="Q399" t="str"/>
      <x:c r="R399" t="str"/>
      <x:c r="S399" t="str">
        <x:v>Pending genuine supplier/brand image</x:v>
      </x:c>
      <x:c r="T399" s="54" t="n">
        <x:v>15.23</x:v>
      </x:c>
      <x:c r="U399" s="47" t="n">
        <x:v>0.2</x:v>
      </x:c>
      <x:c r="V399" s="54" t="n">
        <x:f>IF(ISNUMBER(T399),T399*(1+U399),"")</x:f>
        <x:v>18.276</x:v>
      </x:c>
      <x:c r="W399" s="47" t="n">
        <x:v>0.3</x:v>
      </x:c>
      <x:c r="X399" s="54" t="n">
        <x:f>IF(ISNUMBER(V399),V399/(1-W399),"")</x:f>
        <x:v>26.10857142857143</x:v>
      </x:c>
      <x:c r="Y399" s="55" t="n">
        <x:f>IF(ISNUMBER(X399),ROUNDUP(X399,0),"")</x:f>
        <x:v>27</x:v>
      </x:c>
      <x:c r="Z399" t="str">
        <x:v>Source match pending</x:v>
      </x:c>
      <x:c r="AA399" t="str">
        <x:v>screencapture-www-activesportstrade-co-uk-barebells-trade-2026-09-09-18_19_55.png / page-001</x:v>
      </x:c>
      <x:c r="AB399" s="36" t="n">
        <x:f>IF(ISNUMBER(Y399),ROUND(Y399*0.9,2),"")</x:f>
        <x:v>24.3</x:v>
      </x:c>
      <x:c r="AC399" s="36" t="n">
        <x:f>IF(ISNUMBER(AB399),ROUND(AB399-(AB399*0.015+0.2)-V399,2),"")</x:f>
        <x:v>5.46</x:v>
      </x:c>
      <x:c r="AD399" s="36" t="n">
        <x:f>IF(ISNUMBER(Y399),ROUND(Y399*0.8,2),"")</x:f>
        <x:v>21.6</x:v>
      </x:c>
      <x:c r="AE399" s="36" t="n">
        <x:f>IF(ISNUMBER(AD399),ROUND(AD399*0.015+0.2,2),"")</x:f>
        <x:v>0.52</x:v>
      </x:c>
      <x:c r="AF399" s="36" t="n">
        <x:f>IF(ISNUMBER(AD399),ROUND(AD399-AE399-V399,2),"")</x:f>
        <x:v>2.8</x:v>
      </x:c>
      <x:c r="AG399" t="str">
        <x:f>IF(NOT(ISNUMBER(T399)),"PENDING",IF(AF399&gt;0,"PASS","FAIL"))</x:f>
        <x:v>PASS</x:v>
      </x:c>
      <x:c r="AH399" t="str">
        <x:f>IF(NOT(ISNUMBER(T399)),"Needs supplier cost",IF(K399&lt;&gt;"In stock","Supplier unavailable",IF(AG399&lt;&gt;"PASS","BLOCK - GT loss risk","Commercially protected")))</x:f>
        <x:v>Supplier unavailable</x:v>
      </x:c>
      <x:c r="AI399" t="str">
        <x:v>2026-09-10 Active Sports trade capture</x:v>
      </x:c>
      <x:c r="AJ399" t="str">
        <x:v>Management-only economics. Stripe stress test uses 1.5% + £0.20 standard UK online-card fee; pallet/mix-and-match pricing ignored.</x:v>
      </x:c>
    </x:row>
    <x:row r="400">
      <x:c r="A400" t="str">
        <x:v>Active Sports Nutrition</x:v>
      </x:c>
      <x:c r="B400" t="str">
        <x:v>Barebells</x:v>
      </x:c>
      <x:c r="C400" t="str">
        <x:v>Vegan Protein Bars</x:v>
      </x:c>
      <x:c r="D400" t="str">
        <x:v>Drinks and Bars</x:v>
      </x:c>
      <x:c r="E400" t="str">
        <x:v>Bars and Snacks</x:v>
      </x:c>
      <x:c r="F400" t="str">
        <x:v>Vegan protein bar with no added sugar.</x:v>
      </x:c>
      <x:c r="G400" t="str">
        <x:v>12 x 55g bars</x:v>
      </x:c>
      <x:c r="H400" t="str">
        <x:v>Caramel Peanut</x:v>
      </x:c>
      <x:c r="I400" t="str">
        <x:v>12</x:v>
      </x:c>
      <x:c r="J400" t="str">
        <x:v>Case</x:v>
      </x:c>
      <x:c r="K400" t="str">
        <x:v>In stock</x:v>
      </x:c>
      <x:c r="L400" t="str">
        <x:v>2026-09-08</x:v>
      </x:c>
      <x:c r="M400" t="str"/>
      <x:c r="N400" t="str"/>
      <x:c r="O400" t="str">
        <x:v>https://www.activesportstrade.co.uk/Protein-Bars</x:v>
      </x:c>
      <x:c r="P400" t="str">
        <x:v>September special-offer wording removed.</x:v>
      </x:c>
      <x:c r="Q400" t="str"/>
      <x:c r="R400" t="str"/>
      <x:c r="S400" t="str">
        <x:v>Pending genuine supplier/brand image</x:v>
      </x:c>
      <x:c r="T400" s="54" t="n">
        <x:v>15.23</x:v>
      </x:c>
      <x:c r="U400" s="47" t="n">
        <x:v>0.2</x:v>
      </x:c>
      <x:c r="V400" s="54" t="n">
        <x:f>IF(ISNUMBER(T400),T400*(1+U400),"")</x:f>
        <x:v>18.276</x:v>
      </x:c>
      <x:c r="W400" s="47" t="n">
        <x:v>0.3</x:v>
      </x:c>
      <x:c r="X400" s="54" t="n">
        <x:f>IF(ISNUMBER(V400),V400/(1-W400),"")</x:f>
        <x:v>26.10857142857143</x:v>
      </x:c>
      <x:c r="Y400" s="55" t="n">
        <x:f>IF(ISNUMBER(X400),ROUNDUP(X400,0),"")</x:f>
        <x:v>27</x:v>
      </x:c>
      <x:c r="Z400" t="str">
        <x:v>Source match pending</x:v>
      </x:c>
      <x:c r="AA400" t="str">
        <x:v>screencapture-www-activesportstrade-co-uk-barebells-trade-2026-09-09-18_19_55.png / page-001</x:v>
      </x:c>
      <x:c r="AB400" s="36" t="n">
        <x:f>IF(ISNUMBER(Y400),ROUND(Y400*0.9,2),"")</x:f>
        <x:v>24.3</x:v>
      </x:c>
      <x:c r="AC400" s="36" t="n">
        <x:f>IF(ISNUMBER(AB400),ROUND(AB400-(AB400*0.015+0.2)-V400,2),"")</x:f>
        <x:v>5.46</x:v>
      </x:c>
      <x:c r="AD400" s="36" t="n">
        <x:f>IF(ISNUMBER(Y400),ROUND(Y400*0.8,2),"")</x:f>
        <x:v>21.6</x:v>
      </x:c>
      <x:c r="AE400" s="36" t="n">
        <x:f>IF(ISNUMBER(AD400),ROUND(AD400*0.015+0.2,2),"")</x:f>
        <x:v>0.52</x:v>
      </x:c>
      <x:c r="AF400" s="36" t="n">
        <x:f>IF(ISNUMBER(AD400),ROUND(AD400-AE400-V400,2),"")</x:f>
        <x:v>2.8</x:v>
      </x:c>
      <x:c r="AG400" t="str">
        <x:f>IF(NOT(ISNUMBER(T400)),"PENDING",IF(AF400&gt;0,"PASS","FAIL"))</x:f>
        <x:v>PASS</x:v>
      </x:c>
      <x:c r="AH400" t="str">
        <x:f>IF(NOT(ISNUMBER(T400)),"Needs supplier cost",IF(K400&lt;&gt;"In stock","Supplier unavailable",IF(AG400&lt;&gt;"PASS","BLOCK - GT loss risk","Commercially protected")))</x:f>
        <x:v>Commercially protected</x:v>
      </x:c>
      <x:c r="AI400" t="str">
        <x:v>2026-09-10 Active Sports trade capture</x:v>
      </x:c>
      <x:c r="AJ400" t="str">
        <x:v>Management-only economics. Stripe stress test uses 1.5% + £0.20 standard UK online-card fee; pallet/mix-and-match pricing ignored.</x:v>
      </x:c>
    </x:row>
    <x:row r="401">
      <x:c r="A401" t="str">
        <x:v>Active Sports Nutrition</x:v>
      </x:c>
      <x:c r="B401" t="str">
        <x:v>Barebells</x:v>
      </x:c>
      <x:c r="C401" t="str">
        <x:v>Vegan Protein Bars</x:v>
      </x:c>
      <x:c r="D401" t="str">
        <x:v>Drinks and Bars</x:v>
      </x:c>
      <x:c r="E401" t="str">
        <x:v>Bars and Snacks</x:v>
      </x:c>
      <x:c r="F401" t="str">
        <x:v>Vegan protein bar with no added sugar.</x:v>
      </x:c>
      <x:c r="G401" t="str">
        <x:v>12 x 55g bars</x:v>
      </x:c>
      <x:c r="H401" t="str">
        <x:v>Fudge Brownie</x:v>
      </x:c>
      <x:c r="I401" t="str">
        <x:v>12</x:v>
      </x:c>
      <x:c r="J401" t="str">
        <x:v>Case</x:v>
      </x:c>
      <x:c r="K401" t="str">
        <x:v>In stock</x:v>
      </x:c>
      <x:c r="L401" t="str">
        <x:v>2026-09-08</x:v>
      </x:c>
      <x:c r="M401" t="str"/>
      <x:c r="N401" t="str"/>
      <x:c r="O401" t="str">
        <x:v>https://www.activesportstrade.co.uk/Protein-Bars</x:v>
      </x:c>
      <x:c r="P401" t="str">
        <x:v>September special-offer wording removed.</x:v>
      </x:c>
      <x:c r="Q401" t="str"/>
      <x:c r="R401" t="str"/>
      <x:c r="S401" t="str">
        <x:v>Pending genuine supplier/brand image</x:v>
      </x:c>
      <x:c r="T401" s="54" t="n">
        <x:v>15.23</x:v>
      </x:c>
      <x:c r="U401" s="47" t="n">
        <x:v>0.2</x:v>
      </x:c>
      <x:c r="V401" s="54" t="n">
        <x:f>IF(ISNUMBER(T401),T401*(1+U401),"")</x:f>
        <x:v>18.276</x:v>
      </x:c>
      <x:c r="W401" s="47" t="n">
        <x:v>0.3</x:v>
      </x:c>
      <x:c r="X401" s="54" t="n">
        <x:f>IF(ISNUMBER(V401),V401/(1-W401),"")</x:f>
        <x:v>26.10857142857143</x:v>
      </x:c>
      <x:c r="Y401" s="55" t="n">
        <x:f>IF(ISNUMBER(X401),ROUNDUP(X401,0),"")</x:f>
        <x:v>27</x:v>
      </x:c>
      <x:c r="Z401" t="str">
        <x:v>Source match pending</x:v>
      </x:c>
      <x:c r="AA401" t="str">
        <x:v>screencapture-www-activesportstrade-co-uk-barebells-trade-2026-09-09-18_19_55.png / page-001</x:v>
      </x:c>
      <x:c r="AB401" s="36" t="n">
        <x:f>IF(ISNUMBER(Y401),ROUND(Y401*0.9,2),"")</x:f>
        <x:v>24.3</x:v>
      </x:c>
      <x:c r="AC401" s="36" t="n">
        <x:f>IF(ISNUMBER(AB401),ROUND(AB401-(AB401*0.015+0.2)-V401,2),"")</x:f>
        <x:v>5.46</x:v>
      </x:c>
      <x:c r="AD401" s="36" t="n">
        <x:f>IF(ISNUMBER(Y401),ROUND(Y401*0.8,2),"")</x:f>
        <x:v>21.6</x:v>
      </x:c>
      <x:c r="AE401" s="36" t="n">
        <x:f>IF(ISNUMBER(AD401),ROUND(AD401*0.015+0.2,2),"")</x:f>
        <x:v>0.52</x:v>
      </x:c>
      <x:c r="AF401" s="36" t="n">
        <x:f>IF(ISNUMBER(AD401),ROUND(AD401-AE401-V401,2),"")</x:f>
        <x:v>2.8</x:v>
      </x:c>
      <x:c r="AG401" t="str">
        <x:f>IF(NOT(ISNUMBER(T401)),"PENDING",IF(AF401&gt;0,"PASS","FAIL"))</x:f>
        <x:v>PASS</x:v>
      </x:c>
      <x:c r="AH401" t="str">
        <x:f>IF(NOT(ISNUMBER(T401)),"Needs supplier cost",IF(K401&lt;&gt;"In stock","Supplier unavailable",IF(AG401&lt;&gt;"PASS","BLOCK - GT loss risk","Commercially protected")))</x:f>
        <x:v>Commercially protected</x:v>
      </x:c>
      <x:c r="AI401" t="str">
        <x:v>2026-09-10 Active Sports trade capture</x:v>
      </x:c>
      <x:c r="AJ401" t="str">
        <x:v>Management-only economics. Stripe stress test uses 1.5% + £0.20 standard UK online-card fee; pallet/mix-and-match pricing ignored.</x:v>
      </x:c>
    </x:row>
    <x:row r="402">
      <x:c r="A402" t="str">
        <x:v>Active Sports Nutrition</x:v>
      </x:c>
      <x:c r="B402" t="str">
        <x:v>Barebells</x:v>
      </x:c>
      <x:c r="C402" t="str">
        <x:v>Protein Milkshakes RTD</x:v>
      </x:c>
      <x:c r="D402" t="str">
        <x:v>Drinks and Bars</x:v>
      </x:c>
      <x:c r="E402" t="str">
        <x:v>Ready to Drink Protein</x:v>
      </x:c>
      <x:c r="F402" t="str">
        <x:v>Ready-to-drink protein milkshake with 24g protein.</x:v>
      </x:c>
      <x:c r="G402" t="str">
        <x:v>8 x 330ml bottles</x:v>
      </x:c>
      <x:c r="H402" t="str">
        <x:v>Banana</x:v>
      </x:c>
      <x:c r="I402" t="str">
        <x:v>8</x:v>
      </x:c>
      <x:c r="J402" t="str">
        <x:v>Case</x:v>
      </x:c>
      <x:c r="K402" t="str">
        <x:v>In stock</x:v>
      </x:c>
      <x:c r="L402" t="str">
        <x:v>2026-09-08</x:v>
      </x:c>
      <x:c r="M402" t="str"/>
      <x:c r="N402" t="str"/>
      <x:c r="O402" t="str">
        <x:v>https://www.activesportstrade.co.uk/Protein-Blends-Trade</x:v>
      </x:c>
      <x:c r="P402" t="str">
        <x:v>Case-only member order. VAT/pallet/promotion wording removed.</x:v>
      </x:c>
      <x:c r="Q402" t="str"/>
      <x:c r="R402" t="str"/>
      <x:c r="S402" t="str">
        <x:v>Pending genuine supplier/brand image</x:v>
      </x:c>
      <x:c r="T402" s="54" t="n">
        <x:v>12.56</x:v>
      </x:c>
      <x:c r="U402" s="47" t="n">
        <x:v>0</x:v>
      </x:c>
      <x:c r="V402" s="54" t="n">
        <x:f>IF(ISNUMBER(T402),T402*(1+U402),"")</x:f>
        <x:v>12.56</x:v>
      </x:c>
      <x:c r="W402" s="47" t="n">
        <x:v>0.3</x:v>
      </x:c>
      <x:c r="X402" s="54" t="n">
        <x:f>IF(ISNUMBER(V402),V402/(1-W402),"")</x:f>
        <x:v>17.942857142857143</x:v>
      </x:c>
      <x:c r="Y402" s="55" t="n">
        <x:f>IF(ISNUMBER(X402),ROUNDUP(X402,0),"")</x:f>
        <x:v>18</x:v>
      </x:c>
      <x:c r="Z402" t="str">
        <x:v>Source match pending</x:v>
      </x:c>
      <x:c r="AA402" t="str">
        <x:v>screencapture-www-activesportstrade-co-uk-barebells-trade-2026-09-09-18_19_55.png / page-001</x:v>
      </x:c>
      <x:c r="AB402" s="36" t="n">
        <x:f>IF(ISNUMBER(Y402),ROUND(Y402*0.9,2),"")</x:f>
        <x:v>16.2</x:v>
      </x:c>
      <x:c r="AC402" s="36" t="n">
        <x:f>IF(ISNUMBER(AB402),ROUND(AB402-(AB402*0.015+0.2)-V402,2),"")</x:f>
        <x:v>3.2</x:v>
      </x:c>
      <x:c r="AD402" s="36" t="n">
        <x:f>IF(ISNUMBER(Y402),ROUND(Y402*0.8,2),"")</x:f>
        <x:v>14.4</x:v>
      </x:c>
      <x:c r="AE402" s="36" t="n">
        <x:f>IF(ISNUMBER(AD402),ROUND(AD402*0.015+0.2,2),"")</x:f>
        <x:v>0.42</x:v>
      </x:c>
      <x:c r="AF402" s="36" t="n">
        <x:f>IF(ISNUMBER(AD402),ROUND(AD402-AE402-V402,2),"")</x:f>
        <x:v>1.42</x:v>
      </x:c>
      <x:c r="AG402" t="str">
        <x:f>IF(NOT(ISNUMBER(T402)),"PENDING",IF(AF402&gt;0,"PASS","FAIL"))</x:f>
        <x:v>PASS</x:v>
      </x:c>
      <x:c r="AH402" t="str">
        <x:f>IF(NOT(ISNUMBER(T402)),"Needs supplier cost",IF(K402&lt;&gt;"In stock","Supplier unavailable",IF(AG402&lt;&gt;"PASS","BLOCK - GT loss risk","Commercially protected")))</x:f>
        <x:v>Commercially protected</x:v>
      </x:c>
      <x:c r="AI402" t="str">
        <x:v>2026-09-10 Active Sports trade capture</x:v>
      </x:c>
      <x:c r="AJ402" t="str">
        <x:v>Management-only economics. Stripe stress test uses 1.5% + £0.20 standard UK online-card fee; pallet/mix-and-match pricing ignored.</x:v>
      </x:c>
    </x:row>
    <x:row r="403">
      <x:c r="A403" t="str">
        <x:v>Active Sports Nutrition</x:v>
      </x:c>
      <x:c r="B403" t="str">
        <x:v>Barebells</x:v>
      </x:c>
      <x:c r="C403" t="str">
        <x:v>Protein Milkshakes RTD</x:v>
      </x:c>
      <x:c r="D403" t="str">
        <x:v>Drinks and Bars</x:v>
      </x:c>
      <x:c r="E403" t="str">
        <x:v>Ready to Drink Protein</x:v>
      </x:c>
      <x:c r="F403" t="str">
        <x:v>Ready-to-drink protein milkshake with 24g protein.</x:v>
      </x:c>
      <x:c r="G403" t="str">
        <x:v>8 x 330ml bottles</x:v>
      </x:c>
      <x:c r="H403" t="str">
        <x:v>Chocolate</x:v>
      </x:c>
      <x:c r="I403" t="str">
        <x:v>8</x:v>
      </x:c>
      <x:c r="J403" t="str">
        <x:v>Case</x:v>
      </x:c>
      <x:c r="K403" t="str">
        <x:v>In stock</x:v>
      </x:c>
      <x:c r="L403" t="str">
        <x:v>2026-09-08</x:v>
      </x:c>
      <x:c r="M403" t="str"/>
      <x:c r="N403" t="str"/>
      <x:c r="O403" t="str">
        <x:v>https://www.activesportstrade.co.uk/Protein-Blends-Trade</x:v>
      </x:c>
      <x:c r="P403" t="str">
        <x:v>Case-only member order. VAT/pallet/promotion wording removed.</x:v>
      </x:c>
      <x:c r="Q403" t="str"/>
      <x:c r="R403" t="str"/>
      <x:c r="S403" t="str">
        <x:v>Pending genuine supplier/brand image</x:v>
      </x:c>
      <x:c r="T403" s="54" t="n">
        <x:v>12.56</x:v>
      </x:c>
      <x:c r="U403" s="47" t="n">
        <x:v>0</x:v>
      </x:c>
      <x:c r="V403" s="54" t="n">
        <x:f>IF(ISNUMBER(T403),T403*(1+U403),"")</x:f>
        <x:v>12.56</x:v>
      </x:c>
      <x:c r="W403" s="47" t="n">
        <x:v>0.3</x:v>
      </x:c>
      <x:c r="X403" s="54" t="n">
        <x:f>IF(ISNUMBER(V403),V403/(1-W403),"")</x:f>
        <x:v>17.942857142857143</x:v>
      </x:c>
      <x:c r="Y403" s="55" t="n">
        <x:f>IF(ISNUMBER(X403),ROUNDUP(X403,0),"")</x:f>
        <x:v>18</x:v>
      </x:c>
      <x:c r="Z403" t="str">
        <x:v>Source match pending</x:v>
      </x:c>
      <x:c r="AA403" t="str">
        <x:v>screencapture-www-activesportstrade-co-uk-barebells-trade-2026-09-09-18_19_55.png / page-001</x:v>
      </x:c>
      <x:c r="AB403" s="36" t="n">
        <x:f>IF(ISNUMBER(Y403),ROUND(Y403*0.9,2),"")</x:f>
        <x:v>16.2</x:v>
      </x:c>
      <x:c r="AC403" s="36" t="n">
        <x:f>IF(ISNUMBER(AB403),ROUND(AB403-(AB403*0.015+0.2)-V403,2),"")</x:f>
        <x:v>3.2</x:v>
      </x:c>
      <x:c r="AD403" s="36" t="n">
        <x:f>IF(ISNUMBER(Y403),ROUND(Y403*0.8,2),"")</x:f>
        <x:v>14.4</x:v>
      </x:c>
      <x:c r="AE403" s="36" t="n">
        <x:f>IF(ISNUMBER(AD403),ROUND(AD403*0.015+0.2,2),"")</x:f>
        <x:v>0.42</x:v>
      </x:c>
      <x:c r="AF403" s="36" t="n">
        <x:f>IF(ISNUMBER(AD403),ROUND(AD403-AE403-V403,2),"")</x:f>
        <x:v>1.42</x:v>
      </x:c>
      <x:c r="AG403" t="str">
        <x:f>IF(NOT(ISNUMBER(T403)),"PENDING",IF(AF403&gt;0,"PASS","FAIL"))</x:f>
        <x:v>PASS</x:v>
      </x:c>
      <x:c r="AH403" t="str">
        <x:f>IF(NOT(ISNUMBER(T403)),"Needs supplier cost",IF(K403&lt;&gt;"In stock","Supplier unavailable",IF(AG403&lt;&gt;"PASS","BLOCK - GT loss risk","Commercially protected")))</x:f>
        <x:v>Commercially protected</x:v>
      </x:c>
      <x:c r="AI403" t="str">
        <x:v>2026-09-10 Active Sports trade capture</x:v>
      </x:c>
      <x:c r="AJ403" t="str">
        <x:v>Management-only economics. Stripe stress test uses 1.5% + £0.20 standard UK online-card fee; pallet/mix-and-match pricing ignored.</x:v>
      </x:c>
    </x:row>
    <x:row r="404">
      <x:c r="A404" t="str">
        <x:v>Active Sports Nutrition</x:v>
      </x:c>
      <x:c r="B404" t="str">
        <x:v>Barebells</x:v>
      </x:c>
      <x:c r="C404" t="str">
        <x:v>Protein Milkshakes RTD</x:v>
      </x:c>
      <x:c r="D404" t="str">
        <x:v>Drinks and Bars</x:v>
      </x:c>
      <x:c r="E404" t="str">
        <x:v>Ready to Drink Protein</x:v>
      </x:c>
      <x:c r="F404" t="str">
        <x:v>Ready-to-drink protein milkshake with 24g protein.</x:v>
      </x:c>
      <x:c r="G404" t="str">
        <x:v>8 x 330ml bottles</x:v>
      </x:c>
      <x:c r="H404" t="str">
        <x:v>Cookies &amp; Cream</x:v>
      </x:c>
      <x:c r="I404" t="str">
        <x:v>8</x:v>
      </x:c>
      <x:c r="J404" t="str">
        <x:v>Case</x:v>
      </x:c>
      <x:c r="K404" t="str">
        <x:v>In stock</x:v>
      </x:c>
      <x:c r="L404" t="str">
        <x:v>2026-09-08</x:v>
      </x:c>
      <x:c r="M404" t="str"/>
      <x:c r="N404" t="str"/>
      <x:c r="O404" t="str">
        <x:v>https://www.activesportstrade.co.uk/Protein-Blends-Trade</x:v>
      </x:c>
      <x:c r="P404" t="str">
        <x:v>Case-only member order. VAT/pallet/promotion wording removed.</x:v>
      </x:c>
      <x:c r="Q404" t="str"/>
      <x:c r="R404" t="str"/>
      <x:c r="S404" t="str">
        <x:v>Pending genuine supplier/brand image</x:v>
      </x:c>
      <x:c r="T404" s="54" t="n">
        <x:v>12.56</x:v>
      </x:c>
      <x:c r="U404" s="47" t="n">
        <x:v>0</x:v>
      </x:c>
      <x:c r="V404" s="54" t="n">
        <x:f>IF(ISNUMBER(T404),T404*(1+U404),"")</x:f>
        <x:v>12.56</x:v>
      </x:c>
      <x:c r="W404" s="47" t="n">
        <x:v>0.3</x:v>
      </x:c>
      <x:c r="X404" s="54" t="n">
        <x:f>IF(ISNUMBER(V404),V404/(1-W404),"")</x:f>
        <x:v>17.942857142857143</x:v>
      </x:c>
      <x:c r="Y404" s="55" t="n">
        <x:f>IF(ISNUMBER(X404),ROUNDUP(X404,0),"")</x:f>
        <x:v>18</x:v>
      </x:c>
      <x:c r="Z404" t="str">
        <x:v>Source match pending</x:v>
      </x:c>
      <x:c r="AA404" t="str">
        <x:v>screencapture-www-activesportstrade-co-uk-barebells-trade-2026-09-09-18_19_55.png / page-001</x:v>
      </x:c>
      <x:c r="AB404" s="36" t="n">
        <x:f>IF(ISNUMBER(Y404),ROUND(Y404*0.9,2),"")</x:f>
        <x:v>16.2</x:v>
      </x:c>
      <x:c r="AC404" s="36" t="n">
        <x:f>IF(ISNUMBER(AB404),ROUND(AB404-(AB404*0.015+0.2)-V404,2),"")</x:f>
        <x:v>3.2</x:v>
      </x:c>
      <x:c r="AD404" s="36" t="n">
        <x:f>IF(ISNUMBER(Y404),ROUND(Y404*0.8,2),"")</x:f>
        <x:v>14.4</x:v>
      </x:c>
      <x:c r="AE404" s="36" t="n">
        <x:f>IF(ISNUMBER(AD404),ROUND(AD404*0.015+0.2,2),"")</x:f>
        <x:v>0.42</x:v>
      </x:c>
      <x:c r="AF404" s="36" t="n">
        <x:f>IF(ISNUMBER(AD404),ROUND(AD404-AE404-V404,2),"")</x:f>
        <x:v>1.42</x:v>
      </x:c>
      <x:c r="AG404" t="str">
        <x:f>IF(NOT(ISNUMBER(T404)),"PENDING",IF(AF404&gt;0,"PASS","FAIL"))</x:f>
        <x:v>PASS</x:v>
      </x:c>
      <x:c r="AH404" t="str">
        <x:f>IF(NOT(ISNUMBER(T404)),"Needs supplier cost",IF(K404&lt;&gt;"In stock","Supplier unavailable",IF(AG404&lt;&gt;"PASS","BLOCK - GT loss risk","Commercially protected")))</x:f>
        <x:v>Commercially protected</x:v>
      </x:c>
      <x:c r="AI404" t="str">
        <x:v>2026-09-10 Active Sports trade capture</x:v>
      </x:c>
      <x:c r="AJ404" t="str">
        <x:v>Management-only economics. Stripe stress test uses 1.5% + £0.20 standard UK online-card fee; pallet/mix-and-match pricing ignored.</x:v>
      </x:c>
    </x:row>
    <x:row r="405">
      <x:c r="A405" t="str">
        <x:v>Active Sports Nutrition</x:v>
      </x:c>
      <x:c r="B405" t="str">
        <x:v>Barebells</x:v>
      </x:c>
      <x:c r="C405" t="str">
        <x:v>Protein Milkshakes RTD</x:v>
      </x:c>
      <x:c r="D405" t="str">
        <x:v>Drinks and Bars</x:v>
      </x:c>
      <x:c r="E405" t="str">
        <x:v>Ready to Drink Protein</x:v>
      </x:c>
      <x:c r="F405" t="str">
        <x:v>Ready-to-drink protein milkshake with 24g protein.</x:v>
      </x:c>
      <x:c r="G405" t="str">
        <x:v>8 x 330ml bottles</x:v>
      </x:c>
      <x:c r="H405" t="str">
        <x:v>Strawberry</x:v>
      </x:c>
      <x:c r="I405" t="str">
        <x:v>8</x:v>
      </x:c>
      <x:c r="J405" t="str">
        <x:v>Case</x:v>
      </x:c>
      <x:c r="K405" t="str">
        <x:v>In stock</x:v>
      </x:c>
      <x:c r="L405" t="str">
        <x:v>2026-09-08</x:v>
      </x:c>
      <x:c r="M405" t="str"/>
      <x:c r="N405" t="str"/>
      <x:c r="O405" t="str">
        <x:v>https://www.activesportstrade.co.uk/Protein-Blends-Trade</x:v>
      </x:c>
      <x:c r="P405" t="str">
        <x:v>Case-only member order. VAT/pallet/promotion wording removed.</x:v>
      </x:c>
      <x:c r="Q405" t="str"/>
      <x:c r="R405" t="str"/>
      <x:c r="S405" t="str">
        <x:v>Pending genuine supplier/brand image</x:v>
      </x:c>
      <x:c r="T405" s="54" t="n">
        <x:v>12.56</x:v>
      </x:c>
      <x:c r="U405" s="47" t="n">
        <x:v>0</x:v>
      </x:c>
      <x:c r="V405" s="54" t="n">
        <x:f>IF(ISNUMBER(T405),T405*(1+U405),"")</x:f>
        <x:v>12.56</x:v>
      </x:c>
      <x:c r="W405" s="47" t="n">
        <x:v>0.3</x:v>
      </x:c>
      <x:c r="X405" s="54" t="n">
        <x:f>IF(ISNUMBER(V405),V405/(1-W405),"")</x:f>
        <x:v>17.942857142857143</x:v>
      </x:c>
      <x:c r="Y405" s="55" t="n">
        <x:f>IF(ISNUMBER(X405),ROUNDUP(X405,0),"")</x:f>
        <x:v>18</x:v>
      </x:c>
      <x:c r="Z405" t="str">
        <x:v>Source match pending</x:v>
      </x:c>
      <x:c r="AA405" t="str">
        <x:v>screencapture-www-activesportstrade-co-uk-barebells-trade-2026-09-09-18_19_55.png / page-001</x:v>
      </x:c>
      <x:c r="AB405" s="36" t="n">
        <x:f>IF(ISNUMBER(Y405),ROUND(Y405*0.9,2),"")</x:f>
        <x:v>16.2</x:v>
      </x:c>
      <x:c r="AC405" s="36" t="n">
        <x:f>IF(ISNUMBER(AB405),ROUND(AB405-(AB405*0.015+0.2)-V405,2),"")</x:f>
        <x:v>3.2</x:v>
      </x:c>
      <x:c r="AD405" s="36" t="n">
        <x:f>IF(ISNUMBER(Y405),ROUND(Y405*0.8,2),"")</x:f>
        <x:v>14.4</x:v>
      </x:c>
      <x:c r="AE405" s="36" t="n">
        <x:f>IF(ISNUMBER(AD405),ROUND(AD405*0.015+0.2,2),"")</x:f>
        <x:v>0.42</x:v>
      </x:c>
      <x:c r="AF405" s="36" t="n">
        <x:f>IF(ISNUMBER(AD405),ROUND(AD405-AE405-V405,2),"")</x:f>
        <x:v>1.42</x:v>
      </x:c>
      <x:c r="AG405" t="str">
        <x:f>IF(NOT(ISNUMBER(T405)),"PENDING",IF(AF405&gt;0,"PASS","FAIL"))</x:f>
        <x:v>PASS</x:v>
      </x:c>
      <x:c r="AH405" t="str">
        <x:f>IF(NOT(ISNUMBER(T405)),"Needs supplier cost",IF(K405&lt;&gt;"In stock","Supplier unavailable",IF(AG405&lt;&gt;"PASS","BLOCK - GT loss risk","Commercially protected")))</x:f>
        <x:v>Commercially protected</x:v>
      </x:c>
      <x:c r="AI405" t="str">
        <x:v>2026-09-10 Active Sports trade capture</x:v>
      </x:c>
      <x:c r="AJ405" t="str">
        <x:v>Management-only economics. Stripe stress test uses 1.5% + £0.20 standard UK online-card fee; pallet/mix-and-match pricing ignored.</x:v>
      </x:c>
    </x:row>
    <x:row r="406">
      <x:c r="A406" t="str">
        <x:v>Active Sports Nutrition</x:v>
      </x:c>
      <x:c r="B406" t="str">
        <x:v>Barebells</x:v>
      </x:c>
      <x:c r="C406" t="str">
        <x:v>Protein Milkshakes RTD</x:v>
      </x:c>
      <x:c r="D406" t="str">
        <x:v>Drinks and Bars</x:v>
      </x:c>
      <x:c r="E406" t="str">
        <x:v>Ready to Drink Protein</x:v>
      </x:c>
      <x:c r="F406" t="str">
        <x:v>Ready-to-drink protein milkshake with 24g protein.</x:v>
      </x:c>
      <x:c r="G406" t="str">
        <x:v>8 x 330ml bottles</x:v>
      </x:c>
      <x:c r="H406" t="str">
        <x:v>Vanilla</x:v>
      </x:c>
      <x:c r="I406" t="str">
        <x:v>8</x:v>
      </x:c>
      <x:c r="J406" t="str">
        <x:v>Case</x:v>
      </x:c>
      <x:c r="K406" t="str">
        <x:v>In stock</x:v>
      </x:c>
      <x:c r="L406" t="str">
        <x:v>2026-09-08</x:v>
      </x:c>
      <x:c r="M406" t="str"/>
      <x:c r="N406" t="str"/>
      <x:c r="O406" t="str">
        <x:v>https://www.activesportstrade.co.uk/Protein-Blends-Trade</x:v>
      </x:c>
      <x:c r="P406" t="str">
        <x:v>Case-only member order. VAT/pallet/promotion wording removed.</x:v>
      </x:c>
      <x:c r="Q406" t="str"/>
      <x:c r="R406" t="str"/>
      <x:c r="S406" t="str">
        <x:v>Pending genuine supplier/brand image</x:v>
      </x:c>
      <x:c r="T406" s="54" t="n">
        <x:v>12.56</x:v>
      </x:c>
      <x:c r="U406" s="47" t="n">
        <x:v>0</x:v>
      </x:c>
      <x:c r="V406" s="54" t="n">
        <x:f>IF(ISNUMBER(T406),T406*(1+U406),"")</x:f>
        <x:v>12.56</x:v>
      </x:c>
      <x:c r="W406" s="47" t="n">
        <x:v>0.3</x:v>
      </x:c>
      <x:c r="X406" s="54" t="n">
        <x:f>IF(ISNUMBER(V406),V406/(1-W406),"")</x:f>
        <x:v>17.942857142857143</x:v>
      </x:c>
      <x:c r="Y406" s="55" t="n">
        <x:f>IF(ISNUMBER(X406),ROUNDUP(X406,0),"")</x:f>
        <x:v>18</x:v>
      </x:c>
      <x:c r="Z406" t="str">
        <x:v>Source match pending</x:v>
      </x:c>
      <x:c r="AA406" t="str">
        <x:v>screencapture-www-activesportstrade-co-uk-barebells-trade-2026-09-09-18_19_55.png / page-001</x:v>
      </x:c>
      <x:c r="AB406" s="36" t="n">
        <x:f>IF(ISNUMBER(Y406),ROUND(Y406*0.9,2),"")</x:f>
        <x:v>16.2</x:v>
      </x:c>
      <x:c r="AC406" s="36" t="n">
        <x:f>IF(ISNUMBER(AB406),ROUND(AB406-(AB406*0.015+0.2)-V406,2),"")</x:f>
        <x:v>3.2</x:v>
      </x:c>
      <x:c r="AD406" s="36" t="n">
        <x:f>IF(ISNUMBER(Y406),ROUND(Y406*0.8,2),"")</x:f>
        <x:v>14.4</x:v>
      </x:c>
      <x:c r="AE406" s="36" t="n">
        <x:f>IF(ISNUMBER(AD406),ROUND(AD406*0.015+0.2,2),"")</x:f>
        <x:v>0.42</x:v>
      </x:c>
      <x:c r="AF406" s="36" t="n">
        <x:f>IF(ISNUMBER(AD406),ROUND(AD406-AE406-V406,2),"")</x:f>
        <x:v>1.42</x:v>
      </x:c>
      <x:c r="AG406" t="str">
        <x:f>IF(NOT(ISNUMBER(T406)),"PENDING",IF(AF406&gt;0,"PASS","FAIL"))</x:f>
        <x:v>PASS</x:v>
      </x:c>
      <x:c r="AH406" t="str">
        <x:f>IF(NOT(ISNUMBER(T406)),"Needs supplier cost",IF(K406&lt;&gt;"In stock","Supplier unavailable",IF(AG406&lt;&gt;"PASS","BLOCK - GT loss risk","Commercially protected")))</x:f>
        <x:v>Commercially protected</x:v>
      </x:c>
      <x:c r="AI406" t="str">
        <x:v>2026-09-10 Active Sports trade capture</x:v>
      </x:c>
      <x:c r="AJ406" t="str">
        <x:v>Management-only economics. Stripe stress test uses 1.5% + £0.20 standard UK online-card fee; pallet/mix-and-match pricing ignored.</x:v>
      </x:c>
    </x:row>
    <x:row r="407">
      <x:c r="A407" t="str">
        <x:v>Active Sports Nutrition</x:v>
      </x:c>
      <x:c r="B407" t="str">
        <x:v>Beast Pharm</x:v>
      </x:c>
      <x:c r="C407" t="str">
        <x:v>Ashwagandha KSM-66</x:v>
      </x:c>
      <x:c r="D407" t="str">
        <x:v>Supplements</x:v>
      </x:c>
      <x:c r="E407" t="str">
        <x:v>Health Foods</x:v>
      </x:c>
      <x:c r="F407" t="str">
        <x:v>KSM-66 ashwagandha root extract.</x:v>
      </x:c>
      <x:c r="G407" t="str">
        <x:v>90 caps</x:v>
      </x:c>
      <x:c r="H407" t="str">
        <x:v>Default</x:v>
      </x:c>
      <x:c r="I407" t="str"/>
      <x:c r="J407" t="str">
        <x:v>Unit</x:v>
      </x:c>
      <x:c r="K407" t="str">
        <x:v>In stock</x:v>
      </x:c>
      <x:c r="L407" t="str">
        <x:v>2026-09-08</x:v>
      </x:c>
      <x:c r="M407" t="str"/>
      <x:c r="N407" t="str"/>
      <x:c r="O407" t="str">
        <x:v>https://www.activesportstrade.co.uk/beast-pharm-trade</x:v>
      </x:c>
      <x:c r="P407" t="str"/>
      <x:c r="Q407" t="str"/>
      <x:c r="R407" t="str"/>
      <x:c r="S407" t="str">
        <x:v>Pending genuine supplier/brand image</x:v>
      </x:c>
      <x:c r="T407" s="54"/>
      <x:c r="U407" s="47" t="n">
        <x:v>0.2</x:v>
      </x:c>
      <x:c r="V407" s="54" t="str">
        <x:f>IF(ISNUMBER(T407),T407*(1+U407),"")</x:f>
      </x:c>
      <x:c r="W407" s="47" t="n">
        <x:v>0.3</x:v>
      </x:c>
      <x:c r="X407" s="54" t="str">
        <x:f>IF(ISNUMBER(V407),V407/(1-W407),"")</x:f>
      </x:c>
      <x:c r="Y407" s="55" t="str">
        <x:f>IF(ISNUMBER(X407),ROUNDUP(X407,0),"")</x:f>
      </x:c>
      <x:c r="Z407" t="str">
        <x:f>IF(ISNUMBER(T407),"Cost captured","Awaiting trade cost")</x:f>
        <x:v>Awaiting trade cost</x:v>
      </x:c>
      <x:c r="AB407" s="36" t="str">
        <x:f>IF(ISNUMBER(Y407),ROUND(Y407*0.9,2),"")</x:f>
      </x:c>
      <x:c r="AC407" s="36" t="str">
        <x:f>IF(ISNUMBER(AB407),ROUND(AB407-(AB407*0.015+0.2)-V407,2),"")</x:f>
      </x:c>
      <x:c r="AD407" s="36" t="str">
        <x:f>IF(ISNUMBER(Y407),ROUND(Y407*0.8,2),"")</x:f>
      </x:c>
      <x:c r="AE407" s="36" t="str">
        <x:f>IF(ISNUMBER(AD407),ROUND(AD407*0.015+0.2,2),"")</x:f>
      </x:c>
      <x:c r="AF407" s="36" t="str">
        <x:f>IF(ISNUMBER(AD407),ROUND(AD407-AE407-V407,2),"")</x:f>
      </x:c>
      <x:c r="AG407" t="str">
        <x:f>IF(NOT(ISNUMBER(T407)),"PENDING",IF(AF407&gt;0,"PASS","FAIL"))</x:f>
        <x:v>PENDING</x:v>
      </x:c>
      <x:c r="AH407" t="str">
        <x:f>IF(NOT(ISNUMBER(T407)),"Needs supplier cost",IF(K407&lt;&gt;"In stock","Supplier unavailable",IF(AG407&lt;&gt;"PASS","BLOCK - GT loss risk","Commercially protected")))</x:f>
        <x:v>Needs supplier cost</x:v>
      </x:c>
      <x:c r="AI407" t="str">
        <x:v>2026-09-10 Active Sports trade capture</x:v>
      </x:c>
      <x:c r="AJ407" t="str">
        <x:v>Management-only economics. Stripe stress test uses 1.5% + £0.20 standard UK online-card fee; pallet/mix-and-match pricing ignored.</x:v>
      </x:c>
    </x:row>
    <x:row r="408">
      <x:c r="A408" t="str">
        <x:v>Active Sports Nutrition</x:v>
      </x:c>
      <x:c r="B408" t="str">
        <x:v>Beast Pharm</x:v>
      </x:c>
      <x:c r="C408" t="str">
        <x:v>Beast Bar</x:v>
      </x:c>
      <x:c r="D408" t="str">
        <x:v>Drinks and Bars</x:v>
      </x:c>
      <x:c r="E408" t="str">
        <x:v>Bars and Snacks</x:v>
      </x:c>
      <x:c r="F408" t="str">
        <x:v>High-protein milk-chocolate coated bar.</x:v>
      </x:c>
      <x:c r="G408" t="str">
        <x:v>12 x 80g bars</x:v>
      </x:c>
      <x:c r="H408" t="str">
        <x:v>Salted Caramel</x:v>
      </x:c>
      <x:c r="I408" t="str">
        <x:v>12</x:v>
      </x:c>
      <x:c r="J408" t="str">
        <x:v>Case</x:v>
      </x:c>
      <x:c r="K408" t="str">
        <x:v>In stock</x:v>
      </x:c>
      <x:c r="L408" t="str">
        <x:v>2026-09-08</x:v>
      </x:c>
      <x:c r="M408" t="str"/>
      <x:c r="N408" t="str"/>
      <x:c r="O408" t="str">
        <x:v>https://www.activesportstrade.co.uk/beast-pharm-trade</x:v>
      </x:c>
      <x:c r="P408" t="str"/>
      <x:c r="Q408" t="str"/>
      <x:c r="R408" t="str"/>
      <x:c r="S408" t="str">
        <x:v>Pending genuine supplier/brand image</x:v>
      </x:c>
      <x:c r="T408" s="54"/>
      <x:c r="U408" s="47" t="n">
        <x:v>0.2</x:v>
      </x:c>
      <x:c r="V408" s="54" t="str">
        <x:f>IF(ISNUMBER(T408),T408*(1+U408),"")</x:f>
      </x:c>
      <x:c r="W408" s="47" t="n">
        <x:v>0.3</x:v>
      </x:c>
      <x:c r="X408" s="54" t="str">
        <x:f>IF(ISNUMBER(V408),V408/(1-W408),"")</x:f>
      </x:c>
      <x:c r="Y408" s="55" t="str">
        <x:f>IF(ISNUMBER(X408),ROUNDUP(X408,0),"")</x:f>
      </x:c>
      <x:c r="Z408" t="str">
        <x:f>IF(ISNUMBER(T408),"Cost captured","Awaiting trade cost")</x:f>
        <x:v>Awaiting trade cost</x:v>
      </x:c>
      <x:c r="AB408" s="36" t="str">
        <x:f>IF(ISNUMBER(Y408),ROUND(Y408*0.9,2),"")</x:f>
      </x:c>
      <x:c r="AC408" s="36" t="str">
        <x:f>IF(ISNUMBER(AB408),ROUND(AB408-(AB408*0.015+0.2)-V408,2),"")</x:f>
      </x:c>
      <x:c r="AD408" s="36" t="str">
        <x:f>IF(ISNUMBER(Y408),ROUND(Y408*0.8,2),"")</x:f>
      </x:c>
      <x:c r="AE408" s="36" t="str">
        <x:f>IF(ISNUMBER(AD408),ROUND(AD408*0.015+0.2,2),"")</x:f>
      </x:c>
      <x:c r="AF408" s="36" t="str">
        <x:f>IF(ISNUMBER(AD408),ROUND(AD408-AE408-V408,2),"")</x:f>
      </x:c>
      <x:c r="AG408" t="str">
        <x:f>IF(NOT(ISNUMBER(T408)),"PENDING",IF(AF408&gt;0,"PASS","FAIL"))</x:f>
        <x:v>PENDING</x:v>
      </x:c>
      <x:c r="AH408" t="str">
        <x:f>IF(NOT(ISNUMBER(T408)),"Needs supplier cost",IF(K408&lt;&gt;"In stock","Supplier unavailable",IF(AG408&lt;&gt;"PASS","BLOCK - GT loss risk","Commercially protected")))</x:f>
        <x:v>Needs supplier cost</x:v>
      </x:c>
      <x:c r="AI408" t="str">
        <x:v>2026-09-10 Active Sports trade capture</x:v>
      </x:c>
      <x:c r="AJ408" t="str">
        <x:v>Management-only economics. Stripe stress test uses 1.5% + £0.20 standard UK online-card fee; pallet/mix-and-match pricing ignored.</x:v>
      </x:c>
    </x:row>
    <x:row r="409">
      <x:c r="A409" t="str">
        <x:v>Active Sports Nutrition</x:v>
      </x:c>
      <x:c r="B409" t="str">
        <x:v>Beast Pharm</x:v>
      </x:c>
      <x:c r="C409" t="str">
        <x:v>BEAST Biltong</x:v>
      </x:c>
      <x:c r="D409" t="str">
        <x:v>Drinks and Bars</x:v>
      </x:c>
      <x:c r="E409" t="str">
        <x:v>Bars and Snacks</x:v>
      </x:c>
      <x:c r="F409" t="str">
        <x:v>Air-dried 100% British &amp; Irish beef biltong.</x:v>
      </x:c>
      <x:c r="G409" t="str">
        <x:v>1 x 40g bag</x:v>
      </x:c>
      <x:c r="H409" t="str">
        <x:v>Garlic &amp; Herb</x:v>
      </x:c>
      <x:c r="I409" t="str"/>
      <x:c r="J409" t="str">
        <x:v>Unit</x:v>
      </x:c>
      <x:c r="K409" t="str">
        <x:v>In stock</x:v>
      </x:c>
      <x:c r="L409" t="str">
        <x:v>2026-09-08</x:v>
      </x:c>
      <x:c r="M409" t="str"/>
      <x:c r="N409" t="str"/>
      <x:c r="O409" t="str">
        <x:v>https://www.activesportstrade.co.uk/beast-pharm-trade</x:v>
      </x:c>
      <x:c r="P409" t="str"/>
      <x:c r="Q409" t="str"/>
      <x:c r="R409" t="str"/>
      <x:c r="S409" t="str">
        <x:v>Pending genuine supplier/brand image</x:v>
      </x:c>
      <x:c r="T409" s="54"/>
      <x:c r="U409" s="47" t="n">
        <x:v>0.2</x:v>
      </x:c>
      <x:c r="V409" s="54" t="str">
        <x:f>IF(ISNUMBER(T409),T409*(1+U409),"")</x:f>
      </x:c>
      <x:c r="W409" s="47" t="n">
        <x:v>0.3</x:v>
      </x:c>
      <x:c r="X409" s="54" t="str">
        <x:f>IF(ISNUMBER(V409),V409/(1-W409),"")</x:f>
      </x:c>
      <x:c r="Y409" s="55" t="str">
        <x:f>IF(ISNUMBER(X409),ROUNDUP(X409,0),"")</x:f>
      </x:c>
      <x:c r="Z409" t="str">
        <x:f>IF(ISNUMBER(T409),"Cost captured","Awaiting trade cost")</x:f>
        <x:v>Awaiting trade cost</x:v>
      </x:c>
      <x:c r="AB409" s="36" t="str">
        <x:f>IF(ISNUMBER(Y409),ROUND(Y409*0.9,2),"")</x:f>
      </x:c>
      <x:c r="AC409" s="36" t="str">
        <x:f>IF(ISNUMBER(AB409),ROUND(AB409-(AB409*0.015+0.2)-V409,2),"")</x:f>
      </x:c>
      <x:c r="AD409" s="36" t="str">
        <x:f>IF(ISNUMBER(Y409),ROUND(Y409*0.8,2),"")</x:f>
      </x:c>
      <x:c r="AE409" s="36" t="str">
        <x:f>IF(ISNUMBER(AD409),ROUND(AD409*0.015+0.2,2),"")</x:f>
      </x:c>
      <x:c r="AF409" s="36" t="str">
        <x:f>IF(ISNUMBER(AD409),ROUND(AD409-AE409-V409,2),"")</x:f>
      </x:c>
      <x:c r="AG409" t="str">
        <x:f>IF(NOT(ISNUMBER(T409)),"PENDING",IF(AF409&gt;0,"PASS","FAIL"))</x:f>
        <x:v>PENDING</x:v>
      </x:c>
      <x:c r="AH409" t="str">
        <x:f>IF(NOT(ISNUMBER(T409)),"Needs supplier cost",IF(K409&lt;&gt;"In stock","Supplier unavailable",IF(AG409&lt;&gt;"PASS","BLOCK - GT loss risk","Commercially protected")))</x:f>
        <x:v>Needs supplier cost</x:v>
      </x:c>
      <x:c r="AI409" t="str">
        <x:v>2026-09-10 Active Sports trade capture</x:v>
      </x:c>
      <x:c r="AJ409" t="str">
        <x:v>Management-only economics. Stripe stress test uses 1.5% + £0.20 standard UK online-card fee; pallet/mix-and-match pricing ignored.</x:v>
      </x:c>
    </x:row>
    <x:row r="410">
      <x:c r="A410" t="str">
        <x:v>Active Sports Nutrition</x:v>
      </x:c>
      <x:c r="B410" t="str">
        <x:v>Beast Pharm</x:v>
      </x:c>
      <x:c r="C410" t="str">
        <x:v>BEAST Biltong</x:v>
      </x:c>
      <x:c r="D410" t="str">
        <x:v>Drinks and Bars</x:v>
      </x:c>
      <x:c r="E410" t="str">
        <x:v>Bars and Snacks</x:v>
      </x:c>
      <x:c r="F410" t="str">
        <x:v>Air-dried 100% British &amp; Irish beef biltong.</x:v>
      </x:c>
      <x:c r="G410" t="str">
        <x:v>1 x 40g bag</x:v>
      </x:c>
      <x:c r="H410" t="str">
        <x:v>Original</x:v>
      </x:c>
      <x:c r="I410" t="str"/>
      <x:c r="J410" t="str">
        <x:v>Unit</x:v>
      </x:c>
      <x:c r="K410" t="str">
        <x:v>In stock</x:v>
      </x:c>
      <x:c r="L410" t="str">
        <x:v>2026-09-08</x:v>
      </x:c>
      <x:c r="M410" t="str"/>
      <x:c r="N410" t="str"/>
      <x:c r="O410" t="str">
        <x:v>https://www.activesportstrade.co.uk/beast-pharm-trade</x:v>
      </x:c>
      <x:c r="P410" t="str"/>
      <x:c r="Q410" t="str"/>
      <x:c r="R410" t="str"/>
      <x:c r="S410" t="str">
        <x:v>Pending genuine supplier/brand image</x:v>
      </x:c>
      <x:c r="T410" s="54"/>
      <x:c r="U410" s="47" t="n">
        <x:v>0.2</x:v>
      </x:c>
      <x:c r="V410" s="54" t="str">
        <x:f>IF(ISNUMBER(T410),T410*(1+U410),"")</x:f>
      </x:c>
      <x:c r="W410" s="47" t="n">
        <x:v>0.3</x:v>
      </x:c>
      <x:c r="X410" s="54" t="str">
        <x:f>IF(ISNUMBER(V410),V410/(1-W410),"")</x:f>
      </x:c>
      <x:c r="Y410" s="55" t="str">
        <x:f>IF(ISNUMBER(X410),ROUNDUP(X410,0),"")</x:f>
      </x:c>
      <x:c r="Z410" t="str">
        <x:f>IF(ISNUMBER(T410),"Cost captured","Awaiting trade cost")</x:f>
        <x:v>Awaiting trade cost</x:v>
      </x:c>
      <x:c r="AB410" s="36" t="str">
        <x:f>IF(ISNUMBER(Y410),ROUND(Y410*0.9,2),"")</x:f>
      </x:c>
      <x:c r="AC410" s="36" t="str">
        <x:f>IF(ISNUMBER(AB410),ROUND(AB410-(AB410*0.015+0.2)-V410,2),"")</x:f>
      </x:c>
      <x:c r="AD410" s="36" t="str">
        <x:f>IF(ISNUMBER(Y410),ROUND(Y410*0.8,2),"")</x:f>
      </x:c>
      <x:c r="AE410" s="36" t="str">
        <x:f>IF(ISNUMBER(AD410),ROUND(AD410*0.015+0.2,2),"")</x:f>
      </x:c>
      <x:c r="AF410" s="36" t="str">
        <x:f>IF(ISNUMBER(AD410),ROUND(AD410-AE410-V410,2),"")</x:f>
      </x:c>
      <x:c r="AG410" t="str">
        <x:f>IF(NOT(ISNUMBER(T410)),"PENDING",IF(AF410&gt;0,"PASS","FAIL"))</x:f>
        <x:v>PENDING</x:v>
      </x:c>
      <x:c r="AH410" t="str">
        <x:f>IF(NOT(ISNUMBER(T410)),"Needs supplier cost",IF(K410&lt;&gt;"In stock","Supplier unavailable",IF(AG410&lt;&gt;"PASS","BLOCK - GT loss risk","Commercially protected")))</x:f>
        <x:v>Needs supplier cost</x:v>
      </x:c>
      <x:c r="AI410" t="str">
        <x:v>2026-09-10 Active Sports trade capture</x:v>
      </x:c>
      <x:c r="AJ410" t="str">
        <x:v>Management-only economics. Stripe stress test uses 1.5% + £0.20 standard UK online-card fee; pallet/mix-and-match pricing ignored.</x:v>
      </x:c>
    </x:row>
    <x:row r="411">
      <x:c r="A411" t="str">
        <x:v>Active Sports Nutrition</x:v>
      </x:c>
      <x:c r="B411" t="str">
        <x:v>Beast Pharm</x:v>
      </x:c>
      <x:c r="C411" t="str">
        <x:v>BEAST Biltong</x:v>
      </x:c>
      <x:c r="D411" t="str">
        <x:v>Drinks and Bars</x:v>
      </x:c>
      <x:c r="E411" t="str">
        <x:v>Bars and Snacks</x:v>
      </x:c>
      <x:c r="F411" t="str">
        <x:v>Air-dried 100% British &amp; Irish beef biltong.</x:v>
      </x:c>
      <x:c r="G411" t="str">
        <x:v>1 x 40g bag</x:v>
      </x:c>
      <x:c r="H411" t="str">
        <x:v>Peri Peri</x:v>
      </x:c>
      <x:c r="I411" t="str"/>
      <x:c r="J411" t="str">
        <x:v>Unit</x:v>
      </x:c>
      <x:c r="K411" t="str">
        <x:v>In stock</x:v>
      </x:c>
      <x:c r="L411" t="str">
        <x:v>2026-09-08</x:v>
      </x:c>
      <x:c r="M411" t="str"/>
      <x:c r="N411" t="str"/>
      <x:c r="O411" t="str">
        <x:v>https://www.activesportstrade.co.uk/beast-pharm-trade</x:v>
      </x:c>
      <x:c r="P411" t="str"/>
      <x:c r="Q411" t="str"/>
      <x:c r="R411" t="str"/>
      <x:c r="S411" t="str">
        <x:v>Pending genuine supplier/brand image</x:v>
      </x:c>
      <x:c r="T411" s="54"/>
      <x:c r="U411" s="47" t="n">
        <x:v>0.2</x:v>
      </x:c>
      <x:c r="V411" s="54" t="str">
        <x:f>IF(ISNUMBER(T411),T411*(1+U411),"")</x:f>
      </x:c>
      <x:c r="W411" s="47" t="n">
        <x:v>0.3</x:v>
      </x:c>
      <x:c r="X411" s="54" t="str">
        <x:f>IF(ISNUMBER(V411),V411/(1-W411),"")</x:f>
      </x:c>
      <x:c r="Y411" s="55" t="str">
        <x:f>IF(ISNUMBER(X411),ROUNDUP(X411,0),"")</x:f>
      </x:c>
      <x:c r="Z411" t="str">
        <x:f>IF(ISNUMBER(T411),"Cost captured","Awaiting trade cost")</x:f>
        <x:v>Awaiting trade cost</x:v>
      </x:c>
      <x:c r="AB411" s="36" t="str">
        <x:f>IF(ISNUMBER(Y411),ROUND(Y411*0.9,2),"")</x:f>
      </x:c>
      <x:c r="AC411" s="36" t="str">
        <x:f>IF(ISNUMBER(AB411),ROUND(AB411-(AB411*0.015+0.2)-V411,2),"")</x:f>
      </x:c>
      <x:c r="AD411" s="36" t="str">
        <x:f>IF(ISNUMBER(Y411),ROUND(Y411*0.8,2),"")</x:f>
      </x:c>
      <x:c r="AE411" s="36" t="str">
        <x:f>IF(ISNUMBER(AD411),ROUND(AD411*0.015+0.2,2),"")</x:f>
      </x:c>
      <x:c r="AF411" s="36" t="str">
        <x:f>IF(ISNUMBER(AD411),ROUND(AD411-AE411-V411,2),"")</x:f>
      </x:c>
      <x:c r="AG411" t="str">
        <x:f>IF(NOT(ISNUMBER(T411)),"PENDING",IF(AF411&gt;0,"PASS","FAIL"))</x:f>
        <x:v>PENDING</x:v>
      </x:c>
      <x:c r="AH411" t="str">
        <x:f>IF(NOT(ISNUMBER(T411)),"Needs supplier cost",IF(K411&lt;&gt;"In stock","Supplier unavailable",IF(AG411&lt;&gt;"PASS","BLOCK - GT loss risk","Commercially protected")))</x:f>
        <x:v>Needs supplier cost</x:v>
      </x:c>
      <x:c r="AI411" t="str">
        <x:v>2026-09-10 Active Sports trade capture</x:v>
      </x:c>
      <x:c r="AJ411" t="str">
        <x:v>Management-only economics. Stripe stress test uses 1.5% + £0.20 standard UK online-card fee; pallet/mix-and-match pricing ignored.</x:v>
      </x:c>
    </x:row>
    <x:row r="412">
      <x:c r="A412" t="str">
        <x:v>Active Sports Nutrition</x:v>
      </x:c>
      <x:c r="B412" t="str">
        <x:v>Beast Pharm</x:v>
      </x:c>
      <x:c r="C412" t="str">
        <x:v>BEAST Biltong</x:v>
      </x:c>
      <x:c r="D412" t="str">
        <x:v>Drinks and Bars</x:v>
      </x:c>
      <x:c r="E412" t="str">
        <x:v>Bars and Snacks</x:v>
      </x:c>
      <x:c r="F412" t="str">
        <x:v>Air-dried 100% British &amp; Irish beef biltong.</x:v>
      </x:c>
      <x:c r="G412" t="str">
        <x:v>1 x 40g bag</x:v>
      </x:c>
      <x:c r="H412" t="str">
        <x:v>Smoky BBQ</x:v>
      </x:c>
      <x:c r="I412" t="str"/>
      <x:c r="J412" t="str">
        <x:v>Unit</x:v>
      </x:c>
      <x:c r="K412" t="str">
        <x:v>In stock</x:v>
      </x:c>
      <x:c r="L412" t="str">
        <x:v>2026-09-08</x:v>
      </x:c>
      <x:c r="M412" t="str"/>
      <x:c r="N412" t="str"/>
      <x:c r="O412" t="str">
        <x:v>https://www.activesportstrade.co.uk/beast-pharm-trade</x:v>
      </x:c>
      <x:c r="P412" t="str"/>
      <x:c r="Q412" t="str"/>
      <x:c r="R412" t="str"/>
      <x:c r="S412" t="str">
        <x:v>Pending genuine supplier/brand image</x:v>
      </x:c>
      <x:c r="T412" s="54"/>
      <x:c r="U412" s="47" t="n">
        <x:v>0.2</x:v>
      </x:c>
      <x:c r="V412" s="54" t="str">
        <x:f>IF(ISNUMBER(T412),T412*(1+U412),"")</x:f>
      </x:c>
      <x:c r="W412" s="47" t="n">
        <x:v>0.3</x:v>
      </x:c>
      <x:c r="X412" s="54" t="str">
        <x:f>IF(ISNUMBER(V412),V412/(1-W412),"")</x:f>
      </x:c>
      <x:c r="Y412" s="55" t="str">
        <x:f>IF(ISNUMBER(X412),ROUNDUP(X412,0),"")</x:f>
      </x:c>
      <x:c r="Z412" t="str">
        <x:f>IF(ISNUMBER(T412),"Cost captured","Awaiting trade cost")</x:f>
        <x:v>Awaiting trade cost</x:v>
      </x:c>
      <x:c r="AB412" s="36" t="str">
        <x:f>IF(ISNUMBER(Y412),ROUND(Y412*0.9,2),"")</x:f>
      </x:c>
      <x:c r="AC412" s="36" t="str">
        <x:f>IF(ISNUMBER(AB412),ROUND(AB412-(AB412*0.015+0.2)-V412,2),"")</x:f>
      </x:c>
      <x:c r="AD412" s="36" t="str">
        <x:f>IF(ISNUMBER(Y412),ROUND(Y412*0.8,2),"")</x:f>
      </x:c>
      <x:c r="AE412" s="36" t="str">
        <x:f>IF(ISNUMBER(AD412),ROUND(AD412*0.015+0.2,2),"")</x:f>
      </x:c>
      <x:c r="AF412" s="36" t="str">
        <x:f>IF(ISNUMBER(AD412),ROUND(AD412-AE412-V412,2),"")</x:f>
      </x:c>
      <x:c r="AG412" t="str">
        <x:f>IF(NOT(ISNUMBER(T412)),"PENDING",IF(AF412&gt;0,"PASS","FAIL"))</x:f>
        <x:v>PENDING</x:v>
      </x:c>
      <x:c r="AH412" t="str">
        <x:f>IF(NOT(ISNUMBER(T412)),"Needs supplier cost",IF(K412&lt;&gt;"In stock","Supplier unavailable",IF(AG412&lt;&gt;"PASS","BLOCK - GT loss risk","Commercially protected")))</x:f>
        <x:v>Needs supplier cost</x:v>
      </x:c>
      <x:c r="AI412" t="str">
        <x:v>2026-09-10 Active Sports trade capture</x:v>
      </x:c>
      <x:c r="AJ412" t="str">
        <x:v>Management-only economics. Stripe stress test uses 1.5% + £0.20 standard UK online-card fee; pallet/mix-and-match pricing ignored.</x:v>
      </x:c>
    </x:row>
    <x:row r="413">
      <x:c r="A413" t="str">
        <x:v>Active Sports Nutrition</x:v>
      </x:c>
      <x:c r="B413" t="str">
        <x:v>Beast Pharm</x:v>
      </x:c>
      <x:c r="C413" t="str">
        <x:v>Big D Daily Saturation Formula</x:v>
      </x:c>
      <x:c r="D413" t="str">
        <x:v>Supplements</x:v>
      </x:c>
      <x:c r="E413" t="str">
        <x:v>All In Ones</x:v>
      </x:c>
      <x:c r="F413" t="str">
        <x:v>Daily performance-support formula.</x:v>
      </x:c>
      <x:c r="G413" t="str">
        <x:v>30 servings</x:v>
      </x:c>
      <x:c r="H413" t="str">
        <x:v>Cranberry</x:v>
      </x:c>
      <x:c r="I413" t="str"/>
      <x:c r="J413" t="str">
        <x:v>Unit</x:v>
      </x:c>
      <x:c r="K413" t="str">
        <x:v>In stock</x:v>
      </x:c>
      <x:c r="L413" t="str">
        <x:v>2026-09-08</x:v>
      </x:c>
      <x:c r="M413" t="str"/>
      <x:c r="N413" t="str"/>
      <x:c r="O413" t="str">
        <x:v>https://www.activesportstrade.co.uk/beast-pharm-trade</x:v>
      </x:c>
      <x:c r="P413" t="str"/>
      <x:c r="Q413" t="str"/>
      <x:c r="R413" t="str"/>
      <x:c r="S413" t="str">
        <x:v>Pending genuine supplier/brand image</x:v>
      </x:c>
      <x:c r="T413" s="54"/>
      <x:c r="U413" s="47" t="n">
        <x:v>0.2</x:v>
      </x:c>
      <x:c r="V413" s="54" t="str">
        <x:f>IF(ISNUMBER(T413),T413*(1+U413),"")</x:f>
      </x:c>
      <x:c r="W413" s="47" t="n">
        <x:v>0.3</x:v>
      </x:c>
      <x:c r="X413" s="54" t="str">
        <x:f>IF(ISNUMBER(V413),V413/(1-W413),"")</x:f>
      </x:c>
      <x:c r="Y413" s="55" t="str">
        <x:f>IF(ISNUMBER(X413),ROUNDUP(X413,0),"")</x:f>
      </x:c>
      <x:c r="Z413" t="str">
        <x:f>IF(ISNUMBER(T413),"Cost captured","Awaiting trade cost")</x:f>
        <x:v>Awaiting trade cost</x:v>
      </x:c>
      <x:c r="AB413" s="36" t="str">
        <x:f>IF(ISNUMBER(Y413),ROUND(Y413*0.9,2),"")</x:f>
      </x:c>
      <x:c r="AC413" s="36" t="str">
        <x:f>IF(ISNUMBER(AB413),ROUND(AB413-(AB413*0.015+0.2)-V413,2),"")</x:f>
      </x:c>
      <x:c r="AD413" s="36" t="str">
        <x:f>IF(ISNUMBER(Y413),ROUND(Y413*0.8,2),"")</x:f>
      </x:c>
      <x:c r="AE413" s="36" t="str">
        <x:f>IF(ISNUMBER(AD413),ROUND(AD413*0.015+0.2,2),"")</x:f>
      </x:c>
      <x:c r="AF413" s="36" t="str">
        <x:f>IF(ISNUMBER(AD413),ROUND(AD413-AE413-V413,2),"")</x:f>
      </x:c>
      <x:c r="AG413" t="str">
        <x:f>IF(NOT(ISNUMBER(T413)),"PENDING",IF(AF413&gt;0,"PASS","FAIL"))</x:f>
        <x:v>PENDING</x:v>
      </x:c>
      <x:c r="AH413" t="str">
        <x:f>IF(NOT(ISNUMBER(T413)),"Needs supplier cost",IF(K413&lt;&gt;"In stock","Supplier unavailable",IF(AG413&lt;&gt;"PASS","BLOCK - GT loss risk","Commercially protected")))</x:f>
        <x:v>Needs supplier cost</x:v>
      </x:c>
      <x:c r="AI413" t="str">
        <x:v>2026-09-10 Active Sports trade capture</x:v>
      </x:c>
      <x:c r="AJ413" t="str">
        <x:v>Management-only economics. Stripe stress test uses 1.5% + £0.20 standard UK online-card fee; pallet/mix-and-match pricing ignored.</x:v>
      </x:c>
    </x:row>
    <x:row r="414">
      <x:c r="A414" t="str">
        <x:v>Active Sports Nutrition</x:v>
      </x:c>
      <x:c r="B414" t="str">
        <x:v>Beast Pharm</x:v>
      </x:c>
      <x:c r="C414" t="str">
        <x:v>Big D Daily Saturation Formula</x:v>
      </x:c>
      <x:c r="D414" t="str">
        <x:v>Supplements</x:v>
      </x:c>
      <x:c r="E414" t="str">
        <x:v>All In Ones</x:v>
      </x:c>
      <x:c r="F414" t="str">
        <x:v>Daily performance-support formula.</x:v>
      </x:c>
      <x:c r="G414" t="str">
        <x:v>30 servings</x:v>
      </x:c>
      <x:c r="H414" t="str">
        <x:v>Lemon Sherbet</x:v>
      </x:c>
      <x:c r="I414" t="str"/>
      <x:c r="J414" t="str">
        <x:v>Unit</x:v>
      </x:c>
      <x:c r="K414" t="str">
        <x:v>In stock</x:v>
      </x:c>
      <x:c r="L414" t="str">
        <x:v>2026-09-08</x:v>
      </x:c>
      <x:c r="M414" t="str"/>
      <x:c r="N414" t="str"/>
      <x:c r="O414" t="str">
        <x:v>https://www.activesportstrade.co.uk/beast-pharm-trade</x:v>
      </x:c>
      <x:c r="P414" t="str"/>
      <x:c r="Q414" t="str"/>
      <x:c r="R414" t="str"/>
      <x:c r="S414" t="str">
        <x:v>Pending genuine supplier/brand image</x:v>
      </x:c>
      <x:c r="T414" s="54"/>
      <x:c r="U414" s="47" t="n">
        <x:v>0.2</x:v>
      </x:c>
      <x:c r="V414" s="54" t="str">
        <x:f>IF(ISNUMBER(T414),T414*(1+U414),"")</x:f>
      </x:c>
      <x:c r="W414" s="47" t="n">
        <x:v>0.3</x:v>
      </x:c>
      <x:c r="X414" s="54" t="str">
        <x:f>IF(ISNUMBER(V414),V414/(1-W414),"")</x:f>
      </x:c>
      <x:c r="Y414" s="55" t="str">
        <x:f>IF(ISNUMBER(X414),ROUNDUP(X414,0),"")</x:f>
      </x:c>
      <x:c r="Z414" t="str">
        <x:f>IF(ISNUMBER(T414),"Cost captured","Awaiting trade cost")</x:f>
        <x:v>Awaiting trade cost</x:v>
      </x:c>
      <x:c r="AB414" s="36" t="str">
        <x:f>IF(ISNUMBER(Y414),ROUND(Y414*0.9,2),"")</x:f>
      </x:c>
      <x:c r="AC414" s="36" t="str">
        <x:f>IF(ISNUMBER(AB414),ROUND(AB414-(AB414*0.015+0.2)-V414,2),"")</x:f>
      </x:c>
      <x:c r="AD414" s="36" t="str">
        <x:f>IF(ISNUMBER(Y414),ROUND(Y414*0.8,2),"")</x:f>
      </x:c>
      <x:c r="AE414" s="36" t="str">
        <x:f>IF(ISNUMBER(AD414),ROUND(AD414*0.015+0.2,2),"")</x:f>
      </x:c>
      <x:c r="AF414" s="36" t="str">
        <x:f>IF(ISNUMBER(AD414),ROUND(AD414-AE414-V414,2),"")</x:f>
      </x:c>
      <x:c r="AG414" t="str">
        <x:f>IF(NOT(ISNUMBER(T414)),"PENDING",IF(AF414&gt;0,"PASS","FAIL"))</x:f>
        <x:v>PENDING</x:v>
      </x:c>
      <x:c r="AH414" t="str">
        <x:f>IF(NOT(ISNUMBER(T414)),"Needs supplier cost",IF(K414&lt;&gt;"In stock","Supplier unavailable",IF(AG414&lt;&gt;"PASS","BLOCK - GT loss risk","Commercially protected")))</x:f>
        <x:v>Needs supplier cost</x:v>
      </x:c>
      <x:c r="AI414" t="str">
        <x:v>2026-09-10 Active Sports trade capture</x:v>
      </x:c>
      <x:c r="AJ414" t="str">
        <x:v>Management-only economics. Stripe stress test uses 1.5% + £0.20 standard UK online-card fee; pallet/mix-and-match pricing ignored.</x:v>
      </x:c>
    </x:row>
    <x:row r="415">
      <x:c r="A415" t="str">
        <x:v>Active Sports Nutrition</x:v>
      </x:c>
      <x:c r="B415" t="str">
        <x:v>Beast Pharm</x:v>
      </x:c>
      <x:c r="C415" t="str">
        <x:v>Big Joint</x:v>
      </x:c>
      <x:c r="D415" t="str">
        <x:v>Supplements</x:v>
      </x:c>
      <x:c r="E415" t="str">
        <x:v>Joint Repair</x:v>
      </x:c>
      <x:c r="F415" t="str">
        <x:v>Joint-support capsule formula.</x:v>
      </x:c>
      <x:c r="G415" t="str">
        <x:v>120 caps</x:v>
      </x:c>
      <x:c r="H415" t="str">
        <x:v>Default</x:v>
      </x:c>
      <x:c r="I415" t="str"/>
      <x:c r="J415" t="str">
        <x:v>Unit</x:v>
      </x:c>
      <x:c r="K415" t="str">
        <x:v>In stock</x:v>
      </x:c>
      <x:c r="L415" t="str">
        <x:v>2026-09-08</x:v>
      </x:c>
      <x:c r="M415" t="str"/>
      <x:c r="N415" t="str"/>
      <x:c r="O415" t="str">
        <x:v>https://www.activesportstrade.co.uk/beast-pharm-trade</x:v>
      </x:c>
      <x:c r="P415" t="str"/>
      <x:c r="Q415" t="str"/>
      <x:c r="R415" t="str"/>
      <x:c r="S415" t="str">
        <x:v>Pending genuine supplier/brand image</x:v>
      </x:c>
      <x:c r="T415" s="54"/>
      <x:c r="U415" s="47" t="n">
        <x:v>0.2</x:v>
      </x:c>
      <x:c r="V415" s="54" t="str">
        <x:f>IF(ISNUMBER(T415),T415*(1+U415),"")</x:f>
      </x:c>
      <x:c r="W415" s="47" t="n">
        <x:v>0.3</x:v>
      </x:c>
      <x:c r="X415" s="54" t="str">
        <x:f>IF(ISNUMBER(V415),V415/(1-W415),"")</x:f>
      </x:c>
      <x:c r="Y415" s="55" t="str">
        <x:f>IF(ISNUMBER(X415),ROUNDUP(X415,0),"")</x:f>
      </x:c>
      <x:c r="Z415" t="str">
        <x:f>IF(ISNUMBER(T415),"Cost captured","Awaiting trade cost")</x:f>
        <x:v>Awaiting trade cost</x:v>
      </x:c>
      <x:c r="AB415" s="36" t="str">
        <x:f>IF(ISNUMBER(Y415),ROUND(Y415*0.9,2),"")</x:f>
      </x:c>
      <x:c r="AC415" s="36" t="str">
        <x:f>IF(ISNUMBER(AB415),ROUND(AB415-(AB415*0.015+0.2)-V415,2),"")</x:f>
      </x:c>
      <x:c r="AD415" s="36" t="str">
        <x:f>IF(ISNUMBER(Y415),ROUND(Y415*0.8,2),"")</x:f>
      </x:c>
      <x:c r="AE415" s="36" t="str">
        <x:f>IF(ISNUMBER(AD415),ROUND(AD415*0.015+0.2,2),"")</x:f>
      </x:c>
      <x:c r="AF415" s="36" t="str">
        <x:f>IF(ISNUMBER(AD415),ROUND(AD415-AE415-V415,2),"")</x:f>
      </x:c>
      <x:c r="AG415" t="str">
        <x:f>IF(NOT(ISNUMBER(T415)),"PENDING",IF(AF415&gt;0,"PASS","FAIL"))</x:f>
        <x:v>PENDING</x:v>
      </x:c>
      <x:c r="AH415" t="str">
        <x:f>IF(NOT(ISNUMBER(T415)),"Needs supplier cost",IF(K415&lt;&gt;"In stock","Supplier unavailable",IF(AG415&lt;&gt;"PASS","BLOCK - GT loss risk","Commercially protected")))</x:f>
        <x:v>Needs supplier cost</x:v>
      </x:c>
      <x:c r="AI415" t="str">
        <x:v>2026-09-10 Active Sports trade capture</x:v>
      </x:c>
      <x:c r="AJ415" t="str">
        <x:v>Management-only economics. Stripe stress test uses 1.5% + £0.20 standard UK online-card fee; pallet/mix-and-match pricing ignored.</x:v>
      </x:c>
    </x:row>
    <x:row r="416">
      <x:c r="A416" t="str">
        <x:v>Active Sports Nutrition</x:v>
      </x:c>
      <x:c r="B416" t="str">
        <x:v>Beast Pharm</x:v>
      </x:c>
      <x:c r="C416" t="str">
        <x:v>Big Love</x:v>
      </x:c>
      <x:c r="D416" t="str">
        <x:v>Supplements</x:v>
      </x:c>
      <x:c r="E416" t="str">
        <x:v>Health Foods</x:v>
      </x:c>
      <x:c r="F416" t="str">
        <x:v>Libido-support formula.</x:v>
      </x:c>
      <x:c r="G416" t="str">
        <x:v>120 caps</x:v>
      </x:c>
      <x:c r="H416" t="str">
        <x:v>Clear</x:v>
      </x:c>
      <x:c r="I416" t="str"/>
      <x:c r="J416" t="str">
        <x:v>Unit</x:v>
      </x:c>
      <x:c r="K416" t="str">
        <x:v>In stock</x:v>
      </x:c>
      <x:c r="L416" t="str">
        <x:v>2026-09-08</x:v>
      </x:c>
      <x:c r="M416" t="str"/>
      <x:c r="N416" t="str"/>
      <x:c r="O416" t="str">
        <x:v>https://www.activesportstrade.co.uk/beast-pharm-trade</x:v>
      </x:c>
      <x:c r="P416" t="str">
        <x:v>SOURCE ANOMALY: supplier page exposes Clear/Smoke options on capsule product; requires manual supplier verification before import.</x:v>
      </x:c>
      <x:c r="Q416" t="str"/>
      <x:c r="R416" t="str"/>
      <x:c r="S416" t="str">
        <x:v>Pending genuine supplier/brand image</x:v>
      </x:c>
      <x:c r="T416" s="54"/>
      <x:c r="U416" s="47" t="n">
        <x:v>0.2</x:v>
      </x:c>
      <x:c r="V416" s="54" t="str">
        <x:f>IF(ISNUMBER(T416),T416*(1+U416),"")</x:f>
      </x:c>
      <x:c r="W416" s="47" t="n">
        <x:v>0.3</x:v>
      </x:c>
      <x:c r="X416" s="54" t="str">
        <x:f>IF(ISNUMBER(V416),V416/(1-W416),"")</x:f>
      </x:c>
      <x:c r="Y416" s="55" t="str">
        <x:f>IF(ISNUMBER(X416),ROUNDUP(X416,0),"")</x:f>
      </x:c>
      <x:c r="Z416" t="str">
        <x:f>IF(ISNUMBER(T416),"Cost captured","Awaiting trade cost")</x:f>
        <x:v>Awaiting trade cost</x:v>
      </x:c>
      <x:c r="AB416" s="36" t="str">
        <x:f>IF(ISNUMBER(Y416),ROUND(Y416*0.9,2),"")</x:f>
      </x:c>
      <x:c r="AC416" s="36" t="str">
        <x:f>IF(ISNUMBER(AB416),ROUND(AB416-(AB416*0.015+0.2)-V416,2),"")</x:f>
      </x:c>
      <x:c r="AD416" s="36" t="str">
        <x:f>IF(ISNUMBER(Y416),ROUND(Y416*0.8,2),"")</x:f>
      </x:c>
      <x:c r="AE416" s="36" t="str">
        <x:f>IF(ISNUMBER(AD416),ROUND(AD416*0.015+0.2,2),"")</x:f>
      </x:c>
      <x:c r="AF416" s="36" t="str">
        <x:f>IF(ISNUMBER(AD416),ROUND(AD416-AE416-V416,2),"")</x:f>
      </x:c>
      <x:c r="AG416" t="str">
        <x:f>IF(NOT(ISNUMBER(T416)),"PENDING",IF(AF416&gt;0,"PASS","FAIL"))</x:f>
        <x:v>PENDING</x:v>
      </x:c>
      <x:c r="AH416" t="str">
        <x:f>IF(NOT(ISNUMBER(T416)),"Needs supplier cost",IF(K416&lt;&gt;"In stock","Supplier unavailable",IF(AG416&lt;&gt;"PASS","BLOCK - GT loss risk","Commercially protected")))</x:f>
        <x:v>Needs supplier cost</x:v>
      </x:c>
      <x:c r="AI416" t="str">
        <x:v>2026-09-10 Active Sports trade capture</x:v>
      </x:c>
      <x:c r="AJ416" t="str">
        <x:v>Management-only economics. Stripe stress test uses 1.5% + £0.20 standard UK online-card fee; pallet/mix-and-match pricing ignored.</x:v>
      </x:c>
    </x:row>
    <x:row r="417">
      <x:c r="A417" t="str">
        <x:v>Active Sports Nutrition</x:v>
      </x:c>
      <x:c r="B417" t="str">
        <x:v>Beast Pharm</x:v>
      </x:c>
      <x:c r="C417" t="str">
        <x:v>Big Love</x:v>
      </x:c>
      <x:c r="D417" t="str">
        <x:v>Supplements</x:v>
      </x:c>
      <x:c r="E417" t="str">
        <x:v>Health Foods</x:v>
      </x:c>
      <x:c r="F417" t="str">
        <x:v>Libido-support formula.</x:v>
      </x:c>
      <x:c r="G417" t="str">
        <x:v>120 caps</x:v>
      </x:c>
      <x:c r="H417" t="str">
        <x:v>Smoke</x:v>
      </x:c>
      <x:c r="I417" t="str"/>
      <x:c r="J417" t="str">
        <x:v>Unit</x:v>
      </x:c>
      <x:c r="K417" t="str">
        <x:v>In stock</x:v>
      </x:c>
      <x:c r="L417" t="str">
        <x:v>2026-09-08</x:v>
      </x:c>
      <x:c r="M417" t="str"/>
      <x:c r="N417" t="str"/>
      <x:c r="O417" t="str">
        <x:v>https://www.activesportstrade.co.uk/beast-pharm-trade</x:v>
      </x:c>
      <x:c r="P417" t="str">
        <x:v>SOURCE ANOMALY: supplier page exposes Clear/Smoke options on capsule product; requires manual supplier verification before import.</x:v>
      </x:c>
      <x:c r="Q417" t="str"/>
      <x:c r="R417" t="str"/>
      <x:c r="S417" t="str">
        <x:v>Pending genuine supplier/brand image</x:v>
      </x:c>
      <x:c r="T417" s="54"/>
      <x:c r="U417" s="47" t="n">
        <x:v>0.2</x:v>
      </x:c>
      <x:c r="V417" s="54" t="str">
        <x:f>IF(ISNUMBER(T417),T417*(1+U417),"")</x:f>
      </x:c>
      <x:c r="W417" s="47" t="n">
        <x:v>0.3</x:v>
      </x:c>
      <x:c r="X417" s="54" t="str">
        <x:f>IF(ISNUMBER(V417),V417/(1-W417),"")</x:f>
      </x:c>
      <x:c r="Y417" s="55" t="str">
        <x:f>IF(ISNUMBER(X417),ROUNDUP(X417,0),"")</x:f>
      </x:c>
      <x:c r="Z417" t="str">
        <x:f>IF(ISNUMBER(T417),"Cost captured","Awaiting trade cost")</x:f>
        <x:v>Awaiting trade cost</x:v>
      </x:c>
      <x:c r="AB417" s="36" t="str">
        <x:f>IF(ISNUMBER(Y417),ROUND(Y417*0.9,2),"")</x:f>
      </x:c>
      <x:c r="AC417" s="36" t="str">
        <x:f>IF(ISNUMBER(AB417),ROUND(AB417-(AB417*0.015+0.2)-V417,2),"")</x:f>
      </x:c>
      <x:c r="AD417" s="36" t="str">
        <x:f>IF(ISNUMBER(Y417),ROUND(Y417*0.8,2),"")</x:f>
      </x:c>
      <x:c r="AE417" s="36" t="str">
        <x:f>IF(ISNUMBER(AD417),ROUND(AD417*0.015+0.2,2),"")</x:f>
      </x:c>
      <x:c r="AF417" s="36" t="str">
        <x:f>IF(ISNUMBER(AD417),ROUND(AD417-AE417-V417,2),"")</x:f>
      </x:c>
      <x:c r="AG417" t="str">
        <x:f>IF(NOT(ISNUMBER(T417)),"PENDING",IF(AF417&gt;0,"PASS","FAIL"))</x:f>
        <x:v>PENDING</x:v>
      </x:c>
      <x:c r="AH417" t="str">
        <x:f>IF(NOT(ISNUMBER(T417)),"Needs supplier cost",IF(K417&lt;&gt;"In stock","Supplier unavailable",IF(AG417&lt;&gt;"PASS","BLOCK - GT loss risk","Commercially protected")))</x:f>
        <x:v>Needs supplier cost</x:v>
      </x:c>
      <x:c r="AI417" t="str">
        <x:v>2026-09-10 Active Sports trade capture</x:v>
      </x:c>
      <x:c r="AJ417" t="str">
        <x:v>Management-only economics. Stripe stress test uses 1.5% + £0.20 standard UK online-card fee; pallet/mix-and-match pricing ignored.</x:v>
      </x:c>
    </x:row>
    <x:row r="418">
      <x:c r="A418" t="str">
        <x:v>Active Sports Nutrition</x:v>
      </x:c>
      <x:c r="B418" t="str">
        <x:v>Beast Pharm</x:v>
      </x:c>
      <x:c r="C418" t="str">
        <x:v>Hydrator Jug XXL</x:v>
      </x:c>
      <x:c r="D418" t="str">
        <x:v>Accessories</x:v>
      </x:c>
      <x:c r="E418" t="str">
        <x:v>Shakers</x:v>
      </x:c>
      <x:c r="F418" t="str">
        <x:v>Large reusable hydration jug.</x:v>
      </x:c>
      <x:c r="G418" t="str">
        <x:v>2400ml</x:v>
      </x:c>
      <x:c r="H418" t="str">
        <x:v>Clear</x:v>
      </x:c>
      <x:c r="I418" t="str"/>
      <x:c r="J418" t="str">
        <x:v>Unit</x:v>
      </x:c>
      <x:c r="K418" t="str">
        <x:v>In stock</x:v>
      </x:c>
      <x:c r="L418" t="str">
        <x:v>2026-09-08</x:v>
      </x:c>
      <x:c r="M418" t="str"/>
      <x:c r="N418" t="str"/>
      <x:c r="O418" t="str">
        <x:v>https://www.activesportstrade.co.uk/beast-pharm-trade</x:v>
      </x:c>
      <x:c r="P418" t="str"/>
      <x:c r="Q418" t="str"/>
      <x:c r="R418" t="str"/>
      <x:c r="S418" t="str">
        <x:v>Pending genuine supplier/brand image</x:v>
      </x:c>
      <x:c r="T418" s="54"/>
      <x:c r="U418" s="47" t="n">
        <x:v>0.2</x:v>
      </x:c>
      <x:c r="V418" s="54" t="str">
        <x:f>IF(ISNUMBER(T418),T418*(1+U418),"")</x:f>
      </x:c>
      <x:c r="W418" s="47" t="n">
        <x:v>0.3</x:v>
      </x:c>
      <x:c r="X418" s="54" t="str">
        <x:f>IF(ISNUMBER(V418),V418/(1-W418),"")</x:f>
      </x:c>
      <x:c r="Y418" s="55" t="str">
        <x:f>IF(ISNUMBER(X418),ROUNDUP(X418,0),"")</x:f>
      </x:c>
      <x:c r="Z418" t="str">
        <x:f>IF(ISNUMBER(T418),"Cost captured","Awaiting trade cost")</x:f>
        <x:v>Awaiting trade cost</x:v>
      </x:c>
      <x:c r="AB418" s="36" t="str">
        <x:f>IF(ISNUMBER(Y418),ROUND(Y418*0.9,2),"")</x:f>
      </x:c>
      <x:c r="AC418" s="36" t="str">
        <x:f>IF(ISNUMBER(AB418),ROUND(AB418-(AB418*0.015+0.2)-V418,2),"")</x:f>
      </x:c>
      <x:c r="AD418" s="36" t="str">
        <x:f>IF(ISNUMBER(Y418),ROUND(Y418*0.8,2),"")</x:f>
      </x:c>
      <x:c r="AE418" s="36" t="str">
        <x:f>IF(ISNUMBER(AD418),ROUND(AD418*0.015+0.2,2),"")</x:f>
      </x:c>
      <x:c r="AF418" s="36" t="str">
        <x:f>IF(ISNUMBER(AD418),ROUND(AD418-AE418-V418,2),"")</x:f>
      </x:c>
      <x:c r="AG418" t="str">
        <x:f>IF(NOT(ISNUMBER(T418)),"PENDING",IF(AF418&gt;0,"PASS","FAIL"))</x:f>
        <x:v>PENDING</x:v>
      </x:c>
      <x:c r="AH418" t="str">
        <x:f>IF(NOT(ISNUMBER(T418)),"Needs supplier cost",IF(K418&lt;&gt;"In stock","Supplier unavailable",IF(AG418&lt;&gt;"PASS","BLOCK - GT loss risk","Commercially protected")))</x:f>
        <x:v>Needs supplier cost</x:v>
      </x:c>
      <x:c r="AI418" t="str">
        <x:v>2026-09-10 Active Sports trade capture</x:v>
      </x:c>
      <x:c r="AJ418" t="str">
        <x:v>Management-only economics. Stripe stress test uses 1.5% + £0.20 standard UK online-card fee; pallet/mix-and-match pricing ignored.</x:v>
      </x:c>
    </x:row>
    <x:row r="419">
      <x:c r="A419" t="str">
        <x:v>Active Sports Nutrition</x:v>
      </x:c>
      <x:c r="B419" t="str">
        <x:v>Beast Pharm</x:v>
      </x:c>
      <x:c r="C419" t="str">
        <x:v>Hydrator Jug XXL</x:v>
      </x:c>
      <x:c r="D419" t="str">
        <x:v>Accessories</x:v>
      </x:c>
      <x:c r="E419" t="str">
        <x:v>Shakers</x:v>
      </x:c>
      <x:c r="F419" t="str">
        <x:v>Large reusable hydration jug.</x:v>
      </x:c>
      <x:c r="G419" t="str">
        <x:v>2400ml</x:v>
      </x:c>
      <x:c r="H419" t="str">
        <x:v>Smoke</x:v>
      </x:c>
      <x:c r="I419" t="str"/>
      <x:c r="J419" t="str">
        <x:v>Unit</x:v>
      </x:c>
      <x:c r="K419" t="str">
        <x:v>In stock</x:v>
      </x:c>
      <x:c r="L419" t="str">
        <x:v>2026-09-08</x:v>
      </x:c>
      <x:c r="M419" t="str"/>
      <x:c r="N419" t="str"/>
      <x:c r="O419" t="str">
        <x:v>https://www.activesportstrade.co.uk/beast-pharm-trade</x:v>
      </x:c>
      <x:c r="P419" t="str"/>
      <x:c r="Q419" t="str"/>
      <x:c r="R419" t="str"/>
      <x:c r="S419" t="str">
        <x:v>Pending genuine supplier/brand image</x:v>
      </x:c>
      <x:c r="T419" s="54"/>
      <x:c r="U419" s="47" t="n">
        <x:v>0.2</x:v>
      </x:c>
      <x:c r="V419" s="54" t="str">
        <x:f>IF(ISNUMBER(T419),T419*(1+U419),"")</x:f>
      </x:c>
      <x:c r="W419" s="47" t="n">
        <x:v>0.3</x:v>
      </x:c>
      <x:c r="X419" s="54" t="str">
        <x:f>IF(ISNUMBER(V419),V419/(1-W419),"")</x:f>
      </x:c>
      <x:c r="Y419" s="55" t="str">
        <x:f>IF(ISNUMBER(X419),ROUNDUP(X419,0),"")</x:f>
      </x:c>
      <x:c r="Z419" t="str">
        <x:f>IF(ISNUMBER(T419),"Cost captured","Awaiting trade cost")</x:f>
        <x:v>Awaiting trade cost</x:v>
      </x:c>
      <x:c r="AB419" s="36" t="str">
        <x:f>IF(ISNUMBER(Y419),ROUND(Y419*0.9,2),"")</x:f>
      </x:c>
      <x:c r="AC419" s="36" t="str">
        <x:f>IF(ISNUMBER(AB419),ROUND(AB419-(AB419*0.015+0.2)-V419,2),"")</x:f>
      </x:c>
      <x:c r="AD419" s="36" t="str">
        <x:f>IF(ISNUMBER(Y419),ROUND(Y419*0.8,2),"")</x:f>
      </x:c>
      <x:c r="AE419" s="36" t="str">
        <x:f>IF(ISNUMBER(AD419),ROUND(AD419*0.015+0.2,2),"")</x:f>
      </x:c>
      <x:c r="AF419" s="36" t="str">
        <x:f>IF(ISNUMBER(AD419),ROUND(AD419-AE419-V419,2),"")</x:f>
      </x:c>
      <x:c r="AG419" t="str">
        <x:f>IF(NOT(ISNUMBER(T419)),"PENDING",IF(AF419&gt;0,"PASS","FAIL"))</x:f>
        <x:v>PENDING</x:v>
      </x:c>
      <x:c r="AH419" t="str">
        <x:f>IF(NOT(ISNUMBER(T419)),"Needs supplier cost",IF(K419&lt;&gt;"In stock","Supplier unavailable",IF(AG419&lt;&gt;"PASS","BLOCK - GT loss risk","Commercially protected")))</x:f>
        <x:v>Needs supplier cost</x:v>
      </x:c>
      <x:c r="AI419" t="str">
        <x:v>2026-09-10 Active Sports trade capture</x:v>
      </x:c>
      <x:c r="AJ419" t="str">
        <x:v>Management-only economics. Stripe stress test uses 1.5% + £0.20 standard UK online-card fee; pallet/mix-and-match pricing ignored.</x:v>
      </x:c>
    </x:row>
    <x:row r="420">
      <x:c r="A420" t="str">
        <x:v>Active Sports Nutrition</x:v>
      </x:c>
      <x:c r="B420" t="str">
        <x:v>Beast Pharm</x:v>
      </x:c>
      <x:c r="C420" t="str">
        <x:v>Hydro Hydration Formula</x:v>
      </x:c>
      <x:c r="D420" t="str">
        <x:v>Supplements</x:v>
      </x:c>
      <x:c r="E420" t="str">
        <x:v>Hydration</x:v>
      </x:c>
      <x:c r="F420" t="str">
        <x:v>Electrolyte and mineral hydration formula.</x:v>
      </x:c>
      <x:c r="G420" t="str">
        <x:v>60 servings</x:v>
      </x:c>
      <x:c r="H420" t="str">
        <x:v>BeastBerry</x:v>
      </x:c>
      <x:c r="I420" t="str"/>
      <x:c r="J420" t="str">
        <x:v>Unit</x:v>
      </x:c>
      <x:c r="K420" t="str">
        <x:v>In stock</x:v>
      </x:c>
      <x:c r="L420" t="str">
        <x:v>2026-09-08</x:v>
      </x:c>
      <x:c r="M420" t="str"/>
      <x:c r="N420" t="str"/>
      <x:c r="O420" t="str">
        <x:v>https://www.activesportstrade.co.uk/beast-pharm-trade</x:v>
      </x:c>
      <x:c r="P420" t="str"/>
      <x:c r="Q420" t="str"/>
      <x:c r="R420" t="str"/>
      <x:c r="S420" t="str">
        <x:v>Pending genuine supplier/brand image</x:v>
      </x:c>
      <x:c r="T420" s="54"/>
      <x:c r="U420" s="47" t="n">
        <x:v>0.2</x:v>
      </x:c>
      <x:c r="V420" s="54" t="str">
        <x:f>IF(ISNUMBER(T420),T420*(1+U420),"")</x:f>
      </x:c>
      <x:c r="W420" s="47" t="n">
        <x:v>0.3</x:v>
      </x:c>
      <x:c r="X420" s="54" t="str">
        <x:f>IF(ISNUMBER(V420),V420/(1-W420),"")</x:f>
      </x:c>
      <x:c r="Y420" s="55" t="str">
        <x:f>IF(ISNUMBER(X420),ROUNDUP(X420,0),"")</x:f>
      </x:c>
      <x:c r="Z420" t="str">
        <x:f>IF(ISNUMBER(T420),"Cost captured","Awaiting trade cost")</x:f>
        <x:v>Awaiting trade cost</x:v>
      </x:c>
      <x:c r="AB420" s="36" t="str">
        <x:f>IF(ISNUMBER(Y420),ROUND(Y420*0.9,2),"")</x:f>
      </x:c>
      <x:c r="AC420" s="36" t="str">
        <x:f>IF(ISNUMBER(AB420),ROUND(AB420-(AB420*0.015+0.2)-V420,2),"")</x:f>
      </x:c>
      <x:c r="AD420" s="36" t="str">
        <x:f>IF(ISNUMBER(Y420),ROUND(Y420*0.8,2),"")</x:f>
      </x:c>
      <x:c r="AE420" s="36" t="str">
        <x:f>IF(ISNUMBER(AD420),ROUND(AD420*0.015+0.2,2),"")</x:f>
      </x:c>
      <x:c r="AF420" s="36" t="str">
        <x:f>IF(ISNUMBER(AD420),ROUND(AD420-AE420-V420,2),"")</x:f>
      </x:c>
      <x:c r="AG420" t="str">
        <x:f>IF(NOT(ISNUMBER(T420)),"PENDING",IF(AF420&gt;0,"PASS","FAIL"))</x:f>
        <x:v>PENDING</x:v>
      </x:c>
      <x:c r="AH420" t="str">
        <x:f>IF(NOT(ISNUMBER(T420)),"Needs supplier cost",IF(K420&lt;&gt;"In stock","Supplier unavailable",IF(AG420&lt;&gt;"PASS","BLOCK - GT loss risk","Commercially protected")))</x:f>
        <x:v>Needs supplier cost</x:v>
      </x:c>
      <x:c r="AI420" t="str">
        <x:v>2026-09-10 Active Sports trade capture</x:v>
      </x:c>
      <x:c r="AJ420" t="str">
        <x:v>Management-only economics. Stripe stress test uses 1.5% + £0.20 standard UK online-card fee; pallet/mix-and-match pricing ignored.</x:v>
      </x:c>
    </x:row>
    <x:row r="421">
      <x:c r="A421" t="str">
        <x:v>Active Sports Nutrition</x:v>
      </x:c>
      <x:c r="B421" t="str">
        <x:v>Beast Pharm</x:v>
      </x:c>
      <x:c r="C421" t="str">
        <x:v>Hydro Hydration Formula</x:v>
      </x:c>
      <x:c r="D421" t="str">
        <x:v>Supplements</x:v>
      </x:c>
      <x:c r="E421" t="str">
        <x:v>Hydration</x:v>
      </x:c>
      <x:c r="F421" t="str">
        <x:v>Electrolyte and mineral hydration formula.</x:v>
      </x:c>
      <x:c r="G421" t="str">
        <x:v>60 servings</x:v>
      </x:c>
      <x:c r="H421" t="str">
        <x:v>Cranberry</x:v>
      </x:c>
      <x:c r="I421" t="str"/>
      <x:c r="J421" t="str">
        <x:v>Unit</x:v>
      </x:c>
      <x:c r="K421" t="str">
        <x:v>In stock</x:v>
      </x:c>
      <x:c r="L421" t="str">
        <x:v>2026-09-08</x:v>
      </x:c>
      <x:c r="M421" t="str"/>
      <x:c r="N421" t="str"/>
      <x:c r="O421" t="str">
        <x:v>https://www.activesportstrade.co.uk/beast-pharm-trade</x:v>
      </x:c>
      <x:c r="P421" t="str"/>
      <x:c r="Q421" t="str"/>
      <x:c r="R421" t="str"/>
      <x:c r="S421" t="str">
        <x:v>Pending genuine supplier/brand image</x:v>
      </x:c>
      <x:c r="T421" s="54"/>
      <x:c r="U421" s="47" t="n">
        <x:v>0.2</x:v>
      </x:c>
      <x:c r="V421" s="54" t="str">
        <x:f>IF(ISNUMBER(T421),T421*(1+U421),"")</x:f>
      </x:c>
      <x:c r="W421" s="47" t="n">
        <x:v>0.3</x:v>
      </x:c>
      <x:c r="X421" s="54" t="str">
        <x:f>IF(ISNUMBER(V421),V421/(1-W421),"")</x:f>
      </x:c>
      <x:c r="Y421" s="55" t="str">
        <x:f>IF(ISNUMBER(X421),ROUNDUP(X421,0),"")</x:f>
      </x:c>
      <x:c r="Z421" t="str">
        <x:f>IF(ISNUMBER(T421),"Cost captured","Awaiting trade cost")</x:f>
        <x:v>Awaiting trade cost</x:v>
      </x:c>
      <x:c r="AB421" s="36" t="str">
        <x:f>IF(ISNUMBER(Y421),ROUND(Y421*0.9,2),"")</x:f>
      </x:c>
      <x:c r="AC421" s="36" t="str">
        <x:f>IF(ISNUMBER(AB421),ROUND(AB421-(AB421*0.015+0.2)-V421,2),"")</x:f>
      </x:c>
      <x:c r="AD421" s="36" t="str">
        <x:f>IF(ISNUMBER(Y421),ROUND(Y421*0.8,2),"")</x:f>
      </x:c>
      <x:c r="AE421" s="36" t="str">
        <x:f>IF(ISNUMBER(AD421),ROUND(AD421*0.015+0.2,2),"")</x:f>
      </x:c>
      <x:c r="AF421" s="36" t="str">
        <x:f>IF(ISNUMBER(AD421),ROUND(AD421-AE421-V421,2),"")</x:f>
      </x:c>
      <x:c r="AG421" t="str">
        <x:f>IF(NOT(ISNUMBER(T421)),"PENDING",IF(AF421&gt;0,"PASS","FAIL"))</x:f>
        <x:v>PENDING</x:v>
      </x:c>
      <x:c r="AH421" t="str">
        <x:f>IF(NOT(ISNUMBER(T421)),"Needs supplier cost",IF(K421&lt;&gt;"In stock","Supplier unavailable",IF(AG421&lt;&gt;"PASS","BLOCK - GT loss risk","Commercially protected")))</x:f>
        <x:v>Needs supplier cost</x:v>
      </x:c>
      <x:c r="AI421" t="str">
        <x:v>2026-09-10 Active Sports trade capture</x:v>
      </x:c>
      <x:c r="AJ421" t="str">
        <x:v>Management-only economics. Stripe stress test uses 1.5% + £0.20 standard UK online-card fee; pallet/mix-and-match pricing ignored.</x:v>
      </x:c>
    </x:row>
    <x:row r="422">
      <x:c r="A422" t="str">
        <x:v>Active Sports Nutrition</x:v>
      </x:c>
      <x:c r="B422" t="str">
        <x:v>Beast Pharm</x:v>
      </x:c>
      <x:c r="C422" t="str">
        <x:v>Hydro Hydration Formula</x:v>
      </x:c>
      <x:c r="D422" t="str">
        <x:v>Supplements</x:v>
      </x:c>
      <x:c r="E422" t="str">
        <x:v>Hydration</x:v>
      </x:c>
      <x:c r="F422" t="str">
        <x:v>Electrolyte and mineral hydration formula.</x:v>
      </x:c>
      <x:c r="G422" t="str">
        <x:v>60 servings</x:v>
      </x:c>
      <x:c r="H422" t="str">
        <x:v>Lemon Sherbet</x:v>
      </x:c>
      <x:c r="I422" t="str"/>
      <x:c r="J422" t="str">
        <x:v>Unit</x:v>
      </x:c>
      <x:c r="K422" t="str">
        <x:v>In stock</x:v>
      </x:c>
      <x:c r="L422" t="str">
        <x:v>2026-09-08</x:v>
      </x:c>
      <x:c r="M422" t="str"/>
      <x:c r="N422" t="str"/>
      <x:c r="O422" t="str">
        <x:v>https://www.activesportstrade.co.uk/beast-pharm-trade</x:v>
      </x:c>
      <x:c r="P422" t="str"/>
      <x:c r="Q422" t="str"/>
      <x:c r="R422" t="str"/>
      <x:c r="S422" t="str">
        <x:v>Pending genuine supplier/brand image</x:v>
      </x:c>
      <x:c r="T422" s="54"/>
      <x:c r="U422" s="47" t="n">
        <x:v>0.2</x:v>
      </x:c>
      <x:c r="V422" s="54" t="str">
        <x:f>IF(ISNUMBER(T422),T422*(1+U422),"")</x:f>
      </x:c>
      <x:c r="W422" s="47" t="n">
        <x:v>0.3</x:v>
      </x:c>
      <x:c r="X422" s="54" t="str">
        <x:f>IF(ISNUMBER(V422),V422/(1-W422),"")</x:f>
      </x:c>
      <x:c r="Y422" s="55" t="str">
        <x:f>IF(ISNUMBER(X422),ROUNDUP(X422,0),"")</x:f>
      </x:c>
      <x:c r="Z422" t="str">
        <x:f>IF(ISNUMBER(T422),"Cost captured","Awaiting trade cost")</x:f>
        <x:v>Awaiting trade cost</x:v>
      </x:c>
      <x:c r="AB422" s="36" t="str">
        <x:f>IF(ISNUMBER(Y422),ROUND(Y422*0.9,2),"")</x:f>
      </x:c>
      <x:c r="AC422" s="36" t="str">
        <x:f>IF(ISNUMBER(AB422),ROUND(AB422-(AB422*0.015+0.2)-V422,2),"")</x:f>
      </x:c>
      <x:c r="AD422" s="36" t="str">
        <x:f>IF(ISNUMBER(Y422),ROUND(Y422*0.8,2),"")</x:f>
      </x:c>
      <x:c r="AE422" s="36" t="str">
        <x:f>IF(ISNUMBER(AD422),ROUND(AD422*0.015+0.2,2),"")</x:f>
      </x:c>
      <x:c r="AF422" s="36" t="str">
        <x:f>IF(ISNUMBER(AD422),ROUND(AD422-AE422-V422,2),"")</x:f>
      </x:c>
      <x:c r="AG422" t="str">
        <x:f>IF(NOT(ISNUMBER(T422)),"PENDING",IF(AF422&gt;0,"PASS","FAIL"))</x:f>
        <x:v>PENDING</x:v>
      </x:c>
      <x:c r="AH422" t="str">
        <x:f>IF(NOT(ISNUMBER(T422)),"Needs supplier cost",IF(K422&lt;&gt;"In stock","Supplier unavailable",IF(AG422&lt;&gt;"PASS","BLOCK - GT loss risk","Commercially protected")))</x:f>
        <x:v>Needs supplier cost</x:v>
      </x:c>
      <x:c r="AI422" t="str">
        <x:v>2026-09-10 Active Sports trade capture</x:v>
      </x:c>
      <x:c r="AJ422" t="str">
        <x:v>Management-only economics. Stripe stress test uses 1.5% + £0.20 standard UK online-card fee; pallet/mix-and-match pricing ignored.</x:v>
      </x:c>
    </x:row>
    <x:row r="423">
      <x:c r="A423" t="str">
        <x:v>Active Sports Nutrition</x:v>
      </x:c>
      <x:c r="B423" t="str">
        <x:v>Beast Pharm</x:v>
      </x:c>
      <x:c r="C423" t="str">
        <x:v>Hydro Hydration Formula</x:v>
      </x:c>
      <x:c r="D423" t="str">
        <x:v>Supplements</x:v>
      </x:c>
      <x:c r="E423" t="str">
        <x:v>Hydration</x:v>
      </x:c>
      <x:c r="F423" t="str">
        <x:v>Electrolyte and mineral hydration formula.</x:v>
      </x:c>
      <x:c r="G423" t="str">
        <x:v>60 servings</x:v>
      </x:c>
      <x:c r="H423" t="str">
        <x:v>Sour Cherry</x:v>
      </x:c>
      <x:c r="I423" t="str"/>
      <x:c r="J423" t="str">
        <x:v>Unit</x:v>
      </x:c>
      <x:c r="K423" t="str">
        <x:v>In stock</x:v>
      </x:c>
      <x:c r="L423" t="str">
        <x:v>2026-09-08</x:v>
      </x:c>
      <x:c r="M423" t="str"/>
      <x:c r="N423" t="str"/>
      <x:c r="O423" t="str">
        <x:v>https://www.activesportstrade.co.uk/beast-pharm-trade</x:v>
      </x:c>
      <x:c r="P423" t="str"/>
      <x:c r="Q423" t="str"/>
      <x:c r="R423" t="str"/>
      <x:c r="S423" t="str">
        <x:v>Pending genuine supplier/brand image</x:v>
      </x:c>
      <x:c r="T423" s="54"/>
      <x:c r="U423" s="47" t="n">
        <x:v>0.2</x:v>
      </x:c>
      <x:c r="V423" s="54" t="str">
        <x:f>IF(ISNUMBER(T423),T423*(1+U423),"")</x:f>
      </x:c>
      <x:c r="W423" s="47" t="n">
        <x:v>0.3</x:v>
      </x:c>
      <x:c r="X423" s="54" t="str">
        <x:f>IF(ISNUMBER(V423),V423/(1-W423),"")</x:f>
      </x:c>
      <x:c r="Y423" s="55" t="str">
        <x:f>IF(ISNUMBER(X423),ROUNDUP(X423,0),"")</x:f>
      </x:c>
      <x:c r="Z423" t="str">
        <x:f>IF(ISNUMBER(T423),"Cost captured","Awaiting trade cost")</x:f>
        <x:v>Awaiting trade cost</x:v>
      </x:c>
      <x:c r="AB423" s="36" t="str">
        <x:f>IF(ISNUMBER(Y423),ROUND(Y423*0.9,2),"")</x:f>
      </x:c>
      <x:c r="AC423" s="36" t="str">
        <x:f>IF(ISNUMBER(AB423),ROUND(AB423-(AB423*0.015+0.2)-V423,2),"")</x:f>
      </x:c>
      <x:c r="AD423" s="36" t="str">
        <x:f>IF(ISNUMBER(Y423),ROUND(Y423*0.8,2),"")</x:f>
      </x:c>
      <x:c r="AE423" s="36" t="str">
        <x:f>IF(ISNUMBER(AD423),ROUND(AD423*0.015+0.2,2),"")</x:f>
      </x:c>
      <x:c r="AF423" s="36" t="str">
        <x:f>IF(ISNUMBER(AD423),ROUND(AD423-AE423-V423,2),"")</x:f>
      </x:c>
      <x:c r="AG423" t="str">
        <x:f>IF(NOT(ISNUMBER(T423)),"PENDING",IF(AF423&gt;0,"PASS","FAIL"))</x:f>
        <x:v>PENDING</x:v>
      </x:c>
      <x:c r="AH423" t="str">
        <x:f>IF(NOT(ISNUMBER(T423)),"Needs supplier cost",IF(K423&lt;&gt;"In stock","Supplier unavailable",IF(AG423&lt;&gt;"PASS","BLOCK - GT loss risk","Commercially protected")))</x:f>
        <x:v>Needs supplier cost</x:v>
      </x:c>
      <x:c r="AI423" t="str">
        <x:v>2026-09-10 Active Sports trade capture</x:v>
      </x:c>
      <x:c r="AJ423" t="str">
        <x:v>Management-only economics. Stripe stress test uses 1.5% + £0.20 standard UK online-card fee; pallet/mix-and-match pricing ignored.</x:v>
      </x:c>
    </x:row>
    <x:row r="424">
      <x:c r="A424" t="str">
        <x:v>Active Sports Nutrition</x:v>
      </x:c>
      <x:c r="B424" t="str">
        <x:v>Beast Pharm</x:v>
      </x:c>
      <x:c r="C424" t="str">
        <x:v>Hydro Hydration Formula</x:v>
      </x:c>
      <x:c r="D424" t="str">
        <x:v>Supplements</x:v>
      </x:c>
      <x:c r="E424" t="str">
        <x:v>Hydration</x:v>
      </x:c>
      <x:c r="F424" t="str">
        <x:v>Electrolyte and mineral hydration formula.</x:v>
      </x:c>
      <x:c r="G424" t="str">
        <x:v>60 servings</x:v>
      </x:c>
      <x:c r="H424" t="str">
        <x:v>Strawberry Kiwi</x:v>
      </x:c>
      <x:c r="I424" t="str"/>
      <x:c r="J424" t="str">
        <x:v>Unit</x:v>
      </x:c>
      <x:c r="K424" t="str">
        <x:v>In stock</x:v>
      </x:c>
      <x:c r="L424" t="str">
        <x:v>2026-09-08</x:v>
      </x:c>
      <x:c r="M424" t="str"/>
      <x:c r="N424" t="str"/>
      <x:c r="O424" t="str">
        <x:v>https://www.activesportstrade.co.uk/beast-pharm-trade</x:v>
      </x:c>
      <x:c r="P424" t="str"/>
      <x:c r="Q424" t="str"/>
      <x:c r="R424" t="str"/>
      <x:c r="S424" t="str">
        <x:v>Pending genuine supplier/brand image</x:v>
      </x:c>
      <x:c r="T424" s="54"/>
      <x:c r="U424" s="47" t="n">
        <x:v>0.2</x:v>
      </x:c>
      <x:c r="V424" s="54" t="str">
        <x:f>IF(ISNUMBER(T424),T424*(1+U424),"")</x:f>
      </x:c>
      <x:c r="W424" s="47" t="n">
        <x:v>0.3</x:v>
      </x:c>
      <x:c r="X424" s="54" t="str">
        <x:f>IF(ISNUMBER(V424),V424/(1-W424),"")</x:f>
      </x:c>
      <x:c r="Y424" s="55" t="str">
        <x:f>IF(ISNUMBER(X424),ROUNDUP(X424,0),"")</x:f>
      </x:c>
      <x:c r="Z424" t="str">
        <x:f>IF(ISNUMBER(T424),"Cost captured","Awaiting trade cost")</x:f>
        <x:v>Awaiting trade cost</x:v>
      </x:c>
      <x:c r="AB424" s="36" t="str">
        <x:f>IF(ISNUMBER(Y424),ROUND(Y424*0.9,2),"")</x:f>
      </x:c>
      <x:c r="AC424" s="36" t="str">
        <x:f>IF(ISNUMBER(AB424),ROUND(AB424-(AB424*0.015+0.2)-V424,2),"")</x:f>
      </x:c>
      <x:c r="AD424" s="36" t="str">
        <x:f>IF(ISNUMBER(Y424),ROUND(Y424*0.8,2),"")</x:f>
      </x:c>
      <x:c r="AE424" s="36" t="str">
        <x:f>IF(ISNUMBER(AD424),ROUND(AD424*0.015+0.2,2),"")</x:f>
      </x:c>
      <x:c r="AF424" s="36" t="str">
        <x:f>IF(ISNUMBER(AD424),ROUND(AD424-AE424-V424,2),"")</x:f>
      </x:c>
      <x:c r="AG424" t="str">
        <x:f>IF(NOT(ISNUMBER(T424)),"PENDING",IF(AF424&gt;0,"PASS","FAIL"))</x:f>
        <x:v>PENDING</x:v>
      </x:c>
      <x:c r="AH424" t="str">
        <x:f>IF(NOT(ISNUMBER(T424)),"Needs supplier cost",IF(K424&lt;&gt;"In stock","Supplier unavailable",IF(AG424&lt;&gt;"PASS","BLOCK - GT loss risk","Commercially protected")))</x:f>
        <x:v>Needs supplier cost</x:v>
      </x:c>
      <x:c r="AI424" t="str">
        <x:v>2026-09-10 Active Sports trade capture</x:v>
      </x:c>
      <x:c r="AJ424" t="str">
        <x:v>Management-only economics. Stripe stress test uses 1.5% + £0.20 standard UK online-card fee; pallet/mix-and-match pricing ignored.</x:v>
      </x:c>
    </x:row>
    <x:row r="425">
      <x:c r="A425" t="str">
        <x:v>Active Sports Nutrition</x:v>
      </x:c>
      <x:c r="B425" t="str">
        <x:v>Beast Pharm</x:v>
      </x:c>
      <x:c r="C425" t="str">
        <x:v>Liquid Chalk</x:v>
      </x:c>
      <x:c r="D425" t="str">
        <x:v>Accessories</x:v>
      </x:c>
      <x:c r="E425" t="str">
        <x:v>Straps and Supports</x:v>
      </x:c>
      <x:c r="F425" t="str">
        <x:v>Liquid chalk for grip support.</x:v>
      </x:c>
      <x:c r="G425" t="str">
        <x:v>50ml</x:v>
      </x:c>
      <x:c r="H425" t="str">
        <x:v>Default</x:v>
      </x:c>
      <x:c r="I425" t="str"/>
      <x:c r="J425" t="str">
        <x:v>Unit</x:v>
      </x:c>
      <x:c r="K425" t="str">
        <x:v>In stock</x:v>
      </x:c>
      <x:c r="L425" t="str">
        <x:v>2026-09-08</x:v>
      </x:c>
      <x:c r="M425" t="str"/>
      <x:c r="N425" t="str"/>
      <x:c r="O425" t="str">
        <x:v>https://www.activesportstrade.co.uk/beast-pharm-trade</x:v>
      </x:c>
      <x:c r="P425" t="str"/>
      <x:c r="Q425" t="str"/>
      <x:c r="R425" t="str"/>
      <x:c r="S425" t="str">
        <x:v>Pending genuine supplier/brand image</x:v>
      </x:c>
      <x:c r="T425" s="54"/>
      <x:c r="U425" s="47" t="n">
        <x:v>0.2</x:v>
      </x:c>
      <x:c r="V425" s="54" t="str">
        <x:f>IF(ISNUMBER(T425),T425*(1+U425),"")</x:f>
      </x:c>
      <x:c r="W425" s="47" t="n">
        <x:v>0.3</x:v>
      </x:c>
      <x:c r="X425" s="54" t="str">
        <x:f>IF(ISNUMBER(V425),V425/(1-W425),"")</x:f>
      </x:c>
      <x:c r="Y425" s="55" t="str">
        <x:f>IF(ISNUMBER(X425),ROUNDUP(X425,0),"")</x:f>
      </x:c>
      <x:c r="Z425" t="str">
        <x:f>IF(ISNUMBER(T425),"Cost captured","Awaiting trade cost")</x:f>
        <x:v>Awaiting trade cost</x:v>
      </x:c>
      <x:c r="AB425" s="36" t="str">
        <x:f>IF(ISNUMBER(Y425),ROUND(Y425*0.9,2),"")</x:f>
      </x:c>
      <x:c r="AC425" s="36" t="str">
        <x:f>IF(ISNUMBER(AB425),ROUND(AB425-(AB425*0.015+0.2)-V425,2),"")</x:f>
      </x:c>
      <x:c r="AD425" s="36" t="str">
        <x:f>IF(ISNUMBER(Y425),ROUND(Y425*0.8,2),"")</x:f>
      </x:c>
      <x:c r="AE425" s="36" t="str">
        <x:f>IF(ISNUMBER(AD425),ROUND(AD425*0.015+0.2,2),"")</x:f>
      </x:c>
      <x:c r="AF425" s="36" t="str">
        <x:f>IF(ISNUMBER(AD425),ROUND(AD425-AE425-V425,2),"")</x:f>
      </x:c>
      <x:c r="AG425" t="str">
        <x:f>IF(NOT(ISNUMBER(T425)),"PENDING",IF(AF425&gt;0,"PASS","FAIL"))</x:f>
        <x:v>PENDING</x:v>
      </x:c>
      <x:c r="AH425" t="str">
        <x:f>IF(NOT(ISNUMBER(T425)),"Needs supplier cost",IF(K425&lt;&gt;"In stock","Supplier unavailable",IF(AG425&lt;&gt;"PASS","BLOCK - GT loss risk","Commercially protected")))</x:f>
        <x:v>Needs supplier cost</x:v>
      </x:c>
      <x:c r="AI425" t="str">
        <x:v>2026-09-10 Active Sports trade capture</x:v>
      </x:c>
      <x:c r="AJ425" t="str">
        <x:v>Management-only economics. Stripe stress test uses 1.5% + £0.20 standard UK online-card fee; pallet/mix-and-match pricing ignored.</x:v>
      </x:c>
    </x:row>
    <x:row r="426">
      <x:c r="A426" t="str">
        <x:v>Active Sports Nutrition</x:v>
      </x:c>
      <x:c r="B426" t="str">
        <x:v>Beast Pharm</x:v>
      </x:c>
      <x:c r="C426" t="str">
        <x:v>Liquid Chalk</x:v>
      </x:c>
      <x:c r="D426" t="str">
        <x:v>Accessories</x:v>
      </x:c>
      <x:c r="E426" t="str">
        <x:v>Straps and Supports</x:v>
      </x:c>
      <x:c r="F426" t="str">
        <x:v>Liquid chalk for grip support.</x:v>
      </x:c>
      <x:c r="G426" t="str">
        <x:v>250ml</x:v>
      </x:c>
      <x:c r="H426" t="str">
        <x:v>Default</x:v>
      </x:c>
      <x:c r="I426" t="str"/>
      <x:c r="J426" t="str">
        <x:v>Unit</x:v>
      </x:c>
      <x:c r="K426" t="str">
        <x:v>In stock</x:v>
      </x:c>
      <x:c r="L426" t="str">
        <x:v>2026-09-08</x:v>
      </x:c>
      <x:c r="M426" t="str"/>
      <x:c r="N426" t="str"/>
      <x:c r="O426" t="str">
        <x:v>https://www.activesportstrade.co.uk/beast-pharm-trade</x:v>
      </x:c>
      <x:c r="P426" t="str"/>
      <x:c r="Q426" t="str"/>
      <x:c r="R426" t="str"/>
      <x:c r="S426" t="str">
        <x:v>Pending genuine supplier/brand image</x:v>
      </x:c>
      <x:c r="T426" s="54"/>
      <x:c r="U426" s="47" t="n">
        <x:v>0.2</x:v>
      </x:c>
      <x:c r="V426" s="54" t="str">
        <x:f>IF(ISNUMBER(T426),T426*(1+U426),"")</x:f>
      </x:c>
      <x:c r="W426" s="47" t="n">
        <x:v>0.3</x:v>
      </x:c>
      <x:c r="X426" s="54" t="str">
        <x:f>IF(ISNUMBER(V426),V426/(1-W426),"")</x:f>
      </x:c>
      <x:c r="Y426" s="55" t="str">
        <x:f>IF(ISNUMBER(X426),ROUNDUP(X426,0),"")</x:f>
      </x:c>
      <x:c r="Z426" t="str">
        <x:f>IF(ISNUMBER(T426),"Cost captured","Awaiting trade cost")</x:f>
        <x:v>Awaiting trade cost</x:v>
      </x:c>
      <x:c r="AB426" s="36" t="str">
        <x:f>IF(ISNUMBER(Y426),ROUND(Y426*0.9,2),"")</x:f>
      </x:c>
      <x:c r="AC426" s="36" t="str">
        <x:f>IF(ISNUMBER(AB426),ROUND(AB426-(AB426*0.015+0.2)-V426,2),"")</x:f>
      </x:c>
      <x:c r="AD426" s="36" t="str">
        <x:f>IF(ISNUMBER(Y426),ROUND(Y426*0.8,2),"")</x:f>
      </x:c>
      <x:c r="AE426" s="36" t="str">
        <x:f>IF(ISNUMBER(AD426),ROUND(AD426*0.015+0.2,2),"")</x:f>
      </x:c>
      <x:c r="AF426" s="36" t="str">
        <x:f>IF(ISNUMBER(AD426),ROUND(AD426-AE426-V426,2),"")</x:f>
      </x:c>
      <x:c r="AG426" t="str">
        <x:f>IF(NOT(ISNUMBER(T426)),"PENDING",IF(AF426&gt;0,"PASS","FAIL"))</x:f>
        <x:v>PENDING</x:v>
      </x:c>
      <x:c r="AH426" t="str">
        <x:f>IF(NOT(ISNUMBER(T426)),"Needs supplier cost",IF(K426&lt;&gt;"In stock","Supplier unavailable",IF(AG426&lt;&gt;"PASS","BLOCK - GT loss risk","Commercially protected")))</x:f>
        <x:v>Needs supplier cost</x:v>
      </x:c>
      <x:c r="AI426" t="str">
        <x:v>2026-09-10 Active Sports trade capture</x:v>
      </x:c>
      <x:c r="AJ426" t="str">
        <x:v>Management-only economics. Stripe stress test uses 1.5% + £0.20 standard UK online-card fee; pallet/mix-and-match pricing ignored.</x:v>
      </x:c>
    </x:row>
    <x:row r="427">
      <x:c r="A427" t="str">
        <x:v>Active Sports Nutrition</x:v>
      </x:c>
      <x:c r="B427" t="str">
        <x:v>Beast Pharm</x:v>
      </x:c>
      <x:c r="C427" t="str">
        <x:v>Omega Pro</x:v>
      </x:c>
      <x:c r="D427" t="str">
        <x:v>Supplements</x:v>
      </x:c>
      <x:c r="E427" t="str">
        <x:v>Omega and EFA</x:v>
      </x:c>
      <x:c r="F427" t="str">
        <x:v>Concentrated fish-oil softgels.</x:v>
      </x:c>
      <x:c r="G427" t="str">
        <x:v>90 softgels</x:v>
      </x:c>
      <x:c r="H427" t="str">
        <x:v>Default</x:v>
      </x:c>
      <x:c r="I427" t="str"/>
      <x:c r="J427" t="str">
        <x:v>Unit</x:v>
      </x:c>
      <x:c r="K427" t="str">
        <x:v>In stock</x:v>
      </x:c>
      <x:c r="L427" t="str">
        <x:v>2026-09-08</x:v>
      </x:c>
      <x:c r="M427" t="str"/>
      <x:c r="N427" t="str"/>
      <x:c r="O427" t="str">
        <x:v>https://www.activesportstrade.co.uk/beast-pharm-trade</x:v>
      </x:c>
      <x:c r="P427" t="str"/>
      <x:c r="Q427" t="str"/>
      <x:c r="R427" t="str"/>
      <x:c r="S427" t="str">
        <x:v>Pending genuine supplier/brand image</x:v>
      </x:c>
      <x:c r="T427" s="54"/>
      <x:c r="U427" s="47" t="n">
        <x:v>0.2</x:v>
      </x:c>
      <x:c r="V427" s="54" t="str">
        <x:f>IF(ISNUMBER(T427),T427*(1+U427),"")</x:f>
      </x:c>
      <x:c r="W427" s="47" t="n">
        <x:v>0.3</x:v>
      </x:c>
      <x:c r="X427" s="54" t="str">
        <x:f>IF(ISNUMBER(V427),V427/(1-W427),"")</x:f>
      </x:c>
      <x:c r="Y427" s="55" t="str">
        <x:f>IF(ISNUMBER(X427),ROUNDUP(X427,0),"")</x:f>
      </x:c>
      <x:c r="Z427" t="str">
        <x:f>IF(ISNUMBER(T427),"Cost captured","Awaiting trade cost")</x:f>
        <x:v>Awaiting trade cost</x:v>
      </x:c>
      <x:c r="AB427" s="36" t="str">
        <x:f>IF(ISNUMBER(Y427),ROUND(Y427*0.9,2),"")</x:f>
      </x:c>
      <x:c r="AC427" s="36" t="str">
        <x:f>IF(ISNUMBER(AB427),ROUND(AB427-(AB427*0.015+0.2)-V427,2),"")</x:f>
      </x:c>
      <x:c r="AD427" s="36" t="str">
        <x:f>IF(ISNUMBER(Y427),ROUND(Y427*0.8,2),"")</x:f>
      </x:c>
      <x:c r="AE427" s="36" t="str">
        <x:f>IF(ISNUMBER(AD427),ROUND(AD427*0.015+0.2,2),"")</x:f>
      </x:c>
      <x:c r="AF427" s="36" t="str">
        <x:f>IF(ISNUMBER(AD427),ROUND(AD427-AE427-V427,2),"")</x:f>
      </x:c>
      <x:c r="AG427" t="str">
        <x:f>IF(NOT(ISNUMBER(T427)),"PENDING",IF(AF427&gt;0,"PASS","FAIL"))</x:f>
        <x:v>PENDING</x:v>
      </x:c>
      <x:c r="AH427" t="str">
        <x:f>IF(NOT(ISNUMBER(T427)),"Needs supplier cost",IF(K427&lt;&gt;"In stock","Supplier unavailable",IF(AG427&lt;&gt;"PASS","BLOCK - GT loss risk","Commercially protected")))</x:f>
        <x:v>Needs supplier cost</x:v>
      </x:c>
      <x:c r="AI427" t="str">
        <x:v>2026-09-10 Active Sports trade capture</x:v>
      </x:c>
      <x:c r="AJ427" t="str">
        <x:v>Management-only economics. Stripe stress test uses 1.5% + £0.20 standard UK online-card fee; pallet/mix-and-match pricing ignored.</x:v>
      </x:c>
    </x:row>
    <x:row r="428">
      <x:c r="A428" t="str">
        <x:v>Active Sports Nutrition</x:v>
      </x:c>
      <x:c r="B428" t="str">
        <x:v>Beast Pharm</x:v>
      </x:c>
      <x:c r="C428" t="str">
        <x:v>PUMP</x:v>
      </x:c>
      <x:c r="D428" t="str">
        <x:v>Pre Workouts</x:v>
      </x:c>
      <x:c r="E428" t="str">
        <x:v>Stim FREE</x:v>
      </x:c>
      <x:c r="F428" t="str">
        <x:v>Stimulant-free pump pre-workout.</x:v>
      </x:c>
      <x:c r="G428" t="str">
        <x:v>30 servings</x:v>
      </x:c>
      <x:c r="H428" t="str">
        <x:v>Lemon Sherbet</x:v>
      </x:c>
      <x:c r="I428" t="str"/>
      <x:c r="J428" t="str">
        <x:v>Unit</x:v>
      </x:c>
      <x:c r="K428" t="str">
        <x:v>In stock</x:v>
      </x:c>
      <x:c r="L428" t="str">
        <x:v>2026-09-08</x:v>
      </x:c>
      <x:c r="M428" t="str"/>
      <x:c r="N428" t="str"/>
      <x:c r="O428" t="str">
        <x:v>https://www.activesportstrade.co.uk/stim-free-pre-workouts-trade</x:v>
      </x:c>
      <x:c r="P428" t="str"/>
      <x:c r="Q428" t="str"/>
      <x:c r="R428" t="str"/>
      <x:c r="S428" t="str">
        <x:v>Pending genuine supplier/brand image</x:v>
      </x:c>
      <x:c r="T428" s="54"/>
      <x:c r="U428" s="47" t="n">
        <x:v>0.2</x:v>
      </x:c>
      <x:c r="V428" s="54" t="str">
        <x:f>IF(ISNUMBER(T428),T428*(1+U428),"")</x:f>
      </x:c>
      <x:c r="W428" s="47" t="n">
        <x:v>0.3</x:v>
      </x:c>
      <x:c r="X428" s="54" t="str">
        <x:f>IF(ISNUMBER(V428),V428/(1-W428),"")</x:f>
      </x:c>
      <x:c r="Y428" s="55" t="str">
        <x:f>IF(ISNUMBER(X428),ROUNDUP(X428,0),"")</x:f>
      </x:c>
      <x:c r="Z428" t="str">
        <x:f>IF(ISNUMBER(T428),"Cost captured","Awaiting trade cost")</x:f>
        <x:v>Awaiting trade cost</x:v>
      </x:c>
      <x:c r="AB428" s="36" t="str">
        <x:f>IF(ISNUMBER(Y428),ROUND(Y428*0.9,2),"")</x:f>
      </x:c>
      <x:c r="AC428" s="36" t="str">
        <x:f>IF(ISNUMBER(AB428),ROUND(AB428-(AB428*0.015+0.2)-V428,2),"")</x:f>
      </x:c>
      <x:c r="AD428" s="36" t="str">
        <x:f>IF(ISNUMBER(Y428),ROUND(Y428*0.8,2),"")</x:f>
      </x:c>
      <x:c r="AE428" s="36" t="str">
        <x:f>IF(ISNUMBER(AD428),ROUND(AD428*0.015+0.2,2),"")</x:f>
      </x:c>
      <x:c r="AF428" s="36" t="str">
        <x:f>IF(ISNUMBER(AD428),ROUND(AD428-AE428-V428,2),"")</x:f>
      </x:c>
      <x:c r="AG428" t="str">
        <x:f>IF(NOT(ISNUMBER(T428)),"PENDING",IF(AF428&gt;0,"PASS","FAIL"))</x:f>
        <x:v>PENDING</x:v>
      </x:c>
      <x:c r="AH428" t="str">
        <x:f>IF(NOT(ISNUMBER(T428)),"Needs supplier cost",IF(K428&lt;&gt;"In stock","Supplier unavailable",IF(AG428&lt;&gt;"PASS","BLOCK - GT loss risk","Commercially protected")))</x:f>
        <x:v>Needs supplier cost</x:v>
      </x:c>
      <x:c r="AI428" t="str">
        <x:v>2026-09-10 Active Sports trade capture</x:v>
      </x:c>
      <x:c r="AJ428" t="str">
        <x:v>Management-only economics. Stripe stress test uses 1.5% + £0.20 standard UK online-card fee; pallet/mix-and-match pricing ignored.</x:v>
      </x:c>
    </x:row>
    <x:row r="429">
      <x:c r="A429" t="str">
        <x:v>Active Sports Nutrition</x:v>
      </x:c>
      <x:c r="B429" t="str">
        <x:v>Beast Pharm</x:v>
      </x:c>
      <x:c r="C429" t="str">
        <x:v>PUMP</x:v>
      </x:c>
      <x:c r="D429" t="str">
        <x:v>Pre Workouts</x:v>
      </x:c>
      <x:c r="E429" t="str">
        <x:v>Stim FREE</x:v>
      </x:c>
      <x:c r="F429" t="str">
        <x:v>Stimulant-free pump pre-workout.</x:v>
      </x:c>
      <x:c r="G429" t="str">
        <x:v>30 servings</x:v>
      </x:c>
      <x:c r="H429" t="str">
        <x:v>Sour Cherry</x:v>
      </x:c>
      <x:c r="I429" t="str"/>
      <x:c r="J429" t="str">
        <x:v>Unit</x:v>
      </x:c>
      <x:c r="K429" t="str">
        <x:v>In stock</x:v>
      </x:c>
      <x:c r="L429" t="str">
        <x:v>2026-09-08</x:v>
      </x:c>
      <x:c r="M429" t="str"/>
      <x:c r="N429" t="str"/>
      <x:c r="O429" t="str">
        <x:v>https://www.activesportstrade.co.uk/stim-free-pre-workouts-trade</x:v>
      </x:c>
      <x:c r="P429" t="str"/>
      <x:c r="Q429" t="str"/>
      <x:c r="R429" t="str"/>
      <x:c r="S429" t="str">
        <x:v>Pending genuine supplier/brand image</x:v>
      </x:c>
      <x:c r="T429" s="54"/>
      <x:c r="U429" s="47" t="n">
        <x:v>0.2</x:v>
      </x:c>
      <x:c r="V429" s="54" t="str">
        <x:f>IF(ISNUMBER(T429),T429*(1+U429),"")</x:f>
      </x:c>
      <x:c r="W429" s="47" t="n">
        <x:v>0.3</x:v>
      </x:c>
      <x:c r="X429" s="54" t="str">
        <x:f>IF(ISNUMBER(V429),V429/(1-W429),"")</x:f>
      </x:c>
      <x:c r="Y429" s="55" t="str">
        <x:f>IF(ISNUMBER(X429),ROUNDUP(X429,0),"")</x:f>
      </x:c>
      <x:c r="Z429" t="str">
        <x:f>IF(ISNUMBER(T429),"Cost captured","Awaiting trade cost")</x:f>
        <x:v>Awaiting trade cost</x:v>
      </x:c>
      <x:c r="AB429" s="36" t="str">
        <x:f>IF(ISNUMBER(Y429),ROUND(Y429*0.9,2),"")</x:f>
      </x:c>
      <x:c r="AC429" s="36" t="str">
        <x:f>IF(ISNUMBER(AB429),ROUND(AB429-(AB429*0.015+0.2)-V429,2),"")</x:f>
      </x:c>
      <x:c r="AD429" s="36" t="str">
        <x:f>IF(ISNUMBER(Y429),ROUND(Y429*0.8,2),"")</x:f>
      </x:c>
      <x:c r="AE429" s="36" t="str">
        <x:f>IF(ISNUMBER(AD429),ROUND(AD429*0.015+0.2,2),"")</x:f>
      </x:c>
      <x:c r="AF429" s="36" t="str">
        <x:f>IF(ISNUMBER(AD429),ROUND(AD429-AE429-V429,2),"")</x:f>
      </x:c>
      <x:c r="AG429" t="str">
        <x:f>IF(NOT(ISNUMBER(T429)),"PENDING",IF(AF429&gt;0,"PASS","FAIL"))</x:f>
        <x:v>PENDING</x:v>
      </x:c>
      <x:c r="AH429" t="str">
        <x:f>IF(NOT(ISNUMBER(T429)),"Needs supplier cost",IF(K429&lt;&gt;"In stock","Supplier unavailable",IF(AG429&lt;&gt;"PASS","BLOCK - GT loss risk","Commercially protected")))</x:f>
        <x:v>Needs supplier cost</x:v>
      </x:c>
      <x:c r="AI429" t="str">
        <x:v>2026-09-10 Active Sports trade capture</x:v>
      </x:c>
      <x:c r="AJ429" t="str">
        <x:v>Management-only economics. Stripe stress test uses 1.5% + £0.20 standard UK online-card fee; pallet/mix-and-match pricing ignored.</x:v>
      </x:c>
    </x:row>
    <x:row r="430">
      <x:c r="A430" t="str">
        <x:v>Active Sports Nutrition</x:v>
      </x:c>
      <x:c r="B430" t="str">
        <x:v>Beast Pharm</x:v>
      </x:c>
      <x:c r="C430" t="str">
        <x:v>Smelling Salts</x:v>
      </x:c>
      <x:c r="D430" t="str">
        <x:v>Accessories</x:v>
      </x:c>
      <x:c r="E430" t="str">
        <x:v>Training Accessories</x:v>
      </x:c>
      <x:c r="F430" t="str">
        <x:v>Training smelling salts.</x:v>
      </x:c>
      <x:c r="G430" t="str">
        <x:v>Strong</x:v>
      </x:c>
      <x:c r="H430" t="str">
        <x:v>Default</x:v>
      </x:c>
      <x:c r="I430" t="str"/>
      <x:c r="J430" t="str">
        <x:v>Unit</x:v>
      </x:c>
      <x:c r="K430" t="str">
        <x:v>In stock</x:v>
      </x:c>
      <x:c r="L430" t="str">
        <x:v>2026-09-08</x:v>
      </x:c>
      <x:c r="M430" t="str"/>
      <x:c r="N430" t="str"/>
      <x:c r="O430" t="str">
        <x:v>https://www.activesportstrade.co.uk/beast-pharm-trade</x:v>
      </x:c>
      <x:c r="P430" t="str"/>
      <x:c r="Q430" t="str"/>
      <x:c r="R430" t="str"/>
      <x:c r="S430" t="str">
        <x:v>Pending genuine supplier/brand image</x:v>
      </x:c>
      <x:c r="T430" s="54"/>
      <x:c r="U430" s="47" t="n">
        <x:v>0.2</x:v>
      </x:c>
      <x:c r="V430" s="54" t="str">
        <x:f>IF(ISNUMBER(T430),T430*(1+U430),"")</x:f>
      </x:c>
      <x:c r="W430" s="47" t="n">
        <x:v>0.3</x:v>
      </x:c>
      <x:c r="X430" s="54" t="str">
        <x:f>IF(ISNUMBER(V430),V430/(1-W430),"")</x:f>
      </x:c>
      <x:c r="Y430" s="55" t="str">
        <x:f>IF(ISNUMBER(X430),ROUNDUP(X430,0),"")</x:f>
      </x:c>
      <x:c r="Z430" t="str">
        <x:f>IF(ISNUMBER(T430),"Cost captured","Awaiting trade cost")</x:f>
        <x:v>Awaiting trade cost</x:v>
      </x:c>
      <x:c r="AB430" s="36" t="str">
        <x:f>IF(ISNUMBER(Y430),ROUND(Y430*0.9,2),"")</x:f>
      </x:c>
      <x:c r="AC430" s="36" t="str">
        <x:f>IF(ISNUMBER(AB430),ROUND(AB430-(AB430*0.015+0.2)-V430,2),"")</x:f>
      </x:c>
      <x:c r="AD430" s="36" t="str">
        <x:f>IF(ISNUMBER(Y430),ROUND(Y430*0.8,2),"")</x:f>
      </x:c>
      <x:c r="AE430" s="36" t="str">
        <x:f>IF(ISNUMBER(AD430),ROUND(AD430*0.015+0.2,2),"")</x:f>
      </x:c>
      <x:c r="AF430" s="36" t="str">
        <x:f>IF(ISNUMBER(AD430),ROUND(AD430-AE430-V430,2),"")</x:f>
      </x:c>
      <x:c r="AG430" t="str">
        <x:f>IF(NOT(ISNUMBER(T430)),"PENDING",IF(AF430&gt;0,"PASS","FAIL"))</x:f>
        <x:v>PENDING</x:v>
      </x:c>
      <x:c r="AH430" t="str">
        <x:f>IF(NOT(ISNUMBER(T430)),"Needs supplier cost",IF(K430&lt;&gt;"In stock","Supplier unavailable",IF(AG430&lt;&gt;"PASS","BLOCK - GT loss risk","Commercially protected")))</x:f>
        <x:v>Needs supplier cost</x:v>
      </x:c>
      <x:c r="AI430" t="str">
        <x:v>2026-09-10 Active Sports trade capture</x:v>
      </x:c>
      <x:c r="AJ430" t="str">
        <x:v>Management-only economics. Stripe stress test uses 1.5% + £0.20 standard UK online-card fee; pallet/mix-and-match pricing ignored.</x:v>
      </x:c>
    </x:row>
    <x:row r="431">
      <x:c r="A431" t="str">
        <x:v>Active Sports Nutrition</x:v>
      </x:c>
      <x:c r="B431" t="str">
        <x:v>Beast Pharm</x:v>
      </x:c>
      <x:c r="C431" t="str">
        <x:v>Smelling Salts</x:v>
      </x:c>
      <x:c r="D431" t="str">
        <x:v>Accessories</x:v>
      </x:c>
      <x:c r="E431" t="str">
        <x:v>Training Accessories</x:v>
      </x:c>
      <x:c r="F431" t="str">
        <x:v>Training smelling salts.</x:v>
      </x:c>
      <x:c r="G431" t="str">
        <x:v>Stronger</x:v>
      </x:c>
      <x:c r="H431" t="str">
        <x:v>Default</x:v>
      </x:c>
      <x:c r="I431" t="str"/>
      <x:c r="J431" t="str">
        <x:v>Unit</x:v>
      </x:c>
      <x:c r="K431" t="str">
        <x:v>In stock</x:v>
      </x:c>
      <x:c r="L431" t="str">
        <x:v>2026-09-08</x:v>
      </x:c>
      <x:c r="M431" t="str"/>
      <x:c r="N431" t="str"/>
      <x:c r="O431" t="str">
        <x:v>https://www.activesportstrade.co.uk/beast-pharm-trade</x:v>
      </x:c>
      <x:c r="P431" t="str"/>
      <x:c r="Q431" t="str"/>
      <x:c r="R431" t="str"/>
      <x:c r="S431" t="str">
        <x:v>Pending genuine supplier/brand image</x:v>
      </x:c>
      <x:c r="T431" s="54"/>
      <x:c r="U431" s="47" t="n">
        <x:v>0.2</x:v>
      </x:c>
      <x:c r="V431" s="54" t="str">
        <x:f>IF(ISNUMBER(T431),T431*(1+U431),"")</x:f>
      </x:c>
      <x:c r="W431" s="47" t="n">
        <x:v>0.3</x:v>
      </x:c>
      <x:c r="X431" s="54" t="str">
        <x:f>IF(ISNUMBER(V431),V431/(1-W431),"")</x:f>
      </x:c>
      <x:c r="Y431" s="55" t="str">
        <x:f>IF(ISNUMBER(X431),ROUNDUP(X431,0),"")</x:f>
      </x:c>
      <x:c r="Z431" t="str">
        <x:f>IF(ISNUMBER(T431),"Cost captured","Awaiting trade cost")</x:f>
        <x:v>Awaiting trade cost</x:v>
      </x:c>
      <x:c r="AB431" s="36" t="str">
        <x:f>IF(ISNUMBER(Y431),ROUND(Y431*0.9,2),"")</x:f>
      </x:c>
      <x:c r="AC431" s="36" t="str">
        <x:f>IF(ISNUMBER(AB431),ROUND(AB431-(AB431*0.015+0.2)-V431,2),"")</x:f>
      </x:c>
      <x:c r="AD431" s="36" t="str">
        <x:f>IF(ISNUMBER(Y431),ROUND(Y431*0.8,2),"")</x:f>
      </x:c>
      <x:c r="AE431" s="36" t="str">
        <x:f>IF(ISNUMBER(AD431),ROUND(AD431*0.015+0.2,2),"")</x:f>
      </x:c>
      <x:c r="AF431" s="36" t="str">
        <x:f>IF(ISNUMBER(AD431),ROUND(AD431-AE431-V431,2),"")</x:f>
      </x:c>
      <x:c r="AG431" t="str">
        <x:f>IF(NOT(ISNUMBER(T431)),"PENDING",IF(AF431&gt;0,"PASS","FAIL"))</x:f>
        <x:v>PENDING</x:v>
      </x:c>
      <x:c r="AH431" t="str">
        <x:f>IF(NOT(ISNUMBER(T431)),"Needs supplier cost",IF(K431&lt;&gt;"In stock","Supplier unavailable",IF(AG431&lt;&gt;"PASS","BLOCK - GT loss risk","Commercially protected")))</x:f>
        <x:v>Needs supplier cost</x:v>
      </x:c>
      <x:c r="AI431" t="str">
        <x:v>2026-09-10 Active Sports trade capture</x:v>
      </x:c>
      <x:c r="AJ431" t="str">
        <x:v>Management-only economics. Stripe stress test uses 1.5% + £0.20 standard UK online-card fee; pallet/mix-and-match pricing ignored.</x:v>
      </x:c>
    </x:row>
    <x:row r="432">
      <x:c r="A432" t="str">
        <x:v>Active Sports Nutrition</x:v>
      </x:c>
      <x:c r="B432" t="str">
        <x:v>Beast Pharm</x:v>
      </x:c>
      <x:c r="C432" t="str">
        <x:v>Smelling Salts</x:v>
      </x:c>
      <x:c r="D432" t="str">
        <x:v>Accessories</x:v>
      </x:c>
      <x:c r="E432" t="str">
        <x:v>Training Accessories</x:v>
      </x:c>
      <x:c r="F432" t="str">
        <x:v>Training smelling salts.</x:v>
      </x:c>
      <x:c r="G432" t="str">
        <x:v>World's Strongest</x:v>
      </x:c>
      <x:c r="H432" t="str">
        <x:v>Default</x:v>
      </x:c>
      <x:c r="I432" t="str"/>
      <x:c r="J432" t="str">
        <x:v>Unit</x:v>
      </x:c>
      <x:c r="K432" t="str">
        <x:v>In stock</x:v>
      </x:c>
      <x:c r="L432" t="str">
        <x:v>2026-09-08</x:v>
      </x:c>
      <x:c r="M432" t="str"/>
      <x:c r="N432" t="str"/>
      <x:c r="O432" t="str">
        <x:v>https://www.activesportstrade.co.uk/beast-pharm-trade</x:v>
      </x:c>
      <x:c r="P432" t="str"/>
      <x:c r="Q432" t="str"/>
      <x:c r="R432" t="str"/>
      <x:c r="S432" t="str">
        <x:v>Pending genuine supplier/brand image</x:v>
      </x:c>
      <x:c r="T432" s="54"/>
      <x:c r="U432" s="47" t="n">
        <x:v>0.2</x:v>
      </x:c>
      <x:c r="V432" s="54" t="str">
        <x:f>IF(ISNUMBER(T432),T432*(1+U432),"")</x:f>
      </x:c>
      <x:c r="W432" s="47" t="n">
        <x:v>0.3</x:v>
      </x:c>
      <x:c r="X432" s="54" t="str">
        <x:f>IF(ISNUMBER(V432),V432/(1-W432),"")</x:f>
      </x:c>
      <x:c r="Y432" s="55" t="str">
        <x:f>IF(ISNUMBER(X432),ROUNDUP(X432,0),"")</x:f>
      </x:c>
      <x:c r="Z432" t="str">
        <x:f>IF(ISNUMBER(T432),"Cost captured","Awaiting trade cost")</x:f>
        <x:v>Awaiting trade cost</x:v>
      </x:c>
      <x:c r="AB432" s="36" t="str">
        <x:f>IF(ISNUMBER(Y432),ROUND(Y432*0.9,2),"")</x:f>
      </x:c>
      <x:c r="AC432" s="36" t="str">
        <x:f>IF(ISNUMBER(AB432),ROUND(AB432-(AB432*0.015+0.2)-V432,2),"")</x:f>
      </x:c>
      <x:c r="AD432" s="36" t="str">
        <x:f>IF(ISNUMBER(Y432),ROUND(Y432*0.8,2),"")</x:f>
      </x:c>
      <x:c r="AE432" s="36" t="str">
        <x:f>IF(ISNUMBER(AD432),ROUND(AD432*0.015+0.2,2),"")</x:f>
      </x:c>
      <x:c r="AF432" s="36" t="str">
        <x:f>IF(ISNUMBER(AD432),ROUND(AD432-AE432-V432,2),"")</x:f>
      </x:c>
      <x:c r="AG432" t="str">
        <x:f>IF(NOT(ISNUMBER(T432)),"PENDING",IF(AF432&gt;0,"PASS","FAIL"))</x:f>
        <x:v>PENDING</x:v>
      </x:c>
      <x:c r="AH432" t="str">
        <x:f>IF(NOT(ISNUMBER(T432)),"Needs supplier cost",IF(K432&lt;&gt;"In stock","Supplier unavailable",IF(AG432&lt;&gt;"PASS","BLOCK - GT loss risk","Commercially protected")))</x:f>
        <x:v>Needs supplier cost</x:v>
      </x:c>
      <x:c r="AI432" t="str">
        <x:v>2026-09-10 Active Sports trade capture</x:v>
      </x:c>
      <x:c r="AJ432" t="str">
        <x:v>Management-only economics. Stripe stress test uses 1.5% + £0.20 standard UK online-card fee; pallet/mix-and-match pricing ignored.</x:v>
      </x:c>
    </x:row>
    <x:row r="433">
      <x:c r="A433" t="str">
        <x:v>Active Sports Nutrition</x:v>
      </x:c>
      <x:c r="B433" t="str">
        <x:v>Beast Pharm</x:v>
      </x:c>
      <x:c r="C433" t="str">
        <x:v>STIM Pre Workout</x:v>
      </x:c>
      <x:c r="D433" t="str">
        <x:v>Pre Workouts</x:v>
      </x:c>
      <x:c r="E433" t="str">
        <x:v>High Stim</x:v>
      </x:c>
      <x:c r="F433" t="str">
        <x:v>High-stimulant pre-workout.</x:v>
      </x:c>
      <x:c r="G433" t="str">
        <x:v>30 servings</x:v>
      </x:c>
      <x:c r="H433" t="str">
        <x:v>Lemon Sherbet</x:v>
      </x:c>
      <x:c r="I433" t="str"/>
      <x:c r="J433" t="str">
        <x:v>Unit</x:v>
      </x:c>
      <x:c r="K433" t="str">
        <x:v>In stock</x:v>
      </x:c>
      <x:c r="L433" t="str">
        <x:v>2026-09-08</x:v>
      </x:c>
      <x:c r="M433" t="str"/>
      <x:c r="N433" t="str"/>
      <x:c r="O433" t="str">
        <x:v>https://www.activesportstrade.co.uk/beast-pharm-trade</x:v>
      </x:c>
      <x:c r="P433" t="str">
        <x:v>SPECIAL OFFER wording removed.</x:v>
      </x:c>
      <x:c r="Q433" t="str"/>
      <x:c r="R433" t="str"/>
      <x:c r="S433" t="str">
        <x:v>Pending genuine supplier/brand image</x:v>
      </x:c>
      <x:c r="T433" s="54"/>
      <x:c r="U433" s="47" t="n">
        <x:v>0.2</x:v>
      </x:c>
      <x:c r="V433" s="54" t="str">
        <x:f>IF(ISNUMBER(T433),T433*(1+U433),"")</x:f>
      </x:c>
      <x:c r="W433" s="47" t="n">
        <x:v>0.3</x:v>
      </x:c>
      <x:c r="X433" s="54" t="str">
        <x:f>IF(ISNUMBER(V433),V433/(1-W433),"")</x:f>
      </x:c>
      <x:c r="Y433" s="55" t="str">
        <x:f>IF(ISNUMBER(X433),ROUNDUP(X433,0),"")</x:f>
      </x:c>
      <x:c r="Z433" t="str">
        <x:f>IF(ISNUMBER(T433),"Cost captured","Awaiting trade cost")</x:f>
        <x:v>Awaiting trade cost</x:v>
      </x:c>
      <x:c r="AB433" s="36" t="str">
        <x:f>IF(ISNUMBER(Y433),ROUND(Y433*0.9,2),"")</x:f>
      </x:c>
      <x:c r="AC433" s="36" t="str">
        <x:f>IF(ISNUMBER(AB433),ROUND(AB433-(AB433*0.015+0.2)-V433,2),"")</x:f>
      </x:c>
      <x:c r="AD433" s="36" t="str">
        <x:f>IF(ISNUMBER(Y433),ROUND(Y433*0.8,2),"")</x:f>
      </x:c>
      <x:c r="AE433" s="36" t="str">
        <x:f>IF(ISNUMBER(AD433),ROUND(AD433*0.015+0.2,2),"")</x:f>
      </x:c>
      <x:c r="AF433" s="36" t="str">
        <x:f>IF(ISNUMBER(AD433),ROUND(AD433-AE433-V433,2),"")</x:f>
      </x:c>
      <x:c r="AG433" t="str">
        <x:f>IF(NOT(ISNUMBER(T433)),"PENDING",IF(AF433&gt;0,"PASS","FAIL"))</x:f>
        <x:v>PENDING</x:v>
      </x:c>
      <x:c r="AH433" t="str">
        <x:f>IF(NOT(ISNUMBER(T433)),"Needs supplier cost",IF(K433&lt;&gt;"In stock","Supplier unavailable",IF(AG433&lt;&gt;"PASS","BLOCK - GT loss risk","Commercially protected")))</x:f>
        <x:v>Needs supplier cost</x:v>
      </x:c>
      <x:c r="AI433" t="str">
        <x:v>2026-09-10 Active Sports trade capture</x:v>
      </x:c>
      <x:c r="AJ433" t="str">
        <x:v>Management-only economics. Stripe stress test uses 1.5% + £0.20 standard UK online-card fee; pallet/mix-and-match pricing ignored.</x:v>
      </x:c>
    </x:row>
    <x:row r="434">
      <x:c r="A434" t="str">
        <x:v>Active Sports Nutrition</x:v>
      </x:c>
      <x:c r="B434" t="str">
        <x:v>Beast Pharm</x:v>
      </x:c>
      <x:c r="C434" t="str">
        <x:v>STIM Pre Workout</x:v>
      </x:c>
      <x:c r="D434" t="str">
        <x:v>Pre Workouts</x:v>
      </x:c>
      <x:c r="E434" t="str">
        <x:v>High Stim</x:v>
      </x:c>
      <x:c r="F434" t="str">
        <x:v>High-stimulant pre-workout.</x:v>
      </x:c>
      <x:c r="G434" t="str">
        <x:v>30 servings</x:v>
      </x:c>
      <x:c r="H434" t="str">
        <x:v>Sour Cherry</x:v>
      </x:c>
      <x:c r="I434" t="str"/>
      <x:c r="J434" t="str">
        <x:v>Unit</x:v>
      </x:c>
      <x:c r="K434" t="str">
        <x:v>In stock</x:v>
      </x:c>
      <x:c r="L434" t="str">
        <x:v>2026-09-08</x:v>
      </x:c>
      <x:c r="M434" t="str"/>
      <x:c r="N434" t="str"/>
      <x:c r="O434" t="str">
        <x:v>https://www.activesportstrade.co.uk/beast-pharm-trade</x:v>
      </x:c>
      <x:c r="P434" t="str">
        <x:v>SPECIAL OFFER wording removed.</x:v>
      </x:c>
      <x:c r="Q434" t="str"/>
      <x:c r="R434" t="str"/>
      <x:c r="S434" t="str">
        <x:v>Pending genuine supplier/brand image</x:v>
      </x:c>
      <x:c r="T434" s="54"/>
      <x:c r="U434" s="47" t="n">
        <x:v>0.2</x:v>
      </x:c>
      <x:c r="V434" s="54" t="str">
        <x:f>IF(ISNUMBER(T434),T434*(1+U434),"")</x:f>
      </x:c>
      <x:c r="W434" s="47" t="n">
        <x:v>0.3</x:v>
      </x:c>
      <x:c r="X434" s="54" t="str">
        <x:f>IF(ISNUMBER(V434),V434/(1-W434),"")</x:f>
      </x:c>
      <x:c r="Y434" s="55" t="str">
        <x:f>IF(ISNUMBER(X434),ROUNDUP(X434,0),"")</x:f>
      </x:c>
      <x:c r="Z434" t="str">
        <x:f>IF(ISNUMBER(T434),"Cost captured","Awaiting trade cost")</x:f>
        <x:v>Awaiting trade cost</x:v>
      </x:c>
      <x:c r="AB434" s="36" t="str">
        <x:f>IF(ISNUMBER(Y434),ROUND(Y434*0.9,2),"")</x:f>
      </x:c>
      <x:c r="AC434" s="36" t="str">
        <x:f>IF(ISNUMBER(AB434),ROUND(AB434-(AB434*0.015+0.2)-V434,2),"")</x:f>
      </x:c>
      <x:c r="AD434" s="36" t="str">
        <x:f>IF(ISNUMBER(Y434),ROUND(Y434*0.8,2),"")</x:f>
      </x:c>
      <x:c r="AE434" s="36" t="str">
        <x:f>IF(ISNUMBER(AD434),ROUND(AD434*0.015+0.2,2),"")</x:f>
      </x:c>
      <x:c r="AF434" s="36" t="str">
        <x:f>IF(ISNUMBER(AD434),ROUND(AD434-AE434-V434,2),"")</x:f>
      </x:c>
      <x:c r="AG434" t="str">
        <x:f>IF(NOT(ISNUMBER(T434)),"PENDING",IF(AF434&gt;0,"PASS","FAIL"))</x:f>
        <x:v>PENDING</x:v>
      </x:c>
      <x:c r="AH434" t="str">
        <x:f>IF(NOT(ISNUMBER(T434)),"Needs supplier cost",IF(K434&lt;&gt;"In stock","Supplier unavailable",IF(AG434&lt;&gt;"PASS","BLOCK - GT loss risk","Commercially protected")))</x:f>
        <x:v>Needs supplier cost</x:v>
      </x:c>
      <x:c r="AI434" t="str">
        <x:v>2026-09-10 Active Sports trade capture</x:v>
      </x:c>
      <x:c r="AJ434" t="str">
        <x:v>Management-only economics. Stripe stress test uses 1.5% + £0.20 standard UK online-card fee; pallet/mix-and-match pricing ignored.</x:v>
      </x:c>
    </x:row>
    <x:row r="435">
      <x:c r="A435" t="str">
        <x:v>Active Sports Nutrition</x:v>
      </x:c>
      <x:c r="B435" t="str">
        <x:v>Beast Pharm</x:v>
      </x:c>
      <x:c r="C435" t="str">
        <x:v>Tacky - All Purpose</x:v>
      </x:c>
      <x:c r="D435" t="str">
        <x:v>Accessories</x:v>
      </x:c>
      <x:c r="E435" t="str">
        <x:v>Training Accessories</x:v>
      </x:c>
      <x:c r="F435" t="str">
        <x:v>Stone-lifting tacky.</x:v>
      </x:c>
      <x:c r="G435" t="str">
        <x:v>120g</x:v>
      </x:c>
      <x:c r="H435" t="str">
        <x:v>Default</x:v>
      </x:c>
      <x:c r="I435" t="str"/>
      <x:c r="J435" t="str">
        <x:v>Unit</x:v>
      </x:c>
      <x:c r="K435" t="str">
        <x:v>In stock</x:v>
      </x:c>
      <x:c r="L435" t="str">
        <x:v>2026-09-08</x:v>
      </x:c>
      <x:c r="M435" t="str"/>
      <x:c r="N435" t="str"/>
      <x:c r="O435" t="str">
        <x:v>https://www.activesportstrade.co.uk/beast-pharm-trade</x:v>
      </x:c>
      <x:c r="P435" t="str"/>
      <x:c r="Q435" t="str"/>
      <x:c r="R435" t="str"/>
      <x:c r="S435" t="str">
        <x:v>Pending genuine supplier/brand image</x:v>
      </x:c>
      <x:c r="T435" s="54"/>
      <x:c r="U435" s="47" t="n">
        <x:v>0.2</x:v>
      </x:c>
      <x:c r="V435" s="54" t="str">
        <x:f>IF(ISNUMBER(T435),T435*(1+U435),"")</x:f>
      </x:c>
      <x:c r="W435" s="47" t="n">
        <x:v>0.3</x:v>
      </x:c>
      <x:c r="X435" s="54" t="str">
        <x:f>IF(ISNUMBER(V435),V435/(1-W435),"")</x:f>
      </x:c>
      <x:c r="Y435" s="55" t="str">
        <x:f>IF(ISNUMBER(X435),ROUNDUP(X435,0),"")</x:f>
      </x:c>
      <x:c r="Z435" t="str">
        <x:f>IF(ISNUMBER(T435),"Cost captured","Awaiting trade cost")</x:f>
        <x:v>Awaiting trade cost</x:v>
      </x:c>
      <x:c r="AB435" s="36" t="str">
        <x:f>IF(ISNUMBER(Y435),ROUND(Y435*0.9,2),"")</x:f>
      </x:c>
      <x:c r="AC435" s="36" t="str">
        <x:f>IF(ISNUMBER(AB435),ROUND(AB435-(AB435*0.015+0.2)-V435,2),"")</x:f>
      </x:c>
      <x:c r="AD435" s="36" t="str">
        <x:f>IF(ISNUMBER(Y435),ROUND(Y435*0.8,2),"")</x:f>
      </x:c>
      <x:c r="AE435" s="36" t="str">
        <x:f>IF(ISNUMBER(AD435),ROUND(AD435*0.015+0.2,2),"")</x:f>
      </x:c>
      <x:c r="AF435" s="36" t="str">
        <x:f>IF(ISNUMBER(AD435),ROUND(AD435-AE435-V435,2),"")</x:f>
      </x:c>
      <x:c r="AG435" t="str">
        <x:f>IF(NOT(ISNUMBER(T435)),"PENDING",IF(AF435&gt;0,"PASS","FAIL"))</x:f>
        <x:v>PENDING</x:v>
      </x:c>
      <x:c r="AH435" t="str">
        <x:f>IF(NOT(ISNUMBER(T435)),"Needs supplier cost",IF(K435&lt;&gt;"In stock","Supplier unavailable",IF(AG435&lt;&gt;"PASS","BLOCK - GT loss risk","Commercially protected")))</x:f>
        <x:v>Needs supplier cost</x:v>
      </x:c>
      <x:c r="AI435" t="str">
        <x:v>2026-09-10 Active Sports trade capture</x:v>
      </x:c>
      <x:c r="AJ435" t="str">
        <x:v>Management-only economics. Stripe stress test uses 1.5% + £0.20 standard UK online-card fee; pallet/mix-and-match pricing ignored.</x:v>
      </x:c>
    </x:row>
    <x:row r="436">
      <x:c r="A436" t="str">
        <x:v>Active Sports Nutrition</x:v>
      </x:c>
      <x:c r="B436" t="str">
        <x:v>Beast Pharm</x:v>
      </x:c>
      <x:c r="C436" t="str">
        <x:v>Tacky - All Purpose</x:v>
      </x:c>
      <x:c r="D436" t="str">
        <x:v>Accessories</x:v>
      </x:c>
      <x:c r="E436" t="str">
        <x:v>Training Accessories</x:v>
      </x:c>
      <x:c r="F436" t="str">
        <x:v>Stone-lifting tacky.</x:v>
      </x:c>
      <x:c r="G436" t="str">
        <x:v>425g</x:v>
      </x:c>
      <x:c r="H436" t="str">
        <x:v>Default</x:v>
      </x:c>
      <x:c r="I436" t="str"/>
      <x:c r="J436" t="str">
        <x:v>Unit</x:v>
      </x:c>
      <x:c r="K436" t="str">
        <x:v>In stock</x:v>
      </x:c>
      <x:c r="L436" t="str">
        <x:v>2026-09-08</x:v>
      </x:c>
      <x:c r="M436" t="str"/>
      <x:c r="N436" t="str"/>
      <x:c r="O436" t="str">
        <x:v>https://www.activesportstrade.co.uk/beast-pharm-trade</x:v>
      </x:c>
      <x:c r="P436" t="str"/>
      <x:c r="Q436" t="str"/>
      <x:c r="R436" t="str"/>
      <x:c r="S436" t="str">
        <x:v>Pending genuine supplier/brand image</x:v>
      </x:c>
      <x:c r="T436" s="54"/>
      <x:c r="U436" s="47" t="n">
        <x:v>0.2</x:v>
      </x:c>
      <x:c r="V436" s="54" t="str">
        <x:f>IF(ISNUMBER(T436),T436*(1+U436),"")</x:f>
      </x:c>
      <x:c r="W436" s="47" t="n">
        <x:v>0.3</x:v>
      </x:c>
      <x:c r="X436" s="54" t="str">
        <x:f>IF(ISNUMBER(V436),V436/(1-W436),"")</x:f>
      </x:c>
      <x:c r="Y436" s="55" t="str">
        <x:f>IF(ISNUMBER(X436),ROUNDUP(X436,0),"")</x:f>
      </x:c>
      <x:c r="Z436" t="str">
        <x:f>IF(ISNUMBER(T436),"Cost captured","Awaiting trade cost")</x:f>
        <x:v>Awaiting trade cost</x:v>
      </x:c>
      <x:c r="AB436" s="36" t="str">
        <x:f>IF(ISNUMBER(Y436),ROUND(Y436*0.9,2),"")</x:f>
      </x:c>
      <x:c r="AC436" s="36" t="str">
        <x:f>IF(ISNUMBER(AB436),ROUND(AB436-(AB436*0.015+0.2)-V436,2),"")</x:f>
      </x:c>
      <x:c r="AD436" s="36" t="str">
        <x:f>IF(ISNUMBER(Y436),ROUND(Y436*0.8,2),"")</x:f>
      </x:c>
      <x:c r="AE436" s="36" t="str">
        <x:f>IF(ISNUMBER(AD436),ROUND(AD436*0.015+0.2,2),"")</x:f>
      </x:c>
      <x:c r="AF436" s="36" t="str">
        <x:f>IF(ISNUMBER(AD436),ROUND(AD436-AE436-V436,2),"")</x:f>
      </x:c>
      <x:c r="AG436" t="str">
        <x:f>IF(NOT(ISNUMBER(T436)),"PENDING",IF(AF436&gt;0,"PASS","FAIL"))</x:f>
        <x:v>PENDING</x:v>
      </x:c>
      <x:c r="AH436" t="str">
        <x:f>IF(NOT(ISNUMBER(T436)),"Needs supplier cost",IF(K436&lt;&gt;"In stock","Supplier unavailable",IF(AG436&lt;&gt;"PASS","BLOCK - GT loss risk","Commercially protected")))</x:f>
        <x:v>Needs supplier cost</x:v>
      </x:c>
      <x:c r="AI436" t="str">
        <x:v>2026-09-10 Active Sports trade capture</x:v>
      </x:c>
      <x:c r="AJ436" t="str">
        <x:v>Management-only economics. Stripe stress test uses 1.5% + £0.20 standard UK online-card fee; pallet/mix-and-match pricing ignored.</x:v>
      </x:c>
    </x:row>
    <x:row r="437">
      <x:c r="A437" t="str">
        <x:v>Active Sports Nutrition</x:v>
      </x:c>
      <x:c r="B437" t="str">
        <x:v>Beast Pharm</x:v>
      </x:c>
      <x:c r="C437" t="str">
        <x:v>Tacky - World's Strongest</x:v>
      </x:c>
      <x:c r="D437" t="str">
        <x:v>Accessories</x:v>
      </x:c>
      <x:c r="E437" t="str">
        <x:v>Training Accessories</x:v>
      </x:c>
      <x:c r="F437" t="str">
        <x:v>High-strength stone-lifting tacky.</x:v>
      </x:c>
      <x:c r="G437" t="str">
        <x:v>120g</x:v>
      </x:c>
      <x:c r="H437" t="str">
        <x:v>Default</x:v>
      </x:c>
      <x:c r="I437" t="str"/>
      <x:c r="J437" t="str">
        <x:v>Unit</x:v>
      </x:c>
      <x:c r="K437" t="str">
        <x:v>In stock</x:v>
      </x:c>
      <x:c r="L437" t="str">
        <x:v>2026-09-08</x:v>
      </x:c>
      <x:c r="M437" t="str"/>
      <x:c r="N437" t="str"/>
      <x:c r="O437" t="str">
        <x:v>https://www.activesportstrade.co.uk/beast-pharm-trade</x:v>
      </x:c>
      <x:c r="P437" t="str"/>
      <x:c r="Q437" t="str"/>
      <x:c r="R437" t="str"/>
      <x:c r="S437" t="str">
        <x:v>Pending genuine supplier/brand image</x:v>
      </x:c>
      <x:c r="T437" s="54"/>
      <x:c r="U437" s="47" t="n">
        <x:v>0.2</x:v>
      </x:c>
      <x:c r="V437" s="54" t="str">
        <x:f>IF(ISNUMBER(T437),T437*(1+U437),"")</x:f>
      </x:c>
      <x:c r="W437" s="47" t="n">
        <x:v>0.3</x:v>
      </x:c>
      <x:c r="X437" s="54" t="str">
        <x:f>IF(ISNUMBER(V437),V437/(1-W437),"")</x:f>
      </x:c>
      <x:c r="Y437" s="55" t="str">
        <x:f>IF(ISNUMBER(X437),ROUNDUP(X437,0),"")</x:f>
      </x:c>
      <x:c r="Z437" t="str">
        <x:f>IF(ISNUMBER(T437),"Cost captured","Awaiting trade cost")</x:f>
        <x:v>Awaiting trade cost</x:v>
      </x:c>
      <x:c r="AB437" s="36" t="str">
        <x:f>IF(ISNUMBER(Y437),ROUND(Y437*0.9,2),"")</x:f>
      </x:c>
      <x:c r="AC437" s="36" t="str">
        <x:f>IF(ISNUMBER(AB437),ROUND(AB437-(AB437*0.015+0.2)-V437,2),"")</x:f>
      </x:c>
      <x:c r="AD437" s="36" t="str">
        <x:f>IF(ISNUMBER(Y437),ROUND(Y437*0.8,2),"")</x:f>
      </x:c>
      <x:c r="AE437" s="36" t="str">
        <x:f>IF(ISNUMBER(AD437),ROUND(AD437*0.015+0.2,2),"")</x:f>
      </x:c>
      <x:c r="AF437" s="36" t="str">
        <x:f>IF(ISNUMBER(AD437),ROUND(AD437-AE437-V437,2),"")</x:f>
      </x:c>
      <x:c r="AG437" t="str">
        <x:f>IF(NOT(ISNUMBER(T437)),"PENDING",IF(AF437&gt;0,"PASS","FAIL"))</x:f>
        <x:v>PENDING</x:v>
      </x:c>
      <x:c r="AH437" t="str">
        <x:f>IF(NOT(ISNUMBER(T437)),"Needs supplier cost",IF(K437&lt;&gt;"In stock","Supplier unavailable",IF(AG437&lt;&gt;"PASS","BLOCK - GT loss risk","Commercially protected")))</x:f>
        <x:v>Needs supplier cost</x:v>
      </x:c>
      <x:c r="AI437" t="str">
        <x:v>2026-09-10 Active Sports trade capture</x:v>
      </x:c>
      <x:c r="AJ437" t="str">
        <x:v>Management-only economics. Stripe stress test uses 1.5% + £0.20 standard UK online-card fee; pallet/mix-and-match pricing ignored.</x:v>
      </x:c>
    </x:row>
    <x:row r="438">
      <x:c r="A438" t="str">
        <x:v>Active Sports Nutrition</x:v>
      </x:c>
      <x:c r="B438" t="str">
        <x:v>Beast Pharm</x:v>
      </x:c>
      <x:c r="C438" t="str">
        <x:v>Tacky - World's Strongest</x:v>
      </x:c>
      <x:c r="D438" t="str">
        <x:v>Accessories</x:v>
      </x:c>
      <x:c r="E438" t="str">
        <x:v>Training Accessories</x:v>
      </x:c>
      <x:c r="F438" t="str">
        <x:v>High-strength stone-lifting tacky.</x:v>
      </x:c>
      <x:c r="G438" t="str">
        <x:v>425g</x:v>
      </x:c>
      <x:c r="H438" t="str">
        <x:v>Default</x:v>
      </x:c>
      <x:c r="I438" t="str"/>
      <x:c r="J438" t="str">
        <x:v>Unit</x:v>
      </x:c>
      <x:c r="K438" t="str">
        <x:v>In stock</x:v>
      </x:c>
      <x:c r="L438" t="str">
        <x:v>2026-09-08</x:v>
      </x:c>
      <x:c r="M438" t="str"/>
      <x:c r="N438" t="str"/>
      <x:c r="O438" t="str">
        <x:v>https://www.activesportstrade.co.uk/beast-pharm-trade</x:v>
      </x:c>
      <x:c r="P438" t="str"/>
      <x:c r="Q438" t="str"/>
      <x:c r="R438" t="str"/>
      <x:c r="S438" t="str">
        <x:v>Pending genuine supplier/brand image</x:v>
      </x:c>
      <x:c r="T438" s="54"/>
      <x:c r="U438" s="47" t="n">
        <x:v>0.2</x:v>
      </x:c>
      <x:c r="V438" s="54" t="str">
        <x:f>IF(ISNUMBER(T438),T438*(1+U438),"")</x:f>
      </x:c>
      <x:c r="W438" s="47" t="n">
        <x:v>0.3</x:v>
      </x:c>
      <x:c r="X438" s="54" t="str">
        <x:f>IF(ISNUMBER(V438),V438/(1-W438),"")</x:f>
      </x:c>
      <x:c r="Y438" s="55" t="str">
        <x:f>IF(ISNUMBER(X438),ROUNDUP(X438,0),"")</x:f>
      </x:c>
      <x:c r="Z438" t="str">
        <x:f>IF(ISNUMBER(T438),"Cost captured","Awaiting trade cost")</x:f>
        <x:v>Awaiting trade cost</x:v>
      </x:c>
      <x:c r="AB438" s="36" t="str">
        <x:f>IF(ISNUMBER(Y438),ROUND(Y438*0.9,2),"")</x:f>
      </x:c>
      <x:c r="AC438" s="36" t="str">
        <x:f>IF(ISNUMBER(AB438),ROUND(AB438-(AB438*0.015+0.2)-V438,2),"")</x:f>
      </x:c>
      <x:c r="AD438" s="36" t="str">
        <x:f>IF(ISNUMBER(Y438),ROUND(Y438*0.8,2),"")</x:f>
      </x:c>
      <x:c r="AE438" s="36" t="str">
        <x:f>IF(ISNUMBER(AD438),ROUND(AD438*0.015+0.2,2),"")</x:f>
      </x:c>
      <x:c r="AF438" s="36" t="str">
        <x:f>IF(ISNUMBER(AD438),ROUND(AD438-AE438-V438,2),"")</x:f>
      </x:c>
      <x:c r="AG438" t="str">
        <x:f>IF(NOT(ISNUMBER(T438)),"PENDING",IF(AF438&gt;0,"PASS","FAIL"))</x:f>
        <x:v>PENDING</x:v>
      </x:c>
      <x:c r="AH438" t="str">
        <x:f>IF(NOT(ISNUMBER(T438)),"Needs supplier cost",IF(K438&lt;&gt;"In stock","Supplier unavailable",IF(AG438&lt;&gt;"PASS","BLOCK - GT loss risk","Commercially protected")))</x:f>
        <x:v>Needs supplier cost</x:v>
      </x:c>
      <x:c r="AI438" t="str">
        <x:v>2026-09-10 Active Sports trade capture</x:v>
      </x:c>
      <x:c r="AJ438" t="str">
        <x:v>Management-only economics. Stripe stress test uses 1.5% + £0.20 standard UK online-card fee; pallet/mix-and-match pricing ignored.</x:v>
      </x:c>
    </x:row>
    <x:row r="439">
      <x:c r="A439" t="str">
        <x:v>Active Sports Nutrition</x:v>
      </x:c>
      <x:c r="B439" t="str">
        <x:v>Beast Pharm</x:v>
      </x:c>
      <x:c r="C439" t="str">
        <x:v>Tacky Remover</x:v>
      </x:c>
      <x:c r="D439" t="str">
        <x:v>Accessories</x:v>
      </x:c>
      <x:c r="E439" t="str">
        <x:v>Training Accessories</x:v>
      </x:c>
      <x:c r="F439" t="str">
        <x:v>Tacky-removal spray.</x:v>
      </x:c>
      <x:c r="G439" t="str">
        <x:v>100ml</x:v>
      </x:c>
      <x:c r="H439" t="str">
        <x:v>Default</x:v>
      </x:c>
      <x:c r="I439" t="str"/>
      <x:c r="J439" t="str">
        <x:v>Unit</x:v>
      </x:c>
      <x:c r="K439" t="str">
        <x:v>In stock</x:v>
      </x:c>
      <x:c r="L439" t="str">
        <x:v>2026-09-08</x:v>
      </x:c>
      <x:c r="M439" t="str"/>
      <x:c r="N439" t="str"/>
      <x:c r="O439" t="str">
        <x:v>https://www.activesportstrade.co.uk/beast-pharm-trade</x:v>
      </x:c>
      <x:c r="P439" t="str"/>
      <x:c r="Q439" t="str"/>
      <x:c r="R439" t="str"/>
      <x:c r="S439" t="str">
        <x:v>Pending genuine supplier/brand image</x:v>
      </x:c>
      <x:c r="T439" s="54"/>
      <x:c r="U439" s="47" t="n">
        <x:v>0.2</x:v>
      </x:c>
      <x:c r="V439" s="54" t="str">
        <x:f>IF(ISNUMBER(T439),T439*(1+U439),"")</x:f>
      </x:c>
      <x:c r="W439" s="47" t="n">
        <x:v>0.3</x:v>
      </x:c>
      <x:c r="X439" s="54" t="str">
        <x:f>IF(ISNUMBER(V439),V439/(1-W439),"")</x:f>
      </x:c>
      <x:c r="Y439" s="55" t="str">
        <x:f>IF(ISNUMBER(X439),ROUNDUP(X439,0),"")</x:f>
      </x:c>
      <x:c r="Z439" t="str">
        <x:f>IF(ISNUMBER(T439),"Cost captured","Awaiting trade cost")</x:f>
        <x:v>Awaiting trade cost</x:v>
      </x:c>
      <x:c r="AB439" s="36" t="str">
        <x:f>IF(ISNUMBER(Y439),ROUND(Y439*0.9,2),"")</x:f>
      </x:c>
      <x:c r="AC439" s="36" t="str">
        <x:f>IF(ISNUMBER(AB439),ROUND(AB439-(AB439*0.015+0.2)-V439,2),"")</x:f>
      </x:c>
      <x:c r="AD439" s="36" t="str">
        <x:f>IF(ISNUMBER(Y439),ROUND(Y439*0.8,2),"")</x:f>
      </x:c>
      <x:c r="AE439" s="36" t="str">
        <x:f>IF(ISNUMBER(AD439),ROUND(AD439*0.015+0.2,2),"")</x:f>
      </x:c>
      <x:c r="AF439" s="36" t="str">
        <x:f>IF(ISNUMBER(AD439),ROUND(AD439-AE439-V439,2),"")</x:f>
      </x:c>
      <x:c r="AG439" t="str">
        <x:f>IF(NOT(ISNUMBER(T439)),"PENDING",IF(AF439&gt;0,"PASS","FAIL"))</x:f>
        <x:v>PENDING</x:v>
      </x:c>
      <x:c r="AH439" t="str">
        <x:f>IF(NOT(ISNUMBER(T439)),"Needs supplier cost",IF(K439&lt;&gt;"In stock","Supplier unavailable",IF(AG439&lt;&gt;"PASS","BLOCK - GT loss risk","Commercially protected")))</x:f>
        <x:v>Needs supplier cost</x:v>
      </x:c>
      <x:c r="AI439" t="str">
        <x:v>2026-09-10 Active Sports trade capture</x:v>
      </x:c>
      <x:c r="AJ439" t="str">
        <x:v>Management-only economics. Stripe stress test uses 1.5% + £0.20 standard UK online-card fee; pallet/mix-and-match pricing ignored.</x:v>
      </x:c>
    </x:row>
    <x:row r="440">
      <x:c r="A440" t="str">
        <x:v>Active Sports Nutrition</x:v>
      </x:c>
      <x:c r="B440" t="str">
        <x:v>Beast Pharm</x:v>
      </x:c>
      <x:c r="C440" t="str">
        <x:v>Whey Protein</x:v>
      </x:c>
      <x:c r="D440" t="str">
        <x:v>Supplements</x:v>
      </x:c>
      <x:c r="E440" t="str">
        <x:v>Protein Blends</x:v>
      </x:c>
      <x:c r="F440" t="str">
        <x:v>Advanced whey protein complex.</x:v>
      </x:c>
      <x:c r="G440" t="str">
        <x:v>67 servings</x:v>
      </x:c>
      <x:c r="H440" t="str">
        <x:v>Banoffee Pie</x:v>
      </x:c>
      <x:c r="I440" t="str"/>
      <x:c r="J440" t="str">
        <x:v>Unit</x:v>
      </x:c>
      <x:c r="K440" t="str">
        <x:v>In stock</x:v>
      </x:c>
      <x:c r="L440" t="str">
        <x:v>2026-09-08</x:v>
      </x:c>
      <x:c r="M440" t="str"/>
      <x:c r="N440" t="str"/>
      <x:c r="O440" t="str">
        <x:v>https://www.activesportstrade.co.uk/beast-pharm-trade</x:v>
      </x:c>
      <x:c r="P440" t="str"/>
      <x:c r="Q440" t="str"/>
      <x:c r="R440" t="str"/>
      <x:c r="S440" t="str">
        <x:v>Pending genuine supplier/brand image</x:v>
      </x:c>
      <x:c r="T440" s="54"/>
      <x:c r="U440" s="47" t="n">
        <x:v>0.2</x:v>
      </x:c>
      <x:c r="V440" s="54" t="str">
        <x:f>IF(ISNUMBER(T440),T440*(1+U440),"")</x:f>
      </x:c>
      <x:c r="W440" s="47" t="n">
        <x:v>0.3</x:v>
      </x:c>
      <x:c r="X440" s="54" t="str">
        <x:f>IF(ISNUMBER(V440),V440/(1-W440),"")</x:f>
      </x:c>
      <x:c r="Y440" s="55" t="str">
        <x:f>IF(ISNUMBER(X440),ROUNDUP(X440,0),"")</x:f>
      </x:c>
      <x:c r="Z440" t="str">
        <x:f>IF(ISNUMBER(T440),"Cost captured","Awaiting trade cost")</x:f>
        <x:v>Awaiting trade cost</x:v>
      </x:c>
      <x:c r="AB440" s="36" t="str">
        <x:f>IF(ISNUMBER(Y440),ROUND(Y440*0.9,2),"")</x:f>
      </x:c>
      <x:c r="AC440" s="36" t="str">
        <x:f>IF(ISNUMBER(AB440),ROUND(AB440-(AB440*0.015+0.2)-V440,2),"")</x:f>
      </x:c>
      <x:c r="AD440" s="36" t="str">
        <x:f>IF(ISNUMBER(Y440),ROUND(Y440*0.8,2),"")</x:f>
      </x:c>
      <x:c r="AE440" s="36" t="str">
        <x:f>IF(ISNUMBER(AD440),ROUND(AD440*0.015+0.2,2),"")</x:f>
      </x:c>
      <x:c r="AF440" s="36" t="str">
        <x:f>IF(ISNUMBER(AD440),ROUND(AD440-AE440-V440,2),"")</x:f>
      </x:c>
      <x:c r="AG440" t="str">
        <x:f>IF(NOT(ISNUMBER(T440)),"PENDING",IF(AF440&gt;0,"PASS","FAIL"))</x:f>
        <x:v>PENDING</x:v>
      </x:c>
      <x:c r="AH440" t="str">
        <x:f>IF(NOT(ISNUMBER(T440)),"Needs supplier cost",IF(K440&lt;&gt;"In stock","Supplier unavailable",IF(AG440&lt;&gt;"PASS","BLOCK - GT loss risk","Commercially protected")))</x:f>
        <x:v>Needs supplier cost</x:v>
      </x:c>
      <x:c r="AI440" t="str">
        <x:v>2026-09-10 Active Sports trade capture</x:v>
      </x:c>
      <x:c r="AJ440" t="str">
        <x:v>Management-only economics. Stripe stress test uses 1.5% + £0.20 standard UK online-card fee; pallet/mix-and-match pricing ignored.</x:v>
      </x:c>
    </x:row>
    <x:row r="441">
      <x:c r="A441" t="str">
        <x:v>Active Sports Nutrition</x:v>
      </x:c>
      <x:c r="B441" t="str">
        <x:v>Beast Pharm</x:v>
      </x:c>
      <x:c r="C441" t="str">
        <x:v>Whey Protein</x:v>
      </x:c>
      <x:c r="D441" t="str">
        <x:v>Supplements</x:v>
      </x:c>
      <x:c r="E441" t="str">
        <x:v>Protein Blends</x:v>
      </x:c>
      <x:c r="F441" t="str">
        <x:v>Advanced whey protein complex.</x:v>
      </x:c>
      <x:c r="G441" t="str">
        <x:v>67 servings</x:v>
      </x:c>
      <x:c r="H441" t="str">
        <x:v>Chocolate Fudge Cake</x:v>
      </x:c>
      <x:c r="I441" t="str"/>
      <x:c r="J441" t="str">
        <x:v>Unit</x:v>
      </x:c>
      <x:c r="K441" t="str">
        <x:v>In stock</x:v>
      </x:c>
      <x:c r="L441" t="str">
        <x:v>2026-09-08</x:v>
      </x:c>
      <x:c r="M441" t="str"/>
      <x:c r="N441" t="str"/>
      <x:c r="O441" t="str">
        <x:v>https://www.activesportstrade.co.uk/beast-pharm-trade</x:v>
      </x:c>
      <x:c r="P441" t="str"/>
      <x:c r="Q441" t="str"/>
      <x:c r="R441" t="str"/>
      <x:c r="S441" t="str">
        <x:v>Pending genuine supplier/brand image</x:v>
      </x:c>
      <x:c r="T441" s="54"/>
      <x:c r="U441" s="47" t="n">
        <x:v>0.2</x:v>
      </x:c>
      <x:c r="V441" s="54" t="str">
        <x:f>IF(ISNUMBER(T441),T441*(1+U441),"")</x:f>
      </x:c>
      <x:c r="W441" s="47" t="n">
        <x:v>0.3</x:v>
      </x:c>
      <x:c r="X441" s="54" t="str">
        <x:f>IF(ISNUMBER(V441),V441/(1-W441),"")</x:f>
      </x:c>
      <x:c r="Y441" s="55" t="str">
        <x:f>IF(ISNUMBER(X441),ROUNDUP(X441,0),"")</x:f>
      </x:c>
      <x:c r="Z441" t="str">
        <x:f>IF(ISNUMBER(T441),"Cost captured","Awaiting trade cost")</x:f>
        <x:v>Awaiting trade cost</x:v>
      </x:c>
      <x:c r="AB441" s="36" t="str">
        <x:f>IF(ISNUMBER(Y441),ROUND(Y441*0.9,2),"")</x:f>
      </x:c>
      <x:c r="AC441" s="36" t="str">
        <x:f>IF(ISNUMBER(AB441),ROUND(AB441-(AB441*0.015+0.2)-V441,2),"")</x:f>
      </x:c>
      <x:c r="AD441" s="36" t="str">
        <x:f>IF(ISNUMBER(Y441),ROUND(Y441*0.8,2),"")</x:f>
      </x:c>
      <x:c r="AE441" s="36" t="str">
        <x:f>IF(ISNUMBER(AD441),ROUND(AD441*0.015+0.2,2),"")</x:f>
      </x:c>
      <x:c r="AF441" s="36" t="str">
        <x:f>IF(ISNUMBER(AD441),ROUND(AD441-AE441-V441,2),"")</x:f>
      </x:c>
      <x:c r="AG441" t="str">
        <x:f>IF(NOT(ISNUMBER(T441)),"PENDING",IF(AF441&gt;0,"PASS","FAIL"))</x:f>
        <x:v>PENDING</x:v>
      </x:c>
      <x:c r="AH441" t="str">
        <x:f>IF(NOT(ISNUMBER(T441)),"Needs supplier cost",IF(K441&lt;&gt;"In stock","Supplier unavailable",IF(AG441&lt;&gt;"PASS","BLOCK - GT loss risk","Commercially protected")))</x:f>
        <x:v>Needs supplier cost</x:v>
      </x:c>
      <x:c r="AI441" t="str">
        <x:v>2026-09-10 Active Sports trade capture</x:v>
      </x:c>
      <x:c r="AJ441" t="str">
        <x:v>Management-only economics. Stripe stress test uses 1.5% + £0.20 standard UK online-card fee; pallet/mix-and-match pricing ignored.</x:v>
      </x:c>
    </x:row>
    <x:row r="442">
      <x:c r="A442" t="str">
        <x:v>Active Sports Nutrition</x:v>
      </x:c>
      <x:c r="B442" t="str">
        <x:v>Beast Pharm</x:v>
      </x:c>
      <x:c r="C442" t="str">
        <x:v>Whey Protein</x:v>
      </x:c>
      <x:c r="D442" t="str">
        <x:v>Supplements</x:v>
      </x:c>
      <x:c r="E442" t="str">
        <x:v>Protein Blends</x:v>
      </x:c>
      <x:c r="F442" t="str">
        <x:v>Advanced whey protein complex.</x:v>
      </x:c>
      <x:c r="G442" t="str">
        <x:v>67 servings</x:v>
      </x:c>
      <x:c r="H442" t="str">
        <x:v>Cookies &amp; Cream</x:v>
      </x:c>
      <x:c r="I442" t="str"/>
      <x:c r="J442" t="str">
        <x:v>Unit</x:v>
      </x:c>
      <x:c r="K442" t="str">
        <x:v>In stock</x:v>
      </x:c>
      <x:c r="L442" t="str">
        <x:v>2026-09-08</x:v>
      </x:c>
      <x:c r="M442" t="str"/>
      <x:c r="N442" t="str"/>
      <x:c r="O442" t="str">
        <x:v>https://www.activesportstrade.co.uk/beast-pharm-trade</x:v>
      </x:c>
      <x:c r="P442" t="str"/>
      <x:c r="Q442" t="str"/>
      <x:c r="R442" t="str"/>
      <x:c r="S442" t="str">
        <x:v>Pending genuine supplier/brand image</x:v>
      </x:c>
      <x:c r="T442" s="54"/>
      <x:c r="U442" s="47" t="n">
        <x:v>0.2</x:v>
      </x:c>
      <x:c r="V442" s="54" t="str">
        <x:f>IF(ISNUMBER(T442),T442*(1+U442),"")</x:f>
      </x:c>
      <x:c r="W442" s="47" t="n">
        <x:v>0.3</x:v>
      </x:c>
      <x:c r="X442" s="54" t="str">
        <x:f>IF(ISNUMBER(V442),V442/(1-W442),"")</x:f>
      </x:c>
      <x:c r="Y442" s="55" t="str">
        <x:f>IF(ISNUMBER(X442),ROUNDUP(X442,0),"")</x:f>
      </x:c>
      <x:c r="Z442" t="str">
        <x:f>IF(ISNUMBER(T442),"Cost captured","Awaiting trade cost")</x:f>
        <x:v>Awaiting trade cost</x:v>
      </x:c>
      <x:c r="AB442" s="36" t="str">
        <x:f>IF(ISNUMBER(Y442),ROUND(Y442*0.9,2),"")</x:f>
      </x:c>
      <x:c r="AC442" s="36" t="str">
        <x:f>IF(ISNUMBER(AB442),ROUND(AB442-(AB442*0.015+0.2)-V442,2),"")</x:f>
      </x:c>
      <x:c r="AD442" s="36" t="str">
        <x:f>IF(ISNUMBER(Y442),ROUND(Y442*0.8,2),"")</x:f>
      </x:c>
      <x:c r="AE442" s="36" t="str">
        <x:f>IF(ISNUMBER(AD442),ROUND(AD442*0.015+0.2,2),"")</x:f>
      </x:c>
      <x:c r="AF442" s="36" t="str">
        <x:f>IF(ISNUMBER(AD442),ROUND(AD442-AE442-V442,2),"")</x:f>
      </x:c>
      <x:c r="AG442" t="str">
        <x:f>IF(NOT(ISNUMBER(T442)),"PENDING",IF(AF442&gt;0,"PASS","FAIL"))</x:f>
        <x:v>PENDING</x:v>
      </x:c>
      <x:c r="AH442" t="str">
        <x:f>IF(NOT(ISNUMBER(T442)),"Needs supplier cost",IF(K442&lt;&gt;"In stock","Supplier unavailable",IF(AG442&lt;&gt;"PASS","BLOCK - GT loss risk","Commercially protected")))</x:f>
        <x:v>Needs supplier cost</x:v>
      </x:c>
      <x:c r="AI442" t="str">
        <x:v>2026-09-10 Active Sports trade capture</x:v>
      </x:c>
      <x:c r="AJ442" t="str">
        <x:v>Management-only economics. Stripe stress test uses 1.5% + £0.20 standard UK online-card fee; pallet/mix-and-match pricing ignored.</x:v>
      </x:c>
    </x:row>
    <x:row r="443">
      <x:c r="A443" t="str">
        <x:v>Active Sports Nutrition</x:v>
      </x:c>
      <x:c r="B443" t="str">
        <x:v>Beast Pharm</x:v>
      </x:c>
      <x:c r="C443" t="str">
        <x:v>Whey Protein</x:v>
      </x:c>
      <x:c r="D443" t="str">
        <x:v>Supplements</x:v>
      </x:c>
      <x:c r="E443" t="str">
        <x:v>Protein Blends</x:v>
      </x:c>
      <x:c r="F443" t="str">
        <x:v>Advanced whey protein complex.</x:v>
      </x:c>
      <x:c r="G443" t="str">
        <x:v>67 servings</x:v>
      </x:c>
      <x:c r="H443" t="str">
        <x:v>Jammy Biscuit</x:v>
      </x:c>
      <x:c r="I443" t="str"/>
      <x:c r="J443" t="str">
        <x:v>Unit</x:v>
      </x:c>
      <x:c r="K443" t="str">
        <x:v>In stock</x:v>
      </x:c>
      <x:c r="L443" t="str">
        <x:v>2026-09-08</x:v>
      </x:c>
      <x:c r="M443" t="str"/>
      <x:c r="N443" t="str"/>
      <x:c r="O443" t="str">
        <x:v>https://www.activesportstrade.co.uk/beast-pharm-trade</x:v>
      </x:c>
      <x:c r="P443" t="str"/>
      <x:c r="Q443" t="str"/>
      <x:c r="R443" t="str"/>
      <x:c r="S443" t="str">
        <x:v>Pending genuine supplier/brand image</x:v>
      </x:c>
      <x:c r="T443" s="54"/>
      <x:c r="U443" s="47" t="n">
        <x:v>0.2</x:v>
      </x:c>
      <x:c r="V443" s="54" t="str">
        <x:f>IF(ISNUMBER(T443),T443*(1+U443),"")</x:f>
      </x:c>
      <x:c r="W443" s="47" t="n">
        <x:v>0.3</x:v>
      </x:c>
      <x:c r="X443" s="54" t="str">
        <x:f>IF(ISNUMBER(V443),V443/(1-W443),"")</x:f>
      </x:c>
      <x:c r="Y443" s="55" t="str">
        <x:f>IF(ISNUMBER(X443),ROUNDUP(X443,0),"")</x:f>
      </x:c>
      <x:c r="Z443" t="str">
        <x:f>IF(ISNUMBER(T443),"Cost captured","Awaiting trade cost")</x:f>
        <x:v>Awaiting trade cost</x:v>
      </x:c>
      <x:c r="AB443" s="36" t="str">
        <x:f>IF(ISNUMBER(Y443),ROUND(Y443*0.9,2),"")</x:f>
      </x:c>
      <x:c r="AC443" s="36" t="str">
        <x:f>IF(ISNUMBER(AB443),ROUND(AB443-(AB443*0.015+0.2)-V443,2),"")</x:f>
      </x:c>
      <x:c r="AD443" s="36" t="str">
        <x:f>IF(ISNUMBER(Y443),ROUND(Y443*0.8,2),"")</x:f>
      </x:c>
      <x:c r="AE443" s="36" t="str">
        <x:f>IF(ISNUMBER(AD443),ROUND(AD443*0.015+0.2,2),"")</x:f>
      </x:c>
      <x:c r="AF443" s="36" t="str">
        <x:f>IF(ISNUMBER(AD443),ROUND(AD443-AE443-V443,2),"")</x:f>
      </x:c>
      <x:c r="AG443" t="str">
        <x:f>IF(NOT(ISNUMBER(T443)),"PENDING",IF(AF443&gt;0,"PASS","FAIL"))</x:f>
        <x:v>PENDING</x:v>
      </x:c>
      <x:c r="AH443" t="str">
        <x:f>IF(NOT(ISNUMBER(T443)),"Needs supplier cost",IF(K443&lt;&gt;"In stock","Supplier unavailable",IF(AG443&lt;&gt;"PASS","BLOCK - GT loss risk","Commercially protected")))</x:f>
        <x:v>Needs supplier cost</x:v>
      </x:c>
      <x:c r="AI443" t="str">
        <x:v>2026-09-10 Active Sports trade capture</x:v>
      </x:c>
      <x:c r="AJ443" t="str">
        <x:v>Management-only economics. Stripe stress test uses 1.5% + £0.20 standard UK online-card fee; pallet/mix-and-match pricing ignored.</x:v>
      </x:c>
    </x:row>
    <x:row r="444">
      <x:c r="A444" t="str">
        <x:v>Active Sports Nutrition</x:v>
      </x:c>
      <x:c r="B444" t="str">
        <x:v>Beast Pharm</x:v>
      </x:c>
      <x:c r="C444" t="str">
        <x:v>Whey Protein</x:v>
      </x:c>
      <x:c r="D444" t="str">
        <x:v>Supplements</x:v>
      </x:c>
      <x:c r="E444" t="str">
        <x:v>Protein Blends</x:v>
      </x:c>
      <x:c r="F444" t="str">
        <x:v>Advanced whey protein complex.</x:v>
      </x:c>
      <x:c r="G444" t="str">
        <x:v>67 servings</x:v>
      </x:c>
      <x:c r="H444" t="str">
        <x:v>Strawberry Cheesecake</x:v>
      </x:c>
      <x:c r="I444" t="str"/>
      <x:c r="J444" t="str">
        <x:v>Unit</x:v>
      </x:c>
      <x:c r="K444" t="str">
        <x:v>In stock</x:v>
      </x:c>
      <x:c r="L444" t="str">
        <x:v>2026-09-08</x:v>
      </x:c>
      <x:c r="M444" t="str"/>
      <x:c r="N444" t="str"/>
      <x:c r="O444" t="str">
        <x:v>https://www.activesportstrade.co.uk/beast-pharm-trade</x:v>
      </x:c>
      <x:c r="P444" t="str"/>
      <x:c r="Q444" t="str"/>
      <x:c r="R444" t="str"/>
      <x:c r="S444" t="str">
        <x:v>Pending genuine supplier/brand image</x:v>
      </x:c>
      <x:c r="T444" s="54"/>
      <x:c r="U444" s="47" t="n">
        <x:v>0.2</x:v>
      </x:c>
      <x:c r="V444" s="54" t="str">
        <x:f>IF(ISNUMBER(T444),T444*(1+U444),"")</x:f>
      </x:c>
      <x:c r="W444" s="47" t="n">
        <x:v>0.3</x:v>
      </x:c>
      <x:c r="X444" s="54" t="str">
        <x:f>IF(ISNUMBER(V444),V444/(1-W444),"")</x:f>
      </x:c>
      <x:c r="Y444" s="55" t="str">
        <x:f>IF(ISNUMBER(X444),ROUNDUP(X444,0),"")</x:f>
      </x:c>
      <x:c r="Z444" t="str">
        <x:f>IF(ISNUMBER(T444),"Cost captured","Awaiting trade cost")</x:f>
        <x:v>Awaiting trade cost</x:v>
      </x:c>
      <x:c r="AB444" s="36" t="str">
        <x:f>IF(ISNUMBER(Y444),ROUND(Y444*0.9,2),"")</x:f>
      </x:c>
      <x:c r="AC444" s="36" t="str">
        <x:f>IF(ISNUMBER(AB444),ROUND(AB444-(AB444*0.015+0.2)-V444,2),"")</x:f>
      </x:c>
      <x:c r="AD444" s="36" t="str">
        <x:f>IF(ISNUMBER(Y444),ROUND(Y444*0.8,2),"")</x:f>
      </x:c>
      <x:c r="AE444" s="36" t="str">
        <x:f>IF(ISNUMBER(AD444),ROUND(AD444*0.015+0.2,2),"")</x:f>
      </x:c>
      <x:c r="AF444" s="36" t="str">
        <x:f>IF(ISNUMBER(AD444),ROUND(AD444-AE444-V444,2),"")</x:f>
      </x:c>
      <x:c r="AG444" t="str">
        <x:f>IF(NOT(ISNUMBER(T444)),"PENDING",IF(AF444&gt;0,"PASS","FAIL"))</x:f>
        <x:v>PENDING</x:v>
      </x:c>
      <x:c r="AH444" t="str">
        <x:f>IF(NOT(ISNUMBER(T444)),"Needs supplier cost",IF(K444&lt;&gt;"In stock","Supplier unavailable",IF(AG444&lt;&gt;"PASS","BLOCK - GT loss risk","Commercially protected")))</x:f>
        <x:v>Needs supplier cost</x:v>
      </x:c>
      <x:c r="AI444" t="str">
        <x:v>2026-09-10 Active Sports trade capture</x:v>
      </x:c>
      <x:c r="AJ444" t="str">
        <x:v>Management-only economics. Stripe stress test uses 1.5% + £0.20 standard UK online-card fee; pallet/mix-and-match pricing ignored.</x:v>
      </x:c>
    </x:row>
    <x:row r="445">
      <x:c r="A445" t="str">
        <x:v>Active Sports Nutrition</x:v>
      </x:c>
      <x:c r="B445" t="str">
        <x:v>Beast Pharm</x:v>
      </x:c>
      <x:c r="C445" t="str">
        <x:v>Whey Protein</x:v>
      </x:c>
      <x:c r="D445" t="str">
        <x:v>Supplements</x:v>
      </x:c>
      <x:c r="E445" t="str">
        <x:v>Protein Blends</x:v>
      </x:c>
      <x:c r="F445" t="str">
        <x:v>Advanced whey protein complex.</x:v>
      </x:c>
      <x:c r="G445" t="str">
        <x:v>67 servings</x:v>
      </x:c>
      <x:c r="H445" t="str">
        <x:v>Vanilla Ice Cream</x:v>
      </x:c>
      <x:c r="I445" t="str"/>
      <x:c r="J445" t="str">
        <x:v>Unit</x:v>
      </x:c>
      <x:c r="K445" t="str">
        <x:v>In stock</x:v>
      </x:c>
      <x:c r="L445" t="str">
        <x:v>2026-09-08</x:v>
      </x:c>
      <x:c r="M445" t="str"/>
      <x:c r="N445" t="str"/>
      <x:c r="O445" t="str">
        <x:v>https://www.activesportstrade.co.uk/beast-pharm-trade</x:v>
      </x:c>
      <x:c r="P445" t="str"/>
      <x:c r="Q445" t="str"/>
      <x:c r="R445" t="str"/>
      <x:c r="S445" t="str">
        <x:v>Pending genuine supplier/brand image</x:v>
      </x:c>
      <x:c r="T445" s="54"/>
      <x:c r="U445" s="47" t="n">
        <x:v>0.2</x:v>
      </x:c>
      <x:c r="V445" s="54" t="str">
        <x:f>IF(ISNUMBER(T445),T445*(1+U445),"")</x:f>
      </x:c>
      <x:c r="W445" s="47" t="n">
        <x:v>0.3</x:v>
      </x:c>
      <x:c r="X445" s="54" t="str">
        <x:f>IF(ISNUMBER(V445),V445/(1-W445),"")</x:f>
      </x:c>
      <x:c r="Y445" s="55" t="str">
        <x:f>IF(ISNUMBER(X445),ROUNDUP(X445,0),"")</x:f>
      </x:c>
      <x:c r="Z445" t="str">
        <x:f>IF(ISNUMBER(T445),"Cost captured","Awaiting trade cost")</x:f>
        <x:v>Awaiting trade cost</x:v>
      </x:c>
      <x:c r="AB445" s="36" t="str">
        <x:f>IF(ISNUMBER(Y445),ROUND(Y445*0.9,2),"")</x:f>
      </x:c>
      <x:c r="AC445" s="36" t="str">
        <x:f>IF(ISNUMBER(AB445),ROUND(AB445-(AB445*0.015+0.2)-V445,2),"")</x:f>
      </x:c>
      <x:c r="AD445" s="36" t="str">
        <x:f>IF(ISNUMBER(Y445),ROUND(Y445*0.8,2),"")</x:f>
      </x:c>
      <x:c r="AE445" s="36" t="str">
        <x:f>IF(ISNUMBER(AD445),ROUND(AD445*0.015+0.2,2),"")</x:f>
      </x:c>
      <x:c r="AF445" s="36" t="str">
        <x:f>IF(ISNUMBER(AD445),ROUND(AD445-AE445-V445,2),"")</x:f>
      </x:c>
      <x:c r="AG445" t="str">
        <x:f>IF(NOT(ISNUMBER(T445)),"PENDING",IF(AF445&gt;0,"PASS","FAIL"))</x:f>
        <x:v>PENDING</x:v>
      </x:c>
      <x:c r="AH445" t="str">
        <x:f>IF(NOT(ISNUMBER(T445)),"Needs supplier cost",IF(K445&lt;&gt;"In stock","Supplier unavailable",IF(AG445&lt;&gt;"PASS","BLOCK - GT loss risk","Commercially protected")))</x:f>
        <x:v>Needs supplier cost</x:v>
      </x:c>
      <x:c r="AI445" t="str">
        <x:v>2026-09-10 Active Sports trade capture</x:v>
      </x:c>
      <x:c r="AJ445" t="str">
        <x:v>Management-only economics. Stripe stress test uses 1.5% + £0.20 standard UK online-card fee; pallet/mix-and-match pricing ignored.</x:v>
      </x:c>
    </x:row>
    <x:row r="446">
      <x:c r="A446" t="str">
        <x:v>Active Sports Nutrition</x:v>
      </x:c>
      <x:c r="B446" t="str">
        <x:v>Beast Pharm</x:v>
      </x:c>
      <x:c r="C446" t="str">
        <x:v>Recover Post Workout</x:v>
      </x:c>
      <x:c r="D446" t="str">
        <x:v>Supplements</x:v>
      </x:c>
      <x:c r="E446" t="str">
        <x:v>Recovery Shakes</x:v>
      </x:c>
      <x:c r="F446" t="str">
        <x:v>Post-workout protein and carbohydrate recovery formula.</x:v>
      </x:c>
      <x:c r="G446" t="str">
        <x:v>2.4kg</x:v>
      </x:c>
      <x:c r="H446" t="str">
        <x:v>Cookies &amp; Cream</x:v>
      </x:c>
      <x:c r="I446" t="str"/>
      <x:c r="J446" t="str">
        <x:v>Unit</x:v>
      </x:c>
      <x:c r="K446" t="str">
        <x:v>In stock</x:v>
      </x:c>
      <x:c r="L446" t="str">
        <x:v>2026-09-08</x:v>
      </x:c>
      <x:c r="M446" t="str"/>
      <x:c r="N446" t="str"/>
      <x:c r="O446" t="str">
        <x:v>https://www.activesportstrade.co.uk/Protein-Blends-Trade</x:v>
      </x:c>
      <x:c r="P446" t="str">
        <x:v>Visible in current Protein Blends category though not captured on brand-page result; retained with source.</x:v>
      </x:c>
      <x:c r="Q446" t="str"/>
      <x:c r="R446" t="str"/>
      <x:c r="S446" t="str">
        <x:v>Pending genuine supplier/brand image</x:v>
      </x:c>
      <x:c r="T446" s="54"/>
      <x:c r="U446" s="47" t="n">
        <x:v>0.2</x:v>
      </x:c>
      <x:c r="V446" s="54" t="str">
        <x:f>IF(ISNUMBER(T446),T446*(1+U446),"")</x:f>
      </x:c>
      <x:c r="W446" s="47" t="n">
        <x:v>0.3</x:v>
      </x:c>
      <x:c r="X446" s="54" t="str">
        <x:f>IF(ISNUMBER(V446),V446/(1-W446),"")</x:f>
      </x:c>
      <x:c r="Y446" s="55" t="str">
        <x:f>IF(ISNUMBER(X446),ROUNDUP(X446,0),"")</x:f>
      </x:c>
      <x:c r="Z446" t="str">
        <x:f>IF(ISNUMBER(T446),"Cost captured","Awaiting trade cost")</x:f>
        <x:v>Awaiting trade cost</x:v>
      </x:c>
      <x:c r="AB446" s="36" t="str">
        <x:f>IF(ISNUMBER(Y446),ROUND(Y446*0.9,2),"")</x:f>
      </x:c>
      <x:c r="AC446" s="36" t="str">
        <x:f>IF(ISNUMBER(AB446),ROUND(AB446-(AB446*0.015+0.2)-V446,2),"")</x:f>
      </x:c>
      <x:c r="AD446" s="36" t="str">
        <x:f>IF(ISNUMBER(Y446),ROUND(Y446*0.8,2),"")</x:f>
      </x:c>
      <x:c r="AE446" s="36" t="str">
        <x:f>IF(ISNUMBER(AD446),ROUND(AD446*0.015+0.2,2),"")</x:f>
      </x:c>
      <x:c r="AF446" s="36" t="str">
        <x:f>IF(ISNUMBER(AD446),ROUND(AD446-AE446-V446,2),"")</x:f>
      </x:c>
      <x:c r="AG446" t="str">
        <x:f>IF(NOT(ISNUMBER(T446)),"PENDING",IF(AF446&gt;0,"PASS","FAIL"))</x:f>
        <x:v>PENDING</x:v>
      </x:c>
      <x:c r="AH446" t="str">
        <x:f>IF(NOT(ISNUMBER(T446)),"Needs supplier cost",IF(K446&lt;&gt;"In stock","Supplier unavailable",IF(AG446&lt;&gt;"PASS","BLOCK - GT loss risk","Commercially protected")))</x:f>
        <x:v>Needs supplier cost</x:v>
      </x:c>
      <x:c r="AI446" t="str">
        <x:v>2026-09-10 Active Sports trade capture</x:v>
      </x:c>
      <x:c r="AJ446" t="str">
        <x:v>Management-only economics. Stripe stress test uses 1.5% + £0.20 standard UK online-card fee; pallet/mix-and-match pricing ignored.</x:v>
      </x:c>
    </x:row>
    <x:row r="447">
      <x:c r="A447" t="str">
        <x:v>Active Sports Nutrition</x:v>
      </x:c>
      <x:c r="B447" t="str">
        <x:v>Beast Pharm</x:v>
      </x:c>
      <x:c r="C447" t="str">
        <x:v>Recover Post Workout</x:v>
      </x:c>
      <x:c r="D447" t="str">
        <x:v>Supplements</x:v>
      </x:c>
      <x:c r="E447" t="str">
        <x:v>Recovery Shakes</x:v>
      </x:c>
      <x:c r="F447" t="str">
        <x:v>Post-workout protein and carbohydrate recovery formula.</x:v>
      </x:c>
      <x:c r="G447" t="str">
        <x:v>2.4kg</x:v>
      </x:c>
      <x:c r="H447" t="str">
        <x:v>Salted Caramel</x:v>
      </x:c>
      <x:c r="I447" t="str"/>
      <x:c r="J447" t="str">
        <x:v>Unit</x:v>
      </x:c>
      <x:c r="K447" t="str">
        <x:v>In stock</x:v>
      </x:c>
      <x:c r="L447" t="str">
        <x:v>2026-09-08</x:v>
      </x:c>
      <x:c r="M447" t="str"/>
      <x:c r="N447" t="str"/>
      <x:c r="O447" t="str">
        <x:v>https://www.activesportstrade.co.uk/Protein-Blends-Trade</x:v>
      </x:c>
      <x:c r="P447" t="str">
        <x:v>Visible in current Protein Blends category though not captured on brand-page result; retained with source.</x:v>
      </x:c>
      <x:c r="Q447" t="str"/>
      <x:c r="R447" t="str"/>
      <x:c r="S447" t="str">
        <x:v>Pending genuine supplier/brand image</x:v>
      </x:c>
      <x:c r="T447" s="54"/>
      <x:c r="U447" s="47" t="n">
        <x:v>0.2</x:v>
      </x:c>
      <x:c r="V447" s="54" t="str">
        <x:f>IF(ISNUMBER(T447),T447*(1+U447),"")</x:f>
      </x:c>
      <x:c r="W447" s="47" t="n">
        <x:v>0.3</x:v>
      </x:c>
      <x:c r="X447" s="54" t="str">
        <x:f>IF(ISNUMBER(V447),V447/(1-W447),"")</x:f>
      </x:c>
      <x:c r="Y447" s="55" t="str">
        <x:f>IF(ISNUMBER(X447),ROUNDUP(X447,0),"")</x:f>
      </x:c>
      <x:c r="Z447" t="str">
        <x:f>IF(ISNUMBER(T447),"Cost captured","Awaiting trade cost")</x:f>
        <x:v>Awaiting trade cost</x:v>
      </x:c>
      <x:c r="AB447" s="36" t="str">
        <x:f>IF(ISNUMBER(Y447),ROUND(Y447*0.9,2),"")</x:f>
      </x:c>
      <x:c r="AC447" s="36" t="str">
        <x:f>IF(ISNUMBER(AB447),ROUND(AB447-(AB447*0.015+0.2)-V447,2),"")</x:f>
      </x:c>
      <x:c r="AD447" s="36" t="str">
        <x:f>IF(ISNUMBER(Y447),ROUND(Y447*0.8,2),"")</x:f>
      </x:c>
      <x:c r="AE447" s="36" t="str">
        <x:f>IF(ISNUMBER(AD447),ROUND(AD447*0.015+0.2,2),"")</x:f>
      </x:c>
      <x:c r="AF447" s="36" t="str">
        <x:f>IF(ISNUMBER(AD447),ROUND(AD447-AE447-V447,2),"")</x:f>
      </x:c>
      <x:c r="AG447" t="str">
        <x:f>IF(NOT(ISNUMBER(T447)),"PENDING",IF(AF447&gt;0,"PASS","FAIL"))</x:f>
        <x:v>PENDING</x:v>
      </x:c>
      <x:c r="AH447" t="str">
        <x:f>IF(NOT(ISNUMBER(T447)),"Needs supplier cost",IF(K447&lt;&gt;"In stock","Supplier unavailable",IF(AG447&lt;&gt;"PASS","BLOCK - GT loss risk","Commercially protected")))</x:f>
        <x:v>Needs supplier cost</x:v>
      </x:c>
      <x:c r="AI447" t="str">
        <x:v>2026-09-10 Active Sports trade capture</x:v>
      </x:c>
      <x:c r="AJ447" t="str">
        <x:v>Management-only economics. Stripe stress test uses 1.5% + £0.20 standard UK online-card fee; pallet/mix-and-match pricing ignored.</x:v>
      </x:c>
    </x:row>
    <x:row r="448">
      <x:c r="A448" t="str">
        <x:v>Active Sports Nutrition</x:v>
      </x:c>
      <x:c r="B448" t="str">
        <x:v>Beast Pharm</x:v>
      </x:c>
      <x:c r="C448" t="str">
        <x:v>Recover Post Workout</x:v>
      </x:c>
      <x:c r="D448" t="str">
        <x:v>Supplements</x:v>
      </x:c>
      <x:c r="E448" t="str">
        <x:v>Recovery Shakes</x:v>
      </x:c>
      <x:c r="F448" t="str">
        <x:v>Post-workout protein and carbohydrate recovery formula.</x:v>
      </x:c>
      <x:c r="G448" t="str">
        <x:v>2.4kg</x:v>
      </x:c>
      <x:c r="H448" t="str">
        <x:v>Strawberry Cheesecake</x:v>
      </x:c>
      <x:c r="I448" t="str"/>
      <x:c r="J448" t="str">
        <x:v>Unit</x:v>
      </x:c>
      <x:c r="K448" t="str">
        <x:v>Out of stock</x:v>
      </x:c>
      <x:c r="L448" t="str">
        <x:v>2026-09-08</x:v>
      </x:c>
      <x:c r="M448" t="str"/>
      <x:c r="N448" t="str"/>
      <x:c r="O448" t="str">
        <x:v>https://www.activesportstrade.co.uk/Protein-Blends-Trade</x:v>
      </x:c>
      <x:c r="P448" t="str">
        <x:v>Visible in current Protein Blends category though not captured on brand-page result; retained with source.</x:v>
      </x:c>
      <x:c r="Q448" t="str"/>
      <x:c r="R448" t="str"/>
      <x:c r="S448" t="str">
        <x:v>Pending genuine supplier/brand image</x:v>
      </x:c>
      <x:c r="T448" s="54"/>
      <x:c r="U448" s="47" t="n">
        <x:v>0.2</x:v>
      </x:c>
      <x:c r="V448" s="54" t="str">
        <x:f>IF(ISNUMBER(T448),T448*(1+U448),"")</x:f>
      </x:c>
      <x:c r="W448" s="47" t="n">
        <x:v>0.3</x:v>
      </x:c>
      <x:c r="X448" s="54" t="str">
        <x:f>IF(ISNUMBER(V448),V448/(1-W448),"")</x:f>
      </x:c>
      <x:c r="Y448" s="55" t="str">
        <x:f>IF(ISNUMBER(X448),ROUNDUP(X448,0),"")</x:f>
      </x:c>
      <x:c r="Z448" t="str">
        <x:f>IF(ISNUMBER(T448),"Cost captured","Awaiting trade cost")</x:f>
        <x:v>Awaiting trade cost</x:v>
      </x:c>
      <x:c r="AB448" s="36" t="str">
        <x:f>IF(ISNUMBER(Y448),ROUND(Y448*0.9,2),"")</x:f>
      </x:c>
      <x:c r="AC448" s="36" t="str">
        <x:f>IF(ISNUMBER(AB448),ROUND(AB448-(AB448*0.015+0.2)-V448,2),"")</x:f>
      </x:c>
      <x:c r="AD448" s="36" t="str">
        <x:f>IF(ISNUMBER(Y448),ROUND(Y448*0.8,2),"")</x:f>
      </x:c>
      <x:c r="AE448" s="36" t="str">
        <x:f>IF(ISNUMBER(AD448),ROUND(AD448*0.015+0.2,2),"")</x:f>
      </x:c>
      <x:c r="AF448" s="36" t="str">
        <x:f>IF(ISNUMBER(AD448),ROUND(AD448-AE448-V448,2),"")</x:f>
      </x:c>
      <x:c r="AG448" t="str">
        <x:f>IF(NOT(ISNUMBER(T448)),"PENDING",IF(AF448&gt;0,"PASS","FAIL"))</x:f>
        <x:v>PENDING</x:v>
      </x:c>
      <x:c r="AH448" t="str">
        <x:f>IF(NOT(ISNUMBER(T448)),"Needs supplier cost",IF(K448&lt;&gt;"In stock","Supplier unavailable",IF(AG448&lt;&gt;"PASS","BLOCK - GT loss risk","Commercially protected")))</x:f>
        <x:v>Needs supplier cost</x:v>
      </x:c>
      <x:c r="AI448" t="str">
        <x:v>2026-09-10 Active Sports trade capture</x:v>
      </x:c>
      <x:c r="AJ448" t="str">
        <x:v>Management-only economics. Stripe stress test uses 1.5% + £0.20 standard UK online-card fee; pallet/mix-and-match pricing ignored.</x:v>
      </x:c>
    </x:row>
    <x:row r="449">
      <x:c r="A449" t="str">
        <x:v>Active Sports Nutrition</x:v>
      </x:c>
      <x:c r="B449" t="str">
        <x:v>Beast Pharm</x:v>
      </x:c>
      <x:c r="C449" t="str">
        <x:v>Recover Post Workout</x:v>
      </x:c>
      <x:c r="D449" t="str">
        <x:v>Supplements</x:v>
      </x:c>
      <x:c r="E449" t="str">
        <x:v>Recovery Shakes</x:v>
      </x:c>
      <x:c r="F449" t="str">
        <x:v>Post-workout protein and carbohydrate recovery formula.</x:v>
      </x:c>
      <x:c r="G449" t="str">
        <x:v>2.4kg</x:v>
      </x:c>
      <x:c r="H449" t="str">
        <x:v>Vanilla Ice Cream</x:v>
      </x:c>
      <x:c r="I449" t="str"/>
      <x:c r="J449" t="str">
        <x:v>Unit</x:v>
      </x:c>
      <x:c r="K449" t="str">
        <x:v>In stock</x:v>
      </x:c>
      <x:c r="L449" t="str">
        <x:v>2026-09-08</x:v>
      </x:c>
      <x:c r="M449" t="str"/>
      <x:c r="N449" t="str"/>
      <x:c r="O449" t="str">
        <x:v>https://www.activesportstrade.co.uk/Protein-Blends-Trade</x:v>
      </x:c>
      <x:c r="P449" t="str">
        <x:v>Visible in current Protein Blends category though not captured on brand-page result; retained with source.</x:v>
      </x:c>
      <x:c r="Q449" t="str"/>
      <x:c r="R449" t="str"/>
      <x:c r="S449" t="str">
        <x:v>Pending genuine supplier/brand image</x:v>
      </x:c>
      <x:c r="T449" s="54"/>
      <x:c r="U449" s="47" t="n">
        <x:v>0.2</x:v>
      </x:c>
      <x:c r="V449" s="54" t="str">
        <x:f>IF(ISNUMBER(T449),T449*(1+U449),"")</x:f>
      </x:c>
      <x:c r="W449" s="47" t="n">
        <x:v>0.3</x:v>
      </x:c>
      <x:c r="X449" s="54" t="str">
        <x:f>IF(ISNUMBER(V449),V449/(1-W449),"")</x:f>
      </x:c>
      <x:c r="Y449" s="55" t="str">
        <x:f>IF(ISNUMBER(X449),ROUNDUP(X449,0),"")</x:f>
      </x:c>
      <x:c r="Z449" t="str">
        <x:f>IF(ISNUMBER(T449),"Cost captured","Awaiting trade cost")</x:f>
        <x:v>Awaiting trade cost</x:v>
      </x:c>
      <x:c r="AB449" s="36" t="str">
        <x:f>IF(ISNUMBER(Y449),ROUND(Y449*0.9,2),"")</x:f>
      </x:c>
      <x:c r="AC449" s="36" t="str">
        <x:f>IF(ISNUMBER(AB449),ROUND(AB449-(AB449*0.015+0.2)-V449,2),"")</x:f>
      </x:c>
      <x:c r="AD449" s="36" t="str">
        <x:f>IF(ISNUMBER(Y449),ROUND(Y449*0.8,2),"")</x:f>
      </x:c>
      <x:c r="AE449" s="36" t="str">
        <x:f>IF(ISNUMBER(AD449),ROUND(AD449*0.015+0.2,2),"")</x:f>
      </x:c>
      <x:c r="AF449" s="36" t="str">
        <x:f>IF(ISNUMBER(AD449),ROUND(AD449-AE449-V449,2),"")</x:f>
      </x:c>
      <x:c r="AG449" t="str">
        <x:f>IF(NOT(ISNUMBER(T449)),"PENDING",IF(AF449&gt;0,"PASS","FAIL"))</x:f>
        <x:v>PENDING</x:v>
      </x:c>
      <x:c r="AH449" t="str">
        <x:f>IF(NOT(ISNUMBER(T449)),"Needs supplier cost",IF(K449&lt;&gt;"In stock","Supplier unavailable",IF(AG449&lt;&gt;"PASS","BLOCK - GT loss risk","Commercially protected")))</x:f>
        <x:v>Needs supplier cost</x:v>
      </x:c>
      <x:c r="AI449" t="str">
        <x:v>2026-09-10 Active Sports trade capture</x:v>
      </x:c>
      <x:c r="AJ449" t="str">
        <x:v>Management-only economics. Stripe stress test uses 1.5% + £0.20 standard UK online-card fee; pallet/mix-and-match pricing ignored.</x:v>
      </x:c>
    </x:row>
    <x:row r="450">
      <x:c r="A450" t="str">
        <x:v>Active Sports Nutrition</x:v>
      </x:c>
      <x:c r="B450" t="str">
        <x:v>Biotech USA</x:v>
      </x:c>
      <x:c r="C450" t="str">
        <x:v>100% Creatine Monohydrate</x:v>
      </x:c>
      <x:c r="D450" t="str">
        <x:v>Supplements</x:v>
      </x:c>
      <x:c r="E450" t="str">
        <x:v>Creatine Powders</x:v>
      </x:c>
      <x:c r="F450" t="str">
        <x:v>Creatine monohydrate powder.</x:v>
      </x:c>
      <x:c r="G450" t="str">
        <x:v>300g</x:v>
      </x:c>
      <x:c r="H450" t="str">
        <x:v>Unflavoured</x:v>
      </x:c>
      <x:c r="I450" t="str"/>
      <x:c r="J450" t="str">
        <x:v>Unit</x:v>
      </x:c>
      <x:c r="K450" t="str">
        <x:v>In stock</x:v>
      </x:c>
      <x:c r="L450" t="str">
        <x:v>2026-09-08</x:v>
      </x:c>
      <x:c r="M450" t="str"/>
      <x:c r="N450" t="str"/>
      <x:c r="O450" t="str">
        <x:v>https://www.activesportstrade.co.uk/biotech-usa-trade</x:v>
      </x:c>
      <x:c r="P450" t="str"/>
      <x:c r="Q450" t="str"/>
      <x:c r="R450" t="str"/>
      <x:c r="S450" t="str">
        <x:v>Pending genuine supplier/brand image</x:v>
      </x:c>
      <x:c r="T450" s="54" t="n">
        <x:v>8.5</x:v>
      </x:c>
      <x:c r="U450" s="47" t="n">
        <x:v>0.2</x:v>
      </x:c>
      <x:c r="V450" s="54" t="n">
        <x:f>IF(ISNUMBER(T450),T450*(1+U450),"")</x:f>
        <x:v>10.2</x:v>
      </x:c>
      <x:c r="W450" s="47" t="n">
        <x:v>0.3</x:v>
      </x:c>
      <x:c r="X450" s="54" t="n">
        <x:f>IF(ISNUMBER(V450),V450/(1-W450),"")</x:f>
        <x:v>14.571428571428571</x:v>
      </x:c>
      <x:c r="Y450" s="55" t="n">
        <x:f>IF(ISNUMBER(X450),ROUNDUP(X450,0),"")</x:f>
        <x:v>15</x:v>
      </x:c>
      <x:c r="Z450" t="str">
        <x:v>Source match pending</x:v>
      </x:c>
      <x:c r="AA450" t="str">
        <x:v>screencapture-www-activesportstrade-co-uk-biotech-usa-trade-2026-09-10-09_04_18.pdf / page-01</x:v>
      </x:c>
      <x:c r="AB450" s="36" t="n">
        <x:f>IF(ISNUMBER(Y450),ROUND(Y450*0.9,2),"")</x:f>
        <x:v>13.5</x:v>
      </x:c>
      <x:c r="AC450" s="36" t="n">
        <x:f>IF(ISNUMBER(AB450),ROUND(AB450-(AB450*0.015+0.2)-V450,2),"")</x:f>
        <x:v>2.9</x:v>
      </x:c>
      <x:c r="AD450" s="36" t="n">
        <x:f>IF(ISNUMBER(Y450),ROUND(Y450*0.8,2),"")</x:f>
        <x:v>12</x:v>
      </x:c>
      <x:c r="AE450" s="36" t="n">
        <x:f>IF(ISNUMBER(AD450),ROUND(AD450*0.015+0.2,2),"")</x:f>
        <x:v>0.38</x:v>
      </x:c>
      <x:c r="AF450" s="36" t="n">
        <x:f>IF(ISNUMBER(AD450),ROUND(AD450-AE450-V450,2),"")</x:f>
        <x:v>1.42</x:v>
      </x:c>
      <x:c r="AG450" t="str">
        <x:f>IF(NOT(ISNUMBER(T450)),"PENDING",IF(AF450&gt;0,"PASS","FAIL"))</x:f>
        <x:v>PASS</x:v>
      </x:c>
      <x:c r="AH450" t="str">
        <x:f>IF(NOT(ISNUMBER(T450)),"Needs supplier cost",IF(K450&lt;&gt;"In stock","Supplier unavailable",IF(AG450&lt;&gt;"PASS","BLOCK - GT loss risk","Commercially protected")))</x:f>
        <x:v>Commercially protected</x:v>
      </x:c>
      <x:c r="AI450" t="str">
        <x:v>2026-09-10 Active Sports trade capture</x:v>
      </x:c>
      <x:c r="AJ450" t="str">
        <x:v>Management-only economics. Stripe stress test uses 1.5% + £0.20 standard UK online-card fee; pallet/mix-and-match pricing ignored.</x:v>
      </x:c>
    </x:row>
    <x:row r="451">
      <x:c r="A451" t="str">
        <x:v>Active Sports Nutrition</x:v>
      </x:c>
      <x:c r="B451" t="str">
        <x:v>Biotech USA</x:v>
      </x:c>
      <x:c r="C451" t="str">
        <x:v>100% L-Glutamine</x:v>
      </x:c>
      <x:c r="D451" t="str">
        <x:v>Supplements</x:v>
      </x:c>
      <x:c r="E451" t="str">
        <x:v>Amino Acids</x:v>
      </x:c>
      <x:c r="F451" t="str">
        <x:v>L-glutamine powder.</x:v>
      </x:c>
      <x:c r="G451" t="str">
        <x:v>240g</x:v>
      </x:c>
      <x:c r="H451" t="str">
        <x:v>Unflavoured</x:v>
      </x:c>
      <x:c r="I451" t="str"/>
      <x:c r="J451" t="str">
        <x:v>Unit</x:v>
      </x:c>
      <x:c r="K451" t="str">
        <x:v>In stock</x:v>
      </x:c>
      <x:c r="L451" t="str">
        <x:v>2026-09-08</x:v>
      </x:c>
      <x:c r="M451" t="str"/>
      <x:c r="N451" t="str"/>
      <x:c r="O451" t="str">
        <x:v>https://www.activesportstrade.co.uk/biotech-usa-trade</x:v>
      </x:c>
      <x:c r="P451" t="str"/>
      <x:c r="Q451" t="str"/>
      <x:c r="R451" t="str"/>
      <x:c r="S451" t="str">
        <x:v>Pending genuine supplier/brand image</x:v>
      </x:c>
      <x:c r="T451" s="54"/>
      <x:c r="U451" s="47" t="n">
        <x:v>0.2</x:v>
      </x:c>
      <x:c r="V451" s="54" t="str">
        <x:f>IF(ISNUMBER(T451),T451*(1+U451),"")</x:f>
      </x:c>
      <x:c r="W451" s="47" t="n">
        <x:v>0.3</x:v>
      </x:c>
      <x:c r="X451" s="54" t="str">
        <x:f>IF(ISNUMBER(V451),V451/(1-W451),"")</x:f>
      </x:c>
      <x:c r="Y451" s="55" t="str">
        <x:f>IF(ISNUMBER(X451),ROUNDUP(X451,0),"")</x:f>
      </x:c>
      <x:c r="Z451" t="str">
        <x:f>IF(ISNUMBER(T451),"Cost captured","Awaiting trade cost")</x:f>
        <x:v>Awaiting trade cost</x:v>
      </x:c>
      <x:c r="AB451" s="36" t="str">
        <x:f>IF(ISNUMBER(Y451),ROUND(Y451*0.9,2),"")</x:f>
      </x:c>
      <x:c r="AC451" s="36" t="str">
        <x:f>IF(ISNUMBER(AB451),ROUND(AB451-(AB451*0.015+0.2)-V451,2),"")</x:f>
      </x:c>
      <x:c r="AD451" s="36" t="str">
        <x:f>IF(ISNUMBER(Y451),ROUND(Y451*0.8,2),"")</x:f>
      </x:c>
      <x:c r="AE451" s="36" t="str">
        <x:f>IF(ISNUMBER(AD451),ROUND(AD451*0.015+0.2,2),"")</x:f>
      </x:c>
      <x:c r="AF451" s="36" t="str">
        <x:f>IF(ISNUMBER(AD451),ROUND(AD451-AE451-V451,2),"")</x:f>
      </x:c>
      <x:c r="AG451" t="str">
        <x:f>IF(NOT(ISNUMBER(T451)),"PENDING",IF(AF451&gt;0,"PASS","FAIL"))</x:f>
        <x:v>PENDING</x:v>
      </x:c>
      <x:c r="AH451" t="str">
        <x:f>IF(NOT(ISNUMBER(T451)),"Needs supplier cost",IF(K451&lt;&gt;"In stock","Supplier unavailable",IF(AG451&lt;&gt;"PASS","BLOCK - GT loss risk","Commercially protected")))</x:f>
        <x:v>Needs supplier cost</x:v>
      </x:c>
      <x:c r="AI451" t="str">
        <x:v>2026-09-10 Active Sports trade capture</x:v>
      </x:c>
      <x:c r="AJ451" t="str">
        <x:v>Management-only economics. Stripe stress test uses 1.5% + £0.20 standard UK online-card fee; pallet/mix-and-match pricing ignored.</x:v>
      </x:c>
    </x:row>
    <x:row r="452">
      <x:c r="A452" t="str">
        <x:v>Active Sports Nutrition</x:v>
      </x:c>
      <x:c r="B452" t="str">
        <x:v>Biotech USA</x:v>
      </x:c>
      <x:c r="C452" t="str">
        <x:v>100% L-Glutamine</x:v>
      </x:c>
      <x:c r="D452" t="str">
        <x:v>Supplements</x:v>
      </x:c>
      <x:c r="E452" t="str">
        <x:v>Amino Acids</x:v>
      </x:c>
      <x:c r="F452" t="str">
        <x:v>L-glutamine powder.</x:v>
      </x:c>
      <x:c r="G452" t="str">
        <x:v>500g</x:v>
      </x:c>
      <x:c r="H452" t="str">
        <x:v>Unflavoured</x:v>
      </x:c>
      <x:c r="I452" t="str"/>
      <x:c r="J452" t="str">
        <x:v>Unit</x:v>
      </x:c>
      <x:c r="K452" t="str">
        <x:v>In stock</x:v>
      </x:c>
      <x:c r="L452" t="str">
        <x:v>2026-09-08</x:v>
      </x:c>
      <x:c r="M452" t="str"/>
      <x:c r="N452" t="str"/>
      <x:c r="O452" t="str">
        <x:v>https://www.activesportstrade.co.uk/biotech-usa-trade</x:v>
      </x:c>
      <x:c r="P452" t="str"/>
      <x:c r="Q452" t="str"/>
      <x:c r="R452" t="str"/>
      <x:c r="S452" t="str">
        <x:v>Pending genuine supplier/brand image</x:v>
      </x:c>
      <x:c r="T452" s="54" t="n">
        <x:v>11.8</x:v>
      </x:c>
      <x:c r="U452" s="47" t="n">
        <x:v>0.2</x:v>
      </x:c>
      <x:c r="V452" s="54" t="n">
        <x:f>IF(ISNUMBER(T452),T452*(1+U452),"")</x:f>
        <x:v>14.16</x:v>
      </x:c>
      <x:c r="W452" s="47" t="n">
        <x:v>0.3</x:v>
      </x:c>
      <x:c r="X452" s="54" t="n">
        <x:f>IF(ISNUMBER(V452),V452/(1-W452),"")</x:f>
        <x:v>20.22857142857143</x:v>
      </x:c>
      <x:c r="Y452" s="55" t="n">
        <x:f>IF(ISNUMBER(X452),ROUNDUP(X452,0),"")</x:f>
        <x:v>21</x:v>
      </x:c>
      <x:c r="Z452" t="str">
        <x:v>Source match pending</x:v>
      </x:c>
      <x:c r="AA452" t="str">
        <x:v>screencapture-www-activesportstrade-co-uk-biotech-usa-trade-2026-09-10-09_04_18.pdf / page-01</x:v>
      </x:c>
      <x:c r="AB452" s="36" t="n">
        <x:f>IF(ISNUMBER(Y452),ROUND(Y452*0.9,2),"")</x:f>
        <x:v>18.9</x:v>
      </x:c>
      <x:c r="AC452" s="36" t="n">
        <x:f>IF(ISNUMBER(AB452),ROUND(AB452-(AB452*0.015+0.2)-V452,2),"")</x:f>
        <x:v>4.26</x:v>
      </x:c>
      <x:c r="AD452" s="36" t="n">
        <x:f>IF(ISNUMBER(Y452),ROUND(Y452*0.8,2),"")</x:f>
        <x:v>16.8</x:v>
      </x:c>
      <x:c r="AE452" s="36" t="n">
        <x:f>IF(ISNUMBER(AD452),ROUND(AD452*0.015+0.2,2),"")</x:f>
        <x:v>0.45</x:v>
      </x:c>
      <x:c r="AF452" s="36" t="n">
        <x:f>IF(ISNUMBER(AD452),ROUND(AD452-AE452-V452,2),"")</x:f>
        <x:v>2.19</x:v>
      </x:c>
      <x:c r="AG452" t="str">
        <x:f>IF(NOT(ISNUMBER(T452)),"PENDING",IF(AF452&gt;0,"PASS","FAIL"))</x:f>
        <x:v>PASS</x:v>
      </x:c>
      <x:c r="AH452" t="str">
        <x:f>IF(NOT(ISNUMBER(T452)),"Needs supplier cost",IF(K452&lt;&gt;"In stock","Supplier unavailable",IF(AG452&lt;&gt;"PASS","BLOCK - GT loss risk","Commercially protected")))</x:f>
        <x:v>Commercially protected</x:v>
      </x:c>
      <x:c r="AI452" t="str">
        <x:v>2026-09-10 Active Sports trade capture</x:v>
      </x:c>
      <x:c r="AJ452" t="str">
        <x:v>Management-only economics. Stripe stress test uses 1.5% + £0.20 standard UK online-card fee; pallet/mix-and-match pricing ignored.</x:v>
      </x:c>
    </x:row>
    <x:row r="453">
      <x:c r="A453" t="str">
        <x:v>Active Sports Nutrition</x:v>
      </x:c>
      <x:c r="B453" t="str">
        <x:v>Biotech USA</x:v>
      </x:c>
      <x:c r="C453" t="str">
        <x:v>100% Pure Whey</x:v>
      </x:c>
      <x:c r="D453" t="str">
        <x:v>Supplements</x:v>
      </x:c>
      <x:c r="E453" t="str">
        <x:v>Whey Protein</x:v>
      </x:c>
      <x:c r="F453" t="str">
        <x:v>Whey protein blend.</x:v>
      </x:c>
      <x:c r="G453" t="str">
        <x:v>1000g</x:v>
      </x:c>
      <x:c r="H453" t="str">
        <x:v>Banana</x:v>
      </x:c>
      <x:c r="I453" t="str"/>
      <x:c r="J453" t="str">
        <x:v>Unit</x:v>
      </x:c>
      <x:c r="K453" t="str">
        <x:v>Out of stock</x:v>
      </x:c>
      <x:c r="L453" t="str">
        <x:v>2026-09-08</x:v>
      </x:c>
      <x:c r="M453" t="str"/>
      <x:c r="N453" t="str"/>
      <x:c r="O453" t="str">
        <x:v>https://www.activesportstrade.co.uk/biotech-usa-trade</x:v>
      </x:c>
      <x:c r="P453" t="str"/>
      <x:c r="Q453" t="str"/>
      <x:c r="R453" t="str"/>
      <x:c r="S453" t="str">
        <x:v>Pending genuine supplier/brand image</x:v>
      </x:c>
      <x:c r="T453" s="54"/>
      <x:c r="U453" s="47" t="n">
        <x:v>0.2</x:v>
      </x:c>
      <x:c r="V453" s="54" t="str">
        <x:f>IF(ISNUMBER(T453),T453*(1+U453),"")</x:f>
      </x:c>
      <x:c r="W453" s="47" t="n">
        <x:v>0.3</x:v>
      </x:c>
      <x:c r="X453" s="54" t="str">
        <x:f>IF(ISNUMBER(V453),V453/(1-W453),"")</x:f>
      </x:c>
      <x:c r="Y453" s="55" t="str">
        <x:f>IF(ISNUMBER(X453),ROUNDUP(X453,0),"")</x:f>
      </x:c>
      <x:c r="Z453" t="str">
        <x:f>IF(ISNUMBER(T453),"Cost captured","Awaiting trade cost")</x:f>
        <x:v>Awaiting trade cost</x:v>
      </x:c>
      <x:c r="AB453" s="36" t="str">
        <x:f>IF(ISNUMBER(Y453),ROUND(Y453*0.9,2),"")</x:f>
      </x:c>
      <x:c r="AC453" s="36" t="str">
        <x:f>IF(ISNUMBER(AB453),ROUND(AB453-(AB453*0.015+0.2)-V453,2),"")</x:f>
      </x:c>
      <x:c r="AD453" s="36" t="str">
        <x:f>IF(ISNUMBER(Y453),ROUND(Y453*0.8,2),"")</x:f>
      </x:c>
      <x:c r="AE453" s="36" t="str">
        <x:f>IF(ISNUMBER(AD453),ROUND(AD453*0.015+0.2,2),"")</x:f>
      </x:c>
      <x:c r="AF453" s="36" t="str">
        <x:f>IF(ISNUMBER(AD453),ROUND(AD453-AE453-V453,2),"")</x:f>
      </x:c>
      <x:c r="AG453" t="str">
        <x:f>IF(NOT(ISNUMBER(T453)),"PENDING",IF(AF453&gt;0,"PASS","FAIL"))</x:f>
        <x:v>PENDING</x:v>
      </x:c>
      <x:c r="AH453" t="str">
        <x:f>IF(NOT(ISNUMBER(T453)),"Needs supplier cost",IF(K453&lt;&gt;"In stock","Supplier unavailable",IF(AG453&lt;&gt;"PASS","BLOCK - GT loss risk","Commercially protected")))</x:f>
        <x:v>Needs supplier cost</x:v>
      </x:c>
      <x:c r="AI453" t="str">
        <x:v>2026-09-10 Active Sports trade capture</x:v>
      </x:c>
      <x:c r="AJ453" t="str">
        <x:v>Management-only economics. Stripe stress test uses 1.5% + £0.20 standard UK online-card fee; pallet/mix-and-match pricing ignored.</x:v>
      </x:c>
    </x:row>
    <x:row r="454">
      <x:c r="A454" t="str">
        <x:v>Active Sports Nutrition</x:v>
      </x:c>
      <x:c r="B454" t="str">
        <x:v>Biotech USA</x:v>
      </x:c>
      <x:c r="C454" t="str">
        <x:v>100% Pure Whey</x:v>
      </x:c>
      <x:c r="D454" t="str">
        <x:v>Supplements</x:v>
      </x:c>
      <x:c r="E454" t="str">
        <x:v>Whey Protein</x:v>
      </x:c>
      <x:c r="F454" t="str">
        <x:v>Whey protein blend.</x:v>
      </x:c>
      <x:c r="G454" t="str">
        <x:v>1000g</x:v>
      </x:c>
      <x:c r="H454" t="str">
        <x:v>Bourbon Vanilla</x:v>
      </x:c>
      <x:c r="I454" t="str"/>
      <x:c r="J454" t="str">
        <x:v>Unit</x:v>
      </x:c>
      <x:c r="K454" t="str">
        <x:v>Out of stock</x:v>
      </x:c>
      <x:c r="L454" t="str">
        <x:v>2026-09-08</x:v>
      </x:c>
      <x:c r="M454" t="str"/>
      <x:c r="N454" t="str"/>
      <x:c r="O454" t="str">
        <x:v>https://www.activesportstrade.co.uk/biotech-usa-trade</x:v>
      </x:c>
      <x:c r="P454" t="str"/>
      <x:c r="Q454" t="str"/>
      <x:c r="R454" t="str"/>
      <x:c r="S454" t="str">
        <x:v>Pending genuine supplier/brand image</x:v>
      </x:c>
      <x:c r="T454" s="54"/>
      <x:c r="U454" s="47" t="n">
        <x:v>0.2</x:v>
      </x:c>
      <x:c r="V454" s="54" t="str">
        <x:f>IF(ISNUMBER(T454),T454*(1+U454),"")</x:f>
      </x:c>
      <x:c r="W454" s="47" t="n">
        <x:v>0.3</x:v>
      </x:c>
      <x:c r="X454" s="54" t="str">
        <x:f>IF(ISNUMBER(V454),V454/(1-W454),"")</x:f>
      </x:c>
      <x:c r="Y454" s="55" t="str">
        <x:f>IF(ISNUMBER(X454),ROUNDUP(X454,0),"")</x:f>
      </x:c>
      <x:c r="Z454" t="str">
        <x:f>IF(ISNUMBER(T454),"Cost captured","Awaiting trade cost")</x:f>
        <x:v>Awaiting trade cost</x:v>
      </x:c>
      <x:c r="AB454" s="36" t="str">
        <x:f>IF(ISNUMBER(Y454),ROUND(Y454*0.9,2),"")</x:f>
      </x:c>
      <x:c r="AC454" s="36" t="str">
        <x:f>IF(ISNUMBER(AB454),ROUND(AB454-(AB454*0.015+0.2)-V454,2),"")</x:f>
      </x:c>
      <x:c r="AD454" s="36" t="str">
        <x:f>IF(ISNUMBER(Y454),ROUND(Y454*0.8,2),"")</x:f>
      </x:c>
      <x:c r="AE454" s="36" t="str">
        <x:f>IF(ISNUMBER(AD454),ROUND(AD454*0.015+0.2,2),"")</x:f>
      </x:c>
      <x:c r="AF454" s="36" t="str">
        <x:f>IF(ISNUMBER(AD454),ROUND(AD454-AE454-V454,2),"")</x:f>
      </x:c>
      <x:c r="AG454" t="str">
        <x:f>IF(NOT(ISNUMBER(T454)),"PENDING",IF(AF454&gt;0,"PASS","FAIL"))</x:f>
        <x:v>PENDING</x:v>
      </x:c>
      <x:c r="AH454" t="str">
        <x:f>IF(NOT(ISNUMBER(T454)),"Needs supplier cost",IF(K454&lt;&gt;"In stock","Supplier unavailable",IF(AG454&lt;&gt;"PASS","BLOCK - GT loss risk","Commercially protected")))</x:f>
        <x:v>Needs supplier cost</x:v>
      </x:c>
      <x:c r="AI454" t="str">
        <x:v>2026-09-10 Active Sports trade capture</x:v>
      </x:c>
      <x:c r="AJ454" t="str">
        <x:v>Management-only economics. Stripe stress test uses 1.5% + £0.20 standard UK online-card fee; pallet/mix-and-match pricing ignored.</x:v>
      </x:c>
    </x:row>
    <x:row r="455">
      <x:c r="A455" t="str">
        <x:v>Active Sports Nutrition</x:v>
      </x:c>
      <x:c r="B455" t="str">
        <x:v>Biotech USA</x:v>
      </x:c>
      <x:c r="C455" t="str">
        <x:v>100% Pure Whey</x:v>
      </x:c>
      <x:c r="D455" t="str">
        <x:v>Supplements</x:v>
      </x:c>
      <x:c r="E455" t="str">
        <x:v>Whey Protein</x:v>
      </x:c>
      <x:c r="F455" t="str">
        <x:v>Whey protein blend.</x:v>
      </x:c>
      <x:c r="G455" t="str">
        <x:v>1000g</x:v>
      </x:c>
      <x:c r="H455" t="str">
        <x:v>Chocolate</x:v>
      </x:c>
      <x:c r="I455" t="str"/>
      <x:c r="J455" t="str">
        <x:v>Unit</x:v>
      </x:c>
      <x:c r="K455" t="str">
        <x:v>Out of stock</x:v>
      </x:c>
      <x:c r="L455" t="str">
        <x:v>2026-09-08</x:v>
      </x:c>
      <x:c r="M455" t="str"/>
      <x:c r="N455" t="str"/>
      <x:c r="O455" t="str">
        <x:v>https://www.activesportstrade.co.uk/biotech-usa-trade</x:v>
      </x:c>
      <x:c r="P455" t="str"/>
      <x:c r="Q455" t="str"/>
      <x:c r="R455" t="str"/>
      <x:c r="S455" t="str">
        <x:v>Pending genuine supplier/brand image</x:v>
      </x:c>
      <x:c r="T455" s="54"/>
      <x:c r="U455" s="47" t="n">
        <x:v>0.2</x:v>
      </x:c>
      <x:c r="V455" s="54" t="str">
        <x:f>IF(ISNUMBER(T455),T455*(1+U455),"")</x:f>
      </x:c>
      <x:c r="W455" s="47" t="n">
        <x:v>0.3</x:v>
      </x:c>
      <x:c r="X455" s="54" t="str">
        <x:f>IF(ISNUMBER(V455),V455/(1-W455),"")</x:f>
      </x:c>
      <x:c r="Y455" s="55" t="str">
        <x:f>IF(ISNUMBER(X455),ROUNDUP(X455,0),"")</x:f>
      </x:c>
      <x:c r="Z455" t="str">
        <x:f>IF(ISNUMBER(T455),"Cost captured","Awaiting trade cost")</x:f>
        <x:v>Awaiting trade cost</x:v>
      </x:c>
      <x:c r="AB455" s="36" t="str">
        <x:f>IF(ISNUMBER(Y455),ROUND(Y455*0.9,2),"")</x:f>
      </x:c>
      <x:c r="AC455" s="36" t="str">
        <x:f>IF(ISNUMBER(AB455),ROUND(AB455-(AB455*0.015+0.2)-V455,2),"")</x:f>
      </x:c>
      <x:c r="AD455" s="36" t="str">
        <x:f>IF(ISNUMBER(Y455),ROUND(Y455*0.8,2),"")</x:f>
      </x:c>
      <x:c r="AE455" s="36" t="str">
        <x:f>IF(ISNUMBER(AD455),ROUND(AD455*0.015+0.2,2),"")</x:f>
      </x:c>
      <x:c r="AF455" s="36" t="str">
        <x:f>IF(ISNUMBER(AD455),ROUND(AD455-AE455-V455,2),"")</x:f>
      </x:c>
      <x:c r="AG455" t="str">
        <x:f>IF(NOT(ISNUMBER(T455)),"PENDING",IF(AF455&gt;0,"PASS","FAIL"))</x:f>
        <x:v>PENDING</x:v>
      </x:c>
      <x:c r="AH455" t="str">
        <x:f>IF(NOT(ISNUMBER(T455)),"Needs supplier cost",IF(K455&lt;&gt;"In stock","Supplier unavailable",IF(AG455&lt;&gt;"PASS","BLOCK - GT loss risk","Commercially protected")))</x:f>
        <x:v>Needs supplier cost</x:v>
      </x:c>
      <x:c r="AI455" t="str">
        <x:v>2026-09-10 Active Sports trade capture</x:v>
      </x:c>
      <x:c r="AJ455" t="str">
        <x:v>Management-only economics. Stripe stress test uses 1.5% + £0.20 standard UK online-card fee; pallet/mix-and-match pricing ignored.</x:v>
      </x:c>
    </x:row>
    <x:row r="456">
      <x:c r="A456" t="str">
        <x:v>Active Sports Nutrition</x:v>
      </x:c>
      <x:c r="B456" t="str">
        <x:v>Biotech USA</x:v>
      </x:c>
      <x:c r="C456" t="str">
        <x:v>100% Pure Whey</x:v>
      </x:c>
      <x:c r="D456" t="str">
        <x:v>Supplements</x:v>
      </x:c>
      <x:c r="E456" t="str">
        <x:v>Whey Protein</x:v>
      </x:c>
      <x:c r="F456" t="str">
        <x:v>Whey protein blend.</x:v>
      </x:c>
      <x:c r="G456" t="str">
        <x:v>1000g</x:v>
      </x:c>
      <x:c r="H456" t="str">
        <x:v>Chocolate Peanut Butter</x:v>
      </x:c>
      <x:c r="I456" t="str"/>
      <x:c r="J456" t="str">
        <x:v>Unit</x:v>
      </x:c>
      <x:c r="K456" t="str">
        <x:v>Out of stock</x:v>
      </x:c>
      <x:c r="L456" t="str">
        <x:v>2026-09-08</x:v>
      </x:c>
      <x:c r="M456" t="str"/>
      <x:c r="N456" t="str"/>
      <x:c r="O456" t="str">
        <x:v>https://www.activesportstrade.co.uk/biotech-usa-trade</x:v>
      </x:c>
      <x:c r="P456" t="str"/>
      <x:c r="Q456" t="str"/>
      <x:c r="R456" t="str"/>
      <x:c r="S456" t="str">
        <x:v>Pending genuine supplier/brand image</x:v>
      </x:c>
      <x:c r="T456" s="54"/>
      <x:c r="U456" s="47" t="n">
        <x:v>0.2</x:v>
      </x:c>
      <x:c r="V456" s="54" t="str">
        <x:f>IF(ISNUMBER(T456),T456*(1+U456),"")</x:f>
      </x:c>
      <x:c r="W456" s="47" t="n">
        <x:v>0.3</x:v>
      </x:c>
      <x:c r="X456" s="54" t="str">
        <x:f>IF(ISNUMBER(V456),V456/(1-W456),"")</x:f>
      </x:c>
      <x:c r="Y456" s="55" t="str">
        <x:f>IF(ISNUMBER(X456),ROUNDUP(X456,0),"")</x:f>
      </x:c>
      <x:c r="Z456" t="str">
        <x:f>IF(ISNUMBER(T456),"Cost captured","Awaiting trade cost")</x:f>
        <x:v>Awaiting trade cost</x:v>
      </x:c>
      <x:c r="AB456" s="36" t="str">
        <x:f>IF(ISNUMBER(Y456),ROUND(Y456*0.9,2),"")</x:f>
      </x:c>
      <x:c r="AC456" s="36" t="str">
        <x:f>IF(ISNUMBER(AB456),ROUND(AB456-(AB456*0.015+0.2)-V456,2),"")</x:f>
      </x:c>
      <x:c r="AD456" s="36" t="str">
        <x:f>IF(ISNUMBER(Y456),ROUND(Y456*0.8,2),"")</x:f>
      </x:c>
      <x:c r="AE456" s="36" t="str">
        <x:f>IF(ISNUMBER(AD456),ROUND(AD456*0.015+0.2,2),"")</x:f>
      </x:c>
      <x:c r="AF456" s="36" t="str">
        <x:f>IF(ISNUMBER(AD456),ROUND(AD456-AE456-V456,2),"")</x:f>
      </x:c>
      <x:c r="AG456" t="str">
        <x:f>IF(NOT(ISNUMBER(T456)),"PENDING",IF(AF456&gt;0,"PASS","FAIL"))</x:f>
        <x:v>PENDING</x:v>
      </x:c>
      <x:c r="AH456" t="str">
        <x:f>IF(NOT(ISNUMBER(T456)),"Needs supplier cost",IF(K456&lt;&gt;"In stock","Supplier unavailable",IF(AG456&lt;&gt;"PASS","BLOCK - GT loss risk","Commercially protected")))</x:f>
        <x:v>Needs supplier cost</x:v>
      </x:c>
      <x:c r="AI456" t="str">
        <x:v>2026-09-10 Active Sports trade capture</x:v>
      </x:c>
      <x:c r="AJ456" t="str">
        <x:v>Management-only economics. Stripe stress test uses 1.5% + £0.20 standard UK online-card fee; pallet/mix-and-match pricing ignored.</x:v>
      </x:c>
    </x:row>
    <x:row r="457">
      <x:c r="A457" t="str">
        <x:v>Active Sports Nutrition</x:v>
      </x:c>
      <x:c r="B457" t="str">
        <x:v>Biotech USA</x:v>
      </x:c>
      <x:c r="C457" t="str">
        <x:v>100% Pure Whey</x:v>
      </x:c>
      <x:c r="D457" t="str">
        <x:v>Supplements</x:v>
      </x:c>
      <x:c r="E457" t="str">
        <x:v>Whey Protein</x:v>
      </x:c>
      <x:c r="F457" t="str">
        <x:v>Whey protein blend.</x:v>
      </x:c>
      <x:c r="G457" t="str">
        <x:v>1000g</x:v>
      </x:c>
      <x:c r="H457" t="str">
        <x:v>Cookies &amp; Cream</x:v>
      </x:c>
      <x:c r="I457" t="str"/>
      <x:c r="J457" t="str">
        <x:v>Unit</x:v>
      </x:c>
      <x:c r="K457" t="str">
        <x:v>Out of stock</x:v>
      </x:c>
      <x:c r="L457" t="str">
        <x:v>2026-09-08</x:v>
      </x:c>
      <x:c r="M457" t="str"/>
      <x:c r="N457" t="str"/>
      <x:c r="O457" t="str">
        <x:v>https://www.activesportstrade.co.uk/biotech-usa-trade</x:v>
      </x:c>
      <x:c r="P457" t="str"/>
      <x:c r="Q457" t="str"/>
      <x:c r="R457" t="str"/>
      <x:c r="S457" t="str">
        <x:v>Pending genuine supplier/brand image</x:v>
      </x:c>
      <x:c r="T457" s="54"/>
      <x:c r="U457" s="47" t="n">
        <x:v>0.2</x:v>
      </x:c>
      <x:c r="V457" s="54" t="str">
        <x:f>IF(ISNUMBER(T457),T457*(1+U457),"")</x:f>
      </x:c>
      <x:c r="W457" s="47" t="n">
        <x:v>0.3</x:v>
      </x:c>
      <x:c r="X457" s="54" t="str">
        <x:f>IF(ISNUMBER(V457),V457/(1-W457),"")</x:f>
      </x:c>
      <x:c r="Y457" s="55" t="str">
        <x:f>IF(ISNUMBER(X457),ROUNDUP(X457,0),"")</x:f>
      </x:c>
      <x:c r="Z457" t="str">
        <x:f>IF(ISNUMBER(T457),"Cost captured","Awaiting trade cost")</x:f>
        <x:v>Awaiting trade cost</x:v>
      </x:c>
      <x:c r="AB457" s="36" t="str">
        <x:f>IF(ISNUMBER(Y457),ROUND(Y457*0.9,2),"")</x:f>
      </x:c>
      <x:c r="AC457" s="36" t="str">
        <x:f>IF(ISNUMBER(AB457),ROUND(AB457-(AB457*0.015+0.2)-V457,2),"")</x:f>
      </x:c>
      <x:c r="AD457" s="36" t="str">
        <x:f>IF(ISNUMBER(Y457),ROUND(Y457*0.8,2),"")</x:f>
      </x:c>
      <x:c r="AE457" s="36" t="str">
        <x:f>IF(ISNUMBER(AD457),ROUND(AD457*0.015+0.2,2),"")</x:f>
      </x:c>
      <x:c r="AF457" s="36" t="str">
        <x:f>IF(ISNUMBER(AD457),ROUND(AD457-AE457-V457,2),"")</x:f>
      </x:c>
      <x:c r="AG457" t="str">
        <x:f>IF(NOT(ISNUMBER(T457)),"PENDING",IF(AF457&gt;0,"PASS","FAIL"))</x:f>
        <x:v>PENDING</x:v>
      </x:c>
      <x:c r="AH457" t="str">
        <x:f>IF(NOT(ISNUMBER(T457)),"Needs supplier cost",IF(K457&lt;&gt;"In stock","Supplier unavailable",IF(AG457&lt;&gt;"PASS","BLOCK - GT loss risk","Commercially protected")))</x:f>
        <x:v>Needs supplier cost</x:v>
      </x:c>
      <x:c r="AI457" t="str">
        <x:v>2026-09-10 Active Sports trade capture</x:v>
      </x:c>
      <x:c r="AJ457" t="str">
        <x:v>Management-only economics. Stripe stress test uses 1.5% + £0.20 standard UK online-card fee; pallet/mix-and-match pricing ignored.</x:v>
      </x:c>
    </x:row>
    <x:row r="458">
      <x:c r="A458" t="str">
        <x:v>Active Sports Nutrition</x:v>
      </x:c>
      <x:c r="B458" t="str">
        <x:v>Biotech USA</x:v>
      </x:c>
      <x:c r="C458" t="str">
        <x:v>100% Pure Whey</x:v>
      </x:c>
      <x:c r="D458" t="str">
        <x:v>Supplements</x:v>
      </x:c>
      <x:c r="E458" t="str">
        <x:v>Whey Protein</x:v>
      </x:c>
      <x:c r="F458" t="str">
        <x:v>Whey protein blend.</x:v>
      </x:c>
      <x:c r="G458" t="str">
        <x:v>1000g</x:v>
      </x:c>
      <x:c r="H458" t="str">
        <x:v>Salted Caramel</x:v>
      </x:c>
      <x:c r="I458" t="str"/>
      <x:c r="J458" t="str">
        <x:v>Unit</x:v>
      </x:c>
      <x:c r="K458" t="str">
        <x:v>Out of stock</x:v>
      </x:c>
      <x:c r="L458" t="str">
        <x:v>2026-09-08</x:v>
      </x:c>
      <x:c r="M458" t="str"/>
      <x:c r="N458" t="str"/>
      <x:c r="O458" t="str">
        <x:v>https://www.activesportstrade.co.uk/biotech-usa-trade</x:v>
      </x:c>
      <x:c r="P458" t="str"/>
      <x:c r="Q458" t="str"/>
      <x:c r="R458" t="str"/>
      <x:c r="S458" t="str">
        <x:v>Pending genuine supplier/brand image</x:v>
      </x:c>
      <x:c r="T458" s="54"/>
      <x:c r="U458" s="47" t="n">
        <x:v>0.2</x:v>
      </x:c>
      <x:c r="V458" s="54" t="str">
        <x:f>IF(ISNUMBER(T458),T458*(1+U458),"")</x:f>
      </x:c>
      <x:c r="W458" s="47" t="n">
        <x:v>0.3</x:v>
      </x:c>
      <x:c r="X458" s="54" t="str">
        <x:f>IF(ISNUMBER(V458),V458/(1-W458),"")</x:f>
      </x:c>
      <x:c r="Y458" s="55" t="str">
        <x:f>IF(ISNUMBER(X458),ROUNDUP(X458,0),"")</x:f>
      </x:c>
      <x:c r="Z458" t="str">
        <x:f>IF(ISNUMBER(T458),"Cost captured","Awaiting trade cost")</x:f>
        <x:v>Awaiting trade cost</x:v>
      </x:c>
      <x:c r="AB458" s="36" t="str">
        <x:f>IF(ISNUMBER(Y458),ROUND(Y458*0.9,2),"")</x:f>
      </x:c>
      <x:c r="AC458" s="36" t="str">
        <x:f>IF(ISNUMBER(AB458),ROUND(AB458-(AB458*0.015+0.2)-V458,2),"")</x:f>
      </x:c>
      <x:c r="AD458" s="36" t="str">
        <x:f>IF(ISNUMBER(Y458),ROUND(Y458*0.8,2),"")</x:f>
      </x:c>
      <x:c r="AE458" s="36" t="str">
        <x:f>IF(ISNUMBER(AD458),ROUND(AD458*0.015+0.2,2),"")</x:f>
      </x:c>
      <x:c r="AF458" s="36" t="str">
        <x:f>IF(ISNUMBER(AD458),ROUND(AD458-AE458-V458,2),"")</x:f>
      </x:c>
      <x:c r="AG458" t="str">
        <x:f>IF(NOT(ISNUMBER(T458)),"PENDING",IF(AF458&gt;0,"PASS","FAIL"))</x:f>
        <x:v>PENDING</x:v>
      </x:c>
      <x:c r="AH458" t="str">
        <x:f>IF(NOT(ISNUMBER(T458)),"Needs supplier cost",IF(K458&lt;&gt;"In stock","Supplier unavailable",IF(AG458&lt;&gt;"PASS","BLOCK - GT loss risk","Commercially protected")))</x:f>
        <x:v>Needs supplier cost</x:v>
      </x:c>
      <x:c r="AI458" t="str">
        <x:v>2026-09-10 Active Sports trade capture</x:v>
      </x:c>
      <x:c r="AJ458" t="str">
        <x:v>Management-only economics. Stripe stress test uses 1.5% + £0.20 standard UK online-card fee; pallet/mix-and-match pricing ignored.</x:v>
      </x:c>
    </x:row>
    <x:row r="459">
      <x:c r="A459" t="str">
        <x:v>Active Sports Nutrition</x:v>
      </x:c>
      <x:c r="B459" t="str">
        <x:v>Biotech USA</x:v>
      </x:c>
      <x:c r="C459" t="str">
        <x:v>100% Pure Whey</x:v>
      </x:c>
      <x:c r="D459" t="str">
        <x:v>Supplements</x:v>
      </x:c>
      <x:c r="E459" t="str">
        <x:v>Whey Protein</x:v>
      </x:c>
      <x:c r="F459" t="str">
        <x:v>Whey protein blend.</x:v>
      </x:c>
      <x:c r="G459" t="str">
        <x:v>1000g</x:v>
      </x:c>
      <x:c r="H459" t="str">
        <x:v>Strawberry</x:v>
      </x:c>
      <x:c r="I459" t="str"/>
      <x:c r="J459" t="str">
        <x:v>Unit</x:v>
      </x:c>
      <x:c r="K459" t="str">
        <x:v>Out of stock</x:v>
      </x:c>
      <x:c r="L459" t="str">
        <x:v>2026-09-08</x:v>
      </x:c>
      <x:c r="M459" t="str"/>
      <x:c r="N459" t="str"/>
      <x:c r="O459" t="str">
        <x:v>https://www.activesportstrade.co.uk/biotech-usa-trade</x:v>
      </x:c>
      <x:c r="P459" t="str"/>
      <x:c r="Q459" t="str"/>
      <x:c r="R459" t="str"/>
      <x:c r="S459" t="str">
        <x:v>Pending genuine supplier/brand image</x:v>
      </x:c>
      <x:c r="T459" s="54"/>
      <x:c r="U459" s="47" t="n">
        <x:v>0.2</x:v>
      </x:c>
      <x:c r="V459" s="54" t="str">
        <x:f>IF(ISNUMBER(T459),T459*(1+U459),"")</x:f>
      </x:c>
      <x:c r="W459" s="47" t="n">
        <x:v>0.3</x:v>
      </x:c>
      <x:c r="X459" s="54" t="str">
        <x:f>IF(ISNUMBER(V459),V459/(1-W459),"")</x:f>
      </x:c>
      <x:c r="Y459" s="55" t="str">
        <x:f>IF(ISNUMBER(X459),ROUNDUP(X459,0),"")</x:f>
      </x:c>
      <x:c r="Z459" t="str">
        <x:f>IF(ISNUMBER(T459),"Cost captured","Awaiting trade cost")</x:f>
        <x:v>Awaiting trade cost</x:v>
      </x:c>
      <x:c r="AB459" s="36" t="str">
        <x:f>IF(ISNUMBER(Y459),ROUND(Y459*0.9,2),"")</x:f>
      </x:c>
      <x:c r="AC459" s="36" t="str">
        <x:f>IF(ISNUMBER(AB459),ROUND(AB459-(AB459*0.015+0.2)-V459,2),"")</x:f>
      </x:c>
      <x:c r="AD459" s="36" t="str">
        <x:f>IF(ISNUMBER(Y459),ROUND(Y459*0.8,2),"")</x:f>
      </x:c>
      <x:c r="AE459" s="36" t="str">
        <x:f>IF(ISNUMBER(AD459),ROUND(AD459*0.015+0.2,2),"")</x:f>
      </x:c>
      <x:c r="AF459" s="36" t="str">
        <x:f>IF(ISNUMBER(AD459),ROUND(AD459-AE459-V459,2),"")</x:f>
      </x:c>
      <x:c r="AG459" t="str">
        <x:f>IF(NOT(ISNUMBER(T459)),"PENDING",IF(AF459&gt;0,"PASS","FAIL"))</x:f>
        <x:v>PENDING</x:v>
      </x:c>
      <x:c r="AH459" t="str">
        <x:f>IF(NOT(ISNUMBER(T459)),"Needs supplier cost",IF(K459&lt;&gt;"In stock","Supplier unavailable",IF(AG459&lt;&gt;"PASS","BLOCK - GT loss risk","Commercially protected")))</x:f>
        <x:v>Needs supplier cost</x:v>
      </x:c>
      <x:c r="AI459" t="str">
        <x:v>2026-09-10 Active Sports trade capture</x:v>
      </x:c>
      <x:c r="AJ459" t="str">
        <x:v>Management-only economics. Stripe stress test uses 1.5% + £0.20 standard UK online-card fee; pallet/mix-and-match pricing ignored.</x:v>
      </x:c>
    </x:row>
    <x:row r="460">
      <x:c r="A460" t="str">
        <x:v>Active Sports Nutrition</x:v>
      </x:c>
      <x:c r="B460" t="str">
        <x:v>Biotech USA</x:v>
      </x:c>
      <x:c r="C460" t="str">
        <x:v>100% Pure Whey</x:v>
      </x:c>
      <x:c r="D460" t="str">
        <x:v>Supplements</x:v>
      </x:c>
      <x:c r="E460" t="str">
        <x:v>Whey Protein</x:v>
      </x:c>
      <x:c r="F460" t="str">
        <x:v>Whey protein blend.</x:v>
      </x:c>
      <x:c r="G460" t="str">
        <x:v>2kg</x:v>
      </x:c>
      <x:c r="H460" t="str">
        <x:v>Banana</x:v>
      </x:c>
      <x:c r="I460" t="str"/>
      <x:c r="J460" t="str">
        <x:v>Unit</x:v>
      </x:c>
      <x:c r="K460" t="str">
        <x:v>Out of stock</x:v>
      </x:c>
      <x:c r="L460" t="str">
        <x:v>2026-09-08</x:v>
      </x:c>
      <x:c r="M460" t="str"/>
      <x:c r="N460" t="str"/>
      <x:c r="O460" t="str">
        <x:v>https://www.activesportstrade.co.uk/biotech-usa-trade</x:v>
      </x:c>
      <x:c r="P460" t="str"/>
      <x:c r="Q460" t="str"/>
      <x:c r="R460" t="str"/>
      <x:c r="S460" t="str">
        <x:v>Pending genuine supplier/brand image</x:v>
      </x:c>
      <x:c r="T460" s="54" t="n">
        <x:v>41.99</x:v>
      </x:c>
      <x:c r="U460" s="47" t="n">
        <x:v>0.2</x:v>
      </x:c>
      <x:c r="V460" s="54" t="n">
        <x:f>IF(ISNUMBER(T460),T460*(1+U460),"")</x:f>
        <x:v>50.388</x:v>
      </x:c>
      <x:c r="W460" s="47" t="n">
        <x:v>0.3</x:v>
      </x:c>
      <x:c r="X460" s="54" t="n">
        <x:f>IF(ISNUMBER(V460),V460/(1-W460),"")</x:f>
        <x:v>71.98285714285714</x:v>
      </x:c>
      <x:c r="Y460" s="55" t="n">
        <x:f>IF(ISNUMBER(X460),ROUNDUP(X460,0),"")</x:f>
        <x:v>72</x:v>
      </x:c>
      <x:c r="Z460" t="str">
        <x:v>Source match pending</x:v>
      </x:c>
      <x:c r="AA460" t="str">
        <x:v>screencapture-www-activesportstrade-co-uk-biotech-usa-trade-2026-09-10-09_04_18.pdf / page-01</x:v>
      </x:c>
      <x:c r="AB460" s="36" t="n">
        <x:f>IF(ISNUMBER(Y460),ROUND(Y460*0.9,2),"")</x:f>
        <x:v>64.8</x:v>
      </x:c>
      <x:c r="AC460" s="36" t="n">
        <x:f>IF(ISNUMBER(AB460),ROUND(AB460-(AB460*0.015+0.2)-V460,2),"")</x:f>
        <x:v>13.24</x:v>
      </x:c>
      <x:c r="AD460" s="36" t="n">
        <x:f>IF(ISNUMBER(Y460),ROUND(Y460*0.8,2),"")</x:f>
        <x:v>57.6</x:v>
      </x:c>
      <x:c r="AE460" s="36" t="n">
        <x:f>IF(ISNUMBER(AD460),ROUND(AD460*0.015+0.2,2),"")</x:f>
        <x:v>1.06</x:v>
      </x:c>
      <x:c r="AF460" s="36" t="n">
        <x:f>IF(ISNUMBER(AD460),ROUND(AD460-AE460-V460,2),"")</x:f>
        <x:v>6.15</x:v>
      </x:c>
      <x:c r="AG460" t="str">
        <x:f>IF(NOT(ISNUMBER(T460)),"PENDING",IF(AF460&gt;0,"PASS","FAIL"))</x:f>
        <x:v>PASS</x:v>
      </x:c>
      <x:c r="AH460" t="str">
        <x:f>IF(NOT(ISNUMBER(T460)),"Needs supplier cost",IF(K460&lt;&gt;"In stock","Supplier unavailable",IF(AG460&lt;&gt;"PASS","BLOCK - GT loss risk","Commercially protected")))</x:f>
        <x:v>Supplier unavailable</x:v>
      </x:c>
      <x:c r="AI460" t="str">
        <x:v>2026-09-10 Active Sports trade capture</x:v>
      </x:c>
      <x:c r="AJ460" t="str">
        <x:v>Management-only economics. Stripe stress test uses 1.5% + £0.20 standard UK online-card fee; pallet/mix-and-match pricing ignored.</x:v>
      </x:c>
    </x:row>
    <x:row r="461">
      <x:c r="A461" t="str">
        <x:v>Active Sports Nutrition</x:v>
      </x:c>
      <x:c r="B461" t="str">
        <x:v>Biotech USA</x:v>
      </x:c>
      <x:c r="C461" t="str">
        <x:v>100% Pure Whey</x:v>
      </x:c>
      <x:c r="D461" t="str">
        <x:v>Supplements</x:v>
      </x:c>
      <x:c r="E461" t="str">
        <x:v>Whey Protein</x:v>
      </x:c>
      <x:c r="F461" t="str">
        <x:v>Whey protein blend.</x:v>
      </x:c>
      <x:c r="G461" t="str">
        <x:v>2kg</x:v>
      </x:c>
      <x:c r="H461" t="str">
        <x:v>Black Biscuits</x:v>
      </x:c>
      <x:c r="I461" t="str"/>
      <x:c r="J461" t="str">
        <x:v>Unit</x:v>
      </x:c>
      <x:c r="K461" t="str">
        <x:v>Out of stock</x:v>
      </x:c>
      <x:c r="L461" t="str">
        <x:v>2026-09-08</x:v>
      </x:c>
      <x:c r="M461" t="str"/>
      <x:c r="N461" t="str"/>
      <x:c r="O461" t="str">
        <x:v>https://www.activesportstrade.co.uk/biotech-usa-trade</x:v>
      </x:c>
      <x:c r="P461" t="str"/>
      <x:c r="Q461" t="str"/>
      <x:c r="R461" t="str"/>
      <x:c r="S461" t="str">
        <x:v>Pending genuine supplier/brand image</x:v>
      </x:c>
      <x:c r="T461" s="54" t="n">
        <x:v>41.99</x:v>
      </x:c>
      <x:c r="U461" s="47" t="n">
        <x:v>0.2</x:v>
      </x:c>
      <x:c r="V461" s="54" t="n">
        <x:f>IF(ISNUMBER(T461),T461*(1+U461),"")</x:f>
        <x:v>50.388</x:v>
      </x:c>
      <x:c r="W461" s="47" t="n">
        <x:v>0.3</x:v>
      </x:c>
      <x:c r="X461" s="54" t="n">
        <x:f>IF(ISNUMBER(V461),V461/(1-W461),"")</x:f>
        <x:v>71.98285714285714</x:v>
      </x:c>
      <x:c r="Y461" s="55" t="n">
        <x:f>IF(ISNUMBER(X461),ROUNDUP(X461,0),"")</x:f>
        <x:v>72</x:v>
      </x:c>
      <x:c r="Z461" t="str">
        <x:v>Source match pending</x:v>
      </x:c>
      <x:c r="AA461" t="str">
        <x:v>screencapture-www-activesportstrade-co-uk-biotech-usa-trade-2026-09-10-09_04_18.pdf / page-01</x:v>
      </x:c>
      <x:c r="AB461" s="36" t="n">
        <x:f>IF(ISNUMBER(Y461),ROUND(Y461*0.9,2),"")</x:f>
        <x:v>64.8</x:v>
      </x:c>
      <x:c r="AC461" s="36" t="n">
        <x:f>IF(ISNUMBER(AB461),ROUND(AB461-(AB461*0.015+0.2)-V461,2),"")</x:f>
        <x:v>13.24</x:v>
      </x:c>
      <x:c r="AD461" s="36" t="n">
        <x:f>IF(ISNUMBER(Y461),ROUND(Y461*0.8,2),"")</x:f>
        <x:v>57.6</x:v>
      </x:c>
      <x:c r="AE461" s="36" t="n">
        <x:f>IF(ISNUMBER(AD461),ROUND(AD461*0.015+0.2,2),"")</x:f>
        <x:v>1.06</x:v>
      </x:c>
      <x:c r="AF461" s="36" t="n">
        <x:f>IF(ISNUMBER(AD461),ROUND(AD461-AE461-V461,2),"")</x:f>
        <x:v>6.15</x:v>
      </x:c>
      <x:c r="AG461" t="str">
        <x:f>IF(NOT(ISNUMBER(T461)),"PENDING",IF(AF461&gt;0,"PASS","FAIL"))</x:f>
        <x:v>PASS</x:v>
      </x:c>
      <x:c r="AH461" t="str">
        <x:f>IF(NOT(ISNUMBER(T461)),"Needs supplier cost",IF(K461&lt;&gt;"In stock","Supplier unavailable",IF(AG461&lt;&gt;"PASS","BLOCK - GT loss risk","Commercially protected")))</x:f>
        <x:v>Supplier unavailable</x:v>
      </x:c>
      <x:c r="AI461" t="str">
        <x:v>2026-09-10 Active Sports trade capture</x:v>
      </x:c>
      <x:c r="AJ461" t="str">
        <x:v>Management-only economics. Stripe stress test uses 1.5% + £0.20 standard UK online-card fee; pallet/mix-and-match pricing ignored.</x:v>
      </x:c>
    </x:row>
    <x:row r="462">
      <x:c r="A462" t="str">
        <x:v>Active Sports Nutrition</x:v>
      </x:c>
      <x:c r="B462" t="str">
        <x:v>Biotech USA</x:v>
      </x:c>
      <x:c r="C462" t="str">
        <x:v>100% Pure Whey</x:v>
      </x:c>
      <x:c r="D462" t="str">
        <x:v>Supplements</x:v>
      </x:c>
      <x:c r="E462" t="str">
        <x:v>Whey Protein</x:v>
      </x:c>
      <x:c r="F462" t="str">
        <x:v>Whey protein blend.</x:v>
      </x:c>
      <x:c r="G462" t="str">
        <x:v>2kg</x:v>
      </x:c>
      <x:c r="H462" t="str">
        <x:v>Bourbon Vanilla</x:v>
      </x:c>
      <x:c r="I462" t="str"/>
      <x:c r="J462" t="str">
        <x:v>Unit</x:v>
      </x:c>
      <x:c r="K462" t="str">
        <x:v>Out of stock</x:v>
      </x:c>
      <x:c r="L462" t="str">
        <x:v>2026-09-08</x:v>
      </x:c>
      <x:c r="M462" t="str"/>
      <x:c r="N462" t="str"/>
      <x:c r="O462" t="str">
        <x:v>https://www.activesportstrade.co.uk/biotech-usa-trade</x:v>
      </x:c>
      <x:c r="P462" t="str"/>
      <x:c r="Q462" t="str"/>
      <x:c r="R462" t="str"/>
      <x:c r="S462" t="str">
        <x:v>Pending genuine supplier/brand image</x:v>
      </x:c>
      <x:c r="T462" s="54" t="n">
        <x:v>41.99</x:v>
      </x:c>
      <x:c r="U462" s="47" t="n">
        <x:v>0.2</x:v>
      </x:c>
      <x:c r="V462" s="54" t="n">
        <x:f>IF(ISNUMBER(T462),T462*(1+U462),"")</x:f>
        <x:v>50.388</x:v>
      </x:c>
      <x:c r="W462" s="47" t="n">
        <x:v>0.3</x:v>
      </x:c>
      <x:c r="X462" s="54" t="n">
        <x:f>IF(ISNUMBER(V462),V462/(1-W462),"")</x:f>
        <x:v>71.98285714285714</x:v>
      </x:c>
      <x:c r="Y462" s="55" t="n">
        <x:f>IF(ISNUMBER(X462),ROUNDUP(X462,0),"")</x:f>
        <x:v>72</x:v>
      </x:c>
      <x:c r="Z462" t="str">
        <x:v>Source match pending</x:v>
      </x:c>
      <x:c r="AA462" t="str">
        <x:v>screencapture-www-activesportstrade-co-uk-biotech-usa-trade-2026-09-10-09_04_18.pdf / page-01</x:v>
      </x:c>
      <x:c r="AB462" s="36" t="n">
        <x:f>IF(ISNUMBER(Y462),ROUND(Y462*0.9,2),"")</x:f>
        <x:v>64.8</x:v>
      </x:c>
      <x:c r="AC462" s="36" t="n">
        <x:f>IF(ISNUMBER(AB462),ROUND(AB462-(AB462*0.015+0.2)-V462,2),"")</x:f>
        <x:v>13.24</x:v>
      </x:c>
      <x:c r="AD462" s="36" t="n">
        <x:f>IF(ISNUMBER(Y462),ROUND(Y462*0.8,2),"")</x:f>
        <x:v>57.6</x:v>
      </x:c>
      <x:c r="AE462" s="36" t="n">
        <x:f>IF(ISNUMBER(AD462),ROUND(AD462*0.015+0.2,2),"")</x:f>
        <x:v>1.06</x:v>
      </x:c>
      <x:c r="AF462" s="36" t="n">
        <x:f>IF(ISNUMBER(AD462),ROUND(AD462-AE462-V462,2),"")</x:f>
        <x:v>6.15</x:v>
      </x:c>
      <x:c r="AG462" t="str">
        <x:f>IF(NOT(ISNUMBER(T462)),"PENDING",IF(AF462&gt;0,"PASS","FAIL"))</x:f>
        <x:v>PASS</x:v>
      </x:c>
      <x:c r="AH462" t="str">
        <x:f>IF(NOT(ISNUMBER(T462)),"Needs supplier cost",IF(K462&lt;&gt;"In stock","Supplier unavailable",IF(AG462&lt;&gt;"PASS","BLOCK - GT loss risk","Commercially protected")))</x:f>
        <x:v>Supplier unavailable</x:v>
      </x:c>
      <x:c r="AI462" t="str">
        <x:v>2026-09-10 Active Sports trade capture</x:v>
      </x:c>
      <x:c r="AJ462" t="str">
        <x:v>Management-only economics. Stripe stress test uses 1.5% + £0.20 standard UK online-card fee; pallet/mix-and-match pricing ignored.</x:v>
      </x:c>
    </x:row>
    <x:row r="463">
      <x:c r="A463" t="str">
        <x:v>Active Sports Nutrition</x:v>
      </x:c>
      <x:c r="B463" t="str">
        <x:v>Biotech USA</x:v>
      </x:c>
      <x:c r="C463" t="str">
        <x:v>100% Pure Whey</x:v>
      </x:c>
      <x:c r="D463" t="str">
        <x:v>Supplements</x:v>
      </x:c>
      <x:c r="E463" t="str">
        <x:v>Whey Protein</x:v>
      </x:c>
      <x:c r="F463" t="str">
        <x:v>Whey protein blend.</x:v>
      </x:c>
      <x:c r="G463" t="str">
        <x:v>2kg</x:v>
      </x:c>
      <x:c r="H463" t="str">
        <x:v>Caramel Cappuccino</x:v>
      </x:c>
      <x:c r="I463" t="str"/>
      <x:c r="J463" t="str">
        <x:v>Unit</x:v>
      </x:c>
      <x:c r="K463" t="str">
        <x:v>Out of stock</x:v>
      </x:c>
      <x:c r="L463" t="str">
        <x:v>2026-09-08</x:v>
      </x:c>
      <x:c r="M463" t="str"/>
      <x:c r="N463" t="str"/>
      <x:c r="O463" t="str">
        <x:v>https://www.activesportstrade.co.uk/biotech-usa-trade</x:v>
      </x:c>
      <x:c r="P463" t="str"/>
      <x:c r="Q463" t="str"/>
      <x:c r="R463" t="str"/>
      <x:c r="S463" t="str">
        <x:v>Pending genuine supplier/brand image</x:v>
      </x:c>
      <x:c r="T463" s="54" t="n">
        <x:v>41.99</x:v>
      </x:c>
      <x:c r="U463" s="47" t="n">
        <x:v>0.2</x:v>
      </x:c>
      <x:c r="V463" s="54" t="n">
        <x:f>IF(ISNUMBER(T463),T463*(1+U463),"")</x:f>
        <x:v>50.388</x:v>
      </x:c>
      <x:c r="W463" s="47" t="n">
        <x:v>0.3</x:v>
      </x:c>
      <x:c r="X463" s="54" t="n">
        <x:f>IF(ISNUMBER(V463),V463/(1-W463),"")</x:f>
        <x:v>71.98285714285714</x:v>
      </x:c>
      <x:c r="Y463" s="55" t="n">
        <x:f>IF(ISNUMBER(X463),ROUNDUP(X463,0),"")</x:f>
        <x:v>72</x:v>
      </x:c>
      <x:c r="Z463" t="str">
        <x:v>Source match pending</x:v>
      </x:c>
      <x:c r="AA463" t="str">
        <x:v>screencapture-www-activesportstrade-co-uk-biotech-usa-trade-2026-09-10-09_04_18.pdf / page-01</x:v>
      </x:c>
      <x:c r="AB463" s="36" t="n">
        <x:f>IF(ISNUMBER(Y463),ROUND(Y463*0.9,2),"")</x:f>
        <x:v>64.8</x:v>
      </x:c>
      <x:c r="AC463" s="36" t="n">
        <x:f>IF(ISNUMBER(AB463),ROUND(AB463-(AB463*0.015+0.2)-V463,2),"")</x:f>
        <x:v>13.24</x:v>
      </x:c>
      <x:c r="AD463" s="36" t="n">
        <x:f>IF(ISNUMBER(Y463),ROUND(Y463*0.8,2),"")</x:f>
        <x:v>57.6</x:v>
      </x:c>
      <x:c r="AE463" s="36" t="n">
        <x:f>IF(ISNUMBER(AD463),ROUND(AD463*0.015+0.2,2),"")</x:f>
        <x:v>1.06</x:v>
      </x:c>
      <x:c r="AF463" s="36" t="n">
        <x:f>IF(ISNUMBER(AD463),ROUND(AD463-AE463-V463,2),"")</x:f>
        <x:v>6.15</x:v>
      </x:c>
      <x:c r="AG463" t="str">
        <x:f>IF(NOT(ISNUMBER(T463)),"PENDING",IF(AF463&gt;0,"PASS","FAIL"))</x:f>
        <x:v>PASS</x:v>
      </x:c>
      <x:c r="AH463" t="str">
        <x:f>IF(NOT(ISNUMBER(T463)),"Needs supplier cost",IF(K463&lt;&gt;"In stock","Supplier unavailable",IF(AG463&lt;&gt;"PASS","BLOCK - GT loss risk","Commercially protected")))</x:f>
        <x:v>Supplier unavailable</x:v>
      </x:c>
      <x:c r="AI463" t="str">
        <x:v>2026-09-10 Active Sports trade capture</x:v>
      </x:c>
      <x:c r="AJ463" t="str">
        <x:v>Management-only economics. Stripe stress test uses 1.5% + £0.20 standard UK online-card fee; pallet/mix-and-match pricing ignored.</x:v>
      </x:c>
    </x:row>
    <x:row r="464">
      <x:c r="A464" t="str">
        <x:v>Active Sports Nutrition</x:v>
      </x:c>
      <x:c r="B464" t="str">
        <x:v>Biotech USA</x:v>
      </x:c>
      <x:c r="C464" t="str">
        <x:v>100% Pure Whey</x:v>
      </x:c>
      <x:c r="D464" t="str">
        <x:v>Supplements</x:v>
      </x:c>
      <x:c r="E464" t="str">
        <x:v>Whey Protein</x:v>
      </x:c>
      <x:c r="F464" t="str">
        <x:v>Whey protein blend.</x:v>
      </x:c>
      <x:c r="G464" t="str">
        <x:v>2kg</x:v>
      </x:c>
      <x:c r="H464" t="str">
        <x:v>Chocolate</x:v>
      </x:c>
      <x:c r="I464" t="str"/>
      <x:c r="J464" t="str">
        <x:v>Unit</x:v>
      </x:c>
      <x:c r="K464" t="str">
        <x:v>Out of stock</x:v>
      </x:c>
      <x:c r="L464" t="str">
        <x:v>2026-09-08</x:v>
      </x:c>
      <x:c r="M464" t="str"/>
      <x:c r="N464" t="str"/>
      <x:c r="O464" t="str">
        <x:v>https://www.activesportstrade.co.uk/biotech-usa-trade</x:v>
      </x:c>
      <x:c r="P464" t="str"/>
      <x:c r="Q464" t="str"/>
      <x:c r="R464" t="str"/>
      <x:c r="S464" t="str">
        <x:v>Pending genuine supplier/brand image</x:v>
      </x:c>
      <x:c r="T464" s="54" t="n">
        <x:v>41.99</x:v>
      </x:c>
      <x:c r="U464" s="47" t="n">
        <x:v>0.2</x:v>
      </x:c>
      <x:c r="V464" s="54" t="n">
        <x:f>IF(ISNUMBER(T464),T464*(1+U464),"")</x:f>
        <x:v>50.388</x:v>
      </x:c>
      <x:c r="W464" s="47" t="n">
        <x:v>0.3</x:v>
      </x:c>
      <x:c r="X464" s="54" t="n">
        <x:f>IF(ISNUMBER(V464),V464/(1-W464),"")</x:f>
        <x:v>71.98285714285714</x:v>
      </x:c>
      <x:c r="Y464" s="55" t="n">
        <x:f>IF(ISNUMBER(X464),ROUNDUP(X464,0),"")</x:f>
        <x:v>72</x:v>
      </x:c>
      <x:c r="Z464" t="str">
        <x:v>Source match pending</x:v>
      </x:c>
      <x:c r="AA464" t="str">
        <x:v>screencapture-www-activesportstrade-co-uk-biotech-usa-trade-2026-09-10-09_04_18.pdf / page-01</x:v>
      </x:c>
      <x:c r="AB464" s="36" t="n">
        <x:f>IF(ISNUMBER(Y464),ROUND(Y464*0.9,2),"")</x:f>
        <x:v>64.8</x:v>
      </x:c>
      <x:c r="AC464" s="36" t="n">
        <x:f>IF(ISNUMBER(AB464),ROUND(AB464-(AB464*0.015+0.2)-V464,2),"")</x:f>
        <x:v>13.24</x:v>
      </x:c>
      <x:c r="AD464" s="36" t="n">
        <x:f>IF(ISNUMBER(Y464),ROUND(Y464*0.8,2),"")</x:f>
        <x:v>57.6</x:v>
      </x:c>
      <x:c r="AE464" s="36" t="n">
        <x:f>IF(ISNUMBER(AD464),ROUND(AD464*0.015+0.2,2),"")</x:f>
        <x:v>1.06</x:v>
      </x:c>
      <x:c r="AF464" s="36" t="n">
        <x:f>IF(ISNUMBER(AD464),ROUND(AD464-AE464-V464,2),"")</x:f>
        <x:v>6.15</x:v>
      </x:c>
      <x:c r="AG464" t="str">
        <x:f>IF(NOT(ISNUMBER(T464)),"PENDING",IF(AF464&gt;0,"PASS","FAIL"))</x:f>
        <x:v>PASS</x:v>
      </x:c>
      <x:c r="AH464" t="str">
        <x:f>IF(NOT(ISNUMBER(T464)),"Needs supplier cost",IF(K464&lt;&gt;"In stock","Supplier unavailable",IF(AG464&lt;&gt;"PASS","BLOCK - GT loss risk","Commercially protected")))</x:f>
        <x:v>Supplier unavailable</x:v>
      </x:c>
      <x:c r="AI464" t="str">
        <x:v>2026-09-10 Active Sports trade capture</x:v>
      </x:c>
      <x:c r="AJ464" t="str">
        <x:v>Management-only economics. Stripe stress test uses 1.5% + £0.20 standard UK online-card fee; pallet/mix-and-match pricing ignored.</x:v>
      </x:c>
    </x:row>
    <x:row r="465">
      <x:c r="A465" t="str">
        <x:v>Active Sports Nutrition</x:v>
      </x:c>
      <x:c r="B465" t="str">
        <x:v>Biotech USA</x:v>
      </x:c>
      <x:c r="C465" t="str">
        <x:v>100% Pure Whey</x:v>
      </x:c>
      <x:c r="D465" t="str">
        <x:v>Supplements</x:v>
      </x:c>
      <x:c r="E465" t="str">
        <x:v>Whey Protein</x:v>
      </x:c>
      <x:c r="F465" t="str">
        <x:v>Whey protein blend.</x:v>
      </x:c>
      <x:c r="G465" t="str">
        <x:v>2kg</x:v>
      </x:c>
      <x:c r="H465" t="str">
        <x:v>Chocolate Peanut Butter</x:v>
      </x:c>
      <x:c r="I465" t="str"/>
      <x:c r="J465" t="str">
        <x:v>Unit</x:v>
      </x:c>
      <x:c r="K465" t="str">
        <x:v>Out of stock</x:v>
      </x:c>
      <x:c r="L465" t="str">
        <x:v>2026-09-08</x:v>
      </x:c>
      <x:c r="M465" t="str"/>
      <x:c r="N465" t="str"/>
      <x:c r="O465" t="str">
        <x:v>https://www.activesportstrade.co.uk/biotech-usa-trade</x:v>
      </x:c>
      <x:c r="P465" t="str"/>
      <x:c r="Q465" t="str"/>
      <x:c r="R465" t="str"/>
      <x:c r="S465" t="str">
        <x:v>Pending genuine supplier/brand image</x:v>
      </x:c>
      <x:c r="T465" s="54" t="n">
        <x:v>41.99</x:v>
      </x:c>
      <x:c r="U465" s="47" t="n">
        <x:v>0.2</x:v>
      </x:c>
      <x:c r="V465" s="54" t="n">
        <x:f>IF(ISNUMBER(T465),T465*(1+U465),"")</x:f>
        <x:v>50.388</x:v>
      </x:c>
      <x:c r="W465" s="47" t="n">
        <x:v>0.3</x:v>
      </x:c>
      <x:c r="X465" s="54" t="n">
        <x:f>IF(ISNUMBER(V465),V465/(1-W465),"")</x:f>
        <x:v>71.98285714285714</x:v>
      </x:c>
      <x:c r="Y465" s="55" t="n">
        <x:f>IF(ISNUMBER(X465),ROUNDUP(X465,0),"")</x:f>
        <x:v>72</x:v>
      </x:c>
      <x:c r="Z465" t="str">
        <x:v>Source match pending</x:v>
      </x:c>
      <x:c r="AA465" t="str">
        <x:v>screencapture-www-activesportstrade-co-uk-biotech-usa-trade-2026-09-10-09_04_18.pdf / page-01</x:v>
      </x:c>
      <x:c r="AB465" s="36" t="n">
        <x:f>IF(ISNUMBER(Y465),ROUND(Y465*0.9,2),"")</x:f>
        <x:v>64.8</x:v>
      </x:c>
      <x:c r="AC465" s="36" t="n">
        <x:f>IF(ISNUMBER(AB465),ROUND(AB465-(AB465*0.015+0.2)-V465,2),"")</x:f>
        <x:v>13.24</x:v>
      </x:c>
      <x:c r="AD465" s="36" t="n">
        <x:f>IF(ISNUMBER(Y465),ROUND(Y465*0.8,2),"")</x:f>
        <x:v>57.6</x:v>
      </x:c>
      <x:c r="AE465" s="36" t="n">
        <x:f>IF(ISNUMBER(AD465),ROUND(AD465*0.015+0.2,2),"")</x:f>
        <x:v>1.06</x:v>
      </x:c>
      <x:c r="AF465" s="36" t="n">
        <x:f>IF(ISNUMBER(AD465),ROUND(AD465-AE465-V465,2),"")</x:f>
        <x:v>6.15</x:v>
      </x:c>
      <x:c r="AG465" t="str">
        <x:f>IF(NOT(ISNUMBER(T465)),"PENDING",IF(AF465&gt;0,"PASS","FAIL"))</x:f>
        <x:v>PASS</x:v>
      </x:c>
      <x:c r="AH465" t="str">
        <x:f>IF(NOT(ISNUMBER(T465)),"Needs supplier cost",IF(K465&lt;&gt;"In stock","Supplier unavailable",IF(AG465&lt;&gt;"PASS","BLOCK - GT loss risk","Commercially protected")))</x:f>
        <x:v>Supplier unavailable</x:v>
      </x:c>
      <x:c r="AI465" t="str">
        <x:v>2026-09-10 Active Sports trade capture</x:v>
      </x:c>
      <x:c r="AJ465" t="str">
        <x:v>Management-only economics. Stripe stress test uses 1.5% + £0.20 standard UK online-card fee; pallet/mix-and-match pricing ignored.</x:v>
      </x:c>
    </x:row>
    <x:row r="466">
      <x:c r="A466" t="str">
        <x:v>Active Sports Nutrition</x:v>
      </x:c>
      <x:c r="B466" t="str">
        <x:v>Biotech USA</x:v>
      </x:c>
      <x:c r="C466" t="str">
        <x:v>100% Pure Whey</x:v>
      </x:c>
      <x:c r="D466" t="str">
        <x:v>Supplements</x:v>
      </x:c>
      <x:c r="E466" t="str">
        <x:v>Whey Protein</x:v>
      </x:c>
      <x:c r="F466" t="str">
        <x:v>Whey protein blend.</x:v>
      </x:c>
      <x:c r="G466" t="str">
        <x:v>2kg</x:v>
      </x:c>
      <x:c r="H466" t="str">
        <x:v>Coconut Chocolate</x:v>
      </x:c>
      <x:c r="I466" t="str"/>
      <x:c r="J466" t="str">
        <x:v>Unit</x:v>
      </x:c>
      <x:c r="K466" t="str">
        <x:v>Out of stock</x:v>
      </x:c>
      <x:c r="L466" t="str">
        <x:v>2026-09-08</x:v>
      </x:c>
      <x:c r="M466" t="str"/>
      <x:c r="N466" t="str"/>
      <x:c r="O466" t="str">
        <x:v>https://www.activesportstrade.co.uk/biotech-usa-trade</x:v>
      </x:c>
      <x:c r="P466" t="str"/>
      <x:c r="Q466" t="str"/>
      <x:c r="R466" t="str"/>
      <x:c r="S466" t="str">
        <x:v>Pending genuine supplier/brand image</x:v>
      </x:c>
      <x:c r="T466" s="54" t="n">
        <x:v>41.99</x:v>
      </x:c>
      <x:c r="U466" s="47" t="n">
        <x:v>0.2</x:v>
      </x:c>
      <x:c r="V466" s="54" t="n">
        <x:f>IF(ISNUMBER(T466),T466*(1+U466),"")</x:f>
        <x:v>50.388</x:v>
      </x:c>
      <x:c r="W466" s="47" t="n">
        <x:v>0.3</x:v>
      </x:c>
      <x:c r="X466" s="54" t="n">
        <x:f>IF(ISNUMBER(V466),V466/(1-W466),"")</x:f>
        <x:v>71.98285714285714</x:v>
      </x:c>
      <x:c r="Y466" s="55" t="n">
        <x:f>IF(ISNUMBER(X466),ROUNDUP(X466,0),"")</x:f>
        <x:v>72</x:v>
      </x:c>
      <x:c r="Z466" t="str">
        <x:v>Source match pending</x:v>
      </x:c>
      <x:c r="AA466" t="str">
        <x:v>screencapture-www-activesportstrade-co-uk-biotech-usa-trade-2026-09-10-09_04_18.pdf / page-01</x:v>
      </x:c>
      <x:c r="AB466" s="36" t="n">
        <x:f>IF(ISNUMBER(Y466),ROUND(Y466*0.9,2),"")</x:f>
        <x:v>64.8</x:v>
      </x:c>
      <x:c r="AC466" s="36" t="n">
        <x:f>IF(ISNUMBER(AB466),ROUND(AB466-(AB466*0.015+0.2)-V466,2),"")</x:f>
        <x:v>13.24</x:v>
      </x:c>
      <x:c r="AD466" s="36" t="n">
        <x:f>IF(ISNUMBER(Y466),ROUND(Y466*0.8,2),"")</x:f>
        <x:v>57.6</x:v>
      </x:c>
      <x:c r="AE466" s="36" t="n">
        <x:f>IF(ISNUMBER(AD466),ROUND(AD466*0.015+0.2,2),"")</x:f>
        <x:v>1.06</x:v>
      </x:c>
      <x:c r="AF466" s="36" t="n">
        <x:f>IF(ISNUMBER(AD466),ROUND(AD466-AE466-V466,2),"")</x:f>
        <x:v>6.15</x:v>
      </x:c>
      <x:c r="AG466" t="str">
        <x:f>IF(NOT(ISNUMBER(T466)),"PENDING",IF(AF466&gt;0,"PASS","FAIL"))</x:f>
        <x:v>PASS</x:v>
      </x:c>
      <x:c r="AH466" t="str">
        <x:f>IF(NOT(ISNUMBER(T466)),"Needs supplier cost",IF(K466&lt;&gt;"In stock","Supplier unavailable",IF(AG466&lt;&gt;"PASS","BLOCK - GT loss risk","Commercially protected")))</x:f>
        <x:v>Supplier unavailable</x:v>
      </x:c>
      <x:c r="AI466" t="str">
        <x:v>2026-09-10 Active Sports trade capture</x:v>
      </x:c>
      <x:c r="AJ466" t="str">
        <x:v>Management-only economics. Stripe stress test uses 1.5% + £0.20 standard UK online-card fee; pallet/mix-and-match pricing ignored.</x:v>
      </x:c>
    </x:row>
    <x:row r="467">
      <x:c r="A467" t="str">
        <x:v>Active Sports Nutrition</x:v>
      </x:c>
      <x:c r="B467" t="str">
        <x:v>Biotech USA</x:v>
      </x:c>
      <x:c r="C467" t="str">
        <x:v>100% Pure Whey</x:v>
      </x:c>
      <x:c r="D467" t="str">
        <x:v>Supplements</x:v>
      </x:c>
      <x:c r="E467" t="str">
        <x:v>Whey Protein</x:v>
      </x:c>
      <x:c r="F467" t="str">
        <x:v>Whey protein blend.</x:v>
      </x:c>
      <x:c r="G467" t="str">
        <x:v>2kg</x:v>
      </x:c>
      <x:c r="H467" t="str">
        <x:v>Cookies &amp; Cream</x:v>
      </x:c>
      <x:c r="I467" t="str"/>
      <x:c r="J467" t="str">
        <x:v>Unit</x:v>
      </x:c>
      <x:c r="K467" t="str">
        <x:v>Out of stock</x:v>
      </x:c>
      <x:c r="L467" t="str">
        <x:v>2026-09-08</x:v>
      </x:c>
      <x:c r="M467" t="str"/>
      <x:c r="N467" t="str"/>
      <x:c r="O467" t="str">
        <x:v>https://www.activesportstrade.co.uk/biotech-usa-trade</x:v>
      </x:c>
      <x:c r="P467" t="str"/>
      <x:c r="Q467" t="str"/>
      <x:c r="R467" t="str"/>
      <x:c r="S467" t="str">
        <x:v>Pending genuine supplier/brand image</x:v>
      </x:c>
      <x:c r="T467" s="54" t="n">
        <x:v>41.99</x:v>
      </x:c>
      <x:c r="U467" s="47" t="n">
        <x:v>0.2</x:v>
      </x:c>
      <x:c r="V467" s="54" t="n">
        <x:f>IF(ISNUMBER(T467),T467*(1+U467),"")</x:f>
        <x:v>50.388</x:v>
      </x:c>
      <x:c r="W467" s="47" t="n">
        <x:v>0.3</x:v>
      </x:c>
      <x:c r="X467" s="54" t="n">
        <x:f>IF(ISNUMBER(V467),V467/(1-W467),"")</x:f>
        <x:v>71.98285714285714</x:v>
      </x:c>
      <x:c r="Y467" s="55" t="n">
        <x:f>IF(ISNUMBER(X467),ROUNDUP(X467,0),"")</x:f>
        <x:v>72</x:v>
      </x:c>
      <x:c r="Z467" t="str">
        <x:v>Source match pending</x:v>
      </x:c>
      <x:c r="AA467" t="str">
        <x:v>screencapture-www-activesportstrade-co-uk-biotech-usa-trade-2026-09-10-09_04_18.pdf / page-01</x:v>
      </x:c>
      <x:c r="AB467" s="36" t="n">
        <x:f>IF(ISNUMBER(Y467),ROUND(Y467*0.9,2),"")</x:f>
        <x:v>64.8</x:v>
      </x:c>
      <x:c r="AC467" s="36" t="n">
        <x:f>IF(ISNUMBER(AB467),ROUND(AB467-(AB467*0.015+0.2)-V467,2),"")</x:f>
        <x:v>13.24</x:v>
      </x:c>
      <x:c r="AD467" s="36" t="n">
        <x:f>IF(ISNUMBER(Y467),ROUND(Y467*0.8,2),"")</x:f>
        <x:v>57.6</x:v>
      </x:c>
      <x:c r="AE467" s="36" t="n">
        <x:f>IF(ISNUMBER(AD467),ROUND(AD467*0.015+0.2,2),"")</x:f>
        <x:v>1.06</x:v>
      </x:c>
      <x:c r="AF467" s="36" t="n">
        <x:f>IF(ISNUMBER(AD467),ROUND(AD467-AE467-V467,2),"")</x:f>
        <x:v>6.15</x:v>
      </x:c>
      <x:c r="AG467" t="str">
        <x:f>IF(NOT(ISNUMBER(T467)),"PENDING",IF(AF467&gt;0,"PASS","FAIL"))</x:f>
        <x:v>PASS</x:v>
      </x:c>
      <x:c r="AH467" t="str">
        <x:f>IF(NOT(ISNUMBER(T467)),"Needs supplier cost",IF(K467&lt;&gt;"In stock","Supplier unavailable",IF(AG467&lt;&gt;"PASS","BLOCK - GT loss risk","Commercially protected")))</x:f>
        <x:v>Supplier unavailable</x:v>
      </x:c>
      <x:c r="AI467" t="str">
        <x:v>2026-09-10 Active Sports trade capture</x:v>
      </x:c>
      <x:c r="AJ467" t="str">
        <x:v>Management-only economics. Stripe stress test uses 1.5% + £0.20 standard UK online-card fee; pallet/mix-and-match pricing ignored.</x:v>
      </x:c>
    </x:row>
    <x:row r="468">
      <x:c r="A468" t="str">
        <x:v>Active Sports Nutrition</x:v>
      </x:c>
      <x:c r="B468" t="str">
        <x:v>Biotech USA</x:v>
      </x:c>
      <x:c r="C468" t="str">
        <x:v>100% Pure Whey</x:v>
      </x:c>
      <x:c r="D468" t="str">
        <x:v>Supplements</x:v>
      </x:c>
      <x:c r="E468" t="str">
        <x:v>Whey Protein</x:v>
      </x:c>
      <x:c r="F468" t="str">
        <x:v>Whey protein blend.</x:v>
      </x:c>
      <x:c r="G468" t="str">
        <x:v>2kg</x:v>
      </x:c>
      <x:c r="H468" t="str">
        <x:v>Hazelnut</x:v>
      </x:c>
      <x:c r="I468" t="str"/>
      <x:c r="J468" t="str">
        <x:v>Unit</x:v>
      </x:c>
      <x:c r="K468" t="str">
        <x:v>Out of stock</x:v>
      </x:c>
      <x:c r="L468" t="str">
        <x:v>2026-09-08</x:v>
      </x:c>
      <x:c r="M468" t="str"/>
      <x:c r="N468" t="str"/>
      <x:c r="O468" t="str">
        <x:v>https://www.activesportstrade.co.uk/biotech-usa-trade</x:v>
      </x:c>
      <x:c r="P468" t="str"/>
      <x:c r="Q468" t="str"/>
      <x:c r="R468" t="str"/>
      <x:c r="S468" t="str">
        <x:v>Pending genuine supplier/brand image</x:v>
      </x:c>
      <x:c r="T468" s="54" t="n">
        <x:v>41.99</x:v>
      </x:c>
      <x:c r="U468" s="47" t="n">
        <x:v>0.2</x:v>
      </x:c>
      <x:c r="V468" s="54" t="n">
        <x:f>IF(ISNUMBER(T468),T468*(1+U468),"")</x:f>
        <x:v>50.388</x:v>
      </x:c>
      <x:c r="W468" s="47" t="n">
        <x:v>0.3</x:v>
      </x:c>
      <x:c r="X468" s="54" t="n">
        <x:f>IF(ISNUMBER(V468),V468/(1-W468),"")</x:f>
        <x:v>71.98285714285714</x:v>
      </x:c>
      <x:c r="Y468" s="55" t="n">
        <x:f>IF(ISNUMBER(X468),ROUNDUP(X468,0),"")</x:f>
        <x:v>72</x:v>
      </x:c>
      <x:c r="Z468" t="str">
        <x:v>Source match pending</x:v>
      </x:c>
      <x:c r="AA468" t="str">
        <x:v>screencapture-www-activesportstrade-co-uk-biotech-usa-trade-2026-09-10-09_04_18.pdf / page-01</x:v>
      </x:c>
      <x:c r="AB468" s="36" t="n">
        <x:f>IF(ISNUMBER(Y468),ROUND(Y468*0.9,2),"")</x:f>
        <x:v>64.8</x:v>
      </x:c>
      <x:c r="AC468" s="36" t="n">
        <x:f>IF(ISNUMBER(AB468),ROUND(AB468-(AB468*0.015+0.2)-V468,2),"")</x:f>
        <x:v>13.24</x:v>
      </x:c>
      <x:c r="AD468" s="36" t="n">
        <x:f>IF(ISNUMBER(Y468),ROUND(Y468*0.8,2),"")</x:f>
        <x:v>57.6</x:v>
      </x:c>
      <x:c r="AE468" s="36" t="n">
        <x:f>IF(ISNUMBER(AD468),ROUND(AD468*0.015+0.2,2),"")</x:f>
        <x:v>1.06</x:v>
      </x:c>
      <x:c r="AF468" s="36" t="n">
        <x:f>IF(ISNUMBER(AD468),ROUND(AD468-AE468-V468,2),"")</x:f>
        <x:v>6.15</x:v>
      </x:c>
      <x:c r="AG468" t="str">
        <x:f>IF(NOT(ISNUMBER(T468)),"PENDING",IF(AF468&gt;0,"PASS","FAIL"))</x:f>
        <x:v>PASS</x:v>
      </x:c>
      <x:c r="AH468" t="str">
        <x:f>IF(NOT(ISNUMBER(T468)),"Needs supplier cost",IF(K468&lt;&gt;"In stock","Supplier unavailable",IF(AG468&lt;&gt;"PASS","BLOCK - GT loss risk","Commercially protected")))</x:f>
        <x:v>Supplier unavailable</x:v>
      </x:c>
      <x:c r="AI468" t="str">
        <x:v>2026-09-10 Active Sports trade capture</x:v>
      </x:c>
      <x:c r="AJ468" t="str">
        <x:v>Management-only economics. Stripe stress test uses 1.5% + £0.20 standard UK online-card fee; pallet/mix-and-match pricing ignored.</x:v>
      </x:c>
    </x:row>
    <x:row r="469">
      <x:c r="A469" t="str">
        <x:v>Active Sports Nutrition</x:v>
      </x:c>
      <x:c r="B469" t="str">
        <x:v>Biotech USA</x:v>
      </x:c>
      <x:c r="C469" t="str">
        <x:v>100% Pure Whey</x:v>
      </x:c>
      <x:c r="D469" t="str">
        <x:v>Supplements</x:v>
      </x:c>
      <x:c r="E469" t="str">
        <x:v>Whey Protein</x:v>
      </x:c>
      <x:c r="F469" t="str">
        <x:v>Whey protein blend.</x:v>
      </x:c>
      <x:c r="G469" t="str">
        <x:v>2kg</x:v>
      </x:c>
      <x:c r="H469" t="str">
        <x:v>Raspberry Cheesecake</x:v>
      </x:c>
      <x:c r="I469" t="str"/>
      <x:c r="J469" t="str">
        <x:v>Unit</x:v>
      </x:c>
      <x:c r="K469" t="str">
        <x:v>Out of stock</x:v>
      </x:c>
      <x:c r="L469" t="str">
        <x:v>2026-09-08</x:v>
      </x:c>
      <x:c r="M469" t="str"/>
      <x:c r="N469" t="str"/>
      <x:c r="O469" t="str">
        <x:v>https://www.activesportstrade.co.uk/biotech-usa-trade</x:v>
      </x:c>
      <x:c r="P469" t="str"/>
      <x:c r="Q469" t="str"/>
      <x:c r="R469" t="str"/>
      <x:c r="S469" t="str">
        <x:v>Pending genuine supplier/brand image</x:v>
      </x:c>
      <x:c r="T469" s="54" t="n">
        <x:v>41.99</x:v>
      </x:c>
      <x:c r="U469" s="47" t="n">
        <x:v>0.2</x:v>
      </x:c>
      <x:c r="V469" s="54" t="n">
        <x:f>IF(ISNUMBER(T469),T469*(1+U469),"")</x:f>
        <x:v>50.388</x:v>
      </x:c>
      <x:c r="W469" s="47" t="n">
        <x:v>0.3</x:v>
      </x:c>
      <x:c r="X469" s="54" t="n">
        <x:f>IF(ISNUMBER(V469),V469/(1-W469),"")</x:f>
        <x:v>71.98285714285714</x:v>
      </x:c>
      <x:c r="Y469" s="55" t="n">
        <x:f>IF(ISNUMBER(X469),ROUNDUP(X469,0),"")</x:f>
        <x:v>72</x:v>
      </x:c>
      <x:c r="Z469" t="str">
        <x:v>Source match pending</x:v>
      </x:c>
      <x:c r="AA469" t="str">
        <x:v>screencapture-www-activesportstrade-co-uk-biotech-usa-trade-2026-09-10-09_04_18.pdf / page-01</x:v>
      </x:c>
      <x:c r="AB469" s="36" t="n">
        <x:f>IF(ISNUMBER(Y469),ROUND(Y469*0.9,2),"")</x:f>
        <x:v>64.8</x:v>
      </x:c>
      <x:c r="AC469" s="36" t="n">
        <x:f>IF(ISNUMBER(AB469),ROUND(AB469-(AB469*0.015+0.2)-V469,2),"")</x:f>
        <x:v>13.24</x:v>
      </x:c>
      <x:c r="AD469" s="36" t="n">
        <x:f>IF(ISNUMBER(Y469),ROUND(Y469*0.8,2),"")</x:f>
        <x:v>57.6</x:v>
      </x:c>
      <x:c r="AE469" s="36" t="n">
        <x:f>IF(ISNUMBER(AD469),ROUND(AD469*0.015+0.2,2),"")</x:f>
        <x:v>1.06</x:v>
      </x:c>
      <x:c r="AF469" s="36" t="n">
        <x:f>IF(ISNUMBER(AD469),ROUND(AD469-AE469-V469,2),"")</x:f>
        <x:v>6.15</x:v>
      </x:c>
      <x:c r="AG469" t="str">
        <x:f>IF(NOT(ISNUMBER(T469)),"PENDING",IF(AF469&gt;0,"PASS","FAIL"))</x:f>
        <x:v>PASS</x:v>
      </x:c>
      <x:c r="AH469" t="str">
        <x:f>IF(NOT(ISNUMBER(T469)),"Needs supplier cost",IF(K469&lt;&gt;"In stock","Supplier unavailable",IF(AG469&lt;&gt;"PASS","BLOCK - GT loss risk","Commercially protected")))</x:f>
        <x:v>Supplier unavailable</x:v>
      </x:c>
      <x:c r="AI469" t="str">
        <x:v>2026-09-10 Active Sports trade capture</x:v>
      </x:c>
      <x:c r="AJ469" t="str">
        <x:v>Management-only economics. Stripe stress test uses 1.5% + £0.20 standard UK online-card fee; pallet/mix-and-match pricing ignored.</x:v>
      </x:c>
    </x:row>
    <x:row r="470">
      <x:c r="A470" t="str">
        <x:v>Active Sports Nutrition</x:v>
      </x:c>
      <x:c r="B470" t="str">
        <x:v>Biotech USA</x:v>
      </x:c>
      <x:c r="C470" t="str">
        <x:v>100% Pure Whey</x:v>
      </x:c>
      <x:c r="D470" t="str">
        <x:v>Supplements</x:v>
      </x:c>
      <x:c r="E470" t="str">
        <x:v>Whey Protein</x:v>
      </x:c>
      <x:c r="F470" t="str">
        <x:v>Whey protein blend.</x:v>
      </x:c>
      <x:c r="G470" t="str">
        <x:v>2kg</x:v>
      </x:c>
      <x:c r="H470" t="str">
        <x:v>Salty Caramel</x:v>
      </x:c>
      <x:c r="I470" t="str"/>
      <x:c r="J470" t="str">
        <x:v>Unit</x:v>
      </x:c>
      <x:c r="K470" t="str">
        <x:v>In stock</x:v>
      </x:c>
      <x:c r="L470" t="str">
        <x:v>2026-09-08</x:v>
      </x:c>
      <x:c r="M470" t="str"/>
      <x:c r="N470" t="str"/>
      <x:c r="O470" t="str">
        <x:v>https://www.activesportstrade.co.uk/biotech-usa-trade</x:v>
      </x:c>
      <x:c r="P470" t="str"/>
      <x:c r="Q470" t="str"/>
      <x:c r="R470" t="str"/>
      <x:c r="S470" t="str">
        <x:v>Pending genuine supplier/brand image</x:v>
      </x:c>
      <x:c r="T470" s="54" t="n">
        <x:v>41.99</x:v>
      </x:c>
      <x:c r="U470" s="47" t="n">
        <x:v>0.2</x:v>
      </x:c>
      <x:c r="V470" s="54" t="n">
        <x:f>IF(ISNUMBER(T470),T470*(1+U470),"")</x:f>
        <x:v>50.388</x:v>
      </x:c>
      <x:c r="W470" s="47" t="n">
        <x:v>0.3</x:v>
      </x:c>
      <x:c r="X470" s="54" t="n">
        <x:f>IF(ISNUMBER(V470),V470/(1-W470),"")</x:f>
        <x:v>71.98285714285714</x:v>
      </x:c>
      <x:c r="Y470" s="55" t="n">
        <x:f>IF(ISNUMBER(X470),ROUNDUP(X470,0),"")</x:f>
        <x:v>72</x:v>
      </x:c>
      <x:c r="Z470" t="str">
        <x:v>Source match pending</x:v>
      </x:c>
      <x:c r="AA470" t="str">
        <x:v>screencapture-www-activesportstrade-co-uk-biotech-usa-trade-2026-09-10-09_04_18.pdf / page-01</x:v>
      </x:c>
      <x:c r="AB470" s="36" t="n">
        <x:f>IF(ISNUMBER(Y470),ROUND(Y470*0.9,2),"")</x:f>
        <x:v>64.8</x:v>
      </x:c>
      <x:c r="AC470" s="36" t="n">
        <x:f>IF(ISNUMBER(AB470),ROUND(AB470-(AB470*0.015+0.2)-V470,2),"")</x:f>
        <x:v>13.24</x:v>
      </x:c>
      <x:c r="AD470" s="36" t="n">
        <x:f>IF(ISNUMBER(Y470),ROUND(Y470*0.8,2),"")</x:f>
        <x:v>57.6</x:v>
      </x:c>
      <x:c r="AE470" s="36" t="n">
        <x:f>IF(ISNUMBER(AD470),ROUND(AD470*0.015+0.2,2),"")</x:f>
        <x:v>1.06</x:v>
      </x:c>
      <x:c r="AF470" s="36" t="n">
        <x:f>IF(ISNUMBER(AD470),ROUND(AD470-AE470-V470,2),"")</x:f>
        <x:v>6.15</x:v>
      </x:c>
      <x:c r="AG470" t="str">
        <x:f>IF(NOT(ISNUMBER(T470)),"PENDING",IF(AF470&gt;0,"PASS","FAIL"))</x:f>
        <x:v>PASS</x:v>
      </x:c>
      <x:c r="AH470" t="str">
        <x:f>IF(NOT(ISNUMBER(T470)),"Needs supplier cost",IF(K470&lt;&gt;"In stock","Supplier unavailable",IF(AG470&lt;&gt;"PASS","BLOCK - GT loss risk","Commercially protected")))</x:f>
        <x:v>Commercially protected</x:v>
      </x:c>
      <x:c r="AI470" t="str">
        <x:v>2026-09-10 Active Sports trade capture</x:v>
      </x:c>
      <x:c r="AJ470" t="str">
        <x:v>Management-only economics. Stripe stress test uses 1.5% + £0.20 standard UK online-card fee; pallet/mix-and-match pricing ignored.</x:v>
      </x:c>
    </x:row>
    <x:row r="471">
      <x:c r="A471" t="str">
        <x:v>Active Sports Nutrition</x:v>
      </x:c>
      <x:c r="B471" t="str">
        <x:v>Biotech USA</x:v>
      </x:c>
      <x:c r="C471" t="str">
        <x:v>100% Pure Whey</x:v>
      </x:c>
      <x:c r="D471" t="str">
        <x:v>Supplements</x:v>
      </x:c>
      <x:c r="E471" t="str">
        <x:v>Whey Protein</x:v>
      </x:c>
      <x:c r="F471" t="str">
        <x:v>Whey protein blend.</x:v>
      </x:c>
      <x:c r="G471" t="str">
        <x:v>2kg</x:v>
      </x:c>
      <x:c r="H471" t="str">
        <x:v>Strawberry</x:v>
      </x:c>
      <x:c r="I471" t="str"/>
      <x:c r="J471" t="str">
        <x:v>Unit</x:v>
      </x:c>
      <x:c r="K471" t="str">
        <x:v>Out of stock</x:v>
      </x:c>
      <x:c r="L471" t="str">
        <x:v>2026-09-08</x:v>
      </x:c>
      <x:c r="M471" t="str"/>
      <x:c r="N471" t="str"/>
      <x:c r="O471" t="str">
        <x:v>https://www.activesportstrade.co.uk/biotech-usa-trade</x:v>
      </x:c>
      <x:c r="P471" t="str"/>
      <x:c r="Q471" t="str"/>
      <x:c r="R471" t="str"/>
      <x:c r="S471" t="str">
        <x:v>Pending genuine supplier/brand image</x:v>
      </x:c>
      <x:c r="T471" s="54" t="n">
        <x:v>41.99</x:v>
      </x:c>
      <x:c r="U471" s="47" t="n">
        <x:v>0.2</x:v>
      </x:c>
      <x:c r="V471" s="54" t="n">
        <x:f>IF(ISNUMBER(T471),T471*(1+U471),"")</x:f>
        <x:v>50.388</x:v>
      </x:c>
      <x:c r="W471" s="47" t="n">
        <x:v>0.3</x:v>
      </x:c>
      <x:c r="X471" s="54" t="n">
        <x:f>IF(ISNUMBER(V471),V471/(1-W471),"")</x:f>
        <x:v>71.98285714285714</x:v>
      </x:c>
      <x:c r="Y471" s="55" t="n">
        <x:f>IF(ISNUMBER(X471),ROUNDUP(X471,0),"")</x:f>
        <x:v>72</x:v>
      </x:c>
      <x:c r="Z471" t="str">
        <x:v>Source match pending</x:v>
      </x:c>
      <x:c r="AA471" t="str">
        <x:v>screencapture-www-activesportstrade-co-uk-biotech-usa-trade-2026-09-10-09_04_18.pdf / page-01</x:v>
      </x:c>
      <x:c r="AB471" s="36" t="n">
        <x:f>IF(ISNUMBER(Y471),ROUND(Y471*0.9,2),"")</x:f>
        <x:v>64.8</x:v>
      </x:c>
      <x:c r="AC471" s="36" t="n">
        <x:f>IF(ISNUMBER(AB471),ROUND(AB471-(AB471*0.015+0.2)-V471,2),"")</x:f>
        <x:v>13.24</x:v>
      </x:c>
      <x:c r="AD471" s="36" t="n">
        <x:f>IF(ISNUMBER(Y471),ROUND(Y471*0.8,2),"")</x:f>
        <x:v>57.6</x:v>
      </x:c>
      <x:c r="AE471" s="36" t="n">
        <x:f>IF(ISNUMBER(AD471),ROUND(AD471*0.015+0.2,2),"")</x:f>
        <x:v>1.06</x:v>
      </x:c>
      <x:c r="AF471" s="36" t="n">
        <x:f>IF(ISNUMBER(AD471),ROUND(AD471-AE471-V471,2),"")</x:f>
        <x:v>6.15</x:v>
      </x:c>
      <x:c r="AG471" t="str">
        <x:f>IF(NOT(ISNUMBER(T471)),"PENDING",IF(AF471&gt;0,"PASS","FAIL"))</x:f>
        <x:v>PASS</x:v>
      </x:c>
      <x:c r="AH471" t="str">
        <x:f>IF(NOT(ISNUMBER(T471)),"Needs supplier cost",IF(K471&lt;&gt;"In stock","Supplier unavailable",IF(AG471&lt;&gt;"PASS","BLOCK - GT loss risk","Commercially protected")))</x:f>
        <x:v>Supplier unavailable</x:v>
      </x:c>
      <x:c r="AI471" t="str">
        <x:v>2026-09-10 Active Sports trade capture</x:v>
      </x:c>
      <x:c r="AJ471" t="str">
        <x:v>Management-only economics. Stripe stress test uses 1.5% + £0.20 standard UK online-card fee; pallet/mix-and-match pricing ignored.</x:v>
      </x:c>
    </x:row>
    <x:row r="472">
      <x:c r="A472" t="str">
        <x:v>Active Sports Nutrition</x:v>
      </x:c>
      <x:c r="B472" t="str">
        <x:v>Biotech USA</x:v>
      </x:c>
      <x:c r="C472" t="str">
        <x:v>AAKG 1000</x:v>
      </x:c>
      <x:c r="D472" t="str">
        <x:v>Supplements</x:v>
      </x:c>
      <x:c r="E472" t="str">
        <x:v>Amino Acids</x:v>
      </x:c>
      <x:c r="F472" t="str">
        <x:v>Arginine alpha-ketoglutarate capsules.</x:v>
      </x:c>
      <x:c r="G472" t="str">
        <x:v>100 caps</x:v>
      </x:c>
      <x:c r="H472" t="str">
        <x:v>Default</x:v>
      </x:c>
      <x:c r="I472" t="str"/>
      <x:c r="J472" t="str">
        <x:v>Unit</x:v>
      </x:c>
      <x:c r="K472" t="str">
        <x:v>In stock</x:v>
      </x:c>
      <x:c r="L472" t="str">
        <x:v>2026-09-08</x:v>
      </x:c>
      <x:c r="M472" t="str"/>
      <x:c r="N472" t="str"/>
      <x:c r="O472" t="str">
        <x:v>https://www.activesportstrade.co.uk/biotech-usa-trade</x:v>
      </x:c>
      <x:c r="P472" t="str"/>
      <x:c r="Q472" t="str"/>
      <x:c r="R472" t="str"/>
      <x:c r="S472" t="str">
        <x:v>Pending genuine supplier/brand image</x:v>
      </x:c>
      <x:c r="T472" s="54" t="n">
        <x:v>7.78</x:v>
      </x:c>
      <x:c r="U472" s="47" t="n">
        <x:v>0.2</x:v>
      </x:c>
      <x:c r="V472" s="54" t="n">
        <x:f>IF(ISNUMBER(T472),T472*(1+U472),"")</x:f>
        <x:v>9.336</x:v>
      </x:c>
      <x:c r="W472" s="47" t="n">
        <x:v>0.3</x:v>
      </x:c>
      <x:c r="X472" s="54" t="n">
        <x:f>IF(ISNUMBER(V472),V472/(1-W472),"")</x:f>
        <x:v>13.337142857142858</x:v>
      </x:c>
      <x:c r="Y472" s="55" t="n">
        <x:f>IF(ISNUMBER(X472),ROUNDUP(X472,0),"")</x:f>
        <x:v>14</x:v>
      </x:c>
      <x:c r="Z472" t="str">
        <x:v>Source match pending</x:v>
      </x:c>
      <x:c r="AA472" t="str">
        <x:v>screencapture-www-activesportstrade-co-uk-biotech-usa-trade-2026-09-10-09_04_18.pdf / page-02</x:v>
      </x:c>
      <x:c r="AB472" s="36" t="n">
        <x:f>IF(ISNUMBER(Y472),ROUND(Y472*0.9,2),"")</x:f>
        <x:v>12.6</x:v>
      </x:c>
      <x:c r="AC472" s="36" t="n">
        <x:f>IF(ISNUMBER(AB472),ROUND(AB472-(AB472*0.015+0.2)-V472,2),"")</x:f>
        <x:v>2.88</x:v>
      </x:c>
      <x:c r="AD472" s="36" t="n">
        <x:f>IF(ISNUMBER(Y472),ROUND(Y472*0.8,2),"")</x:f>
        <x:v>11.2</x:v>
      </x:c>
      <x:c r="AE472" s="36" t="n">
        <x:f>IF(ISNUMBER(AD472),ROUND(AD472*0.015+0.2,2),"")</x:f>
        <x:v>0.37</x:v>
      </x:c>
      <x:c r="AF472" s="36" t="n">
        <x:f>IF(ISNUMBER(AD472),ROUND(AD472-AE472-V472,2),"")</x:f>
        <x:v>1.49</x:v>
      </x:c>
      <x:c r="AG472" t="str">
        <x:f>IF(NOT(ISNUMBER(T472)),"PENDING",IF(AF472&gt;0,"PASS","FAIL"))</x:f>
        <x:v>PASS</x:v>
      </x:c>
      <x:c r="AH472" t="str">
        <x:f>IF(NOT(ISNUMBER(T472)),"Needs supplier cost",IF(K472&lt;&gt;"In stock","Supplier unavailable",IF(AG472&lt;&gt;"PASS","BLOCK - GT loss risk","Commercially protected")))</x:f>
        <x:v>Commercially protected</x:v>
      </x:c>
      <x:c r="AI472" t="str">
        <x:v>2026-09-10 Active Sports trade capture</x:v>
      </x:c>
      <x:c r="AJ472" t="str">
        <x:v>Management-only economics. Stripe stress test uses 1.5% + £0.20 standard UK online-card fee; pallet/mix-and-match pricing ignored.</x:v>
      </x:c>
    </x:row>
    <x:row r="473">
      <x:c r="A473" t="str">
        <x:v>Active Sports Nutrition</x:v>
      </x:c>
      <x:c r="B473" t="str">
        <x:v>Biotech USA</x:v>
      </x:c>
      <x:c r="C473" t="str">
        <x:v>ALA</x:v>
      </x:c>
      <x:c r="D473" t="str">
        <x:v>Supplements</x:v>
      </x:c>
      <x:c r="E473" t="str">
        <x:v>Vitamins</x:v>
      </x:c>
      <x:c r="F473" t="str">
        <x:v>Alpha-lipoic acid antioxidant supplement.</x:v>
      </x:c>
      <x:c r="G473" t="str">
        <x:v>50 caps</x:v>
      </x:c>
      <x:c r="H473" t="str">
        <x:v>Default</x:v>
      </x:c>
      <x:c r="I473" t="str"/>
      <x:c r="J473" t="str">
        <x:v>Unit</x:v>
      </x:c>
      <x:c r="K473" t="str">
        <x:v>In stock</x:v>
      </x:c>
      <x:c r="L473" t="str">
        <x:v>2026-09-08</x:v>
      </x:c>
      <x:c r="M473" t="str"/>
      <x:c r="N473" t="str"/>
      <x:c r="O473" t="str">
        <x:v>https://www.activesportstrade.co.uk/biotech-usa-trade</x:v>
      </x:c>
      <x:c r="P473" t="str"/>
      <x:c r="Q473" t="str"/>
      <x:c r="R473" t="str"/>
      <x:c r="S473" t="str">
        <x:v>Pending genuine supplier/brand image</x:v>
      </x:c>
      <x:c r="T473" s="54" t="n">
        <x:v>6.43</x:v>
      </x:c>
      <x:c r="U473" s="47" t="n">
        <x:v>0.2</x:v>
      </x:c>
      <x:c r="V473" s="54" t="n">
        <x:f>IF(ISNUMBER(T473),T473*(1+U473),"")</x:f>
        <x:v>7.715999999999999</x:v>
      </x:c>
      <x:c r="W473" s="47" t="n">
        <x:v>0.3</x:v>
      </x:c>
      <x:c r="X473" s="54" t="n">
        <x:f>IF(ISNUMBER(V473),V473/(1-W473),"")</x:f>
        <x:v>11.022857142857143</x:v>
      </x:c>
      <x:c r="Y473" s="55" t="n">
        <x:f>IF(ISNUMBER(X473),ROUNDUP(X473,0),"")</x:f>
        <x:v>12</x:v>
      </x:c>
      <x:c r="Z473" t="str">
        <x:v>Source match pending</x:v>
      </x:c>
      <x:c r="AA473" t="str">
        <x:v>screencapture-www-activesportstrade-co-uk-biotech-usa-trade-2026-09-10-09_04_18.pdf / page-02</x:v>
      </x:c>
      <x:c r="AB473" s="36" t="n">
        <x:f>IF(ISNUMBER(Y473),ROUND(Y473*0.9,2),"")</x:f>
        <x:v>10.8</x:v>
      </x:c>
      <x:c r="AC473" s="36" t="n">
        <x:f>IF(ISNUMBER(AB473),ROUND(AB473-(AB473*0.015+0.2)-V473,2),"")</x:f>
        <x:v>2.72</x:v>
      </x:c>
      <x:c r="AD473" s="36" t="n">
        <x:f>IF(ISNUMBER(Y473),ROUND(Y473*0.8,2),"")</x:f>
        <x:v>9.6</x:v>
      </x:c>
      <x:c r="AE473" s="36" t="n">
        <x:f>IF(ISNUMBER(AD473),ROUND(AD473*0.015+0.2,2),"")</x:f>
        <x:v>0.34</x:v>
      </x:c>
      <x:c r="AF473" s="36" t="n">
        <x:f>IF(ISNUMBER(AD473),ROUND(AD473-AE473-V473,2),"")</x:f>
        <x:v>1.54</x:v>
      </x:c>
      <x:c r="AG473" t="str">
        <x:f>IF(NOT(ISNUMBER(T473)),"PENDING",IF(AF473&gt;0,"PASS","FAIL"))</x:f>
        <x:v>PASS</x:v>
      </x:c>
      <x:c r="AH473" t="str">
        <x:f>IF(NOT(ISNUMBER(T473)),"Needs supplier cost",IF(K473&lt;&gt;"In stock","Supplier unavailable",IF(AG473&lt;&gt;"PASS","BLOCK - GT loss risk","Commercially protected")))</x:f>
        <x:v>Commercially protected</x:v>
      </x:c>
      <x:c r="AI473" t="str">
        <x:v>2026-09-10 Active Sports trade capture</x:v>
      </x:c>
      <x:c r="AJ473" t="str">
        <x:v>Management-only economics. Stripe stress test uses 1.5% + £0.20 standard UK online-card fee; pallet/mix-and-match pricing ignored.</x:v>
      </x:c>
    </x:row>
    <x:row r="474">
      <x:c r="A474" t="str">
        <x:v>Active Sports Nutrition</x:v>
      </x:c>
      <x:c r="B474" t="str">
        <x:v>Biotech USA</x:v>
      </x:c>
      <x:c r="C474" t="str">
        <x:v>Amino Energy Zero - With Electrolytes</x:v>
      </x:c>
      <x:c r="D474" t="str">
        <x:v>Supplements</x:v>
      </x:c>
      <x:c r="E474" t="str">
        <x:v>Amino Acids</x:v>
      </x:c>
      <x:c r="F474" t="str">
        <x:v>Essential amino acid and electrolyte formula.</x:v>
      </x:c>
      <x:c r="G474" t="str">
        <x:v>360g</x:v>
      </x:c>
      <x:c r="H474" t="str">
        <x:v>Lime</x:v>
      </x:c>
      <x:c r="I474" t="str"/>
      <x:c r="J474" t="str">
        <x:v>Unit</x:v>
      </x:c>
      <x:c r="K474" t="str">
        <x:v>Out of stock</x:v>
      </x:c>
      <x:c r="L474" t="str">
        <x:v>2026-09-08</x:v>
      </x:c>
      <x:c r="M474" t="str"/>
      <x:c r="N474" t="str"/>
      <x:c r="O474" t="str">
        <x:v>https://www.activesportstrade.co.uk/biotech-usa-trade</x:v>
      </x:c>
      <x:c r="P474" t="str">
        <x:v>SPECIAL OFFER wording removed.</x:v>
      </x:c>
      <x:c r="Q474" t="str"/>
      <x:c r="R474" t="str"/>
      <x:c r="S474" t="str">
        <x:v>Pending genuine supplier/brand image</x:v>
      </x:c>
      <x:c r="T474" s="54" t="n">
        <x:v>10.99</x:v>
      </x:c>
      <x:c r="U474" s="47" t="n">
        <x:v>0.2</x:v>
      </x:c>
      <x:c r="V474" s="54" t="n">
        <x:f>IF(ISNUMBER(T474),T474*(1+U474),"")</x:f>
        <x:v>13.188</x:v>
      </x:c>
      <x:c r="W474" s="47" t="n">
        <x:v>0.3</x:v>
      </x:c>
      <x:c r="X474" s="54" t="n">
        <x:f>IF(ISNUMBER(V474),V474/(1-W474),"")</x:f>
        <x:v>18.840000000000003</x:v>
      </x:c>
      <x:c r="Y474" s="55" t="n">
        <x:f>IF(ISNUMBER(X474),ROUNDUP(X474,0),"")</x:f>
        <x:v>19</x:v>
      </x:c>
      <x:c r="Z474" t="str">
        <x:v>Source match pending</x:v>
      </x:c>
      <x:c r="AA474" t="str">
        <x:v>screencapture-www-activesportstrade-co-uk-biotech-usa-trade-2026-09-10-09_04_18.pdf / page-02</x:v>
      </x:c>
      <x:c r="AB474" s="36" t="n">
        <x:f>IF(ISNUMBER(Y474),ROUND(Y474*0.9,2),"")</x:f>
        <x:v>17.1</x:v>
      </x:c>
      <x:c r="AC474" s="36" t="n">
        <x:f>IF(ISNUMBER(AB474),ROUND(AB474-(AB474*0.015+0.2)-V474,2),"")</x:f>
        <x:v>3.46</x:v>
      </x:c>
      <x:c r="AD474" s="36" t="n">
        <x:f>IF(ISNUMBER(Y474),ROUND(Y474*0.8,2),"")</x:f>
        <x:v>15.2</x:v>
      </x:c>
      <x:c r="AE474" s="36" t="n">
        <x:f>IF(ISNUMBER(AD474),ROUND(AD474*0.015+0.2,2),"")</x:f>
        <x:v>0.43</x:v>
      </x:c>
      <x:c r="AF474" s="36" t="n">
        <x:f>IF(ISNUMBER(AD474),ROUND(AD474-AE474-V474,2),"")</x:f>
        <x:v>1.58</x:v>
      </x:c>
      <x:c r="AG474" t="str">
        <x:f>IF(NOT(ISNUMBER(T474)),"PENDING",IF(AF474&gt;0,"PASS","FAIL"))</x:f>
        <x:v>PASS</x:v>
      </x:c>
      <x:c r="AH474" t="str">
        <x:f>IF(NOT(ISNUMBER(T474)),"Needs supplier cost",IF(K474&lt;&gt;"In stock","Supplier unavailable",IF(AG474&lt;&gt;"PASS","BLOCK - GT loss risk","Commercially protected")))</x:f>
        <x:v>Supplier unavailable</x:v>
      </x:c>
      <x:c r="AI474" t="str">
        <x:v>2026-09-10 Active Sports trade capture</x:v>
      </x:c>
      <x:c r="AJ474" t="str">
        <x:v>Management-only economics. Stripe stress test uses 1.5% + £0.20 standard UK online-card fee; pallet/mix-and-match pricing ignored.</x:v>
      </x:c>
    </x:row>
    <x:row r="475">
      <x:c r="A475" t="str">
        <x:v>Active Sports Nutrition</x:v>
      </x:c>
      <x:c r="B475" t="str">
        <x:v>Biotech USA</x:v>
      </x:c>
      <x:c r="C475" t="str">
        <x:v>Amino Energy Zero - With Electrolytes</x:v>
      </x:c>
      <x:c r="D475" t="str">
        <x:v>Supplements</x:v>
      </x:c>
      <x:c r="E475" t="str">
        <x:v>Amino Acids</x:v>
      </x:c>
      <x:c r="F475" t="str">
        <x:v>Essential amino acid and electrolyte formula.</x:v>
      </x:c>
      <x:c r="G475" t="str">
        <x:v>360g</x:v>
      </x:c>
      <x:c r="H475" t="str">
        <x:v>Peach Ice Tea</x:v>
      </x:c>
      <x:c r="I475" t="str"/>
      <x:c r="J475" t="str">
        <x:v>Unit</x:v>
      </x:c>
      <x:c r="K475" t="str">
        <x:v>Out of stock</x:v>
      </x:c>
      <x:c r="L475" t="str">
        <x:v>2026-09-08</x:v>
      </x:c>
      <x:c r="M475" t="str"/>
      <x:c r="N475" t="str"/>
      <x:c r="O475" t="str">
        <x:v>https://www.activesportstrade.co.uk/biotech-usa-trade</x:v>
      </x:c>
      <x:c r="P475" t="str">
        <x:v>SPECIAL OFFER wording removed.</x:v>
      </x:c>
      <x:c r="Q475" t="str"/>
      <x:c r="R475" t="str"/>
      <x:c r="S475" t="str">
        <x:v>Pending genuine supplier/brand image</x:v>
      </x:c>
      <x:c r="T475" s="54" t="n">
        <x:v>10.99</x:v>
      </x:c>
      <x:c r="U475" s="47" t="n">
        <x:v>0.2</x:v>
      </x:c>
      <x:c r="V475" s="54" t="n">
        <x:f>IF(ISNUMBER(T475),T475*(1+U475),"")</x:f>
        <x:v>13.188</x:v>
      </x:c>
      <x:c r="W475" s="47" t="n">
        <x:v>0.3</x:v>
      </x:c>
      <x:c r="X475" s="54" t="n">
        <x:f>IF(ISNUMBER(V475),V475/(1-W475),"")</x:f>
        <x:v>18.840000000000003</x:v>
      </x:c>
      <x:c r="Y475" s="55" t="n">
        <x:f>IF(ISNUMBER(X475),ROUNDUP(X475,0),"")</x:f>
        <x:v>19</x:v>
      </x:c>
      <x:c r="Z475" t="str">
        <x:v>Source match pending</x:v>
      </x:c>
      <x:c r="AA475" t="str">
        <x:v>screencapture-www-activesportstrade-co-uk-biotech-usa-trade-2026-09-10-09_04_18.pdf / page-02</x:v>
      </x:c>
      <x:c r="AB475" s="36" t="n">
        <x:f>IF(ISNUMBER(Y475),ROUND(Y475*0.9,2),"")</x:f>
        <x:v>17.1</x:v>
      </x:c>
      <x:c r="AC475" s="36" t="n">
        <x:f>IF(ISNUMBER(AB475),ROUND(AB475-(AB475*0.015+0.2)-V475,2),"")</x:f>
        <x:v>3.46</x:v>
      </x:c>
      <x:c r="AD475" s="36" t="n">
        <x:f>IF(ISNUMBER(Y475),ROUND(Y475*0.8,2),"")</x:f>
        <x:v>15.2</x:v>
      </x:c>
      <x:c r="AE475" s="36" t="n">
        <x:f>IF(ISNUMBER(AD475),ROUND(AD475*0.015+0.2,2),"")</x:f>
        <x:v>0.43</x:v>
      </x:c>
      <x:c r="AF475" s="36" t="n">
        <x:f>IF(ISNUMBER(AD475),ROUND(AD475-AE475-V475,2),"")</x:f>
        <x:v>1.58</x:v>
      </x:c>
      <x:c r="AG475" t="str">
        <x:f>IF(NOT(ISNUMBER(T475)),"PENDING",IF(AF475&gt;0,"PASS","FAIL"))</x:f>
        <x:v>PASS</x:v>
      </x:c>
      <x:c r="AH475" t="str">
        <x:f>IF(NOT(ISNUMBER(T475)),"Needs supplier cost",IF(K475&lt;&gt;"In stock","Supplier unavailable",IF(AG475&lt;&gt;"PASS","BLOCK - GT loss risk","Commercially protected")))</x:f>
        <x:v>Supplier unavailable</x:v>
      </x:c>
      <x:c r="AI475" t="str">
        <x:v>2026-09-10 Active Sports trade capture</x:v>
      </x:c>
      <x:c r="AJ475" t="str">
        <x:v>Management-only economics. Stripe stress test uses 1.5% + £0.20 standard UK online-card fee; pallet/mix-and-match pricing ignored.</x:v>
      </x:c>
    </x:row>
    <x:row r="476">
      <x:c r="A476" t="str">
        <x:v>Active Sports Nutrition</x:v>
      </x:c>
      <x:c r="B476" t="str">
        <x:v>Biotech USA</x:v>
      </x:c>
      <x:c r="C476" t="str">
        <x:v>Amino Energy Zero - With Electrolytes</x:v>
      </x:c>
      <x:c r="D476" t="str">
        <x:v>Supplements</x:v>
      </x:c>
      <x:c r="E476" t="str">
        <x:v>Amino Acids</x:v>
      </x:c>
      <x:c r="F476" t="str">
        <x:v>Essential amino acid and electrolyte formula.</x:v>
      </x:c>
      <x:c r="G476" t="str">
        <x:v>360g</x:v>
      </x:c>
      <x:c r="H476" t="str">
        <x:v>Pineapple Mango</x:v>
      </x:c>
      <x:c r="I476" t="str"/>
      <x:c r="J476" t="str">
        <x:v>Unit</x:v>
      </x:c>
      <x:c r="K476" t="str">
        <x:v>In stock</x:v>
      </x:c>
      <x:c r="L476" t="str">
        <x:v>2026-09-08</x:v>
      </x:c>
      <x:c r="M476" t="str"/>
      <x:c r="N476" t="str"/>
      <x:c r="O476" t="str">
        <x:v>https://www.activesportstrade.co.uk/biotech-usa-trade</x:v>
      </x:c>
      <x:c r="P476" t="str">
        <x:v>SPECIAL OFFER wording removed.</x:v>
      </x:c>
      <x:c r="Q476" t="str"/>
      <x:c r="R476" t="str"/>
      <x:c r="S476" t="str">
        <x:v>Pending genuine supplier/brand image</x:v>
      </x:c>
      <x:c r="T476" s="54" t="n">
        <x:v>10.99</x:v>
      </x:c>
      <x:c r="U476" s="47" t="n">
        <x:v>0.2</x:v>
      </x:c>
      <x:c r="V476" s="54" t="n">
        <x:f>IF(ISNUMBER(T476),T476*(1+U476),"")</x:f>
        <x:v>13.188</x:v>
      </x:c>
      <x:c r="W476" s="47" t="n">
        <x:v>0.3</x:v>
      </x:c>
      <x:c r="X476" s="54" t="n">
        <x:f>IF(ISNUMBER(V476),V476/(1-W476),"")</x:f>
        <x:v>18.840000000000003</x:v>
      </x:c>
      <x:c r="Y476" s="55" t="n">
        <x:f>IF(ISNUMBER(X476),ROUNDUP(X476,0),"")</x:f>
        <x:v>19</x:v>
      </x:c>
      <x:c r="Z476" t="str">
        <x:v>Source match pending</x:v>
      </x:c>
      <x:c r="AA476" t="str">
        <x:v>screencapture-www-activesportstrade-co-uk-biotech-usa-trade-2026-09-10-09_04_18.pdf / page-02</x:v>
      </x:c>
      <x:c r="AB476" s="36" t="n">
        <x:f>IF(ISNUMBER(Y476),ROUND(Y476*0.9,2),"")</x:f>
        <x:v>17.1</x:v>
      </x:c>
      <x:c r="AC476" s="36" t="n">
        <x:f>IF(ISNUMBER(AB476),ROUND(AB476-(AB476*0.015+0.2)-V476,2),"")</x:f>
        <x:v>3.46</x:v>
      </x:c>
      <x:c r="AD476" s="36" t="n">
        <x:f>IF(ISNUMBER(Y476),ROUND(Y476*0.8,2),"")</x:f>
        <x:v>15.2</x:v>
      </x:c>
      <x:c r="AE476" s="36" t="n">
        <x:f>IF(ISNUMBER(AD476),ROUND(AD476*0.015+0.2,2),"")</x:f>
        <x:v>0.43</x:v>
      </x:c>
      <x:c r="AF476" s="36" t="n">
        <x:f>IF(ISNUMBER(AD476),ROUND(AD476-AE476-V476,2),"")</x:f>
        <x:v>1.58</x:v>
      </x:c>
      <x:c r="AG476" t="str">
        <x:f>IF(NOT(ISNUMBER(T476)),"PENDING",IF(AF476&gt;0,"PASS","FAIL"))</x:f>
        <x:v>PASS</x:v>
      </x:c>
      <x:c r="AH476" t="str">
        <x:f>IF(NOT(ISNUMBER(T476)),"Needs supplier cost",IF(K476&lt;&gt;"In stock","Supplier unavailable",IF(AG476&lt;&gt;"PASS","BLOCK - GT loss risk","Commercially protected")))</x:f>
        <x:v>Commercially protected</x:v>
      </x:c>
      <x:c r="AI476" t="str">
        <x:v>2026-09-10 Active Sports trade capture</x:v>
      </x:c>
      <x:c r="AJ476" t="str">
        <x:v>Management-only economics. Stripe stress test uses 1.5% + £0.20 standard UK online-card fee; pallet/mix-and-match pricing ignored.</x:v>
      </x:c>
    </x:row>
    <x:row r="477">
      <x:c r="A477" t="str">
        <x:v>Active Sports Nutrition</x:v>
      </x:c>
      <x:c r="B477" t="str">
        <x:v>Biotech USA</x:v>
      </x:c>
      <x:c r="C477" t="str">
        <x:v>Antioxidants</x:v>
      </x:c>
      <x:c r="D477" t="str">
        <x:v>Supplements</x:v>
      </x:c>
      <x:c r="E477" t="str">
        <x:v>Vitamins</x:v>
      </x:c>
      <x:c r="F477" t="str">
        <x:v>Antioxidant tablet formula.</x:v>
      </x:c>
      <x:c r="G477" t="str">
        <x:v>60 tabs</x:v>
      </x:c>
      <x:c r="H477" t="str">
        <x:v>Default</x:v>
      </x:c>
      <x:c r="I477" t="str"/>
      <x:c r="J477" t="str">
        <x:v>Unit</x:v>
      </x:c>
      <x:c r="K477" t="str">
        <x:v>In stock</x:v>
      </x:c>
      <x:c r="L477" t="str">
        <x:v>2026-09-08</x:v>
      </x:c>
      <x:c r="M477" t="str"/>
      <x:c r="N477" t="str"/>
      <x:c r="O477" t="str">
        <x:v>https://www.activesportstrade.co.uk/biotech-usa-trade</x:v>
      </x:c>
      <x:c r="P477" t="str"/>
      <x:c r="Q477" t="str"/>
      <x:c r="R477" t="str"/>
      <x:c r="S477" t="str">
        <x:v>Pending genuine supplier/brand image</x:v>
      </x:c>
      <x:c r="T477" s="54" t="n">
        <x:v>5.82</x:v>
      </x:c>
      <x:c r="U477" s="47" t="n">
        <x:v>0.2</x:v>
      </x:c>
      <x:c r="V477" s="54" t="n">
        <x:f>IF(ISNUMBER(T477),T477*(1+U477),"")</x:f>
        <x:v>6.984</x:v>
      </x:c>
      <x:c r="W477" s="47" t="n">
        <x:v>0.3</x:v>
      </x:c>
      <x:c r="X477" s="54" t="n">
        <x:f>IF(ISNUMBER(V477),V477/(1-W477),"")</x:f>
        <x:v>9.977142857142857</x:v>
      </x:c>
      <x:c r="Y477" s="55" t="n">
        <x:f>IF(ISNUMBER(X477),ROUNDUP(X477,0),"")</x:f>
        <x:v>10</x:v>
      </x:c>
      <x:c r="Z477" t="str">
        <x:v>Source match pending</x:v>
      </x:c>
      <x:c r="AA477" t="str">
        <x:v>screencapture-www-activesportstrade-co-uk-biotech-usa-trade-2026-09-10-09_04_18.pdf / page-02</x:v>
      </x:c>
      <x:c r="AB477" s="36" t="n">
        <x:f>IF(ISNUMBER(Y477),ROUND(Y477*0.9,2),"")</x:f>
        <x:v>9</x:v>
      </x:c>
      <x:c r="AC477" s="36" t="n">
        <x:f>IF(ISNUMBER(AB477),ROUND(AB477-(AB477*0.015+0.2)-V477,2),"")</x:f>
        <x:v>1.68</x:v>
      </x:c>
      <x:c r="AD477" s="36" t="n">
        <x:f>IF(ISNUMBER(Y477),ROUND(Y477*0.8,2),"")</x:f>
        <x:v>8</x:v>
      </x:c>
      <x:c r="AE477" s="36" t="n">
        <x:f>IF(ISNUMBER(AD477),ROUND(AD477*0.015+0.2,2),"")</x:f>
        <x:v>0.32</x:v>
      </x:c>
      <x:c r="AF477" s="36" t="n">
        <x:f>IF(ISNUMBER(AD477),ROUND(AD477-AE477-V477,2),"")</x:f>
        <x:v>0.7</x:v>
      </x:c>
      <x:c r="AG477" t="str">
        <x:f>IF(NOT(ISNUMBER(T477)),"PENDING",IF(AF477&gt;0,"PASS","FAIL"))</x:f>
        <x:v>PASS</x:v>
      </x:c>
      <x:c r="AH477" t="str">
        <x:f>IF(NOT(ISNUMBER(T477)),"Needs supplier cost",IF(K477&lt;&gt;"In stock","Supplier unavailable",IF(AG477&lt;&gt;"PASS","BLOCK - GT loss risk","Commercially protected")))</x:f>
        <x:v>Commercially protected</x:v>
      </x:c>
      <x:c r="AI477" t="str">
        <x:v>2026-09-10 Active Sports trade capture</x:v>
      </x:c>
      <x:c r="AJ477" t="str">
        <x:v>Management-only economics. Stripe stress test uses 1.5% + £0.20 standard UK online-card fee; pallet/mix-and-match pricing ignored.</x:v>
      </x:c>
    </x:row>
    <x:row r="478">
      <x:c r="A478" t="str">
        <x:v>Active Sports Nutrition</x:v>
      </x:c>
      <x:c r="B478" t="str">
        <x:v>Biotech USA</x:v>
      </x:c>
      <x:c r="C478" t="str">
        <x:v>Arthro Forte - Joint Support</x:v>
      </x:c>
      <x:c r="D478" t="str">
        <x:v>Supplements</x:v>
      </x:c>
      <x:c r="E478" t="str">
        <x:v>Joint Repair</x:v>
      </x:c>
      <x:c r="F478" t="str">
        <x:v>Joint-support drink powder.</x:v>
      </x:c>
      <x:c r="G478" t="str">
        <x:v>340g</x:v>
      </x:c>
      <x:c r="H478" t="str">
        <x:v>Blackcurrant</x:v>
      </x:c>
      <x:c r="I478" t="str"/>
      <x:c r="J478" t="str">
        <x:v>Unit</x:v>
      </x:c>
      <x:c r="K478" t="str">
        <x:v>In stock</x:v>
      </x:c>
      <x:c r="L478" t="str">
        <x:v>2026-09-08</x:v>
      </x:c>
      <x:c r="M478" t="str"/>
      <x:c r="N478" t="str"/>
      <x:c r="O478" t="str">
        <x:v>https://www.activesportstrade.co.uk/biotech-usa-trade</x:v>
      </x:c>
      <x:c r="P478" t="str"/>
      <x:c r="Q478" t="str"/>
      <x:c r="R478" t="str"/>
      <x:c r="S478" t="str">
        <x:v>Pending genuine supplier/brand image</x:v>
      </x:c>
      <x:c r="T478" s="54" t="n">
        <x:v>14.65</x:v>
      </x:c>
      <x:c r="U478" s="47" t="n">
        <x:v>0.2</x:v>
      </x:c>
      <x:c r="V478" s="54" t="n">
        <x:f>IF(ISNUMBER(T478),T478*(1+U478),"")</x:f>
        <x:v>17.58</x:v>
      </x:c>
      <x:c r="W478" s="47" t="n">
        <x:v>0.3</x:v>
      </x:c>
      <x:c r="X478" s="54" t="n">
        <x:f>IF(ISNUMBER(V478),V478/(1-W478),"")</x:f>
        <x:v>25.114285714285714</x:v>
      </x:c>
      <x:c r="Y478" s="55" t="n">
        <x:f>IF(ISNUMBER(X478),ROUNDUP(X478,0),"")</x:f>
        <x:v>26</x:v>
      </x:c>
      <x:c r="Z478" t="str">
        <x:v>Source match pending</x:v>
      </x:c>
      <x:c r="AA478" t="str">
        <x:v>screencapture-www-activesportstrade-co-uk-biotech-usa-trade-2026-09-10-09_04_18.pdf / page-02</x:v>
      </x:c>
      <x:c r="AB478" s="36" t="n">
        <x:f>IF(ISNUMBER(Y478),ROUND(Y478*0.9,2),"")</x:f>
        <x:v>23.4</x:v>
      </x:c>
      <x:c r="AC478" s="36" t="n">
        <x:f>IF(ISNUMBER(AB478),ROUND(AB478-(AB478*0.015+0.2)-V478,2),"")</x:f>
        <x:v>5.27</x:v>
      </x:c>
      <x:c r="AD478" s="36" t="n">
        <x:f>IF(ISNUMBER(Y478),ROUND(Y478*0.8,2),"")</x:f>
        <x:v>20.8</x:v>
      </x:c>
      <x:c r="AE478" s="36" t="n">
        <x:f>IF(ISNUMBER(AD478),ROUND(AD478*0.015+0.2,2),"")</x:f>
        <x:v>0.51</x:v>
      </x:c>
      <x:c r="AF478" s="36" t="n">
        <x:f>IF(ISNUMBER(AD478),ROUND(AD478-AE478-V478,2),"")</x:f>
        <x:v>2.71</x:v>
      </x:c>
      <x:c r="AG478" t="str">
        <x:f>IF(NOT(ISNUMBER(T478)),"PENDING",IF(AF478&gt;0,"PASS","FAIL"))</x:f>
        <x:v>PASS</x:v>
      </x:c>
      <x:c r="AH478" t="str">
        <x:f>IF(NOT(ISNUMBER(T478)),"Needs supplier cost",IF(K478&lt;&gt;"In stock","Supplier unavailable",IF(AG478&lt;&gt;"PASS","BLOCK - GT loss risk","Commercially protected")))</x:f>
        <x:v>Commercially protected</x:v>
      </x:c>
      <x:c r="AI478" t="str">
        <x:v>2026-09-10 Active Sports trade capture</x:v>
      </x:c>
      <x:c r="AJ478" t="str">
        <x:v>Management-only economics. Stripe stress test uses 1.5% + £0.20 standard UK online-card fee; pallet/mix-and-match pricing ignored.</x:v>
      </x:c>
    </x:row>
    <x:row r="479">
      <x:c r="A479" t="str">
        <x:v>Active Sports Nutrition</x:v>
      </x:c>
      <x:c r="B479" t="str">
        <x:v>Biotech USA</x:v>
      </x:c>
      <x:c r="C479" t="str">
        <x:v>Arthro Forte - Joint Support</x:v>
      </x:c>
      <x:c r="D479" t="str">
        <x:v>Supplements</x:v>
      </x:c>
      <x:c r="E479" t="str">
        <x:v>Joint Repair</x:v>
      </x:c>
      <x:c r="F479" t="str">
        <x:v>Joint-support drink powder.</x:v>
      </x:c>
      <x:c r="G479" t="str">
        <x:v>340g</x:v>
      </x:c>
      <x:c r="H479" t="str">
        <x:v>Tropical Fruit</x:v>
      </x:c>
      <x:c r="I479" t="str"/>
      <x:c r="J479" t="str">
        <x:v>Unit</x:v>
      </x:c>
      <x:c r="K479" t="str">
        <x:v>In stock</x:v>
      </x:c>
      <x:c r="L479" t="str">
        <x:v>2026-09-08</x:v>
      </x:c>
      <x:c r="M479" t="str"/>
      <x:c r="N479" t="str"/>
      <x:c r="O479" t="str">
        <x:v>https://www.activesportstrade.co.uk/biotech-usa-trade</x:v>
      </x:c>
      <x:c r="P479" t="str"/>
      <x:c r="Q479" t="str"/>
      <x:c r="R479" t="str"/>
      <x:c r="S479" t="str">
        <x:v>Pending genuine supplier/brand image</x:v>
      </x:c>
      <x:c r="T479" s="54" t="n">
        <x:v>14.65</x:v>
      </x:c>
      <x:c r="U479" s="47" t="n">
        <x:v>0.2</x:v>
      </x:c>
      <x:c r="V479" s="54" t="n">
        <x:f>IF(ISNUMBER(T479),T479*(1+U479),"")</x:f>
        <x:v>17.58</x:v>
      </x:c>
      <x:c r="W479" s="47" t="n">
        <x:v>0.3</x:v>
      </x:c>
      <x:c r="X479" s="54" t="n">
        <x:f>IF(ISNUMBER(V479),V479/(1-W479),"")</x:f>
        <x:v>25.114285714285714</x:v>
      </x:c>
      <x:c r="Y479" s="55" t="n">
        <x:f>IF(ISNUMBER(X479),ROUNDUP(X479,0),"")</x:f>
        <x:v>26</x:v>
      </x:c>
      <x:c r="Z479" t="str">
        <x:v>Source match pending</x:v>
      </x:c>
      <x:c r="AA479" t="str">
        <x:v>screencapture-www-activesportstrade-co-uk-biotech-usa-trade-2026-09-10-09_04_18.pdf / page-02</x:v>
      </x:c>
      <x:c r="AB479" s="36" t="n">
        <x:f>IF(ISNUMBER(Y479),ROUND(Y479*0.9,2),"")</x:f>
        <x:v>23.4</x:v>
      </x:c>
      <x:c r="AC479" s="36" t="n">
        <x:f>IF(ISNUMBER(AB479),ROUND(AB479-(AB479*0.015+0.2)-V479,2),"")</x:f>
        <x:v>5.27</x:v>
      </x:c>
      <x:c r="AD479" s="36" t="n">
        <x:f>IF(ISNUMBER(Y479),ROUND(Y479*0.8,2),"")</x:f>
        <x:v>20.8</x:v>
      </x:c>
      <x:c r="AE479" s="36" t="n">
        <x:f>IF(ISNUMBER(AD479),ROUND(AD479*0.015+0.2,2),"")</x:f>
        <x:v>0.51</x:v>
      </x:c>
      <x:c r="AF479" s="36" t="n">
        <x:f>IF(ISNUMBER(AD479),ROUND(AD479-AE479-V479,2),"")</x:f>
        <x:v>2.71</x:v>
      </x:c>
      <x:c r="AG479" t="str">
        <x:f>IF(NOT(ISNUMBER(T479)),"PENDING",IF(AF479&gt;0,"PASS","FAIL"))</x:f>
        <x:v>PASS</x:v>
      </x:c>
      <x:c r="AH479" t="str">
        <x:f>IF(NOT(ISNUMBER(T479)),"Needs supplier cost",IF(K479&lt;&gt;"In stock","Supplier unavailable",IF(AG479&lt;&gt;"PASS","BLOCK - GT loss risk","Commercially protected")))</x:f>
        <x:v>Commercially protected</x:v>
      </x:c>
      <x:c r="AI479" t="str">
        <x:v>2026-09-10 Active Sports trade capture</x:v>
      </x:c>
      <x:c r="AJ479" t="str">
        <x:v>Management-only economics. Stripe stress test uses 1.5% + £0.20 standard UK online-card fee; pallet/mix-and-match pricing ignored.</x:v>
      </x:c>
    </x:row>
    <x:row r="480">
      <x:c r="A480" t="str">
        <x:v>Active Sports Nutrition</x:v>
      </x:c>
      <x:c r="B480" t="str">
        <x:v>Biotech USA</x:v>
      </x:c>
      <x:c r="C480" t="str">
        <x:v>Arthro Forte - Joint Support</x:v>
      </x:c>
      <x:c r="D480" t="str">
        <x:v>Supplements</x:v>
      </x:c>
      <x:c r="E480" t="str">
        <x:v>Joint Repair</x:v>
      </x:c>
      <x:c r="F480" t="str">
        <x:v>Joint-support capsule formula.</x:v>
      </x:c>
      <x:c r="G480" t="str">
        <x:v>120 caps</x:v>
      </x:c>
      <x:c r="H480" t="str">
        <x:v>Default</x:v>
      </x:c>
      <x:c r="I480" t="str"/>
      <x:c r="J480" t="str">
        <x:v>Unit</x:v>
      </x:c>
      <x:c r="K480" t="str">
        <x:v>In stock</x:v>
      </x:c>
      <x:c r="L480" t="str">
        <x:v>2026-09-08</x:v>
      </x:c>
      <x:c r="M480" t="str"/>
      <x:c r="N480" t="str"/>
      <x:c r="O480" t="str">
        <x:v>https://www.activesportstrade.co.uk/biotech-usa-trade</x:v>
      </x:c>
      <x:c r="P480" t="str"/>
      <x:c r="Q480" t="str"/>
      <x:c r="R480" t="str"/>
      <x:c r="S480" t="str">
        <x:v>Pending genuine supplier/brand image</x:v>
      </x:c>
      <x:c r="T480" s="54"/>
      <x:c r="U480" s="47" t="n">
        <x:v>0.2</x:v>
      </x:c>
      <x:c r="V480" s="54" t="str">
        <x:f>IF(ISNUMBER(T480),T480*(1+U480),"")</x:f>
      </x:c>
      <x:c r="W480" s="47" t="n">
        <x:v>0.3</x:v>
      </x:c>
      <x:c r="X480" s="54" t="str">
        <x:f>IF(ISNUMBER(V480),V480/(1-W480),"")</x:f>
      </x:c>
      <x:c r="Y480" s="55" t="str">
        <x:f>IF(ISNUMBER(X480),ROUNDUP(X480,0),"")</x:f>
      </x:c>
      <x:c r="Z480" t="str">
        <x:f>IF(ISNUMBER(T480),"Cost captured","Awaiting trade cost")</x:f>
        <x:v>Awaiting trade cost</x:v>
      </x:c>
      <x:c r="AB480" s="36" t="str">
        <x:f>IF(ISNUMBER(Y480),ROUND(Y480*0.9,2),"")</x:f>
      </x:c>
      <x:c r="AC480" s="36" t="str">
        <x:f>IF(ISNUMBER(AB480),ROUND(AB480-(AB480*0.015+0.2)-V480,2),"")</x:f>
      </x:c>
      <x:c r="AD480" s="36" t="str">
        <x:f>IF(ISNUMBER(Y480),ROUND(Y480*0.8,2),"")</x:f>
      </x:c>
      <x:c r="AE480" s="36" t="str">
        <x:f>IF(ISNUMBER(AD480),ROUND(AD480*0.015+0.2,2),"")</x:f>
      </x:c>
      <x:c r="AF480" s="36" t="str">
        <x:f>IF(ISNUMBER(AD480),ROUND(AD480-AE480-V480,2),"")</x:f>
      </x:c>
      <x:c r="AG480" t="str">
        <x:f>IF(NOT(ISNUMBER(T480)),"PENDING",IF(AF480&gt;0,"PASS","FAIL"))</x:f>
        <x:v>PENDING</x:v>
      </x:c>
      <x:c r="AH480" t="str">
        <x:f>IF(NOT(ISNUMBER(T480)),"Needs supplier cost",IF(K480&lt;&gt;"In stock","Supplier unavailable",IF(AG480&lt;&gt;"PASS","BLOCK - GT loss risk","Commercially protected")))</x:f>
        <x:v>Needs supplier cost</x:v>
      </x:c>
      <x:c r="AI480" t="str">
        <x:v>2026-09-10 Active Sports trade capture</x:v>
      </x:c>
      <x:c r="AJ480" t="str">
        <x:v>Management-only economics. Stripe stress test uses 1.5% + £0.20 standard UK online-card fee; pallet/mix-and-match pricing ignored.</x:v>
      </x:c>
    </x:row>
    <x:row r="481">
      <x:c r="A481" t="str">
        <x:v>Active Sports Nutrition</x:v>
      </x:c>
      <x:c r="B481" t="str">
        <x:v>Biotech USA</x:v>
      </x:c>
      <x:c r="C481" t="str">
        <x:v>Ashwa+</x:v>
      </x:c>
      <x:c r="D481" t="str">
        <x:v>Supplements</x:v>
      </x:c>
      <x:c r="E481" t="str">
        <x:v>Health Foods</x:v>
      </x:c>
      <x:c r="F481" t="str">
        <x:v>Ashwagandha-support capsule formula.</x:v>
      </x:c>
      <x:c r="G481" t="str">
        <x:v>30 caps</x:v>
      </x:c>
      <x:c r="H481" t="str">
        <x:v>Default</x:v>
      </x:c>
      <x:c r="I481" t="str"/>
      <x:c r="J481" t="str">
        <x:v>Unit</x:v>
      </x:c>
      <x:c r="K481" t="str">
        <x:v>In stock</x:v>
      </x:c>
      <x:c r="L481" t="str">
        <x:v>2026-09-08</x:v>
      </x:c>
      <x:c r="M481" t="str"/>
      <x:c r="N481" t="str"/>
      <x:c r="O481" t="str">
        <x:v>https://www.activesportstrade.co.uk/biotech-usa-trade</x:v>
      </x:c>
      <x:c r="P481" t="str"/>
      <x:c r="Q481" t="str"/>
      <x:c r="R481" t="str"/>
      <x:c r="S481" t="str">
        <x:v>Pending genuine supplier/brand image</x:v>
      </x:c>
      <x:c r="T481" s="54"/>
      <x:c r="U481" s="47" t="n">
        <x:v>0.2</x:v>
      </x:c>
      <x:c r="V481" s="54" t="str">
        <x:f>IF(ISNUMBER(T481),T481*(1+U481),"")</x:f>
      </x:c>
      <x:c r="W481" s="47" t="n">
        <x:v>0.3</x:v>
      </x:c>
      <x:c r="X481" s="54" t="str">
        <x:f>IF(ISNUMBER(V481),V481/(1-W481),"")</x:f>
      </x:c>
      <x:c r="Y481" s="55" t="str">
        <x:f>IF(ISNUMBER(X481),ROUNDUP(X481,0),"")</x:f>
      </x:c>
      <x:c r="Z481" t="str">
        <x:f>IF(ISNUMBER(T481),"Cost captured","Awaiting trade cost")</x:f>
        <x:v>Awaiting trade cost</x:v>
      </x:c>
      <x:c r="AB481" s="36" t="str">
        <x:f>IF(ISNUMBER(Y481),ROUND(Y481*0.9,2),"")</x:f>
      </x:c>
      <x:c r="AC481" s="36" t="str">
        <x:f>IF(ISNUMBER(AB481),ROUND(AB481-(AB481*0.015+0.2)-V481,2),"")</x:f>
      </x:c>
      <x:c r="AD481" s="36" t="str">
        <x:f>IF(ISNUMBER(Y481),ROUND(Y481*0.8,2),"")</x:f>
      </x:c>
      <x:c r="AE481" s="36" t="str">
        <x:f>IF(ISNUMBER(AD481),ROUND(AD481*0.015+0.2,2),"")</x:f>
      </x:c>
      <x:c r="AF481" s="36" t="str">
        <x:f>IF(ISNUMBER(AD481),ROUND(AD481-AE481-V481,2),"")</x:f>
      </x:c>
      <x:c r="AG481" t="str">
        <x:f>IF(NOT(ISNUMBER(T481)),"PENDING",IF(AF481&gt;0,"PASS","FAIL"))</x:f>
        <x:v>PENDING</x:v>
      </x:c>
      <x:c r="AH481" t="str">
        <x:f>IF(NOT(ISNUMBER(T481)),"Needs supplier cost",IF(K481&lt;&gt;"In stock","Supplier unavailable",IF(AG481&lt;&gt;"PASS","BLOCK - GT loss risk","Commercially protected")))</x:f>
        <x:v>Needs supplier cost</x:v>
      </x:c>
      <x:c r="AI481" t="str">
        <x:v>2026-09-10 Active Sports trade capture</x:v>
      </x:c>
      <x:c r="AJ481" t="str">
        <x:v>Management-only economics. Stripe stress test uses 1.5% + £0.20 standard UK online-card fee; pallet/mix-and-match pricing ignored.</x:v>
      </x:c>
    </x:row>
    <x:row r="482">
      <x:c r="A482" t="str">
        <x:v>Active Sports Nutrition</x:v>
      </x:c>
      <x:c r="B482" t="str">
        <x:v>Biotech USA</x:v>
      </x:c>
      <x:c r="C482" t="str">
        <x:v>Ashwagandha</x:v>
      </x:c>
      <x:c r="D482" t="str">
        <x:v>Supplements</x:v>
      </x:c>
      <x:c r="E482" t="str">
        <x:v>Health Foods</x:v>
      </x:c>
      <x:c r="F482" t="str">
        <x:v>Ashwagandha root extract capsules.</x:v>
      </x:c>
      <x:c r="G482" t="str">
        <x:v>60 caps</x:v>
      </x:c>
      <x:c r="H482" t="str">
        <x:v>Default</x:v>
      </x:c>
      <x:c r="I482" t="str"/>
      <x:c r="J482" t="str">
        <x:v>Unit</x:v>
      </x:c>
      <x:c r="K482" t="str">
        <x:v>In stock</x:v>
      </x:c>
      <x:c r="L482" t="str">
        <x:v>2026-09-08</x:v>
      </x:c>
      <x:c r="M482" t="str"/>
      <x:c r="N482" t="str"/>
      <x:c r="O482" t="str">
        <x:v>https://www.activesportstrade.co.uk/biotech-usa-trade</x:v>
      </x:c>
      <x:c r="P482" t="str"/>
      <x:c r="Q482" t="str"/>
      <x:c r="R482" t="str"/>
      <x:c r="S482" t="str">
        <x:v>Pending genuine supplier/brand image</x:v>
      </x:c>
      <x:c r="T482" s="54"/>
      <x:c r="U482" s="47" t="n">
        <x:v>0.2</x:v>
      </x:c>
      <x:c r="V482" s="54" t="str">
        <x:f>IF(ISNUMBER(T482),T482*(1+U482),"")</x:f>
      </x:c>
      <x:c r="W482" s="47" t="n">
        <x:v>0.3</x:v>
      </x:c>
      <x:c r="X482" s="54" t="str">
        <x:f>IF(ISNUMBER(V482),V482/(1-W482),"")</x:f>
      </x:c>
      <x:c r="Y482" s="55" t="str">
        <x:f>IF(ISNUMBER(X482),ROUNDUP(X482,0),"")</x:f>
      </x:c>
      <x:c r="Z482" t="str">
        <x:f>IF(ISNUMBER(T482),"Cost captured","Awaiting trade cost")</x:f>
        <x:v>Awaiting trade cost</x:v>
      </x:c>
      <x:c r="AB482" s="36" t="str">
        <x:f>IF(ISNUMBER(Y482),ROUND(Y482*0.9,2),"")</x:f>
      </x:c>
      <x:c r="AC482" s="36" t="str">
        <x:f>IF(ISNUMBER(AB482),ROUND(AB482-(AB482*0.015+0.2)-V482,2),"")</x:f>
      </x:c>
      <x:c r="AD482" s="36" t="str">
        <x:f>IF(ISNUMBER(Y482),ROUND(Y482*0.8,2),"")</x:f>
      </x:c>
      <x:c r="AE482" s="36" t="str">
        <x:f>IF(ISNUMBER(AD482),ROUND(AD482*0.015+0.2,2),"")</x:f>
      </x:c>
      <x:c r="AF482" s="36" t="str">
        <x:f>IF(ISNUMBER(AD482),ROUND(AD482-AE482-V482,2),"")</x:f>
      </x:c>
      <x:c r="AG482" t="str">
        <x:f>IF(NOT(ISNUMBER(T482)),"PENDING",IF(AF482&gt;0,"PASS","FAIL"))</x:f>
        <x:v>PENDING</x:v>
      </x:c>
      <x:c r="AH482" t="str">
        <x:f>IF(NOT(ISNUMBER(T482)),"Needs supplier cost",IF(K482&lt;&gt;"In stock","Supplier unavailable",IF(AG482&lt;&gt;"PASS","BLOCK - GT loss risk","Commercially protected")))</x:f>
        <x:v>Needs supplier cost</x:v>
      </x:c>
      <x:c r="AI482" t="str">
        <x:v>2026-09-10 Active Sports trade capture</x:v>
      </x:c>
      <x:c r="AJ482" t="str">
        <x:v>Management-only economics. Stripe stress test uses 1.5% + £0.20 standard UK online-card fee; pallet/mix-and-match pricing ignored.</x:v>
      </x:c>
    </x:row>
    <x:row r="483">
      <x:c r="A483" t="str">
        <x:v>Active Sports Nutrition</x:v>
      </x:c>
      <x:c r="B483" t="str">
        <x:v>Biotech USA</x:v>
      </x:c>
      <x:c r="C483" t="str">
        <x:v>B Complex</x:v>
      </x:c>
      <x:c r="D483" t="str">
        <x:v>Supplements</x:v>
      </x:c>
      <x:c r="E483" t="str">
        <x:v>Vitamins</x:v>
      </x:c>
      <x:c r="F483" t="str">
        <x:v>Vitamin B complex with minerals and plant extracts.</x:v>
      </x:c>
      <x:c r="G483" t="str">
        <x:v>60 caps</x:v>
      </x:c>
      <x:c r="H483" t="str">
        <x:v>Default</x:v>
      </x:c>
      <x:c r="I483" t="str"/>
      <x:c r="J483" t="str">
        <x:v>Unit</x:v>
      </x:c>
      <x:c r="K483" t="str">
        <x:v>In stock</x:v>
      </x:c>
      <x:c r="L483" t="str">
        <x:v>2026-09-08</x:v>
      </x:c>
      <x:c r="M483" t="str"/>
      <x:c r="N483" t="str"/>
      <x:c r="O483" t="str">
        <x:v>https://www.activesportstrade.co.uk/biotech-usa-trade</x:v>
      </x:c>
      <x:c r="P483" t="str"/>
      <x:c r="Q483" t="str"/>
      <x:c r="R483" t="str"/>
      <x:c r="S483" t="str">
        <x:v>Pending genuine supplier/brand image</x:v>
      </x:c>
      <x:c r="T483" s="54"/>
      <x:c r="U483" s="47" t="n">
        <x:v>0.2</x:v>
      </x:c>
      <x:c r="V483" s="54" t="str">
        <x:f>IF(ISNUMBER(T483),T483*(1+U483),"")</x:f>
      </x:c>
      <x:c r="W483" s="47" t="n">
        <x:v>0.3</x:v>
      </x:c>
      <x:c r="X483" s="54" t="str">
        <x:f>IF(ISNUMBER(V483),V483/(1-W483),"")</x:f>
      </x:c>
      <x:c r="Y483" s="55" t="str">
        <x:f>IF(ISNUMBER(X483),ROUNDUP(X483,0),"")</x:f>
      </x:c>
      <x:c r="Z483" t="str">
        <x:f>IF(ISNUMBER(T483),"Cost captured","Awaiting trade cost")</x:f>
        <x:v>Awaiting trade cost</x:v>
      </x:c>
      <x:c r="AB483" s="36" t="str">
        <x:f>IF(ISNUMBER(Y483),ROUND(Y483*0.9,2),"")</x:f>
      </x:c>
      <x:c r="AC483" s="36" t="str">
        <x:f>IF(ISNUMBER(AB483),ROUND(AB483-(AB483*0.015+0.2)-V483,2),"")</x:f>
      </x:c>
      <x:c r="AD483" s="36" t="str">
        <x:f>IF(ISNUMBER(Y483),ROUND(Y483*0.8,2),"")</x:f>
      </x:c>
      <x:c r="AE483" s="36" t="str">
        <x:f>IF(ISNUMBER(AD483),ROUND(AD483*0.015+0.2,2),"")</x:f>
      </x:c>
      <x:c r="AF483" s="36" t="str">
        <x:f>IF(ISNUMBER(AD483),ROUND(AD483-AE483-V483,2),"")</x:f>
      </x:c>
      <x:c r="AG483" t="str">
        <x:f>IF(NOT(ISNUMBER(T483)),"PENDING",IF(AF483&gt;0,"PASS","FAIL"))</x:f>
        <x:v>PENDING</x:v>
      </x:c>
      <x:c r="AH483" t="str">
        <x:f>IF(NOT(ISNUMBER(T483)),"Needs supplier cost",IF(K483&lt;&gt;"In stock","Supplier unavailable",IF(AG483&lt;&gt;"PASS","BLOCK - GT loss risk","Commercially protected")))</x:f>
        <x:v>Needs supplier cost</x:v>
      </x:c>
      <x:c r="AI483" t="str">
        <x:v>2026-09-10 Active Sports trade capture</x:v>
      </x:c>
      <x:c r="AJ483" t="str">
        <x:v>Management-only economics. Stripe stress test uses 1.5% + £0.20 standard UK online-card fee; pallet/mix-and-match pricing ignored.</x:v>
      </x:c>
    </x:row>
    <x:row r="484">
      <x:c r="A484" t="str">
        <x:v>Active Sports Nutrition</x:v>
      </x:c>
      <x:c r="B484" t="str">
        <x:v>Biotech USA</x:v>
      </x:c>
      <x:c r="C484" t="str">
        <x:v>BCAA Flash Zero</x:v>
      </x:c>
      <x:c r="D484" t="str">
        <x:v>Supplements</x:v>
      </x:c>
      <x:c r="E484" t="str">
        <x:v>BCAAS</x:v>
      </x:c>
      <x:c r="F484" t="str">
        <x:v>BCAA powder.</x:v>
      </x:c>
      <x:c r="G484" t="str">
        <x:v>180g / 20 servings</x:v>
      </x:c>
      <x:c r="H484" t="str">
        <x:v>Blue Grape</x:v>
      </x:c>
      <x:c r="I484" t="str"/>
      <x:c r="J484" t="str">
        <x:v>Unit</x:v>
      </x:c>
      <x:c r="K484" t="str">
        <x:v>In stock</x:v>
      </x:c>
      <x:c r="L484" t="str">
        <x:v>2026-09-08</x:v>
      </x:c>
      <x:c r="M484" t="str"/>
      <x:c r="N484" t="str"/>
      <x:c r="O484" t="str">
        <x:v>https://www.activesportstrade.co.uk/biotech-usa-trade</x:v>
      </x:c>
      <x:c r="P484" t="str">
        <x:v>SPECIAL OFFER wording removed.</x:v>
      </x:c>
      <x:c r="Q484" t="str"/>
      <x:c r="R484" t="str"/>
      <x:c r="S484" t="str">
        <x:v>Pending genuine supplier/brand image</x:v>
      </x:c>
      <x:c r="T484" s="54" t="n">
        <x:v>5.99</x:v>
      </x:c>
      <x:c r="U484" s="47" t="n">
        <x:v>0.2</x:v>
      </x:c>
      <x:c r="V484" s="54" t="n">
        <x:f>IF(ISNUMBER(T484),T484*(1+U484),"")</x:f>
        <x:v>7.188</x:v>
      </x:c>
      <x:c r="W484" s="47" t="n">
        <x:v>0.3</x:v>
      </x:c>
      <x:c r="X484" s="54" t="n">
        <x:f>IF(ISNUMBER(V484),V484/(1-W484),"")</x:f>
        <x:v>10.268571428571429</x:v>
      </x:c>
      <x:c r="Y484" s="55" t="n">
        <x:f>IF(ISNUMBER(X484),ROUNDUP(X484,0),"")</x:f>
        <x:v>11</x:v>
      </x:c>
      <x:c r="Z484" t="str">
        <x:v>Source match pending</x:v>
      </x:c>
      <x:c r="AA484" t="str">
        <x:v>screencapture-www-activesportstrade-co-uk-biotech-usa-trade-2026-09-10-09_04_18.pdf / page-03</x:v>
      </x:c>
      <x:c r="AB484" s="36" t="n">
        <x:f>IF(ISNUMBER(Y484),ROUND(Y484*0.9,2),"")</x:f>
        <x:v>9.9</x:v>
      </x:c>
      <x:c r="AC484" s="36" t="n">
        <x:f>IF(ISNUMBER(AB484),ROUND(AB484-(AB484*0.015+0.2)-V484,2),"")</x:f>
        <x:v>2.36</x:v>
      </x:c>
      <x:c r="AD484" s="36" t="n">
        <x:f>IF(ISNUMBER(Y484),ROUND(Y484*0.8,2),"")</x:f>
        <x:v>8.8</x:v>
      </x:c>
      <x:c r="AE484" s="36" t="n">
        <x:f>IF(ISNUMBER(AD484),ROUND(AD484*0.015+0.2,2),"")</x:f>
        <x:v>0.33</x:v>
      </x:c>
      <x:c r="AF484" s="36" t="n">
        <x:f>IF(ISNUMBER(AD484),ROUND(AD484-AE484-V484,2),"")</x:f>
        <x:v>1.28</x:v>
      </x:c>
      <x:c r="AG484" t="str">
        <x:f>IF(NOT(ISNUMBER(T484)),"PENDING",IF(AF484&gt;0,"PASS","FAIL"))</x:f>
        <x:v>PASS</x:v>
      </x:c>
      <x:c r="AH484" t="str">
        <x:f>IF(NOT(ISNUMBER(T484)),"Needs supplier cost",IF(K484&lt;&gt;"In stock","Supplier unavailable",IF(AG484&lt;&gt;"PASS","BLOCK - GT loss risk","Commercially protected")))</x:f>
        <x:v>Commercially protected</x:v>
      </x:c>
      <x:c r="AI484" t="str">
        <x:v>2026-09-10 Active Sports trade capture</x:v>
      </x:c>
      <x:c r="AJ484" t="str">
        <x:v>Management-only economics. Stripe stress test uses 1.5% + £0.20 standard UK online-card fee; pallet/mix-and-match pricing ignored.</x:v>
      </x:c>
    </x:row>
    <x:row r="485">
      <x:c r="A485" t="str">
        <x:v>Active Sports Nutrition</x:v>
      </x:c>
      <x:c r="B485" t="str">
        <x:v>Biotech USA</x:v>
      </x:c>
      <x:c r="C485" t="str">
        <x:v>BCAA Flash Zero</x:v>
      </x:c>
      <x:c r="D485" t="str">
        <x:v>Supplements</x:v>
      </x:c>
      <x:c r="E485" t="str">
        <x:v>BCAAS</x:v>
      </x:c>
      <x:c r="F485" t="str">
        <x:v>BCAA powder.</x:v>
      </x:c>
      <x:c r="G485" t="str">
        <x:v>180g / 20 servings</x:v>
      </x:c>
      <x:c r="H485" t="str">
        <x:v>Tropical Fruit</x:v>
      </x:c>
      <x:c r="I485" t="str"/>
      <x:c r="J485" t="str">
        <x:v>Unit</x:v>
      </x:c>
      <x:c r="K485" t="str">
        <x:v>Out of stock</x:v>
      </x:c>
      <x:c r="L485" t="str">
        <x:v>2026-09-08</x:v>
      </x:c>
      <x:c r="M485" t="str"/>
      <x:c r="N485" t="str"/>
      <x:c r="O485" t="str">
        <x:v>https://www.activesportstrade.co.uk/biotech-usa-trade</x:v>
      </x:c>
      <x:c r="P485" t="str">
        <x:v>SPECIAL OFFER wording removed.</x:v>
      </x:c>
      <x:c r="Q485" t="str"/>
      <x:c r="R485" t="str"/>
      <x:c r="S485" t="str">
        <x:v>Pending genuine supplier/brand image</x:v>
      </x:c>
      <x:c r="T485" s="54" t="n">
        <x:v>5.99</x:v>
      </x:c>
      <x:c r="U485" s="47" t="n">
        <x:v>0.2</x:v>
      </x:c>
      <x:c r="V485" s="54" t="n">
        <x:f>IF(ISNUMBER(T485),T485*(1+U485),"")</x:f>
        <x:v>7.188</x:v>
      </x:c>
      <x:c r="W485" s="47" t="n">
        <x:v>0.3</x:v>
      </x:c>
      <x:c r="X485" s="54" t="n">
        <x:f>IF(ISNUMBER(V485),V485/(1-W485),"")</x:f>
        <x:v>10.268571428571429</x:v>
      </x:c>
      <x:c r="Y485" s="55" t="n">
        <x:f>IF(ISNUMBER(X485),ROUNDUP(X485,0),"")</x:f>
        <x:v>11</x:v>
      </x:c>
      <x:c r="Z485" t="str">
        <x:v>Source match pending</x:v>
      </x:c>
      <x:c r="AA485" t="str">
        <x:v>screencapture-www-activesportstrade-co-uk-biotech-usa-trade-2026-09-10-09_04_18.pdf / page-03</x:v>
      </x:c>
      <x:c r="AB485" s="36" t="n">
        <x:f>IF(ISNUMBER(Y485),ROUND(Y485*0.9,2),"")</x:f>
        <x:v>9.9</x:v>
      </x:c>
      <x:c r="AC485" s="36" t="n">
        <x:f>IF(ISNUMBER(AB485),ROUND(AB485-(AB485*0.015+0.2)-V485,2),"")</x:f>
        <x:v>2.36</x:v>
      </x:c>
      <x:c r="AD485" s="36" t="n">
        <x:f>IF(ISNUMBER(Y485),ROUND(Y485*0.8,2),"")</x:f>
        <x:v>8.8</x:v>
      </x:c>
      <x:c r="AE485" s="36" t="n">
        <x:f>IF(ISNUMBER(AD485),ROUND(AD485*0.015+0.2,2),"")</x:f>
        <x:v>0.33</x:v>
      </x:c>
      <x:c r="AF485" s="36" t="n">
        <x:f>IF(ISNUMBER(AD485),ROUND(AD485-AE485-V485,2),"")</x:f>
        <x:v>1.28</x:v>
      </x:c>
      <x:c r="AG485" t="str">
        <x:f>IF(NOT(ISNUMBER(T485)),"PENDING",IF(AF485&gt;0,"PASS","FAIL"))</x:f>
        <x:v>PASS</x:v>
      </x:c>
      <x:c r="AH485" t="str">
        <x:f>IF(NOT(ISNUMBER(T485)),"Needs supplier cost",IF(K485&lt;&gt;"In stock","Supplier unavailable",IF(AG485&lt;&gt;"PASS","BLOCK - GT loss risk","Commercially protected")))</x:f>
        <x:v>Supplier unavailable</x:v>
      </x:c>
      <x:c r="AI485" t="str">
        <x:v>2026-09-10 Active Sports trade capture</x:v>
      </x:c>
      <x:c r="AJ485" t="str">
        <x:v>Management-only economics. Stripe stress test uses 1.5% + £0.20 standard UK online-card fee; pallet/mix-and-match pricing ignored.</x:v>
      </x:c>
    </x:row>
    <x:row r="486">
      <x:c r="A486" t="str">
        <x:v>Active Sports Nutrition</x:v>
      </x:c>
      <x:c r="B486" t="str">
        <x:v>Biotech USA</x:v>
      </x:c>
      <x:c r="C486" t="str">
        <x:v>BCAA Flash Zero</x:v>
      </x:c>
      <x:c r="D486" t="str">
        <x:v>Supplements</x:v>
      </x:c>
      <x:c r="E486" t="str">
        <x:v>BCAAS</x:v>
      </x:c>
      <x:c r="F486" t="str">
        <x:v>BCAA powder.</x:v>
      </x:c>
      <x:c r="G486" t="str">
        <x:v>180g / 20 servings</x:v>
      </x:c>
      <x:c r="H486" t="str">
        <x:v>Watermelon</x:v>
      </x:c>
      <x:c r="I486" t="str"/>
      <x:c r="J486" t="str">
        <x:v>Unit</x:v>
      </x:c>
      <x:c r="K486" t="str">
        <x:v>In stock</x:v>
      </x:c>
      <x:c r="L486" t="str">
        <x:v>2026-09-08</x:v>
      </x:c>
      <x:c r="M486" t="str"/>
      <x:c r="N486" t="str"/>
      <x:c r="O486" t="str">
        <x:v>https://www.activesportstrade.co.uk/biotech-usa-trade</x:v>
      </x:c>
      <x:c r="P486" t="str">
        <x:v>SPECIAL OFFER wording removed.</x:v>
      </x:c>
      <x:c r="Q486" t="str"/>
      <x:c r="R486" t="str"/>
      <x:c r="S486" t="str">
        <x:v>Pending genuine supplier/brand image</x:v>
      </x:c>
      <x:c r="T486" s="54" t="n">
        <x:v>5.99</x:v>
      </x:c>
      <x:c r="U486" s="47" t="n">
        <x:v>0.2</x:v>
      </x:c>
      <x:c r="V486" s="54" t="n">
        <x:f>IF(ISNUMBER(T486),T486*(1+U486),"")</x:f>
        <x:v>7.188</x:v>
      </x:c>
      <x:c r="W486" s="47" t="n">
        <x:v>0.3</x:v>
      </x:c>
      <x:c r="X486" s="54" t="n">
        <x:f>IF(ISNUMBER(V486),V486/(1-W486),"")</x:f>
        <x:v>10.268571428571429</x:v>
      </x:c>
      <x:c r="Y486" s="55" t="n">
        <x:f>IF(ISNUMBER(X486),ROUNDUP(X486,0),"")</x:f>
        <x:v>11</x:v>
      </x:c>
      <x:c r="Z486" t="str">
        <x:v>Source match pending</x:v>
      </x:c>
      <x:c r="AA486" t="str">
        <x:v>screencapture-www-activesportstrade-co-uk-biotech-usa-trade-2026-09-10-09_04_18.pdf / page-03</x:v>
      </x:c>
      <x:c r="AB486" s="36" t="n">
        <x:f>IF(ISNUMBER(Y486),ROUND(Y486*0.9,2),"")</x:f>
        <x:v>9.9</x:v>
      </x:c>
      <x:c r="AC486" s="36" t="n">
        <x:f>IF(ISNUMBER(AB486),ROUND(AB486-(AB486*0.015+0.2)-V486,2),"")</x:f>
        <x:v>2.36</x:v>
      </x:c>
      <x:c r="AD486" s="36" t="n">
        <x:f>IF(ISNUMBER(Y486),ROUND(Y486*0.8,2),"")</x:f>
        <x:v>8.8</x:v>
      </x:c>
      <x:c r="AE486" s="36" t="n">
        <x:f>IF(ISNUMBER(AD486),ROUND(AD486*0.015+0.2,2),"")</x:f>
        <x:v>0.33</x:v>
      </x:c>
      <x:c r="AF486" s="36" t="n">
        <x:f>IF(ISNUMBER(AD486),ROUND(AD486-AE486-V486,2),"")</x:f>
        <x:v>1.28</x:v>
      </x:c>
      <x:c r="AG486" t="str">
        <x:f>IF(NOT(ISNUMBER(T486)),"PENDING",IF(AF486&gt;0,"PASS","FAIL"))</x:f>
        <x:v>PASS</x:v>
      </x:c>
      <x:c r="AH486" t="str">
        <x:f>IF(NOT(ISNUMBER(T486)),"Needs supplier cost",IF(K486&lt;&gt;"In stock","Supplier unavailable",IF(AG486&lt;&gt;"PASS","BLOCK - GT loss risk","Commercially protected")))</x:f>
        <x:v>Commercially protected</x:v>
      </x:c>
      <x:c r="AI486" t="str">
        <x:v>2026-09-10 Active Sports trade capture</x:v>
      </x:c>
      <x:c r="AJ486" t="str">
        <x:v>Management-only economics. Stripe stress test uses 1.5% + £0.20 standard UK online-card fee; pallet/mix-and-match pricing ignored.</x:v>
      </x:c>
    </x:row>
    <x:row r="487">
      <x:c r="A487" t="str">
        <x:v>Active Sports Nutrition</x:v>
      </x:c>
      <x:c r="B487" t="str">
        <x:v>Biotech USA</x:v>
      </x:c>
      <x:c r="C487" t="str">
        <x:v>BCAA Flash Zero</x:v>
      </x:c>
      <x:c r="D487" t="str">
        <x:v>Supplements</x:v>
      </x:c>
      <x:c r="E487" t="str">
        <x:v>BCAAS</x:v>
      </x:c>
      <x:c r="F487" t="str">
        <x:v>BCAA powder.</x:v>
      </x:c>
      <x:c r="G487" t="str">
        <x:v>360g / 40 servings</x:v>
      </x:c>
      <x:c r="H487" t="str">
        <x:v>Blue Grape</x:v>
      </x:c>
      <x:c r="I487" t="str"/>
      <x:c r="J487" t="str">
        <x:v>Unit</x:v>
      </x:c>
      <x:c r="K487" t="str">
        <x:v>In stock</x:v>
      </x:c>
      <x:c r="L487" t="str">
        <x:v>2026-09-08</x:v>
      </x:c>
      <x:c r="M487" t="str"/>
      <x:c r="N487" t="str"/>
      <x:c r="O487" t="str">
        <x:v>https://www.activesportstrade.co.uk/biotech-usa-trade</x:v>
      </x:c>
      <x:c r="P487" t="str"/>
      <x:c r="Q487" t="str"/>
      <x:c r="R487" t="str"/>
      <x:c r="S487" t="str">
        <x:v>Pending genuine supplier/brand image</x:v>
      </x:c>
      <x:c r="T487" s="54" t="n">
        <x:v>12.5</x:v>
      </x:c>
      <x:c r="U487" s="47" t="n">
        <x:v>0.2</x:v>
      </x:c>
      <x:c r="V487" s="54" t="n">
        <x:f>IF(ISNUMBER(T487),T487*(1+U487),"")</x:f>
        <x:v>15</x:v>
      </x:c>
      <x:c r="W487" s="47" t="n">
        <x:v>0.3</x:v>
      </x:c>
      <x:c r="X487" s="54" t="n">
        <x:f>IF(ISNUMBER(V487),V487/(1-W487),"")</x:f>
        <x:v>21.42857142857143</x:v>
      </x:c>
      <x:c r="Y487" s="55" t="n">
        <x:f>IF(ISNUMBER(X487),ROUNDUP(X487,0),"")</x:f>
        <x:v>22</x:v>
      </x:c>
      <x:c r="Z487" t="str">
        <x:v>Source match pending</x:v>
      </x:c>
      <x:c r="AA487" t="str">
        <x:v>screencapture-www-activesportstrade-co-uk-biotech-usa-trade-2026-09-10-09_04_18.pdf / page-03</x:v>
      </x:c>
      <x:c r="AB487" s="36" t="n">
        <x:f>IF(ISNUMBER(Y487),ROUND(Y487*0.9,2),"")</x:f>
        <x:v>19.8</x:v>
      </x:c>
      <x:c r="AC487" s="36" t="n">
        <x:f>IF(ISNUMBER(AB487),ROUND(AB487-(AB487*0.015+0.2)-V487,2),"")</x:f>
        <x:v>4.3</x:v>
      </x:c>
      <x:c r="AD487" s="36" t="n">
        <x:f>IF(ISNUMBER(Y487),ROUND(Y487*0.8,2),"")</x:f>
        <x:v>17.6</x:v>
      </x:c>
      <x:c r="AE487" s="36" t="n">
        <x:f>IF(ISNUMBER(AD487),ROUND(AD487*0.015+0.2,2),"")</x:f>
        <x:v>0.46</x:v>
      </x:c>
      <x:c r="AF487" s="36" t="n">
        <x:f>IF(ISNUMBER(AD487),ROUND(AD487-AE487-V487,2),"")</x:f>
        <x:v>2.14</x:v>
      </x:c>
      <x:c r="AG487" t="str">
        <x:f>IF(NOT(ISNUMBER(T487)),"PENDING",IF(AF487&gt;0,"PASS","FAIL"))</x:f>
        <x:v>PASS</x:v>
      </x:c>
      <x:c r="AH487" t="str">
        <x:f>IF(NOT(ISNUMBER(T487)),"Needs supplier cost",IF(K487&lt;&gt;"In stock","Supplier unavailable",IF(AG487&lt;&gt;"PASS","BLOCK - GT loss risk","Commercially protected")))</x:f>
        <x:v>Commercially protected</x:v>
      </x:c>
      <x:c r="AI487" t="str">
        <x:v>2026-09-10 Active Sports trade capture</x:v>
      </x:c>
      <x:c r="AJ487" t="str">
        <x:v>Management-only economics. Stripe stress test uses 1.5% + £0.20 standard UK online-card fee; pallet/mix-and-match pricing ignored.</x:v>
      </x:c>
    </x:row>
    <x:row r="488">
      <x:c r="A488" t="str">
        <x:v>Active Sports Nutrition</x:v>
      </x:c>
      <x:c r="B488" t="str">
        <x:v>Biotech USA</x:v>
      </x:c>
      <x:c r="C488" t="str">
        <x:v>BCAA Flash Zero</x:v>
      </x:c>
      <x:c r="D488" t="str">
        <x:v>Supplements</x:v>
      </x:c>
      <x:c r="E488" t="str">
        <x:v>BCAAS</x:v>
      </x:c>
      <x:c r="F488" t="str">
        <x:v>BCAA powder.</x:v>
      </x:c>
      <x:c r="G488" t="str">
        <x:v>360g / 40 servings</x:v>
      </x:c>
      <x:c r="H488" t="str">
        <x:v>Cola</x:v>
      </x:c>
      <x:c r="I488" t="str"/>
      <x:c r="J488" t="str">
        <x:v>Unit</x:v>
      </x:c>
      <x:c r="K488" t="str">
        <x:v>In stock</x:v>
      </x:c>
      <x:c r="L488" t="str">
        <x:v>2026-09-08</x:v>
      </x:c>
      <x:c r="M488" t="str"/>
      <x:c r="N488" t="str"/>
      <x:c r="O488" t="str">
        <x:v>https://www.activesportstrade.co.uk/biotech-usa-trade</x:v>
      </x:c>
      <x:c r="P488" t="str"/>
      <x:c r="Q488" t="str"/>
      <x:c r="R488" t="str"/>
      <x:c r="S488" t="str">
        <x:v>Pending genuine supplier/brand image</x:v>
      </x:c>
      <x:c r="T488" s="54" t="n">
        <x:v>12.5</x:v>
      </x:c>
      <x:c r="U488" s="47" t="n">
        <x:v>0.2</x:v>
      </x:c>
      <x:c r="V488" s="54" t="n">
        <x:f>IF(ISNUMBER(T488),T488*(1+U488),"")</x:f>
        <x:v>15</x:v>
      </x:c>
      <x:c r="W488" s="47" t="n">
        <x:v>0.3</x:v>
      </x:c>
      <x:c r="X488" s="54" t="n">
        <x:f>IF(ISNUMBER(V488),V488/(1-W488),"")</x:f>
        <x:v>21.42857142857143</x:v>
      </x:c>
      <x:c r="Y488" s="55" t="n">
        <x:f>IF(ISNUMBER(X488),ROUNDUP(X488,0),"")</x:f>
        <x:v>22</x:v>
      </x:c>
      <x:c r="Z488" t="str">
        <x:v>Source match pending</x:v>
      </x:c>
      <x:c r="AA488" t="str">
        <x:v>screencapture-www-activesportstrade-co-uk-biotech-usa-trade-2026-09-10-09_04_18.pdf / page-03</x:v>
      </x:c>
      <x:c r="AB488" s="36" t="n">
        <x:f>IF(ISNUMBER(Y488),ROUND(Y488*0.9,2),"")</x:f>
        <x:v>19.8</x:v>
      </x:c>
      <x:c r="AC488" s="36" t="n">
        <x:f>IF(ISNUMBER(AB488),ROUND(AB488-(AB488*0.015+0.2)-V488,2),"")</x:f>
        <x:v>4.3</x:v>
      </x:c>
      <x:c r="AD488" s="36" t="n">
        <x:f>IF(ISNUMBER(Y488),ROUND(Y488*0.8,2),"")</x:f>
        <x:v>17.6</x:v>
      </x:c>
      <x:c r="AE488" s="36" t="n">
        <x:f>IF(ISNUMBER(AD488),ROUND(AD488*0.015+0.2,2),"")</x:f>
        <x:v>0.46</x:v>
      </x:c>
      <x:c r="AF488" s="36" t="n">
        <x:f>IF(ISNUMBER(AD488),ROUND(AD488-AE488-V488,2),"")</x:f>
        <x:v>2.14</x:v>
      </x:c>
      <x:c r="AG488" t="str">
        <x:f>IF(NOT(ISNUMBER(T488)),"PENDING",IF(AF488&gt;0,"PASS","FAIL"))</x:f>
        <x:v>PASS</x:v>
      </x:c>
      <x:c r="AH488" t="str">
        <x:f>IF(NOT(ISNUMBER(T488)),"Needs supplier cost",IF(K488&lt;&gt;"In stock","Supplier unavailable",IF(AG488&lt;&gt;"PASS","BLOCK - GT loss risk","Commercially protected")))</x:f>
        <x:v>Commercially protected</x:v>
      </x:c>
      <x:c r="AI488" t="str">
        <x:v>2026-09-10 Active Sports trade capture</x:v>
      </x:c>
      <x:c r="AJ488" t="str">
        <x:v>Management-only economics. Stripe stress test uses 1.5% + £0.20 standard UK online-card fee; pallet/mix-and-match pricing ignored.</x:v>
      </x:c>
    </x:row>
    <x:row r="489">
      <x:c r="A489" t="str">
        <x:v>Active Sports Nutrition</x:v>
      </x:c>
      <x:c r="B489" t="str">
        <x:v>Biotech USA</x:v>
      </x:c>
      <x:c r="C489" t="str">
        <x:v>BCAA Flash Zero</x:v>
      </x:c>
      <x:c r="D489" t="str">
        <x:v>Supplements</x:v>
      </x:c>
      <x:c r="E489" t="str">
        <x:v>BCAAS</x:v>
      </x:c>
      <x:c r="F489" t="str">
        <x:v>BCAA powder.</x:v>
      </x:c>
      <x:c r="G489" t="str">
        <x:v>360g / 40 servings</x:v>
      </x:c>
      <x:c r="H489" t="str">
        <x:v>Green Apple</x:v>
      </x:c>
      <x:c r="I489" t="str"/>
      <x:c r="J489" t="str">
        <x:v>Unit</x:v>
      </x:c>
      <x:c r="K489" t="str">
        <x:v>In stock</x:v>
      </x:c>
      <x:c r="L489" t="str">
        <x:v>2026-09-08</x:v>
      </x:c>
      <x:c r="M489" t="str"/>
      <x:c r="N489" t="str"/>
      <x:c r="O489" t="str">
        <x:v>https://www.activesportstrade.co.uk/biotech-usa-trade</x:v>
      </x:c>
      <x:c r="P489" t="str"/>
      <x:c r="Q489" t="str"/>
      <x:c r="R489" t="str"/>
      <x:c r="S489" t="str">
        <x:v>Pending genuine supplier/brand image</x:v>
      </x:c>
      <x:c r="T489" s="54" t="n">
        <x:v>12.5</x:v>
      </x:c>
      <x:c r="U489" s="47" t="n">
        <x:v>0.2</x:v>
      </x:c>
      <x:c r="V489" s="54" t="n">
        <x:f>IF(ISNUMBER(T489),T489*(1+U489),"")</x:f>
        <x:v>15</x:v>
      </x:c>
      <x:c r="W489" s="47" t="n">
        <x:v>0.3</x:v>
      </x:c>
      <x:c r="X489" s="54" t="n">
        <x:f>IF(ISNUMBER(V489),V489/(1-W489),"")</x:f>
        <x:v>21.42857142857143</x:v>
      </x:c>
      <x:c r="Y489" s="55" t="n">
        <x:f>IF(ISNUMBER(X489),ROUNDUP(X489,0),"")</x:f>
        <x:v>22</x:v>
      </x:c>
      <x:c r="Z489" t="str">
        <x:v>Source match pending</x:v>
      </x:c>
      <x:c r="AA489" t="str">
        <x:v>screencapture-www-activesportstrade-co-uk-biotech-usa-trade-2026-09-10-09_04_18.pdf / page-03</x:v>
      </x:c>
      <x:c r="AB489" s="36" t="n">
        <x:f>IF(ISNUMBER(Y489),ROUND(Y489*0.9,2),"")</x:f>
        <x:v>19.8</x:v>
      </x:c>
      <x:c r="AC489" s="36" t="n">
        <x:f>IF(ISNUMBER(AB489),ROUND(AB489-(AB489*0.015+0.2)-V489,2),"")</x:f>
        <x:v>4.3</x:v>
      </x:c>
      <x:c r="AD489" s="36" t="n">
        <x:f>IF(ISNUMBER(Y489),ROUND(Y489*0.8,2),"")</x:f>
        <x:v>17.6</x:v>
      </x:c>
      <x:c r="AE489" s="36" t="n">
        <x:f>IF(ISNUMBER(AD489),ROUND(AD489*0.015+0.2,2),"")</x:f>
        <x:v>0.46</x:v>
      </x:c>
      <x:c r="AF489" s="36" t="n">
        <x:f>IF(ISNUMBER(AD489),ROUND(AD489-AE489-V489,2),"")</x:f>
        <x:v>2.14</x:v>
      </x:c>
      <x:c r="AG489" t="str">
        <x:f>IF(NOT(ISNUMBER(T489)),"PENDING",IF(AF489&gt;0,"PASS","FAIL"))</x:f>
        <x:v>PASS</x:v>
      </x:c>
      <x:c r="AH489" t="str">
        <x:f>IF(NOT(ISNUMBER(T489)),"Needs supplier cost",IF(K489&lt;&gt;"In stock","Supplier unavailable",IF(AG489&lt;&gt;"PASS","BLOCK - GT loss risk","Commercially protected")))</x:f>
        <x:v>Commercially protected</x:v>
      </x:c>
      <x:c r="AI489" t="str">
        <x:v>2026-09-10 Active Sports trade capture</x:v>
      </x:c>
      <x:c r="AJ489" t="str">
        <x:v>Management-only economics. Stripe stress test uses 1.5% + £0.20 standard UK online-card fee; pallet/mix-and-match pricing ignored.</x:v>
      </x:c>
    </x:row>
    <x:row r="490">
      <x:c r="A490" t="str">
        <x:v>Active Sports Nutrition</x:v>
      </x:c>
      <x:c r="B490" t="str">
        <x:v>Biotech USA</x:v>
      </x:c>
      <x:c r="C490" t="str">
        <x:v>BCAA Flash Zero</x:v>
      </x:c>
      <x:c r="D490" t="str">
        <x:v>Supplements</x:v>
      </x:c>
      <x:c r="E490" t="str">
        <x:v>BCAAS</x:v>
      </x:c>
      <x:c r="F490" t="str">
        <x:v>BCAA powder.</x:v>
      </x:c>
      <x:c r="G490" t="str">
        <x:v>360g / 40 servings</x:v>
      </x:c>
      <x:c r="H490" t="str">
        <x:v>Kiwi Lime</x:v>
      </x:c>
      <x:c r="I490" t="str"/>
      <x:c r="J490" t="str">
        <x:v>Unit</x:v>
      </x:c>
      <x:c r="K490" t="str">
        <x:v>Out of stock</x:v>
      </x:c>
      <x:c r="L490" t="str">
        <x:v>2026-09-08</x:v>
      </x:c>
      <x:c r="M490" t="str"/>
      <x:c r="N490" t="str"/>
      <x:c r="O490" t="str">
        <x:v>https://www.activesportstrade.co.uk/biotech-usa-trade</x:v>
      </x:c>
      <x:c r="P490" t="str"/>
      <x:c r="Q490" t="str"/>
      <x:c r="R490" t="str"/>
      <x:c r="S490" t="str">
        <x:v>Pending genuine supplier/brand image</x:v>
      </x:c>
      <x:c r="T490" s="54" t="n">
        <x:v>12.5</x:v>
      </x:c>
      <x:c r="U490" s="47" t="n">
        <x:v>0.2</x:v>
      </x:c>
      <x:c r="V490" s="54" t="n">
        <x:f>IF(ISNUMBER(T490),T490*(1+U490),"")</x:f>
        <x:v>15</x:v>
      </x:c>
      <x:c r="W490" s="47" t="n">
        <x:v>0.3</x:v>
      </x:c>
      <x:c r="X490" s="54" t="n">
        <x:f>IF(ISNUMBER(V490),V490/(1-W490),"")</x:f>
        <x:v>21.42857142857143</x:v>
      </x:c>
      <x:c r="Y490" s="55" t="n">
        <x:f>IF(ISNUMBER(X490),ROUNDUP(X490,0),"")</x:f>
        <x:v>22</x:v>
      </x:c>
      <x:c r="Z490" t="str">
        <x:v>Source match pending</x:v>
      </x:c>
      <x:c r="AA490" t="str">
        <x:v>screencapture-www-activesportstrade-co-uk-biotech-usa-trade-2026-09-10-09_04_18.pdf / page-03</x:v>
      </x:c>
      <x:c r="AB490" s="36" t="n">
        <x:f>IF(ISNUMBER(Y490),ROUND(Y490*0.9,2),"")</x:f>
        <x:v>19.8</x:v>
      </x:c>
      <x:c r="AC490" s="36" t="n">
        <x:f>IF(ISNUMBER(AB490),ROUND(AB490-(AB490*0.015+0.2)-V490,2),"")</x:f>
        <x:v>4.3</x:v>
      </x:c>
      <x:c r="AD490" s="36" t="n">
        <x:f>IF(ISNUMBER(Y490),ROUND(Y490*0.8,2),"")</x:f>
        <x:v>17.6</x:v>
      </x:c>
      <x:c r="AE490" s="36" t="n">
        <x:f>IF(ISNUMBER(AD490),ROUND(AD490*0.015+0.2,2),"")</x:f>
        <x:v>0.46</x:v>
      </x:c>
      <x:c r="AF490" s="36" t="n">
        <x:f>IF(ISNUMBER(AD490),ROUND(AD490-AE490-V490,2),"")</x:f>
        <x:v>2.14</x:v>
      </x:c>
      <x:c r="AG490" t="str">
        <x:f>IF(NOT(ISNUMBER(T490)),"PENDING",IF(AF490&gt;0,"PASS","FAIL"))</x:f>
        <x:v>PASS</x:v>
      </x:c>
      <x:c r="AH490" t="str">
        <x:f>IF(NOT(ISNUMBER(T490)),"Needs supplier cost",IF(K490&lt;&gt;"In stock","Supplier unavailable",IF(AG490&lt;&gt;"PASS","BLOCK - GT loss risk","Commercially protected")))</x:f>
        <x:v>Supplier unavailable</x:v>
      </x:c>
      <x:c r="AI490" t="str">
        <x:v>2026-09-10 Active Sports trade capture</x:v>
      </x:c>
      <x:c r="AJ490" t="str">
        <x:v>Management-only economics. Stripe stress test uses 1.5% + £0.20 standard UK online-card fee; pallet/mix-and-match pricing ignored.</x:v>
      </x:c>
    </x:row>
    <x:row r="491">
      <x:c r="A491" t="str">
        <x:v>Active Sports Nutrition</x:v>
      </x:c>
      <x:c r="B491" t="str">
        <x:v>Biotech USA</x:v>
      </x:c>
      <x:c r="C491" t="str">
        <x:v>BCAA Flash Zero</x:v>
      </x:c>
      <x:c r="D491" t="str">
        <x:v>Supplements</x:v>
      </x:c>
      <x:c r="E491" t="str">
        <x:v>BCAAS</x:v>
      </x:c>
      <x:c r="F491" t="str">
        <x:v>BCAA powder.</x:v>
      </x:c>
      <x:c r="G491" t="str">
        <x:v>360g / 40 servings</x:v>
      </x:c>
      <x:c r="H491" t="str">
        <x:v>Lemon Ice Tea</x:v>
      </x:c>
      <x:c r="I491" t="str"/>
      <x:c r="J491" t="str">
        <x:v>Unit</x:v>
      </x:c>
      <x:c r="K491" t="str">
        <x:v>Out of stock</x:v>
      </x:c>
      <x:c r="L491" t="str">
        <x:v>2026-09-08</x:v>
      </x:c>
      <x:c r="M491" t="str"/>
      <x:c r="N491" t="str"/>
      <x:c r="O491" t="str">
        <x:v>https://www.activesportstrade.co.uk/biotech-usa-trade</x:v>
      </x:c>
      <x:c r="P491" t="str"/>
      <x:c r="Q491" t="str"/>
      <x:c r="R491" t="str"/>
      <x:c r="S491" t="str">
        <x:v>Pending genuine supplier/brand image</x:v>
      </x:c>
      <x:c r="T491" s="54" t="n">
        <x:v>12.5</x:v>
      </x:c>
      <x:c r="U491" s="47" t="n">
        <x:v>0.2</x:v>
      </x:c>
      <x:c r="V491" s="54" t="n">
        <x:f>IF(ISNUMBER(T491),T491*(1+U491),"")</x:f>
        <x:v>15</x:v>
      </x:c>
      <x:c r="W491" s="47" t="n">
        <x:v>0.3</x:v>
      </x:c>
      <x:c r="X491" s="54" t="n">
        <x:f>IF(ISNUMBER(V491),V491/(1-W491),"")</x:f>
        <x:v>21.42857142857143</x:v>
      </x:c>
      <x:c r="Y491" s="55" t="n">
        <x:f>IF(ISNUMBER(X491),ROUNDUP(X491,0),"")</x:f>
        <x:v>22</x:v>
      </x:c>
      <x:c r="Z491" t="str">
        <x:v>Source match pending</x:v>
      </x:c>
      <x:c r="AA491" t="str">
        <x:v>screencapture-www-activesportstrade-co-uk-biotech-usa-trade-2026-09-10-09_04_18.pdf / page-03</x:v>
      </x:c>
      <x:c r="AB491" s="36" t="n">
        <x:f>IF(ISNUMBER(Y491),ROUND(Y491*0.9,2),"")</x:f>
        <x:v>19.8</x:v>
      </x:c>
      <x:c r="AC491" s="36" t="n">
        <x:f>IF(ISNUMBER(AB491),ROUND(AB491-(AB491*0.015+0.2)-V491,2),"")</x:f>
        <x:v>4.3</x:v>
      </x:c>
      <x:c r="AD491" s="36" t="n">
        <x:f>IF(ISNUMBER(Y491),ROUND(Y491*0.8,2),"")</x:f>
        <x:v>17.6</x:v>
      </x:c>
      <x:c r="AE491" s="36" t="n">
        <x:f>IF(ISNUMBER(AD491),ROUND(AD491*0.015+0.2,2),"")</x:f>
        <x:v>0.46</x:v>
      </x:c>
      <x:c r="AF491" s="36" t="n">
        <x:f>IF(ISNUMBER(AD491),ROUND(AD491-AE491-V491,2),"")</x:f>
        <x:v>2.14</x:v>
      </x:c>
      <x:c r="AG491" t="str">
        <x:f>IF(NOT(ISNUMBER(T491)),"PENDING",IF(AF491&gt;0,"PASS","FAIL"))</x:f>
        <x:v>PASS</x:v>
      </x:c>
      <x:c r="AH491" t="str">
        <x:f>IF(NOT(ISNUMBER(T491)),"Needs supplier cost",IF(K491&lt;&gt;"In stock","Supplier unavailable",IF(AG491&lt;&gt;"PASS","BLOCK - GT loss risk","Commercially protected")))</x:f>
        <x:v>Supplier unavailable</x:v>
      </x:c>
      <x:c r="AI491" t="str">
        <x:v>2026-09-10 Active Sports trade capture</x:v>
      </x:c>
      <x:c r="AJ491" t="str">
        <x:v>Management-only economics. Stripe stress test uses 1.5% + £0.20 standard UK online-card fee; pallet/mix-and-match pricing ignored.</x:v>
      </x:c>
    </x:row>
    <x:row r="492">
      <x:c r="A492" t="str">
        <x:v>Active Sports Nutrition</x:v>
      </x:c>
      <x:c r="B492" t="str">
        <x:v>Biotech USA</x:v>
      </x:c>
      <x:c r="C492" t="str">
        <x:v>BCAA Flash Zero</x:v>
      </x:c>
      <x:c r="D492" t="str">
        <x:v>Supplements</x:v>
      </x:c>
      <x:c r="E492" t="str">
        <x:v>BCAAS</x:v>
      </x:c>
      <x:c r="F492" t="str">
        <x:v>BCAA powder.</x:v>
      </x:c>
      <x:c r="G492" t="str">
        <x:v>360g / 40 servings</x:v>
      </x:c>
      <x:c r="H492" t="str">
        <x:v>Orange</x:v>
      </x:c>
      <x:c r="I492" t="str"/>
      <x:c r="J492" t="str">
        <x:v>Unit</x:v>
      </x:c>
      <x:c r="K492" t="str">
        <x:v>In stock</x:v>
      </x:c>
      <x:c r="L492" t="str">
        <x:v>2026-09-08</x:v>
      </x:c>
      <x:c r="M492" t="str"/>
      <x:c r="N492" t="str"/>
      <x:c r="O492" t="str">
        <x:v>https://www.activesportstrade.co.uk/biotech-usa-trade</x:v>
      </x:c>
      <x:c r="P492" t="str"/>
      <x:c r="Q492" t="str"/>
      <x:c r="R492" t="str"/>
      <x:c r="S492" t="str">
        <x:v>Pending genuine supplier/brand image</x:v>
      </x:c>
      <x:c r="T492" s="54" t="n">
        <x:v>12.5</x:v>
      </x:c>
      <x:c r="U492" s="47" t="n">
        <x:v>0.2</x:v>
      </x:c>
      <x:c r="V492" s="54" t="n">
        <x:f>IF(ISNUMBER(T492),T492*(1+U492),"")</x:f>
        <x:v>15</x:v>
      </x:c>
      <x:c r="W492" s="47" t="n">
        <x:v>0.3</x:v>
      </x:c>
      <x:c r="X492" s="54" t="n">
        <x:f>IF(ISNUMBER(V492),V492/(1-W492),"")</x:f>
        <x:v>21.42857142857143</x:v>
      </x:c>
      <x:c r="Y492" s="55" t="n">
        <x:f>IF(ISNUMBER(X492),ROUNDUP(X492,0),"")</x:f>
        <x:v>22</x:v>
      </x:c>
      <x:c r="Z492" t="str">
        <x:v>Source match pending</x:v>
      </x:c>
      <x:c r="AA492" t="str">
        <x:v>screencapture-www-activesportstrade-co-uk-biotech-usa-trade-2026-09-10-09_04_18.pdf / page-03</x:v>
      </x:c>
      <x:c r="AB492" s="36" t="n">
        <x:f>IF(ISNUMBER(Y492),ROUND(Y492*0.9,2),"")</x:f>
        <x:v>19.8</x:v>
      </x:c>
      <x:c r="AC492" s="36" t="n">
        <x:f>IF(ISNUMBER(AB492),ROUND(AB492-(AB492*0.015+0.2)-V492,2),"")</x:f>
        <x:v>4.3</x:v>
      </x:c>
      <x:c r="AD492" s="36" t="n">
        <x:f>IF(ISNUMBER(Y492),ROUND(Y492*0.8,2),"")</x:f>
        <x:v>17.6</x:v>
      </x:c>
      <x:c r="AE492" s="36" t="n">
        <x:f>IF(ISNUMBER(AD492),ROUND(AD492*0.015+0.2,2),"")</x:f>
        <x:v>0.46</x:v>
      </x:c>
      <x:c r="AF492" s="36" t="n">
        <x:f>IF(ISNUMBER(AD492),ROUND(AD492-AE492-V492,2),"")</x:f>
        <x:v>2.14</x:v>
      </x:c>
      <x:c r="AG492" t="str">
        <x:f>IF(NOT(ISNUMBER(T492)),"PENDING",IF(AF492&gt;0,"PASS","FAIL"))</x:f>
        <x:v>PASS</x:v>
      </x:c>
      <x:c r="AH492" t="str">
        <x:f>IF(NOT(ISNUMBER(T492)),"Needs supplier cost",IF(K492&lt;&gt;"In stock","Supplier unavailable",IF(AG492&lt;&gt;"PASS","BLOCK - GT loss risk","Commercially protected")))</x:f>
        <x:v>Commercially protected</x:v>
      </x:c>
      <x:c r="AI492" t="str">
        <x:v>2026-09-10 Active Sports trade capture</x:v>
      </x:c>
      <x:c r="AJ492" t="str">
        <x:v>Management-only economics. Stripe stress test uses 1.5% + £0.20 standard UK online-card fee; pallet/mix-and-match pricing ignored.</x:v>
      </x:c>
    </x:row>
    <x:row r="493">
      <x:c r="A493" t="str">
        <x:v>Active Sports Nutrition</x:v>
      </x:c>
      <x:c r="B493" t="str">
        <x:v>Biotech USA</x:v>
      </x:c>
      <x:c r="C493" t="str">
        <x:v>BCAA Flash Zero</x:v>
      </x:c>
      <x:c r="D493" t="str">
        <x:v>Supplements</x:v>
      </x:c>
      <x:c r="E493" t="str">
        <x:v>BCAAS</x:v>
      </x:c>
      <x:c r="F493" t="str">
        <x:v>BCAA powder.</x:v>
      </x:c>
      <x:c r="G493" t="str">
        <x:v>360g / 40 servings</x:v>
      </x:c>
      <x:c r="H493" t="str">
        <x:v>Pineapple Mango</x:v>
      </x:c>
      <x:c r="I493" t="str"/>
      <x:c r="J493" t="str">
        <x:v>Unit</x:v>
      </x:c>
      <x:c r="K493" t="str">
        <x:v>In stock</x:v>
      </x:c>
      <x:c r="L493" t="str">
        <x:v>2026-09-08</x:v>
      </x:c>
      <x:c r="M493" t="str"/>
      <x:c r="N493" t="str"/>
      <x:c r="O493" t="str">
        <x:v>https://www.activesportstrade.co.uk/biotech-usa-trade</x:v>
      </x:c>
      <x:c r="P493" t="str"/>
      <x:c r="Q493" t="str"/>
      <x:c r="R493" t="str"/>
      <x:c r="S493" t="str">
        <x:v>Pending genuine supplier/brand image</x:v>
      </x:c>
      <x:c r="T493" s="54" t="n">
        <x:v>12.5</x:v>
      </x:c>
      <x:c r="U493" s="47" t="n">
        <x:v>0.2</x:v>
      </x:c>
      <x:c r="V493" s="54" t="n">
        <x:f>IF(ISNUMBER(T493),T493*(1+U493),"")</x:f>
        <x:v>15</x:v>
      </x:c>
      <x:c r="W493" s="47" t="n">
        <x:v>0.3</x:v>
      </x:c>
      <x:c r="X493" s="54" t="n">
        <x:f>IF(ISNUMBER(V493),V493/(1-W493),"")</x:f>
        <x:v>21.42857142857143</x:v>
      </x:c>
      <x:c r="Y493" s="55" t="n">
        <x:f>IF(ISNUMBER(X493),ROUNDUP(X493,0),"")</x:f>
        <x:v>22</x:v>
      </x:c>
      <x:c r="Z493" t="str">
        <x:v>Source match pending</x:v>
      </x:c>
      <x:c r="AA493" t="str">
        <x:v>screencapture-www-activesportstrade-co-uk-biotech-usa-trade-2026-09-10-09_04_18.pdf / page-03</x:v>
      </x:c>
      <x:c r="AB493" s="36" t="n">
        <x:f>IF(ISNUMBER(Y493),ROUND(Y493*0.9,2),"")</x:f>
        <x:v>19.8</x:v>
      </x:c>
      <x:c r="AC493" s="36" t="n">
        <x:f>IF(ISNUMBER(AB493),ROUND(AB493-(AB493*0.015+0.2)-V493,2),"")</x:f>
        <x:v>4.3</x:v>
      </x:c>
      <x:c r="AD493" s="36" t="n">
        <x:f>IF(ISNUMBER(Y493),ROUND(Y493*0.8,2),"")</x:f>
        <x:v>17.6</x:v>
      </x:c>
      <x:c r="AE493" s="36" t="n">
        <x:f>IF(ISNUMBER(AD493),ROUND(AD493*0.015+0.2,2),"")</x:f>
        <x:v>0.46</x:v>
      </x:c>
      <x:c r="AF493" s="36" t="n">
        <x:f>IF(ISNUMBER(AD493),ROUND(AD493-AE493-V493,2),"")</x:f>
        <x:v>2.14</x:v>
      </x:c>
      <x:c r="AG493" t="str">
        <x:f>IF(NOT(ISNUMBER(T493)),"PENDING",IF(AF493&gt;0,"PASS","FAIL"))</x:f>
        <x:v>PASS</x:v>
      </x:c>
      <x:c r="AH493" t="str">
        <x:f>IF(NOT(ISNUMBER(T493)),"Needs supplier cost",IF(K493&lt;&gt;"In stock","Supplier unavailable",IF(AG493&lt;&gt;"PASS","BLOCK - GT loss risk","Commercially protected")))</x:f>
        <x:v>Commercially protected</x:v>
      </x:c>
      <x:c r="AI493" t="str">
        <x:v>2026-09-10 Active Sports trade capture</x:v>
      </x:c>
      <x:c r="AJ493" t="str">
        <x:v>Management-only economics. Stripe stress test uses 1.5% + £0.20 standard UK online-card fee; pallet/mix-and-match pricing ignored.</x:v>
      </x:c>
    </x:row>
    <x:row r="494">
      <x:c r="A494" t="str">
        <x:v>Active Sports Nutrition</x:v>
      </x:c>
      <x:c r="B494" t="str">
        <x:v>Biotech USA</x:v>
      </x:c>
      <x:c r="C494" t="str">
        <x:v>BCAA Flash Zero</x:v>
      </x:c>
      <x:c r="D494" t="str">
        <x:v>Supplements</x:v>
      </x:c>
      <x:c r="E494" t="str">
        <x:v>BCAAS</x:v>
      </x:c>
      <x:c r="F494" t="str">
        <x:v>BCAA powder.</x:v>
      </x:c>
      <x:c r="G494" t="str">
        <x:v>360g / 40 servings</x:v>
      </x:c>
      <x:c r="H494" t="str">
        <x:v>Tropical Fruit</x:v>
      </x:c>
      <x:c r="I494" t="str"/>
      <x:c r="J494" t="str">
        <x:v>Unit</x:v>
      </x:c>
      <x:c r="K494" t="str">
        <x:v>In stock</x:v>
      </x:c>
      <x:c r="L494" t="str">
        <x:v>2026-09-08</x:v>
      </x:c>
      <x:c r="M494" t="str"/>
      <x:c r="N494" t="str"/>
      <x:c r="O494" t="str">
        <x:v>https://www.activesportstrade.co.uk/biotech-usa-trade</x:v>
      </x:c>
      <x:c r="P494" t="str"/>
      <x:c r="Q494" t="str"/>
      <x:c r="R494" t="str"/>
      <x:c r="S494" t="str">
        <x:v>Pending genuine supplier/brand image</x:v>
      </x:c>
      <x:c r="T494" s="54" t="n">
        <x:v>12.5</x:v>
      </x:c>
      <x:c r="U494" s="47" t="n">
        <x:v>0.2</x:v>
      </x:c>
      <x:c r="V494" s="54" t="n">
        <x:f>IF(ISNUMBER(T494),T494*(1+U494),"")</x:f>
        <x:v>15</x:v>
      </x:c>
      <x:c r="W494" s="47" t="n">
        <x:v>0.3</x:v>
      </x:c>
      <x:c r="X494" s="54" t="n">
        <x:f>IF(ISNUMBER(V494),V494/(1-W494),"")</x:f>
        <x:v>21.42857142857143</x:v>
      </x:c>
      <x:c r="Y494" s="55" t="n">
        <x:f>IF(ISNUMBER(X494),ROUNDUP(X494,0),"")</x:f>
        <x:v>22</x:v>
      </x:c>
      <x:c r="Z494" t="str">
        <x:v>Source match pending</x:v>
      </x:c>
      <x:c r="AA494" t="str">
        <x:v>screencapture-www-activesportstrade-co-uk-biotech-usa-trade-2026-09-10-09_04_18.pdf / page-03</x:v>
      </x:c>
      <x:c r="AB494" s="36" t="n">
        <x:f>IF(ISNUMBER(Y494),ROUND(Y494*0.9,2),"")</x:f>
        <x:v>19.8</x:v>
      </x:c>
      <x:c r="AC494" s="36" t="n">
        <x:f>IF(ISNUMBER(AB494),ROUND(AB494-(AB494*0.015+0.2)-V494,2),"")</x:f>
        <x:v>4.3</x:v>
      </x:c>
      <x:c r="AD494" s="36" t="n">
        <x:f>IF(ISNUMBER(Y494),ROUND(Y494*0.8,2),"")</x:f>
        <x:v>17.6</x:v>
      </x:c>
      <x:c r="AE494" s="36" t="n">
        <x:f>IF(ISNUMBER(AD494),ROUND(AD494*0.015+0.2,2),"")</x:f>
        <x:v>0.46</x:v>
      </x:c>
      <x:c r="AF494" s="36" t="n">
        <x:f>IF(ISNUMBER(AD494),ROUND(AD494-AE494-V494,2),"")</x:f>
        <x:v>2.14</x:v>
      </x:c>
      <x:c r="AG494" t="str">
        <x:f>IF(NOT(ISNUMBER(T494)),"PENDING",IF(AF494&gt;0,"PASS","FAIL"))</x:f>
        <x:v>PASS</x:v>
      </x:c>
      <x:c r="AH494" t="str">
        <x:f>IF(NOT(ISNUMBER(T494)),"Needs supplier cost",IF(K494&lt;&gt;"In stock","Supplier unavailable",IF(AG494&lt;&gt;"PASS","BLOCK - GT loss risk","Commercially protected")))</x:f>
        <x:v>Commercially protected</x:v>
      </x:c>
      <x:c r="AI494" t="str">
        <x:v>2026-09-10 Active Sports trade capture</x:v>
      </x:c>
      <x:c r="AJ494" t="str">
        <x:v>Management-only economics. Stripe stress test uses 1.5% + £0.20 standard UK online-card fee; pallet/mix-and-match pricing ignored.</x:v>
      </x:c>
    </x:row>
    <x:row r="495">
      <x:c r="A495" t="str">
        <x:v>Active Sports Nutrition</x:v>
      </x:c>
      <x:c r="B495" t="str">
        <x:v>Biotech USA</x:v>
      </x:c>
      <x:c r="C495" t="str">
        <x:v>BCAA Flash Zero</x:v>
      </x:c>
      <x:c r="D495" t="str">
        <x:v>Supplements</x:v>
      </x:c>
      <x:c r="E495" t="str">
        <x:v>BCAAS</x:v>
      </x:c>
      <x:c r="F495" t="str">
        <x:v>BCAA powder.</x:v>
      </x:c>
      <x:c r="G495" t="str">
        <x:v>360g / 40 servings</x:v>
      </x:c>
      <x:c r="H495" t="str">
        <x:v>Watermelon</x:v>
      </x:c>
      <x:c r="I495" t="str"/>
      <x:c r="J495" t="str">
        <x:v>Unit</x:v>
      </x:c>
      <x:c r="K495" t="str">
        <x:v>In stock</x:v>
      </x:c>
      <x:c r="L495" t="str">
        <x:v>2026-09-08</x:v>
      </x:c>
      <x:c r="M495" t="str"/>
      <x:c r="N495" t="str"/>
      <x:c r="O495" t="str">
        <x:v>https://www.activesportstrade.co.uk/biotech-usa-trade</x:v>
      </x:c>
      <x:c r="P495" t="str"/>
      <x:c r="Q495" t="str"/>
      <x:c r="R495" t="str"/>
      <x:c r="S495" t="str">
        <x:v>Pending genuine supplier/brand image</x:v>
      </x:c>
      <x:c r="T495" s="54" t="n">
        <x:v>12.5</x:v>
      </x:c>
      <x:c r="U495" s="47" t="n">
        <x:v>0.2</x:v>
      </x:c>
      <x:c r="V495" s="54" t="n">
        <x:f>IF(ISNUMBER(T495),T495*(1+U495),"")</x:f>
        <x:v>15</x:v>
      </x:c>
      <x:c r="W495" s="47" t="n">
        <x:v>0.3</x:v>
      </x:c>
      <x:c r="X495" s="54" t="n">
        <x:f>IF(ISNUMBER(V495),V495/(1-W495),"")</x:f>
        <x:v>21.42857142857143</x:v>
      </x:c>
      <x:c r="Y495" s="55" t="n">
        <x:f>IF(ISNUMBER(X495),ROUNDUP(X495,0),"")</x:f>
        <x:v>22</x:v>
      </x:c>
      <x:c r="Z495" t="str">
        <x:v>Source match pending</x:v>
      </x:c>
      <x:c r="AA495" t="str">
        <x:v>screencapture-www-activesportstrade-co-uk-biotech-usa-trade-2026-09-10-09_04_18.pdf / page-03</x:v>
      </x:c>
      <x:c r="AB495" s="36" t="n">
        <x:f>IF(ISNUMBER(Y495),ROUND(Y495*0.9,2),"")</x:f>
        <x:v>19.8</x:v>
      </x:c>
      <x:c r="AC495" s="36" t="n">
        <x:f>IF(ISNUMBER(AB495),ROUND(AB495-(AB495*0.015+0.2)-V495,2),"")</x:f>
        <x:v>4.3</x:v>
      </x:c>
      <x:c r="AD495" s="36" t="n">
        <x:f>IF(ISNUMBER(Y495),ROUND(Y495*0.8,2),"")</x:f>
        <x:v>17.6</x:v>
      </x:c>
      <x:c r="AE495" s="36" t="n">
        <x:f>IF(ISNUMBER(AD495),ROUND(AD495*0.015+0.2,2),"")</x:f>
        <x:v>0.46</x:v>
      </x:c>
      <x:c r="AF495" s="36" t="n">
        <x:f>IF(ISNUMBER(AD495),ROUND(AD495-AE495-V495,2),"")</x:f>
        <x:v>2.14</x:v>
      </x:c>
      <x:c r="AG495" t="str">
        <x:f>IF(NOT(ISNUMBER(T495)),"PENDING",IF(AF495&gt;0,"PASS","FAIL"))</x:f>
        <x:v>PASS</x:v>
      </x:c>
      <x:c r="AH495" t="str">
        <x:f>IF(NOT(ISNUMBER(T495)),"Needs supplier cost",IF(K495&lt;&gt;"In stock","Supplier unavailable",IF(AG495&lt;&gt;"PASS","BLOCK - GT loss risk","Commercially protected")))</x:f>
        <x:v>Commercially protected</x:v>
      </x:c>
      <x:c r="AI495" t="str">
        <x:v>2026-09-10 Active Sports trade capture</x:v>
      </x:c>
      <x:c r="AJ495" t="str">
        <x:v>Management-only economics. Stripe stress test uses 1.5% + £0.20 standard UK online-card fee; pallet/mix-and-match pricing ignored.</x:v>
      </x:c>
    </x:row>
    <x:row r="496">
      <x:c r="A496" t="str">
        <x:v>Active Sports Nutrition</x:v>
      </x:c>
      <x:c r="B496" t="str">
        <x:v>Biotech USA</x:v>
      </x:c>
      <x:c r="C496" t="str">
        <x:v>Beef Protein</x:v>
      </x:c>
      <x:c r="D496" t="str">
        <x:v>Supplements</x:v>
      </x:c>
      <x:c r="E496" t="str">
        <x:v>Protein Blends</x:v>
      </x:c>
      <x:c r="F496" t="str">
        <x:v>Beef protein powder.</x:v>
      </x:c>
      <x:c r="G496" t="str">
        <x:v>1816g</x:v>
      </x:c>
      <x:c r="H496" t="str">
        <x:v>Chocolate Coconut</x:v>
      </x:c>
      <x:c r="I496" t="str"/>
      <x:c r="J496" t="str">
        <x:v>Unit</x:v>
      </x:c>
      <x:c r="K496" t="str">
        <x:v>In stock</x:v>
      </x:c>
      <x:c r="L496" t="str">
        <x:v>2026-09-08</x:v>
      </x:c>
      <x:c r="M496" t="str"/>
      <x:c r="N496" t="str"/>
      <x:c r="O496" t="str">
        <x:v>https://www.activesportstrade.co.uk/biotech-usa-trade</x:v>
      </x:c>
      <x:c r="P496" t="str">
        <x:v>Brand page checked; category page currently disagrees on Chocolate Coconut stock. Brand-page state retained and discrepancy flagged.</x:v>
      </x:c>
      <x:c r="Q496" t="str"/>
      <x:c r="R496" t="str"/>
      <x:c r="S496" t="str">
        <x:v>Pending genuine supplier/brand image</x:v>
      </x:c>
      <x:c r="T496" s="54"/>
      <x:c r="U496" s="47" t="n">
        <x:v>0.2</x:v>
      </x:c>
      <x:c r="V496" s="54" t="str">
        <x:f>IF(ISNUMBER(T496),T496*(1+U496),"")</x:f>
      </x:c>
      <x:c r="W496" s="47" t="n">
        <x:v>0.3</x:v>
      </x:c>
      <x:c r="X496" s="54" t="str">
        <x:f>IF(ISNUMBER(V496),V496/(1-W496),"")</x:f>
      </x:c>
      <x:c r="Y496" s="55" t="str">
        <x:f>IF(ISNUMBER(X496),ROUNDUP(X496,0),"")</x:f>
      </x:c>
      <x:c r="Z496" t="str">
        <x:f>IF(ISNUMBER(T496),"Cost captured","Awaiting trade cost")</x:f>
        <x:v>Awaiting trade cost</x:v>
      </x:c>
      <x:c r="AB496" s="36" t="str">
        <x:f>IF(ISNUMBER(Y496),ROUND(Y496*0.9,2),"")</x:f>
      </x:c>
      <x:c r="AC496" s="36" t="str">
        <x:f>IF(ISNUMBER(AB496),ROUND(AB496-(AB496*0.015+0.2)-V496,2),"")</x:f>
      </x:c>
      <x:c r="AD496" s="36" t="str">
        <x:f>IF(ISNUMBER(Y496),ROUND(Y496*0.8,2),"")</x:f>
      </x:c>
      <x:c r="AE496" s="36" t="str">
        <x:f>IF(ISNUMBER(AD496),ROUND(AD496*0.015+0.2,2),"")</x:f>
      </x:c>
      <x:c r="AF496" s="36" t="str">
        <x:f>IF(ISNUMBER(AD496),ROUND(AD496-AE496-V496,2),"")</x:f>
      </x:c>
      <x:c r="AG496" t="str">
        <x:f>IF(NOT(ISNUMBER(T496)),"PENDING",IF(AF496&gt;0,"PASS","FAIL"))</x:f>
        <x:v>PENDING</x:v>
      </x:c>
      <x:c r="AH496" t="str">
        <x:f>IF(NOT(ISNUMBER(T496)),"Needs supplier cost",IF(K496&lt;&gt;"In stock","Supplier unavailable",IF(AG496&lt;&gt;"PASS","BLOCK - GT loss risk","Commercially protected")))</x:f>
        <x:v>Needs supplier cost</x:v>
      </x:c>
      <x:c r="AI496" t="str">
        <x:v>2026-09-10 Active Sports trade capture</x:v>
      </x:c>
      <x:c r="AJ496" t="str">
        <x:v>Management-only economics. Stripe stress test uses 1.5% + £0.20 standard UK online-card fee; pallet/mix-and-match pricing ignored.</x:v>
      </x:c>
    </x:row>
    <x:row r="497">
      <x:c r="A497" t="str">
        <x:v>Active Sports Nutrition</x:v>
      </x:c>
      <x:c r="B497" t="str">
        <x:v>Biotech USA</x:v>
      </x:c>
      <x:c r="C497" t="str">
        <x:v>Beef Protein</x:v>
      </x:c>
      <x:c r="D497" t="str">
        <x:v>Supplements</x:v>
      </x:c>
      <x:c r="E497" t="str">
        <x:v>Protein Blends</x:v>
      </x:c>
      <x:c r="F497" t="str">
        <x:v>Beef protein powder.</x:v>
      </x:c>
      <x:c r="G497" t="str">
        <x:v>1816g</x:v>
      </x:c>
      <x:c r="H497" t="str">
        <x:v>Strawberry</x:v>
      </x:c>
      <x:c r="I497" t="str"/>
      <x:c r="J497" t="str">
        <x:v>Unit</x:v>
      </x:c>
      <x:c r="K497" t="str">
        <x:v>In stock</x:v>
      </x:c>
      <x:c r="L497" t="str">
        <x:v>2026-09-08</x:v>
      </x:c>
      <x:c r="M497" t="str"/>
      <x:c r="N497" t="str"/>
      <x:c r="O497" t="str">
        <x:v>https://www.activesportstrade.co.uk/biotech-usa-trade</x:v>
      </x:c>
      <x:c r="P497" t="str">
        <x:v>Brand page checked; category page currently disagrees on Chocolate Coconut stock. Brand-page state retained and discrepancy flagged.</x:v>
      </x:c>
      <x:c r="Q497" t="str"/>
      <x:c r="R497" t="str"/>
      <x:c r="S497" t="str">
        <x:v>Pending genuine supplier/brand image</x:v>
      </x:c>
      <x:c r="T497" s="54"/>
      <x:c r="U497" s="47" t="n">
        <x:v>0.2</x:v>
      </x:c>
      <x:c r="V497" s="54" t="str">
        <x:f>IF(ISNUMBER(T497),T497*(1+U497),"")</x:f>
      </x:c>
      <x:c r="W497" s="47" t="n">
        <x:v>0.3</x:v>
      </x:c>
      <x:c r="X497" s="54" t="str">
        <x:f>IF(ISNUMBER(V497),V497/(1-W497),"")</x:f>
      </x:c>
      <x:c r="Y497" s="55" t="str">
        <x:f>IF(ISNUMBER(X497),ROUNDUP(X497,0),"")</x:f>
      </x:c>
      <x:c r="Z497" t="str">
        <x:f>IF(ISNUMBER(T497),"Cost captured","Awaiting trade cost")</x:f>
        <x:v>Awaiting trade cost</x:v>
      </x:c>
      <x:c r="AB497" s="36" t="str">
        <x:f>IF(ISNUMBER(Y497),ROUND(Y497*0.9,2),"")</x:f>
      </x:c>
      <x:c r="AC497" s="36" t="str">
        <x:f>IF(ISNUMBER(AB497),ROUND(AB497-(AB497*0.015+0.2)-V497,2),"")</x:f>
      </x:c>
      <x:c r="AD497" s="36" t="str">
        <x:f>IF(ISNUMBER(Y497),ROUND(Y497*0.8,2),"")</x:f>
      </x:c>
      <x:c r="AE497" s="36" t="str">
        <x:f>IF(ISNUMBER(AD497),ROUND(AD497*0.015+0.2,2),"")</x:f>
      </x:c>
      <x:c r="AF497" s="36" t="str">
        <x:f>IF(ISNUMBER(AD497),ROUND(AD497-AE497-V497,2),"")</x:f>
      </x:c>
      <x:c r="AG497" t="str">
        <x:f>IF(NOT(ISNUMBER(T497)),"PENDING",IF(AF497&gt;0,"PASS","FAIL"))</x:f>
        <x:v>PENDING</x:v>
      </x:c>
      <x:c r="AH497" t="str">
        <x:f>IF(NOT(ISNUMBER(T497)),"Needs supplier cost",IF(K497&lt;&gt;"In stock","Supplier unavailable",IF(AG497&lt;&gt;"PASS","BLOCK - GT loss risk","Commercially protected")))</x:f>
        <x:v>Needs supplier cost</x:v>
      </x:c>
      <x:c r="AI497" t="str">
        <x:v>2026-09-10 Active Sports trade capture</x:v>
      </x:c>
      <x:c r="AJ497" t="str">
        <x:v>Management-only economics. Stripe stress test uses 1.5% + £0.20 standard UK online-card fee; pallet/mix-and-match pricing ignored.</x:v>
      </x:c>
    </x:row>
    <x:row r="498">
      <x:c r="A498" t="str">
        <x:v>Active Sports Nutrition</x:v>
      </x:c>
      <x:c r="B498" t="str">
        <x:v>Biotech USA</x:v>
      </x:c>
      <x:c r="C498" t="str">
        <x:v>Beef Protein</x:v>
      </x:c>
      <x:c r="D498" t="str">
        <x:v>Supplements</x:v>
      </x:c>
      <x:c r="E498" t="str">
        <x:v>Protein Blends</x:v>
      </x:c>
      <x:c r="F498" t="str">
        <x:v>Beef protein powder.</x:v>
      </x:c>
      <x:c r="G498" t="str">
        <x:v>1816g</x:v>
      </x:c>
      <x:c r="H498" t="str">
        <x:v>Vanilla Cinnamon</x:v>
      </x:c>
      <x:c r="I498" t="str"/>
      <x:c r="J498" t="str">
        <x:v>Unit</x:v>
      </x:c>
      <x:c r="K498" t="str">
        <x:v>In stock</x:v>
      </x:c>
      <x:c r="L498" t="str">
        <x:v>2026-09-08</x:v>
      </x:c>
      <x:c r="M498" t="str"/>
      <x:c r="N498" t="str"/>
      <x:c r="O498" t="str">
        <x:v>https://www.activesportstrade.co.uk/biotech-usa-trade</x:v>
      </x:c>
      <x:c r="P498" t="str">
        <x:v>Brand page checked; category page currently disagrees on Chocolate Coconut stock. Brand-page state retained and discrepancy flagged.</x:v>
      </x:c>
      <x:c r="Q498" t="str"/>
      <x:c r="R498" t="str"/>
      <x:c r="S498" t="str">
        <x:v>Pending genuine supplier/brand image</x:v>
      </x:c>
      <x:c r="T498" s="54"/>
      <x:c r="U498" s="47" t="n">
        <x:v>0.2</x:v>
      </x:c>
      <x:c r="V498" s="54" t="str">
        <x:f>IF(ISNUMBER(T498),T498*(1+U498),"")</x:f>
      </x:c>
      <x:c r="W498" s="47" t="n">
        <x:v>0.3</x:v>
      </x:c>
      <x:c r="X498" s="54" t="str">
        <x:f>IF(ISNUMBER(V498),V498/(1-W498),"")</x:f>
      </x:c>
      <x:c r="Y498" s="55" t="str">
        <x:f>IF(ISNUMBER(X498),ROUNDUP(X498,0),"")</x:f>
      </x:c>
      <x:c r="Z498" t="str">
        <x:f>IF(ISNUMBER(T498),"Cost captured","Awaiting trade cost")</x:f>
        <x:v>Awaiting trade cost</x:v>
      </x:c>
      <x:c r="AB498" s="36" t="str">
        <x:f>IF(ISNUMBER(Y498),ROUND(Y498*0.9,2),"")</x:f>
      </x:c>
      <x:c r="AC498" s="36" t="str">
        <x:f>IF(ISNUMBER(AB498),ROUND(AB498-(AB498*0.015+0.2)-V498,2),"")</x:f>
      </x:c>
      <x:c r="AD498" s="36" t="str">
        <x:f>IF(ISNUMBER(Y498),ROUND(Y498*0.8,2),"")</x:f>
      </x:c>
      <x:c r="AE498" s="36" t="str">
        <x:f>IF(ISNUMBER(AD498),ROUND(AD498*0.015+0.2,2),"")</x:f>
      </x:c>
      <x:c r="AF498" s="36" t="str">
        <x:f>IF(ISNUMBER(AD498),ROUND(AD498-AE498-V498,2),"")</x:f>
      </x:c>
      <x:c r="AG498" t="str">
        <x:f>IF(NOT(ISNUMBER(T498)),"PENDING",IF(AF498&gt;0,"PASS","FAIL"))</x:f>
        <x:v>PENDING</x:v>
      </x:c>
      <x:c r="AH498" t="str">
        <x:f>IF(NOT(ISNUMBER(T498)),"Needs supplier cost",IF(K498&lt;&gt;"In stock","Supplier unavailable",IF(AG498&lt;&gt;"PASS","BLOCK - GT loss risk","Commercially protected")))</x:f>
        <x:v>Needs supplier cost</x:v>
      </x:c>
      <x:c r="AI498" t="str">
        <x:v>2026-09-10 Active Sports trade capture</x:v>
      </x:c>
      <x:c r="AJ498" t="str">
        <x:v>Management-only economics. Stripe stress test uses 1.5% + £0.20 standard UK online-card fee; pallet/mix-and-match pricing ignored.</x:v>
      </x:c>
    </x:row>
    <x:row r="499">
      <x:c r="A499" t="str">
        <x:v>Active Sports Nutrition</x:v>
      </x:c>
      <x:c r="B499" t="str">
        <x:v>Biotech USA</x:v>
      </x:c>
      <x:c r="C499" t="str">
        <x:v>Beta Alanine</x:v>
      </x:c>
      <x:c r="D499" t="str">
        <x:v>Supplements</x:v>
      </x:c>
      <x:c r="E499" t="str">
        <x:v>Amino Acids</x:v>
      </x:c>
      <x:c r="F499" t="str">
        <x:v>Beta-alanine powder.</x:v>
      </x:c>
      <x:c r="G499" t="str">
        <x:v>300g</x:v>
      </x:c>
      <x:c r="H499" t="str">
        <x:v>Unflavoured</x:v>
      </x:c>
      <x:c r="I499" t="str"/>
      <x:c r="J499" t="str">
        <x:v>Unit</x:v>
      </x:c>
      <x:c r="K499" t="str">
        <x:v>In stock</x:v>
      </x:c>
      <x:c r="L499" t="str">
        <x:v>2026-09-08</x:v>
      </x:c>
      <x:c r="M499" t="str"/>
      <x:c r="N499" t="str"/>
      <x:c r="O499" t="str">
        <x:v>https://www.activesportstrade.co.uk/biotech-usa-trade</x:v>
      </x:c>
      <x:c r="P499" t="str"/>
      <x:c r="Q499" t="str"/>
      <x:c r="R499" t="str"/>
      <x:c r="S499" t="str">
        <x:v>Pending genuine supplier/brand image</x:v>
      </x:c>
      <x:c r="T499" s="54" t="n">
        <x:v>11.65</x:v>
      </x:c>
      <x:c r="U499" s="47" t="n">
        <x:v>0.2</x:v>
      </x:c>
      <x:c r="V499" s="54" t="n">
        <x:f>IF(ISNUMBER(T499),T499*(1+U499),"")</x:f>
        <x:v>13.98</x:v>
      </x:c>
      <x:c r="W499" s="47" t="n">
        <x:v>0.3</x:v>
      </x:c>
      <x:c r="X499" s="54" t="n">
        <x:f>IF(ISNUMBER(V499),V499/(1-W499),"")</x:f>
        <x:v>19.97142857142857</x:v>
      </x:c>
      <x:c r="Y499" s="55" t="n">
        <x:f>IF(ISNUMBER(X499),ROUNDUP(X499,0),"")</x:f>
        <x:v>20</x:v>
      </x:c>
      <x:c r="Z499" t="str">
        <x:v>Source match pending</x:v>
      </x:c>
      <x:c r="AA499" t="str">
        <x:v>screencapture-www-activesportstrade-co-uk-biotech-usa-trade-2026-09-10-09_04_18.pdf / page-03</x:v>
      </x:c>
      <x:c r="AB499" s="36" t="n">
        <x:f>IF(ISNUMBER(Y499),ROUND(Y499*0.9,2),"")</x:f>
        <x:v>18</x:v>
      </x:c>
      <x:c r="AC499" s="36" t="n">
        <x:f>IF(ISNUMBER(AB499),ROUND(AB499-(AB499*0.015+0.2)-V499,2),"")</x:f>
        <x:v>3.55</x:v>
      </x:c>
      <x:c r="AD499" s="36" t="n">
        <x:f>IF(ISNUMBER(Y499),ROUND(Y499*0.8,2),"")</x:f>
        <x:v>16</x:v>
      </x:c>
      <x:c r="AE499" s="36" t="n">
        <x:f>IF(ISNUMBER(AD499),ROUND(AD499*0.015+0.2,2),"")</x:f>
        <x:v>0.44</x:v>
      </x:c>
      <x:c r="AF499" s="36" t="n">
        <x:f>IF(ISNUMBER(AD499),ROUND(AD499-AE499-V499,2),"")</x:f>
        <x:v>1.58</x:v>
      </x:c>
      <x:c r="AG499" t="str">
        <x:f>IF(NOT(ISNUMBER(T499)),"PENDING",IF(AF499&gt;0,"PASS","FAIL"))</x:f>
        <x:v>PASS</x:v>
      </x:c>
      <x:c r="AH499" t="str">
        <x:f>IF(NOT(ISNUMBER(T499)),"Needs supplier cost",IF(K499&lt;&gt;"In stock","Supplier unavailable",IF(AG499&lt;&gt;"PASS","BLOCK - GT loss risk","Commercially protected")))</x:f>
        <x:v>Commercially protected</x:v>
      </x:c>
      <x:c r="AI499" t="str">
        <x:v>2026-09-10 Active Sports trade capture</x:v>
      </x:c>
      <x:c r="AJ499" t="str">
        <x:v>Management-only economics. Stripe stress test uses 1.5% + £0.20 standard UK online-card fee; pallet/mix-and-match pricing ignored.</x:v>
      </x:c>
    </x:row>
    <x:row r="500">
      <x:c r="A500" t="str">
        <x:v>Active Sports Nutrition</x:v>
      </x:c>
      <x:c r="B500" t="str">
        <x:v>Biotech USA</x:v>
      </x:c>
      <x:c r="C500" t="str">
        <x:v>Beta Alanine</x:v>
      </x:c>
      <x:c r="D500" t="str">
        <x:v>Supplements</x:v>
      </x:c>
      <x:c r="E500" t="str">
        <x:v>Amino Acids</x:v>
      </x:c>
      <x:c r="F500" t="str">
        <x:v>Beta-alanine capsules.</x:v>
      </x:c>
      <x:c r="G500" t="str">
        <x:v>90 caps</x:v>
      </x:c>
      <x:c r="H500" t="str">
        <x:v>Default</x:v>
      </x:c>
      <x:c r="I500" t="str"/>
      <x:c r="J500" t="str">
        <x:v>Unit</x:v>
      </x:c>
      <x:c r="K500" t="str">
        <x:v>In stock</x:v>
      </x:c>
      <x:c r="L500" t="str">
        <x:v>2026-09-08</x:v>
      </x:c>
      <x:c r="M500" t="str"/>
      <x:c r="N500" t="str"/>
      <x:c r="O500" t="str">
        <x:v>https://www.activesportstrade.co.uk/biotech-usa-trade</x:v>
      </x:c>
      <x:c r="P500" t="str"/>
      <x:c r="Q500" t="str"/>
      <x:c r="R500" t="str"/>
      <x:c r="S500" t="str">
        <x:v>Pending genuine supplier/brand image</x:v>
      </x:c>
      <x:c r="T500" s="54" t="n">
        <x:v>8.4</x:v>
      </x:c>
      <x:c r="U500" s="47" t="n">
        <x:v>0.2</x:v>
      </x:c>
      <x:c r="V500" s="54" t="n">
        <x:f>IF(ISNUMBER(T500),T500*(1+U500),"")</x:f>
        <x:v>10.08</x:v>
      </x:c>
      <x:c r="W500" s="47" t="n">
        <x:v>0.3</x:v>
      </x:c>
      <x:c r="X500" s="54" t="n">
        <x:f>IF(ISNUMBER(V500),V500/(1-W500),"")</x:f>
        <x:v>14.4</x:v>
      </x:c>
      <x:c r="Y500" s="55" t="n">
        <x:f>IF(ISNUMBER(X500),ROUNDUP(X500,0),"")</x:f>
        <x:v>15</x:v>
      </x:c>
      <x:c r="Z500" t="str">
        <x:v>Source match pending</x:v>
      </x:c>
      <x:c r="AA500" t="str">
        <x:v>screencapture-www-activesportstrade-co-uk-biotech-usa-trade-2026-09-10-09_04_18.pdf / page-03</x:v>
      </x:c>
      <x:c r="AB500" s="36" t="n">
        <x:f>IF(ISNUMBER(Y500),ROUND(Y500*0.9,2),"")</x:f>
        <x:v>13.5</x:v>
      </x:c>
      <x:c r="AC500" s="36" t="n">
        <x:f>IF(ISNUMBER(AB500),ROUND(AB500-(AB500*0.015+0.2)-V500,2),"")</x:f>
        <x:v>3.02</x:v>
      </x:c>
      <x:c r="AD500" s="36" t="n">
        <x:f>IF(ISNUMBER(Y500),ROUND(Y500*0.8,2),"")</x:f>
        <x:v>12</x:v>
      </x:c>
      <x:c r="AE500" s="36" t="n">
        <x:f>IF(ISNUMBER(AD500),ROUND(AD500*0.015+0.2,2),"")</x:f>
        <x:v>0.38</x:v>
      </x:c>
      <x:c r="AF500" s="36" t="n">
        <x:f>IF(ISNUMBER(AD500),ROUND(AD500-AE500-V500,2),"")</x:f>
        <x:v>1.54</x:v>
      </x:c>
      <x:c r="AG500" t="str">
        <x:f>IF(NOT(ISNUMBER(T500)),"PENDING",IF(AF500&gt;0,"PASS","FAIL"))</x:f>
        <x:v>PASS</x:v>
      </x:c>
      <x:c r="AH500" t="str">
        <x:f>IF(NOT(ISNUMBER(T500)),"Needs supplier cost",IF(K500&lt;&gt;"In stock","Supplier unavailable",IF(AG500&lt;&gt;"PASS","BLOCK - GT loss risk","Commercially protected")))</x:f>
        <x:v>Commercially protected</x:v>
      </x:c>
      <x:c r="AI500" t="str">
        <x:v>2026-09-10 Active Sports trade capture</x:v>
      </x:c>
      <x:c r="AJ500" t="str">
        <x:v>Management-only economics. Stripe stress test uses 1.5% + £0.20 standard UK online-card fee; pallet/mix-and-match pricing ignored.</x:v>
      </x:c>
    </x:row>
    <x:row r="501">
      <x:c r="A501" t="str">
        <x:v>Active Sports Nutrition</x:v>
      </x:c>
      <x:c r="B501" t="str">
        <x:v>Biotech USA</x:v>
      </x:c>
      <x:c r="C501" t="str">
        <x:v>Biotiq C</x:v>
      </x:c>
      <x:c r="D501" t="str">
        <x:v>Supplements</x:v>
      </x:c>
      <x:c r="E501" t="str">
        <x:v>Vitamins</x:v>
      </x:c>
      <x:c r="F501" t="str">
        <x:v>Probiotic and vitamin C capsule formula.</x:v>
      </x:c>
      <x:c r="G501" t="str">
        <x:v>36 caps</x:v>
      </x:c>
      <x:c r="H501" t="str">
        <x:v>Default</x:v>
      </x:c>
      <x:c r="I501" t="str"/>
      <x:c r="J501" t="str">
        <x:v>Unit</x:v>
      </x:c>
      <x:c r="K501" t="str">
        <x:v>In stock</x:v>
      </x:c>
      <x:c r="L501" t="str">
        <x:v>2026-09-08</x:v>
      </x:c>
      <x:c r="M501" t="str"/>
      <x:c r="N501" t="str"/>
      <x:c r="O501" t="str">
        <x:v>https://www.activesportstrade.co.uk/biotech-usa-trade</x:v>
      </x:c>
      <x:c r="P501" t="str"/>
      <x:c r="Q501" t="str"/>
      <x:c r="R501" t="str"/>
      <x:c r="S501" t="str">
        <x:v>Pending genuine supplier/brand image</x:v>
      </x:c>
      <x:c r="T501" s="54" t="n">
        <x:v>10.99</x:v>
      </x:c>
      <x:c r="U501" s="47" t="n">
        <x:v>0.2</x:v>
      </x:c>
      <x:c r="V501" s="54" t="n">
        <x:f>IF(ISNUMBER(T501),T501*(1+U501),"")</x:f>
        <x:v>13.188</x:v>
      </x:c>
      <x:c r="W501" s="47" t="n">
        <x:v>0.3</x:v>
      </x:c>
      <x:c r="X501" s="54" t="n">
        <x:f>IF(ISNUMBER(V501),V501/(1-W501),"")</x:f>
        <x:v>18.840000000000003</x:v>
      </x:c>
      <x:c r="Y501" s="55" t="n">
        <x:f>IF(ISNUMBER(X501),ROUNDUP(X501,0),"")</x:f>
        <x:v>19</x:v>
      </x:c>
      <x:c r="Z501" t="str">
        <x:v>Source match pending</x:v>
      </x:c>
      <x:c r="AA501" t="str">
        <x:v>screencapture-www-activesportstrade-co-uk-biotech-usa-trade-2026-09-10-09_04_18.pdf / page-03</x:v>
      </x:c>
      <x:c r="AB501" s="36" t="n">
        <x:f>IF(ISNUMBER(Y501),ROUND(Y501*0.9,2),"")</x:f>
        <x:v>17.1</x:v>
      </x:c>
      <x:c r="AC501" s="36" t="n">
        <x:f>IF(ISNUMBER(AB501),ROUND(AB501-(AB501*0.015+0.2)-V501,2),"")</x:f>
        <x:v>3.46</x:v>
      </x:c>
      <x:c r="AD501" s="36" t="n">
        <x:f>IF(ISNUMBER(Y501),ROUND(Y501*0.8,2),"")</x:f>
        <x:v>15.2</x:v>
      </x:c>
      <x:c r="AE501" s="36" t="n">
        <x:f>IF(ISNUMBER(AD501),ROUND(AD501*0.015+0.2,2),"")</x:f>
        <x:v>0.43</x:v>
      </x:c>
      <x:c r="AF501" s="36" t="n">
        <x:f>IF(ISNUMBER(AD501),ROUND(AD501-AE501-V501,2),"")</x:f>
        <x:v>1.58</x:v>
      </x:c>
      <x:c r="AG501" t="str">
        <x:f>IF(NOT(ISNUMBER(T501)),"PENDING",IF(AF501&gt;0,"PASS","FAIL"))</x:f>
        <x:v>PASS</x:v>
      </x:c>
      <x:c r="AH501" t="str">
        <x:f>IF(NOT(ISNUMBER(T501)),"Needs supplier cost",IF(K501&lt;&gt;"In stock","Supplier unavailable",IF(AG501&lt;&gt;"PASS","BLOCK - GT loss risk","Commercially protected")))</x:f>
        <x:v>Commercially protected</x:v>
      </x:c>
      <x:c r="AI501" t="str">
        <x:v>2026-09-10 Active Sports trade capture</x:v>
      </x:c>
      <x:c r="AJ501" t="str">
        <x:v>Management-only economics. Stripe stress test uses 1.5% + £0.20 standard UK online-card fee; pallet/mix-and-match pricing ignored.</x:v>
      </x:c>
    </x:row>
    <x:row r="502">
      <x:c r="A502" t="str">
        <x:v>Active Sports Nutrition</x:v>
      </x:c>
      <x:c r="B502" t="str">
        <x:v>Biotech USA</x:v>
      </x:c>
      <x:c r="C502" t="str">
        <x:v>Black Blood CAF+ Pre Workout</x:v>
      </x:c>
      <x:c r="D502" t="str">
        <x:v>Pre Workouts</x:v>
      </x:c>
      <x:c r="E502" t="str">
        <x:v>High Stim</x:v>
      </x:c>
      <x:c r="F502" t="str">
        <x:v>High-stimulant pre-workout.</x:v>
      </x:c>
      <x:c r="G502" t="str">
        <x:v>330g</x:v>
      </x:c>
      <x:c r="H502" t="str">
        <x:v>Blue Grape</x:v>
      </x:c>
      <x:c r="I502" t="str"/>
      <x:c r="J502" t="str">
        <x:v>Unit</x:v>
      </x:c>
      <x:c r="K502" t="str">
        <x:v>In stock</x:v>
      </x:c>
      <x:c r="L502" t="str">
        <x:v>2026-09-08</x:v>
      </x:c>
      <x:c r="M502" t="str"/>
      <x:c r="N502" t="str"/>
      <x:c r="O502" t="str">
        <x:v>https://www.activesportstrade.co.uk/biotech-usa-trade</x:v>
      </x:c>
      <x:c r="P502" t="str"/>
      <x:c r="Q502" t="str"/>
      <x:c r="R502" t="str"/>
      <x:c r="S502" t="str">
        <x:v>Pending genuine supplier/brand image</x:v>
      </x:c>
      <x:c r="T502" s="54" t="n">
        <x:v>16.2</x:v>
      </x:c>
      <x:c r="U502" s="47" t="n">
        <x:v>0.2</x:v>
      </x:c>
      <x:c r="V502" s="54" t="n">
        <x:f>IF(ISNUMBER(T502),T502*(1+U502),"")</x:f>
        <x:v>19.439999999999998</x:v>
      </x:c>
      <x:c r="W502" s="47" t="n">
        <x:v>0.3</x:v>
      </x:c>
      <x:c r="X502" s="54" t="n">
        <x:f>IF(ISNUMBER(V502),V502/(1-W502),"")</x:f>
        <x:v>27.77142857142857</x:v>
      </x:c>
      <x:c r="Y502" s="55" t="n">
        <x:f>IF(ISNUMBER(X502),ROUNDUP(X502,0),"")</x:f>
        <x:v>28</x:v>
      </x:c>
      <x:c r="Z502" t="str">
        <x:v>Source match pending</x:v>
      </x:c>
      <x:c r="AA502" t="str">
        <x:v>screencapture-www-activesportstrade-co-uk-biotech-usa-trade-2026-09-10-09_04_18.pdf / page-03</x:v>
      </x:c>
      <x:c r="AB502" s="36" t="n">
        <x:f>IF(ISNUMBER(Y502),ROUND(Y502*0.9,2),"")</x:f>
        <x:v>25.2</x:v>
      </x:c>
      <x:c r="AC502" s="36" t="n">
        <x:f>IF(ISNUMBER(AB502),ROUND(AB502-(AB502*0.015+0.2)-V502,2),"")</x:f>
        <x:v>5.18</x:v>
      </x:c>
      <x:c r="AD502" s="36" t="n">
        <x:f>IF(ISNUMBER(Y502),ROUND(Y502*0.8,2),"")</x:f>
        <x:v>22.4</x:v>
      </x:c>
      <x:c r="AE502" s="36" t="n">
        <x:f>IF(ISNUMBER(AD502),ROUND(AD502*0.015+0.2,2),"")</x:f>
        <x:v>0.54</x:v>
      </x:c>
      <x:c r="AF502" s="36" t="n">
        <x:f>IF(ISNUMBER(AD502),ROUND(AD502-AE502-V502,2),"")</x:f>
        <x:v>2.42</x:v>
      </x:c>
      <x:c r="AG502" t="str">
        <x:f>IF(NOT(ISNUMBER(T502)),"PENDING",IF(AF502&gt;0,"PASS","FAIL"))</x:f>
        <x:v>PASS</x:v>
      </x:c>
      <x:c r="AH502" t="str">
        <x:f>IF(NOT(ISNUMBER(T502)),"Needs supplier cost",IF(K502&lt;&gt;"In stock","Supplier unavailable",IF(AG502&lt;&gt;"PASS","BLOCK - GT loss risk","Commercially protected")))</x:f>
        <x:v>Commercially protected</x:v>
      </x:c>
      <x:c r="AI502" t="str">
        <x:v>2026-09-10 Active Sports trade capture</x:v>
      </x:c>
      <x:c r="AJ502" t="str">
        <x:v>Management-only economics. Stripe stress test uses 1.5% + £0.20 standard UK online-card fee; pallet/mix-and-match pricing ignored.</x:v>
      </x:c>
    </x:row>
    <x:row r="503">
      <x:c r="A503" t="str">
        <x:v>Active Sports Nutrition</x:v>
      </x:c>
      <x:c r="B503" t="str">
        <x:v>Biotech USA</x:v>
      </x:c>
      <x:c r="C503" t="str">
        <x:v>Black Blood CAF+ Pre Workout</x:v>
      </x:c>
      <x:c r="D503" t="str">
        <x:v>Pre Workouts</x:v>
      </x:c>
      <x:c r="E503" t="str">
        <x:v>High Stim</x:v>
      </x:c>
      <x:c r="F503" t="str">
        <x:v>High-stimulant pre-workout.</x:v>
      </x:c>
      <x:c r="G503" t="str">
        <x:v>330g</x:v>
      </x:c>
      <x:c r="H503" t="str">
        <x:v>Blueberry</x:v>
      </x:c>
      <x:c r="I503" t="str"/>
      <x:c r="J503" t="str">
        <x:v>Unit</x:v>
      </x:c>
      <x:c r="K503" t="str">
        <x:v>In stock</x:v>
      </x:c>
      <x:c r="L503" t="str">
        <x:v>2026-09-08</x:v>
      </x:c>
      <x:c r="M503" t="str"/>
      <x:c r="N503" t="str"/>
      <x:c r="O503" t="str">
        <x:v>https://www.activesportstrade.co.uk/biotech-usa-trade</x:v>
      </x:c>
      <x:c r="P503" t="str"/>
      <x:c r="Q503" t="str"/>
      <x:c r="R503" t="str"/>
      <x:c r="S503" t="str">
        <x:v>Pending genuine supplier/brand image</x:v>
      </x:c>
      <x:c r="T503" s="54" t="n">
        <x:v>16.2</x:v>
      </x:c>
      <x:c r="U503" s="47" t="n">
        <x:v>0.2</x:v>
      </x:c>
      <x:c r="V503" s="54" t="n">
        <x:f>IF(ISNUMBER(T503),T503*(1+U503),"")</x:f>
        <x:v>19.439999999999998</x:v>
      </x:c>
      <x:c r="W503" s="47" t="n">
        <x:v>0.3</x:v>
      </x:c>
      <x:c r="X503" s="54" t="n">
        <x:f>IF(ISNUMBER(V503),V503/(1-W503),"")</x:f>
        <x:v>27.77142857142857</x:v>
      </x:c>
      <x:c r="Y503" s="55" t="n">
        <x:f>IF(ISNUMBER(X503),ROUNDUP(X503,0),"")</x:f>
        <x:v>28</x:v>
      </x:c>
      <x:c r="Z503" t="str">
        <x:v>Source match pending</x:v>
      </x:c>
      <x:c r="AA503" t="str">
        <x:v>screencapture-www-activesportstrade-co-uk-biotech-usa-trade-2026-09-10-09_04_18.pdf / page-03</x:v>
      </x:c>
      <x:c r="AB503" s="36" t="n">
        <x:f>IF(ISNUMBER(Y503),ROUND(Y503*0.9,2),"")</x:f>
        <x:v>25.2</x:v>
      </x:c>
      <x:c r="AC503" s="36" t="n">
        <x:f>IF(ISNUMBER(AB503),ROUND(AB503-(AB503*0.015+0.2)-V503,2),"")</x:f>
        <x:v>5.18</x:v>
      </x:c>
      <x:c r="AD503" s="36" t="n">
        <x:f>IF(ISNUMBER(Y503),ROUND(Y503*0.8,2),"")</x:f>
        <x:v>22.4</x:v>
      </x:c>
      <x:c r="AE503" s="36" t="n">
        <x:f>IF(ISNUMBER(AD503),ROUND(AD503*0.015+0.2,2),"")</x:f>
        <x:v>0.54</x:v>
      </x:c>
      <x:c r="AF503" s="36" t="n">
        <x:f>IF(ISNUMBER(AD503),ROUND(AD503-AE503-V503,2),"")</x:f>
        <x:v>2.42</x:v>
      </x:c>
      <x:c r="AG503" t="str">
        <x:f>IF(NOT(ISNUMBER(T503)),"PENDING",IF(AF503&gt;0,"PASS","FAIL"))</x:f>
        <x:v>PASS</x:v>
      </x:c>
      <x:c r="AH503" t="str">
        <x:f>IF(NOT(ISNUMBER(T503)),"Needs supplier cost",IF(K503&lt;&gt;"In stock","Supplier unavailable",IF(AG503&lt;&gt;"PASS","BLOCK - GT loss risk","Commercially protected")))</x:f>
        <x:v>Commercially protected</x:v>
      </x:c>
      <x:c r="AI503" t="str">
        <x:v>2026-09-10 Active Sports trade capture</x:v>
      </x:c>
      <x:c r="AJ503" t="str">
        <x:v>Management-only economics. Stripe stress test uses 1.5% + £0.20 standard UK online-card fee; pallet/mix-and-match pricing ignored.</x:v>
      </x:c>
    </x:row>
    <x:row r="504">
      <x:c r="A504" t="str">
        <x:v>Active Sports Nutrition</x:v>
      </x:c>
      <x:c r="B504" t="str">
        <x:v>Biotech USA</x:v>
      </x:c>
      <x:c r="C504" t="str">
        <x:v>Black Blood CAF+ Pre Workout</x:v>
      </x:c>
      <x:c r="D504" t="str">
        <x:v>Pre Workouts</x:v>
      </x:c>
      <x:c r="E504" t="str">
        <x:v>High Stim</x:v>
      </x:c>
      <x:c r="F504" t="str">
        <x:v>High-stimulant pre-workout.</x:v>
      </x:c>
      <x:c r="G504" t="str">
        <x:v>330g</x:v>
      </x:c>
      <x:c r="H504" t="str">
        <x:v>Cola</x:v>
      </x:c>
      <x:c r="I504" t="str"/>
      <x:c r="J504" t="str">
        <x:v>Unit</x:v>
      </x:c>
      <x:c r="K504" t="str">
        <x:v>Out of stock</x:v>
      </x:c>
      <x:c r="L504" t="str">
        <x:v>2026-09-08</x:v>
      </x:c>
      <x:c r="M504" t="str"/>
      <x:c r="N504" t="str"/>
      <x:c r="O504" t="str">
        <x:v>https://www.activesportstrade.co.uk/biotech-usa-trade</x:v>
      </x:c>
      <x:c r="P504" t="str"/>
      <x:c r="Q504" t="str"/>
      <x:c r="R504" t="str"/>
      <x:c r="S504" t="str">
        <x:v>Pending genuine supplier/brand image</x:v>
      </x:c>
      <x:c r="T504" s="54" t="n">
        <x:v>16.2</x:v>
      </x:c>
      <x:c r="U504" s="47" t="n">
        <x:v>0.2</x:v>
      </x:c>
      <x:c r="V504" s="54" t="n">
        <x:f>IF(ISNUMBER(T504),T504*(1+U504),"")</x:f>
        <x:v>19.439999999999998</x:v>
      </x:c>
      <x:c r="W504" s="47" t="n">
        <x:v>0.3</x:v>
      </x:c>
      <x:c r="X504" s="54" t="n">
        <x:f>IF(ISNUMBER(V504),V504/(1-W504),"")</x:f>
        <x:v>27.77142857142857</x:v>
      </x:c>
      <x:c r="Y504" s="55" t="n">
        <x:f>IF(ISNUMBER(X504),ROUNDUP(X504,0),"")</x:f>
        <x:v>28</x:v>
      </x:c>
      <x:c r="Z504" t="str">
        <x:v>Source match pending</x:v>
      </x:c>
      <x:c r="AA504" t="str">
        <x:v>screencapture-www-activesportstrade-co-uk-biotech-usa-trade-2026-09-10-09_04_18.pdf / page-03</x:v>
      </x:c>
      <x:c r="AB504" s="36" t="n">
        <x:f>IF(ISNUMBER(Y504),ROUND(Y504*0.9,2),"")</x:f>
        <x:v>25.2</x:v>
      </x:c>
      <x:c r="AC504" s="36" t="n">
        <x:f>IF(ISNUMBER(AB504),ROUND(AB504-(AB504*0.015+0.2)-V504,2),"")</x:f>
        <x:v>5.18</x:v>
      </x:c>
      <x:c r="AD504" s="36" t="n">
        <x:f>IF(ISNUMBER(Y504),ROUND(Y504*0.8,2),"")</x:f>
        <x:v>22.4</x:v>
      </x:c>
      <x:c r="AE504" s="36" t="n">
        <x:f>IF(ISNUMBER(AD504),ROUND(AD504*0.015+0.2,2),"")</x:f>
        <x:v>0.54</x:v>
      </x:c>
      <x:c r="AF504" s="36" t="n">
        <x:f>IF(ISNUMBER(AD504),ROUND(AD504-AE504-V504,2),"")</x:f>
        <x:v>2.42</x:v>
      </x:c>
      <x:c r="AG504" t="str">
        <x:f>IF(NOT(ISNUMBER(T504)),"PENDING",IF(AF504&gt;0,"PASS","FAIL"))</x:f>
        <x:v>PASS</x:v>
      </x:c>
      <x:c r="AH504" t="str">
        <x:f>IF(NOT(ISNUMBER(T504)),"Needs supplier cost",IF(K504&lt;&gt;"In stock","Supplier unavailable",IF(AG504&lt;&gt;"PASS","BLOCK - GT loss risk","Commercially protected")))</x:f>
        <x:v>Supplier unavailable</x:v>
      </x:c>
      <x:c r="AI504" t="str">
        <x:v>2026-09-10 Active Sports trade capture</x:v>
      </x:c>
      <x:c r="AJ504" t="str">
        <x:v>Management-only economics. Stripe stress test uses 1.5% + £0.20 standard UK online-card fee; pallet/mix-and-match pricing ignored.</x:v>
      </x:c>
    </x:row>
    <x:row r="505">
      <x:c r="A505" t="str">
        <x:v>Active Sports Nutrition</x:v>
      </x:c>
      <x:c r="B505" t="str">
        <x:v>Biotech USA</x:v>
      </x:c>
      <x:c r="C505" t="str">
        <x:v>Black Blood Shot</x:v>
      </x:c>
      <x:c r="D505" t="str">
        <x:v>Pre Workouts</x:v>
      </x:c>
      <x:c r="E505" t="str">
        <x:v>Shots and Ready To Drink</x:v>
      </x:c>
      <x:c r="F505" t="str">
        <x:v>Pre-workout shot.</x:v>
      </x:c>
      <x:c r="G505" t="str">
        <x:v>20 x 60ml shots</x:v>
      </x:c>
      <x:c r="H505" t="str">
        <x:v>Default</x:v>
      </x:c>
      <x:c r="I505" t="str">
        <x:v>20</x:v>
      </x:c>
      <x:c r="J505" t="str">
        <x:v>Case</x:v>
      </x:c>
      <x:c r="K505" t="str">
        <x:v>Out of stock</x:v>
      </x:c>
      <x:c r="L505" t="str">
        <x:v>2026-09-08</x:v>
      </x:c>
      <x:c r="M505" t="str"/>
      <x:c r="N505" t="str"/>
      <x:c r="O505" t="str">
        <x:v>https://www.activesportstrade.co.uk/biotech-usa-trade</x:v>
      </x:c>
      <x:c r="P505" t="str">
        <x:v>PALLET PROMO wording removed; case-only member order.</x:v>
      </x:c>
      <x:c r="Q505" t="str"/>
      <x:c r="R505" t="str"/>
      <x:c r="S505" t="str">
        <x:v>Pending genuine supplier/brand image</x:v>
      </x:c>
      <x:c r="T505" s="54" t="n">
        <x:v>18.75</x:v>
      </x:c>
      <x:c r="U505" s="47" t="n">
        <x:v>0.2</x:v>
      </x:c>
      <x:c r="V505" s="54" t="n">
        <x:f>IF(ISNUMBER(T505),T505*(1+U505),"")</x:f>
        <x:v>22.5</x:v>
      </x:c>
      <x:c r="W505" s="47" t="n">
        <x:v>0.3</x:v>
      </x:c>
      <x:c r="X505" s="54" t="n">
        <x:f>IF(ISNUMBER(V505),V505/(1-W505),"")</x:f>
        <x:v>32.142857142857146</x:v>
      </x:c>
      <x:c r="Y505" s="55" t="n">
        <x:f>IF(ISNUMBER(X505),ROUNDUP(X505,0),"")</x:f>
        <x:v>33</x:v>
      </x:c>
      <x:c r="Z505" t="str">
        <x:v>Source match pending</x:v>
      </x:c>
      <x:c r="AA505" t="str">
        <x:v>screencapture-www-activesportstrade-co-uk-biotech-usa-trade-2026-09-10-09_04_18.pdf / page-03</x:v>
      </x:c>
      <x:c r="AB505" s="36" t="n">
        <x:f>IF(ISNUMBER(Y505),ROUND(Y505*0.9,2),"")</x:f>
        <x:v>29.7</x:v>
      </x:c>
      <x:c r="AC505" s="36" t="n">
        <x:f>IF(ISNUMBER(AB505),ROUND(AB505-(AB505*0.015+0.2)-V505,2),"")</x:f>
        <x:v>6.55</x:v>
      </x:c>
      <x:c r="AD505" s="36" t="n">
        <x:f>IF(ISNUMBER(Y505),ROUND(Y505*0.8,2),"")</x:f>
        <x:v>26.4</x:v>
      </x:c>
      <x:c r="AE505" s="36" t="n">
        <x:f>IF(ISNUMBER(AD505),ROUND(AD505*0.015+0.2,2),"")</x:f>
        <x:v>0.6</x:v>
      </x:c>
      <x:c r="AF505" s="36" t="n">
        <x:f>IF(ISNUMBER(AD505),ROUND(AD505-AE505-V505,2),"")</x:f>
        <x:v>3.3</x:v>
      </x:c>
      <x:c r="AG505" t="str">
        <x:f>IF(NOT(ISNUMBER(T505)),"PENDING",IF(AF505&gt;0,"PASS","FAIL"))</x:f>
        <x:v>PASS</x:v>
      </x:c>
      <x:c r="AH505" t="str">
        <x:f>IF(NOT(ISNUMBER(T505)),"Needs supplier cost",IF(K505&lt;&gt;"In stock","Supplier unavailable",IF(AG505&lt;&gt;"PASS","BLOCK - GT loss risk","Commercially protected")))</x:f>
        <x:v>Supplier unavailable</x:v>
      </x:c>
      <x:c r="AI505" t="str">
        <x:v>2026-09-10 Active Sports trade capture</x:v>
      </x:c>
      <x:c r="AJ505" t="str">
        <x:v>Management-only economics. Stripe stress test uses 1.5% + £0.20 standard UK online-card fee; pallet/mix-and-match pricing ignored.</x:v>
      </x:c>
    </x:row>
    <x:row r="506">
      <x:c r="A506" t="str">
        <x:v>Active Sports Nutrition</x:v>
      </x:c>
      <x:c r="B506" t="str">
        <x:v>Biotech USA</x:v>
      </x:c>
      <x:c r="C506" t="str">
        <x:v>Black Burn Powder</x:v>
      </x:c>
      <x:c r="D506" t="str">
        <x:v>Supplements</x:v>
      </x:c>
      <x:c r="E506" t="str">
        <x:v>Fat Burners</x:v>
      </x:c>
      <x:c r="F506" t="str">
        <x:v>Thermogenic powder.</x:v>
      </x:c>
      <x:c r="G506" t="str">
        <x:v>210g</x:v>
      </x:c>
      <x:c r="H506" t="str">
        <x:v>Passionfruit</x:v>
      </x:c>
      <x:c r="I506" t="str"/>
      <x:c r="J506" t="str">
        <x:v>Unit</x:v>
      </x:c>
      <x:c r="K506" t="str">
        <x:v>In stock</x:v>
      </x:c>
      <x:c r="L506" t="str">
        <x:v>2026-09-08</x:v>
      </x:c>
      <x:c r="M506" t="str"/>
      <x:c r="N506" t="str"/>
      <x:c r="O506" t="str">
        <x:v>https://www.activesportstrade.co.uk/biotech-usa-trade</x:v>
      </x:c>
      <x:c r="P506" t="str"/>
      <x:c r="Q506" t="str"/>
      <x:c r="R506" t="str"/>
      <x:c r="S506" t="str">
        <x:v>Pending genuine supplier/brand image</x:v>
      </x:c>
      <x:c r="T506" s="54"/>
      <x:c r="U506" s="47" t="n">
        <x:v>0.2</x:v>
      </x:c>
      <x:c r="V506" s="54" t="str">
        <x:f>IF(ISNUMBER(T506),T506*(1+U506),"")</x:f>
      </x:c>
      <x:c r="W506" s="47" t="n">
        <x:v>0.3</x:v>
      </x:c>
      <x:c r="X506" s="54" t="str">
        <x:f>IF(ISNUMBER(V506),V506/(1-W506),"")</x:f>
      </x:c>
      <x:c r="Y506" s="55" t="str">
        <x:f>IF(ISNUMBER(X506),ROUNDUP(X506,0),"")</x:f>
      </x:c>
      <x:c r="Z506" t="str">
        <x:f>IF(ISNUMBER(T506),"Cost captured","Awaiting trade cost")</x:f>
        <x:v>Awaiting trade cost</x:v>
      </x:c>
      <x:c r="AB506" s="36" t="str">
        <x:f>IF(ISNUMBER(Y506),ROUND(Y506*0.9,2),"")</x:f>
      </x:c>
      <x:c r="AC506" s="36" t="str">
        <x:f>IF(ISNUMBER(AB506),ROUND(AB506-(AB506*0.015+0.2)-V506,2),"")</x:f>
      </x:c>
      <x:c r="AD506" s="36" t="str">
        <x:f>IF(ISNUMBER(Y506),ROUND(Y506*0.8,2),"")</x:f>
      </x:c>
      <x:c r="AE506" s="36" t="str">
        <x:f>IF(ISNUMBER(AD506),ROUND(AD506*0.015+0.2,2),"")</x:f>
      </x:c>
      <x:c r="AF506" s="36" t="str">
        <x:f>IF(ISNUMBER(AD506),ROUND(AD506-AE506-V506,2),"")</x:f>
      </x:c>
      <x:c r="AG506" t="str">
        <x:f>IF(NOT(ISNUMBER(T506)),"PENDING",IF(AF506&gt;0,"PASS","FAIL"))</x:f>
        <x:v>PENDING</x:v>
      </x:c>
      <x:c r="AH506" t="str">
        <x:f>IF(NOT(ISNUMBER(T506)),"Needs supplier cost",IF(K506&lt;&gt;"In stock","Supplier unavailable",IF(AG506&lt;&gt;"PASS","BLOCK - GT loss risk","Commercially protected")))</x:f>
        <x:v>Needs supplier cost</x:v>
      </x:c>
      <x:c r="AI506" t="str">
        <x:v>2026-09-10 Active Sports trade capture</x:v>
      </x:c>
      <x:c r="AJ506" t="str">
        <x:v>Management-only economics. Stripe stress test uses 1.5% + £0.20 standard UK online-card fee; pallet/mix-and-match pricing ignored.</x:v>
      </x:c>
    </x:row>
    <x:row r="507">
      <x:c r="A507" t="str">
        <x:v>Active Sports Nutrition</x:v>
      </x:c>
      <x:c r="B507" t="str">
        <x:v>Biotech USA</x:v>
      </x:c>
      <x:c r="C507" t="str">
        <x:v>Black Burn Powder</x:v>
      </x:c>
      <x:c r="D507" t="str">
        <x:v>Supplements</x:v>
      </x:c>
      <x:c r="E507" t="str">
        <x:v>Fat Burners</x:v>
      </x:c>
      <x:c r="F507" t="str">
        <x:v>Thermogenic powder.</x:v>
      </x:c>
      <x:c r="G507" t="str">
        <x:v>210g</x:v>
      </x:c>
      <x:c r="H507" t="str">
        <x:v>Watermelon</x:v>
      </x:c>
      <x:c r="I507" t="str"/>
      <x:c r="J507" t="str">
        <x:v>Unit</x:v>
      </x:c>
      <x:c r="K507" t="str">
        <x:v>In stock</x:v>
      </x:c>
      <x:c r="L507" t="str">
        <x:v>2026-09-08</x:v>
      </x:c>
      <x:c r="M507" t="str"/>
      <x:c r="N507" t="str"/>
      <x:c r="O507" t="str">
        <x:v>https://www.activesportstrade.co.uk/biotech-usa-trade</x:v>
      </x:c>
      <x:c r="P507" t="str"/>
      <x:c r="Q507" t="str"/>
      <x:c r="R507" t="str"/>
      <x:c r="S507" t="str">
        <x:v>Pending genuine supplier/brand image</x:v>
      </x:c>
      <x:c r="T507" s="54"/>
      <x:c r="U507" s="47" t="n">
        <x:v>0.2</x:v>
      </x:c>
      <x:c r="V507" s="54" t="str">
        <x:f>IF(ISNUMBER(T507),T507*(1+U507),"")</x:f>
      </x:c>
      <x:c r="W507" s="47" t="n">
        <x:v>0.3</x:v>
      </x:c>
      <x:c r="X507" s="54" t="str">
        <x:f>IF(ISNUMBER(V507),V507/(1-W507),"")</x:f>
      </x:c>
      <x:c r="Y507" s="55" t="str">
        <x:f>IF(ISNUMBER(X507),ROUNDUP(X507,0),"")</x:f>
      </x:c>
      <x:c r="Z507" t="str">
        <x:f>IF(ISNUMBER(T507),"Cost captured","Awaiting trade cost")</x:f>
        <x:v>Awaiting trade cost</x:v>
      </x:c>
      <x:c r="AB507" s="36" t="str">
        <x:f>IF(ISNUMBER(Y507),ROUND(Y507*0.9,2),"")</x:f>
      </x:c>
      <x:c r="AC507" s="36" t="str">
        <x:f>IF(ISNUMBER(AB507),ROUND(AB507-(AB507*0.015+0.2)-V507,2),"")</x:f>
      </x:c>
      <x:c r="AD507" s="36" t="str">
        <x:f>IF(ISNUMBER(Y507),ROUND(Y507*0.8,2),"")</x:f>
      </x:c>
      <x:c r="AE507" s="36" t="str">
        <x:f>IF(ISNUMBER(AD507),ROUND(AD507*0.015+0.2,2),"")</x:f>
      </x:c>
      <x:c r="AF507" s="36" t="str">
        <x:f>IF(ISNUMBER(AD507),ROUND(AD507-AE507-V507,2),"")</x:f>
      </x:c>
      <x:c r="AG507" t="str">
        <x:f>IF(NOT(ISNUMBER(T507)),"PENDING",IF(AF507&gt;0,"PASS","FAIL"))</x:f>
        <x:v>PENDING</x:v>
      </x:c>
      <x:c r="AH507" t="str">
        <x:f>IF(NOT(ISNUMBER(T507)),"Needs supplier cost",IF(K507&lt;&gt;"In stock","Supplier unavailable",IF(AG507&lt;&gt;"PASS","BLOCK - GT loss risk","Commercially protected")))</x:f>
        <x:v>Needs supplier cost</x:v>
      </x:c>
      <x:c r="AI507" t="str">
        <x:v>2026-09-10 Active Sports trade capture</x:v>
      </x:c>
      <x:c r="AJ507" t="str">
        <x:v>Management-only economics. Stripe stress test uses 1.5% + £0.20 standard UK online-card fee; pallet/mix-and-match pricing ignored.</x:v>
      </x:c>
    </x:row>
    <x:row r="508">
      <x:c r="A508" t="str">
        <x:v>Active Sports Nutrition</x:v>
      </x:c>
      <x:c r="B508" t="str">
        <x:v>Biotech USA</x:v>
      </x:c>
      <x:c r="C508" t="str">
        <x:v>Black Test</x:v>
      </x:c>
      <x:c r="D508" t="str">
        <x:v>Supplements</x:v>
      </x:c>
      <x:c r="E508" t="str">
        <x:v>Testosterone Boosters</x:v>
      </x:c>
      <x:c r="F508" t="str">
        <x:v>Testosterone-support formula.</x:v>
      </x:c>
      <x:c r="G508" t="str">
        <x:v>90 caps</x:v>
      </x:c>
      <x:c r="H508" t="str">
        <x:v>Default</x:v>
      </x:c>
      <x:c r="I508" t="str"/>
      <x:c r="J508" t="str">
        <x:v>Unit</x:v>
      </x:c>
      <x:c r="K508" t="str">
        <x:v>Out of stock</x:v>
      </x:c>
      <x:c r="L508" t="str">
        <x:v>2026-09-08</x:v>
      </x:c>
      <x:c r="M508" t="str"/>
      <x:c r="N508" t="str"/>
      <x:c r="O508" t="str">
        <x:v>https://www.activesportstrade.co.uk/biotech-usa-trade</x:v>
      </x:c>
      <x:c r="P508" t="str"/>
      <x:c r="Q508" t="str"/>
      <x:c r="R508" t="str"/>
      <x:c r="S508" t="str">
        <x:v>Pending genuine supplier/brand image</x:v>
      </x:c>
      <x:c r="T508" s="54" t="n">
        <x:v>14.3</x:v>
      </x:c>
      <x:c r="U508" s="47" t="n">
        <x:v>0.2</x:v>
      </x:c>
      <x:c r="V508" s="54" t="n">
        <x:f>IF(ISNUMBER(T508),T508*(1+U508),"")</x:f>
        <x:v>17.16</x:v>
      </x:c>
      <x:c r="W508" s="47" t="n">
        <x:v>0.3</x:v>
      </x:c>
      <x:c r="X508" s="54" t="n">
        <x:f>IF(ISNUMBER(V508),V508/(1-W508),"")</x:f>
        <x:v>24.514285714285716</x:v>
      </x:c>
      <x:c r="Y508" s="55" t="n">
        <x:f>IF(ISNUMBER(X508),ROUNDUP(X508,0),"")</x:f>
        <x:v>25</x:v>
      </x:c>
      <x:c r="Z508" t="str">
        <x:v>Source match pending</x:v>
      </x:c>
      <x:c r="AA508" t="str">
        <x:v>screencapture-www-activesportstrade-co-uk-biotech-usa-trade-2026-09-10-09_04_18.pdf / page-04</x:v>
      </x:c>
      <x:c r="AB508" s="36" t="n">
        <x:f>IF(ISNUMBER(Y508),ROUND(Y508*0.9,2),"")</x:f>
        <x:v>22.5</x:v>
      </x:c>
      <x:c r="AC508" s="36" t="n">
        <x:f>IF(ISNUMBER(AB508),ROUND(AB508-(AB508*0.015+0.2)-V508,2),"")</x:f>
        <x:v>4.8</x:v>
      </x:c>
      <x:c r="AD508" s="36" t="n">
        <x:f>IF(ISNUMBER(Y508),ROUND(Y508*0.8,2),"")</x:f>
        <x:v>20</x:v>
      </x:c>
      <x:c r="AE508" s="36" t="n">
        <x:f>IF(ISNUMBER(AD508),ROUND(AD508*0.015+0.2,2),"")</x:f>
        <x:v>0.5</x:v>
      </x:c>
      <x:c r="AF508" s="36" t="n">
        <x:f>IF(ISNUMBER(AD508),ROUND(AD508-AE508-V508,2),"")</x:f>
        <x:v>2.34</x:v>
      </x:c>
      <x:c r="AG508" t="str">
        <x:f>IF(NOT(ISNUMBER(T508)),"PENDING",IF(AF508&gt;0,"PASS","FAIL"))</x:f>
        <x:v>PASS</x:v>
      </x:c>
      <x:c r="AH508" t="str">
        <x:f>IF(NOT(ISNUMBER(T508)),"Needs supplier cost",IF(K508&lt;&gt;"In stock","Supplier unavailable",IF(AG508&lt;&gt;"PASS","BLOCK - GT loss risk","Commercially protected")))</x:f>
        <x:v>Supplier unavailable</x:v>
      </x:c>
      <x:c r="AI508" t="str">
        <x:v>2026-09-10 Active Sports trade capture</x:v>
      </x:c>
      <x:c r="AJ508" t="str">
        <x:v>Management-only economics. Stripe stress test uses 1.5% + £0.20 standard UK online-card fee; pallet/mix-and-match pricing ignored.</x:v>
      </x:c>
    </x:row>
    <x:row r="509">
      <x:c r="A509" t="str">
        <x:v>Active Sports Nutrition</x:v>
      </x:c>
      <x:c r="B509" t="str">
        <x:v>Biotech USA</x:v>
      </x:c>
      <x:c r="C509" t="str">
        <x:v>Brutal Anadrol</x:v>
      </x:c>
      <x:c r="D509" t="str">
        <x:v>Supplements</x:v>
      </x:c>
      <x:c r="E509" t="str">
        <x:v>All In Ones</x:v>
      </x:c>
      <x:c r="F509" t="str">
        <x:v>Performance-support capsule formula.</x:v>
      </x:c>
      <x:c r="G509" t="str">
        <x:v>90 caps</x:v>
      </x:c>
      <x:c r="H509" t="str">
        <x:v>Default</x:v>
      </x:c>
      <x:c r="I509" t="str"/>
      <x:c r="J509" t="str">
        <x:v>Unit</x:v>
      </x:c>
      <x:c r="K509" t="str">
        <x:v>In stock</x:v>
      </x:c>
      <x:c r="L509" t="str">
        <x:v>2026-09-08</x:v>
      </x:c>
      <x:c r="M509" t="str"/>
      <x:c r="N509" t="str"/>
      <x:c r="O509" t="str">
        <x:v>https://www.activesportstrade.co.uk/biotech-usa-trade</x:v>
      </x:c>
      <x:c r="P509" t="str"/>
      <x:c r="Q509" t="str"/>
      <x:c r="R509" t="str"/>
      <x:c r="S509" t="str">
        <x:v>Pending genuine supplier/brand image</x:v>
      </x:c>
      <x:c r="T509" s="54" t="n">
        <x:v>11.47</x:v>
      </x:c>
      <x:c r="U509" s="47" t="n">
        <x:v>0.2</x:v>
      </x:c>
      <x:c r="V509" s="54" t="n">
        <x:f>IF(ISNUMBER(T509),T509*(1+U509),"")</x:f>
        <x:v>13.764000000000001</x:v>
      </x:c>
      <x:c r="W509" s="47" t="n">
        <x:v>0.3</x:v>
      </x:c>
      <x:c r="X509" s="54" t="n">
        <x:f>IF(ISNUMBER(V509),V509/(1-W509),"")</x:f>
        <x:v>19.662857142857145</x:v>
      </x:c>
      <x:c r="Y509" s="55" t="n">
        <x:f>IF(ISNUMBER(X509),ROUNDUP(X509,0),"")</x:f>
        <x:v>20</x:v>
      </x:c>
      <x:c r="Z509" t="str">
        <x:v>Source match pending</x:v>
      </x:c>
      <x:c r="AA509" t="str">
        <x:v>screencapture-www-activesportstrade-co-uk-biotech-usa-trade-2026-09-10-09_04_18.pdf / page-04</x:v>
      </x:c>
      <x:c r="AB509" s="36" t="n">
        <x:f>IF(ISNUMBER(Y509),ROUND(Y509*0.9,2),"")</x:f>
        <x:v>18</x:v>
      </x:c>
      <x:c r="AC509" s="36" t="n">
        <x:f>IF(ISNUMBER(AB509),ROUND(AB509-(AB509*0.015+0.2)-V509,2),"")</x:f>
        <x:v>3.77</x:v>
      </x:c>
      <x:c r="AD509" s="36" t="n">
        <x:f>IF(ISNUMBER(Y509),ROUND(Y509*0.8,2),"")</x:f>
        <x:v>16</x:v>
      </x:c>
      <x:c r="AE509" s="36" t="n">
        <x:f>IF(ISNUMBER(AD509),ROUND(AD509*0.015+0.2,2),"")</x:f>
        <x:v>0.44</x:v>
      </x:c>
      <x:c r="AF509" s="36" t="n">
        <x:f>IF(ISNUMBER(AD509),ROUND(AD509-AE509-V509,2),"")</x:f>
        <x:v>1.8</x:v>
      </x:c>
      <x:c r="AG509" t="str">
        <x:f>IF(NOT(ISNUMBER(T509)),"PENDING",IF(AF509&gt;0,"PASS","FAIL"))</x:f>
        <x:v>PASS</x:v>
      </x:c>
      <x:c r="AH509" t="str">
        <x:f>IF(NOT(ISNUMBER(T509)),"Needs supplier cost",IF(K509&lt;&gt;"In stock","Supplier unavailable",IF(AG509&lt;&gt;"PASS","BLOCK - GT loss risk","Commercially protected")))</x:f>
        <x:v>Commercially protected</x:v>
      </x:c>
      <x:c r="AI509" t="str">
        <x:v>2026-09-10 Active Sports trade capture</x:v>
      </x:c>
      <x:c r="AJ509" t="str">
        <x:v>Management-only economics. Stripe stress test uses 1.5% + £0.20 standard UK online-card fee; pallet/mix-and-match pricing ignored.</x:v>
      </x:c>
    </x:row>
    <x:row r="510">
      <x:c r="A510" t="str">
        <x:v>Active Sports Nutrition</x:v>
      </x:c>
      <x:c r="B510" t="str">
        <x:v>Biotech USA</x:v>
      </x:c>
      <x:c r="C510" t="str">
        <x:v>Caffeine + Taurine</x:v>
      </x:c>
      <x:c r="D510" t="str">
        <x:v>Pre Workouts</x:v>
      </x:c>
      <x:c r="E510" t="str">
        <x:v>Pre Workout Pills</x:v>
      </x:c>
      <x:c r="F510" t="str">
        <x:v>Caffeine and taurine capsules.</x:v>
      </x:c>
      <x:c r="G510" t="str">
        <x:v>60 caps</x:v>
      </x:c>
      <x:c r="H510" t="str">
        <x:v>Default</x:v>
      </x:c>
      <x:c r="I510" t="str"/>
      <x:c r="J510" t="str">
        <x:v>Unit</x:v>
      </x:c>
      <x:c r="K510" t="str">
        <x:v>Out of stock</x:v>
      </x:c>
      <x:c r="L510" t="str">
        <x:v>2026-09-08</x:v>
      </x:c>
      <x:c r="M510" t="str"/>
      <x:c r="N510" t="str"/>
      <x:c r="O510" t="str">
        <x:v>https://www.activesportstrade.co.uk/biotech-usa-trade</x:v>
      </x:c>
      <x:c r="P510" t="str"/>
      <x:c r="Q510" t="str"/>
      <x:c r="R510" t="str"/>
      <x:c r="S510" t="str">
        <x:v>Pending genuine supplier/brand image</x:v>
      </x:c>
      <x:c r="T510" s="54" t="n">
        <x:v>4.56</x:v>
      </x:c>
      <x:c r="U510" s="47" t="n">
        <x:v>0.2</x:v>
      </x:c>
      <x:c r="V510" s="54" t="n">
        <x:f>IF(ISNUMBER(T510),T510*(1+U510),"")</x:f>
        <x:v>5.4719999999999995</x:v>
      </x:c>
      <x:c r="W510" s="47" t="n">
        <x:v>0.3</x:v>
      </x:c>
      <x:c r="X510" s="54" t="n">
        <x:f>IF(ISNUMBER(V510),V510/(1-W510),"")</x:f>
        <x:v>7.817142857142857</x:v>
      </x:c>
      <x:c r="Y510" s="55" t="n">
        <x:f>IF(ISNUMBER(X510),ROUNDUP(X510,0),"")</x:f>
        <x:v>8</x:v>
      </x:c>
      <x:c r="Z510" t="str">
        <x:v>Source match pending</x:v>
      </x:c>
      <x:c r="AA510" t="str">
        <x:v>screencapture-www-activesportstrade-co-uk-biotech-usa-trade-2026-09-10-09_04_18.pdf / page-04</x:v>
      </x:c>
      <x:c r="AB510" s="36" t="n">
        <x:f>IF(ISNUMBER(Y510),ROUND(Y510*0.9,2),"")</x:f>
        <x:v>7.2</x:v>
      </x:c>
      <x:c r="AC510" s="36" t="n">
        <x:f>IF(ISNUMBER(AB510),ROUND(AB510-(AB510*0.015+0.2)-V510,2),"")</x:f>
        <x:v>1.42</x:v>
      </x:c>
      <x:c r="AD510" s="36" t="n">
        <x:f>IF(ISNUMBER(Y510),ROUND(Y510*0.8,2),"")</x:f>
        <x:v>6.4</x:v>
      </x:c>
      <x:c r="AE510" s="36" t="n">
        <x:f>IF(ISNUMBER(AD510),ROUND(AD510*0.015+0.2,2),"")</x:f>
        <x:v>0.3</x:v>
      </x:c>
      <x:c r="AF510" s="36" t="n">
        <x:f>IF(ISNUMBER(AD510),ROUND(AD510-AE510-V510,2),"")</x:f>
        <x:v>0.63</x:v>
      </x:c>
      <x:c r="AG510" t="str">
        <x:f>IF(NOT(ISNUMBER(T510)),"PENDING",IF(AF510&gt;0,"PASS","FAIL"))</x:f>
        <x:v>PASS</x:v>
      </x:c>
      <x:c r="AH510" t="str">
        <x:f>IF(NOT(ISNUMBER(T510)),"Needs supplier cost",IF(K510&lt;&gt;"In stock","Supplier unavailable",IF(AG510&lt;&gt;"PASS","BLOCK - GT loss risk","Commercially protected")))</x:f>
        <x:v>Supplier unavailable</x:v>
      </x:c>
      <x:c r="AI510" t="str">
        <x:v>2026-09-10 Active Sports trade capture</x:v>
      </x:c>
      <x:c r="AJ510" t="str">
        <x:v>Management-only economics. Stripe stress test uses 1.5% + £0.20 standard UK online-card fee; pallet/mix-and-match pricing ignored.</x:v>
      </x:c>
    </x:row>
    <x:row r="511">
      <x:c r="A511" t="str">
        <x:v>Active Sports Nutrition</x:v>
      </x:c>
      <x:c r="B511" t="str">
        <x:v>Biotech USA</x:v>
      </x:c>
      <x:c r="C511" t="str">
        <x:v>Calcium Zinc Magnesium</x:v>
      </x:c>
      <x:c r="D511" t="str">
        <x:v>Supplements</x:v>
      </x:c>
      <x:c r="E511" t="str">
        <x:v>Vitamins</x:v>
      </x:c>
      <x:c r="F511" t="str">
        <x:v>Mineral tablet formula.</x:v>
      </x:c>
      <x:c r="G511" t="str">
        <x:v>100 tabs</x:v>
      </x:c>
      <x:c r="H511" t="str">
        <x:v>Default</x:v>
      </x:c>
      <x:c r="I511" t="str"/>
      <x:c r="J511" t="str">
        <x:v>Unit</x:v>
      </x:c>
      <x:c r="K511" t="str">
        <x:v>In stock</x:v>
      </x:c>
      <x:c r="L511" t="str">
        <x:v>2026-09-08</x:v>
      </x:c>
      <x:c r="M511" t="str"/>
      <x:c r="N511" t="str"/>
      <x:c r="O511" t="str">
        <x:v>https://www.activesportstrade.co.uk/biotech-usa-trade</x:v>
      </x:c>
      <x:c r="P511" t="str"/>
      <x:c r="Q511" t="str"/>
      <x:c r="R511" t="str"/>
      <x:c r="S511" t="str">
        <x:v>Pending genuine supplier/brand image</x:v>
      </x:c>
      <x:c r="T511" s="54" t="n">
        <x:v>5.33</x:v>
      </x:c>
      <x:c r="U511" s="47" t="n">
        <x:v>0.2</x:v>
      </x:c>
      <x:c r="V511" s="54" t="n">
        <x:f>IF(ISNUMBER(T511),T511*(1+U511),"")</x:f>
        <x:v>6.396</x:v>
      </x:c>
      <x:c r="W511" s="47" t="n">
        <x:v>0.3</x:v>
      </x:c>
      <x:c r="X511" s="54" t="n">
        <x:f>IF(ISNUMBER(V511),V511/(1-W511),"")</x:f>
        <x:v>9.137142857142857</x:v>
      </x:c>
      <x:c r="Y511" s="55" t="n">
        <x:f>IF(ISNUMBER(X511),ROUNDUP(X511,0),"")</x:f>
        <x:v>10</x:v>
      </x:c>
      <x:c r="Z511" t="str">
        <x:v>Source match pending</x:v>
      </x:c>
      <x:c r="AA511" t="str">
        <x:v>screencapture-www-activesportstrade-co-uk-biotech-usa-trade-2026-09-10-09_04_18.pdf / page-04</x:v>
      </x:c>
      <x:c r="AB511" s="36" t="n">
        <x:f>IF(ISNUMBER(Y511),ROUND(Y511*0.9,2),"")</x:f>
        <x:v>9</x:v>
      </x:c>
      <x:c r="AC511" s="36" t="n">
        <x:f>IF(ISNUMBER(AB511),ROUND(AB511-(AB511*0.015+0.2)-V511,2),"")</x:f>
        <x:v>2.27</x:v>
      </x:c>
      <x:c r="AD511" s="36" t="n">
        <x:f>IF(ISNUMBER(Y511),ROUND(Y511*0.8,2),"")</x:f>
        <x:v>8</x:v>
      </x:c>
      <x:c r="AE511" s="36" t="n">
        <x:f>IF(ISNUMBER(AD511),ROUND(AD511*0.015+0.2,2),"")</x:f>
        <x:v>0.32</x:v>
      </x:c>
      <x:c r="AF511" s="36" t="n">
        <x:f>IF(ISNUMBER(AD511),ROUND(AD511-AE511-V511,2),"")</x:f>
        <x:v>1.28</x:v>
      </x:c>
      <x:c r="AG511" t="str">
        <x:f>IF(NOT(ISNUMBER(T511)),"PENDING",IF(AF511&gt;0,"PASS","FAIL"))</x:f>
        <x:v>PASS</x:v>
      </x:c>
      <x:c r="AH511" t="str">
        <x:f>IF(NOT(ISNUMBER(T511)),"Needs supplier cost",IF(K511&lt;&gt;"In stock","Supplier unavailable",IF(AG511&lt;&gt;"PASS","BLOCK - GT loss risk","Commercially protected")))</x:f>
        <x:v>Commercially protected</x:v>
      </x:c>
      <x:c r="AI511" t="str">
        <x:v>2026-09-10 Active Sports trade capture</x:v>
      </x:c>
      <x:c r="AJ511" t="str">
        <x:v>Management-only economics. Stripe stress test uses 1.5% + £0.20 standard UK online-card fee; pallet/mix-and-match pricing ignored.</x:v>
      </x:c>
    </x:row>
    <x:row r="512">
      <x:c r="A512" t="str">
        <x:v>Active Sports Nutrition</x:v>
      </x:c>
      <x:c r="B512" t="str">
        <x:v>Biotech USA</x:v>
      </x:c>
      <x:c r="C512" t="str">
        <x:v>Carbox</x:v>
      </x:c>
      <x:c r="D512" t="str">
        <x:v>Supplements</x:v>
      </x:c>
      <x:c r="E512" t="str">
        <x:v>Carbohydrates</x:v>
      </x:c>
      <x:c r="F512" t="str">
        <x:v>Carbohydrate powder.</x:v>
      </x:c>
      <x:c r="G512" t="str">
        <x:v>1kg</x:v>
      </x:c>
      <x:c r="H512" t="str">
        <x:v>Lemon</x:v>
      </x:c>
      <x:c r="I512" t="str"/>
      <x:c r="J512" t="str">
        <x:v>Unit</x:v>
      </x:c>
      <x:c r="K512" t="str">
        <x:v>Out of stock</x:v>
      </x:c>
      <x:c r="L512" t="str">
        <x:v>2026-09-08</x:v>
      </x:c>
      <x:c r="M512" t="str"/>
      <x:c r="N512" t="str"/>
      <x:c r="O512" t="str">
        <x:v>https://www.activesportstrade.co.uk/biotech-usa-trade</x:v>
      </x:c>
      <x:c r="P512" t="str"/>
      <x:c r="Q512" t="str"/>
      <x:c r="R512" t="str"/>
      <x:c r="S512" t="str">
        <x:v>Pending genuine supplier/brand image</x:v>
      </x:c>
      <x:c r="T512" s="54" t="n">
        <x:v>6.04</x:v>
      </x:c>
      <x:c r="U512" s="47" t="n">
        <x:v>0.2</x:v>
      </x:c>
      <x:c r="V512" s="54" t="n">
        <x:f>IF(ISNUMBER(T512),T512*(1+U512),"")</x:f>
        <x:v>7.247999999999999</x:v>
      </x:c>
      <x:c r="W512" s="47" t="n">
        <x:v>0.3</x:v>
      </x:c>
      <x:c r="X512" s="54" t="n">
        <x:f>IF(ISNUMBER(V512),V512/(1-W512),"")</x:f>
        <x:v>10.354285714285714</x:v>
      </x:c>
      <x:c r="Y512" s="55" t="n">
        <x:f>IF(ISNUMBER(X512),ROUNDUP(X512,0),"")</x:f>
        <x:v>11</x:v>
      </x:c>
      <x:c r="Z512" t="str">
        <x:v>Source match pending</x:v>
      </x:c>
      <x:c r="AA512" t="str">
        <x:v>screencapture-www-activesportstrade-co-uk-biotech-usa-trade-2026-09-10-09_04_18.pdf / page-04</x:v>
      </x:c>
      <x:c r="AB512" s="36" t="n">
        <x:f>IF(ISNUMBER(Y512),ROUND(Y512*0.9,2),"")</x:f>
        <x:v>9.9</x:v>
      </x:c>
      <x:c r="AC512" s="36" t="n">
        <x:f>IF(ISNUMBER(AB512),ROUND(AB512-(AB512*0.015+0.2)-V512,2),"")</x:f>
        <x:v>2.3</x:v>
      </x:c>
      <x:c r="AD512" s="36" t="n">
        <x:f>IF(ISNUMBER(Y512),ROUND(Y512*0.8,2),"")</x:f>
        <x:v>8.8</x:v>
      </x:c>
      <x:c r="AE512" s="36" t="n">
        <x:f>IF(ISNUMBER(AD512),ROUND(AD512*0.015+0.2,2),"")</x:f>
        <x:v>0.33</x:v>
      </x:c>
      <x:c r="AF512" s="36" t="n">
        <x:f>IF(ISNUMBER(AD512),ROUND(AD512-AE512-V512,2),"")</x:f>
        <x:v>1.22</x:v>
      </x:c>
      <x:c r="AG512" t="str">
        <x:f>IF(NOT(ISNUMBER(T512)),"PENDING",IF(AF512&gt;0,"PASS","FAIL"))</x:f>
        <x:v>PASS</x:v>
      </x:c>
      <x:c r="AH512" t="str">
        <x:f>IF(NOT(ISNUMBER(T512)),"Needs supplier cost",IF(K512&lt;&gt;"In stock","Supplier unavailable",IF(AG512&lt;&gt;"PASS","BLOCK - GT loss risk","Commercially protected")))</x:f>
        <x:v>Supplier unavailable</x:v>
      </x:c>
      <x:c r="AI512" t="str">
        <x:v>2026-09-10 Active Sports trade capture</x:v>
      </x:c>
      <x:c r="AJ512" t="str">
        <x:v>Management-only economics. Stripe stress test uses 1.5% + £0.20 standard UK online-card fee; pallet/mix-and-match pricing ignored.</x:v>
      </x:c>
    </x:row>
    <x:row r="513">
      <x:c r="A513" t="str">
        <x:v>Active Sports Nutrition</x:v>
      </x:c>
      <x:c r="B513" t="str">
        <x:v>Biotech USA</x:v>
      </x:c>
      <x:c r="C513" t="str">
        <x:v>Carbox</x:v>
      </x:c>
      <x:c r="D513" t="str">
        <x:v>Supplements</x:v>
      </x:c>
      <x:c r="E513" t="str">
        <x:v>Carbohydrates</x:v>
      </x:c>
      <x:c r="F513" t="str">
        <x:v>Carbohydrate powder.</x:v>
      </x:c>
      <x:c r="G513" t="str">
        <x:v>1kg</x:v>
      </x:c>
      <x:c r="H513" t="str">
        <x:v>Orange</x:v>
      </x:c>
      <x:c r="I513" t="str"/>
      <x:c r="J513" t="str">
        <x:v>Unit</x:v>
      </x:c>
      <x:c r="K513" t="str">
        <x:v>Out of stock</x:v>
      </x:c>
      <x:c r="L513" t="str">
        <x:v>2026-09-08</x:v>
      </x:c>
      <x:c r="M513" t="str"/>
      <x:c r="N513" t="str"/>
      <x:c r="O513" t="str">
        <x:v>https://www.activesportstrade.co.uk/biotech-usa-trade</x:v>
      </x:c>
      <x:c r="P513" t="str"/>
      <x:c r="Q513" t="str"/>
      <x:c r="R513" t="str"/>
      <x:c r="S513" t="str">
        <x:v>Pending genuine supplier/brand image</x:v>
      </x:c>
      <x:c r="T513" s="54" t="n">
        <x:v>6.04</x:v>
      </x:c>
      <x:c r="U513" s="47" t="n">
        <x:v>0.2</x:v>
      </x:c>
      <x:c r="V513" s="54" t="n">
        <x:f>IF(ISNUMBER(T513),T513*(1+U513),"")</x:f>
        <x:v>7.247999999999999</x:v>
      </x:c>
      <x:c r="W513" s="47" t="n">
        <x:v>0.3</x:v>
      </x:c>
      <x:c r="X513" s="54" t="n">
        <x:f>IF(ISNUMBER(V513),V513/(1-W513),"")</x:f>
        <x:v>10.354285714285714</x:v>
      </x:c>
      <x:c r="Y513" s="55" t="n">
        <x:f>IF(ISNUMBER(X513),ROUNDUP(X513,0),"")</x:f>
        <x:v>11</x:v>
      </x:c>
      <x:c r="Z513" t="str">
        <x:v>Source match pending</x:v>
      </x:c>
      <x:c r="AA513" t="str">
        <x:v>screencapture-www-activesportstrade-co-uk-biotech-usa-trade-2026-09-10-09_04_18.pdf / page-04</x:v>
      </x:c>
      <x:c r="AB513" s="36" t="n">
        <x:f>IF(ISNUMBER(Y513),ROUND(Y513*0.9,2),"")</x:f>
        <x:v>9.9</x:v>
      </x:c>
      <x:c r="AC513" s="36" t="n">
        <x:f>IF(ISNUMBER(AB513),ROUND(AB513-(AB513*0.015+0.2)-V513,2),"")</x:f>
        <x:v>2.3</x:v>
      </x:c>
      <x:c r="AD513" s="36" t="n">
        <x:f>IF(ISNUMBER(Y513),ROUND(Y513*0.8,2),"")</x:f>
        <x:v>8.8</x:v>
      </x:c>
      <x:c r="AE513" s="36" t="n">
        <x:f>IF(ISNUMBER(AD513),ROUND(AD513*0.015+0.2,2),"")</x:f>
        <x:v>0.33</x:v>
      </x:c>
      <x:c r="AF513" s="36" t="n">
        <x:f>IF(ISNUMBER(AD513),ROUND(AD513-AE513-V513,2),"")</x:f>
        <x:v>1.22</x:v>
      </x:c>
      <x:c r="AG513" t="str">
        <x:f>IF(NOT(ISNUMBER(T513)),"PENDING",IF(AF513&gt;0,"PASS","FAIL"))</x:f>
        <x:v>PASS</x:v>
      </x:c>
      <x:c r="AH513" t="str">
        <x:f>IF(NOT(ISNUMBER(T513)),"Needs supplier cost",IF(K513&lt;&gt;"In stock","Supplier unavailable",IF(AG513&lt;&gt;"PASS","BLOCK - GT loss risk","Commercially protected")))</x:f>
        <x:v>Supplier unavailable</x:v>
      </x:c>
      <x:c r="AI513" t="str">
        <x:v>2026-09-10 Active Sports trade capture</x:v>
      </x:c>
      <x:c r="AJ513" t="str">
        <x:v>Management-only economics. Stripe stress test uses 1.5% + £0.20 standard UK online-card fee; pallet/mix-and-match pricing ignored.</x:v>
      </x:c>
    </x:row>
    <x:row r="514">
      <x:c r="A514" t="str">
        <x:v>Active Sports Nutrition</x:v>
      </x:c>
      <x:c r="B514" t="str">
        <x:v>Biotech USA</x:v>
      </x:c>
      <x:c r="C514" t="str">
        <x:v>Carbox</x:v>
      </x:c>
      <x:c r="D514" t="str">
        <x:v>Supplements</x:v>
      </x:c>
      <x:c r="E514" t="str">
        <x:v>Carbohydrates</x:v>
      </x:c>
      <x:c r="F514" t="str">
        <x:v>Carbohydrate powder.</x:v>
      </x:c>
      <x:c r="G514" t="str">
        <x:v>1kg</x:v>
      </x:c>
      <x:c r="H514" t="str">
        <x:v>Unflavoured</x:v>
      </x:c>
      <x:c r="I514" t="str"/>
      <x:c r="J514" t="str">
        <x:v>Unit</x:v>
      </x:c>
      <x:c r="K514" t="str">
        <x:v>Out of stock</x:v>
      </x:c>
      <x:c r="L514" t="str">
        <x:v>2026-09-08</x:v>
      </x:c>
      <x:c r="M514" t="str"/>
      <x:c r="N514" t="str"/>
      <x:c r="O514" t="str">
        <x:v>https://www.activesportstrade.co.uk/biotech-usa-trade</x:v>
      </x:c>
      <x:c r="P514" t="str"/>
      <x:c r="Q514" t="str"/>
      <x:c r="R514" t="str"/>
      <x:c r="S514" t="str">
        <x:v>Pending genuine supplier/brand image</x:v>
      </x:c>
      <x:c r="T514" s="54" t="n">
        <x:v>6.04</x:v>
      </x:c>
      <x:c r="U514" s="47" t="n">
        <x:v>0.2</x:v>
      </x:c>
      <x:c r="V514" s="54" t="n">
        <x:f>IF(ISNUMBER(T514),T514*(1+U514),"")</x:f>
        <x:v>7.247999999999999</x:v>
      </x:c>
      <x:c r="W514" s="47" t="n">
        <x:v>0.3</x:v>
      </x:c>
      <x:c r="X514" s="54" t="n">
        <x:f>IF(ISNUMBER(V514),V514/(1-W514),"")</x:f>
        <x:v>10.354285714285714</x:v>
      </x:c>
      <x:c r="Y514" s="55" t="n">
        <x:f>IF(ISNUMBER(X514),ROUNDUP(X514,0),"")</x:f>
        <x:v>11</x:v>
      </x:c>
      <x:c r="Z514" t="str">
        <x:v>Source match pending</x:v>
      </x:c>
      <x:c r="AA514" t="str">
        <x:v>screencapture-www-activesportstrade-co-uk-biotech-usa-trade-2026-09-10-09_04_18.pdf / page-04</x:v>
      </x:c>
      <x:c r="AB514" s="36" t="n">
        <x:f>IF(ISNUMBER(Y514),ROUND(Y514*0.9,2),"")</x:f>
        <x:v>9.9</x:v>
      </x:c>
      <x:c r="AC514" s="36" t="n">
        <x:f>IF(ISNUMBER(AB514),ROUND(AB514-(AB514*0.015+0.2)-V514,2),"")</x:f>
        <x:v>2.3</x:v>
      </x:c>
      <x:c r="AD514" s="36" t="n">
        <x:f>IF(ISNUMBER(Y514),ROUND(Y514*0.8,2),"")</x:f>
        <x:v>8.8</x:v>
      </x:c>
      <x:c r="AE514" s="36" t="n">
        <x:f>IF(ISNUMBER(AD514),ROUND(AD514*0.015+0.2,2),"")</x:f>
        <x:v>0.33</x:v>
      </x:c>
      <x:c r="AF514" s="36" t="n">
        <x:f>IF(ISNUMBER(AD514),ROUND(AD514-AE514-V514,2),"")</x:f>
        <x:v>1.22</x:v>
      </x:c>
      <x:c r="AG514" t="str">
        <x:f>IF(NOT(ISNUMBER(T514)),"PENDING",IF(AF514&gt;0,"PASS","FAIL"))</x:f>
        <x:v>PASS</x:v>
      </x:c>
      <x:c r="AH514" t="str">
        <x:f>IF(NOT(ISNUMBER(T514)),"Needs supplier cost",IF(K514&lt;&gt;"In stock","Supplier unavailable",IF(AG514&lt;&gt;"PASS","BLOCK - GT loss risk","Commercially protected")))</x:f>
        <x:v>Supplier unavailable</x:v>
      </x:c>
      <x:c r="AI514" t="str">
        <x:v>2026-09-10 Active Sports trade capture</x:v>
      </x:c>
      <x:c r="AJ514" t="str">
        <x:v>Management-only economics. Stripe stress test uses 1.5% + £0.20 standard UK online-card fee; pallet/mix-and-match pricing ignored.</x:v>
      </x:c>
    </x:row>
    <x:row r="515">
      <x:c r="A515" t="str">
        <x:v>Active Sports Nutrition</x:v>
      </x:c>
      <x:c r="B515" t="str">
        <x:v>Biotech USA</x:v>
      </x:c>
      <x:c r="C515" t="str">
        <x:v>Chondroitin Glucosamine</x:v>
      </x:c>
      <x:c r="D515" t="str">
        <x:v>Supplements</x:v>
      </x:c>
      <x:c r="E515" t="str">
        <x:v>Joint Repair</x:v>
      </x:c>
      <x:c r="F515" t="str">
        <x:v>Glucosamine/chondroitin joint formula.</x:v>
      </x:c>
      <x:c r="G515" t="str">
        <x:v>60 tabs</x:v>
      </x:c>
      <x:c r="H515" t="str">
        <x:v>Default</x:v>
      </x:c>
      <x:c r="I515" t="str"/>
      <x:c r="J515" t="str">
        <x:v>Unit</x:v>
      </x:c>
      <x:c r="K515" t="str">
        <x:v>In stock</x:v>
      </x:c>
      <x:c r="L515" t="str">
        <x:v>2026-09-08</x:v>
      </x:c>
      <x:c r="M515" t="str"/>
      <x:c r="N515" t="str"/>
      <x:c r="O515" t="str">
        <x:v>https://www.activesportstrade.co.uk/biotech-usa-trade</x:v>
      </x:c>
      <x:c r="P515" t="str"/>
      <x:c r="Q515" t="str"/>
      <x:c r="R515" t="str"/>
      <x:c r="S515" t="str">
        <x:v>Pending genuine supplier/brand image</x:v>
      </x:c>
      <x:c r="T515" s="54" t="n">
        <x:v>5.62</x:v>
      </x:c>
      <x:c r="U515" s="47" t="n">
        <x:v>0.2</x:v>
      </x:c>
      <x:c r="V515" s="54" t="n">
        <x:f>IF(ISNUMBER(T515),T515*(1+U515),"")</x:f>
        <x:v>6.744</x:v>
      </x:c>
      <x:c r="W515" s="47" t="n">
        <x:v>0.3</x:v>
      </x:c>
      <x:c r="X515" s="54" t="n">
        <x:f>IF(ISNUMBER(V515),V515/(1-W515),"")</x:f>
        <x:v>9.634285714285715</x:v>
      </x:c>
      <x:c r="Y515" s="55" t="n">
        <x:f>IF(ISNUMBER(X515),ROUNDUP(X515,0),"")</x:f>
        <x:v>10</x:v>
      </x:c>
      <x:c r="Z515" t="str">
        <x:v>Source match pending</x:v>
      </x:c>
      <x:c r="AA515" t="str">
        <x:v>screencapture-www-activesportstrade-co-uk-biotech-usa-trade-2026-09-10-09_04_18.pdf / page-04</x:v>
      </x:c>
      <x:c r="AB515" s="36" t="n">
        <x:f>IF(ISNUMBER(Y515),ROUND(Y515*0.9,2),"")</x:f>
        <x:v>9</x:v>
      </x:c>
      <x:c r="AC515" s="36" t="n">
        <x:f>IF(ISNUMBER(AB515),ROUND(AB515-(AB515*0.015+0.2)-V515,2),"")</x:f>
        <x:v>1.92</x:v>
      </x:c>
      <x:c r="AD515" s="36" t="n">
        <x:f>IF(ISNUMBER(Y515),ROUND(Y515*0.8,2),"")</x:f>
        <x:v>8</x:v>
      </x:c>
      <x:c r="AE515" s="36" t="n">
        <x:f>IF(ISNUMBER(AD515),ROUND(AD515*0.015+0.2,2),"")</x:f>
        <x:v>0.32</x:v>
      </x:c>
      <x:c r="AF515" s="36" t="n">
        <x:f>IF(ISNUMBER(AD515),ROUND(AD515-AE515-V515,2),"")</x:f>
        <x:v>0.94</x:v>
      </x:c>
      <x:c r="AG515" t="str">
        <x:f>IF(NOT(ISNUMBER(T515)),"PENDING",IF(AF515&gt;0,"PASS","FAIL"))</x:f>
        <x:v>PASS</x:v>
      </x:c>
      <x:c r="AH515" t="str">
        <x:f>IF(NOT(ISNUMBER(T515)),"Needs supplier cost",IF(K515&lt;&gt;"In stock","Supplier unavailable",IF(AG515&lt;&gt;"PASS","BLOCK - GT loss risk","Commercially protected")))</x:f>
        <x:v>Commercially protected</x:v>
      </x:c>
      <x:c r="AI515" t="str">
        <x:v>2026-09-10 Active Sports trade capture</x:v>
      </x:c>
      <x:c r="AJ515" t="str">
        <x:v>Management-only economics. Stripe stress test uses 1.5% + £0.20 standard UK online-card fee; pallet/mix-and-match pricing ignored.</x:v>
      </x:c>
    </x:row>
    <x:row r="516">
      <x:c r="A516" t="str">
        <x:v>Active Sports Nutrition</x:v>
      </x:c>
      <x:c r="B516" t="str">
        <x:v>Biotech USA</x:v>
      </x:c>
      <x:c r="C516" t="str">
        <x:v>Citrulline Malate</x:v>
      </x:c>
      <x:c r="D516" t="str">
        <x:v>Supplements</x:v>
      </x:c>
      <x:c r="E516" t="str">
        <x:v>Amino Acids</x:v>
      </x:c>
      <x:c r="F516" t="str">
        <x:v>Citrulline malate powder.</x:v>
      </x:c>
      <x:c r="G516" t="str">
        <x:v>300g</x:v>
      </x:c>
      <x:c r="H516" t="str">
        <x:v>Green Apple</x:v>
      </x:c>
      <x:c r="I516" t="str"/>
      <x:c r="J516" t="str">
        <x:v>Unit</x:v>
      </x:c>
      <x:c r="K516" t="str">
        <x:v>In stock</x:v>
      </x:c>
      <x:c r="L516" t="str">
        <x:v>2026-09-08</x:v>
      </x:c>
      <x:c r="M516" t="str"/>
      <x:c r="N516" t="str"/>
      <x:c r="O516" t="str">
        <x:v>https://www.activesportstrade.co.uk/biotech-usa-trade</x:v>
      </x:c>
      <x:c r="P516" t="str"/>
      <x:c r="Q516" t="str"/>
      <x:c r="R516" t="str"/>
      <x:c r="S516" t="str">
        <x:v>Pending genuine supplier/brand image</x:v>
      </x:c>
      <x:c r="T516" s="54" t="n">
        <x:v>11.05</x:v>
      </x:c>
      <x:c r="U516" s="47" t="n">
        <x:v>0.2</x:v>
      </x:c>
      <x:c r="V516" s="54" t="n">
        <x:f>IF(ISNUMBER(T516),T516*(1+U516),"")</x:f>
        <x:v>13.26</x:v>
      </x:c>
      <x:c r="W516" s="47" t="n">
        <x:v>0.3</x:v>
      </x:c>
      <x:c r="X516" s="54" t="n">
        <x:f>IF(ISNUMBER(V516),V516/(1-W516),"")</x:f>
        <x:v>18.942857142857143</x:v>
      </x:c>
      <x:c r="Y516" s="55" t="n">
        <x:f>IF(ISNUMBER(X516),ROUNDUP(X516,0),"")</x:f>
        <x:v>19</x:v>
      </x:c>
      <x:c r="Z516" t="str">
        <x:v>Source match pending</x:v>
      </x:c>
      <x:c r="AA516" t="str">
        <x:v>screencapture-www-activesportstrade-co-uk-biotech-usa-trade-2026-09-10-09_04_18.pdf / page-04</x:v>
      </x:c>
      <x:c r="AB516" s="36" t="n">
        <x:f>IF(ISNUMBER(Y516),ROUND(Y516*0.9,2),"")</x:f>
        <x:v>17.1</x:v>
      </x:c>
      <x:c r="AC516" s="36" t="n">
        <x:f>IF(ISNUMBER(AB516),ROUND(AB516-(AB516*0.015+0.2)-V516,2),"")</x:f>
        <x:v>3.38</x:v>
      </x:c>
      <x:c r="AD516" s="36" t="n">
        <x:f>IF(ISNUMBER(Y516),ROUND(Y516*0.8,2),"")</x:f>
        <x:v>15.2</x:v>
      </x:c>
      <x:c r="AE516" s="36" t="n">
        <x:f>IF(ISNUMBER(AD516),ROUND(AD516*0.015+0.2,2),"")</x:f>
        <x:v>0.43</x:v>
      </x:c>
      <x:c r="AF516" s="36" t="n">
        <x:f>IF(ISNUMBER(AD516),ROUND(AD516-AE516-V516,2),"")</x:f>
        <x:v>1.51</x:v>
      </x:c>
      <x:c r="AG516" t="str">
        <x:f>IF(NOT(ISNUMBER(T516)),"PENDING",IF(AF516&gt;0,"PASS","FAIL"))</x:f>
        <x:v>PASS</x:v>
      </x:c>
      <x:c r="AH516" t="str">
        <x:f>IF(NOT(ISNUMBER(T516)),"Needs supplier cost",IF(K516&lt;&gt;"In stock","Supplier unavailable",IF(AG516&lt;&gt;"PASS","BLOCK - GT loss risk","Commercially protected")))</x:f>
        <x:v>Commercially protected</x:v>
      </x:c>
      <x:c r="AI516" t="str">
        <x:v>2026-09-10 Active Sports trade capture</x:v>
      </x:c>
      <x:c r="AJ516" t="str">
        <x:v>Management-only economics. Stripe stress test uses 1.5% + £0.20 standard UK online-card fee; pallet/mix-and-match pricing ignored.</x:v>
      </x:c>
    </x:row>
    <x:row r="517">
      <x:c r="A517" t="str">
        <x:v>Active Sports Nutrition</x:v>
      </x:c>
      <x:c r="B517" t="str">
        <x:v>Biotech USA</x:v>
      </x:c>
      <x:c r="C517" t="str">
        <x:v>Citrulline Malate</x:v>
      </x:c>
      <x:c r="D517" t="str">
        <x:v>Supplements</x:v>
      </x:c>
      <x:c r="E517" t="str">
        <x:v>Amino Acids</x:v>
      </x:c>
      <x:c r="F517" t="str">
        <x:v>Citrulline malate powder.</x:v>
      </x:c>
      <x:c r="G517" t="str">
        <x:v>300g</x:v>
      </x:c>
      <x:c r="H517" t="str">
        <x:v>Lime</x:v>
      </x:c>
      <x:c r="I517" t="str"/>
      <x:c r="J517" t="str">
        <x:v>Unit</x:v>
      </x:c>
      <x:c r="K517" t="str">
        <x:v>In stock</x:v>
      </x:c>
      <x:c r="L517" t="str">
        <x:v>2026-09-08</x:v>
      </x:c>
      <x:c r="M517" t="str"/>
      <x:c r="N517" t="str"/>
      <x:c r="O517" t="str">
        <x:v>https://www.activesportstrade.co.uk/biotech-usa-trade</x:v>
      </x:c>
      <x:c r="P517" t="str"/>
      <x:c r="Q517" t="str"/>
      <x:c r="R517" t="str"/>
      <x:c r="S517" t="str">
        <x:v>Pending genuine supplier/brand image</x:v>
      </x:c>
      <x:c r="T517" s="54" t="n">
        <x:v>11.05</x:v>
      </x:c>
      <x:c r="U517" s="47" t="n">
        <x:v>0.2</x:v>
      </x:c>
      <x:c r="V517" s="54" t="n">
        <x:f>IF(ISNUMBER(T517),T517*(1+U517),"")</x:f>
        <x:v>13.26</x:v>
      </x:c>
      <x:c r="W517" s="47" t="n">
        <x:v>0.3</x:v>
      </x:c>
      <x:c r="X517" s="54" t="n">
        <x:f>IF(ISNUMBER(V517),V517/(1-W517),"")</x:f>
        <x:v>18.942857142857143</x:v>
      </x:c>
      <x:c r="Y517" s="55" t="n">
        <x:f>IF(ISNUMBER(X517),ROUNDUP(X517,0),"")</x:f>
        <x:v>19</x:v>
      </x:c>
      <x:c r="Z517" t="str">
        <x:v>Source match pending</x:v>
      </x:c>
      <x:c r="AA517" t="str">
        <x:v>screencapture-www-activesportstrade-co-uk-biotech-usa-trade-2026-09-10-09_04_18.pdf / page-04</x:v>
      </x:c>
      <x:c r="AB517" s="36" t="n">
        <x:f>IF(ISNUMBER(Y517),ROUND(Y517*0.9,2),"")</x:f>
        <x:v>17.1</x:v>
      </x:c>
      <x:c r="AC517" s="36" t="n">
        <x:f>IF(ISNUMBER(AB517),ROUND(AB517-(AB517*0.015+0.2)-V517,2),"")</x:f>
        <x:v>3.38</x:v>
      </x:c>
      <x:c r="AD517" s="36" t="n">
        <x:f>IF(ISNUMBER(Y517),ROUND(Y517*0.8,2),"")</x:f>
        <x:v>15.2</x:v>
      </x:c>
      <x:c r="AE517" s="36" t="n">
        <x:f>IF(ISNUMBER(AD517),ROUND(AD517*0.015+0.2,2),"")</x:f>
        <x:v>0.43</x:v>
      </x:c>
      <x:c r="AF517" s="36" t="n">
        <x:f>IF(ISNUMBER(AD517),ROUND(AD517-AE517-V517,2),"")</x:f>
        <x:v>1.51</x:v>
      </x:c>
      <x:c r="AG517" t="str">
        <x:f>IF(NOT(ISNUMBER(T517)),"PENDING",IF(AF517&gt;0,"PASS","FAIL"))</x:f>
        <x:v>PASS</x:v>
      </x:c>
      <x:c r="AH517" t="str">
        <x:f>IF(NOT(ISNUMBER(T517)),"Needs supplier cost",IF(K517&lt;&gt;"In stock","Supplier unavailable",IF(AG517&lt;&gt;"PASS","BLOCK - GT loss risk","Commercially protected")))</x:f>
        <x:v>Commercially protected</x:v>
      </x:c>
      <x:c r="AI517" t="str">
        <x:v>2026-09-10 Active Sports trade capture</x:v>
      </x:c>
      <x:c r="AJ517" t="str">
        <x:v>Management-only economics. Stripe stress test uses 1.5% + £0.20 standard UK online-card fee; pallet/mix-and-match pricing ignored.</x:v>
      </x:c>
    </x:row>
    <x:row r="518">
      <x:c r="A518" t="str">
        <x:v>Active Sports Nutrition</x:v>
      </x:c>
      <x:c r="B518" t="str">
        <x:v>Biotech USA</x:v>
      </x:c>
      <x:c r="C518" t="str">
        <x:v>Citrulline Malate</x:v>
      </x:c>
      <x:c r="D518" t="str">
        <x:v>Supplements</x:v>
      </x:c>
      <x:c r="E518" t="str">
        <x:v>Amino Acids</x:v>
      </x:c>
      <x:c r="F518" t="str">
        <x:v>Citrulline malate capsules.</x:v>
      </x:c>
      <x:c r="G518" t="str">
        <x:v>90 caps</x:v>
      </x:c>
      <x:c r="H518" t="str">
        <x:v>Default</x:v>
      </x:c>
      <x:c r="I518" t="str"/>
      <x:c r="J518" t="str">
        <x:v>Unit</x:v>
      </x:c>
      <x:c r="K518" t="str">
        <x:v>In stock</x:v>
      </x:c>
      <x:c r="L518" t="str">
        <x:v>2026-09-08</x:v>
      </x:c>
      <x:c r="M518" t="str"/>
      <x:c r="N518" t="str"/>
      <x:c r="O518" t="str">
        <x:v>https://www.activesportstrade.co.uk/biotech-usa-trade</x:v>
      </x:c>
      <x:c r="P518" t="str"/>
      <x:c r="Q518" t="str"/>
      <x:c r="R518" t="str"/>
      <x:c r="S518" t="str">
        <x:v>Pending genuine supplier/brand image</x:v>
      </x:c>
      <x:c r="T518" s="54" t="n">
        <x:v>9.5</x:v>
      </x:c>
      <x:c r="U518" s="47" t="n">
        <x:v>0.2</x:v>
      </x:c>
      <x:c r="V518" s="54" t="n">
        <x:f>IF(ISNUMBER(T518),T518*(1+U518),"")</x:f>
        <x:v>11.4</x:v>
      </x:c>
      <x:c r="W518" s="47" t="n">
        <x:v>0.3</x:v>
      </x:c>
      <x:c r="X518" s="54" t="n">
        <x:f>IF(ISNUMBER(V518),V518/(1-W518),"")</x:f>
        <x:v>16.28571428571429</x:v>
      </x:c>
      <x:c r="Y518" s="55" t="n">
        <x:f>IF(ISNUMBER(X518),ROUNDUP(X518,0),"")</x:f>
        <x:v>17</x:v>
      </x:c>
      <x:c r="Z518" t="str">
        <x:v>Source match pending</x:v>
      </x:c>
      <x:c r="AA518" t="str">
        <x:v>screencapture-www-activesportstrade-co-uk-biotech-usa-trade-2026-09-10-09_04_18.pdf / page-04</x:v>
      </x:c>
      <x:c r="AB518" s="36" t="n">
        <x:f>IF(ISNUMBER(Y518),ROUND(Y518*0.9,2),"")</x:f>
        <x:v>15.3</x:v>
      </x:c>
      <x:c r="AC518" s="36" t="n">
        <x:f>IF(ISNUMBER(AB518),ROUND(AB518-(AB518*0.015+0.2)-V518,2),"")</x:f>
        <x:v>3.47</x:v>
      </x:c>
      <x:c r="AD518" s="36" t="n">
        <x:f>IF(ISNUMBER(Y518),ROUND(Y518*0.8,2),"")</x:f>
        <x:v>13.6</x:v>
      </x:c>
      <x:c r="AE518" s="36" t="n">
        <x:f>IF(ISNUMBER(AD518),ROUND(AD518*0.015+0.2,2),"")</x:f>
        <x:v>0.4</x:v>
      </x:c>
      <x:c r="AF518" s="36" t="n">
        <x:f>IF(ISNUMBER(AD518),ROUND(AD518-AE518-V518,2),"")</x:f>
        <x:v>1.8</x:v>
      </x:c>
      <x:c r="AG518" t="str">
        <x:f>IF(NOT(ISNUMBER(T518)),"PENDING",IF(AF518&gt;0,"PASS","FAIL"))</x:f>
        <x:v>PASS</x:v>
      </x:c>
      <x:c r="AH518" t="str">
        <x:f>IF(NOT(ISNUMBER(T518)),"Needs supplier cost",IF(K518&lt;&gt;"In stock","Supplier unavailable",IF(AG518&lt;&gt;"PASS","BLOCK - GT loss risk","Commercially protected")))</x:f>
        <x:v>Commercially protected</x:v>
      </x:c>
      <x:c r="AI518" t="str">
        <x:v>2026-09-10 Active Sports trade capture</x:v>
      </x:c>
      <x:c r="AJ518" t="str">
        <x:v>Management-only economics. Stripe stress test uses 1.5% + £0.20 standard UK online-card fee; pallet/mix-and-match pricing ignored.</x:v>
      </x:c>
    </x:row>
    <x:row r="519">
      <x:c r="A519" t="str">
        <x:v>Active Sports Nutrition</x:v>
      </x:c>
      <x:c r="B519" t="str">
        <x:v>Biotech USA</x:v>
      </x:c>
      <x:c r="C519" t="str">
        <x:v>Clear Collagen Professional</x:v>
      </x:c>
      <x:c r="D519" t="str">
        <x:v>Supplements</x:v>
      </x:c>
      <x:c r="E519" t="str">
        <x:v>Collagen</x:v>
      </x:c>
      <x:c r="F519" t="str">
        <x:v>Clear collagen drink powder.</x:v>
      </x:c>
      <x:c r="G519" t="str">
        <x:v>350g</x:v>
      </x:c>
      <x:c r="H519" t="str">
        <x:v>Mango</x:v>
      </x:c>
      <x:c r="I519" t="str"/>
      <x:c r="J519" t="str">
        <x:v>Unit</x:v>
      </x:c>
      <x:c r="K519" t="str">
        <x:v>In stock</x:v>
      </x:c>
      <x:c r="L519" t="str">
        <x:v>2026-09-08</x:v>
      </x:c>
      <x:c r="M519" t="str"/>
      <x:c r="N519" t="str"/>
      <x:c r="O519" t="str">
        <x:v>https://www.activesportstrade.co.uk/biotech-usa-trade</x:v>
      </x:c>
      <x:c r="P519" t="str"/>
      <x:c r="Q519" t="str"/>
      <x:c r="R519" t="str"/>
      <x:c r="S519" t="str">
        <x:v>Pending genuine supplier/brand image</x:v>
      </x:c>
      <x:c r="T519" s="54" t="n">
        <x:v>13.5</x:v>
      </x:c>
      <x:c r="U519" s="47" t="n">
        <x:v>0.2</x:v>
      </x:c>
      <x:c r="V519" s="54" t="n">
        <x:f>IF(ISNUMBER(T519),T519*(1+U519),"")</x:f>
        <x:v>16.2</x:v>
      </x:c>
      <x:c r="W519" s="47" t="n">
        <x:v>0.3</x:v>
      </x:c>
      <x:c r="X519" s="54" t="n">
        <x:f>IF(ISNUMBER(V519),V519/(1-W519),"")</x:f>
        <x:v>23.142857142857142</x:v>
      </x:c>
      <x:c r="Y519" s="55" t="n">
        <x:f>IF(ISNUMBER(X519),ROUNDUP(X519,0),"")</x:f>
        <x:v>24</x:v>
      </x:c>
      <x:c r="Z519" t="str">
        <x:v>Source match pending</x:v>
      </x:c>
      <x:c r="AA519" t="str">
        <x:v>screencapture-www-activesportstrade-co-uk-biotech-usa-trade-2026-09-10-09_04_18.pdf / page-04</x:v>
      </x:c>
      <x:c r="AB519" s="36" t="n">
        <x:f>IF(ISNUMBER(Y519),ROUND(Y519*0.9,2),"")</x:f>
        <x:v>21.6</x:v>
      </x:c>
      <x:c r="AC519" s="36" t="n">
        <x:f>IF(ISNUMBER(AB519),ROUND(AB519-(AB519*0.015+0.2)-V519,2),"")</x:f>
        <x:v>4.88</x:v>
      </x:c>
      <x:c r="AD519" s="36" t="n">
        <x:f>IF(ISNUMBER(Y519),ROUND(Y519*0.8,2),"")</x:f>
        <x:v>19.2</x:v>
      </x:c>
      <x:c r="AE519" s="36" t="n">
        <x:f>IF(ISNUMBER(AD519),ROUND(AD519*0.015+0.2,2),"")</x:f>
        <x:v>0.49</x:v>
      </x:c>
      <x:c r="AF519" s="36" t="n">
        <x:f>IF(ISNUMBER(AD519),ROUND(AD519-AE519-V519,2),"")</x:f>
        <x:v>2.51</x:v>
      </x:c>
      <x:c r="AG519" t="str">
        <x:f>IF(NOT(ISNUMBER(T519)),"PENDING",IF(AF519&gt;0,"PASS","FAIL"))</x:f>
        <x:v>PASS</x:v>
      </x:c>
      <x:c r="AH519" t="str">
        <x:f>IF(NOT(ISNUMBER(T519)),"Needs supplier cost",IF(K519&lt;&gt;"In stock","Supplier unavailable",IF(AG519&lt;&gt;"PASS","BLOCK - GT loss risk","Commercially protected")))</x:f>
        <x:v>Commercially protected</x:v>
      </x:c>
      <x:c r="AI519" t="str">
        <x:v>2026-09-10 Active Sports trade capture</x:v>
      </x:c>
      <x:c r="AJ519" t="str">
        <x:v>Management-only economics. Stripe stress test uses 1.5% + £0.20 standard UK online-card fee; pallet/mix-and-match pricing ignored.</x:v>
      </x:c>
    </x:row>
    <x:row r="520">
      <x:c r="A520" t="str">
        <x:v>Active Sports Nutrition</x:v>
      </x:c>
      <x:c r="B520" t="str">
        <x:v>Biotech USA</x:v>
      </x:c>
      <x:c r="C520" t="str">
        <x:v>Clear Collagen Professional</x:v>
      </x:c>
      <x:c r="D520" t="str">
        <x:v>Supplements</x:v>
      </x:c>
      <x:c r="E520" t="str">
        <x:v>Collagen</x:v>
      </x:c>
      <x:c r="F520" t="str">
        <x:v>Clear collagen drink powder.</x:v>
      </x:c>
      <x:c r="G520" t="str">
        <x:v>350g</x:v>
      </x:c>
      <x:c r="H520" t="str">
        <x:v>Peach Ice Tea</x:v>
      </x:c>
      <x:c r="I520" t="str"/>
      <x:c r="J520" t="str">
        <x:v>Unit</x:v>
      </x:c>
      <x:c r="K520" t="str">
        <x:v>Out of stock</x:v>
      </x:c>
      <x:c r="L520" t="str">
        <x:v>2026-09-08</x:v>
      </x:c>
      <x:c r="M520" t="str"/>
      <x:c r="N520" t="str"/>
      <x:c r="O520" t="str">
        <x:v>https://www.activesportstrade.co.uk/biotech-usa-trade</x:v>
      </x:c>
      <x:c r="P520" t="str"/>
      <x:c r="Q520" t="str"/>
      <x:c r="R520" t="str"/>
      <x:c r="S520" t="str">
        <x:v>Pending genuine supplier/brand image</x:v>
      </x:c>
      <x:c r="T520" s="54" t="n">
        <x:v>13.5</x:v>
      </x:c>
      <x:c r="U520" s="47" t="n">
        <x:v>0.2</x:v>
      </x:c>
      <x:c r="V520" s="54" t="n">
        <x:f>IF(ISNUMBER(T520),T520*(1+U520),"")</x:f>
        <x:v>16.2</x:v>
      </x:c>
      <x:c r="W520" s="47" t="n">
        <x:v>0.3</x:v>
      </x:c>
      <x:c r="X520" s="54" t="n">
        <x:f>IF(ISNUMBER(V520),V520/(1-W520),"")</x:f>
        <x:v>23.142857142857142</x:v>
      </x:c>
      <x:c r="Y520" s="55" t="n">
        <x:f>IF(ISNUMBER(X520),ROUNDUP(X520,0),"")</x:f>
        <x:v>24</x:v>
      </x:c>
      <x:c r="Z520" t="str">
        <x:v>Source match pending</x:v>
      </x:c>
      <x:c r="AA520" t="str">
        <x:v>screencapture-www-activesportstrade-co-uk-biotech-usa-trade-2026-09-10-09_04_18.pdf / page-04</x:v>
      </x:c>
      <x:c r="AB520" s="36" t="n">
        <x:f>IF(ISNUMBER(Y520),ROUND(Y520*0.9,2),"")</x:f>
        <x:v>21.6</x:v>
      </x:c>
      <x:c r="AC520" s="36" t="n">
        <x:f>IF(ISNUMBER(AB520),ROUND(AB520-(AB520*0.015+0.2)-V520,2),"")</x:f>
        <x:v>4.88</x:v>
      </x:c>
      <x:c r="AD520" s="36" t="n">
        <x:f>IF(ISNUMBER(Y520),ROUND(Y520*0.8,2),"")</x:f>
        <x:v>19.2</x:v>
      </x:c>
      <x:c r="AE520" s="36" t="n">
        <x:f>IF(ISNUMBER(AD520),ROUND(AD520*0.015+0.2,2),"")</x:f>
        <x:v>0.49</x:v>
      </x:c>
      <x:c r="AF520" s="36" t="n">
        <x:f>IF(ISNUMBER(AD520),ROUND(AD520-AE520-V520,2),"")</x:f>
        <x:v>2.51</x:v>
      </x:c>
      <x:c r="AG520" t="str">
        <x:f>IF(NOT(ISNUMBER(T520)),"PENDING",IF(AF520&gt;0,"PASS","FAIL"))</x:f>
        <x:v>PASS</x:v>
      </x:c>
      <x:c r="AH520" t="str">
        <x:f>IF(NOT(ISNUMBER(T520)),"Needs supplier cost",IF(K520&lt;&gt;"In stock","Supplier unavailable",IF(AG520&lt;&gt;"PASS","BLOCK - GT loss risk","Commercially protected")))</x:f>
        <x:v>Supplier unavailable</x:v>
      </x:c>
      <x:c r="AI520" t="str">
        <x:v>2026-09-10 Active Sports trade capture</x:v>
      </x:c>
      <x:c r="AJ520" t="str">
        <x:v>Management-only economics. Stripe stress test uses 1.5% + £0.20 standard UK online-card fee; pallet/mix-and-match pricing ignored.</x:v>
      </x:c>
    </x:row>
    <x:row r="521">
      <x:c r="A521" t="str">
        <x:v>Active Sports Nutrition</x:v>
      </x:c>
      <x:c r="B521" t="str">
        <x:v>Biotech USA</x:v>
      </x:c>
      <x:c r="C521" t="str">
        <x:v>Collagen &amp; Hyaluronic</x:v>
      </x:c>
      <x:c r="D521" t="str">
        <x:v>Supplements</x:v>
      </x:c>
      <x:c r="E521" t="str">
        <x:v>Collagen</x:v>
      </x:c>
      <x:c r="F521" t="str">
        <x:v>Collagen and hyaluronic acid capsules.</x:v>
      </x:c>
      <x:c r="G521" t="str">
        <x:v>30 caps</x:v>
      </x:c>
      <x:c r="H521" t="str">
        <x:v>Default</x:v>
      </x:c>
      <x:c r="I521" t="str"/>
      <x:c r="J521" t="str">
        <x:v>Unit</x:v>
      </x:c>
      <x:c r="K521" t="str">
        <x:v>In stock</x:v>
      </x:c>
      <x:c r="L521" t="str">
        <x:v>2026-09-08</x:v>
      </x:c>
      <x:c r="M521" t="str"/>
      <x:c r="N521" t="str"/>
      <x:c r="O521" t="str">
        <x:v>https://www.activesportstrade.co.uk/biotech-usa-trade</x:v>
      </x:c>
      <x:c r="P521" t="str"/>
      <x:c r="Q521" t="str"/>
      <x:c r="R521" t="str"/>
      <x:c r="S521" t="str">
        <x:v>Pending genuine supplier/brand image</x:v>
      </x:c>
      <x:c r="T521" s="54" t="n">
        <x:v>4.01</x:v>
      </x:c>
      <x:c r="U521" s="47" t="n">
        <x:v>0.2</x:v>
      </x:c>
      <x:c r="V521" s="54" t="n">
        <x:f>IF(ISNUMBER(T521),T521*(1+U521),"")</x:f>
        <x:v>4.811999999999999</x:v>
      </x:c>
      <x:c r="W521" s="47" t="n">
        <x:v>0.3</x:v>
      </x:c>
      <x:c r="X521" s="54" t="n">
        <x:f>IF(ISNUMBER(V521),V521/(1-W521),"")</x:f>
        <x:v>6.874285714285714</x:v>
      </x:c>
      <x:c r="Y521" s="55" t="n">
        <x:f>IF(ISNUMBER(X521),ROUNDUP(X521,0),"")</x:f>
        <x:v>7</x:v>
      </x:c>
      <x:c r="Z521" t="str">
        <x:v>Source match pending</x:v>
      </x:c>
      <x:c r="AA521" t="str">
        <x:v>screencapture-www-activesportstrade-co-uk-biotech-usa-trade-2026-09-10-09_04_18.pdf / page-04</x:v>
      </x:c>
      <x:c r="AB521" s="36" t="n">
        <x:f>IF(ISNUMBER(Y521),ROUND(Y521*0.9,2),"")</x:f>
        <x:v>6.3</x:v>
      </x:c>
      <x:c r="AC521" s="36" t="n">
        <x:f>IF(ISNUMBER(AB521),ROUND(AB521-(AB521*0.015+0.2)-V521,2),"")</x:f>
        <x:v>1.19</x:v>
      </x:c>
      <x:c r="AD521" s="36" t="n">
        <x:f>IF(ISNUMBER(Y521),ROUND(Y521*0.8,2),"")</x:f>
        <x:v>5.6</x:v>
      </x:c>
      <x:c r="AE521" s="36" t="n">
        <x:f>IF(ISNUMBER(AD521),ROUND(AD521*0.015+0.2,2),"")</x:f>
        <x:v>0.28</x:v>
      </x:c>
      <x:c r="AF521" s="36" t="n">
        <x:f>IF(ISNUMBER(AD521),ROUND(AD521-AE521-V521,2),"")</x:f>
        <x:v>0.51</x:v>
      </x:c>
      <x:c r="AG521" t="str">
        <x:f>IF(NOT(ISNUMBER(T521)),"PENDING",IF(AF521&gt;0,"PASS","FAIL"))</x:f>
        <x:v>PASS</x:v>
      </x:c>
      <x:c r="AH521" t="str">
        <x:f>IF(NOT(ISNUMBER(T521)),"Needs supplier cost",IF(K521&lt;&gt;"In stock","Supplier unavailable",IF(AG521&lt;&gt;"PASS","BLOCK - GT loss risk","Commercially protected")))</x:f>
        <x:v>Commercially protected</x:v>
      </x:c>
      <x:c r="AI521" t="str">
        <x:v>2026-09-10 Active Sports trade capture</x:v>
      </x:c>
      <x:c r="AJ521" t="str">
        <x:v>Management-only economics. Stripe stress test uses 1.5% + £0.20 standard UK online-card fee; pallet/mix-and-match pricing ignored.</x:v>
      </x:c>
    </x:row>
    <x:row r="522">
      <x:c r="A522" t="str">
        <x:v>Active Sports Nutrition</x:v>
      </x:c>
      <x:c r="B522" t="str">
        <x:v>Biotech USA</x:v>
      </x:c>
      <x:c r="C522" t="str">
        <x:v>Collagen</x:v>
      </x:c>
      <x:c r="D522" t="str">
        <x:v>Supplements</x:v>
      </x:c>
      <x:c r="E522" t="str">
        <x:v>Collagen</x:v>
      </x:c>
      <x:c r="F522" t="str">
        <x:v>Collagen powder.</x:v>
      </x:c>
      <x:c r="G522" t="str">
        <x:v>300g</x:v>
      </x:c>
      <x:c r="H522" t="str">
        <x:v>Black Raspberry</x:v>
      </x:c>
      <x:c r="I522" t="str"/>
      <x:c r="J522" t="str">
        <x:v>Unit</x:v>
      </x:c>
      <x:c r="K522" t="str">
        <x:v>In stock</x:v>
      </x:c>
      <x:c r="L522" t="str">
        <x:v>2026-09-08</x:v>
      </x:c>
      <x:c r="M522" t="str"/>
      <x:c r="N522" t="str"/>
      <x:c r="O522" t="str">
        <x:v>https://www.activesportstrade.co.uk/biotech-usa-trade</x:v>
      </x:c>
      <x:c r="P522" t="str"/>
      <x:c r="Q522" t="str"/>
      <x:c r="R522" t="str"/>
      <x:c r="S522" t="str">
        <x:v>Pending genuine supplier/brand image</x:v>
      </x:c>
      <x:c r="T522" s="54" t="n">
        <x:v>11.8</x:v>
      </x:c>
      <x:c r="U522" s="47" t="n">
        <x:v>0.2</x:v>
      </x:c>
      <x:c r="V522" s="54" t="n">
        <x:f>IF(ISNUMBER(T522),T522*(1+U522),"")</x:f>
        <x:v>14.16</x:v>
      </x:c>
      <x:c r="W522" s="47" t="n">
        <x:v>0.3</x:v>
      </x:c>
      <x:c r="X522" s="54" t="n">
        <x:f>IF(ISNUMBER(V522),V522/(1-W522),"")</x:f>
        <x:v>20.22857142857143</x:v>
      </x:c>
      <x:c r="Y522" s="55" t="n">
        <x:f>IF(ISNUMBER(X522),ROUNDUP(X522,0),"")</x:f>
        <x:v>21</x:v>
      </x:c>
      <x:c r="Z522" t="str">
        <x:v>Source match pending</x:v>
      </x:c>
      <x:c r="AA522" t="str">
        <x:v>screencapture-www-activesportstrade-co-uk-biotech-usa-trade-2026-09-10-09_04_18.pdf / page-05</x:v>
      </x:c>
      <x:c r="AB522" s="36" t="n">
        <x:f>IF(ISNUMBER(Y522),ROUND(Y522*0.9,2),"")</x:f>
        <x:v>18.9</x:v>
      </x:c>
      <x:c r="AC522" s="36" t="n">
        <x:f>IF(ISNUMBER(AB522),ROUND(AB522-(AB522*0.015+0.2)-V522,2),"")</x:f>
        <x:v>4.26</x:v>
      </x:c>
      <x:c r="AD522" s="36" t="n">
        <x:f>IF(ISNUMBER(Y522),ROUND(Y522*0.8,2),"")</x:f>
        <x:v>16.8</x:v>
      </x:c>
      <x:c r="AE522" s="36" t="n">
        <x:f>IF(ISNUMBER(AD522),ROUND(AD522*0.015+0.2,2),"")</x:f>
        <x:v>0.45</x:v>
      </x:c>
      <x:c r="AF522" s="36" t="n">
        <x:f>IF(ISNUMBER(AD522),ROUND(AD522-AE522-V522,2),"")</x:f>
        <x:v>2.19</x:v>
      </x:c>
      <x:c r="AG522" t="str">
        <x:f>IF(NOT(ISNUMBER(T522)),"PENDING",IF(AF522&gt;0,"PASS","FAIL"))</x:f>
        <x:v>PASS</x:v>
      </x:c>
      <x:c r="AH522" t="str">
        <x:f>IF(NOT(ISNUMBER(T522)),"Needs supplier cost",IF(K522&lt;&gt;"In stock","Supplier unavailable",IF(AG522&lt;&gt;"PASS","BLOCK - GT loss risk","Commercially protected")))</x:f>
        <x:v>Commercially protected</x:v>
      </x:c>
      <x:c r="AI522" t="str">
        <x:v>2026-09-10 Active Sports trade capture</x:v>
      </x:c>
      <x:c r="AJ522" t="str">
        <x:v>Management-only economics. Stripe stress test uses 1.5% + £0.20 standard UK online-card fee; pallet/mix-and-match pricing ignored.</x:v>
      </x:c>
    </x:row>
    <x:row r="523">
      <x:c r="A523" t="str">
        <x:v>Active Sports Nutrition</x:v>
      </x:c>
      <x:c r="B523" t="str">
        <x:v>Biotech USA</x:v>
      </x:c>
      <x:c r="C523" t="str">
        <x:v>Collagen</x:v>
      </x:c>
      <x:c r="D523" t="str">
        <x:v>Supplements</x:v>
      </x:c>
      <x:c r="E523" t="str">
        <x:v>Collagen</x:v>
      </x:c>
      <x:c r="F523" t="str">
        <x:v>Collagen powder.</x:v>
      </x:c>
      <x:c r="G523" t="str">
        <x:v>300g</x:v>
      </x:c>
      <x:c r="H523" t="str">
        <x:v>Lemonade</x:v>
      </x:c>
      <x:c r="I523" t="str"/>
      <x:c r="J523" t="str">
        <x:v>Unit</x:v>
      </x:c>
      <x:c r="K523" t="str">
        <x:v>In stock</x:v>
      </x:c>
      <x:c r="L523" t="str">
        <x:v>2026-09-08</x:v>
      </x:c>
      <x:c r="M523" t="str"/>
      <x:c r="N523" t="str"/>
      <x:c r="O523" t="str">
        <x:v>https://www.activesportstrade.co.uk/biotech-usa-trade</x:v>
      </x:c>
      <x:c r="P523" t="str"/>
      <x:c r="Q523" t="str"/>
      <x:c r="R523" t="str"/>
      <x:c r="S523" t="str">
        <x:v>Pending genuine supplier/brand image</x:v>
      </x:c>
      <x:c r="T523" s="54" t="n">
        <x:v>11.8</x:v>
      </x:c>
      <x:c r="U523" s="47" t="n">
        <x:v>0.2</x:v>
      </x:c>
      <x:c r="V523" s="54" t="n">
        <x:f>IF(ISNUMBER(T523),T523*(1+U523),"")</x:f>
        <x:v>14.16</x:v>
      </x:c>
      <x:c r="W523" s="47" t="n">
        <x:v>0.3</x:v>
      </x:c>
      <x:c r="X523" s="54" t="n">
        <x:f>IF(ISNUMBER(V523),V523/(1-W523),"")</x:f>
        <x:v>20.22857142857143</x:v>
      </x:c>
      <x:c r="Y523" s="55" t="n">
        <x:f>IF(ISNUMBER(X523),ROUNDUP(X523,0),"")</x:f>
        <x:v>21</x:v>
      </x:c>
      <x:c r="Z523" t="str">
        <x:v>Source match pending</x:v>
      </x:c>
      <x:c r="AA523" t="str">
        <x:v>screencapture-www-activesportstrade-co-uk-biotech-usa-trade-2026-09-10-09_04_18.pdf / page-05</x:v>
      </x:c>
      <x:c r="AB523" s="36" t="n">
        <x:f>IF(ISNUMBER(Y523),ROUND(Y523*0.9,2),"")</x:f>
        <x:v>18.9</x:v>
      </x:c>
      <x:c r="AC523" s="36" t="n">
        <x:f>IF(ISNUMBER(AB523),ROUND(AB523-(AB523*0.015+0.2)-V523,2),"")</x:f>
        <x:v>4.26</x:v>
      </x:c>
      <x:c r="AD523" s="36" t="n">
        <x:f>IF(ISNUMBER(Y523),ROUND(Y523*0.8,2),"")</x:f>
        <x:v>16.8</x:v>
      </x:c>
      <x:c r="AE523" s="36" t="n">
        <x:f>IF(ISNUMBER(AD523),ROUND(AD523*0.015+0.2,2),"")</x:f>
        <x:v>0.45</x:v>
      </x:c>
      <x:c r="AF523" s="36" t="n">
        <x:f>IF(ISNUMBER(AD523),ROUND(AD523-AE523-V523,2),"")</x:f>
        <x:v>2.19</x:v>
      </x:c>
      <x:c r="AG523" t="str">
        <x:f>IF(NOT(ISNUMBER(T523)),"PENDING",IF(AF523&gt;0,"PASS","FAIL"))</x:f>
        <x:v>PASS</x:v>
      </x:c>
      <x:c r="AH523" t="str">
        <x:f>IF(NOT(ISNUMBER(T523)),"Needs supplier cost",IF(K523&lt;&gt;"In stock","Supplier unavailable",IF(AG523&lt;&gt;"PASS","BLOCK - GT loss risk","Commercially protected")))</x:f>
        <x:v>Commercially protected</x:v>
      </x:c>
      <x:c r="AI523" t="str">
        <x:v>2026-09-10 Active Sports trade capture</x:v>
      </x:c>
      <x:c r="AJ523" t="str">
        <x:v>Management-only economics. Stripe stress test uses 1.5% + £0.20 standard UK online-card fee; pallet/mix-and-match pricing ignored.</x:v>
      </x:c>
    </x:row>
    <x:row r="524">
      <x:c r="A524" t="str">
        <x:v>Active Sports Nutrition</x:v>
      </x:c>
      <x:c r="B524" t="str">
        <x:v>Biotech USA</x:v>
      </x:c>
      <x:c r="C524" t="str">
        <x:v>Collagen Liquid</x:v>
      </x:c>
      <x:c r="D524" t="str">
        <x:v>Supplements</x:v>
      </x:c>
      <x:c r="E524" t="str">
        <x:v>Collagen</x:v>
      </x:c>
      <x:c r="F524" t="str">
        <x:v>Liquid collagen formula.</x:v>
      </x:c>
      <x:c r="G524" t="str">
        <x:v>1000ml</x:v>
      </x:c>
      <x:c r="H524" t="str">
        <x:v>Forest Fruit</x:v>
      </x:c>
      <x:c r="I524" t="str"/>
      <x:c r="J524" t="str">
        <x:v>Unit</x:v>
      </x:c>
      <x:c r="K524" t="str">
        <x:v>In stock</x:v>
      </x:c>
      <x:c r="L524" t="str">
        <x:v>2026-09-08</x:v>
      </x:c>
      <x:c r="M524" t="str"/>
      <x:c r="N524" t="str"/>
      <x:c r="O524" t="str">
        <x:v>https://www.activesportstrade.co.uk/biotech-usa-trade</x:v>
      </x:c>
      <x:c r="P524" t="str">
        <x:v>Duplicate SPECIAL OFFER/BBE listing consolidated into canonical product; promotional duplicate not created.</x:v>
      </x:c>
      <x:c r="Q524" t="str"/>
      <x:c r="R524" t="str"/>
      <x:c r="S524" t="str">
        <x:v>Pending genuine supplier/brand image</x:v>
      </x:c>
      <x:c r="T524" s="54" t="n">
        <x:v>8.99</x:v>
      </x:c>
      <x:c r="U524" s="47" t="n">
        <x:v>0.2</x:v>
      </x:c>
      <x:c r="V524" s="54" t="n">
        <x:f>IF(ISNUMBER(T524),T524*(1+U524),"")</x:f>
        <x:v>10.788</x:v>
      </x:c>
      <x:c r="W524" s="47" t="n">
        <x:v>0.3</x:v>
      </x:c>
      <x:c r="X524" s="54" t="n">
        <x:f>IF(ISNUMBER(V524),V524/(1-W524),"")</x:f>
        <x:v>15.411428571428573</x:v>
      </x:c>
      <x:c r="Y524" s="55" t="n">
        <x:f>IF(ISNUMBER(X524),ROUNDUP(X524,0),"")</x:f>
        <x:v>16</x:v>
      </x:c>
      <x:c r="Z524" t="str">
        <x:v>Source match pending</x:v>
      </x:c>
      <x:c r="AA524" t="str">
        <x:v>screencapture-www-activesportstrade-co-uk-biotech-usa-trade-2026-09-10-09_04_18.pdf / page-05</x:v>
      </x:c>
      <x:c r="AB524" s="36" t="n">
        <x:f>IF(ISNUMBER(Y524),ROUND(Y524*0.9,2),"")</x:f>
        <x:v>14.4</x:v>
      </x:c>
      <x:c r="AC524" s="36" t="n">
        <x:f>IF(ISNUMBER(AB524),ROUND(AB524-(AB524*0.015+0.2)-V524,2),"")</x:f>
        <x:v>3.2</x:v>
      </x:c>
      <x:c r="AD524" s="36" t="n">
        <x:f>IF(ISNUMBER(Y524),ROUND(Y524*0.8,2),"")</x:f>
        <x:v>12.8</x:v>
      </x:c>
      <x:c r="AE524" s="36" t="n">
        <x:f>IF(ISNUMBER(AD524),ROUND(AD524*0.015+0.2,2),"")</x:f>
        <x:v>0.39</x:v>
      </x:c>
      <x:c r="AF524" s="36" t="n">
        <x:f>IF(ISNUMBER(AD524),ROUND(AD524-AE524-V524,2),"")</x:f>
        <x:v>1.62</x:v>
      </x:c>
      <x:c r="AG524" t="str">
        <x:f>IF(NOT(ISNUMBER(T524)),"PENDING",IF(AF524&gt;0,"PASS","FAIL"))</x:f>
        <x:v>PASS</x:v>
      </x:c>
      <x:c r="AH524" t="str">
        <x:f>IF(NOT(ISNUMBER(T524)),"Needs supplier cost",IF(K524&lt;&gt;"In stock","Supplier unavailable",IF(AG524&lt;&gt;"PASS","BLOCK - GT loss risk","Commercially protected")))</x:f>
        <x:v>Commercially protected</x:v>
      </x:c>
      <x:c r="AI524" t="str">
        <x:v>2026-09-10 Active Sports trade capture</x:v>
      </x:c>
      <x:c r="AJ524" t="str">
        <x:v>Management-only economics. Stripe stress test uses 1.5% + £0.20 standard UK online-card fee; pallet/mix-and-match pricing ignored.</x:v>
      </x:c>
    </x:row>
    <x:row r="525">
      <x:c r="A525" t="str">
        <x:v>Active Sports Nutrition</x:v>
      </x:c>
      <x:c r="B525" t="str">
        <x:v>Biotech USA</x:v>
      </x:c>
      <x:c r="C525" t="str">
        <x:v>Collagen Liquid</x:v>
      </x:c>
      <x:c r="D525" t="str">
        <x:v>Supplements</x:v>
      </x:c>
      <x:c r="E525" t="str">
        <x:v>Collagen</x:v>
      </x:c>
      <x:c r="F525" t="str">
        <x:v>Liquid collagen formula.</x:v>
      </x:c>
      <x:c r="G525" t="str">
        <x:v>1000ml</x:v>
      </x:c>
      <x:c r="H525" t="str">
        <x:v>Tropical Fruit</x:v>
      </x:c>
      <x:c r="I525" t="str"/>
      <x:c r="J525" t="str">
        <x:v>Unit</x:v>
      </x:c>
      <x:c r="K525" t="str">
        <x:v>In stock</x:v>
      </x:c>
      <x:c r="L525" t="str">
        <x:v>2026-09-08</x:v>
      </x:c>
      <x:c r="M525" t="str"/>
      <x:c r="N525" t="str"/>
      <x:c r="O525" t="str">
        <x:v>https://www.activesportstrade.co.uk/biotech-usa-trade</x:v>
      </x:c>
      <x:c r="P525" t="str">
        <x:v>Duplicate SPECIAL OFFER/BBE listing consolidated into canonical product; promotional duplicate not created.</x:v>
      </x:c>
      <x:c r="Q525" t="str"/>
      <x:c r="R525" t="str"/>
      <x:c r="S525" t="str">
        <x:v>Pending genuine supplier/brand image</x:v>
      </x:c>
      <x:c r="T525" s="54" t="n">
        <x:v>8.99</x:v>
      </x:c>
      <x:c r="U525" s="47" t="n">
        <x:v>0.2</x:v>
      </x:c>
      <x:c r="V525" s="54" t="n">
        <x:f>IF(ISNUMBER(T525),T525*(1+U525),"")</x:f>
        <x:v>10.788</x:v>
      </x:c>
      <x:c r="W525" s="47" t="n">
        <x:v>0.3</x:v>
      </x:c>
      <x:c r="X525" s="54" t="n">
        <x:f>IF(ISNUMBER(V525),V525/(1-W525),"")</x:f>
        <x:v>15.411428571428573</x:v>
      </x:c>
      <x:c r="Y525" s="55" t="n">
        <x:f>IF(ISNUMBER(X525),ROUNDUP(X525,0),"")</x:f>
        <x:v>16</x:v>
      </x:c>
      <x:c r="Z525" t="str">
        <x:v>Source match pending</x:v>
      </x:c>
      <x:c r="AA525" t="str">
        <x:v>screencapture-www-activesportstrade-co-uk-biotech-usa-trade-2026-09-10-09_04_18.pdf / page-05</x:v>
      </x:c>
      <x:c r="AB525" s="36" t="n">
        <x:f>IF(ISNUMBER(Y525),ROUND(Y525*0.9,2),"")</x:f>
        <x:v>14.4</x:v>
      </x:c>
      <x:c r="AC525" s="36" t="n">
        <x:f>IF(ISNUMBER(AB525),ROUND(AB525-(AB525*0.015+0.2)-V525,2),"")</x:f>
        <x:v>3.2</x:v>
      </x:c>
      <x:c r="AD525" s="36" t="n">
        <x:f>IF(ISNUMBER(Y525),ROUND(Y525*0.8,2),"")</x:f>
        <x:v>12.8</x:v>
      </x:c>
      <x:c r="AE525" s="36" t="n">
        <x:f>IF(ISNUMBER(AD525),ROUND(AD525*0.015+0.2,2),"")</x:f>
        <x:v>0.39</x:v>
      </x:c>
      <x:c r="AF525" s="36" t="n">
        <x:f>IF(ISNUMBER(AD525),ROUND(AD525-AE525-V525,2),"")</x:f>
        <x:v>1.62</x:v>
      </x:c>
      <x:c r="AG525" t="str">
        <x:f>IF(NOT(ISNUMBER(T525)),"PENDING",IF(AF525&gt;0,"PASS","FAIL"))</x:f>
        <x:v>PASS</x:v>
      </x:c>
      <x:c r="AH525" t="str">
        <x:f>IF(NOT(ISNUMBER(T525)),"Needs supplier cost",IF(K525&lt;&gt;"In stock","Supplier unavailable",IF(AG525&lt;&gt;"PASS","BLOCK - GT loss risk","Commercially protected")))</x:f>
        <x:v>Commercially protected</x:v>
      </x:c>
      <x:c r="AI525" t="str">
        <x:v>2026-09-10 Active Sports trade capture</x:v>
      </x:c>
      <x:c r="AJ525" t="str">
        <x:v>Management-only economics. Stripe stress test uses 1.5% + £0.20 standard UK online-card fee; pallet/mix-and-match pricing ignored.</x:v>
      </x:c>
    </x:row>
    <x:row r="526">
      <x:c r="A526" t="str">
        <x:v>Active Sports Nutrition</x:v>
      </x:c>
      <x:c r="B526" t="str">
        <x:v>Biotech USA</x:v>
      </x:c>
      <x:c r="C526" t="str">
        <x:v>Crea Tor</x:v>
      </x:c>
      <x:c r="D526" t="str">
        <x:v>Supplements</x:v>
      </x:c>
      <x:c r="E526" t="str">
        <x:v>Creatine Pills</x:v>
      </x:c>
      <x:c r="F526" t="str">
        <x:v>Creatine capsule formula.</x:v>
      </x:c>
      <x:c r="G526" t="str">
        <x:v>120 caps</x:v>
      </x:c>
      <x:c r="H526" t="str">
        <x:v>Default</x:v>
      </x:c>
      <x:c r="I526" t="str"/>
      <x:c r="J526" t="str">
        <x:v>Unit</x:v>
      </x:c>
      <x:c r="K526" t="str">
        <x:v>Out of stock</x:v>
      </x:c>
      <x:c r="L526" t="str">
        <x:v>2026-09-08</x:v>
      </x:c>
      <x:c r="M526" t="str"/>
      <x:c r="N526" t="str"/>
      <x:c r="O526" t="str">
        <x:v>https://www.activesportstrade.co.uk/biotech-usa-trade</x:v>
      </x:c>
      <x:c r="P526" t="str"/>
      <x:c r="Q526" t="str"/>
      <x:c r="R526" t="str"/>
      <x:c r="S526" t="str">
        <x:v>Pending genuine supplier/brand image</x:v>
      </x:c>
      <x:c r="T526" s="54" t="n">
        <x:v>8.99</x:v>
      </x:c>
      <x:c r="U526" s="47" t="n">
        <x:v>0.2</x:v>
      </x:c>
      <x:c r="V526" s="54" t="n">
        <x:f>IF(ISNUMBER(T526),T526*(1+U526),"")</x:f>
        <x:v>10.788</x:v>
      </x:c>
      <x:c r="W526" s="47" t="n">
        <x:v>0.3</x:v>
      </x:c>
      <x:c r="X526" s="54" t="n">
        <x:f>IF(ISNUMBER(V526),V526/(1-W526),"")</x:f>
        <x:v>15.411428571428573</x:v>
      </x:c>
      <x:c r="Y526" s="55" t="n">
        <x:f>IF(ISNUMBER(X526),ROUNDUP(X526,0),"")</x:f>
        <x:v>16</x:v>
      </x:c>
      <x:c r="Z526" t="str">
        <x:v>Source match pending</x:v>
      </x:c>
      <x:c r="AA526" t="str">
        <x:v>screencapture-www-activesportstrade-co-uk-biotech-usa-trade-2026-09-10-09_04_18.pdf / page-05</x:v>
      </x:c>
      <x:c r="AB526" s="36" t="n">
        <x:f>IF(ISNUMBER(Y526),ROUND(Y526*0.9,2),"")</x:f>
        <x:v>14.4</x:v>
      </x:c>
      <x:c r="AC526" s="36" t="n">
        <x:f>IF(ISNUMBER(AB526),ROUND(AB526-(AB526*0.015+0.2)-V526,2),"")</x:f>
        <x:v>3.2</x:v>
      </x:c>
      <x:c r="AD526" s="36" t="n">
        <x:f>IF(ISNUMBER(Y526),ROUND(Y526*0.8,2),"")</x:f>
        <x:v>12.8</x:v>
      </x:c>
      <x:c r="AE526" s="36" t="n">
        <x:f>IF(ISNUMBER(AD526),ROUND(AD526*0.015+0.2,2),"")</x:f>
        <x:v>0.39</x:v>
      </x:c>
      <x:c r="AF526" s="36" t="n">
        <x:f>IF(ISNUMBER(AD526),ROUND(AD526-AE526-V526,2),"")</x:f>
        <x:v>1.62</x:v>
      </x:c>
      <x:c r="AG526" t="str">
        <x:f>IF(NOT(ISNUMBER(T526)),"PENDING",IF(AF526&gt;0,"PASS","FAIL"))</x:f>
        <x:v>PASS</x:v>
      </x:c>
      <x:c r="AH526" t="str">
        <x:f>IF(NOT(ISNUMBER(T526)),"Needs supplier cost",IF(K526&lt;&gt;"In stock","Supplier unavailable",IF(AG526&lt;&gt;"PASS","BLOCK - GT loss risk","Commercially protected")))</x:f>
        <x:v>Supplier unavailable</x:v>
      </x:c>
      <x:c r="AI526" t="str">
        <x:v>2026-09-10 Active Sports trade capture</x:v>
      </x:c>
      <x:c r="AJ526" t="str">
        <x:v>Management-only economics. Stripe stress test uses 1.5% + £0.20 standard UK online-card fee; pallet/mix-and-match pricing ignored.</x:v>
      </x:c>
    </x:row>
    <x:row r="527">
      <x:c r="A527" t="str">
        <x:v>Active Sports Nutrition</x:v>
      </x:c>
      <x:c r="B527" t="str">
        <x:v>Biotech USA</x:v>
      </x:c>
      <x:c r="C527" t="str">
        <x:v>EAA Zero</x:v>
      </x:c>
      <x:c r="D527" t="str">
        <x:v>Supplements</x:v>
      </x:c>
      <x:c r="E527" t="str">
        <x:v>Amino Acids</x:v>
      </x:c>
      <x:c r="F527" t="str">
        <x:v>Essential amino acid powder.</x:v>
      </x:c>
      <x:c r="G527" t="str">
        <x:v>182g</x:v>
      </x:c>
      <x:c r="H527" t="str">
        <x:v>Apple</x:v>
      </x:c>
      <x:c r="I527" t="str"/>
      <x:c r="J527" t="str">
        <x:v>Unit</x:v>
      </x:c>
      <x:c r="K527" t="str">
        <x:v>Out of stock</x:v>
      </x:c>
      <x:c r="L527" t="str">
        <x:v>2026-09-08</x:v>
      </x:c>
      <x:c r="M527" t="str"/>
      <x:c r="N527" t="str"/>
      <x:c r="O527" t="str">
        <x:v>https://www.activesportstrade.co.uk/biotech-usa-trade</x:v>
      </x:c>
      <x:c r="P527" t="str">
        <x:v>SPECIAL OFFER wording removed.</x:v>
      </x:c>
      <x:c r="Q527" t="str"/>
      <x:c r="R527" t="str"/>
      <x:c r="S527" t="str">
        <x:v>Pending genuine supplier/brand image</x:v>
      </x:c>
      <x:c r="T527" s="54" t="n">
        <x:v>5.99</x:v>
      </x:c>
      <x:c r="U527" s="47" t="n">
        <x:v>0.2</x:v>
      </x:c>
      <x:c r="V527" s="54" t="n">
        <x:f>IF(ISNUMBER(T527),T527*(1+U527),"")</x:f>
        <x:v>7.188</x:v>
      </x:c>
      <x:c r="W527" s="47" t="n">
        <x:v>0.3</x:v>
      </x:c>
      <x:c r="X527" s="54" t="n">
        <x:f>IF(ISNUMBER(V527),V527/(1-W527),"")</x:f>
        <x:v>10.268571428571429</x:v>
      </x:c>
      <x:c r="Y527" s="55" t="n">
        <x:f>IF(ISNUMBER(X527),ROUNDUP(X527,0),"")</x:f>
        <x:v>11</x:v>
      </x:c>
      <x:c r="Z527" t="str">
        <x:v>Source match pending</x:v>
      </x:c>
      <x:c r="AA527" t="str">
        <x:v>screencapture-www-activesportstrade-co-uk-biotech-usa-trade-2026-09-10-09_04_18.pdf / page-05</x:v>
      </x:c>
      <x:c r="AB527" s="36" t="n">
        <x:f>IF(ISNUMBER(Y527),ROUND(Y527*0.9,2),"")</x:f>
        <x:v>9.9</x:v>
      </x:c>
      <x:c r="AC527" s="36" t="n">
        <x:f>IF(ISNUMBER(AB527),ROUND(AB527-(AB527*0.015+0.2)-V527,2),"")</x:f>
        <x:v>2.36</x:v>
      </x:c>
      <x:c r="AD527" s="36" t="n">
        <x:f>IF(ISNUMBER(Y527),ROUND(Y527*0.8,2),"")</x:f>
        <x:v>8.8</x:v>
      </x:c>
      <x:c r="AE527" s="36" t="n">
        <x:f>IF(ISNUMBER(AD527),ROUND(AD527*0.015+0.2,2),"")</x:f>
        <x:v>0.33</x:v>
      </x:c>
      <x:c r="AF527" s="36" t="n">
        <x:f>IF(ISNUMBER(AD527),ROUND(AD527-AE527-V527,2),"")</x:f>
        <x:v>1.28</x:v>
      </x:c>
      <x:c r="AG527" t="str">
        <x:f>IF(NOT(ISNUMBER(T527)),"PENDING",IF(AF527&gt;0,"PASS","FAIL"))</x:f>
        <x:v>PASS</x:v>
      </x:c>
      <x:c r="AH527" t="str">
        <x:f>IF(NOT(ISNUMBER(T527)),"Needs supplier cost",IF(K527&lt;&gt;"In stock","Supplier unavailable",IF(AG527&lt;&gt;"PASS","BLOCK - GT loss risk","Commercially protected")))</x:f>
        <x:v>Supplier unavailable</x:v>
      </x:c>
      <x:c r="AI527" t="str">
        <x:v>2026-09-10 Active Sports trade capture</x:v>
      </x:c>
      <x:c r="AJ527" t="str">
        <x:v>Management-only economics. Stripe stress test uses 1.5% + £0.20 standard UK online-card fee; pallet/mix-and-match pricing ignored.</x:v>
      </x:c>
    </x:row>
    <x:row r="528">
      <x:c r="A528" t="str">
        <x:v>Active Sports Nutrition</x:v>
      </x:c>
      <x:c r="B528" t="str">
        <x:v>Biotech USA</x:v>
      </x:c>
      <x:c r="C528" t="str">
        <x:v>EAA Zero</x:v>
      </x:c>
      <x:c r="D528" t="str">
        <x:v>Supplements</x:v>
      </x:c>
      <x:c r="E528" t="str">
        <x:v>Amino Acids</x:v>
      </x:c>
      <x:c r="F528" t="str">
        <x:v>Essential amino acid powder.</x:v>
      </x:c>
      <x:c r="G528" t="str">
        <x:v>182g</x:v>
      </x:c>
      <x:c r="H528" t="str">
        <x:v>Blue Grape</x:v>
      </x:c>
      <x:c r="I528" t="str"/>
      <x:c r="J528" t="str">
        <x:v>Unit</x:v>
      </x:c>
      <x:c r="K528" t="str">
        <x:v>Out of stock</x:v>
      </x:c>
      <x:c r="L528" t="str">
        <x:v>2026-09-08</x:v>
      </x:c>
      <x:c r="M528" t="str"/>
      <x:c r="N528" t="str"/>
      <x:c r="O528" t="str">
        <x:v>https://www.activesportstrade.co.uk/biotech-usa-trade</x:v>
      </x:c>
      <x:c r="P528" t="str">
        <x:v>SPECIAL OFFER wording removed.</x:v>
      </x:c>
      <x:c r="Q528" t="str"/>
      <x:c r="R528" t="str"/>
      <x:c r="S528" t="str">
        <x:v>Pending genuine supplier/brand image</x:v>
      </x:c>
      <x:c r="T528" s="54" t="n">
        <x:v>5.99</x:v>
      </x:c>
      <x:c r="U528" s="47" t="n">
        <x:v>0.2</x:v>
      </x:c>
      <x:c r="V528" s="54" t="n">
        <x:f>IF(ISNUMBER(T528),T528*(1+U528),"")</x:f>
        <x:v>7.188</x:v>
      </x:c>
      <x:c r="W528" s="47" t="n">
        <x:v>0.3</x:v>
      </x:c>
      <x:c r="X528" s="54" t="n">
        <x:f>IF(ISNUMBER(V528),V528/(1-W528),"")</x:f>
        <x:v>10.268571428571429</x:v>
      </x:c>
      <x:c r="Y528" s="55" t="n">
        <x:f>IF(ISNUMBER(X528),ROUNDUP(X528,0),"")</x:f>
        <x:v>11</x:v>
      </x:c>
      <x:c r="Z528" t="str">
        <x:v>Source match pending</x:v>
      </x:c>
      <x:c r="AA528" t="str">
        <x:v>screencapture-www-activesportstrade-co-uk-biotech-usa-trade-2026-09-10-09_04_18.pdf / page-05</x:v>
      </x:c>
      <x:c r="AB528" s="36" t="n">
        <x:f>IF(ISNUMBER(Y528),ROUND(Y528*0.9,2),"")</x:f>
        <x:v>9.9</x:v>
      </x:c>
      <x:c r="AC528" s="36" t="n">
        <x:f>IF(ISNUMBER(AB528),ROUND(AB528-(AB528*0.015+0.2)-V528,2),"")</x:f>
        <x:v>2.36</x:v>
      </x:c>
      <x:c r="AD528" s="36" t="n">
        <x:f>IF(ISNUMBER(Y528),ROUND(Y528*0.8,2),"")</x:f>
        <x:v>8.8</x:v>
      </x:c>
      <x:c r="AE528" s="36" t="n">
        <x:f>IF(ISNUMBER(AD528),ROUND(AD528*0.015+0.2,2),"")</x:f>
        <x:v>0.33</x:v>
      </x:c>
      <x:c r="AF528" s="36" t="n">
        <x:f>IF(ISNUMBER(AD528),ROUND(AD528-AE528-V528,2),"")</x:f>
        <x:v>1.28</x:v>
      </x:c>
      <x:c r="AG528" t="str">
        <x:f>IF(NOT(ISNUMBER(T528)),"PENDING",IF(AF528&gt;0,"PASS","FAIL"))</x:f>
        <x:v>PASS</x:v>
      </x:c>
      <x:c r="AH528" t="str">
        <x:f>IF(NOT(ISNUMBER(T528)),"Needs supplier cost",IF(K528&lt;&gt;"In stock","Supplier unavailable",IF(AG528&lt;&gt;"PASS","BLOCK - GT loss risk","Commercially protected")))</x:f>
        <x:v>Supplier unavailable</x:v>
      </x:c>
      <x:c r="AI528" t="str">
        <x:v>2026-09-10 Active Sports trade capture</x:v>
      </x:c>
      <x:c r="AJ528" t="str">
        <x:v>Management-only economics. Stripe stress test uses 1.5% + £0.20 standard UK online-card fee; pallet/mix-and-match pricing ignored.</x:v>
      </x:c>
    </x:row>
    <x:row r="529">
      <x:c r="A529" t="str">
        <x:v>Active Sports Nutrition</x:v>
      </x:c>
      <x:c r="B529" t="str">
        <x:v>Biotech USA</x:v>
      </x:c>
      <x:c r="C529" t="str">
        <x:v>EAA Zero</x:v>
      </x:c>
      <x:c r="D529" t="str">
        <x:v>Supplements</x:v>
      </x:c>
      <x:c r="E529" t="str">
        <x:v>Amino Acids</x:v>
      </x:c>
      <x:c r="F529" t="str">
        <x:v>Essential amino acid powder.</x:v>
      </x:c>
      <x:c r="G529" t="str">
        <x:v>182g</x:v>
      </x:c>
      <x:c r="H529" t="str">
        <x:v>Lemon</x:v>
      </x:c>
      <x:c r="I529" t="str"/>
      <x:c r="J529" t="str">
        <x:v>Unit</x:v>
      </x:c>
      <x:c r="K529" t="str">
        <x:v>In stock</x:v>
      </x:c>
      <x:c r="L529" t="str">
        <x:v>2026-09-08</x:v>
      </x:c>
      <x:c r="M529" t="str"/>
      <x:c r="N529" t="str"/>
      <x:c r="O529" t="str">
        <x:v>https://www.activesportstrade.co.uk/biotech-usa-trade</x:v>
      </x:c>
      <x:c r="P529" t="str">
        <x:v>SPECIAL OFFER wording removed.</x:v>
      </x:c>
      <x:c r="Q529" t="str"/>
      <x:c r="R529" t="str"/>
      <x:c r="S529" t="str">
        <x:v>Pending genuine supplier/brand image</x:v>
      </x:c>
      <x:c r="T529" s="54" t="n">
        <x:v>5.99</x:v>
      </x:c>
      <x:c r="U529" s="47" t="n">
        <x:v>0.2</x:v>
      </x:c>
      <x:c r="V529" s="54" t="n">
        <x:f>IF(ISNUMBER(T529),T529*(1+U529),"")</x:f>
        <x:v>7.188</x:v>
      </x:c>
      <x:c r="W529" s="47" t="n">
        <x:v>0.3</x:v>
      </x:c>
      <x:c r="X529" s="54" t="n">
        <x:f>IF(ISNUMBER(V529),V529/(1-W529),"")</x:f>
        <x:v>10.268571428571429</x:v>
      </x:c>
      <x:c r="Y529" s="55" t="n">
        <x:f>IF(ISNUMBER(X529),ROUNDUP(X529,0),"")</x:f>
        <x:v>11</x:v>
      </x:c>
      <x:c r="Z529" t="str">
        <x:v>Source match pending</x:v>
      </x:c>
      <x:c r="AA529" t="str">
        <x:v>screencapture-www-activesportstrade-co-uk-biotech-usa-trade-2026-09-10-09_04_18.pdf / page-05</x:v>
      </x:c>
      <x:c r="AB529" s="36" t="n">
        <x:f>IF(ISNUMBER(Y529),ROUND(Y529*0.9,2),"")</x:f>
        <x:v>9.9</x:v>
      </x:c>
      <x:c r="AC529" s="36" t="n">
        <x:f>IF(ISNUMBER(AB529),ROUND(AB529-(AB529*0.015+0.2)-V529,2),"")</x:f>
        <x:v>2.36</x:v>
      </x:c>
      <x:c r="AD529" s="36" t="n">
        <x:f>IF(ISNUMBER(Y529),ROUND(Y529*0.8,2),"")</x:f>
        <x:v>8.8</x:v>
      </x:c>
      <x:c r="AE529" s="36" t="n">
        <x:f>IF(ISNUMBER(AD529),ROUND(AD529*0.015+0.2,2),"")</x:f>
        <x:v>0.33</x:v>
      </x:c>
      <x:c r="AF529" s="36" t="n">
        <x:f>IF(ISNUMBER(AD529),ROUND(AD529-AE529-V529,2),"")</x:f>
        <x:v>1.28</x:v>
      </x:c>
      <x:c r="AG529" t="str">
        <x:f>IF(NOT(ISNUMBER(T529)),"PENDING",IF(AF529&gt;0,"PASS","FAIL"))</x:f>
        <x:v>PASS</x:v>
      </x:c>
      <x:c r="AH529" t="str">
        <x:f>IF(NOT(ISNUMBER(T529)),"Needs supplier cost",IF(K529&lt;&gt;"In stock","Supplier unavailable",IF(AG529&lt;&gt;"PASS","BLOCK - GT loss risk","Commercially protected")))</x:f>
        <x:v>Commercially protected</x:v>
      </x:c>
      <x:c r="AI529" t="str">
        <x:v>2026-09-10 Active Sports trade capture</x:v>
      </x:c>
      <x:c r="AJ529" t="str">
        <x:v>Management-only economics. Stripe stress test uses 1.5% + £0.20 standard UK online-card fee; pallet/mix-and-match pricing ignored.</x:v>
      </x:c>
    </x:row>
    <x:row r="530">
      <x:c r="A530" t="str">
        <x:v>Active Sports Nutrition</x:v>
      </x:c>
      <x:c r="B530" t="str">
        <x:v>Biotech USA</x:v>
      </x:c>
      <x:c r="C530" t="str">
        <x:v>EAA Zero</x:v>
      </x:c>
      <x:c r="D530" t="str">
        <x:v>Supplements</x:v>
      </x:c>
      <x:c r="E530" t="str">
        <x:v>Amino Acids</x:v>
      </x:c>
      <x:c r="F530" t="str">
        <x:v>Essential amino acid powder.</x:v>
      </x:c>
      <x:c r="G530" t="str">
        <x:v>182g</x:v>
      </x:c>
      <x:c r="H530" t="str">
        <x:v>Lemon Ice Tea</x:v>
      </x:c>
      <x:c r="I530" t="str"/>
      <x:c r="J530" t="str">
        <x:v>Unit</x:v>
      </x:c>
      <x:c r="K530" t="str">
        <x:v>Out of stock</x:v>
      </x:c>
      <x:c r="L530" t="str">
        <x:v>2026-09-08</x:v>
      </x:c>
      <x:c r="M530" t="str"/>
      <x:c r="N530" t="str"/>
      <x:c r="O530" t="str">
        <x:v>https://www.activesportstrade.co.uk/biotech-usa-trade</x:v>
      </x:c>
      <x:c r="P530" t="str">
        <x:v>SPECIAL OFFER wording removed.</x:v>
      </x:c>
      <x:c r="Q530" t="str"/>
      <x:c r="R530" t="str"/>
      <x:c r="S530" t="str">
        <x:v>Pending genuine supplier/brand image</x:v>
      </x:c>
      <x:c r="T530" s="54" t="n">
        <x:v>5.99</x:v>
      </x:c>
      <x:c r="U530" s="47" t="n">
        <x:v>0.2</x:v>
      </x:c>
      <x:c r="V530" s="54" t="n">
        <x:f>IF(ISNUMBER(T530),T530*(1+U530),"")</x:f>
        <x:v>7.188</x:v>
      </x:c>
      <x:c r="W530" s="47" t="n">
        <x:v>0.3</x:v>
      </x:c>
      <x:c r="X530" s="54" t="n">
        <x:f>IF(ISNUMBER(V530),V530/(1-W530),"")</x:f>
        <x:v>10.268571428571429</x:v>
      </x:c>
      <x:c r="Y530" s="55" t="n">
        <x:f>IF(ISNUMBER(X530),ROUNDUP(X530,0),"")</x:f>
        <x:v>11</x:v>
      </x:c>
      <x:c r="Z530" t="str">
        <x:v>Source match pending</x:v>
      </x:c>
      <x:c r="AA530" t="str">
        <x:v>screencapture-www-activesportstrade-co-uk-biotech-usa-trade-2026-09-10-09_04_18.pdf / page-05</x:v>
      </x:c>
      <x:c r="AB530" s="36" t="n">
        <x:f>IF(ISNUMBER(Y530),ROUND(Y530*0.9,2),"")</x:f>
        <x:v>9.9</x:v>
      </x:c>
      <x:c r="AC530" s="36" t="n">
        <x:f>IF(ISNUMBER(AB530),ROUND(AB530-(AB530*0.015+0.2)-V530,2),"")</x:f>
        <x:v>2.36</x:v>
      </x:c>
      <x:c r="AD530" s="36" t="n">
        <x:f>IF(ISNUMBER(Y530),ROUND(Y530*0.8,2),"")</x:f>
        <x:v>8.8</x:v>
      </x:c>
      <x:c r="AE530" s="36" t="n">
        <x:f>IF(ISNUMBER(AD530),ROUND(AD530*0.015+0.2,2),"")</x:f>
        <x:v>0.33</x:v>
      </x:c>
      <x:c r="AF530" s="36" t="n">
        <x:f>IF(ISNUMBER(AD530),ROUND(AD530-AE530-V530,2),"")</x:f>
        <x:v>1.28</x:v>
      </x:c>
      <x:c r="AG530" t="str">
        <x:f>IF(NOT(ISNUMBER(T530)),"PENDING",IF(AF530&gt;0,"PASS","FAIL"))</x:f>
        <x:v>PASS</x:v>
      </x:c>
      <x:c r="AH530" t="str">
        <x:f>IF(NOT(ISNUMBER(T530)),"Needs supplier cost",IF(K530&lt;&gt;"In stock","Supplier unavailable",IF(AG530&lt;&gt;"PASS","BLOCK - GT loss risk","Commercially protected")))</x:f>
        <x:v>Supplier unavailable</x:v>
      </x:c>
      <x:c r="AI530" t="str">
        <x:v>2026-09-10 Active Sports trade capture</x:v>
      </x:c>
      <x:c r="AJ530" t="str">
        <x:v>Management-only economics. Stripe stress test uses 1.5% + £0.20 standard UK online-card fee; pallet/mix-and-match pricing ignored.</x:v>
      </x:c>
    </x:row>
    <x:row r="531">
      <x:c r="A531" t="str">
        <x:v>Active Sports Nutrition</x:v>
      </x:c>
      <x:c r="B531" t="str">
        <x:v>Biotech USA</x:v>
      </x:c>
      <x:c r="C531" t="str">
        <x:v>EAA Zero</x:v>
      </x:c>
      <x:c r="D531" t="str">
        <x:v>Supplements</x:v>
      </x:c>
      <x:c r="E531" t="str">
        <x:v>Amino Acids</x:v>
      </x:c>
      <x:c r="F531" t="str">
        <x:v>Essential amino acid powder.</x:v>
      </x:c>
      <x:c r="G531" t="str">
        <x:v>182g</x:v>
      </x:c>
      <x:c r="H531" t="str">
        <x:v>Pineapple Mango</x:v>
      </x:c>
      <x:c r="I531" t="str"/>
      <x:c r="J531" t="str">
        <x:v>Unit</x:v>
      </x:c>
      <x:c r="K531" t="str">
        <x:v>Out of stock</x:v>
      </x:c>
      <x:c r="L531" t="str">
        <x:v>2026-09-08</x:v>
      </x:c>
      <x:c r="M531" t="str"/>
      <x:c r="N531" t="str"/>
      <x:c r="O531" t="str">
        <x:v>https://www.activesportstrade.co.uk/biotech-usa-trade</x:v>
      </x:c>
      <x:c r="P531" t="str">
        <x:v>SPECIAL OFFER wording removed.</x:v>
      </x:c>
      <x:c r="Q531" t="str"/>
      <x:c r="R531" t="str"/>
      <x:c r="S531" t="str">
        <x:v>Pending genuine supplier/brand image</x:v>
      </x:c>
      <x:c r="T531" s="54" t="n">
        <x:v>5.99</x:v>
      </x:c>
      <x:c r="U531" s="47" t="n">
        <x:v>0.2</x:v>
      </x:c>
      <x:c r="V531" s="54" t="n">
        <x:f>IF(ISNUMBER(T531),T531*(1+U531),"")</x:f>
        <x:v>7.188</x:v>
      </x:c>
      <x:c r="W531" s="47" t="n">
        <x:v>0.3</x:v>
      </x:c>
      <x:c r="X531" s="54" t="n">
        <x:f>IF(ISNUMBER(V531),V531/(1-W531),"")</x:f>
        <x:v>10.268571428571429</x:v>
      </x:c>
      <x:c r="Y531" s="55" t="n">
        <x:f>IF(ISNUMBER(X531),ROUNDUP(X531,0),"")</x:f>
        <x:v>11</x:v>
      </x:c>
      <x:c r="Z531" t="str">
        <x:v>Source match pending</x:v>
      </x:c>
      <x:c r="AA531" t="str">
        <x:v>screencapture-www-activesportstrade-co-uk-biotech-usa-trade-2026-09-10-09_04_18.pdf / page-05</x:v>
      </x:c>
      <x:c r="AB531" s="36" t="n">
        <x:f>IF(ISNUMBER(Y531),ROUND(Y531*0.9,2),"")</x:f>
        <x:v>9.9</x:v>
      </x:c>
      <x:c r="AC531" s="36" t="n">
        <x:f>IF(ISNUMBER(AB531),ROUND(AB531-(AB531*0.015+0.2)-V531,2),"")</x:f>
        <x:v>2.36</x:v>
      </x:c>
      <x:c r="AD531" s="36" t="n">
        <x:f>IF(ISNUMBER(Y531),ROUND(Y531*0.8,2),"")</x:f>
        <x:v>8.8</x:v>
      </x:c>
      <x:c r="AE531" s="36" t="n">
        <x:f>IF(ISNUMBER(AD531),ROUND(AD531*0.015+0.2,2),"")</x:f>
        <x:v>0.33</x:v>
      </x:c>
      <x:c r="AF531" s="36" t="n">
        <x:f>IF(ISNUMBER(AD531),ROUND(AD531-AE531-V531,2),"")</x:f>
        <x:v>1.28</x:v>
      </x:c>
      <x:c r="AG531" t="str">
        <x:f>IF(NOT(ISNUMBER(T531)),"PENDING",IF(AF531&gt;0,"PASS","FAIL"))</x:f>
        <x:v>PASS</x:v>
      </x:c>
      <x:c r="AH531" t="str">
        <x:f>IF(NOT(ISNUMBER(T531)),"Needs supplier cost",IF(K531&lt;&gt;"In stock","Supplier unavailable",IF(AG531&lt;&gt;"PASS","BLOCK - GT loss risk","Commercially protected")))</x:f>
        <x:v>Supplier unavailable</x:v>
      </x:c>
      <x:c r="AI531" t="str">
        <x:v>2026-09-10 Active Sports trade capture</x:v>
      </x:c>
      <x:c r="AJ531" t="str">
        <x:v>Management-only economics. Stripe stress test uses 1.5% + £0.20 standard UK online-card fee; pallet/mix-and-match pricing ignored.</x:v>
      </x:c>
    </x:row>
    <x:row r="532">
      <x:c r="A532" t="str">
        <x:v>Active Sports Nutrition</x:v>
      </x:c>
      <x:c r="B532" t="str">
        <x:v>Biotech USA</x:v>
      </x:c>
      <x:c r="C532" t="str">
        <x:v>EAA Zero</x:v>
      </x:c>
      <x:c r="D532" t="str">
        <x:v>Supplements</x:v>
      </x:c>
      <x:c r="E532" t="str">
        <x:v>Amino Acids</x:v>
      </x:c>
      <x:c r="F532" t="str">
        <x:v>Essential amino acid powder.</x:v>
      </x:c>
      <x:c r="G532" t="str">
        <x:v>350g</x:v>
      </x:c>
      <x:c r="H532" t="str">
        <x:v>Apple</x:v>
      </x:c>
      <x:c r="I532" t="str"/>
      <x:c r="J532" t="str">
        <x:v>Unit</x:v>
      </x:c>
      <x:c r="K532" t="str">
        <x:v>In stock</x:v>
      </x:c>
      <x:c r="L532" t="str">
        <x:v>2026-09-08</x:v>
      </x:c>
      <x:c r="M532" t="str"/>
      <x:c r="N532" t="str"/>
      <x:c r="O532" t="str">
        <x:v>https://www.activesportstrade.co.uk/biotech-usa-trade</x:v>
      </x:c>
      <x:c r="P532" t="str"/>
      <x:c r="Q532" t="str"/>
      <x:c r="R532" t="str"/>
      <x:c r="S532" t="str">
        <x:v>Pending genuine supplier/brand image</x:v>
      </x:c>
      <x:c r="T532" s="54" t="n">
        <x:v>12.5</x:v>
      </x:c>
      <x:c r="U532" s="47" t="n">
        <x:v>0.2</x:v>
      </x:c>
      <x:c r="V532" s="54" t="n">
        <x:f>IF(ISNUMBER(T532),T532*(1+U532),"")</x:f>
        <x:v>15</x:v>
      </x:c>
      <x:c r="W532" s="47" t="n">
        <x:v>0.3</x:v>
      </x:c>
      <x:c r="X532" s="54" t="n">
        <x:f>IF(ISNUMBER(V532),V532/(1-W532),"")</x:f>
        <x:v>21.42857142857143</x:v>
      </x:c>
      <x:c r="Y532" s="55" t="n">
        <x:f>IF(ISNUMBER(X532),ROUNDUP(X532,0),"")</x:f>
        <x:v>22</x:v>
      </x:c>
      <x:c r="Z532" t="str">
        <x:v>Source match pending</x:v>
      </x:c>
      <x:c r="AA532" t="str">
        <x:v>screencapture-www-activesportstrade-co-uk-biotech-usa-trade-2026-09-10-09_04_18.pdf / page-05</x:v>
      </x:c>
      <x:c r="AB532" s="36" t="n">
        <x:f>IF(ISNUMBER(Y532),ROUND(Y532*0.9,2),"")</x:f>
        <x:v>19.8</x:v>
      </x:c>
      <x:c r="AC532" s="36" t="n">
        <x:f>IF(ISNUMBER(AB532),ROUND(AB532-(AB532*0.015+0.2)-V532,2),"")</x:f>
        <x:v>4.3</x:v>
      </x:c>
      <x:c r="AD532" s="36" t="n">
        <x:f>IF(ISNUMBER(Y532),ROUND(Y532*0.8,2),"")</x:f>
        <x:v>17.6</x:v>
      </x:c>
      <x:c r="AE532" s="36" t="n">
        <x:f>IF(ISNUMBER(AD532),ROUND(AD532*0.015+0.2,2),"")</x:f>
        <x:v>0.46</x:v>
      </x:c>
      <x:c r="AF532" s="36" t="n">
        <x:f>IF(ISNUMBER(AD532),ROUND(AD532-AE532-V532,2),"")</x:f>
        <x:v>2.14</x:v>
      </x:c>
      <x:c r="AG532" t="str">
        <x:f>IF(NOT(ISNUMBER(T532)),"PENDING",IF(AF532&gt;0,"PASS","FAIL"))</x:f>
        <x:v>PASS</x:v>
      </x:c>
      <x:c r="AH532" t="str">
        <x:f>IF(NOT(ISNUMBER(T532)),"Needs supplier cost",IF(K532&lt;&gt;"In stock","Supplier unavailable",IF(AG532&lt;&gt;"PASS","BLOCK - GT loss risk","Commercially protected")))</x:f>
        <x:v>Commercially protected</x:v>
      </x:c>
      <x:c r="AI532" t="str">
        <x:v>2026-09-10 Active Sports trade capture</x:v>
      </x:c>
      <x:c r="AJ532" t="str">
        <x:v>Management-only economics. Stripe stress test uses 1.5% + £0.20 standard UK online-card fee; pallet/mix-and-match pricing ignored.</x:v>
      </x:c>
    </x:row>
    <x:row r="533">
      <x:c r="A533" t="str">
        <x:v>Active Sports Nutrition</x:v>
      </x:c>
      <x:c r="B533" t="str">
        <x:v>Biotech USA</x:v>
      </x:c>
      <x:c r="C533" t="str">
        <x:v>EAA Zero</x:v>
      </x:c>
      <x:c r="D533" t="str">
        <x:v>Supplements</x:v>
      </x:c>
      <x:c r="E533" t="str">
        <x:v>Amino Acids</x:v>
      </x:c>
      <x:c r="F533" t="str">
        <x:v>Essential amino acid powder.</x:v>
      </x:c>
      <x:c r="G533" t="str">
        <x:v>350g</x:v>
      </x:c>
      <x:c r="H533" t="str">
        <x:v>Blue Grape</x:v>
      </x:c>
      <x:c r="I533" t="str"/>
      <x:c r="J533" t="str">
        <x:v>Unit</x:v>
      </x:c>
      <x:c r="K533" t="str">
        <x:v>Out of stock</x:v>
      </x:c>
      <x:c r="L533" t="str">
        <x:v>2026-09-08</x:v>
      </x:c>
      <x:c r="M533" t="str"/>
      <x:c r="N533" t="str"/>
      <x:c r="O533" t="str">
        <x:v>https://www.activesportstrade.co.uk/biotech-usa-trade</x:v>
      </x:c>
      <x:c r="P533" t="str"/>
      <x:c r="Q533" t="str"/>
      <x:c r="R533" t="str"/>
      <x:c r="S533" t="str">
        <x:v>Pending genuine supplier/brand image</x:v>
      </x:c>
      <x:c r="T533" s="54" t="n">
        <x:v>12.5</x:v>
      </x:c>
      <x:c r="U533" s="47" t="n">
        <x:v>0.2</x:v>
      </x:c>
      <x:c r="V533" s="54" t="n">
        <x:f>IF(ISNUMBER(T533),T533*(1+U533),"")</x:f>
        <x:v>15</x:v>
      </x:c>
      <x:c r="W533" s="47" t="n">
        <x:v>0.3</x:v>
      </x:c>
      <x:c r="X533" s="54" t="n">
        <x:f>IF(ISNUMBER(V533),V533/(1-W533),"")</x:f>
        <x:v>21.42857142857143</x:v>
      </x:c>
      <x:c r="Y533" s="55" t="n">
        <x:f>IF(ISNUMBER(X533),ROUNDUP(X533,0),"")</x:f>
        <x:v>22</x:v>
      </x:c>
      <x:c r="Z533" t="str">
        <x:v>Source match pending</x:v>
      </x:c>
      <x:c r="AA533" t="str">
        <x:v>screencapture-www-activesportstrade-co-uk-biotech-usa-trade-2026-09-10-09_04_18.pdf / page-05</x:v>
      </x:c>
      <x:c r="AB533" s="36" t="n">
        <x:f>IF(ISNUMBER(Y533),ROUND(Y533*0.9,2),"")</x:f>
        <x:v>19.8</x:v>
      </x:c>
      <x:c r="AC533" s="36" t="n">
        <x:f>IF(ISNUMBER(AB533),ROUND(AB533-(AB533*0.015+0.2)-V533,2),"")</x:f>
        <x:v>4.3</x:v>
      </x:c>
      <x:c r="AD533" s="36" t="n">
        <x:f>IF(ISNUMBER(Y533),ROUND(Y533*0.8,2),"")</x:f>
        <x:v>17.6</x:v>
      </x:c>
      <x:c r="AE533" s="36" t="n">
        <x:f>IF(ISNUMBER(AD533),ROUND(AD533*0.015+0.2,2),"")</x:f>
        <x:v>0.46</x:v>
      </x:c>
      <x:c r="AF533" s="36" t="n">
        <x:f>IF(ISNUMBER(AD533),ROUND(AD533-AE533-V533,2),"")</x:f>
        <x:v>2.14</x:v>
      </x:c>
      <x:c r="AG533" t="str">
        <x:f>IF(NOT(ISNUMBER(T533)),"PENDING",IF(AF533&gt;0,"PASS","FAIL"))</x:f>
        <x:v>PASS</x:v>
      </x:c>
      <x:c r="AH533" t="str">
        <x:f>IF(NOT(ISNUMBER(T533)),"Needs supplier cost",IF(K533&lt;&gt;"In stock","Supplier unavailable",IF(AG533&lt;&gt;"PASS","BLOCK - GT loss risk","Commercially protected")))</x:f>
        <x:v>Supplier unavailable</x:v>
      </x:c>
      <x:c r="AI533" t="str">
        <x:v>2026-09-10 Active Sports trade capture</x:v>
      </x:c>
      <x:c r="AJ533" t="str">
        <x:v>Management-only economics. Stripe stress test uses 1.5% + £0.20 standard UK online-card fee; pallet/mix-and-match pricing ignored.</x:v>
      </x:c>
    </x:row>
    <x:row r="534">
      <x:c r="A534" t="str">
        <x:v>Active Sports Nutrition</x:v>
      </x:c>
      <x:c r="B534" t="str">
        <x:v>Biotech USA</x:v>
      </x:c>
      <x:c r="C534" t="str">
        <x:v>EAA Zero</x:v>
      </x:c>
      <x:c r="D534" t="str">
        <x:v>Supplements</x:v>
      </x:c>
      <x:c r="E534" t="str">
        <x:v>Amino Acids</x:v>
      </x:c>
      <x:c r="F534" t="str">
        <x:v>Essential amino acid powder.</x:v>
      </x:c>
      <x:c r="G534" t="str">
        <x:v>350g</x:v>
      </x:c>
      <x:c r="H534" t="str">
        <x:v>Watermelon</x:v>
      </x:c>
      <x:c r="I534" t="str"/>
      <x:c r="J534" t="str">
        <x:v>Unit</x:v>
      </x:c>
      <x:c r="K534" t="str">
        <x:v>In stock</x:v>
      </x:c>
      <x:c r="L534" t="str">
        <x:v>2026-09-08</x:v>
      </x:c>
      <x:c r="M534" t="str"/>
      <x:c r="N534" t="str"/>
      <x:c r="O534" t="str">
        <x:v>https://www.activesportstrade.co.uk/biotech-usa-trade</x:v>
      </x:c>
      <x:c r="P534" t="str"/>
      <x:c r="Q534" t="str"/>
      <x:c r="R534" t="str"/>
      <x:c r="S534" t="str">
        <x:v>Pending genuine supplier/brand image</x:v>
      </x:c>
      <x:c r="T534" s="54" t="n">
        <x:v>12.5</x:v>
      </x:c>
      <x:c r="U534" s="47" t="n">
        <x:v>0.2</x:v>
      </x:c>
      <x:c r="V534" s="54" t="n">
        <x:f>IF(ISNUMBER(T534),T534*(1+U534),"")</x:f>
        <x:v>15</x:v>
      </x:c>
      <x:c r="W534" s="47" t="n">
        <x:v>0.3</x:v>
      </x:c>
      <x:c r="X534" s="54" t="n">
        <x:f>IF(ISNUMBER(V534),V534/(1-W534),"")</x:f>
        <x:v>21.42857142857143</x:v>
      </x:c>
      <x:c r="Y534" s="55" t="n">
        <x:f>IF(ISNUMBER(X534),ROUNDUP(X534,0),"")</x:f>
        <x:v>22</x:v>
      </x:c>
      <x:c r="Z534" t="str">
        <x:v>Source match pending</x:v>
      </x:c>
      <x:c r="AA534" t="str">
        <x:v>screencapture-www-activesportstrade-co-uk-biotech-usa-trade-2026-09-10-09_04_18.pdf / page-05</x:v>
      </x:c>
      <x:c r="AB534" s="36" t="n">
        <x:f>IF(ISNUMBER(Y534),ROUND(Y534*0.9,2),"")</x:f>
        <x:v>19.8</x:v>
      </x:c>
      <x:c r="AC534" s="36" t="n">
        <x:f>IF(ISNUMBER(AB534),ROUND(AB534-(AB534*0.015+0.2)-V534,2),"")</x:f>
        <x:v>4.3</x:v>
      </x:c>
      <x:c r="AD534" s="36" t="n">
        <x:f>IF(ISNUMBER(Y534),ROUND(Y534*0.8,2),"")</x:f>
        <x:v>17.6</x:v>
      </x:c>
      <x:c r="AE534" s="36" t="n">
        <x:f>IF(ISNUMBER(AD534),ROUND(AD534*0.015+0.2,2),"")</x:f>
        <x:v>0.46</x:v>
      </x:c>
      <x:c r="AF534" s="36" t="n">
        <x:f>IF(ISNUMBER(AD534),ROUND(AD534-AE534-V534,2),"")</x:f>
        <x:v>2.14</x:v>
      </x:c>
      <x:c r="AG534" t="str">
        <x:f>IF(NOT(ISNUMBER(T534)),"PENDING",IF(AF534&gt;0,"PASS","FAIL"))</x:f>
        <x:v>PASS</x:v>
      </x:c>
      <x:c r="AH534" t="str">
        <x:f>IF(NOT(ISNUMBER(T534)),"Needs supplier cost",IF(K534&lt;&gt;"In stock","Supplier unavailable",IF(AG534&lt;&gt;"PASS","BLOCK - GT loss risk","Commercially protected")))</x:f>
        <x:v>Commercially protected</x:v>
      </x:c>
      <x:c r="AI534" t="str">
        <x:v>2026-09-10 Active Sports trade capture</x:v>
      </x:c>
      <x:c r="AJ534" t="str">
        <x:v>Management-only economics. Stripe stress test uses 1.5% + £0.20 standard UK online-card fee; pallet/mix-and-match pricing ignored.</x:v>
      </x:c>
    </x:row>
    <x:row r="535">
      <x:c r="A535" t="str">
        <x:v>Active Sports Nutrition</x:v>
      </x:c>
      <x:c r="B535" t="str">
        <x:v>Biotech USA</x:v>
      </x:c>
      <x:c r="C535" t="str">
        <x:v>Hyper Mass</x:v>
      </x:c>
      <x:c r="D535" t="str">
        <x:v>Supplements</x:v>
      </x:c>
      <x:c r="E535" t="str">
        <x:v>Mass Gainers</x:v>
      </x:c>
      <x:c r="F535" t="str">
        <x:v>Mass-gainer powder.</x:v>
      </x:c>
      <x:c r="G535" t="str">
        <x:v>2270g</x:v>
      </x:c>
      <x:c r="H535" t="str">
        <x:v>Chocolate</x:v>
      </x:c>
      <x:c r="I535" t="str"/>
      <x:c r="J535" t="str">
        <x:v>Unit</x:v>
      </x:c>
      <x:c r="K535" t="str">
        <x:v>In stock</x:v>
      </x:c>
      <x:c r="L535" t="str">
        <x:v>2026-09-08</x:v>
      </x:c>
      <x:c r="M535" t="str"/>
      <x:c r="N535" t="str"/>
      <x:c r="O535" t="str">
        <x:v>https://www.activesportstrade.co.uk/biotech-usa-trade</x:v>
      </x:c>
      <x:c r="P535" t="str"/>
      <x:c r="Q535" t="str"/>
      <x:c r="R535" t="str"/>
      <x:c r="S535" t="str">
        <x:v>Pending genuine supplier/brand image</x:v>
      </x:c>
      <x:c r="T535" s="54" t="n">
        <x:v>22.71</x:v>
      </x:c>
      <x:c r="U535" s="47" t="n">
        <x:v>0.2</x:v>
      </x:c>
      <x:c r="V535" s="54" t="n">
        <x:f>IF(ISNUMBER(T535),T535*(1+U535),"")</x:f>
        <x:v>27.252</x:v>
      </x:c>
      <x:c r="W535" s="47" t="n">
        <x:v>0.3</x:v>
      </x:c>
      <x:c r="X535" s="54" t="n">
        <x:f>IF(ISNUMBER(V535),V535/(1-W535),"")</x:f>
        <x:v>38.93142857142857</x:v>
      </x:c>
      <x:c r="Y535" s="55" t="n">
        <x:f>IF(ISNUMBER(X535),ROUNDUP(X535,0),"")</x:f>
        <x:v>39</x:v>
      </x:c>
      <x:c r="Z535" t="str">
        <x:v>Source match pending</x:v>
      </x:c>
      <x:c r="AA535" t="str">
        <x:v>screencapture-www-activesportstrade-co-uk-biotech-usa-trade-2026-09-10-09_04_18.pdf / page-06</x:v>
      </x:c>
      <x:c r="AB535" s="36" t="n">
        <x:f>IF(ISNUMBER(Y535),ROUND(Y535*0.9,2),"")</x:f>
        <x:v>35.1</x:v>
      </x:c>
      <x:c r="AC535" s="36" t="n">
        <x:f>IF(ISNUMBER(AB535),ROUND(AB535-(AB535*0.015+0.2)-V535,2),"")</x:f>
        <x:v>7.12</x:v>
      </x:c>
      <x:c r="AD535" s="36" t="n">
        <x:f>IF(ISNUMBER(Y535),ROUND(Y535*0.8,2),"")</x:f>
        <x:v>31.2</x:v>
      </x:c>
      <x:c r="AE535" s="36" t="n">
        <x:f>IF(ISNUMBER(AD535),ROUND(AD535*0.015+0.2,2),"")</x:f>
        <x:v>0.67</x:v>
      </x:c>
      <x:c r="AF535" s="36" t="n">
        <x:f>IF(ISNUMBER(AD535),ROUND(AD535-AE535-V535,2),"")</x:f>
        <x:v>3.28</x:v>
      </x:c>
      <x:c r="AG535" t="str">
        <x:f>IF(NOT(ISNUMBER(T535)),"PENDING",IF(AF535&gt;0,"PASS","FAIL"))</x:f>
        <x:v>PASS</x:v>
      </x:c>
      <x:c r="AH535" t="str">
        <x:f>IF(NOT(ISNUMBER(T535)),"Needs supplier cost",IF(K535&lt;&gt;"In stock","Supplier unavailable",IF(AG535&lt;&gt;"PASS","BLOCK - GT loss risk","Commercially protected")))</x:f>
        <x:v>Commercially protected</x:v>
      </x:c>
      <x:c r="AI535" t="str">
        <x:v>2026-09-10 Active Sports trade capture</x:v>
      </x:c>
      <x:c r="AJ535" t="str">
        <x:v>Management-only economics. Stripe stress test uses 1.5% + £0.20 standard UK online-card fee; pallet/mix-and-match pricing ignored.</x:v>
      </x:c>
    </x:row>
    <x:row r="536">
      <x:c r="A536" t="str">
        <x:v>Active Sports Nutrition</x:v>
      </x:c>
      <x:c r="B536" t="str">
        <x:v>Biotech USA</x:v>
      </x:c>
      <x:c r="C536" t="str">
        <x:v>Hyper Mass</x:v>
      </x:c>
      <x:c r="D536" t="str">
        <x:v>Supplements</x:v>
      </x:c>
      <x:c r="E536" t="str">
        <x:v>Mass Gainers</x:v>
      </x:c>
      <x:c r="F536" t="str">
        <x:v>Mass-gainer powder.</x:v>
      </x:c>
      <x:c r="G536" t="str">
        <x:v>2270g</x:v>
      </x:c>
      <x:c r="H536" t="str">
        <x:v>Cookies &amp; Cream</x:v>
      </x:c>
      <x:c r="I536" t="str"/>
      <x:c r="J536" t="str">
        <x:v>Unit</x:v>
      </x:c>
      <x:c r="K536" t="str">
        <x:v>In stock</x:v>
      </x:c>
      <x:c r="L536" t="str">
        <x:v>2026-09-08</x:v>
      </x:c>
      <x:c r="M536" t="str"/>
      <x:c r="N536" t="str"/>
      <x:c r="O536" t="str">
        <x:v>https://www.activesportstrade.co.uk/biotech-usa-trade</x:v>
      </x:c>
      <x:c r="P536" t="str"/>
      <x:c r="Q536" t="str"/>
      <x:c r="R536" t="str"/>
      <x:c r="S536" t="str">
        <x:v>Pending genuine supplier/brand image</x:v>
      </x:c>
      <x:c r="T536" s="54" t="n">
        <x:v>22.71</x:v>
      </x:c>
      <x:c r="U536" s="47" t="n">
        <x:v>0.2</x:v>
      </x:c>
      <x:c r="V536" s="54" t="n">
        <x:f>IF(ISNUMBER(T536),T536*(1+U536),"")</x:f>
        <x:v>27.252</x:v>
      </x:c>
      <x:c r="W536" s="47" t="n">
        <x:v>0.3</x:v>
      </x:c>
      <x:c r="X536" s="54" t="n">
        <x:f>IF(ISNUMBER(V536),V536/(1-W536),"")</x:f>
        <x:v>38.93142857142857</x:v>
      </x:c>
      <x:c r="Y536" s="55" t="n">
        <x:f>IF(ISNUMBER(X536),ROUNDUP(X536,0),"")</x:f>
        <x:v>39</x:v>
      </x:c>
      <x:c r="Z536" t="str">
        <x:v>Source match pending</x:v>
      </x:c>
      <x:c r="AA536" t="str">
        <x:v>screencapture-www-activesportstrade-co-uk-biotech-usa-trade-2026-09-10-09_04_18.pdf / page-06</x:v>
      </x:c>
      <x:c r="AB536" s="36" t="n">
        <x:f>IF(ISNUMBER(Y536),ROUND(Y536*0.9,2),"")</x:f>
        <x:v>35.1</x:v>
      </x:c>
      <x:c r="AC536" s="36" t="n">
        <x:f>IF(ISNUMBER(AB536),ROUND(AB536-(AB536*0.015+0.2)-V536,2),"")</x:f>
        <x:v>7.12</x:v>
      </x:c>
      <x:c r="AD536" s="36" t="n">
        <x:f>IF(ISNUMBER(Y536),ROUND(Y536*0.8,2),"")</x:f>
        <x:v>31.2</x:v>
      </x:c>
      <x:c r="AE536" s="36" t="n">
        <x:f>IF(ISNUMBER(AD536),ROUND(AD536*0.015+0.2,2),"")</x:f>
        <x:v>0.67</x:v>
      </x:c>
      <x:c r="AF536" s="36" t="n">
        <x:f>IF(ISNUMBER(AD536),ROUND(AD536-AE536-V536,2),"")</x:f>
        <x:v>3.28</x:v>
      </x:c>
      <x:c r="AG536" t="str">
        <x:f>IF(NOT(ISNUMBER(T536)),"PENDING",IF(AF536&gt;0,"PASS","FAIL"))</x:f>
        <x:v>PASS</x:v>
      </x:c>
      <x:c r="AH536" t="str">
        <x:f>IF(NOT(ISNUMBER(T536)),"Needs supplier cost",IF(K536&lt;&gt;"In stock","Supplier unavailable",IF(AG536&lt;&gt;"PASS","BLOCK - GT loss risk","Commercially protected")))</x:f>
        <x:v>Commercially protected</x:v>
      </x:c>
      <x:c r="AI536" t="str">
        <x:v>2026-09-10 Active Sports trade capture</x:v>
      </x:c>
      <x:c r="AJ536" t="str">
        <x:v>Management-only economics. Stripe stress test uses 1.5% + £0.20 standard UK online-card fee; pallet/mix-and-match pricing ignored.</x:v>
      </x:c>
    </x:row>
    <x:row r="537">
      <x:c r="A537" t="str">
        <x:v>Active Sports Nutrition</x:v>
      </x:c>
      <x:c r="B537" t="str">
        <x:v>Biotech USA</x:v>
      </x:c>
      <x:c r="C537" t="str">
        <x:v>Hyper Mass</x:v>
      </x:c>
      <x:c r="D537" t="str">
        <x:v>Supplements</x:v>
      </x:c>
      <x:c r="E537" t="str">
        <x:v>Mass Gainers</x:v>
      </x:c>
      <x:c r="F537" t="str">
        <x:v>Mass-gainer powder.</x:v>
      </x:c>
      <x:c r="G537" t="str">
        <x:v>2270g</x:v>
      </x:c>
      <x:c r="H537" t="str">
        <x:v>Strawberry</x:v>
      </x:c>
      <x:c r="I537" t="str"/>
      <x:c r="J537" t="str">
        <x:v>Unit</x:v>
      </x:c>
      <x:c r="K537" t="str">
        <x:v>In stock</x:v>
      </x:c>
      <x:c r="L537" t="str">
        <x:v>2026-09-08</x:v>
      </x:c>
      <x:c r="M537" t="str"/>
      <x:c r="N537" t="str"/>
      <x:c r="O537" t="str">
        <x:v>https://www.activesportstrade.co.uk/biotech-usa-trade</x:v>
      </x:c>
      <x:c r="P537" t="str"/>
      <x:c r="Q537" t="str"/>
      <x:c r="R537" t="str"/>
      <x:c r="S537" t="str">
        <x:v>Pending genuine supplier/brand image</x:v>
      </x:c>
      <x:c r="T537" s="54" t="n">
        <x:v>22.71</x:v>
      </x:c>
      <x:c r="U537" s="47" t="n">
        <x:v>0.2</x:v>
      </x:c>
      <x:c r="V537" s="54" t="n">
        <x:f>IF(ISNUMBER(T537),T537*(1+U537),"")</x:f>
        <x:v>27.252</x:v>
      </x:c>
      <x:c r="W537" s="47" t="n">
        <x:v>0.3</x:v>
      </x:c>
      <x:c r="X537" s="54" t="n">
        <x:f>IF(ISNUMBER(V537),V537/(1-W537),"")</x:f>
        <x:v>38.93142857142857</x:v>
      </x:c>
      <x:c r="Y537" s="55" t="n">
        <x:f>IF(ISNUMBER(X537),ROUNDUP(X537,0),"")</x:f>
        <x:v>39</x:v>
      </x:c>
      <x:c r="Z537" t="str">
        <x:v>Source match pending</x:v>
      </x:c>
      <x:c r="AA537" t="str">
        <x:v>screencapture-www-activesportstrade-co-uk-biotech-usa-trade-2026-09-10-09_04_18.pdf / page-06</x:v>
      </x:c>
      <x:c r="AB537" s="36" t="n">
        <x:f>IF(ISNUMBER(Y537),ROUND(Y537*0.9,2),"")</x:f>
        <x:v>35.1</x:v>
      </x:c>
      <x:c r="AC537" s="36" t="n">
        <x:f>IF(ISNUMBER(AB537),ROUND(AB537-(AB537*0.015+0.2)-V537,2),"")</x:f>
        <x:v>7.12</x:v>
      </x:c>
      <x:c r="AD537" s="36" t="n">
        <x:f>IF(ISNUMBER(Y537),ROUND(Y537*0.8,2),"")</x:f>
        <x:v>31.2</x:v>
      </x:c>
      <x:c r="AE537" s="36" t="n">
        <x:f>IF(ISNUMBER(AD537),ROUND(AD537*0.015+0.2,2),"")</x:f>
        <x:v>0.67</x:v>
      </x:c>
      <x:c r="AF537" s="36" t="n">
        <x:f>IF(ISNUMBER(AD537),ROUND(AD537-AE537-V537,2),"")</x:f>
        <x:v>3.28</x:v>
      </x:c>
      <x:c r="AG537" t="str">
        <x:f>IF(NOT(ISNUMBER(T537)),"PENDING",IF(AF537&gt;0,"PASS","FAIL"))</x:f>
        <x:v>PASS</x:v>
      </x:c>
      <x:c r="AH537" t="str">
        <x:f>IF(NOT(ISNUMBER(T537)),"Needs supplier cost",IF(K537&lt;&gt;"In stock","Supplier unavailable",IF(AG537&lt;&gt;"PASS","BLOCK - GT loss risk","Commercially protected")))</x:f>
        <x:v>Commercially protected</x:v>
      </x:c>
      <x:c r="AI537" t="str">
        <x:v>2026-09-10 Active Sports trade capture</x:v>
      </x:c>
      <x:c r="AJ537" t="str">
        <x:v>Management-only economics. Stripe stress test uses 1.5% + £0.20 standard UK online-card fee; pallet/mix-and-match pricing ignored.</x:v>
      </x:c>
    </x:row>
    <x:row r="538">
      <x:c r="A538" t="str">
        <x:v>Active Sports Nutrition</x:v>
      </x:c>
      <x:c r="B538" t="str">
        <x:v>Biotech USA</x:v>
      </x:c>
      <x:c r="C538" t="str">
        <x:v>Hyper Mass</x:v>
      </x:c>
      <x:c r="D538" t="str">
        <x:v>Supplements</x:v>
      </x:c>
      <x:c r="E538" t="str">
        <x:v>Mass Gainers</x:v>
      </x:c>
      <x:c r="F538" t="str">
        <x:v>Mass-gainer powder.</x:v>
      </x:c>
      <x:c r="G538" t="str">
        <x:v>2270g</x:v>
      </x:c>
      <x:c r="H538" t="str">
        <x:v>Vanilla</x:v>
      </x:c>
      <x:c r="I538" t="str"/>
      <x:c r="J538" t="str">
        <x:v>Unit</x:v>
      </x:c>
      <x:c r="K538" t="str">
        <x:v>In stock</x:v>
      </x:c>
      <x:c r="L538" t="str">
        <x:v>2026-09-08</x:v>
      </x:c>
      <x:c r="M538" t="str"/>
      <x:c r="N538" t="str"/>
      <x:c r="O538" t="str">
        <x:v>https://www.activesportstrade.co.uk/biotech-usa-trade</x:v>
      </x:c>
      <x:c r="P538" t="str"/>
      <x:c r="Q538" t="str"/>
      <x:c r="R538" t="str"/>
      <x:c r="S538" t="str">
        <x:v>Pending genuine supplier/brand image</x:v>
      </x:c>
      <x:c r="T538" s="54" t="n">
        <x:v>22.71</x:v>
      </x:c>
      <x:c r="U538" s="47" t="n">
        <x:v>0.2</x:v>
      </x:c>
      <x:c r="V538" s="54" t="n">
        <x:f>IF(ISNUMBER(T538),T538*(1+U538),"")</x:f>
        <x:v>27.252</x:v>
      </x:c>
      <x:c r="W538" s="47" t="n">
        <x:v>0.3</x:v>
      </x:c>
      <x:c r="X538" s="54" t="n">
        <x:f>IF(ISNUMBER(V538),V538/(1-W538),"")</x:f>
        <x:v>38.93142857142857</x:v>
      </x:c>
      <x:c r="Y538" s="55" t="n">
        <x:f>IF(ISNUMBER(X538),ROUNDUP(X538,0),"")</x:f>
        <x:v>39</x:v>
      </x:c>
      <x:c r="Z538" t="str">
        <x:v>Source match pending</x:v>
      </x:c>
      <x:c r="AA538" t="str">
        <x:v>screencapture-www-activesportstrade-co-uk-biotech-usa-trade-2026-09-10-09_04_18.pdf / page-06</x:v>
      </x:c>
      <x:c r="AB538" s="36" t="n">
        <x:f>IF(ISNUMBER(Y538),ROUND(Y538*0.9,2),"")</x:f>
        <x:v>35.1</x:v>
      </x:c>
      <x:c r="AC538" s="36" t="n">
        <x:f>IF(ISNUMBER(AB538),ROUND(AB538-(AB538*0.015+0.2)-V538,2),"")</x:f>
        <x:v>7.12</x:v>
      </x:c>
      <x:c r="AD538" s="36" t="n">
        <x:f>IF(ISNUMBER(Y538),ROUND(Y538*0.8,2),"")</x:f>
        <x:v>31.2</x:v>
      </x:c>
      <x:c r="AE538" s="36" t="n">
        <x:f>IF(ISNUMBER(AD538),ROUND(AD538*0.015+0.2,2),"")</x:f>
        <x:v>0.67</x:v>
      </x:c>
      <x:c r="AF538" s="36" t="n">
        <x:f>IF(ISNUMBER(AD538),ROUND(AD538-AE538-V538,2),"")</x:f>
        <x:v>3.28</x:v>
      </x:c>
      <x:c r="AG538" t="str">
        <x:f>IF(NOT(ISNUMBER(T538)),"PENDING",IF(AF538&gt;0,"PASS","FAIL"))</x:f>
        <x:v>PASS</x:v>
      </x:c>
      <x:c r="AH538" t="str">
        <x:f>IF(NOT(ISNUMBER(T538)),"Needs supplier cost",IF(K538&lt;&gt;"In stock","Supplier unavailable",IF(AG538&lt;&gt;"PASS","BLOCK - GT loss risk","Commercially protected")))</x:f>
        <x:v>Commercially protected</x:v>
      </x:c>
      <x:c r="AI538" t="str">
        <x:v>2026-09-10 Active Sports trade capture</x:v>
      </x:c>
      <x:c r="AJ538" t="str">
        <x:v>Management-only economics. Stripe stress test uses 1.5% + £0.20 standard UK online-card fee; pallet/mix-and-match pricing ignored.</x:v>
      </x:c>
    </x:row>
    <x:row r="539">
      <x:c r="A539" t="str">
        <x:v>Active Sports Nutrition</x:v>
      </x:c>
      <x:c r="B539" t="str">
        <x:v>Biotech USA</x:v>
      </x:c>
      <x:c r="C539" t="str">
        <x:v>Hyper Mass</x:v>
      </x:c>
      <x:c r="D539" t="str">
        <x:v>Supplements</x:v>
      </x:c>
      <x:c r="E539" t="str">
        <x:v>Mass Gainers</x:v>
      </x:c>
      <x:c r="F539" t="str">
        <x:v>Mass-gainer powder.</x:v>
      </x:c>
      <x:c r="G539" t="str">
        <x:v>4000g</x:v>
      </x:c>
      <x:c r="H539" t="str">
        <x:v>Chocolate</x:v>
      </x:c>
      <x:c r="I539" t="str"/>
      <x:c r="J539" t="str">
        <x:v>Unit</x:v>
      </x:c>
      <x:c r="K539" t="str">
        <x:v>Out of stock</x:v>
      </x:c>
      <x:c r="L539" t="str">
        <x:v>2026-09-08</x:v>
      </x:c>
      <x:c r="M539" t="str"/>
      <x:c r="N539" t="str"/>
      <x:c r="O539" t="str">
        <x:v>https://www.activesportstrade.co.uk/biotech-usa-trade</x:v>
      </x:c>
      <x:c r="P539" t="str">
        <x:v>SPECIAL OFFER wording removed.</x:v>
      </x:c>
      <x:c r="Q539" t="str"/>
      <x:c r="R539" t="str"/>
      <x:c r="S539" t="str">
        <x:v>Pending genuine supplier/brand image</x:v>
      </x:c>
      <x:c r="T539" s="54" t="n">
        <x:v>31.99</x:v>
      </x:c>
      <x:c r="U539" s="47" t="n">
        <x:v>0.2</x:v>
      </x:c>
      <x:c r="V539" s="54" t="n">
        <x:f>IF(ISNUMBER(T539),T539*(1+U539),"")</x:f>
        <x:v>38.388</x:v>
      </x:c>
      <x:c r="W539" s="47" t="n">
        <x:v>0.3</x:v>
      </x:c>
      <x:c r="X539" s="54" t="n">
        <x:f>IF(ISNUMBER(V539),V539/(1-W539),"")</x:f>
        <x:v>54.84</x:v>
      </x:c>
      <x:c r="Y539" s="55" t="n">
        <x:f>IF(ISNUMBER(X539),ROUNDUP(X539,0),"")</x:f>
        <x:v>55</x:v>
      </x:c>
      <x:c r="Z539" t="str">
        <x:v>Source match pending</x:v>
      </x:c>
      <x:c r="AA539" t="str">
        <x:v>screencapture-www-activesportstrade-co-uk-biotech-usa-trade-2026-09-10-09_04_18.pdf / page-06</x:v>
      </x:c>
      <x:c r="AB539" s="36" t="n">
        <x:f>IF(ISNUMBER(Y539),ROUND(Y539*0.9,2),"")</x:f>
        <x:v>49.5</x:v>
      </x:c>
      <x:c r="AC539" s="36" t="n">
        <x:f>IF(ISNUMBER(AB539),ROUND(AB539-(AB539*0.015+0.2)-V539,2),"")</x:f>
        <x:v>10.17</x:v>
      </x:c>
      <x:c r="AD539" s="36" t="n">
        <x:f>IF(ISNUMBER(Y539),ROUND(Y539*0.8,2),"")</x:f>
        <x:v>44</x:v>
      </x:c>
      <x:c r="AE539" s="36" t="n">
        <x:f>IF(ISNUMBER(AD539),ROUND(AD539*0.015+0.2,2),"")</x:f>
        <x:v>0.86</x:v>
      </x:c>
      <x:c r="AF539" s="36" t="n">
        <x:f>IF(ISNUMBER(AD539),ROUND(AD539-AE539-V539,2),"")</x:f>
        <x:v>4.75</x:v>
      </x:c>
      <x:c r="AG539" t="str">
        <x:f>IF(NOT(ISNUMBER(T539)),"PENDING",IF(AF539&gt;0,"PASS","FAIL"))</x:f>
        <x:v>PASS</x:v>
      </x:c>
      <x:c r="AH539" t="str">
        <x:f>IF(NOT(ISNUMBER(T539)),"Needs supplier cost",IF(K539&lt;&gt;"In stock","Supplier unavailable",IF(AG539&lt;&gt;"PASS","BLOCK - GT loss risk","Commercially protected")))</x:f>
        <x:v>Supplier unavailable</x:v>
      </x:c>
      <x:c r="AI539" t="str">
        <x:v>2026-09-10 Active Sports trade capture</x:v>
      </x:c>
      <x:c r="AJ539" t="str">
        <x:v>Management-only economics. Stripe stress test uses 1.5% + £0.20 standard UK online-card fee; pallet/mix-and-match pricing ignored.</x:v>
      </x:c>
    </x:row>
    <x:row r="540">
      <x:c r="A540" t="str">
        <x:v>Active Sports Nutrition</x:v>
      </x:c>
      <x:c r="B540" t="str">
        <x:v>Biotech USA</x:v>
      </x:c>
      <x:c r="C540" t="str">
        <x:v>Hyper Mass</x:v>
      </x:c>
      <x:c r="D540" t="str">
        <x:v>Supplements</x:v>
      </x:c>
      <x:c r="E540" t="str">
        <x:v>Mass Gainers</x:v>
      </x:c>
      <x:c r="F540" t="str">
        <x:v>Mass-gainer powder.</x:v>
      </x:c>
      <x:c r="G540" t="str">
        <x:v>4000g</x:v>
      </x:c>
      <x:c r="H540" t="str">
        <x:v>Cookies &amp; Cream</x:v>
      </x:c>
      <x:c r="I540" t="str"/>
      <x:c r="J540" t="str">
        <x:v>Unit</x:v>
      </x:c>
      <x:c r="K540" t="str">
        <x:v>Out of stock</x:v>
      </x:c>
      <x:c r="L540" t="str">
        <x:v>2026-09-08</x:v>
      </x:c>
      <x:c r="M540" t="str"/>
      <x:c r="N540" t="str"/>
      <x:c r="O540" t="str">
        <x:v>https://www.activesportstrade.co.uk/biotech-usa-trade</x:v>
      </x:c>
      <x:c r="P540" t="str">
        <x:v>SPECIAL OFFER wording removed.</x:v>
      </x:c>
      <x:c r="Q540" t="str"/>
      <x:c r="R540" t="str"/>
      <x:c r="S540" t="str">
        <x:v>Pending genuine supplier/brand image</x:v>
      </x:c>
      <x:c r="T540" s="54" t="n">
        <x:v>31.99</x:v>
      </x:c>
      <x:c r="U540" s="47" t="n">
        <x:v>0.2</x:v>
      </x:c>
      <x:c r="V540" s="54" t="n">
        <x:f>IF(ISNUMBER(T540),T540*(1+U540),"")</x:f>
        <x:v>38.388</x:v>
      </x:c>
      <x:c r="W540" s="47" t="n">
        <x:v>0.3</x:v>
      </x:c>
      <x:c r="X540" s="54" t="n">
        <x:f>IF(ISNUMBER(V540),V540/(1-W540),"")</x:f>
        <x:v>54.84</x:v>
      </x:c>
      <x:c r="Y540" s="55" t="n">
        <x:f>IF(ISNUMBER(X540),ROUNDUP(X540,0),"")</x:f>
        <x:v>55</x:v>
      </x:c>
      <x:c r="Z540" t="str">
        <x:v>Source match pending</x:v>
      </x:c>
      <x:c r="AA540" t="str">
        <x:v>screencapture-www-activesportstrade-co-uk-biotech-usa-trade-2026-09-10-09_04_18.pdf / page-06</x:v>
      </x:c>
      <x:c r="AB540" s="36" t="n">
        <x:f>IF(ISNUMBER(Y540),ROUND(Y540*0.9,2),"")</x:f>
        <x:v>49.5</x:v>
      </x:c>
      <x:c r="AC540" s="36" t="n">
        <x:f>IF(ISNUMBER(AB540),ROUND(AB540-(AB540*0.015+0.2)-V540,2),"")</x:f>
        <x:v>10.17</x:v>
      </x:c>
      <x:c r="AD540" s="36" t="n">
        <x:f>IF(ISNUMBER(Y540),ROUND(Y540*0.8,2),"")</x:f>
        <x:v>44</x:v>
      </x:c>
      <x:c r="AE540" s="36" t="n">
        <x:f>IF(ISNUMBER(AD540),ROUND(AD540*0.015+0.2,2),"")</x:f>
        <x:v>0.86</x:v>
      </x:c>
      <x:c r="AF540" s="36" t="n">
        <x:f>IF(ISNUMBER(AD540),ROUND(AD540-AE540-V540,2),"")</x:f>
        <x:v>4.75</x:v>
      </x:c>
      <x:c r="AG540" t="str">
        <x:f>IF(NOT(ISNUMBER(T540)),"PENDING",IF(AF540&gt;0,"PASS","FAIL"))</x:f>
        <x:v>PASS</x:v>
      </x:c>
      <x:c r="AH540" t="str">
        <x:f>IF(NOT(ISNUMBER(T540)),"Needs supplier cost",IF(K540&lt;&gt;"In stock","Supplier unavailable",IF(AG540&lt;&gt;"PASS","BLOCK - GT loss risk","Commercially protected")))</x:f>
        <x:v>Supplier unavailable</x:v>
      </x:c>
      <x:c r="AI540" t="str">
        <x:v>2026-09-10 Active Sports trade capture</x:v>
      </x:c>
      <x:c r="AJ540" t="str">
        <x:v>Management-only economics. Stripe stress test uses 1.5% + £0.20 standard UK online-card fee; pallet/mix-and-match pricing ignored.</x:v>
      </x:c>
    </x:row>
    <x:row r="541">
      <x:c r="A541" t="str">
        <x:v>Active Sports Nutrition</x:v>
      </x:c>
      <x:c r="B541" t="str">
        <x:v>Biotech USA</x:v>
      </x:c>
      <x:c r="C541" t="str">
        <x:v>Hyper Mass</x:v>
      </x:c>
      <x:c r="D541" t="str">
        <x:v>Supplements</x:v>
      </x:c>
      <x:c r="E541" t="str">
        <x:v>Mass Gainers</x:v>
      </x:c>
      <x:c r="F541" t="str">
        <x:v>Mass-gainer powder.</x:v>
      </x:c>
      <x:c r="G541" t="str">
        <x:v>4000g</x:v>
      </x:c>
      <x:c r="H541" t="str">
        <x:v>Strawberry</x:v>
      </x:c>
      <x:c r="I541" t="str"/>
      <x:c r="J541" t="str">
        <x:v>Unit</x:v>
      </x:c>
      <x:c r="K541" t="str">
        <x:v>Out of stock</x:v>
      </x:c>
      <x:c r="L541" t="str">
        <x:v>2026-09-08</x:v>
      </x:c>
      <x:c r="M541" t="str"/>
      <x:c r="N541" t="str"/>
      <x:c r="O541" t="str">
        <x:v>https://www.activesportstrade.co.uk/biotech-usa-trade</x:v>
      </x:c>
      <x:c r="P541" t="str">
        <x:v>SPECIAL OFFER wording removed.</x:v>
      </x:c>
      <x:c r="Q541" t="str"/>
      <x:c r="R541" t="str"/>
      <x:c r="S541" t="str">
        <x:v>Pending genuine supplier/brand image</x:v>
      </x:c>
      <x:c r="T541" s="54" t="n">
        <x:v>31.99</x:v>
      </x:c>
      <x:c r="U541" s="47" t="n">
        <x:v>0.2</x:v>
      </x:c>
      <x:c r="V541" s="54" t="n">
        <x:f>IF(ISNUMBER(T541),T541*(1+U541),"")</x:f>
        <x:v>38.388</x:v>
      </x:c>
      <x:c r="W541" s="47" t="n">
        <x:v>0.3</x:v>
      </x:c>
      <x:c r="X541" s="54" t="n">
        <x:f>IF(ISNUMBER(V541),V541/(1-W541),"")</x:f>
        <x:v>54.84</x:v>
      </x:c>
      <x:c r="Y541" s="55" t="n">
        <x:f>IF(ISNUMBER(X541),ROUNDUP(X541,0),"")</x:f>
        <x:v>55</x:v>
      </x:c>
      <x:c r="Z541" t="str">
        <x:v>Source match pending</x:v>
      </x:c>
      <x:c r="AA541" t="str">
        <x:v>screencapture-www-activesportstrade-co-uk-biotech-usa-trade-2026-09-10-09_04_18.pdf / page-06</x:v>
      </x:c>
      <x:c r="AB541" s="36" t="n">
        <x:f>IF(ISNUMBER(Y541),ROUND(Y541*0.9,2),"")</x:f>
        <x:v>49.5</x:v>
      </x:c>
      <x:c r="AC541" s="36" t="n">
        <x:f>IF(ISNUMBER(AB541),ROUND(AB541-(AB541*0.015+0.2)-V541,2),"")</x:f>
        <x:v>10.17</x:v>
      </x:c>
      <x:c r="AD541" s="36" t="n">
        <x:f>IF(ISNUMBER(Y541),ROUND(Y541*0.8,2),"")</x:f>
        <x:v>44</x:v>
      </x:c>
      <x:c r="AE541" s="36" t="n">
        <x:f>IF(ISNUMBER(AD541),ROUND(AD541*0.015+0.2,2),"")</x:f>
        <x:v>0.86</x:v>
      </x:c>
      <x:c r="AF541" s="36" t="n">
        <x:f>IF(ISNUMBER(AD541),ROUND(AD541-AE541-V541,2),"")</x:f>
        <x:v>4.75</x:v>
      </x:c>
      <x:c r="AG541" t="str">
        <x:f>IF(NOT(ISNUMBER(T541)),"PENDING",IF(AF541&gt;0,"PASS","FAIL"))</x:f>
        <x:v>PASS</x:v>
      </x:c>
      <x:c r="AH541" t="str">
        <x:f>IF(NOT(ISNUMBER(T541)),"Needs supplier cost",IF(K541&lt;&gt;"In stock","Supplier unavailable",IF(AG541&lt;&gt;"PASS","BLOCK - GT loss risk","Commercially protected")))</x:f>
        <x:v>Supplier unavailable</x:v>
      </x:c>
      <x:c r="AI541" t="str">
        <x:v>2026-09-10 Active Sports trade capture</x:v>
      </x:c>
      <x:c r="AJ541" t="str">
        <x:v>Management-only economics. Stripe stress test uses 1.5% + £0.20 standard UK online-card fee; pallet/mix-and-match pricing ignored.</x:v>
      </x:c>
    </x:row>
    <x:row r="542">
      <x:c r="A542" t="str">
        <x:v>Active Sports Nutrition</x:v>
      </x:c>
      <x:c r="B542" t="str">
        <x:v>Biotech USA</x:v>
      </x:c>
      <x:c r="C542" t="str">
        <x:v>Hyper Mass</x:v>
      </x:c>
      <x:c r="D542" t="str">
        <x:v>Supplements</x:v>
      </x:c>
      <x:c r="E542" t="str">
        <x:v>Mass Gainers</x:v>
      </x:c>
      <x:c r="F542" t="str">
        <x:v>Mass-gainer powder.</x:v>
      </x:c>
      <x:c r="G542" t="str">
        <x:v>4000g</x:v>
      </x:c>
      <x:c r="H542" t="str">
        <x:v>Vanilla</x:v>
      </x:c>
      <x:c r="I542" t="str"/>
      <x:c r="J542" t="str">
        <x:v>Unit</x:v>
      </x:c>
      <x:c r="K542" t="str">
        <x:v>Out of stock</x:v>
      </x:c>
      <x:c r="L542" t="str">
        <x:v>2026-09-08</x:v>
      </x:c>
      <x:c r="M542" t="str"/>
      <x:c r="N542" t="str"/>
      <x:c r="O542" t="str">
        <x:v>https://www.activesportstrade.co.uk/biotech-usa-trade</x:v>
      </x:c>
      <x:c r="P542" t="str">
        <x:v>SPECIAL OFFER wording removed.</x:v>
      </x:c>
      <x:c r="Q542" t="str"/>
      <x:c r="R542" t="str"/>
      <x:c r="S542" t="str">
        <x:v>Pending genuine supplier/brand image</x:v>
      </x:c>
      <x:c r="T542" s="54" t="n">
        <x:v>31.99</x:v>
      </x:c>
      <x:c r="U542" s="47" t="n">
        <x:v>0.2</x:v>
      </x:c>
      <x:c r="V542" s="54" t="n">
        <x:f>IF(ISNUMBER(T542),T542*(1+U542),"")</x:f>
        <x:v>38.388</x:v>
      </x:c>
      <x:c r="W542" s="47" t="n">
        <x:v>0.3</x:v>
      </x:c>
      <x:c r="X542" s="54" t="n">
        <x:f>IF(ISNUMBER(V542),V542/(1-W542),"")</x:f>
        <x:v>54.84</x:v>
      </x:c>
      <x:c r="Y542" s="55" t="n">
        <x:f>IF(ISNUMBER(X542),ROUNDUP(X542,0),"")</x:f>
        <x:v>55</x:v>
      </x:c>
      <x:c r="Z542" t="str">
        <x:v>Source match pending</x:v>
      </x:c>
      <x:c r="AA542" t="str">
        <x:v>screencapture-www-activesportstrade-co-uk-biotech-usa-trade-2026-09-10-09_04_18.pdf / page-06</x:v>
      </x:c>
      <x:c r="AB542" s="36" t="n">
        <x:f>IF(ISNUMBER(Y542),ROUND(Y542*0.9,2),"")</x:f>
        <x:v>49.5</x:v>
      </x:c>
      <x:c r="AC542" s="36" t="n">
        <x:f>IF(ISNUMBER(AB542),ROUND(AB542-(AB542*0.015+0.2)-V542,2),"")</x:f>
        <x:v>10.17</x:v>
      </x:c>
      <x:c r="AD542" s="36" t="n">
        <x:f>IF(ISNUMBER(Y542),ROUND(Y542*0.8,2),"")</x:f>
        <x:v>44</x:v>
      </x:c>
      <x:c r="AE542" s="36" t="n">
        <x:f>IF(ISNUMBER(AD542),ROUND(AD542*0.015+0.2,2),"")</x:f>
        <x:v>0.86</x:v>
      </x:c>
      <x:c r="AF542" s="36" t="n">
        <x:f>IF(ISNUMBER(AD542),ROUND(AD542-AE542-V542,2),"")</x:f>
        <x:v>4.75</x:v>
      </x:c>
      <x:c r="AG542" t="str">
        <x:f>IF(NOT(ISNUMBER(T542)),"PENDING",IF(AF542&gt;0,"PASS","FAIL"))</x:f>
        <x:v>PASS</x:v>
      </x:c>
      <x:c r="AH542" t="str">
        <x:f>IF(NOT(ISNUMBER(T542)),"Needs supplier cost",IF(K542&lt;&gt;"In stock","Supplier unavailable",IF(AG542&lt;&gt;"PASS","BLOCK - GT loss risk","Commercially protected")))</x:f>
        <x:v>Supplier unavailable</x:v>
      </x:c>
      <x:c r="AI542" t="str">
        <x:v>2026-09-10 Active Sports trade capture</x:v>
      </x:c>
      <x:c r="AJ542" t="str">
        <x:v>Management-only economics. Stripe stress test uses 1.5% + £0.20 standard UK online-card fee; pallet/mix-and-match pricing ignored.</x:v>
      </x:c>
    </x:row>
    <x:row r="543">
      <x:c r="A543" t="str">
        <x:v>Active Sports Nutrition</x:v>
      </x:c>
      <x:c r="B543" t="str">
        <x:v>Biotech USA</x:v>
      </x:c>
      <x:c r="C543" t="str">
        <x:v>Hyper Mass</x:v>
      </x:c>
      <x:c r="D543" t="str">
        <x:v>Supplements</x:v>
      </x:c>
      <x:c r="E543" t="str">
        <x:v>Mass Gainers</x:v>
      </x:c>
      <x:c r="F543" t="str">
        <x:v>Mass-gainer powder.</x:v>
      </x:c>
      <x:c r="G543" t="str">
        <x:v>6.8kg</x:v>
      </x:c>
      <x:c r="H543" t="str">
        <x:v>Vanilla</x:v>
      </x:c>
      <x:c r="I543" t="str"/>
      <x:c r="J543" t="str">
        <x:v>Unit</x:v>
      </x:c>
      <x:c r="K543" t="str">
        <x:v>In stock</x:v>
      </x:c>
      <x:c r="L543" t="str">
        <x:v>2026-09-08</x:v>
      </x:c>
      <x:c r="M543" t="str"/>
      <x:c r="N543" t="str"/>
      <x:c r="O543" t="str">
        <x:v>https://www.activesportstrade.co.uk/biotech-usa-trade</x:v>
      </x:c>
      <x:c r="P543" t="str"/>
      <x:c r="Q543" t="str"/>
      <x:c r="R543" t="str"/>
      <x:c r="S543" t="str">
        <x:v>Pending genuine supplier/brand image</x:v>
      </x:c>
      <x:c r="T543" s="54" t="n">
        <x:v>47.99</x:v>
      </x:c>
      <x:c r="U543" s="47" t="n">
        <x:v>0.2</x:v>
      </x:c>
      <x:c r="V543" s="54" t="n">
        <x:f>IF(ISNUMBER(T543),T543*(1+U543),"")</x:f>
        <x:v>57.588</x:v>
      </x:c>
      <x:c r="W543" s="47" t="n">
        <x:v>0.3</x:v>
      </x:c>
      <x:c r="X543" s="54" t="n">
        <x:f>IF(ISNUMBER(V543),V543/(1-W543),"")</x:f>
        <x:v>82.26857142857143</x:v>
      </x:c>
      <x:c r="Y543" s="55" t="n">
        <x:f>IF(ISNUMBER(X543),ROUNDUP(X543,0),"")</x:f>
        <x:v>83</x:v>
      </x:c>
      <x:c r="Z543" t="str">
        <x:v>Source match pending</x:v>
      </x:c>
      <x:c r="AA543" t="str">
        <x:v>screencapture-www-activesportstrade-co-uk-biotech-usa-trade-2026-09-10-09_04_18.pdf / page-06</x:v>
      </x:c>
      <x:c r="AB543" s="36" t="n">
        <x:f>IF(ISNUMBER(Y543),ROUND(Y543*0.9,2),"")</x:f>
        <x:v>74.7</x:v>
      </x:c>
      <x:c r="AC543" s="36" t="n">
        <x:f>IF(ISNUMBER(AB543),ROUND(AB543-(AB543*0.015+0.2)-V543,2),"")</x:f>
        <x:v>15.79</x:v>
      </x:c>
      <x:c r="AD543" s="36" t="n">
        <x:f>IF(ISNUMBER(Y543),ROUND(Y543*0.8,2),"")</x:f>
        <x:v>66.4</x:v>
      </x:c>
      <x:c r="AE543" s="36" t="n">
        <x:f>IF(ISNUMBER(AD543),ROUND(AD543*0.015+0.2,2),"")</x:f>
        <x:v>1.2</x:v>
      </x:c>
      <x:c r="AF543" s="36" t="n">
        <x:f>IF(ISNUMBER(AD543),ROUND(AD543-AE543-V543,2),"")</x:f>
        <x:v>7.61</x:v>
      </x:c>
      <x:c r="AG543" t="str">
        <x:f>IF(NOT(ISNUMBER(T543)),"PENDING",IF(AF543&gt;0,"PASS","FAIL"))</x:f>
        <x:v>PASS</x:v>
      </x:c>
      <x:c r="AH543" t="str">
        <x:f>IF(NOT(ISNUMBER(T543)),"Needs supplier cost",IF(K543&lt;&gt;"In stock","Supplier unavailable",IF(AG543&lt;&gt;"PASS","BLOCK - GT loss risk","Commercially protected")))</x:f>
        <x:v>Commercially protected</x:v>
      </x:c>
      <x:c r="AI543" t="str">
        <x:v>2026-09-10 Active Sports trade capture</x:v>
      </x:c>
      <x:c r="AJ543" t="str">
        <x:v>Management-only economics. Stripe stress test uses 1.5% + £0.20 standard UK online-card fee; pallet/mix-and-match pricing ignored.</x:v>
      </x:c>
    </x:row>
    <x:row r="544">
      <x:c r="A544" t="str">
        <x:v>Active Sports Nutrition</x:v>
      </x:c>
      <x:c r="B544" t="str">
        <x:v>Biotech USA</x:v>
      </x:c>
      <x:c r="C544" t="str">
        <x:v>Iso Whey Zero</x:v>
      </x:c>
      <x:c r="D544" t="str">
        <x:v>Supplements</x:v>
      </x:c>
      <x:c r="E544" t="str">
        <x:v>Whey Protein</x:v>
      </x:c>
      <x:c r="F544" t="str">
        <x:v>Whey protein isolate.</x:v>
      </x:c>
      <x:c r="G544" t="str">
        <x:v>1.816kg</x:v>
      </x:c>
      <x:c r="H544" t="str">
        <x:v>Banana</x:v>
      </x:c>
      <x:c r="I544" t="str"/>
      <x:c r="J544" t="str">
        <x:v>Unit</x:v>
      </x:c>
      <x:c r="K544" t="str">
        <x:v>In stock</x:v>
      </x:c>
      <x:c r="L544" t="str">
        <x:v>2026-09-08</x:v>
      </x:c>
      <x:c r="M544" t="str"/>
      <x:c r="N544" t="str"/>
      <x:c r="O544" t="str">
        <x:v>https://www.activesportstrade.co.uk/biotech-usa-trade</x:v>
      </x:c>
      <x:c r="P544" t="str"/>
      <x:c r="Q544" t="str"/>
      <x:c r="R544" t="str"/>
      <x:c r="S544" t="str">
        <x:v>Pending genuine supplier/brand image</x:v>
      </x:c>
      <x:c r="T544" s="54" t="n">
        <x:v>56.99</x:v>
      </x:c>
      <x:c r="U544" s="47" t="n">
        <x:v>0.2</x:v>
      </x:c>
      <x:c r="V544" s="54" t="n">
        <x:f>IF(ISNUMBER(T544),T544*(1+U544),"")</x:f>
        <x:v>68.388</x:v>
      </x:c>
      <x:c r="W544" s="47" t="n">
        <x:v>0.3</x:v>
      </x:c>
      <x:c r="X544" s="54" t="n">
        <x:f>IF(ISNUMBER(V544),V544/(1-W544),"")</x:f>
        <x:v>97.69714285714286</x:v>
      </x:c>
      <x:c r="Y544" s="55" t="n">
        <x:f>IF(ISNUMBER(X544),ROUNDUP(X544,0),"")</x:f>
        <x:v>98</x:v>
      </x:c>
      <x:c r="Z544" t="str">
        <x:v>Source match pending</x:v>
      </x:c>
      <x:c r="AA544" t="str">
        <x:v>screencapture-www-activesportstrade-co-uk-biotech-usa-trade-2026-09-10-09_04_18.pdf / page-06</x:v>
      </x:c>
      <x:c r="AB544" s="36" t="n">
        <x:f>IF(ISNUMBER(Y544),ROUND(Y544*0.9,2),"")</x:f>
        <x:v>88.2</x:v>
      </x:c>
      <x:c r="AC544" s="36" t="n">
        <x:f>IF(ISNUMBER(AB544),ROUND(AB544-(AB544*0.015+0.2)-V544,2),"")</x:f>
        <x:v>18.29</x:v>
      </x:c>
      <x:c r="AD544" s="36" t="n">
        <x:f>IF(ISNUMBER(Y544),ROUND(Y544*0.8,2),"")</x:f>
        <x:v>78.4</x:v>
      </x:c>
      <x:c r="AE544" s="36" t="n">
        <x:f>IF(ISNUMBER(AD544),ROUND(AD544*0.015+0.2,2),"")</x:f>
        <x:v>1.38</x:v>
      </x:c>
      <x:c r="AF544" s="36" t="n">
        <x:f>IF(ISNUMBER(AD544),ROUND(AD544-AE544-V544,2),"")</x:f>
        <x:v>8.63</x:v>
      </x:c>
      <x:c r="AG544" t="str">
        <x:f>IF(NOT(ISNUMBER(T544)),"PENDING",IF(AF544&gt;0,"PASS","FAIL"))</x:f>
        <x:v>PASS</x:v>
      </x:c>
      <x:c r="AH544" t="str">
        <x:f>IF(NOT(ISNUMBER(T544)),"Needs supplier cost",IF(K544&lt;&gt;"In stock","Supplier unavailable",IF(AG544&lt;&gt;"PASS","BLOCK - GT loss risk","Commercially protected")))</x:f>
        <x:v>Commercially protected</x:v>
      </x:c>
      <x:c r="AI544" t="str">
        <x:v>2026-09-10 Active Sports trade capture</x:v>
      </x:c>
      <x:c r="AJ544" t="str">
        <x:v>Management-only economics. Stripe stress test uses 1.5% + £0.20 standard UK online-card fee; pallet/mix-and-match pricing ignored.</x:v>
      </x:c>
    </x:row>
    <x:row r="545">
      <x:c r="A545" t="str">
        <x:v>Active Sports Nutrition</x:v>
      </x:c>
      <x:c r="B545" t="str">
        <x:v>Biotech USA</x:v>
      </x:c>
      <x:c r="C545" t="str">
        <x:v>Iso Whey Zero</x:v>
      </x:c>
      <x:c r="D545" t="str">
        <x:v>Supplements</x:v>
      </x:c>
      <x:c r="E545" t="str">
        <x:v>Whey Protein</x:v>
      </x:c>
      <x:c r="F545" t="str">
        <x:v>Whey protein isolate.</x:v>
      </x:c>
      <x:c r="G545" t="str">
        <x:v>1.816kg</x:v>
      </x:c>
      <x:c r="H545" t="str">
        <x:v>Black Biscuits</x:v>
      </x:c>
      <x:c r="I545" t="str"/>
      <x:c r="J545" t="str">
        <x:v>Unit</x:v>
      </x:c>
      <x:c r="K545" t="str">
        <x:v>In stock</x:v>
      </x:c>
      <x:c r="L545" t="str">
        <x:v>2026-09-08</x:v>
      </x:c>
      <x:c r="M545" t="str"/>
      <x:c r="N545" t="str"/>
      <x:c r="O545" t="str">
        <x:v>https://www.activesportstrade.co.uk/biotech-usa-trade</x:v>
      </x:c>
      <x:c r="P545" t="str"/>
      <x:c r="Q545" t="str"/>
      <x:c r="R545" t="str"/>
      <x:c r="S545" t="str">
        <x:v>Pending genuine supplier/brand image</x:v>
      </x:c>
      <x:c r="T545" s="54" t="n">
        <x:v>56.99</x:v>
      </x:c>
      <x:c r="U545" s="47" t="n">
        <x:v>0.2</x:v>
      </x:c>
      <x:c r="V545" s="54" t="n">
        <x:f>IF(ISNUMBER(T545),T545*(1+U545),"")</x:f>
        <x:v>68.388</x:v>
      </x:c>
      <x:c r="W545" s="47" t="n">
        <x:v>0.3</x:v>
      </x:c>
      <x:c r="X545" s="54" t="n">
        <x:f>IF(ISNUMBER(V545),V545/(1-W545),"")</x:f>
        <x:v>97.69714285714286</x:v>
      </x:c>
      <x:c r="Y545" s="55" t="n">
        <x:f>IF(ISNUMBER(X545),ROUNDUP(X545,0),"")</x:f>
        <x:v>98</x:v>
      </x:c>
      <x:c r="Z545" t="str">
        <x:v>Source match pending</x:v>
      </x:c>
      <x:c r="AA545" t="str">
        <x:v>screencapture-www-activesportstrade-co-uk-biotech-usa-trade-2026-09-10-09_04_18.pdf / page-06</x:v>
      </x:c>
      <x:c r="AB545" s="36" t="n">
        <x:f>IF(ISNUMBER(Y545),ROUND(Y545*0.9,2),"")</x:f>
        <x:v>88.2</x:v>
      </x:c>
      <x:c r="AC545" s="36" t="n">
        <x:f>IF(ISNUMBER(AB545),ROUND(AB545-(AB545*0.015+0.2)-V545,2),"")</x:f>
        <x:v>18.29</x:v>
      </x:c>
      <x:c r="AD545" s="36" t="n">
        <x:f>IF(ISNUMBER(Y545),ROUND(Y545*0.8,2),"")</x:f>
        <x:v>78.4</x:v>
      </x:c>
      <x:c r="AE545" s="36" t="n">
        <x:f>IF(ISNUMBER(AD545),ROUND(AD545*0.015+0.2,2),"")</x:f>
        <x:v>1.38</x:v>
      </x:c>
      <x:c r="AF545" s="36" t="n">
        <x:f>IF(ISNUMBER(AD545),ROUND(AD545-AE545-V545,2),"")</x:f>
        <x:v>8.63</x:v>
      </x:c>
      <x:c r="AG545" t="str">
        <x:f>IF(NOT(ISNUMBER(T545)),"PENDING",IF(AF545&gt;0,"PASS","FAIL"))</x:f>
        <x:v>PASS</x:v>
      </x:c>
      <x:c r="AH545" t="str">
        <x:f>IF(NOT(ISNUMBER(T545)),"Needs supplier cost",IF(K545&lt;&gt;"In stock","Supplier unavailable",IF(AG545&lt;&gt;"PASS","BLOCK - GT loss risk","Commercially protected")))</x:f>
        <x:v>Commercially protected</x:v>
      </x:c>
      <x:c r="AI545" t="str">
        <x:v>2026-09-10 Active Sports trade capture</x:v>
      </x:c>
      <x:c r="AJ545" t="str">
        <x:v>Management-only economics. Stripe stress test uses 1.5% + £0.20 standard UK online-card fee; pallet/mix-and-match pricing ignored.</x:v>
      </x:c>
    </x:row>
    <x:row r="546">
      <x:c r="A546" t="str">
        <x:v>Active Sports Nutrition</x:v>
      </x:c>
      <x:c r="B546" t="str">
        <x:v>Biotech USA</x:v>
      </x:c>
      <x:c r="C546" t="str">
        <x:v>Iso Whey Zero</x:v>
      </x:c>
      <x:c r="D546" t="str">
        <x:v>Supplements</x:v>
      </x:c>
      <x:c r="E546" t="str">
        <x:v>Whey Protein</x:v>
      </x:c>
      <x:c r="F546" t="str">
        <x:v>Whey protein isolate.</x:v>
      </x:c>
      <x:c r="G546" t="str">
        <x:v>1.816kg</x:v>
      </x:c>
      <x:c r="H546" t="str">
        <x:v>Cafe Latte</x:v>
      </x:c>
      <x:c r="I546" t="str"/>
      <x:c r="J546" t="str">
        <x:v>Unit</x:v>
      </x:c>
      <x:c r="K546" t="str">
        <x:v>In stock</x:v>
      </x:c>
      <x:c r="L546" t="str">
        <x:v>2026-09-08</x:v>
      </x:c>
      <x:c r="M546" t="str"/>
      <x:c r="N546" t="str"/>
      <x:c r="O546" t="str">
        <x:v>https://www.activesportstrade.co.uk/biotech-usa-trade</x:v>
      </x:c>
      <x:c r="P546" t="str"/>
      <x:c r="Q546" t="str"/>
      <x:c r="R546" t="str"/>
      <x:c r="S546" t="str">
        <x:v>Pending genuine supplier/brand image</x:v>
      </x:c>
      <x:c r="T546" s="54" t="n">
        <x:v>56.99</x:v>
      </x:c>
      <x:c r="U546" s="47" t="n">
        <x:v>0.2</x:v>
      </x:c>
      <x:c r="V546" s="54" t="n">
        <x:f>IF(ISNUMBER(T546),T546*(1+U546),"")</x:f>
        <x:v>68.388</x:v>
      </x:c>
      <x:c r="W546" s="47" t="n">
        <x:v>0.3</x:v>
      </x:c>
      <x:c r="X546" s="54" t="n">
        <x:f>IF(ISNUMBER(V546),V546/(1-W546),"")</x:f>
        <x:v>97.69714285714286</x:v>
      </x:c>
      <x:c r="Y546" s="55" t="n">
        <x:f>IF(ISNUMBER(X546),ROUNDUP(X546,0),"")</x:f>
        <x:v>98</x:v>
      </x:c>
      <x:c r="Z546" t="str">
        <x:v>Source match pending</x:v>
      </x:c>
      <x:c r="AA546" t="str">
        <x:v>screencapture-www-activesportstrade-co-uk-biotech-usa-trade-2026-09-10-09_04_18.pdf / page-06</x:v>
      </x:c>
      <x:c r="AB546" s="36" t="n">
        <x:f>IF(ISNUMBER(Y546),ROUND(Y546*0.9,2),"")</x:f>
        <x:v>88.2</x:v>
      </x:c>
      <x:c r="AC546" s="36" t="n">
        <x:f>IF(ISNUMBER(AB546),ROUND(AB546-(AB546*0.015+0.2)-V546,2),"")</x:f>
        <x:v>18.29</x:v>
      </x:c>
      <x:c r="AD546" s="36" t="n">
        <x:f>IF(ISNUMBER(Y546),ROUND(Y546*0.8,2),"")</x:f>
        <x:v>78.4</x:v>
      </x:c>
      <x:c r="AE546" s="36" t="n">
        <x:f>IF(ISNUMBER(AD546),ROUND(AD546*0.015+0.2,2),"")</x:f>
        <x:v>1.38</x:v>
      </x:c>
      <x:c r="AF546" s="36" t="n">
        <x:f>IF(ISNUMBER(AD546),ROUND(AD546-AE546-V546,2),"")</x:f>
        <x:v>8.63</x:v>
      </x:c>
      <x:c r="AG546" t="str">
        <x:f>IF(NOT(ISNUMBER(T546)),"PENDING",IF(AF546&gt;0,"PASS","FAIL"))</x:f>
        <x:v>PASS</x:v>
      </x:c>
      <x:c r="AH546" t="str">
        <x:f>IF(NOT(ISNUMBER(T546)),"Needs supplier cost",IF(K546&lt;&gt;"In stock","Supplier unavailable",IF(AG546&lt;&gt;"PASS","BLOCK - GT loss risk","Commercially protected")))</x:f>
        <x:v>Commercially protected</x:v>
      </x:c>
      <x:c r="AI546" t="str">
        <x:v>2026-09-10 Active Sports trade capture</x:v>
      </x:c>
      <x:c r="AJ546" t="str">
        <x:v>Management-only economics. Stripe stress test uses 1.5% + £0.20 standard UK online-card fee; pallet/mix-and-match pricing ignored.</x:v>
      </x:c>
    </x:row>
    <x:row r="547">
      <x:c r="A547" t="str">
        <x:v>Active Sports Nutrition</x:v>
      </x:c>
      <x:c r="B547" t="str">
        <x:v>Biotech USA</x:v>
      </x:c>
      <x:c r="C547" t="str">
        <x:v>Iso Whey Zero</x:v>
      </x:c>
      <x:c r="D547" t="str">
        <x:v>Supplements</x:v>
      </x:c>
      <x:c r="E547" t="str">
        <x:v>Whey Protein</x:v>
      </x:c>
      <x:c r="F547" t="str">
        <x:v>Whey protein isolate.</x:v>
      </x:c>
      <x:c r="G547" t="str">
        <x:v>1.816kg</x:v>
      </x:c>
      <x:c r="H547" t="str">
        <x:v>Chocolate</x:v>
      </x:c>
      <x:c r="I547" t="str"/>
      <x:c r="J547" t="str">
        <x:v>Unit</x:v>
      </x:c>
      <x:c r="K547" t="str">
        <x:v>In stock</x:v>
      </x:c>
      <x:c r="L547" t="str">
        <x:v>2026-09-08</x:v>
      </x:c>
      <x:c r="M547" t="str"/>
      <x:c r="N547" t="str"/>
      <x:c r="O547" t="str">
        <x:v>https://www.activesportstrade.co.uk/biotech-usa-trade</x:v>
      </x:c>
      <x:c r="P547" t="str"/>
      <x:c r="Q547" t="str"/>
      <x:c r="R547" t="str"/>
      <x:c r="S547" t="str">
        <x:v>Pending genuine supplier/brand image</x:v>
      </x:c>
      <x:c r="T547" s="54" t="n">
        <x:v>56.99</x:v>
      </x:c>
      <x:c r="U547" s="47" t="n">
        <x:v>0.2</x:v>
      </x:c>
      <x:c r="V547" s="54" t="n">
        <x:f>IF(ISNUMBER(T547),T547*(1+U547),"")</x:f>
        <x:v>68.388</x:v>
      </x:c>
      <x:c r="W547" s="47" t="n">
        <x:v>0.3</x:v>
      </x:c>
      <x:c r="X547" s="54" t="n">
        <x:f>IF(ISNUMBER(V547),V547/(1-W547),"")</x:f>
        <x:v>97.69714285714286</x:v>
      </x:c>
      <x:c r="Y547" s="55" t="n">
        <x:f>IF(ISNUMBER(X547),ROUNDUP(X547,0),"")</x:f>
        <x:v>98</x:v>
      </x:c>
      <x:c r="Z547" t="str">
        <x:v>Source match pending</x:v>
      </x:c>
      <x:c r="AA547" t="str">
        <x:v>screencapture-www-activesportstrade-co-uk-biotech-usa-trade-2026-09-10-09_04_18.pdf / page-06</x:v>
      </x:c>
      <x:c r="AB547" s="36" t="n">
        <x:f>IF(ISNUMBER(Y547),ROUND(Y547*0.9,2),"")</x:f>
        <x:v>88.2</x:v>
      </x:c>
      <x:c r="AC547" s="36" t="n">
        <x:f>IF(ISNUMBER(AB547),ROUND(AB547-(AB547*0.015+0.2)-V547,2),"")</x:f>
        <x:v>18.29</x:v>
      </x:c>
      <x:c r="AD547" s="36" t="n">
        <x:f>IF(ISNUMBER(Y547),ROUND(Y547*0.8,2),"")</x:f>
        <x:v>78.4</x:v>
      </x:c>
      <x:c r="AE547" s="36" t="n">
        <x:f>IF(ISNUMBER(AD547),ROUND(AD547*0.015+0.2,2),"")</x:f>
        <x:v>1.38</x:v>
      </x:c>
      <x:c r="AF547" s="36" t="n">
        <x:f>IF(ISNUMBER(AD547),ROUND(AD547-AE547-V547,2),"")</x:f>
        <x:v>8.63</x:v>
      </x:c>
      <x:c r="AG547" t="str">
        <x:f>IF(NOT(ISNUMBER(T547)),"PENDING",IF(AF547&gt;0,"PASS","FAIL"))</x:f>
        <x:v>PASS</x:v>
      </x:c>
      <x:c r="AH547" t="str">
        <x:f>IF(NOT(ISNUMBER(T547)),"Needs supplier cost",IF(K547&lt;&gt;"In stock","Supplier unavailable",IF(AG547&lt;&gt;"PASS","BLOCK - GT loss risk","Commercially protected")))</x:f>
        <x:v>Commercially protected</x:v>
      </x:c>
      <x:c r="AI547" t="str">
        <x:v>2026-09-10 Active Sports trade capture</x:v>
      </x:c>
      <x:c r="AJ547" t="str">
        <x:v>Management-only economics. Stripe stress test uses 1.5% + £0.20 standard UK online-card fee; pallet/mix-and-match pricing ignored.</x:v>
      </x:c>
    </x:row>
    <x:row r="548">
      <x:c r="A548" t="str">
        <x:v>Active Sports Nutrition</x:v>
      </x:c>
      <x:c r="B548" t="str">
        <x:v>Biotech USA</x:v>
      </x:c>
      <x:c r="C548" t="str">
        <x:v>Iso Whey Zero</x:v>
      </x:c>
      <x:c r="D548" t="str">
        <x:v>Supplements</x:v>
      </x:c>
      <x:c r="E548" t="str">
        <x:v>Whey Protein</x:v>
      </x:c>
      <x:c r="F548" t="str">
        <x:v>Whey protein isolate.</x:v>
      </x:c>
      <x:c r="G548" t="str">
        <x:v>1.816kg</x:v>
      </x:c>
      <x:c r="H548" t="str">
        <x:v>Coconut</x:v>
      </x:c>
      <x:c r="I548" t="str"/>
      <x:c r="J548" t="str">
        <x:v>Unit</x:v>
      </x:c>
      <x:c r="K548" t="str">
        <x:v>In stock</x:v>
      </x:c>
      <x:c r="L548" t="str">
        <x:v>2026-09-08</x:v>
      </x:c>
      <x:c r="M548" t="str"/>
      <x:c r="N548" t="str"/>
      <x:c r="O548" t="str">
        <x:v>https://www.activesportstrade.co.uk/biotech-usa-trade</x:v>
      </x:c>
      <x:c r="P548" t="str"/>
      <x:c r="Q548" t="str"/>
      <x:c r="R548" t="str"/>
      <x:c r="S548" t="str">
        <x:v>Pending genuine supplier/brand image</x:v>
      </x:c>
      <x:c r="T548" s="54" t="n">
        <x:v>56.99</x:v>
      </x:c>
      <x:c r="U548" s="47" t="n">
        <x:v>0.2</x:v>
      </x:c>
      <x:c r="V548" s="54" t="n">
        <x:f>IF(ISNUMBER(T548),T548*(1+U548),"")</x:f>
        <x:v>68.388</x:v>
      </x:c>
      <x:c r="W548" s="47" t="n">
        <x:v>0.3</x:v>
      </x:c>
      <x:c r="X548" s="54" t="n">
        <x:f>IF(ISNUMBER(V548),V548/(1-W548),"")</x:f>
        <x:v>97.69714285714286</x:v>
      </x:c>
      <x:c r="Y548" s="55" t="n">
        <x:f>IF(ISNUMBER(X548),ROUNDUP(X548,0),"")</x:f>
        <x:v>98</x:v>
      </x:c>
      <x:c r="Z548" t="str">
        <x:v>Source match pending</x:v>
      </x:c>
      <x:c r="AA548" t="str">
        <x:v>screencapture-www-activesportstrade-co-uk-biotech-usa-trade-2026-09-10-09_04_18.pdf / page-06</x:v>
      </x:c>
      <x:c r="AB548" s="36" t="n">
        <x:f>IF(ISNUMBER(Y548),ROUND(Y548*0.9,2),"")</x:f>
        <x:v>88.2</x:v>
      </x:c>
      <x:c r="AC548" s="36" t="n">
        <x:f>IF(ISNUMBER(AB548),ROUND(AB548-(AB548*0.015+0.2)-V548,2),"")</x:f>
        <x:v>18.29</x:v>
      </x:c>
      <x:c r="AD548" s="36" t="n">
        <x:f>IF(ISNUMBER(Y548),ROUND(Y548*0.8,2),"")</x:f>
        <x:v>78.4</x:v>
      </x:c>
      <x:c r="AE548" s="36" t="n">
        <x:f>IF(ISNUMBER(AD548),ROUND(AD548*0.015+0.2,2),"")</x:f>
        <x:v>1.38</x:v>
      </x:c>
      <x:c r="AF548" s="36" t="n">
        <x:f>IF(ISNUMBER(AD548),ROUND(AD548-AE548-V548,2),"")</x:f>
        <x:v>8.63</x:v>
      </x:c>
      <x:c r="AG548" t="str">
        <x:f>IF(NOT(ISNUMBER(T548)),"PENDING",IF(AF548&gt;0,"PASS","FAIL"))</x:f>
        <x:v>PASS</x:v>
      </x:c>
      <x:c r="AH548" t="str">
        <x:f>IF(NOT(ISNUMBER(T548)),"Needs supplier cost",IF(K548&lt;&gt;"In stock","Supplier unavailable",IF(AG548&lt;&gt;"PASS","BLOCK - GT loss risk","Commercially protected")))</x:f>
        <x:v>Commercially protected</x:v>
      </x:c>
      <x:c r="AI548" t="str">
        <x:v>2026-09-10 Active Sports trade capture</x:v>
      </x:c>
      <x:c r="AJ548" t="str">
        <x:v>Management-only economics. Stripe stress test uses 1.5% + £0.20 standard UK online-card fee; pallet/mix-and-match pricing ignored.</x:v>
      </x:c>
    </x:row>
    <x:row r="549">
      <x:c r="A549" t="str">
        <x:v>Active Sports Nutrition</x:v>
      </x:c>
      <x:c r="B549" t="str">
        <x:v>Biotech USA</x:v>
      </x:c>
      <x:c r="C549" t="str">
        <x:v>Iso Whey Zero</x:v>
      </x:c>
      <x:c r="D549" t="str">
        <x:v>Supplements</x:v>
      </x:c>
      <x:c r="E549" t="str">
        <x:v>Whey Protein</x:v>
      </x:c>
      <x:c r="F549" t="str">
        <x:v>Whey protein isolate.</x:v>
      </x:c>
      <x:c r="G549" t="str">
        <x:v>1.816kg</x:v>
      </x:c>
      <x:c r="H549" t="str">
        <x:v>Cookies &amp; Cream</x:v>
      </x:c>
      <x:c r="I549" t="str"/>
      <x:c r="J549" t="str">
        <x:v>Unit</x:v>
      </x:c>
      <x:c r="K549" t="str">
        <x:v>In stock</x:v>
      </x:c>
      <x:c r="L549" t="str">
        <x:v>2026-09-08</x:v>
      </x:c>
      <x:c r="M549" t="str"/>
      <x:c r="N549" t="str"/>
      <x:c r="O549" t="str">
        <x:v>https://www.activesportstrade.co.uk/biotech-usa-trade</x:v>
      </x:c>
      <x:c r="P549" t="str"/>
      <x:c r="Q549" t="str"/>
      <x:c r="R549" t="str"/>
      <x:c r="S549" t="str">
        <x:v>Pending genuine supplier/brand image</x:v>
      </x:c>
      <x:c r="T549" s="54" t="n">
        <x:v>56.99</x:v>
      </x:c>
      <x:c r="U549" s="47" t="n">
        <x:v>0.2</x:v>
      </x:c>
      <x:c r="V549" s="54" t="n">
        <x:f>IF(ISNUMBER(T549),T549*(1+U549),"")</x:f>
        <x:v>68.388</x:v>
      </x:c>
      <x:c r="W549" s="47" t="n">
        <x:v>0.3</x:v>
      </x:c>
      <x:c r="X549" s="54" t="n">
        <x:f>IF(ISNUMBER(V549),V549/(1-W549),"")</x:f>
        <x:v>97.69714285714286</x:v>
      </x:c>
      <x:c r="Y549" s="55" t="n">
        <x:f>IF(ISNUMBER(X549),ROUNDUP(X549,0),"")</x:f>
        <x:v>98</x:v>
      </x:c>
      <x:c r="Z549" t="str">
        <x:v>Source match pending</x:v>
      </x:c>
      <x:c r="AA549" t="str">
        <x:v>screencapture-www-activesportstrade-co-uk-biotech-usa-trade-2026-09-10-09_04_18.pdf / page-06</x:v>
      </x:c>
      <x:c r="AB549" s="36" t="n">
        <x:f>IF(ISNUMBER(Y549),ROUND(Y549*0.9,2),"")</x:f>
        <x:v>88.2</x:v>
      </x:c>
      <x:c r="AC549" s="36" t="n">
        <x:f>IF(ISNUMBER(AB549),ROUND(AB549-(AB549*0.015+0.2)-V549,2),"")</x:f>
        <x:v>18.29</x:v>
      </x:c>
      <x:c r="AD549" s="36" t="n">
        <x:f>IF(ISNUMBER(Y549),ROUND(Y549*0.8,2),"")</x:f>
        <x:v>78.4</x:v>
      </x:c>
      <x:c r="AE549" s="36" t="n">
        <x:f>IF(ISNUMBER(AD549),ROUND(AD549*0.015+0.2,2),"")</x:f>
        <x:v>1.38</x:v>
      </x:c>
      <x:c r="AF549" s="36" t="n">
        <x:f>IF(ISNUMBER(AD549),ROUND(AD549-AE549-V549,2),"")</x:f>
        <x:v>8.63</x:v>
      </x:c>
      <x:c r="AG549" t="str">
        <x:f>IF(NOT(ISNUMBER(T549)),"PENDING",IF(AF549&gt;0,"PASS","FAIL"))</x:f>
        <x:v>PASS</x:v>
      </x:c>
      <x:c r="AH549" t="str">
        <x:f>IF(NOT(ISNUMBER(T549)),"Needs supplier cost",IF(K549&lt;&gt;"In stock","Supplier unavailable",IF(AG549&lt;&gt;"PASS","BLOCK - GT loss risk","Commercially protected")))</x:f>
        <x:v>Commercially protected</x:v>
      </x:c>
      <x:c r="AI549" t="str">
        <x:v>2026-09-10 Active Sports trade capture</x:v>
      </x:c>
      <x:c r="AJ549" t="str">
        <x:v>Management-only economics. Stripe stress test uses 1.5% + £0.20 standard UK online-card fee; pallet/mix-and-match pricing ignored.</x:v>
      </x:c>
    </x:row>
    <x:row r="550">
      <x:c r="A550" t="str">
        <x:v>Active Sports Nutrition</x:v>
      </x:c>
      <x:c r="B550" t="str">
        <x:v>Biotech USA</x:v>
      </x:c>
      <x:c r="C550" t="str">
        <x:v>Iso Whey Zero</x:v>
      </x:c>
      <x:c r="D550" t="str">
        <x:v>Supplements</x:v>
      </x:c>
      <x:c r="E550" t="str">
        <x:v>Whey Protein</x:v>
      </x:c>
      <x:c r="F550" t="str">
        <x:v>Whey protein isolate.</x:v>
      </x:c>
      <x:c r="G550" t="str">
        <x:v>1.816kg</x:v>
      </x:c>
      <x:c r="H550" t="str">
        <x:v>Dark Chocolate</x:v>
      </x:c>
      <x:c r="I550" t="str"/>
      <x:c r="J550" t="str">
        <x:v>Unit</x:v>
      </x:c>
      <x:c r="K550" t="str">
        <x:v>Out of stock</x:v>
      </x:c>
      <x:c r="L550" t="str">
        <x:v>2026-09-08</x:v>
      </x:c>
      <x:c r="M550" t="str"/>
      <x:c r="N550" t="str"/>
      <x:c r="O550" t="str">
        <x:v>https://www.activesportstrade.co.uk/biotech-usa-trade</x:v>
      </x:c>
      <x:c r="P550" t="str"/>
      <x:c r="Q550" t="str"/>
      <x:c r="R550" t="str"/>
      <x:c r="S550" t="str">
        <x:v>Pending genuine supplier/brand image</x:v>
      </x:c>
      <x:c r="T550" s="54" t="n">
        <x:v>56.99</x:v>
      </x:c>
      <x:c r="U550" s="47" t="n">
        <x:v>0.2</x:v>
      </x:c>
      <x:c r="V550" s="54" t="n">
        <x:f>IF(ISNUMBER(T550),T550*(1+U550),"")</x:f>
        <x:v>68.388</x:v>
      </x:c>
      <x:c r="W550" s="47" t="n">
        <x:v>0.3</x:v>
      </x:c>
      <x:c r="X550" s="54" t="n">
        <x:f>IF(ISNUMBER(V550),V550/(1-W550),"")</x:f>
        <x:v>97.69714285714286</x:v>
      </x:c>
      <x:c r="Y550" s="55" t="n">
        <x:f>IF(ISNUMBER(X550),ROUNDUP(X550,0),"")</x:f>
        <x:v>98</x:v>
      </x:c>
      <x:c r="Z550" t="str">
        <x:v>Source match pending</x:v>
      </x:c>
      <x:c r="AA550" t="str">
        <x:v>screencapture-www-activesportstrade-co-uk-biotech-usa-trade-2026-09-10-09_04_18.pdf / page-06</x:v>
      </x:c>
      <x:c r="AB550" s="36" t="n">
        <x:f>IF(ISNUMBER(Y550),ROUND(Y550*0.9,2),"")</x:f>
        <x:v>88.2</x:v>
      </x:c>
      <x:c r="AC550" s="36" t="n">
        <x:f>IF(ISNUMBER(AB550),ROUND(AB550-(AB550*0.015+0.2)-V550,2),"")</x:f>
        <x:v>18.29</x:v>
      </x:c>
      <x:c r="AD550" s="36" t="n">
        <x:f>IF(ISNUMBER(Y550),ROUND(Y550*0.8,2),"")</x:f>
        <x:v>78.4</x:v>
      </x:c>
      <x:c r="AE550" s="36" t="n">
        <x:f>IF(ISNUMBER(AD550),ROUND(AD550*0.015+0.2,2),"")</x:f>
        <x:v>1.38</x:v>
      </x:c>
      <x:c r="AF550" s="36" t="n">
        <x:f>IF(ISNUMBER(AD550),ROUND(AD550-AE550-V550,2),"")</x:f>
        <x:v>8.63</x:v>
      </x:c>
      <x:c r="AG550" t="str">
        <x:f>IF(NOT(ISNUMBER(T550)),"PENDING",IF(AF550&gt;0,"PASS","FAIL"))</x:f>
        <x:v>PASS</x:v>
      </x:c>
      <x:c r="AH550" t="str">
        <x:f>IF(NOT(ISNUMBER(T550)),"Needs supplier cost",IF(K550&lt;&gt;"In stock","Supplier unavailable",IF(AG550&lt;&gt;"PASS","BLOCK - GT loss risk","Commercially protected")))</x:f>
        <x:v>Supplier unavailable</x:v>
      </x:c>
      <x:c r="AI550" t="str">
        <x:v>2026-09-10 Active Sports trade capture</x:v>
      </x:c>
      <x:c r="AJ550" t="str">
        <x:v>Management-only economics. Stripe stress test uses 1.5% + £0.20 standard UK online-card fee; pallet/mix-and-match pricing ignored.</x:v>
      </x:c>
    </x:row>
    <x:row r="551">
      <x:c r="A551" t="str">
        <x:v>Active Sports Nutrition</x:v>
      </x:c>
      <x:c r="B551" t="str">
        <x:v>Biotech USA</x:v>
      </x:c>
      <x:c r="C551" t="str">
        <x:v>Iso Whey Zero</x:v>
      </x:c>
      <x:c r="D551" t="str">
        <x:v>Supplements</x:v>
      </x:c>
      <x:c r="E551" t="str">
        <x:v>Whey Protein</x:v>
      </x:c>
      <x:c r="F551" t="str">
        <x:v>Whey protein isolate.</x:v>
      </x:c>
      <x:c r="G551" t="str">
        <x:v>1.816kg</x:v>
      </x:c>
      <x:c r="H551" t="str">
        <x:v>Hazelnut</x:v>
      </x:c>
      <x:c r="I551" t="str"/>
      <x:c r="J551" t="str">
        <x:v>Unit</x:v>
      </x:c>
      <x:c r="K551" t="str">
        <x:v>In stock</x:v>
      </x:c>
      <x:c r="L551" t="str">
        <x:v>2026-09-08</x:v>
      </x:c>
      <x:c r="M551" t="str"/>
      <x:c r="N551" t="str"/>
      <x:c r="O551" t="str">
        <x:v>https://www.activesportstrade.co.uk/biotech-usa-trade</x:v>
      </x:c>
      <x:c r="P551" t="str"/>
      <x:c r="Q551" t="str"/>
      <x:c r="R551" t="str"/>
      <x:c r="S551" t="str">
        <x:v>Pending genuine supplier/brand image</x:v>
      </x:c>
      <x:c r="T551" s="54" t="n">
        <x:v>56.99</x:v>
      </x:c>
      <x:c r="U551" s="47" t="n">
        <x:v>0.2</x:v>
      </x:c>
      <x:c r="V551" s="54" t="n">
        <x:f>IF(ISNUMBER(T551),T551*(1+U551),"")</x:f>
        <x:v>68.388</x:v>
      </x:c>
      <x:c r="W551" s="47" t="n">
        <x:v>0.3</x:v>
      </x:c>
      <x:c r="X551" s="54" t="n">
        <x:f>IF(ISNUMBER(V551),V551/(1-W551),"")</x:f>
        <x:v>97.69714285714286</x:v>
      </x:c>
      <x:c r="Y551" s="55" t="n">
        <x:f>IF(ISNUMBER(X551),ROUNDUP(X551,0),"")</x:f>
        <x:v>98</x:v>
      </x:c>
      <x:c r="Z551" t="str">
        <x:v>Source match pending</x:v>
      </x:c>
      <x:c r="AA551" t="str">
        <x:v>screencapture-www-activesportstrade-co-uk-biotech-usa-trade-2026-09-10-09_04_18.pdf / page-06</x:v>
      </x:c>
      <x:c r="AB551" s="36" t="n">
        <x:f>IF(ISNUMBER(Y551),ROUND(Y551*0.9,2),"")</x:f>
        <x:v>88.2</x:v>
      </x:c>
      <x:c r="AC551" s="36" t="n">
        <x:f>IF(ISNUMBER(AB551),ROUND(AB551-(AB551*0.015+0.2)-V551,2),"")</x:f>
        <x:v>18.29</x:v>
      </x:c>
      <x:c r="AD551" s="36" t="n">
        <x:f>IF(ISNUMBER(Y551),ROUND(Y551*0.8,2),"")</x:f>
        <x:v>78.4</x:v>
      </x:c>
      <x:c r="AE551" s="36" t="n">
        <x:f>IF(ISNUMBER(AD551),ROUND(AD551*0.015+0.2,2),"")</x:f>
        <x:v>1.38</x:v>
      </x:c>
      <x:c r="AF551" s="36" t="n">
        <x:f>IF(ISNUMBER(AD551),ROUND(AD551-AE551-V551,2),"")</x:f>
        <x:v>8.63</x:v>
      </x:c>
      <x:c r="AG551" t="str">
        <x:f>IF(NOT(ISNUMBER(T551)),"PENDING",IF(AF551&gt;0,"PASS","FAIL"))</x:f>
        <x:v>PASS</x:v>
      </x:c>
      <x:c r="AH551" t="str">
        <x:f>IF(NOT(ISNUMBER(T551)),"Needs supplier cost",IF(K551&lt;&gt;"In stock","Supplier unavailable",IF(AG551&lt;&gt;"PASS","BLOCK - GT loss risk","Commercially protected")))</x:f>
        <x:v>Commercially protected</x:v>
      </x:c>
      <x:c r="AI551" t="str">
        <x:v>2026-09-10 Active Sports trade capture</x:v>
      </x:c>
      <x:c r="AJ551" t="str">
        <x:v>Management-only economics. Stripe stress test uses 1.5% + £0.20 standard UK online-card fee; pallet/mix-and-match pricing ignored.</x:v>
      </x:c>
    </x:row>
    <x:row r="552">
      <x:c r="A552" t="str">
        <x:v>Active Sports Nutrition</x:v>
      </x:c>
      <x:c r="B552" t="str">
        <x:v>Biotech USA</x:v>
      </x:c>
      <x:c r="C552" t="str">
        <x:v>Iso Whey Zero</x:v>
      </x:c>
      <x:c r="D552" t="str">
        <x:v>Supplements</x:v>
      </x:c>
      <x:c r="E552" t="str">
        <x:v>Whey Protein</x:v>
      </x:c>
      <x:c r="F552" t="str">
        <x:v>Whey protein isolate.</x:v>
      </x:c>
      <x:c r="G552" t="str">
        <x:v>1.816kg</x:v>
      </x:c>
      <x:c r="H552" t="str">
        <x:v>Lemon Cheesecake</x:v>
      </x:c>
      <x:c r="I552" t="str"/>
      <x:c r="J552" t="str">
        <x:v>Unit</x:v>
      </x:c>
      <x:c r="K552" t="str">
        <x:v>In stock</x:v>
      </x:c>
      <x:c r="L552" t="str">
        <x:v>2026-09-08</x:v>
      </x:c>
      <x:c r="M552" t="str"/>
      <x:c r="N552" t="str"/>
      <x:c r="O552" t="str">
        <x:v>https://www.activesportstrade.co.uk/biotech-usa-trade</x:v>
      </x:c>
      <x:c r="P552" t="str"/>
      <x:c r="Q552" t="str"/>
      <x:c r="R552" t="str"/>
      <x:c r="S552" t="str">
        <x:v>Pending genuine supplier/brand image</x:v>
      </x:c>
      <x:c r="T552" s="54" t="n">
        <x:v>56.99</x:v>
      </x:c>
      <x:c r="U552" s="47" t="n">
        <x:v>0.2</x:v>
      </x:c>
      <x:c r="V552" s="54" t="n">
        <x:f>IF(ISNUMBER(T552),T552*(1+U552),"")</x:f>
        <x:v>68.388</x:v>
      </x:c>
      <x:c r="W552" s="47" t="n">
        <x:v>0.3</x:v>
      </x:c>
      <x:c r="X552" s="54" t="n">
        <x:f>IF(ISNUMBER(V552),V552/(1-W552),"")</x:f>
        <x:v>97.69714285714286</x:v>
      </x:c>
      <x:c r="Y552" s="55" t="n">
        <x:f>IF(ISNUMBER(X552),ROUNDUP(X552,0),"")</x:f>
        <x:v>98</x:v>
      </x:c>
      <x:c r="Z552" t="str">
        <x:v>Source match pending</x:v>
      </x:c>
      <x:c r="AA552" t="str">
        <x:v>screencapture-www-activesportstrade-co-uk-biotech-usa-trade-2026-09-10-09_04_18.pdf / page-06</x:v>
      </x:c>
      <x:c r="AB552" s="36" t="n">
        <x:f>IF(ISNUMBER(Y552),ROUND(Y552*0.9,2),"")</x:f>
        <x:v>88.2</x:v>
      </x:c>
      <x:c r="AC552" s="36" t="n">
        <x:f>IF(ISNUMBER(AB552),ROUND(AB552-(AB552*0.015+0.2)-V552,2),"")</x:f>
        <x:v>18.29</x:v>
      </x:c>
      <x:c r="AD552" s="36" t="n">
        <x:f>IF(ISNUMBER(Y552),ROUND(Y552*0.8,2),"")</x:f>
        <x:v>78.4</x:v>
      </x:c>
      <x:c r="AE552" s="36" t="n">
        <x:f>IF(ISNUMBER(AD552),ROUND(AD552*0.015+0.2,2),"")</x:f>
        <x:v>1.38</x:v>
      </x:c>
      <x:c r="AF552" s="36" t="n">
        <x:f>IF(ISNUMBER(AD552),ROUND(AD552-AE552-V552,2),"")</x:f>
        <x:v>8.63</x:v>
      </x:c>
      <x:c r="AG552" t="str">
        <x:f>IF(NOT(ISNUMBER(T552)),"PENDING",IF(AF552&gt;0,"PASS","FAIL"))</x:f>
        <x:v>PASS</x:v>
      </x:c>
      <x:c r="AH552" t="str">
        <x:f>IF(NOT(ISNUMBER(T552)),"Needs supplier cost",IF(K552&lt;&gt;"In stock","Supplier unavailable",IF(AG552&lt;&gt;"PASS","BLOCK - GT loss risk","Commercially protected")))</x:f>
        <x:v>Commercially protected</x:v>
      </x:c>
      <x:c r="AI552" t="str">
        <x:v>2026-09-10 Active Sports trade capture</x:v>
      </x:c>
      <x:c r="AJ552" t="str">
        <x:v>Management-only economics. Stripe stress test uses 1.5% + £0.20 standard UK online-card fee; pallet/mix-and-match pricing ignored.</x:v>
      </x:c>
    </x:row>
    <x:row r="553">
      <x:c r="A553" t="str">
        <x:v>Active Sports Nutrition</x:v>
      </x:c>
      <x:c r="B553" t="str">
        <x:v>Biotech USA</x:v>
      </x:c>
      <x:c r="C553" t="str">
        <x:v>Iso Whey Zero</x:v>
      </x:c>
      <x:c r="D553" t="str">
        <x:v>Supplements</x:v>
      </x:c>
      <x:c r="E553" t="str">
        <x:v>Whey Protein</x:v>
      </x:c>
      <x:c r="F553" t="str">
        <x:v>Whey protein isolate.</x:v>
      </x:c>
      <x:c r="G553" t="str">
        <x:v>1.816kg</x:v>
      </x:c>
      <x:c r="H553" t="str">
        <x:v>Pineapple Mango</x:v>
      </x:c>
      <x:c r="I553" t="str"/>
      <x:c r="J553" t="str">
        <x:v>Unit</x:v>
      </x:c>
      <x:c r="K553" t="str">
        <x:v>In stock</x:v>
      </x:c>
      <x:c r="L553" t="str">
        <x:v>2026-09-08</x:v>
      </x:c>
      <x:c r="M553" t="str"/>
      <x:c r="N553" t="str"/>
      <x:c r="O553" t="str">
        <x:v>https://www.activesportstrade.co.uk/biotech-usa-trade</x:v>
      </x:c>
      <x:c r="P553" t="str"/>
      <x:c r="Q553" t="str"/>
      <x:c r="R553" t="str"/>
      <x:c r="S553" t="str">
        <x:v>Pending genuine supplier/brand image</x:v>
      </x:c>
      <x:c r="T553" s="54" t="n">
        <x:v>56.99</x:v>
      </x:c>
      <x:c r="U553" s="47" t="n">
        <x:v>0.2</x:v>
      </x:c>
      <x:c r="V553" s="54" t="n">
        <x:f>IF(ISNUMBER(T553),T553*(1+U553),"")</x:f>
        <x:v>68.388</x:v>
      </x:c>
      <x:c r="W553" s="47" t="n">
        <x:v>0.3</x:v>
      </x:c>
      <x:c r="X553" s="54" t="n">
        <x:f>IF(ISNUMBER(V553),V553/(1-W553),"")</x:f>
        <x:v>97.69714285714286</x:v>
      </x:c>
      <x:c r="Y553" s="55" t="n">
        <x:f>IF(ISNUMBER(X553),ROUNDUP(X553,0),"")</x:f>
        <x:v>98</x:v>
      </x:c>
      <x:c r="Z553" t="str">
        <x:v>Source match pending</x:v>
      </x:c>
      <x:c r="AA553" t="str">
        <x:v>screencapture-www-activesportstrade-co-uk-biotech-usa-trade-2026-09-10-09_04_18.pdf / page-06</x:v>
      </x:c>
      <x:c r="AB553" s="36" t="n">
        <x:f>IF(ISNUMBER(Y553),ROUND(Y553*0.9,2),"")</x:f>
        <x:v>88.2</x:v>
      </x:c>
      <x:c r="AC553" s="36" t="n">
        <x:f>IF(ISNUMBER(AB553),ROUND(AB553-(AB553*0.015+0.2)-V553,2),"")</x:f>
        <x:v>18.29</x:v>
      </x:c>
      <x:c r="AD553" s="36" t="n">
        <x:f>IF(ISNUMBER(Y553),ROUND(Y553*0.8,2),"")</x:f>
        <x:v>78.4</x:v>
      </x:c>
      <x:c r="AE553" s="36" t="n">
        <x:f>IF(ISNUMBER(AD553),ROUND(AD553*0.015+0.2,2),"")</x:f>
        <x:v>1.38</x:v>
      </x:c>
      <x:c r="AF553" s="36" t="n">
        <x:f>IF(ISNUMBER(AD553),ROUND(AD553-AE553-V553,2),"")</x:f>
        <x:v>8.63</x:v>
      </x:c>
      <x:c r="AG553" t="str">
        <x:f>IF(NOT(ISNUMBER(T553)),"PENDING",IF(AF553&gt;0,"PASS","FAIL"))</x:f>
        <x:v>PASS</x:v>
      </x:c>
      <x:c r="AH553" t="str">
        <x:f>IF(NOT(ISNUMBER(T553)),"Needs supplier cost",IF(K553&lt;&gt;"In stock","Supplier unavailable",IF(AG553&lt;&gt;"PASS","BLOCK - GT loss risk","Commercially protected")))</x:f>
        <x:v>Commercially protected</x:v>
      </x:c>
      <x:c r="AI553" t="str">
        <x:v>2026-09-10 Active Sports trade capture</x:v>
      </x:c>
      <x:c r="AJ553" t="str">
        <x:v>Management-only economics. Stripe stress test uses 1.5% + £0.20 standard UK online-card fee; pallet/mix-and-match pricing ignored.</x:v>
      </x:c>
    </x:row>
    <x:row r="554">
      <x:c r="A554" t="str">
        <x:v>Active Sports Nutrition</x:v>
      </x:c>
      <x:c r="B554" t="str">
        <x:v>Biotech USA</x:v>
      </x:c>
      <x:c r="C554" t="str">
        <x:v>Iso Whey Zero</x:v>
      </x:c>
      <x:c r="D554" t="str">
        <x:v>Supplements</x:v>
      </x:c>
      <x:c r="E554" t="str">
        <x:v>Whey Protein</x:v>
      </x:c>
      <x:c r="F554" t="str">
        <x:v>Whey protein isolate.</x:v>
      </x:c>
      <x:c r="G554" t="str">
        <x:v>1.816kg</x:v>
      </x:c>
      <x:c r="H554" t="str">
        <x:v>Pistachio</x:v>
      </x:c>
      <x:c r="I554" t="str"/>
      <x:c r="J554" t="str">
        <x:v>Unit</x:v>
      </x:c>
      <x:c r="K554" t="str">
        <x:v>In stock</x:v>
      </x:c>
      <x:c r="L554" t="str">
        <x:v>2026-09-08</x:v>
      </x:c>
      <x:c r="M554" t="str"/>
      <x:c r="N554" t="str"/>
      <x:c r="O554" t="str">
        <x:v>https://www.activesportstrade.co.uk/biotech-usa-trade</x:v>
      </x:c>
      <x:c r="P554" t="str"/>
      <x:c r="Q554" t="str"/>
      <x:c r="R554" t="str"/>
      <x:c r="S554" t="str">
        <x:v>Pending genuine supplier/brand image</x:v>
      </x:c>
      <x:c r="T554" s="54" t="n">
        <x:v>56.99</x:v>
      </x:c>
      <x:c r="U554" s="47" t="n">
        <x:v>0.2</x:v>
      </x:c>
      <x:c r="V554" s="54" t="n">
        <x:f>IF(ISNUMBER(T554),T554*(1+U554),"")</x:f>
        <x:v>68.388</x:v>
      </x:c>
      <x:c r="W554" s="47" t="n">
        <x:v>0.3</x:v>
      </x:c>
      <x:c r="X554" s="54" t="n">
        <x:f>IF(ISNUMBER(V554),V554/(1-W554),"")</x:f>
        <x:v>97.69714285714286</x:v>
      </x:c>
      <x:c r="Y554" s="55" t="n">
        <x:f>IF(ISNUMBER(X554),ROUNDUP(X554,0),"")</x:f>
        <x:v>98</x:v>
      </x:c>
      <x:c r="Z554" t="str">
        <x:v>Source match pending</x:v>
      </x:c>
      <x:c r="AA554" t="str">
        <x:v>screencapture-www-activesportstrade-co-uk-biotech-usa-trade-2026-09-10-09_04_18.pdf / page-06</x:v>
      </x:c>
      <x:c r="AB554" s="36" t="n">
        <x:f>IF(ISNUMBER(Y554),ROUND(Y554*0.9,2),"")</x:f>
        <x:v>88.2</x:v>
      </x:c>
      <x:c r="AC554" s="36" t="n">
        <x:f>IF(ISNUMBER(AB554),ROUND(AB554-(AB554*0.015+0.2)-V554,2),"")</x:f>
        <x:v>18.29</x:v>
      </x:c>
      <x:c r="AD554" s="36" t="n">
        <x:f>IF(ISNUMBER(Y554),ROUND(Y554*0.8,2),"")</x:f>
        <x:v>78.4</x:v>
      </x:c>
      <x:c r="AE554" s="36" t="n">
        <x:f>IF(ISNUMBER(AD554),ROUND(AD554*0.015+0.2,2),"")</x:f>
        <x:v>1.38</x:v>
      </x:c>
      <x:c r="AF554" s="36" t="n">
        <x:f>IF(ISNUMBER(AD554),ROUND(AD554-AE554-V554,2),"")</x:f>
        <x:v>8.63</x:v>
      </x:c>
      <x:c r="AG554" t="str">
        <x:f>IF(NOT(ISNUMBER(T554)),"PENDING",IF(AF554&gt;0,"PASS","FAIL"))</x:f>
        <x:v>PASS</x:v>
      </x:c>
      <x:c r="AH554" t="str">
        <x:f>IF(NOT(ISNUMBER(T554)),"Needs supplier cost",IF(K554&lt;&gt;"In stock","Supplier unavailable",IF(AG554&lt;&gt;"PASS","BLOCK - GT loss risk","Commercially protected")))</x:f>
        <x:v>Commercially protected</x:v>
      </x:c>
      <x:c r="AI554" t="str">
        <x:v>2026-09-10 Active Sports trade capture</x:v>
      </x:c>
      <x:c r="AJ554" t="str">
        <x:v>Management-only economics. Stripe stress test uses 1.5% + £0.20 standard UK online-card fee; pallet/mix-and-match pricing ignored.</x:v>
      </x:c>
    </x:row>
    <x:row r="555">
      <x:c r="A555" t="str">
        <x:v>Active Sports Nutrition</x:v>
      </x:c>
      <x:c r="B555" t="str">
        <x:v>Biotech USA</x:v>
      </x:c>
      <x:c r="C555" t="str">
        <x:v>Iso Whey Zero</x:v>
      </x:c>
      <x:c r="D555" t="str">
        <x:v>Supplements</x:v>
      </x:c>
      <x:c r="E555" t="str">
        <x:v>Whey Protein</x:v>
      </x:c>
      <x:c r="F555" t="str">
        <x:v>Whey protein isolate.</x:v>
      </x:c>
      <x:c r="G555" t="str">
        <x:v>1.816kg</x:v>
      </x:c>
      <x:c r="H555" t="str">
        <x:v>Salted Caramel</x:v>
      </x:c>
      <x:c r="I555" t="str"/>
      <x:c r="J555" t="str">
        <x:v>Unit</x:v>
      </x:c>
      <x:c r="K555" t="str">
        <x:v>In stock</x:v>
      </x:c>
      <x:c r="L555" t="str">
        <x:v>2026-09-08</x:v>
      </x:c>
      <x:c r="M555" t="str"/>
      <x:c r="N555" t="str"/>
      <x:c r="O555" t="str">
        <x:v>https://www.activesportstrade.co.uk/biotech-usa-trade</x:v>
      </x:c>
      <x:c r="P555" t="str"/>
      <x:c r="Q555" t="str"/>
      <x:c r="R555" t="str"/>
      <x:c r="S555" t="str">
        <x:v>Pending genuine supplier/brand image</x:v>
      </x:c>
      <x:c r="T555" s="54" t="n">
        <x:v>56.99</x:v>
      </x:c>
      <x:c r="U555" s="47" t="n">
        <x:v>0.2</x:v>
      </x:c>
      <x:c r="V555" s="54" t="n">
        <x:f>IF(ISNUMBER(T555),T555*(1+U555),"")</x:f>
        <x:v>68.388</x:v>
      </x:c>
      <x:c r="W555" s="47" t="n">
        <x:v>0.3</x:v>
      </x:c>
      <x:c r="X555" s="54" t="n">
        <x:f>IF(ISNUMBER(V555),V555/(1-W555),"")</x:f>
        <x:v>97.69714285714286</x:v>
      </x:c>
      <x:c r="Y555" s="55" t="n">
        <x:f>IF(ISNUMBER(X555),ROUNDUP(X555,0),"")</x:f>
        <x:v>98</x:v>
      </x:c>
      <x:c r="Z555" t="str">
        <x:v>Source match pending</x:v>
      </x:c>
      <x:c r="AA555" t="str">
        <x:v>screencapture-www-activesportstrade-co-uk-biotech-usa-trade-2026-09-10-09_04_18.pdf / page-06</x:v>
      </x:c>
      <x:c r="AB555" s="36" t="n">
        <x:f>IF(ISNUMBER(Y555),ROUND(Y555*0.9,2),"")</x:f>
        <x:v>88.2</x:v>
      </x:c>
      <x:c r="AC555" s="36" t="n">
        <x:f>IF(ISNUMBER(AB555),ROUND(AB555-(AB555*0.015+0.2)-V555,2),"")</x:f>
        <x:v>18.29</x:v>
      </x:c>
      <x:c r="AD555" s="36" t="n">
        <x:f>IF(ISNUMBER(Y555),ROUND(Y555*0.8,2),"")</x:f>
        <x:v>78.4</x:v>
      </x:c>
      <x:c r="AE555" s="36" t="n">
        <x:f>IF(ISNUMBER(AD555),ROUND(AD555*0.015+0.2,2),"")</x:f>
        <x:v>1.38</x:v>
      </x:c>
      <x:c r="AF555" s="36" t="n">
        <x:f>IF(ISNUMBER(AD555),ROUND(AD555-AE555-V555,2),"")</x:f>
        <x:v>8.63</x:v>
      </x:c>
      <x:c r="AG555" t="str">
        <x:f>IF(NOT(ISNUMBER(T555)),"PENDING",IF(AF555&gt;0,"PASS","FAIL"))</x:f>
        <x:v>PASS</x:v>
      </x:c>
      <x:c r="AH555" t="str">
        <x:f>IF(NOT(ISNUMBER(T555)),"Needs supplier cost",IF(K555&lt;&gt;"In stock","Supplier unavailable",IF(AG555&lt;&gt;"PASS","BLOCK - GT loss risk","Commercially protected")))</x:f>
        <x:v>Commercially protected</x:v>
      </x:c>
      <x:c r="AI555" t="str">
        <x:v>2026-09-10 Active Sports trade capture</x:v>
      </x:c>
      <x:c r="AJ555" t="str">
        <x:v>Management-only economics. Stripe stress test uses 1.5% + £0.20 standard UK online-card fee; pallet/mix-and-match pricing ignored.</x:v>
      </x:c>
    </x:row>
    <x:row r="556">
      <x:c r="A556" t="str">
        <x:v>Active Sports Nutrition</x:v>
      </x:c>
      <x:c r="B556" t="str">
        <x:v>Biotech USA</x:v>
      </x:c>
      <x:c r="C556" t="str">
        <x:v>Iso Whey Zero</x:v>
      </x:c>
      <x:c r="D556" t="str">
        <x:v>Supplements</x:v>
      </x:c>
      <x:c r="E556" t="str">
        <x:v>Whey Protein</x:v>
      </x:c>
      <x:c r="F556" t="str">
        <x:v>Whey protein isolate.</x:v>
      </x:c>
      <x:c r="G556" t="str">
        <x:v>1.816kg</x:v>
      </x:c>
      <x:c r="H556" t="str">
        <x:v>Strawberry</x:v>
      </x:c>
      <x:c r="I556" t="str"/>
      <x:c r="J556" t="str">
        <x:v>Unit</x:v>
      </x:c>
      <x:c r="K556" t="str">
        <x:v>In stock</x:v>
      </x:c>
      <x:c r="L556" t="str">
        <x:v>2026-09-08</x:v>
      </x:c>
      <x:c r="M556" t="str"/>
      <x:c r="N556" t="str"/>
      <x:c r="O556" t="str">
        <x:v>https://www.activesportstrade.co.uk/biotech-usa-trade</x:v>
      </x:c>
      <x:c r="P556" t="str"/>
      <x:c r="Q556" t="str"/>
      <x:c r="R556" t="str"/>
      <x:c r="S556" t="str">
        <x:v>Pending genuine supplier/brand image</x:v>
      </x:c>
      <x:c r="T556" s="54" t="n">
        <x:v>56.99</x:v>
      </x:c>
      <x:c r="U556" s="47" t="n">
        <x:v>0.2</x:v>
      </x:c>
      <x:c r="V556" s="54" t="n">
        <x:f>IF(ISNUMBER(T556),T556*(1+U556),"")</x:f>
        <x:v>68.388</x:v>
      </x:c>
      <x:c r="W556" s="47" t="n">
        <x:v>0.3</x:v>
      </x:c>
      <x:c r="X556" s="54" t="n">
        <x:f>IF(ISNUMBER(V556),V556/(1-W556),"")</x:f>
        <x:v>97.69714285714286</x:v>
      </x:c>
      <x:c r="Y556" s="55" t="n">
        <x:f>IF(ISNUMBER(X556),ROUNDUP(X556,0),"")</x:f>
        <x:v>98</x:v>
      </x:c>
      <x:c r="Z556" t="str">
        <x:v>Source match pending</x:v>
      </x:c>
      <x:c r="AA556" t="str">
        <x:v>screencapture-www-activesportstrade-co-uk-biotech-usa-trade-2026-09-10-09_04_18.pdf / page-06</x:v>
      </x:c>
      <x:c r="AB556" s="36" t="n">
        <x:f>IF(ISNUMBER(Y556),ROUND(Y556*0.9,2),"")</x:f>
        <x:v>88.2</x:v>
      </x:c>
      <x:c r="AC556" s="36" t="n">
        <x:f>IF(ISNUMBER(AB556),ROUND(AB556-(AB556*0.015+0.2)-V556,2),"")</x:f>
        <x:v>18.29</x:v>
      </x:c>
      <x:c r="AD556" s="36" t="n">
        <x:f>IF(ISNUMBER(Y556),ROUND(Y556*0.8,2),"")</x:f>
        <x:v>78.4</x:v>
      </x:c>
      <x:c r="AE556" s="36" t="n">
        <x:f>IF(ISNUMBER(AD556),ROUND(AD556*0.015+0.2,2),"")</x:f>
        <x:v>1.38</x:v>
      </x:c>
      <x:c r="AF556" s="36" t="n">
        <x:f>IF(ISNUMBER(AD556),ROUND(AD556-AE556-V556,2),"")</x:f>
        <x:v>8.63</x:v>
      </x:c>
      <x:c r="AG556" t="str">
        <x:f>IF(NOT(ISNUMBER(T556)),"PENDING",IF(AF556&gt;0,"PASS","FAIL"))</x:f>
        <x:v>PASS</x:v>
      </x:c>
      <x:c r="AH556" t="str">
        <x:f>IF(NOT(ISNUMBER(T556)),"Needs supplier cost",IF(K556&lt;&gt;"In stock","Supplier unavailable",IF(AG556&lt;&gt;"PASS","BLOCK - GT loss risk","Commercially protected")))</x:f>
        <x:v>Commercially protected</x:v>
      </x:c>
      <x:c r="AI556" t="str">
        <x:v>2026-09-10 Active Sports trade capture</x:v>
      </x:c>
      <x:c r="AJ556" t="str">
        <x:v>Management-only economics. Stripe stress test uses 1.5% + £0.20 standard UK online-card fee; pallet/mix-and-match pricing ignored.</x:v>
      </x:c>
    </x:row>
    <x:row r="557">
      <x:c r="A557" t="str">
        <x:v>Active Sports Nutrition</x:v>
      </x:c>
      <x:c r="B557" t="str">
        <x:v>Biotech USA</x:v>
      </x:c>
      <x:c r="C557" t="str">
        <x:v>Iso Whey Zero</x:v>
      </x:c>
      <x:c r="D557" t="str">
        <x:v>Supplements</x:v>
      </x:c>
      <x:c r="E557" t="str">
        <x:v>Whey Protein</x:v>
      </x:c>
      <x:c r="F557" t="str">
        <x:v>Whey protein isolate.</x:v>
      </x:c>
      <x:c r="G557" t="str">
        <x:v>1.816kg</x:v>
      </x:c>
      <x:c r="H557" t="str">
        <x:v>Tiramisu</x:v>
      </x:c>
      <x:c r="I557" t="str"/>
      <x:c r="J557" t="str">
        <x:v>Unit</x:v>
      </x:c>
      <x:c r="K557" t="str">
        <x:v>In stock</x:v>
      </x:c>
      <x:c r="L557" t="str">
        <x:v>2026-09-08</x:v>
      </x:c>
      <x:c r="M557" t="str"/>
      <x:c r="N557" t="str"/>
      <x:c r="O557" t="str">
        <x:v>https://www.activesportstrade.co.uk/biotech-usa-trade</x:v>
      </x:c>
      <x:c r="P557" t="str"/>
      <x:c r="Q557" t="str"/>
      <x:c r="R557" t="str"/>
      <x:c r="S557" t="str">
        <x:v>Pending genuine supplier/brand image</x:v>
      </x:c>
      <x:c r="T557" s="54" t="n">
        <x:v>56.99</x:v>
      </x:c>
      <x:c r="U557" s="47" t="n">
        <x:v>0.2</x:v>
      </x:c>
      <x:c r="V557" s="54" t="n">
        <x:f>IF(ISNUMBER(T557),T557*(1+U557),"")</x:f>
        <x:v>68.388</x:v>
      </x:c>
      <x:c r="W557" s="47" t="n">
        <x:v>0.3</x:v>
      </x:c>
      <x:c r="X557" s="54" t="n">
        <x:f>IF(ISNUMBER(V557),V557/(1-W557),"")</x:f>
        <x:v>97.69714285714286</x:v>
      </x:c>
      <x:c r="Y557" s="55" t="n">
        <x:f>IF(ISNUMBER(X557),ROUNDUP(X557,0),"")</x:f>
        <x:v>98</x:v>
      </x:c>
      <x:c r="Z557" t="str">
        <x:v>Source match pending</x:v>
      </x:c>
      <x:c r="AA557" t="str">
        <x:v>screencapture-www-activesportstrade-co-uk-biotech-usa-trade-2026-09-10-09_04_18.pdf / page-06</x:v>
      </x:c>
      <x:c r="AB557" s="36" t="n">
        <x:f>IF(ISNUMBER(Y557),ROUND(Y557*0.9,2),"")</x:f>
        <x:v>88.2</x:v>
      </x:c>
      <x:c r="AC557" s="36" t="n">
        <x:f>IF(ISNUMBER(AB557),ROUND(AB557-(AB557*0.015+0.2)-V557,2),"")</x:f>
        <x:v>18.29</x:v>
      </x:c>
      <x:c r="AD557" s="36" t="n">
        <x:f>IF(ISNUMBER(Y557),ROUND(Y557*0.8,2),"")</x:f>
        <x:v>78.4</x:v>
      </x:c>
      <x:c r="AE557" s="36" t="n">
        <x:f>IF(ISNUMBER(AD557),ROUND(AD557*0.015+0.2,2),"")</x:f>
        <x:v>1.38</x:v>
      </x:c>
      <x:c r="AF557" s="36" t="n">
        <x:f>IF(ISNUMBER(AD557),ROUND(AD557-AE557-V557,2),"")</x:f>
        <x:v>8.63</x:v>
      </x:c>
      <x:c r="AG557" t="str">
        <x:f>IF(NOT(ISNUMBER(T557)),"PENDING",IF(AF557&gt;0,"PASS","FAIL"))</x:f>
        <x:v>PASS</x:v>
      </x:c>
      <x:c r="AH557" t="str">
        <x:f>IF(NOT(ISNUMBER(T557)),"Needs supplier cost",IF(K557&lt;&gt;"In stock","Supplier unavailable",IF(AG557&lt;&gt;"PASS","BLOCK - GT loss risk","Commercially protected")))</x:f>
        <x:v>Commercially protected</x:v>
      </x:c>
      <x:c r="AI557" t="str">
        <x:v>2026-09-10 Active Sports trade capture</x:v>
      </x:c>
      <x:c r="AJ557" t="str">
        <x:v>Management-only economics. Stripe stress test uses 1.5% + £0.20 standard UK online-card fee; pallet/mix-and-match pricing ignored.</x:v>
      </x:c>
    </x:row>
    <x:row r="558">
      <x:c r="A558" t="str">
        <x:v>Active Sports Nutrition</x:v>
      </x:c>
      <x:c r="B558" t="str">
        <x:v>Biotech USA</x:v>
      </x:c>
      <x:c r="C558" t="str">
        <x:v>Iso Whey Zero</x:v>
      </x:c>
      <x:c r="D558" t="str">
        <x:v>Supplements</x:v>
      </x:c>
      <x:c r="E558" t="str">
        <x:v>Whey Protein</x:v>
      </x:c>
      <x:c r="F558" t="str">
        <x:v>Whey protein isolate.</x:v>
      </x:c>
      <x:c r="G558" t="str">
        <x:v>1.816kg</x:v>
      </x:c>
      <x:c r="H558" t="str">
        <x:v>Vanilla</x:v>
      </x:c>
      <x:c r="I558" t="str"/>
      <x:c r="J558" t="str">
        <x:v>Unit</x:v>
      </x:c>
      <x:c r="K558" t="str">
        <x:v>In stock</x:v>
      </x:c>
      <x:c r="L558" t="str">
        <x:v>2026-09-08</x:v>
      </x:c>
      <x:c r="M558" t="str"/>
      <x:c r="N558" t="str"/>
      <x:c r="O558" t="str">
        <x:v>https://www.activesportstrade.co.uk/biotech-usa-trade</x:v>
      </x:c>
      <x:c r="P558" t="str"/>
      <x:c r="Q558" t="str"/>
      <x:c r="R558" t="str"/>
      <x:c r="S558" t="str">
        <x:v>Pending genuine supplier/brand image</x:v>
      </x:c>
      <x:c r="T558" s="54" t="n">
        <x:v>56.99</x:v>
      </x:c>
      <x:c r="U558" s="47" t="n">
        <x:v>0.2</x:v>
      </x:c>
      <x:c r="V558" s="54" t="n">
        <x:f>IF(ISNUMBER(T558),T558*(1+U558),"")</x:f>
        <x:v>68.388</x:v>
      </x:c>
      <x:c r="W558" s="47" t="n">
        <x:v>0.3</x:v>
      </x:c>
      <x:c r="X558" s="54" t="n">
        <x:f>IF(ISNUMBER(V558),V558/(1-W558),"")</x:f>
        <x:v>97.69714285714286</x:v>
      </x:c>
      <x:c r="Y558" s="55" t="n">
        <x:f>IF(ISNUMBER(X558),ROUNDUP(X558,0),"")</x:f>
        <x:v>98</x:v>
      </x:c>
      <x:c r="Z558" t="str">
        <x:v>Source match pending</x:v>
      </x:c>
      <x:c r="AA558" t="str">
        <x:v>screencapture-www-activesportstrade-co-uk-biotech-usa-trade-2026-09-10-09_04_18.pdf / page-06</x:v>
      </x:c>
      <x:c r="AB558" s="36" t="n">
        <x:f>IF(ISNUMBER(Y558),ROUND(Y558*0.9,2),"")</x:f>
        <x:v>88.2</x:v>
      </x:c>
      <x:c r="AC558" s="36" t="n">
        <x:f>IF(ISNUMBER(AB558),ROUND(AB558-(AB558*0.015+0.2)-V558,2),"")</x:f>
        <x:v>18.29</x:v>
      </x:c>
      <x:c r="AD558" s="36" t="n">
        <x:f>IF(ISNUMBER(Y558),ROUND(Y558*0.8,2),"")</x:f>
        <x:v>78.4</x:v>
      </x:c>
      <x:c r="AE558" s="36" t="n">
        <x:f>IF(ISNUMBER(AD558),ROUND(AD558*0.015+0.2,2),"")</x:f>
        <x:v>1.38</x:v>
      </x:c>
      <x:c r="AF558" s="36" t="n">
        <x:f>IF(ISNUMBER(AD558),ROUND(AD558-AE558-V558,2),"")</x:f>
        <x:v>8.63</x:v>
      </x:c>
      <x:c r="AG558" t="str">
        <x:f>IF(NOT(ISNUMBER(T558)),"PENDING",IF(AF558&gt;0,"PASS","FAIL"))</x:f>
        <x:v>PASS</x:v>
      </x:c>
      <x:c r="AH558" t="str">
        <x:f>IF(NOT(ISNUMBER(T558)),"Needs supplier cost",IF(K558&lt;&gt;"In stock","Supplier unavailable",IF(AG558&lt;&gt;"PASS","BLOCK - GT loss risk","Commercially protected")))</x:f>
        <x:v>Commercially protected</x:v>
      </x:c>
      <x:c r="AI558" t="str">
        <x:v>2026-09-10 Active Sports trade capture</x:v>
      </x:c>
      <x:c r="AJ558" t="str">
        <x:v>Management-only economics. Stripe stress test uses 1.5% + £0.20 standard UK online-card fee; pallet/mix-and-match pricing ignored.</x:v>
      </x:c>
    </x:row>
    <x:row r="559">
      <x:c r="A559" t="str">
        <x:v>Active Sports Nutrition</x:v>
      </x:c>
      <x:c r="B559" t="str">
        <x:v>Biotech USA</x:v>
      </x:c>
      <x:c r="C559" t="str">
        <x:v>Iso Whey Zero</x:v>
      </x:c>
      <x:c r="D559" t="str">
        <x:v>Supplements</x:v>
      </x:c>
      <x:c r="E559" t="str">
        <x:v>Whey Protein</x:v>
      </x:c>
      <x:c r="F559" t="str">
        <x:v>Whey protein isolate.</x:v>
      </x:c>
      <x:c r="G559" t="str">
        <x:v>1.816kg</x:v>
      </x:c>
      <x:c r="H559" t="str">
        <x:v>White Chocolate</x:v>
      </x:c>
      <x:c r="I559" t="str"/>
      <x:c r="J559" t="str">
        <x:v>Unit</x:v>
      </x:c>
      <x:c r="K559" t="str">
        <x:v>In stock</x:v>
      </x:c>
      <x:c r="L559" t="str">
        <x:v>2026-09-08</x:v>
      </x:c>
      <x:c r="M559" t="str"/>
      <x:c r="N559" t="str"/>
      <x:c r="O559" t="str">
        <x:v>https://www.activesportstrade.co.uk/biotech-usa-trade</x:v>
      </x:c>
      <x:c r="P559" t="str"/>
      <x:c r="Q559" t="str"/>
      <x:c r="R559" t="str"/>
      <x:c r="S559" t="str">
        <x:v>Pending genuine supplier/brand image</x:v>
      </x:c>
      <x:c r="T559" s="54" t="n">
        <x:v>56.99</x:v>
      </x:c>
      <x:c r="U559" s="47" t="n">
        <x:v>0.2</x:v>
      </x:c>
      <x:c r="V559" s="54" t="n">
        <x:f>IF(ISNUMBER(T559),T559*(1+U559),"")</x:f>
        <x:v>68.388</x:v>
      </x:c>
      <x:c r="W559" s="47" t="n">
        <x:v>0.3</x:v>
      </x:c>
      <x:c r="X559" s="54" t="n">
        <x:f>IF(ISNUMBER(V559),V559/(1-W559),"")</x:f>
        <x:v>97.69714285714286</x:v>
      </x:c>
      <x:c r="Y559" s="55" t="n">
        <x:f>IF(ISNUMBER(X559),ROUNDUP(X559,0),"")</x:f>
        <x:v>98</x:v>
      </x:c>
      <x:c r="Z559" t="str">
        <x:v>Source match pending</x:v>
      </x:c>
      <x:c r="AA559" t="str">
        <x:v>screencapture-www-activesportstrade-co-uk-biotech-usa-trade-2026-09-10-09_04_18.pdf / page-06</x:v>
      </x:c>
      <x:c r="AB559" s="36" t="n">
        <x:f>IF(ISNUMBER(Y559),ROUND(Y559*0.9,2),"")</x:f>
        <x:v>88.2</x:v>
      </x:c>
      <x:c r="AC559" s="36" t="n">
        <x:f>IF(ISNUMBER(AB559),ROUND(AB559-(AB559*0.015+0.2)-V559,2),"")</x:f>
        <x:v>18.29</x:v>
      </x:c>
      <x:c r="AD559" s="36" t="n">
        <x:f>IF(ISNUMBER(Y559),ROUND(Y559*0.8,2),"")</x:f>
        <x:v>78.4</x:v>
      </x:c>
      <x:c r="AE559" s="36" t="n">
        <x:f>IF(ISNUMBER(AD559),ROUND(AD559*0.015+0.2,2),"")</x:f>
        <x:v>1.38</x:v>
      </x:c>
      <x:c r="AF559" s="36" t="n">
        <x:f>IF(ISNUMBER(AD559),ROUND(AD559-AE559-V559,2),"")</x:f>
        <x:v>8.63</x:v>
      </x:c>
      <x:c r="AG559" t="str">
        <x:f>IF(NOT(ISNUMBER(T559)),"PENDING",IF(AF559&gt;0,"PASS","FAIL"))</x:f>
        <x:v>PASS</x:v>
      </x:c>
      <x:c r="AH559" t="str">
        <x:f>IF(NOT(ISNUMBER(T559)),"Needs supplier cost",IF(K559&lt;&gt;"In stock","Supplier unavailable",IF(AG559&lt;&gt;"PASS","BLOCK - GT loss risk","Commercially protected")))</x:f>
        <x:v>Commercially protected</x:v>
      </x:c>
      <x:c r="AI559" t="str">
        <x:v>2026-09-10 Active Sports trade capture</x:v>
      </x:c>
      <x:c r="AJ559" t="str">
        <x:v>Management-only economics. Stripe stress test uses 1.5% + £0.20 standard UK online-card fee; pallet/mix-and-match pricing ignored.</x:v>
      </x:c>
    </x:row>
    <x:row r="560">
      <x:c r="A560" t="str">
        <x:v>Active Sports Nutrition</x:v>
      </x:c>
      <x:c r="B560" t="str">
        <x:v>Biotech USA</x:v>
      </x:c>
      <x:c r="C560" t="str">
        <x:v>Iso Whey Zero</x:v>
      </x:c>
      <x:c r="D560" t="str">
        <x:v>Supplements</x:v>
      </x:c>
      <x:c r="E560" t="str">
        <x:v>Whey Protein</x:v>
      </x:c>
      <x:c r="F560" t="str">
        <x:v>Whey protein isolate.</x:v>
      </x:c>
      <x:c r="G560" t="str">
        <x:v>908g</x:v>
      </x:c>
      <x:c r="H560" t="str">
        <x:v>Banana</x:v>
      </x:c>
      <x:c r="I560" t="str"/>
      <x:c r="J560" t="str">
        <x:v>Unit</x:v>
      </x:c>
      <x:c r="K560" t="str">
        <x:v>In stock</x:v>
      </x:c>
      <x:c r="L560" t="str">
        <x:v>2026-09-08</x:v>
      </x:c>
      <x:c r="M560" t="str"/>
      <x:c r="N560" t="str"/>
      <x:c r="O560" t="str">
        <x:v>https://www.activesportstrade.co.uk/biotech-usa-trade</x:v>
      </x:c>
      <x:c r="P560" t="str"/>
      <x:c r="Q560" t="str"/>
      <x:c r="R560" t="str"/>
      <x:c r="S560" t="str">
        <x:v>Pending genuine supplier/brand image</x:v>
      </x:c>
      <x:c r="T560" s="54" t="n">
        <x:v>28.99</x:v>
      </x:c>
      <x:c r="U560" s="47" t="n">
        <x:v>0.2</x:v>
      </x:c>
      <x:c r="V560" s="54" t="n">
        <x:f>IF(ISNUMBER(T560),T560*(1+U560),"")</x:f>
        <x:v>34.788</x:v>
      </x:c>
      <x:c r="W560" s="47" t="n">
        <x:v>0.3</x:v>
      </x:c>
      <x:c r="X560" s="54" t="n">
        <x:f>IF(ISNUMBER(V560),V560/(1-W560),"")</x:f>
        <x:v>49.69714285714286</x:v>
      </x:c>
      <x:c r="Y560" s="55" t="n">
        <x:f>IF(ISNUMBER(X560),ROUNDUP(X560,0),"")</x:f>
        <x:v>50</x:v>
      </x:c>
      <x:c r="Z560" t="str">
        <x:v>Source match pending</x:v>
      </x:c>
      <x:c r="AA560" t="str">
        <x:v>screencapture-www-activesportstrade-co-uk-biotech-usa-trade-2026-09-10-09_04_18.pdf / page-07</x:v>
      </x:c>
      <x:c r="AB560" s="36" t="n">
        <x:f>IF(ISNUMBER(Y560),ROUND(Y560*0.9,2),"")</x:f>
        <x:v>45</x:v>
      </x:c>
      <x:c r="AC560" s="36" t="n">
        <x:f>IF(ISNUMBER(AB560),ROUND(AB560-(AB560*0.015+0.2)-V560,2),"")</x:f>
        <x:v>9.34</x:v>
      </x:c>
      <x:c r="AD560" s="36" t="n">
        <x:f>IF(ISNUMBER(Y560),ROUND(Y560*0.8,2),"")</x:f>
        <x:v>40</x:v>
      </x:c>
      <x:c r="AE560" s="36" t="n">
        <x:f>IF(ISNUMBER(AD560),ROUND(AD560*0.015+0.2,2),"")</x:f>
        <x:v>0.8</x:v>
      </x:c>
      <x:c r="AF560" s="36" t="n">
        <x:f>IF(ISNUMBER(AD560),ROUND(AD560-AE560-V560,2),"")</x:f>
        <x:v>4.41</x:v>
      </x:c>
      <x:c r="AG560" t="str">
        <x:f>IF(NOT(ISNUMBER(T560)),"PENDING",IF(AF560&gt;0,"PASS","FAIL"))</x:f>
        <x:v>PASS</x:v>
      </x:c>
      <x:c r="AH560" t="str">
        <x:f>IF(NOT(ISNUMBER(T560)),"Needs supplier cost",IF(K560&lt;&gt;"In stock","Supplier unavailable",IF(AG560&lt;&gt;"PASS","BLOCK - GT loss risk","Commercially protected")))</x:f>
        <x:v>Commercially protected</x:v>
      </x:c>
      <x:c r="AI560" t="str">
        <x:v>2026-09-10 Active Sports trade capture</x:v>
      </x:c>
      <x:c r="AJ560" t="str">
        <x:v>Management-only economics. Stripe stress test uses 1.5% + £0.20 standard UK online-card fee; pallet/mix-and-match pricing ignored.</x:v>
      </x:c>
    </x:row>
    <x:row r="561">
      <x:c r="A561" t="str">
        <x:v>Active Sports Nutrition</x:v>
      </x:c>
      <x:c r="B561" t="str">
        <x:v>Biotech USA</x:v>
      </x:c>
      <x:c r="C561" t="str">
        <x:v>Iso Whey Zero</x:v>
      </x:c>
      <x:c r="D561" t="str">
        <x:v>Supplements</x:v>
      </x:c>
      <x:c r="E561" t="str">
        <x:v>Whey Protein</x:v>
      </x:c>
      <x:c r="F561" t="str">
        <x:v>Whey protein isolate.</x:v>
      </x:c>
      <x:c r="G561" t="str">
        <x:v>908g</x:v>
      </x:c>
      <x:c r="H561" t="str">
        <x:v>Black Biscuits</x:v>
      </x:c>
      <x:c r="I561" t="str"/>
      <x:c r="J561" t="str">
        <x:v>Unit</x:v>
      </x:c>
      <x:c r="K561" t="str">
        <x:v>In stock</x:v>
      </x:c>
      <x:c r="L561" t="str">
        <x:v>2026-09-08</x:v>
      </x:c>
      <x:c r="M561" t="str"/>
      <x:c r="N561" t="str"/>
      <x:c r="O561" t="str">
        <x:v>https://www.activesportstrade.co.uk/biotech-usa-trade</x:v>
      </x:c>
      <x:c r="P561" t="str"/>
      <x:c r="Q561" t="str"/>
      <x:c r="R561" t="str"/>
      <x:c r="S561" t="str">
        <x:v>Pending genuine supplier/brand image</x:v>
      </x:c>
      <x:c r="T561" s="54" t="n">
        <x:v>28.99</x:v>
      </x:c>
      <x:c r="U561" s="47" t="n">
        <x:v>0.2</x:v>
      </x:c>
      <x:c r="V561" s="54" t="n">
        <x:f>IF(ISNUMBER(T561),T561*(1+U561),"")</x:f>
        <x:v>34.788</x:v>
      </x:c>
      <x:c r="W561" s="47" t="n">
        <x:v>0.3</x:v>
      </x:c>
      <x:c r="X561" s="54" t="n">
        <x:f>IF(ISNUMBER(V561),V561/(1-W561),"")</x:f>
        <x:v>49.69714285714286</x:v>
      </x:c>
      <x:c r="Y561" s="55" t="n">
        <x:f>IF(ISNUMBER(X561),ROUNDUP(X561,0),"")</x:f>
        <x:v>50</x:v>
      </x:c>
      <x:c r="Z561" t="str">
        <x:v>Source match pending</x:v>
      </x:c>
      <x:c r="AA561" t="str">
        <x:v>screencapture-www-activesportstrade-co-uk-biotech-usa-trade-2026-09-10-09_04_18.pdf / page-07</x:v>
      </x:c>
      <x:c r="AB561" s="36" t="n">
        <x:f>IF(ISNUMBER(Y561),ROUND(Y561*0.9,2),"")</x:f>
        <x:v>45</x:v>
      </x:c>
      <x:c r="AC561" s="36" t="n">
        <x:f>IF(ISNUMBER(AB561),ROUND(AB561-(AB561*0.015+0.2)-V561,2),"")</x:f>
        <x:v>9.34</x:v>
      </x:c>
      <x:c r="AD561" s="36" t="n">
        <x:f>IF(ISNUMBER(Y561),ROUND(Y561*0.8,2),"")</x:f>
        <x:v>40</x:v>
      </x:c>
      <x:c r="AE561" s="36" t="n">
        <x:f>IF(ISNUMBER(AD561),ROUND(AD561*0.015+0.2,2),"")</x:f>
        <x:v>0.8</x:v>
      </x:c>
      <x:c r="AF561" s="36" t="n">
        <x:f>IF(ISNUMBER(AD561),ROUND(AD561-AE561-V561,2),"")</x:f>
        <x:v>4.41</x:v>
      </x:c>
      <x:c r="AG561" t="str">
        <x:f>IF(NOT(ISNUMBER(T561)),"PENDING",IF(AF561&gt;0,"PASS","FAIL"))</x:f>
        <x:v>PASS</x:v>
      </x:c>
      <x:c r="AH561" t="str">
        <x:f>IF(NOT(ISNUMBER(T561)),"Needs supplier cost",IF(K561&lt;&gt;"In stock","Supplier unavailable",IF(AG561&lt;&gt;"PASS","BLOCK - GT loss risk","Commercially protected")))</x:f>
        <x:v>Commercially protected</x:v>
      </x:c>
      <x:c r="AI561" t="str">
        <x:v>2026-09-10 Active Sports trade capture</x:v>
      </x:c>
      <x:c r="AJ561" t="str">
        <x:v>Management-only economics. Stripe stress test uses 1.5% + £0.20 standard UK online-card fee; pallet/mix-and-match pricing ignored.</x:v>
      </x:c>
    </x:row>
    <x:row r="562">
      <x:c r="A562" t="str">
        <x:v>Active Sports Nutrition</x:v>
      </x:c>
      <x:c r="B562" t="str">
        <x:v>Biotech USA</x:v>
      </x:c>
      <x:c r="C562" t="str">
        <x:v>Iso Whey Zero</x:v>
      </x:c>
      <x:c r="D562" t="str">
        <x:v>Supplements</x:v>
      </x:c>
      <x:c r="E562" t="str">
        <x:v>Whey Protein</x:v>
      </x:c>
      <x:c r="F562" t="str">
        <x:v>Whey protein isolate.</x:v>
      </x:c>
      <x:c r="G562" t="str">
        <x:v>908g</x:v>
      </x:c>
      <x:c r="H562" t="str">
        <x:v>Cafe Latte</x:v>
      </x:c>
      <x:c r="I562" t="str"/>
      <x:c r="J562" t="str">
        <x:v>Unit</x:v>
      </x:c>
      <x:c r="K562" t="str">
        <x:v>In stock</x:v>
      </x:c>
      <x:c r="L562" t="str">
        <x:v>2026-09-08</x:v>
      </x:c>
      <x:c r="M562" t="str"/>
      <x:c r="N562" t="str"/>
      <x:c r="O562" t="str">
        <x:v>https://www.activesportstrade.co.uk/biotech-usa-trade</x:v>
      </x:c>
      <x:c r="P562" t="str"/>
      <x:c r="Q562" t="str"/>
      <x:c r="R562" t="str"/>
      <x:c r="S562" t="str">
        <x:v>Pending genuine supplier/brand image</x:v>
      </x:c>
      <x:c r="T562" s="54" t="n">
        <x:v>28.99</x:v>
      </x:c>
      <x:c r="U562" s="47" t="n">
        <x:v>0.2</x:v>
      </x:c>
      <x:c r="V562" s="54" t="n">
        <x:f>IF(ISNUMBER(T562),T562*(1+U562),"")</x:f>
        <x:v>34.788</x:v>
      </x:c>
      <x:c r="W562" s="47" t="n">
        <x:v>0.3</x:v>
      </x:c>
      <x:c r="X562" s="54" t="n">
        <x:f>IF(ISNUMBER(V562),V562/(1-W562),"")</x:f>
        <x:v>49.69714285714286</x:v>
      </x:c>
      <x:c r="Y562" s="55" t="n">
        <x:f>IF(ISNUMBER(X562),ROUNDUP(X562,0),"")</x:f>
        <x:v>50</x:v>
      </x:c>
      <x:c r="Z562" t="str">
        <x:v>Source match pending</x:v>
      </x:c>
      <x:c r="AA562" t="str">
        <x:v>screencapture-www-activesportstrade-co-uk-biotech-usa-trade-2026-09-10-09_04_18.pdf / page-07</x:v>
      </x:c>
      <x:c r="AB562" s="36" t="n">
        <x:f>IF(ISNUMBER(Y562),ROUND(Y562*0.9,2),"")</x:f>
        <x:v>45</x:v>
      </x:c>
      <x:c r="AC562" s="36" t="n">
        <x:f>IF(ISNUMBER(AB562),ROUND(AB562-(AB562*0.015+0.2)-V562,2),"")</x:f>
        <x:v>9.34</x:v>
      </x:c>
      <x:c r="AD562" s="36" t="n">
        <x:f>IF(ISNUMBER(Y562),ROUND(Y562*0.8,2),"")</x:f>
        <x:v>40</x:v>
      </x:c>
      <x:c r="AE562" s="36" t="n">
        <x:f>IF(ISNUMBER(AD562),ROUND(AD562*0.015+0.2,2),"")</x:f>
        <x:v>0.8</x:v>
      </x:c>
      <x:c r="AF562" s="36" t="n">
        <x:f>IF(ISNUMBER(AD562),ROUND(AD562-AE562-V562,2),"")</x:f>
        <x:v>4.41</x:v>
      </x:c>
      <x:c r="AG562" t="str">
        <x:f>IF(NOT(ISNUMBER(T562)),"PENDING",IF(AF562&gt;0,"PASS","FAIL"))</x:f>
        <x:v>PASS</x:v>
      </x:c>
      <x:c r="AH562" t="str">
        <x:f>IF(NOT(ISNUMBER(T562)),"Needs supplier cost",IF(K562&lt;&gt;"In stock","Supplier unavailable",IF(AG562&lt;&gt;"PASS","BLOCK - GT loss risk","Commercially protected")))</x:f>
        <x:v>Commercially protected</x:v>
      </x:c>
      <x:c r="AI562" t="str">
        <x:v>2026-09-10 Active Sports trade capture</x:v>
      </x:c>
      <x:c r="AJ562" t="str">
        <x:v>Management-only economics. Stripe stress test uses 1.5% + £0.20 standard UK online-card fee; pallet/mix-and-match pricing ignored.</x:v>
      </x:c>
    </x:row>
    <x:row r="563">
      <x:c r="A563" t="str">
        <x:v>Active Sports Nutrition</x:v>
      </x:c>
      <x:c r="B563" t="str">
        <x:v>Biotech USA</x:v>
      </x:c>
      <x:c r="C563" t="str">
        <x:v>Iso Whey Zero</x:v>
      </x:c>
      <x:c r="D563" t="str">
        <x:v>Supplements</x:v>
      </x:c>
      <x:c r="E563" t="str">
        <x:v>Whey Protein</x:v>
      </x:c>
      <x:c r="F563" t="str">
        <x:v>Whey protein isolate.</x:v>
      </x:c>
      <x:c r="G563" t="str">
        <x:v>908g</x:v>
      </x:c>
      <x:c r="H563" t="str">
        <x:v>Chocolate</x:v>
      </x:c>
      <x:c r="I563" t="str"/>
      <x:c r="J563" t="str">
        <x:v>Unit</x:v>
      </x:c>
      <x:c r="K563" t="str">
        <x:v>In stock</x:v>
      </x:c>
      <x:c r="L563" t="str">
        <x:v>2026-09-08</x:v>
      </x:c>
      <x:c r="M563" t="str"/>
      <x:c r="N563" t="str"/>
      <x:c r="O563" t="str">
        <x:v>https://www.activesportstrade.co.uk/biotech-usa-trade</x:v>
      </x:c>
      <x:c r="P563" t="str"/>
      <x:c r="Q563" t="str"/>
      <x:c r="R563" t="str"/>
      <x:c r="S563" t="str">
        <x:v>Pending genuine supplier/brand image</x:v>
      </x:c>
      <x:c r="T563" s="54" t="n">
        <x:v>28.99</x:v>
      </x:c>
      <x:c r="U563" s="47" t="n">
        <x:v>0.2</x:v>
      </x:c>
      <x:c r="V563" s="54" t="n">
        <x:f>IF(ISNUMBER(T563),T563*(1+U563),"")</x:f>
        <x:v>34.788</x:v>
      </x:c>
      <x:c r="W563" s="47" t="n">
        <x:v>0.3</x:v>
      </x:c>
      <x:c r="X563" s="54" t="n">
        <x:f>IF(ISNUMBER(V563),V563/(1-W563),"")</x:f>
        <x:v>49.69714285714286</x:v>
      </x:c>
      <x:c r="Y563" s="55" t="n">
        <x:f>IF(ISNUMBER(X563),ROUNDUP(X563,0),"")</x:f>
        <x:v>50</x:v>
      </x:c>
      <x:c r="Z563" t="str">
        <x:v>Source match pending</x:v>
      </x:c>
      <x:c r="AA563" t="str">
        <x:v>screencapture-www-activesportstrade-co-uk-biotech-usa-trade-2026-09-10-09_04_18.pdf / page-07</x:v>
      </x:c>
      <x:c r="AB563" s="36" t="n">
        <x:f>IF(ISNUMBER(Y563),ROUND(Y563*0.9,2),"")</x:f>
        <x:v>45</x:v>
      </x:c>
      <x:c r="AC563" s="36" t="n">
        <x:f>IF(ISNUMBER(AB563),ROUND(AB563-(AB563*0.015+0.2)-V563,2),"")</x:f>
        <x:v>9.34</x:v>
      </x:c>
      <x:c r="AD563" s="36" t="n">
        <x:f>IF(ISNUMBER(Y563),ROUND(Y563*0.8,2),"")</x:f>
        <x:v>40</x:v>
      </x:c>
      <x:c r="AE563" s="36" t="n">
        <x:f>IF(ISNUMBER(AD563),ROUND(AD563*0.015+0.2,2),"")</x:f>
        <x:v>0.8</x:v>
      </x:c>
      <x:c r="AF563" s="36" t="n">
        <x:f>IF(ISNUMBER(AD563),ROUND(AD563-AE563-V563,2),"")</x:f>
        <x:v>4.41</x:v>
      </x:c>
      <x:c r="AG563" t="str">
        <x:f>IF(NOT(ISNUMBER(T563)),"PENDING",IF(AF563&gt;0,"PASS","FAIL"))</x:f>
        <x:v>PASS</x:v>
      </x:c>
      <x:c r="AH563" t="str">
        <x:f>IF(NOT(ISNUMBER(T563)),"Needs supplier cost",IF(K563&lt;&gt;"In stock","Supplier unavailable",IF(AG563&lt;&gt;"PASS","BLOCK - GT loss risk","Commercially protected")))</x:f>
        <x:v>Commercially protected</x:v>
      </x:c>
      <x:c r="AI563" t="str">
        <x:v>2026-09-10 Active Sports trade capture</x:v>
      </x:c>
      <x:c r="AJ563" t="str">
        <x:v>Management-only economics. Stripe stress test uses 1.5% + £0.20 standard UK online-card fee; pallet/mix-and-match pricing ignored.</x:v>
      </x:c>
    </x:row>
    <x:row r="564">
      <x:c r="A564" t="str">
        <x:v>Active Sports Nutrition</x:v>
      </x:c>
      <x:c r="B564" t="str">
        <x:v>Biotech USA</x:v>
      </x:c>
      <x:c r="C564" t="str">
        <x:v>Iso Whey Zero</x:v>
      </x:c>
      <x:c r="D564" t="str">
        <x:v>Supplements</x:v>
      </x:c>
      <x:c r="E564" t="str">
        <x:v>Whey Protein</x:v>
      </x:c>
      <x:c r="F564" t="str">
        <x:v>Whey protein isolate.</x:v>
      </x:c>
      <x:c r="G564" t="str">
        <x:v>908g</x:v>
      </x:c>
      <x:c r="H564" t="str">
        <x:v>Coconut</x:v>
      </x:c>
      <x:c r="I564" t="str"/>
      <x:c r="J564" t="str">
        <x:v>Unit</x:v>
      </x:c>
      <x:c r="K564" t="str">
        <x:v>In stock</x:v>
      </x:c>
      <x:c r="L564" t="str">
        <x:v>2026-09-08</x:v>
      </x:c>
      <x:c r="M564" t="str"/>
      <x:c r="N564" t="str"/>
      <x:c r="O564" t="str">
        <x:v>https://www.activesportstrade.co.uk/biotech-usa-trade</x:v>
      </x:c>
      <x:c r="P564" t="str"/>
      <x:c r="Q564" t="str"/>
      <x:c r="R564" t="str"/>
      <x:c r="S564" t="str">
        <x:v>Pending genuine supplier/brand image</x:v>
      </x:c>
      <x:c r="T564" s="54" t="n">
        <x:v>28.99</x:v>
      </x:c>
      <x:c r="U564" s="47" t="n">
        <x:v>0.2</x:v>
      </x:c>
      <x:c r="V564" s="54" t="n">
        <x:f>IF(ISNUMBER(T564),T564*(1+U564),"")</x:f>
        <x:v>34.788</x:v>
      </x:c>
      <x:c r="W564" s="47" t="n">
        <x:v>0.3</x:v>
      </x:c>
      <x:c r="X564" s="54" t="n">
        <x:f>IF(ISNUMBER(V564),V564/(1-W564),"")</x:f>
        <x:v>49.69714285714286</x:v>
      </x:c>
      <x:c r="Y564" s="55" t="n">
        <x:f>IF(ISNUMBER(X564),ROUNDUP(X564,0),"")</x:f>
        <x:v>50</x:v>
      </x:c>
      <x:c r="Z564" t="str">
        <x:v>Source match pending</x:v>
      </x:c>
      <x:c r="AA564" t="str">
        <x:v>screencapture-www-activesportstrade-co-uk-biotech-usa-trade-2026-09-10-09_04_18.pdf / page-07</x:v>
      </x:c>
      <x:c r="AB564" s="36" t="n">
        <x:f>IF(ISNUMBER(Y564),ROUND(Y564*0.9,2),"")</x:f>
        <x:v>45</x:v>
      </x:c>
      <x:c r="AC564" s="36" t="n">
        <x:f>IF(ISNUMBER(AB564),ROUND(AB564-(AB564*0.015+0.2)-V564,2),"")</x:f>
        <x:v>9.34</x:v>
      </x:c>
      <x:c r="AD564" s="36" t="n">
        <x:f>IF(ISNUMBER(Y564),ROUND(Y564*0.8,2),"")</x:f>
        <x:v>40</x:v>
      </x:c>
      <x:c r="AE564" s="36" t="n">
        <x:f>IF(ISNUMBER(AD564),ROUND(AD564*0.015+0.2,2),"")</x:f>
        <x:v>0.8</x:v>
      </x:c>
      <x:c r="AF564" s="36" t="n">
        <x:f>IF(ISNUMBER(AD564),ROUND(AD564-AE564-V564,2),"")</x:f>
        <x:v>4.41</x:v>
      </x:c>
      <x:c r="AG564" t="str">
        <x:f>IF(NOT(ISNUMBER(T564)),"PENDING",IF(AF564&gt;0,"PASS","FAIL"))</x:f>
        <x:v>PASS</x:v>
      </x:c>
      <x:c r="AH564" t="str">
        <x:f>IF(NOT(ISNUMBER(T564)),"Needs supplier cost",IF(K564&lt;&gt;"In stock","Supplier unavailable",IF(AG564&lt;&gt;"PASS","BLOCK - GT loss risk","Commercially protected")))</x:f>
        <x:v>Commercially protected</x:v>
      </x:c>
      <x:c r="AI564" t="str">
        <x:v>2026-09-10 Active Sports trade capture</x:v>
      </x:c>
      <x:c r="AJ564" t="str">
        <x:v>Management-only economics. Stripe stress test uses 1.5% + £0.20 standard UK online-card fee; pallet/mix-and-match pricing ignored.</x:v>
      </x:c>
    </x:row>
    <x:row r="565">
      <x:c r="A565" t="str">
        <x:v>Active Sports Nutrition</x:v>
      </x:c>
      <x:c r="B565" t="str">
        <x:v>Biotech USA</x:v>
      </x:c>
      <x:c r="C565" t="str">
        <x:v>Iso Whey Zero</x:v>
      </x:c>
      <x:c r="D565" t="str">
        <x:v>Supplements</x:v>
      </x:c>
      <x:c r="E565" t="str">
        <x:v>Whey Protein</x:v>
      </x:c>
      <x:c r="F565" t="str">
        <x:v>Whey protein isolate.</x:v>
      </x:c>
      <x:c r="G565" t="str">
        <x:v>908g</x:v>
      </x:c>
      <x:c r="H565" t="str">
        <x:v>Cookies &amp; Cream</x:v>
      </x:c>
      <x:c r="I565" t="str"/>
      <x:c r="J565" t="str">
        <x:v>Unit</x:v>
      </x:c>
      <x:c r="K565" t="str">
        <x:v>In stock</x:v>
      </x:c>
      <x:c r="L565" t="str">
        <x:v>2026-09-08</x:v>
      </x:c>
      <x:c r="M565" t="str"/>
      <x:c r="N565" t="str"/>
      <x:c r="O565" t="str">
        <x:v>https://www.activesportstrade.co.uk/biotech-usa-trade</x:v>
      </x:c>
      <x:c r="P565" t="str"/>
      <x:c r="Q565" t="str"/>
      <x:c r="R565" t="str"/>
      <x:c r="S565" t="str">
        <x:v>Pending genuine supplier/brand image</x:v>
      </x:c>
      <x:c r="T565" s="54" t="n">
        <x:v>28.99</x:v>
      </x:c>
      <x:c r="U565" s="47" t="n">
        <x:v>0.2</x:v>
      </x:c>
      <x:c r="V565" s="54" t="n">
        <x:f>IF(ISNUMBER(T565),T565*(1+U565),"")</x:f>
        <x:v>34.788</x:v>
      </x:c>
      <x:c r="W565" s="47" t="n">
        <x:v>0.3</x:v>
      </x:c>
      <x:c r="X565" s="54" t="n">
        <x:f>IF(ISNUMBER(V565),V565/(1-W565),"")</x:f>
        <x:v>49.69714285714286</x:v>
      </x:c>
      <x:c r="Y565" s="55" t="n">
        <x:f>IF(ISNUMBER(X565),ROUNDUP(X565,0),"")</x:f>
        <x:v>50</x:v>
      </x:c>
      <x:c r="Z565" t="str">
        <x:v>Source match pending</x:v>
      </x:c>
      <x:c r="AA565" t="str">
        <x:v>screencapture-www-activesportstrade-co-uk-biotech-usa-trade-2026-09-10-09_04_18.pdf / page-07</x:v>
      </x:c>
      <x:c r="AB565" s="36" t="n">
        <x:f>IF(ISNUMBER(Y565),ROUND(Y565*0.9,2),"")</x:f>
        <x:v>45</x:v>
      </x:c>
      <x:c r="AC565" s="36" t="n">
        <x:f>IF(ISNUMBER(AB565),ROUND(AB565-(AB565*0.015+0.2)-V565,2),"")</x:f>
        <x:v>9.34</x:v>
      </x:c>
      <x:c r="AD565" s="36" t="n">
        <x:f>IF(ISNUMBER(Y565),ROUND(Y565*0.8,2),"")</x:f>
        <x:v>40</x:v>
      </x:c>
      <x:c r="AE565" s="36" t="n">
        <x:f>IF(ISNUMBER(AD565),ROUND(AD565*0.015+0.2,2),"")</x:f>
        <x:v>0.8</x:v>
      </x:c>
      <x:c r="AF565" s="36" t="n">
        <x:f>IF(ISNUMBER(AD565),ROUND(AD565-AE565-V565,2),"")</x:f>
        <x:v>4.41</x:v>
      </x:c>
      <x:c r="AG565" t="str">
        <x:f>IF(NOT(ISNUMBER(T565)),"PENDING",IF(AF565&gt;0,"PASS","FAIL"))</x:f>
        <x:v>PASS</x:v>
      </x:c>
      <x:c r="AH565" t="str">
        <x:f>IF(NOT(ISNUMBER(T565)),"Needs supplier cost",IF(K565&lt;&gt;"In stock","Supplier unavailable",IF(AG565&lt;&gt;"PASS","BLOCK - GT loss risk","Commercially protected")))</x:f>
        <x:v>Commercially protected</x:v>
      </x:c>
      <x:c r="AI565" t="str">
        <x:v>2026-09-10 Active Sports trade capture</x:v>
      </x:c>
      <x:c r="AJ565" t="str">
        <x:v>Management-only economics. Stripe stress test uses 1.5% + £0.20 standard UK online-card fee; pallet/mix-and-match pricing ignored.</x:v>
      </x:c>
    </x:row>
    <x:row r="566">
      <x:c r="A566" t="str">
        <x:v>Active Sports Nutrition</x:v>
      </x:c>
      <x:c r="B566" t="str">
        <x:v>Biotech USA</x:v>
      </x:c>
      <x:c r="C566" t="str">
        <x:v>Iso Whey Zero</x:v>
      </x:c>
      <x:c r="D566" t="str">
        <x:v>Supplements</x:v>
      </x:c>
      <x:c r="E566" t="str">
        <x:v>Whey Protein</x:v>
      </x:c>
      <x:c r="F566" t="str">
        <x:v>Whey protein isolate.</x:v>
      </x:c>
      <x:c r="G566" t="str">
        <x:v>908g</x:v>
      </x:c>
      <x:c r="H566" t="str">
        <x:v>Dark Chocolate</x:v>
      </x:c>
      <x:c r="I566" t="str"/>
      <x:c r="J566" t="str">
        <x:v>Unit</x:v>
      </x:c>
      <x:c r="K566" t="str">
        <x:v>Out of stock</x:v>
      </x:c>
      <x:c r="L566" t="str">
        <x:v>2026-09-08</x:v>
      </x:c>
      <x:c r="M566" t="str"/>
      <x:c r="N566" t="str"/>
      <x:c r="O566" t="str">
        <x:v>https://www.activesportstrade.co.uk/biotech-usa-trade</x:v>
      </x:c>
      <x:c r="P566" t="str"/>
      <x:c r="Q566" t="str"/>
      <x:c r="R566" t="str"/>
      <x:c r="S566" t="str">
        <x:v>Pending genuine supplier/brand image</x:v>
      </x:c>
      <x:c r="T566" s="54" t="n">
        <x:v>28.99</x:v>
      </x:c>
      <x:c r="U566" s="47" t="n">
        <x:v>0.2</x:v>
      </x:c>
      <x:c r="V566" s="54" t="n">
        <x:f>IF(ISNUMBER(T566),T566*(1+U566),"")</x:f>
        <x:v>34.788</x:v>
      </x:c>
      <x:c r="W566" s="47" t="n">
        <x:v>0.3</x:v>
      </x:c>
      <x:c r="X566" s="54" t="n">
        <x:f>IF(ISNUMBER(V566),V566/(1-W566),"")</x:f>
        <x:v>49.69714285714286</x:v>
      </x:c>
      <x:c r="Y566" s="55" t="n">
        <x:f>IF(ISNUMBER(X566),ROUNDUP(X566,0),"")</x:f>
        <x:v>50</x:v>
      </x:c>
      <x:c r="Z566" t="str">
        <x:v>Source match pending</x:v>
      </x:c>
      <x:c r="AA566" t="str">
        <x:v>screencapture-www-activesportstrade-co-uk-biotech-usa-trade-2026-09-10-09_04_18.pdf / page-07</x:v>
      </x:c>
      <x:c r="AB566" s="36" t="n">
        <x:f>IF(ISNUMBER(Y566),ROUND(Y566*0.9,2),"")</x:f>
        <x:v>45</x:v>
      </x:c>
      <x:c r="AC566" s="36" t="n">
        <x:f>IF(ISNUMBER(AB566),ROUND(AB566-(AB566*0.015+0.2)-V566,2),"")</x:f>
        <x:v>9.34</x:v>
      </x:c>
      <x:c r="AD566" s="36" t="n">
        <x:f>IF(ISNUMBER(Y566),ROUND(Y566*0.8,2),"")</x:f>
        <x:v>40</x:v>
      </x:c>
      <x:c r="AE566" s="36" t="n">
        <x:f>IF(ISNUMBER(AD566),ROUND(AD566*0.015+0.2,2),"")</x:f>
        <x:v>0.8</x:v>
      </x:c>
      <x:c r="AF566" s="36" t="n">
        <x:f>IF(ISNUMBER(AD566),ROUND(AD566-AE566-V566,2),"")</x:f>
        <x:v>4.41</x:v>
      </x:c>
      <x:c r="AG566" t="str">
        <x:f>IF(NOT(ISNUMBER(T566)),"PENDING",IF(AF566&gt;0,"PASS","FAIL"))</x:f>
        <x:v>PASS</x:v>
      </x:c>
      <x:c r="AH566" t="str">
        <x:f>IF(NOT(ISNUMBER(T566)),"Needs supplier cost",IF(K566&lt;&gt;"In stock","Supplier unavailable",IF(AG566&lt;&gt;"PASS","BLOCK - GT loss risk","Commercially protected")))</x:f>
        <x:v>Supplier unavailable</x:v>
      </x:c>
      <x:c r="AI566" t="str">
        <x:v>2026-09-10 Active Sports trade capture</x:v>
      </x:c>
      <x:c r="AJ566" t="str">
        <x:v>Management-only economics. Stripe stress test uses 1.5% + £0.20 standard UK online-card fee; pallet/mix-and-match pricing ignored.</x:v>
      </x:c>
    </x:row>
    <x:row r="567">
      <x:c r="A567" t="str">
        <x:v>Active Sports Nutrition</x:v>
      </x:c>
      <x:c r="B567" t="str">
        <x:v>Biotech USA</x:v>
      </x:c>
      <x:c r="C567" t="str">
        <x:v>Iso Whey Zero</x:v>
      </x:c>
      <x:c r="D567" t="str">
        <x:v>Supplements</x:v>
      </x:c>
      <x:c r="E567" t="str">
        <x:v>Whey Protein</x:v>
      </x:c>
      <x:c r="F567" t="str">
        <x:v>Whey protein isolate.</x:v>
      </x:c>
      <x:c r="G567" t="str">
        <x:v>908g</x:v>
      </x:c>
      <x:c r="H567" t="str">
        <x:v>Hazelnut</x:v>
      </x:c>
      <x:c r="I567" t="str"/>
      <x:c r="J567" t="str">
        <x:v>Unit</x:v>
      </x:c>
      <x:c r="K567" t="str">
        <x:v>In stock</x:v>
      </x:c>
      <x:c r="L567" t="str">
        <x:v>2026-09-08</x:v>
      </x:c>
      <x:c r="M567" t="str"/>
      <x:c r="N567" t="str"/>
      <x:c r="O567" t="str">
        <x:v>https://www.activesportstrade.co.uk/biotech-usa-trade</x:v>
      </x:c>
      <x:c r="P567" t="str"/>
      <x:c r="Q567" t="str"/>
      <x:c r="R567" t="str"/>
      <x:c r="S567" t="str">
        <x:v>Pending genuine supplier/brand image</x:v>
      </x:c>
      <x:c r="T567" s="54" t="n">
        <x:v>28.99</x:v>
      </x:c>
      <x:c r="U567" s="47" t="n">
        <x:v>0.2</x:v>
      </x:c>
      <x:c r="V567" s="54" t="n">
        <x:f>IF(ISNUMBER(T567),T567*(1+U567),"")</x:f>
        <x:v>34.788</x:v>
      </x:c>
      <x:c r="W567" s="47" t="n">
        <x:v>0.3</x:v>
      </x:c>
      <x:c r="X567" s="54" t="n">
        <x:f>IF(ISNUMBER(V567),V567/(1-W567),"")</x:f>
        <x:v>49.69714285714286</x:v>
      </x:c>
      <x:c r="Y567" s="55" t="n">
        <x:f>IF(ISNUMBER(X567),ROUNDUP(X567,0),"")</x:f>
        <x:v>50</x:v>
      </x:c>
      <x:c r="Z567" t="str">
        <x:v>Source match pending</x:v>
      </x:c>
      <x:c r="AA567" t="str">
        <x:v>screencapture-www-activesportstrade-co-uk-biotech-usa-trade-2026-09-10-09_04_18.pdf / page-07</x:v>
      </x:c>
      <x:c r="AB567" s="36" t="n">
        <x:f>IF(ISNUMBER(Y567),ROUND(Y567*0.9,2),"")</x:f>
        <x:v>45</x:v>
      </x:c>
      <x:c r="AC567" s="36" t="n">
        <x:f>IF(ISNUMBER(AB567),ROUND(AB567-(AB567*0.015+0.2)-V567,2),"")</x:f>
        <x:v>9.34</x:v>
      </x:c>
      <x:c r="AD567" s="36" t="n">
        <x:f>IF(ISNUMBER(Y567),ROUND(Y567*0.8,2),"")</x:f>
        <x:v>40</x:v>
      </x:c>
      <x:c r="AE567" s="36" t="n">
        <x:f>IF(ISNUMBER(AD567),ROUND(AD567*0.015+0.2,2),"")</x:f>
        <x:v>0.8</x:v>
      </x:c>
      <x:c r="AF567" s="36" t="n">
        <x:f>IF(ISNUMBER(AD567),ROUND(AD567-AE567-V567,2),"")</x:f>
        <x:v>4.41</x:v>
      </x:c>
      <x:c r="AG567" t="str">
        <x:f>IF(NOT(ISNUMBER(T567)),"PENDING",IF(AF567&gt;0,"PASS","FAIL"))</x:f>
        <x:v>PASS</x:v>
      </x:c>
      <x:c r="AH567" t="str">
        <x:f>IF(NOT(ISNUMBER(T567)),"Needs supplier cost",IF(K567&lt;&gt;"In stock","Supplier unavailable",IF(AG567&lt;&gt;"PASS","BLOCK - GT loss risk","Commercially protected")))</x:f>
        <x:v>Commercially protected</x:v>
      </x:c>
      <x:c r="AI567" t="str">
        <x:v>2026-09-10 Active Sports trade capture</x:v>
      </x:c>
      <x:c r="AJ567" t="str">
        <x:v>Management-only economics. Stripe stress test uses 1.5% + £0.20 standard UK online-card fee; pallet/mix-and-match pricing ignored.</x:v>
      </x:c>
    </x:row>
    <x:row r="568">
      <x:c r="A568" t="str">
        <x:v>Active Sports Nutrition</x:v>
      </x:c>
      <x:c r="B568" t="str">
        <x:v>Biotech USA</x:v>
      </x:c>
      <x:c r="C568" t="str">
        <x:v>Iso Whey Zero</x:v>
      </x:c>
      <x:c r="D568" t="str">
        <x:v>Supplements</x:v>
      </x:c>
      <x:c r="E568" t="str">
        <x:v>Whey Protein</x:v>
      </x:c>
      <x:c r="F568" t="str">
        <x:v>Whey protein isolate.</x:v>
      </x:c>
      <x:c r="G568" t="str">
        <x:v>908g</x:v>
      </x:c>
      <x:c r="H568" t="str">
        <x:v>Lemon Cheesecake</x:v>
      </x:c>
      <x:c r="I568" t="str"/>
      <x:c r="J568" t="str">
        <x:v>Unit</x:v>
      </x:c>
      <x:c r="K568" t="str">
        <x:v>In stock</x:v>
      </x:c>
      <x:c r="L568" t="str">
        <x:v>2026-09-08</x:v>
      </x:c>
      <x:c r="M568" t="str"/>
      <x:c r="N568" t="str"/>
      <x:c r="O568" t="str">
        <x:v>https://www.activesportstrade.co.uk/biotech-usa-trade</x:v>
      </x:c>
      <x:c r="P568" t="str"/>
      <x:c r="Q568" t="str"/>
      <x:c r="R568" t="str"/>
      <x:c r="S568" t="str">
        <x:v>Pending genuine supplier/brand image</x:v>
      </x:c>
      <x:c r="T568" s="54" t="n">
        <x:v>28.99</x:v>
      </x:c>
      <x:c r="U568" s="47" t="n">
        <x:v>0.2</x:v>
      </x:c>
      <x:c r="V568" s="54" t="n">
        <x:f>IF(ISNUMBER(T568),T568*(1+U568),"")</x:f>
        <x:v>34.788</x:v>
      </x:c>
      <x:c r="W568" s="47" t="n">
        <x:v>0.3</x:v>
      </x:c>
      <x:c r="X568" s="54" t="n">
        <x:f>IF(ISNUMBER(V568),V568/(1-W568),"")</x:f>
        <x:v>49.69714285714286</x:v>
      </x:c>
      <x:c r="Y568" s="55" t="n">
        <x:f>IF(ISNUMBER(X568),ROUNDUP(X568,0),"")</x:f>
        <x:v>50</x:v>
      </x:c>
      <x:c r="Z568" t="str">
        <x:v>Source match pending</x:v>
      </x:c>
      <x:c r="AA568" t="str">
        <x:v>screencapture-www-activesportstrade-co-uk-biotech-usa-trade-2026-09-10-09_04_18.pdf / page-07</x:v>
      </x:c>
      <x:c r="AB568" s="36" t="n">
        <x:f>IF(ISNUMBER(Y568),ROUND(Y568*0.9,2),"")</x:f>
        <x:v>45</x:v>
      </x:c>
      <x:c r="AC568" s="36" t="n">
        <x:f>IF(ISNUMBER(AB568),ROUND(AB568-(AB568*0.015+0.2)-V568,2),"")</x:f>
        <x:v>9.34</x:v>
      </x:c>
      <x:c r="AD568" s="36" t="n">
        <x:f>IF(ISNUMBER(Y568),ROUND(Y568*0.8,2),"")</x:f>
        <x:v>40</x:v>
      </x:c>
      <x:c r="AE568" s="36" t="n">
        <x:f>IF(ISNUMBER(AD568),ROUND(AD568*0.015+0.2,2),"")</x:f>
        <x:v>0.8</x:v>
      </x:c>
      <x:c r="AF568" s="36" t="n">
        <x:f>IF(ISNUMBER(AD568),ROUND(AD568-AE568-V568,2),"")</x:f>
        <x:v>4.41</x:v>
      </x:c>
      <x:c r="AG568" t="str">
        <x:f>IF(NOT(ISNUMBER(T568)),"PENDING",IF(AF568&gt;0,"PASS","FAIL"))</x:f>
        <x:v>PASS</x:v>
      </x:c>
      <x:c r="AH568" t="str">
        <x:f>IF(NOT(ISNUMBER(T568)),"Needs supplier cost",IF(K568&lt;&gt;"In stock","Supplier unavailable",IF(AG568&lt;&gt;"PASS","BLOCK - GT loss risk","Commercially protected")))</x:f>
        <x:v>Commercially protected</x:v>
      </x:c>
      <x:c r="AI568" t="str">
        <x:v>2026-09-10 Active Sports trade capture</x:v>
      </x:c>
      <x:c r="AJ568" t="str">
        <x:v>Management-only economics. Stripe stress test uses 1.5% + £0.20 standard UK online-card fee; pallet/mix-and-match pricing ignored.</x:v>
      </x:c>
    </x:row>
    <x:row r="569">
      <x:c r="A569" t="str">
        <x:v>Active Sports Nutrition</x:v>
      </x:c>
      <x:c r="B569" t="str">
        <x:v>Biotech USA</x:v>
      </x:c>
      <x:c r="C569" t="str">
        <x:v>Iso Whey Zero</x:v>
      </x:c>
      <x:c r="D569" t="str">
        <x:v>Supplements</x:v>
      </x:c>
      <x:c r="E569" t="str">
        <x:v>Whey Protein</x:v>
      </x:c>
      <x:c r="F569" t="str">
        <x:v>Whey protein isolate.</x:v>
      </x:c>
      <x:c r="G569" t="str">
        <x:v>908g</x:v>
      </x:c>
      <x:c r="H569" t="str">
        <x:v>Pineapple Mango</x:v>
      </x:c>
      <x:c r="I569" t="str"/>
      <x:c r="J569" t="str">
        <x:v>Unit</x:v>
      </x:c>
      <x:c r="K569" t="str">
        <x:v>In stock</x:v>
      </x:c>
      <x:c r="L569" t="str">
        <x:v>2026-09-08</x:v>
      </x:c>
      <x:c r="M569" t="str"/>
      <x:c r="N569" t="str"/>
      <x:c r="O569" t="str">
        <x:v>https://www.activesportstrade.co.uk/biotech-usa-trade</x:v>
      </x:c>
      <x:c r="P569" t="str"/>
      <x:c r="Q569" t="str"/>
      <x:c r="R569" t="str"/>
      <x:c r="S569" t="str">
        <x:v>Pending genuine supplier/brand image</x:v>
      </x:c>
      <x:c r="T569" s="54" t="n">
        <x:v>28.99</x:v>
      </x:c>
      <x:c r="U569" s="47" t="n">
        <x:v>0.2</x:v>
      </x:c>
      <x:c r="V569" s="54" t="n">
        <x:f>IF(ISNUMBER(T569),T569*(1+U569),"")</x:f>
        <x:v>34.788</x:v>
      </x:c>
      <x:c r="W569" s="47" t="n">
        <x:v>0.3</x:v>
      </x:c>
      <x:c r="X569" s="54" t="n">
        <x:f>IF(ISNUMBER(V569),V569/(1-W569),"")</x:f>
        <x:v>49.69714285714286</x:v>
      </x:c>
      <x:c r="Y569" s="55" t="n">
        <x:f>IF(ISNUMBER(X569),ROUNDUP(X569,0),"")</x:f>
        <x:v>50</x:v>
      </x:c>
      <x:c r="Z569" t="str">
        <x:v>Source match pending</x:v>
      </x:c>
      <x:c r="AA569" t="str">
        <x:v>screencapture-www-activesportstrade-co-uk-biotech-usa-trade-2026-09-10-09_04_18.pdf / page-07</x:v>
      </x:c>
      <x:c r="AB569" s="36" t="n">
        <x:f>IF(ISNUMBER(Y569),ROUND(Y569*0.9,2),"")</x:f>
        <x:v>45</x:v>
      </x:c>
      <x:c r="AC569" s="36" t="n">
        <x:f>IF(ISNUMBER(AB569),ROUND(AB569-(AB569*0.015+0.2)-V569,2),"")</x:f>
        <x:v>9.34</x:v>
      </x:c>
      <x:c r="AD569" s="36" t="n">
        <x:f>IF(ISNUMBER(Y569),ROUND(Y569*0.8,2),"")</x:f>
        <x:v>40</x:v>
      </x:c>
      <x:c r="AE569" s="36" t="n">
        <x:f>IF(ISNUMBER(AD569),ROUND(AD569*0.015+0.2,2),"")</x:f>
        <x:v>0.8</x:v>
      </x:c>
      <x:c r="AF569" s="36" t="n">
        <x:f>IF(ISNUMBER(AD569),ROUND(AD569-AE569-V569,2),"")</x:f>
        <x:v>4.41</x:v>
      </x:c>
      <x:c r="AG569" t="str">
        <x:f>IF(NOT(ISNUMBER(T569)),"PENDING",IF(AF569&gt;0,"PASS","FAIL"))</x:f>
        <x:v>PASS</x:v>
      </x:c>
      <x:c r="AH569" t="str">
        <x:f>IF(NOT(ISNUMBER(T569)),"Needs supplier cost",IF(K569&lt;&gt;"In stock","Supplier unavailable",IF(AG569&lt;&gt;"PASS","BLOCK - GT loss risk","Commercially protected")))</x:f>
        <x:v>Commercially protected</x:v>
      </x:c>
      <x:c r="AI569" t="str">
        <x:v>2026-09-10 Active Sports trade capture</x:v>
      </x:c>
      <x:c r="AJ569" t="str">
        <x:v>Management-only economics. Stripe stress test uses 1.5% + £0.20 standard UK online-card fee; pallet/mix-and-match pricing ignored.</x:v>
      </x:c>
    </x:row>
    <x:row r="570">
      <x:c r="A570" t="str">
        <x:v>Active Sports Nutrition</x:v>
      </x:c>
      <x:c r="B570" t="str">
        <x:v>Biotech USA</x:v>
      </x:c>
      <x:c r="C570" t="str">
        <x:v>Iso Whey Zero</x:v>
      </x:c>
      <x:c r="D570" t="str">
        <x:v>Supplements</x:v>
      </x:c>
      <x:c r="E570" t="str">
        <x:v>Whey Protein</x:v>
      </x:c>
      <x:c r="F570" t="str">
        <x:v>Whey protein isolate.</x:v>
      </x:c>
      <x:c r="G570" t="str">
        <x:v>908g</x:v>
      </x:c>
      <x:c r="H570" t="str">
        <x:v>Pistachio</x:v>
      </x:c>
      <x:c r="I570" t="str"/>
      <x:c r="J570" t="str">
        <x:v>Unit</x:v>
      </x:c>
      <x:c r="K570" t="str">
        <x:v>In stock</x:v>
      </x:c>
      <x:c r="L570" t="str">
        <x:v>2026-09-08</x:v>
      </x:c>
      <x:c r="M570" t="str"/>
      <x:c r="N570" t="str"/>
      <x:c r="O570" t="str">
        <x:v>https://www.activesportstrade.co.uk/biotech-usa-trade</x:v>
      </x:c>
      <x:c r="P570" t="str"/>
      <x:c r="Q570" t="str"/>
      <x:c r="R570" t="str"/>
      <x:c r="S570" t="str">
        <x:v>Pending genuine supplier/brand image</x:v>
      </x:c>
      <x:c r="T570" s="54" t="n">
        <x:v>28.99</x:v>
      </x:c>
      <x:c r="U570" s="47" t="n">
        <x:v>0.2</x:v>
      </x:c>
      <x:c r="V570" s="54" t="n">
        <x:f>IF(ISNUMBER(T570),T570*(1+U570),"")</x:f>
        <x:v>34.788</x:v>
      </x:c>
      <x:c r="W570" s="47" t="n">
        <x:v>0.3</x:v>
      </x:c>
      <x:c r="X570" s="54" t="n">
        <x:f>IF(ISNUMBER(V570),V570/(1-W570),"")</x:f>
        <x:v>49.69714285714286</x:v>
      </x:c>
      <x:c r="Y570" s="55" t="n">
        <x:f>IF(ISNUMBER(X570),ROUNDUP(X570,0),"")</x:f>
        <x:v>50</x:v>
      </x:c>
      <x:c r="Z570" t="str">
        <x:v>Source match pending</x:v>
      </x:c>
      <x:c r="AA570" t="str">
        <x:v>screencapture-www-activesportstrade-co-uk-biotech-usa-trade-2026-09-10-09_04_18.pdf / page-07</x:v>
      </x:c>
      <x:c r="AB570" s="36" t="n">
        <x:f>IF(ISNUMBER(Y570),ROUND(Y570*0.9,2),"")</x:f>
        <x:v>45</x:v>
      </x:c>
      <x:c r="AC570" s="36" t="n">
        <x:f>IF(ISNUMBER(AB570),ROUND(AB570-(AB570*0.015+0.2)-V570,2),"")</x:f>
        <x:v>9.34</x:v>
      </x:c>
      <x:c r="AD570" s="36" t="n">
        <x:f>IF(ISNUMBER(Y570),ROUND(Y570*0.8,2),"")</x:f>
        <x:v>40</x:v>
      </x:c>
      <x:c r="AE570" s="36" t="n">
        <x:f>IF(ISNUMBER(AD570),ROUND(AD570*0.015+0.2,2),"")</x:f>
        <x:v>0.8</x:v>
      </x:c>
      <x:c r="AF570" s="36" t="n">
        <x:f>IF(ISNUMBER(AD570),ROUND(AD570-AE570-V570,2),"")</x:f>
        <x:v>4.41</x:v>
      </x:c>
      <x:c r="AG570" t="str">
        <x:f>IF(NOT(ISNUMBER(T570)),"PENDING",IF(AF570&gt;0,"PASS","FAIL"))</x:f>
        <x:v>PASS</x:v>
      </x:c>
      <x:c r="AH570" t="str">
        <x:f>IF(NOT(ISNUMBER(T570)),"Needs supplier cost",IF(K570&lt;&gt;"In stock","Supplier unavailable",IF(AG570&lt;&gt;"PASS","BLOCK - GT loss risk","Commercially protected")))</x:f>
        <x:v>Commercially protected</x:v>
      </x:c>
      <x:c r="AI570" t="str">
        <x:v>2026-09-10 Active Sports trade capture</x:v>
      </x:c>
      <x:c r="AJ570" t="str">
        <x:v>Management-only economics. Stripe stress test uses 1.5% + £0.20 standard UK online-card fee; pallet/mix-and-match pricing ignored.</x:v>
      </x:c>
    </x:row>
    <x:row r="571">
      <x:c r="A571" t="str">
        <x:v>Active Sports Nutrition</x:v>
      </x:c>
      <x:c r="B571" t="str">
        <x:v>Biotech USA</x:v>
      </x:c>
      <x:c r="C571" t="str">
        <x:v>Iso Whey Zero</x:v>
      </x:c>
      <x:c r="D571" t="str">
        <x:v>Supplements</x:v>
      </x:c>
      <x:c r="E571" t="str">
        <x:v>Whey Protein</x:v>
      </x:c>
      <x:c r="F571" t="str">
        <x:v>Whey protein isolate.</x:v>
      </x:c>
      <x:c r="G571" t="str">
        <x:v>908g</x:v>
      </x:c>
      <x:c r="H571" t="str">
        <x:v>Salted Caramel</x:v>
      </x:c>
      <x:c r="I571" t="str"/>
      <x:c r="J571" t="str">
        <x:v>Unit</x:v>
      </x:c>
      <x:c r="K571" t="str">
        <x:v>In stock</x:v>
      </x:c>
      <x:c r="L571" t="str">
        <x:v>2026-09-08</x:v>
      </x:c>
      <x:c r="M571" t="str"/>
      <x:c r="N571" t="str"/>
      <x:c r="O571" t="str">
        <x:v>https://www.activesportstrade.co.uk/biotech-usa-trade</x:v>
      </x:c>
      <x:c r="P571" t="str"/>
      <x:c r="Q571" t="str"/>
      <x:c r="R571" t="str"/>
      <x:c r="S571" t="str">
        <x:v>Pending genuine supplier/brand image</x:v>
      </x:c>
      <x:c r="T571" s="54" t="n">
        <x:v>28.99</x:v>
      </x:c>
      <x:c r="U571" s="47" t="n">
        <x:v>0.2</x:v>
      </x:c>
      <x:c r="V571" s="54" t="n">
        <x:f>IF(ISNUMBER(T571),T571*(1+U571),"")</x:f>
        <x:v>34.788</x:v>
      </x:c>
      <x:c r="W571" s="47" t="n">
        <x:v>0.3</x:v>
      </x:c>
      <x:c r="X571" s="54" t="n">
        <x:f>IF(ISNUMBER(V571),V571/(1-W571),"")</x:f>
        <x:v>49.69714285714286</x:v>
      </x:c>
      <x:c r="Y571" s="55" t="n">
        <x:f>IF(ISNUMBER(X571),ROUNDUP(X571,0),"")</x:f>
        <x:v>50</x:v>
      </x:c>
      <x:c r="Z571" t="str">
        <x:v>Source match pending</x:v>
      </x:c>
      <x:c r="AA571" t="str">
        <x:v>screencapture-www-activesportstrade-co-uk-biotech-usa-trade-2026-09-10-09_04_18.pdf / page-07</x:v>
      </x:c>
      <x:c r="AB571" s="36" t="n">
        <x:f>IF(ISNUMBER(Y571),ROUND(Y571*0.9,2),"")</x:f>
        <x:v>45</x:v>
      </x:c>
      <x:c r="AC571" s="36" t="n">
        <x:f>IF(ISNUMBER(AB571),ROUND(AB571-(AB571*0.015+0.2)-V571,2),"")</x:f>
        <x:v>9.34</x:v>
      </x:c>
      <x:c r="AD571" s="36" t="n">
        <x:f>IF(ISNUMBER(Y571),ROUND(Y571*0.8,2),"")</x:f>
        <x:v>40</x:v>
      </x:c>
      <x:c r="AE571" s="36" t="n">
        <x:f>IF(ISNUMBER(AD571),ROUND(AD571*0.015+0.2,2),"")</x:f>
        <x:v>0.8</x:v>
      </x:c>
      <x:c r="AF571" s="36" t="n">
        <x:f>IF(ISNUMBER(AD571),ROUND(AD571-AE571-V571,2),"")</x:f>
        <x:v>4.41</x:v>
      </x:c>
      <x:c r="AG571" t="str">
        <x:f>IF(NOT(ISNUMBER(T571)),"PENDING",IF(AF571&gt;0,"PASS","FAIL"))</x:f>
        <x:v>PASS</x:v>
      </x:c>
      <x:c r="AH571" t="str">
        <x:f>IF(NOT(ISNUMBER(T571)),"Needs supplier cost",IF(K571&lt;&gt;"In stock","Supplier unavailable",IF(AG571&lt;&gt;"PASS","BLOCK - GT loss risk","Commercially protected")))</x:f>
        <x:v>Commercially protected</x:v>
      </x:c>
      <x:c r="AI571" t="str">
        <x:v>2026-09-10 Active Sports trade capture</x:v>
      </x:c>
      <x:c r="AJ571" t="str">
        <x:v>Management-only economics. Stripe stress test uses 1.5% + £0.20 standard UK online-card fee; pallet/mix-and-match pricing ignored.</x:v>
      </x:c>
    </x:row>
    <x:row r="572">
      <x:c r="A572" t="str">
        <x:v>Active Sports Nutrition</x:v>
      </x:c>
      <x:c r="B572" t="str">
        <x:v>Biotech USA</x:v>
      </x:c>
      <x:c r="C572" t="str">
        <x:v>Iso Whey Zero</x:v>
      </x:c>
      <x:c r="D572" t="str">
        <x:v>Supplements</x:v>
      </x:c>
      <x:c r="E572" t="str">
        <x:v>Whey Protein</x:v>
      </x:c>
      <x:c r="F572" t="str">
        <x:v>Whey protein isolate.</x:v>
      </x:c>
      <x:c r="G572" t="str">
        <x:v>908g</x:v>
      </x:c>
      <x:c r="H572" t="str">
        <x:v>Strawberry</x:v>
      </x:c>
      <x:c r="I572" t="str"/>
      <x:c r="J572" t="str">
        <x:v>Unit</x:v>
      </x:c>
      <x:c r="K572" t="str">
        <x:v>In stock</x:v>
      </x:c>
      <x:c r="L572" t="str">
        <x:v>2026-09-08</x:v>
      </x:c>
      <x:c r="M572" t="str"/>
      <x:c r="N572" t="str"/>
      <x:c r="O572" t="str">
        <x:v>https://www.activesportstrade.co.uk/biotech-usa-trade</x:v>
      </x:c>
      <x:c r="P572" t="str"/>
      <x:c r="Q572" t="str"/>
      <x:c r="R572" t="str"/>
      <x:c r="S572" t="str">
        <x:v>Pending genuine supplier/brand image</x:v>
      </x:c>
      <x:c r="T572" s="54" t="n">
        <x:v>28.99</x:v>
      </x:c>
      <x:c r="U572" s="47" t="n">
        <x:v>0.2</x:v>
      </x:c>
      <x:c r="V572" s="54" t="n">
        <x:f>IF(ISNUMBER(T572),T572*(1+U572),"")</x:f>
        <x:v>34.788</x:v>
      </x:c>
      <x:c r="W572" s="47" t="n">
        <x:v>0.3</x:v>
      </x:c>
      <x:c r="X572" s="54" t="n">
        <x:f>IF(ISNUMBER(V572),V572/(1-W572),"")</x:f>
        <x:v>49.69714285714286</x:v>
      </x:c>
      <x:c r="Y572" s="55" t="n">
        <x:f>IF(ISNUMBER(X572),ROUNDUP(X572,0),"")</x:f>
        <x:v>50</x:v>
      </x:c>
      <x:c r="Z572" t="str">
        <x:v>Source match pending</x:v>
      </x:c>
      <x:c r="AA572" t="str">
        <x:v>screencapture-www-activesportstrade-co-uk-biotech-usa-trade-2026-09-10-09_04_18.pdf / page-07</x:v>
      </x:c>
      <x:c r="AB572" s="36" t="n">
        <x:f>IF(ISNUMBER(Y572),ROUND(Y572*0.9,2),"")</x:f>
        <x:v>45</x:v>
      </x:c>
      <x:c r="AC572" s="36" t="n">
        <x:f>IF(ISNUMBER(AB572),ROUND(AB572-(AB572*0.015+0.2)-V572,2),"")</x:f>
        <x:v>9.34</x:v>
      </x:c>
      <x:c r="AD572" s="36" t="n">
        <x:f>IF(ISNUMBER(Y572),ROUND(Y572*0.8,2),"")</x:f>
        <x:v>40</x:v>
      </x:c>
      <x:c r="AE572" s="36" t="n">
        <x:f>IF(ISNUMBER(AD572),ROUND(AD572*0.015+0.2,2),"")</x:f>
        <x:v>0.8</x:v>
      </x:c>
      <x:c r="AF572" s="36" t="n">
        <x:f>IF(ISNUMBER(AD572),ROUND(AD572-AE572-V572,2),"")</x:f>
        <x:v>4.41</x:v>
      </x:c>
      <x:c r="AG572" t="str">
        <x:f>IF(NOT(ISNUMBER(T572)),"PENDING",IF(AF572&gt;0,"PASS","FAIL"))</x:f>
        <x:v>PASS</x:v>
      </x:c>
      <x:c r="AH572" t="str">
        <x:f>IF(NOT(ISNUMBER(T572)),"Needs supplier cost",IF(K572&lt;&gt;"In stock","Supplier unavailable",IF(AG572&lt;&gt;"PASS","BLOCK - GT loss risk","Commercially protected")))</x:f>
        <x:v>Commercially protected</x:v>
      </x:c>
      <x:c r="AI572" t="str">
        <x:v>2026-09-10 Active Sports trade capture</x:v>
      </x:c>
      <x:c r="AJ572" t="str">
        <x:v>Management-only economics. Stripe stress test uses 1.5% + £0.20 standard UK online-card fee; pallet/mix-and-match pricing ignored.</x:v>
      </x:c>
    </x:row>
    <x:row r="573">
      <x:c r="A573" t="str">
        <x:v>Active Sports Nutrition</x:v>
      </x:c>
      <x:c r="B573" t="str">
        <x:v>Biotech USA</x:v>
      </x:c>
      <x:c r="C573" t="str">
        <x:v>Iso Whey Zero</x:v>
      </x:c>
      <x:c r="D573" t="str">
        <x:v>Supplements</x:v>
      </x:c>
      <x:c r="E573" t="str">
        <x:v>Whey Protein</x:v>
      </x:c>
      <x:c r="F573" t="str">
        <x:v>Whey protein isolate.</x:v>
      </x:c>
      <x:c r="G573" t="str">
        <x:v>908g</x:v>
      </x:c>
      <x:c r="H573" t="str">
        <x:v>Tiramisu</x:v>
      </x:c>
      <x:c r="I573" t="str"/>
      <x:c r="J573" t="str">
        <x:v>Unit</x:v>
      </x:c>
      <x:c r="K573" t="str">
        <x:v>In stock</x:v>
      </x:c>
      <x:c r="L573" t="str">
        <x:v>2026-09-08</x:v>
      </x:c>
      <x:c r="M573" t="str"/>
      <x:c r="N573" t="str"/>
      <x:c r="O573" t="str">
        <x:v>https://www.activesportstrade.co.uk/biotech-usa-trade</x:v>
      </x:c>
      <x:c r="P573" t="str"/>
      <x:c r="Q573" t="str"/>
      <x:c r="R573" t="str"/>
      <x:c r="S573" t="str">
        <x:v>Pending genuine supplier/brand image</x:v>
      </x:c>
      <x:c r="T573" s="54" t="n">
        <x:v>28.99</x:v>
      </x:c>
      <x:c r="U573" s="47" t="n">
        <x:v>0.2</x:v>
      </x:c>
      <x:c r="V573" s="54" t="n">
        <x:f>IF(ISNUMBER(T573),T573*(1+U573),"")</x:f>
        <x:v>34.788</x:v>
      </x:c>
      <x:c r="W573" s="47" t="n">
        <x:v>0.3</x:v>
      </x:c>
      <x:c r="X573" s="54" t="n">
        <x:f>IF(ISNUMBER(V573),V573/(1-W573),"")</x:f>
        <x:v>49.69714285714286</x:v>
      </x:c>
      <x:c r="Y573" s="55" t="n">
        <x:f>IF(ISNUMBER(X573),ROUNDUP(X573,0),"")</x:f>
        <x:v>50</x:v>
      </x:c>
      <x:c r="Z573" t="str">
        <x:v>Source match pending</x:v>
      </x:c>
      <x:c r="AA573" t="str">
        <x:v>screencapture-www-activesportstrade-co-uk-biotech-usa-trade-2026-09-10-09_04_18.pdf / page-07</x:v>
      </x:c>
      <x:c r="AB573" s="36" t="n">
        <x:f>IF(ISNUMBER(Y573),ROUND(Y573*0.9,2),"")</x:f>
        <x:v>45</x:v>
      </x:c>
      <x:c r="AC573" s="36" t="n">
        <x:f>IF(ISNUMBER(AB573),ROUND(AB573-(AB573*0.015+0.2)-V573,2),"")</x:f>
        <x:v>9.34</x:v>
      </x:c>
      <x:c r="AD573" s="36" t="n">
        <x:f>IF(ISNUMBER(Y573),ROUND(Y573*0.8,2),"")</x:f>
        <x:v>40</x:v>
      </x:c>
      <x:c r="AE573" s="36" t="n">
        <x:f>IF(ISNUMBER(AD573),ROUND(AD573*0.015+0.2,2),"")</x:f>
        <x:v>0.8</x:v>
      </x:c>
      <x:c r="AF573" s="36" t="n">
        <x:f>IF(ISNUMBER(AD573),ROUND(AD573-AE573-V573,2),"")</x:f>
        <x:v>4.41</x:v>
      </x:c>
      <x:c r="AG573" t="str">
        <x:f>IF(NOT(ISNUMBER(T573)),"PENDING",IF(AF573&gt;0,"PASS","FAIL"))</x:f>
        <x:v>PASS</x:v>
      </x:c>
      <x:c r="AH573" t="str">
        <x:f>IF(NOT(ISNUMBER(T573)),"Needs supplier cost",IF(K573&lt;&gt;"In stock","Supplier unavailable",IF(AG573&lt;&gt;"PASS","BLOCK - GT loss risk","Commercially protected")))</x:f>
        <x:v>Commercially protected</x:v>
      </x:c>
      <x:c r="AI573" t="str">
        <x:v>2026-09-10 Active Sports trade capture</x:v>
      </x:c>
      <x:c r="AJ573" t="str">
        <x:v>Management-only economics. Stripe stress test uses 1.5% + £0.20 standard UK online-card fee; pallet/mix-and-match pricing ignored.</x:v>
      </x:c>
    </x:row>
    <x:row r="574">
      <x:c r="A574" t="str">
        <x:v>Active Sports Nutrition</x:v>
      </x:c>
      <x:c r="B574" t="str">
        <x:v>Biotech USA</x:v>
      </x:c>
      <x:c r="C574" t="str">
        <x:v>Iso Whey Zero</x:v>
      </x:c>
      <x:c r="D574" t="str">
        <x:v>Supplements</x:v>
      </x:c>
      <x:c r="E574" t="str">
        <x:v>Whey Protein</x:v>
      </x:c>
      <x:c r="F574" t="str">
        <x:v>Whey protein isolate.</x:v>
      </x:c>
      <x:c r="G574" t="str">
        <x:v>908g</x:v>
      </x:c>
      <x:c r="H574" t="str">
        <x:v>Vanilla</x:v>
      </x:c>
      <x:c r="I574" t="str"/>
      <x:c r="J574" t="str">
        <x:v>Unit</x:v>
      </x:c>
      <x:c r="K574" t="str">
        <x:v>In stock</x:v>
      </x:c>
      <x:c r="L574" t="str">
        <x:v>2026-09-08</x:v>
      </x:c>
      <x:c r="M574" t="str"/>
      <x:c r="N574" t="str"/>
      <x:c r="O574" t="str">
        <x:v>https://www.activesportstrade.co.uk/biotech-usa-trade</x:v>
      </x:c>
      <x:c r="P574" t="str"/>
      <x:c r="Q574" t="str"/>
      <x:c r="R574" t="str"/>
      <x:c r="S574" t="str">
        <x:v>Pending genuine supplier/brand image</x:v>
      </x:c>
      <x:c r="T574" s="54" t="n">
        <x:v>28.99</x:v>
      </x:c>
      <x:c r="U574" s="47" t="n">
        <x:v>0.2</x:v>
      </x:c>
      <x:c r="V574" s="54" t="n">
        <x:f>IF(ISNUMBER(T574),T574*(1+U574),"")</x:f>
        <x:v>34.788</x:v>
      </x:c>
      <x:c r="W574" s="47" t="n">
        <x:v>0.3</x:v>
      </x:c>
      <x:c r="X574" s="54" t="n">
        <x:f>IF(ISNUMBER(V574),V574/(1-W574),"")</x:f>
        <x:v>49.69714285714286</x:v>
      </x:c>
      <x:c r="Y574" s="55" t="n">
        <x:f>IF(ISNUMBER(X574),ROUNDUP(X574,0),"")</x:f>
        <x:v>50</x:v>
      </x:c>
      <x:c r="Z574" t="str">
        <x:v>Source match pending</x:v>
      </x:c>
      <x:c r="AA574" t="str">
        <x:v>screencapture-www-activesportstrade-co-uk-biotech-usa-trade-2026-09-10-09_04_18.pdf / page-07</x:v>
      </x:c>
      <x:c r="AB574" s="36" t="n">
        <x:f>IF(ISNUMBER(Y574),ROUND(Y574*0.9,2),"")</x:f>
        <x:v>45</x:v>
      </x:c>
      <x:c r="AC574" s="36" t="n">
        <x:f>IF(ISNUMBER(AB574),ROUND(AB574-(AB574*0.015+0.2)-V574,2),"")</x:f>
        <x:v>9.34</x:v>
      </x:c>
      <x:c r="AD574" s="36" t="n">
        <x:f>IF(ISNUMBER(Y574),ROUND(Y574*0.8,2),"")</x:f>
        <x:v>40</x:v>
      </x:c>
      <x:c r="AE574" s="36" t="n">
        <x:f>IF(ISNUMBER(AD574),ROUND(AD574*0.015+0.2,2),"")</x:f>
        <x:v>0.8</x:v>
      </x:c>
      <x:c r="AF574" s="36" t="n">
        <x:f>IF(ISNUMBER(AD574),ROUND(AD574-AE574-V574,2),"")</x:f>
        <x:v>4.41</x:v>
      </x:c>
      <x:c r="AG574" t="str">
        <x:f>IF(NOT(ISNUMBER(T574)),"PENDING",IF(AF574&gt;0,"PASS","FAIL"))</x:f>
        <x:v>PASS</x:v>
      </x:c>
      <x:c r="AH574" t="str">
        <x:f>IF(NOT(ISNUMBER(T574)),"Needs supplier cost",IF(K574&lt;&gt;"In stock","Supplier unavailable",IF(AG574&lt;&gt;"PASS","BLOCK - GT loss risk","Commercially protected")))</x:f>
        <x:v>Commercially protected</x:v>
      </x:c>
      <x:c r="AI574" t="str">
        <x:v>2026-09-10 Active Sports trade capture</x:v>
      </x:c>
      <x:c r="AJ574" t="str">
        <x:v>Management-only economics. Stripe stress test uses 1.5% + £0.20 standard UK online-card fee; pallet/mix-and-match pricing ignored.</x:v>
      </x:c>
    </x:row>
    <x:row r="575">
      <x:c r="A575" t="str">
        <x:v>Active Sports Nutrition</x:v>
      </x:c>
      <x:c r="B575" t="str">
        <x:v>Biotech USA</x:v>
      </x:c>
      <x:c r="C575" t="str">
        <x:v>Iso Whey Zero</x:v>
      </x:c>
      <x:c r="D575" t="str">
        <x:v>Supplements</x:v>
      </x:c>
      <x:c r="E575" t="str">
        <x:v>Whey Protein</x:v>
      </x:c>
      <x:c r="F575" t="str">
        <x:v>Whey protein isolate.</x:v>
      </x:c>
      <x:c r="G575" t="str">
        <x:v>908g</x:v>
      </x:c>
      <x:c r="H575" t="str">
        <x:v>White Chocolate</x:v>
      </x:c>
      <x:c r="I575" t="str"/>
      <x:c r="J575" t="str">
        <x:v>Unit</x:v>
      </x:c>
      <x:c r="K575" t="str">
        <x:v>In stock</x:v>
      </x:c>
      <x:c r="L575" t="str">
        <x:v>2026-09-08</x:v>
      </x:c>
      <x:c r="M575" t="str"/>
      <x:c r="N575" t="str"/>
      <x:c r="O575" t="str">
        <x:v>https://www.activesportstrade.co.uk/biotech-usa-trade</x:v>
      </x:c>
      <x:c r="P575" t="str"/>
      <x:c r="Q575" t="str"/>
      <x:c r="R575" t="str"/>
      <x:c r="S575" t="str">
        <x:v>Pending genuine supplier/brand image</x:v>
      </x:c>
      <x:c r="T575" s="54" t="n">
        <x:v>28.99</x:v>
      </x:c>
      <x:c r="U575" s="47" t="n">
        <x:v>0.2</x:v>
      </x:c>
      <x:c r="V575" s="54" t="n">
        <x:f>IF(ISNUMBER(T575),T575*(1+U575),"")</x:f>
        <x:v>34.788</x:v>
      </x:c>
      <x:c r="W575" s="47" t="n">
        <x:v>0.3</x:v>
      </x:c>
      <x:c r="X575" s="54" t="n">
        <x:f>IF(ISNUMBER(V575),V575/(1-W575),"")</x:f>
        <x:v>49.69714285714286</x:v>
      </x:c>
      <x:c r="Y575" s="55" t="n">
        <x:f>IF(ISNUMBER(X575),ROUNDUP(X575,0),"")</x:f>
        <x:v>50</x:v>
      </x:c>
      <x:c r="Z575" t="str">
        <x:v>Source match pending</x:v>
      </x:c>
      <x:c r="AA575" t="str">
        <x:v>screencapture-www-activesportstrade-co-uk-biotech-usa-trade-2026-09-10-09_04_18.pdf / page-07</x:v>
      </x:c>
      <x:c r="AB575" s="36" t="n">
        <x:f>IF(ISNUMBER(Y575),ROUND(Y575*0.9,2),"")</x:f>
        <x:v>45</x:v>
      </x:c>
      <x:c r="AC575" s="36" t="n">
        <x:f>IF(ISNUMBER(AB575),ROUND(AB575-(AB575*0.015+0.2)-V575,2),"")</x:f>
        <x:v>9.34</x:v>
      </x:c>
      <x:c r="AD575" s="36" t="n">
        <x:f>IF(ISNUMBER(Y575),ROUND(Y575*0.8,2),"")</x:f>
        <x:v>40</x:v>
      </x:c>
      <x:c r="AE575" s="36" t="n">
        <x:f>IF(ISNUMBER(AD575),ROUND(AD575*0.015+0.2,2),"")</x:f>
        <x:v>0.8</x:v>
      </x:c>
      <x:c r="AF575" s="36" t="n">
        <x:f>IF(ISNUMBER(AD575),ROUND(AD575-AE575-V575,2),"")</x:f>
        <x:v>4.41</x:v>
      </x:c>
      <x:c r="AG575" t="str">
        <x:f>IF(NOT(ISNUMBER(T575)),"PENDING",IF(AF575&gt;0,"PASS","FAIL"))</x:f>
        <x:v>PASS</x:v>
      </x:c>
      <x:c r="AH575" t="str">
        <x:f>IF(NOT(ISNUMBER(T575)),"Needs supplier cost",IF(K575&lt;&gt;"In stock","Supplier unavailable",IF(AG575&lt;&gt;"PASS","BLOCK - GT loss risk","Commercially protected")))</x:f>
        <x:v>Commercially protected</x:v>
      </x:c>
      <x:c r="AI575" t="str">
        <x:v>2026-09-10 Active Sports trade capture</x:v>
      </x:c>
      <x:c r="AJ575" t="str">
        <x:v>Management-only economics. Stripe stress test uses 1.5% + £0.20 standard UK online-card fee; pallet/mix-and-match pricing ignored.</x:v>
      </x:c>
    </x:row>
    <x:row r="576">
      <x:c r="A576" t="str">
        <x:v>Active Sports Nutrition</x:v>
      </x:c>
      <x:c r="B576" t="str">
        <x:v>Biotech USA</x:v>
      </x:c>
      <x:c r="C576" t="str">
        <x:v>Micellar Casein</x:v>
      </x:c>
      <x:c r="D576" t="str">
        <x:v>Supplements</x:v>
      </x:c>
      <x:c r="E576" t="str">
        <x:v>Casein Protein</x:v>
      </x:c>
      <x:c r="F576" t="str">
        <x:v>Micellar casein protein.</x:v>
      </x:c>
      <x:c r="G576" t="str">
        <x:v>2270g</x:v>
      </x:c>
      <x:c r="H576" t="str">
        <x:v>Chocolate</x:v>
      </x:c>
      <x:c r="I576" t="str"/>
      <x:c r="J576" t="str">
        <x:v>Unit</x:v>
      </x:c>
      <x:c r="K576" t="str">
        <x:v>In stock</x:v>
      </x:c>
      <x:c r="L576" t="str">
        <x:v>2026-09-08</x:v>
      </x:c>
      <x:c r="M576" t="str"/>
      <x:c r="N576" t="str"/>
      <x:c r="O576" t="str">
        <x:v>https://www.activesportstrade.co.uk/biotech-usa-trade</x:v>
      </x:c>
      <x:c r="P576" t="str"/>
      <x:c r="Q576" t="str"/>
      <x:c r="R576" t="str"/>
      <x:c r="S576" t="str">
        <x:v>Pending genuine supplier/brand image</x:v>
      </x:c>
      <x:c r="T576" s="54"/>
      <x:c r="U576" s="47" t="n">
        <x:v>0.2</x:v>
      </x:c>
      <x:c r="V576" s="54" t="str">
        <x:f>IF(ISNUMBER(T576),T576*(1+U576),"")</x:f>
      </x:c>
      <x:c r="W576" s="47" t="n">
        <x:v>0.3</x:v>
      </x:c>
      <x:c r="X576" s="54" t="str">
        <x:f>IF(ISNUMBER(V576),V576/(1-W576),"")</x:f>
      </x:c>
      <x:c r="Y576" s="55" t="str">
        <x:f>IF(ISNUMBER(X576),ROUNDUP(X576,0),"")</x:f>
      </x:c>
      <x:c r="Z576" t="str">
        <x:f>IF(ISNUMBER(T576),"Cost captured","Awaiting trade cost")</x:f>
        <x:v>Awaiting trade cost</x:v>
      </x:c>
      <x:c r="AB576" s="36" t="str">
        <x:f>IF(ISNUMBER(Y576),ROUND(Y576*0.9,2),"")</x:f>
      </x:c>
      <x:c r="AC576" s="36" t="str">
        <x:f>IF(ISNUMBER(AB576),ROUND(AB576-(AB576*0.015+0.2)-V576,2),"")</x:f>
      </x:c>
      <x:c r="AD576" s="36" t="str">
        <x:f>IF(ISNUMBER(Y576),ROUND(Y576*0.8,2),"")</x:f>
      </x:c>
      <x:c r="AE576" s="36" t="str">
        <x:f>IF(ISNUMBER(AD576),ROUND(AD576*0.015+0.2,2),"")</x:f>
      </x:c>
      <x:c r="AF576" s="36" t="str">
        <x:f>IF(ISNUMBER(AD576),ROUND(AD576-AE576-V576,2),"")</x:f>
      </x:c>
      <x:c r="AG576" t="str">
        <x:f>IF(NOT(ISNUMBER(T576)),"PENDING",IF(AF576&gt;0,"PASS","FAIL"))</x:f>
        <x:v>PENDING</x:v>
      </x:c>
      <x:c r="AH576" t="str">
        <x:f>IF(NOT(ISNUMBER(T576)),"Needs supplier cost",IF(K576&lt;&gt;"In stock","Supplier unavailable",IF(AG576&lt;&gt;"PASS","BLOCK - GT loss risk","Commercially protected")))</x:f>
        <x:v>Needs supplier cost</x:v>
      </x:c>
      <x:c r="AI576" t="str">
        <x:v>2026-09-10 Active Sports trade capture</x:v>
      </x:c>
      <x:c r="AJ576" t="str">
        <x:v>Management-only economics. Stripe stress test uses 1.5% + £0.20 standard UK online-card fee; pallet/mix-and-match pricing ignored.</x:v>
      </x:c>
    </x:row>
    <x:row r="577">
      <x:c r="A577" t="str">
        <x:v>Active Sports Nutrition</x:v>
      </x:c>
      <x:c r="B577" t="str">
        <x:v>Biotech USA</x:v>
      </x:c>
      <x:c r="C577" t="str">
        <x:v>Micellar Casein</x:v>
      </x:c>
      <x:c r="D577" t="str">
        <x:v>Supplements</x:v>
      </x:c>
      <x:c r="E577" t="str">
        <x:v>Casein Protein</x:v>
      </x:c>
      <x:c r="F577" t="str">
        <x:v>Micellar casein protein.</x:v>
      </x:c>
      <x:c r="G577" t="str">
        <x:v>2270g</x:v>
      </x:c>
      <x:c r="H577" t="str">
        <x:v>Strawberry</x:v>
      </x:c>
      <x:c r="I577" t="str"/>
      <x:c r="J577" t="str">
        <x:v>Unit</x:v>
      </x:c>
      <x:c r="K577" t="str">
        <x:v>In stock</x:v>
      </x:c>
      <x:c r="L577" t="str">
        <x:v>2026-09-08</x:v>
      </x:c>
      <x:c r="M577" t="str"/>
      <x:c r="N577" t="str"/>
      <x:c r="O577" t="str">
        <x:v>https://www.activesportstrade.co.uk/biotech-usa-trade</x:v>
      </x:c>
      <x:c r="P577" t="str"/>
      <x:c r="Q577" t="str"/>
      <x:c r="R577" t="str"/>
      <x:c r="S577" t="str">
        <x:v>Pending genuine supplier/brand image</x:v>
      </x:c>
      <x:c r="T577" s="54"/>
      <x:c r="U577" s="47" t="n">
        <x:v>0.2</x:v>
      </x:c>
      <x:c r="V577" s="54" t="str">
        <x:f>IF(ISNUMBER(T577),T577*(1+U577),"")</x:f>
      </x:c>
      <x:c r="W577" s="47" t="n">
        <x:v>0.3</x:v>
      </x:c>
      <x:c r="X577" s="54" t="str">
        <x:f>IF(ISNUMBER(V577),V577/(1-W577),"")</x:f>
      </x:c>
      <x:c r="Y577" s="55" t="str">
        <x:f>IF(ISNUMBER(X577),ROUNDUP(X577,0),"")</x:f>
      </x:c>
      <x:c r="Z577" t="str">
        <x:f>IF(ISNUMBER(T577),"Cost captured","Awaiting trade cost")</x:f>
        <x:v>Awaiting trade cost</x:v>
      </x:c>
      <x:c r="AB577" s="36" t="str">
        <x:f>IF(ISNUMBER(Y577),ROUND(Y577*0.9,2),"")</x:f>
      </x:c>
      <x:c r="AC577" s="36" t="str">
        <x:f>IF(ISNUMBER(AB577),ROUND(AB577-(AB577*0.015+0.2)-V577,2),"")</x:f>
      </x:c>
      <x:c r="AD577" s="36" t="str">
        <x:f>IF(ISNUMBER(Y577),ROUND(Y577*0.8,2),"")</x:f>
      </x:c>
      <x:c r="AE577" s="36" t="str">
        <x:f>IF(ISNUMBER(AD577),ROUND(AD577*0.015+0.2,2),"")</x:f>
      </x:c>
      <x:c r="AF577" s="36" t="str">
        <x:f>IF(ISNUMBER(AD577),ROUND(AD577-AE577-V577,2),"")</x:f>
      </x:c>
      <x:c r="AG577" t="str">
        <x:f>IF(NOT(ISNUMBER(T577)),"PENDING",IF(AF577&gt;0,"PASS","FAIL"))</x:f>
        <x:v>PENDING</x:v>
      </x:c>
      <x:c r="AH577" t="str">
        <x:f>IF(NOT(ISNUMBER(T577)),"Needs supplier cost",IF(K577&lt;&gt;"In stock","Supplier unavailable",IF(AG577&lt;&gt;"PASS","BLOCK - GT loss risk","Commercially protected")))</x:f>
        <x:v>Needs supplier cost</x:v>
      </x:c>
      <x:c r="AI577" t="str">
        <x:v>2026-09-10 Active Sports trade capture</x:v>
      </x:c>
      <x:c r="AJ577" t="str">
        <x:v>Management-only economics. Stripe stress test uses 1.5% + £0.20 standard UK online-card fee; pallet/mix-and-match pricing ignored.</x:v>
      </x:c>
    </x:row>
    <x:row r="578">
      <x:c r="A578" t="str">
        <x:v>Active Sports Nutrition</x:v>
      </x:c>
      <x:c r="B578" t="str">
        <x:v>Biotech USA</x:v>
      </x:c>
      <x:c r="C578" t="str">
        <x:v>Micellar Casein</x:v>
      </x:c>
      <x:c r="D578" t="str">
        <x:v>Supplements</x:v>
      </x:c>
      <x:c r="E578" t="str">
        <x:v>Casein Protein</x:v>
      </x:c>
      <x:c r="F578" t="str">
        <x:v>Micellar casein protein.</x:v>
      </x:c>
      <x:c r="G578" t="str">
        <x:v>2270g</x:v>
      </x:c>
      <x:c r="H578" t="str">
        <x:v>Vanilla</x:v>
      </x:c>
      <x:c r="I578" t="str"/>
      <x:c r="J578" t="str">
        <x:v>Unit</x:v>
      </x:c>
      <x:c r="K578" t="str">
        <x:v>In stock</x:v>
      </x:c>
      <x:c r="L578" t="str">
        <x:v>2026-09-08</x:v>
      </x:c>
      <x:c r="M578" t="str"/>
      <x:c r="N578" t="str"/>
      <x:c r="O578" t="str">
        <x:v>https://www.activesportstrade.co.uk/biotech-usa-trade</x:v>
      </x:c>
      <x:c r="P578" t="str"/>
      <x:c r="Q578" t="str"/>
      <x:c r="R578" t="str"/>
      <x:c r="S578" t="str">
        <x:v>Pending genuine supplier/brand image</x:v>
      </x:c>
      <x:c r="T578" s="54"/>
      <x:c r="U578" s="47" t="n">
        <x:v>0.2</x:v>
      </x:c>
      <x:c r="V578" s="54" t="str">
        <x:f>IF(ISNUMBER(T578),T578*(1+U578),"")</x:f>
      </x:c>
      <x:c r="W578" s="47" t="n">
        <x:v>0.3</x:v>
      </x:c>
      <x:c r="X578" s="54" t="str">
        <x:f>IF(ISNUMBER(V578),V578/(1-W578),"")</x:f>
      </x:c>
      <x:c r="Y578" s="55" t="str">
        <x:f>IF(ISNUMBER(X578),ROUNDUP(X578,0),"")</x:f>
      </x:c>
      <x:c r="Z578" t="str">
        <x:f>IF(ISNUMBER(T578),"Cost captured","Awaiting trade cost")</x:f>
        <x:v>Awaiting trade cost</x:v>
      </x:c>
      <x:c r="AB578" s="36" t="str">
        <x:f>IF(ISNUMBER(Y578),ROUND(Y578*0.9,2),"")</x:f>
      </x:c>
      <x:c r="AC578" s="36" t="str">
        <x:f>IF(ISNUMBER(AB578),ROUND(AB578-(AB578*0.015+0.2)-V578,2),"")</x:f>
      </x:c>
      <x:c r="AD578" s="36" t="str">
        <x:f>IF(ISNUMBER(Y578),ROUND(Y578*0.8,2),"")</x:f>
      </x:c>
      <x:c r="AE578" s="36" t="str">
        <x:f>IF(ISNUMBER(AD578),ROUND(AD578*0.015+0.2,2),"")</x:f>
      </x:c>
      <x:c r="AF578" s="36" t="str">
        <x:f>IF(ISNUMBER(AD578),ROUND(AD578-AE578-V578,2),"")</x:f>
      </x:c>
      <x:c r="AG578" t="str">
        <x:f>IF(NOT(ISNUMBER(T578)),"PENDING",IF(AF578&gt;0,"PASS","FAIL"))</x:f>
        <x:v>PENDING</x:v>
      </x:c>
      <x:c r="AH578" t="str">
        <x:f>IF(NOT(ISNUMBER(T578)),"Needs supplier cost",IF(K578&lt;&gt;"In stock","Supplier unavailable",IF(AG578&lt;&gt;"PASS","BLOCK - GT loss risk","Commercially protected")))</x:f>
        <x:v>Needs supplier cost</x:v>
      </x:c>
      <x:c r="AI578" t="str">
        <x:v>2026-09-10 Active Sports trade capture</x:v>
      </x:c>
      <x:c r="AJ578" t="str">
        <x:v>Management-only economics. Stripe stress test uses 1.5% + £0.20 standard UK online-card fee; pallet/mix-and-match pricing ignored.</x:v>
      </x:c>
    </x:row>
    <x:row r="579">
      <x:c r="A579" t="str">
        <x:v>Active Sports Nutrition</x:v>
      </x:c>
      <x:c r="B579" t="str">
        <x:v>Biotech USA</x:v>
      </x:c>
      <x:c r="C579" t="str">
        <x:v>Micellar Casein</x:v>
      </x:c>
      <x:c r="D579" t="str">
        <x:v>Supplements</x:v>
      </x:c>
      <x:c r="E579" t="str">
        <x:v>Casein Protein</x:v>
      </x:c>
      <x:c r="F579" t="str">
        <x:v>Micellar casein protein.</x:v>
      </x:c>
      <x:c r="G579" t="str">
        <x:v>908g</x:v>
      </x:c>
      <x:c r="H579" t="str">
        <x:v>Chocolate</x:v>
      </x:c>
      <x:c r="I579" t="str"/>
      <x:c r="J579" t="str">
        <x:v>Unit</x:v>
      </x:c>
      <x:c r="K579" t="str">
        <x:v>In stock</x:v>
      </x:c>
      <x:c r="L579" t="str">
        <x:v>2026-09-08</x:v>
      </x:c>
      <x:c r="M579" t="str"/>
      <x:c r="N579" t="str"/>
      <x:c r="O579" t="str">
        <x:v>https://www.activesportstrade.co.uk/biotech-usa-trade</x:v>
      </x:c>
      <x:c r="P579" t="str"/>
      <x:c r="Q579" t="str"/>
      <x:c r="R579" t="str"/>
      <x:c r="S579" t="str">
        <x:v>Pending genuine supplier/brand image</x:v>
      </x:c>
      <x:c r="T579" s="54" t="n">
        <x:v>19.99</x:v>
      </x:c>
      <x:c r="U579" s="47" t="n">
        <x:v>0.2</x:v>
      </x:c>
      <x:c r="V579" s="54" t="n">
        <x:f>IF(ISNUMBER(T579),T579*(1+U579),"")</x:f>
        <x:v>23.987999999999996</x:v>
      </x:c>
      <x:c r="W579" s="47" t="n">
        <x:v>0.3</x:v>
      </x:c>
      <x:c r="X579" s="54" t="n">
        <x:f>IF(ISNUMBER(V579),V579/(1-W579),"")</x:f>
        <x:v>34.26857142857143</x:v>
      </x:c>
      <x:c r="Y579" s="55" t="n">
        <x:f>IF(ISNUMBER(X579),ROUNDUP(X579,0),"")</x:f>
        <x:v>35</x:v>
      </x:c>
      <x:c r="Z579" t="str">
        <x:v>Source match pending</x:v>
      </x:c>
      <x:c r="AA579" t="str">
        <x:v>screencapture-www-activesportstrade-co-uk-biotech-usa-trade-2026-09-10-09_04_18.pdf / page-08</x:v>
      </x:c>
      <x:c r="AB579" s="36" t="n">
        <x:f>IF(ISNUMBER(Y579),ROUND(Y579*0.9,2),"")</x:f>
        <x:v>31.5</x:v>
      </x:c>
      <x:c r="AC579" s="36" t="n">
        <x:f>IF(ISNUMBER(AB579),ROUND(AB579-(AB579*0.015+0.2)-V579,2),"")</x:f>
        <x:v>6.84</x:v>
      </x:c>
      <x:c r="AD579" s="36" t="n">
        <x:f>IF(ISNUMBER(Y579),ROUND(Y579*0.8,2),"")</x:f>
        <x:v>28</x:v>
      </x:c>
      <x:c r="AE579" s="36" t="n">
        <x:f>IF(ISNUMBER(AD579),ROUND(AD579*0.015+0.2,2),"")</x:f>
        <x:v>0.62</x:v>
      </x:c>
      <x:c r="AF579" s="36" t="n">
        <x:f>IF(ISNUMBER(AD579),ROUND(AD579-AE579-V579,2),"")</x:f>
        <x:v>3.39</x:v>
      </x:c>
      <x:c r="AG579" t="str">
        <x:f>IF(NOT(ISNUMBER(T579)),"PENDING",IF(AF579&gt;0,"PASS","FAIL"))</x:f>
        <x:v>PASS</x:v>
      </x:c>
      <x:c r="AH579" t="str">
        <x:f>IF(NOT(ISNUMBER(T579)),"Needs supplier cost",IF(K579&lt;&gt;"In stock","Supplier unavailable",IF(AG579&lt;&gt;"PASS","BLOCK - GT loss risk","Commercially protected")))</x:f>
        <x:v>Commercially protected</x:v>
      </x:c>
      <x:c r="AI579" t="str">
        <x:v>2026-09-10 Active Sports trade capture</x:v>
      </x:c>
      <x:c r="AJ579" t="str">
        <x:v>Management-only economics. Stripe stress test uses 1.5% + £0.20 standard UK online-card fee; pallet/mix-and-match pricing ignored.</x:v>
      </x:c>
    </x:row>
    <x:row r="580">
      <x:c r="A580" t="str">
        <x:v>Active Sports Nutrition</x:v>
      </x:c>
      <x:c r="B580" t="str">
        <x:v>Biotech USA</x:v>
      </x:c>
      <x:c r="C580" t="str">
        <x:v>Micellar Casein</x:v>
      </x:c>
      <x:c r="D580" t="str">
        <x:v>Supplements</x:v>
      </x:c>
      <x:c r="E580" t="str">
        <x:v>Casein Protein</x:v>
      </x:c>
      <x:c r="F580" t="str">
        <x:v>Micellar casein protein.</x:v>
      </x:c>
      <x:c r="G580" t="str">
        <x:v>908g</x:v>
      </x:c>
      <x:c r="H580" t="str">
        <x:v>Strawberry</x:v>
      </x:c>
      <x:c r="I580" t="str"/>
      <x:c r="J580" t="str">
        <x:v>Unit</x:v>
      </x:c>
      <x:c r="K580" t="str">
        <x:v>In stock</x:v>
      </x:c>
      <x:c r="L580" t="str">
        <x:v>2026-09-08</x:v>
      </x:c>
      <x:c r="M580" t="str"/>
      <x:c r="N580" t="str"/>
      <x:c r="O580" t="str">
        <x:v>https://www.activesportstrade.co.uk/biotech-usa-trade</x:v>
      </x:c>
      <x:c r="P580" t="str"/>
      <x:c r="Q580" t="str"/>
      <x:c r="R580" t="str"/>
      <x:c r="S580" t="str">
        <x:v>Pending genuine supplier/brand image</x:v>
      </x:c>
      <x:c r="T580" s="54" t="n">
        <x:v>19.99</x:v>
      </x:c>
      <x:c r="U580" s="47" t="n">
        <x:v>0.2</x:v>
      </x:c>
      <x:c r="V580" s="54" t="n">
        <x:f>IF(ISNUMBER(T580),T580*(1+U580),"")</x:f>
        <x:v>23.987999999999996</x:v>
      </x:c>
      <x:c r="W580" s="47" t="n">
        <x:v>0.3</x:v>
      </x:c>
      <x:c r="X580" s="54" t="n">
        <x:f>IF(ISNUMBER(V580),V580/(1-W580),"")</x:f>
        <x:v>34.26857142857143</x:v>
      </x:c>
      <x:c r="Y580" s="55" t="n">
        <x:f>IF(ISNUMBER(X580),ROUNDUP(X580,0),"")</x:f>
        <x:v>35</x:v>
      </x:c>
      <x:c r="Z580" t="str">
        <x:v>Source match pending</x:v>
      </x:c>
      <x:c r="AA580" t="str">
        <x:v>screencapture-www-activesportstrade-co-uk-biotech-usa-trade-2026-09-10-09_04_18.pdf / page-08</x:v>
      </x:c>
      <x:c r="AB580" s="36" t="n">
        <x:f>IF(ISNUMBER(Y580),ROUND(Y580*0.9,2),"")</x:f>
        <x:v>31.5</x:v>
      </x:c>
      <x:c r="AC580" s="36" t="n">
        <x:f>IF(ISNUMBER(AB580),ROUND(AB580-(AB580*0.015+0.2)-V580,2),"")</x:f>
        <x:v>6.84</x:v>
      </x:c>
      <x:c r="AD580" s="36" t="n">
        <x:f>IF(ISNUMBER(Y580),ROUND(Y580*0.8,2),"")</x:f>
        <x:v>28</x:v>
      </x:c>
      <x:c r="AE580" s="36" t="n">
        <x:f>IF(ISNUMBER(AD580),ROUND(AD580*0.015+0.2,2),"")</x:f>
        <x:v>0.62</x:v>
      </x:c>
      <x:c r="AF580" s="36" t="n">
        <x:f>IF(ISNUMBER(AD580),ROUND(AD580-AE580-V580,2),"")</x:f>
        <x:v>3.39</x:v>
      </x:c>
      <x:c r="AG580" t="str">
        <x:f>IF(NOT(ISNUMBER(T580)),"PENDING",IF(AF580&gt;0,"PASS","FAIL"))</x:f>
        <x:v>PASS</x:v>
      </x:c>
      <x:c r="AH580" t="str">
        <x:f>IF(NOT(ISNUMBER(T580)),"Needs supplier cost",IF(K580&lt;&gt;"In stock","Supplier unavailable",IF(AG580&lt;&gt;"PASS","BLOCK - GT loss risk","Commercially protected")))</x:f>
        <x:v>Commercially protected</x:v>
      </x:c>
      <x:c r="AI580" t="str">
        <x:v>2026-09-10 Active Sports trade capture</x:v>
      </x:c>
      <x:c r="AJ580" t="str">
        <x:v>Management-only economics. Stripe stress test uses 1.5% + £0.20 standard UK online-card fee; pallet/mix-and-match pricing ignored.</x:v>
      </x:c>
    </x:row>
    <x:row r="581">
      <x:c r="A581" t="str">
        <x:v>Active Sports Nutrition</x:v>
      </x:c>
      <x:c r="B581" t="str">
        <x:v>Biotech USA</x:v>
      </x:c>
      <x:c r="C581" t="str">
        <x:v>Micellar Casein</x:v>
      </x:c>
      <x:c r="D581" t="str">
        <x:v>Supplements</x:v>
      </x:c>
      <x:c r="E581" t="str">
        <x:v>Casein Protein</x:v>
      </x:c>
      <x:c r="F581" t="str">
        <x:v>Micellar casein protein.</x:v>
      </x:c>
      <x:c r="G581" t="str">
        <x:v>908g</x:v>
      </x:c>
      <x:c r="H581" t="str">
        <x:v>Vanilla</x:v>
      </x:c>
      <x:c r="I581" t="str"/>
      <x:c r="J581" t="str">
        <x:v>Unit</x:v>
      </x:c>
      <x:c r="K581" t="str">
        <x:v>In stock</x:v>
      </x:c>
      <x:c r="L581" t="str">
        <x:v>2026-09-08</x:v>
      </x:c>
      <x:c r="M581" t="str"/>
      <x:c r="N581" t="str"/>
      <x:c r="O581" t="str">
        <x:v>https://www.activesportstrade.co.uk/biotech-usa-trade</x:v>
      </x:c>
      <x:c r="P581" t="str"/>
      <x:c r="Q581" t="str"/>
      <x:c r="R581" t="str"/>
      <x:c r="S581" t="str">
        <x:v>Pending genuine supplier/brand image</x:v>
      </x:c>
      <x:c r="T581" s="54" t="n">
        <x:v>19.99</x:v>
      </x:c>
      <x:c r="U581" s="47" t="n">
        <x:v>0.2</x:v>
      </x:c>
      <x:c r="V581" s="54" t="n">
        <x:f>IF(ISNUMBER(T581),T581*(1+U581),"")</x:f>
        <x:v>23.987999999999996</x:v>
      </x:c>
      <x:c r="W581" s="47" t="n">
        <x:v>0.3</x:v>
      </x:c>
      <x:c r="X581" s="54" t="n">
        <x:f>IF(ISNUMBER(V581),V581/(1-W581),"")</x:f>
        <x:v>34.26857142857143</x:v>
      </x:c>
      <x:c r="Y581" s="55" t="n">
        <x:f>IF(ISNUMBER(X581),ROUNDUP(X581,0),"")</x:f>
        <x:v>35</x:v>
      </x:c>
      <x:c r="Z581" t="str">
        <x:v>Source match pending</x:v>
      </x:c>
      <x:c r="AA581" t="str">
        <x:v>screencapture-www-activesportstrade-co-uk-biotech-usa-trade-2026-09-10-09_04_18.pdf / page-08</x:v>
      </x:c>
      <x:c r="AB581" s="36" t="n">
        <x:f>IF(ISNUMBER(Y581),ROUND(Y581*0.9,2),"")</x:f>
        <x:v>31.5</x:v>
      </x:c>
      <x:c r="AC581" s="36" t="n">
        <x:f>IF(ISNUMBER(AB581),ROUND(AB581-(AB581*0.015+0.2)-V581,2),"")</x:f>
        <x:v>6.84</x:v>
      </x:c>
      <x:c r="AD581" s="36" t="n">
        <x:f>IF(ISNUMBER(Y581),ROUND(Y581*0.8,2),"")</x:f>
        <x:v>28</x:v>
      </x:c>
      <x:c r="AE581" s="36" t="n">
        <x:f>IF(ISNUMBER(AD581),ROUND(AD581*0.015+0.2,2),"")</x:f>
        <x:v>0.62</x:v>
      </x:c>
      <x:c r="AF581" s="36" t="n">
        <x:f>IF(ISNUMBER(AD581),ROUND(AD581-AE581-V581,2),"")</x:f>
        <x:v>3.39</x:v>
      </x:c>
      <x:c r="AG581" t="str">
        <x:f>IF(NOT(ISNUMBER(T581)),"PENDING",IF(AF581&gt;0,"PASS","FAIL"))</x:f>
        <x:v>PASS</x:v>
      </x:c>
      <x:c r="AH581" t="str">
        <x:f>IF(NOT(ISNUMBER(T581)),"Needs supplier cost",IF(K581&lt;&gt;"In stock","Supplier unavailable",IF(AG581&lt;&gt;"PASS","BLOCK - GT loss risk","Commercially protected")))</x:f>
        <x:v>Commercially protected</x:v>
      </x:c>
      <x:c r="AI581" t="str">
        <x:v>2026-09-10 Active Sports trade capture</x:v>
      </x:c>
      <x:c r="AJ581" t="str">
        <x:v>Management-only economics. Stripe stress test uses 1.5% + £0.20 standard UK online-card fee; pallet/mix-and-match pricing ignored.</x:v>
      </x:c>
    </x:row>
    <x:row r="582">
      <x:c r="A582" t="str">
        <x:v>Active Sports Nutrition</x:v>
      </x:c>
      <x:c r="B582" t="str">
        <x:v>Biotech USA</x:v>
      </x:c>
      <x:c r="C582" t="str">
        <x:v>Daily Pack</x:v>
      </x:c>
      <x:c r="D582" t="str">
        <x:v>Supplements</x:v>
      </x:c>
      <x:c r="E582" t="str">
        <x:v>All In Ones</x:v>
      </x:c>
      <x:c r="F582" t="str">
        <x:v>Daily vitamin/mineral pack.</x:v>
      </x:c>
      <x:c r="G582" t="str">
        <x:v>30 packs</x:v>
      </x:c>
      <x:c r="H582" t="str">
        <x:v>Default</x:v>
      </x:c>
      <x:c r="I582" t="str"/>
      <x:c r="J582" t="str">
        <x:v>Unit</x:v>
      </x:c>
      <x:c r="K582" t="str">
        <x:v>In stock</x:v>
      </x:c>
      <x:c r="L582" t="str">
        <x:v>2026-09-08</x:v>
      </x:c>
      <x:c r="M582" t="str"/>
      <x:c r="N582" t="str"/>
      <x:c r="O582" t="str">
        <x:v>https://www.activesportstrade.co.uk/biotech-usa-trade</x:v>
      </x:c>
      <x:c r="P582" t="str"/>
      <x:c r="Q582" t="str"/>
      <x:c r="R582" t="str"/>
      <x:c r="S582" t="str">
        <x:v>Pending genuine supplier/brand image</x:v>
      </x:c>
      <x:c r="T582" s="54" t="n">
        <x:v>17.4</x:v>
      </x:c>
      <x:c r="U582" s="47" t="n">
        <x:v>0.2</x:v>
      </x:c>
      <x:c r="V582" s="54" t="n">
        <x:f>IF(ISNUMBER(T582),T582*(1+U582),"")</x:f>
        <x:v>20.88</x:v>
      </x:c>
      <x:c r="W582" s="47" t="n">
        <x:v>0.3</x:v>
      </x:c>
      <x:c r="X582" s="54" t="n">
        <x:f>IF(ISNUMBER(V582),V582/(1-W582),"")</x:f>
        <x:v>29.82857142857143</x:v>
      </x:c>
      <x:c r="Y582" s="55" t="n">
        <x:f>IF(ISNUMBER(X582),ROUNDUP(X582,0),"")</x:f>
        <x:v>30</x:v>
      </x:c>
      <x:c r="Z582" t="str">
        <x:v>Source match pending</x:v>
      </x:c>
      <x:c r="AA582" t="str">
        <x:v>screencapture-www-activesportstrade-co-uk-biotech-usa-trade-2026-09-10-09_04_18.pdf / page-05</x:v>
      </x:c>
      <x:c r="AB582" s="36" t="n">
        <x:f>IF(ISNUMBER(Y582),ROUND(Y582*0.9,2),"")</x:f>
        <x:v>27</x:v>
      </x:c>
      <x:c r="AC582" s="36" t="n">
        <x:f>IF(ISNUMBER(AB582),ROUND(AB582-(AB582*0.015+0.2)-V582,2),"")</x:f>
        <x:v>5.52</x:v>
      </x:c>
      <x:c r="AD582" s="36" t="n">
        <x:f>IF(ISNUMBER(Y582),ROUND(Y582*0.8,2),"")</x:f>
        <x:v>24</x:v>
      </x:c>
      <x:c r="AE582" s="36" t="n">
        <x:f>IF(ISNUMBER(AD582),ROUND(AD582*0.015+0.2,2),"")</x:f>
        <x:v>0.56</x:v>
      </x:c>
      <x:c r="AF582" s="36" t="n">
        <x:f>IF(ISNUMBER(AD582),ROUND(AD582-AE582-V582,2),"")</x:f>
        <x:v>2.56</x:v>
      </x:c>
      <x:c r="AG582" t="str">
        <x:f>IF(NOT(ISNUMBER(T582)),"PENDING",IF(AF582&gt;0,"PASS","FAIL"))</x:f>
        <x:v>PASS</x:v>
      </x:c>
      <x:c r="AH582" t="str">
        <x:f>IF(NOT(ISNUMBER(T582)),"Needs supplier cost",IF(K582&lt;&gt;"In stock","Supplier unavailable",IF(AG582&lt;&gt;"PASS","BLOCK - GT loss risk","Commercially protected")))</x:f>
        <x:v>Commercially protected</x:v>
      </x:c>
      <x:c r="AI582" t="str">
        <x:v>2026-09-10 Active Sports trade capture</x:v>
      </x:c>
      <x:c r="AJ582" t="str">
        <x:v>Management-only economics. Stripe stress test uses 1.5% + £0.20 standard UK online-card fee; pallet/mix-and-match pricing ignored.</x:v>
      </x:c>
    </x:row>
    <x:row r="583">
      <x:c r="A583" t="str">
        <x:v>Active Sports Nutrition</x:v>
      </x:c>
      <x:c r="B583" t="str">
        <x:v>Biotech USA</x:v>
      </x:c>
      <x:c r="C583" t="str">
        <x:v>FAT-X</x:v>
      </x:c>
      <x:c r="D583" t="str">
        <x:v>Supplements</x:v>
      </x:c>
      <x:c r="E583" t="str">
        <x:v>Fat Burners</x:v>
      </x:c>
      <x:c r="F583" t="str">
        <x:v>Stimulant-free body-composition support formula.</x:v>
      </x:c>
      <x:c r="G583" t="str">
        <x:v>60 tabs</x:v>
      </x:c>
      <x:c r="H583" t="str">
        <x:v>Default</x:v>
      </x:c>
      <x:c r="I583" t="str"/>
      <x:c r="J583" t="str">
        <x:v>Unit</x:v>
      </x:c>
      <x:c r="K583" t="str">
        <x:v>In stock</x:v>
      </x:c>
      <x:c r="L583" t="str">
        <x:v>2026-09-08</x:v>
      </x:c>
      <x:c r="M583" t="str"/>
      <x:c r="N583" t="str"/>
      <x:c r="O583" t="str">
        <x:v>https://www.activesportstrade.co.uk/biotech-usa-trade</x:v>
      </x:c>
      <x:c r="P583" t="str"/>
      <x:c r="Q583" t="str"/>
      <x:c r="R583" t="str"/>
      <x:c r="S583" t="str">
        <x:v>Pending genuine supplier/brand image</x:v>
      </x:c>
      <x:c r="T583" s="54" t="n">
        <x:v>8.11</x:v>
      </x:c>
      <x:c r="U583" s="47" t="n">
        <x:v>0.2</x:v>
      </x:c>
      <x:c r="V583" s="54" t="n">
        <x:f>IF(ISNUMBER(T583),T583*(1+U583),"")</x:f>
        <x:v>9.732</x:v>
      </x:c>
      <x:c r="W583" s="47" t="n">
        <x:v>0.3</x:v>
      </x:c>
      <x:c r="X583" s="54" t="n">
        <x:f>IF(ISNUMBER(V583),V583/(1-W583),"")</x:f>
        <x:v>13.902857142857142</x:v>
      </x:c>
      <x:c r="Y583" s="55" t="n">
        <x:f>IF(ISNUMBER(X583),ROUNDUP(X583,0),"")</x:f>
        <x:v>14</x:v>
      </x:c>
      <x:c r="Z583" t="str">
        <x:v>Source match pending</x:v>
      </x:c>
      <x:c r="AA583" t="str">
        <x:v>screencapture-www-activesportstrade-co-uk-biotech-usa-trade-2026-09-10-09_04_18.pdf / page-05</x:v>
      </x:c>
      <x:c r="AB583" s="36" t="n">
        <x:f>IF(ISNUMBER(Y583),ROUND(Y583*0.9,2),"")</x:f>
        <x:v>12.6</x:v>
      </x:c>
      <x:c r="AC583" s="36" t="n">
        <x:f>IF(ISNUMBER(AB583),ROUND(AB583-(AB583*0.015+0.2)-V583,2),"")</x:f>
        <x:v>2.48</x:v>
      </x:c>
      <x:c r="AD583" s="36" t="n">
        <x:f>IF(ISNUMBER(Y583),ROUND(Y583*0.8,2),"")</x:f>
        <x:v>11.2</x:v>
      </x:c>
      <x:c r="AE583" s="36" t="n">
        <x:f>IF(ISNUMBER(AD583),ROUND(AD583*0.015+0.2,2),"")</x:f>
        <x:v>0.37</x:v>
      </x:c>
      <x:c r="AF583" s="36" t="n">
        <x:f>IF(ISNUMBER(AD583),ROUND(AD583-AE583-V583,2),"")</x:f>
        <x:v>1.1</x:v>
      </x:c>
      <x:c r="AG583" t="str">
        <x:f>IF(NOT(ISNUMBER(T583)),"PENDING",IF(AF583&gt;0,"PASS","FAIL"))</x:f>
        <x:v>PASS</x:v>
      </x:c>
      <x:c r="AH583" t="str">
        <x:f>IF(NOT(ISNUMBER(T583)),"Needs supplier cost",IF(K583&lt;&gt;"In stock","Supplier unavailable",IF(AG583&lt;&gt;"PASS","BLOCK - GT loss risk","Commercially protected")))</x:f>
        <x:v>Commercially protected</x:v>
      </x:c>
      <x:c r="AI583" t="str">
        <x:v>2026-09-10 Active Sports trade capture</x:v>
      </x:c>
      <x:c r="AJ583" t="str">
        <x:v>Management-only economics. Stripe stress test uses 1.5% + £0.20 standard UK online-card fee; pallet/mix-and-match pricing ignored.</x:v>
      </x:c>
    </x:row>
    <x:row r="584">
      <x:c r="A584" t="str">
        <x:v>Active Sports Nutrition</x:v>
      </x:c>
      <x:c r="B584" t="str">
        <x:v>Biotech USA</x:v>
      </x:c>
      <x:c r="C584" t="str">
        <x:v>Fibre Mix</x:v>
      </x:c>
      <x:c r="D584" t="str">
        <x:v>Supplements</x:v>
      </x:c>
      <x:c r="E584" t="str">
        <x:v>Health Foods</x:v>
      </x:c>
      <x:c r="F584" t="str">
        <x:v>Dietary fibre powder.</x:v>
      </x:c>
      <x:c r="G584" t="str">
        <x:v>225g</x:v>
      </x:c>
      <x:c r="H584" t="str">
        <x:v>Unflavoured</x:v>
      </x:c>
      <x:c r="I584" t="str"/>
      <x:c r="J584" t="str">
        <x:v>Unit</x:v>
      </x:c>
      <x:c r="K584" t="str">
        <x:v>In stock</x:v>
      </x:c>
      <x:c r="L584" t="str">
        <x:v>2026-09-08</x:v>
      </x:c>
      <x:c r="M584" t="str"/>
      <x:c r="N584" t="str"/>
      <x:c r="O584" t="str">
        <x:v>https://www.activesportstrade.co.uk/biotech-usa-trade</x:v>
      </x:c>
      <x:c r="P584" t="str"/>
      <x:c r="Q584" t="str"/>
      <x:c r="R584" t="str"/>
      <x:c r="S584" t="str">
        <x:v>Pending genuine supplier/brand image</x:v>
      </x:c>
      <x:c r="T584" s="54" t="n">
        <x:v>6.84</x:v>
      </x:c>
      <x:c r="U584" s="47" t="n">
        <x:v>0.2</x:v>
      </x:c>
      <x:c r="V584" s="54" t="n">
        <x:f>IF(ISNUMBER(T584),T584*(1+U584),"")</x:f>
        <x:v>8.208</x:v>
      </x:c>
      <x:c r="W584" s="47" t="n">
        <x:v>0.3</x:v>
      </x:c>
      <x:c r="X584" s="54" t="n">
        <x:f>IF(ISNUMBER(V584),V584/(1-W584),"")</x:f>
        <x:v>11.725714285714286</x:v>
      </x:c>
      <x:c r="Y584" s="55" t="n">
        <x:f>IF(ISNUMBER(X584),ROUNDUP(X584,0),"")</x:f>
        <x:v>12</x:v>
      </x:c>
      <x:c r="Z584" t="str">
        <x:v>Source match pending</x:v>
      </x:c>
      <x:c r="AA584" t="str">
        <x:v>screencapture-www-activesportstrade-co-uk-biotech-usa-trade-2026-09-10-09_04_18.pdf / page-05</x:v>
      </x:c>
      <x:c r="AB584" s="36" t="n">
        <x:f>IF(ISNUMBER(Y584),ROUND(Y584*0.9,2),"")</x:f>
        <x:v>10.8</x:v>
      </x:c>
      <x:c r="AC584" s="36" t="n">
        <x:f>IF(ISNUMBER(AB584),ROUND(AB584-(AB584*0.015+0.2)-V584,2),"")</x:f>
        <x:v>2.23</x:v>
      </x:c>
      <x:c r="AD584" s="36" t="n">
        <x:f>IF(ISNUMBER(Y584),ROUND(Y584*0.8,2),"")</x:f>
        <x:v>9.6</x:v>
      </x:c>
      <x:c r="AE584" s="36" t="n">
        <x:f>IF(ISNUMBER(AD584),ROUND(AD584*0.015+0.2,2),"")</x:f>
        <x:v>0.34</x:v>
      </x:c>
      <x:c r="AF584" s="36" t="n">
        <x:f>IF(ISNUMBER(AD584),ROUND(AD584-AE584-V584,2),"")</x:f>
        <x:v>1.05</x:v>
      </x:c>
      <x:c r="AG584" t="str">
        <x:f>IF(NOT(ISNUMBER(T584)),"PENDING",IF(AF584&gt;0,"PASS","FAIL"))</x:f>
        <x:v>PASS</x:v>
      </x:c>
      <x:c r="AH584" t="str">
        <x:f>IF(NOT(ISNUMBER(T584)),"Needs supplier cost",IF(K584&lt;&gt;"In stock","Supplier unavailable",IF(AG584&lt;&gt;"PASS","BLOCK - GT loss risk","Commercially protected")))</x:f>
        <x:v>Commercially protected</x:v>
      </x:c>
      <x:c r="AI584" t="str">
        <x:v>2026-09-10 Active Sports trade capture</x:v>
      </x:c>
      <x:c r="AJ584" t="str">
        <x:v>Management-only economics. Stripe stress test uses 1.5% + £0.20 standard UK online-card fee; pallet/mix-and-match pricing ignored.</x:v>
      </x:c>
    </x:row>
    <x:row r="585">
      <x:c r="A585" t="str">
        <x:v>Active Sports Nutrition</x:v>
      </x:c>
      <x:c r="B585" t="str">
        <x:v>Biotech USA</x:v>
      </x:c>
      <x:c r="C585" t="str">
        <x:v>GH</x:v>
      </x:c>
      <x:c r="D585" t="str">
        <x:v>Supplements</x:v>
      </x:c>
      <x:c r="E585" t="str">
        <x:v>GH Boosters</x:v>
      </x:c>
      <x:c r="F585" t="str">
        <x:v>Amino acid and vitamin B6 capsule formula.</x:v>
      </x:c>
      <x:c r="G585" t="str">
        <x:v>120 caps</x:v>
      </x:c>
      <x:c r="H585" t="str">
        <x:v>Default</x:v>
      </x:c>
      <x:c r="I585" t="str"/>
      <x:c r="J585" t="str">
        <x:v>Unit</x:v>
      </x:c>
      <x:c r="K585" t="str">
        <x:v>In stock</x:v>
      </x:c>
      <x:c r="L585" t="str">
        <x:v>2026-09-08</x:v>
      </x:c>
      <x:c r="M585" t="str"/>
      <x:c r="N585" t="str"/>
      <x:c r="O585" t="str">
        <x:v>https://www.activesportstrade.co.uk/biotech-usa-trade</x:v>
      </x:c>
      <x:c r="P585" t="str"/>
      <x:c r="Q585" t="str"/>
      <x:c r="R585" t="str"/>
      <x:c r="S585" t="str">
        <x:v>Pending genuine supplier/brand image</x:v>
      </x:c>
      <x:c r="T585" s="54" t="n">
        <x:v>8.11</x:v>
      </x:c>
      <x:c r="U585" s="47" t="n">
        <x:v>0.2</x:v>
      </x:c>
      <x:c r="V585" s="54" t="n">
        <x:f>IF(ISNUMBER(T585),T585*(1+U585),"")</x:f>
        <x:v>9.732</x:v>
      </x:c>
      <x:c r="W585" s="47" t="n">
        <x:v>0.3</x:v>
      </x:c>
      <x:c r="X585" s="54" t="n">
        <x:f>IF(ISNUMBER(V585),V585/(1-W585),"")</x:f>
        <x:v>13.902857142857142</x:v>
      </x:c>
      <x:c r="Y585" s="55" t="n">
        <x:f>IF(ISNUMBER(X585),ROUNDUP(X585,0),"")</x:f>
        <x:v>14</x:v>
      </x:c>
      <x:c r="Z585" t="str">
        <x:v>Source match pending</x:v>
      </x:c>
      <x:c r="AA585" t="str">
        <x:v>screencapture-www-activesportstrade-co-uk-biotech-usa-trade-2026-09-10-09_04_18.pdf / page-05</x:v>
      </x:c>
      <x:c r="AB585" s="36" t="n">
        <x:f>IF(ISNUMBER(Y585),ROUND(Y585*0.9,2),"")</x:f>
        <x:v>12.6</x:v>
      </x:c>
      <x:c r="AC585" s="36" t="n">
        <x:f>IF(ISNUMBER(AB585),ROUND(AB585-(AB585*0.015+0.2)-V585,2),"")</x:f>
        <x:v>2.48</x:v>
      </x:c>
      <x:c r="AD585" s="36" t="n">
        <x:f>IF(ISNUMBER(Y585),ROUND(Y585*0.8,2),"")</x:f>
        <x:v>11.2</x:v>
      </x:c>
      <x:c r="AE585" s="36" t="n">
        <x:f>IF(ISNUMBER(AD585),ROUND(AD585*0.015+0.2,2),"")</x:f>
        <x:v>0.37</x:v>
      </x:c>
      <x:c r="AF585" s="36" t="n">
        <x:f>IF(ISNUMBER(AD585),ROUND(AD585-AE585-V585,2),"")</x:f>
        <x:v>1.1</x:v>
      </x:c>
      <x:c r="AG585" t="str">
        <x:f>IF(NOT(ISNUMBER(T585)),"PENDING",IF(AF585&gt;0,"PASS","FAIL"))</x:f>
        <x:v>PASS</x:v>
      </x:c>
      <x:c r="AH585" t="str">
        <x:f>IF(NOT(ISNUMBER(T585)),"Needs supplier cost",IF(K585&lt;&gt;"In stock","Supplier unavailable",IF(AG585&lt;&gt;"PASS","BLOCK - GT loss risk","Commercially protected")))</x:f>
        <x:v>Commercially protected</x:v>
      </x:c>
      <x:c r="AI585" t="str">
        <x:v>2026-09-10 Active Sports trade capture</x:v>
      </x:c>
      <x:c r="AJ585" t="str">
        <x:v>Management-only economics. Stripe stress test uses 1.5% + £0.20 standard UK online-card fee; pallet/mix-and-match pricing ignored.</x:v>
      </x:c>
    </x:row>
    <x:row r="586">
      <x:c r="A586" t="str">
        <x:v>Active Sports Nutrition</x:v>
      </x:c>
      <x:c r="B586" t="str">
        <x:v>Biotech USA</x:v>
      </x:c>
      <x:c r="C586" t="str">
        <x:v>Glutamine Zero</x:v>
      </x:c>
      <x:c r="D586" t="str">
        <x:v>Supplements</x:v>
      </x:c>
      <x:c r="E586" t="str">
        <x:v>L-Glutamine</x:v>
      </x:c>
      <x:c r="F586" t="str">
        <x:v>Flavoured glutamine powder.</x:v>
      </x:c>
      <x:c r="G586" t="str">
        <x:v>300g / 25 servings</x:v>
      </x:c>
      <x:c r="H586" t="str">
        <x:v>Blue Grape</x:v>
      </x:c>
      <x:c r="I586" t="str"/>
      <x:c r="J586" t="str">
        <x:v>Unit</x:v>
      </x:c>
      <x:c r="K586" t="str">
        <x:v>Out of stock</x:v>
      </x:c>
      <x:c r="L586" t="str">
        <x:v>2026-09-08</x:v>
      </x:c>
      <x:c r="M586" t="str"/>
      <x:c r="N586" t="str"/>
      <x:c r="O586" t="str">
        <x:v>https://www.activesportstrade.co.uk/biotech-usa-trade</x:v>
      </x:c>
      <x:c r="P586" t="str">
        <x:v>SPECIAL OFFER wording removed.</x:v>
      </x:c>
      <x:c r="Q586" t="str"/>
      <x:c r="R586" t="str"/>
      <x:c r="S586" t="str">
        <x:v>Pending genuine supplier/brand image</x:v>
      </x:c>
      <x:c r="T586" s="54" t="n">
        <x:v>7.99</x:v>
      </x:c>
      <x:c r="U586" s="47" t="n">
        <x:v>0.2</x:v>
      </x:c>
      <x:c r="V586" s="54" t="n">
        <x:f>IF(ISNUMBER(T586),T586*(1+U586),"")</x:f>
        <x:v>9.588</x:v>
      </x:c>
      <x:c r="W586" s="47" t="n">
        <x:v>0.3</x:v>
      </x:c>
      <x:c r="X586" s="54" t="n">
        <x:f>IF(ISNUMBER(V586),V586/(1-W586),"")</x:f>
        <x:v>13.697142857142858</x:v>
      </x:c>
      <x:c r="Y586" s="55" t="n">
        <x:f>IF(ISNUMBER(X586),ROUNDUP(X586,0),"")</x:f>
        <x:v>14</x:v>
      </x:c>
      <x:c r="Z586" t="str">
        <x:v>Source match pending</x:v>
      </x:c>
      <x:c r="AA586" t="str">
        <x:v>screencapture-www-activesportstrade-co-uk-biotech-usa-trade-2026-09-10-09_04_18.pdf / page-06</x:v>
      </x:c>
      <x:c r="AB586" s="36" t="n">
        <x:f>IF(ISNUMBER(Y586),ROUND(Y586*0.9,2),"")</x:f>
        <x:v>12.6</x:v>
      </x:c>
      <x:c r="AC586" s="36" t="n">
        <x:f>IF(ISNUMBER(AB586),ROUND(AB586-(AB586*0.015+0.2)-V586,2),"")</x:f>
        <x:v>2.62</x:v>
      </x:c>
      <x:c r="AD586" s="36" t="n">
        <x:f>IF(ISNUMBER(Y586),ROUND(Y586*0.8,2),"")</x:f>
        <x:v>11.2</x:v>
      </x:c>
      <x:c r="AE586" s="36" t="n">
        <x:f>IF(ISNUMBER(AD586),ROUND(AD586*0.015+0.2,2),"")</x:f>
        <x:v>0.37</x:v>
      </x:c>
      <x:c r="AF586" s="36" t="n">
        <x:f>IF(ISNUMBER(AD586),ROUND(AD586-AE586-V586,2),"")</x:f>
        <x:v>1.24</x:v>
      </x:c>
      <x:c r="AG586" t="str">
        <x:f>IF(NOT(ISNUMBER(T586)),"PENDING",IF(AF586&gt;0,"PASS","FAIL"))</x:f>
        <x:v>PASS</x:v>
      </x:c>
      <x:c r="AH586" t="str">
        <x:f>IF(NOT(ISNUMBER(T586)),"Needs supplier cost",IF(K586&lt;&gt;"In stock","Supplier unavailable",IF(AG586&lt;&gt;"PASS","BLOCK - GT loss risk","Commercially protected")))</x:f>
        <x:v>Supplier unavailable</x:v>
      </x:c>
      <x:c r="AI586" t="str">
        <x:v>2026-09-10 Active Sports trade capture</x:v>
      </x:c>
      <x:c r="AJ586" t="str">
        <x:v>Management-only economics. Stripe stress test uses 1.5% + £0.20 standard UK online-card fee; pallet/mix-and-match pricing ignored.</x:v>
      </x:c>
    </x:row>
    <x:row r="587">
      <x:c r="A587" t="str">
        <x:v>Active Sports Nutrition</x:v>
      </x:c>
      <x:c r="B587" t="str">
        <x:v>Biotech USA</x:v>
      </x:c>
      <x:c r="C587" t="str">
        <x:v>Glutamine Zero</x:v>
      </x:c>
      <x:c r="D587" t="str">
        <x:v>Supplements</x:v>
      </x:c>
      <x:c r="E587" t="str">
        <x:v>L-Glutamine</x:v>
      </x:c>
      <x:c r="F587" t="str">
        <x:v>Flavoured glutamine powder.</x:v>
      </x:c>
      <x:c r="G587" t="str">
        <x:v>300g / 25 servings</x:v>
      </x:c>
      <x:c r="H587" t="str">
        <x:v>Lemon</x:v>
      </x:c>
      <x:c r="I587" t="str"/>
      <x:c r="J587" t="str">
        <x:v>Unit</x:v>
      </x:c>
      <x:c r="K587" t="str">
        <x:v>In stock</x:v>
      </x:c>
      <x:c r="L587" t="str">
        <x:v>2026-09-08</x:v>
      </x:c>
      <x:c r="M587" t="str"/>
      <x:c r="N587" t="str"/>
      <x:c r="O587" t="str">
        <x:v>https://www.activesportstrade.co.uk/biotech-usa-trade</x:v>
      </x:c>
      <x:c r="P587" t="str">
        <x:v>SPECIAL OFFER wording removed.</x:v>
      </x:c>
      <x:c r="Q587" t="str"/>
      <x:c r="R587" t="str"/>
      <x:c r="S587" t="str">
        <x:v>Pending genuine supplier/brand image</x:v>
      </x:c>
      <x:c r="T587" s="54" t="n">
        <x:v>7.99</x:v>
      </x:c>
      <x:c r="U587" s="47" t="n">
        <x:v>0.2</x:v>
      </x:c>
      <x:c r="V587" s="54" t="n">
        <x:f>IF(ISNUMBER(T587),T587*(1+U587),"")</x:f>
        <x:v>9.588</x:v>
      </x:c>
      <x:c r="W587" s="47" t="n">
        <x:v>0.3</x:v>
      </x:c>
      <x:c r="X587" s="54" t="n">
        <x:f>IF(ISNUMBER(V587),V587/(1-W587),"")</x:f>
        <x:v>13.697142857142858</x:v>
      </x:c>
      <x:c r="Y587" s="55" t="n">
        <x:f>IF(ISNUMBER(X587),ROUNDUP(X587,0),"")</x:f>
        <x:v>14</x:v>
      </x:c>
      <x:c r="Z587" t="str">
        <x:v>Source match pending</x:v>
      </x:c>
      <x:c r="AA587" t="str">
        <x:v>screencapture-www-activesportstrade-co-uk-biotech-usa-trade-2026-09-10-09_04_18.pdf / page-06</x:v>
      </x:c>
      <x:c r="AB587" s="36" t="n">
        <x:f>IF(ISNUMBER(Y587),ROUND(Y587*0.9,2),"")</x:f>
        <x:v>12.6</x:v>
      </x:c>
      <x:c r="AC587" s="36" t="n">
        <x:f>IF(ISNUMBER(AB587),ROUND(AB587-(AB587*0.015+0.2)-V587,2),"")</x:f>
        <x:v>2.62</x:v>
      </x:c>
      <x:c r="AD587" s="36" t="n">
        <x:f>IF(ISNUMBER(Y587),ROUND(Y587*0.8,2),"")</x:f>
        <x:v>11.2</x:v>
      </x:c>
      <x:c r="AE587" s="36" t="n">
        <x:f>IF(ISNUMBER(AD587),ROUND(AD587*0.015+0.2,2),"")</x:f>
        <x:v>0.37</x:v>
      </x:c>
      <x:c r="AF587" s="36" t="n">
        <x:f>IF(ISNUMBER(AD587),ROUND(AD587-AE587-V587,2),"")</x:f>
        <x:v>1.24</x:v>
      </x:c>
      <x:c r="AG587" t="str">
        <x:f>IF(NOT(ISNUMBER(T587)),"PENDING",IF(AF587&gt;0,"PASS","FAIL"))</x:f>
        <x:v>PASS</x:v>
      </x:c>
      <x:c r="AH587" t="str">
        <x:f>IF(NOT(ISNUMBER(T587)),"Needs supplier cost",IF(K587&lt;&gt;"In stock","Supplier unavailable",IF(AG587&lt;&gt;"PASS","BLOCK - GT loss risk","Commercially protected")))</x:f>
        <x:v>Commercially protected</x:v>
      </x:c>
      <x:c r="AI587" t="str">
        <x:v>2026-09-10 Active Sports trade capture</x:v>
      </x:c>
      <x:c r="AJ587" t="str">
        <x:v>Management-only economics. Stripe stress test uses 1.5% + £0.20 standard UK online-card fee; pallet/mix-and-match pricing ignored.</x:v>
      </x:c>
    </x:row>
    <x:row r="588">
      <x:c r="A588" t="str">
        <x:v>Active Sports Nutrition</x:v>
      </x:c>
      <x:c r="B588" t="str">
        <x:v>Biotech USA</x:v>
      </x:c>
      <x:c r="C588" t="str">
        <x:v>Glutamine Zero</x:v>
      </x:c>
      <x:c r="D588" t="str">
        <x:v>Supplements</x:v>
      </x:c>
      <x:c r="E588" t="str">
        <x:v>L-Glutamine</x:v>
      </x:c>
      <x:c r="F588" t="str">
        <x:v>Flavoured glutamine powder.</x:v>
      </x:c>
      <x:c r="G588" t="str">
        <x:v>300g / 25 servings</x:v>
      </x:c>
      <x:c r="H588" t="str">
        <x:v>Peach Ice Tea</x:v>
      </x:c>
      <x:c r="I588" t="str"/>
      <x:c r="J588" t="str">
        <x:v>Unit</x:v>
      </x:c>
      <x:c r="K588" t="str">
        <x:v>In stock</x:v>
      </x:c>
      <x:c r="L588" t="str">
        <x:v>2026-09-08</x:v>
      </x:c>
      <x:c r="M588" t="str"/>
      <x:c r="N588" t="str"/>
      <x:c r="O588" t="str">
        <x:v>https://www.activesportstrade.co.uk/biotech-usa-trade</x:v>
      </x:c>
      <x:c r="P588" t="str">
        <x:v>SPECIAL OFFER wording removed.</x:v>
      </x:c>
      <x:c r="Q588" t="str"/>
      <x:c r="R588" t="str"/>
      <x:c r="S588" t="str">
        <x:v>Pending genuine supplier/brand image</x:v>
      </x:c>
      <x:c r="T588" s="54" t="n">
        <x:v>7.99</x:v>
      </x:c>
      <x:c r="U588" s="47" t="n">
        <x:v>0.2</x:v>
      </x:c>
      <x:c r="V588" s="54" t="n">
        <x:f>IF(ISNUMBER(T588),T588*(1+U588),"")</x:f>
        <x:v>9.588</x:v>
      </x:c>
      <x:c r="W588" s="47" t="n">
        <x:v>0.3</x:v>
      </x:c>
      <x:c r="X588" s="54" t="n">
        <x:f>IF(ISNUMBER(V588),V588/(1-W588),"")</x:f>
        <x:v>13.697142857142858</x:v>
      </x:c>
      <x:c r="Y588" s="55" t="n">
        <x:f>IF(ISNUMBER(X588),ROUNDUP(X588,0),"")</x:f>
        <x:v>14</x:v>
      </x:c>
      <x:c r="Z588" t="str">
        <x:v>Source match pending</x:v>
      </x:c>
      <x:c r="AA588" t="str">
        <x:v>screencapture-www-activesportstrade-co-uk-biotech-usa-trade-2026-09-10-09_04_18.pdf / page-06</x:v>
      </x:c>
      <x:c r="AB588" s="36" t="n">
        <x:f>IF(ISNUMBER(Y588),ROUND(Y588*0.9,2),"")</x:f>
        <x:v>12.6</x:v>
      </x:c>
      <x:c r="AC588" s="36" t="n">
        <x:f>IF(ISNUMBER(AB588),ROUND(AB588-(AB588*0.015+0.2)-V588,2),"")</x:f>
        <x:v>2.62</x:v>
      </x:c>
      <x:c r="AD588" s="36" t="n">
        <x:f>IF(ISNUMBER(Y588),ROUND(Y588*0.8,2),"")</x:f>
        <x:v>11.2</x:v>
      </x:c>
      <x:c r="AE588" s="36" t="n">
        <x:f>IF(ISNUMBER(AD588),ROUND(AD588*0.015+0.2,2),"")</x:f>
        <x:v>0.37</x:v>
      </x:c>
      <x:c r="AF588" s="36" t="n">
        <x:f>IF(ISNUMBER(AD588),ROUND(AD588-AE588-V588,2),"")</x:f>
        <x:v>1.24</x:v>
      </x:c>
      <x:c r="AG588" t="str">
        <x:f>IF(NOT(ISNUMBER(T588)),"PENDING",IF(AF588&gt;0,"PASS","FAIL"))</x:f>
        <x:v>PASS</x:v>
      </x:c>
      <x:c r="AH588" t="str">
        <x:f>IF(NOT(ISNUMBER(T588)),"Needs supplier cost",IF(K588&lt;&gt;"In stock","Supplier unavailable",IF(AG588&lt;&gt;"PASS","BLOCK - GT loss risk","Commercially protected")))</x:f>
        <x:v>Commercially protected</x:v>
      </x:c>
      <x:c r="AI588" t="str">
        <x:v>2026-09-10 Active Sports trade capture</x:v>
      </x:c>
      <x:c r="AJ588" t="str">
        <x:v>Management-only economics. Stripe stress test uses 1.5% + £0.20 standard UK online-card fee; pallet/mix-and-match pricing ignored.</x:v>
      </x:c>
    </x:row>
    <x:row r="589">
      <x:c r="A589" t="str">
        <x:v>Active Sports Nutrition</x:v>
      </x:c>
      <x:c r="B589" t="str">
        <x:v>Biotech USA</x:v>
      </x:c>
      <x:c r="C589" t="str">
        <x:v>Glutamine Zero</x:v>
      </x:c>
      <x:c r="D589" t="str">
        <x:v>Supplements</x:v>
      </x:c>
      <x:c r="E589" t="str">
        <x:v>L-Glutamine</x:v>
      </x:c>
      <x:c r="F589" t="str">
        <x:v>Flavoured glutamine powder.</x:v>
      </x:c>
      <x:c r="G589" t="str">
        <x:v>300g / 25 servings</x:v>
      </x:c>
      <x:c r="H589" t="str">
        <x:v>Watermelon</x:v>
      </x:c>
      <x:c r="I589" t="str"/>
      <x:c r="J589" t="str">
        <x:v>Unit</x:v>
      </x:c>
      <x:c r="K589" t="str">
        <x:v>Out of stock</x:v>
      </x:c>
      <x:c r="L589" t="str">
        <x:v>2026-09-08</x:v>
      </x:c>
      <x:c r="M589" t="str"/>
      <x:c r="N589" t="str"/>
      <x:c r="O589" t="str">
        <x:v>https://www.activesportstrade.co.uk/biotech-usa-trade</x:v>
      </x:c>
      <x:c r="P589" t="str">
        <x:v>SPECIAL OFFER wording removed.</x:v>
      </x:c>
      <x:c r="Q589" t="str"/>
      <x:c r="R589" t="str"/>
      <x:c r="S589" t="str">
        <x:v>Pending genuine supplier/brand image</x:v>
      </x:c>
      <x:c r="T589" s="54" t="n">
        <x:v>7.99</x:v>
      </x:c>
      <x:c r="U589" s="47" t="n">
        <x:v>0.2</x:v>
      </x:c>
      <x:c r="V589" s="54" t="n">
        <x:f>IF(ISNUMBER(T589),T589*(1+U589),"")</x:f>
        <x:v>9.588</x:v>
      </x:c>
      <x:c r="W589" s="47" t="n">
        <x:v>0.3</x:v>
      </x:c>
      <x:c r="X589" s="54" t="n">
        <x:f>IF(ISNUMBER(V589),V589/(1-W589),"")</x:f>
        <x:v>13.697142857142858</x:v>
      </x:c>
      <x:c r="Y589" s="55" t="n">
        <x:f>IF(ISNUMBER(X589),ROUNDUP(X589,0),"")</x:f>
        <x:v>14</x:v>
      </x:c>
      <x:c r="Z589" t="str">
        <x:v>Source match pending</x:v>
      </x:c>
      <x:c r="AA589" t="str">
        <x:v>screencapture-www-activesportstrade-co-uk-biotech-usa-trade-2026-09-10-09_04_18.pdf / page-06</x:v>
      </x:c>
      <x:c r="AB589" s="36" t="n">
        <x:f>IF(ISNUMBER(Y589),ROUND(Y589*0.9,2),"")</x:f>
        <x:v>12.6</x:v>
      </x:c>
      <x:c r="AC589" s="36" t="n">
        <x:f>IF(ISNUMBER(AB589),ROUND(AB589-(AB589*0.015+0.2)-V589,2),"")</x:f>
        <x:v>2.62</x:v>
      </x:c>
      <x:c r="AD589" s="36" t="n">
        <x:f>IF(ISNUMBER(Y589),ROUND(Y589*0.8,2),"")</x:f>
        <x:v>11.2</x:v>
      </x:c>
      <x:c r="AE589" s="36" t="n">
        <x:f>IF(ISNUMBER(AD589),ROUND(AD589*0.015+0.2,2),"")</x:f>
        <x:v>0.37</x:v>
      </x:c>
      <x:c r="AF589" s="36" t="n">
        <x:f>IF(ISNUMBER(AD589),ROUND(AD589-AE589-V589,2),"")</x:f>
        <x:v>1.24</x:v>
      </x:c>
      <x:c r="AG589" t="str">
        <x:f>IF(NOT(ISNUMBER(T589)),"PENDING",IF(AF589&gt;0,"PASS","FAIL"))</x:f>
        <x:v>PASS</x:v>
      </x:c>
      <x:c r="AH589" t="str">
        <x:f>IF(NOT(ISNUMBER(T589)),"Needs supplier cost",IF(K589&lt;&gt;"In stock","Supplier unavailable",IF(AG589&lt;&gt;"PASS","BLOCK - GT loss risk","Commercially protected")))</x:f>
        <x:v>Supplier unavailable</x:v>
      </x:c>
      <x:c r="AI589" t="str">
        <x:v>2026-09-10 Active Sports trade capture</x:v>
      </x:c>
      <x:c r="AJ589" t="str">
        <x:v>Management-only economics. Stripe stress test uses 1.5% + £0.20 standard UK online-card fee; pallet/mix-and-match pricing ignored.</x:v>
      </x:c>
    </x:row>
    <x:row r="590">
      <x:c r="A590" t="str">
        <x:v>Active Sports Nutrition</x:v>
      </x:c>
      <x:c r="B590" t="str">
        <x:v>Biotech USA</x:v>
      </x:c>
      <x:c r="C590" t="str">
        <x:v>H2O Q10</x:v>
      </x:c>
      <x:c r="D590" t="str">
        <x:v>Supplements</x:v>
      </x:c>
      <x:c r="E590" t="str">
        <x:v>Vitamins</x:v>
      </x:c>
      <x:c r="F590" t="str">
        <x:v>Water-soluble coenzyme Q10 capsules.</x:v>
      </x:c>
      <x:c r="G590" t="str">
        <x:v>60 caps</x:v>
      </x:c>
      <x:c r="H590" t="str">
        <x:v>Default</x:v>
      </x:c>
      <x:c r="I590" t="str"/>
      <x:c r="J590" t="str">
        <x:v>Unit</x:v>
      </x:c>
      <x:c r="K590" t="str">
        <x:v>In stock</x:v>
      </x:c>
      <x:c r="L590" t="str">
        <x:v>2026-09-08</x:v>
      </x:c>
      <x:c r="M590" t="str"/>
      <x:c r="N590" t="str"/>
      <x:c r="O590" t="str">
        <x:v>https://www.activesportstrade.co.uk/biotech-usa-trade</x:v>
      </x:c>
      <x:c r="P590" t="str"/>
      <x:c r="Q590" t="str"/>
      <x:c r="R590" t="str"/>
      <x:c r="S590" t="str">
        <x:v>Pending genuine supplier/brand image</x:v>
      </x:c>
      <x:c r="T590" s="54" t="n">
        <x:v>8.4</x:v>
      </x:c>
      <x:c r="U590" s="47" t="n">
        <x:v>0.2</x:v>
      </x:c>
      <x:c r="V590" s="54" t="n">
        <x:f>IF(ISNUMBER(T590),T590*(1+U590),"")</x:f>
        <x:v>10.08</x:v>
      </x:c>
      <x:c r="W590" s="47" t="n">
        <x:v>0.3</x:v>
      </x:c>
      <x:c r="X590" s="54" t="n">
        <x:f>IF(ISNUMBER(V590),V590/(1-W590),"")</x:f>
        <x:v>14.4</x:v>
      </x:c>
      <x:c r="Y590" s="55" t="n">
        <x:f>IF(ISNUMBER(X590),ROUNDUP(X590,0),"")</x:f>
        <x:v>15</x:v>
      </x:c>
      <x:c r="Z590" t="str">
        <x:v>Source match pending</x:v>
      </x:c>
      <x:c r="AA590" t="str">
        <x:v>screencapture-www-activesportstrade-co-uk-biotech-usa-trade-2026-09-10-09_04_18.pdf / page-06</x:v>
      </x:c>
      <x:c r="AB590" s="36" t="n">
        <x:f>IF(ISNUMBER(Y590),ROUND(Y590*0.9,2),"")</x:f>
        <x:v>13.5</x:v>
      </x:c>
      <x:c r="AC590" s="36" t="n">
        <x:f>IF(ISNUMBER(AB590),ROUND(AB590-(AB590*0.015+0.2)-V590,2),"")</x:f>
        <x:v>3.02</x:v>
      </x:c>
      <x:c r="AD590" s="36" t="n">
        <x:f>IF(ISNUMBER(Y590),ROUND(Y590*0.8,2),"")</x:f>
        <x:v>12</x:v>
      </x:c>
      <x:c r="AE590" s="36" t="n">
        <x:f>IF(ISNUMBER(AD590),ROUND(AD590*0.015+0.2,2),"")</x:f>
        <x:v>0.38</x:v>
      </x:c>
      <x:c r="AF590" s="36" t="n">
        <x:f>IF(ISNUMBER(AD590),ROUND(AD590-AE590-V590,2),"")</x:f>
        <x:v>1.54</x:v>
      </x:c>
      <x:c r="AG590" t="str">
        <x:f>IF(NOT(ISNUMBER(T590)),"PENDING",IF(AF590&gt;0,"PASS","FAIL"))</x:f>
        <x:v>PASS</x:v>
      </x:c>
      <x:c r="AH590" t="str">
        <x:f>IF(NOT(ISNUMBER(T590)),"Needs supplier cost",IF(K590&lt;&gt;"In stock","Supplier unavailable",IF(AG590&lt;&gt;"PASS","BLOCK - GT loss risk","Commercially protected")))</x:f>
        <x:v>Commercially protected</x:v>
      </x:c>
      <x:c r="AI590" t="str">
        <x:v>2026-09-10 Active Sports trade capture</x:v>
      </x:c>
      <x:c r="AJ590" t="str">
        <x:v>Management-only economics. Stripe stress test uses 1.5% + £0.20 standard UK online-card fee; pallet/mix-and-match pricing ignored.</x:v>
      </x:c>
    </x:row>
    <x:row r="591">
      <x:c r="A591" t="str">
        <x:v>Active Sports Nutrition</x:v>
      </x:c>
      <x:c r="B591" t="str">
        <x:v>Biotech USA</x:v>
      </x:c>
      <x:c r="C591" t="str">
        <x:v>HMB</x:v>
      </x:c>
      <x:c r="D591" t="str">
        <x:v>Supplements</x:v>
      </x:c>
      <x:c r="E591" t="str">
        <x:v>HMB Supplements</x:v>
      </x:c>
      <x:c r="F591" t="str">
        <x:v>HMB capsules.</x:v>
      </x:c>
      <x:c r="G591" t="str">
        <x:v>150 caps</x:v>
      </x:c>
      <x:c r="H591" t="str">
        <x:v>Default</x:v>
      </x:c>
      <x:c r="I591" t="str"/>
      <x:c r="J591" t="str">
        <x:v>Unit</x:v>
      </x:c>
      <x:c r="K591" t="str">
        <x:v>In stock</x:v>
      </x:c>
      <x:c r="L591" t="str">
        <x:v>2026-09-08</x:v>
      </x:c>
      <x:c r="M591" t="str"/>
      <x:c r="N591" t="str"/>
      <x:c r="O591" t="str">
        <x:v>https://www.activesportstrade.co.uk/biotech-usa-trade</x:v>
      </x:c>
      <x:c r="P591" t="str"/>
      <x:c r="Q591" t="str"/>
      <x:c r="R591" t="str"/>
      <x:c r="S591" t="str">
        <x:v>Pending genuine supplier/brand image</x:v>
      </x:c>
      <x:c r="T591" s="54" t="n">
        <x:v>10.18</x:v>
      </x:c>
      <x:c r="U591" s="47" t="n">
        <x:v>0.2</x:v>
      </x:c>
      <x:c r="V591" s="54" t="n">
        <x:f>IF(ISNUMBER(T591),T591*(1+U591),"")</x:f>
        <x:v>12.216</x:v>
      </x:c>
      <x:c r="W591" s="47" t="n">
        <x:v>0.3</x:v>
      </x:c>
      <x:c r="X591" s="54" t="n">
        <x:f>IF(ISNUMBER(V591),V591/(1-W591),"")</x:f>
        <x:v>17.451428571428572</x:v>
      </x:c>
      <x:c r="Y591" s="55" t="n">
        <x:f>IF(ISNUMBER(X591),ROUNDUP(X591,0),"")</x:f>
        <x:v>18</x:v>
      </x:c>
      <x:c r="Z591" t="str">
        <x:v>Source match pending</x:v>
      </x:c>
      <x:c r="AA591" t="str">
        <x:v>screencapture-www-activesportstrade-co-uk-biotech-usa-trade-2026-09-10-09_04_18.pdf / page-06</x:v>
      </x:c>
      <x:c r="AB591" s="36" t="n">
        <x:f>IF(ISNUMBER(Y591),ROUND(Y591*0.9,2),"")</x:f>
        <x:v>16.2</x:v>
      </x:c>
      <x:c r="AC591" s="36" t="n">
        <x:f>IF(ISNUMBER(AB591),ROUND(AB591-(AB591*0.015+0.2)-V591,2),"")</x:f>
        <x:v>3.54</x:v>
      </x:c>
      <x:c r="AD591" s="36" t="n">
        <x:f>IF(ISNUMBER(Y591),ROUND(Y591*0.8,2),"")</x:f>
        <x:v>14.4</x:v>
      </x:c>
      <x:c r="AE591" s="36" t="n">
        <x:f>IF(ISNUMBER(AD591),ROUND(AD591*0.015+0.2,2),"")</x:f>
        <x:v>0.42</x:v>
      </x:c>
      <x:c r="AF591" s="36" t="n">
        <x:f>IF(ISNUMBER(AD591),ROUND(AD591-AE591-V591,2),"")</x:f>
        <x:v>1.76</x:v>
      </x:c>
      <x:c r="AG591" t="str">
        <x:f>IF(NOT(ISNUMBER(T591)),"PENDING",IF(AF591&gt;0,"PASS","FAIL"))</x:f>
        <x:v>PASS</x:v>
      </x:c>
      <x:c r="AH591" t="str">
        <x:f>IF(NOT(ISNUMBER(T591)),"Needs supplier cost",IF(K591&lt;&gt;"In stock","Supplier unavailable",IF(AG591&lt;&gt;"PASS","BLOCK - GT loss risk","Commercially protected")))</x:f>
        <x:v>Commercially protected</x:v>
      </x:c>
      <x:c r="AI591" t="str">
        <x:v>2026-09-10 Active Sports trade capture</x:v>
      </x:c>
      <x:c r="AJ591" t="str">
        <x:v>Management-only economics. Stripe stress test uses 1.5% + £0.20 standard UK online-card fee; pallet/mix-and-match pricing ignored.</x:v>
      </x:c>
    </x:row>
    <x:row r="592">
      <x:c r="A592" t="str">
        <x:v>Active Sports Nutrition</x:v>
      </x:c>
      <x:c r="B592" t="str">
        <x:v>Biotech USA</x:v>
      </x:c>
      <x:c r="C592" t="str">
        <x:v>Hyaluronic &amp; Collagen</x:v>
      </x:c>
      <x:c r="D592" t="str">
        <x:v>Supplements</x:v>
      </x:c>
      <x:c r="E592" t="str">
        <x:v>Collagen</x:v>
      </x:c>
      <x:c r="F592" t="str">
        <x:v>Hyaluronic acid and collagen capsule formula.</x:v>
      </x:c>
      <x:c r="G592" t="str">
        <x:v>120 caps</x:v>
      </x:c>
      <x:c r="H592" t="str">
        <x:v>Default</x:v>
      </x:c>
      <x:c r="I592" t="str"/>
      <x:c r="J592" t="str">
        <x:v>Unit</x:v>
      </x:c>
      <x:c r="K592" t="str">
        <x:v>In stock</x:v>
      </x:c>
      <x:c r="L592" t="str">
        <x:v>2026-09-08</x:v>
      </x:c>
      <x:c r="M592" t="str"/>
      <x:c r="N592" t="str"/>
      <x:c r="O592" t="str">
        <x:v>https://www.activesportstrade.co.uk/biotech-usa-trade</x:v>
      </x:c>
      <x:c r="P592" t="str"/>
      <x:c r="Q592" t="str"/>
      <x:c r="R592" t="str"/>
      <x:c r="S592" t="str">
        <x:v>Pending genuine supplier/brand image</x:v>
      </x:c>
      <x:c r="T592" s="54"/>
      <x:c r="U592" s="47" t="n">
        <x:v>0.2</x:v>
      </x:c>
      <x:c r="V592" s="54" t="str">
        <x:f>IF(ISNUMBER(T592),T592*(1+U592),"")</x:f>
      </x:c>
      <x:c r="W592" s="47" t="n">
        <x:v>0.3</x:v>
      </x:c>
      <x:c r="X592" s="54" t="str">
        <x:f>IF(ISNUMBER(V592),V592/(1-W592),"")</x:f>
      </x:c>
      <x:c r="Y592" s="55" t="str">
        <x:f>IF(ISNUMBER(X592),ROUNDUP(X592,0),"")</x:f>
      </x:c>
      <x:c r="Z592" t="str">
        <x:f>IF(ISNUMBER(T592),"Cost captured","Awaiting trade cost")</x:f>
        <x:v>Awaiting trade cost</x:v>
      </x:c>
      <x:c r="AB592" s="36" t="str">
        <x:f>IF(ISNUMBER(Y592),ROUND(Y592*0.9,2),"")</x:f>
      </x:c>
      <x:c r="AC592" s="36" t="str">
        <x:f>IF(ISNUMBER(AB592),ROUND(AB592-(AB592*0.015+0.2)-V592,2),"")</x:f>
      </x:c>
      <x:c r="AD592" s="36" t="str">
        <x:f>IF(ISNUMBER(Y592),ROUND(Y592*0.8,2),"")</x:f>
      </x:c>
      <x:c r="AE592" s="36" t="str">
        <x:f>IF(ISNUMBER(AD592),ROUND(AD592*0.015+0.2,2),"")</x:f>
      </x:c>
      <x:c r="AF592" s="36" t="str">
        <x:f>IF(ISNUMBER(AD592),ROUND(AD592-AE592-V592,2),"")</x:f>
      </x:c>
      <x:c r="AG592" t="str">
        <x:f>IF(NOT(ISNUMBER(T592)),"PENDING",IF(AF592&gt;0,"PASS","FAIL"))</x:f>
        <x:v>PENDING</x:v>
      </x:c>
      <x:c r="AH592" t="str">
        <x:f>IF(NOT(ISNUMBER(T592)),"Needs supplier cost",IF(K592&lt;&gt;"In stock","Supplier unavailable",IF(AG592&lt;&gt;"PASS","BLOCK - GT loss risk","Commercially protected")))</x:f>
        <x:v>Needs supplier cost</x:v>
      </x:c>
      <x:c r="AI592" t="str">
        <x:v>2026-09-10 Active Sports trade capture</x:v>
      </x:c>
      <x:c r="AJ592" t="str">
        <x:v>Management-only economics. Stripe stress test uses 1.5% + £0.20 standard UK online-card fee; pallet/mix-and-match pricing ignored.</x:v>
      </x:c>
    </x:row>
    <x:row r="593">
      <x:c r="A593" t="str">
        <x:v>Active Sports Nutrition</x:v>
      </x:c>
      <x:c r="B593" t="str">
        <x:v>Biotech USA</x:v>
      </x:c>
      <x:c r="C593" t="str">
        <x:v>IsoTonic</x:v>
      </x:c>
      <x:c r="D593" t="str">
        <x:v>Supplements</x:v>
      </x:c>
      <x:c r="E593" t="str">
        <x:v>Hydration</x:v>
      </x:c>
      <x:c r="F593" t="str">
        <x:v>Isotonic carbohydrate/electrolyte drink powder.</x:v>
      </x:c>
      <x:c r="G593" t="str">
        <x:v>600g</x:v>
      </x:c>
      <x:c r="H593" t="str">
        <x:v>Lemon Ice Tea</x:v>
      </x:c>
      <x:c r="I593" t="str"/>
      <x:c r="J593" t="str">
        <x:v>Unit</x:v>
      </x:c>
      <x:c r="K593" t="str">
        <x:v>In stock</x:v>
      </x:c>
      <x:c r="L593" t="str">
        <x:v>2026-09-08</x:v>
      </x:c>
      <x:c r="M593" t="str"/>
      <x:c r="N593" t="str"/>
      <x:c r="O593" t="str">
        <x:v>https://www.activesportstrade.co.uk/biotech-usa-trade</x:v>
      </x:c>
      <x:c r="P593" t="str"/>
      <x:c r="Q593" t="str"/>
      <x:c r="R593" t="str"/>
      <x:c r="S593" t="str">
        <x:v>Pending genuine supplier/brand image</x:v>
      </x:c>
      <x:c r="T593" s="54" t="n">
        <x:v>7.52</x:v>
      </x:c>
      <x:c r="U593" s="47" t="n">
        <x:v>0.2</x:v>
      </x:c>
      <x:c r="V593" s="54" t="n">
        <x:f>IF(ISNUMBER(T593),T593*(1+U593),"")</x:f>
        <x:v>9.024</x:v>
      </x:c>
      <x:c r="W593" s="47" t="n">
        <x:v>0.3</x:v>
      </x:c>
      <x:c r="X593" s="54" t="n">
        <x:f>IF(ISNUMBER(V593),V593/(1-W593),"")</x:f>
        <x:v>12.891428571428571</x:v>
      </x:c>
      <x:c r="Y593" s="55" t="n">
        <x:f>IF(ISNUMBER(X593),ROUNDUP(X593,0),"")</x:f>
        <x:v>13</x:v>
      </x:c>
      <x:c r="Z593" t="str">
        <x:v>Source match pending</x:v>
      </x:c>
      <x:c r="AA593" t="str">
        <x:v>screencapture-www-activesportstrade-co-uk-biotech-usa-trade-2026-09-10-09_04_18.pdf / page-07</x:v>
      </x:c>
      <x:c r="AB593" s="36" t="n">
        <x:f>IF(ISNUMBER(Y593),ROUND(Y593*0.9,2),"")</x:f>
        <x:v>11.7</x:v>
      </x:c>
      <x:c r="AC593" s="36" t="n">
        <x:f>IF(ISNUMBER(AB593),ROUND(AB593-(AB593*0.015+0.2)-V593,2),"")</x:f>
        <x:v>2.3</x:v>
      </x:c>
      <x:c r="AD593" s="36" t="n">
        <x:f>IF(ISNUMBER(Y593),ROUND(Y593*0.8,2),"")</x:f>
        <x:v>10.4</x:v>
      </x:c>
      <x:c r="AE593" s="36" t="n">
        <x:f>IF(ISNUMBER(AD593),ROUND(AD593*0.015+0.2,2),"")</x:f>
        <x:v>0.36</x:v>
      </x:c>
      <x:c r="AF593" s="36" t="n">
        <x:f>IF(ISNUMBER(AD593),ROUND(AD593-AE593-V593,2),"")</x:f>
        <x:v>1.02</x:v>
      </x:c>
      <x:c r="AG593" t="str">
        <x:f>IF(NOT(ISNUMBER(T593)),"PENDING",IF(AF593&gt;0,"PASS","FAIL"))</x:f>
        <x:v>PASS</x:v>
      </x:c>
      <x:c r="AH593" t="str">
        <x:f>IF(NOT(ISNUMBER(T593)),"Needs supplier cost",IF(K593&lt;&gt;"In stock","Supplier unavailable",IF(AG593&lt;&gt;"PASS","BLOCK - GT loss risk","Commercially protected")))</x:f>
        <x:v>Commercially protected</x:v>
      </x:c>
      <x:c r="AI593" t="str">
        <x:v>2026-09-10 Active Sports trade capture</x:v>
      </x:c>
      <x:c r="AJ593" t="str">
        <x:v>Management-only economics. Stripe stress test uses 1.5% + £0.20 standard UK online-card fee; pallet/mix-and-match pricing ignored.</x:v>
      </x:c>
    </x:row>
    <x:row r="594">
      <x:c r="A594" t="str">
        <x:v>Active Sports Nutrition</x:v>
      </x:c>
      <x:c r="B594" t="str">
        <x:v>Biotech USA</x:v>
      </x:c>
      <x:c r="C594" t="str">
        <x:v>IsoTonic</x:v>
      </x:c>
      <x:c r="D594" t="str">
        <x:v>Supplements</x:v>
      </x:c>
      <x:c r="E594" t="str">
        <x:v>Hydration</x:v>
      </x:c>
      <x:c r="F594" t="str">
        <x:v>Isotonic carbohydrate/electrolyte drink powder.</x:v>
      </x:c>
      <x:c r="G594" t="str">
        <x:v>600g</x:v>
      </x:c>
      <x:c r="H594" t="str">
        <x:v>Orange Mango</x:v>
      </x:c>
      <x:c r="I594" t="str"/>
      <x:c r="J594" t="str">
        <x:v>Unit</x:v>
      </x:c>
      <x:c r="K594" t="str">
        <x:v>In stock</x:v>
      </x:c>
      <x:c r="L594" t="str">
        <x:v>2026-09-08</x:v>
      </x:c>
      <x:c r="M594" t="str"/>
      <x:c r="N594" t="str"/>
      <x:c r="O594" t="str">
        <x:v>https://www.activesportstrade.co.uk/biotech-usa-trade</x:v>
      </x:c>
      <x:c r="P594" t="str"/>
      <x:c r="Q594" t="str"/>
      <x:c r="R594" t="str"/>
      <x:c r="S594" t="str">
        <x:v>Pending genuine supplier/brand image</x:v>
      </x:c>
      <x:c r="T594" s="54" t="n">
        <x:v>7.52</x:v>
      </x:c>
      <x:c r="U594" s="47" t="n">
        <x:v>0.2</x:v>
      </x:c>
      <x:c r="V594" s="54" t="n">
        <x:f>IF(ISNUMBER(T594),T594*(1+U594),"")</x:f>
        <x:v>9.024</x:v>
      </x:c>
      <x:c r="W594" s="47" t="n">
        <x:v>0.3</x:v>
      </x:c>
      <x:c r="X594" s="54" t="n">
        <x:f>IF(ISNUMBER(V594),V594/(1-W594),"")</x:f>
        <x:v>12.891428571428571</x:v>
      </x:c>
      <x:c r="Y594" s="55" t="n">
        <x:f>IF(ISNUMBER(X594),ROUNDUP(X594,0),"")</x:f>
        <x:v>13</x:v>
      </x:c>
      <x:c r="Z594" t="str">
        <x:v>Source match pending</x:v>
      </x:c>
      <x:c r="AA594" t="str">
        <x:v>screencapture-www-activesportstrade-co-uk-biotech-usa-trade-2026-09-10-09_04_18.pdf / page-07</x:v>
      </x:c>
      <x:c r="AB594" s="36" t="n">
        <x:f>IF(ISNUMBER(Y594),ROUND(Y594*0.9,2),"")</x:f>
        <x:v>11.7</x:v>
      </x:c>
      <x:c r="AC594" s="36" t="n">
        <x:f>IF(ISNUMBER(AB594),ROUND(AB594-(AB594*0.015+0.2)-V594,2),"")</x:f>
        <x:v>2.3</x:v>
      </x:c>
      <x:c r="AD594" s="36" t="n">
        <x:f>IF(ISNUMBER(Y594),ROUND(Y594*0.8,2),"")</x:f>
        <x:v>10.4</x:v>
      </x:c>
      <x:c r="AE594" s="36" t="n">
        <x:f>IF(ISNUMBER(AD594),ROUND(AD594*0.015+0.2,2),"")</x:f>
        <x:v>0.36</x:v>
      </x:c>
      <x:c r="AF594" s="36" t="n">
        <x:f>IF(ISNUMBER(AD594),ROUND(AD594-AE594-V594,2),"")</x:f>
        <x:v>1.02</x:v>
      </x:c>
      <x:c r="AG594" t="str">
        <x:f>IF(NOT(ISNUMBER(T594)),"PENDING",IF(AF594&gt;0,"PASS","FAIL"))</x:f>
        <x:v>PASS</x:v>
      </x:c>
      <x:c r="AH594" t="str">
        <x:f>IF(NOT(ISNUMBER(T594)),"Needs supplier cost",IF(K594&lt;&gt;"In stock","Supplier unavailable",IF(AG594&lt;&gt;"PASS","BLOCK - GT loss risk","Commercially protected")))</x:f>
        <x:v>Commercially protected</x:v>
      </x:c>
      <x:c r="AI594" t="str">
        <x:v>2026-09-10 Active Sports trade capture</x:v>
      </x:c>
      <x:c r="AJ594" t="str">
        <x:v>Management-only economics. Stripe stress test uses 1.5% + £0.20 standard UK online-card fee; pallet/mix-and-match pricing ignored.</x:v>
      </x:c>
    </x:row>
    <x:row r="595">
      <x:c r="A595" t="str">
        <x:v>Active Sports Nutrition</x:v>
      </x:c>
      <x:c r="B595" t="str">
        <x:v>Biotech USA</x:v>
      </x:c>
      <x:c r="C595" t="str">
        <x:v>L-Arginine</x:v>
      </x:c>
      <x:c r="D595" t="str">
        <x:v>Supplements</x:v>
      </x:c>
      <x:c r="E595" t="str">
        <x:v>Amino Acids</x:v>
      </x:c>
      <x:c r="F595" t="str">
        <x:v>L-arginine powder.</x:v>
      </x:c>
      <x:c r="G595" t="str">
        <x:v>300g</x:v>
      </x:c>
      <x:c r="H595" t="str">
        <x:v>Unflavoured</x:v>
      </x:c>
      <x:c r="I595" t="str"/>
      <x:c r="J595" t="str">
        <x:v>Unit</x:v>
      </x:c>
      <x:c r="K595" t="str">
        <x:v>In stock</x:v>
      </x:c>
      <x:c r="L595" t="str">
        <x:v>2026-09-08</x:v>
      </x:c>
      <x:c r="M595" t="str"/>
      <x:c r="N595" t="str"/>
      <x:c r="O595" t="str">
        <x:v>https://www.activesportstrade.co.uk/biotech-usa-trade</x:v>
      </x:c>
      <x:c r="P595" t="str"/>
      <x:c r="Q595" t="str"/>
      <x:c r="R595" t="str"/>
      <x:c r="S595" t="str">
        <x:v>Pending genuine supplier/brand image</x:v>
      </x:c>
      <x:c r="T595" s="54" t="n">
        <x:v>14.85</x:v>
      </x:c>
      <x:c r="U595" s="47" t="n">
        <x:v>0.2</x:v>
      </x:c>
      <x:c r="V595" s="54" t="n">
        <x:f>IF(ISNUMBER(T595),T595*(1+U595),"")</x:f>
        <x:v>17.82</x:v>
      </x:c>
      <x:c r="W595" s="47" t="n">
        <x:v>0.3</x:v>
      </x:c>
      <x:c r="X595" s="54" t="n">
        <x:f>IF(ISNUMBER(V595),V595/(1-W595),"")</x:f>
        <x:v>25.45714285714286</x:v>
      </x:c>
      <x:c r="Y595" s="55" t="n">
        <x:f>IF(ISNUMBER(X595),ROUNDUP(X595,0),"")</x:f>
        <x:v>26</x:v>
      </x:c>
      <x:c r="Z595" t="str">
        <x:v>Source match pending</x:v>
      </x:c>
      <x:c r="AA595" t="str">
        <x:v>screencapture-www-activesportstrade-co-uk-biotech-usa-trade-2026-09-10-09_04_18.pdf / page-07</x:v>
      </x:c>
      <x:c r="AB595" s="36" t="n">
        <x:f>IF(ISNUMBER(Y595),ROUND(Y595*0.9,2),"")</x:f>
        <x:v>23.4</x:v>
      </x:c>
      <x:c r="AC595" s="36" t="n">
        <x:f>IF(ISNUMBER(AB595),ROUND(AB595-(AB595*0.015+0.2)-V595,2),"")</x:f>
        <x:v>5.03</x:v>
      </x:c>
      <x:c r="AD595" s="36" t="n">
        <x:f>IF(ISNUMBER(Y595),ROUND(Y595*0.8,2),"")</x:f>
        <x:v>20.8</x:v>
      </x:c>
      <x:c r="AE595" s="36" t="n">
        <x:f>IF(ISNUMBER(AD595),ROUND(AD595*0.015+0.2,2),"")</x:f>
        <x:v>0.51</x:v>
      </x:c>
      <x:c r="AF595" s="36" t="n">
        <x:f>IF(ISNUMBER(AD595),ROUND(AD595-AE595-V595,2),"")</x:f>
        <x:v>2.47</x:v>
      </x:c>
      <x:c r="AG595" t="str">
        <x:f>IF(NOT(ISNUMBER(T595)),"PENDING",IF(AF595&gt;0,"PASS","FAIL"))</x:f>
        <x:v>PASS</x:v>
      </x:c>
      <x:c r="AH595" t="str">
        <x:f>IF(NOT(ISNUMBER(T595)),"Needs supplier cost",IF(K595&lt;&gt;"In stock","Supplier unavailable",IF(AG595&lt;&gt;"PASS","BLOCK - GT loss risk","Commercially protected")))</x:f>
        <x:v>Commercially protected</x:v>
      </x:c>
      <x:c r="AI595" t="str">
        <x:v>2026-09-10 Active Sports trade capture</x:v>
      </x:c>
      <x:c r="AJ595" t="str">
        <x:v>Management-only economics. Stripe stress test uses 1.5% + £0.20 standard UK online-card fee; pallet/mix-and-match pricing ignored.</x:v>
      </x:c>
    </x:row>
    <x:row r="596">
      <x:c r="A596" t="str">
        <x:v>Active Sports Nutrition</x:v>
      </x:c>
      <x:c r="B596" t="str">
        <x:v>Biotech USA</x:v>
      </x:c>
      <x:c r="C596" t="str">
        <x:v>L-Arginine</x:v>
      </x:c>
      <x:c r="D596" t="str">
        <x:v>Supplements</x:v>
      </x:c>
      <x:c r="E596" t="str">
        <x:v>Amino Acids</x:v>
      </x:c>
      <x:c r="F596" t="str">
        <x:v>L-arginine capsules.</x:v>
      </x:c>
      <x:c r="G596" t="str">
        <x:v>90 caps</x:v>
      </x:c>
      <x:c r="H596" t="str">
        <x:v>Default</x:v>
      </x:c>
      <x:c r="I596" t="str"/>
      <x:c r="J596" t="str">
        <x:v>Unit</x:v>
      </x:c>
      <x:c r="K596" t="str">
        <x:v>In stock</x:v>
      </x:c>
      <x:c r="L596" t="str">
        <x:v>2026-09-08</x:v>
      </x:c>
      <x:c r="M596" t="str"/>
      <x:c r="N596" t="str"/>
      <x:c r="O596" t="str">
        <x:v>https://www.activesportstrade.co.uk/biotech-usa-trade</x:v>
      </x:c>
      <x:c r="P596" t="str"/>
      <x:c r="Q596" t="str"/>
      <x:c r="R596" t="str"/>
      <x:c r="S596" t="str">
        <x:v>Pending genuine supplier/brand image</x:v>
      </x:c>
      <x:c r="T596" s="54" t="n">
        <x:v>6.35</x:v>
      </x:c>
      <x:c r="U596" s="47" t="n">
        <x:v>0.2</x:v>
      </x:c>
      <x:c r="V596" s="54" t="n">
        <x:f>IF(ISNUMBER(T596),T596*(1+U596),"")</x:f>
        <x:v>7.619999999999999</x:v>
      </x:c>
      <x:c r="W596" s="47" t="n">
        <x:v>0.3</x:v>
      </x:c>
      <x:c r="X596" s="54" t="n">
        <x:f>IF(ISNUMBER(V596),V596/(1-W596),"")</x:f>
        <x:v>10.885714285714286</x:v>
      </x:c>
      <x:c r="Y596" s="55" t="n">
        <x:f>IF(ISNUMBER(X596),ROUNDUP(X596,0),"")</x:f>
        <x:v>11</x:v>
      </x:c>
      <x:c r="Z596" t="str">
        <x:v>Source match pending</x:v>
      </x:c>
      <x:c r="AA596" t="str">
        <x:v>screencapture-www-activesportstrade-co-uk-biotech-usa-trade-2026-09-10-09_04_18.pdf / page-07</x:v>
      </x:c>
      <x:c r="AB596" s="36" t="n">
        <x:f>IF(ISNUMBER(Y596),ROUND(Y596*0.9,2),"")</x:f>
        <x:v>9.9</x:v>
      </x:c>
      <x:c r="AC596" s="36" t="n">
        <x:f>IF(ISNUMBER(AB596),ROUND(AB596-(AB596*0.015+0.2)-V596,2),"")</x:f>
        <x:v>1.93</x:v>
      </x:c>
      <x:c r="AD596" s="36" t="n">
        <x:f>IF(ISNUMBER(Y596),ROUND(Y596*0.8,2),"")</x:f>
        <x:v>8.8</x:v>
      </x:c>
      <x:c r="AE596" s="36" t="n">
        <x:f>IF(ISNUMBER(AD596),ROUND(AD596*0.015+0.2,2),"")</x:f>
        <x:v>0.33</x:v>
      </x:c>
      <x:c r="AF596" s="36" t="n">
        <x:f>IF(ISNUMBER(AD596),ROUND(AD596-AE596-V596,2),"")</x:f>
        <x:v>0.85</x:v>
      </x:c>
      <x:c r="AG596" t="str">
        <x:f>IF(NOT(ISNUMBER(T596)),"PENDING",IF(AF596&gt;0,"PASS","FAIL"))</x:f>
        <x:v>PASS</x:v>
      </x:c>
      <x:c r="AH596" t="str">
        <x:f>IF(NOT(ISNUMBER(T596)),"Needs supplier cost",IF(K596&lt;&gt;"In stock","Supplier unavailable",IF(AG596&lt;&gt;"PASS","BLOCK - GT loss risk","Commercially protected")))</x:f>
        <x:v>Commercially protected</x:v>
      </x:c>
      <x:c r="AI596" t="str">
        <x:v>2026-09-10 Active Sports trade capture</x:v>
      </x:c>
      <x:c r="AJ596" t="str">
        <x:v>Management-only economics. Stripe stress test uses 1.5% + £0.20 standard UK online-card fee; pallet/mix-and-match pricing ignored.</x:v>
      </x:c>
    </x:row>
    <x:row r="597">
      <x:c r="A597" t="str">
        <x:v>Active Sports Nutrition</x:v>
      </x:c>
      <x:c r="B597" t="str">
        <x:v>Biotech USA</x:v>
      </x:c>
      <x:c r="C597" t="str">
        <x:v>L-Carnitine 100,000 Liquid</x:v>
      </x:c>
      <x:c r="D597" t="str">
        <x:v>Supplements</x:v>
      </x:c>
      <x:c r="E597" t="str">
        <x:v>L-Carnitine</x:v>
      </x:c>
      <x:c r="F597" t="str">
        <x:v>Liquid L-carnitine formula.</x:v>
      </x:c>
      <x:c r="G597" t="str">
        <x:v>500ml</x:v>
      </x:c>
      <x:c r="H597" t="str">
        <x:v>Apple</x:v>
      </x:c>
      <x:c r="I597" t="str"/>
      <x:c r="J597" t="str">
        <x:v>Unit</x:v>
      </x:c>
      <x:c r="K597" t="str">
        <x:v>In stock</x:v>
      </x:c>
      <x:c r="L597" t="str">
        <x:v>2026-09-08</x:v>
      </x:c>
      <x:c r="M597" t="str"/>
      <x:c r="N597" t="str"/>
      <x:c r="O597" t="str">
        <x:v>https://www.activesportstrade.co.uk/biotech-usa-trade</x:v>
      </x:c>
      <x:c r="P597" t="str"/>
      <x:c r="Q597" t="str"/>
      <x:c r="R597" t="str"/>
      <x:c r="S597" t="str">
        <x:v>Pending genuine supplier/brand image</x:v>
      </x:c>
      <x:c r="T597" s="54"/>
      <x:c r="U597" s="47" t="n">
        <x:v>0.2</x:v>
      </x:c>
      <x:c r="V597" s="54" t="str">
        <x:f>IF(ISNUMBER(T597),T597*(1+U597),"")</x:f>
      </x:c>
      <x:c r="W597" s="47" t="n">
        <x:v>0.3</x:v>
      </x:c>
      <x:c r="X597" s="54" t="str">
        <x:f>IF(ISNUMBER(V597),V597/(1-W597),"")</x:f>
      </x:c>
      <x:c r="Y597" s="55" t="str">
        <x:f>IF(ISNUMBER(X597),ROUNDUP(X597,0),"")</x:f>
      </x:c>
      <x:c r="Z597" t="str">
        <x:f>IF(ISNUMBER(T597),"Cost captured","Awaiting trade cost")</x:f>
        <x:v>Awaiting trade cost</x:v>
      </x:c>
      <x:c r="AB597" s="36" t="str">
        <x:f>IF(ISNUMBER(Y597),ROUND(Y597*0.9,2),"")</x:f>
      </x:c>
      <x:c r="AC597" s="36" t="str">
        <x:f>IF(ISNUMBER(AB597),ROUND(AB597-(AB597*0.015+0.2)-V597,2),"")</x:f>
      </x:c>
      <x:c r="AD597" s="36" t="str">
        <x:f>IF(ISNUMBER(Y597),ROUND(Y597*0.8,2),"")</x:f>
      </x:c>
      <x:c r="AE597" s="36" t="str">
        <x:f>IF(ISNUMBER(AD597),ROUND(AD597*0.015+0.2,2),"")</x:f>
      </x:c>
      <x:c r="AF597" s="36" t="str">
        <x:f>IF(ISNUMBER(AD597),ROUND(AD597-AE597-V597,2),"")</x:f>
      </x:c>
      <x:c r="AG597" t="str">
        <x:f>IF(NOT(ISNUMBER(T597)),"PENDING",IF(AF597&gt;0,"PASS","FAIL"))</x:f>
        <x:v>PENDING</x:v>
      </x:c>
      <x:c r="AH597" t="str">
        <x:f>IF(NOT(ISNUMBER(T597)),"Needs supplier cost",IF(K597&lt;&gt;"In stock","Supplier unavailable",IF(AG597&lt;&gt;"PASS","BLOCK - GT loss risk","Commercially protected")))</x:f>
        <x:v>Needs supplier cost</x:v>
      </x:c>
      <x:c r="AI597" t="str">
        <x:v>2026-09-10 Active Sports trade capture</x:v>
      </x:c>
      <x:c r="AJ597" t="str">
        <x:v>Management-only economics. Stripe stress test uses 1.5% + £0.20 standard UK online-card fee; pallet/mix-and-match pricing ignored.</x:v>
      </x:c>
    </x:row>
    <x:row r="598">
      <x:c r="A598" t="str">
        <x:v>Active Sports Nutrition</x:v>
      </x:c>
      <x:c r="B598" t="str">
        <x:v>Biotech USA</x:v>
      </x:c>
      <x:c r="C598" t="str">
        <x:v>L-Carnitine 100,000 Liquid</x:v>
      </x:c>
      <x:c r="D598" t="str">
        <x:v>Supplements</x:v>
      </x:c>
      <x:c r="E598" t="str">
        <x:v>L-Carnitine</x:v>
      </x:c>
      <x:c r="F598" t="str">
        <x:v>Liquid L-carnitine formula.</x:v>
      </x:c>
      <x:c r="G598" t="str">
        <x:v>500ml</x:v>
      </x:c>
      <x:c r="H598" t="str">
        <x:v>Cherry</x:v>
      </x:c>
      <x:c r="I598" t="str"/>
      <x:c r="J598" t="str">
        <x:v>Unit</x:v>
      </x:c>
      <x:c r="K598" t="str">
        <x:v>In stock</x:v>
      </x:c>
      <x:c r="L598" t="str">
        <x:v>2026-09-08</x:v>
      </x:c>
      <x:c r="M598" t="str"/>
      <x:c r="N598" t="str"/>
      <x:c r="O598" t="str">
        <x:v>https://www.activesportstrade.co.uk/biotech-usa-trade</x:v>
      </x:c>
      <x:c r="P598" t="str"/>
      <x:c r="Q598" t="str"/>
      <x:c r="R598" t="str"/>
      <x:c r="S598" t="str">
        <x:v>Pending genuine supplier/brand image</x:v>
      </x:c>
      <x:c r="T598" s="54"/>
      <x:c r="U598" s="47" t="n">
        <x:v>0.2</x:v>
      </x:c>
      <x:c r="V598" s="54" t="str">
        <x:f>IF(ISNUMBER(T598),T598*(1+U598),"")</x:f>
      </x:c>
      <x:c r="W598" s="47" t="n">
        <x:v>0.3</x:v>
      </x:c>
      <x:c r="X598" s="54" t="str">
        <x:f>IF(ISNUMBER(V598),V598/(1-W598),"")</x:f>
      </x:c>
      <x:c r="Y598" s="55" t="str">
        <x:f>IF(ISNUMBER(X598),ROUNDUP(X598,0),"")</x:f>
      </x:c>
      <x:c r="Z598" t="str">
        <x:f>IF(ISNUMBER(T598),"Cost captured","Awaiting trade cost")</x:f>
        <x:v>Awaiting trade cost</x:v>
      </x:c>
      <x:c r="AB598" s="36" t="str">
        <x:f>IF(ISNUMBER(Y598),ROUND(Y598*0.9,2),"")</x:f>
      </x:c>
      <x:c r="AC598" s="36" t="str">
        <x:f>IF(ISNUMBER(AB598),ROUND(AB598-(AB598*0.015+0.2)-V598,2),"")</x:f>
      </x:c>
      <x:c r="AD598" s="36" t="str">
        <x:f>IF(ISNUMBER(Y598),ROUND(Y598*0.8,2),"")</x:f>
      </x:c>
      <x:c r="AE598" s="36" t="str">
        <x:f>IF(ISNUMBER(AD598),ROUND(AD598*0.015+0.2,2),"")</x:f>
      </x:c>
      <x:c r="AF598" s="36" t="str">
        <x:f>IF(ISNUMBER(AD598),ROUND(AD598-AE598-V598,2),"")</x:f>
      </x:c>
      <x:c r="AG598" t="str">
        <x:f>IF(NOT(ISNUMBER(T598)),"PENDING",IF(AF598&gt;0,"PASS","FAIL"))</x:f>
        <x:v>PENDING</x:v>
      </x:c>
      <x:c r="AH598" t="str">
        <x:f>IF(NOT(ISNUMBER(T598)),"Needs supplier cost",IF(K598&lt;&gt;"In stock","Supplier unavailable",IF(AG598&lt;&gt;"PASS","BLOCK - GT loss risk","Commercially protected")))</x:f>
        <x:v>Needs supplier cost</x:v>
      </x:c>
      <x:c r="AI598" t="str">
        <x:v>2026-09-10 Active Sports trade capture</x:v>
      </x:c>
      <x:c r="AJ598" t="str">
        <x:v>Management-only economics. Stripe stress test uses 1.5% + £0.20 standard UK online-card fee; pallet/mix-and-match pricing ignored.</x:v>
      </x:c>
    </x:row>
    <x:row r="599">
      <x:c r="A599" t="str">
        <x:v>Active Sports Nutrition</x:v>
      </x:c>
      <x:c r="B599" t="str">
        <x:v>Biotech USA</x:v>
      </x:c>
      <x:c r="C599" t="str">
        <x:v>L-Carnitine 1000mg</x:v>
      </x:c>
      <x:c r="D599" t="str">
        <x:v>Supplements</x:v>
      </x:c>
      <x:c r="E599" t="str">
        <x:v>L-Carnitine</x:v>
      </x:c>
      <x:c r="F599" t="str">
        <x:v>L-carnitine tartrate tablets.</x:v>
      </x:c>
      <x:c r="G599" t="str">
        <x:v>30 tabs</x:v>
      </x:c>
      <x:c r="H599" t="str">
        <x:v>Default</x:v>
      </x:c>
      <x:c r="I599" t="str"/>
      <x:c r="J599" t="str">
        <x:v>Unit</x:v>
      </x:c>
      <x:c r="K599" t="str">
        <x:v>In stock</x:v>
      </x:c>
      <x:c r="L599" t="str">
        <x:v>2026-09-08</x:v>
      </x:c>
      <x:c r="M599" t="str"/>
      <x:c r="N599" t="str"/>
      <x:c r="O599" t="str">
        <x:v>https://www.activesportstrade.co.uk/biotech-usa-trade</x:v>
      </x:c>
      <x:c r="P599" t="str"/>
      <x:c r="Q599" t="str"/>
      <x:c r="R599" t="str"/>
      <x:c r="S599" t="str">
        <x:v>Pending genuine supplier/brand image</x:v>
      </x:c>
      <x:c r="T599" s="54"/>
      <x:c r="U599" s="47" t="n">
        <x:v>0.2</x:v>
      </x:c>
      <x:c r="V599" s="54" t="str">
        <x:f>IF(ISNUMBER(T599),T599*(1+U599),"")</x:f>
      </x:c>
      <x:c r="W599" s="47" t="n">
        <x:v>0.3</x:v>
      </x:c>
      <x:c r="X599" s="54" t="str">
        <x:f>IF(ISNUMBER(V599),V599/(1-W599),"")</x:f>
      </x:c>
      <x:c r="Y599" s="55" t="str">
        <x:f>IF(ISNUMBER(X599),ROUNDUP(X599,0),"")</x:f>
      </x:c>
      <x:c r="Z599" t="str">
        <x:f>IF(ISNUMBER(T599),"Cost captured","Awaiting trade cost")</x:f>
        <x:v>Awaiting trade cost</x:v>
      </x:c>
      <x:c r="AB599" s="36" t="str">
        <x:f>IF(ISNUMBER(Y599),ROUND(Y599*0.9,2),"")</x:f>
      </x:c>
      <x:c r="AC599" s="36" t="str">
        <x:f>IF(ISNUMBER(AB599),ROUND(AB599-(AB599*0.015+0.2)-V599,2),"")</x:f>
      </x:c>
      <x:c r="AD599" s="36" t="str">
        <x:f>IF(ISNUMBER(Y599),ROUND(Y599*0.8,2),"")</x:f>
      </x:c>
      <x:c r="AE599" s="36" t="str">
        <x:f>IF(ISNUMBER(AD599),ROUND(AD599*0.015+0.2,2),"")</x:f>
      </x:c>
      <x:c r="AF599" s="36" t="str">
        <x:f>IF(ISNUMBER(AD599),ROUND(AD599-AE599-V599,2),"")</x:f>
      </x:c>
      <x:c r="AG599" t="str">
        <x:f>IF(NOT(ISNUMBER(T599)),"PENDING",IF(AF599&gt;0,"PASS","FAIL"))</x:f>
        <x:v>PENDING</x:v>
      </x:c>
      <x:c r="AH599" t="str">
        <x:f>IF(NOT(ISNUMBER(T599)),"Needs supplier cost",IF(K599&lt;&gt;"In stock","Supplier unavailable",IF(AG599&lt;&gt;"PASS","BLOCK - GT loss risk","Commercially protected")))</x:f>
        <x:v>Needs supplier cost</x:v>
      </x:c>
      <x:c r="AI599" t="str">
        <x:v>2026-09-10 Active Sports trade capture</x:v>
      </x:c>
      <x:c r="AJ599" t="str">
        <x:v>Management-only economics. Stripe stress test uses 1.5% + £0.20 standard UK online-card fee; pallet/mix-and-match pricing ignored.</x:v>
      </x:c>
    </x:row>
    <x:row r="600">
      <x:c r="A600" t="str">
        <x:v>Active Sports Nutrition</x:v>
      </x:c>
      <x:c r="B600" t="str">
        <x:v>Biotech USA</x:v>
      </x:c>
      <x:c r="C600" t="str">
        <x:v>L-Carnitine 1000mg</x:v>
      </x:c>
      <x:c r="D600" t="str">
        <x:v>Supplements</x:v>
      </x:c>
      <x:c r="E600" t="str">
        <x:v>L-Carnitine</x:v>
      </x:c>
      <x:c r="F600" t="str">
        <x:v>L-carnitine tartrate tablets.</x:v>
      </x:c>
      <x:c r="G600" t="str">
        <x:v>60 tabs</x:v>
      </x:c>
      <x:c r="H600" t="str">
        <x:v>Default</x:v>
      </x:c>
      <x:c r="I600" t="str"/>
      <x:c r="J600" t="str">
        <x:v>Unit</x:v>
      </x:c>
      <x:c r="K600" t="str">
        <x:v>In stock</x:v>
      </x:c>
      <x:c r="L600" t="str">
        <x:v>2026-09-08</x:v>
      </x:c>
      <x:c r="M600" t="str"/>
      <x:c r="N600" t="str"/>
      <x:c r="O600" t="str">
        <x:v>https://www.activesportstrade.co.uk/biotech-usa-trade</x:v>
      </x:c>
      <x:c r="P600" t="str"/>
      <x:c r="Q600" t="str"/>
      <x:c r="R600" t="str"/>
      <x:c r="S600" t="str">
        <x:v>Pending genuine supplier/brand image</x:v>
      </x:c>
      <x:c r="T600" s="54"/>
      <x:c r="U600" s="47" t="n">
        <x:v>0.2</x:v>
      </x:c>
      <x:c r="V600" s="54" t="str">
        <x:f>IF(ISNUMBER(T600),T600*(1+U600),"")</x:f>
      </x:c>
      <x:c r="W600" s="47" t="n">
        <x:v>0.3</x:v>
      </x:c>
      <x:c r="X600" s="54" t="str">
        <x:f>IF(ISNUMBER(V600),V600/(1-W600),"")</x:f>
      </x:c>
      <x:c r="Y600" s="55" t="str">
        <x:f>IF(ISNUMBER(X600),ROUNDUP(X600,0),"")</x:f>
      </x:c>
      <x:c r="Z600" t="str">
        <x:f>IF(ISNUMBER(T600),"Cost captured","Awaiting trade cost")</x:f>
        <x:v>Awaiting trade cost</x:v>
      </x:c>
      <x:c r="AB600" s="36" t="str">
        <x:f>IF(ISNUMBER(Y600),ROUND(Y600*0.9,2),"")</x:f>
      </x:c>
      <x:c r="AC600" s="36" t="str">
        <x:f>IF(ISNUMBER(AB600),ROUND(AB600-(AB600*0.015+0.2)-V600,2),"")</x:f>
      </x:c>
      <x:c r="AD600" s="36" t="str">
        <x:f>IF(ISNUMBER(Y600),ROUND(Y600*0.8,2),"")</x:f>
      </x:c>
      <x:c r="AE600" s="36" t="str">
        <x:f>IF(ISNUMBER(AD600),ROUND(AD600*0.015+0.2,2),"")</x:f>
      </x:c>
      <x:c r="AF600" s="36" t="str">
        <x:f>IF(ISNUMBER(AD600),ROUND(AD600-AE600-V600,2),"")</x:f>
      </x:c>
      <x:c r="AG600" t="str">
        <x:f>IF(NOT(ISNUMBER(T600)),"PENDING",IF(AF600&gt;0,"PASS","FAIL"))</x:f>
        <x:v>PENDING</x:v>
      </x:c>
      <x:c r="AH600" t="str">
        <x:f>IF(NOT(ISNUMBER(T600)),"Needs supplier cost",IF(K600&lt;&gt;"In stock","Supplier unavailable",IF(AG600&lt;&gt;"PASS","BLOCK - GT loss risk","Commercially protected")))</x:f>
        <x:v>Needs supplier cost</x:v>
      </x:c>
      <x:c r="AI600" t="str">
        <x:v>2026-09-10 Active Sports trade capture</x:v>
      </x:c>
      <x:c r="AJ600" t="str">
        <x:v>Management-only economics. Stripe stress test uses 1.5% + £0.20 standard UK online-card fee; pallet/mix-and-match pricing ignored.</x:v>
      </x:c>
    </x:row>
    <x:row r="601">
      <x:c r="A601" t="str">
        <x:v>Active Sports Nutrition</x:v>
      </x:c>
      <x:c r="B601" t="str">
        <x:v>Biotech USA</x:v>
      </x:c>
      <x:c r="C601" t="str">
        <x:v>Liquid BCAA</x:v>
      </x:c>
      <x:c r="D601" t="str">
        <x:v>Supplements</x:v>
      </x:c>
      <x:c r="E601" t="str">
        <x:v>BCAAS</x:v>
      </x:c>
      <x:c r="F601" t="str">
        <x:v>Liquid BCAA formula.</x:v>
      </x:c>
      <x:c r="G601" t="str">
        <x:v>1000ml</x:v>
      </x:c>
      <x:c r="H601" t="str">
        <x:v>Lemon</x:v>
      </x:c>
      <x:c r="I601" t="str"/>
      <x:c r="J601" t="str">
        <x:v>Unit</x:v>
      </x:c>
      <x:c r="K601" t="str">
        <x:v>Out of stock</x:v>
      </x:c>
      <x:c r="L601" t="str">
        <x:v>2026-09-08</x:v>
      </x:c>
      <x:c r="M601" t="str"/>
      <x:c r="N601" t="str"/>
      <x:c r="O601" t="str">
        <x:v>https://www.activesportstrade.co.uk/biotech-usa-trade</x:v>
      </x:c>
      <x:c r="P601" t="str">
        <x:v>SPECIAL OFFER wording removed.</x:v>
      </x:c>
      <x:c r="Q601" t="str"/>
      <x:c r="R601" t="str"/>
      <x:c r="S601" t="str">
        <x:v>Pending genuine supplier/brand image</x:v>
      </x:c>
      <x:c r="T601" s="54"/>
      <x:c r="U601" s="47" t="n">
        <x:v>0.2</x:v>
      </x:c>
      <x:c r="V601" s="54" t="str">
        <x:f>IF(ISNUMBER(T601),T601*(1+U601),"")</x:f>
      </x:c>
      <x:c r="W601" s="47" t="n">
        <x:v>0.3</x:v>
      </x:c>
      <x:c r="X601" s="54" t="str">
        <x:f>IF(ISNUMBER(V601),V601/(1-W601),"")</x:f>
      </x:c>
      <x:c r="Y601" s="55" t="str">
        <x:f>IF(ISNUMBER(X601),ROUNDUP(X601,0),"")</x:f>
      </x:c>
      <x:c r="Z601" t="str">
        <x:f>IF(ISNUMBER(T601),"Cost captured","Awaiting trade cost")</x:f>
        <x:v>Awaiting trade cost</x:v>
      </x:c>
      <x:c r="AB601" s="36" t="str">
        <x:f>IF(ISNUMBER(Y601),ROUND(Y601*0.9,2),"")</x:f>
      </x:c>
      <x:c r="AC601" s="36" t="str">
        <x:f>IF(ISNUMBER(AB601),ROUND(AB601-(AB601*0.015+0.2)-V601,2),"")</x:f>
      </x:c>
      <x:c r="AD601" s="36" t="str">
        <x:f>IF(ISNUMBER(Y601),ROUND(Y601*0.8,2),"")</x:f>
      </x:c>
      <x:c r="AE601" s="36" t="str">
        <x:f>IF(ISNUMBER(AD601),ROUND(AD601*0.015+0.2,2),"")</x:f>
      </x:c>
      <x:c r="AF601" s="36" t="str">
        <x:f>IF(ISNUMBER(AD601),ROUND(AD601-AE601-V601,2),"")</x:f>
      </x:c>
      <x:c r="AG601" t="str">
        <x:f>IF(NOT(ISNUMBER(T601)),"PENDING",IF(AF601&gt;0,"PASS","FAIL"))</x:f>
        <x:v>PENDING</x:v>
      </x:c>
      <x:c r="AH601" t="str">
        <x:f>IF(NOT(ISNUMBER(T601)),"Needs supplier cost",IF(K601&lt;&gt;"In stock","Supplier unavailable",IF(AG601&lt;&gt;"PASS","BLOCK - GT loss risk","Commercially protected")))</x:f>
        <x:v>Needs supplier cost</x:v>
      </x:c>
      <x:c r="AI601" t="str">
        <x:v>2026-09-10 Active Sports trade capture</x:v>
      </x:c>
      <x:c r="AJ601" t="str">
        <x:v>Management-only economics. Stripe stress test uses 1.5% + £0.20 standard UK online-card fee; pallet/mix-and-match pricing ignored.</x:v>
      </x:c>
    </x:row>
    <x:row r="602">
      <x:c r="A602" t="str">
        <x:v>Active Sports Nutrition</x:v>
      </x:c>
      <x:c r="B602" t="str">
        <x:v>Biotech USA</x:v>
      </x:c>
      <x:c r="C602" t="str">
        <x:v>Liquid BCAA</x:v>
      </x:c>
      <x:c r="D602" t="str">
        <x:v>Supplements</x:v>
      </x:c>
      <x:c r="E602" t="str">
        <x:v>BCAAS</x:v>
      </x:c>
      <x:c r="F602" t="str">
        <x:v>Liquid BCAA formula.</x:v>
      </x:c>
      <x:c r="G602" t="str">
        <x:v>1000ml</x:v>
      </x:c>
      <x:c r="H602" t="str">
        <x:v>Orange</x:v>
      </x:c>
      <x:c r="I602" t="str"/>
      <x:c r="J602" t="str">
        <x:v>Unit</x:v>
      </x:c>
      <x:c r="K602" t="str">
        <x:v>Out of stock</x:v>
      </x:c>
      <x:c r="L602" t="str">
        <x:v>2026-09-08</x:v>
      </x:c>
      <x:c r="M602" t="str"/>
      <x:c r="N602" t="str"/>
      <x:c r="O602" t="str">
        <x:v>https://www.activesportstrade.co.uk/biotech-usa-trade</x:v>
      </x:c>
      <x:c r="P602" t="str">
        <x:v>SPECIAL OFFER wording removed.</x:v>
      </x:c>
      <x:c r="Q602" t="str"/>
      <x:c r="R602" t="str"/>
      <x:c r="S602" t="str">
        <x:v>Pending genuine supplier/brand image</x:v>
      </x:c>
      <x:c r="T602" s="54"/>
      <x:c r="U602" s="47" t="n">
        <x:v>0.2</x:v>
      </x:c>
      <x:c r="V602" s="54" t="str">
        <x:f>IF(ISNUMBER(T602),T602*(1+U602),"")</x:f>
      </x:c>
      <x:c r="W602" s="47" t="n">
        <x:v>0.3</x:v>
      </x:c>
      <x:c r="X602" s="54" t="str">
        <x:f>IF(ISNUMBER(V602),V602/(1-W602),"")</x:f>
      </x:c>
      <x:c r="Y602" s="55" t="str">
        <x:f>IF(ISNUMBER(X602),ROUNDUP(X602,0),"")</x:f>
      </x:c>
      <x:c r="Z602" t="str">
        <x:f>IF(ISNUMBER(T602),"Cost captured","Awaiting trade cost")</x:f>
        <x:v>Awaiting trade cost</x:v>
      </x:c>
      <x:c r="AB602" s="36" t="str">
        <x:f>IF(ISNUMBER(Y602),ROUND(Y602*0.9,2),"")</x:f>
      </x:c>
      <x:c r="AC602" s="36" t="str">
        <x:f>IF(ISNUMBER(AB602),ROUND(AB602-(AB602*0.015+0.2)-V602,2),"")</x:f>
      </x:c>
      <x:c r="AD602" s="36" t="str">
        <x:f>IF(ISNUMBER(Y602),ROUND(Y602*0.8,2),"")</x:f>
      </x:c>
      <x:c r="AE602" s="36" t="str">
        <x:f>IF(ISNUMBER(AD602),ROUND(AD602*0.015+0.2,2),"")</x:f>
      </x:c>
      <x:c r="AF602" s="36" t="str">
        <x:f>IF(ISNUMBER(AD602),ROUND(AD602-AE602-V602,2),"")</x:f>
      </x:c>
      <x:c r="AG602" t="str">
        <x:f>IF(NOT(ISNUMBER(T602)),"PENDING",IF(AF602&gt;0,"PASS","FAIL"))</x:f>
        <x:v>PENDING</x:v>
      </x:c>
      <x:c r="AH602" t="str">
        <x:f>IF(NOT(ISNUMBER(T602)),"Needs supplier cost",IF(K602&lt;&gt;"In stock","Supplier unavailable",IF(AG602&lt;&gt;"PASS","BLOCK - GT loss risk","Commercially protected")))</x:f>
        <x:v>Needs supplier cost</x:v>
      </x:c>
      <x:c r="AI602" t="str">
        <x:v>2026-09-10 Active Sports trade capture</x:v>
      </x:c>
      <x:c r="AJ602" t="str">
        <x:v>Management-only economics. Stripe stress test uses 1.5% + £0.20 standard UK online-card fee; pallet/mix-and-match pricing ignored.</x:v>
      </x:c>
    </x:row>
    <x:row r="603">
      <x:c r="A603" t="str">
        <x:v>Active Sports Nutrition</x:v>
      </x:c>
      <x:c r="B603" t="str">
        <x:v>Biotech USA</x:v>
      </x:c>
      <x:c r="C603" t="str">
        <x:v>Liver Aid</x:v>
      </x:c>
      <x:c r="D603" t="str">
        <x:v>Supplements</x:v>
      </x:c>
      <x:c r="E603" t="str">
        <x:v>Health Foods</x:v>
      </x:c>
      <x:c r="F603" t="str">
        <x:v>Choline-based liver support tablets.</x:v>
      </x:c>
      <x:c r="G603" t="str">
        <x:v>60 tabs</x:v>
      </x:c>
      <x:c r="H603" t="str">
        <x:v>Default</x:v>
      </x:c>
      <x:c r="I603" t="str"/>
      <x:c r="J603" t="str">
        <x:v>Unit</x:v>
      </x:c>
      <x:c r="K603" t="str">
        <x:v>In stock</x:v>
      </x:c>
      <x:c r="L603" t="str">
        <x:v>2026-09-08</x:v>
      </x:c>
      <x:c r="M603" t="str"/>
      <x:c r="N603" t="str"/>
      <x:c r="O603" t="str">
        <x:v>https://www.activesportstrade.co.uk/biotech-usa-trade</x:v>
      </x:c>
      <x:c r="P603" t="str"/>
      <x:c r="Q603" t="str"/>
      <x:c r="R603" t="str"/>
      <x:c r="S603" t="str">
        <x:v>Pending genuine supplier/brand image</x:v>
      </x:c>
      <x:c r="T603" s="54" t="n">
        <x:v>9.5</x:v>
      </x:c>
      <x:c r="U603" s="47" t="n">
        <x:v>0.2</x:v>
      </x:c>
      <x:c r="V603" s="54" t="n">
        <x:f>IF(ISNUMBER(T603),T603*(1+U603),"")</x:f>
        <x:v>11.4</x:v>
      </x:c>
      <x:c r="W603" s="47" t="n">
        <x:v>0.3</x:v>
      </x:c>
      <x:c r="X603" s="54" t="n">
        <x:f>IF(ISNUMBER(V603),V603/(1-W603),"")</x:f>
        <x:v>16.28571428571429</x:v>
      </x:c>
      <x:c r="Y603" s="55" t="n">
        <x:f>IF(ISNUMBER(X603),ROUNDUP(X603,0),"")</x:f>
        <x:v>17</x:v>
      </x:c>
      <x:c r="Z603" t="str">
        <x:v>Source match pending</x:v>
      </x:c>
      <x:c r="AA603" t="str">
        <x:v>screencapture-www-activesportstrade-co-uk-biotech-usa-trade-2026-09-10-09_04_18.pdf / page-08</x:v>
      </x:c>
      <x:c r="AB603" s="36" t="n">
        <x:f>IF(ISNUMBER(Y603),ROUND(Y603*0.9,2),"")</x:f>
        <x:v>15.3</x:v>
      </x:c>
      <x:c r="AC603" s="36" t="n">
        <x:f>IF(ISNUMBER(AB603),ROUND(AB603-(AB603*0.015+0.2)-V603,2),"")</x:f>
        <x:v>3.47</x:v>
      </x:c>
      <x:c r="AD603" s="36" t="n">
        <x:f>IF(ISNUMBER(Y603),ROUND(Y603*0.8,2),"")</x:f>
        <x:v>13.6</x:v>
      </x:c>
      <x:c r="AE603" s="36" t="n">
        <x:f>IF(ISNUMBER(AD603),ROUND(AD603*0.015+0.2,2),"")</x:f>
        <x:v>0.4</x:v>
      </x:c>
      <x:c r="AF603" s="36" t="n">
        <x:f>IF(ISNUMBER(AD603),ROUND(AD603-AE603-V603,2),"")</x:f>
        <x:v>1.8</x:v>
      </x:c>
      <x:c r="AG603" t="str">
        <x:f>IF(NOT(ISNUMBER(T603)),"PENDING",IF(AF603&gt;0,"PASS","FAIL"))</x:f>
        <x:v>PASS</x:v>
      </x:c>
      <x:c r="AH603" t="str">
        <x:f>IF(NOT(ISNUMBER(T603)),"Needs supplier cost",IF(K603&lt;&gt;"In stock","Supplier unavailable",IF(AG603&lt;&gt;"PASS","BLOCK - GT loss risk","Commercially protected")))</x:f>
        <x:v>Commercially protected</x:v>
      </x:c>
      <x:c r="AI603" t="str">
        <x:v>2026-09-10 Active Sports trade capture</x:v>
      </x:c>
      <x:c r="AJ603" t="str">
        <x:v>Management-only economics. Stripe stress test uses 1.5% + £0.20 standard UK online-card fee; pallet/mix-and-match pricing ignored.</x:v>
      </x:c>
    </x:row>
    <x:row r="604">
      <x:c r="A604" t="str">
        <x:v>Active Sports Nutrition</x:v>
      </x:c>
      <x:c r="B604" t="str">
        <x:v>Biotech USA</x:v>
      </x:c>
      <x:c r="C604" t="str">
        <x:v>Magnesium Bisglycinate</x:v>
      </x:c>
      <x:c r="D604" t="str">
        <x:v>Supplements</x:v>
      </x:c>
      <x:c r="E604" t="str">
        <x:v>Vitamins</x:v>
      </x:c>
      <x:c r="F604" t="str">
        <x:v>Chelated magnesium with vitamin B6.</x:v>
      </x:c>
      <x:c r="G604" t="str">
        <x:v>90 caps</x:v>
      </x:c>
      <x:c r="H604" t="str">
        <x:v>Default</x:v>
      </x:c>
      <x:c r="I604" t="str"/>
      <x:c r="J604" t="str">
        <x:v>Unit</x:v>
      </x:c>
      <x:c r="K604" t="str">
        <x:v>In stock</x:v>
      </x:c>
      <x:c r="L604" t="str">
        <x:v>2026-09-08</x:v>
      </x:c>
      <x:c r="M604" t="str"/>
      <x:c r="N604" t="str"/>
      <x:c r="O604" t="str">
        <x:v>https://www.activesportstrade.co.uk/biotech-usa-trade</x:v>
      </x:c>
      <x:c r="P604" t="str"/>
      <x:c r="Q604" t="str"/>
      <x:c r="R604" t="str"/>
      <x:c r="S604" t="str">
        <x:v>Pending genuine supplier/brand image</x:v>
      </x:c>
      <x:c r="T604" s="54" t="n">
        <x:v>6.35</x:v>
      </x:c>
      <x:c r="U604" s="47" t="n">
        <x:v>0.2</x:v>
      </x:c>
      <x:c r="V604" s="54" t="n">
        <x:f>IF(ISNUMBER(T604),T604*(1+U604),"")</x:f>
        <x:v>7.619999999999999</x:v>
      </x:c>
      <x:c r="W604" s="47" t="n">
        <x:v>0.3</x:v>
      </x:c>
      <x:c r="X604" s="54" t="n">
        <x:f>IF(ISNUMBER(V604),V604/(1-W604),"")</x:f>
        <x:v>10.885714285714286</x:v>
      </x:c>
      <x:c r="Y604" s="55" t="n">
        <x:f>IF(ISNUMBER(X604),ROUNDUP(X604,0),"")</x:f>
        <x:v>11</x:v>
      </x:c>
      <x:c r="Z604" t="str">
        <x:v>Source match pending</x:v>
      </x:c>
      <x:c r="AA604" t="str">
        <x:v>screencapture-www-activesportstrade-co-uk-biotech-usa-trade-2026-09-10-09_04_18.pdf / page-08</x:v>
      </x:c>
      <x:c r="AB604" s="36" t="n">
        <x:f>IF(ISNUMBER(Y604),ROUND(Y604*0.9,2),"")</x:f>
        <x:v>9.9</x:v>
      </x:c>
      <x:c r="AC604" s="36" t="n">
        <x:f>IF(ISNUMBER(AB604),ROUND(AB604-(AB604*0.015+0.2)-V604,2),"")</x:f>
        <x:v>1.93</x:v>
      </x:c>
      <x:c r="AD604" s="36" t="n">
        <x:f>IF(ISNUMBER(Y604),ROUND(Y604*0.8,2),"")</x:f>
        <x:v>8.8</x:v>
      </x:c>
      <x:c r="AE604" s="36" t="n">
        <x:f>IF(ISNUMBER(AD604),ROUND(AD604*0.015+0.2,2),"")</x:f>
        <x:v>0.33</x:v>
      </x:c>
      <x:c r="AF604" s="36" t="n">
        <x:f>IF(ISNUMBER(AD604),ROUND(AD604-AE604-V604,2),"")</x:f>
        <x:v>0.85</x:v>
      </x:c>
      <x:c r="AG604" t="str">
        <x:f>IF(NOT(ISNUMBER(T604)),"PENDING",IF(AF604&gt;0,"PASS","FAIL"))</x:f>
        <x:v>PASS</x:v>
      </x:c>
      <x:c r="AH604" t="str">
        <x:f>IF(NOT(ISNUMBER(T604)),"Needs supplier cost",IF(K604&lt;&gt;"In stock","Supplier unavailable",IF(AG604&lt;&gt;"PASS","BLOCK - GT loss risk","Commercially protected")))</x:f>
        <x:v>Commercially protected</x:v>
      </x:c>
      <x:c r="AI604" t="str">
        <x:v>2026-09-10 Active Sports trade capture</x:v>
      </x:c>
      <x:c r="AJ604" t="str">
        <x:v>Management-only economics. Stripe stress test uses 1.5% + £0.20 standard UK online-card fee; pallet/mix-and-match pricing ignored.</x:v>
      </x:c>
    </x:row>
    <x:row r="605">
      <x:c r="A605" t="str">
        <x:v>Active Sports Nutrition</x:v>
      </x:c>
      <x:c r="B605" t="str">
        <x:v>Biotech USA</x:v>
      </x:c>
      <x:c r="C605" t="str">
        <x:v>Mega Amino</x:v>
      </x:c>
      <x:c r="D605" t="str">
        <x:v>Supplements</x:v>
      </x:c>
      <x:c r="E605" t="str">
        <x:v>Amino Acids</x:v>
      </x:c>
      <x:c r="F605" t="str">
        <x:v>Amino acid tablets.</x:v>
      </x:c>
      <x:c r="G605" t="str">
        <x:v>100 tabs</x:v>
      </x:c>
      <x:c r="H605" t="str">
        <x:v>Default</x:v>
      </x:c>
      <x:c r="I605" t="str"/>
      <x:c r="J605" t="str">
        <x:v>Unit</x:v>
      </x:c>
      <x:c r="K605" t="str">
        <x:v>In stock</x:v>
      </x:c>
      <x:c r="L605" t="str">
        <x:v>2026-09-08</x:v>
      </x:c>
      <x:c r="M605" t="str"/>
      <x:c r="N605" t="str"/>
      <x:c r="O605" t="str">
        <x:v>https://www.activesportstrade.co.uk/biotech-usa-trade</x:v>
      </x:c>
      <x:c r="P605" t="str"/>
      <x:c r="Q605" t="str"/>
      <x:c r="R605" t="str"/>
      <x:c r="S605" t="str">
        <x:v>Pending genuine supplier/brand image</x:v>
      </x:c>
      <x:c r="T605" s="54" t="n">
        <x:v>4.82</x:v>
      </x:c>
      <x:c r="U605" s="47" t="n">
        <x:v>0.2</x:v>
      </x:c>
      <x:c r="V605" s="54" t="n">
        <x:f>IF(ISNUMBER(T605),T605*(1+U605),"")</x:f>
        <x:v>5.784</x:v>
      </x:c>
      <x:c r="W605" s="47" t="n">
        <x:v>0.3</x:v>
      </x:c>
      <x:c r="X605" s="54" t="n">
        <x:f>IF(ISNUMBER(V605),V605/(1-W605),"")</x:f>
        <x:v>8.262857142857143</x:v>
      </x:c>
      <x:c r="Y605" s="55" t="n">
        <x:f>IF(ISNUMBER(X605),ROUNDUP(X605,0),"")</x:f>
        <x:v>9</x:v>
      </x:c>
      <x:c r="Z605" t="str">
        <x:v>Source match pending</x:v>
      </x:c>
      <x:c r="AA605" t="str">
        <x:v>screencapture-www-activesportstrade-co-uk-biotech-usa-trade-2026-09-10-09_04_18.pdf / page-08</x:v>
      </x:c>
      <x:c r="AB605" s="36" t="n">
        <x:f>IF(ISNUMBER(Y605),ROUND(Y605*0.9,2),"")</x:f>
        <x:v>8.1</x:v>
      </x:c>
      <x:c r="AC605" s="36" t="n">
        <x:f>IF(ISNUMBER(AB605),ROUND(AB605-(AB605*0.015+0.2)-V605,2),"")</x:f>
        <x:v>1.99</x:v>
      </x:c>
      <x:c r="AD605" s="36" t="n">
        <x:f>IF(ISNUMBER(Y605),ROUND(Y605*0.8,2),"")</x:f>
        <x:v>7.2</x:v>
      </x:c>
      <x:c r="AE605" s="36" t="n">
        <x:f>IF(ISNUMBER(AD605),ROUND(AD605*0.015+0.2,2),"")</x:f>
        <x:v>0.31</x:v>
      </x:c>
      <x:c r="AF605" s="36" t="n">
        <x:f>IF(ISNUMBER(AD605),ROUND(AD605-AE605-V605,2),"")</x:f>
        <x:v>1.11</x:v>
      </x:c>
      <x:c r="AG605" t="str">
        <x:f>IF(NOT(ISNUMBER(T605)),"PENDING",IF(AF605&gt;0,"PASS","FAIL"))</x:f>
        <x:v>PASS</x:v>
      </x:c>
      <x:c r="AH605" t="str">
        <x:f>IF(NOT(ISNUMBER(T605)),"Needs supplier cost",IF(K605&lt;&gt;"In stock","Supplier unavailable",IF(AG605&lt;&gt;"PASS","BLOCK - GT loss risk","Commercially protected")))</x:f>
        <x:v>Commercially protected</x:v>
      </x:c>
      <x:c r="AI605" t="str">
        <x:v>2026-09-10 Active Sports trade capture</x:v>
      </x:c>
      <x:c r="AJ605" t="str">
        <x:v>Management-only economics. Stripe stress test uses 1.5% + £0.20 standard UK online-card fee; pallet/mix-and-match pricing ignored.</x:v>
      </x:c>
    </x:row>
    <x:row r="606">
      <x:c r="A606" t="str">
        <x:v>Active Sports Nutrition</x:v>
      </x:c>
      <x:c r="B606" t="str">
        <x:v>Biotech USA</x:v>
      </x:c>
      <x:c r="C606" t="str">
        <x:v>Mega Amino</x:v>
      </x:c>
      <x:c r="D606" t="str">
        <x:v>Supplements</x:v>
      </x:c>
      <x:c r="E606" t="str">
        <x:v>Amino Acids</x:v>
      </x:c>
      <x:c r="F606" t="str">
        <x:v>Amino acid tablets.</x:v>
      </x:c>
      <x:c r="G606" t="str">
        <x:v>300 tabs</x:v>
      </x:c>
      <x:c r="H606" t="str">
        <x:v>Default</x:v>
      </x:c>
      <x:c r="I606" t="str"/>
      <x:c r="J606" t="str">
        <x:v>Unit</x:v>
      </x:c>
      <x:c r="K606" t="str">
        <x:v>In stock</x:v>
      </x:c>
      <x:c r="L606" t="str">
        <x:v>2026-09-08</x:v>
      </x:c>
      <x:c r="M606" t="str"/>
      <x:c r="N606" t="str"/>
      <x:c r="O606" t="str">
        <x:v>https://www.activesportstrade.co.uk/biotech-usa-trade</x:v>
      </x:c>
      <x:c r="P606" t="str"/>
      <x:c r="Q606" t="str"/>
      <x:c r="R606" t="str"/>
      <x:c r="S606" t="str">
        <x:v>Pending genuine supplier/brand image</x:v>
      </x:c>
      <x:c r="T606" s="54" t="n">
        <x:v>11.87</x:v>
      </x:c>
      <x:c r="U606" s="47" t="n">
        <x:v>0.2</x:v>
      </x:c>
      <x:c r="V606" s="54" t="n">
        <x:f>IF(ISNUMBER(T606),T606*(1+U606),"")</x:f>
        <x:v>14.243999999999998</x:v>
      </x:c>
      <x:c r="W606" s="47" t="n">
        <x:v>0.3</x:v>
      </x:c>
      <x:c r="X606" s="54" t="n">
        <x:f>IF(ISNUMBER(V606),V606/(1-W606),"")</x:f>
        <x:v>20.34857142857143</x:v>
      </x:c>
      <x:c r="Y606" s="55" t="n">
        <x:f>IF(ISNUMBER(X606),ROUNDUP(X606,0),"")</x:f>
        <x:v>21</x:v>
      </x:c>
      <x:c r="Z606" t="str">
        <x:v>Source match pending</x:v>
      </x:c>
      <x:c r="AA606" t="str">
        <x:v>screencapture-www-activesportstrade-co-uk-biotech-usa-trade-2026-09-10-09_04_18.pdf / page-08</x:v>
      </x:c>
      <x:c r="AB606" s="36" t="n">
        <x:f>IF(ISNUMBER(Y606),ROUND(Y606*0.9,2),"")</x:f>
        <x:v>18.9</x:v>
      </x:c>
      <x:c r="AC606" s="36" t="n">
        <x:f>IF(ISNUMBER(AB606),ROUND(AB606-(AB606*0.015+0.2)-V606,2),"")</x:f>
        <x:v>4.17</x:v>
      </x:c>
      <x:c r="AD606" s="36" t="n">
        <x:f>IF(ISNUMBER(Y606),ROUND(Y606*0.8,2),"")</x:f>
        <x:v>16.8</x:v>
      </x:c>
      <x:c r="AE606" s="36" t="n">
        <x:f>IF(ISNUMBER(AD606),ROUND(AD606*0.015+0.2,2),"")</x:f>
        <x:v>0.45</x:v>
      </x:c>
      <x:c r="AF606" s="36" t="n">
        <x:f>IF(ISNUMBER(AD606),ROUND(AD606-AE606-V606,2),"")</x:f>
        <x:v>2.11</x:v>
      </x:c>
      <x:c r="AG606" t="str">
        <x:f>IF(NOT(ISNUMBER(T606)),"PENDING",IF(AF606&gt;0,"PASS","FAIL"))</x:f>
        <x:v>PASS</x:v>
      </x:c>
      <x:c r="AH606" t="str">
        <x:f>IF(NOT(ISNUMBER(T606)),"Needs supplier cost",IF(K606&lt;&gt;"In stock","Supplier unavailable",IF(AG606&lt;&gt;"PASS","BLOCK - GT loss risk","Commercially protected")))</x:f>
        <x:v>Commercially protected</x:v>
      </x:c>
      <x:c r="AI606" t="str">
        <x:v>2026-09-10 Active Sports trade capture</x:v>
      </x:c>
      <x:c r="AJ606" t="str">
        <x:v>Management-only economics. Stripe stress test uses 1.5% + £0.20 standard UK online-card fee; pallet/mix-and-match pricing ignored.</x:v>
      </x:c>
    </x:row>
    <x:row r="607">
      <x:c r="A607" t="str">
        <x:v>Active Sports Nutrition</x:v>
      </x:c>
      <x:c r="B607" t="str">
        <x:v>Biotech USA</x:v>
      </x:c>
      <x:c r="C607" t="str">
        <x:v>Mega Creatine (Creapure)</x:v>
      </x:c>
      <x:c r="D607" t="str">
        <x:v>Supplements</x:v>
      </x:c>
      <x:c r="E607" t="str">
        <x:v>Creatine Pills</x:v>
      </x:c>
      <x:c r="F607" t="str">
        <x:v>Creapure creatine capsules.</x:v>
      </x:c>
      <x:c r="G607" t="str">
        <x:v>120 caps</x:v>
      </x:c>
      <x:c r="H607" t="str">
        <x:v>Default</x:v>
      </x:c>
      <x:c r="I607" t="str"/>
      <x:c r="J607" t="str">
        <x:v>Unit</x:v>
      </x:c>
      <x:c r="K607" t="str">
        <x:v>In stock</x:v>
      </x:c>
      <x:c r="L607" t="str">
        <x:v>2026-09-08</x:v>
      </x:c>
      <x:c r="M607" t="str"/>
      <x:c r="N607" t="str"/>
      <x:c r="O607" t="str">
        <x:v>https://www.activesportstrade.co.uk/biotech-usa-trade</x:v>
      </x:c>
      <x:c r="P607" t="str"/>
      <x:c r="Q607" t="str"/>
      <x:c r="R607" t="str"/>
      <x:c r="S607" t="str">
        <x:v>Pending genuine supplier/brand image</x:v>
      </x:c>
      <x:c r="T607" s="54" t="n">
        <x:v>12.68</x:v>
      </x:c>
      <x:c r="U607" s="47" t="n">
        <x:v>0.2</x:v>
      </x:c>
      <x:c r="V607" s="54" t="n">
        <x:f>IF(ISNUMBER(T607),T607*(1+U607),"")</x:f>
        <x:v>15.216</x:v>
      </x:c>
      <x:c r="W607" s="47" t="n">
        <x:v>0.3</x:v>
      </x:c>
      <x:c r="X607" s="54" t="n">
        <x:f>IF(ISNUMBER(V607),V607/(1-W607),"")</x:f>
        <x:v>21.737142857142857</x:v>
      </x:c>
      <x:c r="Y607" s="55" t="n">
        <x:f>IF(ISNUMBER(X607),ROUNDUP(X607,0),"")</x:f>
        <x:v>22</x:v>
      </x:c>
      <x:c r="Z607" t="str">
        <x:v>Source match pending</x:v>
      </x:c>
      <x:c r="AA607" t="str">
        <x:v>screencapture-www-activesportstrade-co-uk-biotech-usa-trade-2026-09-10-09_04_18.pdf / page-08</x:v>
      </x:c>
      <x:c r="AB607" s="36" t="n">
        <x:f>IF(ISNUMBER(Y607),ROUND(Y607*0.9,2),"")</x:f>
        <x:v>19.8</x:v>
      </x:c>
      <x:c r="AC607" s="36" t="n">
        <x:f>IF(ISNUMBER(AB607),ROUND(AB607-(AB607*0.015+0.2)-V607,2),"")</x:f>
        <x:v>4.09</x:v>
      </x:c>
      <x:c r="AD607" s="36" t="n">
        <x:f>IF(ISNUMBER(Y607),ROUND(Y607*0.8,2),"")</x:f>
        <x:v>17.6</x:v>
      </x:c>
      <x:c r="AE607" s="36" t="n">
        <x:f>IF(ISNUMBER(AD607),ROUND(AD607*0.015+0.2,2),"")</x:f>
        <x:v>0.46</x:v>
      </x:c>
      <x:c r="AF607" s="36" t="n">
        <x:f>IF(ISNUMBER(AD607),ROUND(AD607-AE607-V607,2),"")</x:f>
        <x:v>1.92</x:v>
      </x:c>
      <x:c r="AG607" t="str">
        <x:f>IF(NOT(ISNUMBER(T607)),"PENDING",IF(AF607&gt;0,"PASS","FAIL"))</x:f>
        <x:v>PASS</x:v>
      </x:c>
      <x:c r="AH607" t="str">
        <x:f>IF(NOT(ISNUMBER(T607)),"Needs supplier cost",IF(K607&lt;&gt;"In stock","Supplier unavailable",IF(AG607&lt;&gt;"PASS","BLOCK - GT loss risk","Commercially protected")))</x:f>
        <x:v>Commercially protected</x:v>
      </x:c>
      <x:c r="AI607" t="str">
        <x:v>2026-09-10 Active Sports trade capture</x:v>
      </x:c>
      <x:c r="AJ607" t="str">
        <x:v>Management-only economics. Stripe stress test uses 1.5% + £0.20 standard UK online-card fee; pallet/mix-and-match pricing ignored.</x:v>
      </x:c>
    </x:row>
    <x:row r="608">
      <x:c r="A608" t="str">
        <x:v>Active Sports Nutrition</x:v>
      </x:c>
      <x:c r="B608" t="str">
        <x:v>Biotech USA</x:v>
      </x:c>
      <x:c r="C608" t="str">
        <x:v>Mega Omega</x:v>
      </x:c>
      <x:c r="D608" t="str">
        <x:v>Supplements</x:v>
      </x:c>
      <x:c r="E608" t="str">
        <x:v>Omega and EFA</x:v>
      </x:c>
      <x:c r="F608" t="str">
        <x:v>Omega-3 capsules.</x:v>
      </x:c>
      <x:c r="G608" t="str">
        <x:v>90 caps</x:v>
      </x:c>
      <x:c r="H608" t="str">
        <x:v>Default</x:v>
      </x:c>
      <x:c r="I608" t="str"/>
      <x:c r="J608" t="str">
        <x:v>Unit</x:v>
      </x:c>
      <x:c r="K608" t="str">
        <x:v>In stock</x:v>
      </x:c>
      <x:c r="L608" t="str">
        <x:v>2026-09-08</x:v>
      </x:c>
      <x:c r="M608" t="str"/>
      <x:c r="N608" t="str"/>
      <x:c r="O608" t="str">
        <x:v>https://www.activesportstrade.co.uk/biotech-usa-trade</x:v>
      </x:c>
      <x:c r="P608" t="str"/>
      <x:c r="Q608" t="str"/>
      <x:c r="R608" t="str"/>
      <x:c r="S608" t="str">
        <x:v>Pending genuine supplier/brand image</x:v>
      </x:c>
      <x:c r="T608" s="54" t="n">
        <x:v>8.11</x:v>
      </x:c>
      <x:c r="U608" s="47" t="n">
        <x:v>0.2</x:v>
      </x:c>
      <x:c r="V608" s="54" t="n">
        <x:f>IF(ISNUMBER(T608),T608*(1+U608),"")</x:f>
        <x:v>9.732</x:v>
      </x:c>
      <x:c r="W608" s="47" t="n">
        <x:v>0.3</x:v>
      </x:c>
      <x:c r="X608" s="54" t="n">
        <x:f>IF(ISNUMBER(V608),V608/(1-W608),"")</x:f>
        <x:v>13.902857142857142</x:v>
      </x:c>
      <x:c r="Y608" s="55" t="n">
        <x:f>IF(ISNUMBER(X608),ROUNDUP(X608,0),"")</x:f>
        <x:v>14</x:v>
      </x:c>
      <x:c r="Z608" t="str">
        <x:v>Source match pending</x:v>
      </x:c>
      <x:c r="AA608" t="str">
        <x:v>screencapture-www-activesportstrade-co-uk-biotech-usa-trade-2026-09-10-09_04_18.pdf / page-08</x:v>
      </x:c>
      <x:c r="AB608" s="36" t="n">
        <x:f>IF(ISNUMBER(Y608),ROUND(Y608*0.9,2),"")</x:f>
        <x:v>12.6</x:v>
      </x:c>
      <x:c r="AC608" s="36" t="n">
        <x:f>IF(ISNUMBER(AB608),ROUND(AB608-(AB608*0.015+0.2)-V608,2),"")</x:f>
        <x:v>2.48</x:v>
      </x:c>
      <x:c r="AD608" s="36" t="n">
        <x:f>IF(ISNUMBER(Y608),ROUND(Y608*0.8,2),"")</x:f>
        <x:v>11.2</x:v>
      </x:c>
      <x:c r="AE608" s="36" t="n">
        <x:f>IF(ISNUMBER(AD608),ROUND(AD608*0.015+0.2,2),"")</x:f>
        <x:v>0.37</x:v>
      </x:c>
      <x:c r="AF608" s="36" t="n">
        <x:f>IF(ISNUMBER(AD608),ROUND(AD608-AE608-V608,2),"")</x:f>
        <x:v>1.1</x:v>
      </x:c>
      <x:c r="AG608" t="str">
        <x:f>IF(NOT(ISNUMBER(T608)),"PENDING",IF(AF608&gt;0,"PASS","FAIL"))</x:f>
        <x:v>PASS</x:v>
      </x:c>
      <x:c r="AH608" t="str">
        <x:f>IF(NOT(ISNUMBER(T608)),"Needs supplier cost",IF(K608&lt;&gt;"In stock","Supplier unavailable",IF(AG608&lt;&gt;"PASS","BLOCK - GT loss risk","Commercially protected")))</x:f>
        <x:v>Commercially protected</x:v>
      </x:c>
      <x:c r="AI608" t="str">
        <x:v>2026-09-10 Active Sports trade capture</x:v>
      </x:c>
      <x:c r="AJ608" t="str">
        <x:v>Management-only economics. Stripe stress test uses 1.5% + £0.20 standard UK online-card fee; pallet/mix-and-match pricing ignored.</x:v>
      </x:c>
    </x:row>
    <x:row r="609">
      <x:c r="A609" t="str">
        <x:v>Active Sports Nutrition</x:v>
      </x:c>
      <x:c r="B609" t="str">
        <x:v>Biotech USA</x:v>
      </x:c>
      <x:c r="C609" t="str">
        <x:v>Mega Omega</x:v>
      </x:c>
      <x:c r="D609" t="str">
        <x:v>Supplements</x:v>
      </x:c>
      <x:c r="E609" t="str">
        <x:v>Omega and EFA</x:v>
      </x:c>
      <x:c r="F609" t="str">
        <x:v>Omega-3 capsules.</x:v>
      </x:c>
      <x:c r="G609" t="str">
        <x:v>180 caps</x:v>
      </x:c>
      <x:c r="H609" t="str">
        <x:v>Default</x:v>
      </x:c>
      <x:c r="I609" t="str"/>
      <x:c r="J609" t="str">
        <x:v>Unit</x:v>
      </x:c>
      <x:c r="K609" t="str">
        <x:v>In stock</x:v>
      </x:c>
      <x:c r="L609" t="str">
        <x:v>2026-09-08</x:v>
      </x:c>
      <x:c r="M609" t="str"/>
      <x:c r="N609" t="str"/>
      <x:c r="O609" t="str">
        <x:v>https://www.activesportstrade.co.uk/biotech-usa-trade</x:v>
      </x:c>
      <x:c r="P609" t="str"/>
      <x:c r="Q609" t="str"/>
      <x:c r="R609" t="str"/>
      <x:c r="S609" t="str">
        <x:v>Pending genuine supplier/brand image</x:v>
      </x:c>
      <x:c r="T609" s="54"/>
      <x:c r="U609" s="47" t="n">
        <x:v>0.2</x:v>
      </x:c>
      <x:c r="V609" s="54" t="str">
        <x:f>IF(ISNUMBER(T609),T609*(1+U609),"")</x:f>
      </x:c>
      <x:c r="W609" s="47" t="n">
        <x:v>0.3</x:v>
      </x:c>
      <x:c r="X609" s="54" t="str">
        <x:f>IF(ISNUMBER(V609),V609/(1-W609),"")</x:f>
      </x:c>
      <x:c r="Y609" s="55" t="str">
        <x:f>IF(ISNUMBER(X609),ROUNDUP(X609,0),"")</x:f>
      </x:c>
      <x:c r="Z609" t="str">
        <x:f>IF(ISNUMBER(T609),"Cost captured","Awaiting trade cost")</x:f>
        <x:v>Awaiting trade cost</x:v>
      </x:c>
      <x:c r="AB609" s="36" t="str">
        <x:f>IF(ISNUMBER(Y609),ROUND(Y609*0.9,2),"")</x:f>
      </x:c>
      <x:c r="AC609" s="36" t="str">
        <x:f>IF(ISNUMBER(AB609),ROUND(AB609-(AB609*0.015+0.2)-V609,2),"")</x:f>
      </x:c>
      <x:c r="AD609" s="36" t="str">
        <x:f>IF(ISNUMBER(Y609),ROUND(Y609*0.8,2),"")</x:f>
      </x:c>
      <x:c r="AE609" s="36" t="str">
        <x:f>IF(ISNUMBER(AD609),ROUND(AD609*0.015+0.2,2),"")</x:f>
      </x:c>
      <x:c r="AF609" s="36" t="str">
        <x:f>IF(ISNUMBER(AD609),ROUND(AD609-AE609-V609,2),"")</x:f>
      </x:c>
      <x:c r="AG609" t="str">
        <x:f>IF(NOT(ISNUMBER(T609)),"PENDING",IF(AF609&gt;0,"PASS","FAIL"))</x:f>
        <x:v>PENDING</x:v>
      </x:c>
      <x:c r="AH609" t="str">
        <x:f>IF(NOT(ISNUMBER(T609)),"Needs supplier cost",IF(K609&lt;&gt;"In stock","Supplier unavailable",IF(AG609&lt;&gt;"PASS","BLOCK - GT loss risk","Commercially protected")))</x:f>
        <x:v>Needs supplier cost</x:v>
      </x:c>
      <x:c r="AI609" t="str">
        <x:v>2026-09-10 Active Sports trade capture</x:v>
      </x:c>
      <x:c r="AJ609" t="str">
        <x:v>Management-only economics. Stripe stress test uses 1.5% + £0.20 standard UK online-card fee; pallet/mix-and-match pricing ignored.</x:v>
      </x:c>
    </x:row>
    <x:row r="610">
      <x:c r="A610" t="str">
        <x:v>Active Sports Nutrition</x:v>
      </x:c>
      <x:c r="B610" t="str">
        <x:v>Biotech USA</x:v>
      </x:c>
      <x:c r="C610" t="str">
        <x:v>MSM Chondroitin Glucosamine</x:v>
      </x:c>
      <x:c r="D610" t="str">
        <x:v>Supplements</x:v>
      </x:c>
      <x:c r="E610" t="str">
        <x:v>Joint Repair</x:v>
      </x:c>
      <x:c r="F610" t="str">
        <x:v>Glucosamine, chondroitin and MSM joint formula.</x:v>
      </x:c>
      <x:c r="G610" t="str">
        <x:v>60 tabs</x:v>
      </x:c>
      <x:c r="H610" t="str">
        <x:v>Default</x:v>
      </x:c>
      <x:c r="I610" t="str"/>
      <x:c r="J610" t="str">
        <x:v>Unit</x:v>
      </x:c>
      <x:c r="K610" t="str">
        <x:v>In stock</x:v>
      </x:c>
      <x:c r="L610" t="str">
        <x:v>2026-09-08</x:v>
      </x:c>
      <x:c r="M610" t="str"/>
      <x:c r="N610" t="str"/>
      <x:c r="O610" t="str">
        <x:v>https://www.activesportstrade.co.uk/biotech-usa-trade</x:v>
      </x:c>
      <x:c r="P610" t="str"/>
      <x:c r="Q610" t="str"/>
      <x:c r="R610" t="str"/>
      <x:c r="S610" t="str">
        <x:v>Pending genuine supplier/brand image</x:v>
      </x:c>
      <x:c r="T610" s="54" t="n">
        <x:v>8.11</x:v>
      </x:c>
      <x:c r="U610" s="47" t="n">
        <x:v>0.2</x:v>
      </x:c>
      <x:c r="V610" s="54" t="n">
        <x:f>IF(ISNUMBER(T610),T610*(1+U610),"")</x:f>
        <x:v>9.732</x:v>
      </x:c>
      <x:c r="W610" s="47" t="n">
        <x:v>0.3</x:v>
      </x:c>
      <x:c r="X610" s="54" t="n">
        <x:f>IF(ISNUMBER(V610),V610/(1-W610),"")</x:f>
        <x:v>13.902857142857142</x:v>
      </x:c>
      <x:c r="Y610" s="55" t="n">
        <x:f>IF(ISNUMBER(X610),ROUNDUP(X610,0),"")</x:f>
        <x:v>14</x:v>
      </x:c>
      <x:c r="Z610" t="str">
        <x:v>Source match pending</x:v>
      </x:c>
      <x:c r="AA610" t="str">
        <x:v>screencapture-www-activesportstrade-co-uk-biotech-usa-trade-2026-09-10-09_04_18.pdf / page-09</x:v>
      </x:c>
      <x:c r="AB610" s="36" t="n">
        <x:f>IF(ISNUMBER(Y610),ROUND(Y610*0.9,2),"")</x:f>
        <x:v>12.6</x:v>
      </x:c>
      <x:c r="AC610" s="36" t="n">
        <x:f>IF(ISNUMBER(AB610),ROUND(AB610-(AB610*0.015+0.2)-V610,2),"")</x:f>
        <x:v>2.48</x:v>
      </x:c>
      <x:c r="AD610" s="36" t="n">
        <x:f>IF(ISNUMBER(Y610),ROUND(Y610*0.8,2),"")</x:f>
        <x:v>11.2</x:v>
      </x:c>
      <x:c r="AE610" s="36" t="n">
        <x:f>IF(ISNUMBER(AD610),ROUND(AD610*0.015+0.2,2),"")</x:f>
        <x:v>0.37</x:v>
      </x:c>
      <x:c r="AF610" s="36" t="n">
        <x:f>IF(ISNUMBER(AD610),ROUND(AD610-AE610-V610,2),"")</x:f>
        <x:v>1.1</x:v>
      </x:c>
      <x:c r="AG610" t="str">
        <x:f>IF(NOT(ISNUMBER(T610)),"PENDING",IF(AF610&gt;0,"PASS","FAIL"))</x:f>
        <x:v>PASS</x:v>
      </x:c>
      <x:c r="AH610" t="str">
        <x:f>IF(NOT(ISNUMBER(T610)),"Needs supplier cost",IF(K610&lt;&gt;"In stock","Supplier unavailable",IF(AG610&lt;&gt;"PASS","BLOCK - GT loss risk","Commercially protected")))</x:f>
        <x:v>Commercially protected</x:v>
      </x:c>
      <x:c r="AI610" t="str">
        <x:v>2026-09-10 Active Sports trade capture</x:v>
      </x:c>
      <x:c r="AJ610" t="str">
        <x:v>Management-only economics. Stripe stress test uses 1.5% + £0.20 standard UK online-card fee; pallet/mix-and-match pricing ignored.</x:v>
      </x:c>
    </x:row>
    <x:row r="611">
      <x:c r="A611" t="str">
        <x:v>Active Sports Nutrition</x:v>
      </x:c>
      <x:c r="B611" t="str">
        <x:v>Biotech USA</x:v>
      </x:c>
      <x:c r="C611" t="str">
        <x:v>Multi Mineral Complex</x:v>
      </x:c>
      <x:c r="D611" t="str">
        <x:v>Supplements</x:v>
      </x:c>
      <x:c r="E611" t="str">
        <x:v>Vitamins</x:v>
      </x:c>
      <x:c r="F611" t="str">
        <x:v>Multi-mineral tablet formula.</x:v>
      </x:c>
      <x:c r="G611" t="str">
        <x:v>100 tabs</x:v>
      </x:c>
      <x:c r="H611" t="str">
        <x:v>Default</x:v>
      </x:c>
      <x:c r="I611" t="str"/>
      <x:c r="J611" t="str">
        <x:v>Unit</x:v>
      </x:c>
      <x:c r="K611" t="str">
        <x:v>In stock</x:v>
      </x:c>
      <x:c r="L611" t="str">
        <x:v>2026-09-08</x:v>
      </x:c>
      <x:c r="M611" t="str"/>
      <x:c r="N611" t="str"/>
      <x:c r="O611" t="str">
        <x:v>https://www.activesportstrade.co.uk/biotech-usa-trade</x:v>
      </x:c>
      <x:c r="P611" t="str"/>
      <x:c r="Q611" t="str"/>
      <x:c r="R611" t="str"/>
      <x:c r="S611" t="str">
        <x:v>Pending genuine supplier/brand image</x:v>
      </x:c>
      <x:c r="T611" s="54" t="n">
        <x:v>5.29</x:v>
      </x:c>
      <x:c r="U611" s="47" t="n">
        <x:v>0.2</x:v>
      </x:c>
      <x:c r="V611" s="54" t="n">
        <x:f>IF(ISNUMBER(T611),T611*(1+U611),"")</x:f>
        <x:v>6.348</x:v>
      </x:c>
      <x:c r="W611" s="47" t="n">
        <x:v>0.3</x:v>
      </x:c>
      <x:c r="X611" s="54" t="n">
        <x:f>IF(ISNUMBER(V611),V611/(1-W611),"")</x:f>
        <x:v>9.06857142857143</x:v>
      </x:c>
      <x:c r="Y611" s="55" t="n">
        <x:f>IF(ISNUMBER(X611),ROUNDUP(X611,0),"")</x:f>
        <x:v>10</x:v>
      </x:c>
      <x:c r="Z611" t="str">
        <x:v>Source match pending</x:v>
      </x:c>
      <x:c r="AA611" t="str">
        <x:v>screencapture-www-activesportstrade-co-uk-biotech-usa-trade-2026-09-10-09_04_18.pdf / page-09</x:v>
      </x:c>
      <x:c r="AB611" s="36" t="n">
        <x:f>IF(ISNUMBER(Y611),ROUND(Y611*0.9,2),"")</x:f>
        <x:v>9</x:v>
      </x:c>
      <x:c r="AC611" s="36" t="n">
        <x:f>IF(ISNUMBER(AB611),ROUND(AB611-(AB611*0.015+0.2)-V611,2),"")</x:f>
        <x:v>2.32</x:v>
      </x:c>
      <x:c r="AD611" s="36" t="n">
        <x:f>IF(ISNUMBER(Y611),ROUND(Y611*0.8,2),"")</x:f>
        <x:v>8</x:v>
      </x:c>
      <x:c r="AE611" s="36" t="n">
        <x:f>IF(ISNUMBER(AD611),ROUND(AD611*0.015+0.2,2),"")</x:f>
        <x:v>0.32</x:v>
      </x:c>
      <x:c r="AF611" s="36" t="n">
        <x:f>IF(ISNUMBER(AD611),ROUND(AD611-AE611-V611,2),"")</x:f>
        <x:v>1.33</x:v>
      </x:c>
      <x:c r="AG611" t="str">
        <x:f>IF(NOT(ISNUMBER(T611)),"PENDING",IF(AF611&gt;0,"PASS","FAIL"))</x:f>
        <x:v>PASS</x:v>
      </x:c>
      <x:c r="AH611" t="str">
        <x:f>IF(NOT(ISNUMBER(T611)),"Needs supplier cost",IF(K611&lt;&gt;"In stock","Supplier unavailable",IF(AG611&lt;&gt;"PASS","BLOCK - GT loss risk","Commercially protected")))</x:f>
        <x:v>Commercially protected</x:v>
      </x:c>
      <x:c r="AI611" t="str">
        <x:v>2026-09-10 Active Sports trade capture</x:v>
      </x:c>
      <x:c r="AJ611" t="str">
        <x:v>Management-only economics. Stripe stress test uses 1.5% + £0.20 standard UK online-card fee; pallet/mix-and-match pricing ignored.</x:v>
      </x:c>
    </x:row>
    <x:row r="612">
      <x:c r="A612" t="str">
        <x:v>Active Sports Nutrition</x:v>
      </x:c>
      <x:c r="B612" t="str">
        <x:v>Biotech USA</x:v>
      </x:c>
      <x:c r="C612" t="str">
        <x:v>Multi Vitamin For Men</x:v>
      </x:c>
      <x:c r="D612" t="str">
        <x:v>Supplements</x:v>
      </x:c>
      <x:c r="E612" t="str">
        <x:v>Vitamins</x:v>
      </x:c>
      <x:c r="F612" t="str">
        <x:v>Multivitamin formulated for men.</x:v>
      </x:c>
      <x:c r="G612" t="str">
        <x:v>60 tabs</x:v>
      </x:c>
      <x:c r="H612" t="str">
        <x:v>Default</x:v>
      </x:c>
      <x:c r="I612" t="str"/>
      <x:c r="J612" t="str">
        <x:v>Unit</x:v>
      </x:c>
      <x:c r="K612" t="str">
        <x:v>In stock</x:v>
      </x:c>
      <x:c r="L612" t="str">
        <x:v>2026-09-08</x:v>
      </x:c>
      <x:c r="M612" t="str"/>
      <x:c r="N612" t="str"/>
      <x:c r="O612" t="str">
        <x:v>https://www.activesportstrade.co.uk/biotech-usa-trade</x:v>
      </x:c>
      <x:c r="P612" t="str"/>
      <x:c r="Q612" t="str"/>
      <x:c r="R612" t="str"/>
      <x:c r="S612" t="str">
        <x:v>Pending genuine supplier/brand image</x:v>
      </x:c>
      <x:c r="T612" s="54" t="n">
        <x:v>7.65</x:v>
      </x:c>
      <x:c r="U612" s="47" t="n">
        <x:v>0.2</x:v>
      </x:c>
      <x:c r="V612" s="54" t="n">
        <x:f>IF(ISNUMBER(T612),T612*(1+U612),"")</x:f>
        <x:v>9.18</x:v>
      </x:c>
      <x:c r="W612" s="47" t="n">
        <x:v>0.3</x:v>
      </x:c>
      <x:c r="X612" s="54" t="n">
        <x:f>IF(ISNUMBER(V612),V612/(1-W612),"")</x:f>
        <x:v>13.114285714285714</x:v>
      </x:c>
      <x:c r="Y612" s="55" t="n">
        <x:f>IF(ISNUMBER(X612),ROUNDUP(X612,0),"")</x:f>
        <x:v>14</x:v>
      </x:c>
      <x:c r="Z612" t="str">
        <x:v>Source match pending</x:v>
      </x:c>
      <x:c r="AA612" t="str">
        <x:v>screencapture-www-activesportstrade-co-uk-biotech-usa-trade-2026-09-10-09_04_18.pdf / page-09</x:v>
      </x:c>
      <x:c r="AB612" s="36" t="n">
        <x:f>IF(ISNUMBER(Y612),ROUND(Y612*0.9,2),"")</x:f>
        <x:v>12.6</x:v>
      </x:c>
      <x:c r="AC612" s="36" t="n">
        <x:f>IF(ISNUMBER(AB612),ROUND(AB612-(AB612*0.015+0.2)-V612,2),"")</x:f>
        <x:v>3.03</x:v>
      </x:c>
      <x:c r="AD612" s="36" t="n">
        <x:f>IF(ISNUMBER(Y612),ROUND(Y612*0.8,2),"")</x:f>
        <x:v>11.2</x:v>
      </x:c>
      <x:c r="AE612" s="36" t="n">
        <x:f>IF(ISNUMBER(AD612),ROUND(AD612*0.015+0.2,2),"")</x:f>
        <x:v>0.37</x:v>
      </x:c>
      <x:c r="AF612" s="36" t="n">
        <x:f>IF(ISNUMBER(AD612),ROUND(AD612-AE612-V612,2),"")</x:f>
        <x:v>1.65</x:v>
      </x:c>
      <x:c r="AG612" t="str">
        <x:f>IF(NOT(ISNUMBER(T612)),"PENDING",IF(AF612&gt;0,"PASS","FAIL"))</x:f>
        <x:v>PASS</x:v>
      </x:c>
      <x:c r="AH612" t="str">
        <x:f>IF(NOT(ISNUMBER(T612)),"Needs supplier cost",IF(K612&lt;&gt;"In stock","Supplier unavailable",IF(AG612&lt;&gt;"PASS","BLOCK - GT loss risk","Commercially protected")))</x:f>
        <x:v>Commercially protected</x:v>
      </x:c>
      <x:c r="AI612" t="str">
        <x:v>2026-09-10 Active Sports trade capture</x:v>
      </x:c>
      <x:c r="AJ612" t="str">
        <x:v>Management-only economics. Stripe stress test uses 1.5% + £0.20 standard UK online-card fee; pallet/mix-and-match pricing ignored.</x:v>
      </x:c>
    </x:row>
    <x:row r="613">
      <x:c r="A613" t="str">
        <x:v>Active Sports Nutrition</x:v>
      </x:c>
      <x:c r="B613" t="str">
        <x:v>Biotech USA</x:v>
      </x:c>
      <x:c r="C613" t="str">
        <x:v>Multi Vitamin For Women</x:v>
      </x:c>
      <x:c r="D613" t="str">
        <x:v>Supplements</x:v>
      </x:c>
      <x:c r="E613" t="str">
        <x:v>Vitamins</x:v>
      </x:c>
      <x:c r="F613" t="str">
        <x:v>Multivitamin formulated for women.</x:v>
      </x:c>
      <x:c r="G613" t="str">
        <x:v>60 tabs</x:v>
      </x:c>
      <x:c r="H613" t="str">
        <x:v>Default</x:v>
      </x:c>
      <x:c r="I613" t="str"/>
      <x:c r="J613" t="str">
        <x:v>Unit</x:v>
      </x:c>
      <x:c r="K613" t="str">
        <x:v>In stock</x:v>
      </x:c>
      <x:c r="L613" t="str">
        <x:v>2026-09-08</x:v>
      </x:c>
      <x:c r="M613" t="str"/>
      <x:c r="N613" t="str"/>
      <x:c r="O613" t="str">
        <x:v>https://www.activesportstrade.co.uk/biotech-usa-trade</x:v>
      </x:c>
      <x:c r="P613" t="str"/>
      <x:c r="Q613" t="str"/>
      <x:c r="R613" t="str"/>
      <x:c r="S613" t="str">
        <x:v>Pending genuine supplier/brand image</x:v>
      </x:c>
      <x:c r="T613" s="54" t="n">
        <x:v>7.65</x:v>
      </x:c>
      <x:c r="U613" s="47" t="n">
        <x:v>0.2</x:v>
      </x:c>
      <x:c r="V613" s="54" t="n">
        <x:f>IF(ISNUMBER(T613),T613*(1+U613),"")</x:f>
        <x:v>9.18</x:v>
      </x:c>
      <x:c r="W613" s="47" t="n">
        <x:v>0.3</x:v>
      </x:c>
      <x:c r="X613" s="54" t="n">
        <x:f>IF(ISNUMBER(V613),V613/(1-W613),"")</x:f>
        <x:v>13.114285714285714</x:v>
      </x:c>
      <x:c r="Y613" s="55" t="n">
        <x:f>IF(ISNUMBER(X613),ROUNDUP(X613,0),"")</x:f>
        <x:v>14</x:v>
      </x:c>
      <x:c r="Z613" t="str">
        <x:v>Source match pending</x:v>
      </x:c>
      <x:c r="AA613" t="str">
        <x:v>screencapture-www-activesportstrade-co-uk-biotech-usa-trade-2026-09-10-09_04_18.pdf / page-09</x:v>
      </x:c>
      <x:c r="AB613" s="36" t="n">
        <x:f>IF(ISNUMBER(Y613),ROUND(Y613*0.9,2),"")</x:f>
        <x:v>12.6</x:v>
      </x:c>
      <x:c r="AC613" s="36" t="n">
        <x:f>IF(ISNUMBER(AB613),ROUND(AB613-(AB613*0.015+0.2)-V613,2),"")</x:f>
        <x:v>3.03</x:v>
      </x:c>
      <x:c r="AD613" s="36" t="n">
        <x:f>IF(ISNUMBER(Y613),ROUND(Y613*0.8,2),"")</x:f>
        <x:v>11.2</x:v>
      </x:c>
      <x:c r="AE613" s="36" t="n">
        <x:f>IF(ISNUMBER(AD613),ROUND(AD613*0.015+0.2,2),"")</x:f>
        <x:v>0.37</x:v>
      </x:c>
      <x:c r="AF613" s="36" t="n">
        <x:f>IF(ISNUMBER(AD613),ROUND(AD613-AE613-V613,2),"")</x:f>
        <x:v>1.65</x:v>
      </x:c>
      <x:c r="AG613" t="str">
        <x:f>IF(NOT(ISNUMBER(T613)),"PENDING",IF(AF613&gt;0,"PASS","FAIL"))</x:f>
        <x:v>PASS</x:v>
      </x:c>
      <x:c r="AH613" t="str">
        <x:f>IF(NOT(ISNUMBER(T613)),"Needs supplier cost",IF(K613&lt;&gt;"In stock","Supplier unavailable",IF(AG613&lt;&gt;"PASS","BLOCK - GT loss risk","Commercially protected")))</x:f>
        <x:v>Commercially protected</x:v>
      </x:c>
      <x:c r="AI613" t="str">
        <x:v>2026-09-10 Active Sports trade capture</x:v>
      </x:c>
      <x:c r="AJ613" t="str">
        <x:v>Management-only economics. Stripe stress test uses 1.5% + £0.20 standard UK online-card fee; pallet/mix-and-match pricing ignored.</x:v>
      </x:c>
    </x:row>
    <x:row r="614">
      <x:c r="A614" t="str">
        <x:v>Active Sports Nutrition</x:v>
      </x:c>
      <x:c r="B614" t="str">
        <x:v>Biotech USA</x:v>
      </x:c>
      <x:c r="C614" t="str">
        <x:v>Muscle Mass</x:v>
      </x:c>
      <x:c r="D614" t="str">
        <x:v>Supplements</x:v>
      </x:c>
      <x:c r="E614" t="str">
        <x:v>Weight Gainers</x:v>
      </x:c>
      <x:c r="F614" t="str">
        <x:v>Mass-gainer powder.</x:v>
      </x:c>
      <x:c r="G614" t="str">
        <x:v>4kg</x:v>
      </x:c>
      <x:c r="H614" t="str">
        <x:v>Chocolate</x:v>
      </x:c>
      <x:c r="I614" t="str"/>
      <x:c r="J614" t="str">
        <x:v>Unit</x:v>
      </x:c>
      <x:c r="K614" t="str">
        <x:v>Out of stock</x:v>
      </x:c>
      <x:c r="L614" t="str">
        <x:v>2026-09-08</x:v>
      </x:c>
      <x:c r="M614" t="str"/>
      <x:c r="N614" t="str"/>
      <x:c r="O614" t="str">
        <x:v>https://www.activesportstrade.co.uk/biotech-usa-trade</x:v>
      </x:c>
      <x:c r="P614" t="str"/>
      <x:c r="Q614" t="str"/>
      <x:c r="R614" t="str"/>
      <x:c r="S614" t="str">
        <x:v>Pending genuine supplier/brand image</x:v>
      </x:c>
      <x:c r="T614" s="54" t="n">
        <x:v>28.12</x:v>
      </x:c>
      <x:c r="U614" s="47" t="n">
        <x:v>0.2</x:v>
      </x:c>
      <x:c r="V614" s="54" t="n">
        <x:f>IF(ISNUMBER(T614),T614*(1+U614),"")</x:f>
        <x:v>33.744</x:v>
      </x:c>
      <x:c r="W614" s="47" t="n">
        <x:v>0.3</x:v>
      </x:c>
      <x:c r="X614" s="54" t="n">
        <x:f>IF(ISNUMBER(V614),V614/(1-W614),"")</x:f>
        <x:v>48.205714285714286</x:v>
      </x:c>
      <x:c r="Y614" s="55" t="n">
        <x:f>IF(ISNUMBER(X614),ROUNDUP(X614,0),"")</x:f>
        <x:v>49</x:v>
      </x:c>
      <x:c r="Z614" t="str">
        <x:v>Source match pending</x:v>
      </x:c>
      <x:c r="AA614" t="str">
        <x:v>screencapture-www-activesportstrade-co-uk-biotech-usa-trade-2026-09-10-09_04_18.pdf / page-09</x:v>
      </x:c>
      <x:c r="AB614" s="36" t="n">
        <x:f>IF(ISNUMBER(Y614),ROUND(Y614*0.9,2),"")</x:f>
        <x:v>44.1</x:v>
      </x:c>
      <x:c r="AC614" s="36" t="n">
        <x:f>IF(ISNUMBER(AB614),ROUND(AB614-(AB614*0.015+0.2)-V614,2),"")</x:f>
        <x:v>9.49</x:v>
      </x:c>
      <x:c r="AD614" s="36" t="n">
        <x:f>IF(ISNUMBER(Y614),ROUND(Y614*0.8,2),"")</x:f>
        <x:v>39.2</x:v>
      </x:c>
      <x:c r="AE614" s="36" t="n">
        <x:f>IF(ISNUMBER(AD614),ROUND(AD614*0.015+0.2,2),"")</x:f>
        <x:v>0.79</x:v>
      </x:c>
      <x:c r="AF614" s="36" t="n">
        <x:f>IF(ISNUMBER(AD614),ROUND(AD614-AE614-V614,2),"")</x:f>
        <x:v>4.67</x:v>
      </x:c>
      <x:c r="AG614" t="str">
        <x:f>IF(NOT(ISNUMBER(T614)),"PENDING",IF(AF614&gt;0,"PASS","FAIL"))</x:f>
        <x:v>PASS</x:v>
      </x:c>
      <x:c r="AH614" t="str">
        <x:f>IF(NOT(ISNUMBER(T614)),"Needs supplier cost",IF(K614&lt;&gt;"In stock","Supplier unavailable",IF(AG614&lt;&gt;"PASS","BLOCK - GT loss risk","Commercially protected")))</x:f>
        <x:v>Supplier unavailable</x:v>
      </x:c>
      <x:c r="AI614" t="str">
        <x:v>2026-09-10 Active Sports trade capture</x:v>
      </x:c>
      <x:c r="AJ614" t="str">
        <x:v>Management-only economics. Stripe stress test uses 1.5% + £0.20 standard UK online-card fee; pallet/mix-and-match pricing ignored.</x:v>
      </x:c>
    </x:row>
    <x:row r="615">
      <x:c r="A615" t="str">
        <x:v>Active Sports Nutrition</x:v>
      </x:c>
      <x:c r="B615" t="str">
        <x:v>Biotech USA</x:v>
      </x:c>
      <x:c r="C615" t="str">
        <x:v>Muscle Mass</x:v>
      </x:c>
      <x:c r="D615" t="str">
        <x:v>Supplements</x:v>
      </x:c>
      <x:c r="E615" t="str">
        <x:v>Weight Gainers</x:v>
      </x:c>
      <x:c r="F615" t="str">
        <x:v>Mass-gainer powder.</x:v>
      </x:c>
      <x:c r="G615" t="str">
        <x:v>4kg</x:v>
      </x:c>
      <x:c r="H615" t="str">
        <x:v>Strawberry</x:v>
      </x:c>
      <x:c r="I615" t="str"/>
      <x:c r="J615" t="str">
        <x:v>Unit</x:v>
      </x:c>
      <x:c r="K615" t="str">
        <x:v>In stock</x:v>
      </x:c>
      <x:c r="L615" t="str">
        <x:v>2026-09-08</x:v>
      </x:c>
      <x:c r="M615" t="str"/>
      <x:c r="N615" t="str"/>
      <x:c r="O615" t="str">
        <x:v>https://www.activesportstrade.co.uk/biotech-usa-trade</x:v>
      </x:c>
      <x:c r="P615" t="str"/>
      <x:c r="Q615" t="str"/>
      <x:c r="R615" t="str"/>
      <x:c r="S615" t="str">
        <x:v>Pending genuine supplier/brand image</x:v>
      </x:c>
      <x:c r="T615" s="54" t="n">
        <x:v>28.12</x:v>
      </x:c>
      <x:c r="U615" s="47" t="n">
        <x:v>0.2</x:v>
      </x:c>
      <x:c r="V615" s="54" t="n">
        <x:f>IF(ISNUMBER(T615),T615*(1+U615),"")</x:f>
        <x:v>33.744</x:v>
      </x:c>
      <x:c r="W615" s="47" t="n">
        <x:v>0.3</x:v>
      </x:c>
      <x:c r="X615" s="54" t="n">
        <x:f>IF(ISNUMBER(V615),V615/(1-W615),"")</x:f>
        <x:v>48.205714285714286</x:v>
      </x:c>
      <x:c r="Y615" s="55" t="n">
        <x:f>IF(ISNUMBER(X615),ROUNDUP(X615,0),"")</x:f>
        <x:v>49</x:v>
      </x:c>
      <x:c r="Z615" t="str">
        <x:v>Source match pending</x:v>
      </x:c>
      <x:c r="AA615" t="str">
        <x:v>screencapture-www-activesportstrade-co-uk-biotech-usa-trade-2026-09-10-09_04_18.pdf / page-09</x:v>
      </x:c>
      <x:c r="AB615" s="36" t="n">
        <x:f>IF(ISNUMBER(Y615),ROUND(Y615*0.9,2),"")</x:f>
        <x:v>44.1</x:v>
      </x:c>
      <x:c r="AC615" s="36" t="n">
        <x:f>IF(ISNUMBER(AB615),ROUND(AB615-(AB615*0.015+0.2)-V615,2),"")</x:f>
        <x:v>9.49</x:v>
      </x:c>
      <x:c r="AD615" s="36" t="n">
        <x:f>IF(ISNUMBER(Y615),ROUND(Y615*0.8,2),"")</x:f>
        <x:v>39.2</x:v>
      </x:c>
      <x:c r="AE615" s="36" t="n">
        <x:f>IF(ISNUMBER(AD615),ROUND(AD615*0.015+0.2,2),"")</x:f>
        <x:v>0.79</x:v>
      </x:c>
      <x:c r="AF615" s="36" t="n">
        <x:f>IF(ISNUMBER(AD615),ROUND(AD615-AE615-V615,2),"")</x:f>
        <x:v>4.67</x:v>
      </x:c>
      <x:c r="AG615" t="str">
        <x:f>IF(NOT(ISNUMBER(T615)),"PENDING",IF(AF615&gt;0,"PASS","FAIL"))</x:f>
        <x:v>PASS</x:v>
      </x:c>
      <x:c r="AH615" t="str">
        <x:f>IF(NOT(ISNUMBER(T615)),"Needs supplier cost",IF(K615&lt;&gt;"In stock","Supplier unavailable",IF(AG615&lt;&gt;"PASS","BLOCK - GT loss risk","Commercially protected")))</x:f>
        <x:v>Commercially protected</x:v>
      </x:c>
      <x:c r="AI615" t="str">
        <x:v>2026-09-10 Active Sports trade capture</x:v>
      </x:c>
      <x:c r="AJ615" t="str">
        <x:v>Management-only economics. Stripe stress test uses 1.5% + £0.20 standard UK online-card fee; pallet/mix-and-match pricing ignored.</x:v>
      </x:c>
    </x:row>
    <x:row r="616">
      <x:c r="A616" t="str">
        <x:v>Active Sports Nutrition</x:v>
      </x:c>
      <x:c r="B616" t="str">
        <x:v>Biotech USA</x:v>
      </x:c>
      <x:c r="C616" t="str">
        <x:v>Muscle Mass</x:v>
      </x:c>
      <x:c r="D616" t="str">
        <x:v>Supplements</x:v>
      </x:c>
      <x:c r="E616" t="str">
        <x:v>Weight Gainers</x:v>
      </x:c>
      <x:c r="F616" t="str">
        <x:v>Mass-gainer powder.</x:v>
      </x:c>
      <x:c r="G616" t="str">
        <x:v>4kg</x:v>
      </x:c>
      <x:c r="H616" t="str">
        <x:v>Vanilla</x:v>
      </x:c>
      <x:c r="I616" t="str"/>
      <x:c r="J616" t="str">
        <x:v>Unit</x:v>
      </x:c>
      <x:c r="K616" t="str">
        <x:v>Out of stock</x:v>
      </x:c>
      <x:c r="L616" t="str">
        <x:v>2026-09-08</x:v>
      </x:c>
      <x:c r="M616" t="str"/>
      <x:c r="N616" t="str"/>
      <x:c r="O616" t="str">
        <x:v>https://www.activesportstrade.co.uk/biotech-usa-trade</x:v>
      </x:c>
      <x:c r="P616" t="str"/>
      <x:c r="Q616" t="str"/>
      <x:c r="R616" t="str"/>
      <x:c r="S616" t="str">
        <x:v>Pending genuine supplier/brand image</x:v>
      </x:c>
      <x:c r="T616" s="54" t="n">
        <x:v>28.12</x:v>
      </x:c>
      <x:c r="U616" s="47" t="n">
        <x:v>0.2</x:v>
      </x:c>
      <x:c r="V616" s="54" t="n">
        <x:f>IF(ISNUMBER(T616),T616*(1+U616),"")</x:f>
        <x:v>33.744</x:v>
      </x:c>
      <x:c r="W616" s="47" t="n">
        <x:v>0.3</x:v>
      </x:c>
      <x:c r="X616" s="54" t="n">
        <x:f>IF(ISNUMBER(V616),V616/(1-W616),"")</x:f>
        <x:v>48.205714285714286</x:v>
      </x:c>
      <x:c r="Y616" s="55" t="n">
        <x:f>IF(ISNUMBER(X616),ROUNDUP(X616,0),"")</x:f>
        <x:v>49</x:v>
      </x:c>
      <x:c r="Z616" t="str">
        <x:v>Source match pending</x:v>
      </x:c>
      <x:c r="AA616" t="str">
        <x:v>screencapture-www-activesportstrade-co-uk-biotech-usa-trade-2026-09-10-09_04_18.pdf / page-09</x:v>
      </x:c>
      <x:c r="AB616" s="36" t="n">
        <x:f>IF(ISNUMBER(Y616),ROUND(Y616*0.9,2),"")</x:f>
        <x:v>44.1</x:v>
      </x:c>
      <x:c r="AC616" s="36" t="n">
        <x:f>IF(ISNUMBER(AB616),ROUND(AB616-(AB616*0.015+0.2)-V616,2),"")</x:f>
        <x:v>9.49</x:v>
      </x:c>
      <x:c r="AD616" s="36" t="n">
        <x:f>IF(ISNUMBER(Y616),ROUND(Y616*0.8,2),"")</x:f>
        <x:v>39.2</x:v>
      </x:c>
      <x:c r="AE616" s="36" t="n">
        <x:f>IF(ISNUMBER(AD616),ROUND(AD616*0.015+0.2,2),"")</x:f>
        <x:v>0.79</x:v>
      </x:c>
      <x:c r="AF616" s="36" t="n">
        <x:f>IF(ISNUMBER(AD616),ROUND(AD616-AE616-V616,2),"")</x:f>
        <x:v>4.67</x:v>
      </x:c>
      <x:c r="AG616" t="str">
        <x:f>IF(NOT(ISNUMBER(T616)),"PENDING",IF(AF616&gt;0,"PASS","FAIL"))</x:f>
        <x:v>PASS</x:v>
      </x:c>
      <x:c r="AH616" t="str">
        <x:f>IF(NOT(ISNUMBER(T616)),"Needs supplier cost",IF(K616&lt;&gt;"In stock","Supplier unavailable",IF(AG616&lt;&gt;"PASS","BLOCK - GT loss risk","Commercially protected")))</x:f>
        <x:v>Supplier unavailable</x:v>
      </x:c>
      <x:c r="AI616" t="str">
        <x:v>2026-09-10 Active Sports trade capture</x:v>
      </x:c>
      <x:c r="AJ616" t="str">
        <x:v>Management-only economics. Stripe stress test uses 1.5% + £0.20 standard UK online-card fee; pallet/mix-and-match pricing ignored.</x:v>
      </x:c>
    </x:row>
    <x:row r="617">
      <x:c r="A617" t="str">
        <x:v>Active Sports Nutrition</x:v>
      </x:c>
      <x:c r="B617" t="str">
        <x:v>Biotech USA</x:v>
      </x:c>
      <x:c r="C617" t="str">
        <x:v>Night</x:v>
      </x:c>
      <x:c r="D617" t="str">
        <x:v>Supplements</x:v>
      </x:c>
      <x:c r="E617" t="str">
        <x:v>Sleep Aids</x:v>
      </x:c>
      <x:c r="F617" t="str">
        <x:v>Night-time/sleep support capsule formula.</x:v>
      </x:c>
      <x:c r="G617" t="str">
        <x:v>60 caps</x:v>
      </x:c>
      <x:c r="H617" t="str">
        <x:v>Default</x:v>
      </x:c>
      <x:c r="I617" t="str"/>
      <x:c r="J617" t="str">
        <x:v>Unit</x:v>
      </x:c>
      <x:c r="K617" t="str">
        <x:v>In stock</x:v>
      </x:c>
      <x:c r="L617" t="str">
        <x:v>2026-09-08</x:v>
      </x:c>
      <x:c r="M617" t="str"/>
      <x:c r="N617" t="str"/>
      <x:c r="O617" t="str">
        <x:v>https://www.activesportstrade.co.uk/biotech-usa-trade</x:v>
      </x:c>
      <x:c r="P617" t="str"/>
      <x:c r="Q617" t="str"/>
      <x:c r="R617" t="str"/>
      <x:c r="S617" t="str">
        <x:v>Pending genuine supplier/brand image</x:v>
      </x:c>
      <x:c r="T617" s="54" t="n">
        <x:v>7.79</x:v>
      </x:c>
      <x:c r="U617" s="47" t="n">
        <x:v>0.2</x:v>
      </x:c>
      <x:c r="V617" s="54" t="n">
        <x:f>IF(ISNUMBER(T617),T617*(1+U617),"")</x:f>
        <x:v>9.347999999999999</x:v>
      </x:c>
      <x:c r="W617" s="47" t="n">
        <x:v>0.3</x:v>
      </x:c>
      <x:c r="X617" s="54" t="n">
        <x:f>IF(ISNUMBER(V617),V617/(1-W617),"")</x:f>
        <x:v>13.354285714285714</x:v>
      </x:c>
      <x:c r="Y617" s="55" t="n">
        <x:f>IF(ISNUMBER(X617),ROUNDUP(X617,0),"")</x:f>
        <x:v>14</x:v>
      </x:c>
      <x:c r="Z617" t="str">
        <x:v>Source match pending</x:v>
      </x:c>
      <x:c r="AA617" t="str">
        <x:v>screencapture-www-activesportstrade-co-uk-biotech-usa-trade-2026-09-10-09_04_18.pdf / page-09</x:v>
      </x:c>
      <x:c r="AB617" s="36" t="n">
        <x:f>IF(ISNUMBER(Y617),ROUND(Y617*0.9,2),"")</x:f>
        <x:v>12.6</x:v>
      </x:c>
      <x:c r="AC617" s="36" t="n">
        <x:f>IF(ISNUMBER(AB617),ROUND(AB617-(AB617*0.015+0.2)-V617,2),"")</x:f>
        <x:v>2.86</x:v>
      </x:c>
      <x:c r="AD617" s="36" t="n">
        <x:f>IF(ISNUMBER(Y617),ROUND(Y617*0.8,2),"")</x:f>
        <x:v>11.2</x:v>
      </x:c>
      <x:c r="AE617" s="36" t="n">
        <x:f>IF(ISNUMBER(AD617),ROUND(AD617*0.015+0.2,2),"")</x:f>
        <x:v>0.37</x:v>
      </x:c>
      <x:c r="AF617" s="36" t="n">
        <x:f>IF(ISNUMBER(AD617),ROUND(AD617-AE617-V617,2),"")</x:f>
        <x:v>1.48</x:v>
      </x:c>
      <x:c r="AG617" t="str">
        <x:f>IF(NOT(ISNUMBER(T617)),"PENDING",IF(AF617&gt;0,"PASS","FAIL"))</x:f>
        <x:v>PASS</x:v>
      </x:c>
      <x:c r="AH617" t="str">
        <x:f>IF(NOT(ISNUMBER(T617)),"Needs supplier cost",IF(K617&lt;&gt;"In stock","Supplier unavailable",IF(AG617&lt;&gt;"PASS","BLOCK - GT loss risk","Commercially protected")))</x:f>
        <x:v>Commercially protected</x:v>
      </x:c>
      <x:c r="AI617" t="str">
        <x:v>2026-09-10 Active Sports trade capture</x:v>
      </x:c>
      <x:c r="AJ617" t="str">
        <x:v>Management-only economics. Stripe stress test uses 1.5% + £0.20 standard UK online-card fee; pallet/mix-and-match pricing ignored.</x:v>
      </x:c>
    </x:row>
    <x:row r="618">
      <x:c r="A618" t="str">
        <x:v>Active Sports Nutrition</x:v>
      </x:c>
      <x:c r="B618" t="str">
        <x:v>Biotech USA</x:v>
      </x:c>
      <x:c r="C618" t="str">
        <x:v>Nitrox Therapy</x:v>
      </x:c>
      <x:c r="D618" t="str">
        <x:v>Supplements</x:v>
      </x:c>
      <x:c r="E618" t="str">
        <x:v>Nitrix Oxide Booster</x:v>
      </x:c>
      <x:c r="F618" t="str">
        <x:v>Pre-workout nitric-oxide formula.</x:v>
      </x:c>
      <x:c r="G618" t="str">
        <x:v>340g</x:v>
      </x:c>
      <x:c r="H618" t="str">
        <x:v>Blue Grape</x:v>
      </x:c>
      <x:c r="I618" t="str"/>
      <x:c r="J618" t="str">
        <x:v>Unit</x:v>
      </x:c>
      <x:c r="K618" t="str">
        <x:v>Out of stock</x:v>
      </x:c>
      <x:c r="L618" t="str">
        <x:v>2026-09-08</x:v>
      </x:c>
      <x:c r="M618" t="str"/>
      <x:c r="N618" t="str"/>
      <x:c r="O618" t="str">
        <x:v>https://www.activesportstrade.co.uk/biotech-usa-trade</x:v>
      </x:c>
      <x:c r="P618" t="str">
        <x:v>Separate supplier SPECIAL OFFER/dated Blue Grape listing exists and is not merged into normal availability; canonical regular variants remain as current standard listing.</x:v>
      </x:c>
      <x:c r="Q618" t="str"/>
      <x:c r="R618" t="str"/>
      <x:c r="S618" t="str">
        <x:v>Pending genuine supplier/brand image</x:v>
      </x:c>
      <x:c r="T618" s="54" t="n">
        <x:v>8.99</x:v>
      </x:c>
      <x:c r="U618" s="47" t="n">
        <x:v>0.2</x:v>
      </x:c>
      <x:c r="V618" s="54" t="n">
        <x:f>IF(ISNUMBER(T618),T618*(1+U618),"")</x:f>
        <x:v>10.788</x:v>
      </x:c>
      <x:c r="W618" s="47" t="n">
        <x:v>0.3</x:v>
      </x:c>
      <x:c r="X618" s="54" t="n">
        <x:f>IF(ISNUMBER(V618),V618/(1-W618),"")</x:f>
        <x:v>15.411428571428573</x:v>
      </x:c>
      <x:c r="Y618" s="55" t="n">
        <x:f>IF(ISNUMBER(X618),ROUNDUP(X618,0),"")</x:f>
        <x:v>16</x:v>
      </x:c>
      <x:c r="Z618" t="str">
        <x:v>Source match pending</x:v>
      </x:c>
      <x:c r="AA618" t="str">
        <x:v>screencapture-www-activesportstrade-co-uk-biotech-usa-trade-2026-09-10-09_04_18.pdf / page-09</x:v>
      </x:c>
      <x:c r="AB618" s="36" t="n">
        <x:f>IF(ISNUMBER(Y618),ROUND(Y618*0.9,2),"")</x:f>
        <x:v>14.4</x:v>
      </x:c>
      <x:c r="AC618" s="36" t="n">
        <x:f>IF(ISNUMBER(AB618),ROUND(AB618-(AB618*0.015+0.2)-V618,2),"")</x:f>
        <x:v>3.2</x:v>
      </x:c>
      <x:c r="AD618" s="36" t="n">
        <x:f>IF(ISNUMBER(Y618),ROUND(Y618*0.8,2),"")</x:f>
        <x:v>12.8</x:v>
      </x:c>
      <x:c r="AE618" s="36" t="n">
        <x:f>IF(ISNUMBER(AD618),ROUND(AD618*0.015+0.2,2),"")</x:f>
        <x:v>0.39</x:v>
      </x:c>
      <x:c r="AF618" s="36" t="n">
        <x:f>IF(ISNUMBER(AD618),ROUND(AD618-AE618-V618,2),"")</x:f>
        <x:v>1.62</x:v>
      </x:c>
      <x:c r="AG618" t="str">
        <x:f>IF(NOT(ISNUMBER(T618)),"PENDING",IF(AF618&gt;0,"PASS","FAIL"))</x:f>
        <x:v>PASS</x:v>
      </x:c>
      <x:c r="AH618" t="str">
        <x:f>IF(NOT(ISNUMBER(T618)),"Needs supplier cost",IF(K618&lt;&gt;"In stock","Supplier unavailable",IF(AG618&lt;&gt;"PASS","BLOCK - GT loss risk","Commercially protected")))</x:f>
        <x:v>Supplier unavailable</x:v>
      </x:c>
      <x:c r="AI618" t="str">
        <x:v>2026-09-10 Active Sports trade capture</x:v>
      </x:c>
      <x:c r="AJ618" t="str">
        <x:v>Management-only economics. Stripe stress test uses 1.5% + £0.20 standard UK online-card fee; pallet/mix-and-match pricing ignored.</x:v>
      </x:c>
    </x:row>
    <x:row r="619">
      <x:c r="A619" t="str">
        <x:v>Active Sports Nutrition</x:v>
      </x:c>
      <x:c r="B619" t="str">
        <x:v>Biotech USA</x:v>
      </x:c>
      <x:c r="C619" t="str">
        <x:v>Nitrox Therapy</x:v>
      </x:c>
      <x:c r="D619" t="str">
        <x:v>Supplements</x:v>
      </x:c>
      <x:c r="E619" t="str">
        <x:v>Nitrix Oxide Booster</x:v>
      </x:c>
      <x:c r="F619" t="str">
        <x:v>Pre-workout nitric-oxide formula.</x:v>
      </x:c>
      <x:c r="G619" t="str">
        <x:v>340g</x:v>
      </x:c>
      <x:c r="H619" t="str">
        <x:v>Tropical Fruit</x:v>
      </x:c>
      <x:c r="I619" t="str"/>
      <x:c r="J619" t="str">
        <x:v>Unit</x:v>
      </x:c>
      <x:c r="K619" t="str">
        <x:v>Out of stock</x:v>
      </x:c>
      <x:c r="L619" t="str">
        <x:v>2026-09-08</x:v>
      </x:c>
      <x:c r="M619" t="str"/>
      <x:c r="N619" t="str"/>
      <x:c r="O619" t="str">
        <x:v>https://www.activesportstrade.co.uk/biotech-usa-trade</x:v>
      </x:c>
      <x:c r="P619" t="str">
        <x:v>Separate supplier SPECIAL OFFER/dated Blue Grape listing exists and is not merged into normal availability; canonical regular variants remain as current standard listing.</x:v>
      </x:c>
      <x:c r="Q619" t="str"/>
      <x:c r="R619" t="str"/>
      <x:c r="S619" t="str">
        <x:v>Pending genuine supplier/brand image</x:v>
      </x:c>
      <x:c r="T619" s="54" t="n">
        <x:v>8.99</x:v>
      </x:c>
      <x:c r="U619" s="47" t="n">
        <x:v>0.2</x:v>
      </x:c>
      <x:c r="V619" s="54" t="n">
        <x:f>IF(ISNUMBER(T619),T619*(1+U619),"")</x:f>
        <x:v>10.788</x:v>
      </x:c>
      <x:c r="W619" s="47" t="n">
        <x:v>0.3</x:v>
      </x:c>
      <x:c r="X619" s="54" t="n">
        <x:f>IF(ISNUMBER(V619),V619/(1-W619),"")</x:f>
        <x:v>15.411428571428573</x:v>
      </x:c>
      <x:c r="Y619" s="55" t="n">
        <x:f>IF(ISNUMBER(X619),ROUNDUP(X619,0),"")</x:f>
        <x:v>16</x:v>
      </x:c>
      <x:c r="Z619" t="str">
        <x:v>Source match pending</x:v>
      </x:c>
      <x:c r="AA619" t="str">
        <x:v>screencapture-www-activesportstrade-co-uk-biotech-usa-trade-2026-09-10-09_04_18.pdf / page-09</x:v>
      </x:c>
      <x:c r="AB619" s="36" t="n">
        <x:f>IF(ISNUMBER(Y619),ROUND(Y619*0.9,2),"")</x:f>
        <x:v>14.4</x:v>
      </x:c>
      <x:c r="AC619" s="36" t="n">
        <x:f>IF(ISNUMBER(AB619),ROUND(AB619-(AB619*0.015+0.2)-V619,2),"")</x:f>
        <x:v>3.2</x:v>
      </x:c>
      <x:c r="AD619" s="36" t="n">
        <x:f>IF(ISNUMBER(Y619),ROUND(Y619*0.8,2),"")</x:f>
        <x:v>12.8</x:v>
      </x:c>
      <x:c r="AE619" s="36" t="n">
        <x:f>IF(ISNUMBER(AD619),ROUND(AD619*0.015+0.2,2),"")</x:f>
        <x:v>0.39</x:v>
      </x:c>
      <x:c r="AF619" s="36" t="n">
        <x:f>IF(ISNUMBER(AD619),ROUND(AD619-AE619-V619,2),"")</x:f>
        <x:v>1.62</x:v>
      </x:c>
      <x:c r="AG619" t="str">
        <x:f>IF(NOT(ISNUMBER(T619)),"PENDING",IF(AF619&gt;0,"PASS","FAIL"))</x:f>
        <x:v>PASS</x:v>
      </x:c>
      <x:c r="AH619" t="str">
        <x:f>IF(NOT(ISNUMBER(T619)),"Needs supplier cost",IF(K619&lt;&gt;"In stock","Supplier unavailable",IF(AG619&lt;&gt;"PASS","BLOCK - GT loss risk","Commercially protected")))</x:f>
        <x:v>Supplier unavailable</x:v>
      </x:c>
      <x:c r="AI619" t="str">
        <x:v>2026-09-10 Active Sports trade capture</x:v>
      </x:c>
      <x:c r="AJ619" t="str">
        <x:v>Management-only economics. Stripe stress test uses 1.5% + £0.20 standard UK online-card fee; pallet/mix-and-match pricing ignored.</x:v>
      </x:c>
    </x:row>
    <x:row r="620">
      <x:c r="A620" t="str">
        <x:v>Active Sports Nutrition</x:v>
      </x:c>
      <x:c r="B620" t="str">
        <x:v>Biotech USA</x:v>
      </x:c>
      <x:c r="C620" t="str">
        <x:v>One-A-Day Multi Vitamin</x:v>
      </x:c>
      <x:c r="D620" t="str">
        <x:v>Supplements</x:v>
      </x:c>
      <x:c r="E620" t="str">
        <x:v>Vitamins</x:v>
      </x:c>
      <x:c r="F620" t="str">
        <x:v>Daily multivitamin/mineral formula.</x:v>
      </x:c>
      <x:c r="G620" t="str">
        <x:v>100 caps</x:v>
      </x:c>
      <x:c r="H620" t="str">
        <x:v>Default</x:v>
      </x:c>
      <x:c r="I620" t="str"/>
      <x:c r="J620" t="str">
        <x:v>Unit</x:v>
      </x:c>
      <x:c r="K620" t="str">
        <x:v>Out of stock</x:v>
      </x:c>
      <x:c r="L620" t="str">
        <x:v>2026-09-08</x:v>
      </x:c>
      <x:c r="M620" t="str"/>
      <x:c r="N620" t="str"/>
      <x:c r="O620" t="str">
        <x:v>https://www.activesportstrade.co.uk/biotech-usa-trade</x:v>
      </x:c>
      <x:c r="P620" t="str"/>
      <x:c r="Q620" t="str"/>
      <x:c r="R620" t="str"/>
      <x:c r="S620" t="str">
        <x:v>Pending genuine supplier/brand image</x:v>
      </x:c>
      <x:c r="T620" s="54" t="n">
        <x:v>7.6</x:v>
      </x:c>
      <x:c r="U620" s="47" t="n">
        <x:v>0.2</x:v>
      </x:c>
      <x:c r="V620" s="54" t="n">
        <x:f>IF(ISNUMBER(T620),T620*(1+U620),"")</x:f>
        <x:v>9.12</x:v>
      </x:c>
      <x:c r="W620" s="47" t="n">
        <x:v>0.3</x:v>
      </x:c>
      <x:c r="X620" s="54" t="n">
        <x:f>IF(ISNUMBER(V620),V620/(1-W620),"")</x:f>
        <x:v>13.028571428571428</x:v>
      </x:c>
      <x:c r="Y620" s="55" t="n">
        <x:f>IF(ISNUMBER(X620),ROUNDUP(X620,0),"")</x:f>
        <x:v>14</x:v>
      </x:c>
      <x:c r="Z620" t="str">
        <x:v>Source match pending</x:v>
      </x:c>
      <x:c r="AA620" t="str">
        <x:v>screencapture-www-activesportstrade-co-uk-biotech-usa-trade-2026-09-10-09_04_18.pdf / page-09</x:v>
      </x:c>
      <x:c r="AB620" s="36" t="n">
        <x:f>IF(ISNUMBER(Y620),ROUND(Y620*0.9,2),"")</x:f>
        <x:v>12.6</x:v>
      </x:c>
      <x:c r="AC620" s="36" t="n">
        <x:f>IF(ISNUMBER(AB620),ROUND(AB620-(AB620*0.015+0.2)-V620,2),"")</x:f>
        <x:v>3.09</x:v>
      </x:c>
      <x:c r="AD620" s="36" t="n">
        <x:f>IF(ISNUMBER(Y620),ROUND(Y620*0.8,2),"")</x:f>
        <x:v>11.2</x:v>
      </x:c>
      <x:c r="AE620" s="36" t="n">
        <x:f>IF(ISNUMBER(AD620),ROUND(AD620*0.015+0.2,2),"")</x:f>
        <x:v>0.37</x:v>
      </x:c>
      <x:c r="AF620" s="36" t="n">
        <x:f>IF(ISNUMBER(AD620),ROUND(AD620-AE620-V620,2),"")</x:f>
        <x:v>1.71</x:v>
      </x:c>
      <x:c r="AG620" t="str">
        <x:f>IF(NOT(ISNUMBER(T620)),"PENDING",IF(AF620&gt;0,"PASS","FAIL"))</x:f>
        <x:v>PASS</x:v>
      </x:c>
      <x:c r="AH620" t="str">
        <x:f>IF(NOT(ISNUMBER(T620)),"Needs supplier cost",IF(K620&lt;&gt;"In stock","Supplier unavailable",IF(AG620&lt;&gt;"PASS","BLOCK - GT loss risk","Commercially protected")))</x:f>
        <x:v>Supplier unavailable</x:v>
      </x:c>
      <x:c r="AI620" t="str">
        <x:v>2026-09-10 Active Sports trade capture</x:v>
      </x:c>
      <x:c r="AJ620" t="str">
        <x:v>Management-only economics. Stripe stress test uses 1.5% + £0.20 standard UK online-card fee; pallet/mix-and-match pricing ignored.</x:v>
      </x:c>
    </x:row>
    <x:row r="621">
      <x:c r="A621" t="str">
        <x:v>Active Sports Nutrition</x:v>
      </x:c>
      <x:c r="B621" t="str">
        <x:v>Biotech USA</x:v>
      </x:c>
      <x:c r="C621" t="str">
        <x:v>Protein Power</x:v>
      </x:c>
      <x:c r="D621" t="str">
        <x:v>Supplements</x:v>
      </x:c>
      <x:c r="E621" t="str">
        <x:v>Protein Blends</x:v>
      </x:c>
      <x:c r="F621" t="str">
        <x:v>High-protein powder.</x:v>
      </x:c>
      <x:c r="G621" t="str">
        <x:v>4kg / 133 servings</x:v>
      </x:c>
      <x:c r="H621" t="str">
        <x:v>Chocolate</x:v>
      </x:c>
      <x:c r="I621" t="str"/>
      <x:c r="J621" t="str">
        <x:v>Unit</x:v>
      </x:c>
      <x:c r="K621" t="str">
        <x:v>Out of stock</x:v>
      </x:c>
      <x:c r="L621" t="str">
        <x:v>2026-09-08</x:v>
      </x:c>
      <x:c r="M621" t="str"/>
      <x:c r="N621" t="str"/>
      <x:c r="O621" t="str">
        <x:v>https://www.activesportstrade.co.uk/biotech-usa-trade</x:v>
      </x:c>
      <x:c r="P621" t="str"/>
      <x:c r="Q621" t="str"/>
      <x:c r="R621" t="str"/>
      <x:c r="S621" t="str">
        <x:v>Pending genuine supplier/brand image</x:v>
      </x:c>
      <x:c r="T621" s="54"/>
      <x:c r="U621" s="47" t="n">
        <x:v>0.2</x:v>
      </x:c>
      <x:c r="V621" s="54" t="str">
        <x:f>IF(ISNUMBER(T621),T621*(1+U621),"")</x:f>
      </x:c>
      <x:c r="W621" s="47" t="n">
        <x:v>0.3</x:v>
      </x:c>
      <x:c r="X621" s="54" t="str">
        <x:f>IF(ISNUMBER(V621),V621/(1-W621),"")</x:f>
      </x:c>
      <x:c r="Y621" s="55" t="str">
        <x:f>IF(ISNUMBER(X621),ROUNDUP(X621,0),"")</x:f>
      </x:c>
      <x:c r="Z621" t="str">
        <x:f>IF(ISNUMBER(T621),"Cost captured","Awaiting trade cost")</x:f>
        <x:v>Awaiting trade cost</x:v>
      </x:c>
      <x:c r="AB621" s="36" t="str">
        <x:f>IF(ISNUMBER(Y621),ROUND(Y621*0.9,2),"")</x:f>
      </x:c>
      <x:c r="AC621" s="36" t="str">
        <x:f>IF(ISNUMBER(AB621),ROUND(AB621-(AB621*0.015+0.2)-V621,2),"")</x:f>
      </x:c>
      <x:c r="AD621" s="36" t="str">
        <x:f>IF(ISNUMBER(Y621),ROUND(Y621*0.8,2),"")</x:f>
      </x:c>
      <x:c r="AE621" s="36" t="str">
        <x:f>IF(ISNUMBER(AD621),ROUND(AD621*0.015+0.2,2),"")</x:f>
      </x:c>
      <x:c r="AF621" s="36" t="str">
        <x:f>IF(ISNUMBER(AD621),ROUND(AD621-AE621-V621,2),"")</x:f>
      </x:c>
      <x:c r="AG621" t="str">
        <x:f>IF(NOT(ISNUMBER(T621)),"PENDING",IF(AF621&gt;0,"PASS","FAIL"))</x:f>
        <x:v>PENDING</x:v>
      </x:c>
      <x:c r="AH621" t="str">
        <x:f>IF(NOT(ISNUMBER(T621)),"Needs supplier cost",IF(K621&lt;&gt;"In stock","Supplier unavailable",IF(AG621&lt;&gt;"PASS","BLOCK - GT loss risk","Commercially protected")))</x:f>
        <x:v>Needs supplier cost</x:v>
      </x:c>
      <x:c r="AI621" t="str">
        <x:v>2026-09-10 Active Sports trade capture</x:v>
      </x:c>
      <x:c r="AJ621" t="str">
        <x:v>Management-only economics. Stripe stress test uses 1.5% + £0.20 standard UK online-card fee; pallet/mix-and-match pricing ignored.</x:v>
      </x:c>
    </x:row>
    <x:row r="622">
      <x:c r="A622" t="str">
        <x:v>Active Sports Nutrition</x:v>
      </x:c>
      <x:c r="B622" t="str">
        <x:v>Biotech USA</x:v>
      </x:c>
      <x:c r="C622" t="str">
        <x:v>Protein Power</x:v>
      </x:c>
      <x:c r="D622" t="str">
        <x:v>Supplements</x:v>
      </x:c>
      <x:c r="E622" t="str">
        <x:v>Protein Blends</x:v>
      </x:c>
      <x:c r="F622" t="str">
        <x:v>High-protein powder.</x:v>
      </x:c>
      <x:c r="G622" t="str">
        <x:v>4kg / 133 servings</x:v>
      </x:c>
      <x:c r="H622" t="str">
        <x:v>Strawberry Banana</x:v>
      </x:c>
      <x:c r="I622" t="str"/>
      <x:c r="J622" t="str">
        <x:v>Unit</x:v>
      </x:c>
      <x:c r="K622" t="str">
        <x:v>In stock</x:v>
      </x:c>
      <x:c r="L622" t="str">
        <x:v>2026-09-08</x:v>
      </x:c>
      <x:c r="M622" t="str"/>
      <x:c r="N622" t="str"/>
      <x:c r="O622" t="str">
        <x:v>https://www.activesportstrade.co.uk/biotech-usa-trade</x:v>
      </x:c>
      <x:c r="P622" t="str"/>
      <x:c r="Q622" t="str"/>
      <x:c r="R622" t="str"/>
      <x:c r="S622" t="str">
        <x:v>Pending genuine supplier/brand image</x:v>
      </x:c>
      <x:c r="T622" s="54"/>
      <x:c r="U622" s="47" t="n">
        <x:v>0.2</x:v>
      </x:c>
      <x:c r="V622" s="54" t="str">
        <x:f>IF(ISNUMBER(T622),T622*(1+U622),"")</x:f>
      </x:c>
      <x:c r="W622" s="47" t="n">
        <x:v>0.3</x:v>
      </x:c>
      <x:c r="X622" s="54" t="str">
        <x:f>IF(ISNUMBER(V622),V622/(1-W622),"")</x:f>
      </x:c>
      <x:c r="Y622" s="55" t="str">
        <x:f>IF(ISNUMBER(X622),ROUNDUP(X622,0),"")</x:f>
      </x:c>
      <x:c r="Z622" t="str">
        <x:f>IF(ISNUMBER(T622),"Cost captured","Awaiting trade cost")</x:f>
        <x:v>Awaiting trade cost</x:v>
      </x:c>
      <x:c r="AB622" s="36" t="str">
        <x:f>IF(ISNUMBER(Y622),ROUND(Y622*0.9,2),"")</x:f>
      </x:c>
      <x:c r="AC622" s="36" t="str">
        <x:f>IF(ISNUMBER(AB622),ROUND(AB622-(AB622*0.015+0.2)-V622,2),"")</x:f>
      </x:c>
      <x:c r="AD622" s="36" t="str">
        <x:f>IF(ISNUMBER(Y622),ROUND(Y622*0.8,2),"")</x:f>
      </x:c>
      <x:c r="AE622" s="36" t="str">
        <x:f>IF(ISNUMBER(AD622),ROUND(AD622*0.015+0.2,2),"")</x:f>
      </x:c>
      <x:c r="AF622" s="36" t="str">
        <x:f>IF(ISNUMBER(AD622),ROUND(AD622-AE622-V622,2),"")</x:f>
      </x:c>
      <x:c r="AG622" t="str">
        <x:f>IF(NOT(ISNUMBER(T622)),"PENDING",IF(AF622&gt;0,"PASS","FAIL"))</x:f>
        <x:v>PENDING</x:v>
      </x:c>
      <x:c r="AH622" t="str">
        <x:f>IF(NOT(ISNUMBER(T622)),"Needs supplier cost",IF(K622&lt;&gt;"In stock","Supplier unavailable",IF(AG622&lt;&gt;"PASS","BLOCK - GT loss risk","Commercially protected")))</x:f>
        <x:v>Needs supplier cost</x:v>
      </x:c>
      <x:c r="AI622" t="str">
        <x:v>2026-09-10 Active Sports trade capture</x:v>
      </x:c>
      <x:c r="AJ622" t="str">
        <x:v>Management-only economics. Stripe stress test uses 1.5% + £0.20 standard UK online-card fee; pallet/mix-and-match pricing ignored.</x:v>
      </x:c>
    </x:row>
    <x:row r="623">
      <x:c r="A623" t="str">
        <x:v>Active Sports Nutrition</x:v>
      </x:c>
      <x:c r="B623" t="str">
        <x:v>Biotech USA</x:v>
      </x:c>
      <x:c r="C623" t="str">
        <x:v>Protein Power</x:v>
      </x:c>
      <x:c r="D623" t="str">
        <x:v>Supplements</x:v>
      </x:c>
      <x:c r="E623" t="str">
        <x:v>Protein Blends</x:v>
      </x:c>
      <x:c r="F623" t="str">
        <x:v>High-protein powder.</x:v>
      </x:c>
      <x:c r="G623" t="str">
        <x:v>4kg / 133 servings</x:v>
      </x:c>
      <x:c r="H623" t="str">
        <x:v>Vanilla</x:v>
      </x:c>
      <x:c r="I623" t="str"/>
      <x:c r="J623" t="str">
        <x:v>Unit</x:v>
      </x:c>
      <x:c r="K623" t="str">
        <x:v>In stock</x:v>
      </x:c>
      <x:c r="L623" t="str">
        <x:v>2026-09-08</x:v>
      </x:c>
      <x:c r="M623" t="str"/>
      <x:c r="N623" t="str"/>
      <x:c r="O623" t="str">
        <x:v>https://www.activesportstrade.co.uk/biotech-usa-trade</x:v>
      </x:c>
      <x:c r="P623" t="str"/>
      <x:c r="Q623" t="str"/>
      <x:c r="R623" t="str"/>
      <x:c r="S623" t="str">
        <x:v>Pending genuine supplier/brand image</x:v>
      </x:c>
      <x:c r="T623" s="54"/>
      <x:c r="U623" s="47" t="n">
        <x:v>0.2</x:v>
      </x:c>
      <x:c r="V623" s="54" t="str">
        <x:f>IF(ISNUMBER(T623),T623*(1+U623),"")</x:f>
      </x:c>
      <x:c r="W623" s="47" t="n">
        <x:v>0.3</x:v>
      </x:c>
      <x:c r="X623" s="54" t="str">
        <x:f>IF(ISNUMBER(V623),V623/(1-W623),"")</x:f>
      </x:c>
      <x:c r="Y623" s="55" t="str">
        <x:f>IF(ISNUMBER(X623),ROUNDUP(X623,0),"")</x:f>
      </x:c>
      <x:c r="Z623" t="str">
        <x:f>IF(ISNUMBER(T623),"Cost captured","Awaiting trade cost")</x:f>
        <x:v>Awaiting trade cost</x:v>
      </x:c>
      <x:c r="AB623" s="36" t="str">
        <x:f>IF(ISNUMBER(Y623),ROUND(Y623*0.9,2),"")</x:f>
      </x:c>
      <x:c r="AC623" s="36" t="str">
        <x:f>IF(ISNUMBER(AB623),ROUND(AB623-(AB623*0.015+0.2)-V623,2),"")</x:f>
      </x:c>
      <x:c r="AD623" s="36" t="str">
        <x:f>IF(ISNUMBER(Y623),ROUND(Y623*0.8,2),"")</x:f>
      </x:c>
      <x:c r="AE623" s="36" t="str">
        <x:f>IF(ISNUMBER(AD623),ROUND(AD623*0.015+0.2,2),"")</x:f>
      </x:c>
      <x:c r="AF623" s="36" t="str">
        <x:f>IF(ISNUMBER(AD623),ROUND(AD623-AE623-V623,2),"")</x:f>
      </x:c>
      <x:c r="AG623" t="str">
        <x:f>IF(NOT(ISNUMBER(T623)),"PENDING",IF(AF623&gt;0,"PASS","FAIL"))</x:f>
        <x:v>PENDING</x:v>
      </x:c>
      <x:c r="AH623" t="str">
        <x:f>IF(NOT(ISNUMBER(T623)),"Needs supplier cost",IF(K623&lt;&gt;"In stock","Supplier unavailable",IF(AG623&lt;&gt;"PASS","BLOCK - GT loss risk","Commercially protected")))</x:f>
        <x:v>Needs supplier cost</x:v>
      </x:c>
      <x:c r="AI623" t="str">
        <x:v>2026-09-10 Active Sports trade capture</x:v>
      </x:c>
      <x:c r="AJ623" t="str">
        <x:v>Management-only economics. Stripe stress test uses 1.5% + £0.20 standard UK online-card fee; pallet/mix-and-match pricing ignored.</x:v>
      </x:c>
    </x:row>
    <x:row r="624">
      <x:c r="A624" t="str">
        <x:v>Active Sports Nutrition</x:v>
      </x:c>
      <x:c r="B624" t="str">
        <x:v>Biotech USA</x:v>
      </x:c>
      <x:c r="C624" t="str">
        <x:v>Pump Caffeine Free Pre Workout</x:v>
      </x:c>
      <x:c r="D624" t="str">
        <x:v>Pre Workouts</x:v>
      </x:c>
      <x:c r="E624" t="str">
        <x:v>Stim FREE</x:v>
      </x:c>
      <x:c r="F624" t="str">
        <x:v>Caffeine-free pre-workout.</x:v>
      </x:c>
      <x:c r="G624" t="str">
        <x:v>330g</x:v>
      </x:c>
      <x:c r="H624" t="str">
        <x:v>Lemon Ice Tea</x:v>
      </x:c>
      <x:c r="I624" t="str"/>
      <x:c r="J624" t="str">
        <x:v>Unit</x:v>
      </x:c>
      <x:c r="K624" t="str">
        <x:v>In stock</x:v>
      </x:c>
      <x:c r="L624" t="str">
        <x:v>2026-09-08</x:v>
      </x:c>
      <x:c r="M624" t="str"/>
      <x:c r="N624" t="str"/>
      <x:c r="O624" t="str">
        <x:v>https://www.activesportstrade.co.uk/biotech-usa-trade</x:v>
      </x:c>
      <x:c r="P624" t="str"/>
      <x:c r="Q624" t="str"/>
      <x:c r="R624" t="str"/>
      <x:c r="S624" t="str">
        <x:v>Pending genuine supplier/brand image</x:v>
      </x:c>
      <x:c r="T624" s="54"/>
      <x:c r="U624" s="47" t="n">
        <x:v>0.2</x:v>
      </x:c>
      <x:c r="V624" s="54" t="str">
        <x:f>IF(ISNUMBER(T624),T624*(1+U624),"")</x:f>
      </x:c>
      <x:c r="W624" s="47" t="n">
        <x:v>0.3</x:v>
      </x:c>
      <x:c r="X624" s="54" t="str">
        <x:f>IF(ISNUMBER(V624),V624/(1-W624),"")</x:f>
      </x:c>
      <x:c r="Y624" s="55" t="str">
        <x:f>IF(ISNUMBER(X624),ROUNDUP(X624,0),"")</x:f>
      </x:c>
      <x:c r="Z624" t="str">
        <x:f>IF(ISNUMBER(T624),"Cost captured","Awaiting trade cost")</x:f>
        <x:v>Awaiting trade cost</x:v>
      </x:c>
      <x:c r="AB624" s="36" t="str">
        <x:f>IF(ISNUMBER(Y624),ROUND(Y624*0.9,2),"")</x:f>
      </x:c>
      <x:c r="AC624" s="36" t="str">
        <x:f>IF(ISNUMBER(AB624),ROUND(AB624-(AB624*0.015+0.2)-V624,2),"")</x:f>
      </x:c>
      <x:c r="AD624" s="36" t="str">
        <x:f>IF(ISNUMBER(Y624),ROUND(Y624*0.8,2),"")</x:f>
      </x:c>
      <x:c r="AE624" s="36" t="str">
        <x:f>IF(ISNUMBER(AD624),ROUND(AD624*0.015+0.2,2),"")</x:f>
      </x:c>
      <x:c r="AF624" s="36" t="str">
        <x:f>IF(ISNUMBER(AD624),ROUND(AD624-AE624-V624,2),"")</x:f>
      </x:c>
      <x:c r="AG624" t="str">
        <x:f>IF(NOT(ISNUMBER(T624)),"PENDING",IF(AF624&gt;0,"PASS","FAIL"))</x:f>
        <x:v>PENDING</x:v>
      </x:c>
      <x:c r="AH624" t="str">
        <x:f>IF(NOT(ISNUMBER(T624)),"Needs supplier cost",IF(K624&lt;&gt;"In stock","Supplier unavailable",IF(AG624&lt;&gt;"PASS","BLOCK - GT loss risk","Commercially protected")))</x:f>
        <x:v>Needs supplier cost</x:v>
      </x:c>
      <x:c r="AI624" t="str">
        <x:v>2026-09-10 Active Sports trade capture</x:v>
      </x:c>
      <x:c r="AJ624" t="str">
        <x:v>Management-only economics. Stripe stress test uses 1.5% + £0.20 standard UK online-card fee; pallet/mix-and-match pricing ignored.</x:v>
      </x:c>
    </x:row>
    <x:row r="625">
      <x:c r="A625" t="str">
        <x:v>Active Sports Nutrition</x:v>
      </x:c>
      <x:c r="B625" t="str">
        <x:v>Biotech USA</x:v>
      </x:c>
      <x:c r="C625" t="str">
        <x:v>Pump Caffeine Free Pre Workout</x:v>
      </x:c>
      <x:c r="D625" t="str">
        <x:v>Pre Workouts</x:v>
      </x:c>
      <x:c r="E625" t="str">
        <x:v>Stim FREE</x:v>
      </x:c>
      <x:c r="F625" t="str">
        <x:v>Caffeine-free pre-workout.</x:v>
      </x:c>
      <x:c r="G625" t="str">
        <x:v>330g</x:v>
      </x:c>
      <x:c r="H625" t="str">
        <x:v>Tropical Fruit</x:v>
      </x:c>
      <x:c r="I625" t="str"/>
      <x:c r="J625" t="str">
        <x:v>Unit</x:v>
      </x:c>
      <x:c r="K625" t="str">
        <x:v>In stock</x:v>
      </x:c>
      <x:c r="L625" t="str">
        <x:v>2026-09-08</x:v>
      </x:c>
      <x:c r="M625" t="str"/>
      <x:c r="N625" t="str"/>
      <x:c r="O625" t="str">
        <x:v>https://www.activesportstrade.co.uk/biotech-usa-trade</x:v>
      </x:c>
      <x:c r="P625" t="str"/>
      <x:c r="Q625" t="str"/>
      <x:c r="R625" t="str"/>
      <x:c r="S625" t="str">
        <x:v>Pending genuine supplier/brand image</x:v>
      </x:c>
      <x:c r="T625" s="54"/>
      <x:c r="U625" s="47" t="n">
        <x:v>0.2</x:v>
      </x:c>
      <x:c r="V625" s="54" t="str">
        <x:f>IF(ISNUMBER(T625),T625*(1+U625),"")</x:f>
      </x:c>
      <x:c r="W625" s="47" t="n">
        <x:v>0.3</x:v>
      </x:c>
      <x:c r="X625" s="54" t="str">
        <x:f>IF(ISNUMBER(V625),V625/(1-W625),"")</x:f>
      </x:c>
      <x:c r="Y625" s="55" t="str">
        <x:f>IF(ISNUMBER(X625),ROUNDUP(X625,0),"")</x:f>
      </x:c>
      <x:c r="Z625" t="str">
        <x:f>IF(ISNUMBER(T625),"Cost captured","Awaiting trade cost")</x:f>
        <x:v>Awaiting trade cost</x:v>
      </x:c>
      <x:c r="AB625" s="36" t="str">
        <x:f>IF(ISNUMBER(Y625),ROUND(Y625*0.9,2),"")</x:f>
      </x:c>
      <x:c r="AC625" s="36" t="str">
        <x:f>IF(ISNUMBER(AB625),ROUND(AB625-(AB625*0.015+0.2)-V625,2),"")</x:f>
      </x:c>
      <x:c r="AD625" s="36" t="str">
        <x:f>IF(ISNUMBER(Y625),ROUND(Y625*0.8,2),"")</x:f>
      </x:c>
      <x:c r="AE625" s="36" t="str">
        <x:f>IF(ISNUMBER(AD625),ROUND(AD625*0.015+0.2,2),"")</x:f>
      </x:c>
      <x:c r="AF625" s="36" t="str">
        <x:f>IF(ISNUMBER(AD625),ROUND(AD625-AE625-V625,2),"")</x:f>
      </x:c>
      <x:c r="AG625" t="str">
        <x:f>IF(NOT(ISNUMBER(T625)),"PENDING",IF(AF625&gt;0,"PASS","FAIL"))</x:f>
        <x:v>PENDING</x:v>
      </x:c>
      <x:c r="AH625" t="str">
        <x:f>IF(NOT(ISNUMBER(T625)),"Needs supplier cost",IF(K625&lt;&gt;"In stock","Supplier unavailable",IF(AG625&lt;&gt;"PASS","BLOCK - GT loss risk","Commercially protected")))</x:f>
        <x:v>Needs supplier cost</x:v>
      </x:c>
      <x:c r="AI625" t="str">
        <x:v>2026-09-10 Active Sports trade capture</x:v>
      </x:c>
      <x:c r="AJ625" t="str">
        <x:v>Management-only economics. Stripe stress test uses 1.5% + £0.20 standard UK online-card fee; pallet/mix-and-match pricing ignored.</x:v>
      </x:c>
    </x:row>
    <x:row r="626">
      <x:c r="A626" t="str">
        <x:v>Active Sports Nutrition</x:v>
      </x:c>
      <x:c r="B626" t="str">
        <x:v>Biotech USA</x:v>
      </x:c>
      <x:c r="C626" t="str">
        <x:v>Q10 Coenzyme 100mg</x:v>
      </x:c>
      <x:c r="D626" t="str">
        <x:v>Supplements</x:v>
      </x:c>
      <x:c r="E626" t="str">
        <x:v>Vitamins</x:v>
      </x:c>
      <x:c r="F626" t="str">
        <x:v>Coenzyme Q10 capsules.</x:v>
      </x:c>
      <x:c r="G626" t="str">
        <x:v>60 caps</x:v>
      </x:c>
      <x:c r="H626" t="str">
        <x:v>Default</x:v>
      </x:c>
      <x:c r="I626" t="str"/>
      <x:c r="J626" t="str">
        <x:v>Unit</x:v>
      </x:c>
      <x:c r="K626" t="str">
        <x:v>In stock</x:v>
      </x:c>
      <x:c r="L626" t="str">
        <x:v>2026-09-08</x:v>
      </x:c>
      <x:c r="M626" t="str"/>
      <x:c r="N626" t="str"/>
      <x:c r="O626" t="str">
        <x:v>https://www.activesportstrade.co.uk/biotech-usa-trade</x:v>
      </x:c>
      <x:c r="P626" t="str"/>
      <x:c r="Q626" t="str"/>
      <x:c r="R626" t="str"/>
      <x:c r="S626" t="str">
        <x:v>Pending genuine supplier/brand image</x:v>
      </x:c>
      <x:c r="T626" s="54" t="n">
        <x:v>8.11</x:v>
      </x:c>
      <x:c r="U626" s="47" t="n">
        <x:v>0.2</x:v>
      </x:c>
      <x:c r="V626" s="54" t="n">
        <x:f>IF(ISNUMBER(T626),T626*(1+U626),"")</x:f>
        <x:v>9.732</x:v>
      </x:c>
      <x:c r="W626" s="47" t="n">
        <x:v>0.3</x:v>
      </x:c>
      <x:c r="X626" s="54" t="n">
        <x:f>IF(ISNUMBER(V626),V626/(1-W626),"")</x:f>
        <x:v>13.902857142857142</x:v>
      </x:c>
      <x:c r="Y626" s="55" t="n">
        <x:f>IF(ISNUMBER(X626),ROUNDUP(X626,0),"")</x:f>
        <x:v>14</x:v>
      </x:c>
      <x:c r="Z626" t="str">
        <x:v>Source match pending</x:v>
      </x:c>
      <x:c r="AA626" t="str">
        <x:v>screencapture-www-activesportstrade-co-uk-biotech-usa-trade-2026-09-10-09_04_18.pdf / page-10</x:v>
      </x:c>
      <x:c r="AB626" s="36" t="n">
        <x:f>IF(ISNUMBER(Y626),ROUND(Y626*0.9,2),"")</x:f>
        <x:v>12.6</x:v>
      </x:c>
      <x:c r="AC626" s="36" t="n">
        <x:f>IF(ISNUMBER(AB626),ROUND(AB626-(AB626*0.015+0.2)-V626,2),"")</x:f>
        <x:v>2.48</x:v>
      </x:c>
      <x:c r="AD626" s="36" t="n">
        <x:f>IF(ISNUMBER(Y626),ROUND(Y626*0.8,2),"")</x:f>
        <x:v>11.2</x:v>
      </x:c>
      <x:c r="AE626" s="36" t="n">
        <x:f>IF(ISNUMBER(AD626),ROUND(AD626*0.015+0.2,2),"")</x:f>
        <x:v>0.37</x:v>
      </x:c>
      <x:c r="AF626" s="36" t="n">
        <x:f>IF(ISNUMBER(AD626),ROUND(AD626-AE626-V626,2),"")</x:f>
        <x:v>1.1</x:v>
      </x:c>
      <x:c r="AG626" t="str">
        <x:f>IF(NOT(ISNUMBER(T626)),"PENDING",IF(AF626&gt;0,"PASS","FAIL"))</x:f>
        <x:v>PASS</x:v>
      </x:c>
      <x:c r="AH626" t="str">
        <x:f>IF(NOT(ISNUMBER(T626)),"Needs supplier cost",IF(K626&lt;&gt;"In stock","Supplier unavailable",IF(AG626&lt;&gt;"PASS","BLOCK - GT loss risk","Commercially protected")))</x:f>
        <x:v>Commercially protected</x:v>
      </x:c>
      <x:c r="AI626" t="str">
        <x:v>2026-09-10 Active Sports trade capture</x:v>
      </x:c>
      <x:c r="AJ626" t="str">
        <x:v>Management-only economics. Stripe stress test uses 1.5% + £0.20 standard UK online-card fee; pallet/mix-and-match pricing ignored.</x:v>
      </x:c>
    </x:row>
    <x:row r="627">
      <x:c r="A627" t="str">
        <x:v>Active Sports Nutrition</x:v>
      </x:c>
      <x:c r="B627" t="str">
        <x:v>Biotech USA</x:v>
      </x:c>
      <x:c r="C627" t="str">
        <x:v>Thermo Shot</x:v>
      </x:c>
      <x:c r="D627" t="str">
        <x:v>Pre Workouts</x:v>
      </x:c>
      <x:c r="E627" t="str">
        <x:v>Shots and Ready To Drink</x:v>
      </x:c>
      <x:c r="F627" t="str">
        <x:v>Thermogenic ready-to-drink shot.</x:v>
      </x:c>
      <x:c r="G627" t="str">
        <x:v>20 x 60ml shots</x:v>
      </x:c>
      <x:c r="H627" t="str">
        <x:v>Tropical Fruit</x:v>
      </x:c>
      <x:c r="I627" t="str">
        <x:v>20</x:v>
      </x:c>
      <x:c r="J627" t="str">
        <x:v>Case</x:v>
      </x:c>
      <x:c r="K627" t="str">
        <x:v>In stock</x:v>
      </x:c>
      <x:c r="L627" t="str">
        <x:v>2026-09-08</x:v>
      </x:c>
      <x:c r="M627" t="str"/>
      <x:c r="N627" t="str"/>
      <x:c r="O627" t="str">
        <x:v>https://www.activesportstrade.co.uk/biotech-usa-trade</x:v>
      </x:c>
      <x:c r="P627" t="str">
        <x:v>PALLET PROMO wording removed; case-only member order.</x:v>
      </x:c>
      <x:c r="Q627" t="str"/>
      <x:c r="R627" t="str"/>
      <x:c r="S627" t="str">
        <x:v>Pending genuine supplier/brand image</x:v>
      </x:c>
      <x:c r="T627" s="54" t="n">
        <x:v>22.5</x:v>
      </x:c>
      <x:c r="U627" s="47" t="n">
        <x:v>0.2</x:v>
      </x:c>
      <x:c r="V627" s="54" t="n">
        <x:f>IF(ISNUMBER(T627),T627*(1+U627),"")</x:f>
        <x:v>27</x:v>
      </x:c>
      <x:c r="W627" s="47" t="n">
        <x:v>0.3</x:v>
      </x:c>
      <x:c r="X627" s="54" t="n">
        <x:f>IF(ISNUMBER(V627),V627/(1-W627),"")</x:f>
        <x:v>38.57142857142858</x:v>
      </x:c>
      <x:c r="Y627" s="55" t="n">
        <x:f>IF(ISNUMBER(X627),ROUNDUP(X627,0),"")</x:f>
        <x:v>39</x:v>
      </x:c>
      <x:c r="Z627" t="str">
        <x:v>Source match pending</x:v>
      </x:c>
      <x:c r="AA627" t="str">
        <x:v>screencapture-www-activesportstrade-co-uk-biotech-usa-trade-2026-09-10-09_04_18.pdf / page-10</x:v>
      </x:c>
      <x:c r="AB627" s="36" t="n">
        <x:f>IF(ISNUMBER(Y627),ROUND(Y627*0.9,2),"")</x:f>
        <x:v>35.1</x:v>
      </x:c>
      <x:c r="AC627" s="36" t="n">
        <x:f>IF(ISNUMBER(AB627),ROUND(AB627-(AB627*0.015+0.2)-V627,2),"")</x:f>
        <x:v>7.37</x:v>
      </x:c>
      <x:c r="AD627" s="36" t="n">
        <x:f>IF(ISNUMBER(Y627),ROUND(Y627*0.8,2),"")</x:f>
        <x:v>31.2</x:v>
      </x:c>
      <x:c r="AE627" s="36" t="n">
        <x:f>IF(ISNUMBER(AD627),ROUND(AD627*0.015+0.2,2),"")</x:f>
        <x:v>0.67</x:v>
      </x:c>
      <x:c r="AF627" s="36" t="n">
        <x:f>IF(ISNUMBER(AD627),ROUND(AD627-AE627-V627,2),"")</x:f>
        <x:v>3.53</x:v>
      </x:c>
      <x:c r="AG627" t="str">
        <x:f>IF(NOT(ISNUMBER(T627)),"PENDING",IF(AF627&gt;0,"PASS","FAIL"))</x:f>
        <x:v>PASS</x:v>
      </x:c>
      <x:c r="AH627" t="str">
        <x:f>IF(NOT(ISNUMBER(T627)),"Needs supplier cost",IF(K627&lt;&gt;"In stock","Supplier unavailable",IF(AG627&lt;&gt;"PASS","BLOCK - GT loss risk","Commercially protected")))</x:f>
        <x:v>Commercially protected</x:v>
      </x:c>
      <x:c r="AI627" t="str">
        <x:v>2026-09-10 Active Sports trade capture</x:v>
      </x:c>
      <x:c r="AJ627" t="str">
        <x:v>Management-only economics. Stripe stress test uses 1.5% + £0.20 standard UK online-card fee; pallet/mix-and-match pricing ignored.</x:v>
      </x:c>
    </x:row>
    <x:row r="628">
      <x:c r="A628" t="str">
        <x:v>Active Sports Nutrition</x:v>
      </x:c>
      <x:c r="B628" t="str">
        <x:v>Biotech USA</x:v>
      </x:c>
      <x:c r="C628" t="str">
        <x:v>Vitabolic - Multi Vitamins</x:v>
      </x:c>
      <x:c r="D628" t="str">
        <x:v>Supplements</x:v>
      </x:c>
      <x:c r="E628" t="str">
        <x:v>Vitamins</x:v>
      </x:c>
      <x:c r="F628" t="str">
        <x:v>Sports multivitamin/mineral tablets.</x:v>
      </x:c>
      <x:c r="G628" t="str">
        <x:v>30 tabs</x:v>
      </x:c>
      <x:c r="H628" t="str">
        <x:v>Default</x:v>
      </x:c>
      <x:c r="I628" t="str"/>
      <x:c r="J628" t="str">
        <x:v>Unit</x:v>
      </x:c>
      <x:c r="K628" t="str">
        <x:v>In stock</x:v>
      </x:c>
      <x:c r="L628" t="str">
        <x:v>2026-09-08</x:v>
      </x:c>
      <x:c r="M628" t="str"/>
      <x:c r="N628" t="str"/>
      <x:c r="O628" t="str">
        <x:v>https://www.activesportstrade.co.uk/biotech-usa-trade</x:v>
      </x:c>
      <x:c r="P628" t="str"/>
      <x:c r="Q628" t="str"/>
      <x:c r="R628" t="str"/>
      <x:c r="S628" t="str">
        <x:v>Pending genuine supplier/brand image</x:v>
      </x:c>
      <x:c r="T628" s="54" t="n">
        <x:v>4.56</x:v>
      </x:c>
      <x:c r="U628" s="47" t="n">
        <x:v>0.2</x:v>
      </x:c>
      <x:c r="V628" s="54" t="n">
        <x:f>IF(ISNUMBER(T628),T628*(1+U628),"")</x:f>
        <x:v>5.4719999999999995</x:v>
      </x:c>
      <x:c r="W628" s="47" t="n">
        <x:v>0.3</x:v>
      </x:c>
      <x:c r="X628" s="54" t="n">
        <x:f>IF(ISNUMBER(V628),V628/(1-W628),"")</x:f>
        <x:v>7.817142857142857</x:v>
      </x:c>
      <x:c r="Y628" s="55" t="n">
        <x:f>IF(ISNUMBER(X628),ROUNDUP(X628,0),"")</x:f>
        <x:v>8</x:v>
      </x:c>
      <x:c r="Z628" t="str">
        <x:v>Source match pending</x:v>
      </x:c>
      <x:c r="AA628" t="str">
        <x:v>screencapture-www-activesportstrade-co-uk-biotech-usa-trade-2026-09-10-09_04_18.pdf / page-10</x:v>
      </x:c>
      <x:c r="AB628" s="36" t="n">
        <x:f>IF(ISNUMBER(Y628),ROUND(Y628*0.9,2),"")</x:f>
        <x:v>7.2</x:v>
      </x:c>
      <x:c r="AC628" s="36" t="n">
        <x:f>IF(ISNUMBER(AB628),ROUND(AB628-(AB628*0.015+0.2)-V628,2),"")</x:f>
        <x:v>1.42</x:v>
      </x:c>
      <x:c r="AD628" s="36" t="n">
        <x:f>IF(ISNUMBER(Y628),ROUND(Y628*0.8,2),"")</x:f>
        <x:v>6.4</x:v>
      </x:c>
      <x:c r="AE628" s="36" t="n">
        <x:f>IF(ISNUMBER(AD628),ROUND(AD628*0.015+0.2,2),"")</x:f>
        <x:v>0.3</x:v>
      </x:c>
      <x:c r="AF628" s="36" t="n">
        <x:f>IF(ISNUMBER(AD628),ROUND(AD628-AE628-V628,2),"")</x:f>
        <x:v>0.63</x:v>
      </x:c>
      <x:c r="AG628" t="str">
        <x:f>IF(NOT(ISNUMBER(T628)),"PENDING",IF(AF628&gt;0,"PASS","FAIL"))</x:f>
        <x:v>PASS</x:v>
      </x:c>
      <x:c r="AH628" t="str">
        <x:f>IF(NOT(ISNUMBER(T628)),"Needs supplier cost",IF(K628&lt;&gt;"In stock","Supplier unavailable",IF(AG628&lt;&gt;"PASS","BLOCK - GT loss risk","Commercially protected")))</x:f>
        <x:v>Commercially protected</x:v>
      </x:c>
      <x:c r="AI628" t="str">
        <x:v>2026-09-10 Active Sports trade capture</x:v>
      </x:c>
      <x:c r="AJ628" t="str">
        <x:v>Management-only economics. Stripe stress test uses 1.5% + £0.20 standard UK online-card fee; pallet/mix-and-match pricing ignored.</x:v>
      </x:c>
    </x:row>
    <x:row r="629">
      <x:c r="A629" t="str">
        <x:v>Active Sports Nutrition</x:v>
      </x:c>
      <x:c r="B629" t="str">
        <x:v>Biotech USA</x:v>
      </x:c>
      <x:c r="C629" t="str">
        <x:v>Vitamin C 1000</x:v>
      </x:c>
      <x:c r="D629" t="str">
        <x:v>Supplements</x:v>
      </x:c>
      <x:c r="E629" t="str">
        <x:v>Vitamins</x:v>
      </x:c>
      <x:c r="F629" t="str">
        <x:v>Vitamin C tablets.</x:v>
      </x:c>
      <x:c r="G629" t="str">
        <x:v>30 tabs</x:v>
      </x:c>
      <x:c r="H629" t="str">
        <x:v>Default</x:v>
      </x:c>
      <x:c r="I629" t="str"/>
      <x:c r="J629" t="str">
        <x:v>Unit</x:v>
      </x:c>
      <x:c r="K629" t="str">
        <x:v>In stock</x:v>
      </x:c>
      <x:c r="L629" t="str">
        <x:v>2026-09-08</x:v>
      </x:c>
      <x:c r="M629" t="str"/>
      <x:c r="N629" t="str"/>
      <x:c r="O629" t="str">
        <x:v>https://www.activesportstrade.co.uk/biotech-usa-trade</x:v>
      </x:c>
      <x:c r="P629" t="str"/>
      <x:c r="Q629" t="str"/>
      <x:c r="R629" t="str"/>
      <x:c r="S629" t="str">
        <x:v>Pending genuine supplier/brand image</x:v>
      </x:c>
      <x:c r="T629" s="54" t="n">
        <x:v>3.18</x:v>
      </x:c>
      <x:c r="U629" s="47" t="n">
        <x:v>0.2</x:v>
      </x:c>
      <x:c r="V629" s="54" t="n">
        <x:f>IF(ISNUMBER(T629),T629*(1+U629),"")</x:f>
        <x:v>3.816</x:v>
      </x:c>
      <x:c r="W629" s="47" t="n">
        <x:v>0.3</x:v>
      </x:c>
      <x:c r="X629" s="54" t="n">
        <x:f>IF(ISNUMBER(V629),V629/(1-W629),"")</x:f>
        <x:v>5.451428571428572</x:v>
      </x:c>
      <x:c r="Y629" s="55" t="n">
        <x:f>IF(ISNUMBER(X629),ROUNDUP(X629,0),"")</x:f>
        <x:v>6</x:v>
      </x:c>
      <x:c r="Z629" t="str">
        <x:v>Source match pending</x:v>
      </x:c>
      <x:c r="AA629" t="str">
        <x:v>screencapture-www-activesportstrade-co-uk-biotech-usa-trade-2026-09-10-09_04_18.pdf / page-10</x:v>
      </x:c>
      <x:c r="AB629" s="36" t="n">
        <x:f>IF(ISNUMBER(Y629),ROUND(Y629*0.9,2),"")</x:f>
        <x:v>5.4</x:v>
      </x:c>
      <x:c r="AC629" s="36" t="n">
        <x:f>IF(ISNUMBER(AB629),ROUND(AB629-(AB629*0.015+0.2)-V629,2),"")</x:f>
        <x:v>1.3</x:v>
      </x:c>
      <x:c r="AD629" s="36" t="n">
        <x:f>IF(ISNUMBER(Y629),ROUND(Y629*0.8,2),"")</x:f>
        <x:v>4.8</x:v>
      </x:c>
      <x:c r="AE629" s="36" t="n">
        <x:f>IF(ISNUMBER(AD629),ROUND(AD629*0.015+0.2,2),"")</x:f>
        <x:v>0.27</x:v>
      </x:c>
      <x:c r="AF629" s="36" t="n">
        <x:f>IF(ISNUMBER(AD629),ROUND(AD629-AE629-V629,2),"")</x:f>
        <x:v>0.71</x:v>
      </x:c>
      <x:c r="AG629" t="str">
        <x:f>IF(NOT(ISNUMBER(T629)),"PENDING",IF(AF629&gt;0,"PASS","FAIL"))</x:f>
        <x:v>PASS</x:v>
      </x:c>
      <x:c r="AH629" t="str">
        <x:f>IF(NOT(ISNUMBER(T629)),"Needs supplier cost",IF(K629&lt;&gt;"In stock","Supplier unavailable",IF(AG629&lt;&gt;"PASS","BLOCK - GT loss risk","Commercially protected")))</x:f>
        <x:v>Commercially protected</x:v>
      </x:c>
      <x:c r="AI629" t="str">
        <x:v>2026-09-10 Active Sports trade capture</x:v>
      </x:c>
      <x:c r="AJ629" t="str">
        <x:v>Management-only economics. Stripe stress test uses 1.5% + £0.20 standard UK online-card fee; pallet/mix-and-match pricing ignored.</x:v>
      </x:c>
    </x:row>
    <x:row r="630">
      <x:c r="A630" t="str">
        <x:v>Active Sports Nutrition</x:v>
      </x:c>
      <x:c r="B630" t="str">
        <x:v>Biotech USA</x:v>
      </x:c>
      <x:c r="C630" t="str">
        <x:v>Vitamin C 1000</x:v>
      </x:c>
      <x:c r="D630" t="str">
        <x:v>Supplements</x:v>
      </x:c>
      <x:c r="E630" t="str">
        <x:v>Vitamins</x:v>
      </x:c>
      <x:c r="F630" t="str">
        <x:v>Vitamin C tablets.</x:v>
      </x:c>
      <x:c r="G630" t="str">
        <x:v>100 tabs</x:v>
      </x:c>
      <x:c r="H630" t="str">
        <x:v>Default</x:v>
      </x:c>
      <x:c r="I630" t="str"/>
      <x:c r="J630" t="str">
        <x:v>Unit</x:v>
      </x:c>
      <x:c r="K630" t="str">
        <x:v>In stock</x:v>
      </x:c>
      <x:c r="L630" t="str">
        <x:v>2026-09-08</x:v>
      </x:c>
      <x:c r="M630" t="str"/>
      <x:c r="N630" t="str"/>
      <x:c r="O630" t="str">
        <x:v>https://www.activesportstrade.co.uk/biotech-usa-trade</x:v>
      </x:c>
      <x:c r="P630" t="str"/>
      <x:c r="Q630" t="str"/>
      <x:c r="R630" t="str"/>
      <x:c r="S630" t="str">
        <x:v>Pending genuine supplier/brand image</x:v>
      </x:c>
      <x:c r="T630" s="54" t="n">
        <x:v>5.8</x:v>
      </x:c>
      <x:c r="U630" s="47" t="n">
        <x:v>0.2</x:v>
      </x:c>
      <x:c r="V630" s="54" t="n">
        <x:f>IF(ISNUMBER(T630),T630*(1+U630),"")</x:f>
        <x:v>6.96</x:v>
      </x:c>
      <x:c r="W630" s="47" t="n">
        <x:v>0.3</x:v>
      </x:c>
      <x:c r="X630" s="54" t="n">
        <x:f>IF(ISNUMBER(V630),V630/(1-W630),"")</x:f>
        <x:v>9.942857142857143</x:v>
      </x:c>
      <x:c r="Y630" s="55" t="n">
        <x:f>IF(ISNUMBER(X630),ROUNDUP(X630,0),"")</x:f>
        <x:v>10</x:v>
      </x:c>
      <x:c r="Z630" t="str">
        <x:v>Source match pending</x:v>
      </x:c>
      <x:c r="AA630" t="str">
        <x:v>screencapture-www-activesportstrade-co-uk-biotech-usa-trade-2026-09-10-09_04_18.pdf / page-10</x:v>
      </x:c>
      <x:c r="AB630" s="36" t="n">
        <x:f>IF(ISNUMBER(Y630),ROUND(Y630*0.9,2),"")</x:f>
        <x:v>9</x:v>
      </x:c>
      <x:c r="AC630" s="36" t="n">
        <x:f>IF(ISNUMBER(AB630),ROUND(AB630-(AB630*0.015+0.2)-V630,2),"")</x:f>
        <x:v>1.7</x:v>
      </x:c>
      <x:c r="AD630" s="36" t="n">
        <x:f>IF(ISNUMBER(Y630),ROUND(Y630*0.8,2),"")</x:f>
        <x:v>8</x:v>
      </x:c>
      <x:c r="AE630" s="36" t="n">
        <x:f>IF(ISNUMBER(AD630),ROUND(AD630*0.015+0.2,2),"")</x:f>
        <x:v>0.32</x:v>
      </x:c>
      <x:c r="AF630" s="36" t="n">
        <x:f>IF(ISNUMBER(AD630),ROUND(AD630-AE630-V630,2),"")</x:f>
        <x:v>0.72</x:v>
      </x:c>
      <x:c r="AG630" t="str">
        <x:f>IF(NOT(ISNUMBER(T630)),"PENDING",IF(AF630&gt;0,"PASS","FAIL"))</x:f>
        <x:v>PASS</x:v>
      </x:c>
      <x:c r="AH630" t="str">
        <x:f>IF(NOT(ISNUMBER(T630)),"Needs supplier cost",IF(K630&lt;&gt;"In stock","Supplier unavailable",IF(AG630&lt;&gt;"PASS","BLOCK - GT loss risk","Commercially protected")))</x:f>
        <x:v>Commercially protected</x:v>
      </x:c>
      <x:c r="AI630" t="str">
        <x:v>2026-09-10 Active Sports trade capture</x:v>
      </x:c>
      <x:c r="AJ630" t="str">
        <x:v>Management-only economics. Stripe stress test uses 1.5% + £0.20 standard UK online-card fee; pallet/mix-and-match pricing ignored.</x:v>
      </x:c>
    </x:row>
    <x:row r="631">
      <x:c r="A631" t="str">
        <x:v>Active Sports Nutrition</x:v>
      </x:c>
      <x:c r="B631" t="str">
        <x:v>Biotech USA</x:v>
      </x:c>
      <x:c r="C631" t="str">
        <x:v>Vitamin D3</x:v>
      </x:c>
      <x:c r="D631" t="str">
        <x:v>Supplements</x:v>
      </x:c>
      <x:c r="E631" t="str">
        <x:v>Vitamins</x:v>
      </x:c>
      <x:c r="F631" t="str">
        <x:v>Vitamin D3 tablets.</x:v>
      </x:c>
      <x:c r="G631" t="str">
        <x:v>60 tabs</x:v>
      </x:c>
      <x:c r="H631" t="str">
        <x:v>Default</x:v>
      </x:c>
      <x:c r="I631" t="str"/>
      <x:c r="J631" t="str">
        <x:v>Unit</x:v>
      </x:c>
      <x:c r="K631" t="str">
        <x:v>In stock</x:v>
      </x:c>
      <x:c r="L631" t="str">
        <x:v>2026-09-08</x:v>
      </x:c>
      <x:c r="M631" t="str"/>
      <x:c r="N631" t="str"/>
      <x:c r="O631" t="str">
        <x:v>https://www.activesportstrade.co.uk/biotech-usa-trade</x:v>
      </x:c>
      <x:c r="P631" t="str"/>
      <x:c r="Q631" t="str"/>
      <x:c r="R631" t="str"/>
      <x:c r="S631" t="str">
        <x:v>Pending genuine supplier/brand image</x:v>
      </x:c>
      <x:c r="T631" s="54" t="n">
        <x:v>5.33</x:v>
      </x:c>
      <x:c r="U631" s="47" t="n">
        <x:v>0.2</x:v>
      </x:c>
      <x:c r="V631" s="54" t="n">
        <x:f>IF(ISNUMBER(T631),T631*(1+U631),"")</x:f>
        <x:v>6.396</x:v>
      </x:c>
      <x:c r="W631" s="47" t="n">
        <x:v>0.3</x:v>
      </x:c>
      <x:c r="X631" s="54" t="n">
        <x:f>IF(ISNUMBER(V631),V631/(1-W631),"")</x:f>
        <x:v>9.137142857142857</x:v>
      </x:c>
      <x:c r="Y631" s="55" t="n">
        <x:f>IF(ISNUMBER(X631),ROUNDUP(X631,0),"")</x:f>
        <x:v>10</x:v>
      </x:c>
      <x:c r="Z631" t="str">
        <x:v>Source match pending</x:v>
      </x:c>
      <x:c r="AA631" t="str">
        <x:v>screencapture-www-activesportstrade-co-uk-biotech-usa-trade-2026-09-10-09_04_18.pdf / page-10</x:v>
      </x:c>
      <x:c r="AB631" s="36" t="n">
        <x:f>IF(ISNUMBER(Y631),ROUND(Y631*0.9,2),"")</x:f>
        <x:v>9</x:v>
      </x:c>
      <x:c r="AC631" s="36" t="n">
        <x:f>IF(ISNUMBER(AB631),ROUND(AB631-(AB631*0.015+0.2)-V631,2),"")</x:f>
        <x:v>2.27</x:v>
      </x:c>
      <x:c r="AD631" s="36" t="n">
        <x:f>IF(ISNUMBER(Y631),ROUND(Y631*0.8,2),"")</x:f>
        <x:v>8</x:v>
      </x:c>
      <x:c r="AE631" s="36" t="n">
        <x:f>IF(ISNUMBER(AD631),ROUND(AD631*0.015+0.2,2),"")</x:f>
        <x:v>0.32</x:v>
      </x:c>
      <x:c r="AF631" s="36" t="n">
        <x:f>IF(ISNUMBER(AD631),ROUND(AD631-AE631-V631,2),"")</x:f>
        <x:v>1.28</x:v>
      </x:c>
      <x:c r="AG631" t="str">
        <x:f>IF(NOT(ISNUMBER(T631)),"PENDING",IF(AF631&gt;0,"PASS","FAIL"))</x:f>
        <x:v>PASS</x:v>
      </x:c>
      <x:c r="AH631" t="str">
        <x:f>IF(NOT(ISNUMBER(T631)),"Needs supplier cost",IF(K631&lt;&gt;"In stock","Supplier unavailable",IF(AG631&lt;&gt;"PASS","BLOCK - GT loss risk","Commercially protected")))</x:f>
        <x:v>Commercially protected</x:v>
      </x:c>
      <x:c r="AI631" t="str">
        <x:v>2026-09-10 Active Sports trade capture</x:v>
      </x:c>
      <x:c r="AJ631" t="str">
        <x:v>Management-only economics. Stripe stress test uses 1.5% + £0.20 standard UK online-card fee; pallet/mix-and-match pricing ignored.</x:v>
      </x:c>
    </x:row>
    <x:row r="632">
      <x:c r="A632" t="str">
        <x:v>Active Sports Nutrition</x:v>
      </x:c>
      <x:c r="B632" t="str">
        <x:v>Biotech USA</x:v>
      </x:c>
      <x:c r="C632" t="str">
        <x:v>Vitamin D3</x:v>
      </x:c>
      <x:c r="D632" t="str">
        <x:v>Supplements</x:v>
      </x:c>
      <x:c r="E632" t="str">
        <x:v>Vitamins</x:v>
      </x:c>
      <x:c r="F632" t="str">
        <x:v>Vitamin D3 tablets.</x:v>
      </x:c>
      <x:c r="G632" t="str">
        <x:v>120 tabs</x:v>
      </x:c>
      <x:c r="H632" t="str">
        <x:v>Default</x:v>
      </x:c>
      <x:c r="I632" t="str"/>
      <x:c r="J632" t="str">
        <x:v>Unit</x:v>
      </x:c>
      <x:c r="K632" t="str">
        <x:v>In stock</x:v>
      </x:c>
      <x:c r="L632" t="str">
        <x:v>2026-09-08</x:v>
      </x:c>
      <x:c r="M632" t="str"/>
      <x:c r="N632" t="str"/>
      <x:c r="O632" t="str">
        <x:v>https://www.activesportstrade.co.uk/biotech-usa-trade</x:v>
      </x:c>
      <x:c r="P632" t="str"/>
      <x:c r="Q632" t="str"/>
      <x:c r="R632" t="str"/>
      <x:c r="S632" t="str">
        <x:v>Pending genuine supplier/brand image</x:v>
      </x:c>
      <x:c r="T632" s="54" t="n">
        <x:v>7.32</x:v>
      </x:c>
      <x:c r="U632" s="47" t="n">
        <x:v>0.2</x:v>
      </x:c>
      <x:c r="V632" s="54" t="n">
        <x:f>IF(ISNUMBER(T632),T632*(1+U632),"")</x:f>
        <x:v>8.784</x:v>
      </x:c>
      <x:c r="W632" s="47" t="n">
        <x:v>0.3</x:v>
      </x:c>
      <x:c r="X632" s="54" t="n">
        <x:f>IF(ISNUMBER(V632),V632/(1-W632),"")</x:f>
        <x:v>12.54857142857143</x:v>
      </x:c>
      <x:c r="Y632" s="55" t="n">
        <x:f>IF(ISNUMBER(X632),ROUNDUP(X632,0),"")</x:f>
        <x:v>13</x:v>
      </x:c>
      <x:c r="Z632" t="str">
        <x:v>Source match pending</x:v>
      </x:c>
      <x:c r="AA632" t="str">
        <x:v>screencapture-www-activesportstrade-co-uk-biotech-usa-trade-2026-09-10-09_04_18.pdf / page-10</x:v>
      </x:c>
      <x:c r="AB632" s="36" t="n">
        <x:f>IF(ISNUMBER(Y632),ROUND(Y632*0.9,2),"")</x:f>
        <x:v>11.7</x:v>
      </x:c>
      <x:c r="AC632" s="36" t="n">
        <x:f>IF(ISNUMBER(AB632),ROUND(AB632-(AB632*0.015+0.2)-V632,2),"")</x:f>
        <x:v>2.54</x:v>
      </x:c>
      <x:c r="AD632" s="36" t="n">
        <x:f>IF(ISNUMBER(Y632),ROUND(Y632*0.8,2),"")</x:f>
        <x:v>10.4</x:v>
      </x:c>
      <x:c r="AE632" s="36" t="n">
        <x:f>IF(ISNUMBER(AD632),ROUND(AD632*0.015+0.2,2),"")</x:f>
        <x:v>0.36</x:v>
      </x:c>
      <x:c r="AF632" s="36" t="n">
        <x:f>IF(ISNUMBER(AD632),ROUND(AD632-AE632-V632,2),"")</x:f>
        <x:v>1.26</x:v>
      </x:c>
      <x:c r="AG632" t="str">
        <x:f>IF(NOT(ISNUMBER(T632)),"PENDING",IF(AF632&gt;0,"PASS","FAIL"))</x:f>
        <x:v>PASS</x:v>
      </x:c>
      <x:c r="AH632" t="str">
        <x:f>IF(NOT(ISNUMBER(T632)),"Needs supplier cost",IF(K632&lt;&gt;"In stock","Supplier unavailable",IF(AG632&lt;&gt;"PASS","BLOCK - GT loss risk","Commercially protected")))</x:f>
        <x:v>Commercially protected</x:v>
      </x:c>
      <x:c r="AI632" t="str">
        <x:v>2026-09-10 Active Sports trade capture</x:v>
      </x:c>
      <x:c r="AJ632" t="str">
        <x:v>Management-only economics. Stripe stress test uses 1.5% + £0.20 standard UK online-card fee; pallet/mix-and-match pricing ignored.</x:v>
      </x:c>
    </x:row>
    <x:row r="633">
      <x:c r="A633" t="str">
        <x:v>Active Sports Nutrition</x:v>
      </x:c>
      <x:c r="B633" t="str">
        <x:v>Biotech USA</x:v>
      </x:c>
      <x:c r="C633" t="str">
        <x:v>Zero Drops</x:v>
      </x:c>
      <x:c r="D633" t="str">
        <x:v>Supplements</x:v>
      </x:c>
      <x:c r="E633" t="str">
        <x:v>Health Foods</x:v>
      </x:c>
      <x:c r="F633" t="str">
        <x:v>Flavouring drops.</x:v>
      </x:c>
      <x:c r="G633" t="str">
        <x:v>50ml</x:v>
      </x:c>
      <x:c r="H633" t="str">
        <x:v>Caramel</x:v>
      </x:c>
      <x:c r="I633" t="str"/>
      <x:c r="J633" t="str">
        <x:v>Unit</x:v>
      </x:c>
      <x:c r="K633" t="str">
        <x:v>In stock</x:v>
      </x:c>
      <x:c r="L633" t="str">
        <x:v>2026-09-08</x:v>
      </x:c>
      <x:c r="M633" t="str"/>
      <x:c r="N633" t="str"/>
      <x:c r="O633" t="str">
        <x:v>https://www.activesportstrade.co.uk/biotech-usa-trade</x:v>
      </x:c>
      <x:c r="P633" t="str"/>
      <x:c r="Q633" t="str"/>
      <x:c r="R633" t="str"/>
      <x:c r="S633" t="str">
        <x:v>Pending genuine supplier/brand image</x:v>
      </x:c>
      <x:c r="T633" s="54" t="n">
        <x:v>3.39</x:v>
      </x:c>
      <x:c r="U633" s="47" t="n">
        <x:v>0.2</x:v>
      </x:c>
      <x:c r="V633" s="54" t="n">
        <x:f>IF(ISNUMBER(T633),T633*(1+U633),"")</x:f>
        <x:v>4.068</x:v>
      </x:c>
      <x:c r="W633" s="47" t="n">
        <x:v>0.3</x:v>
      </x:c>
      <x:c r="X633" s="54" t="n">
        <x:f>IF(ISNUMBER(V633),V633/(1-W633),"")</x:f>
        <x:v>5.811428571428571</x:v>
      </x:c>
      <x:c r="Y633" s="55" t="n">
        <x:f>IF(ISNUMBER(X633),ROUNDUP(X633,0),"")</x:f>
        <x:v>6</x:v>
      </x:c>
      <x:c r="Z633" t="str">
        <x:v>Source match pending</x:v>
      </x:c>
      <x:c r="AA633" t="str">
        <x:v>screencapture-www-activesportstrade-co-uk-biotech-usa-trade-2026-09-10-09_04_18.pdf / page-10</x:v>
      </x:c>
      <x:c r="AB633" s="36" t="n">
        <x:f>IF(ISNUMBER(Y633),ROUND(Y633*0.9,2),"")</x:f>
        <x:v>5.4</x:v>
      </x:c>
      <x:c r="AC633" s="36" t="n">
        <x:f>IF(ISNUMBER(AB633),ROUND(AB633-(AB633*0.015+0.2)-V633,2),"")</x:f>
        <x:v>1.05</x:v>
      </x:c>
      <x:c r="AD633" s="36" t="n">
        <x:f>IF(ISNUMBER(Y633),ROUND(Y633*0.8,2),"")</x:f>
        <x:v>4.8</x:v>
      </x:c>
      <x:c r="AE633" s="36" t="n">
        <x:f>IF(ISNUMBER(AD633),ROUND(AD633*0.015+0.2,2),"")</x:f>
        <x:v>0.27</x:v>
      </x:c>
      <x:c r="AF633" s="36" t="n">
        <x:f>IF(ISNUMBER(AD633),ROUND(AD633-AE633-V633,2),"")</x:f>
        <x:v>0.46</x:v>
      </x:c>
      <x:c r="AG633" t="str">
        <x:f>IF(NOT(ISNUMBER(T633)),"PENDING",IF(AF633&gt;0,"PASS","FAIL"))</x:f>
        <x:v>PASS</x:v>
      </x:c>
      <x:c r="AH633" t="str">
        <x:f>IF(NOT(ISNUMBER(T633)),"Needs supplier cost",IF(K633&lt;&gt;"In stock","Supplier unavailable",IF(AG633&lt;&gt;"PASS","BLOCK - GT loss risk","Commercially protected")))</x:f>
        <x:v>Commercially protected</x:v>
      </x:c>
      <x:c r="AI633" t="str">
        <x:v>2026-09-10 Active Sports trade capture</x:v>
      </x:c>
      <x:c r="AJ633" t="str">
        <x:v>Management-only economics. Stripe stress test uses 1.5% + £0.20 standard UK online-card fee; pallet/mix-and-match pricing ignored.</x:v>
      </x:c>
    </x:row>
    <x:row r="634">
      <x:c r="A634" t="str">
        <x:v>Active Sports Nutrition</x:v>
      </x:c>
      <x:c r="B634" t="str">
        <x:v>Biotech USA</x:v>
      </x:c>
      <x:c r="C634" t="str">
        <x:v>Zero Drops</x:v>
      </x:c>
      <x:c r="D634" t="str">
        <x:v>Supplements</x:v>
      </x:c>
      <x:c r="E634" t="str">
        <x:v>Health Foods</x:v>
      </x:c>
      <x:c r="F634" t="str">
        <x:v>Flavouring drops.</x:v>
      </x:c>
      <x:c r="G634" t="str">
        <x:v>50ml</x:v>
      </x:c>
      <x:c r="H634" t="str">
        <x:v>Dark Chocolate</x:v>
      </x:c>
      <x:c r="I634" t="str"/>
      <x:c r="J634" t="str">
        <x:v>Unit</x:v>
      </x:c>
      <x:c r="K634" t="str">
        <x:v>In stock</x:v>
      </x:c>
      <x:c r="L634" t="str">
        <x:v>2026-09-08</x:v>
      </x:c>
      <x:c r="M634" t="str"/>
      <x:c r="N634" t="str"/>
      <x:c r="O634" t="str">
        <x:v>https://www.activesportstrade.co.uk/biotech-usa-trade</x:v>
      </x:c>
      <x:c r="P634" t="str"/>
      <x:c r="Q634" t="str"/>
      <x:c r="R634" t="str"/>
      <x:c r="S634" t="str">
        <x:v>Pending genuine supplier/brand image</x:v>
      </x:c>
      <x:c r="T634" s="54" t="n">
        <x:v>3.39</x:v>
      </x:c>
      <x:c r="U634" s="47" t="n">
        <x:v>0.2</x:v>
      </x:c>
      <x:c r="V634" s="54" t="n">
        <x:f>IF(ISNUMBER(T634),T634*(1+U634),"")</x:f>
        <x:v>4.068</x:v>
      </x:c>
      <x:c r="W634" s="47" t="n">
        <x:v>0.3</x:v>
      </x:c>
      <x:c r="X634" s="54" t="n">
        <x:f>IF(ISNUMBER(V634),V634/(1-W634),"")</x:f>
        <x:v>5.811428571428571</x:v>
      </x:c>
      <x:c r="Y634" s="55" t="n">
        <x:f>IF(ISNUMBER(X634),ROUNDUP(X634,0),"")</x:f>
        <x:v>6</x:v>
      </x:c>
      <x:c r="Z634" t="str">
        <x:v>Source match pending</x:v>
      </x:c>
      <x:c r="AA634" t="str">
        <x:v>screencapture-www-activesportstrade-co-uk-biotech-usa-trade-2026-09-10-09_04_18.pdf / page-10</x:v>
      </x:c>
      <x:c r="AB634" s="36" t="n">
        <x:f>IF(ISNUMBER(Y634),ROUND(Y634*0.9,2),"")</x:f>
        <x:v>5.4</x:v>
      </x:c>
      <x:c r="AC634" s="36" t="n">
        <x:f>IF(ISNUMBER(AB634),ROUND(AB634-(AB634*0.015+0.2)-V634,2),"")</x:f>
        <x:v>1.05</x:v>
      </x:c>
      <x:c r="AD634" s="36" t="n">
        <x:f>IF(ISNUMBER(Y634),ROUND(Y634*0.8,2),"")</x:f>
        <x:v>4.8</x:v>
      </x:c>
      <x:c r="AE634" s="36" t="n">
        <x:f>IF(ISNUMBER(AD634),ROUND(AD634*0.015+0.2,2),"")</x:f>
        <x:v>0.27</x:v>
      </x:c>
      <x:c r="AF634" s="36" t="n">
        <x:f>IF(ISNUMBER(AD634),ROUND(AD634-AE634-V634,2),"")</x:f>
        <x:v>0.46</x:v>
      </x:c>
      <x:c r="AG634" t="str">
        <x:f>IF(NOT(ISNUMBER(T634)),"PENDING",IF(AF634&gt;0,"PASS","FAIL"))</x:f>
        <x:v>PASS</x:v>
      </x:c>
      <x:c r="AH634" t="str">
        <x:f>IF(NOT(ISNUMBER(T634)),"Needs supplier cost",IF(K634&lt;&gt;"In stock","Supplier unavailable",IF(AG634&lt;&gt;"PASS","BLOCK - GT loss risk","Commercially protected")))</x:f>
        <x:v>Commercially protected</x:v>
      </x:c>
      <x:c r="AI634" t="str">
        <x:v>2026-09-10 Active Sports trade capture</x:v>
      </x:c>
      <x:c r="AJ634" t="str">
        <x:v>Management-only economics. Stripe stress test uses 1.5% + £0.20 standard UK online-card fee; pallet/mix-and-match pricing ignored.</x:v>
      </x:c>
    </x:row>
    <x:row r="635">
      <x:c r="A635" t="str">
        <x:v>Active Sports Nutrition</x:v>
      </x:c>
      <x:c r="B635" t="str">
        <x:v>Biotech USA</x:v>
      </x:c>
      <x:c r="C635" t="str">
        <x:v>Zero Drops</x:v>
      </x:c>
      <x:c r="D635" t="str">
        <x:v>Supplements</x:v>
      </x:c>
      <x:c r="E635" t="str">
        <x:v>Health Foods</x:v>
      </x:c>
      <x:c r="F635" t="str">
        <x:v>Flavouring drops.</x:v>
      </x:c>
      <x:c r="G635" t="str">
        <x:v>50ml</x:v>
      </x:c>
      <x:c r="H635" t="str">
        <x:v>Strawberry</x:v>
      </x:c>
      <x:c r="I635" t="str"/>
      <x:c r="J635" t="str">
        <x:v>Unit</x:v>
      </x:c>
      <x:c r="K635" t="str">
        <x:v>In stock</x:v>
      </x:c>
      <x:c r="L635" t="str">
        <x:v>2026-09-08</x:v>
      </x:c>
      <x:c r="M635" t="str"/>
      <x:c r="N635" t="str"/>
      <x:c r="O635" t="str">
        <x:v>https://www.activesportstrade.co.uk/biotech-usa-trade</x:v>
      </x:c>
      <x:c r="P635" t="str"/>
      <x:c r="Q635" t="str"/>
      <x:c r="R635" t="str"/>
      <x:c r="S635" t="str">
        <x:v>Pending genuine supplier/brand image</x:v>
      </x:c>
      <x:c r="T635" s="54" t="n">
        <x:v>3.39</x:v>
      </x:c>
      <x:c r="U635" s="47" t="n">
        <x:v>0.2</x:v>
      </x:c>
      <x:c r="V635" s="54" t="n">
        <x:f>IF(ISNUMBER(T635),T635*(1+U635),"")</x:f>
        <x:v>4.068</x:v>
      </x:c>
      <x:c r="W635" s="47" t="n">
        <x:v>0.3</x:v>
      </x:c>
      <x:c r="X635" s="54" t="n">
        <x:f>IF(ISNUMBER(V635),V635/(1-W635),"")</x:f>
        <x:v>5.811428571428571</x:v>
      </x:c>
      <x:c r="Y635" s="55" t="n">
        <x:f>IF(ISNUMBER(X635),ROUNDUP(X635,0),"")</x:f>
        <x:v>6</x:v>
      </x:c>
      <x:c r="Z635" t="str">
        <x:v>Source match pending</x:v>
      </x:c>
      <x:c r="AA635" t="str">
        <x:v>screencapture-www-activesportstrade-co-uk-biotech-usa-trade-2026-09-10-09_04_18.pdf / page-10</x:v>
      </x:c>
      <x:c r="AB635" s="36" t="n">
        <x:f>IF(ISNUMBER(Y635),ROUND(Y635*0.9,2),"")</x:f>
        <x:v>5.4</x:v>
      </x:c>
      <x:c r="AC635" s="36" t="n">
        <x:f>IF(ISNUMBER(AB635),ROUND(AB635-(AB635*0.015+0.2)-V635,2),"")</x:f>
        <x:v>1.05</x:v>
      </x:c>
      <x:c r="AD635" s="36" t="n">
        <x:f>IF(ISNUMBER(Y635),ROUND(Y635*0.8,2),"")</x:f>
        <x:v>4.8</x:v>
      </x:c>
      <x:c r="AE635" s="36" t="n">
        <x:f>IF(ISNUMBER(AD635),ROUND(AD635*0.015+0.2,2),"")</x:f>
        <x:v>0.27</x:v>
      </x:c>
      <x:c r="AF635" s="36" t="n">
        <x:f>IF(ISNUMBER(AD635),ROUND(AD635-AE635-V635,2),"")</x:f>
        <x:v>0.46</x:v>
      </x:c>
      <x:c r="AG635" t="str">
        <x:f>IF(NOT(ISNUMBER(T635)),"PENDING",IF(AF635&gt;0,"PASS","FAIL"))</x:f>
        <x:v>PASS</x:v>
      </x:c>
      <x:c r="AH635" t="str">
        <x:f>IF(NOT(ISNUMBER(T635)),"Needs supplier cost",IF(K635&lt;&gt;"In stock","Supplier unavailable",IF(AG635&lt;&gt;"PASS","BLOCK - GT loss risk","Commercially protected")))</x:f>
        <x:v>Commercially protected</x:v>
      </x:c>
      <x:c r="AI635" t="str">
        <x:v>2026-09-10 Active Sports trade capture</x:v>
      </x:c>
      <x:c r="AJ635" t="str">
        <x:v>Management-only economics. Stripe stress test uses 1.5% + £0.20 standard UK online-card fee; pallet/mix-and-match pricing ignored.</x:v>
      </x:c>
    </x:row>
    <x:row r="636">
      <x:c r="A636" t="str">
        <x:v>Active Sports Nutrition</x:v>
      </x:c>
      <x:c r="B636" t="str">
        <x:v>Biotech USA</x:v>
      </x:c>
      <x:c r="C636" t="str">
        <x:v>Zero Drops</x:v>
      </x:c>
      <x:c r="D636" t="str">
        <x:v>Supplements</x:v>
      </x:c>
      <x:c r="E636" t="str">
        <x:v>Health Foods</x:v>
      </x:c>
      <x:c r="F636" t="str">
        <x:v>Flavouring drops.</x:v>
      </x:c>
      <x:c r="G636" t="str">
        <x:v>50ml</x:v>
      </x:c>
      <x:c r="H636" t="str">
        <x:v>Vanilla</x:v>
      </x:c>
      <x:c r="I636" t="str"/>
      <x:c r="J636" t="str">
        <x:v>Unit</x:v>
      </x:c>
      <x:c r="K636" t="str">
        <x:v>In stock</x:v>
      </x:c>
      <x:c r="L636" t="str">
        <x:v>2026-09-08</x:v>
      </x:c>
      <x:c r="M636" t="str"/>
      <x:c r="N636" t="str"/>
      <x:c r="O636" t="str">
        <x:v>https://www.activesportstrade.co.uk/biotech-usa-trade</x:v>
      </x:c>
      <x:c r="P636" t="str"/>
      <x:c r="Q636" t="str"/>
      <x:c r="R636" t="str"/>
      <x:c r="S636" t="str">
        <x:v>Pending genuine supplier/brand image</x:v>
      </x:c>
      <x:c r="T636" s="54" t="n">
        <x:v>3.39</x:v>
      </x:c>
      <x:c r="U636" s="47" t="n">
        <x:v>0.2</x:v>
      </x:c>
      <x:c r="V636" s="54" t="n">
        <x:f>IF(ISNUMBER(T636),T636*(1+U636),"")</x:f>
        <x:v>4.068</x:v>
      </x:c>
      <x:c r="W636" s="47" t="n">
        <x:v>0.3</x:v>
      </x:c>
      <x:c r="X636" s="54" t="n">
        <x:f>IF(ISNUMBER(V636),V636/(1-W636),"")</x:f>
        <x:v>5.811428571428571</x:v>
      </x:c>
      <x:c r="Y636" s="55" t="n">
        <x:f>IF(ISNUMBER(X636),ROUNDUP(X636,0),"")</x:f>
        <x:v>6</x:v>
      </x:c>
      <x:c r="Z636" t="str">
        <x:v>Source match pending</x:v>
      </x:c>
      <x:c r="AA636" t="str">
        <x:v>screencapture-www-activesportstrade-co-uk-biotech-usa-trade-2026-09-10-09_04_18.pdf / page-10</x:v>
      </x:c>
      <x:c r="AB636" s="36" t="n">
        <x:f>IF(ISNUMBER(Y636),ROUND(Y636*0.9,2),"")</x:f>
        <x:v>5.4</x:v>
      </x:c>
      <x:c r="AC636" s="36" t="n">
        <x:f>IF(ISNUMBER(AB636),ROUND(AB636-(AB636*0.015+0.2)-V636,2),"")</x:f>
        <x:v>1.05</x:v>
      </x:c>
      <x:c r="AD636" s="36" t="n">
        <x:f>IF(ISNUMBER(Y636),ROUND(Y636*0.8,2),"")</x:f>
        <x:v>4.8</x:v>
      </x:c>
      <x:c r="AE636" s="36" t="n">
        <x:f>IF(ISNUMBER(AD636),ROUND(AD636*0.015+0.2,2),"")</x:f>
        <x:v>0.27</x:v>
      </x:c>
      <x:c r="AF636" s="36" t="n">
        <x:f>IF(ISNUMBER(AD636),ROUND(AD636-AE636-V636,2),"")</x:f>
        <x:v>0.46</x:v>
      </x:c>
      <x:c r="AG636" t="str">
        <x:f>IF(NOT(ISNUMBER(T636)),"PENDING",IF(AF636&gt;0,"PASS","FAIL"))</x:f>
        <x:v>PASS</x:v>
      </x:c>
      <x:c r="AH636" t="str">
        <x:f>IF(NOT(ISNUMBER(T636)),"Needs supplier cost",IF(K636&lt;&gt;"In stock","Supplier unavailable",IF(AG636&lt;&gt;"PASS","BLOCK - GT loss risk","Commercially protected")))</x:f>
        <x:v>Commercially protected</x:v>
      </x:c>
      <x:c r="AI636" t="str">
        <x:v>2026-09-10 Active Sports trade capture</x:v>
      </x:c>
      <x:c r="AJ636" t="str">
        <x:v>Management-only economics. Stripe stress test uses 1.5% + £0.20 standard UK online-card fee; pallet/mix-and-match pricing ignored.</x:v>
      </x:c>
    </x:row>
    <x:row r="637">
      <x:c r="A637" t="str">
        <x:v>Active Sports Nutrition</x:v>
      </x:c>
      <x:c r="B637" t="str">
        <x:v>Biotech USA</x:v>
      </x:c>
      <x:c r="C637" t="str">
        <x:v>ZMB</x:v>
      </x:c>
      <x:c r="D637" t="str">
        <x:v>Supplements</x:v>
      </x:c>
      <x:c r="E637" t="str">
        <x:v>Sleep Aids</x:v>
      </x:c>
      <x:c r="F637" t="str">
        <x:v>Zinc, magnesium and vitamin B6 capsule formula.</x:v>
      </x:c>
      <x:c r="G637" t="str">
        <x:v>60 caps</x:v>
      </x:c>
      <x:c r="H637" t="str">
        <x:v>Default</x:v>
      </x:c>
      <x:c r="I637" t="str"/>
      <x:c r="J637" t="str">
        <x:v>Unit</x:v>
      </x:c>
      <x:c r="K637" t="str">
        <x:v>In stock</x:v>
      </x:c>
      <x:c r="L637" t="str">
        <x:v>2026-09-08</x:v>
      </x:c>
      <x:c r="M637" t="str"/>
      <x:c r="N637" t="str"/>
      <x:c r="O637" t="str">
        <x:v>https://www.activesportstrade.co.uk/biotech-usa-trade</x:v>
      </x:c>
      <x:c r="P637" t="str"/>
      <x:c r="Q637" t="str"/>
      <x:c r="R637" t="str"/>
      <x:c r="S637" t="str">
        <x:v>Pending genuine supplier/brand image</x:v>
      </x:c>
      <x:c r="T637" s="54" t="n">
        <x:v>6.1</x:v>
      </x:c>
      <x:c r="U637" s="47" t="n">
        <x:v>0.2</x:v>
      </x:c>
      <x:c r="V637" s="54" t="n">
        <x:f>IF(ISNUMBER(T637),T637*(1+U637),"")</x:f>
        <x:v>7.319999999999999</x:v>
      </x:c>
      <x:c r="W637" s="47" t="n">
        <x:v>0.3</x:v>
      </x:c>
      <x:c r="X637" s="54" t="n">
        <x:f>IF(ISNUMBER(V637),V637/(1-W637),"")</x:f>
        <x:v>10.457142857142857</x:v>
      </x:c>
      <x:c r="Y637" s="55" t="n">
        <x:f>IF(ISNUMBER(X637),ROUNDUP(X637,0),"")</x:f>
        <x:v>11</x:v>
      </x:c>
      <x:c r="Z637" t="str">
        <x:v>Source match pending</x:v>
      </x:c>
      <x:c r="AA637" t="str">
        <x:v>screencapture-www-activesportstrade-co-uk-biotech-usa-trade-2026-09-10-09_04_18.pdf / page-10</x:v>
      </x:c>
      <x:c r="AB637" s="36" t="n">
        <x:f>IF(ISNUMBER(Y637),ROUND(Y637*0.9,2),"")</x:f>
        <x:v>9.9</x:v>
      </x:c>
      <x:c r="AC637" s="36" t="n">
        <x:f>IF(ISNUMBER(AB637),ROUND(AB637-(AB637*0.015+0.2)-V637,2),"")</x:f>
        <x:v>2.23</x:v>
      </x:c>
      <x:c r="AD637" s="36" t="n">
        <x:f>IF(ISNUMBER(Y637),ROUND(Y637*0.8,2),"")</x:f>
        <x:v>8.8</x:v>
      </x:c>
      <x:c r="AE637" s="36" t="n">
        <x:f>IF(ISNUMBER(AD637),ROUND(AD637*0.015+0.2,2),"")</x:f>
        <x:v>0.33</x:v>
      </x:c>
      <x:c r="AF637" s="36" t="n">
        <x:f>IF(ISNUMBER(AD637),ROUND(AD637-AE637-V637,2),"")</x:f>
        <x:v>1.15</x:v>
      </x:c>
      <x:c r="AG637" t="str">
        <x:f>IF(NOT(ISNUMBER(T637)),"PENDING",IF(AF637&gt;0,"PASS","FAIL"))</x:f>
        <x:v>PASS</x:v>
      </x:c>
      <x:c r="AH637" t="str">
        <x:f>IF(NOT(ISNUMBER(T637)),"Needs supplier cost",IF(K637&lt;&gt;"In stock","Supplier unavailable",IF(AG637&lt;&gt;"PASS","BLOCK - GT loss risk","Commercially protected")))</x:f>
        <x:v>Commercially protected</x:v>
      </x:c>
      <x:c r="AI637" t="str">
        <x:v>2026-09-10 Active Sports trade capture</x:v>
      </x:c>
      <x:c r="AJ637" t="str">
        <x:v>Management-only economics. Stripe stress test uses 1.5% + £0.20 standard UK online-card fee; pallet/mix-and-match pricing ignored.</x:v>
      </x:c>
    </x:row>
    <x:row r="638">
      <x:c r="A638" t="str">
        <x:v>Active Sports Nutrition</x:v>
      </x:c>
      <x:c r="B638" t="str">
        <x:v>Black Magic</x:v>
      </x:c>
      <x:c r="C638" t="str">
        <x:v>BZRK Pre Workout</x:v>
      </x:c>
      <x:c r="D638" t="str">
        <x:v>Pre Workouts</x:v>
      </x:c>
      <x:c r="E638" t="str">
        <x:v>High Stim</x:v>
      </x:c>
      <x:c r="F638" t="str">
        <x:v>High-stimulant pre-workout.</x:v>
      </x:c>
      <x:c r="G638" t="str">
        <x:v>25 servings</x:v>
      </x:c>
      <x:c r="H638" t="str">
        <x:v>Cherry Lime</x:v>
      </x:c>
      <x:c r="I638" t="str"/>
      <x:c r="J638" t="str">
        <x:v>Unit</x:v>
      </x:c>
      <x:c r="K638" t="str">
        <x:v>Out of stock</x:v>
      </x:c>
      <x:c r="L638" t="str">
        <x:v>2026-09-08</x:v>
      </x:c>
      <x:c r="M638" t="str"/>
      <x:c r="N638" t="str"/>
      <x:c r="O638" t="str">
        <x:v>https://www.activesportstrade.co.uk/high-stim-pre-workouts</x:v>
      </x:c>
      <x:c r="P638" t="str">
        <x:v>Current high-stim category page used; older brand page showed several flavours in stock, so current state retained.</x:v>
      </x:c>
      <x:c r="Q638" t="str"/>
      <x:c r="R638" t="str"/>
      <x:c r="S638" t="str">
        <x:v>Pending genuine supplier/brand image</x:v>
      </x:c>
      <x:c r="T638" s="54" t="n">
        <x:v>23.99</x:v>
      </x:c>
      <x:c r="U638" s="47" t="n">
        <x:v>0.2</x:v>
      </x:c>
      <x:c r="V638" s="54" t="n">
        <x:f>IF(ISNUMBER(T638),T638*(1+U638),"")</x:f>
        <x:v>28.787999999999997</x:v>
      </x:c>
      <x:c r="W638" s="47" t="n">
        <x:v>0.3</x:v>
      </x:c>
      <x:c r="X638" s="54" t="n">
        <x:f>IF(ISNUMBER(V638),V638/(1-W638),"")</x:f>
        <x:v>41.12571428571428</x:v>
      </x:c>
      <x:c r="Y638" s="55" t="n">
        <x:f>IF(ISNUMBER(X638),ROUNDUP(X638,0),"")</x:f>
        <x:v>42</x:v>
      </x:c>
      <x:c r="Z638" t="str">
        <x:v>Source match pending</x:v>
      </x:c>
      <x:c r="AA638" t="str">
        <x:v>screencapture-www-activesportstrade-co-uk-black-magic-trade-2026-09-09-18_21_20.png / page-001</x:v>
      </x:c>
      <x:c r="AB638" s="36" t="n">
        <x:f>IF(ISNUMBER(Y638),ROUND(Y638*0.9,2),"")</x:f>
        <x:v>37.8</x:v>
      </x:c>
      <x:c r="AC638" s="36" t="n">
        <x:f>IF(ISNUMBER(AB638),ROUND(AB638-(AB638*0.015+0.2)-V638,2),"")</x:f>
        <x:v>8.24</x:v>
      </x:c>
      <x:c r="AD638" s="36" t="n">
        <x:f>IF(ISNUMBER(Y638),ROUND(Y638*0.8,2),"")</x:f>
        <x:v>33.6</x:v>
      </x:c>
      <x:c r="AE638" s="36" t="n">
        <x:f>IF(ISNUMBER(AD638),ROUND(AD638*0.015+0.2,2),"")</x:f>
        <x:v>0.7</x:v>
      </x:c>
      <x:c r="AF638" s="36" t="n">
        <x:f>IF(ISNUMBER(AD638),ROUND(AD638-AE638-V638,2),"")</x:f>
        <x:v>4.11</x:v>
      </x:c>
      <x:c r="AG638" t="str">
        <x:f>IF(NOT(ISNUMBER(T638)),"PENDING",IF(AF638&gt;0,"PASS","FAIL"))</x:f>
        <x:v>PASS</x:v>
      </x:c>
      <x:c r="AH638" t="str">
        <x:f>IF(NOT(ISNUMBER(T638)),"Needs supplier cost",IF(K638&lt;&gt;"In stock","Supplier unavailable",IF(AG638&lt;&gt;"PASS","BLOCK - GT loss risk","Commercially protected")))</x:f>
        <x:v>Supplier unavailable</x:v>
      </x:c>
      <x:c r="AI638" t="str">
        <x:v>2026-09-10 Active Sports trade capture</x:v>
      </x:c>
      <x:c r="AJ638" t="str">
        <x:v>Management-only economics. Stripe stress test uses 1.5% + £0.20 standard UK online-card fee; pallet/mix-and-match pricing ignored.</x:v>
      </x:c>
    </x:row>
    <x:row r="639">
      <x:c r="A639" t="str">
        <x:v>Active Sports Nutrition</x:v>
      </x:c>
      <x:c r="B639" t="str">
        <x:v>Black Magic</x:v>
      </x:c>
      <x:c r="C639" t="str">
        <x:v>BZRK Pre Workout</x:v>
      </x:c>
      <x:c r="D639" t="str">
        <x:v>Pre Workouts</x:v>
      </x:c>
      <x:c r="E639" t="str">
        <x:v>High Stim</x:v>
      </x:c>
      <x:c r="F639" t="str">
        <x:v>High-stimulant pre-workout.</x:v>
      </x:c>
      <x:c r="G639" t="str">
        <x:v>25 servings</x:v>
      </x:c>
      <x:c r="H639" t="str">
        <x:v>Cosmic Burst</x:v>
      </x:c>
      <x:c r="I639" t="str"/>
      <x:c r="J639" t="str">
        <x:v>Unit</x:v>
      </x:c>
      <x:c r="K639" t="str">
        <x:v>Out of stock</x:v>
      </x:c>
      <x:c r="L639" t="str">
        <x:v>2026-09-08</x:v>
      </x:c>
      <x:c r="M639" t="str"/>
      <x:c r="N639" t="str"/>
      <x:c r="O639" t="str">
        <x:v>https://www.activesportstrade.co.uk/high-stim-pre-workouts</x:v>
      </x:c>
      <x:c r="P639" t="str">
        <x:v>Current high-stim category page used; older brand page showed several flavours in stock, so current state retained.</x:v>
      </x:c>
      <x:c r="Q639" t="str"/>
      <x:c r="R639" t="str"/>
      <x:c r="S639" t="str">
        <x:v>Pending genuine supplier/brand image</x:v>
      </x:c>
      <x:c r="T639" s="54" t="n">
        <x:v>23.99</x:v>
      </x:c>
      <x:c r="U639" s="47" t="n">
        <x:v>0.2</x:v>
      </x:c>
      <x:c r="V639" s="54" t="n">
        <x:f>IF(ISNUMBER(T639),T639*(1+U639),"")</x:f>
        <x:v>28.787999999999997</x:v>
      </x:c>
      <x:c r="W639" s="47" t="n">
        <x:v>0.3</x:v>
      </x:c>
      <x:c r="X639" s="54" t="n">
        <x:f>IF(ISNUMBER(V639),V639/(1-W639),"")</x:f>
        <x:v>41.12571428571428</x:v>
      </x:c>
      <x:c r="Y639" s="55" t="n">
        <x:f>IF(ISNUMBER(X639),ROUNDUP(X639,0),"")</x:f>
        <x:v>42</x:v>
      </x:c>
      <x:c r="Z639" t="str">
        <x:v>Source match pending</x:v>
      </x:c>
      <x:c r="AA639" t="str">
        <x:v>screencapture-www-activesportstrade-co-uk-black-magic-trade-2026-09-09-18_21_20.png / page-001</x:v>
      </x:c>
      <x:c r="AB639" s="36" t="n">
        <x:f>IF(ISNUMBER(Y639),ROUND(Y639*0.9,2),"")</x:f>
        <x:v>37.8</x:v>
      </x:c>
      <x:c r="AC639" s="36" t="n">
        <x:f>IF(ISNUMBER(AB639),ROUND(AB639-(AB639*0.015+0.2)-V639,2),"")</x:f>
        <x:v>8.24</x:v>
      </x:c>
      <x:c r="AD639" s="36" t="n">
        <x:f>IF(ISNUMBER(Y639),ROUND(Y639*0.8,2),"")</x:f>
        <x:v>33.6</x:v>
      </x:c>
      <x:c r="AE639" s="36" t="n">
        <x:f>IF(ISNUMBER(AD639),ROUND(AD639*0.015+0.2,2),"")</x:f>
        <x:v>0.7</x:v>
      </x:c>
      <x:c r="AF639" s="36" t="n">
        <x:f>IF(ISNUMBER(AD639),ROUND(AD639-AE639-V639,2),"")</x:f>
        <x:v>4.11</x:v>
      </x:c>
      <x:c r="AG639" t="str">
        <x:f>IF(NOT(ISNUMBER(T639)),"PENDING",IF(AF639&gt;0,"PASS","FAIL"))</x:f>
        <x:v>PASS</x:v>
      </x:c>
      <x:c r="AH639" t="str">
        <x:f>IF(NOT(ISNUMBER(T639)),"Needs supplier cost",IF(K639&lt;&gt;"In stock","Supplier unavailable",IF(AG639&lt;&gt;"PASS","BLOCK - GT loss risk","Commercially protected")))</x:f>
        <x:v>Supplier unavailable</x:v>
      </x:c>
      <x:c r="AI639" t="str">
        <x:v>2026-09-10 Active Sports trade capture</x:v>
      </x:c>
      <x:c r="AJ639" t="str">
        <x:v>Management-only economics. Stripe stress test uses 1.5% + £0.20 standard UK online-card fee; pallet/mix-and-match pricing ignored.</x:v>
      </x:c>
    </x:row>
    <x:row r="640">
      <x:c r="A640" t="str">
        <x:v>Active Sports Nutrition</x:v>
      </x:c>
      <x:c r="B640" t="str">
        <x:v>Black Magic</x:v>
      </x:c>
      <x:c r="C640" t="str">
        <x:v>BZRK Pre Workout</x:v>
      </x:c>
      <x:c r="D640" t="str">
        <x:v>Pre Workouts</x:v>
      </x:c>
      <x:c r="E640" t="str">
        <x:v>High Stim</x:v>
      </x:c>
      <x:c r="F640" t="str">
        <x:v>High-stimulant pre-workout.</x:v>
      </x:c>
      <x:c r="G640" t="str">
        <x:v>25 servings</x:v>
      </x:c>
      <x:c r="H640" t="str">
        <x:v>Crystal Blue</x:v>
      </x:c>
      <x:c r="I640" t="str"/>
      <x:c r="J640" t="str">
        <x:v>Unit</x:v>
      </x:c>
      <x:c r="K640" t="str">
        <x:v>Out of stock</x:v>
      </x:c>
      <x:c r="L640" t="str">
        <x:v>2026-09-08</x:v>
      </x:c>
      <x:c r="M640" t="str"/>
      <x:c r="N640" t="str"/>
      <x:c r="O640" t="str">
        <x:v>https://www.activesportstrade.co.uk/high-stim-pre-workouts</x:v>
      </x:c>
      <x:c r="P640" t="str">
        <x:v>Current high-stim category page used; older brand page showed several flavours in stock, so current state retained.</x:v>
      </x:c>
      <x:c r="Q640" t="str"/>
      <x:c r="R640" t="str"/>
      <x:c r="S640" t="str">
        <x:v>Pending genuine supplier/brand image</x:v>
      </x:c>
      <x:c r="T640" s="54" t="n">
        <x:v>23.99</x:v>
      </x:c>
      <x:c r="U640" s="47" t="n">
        <x:v>0.2</x:v>
      </x:c>
      <x:c r="V640" s="54" t="n">
        <x:f>IF(ISNUMBER(T640),T640*(1+U640),"")</x:f>
        <x:v>28.787999999999997</x:v>
      </x:c>
      <x:c r="W640" s="47" t="n">
        <x:v>0.3</x:v>
      </x:c>
      <x:c r="X640" s="54" t="n">
        <x:f>IF(ISNUMBER(V640),V640/(1-W640),"")</x:f>
        <x:v>41.12571428571428</x:v>
      </x:c>
      <x:c r="Y640" s="55" t="n">
        <x:f>IF(ISNUMBER(X640),ROUNDUP(X640,0),"")</x:f>
        <x:v>42</x:v>
      </x:c>
      <x:c r="Z640" t="str">
        <x:v>Source match pending</x:v>
      </x:c>
      <x:c r="AA640" t="str">
        <x:v>screencapture-www-activesportstrade-co-uk-black-magic-trade-2026-09-09-18_21_20.png / page-001</x:v>
      </x:c>
      <x:c r="AB640" s="36" t="n">
        <x:f>IF(ISNUMBER(Y640),ROUND(Y640*0.9,2),"")</x:f>
        <x:v>37.8</x:v>
      </x:c>
      <x:c r="AC640" s="36" t="n">
        <x:f>IF(ISNUMBER(AB640),ROUND(AB640-(AB640*0.015+0.2)-V640,2),"")</x:f>
        <x:v>8.24</x:v>
      </x:c>
      <x:c r="AD640" s="36" t="n">
        <x:f>IF(ISNUMBER(Y640),ROUND(Y640*0.8,2),"")</x:f>
        <x:v>33.6</x:v>
      </x:c>
      <x:c r="AE640" s="36" t="n">
        <x:f>IF(ISNUMBER(AD640),ROUND(AD640*0.015+0.2,2),"")</x:f>
        <x:v>0.7</x:v>
      </x:c>
      <x:c r="AF640" s="36" t="n">
        <x:f>IF(ISNUMBER(AD640),ROUND(AD640-AE640-V640,2),"")</x:f>
        <x:v>4.11</x:v>
      </x:c>
      <x:c r="AG640" t="str">
        <x:f>IF(NOT(ISNUMBER(T640)),"PENDING",IF(AF640&gt;0,"PASS","FAIL"))</x:f>
        <x:v>PASS</x:v>
      </x:c>
      <x:c r="AH640" t="str">
        <x:f>IF(NOT(ISNUMBER(T640)),"Needs supplier cost",IF(K640&lt;&gt;"In stock","Supplier unavailable",IF(AG640&lt;&gt;"PASS","BLOCK - GT loss risk","Commercially protected")))</x:f>
        <x:v>Supplier unavailable</x:v>
      </x:c>
      <x:c r="AI640" t="str">
        <x:v>2026-09-10 Active Sports trade capture</x:v>
      </x:c>
      <x:c r="AJ640" t="str">
        <x:v>Management-only economics. Stripe stress test uses 1.5% + £0.20 standard UK online-card fee; pallet/mix-and-match pricing ignored.</x:v>
      </x:c>
    </x:row>
    <x:row r="641">
      <x:c r="A641" t="str">
        <x:v>Active Sports Nutrition</x:v>
      </x:c>
      <x:c r="B641" t="str">
        <x:v>Black Magic</x:v>
      </x:c>
      <x:c r="C641" t="str">
        <x:v>BZRK Pre Workout</x:v>
      </x:c>
      <x:c r="D641" t="str">
        <x:v>Pre Workouts</x:v>
      </x:c>
      <x:c r="E641" t="str">
        <x:v>High Stim</x:v>
      </x:c>
      <x:c r="F641" t="str">
        <x:v>High-stimulant pre-workout.</x:v>
      </x:c>
      <x:c r="G641" t="str">
        <x:v>25 servings</x:v>
      </x:c>
      <x:c r="H641" t="str">
        <x:v>Lemon Raz Icy</x:v>
      </x:c>
      <x:c r="I641" t="str"/>
      <x:c r="J641" t="str">
        <x:v>Unit</x:v>
      </x:c>
      <x:c r="K641" t="str">
        <x:v>Out of stock</x:v>
      </x:c>
      <x:c r="L641" t="str">
        <x:v>2026-09-08</x:v>
      </x:c>
      <x:c r="M641" t="str"/>
      <x:c r="N641" t="str"/>
      <x:c r="O641" t="str">
        <x:v>https://www.activesportstrade.co.uk/high-stim-pre-workouts</x:v>
      </x:c>
      <x:c r="P641" t="str">
        <x:v>Current high-stim category page used; older brand page showed several flavours in stock, so current state retained.</x:v>
      </x:c>
      <x:c r="Q641" t="str"/>
      <x:c r="R641" t="str"/>
      <x:c r="S641" t="str">
        <x:v>Pending genuine supplier/brand image</x:v>
      </x:c>
      <x:c r="T641" s="54" t="n">
        <x:v>23.99</x:v>
      </x:c>
      <x:c r="U641" s="47" t="n">
        <x:v>0.2</x:v>
      </x:c>
      <x:c r="V641" s="54" t="n">
        <x:f>IF(ISNUMBER(T641),T641*(1+U641),"")</x:f>
        <x:v>28.787999999999997</x:v>
      </x:c>
      <x:c r="W641" s="47" t="n">
        <x:v>0.3</x:v>
      </x:c>
      <x:c r="X641" s="54" t="n">
        <x:f>IF(ISNUMBER(V641),V641/(1-W641),"")</x:f>
        <x:v>41.12571428571428</x:v>
      </x:c>
      <x:c r="Y641" s="55" t="n">
        <x:f>IF(ISNUMBER(X641),ROUNDUP(X641,0),"")</x:f>
        <x:v>42</x:v>
      </x:c>
      <x:c r="Z641" t="str">
        <x:v>Source match pending</x:v>
      </x:c>
      <x:c r="AA641" t="str">
        <x:v>screencapture-www-activesportstrade-co-uk-black-magic-trade-2026-09-09-18_21_20.png / page-001</x:v>
      </x:c>
      <x:c r="AB641" s="36" t="n">
        <x:f>IF(ISNUMBER(Y641),ROUND(Y641*0.9,2),"")</x:f>
        <x:v>37.8</x:v>
      </x:c>
      <x:c r="AC641" s="36" t="n">
        <x:f>IF(ISNUMBER(AB641),ROUND(AB641-(AB641*0.015+0.2)-V641,2),"")</x:f>
        <x:v>8.24</x:v>
      </x:c>
      <x:c r="AD641" s="36" t="n">
        <x:f>IF(ISNUMBER(Y641),ROUND(Y641*0.8,2),"")</x:f>
        <x:v>33.6</x:v>
      </x:c>
      <x:c r="AE641" s="36" t="n">
        <x:f>IF(ISNUMBER(AD641),ROUND(AD641*0.015+0.2,2),"")</x:f>
        <x:v>0.7</x:v>
      </x:c>
      <x:c r="AF641" s="36" t="n">
        <x:f>IF(ISNUMBER(AD641),ROUND(AD641-AE641-V641,2),"")</x:f>
        <x:v>4.11</x:v>
      </x:c>
      <x:c r="AG641" t="str">
        <x:f>IF(NOT(ISNUMBER(T641)),"PENDING",IF(AF641&gt;0,"PASS","FAIL"))</x:f>
        <x:v>PASS</x:v>
      </x:c>
      <x:c r="AH641" t="str">
        <x:f>IF(NOT(ISNUMBER(T641)),"Needs supplier cost",IF(K641&lt;&gt;"In stock","Supplier unavailable",IF(AG641&lt;&gt;"PASS","BLOCK - GT loss risk","Commercially protected")))</x:f>
        <x:v>Supplier unavailable</x:v>
      </x:c>
      <x:c r="AI641" t="str">
        <x:v>2026-09-10 Active Sports trade capture</x:v>
      </x:c>
      <x:c r="AJ641" t="str">
        <x:v>Management-only economics. Stripe stress test uses 1.5% + £0.20 standard UK online-card fee; pallet/mix-and-match pricing ignored.</x:v>
      </x:c>
    </x:row>
    <x:row r="642">
      <x:c r="A642" t="str">
        <x:v>Active Sports Nutrition</x:v>
      </x:c>
      <x:c r="B642" t="str">
        <x:v>Black Magic</x:v>
      </x:c>
      <x:c r="C642" t="str">
        <x:v>BZRK Pre Workout</x:v>
      </x:c>
      <x:c r="D642" t="str">
        <x:v>Pre Workouts</x:v>
      </x:c>
      <x:c r="E642" t="str">
        <x:v>High Stim</x:v>
      </x:c>
      <x:c r="F642" t="str">
        <x:v>High-stimulant pre-workout.</x:v>
      </x:c>
      <x:c r="G642" t="str">
        <x:v>25 servings</x:v>
      </x:c>
      <x:c r="H642" t="str">
        <x:v>Mango Sunrise</x:v>
      </x:c>
      <x:c r="I642" t="str"/>
      <x:c r="J642" t="str">
        <x:v>Unit</x:v>
      </x:c>
      <x:c r="K642" t="str">
        <x:v>Out of stock</x:v>
      </x:c>
      <x:c r="L642" t="str">
        <x:v>2026-09-08</x:v>
      </x:c>
      <x:c r="M642" t="str"/>
      <x:c r="N642" t="str"/>
      <x:c r="O642" t="str">
        <x:v>https://www.activesportstrade.co.uk/high-stim-pre-workouts</x:v>
      </x:c>
      <x:c r="P642" t="str">
        <x:v>Current high-stim category page used; older brand page showed several flavours in stock, so current state retained.</x:v>
      </x:c>
      <x:c r="Q642" t="str"/>
      <x:c r="R642" t="str"/>
      <x:c r="S642" t="str">
        <x:v>Pending genuine supplier/brand image</x:v>
      </x:c>
      <x:c r="T642" s="54" t="n">
        <x:v>23.99</x:v>
      </x:c>
      <x:c r="U642" s="47" t="n">
        <x:v>0.2</x:v>
      </x:c>
      <x:c r="V642" s="54" t="n">
        <x:f>IF(ISNUMBER(T642),T642*(1+U642),"")</x:f>
        <x:v>28.787999999999997</x:v>
      </x:c>
      <x:c r="W642" s="47" t="n">
        <x:v>0.3</x:v>
      </x:c>
      <x:c r="X642" s="54" t="n">
        <x:f>IF(ISNUMBER(V642),V642/(1-W642),"")</x:f>
        <x:v>41.12571428571428</x:v>
      </x:c>
      <x:c r="Y642" s="55" t="n">
        <x:f>IF(ISNUMBER(X642),ROUNDUP(X642,0),"")</x:f>
        <x:v>42</x:v>
      </x:c>
      <x:c r="Z642" t="str">
        <x:v>Source match pending</x:v>
      </x:c>
      <x:c r="AA642" t="str">
        <x:v>screencapture-www-activesportstrade-co-uk-black-magic-trade-2026-09-09-18_21_20.png / page-001</x:v>
      </x:c>
      <x:c r="AB642" s="36" t="n">
        <x:f>IF(ISNUMBER(Y642),ROUND(Y642*0.9,2),"")</x:f>
        <x:v>37.8</x:v>
      </x:c>
      <x:c r="AC642" s="36" t="n">
        <x:f>IF(ISNUMBER(AB642),ROUND(AB642-(AB642*0.015+0.2)-V642,2),"")</x:f>
        <x:v>8.24</x:v>
      </x:c>
      <x:c r="AD642" s="36" t="n">
        <x:f>IF(ISNUMBER(Y642),ROUND(Y642*0.8,2),"")</x:f>
        <x:v>33.6</x:v>
      </x:c>
      <x:c r="AE642" s="36" t="n">
        <x:f>IF(ISNUMBER(AD642),ROUND(AD642*0.015+0.2,2),"")</x:f>
        <x:v>0.7</x:v>
      </x:c>
      <x:c r="AF642" s="36" t="n">
        <x:f>IF(ISNUMBER(AD642),ROUND(AD642-AE642-V642,2),"")</x:f>
        <x:v>4.11</x:v>
      </x:c>
      <x:c r="AG642" t="str">
        <x:f>IF(NOT(ISNUMBER(T642)),"PENDING",IF(AF642&gt;0,"PASS","FAIL"))</x:f>
        <x:v>PASS</x:v>
      </x:c>
      <x:c r="AH642" t="str">
        <x:f>IF(NOT(ISNUMBER(T642)),"Needs supplier cost",IF(K642&lt;&gt;"In stock","Supplier unavailable",IF(AG642&lt;&gt;"PASS","BLOCK - GT loss risk","Commercially protected")))</x:f>
        <x:v>Supplier unavailable</x:v>
      </x:c>
      <x:c r="AI642" t="str">
        <x:v>2026-09-10 Active Sports trade capture</x:v>
      </x:c>
      <x:c r="AJ642" t="str">
        <x:v>Management-only economics. Stripe stress test uses 1.5% + £0.20 standard UK online-card fee; pallet/mix-and-match pricing ignored.</x:v>
      </x:c>
    </x:row>
    <x:row r="643">
      <x:c r="A643" t="str">
        <x:v>Active Sports Nutrition</x:v>
      </x:c>
      <x:c r="B643" t="str">
        <x:v>Black Magic</x:v>
      </x:c>
      <x:c r="C643" t="str">
        <x:v>BZRK Pre Workout</x:v>
      </x:c>
      <x:c r="D643" t="str">
        <x:v>Pre Workouts</x:v>
      </x:c>
      <x:c r="E643" t="str">
        <x:v>High Stim</x:v>
      </x:c>
      <x:c r="F643" t="str">
        <x:v>High-stimulant pre-workout.</x:v>
      </x:c>
      <x:c r="G643" t="str">
        <x:v>25 servings</x:v>
      </x:c>
      <x:c r="H643" t="str">
        <x:v>Orange Cooler</x:v>
      </x:c>
      <x:c r="I643" t="str"/>
      <x:c r="J643" t="str">
        <x:v>Unit</x:v>
      </x:c>
      <x:c r="K643" t="str">
        <x:v>Out of stock</x:v>
      </x:c>
      <x:c r="L643" t="str">
        <x:v>2026-09-08</x:v>
      </x:c>
      <x:c r="M643" t="str"/>
      <x:c r="N643" t="str"/>
      <x:c r="O643" t="str">
        <x:v>https://www.activesportstrade.co.uk/high-stim-pre-workouts</x:v>
      </x:c>
      <x:c r="P643" t="str">
        <x:v>Current high-stim category page used; older brand page showed several flavours in stock, so current state retained.</x:v>
      </x:c>
      <x:c r="Q643" t="str"/>
      <x:c r="R643" t="str"/>
      <x:c r="S643" t="str">
        <x:v>Pending genuine supplier/brand image</x:v>
      </x:c>
      <x:c r="T643" s="54" t="n">
        <x:v>23.99</x:v>
      </x:c>
      <x:c r="U643" s="47" t="n">
        <x:v>0.2</x:v>
      </x:c>
      <x:c r="V643" s="54" t="n">
        <x:f>IF(ISNUMBER(T643),T643*(1+U643),"")</x:f>
        <x:v>28.787999999999997</x:v>
      </x:c>
      <x:c r="W643" s="47" t="n">
        <x:v>0.3</x:v>
      </x:c>
      <x:c r="X643" s="54" t="n">
        <x:f>IF(ISNUMBER(V643),V643/(1-W643),"")</x:f>
        <x:v>41.12571428571428</x:v>
      </x:c>
      <x:c r="Y643" s="55" t="n">
        <x:f>IF(ISNUMBER(X643),ROUNDUP(X643,0),"")</x:f>
        <x:v>42</x:v>
      </x:c>
      <x:c r="Z643" t="str">
        <x:v>Source match pending</x:v>
      </x:c>
      <x:c r="AA643" t="str">
        <x:v>screencapture-www-activesportstrade-co-uk-black-magic-trade-2026-09-09-18_21_20.png / page-001</x:v>
      </x:c>
      <x:c r="AB643" s="36" t="n">
        <x:f>IF(ISNUMBER(Y643),ROUND(Y643*0.9,2),"")</x:f>
        <x:v>37.8</x:v>
      </x:c>
      <x:c r="AC643" s="36" t="n">
        <x:f>IF(ISNUMBER(AB643),ROUND(AB643-(AB643*0.015+0.2)-V643,2),"")</x:f>
        <x:v>8.24</x:v>
      </x:c>
      <x:c r="AD643" s="36" t="n">
        <x:f>IF(ISNUMBER(Y643),ROUND(Y643*0.8,2),"")</x:f>
        <x:v>33.6</x:v>
      </x:c>
      <x:c r="AE643" s="36" t="n">
        <x:f>IF(ISNUMBER(AD643),ROUND(AD643*0.015+0.2,2),"")</x:f>
        <x:v>0.7</x:v>
      </x:c>
      <x:c r="AF643" s="36" t="n">
        <x:f>IF(ISNUMBER(AD643),ROUND(AD643-AE643-V643,2),"")</x:f>
        <x:v>4.11</x:v>
      </x:c>
      <x:c r="AG643" t="str">
        <x:f>IF(NOT(ISNUMBER(T643)),"PENDING",IF(AF643&gt;0,"PASS","FAIL"))</x:f>
        <x:v>PASS</x:v>
      </x:c>
      <x:c r="AH643" t="str">
        <x:f>IF(NOT(ISNUMBER(T643)),"Needs supplier cost",IF(K643&lt;&gt;"In stock","Supplier unavailable",IF(AG643&lt;&gt;"PASS","BLOCK - GT loss risk","Commercially protected")))</x:f>
        <x:v>Supplier unavailable</x:v>
      </x:c>
      <x:c r="AI643" t="str">
        <x:v>2026-09-10 Active Sports trade capture</x:v>
      </x:c>
      <x:c r="AJ643" t="str">
        <x:v>Management-only economics. Stripe stress test uses 1.5% + £0.20 standard UK online-card fee; pallet/mix-and-match pricing ignored.</x:v>
      </x:c>
    </x:row>
    <x:row r="644">
      <x:c r="A644" t="str">
        <x:v>Active Sports Nutrition</x:v>
      </x:c>
      <x:c r="B644" t="str">
        <x:v>Black Magic</x:v>
      </x:c>
      <x:c r="C644" t="str">
        <x:v>BZRK Pre Workout</x:v>
      </x:c>
      <x:c r="D644" t="str">
        <x:v>Pre Workouts</x:v>
      </x:c>
      <x:c r="E644" t="str">
        <x:v>High Stim</x:v>
      </x:c>
      <x:c r="F644" t="str">
        <x:v>High-stimulant pre-workout.</x:v>
      </x:c>
      <x:c r="G644" t="str">
        <x:v>25 servings</x:v>
      </x:c>
      <x:c r="H644" t="str">
        <x:v>Peach Rings</x:v>
      </x:c>
      <x:c r="I644" t="str"/>
      <x:c r="J644" t="str">
        <x:v>Unit</x:v>
      </x:c>
      <x:c r="K644" t="str">
        <x:v>Out of stock</x:v>
      </x:c>
      <x:c r="L644" t="str">
        <x:v>2026-09-08</x:v>
      </x:c>
      <x:c r="M644" t="str"/>
      <x:c r="N644" t="str"/>
      <x:c r="O644" t="str">
        <x:v>https://www.activesportstrade.co.uk/high-stim-pre-workouts</x:v>
      </x:c>
      <x:c r="P644" t="str">
        <x:v>Current high-stim category page used; older brand page showed several flavours in stock, so current state retained.</x:v>
      </x:c>
      <x:c r="Q644" t="str"/>
      <x:c r="R644" t="str"/>
      <x:c r="S644" t="str">
        <x:v>Pending genuine supplier/brand image</x:v>
      </x:c>
      <x:c r="T644" s="54" t="n">
        <x:v>23.99</x:v>
      </x:c>
      <x:c r="U644" s="47" t="n">
        <x:v>0.2</x:v>
      </x:c>
      <x:c r="V644" s="54" t="n">
        <x:f>IF(ISNUMBER(T644),T644*(1+U644),"")</x:f>
        <x:v>28.787999999999997</x:v>
      </x:c>
      <x:c r="W644" s="47" t="n">
        <x:v>0.3</x:v>
      </x:c>
      <x:c r="X644" s="54" t="n">
        <x:f>IF(ISNUMBER(V644),V644/(1-W644),"")</x:f>
        <x:v>41.12571428571428</x:v>
      </x:c>
      <x:c r="Y644" s="55" t="n">
        <x:f>IF(ISNUMBER(X644),ROUNDUP(X644,0),"")</x:f>
        <x:v>42</x:v>
      </x:c>
      <x:c r="Z644" t="str">
        <x:v>Source match pending</x:v>
      </x:c>
      <x:c r="AA644" t="str">
        <x:v>screencapture-www-activesportstrade-co-uk-black-magic-trade-2026-09-09-18_21_20.png / page-001</x:v>
      </x:c>
      <x:c r="AB644" s="36" t="n">
        <x:f>IF(ISNUMBER(Y644),ROUND(Y644*0.9,2),"")</x:f>
        <x:v>37.8</x:v>
      </x:c>
      <x:c r="AC644" s="36" t="n">
        <x:f>IF(ISNUMBER(AB644),ROUND(AB644-(AB644*0.015+0.2)-V644,2),"")</x:f>
        <x:v>8.24</x:v>
      </x:c>
      <x:c r="AD644" s="36" t="n">
        <x:f>IF(ISNUMBER(Y644),ROUND(Y644*0.8,2),"")</x:f>
        <x:v>33.6</x:v>
      </x:c>
      <x:c r="AE644" s="36" t="n">
        <x:f>IF(ISNUMBER(AD644),ROUND(AD644*0.015+0.2,2),"")</x:f>
        <x:v>0.7</x:v>
      </x:c>
      <x:c r="AF644" s="36" t="n">
        <x:f>IF(ISNUMBER(AD644),ROUND(AD644-AE644-V644,2),"")</x:f>
        <x:v>4.11</x:v>
      </x:c>
      <x:c r="AG644" t="str">
        <x:f>IF(NOT(ISNUMBER(T644)),"PENDING",IF(AF644&gt;0,"PASS","FAIL"))</x:f>
        <x:v>PASS</x:v>
      </x:c>
      <x:c r="AH644" t="str">
        <x:f>IF(NOT(ISNUMBER(T644)),"Needs supplier cost",IF(K644&lt;&gt;"In stock","Supplier unavailable",IF(AG644&lt;&gt;"PASS","BLOCK - GT loss risk","Commercially protected")))</x:f>
        <x:v>Supplier unavailable</x:v>
      </x:c>
      <x:c r="AI644" t="str">
        <x:v>2026-09-10 Active Sports trade capture</x:v>
      </x:c>
      <x:c r="AJ644" t="str">
        <x:v>Management-only economics. Stripe stress test uses 1.5% + £0.20 standard UK online-card fee; pallet/mix-and-match pricing ignored.</x:v>
      </x:c>
    </x:row>
    <x:row r="645">
      <x:c r="A645" t="str">
        <x:v>Active Sports Nutrition</x:v>
      </x:c>
      <x:c r="B645" t="str">
        <x:v>Black Mamba</x:v>
      </x:c>
      <x:c r="C645" t="str">
        <x:v>Arachidon</x:v>
      </x:c>
      <x:c r="D645" t="str">
        <x:v>Supplements</x:v>
      </x:c>
      <x:c r="E645" t="str">
        <x:v>Testosterone Boosters</x:v>
      </x:c>
      <x:c r="F645" t="str"/>
      <x:c r="G645" t="str">
        <x:v>60 caps</x:v>
      </x:c>
      <x:c r="H645" t="str">
        <x:v>Default</x:v>
      </x:c>
      <x:c r="I645" t="str"/>
      <x:c r="J645" t="str">
        <x:v>Unit</x:v>
      </x:c>
      <x:c r="K645" t="str">
        <x:v>Out of stock</x:v>
      </x:c>
      <x:c r="L645" t="str">
        <x:v>2026-09-08</x:v>
      </x:c>
      <x:c r="M645" t="str"/>
      <x:c r="N645" t="str"/>
      <x:c r="O645" t="str">
        <x:v>https://www.activesportstrade.co.uk/trade-sports-supplements/black-mamba-trade</x:v>
      </x:c>
      <x:c r="P645" t="str">
        <x:v>Supplier SPECIAL OFFER / BUY X GET X / strength boilerplate removed from canonical title where present.</x:v>
      </x:c>
      <x:c r="Q645" t="str"/>
      <x:c r="R645" t="str"/>
      <x:c r="S645" t="str">
        <x:v>Pending genuine supplier/brand image</x:v>
      </x:c>
      <x:c r="T645" s="54"/>
      <x:c r="U645" s="47" t="n">
        <x:v>0.2</x:v>
      </x:c>
      <x:c r="V645" s="54" t="str">
        <x:f>IF(ISNUMBER(T645),T645*(1+U645),"")</x:f>
      </x:c>
      <x:c r="W645" s="47" t="n">
        <x:v>0.3</x:v>
      </x:c>
      <x:c r="X645" s="54" t="str">
        <x:f>IF(ISNUMBER(V645),V645/(1-W645),"")</x:f>
      </x:c>
      <x:c r="Y645" s="55" t="str">
        <x:f>IF(ISNUMBER(X645),ROUNDUP(X645,0),"")</x:f>
      </x:c>
      <x:c r="Z645" t="str">
        <x:f>IF(ISNUMBER(T645),"Cost captured","Awaiting trade cost")</x:f>
        <x:v>Awaiting trade cost</x:v>
      </x:c>
      <x:c r="AB645" s="36" t="str">
        <x:f>IF(ISNUMBER(Y645),ROUND(Y645*0.9,2),"")</x:f>
      </x:c>
      <x:c r="AC645" s="36" t="str">
        <x:f>IF(ISNUMBER(AB645),ROUND(AB645-(AB645*0.015+0.2)-V645,2),"")</x:f>
      </x:c>
      <x:c r="AD645" s="36" t="str">
        <x:f>IF(ISNUMBER(Y645),ROUND(Y645*0.8,2),"")</x:f>
      </x:c>
      <x:c r="AE645" s="36" t="str">
        <x:f>IF(ISNUMBER(AD645),ROUND(AD645*0.015+0.2,2),"")</x:f>
      </x:c>
      <x:c r="AF645" s="36" t="str">
        <x:f>IF(ISNUMBER(AD645),ROUND(AD645-AE645-V645,2),"")</x:f>
      </x:c>
      <x:c r="AG645" t="str">
        <x:f>IF(NOT(ISNUMBER(T645)),"PENDING",IF(AF645&gt;0,"PASS","FAIL"))</x:f>
        <x:v>PENDING</x:v>
      </x:c>
      <x:c r="AH645" t="str">
        <x:f>IF(NOT(ISNUMBER(T645)),"Needs supplier cost",IF(K645&lt;&gt;"In stock","Supplier unavailable",IF(AG645&lt;&gt;"PASS","BLOCK - GT loss risk","Commercially protected")))</x:f>
        <x:v>Needs supplier cost</x:v>
      </x:c>
      <x:c r="AI645" t="str">
        <x:v>2026-09-10 Active Sports trade capture</x:v>
      </x:c>
      <x:c r="AJ645" t="str">
        <x:v>Management-only economics. Stripe stress test uses 1.5% + £0.20 standard UK online-card fee; pallet/mix-and-match pricing ignored.</x:v>
      </x:c>
    </x:row>
    <x:row r="646">
      <x:c r="A646" t="str">
        <x:v>Active Sports Nutrition</x:v>
      </x:c>
      <x:c r="B646" t="str">
        <x:v>Black Mamba</x:v>
      </x:c>
      <x:c r="C646" t="str">
        <x:v>Berberine HCL</x:v>
      </x:c>
      <x:c r="D646" t="str">
        <x:v>Supplements</x:v>
      </x:c>
      <x:c r="E646" t="str">
        <x:v>Health Foods</x:v>
      </x:c>
      <x:c r="F646" t="str"/>
      <x:c r="G646" t="str">
        <x:v>60 caps</x:v>
      </x:c>
      <x:c r="H646" t="str">
        <x:v>Default</x:v>
      </x:c>
      <x:c r="I646" t="str"/>
      <x:c r="J646" t="str">
        <x:v>Unit</x:v>
      </x:c>
      <x:c r="K646" t="str">
        <x:v>In stock</x:v>
      </x:c>
      <x:c r="L646" t="str">
        <x:v>2026-09-08</x:v>
      </x:c>
      <x:c r="M646" t="str"/>
      <x:c r="N646" t="str"/>
      <x:c r="O646" t="str">
        <x:v>https://www.activesportstrade.co.uk/trade-sports-supplements/black-mamba-trade</x:v>
      </x:c>
      <x:c r="P646" t="str">
        <x:v>Supplier SPECIAL OFFER / BUY X GET X / strength boilerplate removed from canonical title where present.</x:v>
      </x:c>
      <x:c r="Q646" t="str"/>
      <x:c r="R646" t="str"/>
      <x:c r="S646" t="str">
        <x:v>Pending genuine supplier/brand image</x:v>
      </x:c>
      <x:c r="T646" s="54"/>
      <x:c r="U646" s="47" t="n">
        <x:v>0.2</x:v>
      </x:c>
      <x:c r="V646" s="54" t="str">
        <x:f>IF(ISNUMBER(T646),T646*(1+U646),"")</x:f>
      </x:c>
      <x:c r="W646" s="47" t="n">
        <x:v>0.3</x:v>
      </x:c>
      <x:c r="X646" s="54" t="str">
        <x:f>IF(ISNUMBER(V646),V646/(1-W646),"")</x:f>
      </x:c>
      <x:c r="Y646" s="55" t="str">
        <x:f>IF(ISNUMBER(X646),ROUNDUP(X646,0),"")</x:f>
      </x:c>
      <x:c r="Z646" t="str">
        <x:f>IF(ISNUMBER(T646),"Cost captured","Awaiting trade cost")</x:f>
        <x:v>Awaiting trade cost</x:v>
      </x:c>
      <x:c r="AB646" s="36" t="str">
        <x:f>IF(ISNUMBER(Y646),ROUND(Y646*0.9,2),"")</x:f>
      </x:c>
      <x:c r="AC646" s="36" t="str">
        <x:f>IF(ISNUMBER(AB646),ROUND(AB646-(AB646*0.015+0.2)-V646,2),"")</x:f>
      </x:c>
      <x:c r="AD646" s="36" t="str">
        <x:f>IF(ISNUMBER(Y646),ROUND(Y646*0.8,2),"")</x:f>
      </x:c>
      <x:c r="AE646" s="36" t="str">
        <x:f>IF(ISNUMBER(AD646),ROUND(AD646*0.015+0.2,2),"")</x:f>
      </x:c>
      <x:c r="AF646" s="36" t="str">
        <x:f>IF(ISNUMBER(AD646),ROUND(AD646-AE646-V646,2),"")</x:f>
      </x:c>
      <x:c r="AG646" t="str">
        <x:f>IF(NOT(ISNUMBER(T646)),"PENDING",IF(AF646&gt;0,"PASS","FAIL"))</x:f>
        <x:v>PENDING</x:v>
      </x:c>
      <x:c r="AH646" t="str">
        <x:f>IF(NOT(ISNUMBER(T646)),"Needs supplier cost",IF(K646&lt;&gt;"In stock","Supplier unavailable",IF(AG646&lt;&gt;"PASS","BLOCK - GT loss risk","Commercially protected")))</x:f>
        <x:v>Needs supplier cost</x:v>
      </x:c>
      <x:c r="AI646" t="str">
        <x:v>2026-09-10 Active Sports trade capture</x:v>
      </x:c>
      <x:c r="AJ646" t="str">
        <x:v>Management-only economics. Stripe stress test uses 1.5% + £0.20 standard UK online-card fee; pallet/mix-and-match pricing ignored.</x:v>
      </x:c>
    </x:row>
    <x:row r="647">
      <x:c r="A647" t="str">
        <x:v>Active Sports Nutrition</x:v>
      </x:c>
      <x:c r="B647" t="str">
        <x:v>Black Mamba</x:v>
      </x:c>
      <x:c r="C647" t="str">
        <x:v>Bulbine</x:v>
      </x:c>
      <x:c r="D647" t="str">
        <x:v>Supplements</x:v>
      </x:c>
      <x:c r="E647" t="str">
        <x:v>Testosterone Boosters</x:v>
      </x:c>
      <x:c r="F647" t="str"/>
      <x:c r="G647" t="str">
        <x:v>60 caps</x:v>
      </x:c>
      <x:c r="H647" t="str">
        <x:v>Default</x:v>
      </x:c>
      <x:c r="I647" t="str"/>
      <x:c r="J647" t="str">
        <x:v>Unit</x:v>
      </x:c>
      <x:c r="K647" t="str">
        <x:v>In stock</x:v>
      </x:c>
      <x:c r="L647" t="str">
        <x:v>2026-09-08</x:v>
      </x:c>
      <x:c r="M647" t="str"/>
      <x:c r="N647" t="str"/>
      <x:c r="O647" t="str">
        <x:v>https://www.activesportstrade.co.uk/trade-sports-supplements/black-mamba-trade</x:v>
      </x:c>
      <x:c r="P647" t="str">
        <x:v>Supplier SPECIAL OFFER / BUY X GET X / strength boilerplate removed from canonical title where present.</x:v>
      </x:c>
      <x:c r="Q647" t="str"/>
      <x:c r="R647" t="str"/>
      <x:c r="S647" t="str">
        <x:v>Pending genuine supplier/brand image</x:v>
      </x:c>
      <x:c r="T647" s="54"/>
      <x:c r="U647" s="47" t="n">
        <x:v>0.2</x:v>
      </x:c>
      <x:c r="V647" s="54" t="str">
        <x:f>IF(ISNUMBER(T647),T647*(1+U647),"")</x:f>
      </x:c>
      <x:c r="W647" s="47" t="n">
        <x:v>0.3</x:v>
      </x:c>
      <x:c r="X647" s="54" t="str">
        <x:f>IF(ISNUMBER(V647),V647/(1-W647),"")</x:f>
      </x:c>
      <x:c r="Y647" s="55" t="str">
        <x:f>IF(ISNUMBER(X647),ROUNDUP(X647,0),"")</x:f>
      </x:c>
      <x:c r="Z647" t="str">
        <x:f>IF(ISNUMBER(T647),"Cost captured","Awaiting trade cost")</x:f>
        <x:v>Awaiting trade cost</x:v>
      </x:c>
      <x:c r="AB647" s="36" t="str">
        <x:f>IF(ISNUMBER(Y647),ROUND(Y647*0.9,2),"")</x:f>
      </x:c>
      <x:c r="AC647" s="36" t="str">
        <x:f>IF(ISNUMBER(AB647),ROUND(AB647-(AB647*0.015+0.2)-V647,2),"")</x:f>
      </x:c>
      <x:c r="AD647" s="36" t="str">
        <x:f>IF(ISNUMBER(Y647),ROUND(Y647*0.8,2),"")</x:f>
      </x:c>
      <x:c r="AE647" s="36" t="str">
        <x:f>IF(ISNUMBER(AD647),ROUND(AD647*0.015+0.2,2),"")</x:f>
      </x:c>
      <x:c r="AF647" s="36" t="str">
        <x:f>IF(ISNUMBER(AD647),ROUND(AD647-AE647-V647,2),"")</x:f>
      </x:c>
      <x:c r="AG647" t="str">
        <x:f>IF(NOT(ISNUMBER(T647)),"PENDING",IF(AF647&gt;0,"PASS","FAIL"))</x:f>
        <x:v>PENDING</x:v>
      </x:c>
      <x:c r="AH647" t="str">
        <x:f>IF(NOT(ISNUMBER(T647)),"Needs supplier cost",IF(K647&lt;&gt;"In stock","Supplier unavailable",IF(AG647&lt;&gt;"PASS","BLOCK - GT loss risk","Commercially protected")))</x:f>
        <x:v>Needs supplier cost</x:v>
      </x:c>
      <x:c r="AI647" t="str">
        <x:v>2026-09-10 Active Sports trade capture</x:v>
      </x:c>
      <x:c r="AJ647" t="str">
        <x:v>Management-only economics. Stripe stress test uses 1.5% + £0.20 standard UK online-card fee; pallet/mix-and-match pricing ignored.</x:v>
      </x:c>
    </x:row>
    <x:row r="648">
      <x:c r="A648" t="str">
        <x:v>Active Sports Nutrition</x:v>
      </x:c>
      <x:c r="B648" t="str">
        <x:v>Black Mamba</x:v>
      </x:c>
      <x:c r="C648" t="str">
        <x:v>Cistanche</x:v>
      </x:c>
      <x:c r="D648" t="str">
        <x:v>Supplements</x:v>
      </x:c>
      <x:c r="E648" t="str">
        <x:v>Health Foods</x:v>
      </x:c>
      <x:c r="F648" t="str"/>
      <x:c r="G648" t="str">
        <x:v>60 caps</x:v>
      </x:c>
      <x:c r="H648" t="str">
        <x:v>Default</x:v>
      </x:c>
      <x:c r="I648" t="str"/>
      <x:c r="J648" t="str">
        <x:v>Unit</x:v>
      </x:c>
      <x:c r="K648" t="str">
        <x:v>In stock</x:v>
      </x:c>
      <x:c r="L648" t="str">
        <x:v>2026-09-08</x:v>
      </x:c>
      <x:c r="M648" t="str"/>
      <x:c r="N648" t="str"/>
      <x:c r="O648" t="str">
        <x:v>https://www.activesportstrade.co.uk/trade-sports-supplements/black-mamba-trade</x:v>
      </x:c>
      <x:c r="P648" t="str">
        <x:v>Supplier SPECIAL OFFER / BUY X GET X / strength boilerplate removed from canonical title where present.</x:v>
      </x:c>
      <x:c r="Q648" t="str"/>
      <x:c r="R648" t="str"/>
      <x:c r="S648" t="str">
        <x:v>Pending genuine supplier/brand image</x:v>
      </x:c>
      <x:c r="T648" s="54"/>
      <x:c r="U648" s="47" t="n">
        <x:v>0.2</x:v>
      </x:c>
      <x:c r="V648" s="54" t="str">
        <x:f>IF(ISNUMBER(T648),T648*(1+U648),"")</x:f>
      </x:c>
      <x:c r="W648" s="47" t="n">
        <x:v>0.3</x:v>
      </x:c>
      <x:c r="X648" s="54" t="str">
        <x:f>IF(ISNUMBER(V648),V648/(1-W648),"")</x:f>
      </x:c>
      <x:c r="Y648" s="55" t="str">
        <x:f>IF(ISNUMBER(X648),ROUNDUP(X648,0),"")</x:f>
      </x:c>
      <x:c r="Z648" t="str">
        <x:f>IF(ISNUMBER(T648),"Cost captured","Awaiting trade cost")</x:f>
        <x:v>Awaiting trade cost</x:v>
      </x:c>
      <x:c r="AB648" s="36" t="str">
        <x:f>IF(ISNUMBER(Y648),ROUND(Y648*0.9,2),"")</x:f>
      </x:c>
      <x:c r="AC648" s="36" t="str">
        <x:f>IF(ISNUMBER(AB648),ROUND(AB648-(AB648*0.015+0.2)-V648,2),"")</x:f>
      </x:c>
      <x:c r="AD648" s="36" t="str">
        <x:f>IF(ISNUMBER(Y648),ROUND(Y648*0.8,2),"")</x:f>
      </x:c>
      <x:c r="AE648" s="36" t="str">
        <x:f>IF(ISNUMBER(AD648),ROUND(AD648*0.015+0.2,2),"")</x:f>
      </x:c>
      <x:c r="AF648" s="36" t="str">
        <x:f>IF(ISNUMBER(AD648),ROUND(AD648-AE648-V648,2),"")</x:f>
      </x:c>
      <x:c r="AG648" t="str">
        <x:f>IF(NOT(ISNUMBER(T648)),"PENDING",IF(AF648&gt;0,"PASS","FAIL"))</x:f>
        <x:v>PENDING</x:v>
      </x:c>
      <x:c r="AH648" t="str">
        <x:f>IF(NOT(ISNUMBER(T648)),"Needs supplier cost",IF(K648&lt;&gt;"In stock","Supplier unavailable",IF(AG648&lt;&gt;"PASS","BLOCK - GT loss risk","Commercially protected")))</x:f>
        <x:v>Needs supplier cost</x:v>
      </x:c>
      <x:c r="AI648" t="str">
        <x:v>2026-09-10 Active Sports trade capture</x:v>
      </x:c>
      <x:c r="AJ648" t="str">
        <x:v>Management-only economics. Stripe stress test uses 1.5% + £0.20 standard UK online-card fee; pallet/mix-and-match pricing ignored.</x:v>
      </x:c>
    </x:row>
    <x:row r="649">
      <x:c r="A649" t="str">
        <x:v>Active Sports Nutrition</x:v>
      </x:c>
      <x:c r="B649" t="str">
        <x:v>Black Mamba</x:v>
      </x:c>
      <x:c r="C649" t="str">
        <x:v>Creatine Monohydrate Capsules</x:v>
      </x:c>
      <x:c r="D649" t="str">
        <x:v>Supplements</x:v>
      </x:c>
      <x:c r="E649" t="str">
        <x:v>Creatine Pills</x:v>
      </x:c>
      <x:c r="F649" t="str"/>
      <x:c r="G649" t="str">
        <x:v>120 caps</x:v>
      </x:c>
      <x:c r="H649" t="str">
        <x:v>Default</x:v>
      </x:c>
      <x:c r="I649" t="str"/>
      <x:c r="J649" t="str">
        <x:v>Unit</x:v>
      </x:c>
      <x:c r="K649" t="str">
        <x:v>In stock</x:v>
      </x:c>
      <x:c r="L649" t="str">
        <x:v>2026-09-08</x:v>
      </x:c>
      <x:c r="M649" t="str"/>
      <x:c r="N649" t="str"/>
      <x:c r="O649" t="str">
        <x:v>https://www.activesportstrade.co.uk/trade-sports-supplements/black-mamba-trade</x:v>
      </x:c>
      <x:c r="P649" t="str">
        <x:v>Supplier SPECIAL OFFER / BUY X GET X / strength boilerplate removed from canonical title where present.</x:v>
      </x:c>
      <x:c r="Q649" t="str"/>
      <x:c r="R649" t="str"/>
      <x:c r="S649" t="str">
        <x:v>Pending genuine supplier/brand image</x:v>
      </x:c>
      <x:c r="T649" s="54"/>
      <x:c r="U649" s="47" t="n">
        <x:v>0.2</x:v>
      </x:c>
      <x:c r="V649" s="54" t="str">
        <x:f>IF(ISNUMBER(T649),T649*(1+U649),"")</x:f>
      </x:c>
      <x:c r="W649" s="47" t="n">
        <x:v>0.3</x:v>
      </x:c>
      <x:c r="X649" s="54" t="str">
        <x:f>IF(ISNUMBER(V649),V649/(1-W649),"")</x:f>
      </x:c>
      <x:c r="Y649" s="55" t="str">
        <x:f>IF(ISNUMBER(X649),ROUNDUP(X649,0),"")</x:f>
      </x:c>
      <x:c r="Z649" t="str">
        <x:f>IF(ISNUMBER(T649),"Cost captured","Awaiting trade cost")</x:f>
        <x:v>Awaiting trade cost</x:v>
      </x:c>
      <x:c r="AB649" s="36" t="str">
        <x:f>IF(ISNUMBER(Y649),ROUND(Y649*0.9,2),"")</x:f>
      </x:c>
      <x:c r="AC649" s="36" t="str">
        <x:f>IF(ISNUMBER(AB649),ROUND(AB649-(AB649*0.015+0.2)-V649,2),"")</x:f>
      </x:c>
      <x:c r="AD649" s="36" t="str">
        <x:f>IF(ISNUMBER(Y649),ROUND(Y649*0.8,2),"")</x:f>
      </x:c>
      <x:c r="AE649" s="36" t="str">
        <x:f>IF(ISNUMBER(AD649),ROUND(AD649*0.015+0.2,2),"")</x:f>
      </x:c>
      <x:c r="AF649" s="36" t="str">
        <x:f>IF(ISNUMBER(AD649),ROUND(AD649-AE649-V649,2),"")</x:f>
      </x:c>
      <x:c r="AG649" t="str">
        <x:f>IF(NOT(ISNUMBER(T649)),"PENDING",IF(AF649&gt;0,"PASS","FAIL"))</x:f>
        <x:v>PENDING</x:v>
      </x:c>
      <x:c r="AH649" t="str">
        <x:f>IF(NOT(ISNUMBER(T649)),"Needs supplier cost",IF(K649&lt;&gt;"In stock","Supplier unavailable",IF(AG649&lt;&gt;"PASS","BLOCK - GT loss risk","Commercially protected")))</x:f>
        <x:v>Needs supplier cost</x:v>
      </x:c>
      <x:c r="AI649" t="str">
        <x:v>2026-09-10 Active Sports trade capture</x:v>
      </x:c>
      <x:c r="AJ649" t="str">
        <x:v>Management-only economics. Stripe stress test uses 1.5% + £0.20 standard UK online-card fee; pallet/mix-and-match pricing ignored.</x:v>
      </x:c>
    </x:row>
    <x:row r="650">
      <x:c r="A650" t="str">
        <x:v>Active Sports Nutrition</x:v>
      </x:c>
      <x:c r="B650" t="str">
        <x:v>Black Mamba</x:v>
      </x:c>
      <x:c r="C650" t="str">
        <x:v>Drive - Male Support</x:v>
      </x:c>
      <x:c r="D650" t="str">
        <x:v>Supplements</x:v>
      </x:c>
      <x:c r="E650" t="str">
        <x:v>Testosterone Boosters</x:v>
      </x:c>
      <x:c r="F650" t="str"/>
      <x:c r="G650" t="str">
        <x:v>150 caps</x:v>
      </x:c>
      <x:c r="H650" t="str">
        <x:v>Default</x:v>
      </x:c>
      <x:c r="I650" t="str"/>
      <x:c r="J650" t="str">
        <x:v>Unit</x:v>
      </x:c>
      <x:c r="K650" t="str">
        <x:v>In stock</x:v>
      </x:c>
      <x:c r="L650" t="str">
        <x:v>2026-09-08</x:v>
      </x:c>
      <x:c r="M650" t="str"/>
      <x:c r="N650" t="str"/>
      <x:c r="O650" t="str">
        <x:v>https://www.activesportstrade.co.uk/trade-sports-supplements/black-mamba-trade</x:v>
      </x:c>
      <x:c r="P650" t="str">
        <x:v>Supplier SPECIAL OFFER / BUY X GET X / strength boilerplate removed from canonical title where present.</x:v>
      </x:c>
      <x:c r="Q650" t="str"/>
      <x:c r="R650" t="str"/>
      <x:c r="S650" t="str">
        <x:v>Pending genuine supplier/brand image</x:v>
      </x:c>
      <x:c r="T650" s="54"/>
      <x:c r="U650" s="47" t="n">
        <x:v>0.2</x:v>
      </x:c>
      <x:c r="V650" s="54" t="str">
        <x:f>IF(ISNUMBER(T650),T650*(1+U650),"")</x:f>
      </x:c>
      <x:c r="W650" s="47" t="n">
        <x:v>0.3</x:v>
      </x:c>
      <x:c r="X650" s="54" t="str">
        <x:f>IF(ISNUMBER(V650),V650/(1-W650),"")</x:f>
      </x:c>
      <x:c r="Y650" s="55" t="str">
        <x:f>IF(ISNUMBER(X650),ROUNDUP(X650,0),"")</x:f>
      </x:c>
      <x:c r="Z650" t="str">
        <x:f>IF(ISNUMBER(T650),"Cost captured","Awaiting trade cost")</x:f>
        <x:v>Awaiting trade cost</x:v>
      </x:c>
      <x:c r="AB650" s="36" t="str">
        <x:f>IF(ISNUMBER(Y650),ROUND(Y650*0.9,2),"")</x:f>
      </x:c>
      <x:c r="AC650" s="36" t="str">
        <x:f>IF(ISNUMBER(AB650),ROUND(AB650-(AB650*0.015+0.2)-V650,2),"")</x:f>
      </x:c>
      <x:c r="AD650" s="36" t="str">
        <x:f>IF(ISNUMBER(Y650),ROUND(Y650*0.8,2),"")</x:f>
      </x:c>
      <x:c r="AE650" s="36" t="str">
        <x:f>IF(ISNUMBER(AD650),ROUND(AD650*0.015+0.2,2),"")</x:f>
      </x:c>
      <x:c r="AF650" s="36" t="str">
        <x:f>IF(ISNUMBER(AD650),ROUND(AD650-AE650-V650,2),"")</x:f>
      </x:c>
      <x:c r="AG650" t="str">
        <x:f>IF(NOT(ISNUMBER(T650)),"PENDING",IF(AF650&gt;0,"PASS","FAIL"))</x:f>
        <x:v>PENDING</x:v>
      </x:c>
      <x:c r="AH650" t="str">
        <x:f>IF(NOT(ISNUMBER(T650)),"Needs supplier cost",IF(K650&lt;&gt;"In stock","Supplier unavailable",IF(AG650&lt;&gt;"PASS","BLOCK - GT loss risk","Commercially protected")))</x:f>
        <x:v>Needs supplier cost</x:v>
      </x:c>
      <x:c r="AI650" t="str">
        <x:v>2026-09-10 Active Sports trade capture</x:v>
      </x:c>
      <x:c r="AJ650" t="str">
        <x:v>Management-only economics. Stripe stress test uses 1.5% + £0.20 standard UK online-card fee; pallet/mix-and-match pricing ignored.</x:v>
      </x:c>
    </x:row>
    <x:row r="651">
      <x:c r="A651" t="str">
        <x:v>Active Sports Nutrition</x:v>
      </x:c>
      <x:c r="B651" t="str">
        <x:v>Black Mamba</x:v>
      </x:c>
      <x:c r="C651" t="str">
        <x:v>Ecdysterone</x:v>
      </x:c>
      <x:c r="D651" t="str">
        <x:v>Supplements</x:v>
      </x:c>
      <x:c r="E651" t="str">
        <x:v>Testosterone Boosters</x:v>
      </x:c>
      <x:c r="F651" t="str"/>
      <x:c r="G651" t="str">
        <x:v>60 caps</x:v>
      </x:c>
      <x:c r="H651" t="str">
        <x:v>Default</x:v>
      </x:c>
      <x:c r="I651" t="str"/>
      <x:c r="J651" t="str">
        <x:v>Unit</x:v>
      </x:c>
      <x:c r="K651" t="str">
        <x:v>In stock</x:v>
      </x:c>
      <x:c r="L651" t="str">
        <x:v>2026-09-08</x:v>
      </x:c>
      <x:c r="M651" t="str"/>
      <x:c r="N651" t="str"/>
      <x:c r="O651" t="str">
        <x:v>https://www.activesportstrade.co.uk/trade-sports-supplements/black-mamba-trade</x:v>
      </x:c>
      <x:c r="P651" t="str">
        <x:v>Supplier SPECIAL OFFER / BUY X GET X / strength boilerplate removed from canonical title where present.</x:v>
      </x:c>
      <x:c r="Q651" t="str"/>
      <x:c r="R651" t="str"/>
      <x:c r="S651" t="str">
        <x:v>Pending genuine supplier/brand image</x:v>
      </x:c>
      <x:c r="T651" s="54"/>
      <x:c r="U651" s="47" t="n">
        <x:v>0.2</x:v>
      </x:c>
      <x:c r="V651" s="54" t="str">
        <x:f>IF(ISNUMBER(T651),T651*(1+U651),"")</x:f>
      </x:c>
      <x:c r="W651" s="47" t="n">
        <x:v>0.3</x:v>
      </x:c>
      <x:c r="X651" s="54" t="str">
        <x:f>IF(ISNUMBER(V651),V651/(1-W651),"")</x:f>
      </x:c>
      <x:c r="Y651" s="55" t="str">
        <x:f>IF(ISNUMBER(X651),ROUNDUP(X651,0),"")</x:f>
      </x:c>
      <x:c r="Z651" t="str">
        <x:f>IF(ISNUMBER(T651),"Cost captured","Awaiting trade cost")</x:f>
        <x:v>Awaiting trade cost</x:v>
      </x:c>
      <x:c r="AB651" s="36" t="str">
        <x:f>IF(ISNUMBER(Y651),ROUND(Y651*0.9,2),"")</x:f>
      </x:c>
      <x:c r="AC651" s="36" t="str">
        <x:f>IF(ISNUMBER(AB651),ROUND(AB651-(AB651*0.015+0.2)-V651,2),"")</x:f>
      </x:c>
      <x:c r="AD651" s="36" t="str">
        <x:f>IF(ISNUMBER(Y651),ROUND(Y651*0.8,2),"")</x:f>
      </x:c>
      <x:c r="AE651" s="36" t="str">
        <x:f>IF(ISNUMBER(AD651),ROUND(AD651*0.015+0.2,2),"")</x:f>
      </x:c>
      <x:c r="AF651" s="36" t="str">
        <x:f>IF(ISNUMBER(AD651),ROUND(AD651-AE651-V651,2),"")</x:f>
      </x:c>
      <x:c r="AG651" t="str">
        <x:f>IF(NOT(ISNUMBER(T651)),"PENDING",IF(AF651&gt;0,"PASS","FAIL"))</x:f>
        <x:v>PENDING</x:v>
      </x:c>
      <x:c r="AH651" t="str">
        <x:f>IF(NOT(ISNUMBER(T651)),"Needs supplier cost",IF(K651&lt;&gt;"In stock","Supplier unavailable",IF(AG651&lt;&gt;"PASS","BLOCK - GT loss risk","Commercially protected")))</x:f>
        <x:v>Needs supplier cost</x:v>
      </x:c>
      <x:c r="AI651" t="str">
        <x:v>2026-09-10 Active Sports trade capture</x:v>
      </x:c>
      <x:c r="AJ651" t="str">
        <x:v>Management-only economics. Stripe stress test uses 1.5% + £0.20 standard UK online-card fee; pallet/mix-and-match pricing ignored.</x:v>
      </x:c>
    </x:row>
    <x:row r="652">
      <x:c r="A652" t="str">
        <x:v>Active Sports Nutrition</x:v>
      </x:c>
      <x:c r="B652" t="str">
        <x:v>Black Mamba</x:v>
      </x:c>
      <x:c r="C652" t="str">
        <x:v>EPI (formerly Myostat)</x:v>
      </x:c>
      <x:c r="D652" t="str">
        <x:v>Supplements</x:v>
      </x:c>
      <x:c r="E652" t="str">
        <x:v>Testosterone Boosters</x:v>
      </x:c>
      <x:c r="F652" t="str"/>
      <x:c r="G652" t="str">
        <x:v>60 caps</x:v>
      </x:c>
      <x:c r="H652" t="str">
        <x:v>Default</x:v>
      </x:c>
      <x:c r="I652" t="str"/>
      <x:c r="J652" t="str">
        <x:v>Unit</x:v>
      </x:c>
      <x:c r="K652" t="str">
        <x:v>In stock</x:v>
      </x:c>
      <x:c r="L652" t="str">
        <x:v>2026-09-08</x:v>
      </x:c>
      <x:c r="M652" t="str"/>
      <x:c r="N652" t="str"/>
      <x:c r="O652" t="str">
        <x:v>https://www.activesportstrade.co.uk/trade-sports-supplements/black-mamba-trade</x:v>
      </x:c>
      <x:c r="P652" t="str">
        <x:v>Supplier SPECIAL OFFER / BUY X GET X / strength boilerplate removed from canonical title where present.</x:v>
      </x:c>
      <x:c r="Q652" t="str"/>
      <x:c r="R652" t="str"/>
      <x:c r="S652" t="str">
        <x:v>Pending genuine supplier/brand image</x:v>
      </x:c>
      <x:c r="T652" s="54"/>
      <x:c r="U652" s="47" t="n">
        <x:v>0.2</x:v>
      </x:c>
      <x:c r="V652" s="54" t="str">
        <x:f>IF(ISNUMBER(T652),T652*(1+U652),"")</x:f>
      </x:c>
      <x:c r="W652" s="47" t="n">
        <x:v>0.3</x:v>
      </x:c>
      <x:c r="X652" s="54" t="str">
        <x:f>IF(ISNUMBER(V652),V652/(1-W652),"")</x:f>
      </x:c>
      <x:c r="Y652" s="55" t="str">
        <x:f>IF(ISNUMBER(X652),ROUNDUP(X652,0),"")</x:f>
      </x:c>
      <x:c r="Z652" t="str">
        <x:f>IF(ISNUMBER(T652),"Cost captured","Awaiting trade cost")</x:f>
        <x:v>Awaiting trade cost</x:v>
      </x:c>
      <x:c r="AB652" s="36" t="str">
        <x:f>IF(ISNUMBER(Y652),ROUND(Y652*0.9,2),"")</x:f>
      </x:c>
      <x:c r="AC652" s="36" t="str">
        <x:f>IF(ISNUMBER(AB652),ROUND(AB652-(AB652*0.015+0.2)-V652,2),"")</x:f>
      </x:c>
      <x:c r="AD652" s="36" t="str">
        <x:f>IF(ISNUMBER(Y652),ROUND(Y652*0.8,2),"")</x:f>
      </x:c>
      <x:c r="AE652" s="36" t="str">
        <x:f>IF(ISNUMBER(AD652),ROUND(AD652*0.015+0.2,2),"")</x:f>
      </x:c>
      <x:c r="AF652" s="36" t="str">
        <x:f>IF(ISNUMBER(AD652),ROUND(AD652-AE652-V652,2),"")</x:f>
      </x:c>
      <x:c r="AG652" t="str">
        <x:f>IF(NOT(ISNUMBER(T652)),"PENDING",IF(AF652&gt;0,"PASS","FAIL"))</x:f>
        <x:v>PENDING</x:v>
      </x:c>
      <x:c r="AH652" t="str">
        <x:f>IF(NOT(ISNUMBER(T652)),"Needs supplier cost",IF(K652&lt;&gt;"In stock","Supplier unavailable",IF(AG652&lt;&gt;"PASS","BLOCK - GT loss risk","Commercially protected")))</x:f>
        <x:v>Needs supplier cost</x:v>
      </x:c>
      <x:c r="AI652" t="str">
        <x:v>2026-09-10 Active Sports trade capture</x:v>
      </x:c>
      <x:c r="AJ652" t="str">
        <x:v>Management-only economics. Stripe stress test uses 1.5% + £0.20 standard UK online-card fee; pallet/mix-and-match pricing ignored.</x:v>
      </x:c>
    </x:row>
    <x:row r="653">
      <x:c r="A653" t="str">
        <x:v>Active Sports Nutrition</x:v>
      </x:c>
      <x:c r="B653" t="str">
        <x:v>Black Mamba</x:v>
      </x:c>
      <x:c r="C653" t="str">
        <x:v>Erase - Potent Anti Estrogen</x:v>
      </x:c>
      <x:c r="D653" t="str">
        <x:v>Supplements</x:v>
      </x:c>
      <x:c r="E653" t="str">
        <x:v>PCT Supplements</x:v>
      </x:c>
      <x:c r="F653" t="str"/>
      <x:c r="G653" t="str">
        <x:v>30 caps</x:v>
      </x:c>
      <x:c r="H653" t="str">
        <x:v>Default</x:v>
      </x:c>
      <x:c r="I653" t="str"/>
      <x:c r="J653" t="str">
        <x:v>Unit</x:v>
      </x:c>
      <x:c r="K653" t="str">
        <x:v>In stock</x:v>
      </x:c>
      <x:c r="L653" t="str">
        <x:v>2026-09-08</x:v>
      </x:c>
      <x:c r="M653" t="str"/>
      <x:c r="N653" t="str"/>
      <x:c r="O653" t="str">
        <x:v>https://www.activesportstrade.co.uk/trade-sports-supplements/black-mamba-trade</x:v>
      </x:c>
      <x:c r="P653" t="str">
        <x:v>Supplier SPECIAL OFFER / BUY X GET X / strength boilerplate removed from canonical title where present.</x:v>
      </x:c>
      <x:c r="Q653" t="str"/>
      <x:c r="R653" t="str"/>
      <x:c r="S653" t="str">
        <x:v>Pending genuine supplier/brand image</x:v>
      </x:c>
      <x:c r="T653" s="54"/>
      <x:c r="U653" s="47" t="n">
        <x:v>0.2</x:v>
      </x:c>
      <x:c r="V653" s="54" t="str">
        <x:f>IF(ISNUMBER(T653),T653*(1+U653),"")</x:f>
      </x:c>
      <x:c r="W653" s="47" t="n">
        <x:v>0.3</x:v>
      </x:c>
      <x:c r="X653" s="54" t="str">
        <x:f>IF(ISNUMBER(V653),V653/(1-W653),"")</x:f>
      </x:c>
      <x:c r="Y653" s="55" t="str">
        <x:f>IF(ISNUMBER(X653),ROUNDUP(X653,0),"")</x:f>
      </x:c>
      <x:c r="Z653" t="str">
        <x:f>IF(ISNUMBER(T653),"Cost captured","Awaiting trade cost")</x:f>
        <x:v>Awaiting trade cost</x:v>
      </x:c>
      <x:c r="AB653" s="36" t="str">
        <x:f>IF(ISNUMBER(Y653),ROUND(Y653*0.9,2),"")</x:f>
      </x:c>
      <x:c r="AC653" s="36" t="str">
        <x:f>IF(ISNUMBER(AB653),ROUND(AB653-(AB653*0.015+0.2)-V653,2),"")</x:f>
      </x:c>
      <x:c r="AD653" s="36" t="str">
        <x:f>IF(ISNUMBER(Y653),ROUND(Y653*0.8,2),"")</x:f>
      </x:c>
      <x:c r="AE653" s="36" t="str">
        <x:f>IF(ISNUMBER(AD653),ROUND(AD653*0.015+0.2,2),"")</x:f>
      </x:c>
      <x:c r="AF653" s="36" t="str">
        <x:f>IF(ISNUMBER(AD653),ROUND(AD653-AE653-V653,2),"")</x:f>
      </x:c>
      <x:c r="AG653" t="str">
        <x:f>IF(NOT(ISNUMBER(T653)),"PENDING",IF(AF653&gt;0,"PASS","FAIL"))</x:f>
        <x:v>PENDING</x:v>
      </x:c>
      <x:c r="AH653" t="str">
        <x:f>IF(NOT(ISNUMBER(T653)),"Needs supplier cost",IF(K653&lt;&gt;"In stock","Supplier unavailable",IF(AG653&lt;&gt;"PASS","BLOCK - GT loss risk","Commercially protected")))</x:f>
        <x:v>Needs supplier cost</x:v>
      </x:c>
      <x:c r="AI653" t="str">
        <x:v>2026-09-10 Active Sports trade capture</x:v>
      </x:c>
      <x:c r="AJ653" t="str">
        <x:v>Management-only economics. Stripe stress test uses 1.5% + £0.20 standard UK online-card fee; pallet/mix-and-match pricing ignored.</x:v>
      </x:c>
    </x:row>
    <x:row r="654">
      <x:c r="A654" t="str">
        <x:v>Active Sports Nutrition</x:v>
      </x:c>
      <x:c r="B654" t="str">
        <x:v>Black Mamba</x:v>
      </x:c>
      <x:c r="C654" t="str">
        <x:v>Fadogia Agrestis</x:v>
      </x:c>
      <x:c r="D654" t="str">
        <x:v>Supplements</x:v>
      </x:c>
      <x:c r="E654" t="str">
        <x:v>Testosterone Boosters</x:v>
      </x:c>
      <x:c r="F654" t="str"/>
      <x:c r="G654" t="str">
        <x:v>60 caps</x:v>
      </x:c>
      <x:c r="H654" t="str">
        <x:v>Default</x:v>
      </x:c>
      <x:c r="I654" t="str"/>
      <x:c r="J654" t="str">
        <x:v>Unit</x:v>
      </x:c>
      <x:c r="K654" t="str">
        <x:v>In stock</x:v>
      </x:c>
      <x:c r="L654" t="str">
        <x:v>2026-09-08</x:v>
      </x:c>
      <x:c r="M654" t="str"/>
      <x:c r="N654" t="str"/>
      <x:c r="O654" t="str">
        <x:v>https://www.activesportstrade.co.uk/trade-sports-supplements/black-mamba-trade</x:v>
      </x:c>
      <x:c r="P654" t="str">
        <x:v>Supplier SPECIAL OFFER / BUY X GET X / strength boilerplate removed from canonical title where present.</x:v>
      </x:c>
      <x:c r="Q654" t="str"/>
      <x:c r="R654" t="str"/>
      <x:c r="S654" t="str">
        <x:v>Pending genuine supplier/brand image</x:v>
      </x:c>
      <x:c r="T654" s="54"/>
      <x:c r="U654" s="47" t="n">
        <x:v>0.2</x:v>
      </x:c>
      <x:c r="V654" s="54" t="str">
        <x:f>IF(ISNUMBER(T654),T654*(1+U654),"")</x:f>
      </x:c>
      <x:c r="W654" s="47" t="n">
        <x:v>0.3</x:v>
      </x:c>
      <x:c r="X654" s="54" t="str">
        <x:f>IF(ISNUMBER(V654),V654/(1-W654),"")</x:f>
      </x:c>
      <x:c r="Y654" s="55" t="str">
        <x:f>IF(ISNUMBER(X654),ROUNDUP(X654,0),"")</x:f>
      </x:c>
      <x:c r="Z654" t="str">
        <x:f>IF(ISNUMBER(T654),"Cost captured","Awaiting trade cost")</x:f>
        <x:v>Awaiting trade cost</x:v>
      </x:c>
      <x:c r="AB654" s="36" t="str">
        <x:f>IF(ISNUMBER(Y654),ROUND(Y654*0.9,2),"")</x:f>
      </x:c>
      <x:c r="AC654" s="36" t="str">
        <x:f>IF(ISNUMBER(AB654),ROUND(AB654-(AB654*0.015+0.2)-V654,2),"")</x:f>
      </x:c>
      <x:c r="AD654" s="36" t="str">
        <x:f>IF(ISNUMBER(Y654),ROUND(Y654*0.8,2),"")</x:f>
      </x:c>
      <x:c r="AE654" s="36" t="str">
        <x:f>IF(ISNUMBER(AD654),ROUND(AD654*0.015+0.2,2),"")</x:f>
      </x:c>
      <x:c r="AF654" s="36" t="str">
        <x:f>IF(ISNUMBER(AD654),ROUND(AD654-AE654-V654,2),"")</x:f>
      </x:c>
      <x:c r="AG654" t="str">
        <x:f>IF(NOT(ISNUMBER(T654)),"PENDING",IF(AF654&gt;0,"PASS","FAIL"))</x:f>
        <x:v>PENDING</x:v>
      </x:c>
      <x:c r="AH654" t="str">
        <x:f>IF(NOT(ISNUMBER(T654)),"Needs supplier cost",IF(K654&lt;&gt;"In stock","Supplier unavailable",IF(AG654&lt;&gt;"PASS","BLOCK - GT loss risk","Commercially protected")))</x:f>
        <x:v>Needs supplier cost</x:v>
      </x:c>
      <x:c r="AI654" t="str">
        <x:v>2026-09-10 Active Sports trade capture</x:v>
      </x:c>
      <x:c r="AJ654" t="str">
        <x:v>Management-only economics. Stripe stress test uses 1.5% + £0.20 standard UK online-card fee; pallet/mix-and-match pricing ignored.</x:v>
      </x:c>
    </x:row>
    <x:row r="655">
      <x:c r="A655" t="str">
        <x:v>Active Sports Nutrition</x:v>
      </x:c>
      <x:c r="B655" t="str">
        <x:v>Black Mamba</x:v>
      </x:c>
      <x:c r="C655" t="str">
        <x:v>Fish Oils</x:v>
      </x:c>
      <x:c r="D655" t="str">
        <x:v>Supplements</x:v>
      </x:c>
      <x:c r="E655" t="str">
        <x:v>Omega and EFA</x:v>
      </x:c>
      <x:c r="F655" t="str"/>
      <x:c r="G655" t="str">
        <x:v>90 softgels</x:v>
      </x:c>
      <x:c r="H655" t="str">
        <x:v>Default</x:v>
      </x:c>
      <x:c r="I655" t="str"/>
      <x:c r="J655" t="str">
        <x:v>Unit</x:v>
      </x:c>
      <x:c r="K655" t="str">
        <x:v>Out of stock</x:v>
      </x:c>
      <x:c r="L655" t="str">
        <x:v>2026-09-08</x:v>
      </x:c>
      <x:c r="M655" t="str"/>
      <x:c r="N655" t="str"/>
      <x:c r="O655" t="str">
        <x:v>https://www.activesportstrade.co.uk/trade-sports-supplements/black-mamba-trade</x:v>
      </x:c>
      <x:c r="P655" t="str">
        <x:v>Supplier SPECIAL OFFER / BUY X GET X / strength boilerplate removed from canonical title where present.</x:v>
      </x:c>
      <x:c r="Q655" t="str"/>
      <x:c r="R655" t="str"/>
      <x:c r="S655" t="str">
        <x:v>Pending genuine supplier/brand image</x:v>
      </x:c>
      <x:c r="T655" s="54"/>
      <x:c r="U655" s="47" t="n">
        <x:v>0.2</x:v>
      </x:c>
      <x:c r="V655" s="54" t="str">
        <x:f>IF(ISNUMBER(T655),T655*(1+U655),"")</x:f>
      </x:c>
      <x:c r="W655" s="47" t="n">
        <x:v>0.3</x:v>
      </x:c>
      <x:c r="X655" s="54" t="str">
        <x:f>IF(ISNUMBER(V655),V655/(1-W655),"")</x:f>
      </x:c>
      <x:c r="Y655" s="55" t="str">
        <x:f>IF(ISNUMBER(X655),ROUNDUP(X655,0),"")</x:f>
      </x:c>
      <x:c r="Z655" t="str">
        <x:f>IF(ISNUMBER(T655),"Cost captured","Awaiting trade cost")</x:f>
        <x:v>Awaiting trade cost</x:v>
      </x:c>
      <x:c r="AB655" s="36" t="str">
        <x:f>IF(ISNUMBER(Y655),ROUND(Y655*0.9,2),"")</x:f>
      </x:c>
      <x:c r="AC655" s="36" t="str">
        <x:f>IF(ISNUMBER(AB655),ROUND(AB655-(AB655*0.015+0.2)-V655,2),"")</x:f>
      </x:c>
      <x:c r="AD655" s="36" t="str">
        <x:f>IF(ISNUMBER(Y655),ROUND(Y655*0.8,2),"")</x:f>
      </x:c>
      <x:c r="AE655" s="36" t="str">
        <x:f>IF(ISNUMBER(AD655),ROUND(AD655*0.015+0.2,2),"")</x:f>
      </x:c>
      <x:c r="AF655" s="36" t="str">
        <x:f>IF(ISNUMBER(AD655),ROUND(AD655-AE655-V655,2),"")</x:f>
      </x:c>
      <x:c r="AG655" t="str">
        <x:f>IF(NOT(ISNUMBER(T655)),"PENDING",IF(AF655&gt;0,"PASS","FAIL"))</x:f>
        <x:v>PENDING</x:v>
      </x:c>
      <x:c r="AH655" t="str">
        <x:f>IF(NOT(ISNUMBER(T655)),"Needs supplier cost",IF(K655&lt;&gt;"In stock","Supplier unavailable",IF(AG655&lt;&gt;"PASS","BLOCK - GT loss risk","Commercially protected")))</x:f>
        <x:v>Needs supplier cost</x:v>
      </x:c>
      <x:c r="AI655" t="str">
        <x:v>2026-09-10 Active Sports trade capture</x:v>
      </x:c>
      <x:c r="AJ655" t="str">
        <x:v>Management-only economics. Stripe stress test uses 1.5% + £0.20 standard UK online-card fee; pallet/mix-and-match pricing ignored.</x:v>
      </x:c>
    </x:row>
    <x:row r="656">
      <x:c r="A656" t="str">
        <x:v>Active Sports Nutrition</x:v>
      </x:c>
      <x:c r="B656" t="str">
        <x:v>Black Mamba</x:v>
      </x:c>
      <x:c r="C656" t="str">
        <x:v>Glutamine</x:v>
      </x:c>
      <x:c r="D656" t="str">
        <x:v>Supplements</x:v>
      </x:c>
      <x:c r="E656" t="str">
        <x:v>L-Glutamine</x:v>
      </x:c>
      <x:c r="F656" t="str"/>
      <x:c r="G656" t="str">
        <x:v>250g</x:v>
      </x:c>
      <x:c r="H656" t="str">
        <x:v>Default</x:v>
      </x:c>
      <x:c r="I656" t="str"/>
      <x:c r="J656" t="str">
        <x:v>Unit</x:v>
      </x:c>
      <x:c r="K656" t="str">
        <x:v>In stock</x:v>
      </x:c>
      <x:c r="L656" t="str">
        <x:v>2026-09-08</x:v>
      </x:c>
      <x:c r="M656" t="str"/>
      <x:c r="N656" t="str"/>
      <x:c r="O656" t="str">
        <x:v>https://www.activesportstrade.co.uk/trade-sports-supplements/black-mamba-trade</x:v>
      </x:c>
      <x:c r="P656" t="str">
        <x:v>Supplier SPECIAL OFFER / BUY X GET X / strength boilerplate removed from canonical title where present.</x:v>
      </x:c>
      <x:c r="Q656" t="str"/>
      <x:c r="R656" t="str"/>
      <x:c r="S656" t="str">
        <x:v>Pending genuine supplier/brand image</x:v>
      </x:c>
      <x:c r="T656" s="54"/>
      <x:c r="U656" s="47" t="n">
        <x:v>0.2</x:v>
      </x:c>
      <x:c r="V656" s="54" t="str">
        <x:f>IF(ISNUMBER(T656),T656*(1+U656),"")</x:f>
      </x:c>
      <x:c r="W656" s="47" t="n">
        <x:v>0.3</x:v>
      </x:c>
      <x:c r="X656" s="54" t="str">
        <x:f>IF(ISNUMBER(V656),V656/(1-W656),"")</x:f>
      </x:c>
      <x:c r="Y656" s="55" t="str">
        <x:f>IF(ISNUMBER(X656),ROUNDUP(X656,0),"")</x:f>
      </x:c>
      <x:c r="Z656" t="str">
        <x:f>IF(ISNUMBER(T656),"Cost captured","Awaiting trade cost")</x:f>
        <x:v>Awaiting trade cost</x:v>
      </x:c>
      <x:c r="AB656" s="36" t="str">
        <x:f>IF(ISNUMBER(Y656),ROUND(Y656*0.9,2),"")</x:f>
      </x:c>
      <x:c r="AC656" s="36" t="str">
        <x:f>IF(ISNUMBER(AB656),ROUND(AB656-(AB656*0.015+0.2)-V656,2),"")</x:f>
      </x:c>
      <x:c r="AD656" s="36" t="str">
        <x:f>IF(ISNUMBER(Y656),ROUND(Y656*0.8,2),"")</x:f>
      </x:c>
      <x:c r="AE656" s="36" t="str">
        <x:f>IF(ISNUMBER(AD656),ROUND(AD656*0.015+0.2,2),"")</x:f>
      </x:c>
      <x:c r="AF656" s="36" t="str">
        <x:f>IF(ISNUMBER(AD656),ROUND(AD656-AE656-V656,2),"")</x:f>
      </x:c>
      <x:c r="AG656" t="str">
        <x:f>IF(NOT(ISNUMBER(T656)),"PENDING",IF(AF656&gt;0,"PASS","FAIL"))</x:f>
        <x:v>PENDING</x:v>
      </x:c>
      <x:c r="AH656" t="str">
        <x:f>IF(NOT(ISNUMBER(T656)),"Needs supplier cost",IF(K656&lt;&gt;"In stock","Supplier unavailable",IF(AG656&lt;&gt;"PASS","BLOCK - GT loss risk","Commercially protected")))</x:f>
        <x:v>Needs supplier cost</x:v>
      </x:c>
      <x:c r="AI656" t="str">
        <x:v>2026-09-10 Active Sports trade capture</x:v>
      </x:c>
      <x:c r="AJ656" t="str">
        <x:v>Management-only economics. Stripe stress test uses 1.5% + £0.20 standard UK online-card fee; pallet/mix-and-match pricing ignored.</x:v>
      </x:c>
    </x:row>
    <x:row r="657">
      <x:c r="A657" t="str">
        <x:v>Active Sports Nutrition</x:v>
      </x:c>
      <x:c r="B657" t="str">
        <x:v>Black Mamba</x:v>
      </x:c>
      <x:c r="C657" t="str">
        <x:v>Irish Sea Moss</x:v>
      </x:c>
      <x:c r="D657" t="str">
        <x:v>Supplements</x:v>
      </x:c>
      <x:c r="E657" t="str">
        <x:v>Health Foods</x:v>
      </x:c>
      <x:c r="F657" t="str"/>
      <x:c r="G657" t="str">
        <x:v>60 caps</x:v>
      </x:c>
      <x:c r="H657" t="str">
        <x:v>Default</x:v>
      </x:c>
      <x:c r="I657" t="str"/>
      <x:c r="J657" t="str">
        <x:v>Unit</x:v>
      </x:c>
      <x:c r="K657" t="str">
        <x:v>In stock</x:v>
      </x:c>
      <x:c r="L657" t="str">
        <x:v>2026-09-08</x:v>
      </x:c>
      <x:c r="M657" t="str"/>
      <x:c r="N657" t="str"/>
      <x:c r="O657" t="str">
        <x:v>https://www.activesportstrade.co.uk/trade-sports-supplements/black-mamba-trade</x:v>
      </x:c>
      <x:c r="P657" t="str">
        <x:v>Supplier SPECIAL OFFER / BUY X GET X / strength boilerplate removed from canonical title where present.</x:v>
      </x:c>
      <x:c r="Q657" t="str"/>
      <x:c r="R657" t="str"/>
      <x:c r="S657" t="str">
        <x:v>Pending genuine supplier/brand image</x:v>
      </x:c>
      <x:c r="T657" s="54"/>
      <x:c r="U657" s="47" t="n">
        <x:v>0.2</x:v>
      </x:c>
      <x:c r="V657" s="54" t="str">
        <x:f>IF(ISNUMBER(T657),T657*(1+U657),"")</x:f>
      </x:c>
      <x:c r="W657" s="47" t="n">
        <x:v>0.3</x:v>
      </x:c>
      <x:c r="X657" s="54" t="str">
        <x:f>IF(ISNUMBER(V657),V657/(1-W657),"")</x:f>
      </x:c>
      <x:c r="Y657" s="55" t="str">
        <x:f>IF(ISNUMBER(X657),ROUNDUP(X657,0),"")</x:f>
      </x:c>
      <x:c r="Z657" t="str">
        <x:f>IF(ISNUMBER(T657),"Cost captured","Awaiting trade cost")</x:f>
        <x:v>Awaiting trade cost</x:v>
      </x:c>
      <x:c r="AB657" s="36" t="str">
        <x:f>IF(ISNUMBER(Y657),ROUND(Y657*0.9,2),"")</x:f>
      </x:c>
      <x:c r="AC657" s="36" t="str">
        <x:f>IF(ISNUMBER(AB657),ROUND(AB657-(AB657*0.015+0.2)-V657,2),"")</x:f>
      </x:c>
      <x:c r="AD657" s="36" t="str">
        <x:f>IF(ISNUMBER(Y657),ROUND(Y657*0.8,2),"")</x:f>
      </x:c>
      <x:c r="AE657" s="36" t="str">
        <x:f>IF(ISNUMBER(AD657),ROUND(AD657*0.015+0.2,2),"")</x:f>
      </x:c>
      <x:c r="AF657" s="36" t="str">
        <x:f>IF(ISNUMBER(AD657),ROUND(AD657-AE657-V657,2),"")</x:f>
      </x:c>
      <x:c r="AG657" t="str">
        <x:f>IF(NOT(ISNUMBER(T657)),"PENDING",IF(AF657&gt;0,"PASS","FAIL"))</x:f>
        <x:v>PENDING</x:v>
      </x:c>
      <x:c r="AH657" t="str">
        <x:f>IF(NOT(ISNUMBER(T657)),"Needs supplier cost",IF(K657&lt;&gt;"In stock","Supplier unavailable",IF(AG657&lt;&gt;"PASS","BLOCK - GT loss risk","Commercially protected")))</x:f>
        <x:v>Needs supplier cost</x:v>
      </x:c>
      <x:c r="AI657" t="str">
        <x:v>2026-09-10 Active Sports trade capture</x:v>
      </x:c>
      <x:c r="AJ657" t="str">
        <x:v>Management-only economics. Stripe stress test uses 1.5% + £0.20 standard UK online-card fee; pallet/mix-and-match pricing ignored.</x:v>
      </x:c>
    </x:row>
    <x:row r="658">
      <x:c r="A658" t="str">
        <x:v>Active Sports Nutrition</x:v>
      </x:c>
      <x:c r="B658" t="str">
        <x:v>Black Mamba</x:v>
      </x:c>
      <x:c r="C658" t="str">
        <x:v>Konda V2</x:v>
      </x:c>
      <x:c r="D658" t="str">
        <x:v>Supplements</x:v>
      </x:c>
      <x:c r="E658" t="str">
        <x:v>Testosterone Boosters</x:v>
      </x:c>
      <x:c r="F658" t="str"/>
      <x:c r="G658" t="str">
        <x:v>60 caps</x:v>
      </x:c>
      <x:c r="H658" t="str">
        <x:v>Default</x:v>
      </x:c>
      <x:c r="I658" t="str"/>
      <x:c r="J658" t="str">
        <x:v>Unit</x:v>
      </x:c>
      <x:c r="K658" t="str">
        <x:v>In stock</x:v>
      </x:c>
      <x:c r="L658" t="str">
        <x:v>2026-09-08</x:v>
      </x:c>
      <x:c r="M658" t="str"/>
      <x:c r="N658" t="str"/>
      <x:c r="O658" t="str">
        <x:v>https://www.activesportstrade.co.uk/trade-sports-supplements/black-mamba-trade</x:v>
      </x:c>
      <x:c r="P658" t="str">
        <x:v>Supplier SPECIAL OFFER / BUY X GET X / strength boilerplate removed from canonical title where present.</x:v>
      </x:c>
      <x:c r="Q658" t="str"/>
      <x:c r="R658" t="str"/>
      <x:c r="S658" t="str">
        <x:v>Pending genuine supplier/brand image</x:v>
      </x:c>
      <x:c r="T658" s="54"/>
      <x:c r="U658" s="47" t="n">
        <x:v>0.2</x:v>
      </x:c>
      <x:c r="V658" s="54" t="str">
        <x:f>IF(ISNUMBER(T658),T658*(1+U658),"")</x:f>
      </x:c>
      <x:c r="W658" s="47" t="n">
        <x:v>0.3</x:v>
      </x:c>
      <x:c r="X658" s="54" t="str">
        <x:f>IF(ISNUMBER(V658),V658/(1-W658),"")</x:f>
      </x:c>
      <x:c r="Y658" s="55" t="str">
        <x:f>IF(ISNUMBER(X658),ROUNDUP(X658,0),"")</x:f>
      </x:c>
      <x:c r="Z658" t="str">
        <x:f>IF(ISNUMBER(T658),"Cost captured","Awaiting trade cost")</x:f>
        <x:v>Awaiting trade cost</x:v>
      </x:c>
      <x:c r="AB658" s="36" t="str">
        <x:f>IF(ISNUMBER(Y658),ROUND(Y658*0.9,2),"")</x:f>
      </x:c>
      <x:c r="AC658" s="36" t="str">
        <x:f>IF(ISNUMBER(AB658),ROUND(AB658-(AB658*0.015+0.2)-V658,2),"")</x:f>
      </x:c>
      <x:c r="AD658" s="36" t="str">
        <x:f>IF(ISNUMBER(Y658),ROUND(Y658*0.8,2),"")</x:f>
      </x:c>
      <x:c r="AE658" s="36" t="str">
        <x:f>IF(ISNUMBER(AD658),ROUND(AD658*0.015+0.2,2),"")</x:f>
      </x:c>
      <x:c r="AF658" s="36" t="str">
        <x:f>IF(ISNUMBER(AD658),ROUND(AD658-AE658-V658,2),"")</x:f>
      </x:c>
      <x:c r="AG658" t="str">
        <x:f>IF(NOT(ISNUMBER(T658)),"PENDING",IF(AF658&gt;0,"PASS","FAIL"))</x:f>
        <x:v>PENDING</x:v>
      </x:c>
      <x:c r="AH658" t="str">
        <x:f>IF(NOT(ISNUMBER(T658)),"Needs supplier cost",IF(K658&lt;&gt;"In stock","Supplier unavailable",IF(AG658&lt;&gt;"PASS","BLOCK - GT loss risk","Commercially protected")))</x:f>
        <x:v>Needs supplier cost</x:v>
      </x:c>
      <x:c r="AI658" t="str">
        <x:v>2026-09-10 Active Sports trade capture</x:v>
      </x:c>
      <x:c r="AJ658" t="str">
        <x:v>Management-only economics. Stripe stress test uses 1.5% + £0.20 standard UK online-card fee; pallet/mix-and-match pricing ignored.</x:v>
      </x:c>
    </x:row>
    <x:row r="659">
      <x:c r="A659" t="str">
        <x:v>Active Sports Nutrition</x:v>
      </x:c>
      <x:c r="B659" t="str">
        <x:v>Black Mamba</x:v>
      </x:c>
      <x:c r="C659" t="str">
        <x:v>KSM-66 Ashwagandha</x:v>
      </x:c>
      <x:c r="D659" t="str">
        <x:v>Supplements</x:v>
      </x:c>
      <x:c r="E659" t="str">
        <x:v>Health Foods</x:v>
      </x:c>
      <x:c r="F659" t="str"/>
      <x:c r="G659" t="str">
        <x:v>60 caps</x:v>
      </x:c>
      <x:c r="H659" t="str">
        <x:v>Default</x:v>
      </x:c>
      <x:c r="I659" t="str"/>
      <x:c r="J659" t="str">
        <x:v>Unit</x:v>
      </x:c>
      <x:c r="K659" t="str">
        <x:v>In stock</x:v>
      </x:c>
      <x:c r="L659" t="str">
        <x:v>2026-09-08</x:v>
      </x:c>
      <x:c r="M659" t="str"/>
      <x:c r="N659" t="str"/>
      <x:c r="O659" t="str">
        <x:v>https://www.activesportstrade.co.uk/trade-sports-supplements/black-mamba-trade</x:v>
      </x:c>
      <x:c r="P659" t="str">
        <x:v>Supplier SPECIAL OFFER / BUY X GET X / strength boilerplate removed from canonical title where present.</x:v>
      </x:c>
      <x:c r="Q659" t="str"/>
      <x:c r="R659" t="str"/>
      <x:c r="S659" t="str">
        <x:v>Pending genuine supplier/brand image</x:v>
      </x:c>
      <x:c r="T659" s="54"/>
      <x:c r="U659" s="47" t="n">
        <x:v>0.2</x:v>
      </x:c>
      <x:c r="V659" s="54" t="str">
        <x:f>IF(ISNUMBER(T659),T659*(1+U659),"")</x:f>
      </x:c>
      <x:c r="W659" s="47" t="n">
        <x:v>0.3</x:v>
      </x:c>
      <x:c r="X659" s="54" t="str">
        <x:f>IF(ISNUMBER(V659),V659/(1-W659),"")</x:f>
      </x:c>
      <x:c r="Y659" s="55" t="str">
        <x:f>IF(ISNUMBER(X659),ROUNDUP(X659,0),"")</x:f>
      </x:c>
      <x:c r="Z659" t="str">
        <x:f>IF(ISNUMBER(T659),"Cost captured","Awaiting trade cost")</x:f>
        <x:v>Awaiting trade cost</x:v>
      </x:c>
      <x:c r="AB659" s="36" t="str">
        <x:f>IF(ISNUMBER(Y659),ROUND(Y659*0.9,2),"")</x:f>
      </x:c>
      <x:c r="AC659" s="36" t="str">
        <x:f>IF(ISNUMBER(AB659),ROUND(AB659-(AB659*0.015+0.2)-V659,2),"")</x:f>
      </x:c>
      <x:c r="AD659" s="36" t="str">
        <x:f>IF(ISNUMBER(Y659),ROUND(Y659*0.8,2),"")</x:f>
      </x:c>
      <x:c r="AE659" s="36" t="str">
        <x:f>IF(ISNUMBER(AD659),ROUND(AD659*0.015+0.2,2),"")</x:f>
      </x:c>
      <x:c r="AF659" s="36" t="str">
        <x:f>IF(ISNUMBER(AD659),ROUND(AD659-AE659-V659,2),"")</x:f>
      </x:c>
      <x:c r="AG659" t="str">
        <x:f>IF(NOT(ISNUMBER(T659)),"PENDING",IF(AF659&gt;0,"PASS","FAIL"))</x:f>
        <x:v>PENDING</x:v>
      </x:c>
      <x:c r="AH659" t="str">
        <x:f>IF(NOT(ISNUMBER(T659)),"Needs supplier cost",IF(K659&lt;&gt;"In stock","Supplier unavailable",IF(AG659&lt;&gt;"PASS","BLOCK - GT loss risk","Commercially protected")))</x:f>
        <x:v>Needs supplier cost</x:v>
      </x:c>
      <x:c r="AI659" t="str">
        <x:v>2026-09-10 Active Sports trade capture</x:v>
      </x:c>
      <x:c r="AJ659" t="str">
        <x:v>Management-only economics. Stripe stress test uses 1.5% + £0.20 standard UK online-card fee; pallet/mix-and-match pricing ignored.</x:v>
      </x:c>
    </x:row>
    <x:row r="660">
      <x:c r="A660" t="str">
        <x:v>Active Sports Nutrition</x:v>
      </x:c>
      <x:c r="B660" t="str">
        <x:v>Black Mamba</x:v>
      </x:c>
      <x:c r="C660" t="str">
        <x:v>LAXO</x:v>
      </x:c>
      <x:c r="D660" t="str">
        <x:v>Supplements</x:v>
      </x:c>
      <x:c r="E660" t="str">
        <x:v>Testosterone Boosters</x:v>
      </x:c>
      <x:c r="F660" t="str"/>
      <x:c r="G660" t="str">
        <x:v>60 caps</x:v>
      </x:c>
      <x:c r="H660" t="str">
        <x:v>Default</x:v>
      </x:c>
      <x:c r="I660" t="str"/>
      <x:c r="J660" t="str">
        <x:v>Unit</x:v>
      </x:c>
      <x:c r="K660" t="str">
        <x:v>In stock</x:v>
      </x:c>
      <x:c r="L660" t="str">
        <x:v>2026-09-08</x:v>
      </x:c>
      <x:c r="M660" t="str"/>
      <x:c r="N660" t="str"/>
      <x:c r="O660" t="str">
        <x:v>https://www.activesportstrade.co.uk/trade-sports-supplements/black-mamba-trade</x:v>
      </x:c>
      <x:c r="P660" t="str">
        <x:v>Supplier SPECIAL OFFER / BUY X GET X / strength boilerplate removed from canonical title where present.</x:v>
      </x:c>
      <x:c r="Q660" t="str"/>
      <x:c r="R660" t="str"/>
      <x:c r="S660" t="str">
        <x:v>Pending genuine supplier/brand image</x:v>
      </x:c>
      <x:c r="T660" s="54"/>
      <x:c r="U660" s="47" t="n">
        <x:v>0.2</x:v>
      </x:c>
      <x:c r="V660" s="54" t="str">
        <x:f>IF(ISNUMBER(T660),T660*(1+U660),"")</x:f>
      </x:c>
      <x:c r="W660" s="47" t="n">
        <x:v>0.3</x:v>
      </x:c>
      <x:c r="X660" s="54" t="str">
        <x:f>IF(ISNUMBER(V660),V660/(1-W660),"")</x:f>
      </x:c>
      <x:c r="Y660" s="55" t="str">
        <x:f>IF(ISNUMBER(X660),ROUNDUP(X660,0),"")</x:f>
      </x:c>
      <x:c r="Z660" t="str">
        <x:f>IF(ISNUMBER(T660),"Cost captured","Awaiting trade cost")</x:f>
        <x:v>Awaiting trade cost</x:v>
      </x:c>
      <x:c r="AB660" s="36" t="str">
        <x:f>IF(ISNUMBER(Y660),ROUND(Y660*0.9,2),"")</x:f>
      </x:c>
      <x:c r="AC660" s="36" t="str">
        <x:f>IF(ISNUMBER(AB660),ROUND(AB660-(AB660*0.015+0.2)-V660,2),"")</x:f>
      </x:c>
      <x:c r="AD660" s="36" t="str">
        <x:f>IF(ISNUMBER(Y660),ROUND(Y660*0.8,2),"")</x:f>
      </x:c>
      <x:c r="AE660" s="36" t="str">
        <x:f>IF(ISNUMBER(AD660),ROUND(AD660*0.015+0.2,2),"")</x:f>
      </x:c>
      <x:c r="AF660" s="36" t="str">
        <x:f>IF(ISNUMBER(AD660),ROUND(AD660-AE660-V660,2),"")</x:f>
      </x:c>
      <x:c r="AG660" t="str">
        <x:f>IF(NOT(ISNUMBER(T660)),"PENDING",IF(AF660&gt;0,"PASS","FAIL"))</x:f>
        <x:v>PENDING</x:v>
      </x:c>
      <x:c r="AH660" t="str">
        <x:f>IF(NOT(ISNUMBER(T660)),"Needs supplier cost",IF(K660&lt;&gt;"In stock","Supplier unavailable",IF(AG660&lt;&gt;"PASS","BLOCK - GT loss risk","Commercially protected")))</x:f>
        <x:v>Needs supplier cost</x:v>
      </x:c>
      <x:c r="AI660" t="str">
        <x:v>2026-09-10 Active Sports trade capture</x:v>
      </x:c>
      <x:c r="AJ660" t="str">
        <x:v>Management-only economics. Stripe stress test uses 1.5% + £0.20 standard UK online-card fee; pallet/mix-and-match pricing ignored.</x:v>
      </x:c>
    </x:row>
    <x:row r="661">
      <x:c r="A661" t="str">
        <x:v>Active Sports Nutrition</x:v>
      </x:c>
      <x:c r="B661" t="str">
        <x:v>Black Mamba</x:v>
      </x:c>
      <x:c r="C661" t="str">
        <x:v>Lions Mane</x:v>
      </x:c>
      <x:c r="D661" t="str">
        <x:v>Supplements</x:v>
      </x:c>
      <x:c r="E661" t="str">
        <x:v>Health Foods</x:v>
      </x:c>
      <x:c r="F661" t="str"/>
      <x:c r="G661" t="str">
        <x:v>60 caps</x:v>
      </x:c>
      <x:c r="H661" t="str">
        <x:v>Default</x:v>
      </x:c>
      <x:c r="I661" t="str"/>
      <x:c r="J661" t="str">
        <x:v>Unit</x:v>
      </x:c>
      <x:c r="K661" t="str">
        <x:v>In stock</x:v>
      </x:c>
      <x:c r="L661" t="str">
        <x:v>2026-09-08</x:v>
      </x:c>
      <x:c r="M661" t="str"/>
      <x:c r="N661" t="str"/>
      <x:c r="O661" t="str">
        <x:v>https://www.activesportstrade.co.uk/trade-sports-supplements/black-mamba-trade</x:v>
      </x:c>
      <x:c r="P661" t="str">
        <x:v>Supplier SPECIAL OFFER / BUY X GET X / strength boilerplate removed from canonical title where present.</x:v>
      </x:c>
      <x:c r="Q661" t="str"/>
      <x:c r="R661" t="str"/>
      <x:c r="S661" t="str">
        <x:v>Pending genuine supplier/brand image</x:v>
      </x:c>
      <x:c r="T661" s="54"/>
      <x:c r="U661" s="47" t="n">
        <x:v>0.2</x:v>
      </x:c>
      <x:c r="V661" s="54" t="str">
        <x:f>IF(ISNUMBER(T661),T661*(1+U661),"")</x:f>
      </x:c>
      <x:c r="W661" s="47" t="n">
        <x:v>0.3</x:v>
      </x:c>
      <x:c r="X661" s="54" t="str">
        <x:f>IF(ISNUMBER(V661),V661/(1-W661),"")</x:f>
      </x:c>
      <x:c r="Y661" s="55" t="str">
        <x:f>IF(ISNUMBER(X661),ROUNDUP(X661,0),"")</x:f>
      </x:c>
      <x:c r="Z661" t="str">
        <x:f>IF(ISNUMBER(T661),"Cost captured","Awaiting trade cost")</x:f>
        <x:v>Awaiting trade cost</x:v>
      </x:c>
      <x:c r="AB661" s="36" t="str">
        <x:f>IF(ISNUMBER(Y661),ROUND(Y661*0.9,2),"")</x:f>
      </x:c>
      <x:c r="AC661" s="36" t="str">
        <x:f>IF(ISNUMBER(AB661),ROUND(AB661-(AB661*0.015+0.2)-V661,2),"")</x:f>
      </x:c>
      <x:c r="AD661" s="36" t="str">
        <x:f>IF(ISNUMBER(Y661),ROUND(Y661*0.8,2),"")</x:f>
      </x:c>
      <x:c r="AE661" s="36" t="str">
        <x:f>IF(ISNUMBER(AD661),ROUND(AD661*0.015+0.2,2),"")</x:f>
      </x:c>
      <x:c r="AF661" s="36" t="str">
        <x:f>IF(ISNUMBER(AD661),ROUND(AD661-AE661-V661,2),"")</x:f>
      </x:c>
      <x:c r="AG661" t="str">
        <x:f>IF(NOT(ISNUMBER(T661)),"PENDING",IF(AF661&gt;0,"PASS","FAIL"))</x:f>
        <x:v>PENDING</x:v>
      </x:c>
      <x:c r="AH661" t="str">
        <x:f>IF(NOT(ISNUMBER(T661)),"Needs supplier cost",IF(K661&lt;&gt;"In stock","Supplier unavailable",IF(AG661&lt;&gt;"PASS","BLOCK - GT loss risk","Commercially protected")))</x:f>
        <x:v>Needs supplier cost</x:v>
      </x:c>
      <x:c r="AI661" t="str">
        <x:v>2026-09-10 Active Sports trade capture</x:v>
      </x:c>
      <x:c r="AJ661" t="str">
        <x:v>Management-only economics. Stripe stress test uses 1.5% + £0.20 standard UK online-card fee; pallet/mix-and-match pricing ignored.</x:v>
      </x:c>
    </x:row>
    <x:row r="662">
      <x:c r="A662" t="str">
        <x:v>Active Sports Nutrition</x:v>
      </x:c>
      <x:c r="B662" t="str">
        <x:v>Black Mamba</x:v>
      </x:c>
      <x:c r="C662" t="str">
        <x:v>Magnesium Bisglycinate</x:v>
      </x:c>
      <x:c r="D662" t="str">
        <x:v>Supplements</x:v>
      </x:c>
      <x:c r="E662" t="str">
        <x:v>Vitamins</x:v>
      </x:c>
      <x:c r="F662" t="str"/>
      <x:c r="G662" t="str">
        <x:v>60 caps</x:v>
      </x:c>
      <x:c r="H662" t="str">
        <x:v>Default</x:v>
      </x:c>
      <x:c r="I662" t="str"/>
      <x:c r="J662" t="str">
        <x:v>Unit</x:v>
      </x:c>
      <x:c r="K662" t="str">
        <x:v>In stock</x:v>
      </x:c>
      <x:c r="L662" t="str">
        <x:v>2026-09-08</x:v>
      </x:c>
      <x:c r="M662" t="str"/>
      <x:c r="N662" t="str"/>
      <x:c r="O662" t="str">
        <x:v>https://www.activesportstrade.co.uk/trade-sports-supplements/black-mamba-trade</x:v>
      </x:c>
      <x:c r="P662" t="str">
        <x:v>Supplier SPECIAL OFFER / BUY X GET X / strength boilerplate removed from canonical title where present.</x:v>
      </x:c>
      <x:c r="Q662" t="str"/>
      <x:c r="R662" t="str"/>
      <x:c r="S662" t="str">
        <x:v>Pending genuine supplier/brand image</x:v>
      </x:c>
      <x:c r="T662" s="54"/>
      <x:c r="U662" s="47" t="n">
        <x:v>0.2</x:v>
      </x:c>
      <x:c r="V662" s="54" t="str">
        <x:f>IF(ISNUMBER(T662),T662*(1+U662),"")</x:f>
      </x:c>
      <x:c r="W662" s="47" t="n">
        <x:v>0.3</x:v>
      </x:c>
      <x:c r="X662" s="54" t="str">
        <x:f>IF(ISNUMBER(V662),V662/(1-W662),"")</x:f>
      </x:c>
      <x:c r="Y662" s="55" t="str">
        <x:f>IF(ISNUMBER(X662),ROUNDUP(X662,0),"")</x:f>
      </x:c>
      <x:c r="Z662" t="str">
        <x:f>IF(ISNUMBER(T662),"Cost captured","Awaiting trade cost")</x:f>
        <x:v>Awaiting trade cost</x:v>
      </x:c>
      <x:c r="AB662" s="36" t="str">
        <x:f>IF(ISNUMBER(Y662),ROUND(Y662*0.9,2),"")</x:f>
      </x:c>
      <x:c r="AC662" s="36" t="str">
        <x:f>IF(ISNUMBER(AB662),ROUND(AB662-(AB662*0.015+0.2)-V662,2),"")</x:f>
      </x:c>
      <x:c r="AD662" s="36" t="str">
        <x:f>IF(ISNUMBER(Y662),ROUND(Y662*0.8,2),"")</x:f>
      </x:c>
      <x:c r="AE662" s="36" t="str">
        <x:f>IF(ISNUMBER(AD662),ROUND(AD662*0.015+0.2,2),"")</x:f>
      </x:c>
      <x:c r="AF662" s="36" t="str">
        <x:f>IF(ISNUMBER(AD662),ROUND(AD662-AE662-V662,2),"")</x:f>
      </x:c>
      <x:c r="AG662" t="str">
        <x:f>IF(NOT(ISNUMBER(T662)),"PENDING",IF(AF662&gt;0,"PASS","FAIL"))</x:f>
        <x:v>PENDING</x:v>
      </x:c>
      <x:c r="AH662" t="str">
        <x:f>IF(NOT(ISNUMBER(T662)),"Needs supplier cost",IF(K662&lt;&gt;"In stock","Supplier unavailable",IF(AG662&lt;&gt;"PASS","BLOCK - GT loss risk","Commercially protected")))</x:f>
        <x:v>Needs supplier cost</x:v>
      </x:c>
      <x:c r="AI662" t="str">
        <x:v>2026-09-10 Active Sports trade capture</x:v>
      </x:c>
      <x:c r="AJ662" t="str">
        <x:v>Management-only economics. Stripe stress test uses 1.5% + £0.20 standard UK online-card fee; pallet/mix-and-match pricing ignored.</x:v>
      </x:c>
    </x:row>
    <x:row r="663">
      <x:c r="A663" t="str">
        <x:v>Active Sports Nutrition</x:v>
      </x:c>
      <x:c r="B663" t="str">
        <x:v>Black Mamba</x:v>
      </x:c>
      <x:c r="C663" t="str">
        <x:v>Mamba Muscle</x:v>
      </x:c>
      <x:c r="D663" t="str">
        <x:v>Supplements</x:v>
      </x:c>
      <x:c r="E663" t="str">
        <x:v>Testosterone Boosters</x:v>
      </x:c>
      <x:c r="F663" t="str"/>
      <x:c r="G663" t="str">
        <x:v>60 caps</x:v>
      </x:c>
      <x:c r="H663" t="str">
        <x:v>Default</x:v>
      </x:c>
      <x:c r="I663" t="str"/>
      <x:c r="J663" t="str">
        <x:v>Unit</x:v>
      </x:c>
      <x:c r="K663" t="str">
        <x:v>In stock</x:v>
      </x:c>
      <x:c r="L663" t="str">
        <x:v>2026-09-08</x:v>
      </x:c>
      <x:c r="M663" t="str"/>
      <x:c r="N663" t="str"/>
      <x:c r="O663" t="str">
        <x:v>https://www.activesportstrade.co.uk/trade-sports-supplements/black-mamba-trade</x:v>
      </x:c>
      <x:c r="P663" t="str">
        <x:v>Supplier SPECIAL OFFER / BUY X GET X / strength boilerplate removed from canonical title where present.</x:v>
      </x:c>
      <x:c r="Q663" t="str"/>
      <x:c r="R663" t="str"/>
      <x:c r="S663" t="str">
        <x:v>Pending genuine supplier/brand image</x:v>
      </x:c>
      <x:c r="T663" s="54"/>
      <x:c r="U663" s="47" t="n">
        <x:v>0.2</x:v>
      </x:c>
      <x:c r="V663" s="54" t="str">
        <x:f>IF(ISNUMBER(T663),T663*(1+U663),"")</x:f>
      </x:c>
      <x:c r="W663" s="47" t="n">
        <x:v>0.3</x:v>
      </x:c>
      <x:c r="X663" s="54" t="str">
        <x:f>IF(ISNUMBER(V663),V663/(1-W663),"")</x:f>
      </x:c>
      <x:c r="Y663" s="55" t="str">
        <x:f>IF(ISNUMBER(X663),ROUNDUP(X663,0),"")</x:f>
      </x:c>
      <x:c r="Z663" t="str">
        <x:f>IF(ISNUMBER(T663),"Cost captured","Awaiting trade cost")</x:f>
        <x:v>Awaiting trade cost</x:v>
      </x:c>
      <x:c r="AB663" s="36" t="str">
        <x:f>IF(ISNUMBER(Y663),ROUND(Y663*0.9,2),"")</x:f>
      </x:c>
      <x:c r="AC663" s="36" t="str">
        <x:f>IF(ISNUMBER(AB663),ROUND(AB663-(AB663*0.015+0.2)-V663,2),"")</x:f>
      </x:c>
      <x:c r="AD663" s="36" t="str">
        <x:f>IF(ISNUMBER(Y663),ROUND(Y663*0.8,2),"")</x:f>
      </x:c>
      <x:c r="AE663" s="36" t="str">
        <x:f>IF(ISNUMBER(AD663),ROUND(AD663*0.015+0.2,2),"")</x:f>
      </x:c>
      <x:c r="AF663" s="36" t="str">
        <x:f>IF(ISNUMBER(AD663),ROUND(AD663-AE663-V663,2),"")</x:f>
      </x:c>
      <x:c r="AG663" t="str">
        <x:f>IF(NOT(ISNUMBER(T663)),"PENDING",IF(AF663&gt;0,"PASS","FAIL"))</x:f>
        <x:v>PENDING</x:v>
      </x:c>
      <x:c r="AH663" t="str">
        <x:f>IF(NOT(ISNUMBER(T663)),"Needs supplier cost",IF(K663&lt;&gt;"In stock","Supplier unavailable",IF(AG663&lt;&gt;"PASS","BLOCK - GT loss risk","Commercially protected")))</x:f>
        <x:v>Needs supplier cost</x:v>
      </x:c>
      <x:c r="AI663" t="str">
        <x:v>2026-09-10 Active Sports trade capture</x:v>
      </x:c>
      <x:c r="AJ663" t="str">
        <x:v>Management-only economics. Stripe stress test uses 1.5% + £0.20 standard UK online-card fee; pallet/mix-and-match pricing ignored.</x:v>
      </x:c>
    </x:row>
    <x:row r="664">
      <x:c r="A664" t="str">
        <x:v>Active Sports Nutrition</x:v>
      </x:c>
      <x:c r="B664" t="str">
        <x:v>Black Mamba</x:v>
      </x:c>
      <x:c r="C664" t="str">
        <x:v>Milk Thistle</x:v>
      </x:c>
      <x:c r="D664" t="str">
        <x:v>Supplements</x:v>
      </x:c>
      <x:c r="E664" t="str">
        <x:v>PCT Supplements</x:v>
      </x:c>
      <x:c r="F664" t="str"/>
      <x:c r="G664" t="str">
        <x:v>60 caps</x:v>
      </x:c>
      <x:c r="H664" t="str">
        <x:v>Default</x:v>
      </x:c>
      <x:c r="I664" t="str"/>
      <x:c r="J664" t="str">
        <x:v>Unit</x:v>
      </x:c>
      <x:c r="K664" t="str">
        <x:v>Out of stock</x:v>
      </x:c>
      <x:c r="L664" t="str">
        <x:v>2026-09-08</x:v>
      </x:c>
      <x:c r="M664" t="str"/>
      <x:c r="N664" t="str"/>
      <x:c r="O664" t="str">
        <x:v>https://www.activesportstrade.co.uk/trade-sports-supplements/black-mamba-trade</x:v>
      </x:c>
      <x:c r="P664" t="str">
        <x:v>Supplier SPECIAL OFFER / BUY X GET X / strength boilerplate removed from canonical title where present.</x:v>
      </x:c>
      <x:c r="Q664" t="str"/>
      <x:c r="R664" t="str"/>
      <x:c r="S664" t="str">
        <x:v>Pending genuine supplier/brand image</x:v>
      </x:c>
      <x:c r="T664" s="54"/>
      <x:c r="U664" s="47" t="n">
        <x:v>0.2</x:v>
      </x:c>
      <x:c r="V664" s="54" t="str">
        <x:f>IF(ISNUMBER(T664),T664*(1+U664),"")</x:f>
      </x:c>
      <x:c r="W664" s="47" t="n">
        <x:v>0.3</x:v>
      </x:c>
      <x:c r="X664" s="54" t="str">
        <x:f>IF(ISNUMBER(V664),V664/(1-W664),"")</x:f>
      </x:c>
      <x:c r="Y664" s="55" t="str">
        <x:f>IF(ISNUMBER(X664),ROUNDUP(X664,0),"")</x:f>
      </x:c>
      <x:c r="Z664" t="str">
        <x:f>IF(ISNUMBER(T664),"Cost captured","Awaiting trade cost")</x:f>
        <x:v>Awaiting trade cost</x:v>
      </x:c>
      <x:c r="AB664" s="36" t="str">
        <x:f>IF(ISNUMBER(Y664),ROUND(Y664*0.9,2),"")</x:f>
      </x:c>
      <x:c r="AC664" s="36" t="str">
        <x:f>IF(ISNUMBER(AB664),ROUND(AB664-(AB664*0.015+0.2)-V664,2),"")</x:f>
      </x:c>
      <x:c r="AD664" s="36" t="str">
        <x:f>IF(ISNUMBER(Y664),ROUND(Y664*0.8,2),"")</x:f>
      </x:c>
      <x:c r="AE664" s="36" t="str">
        <x:f>IF(ISNUMBER(AD664),ROUND(AD664*0.015+0.2,2),"")</x:f>
      </x:c>
      <x:c r="AF664" s="36" t="str">
        <x:f>IF(ISNUMBER(AD664),ROUND(AD664-AE664-V664,2),"")</x:f>
      </x:c>
      <x:c r="AG664" t="str">
        <x:f>IF(NOT(ISNUMBER(T664)),"PENDING",IF(AF664&gt;0,"PASS","FAIL"))</x:f>
        <x:v>PENDING</x:v>
      </x:c>
      <x:c r="AH664" t="str">
        <x:f>IF(NOT(ISNUMBER(T664)),"Needs supplier cost",IF(K664&lt;&gt;"In stock","Supplier unavailable",IF(AG664&lt;&gt;"PASS","BLOCK - GT loss risk","Commercially protected")))</x:f>
        <x:v>Needs supplier cost</x:v>
      </x:c>
      <x:c r="AI664" t="str">
        <x:v>2026-09-10 Active Sports trade capture</x:v>
      </x:c>
      <x:c r="AJ664" t="str">
        <x:v>Management-only economics. Stripe stress test uses 1.5% + £0.20 standard UK online-card fee; pallet/mix-and-match pricing ignored.</x:v>
      </x:c>
    </x:row>
    <x:row r="665">
      <x:c r="A665" t="str">
        <x:v>Active Sports Nutrition</x:v>
      </x:c>
      <x:c r="B665" t="str">
        <x:v>Black Mamba</x:v>
      </x:c>
      <x:c r="C665" t="str">
        <x:v>Mushiez</x:v>
      </x:c>
      <x:c r="D665" t="str">
        <x:v>Supplements</x:v>
      </x:c>
      <x:c r="E665" t="str">
        <x:v>Health Foods</x:v>
      </x:c>
      <x:c r="F665" t="str"/>
      <x:c r="G665" t="str">
        <x:v>90 caps</x:v>
      </x:c>
      <x:c r="H665" t="str">
        <x:v>Default</x:v>
      </x:c>
      <x:c r="I665" t="str"/>
      <x:c r="J665" t="str">
        <x:v>Unit</x:v>
      </x:c>
      <x:c r="K665" t="str">
        <x:v>Out of stock</x:v>
      </x:c>
      <x:c r="L665" t="str">
        <x:v>2026-09-08</x:v>
      </x:c>
      <x:c r="M665" t="str"/>
      <x:c r="N665" t="str"/>
      <x:c r="O665" t="str">
        <x:v>https://www.activesportstrade.co.uk/trade-sports-supplements/black-mamba-trade</x:v>
      </x:c>
      <x:c r="P665" t="str">
        <x:v>Supplier SPECIAL OFFER / BUY X GET X / strength boilerplate removed from canonical title where present.</x:v>
      </x:c>
      <x:c r="Q665" t="str"/>
      <x:c r="R665" t="str"/>
      <x:c r="S665" t="str">
        <x:v>Pending genuine supplier/brand image</x:v>
      </x:c>
      <x:c r="T665" s="54"/>
      <x:c r="U665" s="47" t="n">
        <x:v>0.2</x:v>
      </x:c>
      <x:c r="V665" s="54" t="str">
        <x:f>IF(ISNUMBER(T665),T665*(1+U665),"")</x:f>
      </x:c>
      <x:c r="W665" s="47" t="n">
        <x:v>0.3</x:v>
      </x:c>
      <x:c r="X665" s="54" t="str">
        <x:f>IF(ISNUMBER(V665),V665/(1-W665),"")</x:f>
      </x:c>
      <x:c r="Y665" s="55" t="str">
        <x:f>IF(ISNUMBER(X665),ROUNDUP(X665,0),"")</x:f>
      </x:c>
      <x:c r="Z665" t="str">
        <x:f>IF(ISNUMBER(T665),"Cost captured","Awaiting trade cost")</x:f>
        <x:v>Awaiting trade cost</x:v>
      </x:c>
      <x:c r="AB665" s="36" t="str">
        <x:f>IF(ISNUMBER(Y665),ROUND(Y665*0.9,2),"")</x:f>
      </x:c>
      <x:c r="AC665" s="36" t="str">
        <x:f>IF(ISNUMBER(AB665),ROUND(AB665-(AB665*0.015+0.2)-V665,2),"")</x:f>
      </x:c>
      <x:c r="AD665" s="36" t="str">
        <x:f>IF(ISNUMBER(Y665),ROUND(Y665*0.8,2),"")</x:f>
      </x:c>
      <x:c r="AE665" s="36" t="str">
        <x:f>IF(ISNUMBER(AD665),ROUND(AD665*0.015+0.2,2),"")</x:f>
      </x:c>
      <x:c r="AF665" s="36" t="str">
        <x:f>IF(ISNUMBER(AD665),ROUND(AD665-AE665-V665,2),"")</x:f>
      </x:c>
      <x:c r="AG665" t="str">
        <x:f>IF(NOT(ISNUMBER(T665)),"PENDING",IF(AF665&gt;0,"PASS","FAIL"))</x:f>
        <x:v>PENDING</x:v>
      </x:c>
      <x:c r="AH665" t="str">
        <x:f>IF(NOT(ISNUMBER(T665)),"Needs supplier cost",IF(K665&lt;&gt;"In stock","Supplier unavailable",IF(AG665&lt;&gt;"PASS","BLOCK - GT loss risk","Commercially protected")))</x:f>
        <x:v>Needs supplier cost</x:v>
      </x:c>
      <x:c r="AI665" t="str">
        <x:v>2026-09-10 Active Sports trade capture</x:v>
      </x:c>
      <x:c r="AJ665" t="str">
        <x:v>Management-only economics. Stripe stress test uses 1.5% + £0.20 standard UK online-card fee; pallet/mix-and-match pricing ignored.</x:v>
      </x:c>
    </x:row>
    <x:row r="666">
      <x:c r="A666" t="str">
        <x:v>Active Sports Nutrition</x:v>
      </x:c>
      <x:c r="B666" t="str">
        <x:v>Black Mamba</x:v>
      </x:c>
      <x:c r="C666" t="str">
        <x:v>NMN</x:v>
      </x:c>
      <x:c r="D666" t="str">
        <x:v>Supplements</x:v>
      </x:c>
      <x:c r="E666" t="str">
        <x:v>Health Foods</x:v>
      </x:c>
      <x:c r="F666" t="str"/>
      <x:c r="G666" t="str">
        <x:v>60 caps</x:v>
      </x:c>
      <x:c r="H666" t="str">
        <x:v>Default</x:v>
      </x:c>
      <x:c r="I666" t="str"/>
      <x:c r="J666" t="str">
        <x:v>Unit</x:v>
      </x:c>
      <x:c r="K666" t="str">
        <x:v>In stock</x:v>
      </x:c>
      <x:c r="L666" t="str">
        <x:v>2026-09-08</x:v>
      </x:c>
      <x:c r="M666" t="str"/>
      <x:c r="N666" t="str"/>
      <x:c r="O666" t="str">
        <x:v>https://www.activesportstrade.co.uk/trade-sports-supplements/black-mamba-trade</x:v>
      </x:c>
      <x:c r="P666" t="str">
        <x:v>Supplier SPECIAL OFFER / BUY X GET X / strength boilerplate removed from canonical title where present.</x:v>
      </x:c>
      <x:c r="Q666" t="str"/>
      <x:c r="R666" t="str"/>
      <x:c r="S666" t="str">
        <x:v>Pending genuine supplier/brand image</x:v>
      </x:c>
      <x:c r="T666" s="54"/>
      <x:c r="U666" s="47" t="n">
        <x:v>0.2</x:v>
      </x:c>
      <x:c r="V666" s="54" t="str">
        <x:f>IF(ISNUMBER(T666),T666*(1+U666),"")</x:f>
      </x:c>
      <x:c r="W666" s="47" t="n">
        <x:v>0.3</x:v>
      </x:c>
      <x:c r="X666" s="54" t="str">
        <x:f>IF(ISNUMBER(V666),V666/(1-W666),"")</x:f>
      </x:c>
      <x:c r="Y666" s="55" t="str">
        <x:f>IF(ISNUMBER(X666),ROUNDUP(X666,0),"")</x:f>
      </x:c>
      <x:c r="Z666" t="str">
        <x:f>IF(ISNUMBER(T666),"Cost captured","Awaiting trade cost")</x:f>
        <x:v>Awaiting trade cost</x:v>
      </x:c>
      <x:c r="AB666" s="36" t="str">
        <x:f>IF(ISNUMBER(Y666),ROUND(Y666*0.9,2),"")</x:f>
      </x:c>
      <x:c r="AC666" s="36" t="str">
        <x:f>IF(ISNUMBER(AB666),ROUND(AB666-(AB666*0.015+0.2)-V666,2),"")</x:f>
      </x:c>
      <x:c r="AD666" s="36" t="str">
        <x:f>IF(ISNUMBER(Y666),ROUND(Y666*0.8,2),"")</x:f>
      </x:c>
      <x:c r="AE666" s="36" t="str">
        <x:f>IF(ISNUMBER(AD666),ROUND(AD666*0.015+0.2,2),"")</x:f>
      </x:c>
      <x:c r="AF666" s="36" t="str">
        <x:f>IF(ISNUMBER(AD666),ROUND(AD666-AE666-V666,2),"")</x:f>
      </x:c>
      <x:c r="AG666" t="str">
        <x:f>IF(NOT(ISNUMBER(T666)),"PENDING",IF(AF666&gt;0,"PASS","FAIL"))</x:f>
        <x:v>PENDING</x:v>
      </x:c>
      <x:c r="AH666" t="str">
        <x:f>IF(NOT(ISNUMBER(T666)),"Needs supplier cost",IF(K666&lt;&gt;"In stock","Supplier unavailable",IF(AG666&lt;&gt;"PASS","BLOCK - GT loss risk","Commercially protected")))</x:f>
        <x:v>Needs supplier cost</x:v>
      </x:c>
      <x:c r="AI666" t="str">
        <x:v>2026-09-10 Active Sports trade capture</x:v>
      </x:c>
      <x:c r="AJ666" t="str">
        <x:v>Management-only economics. Stripe stress test uses 1.5% + £0.20 standard UK online-card fee; pallet/mix-and-match pricing ignored.</x:v>
      </x:c>
    </x:row>
    <x:row r="667">
      <x:c r="A667" t="str">
        <x:v>Active Sports Nutrition</x:v>
      </x:c>
      <x:c r="B667" t="str">
        <x:v>Black Mamba</x:v>
      </x:c>
      <x:c r="C667" t="str">
        <x:v>PCT</x:v>
      </x:c>
      <x:c r="D667" t="str">
        <x:v>Supplements</x:v>
      </x:c>
      <x:c r="E667" t="str">
        <x:v>PCT Supplements</x:v>
      </x:c>
      <x:c r="F667" t="str"/>
      <x:c r="G667" t="str">
        <x:v>60 caps</x:v>
      </x:c>
      <x:c r="H667" t="str">
        <x:v>Default</x:v>
      </x:c>
      <x:c r="I667" t="str"/>
      <x:c r="J667" t="str">
        <x:v>Unit</x:v>
      </x:c>
      <x:c r="K667" t="str">
        <x:v>In stock</x:v>
      </x:c>
      <x:c r="L667" t="str">
        <x:v>2026-09-08</x:v>
      </x:c>
      <x:c r="M667" t="str"/>
      <x:c r="N667" t="str"/>
      <x:c r="O667" t="str">
        <x:v>https://www.activesportstrade.co.uk/trade-sports-supplements/black-mamba-trade</x:v>
      </x:c>
      <x:c r="P667" t="str">
        <x:v>Supplier SPECIAL OFFER / BUY X GET X / strength boilerplate removed from canonical title where present.</x:v>
      </x:c>
      <x:c r="Q667" t="str"/>
      <x:c r="R667" t="str"/>
      <x:c r="S667" t="str">
        <x:v>Pending genuine supplier/brand image</x:v>
      </x:c>
      <x:c r="T667" s="54"/>
      <x:c r="U667" s="47" t="n">
        <x:v>0.2</x:v>
      </x:c>
      <x:c r="V667" s="54" t="str">
        <x:f>IF(ISNUMBER(T667),T667*(1+U667),"")</x:f>
      </x:c>
      <x:c r="W667" s="47" t="n">
        <x:v>0.3</x:v>
      </x:c>
      <x:c r="X667" s="54" t="str">
        <x:f>IF(ISNUMBER(V667),V667/(1-W667),"")</x:f>
      </x:c>
      <x:c r="Y667" s="55" t="str">
        <x:f>IF(ISNUMBER(X667),ROUNDUP(X667,0),"")</x:f>
      </x:c>
      <x:c r="Z667" t="str">
        <x:f>IF(ISNUMBER(T667),"Cost captured","Awaiting trade cost")</x:f>
        <x:v>Awaiting trade cost</x:v>
      </x:c>
      <x:c r="AB667" s="36" t="str">
        <x:f>IF(ISNUMBER(Y667),ROUND(Y667*0.9,2),"")</x:f>
      </x:c>
      <x:c r="AC667" s="36" t="str">
        <x:f>IF(ISNUMBER(AB667),ROUND(AB667-(AB667*0.015+0.2)-V667,2),"")</x:f>
      </x:c>
      <x:c r="AD667" s="36" t="str">
        <x:f>IF(ISNUMBER(Y667),ROUND(Y667*0.8,2),"")</x:f>
      </x:c>
      <x:c r="AE667" s="36" t="str">
        <x:f>IF(ISNUMBER(AD667),ROUND(AD667*0.015+0.2,2),"")</x:f>
      </x:c>
      <x:c r="AF667" s="36" t="str">
        <x:f>IF(ISNUMBER(AD667),ROUND(AD667-AE667-V667,2),"")</x:f>
      </x:c>
      <x:c r="AG667" t="str">
        <x:f>IF(NOT(ISNUMBER(T667)),"PENDING",IF(AF667&gt;0,"PASS","FAIL"))</x:f>
        <x:v>PENDING</x:v>
      </x:c>
      <x:c r="AH667" t="str">
        <x:f>IF(NOT(ISNUMBER(T667)),"Needs supplier cost",IF(K667&lt;&gt;"In stock","Supplier unavailable",IF(AG667&lt;&gt;"PASS","BLOCK - GT loss risk","Commercially protected")))</x:f>
        <x:v>Needs supplier cost</x:v>
      </x:c>
      <x:c r="AI667" t="str">
        <x:v>2026-09-10 Active Sports trade capture</x:v>
      </x:c>
      <x:c r="AJ667" t="str">
        <x:v>Management-only economics. Stripe stress test uses 1.5% + £0.20 standard UK online-card fee; pallet/mix-and-match pricing ignored.</x:v>
      </x:c>
    </x:row>
    <x:row r="668">
      <x:c r="A668" t="str">
        <x:v>Active Sports Nutrition</x:v>
      </x:c>
      <x:c r="B668" t="str">
        <x:v>Black Mamba</x:v>
      </x:c>
      <x:c r="C668" t="str">
        <x:v>Pure Shilajit Resin</x:v>
      </x:c>
      <x:c r="D668" t="str">
        <x:v>Supplements</x:v>
      </x:c>
      <x:c r="E668" t="str">
        <x:v>Health Foods</x:v>
      </x:c>
      <x:c r="F668" t="str"/>
      <x:c r="G668" t="str">
        <x:v>50g</x:v>
      </x:c>
      <x:c r="H668" t="str">
        <x:v>Default</x:v>
      </x:c>
      <x:c r="I668" t="str"/>
      <x:c r="J668" t="str">
        <x:v>Unit</x:v>
      </x:c>
      <x:c r="K668" t="str">
        <x:v>Out of stock</x:v>
      </x:c>
      <x:c r="L668" t="str">
        <x:v>2026-09-08</x:v>
      </x:c>
      <x:c r="M668" t="str"/>
      <x:c r="N668" t="str"/>
      <x:c r="O668" t="str">
        <x:v>https://www.activesportstrade.co.uk/trade-sports-supplements/black-mamba-trade</x:v>
      </x:c>
      <x:c r="P668" t="str">
        <x:v>Supplier SPECIAL OFFER / BUY X GET X / strength boilerplate removed from canonical title where present.</x:v>
      </x:c>
      <x:c r="Q668" t="str"/>
      <x:c r="R668" t="str"/>
      <x:c r="S668" t="str">
        <x:v>Pending genuine supplier/brand image</x:v>
      </x:c>
      <x:c r="T668" s="54"/>
      <x:c r="U668" s="47" t="n">
        <x:v>0.2</x:v>
      </x:c>
      <x:c r="V668" s="54" t="str">
        <x:f>IF(ISNUMBER(T668),T668*(1+U668),"")</x:f>
      </x:c>
      <x:c r="W668" s="47" t="n">
        <x:v>0.3</x:v>
      </x:c>
      <x:c r="X668" s="54" t="str">
        <x:f>IF(ISNUMBER(V668),V668/(1-W668),"")</x:f>
      </x:c>
      <x:c r="Y668" s="55" t="str">
        <x:f>IF(ISNUMBER(X668),ROUNDUP(X668,0),"")</x:f>
      </x:c>
      <x:c r="Z668" t="str">
        <x:f>IF(ISNUMBER(T668),"Cost captured","Awaiting trade cost")</x:f>
        <x:v>Awaiting trade cost</x:v>
      </x:c>
      <x:c r="AB668" s="36" t="str">
        <x:f>IF(ISNUMBER(Y668),ROUND(Y668*0.9,2),"")</x:f>
      </x:c>
      <x:c r="AC668" s="36" t="str">
        <x:f>IF(ISNUMBER(AB668),ROUND(AB668-(AB668*0.015+0.2)-V668,2),"")</x:f>
      </x:c>
      <x:c r="AD668" s="36" t="str">
        <x:f>IF(ISNUMBER(Y668),ROUND(Y668*0.8,2),"")</x:f>
      </x:c>
      <x:c r="AE668" s="36" t="str">
        <x:f>IF(ISNUMBER(AD668),ROUND(AD668*0.015+0.2,2),"")</x:f>
      </x:c>
      <x:c r="AF668" s="36" t="str">
        <x:f>IF(ISNUMBER(AD668),ROUND(AD668-AE668-V668,2),"")</x:f>
      </x:c>
      <x:c r="AG668" t="str">
        <x:f>IF(NOT(ISNUMBER(T668)),"PENDING",IF(AF668&gt;0,"PASS","FAIL"))</x:f>
        <x:v>PENDING</x:v>
      </x:c>
      <x:c r="AH668" t="str">
        <x:f>IF(NOT(ISNUMBER(T668)),"Needs supplier cost",IF(K668&lt;&gt;"In stock","Supplier unavailable",IF(AG668&lt;&gt;"PASS","BLOCK - GT loss risk","Commercially protected")))</x:f>
        <x:v>Needs supplier cost</x:v>
      </x:c>
      <x:c r="AI668" t="str">
        <x:v>2026-09-10 Active Sports trade capture</x:v>
      </x:c>
      <x:c r="AJ668" t="str">
        <x:v>Management-only economics. Stripe stress test uses 1.5% + £0.20 standard UK online-card fee; pallet/mix-and-match pricing ignored.</x:v>
      </x:c>
    </x:row>
    <x:row r="669">
      <x:c r="A669" t="str">
        <x:v>Active Sports Nutrition</x:v>
      </x:c>
      <x:c r="B669" t="str">
        <x:v>Black Mamba</x:v>
      </x:c>
      <x:c r="C669" t="str">
        <x:v>Pure Shilajit Resin Dry Drops</x:v>
      </x:c>
      <x:c r="D669" t="str">
        <x:v>Supplements</x:v>
      </x:c>
      <x:c r="E669" t="str">
        <x:v>Health Foods</x:v>
      </x:c>
      <x:c r="F669" t="str"/>
      <x:c r="G669" t="str">
        <x:v>90 drops</x:v>
      </x:c>
      <x:c r="H669" t="str">
        <x:v>Default</x:v>
      </x:c>
      <x:c r="I669" t="str"/>
      <x:c r="J669" t="str">
        <x:v>Unit</x:v>
      </x:c>
      <x:c r="K669" t="str">
        <x:v>In stock</x:v>
      </x:c>
      <x:c r="L669" t="str">
        <x:v>2026-09-08</x:v>
      </x:c>
      <x:c r="M669" t="str"/>
      <x:c r="N669" t="str"/>
      <x:c r="O669" t="str">
        <x:v>https://www.activesportstrade.co.uk/trade-sports-supplements/black-mamba-trade</x:v>
      </x:c>
      <x:c r="P669" t="str">
        <x:v>Supplier SPECIAL OFFER / BUY X GET X / strength boilerplate removed from canonical title where present.</x:v>
      </x:c>
      <x:c r="Q669" t="str"/>
      <x:c r="R669" t="str"/>
      <x:c r="S669" t="str">
        <x:v>Pending genuine supplier/brand image</x:v>
      </x:c>
      <x:c r="T669" s="54"/>
      <x:c r="U669" s="47" t="n">
        <x:v>0.2</x:v>
      </x:c>
      <x:c r="V669" s="54" t="str">
        <x:f>IF(ISNUMBER(T669),T669*(1+U669),"")</x:f>
      </x:c>
      <x:c r="W669" s="47" t="n">
        <x:v>0.3</x:v>
      </x:c>
      <x:c r="X669" s="54" t="str">
        <x:f>IF(ISNUMBER(V669),V669/(1-W669),"")</x:f>
      </x:c>
      <x:c r="Y669" s="55" t="str">
        <x:f>IF(ISNUMBER(X669),ROUNDUP(X669,0),"")</x:f>
      </x:c>
      <x:c r="Z669" t="str">
        <x:f>IF(ISNUMBER(T669),"Cost captured","Awaiting trade cost")</x:f>
        <x:v>Awaiting trade cost</x:v>
      </x:c>
      <x:c r="AB669" s="36" t="str">
        <x:f>IF(ISNUMBER(Y669),ROUND(Y669*0.9,2),"")</x:f>
      </x:c>
      <x:c r="AC669" s="36" t="str">
        <x:f>IF(ISNUMBER(AB669),ROUND(AB669-(AB669*0.015+0.2)-V669,2),"")</x:f>
      </x:c>
      <x:c r="AD669" s="36" t="str">
        <x:f>IF(ISNUMBER(Y669),ROUND(Y669*0.8,2),"")</x:f>
      </x:c>
      <x:c r="AE669" s="36" t="str">
        <x:f>IF(ISNUMBER(AD669),ROUND(AD669*0.015+0.2,2),"")</x:f>
      </x:c>
      <x:c r="AF669" s="36" t="str">
        <x:f>IF(ISNUMBER(AD669),ROUND(AD669-AE669-V669,2),"")</x:f>
      </x:c>
      <x:c r="AG669" t="str">
        <x:f>IF(NOT(ISNUMBER(T669)),"PENDING",IF(AF669&gt;0,"PASS","FAIL"))</x:f>
        <x:v>PENDING</x:v>
      </x:c>
      <x:c r="AH669" t="str">
        <x:f>IF(NOT(ISNUMBER(T669)),"Needs supplier cost",IF(K669&lt;&gt;"In stock","Supplier unavailable",IF(AG669&lt;&gt;"PASS","BLOCK - GT loss risk","Commercially protected")))</x:f>
        <x:v>Needs supplier cost</x:v>
      </x:c>
      <x:c r="AI669" t="str">
        <x:v>2026-09-10 Active Sports trade capture</x:v>
      </x:c>
      <x:c r="AJ669" t="str">
        <x:v>Management-only economics. Stripe stress test uses 1.5% + £0.20 standard UK online-card fee; pallet/mix-and-match pricing ignored.</x:v>
      </x:c>
    </x:row>
    <x:row r="670">
      <x:c r="A670" t="str">
        <x:v>Active Sports Nutrition</x:v>
      </x:c>
      <x:c r="B670" t="str">
        <x:v>Black Mamba</x:v>
      </x:c>
      <x:c r="C670" t="str">
        <x:v>Renew</x:v>
      </x:c>
      <x:c r="D670" t="str">
        <x:v>Supplements</x:v>
      </x:c>
      <x:c r="E670" t="str">
        <x:v>Health Foods</x:v>
      </x:c>
      <x:c r="F670" t="str"/>
      <x:c r="G670" t="str">
        <x:v>60 caps</x:v>
      </x:c>
      <x:c r="H670" t="str">
        <x:v>Default</x:v>
      </x:c>
      <x:c r="I670" t="str"/>
      <x:c r="J670" t="str">
        <x:v>Unit</x:v>
      </x:c>
      <x:c r="K670" t="str">
        <x:v>In stock</x:v>
      </x:c>
      <x:c r="L670" t="str">
        <x:v>2026-09-08</x:v>
      </x:c>
      <x:c r="M670" t="str"/>
      <x:c r="N670" t="str"/>
      <x:c r="O670" t="str">
        <x:v>https://www.activesportstrade.co.uk/trade-sports-supplements/black-mamba-trade</x:v>
      </x:c>
      <x:c r="P670" t="str">
        <x:v>Supplier SPECIAL OFFER / BUY X GET X / strength boilerplate removed from canonical title where present.</x:v>
      </x:c>
      <x:c r="Q670" t="str"/>
      <x:c r="R670" t="str"/>
      <x:c r="S670" t="str">
        <x:v>Pending genuine supplier/brand image</x:v>
      </x:c>
      <x:c r="T670" s="54"/>
      <x:c r="U670" s="47" t="n">
        <x:v>0.2</x:v>
      </x:c>
      <x:c r="V670" s="54" t="str">
        <x:f>IF(ISNUMBER(T670),T670*(1+U670),"")</x:f>
      </x:c>
      <x:c r="W670" s="47" t="n">
        <x:v>0.3</x:v>
      </x:c>
      <x:c r="X670" s="54" t="str">
        <x:f>IF(ISNUMBER(V670),V670/(1-W670),"")</x:f>
      </x:c>
      <x:c r="Y670" s="55" t="str">
        <x:f>IF(ISNUMBER(X670),ROUNDUP(X670,0),"")</x:f>
      </x:c>
      <x:c r="Z670" t="str">
        <x:f>IF(ISNUMBER(T670),"Cost captured","Awaiting trade cost")</x:f>
        <x:v>Awaiting trade cost</x:v>
      </x:c>
      <x:c r="AB670" s="36" t="str">
        <x:f>IF(ISNUMBER(Y670),ROUND(Y670*0.9,2),"")</x:f>
      </x:c>
      <x:c r="AC670" s="36" t="str">
        <x:f>IF(ISNUMBER(AB670),ROUND(AB670-(AB670*0.015+0.2)-V670,2),"")</x:f>
      </x:c>
      <x:c r="AD670" s="36" t="str">
        <x:f>IF(ISNUMBER(Y670),ROUND(Y670*0.8,2),"")</x:f>
      </x:c>
      <x:c r="AE670" s="36" t="str">
        <x:f>IF(ISNUMBER(AD670),ROUND(AD670*0.015+0.2,2),"")</x:f>
      </x:c>
      <x:c r="AF670" s="36" t="str">
        <x:f>IF(ISNUMBER(AD670),ROUND(AD670-AE670-V670,2),"")</x:f>
      </x:c>
      <x:c r="AG670" t="str">
        <x:f>IF(NOT(ISNUMBER(T670)),"PENDING",IF(AF670&gt;0,"PASS","FAIL"))</x:f>
        <x:v>PENDING</x:v>
      </x:c>
      <x:c r="AH670" t="str">
        <x:f>IF(NOT(ISNUMBER(T670)),"Needs supplier cost",IF(K670&lt;&gt;"In stock","Supplier unavailable",IF(AG670&lt;&gt;"PASS","BLOCK - GT loss risk","Commercially protected")))</x:f>
        <x:v>Needs supplier cost</x:v>
      </x:c>
      <x:c r="AI670" t="str">
        <x:v>2026-09-10 Active Sports trade capture</x:v>
      </x:c>
      <x:c r="AJ670" t="str">
        <x:v>Management-only economics. Stripe stress test uses 1.5% + £0.20 standard UK online-card fee; pallet/mix-and-match pricing ignored.</x:v>
      </x:c>
    </x:row>
    <x:row r="671">
      <x:c r="A671" t="str">
        <x:v>Active Sports Nutrition</x:v>
      </x:c>
      <x:c r="B671" t="str">
        <x:v>Black Mamba</x:v>
      </x:c>
      <x:c r="C671" t="str">
        <x:v>Shilajit</x:v>
      </x:c>
      <x:c r="D671" t="str">
        <x:v>Supplements</x:v>
      </x:c>
      <x:c r="E671" t="str">
        <x:v>Health Foods</x:v>
      </x:c>
      <x:c r="F671" t="str"/>
      <x:c r="G671" t="str">
        <x:v>60 caps</x:v>
      </x:c>
      <x:c r="H671" t="str">
        <x:v>Default</x:v>
      </x:c>
      <x:c r="I671" t="str"/>
      <x:c r="J671" t="str">
        <x:v>Unit</x:v>
      </x:c>
      <x:c r="K671" t="str">
        <x:v>In stock</x:v>
      </x:c>
      <x:c r="L671" t="str">
        <x:v>2026-09-08</x:v>
      </x:c>
      <x:c r="M671" t="str"/>
      <x:c r="N671" t="str"/>
      <x:c r="O671" t="str">
        <x:v>https://www.activesportstrade.co.uk/trade-sports-supplements/black-mamba-trade</x:v>
      </x:c>
      <x:c r="P671" t="str">
        <x:v>Supplier SPECIAL OFFER / BUY X GET X / strength boilerplate removed from canonical title where present.</x:v>
      </x:c>
      <x:c r="Q671" t="str"/>
      <x:c r="R671" t="str"/>
      <x:c r="S671" t="str">
        <x:v>Pending genuine supplier/brand image</x:v>
      </x:c>
      <x:c r="T671" s="54"/>
      <x:c r="U671" s="47" t="n">
        <x:v>0.2</x:v>
      </x:c>
      <x:c r="V671" s="54" t="str">
        <x:f>IF(ISNUMBER(T671),T671*(1+U671),"")</x:f>
      </x:c>
      <x:c r="W671" s="47" t="n">
        <x:v>0.3</x:v>
      </x:c>
      <x:c r="X671" s="54" t="str">
        <x:f>IF(ISNUMBER(V671),V671/(1-W671),"")</x:f>
      </x:c>
      <x:c r="Y671" s="55" t="str">
        <x:f>IF(ISNUMBER(X671),ROUNDUP(X671,0),"")</x:f>
      </x:c>
      <x:c r="Z671" t="str">
        <x:f>IF(ISNUMBER(T671),"Cost captured","Awaiting trade cost")</x:f>
        <x:v>Awaiting trade cost</x:v>
      </x:c>
      <x:c r="AB671" s="36" t="str">
        <x:f>IF(ISNUMBER(Y671),ROUND(Y671*0.9,2),"")</x:f>
      </x:c>
      <x:c r="AC671" s="36" t="str">
        <x:f>IF(ISNUMBER(AB671),ROUND(AB671-(AB671*0.015+0.2)-V671,2),"")</x:f>
      </x:c>
      <x:c r="AD671" s="36" t="str">
        <x:f>IF(ISNUMBER(Y671),ROUND(Y671*0.8,2),"")</x:f>
      </x:c>
      <x:c r="AE671" s="36" t="str">
        <x:f>IF(ISNUMBER(AD671),ROUND(AD671*0.015+0.2,2),"")</x:f>
      </x:c>
      <x:c r="AF671" s="36" t="str">
        <x:f>IF(ISNUMBER(AD671),ROUND(AD671-AE671-V671,2),"")</x:f>
      </x:c>
      <x:c r="AG671" t="str">
        <x:f>IF(NOT(ISNUMBER(T671)),"PENDING",IF(AF671&gt;0,"PASS","FAIL"))</x:f>
        <x:v>PENDING</x:v>
      </x:c>
      <x:c r="AH671" t="str">
        <x:f>IF(NOT(ISNUMBER(T671)),"Needs supplier cost",IF(K671&lt;&gt;"In stock","Supplier unavailable",IF(AG671&lt;&gt;"PASS","BLOCK - GT loss risk","Commercially protected")))</x:f>
        <x:v>Needs supplier cost</x:v>
      </x:c>
      <x:c r="AI671" t="str">
        <x:v>2026-09-10 Active Sports trade capture</x:v>
      </x:c>
      <x:c r="AJ671" t="str">
        <x:v>Management-only economics. Stripe stress test uses 1.5% + £0.20 standard UK online-card fee; pallet/mix-and-match pricing ignored.</x:v>
      </x:c>
    </x:row>
    <x:row r="672">
      <x:c r="A672" t="str">
        <x:v>Active Sports Nutrition</x:v>
      </x:c>
      <x:c r="B672" t="str">
        <x:v>Black Mamba</x:v>
      </x:c>
      <x:c r="C672" t="str">
        <x:v>Tongkat Ali</x:v>
      </x:c>
      <x:c r="D672" t="str">
        <x:v>Supplements</x:v>
      </x:c>
      <x:c r="E672" t="str">
        <x:v>Testosterone Boosters</x:v>
      </x:c>
      <x:c r="F672" t="str"/>
      <x:c r="G672" t="str">
        <x:v>60 caps</x:v>
      </x:c>
      <x:c r="H672" t="str">
        <x:v>Default</x:v>
      </x:c>
      <x:c r="I672" t="str"/>
      <x:c r="J672" t="str">
        <x:v>Unit</x:v>
      </x:c>
      <x:c r="K672" t="str">
        <x:v>Out of stock</x:v>
      </x:c>
      <x:c r="L672" t="str">
        <x:v>2026-09-08</x:v>
      </x:c>
      <x:c r="M672" t="str"/>
      <x:c r="N672" t="str"/>
      <x:c r="O672" t="str">
        <x:v>https://www.activesportstrade.co.uk/trade-sports-supplements/black-mamba-trade</x:v>
      </x:c>
      <x:c r="P672" t="str">
        <x:v>Supplier SPECIAL OFFER / BUY X GET X / strength boilerplate removed from canonical title where present.</x:v>
      </x:c>
      <x:c r="Q672" t="str"/>
      <x:c r="R672" t="str"/>
      <x:c r="S672" t="str">
        <x:v>Pending genuine supplier/brand image</x:v>
      </x:c>
      <x:c r="T672" s="54"/>
      <x:c r="U672" s="47" t="n">
        <x:v>0.2</x:v>
      </x:c>
      <x:c r="V672" s="54" t="str">
        <x:f>IF(ISNUMBER(T672),T672*(1+U672),"")</x:f>
      </x:c>
      <x:c r="W672" s="47" t="n">
        <x:v>0.3</x:v>
      </x:c>
      <x:c r="X672" s="54" t="str">
        <x:f>IF(ISNUMBER(V672),V672/(1-W672),"")</x:f>
      </x:c>
      <x:c r="Y672" s="55" t="str">
        <x:f>IF(ISNUMBER(X672),ROUNDUP(X672,0),"")</x:f>
      </x:c>
      <x:c r="Z672" t="str">
        <x:f>IF(ISNUMBER(T672),"Cost captured","Awaiting trade cost")</x:f>
        <x:v>Awaiting trade cost</x:v>
      </x:c>
      <x:c r="AB672" s="36" t="str">
        <x:f>IF(ISNUMBER(Y672),ROUND(Y672*0.9,2),"")</x:f>
      </x:c>
      <x:c r="AC672" s="36" t="str">
        <x:f>IF(ISNUMBER(AB672),ROUND(AB672-(AB672*0.015+0.2)-V672,2),"")</x:f>
      </x:c>
      <x:c r="AD672" s="36" t="str">
        <x:f>IF(ISNUMBER(Y672),ROUND(Y672*0.8,2),"")</x:f>
      </x:c>
      <x:c r="AE672" s="36" t="str">
        <x:f>IF(ISNUMBER(AD672),ROUND(AD672*0.015+0.2,2),"")</x:f>
      </x:c>
      <x:c r="AF672" s="36" t="str">
        <x:f>IF(ISNUMBER(AD672),ROUND(AD672-AE672-V672,2),"")</x:f>
      </x:c>
      <x:c r="AG672" t="str">
        <x:f>IF(NOT(ISNUMBER(T672)),"PENDING",IF(AF672&gt;0,"PASS","FAIL"))</x:f>
        <x:v>PENDING</x:v>
      </x:c>
      <x:c r="AH672" t="str">
        <x:f>IF(NOT(ISNUMBER(T672)),"Needs supplier cost",IF(K672&lt;&gt;"In stock","Supplier unavailable",IF(AG672&lt;&gt;"PASS","BLOCK - GT loss risk","Commercially protected")))</x:f>
        <x:v>Needs supplier cost</x:v>
      </x:c>
      <x:c r="AI672" t="str">
        <x:v>2026-09-10 Active Sports trade capture</x:v>
      </x:c>
      <x:c r="AJ672" t="str">
        <x:v>Management-only economics. Stripe stress test uses 1.5% + £0.20 standard UK online-card fee; pallet/mix-and-match pricing ignored.</x:v>
      </x:c>
    </x:row>
    <x:row r="673">
      <x:c r="A673" t="str">
        <x:v>Active Sports Nutrition</x:v>
      </x:c>
      <x:c r="B673" t="str">
        <x:v>Black Mamba</x:v>
      </x:c>
      <x:c r="C673" t="str">
        <x:v>Tribulus</x:v>
      </x:c>
      <x:c r="D673" t="str">
        <x:v>Supplements</x:v>
      </x:c>
      <x:c r="E673" t="str">
        <x:v>Testosterone Boosters</x:v>
      </x:c>
      <x:c r="F673" t="str"/>
      <x:c r="G673" t="str">
        <x:v>60 caps</x:v>
      </x:c>
      <x:c r="H673" t="str">
        <x:v>Default</x:v>
      </x:c>
      <x:c r="I673" t="str"/>
      <x:c r="J673" t="str">
        <x:v>Unit</x:v>
      </x:c>
      <x:c r="K673" t="str">
        <x:v>In stock</x:v>
      </x:c>
      <x:c r="L673" t="str">
        <x:v>2026-09-08</x:v>
      </x:c>
      <x:c r="M673" t="str"/>
      <x:c r="N673" t="str"/>
      <x:c r="O673" t="str">
        <x:v>https://www.activesportstrade.co.uk/trade-sports-supplements/black-mamba-trade</x:v>
      </x:c>
      <x:c r="P673" t="str">
        <x:v>Supplier SPECIAL OFFER / BUY X GET X / strength boilerplate removed from canonical title where present.</x:v>
      </x:c>
      <x:c r="Q673" t="str"/>
      <x:c r="R673" t="str"/>
      <x:c r="S673" t="str">
        <x:v>Pending genuine supplier/brand image</x:v>
      </x:c>
      <x:c r="T673" s="54"/>
      <x:c r="U673" s="47" t="n">
        <x:v>0.2</x:v>
      </x:c>
      <x:c r="V673" s="54" t="str">
        <x:f>IF(ISNUMBER(T673),T673*(1+U673),"")</x:f>
      </x:c>
      <x:c r="W673" s="47" t="n">
        <x:v>0.3</x:v>
      </x:c>
      <x:c r="X673" s="54" t="str">
        <x:f>IF(ISNUMBER(V673),V673/(1-W673),"")</x:f>
      </x:c>
      <x:c r="Y673" s="55" t="str">
        <x:f>IF(ISNUMBER(X673),ROUNDUP(X673,0),"")</x:f>
      </x:c>
      <x:c r="Z673" t="str">
        <x:f>IF(ISNUMBER(T673),"Cost captured","Awaiting trade cost")</x:f>
        <x:v>Awaiting trade cost</x:v>
      </x:c>
      <x:c r="AB673" s="36" t="str">
        <x:f>IF(ISNUMBER(Y673),ROUND(Y673*0.9,2),"")</x:f>
      </x:c>
      <x:c r="AC673" s="36" t="str">
        <x:f>IF(ISNUMBER(AB673),ROUND(AB673-(AB673*0.015+0.2)-V673,2),"")</x:f>
      </x:c>
      <x:c r="AD673" s="36" t="str">
        <x:f>IF(ISNUMBER(Y673),ROUND(Y673*0.8,2),"")</x:f>
      </x:c>
      <x:c r="AE673" s="36" t="str">
        <x:f>IF(ISNUMBER(AD673),ROUND(AD673*0.015+0.2,2),"")</x:f>
      </x:c>
      <x:c r="AF673" s="36" t="str">
        <x:f>IF(ISNUMBER(AD673),ROUND(AD673-AE673-V673,2),"")</x:f>
      </x:c>
      <x:c r="AG673" t="str">
        <x:f>IF(NOT(ISNUMBER(T673)),"PENDING",IF(AF673&gt;0,"PASS","FAIL"))</x:f>
        <x:v>PENDING</x:v>
      </x:c>
      <x:c r="AH673" t="str">
        <x:f>IF(NOT(ISNUMBER(T673)),"Needs supplier cost",IF(K673&lt;&gt;"In stock","Supplier unavailable",IF(AG673&lt;&gt;"PASS","BLOCK - GT loss risk","Commercially protected")))</x:f>
        <x:v>Needs supplier cost</x:v>
      </x:c>
      <x:c r="AI673" t="str">
        <x:v>2026-09-10 Active Sports trade capture</x:v>
      </x:c>
      <x:c r="AJ673" t="str">
        <x:v>Management-only economics. Stripe stress test uses 1.5% + £0.20 standard UK online-card fee; pallet/mix-and-match pricing ignored.</x:v>
      </x:c>
    </x:row>
    <x:row r="674">
      <x:c r="A674" t="str">
        <x:v>Active Sports Nutrition</x:v>
      </x:c>
      <x:c r="B674" t="str">
        <x:v>Black Mamba</x:v>
      </x:c>
      <x:c r="C674" t="str">
        <x:v>TUDCA + NAC</x:v>
      </x:c>
      <x:c r="D674" t="str">
        <x:v>Supplements</x:v>
      </x:c>
      <x:c r="E674" t="str">
        <x:v>OCS Supplements</x:v>
      </x:c>
      <x:c r="F674" t="str"/>
      <x:c r="G674" t="str">
        <x:v>60 caps</x:v>
      </x:c>
      <x:c r="H674" t="str">
        <x:v>Default</x:v>
      </x:c>
      <x:c r="I674" t="str"/>
      <x:c r="J674" t="str">
        <x:v>Unit</x:v>
      </x:c>
      <x:c r="K674" t="str">
        <x:v>In stock</x:v>
      </x:c>
      <x:c r="L674" t="str">
        <x:v>2026-09-08</x:v>
      </x:c>
      <x:c r="M674" t="str"/>
      <x:c r="N674" t="str"/>
      <x:c r="O674" t="str">
        <x:v>https://www.activesportstrade.co.uk/trade-sports-supplements/black-mamba-trade</x:v>
      </x:c>
      <x:c r="P674" t="str">
        <x:v>Supplier SPECIAL OFFER / BUY X GET X / strength boilerplate removed from canonical title where present.</x:v>
      </x:c>
      <x:c r="Q674" t="str"/>
      <x:c r="R674" t="str"/>
      <x:c r="S674" t="str">
        <x:v>Pending genuine supplier/brand image</x:v>
      </x:c>
      <x:c r="T674" s="54"/>
      <x:c r="U674" s="47" t="n">
        <x:v>0.2</x:v>
      </x:c>
      <x:c r="V674" s="54" t="str">
        <x:f>IF(ISNUMBER(T674),T674*(1+U674),"")</x:f>
      </x:c>
      <x:c r="W674" s="47" t="n">
        <x:v>0.3</x:v>
      </x:c>
      <x:c r="X674" s="54" t="str">
        <x:f>IF(ISNUMBER(V674),V674/(1-W674),"")</x:f>
      </x:c>
      <x:c r="Y674" s="55" t="str">
        <x:f>IF(ISNUMBER(X674),ROUNDUP(X674,0),"")</x:f>
      </x:c>
      <x:c r="Z674" t="str">
        <x:f>IF(ISNUMBER(T674),"Cost captured","Awaiting trade cost")</x:f>
        <x:v>Awaiting trade cost</x:v>
      </x:c>
      <x:c r="AB674" s="36" t="str">
        <x:f>IF(ISNUMBER(Y674),ROUND(Y674*0.9,2),"")</x:f>
      </x:c>
      <x:c r="AC674" s="36" t="str">
        <x:f>IF(ISNUMBER(AB674),ROUND(AB674-(AB674*0.015+0.2)-V674,2),"")</x:f>
      </x:c>
      <x:c r="AD674" s="36" t="str">
        <x:f>IF(ISNUMBER(Y674),ROUND(Y674*0.8,2),"")</x:f>
      </x:c>
      <x:c r="AE674" s="36" t="str">
        <x:f>IF(ISNUMBER(AD674),ROUND(AD674*0.015+0.2,2),"")</x:f>
      </x:c>
      <x:c r="AF674" s="36" t="str">
        <x:f>IF(ISNUMBER(AD674),ROUND(AD674-AE674-V674,2),"")</x:f>
      </x:c>
      <x:c r="AG674" t="str">
        <x:f>IF(NOT(ISNUMBER(T674)),"PENDING",IF(AF674&gt;0,"PASS","FAIL"))</x:f>
        <x:v>PENDING</x:v>
      </x:c>
      <x:c r="AH674" t="str">
        <x:f>IF(NOT(ISNUMBER(T674)),"Needs supplier cost",IF(K674&lt;&gt;"In stock","Supplier unavailable",IF(AG674&lt;&gt;"PASS","BLOCK - GT loss risk","Commercially protected")))</x:f>
        <x:v>Needs supplier cost</x:v>
      </x:c>
      <x:c r="AI674" t="str">
        <x:v>2026-09-10 Active Sports trade capture</x:v>
      </x:c>
      <x:c r="AJ674" t="str">
        <x:v>Management-only economics. Stripe stress test uses 1.5% + £0.20 standard UK online-card fee; pallet/mix-and-match pricing ignored.</x:v>
      </x:c>
    </x:row>
    <x:row r="675">
      <x:c r="A675" t="str">
        <x:v>Active Sports Nutrition</x:v>
      </x:c>
      <x:c r="B675" t="str">
        <x:v>Black Mamba</x:v>
      </x:c>
      <x:c r="C675" t="str">
        <x:v>Turk</x:v>
      </x:c>
      <x:c r="D675" t="str">
        <x:v>Supplements</x:v>
      </x:c>
      <x:c r="E675" t="str">
        <x:v>Testosterone Boosters</x:v>
      </x:c>
      <x:c r="F675" t="str"/>
      <x:c r="G675" t="str">
        <x:v>60 caps</x:v>
      </x:c>
      <x:c r="H675" t="str">
        <x:v>Default</x:v>
      </x:c>
      <x:c r="I675" t="str"/>
      <x:c r="J675" t="str">
        <x:v>Unit</x:v>
      </x:c>
      <x:c r="K675" t="str">
        <x:v>In stock</x:v>
      </x:c>
      <x:c r="L675" t="str">
        <x:v>2026-09-08</x:v>
      </x:c>
      <x:c r="M675" t="str"/>
      <x:c r="N675" t="str"/>
      <x:c r="O675" t="str">
        <x:v>https://www.activesportstrade.co.uk/trade-sports-supplements/black-mamba-trade</x:v>
      </x:c>
      <x:c r="P675" t="str">
        <x:v>Supplier SPECIAL OFFER / BUY X GET X / strength boilerplate removed from canonical title where present.</x:v>
      </x:c>
      <x:c r="Q675" t="str"/>
      <x:c r="R675" t="str"/>
      <x:c r="S675" t="str">
        <x:v>Pending genuine supplier/brand image</x:v>
      </x:c>
      <x:c r="T675" s="54"/>
      <x:c r="U675" s="47" t="n">
        <x:v>0.2</x:v>
      </x:c>
      <x:c r="V675" s="54" t="str">
        <x:f>IF(ISNUMBER(T675),T675*(1+U675),"")</x:f>
      </x:c>
      <x:c r="W675" s="47" t="n">
        <x:v>0.3</x:v>
      </x:c>
      <x:c r="X675" s="54" t="str">
        <x:f>IF(ISNUMBER(V675),V675/(1-W675),"")</x:f>
      </x:c>
      <x:c r="Y675" s="55" t="str">
        <x:f>IF(ISNUMBER(X675),ROUNDUP(X675,0),"")</x:f>
      </x:c>
      <x:c r="Z675" t="str">
        <x:f>IF(ISNUMBER(T675),"Cost captured","Awaiting trade cost")</x:f>
        <x:v>Awaiting trade cost</x:v>
      </x:c>
      <x:c r="AB675" s="36" t="str">
        <x:f>IF(ISNUMBER(Y675),ROUND(Y675*0.9,2),"")</x:f>
      </x:c>
      <x:c r="AC675" s="36" t="str">
        <x:f>IF(ISNUMBER(AB675),ROUND(AB675-(AB675*0.015+0.2)-V675,2),"")</x:f>
      </x:c>
      <x:c r="AD675" s="36" t="str">
        <x:f>IF(ISNUMBER(Y675),ROUND(Y675*0.8,2),"")</x:f>
      </x:c>
      <x:c r="AE675" s="36" t="str">
        <x:f>IF(ISNUMBER(AD675),ROUND(AD675*0.015+0.2,2),"")</x:f>
      </x:c>
      <x:c r="AF675" s="36" t="str">
        <x:f>IF(ISNUMBER(AD675),ROUND(AD675-AE675-V675,2),"")</x:f>
      </x:c>
      <x:c r="AG675" t="str">
        <x:f>IF(NOT(ISNUMBER(T675)),"PENDING",IF(AF675&gt;0,"PASS","FAIL"))</x:f>
        <x:v>PENDING</x:v>
      </x:c>
      <x:c r="AH675" t="str">
        <x:f>IF(NOT(ISNUMBER(T675)),"Needs supplier cost",IF(K675&lt;&gt;"In stock","Supplier unavailable",IF(AG675&lt;&gt;"PASS","BLOCK - GT loss risk","Commercially protected")))</x:f>
        <x:v>Needs supplier cost</x:v>
      </x:c>
      <x:c r="AI675" t="str">
        <x:v>2026-09-10 Active Sports trade capture</x:v>
      </x:c>
      <x:c r="AJ675" t="str">
        <x:v>Management-only economics. Stripe stress test uses 1.5% + £0.20 standard UK online-card fee; pallet/mix-and-match pricing ignored.</x:v>
      </x:c>
    </x:row>
    <x:row r="676">
      <x:c r="A676" t="str">
        <x:v>Active Sports Nutrition</x:v>
      </x:c>
      <x:c r="B676" t="str">
        <x:v>Black Mamba</x:v>
      </x:c>
      <x:c r="C676" t="str">
        <x:v>Aminos</x:v>
      </x:c>
      <x:c r="D676" t="str">
        <x:v>Supplements</x:v>
      </x:c>
      <x:c r="E676" t="str">
        <x:v>Amino Acids</x:v>
      </x:c>
      <x:c r="F676" t="str">
        <x:v>Essential amino acid formula.</x:v>
      </x:c>
      <x:c r="G676" t="str">
        <x:v>390g</x:v>
      </x:c>
      <x:c r="H676" t="str">
        <x:v>Grape Soda</x:v>
      </x:c>
      <x:c r="I676" t="str"/>
      <x:c r="J676" t="str">
        <x:v>Unit</x:v>
      </x:c>
      <x:c r="K676" t="str">
        <x:v>Out of stock</x:v>
      </x:c>
      <x:c r="L676" t="str">
        <x:v>2026-09-08</x:v>
      </x:c>
      <x:c r="M676" t="str"/>
      <x:c r="N676" t="str"/>
      <x:c r="O676" t="str">
        <x:v>https://www.activesportstrade.co.uk/trade-sports-supplements/black-mamba-trade</x:v>
      </x:c>
      <x:c r="P676" t="str">
        <x:v>Current brand-filter page used; a slightly older page showed Orange and Mango in stock.</x:v>
      </x:c>
      <x:c r="Q676" t="str"/>
      <x:c r="R676" t="str"/>
      <x:c r="S676" t="str">
        <x:v>Pending genuine supplier/brand image</x:v>
      </x:c>
      <x:c r="T676" s="54"/>
      <x:c r="U676" s="47" t="n">
        <x:v>0.2</x:v>
      </x:c>
      <x:c r="V676" s="54" t="str">
        <x:f>IF(ISNUMBER(T676),T676*(1+U676),"")</x:f>
      </x:c>
      <x:c r="W676" s="47" t="n">
        <x:v>0.3</x:v>
      </x:c>
      <x:c r="X676" s="54" t="str">
        <x:f>IF(ISNUMBER(V676),V676/(1-W676),"")</x:f>
      </x:c>
      <x:c r="Y676" s="55" t="str">
        <x:f>IF(ISNUMBER(X676),ROUNDUP(X676,0),"")</x:f>
      </x:c>
      <x:c r="Z676" t="str">
        <x:f>IF(ISNUMBER(T676),"Cost captured","Awaiting trade cost")</x:f>
        <x:v>Awaiting trade cost</x:v>
      </x:c>
      <x:c r="AB676" s="36" t="str">
        <x:f>IF(ISNUMBER(Y676),ROUND(Y676*0.9,2),"")</x:f>
      </x:c>
      <x:c r="AC676" s="36" t="str">
        <x:f>IF(ISNUMBER(AB676),ROUND(AB676-(AB676*0.015+0.2)-V676,2),"")</x:f>
      </x:c>
      <x:c r="AD676" s="36" t="str">
        <x:f>IF(ISNUMBER(Y676),ROUND(Y676*0.8,2),"")</x:f>
      </x:c>
      <x:c r="AE676" s="36" t="str">
        <x:f>IF(ISNUMBER(AD676),ROUND(AD676*0.015+0.2,2),"")</x:f>
      </x:c>
      <x:c r="AF676" s="36" t="str">
        <x:f>IF(ISNUMBER(AD676),ROUND(AD676-AE676-V676,2),"")</x:f>
      </x:c>
      <x:c r="AG676" t="str">
        <x:f>IF(NOT(ISNUMBER(T676)),"PENDING",IF(AF676&gt;0,"PASS","FAIL"))</x:f>
        <x:v>PENDING</x:v>
      </x:c>
      <x:c r="AH676" t="str">
        <x:f>IF(NOT(ISNUMBER(T676)),"Needs supplier cost",IF(K676&lt;&gt;"In stock","Supplier unavailable",IF(AG676&lt;&gt;"PASS","BLOCK - GT loss risk","Commercially protected")))</x:f>
        <x:v>Needs supplier cost</x:v>
      </x:c>
      <x:c r="AI676" t="str">
        <x:v>2026-09-10 Active Sports trade capture</x:v>
      </x:c>
      <x:c r="AJ676" t="str">
        <x:v>Management-only economics. Stripe stress test uses 1.5% + £0.20 standard UK online-card fee; pallet/mix-and-match pricing ignored.</x:v>
      </x:c>
    </x:row>
    <x:row r="677">
      <x:c r="A677" t="str">
        <x:v>Active Sports Nutrition</x:v>
      </x:c>
      <x:c r="B677" t="str">
        <x:v>Black Mamba</x:v>
      </x:c>
      <x:c r="C677" t="str">
        <x:v>Aminos</x:v>
      </x:c>
      <x:c r="D677" t="str">
        <x:v>Supplements</x:v>
      </x:c>
      <x:c r="E677" t="str">
        <x:v>Amino Acids</x:v>
      </x:c>
      <x:c r="F677" t="str">
        <x:v>Essential amino acid formula.</x:v>
      </x:c>
      <x:c r="G677" t="str">
        <x:v>390g</x:v>
      </x:c>
      <x:c r="H677" t="str">
        <x:v>Orange and Mango</x:v>
      </x:c>
      <x:c r="I677" t="str"/>
      <x:c r="J677" t="str">
        <x:v>Unit</x:v>
      </x:c>
      <x:c r="K677" t="str">
        <x:v>Out of stock</x:v>
      </x:c>
      <x:c r="L677" t="str">
        <x:v>2026-09-08</x:v>
      </x:c>
      <x:c r="M677" t="str"/>
      <x:c r="N677" t="str"/>
      <x:c r="O677" t="str">
        <x:v>https://www.activesportstrade.co.uk/trade-sports-supplements/black-mamba-trade</x:v>
      </x:c>
      <x:c r="P677" t="str">
        <x:v>Current brand-filter page used; a slightly older page showed Orange and Mango in stock.</x:v>
      </x:c>
      <x:c r="Q677" t="str"/>
      <x:c r="R677" t="str"/>
      <x:c r="S677" t="str">
        <x:v>Pending genuine supplier/brand image</x:v>
      </x:c>
      <x:c r="T677" s="54"/>
      <x:c r="U677" s="47" t="n">
        <x:v>0.2</x:v>
      </x:c>
      <x:c r="V677" s="54" t="str">
        <x:f>IF(ISNUMBER(T677),T677*(1+U677),"")</x:f>
      </x:c>
      <x:c r="W677" s="47" t="n">
        <x:v>0.3</x:v>
      </x:c>
      <x:c r="X677" s="54" t="str">
        <x:f>IF(ISNUMBER(V677),V677/(1-W677),"")</x:f>
      </x:c>
      <x:c r="Y677" s="55" t="str">
        <x:f>IF(ISNUMBER(X677),ROUNDUP(X677,0),"")</x:f>
      </x:c>
      <x:c r="Z677" t="str">
        <x:f>IF(ISNUMBER(T677),"Cost captured","Awaiting trade cost")</x:f>
        <x:v>Awaiting trade cost</x:v>
      </x:c>
      <x:c r="AB677" s="36" t="str">
        <x:f>IF(ISNUMBER(Y677),ROUND(Y677*0.9,2),"")</x:f>
      </x:c>
      <x:c r="AC677" s="36" t="str">
        <x:f>IF(ISNUMBER(AB677),ROUND(AB677-(AB677*0.015+0.2)-V677,2),"")</x:f>
      </x:c>
      <x:c r="AD677" s="36" t="str">
        <x:f>IF(ISNUMBER(Y677),ROUND(Y677*0.8,2),"")</x:f>
      </x:c>
      <x:c r="AE677" s="36" t="str">
        <x:f>IF(ISNUMBER(AD677),ROUND(AD677*0.015+0.2,2),"")</x:f>
      </x:c>
      <x:c r="AF677" s="36" t="str">
        <x:f>IF(ISNUMBER(AD677),ROUND(AD677-AE677-V677,2),"")</x:f>
      </x:c>
      <x:c r="AG677" t="str">
        <x:f>IF(NOT(ISNUMBER(T677)),"PENDING",IF(AF677&gt;0,"PASS","FAIL"))</x:f>
        <x:v>PENDING</x:v>
      </x:c>
      <x:c r="AH677" t="str">
        <x:f>IF(NOT(ISNUMBER(T677)),"Needs supplier cost",IF(K677&lt;&gt;"In stock","Supplier unavailable",IF(AG677&lt;&gt;"PASS","BLOCK - GT loss risk","Commercially protected")))</x:f>
        <x:v>Needs supplier cost</x:v>
      </x:c>
      <x:c r="AI677" t="str">
        <x:v>2026-09-10 Active Sports trade capture</x:v>
      </x:c>
      <x:c r="AJ677" t="str">
        <x:v>Management-only economics. Stripe stress test uses 1.5% + £0.20 standard UK online-card fee; pallet/mix-and-match pricing ignored.</x:v>
      </x:c>
    </x:row>
    <x:row r="678">
      <x:c r="A678" t="str">
        <x:v>Active Sports Nutrition</x:v>
      </x:c>
      <x:c r="B678" t="str">
        <x:v>Black Mamba</x:v>
      </x:c>
      <x:c r="C678" t="str">
        <x:v>Creatine Monohydrate - Flavoured</x:v>
      </x:c>
      <x:c r="D678" t="str">
        <x:v>Supplements</x:v>
      </x:c>
      <x:c r="E678" t="str">
        <x:v>Creatine Powders</x:v>
      </x:c>
      <x:c r="F678" t="str"/>
      <x:c r="G678" t="str">
        <x:v>250g</x:v>
      </x:c>
      <x:c r="H678" t="str">
        <x:v>Apple</x:v>
      </x:c>
      <x:c r="I678" t="str"/>
      <x:c r="J678" t="str">
        <x:v>Unit</x:v>
      </x:c>
      <x:c r="K678" t="str">
        <x:v>In stock</x:v>
      </x:c>
      <x:c r="L678" t="str">
        <x:v>2026-09-08</x:v>
      </x:c>
      <x:c r="M678" t="str"/>
      <x:c r="N678" t="str"/>
      <x:c r="O678" t="str">
        <x:v>https://www.activesportstrade.co.uk/trade-sports-supplements/black-mamba-trade</x:v>
      </x:c>
      <x:c r="P678" t="str"/>
      <x:c r="Q678" t="str"/>
      <x:c r="R678" t="str"/>
      <x:c r="S678" t="str">
        <x:v>Pending genuine supplier/brand image</x:v>
      </x:c>
      <x:c r="T678" s="54"/>
      <x:c r="U678" s="47" t="n">
        <x:v>0.2</x:v>
      </x:c>
      <x:c r="V678" s="54" t="str">
        <x:f>IF(ISNUMBER(T678),T678*(1+U678),"")</x:f>
      </x:c>
      <x:c r="W678" s="47" t="n">
        <x:v>0.3</x:v>
      </x:c>
      <x:c r="X678" s="54" t="str">
        <x:f>IF(ISNUMBER(V678),V678/(1-W678),"")</x:f>
      </x:c>
      <x:c r="Y678" s="55" t="str">
        <x:f>IF(ISNUMBER(X678),ROUNDUP(X678,0),"")</x:f>
      </x:c>
      <x:c r="Z678" t="str">
        <x:f>IF(ISNUMBER(T678),"Cost captured","Awaiting trade cost")</x:f>
        <x:v>Awaiting trade cost</x:v>
      </x:c>
      <x:c r="AB678" s="36" t="str">
        <x:f>IF(ISNUMBER(Y678),ROUND(Y678*0.9,2),"")</x:f>
      </x:c>
      <x:c r="AC678" s="36" t="str">
        <x:f>IF(ISNUMBER(AB678),ROUND(AB678-(AB678*0.015+0.2)-V678,2),"")</x:f>
      </x:c>
      <x:c r="AD678" s="36" t="str">
        <x:f>IF(ISNUMBER(Y678),ROUND(Y678*0.8,2),"")</x:f>
      </x:c>
      <x:c r="AE678" s="36" t="str">
        <x:f>IF(ISNUMBER(AD678),ROUND(AD678*0.015+0.2,2),"")</x:f>
      </x:c>
      <x:c r="AF678" s="36" t="str">
        <x:f>IF(ISNUMBER(AD678),ROUND(AD678-AE678-V678,2),"")</x:f>
      </x:c>
      <x:c r="AG678" t="str">
        <x:f>IF(NOT(ISNUMBER(T678)),"PENDING",IF(AF678&gt;0,"PASS","FAIL"))</x:f>
        <x:v>PENDING</x:v>
      </x:c>
      <x:c r="AH678" t="str">
        <x:f>IF(NOT(ISNUMBER(T678)),"Needs supplier cost",IF(K678&lt;&gt;"In stock","Supplier unavailable",IF(AG678&lt;&gt;"PASS","BLOCK - GT loss risk","Commercially protected")))</x:f>
        <x:v>Needs supplier cost</x:v>
      </x:c>
      <x:c r="AI678" t="str">
        <x:v>2026-09-10 Active Sports trade capture</x:v>
      </x:c>
      <x:c r="AJ678" t="str">
        <x:v>Management-only economics. Stripe stress test uses 1.5% + £0.20 standard UK online-card fee; pallet/mix-and-match pricing ignored.</x:v>
      </x:c>
    </x:row>
    <x:row r="679">
      <x:c r="A679" t="str">
        <x:v>Active Sports Nutrition</x:v>
      </x:c>
      <x:c r="B679" t="str">
        <x:v>Black Mamba</x:v>
      </x:c>
      <x:c r="C679" t="str">
        <x:v>Creatine Monohydrate - Flavoured</x:v>
      </x:c>
      <x:c r="D679" t="str">
        <x:v>Supplements</x:v>
      </x:c>
      <x:c r="E679" t="str">
        <x:v>Creatine Powders</x:v>
      </x:c>
      <x:c r="F679" t="str"/>
      <x:c r="G679" t="str">
        <x:v>250g</x:v>
      </x:c>
      <x:c r="H679" t="str">
        <x:v>Caribbean Crush</x:v>
      </x:c>
      <x:c r="I679" t="str"/>
      <x:c r="J679" t="str">
        <x:v>Unit</x:v>
      </x:c>
      <x:c r="K679" t="str">
        <x:v>In stock</x:v>
      </x:c>
      <x:c r="L679" t="str">
        <x:v>2026-09-08</x:v>
      </x:c>
      <x:c r="M679" t="str"/>
      <x:c r="N679" t="str"/>
      <x:c r="O679" t="str">
        <x:v>https://www.activesportstrade.co.uk/trade-sports-supplements/black-mamba-trade</x:v>
      </x:c>
      <x:c r="P679" t="str"/>
      <x:c r="Q679" t="str"/>
      <x:c r="R679" t="str"/>
      <x:c r="S679" t="str">
        <x:v>Pending genuine supplier/brand image</x:v>
      </x:c>
      <x:c r="T679" s="54"/>
      <x:c r="U679" s="47" t="n">
        <x:v>0.2</x:v>
      </x:c>
      <x:c r="V679" s="54" t="str">
        <x:f>IF(ISNUMBER(T679),T679*(1+U679),"")</x:f>
      </x:c>
      <x:c r="W679" s="47" t="n">
        <x:v>0.3</x:v>
      </x:c>
      <x:c r="X679" s="54" t="str">
        <x:f>IF(ISNUMBER(V679),V679/(1-W679),"")</x:f>
      </x:c>
      <x:c r="Y679" s="55" t="str">
        <x:f>IF(ISNUMBER(X679),ROUNDUP(X679,0),"")</x:f>
      </x:c>
      <x:c r="Z679" t="str">
        <x:f>IF(ISNUMBER(T679),"Cost captured","Awaiting trade cost")</x:f>
        <x:v>Awaiting trade cost</x:v>
      </x:c>
      <x:c r="AB679" s="36" t="str">
        <x:f>IF(ISNUMBER(Y679),ROUND(Y679*0.9,2),"")</x:f>
      </x:c>
      <x:c r="AC679" s="36" t="str">
        <x:f>IF(ISNUMBER(AB679),ROUND(AB679-(AB679*0.015+0.2)-V679,2),"")</x:f>
      </x:c>
      <x:c r="AD679" s="36" t="str">
        <x:f>IF(ISNUMBER(Y679),ROUND(Y679*0.8,2),"")</x:f>
      </x:c>
      <x:c r="AE679" s="36" t="str">
        <x:f>IF(ISNUMBER(AD679),ROUND(AD679*0.015+0.2,2),"")</x:f>
      </x:c>
      <x:c r="AF679" s="36" t="str">
        <x:f>IF(ISNUMBER(AD679),ROUND(AD679-AE679-V679,2),"")</x:f>
      </x:c>
      <x:c r="AG679" t="str">
        <x:f>IF(NOT(ISNUMBER(T679)),"PENDING",IF(AF679&gt;0,"PASS","FAIL"))</x:f>
        <x:v>PENDING</x:v>
      </x:c>
      <x:c r="AH679" t="str">
        <x:f>IF(NOT(ISNUMBER(T679)),"Needs supplier cost",IF(K679&lt;&gt;"In stock","Supplier unavailable",IF(AG679&lt;&gt;"PASS","BLOCK - GT loss risk","Commercially protected")))</x:f>
        <x:v>Needs supplier cost</x:v>
      </x:c>
      <x:c r="AI679" t="str">
        <x:v>2026-09-10 Active Sports trade capture</x:v>
      </x:c>
      <x:c r="AJ679" t="str">
        <x:v>Management-only economics. Stripe stress test uses 1.5% + £0.20 standard UK online-card fee; pallet/mix-and-match pricing ignored.</x:v>
      </x:c>
    </x:row>
    <x:row r="680">
      <x:c r="A680" t="str">
        <x:v>Active Sports Nutrition</x:v>
      </x:c>
      <x:c r="B680" t="str">
        <x:v>Black Mamba</x:v>
      </x:c>
      <x:c r="C680" t="str">
        <x:v>Creatine Monohydrate - Flavoured</x:v>
      </x:c>
      <x:c r="D680" t="str">
        <x:v>Supplements</x:v>
      </x:c>
      <x:c r="E680" t="str">
        <x:v>Creatine Powders</x:v>
      </x:c>
      <x:c r="F680" t="str"/>
      <x:c r="G680" t="str">
        <x:v>250g</x:v>
      </x:c>
      <x:c r="H680" t="str">
        <x:v>Strawberry &amp; Raspberry</x:v>
      </x:c>
      <x:c r="I680" t="str"/>
      <x:c r="J680" t="str">
        <x:v>Unit</x:v>
      </x:c>
      <x:c r="K680" t="str">
        <x:v>In stock</x:v>
      </x:c>
      <x:c r="L680" t="str">
        <x:v>2026-09-08</x:v>
      </x:c>
      <x:c r="M680" t="str"/>
      <x:c r="N680" t="str"/>
      <x:c r="O680" t="str">
        <x:v>https://www.activesportstrade.co.uk/trade-sports-supplements/black-mamba-trade</x:v>
      </x:c>
      <x:c r="P680" t="str"/>
      <x:c r="Q680" t="str"/>
      <x:c r="R680" t="str"/>
      <x:c r="S680" t="str">
        <x:v>Pending genuine supplier/brand image</x:v>
      </x:c>
      <x:c r="T680" s="54"/>
      <x:c r="U680" s="47" t="n">
        <x:v>0.2</x:v>
      </x:c>
      <x:c r="V680" s="54" t="str">
        <x:f>IF(ISNUMBER(T680),T680*(1+U680),"")</x:f>
      </x:c>
      <x:c r="W680" s="47" t="n">
        <x:v>0.3</x:v>
      </x:c>
      <x:c r="X680" s="54" t="str">
        <x:f>IF(ISNUMBER(V680),V680/(1-W680),"")</x:f>
      </x:c>
      <x:c r="Y680" s="55" t="str">
        <x:f>IF(ISNUMBER(X680),ROUNDUP(X680,0),"")</x:f>
      </x:c>
      <x:c r="Z680" t="str">
        <x:f>IF(ISNUMBER(T680),"Cost captured","Awaiting trade cost")</x:f>
        <x:v>Awaiting trade cost</x:v>
      </x:c>
      <x:c r="AB680" s="36" t="str">
        <x:f>IF(ISNUMBER(Y680),ROUND(Y680*0.9,2),"")</x:f>
      </x:c>
      <x:c r="AC680" s="36" t="str">
        <x:f>IF(ISNUMBER(AB680),ROUND(AB680-(AB680*0.015+0.2)-V680,2),"")</x:f>
      </x:c>
      <x:c r="AD680" s="36" t="str">
        <x:f>IF(ISNUMBER(Y680),ROUND(Y680*0.8,2),"")</x:f>
      </x:c>
      <x:c r="AE680" s="36" t="str">
        <x:f>IF(ISNUMBER(AD680),ROUND(AD680*0.015+0.2,2),"")</x:f>
      </x:c>
      <x:c r="AF680" s="36" t="str">
        <x:f>IF(ISNUMBER(AD680),ROUND(AD680-AE680-V680,2),"")</x:f>
      </x:c>
      <x:c r="AG680" t="str">
        <x:f>IF(NOT(ISNUMBER(T680)),"PENDING",IF(AF680&gt;0,"PASS","FAIL"))</x:f>
        <x:v>PENDING</x:v>
      </x:c>
      <x:c r="AH680" t="str">
        <x:f>IF(NOT(ISNUMBER(T680)),"Needs supplier cost",IF(K680&lt;&gt;"In stock","Supplier unavailable",IF(AG680&lt;&gt;"PASS","BLOCK - GT loss risk","Commercially protected")))</x:f>
        <x:v>Needs supplier cost</x:v>
      </x:c>
      <x:c r="AI680" t="str">
        <x:v>2026-09-10 Active Sports trade capture</x:v>
      </x:c>
      <x:c r="AJ680" t="str">
        <x:v>Management-only economics. Stripe stress test uses 1.5% + £0.20 standard UK online-card fee; pallet/mix-and-match pricing ignored.</x:v>
      </x:c>
    </x:row>
    <x:row r="681">
      <x:c r="A681" t="str">
        <x:v>Active Sports Nutrition</x:v>
      </x:c>
      <x:c r="B681" t="str">
        <x:v>Black Mamba</x:v>
      </x:c>
      <x:c r="C681" t="str">
        <x:v>Creatine Monohydrate</x:v>
      </x:c>
      <x:c r="D681" t="str">
        <x:v>Supplements</x:v>
      </x:c>
      <x:c r="E681" t="str">
        <x:v>Creatine Powders</x:v>
      </x:c>
      <x:c r="F681" t="str"/>
      <x:c r="G681" t="str">
        <x:v>250g</x:v>
      </x:c>
      <x:c r="H681" t="str">
        <x:v>Unflavoured</x:v>
      </x:c>
      <x:c r="I681" t="str"/>
      <x:c r="J681" t="str">
        <x:v>Unit</x:v>
      </x:c>
      <x:c r="K681" t="str">
        <x:v>Out of stock</x:v>
      </x:c>
      <x:c r="L681" t="str">
        <x:v>2026-09-08</x:v>
      </x:c>
      <x:c r="M681" t="str"/>
      <x:c r="N681" t="str"/>
      <x:c r="O681" t="str">
        <x:v>https://www.activesportstrade.co.uk/trade-sports-supplements/black-mamba-trade</x:v>
      </x:c>
      <x:c r="P681" t="str">
        <x:v>BUY 10 GET 1 FREE wording removed.</x:v>
      </x:c>
      <x:c r="Q681" t="str"/>
      <x:c r="R681" t="str"/>
      <x:c r="S681" t="str">
        <x:v>Pending genuine supplier/brand image</x:v>
      </x:c>
      <x:c r="T681" s="54"/>
      <x:c r="U681" s="47" t="n">
        <x:v>0.2</x:v>
      </x:c>
      <x:c r="V681" s="54" t="str">
        <x:f>IF(ISNUMBER(T681),T681*(1+U681),"")</x:f>
      </x:c>
      <x:c r="W681" s="47" t="n">
        <x:v>0.3</x:v>
      </x:c>
      <x:c r="X681" s="54" t="str">
        <x:f>IF(ISNUMBER(V681),V681/(1-W681),"")</x:f>
      </x:c>
      <x:c r="Y681" s="55" t="str">
        <x:f>IF(ISNUMBER(X681),ROUNDUP(X681,0),"")</x:f>
      </x:c>
      <x:c r="Z681" t="str">
        <x:f>IF(ISNUMBER(T681),"Cost captured","Awaiting trade cost")</x:f>
        <x:v>Awaiting trade cost</x:v>
      </x:c>
      <x:c r="AB681" s="36" t="str">
        <x:f>IF(ISNUMBER(Y681),ROUND(Y681*0.9,2),"")</x:f>
      </x:c>
      <x:c r="AC681" s="36" t="str">
        <x:f>IF(ISNUMBER(AB681),ROUND(AB681-(AB681*0.015+0.2)-V681,2),"")</x:f>
      </x:c>
      <x:c r="AD681" s="36" t="str">
        <x:f>IF(ISNUMBER(Y681),ROUND(Y681*0.8,2),"")</x:f>
      </x:c>
      <x:c r="AE681" s="36" t="str">
        <x:f>IF(ISNUMBER(AD681),ROUND(AD681*0.015+0.2,2),"")</x:f>
      </x:c>
      <x:c r="AF681" s="36" t="str">
        <x:f>IF(ISNUMBER(AD681),ROUND(AD681-AE681-V681,2),"")</x:f>
      </x:c>
      <x:c r="AG681" t="str">
        <x:f>IF(NOT(ISNUMBER(T681)),"PENDING",IF(AF681&gt;0,"PASS","FAIL"))</x:f>
        <x:v>PENDING</x:v>
      </x:c>
      <x:c r="AH681" t="str">
        <x:f>IF(NOT(ISNUMBER(T681)),"Needs supplier cost",IF(K681&lt;&gt;"In stock","Supplier unavailable",IF(AG681&lt;&gt;"PASS","BLOCK - GT loss risk","Commercially protected")))</x:f>
        <x:v>Needs supplier cost</x:v>
      </x:c>
      <x:c r="AI681" t="str">
        <x:v>2026-09-10 Active Sports trade capture</x:v>
      </x:c>
      <x:c r="AJ681" t="str">
        <x:v>Management-only economics. Stripe stress test uses 1.5% + £0.20 standard UK online-card fee; pallet/mix-and-match pricing ignored.</x:v>
      </x:c>
    </x:row>
    <x:row r="682">
      <x:c r="A682" t="str">
        <x:v>Active Sports Nutrition</x:v>
      </x:c>
      <x:c r="B682" t="str">
        <x:v>Black Mamba</x:v>
      </x:c>
      <x:c r="C682" t="str">
        <x:v>Hydrate</x:v>
      </x:c>
      <x:c r="D682" t="str">
        <x:v>Supplements</x:v>
      </x:c>
      <x:c r="E682" t="str">
        <x:v>Hydration</x:v>
      </x:c>
      <x:c r="F682" t="str"/>
      <x:c r="G682" t="str">
        <x:v>30 servings</x:v>
      </x:c>
      <x:c r="H682" t="str">
        <x:v>Caribbean Crush</x:v>
      </x:c>
      <x:c r="I682" t="str"/>
      <x:c r="J682" t="str">
        <x:v>Unit</x:v>
      </x:c>
      <x:c r="K682" t="str">
        <x:v>In stock</x:v>
      </x:c>
      <x:c r="L682" t="str">
        <x:v>2026-09-08</x:v>
      </x:c>
      <x:c r="M682" t="str"/>
      <x:c r="N682" t="str"/>
      <x:c r="O682" t="str">
        <x:v>https://www.activesportstrade.co.uk/trade-sports-supplements/black-mamba-trade</x:v>
      </x:c>
      <x:c r="P682" t="str"/>
      <x:c r="Q682" t="str"/>
      <x:c r="R682" t="str"/>
      <x:c r="S682" t="str">
        <x:v>Pending genuine supplier/brand image</x:v>
      </x:c>
      <x:c r="T682" s="54"/>
      <x:c r="U682" s="47" t="n">
        <x:v>0.2</x:v>
      </x:c>
      <x:c r="V682" s="54" t="str">
        <x:f>IF(ISNUMBER(T682),T682*(1+U682),"")</x:f>
      </x:c>
      <x:c r="W682" s="47" t="n">
        <x:v>0.3</x:v>
      </x:c>
      <x:c r="X682" s="54" t="str">
        <x:f>IF(ISNUMBER(V682),V682/(1-W682),"")</x:f>
      </x:c>
      <x:c r="Y682" s="55" t="str">
        <x:f>IF(ISNUMBER(X682),ROUNDUP(X682,0),"")</x:f>
      </x:c>
      <x:c r="Z682" t="str">
        <x:f>IF(ISNUMBER(T682),"Cost captured","Awaiting trade cost")</x:f>
        <x:v>Awaiting trade cost</x:v>
      </x:c>
      <x:c r="AB682" s="36" t="str">
        <x:f>IF(ISNUMBER(Y682),ROUND(Y682*0.9,2),"")</x:f>
      </x:c>
      <x:c r="AC682" s="36" t="str">
        <x:f>IF(ISNUMBER(AB682),ROUND(AB682-(AB682*0.015+0.2)-V682,2),"")</x:f>
      </x:c>
      <x:c r="AD682" s="36" t="str">
        <x:f>IF(ISNUMBER(Y682),ROUND(Y682*0.8,2),"")</x:f>
      </x:c>
      <x:c r="AE682" s="36" t="str">
        <x:f>IF(ISNUMBER(AD682),ROUND(AD682*0.015+0.2,2),"")</x:f>
      </x:c>
      <x:c r="AF682" s="36" t="str">
        <x:f>IF(ISNUMBER(AD682),ROUND(AD682-AE682-V682,2),"")</x:f>
      </x:c>
      <x:c r="AG682" t="str">
        <x:f>IF(NOT(ISNUMBER(T682)),"PENDING",IF(AF682&gt;0,"PASS","FAIL"))</x:f>
        <x:v>PENDING</x:v>
      </x:c>
      <x:c r="AH682" t="str">
        <x:f>IF(NOT(ISNUMBER(T682)),"Needs supplier cost",IF(K682&lt;&gt;"In stock","Supplier unavailable",IF(AG682&lt;&gt;"PASS","BLOCK - GT loss risk","Commercially protected")))</x:f>
        <x:v>Needs supplier cost</x:v>
      </x:c>
      <x:c r="AI682" t="str">
        <x:v>2026-09-10 Active Sports trade capture</x:v>
      </x:c>
      <x:c r="AJ682" t="str">
        <x:v>Management-only economics. Stripe stress test uses 1.5% + £0.20 standard UK online-card fee; pallet/mix-and-match pricing ignored.</x:v>
      </x:c>
    </x:row>
    <x:row r="683">
      <x:c r="A683" t="str">
        <x:v>Active Sports Nutrition</x:v>
      </x:c>
      <x:c r="B683" t="str">
        <x:v>Black Mamba</x:v>
      </x:c>
      <x:c r="C683" t="str">
        <x:v>Hydrate</x:v>
      </x:c>
      <x:c r="D683" t="str">
        <x:v>Supplements</x:v>
      </x:c>
      <x:c r="E683" t="str">
        <x:v>Hydration</x:v>
      </x:c>
      <x:c r="F683" t="str"/>
      <x:c r="G683" t="str">
        <x:v>30 servings</x:v>
      </x:c>
      <x:c r="H683" t="str">
        <x:v>Fresh Apple</x:v>
      </x:c>
      <x:c r="I683" t="str"/>
      <x:c r="J683" t="str">
        <x:v>Unit</x:v>
      </x:c>
      <x:c r="K683" t="str">
        <x:v>Out of stock</x:v>
      </x:c>
      <x:c r="L683" t="str">
        <x:v>2026-09-08</x:v>
      </x:c>
      <x:c r="M683" t="str"/>
      <x:c r="N683" t="str"/>
      <x:c r="O683" t="str">
        <x:v>https://www.activesportstrade.co.uk/trade-sports-supplements/black-mamba-trade</x:v>
      </x:c>
      <x:c r="P683" t="str"/>
      <x:c r="Q683" t="str"/>
      <x:c r="R683" t="str"/>
      <x:c r="S683" t="str">
        <x:v>Pending genuine supplier/brand image</x:v>
      </x:c>
      <x:c r="T683" s="54"/>
      <x:c r="U683" s="47" t="n">
        <x:v>0.2</x:v>
      </x:c>
      <x:c r="V683" s="54" t="str">
        <x:f>IF(ISNUMBER(T683),T683*(1+U683),"")</x:f>
      </x:c>
      <x:c r="W683" s="47" t="n">
        <x:v>0.3</x:v>
      </x:c>
      <x:c r="X683" s="54" t="str">
        <x:f>IF(ISNUMBER(V683),V683/(1-W683),"")</x:f>
      </x:c>
      <x:c r="Y683" s="55" t="str">
        <x:f>IF(ISNUMBER(X683),ROUNDUP(X683,0),"")</x:f>
      </x:c>
      <x:c r="Z683" t="str">
        <x:f>IF(ISNUMBER(T683),"Cost captured","Awaiting trade cost")</x:f>
        <x:v>Awaiting trade cost</x:v>
      </x:c>
      <x:c r="AB683" s="36" t="str">
        <x:f>IF(ISNUMBER(Y683),ROUND(Y683*0.9,2),"")</x:f>
      </x:c>
      <x:c r="AC683" s="36" t="str">
        <x:f>IF(ISNUMBER(AB683),ROUND(AB683-(AB683*0.015+0.2)-V683,2),"")</x:f>
      </x:c>
      <x:c r="AD683" s="36" t="str">
        <x:f>IF(ISNUMBER(Y683),ROUND(Y683*0.8,2),"")</x:f>
      </x:c>
      <x:c r="AE683" s="36" t="str">
        <x:f>IF(ISNUMBER(AD683),ROUND(AD683*0.015+0.2,2),"")</x:f>
      </x:c>
      <x:c r="AF683" s="36" t="str">
        <x:f>IF(ISNUMBER(AD683),ROUND(AD683-AE683-V683,2),"")</x:f>
      </x:c>
      <x:c r="AG683" t="str">
        <x:f>IF(NOT(ISNUMBER(T683)),"PENDING",IF(AF683&gt;0,"PASS","FAIL"))</x:f>
        <x:v>PENDING</x:v>
      </x:c>
      <x:c r="AH683" t="str">
        <x:f>IF(NOT(ISNUMBER(T683)),"Needs supplier cost",IF(K683&lt;&gt;"In stock","Supplier unavailable",IF(AG683&lt;&gt;"PASS","BLOCK - GT loss risk","Commercially protected")))</x:f>
        <x:v>Needs supplier cost</x:v>
      </x:c>
      <x:c r="AI683" t="str">
        <x:v>2026-09-10 Active Sports trade capture</x:v>
      </x:c>
      <x:c r="AJ683" t="str">
        <x:v>Management-only economics. Stripe stress test uses 1.5% + £0.20 standard UK online-card fee; pallet/mix-and-match pricing ignored.</x:v>
      </x:c>
    </x:row>
    <x:row r="684">
      <x:c r="A684" t="str">
        <x:v>Active Sports Nutrition</x:v>
      </x:c>
      <x:c r="B684" t="str">
        <x:v>Black Mamba</x:v>
      </x:c>
      <x:c r="C684" t="str">
        <x:v>Hydrate</x:v>
      </x:c>
      <x:c r="D684" t="str">
        <x:v>Supplements</x:v>
      </x:c>
      <x:c r="E684" t="str">
        <x:v>Hydration</x:v>
      </x:c>
      <x:c r="F684" t="str"/>
      <x:c r="G684" t="str">
        <x:v>30 servings</x:v>
      </x:c>
      <x:c r="H684" t="str">
        <x:v>Strawberry &amp; Raspberry</x:v>
      </x:c>
      <x:c r="I684" t="str"/>
      <x:c r="J684" t="str">
        <x:v>Unit</x:v>
      </x:c>
      <x:c r="K684" t="str">
        <x:v>In stock</x:v>
      </x:c>
      <x:c r="L684" t="str">
        <x:v>2026-09-08</x:v>
      </x:c>
      <x:c r="M684" t="str"/>
      <x:c r="N684" t="str"/>
      <x:c r="O684" t="str">
        <x:v>https://www.activesportstrade.co.uk/trade-sports-supplements/black-mamba-trade</x:v>
      </x:c>
      <x:c r="P684" t="str"/>
      <x:c r="Q684" t="str"/>
      <x:c r="R684" t="str"/>
      <x:c r="S684" t="str">
        <x:v>Pending genuine supplier/brand image</x:v>
      </x:c>
      <x:c r="T684" s="54"/>
      <x:c r="U684" s="47" t="n">
        <x:v>0.2</x:v>
      </x:c>
      <x:c r="V684" s="54" t="str">
        <x:f>IF(ISNUMBER(T684),T684*(1+U684),"")</x:f>
      </x:c>
      <x:c r="W684" s="47" t="n">
        <x:v>0.3</x:v>
      </x:c>
      <x:c r="X684" s="54" t="str">
        <x:f>IF(ISNUMBER(V684),V684/(1-W684),"")</x:f>
      </x:c>
      <x:c r="Y684" s="55" t="str">
        <x:f>IF(ISNUMBER(X684),ROUNDUP(X684,0),"")</x:f>
      </x:c>
      <x:c r="Z684" t="str">
        <x:f>IF(ISNUMBER(T684),"Cost captured","Awaiting trade cost")</x:f>
        <x:v>Awaiting trade cost</x:v>
      </x:c>
      <x:c r="AB684" s="36" t="str">
        <x:f>IF(ISNUMBER(Y684),ROUND(Y684*0.9,2),"")</x:f>
      </x:c>
      <x:c r="AC684" s="36" t="str">
        <x:f>IF(ISNUMBER(AB684),ROUND(AB684-(AB684*0.015+0.2)-V684,2),"")</x:f>
      </x:c>
      <x:c r="AD684" s="36" t="str">
        <x:f>IF(ISNUMBER(Y684),ROUND(Y684*0.8,2),"")</x:f>
      </x:c>
      <x:c r="AE684" s="36" t="str">
        <x:f>IF(ISNUMBER(AD684),ROUND(AD684*0.015+0.2,2),"")</x:f>
      </x:c>
      <x:c r="AF684" s="36" t="str">
        <x:f>IF(ISNUMBER(AD684),ROUND(AD684-AE684-V684,2),"")</x:f>
      </x:c>
      <x:c r="AG684" t="str">
        <x:f>IF(NOT(ISNUMBER(T684)),"PENDING",IF(AF684&gt;0,"PASS","FAIL"))</x:f>
        <x:v>PENDING</x:v>
      </x:c>
      <x:c r="AH684" t="str">
        <x:f>IF(NOT(ISNUMBER(T684)),"Needs supplier cost",IF(K684&lt;&gt;"In stock","Supplier unavailable",IF(AG684&lt;&gt;"PASS","BLOCK - GT loss risk","Commercially protected")))</x:f>
        <x:v>Needs supplier cost</x:v>
      </x:c>
      <x:c r="AI684" t="str">
        <x:v>2026-09-10 Active Sports trade capture</x:v>
      </x:c>
      <x:c r="AJ684" t="str">
        <x:v>Management-only economics. Stripe stress test uses 1.5% + £0.20 standard UK online-card fee; pallet/mix-and-match pricing ignored.</x:v>
      </x:c>
    </x:row>
    <x:row r="685">
      <x:c r="A685" t="str">
        <x:v>Active Sports Nutrition</x:v>
      </x:c>
      <x:c r="B685" t="str">
        <x:v>Black Mamba</x:v>
      </x:c>
      <x:c r="C685" t="str">
        <x:v>Strike Pre Workout</x:v>
      </x:c>
      <x:c r="D685" t="str">
        <x:v>Pre Workouts</x:v>
      </x:c>
      <x:c r="E685" t="str">
        <x:v>High Stim</x:v>
      </x:c>
      <x:c r="F685" t="str">
        <x:v>Pre-workout formula.</x:v>
      </x:c>
      <x:c r="G685" t="str">
        <x:v>30 servings</x:v>
      </x:c>
      <x:c r="H685" t="str">
        <x:v>Gummy Bear</x:v>
      </x:c>
      <x:c r="I685" t="str"/>
      <x:c r="J685" t="str">
        <x:v>Unit</x:v>
      </x:c>
      <x:c r="K685" t="str">
        <x:v>In stock</x:v>
      </x:c>
      <x:c r="L685" t="str">
        <x:v>2026-09-08</x:v>
      </x:c>
      <x:c r="M685" t="str"/>
      <x:c r="N685" t="str"/>
      <x:c r="O685" t="str">
        <x:v>https://www.activesportstrade.co.uk/trade-sports-supplements/black-mamba-trade</x:v>
      </x:c>
      <x:c r="P685" t="str">
        <x:v>SPECIAL OFFER / FREE CREATINE CAPS wording removed.</x:v>
      </x:c>
      <x:c r="Q685" t="str"/>
      <x:c r="R685" t="str"/>
      <x:c r="S685" t="str">
        <x:v>Pending genuine supplier/brand image</x:v>
      </x:c>
      <x:c r="T685" s="54"/>
      <x:c r="U685" s="47" t="n">
        <x:v>0.2</x:v>
      </x:c>
      <x:c r="V685" s="54" t="str">
        <x:f>IF(ISNUMBER(T685),T685*(1+U685),"")</x:f>
      </x:c>
      <x:c r="W685" s="47" t="n">
        <x:v>0.3</x:v>
      </x:c>
      <x:c r="X685" s="54" t="str">
        <x:f>IF(ISNUMBER(V685),V685/(1-W685),"")</x:f>
      </x:c>
      <x:c r="Y685" s="55" t="str">
        <x:f>IF(ISNUMBER(X685),ROUNDUP(X685,0),"")</x:f>
      </x:c>
      <x:c r="Z685" t="str">
        <x:f>IF(ISNUMBER(T685),"Cost captured","Awaiting trade cost")</x:f>
        <x:v>Awaiting trade cost</x:v>
      </x:c>
      <x:c r="AB685" s="36" t="str">
        <x:f>IF(ISNUMBER(Y685),ROUND(Y685*0.9,2),"")</x:f>
      </x:c>
      <x:c r="AC685" s="36" t="str">
        <x:f>IF(ISNUMBER(AB685),ROUND(AB685-(AB685*0.015+0.2)-V685,2),"")</x:f>
      </x:c>
      <x:c r="AD685" s="36" t="str">
        <x:f>IF(ISNUMBER(Y685),ROUND(Y685*0.8,2),"")</x:f>
      </x:c>
      <x:c r="AE685" s="36" t="str">
        <x:f>IF(ISNUMBER(AD685),ROUND(AD685*0.015+0.2,2),"")</x:f>
      </x:c>
      <x:c r="AF685" s="36" t="str">
        <x:f>IF(ISNUMBER(AD685),ROUND(AD685-AE685-V685,2),"")</x:f>
      </x:c>
      <x:c r="AG685" t="str">
        <x:f>IF(NOT(ISNUMBER(T685)),"PENDING",IF(AF685&gt;0,"PASS","FAIL"))</x:f>
        <x:v>PENDING</x:v>
      </x:c>
      <x:c r="AH685" t="str">
        <x:f>IF(NOT(ISNUMBER(T685)),"Needs supplier cost",IF(K685&lt;&gt;"In stock","Supplier unavailable",IF(AG685&lt;&gt;"PASS","BLOCK - GT loss risk","Commercially protected")))</x:f>
        <x:v>Needs supplier cost</x:v>
      </x:c>
      <x:c r="AI685" t="str">
        <x:v>2026-09-10 Active Sports trade capture</x:v>
      </x:c>
      <x:c r="AJ685" t="str">
        <x:v>Management-only economics. Stripe stress test uses 1.5% + £0.20 standard UK online-card fee; pallet/mix-and-match pricing ignored.</x:v>
      </x:c>
    </x:row>
    <x:row r="686">
      <x:c r="A686" t="str">
        <x:v>Active Sports Nutrition</x:v>
      </x:c>
      <x:c r="B686" t="str">
        <x:v>Black Mamba</x:v>
      </x:c>
      <x:c r="C686" t="str">
        <x:v>Strike Pre Workout</x:v>
      </x:c>
      <x:c r="D686" t="str">
        <x:v>Pre Workouts</x:v>
      </x:c>
      <x:c r="E686" t="str">
        <x:v>High Stim</x:v>
      </x:c>
      <x:c r="F686" t="str">
        <x:v>Pre-workout formula.</x:v>
      </x:c>
      <x:c r="G686" t="str">
        <x:v>30 servings</x:v>
      </x:c>
      <x:c r="H686" t="str">
        <x:v>Rocket Pop</x:v>
      </x:c>
      <x:c r="I686" t="str"/>
      <x:c r="J686" t="str">
        <x:v>Unit</x:v>
      </x:c>
      <x:c r="K686" t="str">
        <x:v>In stock</x:v>
      </x:c>
      <x:c r="L686" t="str">
        <x:v>2026-09-08</x:v>
      </x:c>
      <x:c r="M686" t="str"/>
      <x:c r="N686" t="str"/>
      <x:c r="O686" t="str">
        <x:v>https://www.activesportstrade.co.uk/trade-sports-supplements/black-mamba-trade</x:v>
      </x:c>
      <x:c r="P686" t="str">
        <x:v>SPECIAL OFFER / FREE CREATINE CAPS wording removed.</x:v>
      </x:c>
      <x:c r="Q686" t="str"/>
      <x:c r="R686" t="str"/>
      <x:c r="S686" t="str">
        <x:v>Pending genuine supplier/brand image</x:v>
      </x:c>
      <x:c r="T686" s="54"/>
      <x:c r="U686" s="47" t="n">
        <x:v>0.2</x:v>
      </x:c>
      <x:c r="V686" s="54" t="str">
        <x:f>IF(ISNUMBER(T686),T686*(1+U686),"")</x:f>
      </x:c>
      <x:c r="W686" s="47" t="n">
        <x:v>0.3</x:v>
      </x:c>
      <x:c r="X686" s="54" t="str">
        <x:f>IF(ISNUMBER(V686),V686/(1-W686),"")</x:f>
      </x:c>
      <x:c r="Y686" s="55" t="str">
        <x:f>IF(ISNUMBER(X686),ROUNDUP(X686,0),"")</x:f>
      </x:c>
      <x:c r="Z686" t="str">
        <x:f>IF(ISNUMBER(T686),"Cost captured","Awaiting trade cost")</x:f>
        <x:v>Awaiting trade cost</x:v>
      </x:c>
      <x:c r="AB686" s="36" t="str">
        <x:f>IF(ISNUMBER(Y686),ROUND(Y686*0.9,2),"")</x:f>
      </x:c>
      <x:c r="AC686" s="36" t="str">
        <x:f>IF(ISNUMBER(AB686),ROUND(AB686-(AB686*0.015+0.2)-V686,2),"")</x:f>
      </x:c>
      <x:c r="AD686" s="36" t="str">
        <x:f>IF(ISNUMBER(Y686),ROUND(Y686*0.8,2),"")</x:f>
      </x:c>
      <x:c r="AE686" s="36" t="str">
        <x:f>IF(ISNUMBER(AD686),ROUND(AD686*0.015+0.2,2),"")</x:f>
      </x:c>
      <x:c r="AF686" s="36" t="str">
        <x:f>IF(ISNUMBER(AD686),ROUND(AD686-AE686-V686,2),"")</x:f>
      </x:c>
      <x:c r="AG686" t="str">
        <x:f>IF(NOT(ISNUMBER(T686)),"PENDING",IF(AF686&gt;0,"PASS","FAIL"))</x:f>
        <x:v>PENDING</x:v>
      </x:c>
      <x:c r="AH686" t="str">
        <x:f>IF(NOT(ISNUMBER(T686)),"Needs supplier cost",IF(K686&lt;&gt;"In stock","Supplier unavailable",IF(AG686&lt;&gt;"PASS","BLOCK - GT loss risk","Commercially protected")))</x:f>
        <x:v>Needs supplier cost</x:v>
      </x:c>
      <x:c r="AI686" t="str">
        <x:v>2026-09-10 Active Sports trade capture</x:v>
      </x:c>
      <x:c r="AJ686" t="str">
        <x:v>Management-only economics. Stripe stress test uses 1.5% + £0.20 standard UK online-card fee; pallet/mix-and-match pricing ignored.</x:v>
      </x:c>
    </x:row>
    <x:row r="687">
      <x:c r="A687" t="str">
        <x:v>Active Sports Nutrition</x:v>
      </x:c>
      <x:c r="B687" t="str">
        <x:v>Black Mamba</x:v>
      </x:c>
      <x:c r="C687" t="str">
        <x:v>Strike Pre Workout</x:v>
      </x:c>
      <x:c r="D687" t="str">
        <x:v>Pre Workouts</x:v>
      </x:c>
      <x:c r="E687" t="str">
        <x:v>High Stim</x:v>
      </x:c>
      <x:c r="F687" t="str">
        <x:v>Pre-workout formula.</x:v>
      </x:c>
      <x:c r="G687" t="str">
        <x:v>30 servings</x:v>
      </x:c>
      <x:c r="H687" t="str">
        <x:v>Sunburst</x:v>
      </x:c>
      <x:c r="I687" t="str"/>
      <x:c r="J687" t="str">
        <x:v>Unit</x:v>
      </x:c>
      <x:c r="K687" t="str">
        <x:v>In stock</x:v>
      </x:c>
      <x:c r="L687" t="str">
        <x:v>2026-09-08</x:v>
      </x:c>
      <x:c r="M687" t="str"/>
      <x:c r="N687" t="str"/>
      <x:c r="O687" t="str">
        <x:v>https://www.activesportstrade.co.uk/trade-sports-supplements/black-mamba-trade</x:v>
      </x:c>
      <x:c r="P687" t="str">
        <x:v>SPECIAL OFFER / FREE CREATINE CAPS wording removed.</x:v>
      </x:c>
      <x:c r="Q687" t="str"/>
      <x:c r="R687" t="str"/>
      <x:c r="S687" t="str">
        <x:v>Pending genuine supplier/brand image</x:v>
      </x:c>
      <x:c r="T687" s="54"/>
      <x:c r="U687" s="47" t="n">
        <x:v>0.2</x:v>
      </x:c>
      <x:c r="V687" s="54" t="str">
        <x:f>IF(ISNUMBER(T687),T687*(1+U687),"")</x:f>
      </x:c>
      <x:c r="W687" s="47" t="n">
        <x:v>0.3</x:v>
      </x:c>
      <x:c r="X687" s="54" t="str">
        <x:f>IF(ISNUMBER(V687),V687/(1-W687),"")</x:f>
      </x:c>
      <x:c r="Y687" s="55" t="str">
        <x:f>IF(ISNUMBER(X687),ROUNDUP(X687,0),"")</x:f>
      </x:c>
      <x:c r="Z687" t="str">
        <x:f>IF(ISNUMBER(T687),"Cost captured","Awaiting trade cost")</x:f>
        <x:v>Awaiting trade cost</x:v>
      </x:c>
      <x:c r="AB687" s="36" t="str">
        <x:f>IF(ISNUMBER(Y687),ROUND(Y687*0.9,2),"")</x:f>
      </x:c>
      <x:c r="AC687" s="36" t="str">
        <x:f>IF(ISNUMBER(AB687),ROUND(AB687-(AB687*0.015+0.2)-V687,2),"")</x:f>
      </x:c>
      <x:c r="AD687" s="36" t="str">
        <x:f>IF(ISNUMBER(Y687),ROUND(Y687*0.8,2),"")</x:f>
      </x:c>
      <x:c r="AE687" s="36" t="str">
        <x:f>IF(ISNUMBER(AD687),ROUND(AD687*0.015+0.2,2),"")</x:f>
      </x:c>
      <x:c r="AF687" s="36" t="str">
        <x:f>IF(ISNUMBER(AD687),ROUND(AD687-AE687-V687,2),"")</x:f>
      </x:c>
      <x:c r="AG687" t="str">
        <x:f>IF(NOT(ISNUMBER(T687)),"PENDING",IF(AF687&gt;0,"PASS","FAIL"))</x:f>
        <x:v>PENDING</x:v>
      </x:c>
      <x:c r="AH687" t="str">
        <x:f>IF(NOT(ISNUMBER(T687)),"Needs supplier cost",IF(K687&lt;&gt;"In stock","Supplier unavailable",IF(AG687&lt;&gt;"PASS","BLOCK - GT loss risk","Commercially protected")))</x:f>
        <x:v>Needs supplier cost</x:v>
      </x:c>
      <x:c r="AI687" t="str">
        <x:v>2026-09-10 Active Sports trade capture</x:v>
      </x:c>
      <x:c r="AJ687" t="str">
        <x:v>Management-only economics. Stripe stress test uses 1.5% + £0.20 standard UK online-card fee; pallet/mix-and-match pricing ignored.</x:v>
      </x:c>
    </x:row>
    <x:row r="688">
      <x:c r="A688" t="str">
        <x:v>Active Sports Nutrition</x:v>
      </x:c>
      <x:c r="B688" t="str">
        <x:v>Black Mamba - Reaper Series</x:v>
      </x:c>
      <x:c r="C688" t="str">
        <x:v>ECDY3</x:v>
      </x:c>
      <x:c r="D688" t="str">
        <x:v>Supplements</x:v>
      </x:c>
      <x:c r="E688" t="str">
        <x:v>Testosterone Boosters</x:v>
      </x:c>
      <x:c r="F688" t="str">
        <x:v>Plant-based training support stack.</x:v>
      </x:c>
      <x:c r="G688" t="str">
        <x:v>90 caps</x:v>
      </x:c>
      <x:c r="H688" t="str">
        <x:v>Default</x:v>
      </x:c>
      <x:c r="I688" t="str"/>
      <x:c r="J688" t="str">
        <x:v>Unit</x:v>
      </x:c>
      <x:c r="K688" t="str">
        <x:v>In stock</x:v>
      </x:c>
      <x:c r="L688" t="str">
        <x:v>2026-09-08</x:v>
      </x:c>
      <x:c r="M688" t="str"/>
      <x:c r="N688" t="str"/>
      <x:c r="O688" t="str">
        <x:v>https://www.activesportstrade.co.uk/trade-sports-supplements</x:v>
      </x:c>
      <x:c r="P688" t="str"/>
      <x:c r="Q688" t="str"/>
      <x:c r="R688" t="str"/>
      <x:c r="S688" t="str">
        <x:v>Pending genuine supplier/brand image</x:v>
      </x:c>
      <x:c r="T688" s="54"/>
      <x:c r="U688" s="47" t="n">
        <x:v>0.2</x:v>
      </x:c>
      <x:c r="V688" s="54" t="str">
        <x:f>IF(ISNUMBER(T688),T688*(1+U688),"")</x:f>
      </x:c>
      <x:c r="W688" s="47" t="n">
        <x:v>0.3</x:v>
      </x:c>
      <x:c r="X688" s="54" t="str">
        <x:f>IF(ISNUMBER(V688),V688/(1-W688),"")</x:f>
      </x:c>
      <x:c r="Y688" s="55" t="str">
        <x:f>IF(ISNUMBER(X688),ROUNDUP(X688,0),"")</x:f>
      </x:c>
      <x:c r="Z688" t="str">
        <x:f>IF(ISNUMBER(T688),"Cost captured","Awaiting trade cost")</x:f>
        <x:v>Awaiting trade cost</x:v>
      </x:c>
      <x:c r="AB688" s="36" t="str">
        <x:f>IF(ISNUMBER(Y688),ROUND(Y688*0.9,2),"")</x:f>
      </x:c>
      <x:c r="AC688" s="36" t="str">
        <x:f>IF(ISNUMBER(AB688),ROUND(AB688-(AB688*0.015+0.2)-V688,2),"")</x:f>
      </x:c>
      <x:c r="AD688" s="36" t="str">
        <x:f>IF(ISNUMBER(Y688),ROUND(Y688*0.8,2),"")</x:f>
      </x:c>
      <x:c r="AE688" s="36" t="str">
        <x:f>IF(ISNUMBER(AD688),ROUND(AD688*0.015+0.2,2),"")</x:f>
      </x:c>
      <x:c r="AF688" s="36" t="str">
        <x:f>IF(ISNUMBER(AD688),ROUND(AD688-AE688-V688,2),"")</x:f>
      </x:c>
      <x:c r="AG688" t="str">
        <x:f>IF(NOT(ISNUMBER(T688)),"PENDING",IF(AF688&gt;0,"PASS","FAIL"))</x:f>
        <x:v>PENDING</x:v>
      </x:c>
      <x:c r="AH688" t="str">
        <x:f>IF(NOT(ISNUMBER(T688)),"Needs supplier cost",IF(K688&lt;&gt;"In stock","Supplier unavailable",IF(AG688&lt;&gt;"PASS","BLOCK - GT loss risk","Commercially protected")))</x:f>
        <x:v>Needs supplier cost</x:v>
      </x:c>
      <x:c r="AI688" t="str">
        <x:v>2026-09-10 Active Sports trade capture</x:v>
      </x:c>
      <x:c r="AJ688" t="str">
        <x:v>Management-only economics. Stripe stress test uses 1.5% + £0.20 standard UK online-card fee; pallet/mix-and-match pricing ignored.</x:v>
      </x:c>
    </x:row>
    <x:row r="689">
      <x:c r="A689" t="str">
        <x:v>Active Sports Nutrition</x:v>
      </x:c>
      <x:c r="B689" t="str">
        <x:v>Black Mamba - Reaper Series</x:v>
      </x:c>
      <x:c r="C689" t="str">
        <x:v>Sidewinder Pre Workout</x:v>
      </x:c>
      <x:c r="D689" t="str">
        <x:v>Pre Workouts</x:v>
      </x:c>
      <x:c r="E689" t="str">
        <x:v>High Stim</x:v>
      </x:c>
      <x:c r="F689" t="str">
        <x:v>High-stimulant pre-workout.</x:v>
      </x:c>
      <x:c r="G689" t="str">
        <x:v>30 servings</x:v>
      </x:c>
      <x:c r="H689" t="str">
        <x:v>Frozen Berry Charge</x:v>
      </x:c>
      <x:c r="I689" t="str"/>
      <x:c r="J689" t="str">
        <x:v>Unit</x:v>
      </x:c>
      <x:c r="K689" t="str">
        <x:v>In stock</x:v>
      </x:c>
      <x:c r="L689" t="str">
        <x:v>2026-09-08</x:v>
      </x:c>
      <x:c r="M689" t="str">
        <x:v>000000000000777</x:v>
      </x:c>
      <x:c r="N689" t="str"/>
      <x:c r="O689" t="str">
        <x:v>https://www.activesportstrade.co.uk/trade-pre-workout-supplements</x:v>
      </x:c>
      <x:c r="P689" t="str"/>
      <x:c r="Q689" t="str"/>
      <x:c r="R689" t="str"/>
      <x:c r="S689" t="str">
        <x:v>Pending genuine supplier/brand image</x:v>
      </x:c>
      <x:c r="T689" s="54"/>
      <x:c r="U689" s="47" t="n">
        <x:v>0.2</x:v>
      </x:c>
      <x:c r="V689" s="54" t="str">
        <x:f>IF(ISNUMBER(T689),T689*(1+U689),"")</x:f>
      </x:c>
      <x:c r="W689" s="47" t="n">
        <x:v>0.3</x:v>
      </x:c>
      <x:c r="X689" s="54" t="str">
        <x:f>IF(ISNUMBER(V689),V689/(1-W689),"")</x:f>
      </x:c>
      <x:c r="Y689" s="55" t="str">
        <x:f>IF(ISNUMBER(X689),ROUNDUP(X689,0),"")</x:f>
      </x:c>
      <x:c r="Z689" t="str">
        <x:f>IF(ISNUMBER(T689),"Cost captured","Awaiting trade cost")</x:f>
        <x:v>Awaiting trade cost</x:v>
      </x:c>
      <x:c r="AB689" s="36" t="str">
        <x:f>IF(ISNUMBER(Y689),ROUND(Y689*0.9,2),"")</x:f>
      </x:c>
      <x:c r="AC689" s="36" t="str">
        <x:f>IF(ISNUMBER(AB689),ROUND(AB689-(AB689*0.015+0.2)-V689,2),"")</x:f>
      </x:c>
      <x:c r="AD689" s="36" t="str">
        <x:f>IF(ISNUMBER(Y689),ROUND(Y689*0.8,2),"")</x:f>
      </x:c>
      <x:c r="AE689" s="36" t="str">
        <x:f>IF(ISNUMBER(AD689),ROUND(AD689*0.015+0.2,2),"")</x:f>
      </x:c>
      <x:c r="AF689" s="36" t="str">
        <x:f>IF(ISNUMBER(AD689),ROUND(AD689-AE689-V689,2),"")</x:f>
      </x:c>
      <x:c r="AG689" t="str">
        <x:f>IF(NOT(ISNUMBER(T689)),"PENDING",IF(AF689&gt;0,"PASS","FAIL"))</x:f>
        <x:v>PENDING</x:v>
      </x:c>
      <x:c r="AH689" t="str">
        <x:f>IF(NOT(ISNUMBER(T689)),"Needs supplier cost",IF(K689&lt;&gt;"In stock","Supplier unavailable",IF(AG689&lt;&gt;"PASS","BLOCK - GT loss risk","Commercially protected")))</x:f>
        <x:v>Needs supplier cost</x:v>
      </x:c>
      <x:c r="AI689" t="str">
        <x:v>2026-09-10 Active Sports trade capture</x:v>
      </x:c>
      <x:c r="AJ689" t="str">
        <x:v>Management-only economics. Stripe stress test uses 1.5% + £0.20 standard UK online-card fee; pallet/mix-and-match pricing ignored.</x:v>
      </x:c>
    </x:row>
    <x:row r="690">
      <x:c r="A690" t="str">
        <x:v>Active Sports Nutrition</x:v>
      </x:c>
      <x:c r="B690" t="str">
        <x:v>Black Mamba - Reaper Series</x:v>
      </x:c>
      <x:c r="C690" t="str">
        <x:v>Sidewinder Pre Workout</x:v>
      </x:c>
      <x:c r="D690" t="str">
        <x:v>Pre Workouts</x:v>
      </x:c>
      <x:c r="E690" t="str">
        <x:v>High Stim</x:v>
      </x:c>
      <x:c r="F690" t="str">
        <x:v>High-stimulant pre-workout.</x:v>
      </x:c>
      <x:c r="G690" t="str">
        <x:v>30 servings</x:v>
      </x:c>
      <x:c r="H690" t="str">
        <x:v>Pink and Blue Bottles</x:v>
      </x:c>
      <x:c r="I690" t="str"/>
      <x:c r="J690" t="str">
        <x:v>Unit</x:v>
      </x:c>
      <x:c r="K690" t="str">
        <x:v>In stock</x:v>
      </x:c>
      <x:c r="L690" t="str">
        <x:v>2026-09-08</x:v>
      </x:c>
      <x:c r="M690" t="str">
        <x:v>000000000000777</x:v>
      </x:c>
      <x:c r="N690" t="str"/>
      <x:c r="O690" t="str">
        <x:v>https://www.activesportstrade.co.uk/trade-pre-workout-supplements</x:v>
      </x:c>
      <x:c r="P690" t="str"/>
      <x:c r="Q690" t="str"/>
      <x:c r="R690" t="str"/>
      <x:c r="S690" t="str">
        <x:v>Pending genuine supplier/brand image</x:v>
      </x:c>
      <x:c r="T690" s="54"/>
      <x:c r="U690" s="47" t="n">
        <x:v>0.2</x:v>
      </x:c>
      <x:c r="V690" s="54" t="str">
        <x:f>IF(ISNUMBER(T690),T690*(1+U690),"")</x:f>
      </x:c>
      <x:c r="W690" s="47" t="n">
        <x:v>0.3</x:v>
      </x:c>
      <x:c r="X690" s="54" t="str">
        <x:f>IF(ISNUMBER(V690),V690/(1-W690),"")</x:f>
      </x:c>
      <x:c r="Y690" s="55" t="str">
        <x:f>IF(ISNUMBER(X690),ROUNDUP(X690,0),"")</x:f>
      </x:c>
      <x:c r="Z690" t="str">
        <x:f>IF(ISNUMBER(T690),"Cost captured","Awaiting trade cost")</x:f>
        <x:v>Awaiting trade cost</x:v>
      </x:c>
      <x:c r="AB690" s="36" t="str">
        <x:f>IF(ISNUMBER(Y690),ROUND(Y690*0.9,2),"")</x:f>
      </x:c>
      <x:c r="AC690" s="36" t="str">
        <x:f>IF(ISNUMBER(AB690),ROUND(AB690-(AB690*0.015+0.2)-V690,2),"")</x:f>
      </x:c>
      <x:c r="AD690" s="36" t="str">
        <x:f>IF(ISNUMBER(Y690),ROUND(Y690*0.8,2),"")</x:f>
      </x:c>
      <x:c r="AE690" s="36" t="str">
        <x:f>IF(ISNUMBER(AD690),ROUND(AD690*0.015+0.2,2),"")</x:f>
      </x:c>
      <x:c r="AF690" s="36" t="str">
        <x:f>IF(ISNUMBER(AD690),ROUND(AD690-AE690-V690,2),"")</x:f>
      </x:c>
      <x:c r="AG690" t="str">
        <x:f>IF(NOT(ISNUMBER(T690)),"PENDING",IF(AF690&gt;0,"PASS","FAIL"))</x:f>
        <x:v>PENDING</x:v>
      </x:c>
      <x:c r="AH690" t="str">
        <x:f>IF(NOT(ISNUMBER(T690)),"Needs supplier cost",IF(K690&lt;&gt;"In stock","Supplier unavailable",IF(AG690&lt;&gt;"PASS","BLOCK - GT loss risk","Commercially protected")))</x:f>
        <x:v>Needs supplier cost</x:v>
      </x:c>
      <x:c r="AI690" t="str">
        <x:v>2026-09-10 Active Sports trade capture</x:v>
      </x:c>
      <x:c r="AJ690" t="str">
        <x:v>Management-only economics. Stripe stress test uses 1.5% + £0.20 standard UK online-card fee; pallet/mix-and-match pricing ignored.</x:v>
      </x:c>
    </x:row>
    <x:row r="691">
      <x:c r="A691" t="str">
        <x:v>Active Sports Nutrition</x:v>
      </x:c>
      <x:c r="B691" t="str">
        <x:v>Black Mamba - Reaper Series</x:v>
      </x:c>
      <x:c r="C691" t="str">
        <x:v>Sidewinder Pre Workout</x:v>
      </x:c>
      <x:c r="D691" t="str">
        <x:v>Pre Workouts</x:v>
      </x:c>
      <x:c r="E691" t="str">
        <x:v>High Stim</x:v>
      </x:c>
      <x:c r="F691" t="str">
        <x:v>High-stimulant pre-workout.</x:v>
      </x:c>
      <x:c r="G691" t="str">
        <x:v>30 servings</x:v>
      </x:c>
      <x:c r="H691" t="str">
        <x:v>Tropical Berry Blast</x:v>
      </x:c>
      <x:c r="I691" t="str"/>
      <x:c r="J691" t="str">
        <x:v>Unit</x:v>
      </x:c>
      <x:c r="K691" t="str">
        <x:v>In stock</x:v>
      </x:c>
      <x:c r="L691" t="str">
        <x:v>2026-09-08</x:v>
      </x:c>
      <x:c r="M691" t="str">
        <x:v>000000000000777</x:v>
      </x:c>
      <x:c r="N691" t="str"/>
      <x:c r="O691" t="str">
        <x:v>https://www.activesportstrade.co.uk/trade-pre-workout-supplements</x:v>
      </x:c>
      <x:c r="P691" t="str"/>
      <x:c r="Q691" t="str"/>
      <x:c r="R691" t="str"/>
      <x:c r="S691" t="str">
        <x:v>Pending genuine supplier/brand image</x:v>
      </x:c>
      <x:c r="T691" s="54"/>
      <x:c r="U691" s="47" t="n">
        <x:v>0.2</x:v>
      </x:c>
      <x:c r="V691" s="54" t="str">
        <x:f>IF(ISNUMBER(T691),T691*(1+U691),"")</x:f>
      </x:c>
      <x:c r="W691" s="47" t="n">
        <x:v>0.3</x:v>
      </x:c>
      <x:c r="X691" s="54" t="str">
        <x:f>IF(ISNUMBER(V691),V691/(1-W691),"")</x:f>
      </x:c>
      <x:c r="Y691" s="55" t="str">
        <x:f>IF(ISNUMBER(X691),ROUNDUP(X691,0),"")</x:f>
      </x:c>
      <x:c r="Z691" t="str">
        <x:f>IF(ISNUMBER(T691),"Cost captured","Awaiting trade cost")</x:f>
        <x:v>Awaiting trade cost</x:v>
      </x:c>
      <x:c r="AB691" s="36" t="str">
        <x:f>IF(ISNUMBER(Y691),ROUND(Y691*0.9,2),"")</x:f>
      </x:c>
      <x:c r="AC691" s="36" t="str">
        <x:f>IF(ISNUMBER(AB691),ROUND(AB691-(AB691*0.015+0.2)-V691,2),"")</x:f>
      </x:c>
      <x:c r="AD691" s="36" t="str">
        <x:f>IF(ISNUMBER(Y691),ROUND(Y691*0.8,2),"")</x:f>
      </x:c>
      <x:c r="AE691" s="36" t="str">
        <x:f>IF(ISNUMBER(AD691),ROUND(AD691*0.015+0.2,2),"")</x:f>
      </x:c>
      <x:c r="AF691" s="36" t="str">
        <x:f>IF(ISNUMBER(AD691),ROUND(AD691-AE691-V691,2),"")</x:f>
      </x:c>
      <x:c r="AG691" t="str">
        <x:f>IF(NOT(ISNUMBER(T691)),"PENDING",IF(AF691&gt;0,"PASS","FAIL"))</x:f>
        <x:v>PENDING</x:v>
      </x:c>
      <x:c r="AH691" t="str">
        <x:f>IF(NOT(ISNUMBER(T691)),"Needs supplier cost",IF(K691&lt;&gt;"In stock","Supplier unavailable",IF(AG691&lt;&gt;"PASS","BLOCK - GT loss risk","Commercially protected")))</x:f>
        <x:v>Needs supplier cost</x:v>
      </x:c>
      <x:c r="AI691" t="str">
        <x:v>2026-09-10 Active Sports trade capture</x:v>
      </x:c>
      <x:c r="AJ691" t="str">
        <x:v>Management-only economics. Stripe stress test uses 1.5% + £0.20 standard UK online-card fee; pallet/mix-and-match pricing ignored.</x:v>
      </x:c>
    </x:row>
    <x:row r="692">
      <x:c r="A692" t="str">
        <x:v>Active Sports Nutrition</x:v>
      </x:c>
      <x:c r="B692" t="str">
        <x:v>Bounty</x:v>
      </x:c>
      <x:c r="C692" t="str">
        <x:v>Protein Bar</x:v>
      </x:c>
      <x:c r="D692" t="str">
        <x:v>Drinks and Bars</x:v>
      </x:c>
      <x:c r="E692" t="str">
        <x:v>Bars and Snacks</x:v>
      </x:c>
      <x:c r="F692" t="str">
        <x:v>Protein bar with coconut and chocolate.</x:v>
      </x:c>
      <x:c r="G692" t="str">
        <x:v>12 x 52g bars</x:v>
      </x:c>
      <x:c r="H692" t="str">
        <x:v>Bounty / Coconut Chocolate</x:v>
      </x:c>
      <x:c r="I692" t="str">
        <x:v>12</x:v>
      </x:c>
      <x:c r="J692" t="str">
        <x:v>Case</x:v>
      </x:c>
      <x:c r="K692" t="str">
        <x:v>In stock</x:v>
      </x:c>
      <x:c r="L692" t="str">
        <x:v>2026-09-08</x:v>
      </x:c>
      <x:c r="M692" t="str"/>
      <x:c r="N692" t="str"/>
      <x:c r="O692" t="str">
        <x:v>https://www.activesportstrade.co.uk/Protein-Bars/bounty-protein-trade</x:v>
      </x:c>
      <x:c r="P692" t="str">
        <x:v>SPECIAL OFFER wording removed.</x:v>
      </x:c>
      <x:c r="Q692" t="str"/>
      <x:c r="R692" t="str"/>
      <x:c r="S692" t="str">
        <x:v>Pending genuine supplier/brand image</x:v>
      </x:c>
      <x:c r="T692" s="54" t="n">
        <x:v>18.77</x:v>
      </x:c>
      <x:c r="U692" s="47" t="n">
        <x:v>0.2</x:v>
      </x:c>
      <x:c r="V692" s="54" t="n">
        <x:f>IF(ISNUMBER(T692),T692*(1+U692),"")</x:f>
        <x:v>22.523999999999997</x:v>
      </x:c>
      <x:c r="W692" s="47" t="n">
        <x:v>0.3</x:v>
      </x:c>
      <x:c r="X692" s="54" t="n">
        <x:f>IF(ISNUMBER(V692),V692/(1-W692),"")</x:f>
        <x:v>32.177142857142854</x:v>
      </x:c>
      <x:c r="Y692" s="55" t="n">
        <x:f>IF(ISNUMBER(X692),ROUNDUP(X692,0),"")</x:f>
        <x:v>33</x:v>
      </x:c>
      <x:c r="Z692" t="str">
        <x:v>Source match pending</x:v>
      </x:c>
      <x:c r="AA692" t="str">
        <x:v>screencapture-www-activesportstrade-co-uk-bounty-protein-trade-2026-09-09-18_22_17.png / page-001</x:v>
      </x:c>
      <x:c r="AB692" s="36" t="n">
        <x:f>IF(ISNUMBER(Y692),ROUND(Y692*0.9,2),"")</x:f>
        <x:v>29.7</x:v>
      </x:c>
      <x:c r="AC692" s="36" t="n">
        <x:f>IF(ISNUMBER(AB692),ROUND(AB692-(AB692*0.015+0.2)-V692,2),"")</x:f>
        <x:v>6.53</x:v>
      </x:c>
      <x:c r="AD692" s="36" t="n">
        <x:f>IF(ISNUMBER(Y692),ROUND(Y692*0.8,2),"")</x:f>
        <x:v>26.4</x:v>
      </x:c>
      <x:c r="AE692" s="36" t="n">
        <x:f>IF(ISNUMBER(AD692),ROUND(AD692*0.015+0.2,2),"")</x:f>
        <x:v>0.6</x:v>
      </x:c>
      <x:c r="AF692" s="36" t="n">
        <x:f>IF(ISNUMBER(AD692),ROUND(AD692-AE692-V692,2),"")</x:f>
        <x:v>3.28</x:v>
      </x:c>
      <x:c r="AG692" t="str">
        <x:f>IF(NOT(ISNUMBER(T692)),"PENDING",IF(AF692&gt;0,"PASS","FAIL"))</x:f>
        <x:v>PASS</x:v>
      </x:c>
      <x:c r="AH692" t="str">
        <x:f>IF(NOT(ISNUMBER(T692)),"Needs supplier cost",IF(K692&lt;&gt;"In stock","Supplier unavailable",IF(AG692&lt;&gt;"PASS","BLOCK - GT loss risk","Commercially protected")))</x:f>
        <x:v>Commercially protected</x:v>
      </x:c>
      <x:c r="AI692" t="str">
        <x:v>2026-09-10 Active Sports trade capture</x:v>
      </x:c>
      <x:c r="AJ692" t="str">
        <x:v>Management-only economics. Stripe stress test uses 1.5% + £0.20 standard UK online-card fee; pallet/mix-and-match pricing ignored.</x:v>
      </x:c>
    </x:row>
    <x:row r="693">
      <x:c r="A693" t="str">
        <x:v>Active Sports Nutrition</x:v>
      </x:c>
      <x:c r="B693" t="str">
        <x:v>BSN</x:v>
      </x:c>
      <x:c r="C693" t="str">
        <x:v>NO-Xplode</x:v>
      </x:c>
      <x:c r="D693" t="str">
        <x:v>Pre Workouts</x:v>
      </x:c>
      <x:c r="E693" t="str">
        <x:v>High Stim</x:v>
      </x:c>
      <x:c r="F693" t="str">
        <x:v>Pre-workout formula.</x:v>
      </x:c>
      <x:c r="G693" t="str">
        <x:v>30 servings</x:v>
      </x:c>
      <x:c r="H693" t="str">
        <x:v>Green Burst</x:v>
      </x:c>
      <x:c r="I693" t="str"/>
      <x:c r="J693" t="str">
        <x:v>Unit</x:v>
      </x:c>
      <x:c r="K693" t="str">
        <x:v>In stock</x:v>
      </x:c>
      <x:c r="L693" t="str">
        <x:v>2026-09-08</x:v>
      </x:c>
      <x:c r="M693" t="str"/>
      <x:c r="N693" t="str"/>
      <x:c r="O693" t="str">
        <x:v>https://www.activesportstrade.co.uk/BSN</x:v>
      </x:c>
      <x:c r="P693" t="str"/>
      <x:c r="Q693" t="str"/>
      <x:c r="R693" t="str"/>
      <x:c r="S693" t="str">
        <x:v>Pending genuine supplier/brand image</x:v>
      </x:c>
      <x:c r="T693" s="54" t="n">
        <x:v>13.99</x:v>
      </x:c>
      <x:c r="U693" s="47" t="n">
        <x:v>0.2</x:v>
      </x:c>
      <x:c r="V693" s="54" t="n">
        <x:f>IF(ISNUMBER(T693),T693*(1+U693),"")</x:f>
        <x:v>16.788</x:v>
      </x:c>
      <x:c r="W693" s="47" t="n">
        <x:v>0.3</x:v>
      </x:c>
      <x:c r="X693" s="54" t="n">
        <x:f>IF(ISNUMBER(V693),V693/(1-W693),"")</x:f>
        <x:v>23.982857142857146</x:v>
      </x:c>
      <x:c r="Y693" s="55" t="n">
        <x:f>IF(ISNUMBER(X693),ROUNDUP(X693,0),"")</x:f>
        <x:v>24</x:v>
      </x:c>
      <x:c r="Z693" t="str">
        <x:v>Source match pending</x:v>
      </x:c>
      <x:c r="AA693" t="str">
        <x:v>screencapture-www-activesportstrade-co-uk-BSN-2026-09-09-18_22_32.png / page-001</x:v>
      </x:c>
      <x:c r="AB693" s="36" t="n">
        <x:f>IF(ISNUMBER(Y693),ROUND(Y693*0.9,2),"")</x:f>
        <x:v>21.6</x:v>
      </x:c>
      <x:c r="AC693" s="36" t="n">
        <x:f>IF(ISNUMBER(AB693),ROUND(AB693-(AB693*0.015+0.2)-V693,2),"")</x:f>
        <x:v>4.29</x:v>
      </x:c>
      <x:c r="AD693" s="36" t="n">
        <x:f>IF(ISNUMBER(Y693),ROUND(Y693*0.8,2),"")</x:f>
        <x:v>19.2</x:v>
      </x:c>
      <x:c r="AE693" s="36" t="n">
        <x:f>IF(ISNUMBER(AD693),ROUND(AD693*0.015+0.2,2),"")</x:f>
        <x:v>0.49</x:v>
      </x:c>
      <x:c r="AF693" s="36" t="n">
        <x:f>IF(ISNUMBER(AD693),ROUND(AD693-AE693-V693,2),"")</x:f>
        <x:v>1.92</x:v>
      </x:c>
      <x:c r="AG693" t="str">
        <x:f>IF(NOT(ISNUMBER(T693)),"PENDING",IF(AF693&gt;0,"PASS","FAIL"))</x:f>
        <x:v>PASS</x:v>
      </x:c>
      <x:c r="AH693" t="str">
        <x:f>IF(NOT(ISNUMBER(T693)),"Needs supplier cost",IF(K693&lt;&gt;"In stock","Supplier unavailable",IF(AG693&lt;&gt;"PASS","BLOCK - GT loss risk","Commercially protected")))</x:f>
        <x:v>Commercially protected</x:v>
      </x:c>
      <x:c r="AI693" t="str">
        <x:v>2026-09-10 Active Sports trade capture</x:v>
      </x:c>
      <x:c r="AJ693" t="str">
        <x:v>Management-only economics. Stripe stress test uses 1.5% + £0.20 standard UK online-card fee; pallet/mix-and-match pricing ignored.</x:v>
      </x:c>
    </x:row>
    <x:row r="694">
      <x:c r="A694" t="str">
        <x:v>Active Sports Nutrition</x:v>
      </x:c>
      <x:c r="B694" t="str">
        <x:v>BSN</x:v>
      </x:c>
      <x:c r="C694" t="str">
        <x:v>NO-Xplode</x:v>
      </x:c>
      <x:c r="D694" t="str">
        <x:v>Pre Workouts</x:v>
      </x:c>
      <x:c r="E694" t="str">
        <x:v>High Stim</x:v>
      </x:c>
      <x:c r="F694" t="str">
        <x:v>Pre-workout formula.</x:v>
      </x:c>
      <x:c r="G694" t="str">
        <x:v>30 servings</x:v>
      </x:c>
      <x:c r="H694" t="str">
        <x:v>Purple Power</x:v>
      </x:c>
      <x:c r="I694" t="str"/>
      <x:c r="J694" t="str">
        <x:v>Unit</x:v>
      </x:c>
      <x:c r="K694" t="str">
        <x:v>In stock</x:v>
      </x:c>
      <x:c r="L694" t="str">
        <x:v>2026-09-08</x:v>
      </x:c>
      <x:c r="M694" t="str"/>
      <x:c r="N694" t="str"/>
      <x:c r="O694" t="str">
        <x:v>https://www.activesportstrade.co.uk/BSN</x:v>
      </x:c>
      <x:c r="P694" t="str"/>
      <x:c r="Q694" t="str"/>
      <x:c r="R694" t="str"/>
      <x:c r="S694" t="str">
        <x:v>Pending genuine supplier/brand image</x:v>
      </x:c>
      <x:c r="T694" s="54" t="n">
        <x:v>13.99</x:v>
      </x:c>
      <x:c r="U694" s="47" t="n">
        <x:v>0.2</x:v>
      </x:c>
      <x:c r="V694" s="54" t="n">
        <x:f>IF(ISNUMBER(T694),T694*(1+U694),"")</x:f>
        <x:v>16.788</x:v>
      </x:c>
      <x:c r="W694" s="47" t="n">
        <x:v>0.3</x:v>
      </x:c>
      <x:c r="X694" s="54" t="n">
        <x:f>IF(ISNUMBER(V694),V694/(1-W694),"")</x:f>
        <x:v>23.982857142857146</x:v>
      </x:c>
      <x:c r="Y694" s="55" t="n">
        <x:f>IF(ISNUMBER(X694),ROUNDUP(X694,0),"")</x:f>
        <x:v>24</x:v>
      </x:c>
      <x:c r="Z694" t="str">
        <x:v>Source match pending</x:v>
      </x:c>
      <x:c r="AA694" t="str">
        <x:v>screencapture-www-activesportstrade-co-uk-BSN-2026-09-09-18_22_32.png / page-001</x:v>
      </x:c>
      <x:c r="AB694" s="36" t="n">
        <x:f>IF(ISNUMBER(Y694),ROUND(Y694*0.9,2),"")</x:f>
        <x:v>21.6</x:v>
      </x:c>
      <x:c r="AC694" s="36" t="n">
        <x:f>IF(ISNUMBER(AB694),ROUND(AB694-(AB694*0.015+0.2)-V694,2),"")</x:f>
        <x:v>4.29</x:v>
      </x:c>
      <x:c r="AD694" s="36" t="n">
        <x:f>IF(ISNUMBER(Y694),ROUND(Y694*0.8,2),"")</x:f>
        <x:v>19.2</x:v>
      </x:c>
      <x:c r="AE694" s="36" t="n">
        <x:f>IF(ISNUMBER(AD694),ROUND(AD694*0.015+0.2,2),"")</x:f>
        <x:v>0.49</x:v>
      </x:c>
      <x:c r="AF694" s="36" t="n">
        <x:f>IF(ISNUMBER(AD694),ROUND(AD694-AE694-V694,2),"")</x:f>
        <x:v>1.92</x:v>
      </x:c>
      <x:c r="AG694" t="str">
        <x:f>IF(NOT(ISNUMBER(T694)),"PENDING",IF(AF694&gt;0,"PASS","FAIL"))</x:f>
        <x:v>PASS</x:v>
      </x:c>
      <x:c r="AH694" t="str">
        <x:f>IF(NOT(ISNUMBER(T694)),"Needs supplier cost",IF(K694&lt;&gt;"In stock","Supplier unavailable",IF(AG694&lt;&gt;"PASS","BLOCK - GT loss risk","Commercially protected")))</x:f>
        <x:v>Commercially protected</x:v>
      </x:c>
      <x:c r="AI694" t="str">
        <x:v>2026-09-10 Active Sports trade capture</x:v>
      </x:c>
      <x:c r="AJ694" t="str">
        <x:v>Management-only economics. Stripe stress test uses 1.5% + £0.20 standard UK online-card fee; pallet/mix-and-match pricing ignored.</x:v>
      </x:c>
    </x:row>
    <x:row r="695">
      <x:c r="A695" t="str">
        <x:v>Active Sports Nutrition</x:v>
      </x:c>
      <x:c r="B695" t="str">
        <x:v>BSN</x:v>
      </x:c>
      <x:c r="C695" t="str">
        <x:v>NO-Xplode</x:v>
      </x:c>
      <x:c r="D695" t="str">
        <x:v>Pre Workouts</x:v>
      </x:c>
      <x:c r="E695" t="str">
        <x:v>High Stim</x:v>
      </x:c>
      <x:c r="F695" t="str">
        <x:v>Pre-workout formula.</x:v>
      </x:c>
      <x:c r="G695" t="str">
        <x:v>30 servings</x:v>
      </x:c>
      <x:c r="H695" t="str">
        <x:v>Red Rush</x:v>
      </x:c>
      <x:c r="I695" t="str"/>
      <x:c r="J695" t="str">
        <x:v>Unit</x:v>
      </x:c>
      <x:c r="K695" t="str">
        <x:v>In stock</x:v>
      </x:c>
      <x:c r="L695" t="str">
        <x:v>2026-09-08</x:v>
      </x:c>
      <x:c r="M695" t="str"/>
      <x:c r="N695" t="str"/>
      <x:c r="O695" t="str">
        <x:v>https://www.activesportstrade.co.uk/BSN</x:v>
      </x:c>
      <x:c r="P695" t="str"/>
      <x:c r="Q695" t="str"/>
      <x:c r="R695" t="str"/>
      <x:c r="S695" t="str">
        <x:v>Pending genuine supplier/brand image</x:v>
      </x:c>
      <x:c r="T695" s="54" t="n">
        <x:v>13.99</x:v>
      </x:c>
      <x:c r="U695" s="47" t="n">
        <x:v>0.2</x:v>
      </x:c>
      <x:c r="V695" s="54" t="n">
        <x:f>IF(ISNUMBER(T695),T695*(1+U695),"")</x:f>
        <x:v>16.788</x:v>
      </x:c>
      <x:c r="W695" s="47" t="n">
        <x:v>0.3</x:v>
      </x:c>
      <x:c r="X695" s="54" t="n">
        <x:f>IF(ISNUMBER(V695),V695/(1-W695),"")</x:f>
        <x:v>23.982857142857146</x:v>
      </x:c>
      <x:c r="Y695" s="55" t="n">
        <x:f>IF(ISNUMBER(X695),ROUNDUP(X695,0),"")</x:f>
        <x:v>24</x:v>
      </x:c>
      <x:c r="Z695" t="str">
        <x:v>Source match pending</x:v>
      </x:c>
      <x:c r="AA695" t="str">
        <x:v>screencapture-www-activesportstrade-co-uk-BSN-2026-09-09-18_22_32.png / page-001</x:v>
      </x:c>
      <x:c r="AB695" s="36" t="n">
        <x:f>IF(ISNUMBER(Y695),ROUND(Y695*0.9,2),"")</x:f>
        <x:v>21.6</x:v>
      </x:c>
      <x:c r="AC695" s="36" t="n">
        <x:f>IF(ISNUMBER(AB695),ROUND(AB695-(AB695*0.015+0.2)-V695,2),"")</x:f>
        <x:v>4.29</x:v>
      </x:c>
      <x:c r="AD695" s="36" t="n">
        <x:f>IF(ISNUMBER(Y695),ROUND(Y695*0.8,2),"")</x:f>
        <x:v>19.2</x:v>
      </x:c>
      <x:c r="AE695" s="36" t="n">
        <x:f>IF(ISNUMBER(AD695),ROUND(AD695*0.015+0.2,2),"")</x:f>
        <x:v>0.49</x:v>
      </x:c>
      <x:c r="AF695" s="36" t="n">
        <x:f>IF(ISNUMBER(AD695),ROUND(AD695-AE695-V695,2),"")</x:f>
        <x:v>1.92</x:v>
      </x:c>
      <x:c r="AG695" t="str">
        <x:f>IF(NOT(ISNUMBER(T695)),"PENDING",IF(AF695&gt;0,"PASS","FAIL"))</x:f>
        <x:v>PASS</x:v>
      </x:c>
      <x:c r="AH695" t="str">
        <x:f>IF(NOT(ISNUMBER(T695)),"Needs supplier cost",IF(K695&lt;&gt;"In stock","Supplier unavailable",IF(AG695&lt;&gt;"PASS","BLOCK - GT loss risk","Commercially protected")))</x:f>
        <x:v>Commercially protected</x:v>
      </x:c>
      <x:c r="AI695" t="str">
        <x:v>2026-09-10 Active Sports trade capture</x:v>
      </x:c>
      <x:c r="AJ695" t="str">
        <x:v>Management-only economics. Stripe stress test uses 1.5% + £0.20 standard UK online-card fee; pallet/mix-and-match pricing ignored.</x:v>
      </x:c>
    </x:row>
    <x:row r="696">
      <x:c r="A696" t="str">
        <x:v>Active Sports Nutrition</x:v>
      </x:c>
      <x:c r="B696" t="str">
        <x:v>BSN</x:v>
      </x:c>
      <x:c r="C696" t="str">
        <x:v>NO-Xplode</x:v>
      </x:c>
      <x:c r="D696" t="str">
        <x:v>Pre Workouts</x:v>
      </x:c>
      <x:c r="E696" t="str">
        <x:v>High Stim</x:v>
      </x:c>
      <x:c r="F696" t="str">
        <x:v>Pre-workout formula.</x:v>
      </x:c>
      <x:c r="G696" t="str">
        <x:v>50 servings</x:v>
      </x:c>
      <x:c r="H696" t="str">
        <x:v>Green Burst</x:v>
      </x:c>
      <x:c r="I696" t="str"/>
      <x:c r="J696" t="str">
        <x:v>Unit</x:v>
      </x:c>
      <x:c r="K696" t="str">
        <x:v>Out of stock</x:v>
      </x:c>
      <x:c r="L696" t="str">
        <x:v>2026-09-08</x:v>
      </x:c>
      <x:c r="M696" t="str"/>
      <x:c r="N696" t="str"/>
      <x:c r="O696" t="str">
        <x:v>https://www.activesportstrade.co.uk/BSN</x:v>
      </x:c>
      <x:c r="P696" t="str">
        <x:v>Current brand page used; older category crawl showed Green Burst in stock.</x:v>
      </x:c>
      <x:c r="Q696" t="str"/>
      <x:c r="R696" t="str"/>
      <x:c r="S696" t="str">
        <x:v>Pending genuine supplier/brand image</x:v>
      </x:c>
      <x:c r="T696" s="54" t="n">
        <x:v>19.99</x:v>
      </x:c>
      <x:c r="U696" s="47" t="n">
        <x:v>0.2</x:v>
      </x:c>
      <x:c r="V696" s="54" t="n">
        <x:f>IF(ISNUMBER(T696),T696*(1+U696),"")</x:f>
        <x:v>23.987999999999996</x:v>
      </x:c>
      <x:c r="W696" s="47" t="n">
        <x:v>0.3</x:v>
      </x:c>
      <x:c r="X696" s="54" t="n">
        <x:f>IF(ISNUMBER(V696),V696/(1-W696),"")</x:f>
        <x:v>34.26857142857143</x:v>
      </x:c>
      <x:c r="Y696" s="55" t="n">
        <x:f>IF(ISNUMBER(X696),ROUNDUP(X696,0),"")</x:f>
        <x:v>35</x:v>
      </x:c>
      <x:c r="Z696" t="str">
        <x:v>Source match pending</x:v>
      </x:c>
      <x:c r="AA696" t="str">
        <x:v>screencapture-www-activesportstrade-co-uk-BSN-2026-09-09-18_22_32.png / page-001</x:v>
      </x:c>
      <x:c r="AB696" s="36" t="n">
        <x:f>IF(ISNUMBER(Y696),ROUND(Y696*0.9,2),"")</x:f>
        <x:v>31.5</x:v>
      </x:c>
      <x:c r="AC696" s="36" t="n">
        <x:f>IF(ISNUMBER(AB696),ROUND(AB696-(AB696*0.015+0.2)-V696,2),"")</x:f>
        <x:v>6.84</x:v>
      </x:c>
      <x:c r="AD696" s="36" t="n">
        <x:f>IF(ISNUMBER(Y696),ROUND(Y696*0.8,2),"")</x:f>
        <x:v>28</x:v>
      </x:c>
      <x:c r="AE696" s="36" t="n">
        <x:f>IF(ISNUMBER(AD696),ROUND(AD696*0.015+0.2,2),"")</x:f>
        <x:v>0.62</x:v>
      </x:c>
      <x:c r="AF696" s="36" t="n">
        <x:f>IF(ISNUMBER(AD696),ROUND(AD696-AE696-V696,2),"")</x:f>
        <x:v>3.39</x:v>
      </x:c>
      <x:c r="AG696" t="str">
        <x:f>IF(NOT(ISNUMBER(T696)),"PENDING",IF(AF696&gt;0,"PASS","FAIL"))</x:f>
        <x:v>PASS</x:v>
      </x:c>
      <x:c r="AH696" t="str">
        <x:f>IF(NOT(ISNUMBER(T696)),"Needs supplier cost",IF(K696&lt;&gt;"In stock","Supplier unavailable",IF(AG696&lt;&gt;"PASS","BLOCK - GT loss risk","Commercially protected")))</x:f>
        <x:v>Supplier unavailable</x:v>
      </x:c>
      <x:c r="AI696" t="str">
        <x:v>2026-09-10 Active Sports trade capture</x:v>
      </x:c>
      <x:c r="AJ696" t="str">
        <x:v>Management-only economics. Stripe stress test uses 1.5% + £0.20 standard UK online-card fee; pallet/mix-and-match pricing ignored.</x:v>
      </x:c>
    </x:row>
    <x:row r="697">
      <x:c r="A697" t="str">
        <x:v>Active Sports Nutrition</x:v>
      </x:c>
      <x:c r="B697" t="str">
        <x:v>BSN</x:v>
      </x:c>
      <x:c r="C697" t="str">
        <x:v>NO-Xplode</x:v>
      </x:c>
      <x:c r="D697" t="str">
        <x:v>Pre Workouts</x:v>
      </x:c>
      <x:c r="E697" t="str">
        <x:v>High Stim</x:v>
      </x:c>
      <x:c r="F697" t="str">
        <x:v>Pre-workout formula.</x:v>
      </x:c>
      <x:c r="G697" t="str">
        <x:v>50 servings</x:v>
      </x:c>
      <x:c r="H697" t="str">
        <x:v>Purple Power</x:v>
      </x:c>
      <x:c r="I697" t="str"/>
      <x:c r="J697" t="str">
        <x:v>Unit</x:v>
      </x:c>
      <x:c r="K697" t="str">
        <x:v>Out of stock</x:v>
      </x:c>
      <x:c r="L697" t="str">
        <x:v>2026-09-08</x:v>
      </x:c>
      <x:c r="M697" t="str"/>
      <x:c r="N697" t="str"/>
      <x:c r="O697" t="str">
        <x:v>https://www.activesportstrade.co.uk/BSN</x:v>
      </x:c>
      <x:c r="P697" t="str">
        <x:v>Current brand page used; older category crawl showed Green Burst in stock.</x:v>
      </x:c>
      <x:c r="Q697" t="str"/>
      <x:c r="R697" t="str"/>
      <x:c r="S697" t="str">
        <x:v>Pending genuine supplier/brand image</x:v>
      </x:c>
      <x:c r="T697" s="54" t="n">
        <x:v>19.99</x:v>
      </x:c>
      <x:c r="U697" s="47" t="n">
        <x:v>0.2</x:v>
      </x:c>
      <x:c r="V697" s="54" t="n">
        <x:f>IF(ISNUMBER(T697),T697*(1+U697),"")</x:f>
        <x:v>23.987999999999996</x:v>
      </x:c>
      <x:c r="W697" s="47" t="n">
        <x:v>0.3</x:v>
      </x:c>
      <x:c r="X697" s="54" t="n">
        <x:f>IF(ISNUMBER(V697),V697/(1-W697),"")</x:f>
        <x:v>34.26857142857143</x:v>
      </x:c>
      <x:c r="Y697" s="55" t="n">
        <x:f>IF(ISNUMBER(X697),ROUNDUP(X697,0),"")</x:f>
        <x:v>35</x:v>
      </x:c>
      <x:c r="Z697" t="str">
        <x:v>Source match pending</x:v>
      </x:c>
      <x:c r="AA697" t="str">
        <x:v>screencapture-www-activesportstrade-co-uk-BSN-2026-09-09-18_22_32.png / page-001</x:v>
      </x:c>
      <x:c r="AB697" s="36" t="n">
        <x:f>IF(ISNUMBER(Y697),ROUND(Y697*0.9,2),"")</x:f>
        <x:v>31.5</x:v>
      </x:c>
      <x:c r="AC697" s="36" t="n">
        <x:f>IF(ISNUMBER(AB697),ROUND(AB697-(AB697*0.015+0.2)-V697,2),"")</x:f>
        <x:v>6.84</x:v>
      </x:c>
      <x:c r="AD697" s="36" t="n">
        <x:f>IF(ISNUMBER(Y697),ROUND(Y697*0.8,2),"")</x:f>
        <x:v>28</x:v>
      </x:c>
      <x:c r="AE697" s="36" t="n">
        <x:f>IF(ISNUMBER(AD697),ROUND(AD697*0.015+0.2,2),"")</x:f>
        <x:v>0.62</x:v>
      </x:c>
      <x:c r="AF697" s="36" t="n">
        <x:f>IF(ISNUMBER(AD697),ROUND(AD697-AE697-V697,2),"")</x:f>
        <x:v>3.39</x:v>
      </x:c>
      <x:c r="AG697" t="str">
        <x:f>IF(NOT(ISNUMBER(T697)),"PENDING",IF(AF697&gt;0,"PASS","FAIL"))</x:f>
        <x:v>PASS</x:v>
      </x:c>
      <x:c r="AH697" t="str">
        <x:f>IF(NOT(ISNUMBER(T697)),"Needs supplier cost",IF(K697&lt;&gt;"In stock","Supplier unavailable",IF(AG697&lt;&gt;"PASS","BLOCK - GT loss risk","Commercially protected")))</x:f>
        <x:v>Supplier unavailable</x:v>
      </x:c>
      <x:c r="AI697" t="str">
        <x:v>2026-09-10 Active Sports trade capture</x:v>
      </x:c>
      <x:c r="AJ697" t="str">
        <x:v>Management-only economics. Stripe stress test uses 1.5% + £0.20 standard UK online-card fee; pallet/mix-and-match pricing ignored.</x:v>
      </x:c>
    </x:row>
    <x:row r="698">
      <x:c r="A698" t="str">
        <x:v>Active Sports Nutrition</x:v>
      </x:c>
      <x:c r="B698" t="str">
        <x:v>BSN</x:v>
      </x:c>
      <x:c r="C698" t="str">
        <x:v>NO-Xplode</x:v>
      </x:c>
      <x:c r="D698" t="str">
        <x:v>Pre Workouts</x:v>
      </x:c>
      <x:c r="E698" t="str">
        <x:v>High Stim</x:v>
      </x:c>
      <x:c r="F698" t="str">
        <x:v>Pre-workout formula.</x:v>
      </x:c>
      <x:c r="G698" t="str">
        <x:v>50 servings</x:v>
      </x:c>
      <x:c r="H698" t="str">
        <x:v>Red Rush</x:v>
      </x:c>
      <x:c r="I698" t="str"/>
      <x:c r="J698" t="str">
        <x:v>Unit</x:v>
      </x:c>
      <x:c r="K698" t="str">
        <x:v>Out of stock</x:v>
      </x:c>
      <x:c r="L698" t="str">
        <x:v>2026-09-08</x:v>
      </x:c>
      <x:c r="M698" t="str"/>
      <x:c r="N698" t="str"/>
      <x:c r="O698" t="str">
        <x:v>https://www.activesportstrade.co.uk/BSN</x:v>
      </x:c>
      <x:c r="P698" t="str">
        <x:v>Current brand page used; older category crawl showed Green Burst in stock.</x:v>
      </x:c>
      <x:c r="Q698" t="str"/>
      <x:c r="R698" t="str"/>
      <x:c r="S698" t="str">
        <x:v>Pending genuine supplier/brand image</x:v>
      </x:c>
      <x:c r="T698" s="54" t="n">
        <x:v>19.99</x:v>
      </x:c>
      <x:c r="U698" s="47" t="n">
        <x:v>0.2</x:v>
      </x:c>
      <x:c r="V698" s="54" t="n">
        <x:f>IF(ISNUMBER(T698),T698*(1+U698),"")</x:f>
        <x:v>23.987999999999996</x:v>
      </x:c>
      <x:c r="W698" s="47" t="n">
        <x:v>0.3</x:v>
      </x:c>
      <x:c r="X698" s="54" t="n">
        <x:f>IF(ISNUMBER(V698),V698/(1-W698),"")</x:f>
        <x:v>34.26857142857143</x:v>
      </x:c>
      <x:c r="Y698" s="55" t="n">
        <x:f>IF(ISNUMBER(X698),ROUNDUP(X698,0),"")</x:f>
        <x:v>35</x:v>
      </x:c>
      <x:c r="Z698" t="str">
        <x:v>Source match pending</x:v>
      </x:c>
      <x:c r="AA698" t="str">
        <x:v>screencapture-www-activesportstrade-co-uk-BSN-2026-09-09-18_22_32.png / page-001</x:v>
      </x:c>
      <x:c r="AB698" s="36" t="n">
        <x:f>IF(ISNUMBER(Y698),ROUND(Y698*0.9,2),"")</x:f>
        <x:v>31.5</x:v>
      </x:c>
      <x:c r="AC698" s="36" t="n">
        <x:f>IF(ISNUMBER(AB698),ROUND(AB698-(AB698*0.015+0.2)-V698,2),"")</x:f>
        <x:v>6.84</x:v>
      </x:c>
      <x:c r="AD698" s="36" t="n">
        <x:f>IF(ISNUMBER(Y698),ROUND(Y698*0.8,2),"")</x:f>
        <x:v>28</x:v>
      </x:c>
      <x:c r="AE698" s="36" t="n">
        <x:f>IF(ISNUMBER(AD698),ROUND(AD698*0.015+0.2,2),"")</x:f>
        <x:v>0.62</x:v>
      </x:c>
      <x:c r="AF698" s="36" t="n">
        <x:f>IF(ISNUMBER(AD698),ROUND(AD698-AE698-V698,2),"")</x:f>
        <x:v>3.39</x:v>
      </x:c>
      <x:c r="AG698" t="str">
        <x:f>IF(NOT(ISNUMBER(T698)),"PENDING",IF(AF698&gt;0,"PASS","FAIL"))</x:f>
        <x:v>PASS</x:v>
      </x:c>
      <x:c r="AH698" t="str">
        <x:f>IF(NOT(ISNUMBER(T698)),"Needs supplier cost",IF(K698&lt;&gt;"In stock","Supplier unavailable",IF(AG698&lt;&gt;"PASS","BLOCK - GT loss risk","Commercially protected")))</x:f>
        <x:v>Supplier unavailable</x:v>
      </x:c>
      <x:c r="AI698" t="str">
        <x:v>2026-09-10 Active Sports trade capture</x:v>
      </x:c>
      <x:c r="AJ698" t="str">
        <x:v>Management-only economics. Stripe stress test uses 1.5% + £0.20 standard UK online-card fee; pallet/mix-and-match pricing ignored.</x:v>
      </x:c>
    </x:row>
    <x:row r="699">
      <x:c r="A699" t="str">
        <x:v>Active Sports Nutrition</x:v>
      </x:c>
      <x:c r="B699" t="str">
        <x:v>BSN</x:v>
      </x:c>
      <x:c r="C699" t="str">
        <x:v>Syntha-6</x:v>
      </x:c>
      <x:c r="D699" t="str">
        <x:v>Supplements</x:v>
      </x:c>
      <x:c r="E699" t="str">
        <x:v>Protein Blends</x:v>
      </x:c>
      <x:c r="F699" t="str">
        <x:v>Protein blend.</x:v>
      </x:c>
      <x:c r="G699" t="str">
        <x:v>2.26kg</x:v>
      </x:c>
      <x:c r="H699" t="str">
        <x:v>Chocolate Mudslide</x:v>
      </x:c>
      <x:c r="I699" t="str"/>
      <x:c r="J699" t="str">
        <x:v>Unit</x:v>
      </x:c>
      <x:c r="K699" t="str">
        <x:v>Out of stock</x:v>
      </x:c>
      <x:c r="L699" t="str">
        <x:v>2026-09-08</x:v>
      </x:c>
      <x:c r="M699" t="str"/>
      <x:c r="N699" t="str"/>
      <x:c r="O699" t="str">
        <x:v>https://www.activesportstrade.co.uk/BSN</x:v>
      </x:c>
      <x:c r="P699" t="str"/>
      <x:c r="Q699" t="str"/>
      <x:c r="R699" t="str"/>
      <x:c r="S699" t="str">
        <x:v>Pending genuine supplier/brand image</x:v>
      </x:c>
      <x:c r="T699" s="54"/>
      <x:c r="U699" s="47" t="n">
        <x:v>0.2</x:v>
      </x:c>
      <x:c r="V699" s="54" t="str">
        <x:f>IF(ISNUMBER(T699),T699*(1+U699),"")</x:f>
      </x:c>
      <x:c r="W699" s="47" t="n">
        <x:v>0.3</x:v>
      </x:c>
      <x:c r="X699" s="54" t="str">
        <x:f>IF(ISNUMBER(V699),V699/(1-W699),"")</x:f>
      </x:c>
      <x:c r="Y699" s="55" t="str">
        <x:f>IF(ISNUMBER(X699),ROUNDUP(X699,0),"")</x:f>
      </x:c>
      <x:c r="Z699" t="str">
        <x:f>IF(ISNUMBER(T699),"Cost captured","Awaiting trade cost")</x:f>
        <x:v>Awaiting trade cost</x:v>
      </x:c>
      <x:c r="AB699" s="36" t="str">
        <x:f>IF(ISNUMBER(Y699),ROUND(Y699*0.9,2),"")</x:f>
      </x:c>
      <x:c r="AC699" s="36" t="str">
        <x:f>IF(ISNUMBER(AB699),ROUND(AB699-(AB699*0.015+0.2)-V699,2),"")</x:f>
      </x:c>
      <x:c r="AD699" s="36" t="str">
        <x:f>IF(ISNUMBER(Y699),ROUND(Y699*0.8,2),"")</x:f>
      </x:c>
      <x:c r="AE699" s="36" t="str">
        <x:f>IF(ISNUMBER(AD699),ROUND(AD699*0.015+0.2,2),"")</x:f>
      </x:c>
      <x:c r="AF699" s="36" t="str">
        <x:f>IF(ISNUMBER(AD699),ROUND(AD699-AE699-V699,2),"")</x:f>
      </x:c>
      <x:c r="AG699" t="str">
        <x:f>IF(NOT(ISNUMBER(T699)),"PENDING",IF(AF699&gt;0,"PASS","FAIL"))</x:f>
        <x:v>PENDING</x:v>
      </x:c>
      <x:c r="AH699" t="str">
        <x:f>IF(NOT(ISNUMBER(T699)),"Needs supplier cost",IF(K699&lt;&gt;"In stock","Supplier unavailable",IF(AG699&lt;&gt;"PASS","BLOCK - GT loss risk","Commercially protected")))</x:f>
        <x:v>Needs supplier cost</x:v>
      </x:c>
      <x:c r="AI699" t="str">
        <x:v>2026-09-10 Active Sports trade capture</x:v>
      </x:c>
      <x:c r="AJ699" t="str">
        <x:v>Management-only economics. Stripe stress test uses 1.5% + £0.20 standard UK online-card fee; pallet/mix-and-match pricing ignored.</x:v>
      </x:c>
    </x:row>
    <x:row r="700">
      <x:c r="A700" t="str">
        <x:v>Active Sports Nutrition</x:v>
      </x:c>
      <x:c r="B700" t="str">
        <x:v>BSN</x:v>
      </x:c>
      <x:c r="C700" t="str">
        <x:v>Syntha-6</x:v>
      </x:c>
      <x:c r="D700" t="str">
        <x:v>Supplements</x:v>
      </x:c>
      <x:c r="E700" t="str">
        <x:v>Protein Blends</x:v>
      </x:c>
      <x:c r="F700" t="str">
        <x:v>Protein blend.</x:v>
      </x:c>
      <x:c r="G700" t="str">
        <x:v>2.26kg</x:v>
      </x:c>
      <x:c r="H700" t="str">
        <x:v>New York Vanilla Cheesecake</x:v>
      </x:c>
      <x:c r="I700" t="str"/>
      <x:c r="J700" t="str">
        <x:v>Unit</x:v>
      </x:c>
      <x:c r="K700" t="str">
        <x:v>Out of stock</x:v>
      </x:c>
      <x:c r="L700" t="str">
        <x:v>2026-09-08</x:v>
      </x:c>
      <x:c r="M700" t="str"/>
      <x:c r="N700" t="str"/>
      <x:c r="O700" t="str">
        <x:v>https://www.activesportstrade.co.uk/BSN</x:v>
      </x:c>
      <x:c r="P700" t="str"/>
      <x:c r="Q700" t="str"/>
      <x:c r="R700" t="str"/>
      <x:c r="S700" t="str">
        <x:v>Pending genuine supplier/brand image</x:v>
      </x:c>
      <x:c r="T700" s="54"/>
      <x:c r="U700" s="47" t="n">
        <x:v>0.2</x:v>
      </x:c>
      <x:c r="V700" s="54" t="str">
        <x:f>IF(ISNUMBER(T700),T700*(1+U700),"")</x:f>
      </x:c>
      <x:c r="W700" s="47" t="n">
        <x:v>0.3</x:v>
      </x:c>
      <x:c r="X700" s="54" t="str">
        <x:f>IF(ISNUMBER(V700),V700/(1-W700),"")</x:f>
      </x:c>
      <x:c r="Y700" s="55" t="str">
        <x:f>IF(ISNUMBER(X700),ROUNDUP(X700,0),"")</x:f>
      </x:c>
      <x:c r="Z700" t="str">
        <x:f>IF(ISNUMBER(T700),"Cost captured","Awaiting trade cost")</x:f>
        <x:v>Awaiting trade cost</x:v>
      </x:c>
      <x:c r="AB700" s="36" t="str">
        <x:f>IF(ISNUMBER(Y700),ROUND(Y700*0.9,2),"")</x:f>
      </x:c>
      <x:c r="AC700" s="36" t="str">
        <x:f>IF(ISNUMBER(AB700),ROUND(AB700-(AB700*0.015+0.2)-V700,2),"")</x:f>
      </x:c>
      <x:c r="AD700" s="36" t="str">
        <x:f>IF(ISNUMBER(Y700),ROUND(Y700*0.8,2),"")</x:f>
      </x:c>
      <x:c r="AE700" s="36" t="str">
        <x:f>IF(ISNUMBER(AD700),ROUND(AD700*0.015+0.2,2),"")</x:f>
      </x:c>
      <x:c r="AF700" s="36" t="str">
        <x:f>IF(ISNUMBER(AD700),ROUND(AD700-AE700-V700,2),"")</x:f>
      </x:c>
      <x:c r="AG700" t="str">
        <x:f>IF(NOT(ISNUMBER(T700)),"PENDING",IF(AF700&gt;0,"PASS","FAIL"))</x:f>
        <x:v>PENDING</x:v>
      </x:c>
      <x:c r="AH700" t="str">
        <x:f>IF(NOT(ISNUMBER(T700)),"Needs supplier cost",IF(K700&lt;&gt;"In stock","Supplier unavailable",IF(AG700&lt;&gt;"PASS","BLOCK - GT loss risk","Commercially protected")))</x:f>
        <x:v>Needs supplier cost</x:v>
      </x:c>
      <x:c r="AI700" t="str">
        <x:v>2026-09-10 Active Sports trade capture</x:v>
      </x:c>
      <x:c r="AJ700" t="str">
        <x:v>Management-only economics. Stripe stress test uses 1.5% + £0.20 standard UK online-card fee; pallet/mix-and-match pricing ignored.</x:v>
      </x:c>
    </x:row>
    <x:row r="701">
      <x:c r="A701" t="str">
        <x:v>Active Sports Nutrition</x:v>
      </x:c>
      <x:c r="B701" t="str">
        <x:v>BSN</x:v>
      </x:c>
      <x:c r="C701" t="str">
        <x:v>Syntha-6</x:v>
      </x:c>
      <x:c r="D701" t="str">
        <x:v>Supplements</x:v>
      </x:c>
      <x:c r="E701" t="str">
        <x:v>Protein Blends</x:v>
      </x:c>
      <x:c r="F701" t="str">
        <x:v>Protein blend.</x:v>
      </x:c>
      <x:c r="G701" t="str">
        <x:v>2.26kg</x:v>
      </x:c>
      <x:c r="H701" t="str">
        <x:v>Strawberry Cream Swirl</x:v>
      </x:c>
      <x:c r="I701" t="str"/>
      <x:c r="J701" t="str">
        <x:v>Unit</x:v>
      </x:c>
      <x:c r="K701" t="str">
        <x:v>Out of stock</x:v>
      </x:c>
      <x:c r="L701" t="str">
        <x:v>2026-09-08</x:v>
      </x:c>
      <x:c r="M701" t="str"/>
      <x:c r="N701" t="str"/>
      <x:c r="O701" t="str">
        <x:v>https://www.activesportstrade.co.uk/BSN</x:v>
      </x:c>
      <x:c r="P701" t="str"/>
      <x:c r="Q701" t="str"/>
      <x:c r="R701" t="str"/>
      <x:c r="S701" t="str">
        <x:v>Pending genuine supplier/brand image</x:v>
      </x:c>
      <x:c r="T701" s="54"/>
      <x:c r="U701" s="47" t="n">
        <x:v>0.2</x:v>
      </x:c>
      <x:c r="V701" s="54" t="str">
        <x:f>IF(ISNUMBER(T701),T701*(1+U701),"")</x:f>
      </x:c>
      <x:c r="W701" s="47" t="n">
        <x:v>0.3</x:v>
      </x:c>
      <x:c r="X701" s="54" t="str">
        <x:f>IF(ISNUMBER(V701),V701/(1-W701),"")</x:f>
      </x:c>
      <x:c r="Y701" s="55" t="str">
        <x:f>IF(ISNUMBER(X701),ROUNDUP(X701,0),"")</x:f>
      </x:c>
      <x:c r="Z701" t="str">
        <x:f>IF(ISNUMBER(T701),"Cost captured","Awaiting trade cost")</x:f>
        <x:v>Awaiting trade cost</x:v>
      </x:c>
      <x:c r="AB701" s="36" t="str">
        <x:f>IF(ISNUMBER(Y701),ROUND(Y701*0.9,2),"")</x:f>
      </x:c>
      <x:c r="AC701" s="36" t="str">
        <x:f>IF(ISNUMBER(AB701),ROUND(AB701-(AB701*0.015+0.2)-V701,2),"")</x:f>
      </x:c>
      <x:c r="AD701" s="36" t="str">
        <x:f>IF(ISNUMBER(Y701),ROUND(Y701*0.8,2),"")</x:f>
      </x:c>
      <x:c r="AE701" s="36" t="str">
        <x:f>IF(ISNUMBER(AD701),ROUND(AD701*0.015+0.2,2),"")</x:f>
      </x:c>
      <x:c r="AF701" s="36" t="str">
        <x:f>IF(ISNUMBER(AD701),ROUND(AD701-AE701-V701,2),"")</x:f>
      </x:c>
      <x:c r="AG701" t="str">
        <x:f>IF(NOT(ISNUMBER(T701)),"PENDING",IF(AF701&gt;0,"PASS","FAIL"))</x:f>
        <x:v>PENDING</x:v>
      </x:c>
      <x:c r="AH701" t="str">
        <x:f>IF(NOT(ISNUMBER(T701)),"Needs supplier cost",IF(K701&lt;&gt;"In stock","Supplier unavailable",IF(AG701&lt;&gt;"PASS","BLOCK - GT loss risk","Commercially protected")))</x:f>
        <x:v>Needs supplier cost</x:v>
      </x:c>
      <x:c r="AI701" t="str">
        <x:v>2026-09-10 Active Sports trade capture</x:v>
      </x:c>
      <x:c r="AJ701" t="str">
        <x:v>Management-only economics. Stripe stress test uses 1.5% + £0.20 standard UK online-card fee; pallet/mix-and-match pricing ignored.</x:v>
      </x:c>
    </x:row>
    <x:row r="702">
      <x:c r="A702" t="str">
        <x:v>Active Sports Nutrition</x:v>
      </x:c>
      <x:c r="B702" t="str">
        <x:v>Buffalo Nutrition</x:v>
      </x:c>
      <x:c r="C702" t="str">
        <x:v>Alpha-XT Xtreme Test</x:v>
      </x:c>
      <x:c r="D702" t="str">
        <x:v>Supplements</x:v>
      </x:c>
      <x:c r="E702" t="str">
        <x:v>PCT Supplements</x:v>
      </x:c>
      <x:c r="F702" t="str">
        <x:v>Performance/testosterone support formula.</x:v>
      </x:c>
      <x:c r="G702" t="str">
        <x:v>120 caps</x:v>
      </x:c>
      <x:c r="H702" t="str">
        <x:v>Default</x:v>
      </x:c>
      <x:c r="I702" t="str"/>
      <x:c r="J702" t="str">
        <x:v>Unit</x:v>
      </x:c>
      <x:c r="K702" t="str">
        <x:v>In stock</x:v>
      </x:c>
      <x:c r="L702" t="str">
        <x:v>2026-09-08</x:v>
      </x:c>
      <x:c r="M702" t="str"/>
      <x:c r="N702" t="str"/>
      <x:c r="O702" t="str">
        <x:v>https://www.activesportstrade.co.uk/buffalo-nutrition-trade</x:v>
      </x:c>
      <x:c r="P702" t="str"/>
      <x:c r="Q702" t="str"/>
      <x:c r="R702" t="str"/>
      <x:c r="S702" t="str">
        <x:v>Pending genuine supplier/brand image</x:v>
      </x:c>
      <x:c r="T702" s="54" t="n">
        <x:v>19.99</x:v>
      </x:c>
      <x:c r="U702" s="47" t="n">
        <x:v>0.2</x:v>
      </x:c>
      <x:c r="V702" s="54" t="n">
        <x:f>IF(ISNUMBER(T702),T702*(1+U702),"")</x:f>
        <x:v>23.987999999999996</x:v>
      </x:c>
      <x:c r="W702" s="47" t="n">
        <x:v>0.3</x:v>
      </x:c>
      <x:c r="X702" s="54" t="n">
        <x:f>IF(ISNUMBER(V702),V702/(1-W702),"")</x:f>
        <x:v>34.26857142857143</x:v>
      </x:c>
      <x:c r="Y702" s="55" t="n">
        <x:f>IF(ISNUMBER(X702),ROUNDUP(X702,0),"")</x:f>
        <x:v>35</x:v>
      </x:c>
      <x:c r="Z702" t="str">
        <x:v>Source match pending</x:v>
      </x:c>
      <x:c r="AA702" t="str">
        <x:v>screencapture-www-activesportstrade-co-uk-buffalo-nutrition-trade-2026-09-09-18_22_46.png / page-001</x:v>
      </x:c>
      <x:c r="AB702" s="36" t="n">
        <x:f>IF(ISNUMBER(Y702),ROUND(Y702*0.9,2),"")</x:f>
        <x:v>31.5</x:v>
      </x:c>
      <x:c r="AC702" s="36" t="n">
        <x:f>IF(ISNUMBER(AB702),ROUND(AB702-(AB702*0.015+0.2)-V702,2),"")</x:f>
        <x:v>6.84</x:v>
      </x:c>
      <x:c r="AD702" s="36" t="n">
        <x:f>IF(ISNUMBER(Y702),ROUND(Y702*0.8,2),"")</x:f>
        <x:v>28</x:v>
      </x:c>
      <x:c r="AE702" s="36" t="n">
        <x:f>IF(ISNUMBER(AD702),ROUND(AD702*0.015+0.2,2),"")</x:f>
        <x:v>0.62</x:v>
      </x:c>
      <x:c r="AF702" s="36" t="n">
        <x:f>IF(ISNUMBER(AD702),ROUND(AD702-AE702-V702,2),"")</x:f>
        <x:v>3.39</x:v>
      </x:c>
      <x:c r="AG702" t="str">
        <x:f>IF(NOT(ISNUMBER(T702)),"PENDING",IF(AF702&gt;0,"PASS","FAIL"))</x:f>
        <x:v>PASS</x:v>
      </x:c>
      <x:c r="AH702" t="str">
        <x:f>IF(NOT(ISNUMBER(T702)),"Needs supplier cost",IF(K702&lt;&gt;"In stock","Supplier unavailable",IF(AG702&lt;&gt;"PASS","BLOCK - GT loss risk","Commercially protected")))</x:f>
        <x:v>Commercially protected</x:v>
      </x:c>
      <x:c r="AI702" t="str">
        <x:v>2026-09-10 Active Sports trade capture</x:v>
      </x:c>
      <x:c r="AJ702" t="str">
        <x:v>Management-only economics. Stripe stress test uses 1.5% + £0.20 standard UK online-card fee; pallet/mix-and-match pricing ignored.</x:v>
      </x:c>
    </x:row>
    <x:row r="703">
      <x:c r="A703" t="str">
        <x:v>Active Sports Nutrition</x:v>
      </x:c>
      <x:c r="B703" t="str">
        <x:v>Buffalo Nutrition</x:v>
      </x:c>
      <x:c r="C703" t="str">
        <x:v>ZM3 ZMA Complex</x:v>
      </x:c>
      <x:c r="D703" t="str">
        <x:v>Supplements</x:v>
      </x:c>
      <x:c r="E703" t="str">
        <x:v>Sleep Aids</x:v>
      </x:c>
      <x:c r="F703" t="str">
        <x:v>ZMA mineral complex.</x:v>
      </x:c>
      <x:c r="G703" t="str">
        <x:v>90 caps</x:v>
      </x:c>
      <x:c r="H703" t="str">
        <x:v>Default</x:v>
      </x:c>
      <x:c r="I703" t="str"/>
      <x:c r="J703" t="str">
        <x:v>Unit</x:v>
      </x:c>
      <x:c r="K703" t="str">
        <x:v>In stock</x:v>
      </x:c>
      <x:c r="L703" t="str">
        <x:v>2026-09-08</x:v>
      </x:c>
      <x:c r="M703" t="str"/>
      <x:c r="N703" t="str"/>
      <x:c r="O703" t="str">
        <x:v>https://www.activesportstrade.co.uk/buffalo-nutrition-trade</x:v>
      </x:c>
      <x:c r="P703" t="str"/>
      <x:c r="Q703" t="str"/>
      <x:c r="R703" t="str"/>
      <x:c r="S703" t="str">
        <x:v>Pending genuine supplier/brand image</x:v>
      </x:c>
      <x:c r="T703" s="54" t="n">
        <x:v>17.99</x:v>
      </x:c>
      <x:c r="U703" s="47" t="n">
        <x:v>0.2</x:v>
      </x:c>
      <x:c r="V703" s="54" t="n">
        <x:f>IF(ISNUMBER(T703),T703*(1+U703),"")</x:f>
        <x:v>21.587999999999997</x:v>
      </x:c>
      <x:c r="W703" s="47" t="n">
        <x:v>0.3</x:v>
      </x:c>
      <x:c r="X703" s="54" t="n">
        <x:f>IF(ISNUMBER(V703),V703/(1-W703),"")</x:f>
        <x:v>30.84</x:v>
      </x:c>
      <x:c r="Y703" s="55" t="n">
        <x:f>IF(ISNUMBER(X703),ROUNDUP(X703,0),"")</x:f>
        <x:v>31</x:v>
      </x:c>
      <x:c r="Z703" t="str">
        <x:v>Source match pending</x:v>
      </x:c>
      <x:c r="AA703" t="str">
        <x:v>screencapture-www-activesportstrade-co-uk-buffalo-nutrition-trade-2026-09-09-18_22_46.png / page-001</x:v>
      </x:c>
      <x:c r="AB703" s="36" t="n">
        <x:f>IF(ISNUMBER(Y703),ROUND(Y703*0.9,2),"")</x:f>
        <x:v>27.9</x:v>
      </x:c>
      <x:c r="AC703" s="36" t="n">
        <x:f>IF(ISNUMBER(AB703),ROUND(AB703-(AB703*0.015+0.2)-V703,2),"")</x:f>
        <x:v>5.69</x:v>
      </x:c>
      <x:c r="AD703" s="36" t="n">
        <x:f>IF(ISNUMBER(Y703),ROUND(Y703*0.8,2),"")</x:f>
        <x:v>24.8</x:v>
      </x:c>
      <x:c r="AE703" s="36" t="n">
        <x:f>IF(ISNUMBER(AD703),ROUND(AD703*0.015+0.2,2),"")</x:f>
        <x:v>0.57</x:v>
      </x:c>
      <x:c r="AF703" s="36" t="n">
        <x:f>IF(ISNUMBER(AD703),ROUND(AD703-AE703-V703,2),"")</x:f>
        <x:v>2.64</x:v>
      </x:c>
      <x:c r="AG703" t="str">
        <x:f>IF(NOT(ISNUMBER(T703)),"PENDING",IF(AF703&gt;0,"PASS","FAIL"))</x:f>
        <x:v>PASS</x:v>
      </x:c>
      <x:c r="AH703" t="str">
        <x:f>IF(NOT(ISNUMBER(T703)),"Needs supplier cost",IF(K703&lt;&gt;"In stock","Supplier unavailable",IF(AG703&lt;&gt;"PASS","BLOCK - GT loss risk","Commercially protected")))</x:f>
        <x:v>Commercially protected</x:v>
      </x:c>
      <x:c r="AI703" t="str">
        <x:v>2026-09-10 Active Sports trade capture</x:v>
      </x:c>
      <x:c r="AJ703" t="str">
        <x:v>Management-only economics. Stripe stress test uses 1.5% + £0.20 standard UK online-card fee; pallet/mix-and-match pricing ignored.</x:v>
      </x:c>
    </x:row>
    <x:row r="704">
      <x:c r="A704" t="str">
        <x:v>Active Sports Nutrition</x:v>
      </x:c>
      <x:c r="B704" t="str">
        <x:v>C4</x:v>
      </x:c>
      <x:c r="C704" t="str">
        <x:v>Original Pre Workout</x:v>
      </x:c>
      <x:c r="D704" t="str">
        <x:v>Pre Workouts</x:v>
      </x:c>
      <x:c r="E704" t="str">
        <x:v>High Stim</x:v>
      </x:c>
      <x:c r="F704" t="str">
        <x:v>Original C4 pre-workout.</x:v>
      </x:c>
      <x:c r="G704" t="str">
        <x:v>30 servings</x:v>
      </x:c>
      <x:c r="H704" t="str">
        <x:v>Cherry Limeade</x:v>
      </x:c>
      <x:c r="I704" t="str"/>
      <x:c r="J704" t="str">
        <x:v>Unit</x:v>
      </x:c>
      <x:c r="K704" t="str">
        <x:v>Out of stock</x:v>
      </x:c>
      <x:c r="L704" t="str">
        <x:v>2026-09-08</x:v>
      </x:c>
      <x:c r="M704" t="str"/>
      <x:c r="N704" t="str"/>
      <x:c r="O704" t="str">
        <x:v>https://www.activesportstrade.co.uk/trade-pre-workout-supplements</x:v>
      </x:c>
      <x:c r="P704" t="str">
        <x:v>Fresh September listing used; promo wording removed.</x:v>
      </x:c>
      <x:c r="Q704" t="str"/>
      <x:c r="R704" t="str"/>
      <x:c r="S704" t="str">
        <x:v>Pending genuine supplier/brand image</x:v>
      </x:c>
      <x:c r="T704" s="54"/>
      <x:c r="U704" s="47" t="n">
        <x:v>0.2</x:v>
      </x:c>
      <x:c r="V704" s="54" t="str">
        <x:f>IF(ISNUMBER(T704),T704*(1+U704),"")</x:f>
      </x:c>
      <x:c r="W704" s="47" t="n">
        <x:v>0.3</x:v>
      </x:c>
      <x:c r="X704" s="54" t="str">
        <x:f>IF(ISNUMBER(V704),V704/(1-W704),"")</x:f>
      </x:c>
      <x:c r="Y704" s="55" t="str">
        <x:f>IF(ISNUMBER(X704),ROUNDUP(X704,0),"")</x:f>
      </x:c>
      <x:c r="Z704" t="str">
        <x:f>IF(ISNUMBER(T704),"Cost captured","Awaiting trade cost")</x:f>
        <x:v>Awaiting trade cost</x:v>
      </x:c>
      <x:c r="AB704" s="36" t="str">
        <x:f>IF(ISNUMBER(Y704),ROUND(Y704*0.9,2),"")</x:f>
      </x:c>
      <x:c r="AC704" s="36" t="str">
        <x:f>IF(ISNUMBER(AB704),ROUND(AB704-(AB704*0.015+0.2)-V704,2),"")</x:f>
      </x:c>
      <x:c r="AD704" s="36" t="str">
        <x:f>IF(ISNUMBER(Y704),ROUND(Y704*0.8,2),"")</x:f>
      </x:c>
      <x:c r="AE704" s="36" t="str">
        <x:f>IF(ISNUMBER(AD704),ROUND(AD704*0.015+0.2,2),"")</x:f>
      </x:c>
      <x:c r="AF704" s="36" t="str">
        <x:f>IF(ISNUMBER(AD704),ROUND(AD704-AE704-V704,2),"")</x:f>
      </x:c>
      <x:c r="AG704" t="str">
        <x:f>IF(NOT(ISNUMBER(T704)),"PENDING",IF(AF704&gt;0,"PASS","FAIL"))</x:f>
        <x:v>PENDING</x:v>
      </x:c>
      <x:c r="AH704" t="str">
        <x:f>IF(NOT(ISNUMBER(T704)),"Needs supplier cost",IF(K704&lt;&gt;"In stock","Supplier unavailable",IF(AG704&lt;&gt;"PASS","BLOCK - GT loss risk","Commercially protected")))</x:f>
        <x:v>Needs supplier cost</x:v>
      </x:c>
      <x:c r="AI704" t="str">
        <x:v>2026-09-10 Active Sports trade capture</x:v>
      </x:c>
      <x:c r="AJ704" t="str">
        <x:v>Management-only economics. Stripe stress test uses 1.5% + £0.20 standard UK online-card fee; pallet/mix-and-match pricing ignored.</x:v>
      </x:c>
    </x:row>
    <x:row r="705">
      <x:c r="A705" t="str">
        <x:v>Active Sports Nutrition</x:v>
      </x:c>
      <x:c r="B705" t="str">
        <x:v>C4</x:v>
      </x:c>
      <x:c r="C705" t="str">
        <x:v>Original Pre Workout</x:v>
      </x:c>
      <x:c r="D705" t="str">
        <x:v>Pre Workouts</x:v>
      </x:c>
      <x:c r="E705" t="str">
        <x:v>High Stim</x:v>
      </x:c>
      <x:c r="F705" t="str">
        <x:v>Original C4 pre-workout.</x:v>
      </x:c>
      <x:c r="G705" t="str">
        <x:v>30 servings</x:v>
      </x:c>
      <x:c r="H705" t="str">
        <x:v>Cosmic Rainbow</x:v>
      </x:c>
      <x:c r="I705" t="str"/>
      <x:c r="J705" t="str">
        <x:v>Unit</x:v>
      </x:c>
      <x:c r="K705" t="str">
        <x:v>In stock</x:v>
      </x:c>
      <x:c r="L705" t="str">
        <x:v>2026-09-08</x:v>
      </x:c>
      <x:c r="M705" t="str"/>
      <x:c r="N705" t="str"/>
      <x:c r="O705" t="str">
        <x:v>https://www.activesportstrade.co.uk/trade-pre-workout-supplements</x:v>
      </x:c>
      <x:c r="P705" t="str">
        <x:v>Fresh September listing used; promo wording removed.</x:v>
      </x:c>
      <x:c r="Q705" t="str"/>
      <x:c r="R705" t="str"/>
      <x:c r="S705" t="str">
        <x:v>Pending genuine supplier/brand image</x:v>
      </x:c>
      <x:c r="T705" s="54"/>
      <x:c r="U705" s="47" t="n">
        <x:v>0.2</x:v>
      </x:c>
      <x:c r="V705" s="54" t="str">
        <x:f>IF(ISNUMBER(T705),T705*(1+U705),"")</x:f>
      </x:c>
      <x:c r="W705" s="47" t="n">
        <x:v>0.3</x:v>
      </x:c>
      <x:c r="X705" s="54" t="str">
        <x:f>IF(ISNUMBER(V705),V705/(1-W705),"")</x:f>
      </x:c>
      <x:c r="Y705" s="55" t="str">
        <x:f>IF(ISNUMBER(X705),ROUNDUP(X705,0),"")</x:f>
      </x:c>
      <x:c r="Z705" t="str">
        <x:f>IF(ISNUMBER(T705),"Cost captured","Awaiting trade cost")</x:f>
        <x:v>Awaiting trade cost</x:v>
      </x:c>
      <x:c r="AB705" s="36" t="str">
        <x:f>IF(ISNUMBER(Y705),ROUND(Y705*0.9,2),"")</x:f>
      </x:c>
      <x:c r="AC705" s="36" t="str">
        <x:f>IF(ISNUMBER(AB705),ROUND(AB705-(AB705*0.015+0.2)-V705,2),"")</x:f>
      </x:c>
      <x:c r="AD705" s="36" t="str">
        <x:f>IF(ISNUMBER(Y705),ROUND(Y705*0.8,2),"")</x:f>
      </x:c>
      <x:c r="AE705" s="36" t="str">
        <x:f>IF(ISNUMBER(AD705),ROUND(AD705*0.015+0.2,2),"")</x:f>
      </x:c>
      <x:c r="AF705" s="36" t="str">
        <x:f>IF(ISNUMBER(AD705),ROUND(AD705-AE705-V705,2),"")</x:f>
      </x:c>
      <x:c r="AG705" t="str">
        <x:f>IF(NOT(ISNUMBER(T705)),"PENDING",IF(AF705&gt;0,"PASS","FAIL"))</x:f>
        <x:v>PENDING</x:v>
      </x:c>
      <x:c r="AH705" t="str">
        <x:f>IF(NOT(ISNUMBER(T705)),"Needs supplier cost",IF(K705&lt;&gt;"In stock","Supplier unavailable",IF(AG705&lt;&gt;"PASS","BLOCK - GT loss risk","Commercially protected")))</x:f>
        <x:v>Needs supplier cost</x:v>
      </x:c>
      <x:c r="AI705" t="str">
        <x:v>2026-09-10 Active Sports trade capture</x:v>
      </x:c>
      <x:c r="AJ705" t="str">
        <x:v>Management-only economics. Stripe stress test uses 1.5% + £0.20 standard UK online-card fee; pallet/mix-and-match pricing ignored.</x:v>
      </x:c>
    </x:row>
    <x:row r="706">
      <x:c r="A706" t="str">
        <x:v>Active Sports Nutrition</x:v>
      </x:c>
      <x:c r="B706" t="str">
        <x:v>C4</x:v>
      </x:c>
      <x:c r="C706" t="str">
        <x:v>Original Pre Workout</x:v>
      </x:c>
      <x:c r="D706" t="str">
        <x:v>Pre Workouts</x:v>
      </x:c>
      <x:c r="E706" t="str">
        <x:v>High Stim</x:v>
      </x:c>
      <x:c r="F706" t="str">
        <x:v>Original C4 pre-workout.</x:v>
      </x:c>
      <x:c r="G706" t="str">
        <x:v>30 servings</x:v>
      </x:c>
      <x:c r="H706" t="str">
        <x:v>Frozen Bombsicle</x:v>
      </x:c>
      <x:c r="I706" t="str"/>
      <x:c r="J706" t="str">
        <x:v>Unit</x:v>
      </x:c>
      <x:c r="K706" t="str">
        <x:v>In stock</x:v>
      </x:c>
      <x:c r="L706" t="str">
        <x:v>2026-09-08</x:v>
      </x:c>
      <x:c r="M706" t="str"/>
      <x:c r="N706" t="str"/>
      <x:c r="O706" t="str">
        <x:v>https://www.activesportstrade.co.uk/trade-pre-workout-supplements</x:v>
      </x:c>
      <x:c r="P706" t="str">
        <x:v>Fresh September listing used; promo wording removed.</x:v>
      </x:c>
      <x:c r="Q706" t="str"/>
      <x:c r="R706" t="str"/>
      <x:c r="S706" t="str">
        <x:v>Pending genuine supplier/brand image</x:v>
      </x:c>
      <x:c r="T706" s="54"/>
      <x:c r="U706" s="47" t="n">
        <x:v>0.2</x:v>
      </x:c>
      <x:c r="V706" s="54" t="str">
        <x:f>IF(ISNUMBER(T706),T706*(1+U706),"")</x:f>
      </x:c>
      <x:c r="W706" s="47" t="n">
        <x:v>0.3</x:v>
      </x:c>
      <x:c r="X706" s="54" t="str">
        <x:f>IF(ISNUMBER(V706),V706/(1-W706),"")</x:f>
      </x:c>
      <x:c r="Y706" s="55" t="str">
        <x:f>IF(ISNUMBER(X706),ROUNDUP(X706,0),"")</x:f>
      </x:c>
      <x:c r="Z706" t="str">
        <x:f>IF(ISNUMBER(T706),"Cost captured","Awaiting trade cost")</x:f>
        <x:v>Awaiting trade cost</x:v>
      </x:c>
      <x:c r="AB706" s="36" t="str">
        <x:f>IF(ISNUMBER(Y706),ROUND(Y706*0.9,2),"")</x:f>
      </x:c>
      <x:c r="AC706" s="36" t="str">
        <x:f>IF(ISNUMBER(AB706),ROUND(AB706-(AB706*0.015+0.2)-V706,2),"")</x:f>
      </x:c>
      <x:c r="AD706" s="36" t="str">
        <x:f>IF(ISNUMBER(Y706),ROUND(Y706*0.8,2),"")</x:f>
      </x:c>
      <x:c r="AE706" s="36" t="str">
        <x:f>IF(ISNUMBER(AD706),ROUND(AD706*0.015+0.2,2),"")</x:f>
      </x:c>
      <x:c r="AF706" s="36" t="str">
        <x:f>IF(ISNUMBER(AD706),ROUND(AD706-AE706-V706,2),"")</x:f>
      </x:c>
      <x:c r="AG706" t="str">
        <x:f>IF(NOT(ISNUMBER(T706)),"PENDING",IF(AF706&gt;0,"PASS","FAIL"))</x:f>
        <x:v>PENDING</x:v>
      </x:c>
      <x:c r="AH706" t="str">
        <x:f>IF(NOT(ISNUMBER(T706)),"Needs supplier cost",IF(K706&lt;&gt;"In stock","Supplier unavailable",IF(AG706&lt;&gt;"PASS","BLOCK - GT loss risk","Commercially protected")))</x:f>
        <x:v>Needs supplier cost</x:v>
      </x:c>
      <x:c r="AI706" t="str">
        <x:v>2026-09-10 Active Sports trade capture</x:v>
      </x:c>
      <x:c r="AJ706" t="str">
        <x:v>Management-only economics. Stripe stress test uses 1.5% + £0.20 standard UK online-card fee; pallet/mix-and-match pricing ignored.</x:v>
      </x:c>
    </x:row>
    <x:row r="707">
      <x:c r="A707" t="str">
        <x:v>Active Sports Nutrition</x:v>
      </x:c>
      <x:c r="B707" t="str">
        <x:v>C4</x:v>
      </x:c>
      <x:c r="C707" t="str">
        <x:v>Original Pre Workout</x:v>
      </x:c>
      <x:c r="D707" t="str">
        <x:v>Pre Workouts</x:v>
      </x:c>
      <x:c r="E707" t="str">
        <x:v>High Stim</x:v>
      </x:c>
      <x:c r="F707" t="str">
        <x:v>Original C4 pre-workout.</x:v>
      </x:c>
      <x:c r="G707" t="str">
        <x:v>30 servings</x:v>
      </x:c>
      <x:c r="H707" t="str">
        <x:v>Fruit Punch</x:v>
      </x:c>
      <x:c r="I707" t="str"/>
      <x:c r="J707" t="str">
        <x:v>Unit</x:v>
      </x:c>
      <x:c r="K707" t="str">
        <x:v>In stock</x:v>
      </x:c>
      <x:c r="L707" t="str">
        <x:v>2026-09-08</x:v>
      </x:c>
      <x:c r="M707" t="str"/>
      <x:c r="N707" t="str"/>
      <x:c r="O707" t="str">
        <x:v>https://www.activesportstrade.co.uk/trade-pre-workout-supplements</x:v>
      </x:c>
      <x:c r="P707" t="str">
        <x:v>Fresh September listing used; promo wording removed.</x:v>
      </x:c>
      <x:c r="Q707" t="str"/>
      <x:c r="R707" t="str"/>
      <x:c r="S707" t="str">
        <x:v>Pending genuine supplier/brand image</x:v>
      </x:c>
      <x:c r="T707" s="54"/>
      <x:c r="U707" s="47" t="n">
        <x:v>0.2</x:v>
      </x:c>
      <x:c r="V707" s="54" t="str">
        <x:f>IF(ISNUMBER(T707),T707*(1+U707),"")</x:f>
      </x:c>
      <x:c r="W707" s="47" t="n">
        <x:v>0.3</x:v>
      </x:c>
      <x:c r="X707" s="54" t="str">
        <x:f>IF(ISNUMBER(V707),V707/(1-W707),"")</x:f>
      </x:c>
      <x:c r="Y707" s="55" t="str">
        <x:f>IF(ISNUMBER(X707),ROUNDUP(X707,0),"")</x:f>
      </x:c>
      <x:c r="Z707" t="str">
        <x:f>IF(ISNUMBER(T707),"Cost captured","Awaiting trade cost")</x:f>
        <x:v>Awaiting trade cost</x:v>
      </x:c>
      <x:c r="AB707" s="36" t="str">
        <x:f>IF(ISNUMBER(Y707),ROUND(Y707*0.9,2),"")</x:f>
      </x:c>
      <x:c r="AC707" s="36" t="str">
        <x:f>IF(ISNUMBER(AB707),ROUND(AB707-(AB707*0.015+0.2)-V707,2),"")</x:f>
      </x:c>
      <x:c r="AD707" s="36" t="str">
        <x:f>IF(ISNUMBER(Y707),ROUND(Y707*0.8,2),"")</x:f>
      </x:c>
      <x:c r="AE707" s="36" t="str">
        <x:f>IF(ISNUMBER(AD707),ROUND(AD707*0.015+0.2,2),"")</x:f>
      </x:c>
      <x:c r="AF707" s="36" t="str">
        <x:f>IF(ISNUMBER(AD707),ROUND(AD707-AE707-V707,2),"")</x:f>
      </x:c>
      <x:c r="AG707" t="str">
        <x:f>IF(NOT(ISNUMBER(T707)),"PENDING",IF(AF707&gt;0,"PASS","FAIL"))</x:f>
        <x:v>PENDING</x:v>
      </x:c>
      <x:c r="AH707" t="str">
        <x:f>IF(NOT(ISNUMBER(T707)),"Needs supplier cost",IF(K707&lt;&gt;"In stock","Supplier unavailable",IF(AG707&lt;&gt;"PASS","BLOCK - GT loss risk","Commercially protected")))</x:f>
        <x:v>Needs supplier cost</x:v>
      </x:c>
      <x:c r="AI707" t="str">
        <x:v>2026-09-10 Active Sports trade capture</x:v>
      </x:c>
      <x:c r="AJ707" t="str">
        <x:v>Management-only economics. Stripe stress test uses 1.5% + £0.20 standard UK online-card fee; pallet/mix-and-match pricing ignored.</x:v>
      </x:c>
    </x:row>
    <x:row r="708">
      <x:c r="A708" t="str">
        <x:v>Active Sports Nutrition</x:v>
      </x:c>
      <x:c r="B708" t="str">
        <x:v>C4</x:v>
      </x:c>
      <x:c r="C708" t="str">
        <x:v>Original Pre Workout</x:v>
      </x:c>
      <x:c r="D708" t="str">
        <x:v>Pre Workouts</x:v>
      </x:c>
      <x:c r="E708" t="str">
        <x:v>High Stim</x:v>
      </x:c>
      <x:c r="F708" t="str">
        <x:v>Original C4 pre-workout.</x:v>
      </x:c>
      <x:c r="G708" t="str">
        <x:v>30 servings</x:v>
      </x:c>
      <x:c r="H708" t="str">
        <x:v>Green Apple</x:v>
      </x:c>
      <x:c r="I708" t="str"/>
      <x:c r="J708" t="str">
        <x:v>Unit</x:v>
      </x:c>
      <x:c r="K708" t="str">
        <x:v>In stock</x:v>
      </x:c>
      <x:c r="L708" t="str">
        <x:v>2026-09-08</x:v>
      </x:c>
      <x:c r="M708" t="str"/>
      <x:c r="N708" t="str"/>
      <x:c r="O708" t="str">
        <x:v>https://www.activesportstrade.co.uk/trade-pre-workout-supplements</x:v>
      </x:c>
      <x:c r="P708" t="str">
        <x:v>Fresh September listing used; promo wording removed.</x:v>
      </x:c>
      <x:c r="Q708" t="str"/>
      <x:c r="R708" t="str"/>
      <x:c r="S708" t="str">
        <x:v>Pending genuine supplier/brand image</x:v>
      </x:c>
      <x:c r="T708" s="54"/>
      <x:c r="U708" s="47" t="n">
        <x:v>0.2</x:v>
      </x:c>
      <x:c r="V708" s="54" t="str">
        <x:f>IF(ISNUMBER(T708),T708*(1+U708),"")</x:f>
      </x:c>
      <x:c r="W708" s="47" t="n">
        <x:v>0.3</x:v>
      </x:c>
      <x:c r="X708" s="54" t="str">
        <x:f>IF(ISNUMBER(V708),V708/(1-W708),"")</x:f>
      </x:c>
      <x:c r="Y708" s="55" t="str">
        <x:f>IF(ISNUMBER(X708),ROUNDUP(X708,0),"")</x:f>
      </x:c>
      <x:c r="Z708" t="str">
        <x:f>IF(ISNUMBER(T708),"Cost captured","Awaiting trade cost")</x:f>
        <x:v>Awaiting trade cost</x:v>
      </x:c>
      <x:c r="AB708" s="36" t="str">
        <x:f>IF(ISNUMBER(Y708),ROUND(Y708*0.9,2),"")</x:f>
      </x:c>
      <x:c r="AC708" s="36" t="str">
        <x:f>IF(ISNUMBER(AB708),ROUND(AB708-(AB708*0.015+0.2)-V708,2),"")</x:f>
      </x:c>
      <x:c r="AD708" s="36" t="str">
        <x:f>IF(ISNUMBER(Y708),ROUND(Y708*0.8,2),"")</x:f>
      </x:c>
      <x:c r="AE708" s="36" t="str">
        <x:f>IF(ISNUMBER(AD708),ROUND(AD708*0.015+0.2,2),"")</x:f>
      </x:c>
      <x:c r="AF708" s="36" t="str">
        <x:f>IF(ISNUMBER(AD708),ROUND(AD708-AE708-V708,2),"")</x:f>
      </x:c>
      <x:c r="AG708" t="str">
        <x:f>IF(NOT(ISNUMBER(T708)),"PENDING",IF(AF708&gt;0,"PASS","FAIL"))</x:f>
        <x:v>PENDING</x:v>
      </x:c>
      <x:c r="AH708" t="str">
        <x:f>IF(NOT(ISNUMBER(T708)),"Needs supplier cost",IF(K708&lt;&gt;"In stock","Supplier unavailable",IF(AG708&lt;&gt;"PASS","BLOCK - GT loss risk","Commercially protected")))</x:f>
        <x:v>Needs supplier cost</x:v>
      </x:c>
      <x:c r="AI708" t="str">
        <x:v>2026-09-10 Active Sports trade capture</x:v>
      </x:c>
      <x:c r="AJ708" t="str">
        <x:v>Management-only economics. Stripe stress test uses 1.5% + £0.20 standard UK online-card fee; pallet/mix-and-match pricing ignored.</x:v>
      </x:c>
    </x:row>
    <x:row r="709">
      <x:c r="A709" t="str">
        <x:v>Active Sports Nutrition</x:v>
      </x:c>
      <x:c r="B709" t="str">
        <x:v>C4</x:v>
      </x:c>
      <x:c r="C709" t="str">
        <x:v>Original Pre Workout</x:v>
      </x:c>
      <x:c r="D709" t="str">
        <x:v>Pre Workouts</x:v>
      </x:c>
      <x:c r="E709" t="str">
        <x:v>High Stim</x:v>
      </x:c>
      <x:c r="F709" t="str">
        <x:v>Original C4 pre-workout.</x:v>
      </x:c>
      <x:c r="G709" t="str">
        <x:v>30 servings</x:v>
      </x:c>
      <x:c r="H709" t="str">
        <x:v>Icy Blue Razz</x:v>
      </x:c>
      <x:c r="I709" t="str"/>
      <x:c r="J709" t="str">
        <x:v>Unit</x:v>
      </x:c>
      <x:c r="K709" t="str">
        <x:v>In stock</x:v>
      </x:c>
      <x:c r="L709" t="str">
        <x:v>2026-09-08</x:v>
      </x:c>
      <x:c r="M709" t="str"/>
      <x:c r="N709" t="str"/>
      <x:c r="O709" t="str">
        <x:v>https://www.activesportstrade.co.uk/trade-pre-workout-supplements</x:v>
      </x:c>
      <x:c r="P709" t="str">
        <x:v>Fresh September listing used; promo wording removed.</x:v>
      </x:c>
      <x:c r="Q709" t="str"/>
      <x:c r="R709" t="str"/>
      <x:c r="S709" t="str">
        <x:v>Pending genuine supplier/brand image</x:v>
      </x:c>
      <x:c r="T709" s="54"/>
      <x:c r="U709" s="47" t="n">
        <x:v>0.2</x:v>
      </x:c>
      <x:c r="V709" s="54" t="str">
        <x:f>IF(ISNUMBER(T709),T709*(1+U709),"")</x:f>
      </x:c>
      <x:c r="W709" s="47" t="n">
        <x:v>0.3</x:v>
      </x:c>
      <x:c r="X709" s="54" t="str">
        <x:f>IF(ISNUMBER(V709),V709/(1-W709),"")</x:f>
      </x:c>
      <x:c r="Y709" s="55" t="str">
        <x:f>IF(ISNUMBER(X709),ROUNDUP(X709,0),"")</x:f>
      </x:c>
      <x:c r="Z709" t="str">
        <x:f>IF(ISNUMBER(T709),"Cost captured","Awaiting trade cost")</x:f>
        <x:v>Awaiting trade cost</x:v>
      </x:c>
      <x:c r="AB709" s="36" t="str">
        <x:f>IF(ISNUMBER(Y709),ROUND(Y709*0.9,2),"")</x:f>
      </x:c>
      <x:c r="AC709" s="36" t="str">
        <x:f>IF(ISNUMBER(AB709),ROUND(AB709-(AB709*0.015+0.2)-V709,2),"")</x:f>
      </x:c>
      <x:c r="AD709" s="36" t="str">
        <x:f>IF(ISNUMBER(Y709),ROUND(Y709*0.8,2),"")</x:f>
      </x:c>
      <x:c r="AE709" s="36" t="str">
        <x:f>IF(ISNUMBER(AD709),ROUND(AD709*0.015+0.2,2),"")</x:f>
      </x:c>
      <x:c r="AF709" s="36" t="str">
        <x:f>IF(ISNUMBER(AD709),ROUND(AD709-AE709-V709,2),"")</x:f>
      </x:c>
      <x:c r="AG709" t="str">
        <x:f>IF(NOT(ISNUMBER(T709)),"PENDING",IF(AF709&gt;0,"PASS","FAIL"))</x:f>
        <x:v>PENDING</x:v>
      </x:c>
      <x:c r="AH709" t="str">
        <x:f>IF(NOT(ISNUMBER(T709)),"Needs supplier cost",IF(K709&lt;&gt;"In stock","Supplier unavailable",IF(AG709&lt;&gt;"PASS","BLOCK - GT loss risk","Commercially protected")))</x:f>
        <x:v>Needs supplier cost</x:v>
      </x:c>
      <x:c r="AI709" t="str">
        <x:v>2026-09-10 Active Sports trade capture</x:v>
      </x:c>
      <x:c r="AJ709" t="str">
        <x:v>Management-only economics. Stripe stress test uses 1.5% + £0.20 standard UK online-card fee; pallet/mix-and-match pricing ignored.</x:v>
      </x:c>
    </x:row>
    <x:row r="710">
      <x:c r="A710" t="str">
        <x:v>Active Sports Nutrition</x:v>
      </x:c>
      <x:c r="B710" t="str">
        <x:v>C4</x:v>
      </x:c>
      <x:c r="C710" t="str">
        <x:v>Original Pre Workout</x:v>
      </x:c>
      <x:c r="D710" t="str">
        <x:v>Pre Workouts</x:v>
      </x:c>
      <x:c r="E710" t="str">
        <x:v>High Stim</x:v>
      </x:c>
      <x:c r="F710" t="str">
        <x:v>Original C4 pre-workout.</x:v>
      </x:c>
      <x:c r="G710" t="str">
        <x:v>30 servings</x:v>
      </x:c>
      <x:c r="H710" t="str">
        <x:v>Millions Bubblegum</x:v>
      </x:c>
      <x:c r="I710" t="str"/>
      <x:c r="J710" t="str">
        <x:v>Unit</x:v>
      </x:c>
      <x:c r="K710" t="str">
        <x:v>In stock</x:v>
      </x:c>
      <x:c r="L710" t="str">
        <x:v>2026-09-08</x:v>
      </x:c>
      <x:c r="M710" t="str"/>
      <x:c r="N710" t="str"/>
      <x:c r="O710" t="str">
        <x:v>https://www.activesportstrade.co.uk/trade-pre-workout-supplements</x:v>
      </x:c>
      <x:c r="P710" t="str">
        <x:v>Fresh September listing used; promo wording removed.</x:v>
      </x:c>
      <x:c r="Q710" t="str"/>
      <x:c r="R710" t="str"/>
      <x:c r="S710" t="str">
        <x:v>Pending genuine supplier/brand image</x:v>
      </x:c>
      <x:c r="T710" s="54"/>
      <x:c r="U710" s="47" t="n">
        <x:v>0.2</x:v>
      </x:c>
      <x:c r="V710" s="54" t="str">
        <x:f>IF(ISNUMBER(T710),T710*(1+U710),"")</x:f>
      </x:c>
      <x:c r="W710" s="47" t="n">
        <x:v>0.3</x:v>
      </x:c>
      <x:c r="X710" s="54" t="str">
        <x:f>IF(ISNUMBER(V710),V710/(1-W710),"")</x:f>
      </x:c>
      <x:c r="Y710" s="55" t="str">
        <x:f>IF(ISNUMBER(X710),ROUNDUP(X710,0),"")</x:f>
      </x:c>
      <x:c r="Z710" t="str">
        <x:f>IF(ISNUMBER(T710),"Cost captured","Awaiting trade cost")</x:f>
        <x:v>Awaiting trade cost</x:v>
      </x:c>
      <x:c r="AB710" s="36" t="str">
        <x:f>IF(ISNUMBER(Y710),ROUND(Y710*0.9,2),"")</x:f>
      </x:c>
      <x:c r="AC710" s="36" t="str">
        <x:f>IF(ISNUMBER(AB710),ROUND(AB710-(AB710*0.015+0.2)-V710,2),"")</x:f>
      </x:c>
      <x:c r="AD710" s="36" t="str">
        <x:f>IF(ISNUMBER(Y710),ROUND(Y710*0.8,2),"")</x:f>
      </x:c>
      <x:c r="AE710" s="36" t="str">
        <x:f>IF(ISNUMBER(AD710),ROUND(AD710*0.015+0.2,2),"")</x:f>
      </x:c>
      <x:c r="AF710" s="36" t="str">
        <x:f>IF(ISNUMBER(AD710),ROUND(AD710-AE710-V710,2),"")</x:f>
      </x:c>
      <x:c r="AG710" t="str">
        <x:f>IF(NOT(ISNUMBER(T710)),"PENDING",IF(AF710&gt;0,"PASS","FAIL"))</x:f>
        <x:v>PENDING</x:v>
      </x:c>
      <x:c r="AH710" t="str">
        <x:f>IF(NOT(ISNUMBER(T710)),"Needs supplier cost",IF(K710&lt;&gt;"In stock","Supplier unavailable",IF(AG710&lt;&gt;"PASS","BLOCK - GT loss risk","Commercially protected")))</x:f>
        <x:v>Needs supplier cost</x:v>
      </x:c>
      <x:c r="AI710" t="str">
        <x:v>2026-09-10 Active Sports trade capture</x:v>
      </x:c>
      <x:c r="AJ710" t="str">
        <x:v>Management-only economics. Stripe stress test uses 1.5% + £0.20 standard UK online-card fee; pallet/mix-and-match pricing ignored.</x:v>
      </x:c>
    </x:row>
    <x:row r="711">
      <x:c r="A711" t="str">
        <x:v>Active Sports Nutrition</x:v>
      </x:c>
      <x:c r="B711" t="str">
        <x:v>C4</x:v>
      </x:c>
      <x:c r="C711" t="str">
        <x:v>Original Pre Workout</x:v>
      </x:c>
      <x:c r="D711" t="str">
        <x:v>Pre Workouts</x:v>
      </x:c>
      <x:c r="E711" t="str">
        <x:v>High Stim</x:v>
      </x:c>
      <x:c r="F711" t="str">
        <x:v>Original C4 pre-workout.</x:v>
      </x:c>
      <x:c r="G711" t="str">
        <x:v>30 servings</x:v>
      </x:c>
      <x:c r="H711" t="str">
        <x:v>Millions Cola</x:v>
      </x:c>
      <x:c r="I711" t="str"/>
      <x:c r="J711" t="str">
        <x:v>Unit</x:v>
      </x:c>
      <x:c r="K711" t="str">
        <x:v>In stock</x:v>
      </x:c>
      <x:c r="L711" t="str">
        <x:v>2026-09-08</x:v>
      </x:c>
      <x:c r="M711" t="str"/>
      <x:c r="N711" t="str"/>
      <x:c r="O711" t="str">
        <x:v>https://www.activesportstrade.co.uk/trade-pre-workout-supplements</x:v>
      </x:c>
      <x:c r="P711" t="str">
        <x:v>Fresh September listing used; promo wording removed.</x:v>
      </x:c>
      <x:c r="Q711" t="str"/>
      <x:c r="R711" t="str"/>
      <x:c r="S711" t="str">
        <x:v>Pending genuine supplier/brand image</x:v>
      </x:c>
      <x:c r="T711" s="54"/>
      <x:c r="U711" s="47" t="n">
        <x:v>0.2</x:v>
      </x:c>
      <x:c r="V711" s="54" t="str">
        <x:f>IF(ISNUMBER(T711),T711*(1+U711),"")</x:f>
      </x:c>
      <x:c r="W711" s="47" t="n">
        <x:v>0.3</x:v>
      </x:c>
      <x:c r="X711" s="54" t="str">
        <x:f>IF(ISNUMBER(V711),V711/(1-W711),"")</x:f>
      </x:c>
      <x:c r="Y711" s="55" t="str">
        <x:f>IF(ISNUMBER(X711),ROUNDUP(X711,0),"")</x:f>
      </x:c>
      <x:c r="Z711" t="str">
        <x:f>IF(ISNUMBER(T711),"Cost captured","Awaiting trade cost")</x:f>
        <x:v>Awaiting trade cost</x:v>
      </x:c>
      <x:c r="AB711" s="36" t="str">
        <x:f>IF(ISNUMBER(Y711),ROUND(Y711*0.9,2),"")</x:f>
      </x:c>
      <x:c r="AC711" s="36" t="str">
        <x:f>IF(ISNUMBER(AB711),ROUND(AB711-(AB711*0.015+0.2)-V711,2),"")</x:f>
      </x:c>
      <x:c r="AD711" s="36" t="str">
        <x:f>IF(ISNUMBER(Y711),ROUND(Y711*0.8,2),"")</x:f>
      </x:c>
      <x:c r="AE711" s="36" t="str">
        <x:f>IF(ISNUMBER(AD711),ROUND(AD711*0.015+0.2,2),"")</x:f>
      </x:c>
      <x:c r="AF711" s="36" t="str">
        <x:f>IF(ISNUMBER(AD711),ROUND(AD711-AE711-V711,2),"")</x:f>
      </x:c>
      <x:c r="AG711" t="str">
        <x:f>IF(NOT(ISNUMBER(T711)),"PENDING",IF(AF711&gt;0,"PASS","FAIL"))</x:f>
        <x:v>PENDING</x:v>
      </x:c>
      <x:c r="AH711" t="str">
        <x:f>IF(NOT(ISNUMBER(T711)),"Needs supplier cost",IF(K711&lt;&gt;"In stock","Supplier unavailable",IF(AG711&lt;&gt;"PASS","BLOCK - GT loss risk","Commercially protected")))</x:f>
        <x:v>Needs supplier cost</x:v>
      </x:c>
      <x:c r="AI711" t="str">
        <x:v>2026-09-10 Active Sports trade capture</x:v>
      </x:c>
      <x:c r="AJ711" t="str">
        <x:v>Management-only economics. Stripe stress test uses 1.5% + £0.20 standard UK online-card fee; pallet/mix-and-match pricing ignored.</x:v>
      </x:c>
    </x:row>
    <x:row r="712">
      <x:c r="A712" t="str">
        <x:v>Active Sports Nutrition</x:v>
      </x:c>
      <x:c r="B712" t="str">
        <x:v>C4</x:v>
      </x:c>
      <x:c r="C712" t="str">
        <x:v>Original Pre Workout</x:v>
      </x:c>
      <x:c r="D712" t="str">
        <x:v>Pre Workouts</x:v>
      </x:c>
      <x:c r="E712" t="str">
        <x:v>High Stim</x:v>
      </x:c>
      <x:c r="F712" t="str">
        <x:v>Original C4 pre-workout.</x:v>
      </x:c>
      <x:c r="G712" t="str">
        <x:v>30 servings</x:v>
      </x:c>
      <x:c r="H712" t="str">
        <x:v>Orange</x:v>
      </x:c>
      <x:c r="I712" t="str"/>
      <x:c r="J712" t="str">
        <x:v>Unit</x:v>
      </x:c>
      <x:c r="K712" t="str">
        <x:v>In stock</x:v>
      </x:c>
      <x:c r="L712" t="str">
        <x:v>2026-09-08</x:v>
      </x:c>
      <x:c r="M712" t="str"/>
      <x:c r="N712" t="str"/>
      <x:c r="O712" t="str">
        <x:v>https://www.activesportstrade.co.uk/trade-pre-workout-supplements</x:v>
      </x:c>
      <x:c r="P712" t="str">
        <x:v>Fresh September listing used; promo wording removed.</x:v>
      </x:c>
      <x:c r="Q712" t="str"/>
      <x:c r="R712" t="str"/>
      <x:c r="S712" t="str">
        <x:v>Pending genuine supplier/brand image</x:v>
      </x:c>
      <x:c r="T712" s="54"/>
      <x:c r="U712" s="47" t="n">
        <x:v>0.2</x:v>
      </x:c>
      <x:c r="V712" s="54" t="str">
        <x:f>IF(ISNUMBER(T712),T712*(1+U712),"")</x:f>
      </x:c>
      <x:c r="W712" s="47" t="n">
        <x:v>0.3</x:v>
      </x:c>
      <x:c r="X712" s="54" t="str">
        <x:f>IF(ISNUMBER(V712),V712/(1-W712),"")</x:f>
      </x:c>
      <x:c r="Y712" s="55" t="str">
        <x:f>IF(ISNUMBER(X712),ROUNDUP(X712,0),"")</x:f>
      </x:c>
      <x:c r="Z712" t="str">
        <x:f>IF(ISNUMBER(T712),"Cost captured","Awaiting trade cost")</x:f>
        <x:v>Awaiting trade cost</x:v>
      </x:c>
      <x:c r="AB712" s="36" t="str">
        <x:f>IF(ISNUMBER(Y712),ROUND(Y712*0.9,2),"")</x:f>
      </x:c>
      <x:c r="AC712" s="36" t="str">
        <x:f>IF(ISNUMBER(AB712),ROUND(AB712-(AB712*0.015+0.2)-V712,2),"")</x:f>
      </x:c>
      <x:c r="AD712" s="36" t="str">
        <x:f>IF(ISNUMBER(Y712),ROUND(Y712*0.8,2),"")</x:f>
      </x:c>
      <x:c r="AE712" s="36" t="str">
        <x:f>IF(ISNUMBER(AD712),ROUND(AD712*0.015+0.2,2),"")</x:f>
      </x:c>
      <x:c r="AF712" s="36" t="str">
        <x:f>IF(ISNUMBER(AD712),ROUND(AD712-AE712-V712,2),"")</x:f>
      </x:c>
      <x:c r="AG712" t="str">
        <x:f>IF(NOT(ISNUMBER(T712)),"PENDING",IF(AF712&gt;0,"PASS","FAIL"))</x:f>
        <x:v>PENDING</x:v>
      </x:c>
      <x:c r="AH712" t="str">
        <x:f>IF(NOT(ISNUMBER(T712)),"Needs supplier cost",IF(K712&lt;&gt;"In stock","Supplier unavailable",IF(AG712&lt;&gt;"PASS","BLOCK - GT loss risk","Commercially protected")))</x:f>
        <x:v>Needs supplier cost</x:v>
      </x:c>
      <x:c r="AI712" t="str">
        <x:v>2026-09-10 Active Sports trade capture</x:v>
      </x:c>
      <x:c r="AJ712" t="str">
        <x:v>Management-only economics. Stripe stress test uses 1.5% + £0.20 standard UK online-card fee; pallet/mix-and-match pricing ignored.</x:v>
      </x:c>
    </x:row>
    <x:row r="713">
      <x:c r="A713" t="str">
        <x:v>Active Sports Nutrition</x:v>
      </x:c>
      <x:c r="B713" t="str">
        <x:v>C4</x:v>
      </x:c>
      <x:c r="C713" t="str">
        <x:v>Original Pre Workout</x:v>
      </x:c>
      <x:c r="D713" t="str">
        <x:v>Pre Workouts</x:v>
      </x:c>
      <x:c r="E713" t="str">
        <x:v>High Stim</x:v>
      </x:c>
      <x:c r="F713" t="str">
        <x:v>Original C4 pre-workout.</x:v>
      </x:c>
      <x:c r="G713" t="str">
        <x:v>30 servings</x:v>
      </x:c>
      <x:c r="H713" t="str">
        <x:v>Pineapple Head</x:v>
      </x:c>
      <x:c r="I713" t="str"/>
      <x:c r="J713" t="str">
        <x:v>Unit</x:v>
      </x:c>
      <x:c r="K713" t="str">
        <x:v>In stock</x:v>
      </x:c>
      <x:c r="L713" t="str">
        <x:v>2026-09-08</x:v>
      </x:c>
      <x:c r="M713" t="str"/>
      <x:c r="N713" t="str"/>
      <x:c r="O713" t="str">
        <x:v>https://www.activesportstrade.co.uk/trade-pre-workout-supplements</x:v>
      </x:c>
      <x:c r="P713" t="str">
        <x:v>Fresh September listing used; promo wording removed.</x:v>
      </x:c>
      <x:c r="Q713" t="str"/>
      <x:c r="R713" t="str"/>
      <x:c r="S713" t="str">
        <x:v>Pending genuine supplier/brand image</x:v>
      </x:c>
      <x:c r="T713" s="54"/>
      <x:c r="U713" s="47" t="n">
        <x:v>0.2</x:v>
      </x:c>
      <x:c r="V713" s="54" t="str">
        <x:f>IF(ISNUMBER(T713),T713*(1+U713),"")</x:f>
      </x:c>
      <x:c r="W713" s="47" t="n">
        <x:v>0.3</x:v>
      </x:c>
      <x:c r="X713" s="54" t="str">
        <x:f>IF(ISNUMBER(V713),V713/(1-W713),"")</x:f>
      </x:c>
      <x:c r="Y713" s="55" t="str">
        <x:f>IF(ISNUMBER(X713),ROUNDUP(X713,0),"")</x:f>
      </x:c>
      <x:c r="Z713" t="str">
        <x:f>IF(ISNUMBER(T713),"Cost captured","Awaiting trade cost")</x:f>
        <x:v>Awaiting trade cost</x:v>
      </x:c>
      <x:c r="AB713" s="36" t="str">
        <x:f>IF(ISNUMBER(Y713),ROUND(Y713*0.9,2),"")</x:f>
      </x:c>
      <x:c r="AC713" s="36" t="str">
        <x:f>IF(ISNUMBER(AB713),ROUND(AB713-(AB713*0.015+0.2)-V713,2),"")</x:f>
      </x:c>
      <x:c r="AD713" s="36" t="str">
        <x:f>IF(ISNUMBER(Y713),ROUND(Y713*0.8,2),"")</x:f>
      </x:c>
      <x:c r="AE713" s="36" t="str">
        <x:f>IF(ISNUMBER(AD713),ROUND(AD713*0.015+0.2,2),"")</x:f>
      </x:c>
      <x:c r="AF713" s="36" t="str">
        <x:f>IF(ISNUMBER(AD713),ROUND(AD713-AE713-V713,2),"")</x:f>
      </x:c>
      <x:c r="AG713" t="str">
        <x:f>IF(NOT(ISNUMBER(T713)),"PENDING",IF(AF713&gt;0,"PASS","FAIL"))</x:f>
        <x:v>PENDING</x:v>
      </x:c>
      <x:c r="AH713" t="str">
        <x:f>IF(NOT(ISNUMBER(T713)),"Needs supplier cost",IF(K713&lt;&gt;"In stock","Supplier unavailable",IF(AG713&lt;&gt;"PASS","BLOCK - GT loss risk","Commercially protected")))</x:f>
        <x:v>Needs supplier cost</x:v>
      </x:c>
      <x:c r="AI713" t="str">
        <x:v>2026-09-10 Active Sports trade capture</x:v>
      </x:c>
      <x:c r="AJ713" t="str">
        <x:v>Management-only economics. Stripe stress test uses 1.5% + £0.20 standard UK online-card fee; pallet/mix-and-match pricing ignored.</x:v>
      </x:c>
    </x:row>
    <x:row r="714">
      <x:c r="A714" t="str">
        <x:v>Active Sports Nutrition</x:v>
      </x:c>
      <x:c r="B714" t="str">
        <x:v>C4</x:v>
      </x:c>
      <x:c r="C714" t="str">
        <x:v>Original Pre Workout</x:v>
      </x:c>
      <x:c r="D714" t="str">
        <x:v>Pre Workouts</x:v>
      </x:c>
      <x:c r="E714" t="str">
        <x:v>High Stim</x:v>
      </x:c>
      <x:c r="F714" t="str">
        <x:v>Original C4 pre-workout.</x:v>
      </x:c>
      <x:c r="G714" t="str">
        <x:v>30 servings</x:v>
      </x:c>
      <x:c r="H714" t="str">
        <x:v>Pink Lemonade</x:v>
      </x:c>
      <x:c r="I714" t="str"/>
      <x:c r="J714" t="str">
        <x:v>Unit</x:v>
      </x:c>
      <x:c r="K714" t="str">
        <x:v>In stock</x:v>
      </x:c>
      <x:c r="L714" t="str">
        <x:v>2026-09-08</x:v>
      </x:c>
      <x:c r="M714" t="str"/>
      <x:c r="N714" t="str"/>
      <x:c r="O714" t="str">
        <x:v>https://www.activesportstrade.co.uk/trade-pre-workout-supplements</x:v>
      </x:c>
      <x:c r="P714" t="str">
        <x:v>Fresh September listing used; promo wording removed.</x:v>
      </x:c>
      <x:c r="Q714" t="str"/>
      <x:c r="R714" t="str"/>
      <x:c r="S714" t="str">
        <x:v>Pending genuine supplier/brand image</x:v>
      </x:c>
      <x:c r="T714" s="54"/>
      <x:c r="U714" s="47" t="n">
        <x:v>0.2</x:v>
      </x:c>
      <x:c r="V714" s="54" t="str">
        <x:f>IF(ISNUMBER(T714),T714*(1+U714),"")</x:f>
      </x:c>
      <x:c r="W714" s="47" t="n">
        <x:v>0.3</x:v>
      </x:c>
      <x:c r="X714" s="54" t="str">
        <x:f>IF(ISNUMBER(V714),V714/(1-W714),"")</x:f>
      </x:c>
      <x:c r="Y714" s="55" t="str">
        <x:f>IF(ISNUMBER(X714),ROUNDUP(X714,0),"")</x:f>
      </x:c>
      <x:c r="Z714" t="str">
        <x:f>IF(ISNUMBER(T714),"Cost captured","Awaiting trade cost")</x:f>
        <x:v>Awaiting trade cost</x:v>
      </x:c>
      <x:c r="AB714" s="36" t="str">
        <x:f>IF(ISNUMBER(Y714),ROUND(Y714*0.9,2),"")</x:f>
      </x:c>
      <x:c r="AC714" s="36" t="str">
        <x:f>IF(ISNUMBER(AB714),ROUND(AB714-(AB714*0.015+0.2)-V714,2),"")</x:f>
      </x:c>
      <x:c r="AD714" s="36" t="str">
        <x:f>IF(ISNUMBER(Y714),ROUND(Y714*0.8,2),"")</x:f>
      </x:c>
      <x:c r="AE714" s="36" t="str">
        <x:f>IF(ISNUMBER(AD714),ROUND(AD714*0.015+0.2,2),"")</x:f>
      </x:c>
      <x:c r="AF714" s="36" t="str">
        <x:f>IF(ISNUMBER(AD714),ROUND(AD714-AE714-V714,2),"")</x:f>
      </x:c>
      <x:c r="AG714" t="str">
        <x:f>IF(NOT(ISNUMBER(T714)),"PENDING",IF(AF714&gt;0,"PASS","FAIL"))</x:f>
        <x:v>PENDING</x:v>
      </x:c>
      <x:c r="AH714" t="str">
        <x:f>IF(NOT(ISNUMBER(T714)),"Needs supplier cost",IF(K714&lt;&gt;"In stock","Supplier unavailable",IF(AG714&lt;&gt;"PASS","BLOCK - GT loss risk","Commercially protected")))</x:f>
        <x:v>Needs supplier cost</x:v>
      </x:c>
      <x:c r="AI714" t="str">
        <x:v>2026-09-10 Active Sports trade capture</x:v>
      </x:c>
      <x:c r="AJ714" t="str">
        <x:v>Management-only economics. Stripe stress test uses 1.5% + £0.20 standard UK online-card fee; pallet/mix-and-match pricing ignored.</x:v>
      </x:c>
    </x:row>
    <x:row r="715">
      <x:c r="A715" t="str">
        <x:v>Active Sports Nutrition</x:v>
      </x:c>
      <x:c r="B715" t="str">
        <x:v>C4</x:v>
      </x:c>
      <x:c r="C715" t="str">
        <x:v>Original Pre Workout</x:v>
      </x:c>
      <x:c r="D715" t="str">
        <x:v>Pre Workouts</x:v>
      </x:c>
      <x:c r="E715" t="str">
        <x:v>High Stim</x:v>
      </x:c>
      <x:c r="F715" t="str">
        <x:v>Original C4 pre-workout.</x:v>
      </x:c>
      <x:c r="G715" t="str">
        <x:v>30 servings</x:v>
      </x:c>
      <x:c r="H715" t="str">
        <x:v>Strawberry Margarita</x:v>
      </x:c>
      <x:c r="I715" t="str"/>
      <x:c r="J715" t="str">
        <x:v>Unit</x:v>
      </x:c>
      <x:c r="K715" t="str">
        <x:v>In stock</x:v>
      </x:c>
      <x:c r="L715" t="str">
        <x:v>2026-09-08</x:v>
      </x:c>
      <x:c r="M715" t="str"/>
      <x:c r="N715" t="str"/>
      <x:c r="O715" t="str">
        <x:v>https://www.activesportstrade.co.uk/trade-pre-workout-supplements</x:v>
      </x:c>
      <x:c r="P715" t="str">
        <x:v>Fresh September listing used; promo wording removed.</x:v>
      </x:c>
      <x:c r="Q715" t="str"/>
      <x:c r="R715" t="str"/>
      <x:c r="S715" t="str">
        <x:v>Pending genuine supplier/brand image</x:v>
      </x:c>
      <x:c r="T715" s="54"/>
      <x:c r="U715" s="47" t="n">
        <x:v>0.2</x:v>
      </x:c>
      <x:c r="V715" s="54" t="str">
        <x:f>IF(ISNUMBER(T715),T715*(1+U715),"")</x:f>
      </x:c>
      <x:c r="W715" s="47" t="n">
        <x:v>0.3</x:v>
      </x:c>
      <x:c r="X715" s="54" t="str">
        <x:f>IF(ISNUMBER(V715),V715/(1-W715),"")</x:f>
      </x:c>
      <x:c r="Y715" s="55" t="str">
        <x:f>IF(ISNUMBER(X715),ROUNDUP(X715,0),"")</x:f>
      </x:c>
      <x:c r="Z715" t="str">
        <x:f>IF(ISNUMBER(T715),"Cost captured","Awaiting trade cost")</x:f>
        <x:v>Awaiting trade cost</x:v>
      </x:c>
      <x:c r="AB715" s="36" t="str">
        <x:f>IF(ISNUMBER(Y715),ROUND(Y715*0.9,2),"")</x:f>
      </x:c>
      <x:c r="AC715" s="36" t="str">
        <x:f>IF(ISNUMBER(AB715),ROUND(AB715-(AB715*0.015+0.2)-V715,2),"")</x:f>
      </x:c>
      <x:c r="AD715" s="36" t="str">
        <x:f>IF(ISNUMBER(Y715),ROUND(Y715*0.8,2),"")</x:f>
      </x:c>
      <x:c r="AE715" s="36" t="str">
        <x:f>IF(ISNUMBER(AD715),ROUND(AD715*0.015+0.2,2),"")</x:f>
      </x:c>
      <x:c r="AF715" s="36" t="str">
        <x:f>IF(ISNUMBER(AD715),ROUND(AD715-AE715-V715,2),"")</x:f>
      </x:c>
      <x:c r="AG715" t="str">
        <x:f>IF(NOT(ISNUMBER(T715)),"PENDING",IF(AF715&gt;0,"PASS","FAIL"))</x:f>
        <x:v>PENDING</x:v>
      </x:c>
      <x:c r="AH715" t="str">
        <x:f>IF(NOT(ISNUMBER(T715)),"Needs supplier cost",IF(K715&lt;&gt;"In stock","Supplier unavailable",IF(AG715&lt;&gt;"PASS","BLOCK - GT loss risk","Commercially protected")))</x:f>
        <x:v>Needs supplier cost</x:v>
      </x:c>
      <x:c r="AI715" t="str">
        <x:v>2026-09-10 Active Sports trade capture</x:v>
      </x:c>
      <x:c r="AJ715" t="str">
        <x:v>Management-only economics. Stripe stress test uses 1.5% + £0.20 standard UK online-card fee; pallet/mix-and-match pricing ignored.</x:v>
      </x:c>
    </x:row>
    <x:row r="716">
      <x:c r="A716" t="str">
        <x:v>Active Sports Nutrition</x:v>
      </x:c>
      <x:c r="B716" t="str">
        <x:v>C4</x:v>
      </x:c>
      <x:c r="C716" t="str">
        <x:v>Original Pre Workout</x:v>
      </x:c>
      <x:c r="D716" t="str">
        <x:v>Pre Workouts</x:v>
      </x:c>
      <x:c r="E716" t="str">
        <x:v>High Stim</x:v>
      </x:c>
      <x:c r="F716" t="str">
        <x:v>Original C4 pre-workout.</x:v>
      </x:c>
      <x:c r="G716" t="str">
        <x:v>30 servings</x:v>
      </x:c>
      <x:c r="H716" t="str">
        <x:v>Watermelon</x:v>
      </x:c>
      <x:c r="I716" t="str"/>
      <x:c r="J716" t="str">
        <x:v>Unit</x:v>
      </x:c>
      <x:c r="K716" t="str">
        <x:v>In stock</x:v>
      </x:c>
      <x:c r="L716" t="str">
        <x:v>2026-09-08</x:v>
      </x:c>
      <x:c r="M716" t="str"/>
      <x:c r="N716" t="str"/>
      <x:c r="O716" t="str">
        <x:v>https://www.activesportstrade.co.uk/trade-pre-workout-supplements</x:v>
      </x:c>
      <x:c r="P716" t="str">
        <x:v>Fresh September listing used; promo wording removed.</x:v>
      </x:c>
      <x:c r="Q716" t="str"/>
      <x:c r="R716" t="str"/>
      <x:c r="S716" t="str">
        <x:v>Pending genuine supplier/brand image</x:v>
      </x:c>
      <x:c r="T716" s="54"/>
      <x:c r="U716" s="47" t="n">
        <x:v>0.2</x:v>
      </x:c>
      <x:c r="V716" s="54" t="str">
        <x:f>IF(ISNUMBER(T716),T716*(1+U716),"")</x:f>
      </x:c>
      <x:c r="W716" s="47" t="n">
        <x:v>0.3</x:v>
      </x:c>
      <x:c r="X716" s="54" t="str">
        <x:f>IF(ISNUMBER(V716),V716/(1-W716),"")</x:f>
      </x:c>
      <x:c r="Y716" s="55" t="str">
        <x:f>IF(ISNUMBER(X716),ROUNDUP(X716,0),"")</x:f>
      </x:c>
      <x:c r="Z716" t="str">
        <x:f>IF(ISNUMBER(T716),"Cost captured","Awaiting trade cost")</x:f>
        <x:v>Awaiting trade cost</x:v>
      </x:c>
      <x:c r="AB716" s="36" t="str">
        <x:f>IF(ISNUMBER(Y716),ROUND(Y716*0.9,2),"")</x:f>
      </x:c>
      <x:c r="AC716" s="36" t="str">
        <x:f>IF(ISNUMBER(AB716),ROUND(AB716-(AB716*0.015+0.2)-V716,2),"")</x:f>
      </x:c>
      <x:c r="AD716" s="36" t="str">
        <x:f>IF(ISNUMBER(Y716),ROUND(Y716*0.8,2),"")</x:f>
      </x:c>
      <x:c r="AE716" s="36" t="str">
        <x:f>IF(ISNUMBER(AD716),ROUND(AD716*0.015+0.2,2),"")</x:f>
      </x:c>
      <x:c r="AF716" s="36" t="str">
        <x:f>IF(ISNUMBER(AD716),ROUND(AD716-AE716-V716,2),"")</x:f>
      </x:c>
      <x:c r="AG716" t="str">
        <x:f>IF(NOT(ISNUMBER(T716)),"PENDING",IF(AF716&gt;0,"PASS","FAIL"))</x:f>
        <x:v>PENDING</x:v>
      </x:c>
      <x:c r="AH716" t="str">
        <x:f>IF(NOT(ISNUMBER(T716)),"Needs supplier cost",IF(K716&lt;&gt;"In stock","Supplier unavailable",IF(AG716&lt;&gt;"PASS","BLOCK - GT loss risk","Commercially protected")))</x:f>
        <x:v>Needs supplier cost</x:v>
      </x:c>
      <x:c r="AI716" t="str">
        <x:v>2026-09-10 Active Sports trade capture</x:v>
      </x:c>
      <x:c r="AJ716" t="str">
        <x:v>Management-only economics. Stripe stress test uses 1.5% + £0.20 standard UK online-card fee; pallet/mix-and-match pricing ignored.</x:v>
      </x:c>
    </x:row>
    <x:row r="717">
      <x:c r="A717" t="str">
        <x:v>Active Sports Nutrition</x:v>
      </x:c>
      <x:c r="B717" t="str">
        <x:v>C4</x:v>
      </x:c>
      <x:c r="C717" t="str">
        <x:v>Original Pre Workout</x:v>
      </x:c>
      <x:c r="D717" t="str">
        <x:v>Pre Workouts</x:v>
      </x:c>
      <x:c r="E717" t="str">
        <x:v>High Stim</x:v>
      </x:c>
      <x:c r="F717" t="str">
        <x:v>Original C4 pre-workout.</x:v>
      </x:c>
      <x:c r="G717" t="str">
        <x:v>60 servings</x:v>
      </x:c>
      <x:c r="H717" t="str">
        <x:v>Cosmic Rainbow</x:v>
      </x:c>
      <x:c r="I717" t="str"/>
      <x:c r="J717" t="str">
        <x:v>Unit</x:v>
      </x:c>
      <x:c r="K717" t="str">
        <x:v>In stock</x:v>
      </x:c>
      <x:c r="L717" t="str">
        <x:v>2026-09-08</x:v>
      </x:c>
      <x:c r="M717" t="str"/>
      <x:c r="N717" t="str"/>
      <x:c r="O717" t="str">
        <x:v>https://www.activesportstrade.co.uk/trade-pre-workout-supplements</x:v>
      </x:c>
      <x:c r="P717" t="str">
        <x:v>Fresh September listing used; older pages disagreed on some stock states.</x:v>
      </x:c>
      <x:c r="Q717" t="str"/>
      <x:c r="R717" t="str"/>
      <x:c r="S717" t="str">
        <x:v>Pending genuine supplier/brand image</x:v>
      </x:c>
      <x:c r="T717" s="54"/>
      <x:c r="U717" s="47" t="n">
        <x:v>0.2</x:v>
      </x:c>
      <x:c r="V717" s="54" t="str">
        <x:f>IF(ISNUMBER(T717),T717*(1+U717),"")</x:f>
      </x:c>
      <x:c r="W717" s="47" t="n">
        <x:v>0.3</x:v>
      </x:c>
      <x:c r="X717" s="54" t="str">
        <x:f>IF(ISNUMBER(V717),V717/(1-W717),"")</x:f>
      </x:c>
      <x:c r="Y717" s="55" t="str">
        <x:f>IF(ISNUMBER(X717),ROUNDUP(X717,0),"")</x:f>
      </x:c>
      <x:c r="Z717" t="str">
        <x:f>IF(ISNUMBER(T717),"Cost captured","Awaiting trade cost")</x:f>
        <x:v>Awaiting trade cost</x:v>
      </x:c>
      <x:c r="AB717" s="36" t="str">
        <x:f>IF(ISNUMBER(Y717),ROUND(Y717*0.9,2),"")</x:f>
      </x:c>
      <x:c r="AC717" s="36" t="str">
        <x:f>IF(ISNUMBER(AB717),ROUND(AB717-(AB717*0.015+0.2)-V717,2),"")</x:f>
      </x:c>
      <x:c r="AD717" s="36" t="str">
        <x:f>IF(ISNUMBER(Y717),ROUND(Y717*0.8,2),"")</x:f>
      </x:c>
      <x:c r="AE717" s="36" t="str">
        <x:f>IF(ISNUMBER(AD717),ROUND(AD717*0.015+0.2,2),"")</x:f>
      </x:c>
      <x:c r="AF717" s="36" t="str">
        <x:f>IF(ISNUMBER(AD717),ROUND(AD717-AE717-V717,2),"")</x:f>
      </x:c>
      <x:c r="AG717" t="str">
        <x:f>IF(NOT(ISNUMBER(T717)),"PENDING",IF(AF717&gt;0,"PASS","FAIL"))</x:f>
        <x:v>PENDING</x:v>
      </x:c>
      <x:c r="AH717" t="str">
        <x:f>IF(NOT(ISNUMBER(T717)),"Needs supplier cost",IF(K717&lt;&gt;"In stock","Supplier unavailable",IF(AG717&lt;&gt;"PASS","BLOCK - GT loss risk","Commercially protected")))</x:f>
        <x:v>Needs supplier cost</x:v>
      </x:c>
      <x:c r="AI717" t="str">
        <x:v>2026-09-10 Active Sports trade capture</x:v>
      </x:c>
      <x:c r="AJ717" t="str">
        <x:v>Management-only economics. Stripe stress test uses 1.5% + £0.20 standard UK online-card fee; pallet/mix-and-match pricing ignored.</x:v>
      </x:c>
    </x:row>
    <x:row r="718">
      <x:c r="A718" t="str">
        <x:v>Active Sports Nutrition</x:v>
      </x:c>
      <x:c r="B718" t="str">
        <x:v>C4</x:v>
      </x:c>
      <x:c r="C718" t="str">
        <x:v>Original Pre Workout</x:v>
      </x:c>
      <x:c r="D718" t="str">
        <x:v>Pre Workouts</x:v>
      </x:c>
      <x:c r="E718" t="str">
        <x:v>High Stim</x:v>
      </x:c>
      <x:c r="F718" t="str">
        <x:v>Original C4 pre-workout.</x:v>
      </x:c>
      <x:c r="G718" t="str">
        <x:v>60 servings</x:v>
      </x:c>
      <x:c r="H718" t="str">
        <x:v>Frozen Bombsicle</x:v>
      </x:c>
      <x:c r="I718" t="str"/>
      <x:c r="J718" t="str">
        <x:v>Unit</x:v>
      </x:c>
      <x:c r="K718" t="str">
        <x:v>In stock</x:v>
      </x:c>
      <x:c r="L718" t="str">
        <x:v>2026-09-08</x:v>
      </x:c>
      <x:c r="M718" t="str"/>
      <x:c r="N718" t="str"/>
      <x:c r="O718" t="str">
        <x:v>https://www.activesportstrade.co.uk/trade-pre-workout-supplements</x:v>
      </x:c>
      <x:c r="P718" t="str">
        <x:v>Fresh September listing used; older pages disagreed on some stock states.</x:v>
      </x:c>
      <x:c r="Q718" t="str"/>
      <x:c r="R718" t="str"/>
      <x:c r="S718" t="str">
        <x:v>Pending genuine supplier/brand image</x:v>
      </x:c>
      <x:c r="T718" s="54"/>
      <x:c r="U718" s="47" t="n">
        <x:v>0.2</x:v>
      </x:c>
      <x:c r="V718" s="54" t="str">
        <x:f>IF(ISNUMBER(T718),T718*(1+U718),"")</x:f>
      </x:c>
      <x:c r="W718" s="47" t="n">
        <x:v>0.3</x:v>
      </x:c>
      <x:c r="X718" s="54" t="str">
        <x:f>IF(ISNUMBER(V718),V718/(1-W718),"")</x:f>
      </x:c>
      <x:c r="Y718" s="55" t="str">
        <x:f>IF(ISNUMBER(X718),ROUNDUP(X718,0),"")</x:f>
      </x:c>
      <x:c r="Z718" t="str">
        <x:f>IF(ISNUMBER(T718),"Cost captured","Awaiting trade cost")</x:f>
        <x:v>Awaiting trade cost</x:v>
      </x:c>
      <x:c r="AB718" s="36" t="str">
        <x:f>IF(ISNUMBER(Y718),ROUND(Y718*0.9,2),"")</x:f>
      </x:c>
      <x:c r="AC718" s="36" t="str">
        <x:f>IF(ISNUMBER(AB718),ROUND(AB718-(AB718*0.015+0.2)-V718,2),"")</x:f>
      </x:c>
      <x:c r="AD718" s="36" t="str">
        <x:f>IF(ISNUMBER(Y718),ROUND(Y718*0.8,2),"")</x:f>
      </x:c>
      <x:c r="AE718" s="36" t="str">
        <x:f>IF(ISNUMBER(AD718),ROUND(AD718*0.015+0.2,2),"")</x:f>
      </x:c>
      <x:c r="AF718" s="36" t="str">
        <x:f>IF(ISNUMBER(AD718),ROUND(AD718-AE718-V718,2),"")</x:f>
      </x:c>
      <x:c r="AG718" t="str">
        <x:f>IF(NOT(ISNUMBER(T718)),"PENDING",IF(AF718&gt;0,"PASS","FAIL"))</x:f>
        <x:v>PENDING</x:v>
      </x:c>
      <x:c r="AH718" t="str">
        <x:f>IF(NOT(ISNUMBER(T718)),"Needs supplier cost",IF(K718&lt;&gt;"In stock","Supplier unavailable",IF(AG718&lt;&gt;"PASS","BLOCK - GT loss risk","Commercially protected")))</x:f>
        <x:v>Needs supplier cost</x:v>
      </x:c>
      <x:c r="AI718" t="str">
        <x:v>2026-09-10 Active Sports trade capture</x:v>
      </x:c>
      <x:c r="AJ718" t="str">
        <x:v>Management-only economics. Stripe stress test uses 1.5% + £0.20 standard UK online-card fee; pallet/mix-and-match pricing ignored.</x:v>
      </x:c>
    </x:row>
    <x:row r="719">
      <x:c r="A719" t="str">
        <x:v>Active Sports Nutrition</x:v>
      </x:c>
      <x:c r="B719" t="str">
        <x:v>C4</x:v>
      </x:c>
      <x:c r="C719" t="str">
        <x:v>Original Pre Workout</x:v>
      </x:c>
      <x:c r="D719" t="str">
        <x:v>Pre Workouts</x:v>
      </x:c>
      <x:c r="E719" t="str">
        <x:v>High Stim</x:v>
      </x:c>
      <x:c r="F719" t="str">
        <x:v>Original C4 pre-workout.</x:v>
      </x:c>
      <x:c r="G719" t="str">
        <x:v>60 servings</x:v>
      </x:c>
      <x:c r="H719" t="str">
        <x:v>Fruit Punch</x:v>
      </x:c>
      <x:c r="I719" t="str"/>
      <x:c r="J719" t="str">
        <x:v>Unit</x:v>
      </x:c>
      <x:c r="K719" t="str">
        <x:v>In stock</x:v>
      </x:c>
      <x:c r="L719" t="str">
        <x:v>2026-09-08</x:v>
      </x:c>
      <x:c r="M719" t="str"/>
      <x:c r="N719" t="str"/>
      <x:c r="O719" t="str">
        <x:v>https://www.activesportstrade.co.uk/trade-pre-workout-supplements</x:v>
      </x:c>
      <x:c r="P719" t="str">
        <x:v>Fresh September listing used; older pages disagreed on some stock states.</x:v>
      </x:c>
      <x:c r="Q719" t="str"/>
      <x:c r="R719" t="str"/>
      <x:c r="S719" t="str">
        <x:v>Pending genuine supplier/brand image</x:v>
      </x:c>
      <x:c r="T719" s="54"/>
      <x:c r="U719" s="47" t="n">
        <x:v>0.2</x:v>
      </x:c>
      <x:c r="V719" s="54" t="str">
        <x:f>IF(ISNUMBER(T719),T719*(1+U719),"")</x:f>
      </x:c>
      <x:c r="W719" s="47" t="n">
        <x:v>0.3</x:v>
      </x:c>
      <x:c r="X719" s="54" t="str">
        <x:f>IF(ISNUMBER(V719),V719/(1-W719),"")</x:f>
      </x:c>
      <x:c r="Y719" s="55" t="str">
        <x:f>IF(ISNUMBER(X719),ROUNDUP(X719,0),"")</x:f>
      </x:c>
      <x:c r="Z719" t="str">
        <x:f>IF(ISNUMBER(T719),"Cost captured","Awaiting trade cost")</x:f>
        <x:v>Awaiting trade cost</x:v>
      </x:c>
      <x:c r="AB719" s="36" t="str">
        <x:f>IF(ISNUMBER(Y719),ROUND(Y719*0.9,2),"")</x:f>
      </x:c>
      <x:c r="AC719" s="36" t="str">
        <x:f>IF(ISNUMBER(AB719),ROUND(AB719-(AB719*0.015+0.2)-V719,2),"")</x:f>
      </x:c>
      <x:c r="AD719" s="36" t="str">
        <x:f>IF(ISNUMBER(Y719),ROUND(Y719*0.8,2),"")</x:f>
      </x:c>
      <x:c r="AE719" s="36" t="str">
        <x:f>IF(ISNUMBER(AD719),ROUND(AD719*0.015+0.2,2),"")</x:f>
      </x:c>
      <x:c r="AF719" s="36" t="str">
        <x:f>IF(ISNUMBER(AD719),ROUND(AD719-AE719-V719,2),"")</x:f>
      </x:c>
      <x:c r="AG719" t="str">
        <x:f>IF(NOT(ISNUMBER(T719)),"PENDING",IF(AF719&gt;0,"PASS","FAIL"))</x:f>
        <x:v>PENDING</x:v>
      </x:c>
      <x:c r="AH719" t="str">
        <x:f>IF(NOT(ISNUMBER(T719)),"Needs supplier cost",IF(K719&lt;&gt;"In stock","Supplier unavailable",IF(AG719&lt;&gt;"PASS","BLOCK - GT loss risk","Commercially protected")))</x:f>
        <x:v>Needs supplier cost</x:v>
      </x:c>
      <x:c r="AI719" t="str">
        <x:v>2026-09-10 Active Sports trade capture</x:v>
      </x:c>
      <x:c r="AJ719" t="str">
        <x:v>Management-only economics. Stripe stress test uses 1.5% + £0.20 standard UK online-card fee; pallet/mix-and-match pricing ignored.</x:v>
      </x:c>
    </x:row>
    <x:row r="720">
      <x:c r="A720" t="str">
        <x:v>Active Sports Nutrition</x:v>
      </x:c>
      <x:c r="B720" t="str">
        <x:v>C4</x:v>
      </x:c>
      <x:c r="C720" t="str">
        <x:v>Original Pre Workout</x:v>
      </x:c>
      <x:c r="D720" t="str">
        <x:v>Pre Workouts</x:v>
      </x:c>
      <x:c r="E720" t="str">
        <x:v>High Stim</x:v>
      </x:c>
      <x:c r="F720" t="str">
        <x:v>Original C4 pre-workout.</x:v>
      </x:c>
      <x:c r="G720" t="str">
        <x:v>60 servings</x:v>
      </x:c>
      <x:c r="H720" t="str">
        <x:v>Green Apple</x:v>
      </x:c>
      <x:c r="I720" t="str"/>
      <x:c r="J720" t="str">
        <x:v>Unit</x:v>
      </x:c>
      <x:c r="K720" t="str">
        <x:v>In stock</x:v>
      </x:c>
      <x:c r="L720" t="str">
        <x:v>2026-09-08</x:v>
      </x:c>
      <x:c r="M720" t="str"/>
      <x:c r="N720" t="str"/>
      <x:c r="O720" t="str">
        <x:v>https://www.activesportstrade.co.uk/trade-pre-workout-supplements</x:v>
      </x:c>
      <x:c r="P720" t="str">
        <x:v>Fresh September listing used; older pages disagreed on some stock states.</x:v>
      </x:c>
      <x:c r="Q720" t="str"/>
      <x:c r="R720" t="str"/>
      <x:c r="S720" t="str">
        <x:v>Pending genuine supplier/brand image</x:v>
      </x:c>
      <x:c r="T720" s="54"/>
      <x:c r="U720" s="47" t="n">
        <x:v>0.2</x:v>
      </x:c>
      <x:c r="V720" s="54" t="str">
        <x:f>IF(ISNUMBER(T720),T720*(1+U720),"")</x:f>
      </x:c>
      <x:c r="W720" s="47" t="n">
        <x:v>0.3</x:v>
      </x:c>
      <x:c r="X720" s="54" t="str">
        <x:f>IF(ISNUMBER(V720),V720/(1-W720),"")</x:f>
      </x:c>
      <x:c r="Y720" s="55" t="str">
        <x:f>IF(ISNUMBER(X720),ROUNDUP(X720,0),"")</x:f>
      </x:c>
      <x:c r="Z720" t="str">
        <x:f>IF(ISNUMBER(T720),"Cost captured","Awaiting trade cost")</x:f>
        <x:v>Awaiting trade cost</x:v>
      </x:c>
      <x:c r="AB720" s="36" t="str">
        <x:f>IF(ISNUMBER(Y720),ROUND(Y720*0.9,2),"")</x:f>
      </x:c>
      <x:c r="AC720" s="36" t="str">
        <x:f>IF(ISNUMBER(AB720),ROUND(AB720-(AB720*0.015+0.2)-V720,2),"")</x:f>
      </x:c>
      <x:c r="AD720" s="36" t="str">
        <x:f>IF(ISNUMBER(Y720),ROUND(Y720*0.8,2),"")</x:f>
      </x:c>
      <x:c r="AE720" s="36" t="str">
        <x:f>IF(ISNUMBER(AD720),ROUND(AD720*0.015+0.2,2),"")</x:f>
      </x:c>
      <x:c r="AF720" s="36" t="str">
        <x:f>IF(ISNUMBER(AD720),ROUND(AD720-AE720-V720,2),"")</x:f>
      </x:c>
      <x:c r="AG720" t="str">
        <x:f>IF(NOT(ISNUMBER(T720)),"PENDING",IF(AF720&gt;0,"PASS","FAIL"))</x:f>
        <x:v>PENDING</x:v>
      </x:c>
      <x:c r="AH720" t="str">
        <x:f>IF(NOT(ISNUMBER(T720)),"Needs supplier cost",IF(K720&lt;&gt;"In stock","Supplier unavailable",IF(AG720&lt;&gt;"PASS","BLOCK - GT loss risk","Commercially protected")))</x:f>
        <x:v>Needs supplier cost</x:v>
      </x:c>
      <x:c r="AI720" t="str">
        <x:v>2026-09-10 Active Sports trade capture</x:v>
      </x:c>
      <x:c r="AJ720" t="str">
        <x:v>Management-only economics. Stripe stress test uses 1.5% + £0.20 standard UK online-card fee; pallet/mix-and-match pricing ignored.</x:v>
      </x:c>
    </x:row>
    <x:row r="721">
      <x:c r="A721" t="str">
        <x:v>Active Sports Nutrition</x:v>
      </x:c>
      <x:c r="B721" t="str">
        <x:v>C4</x:v>
      </x:c>
      <x:c r="C721" t="str">
        <x:v>Original Pre Workout</x:v>
      </x:c>
      <x:c r="D721" t="str">
        <x:v>Pre Workouts</x:v>
      </x:c>
      <x:c r="E721" t="str">
        <x:v>High Stim</x:v>
      </x:c>
      <x:c r="F721" t="str">
        <x:v>Original C4 pre-workout.</x:v>
      </x:c>
      <x:c r="G721" t="str">
        <x:v>60 servings</x:v>
      </x:c>
      <x:c r="H721" t="str">
        <x:v>Icy Blue Razz</x:v>
      </x:c>
      <x:c r="I721" t="str"/>
      <x:c r="J721" t="str">
        <x:v>Unit</x:v>
      </x:c>
      <x:c r="K721" t="str">
        <x:v>In stock</x:v>
      </x:c>
      <x:c r="L721" t="str">
        <x:v>2026-09-08</x:v>
      </x:c>
      <x:c r="M721" t="str"/>
      <x:c r="N721" t="str"/>
      <x:c r="O721" t="str">
        <x:v>https://www.activesportstrade.co.uk/trade-pre-workout-supplements</x:v>
      </x:c>
      <x:c r="P721" t="str">
        <x:v>Fresh September listing used; older pages disagreed on some stock states.</x:v>
      </x:c>
      <x:c r="Q721" t="str"/>
      <x:c r="R721" t="str"/>
      <x:c r="S721" t="str">
        <x:v>Pending genuine supplier/brand image</x:v>
      </x:c>
      <x:c r="T721" s="54"/>
      <x:c r="U721" s="47" t="n">
        <x:v>0.2</x:v>
      </x:c>
      <x:c r="V721" s="54" t="str">
        <x:f>IF(ISNUMBER(T721),T721*(1+U721),"")</x:f>
      </x:c>
      <x:c r="W721" s="47" t="n">
        <x:v>0.3</x:v>
      </x:c>
      <x:c r="X721" s="54" t="str">
        <x:f>IF(ISNUMBER(V721),V721/(1-W721),"")</x:f>
      </x:c>
      <x:c r="Y721" s="55" t="str">
        <x:f>IF(ISNUMBER(X721),ROUNDUP(X721,0),"")</x:f>
      </x:c>
      <x:c r="Z721" t="str">
        <x:f>IF(ISNUMBER(T721),"Cost captured","Awaiting trade cost")</x:f>
        <x:v>Awaiting trade cost</x:v>
      </x:c>
      <x:c r="AB721" s="36" t="str">
        <x:f>IF(ISNUMBER(Y721),ROUND(Y721*0.9,2),"")</x:f>
      </x:c>
      <x:c r="AC721" s="36" t="str">
        <x:f>IF(ISNUMBER(AB721),ROUND(AB721-(AB721*0.015+0.2)-V721,2),"")</x:f>
      </x:c>
      <x:c r="AD721" s="36" t="str">
        <x:f>IF(ISNUMBER(Y721),ROUND(Y721*0.8,2),"")</x:f>
      </x:c>
      <x:c r="AE721" s="36" t="str">
        <x:f>IF(ISNUMBER(AD721),ROUND(AD721*0.015+0.2,2),"")</x:f>
      </x:c>
      <x:c r="AF721" s="36" t="str">
        <x:f>IF(ISNUMBER(AD721),ROUND(AD721-AE721-V721,2),"")</x:f>
      </x:c>
      <x:c r="AG721" t="str">
        <x:f>IF(NOT(ISNUMBER(T721)),"PENDING",IF(AF721&gt;0,"PASS","FAIL"))</x:f>
        <x:v>PENDING</x:v>
      </x:c>
      <x:c r="AH721" t="str">
        <x:f>IF(NOT(ISNUMBER(T721)),"Needs supplier cost",IF(K721&lt;&gt;"In stock","Supplier unavailable",IF(AG721&lt;&gt;"PASS","BLOCK - GT loss risk","Commercially protected")))</x:f>
        <x:v>Needs supplier cost</x:v>
      </x:c>
      <x:c r="AI721" t="str">
        <x:v>2026-09-10 Active Sports trade capture</x:v>
      </x:c>
      <x:c r="AJ721" t="str">
        <x:v>Management-only economics. Stripe stress test uses 1.5% + £0.20 standard UK online-card fee; pallet/mix-and-match pricing ignored.</x:v>
      </x:c>
    </x:row>
    <x:row r="722">
      <x:c r="A722" t="str">
        <x:v>Active Sports Nutrition</x:v>
      </x:c>
      <x:c r="B722" t="str">
        <x:v>C4</x:v>
      </x:c>
      <x:c r="C722" t="str">
        <x:v>Original Pre Workout</x:v>
      </x:c>
      <x:c r="D722" t="str">
        <x:v>Pre Workouts</x:v>
      </x:c>
      <x:c r="E722" t="str">
        <x:v>High Stim</x:v>
      </x:c>
      <x:c r="F722" t="str">
        <x:v>Original C4 pre-workout.</x:v>
      </x:c>
      <x:c r="G722" t="str">
        <x:v>60 servings</x:v>
      </x:c>
      <x:c r="H722" t="str">
        <x:v>Millions Bubblegum</x:v>
      </x:c>
      <x:c r="I722" t="str"/>
      <x:c r="J722" t="str">
        <x:v>Unit</x:v>
      </x:c>
      <x:c r="K722" t="str">
        <x:v>In stock</x:v>
      </x:c>
      <x:c r="L722" t="str">
        <x:v>2026-09-08</x:v>
      </x:c>
      <x:c r="M722" t="str"/>
      <x:c r="N722" t="str"/>
      <x:c r="O722" t="str">
        <x:v>https://www.activesportstrade.co.uk/trade-pre-workout-supplements</x:v>
      </x:c>
      <x:c r="P722" t="str">
        <x:v>Fresh September listing used; older pages disagreed on some stock states.</x:v>
      </x:c>
      <x:c r="Q722" t="str"/>
      <x:c r="R722" t="str"/>
      <x:c r="S722" t="str">
        <x:v>Pending genuine supplier/brand image</x:v>
      </x:c>
      <x:c r="T722" s="54"/>
      <x:c r="U722" s="47" t="n">
        <x:v>0.2</x:v>
      </x:c>
      <x:c r="V722" s="54" t="str">
        <x:f>IF(ISNUMBER(T722),T722*(1+U722),"")</x:f>
      </x:c>
      <x:c r="W722" s="47" t="n">
        <x:v>0.3</x:v>
      </x:c>
      <x:c r="X722" s="54" t="str">
        <x:f>IF(ISNUMBER(V722),V722/(1-W722),"")</x:f>
      </x:c>
      <x:c r="Y722" s="55" t="str">
        <x:f>IF(ISNUMBER(X722),ROUNDUP(X722,0),"")</x:f>
      </x:c>
      <x:c r="Z722" t="str">
        <x:f>IF(ISNUMBER(T722),"Cost captured","Awaiting trade cost")</x:f>
        <x:v>Awaiting trade cost</x:v>
      </x:c>
      <x:c r="AB722" s="36" t="str">
        <x:f>IF(ISNUMBER(Y722),ROUND(Y722*0.9,2),"")</x:f>
      </x:c>
      <x:c r="AC722" s="36" t="str">
        <x:f>IF(ISNUMBER(AB722),ROUND(AB722-(AB722*0.015+0.2)-V722,2),"")</x:f>
      </x:c>
      <x:c r="AD722" s="36" t="str">
        <x:f>IF(ISNUMBER(Y722),ROUND(Y722*0.8,2),"")</x:f>
      </x:c>
      <x:c r="AE722" s="36" t="str">
        <x:f>IF(ISNUMBER(AD722),ROUND(AD722*0.015+0.2,2),"")</x:f>
      </x:c>
      <x:c r="AF722" s="36" t="str">
        <x:f>IF(ISNUMBER(AD722),ROUND(AD722-AE722-V722,2),"")</x:f>
      </x:c>
      <x:c r="AG722" t="str">
        <x:f>IF(NOT(ISNUMBER(T722)),"PENDING",IF(AF722&gt;0,"PASS","FAIL"))</x:f>
        <x:v>PENDING</x:v>
      </x:c>
      <x:c r="AH722" t="str">
        <x:f>IF(NOT(ISNUMBER(T722)),"Needs supplier cost",IF(K722&lt;&gt;"In stock","Supplier unavailable",IF(AG722&lt;&gt;"PASS","BLOCK - GT loss risk","Commercially protected")))</x:f>
        <x:v>Needs supplier cost</x:v>
      </x:c>
      <x:c r="AI722" t="str">
        <x:v>2026-09-10 Active Sports trade capture</x:v>
      </x:c>
      <x:c r="AJ722" t="str">
        <x:v>Management-only economics. Stripe stress test uses 1.5% + £0.20 standard UK online-card fee; pallet/mix-and-match pricing ignored.</x:v>
      </x:c>
    </x:row>
    <x:row r="723">
      <x:c r="A723" t="str">
        <x:v>Active Sports Nutrition</x:v>
      </x:c>
      <x:c r="B723" t="str">
        <x:v>C4</x:v>
      </x:c>
      <x:c r="C723" t="str">
        <x:v>Original Pre Workout</x:v>
      </x:c>
      <x:c r="D723" t="str">
        <x:v>Pre Workouts</x:v>
      </x:c>
      <x:c r="E723" t="str">
        <x:v>High Stim</x:v>
      </x:c>
      <x:c r="F723" t="str">
        <x:v>Original C4 pre-workout.</x:v>
      </x:c>
      <x:c r="G723" t="str">
        <x:v>60 servings</x:v>
      </x:c>
      <x:c r="H723" t="str">
        <x:v>Millions Cola</x:v>
      </x:c>
      <x:c r="I723" t="str"/>
      <x:c r="J723" t="str">
        <x:v>Unit</x:v>
      </x:c>
      <x:c r="K723" t="str">
        <x:v>In stock</x:v>
      </x:c>
      <x:c r="L723" t="str">
        <x:v>2026-09-08</x:v>
      </x:c>
      <x:c r="M723" t="str"/>
      <x:c r="N723" t="str"/>
      <x:c r="O723" t="str">
        <x:v>https://www.activesportstrade.co.uk/trade-pre-workout-supplements</x:v>
      </x:c>
      <x:c r="P723" t="str">
        <x:v>Fresh September listing used; older pages disagreed on some stock states.</x:v>
      </x:c>
      <x:c r="Q723" t="str"/>
      <x:c r="R723" t="str"/>
      <x:c r="S723" t="str">
        <x:v>Pending genuine supplier/brand image</x:v>
      </x:c>
      <x:c r="T723" s="54"/>
      <x:c r="U723" s="47" t="n">
        <x:v>0.2</x:v>
      </x:c>
      <x:c r="V723" s="54" t="str">
        <x:f>IF(ISNUMBER(T723),T723*(1+U723),"")</x:f>
      </x:c>
      <x:c r="W723" s="47" t="n">
        <x:v>0.3</x:v>
      </x:c>
      <x:c r="X723" s="54" t="str">
        <x:f>IF(ISNUMBER(V723),V723/(1-W723),"")</x:f>
      </x:c>
      <x:c r="Y723" s="55" t="str">
        <x:f>IF(ISNUMBER(X723),ROUNDUP(X723,0),"")</x:f>
      </x:c>
      <x:c r="Z723" t="str">
        <x:f>IF(ISNUMBER(T723),"Cost captured","Awaiting trade cost")</x:f>
        <x:v>Awaiting trade cost</x:v>
      </x:c>
      <x:c r="AB723" s="36" t="str">
        <x:f>IF(ISNUMBER(Y723),ROUND(Y723*0.9,2),"")</x:f>
      </x:c>
      <x:c r="AC723" s="36" t="str">
        <x:f>IF(ISNUMBER(AB723),ROUND(AB723-(AB723*0.015+0.2)-V723,2),"")</x:f>
      </x:c>
      <x:c r="AD723" s="36" t="str">
        <x:f>IF(ISNUMBER(Y723),ROUND(Y723*0.8,2),"")</x:f>
      </x:c>
      <x:c r="AE723" s="36" t="str">
        <x:f>IF(ISNUMBER(AD723),ROUND(AD723*0.015+0.2,2),"")</x:f>
      </x:c>
      <x:c r="AF723" s="36" t="str">
        <x:f>IF(ISNUMBER(AD723),ROUND(AD723-AE723-V723,2),"")</x:f>
      </x:c>
      <x:c r="AG723" t="str">
        <x:f>IF(NOT(ISNUMBER(T723)),"PENDING",IF(AF723&gt;0,"PASS","FAIL"))</x:f>
        <x:v>PENDING</x:v>
      </x:c>
      <x:c r="AH723" t="str">
        <x:f>IF(NOT(ISNUMBER(T723)),"Needs supplier cost",IF(K723&lt;&gt;"In stock","Supplier unavailable",IF(AG723&lt;&gt;"PASS","BLOCK - GT loss risk","Commercially protected")))</x:f>
        <x:v>Needs supplier cost</x:v>
      </x:c>
      <x:c r="AI723" t="str">
        <x:v>2026-09-10 Active Sports trade capture</x:v>
      </x:c>
      <x:c r="AJ723" t="str">
        <x:v>Management-only economics. Stripe stress test uses 1.5% + £0.20 standard UK online-card fee; pallet/mix-and-match pricing ignored.</x:v>
      </x:c>
    </x:row>
    <x:row r="724">
      <x:c r="A724" t="str">
        <x:v>Active Sports Nutrition</x:v>
      </x:c>
      <x:c r="B724" t="str">
        <x:v>C4</x:v>
      </x:c>
      <x:c r="C724" t="str">
        <x:v>Original Pre Workout</x:v>
      </x:c>
      <x:c r="D724" t="str">
        <x:v>Pre Workouts</x:v>
      </x:c>
      <x:c r="E724" t="str">
        <x:v>High Stim</x:v>
      </x:c>
      <x:c r="F724" t="str">
        <x:v>Original C4 pre-workout.</x:v>
      </x:c>
      <x:c r="G724" t="str">
        <x:v>60 servings</x:v>
      </x:c>
      <x:c r="H724" t="str">
        <x:v>Orange</x:v>
      </x:c>
      <x:c r="I724" t="str"/>
      <x:c r="J724" t="str">
        <x:v>Unit</x:v>
      </x:c>
      <x:c r="K724" t="str">
        <x:v>In stock</x:v>
      </x:c>
      <x:c r="L724" t="str">
        <x:v>2026-09-08</x:v>
      </x:c>
      <x:c r="M724" t="str"/>
      <x:c r="N724" t="str"/>
      <x:c r="O724" t="str">
        <x:v>https://www.activesportstrade.co.uk/trade-pre-workout-supplements</x:v>
      </x:c>
      <x:c r="P724" t="str">
        <x:v>Fresh September listing used; older pages disagreed on some stock states.</x:v>
      </x:c>
      <x:c r="Q724" t="str"/>
      <x:c r="R724" t="str"/>
      <x:c r="S724" t="str">
        <x:v>Pending genuine supplier/brand image</x:v>
      </x:c>
      <x:c r="T724" s="54"/>
      <x:c r="U724" s="47" t="n">
        <x:v>0.2</x:v>
      </x:c>
      <x:c r="V724" s="54" t="str">
        <x:f>IF(ISNUMBER(T724),T724*(1+U724),"")</x:f>
      </x:c>
      <x:c r="W724" s="47" t="n">
        <x:v>0.3</x:v>
      </x:c>
      <x:c r="X724" s="54" t="str">
        <x:f>IF(ISNUMBER(V724),V724/(1-W724),"")</x:f>
      </x:c>
      <x:c r="Y724" s="55" t="str">
        <x:f>IF(ISNUMBER(X724),ROUNDUP(X724,0),"")</x:f>
      </x:c>
      <x:c r="Z724" t="str">
        <x:f>IF(ISNUMBER(T724),"Cost captured","Awaiting trade cost")</x:f>
        <x:v>Awaiting trade cost</x:v>
      </x:c>
      <x:c r="AB724" s="36" t="str">
        <x:f>IF(ISNUMBER(Y724),ROUND(Y724*0.9,2),"")</x:f>
      </x:c>
      <x:c r="AC724" s="36" t="str">
        <x:f>IF(ISNUMBER(AB724),ROUND(AB724-(AB724*0.015+0.2)-V724,2),"")</x:f>
      </x:c>
      <x:c r="AD724" s="36" t="str">
        <x:f>IF(ISNUMBER(Y724),ROUND(Y724*0.8,2),"")</x:f>
      </x:c>
      <x:c r="AE724" s="36" t="str">
        <x:f>IF(ISNUMBER(AD724),ROUND(AD724*0.015+0.2,2),"")</x:f>
      </x:c>
      <x:c r="AF724" s="36" t="str">
        <x:f>IF(ISNUMBER(AD724),ROUND(AD724-AE724-V724,2),"")</x:f>
      </x:c>
      <x:c r="AG724" t="str">
        <x:f>IF(NOT(ISNUMBER(T724)),"PENDING",IF(AF724&gt;0,"PASS","FAIL"))</x:f>
        <x:v>PENDING</x:v>
      </x:c>
      <x:c r="AH724" t="str">
        <x:f>IF(NOT(ISNUMBER(T724)),"Needs supplier cost",IF(K724&lt;&gt;"In stock","Supplier unavailable",IF(AG724&lt;&gt;"PASS","BLOCK - GT loss risk","Commercially protected")))</x:f>
        <x:v>Needs supplier cost</x:v>
      </x:c>
      <x:c r="AI724" t="str">
        <x:v>2026-09-10 Active Sports trade capture</x:v>
      </x:c>
      <x:c r="AJ724" t="str">
        <x:v>Management-only economics. Stripe stress test uses 1.5% + £0.20 standard UK online-card fee; pallet/mix-and-match pricing ignored.</x:v>
      </x:c>
    </x:row>
    <x:row r="725">
      <x:c r="A725" t="str">
        <x:v>Active Sports Nutrition</x:v>
      </x:c>
      <x:c r="B725" t="str">
        <x:v>C4</x:v>
      </x:c>
      <x:c r="C725" t="str">
        <x:v>Original Pre Workout</x:v>
      </x:c>
      <x:c r="D725" t="str">
        <x:v>Pre Workouts</x:v>
      </x:c>
      <x:c r="E725" t="str">
        <x:v>High Stim</x:v>
      </x:c>
      <x:c r="F725" t="str">
        <x:v>Original C4 pre-workout.</x:v>
      </x:c>
      <x:c r="G725" t="str">
        <x:v>60 servings</x:v>
      </x:c>
      <x:c r="H725" t="str">
        <x:v>Pineapple Head</x:v>
      </x:c>
      <x:c r="I725" t="str"/>
      <x:c r="J725" t="str">
        <x:v>Unit</x:v>
      </x:c>
      <x:c r="K725" t="str">
        <x:v>In stock</x:v>
      </x:c>
      <x:c r="L725" t="str">
        <x:v>2026-09-08</x:v>
      </x:c>
      <x:c r="M725" t="str"/>
      <x:c r="N725" t="str"/>
      <x:c r="O725" t="str">
        <x:v>https://www.activesportstrade.co.uk/trade-pre-workout-supplements</x:v>
      </x:c>
      <x:c r="P725" t="str">
        <x:v>Fresh September listing used; older pages disagreed on some stock states.</x:v>
      </x:c>
      <x:c r="Q725" t="str"/>
      <x:c r="R725" t="str"/>
      <x:c r="S725" t="str">
        <x:v>Pending genuine supplier/brand image</x:v>
      </x:c>
      <x:c r="T725" s="54"/>
      <x:c r="U725" s="47" t="n">
        <x:v>0.2</x:v>
      </x:c>
      <x:c r="V725" s="54" t="str">
        <x:f>IF(ISNUMBER(T725),T725*(1+U725),"")</x:f>
      </x:c>
      <x:c r="W725" s="47" t="n">
        <x:v>0.3</x:v>
      </x:c>
      <x:c r="X725" s="54" t="str">
        <x:f>IF(ISNUMBER(V725),V725/(1-W725),"")</x:f>
      </x:c>
      <x:c r="Y725" s="55" t="str">
        <x:f>IF(ISNUMBER(X725),ROUNDUP(X725,0),"")</x:f>
      </x:c>
      <x:c r="Z725" t="str">
        <x:f>IF(ISNUMBER(T725),"Cost captured","Awaiting trade cost")</x:f>
        <x:v>Awaiting trade cost</x:v>
      </x:c>
      <x:c r="AB725" s="36" t="str">
        <x:f>IF(ISNUMBER(Y725),ROUND(Y725*0.9,2),"")</x:f>
      </x:c>
      <x:c r="AC725" s="36" t="str">
        <x:f>IF(ISNUMBER(AB725),ROUND(AB725-(AB725*0.015+0.2)-V725,2),"")</x:f>
      </x:c>
      <x:c r="AD725" s="36" t="str">
        <x:f>IF(ISNUMBER(Y725),ROUND(Y725*0.8,2),"")</x:f>
      </x:c>
      <x:c r="AE725" s="36" t="str">
        <x:f>IF(ISNUMBER(AD725),ROUND(AD725*0.015+0.2,2),"")</x:f>
      </x:c>
      <x:c r="AF725" s="36" t="str">
        <x:f>IF(ISNUMBER(AD725),ROUND(AD725-AE725-V725,2),"")</x:f>
      </x:c>
      <x:c r="AG725" t="str">
        <x:f>IF(NOT(ISNUMBER(T725)),"PENDING",IF(AF725&gt;0,"PASS","FAIL"))</x:f>
        <x:v>PENDING</x:v>
      </x:c>
      <x:c r="AH725" t="str">
        <x:f>IF(NOT(ISNUMBER(T725)),"Needs supplier cost",IF(K725&lt;&gt;"In stock","Supplier unavailable",IF(AG725&lt;&gt;"PASS","BLOCK - GT loss risk","Commercially protected")))</x:f>
        <x:v>Needs supplier cost</x:v>
      </x:c>
      <x:c r="AI725" t="str">
        <x:v>2026-09-10 Active Sports trade capture</x:v>
      </x:c>
      <x:c r="AJ725" t="str">
        <x:v>Management-only economics. Stripe stress test uses 1.5% + £0.20 standard UK online-card fee; pallet/mix-and-match pricing ignored.</x:v>
      </x:c>
    </x:row>
    <x:row r="726">
      <x:c r="A726" t="str">
        <x:v>Active Sports Nutrition</x:v>
      </x:c>
      <x:c r="B726" t="str">
        <x:v>C4</x:v>
      </x:c>
      <x:c r="C726" t="str">
        <x:v>Original Pre Workout</x:v>
      </x:c>
      <x:c r="D726" t="str">
        <x:v>Pre Workouts</x:v>
      </x:c>
      <x:c r="E726" t="str">
        <x:v>High Stim</x:v>
      </x:c>
      <x:c r="F726" t="str">
        <x:v>Original C4 pre-workout.</x:v>
      </x:c>
      <x:c r="G726" t="str">
        <x:v>60 servings</x:v>
      </x:c>
      <x:c r="H726" t="str">
        <x:v>Pink Lemonade</x:v>
      </x:c>
      <x:c r="I726" t="str"/>
      <x:c r="J726" t="str">
        <x:v>Unit</x:v>
      </x:c>
      <x:c r="K726" t="str">
        <x:v>In stock</x:v>
      </x:c>
      <x:c r="L726" t="str">
        <x:v>2026-09-08</x:v>
      </x:c>
      <x:c r="M726" t="str"/>
      <x:c r="N726" t="str"/>
      <x:c r="O726" t="str">
        <x:v>https://www.activesportstrade.co.uk/trade-pre-workout-supplements</x:v>
      </x:c>
      <x:c r="P726" t="str">
        <x:v>Fresh September listing used; older pages disagreed on some stock states.</x:v>
      </x:c>
      <x:c r="Q726" t="str"/>
      <x:c r="R726" t="str"/>
      <x:c r="S726" t="str">
        <x:v>Pending genuine supplier/brand image</x:v>
      </x:c>
      <x:c r="T726" s="54"/>
      <x:c r="U726" s="47" t="n">
        <x:v>0.2</x:v>
      </x:c>
      <x:c r="V726" s="54" t="str">
        <x:f>IF(ISNUMBER(T726),T726*(1+U726),"")</x:f>
      </x:c>
      <x:c r="W726" s="47" t="n">
        <x:v>0.3</x:v>
      </x:c>
      <x:c r="X726" s="54" t="str">
        <x:f>IF(ISNUMBER(V726),V726/(1-W726),"")</x:f>
      </x:c>
      <x:c r="Y726" s="55" t="str">
        <x:f>IF(ISNUMBER(X726),ROUNDUP(X726,0),"")</x:f>
      </x:c>
      <x:c r="Z726" t="str">
        <x:f>IF(ISNUMBER(T726),"Cost captured","Awaiting trade cost")</x:f>
        <x:v>Awaiting trade cost</x:v>
      </x:c>
      <x:c r="AB726" s="36" t="str">
        <x:f>IF(ISNUMBER(Y726),ROUND(Y726*0.9,2),"")</x:f>
      </x:c>
      <x:c r="AC726" s="36" t="str">
        <x:f>IF(ISNUMBER(AB726),ROUND(AB726-(AB726*0.015+0.2)-V726,2),"")</x:f>
      </x:c>
      <x:c r="AD726" s="36" t="str">
        <x:f>IF(ISNUMBER(Y726),ROUND(Y726*0.8,2),"")</x:f>
      </x:c>
      <x:c r="AE726" s="36" t="str">
        <x:f>IF(ISNUMBER(AD726),ROUND(AD726*0.015+0.2,2),"")</x:f>
      </x:c>
      <x:c r="AF726" s="36" t="str">
        <x:f>IF(ISNUMBER(AD726),ROUND(AD726-AE726-V726,2),"")</x:f>
      </x:c>
      <x:c r="AG726" t="str">
        <x:f>IF(NOT(ISNUMBER(T726)),"PENDING",IF(AF726&gt;0,"PASS","FAIL"))</x:f>
        <x:v>PENDING</x:v>
      </x:c>
      <x:c r="AH726" t="str">
        <x:f>IF(NOT(ISNUMBER(T726)),"Needs supplier cost",IF(K726&lt;&gt;"In stock","Supplier unavailable",IF(AG726&lt;&gt;"PASS","BLOCK - GT loss risk","Commercially protected")))</x:f>
        <x:v>Needs supplier cost</x:v>
      </x:c>
      <x:c r="AI726" t="str">
        <x:v>2026-09-10 Active Sports trade capture</x:v>
      </x:c>
      <x:c r="AJ726" t="str">
        <x:v>Management-only economics. Stripe stress test uses 1.5% + £0.20 standard UK online-card fee; pallet/mix-and-match pricing ignored.</x:v>
      </x:c>
    </x:row>
    <x:row r="727">
      <x:c r="A727" t="str">
        <x:v>Active Sports Nutrition</x:v>
      </x:c>
      <x:c r="B727" t="str">
        <x:v>C4</x:v>
      </x:c>
      <x:c r="C727" t="str">
        <x:v>Original Pre Workout</x:v>
      </x:c>
      <x:c r="D727" t="str">
        <x:v>Pre Workouts</x:v>
      </x:c>
      <x:c r="E727" t="str">
        <x:v>High Stim</x:v>
      </x:c>
      <x:c r="F727" t="str">
        <x:v>Original C4 pre-workout.</x:v>
      </x:c>
      <x:c r="G727" t="str">
        <x:v>60 servings</x:v>
      </x:c>
      <x:c r="H727" t="str">
        <x:v>Strawberry Margarita</x:v>
      </x:c>
      <x:c r="I727" t="str"/>
      <x:c r="J727" t="str">
        <x:v>Unit</x:v>
      </x:c>
      <x:c r="K727" t="str">
        <x:v>In stock</x:v>
      </x:c>
      <x:c r="L727" t="str">
        <x:v>2026-09-08</x:v>
      </x:c>
      <x:c r="M727" t="str"/>
      <x:c r="N727" t="str"/>
      <x:c r="O727" t="str">
        <x:v>https://www.activesportstrade.co.uk/trade-pre-workout-supplements</x:v>
      </x:c>
      <x:c r="P727" t="str">
        <x:v>Fresh September listing used; older pages disagreed on some stock states.</x:v>
      </x:c>
      <x:c r="Q727" t="str"/>
      <x:c r="R727" t="str"/>
      <x:c r="S727" t="str">
        <x:v>Pending genuine supplier/brand image</x:v>
      </x:c>
      <x:c r="T727" s="54"/>
      <x:c r="U727" s="47" t="n">
        <x:v>0.2</x:v>
      </x:c>
      <x:c r="V727" s="54" t="str">
        <x:f>IF(ISNUMBER(T727),T727*(1+U727),"")</x:f>
      </x:c>
      <x:c r="W727" s="47" t="n">
        <x:v>0.3</x:v>
      </x:c>
      <x:c r="X727" s="54" t="str">
        <x:f>IF(ISNUMBER(V727),V727/(1-W727),"")</x:f>
      </x:c>
      <x:c r="Y727" s="55" t="str">
        <x:f>IF(ISNUMBER(X727),ROUNDUP(X727,0),"")</x:f>
      </x:c>
      <x:c r="Z727" t="str">
        <x:f>IF(ISNUMBER(T727),"Cost captured","Awaiting trade cost")</x:f>
        <x:v>Awaiting trade cost</x:v>
      </x:c>
      <x:c r="AB727" s="36" t="str">
        <x:f>IF(ISNUMBER(Y727),ROUND(Y727*0.9,2),"")</x:f>
      </x:c>
      <x:c r="AC727" s="36" t="str">
        <x:f>IF(ISNUMBER(AB727),ROUND(AB727-(AB727*0.015+0.2)-V727,2),"")</x:f>
      </x:c>
      <x:c r="AD727" s="36" t="str">
        <x:f>IF(ISNUMBER(Y727),ROUND(Y727*0.8,2),"")</x:f>
      </x:c>
      <x:c r="AE727" s="36" t="str">
        <x:f>IF(ISNUMBER(AD727),ROUND(AD727*0.015+0.2,2),"")</x:f>
      </x:c>
      <x:c r="AF727" s="36" t="str">
        <x:f>IF(ISNUMBER(AD727),ROUND(AD727-AE727-V727,2),"")</x:f>
      </x:c>
      <x:c r="AG727" t="str">
        <x:f>IF(NOT(ISNUMBER(T727)),"PENDING",IF(AF727&gt;0,"PASS","FAIL"))</x:f>
        <x:v>PENDING</x:v>
      </x:c>
      <x:c r="AH727" t="str">
        <x:f>IF(NOT(ISNUMBER(T727)),"Needs supplier cost",IF(K727&lt;&gt;"In stock","Supplier unavailable",IF(AG727&lt;&gt;"PASS","BLOCK - GT loss risk","Commercially protected")))</x:f>
        <x:v>Needs supplier cost</x:v>
      </x:c>
      <x:c r="AI727" t="str">
        <x:v>2026-09-10 Active Sports trade capture</x:v>
      </x:c>
      <x:c r="AJ727" t="str">
        <x:v>Management-only economics. Stripe stress test uses 1.5% + £0.20 standard UK online-card fee; pallet/mix-and-match pricing ignored.</x:v>
      </x:c>
    </x:row>
    <x:row r="728">
      <x:c r="A728" t="str">
        <x:v>Active Sports Nutrition</x:v>
      </x:c>
      <x:c r="B728" t="str">
        <x:v>C4</x:v>
      </x:c>
      <x:c r="C728" t="str">
        <x:v>Original Pre Workout</x:v>
      </x:c>
      <x:c r="D728" t="str">
        <x:v>Pre Workouts</x:v>
      </x:c>
      <x:c r="E728" t="str">
        <x:v>High Stim</x:v>
      </x:c>
      <x:c r="F728" t="str">
        <x:v>Original C4 pre-workout.</x:v>
      </x:c>
      <x:c r="G728" t="str">
        <x:v>60 servings</x:v>
      </x:c>
      <x:c r="H728" t="str">
        <x:v>Watermelon</x:v>
      </x:c>
      <x:c r="I728" t="str"/>
      <x:c r="J728" t="str">
        <x:v>Unit</x:v>
      </x:c>
      <x:c r="K728" t="str">
        <x:v>In stock</x:v>
      </x:c>
      <x:c r="L728" t="str">
        <x:v>2026-09-08</x:v>
      </x:c>
      <x:c r="M728" t="str"/>
      <x:c r="N728" t="str"/>
      <x:c r="O728" t="str">
        <x:v>https://www.activesportstrade.co.uk/trade-pre-workout-supplements</x:v>
      </x:c>
      <x:c r="P728" t="str">
        <x:v>Fresh September listing used; older pages disagreed on some stock states.</x:v>
      </x:c>
      <x:c r="Q728" t="str"/>
      <x:c r="R728" t="str"/>
      <x:c r="S728" t="str">
        <x:v>Pending genuine supplier/brand image</x:v>
      </x:c>
      <x:c r="T728" s="54"/>
      <x:c r="U728" s="47" t="n">
        <x:v>0.2</x:v>
      </x:c>
      <x:c r="V728" s="54" t="str">
        <x:f>IF(ISNUMBER(T728),T728*(1+U728),"")</x:f>
      </x:c>
      <x:c r="W728" s="47" t="n">
        <x:v>0.3</x:v>
      </x:c>
      <x:c r="X728" s="54" t="str">
        <x:f>IF(ISNUMBER(V728),V728/(1-W728),"")</x:f>
      </x:c>
      <x:c r="Y728" s="55" t="str">
        <x:f>IF(ISNUMBER(X728),ROUNDUP(X728,0),"")</x:f>
      </x:c>
      <x:c r="Z728" t="str">
        <x:f>IF(ISNUMBER(T728),"Cost captured","Awaiting trade cost")</x:f>
        <x:v>Awaiting trade cost</x:v>
      </x:c>
      <x:c r="AB728" s="36" t="str">
        <x:f>IF(ISNUMBER(Y728),ROUND(Y728*0.9,2),"")</x:f>
      </x:c>
      <x:c r="AC728" s="36" t="str">
        <x:f>IF(ISNUMBER(AB728),ROUND(AB728-(AB728*0.015+0.2)-V728,2),"")</x:f>
      </x:c>
      <x:c r="AD728" s="36" t="str">
        <x:f>IF(ISNUMBER(Y728),ROUND(Y728*0.8,2),"")</x:f>
      </x:c>
      <x:c r="AE728" s="36" t="str">
        <x:f>IF(ISNUMBER(AD728),ROUND(AD728*0.015+0.2,2),"")</x:f>
      </x:c>
      <x:c r="AF728" s="36" t="str">
        <x:f>IF(ISNUMBER(AD728),ROUND(AD728-AE728-V728,2),"")</x:f>
      </x:c>
      <x:c r="AG728" t="str">
        <x:f>IF(NOT(ISNUMBER(T728)),"PENDING",IF(AF728&gt;0,"PASS","FAIL"))</x:f>
        <x:v>PENDING</x:v>
      </x:c>
      <x:c r="AH728" t="str">
        <x:f>IF(NOT(ISNUMBER(T728)),"Needs supplier cost",IF(K728&lt;&gt;"In stock","Supplier unavailable",IF(AG728&lt;&gt;"PASS","BLOCK - GT loss risk","Commercially protected")))</x:f>
        <x:v>Needs supplier cost</x:v>
      </x:c>
      <x:c r="AI728" t="str">
        <x:v>2026-09-10 Active Sports trade capture</x:v>
      </x:c>
      <x:c r="AJ728" t="str">
        <x:v>Management-only economics. Stripe stress test uses 1.5% + £0.20 standard UK online-card fee; pallet/mix-and-match pricing ignored.</x:v>
      </x:c>
    </x:row>
    <x:row r="729">
      <x:c r="A729" t="str">
        <x:v>Active Sports Nutrition</x:v>
      </x:c>
      <x:c r="B729" t="str">
        <x:v>C4</x:v>
      </x:c>
      <x:c r="C729" t="str">
        <x:v>Ripped Pre Workout</x:v>
      </x:c>
      <x:c r="D729" t="str">
        <x:v>Pre Workouts</x:v>
      </x:c>
      <x:c r="E729" t="str">
        <x:v>High Stim</x:v>
      </x:c>
      <x:c r="F729" t="str">
        <x:v>Pre-workout with body-composition support.</x:v>
      </x:c>
      <x:c r="G729" t="str">
        <x:v>30 servings</x:v>
      </x:c>
      <x:c r="H729" t="str">
        <x:v>Icy Blue Razz</x:v>
      </x:c>
      <x:c r="I729" t="str"/>
      <x:c r="J729" t="str">
        <x:v>Unit</x:v>
      </x:c>
      <x:c r="K729" t="str">
        <x:v>In stock</x:v>
      </x:c>
      <x:c r="L729" t="str">
        <x:v>2026-09-08</x:v>
      </x:c>
      <x:c r="M729" t="str"/>
      <x:c r="N729" t="str"/>
      <x:c r="O729" t="str">
        <x:v>https://www.activesportstrade.co.uk/high-stim-pre-workouts/cellucor-trade</x:v>
      </x:c>
      <x:c r="P729" t="str">
        <x:v>Promo wording removed.</x:v>
      </x:c>
      <x:c r="Q729" t="str"/>
      <x:c r="R729" t="str"/>
      <x:c r="S729" t="str">
        <x:v>Pending genuine supplier/brand image</x:v>
      </x:c>
      <x:c r="T729" s="54"/>
      <x:c r="U729" s="47" t="n">
        <x:v>0.2</x:v>
      </x:c>
      <x:c r="V729" s="54" t="str">
        <x:f>IF(ISNUMBER(T729),T729*(1+U729),"")</x:f>
      </x:c>
      <x:c r="W729" s="47" t="n">
        <x:v>0.3</x:v>
      </x:c>
      <x:c r="X729" s="54" t="str">
        <x:f>IF(ISNUMBER(V729),V729/(1-W729),"")</x:f>
      </x:c>
      <x:c r="Y729" s="55" t="str">
        <x:f>IF(ISNUMBER(X729),ROUNDUP(X729,0),"")</x:f>
      </x:c>
      <x:c r="Z729" t="str">
        <x:f>IF(ISNUMBER(T729),"Cost captured","Awaiting trade cost")</x:f>
        <x:v>Awaiting trade cost</x:v>
      </x:c>
      <x:c r="AB729" s="36" t="str">
        <x:f>IF(ISNUMBER(Y729),ROUND(Y729*0.9,2),"")</x:f>
      </x:c>
      <x:c r="AC729" s="36" t="str">
        <x:f>IF(ISNUMBER(AB729),ROUND(AB729-(AB729*0.015+0.2)-V729,2),"")</x:f>
      </x:c>
      <x:c r="AD729" s="36" t="str">
        <x:f>IF(ISNUMBER(Y729),ROUND(Y729*0.8,2),"")</x:f>
      </x:c>
      <x:c r="AE729" s="36" t="str">
        <x:f>IF(ISNUMBER(AD729),ROUND(AD729*0.015+0.2,2),"")</x:f>
      </x:c>
      <x:c r="AF729" s="36" t="str">
        <x:f>IF(ISNUMBER(AD729),ROUND(AD729-AE729-V729,2),"")</x:f>
      </x:c>
      <x:c r="AG729" t="str">
        <x:f>IF(NOT(ISNUMBER(T729)),"PENDING",IF(AF729&gt;0,"PASS","FAIL"))</x:f>
        <x:v>PENDING</x:v>
      </x:c>
      <x:c r="AH729" t="str">
        <x:f>IF(NOT(ISNUMBER(T729)),"Needs supplier cost",IF(K729&lt;&gt;"In stock","Supplier unavailable",IF(AG729&lt;&gt;"PASS","BLOCK - GT loss risk","Commercially protected")))</x:f>
        <x:v>Needs supplier cost</x:v>
      </x:c>
      <x:c r="AI729" t="str">
        <x:v>2026-09-10 Active Sports trade capture</x:v>
      </x:c>
      <x:c r="AJ729" t="str">
        <x:v>Management-only economics. Stripe stress test uses 1.5% + £0.20 standard UK online-card fee; pallet/mix-and-match pricing ignored.</x:v>
      </x:c>
    </x:row>
    <x:row r="730">
      <x:c r="A730" t="str">
        <x:v>Active Sports Nutrition</x:v>
      </x:c>
      <x:c r="B730" t="str">
        <x:v>C4</x:v>
      </x:c>
      <x:c r="C730" t="str">
        <x:v>Ripped Pre Workout</x:v>
      </x:c>
      <x:c r="D730" t="str">
        <x:v>Pre Workouts</x:v>
      </x:c>
      <x:c r="E730" t="str">
        <x:v>High Stim</x:v>
      </x:c>
      <x:c r="F730" t="str">
        <x:v>Pre-workout with body-composition support.</x:v>
      </x:c>
      <x:c r="G730" t="str">
        <x:v>30 servings</x:v>
      </x:c>
      <x:c r="H730" t="str">
        <x:v>Raspberry Lemonade</x:v>
      </x:c>
      <x:c r="I730" t="str"/>
      <x:c r="J730" t="str">
        <x:v>Unit</x:v>
      </x:c>
      <x:c r="K730" t="str">
        <x:v>In stock</x:v>
      </x:c>
      <x:c r="L730" t="str">
        <x:v>2026-09-08</x:v>
      </x:c>
      <x:c r="M730" t="str"/>
      <x:c r="N730" t="str"/>
      <x:c r="O730" t="str">
        <x:v>https://www.activesportstrade.co.uk/high-stim-pre-workouts/cellucor-trade</x:v>
      </x:c>
      <x:c r="P730" t="str">
        <x:v>Promo wording removed.</x:v>
      </x:c>
      <x:c r="Q730" t="str"/>
      <x:c r="R730" t="str"/>
      <x:c r="S730" t="str">
        <x:v>Pending genuine supplier/brand image</x:v>
      </x:c>
      <x:c r="T730" s="54"/>
      <x:c r="U730" s="47" t="n">
        <x:v>0.2</x:v>
      </x:c>
      <x:c r="V730" s="54" t="str">
        <x:f>IF(ISNUMBER(T730),T730*(1+U730),"")</x:f>
      </x:c>
      <x:c r="W730" s="47" t="n">
        <x:v>0.3</x:v>
      </x:c>
      <x:c r="X730" s="54" t="str">
        <x:f>IF(ISNUMBER(V730),V730/(1-W730),"")</x:f>
      </x:c>
      <x:c r="Y730" s="55" t="str">
        <x:f>IF(ISNUMBER(X730),ROUNDUP(X730,0),"")</x:f>
      </x:c>
      <x:c r="Z730" t="str">
        <x:f>IF(ISNUMBER(T730),"Cost captured","Awaiting trade cost")</x:f>
        <x:v>Awaiting trade cost</x:v>
      </x:c>
      <x:c r="AB730" s="36" t="str">
        <x:f>IF(ISNUMBER(Y730),ROUND(Y730*0.9,2),"")</x:f>
      </x:c>
      <x:c r="AC730" s="36" t="str">
        <x:f>IF(ISNUMBER(AB730),ROUND(AB730-(AB730*0.015+0.2)-V730,2),"")</x:f>
      </x:c>
      <x:c r="AD730" s="36" t="str">
        <x:f>IF(ISNUMBER(Y730),ROUND(Y730*0.8,2),"")</x:f>
      </x:c>
      <x:c r="AE730" s="36" t="str">
        <x:f>IF(ISNUMBER(AD730),ROUND(AD730*0.015+0.2,2),"")</x:f>
      </x:c>
      <x:c r="AF730" s="36" t="str">
        <x:f>IF(ISNUMBER(AD730),ROUND(AD730-AE730-V730,2),"")</x:f>
      </x:c>
      <x:c r="AG730" t="str">
        <x:f>IF(NOT(ISNUMBER(T730)),"PENDING",IF(AF730&gt;0,"PASS","FAIL"))</x:f>
        <x:v>PENDING</x:v>
      </x:c>
      <x:c r="AH730" t="str">
        <x:f>IF(NOT(ISNUMBER(T730)),"Needs supplier cost",IF(K730&lt;&gt;"In stock","Supplier unavailable",IF(AG730&lt;&gt;"PASS","BLOCK - GT loss risk","Commercially protected")))</x:f>
        <x:v>Needs supplier cost</x:v>
      </x:c>
      <x:c r="AI730" t="str">
        <x:v>2026-09-10 Active Sports trade capture</x:v>
      </x:c>
      <x:c r="AJ730" t="str">
        <x:v>Management-only economics. Stripe stress test uses 1.5% + £0.20 standard UK online-card fee; pallet/mix-and-match pricing ignored.</x:v>
      </x:c>
    </x:row>
    <x:row r="731">
      <x:c r="A731" t="str">
        <x:v>Active Sports Nutrition</x:v>
      </x:c>
      <x:c r="B731" t="str">
        <x:v>C4</x:v>
      </x:c>
      <x:c r="C731" t="str">
        <x:v>Ripped Pre Workout</x:v>
      </x:c>
      <x:c r="D731" t="str">
        <x:v>Pre Workouts</x:v>
      </x:c>
      <x:c r="E731" t="str">
        <x:v>High Stim</x:v>
      </x:c>
      <x:c r="F731" t="str">
        <x:v>Pre-workout with body-composition support.</x:v>
      </x:c>
      <x:c r="G731" t="str">
        <x:v>30 servings</x:v>
      </x:c>
      <x:c r="H731" t="str">
        <x:v>Tropical Punch</x:v>
      </x:c>
      <x:c r="I731" t="str"/>
      <x:c r="J731" t="str">
        <x:v>Unit</x:v>
      </x:c>
      <x:c r="K731" t="str">
        <x:v>In stock</x:v>
      </x:c>
      <x:c r="L731" t="str">
        <x:v>2026-09-08</x:v>
      </x:c>
      <x:c r="M731" t="str"/>
      <x:c r="N731" t="str"/>
      <x:c r="O731" t="str">
        <x:v>https://www.activesportstrade.co.uk/high-stim-pre-workouts/cellucor-trade</x:v>
      </x:c>
      <x:c r="P731" t="str">
        <x:v>Promo wording removed.</x:v>
      </x:c>
      <x:c r="Q731" t="str"/>
      <x:c r="R731" t="str"/>
      <x:c r="S731" t="str">
        <x:v>Pending genuine supplier/brand image</x:v>
      </x:c>
      <x:c r="T731" s="54"/>
      <x:c r="U731" s="47" t="n">
        <x:v>0.2</x:v>
      </x:c>
      <x:c r="V731" s="54" t="str">
        <x:f>IF(ISNUMBER(T731),T731*(1+U731),"")</x:f>
      </x:c>
      <x:c r="W731" s="47" t="n">
        <x:v>0.3</x:v>
      </x:c>
      <x:c r="X731" s="54" t="str">
        <x:f>IF(ISNUMBER(V731),V731/(1-W731),"")</x:f>
      </x:c>
      <x:c r="Y731" s="55" t="str">
        <x:f>IF(ISNUMBER(X731),ROUNDUP(X731,0),"")</x:f>
      </x:c>
      <x:c r="Z731" t="str">
        <x:f>IF(ISNUMBER(T731),"Cost captured","Awaiting trade cost")</x:f>
        <x:v>Awaiting trade cost</x:v>
      </x:c>
      <x:c r="AB731" s="36" t="str">
        <x:f>IF(ISNUMBER(Y731),ROUND(Y731*0.9,2),"")</x:f>
      </x:c>
      <x:c r="AC731" s="36" t="str">
        <x:f>IF(ISNUMBER(AB731),ROUND(AB731-(AB731*0.015+0.2)-V731,2),"")</x:f>
      </x:c>
      <x:c r="AD731" s="36" t="str">
        <x:f>IF(ISNUMBER(Y731),ROUND(Y731*0.8,2),"")</x:f>
      </x:c>
      <x:c r="AE731" s="36" t="str">
        <x:f>IF(ISNUMBER(AD731),ROUND(AD731*0.015+0.2,2),"")</x:f>
      </x:c>
      <x:c r="AF731" s="36" t="str">
        <x:f>IF(ISNUMBER(AD731),ROUND(AD731-AE731-V731,2),"")</x:f>
      </x:c>
      <x:c r="AG731" t="str">
        <x:f>IF(NOT(ISNUMBER(T731)),"PENDING",IF(AF731&gt;0,"PASS","FAIL"))</x:f>
        <x:v>PENDING</x:v>
      </x:c>
      <x:c r="AH731" t="str">
        <x:f>IF(NOT(ISNUMBER(T731)),"Needs supplier cost",IF(K731&lt;&gt;"In stock","Supplier unavailable",IF(AG731&lt;&gt;"PASS","BLOCK - GT loss risk","Commercially protected")))</x:f>
        <x:v>Needs supplier cost</x:v>
      </x:c>
      <x:c r="AI731" t="str">
        <x:v>2026-09-10 Active Sports trade capture</x:v>
      </x:c>
      <x:c r="AJ731" t="str">
        <x:v>Management-only economics. Stripe stress test uses 1.5% + £0.20 standard UK online-card fee; pallet/mix-and-match pricing ignored.</x:v>
      </x:c>
    </x:row>
    <x:row r="732">
      <x:c r="A732" t="str">
        <x:v>Active Sports Nutrition</x:v>
      </x:c>
      <x:c r="B732" t="str">
        <x:v>C4</x:v>
      </x:c>
      <x:c r="C732" t="str">
        <x:v>Energy</x:v>
      </x:c>
      <x:c r="D732" t="str">
        <x:v>Drinks and Bars</x:v>
      </x:c>
      <x:c r="E732" t="str">
        <x:v>Ready to Drink Energy</x:v>
      </x:c>
      <x:c r="F732" t="str">
        <x:v>Carbonated energy drink.</x:v>
      </x:c>
      <x:c r="G732" t="str">
        <x:v>12 x 500ml cans</x:v>
      </x:c>
      <x:c r="H732" t="str">
        <x:v>Millions Apple</x:v>
      </x:c>
      <x:c r="I732" t="str">
        <x:v>12</x:v>
      </x:c>
      <x:c r="J732" t="str">
        <x:v>Case</x:v>
      </x:c>
      <x:c r="K732" t="str">
        <x:v>In stock</x:v>
      </x:c>
      <x:c r="L732" t="str">
        <x:v>2026-09-08</x:v>
      </x:c>
      <x:c r="M732" t="str"/>
      <x:c r="N732" t="str"/>
      <x:c r="O732" t="str">
        <x:v>https://www.activesportstrade.co.uk/ready-to-drink-pre-workout-trade/c4-supplements-trade</x:v>
      </x:c>
      <x:c r="P732" t="str">
        <x:v>Case-only member order. Promo/pallet wording removed.</x:v>
      </x:c>
      <x:c r="Q732" t="str"/>
      <x:c r="R732" t="str"/>
      <x:c r="S732" t="str">
        <x:v>Pending genuine supplier/brand image</x:v>
      </x:c>
      <x:c r="T732" s="54"/>
      <x:c r="U732" s="47" t="n">
        <x:v>0.2</x:v>
      </x:c>
      <x:c r="V732" s="54" t="str">
        <x:f>IF(ISNUMBER(T732),T732*(1+U732),"")</x:f>
      </x:c>
      <x:c r="W732" s="47" t="n">
        <x:v>0.3</x:v>
      </x:c>
      <x:c r="X732" s="54" t="str">
        <x:f>IF(ISNUMBER(V732),V732/(1-W732),"")</x:f>
      </x:c>
      <x:c r="Y732" s="55" t="str">
        <x:f>IF(ISNUMBER(X732),ROUNDUP(X732,0),"")</x:f>
      </x:c>
      <x:c r="Z732" t="str">
        <x:f>IF(ISNUMBER(T732),"Cost captured","Awaiting trade cost")</x:f>
        <x:v>Awaiting trade cost</x:v>
      </x:c>
      <x:c r="AB732" s="36" t="str">
        <x:f>IF(ISNUMBER(Y732),ROUND(Y732*0.9,2),"")</x:f>
      </x:c>
      <x:c r="AC732" s="36" t="str">
        <x:f>IF(ISNUMBER(AB732),ROUND(AB732-(AB732*0.015+0.2)-V732,2),"")</x:f>
      </x:c>
      <x:c r="AD732" s="36" t="str">
        <x:f>IF(ISNUMBER(Y732),ROUND(Y732*0.8,2),"")</x:f>
      </x:c>
      <x:c r="AE732" s="36" t="str">
        <x:f>IF(ISNUMBER(AD732),ROUND(AD732*0.015+0.2,2),"")</x:f>
      </x:c>
      <x:c r="AF732" s="36" t="str">
        <x:f>IF(ISNUMBER(AD732),ROUND(AD732-AE732-V732,2),"")</x:f>
      </x:c>
      <x:c r="AG732" t="str">
        <x:f>IF(NOT(ISNUMBER(T732)),"PENDING",IF(AF732&gt;0,"PASS","FAIL"))</x:f>
        <x:v>PENDING</x:v>
      </x:c>
      <x:c r="AH732" t="str">
        <x:f>IF(NOT(ISNUMBER(T732)),"Needs supplier cost",IF(K732&lt;&gt;"In stock","Supplier unavailable",IF(AG732&lt;&gt;"PASS","BLOCK - GT loss risk","Commercially protected")))</x:f>
        <x:v>Needs supplier cost</x:v>
      </x:c>
      <x:c r="AI732" t="str">
        <x:v>2026-09-10 Active Sports trade capture</x:v>
      </x:c>
      <x:c r="AJ732" t="str">
        <x:v>Management-only economics. Stripe stress test uses 1.5% + £0.20 standard UK online-card fee; pallet/mix-and-match pricing ignored.</x:v>
      </x:c>
    </x:row>
    <x:row r="733">
      <x:c r="A733" t="str">
        <x:v>Active Sports Nutrition</x:v>
      </x:c>
      <x:c r="B733" t="str">
        <x:v>C4</x:v>
      </x:c>
      <x:c r="C733" t="str">
        <x:v>Energy</x:v>
      </x:c>
      <x:c r="D733" t="str">
        <x:v>Drinks and Bars</x:v>
      </x:c>
      <x:c r="E733" t="str">
        <x:v>Ready to Drink Energy</x:v>
      </x:c>
      <x:c r="F733" t="str">
        <x:v>Carbonated energy drink.</x:v>
      </x:c>
      <x:c r="G733" t="str">
        <x:v>12 x 500ml cans</x:v>
      </x:c>
      <x:c r="H733" t="str">
        <x:v>Millions Bubblegum</x:v>
      </x:c>
      <x:c r="I733" t="str">
        <x:v>12</x:v>
      </x:c>
      <x:c r="J733" t="str">
        <x:v>Case</x:v>
      </x:c>
      <x:c r="K733" t="str">
        <x:v>In stock</x:v>
      </x:c>
      <x:c r="L733" t="str">
        <x:v>2026-09-08</x:v>
      </x:c>
      <x:c r="M733" t="str"/>
      <x:c r="N733" t="str"/>
      <x:c r="O733" t="str">
        <x:v>https://www.activesportstrade.co.uk/ready-to-drink-pre-workout-trade/c4-supplements-trade</x:v>
      </x:c>
      <x:c r="P733" t="str">
        <x:v>Case-only member order. Promo/pallet wording removed.</x:v>
      </x:c>
      <x:c r="Q733" t="str"/>
      <x:c r="R733" t="str"/>
      <x:c r="S733" t="str">
        <x:v>Pending genuine supplier/brand image</x:v>
      </x:c>
      <x:c r="T733" s="54"/>
      <x:c r="U733" s="47" t="n">
        <x:v>0.2</x:v>
      </x:c>
      <x:c r="V733" s="54" t="str">
        <x:f>IF(ISNUMBER(T733),T733*(1+U733),"")</x:f>
      </x:c>
      <x:c r="W733" s="47" t="n">
        <x:v>0.3</x:v>
      </x:c>
      <x:c r="X733" s="54" t="str">
        <x:f>IF(ISNUMBER(V733),V733/(1-W733),"")</x:f>
      </x:c>
      <x:c r="Y733" s="55" t="str">
        <x:f>IF(ISNUMBER(X733),ROUNDUP(X733,0),"")</x:f>
      </x:c>
      <x:c r="Z733" t="str">
        <x:f>IF(ISNUMBER(T733),"Cost captured","Awaiting trade cost")</x:f>
        <x:v>Awaiting trade cost</x:v>
      </x:c>
      <x:c r="AB733" s="36" t="str">
        <x:f>IF(ISNUMBER(Y733),ROUND(Y733*0.9,2),"")</x:f>
      </x:c>
      <x:c r="AC733" s="36" t="str">
        <x:f>IF(ISNUMBER(AB733),ROUND(AB733-(AB733*0.015+0.2)-V733,2),"")</x:f>
      </x:c>
      <x:c r="AD733" s="36" t="str">
        <x:f>IF(ISNUMBER(Y733),ROUND(Y733*0.8,2),"")</x:f>
      </x:c>
      <x:c r="AE733" s="36" t="str">
        <x:f>IF(ISNUMBER(AD733),ROUND(AD733*0.015+0.2,2),"")</x:f>
      </x:c>
      <x:c r="AF733" s="36" t="str">
        <x:f>IF(ISNUMBER(AD733),ROUND(AD733-AE733-V733,2),"")</x:f>
      </x:c>
      <x:c r="AG733" t="str">
        <x:f>IF(NOT(ISNUMBER(T733)),"PENDING",IF(AF733&gt;0,"PASS","FAIL"))</x:f>
        <x:v>PENDING</x:v>
      </x:c>
      <x:c r="AH733" t="str">
        <x:f>IF(NOT(ISNUMBER(T733)),"Needs supplier cost",IF(K733&lt;&gt;"In stock","Supplier unavailable",IF(AG733&lt;&gt;"PASS","BLOCK - GT loss risk","Commercially protected")))</x:f>
        <x:v>Needs supplier cost</x:v>
      </x:c>
      <x:c r="AI733" t="str">
        <x:v>2026-09-10 Active Sports trade capture</x:v>
      </x:c>
      <x:c r="AJ733" t="str">
        <x:v>Management-only economics. Stripe stress test uses 1.5% + £0.20 standard UK online-card fee; pallet/mix-and-match pricing ignored.</x:v>
      </x:c>
    </x:row>
    <x:row r="734">
      <x:c r="A734" t="str">
        <x:v>Active Sports Nutrition</x:v>
      </x:c>
      <x:c r="B734" t="str">
        <x:v>C4</x:v>
      </x:c>
      <x:c r="C734" t="str">
        <x:v>Energy</x:v>
      </x:c>
      <x:c r="D734" t="str">
        <x:v>Drinks and Bars</x:v>
      </x:c>
      <x:c r="E734" t="str">
        <x:v>Ready to Drink Energy</x:v>
      </x:c>
      <x:c r="F734" t="str">
        <x:v>Carbonated energy drink.</x:v>
      </x:c>
      <x:c r="G734" t="str">
        <x:v>12 x 500ml cans</x:v>
      </x:c>
      <x:c r="H734" t="str">
        <x:v>Millions Strawberry</x:v>
      </x:c>
      <x:c r="I734" t="str">
        <x:v>12</x:v>
      </x:c>
      <x:c r="J734" t="str">
        <x:v>Case</x:v>
      </x:c>
      <x:c r="K734" t="str">
        <x:v>In stock</x:v>
      </x:c>
      <x:c r="L734" t="str">
        <x:v>2026-09-08</x:v>
      </x:c>
      <x:c r="M734" t="str"/>
      <x:c r="N734" t="str"/>
      <x:c r="O734" t="str">
        <x:v>https://www.activesportstrade.co.uk/ready-to-drink-pre-workout-trade/c4-supplements-trade</x:v>
      </x:c>
      <x:c r="P734" t="str">
        <x:v>Case-only member order. Promo/pallet wording removed.</x:v>
      </x:c>
      <x:c r="Q734" t="str"/>
      <x:c r="R734" t="str"/>
      <x:c r="S734" t="str">
        <x:v>Pending genuine supplier/brand image</x:v>
      </x:c>
      <x:c r="T734" s="54"/>
      <x:c r="U734" s="47" t="n">
        <x:v>0.2</x:v>
      </x:c>
      <x:c r="V734" s="54" t="str">
        <x:f>IF(ISNUMBER(T734),T734*(1+U734),"")</x:f>
      </x:c>
      <x:c r="W734" s="47" t="n">
        <x:v>0.3</x:v>
      </x:c>
      <x:c r="X734" s="54" t="str">
        <x:f>IF(ISNUMBER(V734),V734/(1-W734),"")</x:f>
      </x:c>
      <x:c r="Y734" s="55" t="str">
        <x:f>IF(ISNUMBER(X734),ROUNDUP(X734,0),"")</x:f>
      </x:c>
      <x:c r="Z734" t="str">
        <x:f>IF(ISNUMBER(T734),"Cost captured","Awaiting trade cost")</x:f>
        <x:v>Awaiting trade cost</x:v>
      </x:c>
      <x:c r="AB734" s="36" t="str">
        <x:f>IF(ISNUMBER(Y734),ROUND(Y734*0.9,2),"")</x:f>
      </x:c>
      <x:c r="AC734" s="36" t="str">
        <x:f>IF(ISNUMBER(AB734),ROUND(AB734-(AB734*0.015+0.2)-V734,2),"")</x:f>
      </x:c>
      <x:c r="AD734" s="36" t="str">
        <x:f>IF(ISNUMBER(Y734),ROUND(Y734*0.8,2),"")</x:f>
      </x:c>
      <x:c r="AE734" s="36" t="str">
        <x:f>IF(ISNUMBER(AD734),ROUND(AD734*0.015+0.2,2),"")</x:f>
      </x:c>
      <x:c r="AF734" s="36" t="str">
        <x:f>IF(ISNUMBER(AD734),ROUND(AD734-AE734-V734,2),"")</x:f>
      </x:c>
      <x:c r="AG734" t="str">
        <x:f>IF(NOT(ISNUMBER(T734)),"PENDING",IF(AF734&gt;0,"PASS","FAIL"))</x:f>
        <x:v>PENDING</x:v>
      </x:c>
      <x:c r="AH734" t="str">
        <x:f>IF(NOT(ISNUMBER(T734)),"Needs supplier cost",IF(K734&lt;&gt;"In stock","Supplier unavailable",IF(AG734&lt;&gt;"PASS","BLOCK - GT loss risk","Commercially protected")))</x:f>
        <x:v>Needs supplier cost</x:v>
      </x:c>
      <x:c r="AI734" t="str">
        <x:v>2026-09-10 Active Sports trade capture</x:v>
      </x:c>
      <x:c r="AJ734" t="str">
        <x:v>Management-only economics. Stripe stress test uses 1.5% + £0.20 standard UK online-card fee; pallet/mix-and-match pricing ignored.</x:v>
      </x:c>
    </x:row>
    <x:row r="735">
      <x:c r="A735" t="str">
        <x:v>Active Sports Nutrition</x:v>
      </x:c>
      <x:c r="B735" t="str">
        <x:v>C4</x:v>
      </x:c>
      <x:c r="C735" t="str">
        <x:v>Energy</x:v>
      </x:c>
      <x:c r="D735" t="str">
        <x:v>Drinks and Bars</x:v>
      </x:c>
      <x:c r="E735" t="str">
        <x:v>Ready to Drink Energy</x:v>
      </x:c>
      <x:c r="F735" t="str">
        <x:v>Carbonated energy drink.</x:v>
      </x:c>
      <x:c r="G735" t="str">
        <x:v>12 x 500ml cans</x:v>
      </x:c>
      <x:c r="H735" t="str">
        <x:v>Twister Pineapple</x:v>
      </x:c>
      <x:c r="I735" t="str">
        <x:v>12</x:v>
      </x:c>
      <x:c r="J735" t="str">
        <x:v>Case</x:v>
      </x:c>
      <x:c r="K735" t="str">
        <x:v>In stock</x:v>
      </x:c>
      <x:c r="L735" t="str">
        <x:v>2026-09-08</x:v>
      </x:c>
      <x:c r="M735" t="str"/>
      <x:c r="N735" t="str"/>
      <x:c r="O735" t="str">
        <x:v>https://www.activesportstrade.co.uk/ready-to-drink-pre-workout-trade/c4-supplements-trade</x:v>
      </x:c>
      <x:c r="P735" t="str">
        <x:v>Case-only member order. Promo/pallet wording removed.</x:v>
      </x:c>
      <x:c r="Q735" t="str"/>
      <x:c r="R735" t="str"/>
      <x:c r="S735" t="str">
        <x:v>Pending genuine supplier/brand image</x:v>
      </x:c>
      <x:c r="T735" s="54"/>
      <x:c r="U735" s="47" t="n">
        <x:v>0.2</x:v>
      </x:c>
      <x:c r="V735" s="54" t="str">
        <x:f>IF(ISNUMBER(T735),T735*(1+U735),"")</x:f>
      </x:c>
      <x:c r="W735" s="47" t="n">
        <x:v>0.3</x:v>
      </x:c>
      <x:c r="X735" s="54" t="str">
        <x:f>IF(ISNUMBER(V735),V735/(1-W735),"")</x:f>
      </x:c>
      <x:c r="Y735" s="55" t="str">
        <x:f>IF(ISNUMBER(X735),ROUNDUP(X735,0),"")</x:f>
      </x:c>
      <x:c r="Z735" t="str">
        <x:f>IF(ISNUMBER(T735),"Cost captured","Awaiting trade cost")</x:f>
        <x:v>Awaiting trade cost</x:v>
      </x:c>
      <x:c r="AB735" s="36" t="str">
        <x:f>IF(ISNUMBER(Y735),ROUND(Y735*0.9,2),"")</x:f>
      </x:c>
      <x:c r="AC735" s="36" t="str">
        <x:f>IF(ISNUMBER(AB735),ROUND(AB735-(AB735*0.015+0.2)-V735,2),"")</x:f>
      </x:c>
      <x:c r="AD735" s="36" t="str">
        <x:f>IF(ISNUMBER(Y735),ROUND(Y735*0.8,2),"")</x:f>
      </x:c>
      <x:c r="AE735" s="36" t="str">
        <x:f>IF(ISNUMBER(AD735),ROUND(AD735*0.015+0.2,2),"")</x:f>
      </x:c>
      <x:c r="AF735" s="36" t="str">
        <x:f>IF(ISNUMBER(AD735),ROUND(AD735-AE735-V735,2),"")</x:f>
      </x:c>
      <x:c r="AG735" t="str">
        <x:f>IF(NOT(ISNUMBER(T735)),"PENDING",IF(AF735&gt;0,"PASS","FAIL"))</x:f>
        <x:v>PENDING</x:v>
      </x:c>
      <x:c r="AH735" t="str">
        <x:f>IF(NOT(ISNUMBER(T735)),"Needs supplier cost",IF(K735&lt;&gt;"In stock","Supplier unavailable",IF(AG735&lt;&gt;"PASS","BLOCK - GT loss risk","Commercially protected")))</x:f>
        <x:v>Needs supplier cost</x:v>
      </x:c>
      <x:c r="AI735" t="str">
        <x:v>2026-09-10 Active Sports trade capture</x:v>
      </x:c>
      <x:c r="AJ735" t="str">
        <x:v>Management-only economics. Stripe stress test uses 1.5% + £0.20 standard UK online-card fee; pallet/mix-and-match pricing ignored.</x:v>
      </x:c>
    </x:row>
    <x:row r="736">
      <x:c r="A736" t="str">
        <x:v>Active Sports Nutrition</x:v>
      </x:c>
      <x:c r="B736" t="str">
        <x:v>C4</x:v>
      </x:c>
      <x:c r="C736" t="str">
        <x:v>Original Pre Workout Shots</x:v>
      </x:c>
      <x:c r="D736" t="str">
        <x:v>Pre Workouts</x:v>
      </x:c>
      <x:c r="E736" t="str">
        <x:v>Shots and Ready To Drink</x:v>
      </x:c>
      <x:c r="F736" t="str">
        <x:v>Ready-to-drink pre-workout shot.</x:v>
      </x:c>
      <x:c r="G736" t="str">
        <x:v>12 x 60ml shots</x:v>
      </x:c>
      <x:c r="H736" t="str">
        <x:v>Citrus Berry</x:v>
      </x:c>
      <x:c r="I736" t="str">
        <x:v>12</x:v>
      </x:c>
      <x:c r="J736" t="str">
        <x:v>Case</x:v>
      </x:c>
      <x:c r="K736" t="str">
        <x:v>In stock</x:v>
      </x:c>
      <x:c r="L736" t="str">
        <x:v>2026-09-08</x:v>
      </x:c>
      <x:c r="M736" t="str"/>
      <x:c r="N736" t="str"/>
      <x:c r="O736" t="str">
        <x:v>https://www.activesportstrade.co.uk/ready-to-drink-pre-workout-trade/c4-supplements-trade</x:v>
      </x:c>
      <x:c r="P736" t="str">
        <x:v>Case-only member order. Promo wording removed.</x:v>
      </x:c>
      <x:c r="Q736" t="str"/>
      <x:c r="R736" t="str"/>
      <x:c r="S736" t="str">
        <x:v>Pending genuine supplier/brand image</x:v>
      </x:c>
      <x:c r="T736" s="54"/>
      <x:c r="U736" s="47" t="n">
        <x:v>0.2</x:v>
      </x:c>
      <x:c r="V736" s="54" t="str">
        <x:f>IF(ISNUMBER(T736),T736*(1+U736),"")</x:f>
      </x:c>
      <x:c r="W736" s="47" t="n">
        <x:v>0.3</x:v>
      </x:c>
      <x:c r="X736" s="54" t="str">
        <x:f>IF(ISNUMBER(V736),V736/(1-W736),"")</x:f>
      </x:c>
      <x:c r="Y736" s="55" t="str">
        <x:f>IF(ISNUMBER(X736),ROUNDUP(X736,0),"")</x:f>
      </x:c>
      <x:c r="Z736" t="str">
        <x:f>IF(ISNUMBER(T736),"Cost captured","Awaiting trade cost")</x:f>
        <x:v>Awaiting trade cost</x:v>
      </x:c>
      <x:c r="AB736" s="36" t="str">
        <x:f>IF(ISNUMBER(Y736),ROUND(Y736*0.9,2),"")</x:f>
      </x:c>
      <x:c r="AC736" s="36" t="str">
        <x:f>IF(ISNUMBER(AB736),ROUND(AB736-(AB736*0.015+0.2)-V736,2),"")</x:f>
      </x:c>
      <x:c r="AD736" s="36" t="str">
        <x:f>IF(ISNUMBER(Y736),ROUND(Y736*0.8,2),"")</x:f>
      </x:c>
      <x:c r="AE736" s="36" t="str">
        <x:f>IF(ISNUMBER(AD736),ROUND(AD736*0.015+0.2,2),"")</x:f>
      </x:c>
      <x:c r="AF736" s="36" t="str">
        <x:f>IF(ISNUMBER(AD736),ROUND(AD736-AE736-V736,2),"")</x:f>
      </x:c>
      <x:c r="AG736" t="str">
        <x:f>IF(NOT(ISNUMBER(T736)),"PENDING",IF(AF736&gt;0,"PASS","FAIL"))</x:f>
        <x:v>PENDING</x:v>
      </x:c>
      <x:c r="AH736" t="str">
        <x:f>IF(NOT(ISNUMBER(T736)),"Needs supplier cost",IF(K736&lt;&gt;"In stock","Supplier unavailable",IF(AG736&lt;&gt;"PASS","BLOCK - GT loss risk","Commercially protected")))</x:f>
        <x:v>Needs supplier cost</x:v>
      </x:c>
      <x:c r="AI736" t="str">
        <x:v>2026-09-10 Active Sports trade capture</x:v>
      </x:c>
      <x:c r="AJ736" t="str">
        <x:v>Management-only economics. Stripe stress test uses 1.5% + £0.20 standard UK online-card fee; pallet/mix-and-match pricing ignored.</x:v>
      </x:c>
    </x:row>
    <x:row r="737">
      <x:c r="A737" t="str">
        <x:v>Active Sports Nutrition</x:v>
      </x:c>
      <x:c r="B737" t="str">
        <x:v>C4</x:v>
      </x:c>
      <x:c r="C737" t="str">
        <x:v>Original Pre Workout Shots</x:v>
      </x:c>
      <x:c r="D737" t="str">
        <x:v>Pre Workouts</x:v>
      </x:c>
      <x:c r="E737" t="str">
        <x:v>Shots and Ready To Drink</x:v>
      </x:c>
      <x:c r="F737" t="str">
        <x:v>Ready-to-drink pre-workout shot.</x:v>
      </x:c>
      <x:c r="G737" t="str">
        <x:v>12 x 60ml shots</x:v>
      </x:c>
      <x:c r="H737" t="str">
        <x:v>Sour Batch Bros</x:v>
      </x:c>
      <x:c r="I737" t="str">
        <x:v>12</x:v>
      </x:c>
      <x:c r="J737" t="str">
        <x:v>Case</x:v>
      </x:c>
      <x:c r="K737" t="str">
        <x:v>In stock</x:v>
      </x:c>
      <x:c r="L737" t="str">
        <x:v>2026-09-08</x:v>
      </x:c>
      <x:c r="M737" t="str"/>
      <x:c r="N737" t="str"/>
      <x:c r="O737" t="str">
        <x:v>https://www.activesportstrade.co.uk/ready-to-drink-pre-workout-trade/c4-supplements-trade</x:v>
      </x:c>
      <x:c r="P737" t="str">
        <x:v>Case-only member order. Promo wording removed.</x:v>
      </x:c>
      <x:c r="Q737" t="str"/>
      <x:c r="R737" t="str"/>
      <x:c r="S737" t="str">
        <x:v>Pending genuine supplier/brand image</x:v>
      </x:c>
      <x:c r="T737" s="54"/>
      <x:c r="U737" s="47" t="n">
        <x:v>0.2</x:v>
      </x:c>
      <x:c r="V737" s="54" t="str">
        <x:f>IF(ISNUMBER(T737),T737*(1+U737),"")</x:f>
      </x:c>
      <x:c r="W737" s="47" t="n">
        <x:v>0.3</x:v>
      </x:c>
      <x:c r="X737" s="54" t="str">
        <x:f>IF(ISNUMBER(V737),V737/(1-W737),"")</x:f>
      </x:c>
      <x:c r="Y737" s="55" t="str">
        <x:f>IF(ISNUMBER(X737),ROUNDUP(X737,0),"")</x:f>
      </x:c>
      <x:c r="Z737" t="str">
        <x:f>IF(ISNUMBER(T737),"Cost captured","Awaiting trade cost")</x:f>
        <x:v>Awaiting trade cost</x:v>
      </x:c>
      <x:c r="AB737" s="36" t="str">
        <x:f>IF(ISNUMBER(Y737),ROUND(Y737*0.9,2),"")</x:f>
      </x:c>
      <x:c r="AC737" s="36" t="str">
        <x:f>IF(ISNUMBER(AB737),ROUND(AB737-(AB737*0.015+0.2)-V737,2),"")</x:f>
      </x:c>
      <x:c r="AD737" s="36" t="str">
        <x:f>IF(ISNUMBER(Y737),ROUND(Y737*0.8,2),"")</x:f>
      </x:c>
      <x:c r="AE737" s="36" t="str">
        <x:f>IF(ISNUMBER(AD737),ROUND(AD737*0.015+0.2,2),"")</x:f>
      </x:c>
      <x:c r="AF737" s="36" t="str">
        <x:f>IF(ISNUMBER(AD737),ROUND(AD737-AE737-V737,2),"")</x:f>
      </x:c>
      <x:c r="AG737" t="str">
        <x:f>IF(NOT(ISNUMBER(T737)),"PENDING",IF(AF737&gt;0,"PASS","FAIL"))</x:f>
        <x:v>PENDING</x:v>
      </x:c>
      <x:c r="AH737" t="str">
        <x:f>IF(NOT(ISNUMBER(T737)),"Needs supplier cost",IF(K737&lt;&gt;"In stock","Supplier unavailable",IF(AG737&lt;&gt;"PASS","BLOCK - GT loss risk","Commercially protected")))</x:f>
        <x:v>Needs supplier cost</x:v>
      </x:c>
      <x:c r="AI737" t="str">
        <x:v>2026-09-10 Active Sports trade capture</x:v>
      </x:c>
      <x:c r="AJ737" t="str">
        <x:v>Management-only economics. Stripe stress test uses 1.5% + £0.20 standard UK online-card fee; pallet/mix-and-match pricing ignored.</x:v>
      </x:c>
    </x:row>
    <x:row r="738">
      <x:c r="A738" t="str">
        <x:v>Active Sports Nutrition</x:v>
      </x:c>
      <x:c r="B738" t="str">
        <x:v>C4</x:v>
      </x:c>
      <x:c r="C738" t="str">
        <x:v>Original Pre Workout Shots</x:v>
      </x:c>
      <x:c r="D738" t="str">
        <x:v>Pre Workouts</x:v>
      </x:c>
      <x:c r="E738" t="str">
        <x:v>Shots and Ready To Drink</x:v>
      </x:c>
      <x:c r="F738" t="str">
        <x:v>Ready-to-drink pre-workout shot.</x:v>
      </x:c>
      <x:c r="G738" t="str">
        <x:v>12 x 60ml shots</x:v>
      </x:c>
      <x:c r="H738" t="str">
        <x:v>Strawberry Millions</x:v>
      </x:c>
      <x:c r="I738" t="str">
        <x:v>12</x:v>
      </x:c>
      <x:c r="J738" t="str">
        <x:v>Case</x:v>
      </x:c>
      <x:c r="K738" t="str">
        <x:v>In stock</x:v>
      </x:c>
      <x:c r="L738" t="str">
        <x:v>2026-09-08</x:v>
      </x:c>
      <x:c r="M738" t="str"/>
      <x:c r="N738" t="str"/>
      <x:c r="O738" t="str">
        <x:v>https://www.activesportstrade.co.uk/ready-to-drink-pre-workout-trade/c4-supplements-trade</x:v>
      </x:c>
      <x:c r="P738" t="str">
        <x:v>Case-only member order. Promo wording removed.</x:v>
      </x:c>
      <x:c r="Q738" t="str"/>
      <x:c r="R738" t="str"/>
      <x:c r="S738" t="str">
        <x:v>Pending genuine supplier/brand image</x:v>
      </x:c>
      <x:c r="T738" s="54"/>
      <x:c r="U738" s="47" t="n">
        <x:v>0.2</x:v>
      </x:c>
      <x:c r="V738" s="54" t="str">
        <x:f>IF(ISNUMBER(T738),T738*(1+U738),"")</x:f>
      </x:c>
      <x:c r="W738" s="47" t="n">
        <x:v>0.3</x:v>
      </x:c>
      <x:c r="X738" s="54" t="str">
        <x:f>IF(ISNUMBER(V738),V738/(1-W738),"")</x:f>
      </x:c>
      <x:c r="Y738" s="55" t="str">
        <x:f>IF(ISNUMBER(X738),ROUNDUP(X738,0),"")</x:f>
      </x:c>
      <x:c r="Z738" t="str">
        <x:f>IF(ISNUMBER(T738),"Cost captured","Awaiting trade cost")</x:f>
        <x:v>Awaiting trade cost</x:v>
      </x:c>
      <x:c r="AB738" s="36" t="str">
        <x:f>IF(ISNUMBER(Y738),ROUND(Y738*0.9,2),"")</x:f>
      </x:c>
      <x:c r="AC738" s="36" t="str">
        <x:f>IF(ISNUMBER(AB738),ROUND(AB738-(AB738*0.015+0.2)-V738,2),"")</x:f>
      </x:c>
      <x:c r="AD738" s="36" t="str">
        <x:f>IF(ISNUMBER(Y738),ROUND(Y738*0.8,2),"")</x:f>
      </x:c>
      <x:c r="AE738" s="36" t="str">
        <x:f>IF(ISNUMBER(AD738),ROUND(AD738*0.015+0.2,2),"")</x:f>
      </x:c>
      <x:c r="AF738" s="36" t="str">
        <x:f>IF(ISNUMBER(AD738),ROUND(AD738-AE738-V738,2),"")</x:f>
      </x:c>
      <x:c r="AG738" t="str">
        <x:f>IF(NOT(ISNUMBER(T738)),"PENDING",IF(AF738&gt;0,"PASS","FAIL"))</x:f>
        <x:v>PENDING</x:v>
      </x:c>
      <x:c r="AH738" t="str">
        <x:f>IF(NOT(ISNUMBER(T738)),"Needs supplier cost",IF(K738&lt;&gt;"In stock","Supplier unavailable",IF(AG738&lt;&gt;"PASS","BLOCK - GT loss risk","Commercially protected")))</x:f>
        <x:v>Needs supplier cost</x:v>
      </x:c>
      <x:c r="AI738" t="str">
        <x:v>2026-09-10 Active Sports trade capture</x:v>
      </x:c>
      <x:c r="AJ738" t="str">
        <x:v>Management-only economics. Stripe stress test uses 1.5% + £0.20 standard UK online-card fee; pallet/mix-and-match pricing ignored.</x:v>
      </x:c>
    </x:row>
    <x:row r="739">
      <x:c r="A739" t="str">
        <x:v>Active Sports Nutrition</x:v>
      </x:c>
      <x:c r="B739" t="str">
        <x:v>C4</x:v>
      </x:c>
      <x:c r="C739" t="str">
        <x:v>Ultimate Pre Workout Shot</x:v>
      </x:c>
      <x:c r="D739" t="str">
        <x:v>Pre Workouts</x:v>
      </x:c>
      <x:c r="E739" t="str">
        <x:v>Shots and Ready To Drink</x:v>
      </x:c>
      <x:c r="F739" t="str">
        <x:v>High-strength ready-to-drink pre-workout shot.</x:v>
      </x:c>
      <x:c r="G739" t="str">
        <x:v>12 x 60ml shots</x:v>
      </x:c>
      <x:c r="H739" t="str">
        <x:v>Apple Millions</x:v>
      </x:c>
      <x:c r="I739" t="str">
        <x:v>12</x:v>
      </x:c>
      <x:c r="J739" t="str">
        <x:v>Case</x:v>
      </x:c>
      <x:c r="K739" t="str">
        <x:v>Unavailable - dated clearance</x:v>
      </x:c>
      <x:c r="L739" t="str">
        <x:v>2026-09-08</x:v>
      </x:c>
      <x:c r="M739" t="str"/>
      <x:c r="N739" t="str"/>
      <x:c r="O739" t="str">
        <x:v>https://www.activesportstrade.co.uk/ready-to-drink-pre-workout-trade/c4-supplements-trade</x:v>
      </x:c>
      <x:c r="P739" t="str">
        <x:v>Supplier listing is explicitly BBE-dated stock (06/08/26 and 30/11/26). Preserved for catalogue audit but NOT treated as normal member-orderable stock.</x:v>
      </x:c>
      <x:c r="Q739" t="str"/>
      <x:c r="R739" t="str"/>
      <x:c r="S739" t="str">
        <x:v>Pending genuine supplier/brand image</x:v>
      </x:c>
      <x:c r="T739" s="54"/>
      <x:c r="U739" s="47" t="n">
        <x:v>0.2</x:v>
      </x:c>
      <x:c r="V739" s="54" t="str">
        <x:f>IF(ISNUMBER(T739),T739*(1+U739),"")</x:f>
      </x:c>
      <x:c r="W739" s="47" t="n">
        <x:v>0.3</x:v>
      </x:c>
      <x:c r="X739" s="54" t="str">
        <x:f>IF(ISNUMBER(V739),V739/(1-W739),"")</x:f>
      </x:c>
      <x:c r="Y739" s="55" t="str">
        <x:f>IF(ISNUMBER(X739),ROUNDUP(X739,0),"")</x:f>
      </x:c>
      <x:c r="Z739" t="str">
        <x:f>IF(ISNUMBER(T739),"Cost captured","Awaiting trade cost")</x:f>
        <x:v>Awaiting trade cost</x:v>
      </x:c>
      <x:c r="AB739" s="36" t="str">
        <x:f>IF(ISNUMBER(Y739),ROUND(Y739*0.9,2),"")</x:f>
      </x:c>
      <x:c r="AC739" s="36" t="str">
        <x:f>IF(ISNUMBER(AB739),ROUND(AB739-(AB739*0.015+0.2)-V739,2),"")</x:f>
      </x:c>
      <x:c r="AD739" s="36" t="str">
        <x:f>IF(ISNUMBER(Y739),ROUND(Y739*0.8,2),"")</x:f>
      </x:c>
      <x:c r="AE739" s="36" t="str">
        <x:f>IF(ISNUMBER(AD739),ROUND(AD739*0.015+0.2,2),"")</x:f>
      </x:c>
      <x:c r="AF739" s="36" t="str">
        <x:f>IF(ISNUMBER(AD739),ROUND(AD739-AE739-V739,2),"")</x:f>
      </x:c>
      <x:c r="AG739" t="str">
        <x:f>IF(NOT(ISNUMBER(T739)),"PENDING",IF(AF739&gt;0,"PASS","FAIL"))</x:f>
        <x:v>PENDING</x:v>
      </x:c>
      <x:c r="AH739" t="str">
        <x:f>IF(NOT(ISNUMBER(T739)),"Needs supplier cost",IF(K739&lt;&gt;"In stock","Supplier unavailable",IF(AG739&lt;&gt;"PASS","BLOCK - GT loss risk","Commercially protected")))</x:f>
        <x:v>Needs supplier cost</x:v>
      </x:c>
      <x:c r="AI739" t="str">
        <x:v>2026-09-10 Active Sports trade capture</x:v>
      </x:c>
      <x:c r="AJ739" t="str">
        <x:v>Management-only economics. Stripe stress test uses 1.5% + £0.20 standard UK online-card fee; pallet/mix-and-match pricing ignored.</x:v>
      </x:c>
    </x:row>
    <x:row r="740">
      <x:c r="A740" t="str">
        <x:v>Active Sports Nutrition</x:v>
      </x:c>
      <x:c r="B740" t="str">
        <x:v>C4</x:v>
      </x:c>
      <x:c r="C740" t="str">
        <x:v>Ultimate Pre Workout Shot</x:v>
      </x:c>
      <x:c r="D740" t="str">
        <x:v>Pre Workouts</x:v>
      </x:c>
      <x:c r="E740" t="str">
        <x:v>Shots and Ready To Drink</x:v>
      </x:c>
      <x:c r="F740" t="str">
        <x:v>High-strength ready-to-drink pre-workout shot.</x:v>
      </x:c>
      <x:c r="G740" t="str">
        <x:v>12 x 60ml shots</x:v>
      </x:c>
      <x:c r="H740" t="str">
        <x:v>Tutti Frutti</x:v>
      </x:c>
      <x:c r="I740" t="str">
        <x:v>12</x:v>
      </x:c>
      <x:c r="J740" t="str">
        <x:v>Case</x:v>
      </x:c>
      <x:c r="K740" t="str">
        <x:v>Unavailable - dated clearance</x:v>
      </x:c>
      <x:c r="L740" t="str">
        <x:v>2026-09-08</x:v>
      </x:c>
      <x:c r="M740" t="str"/>
      <x:c r="N740" t="str"/>
      <x:c r="O740" t="str">
        <x:v>https://www.activesportstrade.co.uk/ready-to-drink-pre-workout-trade/c4-supplements-trade</x:v>
      </x:c>
      <x:c r="P740" t="str">
        <x:v>Supplier listing is explicitly BBE-dated stock (06/08/26 and 30/11/26). Preserved for catalogue audit but NOT treated as normal member-orderable stock.</x:v>
      </x:c>
      <x:c r="Q740" t="str"/>
      <x:c r="R740" t="str"/>
      <x:c r="S740" t="str">
        <x:v>Pending genuine supplier/brand image</x:v>
      </x:c>
      <x:c r="T740" s="54"/>
      <x:c r="U740" s="47" t="n">
        <x:v>0.2</x:v>
      </x:c>
      <x:c r="V740" s="54" t="str">
        <x:f>IF(ISNUMBER(T740),T740*(1+U740),"")</x:f>
      </x:c>
      <x:c r="W740" s="47" t="n">
        <x:v>0.3</x:v>
      </x:c>
      <x:c r="X740" s="54" t="str">
        <x:f>IF(ISNUMBER(V740),V740/(1-W740),"")</x:f>
      </x:c>
      <x:c r="Y740" s="55" t="str">
        <x:f>IF(ISNUMBER(X740),ROUNDUP(X740,0),"")</x:f>
      </x:c>
      <x:c r="Z740" t="str">
        <x:f>IF(ISNUMBER(T740),"Cost captured","Awaiting trade cost")</x:f>
        <x:v>Awaiting trade cost</x:v>
      </x:c>
      <x:c r="AB740" s="36" t="str">
        <x:f>IF(ISNUMBER(Y740),ROUND(Y740*0.9,2),"")</x:f>
      </x:c>
      <x:c r="AC740" s="36" t="str">
        <x:f>IF(ISNUMBER(AB740),ROUND(AB740-(AB740*0.015+0.2)-V740,2),"")</x:f>
      </x:c>
      <x:c r="AD740" s="36" t="str">
        <x:f>IF(ISNUMBER(Y740),ROUND(Y740*0.8,2),"")</x:f>
      </x:c>
      <x:c r="AE740" s="36" t="str">
        <x:f>IF(ISNUMBER(AD740),ROUND(AD740*0.015+0.2,2),"")</x:f>
      </x:c>
      <x:c r="AF740" s="36" t="str">
        <x:f>IF(ISNUMBER(AD740),ROUND(AD740-AE740-V740,2),"")</x:f>
      </x:c>
      <x:c r="AG740" t="str">
        <x:f>IF(NOT(ISNUMBER(T740)),"PENDING",IF(AF740&gt;0,"PASS","FAIL"))</x:f>
        <x:v>PENDING</x:v>
      </x:c>
      <x:c r="AH740" t="str">
        <x:f>IF(NOT(ISNUMBER(T740)),"Needs supplier cost",IF(K740&lt;&gt;"In stock","Supplier unavailable",IF(AG740&lt;&gt;"PASS","BLOCK - GT loss risk","Commercially protected")))</x:f>
        <x:v>Needs supplier cost</x:v>
      </x:c>
      <x:c r="AI740" t="str">
        <x:v>2026-09-10 Active Sports trade capture</x:v>
      </x:c>
      <x:c r="AJ740" t="str">
        <x:v>Management-only economics. Stripe stress test uses 1.5% + £0.20 standard UK online-card fee; pallet/mix-and-match pricing ignored.</x:v>
      </x:c>
    </x:row>
    <x:row r="741">
      <x:c r="A741" t="str">
        <x:v>Active Sports Nutrition</x:v>
      </x:c>
      <x:c r="B741" t="str">
        <x:v>C4</x:v>
      </x:c>
      <x:c r="C741" t="str">
        <x:v>Whey Protein</x:v>
      </x:c>
      <x:c r="D741" t="str">
        <x:v>Supplements</x:v>
      </x:c>
      <x:c r="E741" t="str">
        <x:v>Whey Protein</x:v>
      </x:c>
      <x:c r="F741" t="str">
        <x:v>Whey protein powder.</x:v>
      </x:c>
      <x:c r="G741" t="str">
        <x:v>799g / 22 servings</x:v>
      </x:c>
      <x:c r="H741" t="str">
        <x:v>Vanilla Bean</x:v>
      </x:c>
      <x:c r="I741" t="str"/>
      <x:c r="J741" t="str">
        <x:v>Unit</x:v>
      </x:c>
      <x:c r="K741" t="str">
        <x:v>In stock</x:v>
      </x:c>
      <x:c r="L741" t="str">
        <x:v>2026-09-08</x:v>
      </x:c>
      <x:c r="M741" t="str"/>
      <x:c r="N741" t="str"/>
      <x:c r="O741" t="str">
        <x:v>https://www.activesportstrade.co.uk/trade-sports-supplements</x:v>
      </x:c>
      <x:c r="P741" t="str">
        <x:v>FREE SHAKER promo removed.</x:v>
      </x:c>
      <x:c r="Q741" t="str"/>
      <x:c r="R741" t="str"/>
      <x:c r="S741" t="str">
        <x:v>Pending genuine supplier/brand image</x:v>
      </x:c>
      <x:c r="T741" s="54"/>
      <x:c r="U741" s="47" t="n">
        <x:v>0.2</x:v>
      </x:c>
      <x:c r="V741" s="54" t="str">
        <x:f>IF(ISNUMBER(T741),T741*(1+U741),"")</x:f>
      </x:c>
      <x:c r="W741" s="47" t="n">
        <x:v>0.3</x:v>
      </x:c>
      <x:c r="X741" s="54" t="str">
        <x:f>IF(ISNUMBER(V741),V741/(1-W741),"")</x:f>
      </x:c>
      <x:c r="Y741" s="55" t="str">
        <x:f>IF(ISNUMBER(X741),ROUNDUP(X741,0),"")</x:f>
      </x:c>
      <x:c r="Z741" t="str">
        <x:f>IF(ISNUMBER(T741),"Cost captured","Awaiting trade cost")</x:f>
        <x:v>Awaiting trade cost</x:v>
      </x:c>
      <x:c r="AB741" s="36" t="str">
        <x:f>IF(ISNUMBER(Y741),ROUND(Y741*0.9,2),"")</x:f>
      </x:c>
      <x:c r="AC741" s="36" t="str">
        <x:f>IF(ISNUMBER(AB741),ROUND(AB741-(AB741*0.015+0.2)-V741,2),"")</x:f>
      </x:c>
      <x:c r="AD741" s="36" t="str">
        <x:f>IF(ISNUMBER(Y741),ROUND(Y741*0.8,2),"")</x:f>
      </x:c>
      <x:c r="AE741" s="36" t="str">
        <x:f>IF(ISNUMBER(AD741),ROUND(AD741*0.015+0.2,2),"")</x:f>
      </x:c>
      <x:c r="AF741" s="36" t="str">
        <x:f>IF(ISNUMBER(AD741),ROUND(AD741-AE741-V741,2),"")</x:f>
      </x:c>
      <x:c r="AG741" t="str">
        <x:f>IF(NOT(ISNUMBER(T741)),"PENDING",IF(AF741&gt;0,"PASS","FAIL"))</x:f>
        <x:v>PENDING</x:v>
      </x:c>
      <x:c r="AH741" t="str">
        <x:f>IF(NOT(ISNUMBER(T741)),"Needs supplier cost",IF(K741&lt;&gt;"In stock","Supplier unavailable",IF(AG741&lt;&gt;"PASS","BLOCK - GT loss risk","Commercially protected")))</x:f>
        <x:v>Needs supplier cost</x:v>
      </x:c>
      <x:c r="AI741" t="str">
        <x:v>2026-09-10 Active Sports trade capture</x:v>
      </x:c>
      <x:c r="AJ741" t="str">
        <x:v>Management-only economics. Stripe stress test uses 1.5% + £0.20 standard UK online-card fee; pallet/mix-and-match pricing ignored.</x:v>
      </x:c>
    </x:row>
    <x:row r="742">
      <x:c r="A742" t="str">
        <x:v>Active Sports Nutrition</x:v>
      </x:c>
      <x:c r="B742" t="str">
        <x:v>C4</x:v>
      </x:c>
      <x:c r="C742" t="str">
        <x:v>Whey Protein</x:v>
      </x:c>
      <x:c r="D742" t="str">
        <x:v>Supplements</x:v>
      </x:c>
      <x:c r="E742" t="str">
        <x:v>Whey Protein</x:v>
      </x:c>
      <x:c r="F742" t="str">
        <x:v>Whey protein powder.</x:v>
      </x:c>
      <x:c r="G742" t="str">
        <x:v>814g / 22 servings</x:v>
      </x:c>
      <x:c r="H742" t="str">
        <x:v>Peanut Butter &amp; Chocolate</x:v>
      </x:c>
      <x:c r="I742" t="str"/>
      <x:c r="J742" t="str">
        <x:v>Unit</x:v>
      </x:c>
      <x:c r="K742" t="str">
        <x:v>In stock</x:v>
      </x:c>
      <x:c r="L742" t="str">
        <x:v>2026-09-08</x:v>
      </x:c>
      <x:c r="M742" t="str"/>
      <x:c r="N742" t="str"/>
      <x:c r="O742" t="str">
        <x:v>https://www.activesportstrade.co.uk/trade-sports-supplements</x:v>
      </x:c>
      <x:c r="P742" t="str">
        <x:v>Reese's branded flavour; FREE SHAKER promo removed.</x:v>
      </x:c>
      <x:c r="Q742" t="str"/>
      <x:c r="R742" t="str"/>
      <x:c r="S742" t="str">
        <x:v>Pending genuine supplier/brand image</x:v>
      </x:c>
      <x:c r="T742" s="54"/>
      <x:c r="U742" s="47" t="n">
        <x:v>0.2</x:v>
      </x:c>
      <x:c r="V742" s="54" t="str">
        <x:f>IF(ISNUMBER(T742),T742*(1+U742),"")</x:f>
      </x:c>
      <x:c r="W742" s="47" t="n">
        <x:v>0.3</x:v>
      </x:c>
      <x:c r="X742" s="54" t="str">
        <x:f>IF(ISNUMBER(V742),V742/(1-W742),"")</x:f>
      </x:c>
      <x:c r="Y742" s="55" t="str">
        <x:f>IF(ISNUMBER(X742),ROUNDUP(X742,0),"")</x:f>
      </x:c>
      <x:c r="Z742" t="str">
        <x:f>IF(ISNUMBER(T742),"Cost captured","Awaiting trade cost")</x:f>
        <x:v>Awaiting trade cost</x:v>
      </x:c>
      <x:c r="AB742" s="36" t="str">
        <x:f>IF(ISNUMBER(Y742),ROUND(Y742*0.9,2),"")</x:f>
      </x:c>
      <x:c r="AC742" s="36" t="str">
        <x:f>IF(ISNUMBER(AB742),ROUND(AB742-(AB742*0.015+0.2)-V742,2),"")</x:f>
      </x:c>
      <x:c r="AD742" s="36" t="str">
        <x:f>IF(ISNUMBER(Y742),ROUND(Y742*0.8,2),"")</x:f>
      </x:c>
      <x:c r="AE742" s="36" t="str">
        <x:f>IF(ISNUMBER(AD742),ROUND(AD742*0.015+0.2,2),"")</x:f>
      </x:c>
      <x:c r="AF742" s="36" t="str">
        <x:f>IF(ISNUMBER(AD742),ROUND(AD742-AE742-V742,2),"")</x:f>
      </x:c>
      <x:c r="AG742" t="str">
        <x:f>IF(NOT(ISNUMBER(T742)),"PENDING",IF(AF742&gt;0,"PASS","FAIL"))</x:f>
        <x:v>PENDING</x:v>
      </x:c>
      <x:c r="AH742" t="str">
        <x:f>IF(NOT(ISNUMBER(T742)),"Needs supplier cost",IF(K742&lt;&gt;"In stock","Supplier unavailable",IF(AG742&lt;&gt;"PASS","BLOCK - GT loss risk","Commercially protected")))</x:f>
        <x:v>Needs supplier cost</x:v>
      </x:c>
      <x:c r="AI742" t="str">
        <x:v>2026-09-10 Active Sports trade capture</x:v>
      </x:c>
      <x:c r="AJ742" t="str">
        <x:v>Management-only economics. Stripe stress test uses 1.5% + £0.20 standard UK online-card fee; pallet/mix-and-match pricing ignored.</x:v>
      </x:c>
    </x:row>
    <x:row r="743">
      <x:c r="A743" t="str">
        <x:v>Active Sports Nutrition</x:v>
      </x:c>
      <x:c r="B743" t="str">
        <x:v>CNP Professional</x:v>
      </x:c>
      <x:c r="C743" t="str">
        <x:v>Ashwagandha KSM-66</x:v>
      </x:c>
      <x:c r="D743" t="str">
        <x:v>Supplements</x:v>
      </x:c>
      <x:c r="E743" t="str">
        <x:v>Health Foods</x:v>
      </x:c>
      <x:c r="F743" t="str"/>
      <x:c r="G743" t="str">
        <x:v>60 caps</x:v>
      </x:c>
      <x:c r="H743" t="str">
        <x:v>Default</x:v>
      </x:c>
      <x:c r="I743" t="str"/>
      <x:c r="J743" t="str">
        <x:v>Unit</x:v>
      </x:c>
      <x:c r="K743" t="str">
        <x:v>In stock</x:v>
      </x:c>
      <x:c r="L743" t="str">
        <x:v>2026-09-08</x:v>
      </x:c>
      <x:c r="M743" t="str"/>
      <x:c r="N743" t="str"/>
      <x:c r="O743" t="str">
        <x:v>https://www.activesportstrade.co.uk/trade-sports-supplements</x:v>
      </x:c>
      <x:c r="P743" t="str">
        <x:v>BUY 5 GET 1 FREE promo removed.</x:v>
      </x:c>
      <x:c r="Q743" t="str"/>
      <x:c r="R743" t="str"/>
      <x:c r="S743" t="str">
        <x:v>Pending genuine supplier/brand image</x:v>
      </x:c>
      <x:c r="T743" s="54"/>
      <x:c r="U743" s="47" t="n">
        <x:v>0.2</x:v>
      </x:c>
      <x:c r="V743" s="54" t="str">
        <x:f>IF(ISNUMBER(T743),T743*(1+U743),"")</x:f>
      </x:c>
      <x:c r="W743" s="47" t="n">
        <x:v>0.3</x:v>
      </x:c>
      <x:c r="X743" s="54" t="str">
        <x:f>IF(ISNUMBER(V743),V743/(1-W743),"")</x:f>
      </x:c>
      <x:c r="Y743" s="55" t="str">
        <x:f>IF(ISNUMBER(X743),ROUNDUP(X743,0),"")</x:f>
      </x:c>
      <x:c r="Z743" t="str">
        <x:f>IF(ISNUMBER(T743),"Cost captured","Awaiting trade cost")</x:f>
        <x:v>Awaiting trade cost</x:v>
      </x:c>
      <x:c r="AB743" s="36" t="str">
        <x:f>IF(ISNUMBER(Y743),ROUND(Y743*0.9,2),"")</x:f>
      </x:c>
      <x:c r="AC743" s="36" t="str">
        <x:f>IF(ISNUMBER(AB743),ROUND(AB743-(AB743*0.015+0.2)-V743,2),"")</x:f>
      </x:c>
      <x:c r="AD743" s="36" t="str">
        <x:f>IF(ISNUMBER(Y743),ROUND(Y743*0.8,2),"")</x:f>
      </x:c>
      <x:c r="AE743" s="36" t="str">
        <x:f>IF(ISNUMBER(AD743),ROUND(AD743*0.015+0.2,2),"")</x:f>
      </x:c>
      <x:c r="AF743" s="36" t="str">
        <x:f>IF(ISNUMBER(AD743),ROUND(AD743-AE743-V743,2),"")</x:f>
      </x:c>
      <x:c r="AG743" t="str">
        <x:f>IF(NOT(ISNUMBER(T743)),"PENDING",IF(AF743&gt;0,"PASS","FAIL"))</x:f>
        <x:v>PENDING</x:v>
      </x:c>
      <x:c r="AH743" t="str">
        <x:f>IF(NOT(ISNUMBER(T743)),"Needs supplier cost",IF(K743&lt;&gt;"In stock","Supplier unavailable",IF(AG743&lt;&gt;"PASS","BLOCK - GT loss risk","Commercially protected")))</x:f>
        <x:v>Needs supplier cost</x:v>
      </x:c>
      <x:c r="AI743" t="str">
        <x:v>2026-09-10 Active Sports trade capture</x:v>
      </x:c>
      <x:c r="AJ743" t="str">
        <x:v>Management-only economics. Stripe stress test uses 1.5% + £0.20 standard UK online-card fee; pallet/mix-and-match pricing ignored.</x:v>
      </x:c>
    </x:row>
    <x:row r="744">
      <x:c r="A744" t="str">
        <x:v>Active Sports Nutrition</x:v>
      </x:c>
      <x:c r="B744" t="str">
        <x:v>CNP Professional</x:v>
      </x:c>
      <x:c r="C744" t="str">
        <x:v>Cream of Rice</x:v>
      </x:c>
      <x:c r="D744" t="str">
        <x:v>Supplements</x:v>
      </x:c>
      <x:c r="E744" t="str">
        <x:v>Carbohydrates</x:v>
      </x:c>
      <x:c r="F744" t="str"/>
      <x:c r="G744" t="str">
        <x:v>2kg</x:v>
      </x:c>
      <x:c r="H744" t="str">
        <x:v>Biscuit Spread</x:v>
      </x:c>
      <x:c r="I744" t="str"/>
      <x:c r="J744" t="str">
        <x:v>Unit</x:v>
      </x:c>
      <x:c r="K744" t="str">
        <x:v>In stock</x:v>
      </x:c>
      <x:c r="L744" t="str">
        <x:v>2026-09-08</x:v>
      </x:c>
      <x:c r="M744" t="str"/>
      <x:c r="N744" t="str"/>
      <x:c r="O744" t="str">
        <x:v>https://www.activesportstrade.co.uk/trade-sports-supplements</x:v>
      </x:c>
      <x:c r="P744" t="str">
        <x:v>Current new formula listing. BUY 6 GET 1 FREE promo removed.</x:v>
      </x:c>
      <x:c r="Q744" t="str"/>
      <x:c r="R744" t="str"/>
      <x:c r="S744" t="str">
        <x:v>Pending genuine supplier/brand image</x:v>
      </x:c>
      <x:c r="T744" s="54"/>
      <x:c r="U744" s="47" t="n">
        <x:v>0.2</x:v>
      </x:c>
      <x:c r="V744" s="54" t="str">
        <x:f>IF(ISNUMBER(T744),T744*(1+U744),"")</x:f>
      </x:c>
      <x:c r="W744" s="47" t="n">
        <x:v>0.3</x:v>
      </x:c>
      <x:c r="X744" s="54" t="str">
        <x:f>IF(ISNUMBER(V744),V744/(1-W744),"")</x:f>
      </x:c>
      <x:c r="Y744" s="55" t="str">
        <x:f>IF(ISNUMBER(X744),ROUNDUP(X744,0),"")</x:f>
      </x:c>
      <x:c r="Z744" t="str">
        <x:f>IF(ISNUMBER(T744),"Cost captured","Awaiting trade cost")</x:f>
        <x:v>Awaiting trade cost</x:v>
      </x:c>
      <x:c r="AB744" s="36" t="str">
        <x:f>IF(ISNUMBER(Y744),ROUND(Y744*0.9,2),"")</x:f>
      </x:c>
      <x:c r="AC744" s="36" t="str">
        <x:f>IF(ISNUMBER(AB744),ROUND(AB744-(AB744*0.015+0.2)-V744,2),"")</x:f>
      </x:c>
      <x:c r="AD744" s="36" t="str">
        <x:f>IF(ISNUMBER(Y744),ROUND(Y744*0.8,2),"")</x:f>
      </x:c>
      <x:c r="AE744" s="36" t="str">
        <x:f>IF(ISNUMBER(AD744),ROUND(AD744*0.015+0.2,2),"")</x:f>
      </x:c>
      <x:c r="AF744" s="36" t="str">
        <x:f>IF(ISNUMBER(AD744),ROUND(AD744-AE744-V744,2),"")</x:f>
      </x:c>
      <x:c r="AG744" t="str">
        <x:f>IF(NOT(ISNUMBER(T744)),"PENDING",IF(AF744&gt;0,"PASS","FAIL"))</x:f>
        <x:v>PENDING</x:v>
      </x:c>
      <x:c r="AH744" t="str">
        <x:f>IF(NOT(ISNUMBER(T744)),"Needs supplier cost",IF(K744&lt;&gt;"In stock","Supplier unavailable",IF(AG744&lt;&gt;"PASS","BLOCK - GT loss risk","Commercially protected")))</x:f>
        <x:v>Needs supplier cost</x:v>
      </x:c>
      <x:c r="AI744" t="str">
        <x:v>2026-09-10 Active Sports trade capture</x:v>
      </x:c>
      <x:c r="AJ744" t="str">
        <x:v>Management-only economics. Stripe stress test uses 1.5% + £0.20 standard UK online-card fee; pallet/mix-and-match pricing ignored.</x:v>
      </x:c>
    </x:row>
    <x:row r="745">
      <x:c r="A745" t="str">
        <x:v>Active Sports Nutrition</x:v>
      </x:c>
      <x:c r="B745" t="str">
        <x:v>CNP Professional</x:v>
      </x:c>
      <x:c r="C745" t="str">
        <x:v>Cream of Rice</x:v>
      </x:c>
      <x:c r="D745" t="str">
        <x:v>Supplements</x:v>
      </x:c>
      <x:c r="E745" t="str">
        <x:v>Carbohydrates</x:v>
      </x:c>
      <x:c r="F745" t="str"/>
      <x:c r="G745" t="str">
        <x:v>2kg</x:v>
      </x:c>
      <x:c r="H745" t="str">
        <x:v>Chocolate Caramel</x:v>
      </x:c>
      <x:c r="I745" t="str"/>
      <x:c r="J745" t="str">
        <x:v>Unit</x:v>
      </x:c>
      <x:c r="K745" t="str">
        <x:v>In stock</x:v>
      </x:c>
      <x:c r="L745" t="str">
        <x:v>2026-09-08</x:v>
      </x:c>
      <x:c r="M745" t="str"/>
      <x:c r="N745" t="str"/>
      <x:c r="O745" t="str">
        <x:v>https://www.activesportstrade.co.uk/trade-sports-supplements</x:v>
      </x:c>
      <x:c r="P745" t="str">
        <x:v>Current new formula listing. BUY 6 GET 1 FREE promo removed.</x:v>
      </x:c>
      <x:c r="Q745" t="str"/>
      <x:c r="R745" t="str"/>
      <x:c r="S745" t="str">
        <x:v>Pending genuine supplier/brand image</x:v>
      </x:c>
      <x:c r="T745" s="54"/>
      <x:c r="U745" s="47" t="n">
        <x:v>0.2</x:v>
      </x:c>
      <x:c r="V745" s="54" t="str">
        <x:f>IF(ISNUMBER(T745),T745*(1+U745),"")</x:f>
      </x:c>
      <x:c r="W745" s="47" t="n">
        <x:v>0.3</x:v>
      </x:c>
      <x:c r="X745" s="54" t="str">
        <x:f>IF(ISNUMBER(V745),V745/(1-W745),"")</x:f>
      </x:c>
      <x:c r="Y745" s="55" t="str">
        <x:f>IF(ISNUMBER(X745),ROUNDUP(X745,0),"")</x:f>
      </x:c>
      <x:c r="Z745" t="str">
        <x:f>IF(ISNUMBER(T745),"Cost captured","Awaiting trade cost")</x:f>
        <x:v>Awaiting trade cost</x:v>
      </x:c>
      <x:c r="AB745" s="36" t="str">
        <x:f>IF(ISNUMBER(Y745),ROUND(Y745*0.9,2),"")</x:f>
      </x:c>
      <x:c r="AC745" s="36" t="str">
        <x:f>IF(ISNUMBER(AB745),ROUND(AB745-(AB745*0.015+0.2)-V745,2),"")</x:f>
      </x:c>
      <x:c r="AD745" s="36" t="str">
        <x:f>IF(ISNUMBER(Y745),ROUND(Y745*0.8,2),"")</x:f>
      </x:c>
      <x:c r="AE745" s="36" t="str">
        <x:f>IF(ISNUMBER(AD745),ROUND(AD745*0.015+0.2,2),"")</x:f>
      </x:c>
      <x:c r="AF745" s="36" t="str">
        <x:f>IF(ISNUMBER(AD745),ROUND(AD745-AE745-V745,2),"")</x:f>
      </x:c>
      <x:c r="AG745" t="str">
        <x:f>IF(NOT(ISNUMBER(T745)),"PENDING",IF(AF745&gt;0,"PASS","FAIL"))</x:f>
        <x:v>PENDING</x:v>
      </x:c>
      <x:c r="AH745" t="str">
        <x:f>IF(NOT(ISNUMBER(T745)),"Needs supplier cost",IF(K745&lt;&gt;"In stock","Supplier unavailable",IF(AG745&lt;&gt;"PASS","BLOCK - GT loss risk","Commercially protected")))</x:f>
        <x:v>Needs supplier cost</x:v>
      </x:c>
      <x:c r="AI745" t="str">
        <x:v>2026-09-10 Active Sports trade capture</x:v>
      </x:c>
      <x:c r="AJ745" t="str">
        <x:v>Management-only economics. Stripe stress test uses 1.5% + £0.20 standard UK online-card fee; pallet/mix-and-match pricing ignored.</x:v>
      </x:c>
    </x:row>
    <x:row r="746">
      <x:c r="A746" t="str">
        <x:v>Active Sports Nutrition</x:v>
      </x:c>
      <x:c r="B746" t="str">
        <x:v>CNP Professional</x:v>
      </x:c>
      <x:c r="C746" t="str">
        <x:v>Cream of Rice</x:v>
      </x:c>
      <x:c r="D746" t="str">
        <x:v>Supplements</x:v>
      </x:c>
      <x:c r="E746" t="str">
        <x:v>Carbohydrates</x:v>
      </x:c>
      <x:c r="F746" t="str"/>
      <x:c r="G746" t="str">
        <x:v>2kg</x:v>
      </x:c>
      <x:c r="H746" t="str">
        <x:v>Cookie Dough</x:v>
      </x:c>
      <x:c r="I746" t="str"/>
      <x:c r="J746" t="str">
        <x:v>Unit</x:v>
      </x:c>
      <x:c r="K746" t="str">
        <x:v>In stock</x:v>
      </x:c>
      <x:c r="L746" t="str">
        <x:v>2026-09-08</x:v>
      </x:c>
      <x:c r="M746" t="str"/>
      <x:c r="N746" t="str"/>
      <x:c r="O746" t="str">
        <x:v>https://www.activesportstrade.co.uk/trade-sports-supplements</x:v>
      </x:c>
      <x:c r="P746" t="str">
        <x:v>Current new formula listing. BUY 6 GET 1 FREE promo removed.</x:v>
      </x:c>
      <x:c r="Q746" t="str"/>
      <x:c r="R746" t="str"/>
      <x:c r="S746" t="str">
        <x:v>Pending genuine supplier/brand image</x:v>
      </x:c>
      <x:c r="T746" s="54"/>
      <x:c r="U746" s="47" t="n">
        <x:v>0.2</x:v>
      </x:c>
      <x:c r="V746" s="54" t="str">
        <x:f>IF(ISNUMBER(T746),T746*(1+U746),"")</x:f>
      </x:c>
      <x:c r="W746" s="47" t="n">
        <x:v>0.3</x:v>
      </x:c>
      <x:c r="X746" s="54" t="str">
        <x:f>IF(ISNUMBER(V746),V746/(1-W746),"")</x:f>
      </x:c>
      <x:c r="Y746" s="55" t="str">
        <x:f>IF(ISNUMBER(X746),ROUNDUP(X746,0),"")</x:f>
      </x:c>
      <x:c r="Z746" t="str">
        <x:f>IF(ISNUMBER(T746),"Cost captured","Awaiting trade cost")</x:f>
        <x:v>Awaiting trade cost</x:v>
      </x:c>
      <x:c r="AB746" s="36" t="str">
        <x:f>IF(ISNUMBER(Y746),ROUND(Y746*0.9,2),"")</x:f>
      </x:c>
      <x:c r="AC746" s="36" t="str">
        <x:f>IF(ISNUMBER(AB746),ROUND(AB746-(AB746*0.015+0.2)-V746,2),"")</x:f>
      </x:c>
      <x:c r="AD746" s="36" t="str">
        <x:f>IF(ISNUMBER(Y746),ROUND(Y746*0.8,2),"")</x:f>
      </x:c>
      <x:c r="AE746" s="36" t="str">
        <x:f>IF(ISNUMBER(AD746),ROUND(AD746*0.015+0.2,2),"")</x:f>
      </x:c>
      <x:c r="AF746" s="36" t="str">
        <x:f>IF(ISNUMBER(AD746),ROUND(AD746-AE746-V746,2),"")</x:f>
      </x:c>
      <x:c r="AG746" t="str">
        <x:f>IF(NOT(ISNUMBER(T746)),"PENDING",IF(AF746&gt;0,"PASS","FAIL"))</x:f>
        <x:v>PENDING</x:v>
      </x:c>
      <x:c r="AH746" t="str">
        <x:f>IF(NOT(ISNUMBER(T746)),"Needs supplier cost",IF(K746&lt;&gt;"In stock","Supplier unavailable",IF(AG746&lt;&gt;"PASS","BLOCK - GT loss risk","Commercially protected")))</x:f>
        <x:v>Needs supplier cost</x:v>
      </x:c>
      <x:c r="AI746" t="str">
        <x:v>2026-09-10 Active Sports trade capture</x:v>
      </x:c>
      <x:c r="AJ746" t="str">
        <x:v>Management-only economics. Stripe stress test uses 1.5% + £0.20 standard UK online-card fee; pallet/mix-and-match pricing ignored.</x:v>
      </x:c>
    </x:row>
    <x:row r="747">
      <x:c r="A747" t="str">
        <x:v>Active Sports Nutrition</x:v>
      </x:c>
      <x:c r="B747" t="str">
        <x:v>CNP Professional</x:v>
      </x:c>
      <x:c r="C747" t="str">
        <x:v>Cream of Rice</x:v>
      </x:c>
      <x:c r="D747" t="str">
        <x:v>Supplements</x:v>
      </x:c>
      <x:c r="E747" t="str">
        <x:v>Carbohydrates</x:v>
      </x:c>
      <x:c r="F747" t="str"/>
      <x:c r="G747" t="str">
        <x:v>2kg</x:v>
      </x:c>
      <x:c r="H747" t="str">
        <x:v>Custard Cream</x:v>
      </x:c>
      <x:c r="I747" t="str"/>
      <x:c r="J747" t="str">
        <x:v>Unit</x:v>
      </x:c>
      <x:c r="K747" t="str">
        <x:v>In stock</x:v>
      </x:c>
      <x:c r="L747" t="str">
        <x:v>2026-09-08</x:v>
      </x:c>
      <x:c r="M747" t="str"/>
      <x:c r="N747" t="str"/>
      <x:c r="O747" t="str">
        <x:v>https://www.activesportstrade.co.uk/trade-sports-supplements</x:v>
      </x:c>
      <x:c r="P747" t="str">
        <x:v>Current new formula listing. BUY 6 GET 1 FREE promo removed.</x:v>
      </x:c>
      <x:c r="Q747" t="str"/>
      <x:c r="R747" t="str"/>
      <x:c r="S747" t="str">
        <x:v>Pending genuine supplier/brand image</x:v>
      </x:c>
      <x:c r="T747" s="54"/>
      <x:c r="U747" s="47" t="n">
        <x:v>0.2</x:v>
      </x:c>
      <x:c r="V747" s="54" t="str">
        <x:f>IF(ISNUMBER(T747),T747*(1+U747),"")</x:f>
      </x:c>
      <x:c r="W747" s="47" t="n">
        <x:v>0.3</x:v>
      </x:c>
      <x:c r="X747" s="54" t="str">
        <x:f>IF(ISNUMBER(V747),V747/(1-W747),"")</x:f>
      </x:c>
      <x:c r="Y747" s="55" t="str">
        <x:f>IF(ISNUMBER(X747),ROUNDUP(X747,0),"")</x:f>
      </x:c>
      <x:c r="Z747" t="str">
        <x:f>IF(ISNUMBER(T747),"Cost captured","Awaiting trade cost")</x:f>
        <x:v>Awaiting trade cost</x:v>
      </x:c>
      <x:c r="AB747" s="36" t="str">
        <x:f>IF(ISNUMBER(Y747),ROUND(Y747*0.9,2),"")</x:f>
      </x:c>
      <x:c r="AC747" s="36" t="str">
        <x:f>IF(ISNUMBER(AB747),ROUND(AB747-(AB747*0.015+0.2)-V747,2),"")</x:f>
      </x:c>
      <x:c r="AD747" s="36" t="str">
        <x:f>IF(ISNUMBER(Y747),ROUND(Y747*0.8,2),"")</x:f>
      </x:c>
      <x:c r="AE747" s="36" t="str">
        <x:f>IF(ISNUMBER(AD747),ROUND(AD747*0.015+0.2,2),"")</x:f>
      </x:c>
      <x:c r="AF747" s="36" t="str">
        <x:f>IF(ISNUMBER(AD747),ROUND(AD747-AE747-V747,2),"")</x:f>
      </x:c>
      <x:c r="AG747" t="str">
        <x:f>IF(NOT(ISNUMBER(T747)),"PENDING",IF(AF747&gt;0,"PASS","FAIL"))</x:f>
        <x:v>PENDING</x:v>
      </x:c>
      <x:c r="AH747" t="str">
        <x:f>IF(NOT(ISNUMBER(T747)),"Needs supplier cost",IF(K747&lt;&gt;"In stock","Supplier unavailable",IF(AG747&lt;&gt;"PASS","BLOCK - GT loss risk","Commercially protected")))</x:f>
        <x:v>Needs supplier cost</x:v>
      </x:c>
      <x:c r="AI747" t="str">
        <x:v>2026-09-10 Active Sports trade capture</x:v>
      </x:c>
      <x:c r="AJ747" t="str">
        <x:v>Management-only economics. Stripe stress test uses 1.5% + £0.20 standard UK online-card fee; pallet/mix-and-match pricing ignored.</x:v>
      </x:c>
    </x:row>
    <x:row r="748">
      <x:c r="A748" t="str">
        <x:v>Active Sports Nutrition</x:v>
      </x:c>
      <x:c r="B748" t="str">
        <x:v>CNP Professional</x:v>
      </x:c>
      <x:c r="C748" t="str">
        <x:v>Cream of Rice</x:v>
      </x:c>
      <x:c r="D748" t="str">
        <x:v>Supplements</x:v>
      </x:c>
      <x:c r="E748" t="str">
        <x:v>Carbohydrates</x:v>
      </x:c>
      <x:c r="F748" t="str"/>
      <x:c r="G748" t="str">
        <x:v>2kg</x:v>
      </x:c>
      <x:c r="H748" t="str">
        <x:v>Fudge Brownie</x:v>
      </x:c>
      <x:c r="I748" t="str"/>
      <x:c r="J748" t="str">
        <x:v>Unit</x:v>
      </x:c>
      <x:c r="K748" t="str">
        <x:v>In stock</x:v>
      </x:c>
      <x:c r="L748" t="str">
        <x:v>2026-09-08</x:v>
      </x:c>
      <x:c r="M748" t="str"/>
      <x:c r="N748" t="str"/>
      <x:c r="O748" t="str">
        <x:v>https://www.activesportstrade.co.uk/trade-sports-supplements</x:v>
      </x:c>
      <x:c r="P748" t="str">
        <x:v>Current new formula listing. BUY 6 GET 1 FREE promo removed.</x:v>
      </x:c>
      <x:c r="Q748" t="str"/>
      <x:c r="R748" t="str"/>
      <x:c r="S748" t="str">
        <x:v>Pending genuine supplier/brand image</x:v>
      </x:c>
      <x:c r="T748" s="54"/>
      <x:c r="U748" s="47" t="n">
        <x:v>0.2</x:v>
      </x:c>
      <x:c r="V748" s="54" t="str">
        <x:f>IF(ISNUMBER(T748),T748*(1+U748),"")</x:f>
      </x:c>
      <x:c r="W748" s="47" t="n">
        <x:v>0.3</x:v>
      </x:c>
      <x:c r="X748" s="54" t="str">
        <x:f>IF(ISNUMBER(V748),V748/(1-W748),"")</x:f>
      </x:c>
      <x:c r="Y748" s="55" t="str">
        <x:f>IF(ISNUMBER(X748),ROUNDUP(X748,0),"")</x:f>
      </x:c>
      <x:c r="Z748" t="str">
        <x:f>IF(ISNUMBER(T748),"Cost captured","Awaiting trade cost")</x:f>
        <x:v>Awaiting trade cost</x:v>
      </x:c>
      <x:c r="AB748" s="36" t="str">
        <x:f>IF(ISNUMBER(Y748),ROUND(Y748*0.9,2),"")</x:f>
      </x:c>
      <x:c r="AC748" s="36" t="str">
        <x:f>IF(ISNUMBER(AB748),ROUND(AB748-(AB748*0.015+0.2)-V748,2),"")</x:f>
      </x:c>
      <x:c r="AD748" s="36" t="str">
        <x:f>IF(ISNUMBER(Y748),ROUND(Y748*0.8,2),"")</x:f>
      </x:c>
      <x:c r="AE748" s="36" t="str">
        <x:f>IF(ISNUMBER(AD748),ROUND(AD748*0.015+0.2,2),"")</x:f>
      </x:c>
      <x:c r="AF748" s="36" t="str">
        <x:f>IF(ISNUMBER(AD748),ROUND(AD748-AE748-V748,2),"")</x:f>
      </x:c>
      <x:c r="AG748" t="str">
        <x:f>IF(NOT(ISNUMBER(T748)),"PENDING",IF(AF748&gt;0,"PASS","FAIL"))</x:f>
        <x:v>PENDING</x:v>
      </x:c>
      <x:c r="AH748" t="str">
        <x:f>IF(NOT(ISNUMBER(T748)),"Needs supplier cost",IF(K748&lt;&gt;"In stock","Supplier unavailable",IF(AG748&lt;&gt;"PASS","BLOCK - GT loss risk","Commercially protected")))</x:f>
        <x:v>Needs supplier cost</x:v>
      </x:c>
      <x:c r="AI748" t="str">
        <x:v>2026-09-10 Active Sports trade capture</x:v>
      </x:c>
      <x:c r="AJ748" t="str">
        <x:v>Management-only economics. Stripe stress test uses 1.5% + £0.20 standard UK online-card fee; pallet/mix-and-match pricing ignored.</x:v>
      </x:c>
    </x:row>
    <x:row r="749">
      <x:c r="A749" t="str">
        <x:v>Active Sports Nutrition</x:v>
      </x:c>
      <x:c r="B749" t="str">
        <x:v>CNP Professional</x:v>
      </x:c>
      <x:c r="C749" t="str">
        <x:v>Cream of Rice</x:v>
      </x:c>
      <x:c r="D749" t="str">
        <x:v>Supplements</x:v>
      </x:c>
      <x:c r="E749" t="str">
        <x:v>Carbohydrates</x:v>
      </x:c>
      <x:c r="F749" t="str"/>
      <x:c r="G749" t="str">
        <x:v>2kg</x:v>
      </x:c>
      <x:c r="H749" t="str">
        <x:v>Sticky Toffee Pudding</x:v>
      </x:c>
      <x:c r="I749" t="str"/>
      <x:c r="J749" t="str">
        <x:v>Unit</x:v>
      </x:c>
      <x:c r="K749" t="str">
        <x:v>In stock</x:v>
      </x:c>
      <x:c r="L749" t="str">
        <x:v>2026-09-08</x:v>
      </x:c>
      <x:c r="M749" t="str"/>
      <x:c r="N749" t="str"/>
      <x:c r="O749" t="str">
        <x:v>https://www.activesportstrade.co.uk/trade-sports-supplements</x:v>
      </x:c>
      <x:c r="P749" t="str">
        <x:v>Current new formula listing. BUY 6 GET 1 FREE promo removed.</x:v>
      </x:c>
      <x:c r="Q749" t="str"/>
      <x:c r="R749" t="str"/>
      <x:c r="S749" t="str">
        <x:v>Pending genuine supplier/brand image</x:v>
      </x:c>
      <x:c r="T749" s="54"/>
      <x:c r="U749" s="47" t="n">
        <x:v>0.2</x:v>
      </x:c>
      <x:c r="V749" s="54" t="str">
        <x:f>IF(ISNUMBER(T749),T749*(1+U749),"")</x:f>
      </x:c>
      <x:c r="W749" s="47" t="n">
        <x:v>0.3</x:v>
      </x:c>
      <x:c r="X749" s="54" t="str">
        <x:f>IF(ISNUMBER(V749),V749/(1-W749),"")</x:f>
      </x:c>
      <x:c r="Y749" s="55" t="str">
        <x:f>IF(ISNUMBER(X749),ROUNDUP(X749,0),"")</x:f>
      </x:c>
      <x:c r="Z749" t="str">
        <x:f>IF(ISNUMBER(T749),"Cost captured","Awaiting trade cost")</x:f>
        <x:v>Awaiting trade cost</x:v>
      </x:c>
      <x:c r="AB749" s="36" t="str">
        <x:f>IF(ISNUMBER(Y749),ROUND(Y749*0.9,2),"")</x:f>
      </x:c>
      <x:c r="AC749" s="36" t="str">
        <x:f>IF(ISNUMBER(AB749),ROUND(AB749-(AB749*0.015+0.2)-V749,2),"")</x:f>
      </x:c>
      <x:c r="AD749" s="36" t="str">
        <x:f>IF(ISNUMBER(Y749),ROUND(Y749*0.8,2),"")</x:f>
      </x:c>
      <x:c r="AE749" s="36" t="str">
        <x:f>IF(ISNUMBER(AD749),ROUND(AD749*0.015+0.2,2),"")</x:f>
      </x:c>
      <x:c r="AF749" s="36" t="str">
        <x:f>IF(ISNUMBER(AD749),ROUND(AD749-AE749-V749,2),"")</x:f>
      </x:c>
      <x:c r="AG749" t="str">
        <x:f>IF(NOT(ISNUMBER(T749)),"PENDING",IF(AF749&gt;0,"PASS","FAIL"))</x:f>
        <x:v>PENDING</x:v>
      </x:c>
      <x:c r="AH749" t="str">
        <x:f>IF(NOT(ISNUMBER(T749)),"Needs supplier cost",IF(K749&lt;&gt;"In stock","Supplier unavailable",IF(AG749&lt;&gt;"PASS","BLOCK - GT loss risk","Commercially protected")))</x:f>
        <x:v>Needs supplier cost</x:v>
      </x:c>
      <x:c r="AI749" t="str">
        <x:v>2026-09-10 Active Sports trade capture</x:v>
      </x:c>
      <x:c r="AJ749" t="str">
        <x:v>Management-only economics. Stripe stress test uses 1.5% + £0.20 standard UK online-card fee; pallet/mix-and-match pricing ignored.</x:v>
      </x:c>
    </x:row>
    <x:row r="750">
      <x:c r="A750" t="str">
        <x:v>Active Sports Nutrition</x:v>
      </x:c>
      <x:c r="B750" t="str">
        <x:v>CNP Professional</x:v>
      </x:c>
      <x:c r="C750" t="str">
        <x:v>Cream of Rice with Amylase</x:v>
      </x:c>
      <x:c r="D750" t="str">
        <x:v>Supplements</x:v>
      </x:c>
      <x:c r="E750" t="str">
        <x:v>Carbohydrates</x:v>
      </x:c>
      <x:c r="F750" t="str"/>
      <x:c r="G750" t="str">
        <x:v>2kg</x:v>
      </x:c>
      <x:c r="H750" t="str">
        <x:v>Biscuit Spread</x:v>
      </x:c>
      <x:c r="I750" t="str"/>
      <x:c r="J750" t="str">
        <x:v>Unit</x:v>
      </x:c>
      <x:c r="K750" t="str">
        <x:v>Out of stock</x:v>
      </x:c>
      <x:c r="L750" t="str">
        <x:v>2026-09-08</x:v>
      </x:c>
      <x:c r="M750" t="str"/>
      <x:c r="N750" t="str"/>
      <x:c r="O750" t="str">
        <x:v>https://www.activesportstrade.co.uk/trade-sports-supplements</x:v>
      </x:c>
      <x:c r="P750" t="str">
        <x:v>Kept as separate formula because supplier explicitly distinguishes added-Amylase line; promo/NEW wording stripped.</x:v>
      </x:c>
      <x:c r="Q750" t="str"/>
      <x:c r="R750" t="str"/>
      <x:c r="S750" t="str">
        <x:v>Pending genuine supplier/brand image</x:v>
      </x:c>
      <x:c r="T750" s="54"/>
      <x:c r="U750" s="47" t="n">
        <x:v>0.2</x:v>
      </x:c>
      <x:c r="V750" s="54" t="str">
        <x:f>IF(ISNUMBER(T750),T750*(1+U750),"")</x:f>
      </x:c>
      <x:c r="W750" s="47" t="n">
        <x:v>0.3</x:v>
      </x:c>
      <x:c r="X750" s="54" t="str">
        <x:f>IF(ISNUMBER(V750),V750/(1-W750),"")</x:f>
      </x:c>
      <x:c r="Y750" s="55" t="str">
        <x:f>IF(ISNUMBER(X750),ROUNDUP(X750,0),"")</x:f>
      </x:c>
      <x:c r="Z750" t="str">
        <x:f>IF(ISNUMBER(T750),"Cost captured","Awaiting trade cost")</x:f>
        <x:v>Awaiting trade cost</x:v>
      </x:c>
      <x:c r="AB750" s="36" t="str">
        <x:f>IF(ISNUMBER(Y750),ROUND(Y750*0.9,2),"")</x:f>
      </x:c>
      <x:c r="AC750" s="36" t="str">
        <x:f>IF(ISNUMBER(AB750),ROUND(AB750-(AB750*0.015+0.2)-V750,2),"")</x:f>
      </x:c>
      <x:c r="AD750" s="36" t="str">
        <x:f>IF(ISNUMBER(Y750),ROUND(Y750*0.8,2),"")</x:f>
      </x:c>
      <x:c r="AE750" s="36" t="str">
        <x:f>IF(ISNUMBER(AD750),ROUND(AD750*0.015+0.2,2),"")</x:f>
      </x:c>
      <x:c r="AF750" s="36" t="str">
        <x:f>IF(ISNUMBER(AD750),ROUND(AD750-AE750-V750,2),"")</x:f>
      </x:c>
      <x:c r="AG750" t="str">
        <x:f>IF(NOT(ISNUMBER(T750)),"PENDING",IF(AF750&gt;0,"PASS","FAIL"))</x:f>
        <x:v>PENDING</x:v>
      </x:c>
      <x:c r="AH750" t="str">
        <x:f>IF(NOT(ISNUMBER(T750)),"Needs supplier cost",IF(K750&lt;&gt;"In stock","Supplier unavailable",IF(AG750&lt;&gt;"PASS","BLOCK - GT loss risk","Commercially protected")))</x:f>
        <x:v>Needs supplier cost</x:v>
      </x:c>
      <x:c r="AI750" t="str">
        <x:v>2026-09-10 Active Sports trade capture</x:v>
      </x:c>
      <x:c r="AJ750" t="str">
        <x:v>Management-only economics. Stripe stress test uses 1.5% + £0.20 standard UK online-card fee; pallet/mix-and-match pricing ignored.</x:v>
      </x:c>
    </x:row>
    <x:row r="751">
      <x:c r="A751" t="str">
        <x:v>Active Sports Nutrition</x:v>
      </x:c>
      <x:c r="B751" t="str">
        <x:v>CNP Professional</x:v>
      </x:c>
      <x:c r="C751" t="str">
        <x:v>Cream of Rice with Amylase</x:v>
      </x:c>
      <x:c r="D751" t="str">
        <x:v>Supplements</x:v>
      </x:c>
      <x:c r="E751" t="str">
        <x:v>Carbohydrates</x:v>
      </x:c>
      <x:c r="F751" t="str"/>
      <x:c r="G751" t="str">
        <x:v>2kg</x:v>
      </x:c>
      <x:c r="H751" t="str">
        <x:v>Cherry Bakewell</x:v>
      </x:c>
      <x:c r="I751" t="str"/>
      <x:c r="J751" t="str">
        <x:v>Unit</x:v>
      </x:c>
      <x:c r="K751" t="str">
        <x:v>In stock</x:v>
      </x:c>
      <x:c r="L751" t="str">
        <x:v>2026-09-08</x:v>
      </x:c>
      <x:c r="M751" t="str"/>
      <x:c r="N751" t="str"/>
      <x:c r="O751" t="str">
        <x:v>https://www.activesportstrade.co.uk/trade-sports-supplements</x:v>
      </x:c>
      <x:c r="P751" t="str">
        <x:v>Kept as separate formula because supplier explicitly distinguishes added-Amylase line; promo/NEW wording stripped.</x:v>
      </x:c>
      <x:c r="Q751" t="str"/>
      <x:c r="R751" t="str"/>
      <x:c r="S751" t="str">
        <x:v>Pending genuine supplier/brand image</x:v>
      </x:c>
      <x:c r="T751" s="54"/>
      <x:c r="U751" s="47" t="n">
        <x:v>0.2</x:v>
      </x:c>
      <x:c r="V751" s="54" t="str">
        <x:f>IF(ISNUMBER(T751),T751*(1+U751),"")</x:f>
      </x:c>
      <x:c r="W751" s="47" t="n">
        <x:v>0.3</x:v>
      </x:c>
      <x:c r="X751" s="54" t="str">
        <x:f>IF(ISNUMBER(V751),V751/(1-W751),"")</x:f>
      </x:c>
      <x:c r="Y751" s="55" t="str">
        <x:f>IF(ISNUMBER(X751),ROUNDUP(X751,0),"")</x:f>
      </x:c>
      <x:c r="Z751" t="str">
        <x:f>IF(ISNUMBER(T751),"Cost captured","Awaiting trade cost")</x:f>
        <x:v>Awaiting trade cost</x:v>
      </x:c>
      <x:c r="AB751" s="36" t="str">
        <x:f>IF(ISNUMBER(Y751),ROUND(Y751*0.9,2),"")</x:f>
      </x:c>
      <x:c r="AC751" s="36" t="str">
        <x:f>IF(ISNUMBER(AB751),ROUND(AB751-(AB751*0.015+0.2)-V751,2),"")</x:f>
      </x:c>
      <x:c r="AD751" s="36" t="str">
        <x:f>IF(ISNUMBER(Y751),ROUND(Y751*0.8,2),"")</x:f>
      </x:c>
      <x:c r="AE751" s="36" t="str">
        <x:f>IF(ISNUMBER(AD751),ROUND(AD751*0.015+0.2,2),"")</x:f>
      </x:c>
      <x:c r="AF751" s="36" t="str">
        <x:f>IF(ISNUMBER(AD751),ROUND(AD751-AE751-V751,2),"")</x:f>
      </x:c>
      <x:c r="AG751" t="str">
        <x:f>IF(NOT(ISNUMBER(T751)),"PENDING",IF(AF751&gt;0,"PASS","FAIL"))</x:f>
        <x:v>PENDING</x:v>
      </x:c>
      <x:c r="AH751" t="str">
        <x:f>IF(NOT(ISNUMBER(T751)),"Needs supplier cost",IF(K751&lt;&gt;"In stock","Supplier unavailable",IF(AG751&lt;&gt;"PASS","BLOCK - GT loss risk","Commercially protected")))</x:f>
        <x:v>Needs supplier cost</x:v>
      </x:c>
      <x:c r="AI751" t="str">
        <x:v>2026-09-10 Active Sports trade capture</x:v>
      </x:c>
      <x:c r="AJ751" t="str">
        <x:v>Management-only economics. Stripe stress test uses 1.5% + £0.20 standard UK online-card fee; pallet/mix-and-match pricing ignored.</x:v>
      </x:c>
    </x:row>
    <x:row r="752">
      <x:c r="A752" t="str">
        <x:v>Active Sports Nutrition</x:v>
      </x:c>
      <x:c r="B752" t="str">
        <x:v>CNP Professional</x:v>
      </x:c>
      <x:c r="C752" t="str">
        <x:v>Cream of Rice with Amylase</x:v>
      </x:c>
      <x:c r="D752" t="str">
        <x:v>Supplements</x:v>
      </x:c>
      <x:c r="E752" t="str">
        <x:v>Carbohydrates</x:v>
      </x:c>
      <x:c r="F752" t="str"/>
      <x:c r="G752" t="str">
        <x:v>2kg</x:v>
      </x:c>
      <x:c r="H752" t="str">
        <x:v>Chocamel Cups</x:v>
      </x:c>
      <x:c r="I752" t="str"/>
      <x:c r="J752" t="str">
        <x:v>Unit</x:v>
      </x:c>
      <x:c r="K752" t="str">
        <x:v>Out of stock</x:v>
      </x:c>
      <x:c r="L752" t="str">
        <x:v>2026-09-08</x:v>
      </x:c>
      <x:c r="M752" t="str"/>
      <x:c r="N752" t="str"/>
      <x:c r="O752" t="str">
        <x:v>https://www.activesportstrade.co.uk/trade-sports-supplements</x:v>
      </x:c>
      <x:c r="P752" t="str">
        <x:v>Kept as separate formula because supplier explicitly distinguishes added-Amylase line; promo/NEW wording stripped.</x:v>
      </x:c>
      <x:c r="Q752" t="str"/>
      <x:c r="R752" t="str"/>
      <x:c r="S752" t="str">
        <x:v>Pending genuine supplier/brand image</x:v>
      </x:c>
      <x:c r="T752" s="54"/>
      <x:c r="U752" s="47" t="n">
        <x:v>0.2</x:v>
      </x:c>
      <x:c r="V752" s="54" t="str">
        <x:f>IF(ISNUMBER(T752),T752*(1+U752),"")</x:f>
      </x:c>
      <x:c r="W752" s="47" t="n">
        <x:v>0.3</x:v>
      </x:c>
      <x:c r="X752" s="54" t="str">
        <x:f>IF(ISNUMBER(V752),V752/(1-W752),"")</x:f>
      </x:c>
      <x:c r="Y752" s="55" t="str">
        <x:f>IF(ISNUMBER(X752),ROUNDUP(X752,0),"")</x:f>
      </x:c>
      <x:c r="Z752" t="str">
        <x:f>IF(ISNUMBER(T752),"Cost captured","Awaiting trade cost")</x:f>
        <x:v>Awaiting trade cost</x:v>
      </x:c>
      <x:c r="AB752" s="36" t="str">
        <x:f>IF(ISNUMBER(Y752),ROUND(Y752*0.9,2),"")</x:f>
      </x:c>
      <x:c r="AC752" s="36" t="str">
        <x:f>IF(ISNUMBER(AB752),ROUND(AB752-(AB752*0.015+0.2)-V752,2),"")</x:f>
      </x:c>
      <x:c r="AD752" s="36" t="str">
        <x:f>IF(ISNUMBER(Y752),ROUND(Y752*0.8,2),"")</x:f>
      </x:c>
      <x:c r="AE752" s="36" t="str">
        <x:f>IF(ISNUMBER(AD752),ROUND(AD752*0.015+0.2,2),"")</x:f>
      </x:c>
      <x:c r="AF752" s="36" t="str">
        <x:f>IF(ISNUMBER(AD752),ROUND(AD752-AE752-V752,2),"")</x:f>
      </x:c>
      <x:c r="AG752" t="str">
        <x:f>IF(NOT(ISNUMBER(T752)),"PENDING",IF(AF752&gt;0,"PASS","FAIL"))</x:f>
        <x:v>PENDING</x:v>
      </x:c>
      <x:c r="AH752" t="str">
        <x:f>IF(NOT(ISNUMBER(T752)),"Needs supplier cost",IF(K752&lt;&gt;"In stock","Supplier unavailable",IF(AG752&lt;&gt;"PASS","BLOCK - GT loss risk","Commercially protected")))</x:f>
        <x:v>Needs supplier cost</x:v>
      </x:c>
      <x:c r="AI752" t="str">
        <x:v>2026-09-10 Active Sports trade capture</x:v>
      </x:c>
      <x:c r="AJ752" t="str">
        <x:v>Management-only economics. Stripe stress test uses 1.5% + £0.20 standard UK online-card fee; pallet/mix-and-match pricing ignored.</x:v>
      </x:c>
    </x:row>
    <x:row r="753">
      <x:c r="A753" t="str">
        <x:v>Active Sports Nutrition</x:v>
      </x:c>
      <x:c r="B753" t="str">
        <x:v>CNP Professional</x:v>
      </x:c>
      <x:c r="C753" t="str">
        <x:v>Cream of Rice with Amylase</x:v>
      </x:c>
      <x:c r="D753" t="str">
        <x:v>Supplements</x:v>
      </x:c>
      <x:c r="E753" t="str">
        <x:v>Carbohydrates</x:v>
      </x:c>
      <x:c r="F753" t="str"/>
      <x:c r="G753" t="str">
        <x:v>2kg</x:v>
      </x:c>
      <x:c r="H753" t="str">
        <x:v>Custard Cream</x:v>
      </x:c>
      <x:c r="I753" t="str"/>
      <x:c r="J753" t="str">
        <x:v>Unit</x:v>
      </x:c>
      <x:c r="K753" t="str">
        <x:v>Out of stock</x:v>
      </x:c>
      <x:c r="L753" t="str">
        <x:v>2026-09-08</x:v>
      </x:c>
      <x:c r="M753" t="str"/>
      <x:c r="N753" t="str"/>
      <x:c r="O753" t="str">
        <x:v>https://www.activesportstrade.co.uk/trade-sports-supplements</x:v>
      </x:c>
      <x:c r="P753" t="str">
        <x:v>Kept as separate formula because supplier explicitly distinguishes added-Amylase line; promo/NEW wording stripped.</x:v>
      </x:c>
      <x:c r="Q753" t="str"/>
      <x:c r="R753" t="str"/>
      <x:c r="S753" t="str">
        <x:v>Pending genuine supplier/brand image</x:v>
      </x:c>
      <x:c r="T753" s="54"/>
      <x:c r="U753" s="47" t="n">
        <x:v>0.2</x:v>
      </x:c>
      <x:c r="V753" s="54" t="str">
        <x:f>IF(ISNUMBER(T753),T753*(1+U753),"")</x:f>
      </x:c>
      <x:c r="W753" s="47" t="n">
        <x:v>0.3</x:v>
      </x:c>
      <x:c r="X753" s="54" t="str">
        <x:f>IF(ISNUMBER(V753),V753/(1-W753),"")</x:f>
      </x:c>
      <x:c r="Y753" s="55" t="str">
        <x:f>IF(ISNUMBER(X753),ROUNDUP(X753,0),"")</x:f>
      </x:c>
      <x:c r="Z753" t="str">
        <x:f>IF(ISNUMBER(T753),"Cost captured","Awaiting trade cost")</x:f>
        <x:v>Awaiting trade cost</x:v>
      </x:c>
      <x:c r="AB753" s="36" t="str">
        <x:f>IF(ISNUMBER(Y753),ROUND(Y753*0.9,2),"")</x:f>
      </x:c>
      <x:c r="AC753" s="36" t="str">
        <x:f>IF(ISNUMBER(AB753),ROUND(AB753-(AB753*0.015+0.2)-V753,2),"")</x:f>
      </x:c>
      <x:c r="AD753" s="36" t="str">
        <x:f>IF(ISNUMBER(Y753),ROUND(Y753*0.8,2),"")</x:f>
      </x:c>
      <x:c r="AE753" s="36" t="str">
        <x:f>IF(ISNUMBER(AD753),ROUND(AD753*0.015+0.2,2),"")</x:f>
      </x:c>
      <x:c r="AF753" s="36" t="str">
        <x:f>IF(ISNUMBER(AD753),ROUND(AD753-AE753-V753,2),"")</x:f>
      </x:c>
      <x:c r="AG753" t="str">
        <x:f>IF(NOT(ISNUMBER(T753)),"PENDING",IF(AF753&gt;0,"PASS","FAIL"))</x:f>
        <x:v>PENDING</x:v>
      </x:c>
      <x:c r="AH753" t="str">
        <x:f>IF(NOT(ISNUMBER(T753)),"Needs supplier cost",IF(K753&lt;&gt;"In stock","Supplier unavailable",IF(AG753&lt;&gt;"PASS","BLOCK - GT loss risk","Commercially protected")))</x:f>
        <x:v>Needs supplier cost</x:v>
      </x:c>
      <x:c r="AI753" t="str">
        <x:v>2026-09-10 Active Sports trade capture</x:v>
      </x:c>
      <x:c r="AJ753" t="str">
        <x:v>Management-only economics. Stripe stress test uses 1.5% + £0.20 standard UK online-card fee; pallet/mix-and-match pricing ignored.</x:v>
      </x:c>
    </x:row>
    <x:row r="754">
      <x:c r="A754" t="str">
        <x:v>Active Sports Nutrition</x:v>
      </x:c>
      <x:c r="B754" t="str">
        <x:v>CNP Professional</x:v>
      </x:c>
      <x:c r="C754" t="str">
        <x:v>Cream of Rice with Amylase</x:v>
      </x:c>
      <x:c r="D754" t="str">
        <x:v>Supplements</x:v>
      </x:c>
      <x:c r="E754" t="str">
        <x:v>Carbohydrates</x:v>
      </x:c>
      <x:c r="F754" t="str"/>
      <x:c r="G754" t="str">
        <x:v>2kg</x:v>
      </x:c>
      <x:c r="H754" t="str">
        <x:v>Disco Biscuit</x:v>
      </x:c>
      <x:c r="I754" t="str"/>
      <x:c r="J754" t="str">
        <x:v>Unit</x:v>
      </x:c>
      <x:c r="K754" t="str">
        <x:v>Out of stock</x:v>
      </x:c>
      <x:c r="L754" t="str">
        <x:v>2026-09-08</x:v>
      </x:c>
      <x:c r="M754" t="str"/>
      <x:c r="N754" t="str"/>
      <x:c r="O754" t="str">
        <x:v>https://www.activesportstrade.co.uk/trade-sports-supplements</x:v>
      </x:c>
      <x:c r="P754" t="str">
        <x:v>Kept as separate formula because supplier explicitly distinguishes added-Amylase line; promo/NEW wording stripped.</x:v>
      </x:c>
      <x:c r="Q754" t="str"/>
      <x:c r="R754" t="str"/>
      <x:c r="S754" t="str">
        <x:v>Pending genuine supplier/brand image</x:v>
      </x:c>
      <x:c r="T754" s="54"/>
      <x:c r="U754" s="47" t="n">
        <x:v>0.2</x:v>
      </x:c>
      <x:c r="V754" s="54" t="str">
        <x:f>IF(ISNUMBER(T754),T754*(1+U754),"")</x:f>
      </x:c>
      <x:c r="W754" s="47" t="n">
        <x:v>0.3</x:v>
      </x:c>
      <x:c r="X754" s="54" t="str">
        <x:f>IF(ISNUMBER(V754),V754/(1-W754),"")</x:f>
      </x:c>
      <x:c r="Y754" s="55" t="str">
        <x:f>IF(ISNUMBER(X754),ROUNDUP(X754,0),"")</x:f>
      </x:c>
      <x:c r="Z754" t="str">
        <x:f>IF(ISNUMBER(T754),"Cost captured","Awaiting trade cost")</x:f>
        <x:v>Awaiting trade cost</x:v>
      </x:c>
      <x:c r="AB754" s="36" t="str">
        <x:f>IF(ISNUMBER(Y754),ROUND(Y754*0.9,2),"")</x:f>
      </x:c>
      <x:c r="AC754" s="36" t="str">
        <x:f>IF(ISNUMBER(AB754),ROUND(AB754-(AB754*0.015+0.2)-V754,2),"")</x:f>
      </x:c>
      <x:c r="AD754" s="36" t="str">
        <x:f>IF(ISNUMBER(Y754),ROUND(Y754*0.8,2),"")</x:f>
      </x:c>
      <x:c r="AE754" s="36" t="str">
        <x:f>IF(ISNUMBER(AD754),ROUND(AD754*0.015+0.2,2),"")</x:f>
      </x:c>
      <x:c r="AF754" s="36" t="str">
        <x:f>IF(ISNUMBER(AD754),ROUND(AD754-AE754-V754,2),"")</x:f>
      </x:c>
      <x:c r="AG754" t="str">
        <x:f>IF(NOT(ISNUMBER(T754)),"PENDING",IF(AF754&gt;0,"PASS","FAIL"))</x:f>
        <x:v>PENDING</x:v>
      </x:c>
      <x:c r="AH754" t="str">
        <x:f>IF(NOT(ISNUMBER(T754)),"Needs supplier cost",IF(K754&lt;&gt;"In stock","Supplier unavailable",IF(AG754&lt;&gt;"PASS","BLOCK - GT loss risk","Commercially protected")))</x:f>
        <x:v>Needs supplier cost</x:v>
      </x:c>
      <x:c r="AI754" t="str">
        <x:v>2026-09-10 Active Sports trade capture</x:v>
      </x:c>
      <x:c r="AJ754" t="str">
        <x:v>Management-only economics. Stripe stress test uses 1.5% + £0.20 standard UK online-card fee; pallet/mix-and-match pricing ignored.</x:v>
      </x:c>
    </x:row>
    <x:row r="755">
      <x:c r="A755" t="str">
        <x:v>Active Sports Nutrition</x:v>
      </x:c>
      <x:c r="B755" t="str">
        <x:v>CNP Professional</x:v>
      </x:c>
      <x:c r="C755" t="str">
        <x:v>Cream of Rice with Amylase</x:v>
      </x:c>
      <x:c r="D755" t="str">
        <x:v>Supplements</x:v>
      </x:c>
      <x:c r="E755" t="str">
        <x:v>Carbohydrates</x:v>
      </x:c>
      <x:c r="F755" t="str"/>
      <x:c r="G755" t="str">
        <x:v>2kg</x:v>
      </x:c>
      <x:c r="H755" t="str">
        <x:v>Dough-lightful</x:v>
      </x:c>
      <x:c r="I755" t="str"/>
      <x:c r="J755" t="str">
        <x:v>Unit</x:v>
      </x:c>
      <x:c r="K755" t="str">
        <x:v>Out of stock</x:v>
      </x:c>
      <x:c r="L755" t="str">
        <x:v>2026-09-08</x:v>
      </x:c>
      <x:c r="M755" t="str"/>
      <x:c r="N755" t="str"/>
      <x:c r="O755" t="str">
        <x:v>https://www.activesportstrade.co.uk/trade-sports-supplements</x:v>
      </x:c>
      <x:c r="P755" t="str">
        <x:v>Kept as separate formula because supplier explicitly distinguishes added-Amylase line; promo/NEW wording stripped.</x:v>
      </x:c>
      <x:c r="Q755" t="str"/>
      <x:c r="R755" t="str"/>
      <x:c r="S755" t="str">
        <x:v>Pending genuine supplier/brand image</x:v>
      </x:c>
      <x:c r="T755" s="54"/>
      <x:c r="U755" s="47" t="n">
        <x:v>0.2</x:v>
      </x:c>
      <x:c r="V755" s="54" t="str">
        <x:f>IF(ISNUMBER(T755),T755*(1+U755),"")</x:f>
      </x:c>
      <x:c r="W755" s="47" t="n">
        <x:v>0.3</x:v>
      </x:c>
      <x:c r="X755" s="54" t="str">
        <x:f>IF(ISNUMBER(V755),V755/(1-W755),"")</x:f>
      </x:c>
      <x:c r="Y755" s="55" t="str">
        <x:f>IF(ISNUMBER(X755),ROUNDUP(X755,0),"")</x:f>
      </x:c>
      <x:c r="Z755" t="str">
        <x:f>IF(ISNUMBER(T755),"Cost captured","Awaiting trade cost")</x:f>
        <x:v>Awaiting trade cost</x:v>
      </x:c>
      <x:c r="AB755" s="36" t="str">
        <x:f>IF(ISNUMBER(Y755),ROUND(Y755*0.9,2),"")</x:f>
      </x:c>
      <x:c r="AC755" s="36" t="str">
        <x:f>IF(ISNUMBER(AB755),ROUND(AB755-(AB755*0.015+0.2)-V755,2),"")</x:f>
      </x:c>
      <x:c r="AD755" s="36" t="str">
        <x:f>IF(ISNUMBER(Y755),ROUND(Y755*0.8,2),"")</x:f>
      </x:c>
      <x:c r="AE755" s="36" t="str">
        <x:f>IF(ISNUMBER(AD755),ROUND(AD755*0.015+0.2,2),"")</x:f>
      </x:c>
      <x:c r="AF755" s="36" t="str">
        <x:f>IF(ISNUMBER(AD755),ROUND(AD755-AE755-V755,2),"")</x:f>
      </x:c>
      <x:c r="AG755" t="str">
        <x:f>IF(NOT(ISNUMBER(T755)),"PENDING",IF(AF755&gt;0,"PASS","FAIL"))</x:f>
        <x:v>PENDING</x:v>
      </x:c>
      <x:c r="AH755" t="str">
        <x:f>IF(NOT(ISNUMBER(T755)),"Needs supplier cost",IF(K755&lt;&gt;"In stock","Supplier unavailable",IF(AG755&lt;&gt;"PASS","BLOCK - GT loss risk","Commercially protected")))</x:f>
        <x:v>Needs supplier cost</x:v>
      </x:c>
      <x:c r="AI755" t="str">
        <x:v>2026-09-10 Active Sports trade capture</x:v>
      </x:c>
      <x:c r="AJ755" t="str">
        <x:v>Management-only economics. Stripe stress test uses 1.5% + £0.20 standard UK online-card fee; pallet/mix-and-match pricing ignored.</x:v>
      </x:c>
    </x:row>
    <x:row r="756">
      <x:c r="A756" t="str">
        <x:v>Active Sports Nutrition</x:v>
      </x:c>
      <x:c r="B756" t="str">
        <x:v>CNP Professional</x:v>
      </x:c>
      <x:c r="C756" t="str">
        <x:v>Cream of Rice with Amylase</x:v>
      </x:c>
      <x:c r="D756" t="str">
        <x:v>Supplements</x:v>
      </x:c>
      <x:c r="E756" t="str">
        <x:v>Carbohydrates</x:v>
      </x:c>
      <x:c r="F756" t="str"/>
      <x:c r="G756" t="str">
        <x:v>2kg</x:v>
      </x:c>
      <x:c r="H756" t="str">
        <x:v>Fudge Brownie</x:v>
      </x:c>
      <x:c r="I756" t="str"/>
      <x:c r="J756" t="str">
        <x:v>Unit</x:v>
      </x:c>
      <x:c r="K756" t="str">
        <x:v>Out of stock</x:v>
      </x:c>
      <x:c r="L756" t="str">
        <x:v>2026-09-08</x:v>
      </x:c>
      <x:c r="M756" t="str"/>
      <x:c r="N756" t="str"/>
      <x:c r="O756" t="str">
        <x:v>https://www.activesportstrade.co.uk/trade-sports-supplements</x:v>
      </x:c>
      <x:c r="P756" t="str">
        <x:v>Kept as separate formula because supplier explicitly distinguishes added-Amylase line; promo/NEW wording stripped.</x:v>
      </x:c>
      <x:c r="Q756" t="str"/>
      <x:c r="R756" t="str"/>
      <x:c r="S756" t="str">
        <x:v>Pending genuine supplier/brand image</x:v>
      </x:c>
      <x:c r="T756" s="54"/>
      <x:c r="U756" s="47" t="n">
        <x:v>0.2</x:v>
      </x:c>
      <x:c r="V756" s="54" t="str">
        <x:f>IF(ISNUMBER(T756),T756*(1+U756),"")</x:f>
      </x:c>
      <x:c r="W756" s="47" t="n">
        <x:v>0.3</x:v>
      </x:c>
      <x:c r="X756" s="54" t="str">
        <x:f>IF(ISNUMBER(V756),V756/(1-W756),"")</x:f>
      </x:c>
      <x:c r="Y756" s="55" t="str">
        <x:f>IF(ISNUMBER(X756),ROUNDUP(X756,0),"")</x:f>
      </x:c>
      <x:c r="Z756" t="str">
        <x:f>IF(ISNUMBER(T756),"Cost captured","Awaiting trade cost")</x:f>
        <x:v>Awaiting trade cost</x:v>
      </x:c>
      <x:c r="AB756" s="36" t="str">
        <x:f>IF(ISNUMBER(Y756),ROUND(Y756*0.9,2),"")</x:f>
      </x:c>
      <x:c r="AC756" s="36" t="str">
        <x:f>IF(ISNUMBER(AB756),ROUND(AB756-(AB756*0.015+0.2)-V756,2),"")</x:f>
      </x:c>
      <x:c r="AD756" s="36" t="str">
        <x:f>IF(ISNUMBER(Y756),ROUND(Y756*0.8,2),"")</x:f>
      </x:c>
      <x:c r="AE756" s="36" t="str">
        <x:f>IF(ISNUMBER(AD756),ROUND(AD756*0.015+0.2,2),"")</x:f>
      </x:c>
      <x:c r="AF756" s="36" t="str">
        <x:f>IF(ISNUMBER(AD756),ROUND(AD756-AE756-V756,2),"")</x:f>
      </x:c>
      <x:c r="AG756" t="str">
        <x:f>IF(NOT(ISNUMBER(T756)),"PENDING",IF(AF756&gt;0,"PASS","FAIL"))</x:f>
        <x:v>PENDING</x:v>
      </x:c>
      <x:c r="AH756" t="str">
        <x:f>IF(NOT(ISNUMBER(T756)),"Needs supplier cost",IF(K756&lt;&gt;"In stock","Supplier unavailable",IF(AG756&lt;&gt;"PASS","BLOCK - GT loss risk","Commercially protected")))</x:f>
        <x:v>Needs supplier cost</x:v>
      </x:c>
      <x:c r="AI756" t="str">
        <x:v>2026-09-10 Active Sports trade capture</x:v>
      </x:c>
      <x:c r="AJ756" t="str">
        <x:v>Management-only economics. Stripe stress test uses 1.5% + £0.20 standard UK online-card fee; pallet/mix-and-match pricing ignored.</x:v>
      </x:c>
    </x:row>
    <x:row r="757">
      <x:c r="A757" t="str">
        <x:v>Active Sports Nutrition</x:v>
      </x:c>
      <x:c r="B757" t="str">
        <x:v>CNP Professional</x:v>
      </x:c>
      <x:c r="C757" t="str">
        <x:v>Cream of Rice with Amylase</x:v>
      </x:c>
      <x:c r="D757" t="str">
        <x:v>Supplements</x:v>
      </x:c>
      <x:c r="E757" t="str">
        <x:v>Carbohydrates</x:v>
      </x:c>
      <x:c r="F757" t="str"/>
      <x:c r="G757" t="str">
        <x:v>2kg</x:v>
      </x:c>
      <x:c r="H757" t="str">
        <x:v>Sticky Toffee Pudding</x:v>
      </x:c>
      <x:c r="I757" t="str"/>
      <x:c r="J757" t="str">
        <x:v>Unit</x:v>
      </x:c>
      <x:c r="K757" t="str">
        <x:v>Out of stock</x:v>
      </x:c>
      <x:c r="L757" t="str">
        <x:v>2026-09-08</x:v>
      </x:c>
      <x:c r="M757" t="str"/>
      <x:c r="N757" t="str"/>
      <x:c r="O757" t="str">
        <x:v>https://www.activesportstrade.co.uk/trade-sports-supplements</x:v>
      </x:c>
      <x:c r="P757" t="str">
        <x:v>Kept as separate formula because supplier explicitly distinguishes added-Amylase line; promo/NEW wording stripped.</x:v>
      </x:c>
      <x:c r="Q757" t="str"/>
      <x:c r="R757" t="str"/>
      <x:c r="S757" t="str">
        <x:v>Pending genuine supplier/brand image</x:v>
      </x:c>
      <x:c r="T757" s="54"/>
      <x:c r="U757" s="47" t="n">
        <x:v>0.2</x:v>
      </x:c>
      <x:c r="V757" s="54" t="str">
        <x:f>IF(ISNUMBER(T757),T757*(1+U757),"")</x:f>
      </x:c>
      <x:c r="W757" s="47" t="n">
        <x:v>0.3</x:v>
      </x:c>
      <x:c r="X757" s="54" t="str">
        <x:f>IF(ISNUMBER(V757),V757/(1-W757),"")</x:f>
      </x:c>
      <x:c r="Y757" s="55" t="str">
        <x:f>IF(ISNUMBER(X757),ROUNDUP(X757,0),"")</x:f>
      </x:c>
      <x:c r="Z757" t="str">
        <x:f>IF(ISNUMBER(T757),"Cost captured","Awaiting trade cost")</x:f>
        <x:v>Awaiting trade cost</x:v>
      </x:c>
      <x:c r="AB757" s="36" t="str">
        <x:f>IF(ISNUMBER(Y757),ROUND(Y757*0.9,2),"")</x:f>
      </x:c>
      <x:c r="AC757" s="36" t="str">
        <x:f>IF(ISNUMBER(AB757),ROUND(AB757-(AB757*0.015+0.2)-V757,2),"")</x:f>
      </x:c>
      <x:c r="AD757" s="36" t="str">
        <x:f>IF(ISNUMBER(Y757),ROUND(Y757*0.8,2),"")</x:f>
      </x:c>
      <x:c r="AE757" s="36" t="str">
        <x:f>IF(ISNUMBER(AD757),ROUND(AD757*0.015+0.2,2),"")</x:f>
      </x:c>
      <x:c r="AF757" s="36" t="str">
        <x:f>IF(ISNUMBER(AD757),ROUND(AD757-AE757-V757,2),"")</x:f>
      </x:c>
      <x:c r="AG757" t="str">
        <x:f>IF(NOT(ISNUMBER(T757)),"PENDING",IF(AF757&gt;0,"PASS","FAIL"))</x:f>
        <x:v>PENDING</x:v>
      </x:c>
      <x:c r="AH757" t="str">
        <x:f>IF(NOT(ISNUMBER(T757)),"Needs supplier cost",IF(K757&lt;&gt;"In stock","Supplier unavailable",IF(AG757&lt;&gt;"PASS","BLOCK - GT loss risk","Commercially protected")))</x:f>
        <x:v>Needs supplier cost</x:v>
      </x:c>
      <x:c r="AI757" t="str">
        <x:v>2026-09-10 Active Sports trade capture</x:v>
      </x:c>
      <x:c r="AJ757" t="str">
        <x:v>Management-only economics. Stripe stress test uses 1.5% + £0.20 standard UK online-card fee; pallet/mix-and-match pricing ignored.</x:v>
      </x:c>
    </x:row>
    <x:row r="758">
      <x:c r="A758" t="str">
        <x:v>Active Sports Nutrition</x:v>
      </x:c>
      <x:c r="B758" t="str">
        <x:v>CNP Professional</x:v>
      </x:c>
      <x:c r="C758" t="str">
        <x:v>Creatine Ethyl Ester</x:v>
      </x:c>
      <x:c r="D758" t="str">
        <x:v>Supplements</x:v>
      </x:c>
      <x:c r="E758" t="str">
        <x:v>Creatine Pills</x:v>
      </x:c>
      <x:c r="F758" t="str"/>
      <x:c r="G758" t="str">
        <x:v>240 caps</x:v>
      </x:c>
      <x:c r="H758" t="str">
        <x:v>Default</x:v>
      </x:c>
      <x:c r="I758" t="str"/>
      <x:c r="J758" t="str">
        <x:v>Unit</x:v>
      </x:c>
      <x:c r="K758" t="str">
        <x:v>In stock</x:v>
      </x:c>
      <x:c r="L758" t="str">
        <x:v>2026-09-08</x:v>
      </x:c>
      <x:c r="M758" t="str"/>
      <x:c r="N758" t="str"/>
      <x:c r="O758" t="str">
        <x:v>https://www.activesportstrade.co.uk/trade-sports-supplements</x:v>
      </x:c>
      <x:c r="P758" t="str">
        <x:v>BUY 5 GET 1 FREE promo removed.</x:v>
      </x:c>
      <x:c r="Q758" t="str"/>
      <x:c r="R758" t="str"/>
      <x:c r="S758" t="str">
        <x:v>Pending genuine supplier/brand image</x:v>
      </x:c>
      <x:c r="T758" s="54"/>
      <x:c r="U758" s="47" t="n">
        <x:v>0.2</x:v>
      </x:c>
      <x:c r="V758" s="54" t="str">
        <x:f>IF(ISNUMBER(T758),T758*(1+U758),"")</x:f>
      </x:c>
      <x:c r="W758" s="47" t="n">
        <x:v>0.3</x:v>
      </x:c>
      <x:c r="X758" s="54" t="str">
        <x:f>IF(ISNUMBER(V758),V758/(1-W758),"")</x:f>
      </x:c>
      <x:c r="Y758" s="55" t="str">
        <x:f>IF(ISNUMBER(X758),ROUNDUP(X758,0),"")</x:f>
      </x:c>
      <x:c r="Z758" t="str">
        <x:f>IF(ISNUMBER(T758),"Cost captured","Awaiting trade cost")</x:f>
        <x:v>Awaiting trade cost</x:v>
      </x:c>
      <x:c r="AB758" s="36" t="str">
        <x:f>IF(ISNUMBER(Y758),ROUND(Y758*0.9,2),"")</x:f>
      </x:c>
      <x:c r="AC758" s="36" t="str">
        <x:f>IF(ISNUMBER(AB758),ROUND(AB758-(AB758*0.015+0.2)-V758,2),"")</x:f>
      </x:c>
      <x:c r="AD758" s="36" t="str">
        <x:f>IF(ISNUMBER(Y758),ROUND(Y758*0.8,2),"")</x:f>
      </x:c>
      <x:c r="AE758" s="36" t="str">
        <x:f>IF(ISNUMBER(AD758),ROUND(AD758*0.015+0.2,2),"")</x:f>
      </x:c>
      <x:c r="AF758" s="36" t="str">
        <x:f>IF(ISNUMBER(AD758),ROUND(AD758-AE758-V758,2),"")</x:f>
      </x:c>
      <x:c r="AG758" t="str">
        <x:f>IF(NOT(ISNUMBER(T758)),"PENDING",IF(AF758&gt;0,"PASS","FAIL"))</x:f>
        <x:v>PENDING</x:v>
      </x:c>
      <x:c r="AH758" t="str">
        <x:f>IF(NOT(ISNUMBER(T758)),"Needs supplier cost",IF(K758&lt;&gt;"In stock","Supplier unavailable",IF(AG758&lt;&gt;"PASS","BLOCK - GT loss risk","Commercially protected")))</x:f>
        <x:v>Needs supplier cost</x:v>
      </x:c>
      <x:c r="AI758" t="str">
        <x:v>2026-09-10 Active Sports trade capture</x:v>
      </x:c>
      <x:c r="AJ758" t="str">
        <x:v>Management-only economics. Stripe stress test uses 1.5% + £0.20 standard UK online-card fee; pallet/mix-and-match pricing ignored.</x:v>
      </x:c>
    </x:row>
    <x:row r="759">
      <x:c r="A759" t="str">
        <x:v>Active Sports Nutrition</x:v>
      </x:c>
      <x:c r="B759" t="str">
        <x:v>CNP Professional</x:v>
      </x:c>
      <x:c r="C759" t="str">
        <x:v>Creatine Monohydrate</x:v>
      </x:c>
      <x:c r="D759" t="str">
        <x:v>Supplements</x:v>
      </x:c>
      <x:c r="E759" t="str">
        <x:v>Creatine Powders</x:v>
      </x:c>
      <x:c r="F759" t="str"/>
      <x:c r="G759" t="str">
        <x:v>250g</x:v>
      </x:c>
      <x:c r="H759" t="str">
        <x:v>Unflavoured</x:v>
      </x:c>
      <x:c r="I759" t="str"/>
      <x:c r="J759" t="str">
        <x:v>Unit</x:v>
      </x:c>
      <x:c r="K759" t="str">
        <x:v>In stock</x:v>
      </x:c>
      <x:c r="L759" t="str">
        <x:v>2026-09-08</x:v>
      </x:c>
      <x:c r="M759" t="str"/>
      <x:c r="N759" t="str"/>
      <x:c r="O759" t="str">
        <x:v>https://www.activesportstrade.co.uk/trade-sports-supplements</x:v>
      </x:c>
      <x:c r="P759" t="str">
        <x:v>New/current packaging canonical line; duplicate old-packaging special offer not created as separate product.</x:v>
      </x:c>
      <x:c r="Q759" t="str"/>
      <x:c r="R759" t="str"/>
      <x:c r="S759" t="str">
        <x:v>Pending genuine supplier/brand image</x:v>
      </x:c>
      <x:c r="T759" s="54"/>
      <x:c r="U759" s="47" t="n">
        <x:v>0.2</x:v>
      </x:c>
      <x:c r="V759" s="54" t="str">
        <x:f>IF(ISNUMBER(T759),T759*(1+U759),"")</x:f>
      </x:c>
      <x:c r="W759" s="47" t="n">
        <x:v>0.3</x:v>
      </x:c>
      <x:c r="X759" s="54" t="str">
        <x:f>IF(ISNUMBER(V759),V759/(1-W759),"")</x:f>
      </x:c>
      <x:c r="Y759" s="55" t="str">
        <x:f>IF(ISNUMBER(X759),ROUNDUP(X759,0),"")</x:f>
      </x:c>
      <x:c r="Z759" t="str">
        <x:f>IF(ISNUMBER(T759),"Cost captured","Awaiting trade cost")</x:f>
        <x:v>Awaiting trade cost</x:v>
      </x:c>
      <x:c r="AB759" s="36" t="str">
        <x:f>IF(ISNUMBER(Y759),ROUND(Y759*0.9,2),"")</x:f>
      </x:c>
      <x:c r="AC759" s="36" t="str">
        <x:f>IF(ISNUMBER(AB759),ROUND(AB759-(AB759*0.015+0.2)-V759,2),"")</x:f>
      </x:c>
      <x:c r="AD759" s="36" t="str">
        <x:f>IF(ISNUMBER(Y759),ROUND(Y759*0.8,2),"")</x:f>
      </x:c>
      <x:c r="AE759" s="36" t="str">
        <x:f>IF(ISNUMBER(AD759),ROUND(AD759*0.015+0.2,2),"")</x:f>
      </x:c>
      <x:c r="AF759" s="36" t="str">
        <x:f>IF(ISNUMBER(AD759),ROUND(AD759-AE759-V759,2),"")</x:f>
      </x:c>
      <x:c r="AG759" t="str">
        <x:f>IF(NOT(ISNUMBER(T759)),"PENDING",IF(AF759&gt;0,"PASS","FAIL"))</x:f>
        <x:v>PENDING</x:v>
      </x:c>
      <x:c r="AH759" t="str">
        <x:f>IF(NOT(ISNUMBER(T759)),"Needs supplier cost",IF(K759&lt;&gt;"In stock","Supplier unavailable",IF(AG759&lt;&gt;"PASS","BLOCK - GT loss risk","Commercially protected")))</x:f>
        <x:v>Needs supplier cost</x:v>
      </x:c>
      <x:c r="AI759" t="str">
        <x:v>2026-09-10 Active Sports trade capture</x:v>
      </x:c>
      <x:c r="AJ759" t="str">
        <x:v>Management-only economics. Stripe stress test uses 1.5% + £0.20 standard UK online-card fee; pallet/mix-and-match pricing ignored.</x:v>
      </x:c>
    </x:row>
    <x:row r="760">
      <x:c r="A760" t="str">
        <x:v>Active Sports Nutrition</x:v>
      </x:c>
      <x:c r="B760" t="str">
        <x:v>CNP Professional</x:v>
      </x:c>
      <x:c r="C760" t="str">
        <x:v>Creatine Monohydrate</x:v>
      </x:c>
      <x:c r="D760" t="str">
        <x:v>Supplements</x:v>
      </x:c>
      <x:c r="E760" t="str">
        <x:v>Creatine Powders</x:v>
      </x:c>
      <x:c r="F760" t="str"/>
      <x:c r="G760" t="str">
        <x:v>500g</x:v>
      </x:c>
      <x:c r="H760" t="str">
        <x:v>Unflavoured</x:v>
      </x:c>
      <x:c r="I760" t="str"/>
      <x:c r="J760" t="str">
        <x:v>Unit</x:v>
      </x:c>
      <x:c r="K760" t="str">
        <x:v>In stock</x:v>
      </x:c>
      <x:c r="L760" t="str">
        <x:v>2026-09-08</x:v>
      </x:c>
      <x:c r="M760" t="str"/>
      <x:c r="N760" t="str"/>
      <x:c r="O760" t="str">
        <x:v>https://www.activesportstrade.co.uk/trade-sports-supplements</x:v>
      </x:c>
      <x:c r="P760" t="str">
        <x:v>BUY 5 GET 1 FREE promo removed.</x:v>
      </x:c>
      <x:c r="Q760" t="str"/>
      <x:c r="R760" t="str"/>
      <x:c r="S760" t="str">
        <x:v>Pending genuine supplier/brand image</x:v>
      </x:c>
      <x:c r="T760" s="54"/>
      <x:c r="U760" s="47" t="n">
        <x:v>0.2</x:v>
      </x:c>
      <x:c r="V760" s="54" t="str">
        <x:f>IF(ISNUMBER(T760),T760*(1+U760),"")</x:f>
      </x:c>
      <x:c r="W760" s="47" t="n">
        <x:v>0.3</x:v>
      </x:c>
      <x:c r="X760" s="54" t="str">
        <x:f>IF(ISNUMBER(V760),V760/(1-W760),"")</x:f>
      </x:c>
      <x:c r="Y760" s="55" t="str">
        <x:f>IF(ISNUMBER(X760),ROUNDUP(X760,0),"")</x:f>
      </x:c>
      <x:c r="Z760" t="str">
        <x:f>IF(ISNUMBER(T760),"Cost captured","Awaiting trade cost")</x:f>
        <x:v>Awaiting trade cost</x:v>
      </x:c>
      <x:c r="AB760" s="36" t="str">
        <x:f>IF(ISNUMBER(Y760),ROUND(Y760*0.9,2),"")</x:f>
      </x:c>
      <x:c r="AC760" s="36" t="str">
        <x:f>IF(ISNUMBER(AB760),ROUND(AB760-(AB760*0.015+0.2)-V760,2),"")</x:f>
      </x:c>
      <x:c r="AD760" s="36" t="str">
        <x:f>IF(ISNUMBER(Y760),ROUND(Y760*0.8,2),"")</x:f>
      </x:c>
      <x:c r="AE760" s="36" t="str">
        <x:f>IF(ISNUMBER(AD760),ROUND(AD760*0.015+0.2,2),"")</x:f>
      </x:c>
      <x:c r="AF760" s="36" t="str">
        <x:f>IF(ISNUMBER(AD760),ROUND(AD760-AE760-V760,2),"")</x:f>
      </x:c>
      <x:c r="AG760" t="str">
        <x:f>IF(NOT(ISNUMBER(T760)),"PENDING",IF(AF760&gt;0,"PASS","FAIL"))</x:f>
        <x:v>PENDING</x:v>
      </x:c>
      <x:c r="AH760" t="str">
        <x:f>IF(NOT(ISNUMBER(T760)),"Needs supplier cost",IF(K760&lt;&gt;"In stock","Supplier unavailable",IF(AG760&lt;&gt;"PASS","BLOCK - GT loss risk","Commercially protected")))</x:f>
        <x:v>Needs supplier cost</x:v>
      </x:c>
      <x:c r="AI760" t="str">
        <x:v>2026-09-10 Active Sports trade capture</x:v>
      </x:c>
      <x:c r="AJ760" t="str">
        <x:v>Management-only economics. Stripe stress test uses 1.5% + £0.20 standard UK online-card fee; pallet/mix-and-match pricing ignored.</x:v>
      </x:c>
    </x:row>
    <x:row r="761">
      <x:c r="A761" t="str">
        <x:v>Active Sports Nutrition</x:v>
      </x:c>
      <x:c r="B761" t="str">
        <x:v>CNP Professional</x:v>
      </x:c>
      <x:c r="C761" t="str">
        <x:v>Glutamine Powder</x:v>
      </x:c>
      <x:c r="D761" t="str">
        <x:v>Supplements</x:v>
      </x:c>
      <x:c r="E761" t="str">
        <x:v>L-Glutamine</x:v>
      </x:c>
      <x:c r="F761" t="str"/>
      <x:c r="G761" t="str">
        <x:v>250g</x:v>
      </x:c>
      <x:c r="H761" t="str">
        <x:v>Unflavoured</x:v>
      </x:c>
      <x:c r="I761" t="str"/>
      <x:c r="J761" t="str">
        <x:v>Unit</x:v>
      </x:c>
      <x:c r="K761" t="str">
        <x:v>In stock</x:v>
      </x:c>
      <x:c r="L761" t="str">
        <x:v>2026-09-08</x:v>
      </x:c>
      <x:c r="M761" t="str"/>
      <x:c r="N761" t="str"/>
      <x:c r="O761" t="str">
        <x:v>https://www.activesportstrade.co.uk/trade-sports-supplements</x:v>
      </x:c>
      <x:c r="P761" t="str">
        <x:v>Current canonical formula; old MEGA SPECIAL OFFER duplicate consolidated.</x:v>
      </x:c>
      <x:c r="Q761" t="str"/>
      <x:c r="R761" t="str"/>
      <x:c r="S761" t="str">
        <x:v>Pending genuine supplier/brand image</x:v>
      </x:c>
      <x:c r="T761" s="54"/>
      <x:c r="U761" s="47" t="n">
        <x:v>0.2</x:v>
      </x:c>
      <x:c r="V761" s="54" t="str">
        <x:f>IF(ISNUMBER(T761),T761*(1+U761),"")</x:f>
      </x:c>
      <x:c r="W761" s="47" t="n">
        <x:v>0.3</x:v>
      </x:c>
      <x:c r="X761" s="54" t="str">
        <x:f>IF(ISNUMBER(V761),V761/(1-W761),"")</x:f>
      </x:c>
      <x:c r="Y761" s="55" t="str">
        <x:f>IF(ISNUMBER(X761),ROUNDUP(X761,0),"")</x:f>
      </x:c>
      <x:c r="Z761" t="str">
        <x:f>IF(ISNUMBER(T761),"Cost captured","Awaiting trade cost")</x:f>
        <x:v>Awaiting trade cost</x:v>
      </x:c>
      <x:c r="AB761" s="36" t="str">
        <x:f>IF(ISNUMBER(Y761),ROUND(Y761*0.9,2),"")</x:f>
      </x:c>
      <x:c r="AC761" s="36" t="str">
        <x:f>IF(ISNUMBER(AB761),ROUND(AB761-(AB761*0.015+0.2)-V761,2),"")</x:f>
      </x:c>
      <x:c r="AD761" s="36" t="str">
        <x:f>IF(ISNUMBER(Y761),ROUND(Y761*0.8,2),"")</x:f>
      </x:c>
      <x:c r="AE761" s="36" t="str">
        <x:f>IF(ISNUMBER(AD761),ROUND(AD761*0.015+0.2,2),"")</x:f>
      </x:c>
      <x:c r="AF761" s="36" t="str">
        <x:f>IF(ISNUMBER(AD761),ROUND(AD761-AE761-V761,2),"")</x:f>
      </x:c>
      <x:c r="AG761" t="str">
        <x:f>IF(NOT(ISNUMBER(T761)),"PENDING",IF(AF761&gt;0,"PASS","FAIL"))</x:f>
        <x:v>PENDING</x:v>
      </x:c>
      <x:c r="AH761" t="str">
        <x:f>IF(NOT(ISNUMBER(T761)),"Needs supplier cost",IF(K761&lt;&gt;"In stock","Supplier unavailable",IF(AG761&lt;&gt;"PASS","BLOCK - GT loss risk","Commercially protected")))</x:f>
        <x:v>Needs supplier cost</x:v>
      </x:c>
      <x:c r="AI761" t="str">
        <x:v>2026-09-10 Active Sports trade capture</x:v>
      </x:c>
      <x:c r="AJ761" t="str">
        <x:v>Management-only economics. Stripe stress test uses 1.5% + £0.20 standard UK online-card fee; pallet/mix-and-match pricing ignored.</x:v>
      </x:c>
    </x:row>
    <x:row r="762">
      <x:c r="A762" t="str">
        <x:v>Active Sports Nutrition</x:v>
      </x:c>
      <x:c r="B762" t="str">
        <x:v>CNP Professional</x:v>
      </x:c>
      <x:c r="C762" t="str">
        <x:v>Loaded Beef</x:v>
      </x:c>
      <x:c r="D762" t="str">
        <x:v>Supplements</x:v>
      </x:c>
      <x:c r="E762" t="str">
        <x:v>Protein Blends</x:v>
      </x:c>
      <x:c r="F762" t="str"/>
      <x:c r="G762" t="str">
        <x:v>1.8kg</x:v>
      </x:c>
      <x:c r="H762" t="str">
        <x:v>Big Juicy Melons</x:v>
      </x:c>
      <x:c r="I762" t="str"/>
      <x:c r="J762" t="str">
        <x:v>Unit</x:v>
      </x:c>
      <x:c r="K762" t="str">
        <x:v>Out of stock</x:v>
      </x:c>
      <x:c r="L762" t="str">
        <x:v>2026-09-08</x:v>
      </x:c>
      <x:c r="M762" t="str"/>
      <x:c r="N762" t="str"/>
      <x:c r="O762" t="str">
        <x:v>https://www.activesportstrade.co.uk/trade-sports-supplements</x:v>
      </x:c>
      <x:c r="P762" t="str">
        <x:v>MEGA SPECIAL OFFER wording removed.</x:v>
      </x:c>
      <x:c r="Q762" t="str"/>
      <x:c r="R762" t="str"/>
      <x:c r="S762" t="str">
        <x:v>Pending genuine supplier/brand image</x:v>
      </x:c>
      <x:c r="T762" s="54"/>
      <x:c r="U762" s="47" t="n">
        <x:v>0.2</x:v>
      </x:c>
      <x:c r="V762" s="54" t="str">
        <x:f>IF(ISNUMBER(T762),T762*(1+U762),"")</x:f>
      </x:c>
      <x:c r="W762" s="47" t="n">
        <x:v>0.3</x:v>
      </x:c>
      <x:c r="X762" s="54" t="str">
        <x:f>IF(ISNUMBER(V762),V762/(1-W762),"")</x:f>
      </x:c>
      <x:c r="Y762" s="55" t="str">
        <x:f>IF(ISNUMBER(X762),ROUNDUP(X762,0),"")</x:f>
      </x:c>
      <x:c r="Z762" t="str">
        <x:f>IF(ISNUMBER(T762),"Cost captured","Awaiting trade cost")</x:f>
        <x:v>Awaiting trade cost</x:v>
      </x:c>
      <x:c r="AB762" s="36" t="str">
        <x:f>IF(ISNUMBER(Y762),ROUND(Y762*0.9,2),"")</x:f>
      </x:c>
      <x:c r="AC762" s="36" t="str">
        <x:f>IF(ISNUMBER(AB762),ROUND(AB762-(AB762*0.015+0.2)-V762,2),"")</x:f>
      </x:c>
      <x:c r="AD762" s="36" t="str">
        <x:f>IF(ISNUMBER(Y762),ROUND(Y762*0.8,2),"")</x:f>
      </x:c>
      <x:c r="AE762" s="36" t="str">
        <x:f>IF(ISNUMBER(AD762),ROUND(AD762*0.015+0.2,2),"")</x:f>
      </x:c>
      <x:c r="AF762" s="36" t="str">
        <x:f>IF(ISNUMBER(AD762),ROUND(AD762-AE762-V762,2),"")</x:f>
      </x:c>
      <x:c r="AG762" t="str">
        <x:f>IF(NOT(ISNUMBER(T762)),"PENDING",IF(AF762&gt;0,"PASS","FAIL"))</x:f>
        <x:v>PENDING</x:v>
      </x:c>
      <x:c r="AH762" t="str">
        <x:f>IF(NOT(ISNUMBER(T762)),"Needs supplier cost",IF(K762&lt;&gt;"In stock","Supplier unavailable",IF(AG762&lt;&gt;"PASS","BLOCK - GT loss risk","Commercially protected")))</x:f>
        <x:v>Needs supplier cost</x:v>
      </x:c>
      <x:c r="AI762" t="str">
        <x:v>2026-09-10 Active Sports trade capture</x:v>
      </x:c>
      <x:c r="AJ762" t="str">
        <x:v>Management-only economics. Stripe stress test uses 1.5% + £0.20 standard UK online-card fee; pallet/mix-and-match pricing ignored.</x:v>
      </x:c>
    </x:row>
    <x:row r="763">
      <x:c r="A763" t="str">
        <x:v>Active Sports Nutrition</x:v>
      </x:c>
      <x:c r="B763" t="str">
        <x:v>CNP Professional</x:v>
      </x:c>
      <x:c r="C763" t="str">
        <x:v>Loaded Beef</x:v>
      </x:c>
      <x:c r="D763" t="str">
        <x:v>Supplements</x:v>
      </x:c>
      <x:c r="E763" t="str">
        <x:v>Protein Blends</x:v>
      </x:c>
      <x:c r="F763" t="str"/>
      <x:c r="G763" t="str">
        <x:v>1.8kg</x:v>
      </x:c>
      <x:c r="H763" t="str">
        <x:v>Blackcurrant Bang</x:v>
      </x:c>
      <x:c r="I763" t="str"/>
      <x:c r="J763" t="str">
        <x:v>Unit</x:v>
      </x:c>
      <x:c r="K763" t="str">
        <x:v>In stock</x:v>
      </x:c>
      <x:c r="L763" t="str">
        <x:v>2026-09-08</x:v>
      </x:c>
      <x:c r="M763" t="str"/>
      <x:c r="N763" t="str"/>
      <x:c r="O763" t="str">
        <x:v>https://www.activesportstrade.co.uk/trade-sports-supplements</x:v>
      </x:c>
      <x:c r="P763" t="str">
        <x:v>MEGA SPECIAL OFFER wording removed.</x:v>
      </x:c>
      <x:c r="Q763" t="str"/>
      <x:c r="R763" t="str"/>
      <x:c r="S763" t="str">
        <x:v>Pending genuine supplier/brand image</x:v>
      </x:c>
      <x:c r="T763" s="54"/>
      <x:c r="U763" s="47" t="n">
        <x:v>0.2</x:v>
      </x:c>
      <x:c r="V763" s="54" t="str">
        <x:f>IF(ISNUMBER(T763),T763*(1+U763),"")</x:f>
      </x:c>
      <x:c r="W763" s="47" t="n">
        <x:v>0.3</x:v>
      </x:c>
      <x:c r="X763" s="54" t="str">
        <x:f>IF(ISNUMBER(V763),V763/(1-W763),"")</x:f>
      </x:c>
      <x:c r="Y763" s="55" t="str">
        <x:f>IF(ISNUMBER(X763),ROUNDUP(X763,0),"")</x:f>
      </x:c>
      <x:c r="Z763" t="str">
        <x:f>IF(ISNUMBER(T763),"Cost captured","Awaiting trade cost")</x:f>
        <x:v>Awaiting trade cost</x:v>
      </x:c>
      <x:c r="AB763" s="36" t="str">
        <x:f>IF(ISNUMBER(Y763),ROUND(Y763*0.9,2),"")</x:f>
      </x:c>
      <x:c r="AC763" s="36" t="str">
        <x:f>IF(ISNUMBER(AB763),ROUND(AB763-(AB763*0.015+0.2)-V763,2),"")</x:f>
      </x:c>
      <x:c r="AD763" s="36" t="str">
        <x:f>IF(ISNUMBER(Y763),ROUND(Y763*0.8,2),"")</x:f>
      </x:c>
      <x:c r="AE763" s="36" t="str">
        <x:f>IF(ISNUMBER(AD763),ROUND(AD763*0.015+0.2,2),"")</x:f>
      </x:c>
      <x:c r="AF763" s="36" t="str">
        <x:f>IF(ISNUMBER(AD763),ROUND(AD763-AE763-V763,2),"")</x:f>
      </x:c>
      <x:c r="AG763" t="str">
        <x:f>IF(NOT(ISNUMBER(T763)),"PENDING",IF(AF763&gt;0,"PASS","FAIL"))</x:f>
        <x:v>PENDING</x:v>
      </x:c>
      <x:c r="AH763" t="str">
        <x:f>IF(NOT(ISNUMBER(T763)),"Needs supplier cost",IF(K763&lt;&gt;"In stock","Supplier unavailable",IF(AG763&lt;&gt;"PASS","BLOCK - GT loss risk","Commercially protected")))</x:f>
        <x:v>Needs supplier cost</x:v>
      </x:c>
      <x:c r="AI763" t="str">
        <x:v>2026-09-10 Active Sports trade capture</x:v>
      </x:c>
      <x:c r="AJ763" t="str">
        <x:v>Management-only economics. Stripe stress test uses 1.5% + £0.20 standard UK online-card fee; pallet/mix-and-match pricing ignored.</x:v>
      </x:c>
    </x:row>
    <x:row r="764">
      <x:c r="A764" t="str">
        <x:v>Active Sports Nutrition</x:v>
      </x:c>
      <x:c r="B764" t="str">
        <x:v>CNP Professional</x:v>
      </x:c>
      <x:c r="C764" t="str">
        <x:v>Loaded Beef</x:v>
      </x:c>
      <x:c r="D764" t="str">
        <x:v>Supplements</x:v>
      </x:c>
      <x:c r="E764" t="str">
        <x:v>Protein Blends</x:v>
      </x:c>
      <x:c r="F764" t="str"/>
      <x:c r="G764" t="str">
        <x:v>1.8kg</x:v>
      </x:c>
      <x:c r="H764" t="str">
        <x:v>Blue Razz</x:v>
      </x:c>
      <x:c r="I764" t="str"/>
      <x:c r="J764" t="str">
        <x:v>Unit</x:v>
      </x:c>
      <x:c r="K764" t="str">
        <x:v>In stock</x:v>
      </x:c>
      <x:c r="L764" t="str">
        <x:v>2026-09-08</x:v>
      </x:c>
      <x:c r="M764" t="str"/>
      <x:c r="N764" t="str"/>
      <x:c r="O764" t="str">
        <x:v>https://www.activesportstrade.co.uk/trade-sports-supplements</x:v>
      </x:c>
      <x:c r="P764" t="str">
        <x:v>MEGA SPECIAL OFFER wording removed.</x:v>
      </x:c>
      <x:c r="Q764" t="str"/>
      <x:c r="R764" t="str"/>
      <x:c r="S764" t="str">
        <x:v>Pending genuine supplier/brand image</x:v>
      </x:c>
      <x:c r="T764" s="54"/>
      <x:c r="U764" s="47" t="n">
        <x:v>0.2</x:v>
      </x:c>
      <x:c r="V764" s="54" t="str">
        <x:f>IF(ISNUMBER(T764),T764*(1+U764),"")</x:f>
      </x:c>
      <x:c r="W764" s="47" t="n">
        <x:v>0.3</x:v>
      </x:c>
      <x:c r="X764" s="54" t="str">
        <x:f>IF(ISNUMBER(V764),V764/(1-W764),"")</x:f>
      </x:c>
      <x:c r="Y764" s="55" t="str">
        <x:f>IF(ISNUMBER(X764),ROUNDUP(X764,0),"")</x:f>
      </x:c>
      <x:c r="Z764" t="str">
        <x:f>IF(ISNUMBER(T764),"Cost captured","Awaiting trade cost")</x:f>
        <x:v>Awaiting trade cost</x:v>
      </x:c>
      <x:c r="AB764" s="36" t="str">
        <x:f>IF(ISNUMBER(Y764),ROUND(Y764*0.9,2),"")</x:f>
      </x:c>
      <x:c r="AC764" s="36" t="str">
        <x:f>IF(ISNUMBER(AB764),ROUND(AB764-(AB764*0.015+0.2)-V764,2),"")</x:f>
      </x:c>
      <x:c r="AD764" s="36" t="str">
        <x:f>IF(ISNUMBER(Y764),ROUND(Y764*0.8,2),"")</x:f>
      </x:c>
      <x:c r="AE764" s="36" t="str">
        <x:f>IF(ISNUMBER(AD764),ROUND(AD764*0.015+0.2,2),"")</x:f>
      </x:c>
      <x:c r="AF764" s="36" t="str">
        <x:f>IF(ISNUMBER(AD764),ROUND(AD764-AE764-V764,2),"")</x:f>
      </x:c>
      <x:c r="AG764" t="str">
        <x:f>IF(NOT(ISNUMBER(T764)),"PENDING",IF(AF764&gt;0,"PASS","FAIL"))</x:f>
        <x:v>PENDING</x:v>
      </x:c>
      <x:c r="AH764" t="str">
        <x:f>IF(NOT(ISNUMBER(T764)),"Needs supplier cost",IF(K764&lt;&gt;"In stock","Supplier unavailable",IF(AG764&lt;&gt;"PASS","BLOCK - GT loss risk","Commercially protected")))</x:f>
        <x:v>Needs supplier cost</x:v>
      </x:c>
      <x:c r="AI764" t="str">
        <x:v>2026-09-10 Active Sports trade capture</x:v>
      </x:c>
      <x:c r="AJ764" t="str">
        <x:v>Management-only economics. Stripe stress test uses 1.5% + £0.20 standard UK online-card fee; pallet/mix-and-match pricing ignored.</x:v>
      </x:c>
    </x:row>
    <x:row r="765">
      <x:c r="A765" t="str">
        <x:v>Active Sports Nutrition</x:v>
      </x:c>
      <x:c r="B765" t="str">
        <x:v>CNP Professional</x:v>
      </x:c>
      <x:c r="C765" t="str">
        <x:v>Loaded Beef</x:v>
      </x:c>
      <x:c r="D765" t="str">
        <x:v>Supplements</x:v>
      </x:c>
      <x:c r="E765" t="str">
        <x:v>Protein Blends</x:v>
      </x:c>
      <x:c r="F765" t="str"/>
      <x:c r="G765" t="str">
        <x:v>1.8kg</x:v>
      </x:c>
      <x:c r="H765" t="str">
        <x:v>Cherry Cola</x:v>
      </x:c>
      <x:c r="I765" t="str"/>
      <x:c r="J765" t="str">
        <x:v>Unit</x:v>
      </x:c>
      <x:c r="K765" t="str">
        <x:v>Out of stock</x:v>
      </x:c>
      <x:c r="L765" t="str">
        <x:v>2026-09-08</x:v>
      </x:c>
      <x:c r="M765" t="str"/>
      <x:c r="N765" t="str"/>
      <x:c r="O765" t="str">
        <x:v>https://www.activesportstrade.co.uk/trade-sports-supplements</x:v>
      </x:c>
      <x:c r="P765" t="str">
        <x:v>MEGA SPECIAL OFFER wording removed.</x:v>
      </x:c>
      <x:c r="Q765" t="str"/>
      <x:c r="R765" t="str"/>
      <x:c r="S765" t="str">
        <x:v>Pending genuine supplier/brand image</x:v>
      </x:c>
      <x:c r="T765" s="54"/>
      <x:c r="U765" s="47" t="n">
        <x:v>0.2</x:v>
      </x:c>
      <x:c r="V765" s="54" t="str">
        <x:f>IF(ISNUMBER(T765),T765*(1+U765),"")</x:f>
      </x:c>
      <x:c r="W765" s="47" t="n">
        <x:v>0.3</x:v>
      </x:c>
      <x:c r="X765" s="54" t="str">
        <x:f>IF(ISNUMBER(V765),V765/(1-W765),"")</x:f>
      </x:c>
      <x:c r="Y765" s="55" t="str">
        <x:f>IF(ISNUMBER(X765),ROUNDUP(X765,0),"")</x:f>
      </x:c>
      <x:c r="Z765" t="str">
        <x:f>IF(ISNUMBER(T765),"Cost captured","Awaiting trade cost")</x:f>
        <x:v>Awaiting trade cost</x:v>
      </x:c>
      <x:c r="AB765" s="36" t="str">
        <x:f>IF(ISNUMBER(Y765),ROUND(Y765*0.9,2),"")</x:f>
      </x:c>
      <x:c r="AC765" s="36" t="str">
        <x:f>IF(ISNUMBER(AB765),ROUND(AB765-(AB765*0.015+0.2)-V765,2),"")</x:f>
      </x:c>
      <x:c r="AD765" s="36" t="str">
        <x:f>IF(ISNUMBER(Y765),ROUND(Y765*0.8,2),"")</x:f>
      </x:c>
      <x:c r="AE765" s="36" t="str">
        <x:f>IF(ISNUMBER(AD765),ROUND(AD765*0.015+0.2,2),"")</x:f>
      </x:c>
      <x:c r="AF765" s="36" t="str">
        <x:f>IF(ISNUMBER(AD765),ROUND(AD765-AE765-V765,2),"")</x:f>
      </x:c>
      <x:c r="AG765" t="str">
        <x:f>IF(NOT(ISNUMBER(T765)),"PENDING",IF(AF765&gt;0,"PASS","FAIL"))</x:f>
        <x:v>PENDING</x:v>
      </x:c>
      <x:c r="AH765" t="str">
        <x:f>IF(NOT(ISNUMBER(T765)),"Needs supplier cost",IF(K765&lt;&gt;"In stock","Supplier unavailable",IF(AG765&lt;&gt;"PASS","BLOCK - GT loss risk","Commercially protected")))</x:f>
        <x:v>Needs supplier cost</x:v>
      </x:c>
      <x:c r="AI765" t="str">
        <x:v>2026-09-10 Active Sports trade capture</x:v>
      </x:c>
      <x:c r="AJ765" t="str">
        <x:v>Management-only economics. Stripe stress test uses 1.5% + £0.20 standard UK online-card fee; pallet/mix-and-match pricing ignored.</x:v>
      </x:c>
    </x:row>
    <x:row r="766">
      <x:c r="A766" t="str">
        <x:v>Active Sports Nutrition</x:v>
      </x:c>
      <x:c r="B766" t="str">
        <x:v>CNP Professional</x:v>
      </x:c>
      <x:c r="C766" t="str">
        <x:v>Loaded Beef</x:v>
      </x:c>
      <x:c r="D766" t="str">
        <x:v>Supplements</x:v>
      </x:c>
      <x:c r="E766" t="str">
        <x:v>Protein Blends</x:v>
      </x:c>
      <x:c r="F766" t="str"/>
      <x:c r="G766" t="str">
        <x:v>1.8kg</x:v>
      </x:c>
      <x:c r="H766" t="str">
        <x:v>Strawberry Laces</x:v>
      </x:c>
      <x:c r="I766" t="str"/>
      <x:c r="J766" t="str">
        <x:v>Unit</x:v>
      </x:c>
      <x:c r="K766" t="str">
        <x:v>Out of stock</x:v>
      </x:c>
      <x:c r="L766" t="str">
        <x:v>2026-09-08</x:v>
      </x:c>
      <x:c r="M766" t="str"/>
      <x:c r="N766" t="str"/>
      <x:c r="O766" t="str">
        <x:v>https://www.activesportstrade.co.uk/trade-sports-supplements</x:v>
      </x:c>
      <x:c r="P766" t="str">
        <x:v>MEGA SPECIAL OFFER wording removed.</x:v>
      </x:c>
      <x:c r="Q766" t="str"/>
      <x:c r="R766" t="str"/>
      <x:c r="S766" t="str">
        <x:v>Pending genuine supplier/brand image</x:v>
      </x:c>
      <x:c r="T766" s="54"/>
      <x:c r="U766" s="47" t="n">
        <x:v>0.2</x:v>
      </x:c>
      <x:c r="V766" s="54" t="str">
        <x:f>IF(ISNUMBER(T766),T766*(1+U766),"")</x:f>
      </x:c>
      <x:c r="W766" s="47" t="n">
        <x:v>0.3</x:v>
      </x:c>
      <x:c r="X766" s="54" t="str">
        <x:f>IF(ISNUMBER(V766),V766/(1-W766),"")</x:f>
      </x:c>
      <x:c r="Y766" s="55" t="str">
        <x:f>IF(ISNUMBER(X766),ROUNDUP(X766,0),"")</x:f>
      </x:c>
      <x:c r="Z766" t="str">
        <x:f>IF(ISNUMBER(T766),"Cost captured","Awaiting trade cost")</x:f>
        <x:v>Awaiting trade cost</x:v>
      </x:c>
      <x:c r="AB766" s="36" t="str">
        <x:f>IF(ISNUMBER(Y766),ROUND(Y766*0.9,2),"")</x:f>
      </x:c>
      <x:c r="AC766" s="36" t="str">
        <x:f>IF(ISNUMBER(AB766),ROUND(AB766-(AB766*0.015+0.2)-V766,2),"")</x:f>
      </x:c>
      <x:c r="AD766" s="36" t="str">
        <x:f>IF(ISNUMBER(Y766),ROUND(Y766*0.8,2),"")</x:f>
      </x:c>
      <x:c r="AE766" s="36" t="str">
        <x:f>IF(ISNUMBER(AD766),ROUND(AD766*0.015+0.2,2),"")</x:f>
      </x:c>
      <x:c r="AF766" s="36" t="str">
        <x:f>IF(ISNUMBER(AD766),ROUND(AD766-AE766-V766,2),"")</x:f>
      </x:c>
      <x:c r="AG766" t="str">
        <x:f>IF(NOT(ISNUMBER(T766)),"PENDING",IF(AF766&gt;0,"PASS","FAIL"))</x:f>
        <x:v>PENDING</x:v>
      </x:c>
      <x:c r="AH766" t="str">
        <x:f>IF(NOT(ISNUMBER(T766)),"Needs supplier cost",IF(K766&lt;&gt;"In stock","Supplier unavailable",IF(AG766&lt;&gt;"PASS","BLOCK - GT loss risk","Commercially protected")))</x:f>
        <x:v>Needs supplier cost</x:v>
      </x:c>
      <x:c r="AI766" t="str">
        <x:v>2026-09-10 Active Sports trade capture</x:v>
      </x:c>
      <x:c r="AJ766" t="str">
        <x:v>Management-only economics. Stripe stress test uses 1.5% + £0.20 standard UK online-card fee; pallet/mix-and-match pricing ignored.</x:v>
      </x:c>
    </x:row>
    <x:row r="767">
      <x:c r="A767" t="str">
        <x:v>Active Sports Nutrition</x:v>
      </x:c>
      <x:c r="B767" t="str">
        <x:v>CNP Professional</x:v>
      </x:c>
      <x:c r="C767" t="str">
        <x:v>Loaded Beef</x:v>
      </x:c>
      <x:c r="D767" t="str">
        <x:v>Supplements</x:v>
      </x:c>
      <x:c r="E767" t="str">
        <x:v>Protein Blends</x:v>
      </x:c>
      <x:c r="F767" t="str"/>
      <x:c r="G767" t="str">
        <x:v>1.8kg</x:v>
      </x:c>
      <x:c r="H767" t="str">
        <x:v>Tropical Pineapple</x:v>
      </x:c>
      <x:c r="I767" t="str"/>
      <x:c r="J767" t="str">
        <x:v>Unit</x:v>
      </x:c>
      <x:c r="K767" t="str">
        <x:v>In stock</x:v>
      </x:c>
      <x:c r="L767" t="str">
        <x:v>2026-09-08</x:v>
      </x:c>
      <x:c r="M767" t="str"/>
      <x:c r="N767" t="str"/>
      <x:c r="O767" t="str">
        <x:v>https://www.activesportstrade.co.uk/trade-sports-supplements</x:v>
      </x:c>
      <x:c r="P767" t="str">
        <x:v>MEGA SPECIAL OFFER wording removed.</x:v>
      </x:c>
      <x:c r="Q767" t="str"/>
      <x:c r="R767" t="str"/>
      <x:c r="S767" t="str">
        <x:v>Pending genuine supplier/brand image</x:v>
      </x:c>
      <x:c r="T767" s="54"/>
      <x:c r="U767" s="47" t="n">
        <x:v>0.2</x:v>
      </x:c>
      <x:c r="V767" s="54" t="str">
        <x:f>IF(ISNUMBER(T767),T767*(1+U767),"")</x:f>
      </x:c>
      <x:c r="W767" s="47" t="n">
        <x:v>0.3</x:v>
      </x:c>
      <x:c r="X767" s="54" t="str">
        <x:f>IF(ISNUMBER(V767),V767/(1-W767),"")</x:f>
      </x:c>
      <x:c r="Y767" s="55" t="str">
        <x:f>IF(ISNUMBER(X767),ROUNDUP(X767,0),"")</x:f>
      </x:c>
      <x:c r="Z767" t="str">
        <x:f>IF(ISNUMBER(T767),"Cost captured","Awaiting trade cost")</x:f>
        <x:v>Awaiting trade cost</x:v>
      </x:c>
      <x:c r="AB767" s="36" t="str">
        <x:f>IF(ISNUMBER(Y767),ROUND(Y767*0.9,2),"")</x:f>
      </x:c>
      <x:c r="AC767" s="36" t="str">
        <x:f>IF(ISNUMBER(AB767),ROUND(AB767-(AB767*0.015+0.2)-V767,2),"")</x:f>
      </x:c>
      <x:c r="AD767" s="36" t="str">
        <x:f>IF(ISNUMBER(Y767),ROUND(Y767*0.8,2),"")</x:f>
      </x:c>
      <x:c r="AE767" s="36" t="str">
        <x:f>IF(ISNUMBER(AD767),ROUND(AD767*0.015+0.2,2),"")</x:f>
      </x:c>
      <x:c r="AF767" s="36" t="str">
        <x:f>IF(ISNUMBER(AD767),ROUND(AD767-AE767-V767,2),"")</x:f>
      </x:c>
      <x:c r="AG767" t="str">
        <x:f>IF(NOT(ISNUMBER(T767)),"PENDING",IF(AF767&gt;0,"PASS","FAIL"))</x:f>
        <x:v>PENDING</x:v>
      </x:c>
      <x:c r="AH767" t="str">
        <x:f>IF(NOT(ISNUMBER(T767)),"Needs supplier cost",IF(K767&lt;&gt;"In stock","Supplier unavailable",IF(AG767&lt;&gt;"PASS","BLOCK - GT loss risk","Commercially protected")))</x:f>
        <x:v>Needs supplier cost</x:v>
      </x:c>
      <x:c r="AI767" t="str">
        <x:v>2026-09-10 Active Sports trade capture</x:v>
      </x:c>
      <x:c r="AJ767" t="str">
        <x:v>Management-only economics. Stripe stress test uses 1.5% + £0.20 standard UK online-card fee; pallet/mix-and-match pricing ignored.</x:v>
      </x:c>
    </x:row>
    <x:row r="768">
      <x:c r="A768" t="str">
        <x:v>Active Sports Nutrition</x:v>
      </x:c>
      <x:c r="B768" t="str">
        <x:v>CNP Professional</x:v>
      </x:c>
      <x:c r="C768" t="str">
        <x:v>Loaded EAA</x:v>
      </x:c>
      <x:c r="D768" t="str">
        <x:v>Supplements</x:v>
      </x:c>
      <x:c r="E768" t="str">
        <x:v>Amino Acids</x:v>
      </x:c>
      <x:c r="F768" t="str"/>
      <x:c r="G768" t="str">
        <x:v>300g</x:v>
      </x:c>
      <x:c r="H768" t="str">
        <x:v>Blue Raspberry</x:v>
      </x:c>
      <x:c r="I768" t="str"/>
      <x:c r="J768" t="str">
        <x:v>Unit</x:v>
      </x:c>
      <x:c r="K768" t="str">
        <x:v>In stock</x:v>
      </x:c>
      <x:c r="L768" t="str">
        <x:v>2026-09-08</x:v>
      </x:c>
      <x:c r="M768" t="str"/>
      <x:c r="N768" t="str"/>
      <x:c r="O768" t="str">
        <x:v>https://www.activesportstrade.co.uk/trade-sports-supplements</x:v>
      </x:c>
      <x:c r="P768" t="str">
        <x:v>BUY 4 GET 1 FREE promo removed.</x:v>
      </x:c>
      <x:c r="Q768" t="str"/>
      <x:c r="R768" t="str"/>
      <x:c r="S768" t="str">
        <x:v>Pending genuine supplier/brand image</x:v>
      </x:c>
      <x:c r="T768" s="54"/>
      <x:c r="U768" s="47" t="n">
        <x:v>0.2</x:v>
      </x:c>
      <x:c r="V768" s="54" t="str">
        <x:f>IF(ISNUMBER(T768),T768*(1+U768),"")</x:f>
      </x:c>
      <x:c r="W768" s="47" t="n">
        <x:v>0.3</x:v>
      </x:c>
      <x:c r="X768" s="54" t="str">
        <x:f>IF(ISNUMBER(V768),V768/(1-W768),"")</x:f>
      </x:c>
      <x:c r="Y768" s="55" t="str">
        <x:f>IF(ISNUMBER(X768),ROUNDUP(X768,0),"")</x:f>
      </x:c>
      <x:c r="Z768" t="str">
        <x:f>IF(ISNUMBER(T768),"Cost captured","Awaiting trade cost")</x:f>
        <x:v>Awaiting trade cost</x:v>
      </x:c>
      <x:c r="AB768" s="36" t="str">
        <x:f>IF(ISNUMBER(Y768),ROUND(Y768*0.9,2),"")</x:f>
      </x:c>
      <x:c r="AC768" s="36" t="str">
        <x:f>IF(ISNUMBER(AB768),ROUND(AB768-(AB768*0.015+0.2)-V768,2),"")</x:f>
      </x:c>
      <x:c r="AD768" s="36" t="str">
        <x:f>IF(ISNUMBER(Y768),ROUND(Y768*0.8,2),"")</x:f>
      </x:c>
      <x:c r="AE768" s="36" t="str">
        <x:f>IF(ISNUMBER(AD768),ROUND(AD768*0.015+0.2,2),"")</x:f>
      </x:c>
      <x:c r="AF768" s="36" t="str">
        <x:f>IF(ISNUMBER(AD768),ROUND(AD768-AE768-V768,2),"")</x:f>
      </x:c>
      <x:c r="AG768" t="str">
        <x:f>IF(NOT(ISNUMBER(T768)),"PENDING",IF(AF768&gt;0,"PASS","FAIL"))</x:f>
        <x:v>PENDING</x:v>
      </x:c>
      <x:c r="AH768" t="str">
        <x:f>IF(NOT(ISNUMBER(T768)),"Needs supplier cost",IF(K768&lt;&gt;"In stock","Supplier unavailable",IF(AG768&lt;&gt;"PASS","BLOCK - GT loss risk","Commercially protected")))</x:f>
        <x:v>Needs supplier cost</x:v>
      </x:c>
      <x:c r="AI768" t="str">
        <x:v>2026-09-10 Active Sports trade capture</x:v>
      </x:c>
      <x:c r="AJ768" t="str">
        <x:v>Management-only economics. Stripe stress test uses 1.5% + £0.20 standard UK online-card fee; pallet/mix-and-match pricing ignored.</x:v>
      </x:c>
    </x:row>
    <x:row r="769">
      <x:c r="A769" t="str">
        <x:v>Active Sports Nutrition</x:v>
      </x:c>
      <x:c r="B769" t="str">
        <x:v>CNP Professional</x:v>
      </x:c>
      <x:c r="C769" t="str">
        <x:v>Loaded EAA</x:v>
      </x:c>
      <x:c r="D769" t="str">
        <x:v>Supplements</x:v>
      </x:c>
      <x:c r="E769" t="str">
        <x:v>Amino Acids</x:v>
      </x:c>
      <x:c r="F769" t="str"/>
      <x:c r="G769" t="str">
        <x:v>300g</x:v>
      </x:c>
      <x:c r="H769" t="str">
        <x:v>Cherry Cola</x:v>
      </x:c>
      <x:c r="I769" t="str"/>
      <x:c r="J769" t="str">
        <x:v>Unit</x:v>
      </x:c>
      <x:c r="K769" t="str">
        <x:v>In stock</x:v>
      </x:c>
      <x:c r="L769" t="str">
        <x:v>2026-09-08</x:v>
      </x:c>
      <x:c r="M769" t="str"/>
      <x:c r="N769" t="str"/>
      <x:c r="O769" t="str">
        <x:v>https://www.activesportstrade.co.uk/trade-sports-supplements</x:v>
      </x:c>
      <x:c r="P769" t="str">
        <x:v>BUY 4 GET 1 FREE promo removed.</x:v>
      </x:c>
      <x:c r="Q769" t="str"/>
      <x:c r="R769" t="str"/>
      <x:c r="S769" t="str">
        <x:v>Pending genuine supplier/brand image</x:v>
      </x:c>
      <x:c r="T769" s="54"/>
      <x:c r="U769" s="47" t="n">
        <x:v>0.2</x:v>
      </x:c>
      <x:c r="V769" s="54" t="str">
        <x:f>IF(ISNUMBER(T769),T769*(1+U769),"")</x:f>
      </x:c>
      <x:c r="W769" s="47" t="n">
        <x:v>0.3</x:v>
      </x:c>
      <x:c r="X769" s="54" t="str">
        <x:f>IF(ISNUMBER(V769),V769/(1-W769),"")</x:f>
      </x:c>
      <x:c r="Y769" s="55" t="str">
        <x:f>IF(ISNUMBER(X769),ROUNDUP(X769,0),"")</x:f>
      </x:c>
      <x:c r="Z769" t="str">
        <x:f>IF(ISNUMBER(T769),"Cost captured","Awaiting trade cost")</x:f>
        <x:v>Awaiting trade cost</x:v>
      </x:c>
      <x:c r="AB769" s="36" t="str">
        <x:f>IF(ISNUMBER(Y769),ROUND(Y769*0.9,2),"")</x:f>
      </x:c>
      <x:c r="AC769" s="36" t="str">
        <x:f>IF(ISNUMBER(AB769),ROUND(AB769-(AB769*0.015+0.2)-V769,2),"")</x:f>
      </x:c>
      <x:c r="AD769" s="36" t="str">
        <x:f>IF(ISNUMBER(Y769),ROUND(Y769*0.8,2),"")</x:f>
      </x:c>
      <x:c r="AE769" s="36" t="str">
        <x:f>IF(ISNUMBER(AD769),ROUND(AD769*0.015+0.2,2),"")</x:f>
      </x:c>
      <x:c r="AF769" s="36" t="str">
        <x:f>IF(ISNUMBER(AD769),ROUND(AD769-AE769-V769,2),"")</x:f>
      </x:c>
      <x:c r="AG769" t="str">
        <x:f>IF(NOT(ISNUMBER(T769)),"PENDING",IF(AF769&gt;0,"PASS","FAIL"))</x:f>
        <x:v>PENDING</x:v>
      </x:c>
      <x:c r="AH769" t="str">
        <x:f>IF(NOT(ISNUMBER(T769)),"Needs supplier cost",IF(K769&lt;&gt;"In stock","Supplier unavailable",IF(AG769&lt;&gt;"PASS","BLOCK - GT loss risk","Commercially protected")))</x:f>
        <x:v>Needs supplier cost</x:v>
      </x:c>
      <x:c r="AI769" t="str">
        <x:v>2026-09-10 Active Sports trade capture</x:v>
      </x:c>
      <x:c r="AJ769" t="str">
        <x:v>Management-only economics. Stripe stress test uses 1.5% + £0.20 standard UK online-card fee; pallet/mix-and-match pricing ignored.</x:v>
      </x:c>
    </x:row>
    <x:row r="770">
      <x:c r="A770" t="str">
        <x:v>Active Sports Nutrition</x:v>
      </x:c>
      <x:c r="B770" t="str">
        <x:v>CNP Professional</x:v>
      </x:c>
      <x:c r="C770" t="str">
        <x:v>Loaded EAA</x:v>
      </x:c>
      <x:c r="D770" t="str">
        <x:v>Supplements</x:v>
      </x:c>
      <x:c r="E770" t="str">
        <x:v>Amino Acids</x:v>
      </x:c>
      <x:c r="F770" t="str"/>
      <x:c r="G770" t="str">
        <x:v>300g</x:v>
      </x:c>
      <x:c r="H770" t="str">
        <x:v>Fruit Twist</x:v>
      </x:c>
      <x:c r="I770" t="str"/>
      <x:c r="J770" t="str">
        <x:v>Unit</x:v>
      </x:c>
      <x:c r="K770" t="str">
        <x:v>In stock</x:v>
      </x:c>
      <x:c r="L770" t="str">
        <x:v>2026-09-08</x:v>
      </x:c>
      <x:c r="M770" t="str"/>
      <x:c r="N770" t="str"/>
      <x:c r="O770" t="str">
        <x:v>https://www.activesportstrade.co.uk/trade-sports-supplements</x:v>
      </x:c>
      <x:c r="P770" t="str">
        <x:v>BUY 4 GET 1 FREE promo removed.</x:v>
      </x:c>
      <x:c r="Q770" t="str"/>
      <x:c r="R770" t="str"/>
      <x:c r="S770" t="str">
        <x:v>Pending genuine supplier/brand image</x:v>
      </x:c>
      <x:c r="T770" s="54"/>
      <x:c r="U770" s="47" t="n">
        <x:v>0.2</x:v>
      </x:c>
      <x:c r="V770" s="54" t="str">
        <x:f>IF(ISNUMBER(T770),T770*(1+U770),"")</x:f>
      </x:c>
      <x:c r="W770" s="47" t="n">
        <x:v>0.3</x:v>
      </x:c>
      <x:c r="X770" s="54" t="str">
        <x:f>IF(ISNUMBER(V770),V770/(1-W770),"")</x:f>
      </x:c>
      <x:c r="Y770" s="55" t="str">
        <x:f>IF(ISNUMBER(X770),ROUNDUP(X770,0),"")</x:f>
      </x:c>
      <x:c r="Z770" t="str">
        <x:f>IF(ISNUMBER(T770),"Cost captured","Awaiting trade cost")</x:f>
        <x:v>Awaiting trade cost</x:v>
      </x:c>
      <x:c r="AB770" s="36" t="str">
        <x:f>IF(ISNUMBER(Y770),ROUND(Y770*0.9,2),"")</x:f>
      </x:c>
      <x:c r="AC770" s="36" t="str">
        <x:f>IF(ISNUMBER(AB770),ROUND(AB770-(AB770*0.015+0.2)-V770,2),"")</x:f>
      </x:c>
      <x:c r="AD770" s="36" t="str">
        <x:f>IF(ISNUMBER(Y770),ROUND(Y770*0.8,2),"")</x:f>
      </x:c>
      <x:c r="AE770" s="36" t="str">
        <x:f>IF(ISNUMBER(AD770),ROUND(AD770*0.015+0.2,2),"")</x:f>
      </x:c>
      <x:c r="AF770" s="36" t="str">
        <x:f>IF(ISNUMBER(AD770),ROUND(AD770-AE770-V770,2),"")</x:f>
      </x:c>
      <x:c r="AG770" t="str">
        <x:f>IF(NOT(ISNUMBER(T770)),"PENDING",IF(AF770&gt;0,"PASS","FAIL"))</x:f>
        <x:v>PENDING</x:v>
      </x:c>
      <x:c r="AH770" t="str">
        <x:f>IF(NOT(ISNUMBER(T770)),"Needs supplier cost",IF(K770&lt;&gt;"In stock","Supplier unavailable",IF(AG770&lt;&gt;"PASS","BLOCK - GT loss risk","Commercially protected")))</x:f>
        <x:v>Needs supplier cost</x:v>
      </x:c>
      <x:c r="AI770" t="str">
        <x:v>2026-09-10 Active Sports trade capture</x:v>
      </x:c>
      <x:c r="AJ770" t="str">
        <x:v>Management-only economics. Stripe stress test uses 1.5% + £0.20 standard UK online-card fee; pallet/mix-and-match pricing ignored.</x:v>
      </x:c>
    </x:row>
    <x:row r="771">
      <x:c r="A771" t="str">
        <x:v>Active Sports Nutrition</x:v>
      </x:c>
      <x:c r="B771" t="str">
        <x:v>CNP Professional</x:v>
      </x:c>
      <x:c r="C771" t="str">
        <x:v>Loaded EAA</x:v>
      </x:c>
      <x:c r="D771" t="str">
        <x:v>Supplements</x:v>
      </x:c>
      <x:c r="E771" t="str">
        <x:v>Amino Acids</x:v>
      </x:c>
      <x:c r="F771" t="str"/>
      <x:c r="G771" t="str">
        <x:v>300g</x:v>
      </x:c>
      <x:c r="H771" t="str">
        <x:v>Grape</x:v>
      </x:c>
      <x:c r="I771" t="str"/>
      <x:c r="J771" t="str">
        <x:v>Unit</x:v>
      </x:c>
      <x:c r="K771" t="str">
        <x:v>In stock</x:v>
      </x:c>
      <x:c r="L771" t="str">
        <x:v>2026-09-08</x:v>
      </x:c>
      <x:c r="M771" t="str"/>
      <x:c r="N771" t="str"/>
      <x:c r="O771" t="str">
        <x:v>https://www.activesportstrade.co.uk/trade-sports-supplements</x:v>
      </x:c>
      <x:c r="P771" t="str">
        <x:v>BUY 4 GET 1 FREE promo removed.</x:v>
      </x:c>
      <x:c r="Q771" t="str"/>
      <x:c r="R771" t="str"/>
      <x:c r="S771" t="str">
        <x:v>Pending genuine supplier/brand image</x:v>
      </x:c>
      <x:c r="T771" s="54"/>
      <x:c r="U771" s="47" t="n">
        <x:v>0.2</x:v>
      </x:c>
      <x:c r="V771" s="54" t="str">
        <x:f>IF(ISNUMBER(T771),T771*(1+U771),"")</x:f>
      </x:c>
      <x:c r="W771" s="47" t="n">
        <x:v>0.3</x:v>
      </x:c>
      <x:c r="X771" s="54" t="str">
        <x:f>IF(ISNUMBER(V771),V771/(1-W771),"")</x:f>
      </x:c>
      <x:c r="Y771" s="55" t="str">
        <x:f>IF(ISNUMBER(X771),ROUNDUP(X771,0),"")</x:f>
      </x:c>
      <x:c r="Z771" t="str">
        <x:f>IF(ISNUMBER(T771),"Cost captured","Awaiting trade cost")</x:f>
        <x:v>Awaiting trade cost</x:v>
      </x:c>
      <x:c r="AB771" s="36" t="str">
        <x:f>IF(ISNUMBER(Y771),ROUND(Y771*0.9,2),"")</x:f>
      </x:c>
      <x:c r="AC771" s="36" t="str">
        <x:f>IF(ISNUMBER(AB771),ROUND(AB771-(AB771*0.015+0.2)-V771,2),"")</x:f>
      </x:c>
      <x:c r="AD771" s="36" t="str">
        <x:f>IF(ISNUMBER(Y771),ROUND(Y771*0.8,2),"")</x:f>
      </x:c>
      <x:c r="AE771" s="36" t="str">
        <x:f>IF(ISNUMBER(AD771),ROUND(AD771*0.015+0.2,2),"")</x:f>
      </x:c>
      <x:c r="AF771" s="36" t="str">
        <x:f>IF(ISNUMBER(AD771),ROUND(AD771-AE771-V771,2),"")</x:f>
      </x:c>
      <x:c r="AG771" t="str">
        <x:f>IF(NOT(ISNUMBER(T771)),"PENDING",IF(AF771&gt;0,"PASS","FAIL"))</x:f>
        <x:v>PENDING</x:v>
      </x:c>
      <x:c r="AH771" t="str">
        <x:f>IF(NOT(ISNUMBER(T771)),"Needs supplier cost",IF(K771&lt;&gt;"In stock","Supplier unavailable",IF(AG771&lt;&gt;"PASS","BLOCK - GT loss risk","Commercially protected")))</x:f>
        <x:v>Needs supplier cost</x:v>
      </x:c>
      <x:c r="AI771" t="str">
        <x:v>2026-09-10 Active Sports trade capture</x:v>
      </x:c>
      <x:c r="AJ771" t="str">
        <x:v>Management-only economics. Stripe stress test uses 1.5% + £0.20 standard UK online-card fee; pallet/mix-and-match pricing ignored.</x:v>
      </x:c>
    </x:row>
    <x:row r="772">
      <x:c r="A772" t="str">
        <x:v>Active Sports Nutrition</x:v>
      </x:c>
      <x:c r="B772" t="str">
        <x:v>CNP Professional</x:v>
      </x:c>
      <x:c r="C772" t="str">
        <x:v>Loaded EAA</x:v>
      </x:c>
      <x:c r="D772" t="str">
        <x:v>Supplements</x:v>
      </x:c>
      <x:c r="E772" t="str">
        <x:v>Amino Acids</x:v>
      </x:c>
      <x:c r="F772" t="str"/>
      <x:c r="G772" t="str">
        <x:v>300g</x:v>
      </x:c>
      <x:c r="H772" t="str">
        <x:v>Lemon Drop</x:v>
      </x:c>
      <x:c r="I772" t="str"/>
      <x:c r="J772" t="str">
        <x:v>Unit</x:v>
      </x:c>
      <x:c r="K772" t="str">
        <x:v>In stock</x:v>
      </x:c>
      <x:c r="L772" t="str">
        <x:v>2026-09-08</x:v>
      </x:c>
      <x:c r="M772" t="str"/>
      <x:c r="N772" t="str"/>
      <x:c r="O772" t="str">
        <x:v>https://www.activesportstrade.co.uk/trade-sports-supplements</x:v>
      </x:c>
      <x:c r="P772" t="str">
        <x:v>BUY 4 GET 1 FREE promo removed.</x:v>
      </x:c>
      <x:c r="Q772" t="str"/>
      <x:c r="R772" t="str"/>
      <x:c r="S772" t="str">
        <x:v>Pending genuine supplier/brand image</x:v>
      </x:c>
      <x:c r="T772" s="54"/>
      <x:c r="U772" s="47" t="n">
        <x:v>0.2</x:v>
      </x:c>
      <x:c r="V772" s="54" t="str">
        <x:f>IF(ISNUMBER(T772),T772*(1+U772),"")</x:f>
      </x:c>
      <x:c r="W772" s="47" t="n">
        <x:v>0.3</x:v>
      </x:c>
      <x:c r="X772" s="54" t="str">
        <x:f>IF(ISNUMBER(V772),V772/(1-W772),"")</x:f>
      </x:c>
      <x:c r="Y772" s="55" t="str">
        <x:f>IF(ISNUMBER(X772),ROUNDUP(X772,0),"")</x:f>
      </x:c>
      <x:c r="Z772" t="str">
        <x:f>IF(ISNUMBER(T772),"Cost captured","Awaiting trade cost")</x:f>
        <x:v>Awaiting trade cost</x:v>
      </x:c>
      <x:c r="AB772" s="36" t="str">
        <x:f>IF(ISNUMBER(Y772),ROUND(Y772*0.9,2),"")</x:f>
      </x:c>
      <x:c r="AC772" s="36" t="str">
        <x:f>IF(ISNUMBER(AB772),ROUND(AB772-(AB772*0.015+0.2)-V772,2),"")</x:f>
      </x:c>
      <x:c r="AD772" s="36" t="str">
        <x:f>IF(ISNUMBER(Y772),ROUND(Y772*0.8,2),"")</x:f>
      </x:c>
      <x:c r="AE772" s="36" t="str">
        <x:f>IF(ISNUMBER(AD772),ROUND(AD772*0.015+0.2,2),"")</x:f>
      </x:c>
      <x:c r="AF772" s="36" t="str">
        <x:f>IF(ISNUMBER(AD772),ROUND(AD772-AE772-V772,2),"")</x:f>
      </x:c>
      <x:c r="AG772" t="str">
        <x:f>IF(NOT(ISNUMBER(T772)),"PENDING",IF(AF772&gt;0,"PASS","FAIL"))</x:f>
        <x:v>PENDING</x:v>
      </x:c>
      <x:c r="AH772" t="str">
        <x:f>IF(NOT(ISNUMBER(T772)),"Needs supplier cost",IF(K772&lt;&gt;"In stock","Supplier unavailable",IF(AG772&lt;&gt;"PASS","BLOCK - GT loss risk","Commercially protected")))</x:f>
        <x:v>Needs supplier cost</x:v>
      </x:c>
      <x:c r="AI772" t="str">
        <x:v>2026-09-10 Active Sports trade capture</x:v>
      </x:c>
      <x:c r="AJ772" t="str">
        <x:v>Management-only economics. Stripe stress test uses 1.5% + £0.20 standard UK online-card fee; pallet/mix-and-match pricing ignored.</x:v>
      </x:c>
    </x:row>
    <x:row r="773">
      <x:c r="A773" t="str">
        <x:v>Active Sports Nutrition</x:v>
      </x:c>
      <x:c r="B773" t="str">
        <x:v>CNP Professional</x:v>
      </x:c>
      <x:c r="C773" t="str">
        <x:v>Loaded EAA</x:v>
      </x:c>
      <x:c r="D773" t="str">
        <x:v>Supplements</x:v>
      </x:c>
      <x:c r="E773" t="str">
        <x:v>Amino Acids</x:v>
      </x:c>
      <x:c r="F773" t="str"/>
      <x:c r="G773" t="str">
        <x:v>300g</x:v>
      </x:c>
      <x:c r="H773" t="str">
        <x:v>Orange Soda</x:v>
      </x:c>
      <x:c r="I773" t="str"/>
      <x:c r="J773" t="str">
        <x:v>Unit</x:v>
      </x:c>
      <x:c r="K773" t="str">
        <x:v>In stock</x:v>
      </x:c>
      <x:c r="L773" t="str">
        <x:v>2026-09-08</x:v>
      </x:c>
      <x:c r="M773" t="str"/>
      <x:c r="N773" t="str"/>
      <x:c r="O773" t="str">
        <x:v>https://www.activesportstrade.co.uk/trade-sports-supplements</x:v>
      </x:c>
      <x:c r="P773" t="str">
        <x:v>BUY 4 GET 1 FREE promo removed.</x:v>
      </x:c>
      <x:c r="Q773" t="str"/>
      <x:c r="R773" t="str"/>
      <x:c r="S773" t="str">
        <x:v>Pending genuine supplier/brand image</x:v>
      </x:c>
      <x:c r="T773" s="54"/>
      <x:c r="U773" s="47" t="n">
        <x:v>0.2</x:v>
      </x:c>
      <x:c r="V773" s="54" t="str">
        <x:f>IF(ISNUMBER(T773),T773*(1+U773),"")</x:f>
      </x:c>
      <x:c r="W773" s="47" t="n">
        <x:v>0.3</x:v>
      </x:c>
      <x:c r="X773" s="54" t="str">
        <x:f>IF(ISNUMBER(V773),V773/(1-W773),"")</x:f>
      </x:c>
      <x:c r="Y773" s="55" t="str">
        <x:f>IF(ISNUMBER(X773),ROUNDUP(X773,0),"")</x:f>
      </x:c>
      <x:c r="Z773" t="str">
        <x:f>IF(ISNUMBER(T773),"Cost captured","Awaiting trade cost")</x:f>
        <x:v>Awaiting trade cost</x:v>
      </x:c>
      <x:c r="AB773" s="36" t="str">
        <x:f>IF(ISNUMBER(Y773),ROUND(Y773*0.9,2),"")</x:f>
      </x:c>
      <x:c r="AC773" s="36" t="str">
        <x:f>IF(ISNUMBER(AB773),ROUND(AB773-(AB773*0.015+0.2)-V773,2),"")</x:f>
      </x:c>
      <x:c r="AD773" s="36" t="str">
        <x:f>IF(ISNUMBER(Y773),ROUND(Y773*0.8,2),"")</x:f>
      </x:c>
      <x:c r="AE773" s="36" t="str">
        <x:f>IF(ISNUMBER(AD773),ROUND(AD773*0.015+0.2,2),"")</x:f>
      </x:c>
      <x:c r="AF773" s="36" t="str">
        <x:f>IF(ISNUMBER(AD773),ROUND(AD773-AE773-V773,2),"")</x:f>
      </x:c>
      <x:c r="AG773" t="str">
        <x:f>IF(NOT(ISNUMBER(T773)),"PENDING",IF(AF773&gt;0,"PASS","FAIL"))</x:f>
        <x:v>PENDING</x:v>
      </x:c>
      <x:c r="AH773" t="str">
        <x:f>IF(NOT(ISNUMBER(T773)),"Needs supplier cost",IF(K773&lt;&gt;"In stock","Supplier unavailable",IF(AG773&lt;&gt;"PASS","BLOCK - GT loss risk","Commercially protected")))</x:f>
        <x:v>Needs supplier cost</x:v>
      </x:c>
      <x:c r="AI773" t="str">
        <x:v>2026-09-10 Active Sports trade capture</x:v>
      </x:c>
      <x:c r="AJ773" t="str">
        <x:v>Management-only economics. Stripe stress test uses 1.5% + £0.20 standard UK online-card fee; pallet/mix-and-match pricing ignored.</x:v>
      </x:c>
    </x:row>
    <x:row r="774">
      <x:c r="A774" t="str">
        <x:v>Active Sports Nutrition</x:v>
      </x:c>
      <x:c r="B774" t="str">
        <x:v>CNP Professional</x:v>
      </x:c>
      <x:c r="C774" t="str">
        <x:v>Loaded EAA</x:v>
      </x:c>
      <x:c r="D774" t="str">
        <x:v>Supplements</x:v>
      </x:c>
      <x:c r="E774" t="str">
        <x:v>Amino Acids</x:v>
      </x:c>
      <x:c r="F774" t="str"/>
      <x:c r="G774" t="str">
        <x:v>300g</x:v>
      </x:c>
      <x:c r="H774" t="str">
        <x:v>Pink Lemonade</x:v>
      </x:c>
      <x:c r="I774" t="str"/>
      <x:c r="J774" t="str">
        <x:v>Unit</x:v>
      </x:c>
      <x:c r="K774" t="str">
        <x:v>In stock</x:v>
      </x:c>
      <x:c r="L774" t="str">
        <x:v>2026-09-08</x:v>
      </x:c>
      <x:c r="M774" t="str"/>
      <x:c r="N774" t="str"/>
      <x:c r="O774" t="str">
        <x:v>https://www.activesportstrade.co.uk/trade-sports-supplements</x:v>
      </x:c>
      <x:c r="P774" t="str">
        <x:v>BUY 4 GET 1 FREE promo removed.</x:v>
      </x:c>
      <x:c r="Q774" t="str"/>
      <x:c r="R774" t="str"/>
      <x:c r="S774" t="str">
        <x:v>Pending genuine supplier/brand image</x:v>
      </x:c>
      <x:c r="T774" s="54"/>
      <x:c r="U774" s="47" t="n">
        <x:v>0.2</x:v>
      </x:c>
      <x:c r="V774" s="54" t="str">
        <x:f>IF(ISNUMBER(T774),T774*(1+U774),"")</x:f>
      </x:c>
      <x:c r="W774" s="47" t="n">
        <x:v>0.3</x:v>
      </x:c>
      <x:c r="X774" s="54" t="str">
        <x:f>IF(ISNUMBER(V774),V774/(1-W774),"")</x:f>
      </x:c>
      <x:c r="Y774" s="55" t="str">
        <x:f>IF(ISNUMBER(X774),ROUNDUP(X774,0),"")</x:f>
      </x:c>
      <x:c r="Z774" t="str">
        <x:f>IF(ISNUMBER(T774),"Cost captured","Awaiting trade cost")</x:f>
        <x:v>Awaiting trade cost</x:v>
      </x:c>
      <x:c r="AB774" s="36" t="str">
        <x:f>IF(ISNUMBER(Y774),ROUND(Y774*0.9,2),"")</x:f>
      </x:c>
      <x:c r="AC774" s="36" t="str">
        <x:f>IF(ISNUMBER(AB774),ROUND(AB774-(AB774*0.015+0.2)-V774,2),"")</x:f>
      </x:c>
      <x:c r="AD774" s="36" t="str">
        <x:f>IF(ISNUMBER(Y774),ROUND(Y774*0.8,2),"")</x:f>
      </x:c>
      <x:c r="AE774" s="36" t="str">
        <x:f>IF(ISNUMBER(AD774),ROUND(AD774*0.015+0.2,2),"")</x:f>
      </x:c>
      <x:c r="AF774" s="36" t="str">
        <x:f>IF(ISNUMBER(AD774),ROUND(AD774-AE774-V774,2),"")</x:f>
      </x:c>
      <x:c r="AG774" t="str">
        <x:f>IF(NOT(ISNUMBER(T774)),"PENDING",IF(AF774&gt;0,"PASS","FAIL"))</x:f>
        <x:v>PENDING</x:v>
      </x:c>
      <x:c r="AH774" t="str">
        <x:f>IF(NOT(ISNUMBER(T774)),"Needs supplier cost",IF(K774&lt;&gt;"In stock","Supplier unavailable",IF(AG774&lt;&gt;"PASS","BLOCK - GT loss risk","Commercially protected")))</x:f>
        <x:v>Needs supplier cost</x:v>
      </x:c>
      <x:c r="AI774" t="str">
        <x:v>2026-09-10 Active Sports trade capture</x:v>
      </x:c>
      <x:c r="AJ774" t="str">
        <x:v>Management-only economics. Stripe stress test uses 1.5% + £0.20 standard UK online-card fee; pallet/mix-and-match pricing ignored.</x:v>
      </x:c>
    </x:row>
    <x:row r="775">
      <x:c r="A775" t="str">
        <x:v>Active Sports Nutrition</x:v>
      </x:c>
      <x:c r="B775" t="str">
        <x:v>CNP Professional</x:v>
      </x:c>
      <x:c r="C775" t="str">
        <x:v>Loaded EAA</x:v>
      </x:c>
      <x:c r="D775" t="str">
        <x:v>Supplements</x:v>
      </x:c>
      <x:c r="E775" t="str">
        <x:v>Amino Acids</x:v>
      </x:c>
      <x:c r="F775" t="str"/>
      <x:c r="G775" t="str">
        <x:v>300g</x:v>
      </x:c>
      <x:c r="H775" t="str">
        <x:v>Strawberry Laces</x:v>
      </x:c>
      <x:c r="I775" t="str"/>
      <x:c r="J775" t="str">
        <x:v>Unit</x:v>
      </x:c>
      <x:c r="K775" t="str">
        <x:v>In stock</x:v>
      </x:c>
      <x:c r="L775" t="str">
        <x:v>2026-09-08</x:v>
      </x:c>
      <x:c r="M775" t="str"/>
      <x:c r="N775" t="str"/>
      <x:c r="O775" t="str">
        <x:v>https://www.activesportstrade.co.uk/trade-sports-supplements</x:v>
      </x:c>
      <x:c r="P775" t="str">
        <x:v>BUY 4 GET 1 FREE promo removed.</x:v>
      </x:c>
      <x:c r="Q775" t="str"/>
      <x:c r="R775" t="str"/>
      <x:c r="S775" t="str">
        <x:v>Pending genuine supplier/brand image</x:v>
      </x:c>
      <x:c r="T775" s="54"/>
      <x:c r="U775" s="47" t="n">
        <x:v>0.2</x:v>
      </x:c>
      <x:c r="V775" s="54" t="str">
        <x:f>IF(ISNUMBER(T775),T775*(1+U775),"")</x:f>
      </x:c>
      <x:c r="W775" s="47" t="n">
        <x:v>0.3</x:v>
      </x:c>
      <x:c r="X775" s="54" t="str">
        <x:f>IF(ISNUMBER(V775),V775/(1-W775),"")</x:f>
      </x:c>
      <x:c r="Y775" s="55" t="str">
        <x:f>IF(ISNUMBER(X775),ROUNDUP(X775,0),"")</x:f>
      </x:c>
      <x:c r="Z775" t="str">
        <x:f>IF(ISNUMBER(T775),"Cost captured","Awaiting trade cost")</x:f>
        <x:v>Awaiting trade cost</x:v>
      </x:c>
      <x:c r="AB775" s="36" t="str">
        <x:f>IF(ISNUMBER(Y775),ROUND(Y775*0.9,2),"")</x:f>
      </x:c>
      <x:c r="AC775" s="36" t="str">
        <x:f>IF(ISNUMBER(AB775),ROUND(AB775-(AB775*0.015+0.2)-V775,2),"")</x:f>
      </x:c>
      <x:c r="AD775" s="36" t="str">
        <x:f>IF(ISNUMBER(Y775),ROUND(Y775*0.8,2),"")</x:f>
      </x:c>
      <x:c r="AE775" s="36" t="str">
        <x:f>IF(ISNUMBER(AD775),ROUND(AD775*0.015+0.2,2),"")</x:f>
      </x:c>
      <x:c r="AF775" s="36" t="str">
        <x:f>IF(ISNUMBER(AD775),ROUND(AD775-AE775-V775,2),"")</x:f>
      </x:c>
      <x:c r="AG775" t="str">
        <x:f>IF(NOT(ISNUMBER(T775)),"PENDING",IF(AF775&gt;0,"PASS","FAIL"))</x:f>
        <x:v>PENDING</x:v>
      </x:c>
      <x:c r="AH775" t="str">
        <x:f>IF(NOT(ISNUMBER(T775)),"Needs supplier cost",IF(K775&lt;&gt;"In stock","Supplier unavailable",IF(AG775&lt;&gt;"PASS","BLOCK - GT loss risk","Commercially protected")))</x:f>
        <x:v>Needs supplier cost</x:v>
      </x:c>
      <x:c r="AI775" t="str">
        <x:v>2026-09-10 Active Sports trade capture</x:v>
      </x:c>
      <x:c r="AJ775" t="str">
        <x:v>Management-only economics. Stripe stress test uses 1.5% + £0.20 standard UK online-card fee; pallet/mix-and-match pricing ignored.</x:v>
      </x:c>
    </x:row>
    <x:row r="776">
      <x:c r="A776" t="str">
        <x:v>Active Sports Nutrition</x:v>
      </x:c>
      <x:c r="B776" t="str">
        <x:v>CNP Professional</x:v>
      </x:c>
      <x:c r="C776" t="str">
        <x:v>Loaded EAA</x:v>
      </x:c>
      <x:c r="D776" t="str">
        <x:v>Supplements</x:v>
      </x:c>
      <x:c r="E776" t="str">
        <x:v>Amino Acids</x:v>
      </x:c>
      <x:c r="F776" t="str"/>
      <x:c r="G776" t="str">
        <x:v>300g</x:v>
      </x:c>
      <x:c r="H776" t="str">
        <x:v>Tropical Pineapple</x:v>
      </x:c>
      <x:c r="I776" t="str"/>
      <x:c r="J776" t="str">
        <x:v>Unit</x:v>
      </x:c>
      <x:c r="K776" t="str">
        <x:v>In stock</x:v>
      </x:c>
      <x:c r="L776" t="str">
        <x:v>2026-09-08</x:v>
      </x:c>
      <x:c r="M776" t="str"/>
      <x:c r="N776" t="str"/>
      <x:c r="O776" t="str">
        <x:v>https://www.activesportstrade.co.uk/trade-sports-supplements</x:v>
      </x:c>
      <x:c r="P776" t="str">
        <x:v>BUY 4 GET 1 FREE promo removed.</x:v>
      </x:c>
      <x:c r="Q776" t="str"/>
      <x:c r="R776" t="str"/>
      <x:c r="S776" t="str">
        <x:v>Pending genuine supplier/brand image</x:v>
      </x:c>
      <x:c r="T776" s="54"/>
      <x:c r="U776" s="47" t="n">
        <x:v>0.2</x:v>
      </x:c>
      <x:c r="V776" s="54" t="str">
        <x:f>IF(ISNUMBER(T776),T776*(1+U776),"")</x:f>
      </x:c>
      <x:c r="W776" s="47" t="n">
        <x:v>0.3</x:v>
      </x:c>
      <x:c r="X776" s="54" t="str">
        <x:f>IF(ISNUMBER(V776),V776/(1-W776),"")</x:f>
      </x:c>
      <x:c r="Y776" s="55" t="str">
        <x:f>IF(ISNUMBER(X776),ROUNDUP(X776,0),"")</x:f>
      </x:c>
      <x:c r="Z776" t="str">
        <x:f>IF(ISNUMBER(T776),"Cost captured","Awaiting trade cost")</x:f>
        <x:v>Awaiting trade cost</x:v>
      </x:c>
      <x:c r="AB776" s="36" t="str">
        <x:f>IF(ISNUMBER(Y776),ROUND(Y776*0.9,2),"")</x:f>
      </x:c>
      <x:c r="AC776" s="36" t="str">
        <x:f>IF(ISNUMBER(AB776),ROUND(AB776-(AB776*0.015+0.2)-V776,2),"")</x:f>
      </x:c>
      <x:c r="AD776" s="36" t="str">
        <x:f>IF(ISNUMBER(Y776),ROUND(Y776*0.8,2),"")</x:f>
      </x:c>
      <x:c r="AE776" s="36" t="str">
        <x:f>IF(ISNUMBER(AD776),ROUND(AD776*0.015+0.2,2),"")</x:f>
      </x:c>
      <x:c r="AF776" s="36" t="str">
        <x:f>IF(ISNUMBER(AD776),ROUND(AD776-AE776-V776,2),"")</x:f>
      </x:c>
      <x:c r="AG776" t="str">
        <x:f>IF(NOT(ISNUMBER(T776)),"PENDING",IF(AF776&gt;0,"PASS","FAIL"))</x:f>
        <x:v>PENDING</x:v>
      </x:c>
      <x:c r="AH776" t="str">
        <x:f>IF(NOT(ISNUMBER(T776)),"Needs supplier cost",IF(K776&lt;&gt;"In stock","Supplier unavailable",IF(AG776&lt;&gt;"PASS","BLOCK - GT loss risk","Commercially protected")))</x:f>
        <x:v>Needs supplier cost</x:v>
      </x:c>
      <x:c r="AI776" t="str">
        <x:v>2026-09-10 Active Sports trade capture</x:v>
      </x:c>
      <x:c r="AJ776" t="str">
        <x:v>Management-only economics. Stripe stress test uses 1.5% + £0.20 standard UK online-card fee; pallet/mix-and-match pricing ignored.</x:v>
      </x:c>
    </x:row>
    <x:row r="777">
      <x:c r="A777" t="str">
        <x:v>Active Sports Nutrition</x:v>
      </x:c>
      <x:c r="B777" t="str">
        <x:v>CNP Professional</x:v>
      </x:c>
      <x:c r="C777" t="str">
        <x:v>Loaded EAA</x:v>
      </x:c>
      <x:c r="D777" t="str">
        <x:v>Supplements</x:v>
      </x:c>
      <x:c r="E777" t="str">
        <x:v>Amino Acids</x:v>
      </x:c>
      <x:c r="F777" t="str"/>
      <x:c r="G777" t="str">
        <x:v>300g</x:v>
      </x:c>
      <x:c r="H777" t="str">
        <x:v>Watermelon Candy</x:v>
      </x:c>
      <x:c r="I777" t="str"/>
      <x:c r="J777" t="str">
        <x:v>Unit</x:v>
      </x:c>
      <x:c r="K777" t="str">
        <x:v>In stock</x:v>
      </x:c>
      <x:c r="L777" t="str">
        <x:v>2026-09-08</x:v>
      </x:c>
      <x:c r="M777" t="str"/>
      <x:c r="N777" t="str"/>
      <x:c r="O777" t="str">
        <x:v>https://www.activesportstrade.co.uk/trade-sports-supplements</x:v>
      </x:c>
      <x:c r="P777" t="str">
        <x:v>BUY 4 GET 1 FREE promo removed.</x:v>
      </x:c>
      <x:c r="Q777" t="str"/>
      <x:c r="R777" t="str"/>
      <x:c r="S777" t="str">
        <x:v>Pending genuine supplier/brand image</x:v>
      </x:c>
      <x:c r="T777" s="54"/>
      <x:c r="U777" s="47" t="n">
        <x:v>0.2</x:v>
      </x:c>
      <x:c r="V777" s="54" t="str">
        <x:f>IF(ISNUMBER(T777),T777*(1+U777),"")</x:f>
      </x:c>
      <x:c r="W777" s="47" t="n">
        <x:v>0.3</x:v>
      </x:c>
      <x:c r="X777" s="54" t="str">
        <x:f>IF(ISNUMBER(V777),V777/(1-W777),"")</x:f>
      </x:c>
      <x:c r="Y777" s="55" t="str">
        <x:f>IF(ISNUMBER(X777),ROUNDUP(X777,0),"")</x:f>
      </x:c>
      <x:c r="Z777" t="str">
        <x:f>IF(ISNUMBER(T777),"Cost captured","Awaiting trade cost")</x:f>
        <x:v>Awaiting trade cost</x:v>
      </x:c>
      <x:c r="AB777" s="36" t="str">
        <x:f>IF(ISNUMBER(Y777),ROUND(Y777*0.9,2),"")</x:f>
      </x:c>
      <x:c r="AC777" s="36" t="str">
        <x:f>IF(ISNUMBER(AB777),ROUND(AB777-(AB777*0.015+0.2)-V777,2),"")</x:f>
      </x:c>
      <x:c r="AD777" s="36" t="str">
        <x:f>IF(ISNUMBER(Y777),ROUND(Y777*0.8,2),"")</x:f>
      </x:c>
      <x:c r="AE777" s="36" t="str">
        <x:f>IF(ISNUMBER(AD777),ROUND(AD777*0.015+0.2,2),"")</x:f>
      </x:c>
      <x:c r="AF777" s="36" t="str">
        <x:f>IF(ISNUMBER(AD777),ROUND(AD777-AE777-V777,2),"")</x:f>
      </x:c>
      <x:c r="AG777" t="str">
        <x:f>IF(NOT(ISNUMBER(T777)),"PENDING",IF(AF777&gt;0,"PASS","FAIL"))</x:f>
        <x:v>PENDING</x:v>
      </x:c>
      <x:c r="AH777" t="str">
        <x:f>IF(NOT(ISNUMBER(T777)),"Needs supplier cost",IF(K777&lt;&gt;"In stock","Supplier unavailable",IF(AG777&lt;&gt;"PASS","BLOCK - GT loss risk","Commercially protected")))</x:f>
        <x:v>Needs supplier cost</x:v>
      </x:c>
      <x:c r="AI777" t="str">
        <x:v>2026-09-10 Active Sports trade capture</x:v>
      </x:c>
      <x:c r="AJ777" t="str">
        <x:v>Management-only economics. Stripe stress test uses 1.5% + £0.20 standard UK online-card fee; pallet/mix-and-match pricing ignored.</x:v>
      </x:c>
    </x:row>
    <x:row r="778">
      <x:c r="A778" t="str">
        <x:v>Active Sports Nutrition</x:v>
      </x:c>
      <x:c r="B778" t="str">
        <x:v>CNP Professional</x:v>
      </x:c>
      <x:c r="C778" t="str">
        <x:v>Loaded H2O</x:v>
      </x:c>
      <x:c r="D778" t="str">
        <x:v>Supplements</x:v>
      </x:c>
      <x:c r="E778" t="str">
        <x:v>Hydration</x:v>
      </x:c>
      <x:c r="F778" t="str"/>
      <x:c r="G778" t="str">
        <x:v>300g</x:v>
      </x:c>
      <x:c r="H778" t="str">
        <x:v>Big Juicy Melons</x:v>
      </x:c>
      <x:c r="I778" t="str"/>
      <x:c r="J778" t="str">
        <x:v>Unit</x:v>
      </x:c>
      <x:c r="K778" t="str">
        <x:v>Out of stock</x:v>
      </x:c>
      <x:c r="L778" t="str">
        <x:v>2026-09-08</x:v>
      </x:c>
      <x:c r="M778" t="str"/>
      <x:c r="N778" t="str"/>
      <x:c r="O778" t="str">
        <x:v>https://www.activesportstrade.co.uk/trade-sports-supplements</x:v>
      </x:c>
      <x:c r="P778" t="str">
        <x:v>MEGA SPECIAL OFFER wording removed.</x:v>
      </x:c>
      <x:c r="Q778" t="str"/>
      <x:c r="R778" t="str"/>
      <x:c r="S778" t="str">
        <x:v>Pending genuine supplier/brand image</x:v>
      </x:c>
      <x:c r="T778" s="54"/>
      <x:c r="U778" s="47" t="n">
        <x:v>0.2</x:v>
      </x:c>
      <x:c r="V778" s="54" t="str">
        <x:f>IF(ISNUMBER(T778),T778*(1+U778),"")</x:f>
      </x:c>
      <x:c r="W778" s="47" t="n">
        <x:v>0.3</x:v>
      </x:c>
      <x:c r="X778" s="54" t="str">
        <x:f>IF(ISNUMBER(V778),V778/(1-W778),"")</x:f>
      </x:c>
      <x:c r="Y778" s="55" t="str">
        <x:f>IF(ISNUMBER(X778),ROUNDUP(X778,0),"")</x:f>
      </x:c>
      <x:c r="Z778" t="str">
        <x:f>IF(ISNUMBER(T778),"Cost captured","Awaiting trade cost")</x:f>
        <x:v>Awaiting trade cost</x:v>
      </x:c>
      <x:c r="AB778" s="36" t="str">
        <x:f>IF(ISNUMBER(Y778),ROUND(Y778*0.9,2),"")</x:f>
      </x:c>
      <x:c r="AC778" s="36" t="str">
        <x:f>IF(ISNUMBER(AB778),ROUND(AB778-(AB778*0.015+0.2)-V778,2),"")</x:f>
      </x:c>
      <x:c r="AD778" s="36" t="str">
        <x:f>IF(ISNUMBER(Y778),ROUND(Y778*0.8,2),"")</x:f>
      </x:c>
      <x:c r="AE778" s="36" t="str">
        <x:f>IF(ISNUMBER(AD778),ROUND(AD778*0.015+0.2,2),"")</x:f>
      </x:c>
      <x:c r="AF778" s="36" t="str">
        <x:f>IF(ISNUMBER(AD778),ROUND(AD778-AE778-V778,2),"")</x:f>
      </x:c>
      <x:c r="AG778" t="str">
        <x:f>IF(NOT(ISNUMBER(T778)),"PENDING",IF(AF778&gt;0,"PASS","FAIL"))</x:f>
        <x:v>PENDING</x:v>
      </x:c>
      <x:c r="AH778" t="str">
        <x:f>IF(NOT(ISNUMBER(T778)),"Needs supplier cost",IF(K778&lt;&gt;"In stock","Supplier unavailable",IF(AG778&lt;&gt;"PASS","BLOCK - GT loss risk","Commercially protected")))</x:f>
        <x:v>Needs supplier cost</x:v>
      </x:c>
      <x:c r="AI778" t="str">
        <x:v>2026-09-10 Active Sports trade capture</x:v>
      </x:c>
      <x:c r="AJ778" t="str">
        <x:v>Management-only economics. Stripe stress test uses 1.5% + £0.20 standard UK online-card fee; pallet/mix-and-match pricing ignored.</x:v>
      </x:c>
    </x:row>
    <x:row r="779">
      <x:c r="A779" t="str">
        <x:v>Active Sports Nutrition</x:v>
      </x:c>
      <x:c r="B779" t="str">
        <x:v>CNP Professional</x:v>
      </x:c>
      <x:c r="C779" t="str">
        <x:v>Loaded H2O</x:v>
      </x:c>
      <x:c r="D779" t="str">
        <x:v>Supplements</x:v>
      </x:c>
      <x:c r="E779" t="str">
        <x:v>Hydration</x:v>
      </x:c>
      <x:c r="F779" t="str"/>
      <x:c r="G779" t="str">
        <x:v>300g</x:v>
      </x:c>
      <x:c r="H779" t="str">
        <x:v>Blue Bears</x:v>
      </x:c>
      <x:c r="I779" t="str"/>
      <x:c r="J779" t="str">
        <x:v>Unit</x:v>
      </x:c>
      <x:c r="K779" t="str">
        <x:v>In stock</x:v>
      </x:c>
      <x:c r="L779" t="str">
        <x:v>2026-09-08</x:v>
      </x:c>
      <x:c r="M779" t="str"/>
      <x:c r="N779" t="str"/>
      <x:c r="O779" t="str">
        <x:v>https://www.activesportstrade.co.uk/trade-sports-supplements</x:v>
      </x:c>
      <x:c r="P779" t="str">
        <x:v>MEGA SPECIAL OFFER wording removed.</x:v>
      </x:c>
      <x:c r="Q779" t="str"/>
      <x:c r="R779" t="str"/>
      <x:c r="S779" t="str">
        <x:v>Pending genuine supplier/brand image</x:v>
      </x:c>
      <x:c r="T779" s="54"/>
      <x:c r="U779" s="47" t="n">
        <x:v>0.2</x:v>
      </x:c>
      <x:c r="V779" s="54" t="str">
        <x:f>IF(ISNUMBER(T779),T779*(1+U779),"")</x:f>
      </x:c>
      <x:c r="W779" s="47" t="n">
        <x:v>0.3</x:v>
      </x:c>
      <x:c r="X779" s="54" t="str">
        <x:f>IF(ISNUMBER(V779),V779/(1-W779),"")</x:f>
      </x:c>
      <x:c r="Y779" s="55" t="str">
        <x:f>IF(ISNUMBER(X779),ROUNDUP(X779,0),"")</x:f>
      </x:c>
      <x:c r="Z779" t="str">
        <x:f>IF(ISNUMBER(T779),"Cost captured","Awaiting trade cost")</x:f>
        <x:v>Awaiting trade cost</x:v>
      </x:c>
      <x:c r="AB779" s="36" t="str">
        <x:f>IF(ISNUMBER(Y779),ROUND(Y779*0.9,2),"")</x:f>
      </x:c>
      <x:c r="AC779" s="36" t="str">
        <x:f>IF(ISNUMBER(AB779),ROUND(AB779-(AB779*0.015+0.2)-V779,2),"")</x:f>
      </x:c>
      <x:c r="AD779" s="36" t="str">
        <x:f>IF(ISNUMBER(Y779),ROUND(Y779*0.8,2),"")</x:f>
      </x:c>
      <x:c r="AE779" s="36" t="str">
        <x:f>IF(ISNUMBER(AD779),ROUND(AD779*0.015+0.2,2),"")</x:f>
      </x:c>
      <x:c r="AF779" s="36" t="str">
        <x:f>IF(ISNUMBER(AD779),ROUND(AD779-AE779-V779,2),"")</x:f>
      </x:c>
      <x:c r="AG779" t="str">
        <x:f>IF(NOT(ISNUMBER(T779)),"PENDING",IF(AF779&gt;0,"PASS","FAIL"))</x:f>
        <x:v>PENDING</x:v>
      </x:c>
      <x:c r="AH779" t="str">
        <x:f>IF(NOT(ISNUMBER(T779)),"Needs supplier cost",IF(K779&lt;&gt;"In stock","Supplier unavailable",IF(AG779&lt;&gt;"PASS","BLOCK - GT loss risk","Commercially protected")))</x:f>
        <x:v>Needs supplier cost</x:v>
      </x:c>
      <x:c r="AI779" t="str">
        <x:v>2026-09-10 Active Sports trade capture</x:v>
      </x:c>
      <x:c r="AJ779" t="str">
        <x:v>Management-only economics. Stripe stress test uses 1.5% + £0.20 standard UK online-card fee; pallet/mix-and-match pricing ignored.</x:v>
      </x:c>
    </x:row>
    <x:row r="780">
      <x:c r="A780" t="str">
        <x:v>Active Sports Nutrition</x:v>
      </x:c>
      <x:c r="B780" t="str">
        <x:v>CNP Professional</x:v>
      </x:c>
      <x:c r="C780" t="str">
        <x:v>Loaded H2O</x:v>
      </x:c>
      <x:c r="D780" t="str">
        <x:v>Supplements</x:v>
      </x:c>
      <x:c r="E780" t="str">
        <x:v>Hydration</x:v>
      </x:c>
      <x:c r="F780" t="str"/>
      <x:c r="G780" t="str">
        <x:v>300g</x:v>
      </x:c>
      <x:c r="H780" t="str">
        <x:v>Orange Burst</x:v>
      </x:c>
      <x:c r="I780" t="str"/>
      <x:c r="J780" t="str">
        <x:v>Unit</x:v>
      </x:c>
      <x:c r="K780" t="str">
        <x:v>Out of stock</x:v>
      </x:c>
      <x:c r="L780" t="str">
        <x:v>2026-09-08</x:v>
      </x:c>
      <x:c r="M780" t="str"/>
      <x:c r="N780" t="str"/>
      <x:c r="O780" t="str">
        <x:v>https://www.activesportstrade.co.uk/trade-sports-supplements</x:v>
      </x:c>
      <x:c r="P780" t="str">
        <x:v>MEGA SPECIAL OFFER wording removed.</x:v>
      </x:c>
      <x:c r="Q780" t="str"/>
      <x:c r="R780" t="str"/>
      <x:c r="S780" t="str">
        <x:v>Pending genuine supplier/brand image</x:v>
      </x:c>
      <x:c r="T780" s="54"/>
      <x:c r="U780" s="47" t="n">
        <x:v>0.2</x:v>
      </x:c>
      <x:c r="V780" s="54" t="str">
        <x:f>IF(ISNUMBER(T780),T780*(1+U780),"")</x:f>
      </x:c>
      <x:c r="W780" s="47" t="n">
        <x:v>0.3</x:v>
      </x:c>
      <x:c r="X780" s="54" t="str">
        <x:f>IF(ISNUMBER(V780),V780/(1-W780),"")</x:f>
      </x:c>
      <x:c r="Y780" s="55" t="str">
        <x:f>IF(ISNUMBER(X780),ROUNDUP(X780,0),"")</x:f>
      </x:c>
      <x:c r="Z780" t="str">
        <x:f>IF(ISNUMBER(T780),"Cost captured","Awaiting trade cost")</x:f>
        <x:v>Awaiting trade cost</x:v>
      </x:c>
      <x:c r="AB780" s="36" t="str">
        <x:f>IF(ISNUMBER(Y780),ROUND(Y780*0.9,2),"")</x:f>
      </x:c>
      <x:c r="AC780" s="36" t="str">
        <x:f>IF(ISNUMBER(AB780),ROUND(AB780-(AB780*0.015+0.2)-V780,2),"")</x:f>
      </x:c>
      <x:c r="AD780" s="36" t="str">
        <x:f>IF(ISNUMBER(Y780),ROUND(Y780*0.8,2),"")</x:f>
      </x:c>
      <x:c r="AE780" s="36" t="str">
        <x:f>IF(ISNUMBER(AD780),ROUND(AD780*0.015+0.2,2),"")</x:f>
      </x:c>
      <x:c r="AF780" s="36" t="str">
        <x:f>IF(ISNUMBER(AD780),ROUND(AD780-AE780-V780,2),"")</x:f>
      </x:c>
      <x:c r="AG780" t="str">
        <x:f>IF(NOT(ISNUMBER(T780)),"PENDING",IF(AF780&gt;0,"PASS","FAIL"))</x:f>
        <x:v>PENDING</x:v>
      </x:c>
      <x:c r="AH780" t="str">
        <x:f>IF(NOT(ISNUMBER(T780)),"Needs supplier cost",IF(K780&lt;&gt;"In stock","Supplier unavailable",IF(AG780&lt;&gt;"PASS","BLOCK - GT loss risk","Commercially protected")))</x:f>
        <x:v>Needs supplier cost</x:v>
      </x:c>
      <x:c r="AI780" t="str">
        <x:v>2026-09-10 Active Sports trade capture</x:v>
      </x:c>
      <x:c r="AJ780" t="str">
        <x:v>Management-only economics. Stripe stress test uses 1.5% + £0.20 standard UK online-card fee; pallet/mix-and-match pricing ignored.</x:v>
      </x:c>
    </x:row>
    <x:row r="781">
      <x:c r="A781" t="str">
        <x:v>Active Sports Nutrition</x:v>
      </x:c>
      <x:c r="B781" t="str">
        <x:v>CNP Professional</x:v>
      </x:c>
      <x:c r="C781" t="str">
        <x:v>Loaded H2O</x:v>
      </x:c>
      <x:c r="D781" t="str">
        <x:v>Supplements</x:v>
      </x:c>
      <x:c r="E781" t="str">
        <x:v>Hydration</x:v>
      </x:c>
      <x:c r="F781" t="str"/>
      <x:c r="G781" t="str">
        <x:v>300g</x:v>
      </x:c>
      <x:c r="H781" t="str">
        <x:v>Peach Rings</x:v>
      </x:c>
      <x:c r="I781" t="str"/>
      <x:c r="J781" t="str">
        <x:v>Unit</x:v>
      </x:c>
      <x:c r="K781" t="str">
        <x:v>In stock</x:v>
      </x:c>
      <x:c r="L781" t="str">
        <x:v>2026-09-08</x:v>
      </x:c>
      <x:c r="M781" t="str"/>
      <x:c r="N781" t="str"/>
      <x:c r="O781" t="str">
        <x:v>https://www.activesportstrade.co.uk/trade-sports-supplements</x:v>
      </x:c>
      <x:c r="P781" t="str">
        <x:v>MEGA SPECIAL OFFER wording removed.</x:v>
      </x:c>
      <x:c r="Q781" t="str"/>
      <x:c r="R781" t="str"/>
      <x:c r="S781" t="str">
        <x:v>Pending genuine supplier/brand image</x:v>
      </x:c>
      <x:c r="T781" s="54"/>
      <x:c r="U781" s="47" t="n">
        <x:v>0.2</x:v>
      </x:c>
      <x:c r="V781" s="54" t="str">
        <x:f>IF(ISNUMBER(T781),T781*(1+U781),"")</x:f>
      </x:c>
      <x:c r="W781" s="47" t="n">
        <x:v>0.3</x:v>
      </x:c>
      <x:c r="X781" s="54" t="str">
        <x:f>IF(ISNUMBER(V781),V781/(1-W781),"")</x:f>
      </x:c>
      <x:c r="Y781" s="55" t="str">
        <x:f>IF(ISNUMBER(X781),ROUNDUP(X781,0),"")</x:f>
      </x:c>
      <x:c r="Z781" t="str">
        <x:f>IF(ISNUMBER(T781),"Cost captured","Awaiting trade cost")</x:f>
        <x:v>Awaiting trade cost</x:v>
      </x:c>
      <x:c r="AB781" s="36" t="str">
        <x:f>IF(ISNUMBER(Y781),ROUND(Y781*0.9,2),"")</x:f>
      </x:c>
      <x:c r="AC781" s="36" t="str">
        <x:f>IF(ISNUMBER(AB781),ROUND(AB781-(AB781*0.015+0.2)-V781,2),"")</x:f>
      </x:c>
      <x:c r="AD781" s="36" t="str">
        <x:f>IF(ISNUMBER(Y781),ROUND(Y781*0.8,2),"")</x:f>
      </x:c>
      <x:c r="AE781" s="36" t="str">
        <x:f>IF(ISNUMBER(AD781),ROUND(AD781*0.015+0.2,2),"")</x:f>
      </x:c>
      <x:c r="AF781" s="36" t="str">
        <x:f>IF(ISNUMBER(AD781),ROUND(AD781-AE781-V781,2),"")</x:f>
      </x:c>
      <x:c r="AG781" t="str">
        <x:f>IF(NOT(ISNUMBER(T781)),"PENDING",IF(AF781&gt;0,"PASS","FAIL"))</x:f>
        <x:v>PENDING</x:v>
      </x:c>
      <x:c r="AH781" t="str">
        <x:f>IF(NOT(ISNUMBER(T781)),"Needs supplier cost",IF(K781&lt;&gt;"In stock","Supplier unavailable",IF(AG781&lt;&gt;"PASS","BLOCK - GT loss risk","Commercially protected")))</x:f>
        <x:v>Needs supplier cost</x:v>
      </x:c>
      <x:c r="AI781" t="str">
        <x:v>2026-09-10 Active Sports trade capture</x:v>
      </x:c>
      <x:c r="AJ781" t="str">
        <x:v>Management-only economics. Stripe stress test uses 1.5% + £0.20 standard UK online-card fee; pallet/mix-and-match pricing ignored.</x:v>
      </x:c>
    </x:row>
    <x:row r="782">
      <x:c r="A782" t="str">
        <x:v>Active Sports Nutrition</x:v>
      </x:c>
      <x:c r="B782" t="str">
        <x:v>CNP Professional</x:v>
      </x:c>
      <x:c r="C782" t="str">
        <x:v>Loaded H2O</x:v>
      </x:c>
      <x:c r="D782" t="str">
        <x:v>Supplements</x:v>
      </x:c>
      <x:c r="E782" t="str">
        <x:v>Hydration</x:v>
      </x:c>
      <x:c r="F782" t="str"/>
      <x:c r="G782" t="str">
        <x:v>300g</x:v>
      </x:c>
      <x:c r="H782" t="str">
        <x:v>Strawberry Laces</x:v>
      </x:c>
      <x:c r="I782" t="str"/>
      <x:c r="J782" t="str">
        <x:v>Unit</x:v>
      </x:c>
      <x:c r="K782" t="str">
        <x:v>In stock</x:v>
      </x:c>
      <x:c r="L782" t="str">
        <x:v>2026-09-08</x:v>
      </x:c>
      <x:c r="M782" t="str"/>
      <x:c r="N782" t="str"/>
      <x:c r="O782" t="str">
        <x:v>https://www.activesportstrade.co.uk/trade-sports-supplements</x:v>
      </x:c>
      <x:c r="P782" t="str">
        <x:v>MEGA SPECIAL OFFER wording removed.</x:v>
      </x:c>
      <x:c r="Q782" t="str"/>
      <x:c r="R782" t="str"/>
      <x:c r="S782" t="str">
        <x:v>Pending genuine supplier/brand image</x:v>
      </x:c>
      <x:c r="T782" s="54"/>
      <x:c r="U782" s="47" t="n">
        <x:v>0.2</x:v>
      </x:c>
      <x:c r="V782" s="54" t="str">
        <x:f>IF(ISNUMBER(T782),T782*(1+U782),"")</x:f>
      </x:c>
      <x:c r="W782" s="47" t="n">
        <x:v>0.3</x:v>
      </x:c>
      <x:c r="X782" s="54" t="str">
        <x:f>IF(ISNUMBER(V782),V782/(1-W782),"")</x:f>
      </x:c>
      <x:c r="Y782" s="55" t="str">
        <x:f>IF(ISNUMBER(X782),ROUNDUP(X782,0),"")</x:f>
      </x:c>
      <x:c r="Z782" t="str">
        <x:f>IF(ISNUMBER(T782),"Cost captured","Awaiting trade cost")</x:f>
        <x:v>Awaiting trade cost</x:v>
      </x:c>
      <x:c r="AB782" s="36" t="str">
        <x:f>IF(ISNUMBER(Y782),ROUND(Y782*0.9,2),"")</x:f>
      </x:c>
      <x:c r="AC782" s="36" t="str">
        <x:f>IF(ISNUMBER(AB782),ROUND(AB782-(AB782*0.015+0.2)-V782,2),"")</x:f>
      </x:c>
      <x:c r="AD782" s="36" t="str">
        <x:f>IF(ISNUMBER(Y782),ROUND(Y782*0.8,2),"")</x:f>
      </x:c>
      <x:c r="AE782" s="36" t="str">
        <x:f>IF(ISNUMBER(AD782),ROUND(AD782*0.015+0.2,2),"")</x:f>
      </x:c>
      <x:c r="AF782" s="36" t="str">
        <x:f>IF(ISNUMBER(AD782),ROUND(AD782-AE782-V782,2),"")</x:f>
      </x:c>
      <x:c r="AG782" t="str">
        <x:f>IF(NOT(ISNUMBER(T782)),"PENDING",IF(AF782&gt;0,"PASS","FAIL"))</x:f>
        <x:v>PENDING</x:v>
      </x:c>
      <x:c r="AH782" t="str">
        <x:f>IF(NOT(ISNUMBER(T782)),"Needs supplier cost",IF(K782&lt;&gt;"In stock","Supplier unavailable",IF(AG782&lt;&gt;"PASS","BLOCK - GT loss risk","Commercially protected")))</x:f>
        <x:v>Needs supplier cost</x:v>
      </x:c>
      <x:c r="AI782" t="str">
        <x:v>2026-09-10 Active Sports trade capture</x:v>
      </x:c>
      <x:c r="AJ782" t="str">
        <x:v>Management-only economics. Stripe stress test uses 1.5% + £0.20 standard UK online-card fee; pallet/mix-and-match pricing ignored.</x:v>
      </x:c>
    </x:row>
    <x:row r="783">
      <x:c r="A783" t="str">
        <x:v>Active Sports Nutrition</x:v>
      </x:c>
      <x:c r="B783" t="str">
        <x:v>CNP Professional</x:v>
      </x:c>
      <x:c r="C783" t="str">
        <x:v>Loaded Pre</x:v>
      </x:c>
      <x:c r="D783" t="str">
        <x:v>Pre Workouts</x:v>
      </x:c>
      <x:c r="E783" t="str">
        <x:v>High Stim</x:v>
      </x:c>
      <x:c r="F783" t="str"/>
      <x:c r="G783" t="str">
        <x:v>570g</x:v>
      </x:c>
      <x:c r="H783" t="str">
        <x:v>Blue Raspberry</x:v>
      </x:c>
      <x:c r="I783" t="str"/>
      <x:c r="J783" t="str">
        <x:v>Unit</x:v>
      </x:c>
      <x:c r="K783" t="str">
        <x:v>In stock</x:v>
      </x:c>
      <x:c r="L783" t="str">
        <x:v>2026-09-08</x:v>
      </x:c>
      <x:c r="M783" t="str"/>
      <x:c r="N783" t="str"/>
      <x:c r="O783" t="str">
        <x:v>https://www.activesportstrade.co.uk/trade-sports-supplements</x:v>
      </x:c>
      <x:c r="P783" t="str">
        <x:v>BUY 5 GET 1 FREE promo removed.</x:v>
      </x:c>
      <x:c r="Q783" t="str"/>
      <x:c r="R783" t="str"/>
      <x:c r="S783" t="str">
        <x:v>Pending genuine supplier/brand image</x:v>
      </x:c>
      <x:c r="T783" s="54"/>
      <x:c r="U783" s="47" t="n">
        <x:v>0.2</x:v>
      </x:c>
      <x:c r="V783" s="54" t="str">
        <x:f>IF(ISNUMBER(T783),T783*(1+U783),"")</x:f>
      </x:c>
      <x:c r="W783" s="47" t="n">
        <x:v>0.3</x:v>
      </x:c>
      <x:c r="X783" s="54" t="str">
        <x:f>IF(ISNUMBER(V783),V783/(1-W783),"")</x:f>
      </x:c>
      <x:c r="Y783" s="55" t="str">
        <x:f>IF(ISNUMBER(X783),ROUNDUP(X783,0),"")</x:f>
      </x:c>
      <x:c r="Z783" t="str">
        <x:f>IF(ISNUMBER(T783),"Cost captured","Awaiting trade cost")</x:f>
        <x:v>Awaiting trade cost</x:v>
      </x:c>
      <x:c r="AB783" s="36" t="str">
        <x:f>IF(ISNUMBER(Y783),ROUND(Y783*0.9,2),"")</x:f>
      </x:c>
      <x:c r="AC783" s="36" t="str">
        <x:f>IF(ISNUMBER(AB783),ROUND(AB783-(AB783*0.015+0.2)-V783,2),"")</x:f>
      </x:c>
      <x:c r="AD783" s="36" t="str">
        <x:f>IF(ISNUMBER(Y783),ROUND(Y783*0.8,2),"")</x:f>
      </x:c>
      <x:c r="AE783" s="36" t="str">
        <x:f>IF(ISNUMBER(AD783),ROUND(AD783*0.015+0.2,2),"")</x:f>
      </x:c>
      <x:c r="AF783" s="36" t="str">
        <x:f>IF(ISNUMBER(AD783),ROUND(AD783-AE783-V783,2),"")</x:f>
      </x:c>
      <x:c r="AG783" t="str">
        <x:f>IF(NOT(ISNUMBER(T783)),"PENDING",IF(AF783&gt;0,"PASS","FAIL"))</x:f>
        <x:v>PENDING</x:v>
      </x:c>
      <x:c r="AH783" t="str">
        <x:f>IF(NOT(ISNUMBER(T783)),"Needs supplier cost",IF(K783&lt;&gt;"In stock","Supplier unavailable",IF(AG783&lt;&gt;"PASS","BLOCK - GT loss risk","Commercially protected")))</x:f>
        <x:v>Needs supplier cost</x:v>
      </x:c>
      <x:c r="AI783" t="str">
        <x:v>2026-09-10 Active Sports trade capture</x:v>
      </x:c>
      <x:c r="AJ783" t="str">
        <x:v>Management-only economics. Stripe stress test uses 1.5% + £0.20 standard UK online-card fee; pallet/mix-and-match pricing ignored.</x:v>
      </x:c>
    </x:row>
    <x:row r="784">
      <x:c r="A784" t="str">
        <x:v>Active Sports Nutrition</x:v>
      </x:c>
      <x:c r="B784" t="str">
        <x:v>CNP Professional</x:v>
      </x:c>
      <x:c r="C784" t="str">
        <x:v>Loaded Pre</x:v>
      </x:c>
      <x:c r="D784" t="str">
        <x:v>Pre Workouts</x:v>
      </x:c>
      <x:c r="E784" t="str">
        <x:v>High Stim</x:v>
      </x:c>
      <x:c r="F784" t="str"/>
      <x:c r="G784" t="str">
        <x:v>570g</x:v>
      </x:c>
      <x:c r="H784" t="str">
        <x:v>Fizzy Cherry</x:v>
      </x:c>
      <x:c r="I784" t="str"/>
      <x:c r="J784" t="str">
        <x:v>Unit</x:v>
      </x:c>
      <x:c r="K784" t="str">
        <x:v>In stock</x:v>
      </x:c>
      <x:c r="L784" t="str">
        <x:v>2026-09-08</x:v>
      </x:c>
      <x:c r="M784" t="str"/>
      <x:c r="N784" t="str"/>
      <x:c r="O784" t="str">
        <x:v>https://www.activesportstrade.co.uk/trade-sports-supplements</x:v>
      </x:c>
      <x:c r="P784" t="str">
        <x:v>BUY 5 GET 1 FREE promo removed.</x:v>
      </x:c>
      <x:c r="Q784" t="str"/>
      <x:c r="R784" t="str"/>
      <x:c r="S784" t="str">
        <x:v>Pending genuine supplier/brand image</x:v>
      </x:c>
      <x:c r="T784" s="54"/>
      <x:c r="U784" s="47" t="n">
        <x:v>0.2</x:v>
      </x:c>
      <x:c r="V784" s="54" t="str">
        <x:f>IF(ISNUMBER(T784),T784*(1+U784),"")</x:f>
      </x:c>
      <x:c r="W784" s="47" t="n">
        <x:v>0.3</x:v>
      </x:c>
      <x:c r="X784" s="54" t="str">
        <x:f>IF(ISNUMBER(V784),V784/(1-W784),"")</x:f>
      </x:c>
      <x:c r="Y784" s="55" t="str">
        <x:f>IF(ISNUMBER(X784),ROUNDUP(X784,0),"")</x:f>
      </x:c>
      <x:c r="Z784" t="str">
        <x:f>IF(ISNUMBER(T784),"Cost captured","Awaiting trade cost")</x:f>
        <x:v>Awaiting trade cost</x:v>
      </x:c>
      <x:c r="AB784" s="36" t="str">
        <x:f>IF(ISNUMBER(Y784),ROUND(Y784*0.9,2),"")</x:f>
      </x:c>
      <x:c r="AC784" s="36" t="str">
        <x:f>IF(ISNUMBER(AB784),ROUND(AB784-(AB784*0.015+0.2)-V784,2),"")</x:f>
      </x:c>
      <x:c r="AD784" s="36" t="str">
        <x:f>IF(ISNUMBER(Y784),ROUND(Y784*0.8,2),"")</x:f>
      </x:c>
      <x:c r="AE784" s="36" t="str">
        <x:f>IF(ISNUMBER(AD784),ROUND(AD784*0.015+0.2,2),"")</x:f>
      </x:c>
      <x:c r="AF784" s="36" t="str">
        <x:f>IF(ISNUMBER(AD784),ROUND(AD784-AE784-V784,2),"")</x:f>
      </x:c>
      <x:c r="AG784" t="str">
        <x:f>IF(NOT(ISNUMBER(T784)),"PENDING",IF(AF784&gt;0,"PASS","FAIL"))</x:f>
        <x:v>PENDING</x:v>
      </x:c>
      <x:c r="AH784" t="str">
        <x:f>IF(NOT(ISNUMBER(T784)),"Needs supplier cost",IF(K784&lt;&gt;"In stock","Supplier unavailable",IF(AG784&lt;&gt;"PASS","BLOCK - GT loss risk","Commercially protected")))</x:f>
        <x:v>Needs supplier cost</x:v>
      </x:c>
      <x:c r="AI784" t="str">
        <x:v>2026-09-10 Active Sports trade capture</x:v>
      </x:c>
      <x:c r="AJ784" t="str">
        <x:v>Management-only economics. Stripe stress test uses 1.5% + £0.20 standard UK online-card fee; pallet/mix-and-match pricing ignored.</x:v>
      </x:c>
    </x:row>
    <x:row r="785">
      <x:c r="A785" t="str">
        <x:v>Active Sports Nutrition</x:v>
      </x:c>
      <x:c r="B785" t="str">
        <x:v>CNP Professional</x:v>
      </x:c>
      <x:c r="C785" t="str">
        <x:v>Loaded Pre</x:v>
      </x:c>
      <x:c r="D785" t="str">
        <x:v>Pre Workouts</x:v>
      </x:c>
      <x:c r="E785" t="str">
        <x:v>High Stim</x:v>
      </x:c>
      <x:c r="F785" t="str"/>
      <x:c r="G785" t="str">
        <x:v>570g</x:v>
      </x:c>
      <x:c r="H785" t="str">
        <x:v>Orange Soda</x:v>
      </x:c>
      <x:c r="I785" t="str"/>
      <x:c r="J785" t="str">
        <x:v>Unit</x:v>
      </x:c>
      <x:c r="K785" t="str">
        <x:v>In stock</x:v>
      </x:c>
      <x:c r="L785" t="str">
        <x:v>2026-09-08</x:v>
      </x:c>
      <x:c r="M785" t="str"/>
      <x:c r="N785" t="str"/>
      <x:c r="O785" t="str">
        <x:v>https://www.activesportstrade.co.uk/trade-sports-supplements</x:v>
      </x:c>
      <x:c r="P785" t="str">
        <x:v>BUY 5 GET 1 FREE promo removed.</x:v>
      </x:c>
      <x:c r="Q785" t="str"/>
      <x:c r="R785" t="str"/>
      <x:c r="S785" t="str">
        <x:v>Pending genuine supplier/brand image</x:v>
      </x:c>
      <x:c r="T785" s="54"/>
      <x:c r="U785" s="47" t="n">
        <x:v>0.2</x:v>
      </x:c>
      <x:c r="V785" s="54" t="str">
        <x:f>IF(ISNUMBER(T785),T785*(1+U785),"")</x:f>
      </x:c>
      <x:c r="W785" s="47" t="n">
        <x:v>0.3</x:v>
      </x:c>
      <x:c r="X785" s="54" t="str">
        <x:f>IF(ISNUMBER(V785),V785/(1-W785),"")</x:f>
      </x:c>
      <x:c r="Y785" s="55" t="str">
        <x:f>IF(ISNUMBER(X785),ROUNDUP(X785,0),"")</x:f>
      </x:c>
      <x:c r="Z785" t="str">
        <x:f>IF(ISNUMBER(T785),"Cost captured","Awaiting trade cost")</x:f>
        <x:v>Awaiting trade cost</x:v>
      </x:c>
      <x:c r="AB785" s="36" t="str">
        <x:f>IF(ISNUMBER(Y785),ROUND(Y785*0.9,2),"")</x:f>
      </x:c>
      <x:c r="AC785" s="36" t="str">
        <x:f>IF(ISNUMBER(AB785),ROUND(AB785-(AB785*0.015+0.2)-V785,2),"")</x:f>
      </x:c>
      <x:c r="AD785" s="36" t="str">
        <x:f>IF(ISNUMBER(Y785),ROUND(Y785*0.8,2),"")</x:f>
      </x:c>
      <x:c r="AE785" s="36" t="str">
        <x:f>IF(ISNUMBER(AD785),ROUND(AD785*0.015+0.2,2),"")</x:f>
      </x:c>
      <x:c r="AF785" s="36" t="str">
        <x:f>IF(ISNUMBER(AD785),ROUND(AD785-AE785-V785,2),"")</x:f>
      </x:c>
      <x:c r="AG785" t="str">
        <x:f>IF(NOT(ISNUMBER(T785)),"PENDING",IF(AF785&gt;0,"PASS","FAIL"))</x:f>
        <x:v>PENDING</x:v>
      </x:c>
      <x:c r="AH785" t="str">
        <x:f>IF(NOT(ISNUMBER(T785)),"Needs supplier cost",IF(K785&lt;&gt;"In stock","Supplier unavailable",IF(AG785&lt;&gt;"PASS","BLOCK - GT loss risk","Commercially protected")))</x:f>
        <x:v>Needs supplier cost</x:v>
      </x:c>
      <x:c r="AI785" t="str">
        <x:v>2026-09-10 Active Sports trade capture</x:v>
      </x:c>
      <x:c r="AJ785" t="str">
        <x:v>Management-only economics. Stripe stress test uses 1.5% + £0.20 standard UK online-card fee; pallet/mix-and-match pricing ignored.</x:v>
      </x:c>
    </x:row>
    <x:row r="786">
      <x:c r="A786" t="str">
        <x:v>Active Sports Nutrition</x:v>
      </x:c>
      <x:c r="B786" t="str">
        <x:v>CNP Professional</x:v>
      </x:c>
      <x:c r="C786" t="str">
        <x:v>Loaded Pre</x:v>
      </x:c>
      <x:c r="D786" t="str">
        <x:v>Pre Workouts</x:v>
      </x:c>
      <x:c r="E786" t="str">
        <x:v>High Stim</x:v>
      </x:c>
      <x:c r="F786" t="str"/>
      <x:c r="G786" t="str">
        <x:v>570g</x:v>
      </x:c>
      <x:c r="H786" t="str">
        <x:v>Sour Apple</x:v>
      </x:c>
      <x:c r="I786" t="str"/>
      <x:c r="J786" t="str">
        <x:v>Unit</x:v>
      </x:c>
      <x:c r="K786" t="str">
        <x:v>In stock</x:v>
      </x:c>
      <x:c r="L786" t="str">
        <x:v>2026-09-08</x:v>
      </x:c>
      <x:c r="M786" t="str"/>
      <x:c r="N786" t="str"/>
      <x:c r="O786" t="str">
        <x:v>https://www.activesportstrade.co.uk/trade-sports-supplements</x:v>
      </x:c>
      <x:c r="P786" t="str">
        <x:v>BUY 5 GET 1 FREE promo removed.</x:v>
      </x:c>
      <x:c r="Q786" t="str"/>
      <x:c r="R786" t="str"/>
      <x:c r="S786" t="str">
        <x:v>Pending genuine supplier/brand image</x:v>
      </x:c>
      <x:c r="T786" s="54"/>
      <x:c r="U786" s="47" t="n">
        <x:v>0.2</x:v>
      </x:c>
      <x:c r="V786" s="54" t="str">
        <x:f>IF(ISNUMBER(T786),T786*(1+U786),"")</x:f>
      </x:c>
      <x:c r="W786" s="47" t="n">
        <x:v>0.3</x:v>
      </x:c>
      <x:c r="X786" s="54" t="str">
        <x:f>IF(ISNUMBER(V786),V786/(1-W786),"")</x:f>
      </x:c>
      <x:c r="Y786" s="55" t="str">
        <x:f>IF(ISNUMBER(X786),ROUNDUP(X786,0),"")</x:f>
      </x:c>
      <x:c r="Z786" t="str">
        <x:f>IF(ISNUMBER(T786),"Cost captured","Awaiting trade cost")</x:f>
        <x:v>Awaiting trade cost</x:v>
      </x:c>
      <x:c r="AB786" s="36" t="str">
        <x:f>IF(ISNUMBER(Y786),ROUND(Y786*0.9,2),"")</x:f>
      </x:c>
      <x:c r="AC786" s="36" t="str">
        <x:f>IF(ISNUMBER(AB786),ROUND(AB786-(AB786*0.015+0.2)-V786,2),"")</x:f>
      </x:c>
      <x:c r="AD786" s="36" t="str">
        <x:f>IF(ISNUMBER(Y786),ROUND(Y786*0.8,2),"")</x:f>
      </x:c>
      <x:c r="AE786" s="36" t="str">
        <x:f>IF(ISNUMBER(AD786),ROUND(AD786*0.015+0.2,2),"")</x:f>
      </x:c>
      <x:c r="AF786" s="36" t="str">
        <x:f>IF(ISNUMBER(AD786),ROUND(AD786-AE786-V786,2),"")</x:f>
      </x:c>
      <x:c r="AG786" t="str">
        <x:f>IF(NOT(ISNUMBER(T786)),"PENDING",IF(AF786&gt;0,"PASS","FAIL"))</x:f>
        <x:v>PENDING</x:v>
      </x:c>
      <x:c r="AH786" t="str">
        <x:f>IF(NOT(ISNUMBER(T786)),"Needs supplier cost",IF(K786&lt;&gt;"In stock","Supplier unavailable",IF(AG786&lt;&gt;"PASS","BLOCK - GT loss risk","Commercially protected")))</x:f>
        <x:v>Needs supplier cost</x:v>
      </x:c>
      <x:c r="AI786" t="str">
        <x:v>2026-09-10 Active Sports trade capture</x:v>
      </x:c>
      <x:c r="AJ786" t="str">
        <x:v>Management-only economics. Stripe stress test uses 1.5% + £0.20 standard UK online-card fee; pallet/mix-and-match pricing ignored.</x:v>
      </x:c>
    </x:row>
    <x:row r="787">
      <x:c r="A787" t="str">
        <x:v>Active Sports Nutrition</x:v>
      </x:c>
      <x:c r="B787" t="str">
        <x:v>CNP Professional</x:v>
      </x:c>
      <x:c r="C787" t="str">
        <x:v>Mass XL</x:v>
      </x:c>
      <x:c r="D787" t="str">
        <x:v>Supplements</x:v>
      </x:c>
      <x:c r="E787" t="str">
        <x:v>Weight Gainers</x:v>
      </x:c>
      <x:c r="F787" t="str"/>
      <x:c r="G787" t="str">
        <x:v>4.8kg</x:v>
      </x:c>
      <x:c r="H787" t="str">
        <x:v>Banana</x:v>
      </x:c>
      <x:c r="I787" t="str"/>
      <x:c r="J787" t="str">
        <x:v>Unit</x:v>
      </x:c>
      <x:c r="K787" t="str">
        <x:v>Out of stock</x:v>
      </x:c>
      <x:c r="L787" t="str">
        <x:v>2026-09-08</x:v>
      </x:c>
      <x:c r="M787" t="str"/>
      <x:c r="N787" t="str"/>
      <x:c r="O787" t="str">
        <x:v>https://www.activesportstrade.co.uk/trade-sports-supplements</x:v>
      </x:c>
      <x:c r="P787" t="str">
        <x:v>FREE CREATINE promo removed.</x:v>
      </x:c>
      <x:c r="Q787" t="str"/>
      <x:c r="R787" t="str"/>
      <x:c r="S787" t="str">
        <x:v>Pending genuine supplier/brand image</x:v>
      </x:c>
      <x:c r="T787" s="54"/>
      <x:c r="U787" s="47" t="n">
        <x:v>0.2</x:v>
      </x:c>
      <x:c r="V787" s="54" t="str">
        <x:f>IF(ISNUMBER(T787),T787*(1+U787),"")</x:f>
      </x:c>
      <x:c r="W787" s="47" t="n">
        <x:v>0.3</x:v>
      </x:c>
      <x:c r="X787" s="54" t="str">
        <x:f>IF(ISNUMBER(V787),V787/(1-W787),"")</x:f>
      </x:c>
      <x:c r="Y787" s="55" t="str">
        <x:f>IF(ISNUMBER(X787),ROUNDUP(X787,0),"")</x:f>
      </x:c>
      <x:c r="Z787" t="str">
        <x:f>IF(ISNUMBER(T787),"Cost captured","Awaiting trade cost")</x:f>
        <x:v>Awaiting trade cost</x:v>
      </x:c>
      <x:c r="AB787" s="36" t="str">
        <x:f>IF(ISNUMBER(Y787),ROUND(Y787*0.9,2),"")</x:f>
      </x:c>
      <x:c r="AC787" s="36" t="str">
        <x:f>IF(ISNUMBER(AB787),ROUND(AB787-(AB787*0.015+0.2)-V787,2),"")</x:f>
      </x:c>
      <x:c r="AD787" s="36" t="str">
        <x:f>IF(ISNUMBER(Y787),ROUND(Y787*0.8,2),"")</x:f>
      </x:c>
      <x:c r="AE787" s="36" t="str">
        <x:f>IF(ISNUMBER(AD787),ROUND(AD787*0.015+0.2,2),"")</x:f>
      </x:c>
      <x:c r="AF787" s="36" t="str">
        <x:f>IF(ISNUMBER(AD787),ROUND(AD787-AE787-V787,2),"")</x:f>
      </x:c>
      <x:c r="AG787" t="str">
        <x:f>IF(NOT(ISNUMBER(T787)),"PENDING",IF(AF787&gt;0,"PASS","FAIL"))</x:f>
        <x:v>PENDING</x:v>
      </x:c>
      <x:c r="AH787" t="str">
        <x:f>IF(NOT(ISNUMBER(T787)),"Needs supplier cost",IF(K787&lt;&gt;"In stock","Supplier unavailable",IF(AG787&lt;&gt;"PASS","BLOCK - GT loss risk","Commercially protected")))</x:f>
        <x:v>Needs supplier cost</x:v>
      </x:c>
      <x:c r="AI787" t="str">
        <x:v>2026-09-10 Active Sports trade capture</x:v>
      </x:c>
      <x:c r="AJ787" t="str">
        <x:v>Management-only economics. Stripe stress test uses 1.5% + £0.20 standard UK online-card fee; pallet/mix-and-match pricing ignored.</x:v>
      </x:c>
    </x:row>
    <x:row r="788">
      <x:c r="A788" t="str">
        <x:v>Active Sports Nutrition</x:v>
      </x:c>
      <x:c r="B788" t="str">
        <x:v>CNP Professional</x:v>
      </x:c>
      <x:c r="C788" t="str">
        <x:v>Mass XL</x:v>
      </x:c>
      <x:c r="D788" t="str">
        <x:v>Supplements</x:v>
      </x:c>
      <x:c r="E788" t="str">
        <x:v>Weight Gainers</x:v>
      </x:c>
      <x:c r="F788" t="str"/>
      <x:c r="G788" t="str">
        <x:v>4.8kg</x:v>
      </x:c>
      <x:c r="H788" t="str">
        <x:v>Chocolate</x:v>
      </x:c>
      <x:c r="I788" t="str"/>
      <x:c r="J788" t="str">
        <x:v>Unit</x:v>
      </x:c>
      <x:c r="K788" t="str">
        <x:v>Out of stock</x:v>
      </x:c>
      <x:c r="L788" t="str">
        <x:v>2026-09-08</x:v>
      </x:c>
      <x:c r="M788" t="str"/>
      <x:c r="N788" t="str"/>
      <x:c r="O788" t="str">
        <x:v>https://www.activesportstrade.co.uk/trade-sports-supplements</x:v>
      </x:c>
      <x:c r="P788" t="str">
        <x:v>FREE CREATINE promo removed.</x:v>
      </x:c>
      <x:c r="Q788" t="str"/>
      <x:c r="R788" t="str"/>
      <x:c r="S788" t="str">
        <x:v>Pending genuine supplier/brand image</x:v>
      </x:c>
      <x:c r="T788" s="54"/>
      <x:c r="U788" s="47" t="n">
        <x:v>0.2</x:v>
      </x:c>
      <x:c r="V788" s="54" t="str">
        <x:f>IF(ISNUMBER(T788),T788*(1+U788),"")</x:f>
      </x:c>
      <x:c r="W788" s="47" t="n">
        <x:v>0.3</x:v>
      </x:c>
      <x:c r="X788" s="54" t="str">
        <x:f>IF(ISNUMBER(V788),V788/(1-W788),"")</x:f>
      </x:c>
      <x:c r="Y788" s="55" t="str">
        <x:f>IF(ISNUMBER(X788),ROUNDUP(X788,0),"")</x:f>
      </x:c>
      <x:c r="Z788" t="str">
        <x:f>IF(ISNUMBER(T788),"Cost captured","Awaiting trade cost")</x:f>
        <x:v>Awaiting trade cost</x:v>
      </x:c>
      <x:c r="AB788" s="36" t="str">
        <x:f>IF(ISNUMBER(Y788),ROUND(Y788*0.9,2),"")</x:f>
      </x:c>
      <x:c r="AC788" s="36" t="str">
        <x:f>IF(ISNUMBER(AB788),ROUND(AB788-(AB788*0.015+0.2)-V788,2),"")</x:f>
      </x:c>
      <x:c r="AD788" s="36" t="str">
        <x:f>IF(ISNUMBER(Y788),ROUND(Y788*0.8,2),"")</x:f>
      </x:c>
      <x:c r="AE788" s="36" t="str">
        <x:f>IF(ISNUMBER(AD788),ROUND(AD788*0.015+0.2,2),"")</x:f>
      </x:c>
      <x:c r="AF788" s="36" t="str">
        <x:f>IF(ISNUMBER(AD788),ROUND(AD788-AE788-V788,2),"")</x:f>
      </x:c>
      <x:c r="AG788" t="str">
        <x:f>IF(NOT(ISNUMBER(T788)),"PENDING",IF(AF788&gt;0,"PASS","FAIL"))</x:f>
        <x:v>PENDING</x:v>
      </x:c>
      <x:c r="AH788" t="str">
        <x:f>IF(NOT(ISNUMBER(T788)),"Needs supplier cost",IF(K788&lt;&gt;"In stock","Supplier unavailable",IF(AG788&lt;&gt;"PASS","BLOCK - GT loss risk","Commercially protected")))</x:f>
        <x:v>Needs supplier cost</x:v>
      </x:c>
      <x:c r="AI788" t="str">
        <x:v>2026-09-10 Active Sports trade capture</x:v>
      </x:c>
      <x:c r="AJ788" t="str">
        <x:v>Management-only economics. Stripe stress test uses 1.5% + £0.20 standard UK online-card fee; pallet/mix-and-match pricing ignored.</x:v>
      </x:c>
    </x:row>
    <x:row r="789">
      <x:c r="A789" t="str">
        <x:v>Active Sports Nutrition</x:v>
      </x:c>
      <x:c r="B789" t="str">
        <x:v>CNP Professional</x:v>
      </x:c>
      <x:c r="C789" t="str">
        <x:v>Mass XL</x:v>
      </x:c>
      <x:c r="D789" t="str">
        <x:v>Supplements</x:v>
      </x:c>
      <x:c r="E789" t="str">
        <x:v>Weight Gainers</x:v>
      </x:c>
      <x:c r="F789" t="str"/>
      <x:c r="G789" t="str">
        <x:v>4.8kg</x:v>
      </x:c>
      <x:c r="H789" t="str">
        <x:v>Strawberry</x:v>
      </x:c>
      <x:c r="I789" t="str"/>
      <x:c r="J789" t="str">
        <x:v>Unit</x:v>
      </x:c>
      <x:c r="K789" t="str">
        <x:v>Out of stock</x:v>
      </x:c>
      <x:c r="L789" t="str">
        <x:v>2026-09-08</x:v>
      </x:c>
      <x:c r="M789" t="str"/>
      <x:c r="N789" t="str"/>
      <x:c r="O789" t="str">
        <x:v>https://www.activesportstrade.co.uk/trade-sports-supplements</x:v>
      </x:c>
      <x:c r="P789" t="str">
        <x:v>FREE CREATINE promo removed.</x:v>
      </x:c>
      <x:c r="Q789" t="str"/>
      <x:c r="R789" t="str"/>
      <x:c r="S789" t="str">
        <x:v>Pending genuine supplier/brand image</x:v>
      </x:c>
      <x:c r="T789" s="54"/>
      <x:c r="U789" s="47" t="n">
        <x:v>0.2</x:v>
      </x:c>
      <x:c r="V789" s="54" t="str">
        <x:f>IF(ISNUMBER(T789),T789*(1+U789),"")</x:f>
      </x:c>
      <x:c r="W789" s="47" t="n">
        <x:v>0.3</x:v>
      </x:c>
      <x:c r="X789" s="54" t="str">
        <x:f>IF(ISNUMBER(V789),V789/(1-W789),"")</x:f>
      </x:c>
      <x:c r="Y789" s="55" t="str">
        <x:f>IF(ISNUMBER(X789),ROUNDUP(X789,0),"")</x:f>
      </x:c>
      <x:c r="Z789" t="str">
        <x:f>IF(ISNUMBER(T789),"Cost captured","Awaiting trade cost")</x:f>
        <x:v>Awaiting trade cost</x:v>
      </x:c>
      <x:c r="AB789" s="36" t="str">
        <x:f>IF(ISNUMBER(Y789),ROUND(Y789*0.9,2),"")</x:f>
      </x:c>
      <x:c r="AC789" s="36" t="str">
        <x:f>IF(ISNUMBER(AB789),ROUND(AB789-(AB789*0.015+0.2)-V789,2),"")</x:f>
      </x:c>
      <x:c r="AD789" s="36" t="str">
        <x:f>IF(ISNUMBER(Y789),ROUND(Y789*0.8,2),"")</x:f>
      </x:c>
      <x:c r="AE789" s="36" t="str">
        <x:f>IF(ISNUMBER(AD789),ROUND(AD789*0.015+0.2,2),"")</x:f>
      </x:c>
      <x:c r="AF789" s="36" t="str">
        <x:f>IF(ISNUMBER(AD789),ROUND(AD789-AE789-V789,2),"")</x:f>
      </x:c>
      <x:c r="AG789" t="str">
        <x:f>IF(NOT(ISNUMBER(T789)),"PENDING",IF(AF789&gt;0,"PASS","FAIL"))</x:f>
        <x:v>PENDING</x:v>
      </x:c>
      <x:c r="AH789" t="str">
        <x:f>IF(NOT(ISNUMBER(T789)),"Needs supplier cost",IF(K789&lt;&gt;"In stock","Supplier unavailable",IF(AG789&lt;&gt;"PASS","BLOCK - GT loss risk","Commercially protected")))</x:f>
        <x:v>Needs supplier cost</x:v>
      </x:c>
      <x:c r="AI789" t="str">
        <x:v>2026-09-10 Active Sports trade capture</x:v>
      </x:c>
      <x:c r="AJ789" t="str">
        <x:v>Management-only economics. Stripe stress test uses 1.5% + £0.20 standard UK online-card fee; pallet/mix-and-match pricing ignored.</x:v>
      </x:c>
    </x:row>
    <x:row r="790">
      <x:c r="A790" t="str">
        <x:v>Active Sports Nutrition</x:v>
      </x:c>
      <x:c r="B790" t="str">
        <x:v>CNP Professional</x:v>
      </x:c>
      <x:c r="C790" t="str">
        <x:v>Mass XL</x:v>
      </x:c>
      <x:c r="D790" t="str">
        <x:v>Supplements</x:v>
      </x:c>
      <x:c r="E790" t="str">
        <x:v>Weight Gainers</x:v>
      </x:c>
      <x:c r="F790" t="str"/>
      <x:c r="G790" t="str">
        <x:v>4.8kg</x:v>
      </x:c>
      <x:c r="H790" t="str">
        <x:v>Vanilla</x:v>
      </x:c>
      <x:c r="I790" t="str"/>
      <x:c r="J790" t="str">
        <x:v>Unit</x:v>
      </x:c>
      <x:c r="K790" t="str">
        <x:v>In stock</x:v>
      </x:c>
      <x:c r="L790" t="str">
        <x:v>2026-09-08</x:v>
      </x:c>
      <x:c r="M790" t="str"/>
      <x:c r="N790" t="str"/>
      <x:c r="O790" t="str">
        <x:v>https://www.activesportstrade.co.uk/trade-sports-supplements</x:v>
      </x:c>
      <x:c r="P790" t="str">
        <x:v>FREE CREATINE promo removed.</x:v>
      </x:c>
      <x:c r="Q790" t="str"/>
      <x:c r="R790" t="str"/>
      <x:c r="S790" t="str">
        <x:v>Pending genuine supplier/brand image</x:v>
      </x:c>
      <x:c r="T790" s="54"/>
      <x:c r="U790" s="47" t="n">
        <x:v>0.2</x:v>
      </x:c>
      <x:c r="V790" s="54" t="str">
        <x:f>IF(ISNUMBER(T790),T790*(1+U790),"")</x:f>
      </x:c>
      <x:c r="W790" s="47" t="n">
        <x:v>0.3</x:v>
      </x:c>
      <x:c r="X790" s="54" t="str">
        <x:f>IF(ISNUMBER(V790),V790/(1-W790),"")</x:f>
      </x:c>
      <x:c r="Y790" s="55" t="str">
        <x:f>IF(ISNUMBER(X790),ROUNDUP(X790,0),"")</x:f>
      </x:c>
      <x:c r="Z790" t="str">
        <x:f>IF(ISNUMBER(T790),"Cost captured","Awaiting trade cost")</x:f>
        <x:v>Awaiting trade cost</x:v>
      </x:c>
      <x:c r="AB790" s="36" t="str">
        <x:f>IF(ISNUMBER(Y790),ROUND(Y790*0.9,2),"")</x:f>
      </x:c>
      <x:c r="AC790" s="36" t="str">
        <x:f>IF(ISNUMBER(AB790),ROUND(AB790-(AB790*0.015+0.2)-V790,2),"")</x:f>
      </x:c>
      <x:c r="AD790" s="36" t="str">
        <x:f>IF(ISNUMBER(Y790),ROUND(Y790*0.8,2),"")</x:f>
      </x:c>
      <x:c r="AE790" s="36" t="str">
        <x:f>IF(ISNUMBER(AD790),ROUND(AD790*0.015+0.2,2),"")</x:f>
      </x:c>
      <x:c r="AF790" s="36" t="str">
        <x:f>IF(ISNUMBER(AD790),ROUND(AD790-AE790-V790,2),"")</x:f>
      </x:c>
      <x:c r="AG790" t="str">
        <x:f>IF(NOT(ISNUMBER(T790)),"PENDING",IF(AF790&gt;0,"PASS","FAIL"))</x:f>
        <x:v>PENDING</x:v>
      </x:c>
      <x:c r="AH790" t="str">
        <x:f>IF(NOT(ISNUMBER(T790)),"Needs supplier cost",IF(K790&lt;&gt;"In stock","Supplier unavailable",IF(AG790&lt;&gt;"PASS","BLOCK - GT loss risk","Commercially protected")))</x:f>
        <x:v>Needs supplier cost</x:v>
      </x:c>
      <x:c r="AI790" t="str">
        <x:v>2026-09-10 Active Sports trade capture</x:v>
      </x:c>
      <x:c r="AJ790" t="str">
        <x:v>Management-only economics. Stripe stress test uses 1.5% + £0.20 standard UK online-card fee; pallet/mix-and-match pricing ignored.</x:v>
      </x:c>
    </x:row>
    <x:row r="791">
      <x:c r="A791" t="str">
        <x:v>Active Sports Nutrition</x:v>
      </x:c>
      <x:c r="B791" t="str">
        <x:v>CNP Professional</x:v>
      </x:c>
      <x:c r="C791" t="str">
        <x:v>Milk Thistle</x:v>
      </x:c>
      <x:c r="D791" t="str">
        <x:v>Supplements</x:v>
      </x:c>
      <x:c r="E791" t="str">
        <x:v>Health Foods</x:v>
      </x:c>
      <x:c r="F791" t="str"/>
      <x:c r="G791" t="str">
        <x:v>60 caps</x:v>
      </x:c>
      <x:c r="H791" t="str">
        <x:v>Default</x:v>
      </x:c>
      <x:c r="I791" t="str"/>
      <x:c r="J791" t="str">
        <x:v>Unit</x:v>
      </x:c>
      <x:c r="K791" t="str">
        <x:v>In stock</x:v>
      </x:c>
      <x:c r="L791" t="str">
        <x:v>2026-09-08</x:v>
      </x:c>
      <x:c r="M791" t="str"/>
      <x:c r="N791" t="str"/>
      <x:c r="O791" t="str">
        <x:v>https://www.activesportstrade.co.uk/trade-sports-supplements</x:v>
      </x:c>
      <x:c r="P791" t="str">
        <x:v>BUY 5 GET 1 FREE promo removed.</x:v>
      </x:c>
      <x:c r="Q791" t="str"/>
      <x:c r="R791" t="str"/>
      <x:c r="S791" t="str">
        <x:v>Pending genuine supplier/brand image</x:v>
      </x:c>
      <x:c r="T791" s="54"/>
      <x:c r="U791" s="47" t="n">
        <x:v>0.2</x:v>
      </x:c>
      <x:c r="V791" s="54" t="str">
        <x:f>IF(ISNUMBER(T791),T791*(1+U791),"")</x:f>
      </x:c>
      <x:c r="W791" s="47" t="n">
        <x:v>0.3</x:v>
      </x:c>
      <x:c r="X791" s="54" t="str">
        <x:f>IF(ISNUMBER(V791),V791/(1-W791),"")</x:f>
      </x:c>
      <x:c r="Y791" s="55" t="str">
        <x:f>IF(ISNUMBER(X791),ROUNDUP(X791,0),"")</x:f>
      </x:c>
      <x:c r="Z791" t="str">
        <x:f>IF(ISNUMBER(T791),"Cost captured","Awaiting trade cost")</x:f>
        <x:v>Awaiting trade cost</x:v>
      </x:c>
      <x:c r="AB791" s="36" t="str">
        <x:f>IF(ISNUMBER(Y791),ROUND(Y791*0.9,2),"")</x:f>
      </x:c>
      <x:c r="AC791" s="36" t="str">
        <x:f>IF(ISNUMBER(AB791),ROUND(AB791-(AB791*0.015+0.2)-V791,2),"")</x:f>
      </x:c>
      <x:c r="AD791" s="36" t="str">
        <x:f>IF(ISNUMBER(Y791),ROUND(Y791*0.8,2),"")</x:f>
      </x:c>
      <x:c r="AE791" s="36" t="str">
        <x:f>IF(ISNUMBER(AD791),ROUND(AD791*0.015+0.2,2),"")</x:f>
      </x:c>
      <x:c r="AF791" s="36" t="str">
        <x:f>IF(ISNUMBER(AD791),ROUND(AD791-AE791-V791,2),"")</x:f>
      </x:c>
      <x:c r="AG791" t="str">
        <x:f>IF(NOT(ISNUMBER(T791)),"PENDING",IF(AF791&gt;0,"PASS","FAIL"))</x:f>
        <x:v>PENDING</x:v>
      </x:c>
      <x:c r="AH791" t="str">
        <x:f>IF(NOT(ISNUMBER(T791)),"Needs supplier cost",IF(K791&lt;&gt;"In stock","Supplier unavailable",IF(AG791&lt;&gt;"PASS","BLOCK - GT loss risk","Commercially protected")))</x:f>
        <x:v>Needs supplier cost</x:v>
      </x:c>
      <x:c r="AI791" t="str">
        <x:v>2026-09-10 Active Sports trade capture</x:v>
      </x:c>
      <x:c r="AJ791" t="str">
        <x:v>Management-only economics. Stripe stress test uses 1.5% + £0.20 standard UK online-card fee; pallet/mix-and-match pricing ignored.</x:v>
      </x:c>
    </x:row>
    <x:row r="792">
      <x:c r="A792" t="str">
        <x:v>Active Sports Nutrition</x:v>
      </x:c>
      <x:c r="B792" t="str">
        <x:v>CNP Professional</x:v>
      </x:c>
      <x:c r="C792" t="str">
        <x:v>Multi Vitamin</x:v>
      </x:c>
      <x:c r="D792" t="str">
        <x:v>Supplements</x:v>
      </x:c>
      <x:c r="E792" t="str">
        <x:v>Vitamins</x:v>
      </x:c>
      <x:c r="F792" t="str"/>
      <x:c r="G792" t="str">
        <x:v>30 caps</x:v>
      </x:c>
      <x:c r="H792" t="str">
        <x:v>Default</x:v>
      </x:c>
      <x:c r="I792" t="str"/>
      <x:c r="J792" t="str">
        <x:v>Unit</x:v>
      </x:c>
      <x:c r="K792" t="str">
        <x:v>In stock</x:v>
      </x:c>
      <x:c r="L792" t="str">
        <x:v>2026-09-08</x:v>
      </x:c>
      <x:c r="M792" t="str"/>
      <x:c r="N792" t="str"/>
      <x:c r="O792" t="str">
        <x:v>https://www.activesportstrade.co.uk/trade-sports-supplements</x:v>
      </x:c>
      <x:c r="P792" t="str">
        <x:v>BUY 5 GET 1 FREE promo removed.</x:v>
      </x:c>
      <x:c r="Q792" t="str"/>
      <x:c r="R792" t="str"/>
      <x:c r="S792" t="str">
        <x:v>Pending genuine supplier/brand image</x:v>
      </x:c>
      <x:c r="T792" s="54"/>
      <x:c r="U792" s="47" t="n">
        <x:v>0.2</x:v>
      </x:c>
      <x:c r="V792" s="54" t="str">
        <x:f>IF(ISNUMBER(T792),T792*(1+U792),"")</x:f>
      </x:c>
      <x:c r="W792" s="47" t="n">
        <x:v>0.3</x:v>
      </x:c>
      <x:c r="X792" s="54" t="str">
        <x:f>IF(ISNUMBER(V792),V792/(1-W792),"")</x:f>
      </x:c>
      <x:c r="Y792" s="55" t="str">
        <x:f>IF(ISNUMBER(X792),ROUNDUP(X792,0),"")</x:f>
      </x:c>
      <x:c r="Z792" t="str">
        <x:f>IF(ISNUMBER(T792),"Cost captured","Awaiting trade cost")</x:f>
        <x:v>Awaiting trade cost</x:v>
      </x:c>
      <x:c r="AB792" s="36" t="str">
        <x:f>IF(ISNUMBER(Y792),ROUND(Y792*0.9,2),"")</x:f>
      </x:c>
      <x:c r="AC792" s="36" t="str">
        <x:f>IF(ISNUMBER(AB792),ROUND(AB792-(AB792*0.015+0.2)-V792,2),"")</x:f>
      </x:c>
      <x:c r="AD792" s="36" t="str">
        <x:f>IF(ISNUMBER(Y792),ROUND(Y792*0.8,2),"")</x:f>
      </x:c>
      <x:c r="AE792" s="36" t="str">
        <x:f>IF(ISNUMBER(AD792),ROUND(AD792*0.015+0.2,2),"")</x:f>
      </x:c>
      <x:c r="AF792" s="36" t="str">
        <x:f>IF(ISNUMBER(AD792),ROUND(AD792-AE792-V792,2),"")</x:f>
      </x:c>
      <x:c r="AG792" t="str">
        <x:f>IF(NOT(ISNUMBER(T792)),"PENDING",IF(AF792&gt;0,"PASS","FAIL"))</x:f>
        <x:v>PENDING</x:v>
      </x:c>
      <x:c r="AH792" t="str">
        <x:f>IF(NOT(ISNUMBER(T792)),"Needs supplier cost",IF(K792&lt;&gt;"In stock","Supplier unavailable",IF(AG792&lt;&gt;"PASS","BLOCK - GT loss risk","Commercially protected")))</x:f>
        <x:v>Needs supplier cost</x:v>
      </x:c>
      <x:c r="AI792" t="str">
        <x:v>2026-09-10 Active Sports trade capture</x:v>
      </x:c>
      <x:c r="AJ792" t="str">
        <x:v>Management-only economics. Stripe stress test uses 1.5% + £0.20 standard UK online-card fee; pallet/mix-and-match pricing ignored.</x:v>
      </x:c>
    </x:row>
    <x:row r="793">
      <x:c r="A793" t="str">
        <x:v>Active Sports Nutrition</x:v>
      </x:c>
      <x:c r="B793" t="str">
        <x:v>CNP Professional</x:v>
      </x:c>
      <x:c r="C793" t="str">
        <x:v>Pro Hydrate</x:v>
      </x:c>
      <x:c r="D793" t="str">
        <x:v>Supplements</x:v>
      </x:c>
      <x:c r="E793" t="str">
        <x:v>Hydration</x:v>
      </x:c>
      <x:c r="F793" t="str"/>
      <x:c r="G793" t="str">
        <x:v>300g</x:v>
      </x:c>
      <x:c r="H793" t="str">
        <x:v>Blue Raspberry</x:v>
      </x:c>
      <x:c r="I793" t="str"/>
      <x:c r="J793" t="str">
        <x:v>Unit</x:v>
      </x:c>
      <x:c r="K793" t="str">
        <x:v>In stock</x:v>
      </x:c>
      <x:c r="L793" t="str">
        <x:v>2026-09-08</x:v>
      </x:c>
      <x:c r="M793" t="str"/>
      <x:c r="N793" t="str"/>
      <x:c r="O793" t="str">
        <x:v>https://www.activesportstrade.co.uk/trade-sports-supplements</x:v>
      </x:c>
      <x:c r="P793" t="str">
        <x:v>FREE SHAKER promo removed.</x:v>
      </x:c>
      <x:c r="Q793" t="str"/>
      <x:c r="R793" t="str"/>
      <x:c r="S793" t="str">
        <x:v>Pending genuine supplier/brand image</x:v>
      </x:c>
      <x:c r="T793" s="54"/>
      <x:c r="U793" s="47" t="n">
        <x:v>0.2</x:v>
      </x:c>
      <x:c r="V793" s="54" t="str">
        <x:f>IF(ISNUMBER(T793),T793*(1+U793),"")</x:f>
      </x:c>
      <x:c r="W793" s="47" t="n">
        <x:v>0.3</x:v>
      </x:c>
      <x:c r="X793" s="54" t="str">
        <x:f>IF(ISNUMBER(V793),V793/(1-W793),"")</x:f>
      </x:c>
      <x:c r="Y793" s="55" t="str">
        <x:f>IF(ISNUMBER(X793),ROUNDUP(X793,0),"")</x:f>
      </x:c>
      <x:c r="Z793" t="str">
        <x:f>IF(ISNUMBER(T793),"Cost captured","Awaiting trade cost")</x:f>
        <x:v>Awaiting trade cost</x:v>
      </x:c>
      <x:c r="AB793" s="36" t="str">
        <x:f>IF(ISNUMBER(Y793),ROUND(Y793*0.9,2),"")</x:f>
      </x:c>
      <x:c r="AC793" s="36" t="str">
        <x:f>IF(ISNUMBER(AB793),ROUND(AB793-(AB793*0.015+0.2)-V793,2),"")</x:f>
      </x:c>
      <x:c r="AD793" s="36" t="str">
        <x:f>IF(ISNUMBER(Y793),ROUND(Y793*0.8,2),"")</x:f>
      </x:c>
      <x:c r="AE793" s="36" t="str">
        <x:f>IF(ISNUMBER(AD793),ROUND(AD793*0.015+0.2,2),"")</x:f>
      </x:c>
      <x:c r="AF793" s="36" t="str">
        <x:f>IF(ISNUMBER(AD793),ROUND(AD793-AE793-V793,2),"")</x:f>
      </x:c>
      <x:c r="AG793" t="str">
        <x:f>IF(NOT(ISNUMBER(T793)),"PENDING",IF(AF793&gt;0,"PASS","FAIL"))</x:f>
        <x:v>PENDING</x:v>
      </x:c>
      <x:c r="AH793" t="str">
        <x:f>IF(NOT(ISNUMBER(T793)),"Needs supplier cost",IF(K793&lt;&gt;"In stock","Supplier unavailable",IF(AG793&lt;&gt;"PASS","BLOCK - GT loss risk","Commercially protected")))</x:f>
        <x:v>Needs supplier cost</x:v>
      </x:c>
      <x:c r="AI793" t="str">
        <x:v>2026-09-10 Active Sports trade capture</x:v>
      </x:c>
      <x:c r="AJ793" t="str">
        <x:v>Management-only economics. Stripe stress test uses 1.5% + £0.20 standard UK online-card fee; pallet/mix-and-match pricing ignored.</x:v>
      </x:c>
    </x:row>
    <x:row r="794">
      <x:c r="A794" t="str">
        <x:v>Active Sports Nutrition</x:v>
      </x:c>
      <x:c r="B794" t="str">
        <x:v>CNP Professional</x:v>
      </x:c>
      <x:c r="C794" t="str">
        <x:v>Pro Hydrate</x:v>
      </x:c>
      <x:c r="D794" t="str">
        <x:v>Supplements</x:v>
      </x:c>
      <x:c r="E794" t="str">
        <x:v>Hydration</x:v>
      </x:c>
      <x:c r="F794" t="str"/>
      <x:c r="G794" t="str">
        <x:v>300g</x:v>
      </x:c>
      <x:c r="H794" t="str">
        <x:v>Orange Soda</x:v>
      </x:c>
      <x:c r="I794" t="str"/>
      <x:c r="J794" t="str">
        <x:v>Unit</x:v>
      </x:c>
      <x:c r="K794" t="str">
        <x:v>In stock</x:v>
      </x:c>
      <x:c r="L794" t="str">
        <x:v>2026-09-08</x:v>
      </x:c>
      <x:c r="M794" t="str"/>
      <x:c r="N794" t="str"/>
      <x:c r="O794" t="str">
        <x:v>https://www.activesportstrade.co.uk/trade-sports-supplements</x:v>
      </x:c>
      <x:c r="P794" t="str">
        <x:v>FREE SHAKER promo removed.</x:v>
      </x:c>
      <x:c r="Q794" t="str"/>
      <x:c r="R794" t="str"/>
      <x:c r="S794" t="str">
        <x:v>Pending genuine supplier/brand image</x:v>
      </x:c>
      <x:c r="T794" s="54"/>
      <x:c r="U794" s="47" t="n">
        <x:v>0.2</x:v>
      </x:c>
      <x:c r="V794" s="54" t="str">
        <x:f>IF(ISNUMBER(T794),T794*(1+U794),"")</x:f>
      </x:c>
      <x:c r="W794" s="47" t="n">
        <x:v>0.3</x:v>
      </x:c>
      <x:c r="X794" s="54" t="str">
        <x:f>IF(ISNUMBER(V794),V794/(1-W794),"")</x:f>
      </x:c>
      <x:c r="Y794" s="55" t="str">
        <x:f>IF(ISNUMBER(X794),ROUNDUP(X794,0),"")</x:f>
      </x:c>
      <x:c r="Z794" t="str">
        <x:f>IF(ISNUMBER(T794),"Cost captured","Awaiting trade cost")</x:f>
        <x:v>Awaiting trade cost</x:v>
      </x:c>
      <x:c r="AB794" s="36" t="str">
        <x:f>IF(ISNUMBER(Y794),ROUND(Y794*0.9,2),"")</x:f>
      </x:c>
      <x:c r="AC794" s="36" t="str">
        <x:f>IF(ISNUMBER(AB794),ROUND(AB794-(AB794*0.015+0.2)-V794,2),"")</x:f>
      </x:c>
      <x:c r="AD794" s="36" t="str">
        <x:f>IF(ISNUMBER(Y794),ROUND(Y794*0.8,2),"")</x:f>
      </x:c>
      <x:c r="AE794" s="36" t="str">
        <x:f>IF(ISNUMBER(AD794),ROUND(AD794*0.015+0.2,2),"")</x:f>
      </x:c>
      <x:c r="AF794" s="36" t="str">
        <x:f>IF(ISNUMBER(AD794),ROUND(AD794-AE794-V794,2),"")</x:f>
      </x:c>
      <x:c r="AG794" t="str">
        <x:f>IF(NOT(ISNUMBER(T794)),"PENDING",IF(AF794&gt;0,"PASS","FAIL"))</x:f>
        <x:v>PENDING</x:v>
      </x:c>
      <x:c r="AH794" t="str">
        <x:f>IF(NOT(ISNUMBER(T794)),"Needs supplier cost",IF(K794&lt;&gt;"In stock","Supplier unavailable",IF(AG794&lt;&gt;"PASS","BLOCK - GT loss risk","Commercially protected")))</x:f>
        <x:v>Needs supplier cost</x:v>
      </x:c>
      <x:c r="AI794" t="str">
        <x:v>2026-09-10 Active Sports trade capture</x:v>
      </x:c>
      <x:c r="AJ794" t="str">
        <x:v>Management-only economics. Stripe stress test uses 1.5% + £0.20 standard UK online-card fee; pallet/mix-and-match pricing ignored.</x:v>
      </x:c>
    </x:row>
    <x:row r="795">
      <x:c r="A795" t="str">
        <x:v>Active Sports Nutrition</x:v>
      </x:c>
      <x:c r="B795" t="str">
        <x:v>CNP Professional</x:v>
      </x:c>
      <x:c r="C795" t="str">
        <x:v>Pro Hydrate</x:v>
      </x:c>
      <x:c r="D795" t="str">
        <x:v>Supplements</x:v>
      </x:c>
      <x:c r="E795" t="str">
        <x:v>Hydration</x:v>
      </x:c>
      <x:c r="F795" t="str"/>
      <x:c r="G795" t="str">
        <x:v>300g</x:v>
      </x:c>
      <x:c r="H795" t="str">
        <x:v>Peach Rings</x:v>
      </x:c>
      <x:c r="I795" t="str"/>
      <x:c r="J795" t="str">
        <x:v>Unit</x:v>
      </x:c>
      <x:c r="K795" t="str">
        <x:v>In stock</x:v>
      </x:c>
      <x:c r="L795" t="str">
        <x:v>2026-09-08</x:v>
      </x:c>
      <x:c r="M795" t="str"/>
      <x:c r="N795" t="str"/>
      <x:c r="O795" t="str">
        <x:v>https://www.activesportstrade.co.uk/trade-sports-supplements</x:v>
      </x:c>
      <x:c r="P795" t="str">
        <x:v>FREE SHAKER promo removed.</x:v>
      </x:c>
      <x:c r="Q795" t="str"/>
      <x:c r="R795" t="str"/>
      <x:c r="S795" t="str">
        <x:v>Pending genuine supplier/brand image</x:v>
      </x:c>
      <x:c r="T795" s="54"/>
      <x:c r="U795" s="47" t="n">
        <x:v>0.2</x:v>
      </x:c>
      <x:c r="V795" s="54" t="str">
        <x:f>IF(ISNUMBER(T795),T795*(1+U795),"")</x:f>
      </x:c>
      <x:c r="W795" s="47" t="n">
        <x:v>0.3</x:v>
      </x:c>
      <x:c r="X795" s="54" t="str">
        <x:f>IF(ISNUMBER(V795),V795/(1-W795),"")</x:f>
      </x:c>
      <x:c r="Y795" s="55" t="str">
        <x:f>IF(ISNUMBER(X795),ROUNDUP(X795,0),"")</x:f>
      </x:c>
      <x:c r="Z795" t="str">
        <x:f>IF(ISNUMBER(T795),"Cost captured","Awaiting trade cost")</x:f>
        <x:v>Awaiting trade cost</x:v>
      </x:c>
      <x:c r="AB795" s="36" t="str">
        <x:f>IF(ISNUMBER(Y795),ROUND(Y795*0.9,2),"")</x:f>
      </x:c>
      <x:c r="AC795" s="36" t="str">
        <x:f>IF(ISNUMBER(AB795),ROUND(AB795-(AB795*0.015+0.2)-V795,2),"")</x:f>
      </x:c>
      <x:c r="AD795" s="36" t="str">
        <x:f>IF(ISNUMBER(Y795),ROUND(Y795*0.8,2),"")</x:f>
      </x:c>
      <x:c r="AE795" s="36" t="str">
        <x:f>IF(ISNUMBER(AD795),ROUND(AD795*0.015+0.2,2),"")</x:f>
      </x:c>
      <x:c r="AF795" s="36" t="str">
        <x:f>IF(ISNUMBER(AD795),ROUND(AD795-AE795-V795,2),"")</x:f>
      </x:c>
      <x:c r="AG795" t="str">
        <x:f>IF(NOT(ISNUMBER(T795)),"PENDING",IF(AF795&gt;0,"PASS","FAIL"))</x:f>
        <x:v>PENDING</x:v>
      </x:c>
      <x:c r="AH795" t="str">
        <x:f>IF(NOT(ISNUMBER(T795)),"Needs supplier cost",IF(K795&lt;&gt;"In stock","Supplier unavailable",IF(AG795&lt;&gt;"PASS","BLOCK - GT loss risk","Commercially protected")))</x:f>
        <x:v>Needs supplier cost</x:v>
      </x:c>
      <x:c r="AI795" t="str">
        <x:v>2026-09-10 Active Sports trade capture</x:v>
      </x:c>
      <x:c r="AJ795" t="str">
        <x:v>Management-only economics. Stripe stress test uses 1.5% + £0.20 standard UK online-card fee; pallet/mix-and-match pricing ignored.</x:v>
      </x:c>
    </x:row>
    <x:row r="796">
      <x:c r="A796" t="str">
        <x:v>Active Sports Nutrition</x:v>
      </x:c>
      <x:c r="B796" t="str">
        <x:v>CNP Professional</x:v>
      </x:c>
      <x:c r="C796" t="str">
        <x:v>Pro Hydrate</x:v>
      </x:c>
      <x:c r="D796" t="str">
        <x:v>Supplements</x:v>
      </x:c>
      <x:c r="E796" t="str">
        <x:v>Hydration</x:v>
      </x:c>
      <x:c r="F796" t="str"/>
      <x:c r="G796" t="str">
        <x:v>300g</x:v>
      </x:c>
      <x:c r="H796" t="str">
        <x:v>Strawberry Laces</x:v>
      </x:c>
      <x:c r="I796" t="str"/>
      <x:c r="J796" t="str">
        <x:v>Unit</x:v>
      </x:c>
      <x:c r="K796" t="str">
        <x:v>In stock</x:v>
      </x:c>
      <x:c r="L796" t="str">
        <x:v>2026-09-08</x:v>
      </x:c>
      <x:c r="M796" t="str"/>
      <x:c r="N796" t="str"/>
      <x:c r="O796" t="str">
        <x:v>https://www.activesportstrade.co.uk/trade-sports-supplements</x:v>
      </x:c>
      <x:c r="P796" t="str">
        <x:v>FREE SHAKER promo removed.</x:v>
      </x:c>
      <x:c r="Q796" t="str"/>
      <x:c r="R796" t="str"/>
      <x:c r="S796" t="str">
        <x:v>Pending genuine supplier/brand image</x:v>
      </x:c>
      <x:c r="T796" s="54"/>
      <x:c r="U796" s="47" t="n">
        <x:v>0.2</x:v>
      </x:c>
      <x:c r="V796" s="54" t="str">
        <x:f>IF(ISNUMBER(T796),T796*(1+U796),"")</x:f>
      </x:c>
      <x:c r="W796" s="47" t="n">
        <x:v>0.3</x:v>
      </x:c>
      <x:c r="X796" s="54" t="str">
        <x:f>IF(ISNUMBER(V796),V796/(1-W796),"")</x:f>
      </x:c>
      <x:c r="Y796" s="55" t="str">
        <x:f>IF(ISNUMBER(X796),ROUNDUP(X796,0),"")</x:f>
      </x:c>
      <x:c r="Z796" t="str">
        <x:f>IF(ISNUMBER(T796),"Cost captured","Awaiting trade cost")</x:f>
        <x:v>Awaiting trade cost</x:v>
      </x:c>
      <x:c r="AB796" s="36" t="str">
        <x:f>IF(ISNUMBER(Y796),ROUND(Y796*0.9,2),"")</x:f>
      </x:c>
      <x:c r="AC796" s="36" t="str">
        <x:f>IF(ISNUMBER(AB796),ROUND(AB796-(AB796*0.015+0.2)-V796,2),"")</x:f>
      </x:c>
      <x:c r="AD796" s="36" t="str">
        <x:f>IF(ISNUMBER(Y796),ROUND(Y796*0.8,2),"")</x:f>
      </x:c>
      <x:c r="AE796" s="36" t="str">
        <x:f>IF(ISNUMBER(AD796),ROUND(AD796*0.015+0.2,2),"")</x:f>
      </x:c>
      <x:c r="AF796" s="36" t="str">
        <x:f>IF(ISNUMBER(AD796),ROUND(AD796-AE796-V796,2),"")</x:f>
      </x:c>
      <x:c r="AG796" t="str">
        <x:f>IF(NOT(ISNUMBER(T796)),"PENDING",IF(AF796&gt;0,"PASS","FAIL"))</x:f>
        <x:v>PENDING</x:v>
      </x:c>
      <x:c r="AH796" t="str">
        <x:f>IF(NOT(ISNUMBER(T796)),"Needs supplier cost",IF(K796&lt;&gt;"In stock","Supplier unavailable",IF(AG796&lt;&gt;"PASS","BLOCK - GT loss risk","Commercially protected")))</x:f>
        <x:v>Needs supplier cost</x:v>
      </x:c>
      <x:c r="AI796" t="str">
        <x:v>2026-09-10 Active Sports trade capture</x:v>
      </x:c>
      <x:c r="AJ796" t="str">
        <x:v>Management-only economics. Stripe stress test uses 1.5% + £0.20 standard UK online-card fee; pallet/mix-and-match pricing ignored.</x:v>
      </x:c>
    </x:row>
    <x:row r="797">
      <x:c r="A797" t="str">
        <x:v>Active Sports Nutrition</x:v>
      </x:c>
      <x:c r="B797" t="str">
        <x:v>CNP Professional</x:v>
      </x:c>
      <x:c r="C797" t="str">
        <x:v>Pro Hydrate</x:v>
      </x:c>
      <x:c r="D797" t="str">
        <x:v>Supplements</x:v>
      </x:c>
      <x:c r="E797" t="str">
        <x:v>Hydration</x:v>
      </x:c>
      <x:c r="F797" t="str"/>
      <x:c r="G797" t="str">
        <x:v>300g</x:v>
      </x:c>
      <x:c r="H797" t="str">
        <x:v>Watermelon Candy</x:v>
      </x:c>
      <x:c r="I797" t="str"/>
      <x:c r="J797" t="str">
        <x:v>Unit</x:v>
      </x:c>
      <x:c r="K797" t="str">
        <x:v>In stock</x:v>
      </x:c>
      <x:c r="L797" t="str">
        <x:v>2026-09-08</x:v>
      </x:c>
      <x:c r="M797" t="str"/>
      <x:c r="N797" t="str"/>
      <x:c r="O797" t="str">
        <x:v>https://www.activesportstrade.co.uk/trade-sports-supplements</x:v>
      </x:c>
      <x:c r="P797" t="str">
        <x:v>FREE SHAKER promo removed.</x:v>
      </x:c>
      <x:c r="Q797" t="str"/>
      <x:c r="R797" t="str"/>
      <x:c r="S797" t="str">
        <x:v>Pending genuine supplier/brand image</x:v>
      </x:c>
      <x:c r="T797" s="54"/>
      <x:c r="U797" s="47" t="n">
        <x:v>0.2</x:v>
      </x:c>
      <x:c r="V797" s="54" t="str">
        <x:f>IF(ISNUMBER(T797),T797*(1+U797),"")</x:f>
      </x:c>
      <x:c r="W797" s="47" t="n">
        <x:v>0.3</x:v>
      </x:c>
      <x:c r="X797" s="54" t="str">
        <x:f>IF(ISNUMBER(V797),V797/(1-W797),"")</x:f>
      </x:c>
      <x:c r="Y797" s="55" t="str">
        <x:f>IF(ISNUMBER(X797),ROUNDUP(X797,0),"")</x:f>
      </x:c>
      <x:c r="Z797" t="str">
        <x:f>IF(ISNUMBER(T797),"Cost captured","Awaiting trade cost")</x:f>
        <x:v>Awaiting trade cost</x:v>
      </x:c>
      <x:c r="AB797" s="36" t="str">
        <x:f>IF(ISNUMBER(Y797),ROUND(Y797*0.9,2),"")</x:f>
      </x:c>
      <x:c r="AC797" s="36" t="str">
        <x:f>IF(ISNUMBER(AB797),ROUND(AB797-(AB797*0.015+0.2)-V797,2),"")</x:f>
      </x:c>
      <x:c r="AD797" s="36" t="str">
        <x:f>IF(ISNUMBER(Y797),ROUND(Y797*0.8,2),"")</x:f>
      </x:c>
      <x:c r="AE797" s="36" t="str">
        <x:f>IF(ISNUMBER(AD797),ROUND(AD797*0.015+0.2,2),"")</x:f>
      </x:c>
      <x:c r="AF797" s="36" t="str">
        <x:f>IF(ISNUMBER(AD797),ROUND(AD797-AE797-V797,2),"")</x:f>
      </x:c>
      <x:c r="AG797" t="str">
        <x:f>IF(NOT(ISNUMBER(T797)),"PENDING",IF(AF797&gt;0,"PASS","FAIL"))</x:f>
        <x:v>PENDING</x:v>
      </x:c>
      <x:c r="AH797" t="str">
        <x:f>IF(NOT(ISNUMBER(T797)),"Needs supplier cost",IF(K797&lt;&gt;"In stock","Supplier unavailable",IF(AG797&lt;&gt;"PASS","BLOCK - GT loss risk","Commercially protected")))</x:f>
        <x:v>Needs supplier cost</x:v>
      </x:c>
      <x:c r="AI797" t="str">
        <x:v>2026-09-10 Active Sports trade capture</x:v>
      </x:c>
      <x:c r="AJ797" t="str">
        <x:v>Management-only economics. Stripe stress test uses 1.5% + £0.20 standard UK online-card fee; pallet/mix-and-match pricing ignored.</x:v>
      </x:c>
    </x:row>
    <x:row r="798">
      <x:c r="A798" t="str">
        <x:v>Active Sports Nutrition</x:v>
      </x:c>
      <x:c r="B798" t="str">
        <x:v>CNP Professional</x:v>
      </x:c>
      <x:c r="C798" t="str">
        <x:v>Pro Mass</x:v>
      </x:c>
      <x:c r="D798" t="str">
        <x:v>Supplements</x:v>
      </x:c>
      <x:c r="E798" t="str">
        <x:v>Weight Gainers</x:v>
      </x:c>
      <x:c r="F798" t="str"/>
      <x:c r="G798" t="str">
        <x:v>4.8kg</x:v>
      </x:c>
      <x:c r="H798" t="str">
        <x:v>Banana</x:v>
      </x:c>
      <x:c r="I798" t="str"/>
      <x:c r="J798" t="str">
        <x:v>Unit</x:v>
      </x:c>
      <x:c r="K798" t="str">
        <x:v>Out of stock</x:v>
      </x:c>
      <x:c r="L798" t="str">
        <x:v>2026-09-08</x:v>
      </x:c>
      <x:c r="M798" t="str"/>
      <x:c r="N798" t="str"/>
      <x:c r="O798" t="str">
        <x:v>https://www.activesportstrade.co.uk/trade-sports-supplements</x:v>
      </x:c>
      <x:c r="P798" t="str">
        <x:v>FREE MULTI VITAMIN promo removed.</x:v>
      </x:c>
      <x:c r="Q798" t="str"/>
      <x:c r="R798" t="str"/>
      <x:c r="S798" t="str">
        <x:v>Pending genuine supplier/brand image</x:v>
      </x:c>
      <x:c r="T798" s="54"/>
      <x:c r="U798" s="47" t="n">
        <x:v>0.2</x:v>
      </x:c>
      <x:c r="V798" s="54" t="str">
        <x:f>IF(ISNUMBER(T798),T798*(1+U798),"")</x:f>
      </x:c>
      <x:c r="W798" s="47" t="n">
        <x:v>0.3</x:v>
      </x:c>
      <x:c r="X798" s="54" t="str">
        <x:f>IF(ISNUMBER(V798),V798/(1-W798),"")</x:f>
      </x:c>
      <x:c r="Y798" s="55" t="str">
        <x:f>IF(ISNUMBER(X798),ROUNDUP(X798,0),"")</x:f>
      </x:c>
      <x:c r="Z798" t="str">
        <x:f>IF(ISNUMBER(T798),"Cost captured","Awaiting trade cost")</x:f>
        <x:v>Awaiting trade cost</x:v>
      </x:c>
      <x:c r="AB798" s="36" t="str">
        <x:f>IF(ISNUMBER(Y798),ROUND(Y798*0.9,2),"")</x:f>
      </x:c>
      <x:c r="AC798" s="36" t="str">
        <x:f>IF(ISNUMBER(AB798),ROUND(AB798-(AB798*0.015+0.2)-V798,2),"")</x:f>
      </x:c>
      <x:c r="AD798" s="36" t="str">
        <x:f>IF(ISNUMBER(Y798),ROUND(Y798*0.8,2),"")</x:f>
      </x:c>
      <x:c r="AE798" s="36" t="str">
        <x:f>IF(ISNUMBER(AD798),ROUND(AD798*0.015+0.2,2),"")</x:f>
      </x:c>
      <x:c r="AF798" s="36" t="str">
        <x:f>IF(ISNUMBER(AD798),ROUND(AD798-AE798-V798,2),"")</x:f>
      </x:c>
      <x:c r="AG798" t="str">
        <x:f>IF(NOT(ISNUMBER(T798)),"PENDING",IF(AF798&gt;0,"PASS","FAIL"))</x:f>
        <x:v>PENDING</x:v>
      </x:c>
      <x:c r="AH798" t="str">
        <x:f>IF(NOT(ISNUMBER(T798)),"Needs supplier cost",IF(K798&lt;&gt;"In stock","Supplier unavailable",IF(AG798&lt;&gt;"PASS","BLOCK - GT loss risk","Commercially protected")))</x:f>
        <x:v>Needs supplier cost</x:v>
      </x:c>
      <x:c r="AI798" t="str">
        <x:v>2026-09-10 Active Sports trade capture</x:v>
      </x:c>
      <x:c r="AJ798" t="str">
        <x:v>Management-only economics. Stripe stress test uses 1.5% + £0.20 standard UK online-card fee; pallet/mix-and-match pricing ignored.</x:v>
      </x:c>
    </x:row>
    <x:row r="799">
      <x:c r="A799" t="str">
        <x:v>Active Sports Nutrition</x:v>
      </x:c>
      <x:c r="B799" t="str">
        <x:v>CNP Professional</x:v>
      </x:c>
      <x:c r="C799" t="str">
        <x:v>Pro Mass</x:v>
      </x:c>
      <x:c r="D799" t="str">
        <x:v>Supplements</x:v>
      </x:c>
      <x:c r="E799" t="str">
        <x:v>Weight Gainers</x:v>
      </x:c>
      <x:c r="F799" t="str"/>
      <x:c r="G799" t="str">
        <x:v>4.8kg</x:v>
      </x:c>
      <x:c r="H799" t="str">
        <x:v>Chocolate</x:v>
      </x:c>
      <x:c r="I799" t="str"/>
      <x:c r="J799" t="str">
        <x:v>Unit</x:v>
      </x:c>
      <x:c r="K799" t="str">
        <x:v>In stock</x:v>
      </x:c>
      <x:c r="L799" t="str">
        <x:v>2026-09-08</x:v>
      </x:c>
      <x:c r="M799" t="str"/>
      <x:c r="N799" t="str"/>
      <x:c r="O799" t="str">
        <x:v>https://www.activesportstrade.co.uk/trade-sports-supplements</x:v>
      </x:c>
      <x:c r="P799" t="str">
        <x:v>FREE MULTI VITAMIN promo removed.</x:v>
      </x:c>
      <x:c r="Q799" t="str"/>
      <x:c r="R799" t="str"/>
      <x:c r="S799" t="str">
        <x:v>Pending genuine supplier/brand image</x:v>
      </x:c>
      <x:c r="T799" s="54"/>
      <x:c r="U799" s="47" t="n">
        <x:v>0.2</x:v>
      </x:c>
      <x:c r="V799" s="54" t="str">
        <x:f>IF(ISNUMBER(T799),T799*(1+U799),"")</x:f>
      </x:c>
      <x:c r="W799" s="47" t="n">
        <x:v>0.3</x:v>
      </x:c>
      <x:c r="X799" s="54" t="str">
        <x:f>IF(ISNUMBER(V799),V799/(1-W799),"")</x:f>
      </x:c>
      <x:c r="Y799" s="55" t="str">
        <x:f>IF(ISNUMBER(X799),ROUNDUP(X799,0),"")</x:f>
      </x:c>
      <x:c r="Z799" t="str">
        <x:f>IF(ISNUMBER(T799),"Cost captured","Awaiting trade cost")</x:f>
        <x:v>Awaiting trade cost</x:v>
      </x:c>
      <x:c r="AB799" s="36" t="str">
        <x:f>IF(ISNUMBER(Y799),ROUND(Y799*0.9,2),"")</x:f>
      </x:c>
      <x:c r="AC799" s="36" t="str">
        <x:f>IF(ISNUMBER(AB799),ROUND(AB799-(AB799*0.015+0.2)-V799,2),"")</x:f>
      </x:c>
      <x:c r="AD799" s="36" t="str">
        <x:f>IF(ISNUMBER(Y799),ROUND(Y799*0.8,2),"")</x:f>
      </x:c>
      <x:c r="AE799" s="36" t="str">
        <x:f>IF(ISNUMBER(AD799),ROUND(AD799*0.015+0.2,2),"")</x:f>
      </x:c>
      <x:c r="AF799" s="36" t="str">
        <x:f>IF(ISNUMBER(AD799),ROUND(AD799-AE799-V799,2),"")</x:f>
      </x:c>
      <x:c r="AG799" t="str">
        <x:f>IF(NOT(ISNUMBER(T799)),"PENDING",IF(AF799&gt;0,"PASS","FAIL"))</x:f>
        <x:v>PENDING</x:v>
      </x:c>
      <x:c r="AH799" t="str">
        <x:f>IF(NOT(ISNUMBER(T799)),"Needs supplier cost",IF(K799&lt;&gt;"In stock","Supplier unavailable",IF(AG799&lt;&gt;"PASS","BLOCK - GT loss risk","Commercially protected")))</x:f>
        <x:v>Needs supplier cost</x:v>
      </x:c>
      <x:c r="AI799" t="str">
        <x:v>2026-09-10 Active Sports trade capture</x:v>
      </x:c>
      <x:c r="AJ799" t="str">
        <x:v>Management-only economics. Stripe stress test uses 1.5% + £0.20 standard UK online-card fee; pallet/mix-and-match pricing ignored.</x:v>
      </x:c>
    </x:row>
    <x:row r="800">
      <x:c r="A800" t="str">
        <x:v>Active Sports Nutrition</x:v>
      </x:c>
      <x:c r="B800" t="str">
        <x:v>CNP Professional</x:v>
      </x:c>
      <x:c r="C800" t="str">
        <x:v>Pro Mass</x:v>
      </x:c>
      <x:c r="D800" t="str">
        <x:v>Supplements</x:v>
      </x:c>
      <x:c r="E800" t="str">
        <x:v>Weight Gainers</x:v>
      </x:c>
      <x:c r="F800" t="str"/>
      <x:c r="G800" t="str">
        <x:v>4.8kg</x:v>
      </x:c>
      <x:c r="H800" t="str">
        <x:v>Strawberry</x:v>
      </x:c>
      <x:c r="I800" t="str"/>
      <x:c r="J800" t="str">
        <x:v>Unit</x:v>
      </x:c>
      <x:c r="K800" t="str">
        <x:v>In stock</x:v>
      </x:c>
      <x:c r="L800" t="str">
        <x:v>2026-09-08</x:v>
      </x:c>
      <x:c r="M800" t="str"/>
      <x:c r="N800" t="str"/>
      <x:c r="O800" t="str">
        <x:v>https://www.activesportstrade.co.uk/trade-sports-supplements</x:v>
      </x:c>
      <x:c r="P800" t="str">
        <x:v>FREE MULTI VITAMIN promo removed.</x:v>
      </x:c>
      <x:c r="Q800" t="str"/>
      <x:c r="R800" t="str"/>
      <x:c r="S800" t="str">
        <x:v>Pending genuine supplier/brand image</x:v>
      </x:c>
      <x:c r="T800" s="54"/>
      <x:c r="U800" s="47" t="n">
        <x:v>0.2</x:v>
      </x:c>
      <x:c r="V800" s="54" t="str">
        <x:f>IF(ISNUMBER(T800),T800*(1+U800),"")</x:f>
      </x:c>
      <x:c r="W800" s="47" t="n">
        <x:v>0.3</x:v>
      </x:c>
      <x:c r="X800" s="54" t="str">
        <x:f>IF(ISNUMBER(V800),V800/(1-W800),"")</x:f>
      </x:c>
      <x:c r="Y800" s="55" t="str">
        <x:f>IF(ISNUMBER(X800),ROUNDUP(X800,0),"")</x:f>
      </x:c>
      <x:c r="Z800" t="str">
        <x:f>IF(ISNUMBER(T800),"Cost captured","Awaiting trade cost")</x:f>
        <x:v>Awaiting trade cost</x:v>
      </x:c>
      <x:c r="AB800" s="36" t="str">
        <x:f>IF(ISNUMBER(Y800),ROUND(Y800*0.9,2),"")</x:f>
      </x:c>
      <x:c r="AC800" s="36" t="str">
        <x:f>IF(ISNUMBER(AB800),ROUND(AB800-(AB800*0.015+0.2)-V800,2),"")</x:f>
      </x:c>
      <x:c r="AD800" s="36" t="str">
        <x:f>IF(ISNUMBER(Y800),ROUND(Y800*0.8,2),"")</x:f>
      </x:c>
      <x:c r="AE800" s="36" t="str">
        <x:f>IF(ISNUMBER(AD800),ROUND(AD800*0.015+0.2,2),"")</x:f>
      </x:c>
      <x:c r="AF800" s="36" t="str">
        <x:f>IF(ISNUMBER(AD800),ROUND(AD800-AE800-V800,2),"")</x:f>
      </x:c>
      <x:c r="AG800" t="str">
        <x:f>IF(NOT(ISNUMBER(T800)),"PENDING",IF(AF800&gt;0,"PASS","FAIL"))</x:f>
        <x:v>PENDING</x:v>
      </x:c>
      <x:c r="AH800" t="str">
        <x:f>IF(NOT(ISNUMBER(T800)),"Needs supplier cost",IF(K800&lt;&gt;"In stock","Supplier unavailable",IF(AG800&lt;&gt;"PASS","BLOCK - GT loss risk","Commercially protected")))</x:f>
        <x:v>Needs supplier cost</x:v>
      </x:c>
      <x:c r="AI800" t="str">
        <x:v>2026-09-10 Active Sports trade capture</x:v>
      </x:c>
      <x:c r="AJ800" t="str">
        <x:v>Management-only economics. Stripe stress test uses 1.5% + £0.20 standard UK online-card fee; pallet/mix-and-match pricing ignored.</x:v>
      </x:c>
    </x:row>
    <x:row r="801">
      <x:c r="A801" t="str">
        <x:v>Active Sports Nutrition</x:v>
      </x:c>
      <x:c r="B801" t="str">
        <x:v>CNP Professional</x:v>
      </x:c>
      <x:c r="C801" t="str">
        <x:v>Pro Mass</x:v>
      </x:c>
      <x:c r="D801" t="str">
        <x:v>Supplements</x:v>
      </x:c>
      <x:c r="E801" t="str">
        <x:v>Weight Gainers</x:v>
      </x:c>
      <x:c r="F801" t="str"/>
      <x:c r="G801" t="str">
        <x:v>4.8kg</x:v>
      </x:c>
      <x:c r="H801" t="str">
        <x:v>Vanilla</x:v>
      </x:c>
      <x:c r="I801" t="str"/>
      <x:c r="J801" t="str">
        <x:v>Unit</x:v>
      </x:c>
      <x:c r="K801" t="str">
        <x:v>In stock</x:v>
      </x:c>
      <x:c r="L801" t="str">
        <x:v>2026-09-08</x:v>
      </x:c>
      <x:c r="M801" t="str"/>
      <x:c r="N801" t="str"/>
      <x:c r="O801" t="str">
        <x:v>https://www.activesportstrade.co.uk/trade-sports-supplements</x:v>
      </x:c>
      <x:c r="P801" t="str">
        <x:v>FREE MULTI VITAMIN promo removed.</x:v>
      </x:c>
      <x:c r="Q801" t="str"/>
      <x:c r="R801" t="str"/>
      <x:c r="S801" t="str">
        <x:v>Pending genuine supplier/brand image</x:v>
      </x:c>
      <x:c r="T801" s="54"/>
      <x:c r="U801" s="47" t="n">
        <x:v>0.2</x:v>
      </x:c>
      <x:c r="V801" s="54" t="str">
        <x:f>IF(ISNUMBER(T801),T801*(1+U801),"")</x:f>
      </x:c>
      <x:c r="W801" s="47" t="n">
        <x:v>0.3</x:v>
      </x:c>
      <x:c r="X801" s="54" t="str">
        <x:f>IF(ISNUMBER(V801),V801/(1-W801),"")</x:f>
      </x:c>
      <x:c r="Y801" s="55" t="str">
        <x:f>IF(ISNUMBER(X801),ROUNDUP(X801,0),"")</x:f>
      </x:c>
      <x:c r="Z801" t="str">
        <x:f>IF(ISNUMBER(T801),"Cost captured","Awaiting trade cost")</x:f>
        <x:v>Awaiting trade cost</x:v>
      </x:c>
      <x:c r="AB801" s="36" t="str">
        <x:f>IF(ISNUMBER(Y801),ROUND(Y801*0.9,2),"")</x:f>
      </x:c>
      <x:c r="AC801" s="36" t="str">
        <x:f>IF(ISNUMBER(AB801),ROUND(AB801-(AB801*0.015+0.2)-V801,2),"")</x:f>
      </x:c>
      <x:c r="AD801" s="36" t="str">
        <x:f>IF(ISNUMBER(Y801),ROUND(Y801*0.8,2),"")</x:f>
      </x:c>
      <x:c r="AE801" s="36" t="str">
        <x:f>IF(ISNUMBER(AD801),ROUND(AD801*0.015+0.2,2),"")</x:f>
      </x:c>
      <x:c r="AF801" s="36" t="str">
        <x:f>IF(ISNUMBER(AD801),ROUND(AD801-AE801-V801,2),"")</x:f>
      </x:c>
      <x:c r="AG801" t="str">
        <x:f>IF(NOT(ISNUMBER(T801)),"PENDING",IF(AF801&gt;0,"PASS","FAIL"))</x:f>
        <x:v>PENDING</x:v>
      </x:c>
      <x:c r="AH801" t="str">
        <x:f>IF(NOT(ISNUMBER(T801)),"Needs supplier cost",IF(K801&lt;&gt;"In stock","Supplier unavailable",IF(AG801&lt;&gt;"PASS","BLOCK - GT loss risk","Commercially protected")))</x:f>
        <x:v>Needs supplier cost</x:v>
      </x:c>
      <x:c r="AI801" t="str">
        <x:v>2026-09-10 Active Sports trade capture</x:v>
      </x:c>
      <x:c r="AJ801" t="str">
        <x:v>Management-only economics. Stripe stress test uses 1.5% + £0.20 standard UK online-card fee; pallet/mix-and-match pricing ignored.</x:v>
      </x:c>
    </x:row>
    <x:row r="802">
      <x:c r="A802" t="str">
        <x:v>Active Sports Nutrition</x:v>
      </x:c>
      <x:c r="B802" t="str">
        <x:v>CNP Professional</x:v>
      </x:c>
      <x:c r="C802" t="str">
        <x:v>Pro Peptide</x:v>
      </x:c>
      <x:c r="D802" t="str">
        <x:v>Supplements</x:v>
      </x:c>
      <x:c r="E802" t="str">
        <x:v>Protein Blends</x:v>
      </x:c>
      <x:c r="F802" t="str"/>
      <x:c r="G802" t="str">
        <x:v>2.27kg</x:v>
      </x:c>
      <x:c r="H802" t="str">
        <x:v>Banana</x:v>
      </x:c>
      <x:c r="I802" t="str"/>
      <x:c r="J802" t="str">
        <x:v>Unit</x:v>
      </x:c>
      <x:c r="K802" t="str">
        <x:v>Out of stock</x:v>
      </x:c>
      <x:c r="L802" t="str">
        <x:v>2026-09-08</x:v>
      </x:c>
      <x:c r="M802" t="str"/>
      <x:c r="N802" t="str"/>
      <x:c r="O802" t="str">
        <x:v>https://www.activesportstrade.co.uk/trade-sports-supplements</x:v>
      </x:c>
      <x:c r="P802" t="str">
        <x:v>NEW/FREE CREATINE promo removed.</x:v>
      </x:c>
      <x:c r="Q802" t="str"/>
      <x:c r="R802" t="str"/>
      <x:c r="S802" t="str">
        <x:v>Pending genuine supplier/brand image</x:v>
      </x:c>
      <x:c r="T802" s="54"/>
      <x:c r="U802" s="47" t="n">
        <x:v>0.2</x:v>
      </x:c>
      <x:c r="V802" s="54" t="str">
        <x:f>IF(ISNUMBER(T802),T802*(1+U802),"")</x:f>
      </x:c>
      <x:c r="W802" s="47" t="n">
        <x:v>0.3</x:v>
      </x:c>
      <x:c r="X802" s="54" t="str">
        <x:f>IF(ISNUMBER(V802),V802/(1-W802),"")</x:f>
      </x:c>
      <x:c r="Y802" s="55" t="str">
        <x:f>IF(ISNUMBER(X802),ROUNDUP(X802,0),"")</x:f>
      </x:c>
      <x:c r="Z802" t="str">
        <x:f>IF(ISNUMBER(T802),"Cost captured","Awaiting trade cost")</x:f>
        <x:v>Awaiting trade cost</x:v>
      </x:c>
      <x:c r="AB802" s="36" t="str">
        <x:f>IF(ISNUMBER(Y802),ROUND(Y802*0.9,2),"")</x:f>
      </x:c>
      <x:c r="AC802" s="36" t="str">
        <x:f>IF(ISNUMBER(AB802),ROUND(AB802-(AB802*0.015+0.2)-V802,2),"")</x:f>
      </x:c>
      <x:c r="AD802" s="36" t="str">
        <x:f>IF(ISNUMBER(Y802),ROUND(Y802*0.8,2),"")</x:f>
      </x:c>
      <x:c r="AE802" s="36" t="str">
        <x:f>IF(ISNUMBER(AD802),ROUND(AD802*0.015+0.2,2),"")</x:f>
      </x:c>
      <x:c r="AF802" s="36" t="str">
        <x:f>IF(ISNUMBER(AD802),ROUND(AD802-AE802-V802,2),"")</x:f>
      </x:c>
      <x:c r="AG802" t="str">
        <x:f>IF(NOT(ISNUMBER(T802)),"PENDING",IF(AF802&gt;0,"PASS","FAIL"))</x:f>
        <x:v>PENDING</x:v>
      </x:c>
      <x:c r="AH802" t="str">
        <x:f>IF(NOT(ISNUMBER(T802)),"Needs supplier cost",IF(K802&lt;&gt;"In stock","Supplier unavailable",IF(AG802&lt;&gt;"PASS","BLOCK - GT loss risk","Commercially protected")))</x:f>
        <x:v>Needs supplier cost</x:v>
      </x:c>
      <x:c r="AI802" t="str">
        <x:v>2026-09-10 Active Sports trade capture</x:v>
      </x:c>
      <x:c r="AJ802" t="str">
        <x:v>Management-only economics. Stripe stress test uses 1.5% + £0.20 standard UK online-card fee; pallet/mix-and-match pricing ignored.</x:v>
      </x:c>
    </x:row>
    <x:row r="803">
      <x:c r="A803" t="str">
        <x:v>Active Sports Nutrition</x:v>
      </x:c>
      <x:c r="B803" t="str">
        <x:v>CNP Professional</x:v>
      </x:c>
      <x:c r="C803" t="str">
        <x:v>Pro Peptide</x:v>
      </x:c>
      <x:c r="D803" t="str">
        <x:v>Supplements</x:v>
      </x:c>
      <x:c r="E803" t="str">
        <x:v>Protein Blends</x:v>
      </x:c>
      <x:c r="F803" t="str"/>
      <x:c r="G803" t="str">
        <x:v>2.27kg</x:v>
      </x:c>
      <x:c r="H803" t="str">
        <x:v>Chocolate</x:v>
      </x:c>
      <x:c r="I803" t="str"/>
      <x:c r="J803" t="str">
        <x:v>Unit</x:v>
      </x:c>
      <x:c r="K803" t="str">
        <x:v>In stock</x:v>
      </x:c>
      <x:c r="L803" t="str">
        <x:v>2026-09-08</x:v>
      </x:c>
      <x:c r="M803" t="str"/>
      <x:c r="N803" t="str"/>
      <x:c r="O803" t="str">
        <x:v>https://www.activesportstrade.co.uk/trade-sports-supplements</x:v>
      </x:c>
      <x:c r="P803" t="str">
        <x:v>NEW/FREE CREATINE promo removed.</x:v>
      </x:c>
      <x:c r="Q803" t="str"/>
      <x:c r="R803" t="str"/>
      <x:c r="S803" t="str">
        <x:v>Pending genuine supplier/brand image</x:v>
      </x:c>
      <x:c r="T803" s="54"/>
      <x:c r="U803" s="47" t="n">
        <x:v>0.2</x:v>
      </x:c>
      <x:c r="V803" s="54" t="str">
        <x:f>IF(ISNUMBER(T803),T803*(1+U803),"")</x:f>
      </x:c>
      <x:c r="W803" s="47" t="n">
        <x:v>0.3</x:v>
      </x:c>
      <x:c r="X803" s="54" t="str">
        <x:f>IF(ISNUMBER(V803),V803/(1-W803),"")</x:f>
      </x:c>
      <x:c r="Y803" s="55" t="str">
        <x:f>IF(ISNUMBER(X803),ROUNDUP(X803,0),"")</x:f>
      </x:c>
      <x:c r="Z803" t="str">
        <x:f>IF(ISNUMBER(T803),"Cost captured","Awaiting trade cost")</x:f>
        <x:v>Awaiting trade cost</x:v>
      </x:c>
      <x:c r="AB803" s="36" t="str">
        <x:f>IF(ISNUMBER(Y803),ROUND(Y803*0.9,2),"")</x:f>
      </x:c>
      <x:c r="AC803" s="36" t="str">
        <x:f>IF(ISNUMBER(AB803),ROUND(AB803-(AB803*0.015+0.2)-V803,2),"")</x:f>
      </x:c>
      <x:c r="AD803" s="36" t="str">
        <x:f>IF(ISNUMBER(Y803),ROUND(Y803*0.8,2),"")</x:f>
      </x:c>
      <x:c r="AE803" s="36" t="str">
        <x:f>IF(ISNUMBER(AD803),ROUND(AD803*0.015+0.2,2),"")</x:f>
      </x:c>
      <x:c r="AF803" s="36" t="str">
        <x:f>IF(ISNUMBER(AD803),ROUND(AD803-AE803-V803,2),"")</x:f>
      </x:c>
      <x:c r="AG803" t="str">
        <x:f>IF(NOT(ISNUMBER(T803)),"PENDING",IF(AF803&gt;0,"PASS","FAIL"))</x:f>
        <x:v>PENDING</x:v>
      </x:c>
      <x:c r="AH803" t="str">
        <x:f>IF(NOT(ISNUMBER(T803)),"Needs supplier cost",IF(K803&lt;&gt;"In stock","Supplier unavailable",IF(AG803&lt;&gt;"PASS","BLOCK - GT loss risk","Commercially protected")))</x:f>
        <x:v>Needs supplier cost</x:v>
      </x:c>
      <x:c r="AI803" t="str">
        <x:v>2026-09-10 Active Sports trade capture</x:v>
      </x:c>
      <x:c r="AJ803" t="str">
        <x:v>Management-only economics. Stripe stress test uses 1.5% + £0.20 standard UK online-card fee; pallet/mix-and-match pricing ignored.</x:v>
      </x:c>
    </x:row>
    <x:row r="804">
      <x:c r="A804" t="str">
        <x:v>Active Sports Nutrition</x:v>
      </x:c>
      <x:c r="B804" t="str">
        <x:v>CNP Professional</x:v>
      </x:c>
      <x:c r="C804" t="str">
        <x:v>Pro Peptide</x:v>
      </x:c>
      <x:c r="D804" t="str">
        <x:v>Supplements</x:v>
      </x:c>
      <x:c r="E804" t="str">
        <x:v>Protein Blends</x:v>
      </x:c>
      <x:c r="F804" t="str"/>
      <x:c r="G804" t="str">
        <x:v>2.27kg</x:v>
      </x:c>
      <x:c r="H804" t="str">
        <x:v>Chocolate Caramel</x:v>
      </x:c>
      <x:c r="I804" t="str"/>
      <x:c r="J804" t="str">
        <x:v>Unit</x:v>
      </x:c>
      <x:c r="K804" t="str">
        <x:v>Out of stock</x:v>
      </x:c>
      <x:c r="L804" t="str">
        <x:v>2026-09-08</x:v>
      </x:c>
      <x:c r="M804" t="str"/>
      <x:c r="N804" t="str"/>
      <x:c r="O804" t="str">
        <x:v>https://www.activesportstrade.co.uk/trade-sports-supplements</x:v>
      </x:c>
      <x:c r="P804" t="str">
        <x:v>NEW/FREE CREATINE promo removed.</x:v>
      </x:c>
      <x:c r="Q804" t="str"/>
      <x:c r="R804" t="str"/>
      <x:c r="S804" t="str">
        <x:v>Pending genuine supplier/brand image</x:v>
      </x:c>
      <x:c r="T804" s="54"/>
      <x:c r="U804" s="47" t="n">
        <x:v>0.2</x:v>
      </x:c>
      <x:c r="V804" s="54" t="str">
        <x:f>IF(ISNUMBER(T804),T804*(1+U804),"")</x:f>
      </x:c>
      <x:c r="W804" s="47" t="n">
        <x:v>0.3</x:v>
      </x:c>
      <x:c r="X804" s="54" t="str">
        <x:f>IF(ISNUMBER(V804),V804/(1-W804),"")</x:f>
      </x:c>
      <x:c r="Y804" s="55" t="str">
        <x:f>IF(ISNUMBER(X804),ROUNDUP(X804,0),"")</x:f>
      </x:c>
      <x:c r="Z804" t="str">
        <x:f>IF(ISNUMBER(T804),"Cost captured","Awaiting trade cost")</x:f>
        <x:v>Awaiting trade cost</x:v>
      </x:c>
      <x:c r="AB804" s="36" t="str">
        <x:f>IF(ISNUMBER(Y804),ROUND(Y804*0.9,2),"")</x:f>
      </x:c>
      <x:c r="AC804" s="36" t="str">
        <x:f>IF(ISNUMBER(AB804),ROUND(AB804-(AB804*0.015+0.2)-V804,2),"")</x:f>
      </x:c>
      <x:c r="AD804" s="36" t="str">
        <x:f>IF(ISNUMBER(Y804),ROUND(Y804*0.8,2),"")</x:f>
      </x:c>
      <x:c r="AE804" s="36" t="str">
        <x:f>IF(ISNUMBER(AD804),ROUND(AD804*0.015+0.2,2),"")</x:f>
      </x:c>
      <x:c r="AF804" s="36" t="str">
        <x:f>IF(ISNUMBER(AD804),ROUND(AD804-AE804-V804,2),"")</x:f>
      </x:c>
      <x:c r="AG804" t="str">
        <x:f>IF(NOT(ISNUMBER(T804)),"PENDING",IF(AF804&gt;0,"PASS","FAIL"))</x:f>
        <x:v>PENDING</x:v>
      </x:c>
      <x:c r="AH804" t="str">
        <x:f>IF(NOT(ISNUMBER(T804)),"Needs supplier cost",IF(K804&lt;&gt;"In stock","Supplier unavailable",IF(AG804&lt;&gt;"PASS","BLOCK - GT loss risk","Commercially protected")))</x:f>
        <x:v>Needs supplier cost</x:v>
      </x:c>
      <x:c r="AI804" t="str">
        <x:v>2026-09-10 Active Sports trade capture</x:v>
      </x:c>
      <x:c r="AJ804" t="str">
        <x:v>Management-only economics. Stripe stress test uses 1.5% + £0.20 standard UK online-card fee; pallet/mix-and-match pricing ignored.</x:v>
      </x:c>
    </x:row>
    <x:row r="805">
      <x:c r="A805" t="str">
        <x:v>Active Sports Nutrition</x:v>
      </x:c>
      <x:c r="B805" t="str">
        <x:v>CNP Professional</x:v>
      </x:c>
      <x:c r="C805" t="str">
        <x:v>Pro Peptide</x:v>
      </x:c>
      <x:c r="D805" t="str">
        <x:v>Supplements</x:v>
      </x:c>
      <x:c r="E805" t="str">
        <x:v>Protein Blends</x:v>
      </x:c>
      <x:c r="F805" t="str"/>
      <x:c r="G805" t="str">
        <x:v>2.27kg</x:v>
      </x:c>
      <x:c r="H805" t="str">
        <x:v>Strawberry</x:v>
      </x:c>
      <x:c r="I805" t="str"/>
      <x:c r="J805" t="str">
        <x:v>Unit</x:v>
      </x:c>
      <x:c r="K805" t="str">
        <x:v>In stock</x:v>
      </x:c>
      <x:c r="L805" t="str">
        <x:v>2026-09-08</x:v>
      </x:c>
      <x:c r="M805" t="str"/>
      <x:c r="N805" t="str"/>
      <x:c r="O805" t="str">
        <x:v>https://www.activesportstrade.co.uk/trade-sports-supplements</x:v>
      </x:c>
      <x:c r="P805" t="str">
        <x:v>NEW/FREE CREATINE promo removed.</x:v>
      </x:c>
      <x:c r="Q805" t="str"/>
      <x:c r="R805" t="str"/>
      <x:c r="S805" t="str">
        <x:v>Pending genuine supplier/brand image</x:v>
      </x:c>
      <x:c r="T805" s="54"/>
      <x:c r="U805" s="47" t="n">
        <x:v>0.2</x:v>
      </x:c>
      <x:c r="V805" s="54" t="str">
        <x:f>IF(ISNUMBER(T805),T805*(1+U805),"")</x:f>
      </x:c>
      <x:c r="W805" s="47" t="n">
        <x:v>0.3</x:v>
      </x:c>
      <x:c r="X805" s="54" t="str">
        <x:f>IF(ISNUMBER(V805),V805/(1-W805),"")</x:f>
      </x:c>
      <x:c r="Y805" s="55" t="str">
        <x:f>IF(ISNUMBER(X805),ROUNDUP(X805,0),"")</x:f>
      </x:c>
      <x:c r="Z805" t="str">
        <x:f>IF(ISNUMBER(T805),"Cost captured","Awaiting trade cost")</x:f>
        <x:v>Awaiting trade cost</x:v>
      </x:c>
      <x:c r="AB805" s="36" t="str">
        <x:f>IF(ISNUMBER(Y805),ROUND(Y805*0.9,2),"")</x:f>
      </x:c>
      <x:c r="AC805" s="36" t="str">
        <x:f>IF(ISNUMBER(AB805),ROUND(AB805-(AB805*0.015+0.2)-V805,2),"")</x:f>
      </x:c>
      <x:c r="AD805" s="36" t="str">
        <x:f>IF(ISNUMBER(Y805),ROUND(Y805*0.8,2),"")</x:f>
      </x:c>
      <x:c r="AE805" s="36" t="str">
        <x:f>IF(ISNUMBER(AD805),ROUND(AD805*0.015+0.2,2),"")</x:f>
      </x:c>
      <x:c r="AF805" s="36" t="str">
        <x:f>IF(ISNUMBER(AD805),ROUND(AD805-AE805-V805,2),"")</x:f>
      </x:c>
      <x:c r="AG805" t="str">
        <x:f>IF(NOT(ISNUMBER(T805)),"PENDING",IF(AF805&gt;0,"PASS","FAIL"))</x:f>
        <x:v>PENDING</x:v>
      </x:c>
      <x:c r="AH805" t="str">
        <x:f>IF(NOT(ISNUMBER(T805)),"Needs supplier cost",IF(K805&lt;&gt;"In stock","Supplier unavailable",IF(AG805&lt;&gt;"PASS","BLOCK - GT loss risk","Commercially protected")))</x:f>
        <x:v>Needs supplier cost</x:v>
      </x:c>
      <x:c r="AI805" t="str">
        <x:v>2026-09-10 Active Sports trade capture</x:v>
      </x:c>
      <x:c r="AJ805" t="str">
        <x:v>Management-only economics. Stripe stress test uses 1.5% + £0.20 standard UK online-card fee; pallet/mix-and-match pricing ignored.</x:v>
      </x:c>
    </x:row>
    <x:row r="806">
      <x:c r="A806" t="str">
        <x:v>Active Sports Nutrition</x:v>
      </x:c>
      <x:c r="B806" t="str">
        <x:v>CNP Professional</x:v>
      </x:c>
      <x:c r="C806" t="str">
        <x:v>Pro Peptide</x:v>
      </x:c>
      <x:c r="D806" t="str">
        <x:v>Supplements</x:v>
      </x:c>
      <x:c r="E806" t="str">
        <x:v>Protein Blends</x:v>
      </x:c>
      <x:c r="F806" t="str"/>
      <x:c r="G806" t="str">
        <x:v>2.27kg</x:v>
      </x:c>
      <x:c r="H806" t="str">
        <x:v>Vanilla</x:v>
      </x:c>
      <x:c r="I806" t="str"/>
      <x:c r="J806" t="str">
        <x:v>Unit</x:v>
      </x:c>
      <x:c r="K806" t="str">
        <x:v>In stock</x:v>
      </x:c>
      <x:c r="L806" t="str">
        <x:v>2026-09-08</x:v>
      </x:c>
      <x:c r="M806" t="str"/>
      <x:c r="N806" t="str"/>
      <x:c r="O806" t="str">
        <x:v>https://www.activesportstrade.co.uk/trade-sports-supplements</x:v>
      </x:c>
      <x:c r="P806" t="str">
        <x:v>NEW/FREE CREATINE promo removed.</x:v>
      </x:c>
      <x:c r="Q806" t="str"/>
      <x:c r="R806" t="str"/>
      <x:c r="S806" t="str">
        <x:v>Pending genuine supplier/brand image</x:v>
      </x:c>
      <x:c r="T806" s="54"/>
      <x:c r="U806" s="47" t="n">
        <x:v>0.2</x:v>
      </x:c>
      <x:c r="V806" s="54" t="str">
        <x:f>IF(ISNUMBER(T806),T806*(1+U806),"")</x:f>
      </x:c>
      <x:c r="W806" s="47" t="n">
        <x:v>0.3</x:v>
      </x:c>
      <x:c r="X806" s="54" t="str">
        <x:f>IF(ISNUMBER(V806),V806/(1-W806),"")</x:f>
      </x:c>
      <x:c r="Y806" s="55" t="str">
        <x:f>IF(ISNUMBER(X806),ROUNDUP(X806,0),"")</x:f>
      </x:c>
      <x:c r="Z806" t="str">
        <x:f>IF(ISNUMBER(T806),"Cost captured","Awaiting trade cost")</x:f>
        <x:v>Awaiting trade cost</x:v>
      </x:c>
      <x:c r="AB806" s="36" t="str">
        <x:f>IF(ISNUMBER(Y806),ROUND(Y806*0.9,2),"")</x:f>
      </x:c>
      <x:c r="AC806" s="36" t="str">
        <x:f>IF(ISNUMBER(AB806),ROUND(AB806-(AB806*0.015+0.2)-V806,2),"")</x:f>
      </x:c>
      <x:c r="AD806" s="36" t="str">
        <x:f>IF(ISNUMBER(Y806),ROUND(Y806*0.8,2),"")</x:f>
      </x:c>
      <x:c r="AE806" s="36" t="str">
        <x:f>IF(ISNUMBER(AD806),ROUND(AD806*0.015+0.2,2),"")</x:f>
      </x:c>
      <x:c r="AF806" s="36" t="str">
        <x:f>IF(ISNUMBER(AD806),ROUND(AD806-AE806-V806,2),"")</x:f>
      </x:c>
      <x:c r="AG806" t="str">
        <x:f>IF(NOT(ISNUMBER(T806)),"PENDING",IF(AF806&gt;0,"PASS","FAIL"))</x:f>
        <x:v>PENDING</x:v>
      </x:c>
      <x:c r="AH806" t="str">
        <x:f>IF(NOT(ISNUMBER(T806)),"Needs supplier cost",IF(K806&lt;&gt;"In stock","Supplier unavailable",IF(AG806&lt;&gt;"PASS","BLOCK - GT loss risk","Commercially protected")))</x:f>
        <x:v>Needs supplier cost</x:v>
      </x:c>
      <x:c r="AI806" t="str">
        <x:v>2026-09-10 Active Sports trade capture</x:v>
      </x:c>
      <x:c r="AJ806" t="str">
        <x:v>Management-only economics. Stripe stress test uses 1.5% + £0.20 standard UK online-card fee; pallet/mix-and-match pricing ignored.</x:v>
      </x:c>
    </x:row>
    <x:row r="807">
      <x:c r="A807" t="str">
        <x:v>Active Sports Nutrition</x:v>
      </x:c>
      <x:c r="B807" t="str">
        <x:v>CNP Professional</x:v>
      </x:c>
      <x:c r="C807" t="str">
        <x:v>Pro Peptide</x:v>
      </x:c>
      <x:c r="D807" t="str">
        <x:v>Supplements</x:v>
      </x:c>
      <x:c r="E807" t="str">
        <x:v>Protein Blends</x:v>
      </x:c>
      <x:c r="F807" t="str"/>
      <x:c r="G807" t="str">
        <x:v>900g</x:v>
      </x:c>
      <x:c r="H807" t="str">
        <x:v>Banana</x:v>
      </x:c>
      <x:c r="I807" t="str"/>
      <x:c r="J807" t="str">
        <x:v>Unit</x:v>
      </x:c>
      <x:c r="K807" t="str">
        <x:v>In stock</x:v>
      </x:c>
      <x:c r="L807" t="str">
        <x:v>2026-09-08</x:v>
      </x:c>
      <x:c r="M807" t="str"/>
      <x:c r="N807" t="str"/>
      <x:c r="O807" t="str">
        <x:v>https://www.activesportstrade.co.uk/trade-sports-supplements</x:v>
      </x:c>
      <x:c r="P807" t="str">
        <x:v>NEW/FREE MULTI VITAMIN promo removed.</x:v>
      </x:c>
      <x:c r="Q807" t="str"/>
      <x:c r="R807" t="str"/>
      <x:c r="S807" t="str">
        <x:v>Pending genuine supplier/brand image</x:v>
      </x:c>
      <x:c r="T807" s="54"/>
      <x:c r="U807" s="47" t="n">
        <x:v>0.2</x:v>
      </x:c>
      <x:c r="V807" s="54" t="str">
        <x:f>IF(ISNUMBER(T807),T807*(1+U807),"")</x:f>
      </x:c>
      <x:c r="W807" s="47" t="n">
        <x:v>0.3</x:v>
      </x:c>
      <x:c r="X807" s="54" t="str">
        <x:f>IF(ISNUMBER(V807),V807/(1-W807),"")</x:f>
      </x:c>
      <x:c r="Y807" s="55" t="str">
        <x:f>IF(ISNUMBER(X807),ROUNDUP(X807,0),"")</x:f>
      </x:c>
      <x:c r="Z807" t="str">
        <x:f>IF(ISNUMBER(T807),"Cost captured","Awaiting trade cost")</x:f>
        <x:v>Awaiting trade cost</x:v>
      </x:c>
      <x:c r="AB807" s="36" t="str">
        <x:f>IF(ISNUMBER(Y807),ROUND(Y807*0.9,2),"")</x:f>
      </x:c>
      <x:c r="AC807" s="36" t="str">
        <x:f>IF(ISNUMBER(AB807),ROUND(AB807-(AB807*0.015+0.2)-V807,2),"")</x:f>
      </x:c>
      <x:c r="AD807" s="36" t="str">
        <x:f>IF(ISNUMBER(Y807),ROUND(Y807*0.8,2),"")</x:f>
      </x:c>
      <x:c r="AE807" s="36" t="str">
        <x:f>IF(ISNUMBER(AD807),ROUND(AD807*0.015+0.2,2),"")</x:f>
      </x:c>
      <x:c r="AF807" s="36" t="str">
        <x:f>IF(ISNUMBER(AD807),ROUND(AD807-AE807-V807,2),"")</x:f>
      </x:c>
      <x:c r="AG807" t="str">
        <x:f>IF(NOT(ISNUMBER(T807)),"PENDING",IF(AF807&gt;0,"PASS","FAIL"))</x:f>
        <x:v>PENDING</x:v>
      </x:c>
      <x:c r="AH807" t="str">
        <x:f>IF(NOT(ISNUMBER(T807)),"Needs supplier cost",IF(K807&lt;&gt;"In stock","Supplier unavailable",IF(AG807&lt;&gt;"PASS","BLOCK - GT loss risk","Commercially protected")))</x:f>
        <x:v>Needs supplier cost</x:v>
      </x:c>
      <x:c r="AI807" t="str">
        <x:v>2026-09-10 Active Sports trade capture</x:v>
      </x:c>
      <x:c r="AJ807" t="str">
        <x:v>Management-only economics. Stripe stress test uses 1.5% + £0.20 standard UK online-card fee; pallet/mix-and-match pricing ignored.</x:v>
      </x:c>
    </x:row>
    <x:row r="808">
      <x:c r="A808" t="str">
        <x:v>Active Sports Nutrition</x:v>
      </x:c>
      <x:c r="B808" t="str">
        <x:v>CNP Professional</x:v>
      </x:c>
      <x:c r="C808" t="str">
        <x:v>Pro Peptide</x:v>
      </x:c>
      <x:c r="D808" t="str">
        <x:v>Supplements</x:v>
      </x:c>
      <x:c r="E808" t="str">
        <x:v>Protein Blends</x:v>
      </x:c>
      <x:c r="F808" t="str"/>
      <x:c r="G808" t="str">
        <x:v>900g</x:v>
      </x:c>
      <x:c r="H808" t="str">
        <x:v>Chocolate</x:v>
      </x:c>
      <x:c r="I808" t="str"/>
      <x:c r="J808" t="str">
        <x:v>Unit</x:v>
      </x:c>
      <x:c r="K808" t="str">
        <x:v>In stock</x:v>
      </x:c>
      <x:c r="L808" t="str">
        <x:v>2026-09-08</x:v>
      </x:c>
      <x:c r="M808" t="str"/>
      <x:c r="N808" t="str"/>
      <x:c r="O808" t="str">
        <x:v>https://www.activesportstrade.co.uk/trade-sports-supplements</x:v>
      </x:c>
      <x:c r="P808" t="str">
        <x:v>NEW/FREE MULTI VITAMIN promo removed.</x:v>
      </x:c>
      <x:c r="Q808" t="str"/>
      <x:c r="R808" t="str"/>
      <x:c r="S808" t="str">
        <x:v>Pending genuine supplier/brand image</x:v>
      </x:c>
      <x:c r="T808" s="54"/>
      <x:c r="U808" s="47" t="n">
        <x:v>0.2</x:v>
      </x:c>
      <x:c r="V808" s="54" t="str">
        <x:f>IF(ISNUMBER(T808),T808*(1+U808),"")</x:f>
      </x:c>
      <x:c r="W808" s="47" t="n">
        <x:v>0.3</x:v>
      </x:c>
      <x:c r="X808" s="54" t="str">
        <x:f>IF(ISNUMBER(V808),V808/(1-W808),"")</x:f>
      </x:c>
      <x:c r="Y808" s="55" t="str">
        <x:f>IF(ISNUMBER(X808),ROUNDUP(X808,0),"")</x:f>
      </x:c>
      <x:c r="Z808" t="str">
        <x:f>IF(ISNUMBER(T808),"Cost captured","Awaiting trade cost")</x:f>
        <x:v>Awaiting trade cost</x:v>
      </x:c>
      <x:c r="AB808" s="36" t="str">
        <x:f>IF(ISNUMBER(Y808),ROUND(Y808*0.9,2),"")</x:f>
      </x:c>
      <x:c r="AC808" s="36" t="str">
        <x:f>IF(ISNUMBER(AB808),ROUND(AB808-(AB808*0.015+0.2)-V808,2),"")</x:f>
      </x:c>
      <x:c r="AD808" s="36" t="str">
        <x:f>IF(ISNUMBER(Y808),ROUND(Y808*0.8,2),"")</x:f>
      </x:c>
      <x:c r="AE808" s="36" t="str">
        <x:f>IF(ISNUMBER(AD808),ROUND(AD808*0.015+0.2,2),"")</x:f>
      </x:c>
      <x:c r="AF808" s="36" t="str">
        <x:f>IF(ISNUMBER(AD808),ROUND(AD808-AE808-V808,2),"")</x:f>
      </x:c>
      <x:c r="AG808" t="str">
        <x:f>IF(NOT(ISNUMBER(T808)),"PENDING",IF(AF808&gt;0,"PASS","FAIL"))</x:f>
        <x:v>PENDING</x:v>
      </x:c>
      <x:c r="AH808" t="str">
        <x:f>IF(NOT(ISNUMBER(T808)),"Needs supplier cost",IF(K808&lt;&gt;"In stock","Supplier unavailable",IF(AG808&lt;&gt;"PASS","BLOCK - GT loss risk","Commercially protected")))</x:f>
        <x:v>Needs supplier cost</x:v>
      </x:c>
      <x:c r="AI808" t="str">
        <x:v>2026-09-10 Active Sports trade capture</x:v>
      </x:c>
      <x:c r="AJ808" t="str">
        <x:v>Management-only economics. Stripe stress test uses 1.5% + £0.20 standard UK online-card fee; pallet/mix-and-match pricing ignored.</x:v>
      </x:c>
    </x:row>
    <x:row r="809">
      <x:c r="A809" t="str">
        <x:v>Active Sports Nutrition</x:v>
      </x:c>
      <x:c r="B809" t="str">
        <x:v>CNP Professional</x:v>
      </x:c>
      <x:c r="C809" t="str">
        <x:v>Pro Peptide</x:v>
      </x:c>
      <x:c r="D809" t="str">
        <x:v>Supplements</x:v>
      </x:c>
      <x:c r="E809" t="str">
        <x:v>Protein Blends</x:v>
      </x:c>
      <x:c r="F809" t="str"/>
      <x:c r="G809" t="str">
        <x:v>900g</x:v>
      </x:c>
      <x:c r="H809" t="str">
        <x:v>Chocolate Caramel</x:v>
      </x:c>
      <x:c r="I809" t="str"/>
      <x:c r="J809" t="str">
        <x:v>Unit</x:v>
      </x:c>
      <x:c r="K809" t="str">
        <x:v>In stock</x:v>
      </x:c>
      <x:c r="L809" t="str">
        <x:v>2026-09-08</x:v>
      </x:c>
      <x:c r="M809" t="str"/>
      <x:c r="N809" t="str"/>
      <x:c r="O809" t="str">
        <x:v>https://www.activesportstrade.co.uk/trade-sports-supplements</x:v>
      </x:c>
      <x:c r="P809" t="str">
        <x:v>NEW/FREE MULTI VITAMIN promo removed.</x:v>
      </x:c>
      <x:c r="Q809" t="str"/>
      <x:c r="R809" t="str"/>
      <x:c r="S809" t="str">
        <x:v>Pending genuine supplier/brand image</x:v>
      </x:c>
      <x:c r="T809" s="54"/>
      <x:c r="U809" s="47" t="n">
        <x:v>0.2</x:v>
      </x:c>
      <x:c r="V809" s="54" t="str">
        <x:f>IF(ISNUMBER(T809),T809*(1+U809),"")</x:f>
      </x:c>
      <x:c r="W809" s="47" t="n">
        <x:v>0.3</x:v>
      </x:c>
      <x:c r="X809" s="54" t="str">
        <x:f>IF(ISNUMBER(V809),V809/(1-W809),"")</x:f>
      </x:c>
      <x:c r="Y809" s="55" t="str">
        <x:f>IF(ISNUMBER(X809),ROUNDUP(X809,0),"")</x:f>
      </x:c>
      <x:c r="Z809" t="str">
        <x:f>IF(ISNUMBER(T809),"Cost captured","Awaiting trade cost")</x:f>
        <x:v>Awaiting trade cost</x:v>
      </x:c>
      <x:c r="AB809" s="36" t="str">
        <x:f>IF(ISNUMBER(Y809),ROUND(Y809*0.9,2),"")</x:f>
      </x:c>
      <x:c r="AC809" s="36" t="str">
        <x:f>IF(ISNUMBER(AB809),ROUND(AB809-(AB809*0.015+0.2)-V809,2),"")</x:f>
      </x:c>
      <x:c r="AD809" s="36" t="str">
        <x:f>IF(ISNUMBER(Y809),ROUND(Y809*0.8,2),"")</x:f>
      </x:c>
      <x:c r="AE809" s="36" t="str">
        <x:f>IF(ISNUMBER(AD809),ROUND(AD809*0.015+0.2,2),"")</x:f>
      </x:c>
      <x:c r="AF809" s="36" t="str">
        <x:f>IF(ISNUMBER(AD809),ROUND(AD809-AE809-V809,2),"")</x:f>
      </x:c>
      <x:c r="AG809" t="str">
        <x:f>IF(NOT(ISNUMBER(T809)),"PENDING",IF(AF809&gt;0,"PASS","FAIL"))</x:f>
        <x:v>PENDING</x:v>
      </x:c>
      <x:c r="AH809" t="str">
        <x:f>IF(NOT(ISNUMBER(T809)),"Needs supplier cost",IF(K809&lt;&gt;"In stock","Supplier unavailable",IF(AG809&lt;&gt;"PASS","BLOCK - GT loss risk","Commercially protected")))</x:f>
        <x:v>Needs supplier cost</x:v>
      </x:c>
      <x:c r="AI809" t="str">
        <x:v>2026-09-10 Active Sports trade capture</x:v>
      </x:c>
      <x:c r="AJ809" t="str">
        <x:v>Management-only economics. Stripe stress test uses 1.5% + £0.20 standard UK online-card fee; pallet/mix-and-match pricing ignored.</x:v>
      </x:c>
    </x:row>
    <x:row r="810">
      <x:c r="A810" t="str">
        <x:v>Active Sports Nutrition</x:v>
      </x:c>
      <x:c r="B810" t="str">
        <x:v>CNP Professional</x:v>
      </x:c>
      <x:c r="C810" t="str">
        <x:v>Pro Peptide</x:v>
      </x:c>
      <x:c r="D810" t="str">
        <x:v>Supplements</x:v>
      </x:c>
      <x:c r="E810" t="str">
        <x:v>Protein Blends</x:v>
      </x:c>
      <x:c r="F810" t="str"/>
      <x:c r="G810" t="str">
        <x:v>900g</x:v>
      </x:c>
      <x:c r="H810" t="str">
        <x:v>Strawberry</x:v>
      </x:c>
      <x:c r="I810" t="str"/>
      <x:c r="J810" t="str">
        <x:v>Unit</x:v>
      </x:c>
      <x:c r="K810" t="str">
        <x:v>In stock</x:v>
      </x:c>
      <x:c r="L810" t="str">
        <x:v>2026-09-08</x:v>
      </x:c>
      <x:c r="M810" t="str"/>
      <x:c r="N810" t="str"/>
      <x:c r="O810" t="str">
        <x:v>https://www.activesportstrade.co.uk/trade-sports-supplements</x:v>
      </x:c>
      <x:c r="P810" t="str">
        <x:v>NEW/FREE MULTI VITAMIN promo removed.</x:v>
      </x:c>
      <x:c r="Q810" t="str"/>
      <x:c r="R810" t="str"/>
      <x:c r="S810" t="str">
        <x:v>Pending genuine supplier/brand image</x:v>
      </x:c>
      <x:c r="T810" s="54"/>
      <x:c r="U810" s="47" t="n">
        <x:v>0.2</x:v>
      </x:c>
      <x:c r="V810" s="54" t="str">
        <x:f>IF(ISNUMBER(T810),T810*(1+U810),"")</x:f>
      </x:c>
      <x:c r="W810" s="47" t="n">
        <x:v>0.3</x:v>
      </x:c>
      <x:c r="X810" s="54" t="str">
        <x:f>IF(ISNUMBER(V810),V810/(1-W810),"")</x:f>
      </x:c>
      <x:c r="Y810" s="55" t="str">
        <x:f>IF(ISNUMBER(X810),ROUNDUP(X810,0),"")</x:f>
      </x:c>
      <x:c r="Z810" t="str">
        <x:f>IF(ISNUMBER(T810),"Cost captured","Awaiting trade cost")</x:f>
        <x:v>Awaiting trade cost</x:v>
      </x:c>
      <x:c r="AB810" s="36" t="str">
        <x:f>IF(ISNUMBER(Y810),ROUND(Y810*0.9,2),"")</x:f>
      </x:c>
      <x:c r="AC810" s="36" t="str">
        <x:f>IF(ISNUMBER(AB810),ROUND(AB810-(AB810*0.015+0.2)-V810,2),"")</x:f>
      </x:c>
      <x:c r="AD810" s="36" t="str">
        <x:f>IF(ISNUMBER(Y810),ROUND(Y810*0.8,2),"")</x:f>
      </x:c>
      <x:c r="AE810" s="36" t="str">
        <x:f>IF(ISNUMBER(AD810),ROUND(AD810*0.015+0.2,2),"")</x:f>
      </x:c>
      <x:c r="AF810" s="36" t="str">
        <x:f>IF(ISNUMBER(AD810),ROUND(AD810-AE810-V810,2),"")</x:f>
      </x:c>
      <x:c r="AG810" t="str">
        <x:f>IF(NOT(ISNUMBER(T810)),"PENDING",IF(AF810&gt;0,"PASS","FAIL"))</x:f>
        <x:v>PENDING</x:v>
      </x:c>
      <x:c r="AH810" t="str">
        <x:f>IF(NOT(ISNUMBER(T810)),"Needs supplier cost",IF(K810&lt;&gt;"In stock","Supplier unavailable",IF(AG810&lt;&gt;"PASS","BLOCK - GT loss risk","Commercially protected")))</x:f>
        <x:v>Needs supplier cost</x:v>
      </x:c>
      <x:c r="AI810" t="str">
        <x:v>2026-09-10 Active Sports trade capture</x:v>
      </x:c>
      <x:c r="AJ810" t="str">
        <x:v>Management-only economics. Stripe stress test uses 1.5% + £0.20 standard UK online-card fee; pallet/mix-and-match pricing ignored.</x:v>
      </x:c>
    </x:row>
    <x:row r="811">
      <x:c r="A811" t="str">
        <x:v>Active Sports Nutrition</x:v>
      </x:c>
      <x:c r="B811" t="str">
        <x:v>CNP Professional</x:v>
      </x:c>
      <x:c r="C811" t="str">
        <x:v>Pro Peptide</x:v>
      </x:c>
      <x:c r="D811" t="str">
        <x:v>Supplements</x:v>
      </x:c>
      <x:c r="E811" t="str">
        <x:v>Protein Blends</x:v>
      </x:c>
      <x:c r="F811" t="str"/>
      <x:c r="G811" t="str">
        <x:v>900g</x:v>
      </x:c>
      <x:c r="H811" t="str">
        <x:v>Vanilla</x:v>
      </x:c>
      <x:c r="I811" t="str"/>
      <x:c r="J811" t="str">
        <x:v>Unit</x:v>
      </x:c>
      <x:c r="K811" t="str">
        <x:v>In stock</x:v>
      </x:c>
      <x:c r="L811" t="str">
        <x:v>2026-09-08</x:v>
      </x:c>
      <x:c r="M811" t="str"/>
      <x:c r="N811" t="str"/>
      <x:c r="O811" t="str">
        <x:v>https://www.activesportstrade.co.uk/trade-sports-supplements</x:v>
      </x:c>
      <x:c r="P811" t="str">
        <x:v>NEW/FREE MULTI VITAMIN promo removed.</x:v>
      </x:c>
      <x:c r="Q811" t="str"/>
      <x:c r="R811" t="str"/>
      <x:c r="S811" t="str">
        <x:v>Pending genuine supplier/brand image</x:v>
      </x:c>
      <x:c r="T811" s="54"/>
      <x:c r="U811" s="47" t="n">
        <x:v>0.2</x:v>
      </x:c>
      <x:c r="V811" s="54" t="str">
        <x:f>IF(ISNUMBER(T811),T811*(1+U811),"")</x:f>
      </x:c>
      <x:c r="W811" s="47" t="n">
        <x:v>0.3</x:v>
      </x:c>
      <x:c r="X811" s="54" t="str">
        <x:f>IF(ISNUMBER(V811),V811/(1-W811),"")</x:f>
      </x:c>
      <x:c r="Y811" s="55" t="str">
        <x:f>IF(ISNUMBER(X811),ROUNDUP(X811,0),"")</x:f>
      </x:c>
      <x:c r="Z811" t="str">
        <x:f>IF(ISNUMBER(T811),"Cost captured","Awaiting trade cost")</x:f>
        <x:v>Awaiting trade cost</x:v>
      </x:c>
      <x:c r="AB811" s="36" t="str">
        <x:f>IF(ISNUMBER(Y811),ROUND(Y811*0.9,2),"")</x:f>
      </x:c>
      <x:c r="AC811" s="36" t="str">
        <x:f>IF(ISNUMBER(AB811),ROUND(AB811-(AB811*0.015+0.2)-V811,2),"")</x:f>
      </x:c>
      <x:c r="AD811" s="36" t="str">
        <x:f>IF(ISNUMBER(Y811),ROUND(Y811*0.8,2),"")</x:f>
      </x:c>
      <x:c r="AE811" s="36" t="str">
        <x:f>IF(ISNUMBER(AD811),ROUND(AD811*0.015+0.2,2),"")</x:f>
      </x:c>
      <x:c r="AF811" s="36" t="str">
        <x:f>IF(ISNUMBER(AD811),ROUND(AD811-AE811-V811,2),"")</x:f>
      </x:c>
      <x:c r="AG811" t="str">
        <x:f>IF(NOT(ISNUMBER(T811)),"PENDING",IF(AF811&gt;0,"PASS","FAIL"))</x:f>
        <x:v>PENDING</x:v>
      </x:c>
      <x:c r="AH811" t="str">
        <x:f>IF(NOT(ISNUMBER(T811)),"Needs supplier cost",IF(K811&lt;&gt;"In stock","Supplier unavailable",IF(AG811&lt;&gt;"PASS","BLOCK - GT loss risk","Commercially protected")))</x:f>
        <x:v>Needs supplier cost</x:v>
      </x:c>
      <x:c r="AI811" t="str">
        <x:v>2026-09-10 Active Sports trade capture</x:v>
      </x:c>
      <x:c r="AJ811" t="str">
        <x:v>Management-only economics. Stripe stress test uses 1.5% + £0.20 standard UK online-card fee; pallet/mix-and-match pricing ignored.</x:v>
      </x:c>
    </x:row>
    <x:row r="812">
      <x:c r="A812" t="str">
        <x:v>Active Sports Nutrition</x:v>
      </x:c>
      <x:c r="B812" t="str">
        <x:v>CNP Professional</x:v>
      </x:c>
      <x:c r="C812" t="str">
        <x:v>Pro Recover</x:v>
      </x:c>
      <x:c r="D812" t="str">
        <x:v>Supplements</x:v>
      </x:c>
      <x:c r="E812" t="str">
        <x:v>Recovery Shakes</x:v>
      </x:c>
      <x:c r="F812" t="str"/>
      <x:c r="G812" t="str">
        <x:v>5.04kg</x:v>
      </x:c>
      <x:c r="H812" t="str">
        <x:v>Chocolate</x:v>
      </x:c>
      <x:c r="I812" t="str"/>
      <x:c r="J812" t="str">
        <x:v>Unit</x:v>
      </x:c>
      <x:c r="K812" t="str">
        <x:v>In stock</x:v>
      </x:c>
      <x:c r="L812" t="str">
        <x:v>2026-09-08</x:v>
      </x:c>
      <x:c r="M812" t="str"/>
      <x:c r="N812" t="str"/>
      <x:c r="O812" t="str">
        <x:v>https://www.activesportstrade.co.uk/trade-sports-supplements</x:v>
      </x:c>
      <x:c r="P812" t="str">
        <x:v>Current/new packaging line; FREE CREATINE promo removed.</x:v>
      </x:c>
      <x:c r="Q812" t="str"/>
      <x:c r="R812" t="str"/>
      <x:c r="S812" t="str">
        <x:v>Pending genuine supplier/brand image</x:v>
      </x:c>
      <x:c r="T812" s="54"/>
      <x:c r="U812" s="47" t="n">
        <x:v>0.2</x:v>
      </x:c>
      <x:c r="V812" s="54" t="str">
        <x:f>IF(ISNUMBER(T812),T812*(1+U812),"")</x:f>
      </x:c>
      <x:c r="W812" s="47" t="n">
        <x:v>0.3</x:v>
      </x:c>
      <x:c r="X812" s="54" t="str">
        <x:f>IF(ISNUMBER(V812),V812/(1-W812),"")</x:f>
      </x:c>
      <x:c r="Y812" s="55" t="str">
        <x:f>IF(ISNUMBER(X812),ROUNDUP(X812,0),"")</x:f>
      </x:c>
      <x:c r="Z812" t="str">
        <x:f>IF(ISNUMBER(T812),"Cost captured","Awaiting trade cost")</x:f>
        <x:v>Awaiting trade cost</x:v>
      </x:c>
      <x:c r="AB812" s="36" t="str">
        <x:f>IF(ISNUMBER(Y812),ROUND(Y812*0.9,2),"")</x:f>
      </x:c>
      <x:c r="AC812" s="36" t="str">
        <x:f>IF(ISNUMBER(AB812),ROUND(AB812-(AB812*0.015+0.2)-V812,2),"")</x:f>
      </x:c>
      <x:c r="AD812" s="36" t="str">
        <x:f>IF(ISNUMBER(Y812),ROUND(Y812*0.8,2),"")</x:f>
      </x:c>
      <x:c r="AE812" s="36" t="str">
        <x:f>IF(ISNUMBER(AD812),ROUND(AD812*0.015+0.2,2),"")</x:f>
      </x:c>
      <x:c r="AF812" s="36" t="str">
        <x:f>IF(ISNUMBER(AD812),ROUND(AD812-AE812-V812,2),"")</x:f>
      </x:c>
      <x:c r="AG812" t="str">
        <x:f>IF(NOT(ISNUMBER(T812)),"PENDING",IF(AF812&gt;0,"PASS","FAIL"))</x:f>
        <x:v>PENDING</x:v>
      </x:c>
      <x:c r="AH812" t="str">
        <x:f>IF(NOT(ISNUMBER(T812)),"Needs supplier cost",IF(K812&lt;&gt;"In stock","Supplier unavailable",IF(AG812&lt;&gt;"PASS","BLOCK - GT loss risk","Commercially protected")))</x:f>
        <x:v>Needs supplier cost</x:v>
      </x:c>
      <x:c r="AI812" t="str">
        <x:v>2026-09-10 Active Sports trade capture</x:v>
      </x:c>
      <x:c r="AJ812" t="str">
        <x:v>Management-only economics. Stripe stress test uses 1.5% + £0.20 standard UK online-card fee; pallet/mix-and-match pricing ignored.</x:v>
      </x:c>
    </x:row>
    <x:row r="813">
      <x:c r="A813" t="str">
        <x:v>Active Sports Nutrition</x:v>
      </x:c>
      <x:c r="B813" t="str">
        <x:v>CNP Professional</x:v>
      </x:c>
      <x:c r="C813" t="str">
        <x:v>Pro Recover</x:v>
      </x:c>
      <x:c r="D813" t="str">
        <x:v>Supplements</x:v>
      </x:c>
      <x:c r="E813" t="str">
        <x:v>Recovery Shakes</x:v>
      </x:c>
      <x:c r="F813" t="str"/>
      <x:c r="G813" t="str">
        <x:v>5.04kg</x:v>
      </x:c>
      <x:c r="H813" t="str">
        <x:v>Strawberry</x:v>
      </x:c>
      <x:c r="I813" t="str"/>
      <x:c r="J813" t="str">
        <x:v>Unit</x:v>
      </x:c>
      <x:c r="K813" t="str">
        <x:v>In stock</x:v>
      </x:c>
      <x:c r="L813" t="str">
        <x:v>2026-09-08</x:v>
      </x:c>
      <x:c r="M813" t="str"/>
      <x:c r="N813" t="str"/>
      <x:c r="O813" t="str">
        <x:v>https://www.activesportstrade.co.uk/trade-sports-supplements</x:v>
      </x:c>
      <x:c r="P813" t="str">
        <x:v>Current/new packaging line; FREE CREATINE promo removed.</x:v>
      </x:c>
      <x:c r="Q813" t="str"/>
      <x:c r="R813" t="str"/>
      <x:c r="S813" t="str">
        <x:v>Pending genuine supplier/brand image</x:v>
      </x:c>
      <x:c r="T813" s="54"/>
      <x:c r="U813" s="47" t="n">
        <x:v>0.2</x:v>
      </x:c>
      <x:c r="V813" s="54" t="str">
        <x:f>IF(ISNUMBER(T813),T813*(1+U813),"")</x:f>
      </x:c>
      <x:c r="W813" s="47" t="n">
        <x:v>0.3</x:v>
      </x:c>
      <x:c r="X813" s="54" t="str">
        <x:f>IF(ISNUMBER(V813),V813/(1-W813),"")</x:f>
      </x:c>
      <x:c r="Y813" s="55" t="str">
        <x:f>IF(ISNUMBER(X813),ROUNDUP(X813,0),"")</x:f>
      </x:c>
      <x:c r="Z813" t="str">
        <x:f>IF(ISNUMBER(T813),"Cost captured","Awaiting trade cost")</x:f>
        <x:v>Awaiting trade cost</x:v>
      </x:c>
      <x:c r="AB813" s="36" t="str">
        <x:f>IF(ISNUMBER(Y813),ROUND(Y813*0.9,2),"")</x:f>
      </x:c>
      <x:c r="AC813" s="36" t="str">
        <x:f>IF(ISNUMBER(AB813),ROUND(AB813-(AB813*0.015+0.2)-V813,2),"")</x:f>
      </x:c>
      <x:c r="AD813" s="36" t="str">
        <x:f>IF(ISNUMBER(Y813),ROUND(Y813*0.8,2),"")</x:f>
      </x:c>
      <x:c r="AE813" s="36" t="str">
        <x:f>IF(ISNUMBER(AD813),ROUND(AD813*0.015+0.2,2),"")</x:f>
      </x:c>
      <x:c r="AF813" s="36" t="str">
        <x:f>IF(ISNUMBER(AD813),ROUND(AD813-AE813-V813,2),"")</x:f>
      </x:c>
      <x:c r="AG813" t="str">
        <x:f>IF(NOT(ISNUMBER(T813)),"PENDING",IF(AF813&gt;0,"PASS","FAIL"))</x:f>
        <x:v>PENDING</x:v>
      </x:c>
      <x:c r="AH813" t="str">
        <x:f>IF(NOT(ISNUMBER(T813)),"Needs supplier cost",IF(K813&lt;&gt;"In stock","Supplier unavailable",IF(AG813&lt;&gt;"PASS","BLOCK - GT loss risk","Commercially protected")))</x:f>
        <x:v>Needs supplier cost</x:v>
      </x:c>
      <x:c r="AI813" t="str">
        <x:v>2026-09-10 Active Sports trade capture</x:v>
      </x:c>
      <x:c r="AJ813" t="str">
        <x:v>Management-only economics. Stripe stress test uses 1.5% + £0.20 standard UK online-card fee; pallet/mix-and-match pricing ignored.</x:v>
      </x:c>
    </x:row>
    <x:row r="814">
      <x:c r="A814" t="str">
        <x:v>Active Sports Nutrition</x:v>
      </x:c>
      <x:c r="B814" t="str">
        <x:v>CNP Professional</x:v>
      </x:c>
      <x:c r="C814" t="str">
        <x:v>Pro Recover</x:v>
      </x:c>
      <x:c r="D814" t="str">
        <x:v>Supplements</x:v>
      </x:c>
      <x:c r="E814" t="str">
        <x:v>Recovery Shakes</x:v>
      </x:c>
      <x:c r="F814" t="str"/>
      <x:c r="G814" t="str">
        <x:v>5.04kg</x:v>
      </x:c>
      <x:c r="H814" t="str">
        <x:v>Vanilla</x:v>
      </x:c>
      <x:c r="I814" t="str"/>
      <x:c r="J814" t="str">
        <x:v>Unit</x:v>
      </x:c>
      <x:c r="K814" t="str">
        <x:v>In stock</x:v>
      </x:c>
      <x:c r="L814" t="str">
        <x:v>2026-09-08</x:v>
      </x:c>
      <x:c r="M814" t="str"/>
      <x:c r="N814" t="str"/>
      <x:c r="O814" t="str">
        <x:v>https://www.activesportstrade.co.uk/trade-sports-supplements</x:v>
      </x:c>
      <x:c r="P814" t="str">
        <x:v>Current/new packaging line; FREE CREATINE promo removed.</x:v>
      </x:c>
      <x:c r="Q814" t="str"/>
      <x:c r="R814" t="str"/>
      <x:c r="S814" t="str">
        <x:v>Pending genuine supplier/brand image</x:v>
      </x:c>
      <x:c r="T814" s="54"/>
      <x:c r="U814" s="47" t="n">
        <x:v>0.2</x:v>
      </x:c>
      <x:c r="V814" s="54" t="str">
        <x:f>IF(ISNUMBER(T814),T814*(1+U814),"")</x:f>
      </x:c>
      <x:c r="W814" s="47" t="n">
        <x:v>0.3</x:v>
      </x:c>
      <x:c r="X814" s="54" t="str">
        <x:f>IF(ISNUMBER(V814),V814/(1-W814),"")</x:f>
      </x:c>
      <x:c r="Y814" s="55" t="str">
        <x:f>IF(ISNUMBER(X814),ROUNDUP(X814,0),"")</x:f>
      </x:c>
      <x:c r="Z814" t="str">
        <x:f>IF(ISNUMBER(T814),"Cost captured","Awaiting trade cost")</x:f>
        <x:v>Awaiting trade cost</x:v>
      </x:c>
      <x:c r="AB814" s="36" t="str">
        <x:f>IF(ISNUMBER(Y814),ROUND(Y814*0.9,2),"")</x:f>
      </x:c>
      <x:c r="AC814" s="36" t="str">
        <x:f>IF(ISNUMBER(AB814),ROUND(AB814-(AB814*0.015+0.2)-V814,2),"")</x:f>
      </x:c>
      <x:c r="AD814" s="36" t="str">
        <x:f>IF(ISNUMBER(Y814),ROUND(Y814*0.8,2),"")</x:f>
      </x:c>
      <x:c r="AE814" s="36" t="str">
        <x:f>IF(ISNUMBER(AD814),ROUND(AD814*0.015+0.2,2),"")</x:f>
      </x:c>
      <x:c r="AF814" s="36" t="str">
        <x:f>IF(ISNUMBER(AD814),ROUND(AD814-AE814-V814,2),"")</x:f>
      </x:c>
      <x:c r="AG814" t="str">
        <x:f>IF(NOT(ISNUMBER(T814)),"PENDING",IF(AF814&gt;0,"PASS","FAIL"))</x:f>
        <x:v>PENDING</x:v>
      </x:c>
      <x:c r="AH814" t="str">
        <x:f>IF(NOT(ISNUMBER(T814)),"Needs supplier cost",IF(K814&lt;&gt;"In stock","Supplier unavailable",IF(AG814&lt;&gt;"PASS","BLOCK - GT loss risk","Commercially protected")))</x:f>
        <x:v>Needs supplier cost</x:v>
      </x:c>
      <x:c r="AI814" t="str">
        <x:v>2026-09-10 Active Sports trade capture</x:v>
      </x:c>
      <x:c r="AJ814" t="str">
        <x:v>Management-only economics. Stripe stress test uses 1.5% + £0.20 standard UK online-card fee; pallet/mix-and-match pricing ignored.</x:v>
      </x:c>
    </x:row>
    <x:row r="815">
      <x:c r="A815" t="str">
        <x:v>Active Sports Nutrition</x:v>
      </x:c>
      <x:c r="B815" t="str">
        <x:v>CNP Professional</x:v>
      </x:c>
      <x:c r="C815" t="str">
        <x:v>Pro Test</x:v>
      </x:c>
      <x:c r="D815" t="str">
        <x:v>Supplements</x:v>
      </x:c>
      <x:c r="E815" t="str">
        <x:v>Testosterone Boosters</x:v>
      </x:c>
      <x:c r="F815" t="str"/>
      <x:c r="G815" t="str">
        <x:v>120 caps</x:v>
      </x:c>
      <x:c r="H815" t="str">
        <x:v>Default</x:v>
      </x:c>
      <x:c r="I815" t="str"/>
      <x:c r="J815" t="str">
        <x:v>Unit</x:v>
      </x:c>
      <x:c r="K815" t="str">
        <x:v>In stock</x:v>
      </x:c>
      <x:c r="L815" t="str">
        <x:v>2026-09-08</x:v>
      </x:c>
      <x:c r="M815" t="str"/>
      <x:c r="N815" t="str"/>
      <x:c r="O815" t="str">
        <x:v>https://www.activesportstrade.co.uk/trade-sports-supplements</x:v>
      </x:c>
      <x:c r="P815" t="str">
        <x:v>BUY 5 GET 1 FREE promo removed.</x:v>
      </x:c>
      <x:c r="Q815" t="str"/>
      <x:c r="R815" t="str"/>
      <x:c r="S815" t="str">
        <x:v>Pending genuine supplier/brand image</x:v>
      </x:c>
      <x:c r="T815" s="54"/>
      <x:c r="U815" s="47" t="n">
        <x:v>0.2</x:v>
      </x:c>
      <x:c r="V815" s="54" t="str">
        <x:f>IF(ISNUMBER(T815),T815*(1+U815),"")</x:f>
      </x:c>
      <x:c r="W815" s="47" t="n">
        <x:v>0.3</x:v>
      </x:c>
      <x:c r="X815" s="54" t="str">
        <x:f>IF(ISNUMBER(V815),V815/(1-W815),"")</x:f>
      </x:c>
      <x:c r="Y815" s="55" t="str">
        <x:f>IF(ISNUMBER(X815),ROUNDUP(X815,0),"")</x:f>
      </x:c>
      <x:c r="Z815" t="str">
        <x:f>IF(ISNUMBER(T815),"Cost captured","Awaiting trade cost")</x:f>
        <x:v>Awaiting trade cost</x:v>
      </x:c>
      <x:c r="AB815" s="36" t="str">
        <x:f>IF(ISNUMBER(Y815),ROUND(Y815*0.9,2),"")</x:f>
      </x:c>
      <x:c r="AC815" s="36" t="str">
        <x:f>IF(ISNUMBER(AB815),ROUND(AB815-(AB815*0.015+0.2)-V815,2),"")</x:f>
      </x:c>
      <x:c r="AD815" s="36" t="str">
        <x:f>IF(ISNUMBER(Y815),ROUND(Y815*0.8,2),"")</x:f>
      </x:c>
      <x:c r="AE815" s="36" t="str">
        <x:f>IF(ISNUMBER(AD815),ROUND(AD815*0.015+0.2,2),"")</x:f>
      </x:c>
      <x:c r="AF815" s="36" t="str">
        <x:f>IF(ISNUMBER(AD815),ROUND(AD815-AE815-V815,2),"")</x:f>
      </x:c>
      <x:c r="AG815" t="str">
        <x:f>IF(NOT(ISNUMBER(T815)),"PENDING",IF(AF815&gt;0,"PASS","FAIL"))</x:f>
        <x:v>PENDING</x:v>
      </x:c>
      <x:c r="AH815" t="str">
        <x:f>IF(NOT(ISNUMBER(T815)),"Needs supplier cost",IF(K815&lt;&gt;"In stock","Supplier unavailable",IF(AG815&lt;&gt;"PASS","BLOCK - GT loss risk","Commercially protected")))</x:f>
        <x:v>Needs supplier cost</x:v>
      </x:c>
      <x:c r="AI815" t="str">
        <x:v>2026-09-10 Active Sports trade capture</x:v>
      </x:c>
      <x:c r="AJ815" t="str">
        <x:v>Management-only economics. Stripe stress test uses 1.5% + £0.20 standard UK online-card fee; pallet/mix-and-match pricing ignored.</x:v>
      </x:c>
    </x:row>
    <x:row r="816">
      <x:c r="A816" t="str">
        <x:v>Active Sports Nutrition</x:v>
      </x:c>
      <x:c r="B816" t="str">
        <x:v>CNP Professional</x:v>
      </x:c>
      <x:c r="C816" t="str">
        <x:v>Recover</x:v>
      </x:c>
      <x:c r="D816" t="str">
        <x:v>Supplements</x:v>
      </x:c>
      <x:c r="E816" t="str">
        <x:v>Recovery Shakes</x:v>
      </x:c>
      <x:c r="F816" t="str"/>
      <x:c r="G816" t="str">
        <x:v>5kg</x:v>
      </x:c>
      <x:c r="H816" t="str">
        <x:v>Banana</x:v>
      </x:c>
      <x:c r="I816" t="str"/>
      <x:c r="J816" t="str">
        <x:v>Unit</x:v>
      </x:c>
      <x:c r="K816" t="str">
        <x:v>Out of stock</x:v>
      </x:c>
      <x:c r="L816" t="str">
        <x:v>2026-09-08</x:v>
      </x:c>
      <x:c r="M816" t="str"/>
      <x:c r="N816" t="str"/>
      <x:c r="O816" t="str">
        <x:v>https://www.activesportstrade.co.uk/trade-sports-supplements</x:v>
      </x:c>
      <x:c r="P816" t="str">
        <x:v>Original packaging retained as separate legacy formula/package line because supplier lists it distinctly from Pro Recover 5.04kg.</x:v>
      </x:c>
      <x:c r="Q816" t="str"/>
      <x:c r="R816" t="str"/>
      <x:c r="S816" t="str">
        <x:v>Pending genuine supplier/brand image</x:v>
      </x:c>
      <x:c r="T816" s="54"/>
      <x:c r="U816" s="47" t="n">
        <x:v>0.2</x:v>
      </x:c>
      <x:c r="V816" s="54" t="str">
        <x:f>IF(ISNUMBER(T816),T816*(1+U816),"")</x:f>
      </x:c>
      <x:c r="W816" s="47" t="n">
        <x:v>0.3</x:v>
      </x:c>
      <x:c r="X816" s="54" t="str">
        <x:f>IF(ISNUMBER(V816),V816/(1-W816),"")</x:f>
      </x:c>
      <x:c r="Y816" s="55" t="str">
        <x:f>IF(ISNUMBER(X816),ROUNDUP(X816,0),"")</x:f>
      </x:c>
      <x:c r="Z816" t="str">
        <x:f>IF(ISNUMBER(T816),"Cost captured","Awaiting trade cost")</x:f>
        <x:v>Awaiting trade cost</x:v>
      </x:c>
      <x:c r="AB816" s="36" t="str">
        <x:f>IF(ISNUMBER(Y816),ROUND(Y816*0.9,2),"")</x:f>
      </x:c>
      <x:c r="AC816" s="36" t="str">
        <x:f>IF(ISNUMBER(AB816),ROUND(AB816-(AB816*0.015+0.2)-V816,2),"")</x:f>
      </x:c>
      <x:c r="AD816" s="36" t="str">
        <x:f>IF(ISNUMBER(Y816),ROUND(Y816*0.8,2),"")</x:f>
      </x:c>
      <x:c r="AE816" s="36" t="str">
        <x:f>IF(ISNUMBER(AD816),ROUND(AD816*0.015+0.2,2),"")</x:f>
      </x:c>
      <x:c r="AF816" s="36" t="str">
        <x:f>IF(ISNUMBER(AD816),ROUND(AD816-AE816-V816,2),"")</x:f>
      </x:c>
      <x:c r="AG816" t="str">
        <x:f>IF(NOT(ISNUMBER(T816)),"PENDING",IF(AF816&gt;0,"PASS","FAIL"))</x:f>
        <x:v>PENDING</x:v>
      </x:c>
      <x:c r="AH816" t="str">
        <x:f>IF(NOT(ISNUMBER(T816)),"Needs supplier cost",IF(K816&lt;&gt;"In stock","Supplier unavailable",IF(AG816&lt;&gt;"PASS","BLOCK - GT loss risk","Commercially protected")))</x:f>
        <x:v>Needs supplier cost</x:v>
      </x:c>
      <x:c r="AI816" t="str">
        <x:v>2026-09-10 Active Sports trade capture</x:v>
      </x:c>
      <x:c r="AJ816" t="str">
        <x:v>Management-only economics. Stripe stress test uses 1.5% + £0.20 standard UK online-card fee; pallet/mix-and-match pricing ignored.</x:v>
      </x:c>
    </x:row>
    <x:row r="817">
      <x:c r="A817" t="str">
        <x:v>Active Sports Nutrition</x:v>
      </x:c>
      <x:c r="B817" t="str">
        <x:v>CNP Professional</x:v>
      </x:c>
      <x:c r="C817" t="str">
        <x:v>Recover</x:v>
      </x:c>
      <x:c r="D817" t="str">
        <x:v>Supplements</x:v>
      </x:c>
      <x:c r="E817" t="str">
        <x:v>Recovery Shakes</x:v>
      </x:c>
      <x:c r="F817" t="str"/>
      <x:c r="G817" t="str">
        <x:v>5kg</x:v>
      </x:c>
      <x:c r="H817" t="str">
        <x:v>Chocolate</x:v>
      </x:c>
      <x:c r="I817" t="str"/>
      <x:c r="J817" t="str">
        <x:v>Unit</x:v>
      </x:c>
      <x:c r="K817" t="str">
        <x:v>In stock</x:v>
      </x:c>
      <x:c r="L817" t="str">
        <x:v>2026-09-08</x:v>
      </x:c>
      <x:c r="M817" t="str"/>
      <x:c r="N817" t="str"/>
      <x:c r="O817" t="str">
        <x:v>https://www.activesportstrade.co.uk/trade-sports-supplements</x:v>
      </x:c>
      <x:c r="P817" t="str">
        <x:v>Original packaging retained as separate legacy formula/package line because supplier lists it distinctly from Pro Recover 5.04kg.</x:v>
      </x:c>
      <x:c r="Q817" t="str"/>
      <x:c r="R817" t="str"/>
      <x:c r="S817" t="str">
        <x:v>Pending genuine supplier/brand image</x:v>
      </x:c>
      <x:c r="T817" s="54"/>
      <x:c r="U817" s="47" t="n">
        <x:v>0.2</x:v>
      </x:c>
      <x:c r="V817" s="54" t="str">
        <x:f>IF(ISNUMBER(T817),T817*(1+U817),"")</x:f>
      </x:c>
      <x:c r="W817" s="47" t="n">
        <x:v>0.3</x:v>
      </x:c>
      <x:c r="X817" s="54" t="str">
        <x:f>IF(ISNUMBER(V817),V817/(1-W817),"")</x:f>
      </x:c>
      <x:c r="Y817" s="55" t="str">
        <x:f>IF(ISNUMBER(X817),ROUNDUP(X817,0),"")</x:f>
      </x:c>
      <x:c r="Z817" t="str">
        <x:f>IF(ISNUMBER(T817),"Cost captured","Awaiting trade cost")</x:f>
        <x:v>Awaiting trade cost</x:v>
      </x:c>
      <x:c r="AB817" s="36" t="str">
        <x:f>IF(ISNUMBER(Y817),ROUND(Y817*0.9,2),"")</x:f>
      </x:c>
      <x:c r="AC817" s="36" t="str">
        <x:f>IF(ISNUMBER(AB817),ROUND(AB817-(AB817*0.015+0.2)-V817,2),"")</x:f>
      </x:c>
      <x:c r="AD817" s="36" t="str">
        <x:f>IF(ISNUMBER(Y817),ROUND(Y817*0.8,2),"")</x:f>
      </x:c>
      <x:c r="AE817" s="36" t="str">
        <x:f>IF(ISNUMBER(AD817),ROUND(AD817*0.015+0.2,2),"")</x:f>
      </x:c>
      <x:c r="AF817" s="36" t="str">
        <x:f>IF(ISNUMBER(AD817),ROUND(AD817-AE817-V817,2),"")</x:f>
      </x:c>
      <x:c r="AG817" t="str">
        <x:f>IF(NOT(ISNUMBER(T817)),"PENDING",IF(AF817&gt;0,"PASS","FAIL"))</x:f>
        <x:v>PENDING</x:v>
      </x:c>
      <x:c r="AH817" t="str">
        <x:f>IF(NOT(ISNUMBER(T817)),"Needs supplier cost",IF(K817&lt;&gt;"In stock","Supplier unavailable",IF(AG817&lt;&gt;"PASS","BLOCK - GT loss risk","Commercially protected")))</x:f>
        <x:v>Needs supplier cost</x:v>
      </x:c>
      <x:c r="AI817" t="str">
        <x:v>2026-09-10 Active Sports trade capture</x:v>
      </x:c>
      <x:c r="AJ817" t="str">
        <x:v>Management-only economics. Stripe stress test uses 1.5% + £0.20 standard UK online-card fee; pallet/mix-and-match pricing ignored.</x:v>
      </x:c>
    </x:row>
    <x:row r="818">
      <x:c r="A818" t="str">
        <x:v>Active Sports Nutrition</x:v>
      </x:c>
      <x:c r="B818" t="str">
        <x:v>CNP Professional</x:v>
      </x:c>
      <x:c r="C818" t="str">
        <x:v>Recover</x:v>
      </x:c>
      <x:c r="D818" t="str">
        <x:v>Supplements</x:v>
      </x:c>
      <x:c r="E818" t="str">
        <x:v>Recovery Shakes</x:v>
      </x:c>
      <x:c r="F818" t="str"/>
      <x:c r="G818" t="str">
        <x:v>5kg</x:v>
      </x:c>
      <x:c r="H818" t="str">
        <x:v>Strawberry</x:v>
      </x:c>
      <x:c r="I818" t="str"/>
      <x:c r="J818" t="str">
        <x:v>Unit</x:v>
      </x:c>
      <x:c r="K818" t="str">
        <x:v>Out of stock</x:v>
      </x:c>
      <x:c r="L818" t="str">
        <x:v>2026-09-08</x:v>
      </x:c>
      <x:c r="M818" t="str"/>
      <x:c r="N818" t="str"/>
      <x:c r="O818" t="str">
        <x:v>https://www.activesportstrade.co.uk/trade-sports-supplements</x:v>
      </x:c>
      <x:c r="P818" t="str">
        <x:v>Original packaging retained as separate legacy formula/package line because supplier lists it distinctly from Pro Recover 5.04kg.</x:v>
      </x:c>
      <x:c r="Q818" t="str"/>
      <x:c r="R818" t="str"/>
      <x:c r="S818" t="str">
        <x:v>Pending genuine supplier/brand image</x:v>
      </x:c>
      <x:c r="T818" s="54"/>
      <x:c r="U818" s="47" t="n">
        <x:v>0.2</x:v>
      </x:c>
      <x:c r="V818" s="54" t="str">
        <x:f>IF(ISNUMBER(T818),T818*(1+U818),"")</x:f>
      </x:c>
      <x:c r="W818" s="47" t="n">
        <x:v>0.3</x:v>
      </x:c>
      <x:c r="X818" s="54" t="str">
        <x:f>IF(ISNUMBER(V818),V818/(1-W818),"")</x:f>
      </x:c>
      <x:c r="Y818" s="55" t="str">
        <x:f>IF(ISNUMBER(X818),ROUNDUP(X818,0),"")</x:f>
      </x:c>
      <x:c r="Z818" t="str">
        <x:f>IF(ISNUMBER(T818),"Cost captured","Awaiting trade cost")</x:f>
        <x:v>Awaiting trade cost</x:v>
      </x:c>
      <x:c r="AB818" s="36" t="str">
        <x:f>IF(ISNUMBER(Y818),ROUND(Y818*0.9,2),"")</x:f>
      </x:c>
      <x:c r="AC818" s="36" t="str">
        <x:f>IF(ISNUMBER(AB818),ROUND(AB818-(AB818*0.015+0.2)-V818,2),"")</x:f>
      </x:c>
      <x:c r="AD818" s="36" t="str">
        <x:f>IF(ISNUMBER(Y818),ROUND(Y818*0.8,2),"")</x:f>
      </x:c>
      <x:c r="AE818" s="36" t="str">
        <x:f>IF(ISNUMBER(AD818),ROUND(AD818*0.015+0.2,2),"")</x:f>
      </x:c>
      <x:c r="AF818" s="36" t="str">
        <x:f>IF(ISNUMBER(AD818),ROUND(AD818-AE818-V818,2),"")</x:f>
      </x:c>
      <x:c r="AG818" t="str">
        <x:f>IF(NOT(ISNUMBER(T818)),"PENDING",IF(AF818&gt;0,"PASS","FAIL"))</x:f>
        <x:v>PENDING</x:v>
      </x:c>
      <x:c r="AH818" t="str">
        <x:f>IF(NOT(ISNUMBER(T818)),"Needs supplier cost",IF(K818&lt;&gt;"In stock","Supplier unavailable",IF(AG818&lt;&gt;"PASS","BLOCK - GT loss risk","Commercially protected")))</x:f>
        <x:v>Needs supplier cost</x:v>
      </x:c>
      <x:c r="AI818" t="str">
        <x:v>2026-09-10 Active Sports trade capture</x:v>
      </x:c>
      <x:c r="AJ818" t="str">
        <x:v>Management-only economics. Stripe stress test uses 1.5% + £0.20 standard UK online-card fee; pallet/mix-and-match pricing ignored.</x:v>
      </x:c>
    </x:row>
    <x:row r="819">
      <x:c r="A819" t="str">
        <x:v>Active Sports Nutrition</x:v>
      </x:c>
      <x:c r="B819" t="str">
        <x:v>CNP Professional</x:v>
      </x:c>
      <x:c r="C819" t="str">
        <x:v>Recover</x:v>
      </x:c>
      <x:c r="D819" t="str">
        <x:v>Supplements</x:v>
      </x:c>
      <x:c r="E819" t="str">
        <x:v>Recovery Shakes</x:v>
      </x:c>
      <x:c r="F819" t="str"/>
      <x:c r="G819" t="str">
        <x:v>5kg</x:v>
      </x:c>
      <x:c r="H819" t="str">
        <x:v>Vanilla</x:v>
      </x:c>
      <x:c r="I819" t="str"/>
      <x:c r="J819" t="str">
        <x:v>Unit</x:v>
      </x:c>
      <x:c r="K819" t="str">
        <x:v>Out of stock</x:v>
      </x:c>
      <x:c r="L819" t="str">
        <x:v>2026-09-08</x:v>
      </x:c>
      <x:c r="M819" t="str"/>
      <x:c r="N819" t="str"/>
      <x:c r="O819" t="str">
        <x:v>https://www.activesportstrade.co.uk/trade-sports-supplements</x:v>
      </x:c>
      <x:c r="P819" t="str">
        <x:v>Original packaging retained as separate legacy formula/package line because supplier lists it distinctly from Pro Recover 5.04kg.</x:v>
      </x:c>
      <x:c r="Q819" t="str"/>
      <x:c r="R819" t="str"/>
      <x:c r="S819" t="str">
        <x:v>Pending genuine supplier/brand image</x:v>
      </x:c>
      <x:c r="T819" s="54"/>
      <x:c r="U819" s="47" t="n">
        <x:v>0.2</x:v>
      </x:c>
      <x:c r="V819" s="54" t="str">
        <x:f>IF(ISNUMBER(T819),T819*(1+U819),"")</x:f>
      </x:c>
      <x:c r="W819" s="47" t="n">
        <x:v>0.3</x:v>
      </x:c>
      <x:c r="X819" s="54" t="str">
        <x:f>IF(ISNUMBER(V819),V819/(1-W819),"")</x:f>
      </x:c>
      <x:c r="Y819" s="55" t="str">
        <x:f>IF(ISNUMBER(X819),ROUNDUP(X819,0),"")</x:f>
      </x:c>
      <x:c r="Z819" t="str">
        <x:f>IF(ISNUMBER(T819),"Cost captured","Awaiting trade cost")</x:f>
        <x:v>Awaiting trade cost</x:v>
      </x:c>
      <x:c r="AB819" s="36" t="str">
        <x:f>IF(ISNUMBER(Y819),ROUND(Y819*0.9,2),"")</x:f>
      </x:c>
      <x:c r="AC819" s="36" t="str">
        <x:f>IF(ISNUMBER(AB819),ROUND(AB819-(AB819*0.015+0.2)-V819,2),"")</x:f>
      </x:c>
      <x:c r="AD819" s="36" t="str">
        <x:f>IF(ISNUMBER(Y819),ROUND(Y819*0.8,2),"")</x:f>
      </x:c>
      <x:c r="AE819" s="36" t="str">
        <x:f>IF(ISNUMBER(AD819),ROUND(AD819*0.015+0.2,2),"")</x:f>
      </x:c>
      <x:c r="AF819" s="36" t="str">
        <x:f>IF(ISNUMBER(AD819),ROUND(AD819-AE819-V819,2),"")</x:f>
      </x:c>
      <x:c r="AG819" t="str">
        <x:f>IF(NOT(ISNUMBER(T819)),"PENDING",IF(AF819&gt;0,"PASS","FAIL"))</x:f>
        <x:v>PENDING</x:v>
      </x:c>
      <x:c r="AH819" t="str">
        <x:f>IF(NOT(ISNUMBER(T819)),"Needs supplier cost",IF(K819&lt;&gt;"In stock","Supplier unavailable",IF(AG819&lt;&gt;"PASS","BLOCK - GT loss risk","Commercially protected")))</x:f>
        <x:v>Needs supplier cost</x:v>
      </x:c>
      <x:c r="AI819" t="str">
        <x:v>2026-09-10 Active Sports trade capture</x:v>
      </x:c>
      <x:c r="AJ819" t="str">
        <x:v>Management-only economics. Stripe stress test uses 1.5% + £0.20 standard UK online-card fee; pallet/mix-and-match pricing ignored.</x:v>
      </x:c>
    </x:row>
    <x:row r="820">
      <x:c r="A820" t="str">
        <x:v>Active Sports Nutrition</x:v>
      </x:c>
      <x:c r="B820" t="str">
        <x:v>CNP Professional</x:v>
      </x:c>
      <x:c r="C820" t="str">
        <x:v>Vitamin D3 + K2</x:v>
      </x:c>
      <x:c r="D820" t="str">
        <x:v>Supplements</x:v>
      </x:c>
      <x:c r="E820" t="str">
        <x:v>Vitamins</x:v>
      </x:c>
      <x:c r="F820" t="str"/>
      <x:c r="G820" t="str">
        <x:v>30 caps</x:v>
      </x:c>
      <x:c r="H820" t="str">
        <x:v>Default</x:v>
      </x:c>
      <x:c r="I820" t="str"/>
      <x:c r="J820" t="str">
        <x:v>Unit</x:v>
      </x:c>
      <x:c r="K820" t="str">
        <x:v>In stock</x:v>
      </x:c>
      <x:c r="L820" t="str">
        <x:v>2026-09-08</x:v>
      </x:c>
      <x:c r="M820" t="str"/>
      <x:c r="N820" t="str"/>
      <x:c r="O820" t="str">
        <x:v>https://www.activesportstrade.co.uk/trade-sports-supplements</x:v>
      </x:c>
      <x:c r="P820" t="str">
        <x:v>BUY 5 GET 1 FREE promo removed.</x:v>
      </x:c>
      <x:c r="Q820" t="str"/>
      <x:c r="R820" t="str"/>
      <x:c r="S820" t="str">
        <x:v>Pending genuine supplier/brand image</x:v>
      </x:c>
      <x:c r="T820" s="54"/>
      <x:c r="U820" s="47" t="n">
        <x:v>0.2</x:v>
      </x:c>
      <x:c r="V820" s="54" t="str">
        <x:f>IF(ISNUMBER(T820),T820*(1+U820),"")</x:f>
      </x:c>
      <x:c r="W820" s="47" t="n">
        <x:v>0.3</x:v>
      </x:c>
      <x:c r="X820" s="54" t="str">
        <x:f>IF(ISNUMBER(V820),V820/(1-W820),"")</x:f>
      </x:c>
      <x:c r="Y820" s="55" t="str">
        <x:f>IF(ISNUMBER(X820),ROUNDUP(X820,0),"")</x:f>
      </x:c>
      <x:c r="Z820" t="str">
        <x:f>IF(ISNUMBER(T820),"Cost captured","Awaiting trade cost")</x:f>
        <x:v>Awaiting trade cost</x:v>
      </x:c>
      <x:c r="AB820" s="36" t="str">
        <x:f>IF(ISNUMBER(Y820),ROUND(Y820*0.9,2),"")</x:f>
      </x:c>
      <x:c r="AC820" s="36" t="str">
        <x:f>IF(ISNUMBER(AB820),ROUND(AB820-(AB820*0.015+0.2)-V820,2),"")</x:f>
      </x:c>
      <x:c r="AD820" s="36" t="str">
        <x:f>IF(ISNUMBER(Y820),ROUND(Y820*0.8,2),"")</x:f>
      </x:c>
      <x:c r="AE820" s="36" t="str">
        <x:f>IF(ISNUMBER(AD820),ROUND(AD820*0.015+0.2,2),"")</x:f>
      </x:c>
      <x:c r="AF820" s="36" t="str">
        <x:f>IF(ISNUMBER(AD820),ROUND(AD820-AE820-V820,2),"")</x:f>
      </x:c>
      <x:c r="AG820" t="str">
        <x:f>IF(NOT(ISNUMBER(T820)),"PENDING",IF(AF820&gt;0,"PASS","FAIL"))</x:f>
        <x:v>PENDING</x:v>
      </x:c>
      <x:c r="AH820" t="str">
        <x:f>IF(NOT(ISNUMBER(T820)),"Needs supplier cost",IF(K820&lt;&gt;"In stock","Supplier unavailable",IF(AG820&lt;&gt;"PASS","BLOCK - GT loss risk","Commercially protected")))</x:f>
        <x:v>Needs supplier cost</x:v>
      </x:c>
      <x:c r="AI820" t="str">
        <x:v>2026-09-10 Active Sports trade capture</x:v>
      </x:c>
      <x:c r="AJ820" t="str">
        <x:v>Management-only economics. Stripe stress test uses 1.5% + £0.20 standard UK online-card fee; pallet/mix-and-match pricing ignored.</x:v>
      </x:c>
    </x:row>
    <x:row r="821">
      <x:c r="A821" t="str">
        <x:v>Active Sports Nutrition</x:v>
      </x:c>
      <x:c r="B821" t="str">
        <x:v>CNP Professional</x:v>
      </x:c>
      <x:c r="C821" t="str">
        <x:v>Zinc &amp; Magnesium</x:v>
      </x:c>
      <x:c r="D821" t="str">
        <x:v>Supplements</x:v>
      </x:c>
      <x:c r="E821" t="str">
        <x:v>Vitamins</x:v>
      </x:c>
      <x:c r="F821" t="str"/>
      <x:c r="G821" t="str">
        <x:v>60 caps</x:v>
      </x:c>
      <x:c r="H821" t="str">
        <x:v>Default</x:v>
      </x:c>
      <x:c r="I821" t="str"/>
      <x:c r="J821" t="str">
        <x:v>Unit</x:v>
      </x:c>
      <x:c r="K821" t="str">
        <x:v>In stock</x:v>
      </x:c>
      <x:c r="L821" t="str">
        <x:v>2026-09-08</x:v>
      </x:c>
      <x:c r="M821" t="str"/>
      <x:c r="N821" t="str"/>
      <x:c r="O821" t="str">
        <x:v>https://www.activesportstrade.co.uk/trade-sports-supplements</x:v>
      </x:c>
      <x:c r="P821" t="str">
        <x:v>BUY 5 GET 1 FREE promo removed.</x:v>
      </x:c>
      <x:c r="Q821" t="str"/>
      <x:c r="R821" t="str"/>
      <x:c r="S821" t="str">
        <x:v>Pending genuine supplier/brand image</x:v>
      </x:c>
      <x:c r="T821" s="54"/>
      <x:c r="U821" s="47" t="n">
        <x:v>0.2</x:v>
      </x:c>
      <x:c r="V821" s="54" t="str">
        <x:f>IF(ISNUMBER(T821),T821*(1+U821),"")</x:f>
      </x:c>
      <x:c r="W821" s="47" t="n">
        <x:v>0.3</x:v>
      </x:c>
      <x:c r="X821" s="54" t="str">
        <x:f>IF(ISNUMBER(V821),V821/(1-W821),"")</x:f>
      </x:c>
      <x:c r="Y821" s="55" t="str">
        <x:f>IF(ISNUMBER(X821),ROUNDUP(X821,0),"")</x:f>
      </x:c>
      <x:c r="Z821" t="str">
        <x:f>IF(ISNUMBER(T821),"Cost captured","Awaiting trade cost")</x:f>
        <x:v>Awaiting trade cost</x:v>
      </x:c>
      <x:c r="AB821" s="36" t="str">
        <x:f>IF(ISNUMBER(Y821),ROUND(Y821*0.9,2),"")</x:f>
      </x:c>
      <x:c r="AC821" s="36" t="str">
        <x:f>IF(ISNUMBER(AB821),ROUND(AB821-(AB821*0.015+0.2)-V821,2),"")</x:f>
      </x:c>
      <x:c r="AD821" s="36" t="str">
        <x:f>IF(ISNUMBER(Y821),ROUND(Y821*0.8,2),"")</x:f>
      </x:c>
      <x:c r="AE821" s="36" t="str">
        <x:f>IF(ISNUMBER(AD821),ROUND(AD821*0.015+0.2,2),"")</x:f>
      </x:c>
      <x:c r="AF821" s="36" t="str">
        <x:f>IF(ISNUMBER(AD821),ROUND(AD821-AE821-V821,2),"")</x:f>
      </x:c>
      <x:c r="AG821" t="str">
        <x:f>IF(NOT(ISNUMBER(T821)),"PENDING",IF(AF821&gt;0,"PASS","FAIL"))</x:f>
        <x:v>PENDING</x:v>
      </x:c>
      <x:c r="AH821" t="str">
        <x:f>IF(NOT(ISNUMBER(T821)),"Needs supplier cost",IF(K821&lt;&gt;"In stock","Supplier unavailable",IF(AG821&lt;&gt;"PASS","BLOCK - GT loss risk","Commercially protected")))</x:f>
        <x:v>Needs supplier cost</x:v>
      </x:c>
      <x:c r="AI821" t="str">
        <x:v>2026-09-10 Active Sports trade capture</x:v>
      </x:c>
      <x:c r="AJ821" t="str">
        <x:v>Management-only economics. Stripe stress test uses 1.5% + £0.20 standard UK online-card fee; pallet/mix-and-match pricing ignored.</x:v>
      </x:c>
    </x:row>
    <x:row r="822">
      <x:c r="A822" t="str">
        <x:v>Active Sports Nutrition</x:v>
      </x:c>
      <x:c r="B822" t="str">
        <x:v>Complete Strength</x:v>
      </x:c>
      <x:c r="C822" t="str">
        <x:v>Complete Amino</x:v>
      </x:c>
      <x:c r="D822" t="str">
        <x:v>Supplements</x:v>
      </x:c>
      <x:c r="E822" t="str">
        <x:v>Amino Acids</x:v>
      </x:c>
      <x:c r="F822" t="str">
        <x:v>Full-spectrum essential amino acid formula.</x:v>
      </x:c>
      <x:c r="G822" t="str">
        <x:v>375g</x:v>
      </x:c>
      <x:c r="H822" t="str">
        <x:v>Strawberry Kiwi Crushy</x:v>
      </x:c>
      <x:c r="I822" t="str"/>
      <x:c r="J822" t="str">
        <x:v>Unit</x:v>
      </x:c>
      <x:c r="K822" t="str">
        <x:v>Out of stock</x:v>
      </x:c>
      <x:c r="L822" t="str">
        <x:v>2026-09-08</x:v>
      </x:c>
      <x:c r="M822" t="str"/>
      <x:c r="N822" t="str"/>
      <x:c r="O822" t="str">
        <x:v>https://www.activesportstrade.co.uk/complete-strength-trade</x:v>
      </x:c>
      <x:c r="P822" t="str">
        <x:v>Current page state used; older brand crawl showed these flavours in stock.</x:v>
      </x:c>
      <x:c r="Q822" t="str"/>
      <x:c r="R822" t="str"/>
      <x:c r="S822" t="str">
        <x:v>Pending genuine supplier/brand image</x:v>
      </x:c>
      <x:c r="T822" s="54" t="n">
        <x:v>8.99</x:v>
      </x:c>
      <x:c r="U822" s="47" t="n">
        <x:v>0.2</x:v>
      </x:c>
      <x:c r="V822" s="54" t="n">
        <x:f>IF(ISNUMBER(T822),T822*(1+U822),"")</x:f>
        <x:v>10.788</x:v>
      </x:c>
      <x:c r="W822" s="47" t="n">
        <x:v>0.3</x:v>
      </x:c>
      <x:c r="X822" s="54" t="n">
        <x:f>IF(ISNUMBER(V822),V822/(1-W822),"")</x:f>
        <x:v>15.411428571428573</x:v>
      </x:c>
      <x:c r="Y822" s="55" t="n">
        <x:f>IF(ISNUMBER(X822),ROUNDUP(X822,0),"")</x:f>
        <x:v>16</x:v>
      </x:c>
      <x:c r="Z822" t="str">
        <x:v>Source match pending</x:v>
      </x:c>
      <x:c r="AA822" t="str">
        <x:v>screencapture-www-activesportstrade-co-uk-complete-strength-trade-2026-09-09-18_23_45.png / page-001</x:v>
      </x:c>
      <x:c r="AB822" s="36" t="n">
        <x:f>IF(ISNUMBER(Y822),ROUND(Y822*0.9,2),"")</x:f>
        <x:v>14.4</x:v>
      </x:c>
      <x:c r="AC822" s="36" t="n">
        <x:f>IF(ISNUMBER(AB822),ROUND(AB822-(AB822*0.015+0.2)-V822,2),"")</x:f>
        <x:v>3.2</x:v>
      </x:c>
      <x:c r="AD822" s="36" t="n">
        <x:f>IF(ISNUMBER(Y822),ROUND(Y822*0.8,2),"")</x:f>
        <x:v>12.8</x:v>
      </x:c>
      <x:c r="AE822" s="36" t="n">
        <x:f>IF(ISNUMBER(AD822),ROUND(AD822*0.015+0.2,2),"")</x:f>
        <x:v>0.39</x:v>
      </x:c>
      <x:c r="AF822" s="36" t="n">
        <x:f>IF(ISNUMBER(AD822),ROUND(AD822-AE822-V822,2),"")</x:f>
        <x:v>1.62</x:v>
      </x:c>
      <x:c r="AG822" t="str">
        <x:f>IF(NOT(ISNUMBER(T822)),"PENDING",IF(AF822&gt;0,"PASS","FAIL"))</x:f>
        <x:v>PASS</x:v>
      </x:c>
      <x:c r="AH822" t="str">
        <x:f>IF(NOT(ISNUMBER(T822)),"Needs supplier cost",IF(K822&lt;&gt;"In stock","Supplier unavailable",IF(AG822&lt;&gt;"PASS","BLOCK - GT loss risk","Commercially protected")))</x:f>
        <x:v>Supplier unavailable</x:v>
      </x:c>
      <x:c r="AI822" t="str">
        <x:v>2026-09-10 Active Sports trade capture</x:v>
      </x:c>
      <x:c r="AJ822" t="str">
        <x:v>Management-only economics. Stripe stress test uses 1.5% + £0.20 standard UK online-card fee; pallet/mix-and-match pricing ignored.</x:v>
      </x:c>
    </x:row>
    <x:row r="823">
      <x:c r="A823" t="str">
        <x:v>Active Sports Nutrition</x:v>
      </x:c>
      <x:c r="B823" t="str">
        <x:v>Complete Strength</x:v>
      </x:c>
      <x:c r="C823" t="str">
        <x:v>Complete Amino</x:v>
      </x:c>
      <x:c r="D823" t="str">
        <x:v>Supplements</x:v>
      </x:c>
      <x:c r="E823" t="str">
        <x:v>Amino Acids</x:v>
      </x:c>
      <x:c r="F823" t="str">
        <x:v>Full-spectrum essential amino acid formula.</x:v>
      </x:c>
      <x:c r="G823" t="str">
        <x:v>375g</x:v>
      </x:c>
      <x:c r="H823" t="str">
        <x:v>Tangy Apple</x:v>
      </x:c>
      <x:c r="I823" t="str"/>
      <x:c r="J823" t="str">
        <x:v>Unit</x:v>
      </x:c>
      <x:c r="K823" t="str">
        <x:v>Out of stock</x:v>
      </x:c>
      <x:c r="L823" t="str">
        <x:v>2026-09-08</x:v>
      </x:c>
      <x:c r="M823" t="str"/>
      <x:c r="N823" t="str"/>
      <x:c r="O823" t="str">
        <x:v>https://www.activesportstrade.co.uk/complete-strength-trade</x:v>
      </x:c>
      <x:c r="P823" t="str">
        <x:v>Current page state used; older brand crawl showed these flavours in stock.</x:v>
      </x:c>
      <x:c r="Q823" t="str"/>
      <x:c r="R823" t="str"/>
      <x:c r="S823" t="str">
        <x:v>Pending genuine supplier/brand image</x:v>
      </x:c>
      <x:c r="T823" s="54" t="n">
        <x:v>8.99</x:v>
      </x:c>
      <x:c r="U823" s="47" t="n">
        <x:v>0.2</x:v>
      </x:c>
      <x:c r="V823" s="54" t="n">
        <x:f>IF(ISNUMBER(T823),T823*(1+U823),"")</x:f>
        <x:v>10.788</x:v>
      </x:c>
      <x:c r="W823" s="47" t="n">
        <x:v>0.3</x:v>
      </x:c>
      <x:c r="X823" s="54" t="n">
        <x:f>IF(ISNUMBER(V823),V823/(1-W823),"")</x:f>
        <x:v>15.411428571428573</x:v>
      </x:c>
      <x:c r="Y823" s="55" t="n">
        <x:f>IF(ISNUMBER(X823),ROUNDUP(X823,0),"")</x:f>
        <x:v>16</x:v>
      </x:c>
      <x:c r="Z823" t="str">
        <x:v>Source match pending</x:v>
      </x:c>
      <x:c r="AA823" t="str">
        <x:v>screencapture-www-activesportstrade-co-uk-complete-strength-trade-2026-09-09-18_23_45.png / page-001</x:v>
      </x:c>
      <x:c r="AB823" s="36" t="n">
        <x:f>IF(ISNUMBER(Y823),ROUND(Y823*0.9,2),"")</x:f>
        <x:v>14.4</x:v>
      </x:c>
      <x:c r="AC823" s="36" t="n">
        <x:f>IF(ISNUMBER(AB823),ROUND(AB823-(AB823*0.015+0.2)-V823,2),"")</x:f>
        <x:v>3.2</x:v>
      </x:c>
      <x:c r="AD823" s="36" t="n">
        <x:f>IF(ISNUMBER(Y823),ROUND(Y823*0.8,2),"")</x:f>
        <x:v>12.8</x:v>
      </x:c>
      <x:c r="AE823" s="36" t="n">
        <x:f>IF(ISNUMBER(AD823),ROUND(AD823*0.015+0.2,2),"")</x:f>
        <x:v>0.39</x:v>
      </x:c>
      <x:c r="AF823" s="36" t="n">
        <x:f>IF(ISNUMBER(AD823),ROUND(AD823-AE823-V823,2),"")</x:f>
        <x:v>1.62</x:v>
      </x:c>
      <x:c r="AG823" t="str">
        <x:f>IF(NOT(ISNUMBER(T823)),"PENDING",IF(AF823&gt;0,"PASS","FAIL"))</x:f>
        <x:v>PASS</x:v>
      </x:c>
      <x:c r="AH823" t="str">
        <x:f>IF(NOT(ISNUMBER(T823)),"Needs supplier cost",IF(K823&lt;&gt;"In stock","Supplier unavailable",IF(AG823&lt;&gt;"PASS","BLOCK - GT loss risk","Commercially protected")))</x:f>
        <x:v>Supplier unavailable</x:v>
      </x:c>
      <x:c r="AI823" t="str">
        <x:v>2026-09-10 Active Sports trade capture</x:v>
      </x:c>
      <x:c r="AJ823" t="str">
        <x:v>Management-only economics. Stripe stress test uses 1.5% + £0.20 standard UK online-card fee; pallet/mix-and-match pricing ignored.</x:v>
      </x:c>
    </x:row>
    <x:row r="824">
      <x:c r="A824" t="str">
        <x:v>Active Sports Nutrition</x:v>
      </x:c>
      <x:c r="B824" t="str">
        <x:v>Complete Strength</x:v>
      </x:c>
      <x:c r="C824" t="str">
        <x:v>Complete Amino</x:v>
      </x:c>
      <x:c r="D824" t="str">
        <x:v>Supplements</x:v>
      </x:c>
      <x:c r="E824" t="str">
        <x:v>Amino Acids</x:v>
      </x:c>
      <x:c r="F824" t="str">
        <x:v>Full-spectrum essential amino acid formula.</x:v>
      </x:c>
      <x:c r="G824" t="str">
        <x:v>375g</x:v>
      </x:c>
      <x:c r="H824" t="str">
        <x:v>Tropical Juice Box</x:v>
      </x:c>
      <x:c r="I824" t="str"/>
      <x:c r="J824" t="str">
        <x:v>Unit</x:v>
      </x:c>
      <x:c r="K824" t="str">
        <x:v>Out of stock</x:v>
      </x:c>
      <x:c r="L824" t="str">
        <x:v>2026-09-08</x:v>
      </x:c>
      <x:c r="M824" t="str"/>
      <x:c r="N824" t="str"/>
      <x:c r="O824" t="str">
        <x:v>https://www.activesportstrade.co.uk/complete-strength-trade</x:v>
      </x:c>
      <x:c r="P824" t="str">
        <x:v>Current page state used; older brand crawl showed these flavours in stock.</x:v>
      </x:c>
      <x:c r="Q824" t="str"/>
      <x:c r="R824" t="str"/>
      <x:c r="S824" t="str">
        <x:v>Pending genuine supplier/brand image</x:v>
      </x:c>
      <x:c r="T824" s="54" t="n">
        <x:v>8.99</x:v>
      </x:c>
      <x:c r="U824" s="47" t="n">
        <x:v>0.2</x:v>
      </x:c>
      <x:c r="V824" s="54" t="n">
        <x:f>IF(ISNUMBER(T824),T824*(1+U824),"")</x:f>
        <x:v>10.788</x:v>
      </x:c>
      <x:c r="W824" s="47" t="n">
        <x:v>0.3</x:v>
      </x:c>
      <x:c r="X824" s="54" t="n">
        <x:f>IF(ISNUMBER(V824),V824/(1-W824),"")</x:f>
        <x:v>15.411428571428573</x:v>
      </x:c>
      <x:c r="Y824" s="55" t="n">
        <x:f>IF(ISNUMBER(X824),ROUNDUP(X824,0),"")</x:f>
        <x:v>16</x:v>
      </x:c>
      <x:c r="Z824" t="str">
        <x:v>Source match pending</x:v>
      </x:c>
      <x:c r="AA824" t="str">
        <x:v>screencapture-www-activesportstrade-co-uk-complete-strength-trade-2026-09-09-18_23_45.png / page-001</x:v>
      </x:c>
      <x:c r="AB824" s="36" t="n">
        <x:f>IF(ISNUMBER(Y824),ROUND(Y824*0.9,2),"")</x:f>
        <x:v>14.4</x:v>
      </x:c>
      <x:c r="AC824" s="36" t="n">
        <x:f>IF(ISNUMBER(AB824),ROUND(AB824-(AB824*0.015+0.2)-V824,2),"")</x:f>
        <x:v>3.2</x:v>
      </x:c>
      <x:c r="AD824" s="36" t="n">
        <x:f>IF(ISNUMBER(Y824),ROUND(Y824*0.8,2),"")</x:f>
        <x:v>12.8</x:v>
      </x:c>
      <x:c r="AE824" s="36" t="n">
        <x:f>IF(ISNUMBER(AD824),ROUND(AD824*0.015+0.2,2),"")</x:f>
        <x:v>0.39</x:v>
      </x:c>
      <x:c r="AF824" s="36" t="n">
        <x:f>IF(ISNUMBER(AD824),ROUND(AD824-AE824-V824,2),"")</x:f>
        <x:v>1.62</x:v>
      </x:c>
      <x:c r="AG824" t="str">
        <x:f>IF(NOT(ISNUMBER(T824)),"PENDING",IF(AF824&gt;0,"PASS","FAIL"))</x:f>
        <x:v>PASS</x:v>
      </x:c>
      <x:c r="AH824" t="str">
        <x:f>IF(NOT(ISNUMBER(T824)),"Needs supplier cost",IF(K824&lt;&gt;"In stock","Supplier unavailable",IF(AG824&lt;&gt;"PASS","BLOCK - GT loss risk","Commercially protected")))</x:f>
        <x:v>Supplier unavailable</x:v>
      </x:c>
      <x:c r="AI824" t="str">
        <x:v>2026-09-10 Active Sports trade capture</x:v>
      </x:c>
      <x:c r="AJ824" t="str">
        <x:v>Management-only economics. Stripe stress test uses 1.5% + £0.20 standard UK online-card fee; pallet/mix-and-match pricing ignored.</x:v>
      </x:c>
    </x:row>
    <x:row r="825">
      <x:c r="A825" t="str">
        <x:v>Active Sports Nutrition</x:v>
      </x:c>
      <x:c r="B825" t="str">
        <x:v>Complete Strength</x:v>
      </x:c>
      <x:c r="C825" t="str">
        <x:v>Complete Creatine Monohydrate</x:v>
      </x:c>
      <x:c r="D825" t="str">
        <x:v>Supplements</x:v>
      </x:c>
      <x:c r="E825" t="str">
        <x:v>Creatine Powders</x:v>
      </x:c>
      <x:c r="F825" t="str">
        <x:v>Creatine monohydrate powder.</x:v>
      </x:c>
      <x:c r="G825" t="str">
        <x:v>300g</x:v>
      </x:c>
      <x:c r="H825" t="str">
        <x:v>Unflavoured</x:v>
      </x:c>
      <x:c r="I825" t="str"/>
      <x:c r="J825" t="str">
        <x:v>Unit</x:v>
      </x:c>
      <x:c r="K825" t="str">
        <x:v>In stock</x:v>
      </x:c>
      <x:c r="L825" t="str">
        <x:v>2026-09-08</x:v>
      </x:c>
      <x:c r="M825" t="str"/>
      <x:c r="N825" t="str"/>
      <x:c r="O825" t="str">
        <x:v>https://www.activesportstrade.co.uk/complete-strength-trade</x:v>
      </x:c>
      <x:c r="P825" t="str"/>
      <x:c r="Q825" t="str"/>
      <x:c r="R825" t="str"/>
      <x:c r="S825" t="str">
        <x:v>Pending genuine supplier/brand image</x:v>
      </x:c>
      <x:c r="T825" s="54" t="n">
        <x:v>7.5</x:v>
      </x:c>
      <x:c r="U825" s="47" t="n">
        <x:v>0.2</x:v>
      </x:c>
      <x:c r="V825" s="54" t="n">
        <x:f>IF(ISNUMBER(T825),T825*(1+U825),"")</x:f>
        <x:v>9</x:v>
      </x:c>
      <x:c r="W825" s="47" t="n">
        <x:v>0.3</x:v>
      </x:c>
      <x:c r="X825" s="54" t="n">
        <x:f>IF(ISNUMBER(V825),V825/(1-W825),"")</x:f>
        <x:v>12.857142857142858</x:v>
      </x:c>
      <x:c r="Y825" s="55" t="n">
        <x:f>IF(ISNUMBER(X825),ROUNDUP(X825,0),"")</x:f>
        <x:v>13</x:v>
      </x:c>
      <x:c r="Z825" t="str">
        <x:v>Source match pending</x:v>
      </x:c>
      <x:c r="AA825" t="str">
        <x:v>screencapture-www-activesportstrade-co-uk-complete-strength-trade-2026-09-09-18_23_45.png / page-001</x:v>
      </x:c>
      <x:c r="AB825" s="36" t="n">
        <x:f>IF(ISNUMBER(Y825),ROUND(Y825*0.9,2),"")</x:f>
        <x:v>11.7</x:v>
      </x:c>
      <x:c r="AC825" s="36" t="n">
        <x:f>IF(ISNUMBER(AB825),ROUND(AB825-(AB825*0.015+0.2)-V825,2),"")</x:f>
        <x:v>2.32</x:v>
      </x:c>
      <x:c r="AD825" s="36" t="n">
        <x:f>IF(ISNUMBER(Y825),ROUND(Y825*0.8,2),"")</x:f>
        <x:v>10.4</x:v>
      </x:c>
      <x:c r="AE825" s="36" t="n">
        <x:f>IF(ISNUMBER(AD825),ROUND(AD825*0.015+0.2,2),"")</x:f>
        <x:v>0.36</x:v>
      </x:c>
      <x:c r="AF825" s="36" t="n">
        <x:f>IF(ISNUMBER(AD825),ROUND(AD825-AE825-V825,2),"")</x:f>
        <x:v>1.04</x:v>
      </x:c>
      <x:c r="AG825" t="str">
        <x:f>IF(NOT(ISNUMBER(T825)),"PENDING",IF(AF825&gt;0,"PASS","FAIL"))</x:f>
        <x:v>PASS</x:v>
      </x:c>
      <x:c r="AH825" t="str">
        <x:f>IF(NOT(ISNUMBER(T825)),"Needs supplier cost",IF(K825&lt;&gt;"In stock","Supplier unavailable",IF(AG825&lt;&gt;"PASS","BLOCK - GT loss risk","Commercially protected")))</x:f>
        <x:v>Commercially protected</x:v>
      </x:c>
      <x:c r="AI825" t="str">
        <x:v>2026-09-10 Active Sports trade capture</x:v>
      </x:c>
      <x:c r="AJ825" t="str">
        <x:v>Management-only economics. Stripe stress test uses 1.5% + £0.20 standard UK online-card fee; pallet/mix-and-match pricing ignored.</x:v>
      </x:c>
    </x:row>
    <x:row r="826">
      <x:c r="A826" t="str">
        <x:v>Active Sports Nutrition</x:v>
      </x:c>
      <x:c r="B826" t="str">
        <x:v>Complete Strength</x:v>
      </x:c>
      <x:c r="C826" t="str">
        <x:v>Complete Glutamine</x:v>
      </x:c>
      <x:c r="D826" t="str">
        <x:v>Supplements</x:v>
      </x:c>
      <x:c r="E826" t="str">
        <x:v>L-Glutamine</x:v>
      </x:c>
      <x:c r="F826" t="str">
        <x:v>L-glutamine powder.</x:v>
      </x:c>
      <x:c r="G826" t="str">
        <x:v>300g</x:v>
      </x:c>
      <x:c r="H826" t="str">
        <x:v>Unflavoured</x:v>
      </x:c>
      <x:c r="I826" t="str"/>
      <x:c r="J826" t="str">
        <x:v>Unit</x:v>
      </x:c>
      <x:c r="K826" t="str">
        <x:v>In stock</x:v>
      </x:c>
      <x:c r="L826" t="str">
        <x:v>2026-09-08</x:v>
      </x:c>
      <x:c r="M826" t="str"/>
      <x:c r="N826" t="str"/>
      <x:c r="O826" t="str">
        <x:v>https://www.activesportstrade.co.uk/complete-strength-trade</x:v>
      </x:c>
      <x:c r="P826" t="str"/>
      <x:c r="Q826" t="str"/>
      <x:c r="R826" t="str"/>
      <x:c r="S826" t="str">
        <x:v>Pending genuine supplier/brand image</x:v>
      </x:c>
      <x:c r="T826" s="54" t="n">
        <x:v>8.99</x:v>
      </x:c>
      <x:c r="U826" s="47" t="n">
        <x:v>0.2</x:v>
      </x:c>
      <x:c r="V826" s="54" t="n">
        <x:f>IF(ISNUMBER(T826),T826*(1+U826),"")</x:f>
        <x:v>10.788</x:v>
      </x:c>
      <x:c r="W826" s="47" t="n">
        <x:v>0.3</x:v>
      </x:c>
      <x:c r="X826" s="54" t="n">
        <x:f>IF(ISNUMBER(V826),V826/(1-W826),"")</x:f>
        <x:v>15.411428571428573</x:v>
      </x:c>
      <x:c r="Y826" s="55" t="n">
        <x:f>IF(ISNUMBER(X826),ROUNDUP(X826,0),"")</x:f>
        <x:v>16</x:v>
      </x:c>
      <x:c r="Z826" t="str">
        <x:v>Source match pending</x:v>
      </x:c>
      <x:c r="AA826" t="str">
        <x:v>screencapture-www-activesportstrade-co-uk-complete-strength-trade-2026-09-09-18_23_45.png / page-001</x:v>
      </x:c>
      <x:c r="AB826" s="36" t="n">
        <x:f>IF(ISNUMBER(Y826),ROUND(Y826*0.9,2),"")</x:f>
        <x:v>14.4</x:v>
      </x:c>
      <x:c r="AC826" s="36" t="n">
        <x:f>IF(ISNUMBER(AB826),ROUND(AB826-(AB826*0.015+0.2)-V826,2),"")</x:f>
        <x:v>3.2</x:v>
      </x:c>
      <x:c r="AD826" s="36" t="n">
        <x:f>IF(ISNUMBER(Y826),ROUND(Y826*0.8,2),"")</x:f>
        <x:v>12.8</x:v>
      </x:c>
      <x:c r="AE826" s="36" t="n">
        <x:f>IF(ISNUMBER(AD826),ROUND(AD826*0.015+0.2,2),"")</x:f>
        <x:v>0.39</x:v>
      </x:c>
      <x:c r="AF826" s="36" t="n">
        <x:f>IF(ISNUMBER(AD826),ROUND(AD826-AE826-V826,2),"")</x:f>
        <x:v>1.62</x:v>
      </x:c>
      <x:c r="AG826" t="str">
        <x:f>IF(NOT(ISNUMBER(T826)),"PENDING",IF(AF826&gt;0,"PASS","FAIL"))</x:f>
        <x:v>PASS</x:v>
      </x:c>
      <x:c r="AH826" t="str">
        <x:f>IF(NOT(ISNUMBER(T826)),"Needs supplier cost",IF(K826&lt;&gt;"In stock","Supplier unavailable",IF(AG826&lt;&gt;"PASS","BLOCK - GT loss risk","Commercially protected")))</x:f>
        <x:v>Commercially protected</x:v>
      </x:c>
      <x:c r="AI826" t="str">
        <x:v>2026-09-10 Active Sports trade capture</x:v>
      </x:c>
      <x:c r="AJ826" t="str">
        <x:v>Management-only economics. Stripe stress test uses 1.5% + £0.20 standard UK online-card fee; pallet/mix-and-match pricing ignored.</x:v>
      </x:c>
    </x:row>
    <x:row r="827">
      <x:c r="A827" t="str">
        <x:v>Active Sports Nutrition</x:v>
      </x:c>
      <x:c r="B827" t="str">
        <x:v>Complete Strength</x:v>
      </x:c>
      <x:c r="C827" t="str">
        <x:v>Complete Hydration</x:v>
      </x:c>
      <x:c r="D827" t="str">
        <x:v>Supplements</x:v>
      </x:c>
      <x:c r="E827" t="str">
        <x:v>Hydration</x:v>
      </x:c>
      <x:c r="F827" t="str">
        <x:v>Hydration/electrolyte formula.</x:v>
      </x:c>
      <x:c r="G827" t="str">
        <x:v>60 servings</x:v>
      </x:c>
      <x:c r="H827" t="str">
        <x:v>Strawberry Kiwi</x:v>
      </x:c>
      <x:c r="I827" t="str"/>
      <x:c r="J827" t="str">
        <x:v>Unit</x:v>
      </x:c>
      <x:c r="K827" t="str">
        <x:v>In stock</x:v>
      </x:c>
      <x:c r="L827" t="str">
        <x:v>2026-09-08</x:v>
      </x:c>
      <x:c r="M827" t="str"/>
      <x:c r="N827" t="str"/>
      <x:c r="O827" t="str">
        <x:v>https://www.activesportstrade.co.uk/complete-strength-trade</x:v>
      </x:c>
      <x:c r="P827" t="str"/>
      <x:c r="Q827" t="str"/>
      <x:c r="R827" t="str"/>
      <x:c r="S827" t="str">
        <x:v>Pending genuine supplier/brand image</x:v>
      </x:c>
      <x:c r="T827" s="54" t="n">
        <x:v>9.99</x:v>
      </x:c>
      <x:c r="U827" s="47" t="n">
        <x:v>0.2</x:v>
      </x:c>
      <x:c r="V827" s="54" t="n">
        <x:f>IF(ISNUMBER(T827),T827*(1+U827),"")</x:f>
        <x:v>11.988</x:v>
      </x:c>
      <x:c r="W827" s="47" t="n">
        <x:v>0.3</x:v>
      </x:c>
      <x:c r="X827" s="54" t="n">
        <x:f>IF(ISNUMBER(V827),V827/(1-W827),"")</x:f>
        <x:v>17.125714285714285</x:v>
      </x:c>
      <x:c r="Y827" s="55" t="n">
        <x:f>IF(ISNUMBER(X827),ROUNDUP(X827,0),"")</x:f>
        <x:v>18</x:v>
      </x:c>
      <x:c r="Z827" t="str">
        <x:v>Source match pending</x:v>
      </x:c>
      <x:c r="AA827" t="str">
        <x:v>screencapture-www-activesportstrade-co-uk-complete-strength-trade-2026-09-09-18_23_45.png / page-001</x:v>
      </x:c>
      <x:c r="AB827" s="36" t="n">
        <x:f>IF(ISNUMBER(Y827),ROUND(Y827*0.9,2),"")</x:f>
        <x:v>16.2</x:v>
      </x:c>
      <x:c r="AC827" s="36" t="n">
        <x:f>IF(ISNUMBER(AB827),ROUND(AB827-(AB827*0.015+0.2)-V827,2),"")</x:f>
        <x:v>3.77</x:v>
      </x:c>
      <x:c r="AD827" s="36" t="n">
        <x:f>IF(ISNUMBER(Y827),ROUND(Y827*0.8,2),"")</x:f>
        <x:v>14.4</x:v>
      </x:c>
      <x:c r="AE827" s="36" t="n">
        <x:f>IF(ISNUMBER(AD827),ROUND(AD827*0.015+0.2,2),"")</x:f>
        <x:v>0.42</x:v>
      </x:c>
      <x:c r="AF827" s="36" t="n">
        <x:f>IF(ISNUMBER(AD827),ROUND(AD827-AE827-V827,2),"")</x:f>
        <x:v>1.99</x:v>
      </x:c>
      <x:c r="AG827" t="str">
        <x:f>IF(NOT(ISNUMBER(T827)),"PENDING",IF(AF827&gt;0,"PASS","FAIL"))</x:f>
        <x:v>PASS</x:v>
      </x:c>
      <x:c r="AH827" t="str">
        <x:f>IF(NOT(ISNUMBER(T827)),"Needs supplier cost",IF(K827&lt;&gt;"In stock","Supplier unavailable",IF(AG827&lt;&gt;"PASS","BLOCK - GT loss risk","Commercially protected")))</x:f>
        <x:v>Commercially protected</x:v>
      </x:c>
      <x:c r="AI827" t="str">
        <x:v>2026-09-10 Active Sports trade capture</x:v>
      </x:c>
      <x:c r="AJ827" t="str">
        <x:v>Management-only economics. Stripe stress test uses 1.5% + £0.20 standard UK online-card fee; pallet/mix-and-match pricing ignored.</x:v>
      </x:c>
    </x:row>
    <x:row r="828">
      <x:c r="A828" t="str">
        <x:v>Active Sports Nutrition</x:v>
      </x:c>
      <x:c r="B828" t="str">
        <x:v>Complete Strength</x:v>
      </x:c>
      <x:c r="C828" t="str">
        <x:v>Complete Hydration</x:v>
      </x:c>
      <x:c r="D828" t="str">
        <x:v>Supplements</x:v>
      </x:c>
      <x:c r="E828" t="str">
        <x:v>Hydration</x:v>
      </x:c>
      <x:c r="F828" t="str">
        <x:v>Hydration/electrolyte formula.</x:v>
      </x:c>
      <x:c r="G828" t="str">
        <x:v>60 servings</x:v>
      </x:c>
      <x:c r="H828" t="str">
        <x:v>Tropical Crush</x:v>
      </x:c>
      <x:c r="I828" t="str"/>
      <x:c r="J828" t="str">
        <x:v>Unit</x:v>
      </x:c>
      <x:c r="K828" t="str">
        <x:v>In stock</x:v>
      </x:c>
      <x:c r="L828" t="str">
        <x:v>2026-09-08</x:v>
      </x:c>
      <x:c r="M828" t="str"/>
      <x:c r="N828" t="str"/>
      <x:c r="O828" t="str">
        <x:v>https://www.activesportstrade.co.uk/complete-strength-trade</x:v>
      </x:c>
      <x:c r="P828" t="str"/>
      <x:c r="Q828" t="str"/>
      <x:c r="R828" t="str"/>
      <x:c r="S828" t="str">
        <x:v>Pending genuine supplier/brand image</x:v>
      </x:c>
      <x:c r="T828" s="54" t="n">
        <x:v>9.99</x:v>
      </x:c>
      <x:c r="U828" s="47" t="n">
        <x:v>0.2</x:v>
      </x:c>
      <x:c r="V828" s="54" t="n">
        <x:f>IF(ISNUMBER(T828),T828*(1+U828),"")</x:f>
        <x:v>11.988</x:v>
      </x:c>
      <x:c r="W828" s="47" t="n">
        <x:v>0.3</x:v>
      </x:c>
      <x:c r="X828" s="54" t="n">
        <x:f>IF(ISNUMBER(V828),V828/(1-W828),"")</x:f>
        <x:v>17.125714285714285</x:v>
      </x:c>
      <x:c r="Y828" s="55" t="n">
        <x:f>IF(ISNUMBER(X828),ROUNDUP(X828,0),"")</x:f>
        <x:v>18</x:v>
      </x:c>
      <x:c r="Z828" t="str">
        <x:v>Source match pending</x:v>
      </x:c>
      <x:c r="AA828" t="str">
        <x:v>screencapture-www-activesportstrade-co-uk-complete-strength-trade-2026-09-09-18_23_45.png / page-001</x:v>
      </x:c>
      <x:c r="AB828" s="36" t="n">
        <x:f>IF(ISNUMBER(Y828),ROUND(Y828*0.9,2),"")</x:f>
        <x:v>16.2</x:v>
      </x:c>
      <x:c r="AC828" s="36" t="n">
        <x:f>IF(ISNUMBER(AB828),ROUND(AB828-(AB828*0.015+0.2)-V828,2),"")</x:f>
        <x:v>3.77</x:v>
      </x:c>
      <x:c r="AD828" s="36" t="n">
        <x:f>IF(ISNUMBER(Y828),ROUND(Y828*0.8,2),"")</x:f>
        <x:v>14.4</x:v>
      </x:c>
      <x:c r="AE828" s="36" t="n">
        <x:f>IF(ISNUMBER(AD828),ROUND(AD828*0.015+0.2,2),"")</x:f>
        <x:v>0.42</x:v>
      </x:c>
      <x:c r="AF828" s="36" t="n">
        <x:f>IF(ISNUMBER(AD828),ROUND(AD828-AE828-V828,2),"")</x:f>
        <x:v>1.99</x:v>
      </x:c>
      <x:c r="AG828" t="str">
        <x:f>IF(NOT(ISNUMBER(T828)),"PENDING",IF(AF828&gt;0,"PASS","FAIL"))</x:f>
        <x:v>PASS</x:v>
      </x:c>
      <x:c r="AH828" t="str">
        <x:f>IF(NOT(ISNUMBER(T828)),"Needs supplier cost",IF(K828&lt;&gt;"In stock","Supplier unavailable",IF(AG828&lt;&gt;"PASS","BLOCK - GT loss risk","Commercially protected")))</x:f>
        <x:v>Commercially protected</x:v>
      </x:c>
      <x:c r="AI828" t="str">
        <x:v>2026-09-10 Active Sports trade capture</x:v>
      </x:c>
      <x:c r="AJ828" t="str">
        <x:v>Management-only economics. Stripe stress test uses 1.5% + £0.20 standard UK online-card fee; pallet/mix-and-match pricing ignored.</x:v>
      </x:c>
    </x:row>
    <x:row r="829">
      <x:c r="A829" t="str">
        <x:v>Active Sports Nutrition</x:v>
      </x:c>
      <x:c r="B829" t="str">
        <x:v>Complete Strength</x:v>
      </x:c>
      <x:c r="C829" t="str">
        <x:v>Complete Multi Vit</x:v>
      </x:c>
      <x:c r="D829" t="str">
        <x:v>Supplements</x:v>
      </x:c>
      <x:c r="E829" t="str">
        <x:v>Vitamins</x:v>
      </x:c>
      <x:c r="F829" t="str">
        <x:v>Daily multivitamin formula.</x:v>
      </x:c>
      <x:c r="G829" t="str">
        <x:v>30 caps</x:v>
      </x:c>
      <x:c r="H829" t="str">
        <x:v>Default</x:v>
      </x:c>
      <x:c r="I829" t="str"/>
      <x:c r="J829" t="str">
        <x:v>Unit</x:v>
      </x:c>
      <x:c r="K829" t="str">
        <x:v>In stock</x:v>
      </x:c>
      <x:c r="L829" t="str">
        <x:v>2026-09-08</x:v>
      </x:c>
      <x:c r="M829" t="str"/>
      <x:c r="N829" t="str"/>
      <x:c r="O829" t="str">
        <x:v>https://www.activesportstrade.co.uk/complete-strength-trade</x:v>
      </x:c>
      <x:c r="P829" t="str"/>
      <x:c r="Q829" t="str"/>
      <x:c r="R829" t="str"/>
      <x:c r="S829" t="str">
        <x:v>Pending genuine supplier/brand image</x:v>
      </x:c>
      <x:c r="T829" s="54" t="n">
        <x:v>5.99</x:v>
      </x:c>
      <x:c r="U829" s="47" t="n">
        <x:v>0.2</x:v>
      </x:c>
      <x:c r="V829" s="54" t="n">
        <x:f>IF(ISNUMBER(T829),T829*(1+U829),"")</x:f>
        <x:v>7.188</x:v>
      </x:c>
      <x:c r="W829" s="47" t="n">
        <x:v>0.3</x:v>
      </x:c>
      <x:c r="X829" s="54" t="n">
        <x:f>IF(ISNUMBER(V829),V829/(1-W829),"")</x:f>
        <x:v>10.268571428571429</x:v>
      </x:c>
      <x:c r="Y829" s="55" t="n">
        <x:f>IF(ISNUMBER(X829),ROUNDUP(X829,0),"")</x:f>
        <x:v>11</x:v>
      </x:c>
      <x:c r="Z829" t="str">
        <x:v>Source match pending</x:v>
      </x:c>
      <x:c r="AA829" t="str">
        <x:v>screencapture-www-activesportstrade-co-uk-complete-strength-trade-2026-09-09-18_23_45.png / page-001</x:v>
      </x:c>
      <x:c r="AB829" s="36" t="n">
        <x:f>IF(ISNUMBER(Y829),ROUND(Y829*0.9,2),"")</x:f>
        <x:v>9.9</x:v>
      </x:c>
      <x:c r="AC829" s="36" t="n">
        <x:f>IF(ISNUMBER(AB829),ROUND(AB829-(AB829*0.015+0.2)-V829,2),"")</x:f>
        <x:v>2.36</x:v>
      </x:c>
      <x:c r="AD829" s="36" t="n">
        <x:f>IF(ISNUMBER(Y829),ROUND(Y829*0.8,2),"")</x:f>
        <x:v>8.8</x:v>
      </x:c>
      <x:c r="AE829" s="36" t="n">
        <x:f>IF(ISNUMBER(AD829),ROUND(AD829*0.015+0.2,2),"")</x:f>
        <x:v>0.33</x:v>
      </x:c>
      <x:c r="AF829" s="36" t="n">
        <x:f>IF(ISNUMBER(AD829),ROUND(AD829-AE829-V829,2),"")</x:f>
        <x:v>1.28</x:v>
      </x:c>
      <x:c r="AG829" t="str">
        <x:f>IF(NOT(ISNUMBER(T829)),"PENDING",IF(AF829&gt;0,"PASS","FAIL"))</x:f>
        <x:v>PASS</x:v>
      </x:c>
      <x:c r="AH829" t="str">
        <x:f>IF(NOT(ISNUMBER(T829)),"Needs supplier cost",IF(K829&lt;&gt;"In stock","Supplier unavailable",IF(AG829&lt;&gt;"PASS","BLOCK - GT loss risk","Commercially protected")))</x:f>
        <x:v>Commercially protected</x:v>
      </x:c>
      <x:c r="AI829" t="str">
        <x:v>2026-09-10 Active Sports trade capture</x:v>
      </x:c>
      <x:c r="AJ829" t="str">
        <x:v>Management-only economics. Stripe stress test uses 1.5% + £0.20 standard UK online-card fee; pallet/mix-and-match pricing ignored.</x:v>
      </x:c>
    </x:row>
    <x:row r="830">
      <x:c r="A830" t="str">
        <x:v>Active Sports Nutrition</x:v>
      </x:c>
      <x:c r="B830" t="str">
        <x:v>Conteh Sports</x:v>
      </x:c>
      <x:c r="C830" t="str">
        <x:v>Ashwagandha +</x:v>
      </x:c>
      <x:c r="D830" t="str">
        <x:v>Supplements</x:v>
      </x:c>
      <x:c r="E830" t="str">
        <x:v>Health Foods</x:v>
      </x:c>
      <x:c r="F830" t="str"/>
      <x:c r="G830" t="str">
        <x:v>120 caps</x:v>
      </x:c>
      <x:c r="H830" t="str">
        <x:v>Default</x:v>
      </x:c>
      <x:c r="I830" t="str"/>
      <x:c r="J830" t="str">
        <x:v>Unit</x:v>
      </x:c>
      <x:c r="K830" t="str">
        <x:v>In stock</x:v>
      </x:c>
      <x:c r="L830" t="str">
        <x:v>2026-09-08</x:v>
      </x:c>
      <x:c r="M830" t="str"/>
      <x:c r="N830" t="str"/>
      <x:c r="O830" t="str">
        <x:v>https://www.activesportstrade.co.uk/conteh-sports-trade</x:v>
      </x:c>
      <x:c r="P830" t="str">
        <x:v>Supplier SPECIAL OFFER / 10% OFF wording removed where present.</x:v>
      </x:c>
      <x:c r="Q830" t="str"/>
      <x:c r="R830" t="str"/>
      <x:c r="S830" t="str">
        <x:v>Pending genuine supplier/brand image</x:v>
      </x:c>
      <x:c r="T830" s="54"/>
      <x:c r="U830" s="47" t="n">
        <x:v>0.2</x:v>
      </x:c>
      <x:c r="V830" s="54" t="str">
        <x:f>IF(ISNUMBER(T830),T830*(1+U830),"")</x:f>
      </x:c>
      <x:c r="W830" s="47" t="n">
        <x:v>0.3</x:v>
      </x:c>
      <x:c r="X830" s="54" t="str">
        <x:f>IF(ISNUMBER(V830),V830/(1-W830),"")</x:f>
      </x:c>
      <x:c r="Y830" s="55" t="str">
        <x:f>IF(ISNUMBER(X830),ROUNDUP(X830,0),"")</x:f>
      </x:c>
      <x:c r="Z830" t="str">
        <x:f>IF(ISNUMBER(T830),"Cost captured","Awaiting trade cost")</x:f>
        <x:v>Awaiting trade cost</x:v>
      </x:c>
      <x:c r="AB830" s="36" t="str">
        <x:f>IF(ISNUMBER(Y830),ROUND(Y830*0.9,2),"")</x:f>
      </x:c>
      <x:c r="AC830" s="36" t="str">
        <x:f>IF(ISNUMBER(AB830),ROUND(AB830-(AB830*0.015+0.2)-V830,2),"")</x:f>
      </x:c>
      <x:c r="AD830" s="36" t="str">
        <x:f>IF(ISNUMBER(Y830),ROUND(Y830*0.8,2),"")</x:f>
      </x:c>
      <x:c r="AE830" s="36" t="str">
        <x:f>IF(ISNUMBER(AD830),ROUND(AD830*0.015+0.2,2),"")</x:f>
      </x:c>
      <x:c r="AF830" s="36" t="str">
        <x:f>IF(ISNUMBER(AD830),ROUND(AD830-AE830-V830,2),"")</x:f>
      </x:c>
      <x:c r="AG830" t="str">
        <x:f>IF(NOT(ISNUMBER(T830)),"PENDING",IF(AF830&gt;0,"PASS","FAIL"))</x:f>
        <x:v>PENDING</x:v>
      </x:c>
      <x:c r="AH830" t="str">
        <x:f>IF(NOT(ISNUMBER(T830)),"Needs supplier cost",IF(K830&lt;&gt;"In stock","Supplier unavailable",IF(AG830&lt;&gt;"PASS","BLOCK - GT loss risk","Commercially protected")))</x:f>
        <x:v>Needs supplier cost</x:v>
      </x:c>
      <x:c r="AI830" t="str">
        <x:v>2026-09-10 Active Sports trade capture</x:v>
      </x:c>
      <x:c r="AJ830" t="str">
        <x:v>Management-only economics. Stripe stress test uses 1.5% + £0.20 standard UK online-card fee; pallet/mix-and-match pricing ignored.</x:v>
      </x:c>
    </x:row>
    <x:row r="831">
      <x:c r="A831" t="str">
        <x:v>Active Sports Nutrition</x:v>
      </x:c>
      <x:c r="B831" t="str">
        <x:v>Conteh Sports</x:v>
      </x:c>
      <x:c r="C831" t="str">
        <x:v>Astragalus</x:v>
      </x:c>
      <x:c r="D831" t="str">
        <x:v>Supplements</x:v>
      </x:c>
      <x:c r="E831" t="str">
        <x:v>Health Foods</x:v>
      </x:c>
      <x:c r="F831" t="str"/>
      <x:c r="G831" t="str">
        <x:v>120 caps</x:v>
      </x:c>
      <x:c r="H831" t="str">
        <x:v>Default</x:v>
      </x:c>
      <x:c r="I831" t="str"/>
      <x:c r="J831" t="str">
        <x:v>Unit</x:v>
      </x:c>
      <x:c r="K831" t="str">
        <x:v>In stock</x:v>
      </x:c>
      <x:c r="L831" t="str">
        <x:v>2026-09-08</x:v>
      </x:c>
      <x:c r="M831" t="str"/>
      <x:c r="N831" t="str"/>
      <x:c r="O831" t="str">
        <x:v>https://www.activesportstrade.co.uk/conteh-sports-trade</x:v>
      </x:c>
      <x:c r="P831" t="str">
        <x:v>Supplier SPECIAL OFFER / 10% OFF wording removed where present.</x:v>
      </x:c>
      <x:c r="Q831" t="str"/>
      <x:c r="R831" t="str"/>
      <x:c r="S831" t="str">
        <x:v>Pending genuine supplier/brand image</x:v>
      </x:c>
      <x:c r="T831" s="54"/>
      <x:c r="U831" s="47" t="n">
        <x:v>0.2</x:v>
      </x:c>
      <x:c r="V831" s="54" t="str">
        <x:f>IF(ISNUMBER(T831),T831*(1+U831),"")</x:f>
      </x:c>
      <x:c r="W831" s="47" t="n">
        <x:v>0.3</x:v>
      </x:c>
      <x:c r="X831" s="54" t="str">
        <x:f>IF(ISNUMBER(V831),V831/(1-W831),"")</x:f>
      </x:c>
      <x:c r="Y831" s="55" t="str">
        <x:f>IF(ISNUMBER(X831),ROUNDUP(X831,0),"")</x:f>
      </x:c>
      <x:c r="Z831" t="str">
        <x:f>IF(ISNUMBER(T831),"Cost captured","Awaiting trade cost")</x:f>
        <x:v>Awaiting trade cost</x:v>
      </x:c>
      <x:c r="AB831" s="36" t="str">
        <x:f>IF(ISNUMBER(Y831),ROUND(Y831*0.9,2),"")</x:f>
      </x:c>
      <x:c r="AC831" s="36" t="str">
        <x:f>IF(ISNUMBER(AB831),ROUND(AB831-(AB831*0.015+0.2)-V831,2),"")</x:f>
      </x:c>
      <x:c r="AD831" s="36" t="str">
        <x:f>IF(ISNUMBER(Y831),ROUND(Y831*0.8,2),"")</x:f>
      </x:c>
      <x:c r="AE831" s="36" t="str">
        <x:f>IF(ISNUMBER(AD831),ROUND(AD831*0.015+0.2,2),"")</x:f>
      </x:c>
      <x:c r="AF831" s="36" t="str">
        <x:f>IF(ISNUMBER(AD831),ROUND(AD831-AE831-V831,2),"")</x:f>
      </x:c>
      <x:c r="AG831" t="str">
        <x:f>IF(NOT(ISNUMBER(T831)),"PENDING",IF(AF831&gt;0,"PASS","FAIL"))</x:f>
        <x:v>PENDING</x:v>
      </x:c>
      <x:c r="AH831" t="str">
        <x:f>IF(NOT(ISNUMBER(T831)),"Needs supplier cost",IF(K831&lt;&gt;"In stock","Supplier unavailable",IF(AG831&lt;&gt;"PASS","BLOCK - GT loss risk","Commercially protected")))</x:f>
        <x:v>Needs supplier cost</x:v>
      </x:c>
      <x:c r="AI831" t="str">
        <x:v>2026-09-10 Active Sports trade capture</x:v>
      </x:c>
      <x:c r="AJ831" t="str">
        <x:v>Management-only economics. Stripe stress test uses 1.5% + £0.20 standard UK online-card fee; pallet/mix-and-match pricing ignored.</x:v>
      </x:c>
    </x:row>
    <x:row r="832">
      <x:c r="A832" t="str">
        <x:v>Active Sports Nutrition</x:v>
      </x:c>
      <x:c r="B832" t="str">
        <x:v>Conteh Sports</x:v>
      </x:c>
      <x:c r="C832" t="str">
        <x:v>Boron</x:v>
      </x:c>
      <x:c r="D832" t="str">
        <x:v>Supplements</x:v>
      </x:c>
      <x:c r="E832" t="str">
        <x:v>Vitamins</x:v>
      </x:c>
      <x:c r="F832" t="str"/>
      <x:c r="G832" t="str">
        <x:v>60 caps</x:v>
      </x:c>
      <x:c r="H832" t="str">
        <x:v>Default</x:v>
      </x:c>
      <x:c r="I832" t="str"/>
      <x:c r="J832" t="str">
        <x:v>Unit</x:v>
      </x:c>
      <x:c r="K832" t="str">
        <x:v>In stock</x:v>
      </x:c>
      <x:c r="L832" t="str">
        <x:v>2026-09-08</x:v>
      </x:c>
      <x:c r="M832" t="str"/>
      <x:c r="N832" t="str"/>
      <x:c r="O832" t="str">
        <x:v>https://www.activesportstrade.co.uk/conteh-sports-trade</x:v>
      </x:c>
      <x:c r="P832" t="str">
        <x:v>Supplier SPECIAL OFFER / 10% OFF wording removed where present.</x:v>
      </x:c>
      <x:c r="Q832" t="str"/>
      <x:c r="R832" t="str"/>
      <x:c r="S832" t="str">
        <x:v>Pending genuine supplier/brand image</x:v>
      </x:c>
      <x:c r="T832" s="54"/>
      <x:c r="U832" s="47" t="n">
        <x:v>0.2</x:v>
      </x:c>
      <x:c r="V832" s="54" t="str">
        <x:f>IF(ISNUMBER(T832),T832*(1+U832),"")</x:f>
      </x:c>
      <x:c r="W832" s="47" t="n">
        <x:v>0.3</x:v>
      </x:c>
      <x:c r="X832" s="54" t="str">
        <x:f>IF(ISNUMBER(V832),V832/(1-W832),"")</x:f>
      </x:c>
      <x:c r="Y832" s="55" t="str">
        <x:f>IF(ISNUMBER(X832),ROUNDUP(X832,0),"")</x:f>
      </x:c>
      <x:c r="Z832" t="str">
        <x:f>IF(ISNUMBER(T832),"Cost captured","Awaiting trade cost")</x:f>
        <x:v>Awaiting trade cost</x:v>
      </x:c>
      <x:c r="AB832" s="36" t="str">
        <x:f>IF(ISNUMBER(Y832),ROUND(Y832*0.9,2),"")</x:f>
      </x:c>
      <x:c r="AC832" s="36" t="str">
        <x:f>IF(ISNUMBER(AB832),ROUND(AB832-(AB832*0.015+0.2)-V832,2),"")</x:f>
      </x:c>
      <x:c r="AD832" s="36" t="str">
        <x:f>IF(ISNUMBER(Y832),ROUND(Y832*0.8,2),"")</x:f>
      </x:c>
      <x:c r="AE832" s="36" t="str">
        <x:f>IF(ISNUMBER(AD832),ROUND(AD832*0.015+0.2,2),"")</x:f>
      </x:c>
      <x:c r="AF832" s="36" t="str">
        <x:f>IF(ISNUMBER(AD832),ROUND(AD832-AE832-V832,2),"")</x:f>
      </x:c>
      <x:c r="AG832" t="str">
        <x:f>IF(NOT(ISNUMBER(T832)),"PENDING",IF(AF832&gt;0,"PASS","FAIL"))</x:f>
        <x:v>PENDING</x:v>
      </x:c>
      <x:c r="AH832" t="str">
        <x:f>IF(NOT(ISNUMBER(T832)),"Needs supplier cost",IF(K832&lt;&gt;"In stock","Supplier unavailable",IF(AG832&lt;&gt;"PASS","BLOCK - GT loss risk","Commercially protected")))</x:f>
        <x:v>Needs supplier cost</x:v>
      </x:c>
      <x:c r="AI832" t="str">
        <x:v>2026-09-10 Active Sports trade capture</x:v>
      </x:c>
      <x:c r="AJ832" t="str">
        <x:v>Management-only economics. Stripe stress test uses 1.5% + £0.20 standard UK online-card fee; pallet/mix-and-match pricing ignored.</x:v>
      </x:c>
    </x:row>
    <x:row r="833">
      <x:c r="A833" t="str">
        <x:v>Active Sports Nutrition</x:v>
      </x:c>
      <x:c r="B833" t="str">
        <x:v>Conteh Sports</x:v>
      </x:c>
      <x:c r="C833" t="str">
        <x:v>Circulatory Complete</x:v>
      </x:c>
      <x:c r="D833" t="str">
        <x:v>Supplements</x:v>
      </x:c>
      <x:c r="E833" t="str">
        <x:v>Health Foods</x:v>
      </x:c>
      <x:c r="F833" t="str"/>
      <x:c r="G833" t="str">
        <x:v>90 caps</x:v>
      </x:c>
      <x:c r="H833" t="str">
        <x:v>Default</x:v>
      </x:c>
      <x:c r="I833" t="str"/>
      <x:c r="J833" t="str">
        <x:v>Unit</x:v>
      </x:c>
      <x:c r="K833" t="str">
        <x:v>In stock</x:v>
      </x:c>
      <x:c r="L833" t="str">
        <x:v>2026-09-08</x:v>
      </x:c>
      <x:c r="M833" t="str"/>
      <x:c r="N833" t="str"/>
      <x:c r="O833" t="str">
        <x:v>https://www.activesportstrade.co.uk/conteh-sports-trade</x:v>
      </x:c>
      <x:c r="P833" t="str">
        <x:v>Supplier SPECIAL OFFER / 10% OFF wording removed where present.</x:v>
      </x:c>
      <x:c r="Q833" t="str"/>
      <x:c r="R833" t="str"/>
      <x:c r="S833" t="str">
        <x:v>Pending genuine supplier/brand image</x:v>
      </x:c>
      <x:c r="T833" s="54"/>
      <x:c r="U833" s="47" t="n">
        <x:v>0.2</x:v>
      </x:c>
      <x:c r="V833" s="54" t="str">
        <x:f>IF(ISNUMBER(T833),T833*(1+U833),"")</x:f>
      </x:c>
      <x:c r="W833" s="47" t="n">
        <x:v>0.3</x:v>
      </x:c>
      <x:c r="X833" s="54" t="str">
        <x:f>IF(ISNUMBER(V833),V833/(1-W833),"")</x:f>
      </x:c>
      <x:c r="Y833" s="55" t="str">
        <x:f>IF(ISNUMBER(X833),ROUNDUP(X833,0),"")</x:f>
      </x:c>
      <x:c r="Z833" t="str">
        <x:f>IF(ISNUMBER(T833),"Cost captured","Awaiting trade cost")</x:f>
        <x:v>Awaiting trade cost</x:v>
      </x:c>
      <x:c r="AB833" s="36" t="str">
        <x:f>IF(ISNUMBER(Y833),ROUND(Y833*0.9,2),"")</x:f>
      </x:c>
      <x:c r="AC833" s="36" t="str">
        <x:f>IF(ISNUMBER(AB833),ROUND(AB833-(AB833*0.015+0.2)-V833,2),"")</x:f>
      </x:c>
      <x:c r="AD833" s="36" t="str">
        <x:f>IF(ISNUMBER(Y833),ROUND(Y833*0.8,2),"")</x:f>
      </x:c>
      <x:c r="AE833" s="36" t="str">
        <x:f>IF(ISNUMBER(AD833),ROUND(AD833*0.015+0.2,2),"")</x:f>
      </x:c>
      <x:c r="AF833" s="36" t="str">
        <x:f>IF(ISNUMBER(AD833),ROUND(AD833-AE833-V833,2),"")</x:f>
      </x:c>
      <x:c r="AG833" t="str">
        <x:f>IF(NOT(ISNUMBER(T833)),"PENDING",IF(AF833&gt;0,"PASS","FAIL"))</x:f>
        <x:v>PENDING</x:v>
      </x:c>
      <x:c r="AH833" t="str">
        <x:f>IF(NOT(ISNUMBER(T833)),"Needs supplier cost",IF(K833&lt;&gt;"In stock","Supplier unavailable",IF(AG833&lt;&gt;"PASS","BLOCK - GT loss risk","Commercially protected")))</x:f>
        <x:v>Needs supplier cost</x:v>
      </x:c>
      <x:c r="AI833" t="str">
        <x:v>2026-09-10 Active Sports trade capture</x:v>
      </x:c>
      <x:c r="AJ833" t="str">
        <x:v>Management-only economics. Stripe stress test uses 1.5% + £0.20 standard UK online-card fee; pallet/mix-and-match pricing ignored.</x:v>
      </x:c>
    </x:row>
    <x:row r="834">
      <x:c r="A834" t="str">
        <x:v>Active Sports Nutrition</x:v>
      </x:c>
      <x:c r="B834" t="str">
        <x:v>Conteh Sports</x:v>
      </x:c>
      <x:c r="C834" t="str">
        <x:v>Flax Seed Oil</x:v>
      </x:c>
      <x:c r="D834" t="str">
        <x:v>Supplements</x:v>
      </x:c>
      <x:c r="E834" t="str">
        <x:v>Omega and EFA</x:v>
      </x:c>
      <x:c r="F834" t="str"/>
      <x:c r="G834" t="str">
        <x:v>60 caps</x:v>
      </x:c>
      <x:c r="H834" t="str">
        <x:v>Default</x:v>
      </x:c>
      <x:c r="I834" t="str"/>
      <x:c r="J834" t="str">
        <x:v>Unit</x:v>
      </x:c>
      <x:c r="K834" t="str">
        <x:v>In stock</x:v>
      </x:c>
      <x:c r="L834" t="str">
        <x:v>2026-09-08</x:v>
      </x:c>
      <x:c r="M834" t="str"/>
      <x:c r="N834" t="str"/>
      <x:c r="O834" t="str">
        <x:v>https://www.activesportstrade.co.uk/conteh-sports-trade</x:v>
      </x:c>
      <x:c r="P834" t="str">
        <x:v>Supplier SPECIAL OFFER / 10% OFF wording removed where present.</x:v>
      </x:c>
      <x:c r="Q834" t="str"/>
      <x:c r="R834" t="str"/>
      <x:c r="S834" t="str">
        <x:v>Pending genuine supplier/brand image</x:v>
      </x:c>
      <x:c r="T834" s="54"/>
      <x:c r="U834" s="47" t="n">
        <x:v>0.2</x:v>
      </x:c>
      <x:c r="V834" s="54" t="str">
        <x:f>IF(ISNUMBER(T834),T834*(1+U834),"")</x:f>
      </x:c>
      <x:c r="W834" s="47" t="n">
        <x:v>0.3</x:v>
      </x:c>
      <x:c r="X834" s="54" t="str">
        <x:f>IF(ISNUMBER(V834),V834/(1-W834),"")</x:f>
      </x:c>
      <x:c r="Y834" s="55" t="str">
        <x:f>IF(ISNUMBER(X834),ROUNDUP(X834,0),"")</x:f>
      </x:c>
      <x:c r="Z834" t="str">
        <x:f>IF(ISNUMBER(T834),"Cost captured","Awaiting trade cost")</x:f>
        <x:v>Awaiting trade cost</x:v>
      </x:c>
      <x:c r="AB834" s="36" t="str">
        <x:f>IF(ISNUMBER(Y834),ROUND(Y834*0.9,2),"")</x:f>
      </x:c>
      <x:c r="AC834" s="36" t="str">
        <x:f>IF(ISNUMBER(AB834),ROUND(AB834-(AB834*0.015+0.2)-V834,2),"")</x:f>
      </x:c>
      <x:c r="AD834" s="36" t="str">
        <x:f>IF(ISNUMBER(Y834),ROUND(Y834*0.8,2),"")</x:f>
      </x:c>
      <x:c r="AE834" s="36" t="str">
        <x:f>IF(ISNUMBER(AD834),ROUND(AD834*0.015+0.2,2),"")</x:f>
      </x:c>
      <x:c r="AF834" s="36" t="str">
        <x:f>IF(ISNUMBER(AD834),ROUND(AD834-AE834-V834,2),"")</x:f>
      </x:c>
      <x:c r="AG834" t="str">
        <x:f>IF(NOT(ISNUMBER(T834)),"PENDING",IF(AF834&gt;0,"PASS","FAIL"))</x:f>
        <x:v>PENDING</x:v>
      </x:c>
      <x:c r="AH834" t="str">
        <x:f>IF(NOT(ISNUMBER(T834)),"Needs supplier cost",IF(K834&lt;&gt;"In stock","Supplier unavailable",IF(AG834&lt;&gt;"PASS","BLOCK - GT loss risk","Commercially protected")))</x:f>
        <x:v>Needs supplier cost</x:v>
      </x:c>
      <x:c r="AI834" t="str">
        <x:v>2026-09-10 Active Sports trade capture</x:v>
      </x:c>
      <x:c r="AJ834" t="str">
        <x:v>Management-only economics. Stripe stress test uses 1.5% + £0.20 standard UK online-card fee; pallet/mix-and-match pricing ignored.</x:v>
      </x:c>
    </x:row>
    <x:row r="835">
      <x:c r="A835" t="str">
        <x:v>Active Sports Nutrition</x:v>
      </x:c>
      <x:c r="B835" t="str">
        <x:v>Conteh Sports</x:v>
      </x:c>
      <x:c r="C835" t="str">
        <x:v>Glutathione Complete</x:v>
      </x:c>
      <x:c r="D835" t="str">
        <x:v>Supplements</x:v>
      </x:c>
      <x:c r="E835" t="str">
        <x:v>Health Foods</x:v>
      </x:c>
      <x:c r="F835" t="str"/>
      <x:c r="G835" t="str">
        <x:v>90 caps</x:v>
      </x:c>
      <x:c r="H835" t="str">
        <x:v>Default</x:v>
      </x:c>
      <x:c r="I835" t="str"/>
      <x:c r="J835" t="str">
        <x:v>Unit</x:v>
      </x:c>
      <x:c r="K835" t="str">
        <x:v>In stock</x:v>
      </x:c>
      <x:c r="L835" t="str">
        <x:v>2026-09-08</x:v>
      </x:c>
      <x:c r="M835" t="str"/>
      <x:c r="N835" t="str"/>
      <x:c r="O835" t="str">
        <x:v>https://www.activesportstrade.co.uk/conteh-sports-trade</x:v>
      </x:c>
      <x:c r="P835" t="str">
        <x:v>Supplier SPECIAL OFFER / 10% OFF wording removed where present.</x:v>
      </x:c>
      <x:c r="Q835" t="str"/>
      <x:c r="R835" t="str"/>
      <x:c r="S835" t="str">
        <x:v>Pending genuine supplier/brand image</x:v>
      </x:c>
      <x:c r="T835" s="54"/>
      <x:c r="U835" s="47" t="n">
        <x:v>0.2</x:v>
      </x:c>
      <x:c r="V835" s="54" t="str">
        <x:f>IF(ISNUMBER(T835),T835*(1+U835),"")</x:f>
      </x:c>
      <x:c r="W835" s="47" t="n">
        <x:v>0.3</x:v>
      </x:c>
      <x:c r="X835" s="54" t="str">
        <x:f>IF(ISNUMBER(V835),V835/(1-W835),"")</x:f>
      </x:c>
      <x:c r="Y835" s="55" t="str">
        <x:f>IF(ISNUMBER(X835),ROUNDUP(X835,0),"")</x:f>
      </x:c>
      <x:c r="Z835" t="str">
        <x:f>IF(ISNUMBER(T835),"Cost captured","Awaiting trade cost")</x:f>
        <x:v>Awaiting trade cost</x:v>
      </x:c>
      <x:c r="AB835" s="36" t="str">
        <x:f>IF(ISNUMBER(Y835),ROUND(Y835*0.9,2),"")</x:f>
      </x:c>
      <x:c r="AC835" s="36" t="str">
        <x:f>IF(ISNUMBER(AB835),ROUND(AB835-(AB835*0.015+0.2)-V835,2),"")</x:f>
      </x:c>
      <x:c r="AD835" s="36" t="str">
        <x:f>IF(ISNUMBER(Y835),ROUND(Y835*0.8,2),"")</x:f>
      </x:c>
      <x:c r="AE835" s="36" t="str">
        <x:f>IF(ISNUMBER(AD835),ROUND(AD835*0.015+0.2,2),"")</x:f>
      </x:c>
      <x:c r="AF835" s="36" t="str">
        <x:f>IF(ISNUMBER(AD835),ROUND(AD835-AE835-V835,2),"")</x:f>
      </x:c>
      <x:c r="AG835" t="str">
        <x:f>IF(NOT(ISNUMBER(T835)),"PENDING",IF(AF835&gt;0,"PASS","FAIL"))</x:f>
        <x:v>PENDING</x:v>
      </x:c>
      <x:c r="AH835" t="str">
        <x:f>IF(NOT(ISNUMBER(T835)),"Needs supplier cost",IF(K835&lt;&gt;"In stock","Supplier unavailable",IF(AG835&lt;&gt;"PASS","BLOCK - GT loss risk","Commercially protected")))</x:f>
        <x:v>Needs supplier cost</x:v>
      </x:c>
      <x:c r="AI835" t="str">
        <x:v>2026-09-10 Active Sports trade capture</x:v>
      </x:c>
      <x:c r="AJ835" t="str">
        <x:v>Management-only economics. Stripe stress test uses 1.5% + £0.20 standard UK online-card fee; pallet/mix-and-match pricing ignored.</x:v>
      </x:c>
    </x:row>
    <x:row r="836">
      <x:c r="A836" t="str">
        <x:v>Active Sports Nutrition</x:v>
      </x:c>
      <x:c r="B836" t="str">
        <x:v>Conteh Sports</x:v>
      </x:c>
      <x:c r="C836" t="str">
        <x:v>Iron+</x:v>
      </x:c>
      <x:c r="D836" t="str">
        <x:v>Supplements</x:v>
      </x:c>
      <x:c r="E836" t="str">
        <x:v>Vitamins</x:v>
      </x:c>
      <x:c r="F836" t="str"/>
      <x:c r="G836" t="str">
        <x:v>60 caps</x:v>
      </x:c>
      <x:c r="H836" t="str">
        <x:v>Default</x:v>
      </x:c>
      <x:c r="I836" t="str"/>
      <x:c r="J836" t="str">
        <x:v>Unit</x:v>
      </x:c>
      <x:c r="K836" t="str">
        <x:v>In stock</x:v>
      </x:c>
      <x:c r="L836" t="str">
        <x:v>2026-09-08</x:v>
      </x:c>
      <x:c r="M836" t="str"/>
      <x:c r="N836" t="str"/>
      <x:c r="O836" t="str">
        <x:v>https://www.activesportstrade.co.uk/conteh-sports-trade</x:v>
      </x:c>
      <x:c r="P836" t="str">
        <x:v>Supplier SPECIAL OFFER / 10% OFF wording removed where present.</x:v>
      </x:c>
      <x:c r="Q836" t="str"/>
      <x:c r="R836" t="str"/>
      <x:c r="S836" t="str">
        <x:v>Pending genuine supplier/brand image</x:v>
      </x:c>
      <x:c r="T836" s="54"/>
      <x:c r="U836" s="47" t="n">
        <x:v>0.2</x:v>
      </x:c>
      <x:c r="V836" s="54" t="str">
        <x:f>IF(ISNUMBER(T836),T836*(1+U836),"")</x:f>
      </x:c>
      <x:c r="W836" s="47" t="n">
        <x:v>0.3</x:v>
      </x:c>
      <x:c r="X836" s="54" t="str">
        <x:f>IF(ISNUMBER(V836),V836/(1-W836),"")</x:f>
      </x:c>
      <x:c r="Y836" s="55" t="str">
        <x:f>IF(ISNUMBER(X836),ROUNDUP(X836,0),"")</x:f>
      </x:c>
      <x:c r="Z836" t="str">
        <x:f>IF(ISNUMBER(T836),"Cost captured","Awaiting trade cost")</x:f>
        <x:v>Awaiting trade cost</x:v>
      </x:c>
      <x:c r="AB836" s="36" t="str">
        <x:f>IF(ISNUMBER(Y836),ROUND(Y836*0.9,2),"")</x:f>
      </x:c>
      <x:c r="AC836" s="36" t="str">
        <x:f>IF(ISNUMBER(AB836),ROUND(AB836-(AB836*0.015+0.2)-V836,2),"")</x:f>
      </x:c>
      <x:c r="AD836" s="36" t="str">
        <x:f>IF(ISNUMBER(Y836),ROUND(Y836*0.8,2),"")</x:f>
      </x:c>
      <x:c r="AE836" s="36" t="str">
        <x:f>IF(ISNUMBER(AD836),ROUND(AD836*0.015+0.2,2),"")</x:f>
      </x:c>
      <x:c r="AF836" s="36" t="str">
        <x:f>IF(ISNUMBER(AD836),ROUND(AD836-AE836-V836,2),"")</x:f>
      </x:c>
      <x:c r="AG836" t="str">
        <x:f>IF(NOT(ISNUMBER(T836)),"PENDING",IF(AF836&gt;0,"PASS","FAIL"))</x:f>
        <x:v>PENDING</x:v>
      </x:c>
      <x:c r="AH836" t="str">
        <x:f>IF(NOT(ISNUMBER(T836)),"Needs supplier cost",IF(K836&lt;&gt;"In stock","Supplier unavailable",IF(AG836&lt;&gt;"PASS","BLOCK - GT loss risk","Commercially protected")))</x:f>
        <x:v>Needs supplier cost</x:v>
      </x:c>
      <x:c r="AI836" t="str">
        <x:v>2026-09-10 Active Sports trade capture</x:v>
      </x:c>
      <x:c r="AJ836" t="str">
        <x:v>Management-only economics. Stripe stress test uses 1.5% + £0.20 standard UK online-card fee; pallet/mix-and-match pricing ignored.</x:v>
      </x:c>
    </x:row>
    <x:row r="837">
      <x:c r="A837" t="str">
        <x:v>Active Sports Nutrition</x:v>
      </x:c>
      <x:c r="B837" t="str">
        <x:v>Conteh Sports</x:v>
      </x:c>
      <x:c r="C837" t="str">
        <x:v>Joint Complete</x:v>
      </x:c>
      <x:c r="D837" t="str">
        <x:v>Supplements</x:v>
      </x:c>
      <x:c r="E837" t="str">
        <x:v>Joint Repair</x:v>
      </x:c>
      <x:c r="F837" t="str"/>
      <x:c r="G837" t="str">
        <x:v>180 caps</x:v>
      </x:c>
      <x:c r="H837" t="str">
        <x:v>Default</x:v>
      </x:c>
      <x:c r="I837" t="str"/>
      <x:c r="J837" t="str">
        <x:v>Unit</x:v>
      </x:c>
      <x:c r="K837" t="str">
        <x:v>Out of stock</x:v>
      </x:c>
      <x:c r="L837" t="str">
        <x:v>2026-09-08</x:v>
      </x:c>
      <x:c r="M837" t="str"/>
      <x:c r="N837" t="str"/>
      <x:c r="O837" t="str">
        <x:v>https://www.activesportstrade.co.uk/conteh-sports-trade</x:v>
      </x:c>
      <x:c r="P837" t="str">
        <x:v>Supplier SPECIAL OFFER / 10% OFF wording removed where present.</x:v>
      </x:c>
      <x:c r="Q837" t="str"/>
      <x:c r="R837" t="str"/>
      <x:c r="S837" t="str">
        <x:v>Pending genuine supplier/brand image</x:v>
      </x:c>
      <x:c r="T837" s="54"/>
      <x:c r="U837" s="47" t="n">
        <x:v>0.2</x:v>
      </x:c>
      <x:c r="V837" s="54" t="str">
        <x:f>IF(ISNUMBER(T837),T837*(1+U837),"")</x:f>
      </x:c>
      <x:c r="W837" s="47" t="n">
        <x:v>0.3</x:v>
      </x:c>
      <x:c r="X837" s="54" t="str">
        <x:f>IF(ISNUMBER(V837),V837/(1-W837),"")</x:f>
      </x:c>
      <x:c r="Y837" s="55" t="str">
        <x:f>IF(ISNUMBER(X837),ROUNDUP(X837,0),"")</x:f>
      </x:c>
      <x:c r="Z837" t="str">
        <x:f>IF(ISNUMBER(T837),"Cost captured","Awaiting trade cost")</x:f>
        <x:v>Awaiting trade cost</x:v>
      </x:c>
      <x:c r="AB837" s="36" t="str">
        <x:f>IF(ISNUMBER(Y837),ROUND(Y837*0.9,2),"")</x:f>
      </x:c>
      <x:c r="AC837" s="36" t="str">
        <x:f>IF(ISNUMBER(AB837),ROUND(AB837-(AB837*0.015+0.2)-V837,2),"")</x:f>
      </x:c>
      <x:c r="AD837" s="36" t="str">
        <x:f>IF(ISNUMBER(Y837),ROUND(Y837*0.8,2),"")</x:f>
      </x:c>
      <x:c r="AE837" s="36" t="str">
        <x:f>IF(ISNUMBER(AD837),ROUND(AD837*0.015+0.2,2),"")</x:f>
      </x:c>
      <x:c r="AF837" s="36" t="str">
        <x:f>IF(ISNUMBER(AD837),ROUND(AD837-AE837-V837,2),"")</x:f>
      </x:c>
      <x:c r="AG837" t="str">
        <x:f>IF(NOT(ISNUMBER(T837)),"PENDING",IF(AF837&gt;0,"PASS","FAIL"))</x:f>
        <x:v>PENDING</x:v>
      </x:c>
      <x:c r="AH837" t="str">
        <x:f>IF(NOT(ISNUMBER(T837)),"Needs supplier cost",IF(K837&lt;&gt;"In stock","Supplier unavailable",IF(AG837&lt;&gt;"PASS","BLOCK - GT loss risk","Commercially protected")))</x:f>
        <x:v>Needs supplier cost</x:v>
      </x:c>
      <x:c r="AI837" t="str">
        <x:v>2026-09-10 Active Sports trade capture</x:v>
      </x:c>
      <x:c r="AJ837" t="str">
        <x:v>Management-only economics. Stripe stress test uses 1.5% + £0.20 standard UK online-card fee; pallet/mix-and-match pricing ignored.</x:v>
      </x:c>
    </x:row>
    <x:row r="838">
      <x:c r="A838" t="str">
        <x:v>Active Sports Nutrition</x:v>
      </x:c>
      <x:c r="B838" t="str">
        <x:v>Conteh Sports</x:v>
      </x:c>
      <x:c r="C838" t="str">
        <x:v>L-Glutamine</x:v>
      </x:c>
      <x:c r="D838" t="str">
        <x:v>Supplements</x:v>
      </x:c>
      <x:c r="E838" t="str">
        <x:v>L-Glutamine</x:v>
      </x:c>
      <x:c r="F838" t="str"/>
      <x:c r="G838" t="str">
        <x:v>500g</x:v>
      </x:c>
      <x:c r="H838" t="str">
        <x:v>Default</x:v>
      </x:c>
      <x:c r="I838" t="str"/>
      <x:c r="J838" t="str">
        <x:v>Unit</x:v>
      </x:c>
      <x:c r="K838" t="str">
        <x:v>Out of stock</x:v>
      </x:c>
      <x:c r="L838" t="str">
        <x:v>2026-09-08</x:v>
      </x:c>
      <x:c r="M838" t="str"/>
      <x:c r="N838" t="str"/>
      <x:c r="O838" t="str">
        <x:v>https://www.activesportstrade.co.uk/conteh-sports-trade</x:v>
      </x:c>
      <x:c r="P838" t="str">
        <x:v>Supplier SPECIAL OFFER / 10% OFF wording removed where present.</x:v>
      </x:c>
      <x:c r="Q838" t="str"/>
      <x:c r="R838" t="str"/>
      <x:c r="S838" t="str">
        <x:v>Pending genuine supplier/brand image</x:v>
      </x:c>
      <x:c r="T838" s="54"/>
      <x:c r="U838" s="47" t="n">
        <x:v>0.2</x:v>
      </x:c>
      <x:c r="V838" s="54" t="str">
        <x:f>IF(ISNUMBER(T838),T838*(1+U838),"")</x:f>
      </x:c>
      <x:c r="W838" s="47" t="n">
        <x:v>0.3</x:v>
      </x:c>
      <x:c r="X838" s="54" t="str">
        <x:f>IF(ISNUMBER(V838),V838/(1-W838),"")</x:f>
      </x:c>
      <x:c r="Y838" s="55" t="str">
        <x:f>IF(ISNUMBER(X838),ROUNDUP(X838,0),"")</x:f>
      </x:c>
      <x:c r="Z838" t="str">
        <x:f>IF(ISNUMBER(T838),"Cost captured","Awaiting trade cost")</x:f>
        <x:v>Awaiting trade cost</x:v>
      </x:c>
      <x:c r="AB838" s="36" t="str">
        <x:f>IF(ISNUMBER(Y838),ROUND(Y838*0.9,2),"")</x:f>
      </x:c>
      <x:c r="AC838" s="36" t="str">
        <x:f>IF(ISNUMBER(AB838),ROUND(AB838-(AB838*0.015+0.2)-V838,2),"")</x:f>
      </x:c>
      <x:c r="AD838" s="36" t="str">
        <x:f>IF(ISNUMBER(Y838),ROUND(Y838*0.8,2),"")</x:f>
      </x:c>
      <x:c r="AE838" s="36" t="str">
        <x:f>IF(ISNUMBER(AD838),ROUND(AD838*0.015+0.2,2),"")</x:f>
      </x:c>
      <x:c r="AF838" s="36" t="str">
        <x:f>IF(ISNUMBER(AD838),ROUND(AD838-AE838-V838,2),"")</x:f>
      </x:c>
      <x:c r="AG838" t="str">
        <x:f>IF(NOT(ISNUMBER(T838)),"PENDING",IF(AF838&gt;0,"PASS","FAIL"))</x:f>
        <x:v>PENDING</x:v>
      </x:c>
      <x:c r="AH838" t="str">
        <x:f>IF(NOT(ISNUMBER(T838)),"Needs supplier cost",IF(K838&lt;&gt;"In stock","Supplier unavailable",IF(AG838&lt;&gt;"PASS","BLOCK - GT loss risk","Commercially protected")))</x:f>
        <x:v>Needs supplier cost</x:v>
      </x:c>
      <x:c r="AI838" t="str">
        <x:v>2026-09-10 Active Sports trade capture</x:v>
      </x:c>
      <x:c r="AJ838" t="str">
        <x:v>Management-only economics. Stripe stress test uses 1.5% + £0.20 standard UK online-card fee; pallet/mix-and-match pricing ignored.</x:v>
      </x:c>
    </x:row>
    <x:row r="839">
      <x:c r="A839" t="str">
        <x:v>Active Sports Nutrition</x:v>
      </x:c>
      <x:c r="B839" t="str">
        <x:v>Conteh Sports</x:v>
      </x:c>
      <x:c r="C839" t="str">
        <x:v>Magnesium</x:v>
      </x:c>
      <x:c r="D839" t="str">
        <x:v>Supplements</x:v>
      </x:c>
      <x:c r="E839" t="str">
        <x:v>Vitamins</x:v>
      </x:c>
      <x:c r="F839" t="str"/>
      <x:c r="G839" t="str">
        <x:v>120 caps</x:v>
      </x:c>
      <x:c r="H839" t="str">
        <x:v>Default</x:v>
      </x:c>
      <x:c r="I839" t="str"/>
      <x:c r="J839" t="str">
        <x:v>Unit</x:v>
      </x:c>
      <x:c r="K839" t="str">
        <x:v>In stock</x:v>
      </x:c>
      <x:c r="L839" t="str">
        <x:v>2026-09-08</x:v>
      </x:c>
      <x:c r="M839" t="str"/>
      <x:c r="N839" t="str"/>
      <x:c r="O839" t="str">
        <x:v>https://www.activesportstrade.co.uk/conteh-sports-trade</x:v>
      </x:c>
      <x:c r="P839" t="str">
        <x:v>Supplier SPECIAL OFFER / 10% OFF wording removed where present.</x:v>
      </x:c>
      <x:c r="Q839" t="str"/>
      <x:c r="R839" t="str"/>
      <x:c r="S839" t="str">
        <x:v>Pending genuine supplier/brand image</x:v>
      </x:c>
      <x:c r="T839" s="54"/>
      <x:c r="U839" s="47" t="n">
        <x:v>0.2</x:v>
      </x:c>
      <x:c r="V839" s="54" t="str">
        <x:f>IF(ISNUMBER(T839),T839*(1+U839),"")</x:f>
      </x:c>
      <x:c r="W839" s="47" t="n">
        <x:v>0.3</x:v>
      </x:c>
      <x:c r="X839" s="54" t="str">
        <x:f>IF(ISNUMBER(V839),V839/(1-W839),"")</x:f>
      </x:c>
      <x:c r="Y839" s="55" t="str">
        <x:f>IF(ISNUMBER(X839),ROUNDUP(X839,0),"")</x:f>
      </x:c>
      <x:c r="Z839" t="str">
        <x:f>IF(ISNUMBER(T839),"Cost captured","Awaiting trade cost")</x:f>
        <x:v>Awaiting trade cost</x:v>
      </x:c>
      <x:c r="AB839" s="36" t="str">
        <x:f>IF(ISNUMBER(Y839),ROUND(Y839*0.9,2),"")</x:f>
      </x:c>
      <x:c r="AC839" s="36" t="str">
        <x:f>IF(ISNUMBER(AB839),ROUND(AB839-(AB839*0.015+0.2)-V839,2),"")</x:f>
      </x:c>
      <x:c r="AD839" s="36" t="str">
        <x:f>IF(ISNUMBER(Y839),ROUND(Y839*0.8,2),"")</x:f>
      </x:c>
      <x:c r="AE839" s="36" t="str">
        <x:f>IF(ISNUMBER(AD839),ROUND(AD839*0.015+0.2,2),"")</x:f>
      </x:c>
      <x:c r="AF839" s="36" t="str">
        <x:f>IF(ISNUMBER(AD839),ROUND(AD839-AE839-V839,2),"")</x:f>
      </x:c>
      <x:c r="AG839" t="str">
        <x:f>IF(NOT(ISNUMBER(T839)),"PENDING",IF(AF839&gt;0,"PASS","FAIL"))</x:f>
        <x:v>PENDING</x:v>
      </x:c>
      <x:c r="AH839" t="str">
        <x:f>IF(NOT(ISNUMBER(T839)),"Needs supplier cost",IF(K839&lt;&gt;"In stock","Supplier unavailable",IF(AG839&lt;&gt;"PASS","BLOCK - GT loss risk","Commercially protected")))</x:f>
        <x:v>Needs supplier cost</x:v>
      </x:c>
      <x:c r="AI839" t="str">
        <x:v>2026-09-10 Active Sports trade capture</x:v>
      </x:c>
      <x:c r="AJ839" t="str">
        <x:v>Management-only economics. Stripe stress test uses 1.5% + £0.20 standard UK online-card fee; pallet/mix-and-match pricing ignored.</x:v>
      </x:c>
    </x:row>
    <x:row r="840">
      <x:c r="A840" t="str">
        <x:v>Active Sports Nutrition</x:v>
      </x:c>
      <x:c r="B840" t="str">
        <x:v>Conteh Sports</x:v>
      </x:c>
      <x:c r="C840" t="str">
        <x:v>Multi-Vitamin and Mineral Complete</x:v>
      </x:c>
      <x:c r="D840" t="str">
        <x:v>Supplements</x:v>
      </x:c>
      <x:c r="E840" t="str">
        <x:v>Vitamins</x:v>
      </x:c>
      <x:c r="F840" t="str"/>
      <x:c r="G840" t="str">
        <x:v>180 caps</x:v>
      </x:c>
      <x:c r="H840" t="str">
        <x:v>Default</x:v>
      </x:c>
      <x:c r="I840" t="str"/>
      <x:c r="J840" t="str">
        <x:v>Unit</x:v>
      </x:c>
      <x:c r="K840" t="str">
        <x:v>In stock</x:v>
      </x:c>
      <x:c r="L840" t="str">
        <x:v>2026-09-08</x:v>
      </x:c>
      <x:c r="M840" t="str"/>
      <x:c r="N840" t="str"/>
      <x:c r="O840" t="str">
        <x:v>https://www.activesportstrade.co.uk/conteh-sports-trade</x:v>
      </x:c>
      <x:c r="P840" t="str">
        <x:v>Supplier SPECIAL OFFER / 10% OFF wording removed where present.</x:v>
      </x:c>
      <x:c r="Q840" t="str"/>
      <x:c r="R840" t="str"/>
      <x:c r="S840" t="str">
        <x:v>Pending genuine supplier/brand image</x:v>
      </x:c>
      <x:c r="T840" s="54"/>
      <x:c r="U840" s="47" t="n">
        <x:v>0.2</x:v>
      </x:c>
      <x:c r="V840" s="54" t="str">
        <x:f>IF(ISNUMBER(T840),T840*(1+U840),"")</x:f>
      </x:c>
      <x:c r="W840" s="47" t="n">
        <x:v>0.3</x:v>
      </x:c>
      <x:c r="X840" s="54" t="str">
        <x:f>IF(ISNUMBER(V840),V840/(1-W840),"")</x:f>
      </x:c>
      <x:c r="Y840" s="55" t="str">
        <x:f>IF(ISNUMBER(X840),ROUNDUP(X840,0),"")</x:f>
      </x:c>
      <x:c r="Z840" t="str">
        <x:f>IF(ISNUMBER(T840),"Cost captured","Awaiting trade cost")</x:f>
        <x:v>Awaiting trade cost</x:v>
      </x:c>
      <x:c r="AB840" s="36" t="str">
        <x:f>IF(ISNUMBER(Y840),ROUND(Y840*0.9,2),"")</x:f>
      </x:c>
      <x:c r="AC840" s="36" t="str">
        <x:f>IF(ISNUMBER(AB840),ROUND(AB840-(AB840*0.015+0.2)-V840,2),"")</x:f>
      </x:c>
      <x:c r="AD840" s="36" t="str">
        <x:f>IF(ISNUMBER(Y840),ROUND(Y840*0.8,2),"")</x:f>
      </x:c>
      <x:c r="AE840" s="36" t="str">
        <x:f>IF(ISNUMBER(AD840),ROUND(AD840*0.015+0.2,2),"")</x:f>
      </x:c>
      <x:c r="AF840" s="36" t="str">
        <x:f>IF(ISNUMBER(AD840),ROUND(AD840-AE840-V840,2),"")</x:f>
      </x:c>
      <x:c r="AG840" t="str">
        <x:f>IF(NOT(ISNUMBER(T840)),"PENDING",IF(AF840&gt;0,"PASS","FAIL"))</x:f>
        <x:v>PENDING</x:v>
      </x:c>
      <x:c r="AH840" t="str">
        <x:f>IF(NOT(ISNUMBER(T840)),"Needs supplier cost",IF(K840&lt;&gt;"In stock","Supplier unavailable",IF(AG840&lt;&gt;"PASS","BLOCK - GT loss risk","Commercially protected")))</x:f>
        <x:v>Needs supplier cost</x:v>
      </x:c>
      <x:c r="AI840" t="str">
        <x:v>2026-09-10 Active Sports trade capture</x:v>
      </x:c>
      <x:c r="AJ840" t="str">
        <x:v>Management-only economics. Stripe stress test uses 1.5% + £0.20 standard UK online-card fee; pallet/mix-and-match pricing ignored.</x:v>
      </x:c>
    </x:row>
    <x:row r="841">
      <x:c r="A841" t="str">
        <x:v>Active Sports Nutrition</x:v>
      </x:c>
      <x:c r="B841" t="str">
        <x:v>Conteh Sports</x:v>
      </x:c>
      <x:c r="C841" t="str">
        <x:v>Myo &amp; D-Chiro Inositol</x:v>
      </x:c>
      <x:c r="D841" t="str">
        <x:v>Supplements</x:v>
      </x:c>
      <x:c r="E841" t="str">
        <x:v>Health Foods</x:v>
      </x:c>
      <x:c r="F841" t="str"/>
      <x:c r="G841" t="str">
        <x:v>240 caps</x:v>
      </x:c>
      <x:c r="H841" t="str">
        <x:v>Default</x:v>
      </x:c>
      <x:c r="I841" t="str"/>
      <x:c r="J841" t="str">
        <x:v>Unit</x:v>
      </x:c>
      <x:c r="K841" t="str">
        <x:v>In stock</x:v>
      </x:c>
      <x:c r="L841" t="str">
        <x:v>2026-09-08</x:v>
      </x:c>
      <x:c r="M841" t="str"/>
      <x:c r="N841" t="str"/>
      <x:c r="O841" t="str">
        <x:v>https://www.activesportstrade.co.uk/conteh-sports-trade</x:v>
      </x:c>
      <x:c r="P841" t="str">
        <x:v>Supplier SPECIAL OFFER / 10% OFF wording removed where present.</x:v>
      </x:c>
      <x:c r="Q841" t="str"/>
      <x:c r="R841" t="str"/>
      <x:c r="S841" t="str">
        <x:v>Pending genuine supplier/brand image</x:v>
      </x:c>
      <x:c r="T841" s="54"/>
      <x:c r="U841" s="47" t="n">
        <x:v>0.2</x:v>
      </x:c>
      <x:c r="V841" s="54" t="str">
        <x:f>IF(ISNUMBER(T841),T841*(1+U841),"")</x:f>
      </x:c>
      <x:c r="W841" s="47" t="n">
        <x:v>0.3</x:v>
      </x:c>
      <x:c r="X841" s="54" t="str">
        <x:f>IF(ISNUMBER(V841),V841/(1-W841),"")</x:f>
      </x:c>
      <x:c r="Y841" s="55" t="str">
        <x:f>IF(ISNUMBER(X841),ROUNDUP(X841,0),"")</x:f>
      </x:c>
      <x:c r="Z841" t="str">
        <x:f>IF(ISNUMBER(T841),"Cost captured","Awaiting trade cost")</x:f>
        <x:v>Awaiting trade cost</x:v>
      </x:c>
      <x:c r="AB841" s="36" t="str">
        <x:f>IF(ISNUMBER(Y841),ROUND(Y841*0.9,2),"")</x:f>
      </x:c>
      <x:c r="AC841" s="36" t="str">
        <x:f>IF(ISNUMBER(AB841),ROUND(AB841-(AB841*0.015+0.2)-V841,2),"")</x:f>
      </x:c>
      <x:c r="AD841" s="36" t="str">
        <x:f>IF(ISNUMBER(Y841),ROUND(Y841*0.8,2),"")</x:f>
      </x:c>
      <x:c r="AE841" s="36" t="str">
        <x:f>IF(ISNUMBER(AD841),ROUND(AD841*0.015+0.2,2),"")</x:f>
      </x:c>
      <x:c r="AF841" s="36" t="str">
        <x:f>IF(ISNUMBER(AD841),ROUND(AD841-AE841-V841,2),"")</x:f>
      </x:c>
      <x:c r="AG841" t="str">
        <x:f>IF(NOT(ISNUMBER(T841)),"PENDING",IF(AF841&gt;0,"PASS","FAIL"))</x:f>
        <x:v>PENDING</x:v>
      </x:c>
      <x:c r="AH841" t="str">
        <x:f>IF(NOT(ISNUMBER(T841)),"Needs supplier cost",IF(K841&lt;&gt;"In stock","Supplier unavailable",IF(AG841&lt;&gt;"PASS","BLOCK - GT loss risk","Commercially protected")))</x:f>
        <x:v>Needs supplier cost</x:v>
      </x:c>
      <x:c r="AI841" t="str">
        <x:v>2026-09-10 Active Sports trade capture</x:v>
      </x:c>
      <x:c r="AJ841" t="str">
        <x:v>Management-only economics. Stripe stress test uses 1.5% + £0.20 standard UK online-card fee; pallet/mix-and-match pricing ignored.</x:v>
      </x:c>
    </x:row>
    <x:row r="842">
      <x:c r="A842" t="str">
        <x:v>Active Sports Nutrition</x:v>
      </x:c>
      <x:c r="B842" t="str">
        <x:v>Conteh Sports</x:v>
      </x:c>
      <x:c r="C842" t="str">
        <x:v>Nattokinase</x:v>
      </x:c>
      <x:c r="D842" t="str">
        <x:v>Supplements</x:v>
      </x:c>
      <x:c r="E842" t="str">
        <x:v>Health Foods</x:v>
      </x:c>
      <x:c r="F842" t="str"/>
      <x:c r="G842" t="str">
        <x:v>60 caps</x:v>
      </x:c>
      <x:c r="H842" t="str">
        <x:v>Default</x:v>
      </x:c>
      <x:c r="I842" t="str"/>
      <x:c r="J842" t="str">
        <x:v>Unit</x:v>
      </x:c>
      <x:c r="K842" t="str">
        <x:v>In stock</x:v>
      </x:c>
      <x:c r="L842" t="str">
        <x:v>2026-09-08</x:v>
      </x:c>
      <x:c r="M842" t="str"/>
      <x:c r="N842" t="str"/>
      <x:c r="O842" t="str">
        <x:v>https://www.activesportstrade.co.uk/conteh-sports-trade</x:v>
      </x:c>
      <x:c r="P842" t="str">
        <x:v>Supplier SPECIAL OFFER / 10% OFF wording removed where present.</x:v>
      </x:c>
      <x:c r="Q842" t="str"/>
      <x:c r="R842" t="str"/>
      <x:c r="S842" t="str">
        <x:v>Pending genuine supplier/brand image</x:v>
      </x:c>
      <x:c r="T842" s="54"/>
      <x:c r="U842" s="47" t="n">
        <x:v>0.2</x:v>
      </x:c>
      <x:c r="V842" s="54" t="str">
        <x:f>IF(ISNUMBER(T842),T842*(1+U842),"")</x:f>
      </x:c>
      <x:c r="W842" s="47" t="n">
        <x:v>0.3</x:v>
      </x:c>
      <x:c r="X842" s="54" t="str">
        <x:f>IF(ISNUMBER(V842),V842/(1-W842),"")</x:f>
      </x:c>
      <x:c r="Y842" s="55" t="str">
        <x:f>IF(ISNUMBER(X842),ROUNDUP(X842,0),"")</x:f>
      </x:c>
      <x:c r="Z842" t="str">
        <x:f>IF(ISNUMBER(T842),"Cost captured","Awaiting trade cost")</x:f>
        <x:v>Awaiting trade cost</x:v>
      </x:c>
      <x:c r="AB842" s="36" t="str">
        <x:f>IF(ISNUMBER(Y842),ROUND(Y842*0.9,2),"")</x:f>
      </x:c>
      <x:c r="AC842" s="36" t="str">
        <x:f>IF(ISNUMBER(AB842),ROUND(AB842-(AB842*0.015+0.2)-V842,2),"")</x:f>
      </x:c>
      <x:c r="AD842" s="36" t="str">
        <x:f>IF(ISNUMBER(Y842),ROUND(Y842*0.8,2),"")</x:f>
      </x:c>
      <x:c r="AE842" s="36" t="str">
        <x:f>IF(ISNUMBER(AD842),ROUND(AD842*0.015+0.2,2),"")</x:f>
      </x:c>
      <x:c r="AF842" s="36" t="str">
        <x:f>IF(ISNUMBER(AD842),ROUND(AD842-AE842-V842,2),"")</x:f>
      </x:c>
      <x:c r="AG842" t="str">
        <x:f>IF(NOT(ISNUMBER(T842)),"PENDING",IF(AF842&gt;0,"PASS","FAIL"))</x:f>
        <x:v>PENDING</x:v>
      </x:c>
      <x:c r="AH842" t="str">
        <x:f>IF(NOT(ISNUMBER(T842)),"Needs supplier cost",IF(K842&lt;&gt;"In stock","Supplier unavailable",IF(AG842&lt;&gt;"PASS","BLOCK - GT loss risk","Commercially protected")))</x:f>
        <x:v>Needs supplier cost</x:v>
      </x:c>
      <x:c r="AI842" t="str">
        <x:v>2026-09-10 Active Sports trade capture</x:v>
      </x:c>
      <x:c r="AJ842" t="str">
        <x:v>Management-only economics. Stripe stress test uses 1.5% + £0.20 standard UK online-card fee; pallet/mix-and-match pricing ignored.</x:v>
      </x:c>
    </x:row>
    <x:row r="843">
      <x:c r="A843" t="str">
        <x:v>Active Sports Nutrition</x:v>
      </x:c>
      <x:c r="B843" t="str">
        <x:v>Conteh Sports</x:v>
      </x:c>
      <x:c r="C843" t="str">
        <x:v>Omega 3</x:v>
      </x:c>
      <x:c r="D843" t="str">
        <x:v>Supplements</x:v>
      </x:c>
      <x:c r="E843" t="str">
        <x:v>Omega and EFA</x:v>
      </x:c>
      <x:c r="F843" t="str"/>
      <x:c r="G843" t="str">
        <x:v>90 gel caps</x:v>
      </x:c>
      <x:c r="H843" t="str">
        <x:v>Default</x:v>
      </x:c>
      <x:c r="I843" t="str"/>
      <x:c r="J843" t="str">
        <x:v>Unit</x:v>
      </x:c>
      <x:c r="K843" t="str">
        <x:v>In stock</x:v>
      </x:c>
      <x:c r="L843" t="str">
        <x:v>2026-09-08</x:v>
      </x:c>
      <x:c r="M843" t="str"/>
      <x:c r="N843" t="str"/>
      <x:c r="O843" t="str">
        <x:v>https://www.activesportstrade.co.uk/conteh-sports-trade</x:v>
      </x:c>
      <x:c r="P843" t="str">
        <x:v>Supplier SPECIAL OFFER / 10% OFF wording removed where present.</x:v>
      </x:c>
      <x:c r="Q843" t="str"/>
      <x:c r="R843" t="str"/>
      <x:c r="S843" t="str">
        <x:v>Pending genuine supplier/brand image</x:v>
      </x:c>
      <x:c r="T843" s="54"/>
      <x:c r="U843" s="47" t="n">
        <x:v>0.2</x:v>
      </x:c>
      <x:c r="V843" s="54" t="str">
        <x:f>IF(ISNUMBER(T843),T843*(1+U843),"")</x:f>
      </x:c>
      <x:c r="W843" s="47" t="n">
        <x:v>0.3</x:v>
      </x:c>
      <x:c r="X843" s="54" t="str">
        <x:f>IF(ISNUMBER(V843),V843/(1-W843),"")</x:f>
      </x:c>
      <x:c r="Y843" s="55" t="str">
        <x:f>IF(ISNUMBER(X843),ROUNDUP(X843,0),"")</x:f>
      </x:c>
      <x:c r="Z843" t="str">
        <x:f>IF(ISNUMBER(T843),"Cost captured","Awaiting trade cost")</x:f>
        <x:v>Awaiting trade cost</x:v>
      </x:c>
      <x:c r="AB843" s="36" t="str">
        <x:f>IF(ISNUMBER(Y843),ROUND(Y843*0.9,2),"")</x:f>
      </x:c>
      <x:c r="AC843" s="36" t="str">
        <x:f>IF(ISNUMBER(AB843),ROUND(AB843-(AB843*0.015+0.2)-V843,2),"")</x:f>
      </x:c>
      <x:c r="AD843" s="36" t="str">
        <x:f>IF(ISNUMBER(Y843),ROUND(Y843*0.8,2),"")</x:f>
      </x:c>
      <x:c r="AE843" s="36" t="str">
        <x:f>IF(ISNUMBER(AD843),ROUND(AD843*0.015+0.2,2),"")</x:f>
      </x:c>
      <x:c r="AF843" s="36" t="str">
        <x:f>IF(ISNUMBER(AD843),ROUND(AD843-AE843-V843,2),"")</x:f>
      </x:c>
      <x:c r="AG843" t="str">
        <x:f>IF(NOT(ISNUMBER(T843)),"PENDING",IF(AF843&gt;0,"PASS","FAIL"))</x:f>
        <x:v>PENDING</x:v>
      </x:c>
      <x:c r="AH843" t="str">
        <x:f>IF(NOT(ISNUMBER(T843)),"Needs supplier cost",IF(K843&lt;&gt;"In stock","Supplier unavailable",IF(AG843&lt;&gt;"PASS","BLOCK - GT loss risk","Commercially protected")))</x:f>
        <x:v>Needs supplier cost</x:v>
      </x:c>
      <x:c r="AI843" t="str">
        <x:v>2026-09-10 Active Sports trade capture</x:v>
      </x:c>
      <x:c r="AJ843" t="str">
        <x:v>Management-only economics. Stripe stress test uses 1.5% + £0.20 standard UK online-card fee; pallet/mix-and-match pricing ignored.</x:v>
      </x:c>
    </x:row>
    <x:row r="844">
      <x:c r="A844" t="str">
        <x:v>Active Sports Nutrition</x:v>
      </x:c>
      <x:c r="B844" t="str">
        <x:v>Conteh Sports</x:v>
      </x:c>
      <x:c r="C844" t="str">
        <x:v>Organ Defence</x:v>
      </x:c>
      <x:c r="D844" t="str">
        <x:v>Supplements</x:v>
      </x:c>
      <x:c r="E844" t="str">
        <x:v>OCS Supplements</x:v>
      </x:c>
      <x:c r="F844" t="str"/>
      <x:c r="G844" t="str">
        <x:v>90 caps</x:v>
      </x:c>
      <x:c r="H844" t="str">
        <x:v>Default</x:v>
      </x:c>
      <x:c r="I844" t="str"/>
      <x:c r="J844" t="str">
        <x:v>Unit</x:v>
      </x:c>
      <x:c r="K844" t="str">
        <x:v>In stock</x:v>
      </x:c>
      <x:c r="L844" t="str">
        <x:v>2026-09-08</x:v>
      </x:c>
      <x:c r="M844" t="str"/>
      <x:c r="N844" t="str"/>
      <x:c r="O844" t="str">
        <x:v>https://www.activesportstrade.co.uk/conteh-sports-trade</x:v>
      </x:c>
      <x:c r="P844" t="str">
        <x:v>Supplier SPECIAL OFFER / 10% OFF wording removed where present.</x:v>
      </x:c>
      <x:c r="Q844" t="str"/>
      <x:c r="R844" t="str"/>
      <x:c r="S844" t="str">
        <x:v>Pending genuine supplier/brand image</x:v>
      </x:c>
      <x:c r="T844" s="54"/>
      <x:c r="U844" s="47" t="n">
        <x:v>0.2</x:v>
      </x:c>
      <x:c r="V844" s="54" t="str">
        <x:f>IF(ISNUMBER(T844),T844*(1+U844),"")</x:f>
      </x:c>
      <x:c r="W844" s="47" t="n">
        <x:v>0.3</x:v>
      </x:c>
      <x:c r="X844" s="54" t="str">
        <x:f>IF(ISNUMBER(V844),V844/(1-W844),"")</x:f>
      </x:c>
      <x:c r="Y844" s="55" t="str">
        <x:f>IF(ISNUMBER(X844),ROUNDUP(X844,0),"")</x:f>
      </x:c>
      <x:c r="Z844" t="str">
        <x:f>IF(ISNUMBER(T844),"Cost captured","Awaiting trade cost")</x:f>
        <x:v>Awaiting trade cost</x:v>
      </x:c>
      <x:c r="AB844" s="36" t="str">
        <x:f>IF(ISNUMBER(Y844),ROUND(Y844*0.9,2),"")</x:f>
      </x:c>
      <x:c r="AC844" s="36" t="str">
        <x:f>IF(ISNUMBER(AB844),ROUND(AB844-(AB844*0.015+0.2)-V844,2),"")</x:f>
      </x:c>
      <x:c r="AD844" s="36" t="str">
        <x:f>IF(ISNUMBER(Y844),ROUND(Y844*0.8,2),"")</x:f>
      </x:c>
      <x:c r="AE844" s="36" t="str">
        <x:f>IF(ISNUMBER(AD844),ROUND(AD844*0.015+0.2,2),"")</x:f>
      </x:c>
      <x:c r="AF844" s="36" t="str">
        <x:f>IF(ISNUMBER(AD844),ROUND(AD844-AE844-V844,2),"")</x:f>
      </x:c>
      <x:c r="AG844" t="str">
        <x:f>IF(NOT(ISNUMBER(T844)),"PENDING",IF(AF844&gt;0,"PASS","FAIL"))</x:f>
        <x:v>PENDING</x:v>
      </x:c>
      <x:c r="AH844" t="str">
        <x:f>IF(NOT(ISNUMBER(T844)),"Needs supplier cost",IF(K844&lt;&gt;"In stock","Supplier unavailable",IF(AG844&lt;&gt;"PASS","BLOCK - GT loss risk","Commercially protected")))</x:f>
        <x:v>Needs supplier cost</x:v>
      </x:c>
      <x:c r="AI844" t="str">
        <x:v>2026-09-10 Active Sports trade capture</x:v>
      </x:c>
      <x:c r="AJ844" t="str">
        <x:v>Management-only economics. Stripe stress test uses 1.5% + £0.20 standard UK online-card fee; pallet/mix-and-match pricing ignored.</x:v>
      </x:c>
    </x:row>
    <x:row r="845">
      <x:c r="A845" t="str">
        <x:v>Active Sports Nutrition</x:v>
      </x:c>
      <x:c r="B845" t="str">
        <x:v>Conteh Sports</x:v>
      </x:c>
      <x:c r="C845" t="str">
        <x:v>P-5-P - Pyridoxal-5-Phosphate</x:v>
      </x:c>
      <x:c r="D845" t="str">
        <x:v>Supplements</x:v>
      </x:c>
      <x:c r="E845" t="str">
        <x:v>Vitamins</x:v>
      </x:c>
      <x:c r="F845" t="str"/>
      <x:c r="G845" t="str">
        <x:v>120 caps</x:v>
      </x:c>
      <x:c r="H845" t="str">
        <x:v>Default</x:v>
      </x:c>
      <x:c r="I845" t="str"/>
      <x:c r="J845" t="str">
        <x:v>Unit</x:v>
      </x:c>
      <x:c r="K845" t="str">
        <x:v>In stock</x:v>
      </x:c>
      <x:c r="L845" t="str">
        <x:v>2026-09-08</x:v>
      </x:c>
      <x:c r="M845" t="str"/>
      <x:c r="N845" t="str"/>
      <x:c r="O845" t="str">
        <x:v>https://www.activesportstrade.co.uk/conteh-sports-trade</x:v>
      </x:c>
      <x:c r="P845" t="str">
        <x:v>Supplier SPECIAL OFFER / 10% OFF wording removed where present.</x:v>
      </x:c>
      <x:c r="Q845" t="str"/>
      <x:c r="R845" t="str"/>
      <x:c r="S845" t="str">
        <x:v>Pending genuine supplier/brand image</x:v>
      </x:c>
      <x:c r="T845" s="54"/>
      <x:c r="U845" s="47" t="n">
        <x:v>0.2</x:v>
      </x:c>
      <x:c r="V845" s="54" t="str">
        <x:f>IF(ISNUMBER(T845),T845*(1+U845),"")</x:f>
      </x:c>
      <x:c r="W845" s="47" t="n">
        <x:v>0.3</x:v>
      </x:c>
      <x:c r="X845" s="54" t="str">
        <x:f>IF(ISNUMBER(V845),V845/(1-W845),"")</x:f>
      </x:c>
      <x:c r="Y845" s="55" t="str">
        <x:f>IF(ISNUMBER(X845),ROUNDUP(X845,0),"")</x:f>
      </x:c>
      <x:c r="Z845" t="str">
        <x:f>IF(ISNUMBER(T845),"Cost captured","Awaiting trade cost")</x:f>
        <x:v>Awaiting trade cost</x:v>
      </x:c>
      <x:c r="AB845" s="36" t="str">
        <x:f>IF(ISNUMBER(Y845),ROUND(Y845*0.9,2),"")</x:f>
      </x:c>
      <x:c r="AC845" s="36" t="str">
        <x:f>IF(ISNUMBER(AB845),ROUND(AB845-(AB845*0.015+0.2)-V845,2),"")</x:f>
      </x:c>
      <x:c r="AD845" s="36" t="str">
        <x:f>IF(ISNUMBER(Y845),ROUND(Y845*0.8,2),"")</x:f>
      </x:c>
      <x:c r="AE845" s="36" t="str">
        <x:f>IF(ISNUMBER(AD845),ROUND(AD845*0.015+0.2,2),"")</x:f>
      </x:c>
      <x:c r="AF845" s="36" t="str">
        <x:f>IF(ISNUMBER(AD845),ROUND(AD845-AE845-V845,2),"")</x:f>
      </x:c>
      <x:c r="AG845" t="str">
        <x:f>IF(NOT(ISNUMBER(T845)),"PENDING",IF(AF845&gt;0,"PASS","FAIL"))</x:f>
        <x:v>PENDING</x:v>
      </x:c>
      <x:c r="AH845" t="str">
        <x:f>IF(NOT(ISNUMBER(T845)),"Needs supplier cost",IF(K845&lt;&gt;"In stock","Supplier unavailable",IF(AG845&lt;&gt;"PASS","BLOCK - GT loss risk","Commercially protected")))</x:f>
        <x:v>Needs supplier cost</x:v>
      </x:c>
      <x:c r="AI845" t="str">
        <x:v>2026-09-10 Active Sports trade capture</x:v>
      </x:c>
      <x:c r="AJ845" t="str">
        <x:v>Management-only economics. Stripe stress test uses 1.5% + £0.20 standard UK online-card fee; pallet/mix-and-match pricing ignored.</x:v>
      </x:c>
    </x:row>
    <x:row r="846">
      <x:c r="A846" t="str">
        <x:v>Active Sports Nutrition</x:v>
      </x:c>
      <x:c r="B846" t="str">
        <x:v>Conteh Sports</x:v>
      </x:c>
      <x:c r="C846" t="str">
        <x:v>Pre Shred</x:v>
      </x:c>
      <x:c r="D846" t="str">
        <x:v>Supplements</x:v>
      </x:c>
      <x:c r="E846" t="str">
        <x:v>Fat Burners</x:v>
      </x:c>
      <x:c r="F846" t="str"/>
      <x:c r="G846" t="str">
        <x:v>90 caps</x:v>
      </x:c>
      <x:c r="H846" t="str">
        <x:v>Default</x:v>
      </x:c>
      <x:c r="I846" t="str"/>
      <x:c r="J846" t="str">
        <x:v>Unit</x:v>
      </x:c>
      <x:c r="K846" t="str">
        <x:v>In stock</x:v>
      </x:c>
      <x:c r="L846" t="str">
        <x:v>2026-09-08</x:v>
      </x:c>
      <x:c r="M846" t="str"/>
      <x:c r="N846" t="str"/>
      <x:c r="O846" t="str">
        <x:v>https://www.activesportstrade.co.uk/conteh-sports-trade</x:v>
      </x:c>
      <x:c r="P846" t="str">
        <x:v>Supplier SPECIAL OFFER / 10% OFF wording removed where present.</x:v>
      </x:c>
      <x:c r="Q846" t="str"/>
      <x:c r="R846" t="str"/>
      <x:c r="S846" t="str">
        <x:v>Pending genuine supplier/brand image</x:v>
      </x:c>
      <x:c r="T846" s="54"/>
      <x:c r="U846" s="47" t="n">
        <x:v>0.2</x:v>
      </x:c>
      <x:c r="V846" s="54" t="str">
        <x:f>IF(ISNUMBER(T846),T846*(1+U846),"")</x:f>
      </x:c>
      <x:c r="W846" s="47" t="n">
        <x:v>0.3</x:v>
      </x:c>
      <x:c r="X846" s="54" t="str">
        <x:f>IF(ISNUMBER(V846),V846/(1-W846),"")</x:f>
      </x:c>
      <x:c r="Y846" s="55" t="str">
        <x:f>IF(ISNUMBER(X846),ROUNDUP(X846,0),"")</x:f>
      </x:c>
      <x:c r="Z846" t="str">
        <x:f>IF(ISNUMBER(T846),"Cost captured","Awaiting trade cost")</x:f>
        <x:v>Awaiting trade cost</x:v>
      </x:c>
      <x:c r="AB846" s="36" t="str">
        <x:f>IF(ISNUMBER(Y846),ROUND(Y846*0.9,2),"")</x:f>
      </x:c>
      <x:c r="AC846" s="36" t="str">
        <x:f>IF(ISNUMBER(AB846),ROUND(AB846-(AB846*0.015+0.2)-V846,2),"")</x:f>
      </x:c>
      <x:c r="AD846" s="36" t="str">
        <x:f>IF(ISNUMBER(Y846),ROUND(Y846*0.8,2),"")</x:f>
      </x:c>
      <x:c r="AE846" s="36" t="str">
        <x:f>IF(ISNUMBER(AD846),ROUND(AD846*0.015+0.2,2),"")</x:f>
      </x:c>
      <x:c r="AF846" s="36" t="str">
        <x:f>IF(ISNUMBER(AD846),ROUND(AD846-AE846-V846,2),"")</x:f>
      </x:c>
      <x:c r="AG846" t="str">
        <x:f>IF(NOT(ISNUMBER(T846)),"PENDING",IF(AF846&gt;0,"PASS","FAIL"))</x:f>
        <x:v>PENDING</x:v>
      </x:c>
      <x:c r="AH846" t="str">
        <x:f>IF(NOT(ISNUMBER(T846)),"Needs supplier cost",IF(K846&lt;&gt;"In stock","Supplier unavailable",IF(AG846&lt;&gt;"PASS","BLOCK - GT loss risk","Commercially protected")))</x:f>
        <x:v>Needs supplier cost</x:v>
      </x:c>
      <x:c r="AI846" t="str">
        <x:v>2026-09-10 Active Sports trade capture</x:v>
      </x:c>
      <x:c r="AJ846" t="str">
        <x:v>Management-only economics. Stripe stress test uses 1.5% + £0.20 standard UK online-card fee; pallet/mix-and-match pricing ignored.</x:v>
      </x:c>
    </x:row>
    <x:row r="847">
      <x:c r="A847" t="str">
        <x:v>Active Sports Nutrition</x:v>
      </x:c>
      <x:c r="B847" t="str">
        <x:v>Conteh Sports</x:v>
      </x:c>
      <x:c r="C847" t="str">
        <x:v>Uridine</x:v>
      </x:c>
      <x:c r="D847" t="str">
        <x:v>Supplements</x:v>
      </x:c>
      <x:c r="E847" t="str">
        <x:v>Health Foods</x:v>
      </x:c>
      <x:c r="F847" t="str"/>
      <x:c r="G847" t="str">
        <x:v>60 caps</x:v>
      </x:c>
      <x:c r="H847" t="str">
        <x:v>Default</x:v>
      </x:c>
      <x:c r="I847" t="str"/>
      <x:c r="J847" t="str">
        <x:v>Unit</x:v>
      </x:c>
      <x:c r="K847" t="str">
        <x:v>In stock</x:v>
      </x:c>
      <x:c r="L847" t="str">
        <x:v>2026-09-08</x:v>
      </x:c>
      <x:c r="M847" t="str"/>
      <x:c r="N847" t="str"/>
      <x:c r="O847" t="str">
        <x:v>https://www.activesportstrade.co.uk/conteh-sports-trade</x:v>
      </x:c>
      <x:c r="P847" t="str">
        <x:v>Supplier SPECIAL OFFER / 10% OFF wording removed where present.</x:v>
      </x:c>
      <x:c r="Q847" t="str"/>
      <x:c r="R847" t="str"/>
      <x:c r="S847" t="str">
        <x:v>Pending genuine supplier/brand image</x:v>
      </x:c>
      <x:c r="T847" s="54"/>
      <x:c r="U847" s="47" t="n">
        <x:v>0.2</x:v>
      </x:c>
      <x:c r="V847" s="54" t="str">
        <x:f>IF(ISNUMBER(T847),T847*(1+U847),"")</x:f>
      </x:c>
      <x:c r="W847" s="47" t="n">
        <x:v>0.3</x:v>
      </x:c>
      <x:c r="X847" s="54" t="str">
        <x:f>IF(ISNUMBER(V847),V847/(1-W847),"")</x:f>
      </x:c>
      <x:c r="Y847" s="55" t="str">
        <x:f>IF(ISNUMBER(X847),ROUNDUP(X847,0),"")</x:f>
      </x:c>
      <x:c r="Z847" t="str">
        <x:f>IF(ISNUMBER(T847),"Cost captured","Awaiting trade cost")</x:f>
        <x:v>Awaiting trade cost</x:v>
      </x:c>
      <x:c r="AB847" s="36" t="str">
        <x:f>IF(ISNUMBER(Y847),ROUND(Y847*0.9,2),"")</x:f>
      </x:c>
      <x:c r="AC847" s="36" t="str">
        <x:f>IF(ISNUMBER(AB847),ROUND(AB847-(AB847*0.015+0.2)-V847,2),"")</x:f>
      </x:c>
      <x:c r="AD847" s="36" t="str">
        <x:f>IF(ISNUMBER(Y847),ROUND(Y847*0.8,2),"")</x:f>
      </x:c>
      <x:c r="AE847" s="36" t="str">
        <x:f>IF(ISNUMBER(AD847),ROUND(AD847*0.015+0.2,2),"")</x:f>
      </x:c>
      <x:c r="AF847" s="36" t="str">
        <x:f>IF(ISNUMBER(AD847),ROUND(AD847-AE847-V847,2),"")</x:f>
      </x:c>
      <x:c r="AG847" t="str">
        <x:f>IF(NOT(ISNUMBER(T847)),"PENDING",IF(AF847&gt;0,"PASS","FAIL"))</x:f>
        <x:v>PENDING</x:v>
      </x:c>
      <x:c r="AH847" t="str">
        <x:f>IF(NOT(ISNUMBER(T847)),"Needs supplier cost",IF(K847&lt;&gt;"In stock","Supplier unavailable",IF(AG847&lt;&gt;"PASS","BLOCK - GT loss risk","Commercially protected")))</x:f>
        <x:v>Needs supplier cost</x:v>
      </x:c>
      <x:c r="AI847" t="str">
        <x:v>2026-09-10 Active Sports trade capture</x:v>
      </x:c>
      <x:c r="AJ847" t="str">
        <x:v>Management-only economics. Stripe stress test uses 1.5% + £0.20 standard UK online-card fee; pallet/mix-and-match pricing ignored.</x:v>
      </x:c>
    </x:row>
    <x:row r="848">
      <x:c r="A848" t="str">
        <x:v>Active Sports Nutrition</x:v>
      </x:c>
      <x:c r="B848" t="str">
        <x:v>Conteh Sports</x:v>
      </x:c>
      <x:c r="C848" t="str">
        <x:v>Vitamin D3 + K2</x:v>
      </x:c>
      <x:c r="D848" t="str">
        <x:v>Supplements</x:v>
      </x:c>
      <x:c r="E848" t="str">
        <x:v>Vitamins</x:v>
      </x:c>
      <x:c r="F848" t="str"/>
      <x:c r="G848" t="str">
        <x:v>120 caps</x:v>
      </x:c>
      <x:c r="H848" t="str">
        <x:v>Default</x:v>
      </x:c>
      <x:c r="I848" t="str"/>
      <x:c r="J848" t="str">
        <x:v>Unit</x:v>
      </x:c>
      <x:c r="K848" t="str">
        <x:v>In stock</x:v>
      </x:c>
      <x:c r="L848" t="str">
        <x:v>2026-09-08</x:v>
      </x:c>
      <x:c r="M848" t="str"/>
      <x:c r="N848" t="str"/>
      <x:c r="O848" t="str">
        <x:v>https://www.activesportstrade.co.uk/conteh-sports-trade</x:v>
      </x:c>
      <x:c r="P848" t="str">
        <x:v>Supplier SPECIAL OFFER / 10% OFF wording removed where present.</x:v>
      </x:c>
      <x:c r="Q848" t="str"/>
      <x:c r="R848" t="str"/>
      <x:c r="S848" t="str">
        <x:v>Pending genuine supplier/brand image</x:v>
      </x:c>
      <x:c r="T848" s="54"/>
      <x:c r="U848" s="47" t="n">
        <x:v>0.2</x:v>
      </x:c>
      <x:c r="V848" s="54" t="str">
        <x:f>IF(ISNUMBER(T848),T848*(1+U848),"")</x:f>
      </x:c>
      <x:c r="W848" s="47" t="n">
        <x:v>0.3</x:v>
      </x:c>
      <x:c r="X848" s="54" t="str">
        <x:f>IF(ISNUMBER(V848),V848/(1-W848),"")</x:f>
      </x:c>
      <x:c r="Y848" s="55" t="str">
        <x:f>IF(ISNUMBER(X848),ROUNDUP(X848,0),"")</x:f>
      </x:c>
      <x:c r="Z848" t="str">
        <x:f>IF(ISNUMBER(T848),"Cost captured","Awaiting trade cost")</x:f>
        <x:v>Awaiting trade cost</x:v>
      </x:c>
      <x:c r="AB848" s="36" t="str">
        <x:f>IF(ISNUMBER(Y848),ROUND(Y848*0.9,2),"")</x:f>
      </x:c>
      <x:c r="AC848" s="36" t="str">
        <x:f>IF(ISNUMBER(AB848),ROUND(AB848-(AB848*0.015+0.2)-V848,2),"")</x:f>
      </x:c>
      <x:c r="AD848" s="36" t="str">
        <x:f>IF(ISNUMBER(Y848),ROUND(Y848*0.8,2),"")</x:f>
      </x:c>
      <x:c r="AE848" s="36" t="str">
        <x:f>IF(ISNUMBER(AD848),ROUND(AD848*0.015+0.2,2),"")</x:f>
      </x:c>
      <x:c r="AF848" s="36" t="str">
        <x:f>IF(ISNUMBER(AD848),ROUND(AD848-AE848-V848,2),"")</x:f>
      </x:c>
      <x:c r="AG848" t="str">
        <x:f>IF(NOT(ISNUMBER(T848)),"PENDING",IF(AF848&gt;0,"PASS","FAIL"))</x:f>
        <x:v>PENDING</x:v>
      </x:c>
      <x:c r="AH848" t="str">
        <x:f>IF(NOT(ISNUMBER(T848)),"Needs supplier cost",IF(K848&lt;&gt;"In stock","Supplier unavailable",IF(AG848&lt;&gt;"PASS","BLOCK - GT loss risk","Commercially protected")))</x:f>
        <x:v>Needs supplier cost</x:v>
      </x:c>
      <x:c r="AI848" t="str">
        <x:v>2026-09-10 Active Sports trade capture</x:v>
      </x:c>
      <x:c r="AJ848" t="str">
        <x:v>Management-only economics. Stripe stress test uses 1.5% + £0.20 standard UK online-card fee; pallet/mix-and-match pricing ignored.</x:v>
      </x:c>
    </x:row>
    <x:row r="849">
      <x:c r="A849" t="str">
        <x:v>Active Sports Nutrition</x:v>
      </x:c>
      <x:c r="B849" t="str">
        <x:v>Conteh Sports</x:v>
      </x:c>
      <x:c r="C849" t="str">
        <x:v>ZMG</x:v>
      </x:c>
      <x:c r="D849" t="str">
        <x:v>Supplements</x:v>
      </x:c>
      <x:c r="E849" t="str">
        <x:v>Sleep Aids</x:v>
      </x:c>
      <x:c r="F849" t="str"/>
      <x:c r="G849" t="str">
        <x:v>180 caps</x:v>
      </x:c>
      <x:c r="H849" t="str">
        <x:v>Default</x:v>
      </x:c>
      <x:c r="I849" t="str"/>
      <x:c r="J849" t="str">
        <x:v>Unit</x:v>
      </x:c>
      <x:c r="K849" t="str">
        <x:v>In stock</x:v>
      </x:c>
      <x:c r="L849" t="str">
        <x:v>2026-09-08</x:v>
      </x:c>
      <x:c r="M849" t="str"/>
      <x:c r="N849" t="str"/>
      <x:c r="O849" t="str">
        <x:v>https://www.activesportstrade.co.uk/conteh-sports-trade</x:v>
      </x:c>
      <x:c r="P849" t="str">
        <x:v>Supplier SPECIAL OFFER / 10% OFF wording removed where present.</x:v>
      </x:c>
      <x:c r="Q849" t="str"/>
      <x:c r="R849" t="str"/>
      <x:c r="S849" t="str">
        <x:v>Pending genuine supplier/brand image</x:v>
      </x:c>
      <x:c r="T849" s="54"/>
      <x:c r="U849" s="47" t="n">
        <x:v>0.2</x:v>
      </x:c>
      <x:c r="V849" s="54" t="str">
        <x:f>IF(ISNUMBER(T849),T849*(1+U849),"")</x:f>
      </x:c>
      <x:c r="W849" s="47" t="n">
        <x:v>0.3</x:v>
      </x:c>
      <x:c r="X849" s="54" t="str">
        <x:f>IF(ISNUMBER(V849),V849/(1-W849),"")</x:f>
      </x:c>
      <x:c r="Y849" s="55" t="str">
        <x:f>IF(ISNUMBER(X849),ROUNDUP(X849,0),"")</x:f>
      </x:c>
      <x:c r="Z849" t="str">
        <x:f>IF(ISNUMBER(T849),"Cost captured","Awaiting trade cost")</x:f>
        <x:v>Awaiting trade cost</x:v>
      </x:c>
      <x:c r="AB849" s="36" t="str">
        <x:f>IF(ISNUMBER(Y849),ROUND(Y849*0.9,2),"")</x:f>
      </x:c>
      <x:c r="AC849" s="36" t="str">
        <x:f>IF(ISNUMBER(AB849),ROUND(AB849-(AB849*0.015+0.2)-V849,2),"")</x:f>
      </x:c>
      <x:c r="AD849" s="36" t="str">
        <x:f>IF(ISNUMBER(Y849),ROUND(Y849*0.8,2),"")</x:f>
      </x:c>
      <x:c r="AE849" s="36" t="str">
        <x:f>IF(ISNUMBER(AD849),ROUND(AD849*0.015+0.2,2),"")</x:f>
      </x:c>
      <x:c r="AF849" s="36" t="str">
        <x:f>IF(ISNUMBER(AD849),ROUND(AD849-AE849-V849,2),"")</x:f>
      </x:c>
      <x:c r="AG849" t="str">
        <x:f>IF(NOT(ISNUMBER(T849)),"PENDING",IF(AF849&gt;0,"PASS","FAIL"))</x:f>
        <x:v>PENDING</x:v>
      </x:c>
      <x:c r="AH849" t="str">
        <x:f>IF(NOT(ISNUMBER(T849)),"Needs supplier cost",IF(K849&lt;&gt;"In stock","Supplier unavailable",IF(AG849&lt;&gt;"PASS","BLOCK - GT loss risk","Commercially protected")))</x:f>
        <x:v>Needs supplier cost</x:v>
      </x:c>
      <x:c r="AI849" t="str">
        <x:v>2026-09-10 Active Sports trade capture</x:v>
      </x:c>
      <x:c r="AJ849" t="str">
        <x:v>Management-only economics. Stripe stress test uses 1.5% + £0.20 standard UK online-card fee; pallet/mix-and-match pricing ignored.</x:v>
      </x:c>
    </x:row>
    <x:row r="850">
      <x:c r="A850" t="str">
        <x:v>Active Sports Nutrition</x:v>
      </x:c>
      <x:c r="B850" t="str">
        <x:v>Conteh Sports</x:v>
      </x:c>
      <x:c r="C850" t="str">
        <x:v>Carb Drive</x:v>
      </x:c>
      <x:c r="D850" t="str">
        <x:v>Supplements</x:v>
      </x:c>
      <x:c r="E850" t="str">
        <x:v>Intra Workout</x:v>
      </x:c>
      <x:c r="F850" t="str">
        <x:v>Intra-workout carbohydrate formula.</x:v>
      </x:c>
      <x:c r="G850" t="str">
        <x:v>1.102kg</x:v>
      </x:c>
      <x:c r="H850" t="str">
        <x:v>Mango</x:v>
      </x:c>
      <x:c r="I850" t="str"/>
      <x:c r="J850" t="str">
        <x:v>Unit</x:v>
      </x:c>
      <x:c r="K850" t="str">
        <x:v>In stock</x:v>
      </x:c>
      <x:c r="L850" t="str">
        <x:v>2026-09-08</x:v>
      </x:c>
      <x:c r="M850" t="str"/>
      <x:c r="N850" t="str"/>
      <x:c r="O850" t="str">
        <x:v>https://www.activesportstrade.co.uk/conteh-sports-trade</x:v>
      </x:c>
      <x:c r="P850" t="str">
        <x:v>Supplier displays '1.102g'; normalised to 1.102kg based on product context, flagged for supplier verification.</x:v>
      </x:c>
      <x:c r="Q850" t="str"/>
      <x:c r="R850" t="str"/>
      <x:c r="S850" t="str">
        <x:v>Pending genuine supplier/brand image</x:v>
      </x:c>
      <x:c r="T850" s="54"/>
      <x:c r="U850" s="47" t="n">
        <x:v>0.2</x:v>
      </x:c>
      <x:c r="V850" s="54" t="str">
        <x:f>IF(ISNUMBER(T850),T850*(1+U850),"")</x:f>
      </x:c>
      <x:c r="W850" s="47" t="n">
        <x:v>0.3</x:v>
      </x:c>
      <x:c r="X850" s="54" t="str">
        <x:f>IF(ISNUMBER(V850),V850/(1-W850),"")</x:f>
      </x:c>
      <x:c r="Y850" s="55" t="str">
        <x:f>IF(ISNUMBER(X850),ROUNDUP(X850,0),"")</x:f>
      </x:c>
      <x:c r="Z850" t="str">
        <x:f>IF(ISNUMBER(T850),"Cost captured","Awaiting trade cost")</x:f>
        <x:v>Awaiting trade cost</x:v>
      </x:c>
      <x:c r="AB850" s="36" t="str">
        <x:f>IF(ISNUMBER(Y850),ROUND(Y850*0.9,2),"")</x:f>
      </x:c>
      <x:c r="AC850" s="36" t="str">
        <x:f>IF(ISNUMBER(AB850),ROUND(AB850-(AB850*0.015+0.2)-V850,2),"")</x:f>
      </x:c>
      <x:c r="AD850" s="36" t="str">
        <x:f>IF(ISNUMBER(Y850),ROUND(Y850*0.8,2),"")</x:f>
      </x:c>
      <x:c r="AE850" s="36" t="str">
        <x:f>IF(ISNUMBER(AD850),ROUND(AD850*0.015+0.2,2),"")</x:f>
      </x:c>
      <x:c r="AF850" s="36" t="str">
        <x:f>IF(ISNUMBER(AD850),ROUND(AD850-AE850-V850,2),"")</x:f>
      </x:c>
      <x:c r="AG850" t="str">
        <x:f>IF(NOT(ISNUMBER(T850)),"PENDING",IF(AF850&gt;0,"PASS","FAIL"))</x:f>
        <x:v>PENDING</x:v>
      </x:c>
      <x:c r="AH850" t="str">
        <x:f>IF(NOT(ISNUMBER(T850)),"Needs supplier cost",IF(K850&lt;&gt;"In stock","Supplier unavailable",IF(AG850&lt;&gt;"PASS","BLOCK - GT loss risk","Commercially protected")))</x:f>
        <x:v>Needs supplier cost</x:v>
      </x:c>
      <x:c r="AI850" t="str">
        <x:v>2026-09-10 Active Sports trade capture</x:v>
      </x:c>
      <x:c r="AJ850" t="str">
        <x:v>Management-only economics. Stripe stress test uses 1.5% + £0.20 standard UK online-card fee; pallet/mix-and-match pricing ignored.</x:v>
      </x:c>
    </x:row>
    <x:row r="851">
      <x:c r="A851" t="str">
        <x:v>Active Sports Nutrition</x:v>
      </x:c>
      <x:c r="B851" t="str">
        <x:v>Conteh Sports</x:v>
      </x:c>
      <x:c r="C851" t="str">
        <x:v>Carb Drive</x:v>
      </x:c>
      <x:c r="D851" t="str">
        <x:v>Supplements</x:v>
      </x:c>
      <x:c r="E851" t="str">
        <x:v>Intra Workout</x:v>
      </x:c>
      <x:c r="F851" t="str">
        <x:v>Intra-workout carbohydrate formula.</x:v>
      </x:c>
      <x:c r="G851" t="str">
        <x:v>1.102kg</x:v>
      </x:c>
      <x:c r="H851" t="str">
        <x:v>Unflavoured</x:v>
      </x:c>
      <x:c r="I851" t="str"/>
      <x:c r="J851" t="str">
        <x:v>Unit</x:v>
      </x:c>
      <x:c r="K851" t="str">
        <x:v>In stock</x:v>
      </x:c>
      <x:c r="L851" t="str">
        <x:v>2026-09-08</x:v>
      </x:c>
      <x:c r="M851" t="str"/>
      <x:c r="N851" t="str"/>
      <x:c r="O851" t="str">
        <x:v>https://www.activesportstrade.co.uk/conteh-sports-trade</x:v>
      </x:c>
      <x:c r="P851" t="str">
        <x:v>Supplier displays '1.102g'; normalised to 1.102kg based on product context, flagged for supplier verification.</x:v>
      </x:c>
      <x:c r="Q851" t="str"/>
      <x:c r="R851" t="str"/>
      <x:c r="S851" t="str">
        <x:v>Pending genuine supplier/brand image</x:v>
      </x:c>
      <x:c r="T851" s="54"/>
      <x:c r="U851" s="47" t="n">
        <x:v>0.2</x:v>
      </x:c>
      <x:c r="V851" s="54" t="str">
        <x:f>IF(ISNUMBER(T851),T851*(1+U851),"")</x:f>
      </x:c>
      <x:c r="W851" s="47" t="n">
        <x:v>0.3</x:v>
      </x:c>
      <x:c r="X851" s="54" t="str">
        <x:f>IF(ISNUMBER(V851),V851/(1-W851),"")</x:f>
      </x:c>
      <x:c r="Y851" s="55" t="str">
        <x:f>IF(ISNUMBER(X851),ROUNDUP(X851,0),"")</x:f>
      </x:c>
      <x:c r="Z851" t="str">
        <x:f>IF(ISNUMBER(T851),"Cost captured","Awaiting trade cost")</x:f>
        <x:v>Awaiting trade cost</x:v>
      </x:c>
      <x:c r="AB851" s="36" t="str">
        <x:f>IF(ISNUMBER(Y851),ROUND(Y851*0.9,2),"")</x:f>
      </x:c>
      <x:c r="AC851" s="36" t="str">
        <x:f>IF(ISNUMBER(AB851),ROUND(AB851-(AB851*0.015+0.2)-V851,2),"")</x:f>
      </x:c>
      <x:c r="AD851" s="36" t="str">
        <x:f>IF(ISNUMBER(Y851),ROUND(Y851*0.8,2),"")</x:f>
      </x:c>
      <x:c r="AE851" s="36" t="str">
        <x:f>IF(ISNUMBER(AD851),ROUND(AD851*0.015+0.2,2),"")</x:f>
      </x:c>
      <x:c r="AF851" s="36" t="str">
        <x:f>IF(ISNUMBER(AD851),ROUND(AD851-AE851-V851,2),"")</x:f>
      </x:c>
      <x:c r="AG851" t="str">
        <x:f>IF(NOT(ISNUMBER(T851)),"PENDING",IF(AF851&gt;0,"PASS","FAIL"))</x:f>
        <x:v>PENDING</x:v>
      </x:c>
      <x:c r="AH851" t="str">
        <x:f>IF(NOT(ISNUMBER(T851)),"Needs supplier cost",IF(K851&lt;&gt;"In stock","Supplier unavailable",IF(AG851&lt;&gt;"PASS","BLOCK - GT loss risk","Commercially protected")))</x:f>
        <x:v>Needs supplier cost</x:v>
      </x:c>
      <x:c r="AI851" t="str">
        <x:v>2026-09-10 Active Sports trade capture</x:v>
      </x:c>
      <x:c r="AJ851" t="str">
        <x:v>Management-only economics. Stripe stress test uses 1.5% + £0.20 standard UK online-card fee; pallet/mix-and-match pricing ignored.</x:v>
      </x:c>
    </x:row>
    <x:row r="852">
      <x:c r="A852" t="str">
        <x:v>Active Sports Nutrition</x:v>
      </x:c>
      <x:c r="B852" t="str">
        <x:v>Conteh Sports</x:v>
      </x:c>
      <x:c r="C852" t="str">
        <x:v>Conviction Elite Ultra Potent Pre</x:v>
      </x:c>
      <x:c r="D852" t="str">
        <x:v>Pre Workouts</x:v>
      </x:c>
      <x:c r="E852" t="str">
        <x:v>High Stim</x:v>
      </x:c>
      <x:c r="F852" t="str">
        <x:v>High-stimulant pre-workout.</x:v>
      </x:c>
      <x:c r="G852" t="str">
        <x:v>375g</x:v>
      </x:c>
      <x:c r="H852" t="str">
        <x:v>Blue Ice Pop</x:v>
      </x:c>
      <x:c r="I852" t="str"/>
      <x:c r="J852" t="str">
        <x:v>Unit</x:v>
      </x:c>
      <x:c r="K852" t="str">
        <x:v>In stock</x:v>
      </x:c>
      <x:c r="L852" t="str">
        <x:v>2026-09-08</x:v>
      </x:c>
      <x:c r="M852" t="str"/>
      <x:c r="N852" t="str"/>
      <x:c r="O852" t="str">
        <x:v>https://www.activesportstrade.co.uk/conteh-sports-trade</x:v>
      </x:c>
      <x:c r="P852" t="str"/>
      <x:c r="Q852" t="str"/>
      <x:c r="R852" t="str"/>
      <x:c r="S852" t="str">
        <x:v>Pending genuine supplier/brand image</x:v>
      </x:c>
      <x:c r="T852" s="54"/>
      <x:c r="U852" s="47" t="n">
        <x:v>0.2</x:v>
      </x:c>
      <x:c r="V852" s="54" t="str">
        <x:f>IF(ISNUMBER(T852),T852*(1+U852),"")</x:f>
      </x:c>
      <x:c r="W852" s="47" t="n">
        <x:v>0.3</x:v>
      </x:c>
      <x:c r="X852" s="54" t="str">
        <x:f>IF(ISNUMBER(V852),V852/(1-W852),"")</x:f>
      </x:c>
      <x:c r="Y852" s="55" t="str">
        <x:f>IF(ISNUMBER(X852),ROUNDUP(X852,0),"")</x:f>
      </x:c>
      <x:c r="Z852" t="str">
        <x:f>IF(ISNUMBER(T852),"Cost captured","Awaiting trade cost")</x:f>
        <x:v>Awaiting trade cost</x:v>
      </x:c>
      <x:c r="AB852" s="36" t="str">
        <x:f>IF(ISNUMBER(Y852),ROUND(Y852*0.9,2),"")</x:f>
      </x:c>
      <x:c r="AC852" s="36" t="str">
        <x:f>IF(ISNUMBER(AB852),ROUND(AB852-(AB852*0.015+0.2)-V852,2),"")</x:f>
      </x:c>
      <x:c r="AD852" s="36" t="str">
        <x:f>IF(ISNUMBER(Y852),ROUND(Y852*0.8,2),"")</x:f>
      </x:c>
      <x:c r="AE852" s="36" t="str">
        <x:f>IF(ISNUMBER(AD852),ROUND(AD852*0.015+0.2,2),"")</x:f>
      </x:c>
      <x:c r="AF852" s="36" t="str">
        <x:f>IF(ISNUMBER(AD852),ROUND(AD852-AE852-V852,2),"")</x:f>
      </x:c>
      <x:c r="AG852" t="str">
        <x:f>IF(NOT(ISNUMBER(T852)),"PENDING",IF(AF852&gt;0,"PASS","FAIL"))</x:f>
        <x:v>PENDING</x:v>
      </x:c>
      <x:c r="AH852" t="str">
        <x:f>IF(NOT(ISNUMBER(T852)),"Needs supplier cost",IF(K852&lt;&gt;"In stock","Supplier unavailable",IF(AG852&lt;&gt;"PASS","BLOCK - GT loss risk","Commercially protected")))</x:f>
        <x:v>Needs supplier cost</x:v>
      </x:c>
      <x:c r="AI852" t="str">
        <x:v>2026-09-10 Active Sports trade capture</x:v>
      </x:c>
      <x:c r="AJ852" t="str">
        <x:v>Management-only economics. Stripe stress test uses 1.5% + £0.20 standard UK online-card fee; pallet/mix-and-match pricing ignored.</x:v>
      </x:c>
    </x:row>
    <x:row r="853">
      <x:c r="A853" t="str">
        <x:v>Active Sports Nutrition</x:v>
      </x:c>
      <x:c r="B853" t="str">
        <x:v>Conteh Sports</x:v>
      </x:c>
      <x:c r="C853" t="str">
        <x:v>Conviction Elite Ultra Potent Pre</x:v>
      </x:c>
      <x:c r="D853" t="str">
        <x:v>Pre Workouts</x:v>
      </x:c>
      <x:c r="E853" t="str">
        <x:v>High Stim</x:v>
      </x:c>
      <x:c r="F853" t="str">
        <x:v>High-stimulant pre-workout.</x:v>
      </x:c>
      <x:c r="G853" t="str">
        <x:v>375g</x:v>
      </x:c>
      <x:c r="H853" t="str">
        <x:v>Candy Apple</x:v>
      </x:c>
      <x:c r="I853" t="str"/>
      <x:c r="J853" t="str">
        <x:v>Unit</x:v>
      </x:c>
      <x:c r="K853" t="str">
        <x:v>In stock</x:v>
      </x:c>
      <x:c r="L853" t="str">
        <x:v>2026-09-08</x:v>
      </x:c>
      <x:c r="M853" t="str"/>
      <x:c r="N853" t="str"/>
      <x:c r="O853" t="str">
        <x:v>https://www.activesportstrade.co.uk/conteh-sports-trade</x:v>
      </x:c>
      <x:c r="P853" t="str"/>
      <x:c r="Q853" t="str"/>
      <x:c r="R853" t="str"/>
      <x:c r="S853" t="str">
        <x:v>Pending genuine supplier/brand image</x:v>
      </x:c>
      <x:c r="T853" s="54"/>
      <x:c r="U853" s="47" t="n">
        <x:v>0.2</x:v>
      </x:c>
      <x:c r="V853" s="54" t="str">
        <x:f>IF(ISNUMBER(T853),T853*(1+U853),"")</x:f>
      </x:c>
      <x:c r="W853" s="47" t="n">
        <x:v>0.3</x:v>
      </x:c>
      <x:c r="X853" s="54" t="str">
        <x:f>IF(ISNUMBER(V853),V853/(1-W853),"")</x:f>
      </x:c>
      <x:c r="Y853" s="55" t="str">
        <x:f>IF(ISNUMBER(X853),ROUNDUP(X853,0),"")</x:f>
      </x:c>
      <x:c r="Z853" t="str">
        <x:f>IF(ISNUMBER(T853),"Cost captured","Awaiting trade cost")</x:f>
        <x:v>Awaiting trade cost</x:v>
      </x:c>
      <x:c r="AB853" s="36" t="str">
        <x:f>IF(ISNUMBER(Y853),ROUND(Y853*0.9,2),"")</x:f>
      </x:c>
      <x:c r="AC853" s="36" t="str">
        <x:f>IF(ISNUMBER(AB853),ROUND(AB853-(AB853*0.015+0.2)-V853,2),"")</x:f>
      </x:c>
      <x:c r="AD853" s="36" t="str">
        <x:f>IF(ISNUMBER(Y853),ROUND(Y853*0.8,2),"")</x:f>
      </x:c>
      <x:c r="AE853" s="36" t="str">
        <x:f>IF(ISNUMBER(AD853),ROUND(AD853*0.015+0.2,2),"")</x:f>
      </x:c>
      <x:c r="AF853" s="36" t="str">
        <x:f>IF(ISNUMBER(AD853),ROUND(AD853-AE853-V853,2),"")</x:f>
      </x:c>
      <x:c r="AG853" t="str">
        <x:f>IF(NOT(ISNUMBER(T853)),"PENDING",IF(AF853&gt;0,"PASS","FAIL"))</x:f>
        <x:v>PENDING</x:v>
      </x:c>
      <x:c r="AH853" t="str">
        <x:f>IF(NOT(ISNUMBER(T853)),"Needs supplier cost",IF(K853&lt;&gt;"In stock","Supplier unavailable",IF(AG853&lt;&gt;"PASS","BLOCK - GT loss risk","Commercially protected")))</x:f>
        <x:v>Needs supplier cost</x:v>
      </x:c>
      <x:c r="AI853" t="str">
        <x:v>2026-09-10 Active Sports trade capture</x:v>
      </x:c>
      <x:c r="AJ853" t="str">
        <x:v>Management-only economics. Stripe stress test uses 1.5% + £0.20 standard UK online-card fee; pallet/mix-and-match pricing ignored.</x:v>
      </x:c>
    </x:row>
    <x:row r="854">
      <x:c r="A854" t="str">
        <x:v>Active Sports Nutrition</x:v>
      </x:c>
      <x:c r="B854" t="str">
        <x:v>Conteh Sports</x:v>
      </x:c>
      <x:c r="C854" t="str">
        <x:v>Conviction Elite Ultra Potent Pre</x:v>
      </x:c>
      <x:c r="D854" t="str">
        <x:v>Pre Workouts</x:v>
      </x:c>
      <x:c r="E854" t="str">
        <x:v>High Stim</x:v>
      </x:c>
      <x:c r="F854" t="str">
        <x:v>High-stimulant pre-workout.</x:v>
      </x:c>
      <x:c r="G854" t="str">
        <x:v>375g</x:v>
      </x:c>
      <x:c r="H854" t="str">
        <x:v>Mango Sherbet</x:v>
      </x:c>
      <x:c r="I854" t="str"/>
      <x:c r="J854" t="str">
        <x:v>Unit</x:v>
      </x:c>
      <x:c r="K854" t="str">
        <x:v>In stock</x:v>
      </x:c>
      <x:c r="L854" t="str">
        <x:v>2026-09-08</x:v>
      </x:c>
      <x:c r="M854" t="str"/>
      <x:c r="N854" t="str"/>
      <x:c r="O854" t="str">
        <x:v>https://www.activesportstrade.co.uk/conteh-sports-trade</x:v>
      </x:c>
      <x:c r="P854" t="str"/>
      <x:c r="Q854" t="str"/>
      <x:c r="R854" t="str"/>
      <x:c r="S854" t="str">
        <x:v>Pending genuine supplier/brand image</x:v>
      </x:c>
      <x:c r="T854" s="54"/>
      <x:c r="U854" s="47" t="n">
        <x:v>0.2</x:v>
      </x:c>
      <x:c r="V854" s="54" t="str">
        <x:f>IF(ISNUMBER(T854),T854*(1+U854),"")</x:f>
      </x:c>
      <x:c r="W854" s="47" t="n">
        <x:v>0.3</x:v>
      </x:c>
      <x:c r="X854" s="54" t="str">
        <x:f>IF(ISNUMBER(V854),V854/(1-W854),"")</x:f>
      </x:c>
      <x:c r="Y854" s="55" t="str">
        <x:f>IF(ISNUMBER(X854),ROUNDUP(X854,0),"")</x:f>
      </x:c>
      <x:c r="Z854" t="str">
        <x:f>IF(ISNUMBER(T854),"Cost captured","Awaiting trade cost")</x:f>
        <x:v>Awaiting trade cost</x:v>
      </x:c>
      <x:c r="AB854" s="36" t="str">
        <x:f>IF(ISNUMBER(Y854),ROUND(Y854*0.9,2),"")</x:f>
      </x:c>
      <x:c r="AC854" s="36" t="str">
        <x:f>IF(ISNUMBER(AB854),ROUND(AB854-(AB854*0.015+0.2)-V854,2),"")</x:f>
      </x:c>
      <x:c r="AD854" s="36" t="str">
        <x:f>IF(ISNUMBER(Y854),ROUND(Y854*0.8,2),"")</x:f>
      </x:c>
      <x:c r="AE854" s="36" t="str">
        <x:f>IF(ISNUMBER(AD854),ROUND(AD854*0.015+0.2,2),"")</x:f>
      </x:c>
      <x:c r="AF854" s="36" t="str">
        <x:f>IF(ISNUMBER(AD854),ROUND(AD854-AE854-V854,2),"")</x:f>
      </x:c>
      <x:c r="AG854" t="str">
        <x:f>IF(NOT(ISNUMBER(T854)),"PENDING",IF(AF854&gt;0,"PASS","FAIL"))</x:f>
        <x:v>PENDING</x:v>
      </x:c>
      <x:c r="AH854" t="str">
        <x:f>IF(NOT(ISNUMBER(T854)),"Needs supplier cost",IF(K854&lt;&gt;"In stock","Supplier unavailable",IF(AG854&lt;&gt;"PASS","BLOCK - GT loss risk","Commercially protected")))</x:f>
        <x:v>Needs supplier cost</x:v>
      </x:c>
      <x:c r="AI854" t="str">
        <x:v>2026-09-10 Active Sports trade capture</x:v>
      </x:c>
      <x:c r="AJ854" t="str">
        <x:v>Management-only economics. Stripe stress test uses 1.5% + £0.20 standard UK online-card fee; pallet/mix-and-match pricing ignored.</x:v>
      </x:c>
    </x:row>
    <x:row r="855">
      <x:c r="A855" t="str">
        <x:v>Active Sports Nutrition</x:v>
      </x:c>
      <x:c r="B855" t="str">
        <x:v>Conteh Sports</x:v>
      </x:c>
      <x:c r="C855" t="str">
        <x:v>Conviction Elite Ultra Potent Pre</x:v>
      </x:c>
      <x:c r="D855" t="str">
        <x:v>Pre Workouts</x:v>
      </x:c>
      <x:c r="E855" t="str">
        <x:v>High Stim</x:v>
      </x:c>
      <x:c r="F855" t="str">
        <x:v>High-stimulant pre-workout.</x:v>
      </x:c>
      <x:c r="G855" t="str">
        <x:v>375g</x:v>
      </x:c>
      <x:c r="H855" t="str">
        <x:v>Pick N Mix</x:v>
      </x:c>
      <x:c r="I855" t="str"/>
      <x:c r="J855" t="str">
        <x:v>Unit</x:v>
      </x:c>
      <x:c r="K855" t="str">
        <x:v>In stock</x:v>
      </x:c>
      <x:c r="L855" t="str">
        <x:v>2026-09-08</x:v>
      </x:c>
      <x:c r="M855" t="str"/>
      <x:c r="N855" t="str"/>
      <x:c r="O855" t="str">
        <x:v>https://www.activesportstrade.co.uk/conteh-sports-trade</x:v>
      </x:c>
      <x:c r="P855" t="str"/>
      <x:c r="Q855" t="str"/>
      <x:c r="R855" t="str"/>
      <x:c r="S855" t="str">
        <x:v>Pending genuine supplier/brand image</x:v>
      </x:c>
      <x:c r="T855" s="54"/>
      <x:c r="U855" s="47" t="n">
        <x:v>0.2</x:v>
      </x:c>
      <x:c r="V855" s="54" t="str">
        <x:f>IF(ISNUMBER(T855),T855*(1+U855),"")</x:f>
      </x:c>
      <x:c r="W855" s="47" t="n">
        <x:v>0.3</x:v>
      </x:c>
      <x:c r="X855" s="54" t="str">
        <x:f>IF(ISNUMBER(V855),V855/(1-W855),"")</x:f>
      </x:c>
      <x:c r="Y855" s="55" t="str">
        <x:f>IF(ISNUMBER(X855),ROUNDUP(X855,0),"")</x:f>
      </x:c>
      <x:c r="Z855" t="str">
        <x:f>IF(ISNUMBER(T855),"Cost captured","Awaiting trade cost")</x:f>
        <x:v>Awaiting trade cost</x:v>
      </x:c>
      <x:c r="AB855" s="36" t="str">
        <x:f>IF(ISNUMBER(Y855),ROUND(Y855*0.9,2),"")</x:f>
      </x:c>
      <x:c r="AC855" s="36" t="str">
        <x:f>IF(ISNUMBER(AB855),ROUND(AB855-(AB855*0.015+0.2)-V855,2),"")</x:f>
      </x:c>
      <x:c r="AD855" s="36" t="str">
        <x:f>IF(ISNUMBER(Y855),ROUND(Y855*0.8,2),"")</x:f>
      </x:c>
      <x:c r="AE855" s="36" t="str">
        <x:f>IF(ISNUMBER(AD855),ROUND(AD855*0.015+0.2,2),"")</x:f>
      </x:c>
      <x:c r="AF855" s="36" t="str">
        <x:f>IF(ISNUMBER(AD855),ROUND(AD855-AE855-V855,2),"")</x:f>
      </x:c>
      <x:c r="AG855" t="str">
        <x:f>IF(NOT(ISNUMBER(T855)),"PENDING",IF(AF855&gt;0,"PASS","FAIL"))</x:f>
        <x:v>PENDING</x:v>
      </x:c>
      <x:c r="AH855" t="str">
        <x:f>IF(NOT(ISNUMBER(T855)),"Needs supplier cost",IF(K855&lt;&gt;"In stock","Supplier unavailable",IF(AG855&lt;&gt;"PASS","BLOCK - GT loss risk","Commercially protected")))</x:f>
        <x:v>Needs supplier cost</x:v>
      </x:c>
      <x:c r="AI855" t="str">
        <x:v>2026-09-10 Active Sports trade capture</x:v>
      </x:c>
      <x:c r="AJ855" t="str">
        <x:v>Management-only economics. Stripe stress test uses 1.5% + £0.20 standard UK online-card fee; pallet/mix-and-match pricing ignored.</x:v>
      </x:c>
    </x:row>
    <x:row r="856">
      <x:c r="A856" t="str">
        <x:v>Active Sports Nutrition</x:v>
      </x:c>
      <x:c r="B856" t="str">
        <x:v>Conteh Sports</x:v>
      </x:c>
      <x:c r="C856" t="str">
        <x:v>Conviction Elite Ultra Potent Pre</x:v>
      </x:c>
      <x:c r="D856" t="str">
        <x:v>Pre Workouts</x:v>
      </x:c>
      <x:c r="E856" t="str">
        <x:v>High Stim</x:v>
      </x:c>
      <x:c r="F856" t="str">
        <x:v>High-stimulant pre-workout.</x:v>
      </x:c>
      <x:c r="G856" t="str">
        <x:v>375g</x:v>
      </x:c>
      <x:c r="H856" t="str">
        <x:v>Pineapple Sherbet</x:v>
      </x:c>
      <x:c r="I856" t="str"/>
      <x:c r="J856" t="str">
        <x:v>Unit</x:v>
      </x:c>
      <x:c r="K856" t="str">
        <x:v>In stock</x:v>
      </x:c>
      <x:c r="L856" t="str">
        <x:v>2026-09-08</x:v>
      </x:c>
      <x:c r="M856" t="str"/>
      <x:c r="N856" t="str"/>
      <x:c r="O856" t="str">
        <x:v>https://www.activesportstrade.co.uk/conteh-sports-trade</x:v>
      </x:c>
      <x:c r="P856" t="str"/>
      <x:c r="Q856" t="str"/>
      <x:c r="R856" t="str"/>
      <x:c r="S856" t="str">
        <x:v>Pending genuine supplier/brand image</x:v>
      </x:c>
      <x:c r="T856" s="54"/>
      <x:c r="U856" s="47" t="n">
        <x:v>0.2</x:v>
      </x:c>
      <x:c r="V856" s="54" t="str">
        <x:f>IF(ISNUMBER(T856),T856*(1+U856),"")</x:f>
      </x:c>
      <x:c r="W856" s="47" t="n">
        <x:v>0.3</x:v>
      </x:c>
      <x:c r="X856" s="54" t="str">
        <x:f>IF(ISNUMBER(V856),V856/(1-W856),"")</x:f>
      </x:c>
      <x:c r="Y856" s="55" t="str">
        <x:f>IF(ISNUMBER(X856),ROUNDUP(X856,0),"")</x:f>
      </x:c>
      <x:c r="Z856" t="str">
        <x:f>IF(ISNUMBER(T856),"Cost captured","Awaiting trade cost")</x:f>
        <x:v>Awaiting trade cost</x:v>
      </x:c>
      <x:c r="AB856" s="36" t="str">
        <x:f>IF(ISNUMBER(Y856),ROUND(Y856*0.9,2),"")</x:f>
      </x:c>
      <x:c r="AC856" s="36" t="str">
        <x:f>IF(ISNUMBER(AB856),ROUND(AB856-(AB856*0.015+0.2)-V856,2),"")</x:f>
      </x:c>
      <x:c r="AD856" s="36" t="str">
        <x:f>IF(ISNUMBER(Y856),ROUND(Y856*0.8,2),"")</x:f>
      </x:c>
      <x:c r="AE856" s="36" t="str">
        <x:f>IF(ISNUMBER(AD856),ROUND(AD856*0.015+0.2,2),"")</x:f>
      </x:c>
      <x:c r="AF856" s="36" t="str">
        <x:f>IF(ISNUMBER(AD856),ROUND(AD856-AE856-V856,2),"")</x:f>
      </x:c>
      <x:c r="AG856" t="str">
        <x:f>IF(NOT(ISNUMBER(T856)),"PENDING",IF(AF856&gt;0,"PASS","FAIL"))</x:f>
        <x:v>PENDING</x:v>
      </x:c>
      <x:c r="AH856" t="str">
        <x:f>IF(NOT(ISNUMBER(T856)),"Needs supplier cost",IF(K856&lt;&gt;"In stock","Supplier unavailable",IF(AG856&lt;&gt;"PASS","BLOCK - GT loss risk","Commercially protected")))</x:f>
        <x:v>Needs supplier cost</x:v>
      </x:c>
      <x:c r="AI856" t="str">
        <x:v>2026-09-10 Active Sports trade capture</x:v>
      </x:c>
      <x:c r="AJ856" t="str">
        <x:v>Management-only economics. Stripe stress test uses 1.5% + £0.20 standard UK online-card fee; pallet/mix-and-match pricing ignored.</x:v>
      </x:c>
    </x:row>
    <x:row r="857">
      <x:c r="A857" t="str">
        <x:v>Active Sports Nutrition</x:v>
      </x:c>
      <x:c r="B857" t="str">
        <x:v>Conteh Sports</x:v>
      </x:c>
      <x:c r="C857" t="str">
        <x:v>Conviction Elite Ultra Potent Pre</x:v>
      </x:c>
      <x:c r="D857" t="str">
        <x:v>Pre Workouts</x:v>
      </x:c>
      <x:c r="E857" t="str">
        <x:v>High Stim</x:v>
      </x:c>
      <x:c r="F857" t="str">
        <x:v>High-stimulant pre-workout.</x:v>
      </x:c>
      <x:c r="G857" t="str">
        <x:v>375g</x:v>
      </x:c>
      <x:c r="H857" t="str">
        <x:v>Strawberry Laces</x:v>
      </x:c>
      <x:c r="I857" t="str"/>
      <x:c r="J857" t="str">
        <x:v>Unit</x:v>
      </x:c>
      <x:c r="K857" t="str">
        <x:v>In stock</x:v>
      </x:c>
      <x:c r="L857" t="str">
        <x:v>2026-09-08</x:v>
      </x:c>
      <x:c r="M857" t="str"/>
      <x:c r="N857" t="str"/>
      <x:c r="O857" t="str">
        <x:v>https://www.activesportstrade.co.uk/conteh-sports-trade</x:v>
      </x:c>
      <x:c r="P857" t="str"/>
      <x:c r="Q857" t="str"/>
      <x:c r="R857" t="str"/>
      <x:c r="S857" t="str">
        <x:v>Pending genuine supplier/brand image</x:v>
      </x:c>
      <x:c r="T857" s="54"/>
      <x:c r="U857" s="47" t="n">
        <x:v>0.2</x:v>
      </x:c>
      <x:c r="V857" s="54" t="str">
        <x:f>IF(ISNUMBER(T857),T857*(1+U857),"")</x:f>
      </x:c>
      <x:c r="W857" s="47" t="n">
        <x:v>0.3</x:v>
      </x:c>
      <x:c r="X857" s="54" t="str">
        <x:f>IF(ISNUMBER(V857),V857/(1-W857),"")</x:f>
      </x:c>
      <x:c r="Y857" s="55" t="str">
        <x:f>IF(ISNUMBER(X857),ROUNDUP(X857,0),"")</x:f>
      </x:c>
      <x:c r="Z857" t="str">
        <x:f>IF(ISNUMBER(T857),"Cost captured","Awaiting trade cost")</x:f>
        <x:v>Awaiting trade cost</x:v>
      </x:c>
      <x:c r="AB857" s="36" t="str">
        <x:f>IF(ISNUMBER(Y857),ROUND(Y857*0.9,2),"")</x:f>
      </x:c>
      <x:c r="AC857" s="36" t="str">
        <x:f>IF(ISNUMBER(AB857),ROUND(AB857-(AB857*0.015+0.2)-V857,2),"")</x:f>
      </x:c>
      <x:c r="AD857" s="36" t="str">
        <x:f>IF(ISNUMBER(Y857),ROUND(Y857*0.8,2),"")</x:f>
      </x:c>
      <x:c r="AE857" s="36" t="str">
        <x:f>IF(ISNUMBER(AD857),ROUND(AD857*0.015+0.2,2),"")</x:f>
      </x:c>
      <x:c r="AF857" s="36" t="str">
        <x:f>IF(ISNUMBER(AD857),ROUND(AD857-AE857-V857,2),"")</x:f>
      </x:c>
      <x:c r="AG857" t="str">
        <x:f>IF(NOT(ISNUMBER(T857)),"PENDING",IF(AF857&gt;0,"PASS","FAIL"))</x:f>
        <x:v>PENDING</x:v>
      </x:c>
      <x:c r="AH857" t="str">
        <x:f>IF(NOT(ISNUMBER(T857)),"Needs supplier cost",IF(K857&lt;&gt;"In stock","Supplier unavailable",IF(AG857&lt;&gt;"PASS","BLOCK - GT loss risk","Commercially protected")))</x:f>
        <x:v>Needs supplier cost</x:v>
      </x:c>
      <x:c r="AI857" t="str">
        <x:v>2026-09-10 Active Sports trade capture</x:v>
      </x:c>
      <x:c r="AJ857" t="str">
        <x:v>Management-only economics. Stripe stress test uses 1.5% + £0.20 standard UK online-card fee; pallet/mix-and-match pricing ignored.</x:v>
      </x:c>
    </x:row>
    <x:row r="858">
      <x:c r="A858" t="str">
        <x:v>Active Sports Nutrition</x:v>
      </x:c>
      <x:c r="B858" t="str">
        <x:v>Conteh Sports</x:v>
      </x:c>
      <x:c r="C858" t="str">
        <x:v>Cream of Rice</x:v>
      </x:c>
      <x:c r="D858" t="str">
        <x:v>Supplements</x:v>
      </x:c>
      <x:c r="E858" t="str">
        <x:v>Carbohydrates</x:v>
      </x:c>
      <x:c r="F858" t="str">
        <x:v>Cream of rice carbohydrate food.</x:v>
      </x:c>
      <x:c r="G858" t="str">
        <x:v>2kg</x:v>
      </x:c>
      <x:c r="H858" t="str">
        <x:v>Caramel Biscuit</x:v>
      </x:c>
      <x:c r="I858" t="str"/>
      <x:c r="J858" t="str">
        <x:v>Unit</x:v>
      </x:c>
      <x:c r="K858" t="str">
        <x:v>In stock</x:v>
      </x:c>
      <x:c r="L858" t="str">
        <x:v>2026-09-08</x:v>
      </x:c>
      <x:c r="M858" t="str"/>
      <x:c r="N858" t="str"/>
      <x:c r="O858" t="str">
        <x:v>https://www.activesportstrade.co.uk/conteh-sports-trade</x:v>
      </x:c>
      <x:c r="P858" t="str"/>
      <x:c r="Q858" t="str"/>
      <x:c r="R858" t="str"/>
      <x:c r="S858" t="str">
        <x:v>Pending genuine supplier/brand image</x:v>
      </x:c>
      <x:c r="T858" s="54"/>
      <x:c r="U858" s="47" t="n">
        <x:v>0.2</x:v>
      </x:c>
      <x:c r="V858" s="54" t="str">
        <x:f>IF(ISNUMBER(T858),T858*(1+U858),"")</x:f>
      </x:c>
      <x:c r="W858" s="47" t="n">
        <x:v>0.3</x:v>
      </x:c>
      <x:c r="X858" s="54" t="str">
        <x:f>IF(ISNUMBER(V858),V858/(1-W858),"")</x:f>
      </x:c>
      <x:c r="Y858" s="55" t="str">
        <x:f>IF(ISNUMBER(X858),ROUNDUP(X858,0),"")</x:f>
      </x:c>
      <x:c r="Z858" t="str">
        <x:f>IF(ISNUMBER(T858),"Cost captured","Awaiting trade cost")</x:f>
        <x:v>Awaiting trade cost</x:v>
      </x:c>
      <x:c r="AB858" s="36" t="str">
        <x:f>IF(ISNUMBER(Y858),ROUND(Y858*0.9,2),"")</x:f>
      </x:c>
      <x:c r="AC858" s="36" t="str">
        <x:f>IF(ISNUMBER(AB858),ROUND(AB858-(AB858*0.015+0.2)-V858,2),"")</x:f>
      </x:c>
      <x:c r="AD858" s="36" t="str">
        <x:f>IF(ISNUMBER(Y858),ROUND(Y858*0.8,2),"")</x:f>
      </x:c>
      <x:c r="AE858" s="36" t="str">
        <x:f>IF(ISNUMBER(AD858),ROUND(AD858*0.015+0.2,2),"")</x:f>
      </x:c>
      <x:c r="AF858" s="36" t="str">
        <x:f>IF(ISNUMBER(AD858),ROUND(AD858-AE858-V858,2),"")</x:f>
      </x:c>
      <x:c r="AG858" t="str">
        <x:f>IF(NOT(ISNUMBER(T858)),"PENDING",IF(AF858&gt;0,"PASS","FAIL"))</x:f>
        <x:v>PENDING</x:v>
      </x:c>
      <x:c r="AH858" t="str">
        <x:f>IF(NOT(ISNUMBER(T858)),"Needs supplier cost",IF(K858&lt;&gt;"In stock","Supplier unavailable",IF(AG858&lt;&gt;"PASS","BLOCK - GT loss risk","Commercially protected")))</x:f>
        <x:v>Needs supplier cost</x:v>
      </x:c>
      <x:c r="AI858" t="str">
        <x:v>2026-09-10 Active Sports trade capture</x:v>
      </x:c>
      <x:c r="AJ858" t="str">
        <x:v>Management-only economics. Stripe stress test uses 1.5% + £0.20 standard UK online-card fee; pallet/mix-and-match pricing ignored.</x:v>
      </x:c>
    </x:row>
    <x:row r="859">
      <x:c r="A859" t="str">
        <x:v>Active Sports Nutrition</x:v>
      </x:c>
      <x:c r="B859" t="str">
        <x:v>Conteh Sports</x:v>
      </x:c>
      <x:c r="C859" t="str">
        <x:v>Cream of Rice</x:v>
      </x:c>
      <x:c r="D859" t="str">
        <x:v>Supplements</x:v>
      </x:c>
      <x:c r="E859" t="str">
        <x:v>Carbohydrates</x:v>
      </x:c>
      <x:c r="F859" t="str">
        <x:v>Cream of rice carbohydrate food.</x:v>
      </x:c>
      <x:c r="G859" t="str">
        <x:v>2kg</x:v>
      </x:c>
      <x:c r="H859" t="str">
        <x:v>Cookies &amp; Cream</x:v>
      </x:c>
      <x:c r="I859" t="str"/>
      <x:c r="J859" t="str">
        <x:v>Unit</x:v>
      </x:c>
      <x:c r="K859" t="str">
        <x:v>In stock</x:v>
      </x:c>
      <x:c r="L859" t="str">
        <x:v>2026-09-08</x:v>
      </x:c>
      <x:c r="M859" t="str"/>
      <x:c r="N859" t="str"/>
      <x:c r="O859" t="str">
        <x:v>https://www.activesportstrade.co.uk/conteh-sports-trade</x:v>
      </x:c>
      <x:c r="P859" t="str"/>
      <x:c r="Q859" t="str"/>
      <x:c r="R859" t="str"/>
      <x:c r="S859" t="str">
        <x:v>Pending genuine supplier/brand image</x:v>
      </x:c>
      <x:c r="T859" s="54"/>
      <x:c r="U859" s="47" t="n">
        <x:v>0.2</x:v>
      </x:c>
      <x:c r="V859" s="54" t="str">
        <x:f>IF(ISNUMBER(T859),T859*(1+U859),"")</x:f>
      </x:c>
      <x:c r="W859" s="47" t="n">
        <x:v>0.3</x:v>
      </x:c>
      <x:c r="X859" s="54" t="str">
        <x:f>IF(ISNUMBER(V859),V859/(1-W859),"")</x:f>
      </x:c>
      <x:c r="Y859" s="55" t="str">
        <x:f>IF(ISNUMBER(X859),ROUNDUP(X859,0),"")</x:f>
      </x:c>
      <x:c r="Z859" t="str">
        <x:f>IF(ISNUMBER(T859),"Cost captured","Awaiting trade cost")</x:f>
        <x:v>Awaiting trade cost</x:v>
      </x:c>
      <x:c r="AB859" s="36" t="str">
        <x:f>IF(ISNUMBER(Y859),ROUND(Y859*0.9,2),"")</x:f>
      </x:c>
      <x:c r="AC859" s="36" t="str">
        <x:f>IF(ISNUMBER(AB859),ROUND(AB859-(AB859*0.015+0.2)-V859,2),"")</x:f>
      </x:c>
      <x:c r="AD859" s="36" t="str">
        <x:f>IF(ISNUMBER(Y859),ROUND(Y859*0.8,2),"")</x:f>
      </x:c>
      <x:c r="AE859" s="36" t="str">
        <x:f>IF(ISNUMBER(AD859),ROUND(AD859*0.015+0.2,2),"")</x:f>
      </x:c>
      <x:c r="AF859" s="36" t="str">
        <x:f>IF(ISNUMBER(AD859),ROUND(AD859-AE859-V859,2),"")</x:f>
      </x:c>
      <x:c r="AG859" t="str">
        <x:f>IF(NOT(ISNUMBER(T859)),"PENDING",IF(AF859&gt;0,"PASS","FAIL"))</x:f>
        <x:v>PENDING</x:v>
      </x:c>
      <x:c r="AH859" t="str">
        <x:f>IF(NOT(ISNUMBER(T859)),"Needs supplier cost",IF(K859&lt;&gt;"In stock","Supplier unavailable",IF(AG859&lt;&gt;"PASS","BLOCK - GT loss risk","Commercially protected")))</x:f>
        <x:v>Needs supplier cost</x:v>
      </x:c>
      <x:c r="AI859" t="str">
        <x:v>2026-09-10 Active Sports trade capture</x:v>
      </x:c>
      <x:c r="AJ859" t="str">
        <x:v>Management-only economics. Stripe stress test uses 1.5% + £0.20 standard UK online-card fee; pallet/mix-and-match pricing ignored.</x:v>
      </x:c>
    </x:row>
    <x:row r="860">
      <x:c r="A860" t="str">
        <x:v>Active Sports Nutrition</x:v>
      </x:c>
      <x:c r="B860" t="str">
        <x:v>Conteh Sports</x:v>
      </x:c>
      <x:c r="C860" t="str">
        <x:v>Cream of Rice</x:v>
      </x:c>
      <x:c r="D860" t="str">
        <x:v>Supplements</x:v>
      </x:c>
      <x:c r="E860" t="str">
        <x:v>Carbohydrates</x:v>
      </x:c>
      <x:c r="F860" t="str">
        <x:v>Cream of rice carbohydrate food.</x:v>
      </x:c>
      <x:c r="G860" t="str">
        <x:v>2kg</x:v>
      </x:c>
      <x:c r="H860" t="str">
        <x:v>Maple Syrup</x:v>
      </x:c>
      <x:c r="I860" t="str"/>
      <x:c r="J860" t="str">
        <x:v>Unit</x:v>
      </x:c>
      <x:c r="K860" t="str">
        <x:v>In stock</x:v>
      </x:c>
      <x:c r="L860" t="str">
        <x:v>2026-09-08</x:v>
      </x:c>
      <x:c r="M860" t="str"/>
      <x:c r="N860" t="str"/>
      <x:c r="O860" t="str">
        <x:v>https://www.activesportstrade.co.uk/conteh-sports-trade</x:v>
      </x:c>
      <x:c r="P860" t="str"/>
      <x:c r="Q860" t="str"/>
      <x:c r="R860" t="str"/>
      <x:c r="S860" t="str">
        <x:v>Pending genuine supplier/brand image</x:v>
      </x:c>
      <x:c r="T860" s="54"/>
      <x:c r="U860" s="47" t="n">
        <x:v>0.2</x:v>
      </x:c>
      <x:c r="V860" s="54" t="str">
        <x:f>IF(ISNUMBER(T860),T860*(1+U860),"")</x:f>
      </x:c>
      <x:c r="W860" s="47" t="n">
        <x:v>0.3</x:v>
      </x:c>
      <x:c r="X860" s="54" t="str">
        <x:f>IF(ISNUMBER(V860),V860/(1-W860),"")</x:f>
      </x:c>
      <x:c r="Y860" s="55" t="str">
        <x:f>IF(ISNUMBER(X860),ROUNDUP(X860,0),"")</x:f>
      </x:c>
      <x:c r="Z860" t="str">
        <x:f>IF(ISNUMBER(T860),"Cost captured","Awaiting trade cost")</x:f>
        <x:v>Awaiting trade cost</x:v>
      </x:c>
      <x:c r="AB860" s="36" t="str">
        <x:f>IF(ISNUMBER(Y860),ROUND(Y860*0.9,2),"")</x:f>
      </x:c>
      <x:c r="AC860" s="36" t="str">
        <x:f>IF(ISNUMBER(AB860),ROUND(AB860-(AB860*0.015+0.2)-V860,2),"")</x:f>
      </x:c>
      <x:c r="AD860" s="36" t="str">
        <x:f>IF(ISNUMBER(Y860),ROUND(Y860*0.8,2),"")</x:f>
      </x:c>
      <x:c r="AE860" s="36" t="str">
        <x:f>IF(ISNUMBER(AD860),ROUND(AD860*0.015+0.2,2),"")</x:f>
      </x:c>
      <x:c r="AF860" s="36" t="str">
        <x:f>IF(ISNUMBER(AD860),ROUND(AD860-AE860-V860,2),"")</x:f>
      </x:c>
      <x:c r="AG860" t="str">
        <x:f>IF(NOT(ISNUMBER(T860)),"PENDING",IF(AF860&gt;0,"PASS","FAIL"))</x:f>
        <x:v>PENDING</x:v>
      </x:c>
      <x:c r="AH860" t="str">
        <x:f>IF(NOT(ISNUMBER(T860)),"Needs supplier cost",IF(K860&lt;&gt;"In stock","Supplier unavailable",IF(AG860&lt;&gt;"PASS","BLOCK - GT loss risk","Commercially protected")))</x:f>
        <x:v>Needs supplier cost</x:v>
      </x:c>
      <x:c r="AI860" t="str">
        <x:v>2026-09-10 Active Sports trade capture</x:v>
      </x:c>
      <x:c r="AJ860" t="str">
        <x:v>Management-only economics. Stripe stress test uses 1.5% + £0.20 standard UK online-card fee; pallet/mix-and-match pricing ignored.</x:v>
      </x:c>
    </x:row>
    <x:row r="861">
      <x:c r="A861" t="str">
        <x:v>Active Sports Nutrition</x:v>
      </x:c>
      <x:c r="B861" t="str">
        <x:v>Conteh Sports</x:v>
      </x:c>
      <x:c r="C861" t="str">
        <x:v>Cream of Rice</x:v>
      </x:c>
      <x:c r="D861" t="str">
        <x:v>Supplements</x:v>
      </x:c>
      <x:c r="E861" t="str">
        <x:v>Carbohydrates</x:v>
      </x:c>
      <x:c r="F861" t="str">
        <x:v>Cream of rice carbohydrate food.</x:v>
      </x:c>
      <x:c r="G861" t="str">
        <x:v>2kg</x:v>
      </x:c>
      <x:c r="H861" t="str">
        <x:v>Salted Caramel</x:v>
      </x:c>
      <x:c r="I861" t="str"/>
      <x:c r="J861" t="str">
        <x:v>Unit</x:v>
      </x:c>
      <x:c r="K861" t="str">
        <x:v>In stock</x:v>
      </x:c>
      <x:c r="L861" t="str">
        <x:v>2026-09-08</x:v>
      </x:c>
      <x:c r="M861" t="str"/>
      <x:c r="N861" t="str"/>
      <x:c r="O861" t="str">
        <x:v>https://www.activesportstrade.co.uk/conteh-sports-trade</x:v>
      </x:c>
      <x:c r="P861" t="str"/>
      <x:c r="Q861" t="str"/>
      <x:c r="R861" t="str"/>
      <x:c r="S861" t="str">
        <x:v>Pending genuine supplier/brand image</x:v>
      </x:c>
      <x:c r="T861" s="54"/>
      <x:c r="U861" s="47" t="n">
        <x:v>0.2</x:v>
      </x:c>
      <x:c r="V861" s="54" t="str">
        <x:f>IF(ISNUMBER(T861),T861*(1+U861),"")</x:f>
      </x:c>
      <x:c r="W861" s="47" t="n">
        <x:v>0.3</x:v>
      </x:c>
      <x:c r="X861" s="54" t="str">
        <x:f>IF(ISNUMBER(V861),V861/(1-W861),"")</x:f>
      </x:c>
      <x:c r="Y861" s="55" t="str">
        <x:f>IF(ISNUMBER(X861),ROUNDUP(X861,0),"")</x:f>
      </x:c>
      <x:c r="Z861" t="str">
        <x:f>IF(ISNUMBER(T861),"Cost captured","Awaiting trade cost")</x:f>
        <x:v>Awaiting trade cost</x:v>
      </x:c>
      <x:c r="AB861" s="36" t="str">
        <x:f>IF(ISNUMBER(Y861),ROUND(Y861*0.9,2),"")</x:f>
      </x:c>
      <x:c r="AC861" s="36" t="str">
        <x:f>IF(ISNUMBER(AB861),ROUND(AB861-(AB861*0.015+0.2)-V861,2),"")</x:f>
      </x:c>
      <x:c r="AD861" s="36" t="str">
        <x:f>IF(ISNUMBER(Y861),ROUND(Y861*0.8,2),"")</x:f>
      </x:c>
      <x:c r="AE861" s="36" t="str">
        <x:f>IF(ISNUMBER(AD861),ROUND(AD861*0.015+0.2,2),"")</x:f>
      </x:c>
      <x:c r="AF861" s="36" t="str">
        <x:f>IF(ISNUMBER(AD861),ROUND(AD861-AE861-V861,2),"")</x:f>
      </x:c>
      <x:c r="AG861" t="str">
        <x:f>IF(NOT(ISNUMBER(T861)),"PENDING",IF(AF861&gt;0,"PASS","FAIL"))</x:f>
        <x:v>PENDING</x:v>
      </x:c>
      <x:c r="AH861" t="str">
        <x:f>IF(NOT(ISNUMBER(T861)),"Needs supplier cost",IF(K861&lt;&gt;"In stock","Supplier unavailable",IF(AG861&lt;&gt;"PASS","BLOCK - GT loss risk","Commercially protected")))</x:f>
        <x:v>Needs supplier cost</x:v>
      </x:c>
      <x:c r="AI861" t="str">
        <x:v>2026-09-10 Active Sports trade capture</x:v>
      </x:c>
      <x:c r="AJ861" t="str">
        <x:v>Management-only economics. Stripe stress test uses 1.5% + £0.20 standard UK online-card fee; pallet/mix-and-match pricing ignored.</x:v>
      </x:c>
    </x:row>
    <x:row r="862">
      <x:c r="A862" t="str">
        <x:v>Active Sports Nutrition</x:v>
      </x:c>
      <x:c r="B862" t="str">
        <x:v>Conteh Sports</x:v>
      </x:c>
      <x:c r="C862" t="str">
        <x:v>Cream of Rice</x:v>
      </x:c>
      <x:c r="D862" t="str">
        <x:v>Supplements</x:v>
      </x:c>
      <x:c r="E862" t="str">
        <x:v>Carbohydrates</x:v>
      </x:c>
      <x:c r="F862" t="str">
        <x:v>Cream of rice carbohydrate food.</x:v>
      </x:c>
      <x:c r="G862" t="str">
        <x:v>2kg</x:v>
      </x:c>
      <x:c r="H862" t="str">
        <x:v>Triple Chocolate</x:v>
      </x:c>
      <x:c r="I862" t="str"/>
      <x:c r="J862" t="str">
        <x:v>Unit</x:v>
      </x:c>
      <x:c r="K862" t="str">
        <x:v>In stock</x:v>
      </x:c>
      <x:c r="L862" t="str">
        <x:v>2026-09-08</x:v>
      </x:c>
      <x:c r="M862" t="str"/>
      <x:c r="N862" t="str"/>
      <x:c r="O862" t="str">
        <x:v>https://www.activesportstrade.co.uk/conteh-sports-trade</x:v>
      </x:c>
      <x:c r="P862" t="str"/>
      <x:c r="Q862" t="str"/>
      <x:c r="R862" t="str"/>
      <x:c r="S862" t="str">
        <x:v>Pending genuine supplier/brand image</x:v>
      </x:c>
      <x:c r="T862" s="54"/>
      <x:c r="U862" s="47" t="n">
        <x:v>0.2</x:v>
      </x:c>
      <x:c r="V862" s="54" t="str">
        <x:f>IF(ISNUMBER(T862),T862*(1+U862),"")</x:f>
      </x:c>
      <x:c r="W862" s="47" t="n">
        <x:v>0.3</x:v>
      </x:c>
      <x:c r="X862" s="54" t="str">
        <x:f>IF(ISNUMBER(V862),V862/(1-W862),"")</x:f>
      </x:c>
      <x:c r="Y862" s="55" t="str">
        <x:f>IF(ISNUMBER(X862),ROUNDUP(X862,0),"")</x:f>
      </x:c>
      <x:c r="Z862" t="str">
        <x:f>IF(ISNUMBER(T862),"Cost captured","Awaiting trade cost")</x:f>
        <x:v>Awaiting trade cost</x:v>
      </x:c>
      <x:c r="AB862" s="36" t="str">
        <x:f>IF(ISNUMBER(Y862),ROUND(Y862*0.9,2),"")</x:f>
      </x:c>
      <x:c r="AC862" s="36" t="str">
        <x:f>IF(ISNUMBER(AB862),ROUND(AB862-(AB862*0.015+0.2)-V862,2),"")</x:f>
      </x:c>
      <x:c r="AD862" s="36" t="str">
        <x:f>IF(ISNUMBER(Y862),ROUND(Y862*0.8,2),"")</x:f>
      </x:c>
      <x:c r="AE862" s="36" t="str">
        <x:f>IF(ISNUMBER(AD862),ROUND(AD862*0.015+0.2,2),"")</x:f>
      </x:c>
      <x:c r="AF862" s="36" t="str">
        <x:f>IF(ISNUMBER(AD862),ROUND(AD862-AE862-V862,2),"")</x:f>
      </x:c>
      <x:c r="AG862" t="str">
        <x:f>IF(NOT(ISNUMBER(T862)),"PENDING",IF(AF862&gt;0,"PASS","FAIL"))</x:f>
        <x:v>PENDING</x:v>
      </x:c>
      <x:c r="AH862" t="str">
        <x:f>IF(NOT(ISNUMBER(T862)),"Needs supplier cost",IF(K862&lt;&gt;"In stock","Supplier unavailable",IF(AG862&lt;&gt;"PASS","BLOCK - GT loss risk","Commercially protected")))</x:f>
        <x:v>Needs supplier cost</x:v>
      </x:c>
      <x:c r="AI862" t="str">
        <x:v>2026-09-10 Active Sports trade capture</x:v>
      </x:c>
      <x:c r="AJ862" t="str">
        <x:v>Management-only economics. Stripe stress test uses 1.5% + £0.20 standard UK online-card fee; pallet/mix-and-match pricing ignored.</x:v>
      </x:c>
    </x:row>
    <x:row r="863">
      <x:c r="A863" t="str">
        <x:v>Active Sports Nutrition</x:v>
      </x:c>
      <x:c r="B863" t="str">
        <x:v>Conteh Sports</x:v>
      </x:c>
      <x:c r="C863" t="str">
        <x:v>Cream of Rice</x:v>
      </x:c>
      <x:c r="D863" t="str">
        <x:v>Supplements</x:v>
      </x:c>
      <x:c r="E863" t="str">
        <x:v>Carbohydrates</x:v>
      </x:c>
      <x:c r="F863" t="str">
        <x:v>Cream of rice carbohydrate food.</x:v>
      </x:c>
      <x:c r="G863" t="str">
        <x:v>2kg</x:v>
      </x:c>
      <x:c r="H863" t="str">
        <x:v>White Chocolate Hazelnut</x:v>
      </x:c>
      <x:c r="I863" t="str"/>
      <x:c r="J863" t="str">
        <x:v>Unit</x:v>
      </x:c>
      <x:c r="K863" t="str">
        <x:v>In stock</x:v>
      </x:c>
      <x:c r="L863" t="str">
        <x:v>2026-09-08</x:v>
      </x:c>
      <x:c r="M863" t="str"/>
      <x:c r="N863" t="str"/>
      <x:c r="O863" t="str">
        <x:v>https://www.activesportstrade.co.uk/conteh-sports-trade</x:v>
      </x:c>
      <x:c r="P863" t="str"/>
      <x:c r="Q863" t="str"/>
      <x:c r="R863" t="str"/>
      <x:c r="S863" t="str">
        <x:v>Pending genuine supplier/brand image</x:v>
      </x:c>
      <x:c r="T863" s="54"/>
      <x:c r="U863" s="47" t="n">
        <x:v>0.2</x:v>
      </x:c>
      <x:c r="V863" s="54" t="str">
        <x:f>IF(ISNUMBER(T863),T863*(1+U863),"")</x:f>
      </x:c>
      <x:c r="W863" s="47" t="n">
        <x:v>0.3</x:v>
      </x:c>
      <x:c r="X863" s="54" t="str">
        <x:f>IF(ISNUMBER(V863),V863/(1-W863),"")</x:f>
      </x:c>
      <x:c r="Y863" s="55" t="str">
        <x:f>IF(ISNUMBER(X863),ROUNDUP(X863,0),"")</x:f>
      </x:c>
      <x:c r="Z863" t="str">
        <x:f>IF(ISNUMBER(T863),"Cost captured","Awaiting trade cost")</x:f>
        <x:v>Awaiting trade cost</x:v>
      </x:c>
      <x:c r="AB863" s="36" t="str">
        <x:f>IF(ISNUMBER(Y863),ROUND(Y863*0.9,2),"")</x:f>
      </x:c>
      <x:c r="AC863" s="36" t="str">
        <x:f>IF(ISNUMBER(AB863),ROUND(AB863-(AB863*0.015+0.2)-V863,2),"")</x:f>
      </x:c>
      <x:c r="AD863" s="36" t="str">
        <x:f>IF(ISNUMBER(Y863),ROUND(Y863*0.8,2),"")</x:f>
      </x:c>
      <x:c r="AE863" s="36" t="str">
        <x:f>IF(ISNUMBER(AD863),ROUND(AD863*0.015+0.2,2),"")</x:f>
      </x:c>
      <x:c r="AF863" s="36" t="str">
        <x:f>IF(ISNUMBER(AD863),ROUND(AD863-AE863-V863,2),"")</x:f>
      </x:c>
      <x:c r="AG863" t="str">
        <x:f>IF(NOT(ISNUMBER(T863)),"PENDING",IF(AF863&gt;0,"PASS","FAIL"))</x:f>
        <x:v>PENDING</x:v>
      </x:c>
      <x:c r="AH863" t="str">
        <x:f>IF(NOT(ISNUMBER(T863)),"Needs supplier cost",IF(K863&lt;&gt;"In stock","Supplier unavailable",IF(AG863&lt;&gt;"PASS","BLOCK - GT loss risk","Commercially protected")))</x:f>
        <x:v>Needs supplier cost</x:v>
      </x:c>
      <x:c r="AI863" t="str">
        <x:v>2026-09-10 Active Sports trade capture</x:v>
      </x:c>
      <x:c r="AJ863" t="str">
        <x:v>Management-only economics. Stripe stress test uses 1.5% + £0.20 standard UK online-card fee; pallet/mix-and-match pricing ignored.</x:v>
      </x:c>
    </x:row>
    <x:row r="864">
      <x:c r="A864" t="str">
        <x:v>Active Sports Nutrition</x:v>
      </x:c>
      <x:c r="B864" t="str">
        <x:v>Conteh Sports</x:v>
      </x:c>
      <x:c r="C864" t="str">
        <x:v>Creatine Monohydrate</x:v>
      </x:c>
      <x:c r="D864" t="str">
        <x:v>Supplements</x:v>
      </x:c>
      <x:c r="E864" t="str">
        <x:v>Creatine Powders</x:v>
      </x:c>
      <x:c r="F864" t="str"/>
      <x:c r="G864" t="str">
        <x:v>400g</x:v>
      </x:c>
      <x:c r="H864" t="str">
        <x:v>Unflavoured</x:v>
      </x:c>
      <x:c r="I864" t="str"/>
      <x:c r="J864" t="str">
        <x:v>Unit</x:v>
      </x:c>
      <x:c r="K864" t="str">
        <x:v>In stock</x:v>
      </x:c>
      <x:c r="L864" t="str">
        <x:v>2026-09-08</x:v>
      </x:c>
      <x:c r="M864" t="str"/>
      <x:c r="N864" t="str"/>
      <x:c r="O864" t="str">
        <x:v>https://www.activesportstrade.co.uk/conteh-sports-trade</x:v>
      </x:c>
      <x:c r="P864" t="str"/>
      <x:c r="Q864" t="str"/>
      <x:c r="R864" t="str"/>
      <x:c r="S864" t="str">
        <x:v>Pending genuine supplier/brand image</x:v>
      </x:c>
      <x:c r="T864" s="54"/>
      <x:c r="U864" s="47" t="n">
        <x:v>0.2</x:v>
      </x:c>
      <x:c r="V864" s="54" t="str">
        <x:f>IF(ISNUMBER(T864),T864*(1+U864),"")</x:f>
      </x:c>
      <x:c r="W864" s="47" t="n">
        <x:v>0.3</x:v>
      </x:c>
      <x:c r="X864" s="54" t="str">
        <x:f>IF(ISNUMBER(V864),V864/(1-W864),"")</x:f>
      </x:c>
      <x:c r="Y864" s="55" t="str">
        <x:f>IF(ISNUMBER(X864),ROUNDUP(X864,0),"")</x:f>
      </x:c>
      <x:c r="Z864" t="str">
        <x:f>IF(ISNUMBER(T864),"Cost captured","Awaiting trade cost")</x:f>
        <x:v>Awaiting trade cost</x:v>
      </x:c>
      <x:c r="AB864" s="36" t="str">
        <x:f>IF(ISNUMBER(Y864),ROUND(Y864*0.9,2),"")</x:f>
      </x:c>
      <x:c r="AC864" s="36" t="str">
        <x:f>IF(ISNUMBER(AB864),ROUND(AB864-(AB864*0.015+0.2)-V864,2),"")</x:f>
      </x:c>
      <x:c r="AD864" s="36" t="str">
        <x:f>IF(ISNUMBER(Y864),ROUND(Y864*0.8,2),"")</x:f>
      </x:c>
      <x:c r="AE864" s="36" t="str">
        <x:f>IF(ISNUMBER(AD864),ROUND(AD864*0.015+0.2,2),"")</x:f>
      </x:c>
      <x:c r="AF864" s="36" t="str">
        <x:f>IF(ISNUMBER(AD864),ROUND(AD864-AE864-V864,2),"")</x:f>
      </x:c>
      <x:c r="AG864" t="str">
        <x:f>IF(NOT(ISNUMBER(T864)),"PENDING",IF(AF864&gt;0,"PASS","FAIL"))</x:f>
        <x:v>PENDING</x:v>
      </x:c>
      <x:c r="AH864" t="str">
        <x:f>IF(NOT(ISNUMBER(T864)),"Needs supplier cost",IF(K864&lt;&gt;"In stock","Supplier unavailable",IF(AG864&lt;&gt;"PASS","BLOCK - GT loss risk","Commercially protected")))</x:f>
        <x:v>Needs supplier cost</x:v>
      </x:c>
      <x:c r="AI864" t="str">
        <x:v>2026-09-10 Active Sports trade capture</x:v>
      </x:c>
      <x:c r="AJ864" t="str">
        <x:v>Management-only economics. Stripe stress test uses 1.5% + £0.20 standard UK online-card fee; pallet/mix-and-match pricing ignored.</x:v>
      </x:c>
    </x:row>
    <x:row r="865">
      <x:c r="A865" t="str">
        <x:v>Active Sports Nutrition</x:v>
      </x:c>
      <x:c r="B865" t="str">
        <x:v>Conteh Sports</x:v>
      </x:c>
      <x:c r="C865" t="str">
        <x:v>Creatine Monohydrate</x:v>
      </x:c>
      <x:c r="D865" t="str">
        <x:v>Supplements</x:v>
      </x:c>
      <x:c r="E865" t="str">
        <x:v>Creatine Powders</x:v>
      </x:c>
      <x:c r="F865" t="str"/>
      <x:c r="G865" t="str">
        <x:v>1kg</x:v>
      </x:c>
      <x:c r="H865" t="str">
        <x:v>Unflavoured</x:v>
      </x:c>
      <x:c r="I865" t="str"/>
      <x:c r="J865" t="str">
        <x:v>Unit</x:v>
      </x:c>
      <x:c r="K865" t="str">
        <x:v>Out of stock</x:v>
      </x:c>
      <x:c r="L865" t="str">
        <x:v>2026-09-08</x:v>
      </x:c>
      <x:c r="M865" t="str"/>
      <x:c r="N865" t="str"/>
      <x:c r="O865" t="str">
        <x:v>https://www.activesportstrade.co.uk/conteh-sports-trade</x:v>
      </x:c>
      <x:c r="P865" t="str"/>
      <x:c r="Q865" t="str"/>
      <x:c r="R865" t="str"/>
      <x:c r="S865" t="str">
        <x:v>Pending genuine supplier/brand image</x:v>
      </x:c>
      <x:c r="T865" s="54"/>
      <x:c r="U865" s="47" t="n">
        <x:v>0.2</x:v>
      </x:c>
      <x:c r="V865" s="54" t="str">
        <x:f>IF(ISNUMBER(T865),T865*(1+U865),"")</x:f>
      </x:c>
      <x:c r="W865" s="47" t="n">
        <x:v>0.3</x:v>
      </x:c>
      <x:c r="X865" s="54" t="str">
        <x:f>IF(ISNUMBER(V865),V865/(1-W865),"")</x:f>
      </x:c>
      <x:c r="Y865" s="55" t="str">
        <x:f>IF(ISNUMBER(X865),ROUNDUP(X865,0),"")</x:f>
      </x:c>
      <x:c r="Z865" t="str">
        <x:f>IF(ISNUMBER(T865),"Cost captured","Awaiting trade cost")</x:f>
        <x:v>Awaiting trade cost</x:v>
      </x:c>
      <x:c r="AB865" s="36" t="str">
        <x:f>IF(ISNUMBER(Y865),ROUND(Y865*0.9,2),"")</x:f>
      </x:c>
      <x:c r="AC865" s="36" t="str">
        <x:f>IF(ISNUMBER(AB865),ROUND(AB865-(AB865*0.015+0.2)-V865,2),"")</x:f>
      </x:c>
      <x:c r="AD865" s="36" t="str">
        <x:f>IF(ISNUMBER(Y865),ROUND(Y865*0.8,2),"")</x:f>
      </x:c>
      <x:c r="AE865" s="36" t="str">
        <x:f>IF(ISNUMBER(AD865),ROUND(AD865*0.015+0.2,2),"")</x:f>
      </x:c>
      <x:c r="AF865" s="36" t="str">
        <x:f>IF(ISNUMBER(AD865),ROUND(AD865-AE865-V865,2),"")</x:f>
      </x:c>
      <x:c r="AG865" t="str">
        <x:f>IF(NOT(ISNUMBER(T865)),"PENDING",IF(AF865&gt;0,"PASS","FAIL"))</x:f>
        <x:v>PENDING</x:v>
      </x:c>
      <x:c r="AH865" t="str">
        <x:f>IF(NOT(ISNUMBER(T865)),"Needs supplier cost",IF(K865&lt;&gt;"In stock","Supplier unavailable",IF(AG865&lt;&gt;"PASS","BLOCK - GT loss risk","Commercially protected")))</x:f>
        <x:v>Needs supplier cost</x:v>
      </x:c>
      <x:c r="AI865" t="str">
        <x:v>2026-09-10 Active Sports trade capture</x:v>
      </x:c>
      <x:c r="AJ865" t="str">
        <x:v>Management-only economics. Stripe stress test uses 1.5% + £0.20 standard UK online-card fee; pallet/mix-and-match pricing ignored.</x:v>
      </x:c>
    </x:row>
    <x:row r="866">
      <x:c r="A866" t="str">
        <x:v>Active Sports Nutrition</x:v>
      </x:c>
      <x:c r="B866" t="str">
        <x:v>Conteh Sports</x:v>
      </x:c>
      <x:c r="C866" t="str">
        <x:v>Elite Whey Protein</x:v>
      </x:c>
      <x:c r="D866" t="str">
        <x:v>Supplements</x:v>
      </x:c>
      <x:c r="E866" t="str">
        <x:v>Whey Protein</x:v>
      </x:c>
      <x:c r="F866" t="str">
        <x:v>Whey protein blend.</x:v>
      </x:c>
      <x:c r="G866" t="str">
        <x:v>1980g</x:v>
      </x:c>
      <x:c r="H866" t="str">
        <x:v>Caramel Biscuit</x:v>
      </x:c>
      <x:c r="I866" t="str"/>
      <x:c r="J866" t="str">
        <x:v>Unit</x:v>
      </x:c>
      <x:c r="K866" t="str">
        <x:v>Out of stock</x:v>
      </x:c>
      <x:c r="L866" t="str">
        <x:v>2026-09-08</x:v>
      </x:c>
      <x:c r="M866" t="str"/>
      <x:c r="N866" t="str"/>
      <x:c r="O866" t="str">
        <x:v>https://www.activesportstrade.co.uk/conteh-sports-trade</x:v>
      </x:c>
      <x:c r="P866" t="str"/>
      <x:c r="Q866" t="str"/>
      <x:c r="R866" t="str"/>
      <x:c r="S866" t="str">
        <x:v>Pending genuine supplier/brand image</x:v>
      </x:c>
      <x:c r="T866" s="54"/>
      <x:c r="U866" s="47" t="n">
        <x:v>0.2</x:v>
      </x:c>
      <x:c r="V866" s="54" t="str">
        <x:f>IF(ISNUMBER(T866),T866*(1+U866),"")</x:f>
      </x:c>
      <x:c r="W866" s="47" t="n">
        <x:v>0.3</x:v>
      </x:c>
      <x:c r="X866" s="54" t="str">
        <x:f>IF(ISNUMBER(V866),V866/(1-W866),"")</x:f>
      </x:c>
      <x:c r="Y866" s="55" t="str">
        <x:f>IF(ISNUMBER(X866),ROUNDUP(X866,0),"")</x:f>
      </x:c>
      <x:c r="Z866" t="str">
        <x:f>IF(ISNUMBER(T866),"Cost captured","Awaiting trade cost")</x:f>
        <x:v>Awaiting trade cost</x:v>
      </x:c>
      <x:c r="AB866" s="36" t="str">
        <x:f>IF(ISNUMBER(Y866),ROUND(Y866*0.9,2),"")</x:f>
      </x:c>
      <x:c r="AC866" s="36" t="str">
        <x:f>IF(ISNUMBER(AB866),ROUND(AB866-(AB866*0.015+0.2)-V866,2),"")</x:f>
      </x:c>
      <x:c r="AD866" s="36" t="str">
        <x:f>IF(ISNUMBER(Y866),ROUND(Y866*0.8,2),"")</x:f>
      </x:c>
      <x:c r="AE866" s="36" t="str">
        <x:f>IF(ISNUMBER(AD866),ROUND(AD866*0.015+0.2,2),"")</x:f>
      </x:c>
      <x:c r="AF866" s="36" t="str">
        <x:f>IF(ISNUMBER(AD866),ROUND(AD866-AE866-V866,2),"")</x:f>
      </x:c>
      <x:c r="AG866" t="str">
        <x:f>IF(NOT(ISNUMBER(T866)),"PENDING",IF(AF866&gt;0,"PASS","FAIL"))</x:f>
        <x:v>PENDING</x:v>
      </x:c>
      <x:c r="AH866" t="str">
        <x:f>IF(NOT(ISNUMBER(T866)),"Needs supplier cost",IF(K866&lt;&gt;"In stock","Supplier unavailable",IF(AG866&lt;&gt;"PASS","BLOCK - GT loss risk","Commercially protected")))</x:f>
        <x:v>Needs supplier cost</x:v>
      </x:c>
      <x:c r="AI866" t="str">
        <x:v>2026-09-10 Active Sports trade capture</x:v>
      </x:c>
      <x:c r="AJ866" t="str">
        <x:v>Management-only economics. Stripe stress test uses 1.5% + £0.20 standard UK online-card fee; pallet/mix-and-match pricing ignored.</x:v>
      </x:c>
    </x:row>
    <x:row r="867">
      <x:c r="A867" t="str">
        <x:v>Active Sports Nutrition</x:v>
      </x:c>
      <x:c r="B867" t="str">
        <x:v>Conteh Sports</x:v>
      </x:c>
      <x:c r="C867" t="str">
        <x:v>Elite Whey Protein</x:v>
      </x:c>
      <x:c r="D867" t="str">
        <x:v>Supplements</x:v>
      </x:c>
      <x:c r="E867" t="str">
        <x:v>Whey Protein</x:v>
      </x:c>
      <x:c r="F867" t="str">
        <x:v>Whey protein blend.</x:v>
      </x:c>
      <x:c r="G867" t="str">
        <x:v>1980g</x:v>
      </x:c>
      <x:c r="H867" t="str">
        <x:v>Cereal Milk</x:v>
      </x:c>
      <x:c r="I867" t="str"/>
      <x:c r="J867" t="str">
        <x:v>Unit</x:v>
      </x:c>
      <x:c r="K867" t="str">
        <x:v>Out of stock</x:v>
      </x:c>
      <x:c r="L867" t="str">
        <x:v>2026-09-08</x:v>
      </x:c>
      <x:c r="M867" t="str"/>
      <x:c r="N867" t="str"/>
      <x:c r="O867" t="str">
        <x:v>https://www.activesportstrade.co.uk/conteh-sports-trade</x:v>
      </x:c>
      <x:c r="P867" t="str"/>
      <x:c r="Q867" t="str"/>
      <x:c r="R867" t="str"/>
      <x:c r="S867" t="str">
        <x:v>Pending genuine supplier/brand image</x:v>
      </x:c>
      <x:c r="T867" s="54"/>
      <x:c r="U867" s="47" t="n">
        <x:v>0.2</x:v>
      </x:c>
      <x:c r="V867" s="54" t="str">
        <x:f>IF(ISNUMBER(T867),T867*(1+U867),"")</x:f>
      </x:c>
      <x:c r="W867" s="47" t="n">
        <x:v>0.3</x:v>
      </x:c>
      <x:c r="X867" s="54" t="str">
        <x:f>IF(ISNUMBER(V867),V867/(1-W867),"")</x:f>
      </x:c>
      <x:c r="Y867" s="55" t="str">
        <x:f>IF(ISNUMBER(X867),ROUNDUP(X867,0),"")</x:f>
      </x:c>
      <x:c r="Z867" t="str">
        <x:f>IF(ISNUMBER(T867),"Cost captured","Awaiting trade cost")</x:f>
        <x:v>Awaiting trade cost</x:v>
      </x:c>
      <x:c r="AB867" s="36" t="str">
        <x:f>IF(ISNUMBER(Y867),ROUND(Y867*0.9,2),"")</x:f>
      </x:c>
      <x:c r="AC867" s="36" t="str">
        <x:f>IF(ISNUMBER(AB867),ROUND(AB867-(AB867*0.015+0.2)-V867,2),"")</x:f>
      </x:c>
      <x:c r="AD867" s="36" t="str">
        <x:f>IF(ISNUMBER(Y867),ROUND(Y867*0.8,2),"")</x:f>
      </x:c>
      <x:c r="AE867" s="36" t="str">
        <x:f>IF(ISNUMBER(AD867),ROUND(AD867*0.015+0.2,2),"")</x:f>
      </x:c>
      <x:c r="AF867" s="36" t="str">
        <x:f>IF(ISNUMBER(AD867),ROUND(AD867-AE867-V867,2),"")</x:f>
      </x:c>
      <x:c r="AG867" t="str">
        <x:f>IF(NOT(ISNUMBER(T867)),"PENDING",IF(AF867&gt;0,"PASS","FAIL"))</x:f>
        <x:v>PENDING</x:v>
      </x:c>
      <x:c r="AH867" t="str">
        <x:f>IF(NOT(ISNUMBER(T867)),"Needs supplier cost",IF(K867&lt;&gt;"In stock","Supplier unavailable",IF(AG867&lt;&gt;"PASS","BLOCK - GT loss risk","Commercially protected")))</x:f>
        <x:v>Needs supplier cost</x:v>
      </x:c>
      <x:c r="AI867" t="str">
        <x:v>2026-09-10 Active Sports trade capture</x:v>
      </x:c>
      <x:c r="AJ867" t="str">
        <x:v>Management-only economics. Stripe stress test uses 1.5% + £0.20 standard UK online-card fee; pallet/mix-and-match pricing ignored.</x:v>
      </x:c>
    </x:row>
    <x:row r="868">
      <x:c r="A868" t="str">
        <x:v>Active Sports Nutrition</x:v>
      </x:c>
      <x:c r="B868" t="str">
        <x:v>Conteh Sports</x:v>
      </x:c>
      <x:c r="C868" t="str">
        <x:v>Elite Whey Protein</x:v>
      </x:c>
      <x:c r="D868" t="str">
        <x:v>Supplements</x:v>
      </x:c>
      <x:c r="E868" t="str">
        <x:v>Whey Protein</x:v>
      </x:c>
      <x:c r="F868" t="str">
        <x:v>Whey protein blend.</x:v>
      </x:c>
      <x:c r="G868" t="str">
        <x:v>1980g</x:v>
      </x:c>
      <x:c r="H868" t="str">
        <x:v>Chocolate Caramel</x:v>
      </x:c>
      <x:c r="I868" t="str"/>
      <x:c r="J868" t="str">
        <x:v>Unit</x:v>
      </x:c>
      <x:c r="K868" t="str">
        <x:v>Out of stock</x:v>
      </x:c>
      <x:c r="L868" t="str">
        <x:v>2026-09-08</x:v>
      </x:c>
      <x:c r="M868" t="str"/>
      <x:c r="N868" t="str"/>
      <x:c r="O868" t="str">
        <x:v>https://www.activesportstrade.co.uk/conteh-sports-trade</x:v>
      </x:c>
      <x:c r="P868" t="str"/>
      <x:c r="Q868" t="str"/>
      <x:c r="R868" t="str"/>
      <x:c r="S868" t="str">
        <x:v>Pending genuine supplier/brand image</x:v>
      </x:c>
      <x:c r="T868" s="54"/>
      <x:c r="U868" s="47" t="n">
        <x:v>0.2</x:v>
      </x:c>
      <x:c r="V868" s="54" t="str">
        <x:f>IF(ISNUMBER(T868),T868*(1+U868),"")</x:f>
      </x:c>
      <x:c r="W868" s="47" t="n">
        <x:v>0.3</x:v>
      </x:c>
      <x:c r="X868" s="54" t="str">
        <x:f>IF(ISNUMBER(V868),V868/(1-W868),"")</x:f>
      </x:c>
      <x:c r="Y868" s="55" t="str">
        <x:f>IF(ISNUMBER(X868),ROUNDUP(X868,0),"")</x:f>
      </x:c>
      <x:c r="Z868" t="str">
        <x:f>IF(ISNUMBER(T868),"Cost captured","Awaiting trade cost")</x:f>
        <x:v>Awaiting trade cost</x:v>
      </x:c>
      <x:c r="AB868" s="36" t="str">
        <x:f>IF(ISNUMBER(Y868),ROUND(Y868*0.9,2),"")</x:f>
      </x:c>
      <x:c r="AC868" s="36" t="str">
        <x:f>IF(ISNUMBER(AB868),ROUND(AB868-(AB868*0.015+0.2)-V868,2),"")</x:f>
      </x:c>
      <x:c r="AD868" s="36" t="str">
        <x:f>IF(ISNUMBER(Y868),ROUND(Y868*0.8,2),"")</x:f>
      </x:c>
      <x:c r="AE868" s="36" t="str">
        <x:f>IF(ISNUMBER(AD868),ROUND(AD868*0.015+0.2,2),"")</x:f>
      </x:c>
      <x:c r="AF868" s="36" t="str">
        <x:f>IF(ISNUMBER(AD868),ROUND(AD868-AE868-V868,2),"")</x:f>
      </x:c>
      <x:c r="AG868" t="str">
        <x:f>IF(NOT(ISNUMBER(T868)),"PENDING",IF(AF868&gt;0,"PASS","FAIL"))</x:f>
        <x:v>PENDING</x:v>
      </x:c>
      <x:c r="AH868" t="str">
        <x:f>IF(NOT(ISNUMBER(T868)),"Needs supplier cost",IF(K868&lt;&gt;"In stock","Supplier unavailable",IF(AG868&lt;&gt;"PASS","BLOCK - GT loss risk","Commercially protected")))</x:f>
        <x:v>Needs supplier cost</x:v>
      </x:c>
      <x:c r="AI868" t="str">
        <x:v>2026-09-10 Active Sports trade capture</x:v>
      </x:c>
      <x:c r="AJ868" t="str">
        <x:v>Management-only economics. Stripe stress test uses 1.5% + £0.20 standard UK online-card fee; pallet/mix-and-match pricing ignored.</x:v>
      </x:c>
    </x:row>
    <x:row r="869">
      <x:c r="A869" t="str">
        <x:v>Active Sports Nutrition</x:v>
      </x:c>
      <x:c r="B869" t="str">
        <x:v>Conteh Sports</x:v>
      </x:c>
      <x:c r="C869" t="str">
        <x:v>Elite Whey Protein</x:v>
      </x:c>
      <x:c r="D869" t="str">
        <x:v>Supplements</x:v>
      </x:c>
      <x:c r="E869" t="str">
        <x:v>Whey Protein</x:v>
      </x:c>
      <x:c r="F869" t="str">
        <x:v>Whey protein blend.</x:v>
      </x:c>
      <x:c r="G869" t="str">
        <x:v>1980g</x:v>
      </x:c>
      <x:c r="H869" t="str">
        <x:v>Cinnamon Swirl</x:v>
      </x:c>
      <x:c r="I869" t="str"/>
      <x:c r="J869" t="str">
        <x:v>Unit</x:v>
      </x:c>
      <x:c r="K869" t="str">
        <x:v>Out of stock</x:v>
      </x:c>
      <x:c r="L869" t="str">
        <x:v>2026-09-08</x:v>
      </x:c>
      <x:c r="M869" t="str"/>
      <x:c r="N869" t="str"/>
      <x:c r="O869" t="str">
        <x:v>https://www.activesportstrade.co.uk/conteh-sports-trade</x:v>
      </x:c>
      <x:c r="P869" t="str"/>
      <x:c r="Q869" t="str"/>
      <x:c r="R869" t="str"/>
      <x:c r="S869" t="str">
        <x:v>Pending genuine supplier/brand image</x:v>
      </x:c>
      <x:c r="T869" s="54"/>
      <x:c r="U869" s="47" t="n">
        <x:v>0.2</x:v>
      </x:c>
      <x:c r="V869" s="54" t="str">
        <x:f>IF(ISNUMBER(T869),T869*(1+U869),"")</x:f>
      </x:c>
      <x:c r="W869" s="47" t="n">
        <x:v>0.3</x:v>
      </x:c>
      <x:c r="X869" s="54" t="str">
        <x:f>IF(ISNUMBER(V869),V869/(1-W869),"")</x:f>
      </x:c>
      <x:c r="Y869" s="55" t="str">
        <x:f>IF(ISNUMBER(X869),ROUNDUP(X869,0),"")</x:f>
      </x:c>
      <x:c r="Z869" t="str">
        <x:f>IF(ISNUMBER(T869),"Cost captured","Awaiting trade cost")</x:f>
        <x:v>Awaiting trade cost</x:v>
      </x:c>
      <x:c r="AB869" s="36" t="str">
        <x:f>IF(ISNUMBER(Y869),ROUND(Y869*0.9,2),"")</x:f>
      </x:c>
      <x:c r="AC869" s="36" t="str">
        <x:f>IF(ISNUMBER(AB869),ROUND(AB869-(AB869*0.015+0.2)-V869,2),"")</x:f>
      </x:c>
      <x:c r="AD869" s="36" t="str">
        <x:f>IF(ISNUMBER(Y869),ROUND(Y869*0.8,2),"")</x:f>
      </x:c>
      <x:c r="AE869" s="36" t="str">
        <x:f>IF(ISNUMBER(AD869),ROUND(AD869*0.015+0.2,2),"")</x:f>
      </x:c>
      <x:c r="AF869" s="36" t="str">
        <x:f>IF(ISNUMBER(AD869),ROUND(AD869-AE869-V869,2),"")</x:f>
      </x:c>
      <x:c r="AG869" t="str">
        <x:f>IF(NOT(ISNUMBER(T869)),"PENDING",IF(AF869&gt;0,"PASS","FAIL"))</x:f>
        <x:v>PENDING</x:v>
      </x:c>
      <x:c r="AH869" t="str">
        <x:f>IF(NOT(ISNUMBER(T869)),"Needs supplier cost",IF(K869&lt;&gt;"In stock","Supplier unavailable",IF(AG869&lt;&gt;"PASS","BLOCK - GT loss risk","Commercially protected")))</x:f>
        <x:v>Needs supplier cost</x:v>
      </x:c>
      <x:c r="AI869" t="str">
        <x:v>2026-09-10 Active Sports trade capture</x:v>
      </x:c>
      <x:c r="AJ869" t="str">
        <x:v>Management-only economics. Stripe stress test uses 1.5% + £0.20 standard UK online-card fee; pallet/mix-and-match pricing ignored.</x:v>
      </x:c>
    </x:row>
    <x:row r="870">
      <x:c r="A870" t="str">
        <x:v>Active Sports Nutrition</x:v>
      </x:c>
      <x:c r="B870" t="str">
        <x:v>Conteh Sports</x:v>
      </x:c>
      <x:c r="C870" t="str">
        <x:v>Elite Whey Protein</x:v>
      </x:c>
      <x:c r="D870" t="str">
        <x:v>Supplements</x:v>
      </x:c>
      <x:c r="E870" t="str">
        <x:v>Whey Protein</x:v>
      </x:c>
      <x:c r="F870" t="str">
        <x:v>Whey protein blend.</x:v>
      </x:c>
      <x:c r="G870" t="str">
        <x:v>1980g</x:v>
      </x:c>
      <x:c r="H870" t="str">
        <x:v>Cookies &amp; Cream</x:v>
      </x:c>
      <x:c r="I870" t="str"/>
      <x:c r="J870" t="str">
        <x:v>Unit</x:v>
      </x:c>
      <x:c r="K870" t="str">
        <x:v>Out of stock</x:v>
      </x:c>
      <x:c r="L870" t="str">
        <x:v>2026-09-08</x:v>
      </x:c>
      <x:c r="M870" t="str"/>
      <x:c r="N870" t="str"/>
      <x:c r="O870" t="str">
        <x:v>https://www.activesportstrade.co.uk/conteh-sports-trade</x:v>
      </x:c>
      <x:c r="P870" t="str"/>
      <x:c r="Q870" t="str"/>
      <x:c r="R870" t="str"/>
      <x:c r="S870" t="str">
        <x:v>Pending genuine supplier/brand image</x:v>
      </x:c>
      <x:c r="T870" s="54"/>
      <x:c r="U870" s="47" t="n">
        <x:v>0.2</x:v>
      </x:c>
      <x:c r="V870" s="54" t="str">
        <x:f>IF(ISNUMBER(T870),T870*(1+U870),"")</x:f>
      </x:c>
      <x:c r="W870" s="47" t="n">
        <x:v>0.3</x:v>
      </x:c>
      <x:c r="X870" s="54" t="str">
        <x:f>IF(ISNUMBER(V870),V870/(1-W870),"")</x:f>
      </x:c>
      <x:c r="Y870" s="55" t="str">
        <x:f>IF(ISNUMBER(X870),ROUNDUP(X870,0),"")</x:f>
      </x:c>
      <x:c r="Z870" t="str">
        <x:f>IF(ISNUMBER(T870),"Cost captured","Awaiting trade cost")</x:f>
        <x:v>Awaiting trade cost</x:v>
      </x:c>
      <x:c r="AB870" s="36" t="str">
        <x:f>IF(ISNUMBER(Y870),ROUND(Y870*0.9,2),"")</x:f>
      </x:c>
      <x:c r="AC870" s="36" t="str">
        <x:f>IF(ISNUMBER(AB870),ROUND(AB870-(AB870*0.015+0.2)-V870,2),"")</x:f>
      </x:c>
      <x:c r="AD870" s="36" t="str">
        <x:f>IF(ISNUMBER(Y870),ROUND(Y870*0.8,2),"")</x:f>
      </x:c>
      <x:c r="AE870" s="36" t="str">
        <x:f>IF(ISNUMBER(AD870),ROUND(AD870*0.015+0.2,2),"")</x:f>
      </x:c>
      <x:c r="AF870" s="36" t="str">
        <x:f>IF(ISNUMBER(AD870),ROUND(AD870-AE870-V870,2),"")</x:f>
      </x:c>
      <x:c r="AG870" t="str">
        <x:f>IF(NOT(ISNUMBER(T870)),"PENDING",IF(AF870&gt;0,"PASS","FAIL"))</x:f>
        <x:v>PENDING</x:v>
      </x:c>
      <x:c r="AH870" t="str">
        <x:f>IF(NOT(ISNUMBER(T870)),"Needs supplier cost",IF(K870&lt;&gt;"In stock","Supplier unavailable",IF(AG870&lt;&gt;"PASS","BLOCK - GT loss risk","Commercially protected")))</x:f>
        <x:v>Needs supplier cost</x:v>
      </x:c>
      <x:c r="AI870" t="str">
        <x:v>2026-09-10 Active Sports trade capture</x:v>
      </x:c>
      <x:c r="AJ870" t="str">
        <x:v>Management-only economics. Stripe stress test uses 1.5% + £0.20 standard UK online-card fee; pallet/mix-and-match pricing ignored.</x:v>
      </x:c>
    </x:row>
    <x:row r="871">
      <x:c r="A871" t="str">
        <x:v>Active Sports Nutrition</x:v>
      </x:c>
      <x:c r="B871" t="str">
        <x:v>Conteh Sports</x:v>
      </x:c>
      <x:c r="C871" t="str">
        <x:v>Elite Whey Protein</x:v>
      </x:c>
      <x:c r="D871" t="str">
        <x:v>Supplements</x:v>
      </x:c>
      <x:c r="E871" t="str">
        <x:v>Whey Protein</x:v>
      </x:c>
      <x:c r="F871" t="str">
        <x:v>Whey protein blend.</x:v>
      </x:c>
      <x:c r="G871" t="str">
        <x:v>1980g</x:v>
      </x:c>
      <x:c r="H871" t="str">
        <x:v>Salted Caramel</x:v>
      </x:c>
      <x:c r="I871" t="str"/>
      <x:c r="J871" t="str">
        <x:v>Unit</x:v>
      </x:c>
      <x:c r="K871" t="str">
        <x:v>Out of stock</x:v>
      </x:c>
      <x:c r="L871" t="str">
        <x:v>2026-09-08</x:v>
      </x:c>
      <x:c r="M871" t="str"/>
      <x:c r="N871" t="str"/>
      <x:c r="O871" t="str">
        <x:v>https://www.activesportstrade.co.uk/conteh-sports-trade</x:v>
      </x:c>
      <x:c r="P871" t="str"/>
      <x:c r="Q871" t="str"/>
      <x:c r="R871" t="str"/>
      <x:c r="S871" t="str">
        <x:v>Pending genuine supplier/brand image</x:v>
      </x:c>
      <x:c r="T871" s="54"/>
      <x:c r="U871" s="47" t="n">
        <x:v>0.2</x:v>
      </x:c>
      <x:c r="V871" s="54" t="str">
        <x:f>IF(ISNUMBER(T871),T871*(1+U871),"")</x:f>
      </x:c>
      <x:c r="W871" s="47" t="n">
        <x:v>0.3</x:v>
      </x:c>
      <x:c r="X871" s="54" t="str">
        <x:f>IF(ISNUMBER(V871),V871/(1-W871),"")</x:f>
      </x:c>
      <x:c r="Y871" s="55" t="str">
        <x:f>IF(ISNUMBER(X871),ROUNDUP(X871,0),"")</x:f>
      </x:c>
      <x:c r="Z871" t="str">
        <x:f>IF(ISNUMBER(T871),"Cost captured","Awaiting trade cost")</x:f>
        <x:v>Awaiting trade cost</x:v>
      </x:c>
      <x:c r="AB871" s="36" t="str">
        <x:f>IF(ISNUMBER(Y871),ROUND(Y871*0.9,2),"")</x:f>
      </x:c>
      <x:c r="AC871" s="36" t="str">
        <x:f>IF(ISNUMBER(AB871),ROUND(AB871-(AB871*0.015+0.2)-V871,2),"")</x:f>
      </x:c>
      <x:c r="AD871" s="36" t="str">
        <x:f>IF(ISNUMBER(Y871),ROUND(Y871*0.8,2),"")</x:f>
      </x:c>
      <x:c r="AE871" s="36" t="str">
        <x:f>IF(ISNUMBER(AD871),ROUND(AD871*0.015+0.2,2),"")</x:f>
      </x:c>
      <x:c r="AF871" s="36" t="str">
        <x:f>IF(ISNUMBER(AD871),ROUND(AD871-AE871-V871,2),"")</x:f>
      </x:c>
      <x:c r="AG871" t="str">
        <x:f>IF(NOT(ISNUMBER(T871)),"PENDING",IF(AF871&gt;0,"PASS","FAIL"))</x:f>
        <x:v>PENDING</x:v>
      </x:c>
      <x:c r="AH871" t="str">
        <x:f>IF(NOT(ISNUMBER(T871)),"Needs supplier cost",IF(K871&lt;&gt;"In stock","Supplier unavailable",IF(AG871&lt;&gt;"PASS","BLOCK - GT loss risk","Commercially protected")))</x:f>
        <x:v>Needs supplier cost</x:v>
      </x:c>
      <x:c r="AI871" t="str">
        <x:v>2026-09-10 Active Sports trade capture</x:v>
      </x:c>
      <x:c r="AJ871" t="str">
        <x:v>Management-only economics. Stripe stress test uses 1.5% + £0.20 standard UK online-card fee; pallet/mix-and-match pricing ignored.</x:v>
      </x:c>
    </x:row>
    <x:row r="872">
      <x:c r="A872" t="str">
        <x:v>Active Sports Nutrition</x:v>
      </x:c>
      <x:c r="B872" t="str">
        <x:v>Conteh Sports</x:v>
      </x:c>
      <x:c r="C872" t="str">
        <x:v>Elite Whey Protein</x:v>
      </x:c>
      <x:c r="D872" t="str">
        <x:v>Supplements</x:v>
      </x:c>
      <x:c r="E872" t="str">
        <x:v>Whey Protein</x:v>
      </x:c>
      <x:c r="F872" t="str">
        <x:v>Whey protein blend.</x:v>
      </x:c>
      <x:c r="G872" t="str">
        <x:v>1980g</x:v>
      </x:c>
      <x:c r="H872" t="str">
        <x:v>Strawberry Cheesecake</x:v>
      </x:c>
      <x:c r="I872" t="str"/>
      <x:c r="J872" t="str">
        <x:v>Unit</x:v>
      </x:c>
      <x:c r="K872" t="str">
        <x:v>Out of stock</x:v>
      </x:c>
      <x:c r="L872" t="str">
        <x:v>2026-09-08</x:v>
      </x:c>
      <x:c r="M872" t="str"/>
      <x:c r="N872" t="str"/>
      <x:c r="O872" t="str">
        <x:v>https://www.activesportstrade.co.uk/conteh-sports-trade</x:v>
      </x:c>
      <x:c r="P872" t="str"/>
      <x:c r="Q872" t="str"/>
      <x:c r="R872" t="str"/>
      <x:c r="S872" t="str">
        <x:v>Pending genuine supplier/brand image</x:v>
      </x:c>
      <x:c r="T872" s="54"/>
      <x:c r="U872" s="47" t="n">
        <x:v>0.2</x:v>
      </x:c>
      <x:c r="V872" s="54" t="str">
        <x:f>IF(ISNUMBER(T872),T872*(1+U872),"")</x:f>
      </x:c>
      <x:c r="W872" s="47" t="n">
        <x:v>0.3</x:v>
      </x:c>
      <x:c r="X872" s="54" t="str">
        <x:f>IF(ISNUMBER(V872),V872/(1-W872),"")</x:f>
      </x:c>
      <x:c r="Y872" s="55" t="str">
        <x:f>IF(ISNUMBER(X872),ROUNDUP(X872,0),"")</x:f>
      </x:c>
      <x:c r="Z872" t="str">
        <x:f>IF(ISNUMBER(T872),"Cost captured","Awaiting trade cost")</x:f>
        <x:v>Awaiting trade cost</x:v>
      </x:c>
      <x:c r="AB872" s="36" t="str">
        <x:f>IF(ISNUMBER(Y872),ROUND(Y872*0.9,2),"")</x:f>
      </x:c>
      <x:c r="AC872" s="36" t="str">
        <x:f>IF(ISNUMBER(AB872),ROUND(AB872-(AB872*0.015+0.2)-V872,2),"")</x:f>
      </x:c>
      <x:c r="AD872" s="36" t="str">
        <x:f>IF(ISNUMBER(Y872),ROUND(Y872*0.8,2),"")</x:f>
      </x:c>
      <x:c r="AE872" s="36" t="str">
        <x:f>IF(ISNUMBER(AD872),ROUND(AD872*0.015+0.2,2),"")</x:f>
      </x:c>
      <x:c r="AF872" s="36" t="str">
        <x:f>IF(ISNUMBER(AD872),ROUND(AD872-AE872-V872,2),"")</x:f>
      </x:c>
      <x:c r="AG872" t="str">
        <x:f>IF(NOT(ISNUMBER(T872)),"PENDING",IF(AF872&gt;0,"PASS","FAIL"))</x:f>
        <x:v>PENDING</x:v>
      </x:c>
      <x:c r="AH872" t="str">
        <x:f>IF(NOT(ISNUMBER(T872)),"Needs supplier cost",IF(K872&lt;&gt;"In stock","Supplier unavailable",IF(AG872&lt;&gt;"PASS","BLOCK - GT loss risk","Commercially protected")))</x:f>
        <x:v>Needs supplier cost</x:v>
      </x:c>
      <x:c r="AI872" t="str">
        <x:v>2026-09-10 Active Sports trade capture</x:v>
      </x:c>
      <x:c r="AJ872" t="str">
        <x:v>Management-only economics. Stripe stress test uses 1.5% + £0.20 standard UK online-card fee; pallet/mix-and-match pricing ignored.</x:v>
      </x:c>
    </x:row>
    <x:row r="873">
      <x:c r="A873" t="str">
        <x:v>Active Sports Nutrition</x:v>
      </x:c>
      <x:c r="B873" t="str">
        <x:v>Conteh Sports</x:v>
      </x:c>
      <x:c r="C873" t="str">
        <x:v>Elite Whey Protein</x:v>
      </x:c>
      <x:c r="D873" t="str">
        <x:v>Supplements</x:v>
      </x:c>
      <x:c r="E873" t="str">
        <x:v>Whey Protein</x:v>
      </x:c>
      <x:c r="F873" t="str">
        <x:v>Whey protein blend.</x:v>
      </x:c>
      <x:c r="G873" t="str">
        <x:v>1980g</x:v>
      </x:c>
      <x:c r="H873" t="str">
        <x:v>Triple Chocolate</x:v>
      </x:c>
      <x:c r="I873" t="str"/>
      <x:c r="J873" t="str">
        <x:v>Unit</x:v>
      </x:c>
      <x:c r="K873" t="str">
        <x:v>Out of stock</x:v>
      </x:c>
      <x:c r="L873" t="str">
        <x:v>2026-09-08</x:v>
      </x:c>
      <x:c r="M873" t="str"/>
      <x:c r="N873" t="str"/>
      <x:c r="O873" t="str">
        <x:v>https://www.activesportstrade.co.uk/conteh-sports-trade</x:v>
      </x:c>
      <x:c r="P873" t="str"/>
      <x:c r="Q873" t="str"/>
      <x:c r="R873" t="str"/>
      <x:c r="S873" t="str">
        <x:v>Pending genuine supplier/brand image</x:v>
      </x:c>
      <x:c r="T873" s="54"/>
      <x:c r="U873" s="47" t="n">
        <x:v>0.2</x:v>
      </x:c>
      <x:c r="V873" s="54" t="str">
        <x:f>IF(ISNUMBER(T873),T873*(1+U873),"")</x:f>
      </x:c>
      <x:c r="W873" s="47" t="n">
        <x:v>0.3</x:v>
      </x:c>
      <x:c r="X873" s="54" t="str">
        <x:f>IF(ISNUMBER(V873),V873/(1-W873),"")</x:f>
      </x:c>
      <x:c r="Y873" s="55" t="str">
        <x:f>IF(ISNUMBER(X873),ROUNDUP(X873,0),"")</x:f>
      </x:c>
      <x:c r="Z873" t="str">
        <x:f>IF(ISNUMBER(T873),"Cost captured","Awaiting trade cost")</x:f>
        <x:v>Awaiting trade cost</x:v>
      </x:c>
      <x:c r="AB873" s="36" t="str">
        <x:f>IF(ISNUMBER(Y873),ROUND(Y873*0.9,2),"")</x:f>
      </x:c>
      <x:c r="AC873" s="36" t="str">
        <x:f>IF(ISNUMBER(AB873),ROUND(AB873-(AB873*0.015+0.2)-V873,2),"")</x:f>
      </x:c>
      <x:c r="AD873" s="36" t="str">
        <x:f>IF(ISNUMBER(Y873),ROUND(Y873*0.8,2),"")</x:f>
      </x:c>
      <x:c r="AE873" s="36" t="str">
        <x:f>IF(ISNUMBER(AD873),ROUND(AD873*0.015+0.2,2),"")</x:f>
      </x:c>
      <x:c r="AF873" s="36" t="str">
        <x:f>IF(ISNUMBER(AD873),ROUND(AD873-AE873-V873,2),"")</x:f>
      </x:c>
      <x:c r="AG873" t="str">
        <x:f>IF(NOT(ISNUMBER(T873)),"PENDING",IF(AF873&gt;0,"PASS","FAIL"))</x:f>
        <x:v>PENDING</x:v>
      </x:c>
      <x:c r="AH873" t="str">
        <x:f>IF(NOT(ISNUMBER(T873)),"Needs supplier cost",IF(K873&lt;&gt;"In stock","Supplier unavailable",IF(AG873&lt;&gt;"PASS","BLOCK - GT loss risk","Commercially protected")))</x:f>
        <x:v>Needs supplier cost</x:v>
      </x:c>
      <x:c r="AI873" t="str">
        <x:v>2026-09-10 Active Sports trade capture</x:v>
      </x:c>
      <x:c r="AJ873" t="str">
        <x:v>Management-only economics. Stripe stress test uses 1.5% + £0.20 standard UK online-card fee; pallet/mix-and-match pricing ignored.</x:v>
      </x:c>
    </x:row>
    <x:row r="874">
      <x:c r="A874" t="str">
        <x:v>Active Sports Nutrition</x:v>
      </x:c>
      <x:c r="B874" t="str">
        <x:v>Conteh Sports</x:v>
      </x:c>
      <x:c r="C874" t="str">
        <x:v>Elite Whey Protein</x:v>
      </x:c>
      <x:c r="D874" t="str">
        <x:v>Supplements</x:v>
      </x:c>
      <x:c r="E874" t="str">
        <x:v>Whey Protein</x:v>
      </x:c>
      <x:c r="F874" t="str">
        <x:v>Whey protein blend.</x:v>
      </x:c>
      <x:c r="G874" t="str">
        <x:v>1980g</x:v>
      </x:c>
      <x:c r="H874" t="str">
        <x:v>Vanilla Ice Cream</x:v>
      </x:c>
      <x:c r="I874" t="str"/>
      <x:c r="J874" t="str">
        <x:v>Unit</x:v>
      </x:c>
      <x:c r="K874" t="str">
        <x:v>Out of stock</x:v>
      </x:c>
      <x:c r="L874" t="str">
        <x:v>2026-09-08</x:v>
      </x:c>
      <x:c r="M874" t="str"/>
      <x:c r="N874" t="str"/>
      <x:c r="O874" t="str">
        <x:v>https://www.activesportstrade.co.uk/conteh-sports-trade</x:v>
      </x:c>
      <x:c r="P874" t="str"/>
      <x:c r="Q874" t="str"/>
      <x:c r="R874" t="str"/>
      <x:c r="S874" t="str">
        <x:v>Pending genuine supplier/brand image</x:v>
      </x:c>
      <x:c r="T874" s="54"/>
      <x:c r="U874" s="47" t="n">
        <x:v>0.2</x:v>
      </x:c>
      <x:c r="V874" s="54" t="str">
        <x:f>IF(ISNUMBER(T874),T874*(1+U874),"")</x:f>
      </x:c>
      <x:c r="W874" s="47" t="n">
        <x:v>0.3</x:v>
      </x:c>
      <x:c r="X874" s="54" t="str">
        <x:f>IF(ISNUMBER(V874),V874/(1-W874),"")</x:f>
      </x:c>
      <x:c r="Y874" s="55" t="str">
        <x:f>IF(ISNUMBER(X874),ROUNDUP(X874,0),"")</x:f>
      </x:c>
      <x:c r="Z874" t="str">
        <x:f>IF(ISNUMBER(T874),"Cost captured","Awaiting trade cost")</x:f>
        <x:v>Awaiting trade cost</x:v>
      </x:c>
      <x:c r="AB874" s="36" t="str">
        <x:f>IF(ISNUMBER(Y874),ROUND(Y874*0.9,2),"")</x:f>
      </x:c>
      <x:c r="AC874" s="36" t="str">
        <x:f>IF(ISNUMBER(AB874),ROUND(AB874-(AB874*0.015+0.2)-V874,2),"")</x:f>
      </x:c>
      <x:c r="AD874" s="36" t="str">
        <x:f>IF(ISNUMBER(Y874),ROUND(Y874*0.8,2),"")</x:f>
      </x:c>
      <x:c r="AE874" s="36" t="str">
        <x:f>IF(ISNUMBER(AD874),ROUND(AD874*0.015+0.2,2),"")</x:f>
      </x:c>
      <x:c r="AF874" s="36" t="str">
        <x:f>IF(ISNUMBER(AD874),ROUND(AD874-AE874-V874,2),"")</x:f>
      </x:c>
      <x:c r="AG874" t="str">
        <x:f>IF(NOT(ISNUMBER(T874)),"PENDING",IF(AF874&gt;0,"PASS","FAIL"))</x:f>
        <x:v>PENDING</x:v>
      </x:c>
      <x:c r="AH874" t="str">
        <x:f>IF(NOT(ISNUMBER(T874)),"Needs supplier cost",IF(K874&lt;&gt;"In stock","Supplier unavailable",IF(AG874&lt;&gt;"PASS","BLOCK - GT loss risk","Commercially protected")))</x:f>
        <x:v>Needs supplier cost</x:v>
      </x:c>
      <x:c r="AI874" t="str">
        <x:v>2026-09-10 Active Sports trade capture</x:v>
      </x:c>
      <x:c r="AJ874" t="str">
        <x:v>Management-only economics. Stripe stress test uses 1.5% + £0.20 standard UK online-card fee; pallet/mix-and-match pricing ignored.</x:v>
      </x:c>
    </x:row>
    <x:row r="875">
      <x:c r="A875" t="str">
        <x:v>Active Sports Nutrition</x:v>
      </x:c>
      <x:c r="B875" t="str">
        <x:v>Conteh Sports</x:v>
      </x:c>
      <x:c r="C875" t="str">
        <x:v>Elite Whey Protein</x:v>
      </x:c>
      <x:c r="D875" t="str">
        <x:v>Supplements</x:v>
      </x:c>
      <x:c r="E875" t="str">
        <x:v>Whey Protein</x:v>
      </x:c>
      <x:c r="F875" t="str">
        <x:v>Whey protein blend.</x:v>
      </x:c>
      <x:c r="G875" t="str">
        <x:v>1980g</x:v>
      </x:c>
      <x:c r="H875" t="str">
        <x:v>White Chocolate Hazelnut</x:v>
      </x:c>
      <x:c r="I875" t="str"/>
      <x:c r="J875" t="str">
        <x:v>Unit</x:v>
      </x:c>
      <x:c r="K875" t="str">
        <x:v>Out of stock</x:v>
      </x:c>
      <x:c r="L875" t="str">
        <x:v>2026-09-08</x:v>
      </x:c>
      <x:c r="M875" t="str"/>
      <x:c r="N875" t="str"/>
      <x:c r="O875" t="str">
        <x:v>https://www.activesportstrade.co.uk/conteh-sports-trade</x:v>
      </x:c>
      <x:c r="P875" t="str"/>
      <x:c r="Q875" t="str"/>
      <x:c r="R875" t="str"/>
      <x:c r="S875" t="str">
        <x:v>Pending genuine supplier/brand image</x:v>
      </x:c>
      <x:c r="T875" s="54"/>
      <x:c r="U875" s="47" t="n">
        <x:v>0.2</x:v>
      </x:c>
      <x:c r="V875" s="54" t="str">
        <x:f>IF(ISNUMBER(T875),T875*(1+U875),"")</x:f>
      </x:c>
      <x:c r="W875" s="47" t="n">
        <x:v>0.3</x:v>
      </x:c>
      <x:c r="X875" s="54" t="str">
        <x:f>IF(ISNUMBER(V875),V875/(1-W875),"")</x:f>
      </x:c>
      <x:c r="Y875" s="55" t="str">
        <x:f>IF(ISNUMBER(X875),ROUNDUP(X875,0),"")</x:f>
      </x:c>
      <x:c r="Z875" t="str">
        <x:f>IF(ISNUMBER(T875),"Cost captured","Awaiting trade cost")</x:f>
        <x:v>Awaiting trade cost</x:v>
      </x:c>
      <x:c r="AB875" s="36" t="str">
        <x:f>IF(ISNUMBER(Y875),ROUND(Y875*0.9,2),"")</x:f>
      </x:c>
      <x:c r="AC875" s="36" t="str">
        <x:f>IF(ISNUMBER(AB875),ROUND(AB875-(AB875*0.015+0.2)-V875,2),"")</x:f>
      </x:c>
      <x:c r="AD875" s="36" t="str">
        <x:f>IF(ISNUMBER(Y875),ROUND(Y875*0.8,2),"")</x:f>
      </x:c>
      <x:c r="AE875" s="36" t="str">
        <x:f>IF(ISNUMBER(AD875),ROUND(AD875*0.015+0.2,2),"")</x:f>
      </x:c>
      <x:c r="AF875" s="36" t="str">
        <x:f>IF(ISNUMBER(AD875),ROUND(AD875-AE875-V875,2),"")</x:f>
      </x:c>
      <x:c r="AG875" t="str">
        <x:f>IF(NOT(ISNUMBER(T875)),"PENDING",IF(AF875&gt;0,"PASS","FAIL"))</x:f>
        <x:v>PENDING</x:v>
      </x:c>
      <x:c r="AH875" t="str">
        <x:f>IF(NOT(ISNUMBER(T875)),"Needs supplier cost",IF(K875&lt;&gt;"In stock","Supplier unavailable",IF(AG875&lt;&gt;"PASS","BLOCK - GT loss risk","Commercially protected")))</x:f>
        <x:v>Needs supplier cost</x:v>
      </x:c>
      <x:c r="AI875" t="str">
        <x:v>2026-09-10 Active Sports trade capture</x:v>
      </x:c>
      <x:c r="AJ875" t="str">
        <x:v>Management-only economics. Stripe stress test uses 1.5% + £0.20 standard UK online-card fee; pallet/mix-and-match pricing ignored.</x:v>
      </x:c>
    </x:row>
    <x:row r="876">
      <x:c r="A876" t="str">
        <x:v>Active Sports Nutrition</x:v>
      </x:c>
      <x:c r="B876" t="str">
        <x:v>Conteh Sports</x:v>
      </x:c>
      <x:c r="C876" t="str">
        <x:v>Essential Gains EAA Formula</x:v>
      </x:c>
      <x:c r="D876" t="str">
        <x:v>Supplements</x:v>
      </x:c>
      <x:c r="E876" t="str">
        <x:v>Amino Acids</x:v>
      </x:c>
      <x:c r="F876" t="str"/>
      <x:c r="G876" t="str">
        <x:v>465g</x:v>
      </x:c>
      <x:c r="H876" t="str">
        <x:v>Berry</x:v>
      </x:c>
      <x:c r="I876" t="str"/>
      <x:c r="J876" t="str">
        <x:v>Unit</x:v>
      </x:c>
      <x:c r="K876" t="str">
        <x:v>In stock</x:v>
      </x:c>
      <x:c r="L876" t="str">
        <x:v>2026-09-08</x:v>
      </x:c>
      <x:c r="M876" t="str"/>
      <x:c r="N876" t="str"/>
      <x:c r="O876" t="str">
        <x:v>https://www.activesportstrade.co.uk/conteh-sports-trade</x:v>
      </x:c>
      <x:c r="P876" t="str"/>
      <x:c r="Q876" t="str"/>
      <x:c r="R876" t="str"/>
      <x:c r="S876" t="str">
        <x:v>Pending genuine supplier/brand image</x:v>
      </x:c>
      <x:c r="T876" s="54"/>
      <x:c r="U876" s="47" t="n">
        <x:v>0.2</x:v>
      </x:c>
      <x:c r="V876" s="54" t="str">
        <x:f>IF(ISNUMBER(T876),T876*(1+U876),"")</x:f>
      </x:c>
      <x:c r="W876" s="47" t="n">
        <x:v>0.3</x:v>
      </x:c>
      <x:c r="X876" s="54" t="str">
        <x:f>IF(ISNUMBER(V876),V876/(1-W876),"")</x:f>
      </x:c>
      <x:c r="Y876" s="55" t="str">
        <x:f>IF(ISNUMBER(X876),ROUNDUP(X876,0),"")</x:f>
      </x:c>
      <x:c r="Z876" t="str">
        <x:f>IF(ISNUMBER(T876),"Cost captured","Awaiting trade cost")</x:f>
        <x:v>Awaiting trade cost</x:v>
      </x:c>
      <x:c r="AB876" s="36" t="str">
        <x:f>IF(ISNUMBER(Y876),ROUND(Y876*0.9,2),"")</x:f>
      </x:c>
      <x:c r="AC876" s="36" t="str">
        <x:f>IF(ISNUMBER(AB876),ROUND(AB876-(AB876*0.015+0.2)-V876,2),"")</x:f>
      </x:c>
      <x:c r="AD876" s="36" t="str">
        <x:f>IF(ISNUMBER(Y876),ROUND(Y876*0.8,2),"")</x:f>
      </x:c>
      <x:c r="AE876" s="36" t="str">
        <x:f>IF(ISNUMBER(AD876),ROUND(AD876*0.015+0.2,2),"")</x:f>
      </x:c>
      <x:c r="AF876" s="36" t="str">
        <x:f>IF(ISNUMBER(AD876),ROUND(AD876-AE876-V876,2),"")</x:f>
      </x:c>
      <x:c r="AG876" t="str">
        <x:f>IF(NOT(ISNUMBER(T876)),"PENDING",IF(AF876&gt;0,"PASS","FAIL"))</x:f>
        <x:v>PENDING</x:v>
      </x:c>
      <x:c r="AH876" t="str">
        <x:f>IF(NOT(ISNUMBER(T876)),"Needs supplier cost",IF(K876&lt;&gt;"In stock","Supplier unavailable",IF(AG876&lt;&gt;"PASS","BLOCK - GT loss risk","Commercially protected")))</x:f>
        <x:v>Needs supplier cost</x:v>
      </x:c>
      <x:c r="AI876" t="str">
        <x:v>2026-09-10 Active Sports trade capture</x:v>
      </x:c>
      <x:c r="AJ876" t="str">
        <x:v>Management-only economics. Stripe stress test uses 1.5% + £0.20 standard UK online-card fee; pallet/mix-and-match pricing ignored.</x:v>
      </x:c>
    </x:row>
    <x:row r="877">
      <x:c r="A877" t="str">
        <x:v>Active Sports Nutrition</x:v>
      </x:c>
      <x:c r="B877" t="str">
        <x:v>Conteh Sports</x:v>
      </x:c>
      <x:c r="C877" t="str">
        <x:v>Essential Gains EAA Formula</x:v>
      </x:c>
      <x:c r="D877" t="str">
        <x:v>Supplements</x:v>
      </x:c>
      <x:c r="E877" t="str">
        <x:v>Amino Acids</x:v>
      </x:c>
      <x:c r="F877" t="str"/>
      <x:c r="G877" t="str">
        <x:v>465g</x:v>
      </x:c>
      <x:c r="H877" t="str">
        <x:v>Cherry &amp; Lime</x:v>
      </x:c>
      <x:c r="I877" t="str"/>
      <x:c r="J877" t="str">
        <x:v>Unit</x:v>
      </x:c>
      <x:c r="K877" t="str">
        <x:v>In stock</x:v>
      </x:c>
      <x:c r="L877" t="str">
        <x:v>2026-09-08</x:v>
      </x:c>
      <x:c r="M877" t="str"/>
      <x:c r="N877" t="str"/>
      <x:c r="O877" t="str">
        <x:v>https://www.activesportstrade.co.uk/conteh-sports-trade</x:v>
      </x:c>
      <x:c r="P877" t="str"/>
      <x:c r="Q877" t="str"/>
      <x:c r="R877" t="str"/>
      <x:c r="S877" t="str">
        <x:v>Pending genuine supplier/brand image</x:v>
      </x:c>
      <x:c r="T877" s="54"/>
      <x:c r="U877" s="47" t="n">
        <x:v>0.2</x:v>
      </x:c>
      <x:c r="V877" s="54" t="str">
        <x:f>IF(ISNUMBER(T877),T877*(1+U877),"")</x:f>
      </x:c>
      <x:c r="W877" s="47" t="n">
        <x:v>0.3</x:v>
      </x:c>
      <x:c r="X877" s="54" t="str">
        <x:f>IF(ISNUMBER(V877),V877/(1-W877),"")</x:f>
      </x:c>
      <x:c r="Y877" s="55" t="str">
        <x:f>IF(ISNUMBER(X877),ROUNDUP(X877,0),"")</x:f>
      </x:c>
      <x:c r="Z877" t="str">
        <x:f>IF(ISNUMBER(T877),"Cost captured","Awaiting trade cost")</x:f>
        <x:v>Awaiting trade cost</x:v>
      </x:c>
      <x:c r="AB877" s="36" t="str">
        <x:f>IF(ISNUMBER(Y877),ROUND(Y877*0.9,2),"")</x:f>
      </x:c>
      <x:c r="AC877" s="36" t="str">
        <x:f>IF(ISNUMBER(AB877),ROUND(AB877-(AB877*0.015+0.2)-V877,2),"")</x:f>
      </x:c>
      <x:c r="AD877" s="36" t="str">
        <x:f>IF(ISNUMBER(Y877),ROUND(Y877*0.8,2),"")</x:f>
      </x:c>
      <x:c r="AE877" s="36" t="str">
        <x:f>IF(ISNUMBER(AD877),ROUND(AD877*0.015+0.2,2),"")</x:f>
      </x:c>
      <x:c r="AF877" s="36" t="str">
        <x:f>IF(ISNUMBER(AD877),ROUND(AD877-AE877-V877,2),"")</x:f>
      </x:c>
      <x:c r="AG877" t="str">
        <x:f>IF(NOT(ISNUMBER(T877)),"PENDING",IF(AF877&gt;0,"PASS","FAIL"))</x:f>
        <x:v>PENDING</x:v>
      </x:c>
      <x:c r="AH877" t="str">
        <x:f>IF(NOT(ISNUMBER(T877)),"Needs supplier cost",IF(K877&lt;&gt;"In stock","Supplier unavailable",IF(AG877&lt;&gt;"PASS","BLOCK - GT loss risk","Commercially protected")))</x:f>
        <x:v>Needs supplier cost</x:v>
      </x:c>
      <x:c r="AI877" t="str">
        <x:v>2026-09-10 Active Sports trade capture</x:v>
      </x:c>
      <x:c r="AJ877" t="str">
        <x:v>Management-only economics. Stripe stress test uses 1.5% + £0.20 standard UK online-card fee; pallet/mix-and-match pricing ignored.</x:v>
      </x:c>
    </x:row>
    <x:row r="878">
      <x:c r="A878" t="str">
        <x:v>Active Sports Nutrition</x:v>
      </x:c>
      <x:c r="B878" t="str">
        <x:v>Conteh Sports</x:v>
      </x:c>
      <x:c r="C878" t="str">
        <x:v>Essential Gains EAA Formula</x:v>
      </x:c>
      <x:c r="D878" t="str">
        <x:v>Supplements</x:v>
      </x:c>
      <x:c r="E878" t="str">
        <x:v>Amino Acids</x:v>
      </x:c>
      <x:c r="F878" t="str"/>
      <x:c r="G878" t="str">
        <x:v>465g</x:v>
      </x:c>
      <x:c r="H878" t="str">
        <x:v>Mango</x:v>
      </x:c>
      <x:c r="I878" t="str"/>
      <x:c r="J878" t="str">
        <x:v>Unit</x:v>
      </x:c>
      <x:c r="K878" t="str">
        <x:v>In stock</x:v>
      </x:c>
      <x:c r="L878" t="str">
        <x:v>2026-09-08</x:v>
      </x:c>
      <x:c r="M878" t="str"/>
      <x:c r="N878" t="str"/>
      <x:c r="O878" t="str">
        <x:v>https://www.activesportstrade.co.uk/conteh-sports-trade</x:v>
      </x:c>
      <x:c r="P878" t="str"/>
      <x:c r="Q878" t="str"/>
      <x:c r="R878" t="str"/>
      <x:c r="S878" t="str">
        <x:v>Pending genuine supplier/brand image</x:v>
      </x:c>
      <x:c r="T878" s="54"/>
      <x:c r="U878" s="47" t="n">
        <x:v>0.2</x:v>
      </x:c>
      <x:c r="V878" s="54" t="str">
        <x:f>IF(ISNUMBER(T878),T878*(1+U878),"")</x:f>
      </x:c>
      <x:c r="W878" s="47" t="n">
        <x:v>0.3</x:v>
      </x:c>
      <x:c r="X878" s="54" t="str">
        <x:f>IF(ISNUMBER(V878),V878/(1-W878),"")</x:f>
      </x:c>
      <x:c r="Y878" s="55" t="str">
        <x:f>IF(ISNUMBER(X878),ROUNDUP(X878,0),"")</x:f>
      </x:c>
      <x:c r="Z878" t="str">
        <x:f>IF(ISNUMBER(T878),"Cost captured","Awaiting trade cost")</x:f>
        <x:v>Awaiting trade cost</x:v>
      </x:c>
      <x:c r="AB878" s="36" t="str">
        <x:f>IF(ISNUMBER(Y878),ROUND(Y878*0.9,2),"")</x:f>
      </x:c>
      <x:c r="AC878" s="36" t="str">
        <x:f>IF(ISNUMBER(AB878),ROUND(AB878-(AB878*0.015+0.2)-V878,2),"")</x:f>
      </x:c>
      <x:c r="AD878" s="36" t="str">
        <x:f>IF(ISNUMBER(Y878),ROUND(Y878*0.8,2),"")</x:f>
      </x:c>
      <x:c r="AE878" s="36" t="str">
        <x:f>IF(ISNUMBER(AD878),ROUND(AD878*0.015+0.2,2),"")</x:f>
      </x:c>
      <x:c r="AF878" s="36" t="str">
        <x:f>IF(ISNUMBER(AD878),ROUND(AD878-AE878-V878,2),"")</x:f>
      </x:c>
      <x:c r="AG878" t="str">
        <x:f>IF(NOT(ISNUMBER(T878)),"PENDING",IF(AF878&gt;0,"PASS","FAIL"))</x:f>
        <x:v>PENDING</x:v>
      </x:c>
      <x:c r="AH878" t="str">
        <x:f>IF(NOT(ISNUMBER(T878)),"Needs supplier cost",IF(K878&lt;&gt;"In stock","Supplier unavailable",IF(AG878&lt;&gt;"PASS","BLOCK - GT loss risk","Commercially protected")))</x:f>
        <x:v>Needs supplier cost</x:v>
      </x:c>
      <x:c r="AI878" t="str">
        <x:v>2026-09-10 Active Sports trade capture</x:v>
      </x:c>
      <x:c r="AJ878" t="str">
        <x:v>Management-only economics. Stripe stress test uses 1.5% + £0.20 standard UK online-card fee; pallet/mix-and-match pricing ignored.</x:v>
      </x:c>
    </x:row>
    <x:row r="879">
      <x:c r="A879" t="str">
        <x:v>Active Sports Nutrition</x:v>
      </x:c>
      <x:c r="B879" t="str">
        <x:v>Conteh Sports</x:v>
      </x:c>
      <x:c r="C879" t="str">
        <x:v>Essential Gains EAA Formula</x:v>
      </x:c>
      <x:c r="D879" t="str">
        <x:v>Supplements</x:v>
      </x:c>
      <x:c r="E879" t="str">
        <x:v>Amino Acids</x:v>
      </x:c>
      <x:c r="F879" t="str"/>
      <x:c r="G879" t="str">
        <x:v>465g</x:v>
      </x:c>
      <x:c r="H879" t="str">
        <x:v>Pineapple</x:v>
      </x:c>
      <x:c r="I879" t="str"/>
      <x:c r="J879" t="str">
        <x:v>Unit</x:v>
      </x:c>
      <x:c r="K879" t="str">
        <x:v>In stock</x:v>
      </x:c>
      <x:c r="L879" t="str">
        <x:v>2026-09-08</x:v>
      </x:c>
      <x:c r="M879" t="str"/>
      <x:c r="N879" t="str"/>
      <x:c r="O879" t="str">
        <x:v>https://www.activesportstrade.co.uk/conteh-sports-trade</x:v>
      </x:c>
      <x:c r="P879" t="str"/>
      <x:c r="Q879" t="str"/>
      <x:c r="R879" t="str"/>
      <x:c r="S879" t="str">
        <x:v>Pending genuine supplier/brand image</x:v>
      </x:c>
      <x:c r="T879" s="54"/>
      <x:c r="U879" s="47" t="n">
        <x:v>0.2</x:v>
      </x:c>
      <x:c r="V879" s="54" t="str">
        <x:f>IF(ISNUMBER(T879),T879*(1+U879),"")</x:f>
      </x:c>
      <x:c r="W879" s="47" t="n">
        <x:v>0.3</x:v>
      </x:c>
      <x:c r="X879" s="54" t="str">
        <x:f>IF(ISNUMBER(V879),V879/(1-W879),"")</x:f>
      </x:c>
      <x:c r="Y879" s="55" t="str">
        <x:f>IF(ISNUMBER(X879),ROUNDUP(X879,0),"")</x:f>
      </x:c>
      <x:c r="Z879" t="str">
        <x:f>IF(ISNUMBER(T879),"Cost captured","Awaiting trade cost")</x:f>
        <x:v>Awaiting trade cost</x:v>
      </x:c>
      <x:c r="AB879" s="36" t="str">
        <x:f>IF(ISNUMBER(Y879),ROUND(Y879*0.9,2),"")</x:f>
      </x:c>
      <x:c r="AC879" s="36" t="str">
        <x:f>IF(ISNUMBER(AB879),ROUND(AB879-(AB879*0.015+0.2)-V879,2),"")</x:f>
      </x:c>
      <x:c r="AD879" s="36" t="str">
        <x:f>IF(ISNUMBER(Y879),ROUND(Y879*0.8,2),"")</x:f>
      </x:c>
      <x:c r="AE879" s="36" t="str">
        <x:f>IF(ISNUMBER(AD879),ROUND(AD879*0.015+0.2,2),"")</x:f>
      </x:c>
      <x:c r="AF879" s="36" t="str">
        <x:f>IF(ISNUMBER(AD879),ROUND(AD879-AE879-V879,2),"")</x:f>
      </x:c>
      <x:c r="AG879" t="str">
        <x:f>IF(NOT(ISNUMBER(T879)),"PENDING",IF(AF879&gt;0,"PASS","FAIL"))</x:f>
        <x:v>PENDING</x:v>
      </x:c>
      <x:c r="AH879" t="str">
        <x:f>IF(NOT(ISNUMBER(T879)),"Needs supplier cost",IF(K879&lt;&gt;"In stock","Supplier unavailable",IF(AG879&lt;&gt;"PASS","BLOCK - GT loss risk","Commercially protected")))</x:f>
        <x:v>Needs supplier cost</x:v>
      </x:c>
      <x:c r="AI879" t="str">
        <x:v>2026-09-10 Active Sports trade capture</x:v>
      </x:c>
      <x:c r="AJ879" t="str">
        <x:v>Management-only economics. Stripe stress test uses 1.5% + £0.20 standard UK online-card fee; pallet/mix-and-match pricing ignored.</x:v>
      </x:c>
    </x:row>
    <x:row r="880">
      <x:c r="A880" t="str">
        <x:v>Active Sports Nutrition</x:v>
      </x:c>
      <x:c r="B880" t="str">
        <x:v>Conteh Sports</x:v>
      </x:c>
      <x:c r="C880" t="str">
        <x:v>Essential Gains EAA Formula</x:v>
      </x:c>
      <x:c r="D880" t="str">
        <x:v>Supplements</x:v>
      </x:c>
      <x:c r="E880" t="str">
        <x:v>Amino Acids</x:v>
      </x:c>
      <x:c r="F880" t="str"/>
      <x:c r="G880" t="str">
        <x:v>465g</x:v>
      </x:c>
      <x:c r="H880" t="str">
        <x:v>Strawberry Lime</x:v>
      </x:c>
      <x:c r="I880" t="str"/>
      <x:c r="J880" t="str">
        <x:v>Unit</x:v>
      </x:c>
      <x:c r="K880" t="str">
        <x:v>In stock</x:v>
      </x:c>
      <x:c r="L880" t="str">
        <x:v>2026-09-08</x:v>
      </x:c>
      <x:c r="M880" t="str"/>
      <x:c r="N880" t="str"/>
      <x:c r="O880" t="str">
        <x:v>https://www.activesportstrade.co.uk/conteh-sports-trade</x:v>
      </x:c>
      <x:c r="P880" t="str"/>
      <x:c r="Q880" t="str"/>
      <x:c r="R880" t="str"/>
      <x:c r="S880" t="str">
        <x:v>Pending genuine supplier/brand image</x:v>
      </x:c>
      <x:c r="T880" s="54"/>
      <x:c r="U880" s="47" t="n">
        <x:v>0.2</x:v>
      </x:c>
      <x:c r="V880" s="54" t="str">
        <x:f>IF(ISNUMBER(T880),T880*(1+U880),"")</x:f>
      </x:c>
      <x:c r="W880" s="47" t="n">
        <x:v>0.3</x:v>
      </x:c>
      <x:c r="X880" s="54" t="str">
        <x:f>IF(ISNUMBER(V880),V880/(1-W880),"")</x:f>
      </x:c>
      <x:c r="Y880" s="55" t="str">
        <x:f>IF(ISNUMBER(X880),ROUNDUP(X880,0),"")</x:f>
      </x:c>
      <x:c r="Z880" t="str">
        <x:f>IF(ISNUMBER(T880),"Cost captured","Awaiting trade cost")</x:f>
        <x:v>Awaiting trade cost</x:v>
      </x:c>
      <x:c r="AB880" s="36" t="str">
        <x:f>IF(ISNUMBER(Y880),ROUND(Y880*0.9,2),"")</x:f>
      </x:c>
      <x:c r="AC880" s="36" t="str">
        <x:f>IF(ISNUMBER(AB880),ROUND(AB880-(AB880*0.015+0.2)-V880,2),"")</x:f>
      </x:c>
      <x:c r="AD880" s="36" t="str">
        <x:f>IF(ISNUMBER(Y880),ROUND(Y880*0.8,2),"")</x:f>
      </x:c>
      <x:c r="AE880" s="36" t="str">
        <x:f>IF(ISNUMBER(AD880),ROUND(AD880*0.015+0.2,2),"")</x:f>
      </x:c>
      <x:c r="AF880" s="36" t="str">
        <x:f>IF(ISNUMBER(AD880),ROUND(AD880-AE880-V880,2),"")</x:f>
      </x:c>
      <x:c r="AG880" t="str">
        <x:f>IF(NOT(ISNUMBER(T880)),"PENDING",IF(AF880&gt;0,"PASS","FAIL"))</x:f>
        <x:v>PENDING</x:v>
      </x:c>
      <x:c r="AH880" t="str">
        <x:f>IF(NOT(ISNUMBER(T880)),"Needs supplier cost",IF(K880&lt;&gt;"In stock","Supplier unavailable",IF(AG880&lt;&gt;"PASS","BLOCK - GT loss risk","Commercially protected")))</x:f>
        <x:v>Needs supplier cost</x:v>
      </x:c>
      <x:c r="AI880" t="str">
        <x:v>2026-09-10 Active Sports trade capture</x:v>
      </x:c>
      <x:c r="AJ880" t="str">
        <x:v>Management-only economics. Stripe stress test uses 1.5% + £0.20 standard UK online-card fee; pallet/mix-and-match pricing ignored.</x:v>
      </x:c>
    </x:row>
    <x:row r="881">
      <x:c r="A881" t="str">
        <x:v>Active Sports Nutrition</x:v>
      </x:c>
      <x:c r="B881" t="str">
        <x:v>Conteh Sports</x:v>
      </x:c>
      <x:c r="C881" t="str">
        <x:v>Essential Gains EAA Formula</x:v>
      </x:c>
      <x:c r="D881" t="str">
        <x:v>Supplements</x:v>
      </x:c>
      <x:c r="E881" t="str">
        <x:v>Amino Acids</x:v>
      </x:c>
      <x:c r="F881" t="str"/>
      <x:c r="G881" t="str">
        <x:v>465g</x:v>
      </x:c>
      <x:c r="H881" t="str">
        <x:v>Strawberry Twist</x:v>
      </x:c>
      <x:c r="I881" t="str"/>
      <x:c r="J881" t="str">
        <x:v>Unit</x:v>
      </x:c>
      <x:c r="K881" t="str">
        <x:v>In stock</x:v>
      </x:c>
      <x:c r="L881" t="str">
        <x:v>2026-09-08</x:v>
      </x:c>
      <x:c r="M881" t="str"/>
      <x:c r="N881" t="str"/>
      <x:c r="O881" t="str">
        <x:v>https://www.activesportstrade.co.uk/conteh-sports-trade</x:v>
      </x:c>
      <x:c r="P881" t="str"/>
      <x:c r="Q881" t="str"/>
      <x:c r="R881" t="str"/>
      <x:c r="S881" t="str">
        <x:v>Pending genuine supplier/brand image</x:v>
      </x:c>
      <x:c r="T881" s="54"/>
      <x:c r="U881" s="47" t="n">
        <x:v>0.2</x:v>
      </x:c>
      <x:c r="V881" s="54" t="str">
        <x:f>IF(ISNUMBER(T881),T881*(1+U881),"")</x:f>
      </x:c>
      <x:c r="W881" s="47" t="n">
        <x:v>0.3</x:v>
      </x:c>
      <x:c r="X881" s="54" t="str">
        <x:f>IF(ISNUMBER(V881),V881/(1-W881),"")</x:f>
      </x:c>
      <x:c r="Y881" s="55" t="str">
        <x:f>IF(ISNUMBER(X881),ROUNDUP(X881,0),"")</x:f>
      </x:c>
      <x:c r="Z881" t="str">
        <x:f>IF(ISNUMBER(T881),"Cost captured","Awaiting trade cost")</x:f>
        <x:v>Awaiting trade cost</x:v>
      </x:c>
      <x:c r="AB881" s="36" t="str">
        <x:f>IF(ISNUMBER(Y881),ROUND(Y881*0.9,2),"")</x:f>
      </x:c>
      <x:c r="AC881" s="36" t="str">
        <x:f>IF(ISNUMBER(AB881),ROUND(AB881-(AB881*0.015+0.2)-V881,2),"")</x:f>
      </x:c>
      <x:c r="AD881" s="36" t="str">
        <x:f>IF(ISNUMBER(Y881),ROUND(Y881*0.8,2),"")</x:f>
      </x:c>
      <x:c r="AE881" s="36" t="str">
        <x:f>IF(ISNUMBER(AD881),ROUND(AD881*0.015+0.2,2),"")</x:f>
      </x:c>
      <x:c r="AF881" s="36" t="str">
        <x:f>IF(ISNUMBER(AD881),ROUND(AD881-AE881-V881,2),"")</x:f>
      </x:c>
      <x:c r="AG881" t="str">
        <x:f>IF(NOT(ISNUMBER(T881)),"PENDING",IF(AF881&gt;0,"PASS","FAIL"))</x:f>
        <x:v>PENDING</x:v>
      </x:c>
      <x:c r="AH881" t="str">
        <x:f>IF(NOT(ISNUMBER(T881)),"Needs supplier cost",IF(K881&lt;&gt;"In stock","Supplier unavailable",IF(AG881&lt;&gt;"PASS","BLOCK - GT loss risk","Commercially protected")))</x:f>
        <x:v>Needs supplier cost</x:v>
      </x:c>
      <x:c r="AI881" t="str">
        <x:v>2026-09-10 Active Sports trade capture</x:v>
      </x:c>
      <x:c r="AJ881" t="str">
        <x:v>Management-only economics. Stripe stress test uses 1.5% + £0.20 standard UK online-card fee; pallet/mix-and-match pricing ignored.</x:v>
      </x:c>
    </x:row>
    <x:row r="882">
      <x:c r="A882" t="str">
        <x:v>Active Sports Nutrition</x:v>
      </x:c>
      <x:c r="B882" t="str">
        <x:v>Conteh Sports</x:v>
      </x:c>
      <x:c r="C882" t="str">
        <x:v>Hydra Flow</x:v>
      </x:c>
      <x:c r="D882" t="str">
        <x:v>Supplements</x:v>
      </x:c>
      <x:c r="E882" t="str">
        <x:v>Hydration</x:v>
      </x:c>
      <x:c r="F882" t="str"/>
      <x:c r="G882" t="str">
        <x:v>300g</x:v>
      </x:c>
      <x:c r="H882" t="str">
        <x:v>Apple &amp; Blackcurrant</x:v>
      </x:c>
      <x:c r="I882" t="str"/>
      <x:c r="J882" t="str">
        <x:v>Unit</x:v>
      </x:c>
      <x:c r="K882" t="str">
        <x:v>In stock</x:v>
      </x:c>
      <x:c r="L882" t="str">
        <x:v>2026-09-08</x:v>
      </x:c>
      <x:c r="M882" t="str"/>
      <x:c r="N882" t="str"/>
      <x:c r="O882" t="str">
        <x:v>https://www.activesportstrade.co.uk/conteh-sports-trade</x:v>
      </x:c>
      <x:c r="P882" t="str">
        <x:v>Current brand page used; another current hydration/intra page disagrees on Cherry stock. Source/check date retained.</x:v>
      </x:c>
      <x:c r="Q882" t="str"/>
      <x:c r="R882" t="str"/>
      <x:c r="S882" t="str">
        <x:v>Pending genuine supplier/brand image</x:v>
      </x:c>
      <x:c r="T882" s="54"/>
      <x:c r="U882" s="47" t="n">
        <x:v>0.2</x:v>
      </x:c>
      <x:c r="V882" s="54" t="str">
        <x:f>IF(ISNUMBER(T882),T882*(1+U882),"")</x:f>
      </x:c>
      <x:c r="W882" s="47" t="n">
        <x:v>0.3</x:v>
      </x:c>
      <x:c r="X882" s="54" t="str">
        <x:f>IF(ISNUMBER(V882),V882/(1-W882),"")</x:f>
      </x:c>
      <x:c r="Y882" s="55" t="str">
        <x:f>IF(ISNUMBER(X882),ROUNDUP(X882,0),"")</x:f>
      </x:c>
      <x:c r="Z882" t="str">
        <x:f>IF(ISNUMBER(T882),"Cost captured","Awaiting trade cost")</x:f>
        <x:v>Awaiting trade cost</x:v>
      </x:c>
      <x:c r="AB882" s="36" t="str">
        <x:f>IF(ISNUMBER(Y882),ROUND(Y882*0.9,2),"")</x:f>
      </x:c>
      <x:c r="AC882" s="36" t="str">
        <x:f>IF(ISNUMBER(AB882),ROUND(AB882-(AB882*0.015+0.2)-V882,2),"")</x:f>
      </x:c>
      <x:c r="AD882" s="36" t="str">
        <x:f>IF(ISNUMBER(Y882),ROUND(Y882*0.8,2),"")</x:f>
      </x:c>
      <x:c r="AE882" s="36" t="str">
        <x:f>IF(ISNUMBER(AD882),ROUND(AD882*0.015+0.2,2),"")</x:f>
      </x:c>
      <x:c r="AF882" s="36" t="str">
        <x:f>IF(ISNUMBER(AD882),ROUND(AD882-AE882-V882,2),"")</x:f>
      </x:c>
      <x:c r="AG882" t="str">
        <x:f>IF(NOT(ISNUMBER(T882)),"PENDING",IF(AF882&gt;0,"PASS","FAIL"))</x:f>
        <x:v>PENDING</x:v>
      </x:c>
      <x:c r="AH882" t="str">
        <x:f>IF(NOT(ISNUMBER(T882)),"Needs supplier cost",IF(K882&lt;&gt;"In stock","Supplier unavailable",IF(AG882&lt;&gt;"PASS","BLOCK - GT loss risk","Commercially protected")))</x:f>
        <x:v>Needs supplier cost</x:v>
      </x:c>
      <x:c r="AI882" t="str">
        <x:v>2026-09-10 Active Sports trade capture</x:v>
      </x:c>
      <x:c r="AJ882" t="str">
        <x:v>Management-only economics. Stripe stress test uses 1.5% + £0.20 standard UK online-card fee; pallet/mix-and-match pricing ignored.</x:v>
      </x:c>
    </x:row>
    <x:row r="883">
      <x:c r="A883" t="str">
        <x:v>Active Sports Nutrition</x:v>
      </x:c>
      <x:c r="B883" t="str">
        <x:v>Conteh Sports</x:v>
      </x:c>
      <x:c r="C883" t="str">
        <x:v>Hydra Flow</x:v>
      </x:c>
      <x:c r="D883" t="str">
        <x:v>Supplements</x:v>
      </x:c>
      <x:c r="E883" t="str">
        <x:v>Hydration</x:v>
      </x:c>
      <x:c r="F883" t="str"/>
      <x:c r="G883" t="str">
        <x:v>300g</x:v>
      </x:c>
      <x:c r="H883" t="str">
        <x:v>Berry</x:v>
      </x:c>
      <x:c r="I883" t="str"/>
      <x:c r="J883" t="str">
        <x:v>Unit</x:v>
      </x:c>
      <x:c r="K883" t="str">
        <x:v>In stock</x:v>
      </x:c>
      <x:c r="L883" t="str">
        <x:v>2026-09-08</x:v>
      </x:c>
      <x:c r="M883" t="str"/>
      <x:c r="N883" t="str"/>
      <x:c r="O883" t="str">
        <x:v>https://www.activesportstrade.co.uk/conteh-sports-trade</x:v>
      </x:c>
      <x:c r="P883" t="str">
        <x:v>Current brand page used; another current hydration/intra page disagrees on Cherry stock. Source/check date retained.</x:v>
      </x:c>
      <x:c r="Q883" t="str"/>
      <x:c r="R883" t="str"/>
      <x:c r="S883" t="str">
        <x:v>Pending genuine supplier/brand image</x:v>
      </x:c>
      <x:c r="T883" s="54"/>
      <x:c r="U883" s="47" t="n">
        <x:v>0.2</x:v>
      </x:c>
      <x:c r="V883" s="54" t="str">
        <x:f>IF(ISNUMBER(T883),T883*(1+U883),"")</x:f>
      </x:c>
      <x:c r="W883" s="47" t="n">
        <x:v>0.3</x:v>
      </x:c>
      <x:c r="X883" s="54" t="str">
        <x:f>IF(ISNUMBER(V883),V883/(1-W883),"")</x:f>
      </x:c>
      <x:c r="Y883" s="55" t="str">
        <x:f>IF(ISNUMBER(X883),ROUNDUP(X883,0),"")</x:f>
      </x:c>
      <x:c r="Z883" t="str">
        <x:f>IF(ISNUMBER(T883),"Cost captured","Awaiting trade cost")</x:f>
        <x:v>Awaiting trade cost</x:v>
      </x:c>
      <x:c r="AB883" s="36" t="str">
        <x:f>IF(ISNUMBER(Y883),ROUND(Y883*0.9,2),"")</x:f>
      </x:c>
      <x:c r="AC883" s="36" t="str">
        <x:f>IF(ISNUMBER(AB883),ROUND(AB883-(AB883*0.015+0.2)-V883,2),"")</x:f>
      </x:c>
      <x:c r="AD883" s="36" t="str">
        <x:f>IF(ISNUMBER(Y883),ROUND(Y883*0.8,2),"")</x:f>
      </x:c>
      <x:c r="AE883" s="36" t="str">
        <x:f>IF(ISNUMBER(AD883),ROUND(AD883*0.015+0.2,2),"")</x:f>
      </x:c>
      <x:c r="AF883" s="36" t="str">
        <x:f>IF(ISNUMBER(AD883),ROUND(AD883-AE883-V883,2),"")</x:f>
      </x:c>
      <x:c r="AG883" t="str">
        <x:f>IF(NOT(ISNUMBER(T883)),"PENDING",IF(AF883&gt;0,"PASS","FAIL"))</x:f>
        <x:v>PENDING</x:v>
      </x:c>
      <x:c r="AH883" t="str">
        <x:f>IF(NOT(ISNUMBER(T883)),"Needs supplier cost",IF(K883&lt;&gt;"In stock","Supplier unavailable",IF(AG883&lt;&gt;"PASS","BLOCK - GT loss risk","Commercially protected")))</x:f>
        <x:v>Needs supplier cost</x:v>
      </x:c>
      <x:c r="AI883" t="str">
        <x:v>2026-09-10 Active Sports trade capture</x:v>
      </x:c>
      <x:c r="AJ883" t="str">
        <x:v>Management-only economics. Stripe stress test uses 1.5% + £0.20 standard UK online-card fee; pallet/mix-and-match pricing ignored.</x:v>
      </x:c>
    </x:row>
    <x:row r="884">
      <x:c r="A884" t="str">
        <x:v>Active Sports Nutrition</x:v>
      </x:c>
      <x:c r="B884" t="str">
        <x:v>Conteh Sports</x:v>
      </x:c>
      <x:c r="C884" t="str">
        <x:v>Hydra Flow</x:v>
      </x:c>
      <x:c r="D884" t="str">
        <x:v>Supplements</x:v>
      </x:c>
      <x:c r="E884" t="str">
        <x:v>Hydration</x:v>
      </x:c>
      <x:c r="F884" t="str"/>
      <x:c r="G884" t="str">
        <x:v>300g</x:v>
      </x:c>
      <x:c r="H884" t="str">
        <x:v>Blue Bon Bons</x:v>
      </x:c>
      <x:c r="I884" t="str"/>
      <x:c r="J884" t="str">
        <x:v>Unit</x:v>
      </x:c>
      <x:c r="K884" t="str">
        <x:v>In stock</x:v>
      </x:c>
      <x:c r="L884" t="str">
        <x:v>2026-09-08</x:v>
      </x:c>
      <x:c r="M884" t="str"/>
      <x:c r="N884" t="str"/>
      <x:c r="O884" t="str">
        <x:v>https://www.activesportstrade.co.uk/conteh-sports-trade</x:v>
      </x:c>
      <x:c r="P884" t="str">
        <x:v>Current brand page used; another current hydration/intra page disagrees on Cherry stock. Source/check date retained.</x:v>
      </x:c>
      <x:c r="Q884" t="str"/>
      <x:c r="R884" t="str"/>
      <x:c r="S884" t="str">
        <x:v>Pending genuine supplier/brand image</x:v>
      </x:c>
      <x:c r="T884" s="54"/>
      <x:c r="U884" s="47" t="n">
        <x:v>0.2</x:v>
      </x:c>
      <x:c r="V884" s="54" t="str">
        <x:f>IF(ISNUMBER(T884),T884*(1+U884),"")</x:f>
      </x:c>
      <x:c r="W884" s="47" t="n">
        <x:v>0.3</x:v>
      </x:c>
      <x:c r="X884" s="54" t="str">
        <x:f>IF(ISNUMBER(V884),V884/(1-W884),"")</x:f>
      </x:c>
      <x:c r="Y884" s="55" t="str">
        <x:f>IF(ISNUMBER(X884),ROUNDUP(X884,0),"")</x:f>
      </x:c>
      <x:c r="Z884" t="str">
        <x:f>IF(ISNUMBER(T884),"Cost captured","Awaiting trade cost")</x:f>
        <x:v>Awaiting trade cost</x:v>
      </x:c>
      <x:c r="AB884" s="36" t="str">
        <x:f>IF(ISNUMBER(Y884),ROUND(Y884*0.9,2),"")</x:f>
      </x:c>
      <x:c r="AC884" s="36" t="str">
        <x:f>IF(ISNUMBER(AB884),ROUND(AB884-(AB884*0.015+0.2)-V884,2),"")</x:f>
      </x:c>
      <x:c r="AD884" s="36" t="str">
        <x:f>IF(ISNUMBER(Y884),ROUND(Y884*0.8,2),"")</x:f>
      </x:c>
      <x:c r="AE884" s="36" t="str">
        <x:f>IF(ISNUMBER(AD884),ROUND(AD884*0.015+0.2,2),"")</x:f>
      </x:c>
      <x:c r="AF884" s="36" t="str">
        <x:f>IF(ISNUMBER(AD884),ROUND(AD884-AE884-V884,2),"")</x:f>
      </x:c>
      <x:c r="AG884" t="str">
        <x:f>IF(NOT(ISNUMBER(T884)),"PENDING",IF(AF884&gt;0,"PASS","FAIL"))</x:f>
        <x:v>PENDING</x:v>
      </x:c>
      <x:c r="AH884" t="str">
        <x:f>IF(NOT(ISNUMBER(T884)),"Needs supplier cost",IF(K884&lt;&gt;"In stock","Supplier unavailable",IF(AG884&lt;&gt;"PASS","BLOCK - GT loss risk","Commercially protected")))</x:f>
        <x:v>Needs supplier cost</x:v>
      </x:c>
      <x:c r="AI884" t="str">
        <x:v>2026-09-10 Active Sports trade capture</x:v>
      </x:c>
      <x:c r="AJ884" t="str">
        <x:v>Management-only economics. Stripe stress test uses 1.5% + £0.20 standard UK online-card fee; pallet/mix-and-match pricing ignored.</x:v>
      </x:c>
    </x:row>
    <x:row r="885">
      <x:c r="A885" t="str">
        <x:v>Active Sports Nutrition</x:v>
      </x:c>
      <x:c r="B885" t="str">
        <x:v>Conteh Sports</x:v>
      </x:c>
      <x:c r="C885" t="str">
        <x:v>Hydra Flow</x:v>
      </x:c>
      <x:c r="D885" t="str">
        <x:v>Supplements</x:v>
      </x:c>
      <x:c r="E885" t="str">
        <x:v>Hydration</x:v>
      </x:c>
      <x:c r="F885" t="str"/>
      <x:c r="G885" t="str">
        <x:v>300g</x:v>
      </x:c>
      <x:c r="H885" t="str">
        <x:v>Cherry</x:v>
      </x:c>
      <x:c r="I885" t="str"/>
      <x:c r="J885" t="str">
        <x:v>Unit</x:v>
      </x:c>
      <x:c r="K885" t="str">
        <x:v>Out of stock</x:v>
      </x:c>
      <x:c r="L885" t="str">
        <x:v>2026-09-08</x:v>
      </x:c>
      <x:c r="M885" t="str"/>
      <x:c r="N885" t="str"/>
      <x:c r="O885" t="str">
        <x:v>https://www.activesportstrade.co.uk/conteh-sports-trade</x:v>
      </x:c>
      <x:c r="P885" t="str">
        <x:v>Current brand page used; another current hydration/intra page disagrees on Cherry stock. Source/check date retained.</x:v>
      </x:c>
      <x:c r="Q885" t="str"/>
      <x:c r="R885" t="str"/>
      <x:c r="S885" t="str">
        <x:v>Pending genuine supplier/brand image</x:v>
      </x:c>
      <x:c r="T885" s="54"/>
      <x:c r="U885" s="47" t="n">
        <x:v>0.2</x:v>
      </x:c>
      <x:c r="V885" s="54" t="str">
        <x:f>IF(ISNUMBER(T885),T885*(1+U885),"")</x:f>
      </x:c>
      <x:c r="W885" s="47" t="n">
        <x:v>0.3</x:v>
      </x:c>
      <x:c r="X885" s="54" t="str">
        <x:f>IF(ISNUMBER(V885),V885/(1-W885),"")</x:f>
      </x:c>
      <x:c r="Y885" s="55" t="str">
        <x:f>IF(ISNUMBER(X885),ROUNDUP(X885,0),"")</x:f>
      </x:c>
      <x:c r="Z885" t="str">
        <x:f>IF(ISNUMBER(T885),"Cost captured","Awaiting trade cost")</x:f>
        <x:v>Awaiting trade cost</x:v>
      </x:c>
      <x:c r="AB885" s="36" t="str">
        <x:f>IF(ISNUMBER(Y885),ROUND(Y885*0.9,2),"")</x:f>
      </x:c>
      <x:c r="AC885" s="36" t="str">
        <x:f>IF(ISNUMBER(AB885),ROUND(AB885-(AB885*0.015+0.2)-V885,2),"")</x:f>
      </x:c>
      <x:c r="AD885" s="36" t="str">
        <x:f>IF(ISNUMBER(Y885),ROUND(Y885*0.8,2),"")</x:f>
      </x:c>
      <x:c r="AE885" s="36" t="str">
        <x:f>IF(ISNUMBER(AD885),ROUND(AD885*0.015+0.2,2),"")</x:f>
      </x:c>
      <x:c r="AF885" s="36" t="str">
        <x:f>IF(ISNUMBER(AD885),ROUND(AD885-AE885-V885,2),"")</x:f>
      </x:c>
      <x:c r="AG885" t="str">
        <x:f>IF(NOT(ISNUMBER(T885)),"PENDING",IF(AF885&gt;0,"PASS","FAIL"))</x:f>
        <x:v>PENDING</x:v>
      </x:c>
      <x:c r="AH885" t="str">
        <x:f>IF(NOT(ISNUMBER(T885)),"Needs supplier cost",IF(K885&lt;&gt;"In stock","Supplier unavailable",IF(AG885&lt;&gt;"PASS","BLOCK - GT loss risk","Commercially protected")))</x:f>
        <x:v>Needs supplier cost</x:v>
      </x:c>
      <x:c r="AI885" t="str">
        <x:v>2026-09-10 Active Sports trade capture</x:v>
      </x:c>
      <x:c r="AJ885" t="str">
        <x:v>Management-only economics. Stripe stress test uses 1.5% + £0.20 standard UK online-card fee; pallet/mix-and-match pricing ignored.</x:v>
      </x:c>
    </x:row>
    <x:row r="886">
      <x:c r="A886" t="str">
        <x:v>Active Sports Nutrition</x:v>
      </x:c>
      <x:c r="B886" t="str">
        <x:v>Conteh Sports</x:v>
      </x:c>
      <x:c r="C886" t="str">
        <x:v>Hydra Flow</x:v>
      </x:c>
      <x:c r="D886" t="str">
        <x:v>Supplements</x:v>
      </x:c>
      <x:c r="E886" t="str">
        <x:v>Hydration</x:v>
      </x:c>
      <x:c r="F886" t="str"/>
      <x:c r="G886" t="str">
        <x:v>300g</x:v>
      </x:c>
      <x:c r="H886" t="str">
        <x:v>Citrus Burst</x:v>
      </x:c>
      <x:c r="I886" t="str"/>
      <x:c r="J886" t="str">
        <x:v>Unit</x:v>
      </x:c>
      <x:c r="K886" t="str">
        <x:v>In stock</x:v>
      </x:c>
      <x:c r="L886" t="str">
        <x:v>2026-09-08</x:v>
      </x:c>
      <x:c r="M886" t="str"/>
      <x:c r="N886" t="str"/>
      <x:c r="O886" t="str">
        <x:v>https://www.activesportstrade.co.uk/conteh-sports-trade</x:v>
      </x:c>
      <x:c r="P886" t="str">
        <x:v>Current brand page used; another current hydration/intra page disagrees on Cherry stock. Source/check date retained.</x:v>
      </x:c>
      <x:c r="Q886" t="str"/>
      <x:c r="R886" t="str"/>
      <x:c r="S886" t="str">
        <x:v>Pending genuine supplier/brand image</x:v>
      </x:c>
      <x:c r="T886" s="54"/>
      <x:c r="U886" s="47" t="n">
        <x:v>0.2</x:v>
      </x:c>
      <x:c r="V886" s="54" t="str">
        <x:f>IF(ISNUMBER(T886),T886*(1+U886),"")</x:f>
      </x:c>
      <x:c r="W886" s="47" t="n">
        <x:v>0.3</x:v>
      </x:c>
      <x:c r="X886" s="54" t="str">
        <x:f>IF(ISNUMBER(V886),V886/(1-W886),"")</x:f>
      </x:c>
      <x:c r="Y886" s="55" t="str">
        <x:f>IF(ISNUMBER(X886),ROUNDUP(X886,0),"")</x:f>
      </x:c>
      <x:c r="Z886" t="str">
        <x:f>IF(ISNUMBER(T886),"Cost captured","Awaiting trade cost")</x:f>
        <x:v>Awaiting trade cost</x:v>
      </x:c>
      <x:c r="AB886" s="36" t="str">
        <x:f>IF(ISNUMBER(Y886),ROUND(Y886*0.9,2),"")</x:f>
      </x:c>
      <x:c r="AC886" s="36" t="str">
        <x:f>IF(ISNUMBER(AB886),ROUND(AB886-(AB886*0.015+0.2)-V886,2),"")</x:f>
      </x:c>
      <x:c r="AD886" s="36" t="str">
        <x:f>IF(ISNUMBER(Y886),ROUND(Y886*0.8,2),"")</x:f>
      </x:c>
      <x:c r="AE886" s="36" t="str">
        <x:f>IF(ISNUMBER(AD886),ROUND(AD886*0.015+0.2,2),"")</x:f>
      </x:c>
      <x:c r="AF886" s="36" t="str">
        <x:f>IF(ISNUMBER(AD886),ROUND(AD886-AE886-V886,2),"")</x:f>
      </x:c>
      <x:c r="AG886" t="str">
        <x:f>IF(NOT(ISNUMBER(T886)),"PENDING",IF(AF886&gt;0,"PASS","FAIL"))</x:f>
        <x:v>PENDING</x:v>
      </x:c>
      <x:c r="AH886" t="str">
        <x:f>IF(NOT(ISNUMBER(T886)),"Needs supplier cost",IF(K886&lt;&gt;"In stock","Supplier unavailable",IF(AG886&lt;&gt;"PASS","BLOCK - GT loss risk","Commercially protected")))</x:f>
        <x:v>Needs supplier cost</x:v>
      </x:c>
      <x:c r="AI886" t="str">
        <x:v>2026-09-10 Active Sports trade capture</x:v>
      </x:c>
      <x:c r="AJ886" t="str">
        <x:v>Management-only economics. Stripe stress test uses 1.5% + £0.20 standard UK online-card fee; pallet/mix-and-match pricing ignored.</x:v>
      </x:c>
    </x:row>
    <x:row r="887">
      <x:c r="A887" t="str">
        <x:v>Active Sports Nutrition</x:v>
      </x:c>
      <x:c r="B887" t="str">
        <x:v>Conteh Sports</x:v>
      </x:c>
      <x:c r="C887" t="str">
        <x:v>Hydra Flow</x:v>
      </x:c>
      <x:c r="D887" t="str">
        <x:v>Supplements</x:v>
      </x:c>
      <x:c r="E887" t="str">
        <x:v>Hydration</x:v>
      </x:c>
      <x:c r="F887" t="str"/>
      <x:c r="G887" t="str">
        <x:v>300g</x:v>
      </x:c>
      <x:c r="H887" t="str">
        <x:v>Cola Bottles</x:v>
      </x:c>
      <x:c r="I887" t="str"/>
      <x:c r="J887" t="str">
        <x:v>Unit</x:v>
      </x:c>
      <x:c r="K887" t="str">
        <x:v>In stock</x:v>
      </x:c>
      <x:c r="L887" t="str">
        <x:v>2026-09-08</x:v>
      </x:c>
      <x:c r="M887" t="str"/>
      <x:c r="N887" t="str"/>
      <x:c r="O887" t="str">
        <x:v>https://www.activesportstrade.co.uk/conteh-sports-trade</x:v>
      </x:c>
      <x:c r="P887" t="str">
        <x:v>Current brand page used; another current hydration/intra page disagrees on Cherry stock. Source/check date retained.</x:v>
      </x:c>
      <x:c r="Q887" t="str"/>
      <x:c r="R887" t="str"/>
      <x:c r="S887" t="str">
        <x:v>Pending genuine supplier/brand image</x:v>
      </x:c>
      <x:c r="T887" s="54"/>
      <x:c r="U887" s="47" t="n">
        <x:v>0.2</x:v>
      </x:c>
      <x:c r="V887" s="54" t="str">
        <x:f>IF(ISNUMBER(T887),T887*(1+U887),"")</x:f>
      </x:c>
      <x:c r="W887" s="47" t="n">
        <x:v>0.3</x:v>
      </x:c>
      <x:c r="X887" s="54" t="str">
        <x:f>IF(ISNUMBER(V887),V887/(1-W887),"")</x:f>
      </x:c>
      <x:c r="Y887" s="55" t="str">
        <x:f>IF(ISNUMBER(X887),ROUNDUP(X887,0),"")</x:f>
      </x:c>
      <x:c r="Z887" t="str">
        <x:f>IF(ISNUMBER(T887),"Cost captured","Awaiting trade cost")</x:f>
        <x:v>Awaiting trade cost</x:v>
      </x:c>
      <x:c r="AB887" s="36" t="str">
        <x:f>IF(ISNUMBER(Y887),ROUND(Y887*0.9,2),"")</x:f>
      </x:c>
      <x:c r="AC887" s="36" t="str">
        <x:f>IF(ISNUMBER(AB887),ROUND(AB887-(AB887*0.015+0.2)-V887,2),"")</x:f>
      </x:c>
      <x:c r="AD887" s="36" t="str">
        <x:f>IF(ISNUMBER(Y887),ROUND(Y887*0.8,2),"")</x:f>
      </x:c>
      <x:c r="AE887" s="36" t="str">
        <x:f>IF(ISNUMBER(AD887),ROUND(AD887*0.015+0.2,2),"")</x:f>
      </x:c>
      <x:c r="AF887" s="36" t="str">
        <x:f>IF(ISNUMBER(AD887),ROUND(AD887-AE887-V887,2),"")</x:f>
      </x:c>
      <x:c r="AG887" t="str">
        <x:f>IF(NOT(ISNUMBER(T887)),"PENDING",IF(AF887&gt;0,"PASS","FAIL"))</x:f>
        <x:v>PENDING</x:v>
      </x:c>
      <x:c r="AH887" t="str">
        <x:f>IF(NOT(ISNUMBER(T887)),"Needs supplier cost",IF(K887&lt;&gt;"In stock","Supplier unavailable",IF(AG887&lt;&gt;"PASS","BLOCK - GT loss risk","Commercially protected")))</x:f>
        <x:v>Needs supplier cost</x:v>
      </x:c>
      <x:c r="AI887" t="str">
        <x:v>2026-09-10 Active Sports trade capture</x:v>
      </x:c>
      <x:c r="AJ887" t="str">
        <x:v>Management-only economics. Stripe stress test uses 1.5% + £0.20 standard UK online-card fee; pallet/mix-and-match pricing ignored.</x:v>
      </x:c>
    </x:row>
    <x:row r="888">
      <x:c r="A888" t="str">
        <x:v>Active Sports Nutrition</x:v>
      </x:c>
      <x:c r="B888" t="str">
        <x:v>Conteh Sports</x:v>
      </x:c>
      <x:c r="C888" t="str">
        <x:v>Hydra Flow</x:v>
      </x:c>
      <x:c r="D888" t="str">
        <x:v>Supplements</x:v>
      </x:c>
      <x:c r="E888" t="str">
        <x:v>Hydration</x:v>
      </x:c>
      <x:c r="F888" t="str"/>
      <x:c r="G888" t="str">
        <x:v>300g</x:v>
      </x:c>
      <x:c r="H888" t="str">
        <x:v>Grape Soda</x:v>
      </x:c>
      <x:c r="I888" t="str"/>
      <x:c r="J888" t="str">
        <x:v>Unit</x:v>
      </x:c>
      <x:c r="K888" t="str">
        <x:v>In stock</x:v>
      </x:c>
      <x:c r="L888" t="str">
        <x:v>2026-09-08</x:v>
      </x:c>
      <x:c r="M888" t="str"/>
      <x:c r="N888" t="str"/>
      <x:c r="O888" t="str">
        <x:v>https://www.activesportstrade.co.uk/conteh-sports-trade</x:v>
      </x:c>
      <x:c r="P888" t="str">
        <x:v>Current brand page used; another current hydration/intra page disagrees on Cherry stock. Source/check date retained.</x:v>
      </x:c>
      <x:c r="Q888" t="str"/>
      <x:c r="R888" t="str"/>
      <x:c r="S888" t="str">
        <x:v>Pending genuine supplier/brand image</x:v>
      </x:c>
      <x:c r="T888" s="54"/>
      <x:c r="U888" s="47" t="n">
        <x:v>0.2</x:v>
      </x:c>
      <x:c r="V888" s="54" t="str">
        <x:f>IF(ISNUMBER(T888),T888*(1+U888),"")</x:f>
      </x:c>
      <x:c r="W888" s="47" t="n">
        <x:v>0.3</x:v>
      </x:c>
      <x:c r="X888" s="54" t="str">
        <x:f>IF(ISNUMBER(V888),V888/(1-W888),"")</x:f>
      </x:c>
      <x:c r="Y888" s="55" t="str">
        <x:f>IF(ISNUMBER(X888),ROUNDUP(X888,0),"")</x:f>
      </x:c>
      <x:c r="Z888" t="str">
        <x:f>IF(ISNUMBER(T888),"Cost captured","Awaiting trade cost")</x:f>
        <x:v>Awaiting trade cost</x:v>
      </x:c>
      <x:c r="AB888" s="36" t="str">
        <x:f>IF(ISNUMBER(Y888),ROUND(Y888*0.9,2),"")</x:f>
      </x:c>
      <x:c r="AC888" s="36" t="str">
        <x:f>IF(ISNUMBER(AB888),ROUND(AB888-(AB888*0.015+0.2)-V888,2),"")</x:f>
      </x:c>
      <x:c r="AD888" s="36" t="str">
        <x:f>IF(ISNUMBER(Y888),ROUND(Y888*0.8,2),"")</x:f>
      </x:c>
      <x:c r="AE888" s="36" t="str">
        <x:f>IF(ISNUMBER(AD888),ROUND(AD888*0.015+0.2,2),"")</x:f>
      </x:c>
      <x:c r="AF888" s="36" t="str">
        <x:f>IF(ISNUMBER(AD888),ROUND(AD888-AE888-V888,2),"")</x:f>
      </x:c>
      <x:c r="AG888" t="str">
        <x:f>IF(NOT(ISNUMBER(T888)),"PENDING",IF(AF888&gt;0,"PASS","FAIL"))</x:f>
        <x:v>PENDING</x:v>
      </x:c>
      <x:c r="AH888" t="str">
        <x:f>IF(NOT(ISNUMBER(T888)),"Needs supplier cost",IF(K888&lt;&gt;"In stock","Supplier unavailable",IF(AG888&lt;&gt;"PASS","BLOCK - GT loss risk","Commercially protected")))</x:f>
        <x:v>Needs supplier cost</x:v>
      </x:c>
      <x:c r="AI888" t="str">
        <x:v>2026-09-10 Active Sports trade capture</x:v>
      </x:c>
      <x:c r="AJ888" t="str">
        <x:v>Management-only economics. Stripe stress test uses 1.5% + £0.20 standard UK online-card fee; pallet/mix-and-match pricing ignored.</x:v>
      </x:c>
    </x:row>
    <x:row r="889">
      <x:c r="A889" t="str">
        <x:v>Active Sports Nutrition</x:v>
      </x:c>
      <x:c r="B889" t="str">
        <x:v>Conteh Sports</x:v>
      </x:c>
      <x:c r="C889" t="str">
        <x:v>Hydra Flow</x:v>
      </x:c>
      <x:c r="D889" t="str">
        <x:v>Supplements</x:v>
      </x:c>
      <x:c r="E889" t="str">
        <x:v>Hydration</x:v>
      </x:c>
      <x:c r="F889" t="str"/>
      <x:c r="G889" t="str">
        <x:v>300g</x:v>
      </x:c>
      <x:c r="H889" t="str">
        <x:v>Gummy Bears</x:v>
      </x:c>
      <x:c r="I889" t="str"/>
      <x:c r="J889" t="str">
        <x:v>Unit</x:v>
      </x:c>
      <x:c r="K889" t="str">
        <x:v>In stock</x:v>
      </x:c>
      <x:c r="L889" t="str">
        <x:v>2026-09-08</x:v>
      </x:c>
      <x:c r="M889" t="str"/>
      <x:c r="N889" t="str"/>
      <x:c r="O889" t="str">
        <x:v>https://www.activesportstrade.co.uk/conteh-sports-trade</x:v>
      </x:c>
      <x:c r="P889" t="str">
        <x:v>Current brand page used; another current hydration/intra page disagrees on Cherry stock. Source/check date retained.</x:v>
      </x:c>
      <x:c r="Q889" t="str"/>
      <x:c r="R889" t="str"/>
      <x:c r="S889" t="str">
        <x:v>Pending genuine supplier/brand image</x:v>
      </x:c>
      <x:c r="T889" s="54"/>
      <x:c r="U889" s="47" t="n">
        <x:v>0.2</x:v>
      </x:c>
      <x:c r="V889" s="54" t="str">
        <x:f>IF(ISNUMBER(T889),T889*(1+U889),"")</x:f>
      </x:c>
      <x:c r="W889" s="47" t="n">
        <x:v>0.3</x:v>
      </x:c>
      <x:c r="X889" s="54" t="str">
        <x:f>IF(ISNUMBER(V889),V889/(1-W889),"")</x:f>
      </x:c>
      <x:c r="Y889" s="55" t="str">
        <x:f>IF(ISNUMBER(X889),ROUNDUP(X889,0),"")</x:f>
      </x:c>
      <x:c r="Z889" t="str">
        <x:f>IF(ISNUMBER(T889),"Cost captured","Awaiting trade cost")</x:f>
        <x:v>Awaiting trade cost</x:v>
      </x:c>
      <x:c r="AB889" s="36" t="str">
        <x:f>IF(ISNUMBER(Y889),ROUND(Y889*0.9,2),"")</x:f>
      </x:c>
      <x:c r="AC889" s="36" t="str">
        <x:f>IF(ISNUMBER(AB889),ROUND(AB889-(AB889*0.015+0.2)-V889,2),"")</x:f>
      </x:c>
      <x:c r="AD889" s="36" t="str">
        <x:f>IF(ISNUMBER(Y889),ROUND(Y889*0.8,2),"")</x:f>
      </x:c>
      <x:c r="AE889" s="36" t="str">
        <x:f>IF(ISNUMBER(AD889),ROUND(AD889*0.015+0.2,2),"")</x:f>
      </x:c>
      <x:c r="AF889" s="36" t="str">
        <x:f>IF(ISNUMBER(AD889),ROUND(AD889-AE889-V889,2),"")</x:f>
      </x:c>
      <x:c r="AG889" t="str">
        <x:f>IF(NOT(ISNUMBER(T889)),"PENDING",IF(AF889&gt;0,"PASS","FAIL"))</x:f>
        <x:v>PENDING</x:v>
      </x:c>
      <x:c r="AH889" t="str">
        <x:f>IF(NOT(ISNUMBER(T889)),"Needs supplier cost",IF(K889&lt;&gt;"In stock","Supplier unavailable",IF(AG889&lt;&gt;"PASS","BLOCK - GT loss risk","Commercially protected")))</x:f>
        <x:v>Needs supplier cost</x:v>
      </x:c>
      <x:c r="AI889" t="str">
        <x:v>2026-09-10 Active Sports trade capture</x:v>
      </x:c>
      <x:c r="AJ889" t="str">
        <x:v>Management-only economics. Stripe stress test uses 1.5% + £0.20 standard UK online-card fee; pallet/mix-and-match pricing ignored.</x:v>
      </x:c>
    </x:row>
    <x:row r="890">
      <x:c r="A890" t="str">
        <x:v>Active Sports Nutrition</x:v>
      </x:c>
      <x:c r="B890" t="str">
        <x:v>Conteh Sports</x:v>
      </x:c>
      <x:c r="C890" t="str">
        <x:v>Hydra Flow</x:v>
      </x:c>
      <x:c r="D890" t="str">
        <x:v>Supplements</x:v>
      </x:c>
      <x:c r="E890" t="str">
        <x:v>Hydration</x:v>
      </x:c>
      <x:c r="F890" t="str"/>
      <x:c r="G890" t="str">
        <x:v>300g</x:v>
      </x:c>
      <x:c r="H890" t="str">
        <x:v>Lemon and Raspberry</x:v>
      </x:c>
      <x:c r="I890" t="str"/>
      <x:c r="J890" t="str">
        <x:v>Unit</x:v>
      </x:c>
      <x:c r="K890" t="str">
        <x:v>In stock</x:v>
      </x:c>
      <x:c r="L890" t="str">
        <x:v>2026-09-08</x:v>
      </x:c>
      <x:c r="M890" t="str"/>
      <x:c r="N890" t="str"/>
      <x:c r="O890" t="str">
        <x:v>https://www.activesportstrade.co.uk/conteh-sports-trade</x:v>
      </x:c>
      <x:c r="P890" t="str">
        <x:v>Current brand page used; another current hydration/intra page disagrees on Cherry stock. Source/check date retained.</x:v>
      </x:c>
      <x:c r="Q890" t="str"/>
      <x:c r="R890" t="str"/>
      <x:c r="S890" t="str">
        <x:v>Pending genuine supplier/brand image</x:v>
      </x:c>
      <x:c r="T890" s="54"/>
      <x:c r="U890" s="47" t="n">
        <x:v>0.2</x:v>
      </x:c>
      <x:c r="V890" s="54" t="str">
        <x:f>IF(ISNUMBER(T890),T890*(1+U890),"")</x:f>
      </x:c>
      <x:c r="W890" s="47" t="n">
        <x:v>0.3</x:v>
      </x:c>
      <x:c r="X890" s="54" t="str">
        <x:f>IF(ISNUMBER(V890),V890/(1-W890),"")</x:f>
      </x:c>
      <x:c r="Y890" s="55" t="str">
        <x:f>IF(ISNUMBER(X890),ROUNDUP(X890,0),"")</x:f>
      </x:c>
      <x:c r="Z890" t="str">
        <x:f>IF(ISNUMBER(T890),"Cost captured","Awaiting trade cost")</x:f>
        <x:v>Awaiting trade cost</x:v>
      </x:c>
      <x:c r="AB890" s="36" t="str">
        <x:f>IF(ISNUMBER(Y890),ROUND(Y890*0.9,2),"")</x:f>
      </x:c>
      <x:c r="AC890" s="36" t="str">
        <x:f>IF(ISNUMBER(AB890),ROUND(AB890-(AB890*0.015+0.2)-V890,2),"")</x:f>
      </x:c>
      <x:c r="AD890" s="36" t="str">
        <x:f>IF(ISNUMBER(Y890),ROUND(Y890*0.8,2),"")</x:f>
      </x:c>
      <x:c r="AE890" s="36" t="str">
        <x:f>IF(ISNUMBER(AD890),ROUND(AD890*0.015+0.2,2),"")</x:f>
      </x:c>
      <x:c r="AF890" s="36" t="str">
        <x:f>IF(ISNUMBER(AD890),ROUND(AD890-AE890-V890,2),"")</x:f>
      </x:c>
      <x:c r="AG890" t="str">
        <x:f>IF(NOT(ISNUMBER(T890)),"PENDING",IF(AF890&gt;0,"PASS","FAIL"))</x:f>
        <x:v>PENDING</x:v>
      </x:c>
      <x:c r="AH890" t="str">
        <x:f>IF(NOT(ISNUMBER(T890)),"Needs supplier cost",IF(K890&lt;&gt;"In stock","Supplier unavailable",IF(AG890&lt;&gt;"PASS","BLOCK - GT loss risk","Commercially protected")))</x:f>
        <x:v>Needs supplier cost</x:v>
      </x:c>
      <x:c r="AI890" t="str">
        <x:v>2026-09-10 Active Sports trade capture</x:v>
      </x:c>
      <x:c r="AJ890" t="str">
        <x:v>Management-only economics. Stripe stress test uses 1.5% + £0.20 standard UK online-card fee; pallet/mix-and-match pricing ignored.</x:v>
      </x:c>
    </x:row>
    <x:row r="891">
      <x:c r="A891" t="str">
        <x:v>Active Sports Nutrition</x:v>
      </x:c>
      <x:c r="B891" t="str">
        <x:v>Conteh Sports</x:v>
      </x:c>
      <x:c r="C891" t="str">
        <x:v>Hydra Flow</x:v>
      </x:c>
      <x:c r="D891" t="str">
        <x:v>Supplements</x:v>
      </x:c>
      <x:c r="E891" t="str">
        <x:v>Hydration</x:v>
      </x:c>
      <x:c r="F891" t="str"/>
      <x:c r="G891" t="str">
        <x:v>300g</x:v>
      </x:c>
      <x:c r="H891" t="str">
        <x:v>Mango</x:v>
      </x:c>
      <x:c r="I891" t="str"/>
      <x:c r="J891" t="str">
        <x:v>Unit</x:v>
      </x:c>
      <x:c r="K891" t="str">
        <x:v>In stock</x:v>
      </x:c>
      <x:c r="L891" t="str">
        <x:v>2026-09-08</x:v>
      </x:c>
      <x:c r="M891" t="str"/>
      <x:c r="N891" t="str"/>
      <x:c r="O891" t="str">
        <x:v>https://www.activesportstrade.co.uk/conteh-sports-trade</x:v>
      </x:c>
      <x:c r="P891" t="str">
        <x:v>Current brand page used; another current hydration/intra page disagrees on Cherry stock. Source/check date retained.</x:v>
      </x:c>
      <x:c r="Q891" t="str"/>
      <x:c r="R891" t="str"/>
      <x:c r="S891" t="str">
        <x:v>Pending genuine supplier/brand image</x:v>
      </x:c>
      <x:c r="T891" s="54"/>
      <x:c r="U891" s="47" t="n">
        <x:v>0.2</x:v>
      </x:c>
      <x:c r="V891" s="54" t="str">
        <x:f>IF(ISNUMBER(T891),T891*(1+U891),"")</x:f>
      </x:c>
      <x:c r="W891" s="47" t="n">
        <x:v>0.3</x:v>
      </x:c>
      <x:c r="X891" s="54" t="str">
        <x:f>IF(ISNUMBER(V891),V891/(1-W891),"")</x:f>
      </x:c>
      <x:c r="Y891" s="55" t="str">
        <x:f>IF(ISNUMBER(X891),ROUNDUP(X891,0),"")</x:f>
      </x:c>
      <x:c r="Z891" t="str">
        <x:f>IF(ISNUMBER(T891),"Cost captured","Awaiting trade cost")</x:f>
        <x:v>Awaiting trade cost</x:v>
      </x:c>
      <x:c r="AB891" s="36" t="str">
        <x:f>IF(ISNUMBER(Y891),ROUND(Y891*0.9,2),"")</x:f>
      </x:c>
      <x:c r="AC891" s="36" t="str">
        <x:f>IF(ISNUMBER(AB891),ROUND(AB891-(AB891*0.015+0.2)-V891,2),"")</x:f>
      </x:c>
      <x:c r="AD891" s="36" t="str">
        <x:f>IF(ISNUMBER(Y891),ROUND(Y891*0.8,2),"")</x:f>
      </x:c>
      <x:c r="AE891" s="36" t="str">
        <x:f>IF(ISNUMBER(AD891),ROUND(AD891*0.015+0.2,2),"")</x:f>
      </x:c>
      <x:c r="AF891" s="36" t="str">
        <x:f>IF(ISNUMBER(AD891),ROUND(AD891-AE891-V891,2),"")</x:f>
      </x:c>
      <x:c r="AG891" t="str">
        <x:f>IF(NOT(ISNUMBER(T891)),"PENDING",IF(AF891&gt;0,"PASS","FAIL"))</x:f>
        <x:v>PENDING</x:v>
      </x:c>
      <x:c r="AH891" t="str">
        <x:f>IF(NOT(ISNUMBER(T891)),"Needs supplier cost",IF(K891&lt;&gt;"In stock","Supplier unavailable",IF(AG891&lt;&gt;"PASS","BLOCK - GT loss risk","Commercially protected")))</x:f>
        <x:v>Needs supplier cost</x:v>
      </x:c>
      <x:c r="AI891" t="str">
        <x:v>2026-09-10 Active Sports trade capture</x:v>
      </x:c>
      <x:c r="AJ891" t="str">
        <x:v>Management-only economics. Stripe stress test uses 1.5% + £0.20 standard UK online-card fee; pallet/mix-and-match pricing ignored.</x:v>
      </x:c>
    </x:row>
    <x:row r="892">
      <x:c r="A892" t="str">
        <x:v>Active Sports Nutrition</x:v>
      </x:c>
      <x:c r="B892" t="str">
        <x:v>Conteh Sports</x:v>
      </x:c>
      <x:c r="C892" t="str">
        <x:v>Hydra Flow</x:v>
      </x:c>
      <x:c r="D892" t="str">
        <x:v>Supplements</x:v>
      </x:c>
      <x:c r="E892" t="str">
        <x:v>Hydration</x:v>
      </x:c>
      <x:c r="F892" t="str"/>
      <x:c r="G892" t="str">
        <x:v>300g</x:v>
      </x:c>
      <x:c r="H892" t="str">
        <x:v>Orange Soda</x:v>
      </x:c>
      <x:c r="I892" t="str"/>
      <x:c r="J892" t="str">
        <x:v>Unit</x:v>
      </x:c>
      <x:c r="K892" t="str">
        <x:v>In stock</x:v>
      </x:c>
      <x:c r="L892" t="str">
        <x:v>2026-09-08</x:v>
      </x:c>
      <x:c r="M892" t="str"/>
      <x:c r="N892" t="str"/>
      <x:c r="O892" t="str">
        <x:v>https://www.activesportstrade.co.uk/conteh-sports-trade</x:v>
      </x:c>
      <x:c r="P892" t="str">
        <x:v>Current brand page used; another current hydration/intra page disagrees on Cherry stock. Source/check date retained.</x:v>
      </x:c>
      <x:c r="Q892" t="str"/>
      <x:c r="R892" t="str"/>
      <x:c r="S892" t="str">
        <x:v>Pending genuine supplier/brand image</x:v>
      </x:c>
      <x:c r="T892" s="54"/>
      <x:c r="U892" s="47" t="n">
        <x:v>0.2</x:v>
      </x:c>
      <x:c r="V892" s="54" t="str">
        <x:f>IF(ISNUMBER(T892),T892*(1+U892),"")</x:f>
      </x:c>
      <x:c r="W892" s="47" t="n">
        <x:v>0.3</x:v>
      </x:c>
      <x:c r="X892" s="54" t="str">
        <x:f>IF(ISNUMBER(V892),V892/(1-W892),"")</x:f>
      </x:c>
      <x:c r="Y892" s="55" t="str">
        <x:f>IF(ISNUMBER(X892),ROUNDUP(X892,0),"")</x:f>
      </x:c>
      <x:c r="Z892" t="str">
        <x:f>IF(ISNUMBER(T892),"Cost captured","Awaiting trade cost")</x:f>
        <x:v>Awaiting trade cost</x:v>
      </x:c>
      <x:c r="AB892" s="36" t="str">
        <x:f>IF(ISNUMBER(Y892),ROUND(Y892*0.9,2),"")</x:f>
      </x:c>
      <x:c r="AC892" s="36" t="str">
        <x:f>IF(ISNUMBER(AB892),ROUND(AB892-(AB892*0.015+0.2)-V892,2),"")</x:f>
      </x:c>
      <x:c r="AD892" s="36" t="str">
        <x:f>IF(ISNUMBER(Y892),ROUND(Y892*0.8,2),"")</x:f>
      </x:c>
      <x:c r="AE892" s="36" t="str">
        <x:f>IF(ISNUMBER(AD892),ROUND(AD892*0.015+0.2,2),"")</x:f>
      </x:c>
      <x:c r="AF892" s="36" t="str">
        <x:f>IF(ISNUMBER(AD892),ROUND(AD892-AE892-V892,2),"")</x:f>
      </x:c>
      <x:c r="AG892" t="str">
        <x:f>IF(NOT(ISNUMBER(T892)),"PENDING",IF(AF892&gt;0,"PASS","FAIL"))</x:f>
        <x:v>PENDING</x:v>
      </x:c>
      <x:c r="AH892" t="str">
        <x:f>IF(NOT(ISNUMBER(T892)),"Needs supplier cost",IF(K892&lt;&gt;"In stock","Supplier unavailable",IF(AG892&lt;&gt;"PASS","BLOCK - GT loss risk","Commercially protected")))</x:f>
        <x:v>Needs supplier cost</x:v>
      </x:c>
      <x:c r="AI892" t="str">
        <x:v>2026-09-10 Active Sports trade capture</x:v>
      </x:c>
      <x:c r="AJ892" t="str">
        <x:v>Management-only economics. Stripe stress test uses 1.5% + £0.20 standard UK online-card fee; pallet/mix-and-match pricing ignored.</x:v>
      </x:c>
    </x:row>
    <x:row r="893">
      <x:c r="A893" t="str">
        <x:v>Active Sports Nutrition</x:v>
      </x:c>
      <x:c r="B893" t="str">
        <x:v>Conteh Sports</x:v>
      </x:c>
      <x:c r="C893" t="str">
        <x:v>Hydra Flow</x:v>
      </x:c>
      <x:c r="D893" t="str">
        <x:v>Supplements</x:v>
      </x:c>
      <x:c r="E893" t="str">
        <x:v>Hydration</x:v>
      </x:c>
      <x:c r="F893" t="str"/>
      <x:c r="G893" t="str">
        <x:v>300g</x:v>
      </x:c>
      <x:c r="H893" t="str">
        <x:v>Peach Ice Tea</x:v>
      </x:c>
      <x:c r="I893" t="str"/>
      <x:c r="J893" t="str">
        <x:v>Unit</x:v>
      </x:c>
      <x:c r="K893" t="str">
        <x:v>In stock</x:v>
      </x:c>
      <x:c r="L893" t="str">
        <x:v>2026-09-08</x:v>
      </x:c>
      <x:c r="M893" t="str"/>
      <x:c r="N893" t="str"/>
      <x:c r="O893" t="str">
        <x:v>https://www.activesportstrade.co.uk/conteh-sports-trade</x:v>
      </x:c>
      <x:c r="P893" t="str">
        <x:v>Current brand page used; another current hydration/intra page disagrees on Cherry stock. Source/check date retained.</x:v>
      </x:c>
      <x:c r="Q893" t="str"/>
      <x:c r="R893" t="str"/>
      <x:c r="S893" t="str">
        <x:v>Pending genuine supplier/brand image</x:v>
      </x:c>
      <x:c r="T893" s="54"/>
      <x:c r="U893" s="47" t="n">
        <x:v>0.2</x:v>
      </x:c>
      <x:c r="V893" s="54" t="str">
        <x:f>IF(ISNUMBER(T893),T893*(1+U893),"")</x:f>
      </x:c>
      <x:c r="W893" s="47" t="n">
        <x:v>0.3</x:v>
      </x:c>
      <x:c r="X893" s="54" t="str">
        <x:f>IF(ISNUMBER(V893),V893/(1-W893),"")</x:f>
      </x:c>
      <x:c r="Y893" s="55" t="str">
        <x:f>IF(ISNUMBER(X893),ROUNDUP(X893,0),"")</x:f>
      </x:c>
      <x:c r="Z893" t="str">
        <x:f>IF(ISNUMBER(T893),"Cost captured","Awaiting trade cost")</x:f>
        <x:v>Awaiting trade cost</x:v>
      </x:c>
      <x:c r="AB893" s="36" t="str">
        <x:f>IF(ISNUMBER(Y893),ROUND(Y893*0.9,2),"")</x:f>
      </x:c>
      <x:c r="AC893" s="36" t="str">
        <x:f>IF(ISNUMBER(AB893),ROUND(AB893-(AB893*0.015+0.2)-V893,2),"")</x:f>
      </x:c>
      <x:c r="AD893" s="36" t="str">
        <x:f>IF(ISNUMBER(Y893),ROUND(Y893*0.8,2),"")</x:f>
      </x:c>
      <x:c r="AE893" s="36" t="str">
        <x:f>IF(ISNUMBER(AD893),ROUND(AD893*0.015+0.2,2),"")</x:f>
      </x:c>
      <x:c r="AF893" s="36" t="str">
        <x:f>IF(ISNUMBER(AD893),ROUND(AD893-AE893-V893,2),"")</x:f>
      </x:c>
      <x:c r="AG893" t="str">
        <x:f>IF(NOT(ISNUMBER(T893)),"PENDING",IF(AF893&gt;0,"PASS","FAIL"))</x:f>
        <x:v>PENDING</x:v>
      </x:c>
      <x:c r="AH893" t="str">
        <x:f>IF(NOT(ISNUMBER(T893)),"Needs supplier cost",IF(K893&lt;&gt;"In stock","Supplier unavailable",IF(AG893&lt;&gt;"PASS","BLOCK - GT loss risk","Commercially protected")))</x:f>
        <x:v>Needs supplier cost</x:v>
      </x:c>
      <x:c r="AI893" t="str">
        <x:v>2026-09-10 Active Sports trade capture</x:v>
      </x:c>
      <x:c r="AJ893" t="str">
        <x:v>Management-only economics. Stripe stress test uses 1.5% + £0.20 standard UK online-card fee; pallet/mix-and-match pricing ignored.</x:v>
      </x:c>
    </x:row>
    <x:row r="894">
      <x:c r="A894" t="str">
        <x:v>Active Sports Nutrition</x:v>
      </x:c>
      <x:c r="B894" t="str">
        <x:v>Conteh Sports</x:v>
      </x:c>
      <x:c r="C894" t="str">
        <x:v>Hydra Flow</x:v>
      </x:c>
      <x:c r="D894" t="str">
        <x:v>Supplements</x:v>
      </x:c>
      <x:c r="E894" t="str">
        <x:v>Hydration</x:v>
      </x:c>
      <x:c r="F894" t="str"/>
      <x:c r="G894" t="str">
        <x:v>300g</x:v>
      </x:c>
      <x:c r="H894" t="str">
        <x:v>Pineapple Crush</x:v>
      </x:c>
      <x:c r="I894" t="str"/>
      <x:c r="J894" t="str">
        <x:v>Unit</x:v>
      </x:c>
      <x:c r="K894" t="str">
        <x:v>Out of stock</x:v>
      </x:c>
      <x:c r="L894" t="str">
        <x:v>2026-09-08</x:v>
      </x:c>
      <x:c r="M894" t="str"/>
      <x:c r="N894" t="str"/>
      <x:c r="O894" t="str">
        <x:v>https://www.activesportstrade.co.uk/conteh-sports-trade</x:v>
      </x:c>
      <x:c r="P894" t="str">
        <x:v>Current brand page used; another current hydration/intra page disagrees on Cherry stock. Source/check date retained.</x:v>
      </x:c>
      <x:c r="Q894" t="str"/>
      <x:c r="R894" t="str"/>
      <x:c r="S894" t="str">
        <x:v>Pending genuine supplier/brand image</x:v>
      </x:c>
      <x:c r="T894" s="54"/>
      <x:c r="U894" s="47" t="n">
        <x:v>0.2</x:v>
      </x:c>
      <x:c r="V894" s="54" t="str">
        <x:f>IF(ISNUMBER(T894),T894*(1+U894),"")</x:f>
      </x:c>
      <x:c r="W894" s="47" t="n">
        <x:v>0.3</x:v>
      </x:c>
      <x:c r="X894" s="54" t="str">
        <x:f>IF(ISNUMBER(V894),V894/(1-W894),"")</x:f>
      </x:c>
      <x:c r="Y894" s="55" t="str">
        <x:f>IF(ISNUMBER(X894),ROUNDUP(X894,0),"")</x:f>
      </x:c>
      <x:c r="Z894" t="str">
        <x:f>IF(ISNUMBER(T894),"Cost captured","Awaiting trade cost")</x:f>
        <x:v>Awaiting trade cost</x:v>
      </x:c>
      <x:c r="AB894" s="36" t="str">
        <x:f>IF(ISNUMBER(Y894),ROUND(Y894*0.9,2),"")</x:f>
      </x:c>
      <x:c r="AC894" s="36" t="str">
        <x:f>IF(ISNUMBER(AB894),ROUND(AB894-(AB894*0.015+0.2)-V894,2),"")</x:f>
      </x:c>
      <x:c r="AD894" s="36" t="str">
        <x:f>IF(ISNUMBER(Y894),ROUND(Y894*0.8,2),"")</x:f>
      </x:c>
      <x:c r="AE894" s="36" t="str">
        <x:f>IF(ISNUMBER(AD894),ROUND(AD894*0.015+0.2,2),"")</x:f>
      </x:c>
      <x:c r="AF894" s="36" t="str">
        <x:f>IF(ISNUMBER(AD894),ROUND(AD894-AE894-V894,2),"")</x:f>
      </x:c>
      <x:c r="AG894" t="str">
        <x:f>IF(NOT(ISNUMBER(T894)),"PENDING",IF(AF894&gt;0,"PASS","FAIL"))</x:f>
        <x:v>PENDING</x:v>
      </x:c>
      <x:c r="AH894" t="str">
        <x:f>IF(NOT(ISNUMBER(T894)),"Needs supplier cost",IF(K894&lt;&gt;"In stock","Supplier unavailable",IF(AG894&lt;&gt;"PASS","BLOCK - GT loss risk","Commercially protected")))</x:f>
        <x:v>Needs supplier cost</x:v>
      </x:c>
      <x:c r="AI894" t="str">
        <x:v>2026-09-10 Active Sports trade capture</x:v>
      </x:c>
      <x:c r="AJ894" t="str">
        <x:v>Management-only economics. Stripe stress test uses 1.5% + £0.20 standard UK online-card fee; pallet/mix-and-match pricing ignored.</x:v>
      </x:c>
    </x:row>
    <x:row r="895">
      <x:c r="A895" t="str">
        <x:v>Active Sports Nutrition</x:v>
      </x:c>
      <x:c r="B895" t="str">
        <x:v>Conteh Sports</x:v>
      </x:c>
      <x:c r="C895" t="str">
        <x:v>Hydra Flow</x:v>
      </x:c>
      <x:c r="D895" t="str">
        <x:v>Supplements</x:v>
      </x:c>
      <x:c r="E895" t="str">
        <x:v>Hydration</x:v>
      </x:c>
      <x:c r="F895" t="str"/>
      <x:c r="G895" t="str">
        <x:v>300g</x:v>
      </x:c>
      <x:c r="H895" t="str">
        <x:v>Pink Lemonade</x:v>
      </x:c>
      <x:c r="I895" t="str"/>
      <x:c r="J895" t="str">
        <x:v>Unit</x:v>
      </x:c>
      <x:c r="K895" t="str">
        <x:v>In stock</x:v>
      </x:c>
      <x:c r="L895" t="str">
        <x:v>2026-09-08</x:v>
      </x:c>
      <x:c r="M895" t="str"/>
      <x:c r="N895" t="str"/>
      <x:c r="O895" t="str">
        <x:v>https://www.activesportstrade.co.uk/conteh-sports-trade</x:v>
      </x:c>
      <x:c r="P895" t="str">
        <x:v>Current brand page used; another current hydration/intra page disagrees on Cherry stock. Source/check date retained.</x:v>
      </x:c>
      <x:c r="Q895" t="str"/>
      <x:c r="R895" t="str"/>
      <x:c r="S895" t="str">
        <x:v>Pending genuine supplier/brand image</x:v>
      </x:c>
      <x:c r="T895" s="54"/>
      <x:c r="U895" s="47" t="n">
        <x:v>0.2</x:v>
      </x:c>
      <x:c r="V895" s="54" t="str">
        <x:f>IF(ISNUMBER(T895),T895*(1+U895),"")</x:f>
      </x:c>
      <x:c r="W895" s="47" t="n">
        <x:v>0.3</x:v>
      </x:c>
      <x:c r="X895" s="54" t="str">
        <x:f>IF(ISNUMBER(V895),V895/(1-W895),"")</x:f>
      </x:c>
      <x:c r="Y895" s="55" t="str">
        <x:f>IF(ISNUMBER(X895),ROUNDUP(X895,0),"")</x:f>
      </x:c>
      <x:c r="Z895" t="str">
        <x:f>IF(ISNUMBER(T895),"Cost captured","Awaiting trade cost")</x:f>
        <x:v>Awaiting trade cost</x:v>
      </x:c>
      <x:c r="AB895" s="36" t="str">
        <x:f>IF(ISNUMBER(Y895),ROUND(Y895*0.9,2),"")</x:f>
      </x:c>
      <x:c r="AC895" s="36" t="str">
        <x:f>IF(ISNUMBER(AB895),ROUND(AB895-(AB895*0.015+0.2)-V895,2),"")</x:f>
      </x:c>
      <x:c r="AD895" s="36" t="str">
        <x:f>IF(ISNUMBER(Y895),ROUND(Y895*0.8,2),"")</x:f>
      </x:c>
      <x:c r="AE895" s="36" t="str">
        <x:f>IF(ISNUMBER(AD895),ROUND(AD895*0.015+0.2,2),"")</x:f>
      </x:c>
      <x:c r="AF895" s="36" t="str">
        <x:f>IF(ISNUMBER(AD895),ROUND(AD895-AE895-V895,2),"")</x:f>
      </x:c>
      <x:c r="AG895" t="str">
        <x:f>IF(NOT(ISNUMBER(T895)),"PENDING",IF(AF895&gt;0,"PASS","FAIL"))</x:f>
        <x:v>PENDING</x:v>
      </x:c>
      <x:c r="AH895" t="str">
        <x:f>IF(NOT(ISNUMBER(T895)),"Needs supplier cost",IF(K895&lt;&gt;"In stock","Supplier unavailable",IF(AG895&lt;&gt;"PASS","BLOCK - GT loss risk","Commercially protected")))</x:f>
        <x:v>Needs supplier cost</x:v>
      </x:c>
      <x:c r="AI895" t="str">
        <x:v>2026-09-10 Active Sports trade capture</x:v>
      </x:c>
      <x:c r="AJ895" t="str">
        <x:v>Management-only economics. Stripe stress test uses 1.5% + £0.20 standard UK online-card fee; pallet/mix-and-match pricing ignored.</x:v>
      </x:c>
    </x:row>
    <x:row r="896">
      <x:c r="A896" t="str">
        <x:v>Active Sports Nutrition</x:v>
      </x:c>
      <x:c r="B896" t="str">
        <x:v>Conteh Sports</x:v>
      </x:c>
      <x:c r="C896" t="str">
        <x:v>Hydra Flow</x:v>
      </x:c>
      <x:c r="D896" t="str">
        <x:v>Supplements</x:v>
      </x:c>
      <x:c r="E896" t="str">
        <x:v>Hydration</x:v>
      </x:c>
      <x:c r="F896" t="str"/>
      <x:c r="G896" t="str">
        <x:v>300g</x:v>
      </x:c>
      <x:c r="H896" t="str">
        <x:v>Strawberry Bubblegum</x:v>
      </x:c>
      <x:c r="I896" t="str"/>
      <x:c r="J896" t="str">
        <x:v>Unit</x:v>
      </x:c>
      <x:c r="K896" t="str">
        <x:v>In stock</x:v>
      </x:c>
      <x:c r="L896" t="str">
        <x:v>2026-09-08</x:v>
      </x:c>
      <x:c r="M896" t="str"/>
      <x:c r="N896" t="str"/>
      <x:c r="O896" t="str">
        <x:v>https://www.activesportstrade.co.uk/conteh-sports-trade</x:v>
      </x:c>
      <x:c r="P896" t="str">
        <x:v>Current brand page used; another current hydration/intra page disagrees on Cherry stock. Source/check date retained.</x:v>
      </x:c>
      <x:c r="Q896" t="str"/>
      <x:c r="R896" t="str"/>
      <x:c r="S896" t="str">
        <x:v>Pending genuine supplier/brand image</x:v>
      </x:c>
      <x:c r="T896" s="54"/>
      <x:c r="U896" s="47" t="n">
        <x:v>0.2</x:v>
      </x:c>
      <x:c r="V896" s="54" t="str">
        <x:f>IF(ISNUMBER(T896),T896*(1+U896),"")</x:f>
      </x:c>
      <x:c r="W896" s="47" t="n">
        <x:v>0.3</x:v>
      </x:c>
      <x:c r="X896" s="54" t="str">
        <x:f>IF(ISNUMBER(V896),V896/(1-W896),"")</x:f>
      </x:c>
      <x:c r="Y896" s="55" t="str">
        <x:f>IF(ISNUMBER(X896),ROUNDUP(X896,0),"")</x:f>
      </x:c>
      <x:c r="Z896" t="str">
        <x:f>IF(ISNUMBER(T896),"Cost captured","Awaiting trade cost")</x:f>
        <x:v>Awaiting trade cost</x:v>
      </x:c>
      <x:c r="AB896" s="36" t="str">
        <x:f>IF(ISNUMBER(Y896),ROUND(Y896*0.9,2),"")</x:f>
      </x:c>
      <x:c r="AC896" s="36" t="str">
        <x:f>IF(ISNUMBER(AB896),ROUND(AB896-(AB896*0.015+0.2)-V896,2),"")</x:f>
      </x:c>
      <x:c r="AD896" s="36" t="str">
        <x:f>IF(ISNUMBER(Y896),ROUND(Y896*0.8,2),"")</x:f>
      </x:c>
      <x:c r="AE896" s="36" t="str">
        <x:f>IF(ISNUMBER(AD896),ROUND(AD896*0.015+0.2,2),"")</x:f>
      </x:c>
      <x:c r="AF896" s="36" t="str">
        <x:f>IF(ISNUMBER(AD896),ROUND(AD896-AE896-V896,2),"")</x:f>
      </x:c>
      <x:c r="AG896" t="str">
        <x:f>IF(NOT(ISNUMBER(T896)),"PENDING",IF(AF896&gt;0,"PASS","FAIL"))</x:f>
        <x:v>PENDING</x:v>
      </x:c>
      <x:c r="AH896" t="str">
        <x:f>IF(NOT(ISNUMBER(T896)),"Needs supplier cost",IF(K896&lt;&gt;"In stock","Supplier unavailable",IF(AG896&lt;&gt;"PASS","BLOCK - GT loss risk","Commercially protected")))</x:f>
        <x:v>Needs supplier cost</x:v>
      </x:c>
      <x:c r="AI896" t="str">
        <x:v>2026-09-10 Active Sports trade capture</x:v>
      </x:c>
      <x:c r="AJ896" t="str">
        <x:v>Management-only economics. Stripe stress test uses 1.5% + £0.20 standard UK online-card fee; pallet/mix-and-match pricing ignored.</x:v>
      </x:c>
    </x:row>
    <x:row r="897">
      <x:c r="A897" t="str">
        <x:v>Active Sports Nutrition</x:v>
      </x:c>
      <x:c r="B897" t="str">
        <x:v>Conteh Sports</x:v>
      </x:c>
      <x:c r="C897" t="str">
        <x:v>Hydra Flow</x:v>
      </x:c>
      <x:c r="D897" t="str">
        <x:v>Supplements</x:v>
      </x:c>
      <x:c r="E897" t="str">
        <x:v>Hydration</x:v>
      </x:c>
      <x:c r="F897" t="str"/>
      <x:c r="G897" t="str">
        <x:v>300g</x:v>
      </x:c>
      <x:c r="H897" t="str">
        <x:v>Summer Fruits</x:v>
      </x:c>
      <x:c r="I897" t="str"/>
      <x:c r="J897" t="str">
        <x:v>Unit</x:v>
      </x:c>
      <x:c r="K897" t="str">
        <x:v>In stock</x:v>
      </x:c>
      <x:c r="L897" t="str">
        <x:v>2026-09-08</x:v>
      </x:c>
      <x:c r="M897" t="str"/>
      <x:c r="N897" t="str"/>
      <x:c r="O897" t="str">
        <x:v>https://www.activesportstrade.co.uk/conteh-sports-trade</x:v>
      </x:c>
      <x:c r="P897" t="str">
        <x:v>Current brand page used; another current hydration/intra page disagrees on Cherry stock. Source/check date retained.</x:v>
      </x:c>
      <x:c r="Q897" t="str"/>
      <x:c r="R897" t="str"/>
      <x:c r="S897" t="str">
        <x:v>Pending genuine supplier/brand image</x:v>
      </x:c>
      <x:c r="T897" s="54"/>
      <x:c r="U897" s="47" t="n">
        <x:v>0.2</x:v>
      </x:c>
      <x:c r="V897" s="54" t="str">
        <x:f>IF(ISNUMBER(T897),T897*(1+U897),"")</x:f>
      </x:c>
      <x:c r="W897" s="47" t="n">
        <x:v>0.3</x:v>
      </x:c>
      <x:c r="X897" s="54" t="str">
        <x:f>IF(ISNUMBER(V897),V897/(1-W897),"")</x:f>
      </x:c>
      <x:c r="Y897" s="55" t="str">
        <x:f>IF(ISNUMBER(X897),ROUNDUP(X897,0),"")</x:f>
      </x:c>
      <x:c r="Z897" t="str">
        <x:f>IF(ISNUMBER(T897),"Cost captured","Awaiting trade cost")</x:f>
        <x:v>Awaiting trade cost</x:v>
      </x:c>
      <x:c r="AB897" s="36" t="str">
        <x:f>IF(ISNUMBER(Y897),ROUND(Y897*0.9,2),"")</x:f>
      </x:c>
      <x:c r="AC897" s="36" t="str">
        <x:f>IF(ISNUMBER(AB897),ROUND(AB897-(AB897*0.015+0.2)-V897,2),"")</x:f>
      </x:c>
      <x:c r="AD897" s="36" t="str">
        <x:f>IF(ISNUMBER(Y897),ROUND(Y897*0.8,2),"")</x:f>
      </x:c>
      <x:c r="AE897" s="36" t="str">
        <x:f>IF(ISNUMBER(AD897),ROUND(AD897*0.015+0.2,2),"")</x:f>
      </x:c>
      <x:c r="AF897" s="36" t="str">
        <x:f>IF(ISNUMBER(AD897),ROUND(AD897-AE897-V897,2),"")</x:f>
      </x:c>
      <x:c r="AG897" t="str">
        <x:f>IF(NOT(ISNUMBER(T897)),"PENDING",IF(AF897&gt;0,"PASS","FAIL"))</x:f>
        <x:v>PENDING</x:v>
      </x:c>
      <x:c r="AH897" t="str">
        <x:f>IF(NOT(ISNUMBER(T897)),"Needs supplier cost",IF(K897&lt;&gt;"In stock","Supplier unavailable",IF(AG897&lt;&gt;"PASS","BLOCK - GT loss risk","Commercially protected")))</x:f>
        <x:v>Needs supplier cost</x:v>
      </x:c>
      <x:c r="AI897" t="str">
        <x:v>2026-09-10 Active Sports trade capture</x:v>
      </x:c>
      <x:c r="AJ897" t="str">
        <x:v>Management-only economics. Stripe stress test uses 1.5% + £0.20 standard UK online-card fee; pallet/mix-and-match pricing ignored.</x:v>
      </x:c>
    </x:row>
    <x:row r="898">
      <x:c r="A898" t="str">
        <x:v>Active Sports Nutrition</x:v>
      </x:c>
      <x:c r="B898" t="str">
        <x:v>Conteh Sports</x:v>
      </x:c>
      <x:c r="C898" t="str">
        <x:v>Hydra Flow</x:v>
      </x:c>
      <x:c r="D898" t="str">
        <x:v>Supplements</x:v>
      </x:c>
      <x:c r="E898" t="str">
        <x:v>Hydration</x:v>
      </x:c>
      <x:c r="F898" t="str"/>
      <x:c r="G898" t="str">
        <x:v>300g</x:v>
      </x:c>
      <x:c r="H898" t="str">
        <x:v>Vanilla Cola</x:v>
      </x:c>
      <x:c r="I898" t="str"/>
      <x:c r="J898" t="str">
        <x:v>Unit</x:v>
      </x:c>
      <x:c r="K898" t="str">
        <x:v>In stock</x:v>
      </x:c>
      <x:c r="L898" t="str">
        <x:v>2026-09-08</x:v>
      </x:c>
      <x:c r="M898" t="str"/>
      <x:c r="N898" t="str"/>
      <x:c r="O898" t="str">
        <x:v>https://www.activesportstrade.co.uk/conteh-sports-trade</x:v>
      </x:c>
      <x:c r="P898" t="str">
        <x:v>Current brand page used; another current hydration/intra page disagrees on Cherry stock. Source/check date retained.</x:v>
      </x:c>
      <x:c r="Q898" t="str"/>
      <x:c r="R898" t="str"/>
      <x:c r="S898" t="str">
        <x:v>Pending genuine supplier/brand image</x:v>
      </x:c>
      <x:c r="T898" s="54"/>
      <x:c r="U898" s="47" t="n">
        <x:v>0.2</x:v>
      </x:c>
      <x:c r="V898" s="54" t="str">
        <x:f>IF(ISNUMBER(T898),T898*(1+U898),"")</x:f>
      </x:c>
      <x:c r="W898" s="47" t="n">
        <x:v>0.3</x:v>
      </x:c>
      <x:c r="X898" s="54" t="str">
        <x:f>IF(ISNUMBER(V898),V898/(1-W898),"")</x:f>
      </x:c>
      <x:c r="Y898" s="55" t="str">
        <x:f>IF(ISNUMBER(X898),ROUNDUP(X898,0),"")</x:f>
      </x:c>
      <x:c r="Z898" t="str">
        <x:f>IF(ISNUMBER(T898),"Cost captured","Awaiting trade cost")</x:f>
        <x:v>Awaiting trade cost</x:v>
      </x:c>
      <x:c r="AB898" s="36" t="str">
        <x:f>IF(ISNUMBER(Y898),ROUND(Y898*0.9,2),"")</x:f>
      </x:c>
      <x:c r="AC898" s="36" t="str">
        <x:f>IF(ISNUMBER(AB898),ROUND(AB898-(AB898*0.015+0.2)-V898,2),"")</x:f>
      </x:c>
      <x:c r="AD898" s="36" t="str">
        <x:f>IF(ISNUMBER(Y898),ROUND(Y898*0.8,2),"")</x:f>
      </x:c>
      <x:c r="AE898" s="36" t="str">
        <x:f>IF(ISNUMBER(AD898),ROUND(AD898*0.015+0.2,2),"")</x:f>
      </x:c>
      <x:c r="AF898" s="36" t="str">
        <x:f>IF(ISNUMBER(AD898),ROUND(AD898-AE898-V898,2),"")</x:f>
      </x:c>
      <x:c r="AG898" t="str">
        <x:f>IF(NOT(ISNUMBER(T898)),"PENDING",IF(AF898&gt;0,"PASS","FAIL"))</x:f>
        <x:v>PENDING</x:v>
      </x:c>
      <x:c r="AH898" t="str">
        <x:f>IF(NOT(ISNUMBER(T898)),"Needs supplier cost",IF(K898&lt;&gt;"In stock","Supplier unavailable",IF(AG898&lt;&gt;"PASS","BLOCK - GT loss risk","Commercially protected")))</x:f>
        <x:v>Needs supplier cost</x:v>
      </x:c>
      <x:c r="AI898" t="str">
        <x:v>2026-09-10 Active Sports trade capture</x:v>
      </x:c>
      <x:c r="AJ898" t="str">
        <x:v>Management-only economics. Stripe stress test uses 1.5% + £0.20 standard UK online-card fee; pallet/mix-and-match pricing ignored.</x:v>
      </x:c>
    </x:row>
    <x:row r="899">
      <x:c r="A899" t="str">
        <x:v>Active Sports Nutrition</x:v>
      </x:c>
      <x:c r="B899" t="str">
        <x:v>Conteh Sports</x:v>
      </x:c>
      <x:c r="C899" t="str">
        <x:v>Hydra Flow</x:v>
      </x:c>
      <x:c r="D899" t="str">
        <x:v>Supplements</x:v>
      </x:c>
      <x:c r="E899" t="str">
        <x:v>Hydration</x:v>
      </x:c>
      <x:c r="F899" t="str"/>
      <x:c r="G899" t="str">
        <x:v>300g</x:v>
      </x:c>
      <x:c r="H899" t="str">
        <x:v>Watermelon</x:v>
      </x:c>
      <x:c r="I899" t="str"/>
      <x:c r="J899" t="str">
        <x:v>Unit</x:v>
      </x:c>
      <x:c r="K899" t="str">
        <x:v>In stock</x:v>
      </x:c>
      <x:c r="L899" t="str">
        <x:v>2026-09-08</x:v>
      </x:c>
      <x:c r="M899" t="str"/>
      <x:c r="N899" t="str"/>
      <x:c r="O899" t="str">
        <x:v>https://www.activesportstrade.co.uk/conteh-sports-trade</x:v>
      </x:c>
      <x:c r="P899" t="str">
        <x:v>Current brand page used; another current hydration/intra page disagrees on Cherry stock. Source/check date retained.</x:v>
      </x:c>
      <x:c r="Q899" t="str"/>
      <x:c r="R899" t="str"/>
      <x:c r="S899" t="str">
        <x:v>Pending genuine supplier/brand image</x:v>
      </x:c>
      <x:c r="T899" s="54"/>
      <x:c r="U899" s="47" t="n">
        <x:v>0.2</x:v>
      </x:c>
      <x:c r="V899" s="54" t="str">
        <x:f>IF(ISNUMBER(T899),T899*(1+U899),"")</x:f>
      </x:c>
      <x:c r="W899" s="47" t="n">
        <x:v>0.3</x:v>
      </x:c>
      <x:c r="X899" s="54" t="str">
        <x:f>IF(ISNUMBER(V899),V899/(1-W899),"")</x:f>
      </x:c>
      <x:c r="Y899" s="55" t="str">
        <x:f>IF(ISNUMBER(X899),ROUNDUP(X899,0),"")</x:f>
      </x:c>
      <x:c r="Z899" t="str">
        <x:f>IF(ISNUMBER(T899),"Cost captured","Awaiting trade cost")</x:f>
        <x:v>Awaiting trade cost</x:v>
      </x:c>
      <x:c r="AB899" s="36" t="str">
        <x:f>IF(ISNUMBER(Y899),ROUND(Y899*0.9,2),"")</x:f>
      </x:c>
      <x:c r="AC899" s="36" t="str">
        <x:f>IF(ISNUMBER(AB899),ROUND(AB899-(AB899*0.015+0.2)-V899,2),"")</x:f>
      </x:c>
      <x:c r="AD899" s="36" t="str">
        <x:f>IF(ISNUMBER(Y899),ROUND(Y899*0.8,2),"")</x:f>
      </x:c>
      <x:c r="AE899" s="36" t="str">
        <x:f>IF(ISNUMBER(AD899),ROUND(AD899*0.015+0.2,2),"")</x:f>
      </x:c>
      <x:c r="AF899" s="36" t="str">
        <x:f>IF(ISNUMBER(AD899),ROUND(AD899-AE899-V899,2),"")</x:f>
      </x:c>
      <x:c r="AG899" t="str">
        <x:f>IF(NOT(ISNUMBER(T899)),"PENDING",IF(AF899&gt;0,"PASS","FAIL"))</x:f>
        <x:v>PENDING</x:v>
      </x:c>
      <x:c r="AH899" t="str">
        <x:f>IF(NOT(ISNUMBER(T899)),"Needs supplier cost",IF(K899&lt;&gt;"In stock","Supplier unavailable",IF(AG899&lt;&gt;"PASS","BLOCK - GT loss risk","Commercially protected")))</x:f>
        <x:v>Needs supplier cost</x:v>
      </x:c>
      <x:c r="AI899" t="str">
        <x:v>2026-09-10 Active Sports trade capture</x:v>
      </x:c>
      <x:c r="AJ899" t="str">
        <x:v>Management-only economics. Stripe stress test uses 1.5% + £0.20 standard UK online-card fee; pallet/mix-and-match pricing ignored.</x:v>
      </x:c>
    </x:row>
    <x:row r="900">
      <x:c r="A900" t="str">
        <x:v>Active Sports Nutrition</x:v>
      </x:c>
      <x:c r="B900" t="str">
        <x:v>Conteh Sports</x:v>
      </x:c>
      <x:c r="C900" t="str">
        <x:v>Mega Pump Elite</x:v>
      </x:c>
      <x:c r="D900" t="str">
        <x:v>Pre Workouts</x:v>
      </x:c>
      <x:c r="E900" t="str">
        <x:v>Stim FREE</x:v>
      </x:c>
      <x:c r="F900" t="str"/>
      <x:c r="G900" t="str">
        <x:v>390g</x:v>
      </x:c>
      <x:c r="H900" t="str">
        <x:v>Cherry</x:v>
      </x:c>
      <x:c r="I900" t="str"/>
      <x:c r="J900" t="str">
        <x:v>Unit</x:v>
      </x:c>
      <x:c r="K900" t="str">
        <x:v>In stock</x:v>
      </x:c>
      <x:c r="L900" t="str">
        <x:v>2026-09-08</x:v>
      </x:c>
      <x:c r="M900" t="str"/>
      <x:c r="N900" t="str"/>
      <x:c r="O900" t="str">
        <x:v>https://www.activesportstrade.co.uk/conteh-sports-trade</x:v>
      </x:c>
      <x:c r="P900" t="str"/>
      <x:c r="Q900" t="str"/>
      <x:c r="R900" t="str"/>
      <x:c r="S900" t="str">
        <x:v>Pending genuine supplier/brand image</x:v>
      </x:c>
      <x:c r="T900" s="54"/>
      <x:c r="U900" s="47" t="n">
        <x:v>0.2</x:v>
      </x:c>
      <x:c r="V900" s="54" t="str">
        <x:f>IF(ISNUMBER(T900),T900*(1+U900),"")</x:f>
      </x:c>
      <x:c r="W900" s="47" t="n">
        <x:v>0.3</x:v>
      </x:c>
      <x:c r="X900" s="54" t="str">
        <x:f>IF(ISNUMBER(V900),V900/(1-W900),"")</x:f>
      </x:c>
      <x:c r="Y900" s="55" t="str">
        <x:f>IF(ISNUMBER(X900),ROUNDUP(X900,0),"")</x:f>
      </x:c>
      <x:c r="Z900" t="str">
        <x:f>IF(ISNUMBER(T900),"Cost captured","Awaiting trade cost")</x:f>
        <x:v>Awaiting trade cost</x:v>
      </x:c>
      <x:c r="AB900" s="36" t="str">
        <x:f>IF(ISNUMBER(Y900),ROUND(Y900*0.9,2),"")</x:f>
      </x:c>
      <x:c r="AC900" s="36" t="str">
        <x:f>IF(ISNUMBER(AB900),ROUND(AB900-(AB900*0.015+0.2)-V900,2),"")</x:f>
      </x:c>
      <x:c r="AD900" s="36" t="str">
        <x:f>IF(ISNUMBER(Y900),ROUND(Y900*0.8,2),"")</x:f>
      </x:c>
      <x:c r="AE900" s="36" t="str">
        <x:f>IF(ISNUMBER(AD900),ROUND(AD900*0.015+0.2,2),"")</x:f>
      </x:c>
      <x:c r="AF900" s="36" t="str">
        <x:f>IF(ISNUMBER(AD900),ROUND(AD900-AE900-V900,2),"")</x:f>
      </x:c>
      <x:c r="AG900" t="str">
        <x:f>IF(NOT(ISNUMBER(T900)),"PENDING",IF(AF900&gt;0,"PASS","FAIL"))</x:f>
        <x:v>PENDING</x:v>
      </x:c>
      <x:c r="AH900" t="str">
        <x:f>IF(NOT(ISNUMBER(T900)),"Needs supplier cost",IF(K900&lt;&gt;"In stock","Supplier unavailable",IF(AG900&lt;&gt;"PASS","BLOCK - GT loss risk","Commercially protected")))</x:f>
        <x:v>Needs supplier cost</x:v>
      </x:c>
      <x:c r="AI900" t="str">
        <x:v>2026-09-10 Active Sports trade capture</x:v>
      </x:c>
      <x:c r="AJ900" t="str">
        <x:v>Management-only economics. Stripe stress test uses 1.5% + £0.20 standard UK online-card fee; pallet/mix-and-match pricing ignored.</x:v>
      </x:c>
    </x:row>
    <x:row r="901">
      <x:c r="A901" t="str">
        <x:v>Active Sports Nutrition</x:v>
      </x:c>
      <x:c r="B901" t="str">
        <x:v>Conteh Sports</x:v>
      </x:c>
      <x:c r="C901" t="str">
        <x:v>Mega Pump Elite</x:v>
      </x:c>
      <x:c r="D901" t="str">
        <x:v>Pre Workouts</x:v>
      </x:c>
      <x:c r="E901" t="str">
        <x:v>Stim FREE</x:v>
      </x:c>
      <x:c r="F901" t="str"/>
      <x:c r="G901" t="str">
        <x:v>390g</x:v>
      </x:c>
      <x:c r="H901" t="str">
        <x:v>Fruit Burst</x:v>
      </x:c>
      <x:c r="I901" t="str"/>
      <x:c r="J901" t="str">
        <x:v>Unit</x:v>
      </x:c>
      <x:c r="K901" t="str">
        <x:v>In stock</x:v>
      </x:c>
      <x:c r="L901" t="str">
        <x:v>2026-09-08</x:v>
      </x:c>
      <x:c r="M901" t="str"/>
      <x:c r="N901" t="str"/>
      <x:c r="O901" t="str">
        <x:v>https://www.activesportstrade.co.uk/conteh-sports-trade</x:v>
      </x:c>
      <x:c r="P901" t="str"/>
      <x:c r="Q901" t="str"/>
      <x:c r="R901" t="str"/>
      <x:c r="S901" t="str">
        <x:v>Pending genuine supplier/brand image</x:v>
      </x:c>
      <x:c r="T901" s="54"/>
      <x:c r="U901" s="47" t="n">
        <x:v>0.2</x:v>
      </x:c>
      <x:c r="V901" s="54" t="str">
        <x:f>IF(ISNUMBER(T901),T901*(1+U901),"")</x:f>
      </x:c>
      <x:c r="W901" s="47" t="n">
        <x:v>0.3</x:v>
      </x:c>
      <x:c r="X901" s="54" t="str">
        <x:f>IF(ISNUMBER(V901),V901/(1-W901),"")</x:f>
      </x:c>
      <x:c r="Y901" s="55" t="str">
        <x:f>IF(ISNUMBER(X901),ROUNDUP(X901,0),"")</x:f>
      </x:c>
      <x:c r="Z901" t="str">
        <x:f>IF(ISNUMBER(T901),"Cost captured","Awaiting trade cost")</x:f>
        <x:v>Awaiting trade cost</x:v>
      </x:c>
      <x:c r="AB901" s="36" t="str">
        <x:f>IF(ISNUMBER(Y901),ROUND(Y901*0.9,2),"")</x:f>
      </x:c>
      <x:c r="AC901" s="36" t="str">
        <x:f>IF(ISNUMBER(AB901),ROUND(AB901-(AB901*0.015+0.2)-V901,2),"")</x:f>
      </x:c>
      <x:c r="AD901" s="36" t="str">
        <x:f>IF(ISNUMBER(Y901),ROUND(Y901*0.8,2),"")</x:f>
      </x:c>
      <x:c r="AE901" s="36" t="str">
        <x:f>IF(ISNUMBER(AD901),ROUND(AD901*0.015+0.2,2),"")</x:f>
      </x:c>
      <x:c r="AF901" s="36" t="str">
        <x:f>IF(ISNUMBER(AD901),ROUND(AD901-AE901-V901,2),"")</x:f>
      </x:c>
      <x:c r="AG901" t="str">
        <x:f>IF(NOT(ISNUMBER(T901)),"PENDING",IF(AF901&gt;0,"PASS","FAIL"))</x:f>
        <x:v>PENDING</x:v>
      </x:c>
      <x:c r="AH901" t="str">
        <x:f>IF(NOT(ISNUMBER(T901)),"Needs supplier cost",IF(K901&lt;&gt;"In stock","Supplier unavailable",IF(AG901&lt;&gt;"PASS","BLOCK - GT loss risk","Commercially protected")))</x:f>
        <x:v>Needs supplier cost</x:v>
      </x:c>
      <x:c r="AI901" t="str">
        <x:v>2026-09-10 Active Sports trade capture</x:v>
      </x:c>
      <x:c r="AJ901" t="str">
        <x:v>Management-only economics. Stripe stress test uses 1.5% + £0.20 standard UK online-card fee; pallet/mix-and-match pricing ignored.</x:v>
      </x:c>
    </x:row>
    <x:row r="902">
      <x:c r="A902" t="str">
        <x:v>Active Sports Nutrition</x:v>
      </x:c>
      <x:c r="B902" t="str">
        <x:v>Conteh Sports</x:v>
      </x:c>
      <x:c r="C902" t="str">
        <x:v>Mega Pump Elite</x:v>
      </x:c>
      <x:c r="D902" t="str">
        <x:v>Pre Workouts</x:v>
      </x:c>
      <x:c r="E902" t="str">
        <x:v>Stim FREE</x:v>
      </x:c>
      <x:c r="F902" t="str"/>
      <x:c r="G902" t="str">
        <x:v>390g</x:v>
      </x:c>
      <x:c r="H902" t="str">
        <x:v>Grape</x:v>
      </x:c>
      <x:c r="I902" t="str"/>
      <x:c r="J902" t="str">
        <x:v>Unit</x:v>
      </x:c>
      <x:c r="K902" t="str">
        <x:v>Out of stock</x:v>
      </x:c>
      <x:c r="L902" t="str">
        <x:v>2026-09-08</x:v>
      </x:c>
      <x:c r="M902" t="str"/>
      <x:c r="N902" t="str"/>
      <x:c r="O902" t="str">
        <x:v>https://www.activesportstrade.co.uk/conteh-sports-trade</x:v>
      </x:c>
      <x:c r="P902" t="str"/>
      <x:c r="Q902" t="str"/>
      <x:c r="R902" t="str"/>
      <x:c r="S902" t="str">
        <x:v>Pending genuine supplier/brand image</x:v>
      </x:c>
      <x:c r="T902" s="54"/>
      <x:c r="U902" s="47" t="n">
        <x:v>0.2</x:v>
      </x:c>
      <x:c r="V902" s="54" t="str">
        <x:f>IF(ISNUMBER(T902),T902*(1+U902),"")</x:f>
      </x:c>
      <x:c r="W902" s="47" t="n">
        <x:v>0.3</x:v>
      </x:c>
      <x:c r="X902" s="54" t="str">
        <x:f>IF(ISNUMBER(V902),V902/(1-W902),"")</x:f>
      </x:c>
      <x:c r="Y902" s="55" t="str">
        <x:f>IF(ISNUMBER(X902),ROUNDUP(X902,0),"")</x:f>
      </x:c>
      <x:c r="Z902" t="str">
        <x:f>IF(ISNUMBER(T902),"Cost captured","Awaiting trade cost")</x:f>
        <x:v>Awaiting trade cost</x:v>
      </x:c>
      <x:c r="AB902" s="36" t="str">
        <x:f>IF(ISNUMBER(Y902),ROUND(Y902*0.9,2),"")</x:f>
      </x:c>
      <x:c r="AC902" s="36" t="str">
        <x:f>IF(ISNUMBER(AB902),ROUND(AB902-(AB902*0.015+0.2)-V902,2),"")</x:f>
      </x:c>
      <x:c r="AD902" s="36" t="str">
        <x:f>IF(ISNUMBER(Y902),ROUND(Y902*0.8,2),"")</x:f>
      </x:c>
      <x:c r="AE902" s="36" t="str">
        <x:f>IF(ISNUMBER(AD902),ROUND(AD902*0.015+0.2,2),"")</x:f>
      </x:c>
      <x:c r="AF902" s="36" t="str">
        <x:f>IF(ISNUMBER(AD902),ROUND(AD902-AE902-V902,2),"")</x:f>
      </x:c>
      <x:c r="AG902" t="str">
        <x:f>IF(NOT(ISNUMBER(T902)),"PENDING",IF(AF902&gt;0,"PASS","FAIL"))</x:f>
        <x:v>PENDING</x:v>
      </x:c>
      <x:c r="AH902" t="str">
        <x:f>IF(NOT(ISNUMBER(T902)),"Needs supplier cost",IF(K902&lt;&gt;"In stock","Supplier unavailable",IF(AG902&lt;&gt;"PASS","BLOCK - GT loss risk","Commercially protected")))</x:f>
        <x:v>Needs supplier cost</x:v>
      </x:c>
      <x:c r="AI902" t="str">
        <x:v>2026-09-10 Active Sports trade capture</x:v>
      </x:c>
      <x:c r="AJ902" t="str">
        <x:v>Management-only economics. Stripe stress test uses 1.5% + £0.20 standard UK online-card fee; pallet/mix-and-match pricing ignored.</x:v>
      </x:c>
    </x:row>
    <x:row r="903">
      <x:c r="A903" t="str">
        <x:v>Active Sports Nutrition</x:v>
      </x:c>
      <x:c r="B903" t="str">
        <x:v>Conteh Sports</x:v>
      </x:c>
      <x:c r="C903" t="str">
        <x:v>Mega Pump Elite</x:v>
      </x:c>
      <x:c r="D903" t="str">
        <x:v>Pre Workouts</x:v>
      </x:c>
      <x:c r="E903" t="str">
        <x:v>Stim FREE</x:v>
      </x:c>
      <x:c r="F903" t="str"/>
      <x:c r="G903" t="str">
        <x:v>390g</x:v>
      </x:c>
      <x:c r="H903" t="str">
        <x:v>Peach</x:v>
      </x:c>
      <x:c r="I903" t="str"/>
      <x:c r="J903" t="str">
        <x:v>Unit</x:v>
      </x:c>
      <x:c r="K903" t="str">
        <x:v>In stock</x:v>
      </x:c>
      <x:c r="L903" t="str">
        <x:v>2026-09-08</x:v>
      </x:c>
      <x:c r="M903" t="str"/>
      <x:c r="N903" t="str"/>
      <x:c r="O903" t="str">
        <x:v>https://www.activesportstrade.co.uk/conteh-sports-trade</x:v>
      </x:c>
      <x:c r="P903" t="str"/>
      <x:c r="Q903" t="str"/>
      <x:c r="R903" t="str"/>
      <x:c r="S903" t="str">
        <x:v>Pending genuine supplier/brand image</x:v>
      </x:c>
      <x:c r="T903" s="54"/>
      <x:c r="U903" s="47" t="n">
        <x:v>0.2</x:v>
      </x:c>
      <x:c r="V903" s="54" t="str">
        <x:f>IF(ISNUMBER(T903),T903*(1+U903),"")</x:f>
      </x:c>
      <x:c r="W903" s="47" t="n">
        <x:v>0.3</x:v>
      </x:c>
      <x:c r="X903" s="54" t="str">
        <x:f>IF(ISNUMBER(V903),V903/(1-W903),"")</x:f>
      </x:c>
      <x:c r="Y903" s="55" t="str">
        <x:f>IF(ISNUMBER(X903),ROUNDUP(X903,0),"")</x:f>
      </x:c>
      <x:c r="Z903" t="str">
        <x:f>IF(ISNUMBER(T903),"Cost captured","Awaiting trade cost")</x:f>
        <x:v>Awaiting trade cost</x:v>
      </x:c>
      <x:c r="AB903" s="36" t="str">
        <x:f>IF(ISNUMBER(Y903),ROUND(Y903*0.9,2),"")</x:f>
      </x:c>
      <x:c r="AC903" s="36" t="str">
        <x:f>IF(ISNUMBER(AB903),ROUND(AB903-(AB903*0.015+0.2)-V903,2),"")</x:f>
      </x:c>
      <x:c r="AD903" s="36" t="str">
        <x:f>IF(ISNUMBER(Y903),ROUND(Y903*0.8,2),"")</x:f>
      </x:c>
      <x:c r="AE903" s="36" t="str">
        <x:f>IF(ISNUMBER(AD903),ROUND(AD903*0.015+0.2,2),"")</x:f>
      </x:c>
      <x:c r="AF903" s="36" t="str">
        <x:f>IF(ISNUMBER(AD903),ROUND(AD903-AE903-V903,2),"")</x:f>
      </x:c>
      <x:c r="AG903" t="str">
        <x:f>IF(NOT(ISNUMBER(T903)),"PENDING",IF(AF903&gt;0,"PASS","FAIL"))</x:f>
        <x:v>PENDING</x:v>
      </x:c>
      <x:c r="AH903" t="str">
        <x:f>IF(NOT(ISNUMBER(T903)),"Needs supplier cost",IF(K903&lt;&gt;"In stock","Supplier unavailable",IF(AG903&lt;&gt;"PASS","BLOCK - GT loss risk","Commercially protected")))</x:f>
        <x:v>Needs supplier cost</x:v>
      </x:c>
      <x:c r="AI903" t="str">
        <x:v>2026-09-10 Active Sports trade capture</x:v>
      </x:c>
      <x:c r="AJ903" t="str">
        <x:v>Management-only economics. Stripe stress test uses 1.5% + £0.20 standard UK online-card fee; pallet/mix-and-match pricing ignored.</x:v>
      </x:c>
    </x:row>
    <x:row r="904">
      <x:c r="A904" t="str">
        <x:v>Active Sports Nutrition</x:v>
      </x:c>
      <x:c r="B904" t="str">
        <x:v>Conteh Sports</x:v>
      </x:c>
      <x:c r="C904" t="str">
        <x:v>Mega Pump Elite</x:v>
      </x:c>
      <x:c r="D904" t="str">
        <x:v>Pre Workouts</x:v>
      </x:c>
      <x:c r="E904" t="str">
        <x:v>Stim FREE</x:v>
      </x:c>
      <x:c r="F904" t="str"/>
      <x:c r="G904" t="str">
        <x:v>390g</x:v>
      </x:c>
      <x:c r="H904" t="str">
        <x:v>Raspberry Twist</x:v>
      </x:c>
      <x:c r="I904" t="str"/>
      <x:c r="J904" t="str">
        <x:v>Unit</x:v>
      </x:c>
      <x:c r="K904" t="str">
        <x:v>In stock</x:v>
      </x:c>
      <x:c r="L904" t="str">
        <x:v>2026-09-08</x:v>
      </x:c>
      <x:c r="M904" t="str"/>
      <x:c r="N904" t="str"/>
      <x:c r="O904" t="str">
        <x:v>https://www.activesportstrade.co.uk/conteh-sports-trade</x:v>
      </x:c>
      <x:c r="P904" t="str"/>
      <x:c r="Q904" t="str"/>
      <x:c r="R904" t="str"/>
      <x:c r="S904" t="str">
        <x:v>Pending genuine supplier/brand image</x:v>
      </x:c>
      <x:c r="T904" s="54"/>
      <x:c r="U904" s="47" t="n">
        <x:v>0.2</x:v>
      </x:c>
      <x:c r="V904" s="54" t="str">
        <x:f>IF(ISNUMBER(T904),T904*(1+U904),"")</x:f>
      </x:c>
      <x:c r="W904" s="47" t="n">
        <x:v>0.3</x:v>
      </x:c>
      <x:c r="X904" s="54" t="str">
        <x:f>IF(ISNUMBER(V904),V904/(1-W904),"")</x:f>
      </x:c>
      <x:c r="Y904" s="55" t="str">
        <x:f>IF(ISNUMBER(X904),ROUNDUP(X904,0),"")</x:f>
      </x:c>
      <x:c r="Z904" t="str">
        <x:f>IF(ISNUMBER(T904),"Cost captured","Awaiting trade cost")</x:f>
        <x:v>Awaiting trade cost</x:v>
      </x:c>
      <x:c r="AB904" s="36" t="str">
        <x:f>IF(ISNUMBER(Y904),ROUND(Y904*0.9,2),"")</x:f>
      </x:c>
      <x:c r="AC904" s="36" t="str">
        <x:f>IF(ISNUMBER(AB904),ROUND(AB904-(AB904*0.015+0.2)-V904,2),"")</x:f>
      </x:c>
      <x:c r="AD904" s="36" t="str">
        <x:f>IF(ISNUMBER(Y904),ROUND(Y904*0.8,2),"")</x:f>
      </x:c>
      <x:c r="AE904" s="36" t="str">
        <x:f>IF(ISNUMBER(AD904),ROUND(AD904*0.015+0.2,2),"")</x:f>
      </x:c>
      <x:c r="AF904" s="36" t="str">
        <x:f>IF(ISNUMBER(AD904),ROUND(AD904-AE904-V904,2),"")</x:f>
      </x:c>
      <x:c r="AG904" t="str">
        <x:f>IF(NOT(ISNUMBER(T904)),"PENDING",IF(AF904&gt;0,"PASS","FAIL"))</x:f>
        <x:v>PENDING</x:v>
      </x:c>
      <x:c r="AH904" t="str">
        <x:f>IF(NOT(ISNUMBER(T904)),"Needs supplier cost",IF(K904&lt;&gt;"In stock","Supplier unavailable",IF(AG904&lt;&gt;"PASS","BLOCK - GT loss risk","Commercially protected")))</x:f>
        <x:v>Needs supplier cost</x:v>
      </x:c>
      <x:c r="AI904" t="str">
        <x:v>2026-09-10 Active Sports trade capture</x:v>
      </x:c>
      <x:c r="AJ904" t="str">
        <x:v>Management-only economics. Stripe stress test uses 1.5% + £0.20 standard UK online-card fee; pallet/mix-and-match pricing ignored.</x:v>
      </x:c>
    </x:row>
    <x:row r="905">
      <x:c r="A905" t="str">
        <x:v>Active Sports Nutrition</x:v>
      </x:c>
      <x:c r="B905" t="str">
        <x:v>Conteh Sports</x:v>
      </x:c>
      <x:c r="C905" t="str">
        <x:v>Supreme Sleep</x:v>
      </x:c>
      <x:c r="D905" t="str">
        <x:v>Supplements</x:v>
      </x:c>
      <x:c r="E905" t="str">
        <x:v>Sleep Aids</x:v>
      </x:c>
      <x:c r="F905" t="str"/>
      <x:c r="G905" t="str">
        <x:v>30 servings</x:v>
      </x:c>
      <x:c r="H905" t="str">
        <x:v>Blackcurrant</x:v>
      </x:c>
      <x:c r="I905" t="str"/>
      <x:c r="J905" t="str">
        <x:v>Unit</x:v>
      </x:c>
      <x:c r="K905" t="str">
        <x:v>In stock</x:v>
      </x:c>
      <x:c r="L905" t="str">
        <x:v>2026-09-08</x:v>
      </x:c>
      <x:c r="M905" t="str"/>
      <x:c r="N905" t="str"/>
      <x:c r="O905" t="str">
        <x:v>https://www.activesportstrade.co.uk/conteh-sports-trade</x:v>
      </x:c>
      <x:c r="P905" t="str"/>
      <x:c r="Q905" t="str"/>
      <x:c r="R905" t="str"/>
      <x:c r="S905" t="str">
        <x:v>Pending genuine supplier/brand image</x:v>
      </x:c>
      <x:c r="T905" s="54"/>
      <x:c r="U905" s="47" t="n">
        <x:v>0.2</x:v>
      </x:c>
      <x:c r="V905" s="54" t="str">
        <x:f>IF(ISNUMBER(T905),T905*(1+U905),"")</x:f>
      </x:c>
      <x:c r="W905" s="47" t="n">
        <x:v>0.3</x:v>
      </x:c>
      <x:c r="X905" s="54" t="str">
        <x:f>IF(ISNUMBER(V905),V905/(1-W905),"")</x:f>
      </x:c>
      <x:c r="Y905" s="55" t="str">
        <x:f>IF(ISNUMBER(X905),ROUNDUP(X905,0),"")</x:f>
      </x:c>
      <x:c r="Z905" t="str">
        <x:f>IF(ISNUMBER(T905),"Cost captured","Awaiting trade cost")</x:f>
        <x:v>Awaiting trade cost</x:v>
      </x:c>
      <x:c r="AB905" s="36" t="str">
        <x:f>IF(ISNUMBER(Y905),ROUND(Y905*0.9,2),"")</x:f>
      </x:c>
      <x:c r="AC905" s="36" t="str">
        <x:f>IF(ISNUMBER(AB905),ROUND(AB905-(AB905*0.015+0.2)-V905,2),"")</x:f>
      </x:c>
      <x:c r="AD905" s="36" t="str">
        <x:f>IF(ISNUMBER(Y905),ROUND(Y905*0.8,2),"")</x:f>
      </x:c>
      <x:c r="AE905" s="36" t="str">
        <x:f>IF(ISNUMBER(AD905),ROUND(AD905*0.015+0.2,2),"")</x:f>
      </x:c>
      <x:c r="AF905" s="36" t="str">
        <x:f>IF(ISNUMBER(AD905),ROUND(AD905-AE905-V905,2),"")</x:f>
      </x:c>
      <x:c r="AG905" t="str">
        <x:f>IF(NOT(ISNUMBER(T905)),"PENDING",IF(AF905&gt;0,"PASS","FAIL"))</x:f>
        <x:v>PENDING</x:v>
      </x:c>
      <x:c r="AH905" t="str">
        <x:f>IF(NOT(ISNUMBER(T905)),"Needs supplier cost",IF(K905&lt;&gt;"In stock","Supplier unavailable",IF(AG905&lt;&gt;"PASS","BLOCK - GT loss risk","Commercially protected")))</x:f>
        <x:v>Needs supplier cost</x:v>
      </x:c>
      <x:c r="AI905" t="str">
        <x:v>2026-09-10 Active Sports trade capture</x:v>
      </x:c>
      <x:c r="AJ905" t="str">
        <x:v>Management-only economics. Stripe stress test uses 1.5% + £0.20 standard UK online-card fee; pallet/mix-and-match pricing ignored.</x:v>
      </x:c>
    </x:row>
    <x:row r="906">
      <x:c r="A906" t="str">
        <x:v>Active Sports Nutrition</x:v>
      </x:c>
      <x:c r="B906" t="str">
        <x:v>Conteh Sports</x:v>
      </x:c>
      <x:c r="C906" t="str">
        <x:v>Supreme Sleep</x:v>
      </x:c>
      <x:c r="D906" t="str">
        <x:v>Supplements</x:v>
      </x:c>
      <x:c r="E906" t="str">
        <x:v>Sleep Aids</x:v>
      </x:c>
      <x:c r="F906" t="str"/>
      <x:c r="G906" t="str">
        <x:v>30 servings</x:v>
      </x:c>
      <x:c r="H906" t="str">
        <x:v>Mango</x:v>
      </x:c>
      <x:c r="I906" t="str"/>
      <x:c r="J906" t="str">
        <x:v>Unit</x:v>
      </x:c>
      <x:c r="K906" t="str">
        <x:v>Out of stock</x:v>
      </x:c>
      <x:c r="L906" t="str">
        <x:v>2026-09-08</x:v>
      </x:c>
      <x:c r="M906" t="str"/>
      <x:c r="N906" t="str"/>
      <x:c r="O906" t="str">
        <x:v>https://www.activesportstrade.co.uk/conteh-sports-trade</x:v>
      </x:c>
      <x:c r="P906" t="str"/>
      <x:c r="Q906" t="str"/>
      <x:c r="R906" t="str"/>
      <x:c r="S906" t="str">
        <x:v>Pending genuine supplier/brand image</x:v>
      </x:c>
      <x:c r="T906" s="54"/>
      <x:c r="U906" s="47" t="n">
        <x:v>0.2</x:v>
      </x:c>
      <x:c r="V906" s="54" t="str">
        <x:f>IF(ISNUMBER(T906),T906*(1+U906),"")</x:f>
      </x:c>
      <x:c r="W906" s="47" t="n">
        <x:v>0.3</x:v>
      </x:c>
      <x:c r="X906" s="54" t="str">
        <x:f>IF(ISNUMBER(V906),V906/(1-W906),"")</x:f>
      </x:c>
      <x:c r="Y906" s="55" t="str">
        <x:f>IF(ISNUMBER(X906),ROUNDUP(X906,0),"")</x:f>
      </x:c>
      <x:c r="Z906" t="str">
        <x:f>IF(ISNUMBER(T906),"Cost captured","Awaiting trade cost")</x:f>
        <x:v>Awaiting trade cost</x:v>
      </x:c>
      <x:c r="AB906" s="36" t="str">
        <x:f>IF(ISNUMBER(Y906),ROUND(Y906*0.9,2),"")</x:f>
      </x:c>
      <x:c r="AC906" s="36" t="str">
        <x:f>IF(ISNUMBER(AB906),ROUND(AB906-(AB906*0.015+0.2)-V906,2),"")</x:f>
      </x:c>
      <x:c r="AD906" s="36" t="str">
        <x:f>IF(ISNUMBER(Y906),ROUND(Y906*0.8,2),"")</x:f>
      </x:c>
      <x:c r="AE906" s="36" t="str">
        <x:f>IF(ISNUMBER(AD906),ROUND(AD906*0.015+0.2,2),"")</x:f>
      </x:c>
      <x:c r="AF906" s="36" t="str">
        <x:f>IF(ISNUMBER(AD906),ROUND(AD906-AE906-V906,2),"")</x:f>
      </x:c>
      <x:c r="AG906" t="str">
        <x:f>IF(NOT(ISNUMBER(T906)),"PENDING",IF(AF906&gt;0,"PASS","FAIL"))</x:f>
        <x:v>PENDING</x:v>
      </x:c>
      <x:c r="AH906" t="str">
        <x:f>IF(NOT(ISNUMBER(T906)),"Needs supplier cost",IF(K906&lt;&gt;"In stock","Supplier unavailable",IF(AG906&lt;&gt;"PASS","BLOCK - GT loss risk","Commercially protected")))</x:f>
        <x:v>Needs supplier cost</x:v>
      </x:c>
      <x:c r="AI906" t="str">
        <x:v>2026-09-10 Active Sports trade capture</x:v>
      </x:c>
      <x:c r="AJ906" t="str">
        <x:v>Management-only economics. Stripe stress test uses 1.5% + £0.20 standard UK online-card fee; pallet/mix-and-match pricing ignored.</x:v>
      </x:c>
    </x:row>
    <x:row r="907">
      <x:c r="A907" t="str">
        <x:v>Active Sports Nutrition</x:v>
      </x:c>
      <x:c r="B907" t="str">
        <x:v>Conteh Sports</x:v>
      </x:c>
      <x:c r="C907" t="str">
        <x:v>The PUMP</x:v>
      </x:c>
      <x:c r="D907" t="str">
        <x:v>Pre Workouts</x:v>
      </x:c>
      <x:c r="E907" t="str">
        <x:v>Stim FREE</x:v>
      </x:c>
      <x:c r="F907" t="str"/>
      <x:c r="G907" t="str">
        <x:v>30 servings</x:v>
      </x:c>
      <x:c r="H907" t="str">
        <x:v>Berry</x:v>
      </x:c>
      <x:c r="I907" t="str"/>
      <x:c r="J907" t="str">
        <x:v>Unit</x:v>
      </x:c>
      <x:c r="K907" t="str">
        <x:v>In stock</x:v>
      </x:c>
      <x:c r="L907" t="str">
        <x:v>2026-09-08</x:v>
      </x:c>
      <x:c r="M907" t="str"/>
      <x:c r="N907" t="str"/>
      <x:c r="O907" t="str">
        <x:v>https://www.activesportstrade.co.uk/conteh-sports-trade</x:v>
      </x:c>
      <x:c r="P907" t="str"/>
      <x:c r="Q907" t="str"/>
      <x:c r="R907" t="str"/>
      <x:c r="S907" t="str">
        <x:v>Pending genuine supplier/brand image</x:v>
      </x:c>
      <x:c r="T907" s="54"/>
      <x:c r="U907" s="47" t="n">
        <x:v>0.2</x:v>
      </x:c>
      <x:c r="V907" s="54" t="str">
        <x:f>IF(ISNUMBER(T907),T907*(1+U907),"")</x:f>
      </x:c>
      <x:c r="W907" s="47" t="n">
        <x:v>0.3</x:v>
      </x:c>
      <x:c r="X907" s="54" t="str">
        <x:f>IF(ISNUMBER(V907),V907/(1-W907),"")</x:f>
      </x:c>
      <x:c r="Y907" s="55" t="str">
        <x:f>IF(ISNUMBER(X907),ROUNDUP(X907,0),"")</x:f>
      </x:c>
      <x:c r="Z907" t="str">
        <x:f>IF(ISNUMBER(T907),"Cost captured","Awaiting trade cost")</x:f>
        <x:v>Awaiting trade cost</x:v>
      </x:c>
      <x:c r="AB907" s="36" t="str">
        <x:f>IF(ISNUMBER(Y907),ROUND(Y907*0.9,2),"")</x:f>
      </x:c>
      <x:c r="AC907" s="36" t="str">
        <x:f>IF(ISNUMBER(AB907),ROUND(AB907-(AB907*0.015+0.2)-V907,2),"")</x:f>
      </x:c>
      <x:c r="AD907" s="36" t="str">
        <x:f>IF(ISNUMBER(Y907),ROUND(Y907*0.8,2),"")</x:f>
      </x:c>
      <x:c r="AE907" s="36" t="str">
        <x:f>IF(ISNUMBER(AD907),ROUND(AD907*0.015+0.2,2),"")</x:f>
      </x:c>
      <x:c r="AF907" s="36" t="str">
        <x:f>IF(ISNUMBER(AD907),ROUND(AD907-AE907-V907,2),"")</x:f>
      </x:c>
      <x:c r="AG907" t="str">
        <x:f>IF(NOT(ISNUMBER(T907)),"PENDING",IF(AF907&gt;0,"PASS","FAIL"))</x:f>
        <x:v>PENDING</x:v>
      </x:c>
      <x:c r="AH907" t="str">
        <x:f>IF(NOT(ISNUMBER(T907)),"Needs supplier cost",IF(K907&lt;&gt;"In stock","Supplier unavailable",IF(AG907&lt;&gt;"PASS","BLOCK - GT loss risk","Commercially protected")))</x:f>
        <x:v>Needs supplier cost</x:v>
      </x:c>
      <x:c r="AI907" t="str">
        <x:v>2026-09-10 Active Sports trade capture</x:v>
      </x:c>
      <x:c r="AJ907" t="str">
        <x:v>Management-only economics. Stripe stress test uses 1.5% + £0.20 standard UK online-card fee; pallet/mix-and-match pricing ignored.</x:v>
      </x:c>
    </x:row>
    <x:row r="908">
      <x:c r="A908" t="str">
        <x:v>Active Sports Nutrition</x:v>
      </x:c>
      <x:c r="B908" t="str">
        <x:v>Conteh Sports</x:v>
      </x:c>
      <x:c r="C908" t="str">
        <x:v>The PUMP</x:v>
      </x:c>
      <x:c r="D908" t="str">
        <x:v>Pre Workouts</x:v>
      </x:c>
      <x:c r="E908" t="str">
        <x:v>Stim FREE</x:v>
      </x:c>
      <x:c r="F908" t="str"/>
      <x:c r="G908" t="str">
        <x:v>30 servings</x:v>
      </x:c>
      <x:c r="H908" t="str">
        <x:v>Cherry</x:v>
      </x:c>
      <x:c r="I908" t="str"/>
      <x:c r="J908" t="str">
        <x:v>Unit</x:v>
      </x:c>
      <x:c r="K908" t="str">
        <x:v>In stock</x:v>
      </x:c>
      <x:c r="L908" t="str">
        <x:v>2026-09-08</x:v>
      </x:c>
      <x:c r="M908" t="str"/>
      <x:c r="N908" t="str"/>
      <x:c r="O908" t="str">
        <x:v>https://www.activesportstrade.co.uk/conteh-sports-trade</x:v>
      </x:c>
      <x:c r="P908" t="str"/>
      <x:c r="Q908" t="str"/>
      <x:c r="R908" t="str"/>
      <x:c r="S908" t="str">
        <x:v>Pending genuine supplier/brand image</x:v>
      </x:c>
      <x:c r="T908" s="54"/>
      <x:c r="U908" s="47" t="n">
        <x:v>0.2</x:v>
      </x:c>
      <x:c r="V908" s="54" t="str">
        <x:f>IF(ISNUMBER(T908),T908*(1+U908),"")</x:f>
      </x:c>
      <x:c r="W908" s="47" t="n">
        <x:v>0.3</x:v>
      </x:c>
      <x:c r="X908" s="54" t="str">
        <x:f>IF(ISNUMBER(V908),V908/(1-W908),"")</x:f>
      </x:c>
      <x:c r="Y908" s="55" t="str">
        <x:f>IF(ISNUMBER(X908),ROUNDUP(X908,0),"")</x:f>
      </x:c>
      <x:c r="Z908" t="str">
        <x:f>IF(ISNUMBER(T908),"Cost captured","Awaiting trade cost")</x:f>
        <x:v>Awaiting trade cost</x:v>
      </x:c>
      <x:c r="AB908" s="36" t="str">
        <x:f>IF(ISNUMBER(Y908),ROUND(Y908*0.9,2),"")</x:f>
      </x:c>
      <x:c r="AC908" s="36" t="str">
        <x:f>IF(ISNUMBER(AB908),ROUND(AB908-(AB908*0.015+0.2)-V908,2),"")</x:f>
      </x:c>
      <x:c r="AD908" s="36" t="str">
        <x:f>IF(ISNUMBER(Y908),ROUND(Y908*0.8,2),"")</x:f>
      </x:c>
      <x:c r="AE908" s="36" t="str">
        <x:f>IF(ISNUMBER(AD908),ROUND(AD908*0.015+0.2,2),"")</x:f>
      </x:c>
      <x:c r="AF908" s="36" t="str">
        <x:f>IF(ISNUMBER(AD908),ROUND(AD908-AE908-V908,2),"")</x:f>
      </x:c>
      <x:c r="AG908" t="str">
        <x:f>IF(NOT(ISNUMBER(T908)),"PENDING",IF(AF908&gt;0,"PASS","FAIL"))</x:f>
        <x:v>PENDING</x:v>
      </x:c>
      <x:c r="AH908" t="str">
        <x:f>IF(NOT(ISNUMBER(T908)),"Needs supplier cost",IF(K908&lt;&gt;"In stock","Supplier unavailable",IF(AG908&lt;&gt;"PASS","BLOCK - GT loss risk","Commercially protected")))</x:f>
        <x:v>Needs supplier cost</x:v>
      </x:c>
      <x:c r="AI908" t="str">
        <x:v>2026-09-10 Active Sports trade capture</x:v>
      </x:c>
      <x:c r="AJ908" t="str">
        <x:v>Management-only economics. Stripe stress test uses 1.5% + £0.20 standard UK online-card fee; pallet/mix-and-match pricing ignored.</x:v>
      </x:c>
    </x:row>
    <x:row r="909">
      <x:c r="A909" t="str">
        <x:v>Active Sports Nutrition</x:v>
      </x:c>
      <x:c r="B909" t="str">
        <x:v>Conteh Sports</x:v>
      </x:c>
      <x:c r="C909" t="str">
        <x:v>The PUMP</x:v>
      </x:c>
      <x:c r="D909" t="str">
        <x:v>Pre Workouts</x:v>
      </x:c>
      <x:c r="E909" t="str">
        <x:v>Stim FREE</x:v>
      </x:c>
      <x:c r="F909" t="str"/>
      <x:c r="G909" t="str">
        <x:v>30 servings</x:v>
      </x:c>
      <x:c r="H909" t="str">
        <x:v>Strawberry Bubblegum</x:v>
      </x:c>
      <x:c r="I909" t="str"/>
      <x:c r="J909" t="str">
        <x:v>Unit</x:v>
      </x:c>
      <x:c r="K909" t="str">
        <x:v>In stock</x:v>
      </x:c>
      <x:c r="L909" t="str">
        <x:v>2026-09-08</x:v>
      </x:c>
      <x:c r="M909" t="str"/>
      <x:c r="N909" t="str"/>
      <x:c r="O909" t="str">
        <x:v>https://www.activesportstrade.co.uk/conteh-sports-trade</x:v>
      </x:c>
      <x:c r="P909" t="str"/>
      <x:c r="Q909" t="str"/>
      <x:c r="R909" t="str"/>
      <x:c r="S909" t="str">
        <x:v>Pending genuine supplier/brand image</x:v>
      </x:c>
      <x:c r="T909" s="54"/>
      <x:c r="U909" s="47" t="n">
        <x:v>0.2</x:v>
      </x:c>
      <x:c r="V909" s="54" t="str">
        <x:f>IF(ISNUMBER(T909),T909*(1+U909),"")</x:f>
      </x:c>
      <x:c r="W909" s="47" t="n">
        <x:v>0.3</x:v>
      </x:c>
      <x:c r="X909" s="54" t="str">
        <x:f>IF(ISNUMBER(V909),V909/(1-W909),"")</x:f>
      </x:c>
      <x:c r="Y909" s="55" t="str">
        <x:f>IF(ISNUMBER(X909),ROUNDUP(X909,0),"")</x:f>
      </x:c>
      <x:c r="Z909" t="str">
        <x:f>IF(ISNUMBER(T909),"Cost captured","Awaiting trade cost")</x:f>
        <x:v>Awaiting trade cost</x:v>
      </x:c>
      <x:c r="AB909" s="36" t="str">
        <x:f>IF(ISNUMBER(Y909),ROUND(Y909*0.9,2),"")</x:f>
      </x:c>
      <x:c r="AC909" s="36" t="str">
        <x:f>IF(ISNUMBER(AB909),ROUND(AB909-(AB909*0.015+0.2)-V909,2),"")</x:f>
      </x:c>
      <x:c r="AD909" s="36" t="str">
        <x:f>IF(ISNUMBER(Y909),ROUND(Y909*0.8,2),"")</x:f>
      </x:c>
      <x:c r="AE909" s="36" t="str">
        <x:f>IF(ISNUMBER(AD909),ROUND(AD909*0.015+0.2,2),"")</x:f>
      </x:c>
      <x:c r="AF909" s="36" t="str">
        <x:f>IF(ISNUMBER(AD909),ROUND(AD909-AE909-V909,2),"")</x:f>
      </x:c>
      <x:c r="AG909" t="str">
        <x:f>IF(NOT(ISNUMBER(T909)),"PENDING",IF(AF909&gt;0,"PASS","FAIL"))</x:f>
        <x:v>PENDING</x:v>
      </x:c>
      <x:c r="AH909" t="str">
        <x:f>IF(NOT(ISNUMBER(T909)),"Needs supplier cost",IF(K909&lt;&gt;"In stock","Supplier unavailable",IF(AG909&lt;&gt;"PASS","BLOCK - GT loss risk","Commercially protected")))</x:f>
        <x:v>Needs supplier cost</x:v>
      </x:c>
      <x:c r="AI909" t="str">
        <x:v>2026-09-10 Active Sports trade capture</x:v>
      </x:c>
      <x:c r="AJ909" t="str">
        <x:v>Management-only economics. Stripe stress test uses 1.5% + £0.20 standard UK online-card fee; pallet/mix-and-match pricing ignored.</x:v>
      </x:c>
    </x:row>
    <x:row r="910">
      <x:c r="A910" t="str">
        <x:v>Active Sports Nutrition</x:v>
      </x:c>
      <x:c r="B910" t="str">
        <x:v>Conteh Sports</x:v>
      </x:c>
      <x:c r="C910" t="str">
        <x:v>The Stim</x:v>
      </x:c>
      <x:c r="D910" t="str">
        <x:v>Pre Workouts</x:v>
      </x:c>
      <x:c r="E910" t="str">
        <x:v>High Stim</x:v>
      </x:c>
      <x:c r="F910" t="str"/>
      <x:c r="G910" t="str">
        <x:v>30 servings</x:v>
      </x:c>
      <x:c r="H910" t="str">
        <x:v>Blue Slush</x:v>
      </x:c>
      <x:c r="I910" t="str"/>
      <x:c r="J910" t="str">
        <x:v>Unit</x:v>
      </x:c>
      <x:c r="K910" t="str">
        <x:v>In stock</x:v>
      </x:c>
      <x:c r="L910" t="str">
        <x:v>2026-09-08</x:v>
      </x:c>
      <x:c r="M910" t="str"/>
      <x:c r="N910" t="str"/>
      <x:c r="O910" t="str">
        <x:v>https://www.activesportstrade.co.uk/conteh-sports-trade</x:v>
      </x:c>
      <x:c r="P910" t="str"/>
      <x:c r="Q910" t="str"/>
      <x:c r="R910" t="str"/>
      <x:c r="S910" t="str">
        <x:v>Pending genuine supplier/brand image</x:v>
      </x:c>
      <x:c r="T910" s="54"/>
      <x:c r="U910" s="47" t="n">
        <x:v>0.2</x:v>
      </x:c>
      <x:c r="V910" s="54" t="str">
        <x:f>IF(ISNUMBER(T910),T910*(1+U910),"")</x:f>
      </x:c>
      <x:c r="W910" s="47" t="n">
        <x:v>0.3</x:v>
      </x:c>
      <x:c r="X910" s="54" t="str">
        <x:f>IF(ISNUMBER(V910),V910/(1-W910),"")</x:f>
      </x:c>
      <x:c r="Y910" s="55" t="str">
        <x:f>IF(ISNUMBER(X910),ROUNDUP(X910,0),"")</x:f>
      </x:c>
      <x:c r="Z910" t="str">
        <x:f>IF(ISNUMBER(T910),"Cost captured","Awaiting trade cost")</x:f>
        <x:v>Awaiting trade cost</x:v>
      </x:c>
      <x:c r="AB910" s="36" t="str">
        <x:f>IF(ISNUMBER(Y910),ROUND(Y910*0.9,2),"")</x:f>
      </x:c>
      <x:c r="AC910" s="36" t="str">
        <x:f>IF(ISNUMBER(AB910),ROUND(AB910-(AB910*0.015+0.2)-V910,2),"")</x:f>
      </x:c>
      <x:c r="AD910" s="36" t="str">
        <x:f>IF(ISNUMBER(Y910),ROUND(Y910*0.8,2),"")</x:f>
      </x:c>
      <x:c r="AE910" s="36" t="str">
        <x:f>IF(ISNUMBER(AD910),ROUND(AD910*0.015+0.2,2),"")</x:f>
      </x:c>
      <x:c r="AF910" s="36" t="str">
        <x:f>IF(ISNUMBER(AD910),ROUND(AD910-AE910-V910,2),"")</x:f>
      </x:c>
      <x:c r="AG910" t="str">
        <x:f>IF(NOT(ISNUMBER(T910)),"PENDING",IF(AF910&gt;0,"PASS","FAIL"))</x:f>
        <x:v>PENDING</x:v>
      </x:c>
      <x:c r="AH910" t="str">
        <x:f>IF(NOT(ISNUMBER(T910)),"Needs supplier cost",IF(K910&lt;&gt;"In stock","Supplier unavailable",IF(AG910&lt;&gt;"PASS","BLOCK - GT loss risk","Commercially protected")))</x:f>
        <x:v>Needs supplier cost</x:v>
      </x:c>
      <x:c r="AI910" t="str">
        <x:v>2026-09-10 Active Sports trade capture</x:v>
      </x:c>
      <x:c r="AJ910" t="str">
        <x:v>Management-only economics. Stripe stress test uses 1.5% + £0.20 standard UK online-card fee; pallet/mix-and-match pricing ignored.</x:v>
      </x:c>
    </x:row>
    <x:row r="911">
      <x:c r="A911" t="str">
        <x:v>Active Sports Nutrition</x:v>
      </x:c>
      <x:c r="B911" t="str">
        <x:v>Conteh Sports</x:v>
      </x:c>
      <x:c r="C911" t="str">
        <x:v>The Stim</x:v>
      </x:c>
      <x:c r="D911" t="str">
        <x:v>Pre Workouts</x:v>
      </x:c>
      <x:c r="E911" t="str">
        <x:v>High Stim</x:v>
      </x:c>
      <x:c r="F911" t="str"/>
      <x:c r="G911" t="str">
        <x:v>30 servings</x:v>
      </x:c>
      <x:c r="H911" t="str">
        <x:v>Strawberry Bubblegum</x:v>
      </x:c>
      <x:c r="I911" t="str"/>
      <x:c r="J911" t="str">
        <x:v>Unit</x:v>
      </x:c>
      <x:c r="K911" t="str">
        <x:v>In stock</x:v>
      </x:c>
      <x:c r="L911" t="str">
        <x:v>2026-09-08</x:v>
      </x:c>
      <x:c r="M911" t="str"/>
      <x:c r="N911" t="str"/>
      <x:c r="O911" t="str">
        <x:v>https://www.activesportstrade.co.uk/conteh-sports-trade</x:v>
      </x:c>
      <x:c r="P911" t="str"/>
      <x:c r="Q911" t="str"/>
      <x:c r="R911" t="str"/>
      <x:c r="S911" t="str">
        <x:v>Pending genuine supplier/brand image</x:v>
      </x:c>
      <x:c r="T911" s="54"/>
      <x:c r="U911" s="47" t="n">
        <x:v>0.2</x:v>
      </x:c>
      <x:c r="V911" s="54" t="str">
        <x:f>IF(ISNUMBER(T911),T911*(1+U911),"")</x:f>
      </x:c>
      <x:c r="W911" s="47" t="n">
        <x:v>0.3</x:v>
      </x:c>
      <x:c r="X911" s="54" t="str">
        <x:f>IF(ISNUMBER(V911),V911/(1-W911),"")</x:f>
      </x:c>
      <x:c r="Y911" s="55" t="str">
        <x:f>IF(ISNUMBER(X911),ROUNDUP(X911,0),"")</x:f>
      </x:c>
      <x:c r="Z911" t="str">
        <x:f>IF(ISNUMBER(T911),"Cost captured","Awaiting trade cost")</x:f>
        <x:v>Awaiting trade cost</x:v>
      </x:c>
      <x:c r="AB911" s="36" t="str">
        <x:f>IF(ISNUMBER(Y911),ROUND(Y911*0.9,2),"")</x:f>
      </x:c>
      <x:c r="AC911" s="36" t="str">
        <x:f>IF(ISNUMBER(AB911),ROUND(AB911-(AB911*0.015+0.2)-V911,2),"")</x:f>
      </x:c>
      <x:c r="AD911" s="36" t="str">
        <x:f>IF(ISNUMBER(Y911),ROUND(Y911*0.8,2),"")</x:f>
      </x:c>
      <x:c r="AE911" s="36" t="str">
        <x:f>IF(ISNUMBER(AD911),ROUND(AD911*0.015+0.2,2),"")</x:f>
      </x:c>
      <x:c r="AF911" s="36" t="str">
        <x:f>IF(ISNUMBER(AD911),ROUND(AD911-AE911-V911,2),"")</x:f>
      </x:c>
      <x:c r="AG911" t="str">
        <x:f>IF(NOT(ISNUMBER(T911)),"PENDING",IF(AF911&gt;0,"PASS","FAIL"))</x:f>
        <x:v>PENDING</x:v>
      </x:c>
      <x:c r="AH911" t="str">
        <x:f>IF(NOT(ISNUMBER(T911)),"Needs supplier cost",IF(K911&lt;&gt;"In stock","Supplier unavailable",IF(AG911&lt;&gt;"PASS","BLOCK - GT loss risk","Commercially protected")))</x:f>
        <x:v>Needs supplier cost</x:v>
      </x:c>
      <x:c r="AI911" t="str">
        <x:v>2026-09-10 Active Sports trade capture</x:v>
      </x:c>
      <x:c r="AJ911" t="str">
        <x:v>Management-only economics. Stripe stress test uses 1.5% + £0.20 standard UK online-card fee; pallet/mix-and-match pricing ignored.</x:v>
      </x:c>
    </x:row>
    <x:row r="912">
      <x:c r="A912" t="str">
        <x:v>Active Sports Nutrition</x:v>
      </x:c>
      <x:c r="B912" t="str">
        <x:v>Conteh Sports</x:v>
      </x:c>
      <x:c r="C912" t="str">
        <x:v>The Stim</x:v>
      </x:c>
      <x:c r="D912" t="str">
        <x:v>Pre Workouts</x:v>
      </x:c>
      <x:c r="E912" t="str">
        <x:v>High Stim</x:v>
      </x:c>
      <x:c r="F912" t="str"/>
      <x:c r="G912" t="str">
        <x:v>30 servings</x:v>
      </x:c>
      <x:c r="H912" t="str">
        <x:v>Tropical</x:v>
      </x:c>
      <x:c r="I912" t="str"/>
      <x:c r="J912" t="str">
        <x:v>Unit</x:v>
      </x:c>
      <x:c r="K912" t="str">
        <x:v>In stock</x:v>
      </x:c>
      <x:c r="L912" t="str">
        <x:v>2026-09-08</x:v>
      </x:c>
      <x:c r="M912" t="str"/>
      <x:c r="N912" t="str"/>
      <x:c r="O912" t="str">
        <x:v>https://www.activesportstrade.co.uk/conteh-sports-trade</x:v>
      </x:c>
      <x:c r="P912" t="str"/>
      <x:c r="Q912" t="str"/>
      <x:c r="R912" t="str"/>
      <x:c r="S912" t="str">
        <x:v>Pending genuine supplier/brand image</x:v>
      </x:c>
      <x:c r="T912" s="54"/>
      <x:c r="U912" s="47" t="n">
        <x:v>0.2</x:v>
      </x:c>
      <x:c r="V912" s="54" t="str">
        <x:f>IF(ISNUMBER(T912),T912*(1+U912),"")</x:f>
      </x:c>
      <x:c r="W912" s="47" t="n">
        <x:v>0.3</x:v>
      </x:c>
      <x:c r="X912" s="54" t="str">
        <x:f>IF(ISNUMBER(V912),V912/(1-W912),"")</x:f>
      </x:c>
      <x:c r="Y912" s="55" t="str">
        <x:f>IF(ISNUMBER(X912),ROUNDUP(X912,0),"")</x:f>
      </x:c>
      <x:c r="Z912" t="str">
        <x:f>IF(ISNUMBER(T912),"Cost captured","Awaiting trade cost")</x:f>
        <x:v>Awaiting trade cost</x:v>
      </x:c>
      <x:c r="AB912" s="36" t="str">
        <x:f>IF(ISNUMBER(Y912),ROUND(Y912*0.9,2),"")</x:f>
      </x:c>
      <x:c r="AC912" s="36" t="str">
        <x:f>IF(ISNUMBER(AB912),ROUND(AB912-(AB912*0.015+0.2)-V912,2),"")</x:f>
      </x:c>
      <x:c r="AD912" s="36" t="str">
        <x:f>IF(ISNUMBER(Y912),ROUND(Y912*0.8,2),"")</x:f>
      </x:c>
      <x:c r="AE912" s="36" t="str">
        <x:f>IF(ISNUMBER(AD912),ROUND(AD912*0.015+0.2,2),"")</x:f>
      </x:c>
      <x:c r="AF912" s="36" t="str">
        <x:f>IF(ISNUMBER(AD912),ROUND(AD912-AE912-V912,2),"")</x:f>
      </x:c>
      <x:c r="AG912" t="str">
        <x:f>IF(NOT(ISNUMBER(T912)),"PENDING",IF(AF912&gt;0,"PASS","FAIL"))</x:f>
        <x:v>PENDING</x:v>
      </x:c>
      <x:c r="AH912" t="str">
        <x:f>IF(NOT(ISNUMBER(T912)),"Needs supplier cost",IF(K912&lt;&gt;"In stock","Supplier unavailable",IF(AG912&lt;&gt;"PASS","BLOCK - GT loss risk","Commercially protected")))</x:f>
        <x:v>Needs supplier cost</x:v>
      </x:c>
      <x:c r="AI912" t="str">
        <x:v>2026-09-10 Active Sports trade capture</x:v>
      </x:c>
      <x:c r="AJ912" t="str">
        <x:v>Management-only economics. Stripe stress test uses 1.5% + £0.20 standard UK online-card fee; pallet/mix-and-match pricing ignored.</x:v>
      </x:c>
    </x:row>
    <x:row r="913">
      <x:c r="A913" t="str">
        <x:v>Active Sports Nutrition</x:v>
      </x:c>
      <x:c r="B913" t="str">
        <x:v>DNA Sports</x:v>
      </x:c>
      <x:c r="C913" t="str">
        <x:v>Ashwagandha KSM-66</x:v>
      </x:c>
      <x:c r="D913" t="str">
        <x:v>Supplements</x:v>
      </x:c>
      <x:c r="E913" t="str">
        <x:v>Health Foods</x:v>
      </x:c>
      <x:c r="F913" t="str"/>
      <x:c r="G913" t="str">
        <x:v>60 caps</x:v>
      </x:c>
      <x:c r="H913" t="str">
        <x:v>Default</x:v>
      </x:c>
      <x:c r="I913" t="str"/>
      <x:c r="J913" t="str">
        <x:v>Unit</x:v>
      </x:c>
      <x:c r="K913" t="str">
        <x:v>Out of stock</x:v>
      </x:c>
      <x:c r="L913" t="str">
        <x:v>2026-09-08</x:v>
      </x:c>
      <x:c r="M913" t="str"/>
      <x:c r="N913" t="str"/>
      <x:c r="O913" t="str">
        <x:v>https://www.activesportstrade.co.uk/dna-sports-trade</x:v>
      </x:c>
      <x:c r="P913" t="str">
        <x:v>MEGA SPECIAL OFFER wording removed.</x:v>
      </x:c>
      <x:c r="Q913" t="str"/>
      <x:c r="R913" t="str"/>
      <x:c r="S913" t="str">
        <x:v>Pending genuine supplier/brand image</x:v>
      </x:c>
      <x:c r="T913" s="54"/>
      <x:c r="U913" s="47" t="n">
        <x:v>0.2</x:v>
      </x:c>
      <x:c r="V913" s="54" t="str">
        <x:f>IF(ISNUMBER(T913),T913*(1+U913),"")</x:f>
      </x:c>
      <x:c r="W913" s="47" t="n">
        <x:v>0.3</x:v>
      </x:c>
      <x:c r="X913" s="54" t="str">
        <x:f>IF(ISNUMBER(V913),V913/(1-W913),"")</x:f>
      </x:c>
      <x:c r="Y913" s="55" t="str">
        <x:f>IF(ISNUMBER(X913),ROUNDUP(X913,0),"")</x:f>
      </x:c>
      <x:c r="Z913" t="str">
        <x:f>IF(ISNUMBER(T913),"Cost captured","Awaiting trade cost")</x:f>
        <x:v>Awaiting trade cost</x:v>
      </x:c>
      <x:c r="AB913" s="36" t="str">
        <x:f>IF(ISNUMBER(Y913),ROUND(Y913*0.9,2),"")</x:f>
      </x:c>
      <x:c r="AC913" s="36" t="str">
        <x:f>IF(ISNUMBER(AB913),ROUND(AB913-(AB913*0.015+0.2)-V913,2),"")</x:f>
      </x:c>
      <x:c r="AD913" s="36" t="str">
        <x:f>IF(ISNUMBER(Y913),ROUND(Y913*0.8,2),"")</x:f>
      </x:c>
      <x:c r="AE913" s="36" t="str">
        <x:f>IF(ISNUMBER(AD913),ROUND(AD913*0.015+0.2,2),"")</x:f>
      </x:c>
      <x:c r="AF913" s="36" t="str">
        <x:f>IF(ISNUMBER(AD913),ROUND(AD913-AE913-V913,2),"")</x:f>
      </x:c>
      <x:c r="AG913" t="str">
        <x:f>IF(NOT(ISNUMBER(T913)),"PENDING",IF(AF913&gt;0,"PASS","FAIL"))</x:f>
        <x:v>PENDING</x:v>
      </x:c>
      <x:c r="AH913" t="str">
        <x:f>IF(NOT(ISNUMBER(T913)),"Needs supplier cost",IF(K913&lt;&gt;"In stock","Supplier unavailable",IF(AG913&lt;&gt;"PASS","BLOCK - GT loss risk","Commercially protected")))</x:f>
        <x:v>Needs supplier cost</x:v>
      </x:c>
      <x:c r="AI913" t="str">
        <x:v>2026-09-10 Active Sports trade capture</x:v>
      </x:c>
      <x:c r="AJ913" t="str">
        <x:v>Management-only economics. Stripe stress test uses 1.5% + £0.20 standard UK online-card fee; pallet/mix-and-match pricing ignored.</x:v>
      </x:c>
    </x:row>
    <x:row r="914">
      <x:c r="A914" t="str">
        <x:v>Active Sports Nutrition</x:v>
      </x:c>
      <x:c r="B914" t="str">
        <x:v>DNA Sports</x:v>
      </x:c>
      <x:c r="C914" t="str">
        <x:v>Beta Alanine</x:v>
      </x:c>
      <x:c r="D914" t="str">
        <x:v>Supplements</x:v>
      </x:c>
      <x:c r="E914" t="str">
        <x:v>Amino Acids</x:v>
      </x:c>
      <x:c r="F914" t="str"/>
      <x:c r="G914" t="str">
        <x:v>192g</x:v>
      </x:c>
      <x:c r="H914" t="str">
        <x:v>Unflavoured</x:v>
      </x:c>
      <x:c r="I914" t="str"/>
      <x:c r="J914" t="str">
        <x:v>Unit</x:v>
      </x:c>
      <x:c r="K914" t="str">
        <x:v>In stock</x:v>
      </x:c>
      <x:c r="L914" t="str">
        <x:v>2026-09-08</x:v>
      </x:c>
      <x:c r="M914" t="str"/>
      <x:c r="N914" t="str"/>
      <x:c r="O914" t="str">
        <x:v>https://www.activesportstrade.co.uk/dna-sports-trade</x:v>
      </x:c>
      <x:c r="P914" t="str"/>
      <x:c r="Q914" t="str"/>
      <x:c r="R914" t="str"/>
      <x:c r="S914" t="str">
        <x:v>Pending genuine supplier/brand image</x:v>
      </x:c>
      <x:c r="T914" s="54"/>
      <x:c r="U914" s="47" t="n">
        <x:v>0.2</x:v>
      </x:c>
      <x:c r="V914" s="54" t="str">
        <x:f>IF(ISNUMBER(T914),T914*(1+U914),"")</x:f>
      </x:c>
      <x:c r="W914" s="47" t="n">
        <x:v>0.3</x:v>
      </x:c>
      <x:c r="X914" s="54" t="str">
        <x:f>IF(ISNUMBER(V914),V914/(1-W914),"")</x:f>
      </x:c>
      <x:c r="Y914" s="55" t="str">
        <x:f>IF(ISNUMBER(X914),ROUNDUP(X914,0),"")</x:f>
      </x:c>
      <x:c r="Z914" t="str">
        <x:f>IF(ISNUMBER(T914),"Cost captured","Awaiting trade cost")</x:f>
        <x:v>Awaiting trade cost</x:v>
      </x:c>
      <x:c r="AB914" s="36" t="str">
        <x:f>IF(ISNUMBER(Y914),ROUND(Y914*0.9,2),"")</x:f>
      </x:c>
      <x:c r="AC914" s="36" t="str">
        <x:f>IF(ISNUMBER(AB914),ROUND(AB914-(AB914*0.015+0.2)-V914,2),"")</x:f>
      </x:c>
      <x:c r="AD914" s="36" t="str">
        <x:f>IF(ISNUMBER(Y914),ROUND(Y914*0.8,2),"")</x:f>
      </x:c>
      <x:c r="AE914" s="36" t="str">
        <x:f>IF(ISNUMBER(AD914),ROUND(AD914*0.015+0.2,2),"")</x:f>
      </x:c>
      <x:c r="AF914" s="36" t="str">
        <x:f>IF(ISNUMBER(AD914),ROUND(AD914-AE914-V914,2),"")</x:f>
      </x:c>
      <x:c r="AG914" t="str">
        <x:f>IF(NOT(ISNUMBER(T914)),"PENDING",IF(AF914&gt;0,"PASS","FAIL"))</x:f>
        <x:v>PENDING</x:v>
      </x:c>
      <x:c r="AH914" t="str">
        <x:f>IF(NOT(ISNUMBER(T914)),"Needs supplier cost",IF(K914&lt;&gt;"In stock","Supplier unavailable",IF(AG914&lt;&gt;"PASS","BLOCK - GT loss risk","Commercially protected")))</x:f>
        <x:v>Needs supplier cost</x:v>
      </x:c>
      <x:c r="AI914" t="str">
        <x:v>2026-09-10 Active Sports trade capture</x:v>
      </x:c>
      <x:c r="AJ914" t="str">
        <x:v>Management-only economics. Stripe stress test uses 1.5% + £0.20 standard UK online-card fee; pallet/mix-and-match pricing ignored.</x:v>
      </x:c>
    </x:row>
    <x:row r="915">
      <x:c r="A915" t="str">
        <x:v>Active Sports Nutrition</x:v>
      </x:c>
      <x:c r="B915" t="str">
        <x:v>DNA Sports</x:v>
      </x:c>
      <x:c r="C915" t="str">
        <x:v>Carb1</x:v>
      </x:c>
      <x:c r="D915" t="str">
        <x:v>Supplements</x:v>
      </x:c>
      <x:c r="E915" t="str">
        <x:v>Carbohydrates</x:v>
      </x:c>
      <x:c r="F915" t="str"/>
      <x:c r="G915" t="str">
        <x:v>1kg / 40 servings</x:v>
      </x:c>
      <x:c r="H915" t="str">
        <x:v>Cherry Lime</x:v>
      </x:c>
      <x:c r="I915" t="str"/>
      <x:c r="J915" t="str">
        <x:v>Unit</x:v>
      </x:c>
      <x:c r="K915" t="str">
        <x:v>In stock</x:v>
      </x:c>
      <x:c r="L915" t="str">
        <x:v>2026-09-08</x:v>
      </x:c>
      <x:c r="M915" t="str"/>
      <x:c r="N915" t="str"/>
      <x:c r="O915" t="str">
        <x:v>https://www.activesportstrade.co.uk/dna-sports-trade</x:v>
      </x:c>
      <x:c r="P915" t="str"/>
      <x:c r="Q915" t="str"/>
      <x:c r="R915" t="str"/>
      <x:c r="S915" t="str">
        <x:v>Pending genuine supplier/brand image</x:v>
      </x:c>
      <x:c r="T915" s="54"/>
      <x:c r="U915" s="47" t="n">
        <x:v>0.2</x:v>
      </x:c>
      <x:c r="V915" s="54" t="str">
        <x:f>IF(ISNUMBER(T915),T915*(1+U915),"")</x:f>
      </x:c>
      <x:c r="W915" s="47" t="n">
        <x:v>0.3</x:v>
      </x:c>
      <x:c r="X915" s="54" t="str">
        <x:f>IF(ISNUMBER(V915),V915/(1-W915),"")</x:f>
      </x:c>
      <x:c r="Y915" s="55" t="str">
        <x:f>IF(ISNUMBER(X915),ROUNDUP(X915,0),"")</x:f>
      </x:c>
      <x:c r="Z915" t="str">
        <x:f>IF(ISNUMBER(T915),"Cost captured","Awaiting trade cost")</x:f>
        <x:v>Awaiting trade cost</x:v>
      </x:c>
      <x:c r="AB915" s="36" t="str">
        <x:f>IF(ISNUMBER(Y915),ROUND(Y915*0.9,2),"")</x:f>
      </x:c>
      <x:c r="AC915" s="36" t="str">
        <x:f>IF(ISNUMBER(AB915),ROUND(AB915-(AB915*0.015+0.2)-V915,2),"")</x:f>
      </x:c>
      <x:c r="AD915" s="36" t="str">
        <x:f>IF(ISNUMBER(Y915),ROUND(Y915*0.8,2),"")</x:f>
      </x:c>
      <x:c r="AE915" s="36" t="str">
        <x:f>IF(ISNUMBER(AD915),ROUND(AD915*0.015+0.2,2),"")</x:f>
      </x:c>
      <x:c r="AF915" s="36" t="str">
        <x:f>IF(ISNUMBER(AD915),ROUND(AD915-AE915-V915,2),"")</x:f>
      </x:c>
      <x:c r="AG915" t="str">
        <x:f>IF(NOT(ISNUMBER(T915)),"PENDING",IF(AF915&gt;0,"PASS","FAIL"))</x:f>
        <x:v>PENDING</x:v>
      </x:c>
      <x:c r="AH915" t="str">
        <x:f>IF(NOT(ISNUMBER(T915)),"Needs supplier cost",IF(K915&lt;&gt;"In stock","Supplier unavailable",IF(AG915&lt;&gt;"PASS","BLOCK - GT loss risk","Commercially protected")))</x:f>
        <x:v>Needs supplier cost</x:v>
      </x:c>
      <x:c r="AI915" t="str">
        <x:v>2026-09-10 Active Sports trade capture</x:v>
      </x:c>
      <x:c r="AJ915" t="str">
        <x:v>Management-only economics. Stripe stress test uses 1.5% + £0.20 standard UK online-card fee; pallet/mix-and-match pricing ignored.</x:v>
      </x:c>
    </x:row>
    <x:row r="916">
      <x:c r="A916" t="str">
        <x:v>Active Sports Nutrition</x:v>
      </x:c>
      <x:c r="B916" t="str">
        <x:v>DNA Sports</x:v>
      </x:c>
      <x:c r="C916" t="str">
        <x:v>Carb1</x:v>
      </x:c>
      <x:c r="D916" t="str">
        <x:v>Supplements</x:v>
      </x:c>
      <x:c r="E916" t="str">
        <x:v>Carbohydrates</x:v>
      </x:c>
      <x:c r="F916" t="str"/>
      <x:c r="G916" t="str">
        <x:v>1kg / 40 servings</x:v>
      </x:c>
      <x:c r="H916" t="str">
        <x:v>Grape Soda</x:v>
      </x:c>
      <x:c r="I916" t="str"/>
      <x:c r="J916" t="str">
        <x:v>Unit</x:v>
      </x:c>
      <x:c r="K916" t="str">
        <x:v>In stock</x:v>
      </x:c>
      <x:c r="L916" t="str">
        <x:v>2026-09-08</x:v>
      </x:c>
      <x:c r="M916" t="str"/>
      <x:c r="N916" t="str"/>
      <x:c r="O916" t="str">
        <x:v>https://www.activesportstrade.co.uk/dna-sports-trade</x:v>
      </x:c>
      <x:c r="P916" t="str"/>
      <x:c r="Q916" t="str"/>
      <x:c r="R916" t="str"/>
      <x:c r="S916" t="str">
        <x:v>Pending genuine supplier/brand image</x:v>
      </x:c>
      <x:c r="T916" s="54"/>
      <x:c r="U916" s="47" t="n">
        <x:v>0.2</x:v>
      </x:c>
      <x:c r="V916" s="54" t="str">
        <x:f>IF(ISNUMBER(T916),T916*(1+U916),"")</x:f>
      </x:c>
      <x:c r="W916" s="47" t="n">
        <x:v>0.3</x:v>
      </x:c>
      <x:c r="X916" s="54" t="str">
        <x:f>IF(ISNUMBER(V916),V916/(1-W916),"")</x:f>
      </x:c>
      <x:c r="Y916" s="55" t="str">
        <x:f>IF(ISNUMBER(X916),ROUNDUP(X916,0),"")</x:f>
      </x:c>
      <x:c r="Z916" t="str">
        <x:f>IF(ISNUMBER(T916),"Cost captured","Awaiting trade cost")</x:f>
        <x:v>Awaiting trade cost</x:v>
      </x:c>
      <x:c r="AB916" s="36" t="str">
        <x:f>IF(ISNUMBER(Y916),ROUND(Y916*0.9,2),"")</x:f>
      </x:c>
      <x:c r="AC916" s="36" t="str">
        <x:f>IF(ISNUMBER(AB916),ROUND(AB916-(AB916*0.015+0.2)-V916,2),"")</x:f>
      </x:c>
      <x:c r="AD916" s="36" t="str">
        <x:f>IF(ISNUMBER(Y916),ROUND(Y916*0.8,2),"")</x:f>
      </x:c>
      <x:c r="AE916" s="36" t="str">
        <x:f>IF(ISNUMBER(AD916),ROUND(AD916*0.015+0.2,2),"")</x:f>
      </x:c>
      <x:c r="AF916" s="36" t="str">
        <x:f>IF(ISNUMBER(AD916),ROUND(AD916-AE916-V916,2),"")</x:f>
      </x:c>
      <x:c r="AG916" t="str">
        <x:f>IF(NOT(ISNUMBER(T916)),"PENDING",IF(AF916&gt;0,"PASS","FAIL"))</x:f>
        <x:v>PENDING</x:v>
      </x:c>
      <x:c r="AH916" t="str">
        <x:f>IF(NOT(ISNUMBER(T916)),"Needs supplier cost",IF(K916&lt;&gt;"In stock","Supplier unavailable",IF(AG916&lt;&gt;"PASS","BLOCK - GT loss risk","Commercially protected")))</x:f>
        <x:v>Needs supplier cost</x:v>
      </x:c>
      <x:c r="AI916" t="str">
        <x:v>2026-09-10 Active Sports trade capture</x:v>
      </x:c>
      <x:c r="AJ916" t="str">
        <x:v>Management-only economics. Stripe stress test uses 1.5% + £0.20 standard UK online-card fee; pallet/mix-and-match pricing ignored.</x:v>
      </x:c>
    </x:row>
    <x:row r="917">
      <x:c r="A917" t="str">
        <x:v>Active Sports Nutrition</x:v>
      </x:c>
      <x:c r="B917" t="str">
        <x:v>DNA Sports</x:v>
      </x:c>
      <x:c r="C917" t="str">
        <x:v>Carb1</x:v>
      </x:c>
      <x:c r="D917" t="str">
        <x:v>Supplements</x:v>
      </x:c>
      <x:c r="E917" t="str">
        <x:v>Carbohydrates</x:v>
      </x:c>
      <x:c r="F917" t="str"/>
      <x:c r="G917" t="str">
        <x:v>1kg / 40 servings</x:v>
      </x:c>
      <x:c r="H917" t="str">
        <x:v>Pink Lemonade</x:v>
      </x:c>
      <x:c r="I917" t="str"/>
      <x:c r="J917" t="str">
        <x:v>Unit</x:v>
      </x:c>
      <x:c r="K917" t="str">
        <x:v>In stock</x:v>
      </x:c>
      <x:c r="L917" t="str">
        <x:v>2026-09-08</x:v>
      </x:c>
      <x:c r="M917" t="str"/>
      <x:c r="N917" t="str"/>
      <x:c r="O917" t="str">
        <x:v>https://www.activesportstrade.co.uk/dna-sports-trade</x:v>
      </x:c>
      <x:c r="P917" t="str"/>
      <x:c r="Q917" t="str"/>
      <x:c r="R917" t="str"/>
      <x:c r="S917" t="str">
        <x:v>Pending genuine supplier/brand image</x:v>
      </x:c>
      <x:c r="T917" s="54"/>
      <x:c r="U917" s="47" t="n">
        <x:v>0.2</x:v>
      </x:c>
      <x:c r="V917" s="54" t="str">
        <x:f>IF(ISNUMBER(T917),T917*(1+U917),"")</x:f>
      </x:c>
      <x:c r="W917" s="47" t="n">
        <x:v>0.3</x:v>
      </x:c>
      <x:c r="X917" s="54" t="str">
        <x:f>IF(ISNUMBER(V917),V917/(1-W917),"")</x:f>
      </x:c>
      <x:c r="Y917" s="55" t="str">
        <x:f>IF(ISNUMBER(X917),ROUNDUP(X917,0),"")</x:f>
      </x:c>
      <x:c r="Z917" t="str">
        <x:f>IF(ISNUMBER(T917),"Cost captured","Awaiting trade cost")</x:f>
        <x:v>Awaiting trade cost</x:v>
      </x:c>
      <x:c r="AB917" s="36" t="str">
        <x:f>IF(ISNUMBER(Y917),ROUND(Y917*0.9,2),"")</x:f>
      </x:c>
      <x:c r="AC917" s="36" t="str">
        <x:f>IF(ISNUMBER(AB917),ROUND(AB917-(AB917*0.015+0.2)-V917,2),"")</x:f>
      </x:c>
      <x:c r="AD917" s="36" t="str">
        <x:f>IF(ISNUMBER(Y917),ROUND(Y917*0.8,2),"")</x:f>
      </x:c>
      <x:c r="AE917" s="36" t="str">
        <x:f>IF(ISNUMBER(AD917),ROUND(AD917*0.015+0.2,2),"")</x:f>
      </x:c>
      <x:c r="AF917" s="36" t="str">
        <x:f>IF(ISNUMBER(AD917),ROUND(AD917-AE917-V917,2),"")</x:f>
      </x:c>
      <x:c r="AG917" t="str">
        <x:f>IF(NOT(ISNUMBER(T917)),"PENDING",IF(AF917&gt;0,"PASS","FAIL"))</x:f>
        <x:v>PENDING</x:v>
      </x:c>
      <x:c r="AH917" t="str">
        <x:f>IF(NOT(ISNUMBER(T917)),"Needs supplier cost",IF(K917&lt;&gt;"In stock","Supplier unavailable",IF(AG917&lt;&gt;"PASS","BLOCK - GT loss risk","Commercially protected")))</x:f>
        <x:v>Needs supplier cost</x:v>
      </x:c>
      <x:c r="AI917" t="str">
        <x:v>2026-09-10 Active Sports trade capture</x:v>
      </x:c>
      <x:c r="AJ917" t="str">
        <x:v>Management-only economics. Stripe stress test uses 1.5% + £0.20 standard UK online-card fee; pallet/mix-and-match pricing ignored.</x:v>
      </x:c>
    </x:row>
    <x:row r="918">
      <x:c r="A918" t="str">
        <x:v>Active Sports Nutrition</x:v>
      </x:c>
      <x:c r="B918" t="str">
        <x:v>DNA Sports</x:v>
      </x:c>
      <x:c r="C918" t="str">
        <x:v>Carb1</x:v>
      </x:c>
      <x:c r="D918" t="str">
        <x:v>Supplements</x:v>
      </x:c>
      <x:c r="E918" t="str">
        <x:v>Carbohydrates</x:v>
      </x:c>
      <x:c r="F918" t="str"/>
      <x:c r="G918" t="str">
        <x:v>1kg / 40 servings</x:v>
      </x:c>
      <x:c r="H918" t="str">
        <x:v>Unflavoured</x:v>
      </x:c>
      <x:c r="I918" t="str"/>
      <x:c r="J918" t="str">
        <x:v>Unit</x:v>
      </x:c>
      <x:c r="K918" t="str">
        <x:v>In stock</x:v>
      </x:c>
      <x:c r="L918" t="str">
        <x:v>2026-09-08</x:v>
      </x:c>
      <x:c r="M918" t="str"/>
      <x:c r="N918" t="str"/>
      <x:c r="O918" t="str">
        <x:v>https://www.activesportstrade.co.uk/dna-sports-trade</x:v>
      </x:c>
      <x:c r="P918" t="str"/>
      <x:c r="Q918" t="str"/>
      <x:c r="R918" t="str"/>
      <x:c r="S918" t="str">
        <x:v>Pending genuine supplier/brand image</x:v>
      </x:c>
      <x:c r="T918" s="54"/>
      <x:c r="U918" s="47" t="n">
        <x:v>0.2</x:v>
      </x:c>
      <x:c r="V918" s="54" t="str">
        <x:f>IF(ISNUMBER(T918),T918*(1+U918),"")</x:f>
      </x:c>
      <x:c r="W918" s="47" t="n">
        <x:v>0.3</x:v>
      </x:c>
      <x:c r="X918" s="54" t="str">
        <x:f>IF(ISNUMBER(V918),V918/(1-W918),"")</x:f>
      </x:c>
      <x:c r="Y918" s="55" t="str">
        <x:f>IF(ISNUMBER(X918),ROUNDUP(X918,0),"")</x:f>
      </x:c>
      <x:c r="Z918" t="str">
        <x:f>IF(ISNUMBER(T918),"Cost captured","Awaiting trade cost")</x:f>
        <x:v>Awaiting trade cost</x:v>
      </x:c>
      <x:c r="AB918" s="36" t="str">
        <x:f>IF(ISNUMBER(Y918),ROUND(Y918*0.9,2),"")</x:f>
      </x:c>
      <x:c r="AC918" s="36" t="str">
        <x:f>IF(ISNUMBER(AB918),ROUND(AB918-(AB918*0.015+0.2)-V918,2),"")</x:f>
      </x:c>
      <x:c r="AD918" s="36" t="str">
        <x:f>IF(ISNUMBER(Y918),ROUND(Y918*0.8,2),"")</x:f>
      </x:c>
      <x:c r="AE918" s="36" t="str">
        <x:f>IF(ISNUMBER(AD918),ROUND(AD918*0.015+0.2,2),"")</x:f>
      </x:c>
      <x:c r="AF918" s="36" t="str">
        <x:f>IF(ISNUMBER(AD918),ROUND(AD918-AE918-V918,2),"")</x:f>
      </x:c>
      <x:c r="AG918" t="str">
        <x:f>IF(NOT(ISNUMBER(T918)),"PENDING",IF(AF918&gt;0,"PASS","FAIL"))</x:f>
        <x:v>PENDING</x:v>
      </x:c>
      <x:c r="AH918" t="str">
        <x:f>IF(NOT(ISNUMBER(T918)),"Needs supplier cost",IF(K918&lt;&gt;"In stock","Supplier unavailable",IF(AG918&lt;&gt;"PASS","BLOCK - GT loss risk","Commercially protected")))</x:f>
        <x:v>Needs supplier cost</x:v>
      </x:c>
      <x:c r="AI918" t="str">
        <x:v>2026-09-10 Active Sports trade capture</x:v>
      </x:c>
      <x:c r="AJ918" t="str">
        <x:v>Management-only economics. Stripe stress test uses 1.5% + £0.20 standard UK online-card fee; pallet/mix-and-match pricing ignored.</x:v>
      </x:c>
    </x:row>
    <x:row r="919">
      <x:c r="A919" t="str">
        <x:v>Active Sports Nutrition</x:v>
      </x:c>
      <x:c r="B919" t="str">
        <x:v>DNA Sports</x:v>
      </x:c>
      <x:c r="C919" t="str">
        <x:v>Cistanche with BioPerine</x:v>
      </x:c>
      <x:c r="D919" t="str">
        <x:v>Supplements</x:v>
      </x:c>
      <x:c r="E919" t="str">
        <x:v>Testosterone Boosters</x:v>
      </x:c>
      <x:c r="F919" t="str"/>
      <x:c r="G919" t="str">
        <x:v>60 caps</x:v>
      </x:c>
      <x:c r="H919" t="str">
        <x:v>Default</x:v>
      </x:c>
      <x:c r="I919" t="str"/>
      <x:c r="J919" t="str">
        <x:v>Unit</x:v>
      </x:c>
      <x:c r="K919" t="str">
        <x:v>In stock</x:v>
      </x:c>
      <x:c r="L919" t="str">
        <x:v>2026-09-08</x:v>
      </x:c>
      <x:c r="M919" t="str"/>
      <x:c r="N919" t="str"/>
      <x:c r="O919" t="str">
        <x:v>https://www.activesportstrade.co.uk/dna-sports-trade</x:v>
      </x:c>
      <x:c r="P919" t="str"/>
      <x:c r="Q919" t="str"/>
      <x:c r="R919" t="str"/>
      <x:c r="S919" t="str">
        <x:v>Pending genuine supplier/brand image</x:v>
      </x:c>
      <x:c r="T919" s="54"/>
      <x:c r="U919" s="47" t="n">
        <x:v>0.2</x:v>
      </x:c>
      <x:c r="V919" s="54" t="str">
        <x:f>IF(ISNUMBER(T919),T919*(1+U919),"")</x:f>
      </x:c>
      <x:c r="W919" s="47" t="n">
        <x:v>0.3</x:v>
      </x:c>
      <x:c r="X919" s="54" t="str">
        <x:f>IF(ISNUMBER(V919),V919/(1-W919),"")</x:f>
      </x:c>
      <x:c r="Y919" s="55" t="str">
        <x:f>IF(ISNUMBER(X919),ROUNDUP(X919,0),"")</x:f>
      </x:c>
      <x:c r="Z919" t="str">
        <x:f>IF(ISNUMBER(T919),"Cost captured","Awaiting trade cost")</x:f>
        <x:v>Awaiting trade cost</x:v>
      </x:c>
      <x:c r="AB919" s="36" t="str">
        <x:f>IF(ISNUMBER(Y919),ROUND(Y919*0.9,2),"")</x:f>
      </x:c>
      <x:c r="AC919" s="36" t="str">
        <x:f>IF(ISNUMBER(AB919),ROUND(AB919-(AB919*0.015+0.2)-V919,2),"")</x:f>
      </x:c>
      <x:c r="AD919" s="36" t="str">
        <x:f>IF(ISNUMBER(Y919),ROUND(Y919*0.8,2),"")</x:f>
      </x:c>
      <x:c r="AE919" s="36" t="str">
        <x:f>IF(ISNUMBER(AD919),ROUND(AD919*0.015+0.2,2),"")</x:f>
      </x:c>
      <x:c r="AF919" s="36" t="str">
        <x:f>IF(ISNUMBER(AD919),ROUND(AD919-AE919-V919,2),"")</x:f>
      </x:c>
      <x:c r="AG919" t="str">
        <x:f>IF(NOT(ISNUMBER(T919)),"PENDING",IF(AF919&gt;0,"PASS","FAIL"))</x:f>
        <x:v>PENDING</x:v>
      </x:c>
      <x:c r="AH919" t="str">
        <x:f>IF(NOT(ISNUMBER(T919)),"Needs supplier cost",IF(K919&lt;&gt;"In stock","Supplier unavailable",IF(AG919&lt;&gt;"PASS","BLOCK - GT loss risk","Commercially protected")))</x:f>
        <x:v>Needs supplier cost</x:v>
      </x:c>
      <x:c r="AI919" t="str">
        <x:v>2026-09-10 Active Sports trade capture</x:v>
      </x:c>
      <x:c r="AJ919" t="str">
        <x:v>Management-only economics. Stripe stress test uses 1.5% + £0.20 standard UK online-card fee; pallet/mix-and-match pricing ignored.</x:v>
      </x:c>
    </x:row>
    <x:row r="920">
      <x:c r="A920" t="str">
        <x:v>Active Sports Nutrition</x:v>
      </x:c>
      <x:c r="B920" t="str">
        <x:v>DNA Sports</x:v>
      </x:c>
      <x:c r="C920" t="str">
        <x:v>Cream of Rice</x:v>
      </x:c>
      <x:c r="D920" t="str">
        <x:v>Supplements</x:v>
      </x:c>
      <x:c r="E920" t="str">
        <x:v>Carbohydrates</x:v>
      </x:c>
      <x:c r="F920" t="str"/>
      <x:c r="G920" t="str">
        <x:v>2kg</x:v>
      </x:c>
      <x:c r="H920" t="str">
        <x:v>Banana Caramel Waffle</x:v>
      </x:c>
      <x:c r="I920" t="str"/>
      <x:c r="J920" t="str">
        <x:v>Unit</x:v>
      </x:c>
      <x:c r="K920" t="str">
        <x:v>In stock</x:v>
      </x:c>
      <x:c r="L920" t="str">
        <x:v>2026-09-08</x:v>
      </x:c>
      <x:c r="M920" t="str"/>
      <x:c r="N920" t="str"/>
      <x:c r="O920" t="str">
        <x:v>https://www.activesportstrade.co.uk/dna-sports-trade</x:v>
      </x:c>
      <x:c r="P920" t="str">
        <x:v>SPECIAL OFFER wording removed.</x:v>
      </x:c>
      <x:c r="Q920" t="str"/>
      <x:c r="R920" t="str"/>
      <x:c r="S920" t="str">
        <x:v>Pending genuine supplier/brand image</x:v>
      </x:c>
      <x:c r="T920" s="54"/>
      <x:c r="U920" s="47" t="n">
        <x:v>0.2</x:v>
      </x:c>
      <x:c r="V920" s="54" t="str">
        <x:f>IF(ISNUMBER(T920),T920*(1+U920),"")</x:f>
      </x:c>
      <x:c r="W920" s="47" t="n">
        <x:v>0.3</x:v>
      </x:c>
      <x:c r="X920" s="54" t="str">
        <x:f>IF(ISNUMBER(V920),V920/(1-W920),"")</x:f>
      </x:c>
      <x:c r="Y920" s="55" t="str">
        <x:f>IF(ISNUMBER(X920),ROUNDUP(X920,0),"")</x:f>
      </x:c>
      <x:c r="Z920" t="str">
        <x:f>IF(ISNUMBER(T920),"Cost captured","Awaiting trade cost")</x:f>
        <x:v>Awaiting trade cost</x:v>
      </x:c>
      <x:c r="AB920" s="36" t="str">
        <x:f>IF(ISNUMBER(Y920),ROUND(Y920*0.9,2),"")</x:f>
      </x:c>
      <x:c r="AC920" s="36" t="str">
        <x:f>IF(ISNUMBER(AB920),ROUND(AB920-(AB920*0.015+0.2)-V920,2),"")</x:f>
      </x:c>
      <x:c r="AD920" s="36" t="str">
        <x:f>IF(ISNUMBER(Y920),ROUND(Y920*0.8,2),"")</x:f>
      </x:c>
      <x:c r="AE920" s="36" t="str">
        <x:f>IF(ISNUMBER(AD920),ROUND(AD920*0.015+0.2,2),"")</x:f>
      </x:c>
      <x:c r="AF920" s="36" t="str">
        <x:f>IF(ISNUMBER(AD920),ROUND(AD920-AE920-V920,2),"")</x:f>
      </x:c>
      <x:c r="AG920" t="str">
        <x:f>IF(NOT(ISNUMBER(T920)),"PENDING",IF(AF920&gt;0,"PASS","FAIL"))</x:f>
        <x:v>PENDING</x:v>
      </x:c>
      <x:c r="AH920" t="str">
        <x:f>IF(NOT(ISNUMBER(T920)),"Needs supplier cost",IF(K920&lt;&gt;"In stock","Supplier unavailable",IF(AG920&lt;&gt;"PASS","BLOCK - GT loss risk","Commercially protected")))</x:f>
        <x:v>Needs supplier cost</x:v>
      </x:c>
      <x:c r="AI920" t="str">
        <x:v>2026-09-10 Active Sports trade capture</x:v>
      </x:c>
      <x:c r="AJ920" t="str">
        <x:v>Management-only economics. Stripe stress test uses 1.5% + £0.20 standard UK online-card fee; pallet/mix-and-match pricing ignored.</x:v>
      </x:c>
    </x:row>
    <x:row r="921">
      <x:c r="A921" t="str">
        <x:v>Active Sports Nutrition</x:v>
      </x:c>
      <x:c r="B921" t="str">
        <x:v>DNA Sports</x:v>
      </x:c>
      <x:c r="C921" t="str">
        <x:v>Cream of Rice</x:v>
      </x:c>
      <x:c r="D921" t="str">
        <x:v>Supplements</x:v>
      </x:c>
      <x:c r="E921" t="str">
        <x:v>Carbohydrates</x:v>
      </x:c>
      <x:c r="F921" t="str"/>
      <x:c r="G921" t="str">
        <x:v>2kg</x:v>
      </x:c>
      <x:c r="H921" t="str">
        <x:v>Blueberry Muffin</x:v>
      </x:c>
      <x:c r="I921" t="str"/>
      <x:c r="J921" t="str">
        <x:v>Unit</x:v>
      </x:c>
      <x:c r="K921" t="str">
        <x:v>In stock</x:v>
      </x:c>
      <x:c r="L921" t="str">
        <x:v>2026-09-08</x:v>
      </x:c>
      <x:c r="M921" t="str"/>
      <x:c r="N921" t="str"/>
      <x:c r="O921" t="str">
        <x:v>https://www.activesportstrade.co.uk/dna-sports-trade</x:v>
      </x:c>
      <x:c r="P921" t="str">
        <x:v>SPECIAL OFFER wording removed.</x:v>
      </x:c>
      <x:c r="Q921" t="str"/>
      <x:c r="R921" t="str"/>
      <x:c r="S921" t="str">
        <x:v>Pending genuine supplier/brand image</x:v>
      </x:c>
      <x:c r="T921" s="54"/>
      <x:c r="U921" s="47" t="n">
        <x:v>0.2</x:v>
      </x:c>
      <x:c r="V921" s="54" t="str">
        <x:f>IF(ISNUMBER(T921),T921*(1+U921),"")</x:f>
      </x:c>
      <x:c r="W921" s="47" t="n">
        <x:v>0.3</x:v>
      </x:c>
      <x:c r="X921" s="54" t="str">
        <x:f>IF(ISNUMBER(V921),V921/(1-W921),"")</x:f>
      </x:c>
      <x:c r="Y921" s="55" t="str">
        <x:f>IF(ISNUMBER(X921),ROUNDUP(X921,0),"")</x:f>
      </x:c>
      <x:c r="Z921" t="str">
        <x:f>IF(ISNUMBER(T921),"Cost captured","Awaiting trade cost")</x:f>
        <x:v>Awaiting trade cost</x:v>
      </x:c>
      <x:c r="AB921" s="36" t="str">
        <x:f>IF(ISNUMBER(Y921),ROUND(Y921*0.9,2),"")</x:f>
      </x:c>
      <x:c r="AC921" s="36" t="str">
        <x:f>IF(ISNUMBER(AB921),ROUND(AB921-(AB921*0.015+0.2)-V921,2),"")</x:f>
      </x:c>
      <x:c r="AD921" s="36" t="str">
        <x:f>IF(ISNUMBER(Y921),ROUND(Y921*0.8,2),"")</x:f>
      </x:c>
      <x:c r="AE921" s="36" t="str">
        <x:f>IF(ISNUMBER(AD921),ROUND(AD921*0.015+0.2,2),"")</x:f>
      </x:c>
      <x:c r="AF921" s="36" t="str">
        <x:f>IF(ISNUMBER(AD921),ROUND(AD921-AE921-V921,2),"")</x:f>
      </x:c>
      <x:c r="AG921" t="str">
        <x:f>IF(NOT(ISNUMBER(T921)),"PENDING",IF(AF921&gt;0,"PASS","FAIL"))</x:f>
        <x:v>PENDING</x:v>
      </x:c>
      <x:c r="AH921" t="str">
        <x:f>IF(NOT(ISNUMBER(T921)),"Needs supplier cost",IF(K921&lt;&gt;"In stock","Supplier unavailable",IF(AG921&lt;&gt;"PASS","BLOCK - GT loss risk","Commercially protected")))</x:f>
        <x:v>Needs supplier cost</x:v>
      </x:c>
      <x:c r="AI921" t="str">
        <x:v>2026-09-10 Active Sports trade capture</x:v>
      </x:c>
      <x:c r="AJ921" t="str">
        <x:v>Management-only economics. Stripe stress test uses 1.5% + £0.20 standard UK online-card fee; pallet/mix-and-match pricing ignored.</x:v>
      </x:c>
    </x:row>
    <x:row r="922">
      <x:c r="A922" t="str">
        <x:v>Active Sports Nutrition</x:v>
      </x:c>
      <x:c r="B922" t="str">
        <x:v>DNA Sports</x:v>
      </x:c>
      <x:c r="C922" t="str">
        <x:v>Cream of Rice</x:v>
      </x:c>
      <x:c r="D922" t="str">
        <x:v>Supplements</x:v>
      </x:c>
      <x:c r="E922" t="str">
        <x:v>Carbohydrates</x:v>
      </x:c>
      <x:c r="F922" t="str"/>
      <x:c r="G922" t="str">
        <x:v>2kg</x:v>
      </x:c>
      <x:c r="H922" t="str">
        <x:v>Caramel Biscuit</x:v>
      </x:c>
      <x:c r="I922" t="str"/>
      <x:c r="J922" t="str">
        <x:v>Unit</x:v>
      </x:c>
      <x:c r="K922" t="str">
        <x:v>In stock</x:v>
      </x:c>
      <x:c r="L922" t="str">
        <x:v>2026-09-08</x:v>
      </x:c>
      <x:c r="M922" t="str"/>
      <x:c r="N922" t="str"/>
      <x:c r="O922" t="str">
        <x:v>https://www.activesportstrade.co.uk/dna-sports-trade</x:v>
      </x:c>
      <x:c r="P922" t="str">
        <x:v>SPECIAL OFFER wording removed.</x:v>
      </x:c>
      <x:c r="Q922" t="str"/>
      <x:c r="R922" t="str"/>
      <x:c r="S922" t="str">
        <x:v>Pending genuine supplier/brand image</x:v>
      </x:c>
      <x:c r="T922" s="54"/>
      <x:c r="U922" s="47" t="n">
        <x:v>0.2</x:v>
      </x:c>
      <x:c r="V922" s="54" t="str">
        <x:f>IF(ISNUMBER(T922),T922*(1+U922),"")</x:f>
      </x:c>
      <x:c r="W922" s="47" t="n">
        <x:v>0.3</x:v>
      </x:c>
      <x:c r="X922" s="54" t="str">
        <x:f>IF(ISNUMBER(V922),V922/(1-W922),"")</x:f>
      </x:c>
      <x:c r="Y922" s="55" t="str">
        <x:f>IF(ISNUMBER(X922),ROUNDUP(X922,0),"")</x:f>
      </x:c>
      <x:c r="Z922" t="str">
        <x:f>IF(ISNUMBER(T922),"Cost captured","Awaiting trade cost")</x:f>
        <x:v>Awaiting trade cost</x:v>
      </x:c>
      <x:c r="AB922" s="36" t="str">
        <x:f>IF(ISNUMBER(Y922),ROUND(Y922*0.9,2),"")</x:f>
      </x:c>
      <x:c r="AC922" s="36" t="str">
        <x:f>IF(ISNUMBER(AB922),ROUND(AB922-(AB922*0.015+0.2)-V922,2),"")</x:f>
      </x:c>
      <x:c r="AD922" s="36" t="str">
        <x:f>IF(ISNUMBER(Y922),ROUND(Y922*0.8,2),"")</x:f>
      </x:c>
      <x:c r="AE922" s="36" t="str">
        <x:f>IF(ISNUMBER(AD922),ROUND(AD922*0.015+0.2,2),"")</x:f>
      </x:c>
      <x:c r="AF922" s="36" t="str">
        <x:f>IF(ISNUMBER(AD922),ROUND(AD922-AE922-V922,2),"")</x:f>
      </x:c>
      <x:c r="AG922" t="str">
        <x:f>IF(NOT(ISNUMBER(T922)),"PENDING",IF(AF922&gt;0,"PASS","FAIL"))</x:f>
        <x:v>PENDING</x:v>
      </x:c>
      <x:c r="AH922" t="str">
        <x:f>IF(NOT(ISNUMBER(T922)),"Needs supplier cost",IF(K922&lt;&gt;"In stock","Supplier unavailable",IF(AG922&lt;&gt;"PASS","BLOCK - GT loss risk","Commercially protected")))</x:f>
        <x:v>Needs supplier cost</x:v>
      </x:c>
      <x:c r="AI922" t="str">
        <x:v>2026-09-10 Active Sports trade capture</x:v>
      </x:c>
      <x:c r="AJ922" t="str">
        <x:v>Management-only economics. Stripe stress test uses 1.5% + £0.20 standard UK online-card fee; pallet/mix-and-match pricing ignored.</x:v>
      </x:c>
    </x:row>
    <x:row r="923">
      <x:c r="A923" t="str">
        <x:v>Active Sports Nutrition</x:v>
      </x:c>
      <x:c r="B923" t="str">
        <x:v>DNA Sports</x:v>
      </x:c>
      <x:c r="C923" t="str">
        <x:v>Cream of Rice</x:v>
      </x:c>
      <x:c r="D923" t="str">
        <x:v>Supplements</x:v>
      </x:c>
      <x:c r="E923" t="str">
        <x:v>Carbohydrates</x:v>
      </x:c>
      <x:c r="F923" t="str"/>
      <x:c r="G923" t="str">
        <x:v>2kg</x:v>
      </x:c>
      <x:c r="H923" t="str">
        <x:v>Double Chocolate Cake</x:v>
      </x:c>
      <x:c r="I923" t="str"/>
      <x:c r="J923" t="str">
        <x:v>Unit</x:v>
      </x:c>
      <x:c r="K923" t="str">
        <x:v>In stock</x:v>
      </x:c>
      <x:c r="L923" t="str">
        <x:v>2026-09-08</x:v>
      </x:c>
      <x:c r="M923" t="str"/>
      <x:c r="N923" t="str"/>
      <x:c r="O923" t="str">
        <x:v>https://www.activesportstrade.co.uk/dna-sports-trade</x:v>
      </x:c>
      <x:c r="P923" t="str">
        <x:v>SPECIAL OFFER wording removed.</x:v>
      </x:c>
      <x:c r="Q923" t="str"/>
      <x:c r="R923" t="str"/>
      <x:c r="S923" t="str">
        <x:v>Pending genuine supplier/brand image</x:v>
      </x:c>
      <x:c r="T923" s="54"/>
      <x:c r="U923" s="47" t="n">
        <x:v>0.2</x:v>
      </x:c>
      <x:c r="V923" s="54" t="str">
        <x:f>IF(ISNUMBER(T923),T923*(1+U923),"")</x:f>
      </x:c>
      <x:c r="W923" s="47" t="n">
        <x:v>0.3</x:v>
      </x:c>
      <x:c r="X923" s="54" t="str">
        <x:f>IF(ISNUMBER(V923),V923/(1-W923),"")</x:f>
      </x:c>
      <x:c r="Y923" s="55" t="str">
        <x:f>IF(ISNUMBER(X923),ROUNDUP(X923,0),"")</x:f>
      </x:c>
      <x:c r="Z923" t="str">
        <x:f>IF(ISNUMBER(T923),"Cost captured","Awaiting trade cost")</x:f>
        <x:v>Awaiting trade cost</x:v>
      </x:c>
      <x:c r="AB923" s="36" t="str">
        <x:f>IF(ISNUMBER(Y923),ROUND(Y923*0.9,2),"")</x:f>
      </x:c>
      <x:c r="AC923" s="36" t="str">
        <x:f>IF(ISNUMBER(AB923),ROUND(AB923-(AB923*0.015+0.2)-V923,2),"")</x:f>
      </x:c>
      <x:c r="AD923" s="36" t="str">
        <x:f>IF(ISNUMBER(Y923),ROUND(Y923*0.8,2),"")</x:f>
      </x:c>
      <x:c r="AE923" s="36" t="str">
        <x:f>IF(ISNUMBER(AD923),ROUND(AD923*0.015+0.2,2),"")</x:f>
      </x:c>
      <x:c r="AF923" s="36" t="str">
        <x:f>IF(ISNUMBER(AD923),ROUND(AD923-AE923-V923,2),"")</x:f>
      </x:c>
      <x:c r="AG923" t="str">
        <x:f>IF(NOT(ISNUMBER(T923)),"PENDING",IF(AF923&gt;0,"PASS","FAIL"))</x:f>
        <x:v>PENDING</x:v>
      </x:c>
      <x:c r="AH923" t="str">
        <x:f>IF(NOT(ISNUMBER(T923)),"Needs supplier cost",IF(K923&lt;&gt;"In stock","Supplier unavailable",IF(AG923&lt;&gt;"PASS","BLOCK - GT loss risk","Commercially protected")))</x:f>
        <x:v>Needs supplier cost</x:v>
      </x:c>
      <x:c r="AI923" t="str">
        <x:v>2026-09-10 Active Sports trade capture</x:v>
      </x:c>
      <x:c r="AJ923" t="str">
        <x:v>Management-only economics. Stripe stress test uses 1.5% + £0.20 standard UK online-card fee; pallet/mix-and-match pricing ignored.</x:v>
      </x:c>
    </x:row>
    <x:row r="924">
      <x:c r="A924" t="str">
        <x:v>Active Sports Nutrition</x:v>
      </x:c>
      <x:c r="B924" t="str">
        <x:v>DNA Sports</x:v>
      </x:c>
      <x:c r="C924" t="str">
        <x:v>Cream of Rice</x:v>
      </x:c>
      <x:c r="D924" t="str">
        <x:v>Supplements</x:v>
      </x:c>
      <x:c r="E924" t="str">
        <x:v>Carbohydrates</x:v>
      </x:c>
      <x:c r="F924" t="str"/>
      <x:c r="G924" t="str">
        <x:v>2kg</x:v>
      </x:c>
      <x:c r="H924" t="str">
        <x:v>Jam Doughnut</x:v>
      </x:c>
      <x:c r="I924" t="str"/>
      <x:c r="J924" t="str">
        <x:v>Unit</x:v>
      </x:c>
      <x:c r="K924" t="str">
        <x:v>In stock</x:v>
      </x:c>
      <x:c r="L924" t="str">
        <x:v>2026-09-08</x:v>
      </x:c>
      <x:c r="M924" t="str"/>
      <x:c r="N924" t="str"/>
      <x:c r="O924" t="str">
        <x:v>https://www.activesportstrade.co.uk/dna-sports-trade</x:v>
      </x:c>
      <x:c r="P924" t="str">
        <x:v>SPECIAL OFFER wording removed.</x:v>
      </x:c>
      <x:c r="Q924" t="str"/>
      <x:c r="R924" t="str"/>
      <x:c r="S924" t="str">
        <x:v>Pending genuine supplier/brand image</x:v>
      </x:c>
      <x:c r="T924" s="54"/>
      <x:c r="U924" s="47" t="n">
        <x:v>0.2</x:v>
      </x:c>
      <x:c r="V924" s="54" t="str">
        <x:f>IF(ISNUMBER(T924),T924*(1+U924),"")</x:f>
      </x:c>
      <x:c r="W924" s="47" t="n">
        <x:v>0.3</x:v>
      </x:c>
      <x:c r="X924" s="54" t="str">
        <x:f>IF(ISNUMBER(V924),V924/(1-W924),"")</x:f>
      </x:c>
      <x:c r="Y924" s="55" t="str">
        <x:f>IF(ISNUMBER(X924),ROUNDUP(X924,0),"")</x:f>
      </x:c>
      <x:c r="Z924" t="str">
        <x:f>IF(ISNUMBER(T924),"Cost captured","Awaiting trade cost")</x:f>
        <x:v>Awaiting trade cost</x:v>
      </x:c>
      <x:c r="AB924" s="36" t="str">
        <x:f>IF(ISNUMBER(Y924),ROUND(Y924*0.9,2),"")</x:f>
      </x:c>
      <x:c r="AC924" s="36" t="str">
        <x:f>IF(ISNUMBER(AB924),ROUND(AB924-(AB924*0.015+0.2)-V924,2),"")</x:f>
      </x:c>
      <x:c r="AD924" s="36" t="str">
        <x:f>IF(ISNUMBER(Y924),ROUND(Y924*0.8,2),"")</x:f>
      </x:c>
      <x:c r="AE924" s="36" t="str">
        <x:f>IF(ISNUMBER(AD924),ROUND(AD924*0.015+0.2,2),"")</x:f>
      </x:c>
      <x:c r="AF924" s="36" t="str">
        <x:f>IF(ISNUMBER(AD924),ROUND(AD924-AE924-V924,2),"")</x:f>
      </x:c>
      <x:c r="AG924" t="str">
        <x:f>IF(NOT(ISNUMBER(T924)),"PENDING",IF(AF924&gt;0,"PASS","FAIL"))</x:f>
        <x:v>PENDING</x:v>
      </x:c>
      <x:c r="AH924" t="str">
        <x:f>IF(NOT(ISNUMBER(T924)),"Needs supplier cost",IF(K924&lt;&gt;"In stock","Supplier unavailable",IF(AG924&lt;&gt;"PASS","BLOCK - GT loss risk","Commercially protected")))</x:f>
        <x:v>Needs supplier cost</x:v>
      </x:c>
      <x:c r="AI924" t="str">
        <x:v>2026-09-10 Active Sports trade capture</x:v>
      </x:c>
      <x:c r="AJ924" t="str">
        <x:v>Management-only economics. Stripe stress test uses 1.5% + £0.20 standard UK online-card fee; pallet/mix-and-match pricing ignored.</x:v>
      </x:c>
    </x:row>
    <x:row r="925">
      <x:c r="A925" t="str">
        <x:v>Active Sports Nutrition</x:v>
      </x:c>
      <x:c r="B925" t="str">
        <x:v>DNA Sports</x:v>
      </x:c>
      <x:c r="C925" t="str">
        <x:v>Cream of Rice</x:v>
      </x:c>
      <x:c r="D925" t="str">
        <x:v>Supplements</x:v>
      </x:c>
      <x:c r="E925" t="str">
        <x:v>Carbohydrates</x:v>
      </x:c>
      <x:c r="F925" t="str"/>
      <x:c r="G925" t="str">
        <x:v>2kg</x:v>
      </x:c>
      <x:c r="H925" t="str">
        <x:v>Vanilla Ice Cream</x:v>
      </x:c>
      <x:c r="I925" t="str"/>
      <x:c r="J925" t="str">
        <x:v>Unit</x:v>
      </x:c>
      <x:c r="K925" t="str">
        <x:v>In stock</x:v>
      </x:c>
      <x:c r="L925" t="str">
        <x:v>2026-09-08</x:v>
      </x:c>
      <x:c r="M925" t="str"/>
      <x:c r="N925" t="str"/>
      <x:c r="O925" t="str">
        <x:v>https://www.activesportstrade.co.uk/dna-sports-trade</x:v>
      </x:c>
      <x:c r="P925" t="str">
        <x:v>SPECIAL OFFER wording removed.</x:v>
      </x:c>
      <x:c r="Q925" t="str"/>
      <x:c r="R925" t="str"/>
      <x:c r="S925" t="str">
        <x:v>Pending genuine supplier/brand image</x:v>
      </x:c>
      <x:c r="T925" s="54"/>
      <x:c r="U925" s="47" t="n">
        <x:v>0.2</x:v>
      </x:c>
      <x:c r="V925" s="54" t="str">
        <x:f>IF(ISNUMBER(T925),T925*(1+U925),"")</x:f>
      </x:c>
      <x:c r="W925" s="47" t="n">
        <x:v>0.3</x:v>
      </x:c>
      <x:c r="X925" s="54" t="str">
        <x:f>IF(ISNUMBER(V925),V925/(1-W925),"")</x:f>
      </x:c>
      <x:c r="Y925" s="55" t="str">
        <x:f>IF(ISNUMBER(X925),ROUNDUP(X925,0),"")</x:f>
      </x:c>
      <x:c r="Z925" t="str">
        <x:f>IF(ISNUMBER(T925),"Cost captured","Awaiting trade cost")</x:f>
        <x:v>Awaiting trade cost</x:v>
      </x:c>
      <x:c r="AB925" s="36" t="str">
        <x:f>IF(ISNUMBER(Y925),ROUND(Y925*0.9,2),"")</x:f>
      </x:c>
      <x:c r="AC925" s="36" t="str">
        <x:f>IF(ISNUMBER(AB925),ROUND(AB925-(AB925*0.015+0.2)-V925,2),"")</x:f>
      </x:c>
      <x:c r="AD925" s="36" t="str">
        <x:f>IF(ISNUMBER(Y925),ROUND(Y925*0.8,2),"")</x:f>
      </x:c>
      <x:c r="AE925" s="36" t="str">
        <x:f>IF(ISNUMBER(AD925),ROUND(AD925*0.015+0.2,2),"")</x:f>
      </x:c>
      <x:c r="AF925" s="36" t="str">
        <x:f>IF(ISNUMBER(AD925),ROUND(AD925-AE925-V925,2),"")</x:f>
      </x:c>
      <x:c r="AG925" t="str">
        <x:f>IF(NOT(ISNUMBER(T925)),"PENDING",IF(AF925&gt;0,"PASS","FAIL"))</x:f>
        <x:v>PENDING</x:v>
      </x:c>
      <x:c r="AH925" t="str">
        <x:f>IF(NOT(ISNUMBER(T925)),"Needs supplier cost",IF(K925&lt;&gt;"In stock","Supplier unavailable",IF(AG925&lt;&gt;"PASS","BLOCK - GT loss risk","Commercially protected")))</x:f>
        <x:v>Needs supplier cost</x:v>
      </x:c>
      <x:c r="AI925" t="str">
        <x:v>2026-09-10 Active Sports trade capture</x:v>
      </x:c>
      <x:c r="AJ925" t="str">
        <x:v>Management-only economics. Stripe stress test uses 1.5% + £0.20 standard UK online-card fee; pallet/mix-and-match pricing ignored.</x:v>
      </x:c>
    </x:row>
    <x:row r="926">
      <x:c r="A926" t="str">
        <x:v>Active Sports Nutrition</x:v>
      </x:c>
      <x:c r="B926" t="str">
        <x:v>DNA Sports</x:v>
      </x:c>
      <x:c r="C926" t="str">
        <x:v>Creatine Monohydrate</x:v>
      </x:c>
      <x:c r="D926" t="str">
        <x:v>Supplements</x:v>
      </x:c>
      <x:c r="E926" t="str">
        <x:v>Creatine Powders</x:v>
      </x:c>
      <x:c r="F926" t="str"/>
      <x:c r="G926" t="str">
        <x:v>150g</x:v>
      </x:c>
      <x:c r="H926" t="str">
        <x:v>Unflavoured</x:v>
      </x:c>
      <x:c r="I926" t="str"/>
      <x:c r="J926" t="str">
        <x:v>Unit</x:v>
      </x:c>
      <x:c r="K926" t="str">
        <x:v>In stock</x:v>
      </x:c>
      <x:c r="L926" t="str">
        <x:v>2026-09-08</x:v>
      </x:c>
      <x:c r="M926" t="str"/>
      <x:c r="N926" t="str"/>
      <x:c r="O926" t="str">
        <x:v>https://www.activesportstrade.co.uk/dna-sports-trade</x:v>
      </x:c>
      <x:c r="P926" t="str"/>
      <x:c r="Q926" t="str"/>
      <x:c r="R926" t="str"/>
      <x:c r="S926" t="str">
        <x:v>Pending genuine supplier/brand image</x:v>
      </x:c>
      <x:c r="T926" s="54"/>
      <x:c r="U926" s="47" t="n">
        <x:v>0.2</x:v>
      </x:c>
      <x:c r="V926" s="54" t="str">
        <x:f>IF(ISNUMBER(T926),T926*(1+U926),"")</x:f>
      </x:c>
      <x:c r="W926" s="47" t="n">
        <x:v>0.3</x:v>
      </x:c>
      <x:c r="X926" s="54" t="str">
        <x:f>IF(ISNUMBER(V926),V926/(1-W926),"")</x:f>
      </x:c>
      <x:c r="Y926" s="55" t="str">
        <x:f>IF(ISNUMBER(X926),ROUNDUP(X926,0),"")</x:f>
      </x:c>
      <x:c r="Z926" t="str">
        <x:f>IF(ISNUMBER(T926),"Cost captured","Awaiting trade cost")</x:f>
        <x:v>Awaiting trade cost</x:v>
      </x:c>
      <x:c r="AB926" s="36" t="str">
        <x:f>IF(ISNUMBER(Y926),ROUND(Y926*0.9,2),"")</x:f>
      </x:c>
      <x:c r="AC926" s="36" t="str">
        <x:f>IF(ISNUMBER(AB926),ROUND(AB926-(AB926*0.015+0.2)-V926,2),"")</x:f>
      </x:c>
      <x:c r="AD926" s="36" t="str">
        <x:f>IF(ISNUMBER(Y926),ROUND(Y926*0.8,2),"")</x:f>
      </x:c>
      <x:c r="AE926" s="36" t="str">
        <x:f>IF(ISNUMBER(AD926),ROUND(AD926*0.015+0.2,2),"")</x:f>
      </x:c>
      <x:c r="AF926" s="36" t="str">
        <x:f>IF(ISNUMBER(AD926),ROUND(AD926-AE926-V926,2),"")</x:f>
      </x:c>
      <x:c r="AG926" t="str">
        <x:f>IF(NOT(ISNUMBER(T926)),"PENDING",IF(AF926&gt;0,"PASS","FAIL"))</x:f>
        <x:v>PENDING</x:v>
      </x:c>
      <x:c r="AH926" t="str">
        <x:f>IF(NOT(ISNUMBER(T926)),"Needs supplier cost",IF(K926&lt;&gt;"In stock","Supplier unavailable",IF(AG926&lt;&gt;"PASS","BLOCK - GT loss risk","Commercially protected")))</x:f>
        <x:v>Needs supplier cost</x:v>
      </x:c>
      <x:c r="AI926" t="str">
        <x:v>2026-09-10 Active Sports trade capture</x:v>
      </x:c>
      <x:c r="AJ926" t="str">
        <x:v>Management-only economics. Stripe stress test uses 1.5% + £0.20 standard UK online-card fee; pallet/mix-and-match pricing ignored.</x:v>
      </x:c>
    </x:row>
    <x:row r="927">
      <x:c r="A927" t="str">
        <x:v>Active Sports Nutrition</x:v>
      </x:c>
      <x:c r="B927" t="str">
        <x:v>DNA Sports</x:v>
      </x:c>
      <x:c r="C927" t="str">
        <x:v>Creatine Monohydrate</x:v>
      </x:c>
      <x:c r="D927" t="str">
        <x:v>Supplements</x:v>
      </x:c>
      <x:c r="E927" t="str">
        <x:v>Creatine Powders</x:v>
      </x:c>
      <x:c r="F927" t="str"/>
      <x:c r="G927" t="str">
        <x:v>300g</x:v>
      </x:c>
      <x:c r="H927" t="str">
        <x:v>Unflavoured</x:v>
      </x:c>
      <x:c r="I927" t="str"/>
      <x:c r="J927" t="str">
        <x:v>Unit</x:v>
      </x:c>
      <x:c r="K927" t="str">
        <x:v>In stock</x:v>
      </x:c>
      <x:c r="L927" t="str">
        <x:v>2026-09-08</x:v>
      </x:c>
      <x:c r="M927" t="str"/>
      <x:c r="N927" t="str"/>
      <x:c r="O927" t="str">
        <x:v>https://www.activesportstrade.co.uk/dna-sports-trade</x:v>
      </x:c>
      <x:c r="P927" t="str"/>
      <x:c r="Q927" t="str"/>
      <x:c r="R927" t="str"/>
      <x:c r="S927" t="str">
        <x:v>Pending genuine supplier/brand image</x:v>
      </x:c>
      <x:c r="T927" s="54"/>
      <x:c r="U927" s="47" t="n">
        <x:v>0.2</x:v>
      </x:c>
      <x:c r="V927" s="54" t="str">
        <x:f>IF(ISNUMBER(T927),T927*(1+U927),"")</x:f>
      </x:c>
      <x:c r="W927" s="47" t="n">
        <x:v>0.3</x:v>
      </x:c>
      <x:c r="X927" s="54" t="str">
        <x:f>IF(ISNUMBER(V927),V927/(1-W927),"")</x:f>
      </x:c>
      <x:c r="Y927" s="55" t="str">
        <x:f>IF(ISNUMBER(X927),ROUNDUP(X927,0),"")</x:f>
      </x:c>
      <x:c r="Z927" t="str">
        <x:f>IF(ISNUMBER(T927),"Cost captured","Awaiting trade cost")</x:f>
        <x:v>Awaiting trade cost</x:v>
      </x:c>
      <x:c r="AB927" s="36" t="str">
        <x:f>IF(ISNUMBER(Y927),ROUND(Y927*0.9,2),"")</x:f>
      </x:c>
      <x:c r="AC927" s="36" t="str">
        <x:f>IF(ISNUMBER(AB927),ROUND(AB927-(AB927*0.015+0.2)-V927,2),"")</x:f>
      </x:c>
      <x:c r="AD927" s="36" t="str">
        <x:f>IF(ISNUMBER(Y927),ROUND(Y927*0.8,2),"")</x:f>
      </x:c>
      <x:c r="AE927" s="36" t="str">
        <x:f>IF(ISNUMBER(AD927),ROUND(AD927*0.015+0.2,2),"")</x:f>
      </x:c>
      <x:c r="AF927" s="36" t="str">
        <x:f>IF(ISNUMBER(AD927),ROUND(AD927-AE927-V927,2),"")</x:f>
      </x:c>
      <x:c r="AG927" t="str">
        <x:f>IF(NOT(ISNUMBER(T927)),"PENDING",IF(AF927&gt;0,"PASS","FAIL"))</x:f>
        <x:v>PENDING</x:v>
      </x:c>
      <x:c r="AH927" t="str">
        <x:f>IF(NOT(ISNUMBER(T927)),"Needs supplier cost",IF(K927&lt;&gt;"In stock","Supplier unavailable",IF(AG927&lt;&gt;"PASS","BLOCK - GT loss risk","Commercially protected")))</x:f>
        <x:v>Needs supplier cost</x:v>
      </x:c>
      <x:c r="AI927" t="str">
        <x:v>2026-09-10 Active Sports trade capture</x:v>
      </x:c>
      <x:c r="AJ927" t="str">
        <x:v>Management-only economics. Stripe stress test uses 1.5% + £0.20 standard UK online-card fee; pallet/mix-and-match pricing ignored.</x:v>
      </x:c>
    </x:row>
    <x:row r="928">
      <x:c r="A928" t="str">
        <x:v>Active Sports Nutrition</x:v>
      </x:c>
      <x:c r="B928" t="str">
        <x:v>DNA Sports</x:v>
      </x:c>
      <x:c r="C928" t="str">
        <x:v>Creatine Monohydrate</x:v>
      </x:c>
      <x:c r="D928" t="str">
        <x:v>Supplements</x:v>
      </x:c>
      <x:c r="E928" t="str">
        <x:v>Creatine Powders</x:v>
      </x:c>
      <x:c r="F928" t="str"/>
      <x:c r="G928" t="str">
        <x:v>1kg</x:v>
      </x:c>
      <x:c r="H928" t="str">
        <x:v>Unflavoured</x:v>
      </x:c>
      <x:c r="I928" t="str"/>
      <x:c r="J928" t="str">
        <x:v>Unit</x:v>
      </x:c>
      <x:c r="K928" t="str">
        <x:v>Out of stock</x:v>
      </x:c>
      <x:c r="L928" t="str">
        <x:v>2026-09-08</x:v>
      </x:c>
      <x:c r="M928" t="str"/>
      <x:c r="N928" t="str"/>
      <x:c r="O928" t="str">
        <x:v>https://www.activesportstrade.co.uk/dna-sports-trade</x:v>
      </x:c>
      <x:c r="P928" t="str"/>
      <x:c r="Q928" t="str"/>
      <x:c r="R928" t="str"/>
      <x:c r="S928" t="str">
        <x:v>Pending genuine supplier/brand image</x:v>
      </x:c>
      <x:c r="T928" s="54"/>
      <x:c r="U928" s="47" t="n">
        <x:v>0.2</x:v>
      </x:c>
      <x:c r="V928" s="54" t="str">
        <x:f>IF(ISNUMBER(T928),T928*(1+U928),"")</x:f>
      </x:c>
      <x:c r="W928" s="47" t="n">
        <x:v>0.3</x:v>
      </x:c>
      <x:c r="X928" s="54" t="str">
        <x:f>IF(ISNUMBER(V928),V928/(1-W928),"")</x:f>
      </x:c>
      <x:c r="Y928" s="55" t="str">
        <x:f>IF(ISNUMBER(X928),ROUNDUP(X928,0),"")</x:f>
      </x:c>
      <x:c r="Z928" t="str">
        <x:f>IF(ISNUMBER(T928),"Cost captured","Awaiting trade cost")</x:f>
        <x:v>Awaiting trade cost</x:v>
      </x:c>
      <x:c r="AB928" s="36" t="str">
        <x:f>IF(ISNUMBER(Y928),ROUND(Y928*0.9,2),"")</x:f>
      </x:c>
      <x:c r="AC928" s="36" t="str">
        <x:f>IF(ISNUMBER(AB928),ROUND(AB928-(AB928*0.015+0.2)-V928,2),"")</x:f>
      </x:c>
      <x:c r="AD928" s="36" t="str">
        <x:f>IF(ISNUMBER(Y928),ROUND(Y928*0.8,2),"")</x:f>
      </x:c>
      <x:c r="AE928" s="36" t="str">
        <x:f>IF(ISNUMBER(AD928),ROUND(AD928*0.015+0.2,2),"")</x:f>
      </x:c>
      <x:c r="AF928" s="36" t="str">
        <x:f>IF(ISNUMBER(AD928),ROUND(AD928-AE928-V928,2),"")</x:f>
      </x:c>
      <x:c r="AG928" t="str">
        <x:f>IF(NOT(ISNUMBER(T928)),"PENDING",IF(AF928&gt;0,"PASS","FAIL"))</x:f>
        <x:v>PENDING</x:v>
      </x:c>
      <x:c r="AH928" t="str">
        <x:f>IF(NOT(ISNUMBER(T928)),"Needs supplier cost",IF(K928&lt;&gt;"In stock","Supplier unavailable",IF(AG928&lt;&gt;"PASS","BLOCK - GT loss risk","Commercially protected")))</x:f>
        <x:v>Needs supplier cost</x:v>
      </x:c>
      <x:c r="AI928" t="str">
        <x:v>2026-09-10 Active Sports trade capture</x:v>
      </x:c>
      <x:c r="AJ928" t="str">
        <x:v>Management-only economics. Stripe stress test uses 1.5% + £0.20 standard UK online-card fee; pallet/mix-and-match pricing ignored.</x:v>
      </x:c>
    </x:row>
    <x:row r="929">
      <x:c r="A929" t="str">
        <x:v>Active Sports Nutrition</x:v>
      </x:c>
      <x:c r="B929" t="str">
        <x:v>DNA Sports</x:v>
      </x:c>
      <x:c r="C929" t="str">
        <x:v>Glutamine</x:v>
      </x:c>
      <x:c r="D929" t="str">
        <x:v>Supplements</x:v>
      </x:c>
      <x:c r="E929" t="str">
        <x:v>L-Glutamine</x:v>
      </x:c>
      <x:c r="F929" t="str"/>
      <x:c r="G929" t="str">
        <x:v>300g</x:v>
      </x:c>
      <x:c r="H929" t="str">
        <x:v>Unflavoured</x:v>
      </x:c>
      <x:c r="I929" t="str"/>
      <x:c r="J929" t="str">
        <x:v>Unit</x:v>
      </x:c>
      <x:c r="K929" t="str">
        <x:v>In stock</x:v>
      </x:c>
      <x:c r="L929" t="str">
        <x:v>2026-09-08</x:v>
      </x:c>
      <x:c r="M929" t="str"/>
      <x:c r="N929" t="str"/>
      <x:c r="O929" t="str">
        <x:v>https://www.activesportstrade.co.uk/dna-sports-trade</x:v>
      </x:c>
      <x:c r="P929" t="str"/>
      <x:c r="Q929" t="str"/>
      <x:c r="R929" t="str"/>
      <x:c r="S929" t="str">
        <x:v>Pending genuine supplier/brand image</x:v>
      </x:c>
      <x:c r="T929" s="54"/>
      <x:c r="U929" s="47" t="n">
        <x:v>0.2</x:v>
      </x:c>
      <x:c r="V929" s="54" t="str">
        <x:f>IF(ISNUMBER(T929),T929*(1+U929),"")</x:f>
      </x:c>
      <x:c r="W929" s="47" t="n">
        <x:v>0.3</x:v>
      </x:c>
      <x:c r="X929" s="54" t="str">
        <x:f>IF(ISNUMBER(V929),V929/(1-W929),"")</x:f>
      </x:c>
      <x:c r="Y929" s="55" t="str">
        <x:f>IF(ISNUMBER(X929),ROUNDUP(X929,0),"")</x:f>
      </x:c>
      <x:c r="Z929" t="str">
        <x:f>IF(ISNUMBER(T929),"Cost captured","Awaiting trade cost")</x:f>
        <x:v>Awaiting trade cost</x:v>
      </x:c>
      <x:c r="AB929" s="36" t="str">
        <x:f>IF(ISNUMBER(Y929),ROUND(Y929*0.9,2),"")</x:f>
      </x:c>
      <x:c r="AC929" s="36" t="str">
        <x:f>IF(ISNUMBER(AB929),ROUND(AB929-(AB929*0.015+0.2)-V929,2),"")</x:f>
      </x:c>
      <x:c r="AD929" s="36" t="str">
        <x:f>IF(ISNUMBER(Y929),ROUND(Y929*0.8,2),"")</x:f>
      </x:c>
      <x:c r="AE929" s="36" t="str">
        <x:f>IF(ISNUMBER(AD929),ROUND(AD929*0.015+0.2,2),"")</x:f>
      </x:c>
      <x:c r="AF929" s="36" t="str">
        <x:f>IF(ISNUMBER(AD929),ROUND(AD929-AE929-V929,2),"")</x:f>
      </x:c>
      <x:c r="AG929" t="str">
        <x:f>IF(NOT(ISNUMBER(T929)),"PENDING",IF(AF929&gt;0,"PASS","FAIL"))</x:f>
        <x:v>PENDING</x:v>
      </x:c>
      <x:c r="AH929" t="str">
        <x:f>IF(NOT(ISNUMBER(T929)),"Needs supplier cost",IF(K929&lt;&gt;"In stock","Supplier unavailable",IF(AG929&lt;&gt;"PASS","BLOCK - GT loss risk","Commercially protected")))</x:f>
        <x:v>Needs supplier cost</x:v>
      </x:c>
      <x:c r="AI929" t="str">
        <x:v>2026-09-10 Active Sports trade capture</x:v>
      </x:c>
      <x:c r="AJ929" t="str">
        <x:v>Management-only economics. Stripe stress test uses 1.5% + £0.20 standard UK online-card fee; pallet/mix-and-match pricing ignored.</x:v>
      </x:c>
    </x:row>
    <x:row r="930">
      <x:c r="A930" t="str">
        <x:v>Active Sports Nutrition</x:v>
      </x:c>
      <x:c r="B930" t="str">
        <x:v>DNA Sports</x:v>
      </x:c>
      <x:c r="C930" t="str">
        <x:v>H8 Pre Workout V3</x:v>
      </x:c>
      <x:c r="D930" t="str">
        <x:v>Pre Workouts</x:v>
      </x:c>
      <x:c r="E930" t="str">
        <x:v>High Stim</x:v>
      </x:c>
      <x:c r="F930" t="str"/>
      <x:c r="G930" t="str">
        <x:v>25 servings</x:v>
      </x:c>
      <x:c r="H930" t="str">
        <x:v>Bubblegum Popsicle</x:v>
      </x:c>
      <x:c r="I930" t="str"/>
      <x:c r="J930" t="str">
        <x:v>Unit</x:v>
      </x:c>
      <x:c r="K930" t="str">
        <x:v>In stock</x:v>
      </x:c>
      <x:c r="L930" t="str">
        <x:v>2026-09-08</x:v>
      </x:c>
      <x:c r="M930" t="str"/>
      <x:c r="N930" t="str"/>
      <x:c r="O930" t="str">
        <x:v>https://www.activesportstrade.co.uk/dna-sports-trade</x:v>
      </x:c>
      <x:c r="P930" t="str"/>
      <x:c r="Q930" t="str"/>
      <x:c r="R930" t="str"/>
      <x:c r="S930" t="str">
        <x:v>Pending genuine supplier/brand image</x:v>
      </x:c>
      <x:c r="T930" s="54"/>
      <x:c r="U930" s="47" t="n">
        <x:v>0.2</x:v>
      </x:c>
      <x:c r="V930" s="54" t="str">
        <x:f>IF(ISNUMBER(T930),T930*(1+U930),"")</x:f>
      </x:c>
      <x:c r="W930" s="47" t="n">
        <x:v>0.3</x:v>
      </x:c>
      <x:c r="X930" s="54" t="str">
        <x:f>IF(ISNUMBER(V930),V930/(1-W930),"")</x:f>
      </x:c>
      <x:c r="Y930" s="55" t="str">
        <x:f>IF(ISNUMBER(X930),ROUNDUP(X930,0),"")</x:f>
      </x:c>
      <x:c r="Z930" t="str">
        <x:f>IF(ISNUMBER(T930),"Cost captured","Awaiting trade cost")</x:f>
        <x:v>Awaiting trade cost</x:v>
      </x:c>
      <x:c r="AB930" s="36" t="str">
        <x:f>IF(ISNUMBER(Y930),ROUND(Y930*0.9,2),"")</x:f>
      </x:c>
      <x:c r="AC930" s="36" t="str">
        <x:f>IF(ISNUMBER(AB930),ROUND(AB930-(AB930*0.015+0.2)-V930,2),"")</x:f>
      </x:c>
      <x:c r="AD930" s="36" t="str">
        <x:f>IF(ISNUMBER(Y930),ROUND(Y930*0.8,2),"")</x:f>
      </x:c>
      <x:c r="AE930" s="36" t="str">
        <x:f>IF(ISNUMBER(AD930),ROUND(AD930*0.015+0.2,2),"")</x:f>
      </x:c>
      <x:c r="AF930" s="36" t="str">
        <x:f>IF(ISNUMBER(AD930),ROUND(AD930-AE930-V930,2),"")</x:f>
      </x:c>
      <x:c r="AG930" t="str">
        <x:f>IF(NOT(ISNUMBER(T930)),"PENDING",IF(AF930&gt;0,"PASS","FAIL"))</x:f>
        <x:v>PENDING</x:v>
      </x:c>
      <x:c r="AH930" t="str">
        <x:f>IF(NOT(ISNUMBER(T930)),"Needs supplier cost",IF(K930&lt;&gt;"In stock","Supplier unavailable",IF(AG930&lt;&gt;"PASS","BLOCK - GT loss risk","Commercially protected")))</x:f>
        <x:v>Needs supplier cost</x:v>
      </x:c>
      <x:c r="AI930" t="str">
        <x:v>2026-09-10 Active Sports trade capture</x:v>
      </x:c>
      <x:c r="AJ930" t="str">
        <x:v>Management-only economics. Stripe stress test uses 1.5% + £0.20 standard UK online-card fee; pallet/mix-and-match pricing ignored.</x:v>
      </x:c>
    </x:row>
    <x:row r="931">
      <x:c r="A931" t="str">
        <x:v>Active Sports Nutrition</x:v>
      </x:c>
      <x:c r="B931" t="str">
        <x:v>DNA Sports</x:v>
      </x:c>
      <x:c r="C931" t="str">
        <x:v>H8 Pre Workout V3</x:v>
      </x:c>
      <x:c r="D931" t="str">
        <x:v>Pre Workouts</x:v>
      </x:c>
      <x:c r="E931" t="str">
        <x:v>High Stim</x:v>
      </x:c>
      <x:c r="F931" t="str"/>
      <x:c r="G931" t="str">
        <x:v>25 servings</x:v>
      </x:c>
      <x:c r="H931" t="str">
        <x:v>Fizzy Cherry</x:v>
      </x:c>
      <x:c r="I931" t="str"/>
      <x:c r="J931" t="str">
        <x:v>Unit</x:v>
      </x:c>
      <x:c r="K931" t="str">
        <x:v>In stock</x:v>
      </x:c>
      <x:c r="L931" t="str">
        <x:v>2026-09-08</x:v>
      </x:c>
      <x:c r="M931" t="str"/>
      <x:c r="N931" t="str"/>
      <x:c r="O931" t="str">
        <x:v>https://www.activesportstrade.co.uk/dna-sports-trade</x:v>
      </x:c>
      <x:c r="P931" t="str"/>
      <x:c r="Q931" t="str"/>
      <x:c r="R931" t="str"/>
      <x:c r="S931" t="str">
        <x:v>Pending genuine supplier/brand image</x:v>
      </x:c>
      <x:c r="T931" s="54"/>
      <x:c r="U931" s="47" t="n">
        <x:v>0.2</x:v>
      </x:c>
      <x:c r="V931" s="54" t="str">
        <x:f>IF(ISNUMBER(T931),T931*(1+U931),"")</x:f>
      </x:c>
      <x:c r="W931" s="47" t="n">
        <x:v>0.3</x:v>
      </x:c>
      <x:c r="X931" s="54" t="str">
        <x:f>IF(ISNUMBER(V931),V931/(1-W931),"")</x:f>
      </x:c>
      <x:c r="Y931" s="55" t="str">
        <x:f>IF(ISNUMBER(X931),ROUNDUP(X931,0),"")</x:f>
      </x:c>
      <x:c r="Z931" t="str">
        <x:f>IF(ISNUMBER(T931),"Cost captured","Awaiting trade cost")</x:f>
        <x:v>Awaiting trade cost</x:v>
      </x:c>
      <x:c r="AB931" s="36" t="str">
        <x:f>IF(ISNUMBER(Y931),ROUND(Y931*0.9,2),"")</x:f>
      </x:c>
      <x:c r="AC931" s="36" t="str">
        <x:f>IF(ISNUMBER(AB931),ROUND(AB931-(AB931*0.015+0.2)-V931,2),"")</x:f>
      </x:c>
      <x:c r="AD931" s="36" t="str">
        <x:f>IF(ISNUMBER(Y931),ROUND(Y931*0.8,2),"")</x:f>
      </x:c>
      <x:c r="AE931" s="36" t="str">
        <x:f>IF(ISNUMBER(AD931),ROUND(AD931*0.015+0.2,2),"")</x:f>
      </x:c>
      <x:c r="AF931" s="36" t="str">
        <x:f>IF(ISNUMBER(AD931),ROUND(AD931-AE931-V931,2),"")</x:f>
      </x:c>
      <x:c r="AG931" t="str">
        <x:f>IF(NOT(ISNUMBER(T931)),"PENDING",IF(AF931&gt;0,"PASS","FAIL"))</x:f>
        <x:v>PENDING</x:v>
      </x:c>
      <x:c r="AH931" t="str">
        <x:f>IF(NOT(ISNUMBER(T931)),"Needs supplier cost",IF(K931&lt;&gt;"In stock","Supplier unavailable",IF(AG931&lt;&gt;"PASS","BLOCK - GT loss risk","Commercially protected")))</x:f>
        <x:v>Needs supplier cost</x:v>
      </x:c>
      <x:c r="AI931" t="str">
        <x:v>2026-09-10 Active Sports trade capture</x:v>
      </x:c>
      <x:c r="AJ931" t="str">
        <x:v>Management-only economics. Stripe stress test uses 1.5% + £0.20 standard UK online-card fee; pallet/mix-and-match pricing ignored.</x:v>
      </x:c>
    </x:row>
    <x:row r="932">
      <x:c r="A932" t="str">
        <x:v>Active Sports Nutrition</x:v>
      </x:c>
      <x:c r="B932" t="str">
        <x:v>DNA Sports</x:v>
      </x:c>
      <x:c r="C932" t="str">
        <x:v>H8 Pre Workout V3</x:v>
      </x:c>
      <x:c r="D932" t="str">
        <x:v>Pre Workouts</x:v>
      </x:c>
      <x:c r="E932" t="str">
        <x:v>High Stim</x:v>
      </x:c>
      <x:c r="F932" t="str"/>
      <x:c r="G932" t="str">
        <x:v>25 servings</x:v>
      </x:c>
      <x:c r="H932" t="str">
        <x:v>Lemon Sherbet</x:v>
      </x:c>
      <x:c r="I932" t="str"/>
      <x:c r="J932" t="str">
        <x:v>Unit</x:v>
      </x:c>
      <x:c r="K932" t="str">
        <x:v>Out of stock</x:v>
      </x:c>
      <x:c r="L932" t="str">
        <x:v>2026-09-08</x:v>
      </x:c>
      <x:c r="M932" t="str"/>
      <x:c r="N932" t="str"/>
      <x:c r="O932" t="str">
        <x:v>https://www.activesportstrade.co.uk/dna-sports-trade</x:v>
      </x:c>
      <x:c r="P932" t="str"/>
      <x:c r="Q932" t="str"/>
      <x:c r="R932" t="str"/>
      <x:c r="S932" t="str">
        <x:v>Pending genuine supplier/brand image</x:v>
      </x:c>
      <x:c r="T932" s="54"/>
      <x:c r="U932" s="47" t="n">
        <x:v>0.2</x:v>
      </x:c>
      <x:c r="V932" s="54" t="str">
        <x:f>IF(ISNUMBER(T932),T932*(1+U932),"")</x:f>
      </x:c>
      <x:c r="W932" s="47" t="n">
        <x:v>0.3</x:v>
      </x:c>
      <x:c r="X932" s="54" t="str">
        <x:f>IF(ISNUMBER(V932),V932/(1-W932),"")</x:f>
      </x:c>
      <x:c r="Y932" s="55" t="str">
        <x:f>IF(ISNUMBER(X932),ROUNDUP(X932,0),"")</x:f>
      </x:c>
      <x:c r="Z932" t="str">
        <x:f>IF(ISNUMBER(T932),"Cost captured","Awaiting trade cost")</x:f>
        <x:v>Awaiting trade cost</x:v>
      </x:c>
      <x:c r="AB932" s="36" t="str">
        <x:f>IF(ISNUMBER(Y932),ROUND(Y932*0.9,2),"")</x:f>
      </x:c>
      <x:c r="AC932" s="36" t="str">
        <x:f>IF(ISNUMBER(AB932),ROUND(AB932-(AB932*0.015+0.2)-V932,2),"")</x:f>
      </x:c>
      <x:c r="AD932" s="36" t="str">
        <x:f>IF(ISNUMBER(Y932),ROUND(Y932*0.8,2),"")</x:f>
      </x:c>
      <x:c r="AE932" s="36" t="str">
        <x:f>IF(ISNUMBER(AD932),ROUND(AD932*0.015+0.2,2),"")</x:f>
      </x:c>
      <x:c r="AF932" s="36" t="str">
        <x:f>IF(ISNUMBER(AD932),ROUND(AD932-AE932-V932,2),"")</x:f>
      </x:c>
      <x:c r="AG932" t="str">
        <x:f>IF(NOT(ISNUMBER(T932)),"PENDING",IF(AF932&gt;0,"PASS","FAIL"))</x:f>
        <x:v>PENDING</x:v>
      </x:c>
      <x:c r="AH932" t="str">
        <x:f>IF(NOT(ISNUMBER(T932)),"Needs supplier cost",IF(K932&lt;&gt;"In stock","Supplier unavailable",IF(AG932&lt;&gt;"PASS","BLOCK - GT loss risk","Commercially protected")))</x:f>
        <x:v>Needs supplier cost</x:v>
      </x:c>
      <x:c r="AI932" t="str">
        <x:v>2026-09-10 Active Sports trade capture</x:v>
      </x:c>
      <x:c r="AJ932" t="str">
        <x:v>Management-only economics. Stripe stress test uses 1.5% + £0.20 standard UK online-card fee; pallet/mix-and-match pricing ignored.</x:v>
      </x:c>
    </x:row>
    <x:row r="933">
      <x:c r="A933" t="str">
        <x:v>Active Sports Nutrition</x:v>
      </x:c>
      <x:c r="B933" t="str">
        <x:v>DNA Sports</x:v>
      </x:c>
      <x:c r="C933" t="str">
        <x:v>H8 Pre Workout V3</x:v>
      </x:c>
      <x:c r="D933" t="str">
        <x:v>Pre Workouts</x:v>
      </x:c>
      <x:c r="E933" t="str">
        <x:v>High Stim</x:v>
      </x:c>
      <x:c r="F933" t="str"/>
      <x:c r="G933" t="str">
        <x:v>25 servings</x:v>
      </x:c>
      <x:c r="H933" t="str">
        <x:v>Sour Watermelon</x:v>
      </x:c>
      <x:c r="I933" t="str"/>
      <x:c r="J933" t="str">
        <x:v>Unit</x:v>
      </x:c>
      <x:c r="K933" t="str">
        <x:v>In stock</x:v>
      </x:c>
      <x:c r="L933" t="str">
        <x:v>2026-09-08</x:v>
      </x:c>
      <x:c r="M933" t="str"/>
      <x:c r="N933" t="str"/>
      <x:c r="O933" t="str">
        <x:v>https://www.activesportstrade.co.uk/dna-sports-trade</x:v>
      </x:c>
      <x:c r="P933" t="str"/>
      <x:c r="Q933" t="str"/>
      <x:c r="R933" t="str"/>
      <x:c r="S933" t="str">
        <x:v>Pending genuine supplier/brand image</x:v>
      </x:c>
      <x:c r="T933" s="54"/>
      <x:c r="U933" s="47" t="n">
        <x:v>0.2</x:v>
      </x:c>
      <x:c r="V933" s="54" t="str">
        <x:f>IF(ISNUMBER(T933),T933*(1+U933),"")</x:f>
      </x:c>
      <x:c r="W933" s="47" t="n">
        <x:v>0.3</x:v>
      </x:c>
      <x:c r="X933" s="54" t="str">
        <x:f>IF(ISNUMBER(V933),V933/(1-W933),"")</x:f>
      </x:c>
      <x:c r="Y933" s="55" t="str">
        <x:f>IF(ISNUMBER(X933),ROUNDUP(X933,0),"")</x:f>
      </x:c>
      <x:c r="Z933" t="str">
        <x:f>IF(ISNUMBER(T933),"Cost captured","Awaiting trade cost")</x:f>
        <x:v>Awaiting trade cost</x:v>
      </x:c>
      <x:c r="AB933" s="36" t="str">
        <x:f>IF(ISNUMBER(Y933),ROUND(Y933*0.9,2),"")</x:f>
      </x:c>
      <x:c r="AC933" s="36" t="str">
        <x:f>IF(ISNUMBER(AB933),ROUND(AB933-(AB933*0.015+0.2)-V933,2),"")</x:f>
      </x:c>
      <x:c r="AD933" s="36" t="str">
        <x:f>IF(ISNUMBER(Y933),ROUND(Y933*0.8,2),"")</x:f>
      </x:c>
      <x:c r="AE933" s="36" t="str">
        <x:f>IF(ISNUMBER(AD933),ROUND(AD933*0.015+0.2,2),"")</x:f>
      </x:c>
      <x:c r="AF933" s="36" t="str">
        <x:f>IF(ISNUMBER(AD933),ROUND(AD933-AE933-V933,2),"")</x:f>
      </x:c>
      <x:c r="AG933" t="str">
        <x:f>IF(NOT(ISNUMBER(T933)),"PENDING",IF(AF933&gt;0,"PASS","FAIL"))</x:f>
        <x:v>PENDING</x:v>
      </x:c>
      <x:c r="AH933" t="str">
        <x:f>IF(NOT(ISNUMBER(T933)),"Needs supplier cost",IF(K933&lt;&gt;"In stock","Supplier unavailable",IF(AG933&lt;&gt;"PASS","BLOCK - GT loss risk","Commercially protected")))</x:f>
        <x:v>Needs supplier cost</x:v>
      </x:c>
      <x:c r="AI933" t="str">
        <x:v>2026-09-10 Active Sports trade capture</x:v>
      </x:c>
      <x:c r="AJ933" t="str">
        <x:v>Management-only economics. Stripe stress test uses 1.5% + £0.20 standard UK online-card fee; pallet/mix-and-match pricing ignored.</x:v>
      </x:c>
    </x:row>
    <x:row r="934">
      <x:c r="A934" t="str">
        <x:v>Active Sports Nutrition</x:v>
      </x:c>
      <x:c r="B934" t="str">
        <x:v>DNA Sports</x:v>
      </x:c>
      <x:c r="C934" t="str">
        <x:v>Hydra 1</x:v>
      </x:c>
      <x:c r="D934" t="str">
        <x:v>Supplements</x:v>
      </x:c>
      <x:c r="E934" t="str">
        <x:v>Hydration</x:v>
      </x:c>
      <x:c r="F934" t="str"/>
      <x:c r="G934" t="str">
        <x:v>30 servings</x:v>
      </x:c>
      <x:c r="H934" t="str">
        <x:v>Apple Melon</x:v>
      </x:c>
      <x:c r="I934" t="str"/>
      <x:c r="J934" t="str">
        <x:v>Unit</x:v>
      </x:c>
      <x:c r="K934" t="str">
        <x:v>In stock</x:v>
      </x:c>
      <x:c r="L934" t="str">
        <x:v>2026-09-08</x:v>
      </x:c>
      <x:c r="M934" t="str"/>
      <x:c r="N934" t="str"/>
      <x:c r="O934" t="str">
        <x:v>https://www.activesportstrade.co.uk/dna-sports-trade</x:v>
      </x:c>
      <x:c r="P934" t="str">
        <x:v>SPECIAL OFFER wording removed.</x:v>
      </x:c>
      <x:c r="Q934" t="str"/>
      <x:c r="R934" t="str"/>
      <x:c r="S934" t="str">
        <x:v>Pending genuine supplier/brand image</x:v>
      </x:c>
      <x:c r="T934" s="54"/>
      <x:c r="U934" s="47" t="n">
        <x:v>0.2</x:v>
      </x:c>
      <x:c r="V934" s="54" t="str">
        <x:f>IF(ISNUMBER(T934),T934*(1+U934),"")</x:f>
      </x:c>
      <x:c r="W934" s="47" t="n">
        <x:v>0.3</x:v>
      </x:c>
      <x:c r="X934" s="54" t="str">
        <x:f>IF(ISNUMBER(V934),V934/(1-W934),"")</x:f>
      </x:c>
      <x:c r="Y934" s="55" t="str">
        <x:f>IF(ISNUMBER(X934),ROUNDUP(X934,0),"")</x:f>
      </x:c>
      <x:c r="Z934" t="str">
        <x:f>IF(ISNUMBER(T934),"Cost captured","Awaiting trade cost")</x:f>
        <x:v>Awaiting trade cost</x:v>
      </x:c>
      <x:c r="AB934" s="36" t="str">
        <x:f>IF(ISNUMBER(Y934),ROUND(Y934*0.9,2),"")</x:f>
      </x:c>
      <x:c r="AC934" s="36" t="str">
        <x:f>IF(ISNUMBER(AB934),ROUND(AB934-(AB934*0.015+0.2)-V934,2),"")</x:f>
      </x:c>
      <x:c r="AD934" s="36" t="str">
        <x:f>IF(ISNUMBER(Y934),ROUND(Y934*0.8,2),"")</x:f>
      </x:c>
      <x:c r="AE934" s="36" t="str">
        <x:f>IF(ISNUMBER(AD934),ROUND(AD934*0.015+0.2,2),"")</x:f>
      </x:c>
      <x:c r="AF934" s="36" t="str">
        <x:f>IF(ISNUMBER(AD934),ROUND(AD934-AE934-V934,2),"")</x:f>
      </x:c>
      <x:c r="AG934" t="str">
        <x:f>IF(NOT(ISNUMBER(T934)),"PENDING",IF(AF934&gt;0,"PASS","FAIL"))</x:f>
        <x:v>PENDING</x:v>
      </x:c>
      <x:c r="AH934" t="str">
        <x:f>IF(NOT(ISNUMBER(T934)),"Needs supplier cost",IF(K934&lt;&gt;"In stock","Supplier unavailable",IF(AG934&lt;&gt;"PASS","BLOCK - GT loss risk","Commercially protected")))</x:f>
        <x:v>Needs supplier cost</x:v>
      </x:c>
      <x:c r="AI934" t="str">
        <x:v>2026-09-10 Active Sports trade capture</x:v>
      </x:c>
      <x:c r="AJ934" t="str">
        <x:v>Management-only economics. Stripe stress test uses 1.5% + £0.20 standard UK online-card fee; pallet/mix-and-match pricing ignored.</x:v>
      </x:c>
    </x:row>
    <x:row r="935">
      <x:c r="A935" t="str">
        <x:v>Active Sports Nutrition</x:v>
      </x:c>
      <x:c r="B935" t="str">
        <x:v>DNA Sports</x:v>
      </x:c>
      <x:c r="C935" t="str">
        <x:v>Hydra 1</x:v>
      </x:c>
      <x:c r="D935" t="str">
        <x:v>Supplements</x:v>
      </x:c>
      <x:c r="E935" t="str">
        <x:v>Hydration</x:v>
      </x:c>
      <x:c r="F935" t="str"/>
      <x:c r="G935" t="str">
        <x:v>30 servings</x:v>
      </x:c>
      <x:c r="H935" t="str">
        <x:v>Cherry Lime</x:v>
      </x:c>
      <x:c r="I935" t="str"/>
      <x:c r="J935" t="str">
        <x:v>Unit</x:v>
      </x:c>
      <x:c r="K935" t="str">
        <x:v>In stock</x:v>
      </x:c>
      <x:c r="L935" t="str">
        <x:v>2026-09-08</x:v>
      </x:c>
      <x:c r="M935" t="str"/>
      <x:c r="N935" t="str"/>
      <x:c r="O935" t="str">
        <x:v>https://www.activesportstrade.co.uk/dna-sports-trade</x:v>
      </x:c>
      <x:c r="P935" t="str">
        <x:v>SPECIAL OFFER wording removed.</x:v>
      </x:c>
      <x:c r="Q935" t="str"/>
      <x:c r="R935" t="str"/>
      <x:c r="S935" t="str">
        <x:v>Pending genuine supplier/brand image</x:v>
      </x:c>
      <x:c r="T935" s="54"/>
      <x:c r="U935" s="47" t="n">
        <x:v>0.2</x:v>
      </x:c>
      <x:c r="V935" s="54" t="str">
        <x:f>IF(ISNUMBER(T935),T935*(1+U935),"")</x:f>
      </x:c>
      <x:c r="W935" s="47" t="n">
        <x:v>0.3</x:v>
      </x:c>
      <x:c r="X935" s="54" t="str">
        <x:f>IF(ISNUMBER(V935),V935/(1-W935),"")</x:f>
      </x:c>
      <x:c r="Y935" s="55" t="str">
        <x:f>IF(ISNUMBER(X935),ROUNDUP(X935,0),"")</x:f>
      </x:c>
      <x:c r="Z935" t="str">
        <x:f>IF(ISNUMBER(T935),"Cost captured","Awaiting trade cost")</x:f>
        <x:v>Awaiting trade cost</x:v>
      </x:c>
      <x:c r="AB935" s="36" t="str">
        <x:f>IF(ISNUMBER(Y935),ROUND(Y935*0.9,2),"")</x:f>
      </x:c>
      <x:c r="AC935" s="36" t="str">
        <x:f>IF(ISNUMBER(AB935),ROUND(AB935-(AB935*0.015+0.2)-V935,2),"")</x:f>
      </x:c>
      <x:c r="AD935" s="36" t="str">
        <x:f>IF(ISNUMBER(Y935),ROUND(Y935*0.8,2),"")</x:f>
      </x:c>
      <x:c r="AE935" s="36" t="str">
        <x:f>IF(ISNUMBER(AD935),ROUND(AD935*0.015+0.2,2),"")</x:f>
      </x:c>
      <x:c r="AF935" s="36" t="str">
        <x:f>IF(ISNUMBER(AD935),ROUND(AD935-AE935-V935,2),"")</x:f>
      </x:c>
      <x:c r="AG935" t="str">
        <x:f>IF(NOT(ISNUMBER(T935)),"PENDING",IF(AF935&gt;0,"PASS","FAIL"))</x:f>
        <x:v>PENDING</x:v>
      </x:c>
      <x:c r="AH935" t="str">
        <x:f>IF(NOT(ISNUMBER(T935)),"Needs supplier cost",IF(K935&lt;&gt;"In stock","Supplier unavailable",IF(AG935&lt;&gt;"PASS","BLOCK - GT loss risk","Commercially protected")))</x:f>
        <x:v>Needs supplier cost</x:v>
      </x:c>
      <x:c r="AI935" t="str">
        <x:v>2026-09-10 Active Sports trade capture</x:v>
      </x:c>
      <x:c r="AJ935" t="str">
        <x:v>Management-only economics. Stripe stress test uses 1.5% + £0.20 standard UK online-card fee; pallet/mix-and-match pricing ignored.</x:v>
      </x:c>
    </x:row>
    <x:row r="936">
      <x:c r="A936" t="str">
        <x:v>Active Sports Nutrition</x:v>
      </x:c>
      <x:c r="B936" t="str">
        <x:v>DNA Sports</x:v>
      </x:c>
      <x:c r="C936" t="str">
        <x:v>Hydra 1</x:v>
      </x:c>
      <x:c r="D936" t="str">
        <x:v>Supplements</x:v>
      </x:c>
      <x:c r="E936" t="str">
        <x:v>Hydration</x:v>
      </x:c>
      <x:c r="F936" t="str"/>
      <x:c r="G936" t="str">
        <x:v>30 servings</x:v>
      </x:c>
      <x:c r="H936" t="str">
        <x:v>Grape Soda</x:v>
      </x:c>
      <x:c r="I936" t="str"/>
      <x:c r="J936" t="str">
        <x:v>Unit</x:v>
      </x:c>
      <x:c r="K936" t="str">
        <x:v>In stock</x:v>
      </x:c>
      <x:c r="L936" t="str">
        <x:v>2026-09-08</x:v>
      </x:c>
      <x:c r="M936" t="str"/>
      <x:c r="N936" t="str"/>
      <x:c r="O936" t="str">
        <x:v>https://www.activesportstrade.co.uk/dna-sports-trade</x:v>
      </x:c>
      <x:c r="P936" t="str">
        <x:v>SPECIAL OFFER wording removed.</x:v>
      </x:c>
      <x:c r="Q936" t="str"/>
      <x:c r="R936" t="str"/>
      <x:c r="S936" t="str">
        <x:v>Pending genuine supplier/brand image</x:v>
      </x:c>
      <x:c r="T936" s="54"/>
      <x:c r="U936" s="47" t="n">
        <x:v>0.2</x:v>
      </x:c>
      <x:c r="V936" s="54" t="str">
        <x:f>IF(ISNUMBER(T936),T936*(1+U936),"")</x:f>
      </x:c>
      <x:c r="W936" s="47" t="n">
        <x:v>0.3</x:v>
      </x:c>
      <x:c r="X936" s="54" t="str">
        <x:f>IF(ISNUMBER(V936),V936/(1-W936),"")</x:f>
      </x:c>
      <x:c r="Y936" s="55" t="str">
        <x:f>IF(ISNUMBER(X936),ROUNDUP(X936,0),"")</x:f>
      </x:c>
      <x:c r="Z936" t="str">
        <x:f>IF(ISNUMBER(T936),"Cost captured","Awaiting trade cost")</x:f>
        <x:v>Awaiting trade cost</x:v>
      </x:c>
      <x:c r="AB936" s="36" t="str">
        <x:f>IF(ISNUMBER(Y936),ROUND(Y936*0.9,2),"")</x:f>
      </x:c>
      <x:c r="AC936" s="36" t="str">
        <x:f>IF(ISNUMBER(AB936),ROUND(AB936-(AB936*0.015+0.2)-V936,2),"")</x:f>
      </x:c>
      <x:c r="AD936" s="36" t="str">
        <x:f>IF(ISNUMBER(Y936),ROUND(Y936*0.8,2),"")</x:f>
      </x:c>
      <x:c r="AE936" s="36" t="str">
        <x:f>IF(ISNUMBER(AD936),ROUND(AD936*0.015+0.2,2),"")</x:f>
      </x:c>
      <x:c r="AF936" s="36" t="str">
        <x:f>IF(ISNUMBER(AD936),ROUND(AD936-AE936-V936,2),"")</x:f>
      </x:c>
      <x:c r="AG936" t="str">
        <x:f>IF(NOT(ISNUMBER(T936)),"PENDING",IF(AF936&gt;0,"PASS","FAIL"))</x:f>
        <x:v>PENDING</x:v>
      </x:c>
      <x:c r="AH936" t="str">
        <x:f>IF(NOT(ISNUMBER(T936)),"Needs supplier cost",IF(K936&lt;&gt;"In stock","Supplier unavailable",IF(AG936&lt;&gt;"PASS","BLOCK - GT loss risk","Commercially protected")))</x:f>
        <x:v>Needs supplier cost</x:v>
      </x:c>
      <x:c r="AI936" t="str">
        <x:v>2026-09-10 Active Sports trade capture</x:v>
      </x:c>
      <x:c r="AJ936" t="str">
        <x:v>Management-only economics. Stripe stress test uses 1.5% + £0.20 standard UK online-card fee; pallet/mix-and-match pricing ignored.</x:v>
      </x:c>
    </x:row>
    <x:row r="937">
      <x:c r="A937" t="str">
        <x:v>Active Sports Nutrition</x:v>
      </x:c>
      <x:c r="B937" t="str">
        <x:v>DNA Sports</x:v>
      </x:c>
      <x:c r="C937" t="str">
        <x:v>Hydra 1</x:v>
      </x:c>
      <x:c r="D937" t="str">
        <x:v>Supplements</x:v>
      </x:c>
      <x:c r="E937" t="str">
        <x:v>Hydration</x:v>
      </x:c>
      <x:c r="F937" t="str"/>
      <x:c r="G937" t="str">
        <x:v>30 servings</x:v>
      </x:c>
      <x:c r="H937" t="str">
        <x:v>Pink Lemonade</x:v>
      </x:c>
      <x:c r="I937" t="str"/>
      <x:c r="J937" t="str">
        <x:v>Unit</x:v>
      </x:c>
      <x:c r="K937" t="str">
        <x:v>In stock</x:v>
      </x:c>
      <x:c r="L937" t="str">
        <x:v>2026-09-08</x:v>
      </x:c>
      <x:c r="M937" t="str"/>
      <x:c r="N937" t="str"/>
      <x:c r="O937" t="str">
        <x:v>https://www.activesportstrade.co.uk/dna-sports-trade</x:v>
      </x:c>
      <x:c r="P937" t="str">
        <x:v>SPECIAL OFFER wording removed.</x:v>
      </x:c>
      <x:c r="Q937" t="str"/>
      <x:c r="R937" t="str"/>
      <x:c r="S937" t="str">
        <x:v>Pending genuine supplier/brand image</x:v>
      </x:c>
      <x:c r="T937" s="54"/>
      <x:c r="U937" s="47" t="n">
        <x:v>0.2</x:v>
      </x:c>
      <x:c r="V937" s="54" t="str">
        <x:f>IF(ISNUMBER(T937),T937*(1+U937),"")</x:f>
      </x:c>
      <x:c r="W937" s="47" t="n">
        <x:v>0.3</x:v>
      </x:c>
      <x:c r="X937" s="54" t="str">
        <x:f>IF(ISNUMBER(V937),V937/(1-W937),"")</x:f>
      </x:c>
      <x:c r="Y937" s="55" t="str">
        <x:f>IF(ISNUMBER(X937),ROUNDUP(X937,0),"")</x:f>
      </x:c>
      <x:c r="Z937" t="str">
        <x:f>IF(ISNUMBER(T937),"Cost captured","Awaiting trade cost")</x:f>
        <x:v>Awaiting trade cost</x:v>
      </x:c>
      <x:c r="AB937" s="36" t="str">
        <x:f>IF(ISNUMBER(Y937),ROUND(Y937*0.9,2),"")</x:f>
      </x:c>
      <x:c r="AC937" s="36" t="str">
        <x:f>IF(ISNUMBER(AB937),ROUND(AB937-(AB937*0.015+0.2)-V937,2),"")</x:f>
      </x:c>
      <x:c r="AD937" s="36" t="str">
        <x:f>IF(ISNUMBER(Y937),ROUND(Y937*0.8,2),"")</x:f>
      </x:c>
      <x:c r="AE937" s="36" t="str">
        <x:f>IF(ISNUMBER(AD937),ROUND(AD937*0.015+0.2,2),"")</x:f>
      </x:c>
      <x:c r="AF937" s="36" t="str">
        <x:f>IF(ISNUMBER(AD937),ROUND(AD937-AE937-V937,2),"")</x:f>
      </x:c>
      <x:c r="AG937" t="str">
        <x:f>IF(NOT(ISNUMBER(T937)),"PENDING",IF(AF937&gt;0,"PASS","FAIL"))</x:f>
        <x:v>PENDING</x:v>
      </x:c>
      <x:c r="AH937" t="str">
        <x:f>IF(NOT(ISNUMBER(T937)),"Needs supplier cost",IF(K937&lt;&gt;"In stock","Supplier unavailable",IF(AG937&lt;&gt;"PASS","BLOCK - GT loss risk","Commercially protected")))</x:f>
        <x:v>Needs supplier cost</x:v>
      </x:c>
      <x:c r="AI937" t="str">
        <x:v>2026-09-10 Active Sports trade capture</x:v>
      </x:c>
      <x:c r="AJ937" t="str">
        <x:v>Management-only economics. Stripe stress test uses 1.5% + £0.20 standard UK online-card fee; pallet/mix-and-match pricing ignored.</x:v>
      </x:c>
    </x:row>
    <x:row r="938">
      <x:c r="A938" t="str">
        <x:v>Active Sports Nutrition</x:v>
      </x:c>
      <x:c r="B938" t="str">
        <x:v>DNA Sports</x:v>
      </x:c>
      <x:c r="C938" t="str">
        <x:v>Hydra 1</x:v>
      </x:c>
      <x:c r="D938" t="str">
        <x:v>Supplements</x:v>
      </x:c>
      <x:c r="E938" t="str">
        <x:v>Hydration</x:v>
      </x:c>
      <x:c r="F938" t="str"/>
      <x:c r="G938" t="str">
        <x:v>30 servings</x:v>
      </x:c>
      <x:c r="H938" t="str">
        <x:v>Strawberry Pineapple</x:v>
      </x:c>
      <x:c r="I938" t="str"/>
      <x:c r="J938" t="str">
        <x:v>Unit</x:v>
      </x:c>
      <x:c r="K938" t="str">
        <x:v>In stock</x:v>
      </x:c>
      <x:c r="L938" t="str">
        <x:v>2026-09-08</x:v>
      </x:c>
      <x:c r="M938" t="str"/>
      <x:c r="N938" t="str"/>
      <x:c r="O938" t="str">
        <x:v>https://www.activesportstrade.co.uk/dna-sports-trade</x:v>
      </x:c>
      <x:c r="P938" t="str">
        <x:v>SPECIAL OFFER wording removed.</x:v>
      </x:c>
      <x:c r="Q938" t="str"/>
      <x:c r="R938" t="str"/>
      <x:c r="S938" t="str">
        <x:v>Pending genuine supplier/brand image</x:v>
      </x:c>
      <x:c r="T938" s="54"/>
      <x:c r="U938" s="47" t="n">
        <x:v>0.2</x:v>
      </x:c>
      <x:c r="V938" s="54" t="str">
        <x:f>IF(ISNUMBER(T938),T938*(1+U938),"")</x:f>
      </x:c>
      <x:c r="W938" s="47" t="n">
        <x:v>0.3</x:v>
      </x:c>
      <x:c r="X938" s="54" t="str">
        <x:f>IF(ISNUMBER(V938),V938/(1-W938),"")</x:f>
      </x:c>
      <x:c r="Y938" s="55" t="str">
        <x:f>IF(ISNUMBER(X938),ROUNDUP(X938,0),"")</x:f>
      </x:c>
      <x:c r="Z938" t="str">
        <x:f>IF(ISNUMBER(T938),"Cost captured","Awaiting trade cost")</x:f>
        <x:v>Awaiting trade cost</x:v>
      </x:c>
      <x:c r="AB938" s="36" t="str">
        <x:f>IF(ISNUMBER(Y938),ROUND(Y938*0.9,2),"")</x:f>
      </x:c>
      <x:c r="AC938" s="36" t="str">
        <x:f>IF(ISNUMBER(AB938),ROUND(AB938-(AB938*0.015+0.2)-V938,2),"")</x:f>
      </x:c>
      <x:c r="AD938" s="36" t="str">
        <x:f>IF(ISNUMBER(Y938),ROUND(Y938*0.8,2),"")</x:f>
      </x:c>
      <x:c r="AE938" s="36" t="str">
        <x:f>IF(ISNUMBER(AD938),ROUND(AD938*0.015+0.2,2),"")</x:f>
      </x:c>
      <x:c r="AF938" s="36" t="str">
        <x:f>IF(ISNUMBER(AD938),ROUND(AD938-AE938-V938,2),"")</x:f>
      </x:c>
      <x:c r="AG938" t="str">
        <x:f>IF(NOT(ISNUMBER(T938)),"PENDING",IF(AF938&gt;0,"PASS","FAIL"))</x:f>
        <x:v>PENDING</x:v>
      </x:c>
      <x:c r="AH938" t="str">
        <x:f>IF(NOT(ISNUMBER(T938)),"Needs supplier cost",IF(K938&lt;&gt;"In stock","Supplier unavailable",IF(AG938&lt;&gt;"PASS","BLOCK - GT loss risk","Commercially protected")))</x:f>
        <x:v>Needs supplier cost</x:v>
      </x:c>
      <x:c r="AI938" t="str">
        <x:v>2026-09-10 Active Sports trade capture</x:v>
      </x:c>
      <x:c r="AJ938" t="str">
        <x:v>Management-only economics. Stripe stress test uses 1.5% + £0.20 standard UK online-card fee; pallet/mix-and-match pricing ignored.</x:v>
      </x:c>
    </x:row>
    <x:row r="939">
      <x:c r="A939" t="str">
        <x:v>Active Sports Nutrition</x:v>
      </x:c>
      <x:c r="B939" t="str">
        <x:v>DNA Sports</x:v>
      </x:c>
      <x:c r="C939" t="str">
        <x:v>Hydra 1</x:v>
      </x:c>
      <x:c r="D939" t="str">
        <x:v>Supplements</x:v>
      </x:c>
      <x:c r="E939" t="str">
        <x:v>Hydration</x:v>
      </x:c>
      <x:c r="F939" t="str"/>
      <x:c r="G939" t="str">
        <x:v>30 servings</x:v>
      </x:c>
      <x:c r="H939" t="str">
        <x:v>Tropical</x:v>
      </x:c>
      <x:c r="I939" t="str"/>
      <x:c r="J939" t="str">
        <x:v>Unit</x:v>
      </x:c>
      <x:c r="K939" t="str">
        <x:v>In stock</x:v>
      </x:c>
      <x:c r="L939" t="str">
        <x:v>2026-09-08</x:v>
      </x:c>
      <x:c r="M939" t="str"/>
      <x:c r="N939" t="str"/>
      <x:c r="O939" t="str">
        <x:v>https://www.activesportstrade.co.uk/dna-sports-trade</x:v>
      </x:c>
      <x:c r="P939" t="str">
        <x:v>SPECIAL OFFER wording removed.</x:v>
      </x:c>
      <x:c r="Q939" t="str"/>
      <x:c r="R939" t="str"/>
      <x:c r="S939" t="str">
        <x:v>Pending genuine supplier/brand image</x:v>
      </x:c>
      <x:c r="T939" s="54"/>
      <x:c r="U939" s="47" t="n">
        <x:v>0.2</x:v>
      </x:c>
      <x:c r="V939" s="54" t="str">
        <x:f>IF(ISNUMBER(T939),T939*(1+U939),"")</x:f>
      </x:c>
      <x:c r="W939" s="47" t="n">
        <x:v>0.3</x:v>
      </x:c>
      <x:c r="X939" s="54" t="str">
        <x:f>IF(ISNUMBER(V939),V939/(1-W939),"")</x:f>
      </x:c>
      <x:c r="Y939" s="55" t="str">
        <x:f>IF(ISNUMBER(X939),ROUNDUP(X939,0),"")</x:f>
      </x:c>
      <x:c r="Z939" t="str">
        <x:f>IF(ISNUMBER(T939),"Cost captured","Awaiting trade cost")</x:f>
        <x:v>Awaiting trade cost</x:v>
      </x:c>
      <x:c r="AB939" s="36" t="str">
        <x:f>IF(ISNUMBER(Y939),ROUND(Y939*0.9,2),"")</x:f>
      </x:c>
      <x:c r="AC939" s="36" t="str">
        <x:f>IF(ISNUMBER(AB939),ROUND(AB939-(AB939*0.015+0.2)-V939,2),"")</x:f>
      </x:c>
      <x:c r="AD939" s="36" t="str">
        <x:f>IF(ISNUMBER(Y939),ROUND(Y939*0.8,2),"")</x:f>
      </x:c>
      <x:c r="AE939" s="36" t="str">
        <x:f>IF(ISNUMBER(AD939),ROUND(AD939*0.015+0.2,2),"")</x:f>
      </x:c>
      <x:c r="AF939" s="36" t="str">
        <x:f>IF(ISNUMBER(AD939),ROUND(AD939-AE939-V939,2),"")</x:f>
      </x:c>
      <x:c r="AG939" t="str">
        <x:f>IF(NOT(ISNUMBER(T939)),"PENDING",IF(AF939&gt;0,"PASS","FAIL"))</x:f>
        <x:v>PENDING</x:v>
      </x:c>
      <x:c r="AH939" t="str">
        <x:f>IF(NOT(ISNUMBER(T939)),"Needs supplier cost",IF(K939&lt;&gt;"In stock","Supplier unavailable",IF(AG939&lt;&gt;"PASS","BLOCK - GT loss risk","Commercially protected")))</x:f>
        <x:v>Needs supplier cost</x:v>
      </x:c>
      <x:c r="AI939" t="str">
        <x:v>2026-09-10 Active Sports trade capture</x:v>
      </x:c>
      <x:c r="AJ939" t="str">
        <x:v>Management-only economics. Stripe stress test uses 1.5% + £0.20 standard UK online-card fee; pallet/mix-and-match pricing ignored.</x:v>
      </x:c>
    </x:row>
    <x:row r="940">
      <x:c r="A940" t="str">
        <x:v>Active Sports Nutrition</x:v>
      </x:c>
      <x:c r="B940" t="str">
        <x:v>DNA Sports</x:v>
      </x:c>
      <x:c r="C940" t="str">
        <x:v>MagPak</x:v>
      </x:c>
      <x:c r="D940" t="str">
        <x:v>Supplements</x:v>
      </x:c>
      <x:c r="E940" t="str">
        <x:v>Vitamins</x:v>
      </x:c>
      <x:c r="F940" t="str"/>
      <x:c r="G940" t="str">
        <x:v>120 caps</x:v>
      </x:c>
      <x:c r="H940" t="str">
        <x:v>Default</x:v>
      </x:c>
      <x:c r="I940" t="str"/>
      <x:c r="J940" t="str">
        <x:v>Unit</x:v>
      </x:c>
      <x:c r="K940" t="str">
        <x:v>In stock</x:v>
      </x:c>
      <x:c r="L940" t="str">
        <x:v>2026-09-08</x:v>
      </x:c>
      <x:c r="M940" t="str"/>
      <x:c r="N940" t="str"/>
      <x:c r="O940" t="str">
        <x:v>https://www.activesportstrade.co.uk/dna-sports-trade</x:v>
      </x:c>
      <x:c r="P940" t="str"/>
      <x:c r="Q940" t="str"/>
      <x:c r="R940" t="str"/>
      <x:c r="S940" t="str">
        <x:v>Pending genuine supplier/brand image</x:v>
      </x:c>
      <x:c r="T940" s="54"/>
      <x:c r="U940" s="47" t="n">
        <x:v>0.2</x:v>
      </x:c>
      <x:c r="V940" s="54" t="str">
        <x:f>IF(ISNUMBER(T940),T940*(1+U940),"")</x:f>
      </x:c>
      <x:c r="W940" s="47" t="n">
        <x:v>0.3</x:v>
      </x:c>
      <x:c r="X940" s="54" t="str">
        <x:f>IF(ISNUMBER(V940),V940/(1-W940),"")</x:f>
      </x:c>
      <x:c r="Y940" s="55" t="str">
        <x:f>IF(ISNUMBER(X940),ROUNDUP(X940,0),"")</x:f>
      </x:c>
      <x:c r="Z940" t="str">
        <x:f>IF(ISNUMBER(T940),"Cost captured","Awaiting trade cost")</x:f>
        <x:v>Awaiting trade cost</x:v>
      </x:c>
      <x:c r="AB940" s="36" t="str">
        <x:f>IF(ISNUMBER(Y940),ROUND(Y940*0.9,2),"")</x:f>
      </x:c>
      <x:c r="AC940" s="36" t="str">
        <x:f>IF(ISNUMBER(AB940),ROUND(AB940-(AB940*0.015+0.2)-V940,2),"")</x:f>
      </x:c>
      <x:c r="AD940" s="36" t="str">
        <x:f>IF(ISNUMBER(Y940),ROUND(Y940*0.8,2),"")</x:f>
      </x:c>
      <x:c r="AE940" s="36" t="str">
        <x:f>IF(ISNUMBER(AD940),ROUND(AD940*0.015+0.2,2),"")</x:f>
      </x:c>
      <x:c r="AF940" s="36" t="str">
        <x:f>IF(ISNUMBER(AD940),ROUND(AD940-AE940-V940,2),"")</x:f>
      </x:c>
      <x:c r="AG940" t="str">
        <x:f>IF(NOT(ISNUMBER(T940)),"PENDING",IF(AF940&gt;0,"PASS","FAIL"))</x:f>
        <x:v>PENDING</x:v>
      </x:c>
      <x:c r="AH940" t="str">
        <x:f>IF(NOT(ISNUMBER(T940)),"Needs supplier cost",IF(K940&lt;&gt;"In stock","Supplier unavailable",IF(AG940&lt;&gt;"PASS","BLOCK - GT loss risk","Commercially protected")))</x:f>
        <x:v>Needs supplier cost</x:v>
      </x:c>
      <x:c r="AI940" t="str">
        <x:v>2026-09-10 Active Sports trade capture</x:v>
      </x:c>
      <x:c r="AJ940" t="str">
        <x:v>Management-only economics. Stripe stress test uses 1.5% + £0.20 standard UK online-card fee; pallet/mix-and-match pricing ignored.</x:v>
      </x:c>
    </x:row>
    <x:row r="941">
      <x:c r="A941" t="str">
        <x:v>Active Sports Nutrition</x:v>
      </x:c>
      <x:c r="B941" t="str">
        <x:v>DNA Sports</x:v>
      </x:c>
      <x:c r="C941" t="str">
        <x:v>MAN UP</x:v>
      </x:c>
      <x:c r="D941" t="str">
        <x:v>Supplements</x:v>
      </x:c>
      <x:c r="E941" t="str">
        <x:v>Testosterone Boosters</x:v>
      </x:c>
      <x:c r="F941" t="str"/>
      <x:c r="G941" t="str">
        <x:v>120 caps</x:v>
      </x:c>
      <x:c r="H941" t="str">
        <x:v>Default</x:v>
      </x:c>
      <x:c r="I941" t="str"/>
      <x:c r="J941" t="str">
        <x:v>Unit</x:v>
      </x:c>
      <x:c r="K941" t="str">
        <x:v>In stock</x:v>
      </x:c>
      <x:c r="L941" t="str">
        <x:v>2026-09-08</x:v>
      </x:c>
      <x:c r="M941" t="str"/>
      <x:c r="N941" t="str"/>
      <x:c r="O941" t="str">
        <x:v>https://www.activesportstrade.co.uk/dna-sports-trade</x:v>
      </x:c>
      <x:c r="P941" t="str">
        <x:v>Male Support Formula; SPECIAL OFFER wording removed.</x:v>
      </x:c>
      <x:c r="Q941" t="str"/>
      <x:c r="R941" t="str"/>
      <x:c r="S941" t="str">
        <x:v>Pending genuine supplier/brand image</x:v>
      </x:c>
      <x:c r="T941" s="54"/>
      <x:c r="U941" s="47" t="n">
        <x:v>0.2</x:v>
      </x:c>
      <x:c r="V941" s="54" t="str">
        <x:f>IF(ISNUMBER(T941),T941*(1+U941),"")</x:f>
      </x:c>
      <x:c r="W941" s="47" t="n">
        <x:v>0.3</x:v>
      </x:c>
      <x:c r="X941" s="54" t="str">
        <x:f>IF(ISNUMBER(V941),V941/(1-W941),"")</x:f>
      </x:c>
      <x:c r="Y941" s="55" t="str">
        <x:f>IF(ISNUMBER(X941),ROUNDUP(X941,0),"")</x:f>
      </x:c>
      <x:c r="Z941" t="str">
        <x:f>IF(ISNUMBER(T941),"Cost captured","Awaiting trade cost")</x:f>
        <x:v>Awaiting trade cost</x:v>
      </x:c>
      <x:c r="AB941" s="36" t="str">
        <x:f>IF(ISNUMBER(Y941),ROUND(Y941*0.9,2),"")</x:f>
      </x:c>
      <x:c r="AC941" s="36" t="str">
        <x:f>IF(ISNUMBER(AB941),ROUND(AB941-(AB941*0.015+0.2)-V941,2),"")</x:f>
      </x:c>
      <x:c r="AD941" s="36" t="str">
        <x:f>IF(ISNUMBER(Y941),ROUND(Y941*0.8,2),"")</x:f>
      </x:c>
      <x:c r="AE941" s="36" t="str">
        <x:f>IF(ISNUMBER(AD941),ROUND(AD941*0.015+0.2,2),"")</x:f>
      </x:c>
      <x:c r="AF941" s="36" t="str">
        <x:f>IF(ISNUMBER(AD941),ROUND(AD941-AE941-V941,2),"")</x:f>
      </x:c>
      <x:c r="AG941" t="str">
        <x:f>IF(NOT(ISNUMBER(T941)),"PENDING",IF(AF941&gt;0,"PASS","FAIL"))</x:f>
        <x:v>PENDING</x:v>
      </x:c>
      <x:c r="AH941" t="str">
        <x:f>IF(NOT(ISNUMBER(T941)),"Needs supplier cost",IF(K941&lt;&gt;"In stock","Supplier unavailable",IF(AG941&lt;&gt;"PASS","BLOCK - GT loss risk","Commercially protected")))</x:f>
        <x:v>Needs supplier cost</x:v>
      </x:c>
      <x:c r="AI941" t="str">
        <x:v>2026-09-10 Active Sports trade capture</x:v>
      </x:c>
      <x:c r="AJ941" t="str">
        <x:v>Management-only economics. Stripe stress test uses 1.5% + £0.20 standard UK online-card fee; pallet/mix-and-match pricing ignored.</x:v>
      </x:c>
    </x:row>
    <x:row r="942">
      <x:c r="A942" t="str">
        <x:v>Active Sports Nutrition</x:v>
      </x:c>
      <x:c r="B942" t="str">
        <x:v>DNA Sports</x:v>
      </x:c>
      <x:c r="C942" t="str">
        <x:v>OG Swell</x:v>
      </x:c>
      <x:c r="D942" t="str">
        <x:v>Supplements</x:v>
      </x:c>
      <x:c r="E942" t="str">
        <x:v>Intra Workout</x:v>
      </x:c>
      <x:c r="F942" t="str"/>
      <x:c r="G942" t="str">
        <x:v>30 servings</x:v>
      </x:c>
      <x:c r="H942" t="str">
        <x:v>Default</x:v>
      </x:c>
      <x:c r="I942" t="str"/>
      <x:c r="J942" t="str">
        <x:v>Unit</x:v>
      </x:c>
      <x:c r="K942" t="str">
        <x:v>In stock</x:v>
      </x:c>
      <x:c r="L942" t="str">
        <x:v>2026-09-08</x:v>
      </x:c>
      <x:c r="M942" t="str"/>
      <x:c r="N942" t="str"/>
      <x:c r="O942" t="str">
        <x:v>https://www.activesportstrade.co.uk/dna-sports-trade</x:v>
      </x:c>
      <x:c r="P942" t="str">
        <x:v>Liquid glycerol pump serum; SPECIAL OFFER wording removed.</x:v>
      </x:c>
      <x:c r="Q942" t="str"/>
      <x:c r="R942" t="str"/>
      <x:c r="S942" t="str">
        <x:v>Pending genuine supplier/brand image</x:v>
      </x:c>
      <x:c r="T942" s="54"/>
      <x:c r="U942" s="47" t="n">
        <x:v>0.2</x:v>
      </x:c>
      <x:c r="V942" s="54" t="str">
        <x:f>IF(ISNUMBER(T942),T942*(1+U942),"")</x:f>
      </x:c>
      <x:c r="W942" s="47" t="n">
        <x:v>0.3</x:v>
      </x:c>
      <x:c r="X942" s="54" t="str">
        <x:f>IF(ISNUMBER(V942),V942/(1-W942),"")</x:f>
      </x:c>
      <x:c r="Y942" s="55" t="str">
        <x:f>IF(ISNUMBER(X942),ROUNDUP(X942,0),"")</x:f>
      </x:c>
      <x:c r="Z942" t="str">
        <x:f>IF(ISNUMBER(T942),"Cost captured","Awaiting trade cost")</x:f>
        <x:v>Awaiting trade cost</x:v>
      </x:c>
      <x:c r="AB942" s="36" t="str">
        <x:f>IF(ISNUMBER(Y942),ROUND(Y942*0.9,2),"")</x:f>
      </x:c>
      <x:c r="AC942" s="36" t="str">
        <x:f>IF(ISNUMBER(AB942),ROUND(AB942-(AB942*0.015+0.2)-V942,2),"")</x:f>
      </x:c>
      <x:c r="AD942" s="36" t="str">
        <x:f>IF(ISNUMBER(Y942),ROUND(Y942*0.8,2),"")</x:f>
      </x:c>
      <x:c r="AE942" s="36" t="str">
        <x:f>IF(ISNUMBER(AD942),ROUND(AD942*0.015+0.2,2),"")</x:f>
      </x:c>
      <x:c r="AF942" s="36" t="str">
        <x:f>IF(ISNUMBER(AD942),ROUND(AD942-AE942-V942,2),"")</x:f>
      </x:c>
      <x:c r="AG942" t="str">
        <x:f>IF(NOT(ISNUMBER(T942)),"PENDING",IF(AF942&gt;0,"PASS","FAIL"))</x:f>
        <x:v>PENDING</x:v>
      </x:c>
      <x:c r="AH942" t="str">
        <x:f>IF(NOT(ISNUMBER(T942)),"Needs supplier cost",IF(K942&lt;&gt;"In stock","Supplier unavailable",IF(AG942&lt;&gt;"PASS","BLOCK - GT loss risk","Commercially protected")))</x:f>
        <x:v>Needs supplier cost</x:v>
      </x:c>
      <x:c r="AI942" t="str">
        <x:v>2026-09-10 Active Sports trade capture</x:v>
      </x:c>
      <x:c r="AJ942" t="str">
        <x:v>Management-only economics. Stripe stress test uses 1.5% + £0.20 standard UK online-card fee; pallet/mix-and-match pricing ignored.</x:v>
      </x:c>
    </x:row>
    <x:row r="943">
      <x:c r="A943" t="str">
        <x:v>Active Sports Nutrition</x:v>
      </x:c>
      <x:c r="B943" t="str">
        <x:v>DNA Sports</x:v>
      </x:c>
      <x:c r="C943" t="str">
        <x:v>Shilajit</x:v>
      </x:c>
      <x:c r="D943" t="str">
        <x:v>Supplements</x:v>
      </x:c>
      <x:c r="E943" t="str">
        <x:v>Health Foods</x:v>
      </x:c>
      <x:c r="F943" t="str"/>
      <x:c r="G943" t="str">
        <x:v>60 caps</x:v>
      </x:c>
      <x:c r="H943" t="str">
        <x:v>Default</x:v>
      </x:c>
      <x:c r="I943" t="str"/>
      <x:c r="J943" t="str">
        <x:v>Unit</x:v>
      </x:c>
      <x:c r="K943" t="str">
        <x:v>Unavailable - dated clearance</x:v>
      </x:c>
      <x:c r="L943" t="str">
        <x:v>2026-09-08</x:v>
      </x:c>
      <x:c r="M943" t="str"/>
      <x:c r="N943" t="str"/>
      <x:c r="O943" t="str">
        <x:v>https://www.activesportstrade.co.uk/dna-sports-trade</x:v>
      </x:c>
      <x:c r="P943" t="str">
        <x:v>Supplier listing explicitly BB 11/26 / MEGA SPECIAL OFFER. Preserved for audit but not normal member-orderable.</x:v>
      </x:c>
      <x:c r="Q943" t="str"/>
      <x:c r="R943" t="str"/>
      <x:c r="S943" t="str">
        <x:v>Pending genuine supplier/brand image</x:v>
      </x:c>
      <x:c r="T943" s="54"/>
      <x:c r="U943" s="47" t="n">
        <x:v>0.2</x:v>
      </x:c>
      <x:c r="V943" s="54" t="str">
        <x:f>IF(ISNUMBER(T943),T943*(1+U943),"")</x:f>
      </x:c>
      <x:c r="W943" s="47" t="n">
        <x:v>0.3</x:v>
      </x:c>
      <x:c r="X943" s="54" t="str">
        <x:f>IF(ISNUMBER(V943),V943/(1-W943),"")</x:f>
      </x:c>
      <x:c r="Y943" s="55" t="str">
        <x:f>IF(ISNUMBER(X943),ROUNDUP(X943,0),"")</x:f>
      </x:c>
      <x:c r="Z943" t="str">
        <x:f>IF(ISNUMBER(T943),"Cost captured","Awaiting trade cost")</x:f>
        <x:v>Awaiting trade cost</x:v>
      </x:c>
      <x:c r="AB943" s="36" t="str">
        <x:f>IF(ISNUMBER(Y943),ROUND(Y943*0.9,2),"")</x:f>
      </x:c>
      <x:c r="AC943" s="36" t="str">
        <x:f>IF(ISNUMBER(AB943),ROUND(AB943-(AB943*0.015+0.2)-V943,2),"")</x:f>
      </x:c>
      <x:c r="AD943" s="36" t="str">
        <x:f>IF(ISNUMBER(Y943),ROUND(Y943*0.8,2),"")</x:f>
      </x:c>
      <x:c r="AE943" s="36" t="str">
        <x:f>IF(ISNUMBER(AD943),ROUND(AD943*0.015+0.2,2),"")</x:f>
      </x:c>
      <x:c r="AF943" s="36" t="str">
        <x:f>IF(ISNUMBER(AD943),ROUND(AD943-AE943-V943,2),"")</x:f>
      </x:c>
      <x:c r="AG943" t="str">
        <x:f>IF(NOT(ISNUMBER(T943)),"PENDING",IF(AF943&gt;0,"PASS","FAIL"))</x:f>
        <x:v>PENDING</x:v>
      </x:c>
      <x:c r="AH943" t="str">
        <x:f>IF(NOT(ISNUMBER(T943)),"Needs supplier cost",IF(K943&lt;&gt;"In stock","Supplier unavailable",IF(AG943&lt;&gt;"PASS","BLOCK - GT loss risk","Commercially protected")))</x:f>
        <x:v>Needs supplier cost</x:v>
      </x:c>
      <x:c r="AI943" t="str">
        <x:v>2026-09-10 Active Sports trade capture</x:v>
      </x:c>
      <x:c r="AJ943" t="str">
        <x:v>Management-only economics. Stripe stress test uses 1.5% + £0.20 standard UK online-card fee; pallet/mix-and-match pricing ignored.</x:v>
      </x:c>
    </x:row>
    <x:row r="944">
      <x:c r="A944" t="str">
        <x:v>Active Sports Nutrition</x:v>
      </x:c>
      <x:c r="B944" t="str">
        <x:v>DNA Sports</x:v>
      </x:c>
      <x:c r="C944" t="str">
        <x:v>Super Nova</x:v>
      </x:c>
      <x:c r="D944" t="str">
        <x:v>Supplements</x:v>
      </x:c>
      <x:c r="E944" t="str">
        <x:v>Fat Burners</x:v>
      </x:c>
      <x:c r="F944" t="str"/>
      <x:c r="G944" t="str">
        <x:v>60 caps</x:v>
      </x:c>
      <x:c r="H944" t="str">
        <x:v>Default</x:v>
      </x:c>
      <x:c r="I944" t="str"/>
      <x:c r="J944" t="str">
        <x:v>Unit</x:v>
      </x:c>
      <x:c r="K944" t="str">
        <x:v>In stock</x:v>
      </x:c>
      <x:c r="L944" t="str">
        <x:v>2026-09-08</x:v>
      </x:c>
      <x:c r="M944" t="str"/>
      <x:c r="N944" t="str"/>
      <x:c r="O944" t="str">
        <x:v>https://www.activesportstrade.co.uk/dna-sports-trade</x:v>
      </x:c>
      <x:c r="P944" t="str"/>
      <x:c r="Q944" t="str"/>
      <x:c r="R944" t="str"/>
      <x:c r="S944" t="str">
        <x:v>Pending genuine supplier/brand image</x:v>
      </x:c>
      <x:c r="T944" s="54"/>
      <x:c r="U944" s="47" t="n">
        <x:v>0.2</x:v>
      </x:c>
      <x:c r="V944" s="54" t="str">
        <x:f>IF(ISNUMBER(T944),T944*(1+U944),"")</x:f>
      </x:c>
      <x:c r="W944" s="47" t="n">
        <x:v>0.3</x:v>
      </x:c>
      <x:c r="X944" s="54" t="str">
        <x:f>IF(ISNUMBER(V944),V944/(1-W944),"")</x:f>
      </x:c>
      <x:c r="Y944" s="55" t="str">
        <x:f>IF(ISNUMBER(X944),ROUNDUP(X944,0),"")</x:f>
      </x:c>
      <x:c r="Z944" t="str">
        <x:f>IF(ISNUMBER(T944),"Cost captured","Awaiting trade cost")</x:f>
        <x:v>Awaiting trade cost</x:v>
      </x:c>
      <x:c r="AB944" s="36" t="str">
        <x:f>IF(ISNUMBER(Y944),ROUND(Y944*0.9,2),"")</x:f>
      </x:c>
      <x:c r="AC944" s="36" t="str">
        <x:f>IF(ISNUMBER(AB944),ROUND(AB944-(AB944*0.015+0.2)-V944,2),"")</x:f>
      </x:c>
      <x:c r="AD944" s="36" t="str">
        <x:f>IF(ISNUMBER(Y944),ROUND(Y944*0.8,2),"")</x:f>
      </x:c>
      <x:c r="AE944" s="36" t="str">
        <x:f>IF(ISNUMBER(AD944),ROUND(AD944*0.015+0.2,2),"")</x:f>
      </x:c>
      <x:c r="AF944" s="36" t="str">
        <x:f>IF(ISNUMBER(AD944),ROUND(AD944-AE944-V944,2),"")</x:f>
      </x:c>
      <x:c r="AG944" t="str">
        <x:f>IF(NOT(ISNUMBER(T944)),"PENDING",IF(AF944&gt;0,"PASS","FAIL"))</x:f>
        <x:v>PENDING</x:v>
      </x:c>
      <x:c r="AH944" t="str">
        <x:f>IF(NOT(ISNUMBER(T944)),"Needs supplier cost",IF(K944&lt;&gt;"In stock","Supplier unavailable",IF(AG944&lt;&gt;"PASS","BLOCK - GT loss risk","Commercially protected")))</x:f>
        <x:v>Needs supplier cost</x:v>
      </x:c>
      <x:c r="AI944" t="str">
        <x:v>2026-09-10 Active Sports trade capture</x:v>
      </x:c>
      <x:c r="AJ944" t="str">
        <x:v>Management-only economics. Stripe stress test uses 1.5% + £0.20 standard UK online-card fee; pallet/mix-and-match pricing ignored.</x:v>
      </x:c>
    </x:row>
    <x:row r="945">
      <x:c r="A945" t="str">
        <x:v>Active Sports Nutrition</x:v>
      </x:c>
      <x:c r="B945" t="str">
        <x:v>DNA Sports</x:v>
      </x:c>
      <x:c r="C945" t="str">
        <x:v>Thank Pump For That</x:v>
      </x:c>
      <x:c r="D945" t="str">
        <x:v>Pre Workouts</x:v>
      </x:c>
      <x:c r="E945" t="str">
        <x:v>Stim FREE</x:v>
      </x:c>
      <x:c r="F945" t="str"/>
      <x:c r="G945" t="str">
        <x:v>475g</x:v>
      </x:c>
      <x:c r="H945" t="str">
        <x:v>Bubblegum Popsicle</x:v>
      </x:c>
      <x:c r="I945" t="str"/>
      <x:c r="J945" t="str">
        <x:v>Unit</x:v>
      </x:c>
      <x:c r="K945" t="str">
        <x:v>In stock</x:v>
      </x:c>
      <x:c r="L945" t="str">
        <x:v>2026-09-08</x:v>
      </x:c>
      <x:c r="M945" t="str"/>
      <x:c r="N945" t="str"/>
      <x:c r="O945" t="str">
        <x:v>https://www.activesportstrade.co.uk/dna-sports-trade</x:v>
      </x:c>
      <x:c r="P945" t="str">
        <x:v>SPECIAL OFFER wording removed.</x:v>
      </x:c>
      <x:c r="Q945" t="str"/>
      <x:c r="R945" t="str"/>
      <x:c r="S945" t="str">
        <x:v>Pending genuine supplier/brand image</x:v>
      </x:c>
      <x:c r="T945" s="54"/>
      <x:c r="U945" s="47" t="n">
        <x:v>0.2</x:v>
      </x:c>
      <x:c r="V945" s="54" t="str">
        <x:f>IF(ISNUMBER(T945),T945*(1+U945),"")</x:f>
      </x:c>
      <x:c r="W945" s="47" t="n">
        <x:v>0.3</x:v>
      </x:c>
      <x:c r="X945" s="54" t="str">
        <x:f>IF(ISNUMBER(V945),V945/(1-W945),"")</x:f>
      </x:c>
      <x:c r="Y945" s="55" t="str">
        <x:f>IF(ISNUMBER(X945),ROUNDUP(X945,0),"")</x:f>
      </x:c>
      <x:c r="Z945" t="str">
        <x:f>IF(ISNUMBER(T945),"Cost captured","Awaiting trade cost")</x:f>
        <x:v>Awaiting trade cost</x:v>
      </x:c>
      <x:c r="AB945" s="36" t="str">
        <x:f>IF(ISNUMBER(Y945),ROUND(Y945*0.9,2),"")</x:f>
      </x:c>
      <x:c r="AC945" s="36" t="str">
        <x:f>IF(ISNUMBER(AB945),ROUND(AB945-(AB945*0.015+0.2)-V945,2),"")</x:f>
      </x:c>
      <x:c r="AD945" s="36" t="str">
        <x:f>IF(ISNUMBER(Y945),ROUND(Y945*0.8,2),"")</x:f>
      </x:c>
      <x:c r="AE945" s="36" t="str">
        <x:f>IF(ISNUMBER(AD945),ROUND(AD945*0.015+0.2,2),"")</x:f>
      </x:c>
      <x:c r="AF945" s="36" t="str">
        <x:f>IF(ISNUMBER(AD945),ROUND(AD945-AE945-V945,2),"")</x:f>
      </x:c>
      <x:c r="AG945" t="str">
        <x:f>IF(NOT(ISNUMBER(T945)),"PENDING",IF(AF945&gt;0,"PASS","FAIL"))</x:f>
        <x:v>PENDING</x:v>
      </x:c>
      <x:c r="AH945" t="str">
        <x:f>IF(NOT(ISNUMBER(T945)),"Needs supplier cost",IF(K945&lt;&gt;"In stock","Supplier unavailable",IF(AG945&lt;&gt;"PASS","BLOCK - GT loss risk","Commercially protected")))</x:f>
        <x:v>Needs supplier cost</x:v>
      </x:c>
      <x:c r="AI945" t="str">
        <x:v>2026-09-10 Active Sports trade capture</x:v>
      </x:c>
      <x:c r="AJ945" t="str">
        <x:v>Management-only economics. Stripe stress test uses 1.5% + £0.20 standard UK online-card fee; pallet/mix-and-match pricing ignored.</x:v>
      </x:c>
    </x:row>
    <x:row r="946">
      <x:c r="A946" t="str">
        <x:v>Active Sports Nutrition</x:v>
      </x:c>
      <x:c r="B946" t="str">
        <x:v>DNA Sports</x:v>
      </x:c>
      <x:c r="C946" t="str">
        <x:v>Thank Pump For That</x:v>
      </x:c>
      <x:c r="D946" t="str">
        <x:v>Pre Workouts</x:v>
      </x:c>
      <x:c r="E946" t="str">
        <x:v>Stim FREE</x:v>
      </x:c>
      <x:c r="F946" t="str"/>
      <x:c r="G946" t="str">
        <x:v>475g</x:v>
      </x:c>
      <x:c r="H946" t="str">
        <x:v>Fizzy Cherry</x:v>
      </x:c>
      <x:c r="I946" t="str"/>
      <x:c r="J946" t="str">
        <x:v>Unit</x:v>
      </x:c>
      <x:c r="K946" t="str">
        <x:v>In stock</x:v>
      </x:c>
      <x:c r="L946" t="str">
        <x:v>2026-09-08</x:v>
      </x:c>
      <x:c r="M946" t="str"/>
      <x:c r="N946" t="str"/>
      <x:c r="O946" t="str">
        <x:v>https://www.activesportstrade.co.uk/dna-sports-trade</x:v>
      </x:c>
      <x:c r="P946" t="str">
        <x:v>SPECIAL OFFER wording removed.</x:v>
      </x:c>
      <x:c r="Q946" t="str"/>
      <x:c r="R946" t="str"/>
      <x:c r="S946" t="str">
        <x:v>Pending genuine supplier/brand image</x:v>
      </x:c>
      <x:c r="T946" s="54"/>
      <x:c r="U946" s="47" t="n">
        <x:v>0.2</x:v>
      </x:c>
      <x:c r="V946" s="54" t="str">
        <x:f>IF(ISNUMBER(T946),T946*(1+U946),"")</x:f>
      </x:c>
      <x:c r="W946" s="47" t="n">
        <x:v>0.3</x:v>
      </x:c>
      <x:c r="X946" s="54" t="str">
        <x:f>IF(ISNUMBER(V946),V946/(1-W946),"")</x:f>
      </x:c>
      <x:c r="Y946" s="55" t="str">
        <x:f>IF(ISNUMBER(X946),ROUNDUP(X946,0),"")</x:f>
      </x:c>
      <x:c r="Z946" t="str">
        <x:f>IF(ISNUMBER(T946),"Cost captured","Awaiting trade cost")</x:f>
        <x:v>Awaiting trade cost</x:v>
      </x:c>
      <x:c r="AB946" s="36" t="str">
        <x:f>IF(ISNUMBER(Y946),ROUND(Y946*0.9,2),"")</x:f>
      </x:c>
      <x:c r="AC946" s="36" t="str">
        <x:f>IF(ISNUMBER(AB946),ROUND(AB946-(AB946*0.015+0.2)-V946,2),"")</x:f>
      </x:c>
      <x:c r="AD946" s="36" t="str">
        <x:f>IF(ISNUMBER(Y946),ROUND(Y946*0.8,2),"")</x:f>
      </x:c>
      <x:c r="AE946" s="36" t="str">
        <x:f>IF(ISNUMBER(AD946),ROUND(AD946*0.015+0.2,2),"")</x:f>
      </x:c>
      <x:c r="AF946" s="36" t="str">
        <x:f>IF(ISNUMBER(AD946),ROUND(AD946-AE946-V946,2),"")</x:f>
      </x:c>
      <x:c r="AG946" t="str">
        <x:f>IF(NOT(ISNUMBER(T946)),"PENDING",IF(AF946&gt;0,"PASS","FAIL"))</x:f>
        <x:v>PENDING</x:v>
      </x:c>
      <x:c r="AH946" t="str">
        <x:f>IF(NOT(ISNUMBER(T946)),"Needs supplier cost",IF(K946&lt;&gt;"In stock","Supplier unavailable",IF(AG946&lt;&gt;"PASS","BLOCK - GT loss risk","Commercially protected")))</x:f>
        <x:v>Needs supplier cost</x:v>
      </x:c>
      <x:c r="AI946" t="str">
        <x:v>2026-09-10 Active Sports trade capture</x:v>
      </x:c>
      <x:c r="AJ946" t="str">
        <x:v>Management-only economics. Stripe stress test uses 1.5% + £0.20 standard UK online-card fee; pallet/mix-and-match pricing ignored.</x:v>
      </x:c>
    </x:row>
    <x:row r="947">
      <x:c r="A947" t="str">
        <x:v>Active Sports Nutrition</x:v>
      </x:c>
      <x:c r="B947" t="str">
        <x:v>DNA Sports</x:v>
      </x:c>
      <x:c r="C947" t="str">
        <x:v>Thank Pump For That</x:v>
      </x:c>
      <x:c r="D947" t="str">
        <x:v>Pre Workouts</x:v>
      </x:c>
      <x:c r="E947" t="str">
        <x:v>Stim FREE</x:v>
      </x:c>
      <x:c r="F947" t="str"/>
      <x:c r="G947" t="str">
        <x:v>475g</x:v>
      </x:c>
      <x:c r="H947" t="str">
        <x:v>Lemon Sherbet</x:v>
      </x:c>
      <x:c r="I947" t="str"/>
      <x:c r="J947" t="str">
        <x:v>Unit</x:v>
      </x:c>
      <x:c r="K947" t="str">
        <x:v>In stock</x:v>
      </x:c>
      <x:c r="L947" t="str">
        <x:v>2026-09-08</x:v>
      </x:c>
      <x:c r="M947" t="str"/>
      <x:c r="N947" t="str"/>
      <x:c r="O947" t="str">
        <x:v>https://www.activesportstrade.co.uk/dna-sports-trade</x:v>
      </x:c>
      <x:c r="P947" t="str">
        <x:v>SPECIAL OFFER wording removed.</x:v>
      </x:c>
      <x:c r="Q947" t="str"/>
      <x:c r="R947" t="str"/>
      <x:c r="S947" t="str">
        <x:v>Pending genuine supplier/brand image</x:v>
      </x:c>
      <x:c r="T947" s="54"/>
      <x:c r="U947" s="47" t="n">
        <x:v>0.2</x:v>
      </x:c>
      <x:c r="V947" s="54" t="str">
        <x:f>IF(ISNUMBER(T947),T947*(1+U947),"")</x:f>
      </x:c>
      <x:c r="W947" s="47" t="n">
        <x:v>0.3</x:v>
      </x:c>
      <x:c r="X947" s="54" t="str">
        <x:f>IF(ISNUMBER(V947),V947/(1-W947),"")</x:f>
      </x:c>
      <x:c r="Y947" s="55" t="str">
        <x:f>IF(ISNUMBER(X947),ROUNDUP(X947,0),"")</x:f>
      </x:c>
      <x:c r="Z947" t="str">
        <x:f>IF(ISNUMBER(T947),"Cost captured","Awaiting trade cost")</x:f>
        <x:v>Awaiting trade cost</x:v>
      </x:c>
      <x:c r="AB947" s="36" t="str">
        <x:f>IF(ISNUMBER(Y947),ROUND(Y947*0.9,2),"")</x:f>
      </x:c>
      <x:c r="AC947" s="36" t="str">
        <x:f>IF(ISNUMBER(AB947),ROUND(AB947-(AB947*0.015+0.2)-V947,2),"")</x:f>
      </x:c>
      <x:c r="AD947" s="36" t="str">
        <x:f>IF(ISNUMBER(Y947),ROUND(Y947*0.8,2),"")</x:f>
      </x:c>
      <x:c r="AE947" s="36" t="str">
        <x:f>IF(ISNUMBER(AD947),ROUND(AD947*0.015+0.2,2),"")</x:f>
      </x:c>
      <x:c r="AF947" s="36" t="str">
        <x:f>IF(ISNUMBER(AD947),ROUND(AD947-AE947-V947,2),"")</x:f>
      </x:c>
      <x:c r="AG947" t="str">
        <x:f>IF(NOT(ISNUMBER(T947)),"PENDING",IF(AF947&gt;0,"PASS","FAIL"))</x:f>
        <x:v>PENDING</x:v>
      </x:c>
      <x:c r="AH947" t="str">
        <x:f>IF(NOT(ISNUMBER(T947)),"Needs supplier cost",IF(K947&lt;&gt;"In stock","Supplier unavailable",IF(AG947&lt;&gt;"PASS","BLOCK - GT loss risk","Commercially protected")))</x:f>
        <x:v>Needs supplier cost</x:v>
      </x:c>
      <x:c r="AI947" t="str">
        <x:v>2026-09-10 Active Sports trade capture</x:v>
      </x:c>
      <x:c r="AJ947" t="str">
        <x:v>Management-only economics. Stripe stress test uses 1.5% + £0.20 standard UK online-card fee; pallet/mix-and-match pricing ignored.</x:v>
      </x:c>
    </x:row>
    <x:row r="948">
      <x:c r="A948" t="str">
        <x:v>Active Sports Nutrition</x:v>
      </x:c>
      <x:c r="B948" t="str">
        <x:v>DNA Sports</x:v>
      </x:c>
      <x:c r="C948" t="str">
        <x:v>VIBE Pre Workout</x:v>
      </x:c>
      <x:c r="D948" t="str">
        <x:v>Pre Workouts</x:v>
      </x:c>
      <x:c r="E948" t="str">
        <x:v>High Stim</x:v>
      </x:c>
      <x:c r="F948" t="str"/>
      <x:c r="G948" t="str">
        <x:v>30 servings</x:v>
      </x:c>
      <x:c r="H948" t="str">
        <x:v>Apple Rancher</x:v>
      </x:c>
      <x:c r="I948" t="str"/>
      <x:c r="J948" t="str">
        <x:v>Unit</x:v>
      </x:c>
      <x:c r="K948" t="str">
        <x:v>In stock</x:v>
      </x:c>
      <x:c r="L948" t="str">
        <x:v>2026-09-08</x:v>
      </x:c>
      <x:c r="M948" t="str"/>
      <x:c r="N948" t="str"/>
      <x:c r="O948" t="str">
        <x:v>https://www.activesportstrade.co.uk/dna-sports-trade</x:v>
      </x:c>
      <x:c r="P948" t="str"/>
      <x:c r="Q948" t="str"/>
      <x:c r="R948" t="str"/>
      <x:c r="S948" t="str">
        <x:v>Pending genuine supplier/brand image</x:v>
      </x:c>
      <x:c r="T948" s="54"/>
      <x:c r="U948" s="47" t="n">
        <x:v>0.2</x:v>
      </x:c>
      <x:c r="V948" s="54" t="str">
        <x:f>IF(ISNUMBER(T948),T948*(1+U948),"")</x:f>
      </x:c>
      <x:c r="W948" s="47" t="n">
        <x:v>0.3</x:v>
      </x:c>
      <x:c r="X948" s="54" t="str">
        <x:f>IF(ISNUMBER(V948),V948/(1-W948),"")</x:f>
      </x:c>
      <x:c r="Y948" s="55" t="str">
        <x:f>IF(ISNUMBER(X948),ROUNDUP(X948,0),"")</x:f>
      </x:c>
      <x:c r="Z948" t="str">
        <x:f>IF(ISNUMBER(T948),"Cost captured","Awaiting trade cost")</x:f>
        <x:v>Awaiting trade cost</x:v>
      </x:c>
      <x:c r="AB948" s="36" t="str">
        <x:f>IF(ISNUMBER(Y948),ROUND(Y948*0.9,2),"")</x:f>
      </x:c>
      <x:c r="AC948" s="36" t="str">
        <x:f>IF(ISNUMBER(AB948),ROUND(AB948-(AB948*0.015+0.2)-V948,2),"")</x:f>
      </x:c>
      <x:c r="AD948" s="36" t="str">
        <x:f>IF(ISNUMBER(Y948),ROUND(Y948*0.8,2),"")</x:f>
      </x:c>
      <x:c r="AE948" s="36" t="str">
        <x:f>IF(ISNUMBER(AD948),ROUND(AD948*0.015+0.2,2),"")</x:f>
      </x:c>
      <x:c r="AF948" s="36" t="str">
        <x:f>IF(ISNUMBER(AD948),ROUND(AD948-AE948-V948,2),"")</x:f>
      </x:c>
      <x:c r="AG948" t="str">
        <x:f>IF(NOT(ISNUMBER(T948)),"PENDING",IF(AF948&gt;0,"PASS","FAIL"))</x:f>
        <x:v>PENDING</x:v>
      </x:c>
      <x:c r="AH948" t="str">
        <x:f>IF(NOT(ISNUMBER(T948)),"Needs supplier cost",IF(K948&lt;&gt;"In stock","Supplier unavailable",IF(AG948&lt;&gt;"PASS","BLOCK - GT loss risk","Commercially protected")))</x:f>
        <x:v>Needs supplier cost</x:v>
      </x:c>
      <x:c r="AI948" t="str">
        <x:v>2026-09-10 Active Sports trade capture</x:v>
      </x:c>
      <x:c r="AJ948" t="str">
        <x:v>Management-only economics. Stripe stress test uses 1.5% + £0.20 standard UK online-card fee; pallet/mix-and-match pricing ignored.</x:v>
      </x:c>
    </x:row>
    <x:row r="949">
      <x:c r="A949" t="str">
        <x:v>Active Sports Nutrition</x:v>
      </x:c>
      <x:c r="B949" t="str">
        <x:v>DNA Sports</x:v>
      </x:c>
      <x:c r="C949" t="str">
        <x:v>VIBE Pre Workout</x:v>
      </x:c>
      <x:c r="D949" t="str">
        <x:v>Pre Workouts</x:v>
      </x:c>
      <x:c r="E949" t="str">
        <x:v>High Stim</x:v>
      </x:c>
      <x:c r="F949" t="str"/>
      <x:c r="G949" t="str">
        <x:v>30 servings</x:v>
      </x:c>
      <x:c r="H949" t="str">
        <x:v>Blue Ice Blast</x:v>
      </x:c>
      <x:c r="I949" t="str"/>
      <x:c r="J949" t="str">
        <x:v>Unit</x:v>
      </x:c>
      <x:c r="K949" t="str">
        <x:v>In stock</x:v>
      </x:c>
      <x:c r="L949" t="str">
        <x:v>2026-09-08</x:v>
      </x:c>
      <x:c r="M949" t="str"/>
      <x:c r="N949" t="str"/>
      <x:c r="O949" t="str">
        <x:v>https://www.activesportstrade.co.uk/dna-sports-trade</x:v>
      </x:c>
      <x:c r="P949" t="str"/>
      <x:c r="Q949" t="str"/>
      <x:c r="R949" t="str"/>
      <x:c r="S949" t="str">
        <x:v>Pending genuine supplier/brand image</x:v>
      </x:c>
      <x:c r="T949" s="54"/>
      <x:c r="U949" s="47" t="n">
        <x:v>0.2</x:v>
      </x:c>
      <x:c r="V949" s="54" t="str">
        <x:f>IF(ISNUMBER(T949),T949*(1+U949),"")</x:f>
      </x:c>
      <x:c r="W949" s="47" t="n">
        <x:v>0.3</x:v>
      </x:c>
      <x:c r="X949" s="54" t="str">
        <x:f>IF(ISNUMBER(V949),V949/(1-W949),"")</x:f>
      </x:c>
      <x:c r="Y949" s="55" t="str">
        <x:f>IF(ISNUMBER(X949),ROUNDUP(X949,0),"")</x:f>
      </x:c>
      <x:c r="Z949" t="str">
        <x:f>IF(ISNUMBER(T949),"Cost captured","Awaiting trade cost")</x:f>
        <x:v>Awaiting trade cost</x:v>
      </x:c>
      <x:c r="AB949" s="36" t="str">
        <x:f>IF(ISNUMBER(Y949),ROUND(Y949*0.9,2),"")</x:f>
      </x:c>
      <x:c r="AC949" s="36" t="str">
        <x:f>IF(ISNUMBER(AB949),ROUND(AB949-(AB949*0.015+0.2)-V949,2),"")</x:f>
      </x:c>
      <x:c r="AD949" s="36" t="str">
        <x:f>IF(ISNUMBER(Y949),ROUND(Y949*0.8,2),"")</x:f>
      </x:c>
      <x:c r="AE949" s="36" t="str">
        <x:f>IF(ISNUMBER(AD949),ROUND(AD949*0.015+0.2,2),"")</x:f>
      </x:c>
      <x:c r="AF949" s="36" t="str">
        <x:f>IF(ISNUMBER(AD949),ROUND(AD949-AE949-V949,2),"")</x:f>
      </x:c>
      <x:c r="AG949" t="str">
        <x:f>IF(NOT(ISNUMBER(T949)),"PENDING",IF(AF949&gt;0,"PASS","FAIL"))</x:f>
        <x:v>PENDING</x:v>
      </x:c>
      <x:c r="AH949" t="str">
        <x:f>IF(NOT(ISNUMBER(T949)),"Needs supplier cost",IF(K949&lt;&gt;"In stock","Supplier unavailable",IF(AG949&lt;&gt;"PASS","BLOCK - GT loss risk","Commercially protected")))</x:f>
        <x:v>Needs supplier cost</x:v>
      </x:c>
      <x:c r="AI949" t="str">
        <x:v>2026-09-10 Active Sports trade capture</x:v>
      </x:c>
      <x:c r="AJ949" t="str">
        <x:v>Management-only economics. Stripe stress test uses 1.5% + £0.20 standard UK online-card fee; pallet/mix-and-match pricing ignored.</x:v>
      </x:c>
    </x:row>
    <x:row r="950">
      <x:c r="A950" t="str">
        <x:v>Active Sports Nutrition</x:v>
      </x:c>
      <x:c r="B950" t="str">
        <x:v>DNA Sports</x:v>
      </x:c>
      <x:c r="C950" t="str">
        <x:v>VIBE Pre Workout</x:v>
      </x:c>
      <x:c r="D950" t="str">
        <x:v>Pre Workouts</x:v>
      </x:c>
      <x:c r="E950" t="str">
        <x:v>High Stim</x:v>
      </x:c>
      <x:c r="F950" t="str"/>
      <x:c r="G950" t="str">
        <x:v>30 servings</x:v>
      </x:c>
      <x:c r="H950" t="str">
        <x:v>Cherry Cola</x:v>
      </x:c>
      <x:c r="I950" t="str"/>
      <x:c r="J950" t="str">
        <x:v>Unit</x:v>
      </x:c>
      <x:c r="K950" t="str">
        <x:v>Out of stock</x:v>
      </x:c>
      <x:c r="L950" t="str">
        <x:v>2026-09-08</x:v>
      </x:c>
      <x:c r="M950" t="str"/>
      <x:c r="N950" t="str"/>
      <x:c r="O950" t="str">
        <x:v>https://www.activesportstrade.co.uk/dna-sports-trade</x:v>
      </x:c>
      <x:c r="P950" t="str"/>
      <x:c r="Q950" t="str"/>
      <x:c r="R950" t="str"/>
      <x:c r="S950" t="str">
        <x:v>Pending genuine supplier/brand image</x:v>
      </x:c>
      <x:c r="T950" s="54"/>
      <x:c r="U950" s="47" t="n">
        <x:v>0.2</x:v>
      </x:c>
      <x:c r="V950" s="54" t="str">
        <x:f>IF(ISNUMBER(T950),T950*(1+U950),"")</x:f>
      </x:c>
      <x:c r="W950" s="47" t="n">
        <x:v>0.3</x:v>
      </x:c>
      <x:c r="X950" s="54" t="str">
        <x:f>IF(ISNUMBER(V950),V950/(1-W950),"")</x:f>
      </x:c>
      <x:c r="Y950" s="55" t="str">
        <x:f>IF(ISNUMBER(X950),ROUNDUP(X950,0),"")</x:f>
      </x:c>
      <x:c r="Z950" t="str">
        <x:f>IF(ISNUMBER(T950),"Cost captured","Awaiting trade cost")</x:f>
        <x:v>Awaiting trade cost</x:v>
      </x:c>
      <x:c r="AB950" s="36" t="str">
        <x:f>IF(ISNUMBER(Y950),ROUND(Y950*0.9,2),"")</x:f>
      </x:c>
      <x:c r="AC950" s="36" t="str">
        <x:f>IF(ISNUMBER(AB950),ROUND(AB950-(AB950*0.015+0.2)-V950,2),"")</x:f>
      </x:c>
      <x:c r="AD950" s="36" t="str">
        <x:f>IF(ISNUMBER(Y950),ROUND(Y950*0.8,2),"")</x:f>
      </x:c>
      <x:c r="AE950" s="36" t="str">
        <x:f>IF(ISNUMBER(AD950),ROUND(AD950*0.015+0.2,2),"")</x:f>
      </x:c>
      <x:c r="AF950" s="36" t="str">
        <x:f>IF(ISNUMBER(AD950),ROUND(AD950-AE950-V950,2),"")</x:f>
      </x:c>
      <x:c r="AG950" t="str">
        <x:f>IF(NOT(ISNUMBER(T950)),"PENDING",IF(AF950&gt;0,"PASS","FAIL"))</x:f>
        <x:v>PENDING</x:v>
      </x:c>
      <x:c r="AH950" t="str">
        <x:f>IF(NOT(ISNUMBER(T950)),"Needs supplier cost",IF(K950&lt;&gt;"In stock","Supplier unavailable",IF(AG950&lt;&gt;"PASS","BLOCK - GT loss risk","Commercially protected")))</x:f>
        <x:v>Needs supplier cost</x:v>
      </x:c>
      <x:c r="AI950" t="str">
        <x:v>2026-09-10 Active Sports trade capture</x:v>
      </x:c>
      <x:c r="AJ950" t="str">
        <x:v>Management-only economics. Stripe stress test uses 1.5% + £0.20 standard UK online-card fee; pallet/mix-and-match pricing ignored.</x:v>
      </x:c>
    </x:row>
    <x:row r="951">
      <x:c r="A951" t="str">
        <x:v>Active Sports Nutrition</x:v>
      </x:c>
      <x:c r="B951" t="str">
        <x:v>DNA Sports</x:v>
      </x:c>
      <x:c r="C951" t="str">
        <x:v>VIBE Pre Workout</x:v>
      </x:c>
      <x:c r="D951" t="str">
        <x:v>Pre Workouts</x:v>
      </x:c>
      <x:c r="E951" t="str">
        <x:v>High Stim</x:v>
      </x:c>
      <x:c r="F951" t="str"/>
      <x:c r="G951" t="str">
        <x:v>30 servings</x:v>
      </x:c>
      <x:c r="H951" t="str">
        <x:v>Energy Drink</x:v>
      </x:c>
      <x:c r="I951" t="str"/>
      <x:c r="J951" t="str">
        <x:v>Unit</x:v>
      </x:c>
      <x:c r="K951" t="str">
        <x:v>In stock</x:v>
      </x:c>
      <x:c r="L951" t="str">
        <x:v>2026-09-08</x:v>
      </x:c>
      <x:c r="M951" t="str"/>
      <x:c r="N951" t="str"/>
      <x:c r="O951" t="str">
        <x:v>https://www.activesportstrade.co.uk/dna-sports-trade</x:v>
      </x:c>
      <x:c r="P951" t="str"/>
      <x:c r="Q951" t="str"/>
      <x:c r="R951" t="str"/>
      <x:c r="S951" t="str">
        <x:v>Pending genuine supplier/brand image</x:v>
      </x:c>
      <x:c r="T951" s="54"/>
      <x:c r="U951" s="47" t="n">
        <x:v>0.2</x:v>
      </x:c>
      <x:c r="V951" s="54" t="str">
        <x:f>IF(ISNUMBER(T951),T951*(1+U951),"")</x:f>
      </x:c>
      <x:c r="W951" s="47" t="n">
        <x:v>0.3</x:v>
      </x:c>
      <x:c r="X951" s="54" t="str">
        <x:f>IF(ISNUMBER(V951),V951/(1-W951),"")</x:f>
      </x:c>
      <x:c r="Y951" s="55" t="str">
        <x:f>IF(ISNUMBER(X951),ROUNDUP(X951,0),"")</x:f>
      </x:c>
      <x:c r="Z951" t="str">
        <x:f>IF(ISNUMBER(T951),"Cost captured","Awaiting trade cost")</x:f>
        <x:v>Awaiting trade cost</x:v>
      </x:c>
      <x:c r="AB951" s="36" t="str">
        <x:f>IF(ISNUMBER(Y951),ROUND(Y951*0.9,2),"")</x:f>
      </x:c>
      <x:c r="AC951" s="36" t="str">
        <x:f>IF(ISNUMBER(AB951),ROUND(AB951-(AB951*0.015+0.2)-V951,2),"")</x:f>
      </x:c>
      <x:c r="AD951" s="36" t="str">
        <x:f>IF(ISNUMBER(Y951),ROUND(Y951*0.8,2),"")</x:f>
      </x:c>
      <x:c r="AE951" s="36" t="str">
        <x:f>IF(ISNUMBER(AD951),ROUND(AD951*0.015+0.2,2),"")</x:f>
      </x:c>
      <x:c r="AF951" s="36" t="str">
        <x:f>IF(ISNUMBER(AD951),ROUND(AD951-AE951-V951,2),"")</x:f>
      </x:c>
      <x:c r="AG951" t="str">
        <x:f>IF(NOT(ISNUMBER(T951)),"PENDING",IF(AF951&gt;0,"PASS","FAIL"))</x:f>
        <x:v>PENDING</x:v>
      </x:c>
      <x:c r="AH951" t="str">
        <x:f>IF(NOT(ISNUMBER(T951)),"Needs supplier cost",IF(K951&lt;&gt;"In stock","Supplier unavailable",IF(AG951&lt;&gt;"PASS","BLOCK - GT loss risk","Commercially protected")))</x:f>
        <x:v>Needs supplier cost</x:v>
      </x:c>
      <x:c r="AI951" t="str">
        <x:v>2026-09-10 Active Sports trade capture</x:v>
      </x:c>
      <x:c r="AJ951" t="str">
        <x:v>Management-only economics. Stripe stress test uses 1.5% + £0.20 standard UK online-card fee; pallet/mix-and-match pricing ignored.</x:v>
      </x:c>
    </x:row>
    <x:row r="952">
      <x:c r="A952" t="str">
        <x:v>Active Sports Nutrition</x:v>
      </x:c>
      <x:c r="B952" t="str">
        <x:v>DNA Sports</x:v>
      </x:c>
      <x:c r="C952" t="str">
        <x:v>VIBE Pre Workout</x:v>
      </x:c>
      <x:c r="D952" t="str">
        <x:v>Pre Workouts</x:v>
      </x:c>
      <x:c r="E952" t="str">
        <x:v>High Stim</x:v>
      </x:c>
      <x:c r="F952" t="str"/>
      <x:c r="G952" t="str">
        <x:v>30 servings</x:v>
      </x:c>
      <x:c r="H952" t="str">
        <x:v>Grape Soda</x:v>
      </x:c>
      <x:c r="I952" t="str"/>
      <x:c r="J952" t="str">
        <x:v>Unit</x:v>
      </x:c>
      <x:c r="K952" t="str">
        <x:v>Out of stock</x:v>
      </x:c>
      <x:c r="L952" t="str">
        <x:v>2026-09-08</x:v>
      </x:c>
      <x:c r="M952" t="str"/>
      <x:c r="N952" t="str"/>
      <x:c r="O952" t="str">
        <x:v>https://www.activesportstrade.co.uk/dna-sports-trade</x:v>
      </x:c>
      <x:c r="P952" t="str"/>
      <x:c r="Q952" t="str"/>
      <x:c r="R952" t="str"/>
      <x:c r="S952" t="str">
        <x:v>Pending genuine supplier/brand image</x:v>
      </x:c>
      <x:c r="T952" s="54"/>
      <x:c r="U952" s="47" t="n">
        <x:v>0.2</x:v>
      </x:c>
      <x:c r="V952" s="54" t="str">
        <x:f>IF(ISNUMBER(T952),T952*(1+U952),"")</x:f>
      </x:c>
      <x:c r="W952" s="47" t="n">
        <x:v>0.3</x:v>
      </x:c>
      <x:c r="X952" s="54" t="str">
        <x:f>IF(ISNUMBER(V952),V952/(1-W952),"")</x:f>
      </x:c>
      <x:c r="Y952" s="55" t="str">
        <x:f>IF(ISNUMBER(X952),ROUNDUP(X952,0),"")</x:f>
      </x:c>
      <x:c r="Z952" t="str">
        <x:f>IF(ISNUMBER(T952),"Cost captured","Awaiting trade cost")</x:f>
        <x:v>Awaiting trade cost</x:v>
      </x:c>
      <x:c r="AB952" s="36" t="str">
        <x:f>IF(ISNUMBER(Y952),ROUND(Y952*0.9,2),"")</x:f>
      </x:c>
      <x:c r="AC952" s="36" t="str">
        <x:f>IF(ISNUMBER(AB952),ROUND(AB952-(AB952*0.015+0.2)-V952,2),"")</x:f>
      </x:c>
      <x:c r="AD952" s="36" t="str">
        <x:f>IF(ISNUMBER(Y952),ROUND(Y952*0.8,2),"")</x:f>
      </x:c>
      <x:c r="AE952" s="36" t="str">
        <x:f>IF(ISNUMBER(AD952),ROUND(AD952*0.015+0.2,2),"")</x:f>
      </x:c>
      <x:c r="AF952" s="36" t="str">
        <x:f>IF(ISNUMBER(AD952),ROUND(AD952-AE952-V952,2),"")</x:f>
      </x:c>
      <x:c r="AG952" t="str">
        <x:f>IF(NOT(ISNUMBER(T952)),"PENDING",IF(AF952&gt;0,"PASS","FAIL"))</x:f>
        <x:v>PENDING</x:v>
      </x:c>
      <x:c r="AH952" t="str">
        <x:f>IF(NOT(ISNUMBER(T952)),"Needs supplier cost",IF(K952&lt;&gt;"In stock","Supplier unavailable",IF(AG952&lt;&gt;"PASS","BLOCK - GT loss risk","Commercially protected")))</x:f>
        <x:v>Needs supplier cost</x:v>
      </x:c>
      <x:c r="AI952" t="str">
        <x:v>2026-09-10 Active Sports trade capture</x:v>
      </x:c>
      <x:c r="AJ952" t="str">
        <x:v>Management-only economics. Stripe stress test uses 1.5% + £0.20 standard UK online-card fee; pallet/mix-and-match pricing ignored.</x:v>
      </x:c>
    </x:row>
    <x:row r="953">
      <x:c r="A953" t="str">
        <x:v>Active Sports Nutrition</x:v>
      </x:c>
      <x:c r="B953" t="str">
        <x:v>DNA Sports</x:v>
      </x:c>
      <x:c r="C953" t="str">
        <x:v>VIBE Pre Workout</x:v>
      </x:c>
      <x:c r="D953" t="str">
        <x:v>Pre Workouts</x:v>
      </x:c>
      <x:c r="E953" t="str">
        <x:v>High Stim</x:v>
      </x:c>
      <x:c r="F953" t="str"/>
      <x:c r="G953" t="str">
        <x:v>30 servings</x:v>
      </x:c>
      <x:c r="H953" t="str">
        <x:v>Rocket Pop</x:v>
      </x:c>
      <x:c r="I953" t="str"/>
      <x:c r="J953" t="str">
        <x:v>Unit</x:v>
      </x:c>
      <x:c r="K953" t="str">
        <x:v>In stock</x:v>
      </x:c>
      <x:c r="L953" t="str">
        <x:v>2026-09-08</x:v>
      </x:c>
      <x:c r="M953" t="str"/>
      <x:c r="N953" t="str"/>
      <x:c r="O953" t="str">
        <x:v>https://www.activesportstrade.co.uk/dna-sports-trade</x:v>
      </x:c>
      <x:c r="P953" t="str"/>
      <x:c r="Q953" t="str"/>
      <x:c r="R953" t="str"/>
      <x:c r="S953" t="str">
        <x:v>Pending genuine supplier/brand image</x:v>
      </x:c>
      <x:c r="T953" s="54"/>
      <x:c r="U953" s="47" t="n">
        <x:v>0.2</x:v>
      </x:c>
      <x:c r="V953" s="54" t="str">
        <x:f>IF(ISNUMBER(T953),T953*(1+U953),"")</x:f>
      </x:c>
      <x:c r="W953" s="47" t="n">
        <x:v>0.3</x:v>
      </x:c>
      <x:c r="X953" s="54" t="str">
        <x:f>IF(ISNUMBER(V953),V953/(1-W953),"")</x:f>
      </x:c>
      <x:c r="Y953" s="55" t="str">
        <x:f>IF(ISNUMBER(X953),ROUNDUP(X953,0),"")</x:f>
      </x:c>
      <x:c r="Z953" t="str">
        <x:f>IF(ISNUMBER(T953),"Cost captured","Awaiting trade cost")</x:f>
        <x:v>Awaiting trade cost</x:v>
      </x:c>
      <x:c r="AB953" s="36" t="str">
        <x:f>IF(ISNUMBER(Y953),ROUND(Y953*0.9,2),"")</x:f>
      </x:c>
      <x:c r="AC953" s="36" t="str">
        <x:f>IF(ISNUMBER(AB953),ROUND(AB953-(AB953*0.015+0.2)-V953,2),"")</x:f>
      </x:c>
      <x:c r="AD953" s="36" t="str">
        <x:f>IF(ISNUMBER(Y953),ROUND(Y953*0.8,2),"")</x:f>
      </x:c>
      <x:c r="AE953" s="36" t="str">
        <x:f>IF(ISNUMBER(AD953),ROUND(AD953*0.015+0.2,2),"")</x:f>
      </x:c>
      <x:c r="AF953" s="36" t="str">
        <x:f>IF(ISNUMBER(AD953),ROUND(AD953-AE953-V953,2),"")</x:f>
      </x:c>
      <x:c r="AG953" t="str">
        <x:f>IF(NOT(ISNUMBER(T953)),"PENDING",IF(AF953&gt;0,"PASS","FAIL"))</x:f>
        <x:v>PENDING</x:v>
      </x:c>
      <x:c r="AH953" t="str">
        <x:f>IF(NOT(ISNUMBER(T953)),"Needs supplier cost",IF(K953&lt;&gt;"In stock","Supplier unavailable",IF(AG953&lt;&gt;"PASS","BLOCK - GT loss risk","Commercially protected")))</x:f>
        <x:v>Needs supplier cost</x:v>
      </x:c>
      <x:c r="AI953" t="str">
        <x:v>2026-09-10 Active Sports trade capture</x:v>
      </x:c>
      <x:c r="AJ953" t="str">
        <x:v>Management-only economics. Stripe stress test uses 1.5% + £0.20 standard UK online-card fee; pallet/mix-and-match pricing ignored.</x:v>
      </x:c>
    </x:row>
    <x:row r="954">
      <x:c r="A954" t="str">
        <x:v>Active Sports Nutrition</x:v>
      </x:c>
      <x:c r="B954" t="str">
        <x:v>DNA Sports</x:v>
      </x:c>
      <x:c r="C954" t="str">
        <x:v>VIBE Pre Workout</x:v>
      </x:c>
      <x:c r="D954" t="str">
        <x:v>Pre Workouts</x:v>
      </x:c>
      <x:c r="E954" t="str">
        <x:v>High Stim</x:v>
      </x:c>
      <x:c r="F954" t="str"/>
      <x:c r="G954" t="str">
        <x:v>30 servings</x:v>
      </x:c>
      <x:c r="H954" t="str">
        <x:v>Sherbet Surge</x:v>
      </x:c>
      <x:c r="I954" t="str"/>
      <x:c r="J954" t="str">
        <x:v>Unit</x:v>
      </x:c>
      <x:c r="K954" t="str">
        <x:v>In stock</x:v>
      </x:c>
      <x:c r="L954" t="str">
        <x:v>2026-09-08</x:v>
      </x:c>
      <x:c r="M954" t="str"/>
      <x:c r="N954" t="str"/>
      <x:c r="O954" t="str">
        <x:v>https://www.activesportstrade.co.uk/dna-sports-trade</x:v>
      </x:c>
      <x:c r="P954" t="str"/>
      <x:c r="Q954" t="str"/>
      <x:c r="R954" t="str"/>
      <x:c r="S954" t="str">
        <x:v>Pending genuine supplier/brand image</x:v>
      </x:c>
      <x:c r="T954" s="54"/>
      <x:c r="U954" s="47" t="n">
        <x:v>0.2</x:v>
      </x:c>
      <x:c r="V954" s="54" t="str">
        <x:f>IF(ISNUMBER(T954),T954*(1+U954),"")</x:f>
      </x:c>
      <x:c r="W954" s="47" t="n">
        <x:v>0.3</x:v>
      </x:c>
      <x:c r="X954" s="54" t="str">
        <x:f>IF(ISNUMBER(V954),V954/(1-W954),"")</x:f>
      </x:c>
      <x:c r="Y954" s="55" t="str">
        <x:f>IF(ISNUMBER(X954),ROUNDUP(X954,0),"")</x:f>
      </x:c>
      <x:c r="Z954" t="str">
        <x:f>IF(ISNUMBER(T954),"Cost captured","Awaiting trade cost")</x:f>
        <x:v>Awaiting trade cost</x:v>
      </x:c>
      <x:c r="AB954" s="36" t="str">
        <x:f>IF(ISNUMBER(Y954),ROUND(Y954*0.9,2),"")</x:f>
      </x:c>
      <x:c r="AC954" s="36" t="str">
        <x:f>IF(ISNUMBER(AB954),ROUND(AB954-(AB954*0.015+0.2)-V954,2),"")</x:f>
      </x:c>
      <x:c r="AD954" s="36" t="str">
        <x:f>IF(ISNUMBER(Y954),ROUND(Y954*0.8,2),"")</x:f>
      </x:c>
      <x:c r="AE954" s="36" t="str">
        <x:f>IF(ISNUMBER(AD954),ROUND(AD954*0.015+0.2,2),"")</x:f>
      </x:c>
      <x:c r="AF954" s="36" t="str">
        <x:f>IF(ISNUMBER(AD954),ROUND(AD954-AE954-V954,2),"")</x:f>
      </x:c>
      <x:c r="AG954" t="str">
        <x:f>IF(NOT(ISNUMBER(T954)),"PENDING",IF(AF954&gt;0,"PASS","FAIL"))</x:f>
        <x:v>PENDING</x:v>
      </x:c>
      <x:c r="AH954" t="str">
        <x:f>IF(NOT(ISNUMBER(T954)),"Needs supplier cost",IF(K954&lt;&gt;"In stock","Supplier unavailable",IF(AG954&lt;&gt;"PASS","BLOCK - GT loss risk","Commercially protected")))</x:f>
        <x:v>Needs supplier cost</x:v>
      </x:c>
      <x:c r="AI954" t="str">
        <x:v>2026-09-10 Active Sports trade capture</x:v>
      </x:c>
      <x:c r="AJ954" t="str">
        <x:v>Management-only economics. Stripe stress test uses 1.5% + £0.20 standard UK online-card fee; pallet/mix-and-match pricing ignored.</x:v>
      </x:c>
    </x:row>
    <x:row r="955">
      <x:c r="A955" t="str">
        <x:v>Active Sports Nutrition</x:v>
      </x:c>
      <x:c r="B955" t="str">
        <x:v>DNA Sports</x:v>
      </x:c>
      <x:c r="C955" t="str">
        <x:v>VIBE Pre Workout</x:v>
      </x:c>
      <x:c r="D955" t="str">
        <x:v>Pre Workouts</x:v>
      </x:c>
      <x:c r="E955" t="str">
        <x:v>High Stim</x:v>
      </x:c>
      <x:c r="F955" t="str"/>
      <x:c r="G955" t="str">
        <x:v>30 servings</x:v>
      </x:c>
      <x:c r="H955" t="str">
        <x:v>Strawberry Bubblegum</x:v>
      </x:c>
      <x:c r="I955" t="str"/>
      <x:c r="J955" t="str">
        <x:v>Unit</x:v>
      </x:c>
      <x:c r="K955" t="str">
        <x:v>In stock</x:v>
      </x:c>
      <x:c r="L955" t="str">
        <x:v>2026-09-08</x:v>
      </x:c>
      <x:c r="M955" t="str"/>
      <x:c r="N955" t="str"/>
      <x:c r="O955" t="str">
        <x:v>https://www.activesportstrade.co.uk/dna-sports-trade</x:v>
      </x:c>
      <x:c r="P955" t="str"/>
      <x:c r="Q955" t="str"/>
      <x:c r="R955" t="str"/>
      <x:c r="S955" t="str">
        <x:v>Pending genuine supplier/brand image</x:v>
      </x:c>
      <x:c r="T955" s="54"/>
      <x:c r="U955" s="47" t="n">
        <x:v>0.2</x:v>
      </x:c>
      <x:c r="V955" s="54" t="str">
        <x:f>IF(ISNUMBER(T955),T955*(1+U955),"")</x:f>
      </x:c>
      <x:c r="W955" s="47" t="n">
        <x:v>0.3</x:v>
      </x:c>
      <x:c r="X955" s="54" t="str">
        <x:f>IF(ISNUMBER(V955),V955/(1-W955),"")</x:f>
      </x:c>
      <x:c r="Y955" s="55" t="str">
        <x:f>IF(ISNUMBER(X955),ROUNDUP(X955,0),"")</x:f>
      </x:c>
      <x:c r="Z955" t="str">
        <x:f>IF(ISNUMBER(T955),"Cost captured","Awaiting trade cost")</x:f>
        <x:v>Awaiting trade cost</x:v>
      </x:c>
      <x:c r="AB955" s="36" t="str">
        <x:f>IF(ISNUMBER(Y955),ROUND(Y955*0.9,2),"")</x:f>
      </x:c>
      <x:c r="AC955" s="36" t="str">
        <x:f>IF(ISNUMBER(AB955),ROUND(AB955-(AB955*0.015+0.2)-V955,2),"")</x:f>
      </x:c>
      <x:c r="AD955" s="36" t="str">
        <x:f>IF(ISNUMBER(Y955),ROUND(Y955*0.8,2),"")</x:f>
      </x:c>
      <x:c r="AE955" s="36" t="str">
        <x:f>IF(ISNUMBER(AD955),ROUND(AD955*0.015+0.2,2),"")</x:f>
      </x:c>
      <x:c r="AF955" s="36" t="str">
        <x:f>IF(ISNUMBER(AD955),ROUND(AD955-AE955-V955,2),"")</x:f>
      </x:c>
      <x:c r="AG955" t="str">
        <x:f>IF(NOT(ISNUMBER(T955)),"PENDING",IF(AF955&gt;0,"PASS","FAIL"))</x:f>
        <x:v>PENDING</x:v>
      </x:c>
      <x:c r="AH955" t="str">
        <x:f>IF(NOT(ISNUMBER(T955)),"Needs supplier cost",IF(K955&lt;&gt;"In stock","Supplier unavailable",IF(AG955&lt;&gt;"PASS","BLOCK - GT loss risk","Commercially protected")))</x:f>
        <x:v>Needs supplier cost</x:v>
      </x:c>
      <x:c r="AI955" t="str">
        <x:v>2026-09-10 Active Sports trade capture</x:v>
      </x:c>
      <x:c r="AJ955" t="str">
        <x:v>Management-only economics. Stripe stress test uses 1.5% + £0.20 standard UK online-card fee; pallet/mix-and-match pricing ignored.</x:v>
      </x:c>
    </x:row>
    <x:row r="956">
      <x:c r="A956" t="str">
        <x:v>Active Sports Nutrition</x:v>
      </x:c>
      <x:c r="B956" t="str">
        <x:v>DNA Sports</x:v>
      </x:c>
      <x:c r="C956" t="str">
        <x:v>Whey Protein</x:v>
      </x:c>
      <x:c r="D956" t="str">
        <x:v>Supplements</x:v>
      </x:c>
      <x:c r="E956" t="str">
        <x:v>Whey Protein</x:v>
      </x:c>
      <x:c r="F956" t="str"/>
      <x:c r="G956" t="str">
        <x:v>2kg</x:v>
      </x:c>
      <x:c r="H956" t="str">
        <x:v>Banana Caramel Waffle</x:v>
      </x:c>
      <x:c r="I956" t="str"/>
      <x:c r="J956" t="str">
        <x:v>Unit</x:v>
      </x:c>
      <x:c r="K956" t="str">
        <x:v>Out of stock</x:v>
      </x:c>
      <x:c r="L956" t="str">
        <x:v>2026-09-08</x:v>
      </x:c>
      <x:c r="M956" t="str"/>
      <x:c r="N956" t="str"/>
      <x:c r="O956" t="str">
        <x:v>https://www.activesportstrade.co.uk/dna-sports-trade</x:v>
      </x:c>
      <x:c r="P956" t="str">
        <x:v>SPECIAL OFFER wording removed.</x:v>
      </x:c>
      <x:c r="Q956" t="str"/>
      <x:c r="R956" t="str"/>
      <x:c r="S956" t="str">
        <x:v>Pending genuine supplier/brand image</x:v>
      </x:c>
      <x:c r="T956" s="54"/>
      <x:c r="U956" s="47" t="n">
        <x:v>0.2</x:v>
      </x:c>
      <x:c r="V956" s="54" t="str">
        <x:f>IF(ISNUMBER(T956),T956*(1+U956),"")</x:f>
      </x:c>
      <x:c r="W956" s="47" t="n">
        <x:v>0.3</x:v>
      </x:c>
      <x:c r="X956" s="54" t="str">
        <x:f>IF(ISNUMBER(V956),V956/(1-W956),"")</x:f>
      </x:c>
      <x:c r="Y956" s="55" t="str">
        <x:f>IF(ISNUMBER(X956),ROUNDUP(X956,0),"")</x:f>
      </x:c>
      <x:c r="Z956" t="str">
        <x:f>IF(ISNUMBER(T956),"Cost captured","Awaiting trade cost")</x:f>
        <x:v>Awaiting trade cost</x:v>
      </x:c>
      <x:c r="AB956" s="36" t="str">
        <x:f>IF(ISNUMBER(Y956),ROUND(Y956*0.9,2),"")</x:f>
      </x:c>
      <x:c r="AC956" s="36" t="str">
        <x:f>IF(ISNUMBER(AB956),ROUND(AB956-(AB956*0.015+0.2)-V956,2),"")</x:f>
      </x:c>
      <x:c r="AD956" s="36" t="str">
        <x:f>IF(ISNUMBER(Y956),ROUND(Y956*0.8,2),"")</x:f>
      </x:c>
      <x:c r="AE956" s="36" t="str">
        <x:f>IF(ISNUMBER(AD956),ROUND(AD956*0.015+0.2,2),"")</x:f>
      </x:c>
      <x:c r="AF956" s="36" t="str">
        <x:f>IF(ISNUMBER(AD956),ROUND(AD956-AE956-V956,2),"")</x:f>
      </x:c>
      <x:c r="AG956" t="str">
        <x:f>IF(NOT(ISNUMBER(T956)),"PENDING",IF(AF956&gt;0,"PASS","FAIL"))</x:f>
        <x:v>PENDING</x:v>
      </x:c>
      <x:c r="AH956" t="str">
        <x:f>IF(NOT(ISNUMBER(T956)),"Needs supplier cost",IF(K956&lt;&gt;"In stock","Supplier unavailable",IF(AG956&lt;&gt;"PASS","BLOCK - GT loss risk","Commercially protected")))</x:f>
        <x:v>Needs supplier cost</x:v>
      </x:c>
      <x:c r="AI956" t="str">
        <x:v>2026-09-10 Active Sports trade capture</x:v>
      </x:c>
      <x:c r="AJ956" t="str">
        <x:v>Management-only economics. Stripe stress test uses 1.5% + £0.20 standard UK online-card fee; pallet/mix-and-match pricing ignored.</x:v>
      </x:c>
    </x:row>
    <x:row r="957">
      <x:c r="A957" t="str">
        <x:v>Active Sports Nutrition</x:v>
      </x:c>
      <x:c r="B957" t="str">
        <x:v>DNA Sports</x:v>
      </x:c>
      <x:c r="C957" t="str">
        <x:v>Whey Protein</x:v>
      </x:c>
      <x:c r="D957" t="str">
        <x:v>Supplements</x:v>
      </x:c>
      <x:c r="E957" t="str">
        <x:v>Whey Protein</x:v>
      </x:c>
      <x:c r="F957" t="str"/>
      <x:c r="G957" t="str">
        <x:v>2kg</x:v>
      </x:c>
      <x:c r="H957" t="str">
        <x:v>Blueberry Muffin</x:v>
      </x:c>
      <x:c r="I957" t="str"/>
      <x:c r="J957" t="str">
        <x:v>Unit</x:v>
      </x:c>
      <x:c r="K957" t="str">
        <x:v>In stock</x:v>
      </x:c>
      <x:c r="L957" t="str">
        <x:v>2026-09-08</x:v>
      </x:c>
      <x:c r="M957" t="str"/>
      <x:c r="N957" t="str"/>
      <x:c r="O957" t="str">
        <x:v>https://www.activesportstrade.co.uk/dna-sports-trade</x:v>
      </x:c>
      <x:c r="P957" t="str">
        <x:v>SPECIAL OFFER wording removed.</x:v>
      </x:c>
      <x:c r="Q957" t="str"/>
      <x:c r="R957" t="str"/>
      <x:c r="S957" t="str">
        <x:v>Pending genuine supplier/brand image</x:v>
      </x:c>
      <x:c r="T957" s="54"/>
      <x:c r="U957" s="47" t="n">
        <x:v>0.2</x:v>
      </x:c>
      <x:c r="V957" s="54" t="str">
        <x:f>IF(ISNUMBER(T957),T957*(1+U957),"")</x:f>
      </x:c>
      <x:c r="W957" s="47" t="n">
        <x:v>0.3</x:v>
      </x:c>
      <x:c r="X957" s="54" t="str">
        <x:f>IF(ISNUMBER(V957),V957/(1-W957),"")</x:f>
      </x:c>
      <x:c r="Y957" s="55" t="str">
        <x:f>IF(ISNUMBER(X957),ROUNDUP(X957,0),"")</x:f>
      </x:c>
      <x:c r="Z957" t="str">
        <x:f>IF(ISNUMBER(T957),"Cost captured","Awaiting trade cost")</x:f>
        <x:v>Awaiting trade cost</x:v>
      </x:c>
      <x:c r="AB957" s="36" t="str">
        <x:f>IF(ISNUMBER(Y957),ROUND(Y957*0.9,2),"")</x:f>
      </x:c>
      <x:c r="AC957" s="36" t="str">
        <x:f>IF(ISNUMBER(AB957),ROUND(AB957-(AB957*0.015+0.2)-V957,2),"")</x:f>
      </x:c>
      <x:c r="AD957" s="36" t="str">
        <x:f>IF(ISNUMBER(Y957),ROUND(Y957*0.8,2),"")</x:f>
      </x:c>
      <x:c r="AE957" s="36" t="str">
        <x:f>IF(ISNUMBER(AD957),ROUND(AD957*0.015+0.2,2),"")</x:f>
      </x:c>
      <x:c r="AF957" s="36" t="str">
        <x:f>IF(ISNUMBER(AD957),ROUND(AD957-AE957-V957,2),"")</x:f>
      </x:c>
      <x:c r="AG957" t="str">
        <x:f>IF(NOT(ISNUMBER(T957)),"PENDING",IF(AF957&gt;0,"PASS","FAIL"))</x:f>
        <x:v>PENDING</x:v>
      </x:c>
      <x:c r="AH957" t="str">
        <x:f>IF(NOT(ISNUMBER(T957)),"Needs supplier cost",IF(K957&lt;&gt;"In stock","Supplier unavailable",IF(AG957&lt;&gt;"PASS","BLOCK - GT loss risk","Commercially protected")))</x:f>
        <x:v>Needs supplier cost</x:v>
      </x:c>
      <x:c r="AI957" t="str">
        <x:v>2026-09-10 Active Sports trade capture</x:v>
      </x:c>
      <x:c r="AJ957" t="str">
        <x:v>Management-only economics. Stripe stress test uses 1.5% + £0.20 standard UK online-card fee; pallet/mix-and-match pricing ignored.</x:v>
      </x:c>
    </x:row>
    <x:row r="958">
      <x:c r="A958" t="str">
        <x:v>Active Sports Nutrition</x:v>
      </x:c>
      <x:c r="B958" t="str">
        <x:v>DNA Sports</x:v>
      </x:c>
      <x:c r="C958" t="str">
        <x:v>Whey Protein</x:v>
      </x:c>
      <x:c r="D958" t="str">
        <x:v>Supplements</x:v>
      </x:c>
      <x:c r="E958" t="str">
        <x:v>Whey Protein</x:v>
      </x:c>
      <x:c r="F958" t="str"/>
      <x:c r="G958" t="str">
        <x:v>2kg</x:v>
      </x:c>
      <x:c r="H958" t="str">
        <x:v>Caramel Biscuit Spread</x:v>
      </x:c>
      <x:c r="I958" t="str"/>
      <x:c r="J958" t="str">
        <x:v>Unit</x:v>
      </x:c>
      <x:c r="K958" t="str">
        <x:v>Out of stock</x:v>
      </x:c>
      <x:c r="L958" t="str">
        <x:v>2026-09-08</x:v>
      </x:c>
      <x:c r="M958" t="str"/>
      <x:c r="N958" t="str"/>
      <x:c r="O958" t="str">
        <x:v>https://www.activesportstrade.co.uk/dna-sports-trade</x:v>
      </x:c>
      <x:c r="P958" t="str">
        <x:v>SPECIAL OFFER wording removed.</x:v>
      </x:c>
      <x:c r="Q958" t="str"/>
      <x:c r="R958" t="str"/>
      <x:c r="S958" t="str">
        <x:v>Pending genuine supplier/brand image</x:v>
      </x:c>
      <x:c r="T958" s="54"/>
      <x:c r="U958" s="47" t="n">
        <x:v>0.2</x:v>
      </x:c>
      <x:c r="V958" s="54" t="str">
        <x:f>IF(ISNUMBER(T958),T958*(1+U958),"")</x:f>
      </x:c>
      <x:c r="W958" s="47" t="n">
        <x:v>0.3</x:v>
      </x:c>
      <x:c r="X958" s="54" t="str">
        <x:f>IF(ISNUMBER(V958),V958/(1-W958),"")</x:f>
      </x:c>
      <x:c r="Y958" s="55" t="str">
        <x:f>IF(ISNUMBER(X958),ROUNDUP(X958,0),"")</x:f>
      </x:c>
      <x:c r="Z958" t="str">
        <x:f>IF(ISNUMBER(T958),"Cost captured","Awaiting trade cost")</x:f>
        <x:v>Awaiting trade cost</x:v>
      </x:c>
      <x:c r="AB958" s="36" t="str">
        <x:f>IF(ISNUMBER(Y958),ROUND(Y958*0.9,2),"")</x:f>
      </x:c>
      <x:c r="AC958" s="36" t="str">
        <x:f>IF(ISNUMBER(AB958),ROUND(AB958-(AB958*0.015+0.2)-V958,2),"")</x:f>
      </x:c>
      <x:c r="AD958" s="36" t="str">
        <x:f>IF(ISNUMBER(Y958),ROUND(Y958*0.8,2),"")</x:f>
      </x:c>
      <x:c r="AE958" s="36" t="str">
        <x:f>IF(ISNUMBER(AD958),ROUND(AD958*0.015+0.2,2),"")</x:f>
      </x:c>
      <x:c r="AF958" s="36" t="str">
        <x:f>IF(ISNUMBER(AD958),ROUND(AD958-AE958-V958,2),"")</x:f>
      </x:c>
      <x:c r="AG958" t="str">
        <x:f>IF(NOT(ISNUMBER(T958)),"PENDING",IF(AF958&gt;0,"PASS","FAIL"))</x:f>
        <x:v>PENDING</x:v>
      </x:c>
      <x:c r="AH958" t="str">
        <x:f>IF(NOT(ISNUMBER(T958)),"Needs supplier cost",IF(K958&lt;&gt;"In stock","Supplier unavailable",IF(AG958&lt;&gt;"PASS","BLOCK - GT loss risk","Commercially protected")))</x:f>
        <x:v>Needs supplier cost</x:v>
      </x:c>
      <x:c r="AI958" t="str">
        <x:v>2026-09-10 Active Sports trade capture</x:v>
      </x:c>
      <x:c r="AJ958" t="str">
        <x:v>Management-only economics. Stripe stress test uses 1.5% + £0.20 standard UK online-card fee; pallet/mix-and-match pricing ignored.</x:v>
      </x:c>
    </x:row>
    <x:row r="959">
      <x:c r="A959" t="str">
        <x:v>Active Sports Nutrition</x:v>
      </x:c>
      <x:c r="B959" t="str">
        <x:v>DNA Sports</x:v>
      </x:c>
      <x:c r="C959" t="str">
        <x:v>Whey Protein</x:v>
      </x:c>
      <x:c r="D959" t="str">
        <x:v>Supplements</x:v>
      </x:c>
      <x:c r="E959" t="str">
        <x:v>Whey Protein</x:v>
      </x:c>
      <x:c r="F959" t="str"/>
      <x:c r="G959" t="str">
        <x:v>2kg</x:v>
      </x:c>
      <x:c r="H959" t="str">
        <x:v>Cereal Milk</x:v>
      </x:c>
      <x:c r="I959" t="str"/>
      <x:c r="J959" t="str">
        <x:v>Unit</x:v>
      </x:c>
      <x:c r="K959" t="str">
        <x:v>In stock</x:v>
      </x:c>
      <x:c r="L959" t="str">
        <x:v>2026-09-08</x:v>
      </x:c>
      <x:c r="M959" t="str"/>
      <x:c r="N959" t="str"/>
      <x:c r="O959" t="str">
        <x:v>https://www.activesportstrade.co.uk/dna-sports-trade</x:v>
      </x:c>
      <x:c r="P959" t="str">
        <x:v>SPECIAL OFFER wording removed.</x:v>
      </x:c>
      <x:c r="Q959" t="str"/>
      <x:c r="R959" t="str"/>
      <x:c r="S959" t="str">
        <x:v>Pending genuine supplier/brand image</x:v>
      </x:c>
      <x:c r="T959" s="54"/>
      <x:c r="U959" s="47" t="n">
        <x:v>0.2</x:v>
      </x:c>
      <x:c r="V959" s="54" t="str">
        <x:f>IF(ISNUMBER(T959),T959*(1+U959),"")</x:f>
      </x:c>
      <x:c r="W959" s="47" t="n">
        <x:v>0.3</x:v>
      </x:c>
      <x:c r="X959" s="54" t="str">
        <x:f>IF(ISNUMBER(V959),V959/(1-W959),"")</x:f>
      </x:c>
      <x:c r="Y959" s="55" t="str">
        <x:f>IF(ISNUMBER(X959),ROUNDUP(X959,0),"")</x:f>
      </x:c>
      <x:c r="Z959" t="str">
        <x:f>IF(ISNUMBER(T959),"Cost captured","Awaiting trade cost")</x:f>
        <x:v>Awaiting trade cost</x:v>
      </x:c>
      <x:c r="AB959" s="36" t="str">
        <x:f>IF(ISNUMBER(Y959),ROUND(Y959*0.9,2),"")</x:f>
      </x:c>
      <x:c r="AC959" s="36" t="str">
        <x:f>IF(ISNUMBER(AB959),ROUND(AB959-(AB959*0.015+0.2)-V959,2),"")</x:f>
      </x:c>
      <x:c r="AD959" s="36" t="str">
        <x:f>IF(ISNUMBER(Y959),ROUND(Y959*0.8,2),"")</x:f>
      </x:c>
      <x:c r="AE959" s="36" t="str">
        <x:f>IF(ISNUMBER(AD959),ROUND(AD959*0.015+0.2,2),"")</x:f>
      </x:c>
      <x:c r="AF959" s="36" t="str">
        <x:f>IF(ISNUMBER(AD959),ROUND(AD959-AE959-V959,2),"")</x:f>
      </x:c>
      <x:c r="AG959" t="str">
        <x:f>IF(NOT(ISNUMBER(T959)),"PENDING",IF(AF959&gt;0,"PASS","FAIL"))</x:f>
        <x:v>PENDING</x:v>
      </x:c>
      <x:c r="AH959" t="str">
        <x:f>IF(NOT(ISNUMBER(T959)),"Needs supplier cost",IF(K959&lt;&gt;"In stock","Supplier unavailable",IF(AG959&lt;&gt;"PASS","BLOCK - GT loss risk","Commercially protected")))</x:f>
        <x:v>Needs supplier cost</x:v>
      </x:c>
      <x:c r="AI959" t="str">
        <x:v>2026-09-10 Active Sports trade capture</x:v>
      </x:c>
      <x:c r="AJ959" t="str">
        <x:v>Management-only economics. Stripe stress test uses 1.5% + £0.20 standard UK online-card fee; pallet/mix-and-match pricing ignored.</x:v>
      </x:c>
    </x:row>
    <x:row r="960">
      <x:c r="A960" t="str">
        <x:v>Active Sports Nutrition</x:v>
      </x:c>
      <x:c r="B960" t="str">
        <x:v>DNA Sports</x:v>
      </x:c>
      <x:c r="C960" t="str">
        <x:v>Whey Protein</x:v>
      </x:c>
      <x:c r="D960" t="str">
        <x:v>Supplements</x:v>
      </x:c>
      <x:c r="E960" t="str">
        <x:v>Whey Protein</x:v>
      </x:c>
      <x:c r="F960" t="str"/>
      <x:c r="G960" t="str">
        <x:v>2kg</x:v>
      </x:c>
      <x:c r="H960" t="str">
        <x:v>Double Chocolate Cake</x:v>
      </x:c>
      <x:c r="I960" t="str"/>
      <x:c r="J960" t="str">
        <x:v>Unit</x:v>
      </x:c>
      <x:c r="K960" t="str">
        <x:v>Out of stock</x:v>
      </x:c>
      <x:c r="L960" t="str">
        <x:v>2026-09-08</x:v>
      </x:c>
      <x:c r="M960" t="str"/>
      <x:c r="N960" t="str"/>
      <x:c r="O960" t="str">
        <x:v>https://www.activesportstrade.co.uk/dna-sports-trade</x:v>
      </x:c>
      <x:c r="P960" t="str">
        <x:v>SPECIAL OFFER wording removed.</x:v>
      </x:c>
      <x:c r="Q960" t="str"/>
      <x:c r="R960" t="str"/>
      <x:c r="S960" t="str">
        <x:v>Pending genuine supplier/brand image</x:v>
      </x:c>
      <x:c r="T960" s="54"/>
      <x:c r="U960" s="47" t="n">
        <x:v>0.2</x:v>
      </x:c>
      <x:c r="V960" s="54" t="str">
        <x:f>IF(ISNUMBER(T960),T960*(1+U960),"")</x:f>
      </x:c>
      <x:c r="W960" s="47" t="n">
        <x:v>0.3</x:v>
      </x:c>
      <x:c r="X960" s="54" t="str">
        <x:f>IF(ISNUMBER(V960),V960/(1-W960),"")</x:f>
      </x:c>
      <x:c r="Y960" s="55" t="str">
        <x:f>IF(ISNUMBER(X960),ROUNDUP(X960,0),"")</x:f>
      </x:c>
      <x:c r="Z960" t="str">
        <x:f>IF(ISNUMBER(T960),"Cost captured","Awaiting trade cost")</x:f>
        <x:v>Awaiting trade cost</x:v>
      </x:c>
      <x:c r="AB960" s="36" t="str">
        <x:f>IF(ISNUMBER(Y960),ROUND(Y960*0.9,2),"")</x:f>
      </x:c>
      <x:c r="AC960" s="36" t="str">
        <x:f>IF(ISNUMBER(AB960),ROUND(AB960-(AB960*0.015+0.2)-V960,2),"")</x:f>
      </x:c>
      <x:c r="AD960" s="36" t="str">
        <x:f>IF(ISNUMBER(Y960),ROUND(Y960*0.8,2),"")</x:f>
      </x:c>
      <x:c r="AE960" s="36" t="str">
        <x:f>IF(ISNUMBER(AD960),ROUND(AD960*0.015+0.2,2),"")</x:f>
      </x:c>
      <x:c r="AF960" s="36" t="str">
        <x:f>IF(ISNUMBER(AD960),ROUND(AD960-AE960-V960,2),"")</x:f>
      </x:c>
      <x:c r="AG960" t="str">
        <x:f>IF(NOT(ISNUMBER(T960)),"PENDING",IF(AF960&gt;0,"PASS","FAIL"))</x:f>
        <x:v>PENDING</x:v>
      </x:c>
      <x:c r="AH960" t="str">
        <x:f>IF(NOT(ISNUMBER(T960)),"Needs supplier cost",IF(K960&lt;&gt;"In stock","Supplier unavailable",IF(AG960&lt;&gt;"PASS","BLOCK - GT loss risk","Commercially protected")))</x:f>
        <x:v>Needs supplier cost</x:v>
      </x:c>
      <x:c r="AI960" t="str">
        <x:v>2026-09-10 Active Sports trade capture</x:v>
      </x:c>
      <x:c r="AJ960" t="str">
        <x:v>Management-only economics. Stripe stress test uses 1.5% + £0.20 standard UK online-card fee; pallet/mix-and-match pricing ignored.</x:v>
      </x:c>
    </x:row>
    <x:row r="961">
      <x:c r="A961" t="str">
        <x:v>Active Sports Nutrition</x:v>
      </x:c>
      <x:c r="B961" t="str">
        <x:v>DNA Sports</x:v>
      </x:c>
      <x:c r="C961" t="str">
        <x:v>Whey Protein</x:v>
      </x:c>
      <x:c r="D961" t="str">
        <x:v>Supplements</x:v>
      </x:c>
      <x:c r="E961" t="str">
        <x:v>Whey Protein</x:v>
      </x:c>
      <x:c r="F961" t="str"/>
      <x:c r="G961" t="str">
        <x:v>2kg</x:v>
      </x:c>
      <x:c r="H961" t="str">
        <x:v>Jam Doughnut</x:v>
      </x:c>
      <x:c r="I961" t="str"/>
      <x:c r="J961" t="str">
        <x:v>Unit</x:v>
      </x:c>
      <x:c r="K961" t="str">
        <x:v>Out of stock</x:v>
      </x:c>
      <x:c r="L961" t="str">
        <x:v>2026-09-08</x:v>
      </x:c>
      <x:c r="M961" t="str"/>
      <x:c r="N961" t="str"/>
      <x:c r="O961" t="str">
        <x:v>https://www.activesportstrade.co.uk/dna-sports-trade</x:v>
      </x:c>
      <x:c r="P961" t="str">
        <x:v>SPECIAL OFFER wording removed.</x:v>
      </x:c>
      <x:c r="Q961" t="str"/>
      <x:c r="R961" t="str"/>
      <x:c r="S961" t="str">
        <x:v>Pending genuine supplier/brand image</x:v>
      </x:c>
      <x:c r="T961" s="54"/>
      <x:c r="U961" s="47" t="n">
        <x:v>0.2</x:v>
      </x:c>
      <x:c r="V961" s="54" t="str">
        <x:f>IF(ISNUMBER(T961),T961*(1+U961),"")</x:f>
      </x:c>
      <x:c r="W961" s="47" t="n">
        <x:v>0.3</x:v>
      </x:c>
      <x:c r="X961" s="54" t="str">
        <x:f>IF(ISNUMBER(V961),V961/(1-W961),"")</x:f>
      </x:c>
      <x:c r="Y961" s="55" t="str">
        <x:f>IF(ISNUMBER(X961),ROUNDUP(X961,0),"")</x:f>
      </x:c>
      <x:c r="Z961" t="str">
        <x:f>IF(ISNUMBER(T961),"Cost captured","Awaiting trade cost")</x:f>
        <x:v>Awaiting trade cost</x:v>
      </x:c>
      <x:c r="AB961" s="36" t="str">
        <x:f>IF(ISNUMBER(Y961),ROUND(Y961*0.9,2),"")</x:f>
      </x:c>
      <x:c r="AC961" s="36" t="str">
        <x:f>IF(ISNUMBER(AB961),ROUND(AB961-(AB961*0.015+0.2)-V961,2),"")</x:f>
      </x:c>
      <x:c r="AD961" s="36" t="str">
        <x:f>IF(ISNUMBER(Y961),ROUND(Y961*0.8,2),"")</x:f>
      </x:c>
      <x:c r="AE961" s="36" t="str">
        <x:f>IF(ISNUMBER(AD961),ROUND(AD961*0.015+0.2,2),"")</x:f>
      </x:c>
      <x:c r="AF961" s="36" t="str">
        <x:f>IF(ISNUMBER(AD961),ROUND(AD961-AE961-V961,2),"")</x:f>
      </x:c>
      <x:c r="AG961" t="str">
        <x:f>IF(NOT(ISNUMBER(T961)),"PENDING",IF(AF961&gt;0,"PASS","FAIL"))</x:f>
        <x:v>PENDING</x:v>
      </x:c>
      <x:c r="AH961" t="str">
        <x:f>IF(NOT(ISNUMBER(T961)),"Needs supplier cost",IF(K961&lt;&gt;"In stock","Supplier unavailable",IF(AG961&lt;&gt;"PASS","BLOCK - GT loss risk","Commercially protected")))</x:f>
        <x:v>Needs supplier cost</x:v>
      </x:c>
      <x:c r="AI961" t="str">
        <x:v>2026-09-10 Active Sports trade capture</x:v>
      </x:c>
      <x:c r="AJ961" t="str">
        <x:v>Management-only economics. Stripe stress test uses 1.5% + £0.20 standard UK online-card fee; pallet/mix-and-match pricing ignored.</x:v>
      </x:c>
    </x:row>
    <x:row r="962">
      <x:c r="A962" t="str">
        <x:v>Active Sports Nutrition</x:v>
      </x:c>
      <x:c r="B962" t="str">
        <x:v>DNA Sports</x:v>
      </x:c>
      <x:c r="C962" t="str">
        <x:v>Whey Protein</x:v>
      </x:c>
      <x:c r="D962" t="str">
        <x:v>Supplements</x:v>
      </x:c>
      <x:c r="E962" t="str">
        <x:v>Whey Protein</x:v>
      </x:c>
      <x:c r="F962" t="str"/>
      <x:c r="G962" t="str">
        <x:v>2kg</x:v>
      </x:c>
      <x:c r="H962" t="str">
        <x:v>Vanilla Ice Cream</x:v>
      </x:c>
      <x:c r="I962" t="str"/>
      <x:c r="J962" t="str">
        <x:v>Unit</x:v>
      </x:c>
      <x:c r="K962" t="str">
        <x:v>Out of stock</x:v>
      </x:c>
      <x:c r="L962" t="str">
        <x:v>2026-09-08</x:v>
      </x:c>
      <x:c r="M962" t="str"/>
      <x:c r="N962" t="str"/>
      <x:c r="O962" t="str">
        <x:v>https://www.activesportstrade.co.uk/dna-sports-trade</x:v>
      </x:c>
      <x:c r="P962" t="str">
        <x:v>SPECIAL OFFER wording removed.</x:v>
      </x:c>
      <x:c r="Q962" t="str"/>
      <x:c r="R962" t="str"/>
      <x:c r="S962" t="str">
        <x:v>Pending genuine supplier/brand image</x:v>
      </x:c>
      <x:c r="T962" s="54"/>
      <x:c r="U962" s="47" t="n">
        <x:v>0.2</x:v>
      </x:c>
      <x:c r="V962" s="54" t="str">
        <x:f>IF(ISNUMBER(T962),T962*(1+U962),"")</x:f>
      </x:c>
      <x:c r="W962" s="47" t="n">
        <x:v>0.3</x:v>
      </x:c>
      <x:c r="X962" s="54" t="str">
        <x:f>IF(ISNUMBER(V962),V962/(1-W962),"")</x:f>
      </x:c>
      <x:c r="Y962" s="55" t="str">
        <x:f>IF(ISNUMBER(X962),ROUNDUP(X962,0),"")</x:f>
      </x:c>
      <x:c r="Z962" t="str">
        <x:f>IF(ISNUMBER(T962),"Cost captured","Awaiting trade cost")</x:f>
        <x:v>Awaiting trade cost</x:v>
      </x:c>
      <x:c r="AB962" s="36" t="str">
        <x:f>IF(ISNUMBER(Y962),ROUND(Y962*0.9,2),"")</x:f>
      </x:c>
      <x:c r="AC962" s="36" t="str">
        <x:f>IF(ISNUMBER(AB962),ROUND(AB962-(AB962*0.015+0.2)-V962,2),"")</x:f>
      </x:c>
      <x:c r="AD962" s="36" t="str">
        <x:f>IF(ISNUMBER(Y962),ROUND(Y962*0.8,2),"")</x:f>
      </x:c>
      <x:c r="AE962" s="36" t="str">
        <x:f>IF(ISNUMBER(AD962),ROUND(AD962*0.015+0.2,2),"")</x:f>
      </x:c>
      <x:c r="AF962" s="36" t="str">
        <x:f>IF(ISNUMBER(AD962),ROUND(AD962-AE962-V962,2),"")</x:f>
      </x:c>
      <x:c r="AG962" t="str">
        <x:f>IF(NOT(ISNUMBER(T962)),"PENDING",IF(AF962&gt;0,"PASS","FAIL"))</x:f>
        <x:v>PENDING</x:v>
      </x:c>
      <x:c r="AH962" t="str">
        <x:f>IF(NOT(ISNUMBER(T962)),"Needs supplier cost",IF(K962&lt;&gt;"In stock","Supplier unavailable",IF(AG962&lt;&gt;"PASS","BLOCK - GT loss risk","Commercially protected")))</x:f>
        <x:v>Needs supplier cost</x:v>
      </x:c>
      <x:c r="AI962" t="str">
        <x:v>2026-09-10 Active Sports trade capture</x:v>
      </x:c>
      <x:c r="AJ962" t="str">
        <x:v>Management-only economics. Stripe stress test uses 1.5% + £0.20 standard UK online-card fee; pallet/mix-and-match pricing ignored.</x:v>
      </x:c>
    </x:row>
    <x:row r="963">
      <x:c r="A963" t="str">
        <x:v>Active Sports Nutrition</x:v>
      </x:c>
      <x:c r="B963" t="str">
        <x:v>Dorian Yates - DY Nutrition - Shadow Line</x:v>
      </x:c>
      <x:c r="C963" t="str">
        <x:v>#M6TEEN Explosive Pre Workout Shots</x:v>
      </x:c>
      <x:c r="D963" t="str">
        <x:v>Pre Workouts</x:v>
      </x:c>
      <x:c r="E963" t="str">
        <x:v>Shots and Ready To Drink</x:v>
      </x:c>
      <x:c r="F963" t="str"/>
      <x:c r="G963" t="str">
        <x:v>12 x 60ml bottles</x:v>
      </x:c>
      <x:c r="H963" t="str">
        <x:v>Default</x:v>
      </x:c>
      <x:c r="I963" t="str">
        <x:v>12</x:v>
      </x:c>
      <x:c r="J963" t="str">
        <x:v>Case</x:v>
      </x:c>
      <x:c r="K963" t="str">
        <x:v>Unknown</x:v>
      </x:c>
      <x:c r="L963" t="str">
        <x:v>2026-09-08</x:v>
      </x:c>
      <x:c r="M963" t="str"/>
      <x:c r="N963" t="str"/>
      <x:c r="O963" t="str">
        <x:v>https://www.activesportstrade.co.uk/dorian-yates-dy-nutrition-trade</x:v>
      </x:c>
      <x:c r="P963" t="str">
        <x:v>Current brand page exposes product but no explicit stock text in crawl; retained as Unknown rather than inventing availability.</x:v>
      </x:c>
      <x:c r="Q963" t="str"/>
      <x:c r="R963" t="str"/>
      <x:c r="S963" t="str">
        <x:v>Pending genuine supplier/brand image</x:v>
      </x:c>
      <x:c r="T963" s="54"/>
      <x:c r="U963" s="47" t="n">
        <x:v>0.2</x:v>
      </x:c>
      <x:c r="V963" s="54" t="str">
        <x:f>IF(ISNUMBER(T963),T963*(1+U963),"")</x:f>
      </x:c>
      <x:c r="W963" s="47" t="n">
        <x:v>0.3</x:v>
      </x:c>
      <x:c r="X963" s="54" t="str">
        <x:f>IF(ISNUMBER(V963),V963/(1-W963),"")</x:f>
      </x:c>
      <x:c r="Y963" s="55" t="str">
        <x:f>IF(ISNUMBER(X963),ROUNDUP(X963,0),"")</x:f>
      </x:c>
      <x:c r="Z963" t="str">
        <x:f>IF(ISNUMBER(T963),"Cost captured","Awaiting trade cost")</x:f>
        <x:v>Awaiting trade cost</x:v>
      </x:c>
      <x:c r="AB963" s="36" t="str">
        <x:f>IF(ISNUMBER(Y963),ROUND(Y963*0.9,2),"")</x:f>
      </x:c>
      <x:c r="AC963" s="36" t="str">
        <x:f>IF(ISNUMBER(AB963),ROUND(AB963-(AB963*0.015+0.2)-V963,2),"")</x:f>
      </x:c>
      <x:c r="AD963" s="36" t="str">
        <x:f>IF(ISNUMBER(Y963),ROUND(Y963*0.8,2),"")</x:f>
      </x:c>
      <x:c r="AE963" s="36" t="str">
        <x:f>IF(ISNUMBER(AD963),ROUND(AD963*0.015+0.2,2),"")</x:f>
      </x:c>
      <x:c r="AF963" s="36" t="str">
        <x:f>IF(ISNUMBER(AD963),ROUND(AD963-AE963-V963,2),"")</x:f>
      </x:c>
      <x:c r="AG963" t="str">
        <x:f>IF(NOT(ISNUMBER(T963)),"PENDING",IF(AF963&gt;0,"PASS","FAIL"))</x:f>
        <x:v>PENDING</x:v>
      </x:c>
      <x:c r="AH963" t="str">
        <x:f>IF(NOT(ISNUMBER(T963)),"Needs supplier cost",IF(K963&lt;&gt;"In stock","Supplier unavailable",IF(AG963&lt;&gt;"PASS","BLOCK - GT loss risk","Commercially protected")))</x:f>
        <x:v>Needs supplier cost</x:v>
      </x:c>
      <x:c r="AI963" t="str">
        <x:v>2026-09-10 Active Sports trade capture</x:v>
      </x:c>
      <x:c r="AJ963" t="str">
        <x:v>Management-only economics. Stripe stress test uses 1.5% + £0.20 standard UK online-card fee; pallet/mix-and-match pricing ignored.</x:v>
      </x:c>
    </x:row>
    <x:row r="964">
      <x:c r="A964" t="str">
        <x:v>Active Sports Nutrition</x:v>
      </x:c>
      <x:c r="B964" t="str">
        <x:v>Dorian Yates - DY Nutrition - Shadow Line</x:v>
      </x:c>
      <x:c r="C964" t="str">
        <x:v>Vitamin C Plus</x:v>
      </x:c>
      <x:c r="D964" t="str">
        <x:v>Supplements</x:v>
      </x:c>
      <x:c r="E964" t="str">
        <x:v>Vitamins</x:v>
      </x:c>
      <x:c r="F964" t="str"/>
      <x:c r="G964" t="str">
        <x:v>60 tabs</x:v>
      </x:c>
      <x:c r="H964" t="str">
        <x:v>Default</x:v>
      </x:c>
      <x:c r="I964" t="str"/>
      <x:c r="J964" t="str">
        <x:v>Unit</x:v>
      </x:c>
      <x:c r="K964" t="str">
        <x:v>In stock</x:v>
      </x:c>
      <x:c r="L964" t="str">
        <x:v>2026-09-08</x:v>
      </x:c>
      <x:c r="M964" t="str"/>
      <x:c r="N964" t="str"/>
      <x:c r="O964" t="str">
        <x:v>https://www.activesportstrade.co.uk/dorian-yates-dy-nutrition-trade</x:v>
      </x:c>
      <x:c r="P964" t="str"/>
      <x:c r="Q964" t="str"/>
      <x:c r="R964" t="str"/>
      <x:c r="S964" t="str">
        <x:v>Pending genuine supplier/brand image</x:v>
      </x:c>
      <x:c r="T964" s="54"/>
      <x:c r="U964" s="47" t="n">
        <x:v>0.2</x:v>
      </x:c>
      <x:c r="V964" s="54" t="str">
        <x:f>IF(ISNUMBER(T964),T964*(1+U964),"")</x:f>
      </x:c>
      <x:c r="W964" s="47" t="n">
        <x:v>0.3</x:v>
      </x:c>
      <x:c r="X964" s="54" t="str">
        <x:f>IF(ISNUMBER(V964),V964/(1-W964),"")</x:f>
      </x:c>
      <x:c r="Y964" s="55" t="str">
        <x:f>IF(ISNUMBER(X964),ROUNDUP(X964,0),"")</x:f>
      </x:c>
      <x:c r="Z964" t="str">
        <x:f>IF(ISNUMBER(T964),"Cost captured","Awaiting trade cost")</x:f>
        <x:v>Awaiting trade cost</x:v>
      </x:c>
      <x:c r="AB964" s="36" t="str">
        <x:f>IF(ISNUMBER(Y964),ROUND(Y964*0.9,2),"")</x:f>
      </x:c>
      <x:c r="AC964" s="36" t="str">
        <x:f>IF(ISNUMBER(AB964),ROUND(AB964-(AB964*0.015+0.2)-V964,2),"")</x:f>
      </x:c>
      <x:c r="AD964" s="36" t="str">
        <x:f>IF(ISNUMBER(Y964),ROUND(Y964*0.8,2),"")</x:f>
      </x:c>
      <x:c r="AE964" s="36" t="str">
        <x:f>IF(ISNUMBER(AD964),ROUND(AD964*0.015+0.2,2),"")</x:f>
      </x:c>
      <x:c r="AF964" s="36" t="str">
        <x:f>IF(ISNUMBER(AD964),ROUND(AD964-AE964-V964,2),"")</x:f>
      </x:c>
      <x:c r="AG964" t="str">
        <x:f>IF(NOT(ISNUMBER(T964)),"PENDING",IF(AF964&gt;0,"PASS","FAIL"))</x:f>
        <x:v>PENDING</x:v>
      </x:c>
      <x:c r="AH964" t="str">
        <x:f>IF(NOT(ISNUMBER(T964)),"Needs supplier cost",IF(K964&lt;&gt;"In stock","Supplier unavailable",IF(AG964&lt;&gt;"PASS","BLOCK - GT loss risk","Commercially protected")))</x:f>
        <x:v>Needs supplier cost</x:v>
      </x:c>
      <x:c r="AI964" t="str">
        <x:v>2026-09-10 Active Sports trade capture</x:v>
      </x:c>
      <x:c r="AJ964" t="str">
        <x:v>Management-only economics. Stripe stress test uses 1.5% + £0.20 standard UK online-card fee; pallet/mix-and-match pricing ignored.</x:v>
      </x:c>
    </x:row>
    <x:row r="965">
      <x:c r="A965" t="str">
        <x:v>Active Sports Nutrition</x:v>
      </x:c>
      <x:c r="B965" t="str">
        <x:v>Dorian Yates - DY Nutrition - Shadow Line</x:v>
      </x:c>
      <x:c r="C965" t="str">
        <x:v>Whey Complex Tempro</x:v>
      </x:c>
      <x:c r="D965" t="str">
        <x:v>Supplements</x:v>
      </x:c>
      <x:c r="E965" t="str">
        <x:v>Protein Blends</x:v>
      </x:c>
      <x:c r="F965" t="str"/>
      <x:c r="G965" t="str">
        <x:v>2.27kg</x:v>
      </x:c>
      <x:c r="H965" t="str">
        <x:v>Banana Ice Cream</x:v>
      </x:c>
      <x:c r="I965" t="str"/>
      <x:c r="J965" t="str">
        <x:v>Unit</x:v>
      </x:c>
      <x:c r="K965" t="str">
        <x:v>Out of stock</x:v>
      </x:c>
      <x:c r="L965" t="str">
        <x:v>2026-09-08</x:v>
      </x:c>
      <x:c r="M965" t="str"/>
      <x:c r="N965" t="str"/>
      <x:c r="O965" t="str">
        <x:v>https://www.activesportstrade.co.uk/dorian-yates-dy-nutrition-trade</x:v>
      </x:c>
      <x:c r="P965" t="str">
        <x:v>SPECIAL OFFER / FREE SHAKER wording removed; fresher brand page used.</x:v>
      </x:c>
      <x:c r="Q965" t="str"/>
      <x:c r="R965" t="str"/>
      <x:c r="S965" t="str">
        <x:v>Pending genuine supplier/brand image</x:v>
      </x:c>
      <x:c r="T965" s="54"/>
      <x:c r="U965" s="47" t="n">
        <x:v>0.2</x:v>
      </x:c>
      <x:c r="V965" s="54" t="str">
        <x:f>IF(ISNUMBER(T965),T965*(1+U965),"")</x:f>
      </x:c>
      <x:c r="W965" s="47" t="n">
        <x:v>0.3</x:v>
      </x:c>
      <x:c r="X965" s="54" t="str">
        <x:f>IF(ISNUMBER(V965),V965/(1-W965),"")</x:f>
      </x:c>
      <x:c r="Y965" s="55" t="str">
        <x:f>IF(ISNUMBER(X965),ROUNDUP(X965,0),"")</x:f>
      </x:c>
      <x:c r="Z965" t="str">
        <x:f>IF(ISNUMBER(T965),"Cost captured","Awaiting trade cost")</x:f>
        <x:v>Awaiting trade cost</x:v>
      </x:c>
      <x:c r="AB965" s="36" t="str">
        <x:f>IF(ISNUMBER(Y965),ROUND(Y965*0.9,2),"")</x:f>
      </x:c>
      <x:c r="AC965" s="36" t="str">
        <x:f>IF(ISNUMBER(AB965),ROUND(AB965-(AB965*0.015+0.2)-V965,2),"")</x:f>
      </x:c>
      <x:c r="AD965" s="36" t="str">
        <x:f>IF(ISNUMBER(Y965),ROUND(Y965*0.8,2),"")</x:f>
      </x:c>
      <x:c r="AE965" s="36" t="str">
        <x:f>IF(ISNUMBER(AD965),ROUND(AD965*0.015+0.2,2),"")</x:f>
      </x:c>
      <x:c r="AF965" s="36" t="str">
        <x:f>IF(ISNUMBER(AD965),ROUND(AD965-AE965-V965,2),"")</x:f>
      </x:c>
      <x:c r="AG965" t="str">
        <x:f>IF(NOT(ISNUMBER(T965)),"PENDING",IF(AF965&gt;0,"PASS","FAIL"))</x:f>
        <x:v>PENDING</x:v>
      </x:c>
      <x:c r="AH965" t="str">
        <x:f>IF(NOT(ISNUMBER(T965)),"Needs supplier cost",IF(K965&lt;&gt;"In stock","Supplier unavailable",IF(AG965&lt;&gt;"PASS","BLOCK - GT loss risk","Commercially protected")))</x:f>
        <x:v>Needs supplier cost</x:v>
      </x:c>
      <x:c r="AI965" t="str">
        <x:v>2026-09-10 Active Sports trade capture</x:v>
      </x:c>
      <x:c r="AJ965" t="str">
        <x:v>Management-only economics. Stripe stress test uses 1.5% + £0.20 standard UK online-card fee; pallet/mix-and-match pricing ignored.</x:v>
      </x:c>
    </x:row>
    <x:row r="966">
      <x:c r="A966" t="str">
        <x:v>Active Sports Nutrition</x:v>
      </x:c>
      <x:c r="B966" t="str">
        <x:v>Dorian Yates - DY Nutrition - Shadow Line</x:v>
      </x:c>
      <x:c r="C966" t="str">
        <x:v>Whey Complex Tempro</x:v>
      </x:c>
      <x:c r="D966" t="str">
        <x:v>Supplements</x:v>
      </x:c>
      <x:c r="E966" t="str">
        <x:v>Protein Blends</x:v>
      </x:c>
      <x:c r="F966" t="str"/>
      <x:c r="G966" t="str">
        <x:v>2.27kg</x:v>
      </x:c>
      <x:c r="H966" t="str">
        <x:v>Chocolate Hazelnut Ice Cream</x:v>
      </x:c>
      <x:c r="I966" t="str"/>
      <x:c r="J966" t="str">
        <x:v>Unit</x:v>
      </x:c>
      <x:c r="K966" t="str">
        <x:v>Out of stock</x:v>
      </x:c>
      <x:c r="L966" t="str">
        <x:v>2026-09-08</x:v>
      </x:c>
      <x:c r="M966" t="str"/>
      <x:c r="N966" t="str"/>
      <x:c r="O966" t="str">
        <x:v>https://www.activesportstrade.co.uk/dorian-yates-dy-nutrition-trade</x:v>
      </x:c>
      <x:c r="P966" t="str">
        <x:v>SPECIAL OFFER / FREE SHAKER wording removed; fresher brand page used.</x:v>
      </x:c>
      <x:c r="Q966" t="str"/>
      <x:c r="R966" t="str"/>
      <x:c r="S966" t="str">
        <x:v>Pending genuine supplier/brand image</x:v>
      </x:c>
      <x:c r="T966" s="54"/>
      <x:c r="U966" s="47" t="n">
        <x:v>0.2</x:v>
      </x:c>
      <x:c r="V966" s="54" t="str">
        <x:f>IF(ISNUMBER(T966),T966*(1+U966),"")</x:f>
      </x:c>
      <x:c r="W966" s="47" t="n">
        <x:v>0.3</x:v>
      </x:c>
      <x:c r="X966" s="54" t="str">
        <x:f>IF(ISNUMBER(V966),V966/(1-W966),"")</x:f>
      </x:c>
      <x:c r="Y966" s="55" t="str">
        <x:f>IF(ISNUMBER(X966),ROUNDUP(X966,0),"")</x:f>
      </x:c>
      <x:c r="Z966" t="str">
        <x:f>IF(ISNUMBER(T966),"Cost captured","Awaiting trade cost")</x:f>
        <x:v>Awaiting trade cost</x:v>
      </x:c>
      <x:c r="AB966" s="36" t="str">
        <x:f>IF(ISNUMBER(Y966),ROUND(Y966*0.9,2),"")</x:f>
      </x:c>
      <x:c r="AC966" s="36" t="str">
        <x:f>IF(ISNUMBER(AB966),ROUND(AB966-(AB966*0.015+0.2)-V966,2),"")</x:f>
      </x:c>
      <x:c r="AD966" s="36" t="str">
        <x:f>IF(ISNUMBER(Y966),ROUND(Y966*0.8,2),"")</x:f>
      </x:c>
      <x:c r="AE966" s="36" t="str">
        <x:f>IF(ISNUMBER(AD966),ROUND(AD966*0.015+0.2,2),"")</x:f>
      </x:c>
      <x:c r="AF966" s="36" t="str">
        <x:f>IF(ISNUMBER(AD966),ROUND(AD966-AE966-V966,2),"")</x:f>
      </x:c>
      <x:c r="AG966" t="str">
        <x:f>IF(NOT(ISNUMBER(T966)),"PENDING",IF(AF966&gt;0,"PASS","FAIL"))</x:f>
        <x:v>PENDING</x:v>
      </x:c>
      <x:c r="AH966" t="str">
        <x:f>IF(NOT(ISNUMBER(T966)),"Needs supplier cost",IF(K966&lt;&gt;"In stock","Supplier unavailable",IF(AG966&lt;&gt;"PASS","BLOCK - GT loss risk","Commercially protected")))</x:f>
        <x:v>Needs supplier cost</x:v>
      </x:c>
      <x:c r="AI966" t="str">
        <x:v>2026-09-10 Active Sports trade capture</x:v>
      </x:c>
      <x:c r="AJ966" t="str">
        <x:v>Management-only economics. Stripe stress test uses 1.5% + £0.20 standard UK online-card fee; pallet/mix-and-match pricing ignored.</x:v>
      </x:c>
    </x:row>
    <x:row r="967">
      <x:c r="A967" t="str">
        <x:v>Active Sports Nutrition</x:v>
      </x:c>
      <x:c r="B967" t="str">
        <x:v>Dorian Yates - DY Nutrition - Shadow Line</x:v>
      </x:c>
      <x:c r="C967" t="str">
        <x:v>Whey Complex Tempro</x:v>
      </x:c>
      <x:c r="D967" t="str">
        <x:v>Supplements</x:v>
      </x:c>
      <x:c r="E967" t="str">
        <x:v>Protein Blends</x:v>
      </x:c>
      <x:c r="F967" t="str"/>
      <x:c r="G967" t="str">
        <x:v>2.27kg</x:v>
      </x:c>
      <x:c r="H967" t="str">
        <x:v>Classic Chocolate Ice Cream</x:v>
      </x:c>
      <x:c r="I967" t="str"/>
      <x:c r="J967" t="str">
        <x:v>Unit</x:v>
      </x:c>
      <x:c r="K967" t="str">
        <x:v>Out of stock</x:v>
      </x:c>
      <x:c r="L967" t="str">
        <x:v>2026-09-08</x:v>
      </x:c>
      <x:c r="M967" t="str"/>
      <x:c r="N967" t="str"/>
      <x:c r="O967" t="str">
        <x:v>https://www.activesportstrade.co.uk/dorian-yates-dy-nutrition-trade</x:v>
      </x:c>
      <x:c r="P967" t="str">
        <x:v>SPECIAL OFFER / FREE SHAKER wording removed; fresher brand page used.</x:v>
      </x:c>
      <x:c r="Q967" t="str"/>
      <x:c r="R967" t="str"/>
      <x:c r="S967" t="str">
        <x:v>Pending genuine supplier/brand image</x:v>
      </x:c>
      <x:c r="T967" s="54"/>
      <x:c r="U967" s="47" t="n">
        <x:v>0.2</x:v>
      </x:c>
      <x:c r="V967" s="54" t="str">
        <x:f>IF(ISNUMBER(T967),T967*(1+U967),"")</x:f>
      </x:c>
      <x:c r="W967" s="47" t="n">
        <x:v>0.3</x:v>
      </x:c>
      <x:c r="X967" s="54" t="str">
        <x:f>IF(ISNUMBER(V967),V967/(1-W967),"")</x:f>
      </x:c>
      <x:c r="Y967" s="55" t="str">
        <x:f>IF(ISNUMBER(X967),ROUNDUP(X967,0),"")</x:f>
      </x:c>
      <x:c r="Z967" t="str">
        <x:f>IF(ISNUMBER(T967),"Cost captured","Awaiting trade cost")</x:f>
        <x:v>Awaiting trade cost</x:v>
      </x:c>
      <x:c r="AB967" s="36" t="str">
        <x:f>IF(ISNUMBER(Y967),ROUND(Y967*0.9,2),"")</x:f>
      </x:c>
      <x:c r="AC967" s="36" t="str">
        <x:f>IF(ISNUMBER(AB967),ROUND(AB967-(AB967*0.015+0.2)-V967,2),"")</x:f>
      </x:c>
      <x:c r="AD967" s="36" t="str">
        <x:f>IF(ISNUMBER(Y967),ROUND(Y967*0.8,2),"")</x:f>
      </x:c>
      <x:c r="AE967" s="36" t="str">
        <x:f>IF(ISNUMBER(AD967),ROUND(AD967*0.015+0.2,2),"")</x:f>
      </x:c>
      <x:c r="AF967" s="36" t="str">
        <x:f>IF(ISNUMBER(AD967),ROUND(AD967-AE967-V967,2),"")</x:f>
      </x:c>
      <x:c r="AG967" t="str">
        <x:f>IF(NOT(ISNUMBER(T967)),"PENDING",IF(AF967&gt;0,"PASS","FAIL"))</x:f>
        <x:v>PENDING</x:v>
      </x:c>
      <x:c r="AH967" t="str">
        <x:f>IF(NOT(ISNUMBER(T967)),"Needs supplier cost",IF(K967&lt;&gt;"In stock","Supplier unavailable",IF(AG967&lt;&gt;"PASS","BLOCK - GT loss risk","Commercially protected")))</x:f>
        <x:v>Needs supplier cost</x:v>
      </x:c>
      <x:c r="AI967" t="str">
        <x:v>2026-09-10 Active Sports trade capture</x:v>
      </x:c>
      <x:c r="AJ967" t="str">
        <x:v>Management-only economics. Stripe stress test uses 1.5% + £0.20 standard UK online-card fee; pallet/mix-and-match pricing ignored.</x:v>
      </x:c>
    </x:row>
    <x:row r="968">
      <x:c r="A968" t="str">
        <x:v>Active Sports Nutrition</x:v>
      </x:c>
      <x:c r="B968" t="str">
        <x:v>Dorian Yates - DY Nutrition - Shadow Line</x:v>
      </x:c>
      <x:c r="C968" t="str">
        <x:v>Whey Complex Tempro</x:v>
      </x:c>
      <x:c r="D968" t="str">
        <x:v>Supplements</x:v>
      </x:c>
      <x:c r="E968" t="str">
        <x:v>Protein Blends</x:v>
      </x:c>
      <x:c r="F968" t="str"/>
      <x:c r="G968" t="str">
        <x:v>2.27kg</x:v>
      </x:c>
      <x:c r="H968" t="str">
        <x:v>Coconut Milk</x:v>
      </x:c>
      <x:c r="I968" t="str"/>
      <x:c r="J968" t="str">
        <x:v>Unit</x:v>
      </x:c>
      <x:c r="K968" t="str">
        <x:v>In stock</x:v>
      </x:c>
      <x:c r="L968" t="str">
        <x:v>2026-09-08</x:v>
      </x:c>
      <x:c r="M968" t="str"/>
      <x:c r="N968" t="str"/>
      <x:c r="O968" t="str">
        <x:v>https://www.activesportstrade.co.uk/dorian-yates-dy-nutrition-trade</x:v>
      </x:c>
      <x:c r="P968" t="str">
        <x:v>SPECIAL OFFER / FREE SHAKER wording removed; fresher brand page used.</x:v>
      </x:c>
      <x:c r="Q968" t="str"/>
      <x:c r="R968" t="str"/>
      <x:c r="S968" t="str">
        <x:v>Pending genuine supplier/brand image</x:v>
      </x:c>
      <x:c r="T968" s="54"/>
      <x:c r="U968" s="47" t="n">
        <x:v>0.2</x:v>
      </x:c>
      <x:c r="V968" s="54" t="str">
        <x:f>IF(ISNUMBER(T968),T968*(1+U968),"")</x:f>
      </x:c>
      <x:c r="W968" s="47" t="n">
        <x:v>0.3</x:v>
      </x:c>
      <x:c r="X968" s="54" t="str">
        <x:f>IF(ISNUMBER(V968),V968/(1-W968),"")</x:f>
      </x:c>
      <x:c r="Y968" s="55" t="str">
        <x:f>IF(ISNUMBER(X968),ROUNDUP(X968,0),"")</x:f>
      </x:c>
      <x:c r="Z968" t="str">
        <x:f>IF(ISNUMBER(T968),"Cost captured","Awaiting trade cost")</x:f>
        <x:v>Awaiting trade cost</x:v>
      </x:c>
      <x:c r="AB968" s="36" t="str">
        <x:f>IF(ISNUMBER(Y968),ROUND(Y968*0.9,2),"")</x:f>
      </x:c>
      <x:c r="AC968" s="36" t="str">
        <x:f>IF(ISNUMBER(AB968),ROUND(AB968-(AB968*0.015+0.2)-V968,2),"")</x:f>
      </x:c>
      <x:c r="AD968" s="36" t="str">
        <x:f>IF(ISNUMBER(Y968),ROUND(Y968*0.8,2),"")</x:f>
      </x:c>
      <x:c r="AE968" s="36" t="str">
        <x:f>IF(ISNUMBER(AD968),ROUND(AD968*0.015+0.2,2),"")</x:f>
      </x:c>
      <x:c r="AF968" s="36" t="str">
        <x:f>IF(ISNUMBER(AD968),ROUND(AD968-AE968-V968,2),"")</x:f>
      </x:c>
      <x:c r="AG968" t="str">
        <x:f>IF(NOT(ISNUMBER(T968)),"PENDING",IF(AF968&gt;0,"PASS","FAIL"))</x:f>
        <x:v>PENDING</x:v>
      </x:c>
      <x:c r="AH968" t="str">
        <x:f>IF(NOT(ISNUMBER(T968)),"Needs supplier cost",IF(K968&lt;&gt;"In stock","Supplier unavailable",IF(AG968&lt;&gt;"PASS","BLOCK - GT loss risk","Commercially protected")))</x:f>
        <x:v>Needs supplier cost</x:v>
      </x:c>
      <x:c r="AI968" t="str">
        <x:v>2026-09-10 Active Sports trade capture</x:v>
      </x:c>
      <x:c r="AJ968" t="str">
        <x:v>Management-only economics. Stripe stress test uses 1.5% + £0.20 standard UK online-card fee; pallet/mix-and-match pricing ignored.</x:v>
      </x:c>
    </x:row>
    <x:row r="969">
      <x:c r="A969" t="str">
        <x:v>Active Sports Nutrition</x:v>
      </x:c>
      <x:c r="B969" t="str">
        <x:v>Dorian Yates - DY Nutrition - Shadow Line</x:v>
      </x:c>
      <x:c r="C969" t="str">
        <x:v>Whey Complex Tempro</x:v>
      </x:c>
      <x:c r="D969" t="str">
        <x:v>Supplements</x:v>
      </x:c>
      <x:c r="E969" t="str">
        <x:v>Protein Blends</x:v>
      </x:c>
      <x:c r="F969" t="str"/>
      <x:c r="G969" t="str">
        <x:v>2.27kg</x:v>
      </x:c>
      <x:c r="H969" t="str">
        <x:v>Juicy Peach</x:v>
      </x:c>
      <x:c r="I969" t="str"/>
      <x:c r="J969" t="str">
        <x:v>Unit</x:v>
      </x:c>
      <x:c r="K969" t="str">
        <x:v>In stock</x:v>
      </x:c>
      <x:c r="L969" t="str">
        <x:v>2026-09-08</x:v>
      </x:c>
      <x:c r="M969" t="str"/>
      <x:c r="N969" t="str"/>
      <x:c r="O969" t="str">
        <x:v>https://www.activesportstrade.co.uk/dorian-yates-dy-nutrition-trade</x:v>
      </x:c>
      <x:c r="P969" t="str">
        <x:v>SPECIAL OFFER / FREE SHAKER wording removed; fresher brand page used.</x:v>
      </x:c>
      <x:c r="Q969" t="str"/>
      <x:c r="R969" t="str"/>
      <x:c r="S969" t="str">
        <x:v>Pending genuine supplier/brand image</x:v>
      </x:c>
      <x:c r="T969" s="54"/>
      <x:c r="U969" s="47" t="n">
        <x:v>0.2</x:v>
      </x:c>
      <x:c r="V969" s="54" t="str">
        <x:f>IF(ISNUMBER(T969),T969*(1+U969),"")</x:f>
      </x:c>
      <x:c r="W969" s="47" t="n">
        <x:v>0.3</x:v>
      </x:c>
      <x:c r="X969" s="54" t="str">
        <x:f>IF(ISNUMBER(V969),V969/(1-W969),"")</x:f>
      </x:c>
      <x:c r="Y969" s="55" t="str">
        <x:f>IF(ISNUMBER(X969),ROUNDUP(X969,0),"")</x:f>
      </x:c>
      <x:c r="Z969" t="str">
        <x:f>IF(ISNUMBER(T969),"Cost captured","Awaiting trade cost")</x:f>
        <x:v>Awaiting trade cost</x:v>
      </x:c>
      <x:c r="AB969" s="36" t="str">
        <x:f>IF(ISNUMBER(Y969),ROUND(Y969*0.9,2),"")</x:f>
      </x:c>
      <x:c r="AC969" s="36" t="str">
        <x:f>IF(ISNUMBER(AB969),ROUND(AB969-(AB969*0.015+0.2)-V969,2),"")</x:f>
      </x:c>
      <x:c r="AD969" s="36" t="str">
        <x:f>IF(ISNUMBER(Y969),ROUND(Y969*0.8,2),"")</x:f>
      </x:c>
      <x:c r="AE969" s="36" t="str">
        <x:f>IF(ISNUMBER(AD969),ROUND(AD969*0.015+0.2,2),"")</x:f>
      </x:c>
      <x:c r="AF969" s="36" t="str">
        <x:f>IF(ISNUMBER(AD969),ROUND(AD969-AE969-V969,2),"")</x:f>
      </x:c>
      <x:c r="AG969" t="str">
        <x:f>IF(NOT(ISNUMBER(T969)),"PENDING",IF(AF969&gt;0,"PASS","FAIL"))</x:f>
        <x:v>PENDING</x:v>
      </x:c>
      <x:c r="AH969" t="str">
        <x:f>IF(NOT(ISNUMBER(T969)),"Needs supplier cost",IF(K969&lt;&gt;"In stock","Supplier unavailable",IF(AG969&lt;&gt;"PASS","BLOCK - GT loss risk","Commercially protected")))</x:f>
        <x:v>Needs supplier cost</x:v>
      </x:c>
      <x:c r="AI969" t="str">
        <x:v>2026-09-10 Active Sports trade capture</x:v>
      </x:c>
      <x:c r="AJ969" t="str">
        <x:v>Management-only economics. Stripe stress test uses 1.5% + £0.20 standard UK online-card fee; pallet/mix-and-match pricing ignored.</x:v>
      </x:c>
    </x:row>
    <x:row r="970">
      <x:c r="A970" t="str">
        <x:v>Active Sports Nutrition</x:v>
      </x:c>
      <x:c r="B970" t="str">
        <x:v>Dorian Yates - DY Nutrition - Shadow Line</x:v>
      </x:c>
      <x:c r="C970" t="str">
        <x:v>Whey Complex Tempro</x:v>
      </x:c>
      <x:c r="D970" t="str">
        <x:v>Supplements</x:v>
      </x:c>
      <x:c r="E970" t="str">
        <x:v>Protein Blends</x:v>
      </x:c>
      <x:c r="F970" t="str"/>
      <x:c r="G970" t="str">
        <x:v>2.27kg</x:v>
      </x:c>
      <x:c r="H970" t="str">
        <x:v>Strawberry Ice Cream</x:v>
      </x:c>
      <x:c r="I970" t="str"/>
      <x:c r="J970" t="str">
        <x:v>Unit</x:v>
      </x:c>
      <x:c r="K970" t="str">
        <x:v>In stock</x:v>
      </x:c>
      <x:c r="L970" t="str">
        <x:v>2026-09-08</x:v>
      </x:c>
      <x:c r="M970" t="str"/>
      <x:c r="N970" t="str"/>
      <x:c r="O970" t="str">
        <x:v>https://www.activesportstrade.co.uk/dorian-yates-dy-nutrition-trade</x:v>
      </x:c>
      <x:c r="P970" t="str">
        <x:v>SPECIAL OFFER / FREE SHAKER wording removed; fresher brand page used.</x:v>
      </x:c>
      <x:c r="Q970" t="str"/>
      <x:c r="R970" t="str"/>
      <x:c r="S970" t="str">
        <x:v>Pending genuine supplier/brand image</x:v>
      </x:c>
      <x:c r="T970" s="54"/>
      <x:c r="U970" s="47" t="n">
        <x:v>0.2</x:v>
      </x:c>
      <x:c r="V970" s="54" t="str">
        <x:f>IF(ISNUMBER(T970),T970*(1+U970),"")</x:f>
      </x:c>
      <x:c r="W970" s="47" t="n">
        <x:v>0.3</x:v>
      </x:c>
      <x:c r="X970" s="54" t="str">
        <x:f>IF(ISNUMBER(V970),V970/(1-W970),"")</x:f>
      </x:c>
      <x:c r="Y970" s="55" t="str">
        <x:f>IF(ISNUMBER(X970),ROUNDUP(X970,0),"")</x:f>
      </x:c>
      <x:c r="Z970" t="str">
        <x:f>IF(ISNUMBER(T970),"Cost captured","Awaiting trade cost")</x:f>
        <x:v>Awaiting trade cost</x:v>
      </x:c>
      <x:c r="AB970" s="36" t="str">
        <x:f>IF(ISNUMBER(Y970),ROUND(Y970*0.9,2),"")</x:f>
      </x:c>
      <x:c r="AC970" s="36" t="str">
        <x:f>IF(ISNUMBER(AB970),ROUND(AB970-(AB970*0.015+0.2)-V970,2),"")</x:f>
      </x:c>
      <x:c r="AD970" s="36" t="str">
        <x:f>IF(ISNUMBER(Y970),ROUND(Y970*0.8,2),"")</x:f>
      </x:c>
      <x:c r="AE970" s="36" t="str">
        <x:f>IF(ISNUMBER(AD970),ROUND(AD970*0.015+0.2,2),"")</x:f>
      </x:c>
      <x:c r="AF970" s="36" t="str">
        <x:f>IF(ISNUMBER(AD970),ROUND(AD970-AE970-V970,2),"")</x:f>
      </x:c>
      <x:c r="AG970" t="str">
        <x:f>IF(NOT(ISNUMBER(T970)),"PENDING",IF(AF970&gt;0,"PASS","FAIL"))</x:f>
        <x:v>PENDING</x:v>
      </x:c>
      <x:c r="AH970" t="str">
        <x:f>IF(NOT(ISNUMBER(T970)),"Needs supplier cost",IF(K970&lt;&gt;"In stock","Supplier unavailable",IF(AG970&lt;&gt;"PASS","BLOCK - GT loss risk","Commercially protected")))</x:f>
        <x:v>Needs supplier cost</x:v>
      </x:c>
      <x:c r="AI970" t="str">
        <x:v>2026-09-10 Active Sports trade capture</x:v>
      </x:c>
      <x:c r="AJ970" t="str">
        <x:v>Management-only economics. Stripe stress test uses 1.5% + £0.20 standard UK online-card fee; pallet/mix-and-match pricing ignored.</x:v>
      </x:c>
    </x:row>
    <x:row r="971">
      <x:c r="A971" t="str">
        <x:v>Active Sports Nutrition</x:v>
      </x:c>
      <x:c r="B971" t="str">
        <x:v>Dorian Yates - DY Nutrition - Shadow Line</x:v>
      </x:c>
      <x:c r="C971" t="str">
        <x:v>Whey Complex Tempro</x:v>
      </x:c>
      <x:c r="D971" t="str">
        <x:v>Supplements</x:v>
      </x:c>
      <x:c r="E971" t="str">
        <x:v>Protein Blends</x:v>
      </x:c>
      <x:c r="F971" t="str"/>
      <x:c r="G971" t="str">
        <x:v>2.27kg</x:v>
      </x:c>
      <x:c r="H971" t="str">
        <x:v>Vanilla Ice Cream</x:v>
      </x:c>
      <x:c r="I971" t="str"/>
      <x:c r="J971" t="str">
        <x:v>Unit</x:v>
      </x:c>
      <x:c r="K971" t="str">
        <x:v>In stock</x:v>
      </x:c>
      <x:c r="L971" t="str">
        <x:v>2026-09-08</x:v>
      </x:c>
      <x:c r="M971" t="str"/>
      <x:c r="N971" t="str"/>
      <x:c r="O971" t="str">
        <x:v>https://www.activesportstrade.co.uk/dorian-yates-dy-nutrition-trade</x:v>
      </x:c>
      <x:c r="P971" t="str">
        <x:v>SPECIAL OFFER / FREE SHAKER wording removed; fresher brand page used.</x:v>
      </x:c>
      <x:c r="Q971" t="str"/>
      <x:c r="R971" t="str"/>
      <x:c r="S971" t="str">
        <x:v>Pending genuine supplier/brand image</x:v>
      </x:c>
      <x:c r="T971" s="54"/>
      <x:c r="U971" s="47" t="n">
        <x:v>0.2</x:v>
      </x:c>
      <x:c r="V971" s="54" t="str">
        <x:f>IF(ISNUMBER(T971),T971*(1+U971),"")</x:f>
      </x:c>
      <x:c r="W971" s="47" t="n">
        <x:v>0.3</x:v>
      </x:c>
      <x:c r="X971" s="54" t="str">
        <x:f>IF(ISNUMBER(V971),V971/(1-W971),"")</x:f>
      </x:c>
      <x:c r="Y971" s="55" t="str">
        <x:f>IF(ISNUMBER(X971),ROUNDUP(X971,0),"")</x:f>
      </x:c>
      <x:c r="Z971" t="str">
        <x:f>IF(ISNUMBER(T971),"Cost captured","Awaiting trade cost")</x:f>
        <x:v>Awaiting trade cost</x:v>
      </x:c>
      <x:c r="AB971" s="36" t="str">
        <x:f>IF(ISNUMBER(Y971),ROUND(Y971*0.9,2),"")</x:f>
      </x:c>
      <x:c r="AC971" s="36" t="str">
        <x:f>IF(ISNUMBER(AB971),ROUND(AB971-(AB971*0.015+0.2)-V971,2),"")</x:f>
      </x:c>
      <x:c r="AD971" s="36" t="str">
        <x:f>IF(ISNUMBER(Y971),ROUND(Y971*0.8,2),"")</x:f>
      </x:c>
      <x:c r="AE971" s="36" t="str">
        <x:f>IF(ISNUMBER(AD971),ROUND(AD971*0.015+0.2,2),"")</x:f>
      </x:c>
      <x:c r="AF971" s="36" t="str">
        <x:f>IF(ISNUMBER(AD971),ROUND(AD971-AE971-V971,2),"")</x:f>
      </x:c>
      <x:c r="AG971" t="str">
        <x:f>IF(NOT(ISNUMBER(T971)),"PENDING",IF(AF971&gt;0,"PASS","FAIL"))</x:f>
        <x:v>PENDING</x:v>
      </x:c>
      <x:c r="AH971" t="str">
        <x:f>IF(NOT(ISNUMBER(T971)),"Needs supplier cost",IF(K971&lt;&gt;"In stock","Supplier unavailable",IF(AG971&lt;&gt;"PASS","BLOCK - GT loss risk","Commercially protected")))</x:f>
        <x:v>Needs supplier cost</x:v>
      </x:c>
      <x:c r="AI971" t="str">
        <x:v>2026-09-10 Active Sports trade capture</x:v>
      </x:c>
      <x:c r="AJ971" t="str">
        <x:v>Management-only economics. Stripe stress test uses 1.5% + £0.20 standard UK online-card fee; pallet/mix-and-match pricing ignored.</x:v>
      </x:c>
    </x:row>
    <x:row r="972">
      <x:c r="A972" t="str">
        <x:v>Active Sports Nutrition</x:v>
      </x:c>
      <x:c r="B972" t="str">
        <x:v>Dorian Yates - DY Nutrition - Shadow Line</x:v>
      </x:c>
      <x:c r="C972" t="str">
        <x:v>Yates Whey Protein Bar</x:v>
      </x:c>
      <x:c r="D972" t="str">
        <x:v>Drinks and Bars</x:v>
      </x:c>
      <x:c r="E972" t="str">
        <x:v>Bars and Snacks</x:v>
      </x:c>
      <x:c r="F972" t="str"/>
      <x:c r="G972" t="str">
        <x:v>12 bars</x:v>
      </x:c>
      <x:c r="H972" t="str">
        <x:v>Chocolate Caramel</x:v>
      </x:c>
      <x:c r="I972" t="str">
        <x:v>12</x:v>
      </x:c>
      <x:c r="J972" t="str">
        <x:v>Case</x:v>
      </x:c>
      <x:c r="K972" t="str">
        <x:v>In stock</x:v>
      </x:c>
      <x:c r="L972" t="str">
        <x:v>2026-09-08</x:v>
      </x:c>
      <x:c r="M972" t="str"/>
      <x:c r="N972" t="str"/>
      <x:c r="O972" t="str">
        <x:v>https://www.activesportstrade.co.uk/dorian-yates-dy-nutrition-trade</x:v>
      </x:c>
      <x:c r="P972" t="str"/>
      <x:c r="Q972" t="str"/>
      <x:c r="R972" t="str"/>
      <x:c r="S972" t="str">
        <x:v>Pending genuine supplier/brand image</x:v>
      </x:c>
      <x:c r="T972" s="54"/>
      <x:c r="U972" s="47" t="n">
        <x:v>0.2</x:v>
      </x:c>
      <x:c r="V972" s="54" t="str">
        <x:f>IF(ISNUMBER(T972),T972*(1+U972),"")</x:f>
      </x:c>
      <x:c r="W972" s="47" t="n">
        <x:v>0.3</x:v>
      </x:c>
      <x:c r="X972" s="54" t="str">
        <x:f>IF(ISNUMBER(V972),V972/(1-W972),"")</x:f>
      </x:c>
      <x:c r="Y972" s="55" t="str">
        <x:f>IF(ISNUMBER(X972),ROUNDUP(X972,0),"")</x:f>
      </x:c>
      <x:c r="Z972" t="str">
        <x:f>IF(ISNUMBER(T972),"Cost captured","Awaiting trade cost")</x:f>
        <x:v>Awaiting trade cost</x:v>
      </x:c>
      <x:c r="AB972" s="36" t="str">
        <x:f>IF(ISNUMBER(Y972),ROUND(Y972*0.9,2),"")</x:f>
      </x:c>
      <x:c r="AC972" s="36" t="str">
        <x:f>IF(ISNUMBER(AB972),ROUND(AB972-(AB972*0.015+0.2)-V972,2),"")</x:f>
      </x:c>
      <x:c r="AD972" s="36" t="str">
        <x:f>IF(ISNUMBER(Y972),ROUND(Y972*0.8,2),"")</x:f>
      </x:c>
      <x:c r="AE972" s="36" t="str">
        <x:f>IF(ISNUMBER(AD972),ROUND(AD972*0.015+0.2,2),"")</x:f>
      </x:c>
      <x:c r="AF972" s="36" t="str">
        <x:f>IF(ISNUMBER(AD972),ROUND(AD972-AE972-V972,2),"")</x:f>
      </x:c>
      <x:c r="AG972" t="str">
        <x:f>IF(NOT(ISNUMBER(T972)),"PENDING",IF(AF972&gt;0,"PASS","FAIL"))</x:f>
        <x:v>PENDING</x:v>
      </x:c>
      <x:c r="AH972" t="str">
        <x:f>IF(NOT(ISNUMBER(T972)),"Needs supplier cost",IF(K972&lt;&gt;"In stock","Supplier unavailable",IF(AG972&lt;&gt;"PASS","BLOCK - GT loss risk","Commercially protected")))</x:f>
        <x:v>Needs supplier cost</x:v>
      </x:c>
      <x:c r="AI972" t="str">
        <x:v>2026-09-10 Active Sports trade capture</x:v>
      </x:c>
      <x:c r="AJ972" t="str">
        <x:v>Management-only economics. Stripe stress test uses 1.5% + £0.20 standard UK online-card fee; pallet/mix-and-match pricing ignored.</x:v>
      </x:c>
    </x:row>
    <x:row r="973">
      <x:c r="A973" t="str">
        <x:v>Active Sports Nutrition</x:v>
      </x:c>
      <x:c r="B973" t="str">
        <x:v>Dorian Yates - DY Nutrition - Shadow Line</x:v>
      </x:c>
      <x:c r="C973" t="str">
        <x:v>Yates Whey Protein Bar</x:v>
      </x:c>
      <x:c r="D973" t="str">
        <x:v>Drinks and Bars</x:v>
      </x:c>
      <x:c r="E973" t="str">
        <x:v>Bars and Snacks</x:v>
      </x:c>
      <x:c r="F973" t="str"/>
      <x:c r="G973" t="str">
        <x:v>12 bars</x:v>
      </x:c>
      <x:c r="H973" t="str">
        <x:v>Salted Caramel</x:v>
      </x:c>
      <x:c r="I973" t="str">
        <x:v>12</x:v>
      </x:c>
      <x:c r="J973" t="str">
        <x:v>Case</x:v>
      </x:c>
      <x:c r="K973" t="str">
        <x:v>In stock</x:v>
      </x:c>
      <x:c r="L973" t="str">
        <x:v>2026-09-08</x:v>
      </x:c>
      <x:c r="M973" t="str"/>
      <x:c r="N973" t="str"/>
      <x:c r="O973" t="str">
        <x:v>https://www.activesportstrade.co.uk/dorian-yates-dy-nutrition-trade</x:v>
      </x:c>
      <x:c r="P973" t="str"/>
      <x:c r="Q973" t="str"/>
      <x:c r="R973" t="str"/>
      <x:c r="S973" t="str">
        <x:v>Pending genuine supplier/brand image</x:v>
      </x:c>
      <x:c r="T973" s="54"/>
      <x:c r="U973" s="47" t="n">
        <x:v>0.2</x:v>
      </x:c>
      <x:c r="V973" s="54" t="str">
        <x:f>IF(ISNUMBER(T973),T973*(1+U973),"")</x:f>
      </x:c>
      <x:c r="W973" s="47" t="n">
        <x:v>0.3</x:v>
      </x:c>
      <x:c r="X973" s="54" t="str">
        <x:f>IF(ISNUMBER(V973),V973/(1-W973),"")</x:f>
      </x:c>
      <x:c r="Y973" s="55" t="str">
        <x:f>IF(ISNUMBER(X973),ROUNDUP(X973,0),"")</x:f>
      </x:c>
      <x:c r="Z973" t="str">
        <x:f>IF(ISNUMBER(T973),"Cost captured","Awaiting trade cost")</x:f>
        <x:v>Awaiting trade cost</x:v>
      </x:c>
      <x:c r="AB973" s="36" t="str">
        <x:f>IF(ISNUMBER(Y973),ROUND(Y973*0.9,2),"")</x:f>
      </x:c>
      <x:c r="AC973" s="36" t="str">
        <x:f>IF(ISNUMBER(AB973),ROUND(AB973-(AB973*0.015+0.2)-V973,2),"")</x:f>
      </x:c>
      <x:c r="AD973" s="36" t="str">
        <x:f>IF(ISNUMBER(Y973),ROUND(Y973*0.8,2),"")</x:f>
      </x:c>
      <x:c r="AE973" s="36" t="str">
        <x:f>IF(ISNUMBER(AD973),ROUND(AD973*0.015+0.2,2),"")</x:f>
      </x:c>
      <x:c r="AF973" s="36" t="str">
        <x:f>IF(ISNUMBER(AD973),ROUND(AD973-AE973-V973,2),"")</x:f>
      </x:c>
      <x:c r="AG973" t="str">
        <x:f>IF(NOT(ISNUMBER(T973)),"PENDING",IF(AF973&gt;0,"PASS","FAIL"))</x:f>
        <x:v>PENDING</x:v>
      </x:c>
      <x:c r="AH973" t="str">
        <x:f>IF(NOT(ISNUMBER(T973)),"Needs supplier cost",IF(K973&lt;&gt;"In stock","Supplier unavailable",IF(AG973&lt;&gt;"PASS","BLOCK - GT loss risk","Commercially protected")))</x:f>
        <x:v>Needs supplier cost</x:v>
      </x:c>
      <x:c r="AI973" t="str">
        <x:v>2026-09-10 Active Sports trade capture</x:v>
      </x:c>
      <x:c r="AJ973" t="str">
        <x:v>Management-only economics. Stripe stress test uses 1.5% + £0.20 standard UK online-card fee; pallet/mix-and-match pricing ignored.</x:v>
      </x:c>
    </x:row>
    <x:row r="974">
      <x:c r="A974" t="str">
        <x:v>Active Sports Nutrition</x:v>
      </x:c>
      <x:c r="B974" t="str">
        <x:v>Dorian Yates - DY Nutrition - Shadow Line</x:v>
      </x:c>
      <x:c r="C974" t="str">
        <x:v>Yates Whey Protein Bar</x:v>
      </x:c>
      <x:c r="D974" t="str">
        <x:v>Drinks and Bars</x:v>
      </x:c>
      <x:c r="E974" t="str">
        <x:v>Bars and Snacks</x:v>
      </x:c>
      <x:c r="F974" t="str"/>
      <x:c r="G974" t="str">
        <x:v>12 bars</x:v>
      </x:c>
      <x:c r="H974" t="str">
        <x:v>White Chocolate Peanut</x:v>
      </x:c>
      <x:c r="I974" t="str">
        <x:v>12</x:v>
      </x:c>
      <x:c r="J974" t="str">
        <x:v>Case</x:v>
      </x:c>
      <x:c r="K974" t="str">
        <x:v>In stock</x:v>
      </x:c>
      <x:c r="L974" t="str">
        <x:v>2026-09-08</x:v>
      </x:c>
      <x:c r="M974" t="str"/>
      <x:c r="N974" t="str"/>
      <x:c r="O974" t="str">
        <x:v>https://www.activesportstrade.co.uk/dorian-yates-dy-nutrition-trade</x:v>
      </x:c>
      <x:c r="P974" t="str"/>
      <x:c r="Q974" t="str"/>
      <x:c r="R974" t="str"/>
      <x:c r="S974" t="str">
        <x:v>Pending genuine supplier/brand image</x:v>
      </x:c>
      <x:c r="T974" s="54"/>
      <x:c r="U974" s="47" t="n">
        <x:v>0.2</x:v>
      </x:c>
      <x:c r="V974" s="54" t="str">
        <x:f>IF(ISNUMBER(T974),T974*(1+U974),"")</x:f>
      </x:c>
      <x:c r="W974" s="47" t="n">
        <x:v>0.3</x:v>
      </x:c>
      <x:c r="X974" s="54" t="str">
        <x:f>IF(ISNUMBER(V974),V974/(1-W974),"")</x:f>
      </x:c>
      <x:c r="Y974" s="55" t="str">
        <x:f>IF(ISNUMBER(X974),ROUNDUP(X974,0),"")</x:f>
      </x:c>
      <x:c r="Z974" t="str">
        <x:f>IF(ISNUMBER(T974),"Cost captured","Awaiting trade cost")</x:f>
        <x:v>Awaiting trade cost</x:v>
      </x:c>
      <x:c r="AB974" s="36" t="str">
        <x:f>IF(ISNUMBER(Y974),ROUND(Y974*0.9,2),"")</x:f>
      </x:c>
      <x:c r="AC974" s="36" t="str">
        <x:f>IF(ISNUMBER(AB974),ROUND(AB974-(AB974*0.015+0.2)-V974,2),"")</x:f>
      </x:c>
      <x:c r="AD974" s="36" t="str">
        <x:f>IF(ISNUMBER(Y974),ROUND(Y974*0.8,2),"")</x:f>
      </x:c>
      <x:c r="AE974" s="36" t="str">
        <x:f>IF(ISNUMBER(AD974),ROUND(AD974*0.015+0.2,2),"")</x:f>
      </x:c>
      <x:c r="AF974" s="36" t="str">
        <x:f>IF(ISNUMBER(AD974),ROUND(AD974-AE974-V974,2),"")</x:f>
      </x:c>
      <x:c r="AG974" t="str">
        <x:f>IF(NOT(ISNUMBER(T974)),"PENDING",IF(AF974&gt;0,"PASS","FAIL"))</x:f>
        <x:v>PENDING</x:v>
      </x:c>
      <x:c r="AH974" t="str">
        <x:f>IF(NOT(ISNUMBER(T974)),"Needs supplier cost",IF(K974&lt;&gt;"In stock","Supplier unavailable",IF(AG974&lt;&gt;"PASS","BLOCK - GT loss risk","Commercially protected")))</x:f>
        <x:v>Needs supplier cost</x:v>
      </x:c>
      <x:c r="AI974" t="str">
        <x:v>2026-09-10 Active Sports trade capture</x:v>
      </x:c>
      <x:c r="AJ974" t="str">
        <x:v>Management-only economics. Stripe stress test uses 1.5% + £0.20 standard UK online-card fee; pallet/mix-and-match pricing ignored.</x:v>
      </x:c>
    </x:row>
    <x:row r="975">
      <x:c r="A975" t="str">
        <x:v>Active Sports Nutrition</x:v>
      </x:c>
      <x:c r="B975" t="str">
        <x:v>Dorian Yates - DY Nutrition - Shadow Line</x:v>
      </x:c>
      <x:c r="C975" t="str">
        <x:v>ZN MG B6 Complex</x:v>
      </x:c>
      <x:c r="D975" t="str">
        <x:v>Supplements</x:v>
      </x:c>
      <x:c r="E975" t="str">
        <x:v>Sleep Aids</x:v>
      </x:c>
      <x:c r="F975" t="str"/>
      <x:c r="G975" t="str">
        <x:v>60 caps</x:v>
      </x:c>
      <x:c r="H975" t="str">
        <x:v>Default</x:v>
      </x:c>
      <x:c r="I975" t="str"/>
      <x:c r="J975" t="str">
        <x:v>Unit</x:v>
      </x:c>
      <x:c r="K975" t="str">
        <x:v>In stock</x:v>
      </x:c>
      <x:c r="L975" t="str">
        <x:v>2026-09-08</x:v>
      </x:c>
      <x:c r="M975" t="str"/>
      <x:c r="N975" t="str"/>
      <x:c r="O975" t="str">
        <x:v>https://www.activesportstrade.co.uk/dorian-yates-dy-nutrition-trade</x:v>
      </x:c>
      <x:c r="P975" t="str"/>
      <x:c r="Q975" t="str"/>
      <x:c r="R975" t="str"/>
      <x:c r="S975" t="str">
        <x:v>Pending genuine supplier/brand image</x:v>
      </x:c>
      <x:c r="T975" s="54"/>
      <x:c r="U975" s="47" t="n">
        <x:v>0.2</x:v>
      </x:c>
      <x:c r="V975" s="54" t="str">
        <x:f>IF(ISNUMBER(T975),T975*(1+U975),"")</x:f>
      </x:c>
      <x:c r="W975" s="47" t="n">
        <x:v>0.3</x:v>
      </x:c>
      <x:c r="X975" s="54" t="str">
        <x:f>IF(ISNUMBER(V975),V975/(1-W975),"")</x:f>
      </x:c>
      <x:c r="Y975" s="55" t="str">
        <x:f>IF(ISNUMBER(X975),ROUNDUP(X975,0),"")</x:f>
      </x:c>
      <x:c r="Z975" t="str">
        <x:f>IF(ISNUMBER(T975),"Cost captured","Awaiting trade cost")</x:f>
        <x:v>Awaiting trade cost</x:v>
      </x:c>
      <x:c r="AB975" s="36" t="str">
        <x:f>IF(ISNUMBER(Y975),ROUND(Y975*0.9,2),"")</x:f>
      </x:c>
      <x:c r="AC975" s="36" t="str">
        <x:f>IF(ISNUMBER(AB975),ROUND(AB975-(AB975*0.015+0.2)-V975,2),"")</x:f>
      </x:c>
      <x:c r="AD975" s="36" t="str">
        <x:f>IF(ISNUMBER(Y975),ROUND(Y975*0.8,2),"")</x:f>
      </x:c>
      <x:c r="AE975" s="36" t="str">
        <x:f>IF(ISNUMBER(AD975),ROUND(AD975*0.015+0.2,2),"")</x:f>
      </x:c>
      <x:c r="AF975" s="36" t="str">
        <x:f>IF(ISNUMBER(AD975),ROUND(AD975-AE975-V975,2),"")</x:f>
      </x:c>
      <x:c r="AG975" t="str">
        <x:f>IF(NOT(ISNUMBER(T975)),"PENDING",IF(AF975&gt;0,"PASS","FAIL"))</x:f>
        <x:v>PENDING</x:v>
      </x:c>
      <x:c r="AH975" t="str">
        <x:f>IF(NOT(ISNUMBER(T975)),"Needs supplier cost",IF(K975&lt;&gt;"In stock","Supplier unavailable",IF(AG975&lt;&gt;"PASS","BLOCK - GT loss risk","Commercially protected")))</x:f>
        <x:v>Needs supplier cost</x:v>
      </x:c>
      <x:c r="AI975" t="str">
        <x:v>2026-09-10 Active Sports trade capture</x:v>
      </x:c>
      <x:c r="AJ975" t="str">
        <x:v>Management-only economics. Stripe stress test uses 1.5% + £0.20 standard UK online-card fee; pallet/mix-and-match pricing ignored.</x:v>
      </x:c>
    </x:row>
    <x:row r="976">
      <x:c r="A976" t="str">
        <x:v>Active Sports Nutrition</x:v>
      </x:c>
      <x:c r="B976" t="str">
        <x:v>Dorian Yates - DY Nutrition - Shadow Line</x:v>
      </x:c>
      <x:c r="C976" t="str">
        <x:v>Shadow Whey Hydrolysate</x:v>
      </x:c>
      <x:c r="D976" t="str">
        <x:v>Supplements</x:v>
      </x:c>
      <x:c r="E976" t="str">
        <x:v>Whey Protein</x:v>
      </x:c>
      <x:c r="F976" t="str"/>
      <x:c r="G976" t="str">
        <x:v>2.27kg</x:v>
      </x:c>
      <x:c r="H976" t="str">
        <x:v>Chocolate</x:v>
      </x:c>
      <x:c r="I976" t="str"/>
      <x:c r="J976" t="str">
        <x:v>Unit</x:v>
      </x:c>
      <x:c r="K976" t="str">
        <x:v>In stock</x:v>
      </x:c>
      <x:c r="L976" t="str">
        <x:v>2026-09-08</x:v>
      </x:c>
      <x:c r="M976" t="str"/>
      <x:c r="N976" t="str"/>
      <x:c r="O976" t="str">
        <x:v>https://www.activesportstrade.co.uk/Whey-Protein-Supplements-Trade/dorian-yates-dy-nutrition-trade</x:v>
      </x:c>
      <x:c r="P976" t="str">
        <x:v>SPECIAL OFFER / FREE SHAKER wording removed.</x:v>
      </x:c>
      <x:c r="Q976" t="str"/>
      <x:c r="R976" t="str"/>
      <x:c r="S976" t="str">
        <x:v>Pending genuine supplier/brand image</x:v>
      </x:c>
      <x:c r="T976" s="54"/>
      <x:c r="U976" s="47" t="n">
        <x:v>0.2</x:v>
      </x:c>
      <x:c r="V976" s="54" t="str">
        <x:f>IF(ISNUMBER(T976),T976*(1+U976),"")</x:f>
      </x:c>
      <x:c r="W976" s="47" t="n">
        <x:v>0.3</x:v>
      </x:c>
      <x:c r="X976" s="54" t="str">
        <x:f>IF(ISNUMBER(V976),V976/(1-W976),"")</x:f>
      </x:c>
      <x:c r="Y976" s="55" t="str">
        <x:f>IF(ISNUMBER(X976),ROUNDUP(X976,0),"")</x:f>
      </x:c>
      <x:c r="Z976" t="str">
        <x:f>IF(ISNUMBER(T976),"Cost captured","Awaiting trade cost")</x:f>
        <x:v>Awaiting trade cost</x:v>
      </x:c>
      <x:c r="AB976" s="36" t="str">
        <x:f>IF(ISNUMBER(Y976),ROUND(Y976*0.9,2),"")</x:f>
      </x:c>
      <x:c r="AC976" s="36" t="str">
        <x:f>IF(ISNUMBER(AB976),ROUND(AB976-(AB976*0.015+0.2)-V976,2),"")</x:f>
      </x:c>
      <x:c r="AD976" s="36" t="str">
        <x:f>IF(ISNUMBER(Y976),ROUND(Y976*0.8,2),"")</x:f>
      </x:c>
      <x:c r="AE976" s="36" t="str">
        <x:f>IF(ISNUMBER(AD976),ROUND(AD976*0.015+0.2,2),"")</x:f>
      </x:c>
      <x:c r="AF976" s="36" t="str">
        <x:f>IF(ISNUMBER(AD976),ROUND(AD976-AE976-V976,2),"")</x:f>
      </x:c>
      <x:c r="AG976" t="str">
        <x:f>IF(NOT(ISNUMBER(T976)),"PENDING",IF(AF976&gt;0,"PASS","FAIL"))</x:f>
        <x:v>PENDING</x:v>
      </x:c>
      <x:c r="AH976" t="str">
        <x:f>IF(NOT(ISNUMBER(T976)),"Needs supplier cost",IF(K976&lt;&gt;"In stock","Supplier unavailable",IF(AG976&lt;&gt;"PASS","BLOCK - GT loss risk","Commercially protected")))</x:f>
        <x:v>Needs supplier cost</x:v>
      </x:c>
      <x:c r="AI976" t="str">
        <x:v>2026-09-10 Active Sports trade capture</x:v>
      </x:c>
      <x:c r="AJ976" t="str">
        <x:v>Management-only economics. Stripe stress test uses 1.5% + £0.20 standard UK online-card fee; pallet/mix-and-match pricing ignored.</x:v>
      </x:c>
    </x:row>
    <x:row r="977">
      <x:c r="A977" t="str">
        <x:v>Active Sports Nutrition</x:v>
      </x:c>
      <x:c r="B977" t="str">
        <x:v>Dorian Yates - DY Nutrition - Shadow Line</x:v>
      </x:c>
      <x:c r="C977" t="str">
        <x:v>Shadow Whey Hydrolysate</x:v>
      </x:c>
      <x:c r="D977" t="str">
        <x:v>Supplements</x:v>
      </x:c>
      <x:c r="E977" t="str">
        <x:v>Whey Protein</x:v>
      </x:c>
      <x:c r="F977" t="str"/>
      <x:c r="G977" t="str">
        <x:v>2.27kg</x:v>
      </x:c>
      <x:c r="H977" t="str">
        <x:v>Cookies &amp; Cream</x:v>
      </x:c>
      <x:c r="I977" t="str"/>
      <x:c r="J977" t="str">
        <x:v>Unit</x:v>
      </x:c>
      <x:c r="K977" t="str">
        <x:v>In stock</x:v>
      </x:c>
      <x:c r="L977" t="str">
        <x:v>2026-09-08</x:v>
      </x:c>
      <x:c r="M977" t="str"/>
      <x:c r="N977" t="str"/>
      <x:c r="O977" t="str">
        <x:v>https://www.activesportstrade.co.uk/Whey-Protein-Supplements-Trade/dorian-yates-dy-nutrition-trade</x:v>
      </x:c>
      <x:c r="P977" t="str">
        <x:v>SPECIAL OFFER / FREE SHAKER wording removed.</x:v>
      </x:c>
      <x:c r="Q977" t="str"/>
      <x:c r="R977" t="str"/>
      <x:c r="S977" t="str">
        <x:v>Pending genuine supplier/brand image</x:v>
      </x:c>
      <x:c r="T977" s="54"/>
      <x:c r="U977" s="47" t="n">
        <x:v>0.2</x:v>
      </x:c>
      <x:c r="V977" s="54" t="str">
        <x:f>IF(ISNUMBER(T977),T977*(1+U977),"")</x:f>
      </x:c>
      <x:c r="W977" s="47" t="n">
        <x:v>0.3</x:v>
      </x:c>
      <x:c r="X977" s="54" t="str">
        <x:f>IF(ISNUMBER(V977),V977/(1-W977),"")</x:f>
      </x:c>
      <x:c r="Y977" s="55" t="str">
        <x:f>IF(ISNUMBER(X977),ROUNDUP(X977,0),"")</x:f>
      </x:c>
      <x:c r="Z977" t="str">
        <x:f>IF(ISNUMBER(T977),"Cost captured","Awaiting trade cost")</x:f>
        <x:v>Awaiting trade cost</x:v>
      </x:c>
      <x:c r="AB977" s="36" t="str">
        <x:f>IF(ISNUMBER(Y977),ROUND(Y977*0.9,2),"")</x:f>
      </x:c>
      <x:c r="AC977" s="36" t="str">
        <x:f>IF(ISNUMBER(AB977),ROUND(AB977-(AB977*0.015+0.2)-V977,2),"")</x:f>
      </x:c>
      <x:c r="AD977" s="36" t="str">
        <x:f>IF(ISNUMBER(Y977),ROUND(Y977*0.8,2),"")</x:f>
      </x:c>
      <x:c r="AE977" s="36" t="str">
        <x:f>IF(ISNUMBER(AD977),ROUND(AD977*0.015+0.2,2),"")</x:f>
      </x:c>
      <x:c r="AF977" s="36" t="str">
        <x:f>IF(ISNUMBER(AD977),ROUND(AD977-AE977-V977,2),"")</x:f>
      </x:c>
      <x:c r="AG977" t="str">
        <x:f>IF(NOT(ISNUMBER(T977)),"PENDING",IF(AF977&gt;0,"PASS","FAIL"))</x:f>
        <x:v>PENDING</x:v>
      </x:c>
      <x:c r="AH977" t="str">
        <x:f>IF(NOT(ISNUMBER(T977)),"Needs supplier cost",IF(K977&lt;&gt;"In stock","Supplier unavailable",IF(AG977&lt;&gt;"PASS","BLOCK - GT loss risk","Commercially protected")))</x:f>
        <x:v>Needs supplier cost</x:v>
      </x:c>
      <x:c r="AI977" t="str">
        <x:v>2026-09-10 Active Sports trade capture</x:v>
      </x:c>
      <x:c r="AJ977" t="str">
        <x:v>Management-only economics. Stripe stress test uses 1.5% + £0.20 standard UK online-card fee; pallet/mix-and-match pricing ignored.</x:v>
      </x:c>
    </x:row>
    <x:row r="978">
      <x:c r="A978" t="str">
        <x:v>Active Sports Nutrition</x:v>
      </x:c>
      <x:c r="B978" t="str">
        <x:v>Dorian Yates - DY Nutrition - Shadow Line</x:v>
      </x:c>
      <x:c r="C978" t="str">
        <x:v>Shadow Whey Hydrolysate</x:v>
      </x:c>
      <x:c r="D978" t="str">
        <x:v>Supplements</x:v>
      </x:c>
      <x:c r="E978" t="str">
        <x:v>Whey Protein</x:v>
      </x:c>
      <x:c r="F978" t="str"/>
      <x:c r="G978" t="str">
        <x:v>2.27kg</x:v>
      </x:c>
      <x:c r="H978" t="str">
        <x:v>Strawberry Banana</x:v>
      </x:c>
      <x:c r="I978" t="str"/>
      <x:c r="J978" t="str">
        <x:v>Unit</x:v>
      </x:c>
      <x:c r="K978" t="str">
        <x:v>In stock</x:v>
      </x:c>
      <x:c r="L978" t="str">
        <x:v>2026-09-08</x:v>
      </x:c>
      <x:c r="M978" t="str"/>
      <x:c r="N978" t="str"/>
      <x:c r="O978" t="str">
        <x:v>https://www.activesportstrade.co.uk/Whey-Protein-Supplements-Trade/dorian-yates-dy-nutrition-trade</x:v>
      </x:c>
      <x:c r="P978" t="str">
        <x:v>SPECIAL OFFER / FREE SHAKER wording removed.</x:v>
      </x:c>
      <x:c r="Q978" t="str"/>
      <x:c r="R978" t="str"/>
      <x:c r="S978" t="str">
        <x:v>Pending genuine supplier/brand image</x:v>
      </x:c>
      <x:c r="T978" s="54"/>
      <x:c r="U978" s="47" t="n">
        <x:v>0.2</x:v>
      </x:c>
      <x:c r="V978" s="54" t="str">
        <x:f>IF(ISNUMBER(T978),T978*(1+U978),"")</x:f>
      </x:c>
      <x:c r="W978" s="47" t="n">
        <x:v>0.3</x:v>
      </x:c>
      <x:c r="X978" s="54" t="str">
        <x:f>IF(ISNUMBER(V978),V978/(1-W978),"")</x:f>
      </x:c>
      <x:c r="Y978" s="55" t="str">
        <x:f>IF(ISNUMBER(X978),ROUNDUP(X978,0),"")</x:f>
      </x:c>
      <x:c r="Z978" t="str">
        <x:f>IF(ISNUMBER(T978),"Cost captured","Awaiting trade cost")</x:f>
        <x:v>Awaiting trade cost</x:v>
      </x:c>
      <x:c r="AB978" s="36" t="str">
        <x:f>IF(ISNUMBER(Y978),ROUND(Y978*0.9,2),"")</x:f>
      </x:c>
      <x:c r="AC978" s="36" t="str">
        <x:f>IF(ISNUMBER(AB978),ROUND(AB978-(AB978*0.015+0.2)-V978,2),"")</x:f>
      </x:c>
      <x:c r="AD978" s="36" t="str">
        <x:f>IF(ISNUMBER(Y978),ROUND(Y978*0.8,2),"")</x:f>
      </x:c>
      <x:c r="AE978" s="36" t="str">
        <x:f>IF(ISNUMBER(AD978),ROUND(AD978*0.015+0.2,2),"")</x:f>
      </x:c>
      <x:c r="AF978" s="36" t="str">
        <x:f>IF(ISNUMBER(AD978),ROUND(AD978-AE978-V978,2),"")</x:f>
      </x:c>
      <x:c r="AG978" t="str">
        <x:f>IF(NOT(ISNUMBER(T978)),"PENDING",IF(AF978&gt;0,"PASS","FAIL"))</x:f>
        <x:v>PENDING</x:v>
      </x:c>
      <x:c r="AH978" t="str">
        <x:f>IF(NOT(ISNUMBER(T978)),"Needs supplier cost",IF(K978&lt;&gt;"In stock","Supplier unavailable",IF(AG978&lt;&gt;"PASS","BLOCK - GT loss risk","Commercially protected")))</x:f>
        <x:v>Needs supplier cost</x:v>
      </x:c>
      <x:c r="AI978" t="str">
        <x:v>2026-09-10 Active Sports trade capture</x:v>
      </x:c>
      <x:c r="AJ978" t="str">
        <x:v>Management-only economics. Stripe stress test uses 1.5% + £0.20 standard UK online-card fee; pallet/mix-and-match pricing ignored.</x:v>
      </x:c>
    </x:row>
    <x:row r="979">
      <x:c r="A979" t="str">
        <x:v>Active Sports Nutrition</x:v>
      </x:c>
      <x:c r="B979" t="str">
        <x:v>Dorian Yates - DY Nutrition - Shadow Line</x:v>
      </x:c>
      <x:c r="C979" t="str">
        <x:v>Shadow Whey Hydrolysate</x:v>
      </x:c>
      <x:c r="D979" t="str">
        <x:v>Supplements</x:v>
      </x:c>
      <x:c r="E979" t="str">
        <x:v>Whey Protein</x:v>
      </x:c>
      <x:c r="F979" t="str"/>
      <x:c r="G979" t="str">
        <x:v>2.27kg</x:v>
      </x:c>
      <x:c r="H979" t="str">
        <x:v>Vanilla</x:v>
      </x:c>
      <x:c r="I979" t="str"/>
      <x:c r="J979" t="str">
        <x:v>Unit</x:v>
      </x:c>
      <x:c r="K979" t="str">
        <x:v>Out of stock</x:v>
      </x:c>
      <x:c r="L979" t="str">
        <x:v>2026-09-08</x:v>
      </x:c>
      <x:c r="M979" t="str"/>
      <x:c r="N979" t="str"/>
      <x:c r="O979" t="str">
        <x:v>https://www.activesportstrade.co.uk/Whey-Protein-Supplements-Trade/dorian-yates-dy-nutrition-trade</x:v>
      </x:c>
      <x:c r="P979" t="str">
        <x:v>SPECIAL OFFER / FREE SHAKER wording removed.</x:v>
      </x:c>
      <x:c r="Q979" t="str"/>
      <x:c r="R979" t="str"/>
      <x:c r="S979" t="str">
        <x:v>Pending genuine supplier/brand image</x:v>
      </x:c>
      <x:c r="T979" s="54"/>
      <x:c r="U979" s="47" t="n">
        <x:v>0.2</x:v>
      </x:c>
      <x:c r="V979" s="54" t="str">
        <x:f>IF(ISNUMBER(T979),T979*(1+U979),"")</x:f>
      </x:c>
      <x:c r="W979" s="47" t="n">
        <x:v>0.3</x:v>
      </x:c>
      <x:c r="X979" s="54" t="str">
        <x:f>IF(ISNUMBER(V979),V979/(1-W979),"")</x:f>
      </x:c>
      <x:c r="Y979" s="55" t="str">
        <x:f>IF(ISNUMBER(X979),ROUNDUP(X979,0),"")</x:f>
      </x:c>
      <x:c r="Z979" t="str">
        <x:f>IF(ISNUMBER(T979),"Cost captured","Awaiting trade cost")</x:f>
        <x:v>Awaiting trade cost</x:v>
      </x:c>
      <x:c r="AB979" s="36" t="str">
        <x:f>IF(ISNUMBER(Y979),ROUND(Y979*0.9,2),"")</x:f>
      </x:c>
      <x:c r="AC979" s="36" t="str">
        <x:f>IF(ISNUMBER(AB979),ROUND(AB979-(AB979*0.015+0.2)-V979,2),"")</x:f>
      </x:c>
      <x:c r="AD979" s="36" t="str">
        <x:f>IF(ISNUMBER(Y979),ROUND(Y979*0.8,2),"")</x:f>
      </x:c>
      <x:c r="AE979" s="36" t="str">
        <x:f>IF(ISNUMBER(AD979),ROUND(AD979*0.015+0.2,2),"")</x:f>
      </x:c>
      <x:c r="AF979" s="36" t="str">
        <x:f>IF(ISNUMBER(AD979),ROUND(AD979-AE979-V979,2),"")</x:f>
      </x:c>
      <x:c r="AG979" t="str">
        <x:f>IF(NOT(ISNUMBER(T979)),"PENDING",IF(AF979&gt;0,"PASS","FAIL"))</x:f>
        <x:v>PENDING</x:v>
      </x:c>
      <x:c r="AH979" t="str">
        <x:f>IF(NOT(ISNUMBER(T979)),"Needs supplier cost",IF(K979&lt;&gt;"In stock","Supplier unavailable",IF(AG979&lt;&gt;"PASS","BLOCK - GT loss risk","Commercially protected")))</x:f>
        <x:v>Needs supplier cost</x:v>
      </x:c>
      <x:c r="AI979" t="str">
        <x:v>2026-09-10 Active Sports trade capture</x:v>
      </x:c>
      <x:c r="AJ979" t="str">
        <x:v>Management-only economics. Stripe stress test uses 1.5% + £0.20 standard UK online-card fee; pallet/mix-and-match pricing ignored.</x:v>
      </x:c>
    </x:row>
    <x:row r="980">
      <x:c r="A980" t="str">
        <x:v>Active Sports Nutrition</x:v>
      </x:c>
      <x:c r="B980" t="str">
        <x:v>Dorian Yates - DY Nutrition - Shadow Line</x:v>
      </x:c>
      <x:c r="C980" t="str">
        <x:v>Shadowhey Isolate</x:v>
      </x:c>
      <x:c r="D980" t="str">
        <x:v>Supplements</x:v>
      </x:c>
      <x:c r="E980" t="str">
        <x:v>Whey Protein</x:v>
      </x:c>
      <x:c r="F980" t="str"/>
      <x:c r="G980" t="str">
        <x:v>2kg</x:v>
      </x:c>
      <x:c r="H980" t="str">
        <x:v>Chocolate</x:v>
      </x:c>
      <x:c r="I980" t="str"/>
      <x:c r="J980" t="str">
        <x:v>Unit</x:v>
      </x:c>
      <x:c r="K980" t="str">
        <x:v>Out of stock</x:v>
      </x:c>
      <x:c r="L980" t="str">
        <x:v>2026-09-08</x:v>
      </x:c>
      <x:c r="M980" t="str"/>
      <x:c r="N980" t="str"/>
      <x:c r="O980" t="str">
        <x:v>https://www.activesportstrade.co.uk/Whey-Protein-Supplements-Trade/dorian-yates-dy-nutrition-trade</x:v>
      </x:c>
      <x:c r="P980" t="str">
        <x:v>SPECIAL OFFER / FREE SHAKER wording removed.</x:v>
      </x:c>
      <x:c r="Q980" t="str"/>
      <x:c r="R980" t="str"/>
      <x:c r="S980" t="str">
        <x:v>Pending genuine supplier/brand image</x:v>
      </x:c>
      <x:c r="T980" s="54"/>
      <x:c r="U980" s="47" t="n">
        <x:v>0.2</x:v>
      </x:c>
      <x:c r="V980" s="54" t="str">
        <x:f>IF(ISNUMBER(T980),T980*(1+U980),"")</x:f>
      </x:c>
      <x:c r="W980" s="47" t="n">
        <x:v>0.3</x:v>
      </x:c>
      <x:c r="X980" s="54" t="str">
        <x:f>IF(ISNUMBER(V980),V980/(1-W980),"")</x:f>
      </x:c>
      <x:c r="Y980" s="55" t="str">
        <x:f>IF(ISNUMBER(X980),ROUNDUP(X980,0),"")</x:f>
      </x:c>
      <x:c r="Z980" t="str">
        <x:f>IF(ISNUMBER(T980),"Cost captured","Awaiting trade cost")</x:f>
        <x:v>Awaiting trade cost</x:v>
      </x:c>
      <x:c r="AB980" s="36" t="str">
        <x:f>IF(ISNUMBER(Y980),ROUND(Y980*0.9,2),"")</x:f>
      </x:c>
      <x:c r="AC980" s="36" t="str">
        <x:f>IF(ISNUMBER(AB980),ROUND(AB980-(AB980*0.015+0.2)-V980,2),"")</x:f>
      </x:c>
      <x:c r="AD980" s="36" t="str">
        <x:f>IF(ISNUMBER(Y980),ROUND(Y980*0.8,2),"")</x:f>
      </x:c>
      <x:c r="AE980" s="36" t="str">
        <x:f>IF(ISNUMBER(AD980),ROUND(AD980*0.015+0.2,2),"")</x:f>
      </x:c>
      <x:c r="AF980" s="36" t="str">
        <x:f>IF(ISNUMBER(AD980),ROUND(AD980-AE980-V980,2),"")</x:f>
      </x:c>
      <x:c r="AG980" t="str">
        <x:f>IF(NOT(ISNUMBER(T980)),"PENDING",IF(AF980&gt;0,"PASS","FAIL"))</x:f>
        <x:v>PENDING</x:v>
      </x:c>
      <x:c r="AH980" t="str">
        <x:f>IF(NOT(ISNUMBER(T980)),"Needs supplier cost",IF(K980&lt;&gt;"In stock","Supplier unavailable",IF(AG980&lt;&gt;"PASS","BLOCK - GT loss risk","Commercially protected")))</x:f>
        <x:v>Needs supplier cost</x:v>
      </x:c>
      <x:c r="AI980" t="str">
        <x:v>2026-09-10 Active Sports trade capture</x:v>
      </x:c>
      <x:c r="AJ980" t="str">
        <x:v>Management-only economics. Stripe stress test uses 1.5% + £0.20 standard UK online-card fee; pallet/mix-and-match pricing ignored.</x:v>
      </x:c>
    </x:row>
    <x:row r="981">
      <x:c r="A981" t="str">
        <x:v>Active Sports Nutrition</x:v>
      </x:c>
      <x:c r="B981" t="str">
        <x:v>Dorian Yates - DY Nutrition - Shadow Line</x:v>
      </x:c>
      <x:c r="C981" t="str">
        <x:v>Shadowhey Isolate</x:v>
      </x:c>
      <x:c r="D981" t="str">
        <x:v>Supplements</x:v>
      </x:c>
      <x:c r="E981" t="str">
        <x:v>Whey Protein</x:v>
      </x:c>
      <x:c r="F981" t="str"/>
      <x:c r="G981" t="str">
        <x:v>2kg</x:v>
      </x:c>
      <x:c r="H981" t="str">
        <x:v>Cookies &amp; Cream</x:v>
      </x:c>
      <x:c r="I981" t="str"/>
      <x:c r="J981" t="str">
        <x:v>Unit</x:v>
      </x:c>
      <x:c r="K981" t="str">
        <x:v>Out of stock</x:v>
      </x:c>
      <x:c r="L981" t="str">
        <x:v>2026-09-08</x:v>
      </x:c>
      <x:c r="M981" t="str"/>
      <x:c r="N981" t="str"/>
      <x:c r="O981" t="str">
        <x:v>https://www.activesportstrade.co.uk/Whey-Protein-Supplements-Trade/dorian-yates-dy-nutrition-trade</x:v>
      </x:c>
      <x:c r="P981" t="str">
        <x:v>SPECIAL OFFER / FREE SHAKER wording removed.</x:v>
      </x:c>
      <x:c r="Q981" t="str"/>
      <x:c r="R981" t="str"/>
      <x:c r="S981" t="str">
        <x:v>Pending genuine supplier/brand image</x:v>
      </x:c>
      <x:c r="T981" s="54"/>
      <x:c r="U981" s="47" t="n">
        <x:v>0.2</x:v>
      </x:c>
      <x:c r="V981" s="54" t="str">
        <x:f>IF(ISNUMBER(T981),T981*(1+U981),"")</x:f>
      </x:c>
      <x:c r="W981" s="47" t="n">
        <x:v>0.3</x:v>
      </x:c>
      <x:c r="X981" s="54" t="str">
        <x:f>IF(ISNUMBER(V981),V981/(1-W981),"")</x:f>
      </x:c>
      <x:c r="Y981" s="55" t="str">
        <x:f>IF(ISNUMBER(X981),ROUNDUP(X981,0),"")</x:f>
      </x:c>
      <x:c r="Z981" t="str">
        <x:f>IF(ISNUMBER(T981),"Cost captured","Awaiting trade cost")</x:f>
        <x:v>Awaiting trade cost</x:v>
      </x:c>
      <x:c r="AB981" s="36" t="str">
        <x:f>IF(ISNUMBER(Y981),ROUND(Y981*0.9,2),"")</x:f>
      </x:c>
      <x:c r="AC981" s="36" t="str">
        <x:f>IF(ISNUMBER(AB981),ROUND(AB981-(AB981*0.015+0.2)-V981,2),"")</x:f>
      </x:c>
      <x:c r="AD981" s="36" t="str">
        <x:f>IF(ISNUMBER(Y981),ROUND(Y981*0.8,2),"")</x:f>
      </x:c>
      <x:c r="AE981" s="36" t="str">
        <x:f>IF(ISNUMBER(AD981),ROUND(AD981*0.015+0.2,2),"")</x:f>
      </x:c>
      <x:c r="AF981" s="36" t="str">
        <x:f>IF(ISNUMBER(AD981),ROUND(AD981-AE981-V981,2),"")</x:f>
      </x:c>
      <x:c r="AG981" t="str">
        <x:f>IF(NOT(ISNUMBER(T981)),"PENDING",IF(AF981&gt;0,"PASS","FAIL"))</x:f>
        <x:v>PENDING</x:v>
      </x:c>
      <x:c r="AH981" t="str">
        <x:f>IF(NOT(ISNUMBER(T981)),"Needs supplier cost",IF(K981&lt;&gt;"In stock","Supplier unavailable",IF(AG981&lt;&gt;"PASS","BLOCK - GT loss risk","Commercially protected")))</x:f>
        <x:v>Needs supplier cost</x:v>
      </x:c>
      <x:c r="AI981" t="str">
        <x:v>2026-09-10 Active Sports trade capture</x:v>
      </x:c>
      <x:c r="AJ981" t="str">
        <x:v>Management-only economics. Stripe stress test uses 1.5% + £0.20 standard UK online-card fee; pallet/mix-and-match pricing ignored.</x:v>
      </x:c>
    </x:row>
    <x:row r="982">
      <x:c r="A982" t="str">
        <x:v>Active Sports Nutrition</x:v>
      </x:c>
      <x:c r="B982" t="str">
        <x:v>Dorian Yates - DY Nutrition - Shadow Line</x:v>
      </x:c>
      <x:c r="C982" t="str">
        <x:v>Shadowhey Isolate</x:v>
      </x:c>
      <x:c r="D982" t="str">
        <x:v>Supplements</x:v>
      </x:c>
      <x:c r="E982" t="str">
        <x:v>Whey Protein</x:v>
      </x:c>
      <x:c r="F982" t="str"/>
      <x:c r="G982" t="str">
        <x:v>2kg</x:v>
      </x:c>
      <x:c r="H982" t="str">
        <x:v>Pistachio</x:v>
      </x:c>
      <x:c r="I982" t="str"/>
      <x:c r="J982" t="str">
        <x:v>Unit</x:v>
      </x:c>
      <x:c r="K982" t="str">
        <x:v>In stock</x:v>
      </x:c>
      <x:c r="L982" t="str">
        <x:v>2026-09-08</x:v>
      </x:c>
      <x:c r="M982" t="str"/>
      <x:c r="N982" t="str"/>
      <x:c r="O982" t="str">
        <x:v>https://www.activesportstrade.co.uk/Whey-Protein-Supplements-Trade/dorian-yates-dy-nutrition-trade</x:v>
      </x:c>
      <x:c r="P982" t="str">
        <x:v>SPECIAL OFFER / FREE SHAKER wording removed.</x:v>
      </x:c>
      <x:c r="Q982" t="str"/>
      <x:c r="R982" t="str"/>
      <x:c r="S982" t="str">
        <x:v>Pending genuine supplier/brand image</x:v>
      </x:c>
      <x:c r="T982" s="54"/>
      <x:c r="U982" s="47" t="n">
        <x:v>0.2</x:v>
      </x:c>
      <x:c r="V982" s="54" t="str">
        <x:f>IF(ISNUMBER(T982),T982*(1+U982),"")</x:f>
      </x:c>
      <x:c r="W982" s="47" t="n">
        <x:v>0.3</x:v>
      </x:c>
      <x:c r="X982" s="54" t="str">
        <x:f>IF(ISNUMBER(V982),V982/(1-W982),"")</x:f>
      </x:c>
      <x:c r="Y982" s="55" t="str">
        <x:f>IF(ISNUMBER(X982),ROUNDUP(X982,0),"")</x:f>
      </x:c>
      <x:c r="Z982" t="str">
        <x:f>IF(ISNUMBER(T982),"Cost captured","Awaiting trade cost")</x:f>
        <x:v>Awaiting trade cost</x:v>
      </x:c>
      <x:c r="AB982" s="36" t="str">
        <x:f>IF(ISNUMBER(Y982),ROUND(Y982*0.9,2),"")</x:f>
      </x:c>
      <x:c r="AC982" s="36" t="str">
        <x:f>IF(ISNUMBER(AB982),ROUND(AB982-(AB982*0.015+0.2)-V982,2),"")</x:f>
      </x:c>
      <x:c r="AD982" s="36" t="str">
        <x:f>IF(ISNUMBER(Y982),ROUND(Y982*0.8,2),"")</x:f>
      </x:c>
      <x:c r="AE982" s="36" t="str">
        <x:f>IF(ISNUMBER(AD982),ROUND(AD982*0.015+0.2,2),"")</x:f>
      </x:c>
      <x:c r="AF982" s="36" t="str">
        <x:f>IF(ISNUMBER(AD982),ROUND(AD982-AE982-V982,2),"")</x:f>
      </x:c>
      <x:c r="AG982" t="str">
        <x:f>IF(NOT(ISNUMBER(T982)),"PENDING",IF(AF982&gt;0,"PASS","FAIL"))</x:f>
        <x:v>PENDING</x:v>
      </x:c>
      <x:c r="AH982" t="str">
        <x:f>IF(NOT(ISNUMBER(T982)),"Needs supplier cost",IF(K982&lt;&gt;"In stock","Supplier unavailable",IF(AG982&lt;&gt;"PASS","BLOCK - GT loss risk","Commercially protected")))</x:f>
        <x:v>Needs supplier cost</x:v>
      </x:c>
      <x:c r="AI982" t="str">
        <x:v>2026-09-10 Active Sports trade capture</x:v>
      </x:c>
      <x:c r="AJ982" t="str">
        <x:v>Management-only economics. Stripe stress test uses 1.5% + £0.20 standard UK online-card fee; pallet/mix-and-match pricing ignored.</x:v>
      </x:c>
    </x:row>
    <x:row r="983">
      <x:c r="A983" t="str">
        <x:v>Active Sports Nutrition</x:v>
      </x:c>
      <x:c r="B983" t="str">
        <x:v>Dorian Yates - DY Nutrition - Shadow Line</x:v>
      </x:c>
      <x:c r="C983" t="str">
        <x:v>Shadowhey Isolate</x:v>
      </x:c>
      <x:c r="D983" t="str">
        <x:v>Supplements</x:v>
      </x:c>
      <x:c r="E983" t="str">
        <x:v>Whey Protein</x:v>
      </x:c>
      <x:c r="F983" t="str"/>
      <x:c r="G983" t="str">
        <x:v>2kg</x:v>
      </x:c>
      <x:c r="H983" t="str">
        <x:v>Strawberry</x:v>
      </x:c>
      <x:c r="I983" t="str"/>
      <x:c r="J983" t="str">
        <x:v>Unit</x:v>
      </x:c>
      <x:c r="K983" t="str">
        <x:v>Out of stock</x:v>
      </x:c>
      <x:c r="L983" t="str">
        <x:v>2026-09-08</x:v>
      </x:c>
      <x:c r="M983" t="str"/>
      <x:c r="N983" t="str"/>
      <x:c r="O983" t="str">
        <x:v>https://www.activesportstrade.co.uk/Whey-Protein-Supplements-Trade/dorian-yates-dy-nutrition-trade</x:v>
      </x:c>
      <x:c r="P983" t="str">
        <x:v>SPECIAL OFFER / FREE SHAKER wording removed.</x:v>
      </x:c>
      <x:c r="Q983" t="str"/>
      <x:c r="R983" t="str"/>
      <x:c r="S983" t="str">
        <x:v>Pending genuine supplier/brand image</x:v>
      </x:c>
      <x:c r="T983" s="54"/>
      <x:c r="U983" s="47" t="n">
        <x:v>0.2</x:v>
      </x:c>
      <x:c r="V983" s="54" t="str">
        <x:f>IF(ISNUMBER(T983),T983*(1+U983),"")</x:f>
      </x:c>
      <x:c r="W983" s="47" t="n">
        <x:v>0.3</x:v>
      </x:c>
      <x:c r="X983" s="54" t="str">
        <x:f>IF(ISNUMBER(V983),V983/(1-W983),"")</x:f>
      </x:c>
      <x:c r="Y983" s="55" t="str">
        <x:f>IF(ISNUMBER(X983),ROUNDUP(X983,0),"")</x:f>
      </x:c>
      <x:c r="Z983" t="str">
        <x:f>IF(ISNUMBER(T983),"Cost captured","Awaiting trade cost")</x:f>
        <x:v>Awaiting trade cost</x:v>
      </x:c>
      <x:c r="AB983" s="36" t="str">
        <x:f>IF(ISNUMBER(Y983),ROUND(Y983*0.9,2),"")</x:f>
      </x:c>
      <x:c r="AC983" s="36" t="str">
        <x:f>IF(ISNUMBER(AB983),ROUND(AB983-(AB983*0.015+0.2)-V983,2),"")</x:f>
      </x:c>
      <x:c r="AD983" s="36" t="str">
        <x:f>IF(ISNUMBER(Y983),ROUND(Y983*0.8,2),"")</x:f>
      </x:c>
      <x:c r="AE983" s="36" t="str">
        <x:f>IF(ISNUMBER(AD983),ROUND(AD983*0.015+0.2,2),"")</x:f>
      </x:c>
      <x:c r="AF983" s="36" t="str">
        <x:f>IF(ISNUMBER(AD983),ROUND(AD983-AE983-V983,2),"")</x:f>
      </x:c>
      <x:c r="AG983" t="str">
        <x:f>IF(NOT(ISNUMBER(T983)),"PENDING",IF(AF983&gt;0,"PASS","FAIL"))</x:f>
        <x:v>PENDING</x:v>
      </x:c>
      <x:c r="AH983" t="str">
        <x:f>IF(NOT(ISNUMBER(T983)),"Needs supplier cost",IF(K983&lt;&gt;"In stock","Supplier unavailable",IF(AG983&lt;&gt;"PASS","BLOCK - GT loss risk","Commercially protected")))</x:f>
        <x:v>Needs supplier cost</x:v>
      </x:c>
      <x:c r="AI983" t="str">
        <x:v>2026-09-10 Active Sports trade capture</x:v>
      </x:c>
      <x:c r="AJ983" t="str">
        <x:v>Management-only economics. Stripe stress test uses 1.5% + £0.20 standard UK online-card fee; pallet/mix-and-match pricing ignored.</x:v>
      </x:c>
    </x:row>
    <x:row r="984">
      <x:c r="A984" t="str">
        <x:v>Active Sports Nutrition</x:v>
      </x:c>
      <x:c r="B984" t="str">
        <x:v>Dorian Yates - DY Nutrition - Shadow Line</x:v>
      </x:c>
      <x:c r="C984" t="str">
        <x:v>Shadowhey Isolate</x:v>
      </x:c>
      <x:c r="D984" t="str">
        <x:v>Supplements</x:v>
      </x:c>
      <x:c r="E984" t="str">
        <x:v>Whey Protein</x:v>
      </x:c>
      <x:c r="F984" t="str"/>
      <x:c r="G984" t="str">
        <x:v>2kg</x:v>
      </x:c>
      <x:c r="H984" t="str">
        <x:v>Strawberry Banana</x:v>
      </x:c>
      <x:c r="I984" t="str"/>
      <x:c r="J984" t="str">
        <x:v>Unit</x:v>
      </x:c>
      <x:c r="K984" t="str">
        <x:v>Out of stock</x:v>
      </x:c>
      <x:c r="L984" t="str">
        <x:v>2026-09-08</x:v>
      </x:c>
      <x:c r="M984" t="str"/>
      <x:c r="N984" t="str"/>
      <x:c r="O984" t="str">
        <x:v>https://www.activesportstrade.co.uk/Whey-Protein-Supplements-Trade/dorian-yates-dy-nutrition-trade</x:v>
      </x:c>
      <x:c r="P984" t="str">
        <x:v>SPECIAL OFFER / FREE SHAKER wording removed.</x:v>
      </x:c>
      <x:c r="Q984" t="str"/>
      <x:c r="R984" t="str"/>
      <x:c r="S984" t="str">
        <x:v>Pending genuine supplier/brand image</x:v>
      </x:c>
      <x:c r="T984" s="54"/>
      <x:c r="U984" s="47" t="n">
        <x:v>0.2</x:v>
      </x:c>
      <x:c r="V984" s="54" t="str">
        <x:f>IF(ISNUMBER(T984),T984*(1+U984),"")</x:f>
      </x:c>
      <x:c r="W984" s="47" t="n">
        <x:v>0.3</x:v>
      </x:c>
      <x:c r="X984" s="54" t="str">
        <x:f>IF(ISNUMBER(V984),V984/(1-W984),"")</x:f>
      </x:c>
      <x:c r="Y984" s="55" t="str">
        <x:f>IF(ISNUMBER(X984),ROUNDUP(X984,0),"")</x:f>
      </x:c>
      <x:c r="Z984" t="str">
        <x:f>IF(ISNUMBER(T984),"Cost captured","Awaiting trade cost")</x:f>
        <x:v>Awaiting trade cost</x:v>
      </x:c>
      <x:c r="AB984" s="36" t="str">
        <x:f>IF(ISNUMBER(Y984),ROUND(Y984*0.9,2),"")</x:f>
      </x:c>
      <x:c r="AC984" s="36" t="str">
        <x:f>IF(ISNUMBER(AB984),ROUND(AB984-(AB984*0.015+0.2)-V984,2),"")</x:f>
      </x:c>
      <x:c r="AD984" s="36" t="str">
        <x:f>IF(ISNUMBER(Y984),ROUND(Y984*0.8,2),"")</x:f>
      </x:c>
      <x:c r="AE984" s="36" t="str">
        <x:f>IF(ISNUMBER(AD984),ROUND(AD984*0.015+0.2,2),"")</x:f>
      </x:c>
      <x:c r="AF984" s="36" t="str">
        <x:f>IF(ISNUMBER(AD984),ROUND(AD984-AE984-V984,2),"")</x:f>
      </x:c>
      <x:c r="AG984" t="str">
        <x:f>IF(NOT(ISNUMBER(T984)),"PENDING",IF(AF984&gt;0,"PASS","FAIL"))</x:f>
        <x:v>PENDING</x:v>
      </x:c>
      <x:c r="AH984" t="str">
        <x:f>IF(NOT(ISNUMBER(T984)),"Needs supplier cost",IF(K984&lt;&gt;"In stock","Supplier unavailable",IF(AG984&lt;&gt;"PASS","BLOCK - GT loss risk","Commercially protected")))</x:f>
        <x:v>Needs supplier cost</x:v>
      </x:c>
      <x:c r="AI984" t="str">
        <x:v>2026-09-10 Active Sports trade capture</x:v>
      </x:c>
      <x:c r="AJ984" t="str">
        <x:v>Management-only economics. Stripe stress test uses 1.5% + £0.20 standard UK online-card fee; pallet/mix-and-match pricing ignored.</x:v>
      </x:c>
    </x:row>
    <x:row r="985">
      <x:c r="A985" t="str">
        <x:v>Active Sports Nutrition</x:v>
      </x:c>
      <x:c r="B985" t="str">
        <x:v>Dorian Yates - DY Nutrition - Shadow Line</x:v>
      </x:c>
      <x:c r="C985" t="str">
        <x:v>Shadowhey Isolate</x:v>
      </x:c>
      <x:c r="D985" t="str">
        <x:v>Supplements</x:v>
      </x:c>
      <x:c r="E985" t="str">
        <x:v>Whey Protein</x:v>
      </x:c>
      <x:c r="F985" t="str"/>
      <x:c r="G985" t="str">
        <x:v>2kg</x:v>
      </x:c>
      <x:c r="H985" t="str">
        <x:v>Vanilla</x:v>
      </x:c>
      <x:c r="I985" t="str"/>
      <x:c r="J985" t="str">
        <x:v>Unit</x:v>
      </x:c>
      <x:c r="K985" t="str">
        <x:v>Out of stock</x:v>
      </x:c>
      <x:c r="L985" t="str">
        <x:v>2026-09-08</x:v>
      </x:c>
      <x:c r="M985" t="str"/>
      <x:c r="N985" t="str"/>
      <x:c r="O985" t="str">
        <x:v>https://www.activesportstrade.co.uk/Whey-Protein-Supplements-Trade/dorian-yates-dy-nutrition-trade</x:v>
      </x:c>
      <x:c r="P985" t="str">
        <x:v>SPECIAL OFFER / FREE SHAKER wording removed.</x:v>
      </x:c>
      <x:c r="Q985" t="str"/>
      <x:c r="R985" t="str"/>
      <x:c r="S985" t="str">
        <x:v>Pending genuine supplier/brand image</x:v>
      </x:c>
      <x:c r="T985" s="54"/>
      <x:c r="U985" s="47" t="n">
        <x:v>0.2</x:v>
      </x:c>
      <x:c r="V985" s="54" t="str">
        <x:f>IF(ISNUMBER(T985),T985*(1+U985),"")</x:f>
      </x:c>
      <x:c r="W985" s="47" t="n">
        <x:v>0.3</x:v>
      </x:c>
      <x:c r="X985" s="54" t="str">
        <x:f>IF(ISNUMBER(V985),V985/(1-W985),"")</x:f>
      </x:c>
      <x:c r="Y985" s="55" t="str">
        <x:f>IF(ISNUMBER(X985),ROUNDUP(X985,0),"")</x:f>
      </x:c>
      <x:c r="Z985" t="str">
        <x:f>IF(ISNUMBER(T985),"Cost captured","Awaiting trade cost")</x:f>
        <x:v>Awaiting trade cost</x:v>
      </x:c>
      <x:c r="AB985" s="36" t="str">
        <x:f>IF(ISNUMBER(Y985),ROUND(Y985*0.9,2),"")</x:f>
      </x:c>
      <x:c r="AC985" s="36" t="str">
        <x:f>IF(ISNUMBER(AB985),ROUND(AB985-(AB985*0.015+0.2)-V985,2),"")</x:f>
      </x:c>
      <x:c r="AD985" s="36" t="str">
        <x:f>IF(ISNUMBER(Y985),ROUND(Y985*0.8,2),"")</x:f>
      </x:c>
      <x:c r="AE985" s="36" t="str">
        <x:f>IF(ISNUMBER(AD985),ROUND(AD985*0.015+0.2,2),"")</x:f>
      </x:c>
      <x:c r="AF985" s="36" t="str">
        <x:f>IF(ISNUMBER(AD985),ROUND(AD985-AE985-V985,2),"")</x:f>
      </x:c>
      <x:c r="AG985" t="str">
        <x:f>IF(NOT(ISNUMBER(T985)),"PENDING",IF(AF985&gt;0,"PASS","FAIL"))</x:f>
        <x:v>PENDING</x:v>
      </x:c>
      <x:c r="AH985" t="str">
        <x:f>IF(NOT(ISNUMBER(T985)),"Needs supplier cost",IF(K985&lt;&gt;"In stock","Supplier unavailable",IF(AG985&lt;&gt;"PASS","BLOCK - GT loss risk","Commercially protected")))</x:f>
        <x:v>Needs supplier cost</x:v>
      </x:c>
      <x:c r="AI985" t="str">
        <x:v>2026-09-10 Active Sports trade capture</x:v>
      </x:c>
      <x:c r="AJ985" t="str">
        <x:v>Management-only economics. Stripe stress test uses 1.5% + £0.20 standard UK online-card fee; pallet/mix-and-match pricing ignored.</x:v>
      </x:c>
    </x:row>
    <x:row r="986">
      <x:c r="A986" t="str">
        <x:v>Active Sports Nutrition</x:v>
      </x:c>
      <x:c r="B986" t="str">
        <x:v>Dorian Yates - DY Nutrition - Shadow Line</x:v>
      </x:c>
      <x:c r="C986" t="str">
        <x:v>Shadowhey Isolate</x:v>
      </x:c>
      <x:c r="D986" t="str">
        <x:v>Supplements</x:v>
      </x:c>
      <x:c r="E986" t="str">
        <x:v>Whey Protein</x:v>
      </x:c>
      <x:c r="F986" t="str"/>
      <x:c r="G986" t="str">
        <x:v>2kg</x:v>
      </x:c>
      <x:c r="H986" t="str">
        <x:v>Vanilla Caramel</x:v>
      </x:c>
      <x:c r="I986" t="str"/>
      <x:c r="J986" t="str">
        <x:v>Unit</x:v>
      </x:c>
      <x:c r="K986" t="str">
        <x:v>Out of stock</x:v>
      </x:c>
      <x:c r="L986" t="str">
        <x:v>2026-09-08</x:v>
      </x:c>
      <x:c r="M986" t="str"/>
      <x:c r="N986" t="str"/>
      <x:c r="O986" t="str">
        <x:v>https://www.activesportstrade.co.uk/Whey-Protein-Supplements-Trade/dorian-yates-dy-nutrition-trade</x:v>
      </x:c>
      <x:c r="P986" t="str">
        <x:v>SPECIAL OFFER / FREE SHAKER wording removed.</x:v>
      </x:c>
      <x:c r="Q986" t="str"/>
      <x:c r="R986" t="str"/>
      <x:c r="S986" t="str">
        <x:v>Pending genuine supplier/brand image</x:v>
      </x:c>
      <x:c r="T986" s="54"/>
      <x:c r="U986" s="47" t="n">
        <x:v>0.2</x:v>
      </x:c>
      <x:c r="V986" s="54" t="str">
        <x:f>IF(ISNUMBER(T986),T986*(1+U986),"")</x:f>
      </x:c>
      <x:c r="W986" s="47" t="n">
        <x:v>0.3</x:v>
      </x:c>
      <x:c r="X986" s="54" t="str">
        <x:f>IF(ISNUMBER(V986),V986/(1-W986),"")</x:f>
      </x:c>
      <x:c r="Y986" s="55" t="str">
        <x:f>IF(ISNUMBER(X986),ROUNDUP(X986,0),"")</x:f>
      </x:c>
      <x:c r="Z986" t="str">
        <x:f>IF(ISNUMBER(T986),"Cost captured","Awaiting trade cost")</x:f>
        <x:v>Awaiting trade cost</x:v>
      </x:c>
      <x:c r="AB986" s="36" t="str">
        <x:f>IF(ISNUMBER(Y986),ROUND(Y986*0.9,2),"")</x:f>
      </x:c>
      <x:c r="AC986" s="36" t="str">
        <x:f>IF(ISNUMBER(AB986),ROUND(AB986-(AB986*0.015+0.2)-V986,2),"")</x:f>
      </x:c>
      <x:c r="AD986" s="36" t="str">
        <x:f>IF(ISNUMBER(Y986),ROUND(Y986*0.8,2),"")</x:f>
      </x:c>
      <x:c r="AE986" s="36" t="str">
        <x:f>IF(ISNUMBER(AD986),ROUND(AD986*0.015+0.2,2),"")</x:f>
      </x:c>
      <x:c r="AF986" s="36" t="str">
        <x:f>IF(ISNUMBER(AD986),ROUND(AD986-AE986-V986,2),"")</x:f>
      </x:c>
      <x:c r="AG986" t="str">
        <x:f>IF(NOT(ISNUMBER(T986)),"PENDING",IF(AF986&gt;0,"PASS","FAIL"))</x:f>
        <x:v>PENDING</x:v>
      </x:c>
      <x:c r="AH986" t="str">
        <x:f>IF(NOT(ISNUMBER(T986)),"Needs supplier cost",IF(K986&lt;&gt;"In stock","Supplier unavailable",IF(AG986&lt;&gt;"PASS","BLOCK - GT loss risk","Commercially protected")))</x:f>
        <x:v>Needs supplier cost</x:v>
      </x:c>
      <x:c r="AI986" t="str">
        <x:v>2026-09-10 Active Sports trade capture</x:v>
      </x:c>
      <x:c r="AJ986" t="str">
        <x:v>Management-only economics. Stripe stress test uses 1.5% + £0.20 standard UK online-card fee; pallet/mix-and-match pricing ignored.</x:v>
      </x:c>
    </x:row>
    <x:row r="987">
      <x:c r="A987" t="str">
        <x:v>Active Sports Nutrition</x:v>
      </x:c>
      <x:c r="B987" t="str">
        <x:v>Dorian Yates - DY Nutrition - Shadow Line</x:v>
      </x:c>
      <x:c r="C987" t="str">
        <x:v>Shadowhey</x:v>
      </x:c>
      <x:c r="D987" t="str">
        <x:v>Supplements</x:v>
      </x:c>
      <x:c r="E987" t="str">
        <x:v>Whey Protein</x:v>
      </x:c>
      <x:c r="F987" t="str"/>
      <x:c r="G987" t="str">
        <x:v>2kg</x:v>
      </x:c>
      <x:c r="H987" t="str">
        <x:v>Banana Peach</x:v>
      </x:c>
      <x:c r="I987" t="str"/>
      <x:c r="J987" t="str">
        <x:v>Unit</x:v>
      </x:c>
      <x:c r="K987" t="str">
        <x:v>In stock</x:v>
      </x:c>
      <x:c r="L987" t="str">
        <x:v>2026-09-08</x:v>
      </x:c>
      <x:c r="M987" t="str"/>
      <x:c r="N987" t="str"/>
      <x:c r="O987" t="str">
        <x:v>https://www.activesportstrade.co.uk/Whey-Protein-Supplements-Trade/dorian-yates-dy-nutrition-trade</x:v>
      </x:c>
      <x:c r="P987" t="str">
        <x:v>SPECIAL OFFER / FREE SHAKER wording removed.</x:v>
      </x:c>
      <x:c r="Q987" t="str"/>
      <x:c r="R987" t="str"/>
      <x:c r="S987" t="str">
        <x:v>Pending genuine supplier/brand image</x:v>
      </x:c>
      <x:c r="T987" s="54"/>
      <x:c r="U987" s="47" t="n">
        <x:v>0.2</x:v>
      </x:c>
      <x:c r="V987" s="54" t="str">
        <x:f>IF(ISNUMBER(T987),T987*(1+U987),"")</x:f>
      </x:c>
      <x:c r="W987" s="47" t="n">
        <x:v>0.3</x:v>
      </x:c>
      <x:c r="X987" s="54" t="str">
        <x:f>IF(ISNUMBER(V987),V987/(1-W987),"")</x:f>
      </x:c>
      <x:c r="Y987" s="55" t="str">
        <x:f>IF(ISNUMBER(X987),ROUNDUP(X987,0),"")</x:f>
      </x:c>
      <x:c r="Z987" t="str">
        <x:f>IF(ISNUMBER(T987),"Cost captured","Awaiting trade cost")</x:f>
        <x:v>Awaiting trade cost</x:v>
      </x:c>
      <x:c r="AB987" s="36" t="str">
        <x:f>IF(ISNUMBER(Y987),ROUND(Y987*0.9,2),"")</x:f>
      </x:c>
      <x:c r="AC987" s="36" t="str">
        <x:f>IF(ISNUMBER(AB987),ROUND(AB987-(AB987*0.015+0.2)-V987,2),"")</x:f>
      </x:c>
      <x:c r="AD987" s="36" t="str">
        <x:f>IF(ISNUMBER(Y987),ROUND(Y987*0.8,2),"")</x:f>
      </x:c>
      <x:c r="AE987" s="36" t="str">
        <x:f>IF(ISNUMBER(AD987),ROUND(AD987*0.015+0.2,2),"")</x:f>
      </x:c>
      <x:c r="AF987" s="36" t="str">
        <x:f>IF(ISNUMBER(AD987),ROUND(AD987-AE987-V987,2),"")</x:f>
      </x:c>
      <x:c r="AG987" t="str">
        <x:f>IF(NOT(ISNUMBER(T987)),"PENDING",IF(AF987&gt;0,"PASS","FAIL"))</x:f>
        <x:v>PENDING</x:v>
      </x:c>
      <x:c r="AH987" t="str">
        <x:f>IF(NOT(ISNUMBER(T987)),"Needs supplier cost",IF(K987&lt;&gt;"In stock","Supplier unavailable",IF(AG987&lt;&gt;"PASS","BLOCK - GT loss risk","Commercially protected")))</x:f>
        <x:v>Needs supplier cost</x:v>
      </x:c>
      <x:c r="AI987" t="str">
        <x:v>2026-09-10 Active Sports trade capture</x:v>
      </x:c>
      <x:c r="AJ987" t="str">
        <x:v>Management-only economics. Stripe stress test uses 1.5% + £0.20 standard UK online-card fee; pallet/mix-and-match pricing ignored.</x:v>
      </x:c>
    </x:row>
    <x:row r="988">
      <x:c r="A988" t="str">
        <x:v>Active Sports Nutrition</x:v>
      </x:c>
      <x:c r="B988" t="str">
        <x:v>Dorian Yates - DY Nutrition - Shadow Line</x:v>
      </x:c>
      <x:c r="C988" t="str">
        <x:v>Shadowhey</x:v>
      </x:c>
      <x:c r="D988" t="str">
        <x:v>Supplements</x:v>
      </x:c>
      <x:c r="E988" t="str">
        <x:v>Whey Protein</x:v>
      </x:c>
      <x:c r="F988" t="str"/>
      <x:c r="G988" t="str">
        <x:v>2kg</x:v>
      </x:c>
      <x:c r="H988" t="str">
        <x:v>Chocolate</x:v>
      </x:c>
      <x:c r="I988" t="str"/>
      <x:c r="J988" t="str">
        <x:v>Unit</x:v>
      </x:c>
      <x:c r="K988" t="str">
        <x:v>Out of stock</x:v>
      </x:c>
      <x:c r="L988" t="str">
        <x:v>2026-09-08</x:v>
      </x:c>
      <x:c r="M988" t="str"/>
      <x:c r="N988" t="str"/>
      <x:c r="O988" t="str">
        <x:v>https://www.activesportstrade.co.uk/Whey-Protein-Supplements-Trade/dorian-yates-dy-nutrition-trade</x:v>
      </x:c>
      <x:c r="P988" t="str">
        <x:v>SPECIAL OFFER / FREE SHAKER wording removed.</x:v>
      </x:c>
      <x:c r="Q988" t="str"/>
      <x:c r="R988" t="str"/>
      <x:c r="S988" t="str">
        <x:v>Pending genuine supplier/brand image</x:v>
      </x:c>
      <x:c r="T988" s="54"/>
      <x:c r="U988" s="47" t="n">
        <x:v>0.2</x:v>
      </x:c>
      <x:c r="V988" s="54" t="str">
        <x:f>IF(ISNUMBER(T988),T988*(1+U988),"")</x:f>
      </x:c>
      <x:c r="W988" s="47" t="n">
        <x:v>0.3</x:v>
      </x:c>
      <x:c r="X988" s="54" t="str">
        <x:f>IF(ISNUMBER(V988),V988/(1-W988),"")</x:f>
      </x:c>
      <x:c r="Y988" s="55" t="str">
        <x:f>IF(ISNUMBER(X988),ROUNDUP(X988,0),"")</x:f>
      </x:c>
      <x:c r="Z988" t="str">
        <x:f>IF(ISNUMBER(T988),"Cost captured","Awaiting trade cost")</x:f>
        <x:v>Awaiting trade cost</x:v>
      </x:c>
      <x:c r="AB988" s="36" t="str">
        <x:f>IF(ISNUMBER(Y988),ROUND(Y988*0.9,2),"")</x:f>
      </x:c>
      <x:c r="AC988" s="36" t="str">
        <x:f>IF(ISNUMBER(AB988),ROUND(AB988-(AB988*0.015+0.2)-V988,2),"")</x:f>
      </x:c>
      <x:c r="AD988" s="36" t="str">
        <x:f>IF(ISNUMBER(Y988),ROUND(Y988*0.8,2),"")</x:f>
      </x:c>
      <x:c r="AE988" s="36" t="str">
        <x:f>IF(ISNUMBER(AD988),ROUND(AD988*0.015+0.2,2),"")</x:f>
      </x:c>
      <x:c r="AF988" s="36" t="str">
        <x:f>IF(ISNUMBER(AD988),ROUND(AD988-AE988-V988,2),"")</x:f>
      </x:c>
      <x:c r="AG988" t="str">
        <x:f>IF(NOT(ISNUMBER(T988)),"PENDING",IF(AF988&gt;0,"PASS","FAIL"))</x:f>
        <x:v>PENDING</x:v>
      </x:c>
      <x:c r="AH988" t="str">
        <x:f>IF(NOT(ISNUMBER(T988)),"Needs supplier cost",IF(K988&lt;&gt;"In stock","Supplier unavailable",IF(AG988&lt;&gt;"PASS","BLOCK - GT loss risk","Commercially protected")))</x:f>
        <x:v>Needs supplier cost</x:v>
      </x:c>
      <x:c r="AI988" t="str">
        <x:v>2026-09-10 Active Sports trade capture</x:v>
      </x:c>
      <x:c r="AJ988" t="str">
        <x:v>Management-only economics. Stripe stress test uses 1.5% + £0.20 standard UK online-card fee; pallet/mix-and-match pricing ignored.</x:v>
      </x:c>
    </x:row>
    <x:row r="989">
      <x:c r="A989" t="str">
        <x:v>Active Sports Nutrition</x:v>
      </x:c>
      <x:c r="B989" t="str">
        <x:v>Dorian Yates - DY Nutrition - Shadow Line</x:v>
      </x:c>
      <x:c r="C989" t="str">
        <x:v>Shadowhey</x:v>
      </x:c>
      <x:c r="D989" t="str">
        <x:v>Supplements</x:v>
      </x:c>
      <x:c r="E989" t="str">
        <x:v>Whey Protein</x:v>
      </x:c>
      <x:c r="F989" t="str"/>
      <x:c r="G989" t="str">
        <x:v>2kg</x:v>
      </x:c>
      <x:c r="H989" t="str">
        <x:v>Chocolate &amp; Hazelnut</x:v>
      </x:c>
      <x:c r="I989" t="str"/>
      <x:c r="J989" t="str">
        <x:v>Unit</x:v>
      </x:c>
      <x:c r="K989" t="str">
        <x:v>In stock</x:v>
      </x:c>
      <x:c r="L989" t="str">
        <x:v>2026-09-08</x:v>
      </x:c>
      <x:c r="M989" t="str"/>
      <x:c r="N989" t="str"/>
      <x:c r="O989" t="str">
        <x:v>https://www.activesportstrade.co.uk/Whey-Protein-Supplements-Trade/dorian-yates-dy-nutrition-trade</x:v>
      </x:c>
      <x:c r="P989" t="str">
        <x:v>SPECIAL OFFER / FREE SHAKER wording removed.</x:v>
      </x:c>
      <x:c r="Q989" t="str"/>
      <x:c r="R989" t="str"/>
      <x:c r="S989" t="str">
        <x:v>Pending genuine supplier/brand image</x:v>
      </x:c>
      <x:c r="T989" s="54"/>
      <x:c r="U989" s="47" t="n">
        <x:v>0.2</x:v>
      </x:c>
      <x:c r="V989" s="54" t="str">
        <x:f>IF(ISNUMBER(T989),T989*(1+U989),"")</x:f>
      </x:c>
      <x:c r="W989" s="47" t="n">
        <x:v>0.3</x:v>
      </x:c>
      <x:c r="X989" s="54" t="str">
        <x:f>IF(ISNUMBER(V989),V989/(1-W989),"")</x:f>
      </x:c>
      <x:c r="Y989" s="55" t="str">
        <x:f>IF(ISNUMBER(X989),ROUNDUP(X989,0),"")</x:f>
      </x:c>
      <x:c r="Z989" t="str">
        <x:f>IF(ISNUMBER(T989),"Cost captured","Awaiting trade cost")</x:f>
        <x:v>Awaiting trade cost</x:v>
      </x:c>
      <x:c r="AB989" s="36" t="str">
        <x:f>IF(ISNUMBER(Y989),ROUND(Y989*0.9,2),"")</x:f>
      </x:c>
      <x:c r="AC989" s="36" t="str">
        <x:f>IF(ISNUMBER(AB989),ROUND(AB989-(AB989*0.015+0.2)-V989,2),"")</x:f>
      </x:c>
      <x:c r="AD989" s="36" t="str">
        <x:f>IF(ISNUMBER(Y989),ROUND(Y989*0.8,2),"")</x:f>
      </x:c>
      <x:c r="AE989" s="36" t="str">
        <x:f>IF(ISNUMBER(AD989),ROUND(AD989*0.015+0.2,2),"")</x:f>
      </x:c>
      <x:c r="AF989" s="36" t="str">
        <x:f>IF(ISNUMBER(AD989),ROUND(AD989-AE989-V989,2),"")</x:f>
      </x:c>
      <x:c r="AG989" t="str">
        <x:f>IF(NOT(ISNUMBER(T989)),"PENDING",IF(AF989&gt;0,"PASS","FAIL"))</x:f>
        <x:v>PENDING</x:v>
      </x:c>
      <x:c r="AH989" t="str">
        <x:f>IF(NOT(ISNUMBER(T989)),"Needs supplier cost",IF(K989&lt;&gt;"In stock","Supplier unavailable",IF(AG989&lt;&gt;"PASS","BLOCK - GT loss risk","Commercially protected")))</x:f>
        <x:v>Needs supplier cost</x:v>
      </x:c>
      <x:c r="AI989" t="str">
        <x:v>2026-09-10 Active Sports trade capture</x:v>
      </x:c>
      <x:c r="AJ989" t="str">
        <x:v>Management-only economics. Stripe stress test uses 1.5% + £0.20 standard UK online-card fee; pallet/mix-and-match pricing ignored.</x:v>
      </x:c>
    </x:row>
    <x:row r="990">
      <x:c r="A990" t="str">
        <x:v>Active Sports Nutrition</x:v>
      </x:c>
      <x:c r="B990" t="str">
        <x:v>Dorian Yates - DY Nutrition - Shadow Line</x:v>
      </x:c>
      <x:c r="C990" t="str">
        <x:v>Shadowhey</x:v>
      </x:c>
      <x:c r="D990" t="str">
        <x:v>Supplements</x:v>
      </x:c>
      <x:c r="E990" t="str">
        <x:v>Whey Protein</x:v>
      </x:c>
      <x:c r="F990" t="str"/>
      <x:c r="G990" t="str">
        <x:v>2kg</x:v>
      </x:c>
      <x:c r="H990" t="str">
        <x:v>Coffee &amp; Cream</x:v>
      </x:c>
      <x:c r="I990" t="str"/>
      <x:c r="J990" t="str">
        <x:v>Unit</x:v>
      </x:c>
      <x:c r="K990" t="str">
        <x:v>In stock</x:v>
      </x:c>
      <x:c r="L990" t="str">
        <x:v>2026-09-08</x:v>
      </x:c>
      <x:c r="M990" t="str"/>
      <x:c r="N990" t="str"/>
      <x:c r="O990" t="str">
        <x:v>https://www.activesportstrade.co.uk/Whey-Protein-Supplements-Trade/dorian-yates-dy-nutrition-trade</x:v>
      </x:c>
      <x:c r="P990" t="str">
        <x:v>SPECIAL OFFER / FREE SHAKER wording removed.</x:v>
      </x:c>
      <x:c r="Q990" t="str"/>
      <x:c r="R990" t="str"/>
      <x:c r="S990" t="str">
        <x:v>Pending genuine supplier/brand image</x:v>
      </x:c>
      <x:c r="T990" s="54"/>
      <x:c r="U990" s="47" t="n">
        <x:v>0.2</x:v>
      </x:c>
      <x:c r="V990" s="54" t="str">
        <x:f>IF(ISNUMBER(T990),T990*(1+U990),"")</x:f>
      </x:c>
      <x:c r="W990" s="47" t="n">
        <x:v>0.3</x:v>
      </x:c>
      <x:c r="X990" s="54" t="str">
        <x:f>IF(ISNUMBER(V990),V990/(1-W990),"")</x:f>
      </x:c>
      <x:c r="Y990" s="55" t="str">
        <x:f>IF(ISNUMBER(X990),ROUNDUP(X990,0),"")</x:f>
      </x:c>
      <x:c r="Z990" t="str">
        <x:f>IF(ISNUMBER(T990),"Cost captured","Awaiting trade cost")</x:f>
        <x:v>Awaiting trade cost</x:v>
      </x:c>
      <x:c r="AB990" s="36" t="str">
        <x:f>IF(ISNUMBER(Y990),ROUND(Y990*0.9,2),"")</x:f>
      </x:c>
      <x:c r="AC990" s="36" t="str">
        <x:f>IF(ISNUMBER(AB990),ROUND(AB990-(AB990*0.015+0.2)-V990,2),"")</x:f>
      </x:c>
      <x:c r="AD990" s="36" t="str">
        <x:f>IF(ISNUMBER(Y990),ROUND(Y990*0.8,2),"")</x:f>
      </x:c>
      <x:c r="AE990" s="36" t="str">
        <x:f>IF(ISNUMBER(AD990),ROUND(AD990*0.015+0.2,2),"")</x:f>
      </x:c>
      <x:c r="AF990" s="36" t="str">
        <x:f>IF(ISNUMBER(AD990),ROUND(AD990-AE990-V990,2),"")</x:f>
      </x:c>
      <x:c r="AG990" t="str">
        <x:f>IF(NOT(ISNUMBER(T990)),"PENDING",IF(AF990&gt;0,"PASS","FAIL"))</x:f>
        <x:v>PENDING</x:v>
      </x:c>
      <x:c r="AH990" t="str">
        <x:f>IF(NOT(ISNUMBER(T990)),"Needs supplier cost",IF(K990&lt;&gt;"In stock","Supplier unavailable",IF(AG990&lt;&gt;"PASS","BLOCK - GT loss risk","Commercially protected")))</x:f>
        <x:v>Needs supplier cost</x:v>
      </x:c>
      <x:c r="AI990" t="str">
        <x:v>2026-09-10 Active Sports trade capture</x:v>
      </x:c>
      <x:c r="AJ990" t="str">
        <x:v>Management-only economics. Stripe stress test uses 1.5% + £0.20 standard UK online-card fee; pallet/mix-and-match pricing ignored.</x:v>
      </x:c>
    </x:row>
    <x:row r="991">
      <x:c r="A991" t="str">
        <x:v>Active Sports Nutrition</x:v>
      </x:c>
      <x:c r="B991" t="str">
        <x:v>Dorian Yates - DY Nutrition - Shadow Line</x:v>
      </x:c>
      <x:c r="C991" t="str">
        <x:v>Shadowhey</x:v>
      </x:c>
      <x:c r="D991" t="str">
        <x:v>Supplements</x:v>
      </x:c>
      <x:c r="E991" t="str">
        <x:v>Whey Protein</x:v>
      </x:c>
      <x:c r="F991" t="str"/>
      <x:c r="G991" t="str">
        <x:v>2kg</x:v>
      </x:c>
      <x:c r="H991" t="str">
        <x:v>Cookies &amp; Cream</x:v>
      </x:c>
      <x:c r="I991" t="str"/>
      <x:c r="J991" t="str">
        <x:v>Unit</x:v>
      </x:c>
      <x:c r="K991" t="str">
        <x:v>In stock</x:v>
      </x:c>
      <x:c r="L991" t="str">
        <x:v>2026-09-08</x:v>
      </x:c>
      <x:c r="M991" t="str"/>
      <x:c r="N991" t="str"/>
      <x:c r="O991" t="str">
        <x:v>https://www.activesportstrade.co.uk/Whey-Protein-Supplements-Trade/dorian-yates-dy-nutrition-trade</x:v>
      </x:c>
      <x:c r="P991" t="str">
        <x:v>SPECIAL OFFER / FREE SHAKER wording removed.</x:v>
      </x:c>
      <x:c r="Q991" t="str"/>
      <x:c r="R991" t="str"/>
      <x:c r="S991" t="str">
        <x:v>Pending genuine supplier/brand image</x:v>
      </x:c>
      <x:c r="T991" s="54"/>
      <x:c r="U991" s="47" t="n">
        <x:v>0.2</x:v>
      </x:c>
      <x:c r="V991" s="54" t="str">
        <x:f>IF(ISNUMBER(T991),T991*(1+U991),"")</x:f>
      </x:c>
      <x:c r="W991" s="47" t="n">
        <x:v>0.3</x:v>
      </x:c>
      <x:c r="X991" s="54" t="str">
        <x:f>IF(ISNUMBER(V991),V991/(1-W991),"")</x:f>
      </x:c>
      <x:c r="Y991" s="55" t="str">
        <x:f>IF(ISNUMBER(X991),ROUNDUP(X991,0),"")</x:f>
      </x:c>
      <x:c r="Z991" t="str">
        <x:f>IF(ISNUMBER(T991),"Cost captured","Awaiting trade cost")</x:f>
        <x:v>Awaiting trade cost</x:v>
      </x:c>
      <x:c r="AB991" s="36" t="str">
        <x:f>IF(ISNUMBER(Y991),ROUND(Y991*0.9,2),"")</x:f>
      </x:c>
      <x:c r="AC991" s="36" t="str">
        <x:f>IF(ISNUMBER(AB991),ROUND(AB991-(AB991*0.015+0.2)-V991,2),"")</x:f>
      </x:c>
      <x:c r="AD991" s="36" t="str">
        <x:f>IF(ISNUMBER(Y991),ROUND(Y991*0.8,2),"")</x:f>
      </x:c>
      <x:c r="AE991" s="36" t="str">
        <x:f>IF(ISNUMBER(AD991),ROUND(AD991*0.015+0.2,2),"")</x:f>
      </x:c>
      <x:c r="AF991" s="36" t="str">
        <x:f>IF(ISNUMBER(AD991),ROUND(AD991-AE991-V991,2),"")</x:f>
      </x:c>
      <x:c r="AG991" t="str">
        <x:f>IF(NOT(ISNUMBER(T991)),"PENDING",IF(AF991&gt;0,"PASS","FAIL"))</x:f>
        <x:v>PENDING</x:v>
      </x:c>
      <x:c r="AH991" t="str">
        <x:f>IF(NOT(ISNUMBER(T991)),"Needs supplier cost",IF(K991&lt;&gt;"In stock","Supplier unavailable",IF(AG991&lt;&gt;"PASS","BLOCK - GT loss risk","Commercially protected")))</x:f>
        <x:v>Needs supplier cost</x:v>
      </x:c>
      <x:c r="AI991" t="str">
        <x:v>2026-09-10 Active Sports trade capture</x:v>
      </x:c>
      <x:c r="AJ991" t="str">
        <x:v>Management-only economics. Stripe stress test uses 1.5% + £0.20 standard UK online-card fee; pallet/mix-and-match pricing ignored.</x:v>
      </x:c>
    </x:row>
    <x:row r="992">
      <x:c r="A992" t="str">
        <x:v>Active Sports Nutrition</x:v>
      </x:c>
      <x:c r="B992" t="str">
        <x:v>Dorian Yates - DY Nutrition - Shadow Line</x:v>
      </x:c>
      <x:c r="C992" t="str">
        <x:v>Shadowhey</x:v>
      </x:c>
      <x:c r="D992" t="str">
        <x:v>Supplements</x:v>
      </x:c>
      <x:c r="E992" t="str">
        <x:v>Whey Protein</x:v>
      </x:c>
      <x:c r="F992" t="str"/>
      <x:c r="G992" t="str">
        <x:v>2kg</x:v>
      </x:c>
      <x:c r="H992" t="str">
        <x:v>Pistachio</x:v>
      </x:c>
      <x:c r="I992" t="str"/>
      <x:c r="J992" t="str">
        <x:v>Unit</x:v>
      </x:c>
      <x:c r="K992" t="str">
        <x:v>In stock</x:v>
      </x:c>
      <x:c r="L992" t="str">
        <x:v>2026-09-08</x:v>
      </x:c>
      <x:c r="M992" t="str"/>
      <x:c r="N992" t="str"/>
      <x:c r="O992" t="str">
        <x:v>https://www.activesportstrade.co.uk/Whey-Protein-Supplements-Trade/dorian-yates-dy-nutrition-trade</x:v>
      </x:c>
      <x:c r="P992" t="str">
        <x:v>SPECIAL OFFER / FREE SHAKER wording removed.</x:v>
      </x:c>
      <x:c r="Q992" t="str"/>
      <x:c r="R992" t="str"/>
      <x:c r="S992" t="str">
        <x:v>Pending genuine supplier/brand image</x:v>
      </x:c>
      <x:c r="T992" s="54"/>
      <x:c r="U992" s="47" t="n">
        <x:v>0.2</x:v>
      </x:c>
      <x:c r="V992" s="54" t="str">
        <x:f>IF(ISNUMBER(T992),T992*(1+U992),"")</x:f>
      </x:c>
      <x:c r="W992" s="47" t="n">
        <x:v>0.3</x:v>
      </x:c>
      <x:c r="X992" s="54" t="str">
        <x:f>IF(ISNUMBER(V992),V992/(1-W992),"")</x:f>
      </x:c>
      <x:c r="Y992" s="55" t="str">
        <x:f>IF(ISNUMBER(X992),ROUNDUP(X992,0),"")</x:f>
      </x:c>
      <x:c r="Z992" t="str">
        <x:f>IF(ISNUMBER(T992),"Cost captured","Awaiting trade cost")</x:f>
        <x:v>Awaiting trade cost</x:v>
      </x:c>
      <x:c r="AB992" s="36" t="str">
        <x:f>IF(ISNUMBER(Y992),ROUND(Y992*0.9,2),"")</x:f>
      </x:c>
      <x:c r="AC992" s="36" t="str">
        <x:f>IF(ISNUMBER(AB992),ROUND(AB992-(AB992*0.015+0.2)-V992,2),"")</x:f>
      </x:c>
      <x:c r="AD992" s="36" t="str">
        <x:f>IF(ISNUMBER(Y992),ROUND(Y992*0.8,2),"")</x:f>
      </x:c>
      <x:c r="AE992" s="36" t="str">
        <x:f>IF(ISNUMBER(AD992),ROUND(AD992*0.015+0.2,2),"")</x:f>
      </x:c>
      <x:c r="AF992" s="36" t="str">
        <x:f>IF(ISNUMBER(AD992),ROUND(AD992-AE992-V992,2),"")</x:f>
      </x:c>
      <x:c r="AG992" t="str">
        <x:f>IF(NOT(ISNUMBER(T992)),"PENDING",IF(AF992&gt;0,"PASS","FAIL"))</x:f>
        <x:v>PENDING</x:v>
      </x:c>
      <x:c r="AH992" t="str">
        <x:f>IF(NOT(ISNUMBER(T992)),"Needs supplier cost",IF(K992&lt;&gt;"In stock","Supplier unavailable",IF(AG992&lt;&gt;"PASS","BLOCK - GT loss risk","Commercially protected")))</x:f>
        <x:v>Needs supplier cost</x:v>
      </x:c>
      <x:c r="AI992" t="str">
        <x:v>2026-09-10 Active Sports trade capture</x:v>
      </x:c>
      <x:c r="AJ992" t="str">
        <x:v>Management-only economics. Stripe stress test uses 1.5% + £0.20 standard UK online-card fee; pallet/mix-and-match pricing ignored.</x:v>
      </x:c>
    </x:row>
    <x:row r="993">
      <x:c r="A993" t="str">
        <x:v>Active Sports Nutrition</x:v>
      </x:c>
      <x:c r="B993" t="str">
        <x:v>Dorian Yates - DY Nutrition - Shadow Line</x:v>
      </x:c>
      <x:c r="C993" t="str">
        <x:v>Shadowhey</x:v>
      </x:c>
      <x:c r="D993" t="str">
        <x:v>Supplements</x:v>
      </x:c>
      <x:c r="E993" t="str">
        <x:v>Whey Protein</x:v>
      </x:c>
      <x:c r="F993" t="str"/>
      <x:c r="G993" t="str">
        <x:v>2kg</x:v>
      </x:c>
      <x:c r="H993" t="str">
        <x:v>Strawberry</x:v>
      </x:c>
      <x:c r="I993" t="str"/>
      <x:c r="J993" t="str">
        <x:v>Unit</x:v>
      </x:c>
      <x:c r="K993" t="str">
        <x:v>In stock</x:v>
      </x:c>
      <x:c r="L993" t="str">
        <x:v>2026-09-08</x:v>
      </x:c>
      <x:c r="M993" t="str"/>
      <x:c r="N993" t="str"/>
      <x:c r="O993" t="str">
        <x:v>https://www.activesportstrade.co.uk/Whey-Protein-Supplements-Trade/dorian-yates-dy-nutrition-trade</x:v>
      </x:c>
      <x:c r="P993" t="str">
        <x:v>SPECIAL OFFER / FREE SHAKER wording removed.</x:v>
      </x:c>
      <x:c r="Q993" t="str"/>
      <x:c r="R993" t="str"/>
      <x:c r="S993" t="str">
        <x:v>Pending genuine supplier/brand image</x:v>
      </x:c>
      <x:c r="T993" s="54"/>
      <x:c r="U993" s="47" t="n">
        <x:v>0.2</x:v>
      </x:c>
      <x:c r="V993" s="54" t="str">
        <x:f>IF(ISNUMBER(T993),T993*(1+U993),"")</x:f>
      </x:c>
      <x:c r="W993" s="47" t="n">
        <x:v>0.3</x:v>
      </x:c>
      <x:c r="X993" s="54" t="str">
        <x:f>IF(ISNUMBER(V993),V993/(1-W993),"")</x:f>
      </x:c>
      <x:c r="Y993" s="55" t="str">
        <x:f>IF(ISNUMBER(X993),ROUNDUP(X993,0),"")</x:f>
      </x:c>
      <x:c r="Z993" t="str">
        <x:f>IF(ISNUMBER(T993),"Cost captured","Awaiting trade cost")</x:f>
        <x:v>Awaiting trade cost</x:v>
      </x:c>
      <x:c r="AB993" s="36" t="str">
        <x:f>IF(ISNUMBER(Y993),ROUND(Y993*0.9,2),"")</x:f>
      </x:c>
      <x:c r="AC993" s="36" t="str">
        <x:f>IF(ISNUMBER(AB993),ROUND(AB993-(AB993*0.015+0.2)-V993,2),"")</x:f>
      </x:c>
      <x:c r="AD993" s="36" t="str">
        <x:f>IF(ISNUMBER(Y993),ROUND(Y993*0.8,2),"")</x:f>
      </x:c>
      <x:c r="AE993" s="36" t="str">
        <x:f>IF(ISNUMBER(AD993),ROUND(AD993*0.015+0.2,2),"")</x:f>
      </x:c>
      <x:c r="AF993" s="36" t="str">
        <x:f>IF(ISNUMBER(AD993),ROUND(AD993-AE993-V993,2),"")</x:f>
      </x:c>
      <x:c r="AG993" t="str">
        <x:f>IF(NOT(ISNUMBER(T993)),"PENDING",IF(AF993&gt;0,"PASS","FAIL"))</x:f>
        <x:v>PENDING</x:v>
      </x:c>
      <x:c r="AH993" t="str">
        <x:f>IF(NOT(ISNUMBER(T993)),"Needs supplier cost",IF(K993&lt;&gt;"In stock","Supplier unavailable",IF(AG993&lt;&gt;"PASS","BLOCK - GT loss risk","Commercially protected")))</x:f>
        <x:v>Needs supplier cost</x:v>
      </x:c>
      <x:c r="AI993" t="str">
        <x:v>2026-09-10 Active Sports trade capture</x:v>
      </x:c>
      <x:c r="AJ993" t="str">
        <x:v>Management-only economics. Stripe stress test uses 1.5% + £0.20 standard UK online-card fee; pallet/mix-and-match pricing ignored.</x:v>
      </x:c>
    </x:row>
    <x:row r="994">
      <x:c r="A994" t="str">
        <x:v>Active Sports Nutrition</x:v>
      </x:c>
      <x:c r="B994" t="str">
        <x:v>Dorian Yates - DY Nutrition - Shadow Line</x:v>
      </x:c>
      <x:c r="C994" t="str">
        <x:v>Shadowhey</x:v>
      </x:c>
      <x:c r="D994" t="str">
        <x:v>Supplements</x:v>
      </x:c>
      <x:c r="E994" t="str">
        <x:v>Whey Protein</x:v>
      </x:c>
      <x:c r="F994" t="str"/>
      <x:c r="G994" t="str">
        <x:v>2kg</x:v>
      </x:c>
      <x:c r="H994" t="str">
        <x:v>Strawberry Banana</x:v>
      </x:c>
      <x:c r="I994" t="str"/>
      <x:c r="J994" t="str">
        <x:v>Unit</x:v>
      </x:c>
      <x:c r="K994" t="str">
        <x:v>Out of stock</x:v>
      </x:c>
      <x:c r="L994" t="str">
        <x:v>2026-09-08</x:v>
      </x:c>
      <x:c r="M994" t="str"/>
      <x:c r="N994" t="str"/>
      <x:c r="O994" t="str">
        <x:v>https://www.activesportstrade.co.uk/Whey-Protein-Supplements-Trade/dorian-yates-dy-nutrition-trade</x:v>
      </x:c>
      <x:c r="P994" t="str">
        <x:v>SPECIAL OFFER / FREE SHAKER wording removed.</x:v>
      </x:c>
      <x:c r="Q994" t="str"/>
      <x:c r="R994" t="str"/>
      <x:c r="S994" t="str">
        <x:v>Pending genuine supplier/brand image</x:v>
      </x:c>
      <x:c r="T994" s="54"/>
      <x:c r="U994" s="47" t="n">
        <x:v>0.2</x:v>
      </x:c>
      <x:c r="V994" s="54" t="str">
        <x:f>IF(ISNUMBER(T994),T994*(1+U994),"")</x:f>
      </x:c>
      <x:c r="W994" s="47" t="n">
        <x:v>0.3</x:v>
      </x:c>
      <x:c r="X994" s="54" t="str">
        <x:f>IF(ISNUMBER(V994),V994/(1-W994),"")</x:f>
      </x:c>
      <x:c r="Y994" s="55" t="str">
        <x:f>IF(ISNUMBER(X994),ROUNDUP(X994,0),"")</x:f>
      </x:c>
      <x:c r="Z994" t="str">
        <x:f>IF(ISNUMBER(T994),"Cost captured","Awaiting trade cost")</x:f>
        <x:v>Awaiting trade cost</x:v>
      </x:c>
      <x:c r="AB994" s="36" t="str">
        <x:f>IF(ISNUMBER(Y994),ROUND(Y994*0.9,2),"")</x:f>
      </x:c>
      <x:c r="AC994" s="36" t="str">
        <x:f>IF(ISNUMBER(AB994),ROUND(AB994-(AB994*0.015+0.2)-V994,2),"")</x:f>
      </x:c>
      <x:c r="AD994" s="36" t="str">
        <x:f>IF(ISNUMBER(Y994),ROUND(Y994*0.8,2),"")</x:f>
      </x:c>
      <x:c r="AE994" s="36" t="str">
        <x:f>IF(ISNUMBER(AD994),ROUND(AD994*0.015+0.2,2),"")</x:f>
      </x:c>
      <x:c r="AF994" s="36" t="str">
        <x:f>IF(ISNUMBER(AD994),ROUND(AD994-AE994-V994,2),"")</x:f>
      </x:c>
      <x:c r="AG994" t="str">
        <x:f>IF(NOT(ISNUMBER(T994)),"PENDING",IF(AF994&gt;0,"PASS","FAIL"))</x:f>
        <x:v>PENDING</x:v>
      </x:c>
      <x:c r="AH994" t="str">
        <x:f>IF(NOT(ISNUMBER(T994)),"Needs supplier cost",IF(K994&lt;&gt;"In stock","Supplier unavailable",IF(AG994&lt;&gt;"PASS","BLOCK - GT loss risk","Commercially protected")))</x:f>
        <x:v>Needs supplier cost</x:v>
      </x:c>
      <x:c r="AI994" t="str">
        <x:v>2026-09-10 Active Sports trade capture</x:v>
      </x:c>
      <x:c r="AJ994" t="str">
        <x:v>Management-only economics. Stripe stress test uses 1.5% + £0.20 standard UK online-card fee; pallet/mix-and-match pricing ignored.</x:v>
      </x:c>
    </x:row>
    <x:row r="995">
      <x:c r="A995" t="str">
        <x:v>Active Sports Nutrition</x:v>
      </x:c>
      <x:c r="B995" t="str">
        <x:v>Dorian Yates - DY Nutrition - Shadow Line</x:v>
      </x:c>
      <x:c r="C995" t="str">
        <x:v>Shadowhey</x:v>
      </x:c>
      <x:c r="D995" t="str">
        <x:v>Supplements</x:v>
      </x:c>
      <x:c r="E995" t="str">
        <x:v>Whey Protein</x:v>
      </x:c>
      <x:c r="F995" t="str"/>
      <x:c r="G995" t="str">
        <x:v>2kg</x:v>
      </x:c>
      <x:c r="H995" t="str">
        <x:v>Vanilla</x:v>
      </x:c>
      <x:c r="I995" t="str"/>
      <x:c r="J995" t="str">
        <x:v>Unit</x:v>
      </x:c>
      <x:c r="K995" t="str">
        <x:v>In stock</x:v>
      </x:c>
      <x:c r="L995" t="str">
        <x:v>2026-09-08</x:v>
      </x:c>
      <x:c r="M995" t="str"/>
      <x:c r="N995" t="str"/>
      <x:c r="O995" t="str">
        <x:v>https://www.activesportstrade.co.uk/Whey-Protein-Supplements-Trade/dorian-yates-dy-nutrition-trade</x:v>
      </x:c>
      <x:c r="P995" t="str">
        <x:v>SPECIAL OFFER / FREE SHAKER wording removed.</x:v>
      </x:c>
      <x:c r="Q995" t="str"/>
      <x:c r="R995" t="str"/>
      <x:c r="S995" t="str">
        <x:v>Pending genuine supplier/brand image</x:v>
      </x:c>
      <x:c r="T995" s="54"/>
      <x:c r="U995" s="47" t="n">
        <x:v>0.2</x:v>
      </x:c>
      <x:c r="V995" s="54" t="str">
        <x:f>IF(ISNUMBER(T995),T995*(1+U995),"")</x:f>
      </x:c>
      <x:c r="W995" s="47" t="n">
        <x:v>0.3</x:v>
      </x:c>
      <x:c r="X995" s="54" t="str">
        <x:f>IF(ISNUMBER(V995),V995/(1-W995),"")</x:f>
      </x:c>
      <x:c r="Y995" s="55" t="str">
        <x:f>IF(ISNUMBER(X995),ROUNDUP(X995,0),"")</x:f>
      </x:c>
      <x:c r="Z995" t="str">
        <x:f>IF(ISNUMBER(T995),"Cost captured","Awaiting trade cost")</x:f>
        <x:v>Awaiting trade cost</x:v>
      </x:c>
      <x:c r="AB995" s="36" t="str">
        <x:f>IF(ISNUMBER(Y995),ROUND(Y995*0.9,2),"")</x:f>
      </x:c>
      <x:c r="AC995" s="36" t="str">
        <x:f>IF(ISNUMBER(AB995),ROUND(AB995-(AB995*0.015+0.2)-V995,2),"")</x:f>
      </x:c>
      <x:c r="AD995" s="36" t="str">
        <x:f>IF(ISNUMBER(Y995),ROUND(Y995*0.8,2),"")</x:f>
      </x:c>
      <x:c r="AE995" s="36" t="str">
        <x:f>IF(ISNUMBER(AD995),ROUND(AD995*0.015+0.2,2),"")</x:f>
      </x:c>
      <x:c r="AF995" s="36" t="str">
        <x:f>IF(ISNUMBER(AD995),ROUND(AD995-AE995-V995,2),"")</x:f>
      </x:c>
      <x:c r="AG995" t="str">
        <x:f>IF(NOT(ISNUMBER(T995)),"PENDING",IF(AF995&gt;0,"PASS","FAIL"))</x:f>
        <x:v>PENDING</x:v>
      </x:c>
      <x:c r="AH995" t="str">
        <x:f>IF(NOT(ISNUMBER(T995)),"Needs supplier cost",IF(K995&lt;&gt;"In stock","Supplier unavailable",IF(AG995&lt;&gt;"PASS","BLOCK - GT loss risk","Commercially protected")))</x:f>
        <x:v>Needs supplier cost</x:v>
      </x:c>
      <x:c r="AI995" t="str">
        <x:v>2026-09-10 Active Sports trade capture</x:v>
      </x:c>
      <x:c r="AJ995" t="str">
        <x:v>Management-only economics. Stripe stress test uses 1.5% + £0.20 standard UK online-card fee; pallet/mix-and-match pricing ignored.</x:v>
      </x:c>
    </x:row>
    <x:row r="996">
      <x:c r="A996" t="str">
        <x:v>Active Sports Nutrition</x:v>
      </x:c>
      <x:c r="B996" t="str">
        <x:v>Dorian Yates - DY Nutrition - Shadow Line</x:v>
      </x:c>
      <x:c r="C996" t="str">
        <x:v>The Glutamine</x:v>
      </x:c>
      <x:c r="D996" t="str">
        <x:v>Supplements</x:v>
      </x:c>
      <x:c r="E996" t="str">
        <x:v>L-Glutamine</x:v>
      </x:c>
      <x:c r="F996" t="str"/>
      <x:c r="G996" t="str">
        <x:v>300g</x:v>
      </x:c>
      <x:c r="H996" t="str">
        <x:v>Unflavoured</x:v>
      </x:c>
      <x:c r="I996" t="str"/>
      <x:c r="J996" t="str">
        <x:v>Unit</x:v>
      </x:c>
      <x:c r="K996" t="str">
        <x:v>In stock</x:v>
      </x:c>
      <x:c r="L996" t="str">
        <x:v>2026-09-08</x:v>
      </x:c>
      <x:c r="M996" t="str"/>
      <x:c r="N996" t="str"/>
      <x:c r="O996" t="str">
        <x:v>https://www.activesportstrade.co.uk/L-Glutamine%20Supplements/dorian-yates-dy-nutrition-trade</x:v>
      </x:c>
      <x:c r="P996" t="str"/>
      <x:c r="Q996" t="str"/>
      <x:c r="R996" t="str"/>
      <x:c r="S996" t="str">
        <x:v>Pending genuine supplier/brand image</x:v>
      </x:c>
      <x:c r="T996" s="54"/>
      <x:c r="U996" s="47" t="n">
        <x:v>0.2</x:v>
      </x:c>
      <x:c r="V996" s="54" t="str">
        <x:f>IF(ISNUMBER(T996),T996*(1+U996),"")</x:f>
      </x:c>
      <x:c r="W996" s="47" t="n">
        <x:v>0.3</x:v>
      </x:c>
      <x:c r="X996" s="54" t="str">
        <x:f>IF(ISNUMBER(V996),V996/(1-W996),"")</x:f>
      </x:c>
      <x:c r="Y996" s="55" t="str">
        <x:f>IF(ISNUMBER(X996),ROUNDUP(X996,0),"")</x:f>
      </x:c>
      <x:c r="Z996" t="str">
        <x:f>IF(ISNUMBER(T996),"Cost captured","Awaiting trade cost")</x:f>
        <x:v>Awaiting trade cost</x:v>
      </x:c>
      <x:c r="AB996" s="36" t="str">
        <x:f>IF(ISNUMBER(Y996),ROUND(Y996*0.9,2),"")</x:f>
      </x:c>
      <x:c r="AC996" s="36" t="str">
        <x:f>IF(ISNUMBER(AB996),ROUND(AB996-(AB996*0.015+0.2)-V996,2),"")</x:f>
      </x:c>
      <x:c r="AD996" s="36" t="str">
        <x:f>IF(ISNUMBER(Y996),ROUND(Y996*0.8,2),"")</x:f>
      </x:c>
      <x:c r="AE996" s="36" t="str">
        <x:f>IF(ISNUMBER(AD996),ROUND(AD996*0.015+0.2,2),"")</x:f>
      </x:c>
      <x:c r="AF996" s="36" t="str">
        <x:f>IF(ISNUMBER(AD996),ROUND(AD996-AE996-V996,2),"")</x:f>
      </x:c>
      <x:c r="AG996" t="str">
        <x:f>IF(NOT(ISNUMBER(T996)),"PENDING",IF(AF996&gt;0,"PASS","FAIL"))</x:f>
        <x:v>PENDING</x:v>
      </x:c>
      <x:c r="AH996" t="str">
        <x:f>IF(NOT(ISNUMBER(T996)),"Needs supplier cost",IF(K996&lt;&gt;"In stock","Supplier unavailable",IF(AG996&lt;&gt;"PASS","BLOCK - GT loss risk","Commercially protected")))</x:f>
        <x:v>Needs supplier cost</x:v>
      </x:c>
      <x:c r="AI996" t="str">
        <x:v>2026-09-10 Active Sports trade capture</x:v>
      </x:c>
      <x:c r="AJ996" t="str">
        <x:v>Management-only economics. Stripe stress test uses 1.5% + £0.20 standard UK online-card fee; pallet/mix-and-match pricing ignored.</x:v>
      </x:c>
    </x:row>
    <x:row r="997">
      <x:c r="A997" t="str">
        <x:v>Active Sports Nutrition</x:v>
      </x:c>
      <x:c r="B997" t="str">
        <x:v>Dorian Yates - DY Nutrition - Shadow Line</x:v>
      </x:c>
      <x:c r="C997" t="str">
        <x:v>Black Bombs</x:v>
      </x:c>
      <x:c r="D997" t="str">
        <x:v>Supplements</x:v>
      </x:c>
      <x:c r="E997" t="str">
        <x:v>Fat Burners</x:v>
      </x:c>
      <x:c r="F997" t="str"/>
      <x:c r="G997" t="str">
        <x:v>60 tabs</x:v>
      </x:c>
      <x:c r="H997" t="str">
        <x:v>Default</x:v>
      </x:c>
      <x:c r="I997" t="str"/>
      <x:c r="J997" t="str">
        <x:v>Unit</x:v>
      </x:c>
      <x:c r="K997" t="str">
        <x:v>In stock</x:v>
      </x:c>
      <x:c r="L997" t="str">
        <x:v>2026-09-08</x:v>
      </x:c>
      <x:c r="M997" t="str"/>
      <x:c r="N997" t="str"/>
      <x:c r="O997" t="str">
        <x:v>https://www.activesportstrade.co.uk/Diet-Weight-Loss/dorian-yates-dy-nutrition-trade</x:v>
      </x:c>
      <x:c r="P997" t="str">
        <x:v>Supplier free-stock offer stripped; only canonical sellable product retained.</x:v>
      </x:c>
      <x:c r="Q997" t="str"/>
      <x:c r="R997" t="str"/>
      <x:c r="S997" t="str">
        <x:v>Pending genuine supplier/brand image</x:v>
      </x:c>
      <x:c r="T997" s="54"/>
      <x:c r="U997" s="47" t="n">
        <x:v>0.2</x:v>
      </x:c>
      <x:c r="V997" s="54" t="str">
        <x:f>IF(ISNUMBER(T997),T997*(1+U997),"")</x:f>
      </x:c>
      <x:c r="W997" s="47" t="n">
        <x:v>0.3</x:v>
      </x:c>
      <x:c r="X997" s="54" t="str">
        <x:f>IF(ISNUMBER(V997),V997/(1-W997),"")</x:f>
      </x:c>
      <x:c r="Y997" s="55" t="str">
        <x:f>IF(ISNUMBER(X997),ROUNDUP(X997,0),"")</x:f>
      </x:c>
      <x:c r="Z997" t="str">
        <x:f>IF(ISNUMBER(T997),"Cost captured","Awaiting trade cost")</x:f>
        <x:v>Awaiting trade cost</x:v>
      </x:c>
      <x:c r="AB997" s="36" t="str">
        <x:f>IF(ISNUMBER(Y997),ROUND(Y997*0.9,2),"")</x:f>
      </x:c>
      <x:c r="AC997" s="36" t="str">
        <x:f>IF(ISNUMBER(AB997),ROUND(AB997-(AB997*0.015+0.2)-V997,2),"")</x:f>
      </x:c>
      <x:c r="AD997" s="36" t="str">
        <x:f>IF(ISNUMBER(Y997),ROUND(Y997*0.8,2),"")</x:f>
      </x:c>
      <x:c r="AE997" s="36" t="str">
        <x:f>IF(ISNUMBER(AD997),ROUND(AD997*0.015+0.2,2),"")</x:f>
      </x:c>
      <x:c r="AF997" s="36" t="str">
        <x:f>IF(ISNUMBER(AD997),ROUND(AD997-AE997-V997,2),"")</x:f>
      </x:c>
      <x:c r="AG997" t="str">
        <x:f>IF(NOT(ISNUMBER(T997)),"PENDING",IF(AF997&gt;0,"PASS","FAIL"))</x:f>
        <x:v>PENDING</x:v>
      </x:c>
      <x:c r="AH997" t="str">
        <x:f>IF(NOT(ISNUMBER(T997)),"Needs supplier cost",IF(K997&lt;&gt;"In stock","Supplier unavailable",IF(AG997&lt;&gt;"PASS","BLOCK - GT loss risk","Commercially protected")))</x:f>
        <x:v>Needs supplier cost</x:v>
      </x:c>
      <x:c r="AI997" t="str">
        <x:v>2026-09-10 Active Sports trade capture</x:v>
      </x:c>
      <x:c r="AJ997" t="str">
        <x:v>Management-only economics. Stripe stress test uses 1.5% + £0.20 standard UK online-card fee; pallet/mix-and-match pricing ignored.</x:v>
      </x:c>
    </x:row>
    <x:row r="998">
      <x:c r="A998" t="str">
        <x:v>Active Sports Nutrition</x:v>
      </x:c>
      <x:c r="B998" t="str">
        <x:v>Dorian Yates - DY Nutrition - Shadow Line</x:v>
      </x:c>
      <x:c r="C998" t="str">
        <x:v>Liquid L-Carnitine L-Tartrate Shots</x:v>
      </x:c>
      <x:c r="D998" t="str">
        <x:v>Supplements</x:v>
      </x:c>
      <x:c r="E998" t="str">
        <x:v>L-Carnitine</x:v>
      </x:c>
      <x:c r="F998" t="str"/>
      <x:c r="G998" t="str">
        <x:v>20 x 25ml shots</x:v>
      </x:c>
      <x:c r="H998" t="str">
        <x:v>Orange</x:v>
      </x:c>
      <x:c r="I998" t="str">
        <x:v>20</x:v>
      </x:c>
      <x:c r="J998" t="str">
        <x:v>Case</x:v>
      </x:c>
      <x:c r="K998" t="str">
        <x:v>Out of stock</x:v>
      </x:c>
      <x:c r="L998" t="str">
        <x:v>2026-09-08</x:v>
      </x:c>
      <x:c r="M998" t="str"/>
      <x:c r="N998" t="str"/>
      <x:c r="O998" t="str">
        <x:v>https://www.activesportstrade.co.uk/Diet-Weight-Loss/dorian-yates-dy-nutrition-trade</x:v>
      </x:c>
      <x:c r="P998" t="str"/>
      <x:c r="Q998" t="str"/>
      <x:c r="R998" t="str"/>
      <x:c r="S998" t="str">
        <x:v>Pending genuine supplier/brand image</x:v>
      </x:c>
      <x:c r="T998" s="54"/>
      <x:c r="U998" s="47" t="n">
        <x:v>0.2</x:v>
      </x:c>
      <x:c r="V998" s="54" t="str">
        <x:f>IF(ISNUMBER(T998),T998*(1+U998),"")</x:f>
      </x:c>
      <x:c r="W998" s="47" t="n">
        <x:v>0.3</x:v>
      </x:c>
      <x:c r="X998" s="54" t="str">
        <x:f>IF(ISNUMBER(V998),V998/(1-W998),"")</x:f>
      </x:c>
      <x:c r="Y998" s="55" t="str">
        <x:f>IF(ISNUMBER(X998),ROUNDUP(X998,0),"")</x:f>
      </x:c>
      <x:c r="Z998" t="str">
        <x:f>IF(ISNUMBER(T998),"Cost captured","Awaiting trade cost")</x:f>
        <x:v>Awaiting trade cost</x:v>
      </x:c>
      <x:c r="AB998" s="36" t="str">
        <x:f>IF(ISNUMBER(Y998),ROUND(Y998*0.9,2),"")</x:f>
      </x:c>
      <x:c r="AC998" s="36" t="str">
        <x:f>IF(ISNUMBER(AB998),ROUND(AB998-(AB998*0.015+0.2)-V998,2),"")</x:f>
      </x:c>
      <x:c r="AD998" s="36" t="str">
        <x:f>IF(ISNUMBER(Y998),ROUND(Y998*0.8,2),"")</x:f>
      </x:c>
      <x:c r="AE998" s="36" t="str">
        <x:f>IF(ISNUMBER(AD998),ROUND(AD998*0.015+0.2,2),"")</x:f>
      </x:c>
      <x:c r="AF998" s="36" t="str">
        <x:f>IF(ISNUMBER(AD998),ROUND(AD998-AE998-V998,2),"")</x:f>
      </x:c>
      <x:c r="AG998" t="str">
        <x:f>IF(NOT(ISNUMBER(T998)),"PENDING",IF(AF998&gt;0,"PASS","FAIL"))</x:f>
        <x:v>PENDING</x:v>
      </x:c>
      <x:c r="AH998" t="str">
        <x:f>IF(NOT(ISNUMBER(T998)),"Needs supplier cost",IF(K998&lt;&gt;"In stock","Supplier unavailable",IF(AG998&lt;&gt;"PASS","BLOCK - GT loss risk","Commercially protected")))</x:f>
        <x:v>Needs supplier cost</x:v>
      </x:c>
      <x:c r="AI998" t="str">
        <x:v>2026-09-10 Active Sports trade capture</x:v>
      </x:c>
      <x:c r="AJ998" t="str">
        <x:v>Management-only economics. Stripe stress test uses 1.5% + £0.20 standard UK online-card fee; pallet/mix-and-match pricing ignored.</x:v>
      </x:c>
    </x:row>
    <x:row r="999">
      <x:c r="A999" t="str">
        <x:v>Active Sports Nutrition</x:v>
      </x:c>
      <x:c r="B999" t="str">
        <x:v>Dorian Yates - DY Nutrition - Shadow Line</x:v>
      </x:c>
      <x:c r="C999" t="str">
        <x:v>Liquid L-Carnitine L-Tartrate Shots</x:v>
      </x:c>
      <x:c r="D999" t="str">
        <x:v>Supplements</x:v>
      </x:c>
      <x:c r="E999" t="str">
        <x:v>L-Carnitine</x:v>
      </x:c>
      <x:c r="F999" t="str"/>
      <x:c r="G999" t="str">
        <x:v>20 x 25ml shots</x:v>
      </x:c>
      <x:c r="H999" t="str">
        <x:v>Peach</x:v>
      </x:c>
      <x:c r="I999" t="str">
        <x:v>20</x:v>
      </x:c>
      <x:c r="J999" t="str">
        <x:v>Case</x:v>
      </x:c>
      <x:c r="K999" t="str">
        <x:v>Out of stock</x:v>
      </x:c>
      <x:c r="L999" t="str">
        <x:v>2026-09-08</x:v>
      </x:c>
      <x:c r="M999" t="str"/>
      <x:c r="N999" t="str"/>
      <x:c r="O999" t="str">
        <x:v>https://www.activesportstrade.co.uk/Diet-Weight-Loss/dorian-yates-dy-nutrition-trade</x:v>
      </x:c>
      <x:c r="P999" t="str"/>
      <x:c r="Q999" t="str"/>
      <x:c r="R999" t="str"/>
      <x:c r="S999" t="str">
        <x:v>Pending genuine supplier/brand image</x:v>
      </x:c>
      <x:c r="T999" s="54"/>
      <x:c r="U999" s="47" t="n">
        <x:v>0.2</x:v>
      </x:c>
      <x:c r="V999" s="54" t="str">
        <x:f>IF(ISNUMBER(T999),T999*(1+U999),"")</x:f>
      </x:c>
      <x:c r="W999" s="47" t="n">
        <x:v>0.3</x:v>
      </x:c>
      <x:c r="X999" s="54" t="str">
        <x:f>IF(ISNUMBER(V999),V999/(1-W999),"")</x:f>
      </x:c>
      <x:c r="Y999" s="55" t="str">
        <x:f>IF(ISNUMBER(X999),ROUNDUP(X999,0),"")</x:f>
      </x:c>
      <x:c r="Z999" t="str">
        <x:f>IF(ISNUMBER(T999),"Cost captured","Awaiting trade cost")</x:f>
        <x:v>Awaiting trade cost</x:v>
      </x:c>
      <x:c r="AB999" s="36" t="str">
        <x:f>IF(ISNUMBER(Y999),ROUND(Y999*0.9,2),"")</x:f>
      </x:c>
      <x:c r="AC999" s="36" t="str">
        <x:f>IF(ISNUMBER(AB999),ROUND(AB999-(AB999*0.015+0.2)-V999,2),"")</x:f>
      </x:c>
      <x:c r="AD999" s="36" t="str">
        <x:f>IF(ISNUMBER(Y999),ROUND(Y999*0.8,2),"")</x:f>
      </x:c>
      <x:c r="AE999" s="36" t="str">
        <x:f>IF(ISNUMBER(AD999),ROUND(AD999*0.015+0.2,2),"")</x:f>
      </x:c>
      <x:c r="AF999" s="36" t="str">
        <x:f>IF(ISNUMBER(AD999),ROUND(AD999-AE999-V999,2),"")</x:f>
      </x:c>
      <x:c r="AG999" t="str">
        <x:f>IF(NOT(ISNUMBER(T999)),"PENDING",IF(AF999&gt;0,"PASS","FAIL"))</x:f>
        <x:v>PENDING</x:v>
      </x:c>
      <x:c r="AH999" t="str">
        <x:f>IF(NOT(ISNUMBER(T999)),"Needs supplier cost",IF(K999&lt;&gt;"In stock","Supplier unavailable",IF(AG999&lt;&gt;"PASS","BLOCK - GT loss risk","Commercially protected")))</x:f>
        <x:v>Needs supplier cost</x:v>
      </x:c>
      <x:c r="AI999" t="str">
        <x:v>2026-09-10 Active Sports trade capture</x:v>
      </x:c>
      <x:c r="AJ999" t="str">
        <x:v>Management-only economics. Stripe stress test uses 1.5% + £0.20 standard UK online-card fee; pallet/mix-and-match pricing ignored.</x:v>
      </x:c>
    </x:row>
    <x:row r="1000">
      <x:c r="A1000" t="str">
        <x:v>Active Sports Nutrition</x:v>
      </x:c>
      <x:c r="B1000" t="str">
        <x:v>Dorian Yates - DY Nutrition - Shadow Line</x:v>
      </x:c>
      <x:c r="C1000" t="str">
        <x:v>Slender</x:v>
      </x:c>
      <x:c r="D1000" t="str">
        <x:v>Supplements</x:v>
      </x:c>
      <x:c r="E1000" t="str">
        <x:v>Fat Burners</x:v>
      </x:c>
      <x:c r="F1000" t="str"/>
      <x:c r="G1000" t="str">
        <x:v>450g</x:v>
      </x:c>
      <x:c r="H1000" t="str">
        <x:v>Raspberry</x:v>
      </x:c>
      <x:c r="I1000" t="str"/>
      <x:c r="J1000" t="str">
        <x:v>Unit</x:v>
      </x:c>
      <x:c r="K1000" t="str">
        <x:v>In stock</x:v>
      </x:c>
      <x:c r="L1000" t="str">
        <x:v>2026-09-08</x:v>
      </x:c>
      <x:c r="M1000" t="str"/>
      <x:c r="N1000" t="str"/>
      <x:c r="O1000" t="str">
        <x:v>https://www.activesportstrade.co.uk/Diet-Weight-Loss/dorian-yates-dy-nutrition-trade</x:v>
      </x:c>
      <x:c r="P1000" t="str"/>
      <x:c r="Q1000" t="str"/>
      <x:c r="R1000" t="str"/>
      <x:c r="S1000" t="str">
        <x:v>Pending genuine supplier/brand image</x:v>
      </x:c>
      <x:c r="T1000" s="54"/>
      <x:c r="U1000" s="47" t="n">
        <x:v>0.2</x:v>
      </x:c>
      <x:c r="V1000" s="54" t="str">
        <x:f>IF(ISNUMBER(T1000),T1000*(1+U1000),"")</x:f>
      </x:c>
      <x:c r="W1000" s="47" t="n">
        <x:v>0.3</x:v>
      </x:c>
      <x:c r="X1000" s="54" t="str">
        <x:f>IF(ISNUMBER(V1000),V1000/(1-W1000),"")</x:f>
      </x:c>
      <x:c r="Y1000" s="55" t="str">
        <x:f>IF(ISNUMBER(X1000),ROUNDUP(X1000,0),"")</x:f>
      </x:c>
      <x:c r="Z1000" t="str">
        <x:f>IF(ISNUMBER(T1000),"Cost captured","Awaiting trade cost")</x:f>
        <x:v>Awaiting trade cost</x:v>
      </x:c>
      <x:c r="AB1000" s="36" t="str">
        <x:f>IF(ISNUMBER(Y1000),ROUND(Y1000*0.9,2),"")</x:f>
      </x:c>
      <x:c r="AC1000" s="36" t="str">
        <x:f>IF(ISNUMBER(AB1000),ROUND(AB1000-(AB1000*0.015+0.2)-V1000,2),"")</x:f>
      </x:c>
      <x:c r="AD1000" s="36" t="str">
        <x:f>IF(ISNUMBER(Y1000),ROUND(Y1000*0.8,2),"")</x:f>
      </x:c>
      <x:c r="AE1000" s="36" t="str">
        <x:f>IF(ISNUMBER(AD1000),ROUND(AD1000*0.015+0.2,2),"")</x:f>
      </x:c>
      <x:c r="AF1000" s="36" t="str">
        <x:f>IF(ISNUMBER(AD1000),ROUND(AD1000-AE1000-V1000,2),"")</x:f>
      </x:c>
      <x:c r="AG1000" t="str">
        <x:f>IF(NOT(ISNUMBER(T1000)),"PENDING",IF(AF1000&gt;0,"PASS","FAIL"))</x:f>
        <x:v>PENDING</x:v>
      </x:c>
      <x:c r="AH1000" t="str">
        <x:f>IF(NOT(ISNUMBER(T1000)),"Needs supplier cost",IF(K1000&lt;&gt;"In stock","Supplier unavailable",IF(AG1000&lt;&gt;"PASS","BLOCK - GT loss risk","Commercially protected")))</x:f>
        <x:v>Needs supplier cost</x:v>
      </x:c>
      <x:c r="AI1000" t="str">
        <x:v>2026-09-10 Active Sports trade capture</x:v>
      </x:c>
      <x:c r="AJ1000" t="str">
        <x:v>Management-only economics. Stripe stress test uses 1.5% + £0.20 standard UK online-card fee; pallet/mix-and-match pricing ignored.</x:v>
      </x:c>
    </x:row>
    <x:row r="1001">
      <x:c r="A1001" t="str">
        <x:v>Active Sports Nutrition</x:v>
      </x:c>
      <x:c r="B1001" t="str">
        <x:v>Dorian Yates - DY Nutrition - Shadow Line</x:v>
      </x:c>
      <x:c r="C1001" t="str">
        <x:v>Slender</x:v>
      </x:c>
      <x:c r="D1001" t="str">
        <x:v>Supplements</x:v>
      </x:c>
      <x:c r="E1001" t="str">
        <x:v>Fat Burners</x:v>
      </x:c>
      <x:c r="F1001" t="str"/>
      <x:c r="G1001" t="str">
        <x:v>450g</x:v>
      </x:c>
      <x:c r="H1001" t="str">
        <x:v>Strawberry</x:v>
      </x:c>
      <x:c r="I1001" t="str"/>
      <x:c r="J1001" t="str">
        <x:v>Unit</x:v>
      </x:c>
      <x:c r="K1001" t="str">
        <x:v>In stock</x:v>
      </x:c>
      <x:c r="L1001" t="str">
        <x:v>2026-09-08</x:v>
      </x:c>
      <x:c r="M1001" t="str"/>
      <x:c r="N1001" t="str"/>
      <x:c r="O1001" t="str">
        <x:v>https://www.activesportstrade.co.uk/Diet-Weight-Loss/dorian-yates-dy-nutrition-trade</x:v>
      </x:c>
      <x:c r="P1001" t="str"/>
      <x:c r="Q1001" t="str"/>
      <x:c r="R1001" t="str"/>
      <x:c r="S1001" t="str">
        <x:v>Pending genuine supplier/brand image</x:v>
      </x:c>
      <x:c r="T1001" s="54"/>
      <x:c r="U1001" s="47" t="n">
        <x:v>0.2</x:v>
      </x:c>
      <x:c r="V1001" s="54" t="str">
        <x:f>IF(ISNUMBER(T1001),T1001*(1+U1001),"")</x:f>
      </x:c>
      <x:c r="W1001" s="47" t="n">
        <x:v>0.3</x:v>
      </x:c>
      <x:c r="X1001" s="54" t="str">
        <x:f>IF(ISNUMBER(V1001),V1001/(1-W1001),"")</x:f>
      </x:c>
      <x:c r="Y1001" s="55" t="str">
        <x:f>IF(ISNUMBER(X1001),ROUNDUP(X1001,0),"")</x:f>
      </x:c>
      <x:c r="Z1001" t="str">
        <x:f>IF(ISNUMBER(T1001),"Cost captured","Awaiting trade cost")</x:f>
        <x:v>Awaiting trade cost</x:v>
      </x:c>
      <x:c r="AB1001" s="36" t="str">
        <x:f>IF(ISNUMBER(Y1001),ROUND(Y1001*0.9,2),"")</x:f>
      </x:c>
      <x:c r="AC1001" s="36" t="str">
        <x:f>IF(ISNUMBER(AB1001),ROUND(AB1001-(AB1001*0.015+0.2)-V1001,2),"")</x:f>
      </x:c>
      <x:c r="AD1001" s="36" t="str">
        <x:f>IF(ISNUMBER(Y1001),ROUND(Y1001*0.8,2),"")</x:f>
      </x:c>
      <x:c r="AE1001" s="36" t="str">
        <x:f>IF(ISNUMBER(AD1001),ROUND(AD1001*0.015+0.2,2),"")</x:f>
      </x:c>
      <x:c r="AF1001" s="36" t="str">
        <x:f>IF(ISNUMBER(AD1001),ROUND(AD1001-AE1001-V1001,2),"")</x:f>
      </x:c>
      <x:c r="AG1001" t="str">
        <x:f>IF(NOT(ISNUMBER(T1001)),"PENDING",IF(AF1001&gt;0,"PASS","FAIL"))</x:f>
        <x:v>PENDING</x:v>
      </x:c>
      <x:c r="AH1001" t="str">
        <x:f>IF(NOT(ISNUMBER(T1001)),"Needs supplier cost",IF(K1001&lt;&gt;"In stock","Supplier unavailable",IF(AG1001&lt;&gt;"PASS","BLOCK - GT loss risk","Commercially protected")))</x:f>
        <x:v>Needs supplier cost</x:v>
      </x:c>
      <x:c r="AI1001" t="str">
        <x:v>2026-09-10 Active Sports trade capture</x:v>
      </x:c>
      <x:c r="AJ1001" t="str">
        <x:v>Management-only economics. Stripe stress test uses 1.5% + £0.20 standard UK online-card fee; pallet/mix-and-match pricing ignored.</x:v>
      </x:c>
    </x:row>
    <x:row r="1002">
      <x:c r="A1002" t="str">
        <x:v>Active Sports Nutrition</x:v>
      </x:c>
      <x:c r="B1002" t="str">
        <x:v>Dorian Yates - DY Nutrition - Shadow Line</x:v>
      </x:c>
      <x:c r="C1002" t="str">
        <x:v>Blood and Guts</x:v>
      </x:c>
      <x:c r="D1002" t="str">
        <x:v>Pre Workouts</x:v>
      </x:c>
      <x:c r="E1002" t="str">
        <x:v>High Stim</x:v>
      </x:c>
      <x:c r="F1002" t="str"/>
      <x:c r="G1002" t="str">
        <x:v>380g</x:v>
      </x:c>
      <x:c r="H1002" t="str">
        <x:v>Blueberry</x:v>
      </x:c>
      <x:c r="I1002" t="str"/>
      <x:c r="J1002" t="str">
        <x:v>Unit</x:v>
      </x:c>
      <x:c r="K1002" t="str">
        <x:v>In stock</x:v>
      </x:c>
      <x:c r="L1002" t="str">
        <x:v>2026-09-08</x:v>
      </x:c>
      <x:c r="M1002" t="str">
        <x:v>05949106120012</x:v>
      </x:c>
      <x:c r="N1002" t="str"/>
      <x:c r="O1002" t="str">
        <x:v>https://www.activesportstrade.co.uk/pre-workouts-powder-trade/dorian-yates-dy-nutrition-trade</x:v>
      </x:c>
      <x:c r="P1002" t="str">
        <x:v>SPECIAL OFFER wording removed.</x:v>
      </x:c>
      <x:c r="Q1002" t="str"/>
      <x:c r="R1002" t="str"/>
      <x:c r="S1002" t="str">
        <x:v>Pending genuine supplier/brand image</x:v>
      </x:c>
      <x:c r="T1002" s="54"/>
      <x:c r="U1002" s="47" t="n">
        <x:v>0.2</x:v>
      </x:c>
      <x:c r="V1002" s="54" t="str">
        <x:f>IF(ISNUMBER(T1002),T1002*(1+U1002),"")</x:f>
      </x:c>
      <x:c r="W1002" s="47" t="n">
        <x:v>0.3</x:v>
      </x:c>
      <x:c r="X1002" s="54" t="str">
        <x:f>IF(ISNUMBER(V1002),V1002/(1-W1002),"")</x:f>
      </x:c>
      <x:c r="Y1002" s="55" t="str">
        <x:f>IF(ISNUMBER(X1002),ROUNDUP(X1002,0),"")</x:f>
      </x:c>
      <x:c r="Z1002" t="str">
        <x:f>IF(ISNUMBER(T1002),"Cost captured","Awaiting trade cost")</x:f>
        <x:v>Awaiting trade cost</x:v>
      </x:c>
      <x:c r="AB1002" s="36" t="str">
        <x:f>IF(ISNUMBER(Y1002),ROUND(Y1002*0.9,2),"")</x:f>
      </x:c>
      <x:c r="AC1002" s="36" t="str">
        <x:f>IF(ISNUMBER(AB1002),ROUND(AB1002-(AB1002*0.015+0.2)-V1002,2),"")</x:f>
      </x:c>
      <x:c r="AD1002" s="36" t="str">
        <x:f>IF(ISNUMBER(Y1002),ROUND(Y1002*0.8,2),"")</x:f>
      </x:c>
      <x:c r="AE1002" s="36" t="str">
        <x:f>IF(ISNUMBER(AD1002),ROUND(AD1002*0.015+0.2,2),"")</x:f>
      </x:c>
      <x:c r="AF1002" s="36" t="str">
        <x:f>IF(ISNUMBER(AD1002),ROUND(AD1002-AE1002-V1002,2),"")</x:f>
      </x:c>
      <x:c r="AG1002" t="str">
        <x:f>IF(NOT(ISNUMBER(T1002)),"PENDING",IF(AF1002&gt;0,"PASS","FAIL"))</x:f>
        <x:v>PENDING</x:v>
      </x:c>
      <x:c r="AH1002" t="str">
        <x:f>IF(NOT(ISNUMBER(T1002)),"Needs supplier cost",IF(K1002&lt;&gt;"In stock","Supplier unavailable",IF(AG1002&lt;&gt;"PASS","BLOCK - GT loss risk","Commercially protected")))</x:f>
        <x:v>Needs supplier cost</x:v>
      </x:c>
      <x:c r="AI1002" t="str">
        <x:v>2026-09-10 Active Sports trade capture</x:v>
      </x:c>
      <x:c r="AJ1002" t="str">
        <x:v>Management-only economics. Stripe stress test uses 1.5% + £0.20 standard UK online-card fee; pallet/mix-and-match pricing ignored.</x:v>
      </x:c>
    </x:row>
    <x:row r="1003">
      <x:c r="A1003" t="str">
        <x:v>Active Sports Nutrition</x:v>
      </x:c>
      <x:c r="B1003" t="str">
        <x:v>Dorian Yates - DY Nutrition - Shadow Line</x:v>
      </x:c>
      <x:c r="C1003" t="str">
        <x:v>Blood and Guts</x:v>
      </x:c>
      <x:c r="D1003" t="str">
        <x:v>Pre Workouts</x:v>
      </x:c>
      <x:c r="E1003" t="str">
        <x:v>High Stim</x:v>
      </x:c>
      <x:c r="F1003" t="str"/>
      <x:c r="G1003" t="str">
        <x:v>380g</x:v>
      </x:c>
      <x:c r="H1003" t="str">
        <x:v>Bubblegum</x:v>
      </x:c>
      <x:c r="I1003" t="str"/>
      <x:c r="J1003" t="str">
        <x:v>Unit</x:v>
      </x:c>
      <x:c r="K1003" t="str">
        <x:v>In stock</x:v>
      </x:c>
      <x:c r="L1003" t="str">
        <x:v>2026-09-08</x:v>
      </x:c>
      <x:c r="M1003" t="str">
        <x:v>05949106120012</x:v>
      </x:c>
      <x:c r="N1003" t="str"/>
      <x:c r="O1003" t="str">
        <x:v>https://www.activesportstrade.co.uk/pre-workouts-powder-trade/dorian-yates-dy-nutrition-trade</x:v>
      </x:c>
      <x:c r="P1003" t="str">
        <x:v>SPECIAL OFFER wording removed.</x:v>
      </x:c>
      <x:c r="Q1003" t="str"/>
      <x:c r="R1003" t="str"/>
      <x:c r="S1003" t="str">
        <x:v>Pending genuine supplier/brand image</x:v>
      </x:c>
      <x:c r="T1003" s="54"/>
      <x:c r="U1003" s="47" t="n">
        <x:v>0.2</x:v>
      </x:c>
      <x:c r="V1003" s="54" t="str">
        <x:f>IF(ISNUMBER(T1003),T1003*(1+U1003),"")</x:f>
      </x:c>
      <x:c r="W1003" s="47" t="n">
        <x:v>0.3</x:v>
      </x:c>
      <x:c r="X1003" s="54" t="str">
        <x:f>IF(ISNUMBER(V1003),V1003/(1-W1003),"")</x:f>
      </x:c>
      <x:c r="Y1003" s="55" t="str">
        <x:f>IF(ISNUMBER(X1003),ROUNDUP(X1003,0),"")</x:f>
      </x:c>
      <x:c r="Z1003" t="str">
        <x:f>IF(ISNUMBER(T1003),"Cost captured","Awaiting trade cost")</x:f>
        <x:v>Awaiting trade cost</x:v>
      </x:c>
      <x:c r="AB1003" s="36" t="str">
        <x:f>IF(ISNUMBER(Y1003),ROUND(Y1003*0.9,2),"")</x:f>
      </x:c>
      <x:c r="AC1003" s="36" t="str">
        <x:f>IF(ISNUMBER(AB1003),ROUND(AB1003-(AB1003*0.015+0.2)-V1003,2),"")</x:f>
      </x:c>
      <x:c r="AD1003" s="36" t="str">
        <x:f>IF(ISNUMBER(Y1003),ROUND(Y1003*0.8,2),"")</x:f>
      </x:c>
      <x:c r="AE1003" s="36" t="str">
        <x:f>IF(ISNUMBER(AD1003),ROUND(AD1003*0.015+0.2,2),"")</x:f>
      </x:c>
      <x:c r="AF1003" s="36" t="str">
        <x:f>IF(ISNUMBER(AD1003),ROUND(AD1003-AE1003-V1003,2),"")</x:f>
      </x:c>
      <x:c r="AG1003" t="str">
        <x:f>IF(NOT(ISNUMBER(T1003)),"PENDING",IF(AF1003&gt;0,"PASS","FAIL"))</x:f>
        <x:v>PENDING</x:v>
      </x:c>
      <x:c r="AH1003" t="str">
        <x:f>IF(NOT(ISNUMBER(T1003)),"Needs supplier cost",IF(K1003&lt;&gt;"In stock","Supplier unavailable",IF(AG1003&lt;&gt;"PASS","BLOCK - GT loss risk","Commercially protected")))</x:f>
        <x:v>Needs supplier cost</x:v>
      </x:c>
      <x:c r="AI1003" t="str">
        <x:v>2026-09-10 Active Sports trade capture</x:v>
      </x:c>
      <x:c r="AJ1003" t="str">
        <x:v>Management-only economics. Stripe stress test uses 1.5% + £0.20 standard UK online-card fee; pallet/mix-and-match pricing ignored.</x:v>
      </x:c>
    </x:row>
    <x:row r="1004">
      <x:c r="A1004" t="str">
        <x:v>Active Sports Nutrition</x:v>
      </x:c>
      <x:c r="B1004" t="str">
        <x:v>Dorian Yates - DY Nutrition - Shadow Line</x:v>
      </x:c>
      <x:c r="C1004" t="str">
        <x:v>Blood and Guts</x:v>
      </x:c>
      <x:c r="D1004" t="str">
        <x:v>Pre Workouts</x:v>
      </x:c>
      <x:c r="E1004" t="str">
        <x:v>High Stim</x:v>
      </x:c>
      <x:c r="F1004" t="str"/>
      <x:c r="G1004" t="str">
        <x:v>380g</x:v>
      </x:c>
      <x:c r="H1004" t="str">
        <x:v>Cola</x:v>
      </x:c>
      <x:c r="I1004" t="str"/>
      <x:c r="J1004" t="str">
        <x:v>Unit</x:v>
      </x:c>
      <x:c r="K1004" t="str">
        <x:v>In stock</x:v>
      </x:c>
      <x:c r="L1004" t="str">
        <x:v>2026-09-08</x:v>
      </x:c>
      <x:c r="M1004" t="str">
        <x:v>05949106120012</x:v>
      </x:c>
      <x:c r="N1004" t="str"/>
      <x:c r="O1004" t="str">
        <x:v>https://www.activesportstrade.co.uk/pre-workouts-powder-trade/dorian-yates-dy-nutrition-trade</x:v>
      </x:c>
      <x:c r="P1004" t="str">
        <x:v>SPECIAL OFFER wording removed.</x:v>
      </x:c>
      <x:c r="Q1004" t="str"/>
      <x:c r="R1004" t="str"/>
      <x:c r="S1004" t="str">
        <x:v>Pending genuine supplier/brand image</x:v>
      </x:c>
      <x:c r="T1004" s="54"/>
      <x:c r="U1004" s="47" t="n">
        <x:v>0.2</x:v>
      </x:c>
      <x:c r="V1004" s="54" t="str">
        <x:f>IF(ISNUMBER(T1004),T1004*(1+U1004),"")</x:f>
      </x:c>
      <x:c r="W1004" s="47" t="n">
        <x:v>0.3</x:v>
      </x:c>
      <x:c r="X1004" s="54" t="str">
        <x:f>IF(ISNUMBER(V1004),V1004/(1-W1004),"")</x:f>
      </x:c>
      <x:c r="Y1004" s="55" t="str">
        <x:f>IF(ISNUMBER(X1004),ROUNDUP(X1004,0),"")</x:f>
      </x:c>
      <x:c r="Z1004" t="str">
        <x:f>IF(ISNUMBER(T1004),"Cost captured","Awaiting trade cost")</x:f>
        <x:v>Awaiting trade cost</x:v>
      </x:c>
      <x:c r="AB1004" s="36" t="str">
        <x:f>IF(ISNUMBER(Y1004),ROUND(Y1004*0.9,2),"")</x:f>
      </x:c>
      <x:c r="AC1004" s="36" t="str">
        <x:f>IF(ISNUMBER(AB1004),ROUND(AB1004-(AB1004*0.015+0.2)-V1004,2),"")</x:f>
      </x:c>
      <x:c r="AD1004" s="36" t="str">
        <x:f>IF(ISNUMBER(Y1004),ROUND(Y1004*0.8,2),"")</x:f>
      </x:c>
      <x:c r="AE1004" s="36" t="str">
        <x:f>IF(ISNUMBER(AD1004),ROUND(AD1004*0.015+0.2,2),"")</x:f>
      </x:c>
      <x:c r="AF1004" s="36" t="str">
        <x:f>IF(ISNUMBER(AD1004),ROUND(AD1004-AE1004-V1004,2),"")</x:f>
      </x:c>
      <x:c r="AG1004" t="str">
        <x:f>IF(NOT(ISNUMBER(T1004)),"PENDING",IF(AF1004&gt;0,"PASS","FAIL"))</x:f>
        <x:v>PENDING</x:v>
      </x:c>
      <x:c r="AH1004" t="str">
        <x:f>IF(NOT(ISNUMBER(T1004)),"Needs supplier cost",IF(K1004&lt;&gt;"In stock","Supplier unavailable",IF(AG1004&lt;&gt;"PASS","BLOCK - GT loss risk","Commercially protected")))</x:f>
        <x:v>Needs supplier cost</x:v>
      </x:c>
      <x:c r="AI1004" t="str">
        <x:v>2026-09-10 Active Sports trade capture</x:v>
      </x:c>
      <x:c r="AJ1004" t="str">
        <x:v>Management-only economics. Stripe stress test uses 1.5% + £0.20 standard UK online-card fee; pallet/mix-and-match pricing ignored.</x:v>
      </x:c>
    </x:row>
    <x:row r="1005">
      <x:c r="A1005" t="str">
        <x:v>Active Sports Nutrition</x:v>
      </x:c>
      <x:c r="B1005" t="str">
        <x:v>Dorian Yates - DY Nutrition - Shadow Line</x:v>
      </x:c>
      <x:c r="C1005" t="str">
        <x:v>Blood and Guts</x:v>
      </x:c>
      <x:c r="D1005" t="str">
        <x:v>Pre Workouts</x:v>
      </x:c>
      <x:c r="E1005" t="str">
        <x:v>High Stim</x:v>
      </x:c>
      <x:c r="F1005" t="str"/>
      <x:c r="G1005" t="str">
        <x:v>380g</x:v>
      </x:c>
      <x:c r="H1005" t="str">
        <x:v>Mango</x:v>
      </x:c>
      <x:c r="I1005" t="str"/>
      <x:c r="J1005" t="str">
        <x:v>Unit</x:v>
      </x:c>
      <x:c r="K1005" t="str">
        <x:v>In stock</x:v>
      </x:c>
      <x:c r="L1005" t="str">
        <x:v>2026-09-08</x:v>
      </x:c>
      <x:c r="M1005" t="str">
        <x:v>05949106120012</x:v>
      </x:c>
      <x:c r="N1005" t="str"/>
      <x:c r="O1005" t="str">
        <x:v>https://www.activesportstrade.co.uk/pre-workouts-powder-trade/dorian-yates-dy-nutrition-trade</x:v>
      </x:c>
      <x:c r="P1005" t="str">
        <x:v>SPECIAL OFFER wording removed.</x:v>
      </x:c>
      <x:c r="Q1005" t="str"/>
      <x:c r="R1005" t="str"/>
      <x:c r="S1005" t="str">
        <x:v>Pending genuine supplier/brand image</x:v>
      </x:c>
      <x:c r="T1005" s="54"/>
      <x:c r="U1005" s="47" t="n">
        <x:v>0.2</x:v>
      </x:c>
      <x:c r="V1005" s="54" t="str">
        <x:f>IF(ISNUMBER(T1005),T1005*(1+U1005),"")</x:f>
      </x:c>
      <x:c r="W1005" s="47" t="n">
        <x:v>0.3</x:v>
      </x:c>
      <x:c r="X1005" s="54" t="str">
        <x:f>IF(ISNUMBER(V1005),V1005/(1-W1005),"")</x:f>
      </x:c>
      <x:c r="Y1005" s="55" t="str">
        <x:f>IF(ISNUMBER(X1005),ROUNDUP(X1005,0),"")</x:f>
      </x:c>
      <x:c r="Z1005" t="str">
        <x:f>IF(ISNUMBER(T1005),"Cost captured","Awaiting trade cost")</x:f>
        <x:v>Awaiting trade cost</x:v>
      </x:c>
      <x:c r="AB1005" s="36" t="str">
        <x:f>IF(ISNUMBER(Y1005),ROUND(Y1005*0.9,2),"")</x:f>
      </x:c>
      <x:c r="AC1005" s="36" t="str">
        <x:f>IF(ISNUMBER(AB1005),ROUND(AB1005-(AB1005*0.015+0.2)-V1005,2),"")</x:f>
      </x:c>
      <x:c r="AD1005" s="36" t="str">
        <x:f>IF(ISNUMBER(Y1005),ROUND(Y1005*0.8,2),"")</x:f>
      </x:c>
      <x:c r="AE1005" s="36" t="str">
        <x:f>IF(ISNUMBER(AD1005),ROUND(AD1005*0.015+0.2,2),"")</x:f>
      </x:c>
      <x:c r="AF1005" s="36" t="str">
        <x:f>IF(ISNUMBER(AD1005),ROUND(AD1005-AE1005-V1005,2),"")</x:f>
      </x:c>
      <x:c r="AG1005" t="str">
        <x:f>IF(NOT(ISNUMBER(T1005)),"PENDING",IF(AF1005&gt;0,"PASS","FAIL"))</x:f>
        <x:v>PENDING</x:v>
      </x:c>
      <x:c r="AH1005" t="str">
        <x:f>IF(NOT(ISNUMBER(T1005)),"Needs supplier cost",IF(K1005&lt;&gt;"In stock","Supplier unavailable",IF(AG1005&lt;&gt;"PASS","BLOCK - GT loss risk","Commercially protected")))</x:f>
        <x:v>Needs supplier cost</x:v>
      </x:c>
      <x:c r="AI1005" t="str">
        <x:v>2026-09-10 Active Sports trade capture</x:v>
      </x:c>
      <x:c r="AJ1005" t="str">
        <x:v>Management-only economics. Stripe stress test uses 1.5% + £0.20 standard UK online-card fee; pallet/mix-and-match pricing ignored.</x:v>
      </x:c>
    </x:row>
    <x:row r="1006">
      <x:c r="A1006" t="str">
        <x:v>Active Sports Nutrition</x:v>
      </x:c>
      <x:c r="B1006" t="str">
        <x:v>Dorian Yates - DY Nutrition - Shadow Line</x:v>
      </x:c>
      <x:c r="C1006" t="str">
        <x:v>Blood and Guts</x:v>
      </x:c>
      <x:c r="D1006" t="str">
        <x:v>Pre Workouts</x:v>
      </x:c>
      <x:c r="E1006" t="str">
        <x:v>High Stim</x:v>
      </x:c>
      <x:c r="F1006" t="str"/>
      <x:c r="G1006" t="str">
        <x:v>380g</x:v>
      </x:c>
      <x:c r="H1006" t="str">
        <x:v>Mojito</x:v>
      </x:c>
      <x:c r="I1006" t="str"/>
      <x:c r="J1006" t="str">
        <x:v>Unit</x:v>
      </x:c>
      <x:c r="K1006" t="str">
        <x:v>In stock</x:v>
      </x:c>
      <x:c r="L1006" t="str">
        <x:v>2026-09-08</x:v>
      </x:c>
      <x:c r="M1006" t="str">
        <x:v>05949106120012</x:v>
      </x:c>
      <x:c r="N1006" t="str"/>
      <x:c r="O1006" t="str">
        <x:v>https://www.activesportstrade.co.uk/pre-workouts-powder-trade/dorian-yates-dy-nutrition-trade</x:v>
      </x:c>
      <x:c r="P1006" t="str">
        <x:v>SPECIAL OFFER wording removed.</x:v>
      </x:c>
      <x:c r="Q1006" t="str"/>
      <x:c r="R1006" t="str"/>
      <x:c r="S1006" t="str">
        <x:v>Pending genuine supplier/brand image</x:v>
      </x:c>
      <x:c r="T1006" s="54"/>
      <x:c r="U1006" s="47" t="n">
        <x:v>0.2</x:v>
      </x:c>
      <x:c r="V1006" s="54" t="str">
        <x:f>IF(ISNUMBER(T1006),T1006*(1+U1006),"")</x:f>
      </x:c>
      <x:c r="W1006" s="47" t="n">
        <x:v>0.3</x:v>
      </x:c>
      <x:c r="X1006" s="54" t="str">
        <x:f>IF(ISNUMBER(V1006),V1006/(1-W1006),"")</x:f>
      </x:c>
      <x:c r="Y1006" s="55" t="str">
        <x:f>IF(ISNUMBER(X1006),ROUNDUP(X1006,0),"")</x:f>
      </x:c>
      <x:c r="Z1006" t="str">
        <x:f>IF(ISNUMBER(T1006),"Cost captured","Awaiting trade cost")</x:f>
        <x:v>Awaiting trade cost</x:v>
      </x:c>
      <x:c r="AB1006" s="36" t="str">
        <x:f>IF(ISNUMBER(Y1006),ROUND(Y1006*0.9,2),"")</x:f>
      </x:c>
      <x:c r="AC1006" s="36" t="str">
        <x:f>IF(ISNUMBER(AB1006),ROUND(AB1006-(AB1006*0.015+0.2)-V1006,2),"")</x:f>
      </x:c>
      <x:c r="AD1006" s="36" t="str">
        <x:f>IF(ISNUMBER(Y1006),ROUND(Y1006*0.8,2),"")</x:f>
      </x:c>
      <x:c r="AE1006" s="36" t="str">
        <x:f>IF(ISNUMBER(AD1006),ROUND(AD1006*0.015+0.2,2),"")</x:f>
      </x:c>
      <x:c r="AF1006" s="36" t="str">
        <x:f>IF(ISNUMBER(AD1006),ROUND(AD1006-AE1006-V1006,2),"")</x:f>
      </x:c>
      <x:c r="AG1006" t="str">
        <x:f>IF(NOT(ISNUMBER(T1006)),"PENDING",IF(AF1006&gt;0,"PASS","FAIL"))</x:f>
        <x:v>PENDING</x:v>
      </x:c>
      <x:c r="AH1006" t="str">
        <x:f>IF(NOT(ISNUMBER(T1006)),"Needs supplier cost",IF(K1006&lt;&gt;"In stock","Supplier unavailable",IF(AG1006&lt;&gt;"PASS","BLOCK - GT loss risk","Commercially protected")))</x:f>
        <x:v>Needs supplier cost</x:v>
      </x:c>
      <x:c r="AI1006" t="str">
        <x:v>2026-09-10 Active Sports trade capture</x:v>
      </x:c>
      <x:c r="AJ1006" t="str">
        <x:v>Management-only economics. Stripe stress test uses 1.5% + £0.20 standard UK online-card fee; pallet/mix-and-match pricing ignored.</x:v>
      </x:c>
    </x:row>
    <x:row r="1007">
      <x:c r="A1007" t="str">
        <x:v>Active Sports Nutrition</x:v>
      </x:c>
      <x:c r="B1007" t="str">
        <x:v>Dorian Yates - DY Nutrition - Shadow Line</x:v>
      </x:c>
      <x:c r="C1007" t="str">
        <x:v>Blood and Guts</x:v>
      </x:c>
      <x:c r="D1007" t="str">
        <x:v>Pre Workouts</x:v>
      </x:c>
      <x:c r="E1007" t="str">
        <x:v>High Stim</x:v>
      </x:c>
      <x:c r="F1007" t="str"/>
      <x:c r="G1007" t="str">
        <x:v>380g</x:v>
      </x:c>
      <x:c r="H1007" t="str">
        <x:v>Pear Kiwi</x:v>
      </x:c>
      <x:c r="I1007" t="str"/>
      <x:c r="J1007" t="str">
        <x:v>Unit</x:v>
      </x:c>
      <x:c r="K1007" t="str">
        <x:v>In stock</x:v>
      </x:c>
      <x:c r="L1007" t="str">
        <x:v>2026-09-08</x:v>
      </x:c>
      <x:c r="M1007" t="str">
        <x:v>05949106120012</x:v>
      </x:c>
      <x:c r="N1007" t="str"/>
      <x:c r="O1007" t="str">
        <x:v>https://www.activesportstrade.co.uk/pre-workouts-powder-trade/dorian-yates-dy-nutrition-trade</x:v>
      </x:c>
      <x:c r="P1007" t="str">
        <x:v>SPECIAL OFFER wording removed.</x:v>
      </x:c>
      <x:c r="Q1007" t="str"/>
      <x:c r="R1007" t="str"/>
      <x:c r="S1007" t="str">
        <x:v>Pending genuine supplier/brand image</x:v>
      </x:c>
      <x:c r="T1007" s="54"/>
      <x:c r="U1007" s="47" t="n">
        <x:v>0.2</x:v>
      </x:c>
      <x:c r="V1007" s="54" t="str">
        <x:f>IF(ISNUMBER(T1007),T1007*(1+U1007),"")</x:f>
      </x:c>
      <x:c r="W1007" s="47" t="n">
        <x:v>0.3</x:v>
      </x:c>
      <x:c r="X1007" s="54" t="str">
        <x:f>IF(ISNUMBER(V1007),V1007/(1-W1007),"")</x:f>
      </x:c>
      <x:c r="Y1007" s="55" t="str">
        <x:f>IF(ISNUMBER(X1007),ROUNDUP(X1007,0),"")</x:f>
      </x:c>
      <x:c r="Z1007" t="str">
        <x:f>IF(ISNUMBER(T1007),"Cost captured","Awaiting trade cost")</x:f>
        <x:v>Awaiting trade cost</x:v>
      </x:c>
      <x:c r="AB1007" s="36" t="str">
        <x:f>IF(ISNUMBER(Y1007),ROUND(Y1007*0.9,2),"")</x:f>
      </x:c>
      <x:c r="AC1007" s="36" t="str">
        <x:f>IF(ISNUMBER(AB1007),ROUND(AB1007-(AB1007*0.015+0.2)-V1007,2),"")</x:f>
      </x:c>
      <x:c r="AD1007" s="36" t="str">
        <x:f>IF(ISNUMBER(Y1007),ROUND(Y1007*0.8,2),"")</x:f>
      </x:c>
      <x:c r="AE1007" s="36" t="str">
        <x:f>IF(ISNUMBER(AD1007),ROUND(AD1007*0.015+0.2,2),"")</x:f>
      </x:c>
      <x:c r="AF1007" s="36" t="str">
        <x:f>IF(ISNUMBER(AD1007),ROUND(AD1007-AE1007-V1007,2),"")</x:f>
      </x:c>
      <x:c r="AG1007" t="str">
        <x:f>IF(NOT(ISNUMBER(T1007)),"PENDING",IF(AF1007&gt;0,"PASS","FAIL"))</x:f>
        <x:v>PENDING</x:v>
      </x:c>
      <x:c r="AH1007" t="str">
        <x:f>IF(NOT(ISNUMBER(T1007)),"Needs supplier cost",IF(K1007&lt;&gt;"In stock","Supplier unavailable",IF(AG1007&lt;&gt;"PASS","BLOCK - GT loss risk","Commercially protected")))</x:f>
        <x:v>Needs supplier cost</x:v>
      </x:c>
      <x:c r="AI1007" t="str">
        <x:v>2026-09-10 Active Sports trade capture</x:v>
      </x:c>
      <x:c r="AJ1007" t="str">
        <x:v>Management-only economics. Stripe stress test uses 1.5% + £0.20 standard UK online-card fee; pallet/mix-and-match pricing ignored.</x:v>
      </x:c>
    </x:row>
    <x:row r="1008">
      <x:c r="A1008" t="str">
        <x:v>Active Sports Nutrition</x:v>
      </x:c>
      <x:c r="B1008" t="str">
        <x:v>Dorian Yates - DY Nutrition - Shadow Line</x:v>
      </x:c>
      <x:c r="C1008" t="str">
        <x:v>Blood and Guts</x:v>
      </x:c>
      <x:c r="D1008" t="str">
        <x:v>Pre Workouts</x:v>
      </x:c>
      <x:c r="E1008" t="str">
        <x:v>High Stim</x:v>
      </x:c>
      <x:c r="F1008" t="str"/>
      <x:c r="G1008" t="str">
        <x:v>380g</x:v>
      </x:c>
      <x:c r="H1008" t="str">
        <x:v>Strawberry</x:v>
      </x:c>
      <x:c r="I1008" t="str"/>
      <x:c r="J1008" t="str">
        <x:v>Unit</x:v>
      </x:c>
      <x:c r="K1008" t="str">
        <x:v>In stock</x:v>
      </x:c>
      <x:c r="L1008" t="str">
        <x:v>2026-09-08</x:v>
      </x:c>
      <x:c r="M1008" t="str">
        <x:v>05949106120012</x:v>
      </x:c>
      <x:c r="N1008" t="str"/>
      <x:c r="O1008" t="str">
        <x:v>https://www.activesportstrade.co.uk/pre-workouts-powder-trade/dorian-yates-dy-nutrition-trade</x:v>
      </x:c>
      <x:c r="P1008" t="str">
        <x:v>SPECIAL OFFER wording removed.</x:v>
      </x:c>
      <x:c r="Q1008" t="str"/>
      <x:c r="R1008" t="str"/>
      <x:c r="S1008" t="str">
        <x:v>Pending genuine supplier/brand image</x:v>
      </x:c>
      <x:c r="T1008" s="54"/>
      <x:c r="U1008" s="47" t="n">
        <x:v>0.2</x:v>
      </x:c>
      <x:c r="V1008" s="54" t="str">
        <x:f>IF(ISNUMBER(T1008),T1008*(1+U1008),"")</x:f>
      </x:c>
      <x:c r="W1008" s="47" t="n">
        <x:v>0.3</x:v>
      </x:c>
      <x:c r="X1008" s="54" t="str">
        <x:f>IF(ISNUMBER(V1008),V1008/(1-W1008),"")</x:f>
      </x:c>
      <x:c r="Y1008" s="55" t="str">
        <x:f>IF(ISNUMBER(X1008),ROUNDUP(X1008,0),"")</x:f>
      </x:c>
      <x:c r="Z1008" t="str">
        <x:f>IF(ISNUMBER(T1008),"Cost captured","Awaiting trade cost")</x:f>
        <x:v>Awaiting trade cost</x:v>
      </x:c>
      <x:c r="AB1008" s="36" t="str">
        <x:f>IF(ISNUMBER(Y1008),ROUND(Y1008*0.9,2),"")</x:f>
      </x:c>
      <x:c r="AC1008" s="36" t="str">
        <x:f>IF(ISNUMBER(AB1008),ROUND(AB1008-(AB1008*0.015+0.2)-V1008,2),"")</x:f>
      </x:c>
      <x:c r="AD1008" s="36" t="str">
        <x:f>IF(ISNUMBER(Y1008),ROUND(Y1008*0.8,2),"")</x:f>
      </x:c>
      <x:c r="AE1008" s="36" t="str">
        <x:f>IF(ISNUMBER(AD1008),ROUND(AD1008*0.015+0.2,2),"")</x:f>
      </x:c>
      <x:c r="AF1008" s="36" t="str">
        <x:f>IF(ISNUMBER(AD1008),ROUND(AD1008-AE1008-V1008,2),"")</x:f>
      </x:c>
      <x:c r="AG1008" t="str">
        <x:f>IF(NOT(ISNUMBER(T1008)),"PENDING",IF(AF1008&gt;0,"PASS","FAIL"))</x:f>
        <x:v>PENDING</x:v>
      </x:c>
      <x:c r="AH1008" t="str">
        <x:f>IF(NOT(ISNUMBER(T1008)),"Needs supplier cost",IF(K1008&lt;&gt;"In stock","Supplier unavailable",IF(AG1008&lt;&gt;"PASS","BLOCK - GT loss risk","Commercially protected")))</x:f>
        <x:v>Needs supplier cost</x:v>
      </x:c>
      <x:c r="AI1008" t="str">
        <x:v>2026-09-10 Active Sports trade capture</x:v>
      </x:c>
      <x:c r="AJ1008" t="str">
        <x:v>Management-only economics. Stripe stress test uses 1.5% + £0.20 standard UK online-card fee; pallet/mix-and-match pricing ignored.</x:v>
      </x:c>
    </x:row>
    <x:row r="1009">
      <x:c r="A1009" t="str">
        <x:v>Active Sports Nutrition</x:v>
      </x:c>
      <x:c r="B1009" t="str">
        <x:v>Dorian Yates - DY Nutrition - Shadow Line</x:v>
      </x:c>
      <x:c r="C1009" t="str">
        <x:v>Blood and Guts</x:v>
      </x:c>
      <x:c r="D1009" t="str">
        <x:v>Pre Workouts</x:v>
      </x:c>
      <x:c r="E1009" t="str">
        <x:v>High Stim</x:v>
      </x:c>
      <x:c r="F1009" t="str"/>
      <x:c r="G1009" t="str">
        <x:v>380g</x:v>
      </x:c>
      <x:c r="H1009" t="str">
        <x:v>Watermelon</x:v>
      </x:c>
      <x:c r="I1009" t="str"/>
      <x:c r="J1009" t="str">
        <x:v>Unit</x:v>
      </x:c>
      <x:c r="K1009" t="str">
        <x:v>In stock</x:v>
      </x:c>
      <x:c r="L1009" t="str">
        <x:v>2026-09-08</x:v>
      </x:c>
      <x:c r="M1009" t="str">
        <x:v>05949106120012</x:v>
      </x:c>
      <x:c r="N1009" t="str"/>
      <x:c r="O1009" t="str">
        <x:v>https://www.activesportstrade.co.uk/pre-workouts-powder-trade/dorian-yates-dy-nutrition-trade</x:v>
      </x:c>
      <x:c r="P1009" t="str">
        <x:v>SPECIAL OFFER wording removed.</x:v>
      </x:c>
      <x:c r="Q1009" t="str"/>
      <x:c r="R1009" t="str"/>
      <x:c r="S1009" t="str">
        <x:v>Pending genuine supplier/brand image</x:v>
      </x:c>
      <x:c r="T1009" s="54"/>
      <x:c r="U1009" s="47" t="n">
        <x:v>0.2</x:v>
      </x:c>
      <x:c r="V1009" s="54" t="str">
        <x:f>IF(ISNUMBER(T1009),T1009*(1+U1009),"")</x:f>
      </x:c>
      <x:c r="W1009" s="47" t="n">
        <x:v>0.3</x:v>
      </x:c>
      <x:c r="X1009" s="54" t="str">
        <x:f>IF(ISNUMBER(V1009),V1009/(1-W1009),"")</x:f>
      </x:c>
      <x:c r="Y1009" s="55" t="str">
        <x:f>IF(ISNUMBER(X1009),ROUNDUP(X1009,0),"")</x:f>
      </x:c>
      <x:c r="Z1009" t="str">
        <x:f>IF(ISNUMBER(T1009),"Cost captured","Awaiting trade cost")</x:f>
        <x:v>Awaiting trade cost</x:v>
      </x:c>
      <x:c r="AB1009" s="36" t="str">
        <x:f>IF(ISNUMBER(Y1009),ROUND(Y1009*0.9,2),"")</x:f>
      </x:c>
      <x:c r="AC1009" s="36" t="str">
        <x:f>IF(ISNUMBER(AB1009),ROUND(AB1009-(AB1009*0.015+0.2)-V1009,2),"")</x:f>
      </x:c>
      <x:c r="AD1009" s="36" t="str">
        <x:f>IF(ISNUMBER(Y1009),ROUND(Y1009*0.8,2),"")</x:f>
      </x:c>
      <x:c r="AE1009" s="36" t="str">
        <x:f>IF(ISNUMBER(AD1009),ROUND(AD1009*0.015+0.2,2),"")</x:f>
      </x:c>
      <x:c r="AF1009" s="36" t="str">
        <x:f>IF(ISNUMBER(AD1009),ROUND(AD1009-AE1009-V1009,2),"")</x:f>
      </x:c>
      <x:c r="AG1009" t="str">
        <x:f>IF(NOT(ISNUMBER(T1009)),"PENDING",IF(AF1009&gt;0,"PASS","FAIL"))</x:f>
        <x:v>PENDING</x:v>
      </x:c>
      <x:c r="AH1009" t="str">
        <x:f>IF(NOT(ISNUMBER(T1009)),"Needs supplier cost",IF(K1009&lt;&gt;"In stock","Supplier unavailable",IF(AG1009&lt;&gt;"PASS","BLOCK - GT loss risk","Commercially protected")))</x:f>
        <x:v>Needs supplier cost</x:v>
      </x:c>
      <x:c r="AI1009" t="str">
        <x:v>2026-09-10 Active Sports trade capture</x:v>
      </x:c>
      <x:c r="AJ1009" t="str">
        <x:v>Management-only economics. Stripe stress test uses 1.5% + £0.20 standard UK online-card fee; pallet/mix-and-match pricing ignored.</x:v>
      </x:c>
    </x:row>
    <x:row r="1010">
      <x:c r="A1010" t="str">
        <x:v>Active Sports Nutrition</x:v>
      </x:c>
      <x:c r="B1010" t="str">
        <x:v>Dorian Yates - DY Nutrition - Shadow Line</x:v>
      </x:c>
      <x:c r="C1010" t="str">
        <x:v>NOX Pump Ultimate</x:v>
      </x:c>
      <x:c r="D1010" t="str">
        <x:v>Pre Workouts</x:v>
      </x:c>
      <x:c r="E1010" t="str">
        <x:v>High Stim</x:v>
      </x:c>
      <x:c r="F1010" t="str"/>
      <x:c r="G1010" t="str">
        <x:v>400g</x:v>
      </x:c>
      <x:c r="H1010" t="str">
        <x:v>Blueberry</x:v>
      </x:c>
      <x:c r="I1010" t="str"/>
      <x:c r="J1010" t="str">
        <x:v>Unit</x:v>
      </x:c>
      <x:c r="K1010" t="str">
        <x:v>Out of stock</x:v>
      </x:c>
      <x:c r="L1010" t="str">
        <x:v>2026-09-08</x:v>
      </x:c>
      <x:c r="M1010" t="str"/>
      <x:c r="N1010" t="str"/>
      <x:c r="O1010" t="str">
        <x:v>https://www.activesportstrade.co.uk/pre-workouts-powder-trade/dorian-yates-dy-nutrition-trade</x:v>
      </x:c>
      <x:c r="P1010" t="str">
        <x:v>SPECIAL OFFER wording removed.</x:v>
      </x:c>
      <x:c r="Q1010" t="str"/>
      <x:c r="R1010" t="str"/>
      <x:c r="S1010" t="str">
        <x:v>Pending genuine supplier/brand image</x:v>
      </x:c>
      <x:c r="T1010" s="54"/>
      <x:c r="U1010" s="47" t="n">
        <x:v>0.2</x:v>
      </x:c>
      <x:c r="V1010" s="54" t="str">
        <x:f>IF(ISNUMBER(T1010),T1010*(1+U1010),"")</x:f>
      </x:c>
      <x:c r="W1010" s="47" t="n">
        <x:v>0.3</x:v>
      </x:c>
      <x:c r="X1010" s="54" t="str">
        <x:f>IF(ISNUMBER(V1010),V1010/(1-W1010),"")</x:f>
      </x:c>
      <x:c r="Y1010" s="55" t="str">
        <x:f>IF(ISNUMBER(X1010),ROUNDUP(X1010,0),"")</x:f>
      </x:c>
      <x:c r="Z1010" t="str">
        <x:f>IF(ISNUMBER(T1010),"Cost captured","Awaiting trade cost")</x:f>
        <x:v>Awaiting trade cost</x:v>
      </x:c>
      <x:c r="AB1010" s="36" t="str">
        <x:f>IF(ISNUMBER(Y1010),ROUND(Y1010*0.9,2),"")</x:f>
      </x:c>
      <x:c r="AC1010" s="36" t="str">
        <x:f>IF(ISNUMBER(AB1010),ROUND(AB1010-(AB1010*0.015+0.2)-V1010,2),"")</x:f>
      </x:c>
      <x:c r="AD1010" s="36" t="str">
        <x:f>IF(ISNUMBER(Y1010),ROUND(Y1010*0.8,2),"")</x:f>
      </x:c>
      <x:c r="AE1010" s="36" t="str">
        <x:f>IF(ISNUMBER(AD1010),ROUND(AD1010*0.015+0.2,2),"")</x:f>
      </x:c>
      <x:c r="AF1010" s="36" t="str">
        <x:f>IF(ISNUMBER(AD1010),ROUND(AD1010-AE1010-V1010,2),"")</x:f>
      </x:c>
      <x:c r="AG1010" t="str">
        <x:f>IF(NOT(ISNUMBER(T1010)),"PENDING",IF(AF1010&gt;0,"PASS","FAIL"))</x:f>
        <x:v>PENDING</x:v>
      </x:c>
      <x:c r="AH1010" t="str">
        <x:f>IF(NOT(ISNUMBER(T1010)),"Needs supplier cost",IF(K1010&lt;&gt;"In stock","Supplier unavailable",IF(AG1010&lt;&gt;"PASS","BLOCK - GT loss risk","Commercially protected")))</x:f>
        <x:v>Needs supplier cost</x:v>
      </x:c>
      <x:c r="AI1010" t="str">
        <x:v>2026-09-10 Active Sports trade capture</x:v>
      </x:c>
      <x:c r="AJ1010" t="str">
        <x:v>Management-only economics. Stripe stress test uses 1.5% + £0.20 standard UK online-card fee; pallet/mix-and-match pricing ignored.</x:v>
      </x:c>
    </x:row>
    <x:row r="1011">
      <x:c r="A1011" t="str">
        <x:v>Active Sports Nutrition</x:v>
      </x:c>
      <x:c r="B1011" t="str">
        <x:v>Dorian Yates - DY Nutrition - Shadow Line</x:v>
      </x:c>
      <x:c r="C1011" t="str">
        <x:v>NOX Pump Ultimate</x:v>
      </x:c>
      <x:c r="D1011" t="str">
        <x:v>Pre Workouts</x:v>
      </x:c>
      <x:c r="E1011" t="str">
        <x:v>High Stim</x:v>
      </x:c>
      <x:c r="F1011" t="str"/>
      <x:c r="G1011" t="str">
        <x:v>400g</x:v>
      </x:c>
      <x:c r="H1011" t="str">
        <x:v>Bubblegum</x:v>
      </x:c>
      <x:c r="I1011" t="str"/>
      <x:c r="J1011" t="str">
        <x:v>Unit</x:v>
      </x:c>
      <x:c r="K1011" t="str">
        <x:v>Out of stock</x:v>
      </x:c>
      <x:c r="L1011" t="str">
        <x:v>2026-09-08</x:v>
      </x:c>
      <x:c r="M1011" t="str"/>
      <x:c r="N1011" t="str"/>
      <x:c r="O1011" t="str">
        <x:v>https://www.activesportstrade.co.uk/pre-workouts-powder-trade/dorian-yates-dy-nutrition-trade</x:v>
      </x:c>
      <x:c r="P1011" t="str">
        <x:v>SPECIAL OFFER wording removed.</x:v>
      </x:c>
      <x:c r="Q1011" t="str"/>
      <x:c r="R1011" t="str"/>
      <x:c r="S1011" t="str">
        <x:v>Pending genuine supplier/brand image</x:v>
      </x:c>
      <x:c r="T1011" s="54"/>
      <x:c r="U1011" s="47" t="n">
        <x:v>0.2</x:v>
      </x:c>
      <x:c r="V1011" s="54" t="str">
        <x:f>IF(ISNUMBER(T1011),T1011*(1+U1011),"")</x:f>
      </x:c>
      <x:c r="W1011" s="47" t="n">
        <x:v>0.3</x:v>
      </x:c>
      <x:c r="X1011" s="54" t="str">
        <x:f>IF(ISNUMBER(V1011),V1011/(1-W1011),"")</x:f>
      </x:c>
      <x:c r="Y1011" s="55" t="str">
        <x:f>IF(ISNUMBER(X1011),ROUNDUP(X1011,0),"")</x:f>
      </x:c>
      <x:c r="Z1011" t="str">
        <x:f>IF(ISNUMBER(T1011),"Cost captured","Awaiting trade cost")</x:f>
        <x:v>Awaiting trade cost</x:v>
      </x:c>
      <x:c r="AB1011" s="36" t="str">
        <x:f>IF(ISNUMBER(Y1011),ROUND(Y1011*0.9,2),"")</x:f>
      </x:c>
      <x:c r="AC1011" s="36" t="str">
        <x:f>IF(ISNUMBER(AB1011),ROUND(AB1011-(AB1011*0.015+0.2)-V1011,2),"")</x:f>
      </x:c>
      <x:c r="AD1011" s="36" t="str">
        <x:f>IF(ISNUMBER(Y1011),ROUND(Y1011*0.8,2),"")</x:f>
      </x:c>
      <x:c r="AE1011" s="36" t="str">
        <x:f>IF(ISNUMBER(AD1011),ROUND(AD1011*0.015+0.2,2),"")</x:f>
      </x:c>
      <x:c r="AF1011" s="36" t="str">
        <x:f>IF(ISNUMBER(AD1011),ROUND(AD1011-AE1011-V1011,2),"")</x:f>
      </x:c>
      <x:c r="AG1011" t="str">
        <x:f>IF(NOT(ISNUMBER(T1011)),"PENDING",IF(AF1011&gt;0,"PASS","FAIL"))</x:f>
        <x:v>PENDING</x:v>
      </x:c>
      <x:c r="AH1011" t="str">
        <x:f>IF(NOT(ISNUMBER(T1011)),"Needs supplier cost",IF(K1011&lt;&gt;"In stock","Supplier unavailable",IF(AG1011&lt;&gt;"PASS","BLOCK - GT loss risk","Commercially protected")))</x:f>
        <x:v>Needs supplier cost</x:v>
      </x:c>
      <x:c r="AI1011" t="str">
        <x:v>2026-09-10 Active Sports trade capture</x:v>
      </x:c>
      <x:c r="AJ1011" t="str">
        <x:v>Management-only economics. Stripe stress test uses 1.5% + £0.20 standard UK online-card fee; pallet/mix-and-match pricing ignored.</x:v>
      </x:c>
    </x:row>
    <x:row r="1012">
      <x:c r="A1012" t="str">
        <x:v>Active Sports Nutrition</x:v>
      </x:c>
      <x:c r="B1012" t="str">
        <x:v>Dorian Yates - DY Nutrition - Shadow Line</x:v>
      </x:c>
      <x:c r="C1012" t="str">
        <x:v>NOX Pump Ultimate</x:v>
      </x:c>
      <x:c r="D1012" t="str">
        <x:v>Pre Workouts</x:v>
      </x:c>
      <x:c r="E1012" t="str">
        <x:v>High Stim</x:v>
      </x:c>
      <x:c r="F1012" t="str"/>
      <x:c r="G1012" t="str">
        <x:v>400g</x:v>
      </x:c>
      <x:c r="H1012" t="str">
        <x:v>Cotton Candy</x:v>
      </x:c>
      <x:c r="I1012" t="str"/>
      <x:c r="J1012" t="str">
        <x:v>Unit</x:v>
      </x:c>
      <x:c r="K1012" t="str">
        <x:v>Out of stock</x:v>
      </x:c>
      <x:c r="L1012" t="str">
        <x:v>2026-09-08</x:v>
      </x:c>
      <x:c r="M1012" t="str"/>
      <x:c r="N1012" t="str"/>
      <x:c r="O1012" t="str">
        <x:v>https://www.activesportstrade.co.uk/pre-workouts-powder-trade/dorian-yates-dy-nutrition-trade</x:v>
      </x:c>
      <x:c r="P1012" t="str">
        <x:v>SPECIAL OFFER wording removed.</x:v>
      </x:c>
      <x:c r="Q1012" t="str"/>
      <x:c r="R1012" t="str"/>
      <x:c r="S1012" t="str">
        <x:v>Pending genuine supplier/brand image</x:v>
      </x:c>
      <x:c r="T1012" s="54"/>
      <x:c r="U1012" s="47" t="n">
        <x:v>0.2</x:v>
      </x:c>
      <x:c r="V1012" s="54" t="str">
        <x:f>IF(ISNUMBER(T1012),T1012*(1+U1012),"")</x:f>
      </x:c>
      <x:c r="W1012" s="47" t="n">
        <x:v>0.3</x:v>
      </x:c>
      <x:c r="X1012" s="54" t="str">
        <x:f>IF(ISNUMBER(V1012),V1012/(1-W1012),"")</x:f>
      </x:c>
      <x:c r="Y1012" s="55" t="str">
        <x:f>IF(ISNUMBER(X1012),ROUNDUP(X1012,0),"")</x:f>
      </x:c>
      <x:c r="Z1012" t="str">
        <x:f>IF(ISNUMBER(T1012),"Cost captured","Awaiting trade cost")</x:f>
        <x:v>Awaiting trade cost</x:v>
      </x:c>
      <x:c r="AB1012" s="36" t="str">
        <x:f>IF(ISNUMBER(Y1012),ROUND(Y1012*0.9,2),"")</x:f>
      </x:c>
      <x:c r="AC1012" s="36" t="str">
        <x:f>IF(ISNUMBER(AB1012),ROUND(AB1012-(AB1012*0.015+0.2)-V1012,2),"")</x:f>
      </x:c>
      <x:c r="AD1012" s="36" t="str">
        <x:f>IF(ISNUMBER(Y1012),ROUND(Y1012*0.8,2),"")</x:f>
      </x:c>
      <x:c r="AE1012" s="36" t="str">
        <x:f>IF(ISNUMBER(AD1012),ROUND(AD1012*0.015+0.2,2),"")</x:f>
      </x:c>
      <x:c r="AF1012" s="36" t="str">
        <x:f>IF(ISNUMBER(AD1012),ROUND(AD1012-AE1012-V1012,2),"")</x:f>
      </x:c>
      <x:c r="AG1012" t="str">
        <x:f>IF(NOT(ISNUMBER(T1012)),"PENDING",IF(AF1012&gt;0,"PASS","FAIL"))</x:f>
        <x:v>PENDING</x:v>
      </x:c>
      <x:c r="AH1012" t="str">
        <x:f>IF(NOT(ISNUMBER(T1012)),"Needs supplier cost",IF(K1012&lt;&gt;"In stock","Supplier unavailable",IF(AG1012&lt;&gt;"PASS","BLOCK - GT loss risk","Commercially protected")))</x:f>
        <x:v>Needs supplier cost</x:v>
      </x:c>
      <x:c r="AI1012" t="str">
        <x:v>2026-09-10 Active Sports trade capture</x:v>
      </x:c>
      <x:c r="AJ1012" t="str">
        <x:v>Management-only economics. Stripe stress test uses 1.5% + £0.20 standard UK online-card fee; pallet/mix-and-match pricing ignored.</x:v>
      </x:c>
    </x:row>
    <x:row r="1013">
      <x:c r="A1013" t="str">
        <x:v>Active Sports Nutrition</x:v>
      </x:c>
      <x:c r="B1013" t="str">
        <x:v>Dorian Yates - DY Nutrition - Shadow Line</x:v>
      </x:c>
      <x:c r="C1013" t="str">
        <x:v>NOX Pump Ultimate</x:v>
      </x:c>
      <x:c r="D1013" t="str">
        <x:v>Pre Workouts</x:v>
      </x:c>
      <x:c r="E1013" t="str">
        <x:v>High Stim</x:v>
      </x:c>
      <x:c r="F1013" t="str"/>
      <x:c r="G1013" t="str">
        <x:v>400g</x:v>
      </x:c>
      <x:c r="H1013" t="str">
        <x:v>Fruit Punch</x:v>
      </x:c>
      <x:c r="I1013" t="str"/>
      <x:c r="J1013" t="str">
        <x:v>Unit</x:v>
      </x:c>
      <x:c r="K1013" t="str">
        <x:v>Out of stock</x:v>
      </x:c>
      <x:c r="L1013" t="str">
        <x:v>2026-09-08</x:v>
      </x:c>
      <x:c r="M1013" t="str"/>
      <x:c r="N1013" t="str"/>
      <x:c r="O1013" t="str">
        <x:v>https://www.activesportstrade.co.uk/pre-workouts-powder-trade/dorian-yates-dy-nutrition-trade</x:v>
      </x:c>
      <x:c r="P1013" t="str">
        <x:v>SPECIAL OFFER wording removed.</x:v>
      </x:c>
      <x:c r="Q1013" t="str"/>
      <x:c r="R1013" t="str"/>
      <x:c r="S1013" t="str">
        <x:v>Pending genuine supplier/brand image</x:v>
      </x:c>
      <x:c r="T1013" s="54"/>
      <x:c r="U1013" s="47" t="n">
        <x:v>0.2</x:v>
      </x:c>
      <x:c r="V1013" s="54" t="str">
        <x:f>IF(ISNUMBER(T1013),T1013*(1+U1013),"")</x:f>
      </x:c>
      <x:c r="W1013" s="47" t="n">
        <x:v>0.3</x:v>
      </x:c>
      <x:c r="X1013" s="54" t="str">
        <x:f>IF(ISNUMBER(V1013),V1013/(1-W1013),"")</x:f>
      </x:c>
      <x:c r="Y1013" s="55" t="str">
        <x:f>IF(ISNUMBER(X1013),ROUNDUP(X1013,0),"")</x:f>
      </x:c>
      <x:c r="Z1013" t="str">
        <x:f>IF(ISNUMBER(T1013),"Cost captured","Awaiting trade cost")</x:f>
        <x:v>Awaiting trade cost</x:v>
      </x:c>
      <x:c r="AB1013" s="36" t="str">
        <x:f>IF(ISNUMBER(Y1013),ROUND(Y1013*0.9,2),"")</x:f>
      </x:c>
      <x:c r="AC1013" s="36" t="str">
        <x:f>IF(ISNUMBER(AB1013),ROUND(AB1013-(AB1013*0.015+0.2)-V1013,2),"")</x:f>
      </x:c>
      <x:c r="AD1013" s="36" t="str">
        <x:f>IF(ISNUMBER(Y1013),ROUND(Y1013*0.8,2),"")</x:f>
      </x:c>
      <x:c r="AE1013" s="36" t="str">
        <x:f>IF(ISNUMBER(AD1013),ROUND(AD1013*0.015+0.2,2),"")</x:f>
      </x:c>
      <x:c r="AF1013" s="36" t="str">
        <x:f>IF(ISNUMBER(AD1013),ROUND(AD1013-AE1013-V1013,2),"")</x:f>
      </x:c>
      <x:c r="AG1013" t="str">
        <x:f>IF(NOT(ISNUMBER(T1013)),"PENDING",IF(AF1013&gt;0,"PASS","FAIL"))</x:f>
        <x:v>PENDING</x:v>
      </x:c>
      <x:c r="AH1013" t="str">
        <x:f>IF(NOT(ISNUMBER(T1013)),"Needs supplier cost",IF(K1013&lt;&gt;"In stock","Supplier unavailable",IF(AG1013&lt;&gt;"PASS","BLOCK - GT loss risk","Commercially protected")))</x:f>
        <x:v>Needs supplier cost</x:v>
      </x:c>
      <x:c r="AI1013" t="str">
        <x:v>2026-09-10 Active Sports trade capture</x:v>
      </x:c>
      <x:c r="AJ1013" t="str">
        <x:v>Management-only economics. Stripe stress test uses 1.5% + £0.20 standard UK online-card fee; pallet/mix-and-match pricing ignored.</x:v>
      </x:c>
    </x:row>
    <x:row r="1014">
      <x:c r="A1014" t="str">
        <x:v>Active Sports Nutrition</x:v>
      </x:c>
      <x:c r="B1014" t="str">
        <x:v>Dorian Yates - DY Nutrition - Shadow Line</x:v>
      </x:c>
      <x:c r="C1014" t="str">
        <x:v>NOX Pump Ultimate</x:v>
      </x:c>
      <x:c r="D1014" t="str">
        <x:v>Pre Workouts</x:v>
      </x:c>
      <x:c r="E1014" t="str">
        <x:v>High Stim</x:v>
      </x:c>
      <x:c r="F1014" t="str"/>
      <x:c r="G1014" t="str">
        <x:v>400g</x:v>
      </x:c>
      <x:c r="H1014" t="str">
        <x:v>Green Apple</x:v>
      </x:c>
      <x:c r="I1014" t="str"/>
      <x:c r="J1014" t="str">
        <x:v>Unit</x:v>
      </x:c>
      <x:c r="K1014" t="str">
        <x:v>Out of stock</x:v>
      </x:c>
      <x:c r="L1014" t="str">
        <x:v>2026-09-08</x:v>
      </x:c>
      <x:c r="M1014" t="str"/>
      <x:c r="N1014" t="str"/>
      <x:c r="O1014" t="str">
        <x:v>https://www.activesportstrade.co.uk/pre-workouts-powder-trade/dorian-yates-dy-nutrition-trade</x:v>
      </x:c>
      <x:c r="P1014" t="str">
        <x:v>SPECIAL OFFER wording removed.</x:v>
      </x:c>
      <x:c r="Q1014" t="str"/>
      <x:c r="R1014" t="str"/>
      <x:c r="S1014" t="str">
        <x:v>Pending genuine supplier/brand image</x:v>
      </x:c>
      <x:c r="T1014" s="54"/>
      <x:c r="U1014" s="47" t="n">
        <x:v>0.2</x:v>
      </x:c>
      <x:c r="V1014" s="54" t="str">
        <x:f>IF(ISNUMBER(T1014),T1014*(1+U1014),"")</x:f>
      </x:c>
      <x:c r="W1014" s="47" t="n">
        <x:v>0.3</x:v>
      </x:c>
      <x:c r="X1014" s="54" t="str">
        <x:f>IF(ISNUMBER(V1014),V1014/(1-W1014),"")</x:f>
      </x:c>
      <x:c r="Y1014" s="55" t="str">
        <x:f>IF(ISNUMBER(X1014),ROUNDUP(X1014,0),"")</x:f>
      </x:c>
      <x:c r="Z1014" t="str">
        <x:f>IF(ISNUMBER(T1014),"Cost captured","Awaiting trade cost")</x:f>
        <x:v>Awaiting trade cost</x:v>
      </x:c>
      <x:c r="AB1014" s="36" t="str">
        <x:f>IF(ISNUMBER(Y1014),ROUND(Y1014*0.9,2),"")</x:f>
      </x:c>
      <x:c r="AC1014" s="36" t="str">
        <x:f>IF(ISNUMBER(AB1014),ROUND(AB1014-(AB1014*0.015+0.2)-V1014,2),"")</x:f>
      </x:c>
      <x:c r="AD1014" s="36" t="str">
        <x:f>IF(ISNUMBER(Y1014),ROUND(Y1014*0.8,2),"")</x:f>
      </x:c>
      <x:c r="AE1014" s="36" t="str">
        <x:f>IF(ISNUMBER(AD1014),ROUND(AD1014*0.015+0.2,2),"")</x:f>
      </x:c>
      <x:c r="AF1014" s="36" t="str">
        <x:f>IF(ISNUMBER(AD1014),ROUND(AD1014-AE1014-V1014,2),"")</x:f>
      </x:c>
      <x:c r="AG1014" t="str">
        <x:f>IF(NOT(ISNUMBER(T1014)),"PENDING",IF(AF1014&gt;0,"PASS","FAIL"))</x:f>
        <x:v>PENDING</x:v>
      </x:c>
      <x:c r="AH1014" t="str">
        <x:f>IF(NOT(ISNUMBER(T1014)),"Needs supplier cost",IF(K1014&lt;&gt;"In stock","Supplier unavailable",IF(AG1014&lt;&gt;"PASS","BLOCK - GT loss risk","Commercially protected")))</x:f>
        <x:v>Needs supplier cost</x:v>
      </x:c>
      <x:c r="AI1014" t="str">
        <x:v>2026-09-10 Active Sports trade capture</x:v>
      </x:c>
      <x:c r="AJ1014" t="str">
        <x:v>Management-only economics. Stripe stress test uses 1.5% + £0.20 standard UK online-card fee; pallet/mix-and-match pricing ignored.</x:v>
      </x:c>
    </x:row>
    <x:row r="1015">
      <x:c r="A1015" t="str">
        <x:v>Active Sports Nutrition</x:v>
      </x:c>
      <x:c r="B1015" t="str">
        <x:v>Dorian Yates - DY Nutrition - Shadow Line</x:v>
      </x:c>
      <x:c r="C1015" t="str">
        <x:v>NOX Pump Ultimate</x:v>
      </x:c>
      <x:c r="D1015" t="str">
        <x:v>Pre Workouts</x:v>
      </x:c>
      <x:c r="E1015" t="str">
        <x:v>High Stim</x:v>
      </x:c>
      <x:c r="F1015" t="str"/>
      <x:c r="G1015" t="str">
        <x:v>400g</x:v>
      </x:c>
      <x:c r="H1015" t="str">
        <x:v>Strawberry Kiwi</x:v>
      </x:c>
      <x:c r="I1015" t="str"/>
      <x:c r="J1015" t="str">
        <x:v>Unit</x:v>
      </x:c>
      <x:c r="K1015" t="str">
        <x:v>Out of stock</x:v>
      </x:c>
      <x:c r="L1015" t="str">
        <x:v>2026-09-08</x:v>
      </x:c>
      <x:c r="M1015" t="str"/>
      <x:c r="N1015" t="str"/>
      <x:c r="O1015" t="str">
        <x:v>https://www.activesportstrade.co.uk/pre-workouts-powder-trade/dorian-yates-dy-nutrition-trade</x:v>
      </x:c>
      <x:c r="P1015" t="str">
        <x:v>SPECIAL OFFER wording removed.</x:v>
      </x:c>
      <x:c r="Q1015" t="str"/>
      <x:c r="R1015" t="str"/>
      <x:c r="S1015" t="str">
        <x:v>Pending genuine supplier/brand image</x:v>
      </x:c>
      <x:c r="T1015" s="54"/>
      <x:c r="U1015" s="47" t="n">
        <x:v>0.2</x:v>
      </x:c>
      <x:c r="V1015" s="54" t="str">
        <x:f>IF(ISNUMBER(T1015),T1015*(1+U1015),"")</x:f>
      </x:c>
      <x:c r="W1015" s="47" t="n">
        <x:v>0.3</x:v>
      </x:c>
      <x:c r="X1015" s="54" t="str">
        <x:f>IF(ISNUMBER(V1015),V1015/(1-W1015),"")</x:f>
      </x:c>
      <x:c r="Y1015" s="55" t="str">
        <x:f>IF(ISNUMBER(X1015),ROUNDUP(X1015,0),"")</x:f>
      </x:c>
      <x:c r="Z1015" t="str">
        <x:f>IF(ISNUMBER(T1015),"Cost captured","Awaiting trade cost")</x:f>
        <x:v>Awaiting trade cost</x:v>
      </x:c>
      <x:c r="AB1015" s="36" t="str">
        <x:f>IF(ISNUMBER(Y1015),ROUND(Y1015*0.9,2),"")</x:f>
      </x:c>
      <x:c r="AC1015" s="36" t="str">
        <x:f>IF(ISNUMBER(AB1015),ROUND(AB1015-(AB1015*0.015+0.2)-V1015,2),"")</x:f>
      </x:c>
      <x:c r="AD1015" s="36" t="str">
        <x:f>IF(ISNUMBER(Y1015),ROUND(Y1015*0.8,2),"")</x:f>
      </x:c>
      <x:c r="AE1015" s="36" t="str">
        <x:f>IF(ISNUMBER(AD1015),ROUND(AD1015*0.015+0.2,2),"")</x:f>
      </x:c>
      <x:c r="AF1015" s="36" t="str">
        <x:f>IF(ISNUMBER(AD1015),ROUND(AD1015-AE1015-V1015,2),"")</x:f>
      </x:c>
      <x:c r="AG1015" t="str">
        <x:f>IF(NOT(ISNUMBER(T1015)),"PENDING",IF(AF1015&gt;0,"PASS","FAIL"))</x:f>
        <x:v>PENDING</x:v>
      </x:c>
      <x:c r="AH1015" t="str">
        <x:f>IF(NOT(ISNUMBER(T1015)),"Needs supplier cost",IF(K1015&lt;&gt;"In stock","Supplier unavailable",IF(AG1015&lt;&gt;"PASS","BLOCK - GT loss risk","Commercially protected")))</x:f>
        <x:v>Needs supplier cost</x:v>
      </x:c>
      <x:c r="AI1015" t="str">
        <x:v>2026-09-10 Active Sports trade capture</x:v>
      </x:c>
      <x:c r="AJ1015" t="str">
        <x:v>Management-only economics. Stripe stress test uses 1.5% + £0.20 standard UK online-card fee; pallet/mix-and-match pricing ignored.</x:v>
      </x:c>
    </x:row>
    <x:row r="1016">
      <x:c r="A1016" t="str">
        <x:v>Active Sports Nutrition</x:v>
      </x:c>
      <x:c r="B1016" t="str">
        <x:v>Dorian Yates - DY Nutrition - Shadow Line</x:v>
      </x:c>
      <x:c r="C1016" t="str">
        <x:v>TestoBoost</x:v>
      </x:c>
      <x:c r="D1016" t="str">
        <x:v>Supplements</x:v>
      </x:c>
      <x:c r="E1016" t="str">
        <x:v>Testosterone Boosters</x:v>
      </x:c>
      <x:c r="F1016" t="str"/>
      <x:c r="G1016" t="str">
        <x:v>30 servings</x:v>
      </x:c>
      <x:c r="H1016" t="str">
        <x:v>Grape</x:v>
      </x:c>
      <x:c r="I1016" t="str"/>
      <x:c r="J1016" t="str">
        <x:v>Unit</x:v>
      </x:c>
      <x:c r="K1016" t="str">
        <x:v>In stock</x:v>
      </x:c>
      <x:c r="L1016" t="str">
        <x:v>2026-09-08</x:v>
      </x:c>
      <x:c r="M1016" t="str"/>
      <x:c r="N1016" t="str"/>
      <x:c r="O1016" t="str">
        <x:v>https://www.activesportstrade.co.uk/testosterone-boosters-trade/dorian-yates-dy-nutrition-trade</x:v>
      </x:c>
      <x:c r="P1016" t="str"/>
      <x:c r="Q1016" t="str"/>
      <x:c r="R1016" t="str"/>
      <x:c r="S1016" t="str">
        <x:v>Pending genuine supplier/brand image</x:v>
      </x:c>
      <x:c r="T1016" s="54"/>
      <x:c r="U1016" s="47" t="n">
        <x:v>0.2</x:v>
      </x:c>
      <x:c r="V1016" s="54" t="str">
        <x:f>IF(ISNUMBER(T1016),T1016*(1+U1016),"")</x:f>
      </x:c>
      <x:c r="W1016" s="47" t="n">
        <x:v>0.3</x:v>
      </x:c>
      <x:c r="X1016" s="54" t="str">
        <x:f>IF(ISNUMBER(V1016),V1016/(1-W1016),"")</x:f>
      </x:c>
      <x:c r="Y1016" s="55" t="str">
        <x:f>IF(ISNUMBER(X1016),ROUNDUP(X1016,0),"")</x:f>
      </x:c>
      <x:c r="Z1016" t="str">
        <x:f>IF(ISNUMBER(T1016),"Cost captured","Awaiting trade cost")</x:f>
        <x:v>Awaiting trade cost</x:v>
      </x:c>
      <x:c r="AB1016" s="36" t="str">
        <x:f>IF(ISNUMBER(Y1016),ROUND(Y1016*0.9,2),"")</x:f>
      </x:c>
      <x:c r="AC1016" s="36" t="str">
        <x:f>IF(ISNUMBER(AB1016),ROUND(AB1016-(AB1016*0.015+0.2)-V1016,2),"")</x:f>
      </x:c>
      <x:c r="AD1016" s="36" t="str">
        <x:f>IF(ISNUMBER(Y1016),ROUND(Y1016*0.8,2),"")</x:f>
      </x:c>
      <x:c r="AE1016" s="36" t="str">
        <x:f>IF(ISNUMBER(AD1016),ROUND(AD1016*0.015+0.2,2),"")</x:f>
      </x:c>
      <x:c r="AF1016" s="36" t="str">
        <x:f>IF(ISNUMBER(AD1016),ROUND(AD1016-AE1016-V1016,2),"")</x:f>
      </x:c>
      <x:c r="AG1016" t="str">
        <x:f>IF(NOT(ISNUMBER(T1016)),"PENDING",IF(AF1016&gt;0,"PASS","FAIL"))</x:f>
        <x:v>PENDING</x:v>
      </x:c>
      <x:c r="AH1016" t="str">
        <x:f>IF(NOT(ISNUMBER(T1016)),"Needs supplier cost",IF(K1016&lt;&gt;"In stock","Supplier unavailable",IF(AG1016&lt;&gt;"PASS","BLOCK - GT loss risk","Commercially protected")))</x:f>
        <x:v>Needs supplier cost</x:v>
      </x:c>
      <x:c r="AI1016" t="str">
        <x:v>2026-09-10 Active Sports trade capture</x:v>
      </x:c>
      <x:c r="AJ1016" t="str">
        <x:v>Management-only economics. Stripe stress test uses 1.5% + £0.20 standard UK online-card fee; pallet/mix-and-match pricing ignored.</x:v>
      </x:c>
    </x:row>
    <x:row r="1017">
      <x:c r="A1017" t="str">
        <x:v>Active Sports Nutrition</x:v>
      </x:c>
      <x:c r="B1017" t="str">
        <x:v>Efectiv Sports Nutrition</x:v>
      </x:c>
      <x:c r="C1017" t="str">
        <x:v>Alpha Male Support</x:v>
      </x:c>
      <x:c r="D1017" t="str">
        <x:v>Supplements</x:v>
      </x:c>
      <x:c r="E1017" t="str">
        <x:v>Testosterone Boosters</x:v>
      </x:c>
      <x:c r="F1017" t="str"/>
      <x:c r="G1017" t="str">
        <x:v>120 caps</x:v>
      </x:c>
      <x:c r="H1017" t="str">
        <x:v>Default</x:v>
      </x:c>
      <x:c r="I1017" t="str"/>
      <x:c r="J1017" t="str">
        <x:v>Unit</x:v>
      </x:c>
      <x:c r="K1017" t="str">
        <x:v>In stock</x:v>
      </x:c>
      <x:c r="L1017" t="str">
        <x:v>2026-09-08</x:v>
      </x:c>
      <x:c r="M1017" t="str"/>
      <x:c r="N1017" t="str"/>
      <x:c r="O1017" t="str">
        <x:v>https://www.activesportstrade.co.uk/efectiv-sports-trade</x:v>
      </x:c>
      <x:c r="P1017" t="str"/>
      <x:c r="Q1017" t="str"/>
      <x:c r="R1017" t="str"/>
      <x:c r="S1017" t="str">
        <x:v>Pending genuine supplier/brand image</x:v>
      </x:c>
      <x:c r="T1017" s="54"/>
      <x:c r="U1017" s="47" t="n">
        <x:v>0.2</x:v>
      </x:c>
      <x:c r="V1017" s="54" t="str">
        <x:f>IF(ISNUMBER(T1017),T1017*(1+U1017),"")</x:f>
      </x:c>
      <x:c r="W1017" s="47" t="n">
        <x:v>0.3</x:v>
      </x:c>
      <x:c r="X1017" s="54" t="str">
        <x:f>IF(ISNUMBER(V1017),V1017/(1-W1017),"")</x:f>
      </x:c>
      <x:c r="Y1017" s="55" t="str">
        <x:f>IF(ISNUMBER(X1017),ROUNDUP(X1017,0),"")</x:f>
      </x:c>
      <x:c r="Z1017" t="str">
        <x:f>IF(ISNUMBER(T1017),"Cost captured","Awaiting trade cost")</x:f>
        <x:v>Awaiting trade cost</x:v>
      </x:c>
      <x:c r="AB1017" s="36" t="str">
        <x:f>IF(ISNUMBER(Y1017),ROUND(Y1017*0.9,2),"")</x:f>
      </x:c>
      <x:c r="AC1017" s="36" t="str">
        <x:f>IF(ISNUMBER(AB1017),ROUND(AB1017-(AB1017*0.015+0.2)-V1017,2),"")</x:f>
      </x:c>
      <x:c r="AD1017" s="36" t="str">
        <x:f>IF(ISNUMBER(Y1017),ROUND(Y1017*0.8,2),"")</x:f>
      </x:c>
      <x:c r="AE1017" s="36" t="str">
        <x:f>IF(ISNUMBER(AD1017),ROUND(AD1017*0.015+0.2,2),"")</x:f>
      </x:c>
      <x:c r="AF1017" s="36" t="str">
        <x:f>IF(ISNUMBER(AD1017),ROUND(AD1017-AE1017-V1017,2),"")</x:f>
      </x:c>
      <x:c r="AG1017" t="str">
        <x:f>IF(NOT(ISNUMBER(T1017)),"PENDING",IF(AF1017&gt;0,"PASS","FAIL"))</x:f>
        <x:v>PENDING</x:v>
      </x:c>
      <x:c r="AH1017" t="str">
        <x:f>IF(NOT(ISNUMBER(T1017)),"Needs supplier cost",IF(K1017&lt;&gt;"In stock","Supplier unavailable",IF(AG1017&lt;&gt;"PASS","BLOCK - GT loss risk","Commercially protected")))</x:f>
        <x:v>Needs supplier cost</x:v>
      </x:c>
      <x:c r="AI1017" t="str">
        <x:v>2026-09-10 Active Sports trade capture</x:v>
      </x:c>
      <x:c r="AJ1017" t="str">
        <x:v>Management-only economics. Stripe stress test uses 1.5% + £0.20 standard UK online-card fee; pallet/mix-and-match pricing ignored.</x:v>
      </x:c>
    </x:row>
    <x:row r="1018">
      <x:c r="A1018" t="str">
        <x:v>Active Sports Nutrition</x:v>
      </x:c>
      <x:c r="B1018" t="str">
        <x:v>Efectiv Sports Nutrition</x:v>
      </x:c>
      <x:c r="C1018" t="str">
        <x:v>Complete Meal</x:v>
      </x:c>
      <x:c r="D1018" t="str">
        <x:v>Supplements</x:v>
      </x:c>
      <x:c r="E1018" t="str">
        <x:v>Meal Replacements</x:v>
      </x:c>
      <x:c r="F1018" t="str"/>
      <x:c r="G1018" t="str">
        <x:v>1kg</x:v>
      </x:c>
      <x:c r="H1018" t="str">
        <x:v>Chocolate</x:v>
      </x:c>
      <x:c r="I1018" t="str"/>
      <x:c r="J1018" t="str">
        <x:v>Unit</x:v>
      </x:c>
      <x:c r="K1018" t="str">
        <x:v>In stock</x:v>
      </x:c>
      <x:c r="L1018" t="str">
        <x:v>2026-09-08</x:v>
      </x:c>
      <x:c r="M1018" t="str"/>
      <x:c r="N1018" t="str"/>
      <x:c r="O1018" t="str">
        <x:v>https://www.activesportstrade.co.uk/efectiv-sports-trade</x:v>
      </x:c>
      <x:c r="P1018" t="str"/>
      <x:c r="Q1018" t="str"/>
      <x:c r="R1018" t="str"/>
      <x:c r="S1018" t="str">
        <x:v>Pending genuine supplier/brand image</x:v>
      </x:c>
      <x:c r="T1018" s="54" t="n">
        <x:v>18.74</x:v>
      </x:c>
      <x:c r="U1018" s="47" t="n">
        <x:v>0.2</x:v>
      </x:c>
      <x:c r="V1018" s="54" t="n">
        <x:f>IF(ISNUMBER(T1018),T1018*(1+U1018),"")</x:f>
        <x:v>22.487999999999996</x:v>
      </x:c>
      <x:c r="W1018" s="47" t="n">
        <x:v>0.3</x:v>
      </x:c>
      <x:c r="X1018" s="54" t="n">
        <x:f>IF(ISNUMBER(V1018),V1018/(1-W1018),"")</x:f>
        <x:v>32.12571428571428</x:v>
      </x:c>
      <x:c r="Y1018" s="55" t="n">
        <x:f>IF(ISNUMBER(X1018),ROUNDUP(X1018,0),"")</x:f>
        <x:v>33</x:v>
      </x:c>
      <x:c r="Z1018" t="str">
        <x:v>Source match pending</x:v>
      </x:c>
      <x:c r="AA1018" t="str">
        <x:v>screencapture-www-activesportstrade-co-uk-efectiv-sports-trade-2026-09-09-18_28_40.png / page-001</x:v>
      </x:c>
      <x:c r="AB1018" s="36" t="n">
        <x:f>IF(ISNUMBER(Y1018),ROUND(Y1018*0.9,2),"")</x:f>
        <x:v>29.7</x:v>
      </x:c>
      <x:c r="AC1018" s="36" t="n">
        <x:f>IF(ISNUMBER(AB1018),ROUND(AB1018-(AB1018*0.015+0.2)-V1018,2),"")</x:f>
        <x:v>6.57</x:v>
      </x:c>
      <x:c r="AD1018" s="36" t="n">
        <x:f>IF(ISNUMBER(Y1018),ROUND(Y1018*0.8,2),"")</x:f>
        <x:v>26.4</x:v>
      </x:c>
      <x:c r="AE1018" s="36" t="n">
        <x:f>IF(ISNUMBER(AD1018),ROUND(AD1018*0.015+0.2,2),"")</x:f>
        <x:v>0.6</x:v>
      </x:c>
      <x:c r="AF1018" s="36" t="n">
        <x:f>IF(ISNUMBER(AD1018),ROUND(AD1018-AE1018-V1018,2),"")</x:f>
        <x:v>3.31</x:v>
      </x:c>
      <x:c r="AG1018" t="str">
        <x:f>IF(NOT(ISNUMBER(T1018)),"PENDING",IF(AF1018&gt;0,"PASS","FAIL"))</x:f>
        <x:v>PASS</x:v>
      </x:c>
      <x:c r="AH1018" t="str">
        <x:f>IF(NOT(ISNUMBER(T1018)),"Needs supplier cost",IF(K1018&lt;&gt;"In stock","Supplier unavailable",IF(AG1018&lt;&gt;"PASS","BLOCK - GT loss risk","Commercially protected")))</x:f>
        <x:v>Commercially protected</x:v>
      </x:c>
      <x:c r="AI1018" t="str">
        <x:v>2026-09-10 Active Sports trade capture</x:v>
      </x:c>
      <x:c r="AJ1018" t="str">
        <x:v>Management-only economics. Stripe stress test uses 1.5% + £0.20 standard UK online-card fee; pallet/mix-and-match pricing ignored.</x:v>
      </x:c>
    </x:row>
    <x:row r="1019">
      <x:c r="A1019" t="str">
        <x:v>Active Sports Nutrition</x:v>
      </x:c>
      <x:c r="B1019" t="str">
        <x:v>Efectiv Sports Nutrition</x:v>
      </x:c>
      <x:c r="C1019" t="str">
        <x:v>Complete Meal</x:v>
      </x:c>
      <x:c r="D1019" t="str">
        <x:v>Supplements</x:v>
      </x:c>
      <x:c r="E1019" t="str">
        <x:v>Meal Replacements</x:v>
      </x:c>
      <x:c r="F1019" t="str"/>
      <x:c r="G1019" t="str">
        <x:v>1kg</x:v>
      </x:c>
      <x:c r="H1019" t="str">
        <x:v>Mixed Berry</x:v>
      </x:c>
      <x:c r="I1019" t="str"/>
      <x:c r="J1019" t="str">
        <x:v>Unit</x:v>
      </x:c>
      <x:c r="K1019" t="str">
        <x:v>Out of stock</x:v>
      </x:c>
      <x:c r="L1019" t="str">
        <x:v>2026-09-08</x:v>
      </x:c>
      <x:c r="M1019" t="str"/>
      <x:c r="N1019" t="str"/>
      <x:c r="O1019" t="str">
        <x:v>https://www.activesportstrade.co.uk/efectiv-sports-trade</x:v>
      </x:c>
      <x:c r="P1019" t="str"/>
      <x:c r="Q1019" t="str"/>
      <x:c r="R1019" t="str"/>
      <x:c r="S1019" t="str">
        <x:v>Pending genuine supplier/brand image</x:v>
      </x:c>
      <x:c r="T1019" s="54" t="n">
        <x:v>18.74</x:v>
      </x:c>
      <x:c r="U1019" s="47" t="n">
        <x:v>0.2</x:v>
      </x:c>
      <x:c r="V1019" s="54" t="n">
        <x:f>IF(ISNUMBER(T1019),T1019*(1+U1019),"")</x:f>
        <x:v>22.487999999999996</x:v>
      </x:c>
      <x:c r="W1019" s="47" t="n">
        <x:v>0.3</x:v>
      </x:c>
      <x:c r="X1019" s="54" t="n">
        <x:f>IF(ISNUMBER(V1019),V1019/(1-W1019),"")</x:f>
        <x:v>32.12571428571428</x:v>
      </x:c>
      <x:c r="Y1019" s="55" t="n">
        <x:f>IF(ISNUMBER(X1019),ROUNDUP(X1019,0),"")</x:f>
        <x:v>33</x:v>
      </x:c>
      <x:c r="Z1019" t="str">
        <x:v>Source match pending</x:v>
      </x:c>
      <x:c r="AA1019" t="str">
        <x:v>screencapture-www-activesportstrade-co-uk-efectiv-sports-trade-2026-09-09-18_28_40.png / page-001</x:v>
      </x:c>
      <x:c r="AB1019" s="36" t="n">
        <x:f>IF(ISNUMBER(Y1019),ROUND(Y1019*0.9,2),"")</x:f>
        <x:v>29.7</x:v>
      </x:c>
      <x:c r="AC1019" s="36" t="n">
        <x:f>IF(ISNUMBER(AB1019),ROUND(AB1019-(AB1019*0.015+0.2)-V1019,2),"")</x:f>
        <x:v>6.57</x:v>
      </x:c>
      <x:c r="AD1019" s="36" t="n">
        <x:f>IF(ISNUMBER(Y1019),ROUND(Y1019*0.8,2),"")</x:f>
        <x:v>26.4</x:v>
      </x:c>
      <x:c r="AE1019" s="36" t="n">
        <x:f>IF(ISNUMBER(AD1019),ROUND(AD1019*0.015+0.2,2),"")</x:f>
        <x:v>0.6</x:v>
      </x:c>
      <x:c r="AF1019" s="36" t="n">
        <x:f>IF(ISNUMBER(AD1019),ROUND(AD1019-AE1019-V1019,2),"")</x:f>
        <x:v>3.31</x:v>
      </x:c>
      <x:c r="AG1019" t="str">
        <x:f>IF(NOT(ISNUMBER(T1019)),"PENDING",IF(AF1019&gt;0,"PASS","FAIL"))</x:f>
        <x:v>PASS</x:v>
      </x:c>
      <x:c r="AH1019" t="str">
        <x:f>IF(NOT(ISNUMBER(T1019)),"Needs supplier cost",IF(K1019&lt;&gt;"In stock","Supplier unavailable",IF(AG1019&lt;&gt;"PASS","BLOCK - GT loss risk","Commercially protected")))</x:f>
        <x:v>Supplier unavailable</x:v>
      </x:c>
      <x:c r="AI1019" t="str">
        <x:v>2026-09-10 Active Sports trade capture</x:v>
      </x:c>
      <x:c r="AJ1019" t="str">
        <x:v>Management-only economics. Stripe stress test uses 1.5% + £0.20 standard UK online-card fee; pallet/mix-and-match pricing ignored.</x:v>
      </x:c>
    </x:row>
    <x:row r="1020">
      <x:c r="A1020" t="str">
        <x:v>Active Sports Nutrition</x:v>
      </x:c>
      <x:c r="B1020" t="str">
        <x:v>Efectiv Sports Nutrition</x:v>
      </x:c>
      <x:c r="C1020" t="str">
        <x:v>Mag Pro</x:v>
      </x:c>
      <x:c r="D1020" t="str">
        <x:v>Supplements</x:v>
      </x:c>
      <x:c r="E1020" t="str">
        <x:v>Vitamins</x:v>
      </x:c>
      <x:c r="F1020" t="str"/>
      <x:c r="G1020" t="str">
        <x:v>90 caps</x:v>
      </x:c>
      <x:c r="H1020" t="str">
        <x:v>Default</x:v>
      </x:c>
      <x:c r="I1020" t="str"/>
      <x:c r="J1020" t="str">
        <x:v>Unit</x:v>
      </x:c>
      <x:c r="K1020" t="str">
        <x:v>In stock</x:v>
      </x:c>
      <x:c r="L1020" t="str">
        <x:v>2026-09-08</x:v>
      </x:c>
      <x:c r="M1020" t="str"/>
      <x:c r="N1020" t="str"/>
      <x:c r="O1020" t="str">
        <x:v>https://www.activesportstrade.co.uk/efectiv-sports-trade</x:v>
      </x:c>
      <x:c r="P1020" t="str">
        <x:v>SPECIAL OFFER wording removed.</x:v>
      </x:c>
      <x:c r="Q1020" t="str"/>
      <x:c r="R1020" t="str"/>
      <x:c r="S1020" t="str">
        <x:v>Pending genuine supplier/brand image</x:v>
      </x:c>
      <x:c r="T1020" s="54" t="n">
        <x:v>7.99</x:v>
      </x:c>
      <x:c r="U1020" s="47" t="n">
        <x:v>0.2</x:v>
      </x:c>
      <x:c r="V1020" s="54" t="n">
        <x:f>IF(ISNUMBER(T1020),T1020*(1+U1020),"")</x:f>
        <x:v>9.588</x:v>
      </x:c>
      <x:c r="W1020" s="47" t="n">
        <x:v>0.3</x:v>
      </x:c>
      <x:c r="X1020" s="54" t="n">
        <x:f>IF(ISNUMBER(V1020),V1020/(1-W1020),"")</x:f>
        <x:v>13.697142857142858</x:v>
      </x:c>
      <x:c r="Y1020" s="55" t="n">
        <x:f>IF(ISNUMBER(X1020),ROUNDUP(X1020,0),"")</x:f>
        <x:v>14</x:v>
      </x:c>
      <x:c r="Z1020" t="str">
        <x:v>Source match pending</x:v>
      </x:c>
      <x:c r="AA1020" t="str">
        <x:v>screencapture-www-activesportstrade-co-uk-efectiv-sports-trade-2026-09-09-18_28_40.png / page-001</x:v>
      </x:c>
      <x:c r="AB1020" s="36" t="n">
        <x:f>IF(ISNUMBER(Y1020),ROUND(Y1020*0.9,2),"")</x:f>
        <x:v>12.6</x:v>
      </x:c>
      <x:c r="AC1020" s="36" t="n">
        <x:f>IF(ISNUMBER(AB1020),ROUND(AB1020-(AB1020*0.015+0.2)-V1020,2),"")</x:f>
        <x:v>2.62</x:v>
      </x:c>
      <x:c r="AD1020" s="36" t="n">
        <x:f>IF(ISNUMBER(Y1020),ROUND(Y1020*0.8,2),"")</x:f>
        <x:v>11.2</x:v>
      </x:c>
      <x:c r="AE1020" s="36" t="n">
        <x:f>IF(ISNUMBER(AD1020),ROUND(AD1020*0.015+0.2,2),"")</x:f>
        <x:v>0.37</x:v>
      </x:c>
      <x:c r="AF1020" s="36" t="n">
        <x:f>IF(ISNUMBER(AD1020),ROUND(AD1020-AE1020-V1020,2),"")</x:f>
        <x:v>1.24</x:v>
      </x:c>
      <x:c r="AG1020" t="str">
        <x:f>IF(NOT(ISNUMBER(T1020)),"PENDING",IF(AF1020&gt;0,"PASS","FAIL"))</x:f>
        <x:v>PASS</x:v>
      </x:c>
      <x:c r="AH1020" t="str">
        <x:f>IF(NOT(ISNUMBER(T1020)),"Needs supplier cost",IF(K1020&lt;&gt;"In stock","Supplier unavailable",IF(AG1020&lt;&gt;"PASS","BLOCK - GT loss risk","Commercially protected")))</x:f>
        <x:v>Commercially protected</x:v>
      </x:c>
      <x:c r="AI1020" t="str">
        <x:v>2026-09-10 Active Sports trade capture</x:v>
      </x:c>
      <x:c r="AJ1020" t="str">
        <x:v>Management-only economics. Stripe stress test uses 1.5% + £0.20 standard UK online-card fee; pallet/mix-and-match pricing ignored.</x:v>
      </x:c>
    </x:row>
    <x:row r="1021">
      <x:c r="A1021" t="str">
        <x:v>Active Sports Nutrition</x:v>
      </x:c>
      <x:c r="B1021" t="str">
        <x:v>Efectiv Sports Nutrition</x:v>
      </x:c>
      <x:c r="C1021" t="str">
        <x:v>ZM Pro</x:v>
      </x:c>
      <x:c r="D1021" t="str">
        <x:v>Supplements</x:v>
      </x:c>
      <x:c r="E1021" t="str">
        <x:v>Sleep Aids</x:v>
      </x:c>
      <x:c r="F1021" t="str"/>
      <x:c r="G1021" t="str">
        <x:v>120 caps</x:v>
      </x:c>
      <x:c r="H1021" t="str">
        <x:v>Default</x:v>
      </x:c>
      <x:c r="I1021" t="str"/>
      <x:c r="J1021" t="str">
        <x:v>Unit</x:v>
      </x:c>
      <x:c r="K1021" t="str">
        <x:v>In stock</x:v>
      </x:c>
      <x:c r="L1021" t="str">
        <x:v>2026-09-08</x:v>
      </x:c>
      <x:c r="M1021" t="str"/>
      <x:c r="N1021" t="str"/>
      <x:c r="O1021" t="str">
        <x:v>https://www.activesportstrade.co.uk/efectiv-sports-trade</x:v>
      </x:c>
      <x:c r="P1021" t="str"/>
      <x:c r="Q1021" t="str"/>
      <x:c r="R1021" t="str"/>
      <x:c r="S1021" t="str">
        <x:v>Pending genuine supplier/brand image</x:v>
      </x:c>
      <x:c r="T1021" s="54" t="n">
        <x:v>8.73</x:v>
      </x:c>
      <x:c r="U1021" s="47" t="n">
        <x:v>0.2</x:v>
      </x:c>
      <x:c r="V1021" s="54" t="n">
        <x:f>IF(ISNUMBER(T1021),T1021*(1+U1021),"")</x:f>
        <x:v>10.476</x:v>
      </x:c>
      <x:c r="W1021" s="47" t="n">
        <x:v>0.3</x:v>
      </x:c>
      <x:c r="X1021" s="54" t="n">
        <x:f>IF(ISNUMBER(V1021),V1021/(1-W1021),"")</x:f>
        <x:v>14.965714285714288</x:v>
      </x:c>
      <x:c r="Y1021" s="55" t="n">
        <x:f>IF(ISNUMBER(X1021),ROUNDUP(X1021,0),"")</x:f>
        <x:v>15</x:v>
      </x:c>
      <x:c r="Z1021" t="str">
        <x:v>Source match pending</x:v>
      </x:c>
      <x:c r="AA1021" t="str">
        <x:v>screencapture-www-activesportstrade-co-uk-efectiv-sports-trade-2026-09-09-18_28_40.png / page-001</x:v>
      </x:c>
      <x:c r="AB1021" s="36" t="n">
        <x:f>IF(ISNUMBER(Y1021),ROUND(Y1021*0.9,2),"")</x:f>
        <x:v>13.5</x:v>
      </x:c>
      <x:c r="AC1021" s="36" t="n">
        <x:f>IF(ISNUMBER(AB1021),ROUND(AB1021-(AB1021*0.015+0.2)-V1021,2),"")</x:f>
        <x:v>2.62</x:v>
      </x:c>
      <x:c r="AD1021" s="36" t="n">
        <x:f>IF(ISNUMBER(Y1021),ROUND(Y1021*0.8,2),"")</x:f>
        <x:v>12</x:v>
      </x:c>
      <x:c r="AE1021" s="36" t="n">
        <x:f>IF(ISNUMBER(AD1021),ROUND(AD1021*0.015+0.2,2),"")</x:f>
        <x:v>0.38</x:v>
      </x:c>
      <x:c r="AF1021" s="36" t="n">
        <x:f>IF(ISNUMBER(AD1021),ROUND(AD1021-AE1021-V1021,2),"")</x:f>
        <x:v>1.14</x:v>
      </x:c>
      <x:c r="AG1021" t="str">
        <x:f>IF(NOT(ISNUMBER(T1021)),"PENDING",IF(AF1021&gt;0,"PASS","FAIL"))</x:f>
        <x:v>PASS</x:v>
      </x:c>
      <x:c r="AH1021" t="str">
        <x:f>IF(NOT(ISNUMBER(T1021)),"Needs supplier cost",IF(K1021&lt;&gt;"In stock","Supplier unavailable",IF(AG1021&lt;&gt;"PASS","BLOCK - GT loss risk","Commercially protected")))</x:f>
        <x:v>Commercially protected</x:v>
      </x:c>
      <x:c r="AI1021" t="str">
        <x:v>2026-09-10 Active Sports trade capture</x:v>
      </x:c>
      <x:c r="AJ1021" t="str">
        <x:v>Management-only economics. Stripe stress test uses 1.5% + £0.20 standard UK online-card fee; pallet/mix-and-match pricing ignored.</x:v>
      </x:c>
    </x:row>
    <x:row r="1022">
      <x:c r="A1022" t="str">
        <x:v>Active Sports Nutrition</x:v>
      </x:c>
      <x:c r="B1022" t="str">
        <x:v>EHP Labs</x:v>
      </x:c>
      <x:c r="C1022" t="str">
        <x:v>Acetyl L-Carnitine</x:v>
      </x:c>
      <x:c r="D1022" t="str">
        <x:v>Supplements</x:v>
      </x:c>
      <x:c r="E1022" t="str">
        <x:v>L-Carnitine</x:v>
      </x:c>
      <x:c r="F1022" t="str">
        <x:v>Acetyl L-carnitine powder.</x:v>
      </x:c>
      <x:c r="G1022" t="str">
        <x:v>100g</x:v>
      </x:c>
      <x:c r="H1022" t="str">
        <x:v>Unflavoured</x:v>
      </x:c>
      <x:c r="I1022" t="str"/>
      <x:c r="J1022" t="str">
        <x:v>Unit</x:v>
      </x:c>
      <x:c r="K1022" t="str">
        <x:v>In stock</x:v>
      </x:c>
      <x:c r="L1022" t="str">
        <x:v>2026-09-08</x:v>
      </x:c>
      <x:c r="M1022" t="str"/>
      <x:c r="N1022" t="str"/>
      <x:c r="O1022" t="str">
        <x:v>https://www.activesportstrade.co.uk/ehp-labs-trade</x:v>
      </x:c>
      <x:c r="P1022" t="str"/>
      <x:c r="Q1022" t="str"/>
      <x:c r="R1022" t="str"/>
      <x:c r="S1022" t="str">
        <x:v>Pending genuine supplier/brand image</x:v>
      </x:c>
      <x:c r="T1022" s="54"/>
      <x:c r="U1022" s="47" t="n">
        <x:v>0.2</x:v>
      </x:c>
      <x:c r="V1022" s="54" t="str">
        <x:f>IF(ISNUMBER(T1022),T1022*(1+U1022),"")</x:f>
      </x:c>
      <x:c r="W1022" s="47" t="n">
        <x:v>0.3</x:v>
      </x:c>
      <x:c r="X1022" s="54" t="str">
        <x:f>IF(ISNUMBER(V1022),V1022/(1-W1022),"")</x:f>
      </x:c>
      <x:c r="Y1022" s="55" t="str">
        <x:f>IF(ISNUMBER(X1022),ROUNDUP(X1022,0),"")</x:f>
      </x:c>
      <x:c r="Z1022" t="str">
        <x:f>IF(ISNUMBER(T1022),"Cost captured","Awaiting trade cost")</x:f>
        <x:v>Awaiting trade cost</x:v>
      </x:c>
      <x:c r="AB1022" s="36" t="str">
        <x:f>IF(ISNUMBER(Y1022),ROUND(Y1022*0.9,2),"")</x:f>
      </x:c>
      <x:c r="AC1022" s="36" t="str">
        <x:f>IF(ISNUMBER(AB1022),ROUND(AB1022-(AB1022*0.015+0.2)-V1022,2),"")</x:f>
      </x:c>
      <x:c r="AD1022" s="36" t="str">
        <x:f>IF(ISNUMBER(Y1022),ROUND(Y1022*0.8,2),"")</x:f>
      </x:c>
      <x:c r="AE1022" s="36" t="str">
        <x:f>IF(ISNUMBER(AD1022),ROUND(AD1022*0.015+0.2,2),"")</x:f>
      </x:c>
      <x:c r="AF1022" s="36" t="str">
        <x:f>IF(ISNUMBER(AD1022),ROUND(AD1022-AE1022-V1022,2),"")</x:f>
      </x:c>
      <x:c r="AG1022" t="str">
        <x:f>IF(NOT(ISNUMBER(T1022)),"PENDING",IF(AF1022&gt;0,"PASS","FAIL"))</x:f>
        <x:v>PENDING</x:v>
      </x:c>
      <x:c r="AH1022" t="str">
        <x:f>IF(NOT(ISNUMBER(T1022)),"Needs supplier cost",IF(K1022&lt;&gt;"In stock","Supplier unavailable",IF(AG1022&lt;&gt;"PASS","BLOCK - GT loss risk","Commercially protected")))</x:f>
        <x:v>Needs supplier cost</x:v>
      </x:c>
      <x:c r="AI1022" t="str">
        <x:v>2026-09-10 Active Sports trade capture</x:v>
      </x:c>
      <x:c r="AJ1022" t="str">
        <x:v>Management-only economics. Stripe stress test uses 1.5% + £0.20 standard UK online-card fee; pallet/mix-and-match pricing ignored.</x:v>
      </x:c>
    </x:row>
    <x:row r="1023">
      <x:c r="A1023" t="str">
        <x:v>Active Sports Nutrition</x:v>
      </x:c>
      <x:c r="B1023" t="str">
        <x:v>EHP Labs</x:v>
      </x:c>
      <x:c r="C1023" t="str">
        <x:v>Crea-8 Creatine Monohydrate</x:v>
      </x:c>
      <x:c r="D1023" t="str">
        <x:v>Supplements</x:v>
      </x:c>
      <x:c r="E1023" t="str">
        <x:v>Creatine Powders</x:v>
      </x:c>
      <x:c r="F1023" t="str">
        <x:v>Creatine monohydrate powder.</x:v>
      </x:c>
      <x:c r="G1023" t="str">
        <x:v>500g</x:v>
      </x:c>
      <x:c r="H1023" t="str">
        <x:v>Unflavoured</x:v>
      </x:c>
      <x:c r="I1023" t="str"/>
      <x:c r="J1023" t="str">
        <x:v>Unit</x:v>
      </x:c>
      <x:c r="K1023" t="str">
        <x:v>In stock</x:v>
      </x:c>
      <x:c r="L1023" t="str">
        <x:v>2026-09-08</x:v>
      </x:c>
      <x:c r="M1023" t="str"/>
      <x:c r="N1023" t="str"/>
      <x:c r="O1023" t="str">
        <x:v>https://www.activesportstrade.co.uk/ehp-labs-trade</x:v>
      </x:c>
      <x:c r="P1023" t="str">
        <x:v>NEW PRICE wording removed.</x:v>
      </x:c>
      <x:c r="Q1023" t="str"/>
      <x:c r="R1023" t="str"/>
      <x:c r="S1023" t="str">
        <x:v>Pending genuine supplier/brand image</x:v>
      </x:c>
      <x:c r="T1023" s="54"/>
      <x:c r="U1023" s="47" t="n">
        <x:v>0.2</x:v>
      </x:c>
      <x:c r="V1023" s="54" t="str">
        <x:f>IF(ISNUMBER(T1023),T1023*(1+U1023),"")</x:f>
      </x:c>
      <x:c r="W1023" s="47" t="n">
        <x:v>0.3</x:v>
      </x:c>
      <x:c r="X1023" s="54" t="str">
        <x:f>IF(ISNUMBER(V1023),V1023/(1-W1023),"")</x:f>
      </x:c>
      <x:c r="Y1023" s="55" t="str">
        <x:f>IF(ISNUMBER(X1023),ROUNDUP(X1023,0),"")</x:f>
      </x:c>
      <x:c r="Z1023" t="str">
        <x:f>IF(ISNUMBER(T1023),"Cost captured","Awaiting trade cost")</x:f>
        <x:v>Awaiting trade cost</x:v>
      </x:c>
      <x:c r="AB1023" s="36" t="str">
        <x:f>IF(ISNUMBER(Y1023),ROUND(Y1023*0.9,2),"")</x:f>
      </x:c>
      <x:c r="AC1023" s="36" t="str">
        <x:f>IF(ISNUMBER(AB1023),ROUND(AB1023-(AB1023*0.015+0.2)-V1023,2),"")</x:f>
      </x:c>
      <x:c r="AD1023" s="36" t="str">
        <x:f>IF(ISNUMBER(Y1023),ROUND(Y1023*0.8,2),"")</x:f>
      </x:c>
      <x:c r="AE1023" s="36" t="str">
        <x:f>IF(ISNUMBER(AD1023),ROUND(AD1023*0.015+0.2,2),"")</x:f>
      </x:c>
      <x:c r="AF1023" s="36" t="str">
        <x:f>IF(ISNUMBER(AD1023),ROUND(AD1023-AE1023-V1023,2),"")</x:f>
      </x:c>
      <x:c r="AG1023" t="str">
        <x:f>IF(NOT(ISNUMBER(T1023)),"PENDING",IF(AF1023&gt;0,"PASS","FAIL"))</x:f>
        <x:v>PENDING</x:v>
      </x:c>
      <x:c r="AH1023" t="str">
        <x:f>IF(NOT(ISNUMBER(T1023)),"Needs supplier cost",IF(K1023&lt;&gt;"In stock","Supplier unavailable",IF(AG1023&lt;&gt;"PASS","BLOCK - GT loss risk","Commercially protected")))</x:f>
        <x:v>Needs supplier cost</x:v>
      </x:c>
      <x:c r="AI1023" t="str">
        <x:v>2026-09-10 Active Sports trade capture</x:v>
      </x:c>
      <x:c r="AJ1023" t="str">
        <x:v>Management-only economics. Stripe stress test uses 1.5% + £0.20 standard UK online-card fee; pallet/mix-and-match pricing ignored.</x:v>
      </x:c>
    </x:row>
    <x:row r="1024">
      <x:c r="A1024" t="str">
        <x:v>Active Sports Nutrition</x:v>
      </x:c>
      <x:c r="B1024" t="str">
        <x:v>EHP Labs</x:v>
      </x:c>
      <x:c r="C1024" t="str">
        <x:v>Creatine Monohydrate</x:v>
      </x:c>
      <x:c r="D1024" t="str">
        <x:v>Supplements</x:v>
      </x:c>
      <x:c r="E1024" t="str">
        <x:v>Creatine Powders</x:v>
      </x:c>
      <x:c r="F1024" t="str">
        <x:v>Creatine monohydrate powder.</x:v>
      </x:c>
      <x:c r="G1024" t="str">
        <x:v>250g</x:v>
      </x:c>
      <x:c r="H1024" t="str">
        <x:v>Unflavoured</x:v>
      </x:c>
      <x:c r="I1024" t="str"/>
      <x:c r="J1024" t="str">
        <x:v>Unit</x:v>
      </x:c>
      <x:c r="K1024" t="str">
        <x:v>In stock</x:v>
      </x:c>
      <x:c r="L1024" t="str">
        <x:v>2026-09-08</x:v>
      </x:c>
      <x:c r="M1024" t="str"/>
      <x:c r="N1024" t="str"/>
      <x:c r="O1024" t="str">
        <x:v>https://www.activesportstrade.co.uk/ehp-labs-trade</x:v>
      </x:c>
      <x:c r="P1024" t="str"/>
      <x:c r="Q1024" t="str"/>
      <x:c r="R1024" t="str"/>
      <x:c r="S1024" t="str">
        <x:v>Pending genuine supplier/brand image</x:v>
      </x:c>
      <x:c r="T1024" s="54"/>
      <x:c r="U1024" s="47" t="n">
        <x:v>0.2</x:v>
      </x:c>
      <x:c r="V1024" s="54" t="str">
        <x:f>IF(ISNUMBER(T1024),T1024*(1+U1024),"")</x:f>
      </x:c>
      <x:c r="W1024" s="47" t="n">
        <x:v>0.3</x:v>
      </x:c>
      <x:c r="X1024" s="54" t="str">
        <x:f>IF(ISNUMBER(V1024),V1024/(1-W1024),"")</x:f>
      </x:c>
      <x:c r="Y1024" s="55" t="str">
        <x:f>IF(ISNUMBER(X1024),ROUNDUP(X1024,0),"")</x:f>
      </x:c>
      <x:c r="Z1024" t="str">
        <x:f>IF(ISNUMBER(T1024),"Cost captured","Awaiting trade cost")</x:f>
        <x:v>Awaiting trade cost</x:v>
      </x:c>
      <x:c r="AB1024" s="36" t="str">
        <x:f>IF(ISNUMBER(Y1024),ROUND(Y1024*0.9,2),"")</x:f>
      </x:c>
      <x:c r="AC1024" s="36" t="str">
        <x:f>IF(ISNUMBER(AB1024),ROUND(AB1024-(AB1024*0.015+0.2)-V1024,2),"")</x:f>
      </x:c>
      <x:c r="AD1024" s="36" t="str">
        <x:f>IF(ISNUMBER(Y1024),ROUND(Y1024*0.8,2),"")</x:f>
      </x:c>
      <x:c r="AE1024" s="36" t="str">
        <x:f>IF(ISNUMBER(AD1024),ROUND(AD1024*0.015+0.2,2),"")</x:f>
      </x:c>
      <x:c r="AF1024" s="36" t="str">
        <x:f>IF(ISNUMBER(AD1024),ROUND(AD1024-AE1024-V1024,2),"")</x:f>
      </x:c>
      <x:c r="AG1024" t="str">
        <x:f>IF(NOT(ISNUMBER(T1024)),"PENDING",IF(AF1024&gt;0,"PASS","FAIL"))</x:f>
        <x:v>PENDING</x:v>
      </x:c>
      <x:c r="AH1024" t="str">
        <x:f>IF(NOT(ISNUMBER(T1024)),"Needs supplier cost",IF(K1024&lt;&gt;"In stock","Supplier unavailable",IF(AG1024&lt;&gt;"PASS","BLOCK - GT loss risk","Commercially protected")))</x:f>
        <x:v>Needs supplier cost</x:v>
      </x:c>
      <x:c r="AI1024" t="str">
        <x:v>2026-09-10 Active Sports trade capture</x:v>
      </x:c>
      <x:c r="AJ1024" t="str">
        <x:v>Management-only economics. Stripe stress test uses 1.5% + £0.20 standard UK online-card fee; pallet/mix-and-match pricing ignored.</x:v>
      </x:c>
    </x:row>
    <x:row r="1025">
      <x:c r="A1025" t="str">
        <x:v>Active Sports Nutrition</x:v>
      </x:c>
      <x:c r="B1025" t="str">
        <x:v>EHP Labs</x:v>
      </x:c>
      <x:c r="C1025" t="str">
        <x:v>Glutamine</x:v>
      </x:c>
      <x:c r="D1025" t="str">
        <x:v>Supplements</x:v>
      </x:c>
      <x:c r="E1025" t="str">
        <x:v>L-Glutamine</x:v>
      </x:c>
      <x:c r="F1025" t="str">
        <x:v>L-glutamine powder.</x:v>
      </x:c>
      <x:c r="G1025" t="str">
        <x:v>500g</x:v>
      </x:c>
      <x:c r="H1025" t="str">
        <x:v>Unflavoured</x:v>
      </x:c>
      <x:c r="I1025" t="str"/>
      <x:c r="J1025" t="str">
        <x:v>Unit</x:v>
      </x:c>
      <x:c r="K1025" t="str">
        <x:v>Unavailable - dated clearance</x:v>
      </x:c>
      <x:c r="L1025" t="str">
        <x:v>2026-09-08</x:v>
      </x:c>
      <x:c r="M1025" t="str"/>
      <x:c r="N1025" t="str"/>
      <x:c r="O1025" t="str">
        <x:v>https://www.activesportstrade.co.uk/ehp-labs-trade</x:v>
      </x:c>
      <x:c r="P1025" t="str">
        <x:v>Supplier listing is SPECIAL OFFER / 25% OFF / BBE 07/26. Preserved for audit but not normal member-orderable supplier stock.</x:v>
      </x:c>
      <x:c r="Q1025" t="str"/>
      <x:c r="R1025" t="str"/>
      <x:c r="S1025" t="str">
        <x:v>Pending genuine supplier/brand image</x:v>
      </x:c>
      <x:c r="T1025" s="54"/>
      <x:c r="U1025" s="47" t="n">
        <x:v>0.2</x:v>
      </x:c>
      <x:c r="V1025" s="54" t="str">
        <x:f>IF(ISNUMBER(T1025),T1025*(1+U1025),"")</x:f>
      </x:c>
      <x:c r="W1025" s="47" t="n">
        <x:v>0.3</x:v>
      </x:c>
      <x:c r="X1025" s="54" t="str">
        <x:f>IF(ISNUMBER(V1025),V1025/(1-W1025),"")</x:f>
      </x:c>
      <x:c r="Y1025" s="55" t="str">
        <x:f>IF(ISNUMBER(X1025),ROUNDUP(X1025,0),"")</x:f>
      </x:c>
      <x:c r="Z1025" t="str">
        <x:f>IF(ISNUMBER(T1025),"Cost captured","Awaiting trade cost")</x:f>
        <x:v>Awaiting trade cost</x:v>
      </x:c>
      <x:c r="AB1025" s="36" t="str">
        <x:f>IF(ISNUMBER(Y1025),ROUND(Y1025*0.9,2),"")</x:f>
      </x:c>
      <x:c r="AC1025" s="36" t="str">
        <x:f>IF(ISNUMBER(AB1025),ROUND(AB1025-(AB1025*0.015+0.2)-V1025,2),"")</x:f>
      </x:c>
      <x:c r="AD1025" s="36" t="str">
        <x:f>IF(ISNUMBER(Y1025),ROUND(Y1025*0.8,2),"")</x:f>
      </x:c>
      <x:c r="AE1025" s="36" t="str">
        <x:f>IF(ISNUMBER(AD1025),ROUND(AD1025*0.015+0.2,2),"")</x:f>
      </x:c>
      <x:c r="AF1025" s="36" t="str">
        <x:f>IF(ISNUMBER(AD1025),ROUND(AD1025-AE1025-V1025,2),"")</x:f>
      </x:c>
      <x:c r="AG1025" t="str">
        <x:f>IF(NOT(ISNUMBER(T1025)),"PENDING",IF(AF1025&gt;0,"PASS","FAIL"))</x:f>
        <x:v>PENDING</x:v>
      </x:c>
      <x:c r="AH1025" t="str">
        <x:f>IF(NOT(ISNUMBER(T1025)),"Needs supplier cost",IF(K1025&lt;&gt;"In stock","Supplier unavailable",IF(AG1025&lt;&gt;"PASS","BLOCK - GT loss risk","Commercially protected")))</x:f>
        <x:v>Needs supplier cost</x:v>
      </x:c>
      <x:c r="AI1025" t="str">
        <x:v>2026-09-10 Active Sports trade capture</x:v>
      </x:c>
      <x:c r="AJ1025" t="str">
        <x:v>Management-only economics. Stripe stress test uses 1.5% + £0.20 standard UK online-card fee; pallet/mix-and-match pricing ignored.</x:v>
      </x:c>
    </x:row>
    <x:row r="1026">
      <x:c r="A1026" t="str">
        <x:v>Active Sports Nutrition</x:v>
      </x:c>
      <x:c r="B1026" t="str">
        <x:v>EHP Labs</x:v>
      </x:c>
      <x:c r="C1026" t="str">
        <x:v>Hydreau</x:v>
      </x:c>
      <x:c r="D1026" t="str">
        <x:v>Supplements</x:v>
      </x:c>
      <x:c r="E1026" t="str">
        <x:v>Hydration</x:v>
      </x:c>
      <x:c r="F1026" t="str">
        <x:v>Sugar-free sports hydration powder.</x:v>
      </x:c>
      <x:c r="G1026" t="str">
        <x:v>40 servings</x:v>
      </x:c>
      <x:c r="H1026" t="str">
        <x:v>Fijian Pineapple</x:v>
      </x:c>
      <x:c r="I1026" t="str"/>
      <x:c r="J1026" t="str">
        <x:v>Unit</x:v>
      </x:c>
      <x:c r="K1026" t="str">
        <x:v>In stock</x:v>
      </x:c>
      <x:c r="L1026" t="str">
        <x:v>2026-09-08</x:v>
      </x:c>
      <x:c r="M1026" t="str"/>
      <x:c r="N1026" t="str"/>
      <x:c r="O1026" t="str">
        <x:v>https://www.activesportstrade.co.uk/ehp-labs-trade</x:v>
      </x:c>
      <x:c r="P1026" t="str">
        <x:v>Supplier spells Fijian Pineapple as 'Fijian Pinapple'; canonical spelling normalised.</x:v>
      </x:c>
      <x:c r="Q1026" t="str"/>
      <x:c r="R1026" t="str"/>
      <x:c r="S1026" t="str">
        <x:v>Pending genuine supplier/brand image</x:v>
      </x:c>
      <x:c r="T1026" s="54"/>
      <x:c r="U1026" s="47" t="n">
        <x:v>0.2</x:v>
      </x:c>
      <x:c r="V1026" s="54" t="str">
        <x:f>IF(ISNUMBER(T1026),T1026*(1+U1026),"")</x:f>
      </x:c>
      <x:c r="W1026" s="47" t="n">
        <x:v>0.3</x:v>
      </x:c>
      <x:c r="X1026" s="54" t="str">
        <x:f>IF(ISNUMBER(V1026),V1026/(1-W1026),"")</x:f>
      </x:c>
      <x:c r="Y1026" s="55" t="str">
        <x:f>IF(ISNUMBER(X1026),ROUNDUP(X1026,0),"")</x:f>
      </x:c>
      <x:c r="Z1026" t="str">
        <x:f>IF(ISNUMBER(T1026),"Cost captured","Awaiting trade cost")</x:f>
        <x:v>Awaiting trade cost</x:v>
      </x:c>
      <x:c r="AB1026" s="36" t="str">
        <x:f>IF(ISNUMBER(Y1026),ROUND(Y1026*0.9,2),"")</x:f>
      </x:c>
      <x:c r="AC1026" s="36" t="str">
        <x:f>IF(ISNUMBER(AB1026),ROUND(AB1026-(AB1026*0.015+0.2)-V1026,2),"")</x:f>
      </x:c>
      <x:c r="AD1026" s="36" t="str">
        <x:f>IF(ISNUMBER(Y1026),ROUND(Y1026*0.8,2),"")</x:f>
      </x:c>
      <x:c r="AE1026" s="36" t="str">
        <x:f>IF(ISNUMBER(AD1026),ROUND(AD1026*0.015+0.2,2),"")</x:f>
      </x:c>
      <x:c r="AF1026" s="36" t="str">
        <x:f>IF(ISNUMBER(AD1026),ROUND(AD1026-AE1026-V1026,2),"")</x:f>
      </x:c>
      <x:c r="AG1026" t="str">
        <x:f>IF(NOT(ISNUMBER(T1026)),"PENDING",IF(AF1026&gt;0,"PASS","FAIL"))</x:f>
        <x:v>PENDING</x:v>
      </x:c>
      <x:c r="AH1026" t="str">
        <x:f>IF(NOT(ISNUMBER(T1026)),"Needs supplier cost",IF(K1026&lt;&gt;"In stock","Supplier unavailable",IF(AG1026&lt;&gt;"PASS","BLOCK - GT loss risk","Commercially protected")))</x:f>
        <x:v>Needs supplier cost</x:v>
      </x:c>
      <x:c r="AI1026" t="str">
        <x:v>2026-09-10 Active Sports trade capture</x:v>
      </x:c>
      <x:c r="AJ1026" t="str">
        <x:v>Management-only economics. Stripe stress test uses 1.5% + £0.20 standard UK online-card fee; pallet/mix-and-match pricing ignored.</x:v>
      </x:c>
    </x:row>
    <x:row r="1027">
      <x:c r="A1027" t="str">
        <x:v>Active Sports Nutrition</x:v>
      </x:c>
      <x:c r="B1027" t="str">
        <x:v>EHP Labs</x:v>
      </x:c>
      <x:c r="C1027" t="str">
        <x:v>Hydreau</x:v>
      </x:c>
      <x:c r="D1027" t="str">
        <x:v>Supplements</x:v>
      </x:c>
      <x:c r="E1027" t="str">
        <x:v>Hydration</x:v>
      </x:c>
      <x:c r="F1027" t="str">
        <x:v>Sugar-free sports hydration powder.</x:v>
      </x:c>
      <x:c r="G1027" t="str">
        <x:v>40 servings</x:v>
      </x:c>
      <x:c r="H1027" t="str">
        <x:v>Kiwi Strawberry</x:v>
      </x:c>
      <x:c r="I1027" t="str"/>
      <x:c r="J1027" t="str">
        <x:v>Unit</x:v>
      </x:c>
      <x:c r="K1027" t="str">
        <x:v>In stock</x:v>
      </x:c>
      <x:c r="L1027" t="str">
        <x:v>2026-09-08</x:v>
      </x:c>
      <x:c r="M1027" t="str"/>
      <x:c r="N1027" t="str"/>
      <x:c r="O1027" t="str">
        <x:v>https://www.activesportstrade.co.uk/ehp-labs-trade</x:v>
      </x:c>
      <x:c r="P1027" t="str">
        <x:v>Supplier spells Fijian Pineapple as 'Fijian Pinapple'; canonical spelling normalised.</x:v>
      </x:c>
      <x:c r="Q1027" t="str"/>
      <x:c r="R1027" t="str"/>
      <x:c r="S1027" t="str">
        <x:v>Pending genuine supplier/brand image</x:v>
      </x:c>
      <x:c r="T1027" s="54"/>
      <x:c r="U1027" s="47" t="n">
        <x:v>0.2</x:v>
      </x:c>
      <x:c r="V1027" s="54" t="str">
        <x:f>IF(ISNUMBER(T1027),T1027*(1+U1027),"")</x:f>
      </x:c>
      <x:c r="W1027" s="47" t="n">
        <x:v>0.3</x:v>
      </x:c>
      <x:c r="X1027" s="54" t="str">
        <x:f>IF(ISNUMBER(V1027),V1027/(1-W1027),"")</x:f>
      </x:c>
      <x:c r="Y1027" s="55" t="str">
        <x:f>IF(ISNUMBER(X1027),ROUNDUP(X1027,0),"")</x:f>
      </x:c>
      <x:c r="Z1027" t="str">
        <x:f>IF(ISNUMBER(T1027),"Cost captured","Awaiting trade cost")</x:f>
        <x:v>Awaiting trade cost</x:v>
      </x:c>
      <x:c r="AB1027" s="36" t="str">
        <x:f>IF(ISNUMBER(Y1027),ROUND(Y1027*0.9,2),"")</x:f>
      </x:c>
      <x:c r="AC1027" s="36" t="str">
        <x:f>IF(ISNUMBER(AB1027),ROUND(AB1027-(AB1027*0.015+0.2)-V1027,2),"")</x:f>
      </x:c>
      <x:c r="AD1027" s="36" t="str">
        <x:f>IF(ISNUMBER(Y1027),ROUND(Y1027*0.8,2),"")</x:f>
      </x:c>
      <x:c r="AE1027" s="36" t="str">
        <x:f>IF(ISNUMBER(AD1027),ROUND(AD1027*0.015+0.2,2),"")</x:f>
      </x:c>
      <x:c r="AF1027" s="36" t="str">
        <x:f>IF(ISNUMBER(AD1027),ROUND(AD1027-AE1027-V1027,2),"")</x:f>
      </x:c>
      <x:c r="AG1027" t="str">
        <x:f>IF(NOT(ISNUMBER(T1027)),"PENDING",IF(AF1027&gt;0,"PASS","FAIL"))</x:f>
        <x:v>PENDING</x:v>
      </x:c>
      <x:c r="AH1027" t="str">
        <x:f>IF(NOT(ISNUMBER(T1027)),"Needs supplier cost",IF(K1027&lt;&gt;"In stock","Supplier unavailable",IF(AG1027&lt;&gt;"PASS","BLOCK - GT loss risk","Commercially protected")))</x:f>
        <x:v>Needs supplier cost</x:v>
      </x:c>
      <x:c r="AI1027" t="str">
        <x:v>2026-09-10 Active Sports trade capture</x:v>
      </x:c>
      <x:c r="AJ1027" t="str">
        <x:v>Management-only economics. Stripe stress test uses 1.5% + £0.20 standard UK online-card fee; pallet/mix-and-match pricing ignored.</x:v>
      </x:c>
    </x:row>
    <x:row r="1028">
      <x:c r="A1028" t="str">
        <x:v>Active Sports Nutrition</x:v>
      </x:c>
      <x:c r="B1028" t="str">
        <x:v>EHP Labs</x:v>
      </x:c>
      <x:c r="C1028" t="str">
        <x:v>Hydreau</x:v>
      </x:c>
      <x:c r="D1028" t="str">
        <x:v>Supplements</x:v>
      </x:c>
      <x:c r="E1028" t="str">
        <x:v>Hydration</x:v>
      </x:c>
      <x:c r="F1028" t="str">
        <x:v>Sugar-free sports hydration powder.</x:v>
      </x:c>
      <x:c r="G1028" t="str">
        <x:v>40 servings</x:v>
      </x:c>
      <x:c r="H1028" t="str">
        <x:v>Raspberry Refresh</x:v>
      </x:c>
      <x:c r="I1028" t="str"/>
      <x:c r="J1028" t="str">
        <x:v>Unit</x:v>
      </x:c>
      <x:c r="K1028" t="str">
        <x:v>In stock</x:v>
      </x:c>
      <x:c r="L1028" t="str">
        <x:v>2026-09-08</x:v>
      </x:c>
      <x:c r="M1028" t="str"/>
      <x:c r="N1028" t="str"/>
      <x:c r="O1028" t="str">
        <x:v>https://www.activesportstrade.co.uk/ehp-labs-trade</x:v>
      </x:c>
      <x:c r="P1028" t="str">
        <x:v>Supplier spells Fijian Pineapple as 'Fijian Pinapple'; canonical spelling normalised.</x:v>
      </x:c>
      <x:c r="Q1028" t="str"/>
      <x:c r="R1028" t="str"/>
      <x:c r="S1028" t="str">
        <x:v>Pending genuine supplier/brand image</x:v>
      </x:c>
      <x:c r="T1028" s="54"/>
      <x:c r="U1028" s="47" t="n">
        <x:v>0.2</x:v>
      </x:c>
      <x:c r="V1028" s="54" t="str">
        <x:f>IF(ISNUMBER(T1028),T1028*(1+U1028),"")</x:f>
      </x:c>
      <x:c r="W1028" s="47" t="n">
        <x:v>0.3</x:v>
      </x:c>
      <x:c r="X1028" s="54" t="str">
        <x:f>IF(ISNUMBER(V1028),V1028/(1-W1028),"")</x:f>
      </x:c>
      <x:c r="Y1028" s="55" t="str">
        <x:f>IF(ISNUMBER(X1028),ROUNDUP(X1028,0),"")</x:f>
      </x:c>
      <x:c r="Z1028" t="str">
        <x:f>IF(ISNUMBER(T1028),"Cost captured","Awaiting trade cost")</x:f>
        <x:v>Awaiting trade cost</x:v>
      </x:c>
      <x:c r="AB1028" s="36" t="str">
        <x:f>IF(ISNUMBER(Y1028),ROUND(Y1028*0.9,2),"")</x:f>
      </x:c>
      <x:c r="AC1028" s="36" t="str">
        <x:f>IF(ISNUMBER(AB1028),ROUND(AB1028-(AB1028*0.015+0.2)-V1028,2),"")</x:f>
      </x:c>
      <x:c r="AD1028" s="36" t="str">
        <x:f>IF(ISNUMBER(Y1028),ROUND(Y1028*0.8,2),"")</x:f>
      </x:c>
      <x:c r="AE1028" s="36" t="str">
        <x:f>IF(ISNUMBER(AD1028),ROUND(AD1028*0.015+0.2,2),"")</x:f>
      </x:c>
      <x:c r="AF1028" s="36" t="str">
        <x:f>IF(ISNUMBER(AD1028),ROUND(AD1028-AE1028-V1028,2),"")</x:f>
      </x:c>
      <x:c r="AG1028" t="str">
        <x:f>IF(NOT(ISNUMBER(T1028)),"PENDING",IF(AF1028&gt;0,"PASS","FAIL"))</x:f>
        <x:v>PENDING</x:v>
      </x:c>
      <x:c r="AH1028" t="str">
        <x:f>IF(NOT(ISNUMBER(T1028)),"Needs supplier cost",IF(K1028&lt;&gt;"In stock","Supplier unavailable",IF(AG1028&lt;&gt;"PASS","BLOCK - GT loss risk","Commercially protected")))</x:f>
        <x:v>Needs supplier cost</x:v>
      </x:c>
      <x:c r="AI1028" t="str">
        <x:v>2026-09-10 Active Sports trade capture</x:v>
      </x:c>
      <x:c r="AJ1028" t="str">
        <x:v>Management-only economics. Stripe stress test uses 1.5% + £0.20 standard UK online-card fee; pallet/mix-and-match pricing ignored.</x:v>
      </x:c>
    </x:row>
    <x:row r="1029">
      <x:c r="A1029" t="str">
        <x:v>Active Sports Nutrition</x:v>
      </x:c>
      <x:c r="B1029" t="str">
        <x:v>EHP Labs</x:v>
      </x:c>
      <x:c r="C1029" t="str">
        <x:v>Hydreau RTD</x:v>
      </x:c>
      <x:c r="D1029" t="str">
        <x:v>Drinks and Bars</x:v>
      </x:c>
      <x:c r="E1029" t="str">
        <x:v>Ready to Drink Hydration</x:v>
      </x:c>
      <x:c r="F1029" t="str">
        <x:v>Ready-to-drink hydration beverage.</x:v>
      </x:c>
      <x:c r="G1029" t="str">
        <x:v>12 x 500ml bottles</x:v>
      </x:c>
      <x:c r="H1029" t="str">
        <x:v>Fijian Pineapple</x:v>
      </x:c>
      <x:c r="I1029" t="str">
        <x:v>12</x:v>
      </x:c>
      <x:c r="J1029" t="str">
        <x:v>Case</x:v>
      </x:c>
      <x:c r="K1029" t="str">
        <x:v>In stock</x:v>
      </x:c>
      <x:c r="L1029" t="str">
        <x:v>2026-09-08</x:v>
      </x:c>
      <x:c r="M1029" t="str"/>
      <x:c r="N1029" t="str"/>
      <x:c r="O1029" t="str">
        <x:v>https://www.activesportstrade.co.uk/ehp-labs-trade</x:v>
      </x:c>
      <x:c r="P1029" t="str">
        <x:v>PALLET PROMO / SPECIAL OFFER / BUY 4 GET 1 FREE wording removed. Case-only member order.</x:v>
      </x:c>
      <x:c r="Q1029" t="str"/>
      <x:c r="R1029" t="str"/>
      <x:c r="S1029" t="str">
        <x:v>Pending genuine supplier/brand image</x:v>
      </x:c>
      <x:c r="T1029" s="54"/>
      <x:c r="U1029" s="47" t="n">
        <x:v>0.2</x:v>
      </x:c>
      <x:c r="V1029" s="54" t="str">
        <x:f>IF(ISNUMBER(T1029),T1029*(1+U1029),"")</x:f>
      </x:c>
      <x:c r="W1029" s="47" t="n">
        <x:v>0.3</x:v>
      </x:c>
      <x:c r="X1029" s="54" t="str">
        <x:f>IF(ISNUMBER(V1029),V1029/(1-W1029),"")</x:f>
      </x:c>
      <x:c r="Y1029" s="55" t="str">
        <x:f>IF(ISNUMBER(X1029),ROUNDUP(X1029,0),"")</x:f>
      </x:c>
      <x:c r="Z1029" t="str">
        <x:f>IF(ISNUMBER(T1029),"Cost captured","Awaiting trade cost")</x:f>
        <x:v>Awaiting trade cost</x:v>
      </x:c>
      <x:c r="AB1029" s="36" t="str">
        <x:f>IF(ISNUMBER(Y1029),ROUND(Y1029*0.9,2),"")</x:f>
      </x:c>
      <x:c r="AC1029" s="36" t="str">
        <x:f>IF(ISNUMBER(AB1029),ROUND(AB1029-(AB1029*0.015+0.2)-V1029,2),"")</x:f>
      </x:c>
      <x:c r="AD1029" s="36" t="str">
        <x:f>IF(ISNUMBER(Y1029),ROUND(Y1029*0.8,2),"")</x:f>
      </x:c>
      <x:c r="AE1029" s="36" t="str">
        <x:f>IF(ISNUMBER(AD1029),ROUND(AD1029*0.015+0.2,2),"")</x:f>
      </x:c>
      <x:c r="AF1029" s="36" t="str">
        <x:f>IF(ISNUMBER(AD1029),ROUND(AD1029-AE1029-V1029,2),"")</x:f>
      </x:c>
      <x:c r="AG1029" t="str">
        <x:f>IF(NOT(ISNUMBER(T1029)),"PENDING",IF(AF1029&gt;0,"PASS","FAIL"))</x:f>
        <x:v>PENDING</x:v>
      </x:c>
      <x:c r="AH1029" t="str">
        <x:f>IF(NOT(ISNUMBER(T1029)),"Needs supplier cost",IF(K1029&lt;&gt;"In stock","Supplier unavailable",IF(AG1029&lt;&gt;"PASS","BLOCK - GT loss risk","Commercially protected")))</x:f>
        <x:v>Needs supplier cost</x:v>
      </x:c>
      <x:c r="AI1029" t="str">
        <x:v>2026-09-10 Active Sports trade capture</x:v>
      </x:c>
      <x:c r="AJ1029" t="str">
        <x:v>Management-only economics. Stripe stress test uses 1.5% + £0.20 standard UK online-card fee; pallet/mix-and-match pricing ignored.</x:v>
      </x:c>
    </x:row>
    <x:row r="1030">
      <x:c r="A1030" t="str">
        <x:v>Active Sports Nutrition</x:v>
      </x:c>
      <x:c r="B1030" t="str">
        <x:v>EHP Labs</x:v>
      </x:c>
      <x:c r="C1030" t="str">
        <x:v>Hydreau RTD</x:v>
      </x:c>
      <x:c r="D1030" t="str">
        <x:v>Drinks and Bars</x:v>
      </x:c>
      <x:c r="E1030" t="str">
        <x:v>Ready to Drink Hydration</x:v>
      </x:c>
      <x:c r="F1030" t="str">
        <x:v>Ready-to-drink hydration beverage.</x:v>
      </x:c>
      <x:c r="G1030" t="str">
        <x:v>12 x 500ml bottles</x:v>
      </x:c>
      <x:c r="H1030" t="str">
        <x:v>Juicy Watermelon</x:v>
      </x:c>
      <x:c r="I1030" t="str">
        <x:v>12</x:v>
      </x:c>
      <x:c r="J1030" t="str">
        <x:v>Case</x:v>
      </x:c>
      <x:c r="K1030" t="str">
        <x:v>In stock</x:v>
      </x:c>
      <x:c r="L1030" t="str">
        <x:v>2026-09-08</x:v>
      </x:c>
      <x:c r="M1030" t="str"/>
      <x:c r="N1030" t="str"/>
      <x:c r="O1030" t="str">
        <x:v>https://www.activesportstrade.co.uk/ehp-labs-trade</x:v>
      </x:c>
      <x:c r="P1030" t="str">
        <x:v>PALLET PROMO / SPECIAL OFFER / BUY 4 GET 1 FREE wording removed. Case-only member order.</x:v>
      </x:c>
      <x:c r="Q1030" t="str"/>
      <x:c r="R1030" t="str"/>
      <x:c r="S1030" t="str">
        <x:v>Pending genuine supplier/brand image</x:v>
      </x:c>
      <x:c r="T1030" s="54"/>
      <x:c r="U1030" s="47" t="n">
        <x:v>0.2</x:v>
      </x:c>
      <x:c r="V1030" s="54" t="str">
        <x:f>IF(ISNUMBER(T1030),T1030*(1+U1030),"")</x:f>
      </x:c>
      <x:c r="W1030" s="47" t="n">
        <x:v>0.3</x:v>
      </x:c>
      <x:c r="X1030" s="54" t="str">
        <x:f>IF(ISNUMBER(V1030),V1030/(1-W1030),"")</x:f>
      </x:c>
      <x:c r="Y1030" s="55" t="str">
        <x:f>IF(ISNUMBER(X1030),ROUNDUP(X1030,0),"")</x:f>
      </x:c>
      <x:c r="Z1030" t="str">
        <x:f>IF(ISNUMBER(T1030),"Cost captured","Awaiting trade cost")</x:f>
        <x:v>Awaiting trade cost</x:v>
      </x:c>
      <x:c r="AB1030" s="36" t="str">
        <x:f>IF(ISNUMBER(Y1030),ROUND(Y1030*0.9,2),"")</x:f>
      </x:c>
      <x:c r="AC1030" s="36" t="str">
        <x:f>IF(ISNUMBER(AB1030),ROUND(AB1030-(AB1030*0.015+0.2)-V1030,2),"")</x:f>
      </x:c>
      <x:c r="AD1030" s="36" t="str">
        <x:f>IF(ISNUMBER(Y1030),ROUND(Y1030*0.8,2),"")</x:f>
      </x:c>
      <x:c r="AE1030" s="36" t="str">
        <x:f>IF(ISNUMBER(AD1030),ROUND(AD1030*0.015+0.2,2),"")</x:f>
      </x:c>
      <x:c r="AF1030" s="36" t="str">
        <x:f>IF(ISNUMBER(AD1030),ROUND(AD1030-AE1030-V1030,2),"")</x:f>
      </x:c>
      <x:c r="AG1030" t="str">
        <x:f>IF(NOT(ISNUMBER(T1030)),"PENDING",IF(AF1030&gt;0,"PASS","FAIL"))</x:f>
        <x:v>PENDING</x:v>
      </x:c>
      <x:c r="AH1030" t="str">
        <x:f>IF(NOT(ISNUMBER(T1030)),"Needs supplier cost",IF(K1030&lt;&gt;"In stock","Supplier unavailable",IF(AG1030&lt;&gt;"PASS","BLOCK - GT loss risk","Commercially protected")))</x:f>
        <x:v>Needs supplier cost</x:v>
      </x:c>
      <x:c r="AI1030" t="str">
        <x:v>2026-09-10 Active Sports trade capture</x:v>
      </x:c>
      <x:c r="AJ1030" t="str">
        <x:v>Management-only economics. Stripe stress test uses 1.5% + £0.20 standard UK online-card fee; pallet/mix-and-match pricing ignored.</x:v>
      </x:c>
    </x:row>
    <x:row r="1031">
      <x:c r="A1031" t="str">
        <x:v>Active Sports Nutrition</x:v>
      </x:c>
      <x:c r="B1031" t="str">
        <x:v>EHP Labs</x:v>
      </x:c>
      <x:c r="C1031" t="str">
        <x:v>Hydreau RTD</x:v>
      </x:c>
      <x:c r="D1031" t="str">
        <x:v>Drinks and Bars</x:v>
      </x:c>
      <x:c r="E1031" t="str">
        <x:v>Ready to Drink Hydration</x:v>
      </x:c>
      <x:c r="F1031" t="str">
        <x:v>Ready-to-drink hydration beverage.</x:v>
      </x:c>
      <x:c r="G1031" t="str">
        <x:v>12 x 500ml bottles</x:v>
      </x:c>
      <x:c r="H1031" t="str">
        <x:v>Kiwi Strawberry</x:v>
      </x:c>
      <x:c r="I1031" t="str">
        <x:v>12</x:v>
      </x:c>
      <x:c r="J1031" t="str">
        <x:v>Case</x:v>
      </x:c>
      <x:c r="K1031" t="str">
        <x:v>In stock</x:v>
      </x:c>
      <x:c r="L1031" t="str">
        <x:v>2026-09-08</x:v>
      </x:c>
      <x:c r="M1031" t="str"/>
      <x:c r="N1031" t="str"/>
      <x:c r="O1031" t="str">
        <x:v>https://www.activesportstrade.co.uk/ehp-labs-trade</x:v>
      </x:c>
      <x:c r="P1031" t="str">
        <x:v>PALLET PROMO / SPECIAL OFFER / BUY 4 GET 1 FREE wording removed. Case-only member order.</x:v>
      </x:c>
      <x:c r="Q1031" t="str"/>
      <x:c r="R1031" t="str"/>
      <x:c r="S1031" t="str">
        <x:v>Pending genuine supplier/brand image</x:v>
      </x:c>
      <x:c r="T1031" s="54"/>
      <x:c r="U1031" s="47" t="n">
        <x:v>0.2</x:v>
      </x:c>
      <x:c r="V1031" s="54" t="str">
        <x:f>IF(ISNUMBER(T1031),T1031*(1+U1031),"")</x:f>
      </x:c>
      <x:c r="W1031" s="47" t="n">
        <x:v>0.3</x:v>
      </x:c>
      <x:c r="X1031" s="54" t="str">
        <x:f>IF(ISNUMBER(V1031),V1031/(1-W1031),"")</x:f>
      </x:c>
      <x:c r="Y1031" s="55" t="str">
        <x:f>IF(ISNUMBER(X1031),ROUNDUP(X1031,0),"")</x:f>
      </x:c>
      <x:c r="Z1031" t="str">
        <x:f>IF(ISNUMBER(T1031),"Cost captured","Awaiting trade cost")</x:f>
        <x:v>Awaiting trade cost</x:v>
      </x:c>
      <x:c r="AB1031" s="36" t="str">
        <x:f>IF(ISNUMBER(Y1031),ROUND(Y1031*0.9,2),"")</x:f>
      </x:c>
      <x:c r="AC1031" s="36" t="str">
        <x:f>IF(ISNUMBER(AB1031),ROUND(AB1031-(AB1031*0.015+0.2)-V1031,2),"")</x:f>
      </x:c>
      <x:c r="AD1031" s="36" t="str">
        <x:f>IF(ISNUMBER(Y1031),ROUND(Y1031*0.8,2),"")</x:f>
      </x:c>
      <x:c r="AE1031" s="36" t="str">
        <x:f>IF(ISNUMBER(AD1031),ROUND(AD1031*0.015+0.2,2),"")</x:f>
      </x:c>
      <x:c r="AF1031" s="36" t="str">
        <x:f>IF(ISNUMBER(AD1031),ROUND(AD1031-AE1031-V1031,2),"")</x:f>
      </x:c>
      <x:c r="AG1031" t="str">
        <x:f>IF(NOT(ISNUMBER(T1031)),"PENDING",IF(AF1031&gt;0,"PASS","FAIL"))</x:f>
        <x:v>PENDING</x:v>
      </x:c>
      <x:c r="AH1031" t="str">
        <x:f>IF(NOT(ISNUMBER(T1031)),"Needs supplier cost",IF(K1031&lt;&gt;"In stock","Supplier unavailable",IF(AG1031&lt;&gt;"PASS","BLOCK - GT loss risk","Commercially protected")))</x:f>
        <x:v>Needs supplier cost</x:v>
      </x:c>
      <x:c r="AI1031" t="str">
        <x:v>2026-09-10 Active Sports trade capture</x:v>
      </x:c>
      <x:c r="AJ1031" t="str">
        <x:v>Management-only economics. Stripe stress test uses 1.5% + £0.20 standard UK online-card fee; pallet/mix-and-match pricing ignored.</x:v>
      </x:c>
    </x:row>
    <x:row r="1032">
      <x:c r="A1032" t="str">
        <x:v>Active Sports Nutrition</x:v>
      </x:c>
      <x:c r="B1032" t="str">
        <x:v>EHP Labs</x:v>
      </x:c>
      <x:c r="C1032" t="str">
        <x:v>Hydreau RTD</x:v>
      </x:c>
      <x:c r="D1032" t="str">
        <x:v>Drinks and Bars</x:v>
      </x:c>
      <x:c r="E1032" t="str">
        <x:v>Ready to Drink Hydration</x:v>
      </x:c>
      <x:c r="F1032" t="str">
        <x:v>Ready-to-drink hydration beverage.</x:v>
      </x:c>
      <x:c r="G1032" t="str">
        <x:v>12 x 500ml bottles</x:v>
      </x:c>
      <x:c r="H1032" t="str">
        <x:v>Raspberry Refresh</x:v>
      </x:c>
      <x:c r="I1032" t="str">
        <x:v>12</x:v>
      </x:c>
      <x:c r="J1032" t="str">
        <x:v>Case</x:v>
      </x:c>
      <x:c r="K1032" t="str">
        <x:v>Out of stock</x:v>
      </x:c>
      <x:c r="L1032" t="str">
        <x:v>2026-09-08</x:v>
      </x:c>
      <x:c r="M1032" t="str"/>
      <x:c r="N1032" t="str"/>
      <x:c r="O1032" t="str">
        <x:v>https://www.activesportstrade.co.uk/ehp-labs-trade</x:v>
      </x:c>
      <x:c r="P1032" t="str">
        <x:v>PALLET PROMO / SPECIAL OFFER / BUY 4 GET 1 FREE wording removed. Case-only member order.</x:v>
      </x:c>
      <x:c r="Q1032" t="str"/>
      <x:c r="R1032" t="str"/>
      <x:c r="S1032" t="str">
        <x:v>Pending genuine supplier/brand image</x:v>
      </x:c>
      <x:c r="T1032" s="54"/>
      <x:c r="U1032" s="47" t="n">
        <x:v>0.2</x:v>
      </x:c>
      <x:c r="V1032" s="54" t="str">
        <x:f>IF(ISNUMBER(T1032),T1032*(1+U1032),"")</x:f>
      </x:c>
      <x:c r="W1032" s="47" t="n">
        <x:v>0.3</x:v>
      </x:c>
      <x:c r="X1032" s="54" t="str">
        <x:f>IF(ISNUMBER(V1032),V1032/(1-W1032),"")</x:f>
      </x:c>
      <x:c r="Y1032" s="55" t="str">
        <x:f>IF(ISNUMBER(X1032),ROUNDUP(X1032,0),"")</x:f>
      </x:c>
      <x:c r="Z1032" t="str">
        <x:f>IF(ISNUMBER(T1032),"Cost captured","Awaiting trade cost")</x:f>
        <x:v>Awaiting trade cost</x:v>
      </x:c>
      <x:c r="AB1032" s="36" t="str">
        <x:f>IF(ISNUMBER(Y1032),ROUND(Y1032*0.9,2),"")</x:f>
      </x:c>
      <x:c r="AC1032" s="36" t="str">
        <x:f>IF(ISNUMBER(AB1032),ROUND(AB1032-(AB1032*0.015+0.2)-V1032,2),"")</x:f>
      </x:c>
      <x:c r="AD1032" s="36" t="str">
        <x:f>IF(ISNUMBER(Y1032),ROUND(Y1032*0.8,2),"")</x:f>
      </x:c>
      <x:c r="AE1032" s="36" t="str">
        <x:f>IF(ISNUMBER(AD1032),ROUND(AD1032*0.015+0.2,2),"")</x:f>
      </x:c>
      <x:c r="AF1032" s="36" t="str">
        <x:f>IF(ISNUMBER(AD1032),ROUND(AD1032-AE1032-V1032,2),"")</x:f>
      </x:c>
      <x:c r="AG1032" t="str">
        <x:f>IF(NOT(ISNUMBER(T1032)),"PENDING",IF(AF1032&gt;0,"PASS","FAIL"))</x:f>
        <x:v>PENDING</x:v>
      </x:c>
      <x:c r="AH1032" t="str">
        <x:f>IF(NOT(ISNUMBER(T1032)),"Needs supplier cost",IF(K1032&lt;&gt;"In stock","Supplier unavailable",IF(AG1032&lt;&gt;"PASS","BLOCK - GT loss risk","Commercially protected")))</x:f>
        <x:v>Needs supplier cost</x:v>
      </x:c>
      <x:c r="AI1032" t="str">
        <x:v>2026-09-10 Active Sports trade capture</x:v>
      </x:c>
      <x:c r="AJ1032" t="str">
        <x:v>Management-only economics. Stripe stress test uses 1.5% + £0.20 standard UK online-card fee; pallet/mix-and-match pricing ignored.</x:v>
      </x:c>
    </x:row>
    <x:row r="1033">
      <x:c r="A1033" t="str">
        <x:v>Active Sports Nutrition</x:v>
      </x:c>
      <x:c r="B1033" t="str">
        <x:v>EHP Labs</x:v>
      </x:c>
      <x:c r="C1033" t="str">
        <x:v>OxyGreens</x:v>
      </x:c>
      <x:c r="D1033" t="str">
        <x:v>Supplements</x:v>
      </x:c>
      <x:c r="E1033" t="str">
        <x:v>Health Foods</x:v>
      </x:c>
      <x:c r="F1033" t="str">
        <x:v>Daily super-greens powder.</x:v>
      </x:c>
      <x:c r="G1033" t="str">
        <x:v>300g</x:v>
      </x:c>
      <x:c r="H1033" t="str">
        <x:v>Crisp Apple</x:v>
      </x:c>
      <x:c r="I1033" t="str"/>
      <x:c r="J1033" t="str">
        <x:v>Unit</x:v>
      </x:c>
      <x:c r="K1033" t="str">
        <x:v>Out of stock</x:v>
      </x:c>
      <x:c r="L1033" t="str">
        <x:v>2026-09-08</x:v>
      </x:c>
      <x:c r="M1033" t="str"/>
      <x:c r="N1033" t="str"/>
      <x:c r="O1033" t="str">
        <x:v>https://www.activesportstrade.co.uk/ehp-labs-trade</x:v>
      </x:c>
      <x:c r="P1033" t="str">
        <x:v>Dated SPECIAL OFFER/BBE duplicate listings exist for several flavours; canonical standard listing retained and dated promo stock not used to make the normal product orderable.</x:v>
      </x:c>
      <x:c r="Q1033" t="str"/>
      <x:c r="R1033" t="str"/>
      <x:c r="S1033" t="str">
        <x:v>Pending genuine supplier/brand image</x:v>
      </x:c>
      <x:c r="T1033" s="54"/>
      <x:c r="U1033" s="47" t="n">
        <x:v>0.2</x:v>
      </x:c>
      <x:c r="V1033" s="54" t="str">
        <x:f>IF(ISNUMBER(T1033),T1033*(1+U1033),"")</x:f>
      </x:c>
      <x:c r="W1033" s="47" t="n">
        <x:v>0.3</x:v>
      </x:c>
      <x:c r="X1033" s="54" t="str">
        <x:f>IF(ISNUMBER(V1033),V1033/(1-W1033),"")</x:f>
      </x:c>
      <x:c r="Y1033" s="55" t="str">
        <x:f>IF(ISNUMBER(X1033),ROUNDUP(X1033,0),"")</x:f>
      </x:c>
      <x:c r="Z1033" t="str">
        <x:f>IF(ISNUMBER(T1033),"Cost captured","Awaiting trade cost")</x:f>
        <x:v>Awaiting trade cost</x:v>
      </x:c>
      <x:c r="AB1033" s="36" t="str">
        <x:f>IF(ISNUMBER(Y1033),ROUND(Y1033*0.9,2),"")</x:f>
      </x:c>
      <x:c r="AC1033" s="36" t="str">
        <x:f>IF(ISNUMBER(AB1033),ROUND(AB1033-(AB1033*0.015+0.2)-V1033,2),"")</x:f>
      </x:c>
      <x:c r="AD1033" s="36" t="str">
        <x:f>IF(ISNUMBER(Y1033),ROUND(Y1033*0.8,2),"")</x:f>
      </x:c>
      <x:c r="AE1033" s="36" t="str">
        <x:f>IF(ISNUMBER(AD1033),ROUND(AD1033*0.015+0.2,2),"")</x:f>
      </x:c>
      <x:c r="AF1033" s="36" t="str">
        <x:f>IF(ISNUMBER(AD1033),ROUND(AD1033-AE1033-V1033,2),"")</x:f>
      </x:c>
      <x:c r="AG1033" t="str">
        <x:f>IF(NOT(ISNUMBER(T1033)),"PENDING",IF(AF1033&gt;0,"PASS","FAIL"))</x:f>
        <x:v>PENDING</x:v>
      </x:c>
      <x:c r="AH1033" t="str">
        <x:f>IF(NOT(ISNUMBER(T1033)),"Needs supplier cost",IF(K1033&lt;&gt;"In stock","Supplier unavailable",IF(AG1033&lt;&gt;"PASS","BLOCK - GT loss risk","Commercially protected")))</x:f>
        <x:v>Needs supplier cost</x:v>
      </x:c>
      <x:c r="AI1033" t="str">
        <x:v>2026-09-10 Active Sports trade capture</x:v>
      </x:c>
      <x:c r="AJ1033" t="str">
        <x:v>Management-only economics. Stripe stress test uses 1.5% + £0.20 standard UK online-card fee; pallet/mix-and-match pricing ignored.</x:v>
      </x:c>
    </x:row>
    <x:row r="1034">
      <x:c r="A1034" t="str">
        <x:v>Active Sports Nutrition</x:v>
      </x:c>
      <x:c r="B1034" t="str">
        <x:v>EHP Labs</x:v>
      </x:c>
      <x:c r="C1034" t="str">
        <x:v>OxyGreens</x:v>
      </x:c>
      <x:c r="D1034" t="str">
        <x:v>Supplements</x:v>
      </x:c>
      <x:c r="E1034" t="str">
        <x:v>Health Foods</x:v>
      </x:c>
      <x:c r="F1034" t="str">
        <x:v>Daily super-greens powder.</x:v>
      </x:c>
      <x:c r="G1034" t="str">
        <x:v>300g</x:v>
      </x:c>
      <x:c r="H1034" t="str">
        <x:v>Forest Berries</x:v>
      </x:c>
      <x:c r="I1034" t="str"/>
      <x:c r="J1034" t="str">
        <x:v>Unit</x:v>
      </x:c>
      <x:c r="K1034" t="str">
        <x:v>Out of stock</x:v>
      </x:c>
      <x:c r="L1034" t="str">
        <x:v>2026-09-08</x:v>
      </x:c>
      <x:c r="M1034" t="str"/>
      <x:c r="N1034" t="str"/>
      <x:c r="O1034" t="str">
        <x:v>https://www.activesportstrade.co.uk/ehp-labs-trade</x:v>
      </x:c>
      <x:c r="P1034" t="str">
        <x:v>Dated SPECIAL OFFER/BBE duplicate listings exist for several flavours; canonical standard listing retained and dated promo stock not used to make the normal product orderable.</x:v>
      </x:c>
      <x:c r="Q1034" t="str"/>
      <x:c r="R1034" t="str"/>
      <x:c r="S1034" t="str">
        <x:v>Pending genuine supplier/brand image</x:v>
      </x:c>
      <x:c r="T1034" s="54"/>
      <x:c r="U1034" s="47" t="n">
        <x:v>0.2</x:v>
      </x:c>
      <x:c r="V1034" s="54" t="str">
        <x:f>IF(ISNUMBER(T1034),T1034*(1+U1034),"")</x:f>
      </x:c>
      <x:c r="W1034" s="47" t="n">
        <x:v>0.3</x:v>
      </x:c>
      <x:c r="X1034" s="54" t="str">
        <x:f>IF(ISNUMBER(V1034),V1034/(1-W1034),"")</x:f>
      </x:c>
      <x:c r="Y1034" s="55" t="str">
        <x:f>IF(ISNUMBER(X1034),ROUNDUP(X1034,0),"")</x:f>
      </x:c>
      <x:c r="Z1034" t="str">
        <x:f>IF(ISNUMBER(T1034),"Cost captured","Awaiting trade cost")</x:f>
        <x:v>Awaiting trade cost</x:v>
      </x:c>
      <x:c r="AB1034" s="36" t="str">
        <x:f>IF(ISNUMBER(Y1034),ROUND(Y1034*0.9,2),"")</x:f>
      </x:c>
      <x:c r="AC1034" s="36" t="str">
        <x:f>IF(ISNUMBER(AB1034),ROUND(AB1034-(AB1034*0.015+0.2)-V1034,2),"")</x:f>
      </x:c>
      <x:c r="AD1034" s="36" t="str">
        <x:f>IF(ISNUMBER(Y1034),ROUND(Y1034*0.8,2),"")</x:f>
      </x:c>
      <x:c r="AE1034" s="36" t="str">
        <x:f>IF(ISNUMBER(AD1034),ROUND(AD1034*0.015+0.2,2),"")</x:f>
      </x:c>
      <x:c r="AF1034" s="36" t="str">
        <x:f>IF(ISNUMBER(AD1034),ROUND(AD1034-AE1034-V1034,2),"")</x:f>
      </x:c>
      <x:c r="AG1034" t="str">
        <x:f>IF(NOT(ISNUMBER(T1034)),"PENDING",IF(AF1034&gt;0,"PASS","FAIL"))</x:f>
        <x:v>PENDING</x:v>
      </x:c>
      <x:c r="AH1034" t="str">
        <x:f>IF(NOT(ISNUMBER(T1034)),"Needs supplier cost",IF(K1034&lt;&gt;"In stock","Supplier unavailable",IF(AG1034&lt;&gt;"PASS","BLOCK - GT loss risk","Commercially protected")))</x:f>
        <x:v>Needs supplier cost</x:v>
      </x:c>
      <x:c r="AI1034" t="str">
        <x:v>2026-09-10 Active Sports trade capture</x:v>
      </x:c>
      <x:c r="AJ1034" t="str">
        <x:v>Management-only economics. Stripe stress test uses 1.5% + £0.20 standard UK online-card fee; pallet/mix-and-match pricing ignored.</x:v>
      </x:c>
    </x:row>
    <x:row r="1035">
      <x:c r="A1035" t="str">
        <x:v>Active Sports Nutrition</x:v>
      </x:c>
      <x:c r="B1035" t="str">
        <x:v>EHP Labs</x:v>
      </x:c>
      <x:c r="C1035" t="str">
        <x:v>OxyGreens</x:v>
      </x:c>
      <x:c r="D1035" t="str">
        <x:v>Supplements</x:v>
      </x:c>
      <x:c r="E1035" t="str">
        <x:v>Health Foods</x:v>
      </x:c>
      <x:c r="F1035" t="str">
        <x:v>Daily super-greens powder.</x:v>
      </x:c>
      <x:c r="G1035" t="str">
        <x:v>300g</x:v>
      </x:c>
      <x:c r="H1035" t="str">
        <x:v>Guava Paradise</x:v>
      </x:c>
      <x:c r="I1035" t="str"/>
      <x:c r="J1035" t="str">
        <x:v>Unit</x:v>
      </x:c>
      <x:c r="K1035" t="str">
        <x:v>Out of stock</x:v>
      </x:c>
      <x:c r="L1035" t="str">
        <x:v>2026-09-08</x:v>
      </x:c>
      <x:c r="M1035" t="str"/>
      <x:c r="N1035" t="str"/>
      <x:c r="O1035" t="str">
        <x:v>https://www.activesportstrade.co.uk/ehp-labs-trade</x:v>
      </x:c>
      <x:c r="P1035" t="str">
        <x:v>Dated SPECIAL OFFER/BBE duplicate listings exist for several flavours; canonical standard listing retained and dated promo stock not used to make the normal product orderable.</x:v>
      </x:c>
      <x:c r="Q1035" t="str"/>
      <x:c r="R1035" t="str"/>
      <x:c r="S1035" t="str">
        <x:v>Pending genuine supplier/brand image</x:v>
      </x:c>
      <x:c r="T1035" s="54"/>
      <x:c r="U1035" s="47" t="n">
        <x:v>0.2</x:v>
      </x:c>
      <x:c r="V1035" s="54" t="str">
        <x:f>IF(ISNUMBER(T1035),T1035*(1+U1035),"")</x:f>
      </x:c>
      <x:c r="W1035" s="47" t="n">
        <x:v>0.3</x:v>
      </x:c>
      <x:c r="X1035" s="54" t="str">
        <x:f>IF(ISNUMBER(V1035),V1035/(1-W1035),"")</x:f>
      </x:c>
      <x:c r="Y1035" s="55" t="str">
        <x:f>IF(ISNUMBER(X1035),ROUNDUP(X1035,0),"")</x:f>
      </x:c>
      <x:c r="Z1035" t="str">
        <x:f>IF(ISNUMBER(T1035),"Cost captured","Awaiting trade cost")</x:f>
        <x:v>Awaiting trade cost</x:v>
      </x:c>
      <x:c r="AB1035" s="36" t="str">
        <x:f>IF(ISNUMBER(Y1035),ROUND(Y1035*0.9,2),"")</x:f>
      </x:c>
      <x:c r="AC1035" s="36" t="str">
        <x:f>IF(ISNUMBER(AB1035),ROUND(AB1035-(AB1035*0.015+0.2)-V1035,2),"")</x:f>
      </x:c>
      <x:c r="AD1035" s="36" t="str">
        <x:f>IF(ISNUMBER(Y1035),ROUND(Y1035*0.8,2),"")</x:f>
      </x:c>
      <x:c r="AE1035" s="36" t="str">
        <x:f>IF(ISNUMBER(AD1035),ROUND(AD1035*0.015+0.2,2),"")</x:f>
      </x:c>
      <x:c r="AF1035" s="36" t="str">
        <x:f>IF(ISNUMBER(AD1035),ROUND(AD1035-AE1035-V1035,2),"")</x:f>
      </x:c>
      <x:c r="AG1035" t="str">
        <x:f>IF(NOT(ISNUMBER(T1035)),"PENDING",IF(AF1035&gt;0,"PASS","FAIL"))</x:f>
        <x:v>PENDING</x:v>
      </x:c>
      <x:c r="AH1035" t="str">
        <x:f>IF(NOT(ISNUMBER(T1035)),"Needs supplier cost",IF(K1035&lt;&gt;"In stock","Supplier unavailable",IF(AG1035&lt;&gt;"PASS","BLOCK - GT loss risk","Commercially protected")))</x:f>
        <x:v>Needs supplier cost</x:v>
      </x:c>
      <x:c r="AI1035" t="str">
        <x:v>2026-09-10 Active Sports trade capture</x:v>
      </x:c>
      <x:c r="AJ1035" t="str">
        <x:v>Management-only economics. Stripe stress test uses 1.5% + £0.20 standard UK online-card fee; pallet/mix-and-match pricing ignored.</x:v>
      </x:c>
    </x:row>
    <x:row r="1036">
      <x:c r="A1036" t="str">
        <x:v>Active Sports Nutrition</x:v>
      </x:c>
      <x:c r="B1036" t="str">
        <x:v>EHP Labs</x:v>
      </x:c>
      <x:c r="C1036" t="str">
        <x:v>OxyGreens</x:v>
      </x:c>
      <x:c r="D1036" t="str">
        <x:v>Supplements</x:v>
      </x:c>
      <x:c r="E1036" t="str">
        <x:v>Health Foods</x:v>
      </x:c>
      <x:c r="F1036" t="str">
        <x:v>Daily super-greens powder.</x:v>
      </x:c>
      <x:c r="G1036" t="str">
        <x:v>300g</x:v>
      </x:c>
      <x:c r="H1036" t="str">
        <x:v>Lychee</x:v>
      </x:c>
      <x:c r="I1036" t="str"/>
      <x:c r="J1036" t="str">
        <x:v>Unit</x:v>
      </x:c>
      <x:c r="K1036" t="str">
        <x:v>Out of stock</x:v>
      </x:c>
      <x:c r="L1036" t="str">
        <x:v>2026-09-08</x:v>
      </x:c>
      <x:c r="M1036" t="str"/>
      <x:c r="N1036" t="str"/>
      <x:c r="O1036" t="str">
        <x:v>https://www.activesportstrade.co.uk/ehp-labs-trade</x:v>
      </x:c>
      <x:c r="P1036" t="str">
        <x:v>Dated SPECIAL OFFER/BBE duplicate listings exist for several flavours; canonical standard listing retained and dated promo stock not used to make the normal product orderable.</x:v>
      </x:c>
      <x:c r="Q1036" t="str"/>
      <x:c r="R1036" t="str"/>
      <x:c r="S1036" t="str">
        <x:v>Pending genuine supplier/brand image</x:v>
      </x:c>
      <x:c r="T1036" s="54"/>
      <x:c r="U1036" s="47" t="n">
        <x:v>0.2</x:v>
      </x:c>
      <x:c r="V1036" s="54" t="str">
        <x:f>IF(ISNUMBER(T1036),T1036*(1+U1036),"")</x:f>
      </x:c>
      <x:c r="W1036" s="47" t="n">
        <x:v>0.3</x:v>
      </x:c>
      <x:c r="X1036" s="54" t="str">
        <x:f>IF(ISNUMBER(V1036),V1036/(1-W1036),"")</x:f>
      </x:c>
      <x:c r="Y1036" s="55" t="str">
        <x:f>IF(ISNUMBER(X1036),ROUNDUP(X1036,0),"")</x:f>
      </x:c>
      <x:c r="Z1036" t="str">
        <x:f>IF(ISNUMBER(T1036),"Cost captured","Awaiting trade cost")</x:f>
        <x:v>Awaiting trade cost</x:v>
      </x:c>
      <x:c r="AB1036" s="36" t="str">
        <x:f>IF(ISNUMBER(Y1036),ROUND(Y1036*0.9,2),"")</x:f>
      </x:c>
      <x:c r="AC1036" s="36" t="str">
        <x:f>IF(ISNUMBER(AB1036),ROUND(AB1036-(AB1036*0.015+0.2)-V1036,2),"")</x:f>
      </x:c>
      <x:c r="AD1036" s="36" t="str">
        <x:f>IF(ISNUMBER(Y1036),ROUND(Y1036*0.8,2),"")</x:f>
      </x:c>
      <x:c r="AE1036" s="36" t="str">
        <x:f>IF(ISNUMBER(AD1036),ROUND(AD1036*0.015+0.2,2),"")</x:f>
      </x:c>
      <x:c r="AF1036" s="36" t="str">
        <x:f>IF(ISNUMBER(AD1036),ROUND(AD1036-AE1036-V1036,2),"")</x:f>
      </x:c>
      <x:c r="AG1036" t="str">
        <x:f>IF(NOT(ISNUMBER(T1036)),"PENDING",IF(AF1036&gt;0,"PASS","FAIL"))</x:f>
        <x:v>PENDING</x:v>
      </x:c>
      <x:c r="AH1036" t="str">
        <x:f>IF(NOT(ISNUMBER(T1036)),"Needs supplier cost",IF(K1036&lt;&gt;"In stock","Supplier unavailable",IF(AG1036&lt;&gt;"PASS","BLOCK - GT loss risk","Commercially protected")))</x:f>
        <x:v>Needs supplier cost</x:v>
      </x:c>
      <x:c r="AI1036" t="str">
        <x:v>2026-09-10 Active Sports trade capture</x:v>
      </x:c>
      <x:c r="AJ1036" t="str">
        <x:v>Management-only economics. Stripe stress test uses 1.5% + £0.20 standard UK online-card fee; pallet/mix-and-match pricing ignored.</x:v>
      </x:c>
    </x:row>
    <x:row r="1037">
      <x:c r="A1037" t="str">
        <x:v>Active Sports Nutrition</x:v>
      </x:c>
      <x:c r="B1037" t="str">
        <x:v>EHP Labs</x:v>
      </x:c>
      <x:c r="C1037" t="str">
        <x:v>OxyGreens</x:v>
      </x:c>
      <x:c r="D1037" t="str">
        <x:v>Supplements</x:v>
      </x:c>
      <x:c r="E1037" t="str">
        <x:v>Health Foods</x:v>
      </x:c>
      <x:c r="F1037" t="str">
        <x:v>Daily super-greens powder.</x:v>
      </x:c>
      <x:c r="G1037" t="str">
        <x:v>300g</x:v>
      </x:c>
      <x:c r="H1037" t="str">
        <x:v>Passionfruit</x:v>
      </x:c>
      <x:c r="I1037" t="str"/>
      <x:c r="J1037" t="str">
        <x:v>Unit</x:v>
      </x:c>
      <x:c r="K1037" t="str">
        <x:v>Out of stock</x:v>
      </x:c>
      <x:c r="L1037" t="str">
        <x:v>2026-09-08</x:v>
      </x:c>
      <x:c r="M1037" t="str"/>
      <x:c r="N1037" t="str"/>
      <x:c r="O1037" t="str">
        <x:v>https://www.activesportstrade.co.uk/ehp-labs-trade</x:v>
      </x:c>
      <x:c r="P1037" t="str">
        <x:v>Dated SPECIAL OFFER/BBE duplicate listings exist for several flavours; canonical standard listing retained and dated promo stock not used to make the normal product orderable.</x:v>
      </x:c>
      <x:c r="Q1037" t="str"/>
      <x:c r="R1037" t="str"/>
      <x:c r="S1037" t="str">
        <x:v>Pending genuine supplier/brand image</x:v>
      </x:c>
      <x:c r="T1037" s="54"/>
      <x:c r="U1037" s="47" t="n">
        <x:v>0.2</x:v>
      </x:c>
      <x:c r="V1037" s="54" t="str">
        <x:f>IF(ISNUMBER(T1037),T1037*(1+U1037),"")</x:f>
      </x:c>
      <x:c r="W1037" s="47" t="n">
        <x:v>0.3</x:v>
      </x:c>
      <x:c r="X1037" s="54" t="str">
        <x:f>IF(ISNUMBER(V1037),V1037/(1-W1037),"")</x:f>
      </x:c>
      <x:c r="Y1037" s="55" t="str">
        <x:f>IF(ISNUMBER(X1037),ROUNDUP(X1037,0),"")</x:f>
      </x:c>
      <x:c r="Z1037" t="str">
        <x:f>IF(ISNUMBER(T1037),"Cost captured","Awaiting trade cost")</x:f>
        <x:v>Awaiting trade cost</x:v>
      </x:c>
      <x:c r="AB1037" s="36" t="str">
        <x:f>IF(ISNUMBER(Y1037),ROUND(Y1037*0.9,2),"")</x:f>
      </x:c>
      <x:c r="AC1037" s="36" t="str">
        <x:f>IF(ISNUMBER(AB1037),ROUND(AB1037-(AB1037*0.015+0.2)-V1037,2),"")</x:f>
      </x:c>
      <x:c r="AD1037" s="36" t="str">
        <x:f>IF(ISNUMBER(Y1037),ROUND(Y1037*0.8,2),"")</x:f>
      </x:c>
      <x:c r="AE1037" s="36" t="str">
        <x:f>IF(ISNUMBER(AD1037),ROUND(AD1037*0.015+0.2,2),"")</x:f>
      </x:c>
      <x:c r="AF1037" s="36" t="str">
        <x:f>IF(ISNUMBER(AD1037),ROUND(AD1037-AE1037-V1037,2),"")</x:f>
      </x:c>
      <x:c r="AG1037" t="str">
        <x:f>IF(NOT(ISNUMBER(T1037)),"PENDING",IF(AF1037&gt;0,"PASS","FAIL"))</x:f>
        <x:v>PENDING</x:v>
      </x:c>
      <x:c r="AH1037" t="str">
        <x:f>IF(NOT(ISNUMBER(T1037)),"Needs supplier cost",IF(K1037&lt;&gt;"In stock","Supplier unavailable",IF(AG1037&lt;&gt;"PASS","BLOCK - GT loss risk","Commercially protected")))</x:f>
        <x:v>Needs supplier cost</x:v>
      </x:c>
      <x:c r="AI1037" t="str">
        <x:v>2026-09-10 Active Sports trade capture</x:v>
      </x:c>
      <x:c r="AJ1037" t="str">
        <x:v>Management-only economics. Stripe stress test uses 1.5% + £0.20 standard UK online-card fee; pallet/mix-and-match pricing ignored.</x:v>
      </x:c>
    </x:row>
    <x:row r="1038">
      <x:c r="A1038" t="str">
        <x:v>Active Sports Nutrition</x:v>
      </x:c>
      <x:c r="B1038" t="str">
        <x:v>EHP Labs</x:v>
      </x:c>
      <x:c r="C1038" t="str">
        <x:v>OxyGreens</x:v>
      </x:c>
      <x:c r="D1038" t="str">
        <x:v>Supplements</x:v>
      </x:c>
      <x:c r="E1038" t="str">
        <x:v>Health Foods</x:v>
      </x:c>
      <x:c r="F1038" t="str">
        <x:v>Daily super-greens powder.</x:v>
      </x:c>
      <x:c r="G1038" t="str">
        <x:v>300g</x:v>
      </x:c>
      <x:c r="H1038" t="str">
        <x:v>Pineapple</x:v>
      </x:c>
      <x:c r="I1038" t="str"/>
      <x:c r="J1038" t="str">
        <x:v>Unit</x:v>
      </x:c>
      <x:c r="K1038" t="str">
        <x:v>In stock</x:v>
      </x:c>
      <x:c r="L1038" t="str">
        <x:v>2026-09-08</x:v>
      </x:c>
      <x:c r="M1038" t="str"/>
      <x:c r="N1038" t="str"/>
      <x:c r="O1038" t="str">
        <x:v>https://www.activesportstrade.co.uk/ehp-labs-trade</x:v>
      </x:c>
      <x:c r="P1038" t="str">
        <x:v>Dated SPECIAL OFFER/BBE duplicate listings exist for several flavours; canonical standard listing retained and dated promo stock not used to make the normal product orderable.</x:v>
      </x:c>
      <x:c r="Q1038" t="str"/>
      <x:c r="R1038" t="str"/>
      <x:c r="S1038" t="str">
        <x:v>Pending genuine supplier/brand image</x:v>
      </x:c>
      <x:c r="T1038" s="54"/>
      <x:c r="U1038" s="47" t="n">
        <x:v>0.2</x:v>
      </x:c>
      <x:c r="V1038" s="54" t="str">
        <x:f>IF(ISNUMBER(T1038),T1038*(1+U1038),"")</x:f>
      </x:c>
      <x:c r="W1038" s="47" t="n">
        <x:v>0.3</x:v>
      </x:c>
      <x:c r="X1038" s="54" t="str">
        <x:f>IF(ISNUMBER(V1038),V1038/(1-W1038),"")</x:f>
      </x:c>
      <x:c r="Y1038" s="55" t="str">
        <x:f>IF(ISNUMBER(X1038),ROUNDUP(X1038,0),"")</x:f>
      </x:c>
      <x:c r="Z1038" t="str">
        <x:f>IF(ISNUMBER(T1038),"Cost captured","Awaiting trade cost")</x:f>
        <x:v>Awaiting trade cost</x:v>
      </x:c>
      <x:c r="AB1038" s="36" t="str">
        <x:f>IF(ISNUMBER(Y1038),ROUND(Y1038*0.9,2),"")</x:f>
      </x:c>
      <x:c r="AC1038" s="36" t="str">
        <x:f>IF(ISNUMBER(AB1038),ROUND(AB1038-(AB1038*0.015+0.2)-V1038,2),"")</x:f>
      </x:c>
      <x:c r="AD1038" s="36" t="str">
        <x:f>IF(ISNUMBER(Y1038),ROUND(Y1038*0.8,2),"")</x:f>
      </x:c>
      <x:c r="AE1038" s="36" t="str">
        <x:f>IF(ISNUMBER(AD1038),ROUND(AD1038*0.015+0.2,2),"")</x:f>
      </x:c>
      <x:c r="AF1038" s="36" t="str">
        <x:f>IF(ISNUMBER(AD1038),ROUND(AD1038-AE1038-V1038,2),"")</x:f>
      </x:c>
      <x:c r="AG1038" t="str">
        <x:f>IF(NOT(ISNUMBER(T1038)),"PENDING",IF(AF1038&gt;0,"PASS","FAIL"))</x:f>
        <x:v>PENDING</x:v>
      </x:c>
      <x:c r="AH1038" t="str">
        <x:f>IF(NOT(ISNUMBER(T1038)),"Needs supplier cost",IF(K1038&lt;&gt;"In stock","Supplier unavailable",IF(AG1038&lt;&gt;"PASS","BLOCK - GT loss risk","Commercially protected")))</x:f>
        <x:v>Needs supplier cost</x:v>
      </x:c>
      <x:c r="AI1038" t="str">
        <x:v>2026-09-10 Active Sports trade capture</x:v>
      </x:c>
      <x:c r="AJ1038" t="str">
        <x:v>Management-only economics. Stripe stress test uses 1.5% + £0.20 standard UK online-card fee; pallet/mix-and-match pricing ignored.</x:v>
      </x:c>
    </x:row>
    <x:row r="1039">
      <x:c r="A1039" t="str">
        <x:v>Active Sports Nutrition</x:v>
      </x:c>
      <x:c r="B1039" t="str">
        <x:v>EHP Labs</x:v>
      </x:c>
      <x:c r="C1039" t="str">
        <x:v>OxyGreens</x:v>
      </x:c>
      <x:c r="D1039" t="str">
        <x:v>Supplements</x:v>
      </x:c>
      <x:c r="E1039" t="str">
        <x:v>Health Foods</x:v>
      </x:c>
      <x:c r="F1039" t="str">
        <x:v>Daily super-greens powder.</x:v>
      </x:c>
      <x:c r="G1039" t="str">
        <x:v>300g</x:v>
      </x:c>
      <x:c r="H1039" t="str">
        <x:v>Strawberry Margarita</x:v>
      </x:c>
      <x:c r="I1039" t="str"/>
      <x:c r="J1039" t="str">
        <x:v>Unit</x:v>
      </x:c>
      <x:c r="K1039" t="str">
        <x:v>In stock</x:v>
      </x:c>
      <x:c r="L1039" t="str">
        <x:v>2026-09-08</x:v>
      </x:c>
      <x:c r="M1039" t="str"/>
      <x:c r="N1039" t="str"/>
      <x:c r="O1039" t="str">
        <x:v>https://www.activesportstrade.co.uk/ehp-labs-trade</x:v>
      </x:c>
      <x:c r="P1039" t="str">
        <x:v>Dated SPECIAL OFFER/BBE duplicate listings exist for several flavours; canonical standard listing retained and dated promo stock not used to make the normal product orderable.</x:v>
      </x:c>
      <x:c r="Q1039" t="str"/>
      <x:c r="R1039" t="str"/>
      <x:c r="S1039" t="str">
        <x:v>Pending genuine supplier/brand image</x:v>
      </x:c>
      <x:c r="T1039" s="54"/>
      <x:c r="U1039" s="47" t="n">
        <x:v>0.2</x:v>
      </x:c>
      <x:c r="V1039" s="54" t="str">
        <x:f>IF(ISNUMBER(T1039),T1039*(1+U1039),"")</x:f>
      </x:c>
      <x:c r="W1039" s="47" t="n">
        <x:v>0.3</x:v>
      </x:c>
      <x:c r="X1039" s="54" t="str">
        <x:f>IF(ISNUMBER(V1039),V1039/(1-W1039),"")</x:f>
      </x:c>
      <x:c r="Y1039" s="55" t="str">
        <x:f>IF(ISNUMBER(X1039),ROUNDUP(X1039,0),"")</x:f>
      </x:c>
      <x:c r="Z1039" t="str">
        <x:f>IF(ISNUMBER(T1039),"Cost captured","Awaiting trade cost")</x:f>
        <x:v>Awaiting trade cost</x:v>
      </x:c>
      <x:c r="AB1039" s="36" t="str">
        <x:f>IF(ISNUMBER(Y1039),ROUND(Y1039*0.9,2),"")</x:f>
      </x:c>
      <x:c r="AC1039" s="36" t="str">
        <x:f>IF(ISNUMBER(AB1039),ROUND(AB1039-(AB1039*0.015+0.2)-V1039,2),"")</x:f>
      </x:c>
      <x:c r="AD1039" s="36" t="str">
        <x:f>IF(ISNUMBER(Y1039),ROUND(Y1039*0.8,2),"")</x:f>
      </x:c>
      <x:c r="AE1039" s="36" t="str">
        <x:f>IF(ISNUMBER(AD1039),ROUND(AD1039*0.015+0.2,2),"")</x:f>
      </x:c>
      <x:c r="AF1039" s="36" t="str">
        <x:f>IF(ISNUMBER(AD1039),ROUND(AD1039-AE1039-V1039,2),"")</x:f>
      </x:c>
      <x:c r="AG1039" t="str">
        <x:f>IF(NOT(ISNUMBER(T1039)),"PENDING",IF(AF1039&gt;0,"PASS","FAIL"))</x:f>
        <x:v>PENDING</x:v>
      </x:c>
      <x:c r="AH1039" t="str">
        <x:f>IF(NOT(ISNUMBER(T1039)),"Needs supplier cost",IF(K1039&lt;&gt;"In stock","Supplier unavailable",IF(AG1039&lt;&gt;"PASS","BLOCK - GT loss risk","Commercially protected")))</x:f>
        <x:v>Needs supplier cost</x:v>
      </x:c>
      <x:c r="AI1039" t="str">
        <x:v>2026-09-10 Active Sports trade capture</x:v>
      </x:c>
      <x:c r="AJ1039" t="str">
        <x:v>Management-only economics. Stripe stress test uses 1.5% + £0.20 standard UK online-card fee; pallet/mix-and-match pricing ignored.</x:v>
      </x:c>
    </x:row>
    <x:row r="1040">
      <x:c r="A1040" t="str">
        <x:v>Active Sports Nutrition</x:v>
      </x:c>
      <x:c r="B1040" t="str">
        <x:v>EHP Labs</x:v>
      </x:c>
      <x:c r="C1040" t="str">
        <x:v>OxyShred Creatine Gummies</x:v>
      </x:c>
      <x:c r="D1040" t="str">
        <x:v>Supplements</x:v>
      </x:c>
      <x:c r="E1040" t="str">
        <x:v>Creatine Powders</x:v>
      </x:c>
      <x:c r="F1040" t="str">
        <x:v>Creatine monohydrate gummies.</x:v>
      </x:c>
      <x:c r="G1040" t="str">
        <x:v>90 gummies</x:v>
      </x:c>
      <x:c r="H1040" t="str">
        <x:v>Berry Bliss</x:v>
      </x:c>
      <x:c r="I1040" t="str"/>
      <x:c r="J1040" t="str">
        <x:v>Unit</x:v>
      </x:c>
      <x:c r="K1040" t="str">
        <x:v>In stock</x:v>
      </x:c>
      <x:c r="L1040" t="str">
        <x:v>2026-09-08</x:v>
      </x:c>
      <x:c r="M1040" t="str"/>
      <x:c r="N1040" t="str"/>
      <x:c r="O1040" t="str">
        <x:v>https://www.activesportstrade.co.uk/ehp-labs-trade</x:v>
      </x:c>
      <x:c r="P1040" t="str"/>
      <x:c r="Q1040" t="str"/>
      <x:c r="R1040" t="str"/>
      <x:c r="S1040" t="str">
        <x:v>Pending genuine supplier/brand image</x:v>
      </x:c>
      <x:c r="T1040" s="54"/>
      <x:c r="U1040" s="47" t="n">
        <x:v>0.2</x:v>
      </x:c>
      <x:c r="V1040" s="54" t="str">
        <x:f>IF(ISNUMBER(T1040),T1040*(1+U1040),"")</x:f>
      </x:c>
      <x:c r="W1040" s="47" t="n">
        <x:v>0.3</x:v>
      </x:c>
      <x:c r="X1040" s="54" t="str">
        <x:f>IF(ISNUMBER(V1040),V1040/(1-W1040),"")</x:f>
      </x:c>
      <x:c r="Y1040" s="55" t="str">
        <x:f>IF(ISNUMBER(X1040),ROUNDUP(X1040,0),"")</x:f>
      </x:c>
      <x:c r="Z1040" t="str">
        <x:f>IF(ISNUMBER(T1040),"Cost captured","Awaiting trade cost")</x:f>
        <x:v>Awaiting trade cost</x:v>
      </x:c>
      <x:c r="AB1040" s="36" t="str">
        <x:f>IF(ISNUMBER(Y1040),ROUND(Y1040*0.9,2),"")</x:f>
      </x:c>
      <x:c r="AC1040" s="36" t="str">
        <x:f>IF(ISNUMBER(AB1040),ROUND(AB1040-(AB1040*0.015+0.2)-V1040,2),"")</x:f>
      </x:c>
      <x:c r="AD1040" s="36" t="str">
        <x:f>IF(ISNUMBER(Y1040),ROUND(Y1040*0.8,2),"")</x:f>
      </x:c>
      <x:c r="AE1040" s="36" t="str">
        <x:f>IF(ISNUMBER(AD1040),ROUND(AD1040*0.015+0.2,2),"")</x:f>
      </x:c>
      <x:c r="AF1040" s="36" t="str">
        <x:f>IF(ISNUMBER(AD1040),ROUND(AD1040-AE1040-V1040,2),"")</x:f>
      </x:c>
      <x:c r="AG1040" t="str">
        <x:f>IF(NOT(ISNUMBER(T1040)),"PENDING",IF(AF1040&gt;0,"PASS","FAIL"))</x:f>
        <x:v>PENDING</x:v>
      </x:c>
      <x:c r="AH1040" t="str">
        <x:f>IF(NOT(ISNUMBER(T1040)),"Needs supplier cost",IF(K1040&lt;&gt;"In stock","Supplier unavailable",IF(AG1040&lt;&gt;"PASS","BLOCK - GT loss risk","Commercially protected")))</x:f>
        <x:v>Needs supplier cost</x:v>
      </x:c>
      <x:c r="AI1040" t="str">
        <x:v>2026-09-10 Active Sports trade capture</x:v>
      </x:c>
      <x:c r="AJ1040" t="str">
        <x:v>Management-only economics. Stripe stress test uses 1.5% + £0.20 standard UK online-card fee; pallet/mix-and-match pricing ignored.</x:v>
      </x:c>
    </x:row>
    <x:row r="1041">
      <x:c r="A1041" t="str">
        <x:v>Active Sports Nutrition</x:v>
      </x:c>
      <x:c r="B1041" t="str">
        <x:v>EHP Labs</x:v>
      </x:c>
      <x:c r="C1041" t="str">
        <x:v>OxyShred Gummies</x:v>
      </x:c>
      <x:c r="D1041" t="str">
        <x:v>Supplements</x:v>
      </x:c>
      <x:c r="E1041" t="str">
        <x:v>Fat Burners</x:v>
      </x:c>
      <x:c r="F1041" t="str">
        <x:v>Chewable OxyShred-format supplement.</x:v>
      </x:c>
      <x:c r="G1041" t="str">
        <x:v>80 gummies</x:v>
      </x:c>
      <x:c r="H1041" t="str">
        <x:v>Juicy Strawberry</x:v>
      </x:c>
      <x:c r="I1041" t="str"/>
      <x:c r="J1041" t="str">
        <x:v>Unit</x:v>
      </x:c>
      <x:c r="K1041" t="str">
        <x:v>In stock</x:v>
      </x:c>
      <x:c r="L1041" t="str">
        <x:v>2026-09-08</x:v>
      </x:c>
      <x:c r="M1041" t="str"/>
      <x:c r="N1041" t="str"/>
      <x:c r="O1041" t="str">
        <x:v>https://www.activesportstrade.co.uk/ehp-labs-trade</x:v>
      </x:c>
      <x:c r="P1041" t="str"/>
      <x:c r="Q1041" t="str"/>
      <x:c r="R1041" t="str"/>
      <x:c r="S1041" t="str">
        <x:v>Pending genuine supplier/brand image</x:v>
      </x:c>
      <x:c r="T1041" s="54"/>
      <x:c r="U1041" s="47" t="n">
        <x:v>0.2</x:v>
      </x:c>
      <x:c r="V1041" s="54" t="str">
        <x:f>IF(ISNUMBER(T1041),T1041*(1+U1041),"")</x:f>
      </x:c>
      <x:c r="W1041" s="47" t="n">
        <x:v>0.3</x:v>
      </x:c>
      <x:c r="X1041" s="54" t="str">
        <x:f>IF(ISNUMBER(V1041),V1041/(1-W1041),"")</x:f>
      </x:c>
      <x:c r="Y1041" s="55" t="str">
        <x:f>IF(ISNUMBER(X1041),ROUNDUP(X1041,0),"")</x:f>
      </x:c>
      <x:c r="Z1041" t="str">
        <x:f>IF(ISNUMBER(T1041),"Cost captured","Awaiting trade cost")</x:f>
        <x:v>Awaiting trade cost</x:v>
      </x:c>
      <x:c r="AB1041" s="36" t="str">
        <x:f>IF(ISNUMBER(Y1041),ROUND(Y1041*0.9,2),"")</x:f>
      </x:c>
      <x:c r="AC1041" s="36" t="str">
        <x:f>IF(ISNUMBER(AB1041),ROUND(AB1041-(AB1041*0.015+0.2)-V1041,2),"")</x:f>
      </x:c>
      <x:c r="AD1041" s="36" t="str">
        <x:f>IF(ISNUMBER(Y1041),ROUND(Y1041*0.8,2),"")</x:f>
      </x:c>
      <x:c r="AE1041" s="36" t="str">
        <x:f>IF(ISNUMBER(AD1041),ROUND(AD1041*0.015+0.2,2),"")</x:f>
      </x:c>
      <x:c r="AF1041" s="36" t="str">
        <x:f>IF(ISNUMBER(AD1041),ROUND(AD1041-AE1041-V1041,2),"")</x:f>
      </x:c>
      <x:c r="AG1041" t="str">
        <x:f>IF(NOT(ISNUMBER(T1041)),"PENDING",IF(AF1041&gt;0,"PASS","FAIL"))</x:f>
        <x:v>PENDING</x:v>
      </x:c>
      <x:c r="AH1041" t="str">
        <x:f>IF(NOT(ISNUMBER(T1041)),"Needs supplier cost",IF(K1041&lt;&gt;"In stock","Supplier unavailable",IF(AG1041&lt;&gt;"PASS","BLOCK - GT loss risk","Commercially protected")))</x:f>
        <x:v>Needs supplier cost</x:v>
      </x:c>
      <x:c r="AI1041" t="str">
        <x:v>2026-09-10 Active Sports trade capture</x:v>
      </x:c>
      <x:c r="AJ1041" t="str">
        <x:v>Management-only economics. Stripe stress test uses 1.5% + £0.20 standard UK online-card fee; pallet/mix-and-match pricing ignored.</x:v>
      </x:c>
    </x:row>
    <x:row r="1042">
      <x:c r="A1042" t="str">
        <x:v>Active Sports Nutrition</x:v>
      </x:c>
      <x:c r="B1042" t="str">
        <x:v>EHP Labs</x:v>
      </x:c>
      <x:c r="C1042" t="str">
        <x:v>OxyShred Hardcore</x:v>
      </x:c>
      <x:c r="D1042" t="str">
        <x:v>Supplements</x:v>
      </x:c>
      <x:c r="E1042" t="str">
        <x:v>Fat Burners</x:v>
      </x:c>
      <x:c r="F1042" t="str">
        <x:v>High-stimulant thermogenic formula.</x:v>
      </x:c>
      <x:c r="G1042" t="str">
        <x:v>40 servings</x:v>
      </x:c>
      <x:c r="H1042" t="str">
        <x:v>Bubble Trouble</x:v>
      </x:c>
      <x:c r="I1042" t="str"/>
      <x:c r="J1042" t="str">
        <x:v>Unit</x:v>
      </x:c>
      <x:c r="K1042" t="str">
        <x:v>Out of stock</x:v>
      </x:c>
      <x:c r="L1042" t="str">
        <x:v>2026-09-08</x:v>
      </x:c>
      <x:c r="M1042" t="str"/>
      <x:c r="N1042" t="str"/>
      <x:c r="O1042" t="str">
        <x:v>https://www.activesportstrade.co.uk/ehp-labs-trade</x:v>
      </x:c>
      <x:c r="P1042" t="str">
        <x:v>SPECIAL OFFER / BUY 3 GET 1 FREE HYDREAU wording removed.</x:v>
      </x:c>
      <x:c r="Q1042" t="str"/>
      <x:c r="R1042" t="str"/>
      <x:c r="S1042" t="str">
        <x:v>Pending genuine supplier/brand image</x:v>
      </x:c>
      <x:c r="T1042" s="54"/>
      <x:c r="U1042" s="47" t="n">
        <x:v>0.2</x:v>
      </x:c>
      <x:c r="V1042" s="54" t="str">
        <x:f>IF(ISNUMBER(T1042),T1042*(1+U1042),"")</x:f>
      </x:c>
      <x:c r="W1042" s="47" t="n">
        <x:v>0.3</x:v>
      </x:c>
      <x:c r="X1042" s="54" t="str">
        <x:f>IF(ISNUMBER(V1042),V1042/(1-W1042),"")</x:f>
      </x:c>
      <x:c r="Y1042" s="55" t="str">
        <x:f>IF(ISNUMBER(X1042),ROUNDUP(X1042,0),"")</x:f>
      </x:c>
      <x:c r="Z1042" t="str">
        <x:f>IF(ISNUMBER(T1042),"Cost captured","Awaiting trade cost")</x:f>
        <x:v>Awaiting trade cost</x:v>
      </x:c>
      <x:c r="AB1042" s="36" t="str">
        <x:f>IF(ISNUMBER(Y1042),ROUND(Y1042*0.9,2),"")</x:f>
      </x:c>
      <x:c r="AC1042" s="36" t="str">
        <x:f>IF(ISNUMBER(AB1042),ROUND(AB1042-(AB1042*0.015+0.2)-V1042,2),"")</x:f>
      </x:c>
      <x:c r="AD1042" s="36" t="str">
        <x:f>IF(ISNUMBER(Y1042),ROUND(Y1042*0.8,2),"")</x:f>
      </x:c>
      <x:c r="AE1042" s="36" t="str">
        <x:f>IF(ISNUMBER(AD1042),ROUND(AD1042*0.015+0.2,2),"")</x:f>
      </x:c>
      <x:c r="AF1042" s="36" t="str">
        <x:f>IF(ISNUMBER(AD1042),ROUND(AD1042-AE1042-V1042,2),"")</x:f>
      </x:c>
      <x:c r="AG1042" t="str">
        <x:f>IF(NOT(ISNUMBER(T1042)),"PENDING",IF(AF1042&gt;0,"PASS","FAIL"))</x:f>
        <x:v>PENDING</x:v>
      </x:c>
      <x:c r="AH1042" t="str">
        <x:f>IF(NOT(ISNUMBER(T1042)),"Needs supplier cost",IF(K1042&lt;&gt;"In stock","Supplier unavailable",IF(AG1042&lt;&gt;"PASS","BLOCK - GT loss risk","Commercially protected")))</x:f>
        <x:v>Needs supplier cost</x:v>
      </x:c>
      <x:c r="AI1042" t="str">
        <x:v>2026-09-10 Active Sports trade capture</x:v>
      </x:c>
      <x:c r="AJ1042" t="str">
        <x:v>Management-only economics. Stripe stress test uses 1.5% + £0.20 standard UK online-card fee; pallet/mix-and-match pricing ignored.</x:v>
      </x:c>
    </x:row>
    <x:row r="1043">
      <x:c r="A1043" t="str">
        <x:v>Active Sports Nutrition</x:v>
      </x:c>
      <x:c r="B1043" t="str">
        <x:v>EHP Labs</x:v>
      </x:c>
      <x:c r="C1043" t="str">
        <x:v>OxyShred Hardcore</x:v>
      </x:c>
      <x:c r="D1043" t="str">
        <x:v>Supplements</x:v>
      </x:c>
      <x:c r="E1043" t="str">
        <x:v>Fat Burners</x:v>
      </x:c>
      <x:c r="F1043" t="str">
        <x:v>High-stimulant thermogenic formula.</x:v>
      </x:c>
      <x:c r="G1043" t="str">
        <x:v>40 servings</x:v>
      </x:c>
      <x:c r="H1043" t="str">
        <x:v>Cali Cola</x:v>
      </x:c>
      <x:c r="I1043" t="str"/>
      <x:c r="J1043" t="str">
        <x:v>Unit</x:v>
      </x:c>
      <x:c r="K1043" t="str">
        <x:v>In stock</x:v>
      </x:c>
      <x:c r="L1043" t="str">
        <x:v>2026-09-08</x:v>
      </x:c>
      <x:c r="M1043" t="str"/>
      <x:c r="N1043" t="str"/>
      <x:c r="O1043" t="str">
        <x:v>https://www.activesportstrade.co.uk/ehp-labs-trade</x:v>
      </x:c>
      <x:c r="P1043" t="str">
        <x:v>SPECIAL OFFER / BUY 3 GET 1 FREE HYDREAU wording removed.</x:v>
      </x:c>
      <x:c r="Q1043" t="str"/>
      <x:c r="R1043" t="str"/>
      <x:c r="S1043" t="str">
        <x:v>Pending genuine supplier/brand image</x:v>
      </x:c>
      <x:c r="T1043" s="54"/>
      <x:c r="U1043" s="47" t="n">
        <x:v>0.2</x:v>
      </x:c>
      <x:c r="V1043" s="54" t="str">
        <x:f>IF(ISNUMBER(T1043),T1043*(1+U1043),"")</x:f>
      </x:c>
      <x:c r="W1043" s="47" t="n">
        <x:v>0.3</x:v>
      </x:c>
      <x:c r="X1043" s="54" t="str">
        <x:f>IF(ISNUMBER(V1043),V1043/(1-W1043),"")</x:f>
      </x:c>
      <x:c r="Y1043" s="55" t="str">
        <x:f>IF(ISNUMBER(X1043),ROUNDUP(X1043,0),"")</x:f>
      </x:c>
      <x:c r="Z1043" t="str">
        <x:f>IF(ISNUMBER(T1043),"Cost captured","Awaiting trade cost")</x:f>
        <x:v>Awaiting trade cost</x:v>
      </x:c>
      <x:c r="AB1043" s="36" t="str">
        <x:f>IF(ISNUMBER(Y1043),ROUND(Y1043*0.9,2),"")</x:f>
      </x:c>
      <x:c r="AC1043" s="36" t="str">
        <x:f>IF(ISNUMBER(AB1043),ROUND(AB1043-(AB1043*0.015+0.2)-V1043,2),"")</x:f>
      </x:c>
      <x:c r="AD1043" s="36" t="str">
        <x:f>IF(ISNUMBER(Y1043),ROUND(Y1043*0.8,2),"")</x:f>
      </x:c>
      <x:c r="AE1043" s="36" t="str">
        <x:f>IF(ISNUMBER(AD1043),ROUND(AD1043*0.015+0.2,2),"")</x:f>
      </x:c>
      <x:c r="AF1043" s="36" t="str">
        <x:f>IF(ISNUMBER(AD1043),ROUND(AD1043-AE1043-V1043,2),"")</x:f>
      </x:c>
      <x:c r="AG1043" t="str">
        <x:f>IF(NOT(ISNUMBER(T1043)),"PENDING",IF(AF1043&gt;0,"PASS","FAIL"))</x:f>
        <x:v>PENDING</x:v>
      </x:c>
      <x:c r="AH1043" t="str">
        <x:f>IF(NOT(ISNUMBER(T1043)),"Needs supplier cost",IF(K1043&lt;&gt;"In stock","Supplier unavailable",IF(AG1043&lt;&gt;"PASS","BLOCK - GT loss risk","Commercially protected")))</x:f>
        <x:v>Needs supplier cost</x:v>
      </x:c>
      <x:c r="AI1043" t="str">
        <x:v>2026-09-10 Active Sports trade capture</x:v>
      </x:c>
      <x:c r="AJ1043" t="str">
        <x:v>Management-only economics. Stripe stress test uses 1.5% + £0.20 standard UK online-card fee; pallet/mix-and-match pricing ignored.</x:v>
      </x:c>
    </x:row>
    <x:row r="1044">
      <x:c r="A1044" t="str">
        <x:v>Active Sports Nutrition</x:v>
      </x:c>
      <x:c r="B1044" t="str">
        <x:v>EHP Labs</x:v>
      </x:c>
      <x:c r="C1044" t="str">
        <x:v>OxyShred Hardcore</x:v>
      </x:c>
      <x:c r="D1044" t="str">
        <x:v>Supplements</x:v>
      </x:c>
      <x:c r="E1044" t="str">
        <x:v>Fat Burners</x:v>
      </x:c>
      <x:c r="F1044" t="str">
        <x:v>High-stimulant thermogenic formula.</x:v>
      </x:c>
      <x:c r="G1044" t="str">
        <x:v>40 servings</x:v>
      </x:c>
      <x:c r="H1044" t="str">
        <x:v>Grape Bubblegum</x:v>
      </x:c>
      <x:c r="I1044" t="str"/>
      <x:c r="J1044" t="str">
        <x:v>Unit</x:v>
      </x:c>
      <x:c r="K1044" t="str">
        <x:v>In stock</x:v>
      </x:c>
      <x:c r="L1044" t="str">
        <x:v>2026-09-08</x:v>
      </x:c>
      <x:c r="M1044" t="str"/>
      <x:c r="N1044" t="str"/>
      <x:c r="O1044" t="str">
        <x:v>https://www.activesportstrade.co.uk/ehp-labs-trade</x:v>
      </x:c>
      <x:c r="P1044" t="str">
        <x:v>SPECIAL OFFER / BUY 3 GET 1 FREE HYDREAU wording removed.</x:v>
      </x:c>
      <x:c r="Q1044" t="str"/>
      <x:c r="R1044" t="str"/>
      <x:c r="S1044" t="str">
        <x:v>Pending genuine supplier/brand image</x:v>
      </x:c>
      <x:c r="T1044" s="54"/>
      <x:c r="U1044" s="47" t="n">
        <x:v>0.2</x:v>
      </x:c>
      <x:c r="V1044" s="54" t="str">
        <x:f>IF(ISNUMBER(T1044),T1044*(1+U1044),"")</x:f>
      </x:c>
      <x:c r="W1044" s="47" t="n">
        <x:v>0.3</x:v>
      </x:c>
      <x:c r="X1044" s="54" t="str">
        <x:f>IF(ISNUMBER(V1044),V1044/(1-W1044),"")</x:f>
      </x:c>
      <x:c r="Y1044" s="55" t="str">
        <x:f>IF(ISNUMBER(X1044),ROUNDUP(X1044,0),"")</x:f>
      </x:c>
      <x:c r="Z1044" t="str">
        <x:f>IF(ISNUMBER(T1044),"Cost captured","Awaiting trade cost")</x:f>
        <x:v>Awaiting trade cost</x:v>
      </x:c>
      <x:c r="AB1044" s="36" t="str">
        <x:f>IF(ISNUMBER(Y1044),ROUND(Y1044*0.9,2),"")</x:f>
      </x:c>
      <x:c r="AC1044" s="36" t="str">
        <x:f>IF(ISNUMBER(AB1044),ROUND(AB1044-(AB1044*0.015+0.2)-V1044,2),"")</x:f>
      </x:c>
      <x:c r="AD1044" s="36" t="str">
        <x:f>IF(ISNUMBER(Y1044),ROUND(Y1044*0.8,2),"")</x:f>
      </x:c>
      <x:c r="AE1044" s="36" t="str">
        <x:f>IF(ISNUMBER(AD1044),ROUND(AD1044*0.015+0.2,2),"")</x:f>
      </x:c>
      <x:c r="AF1044" s="36" t="str">
        <x:f>IF(ISNUMBER(AD1044),ROUND(AD1044-AE1044-V1044,2),"")</x:f>
      </x:c>
      <x:c r="AG1044" t="str">
        <x:f>IF(NOT(ISNUMBER(T1044)),"PENDING",IF(AF1044&gt;0,"PASS","FAIL"))</x:f>
        <x:v>PENDING</x:v>
      </x:c>
      <x:c r="AH1044" t="str">
        <x:f>IF(NOT(ISNUMBER(T1044)),"Needs supplier cost",IF(K1044&lt;&gt;"In stock","Supplier unavailable",IF(AG1044&lt;&gt;"PASS","BLOCK - GT loss risk","Commercially protected")))</x:f>
        <x:v>Needs supplier cost</x:v>
      </x:c>
      <x:c r="AI1044" t="str">
        <x:v>2026-09-10 Active Sports trade capture</x:v>
      </x:c>
      <x:c r="AJ1044" t="str">
        <x:v>Management-only economics. Stripe stress test uses 1.5% + £0.20 standard UK online-card fee; pallet/mix-and-match pricing ignored.</x:v>
      </x:c>
    </x:row>
    <x:row r="1045">
      <x:c r="A1045" t="str">
        <x:v>Active Sports Nutrition</x:v>
      </x:c>
      <x:c r="B1045" t="str">
        <x:v>EHP Labs</x:v>
      </x:c>
      <x:c r="C1045" t="str">
        <x:v>OxyShred Hardcore</x:v>
      </x:c>
      <x:c r="D1045" t="str">
        <x:v>Supplements</x:v>
      </x:c>
      <x:c r="E1045" t="str">
        <x:v>Fat Burners</x:v>
      </x:c>
      <x:c r="F1045" t="str">
        <x:v>High-stimulant thermogenic formula.</x:v>
      </x:c>
      <x:c r="G1045" t="str">
        <x:v>40 servings</x:v>
      </x:c>
      <x:c r="H1045" t="str">
        <x:v>Lemon Sherbet</x:v>
      </x:c>
      <x:c r="I1045" t="str"/>
      <x:c r="J1045" t="str">
        <x:v>Unit</x:v>
      </x:c>
      <x:c r="K1045" t="str">
        <x:v>Out of stock</x:v>
      </x:c>
      <x:c r="L1045" t="str">
        <x:v>2026-09-08</x:v>
      </x:c>
      <x:c r="M1045" t="str"/>
      <x:c r="N1045" t="str"/>
      <x:c r="O1045" t="str">
        <x:v>https://www.activesportstrade.co.uk/ehp-labs-trade</x:v>
      </x:c>
      <x:c r="P1045" t="str">
        <x:v>SPECIAL OFFER / BUY 3 GET 1 FREE HYDREAU wording removed.</x:v>
      </x:c>
      <x:c r="Q1045" t="str"/>
      <x:c r="R1045" t="str"/>
      <x:c r="S1045" t="str">
        <x:v>Pending genuine supplier/brand image</x:v>
      </x:c>
      <x:c r="T1045" s="54"/>
      <x:c r="U1045" s="47" t="n">
        <x:v>0.2</x:v>
      </x:c>
      <x:c r="V1045" s="54" t="str">
        <x:f>IF(ISNUMBER(T1045),T1045*(1+U1045),"")</x:f>
      </x:c>
      <x:c r="W1045" s="47" t="n">
        <x:v>0.3</x:v>
      </x:c>
      <x:c r="X1045" s="54" t="str">
        <x:f>IF(ISNUMBER(V1045),V1045/(1-W1045),"")</x:f>
      </x:c>
      <x:c r="Y1045" s="55" t="str">
        <x:f>IF(ISNUMBER(X1045),ROUNDUP(X1045,0),"")</x:f>
      </x:c>
      <x:c r="Z1045" t="str">
        <x:f>IF(ISNUMBER(T1045),"Cost captured","Awaiting trade cost")</x:f>
        <x:v>Awaiting trade cost</x:v>
      </x:c>
      <x:c r="AB1045" s="36" t="str">
        <x:f>IF(ISNUMBER(Y1045),ROUND(Y1045*0.9,2),"")</x:f>
      </x:c>
      <x:c r="AC1045" s="36" t="str">
        <x:f>IF(ISNUMBER(AB1045),ROUND(AB1045-(AB1045*0.015+0.2)-V1045,2),"")</x:f>
      </x:c>
      <x:c r="AD1045" s="36" t="str">
        <x:f>IF(ISNUMBER(Y1045),ROUND(Y1045*0.8,2),"")</x:f>
      </x:c>
      <x:c r="AE1045" s="36" t="str">
        <x:f>IF(ISNUMBER(AD1045),ROUND(AD1045*0.015+0.2,2),"")</x:f>
      </x:c>
      <x:c r="AF1045" s="36" t="str">
        <x:f>IF(ISNUMBER(AD1045),ROUND(AD1045-AE1045-V1045,2),"")</x:f>
      </x:c>
      <x:c r="AG1045" t="str">
        <x:f>IF(NOT(ISNUMBER(T1045)),"PENDING",IF(AF1045&gt;0,"PASS","FAIL"))</x:f>
        <x:v>PENDING</x:v>
      </x:c>
      <x:c r="AH1045" t="str">
        <x:f>IF(NOT(ISNUMBER(T1045)),"Needs supplier cost",IF(K1045&lt;&gt;"In stock","Supplier unavailable",IF(AG1045&lt;&gt;"PASS","BLOCK - GT loss risk","Commercially protected")))</x:f>
        <x:v>Needs supplier cost</x:v>
      </x:c>
      <x:c r="AI1045" t="str">
        <x:v>2026-09-10 Active Sports trade capture</x:v>
      </x:c>
      <x:c r="AJ1045" t="str">
        <x:v>Management-only economics. Stripe stress test uses 1.5% + £0.20 standard UK online-card fee; pallet/mix-and-match pricing ignored.</x:v>
      </x:c>
    </x:row>
    <x:row r="1046">
      <x:c r="A1046" t="str">
        <x:v>Active Sports Nutrition</x:v>
      </x:c>
      <x:c r="B1046" t="str">
        <x:v>EHP Labs</x:v>
      </x:c>
      <x:c r="C1046" t="str">
        <x:v>OxyShred Hardcore</x:v>
      </x:c>
      <x:c r="D1046" t="str">
        <x:v>Supplements</x:v>
      </x:c>
      <x:c r="E1046" t="str">
        <x:v>Fat Burners</x:v>
      </x:c>
      <x:c r="F1046" t="str">
        <x:v>High-stimulant thermogenic formula.</x:v>
      </x:c>
      <x:c r="G1046" t="str">
        <x:v>40 servings</x:v>
      </x:c>
      <x:c r="H1046" t="str">
        <x:v>Poison Apple</x:v>
      </x:c>
      <x:c r="I1046" t="str"/>
      <x:c r="J1046" t="str">
        <x:v>Unit</x:v>
      </x:c>
      <x:c r="K1046" t="str">
        <x:v>Out of stock</x:v>
      </x:c>
      <x:c r="L1046" t="str">
        <x:v>2026-09-08</x:v>
      </x:c>
      <x:c r="M1046" t="str"/>
      <x:c r="N1046" t="str"/>
      <x:c r="O1046" t="str">
        <x:v>https://www.activesportstrade.co.uk/ehp-labs-trade</x:v>
      </x:c>
      <x:c r="P1046" t="str">
        <x:v>SPECIAL OFFER / BUY 3 GET 1 FREE HYDREAU wording removed.</x:v>
      </x:c>
      <x:c r="Q1046" t="str"/>
      <x:c r="R1046" t="str"/>
      <x:c r="S1046" t="str">
        <x:v>Pending genuine supplier/brand image</x:v>
      </x:c>
      <x:c r="T1046" s="54"/>
      <x:c r="U1046" s="47" t="n">
        <x:v>0.2</x:v>
      </x:c>
      <x:c r="V1046" s="54" t="str">
        <x:f>IF(ISNUMBER(T1046),T1046*(1+U1046),"")</x:f>
      </x:c>
      <x:c r="W1046" s="47" t="n">
        <x:v>0.3</x:v>
      </x:c>
      <x:c r="X1046" s="54" t="str">
        <x:f>IF(ISNUMBER(V1046),V1046/(1-W1046),"")</x:f>
      </x:c>
      <x:c r="Y1046" s="55" t="str">
        <x:f>IF(ISNUMBER(X1046),ROUNDUP(X1046,0),"")</x:f>
      </x:c>
      <x:c r="Z1046" t="str">
        <x:f>IF(ISNUMBER(T1046),"Cost captured","Awaiting trade cost")</x:f>
        <x:v>Awaiting trade cost</x:v>
      </x:c>
      <x:c r="AB1046" s="36" t="str">
        <x:f>IF(ISNUMBER(Y1046),ROUND(Y1046*0.9,2),"")</x:f>
      </x:c>
      <x:c r="AC1046" s="36" t="str">
        <x:f>IF(ISNUMBER(AB1046),ROUND(AB1046-(AB1046*0.015+0.2)-V1046,2),"")</x:f>
      </x:c>
      <x:c r="AD1046" s="36" t="str">
        <x:f>IF(ISNUMBER(Y1046),ROUND(Y1046*0.8,2),"")</x:f>
      </x:c>
      <x:c r="AE1046" s="36" t="str">
        <x:f>IF(ISNUMBER(AD1046),ROUND(AD1046*0.015+0.2,2),"")</x:f>
      </x:c>
      <x:c r="AF1046" s="36" t="str">
        <x:f>IF(ISNUMBER(AD1046),ROUND(AD1046-AE1046-V1046,2),"")</x:f>
      </x:c>
      <x:c r="AG1046" t="str">
        <x:f>IF(NOT(ISNUMBER(T1046)),"PENDING",IF(AF1046&gt;0,"PASS","FAIL"))</x:f>
        <x:v>PENDING</x:v>
      </x:c>
      <x:c r="AH1046" t="str">
        <x:f>IF(NOT(ISNUMBER(T1046)),"Needs supplier cost",IF(K1046&lt;&gt;"In stock","Supplier unavailable",IF(AG1046&lt;&gt;"PASS","BLOCK - GT loss risk","Commercially protected")))</x:f>
        <x:v>Needs supplier cost</x:v>
      </x:c>
      <x:c r="AI1046" t="str">
        <x:v>2026-09-10 Active Sports trade capture</x:v>
      </x:c>
      <x:c r="AJ1046" t="str">
        <x:v>Management-only economics. Stripe stress test uses 1.5% + £0.20 standard UK online-card fee; pallet/mix-and-match pricing ignored.</x:v>
      </x:c>
    </x:row>
    <x:row r="1047">
      <x:c r="A1047" t="str">
        <x:v>Active Sports Nutrition</x:v>
      </x:c>
      <x:c r="B1047" t="str">
        <x:v>EHP Labs</x:v>
      </x:c>
      <x:c r="C1047" t="str">
        <x:v>OxyShred Hardcore</x:v>
      </x:c>
      <x:c r="D1047" t="str">
        <x:v>Supplements</x:v>
      </x:c>
      <x:c r="E1047" t="str">
        <x:v>Fat Burners</x:v>
      </x:c>
      <x:c r="F1047" t="str">
        <x:v>High-stimulant thermogenic formula.</x:v>
      </x:c>
      <x:c r="G1047" t="str">
        <x:v>40 servings</x:v>
      </x:c>
      <x:c r="H1047" t="str">
        <x:v>Sour Creepy Crawlies</x:v>
      </x:c>
      <x:c r="I1047" t="str"/>
      <x:c r="J1047" t="str">
        <x:v>Unit</x:v>
      </x:c>
      <x:c r="K1047" t="str">
        <x:v>In stock</x:v>
      </x:c>
      <x:c r="L1047" t="str">
        <x:v>2026-09-08</x:v>
      </x:c>
      <x:c r="M1047" t="str"/>
      <x:c r="N1047" t="str"/>
      <x:c r="O1047" t="str">
        <x:v>https://www.activesportstrade.co.uk/ehp-labs-trade</x:v>
      </x:c>
      <x:c r="P1047" t="str">
        <x:v>SPECIAL OFFER / BUY 3 GET 1 FREE HYDREAU wording removed.</x:v>
      </x:c>
      <x:c r="Q1047" t="str"/>
      <x:c r="R1047" t="str"/>
      <x:c r="S1047" t="str">
        <x:v>Pending genuine supplier/brand image</x:v>
      </x:c>
      <x:c r="T1047" s="54"/>
      <x:c r="U1047" s="47" t="n">
        <x:v>0.2</x:v>
      </x:c>
      <x:c r="V1047" s="54" t="str">
        <x:f>IF(ISNUMBER(T1047),T1047*(1+U1047),"")</x:f>
      </x:c>
      <x:c r="W1047" s="47" t="n">
        <x:v>0.3</x:v>
      </x:c>
      <x:c r="X1047" s="54" t="str">
        <x:f>IF(ISNUMBER(V1047),V1047/(1-W1047),"")</x:f>
      </x:c>
      <x:c r="Y1047" s="55" t="str">
        <x:f>IF(ISNUMBER(X1047),ROUNDUP(X1047,0),"")</x:f>
      </x:c>
      <x:c r="Z1047" t="str">
        <x:f>IF(ISNUMBER(T1047),"Cost captured","Awaiting trade cost")</x:f>
        <x:v>Awaiting trade cost</x:v>
      </x:c>
      <x:c r="AB1047" s="36" t="str">
        <x:f>IF(ISNUMBER(Y1047),ROUND(Y1047*0.9,2),"")</x:f>
      </x:c>
      <x:c r="AC1047" s="36" t="str">
        <x:f>IF(ISNUMBER(AB1047),ROUND(AB1047-(AB1047*0.015+0.2)-V1047,2),"")</x:f>
      </x:c>
      <x:c r="AD1047" s="36" t="str">
        <x:f>IF(ISNUMBER(Y1047),ROUND(Y1047*0.8,2),"")</x:f>
      </x:c>
      <x:c r="AE1047" s="36" t="str">
        <x:f>IF(ISNUMBER(AD1047),ROUND(AD1047*0.015+0.2,2),"")</x:f>
      </x:c>
      <x:c r="AF1047" s="36" t="str">
        <x:f>IF(ISNUMBER(AD1047),ROUND(AD1047-AE1047-V1047,2),"")</x:f>
      </x:c>
      <x:c r="AG1047" t="str">
        <x:f>IF(NOT(ISNUMBER(T1047)),"PENDING",IF(AF1047&gt;0,"PASS","FAIL"))</x:f>
        <x:v>PENDING</x:v>
      </x:c>
      <x:c r="AH1047" t="str">
        <x:f>IF(NOT(ISNUMBER(T1047)),"Needs supplier cost",IF(K1047&lt;&gt;"In stock","Supplier unavailable",IF(AG1047&lt;&gt;"PASS","BLOCK - GT loss risk","Commercially protected")))</x:f>
        <x:v>Needs supplier cost</x:v>
      </x:c>
      <x:c r="AI1047" t="str">
        <x:v>2026-09-10 Active Sports trade capture</x:v>
      </x:c>
      <x:c r="AJ1047" t="str">
        <x:v>Management-only economics. Stripe stress test uses 1.5% + £0.20 standard UK online-card fee; pallet/mix-and-match pricing ignored.</x:v>
      </x:c>
    </x:row>
    <x:row r="1048">
      <x:c r="A1048" t="str">
        <x:v>Active Sports Nutrition</x:v>
      </x:c>
      <x:c r="B1048" t="str">
        <x:v>EHP Labs</x:v>
      </x:c>
      <x:c r="C1048" t="str">
        <x:v>OxyShred Hardcore</x:v>
      </x:c>
      <x:c r="D1048" t="str">
        <x:v>Supplements</x:v>
      </x:c>
      <x:c r="E1048" t="str">
        <x:v>Fat Burners</x:v>
      </x:c>
      <x:c r="F1048" t="str">
        <x:v>High-stimulant thermogenic formula.</x:v>
      </x:c>
      <x:c r="G1048" t="str">
        <x:v>40 servings</x:v>
      </x:c>
      <x:c r="H1048" t="str">
        <x:v>Watermelon Candy</x:v>
      </x:c>
      <x:c r="I1048" t="str"/>
      <x:c r="J1048" t="str">
        <x:v>Unit</x:v>
      </x:c>
      <x:c r="K1048" t="str">
        <x:v>In stock</x:v>
      </x:c>
      <x:c r="L1048" t="str">
        <x:v>2026-09-08</x:v>
      </x:c>
      <x:c r="M1048" t="str"/>
      <x:c r="N1048" t="str"/>
      <x:c r="O1048" t="str">
        <x:v>https://www.activesportstrade.co.uk/ehp-labs-trade</x:v>
      </x:c>
      <x:c r="P1048" t="str">
        <x:v>SPECIAL OFFER / BUY 3 GET 1 FREE HYDREAU wording removed.</x:v>
      </x:c>
      <x:c r="Q1048" t="str"/>
      <x:c r="R1048" t="str"/>
      <x:c r="S1048" t="str">
        <x:v>Pending genuine supplier/brand image</x:v>
      </x:c>
      <x:c r="T1048" s="54"/>
      <x:c r="U1048" s="47" t="n">
        <x:v>0.2</x:v>
      </x:c>
      <x:c r="V1048" s="54" t="str">
        <x:f>IF(ISNUMBER(T1048),T1048*(1+U1048),"")</x:f>
      </x:c>
      <x:c r="W1048" s="47" t="n">
        <x:v>0.3</x:v>
      </x:c>
      <x:c r="X1048" s="54" t="str">
        <x:f>IF(ISNUMBER(V1048),V1048/(1-W1048),"")</x:f>
      </x:c>
      <x:c r="Y1048" s="55" t="str">
        <x:f>IF(ISNUMBER(X1048),ROUNDUP(X1048,0),"")</x:f>
      </x:c>
      <x:c r="Z1048" t="str">
        <x:f>IF(ISNUMBER(T1048),"Cost captured","Awaiting trade cost")</x:f>
        <x:v>Awaiting trade cost</x:v>
      </x:c>
      <x:c r="AB1048" s="36" t="str">
        <x:f>IF(ISNUMBER(Y1048),ROUND(Y1048*0.9,2),"")</x:f>
      </x:c>
      <x:c r="AC1048" s="36" t="str">
        <x:f>IF(ISNUMBER(AB1048),ROUND(AB1048-(AB1048*0.015+0.2)-V1048,2),"")</x:f>
      </x:c>
      <x:c r="AD1048" s="36" t="str">
        <x:f>IF(ISNUMBER(Y1048),ROUND(Y1048*0.8,2),"")</x:f>
      </x:c>
      <x:c r="AE1048" s="36" t="str">
        <x:f>IF(ISNUMBER(AD1048),ROUND(AD1048*0.015+0.2,2),"")</x:f>
      </x:c>
      <x:c r="AF1048" s="36" t="str">
        <x:f>IF(ISNUMBER(AD1048),ROUND(AD1048-AE1048-V1048,2),"")</x:f>
      </x:c>
      <x:c r="AG1048" t="str">
        <x:f>IF(NOT(ISNUMBER(T1048)),"PENDING",IF(AF1048&gt;0,"PASS","FAIL"))</x:f>
        <x:v>PENDING</x:v>
      </x:c>
      <x:c r="AH1048" t="str">
        <x:f>IF(NOT(ISNUMBER(T1048)),"Needs supplier cost",IF(K1048&lt;&gt;"In stock","Supplier unavailable",IF(AG1048&lt;&gt;"PASS","BLOCK - GT loss risk","Commercially protected")))</x:f>
        <x:v>Needs supplier cost</x:v>
      </x:c>
      <x:c r="AI1048" t="str">
        <x:v>2026-09-10 Active Sports trade capture</x:v>
      </x:c>
      <x:c r="AJ1048" t="str">
        <x:v>Management-only economics. Stripe stress test uses 1.5% + £0.20 standard UK online-card fee; pallet/mix-and-match pricing ignored.</x:v>
      </x:c>
    </x:row>
    <x:row r="1049">
      <x:c r="A1049" t="str">
        <x:v>Active Sports Nutrition</x:v>
      </x:c>
      <x:c r="B1049" t="str">
        <x:v>EHP Labs</x:v>
      </x:c>
      <x:c r="C1049" t="str">
        <x:v>OxyShred Infinity RTD</x:v>
      </x:c>
      <x:c r="D1049" t="str">
        <x:v>Drinks and Bars</x:v>
      </x:c>
      <x:c r="E1049" t="str">
        <x:v>Ready to Drink Energy</x:v>
      </x:c>
      <x:c r="F1049" t="str">
        <x:v>Caffeine-free ready-to-drink energy product.</x:v>
      </x:c>
      <x:c r="G1049" t="str">
        <x:v>12 x 355ml cans</x:v>
      </x:c>
      <x:c r="H1049" t="str">
        <x:v>Peach Mango</x:v>
      </x:c>
      <x:c r="I1049" t="str">
        <x:v>12</x:v>
      </x:c>
      <x:c r="J1049" t="str">
        <x:v>Case</x:v>
      </x:c>
      <x:c r="K1049" t="str">
        <x:v>Out of stock</x:v>
      </x:c>
      <x:c r="L1049" t="str">
        <x:v>2026-09-08</x:v>
      </x:c>
      <x:c r="M1049" t="str"/>
      <x:c r="N1049" t="str"/>
      <x:c r="O1049" t="str">
        <x:v>https://www.activesportstrade.co.uk/ehp-labs-trade</x:v>
      </x:c>
      <x:c r="P1049" t="str"/>
      <x:c r="Q1049" t="str"/>
      <x:c r="R1049" t="str"/>
      <x:c r="S1049" t="str">
        <x:v>Pending genuine supplier/brand image</x:v>
      </x:c>
      <x:c r="T1049" s="54"/>
      <x:c r="U1049" s="47" t="n">
        <x:v>0.2</x:v>
      </x:c>
      <x:c r="V1049" s="54" t="str">
        <x:f>IF(ISNUMBER(T1049),T1049*(1+U1049),"")</x:f>
      </x:c>
      <x:c r="W1049" s="47" t="n">
        <x:v>0.3</x:v>
      </x:c>
      <x:c r="X1049" s="54" t="str">
        <x:f>IF(ISNUMBER(V1049),V1049/(1-W1049),"")</x:f>
      </x:c>
      <x:c r="Y1049" s="55" t="str">
        <x:f>IF(ISNUMBER(X1049),ROUNDUP(X1049,0),"")</x:f>
      </x:c>
      <x:c r="Z1049" t="str">
        <x:f>IF(ISNUMBER(T1049),"Cost captured","Awaiting trade cost")</x:f>
        <x:v>Awaiting trade cost</x:v>
      </x:c>
      <x:c r="AB1049" s="36" t="str">
        <x:f>IF(ISNUMBER(Y1049),ROUND(Y1049*0.9,2),"")</x:f>
      </x:c>
      <x:c r="AC1049" s="36" t="str">
        <x:f>IF(ISNUMBER(AB1049),ROUND(AB1049-(AB1049*0.015+0.2)-V1049,2),"")</x:f>
      </x:c>
      <x:c r="AD1049" s="36" t="str">
        <x:f>IF(ISNUMBER(Y1049),ROUND(Y1049*0.8,2),"")</x:f>
      </x:c>
      <x:c r="AE1049" s="36" t="str">
        <x:f>IF(ISNUMBER(AD1049),ROUND(AD1049*0.015+0.2,2),"")</x:f>
      </x:c>
      <x:c r="AF1049" s="36" t="str">
        <x:f>IF(ISNUMBER(AD1049),ROUND(AD1049-AE1049-V1049,2),"")</x:f>
      </x:c>
      <x:c r="AG1049" t="str">
        <x:f>IF(NOT(ISNUMBER(T1049)),"PENDING",IF(AF1049&gt;0,"PASS","FAIL"))</x:f>
        <x:v>PENDING</x:v>
      </x:c>
      <x:c r="AH1049" t="str">
        <x:f>IF(NOT(ISNUMBER(T1049)),"Needs supplier cost",IF(K1049&lt;&gt;"In stock","Supplier unavailable",IF(AG1049&lt;&gt;"PASS","BLOCK - GT loss risk","Commercially protected")))</x:f>
        <x:v>Needs supplier cost</x:v>
      </x:c>
      <x:c r="AI1049" t="str">
        <x:v>2026-09-10 Active Sports trade capture</x:v>
      </x:c>
      <x:c r="AJ1049" t="str">
        <x:v>Management-only economics. Stripe stress test uses 1.5% + £0.20 standard UK online-card fee; pallet/mix-and-match pricing ignored.</x:v>
      </x:c>
    </x:row>
    <x:row r="1050">
      <x:c r="A1050" t="str">
        <x:v>Active Sports Nutrition</x:v>
      </x:c>
      <x:c r="B1050" t="str">
        <x:v>EHP Labs</x:v>
      </x:c>
      <x:c r="C1050" t="str">
        <x:v>OxyShred Infinity RTD</x:v>
      </x:c>
      <x:c r="D1050" t="str">
        <x:v>Drinks and Bars</x:v>
      </x:c>
      <x:c r="E1050" t="str">
        <x:v>Ready to Drink Energy</x:v>
      </x:c>
      <x:c r="F1050" t="str">
        <x:v>Caffeine-free ready-to-drink energy product.</x:v>
      </x:c>
      <x:c r="G1050" t="str">
        <x:v>12 x 355ml cans</x:v>
      </x:c>
      <x:c r="H1050" t="str">
        <x:v>Sparkling Apple</x:v>
      </x:c>
      <x:c r="I1050" t="str">
        <x:v>12</x:v>
      </x:c>
      <x:c r="J1050" t="str">
        <x:v>Case</x:v>
      </x:c>
      <x:c r="K1050" t="str">
        <x:v>Out of stock</x:v>
      </x:c>
      <x:c r="L1050" t="str">
        <x:v>2026-09-08</x:v>
      </x:c>
      <x:c r="M1050" t="str"/>
      <x:c r="N1050" t="str"/>
      <x:c r="O1050" t="str">
        <x:v>https://www.activesportstrade.co.uk/ehp-labs-trade</x:v>
      </x:c>
      <x:c r="P1050" t="str"/>
      <x:c r="Q1050" t="str"/>
      <x:c r="R1050" t="str"/>
      <x:c r="S1050" t="str">
        <x:v>Pending genuine supplier/brand image</x:v>
      </x:c>
      <x:c r="T1050" s="54"/>
      <x:c r="U1050" s="47" t="n">
        <x:v>0.2</x:v>
      </x:c>
      <x:c r="V1050" s="54" t="str">
        <x:f>IF(ISNUMBER(T1050),T1050*(1+U1050),"")</x:f>
      </x:c>
      <x:c r="W1050" s="47" t="n">
        <x:v>0.3</x:v>
      </x:c>
      <x:c r="X1050" s="54" t="str">
        <x:f>IF(ISNUMBER(V1050),V1050/(1-W1050),"")</x:f>
      </x:c>
      <x:c r="Y1050" s="55" t="str">
        <x:f>IF(ISNUMBER(X1050),ROUNDUP(X1050,0),"")</x:f>
      </x:c>
      <x:c r="Z1050" t="str">
        <x:f>IF(ISNUMBER(T1050),"Cost captured","Awaiting trade cost")</x:f>
        <x:v>Awaiting trade cost</x:v>
      </x:c>
      <x:c r="AB1050" s="36" t="str">
        <x:f>IF(ISNUMBER(Y1050),ROUND(Y1050*0.9,2),"")</x:f>
      </x:c>
      <x:c r="AC1050" s="36" t="str">
        <x:f>IF(ISNUMBER(AB1050),ROUND(AB1050-(AB1050*0.015+0.2)-V1050,2),"")</x:f>
      </x:c>
      <x:c r="AD1050" s="36" t="str">
        <x:f>IF(ISNUMBER(Y1050),ROUND(Y1050*0.8,2),"")</x:f>
      </x:c>
      <x:c r="AE1050" s="36" t="str">
        <x:f>IF(ISNUMBER(AD1050),ROUND(AD1050*0.015+0.2,2),"")</x:f>
      </x:c>
      <x:c r="AF1050" s="36" t="str">
        <x:f>IF(ISNUMBER(AD1050),ROUND(AD1050-AE1050-V1050,2),"")</x:f>
      </x:c>
      <x:c r="AG1050" t="str">
        <x:f>IF(NOT(ISNUMBER(T1050)),"PENDING",IF(AF1050&gt;0,"PASS","FAIL"))</x:f>
        <x:v>PENDING</x:v>
      </x:c>
      <x:c r="AH1050" t="str">
        <x:f>IF(NOT(ISNUMBER(T1050)),"Needs supplier cost",IF(K1050&lt;&gt;"In stock","Supplier unavailable",IF(AG1050&lt;&gt;"PASS","BLOCK - GT loss risk","Commercially protected")))</x:f>
        <x:v>Needs supplier cost</x:v>
      </x:c>
      <x:c r="AI1050" t="str">
        <x:v>2026-09-10 Active Sports trade capture</x:v>
      </x:c>
      <x:c r="AJ1050" t="str">
        <x:v>Management-only economics. Stripe stress test uses 1.5% + £0.20 standard UK online-card fee; pallet/mix-and-match pricing ignored.</x:v>
      </x:c>
    </x:row>
    <x:row r="1051">
      <x:c r="A1051" t="str">
        <x:v>Active Sports Nutrition</x:v>
      </x:c>
      <x:c r="B1051" t="str">
        <x:v>EHP Labs</x:v>
      </x:c>
      <x:c r="C1051" t="str">
        <x:v>OxyShred Infinity RTD</x:v>
      </x:c>
      <x:c r="D1051" t="str">
        <x:v>Drinks and Bars</x:v>
      </x:c>
      <x:c r="E1051" t="str">
        <x:v>Ready to Drink Energy</x:v>
      </x:c>
      <x:c r="F1051" t="str">
        <x:v>Caffeine-free ready-to-drink energy product.</x:v>
      </x:c>
      <x:c r="G1051" t="str">
        <x:v>12 x 355ml cans</x:v>
      </x:c>
      <x:c r="H1051" t="str">
        <x:v>Strawberry Sunrise</x:v>
      </x:c>
      <x:c r="I1051" t="str">
        <x:v>12</x:v>
      </x:c>
      <x:c r="J1051" t="str">
        <x:v>Case</x:v>
      </x:c>
      <x:c r="K1051" t="str">
        <x:v>Out of stock</x:v>
      </x:c>
      <x:c r="L1051" t="str">
        <x:v>2026-09-08</x:v>
      </x:c>
      <x:c r="M1051" t="str"/>
      <x:c r="N1051" t="str"/>
      <x:c r="O1051" t="str">
        <x:v>https://www.activesportstrade.co.uk/ehp-labs-trade</x:v>
      </x:c>
      <x:c r="P1051" t="str"/>
      <x:c r="Q1051" t="str"/>
      <x:c r="R1051" t="str"/>
      <x:c r="S1051" t="str">
        <x:v>Pending genuine supplier/brand image</x:v>
      </x:c>
      <x:c r="T1051" s="54"/>
      <x:c r="U1051" s="47" t="n">
        <x:v>0.2</x:v>
      </x:c>
      <x:c r="V1051" s="54" t="str">
        <x:f>IF(ISNUMBER(T1051),T1051*(1+U1051),"")</x:f>
      </x:c>
      <x:c r="W1051" s="47" t="n">
        <x:v>0.3</x:v>
      </x:c>
      <x:c r="X1051" s="54" t="str">
        <x:f>IF(ISNUMBER(V1051),V1051/(1-W1051),"")</x:f>
      </x:c>
      <x:c r="Y1051" s="55" t="str">
        <x:f>IF(ISNUMBER(X1051),ROUNDUP(X1051,0),"")</x:f>
      </x:c>
      <x:c r="Z1051" t="str">
        <x:f>IF(ISNUMBER(T1051),"Cost captured","Awaiting trade cost")</x:f>
        <x:v>Awaiting trade cost</x:v>
      </x:c>
      <x:c r="AB1051" s="36" t="str">
        <x:f>IF(ISNUMBER(Y1051),ROUND(Y1051*0.9,2),"")</x:f>
      </x:c>
      <x:c r="AC1051" s="36" t="str">
        <x:f>IF(ISNUMBER(AB1051),ROUND(AB1051-(AB1051*0.015+0.2)-V1051,2),"")</x:f>
      </x:c>
      <x:c r="AD1051" s="36" t="str">
        <x:f>IF(ISNUMBER(Y1051),ROUND(Y1051*0.8,2),"")</x:f>
      </x:c>
      <x:c r="AE1051" s="36" t="str">
        <x:f>IF(ISNUMBER(AD1051),ROUND(AD1051*0.015+0.2,2),"")</x:f>
      </x:c>
      <x:c r="AF1051" s="36" t="str">
        <x:f>IF(ISNUMBER(AD1051),ROUND(AD1051-AE1051-V1051,2),"")</x:f>
      </x:c>
      <x:c r="AG1051" t="str">
        <x:f>IF(NOT(ISNUMBER(T1051)),"PENDING",IF(AF1051&gt;0,"PASS","FAIL"))</x:f>
        <x:v>PENDING</x:v>
      </x:c>
      <x:c r="AH1051" t="str">
        <x:f>IF(NOT(ISNUMBER(T1051)),"Needs supplier cost",IF(K1051&lt;&gt;"In stock","Supplier unavailable",IF(AG1051&lt;&gt;"PASS","BLOCK - GT loss risk","Commercially protected")))</x:f>
        <x:v>Needs supplier cost</x:v>
      </x:c>
      <x:c r="AI1051" t="str">
        <x:v>2026-09-10 Active Sports trade capture</x:v>
      </x:c>
      <x:c r="AJ1051" t="str">
        <x:v>Management-only economics. Stripe stress test uses 1.5% + £0.20 standard UK online-card fee; pallet/mix-and-match pricing ignored.</x:v>
      </x:c>
    </x:row>
    <x:row r="1052">
      <x:c r="A1052" t="str">
        <x:v>Active Sports Nutrition</x:v>
      </x:c>
      <x:c r="B1052" t="str">
        <x:v>EHP Labs</x:v>
      </x:c>
      <x:c r="C1052" t="str">
        <x:v>OxyShred Non-Stim</x:v>
      </x:c>
      <x:c r="D1052" t="str">
        <x:v>Supplements</x:v>
      </x:c>
      <x:c r="E1052" t="str">
        <x:v>Fat Burners</x:v>
      </x:c>
      <x:c r="F1052" t="str">
        <x:v>Non-stimulant OxyShred formula.</x:v>
      </x:c>
      <x:c r="G1052" t="str">
        <x:v>60 servings</x:v>
      </x:c>
      <x:c r="H1052" t="str">
        <x:v>Appletini</x:v>
      </x:c>
      <x:c r="I1052" t="str"/>
      <x:c r="J1052" t="str">
        <x:v>Unit</x:v>
      </x:c>
      <x:c r="K1052" t="str">
        <x:v>Out of stock</x:v>
      </x:c>
      <x:c r="L1052" t="str">
        <x:v>2026-09-08</x:v>
      </x:c>
      <x:c r="M1052" t="str"/>
      <x:c r="N1052" t="str"/>
      <x:c r="O1052" t="str">
        <x:v>https://www.activesportstrade.co.uk/ehp-labs-trade</x:v>
      </x:c>
      <x:c r="P1052" t="str">
        <x:v>SPECIAL OFFER / BUY 3 GET 1 FREE HYDREAU wording removed.</x:v>
      </x:c>
      <x:c r="Q1052" t="str"/>
      <x:c r="R1052" t="str"/>
      <x:c r="S1052" t="str">
        <x:v>Pending genuine supplier/brand image</x:v>
      </x:c>
      <x:c r="T1052" s="54"/>
      <x:c r="U1052" s="47" t="n">
        <x:v>0.2</x:v>
      </x:c>
      <x:c r="V1052" s="54" t="str">
        <x:f>IF(ISNUMBER(T1052),T1052*(1+U1052),"")</x:f>
      </x:c>
      <x:c r="W1052" s="47" t="n">
        <x:v>0.3</x:v>
      </x:c>
      <x:c r="X1052" s="54" t="str">
        <x:f>IF(ISNUMBER(V1052),V1052/(1-W1052),"")</x:f>
      </x:c>
      <x:c r="Y1052" s="55" t="str">
        <x:f>IF(ISNUMBER(X1052),ROUNDUP(X1052,0),"")</x:f>
      </x:c>
      <x:c r="Z1052" t="str">
        <x:f>IF(ISNUMBER(T1052),"Cost captured","Awaiting trade cost")</x:f>
        <x:v>Awaiting trade cost</x:v>
      </x:c>
      <x:c r="AB1052" s="36" t="str">
        <x:f>IF(ISNUMBER(Y1052),ROUND(Y1052*0.9,2),"")</x:f>
      </x:c>
      <x:c r="AC1052" s="36" t="str">
        <x:f>IF(ISNUMBER(AB1052),ROUND(AB1052-(AB1052*0.015+0.2)-V1052,2),"")</x:f>
      </x:c>
      <x:c r="AD1052" s="36" t="str">
        <x:f>IF(ISNUMBER(Y1052),ROUND(Y1052*0.8,2),"")</x:f>
      </x:c>
      <x:c r="AE1052" s="36" t="str">
        <x:f>IF(ISNUMBER(AD1052),ROUND(AD1052*0.015+0.2,2),"")</x:f>
      </x:c>
      <x:c r="AF1052" s="36" t="str">
        <x:f>IF(ISNUMBER(AD1052),ROUND(AD1052-AE1052-V1052,2),"")</x:f>
      </x:c>
      <x:c r="AG1052" t="str">
        <x:f>IF(NOT(ISNUMBER(T1052)),"PENDING",IF(AF1052&gt;0,"PASS","FAIL"))</x:f>
        <x:v>PENDING</x:v>
      </x:c>
      <x:c r="AH1052" t="str">
        <x:f>IF(NOT(ISNUMBER(T1052)),"Needs supplier cost",IF(K1052&lt;&gt;"In stock","Supplier unavailable",IF(AG1052&lt;&gt;"PASS","BLOCK - GT loss risk","Commercially protected")))</x:f>
        <x:v>Needs supplier cost</x:v>
      </x:c>
      <x:c r="AI1052" t="str">
        <x:v>2026-09-10 Active Sports trade capture</x:v>
      </x:c>
      <x:c r="AJ1052" t="str">
        <x:v>Management-only economics. Stripe stress test uses 1.5% + £0.20 standard UK online-card fee; pallet/mix-and-match pricing ignored.</x:v>
      </x:c>
    </x:row>
    <x:row r="1053">
      <x:c r="A1053" t="str">
        <x:v>Active Sports Nutrition</x:v>
      </x:c>
      <x:c r="B1053" t="str">
        <x:v>EHP Labs</x:v>
      </x:c>
      <x:c r="C1053" t="str">
        <x:v>OxyShred Non-Stim</x:v>
      </x:c>
      <x:c r="D1053" t="str">
        <x:v>Supplements</x:v>
      </x:c>
      <x:c r="E1053" t="str">
        <x:v>Fat Burners</x:v>
      </x:c>
      <x:c r="F1053" t="str">
        <x:v>Non-stimulant OxyShred formula.</x:v>
      </x:c>
      <x:c r="G1053" t="str">
        <x:v>60 servings</x:v>
      </x:c>
      <x:c r="H1053" t="str">
        <x:v>HoneyDew Melon</x:v>
      </x:c>
      <x:c r="I1053" t="str"/>
      <x:c r="J1053" t="str">
        <x:v>Unit</x:v>
      </x:c>
      <x:c r="K1053" t="str">
        <x:v>Out of stock</x:v>
      </x:c>
      <x:c r="L1053" t="str">
        <x:v>2026-09-08</x:v>
      </x:c>
      <x:c r="M1053" t="str"/>
      <x:c r="N1053" t="str"/>
      <x:c r="O1053" t="str">
        <x:v>https://www.activesportstrade.co.uk/ehp-labs-trade</x:v>
      </x:c>
      <x:c r="P1053" t="str">
        <x:v>SPECIAL OFFER / BUY 3 GET 1 FREE HYDREAU wording removed.</x:v>
      </x:c>
      <x:c r="Q1053" t="str"/>
      <x:c r="R1053" t="str"/>
      <x:c r="S1053" t="str">
        <x:v>Pending genuine supplier/brand image</x:v>
      </x:c>
      <x:c r="T1053" s="54"/>
      <x:c r="U1053" s="47" t="n">
        <x:v>0.2</x:v>
      </x:c>
      <x:c r="V1053" s="54" t="str">
        <x:f>IF(ISNUMBER(T1053),T1053*(1+U1053),"")</x:f>
      </x:c>
      <x:c r="W1053" s="47" t="n">
        <x:v>0.3</x:v>
      </x:c>
      <x:c r="X1053" s="54" t="str">
        <x:f>IF(ISNUMBER(V1053),V1053/(1-W1053),"")</x:f>
      </x:c>
      <x:c r="Y1053" s="55" t="str">
        <x:f>IF(ISNUMBER(X1053),ROUNDUP(X1053,0),"")</x:f>
      </x:c>
      <x:c r="Z1053" t="str">
        <x:f>IF(ISNUMBER(T1053),"Cost captured","Awaiting trade cost")</x:f>
        <x:v>Awaiting trade cost</x:v>
      </x:c>
      <x:c r="AB1053" s="36" t="str">
        <x:f>IF(ISNUMBER(Y1053),ROUND(Y1053*0.9,2),"")</x:f>
      </x:c>
      <x:c r="AC1053" s="36" t="str">
        <x:f>IF(ISNUMBER(AB1053),ROUND(AB1053-(AB1053*0.015+0.2)-V1053,2),"")</x:f>
      </x:c>
      <x:c r="AD1053" s="36" t="str">
        <x:f>IF(ISNUMBER(Y1053),ROUND(Y1053*0.8,2),"")</x:f>
      </x:c>
      <x:c r="AE1053" s="36" t="str">
        <x:f>IF(ISNUMBER(AD1053),ROUND(AD1053*0.015+0.2,2),"")</x:f>
      </x:c>
      <x:c r="AF1053" s="36" t="str">
        <x:f>IF(ISNUMBER(AD1053),ROUND(AD1053-AE1053-V1053,2),"")</x:f>
      </x:c>
      <x:c r="AG1053" t="str">
        <x:f>IF(NOT(ISNUMBER(T1053)),"PENDING",IF(AF1053&gt;0,"PASS","FAIL"))</x:f>
        <x:v>PENDING</x:v>
      </x:c>
      <x:c r="AH1053" t="str">
        <x:f>IF(NOT(ISNUMBER(T1053)),"Needs supplier cost",IF(K1053&lt;&gt;"In stock","Supplier unavailable",IF(AG1053&lt;&gt;"PASS","BLOCK - GT loss risk","Commercially protected")))</x:f>
        <x:v>Needs supplier cost</x:v>
      </x:c>
      <x:c r="AI1053" t="str">
        <x:v>2026-09-10 Active Sports trade capture</x:v>
      </x:c>
      <x:c r="AJ1053" t="str">
        <x:v>Management-only economics. Stripe stress test uses 1.5% + £0.20 standard UK online-card fee; pallet/mix-and-match pricing ignored.</x:v>
      </x:c>
    </x:row>
    <x:row r="1054">
      <x:c r="A1054" t="str">
        <x:v>Active Sports Nutrition</x:v>
      </x:c>
      <x:c r="B1054" t="str">
        <x:v>EHP Labs</x:v>
      </x:c>
      <x:c r="C1054" t="str">
        <x:v>OxyShred Non-Stim</x:v>
      </x:c>
      <x:c r="D1054" t="str">
        <x:v>Supplements</x:v>
      </x:c>
      <x:c r="E1054" t="str">
        <x:v>Fat Burners</x:v>
      </x:c>
      <x:c r="F1054" t="str">
        <x:v>Non-stimulant OxyShred formula.</x:v>
      </x:c>
      <x:c r="G1054" t="str">
        <x:v>60 servings</x:v>
      </x:c>
      <x:c r="H1054" t="str">
        <x:v>Kiss My Peach</x:v>
      </x:c>
      <x:c r="I1054" t="str"/>
      <x:c r="J1054" t="str">
        <x:v>Unit</x:v>
      </x:c>
      <x:c r="K1054" t="str">
        <x:v>In stock</x:v>
      </x:c>
      <x:c r="L1054" t="str">
        <x:v>2026-09-08</x:v>
      </x:c>
      <x:c r="M1054" t="str"/>
      <x:c r="N1054" t="str"/>
      <x:c r="O1054" t="str">
        <x:v>https://www.activesportstrade.co.uk/ehp-labs-trade</x:v>
      </x:c>
      <x:c r="P1054" t="str">
        <x:v>SPECIAL OFFER / BUY 3 GET 1 FREE HYDREAU wording removed.</x:v>
      </x:c>
      <x:c r="Q1054" t="str"/>
      <x:c r="R1054" t="str"/>
      <x:c r="S1054" t="str">
        <x:v>Pending genuine supplier/brand image</x:v>
      </x:c>
      <x:c r="T1054" s="54"/>
      <x:c r="U1054" s="47" t="n">
        <x:v>0.2</x:v>
      </x:c>
      <x:c r="V1054" s="54" t="str">
        <x:f>IF(ISNUMBER(T1054),T1054*(1+U1054),"")</x:f>
      </x:c>
      <x:c r="W1054" s="47" t="n">
        <x:v>0.3</x:v>
      </x:c>
      <x:c r="X1054" s="54" t="str">
        <x:f>IF(ISNUMBER(V1054),V1054/(1-W1054),"")</x:f>
      </x:c>
      <x:c r="Y1054" s="55" t="str">
        <x:f>IF(ISNUMBER(X1054),ROUNDUP(X1054,0),"")</x:f>
      </x:c>
      <x:c r="Z1054" t="str">
        <x:f>IF(ISNUMBER(T1054),"Cost captured","Awaiting trade cost")</x:f>
        <x:v>Awaiting trade cost</x:v>
      </x:c>
      <x:c r="AB1054" s="36" t="str">
        <x:f>IF(ISNUMBER(Y1054),ROUND(Y1054*0.9,2),"")</x:f>
      </x:c>
      <x:c r="AC1054" s="36" t="str">
        <x:f>IF(ISNUMBER(AB1054),ROUND(AB1054-(AB1054*0.015+0.2)-V1054,2),"")</x:f>
      </x:c>
      <x:c r="AD1054" s="36" t="str">
        <x:f>IF(ISNUMBER(Y1054),ROUND(Y1054*0.8,2),"")</x:f>
      </x:c>
      <x:c r="AE1054" s="36" t="str">
        <x:f>IF(ISNUMBER(AD1054),ROUND(AD1054*0.015+0.2,2),"")</x:f>
      </x:c>
      <x:c r="AF1054" s="36" t="str">
        <x:f>IF(ISNUMBER(AD1054),ROUND(AD1054-AE1054-V1054,2),"")</x:f>
      </x:c>
      <x:c r="AG1054" t="str">
        <x:f>IF(NOT(ISNUMBER(T1054)),"PENDING",IF(AF1054&gt;0,"PASS","FAIL"))</x:f>
        <x:v>PENDING</x:v>
      </x:c>
      <x:c r="AH1054" t="str">
        <x:f>IF(NOT(ISNUMBER(T1054)),"Needs supplier cost",IF(K1054&lt;&gt;"In stock","Supplier unavailable",IF(AG1054&lt;&gt;"PASS","BLOCK - GT loss risk","Commercially protected")))</x:f>
        <x:v>Needs supplier cost</x:v>
      </x:c>
      <x:c r="AI1054" t="str">
        <x:v>2026-09-10 Active Sports trade capture</x:v>
      </x:c>
      <x:c r="AJ1054" t="str">
        <x:v>Management-only economics. Stripe stress test uses 1.5% + £0.20 standard UK online-card fee; pallet/mix-and-match pricing ignored.</x:v>
      </x:c>
    </x:row>
    <x:row r="1055">
      <x:c r="A1055" t="str">
        <x:v>Active Sports Nutrition</x:v>
      </x:c>
      <x:c r="B1055" t="str">
        <x:v>EHP Labs</x:v>
      </x:c>
      <x:c r="C1055" t="str">
        <x:v>OxyShred Non-Stim</x:v>
      </x:c>
      <x:c r="D1055" t="str">
        <x:v>Supplements</x:v>
      </x:c>
      <x:c r="E1055" t="str">
        <x:v>Fat Burners</x:v>
      </x:c>
      <x:c r="F1055" t="str">
        <x:v>Non-stimulant OxyShred formula.</x:v>
      </x:c>
      <x:c r="G1055" t="str">
        <x:v>60 servings</x:v>
      </x:c>
      <x:c r="H1055" t="str">
        <x:v>Mojito</x:v>
      </x:c>
      <x:c r="I1055" t="str"/>
      <x:c r="J1055" t="str">
        <x:v>Unit</x:v>
      </x:c>
      <x:c r="K1055" t="str">
        <x:v>In stock</x:v>
      </x:c>
      <x:c r="L1055" t="str">
        <x:v>2026-09-08</x:v>
      </x:c>
      <x:c r="M1055" t="str"/>
      <x:c r="N1055" t="str"/>
      <x:c r="O1055" t="str">
        <x:v>https://www.activesportstrade.co.uk/ehp-labs-trade</x:v>
      </x:c>
      <x:c r="P1055" t="str">
        <x:v>SPECIAL OFFER / BUY 3 GET 1 FREE HYDREAU wording removed.</x:v>
      </x:c>
      <x:c r="Q1055" t="str"/>
      <x:c r="R1055" t="str"/>
      <x:c r="S1055" t="str">
        <x:v>Pending genuine supplier/brand image</x:v>
      </x:c>
      <x:c r="T1055" s="54"/>
      <x:c r="U1055" s="47" t="n">
        <x:v>0.2</x:v>
      </x:c>
      <x:c r="V1055" s="54" t="str">
        <x:f>IF(ISNUMBER(T1055),T1055*(1+U1055),"")</x:f>
      </x:c>
      <x:c r="W1055" s="47" t="n">
        <x:v>0.3</x:v>
      </x:c>
      <x:c r="X1055" s="54" t="str">
        <x:f>IF(ISNUMBER(V1055),V1055/(1-W1055),"")</x:f>
      </x:c>
      <x:c r="Y1055" s="55" t="str">
        <x:f>IF(ISNUMBER(X1055),ROUNDUP(X1055,0),"")</x:f>
      </x:c>
      <x:c r="Z1055" t="str">
        <x:f>IF(ISNUMBER(T1055),"Cost captured","Awaiting trade cost")</x:f>
        <x:v>Awaiting trade cost</x:v>
      </x:c>
      <x:c r="AB1055" s="36" t="str">
        <x:f>IF(ISNUMBER(Y1055),ROUND(Y1055*0.9,2),"")</x:f>
      </x:c>
      <x:c r="AC1055" s="36" t="str">
        <x:f>IF(ISNUMBER(AB1055),ROUND(AB1055-(AB1055*0.015+0.2)-V1055,2),"")</x:f>
      </x:c>
      <x:c r="AD1055" s="36" t="str">
        <x:f>IF(ISNUMBER(Y1055),ROUND(Y1055*0.8,2),"")</x:f>
      </x:c>
      <x:c r="AE1055" s="36" t="str">
        <x:f>IF(ISNUMBER(AD1055),ROUND(AD1055*0.015+0.2,2),"")</x:f>
      </x:c>
      <x:c r="AF1055" s="36" t="str">
        <x:f>IF(ISNUMBER(AD1055),ROUND(AD1055-AE1055-V1055,2),"")</x:f>
      </x:c>
      <x:c r="AG1055" t="str">
        <x:f>IF(NOT(ISNUMBER(T1055)),"PENDING",IF(AF1055&gt;0,"PASS","FAIL"))</x:f>
        <x:v>PENDING</x:v>
      </x:c>
      <x:c r="AH1055" t="str">
        <x:f>IF(NOT(ISNUMBER(T1055)),"Needs supplier cost",IF(K1055&lt;&gt;"In stock","Supplier unavailable",IF(AG1055&lt;&gt;"PASS","BLOCK - GT loss risk","Commercially protected")))</x:f>
        <x:v>Needs supplier cost</x:v>
      </x:c>
      <x:c r="AI1055" t="str">
        <x:v>2026-09-10 Active Sports trade capture</x:v>
      </x:c>
      <x:c r="AJ1055" t="str">
        <x:v>Management-only economics. Stripe stress test uses 1.5% + £0.20 standard UK online-card fee; pallet/mix-and-match pricing ignored.</x:v>
      </x:c>
    </x:row>
    <x:row r="1056">
      <x:c r="A1056" t="str">
        <x:v>Active Sports Nutrition</x:v>
      </x:c>
      <x:c r="B1056" t="str">
        <x:v>EHP Labs</x:v>
      </x:c>
      <x:c r="C1056" t="str">
        <x:v>OxyShred Non-Stim</x:v>
      </x:c>
      <x:c r="D1056" t="str">
        <x:v>Supplements</x:v>
      </x:c>
      <x:c r="E1056" t="str">
        <x:v>Fat Burners</x:v>
      </x:c>
      <x:c r="F1056" t="str">
        <x:v>Non-stimulant OxyShred formula.</x:v>
      </x:c>
      <x:c r="G1056" t="str">
        <x:v>60 servings</x:v>
      </x:c>
      <x:c r="H1056" t="str">
        <x:v>Raspberry Kisses</x:v>
      </x:c>
      <x:c r="I1056" t="str"/>
      <x:c r="J1056" t="str">
        <x:v>Unit</x:v>
      </x:c>
      <x:c r="K1056" t="str">
        <x:v>In stock</x:v>
      </x:c>
      <x:c r="L1056" t="str">
        <x:v>2026-09-08</x:v>
      </x:c>
      <x:c r="M1056" t="str"/>
      <x:c r="N1056" t="str"/>
      <x:c r="O1056" t="str">
        <x:v>https://www.activesportstrade.co.uk/ehp-labs-trade</x:v>
      </x:c>
      <x:c r="P1056" t="str">
        <x:v>SPECIAL OFFER / BUY 3 GET 1 FREE HYDREAU wording removed.</x:v>
      </x:c>
      <x:c r="Q1056" t="str"/>
      <x:c r="R1056" t="str"/>
      <x:c r="S1056" t="str">
        <x:v>Pending genuine supplier/brand image</x:v>
      </x:c>
      <x:c r="T1056" s="54"/>
      <x:c r="U1056" s="47" t="n">
        <x:v>0.2</x:v>
      </x:c>
      <x:c r="V1056" s="54" t="str">
        <x:f>IF(ISNUMBER(T1056),T1056*(1+U1056),"")</x:f>
      </x:c>
      <x:c r="W1056" s="47" t="n">
        <x:v>0.3</x:v>
      </x:c>
      <x:c r="X1056" s="54" t="str">
        <x:f>IF(ISNUMBER(V1056),V1056/(1-W1056),"")</x:f>
      </x:c>
      <x:c r="Y1056" s="55" t="str">
        <x:f>IF(ISNUMBER(X1056),ROUNDUP(X1056,0),"")</x:f>
      </x:c>
      <x:c r="Z1056" t="str">
        <x:f>IF(ISNUMBER(T1056),"Cost captured","Awaiting trade cost")</x:f>
        <x:v>Awaiting trade cost</x:v>
      </x:c>
      <x:c r="AB1056" s="36" t="str">
        <x:f>IF(ISNUMBER(Y1056),ROUND(Y1056*0.9,2),"")</x:f>
      </x:c>
      <x:c r="AC1056" s="36" t="str">
        <x:f>IF(ISNUMBER(AB1056),ROUND(AB1056-(AB1056*0.015+0.2)-V1056,2),"")</x:f>
      </x:c>
      <x:c r="AD1056" s="36" t="str">
        <x:f>IF(ISNUMBER(Y1056),ROUND(Y1056*0.8,2),"")</x:f>
      </x:c>
      <x:c r="AE1056" s="36" t="str">
        <x:f>IF(ISNUMBER(AD1056),ROUND(AD1056*0.015+0.2,2),"")</x:f>
      </x:c>
      <x:c r="AF1056" s="36" t="str">
        <x:f>IF(ISNUMBER(AD1056),ROUND(AD1056-AE1056-V1056,2),"")</x:f>
      </x:c>
      <x:c r="AG1056" t="str">
        <x:f>IF(NOT(ISNUMBER(T1056)),"PENDING",IF(AF1056&gt;0,"PASS","FAIL"))</x:f>
        <x:v>PENDING</x:v>
      </x:c>
      <x:c r="AH1056" t="str">
        <x:f>IF(NOT(ISNUMBER(T1056)),"Needs supplier cost",IF(K1056&lt;&gt;"In stock","Supplier unavailable",IF(AG1056&lt;&gt;"PASS","BLOCK - GT loss risk","Commercially protected")))</x:f>
        <x:v>Needs supplier cost</x:v>
      </x:c>
      <x:c r="AI1056" t="str">
        <x:v>2026-09-10 Active Sports trade capture</x:v>
      </x:c>
      <x:c r="AJ1056" t="str">
        <x:v>Management-only economics. Stripe stress test uses 1.5% + £0.20 standard UK online-card fee; pallet/mix-and-match pricing ignored.</x:v>
      </x:c>
    </x:row>
    <x:row r="1057">
      <x:c r="A1057" t="str">
        <x:v>Active Sports Nutrition</x:v>
      </x:c>
      <x:c r="B1057" t="str">
        <x:v>EHP Labs</x:v>
      </x:c>
      <x:c r="C1057" t="str">
        <x:v>OxyShred Non-Stim</x:v>
      </x:c>
      <x:c r="D1057" t="str">
        <x:v>Supplements</x:v>
      </x:c>
      <x:c r="E1057" t="str">
        <x:v>Fat Burners</x:v>
      </x:c>
      <x:c r="F1057" t="str">
        <x:v>Non-stimulant OxyShred formula.</x:v>
      </x:c>
      <x:c r="G1057" t="str">
        <x:v>60 servings</x:v>
      </x:c>
      <x:c r="H1057" t="str">
        <x:v>Strawberry Sunrise</x:v>
      </x:c>
      <x:c r="I1057" t="str"/>
      <x:c r="J1057" t="str">
        <x:v>Unit</x:v>
      </x:c>
      <x:c r="K1057" t="str">
        <x:v>In stock</x:v>
      </x:c>
      <x:c r="L1057" t="str">
        <x:v>2026-09-08</x:v>
      </x:c>
      <x:c r="M1057" t="str"/>
      <x:c r="N1057" t="str"/>
      <x:c r="O1057" t="str">
        <x:v>https://www.activesportstrade.co.uk/ehp-labs-trade</x:v>
      </x:c>
      <x:c r="P1057" t="str">
        <x:v>SPECIAL OFFER / BUY 3 GET 1 FREE HYDREAU wording removed.</x:v>
      </x:c>
      <x:c r="Q1057" t="str"/>
      <x:c r="R1057" t="str"/>
      <x:c r="S1057" t="str">
        <x:v>Pending genuine supplier/brand image</x:v>
      </x:c>
      <x:c r="T1057" s="54"/>
      <x:c r="U1057" s="47" t="n">
        <x:v>0.2</x:v>
      </x:c>
      <x:c r="V1057" s="54" t="str">
        <x:f>IF(ISNUMBER(T1057),T1057*(1+U1057),"")</x:f>
      </x:c>
      <x:c r="W1057" s="47" t="n">
        <x:v>0.3</x:v>
      </x:c>
      <x:c r="X1057" s="54" t="str">
        <x:f>IF(ISNUMBER(V1057),V1057/(1-W1057),"")</x:f>
      </x:c>
      <x:c r="Y1057" s="55" t="str">
        <x:f>IF(ISNUMBER(X1057),ROUNDUP(X1057,0),"")</x:f>
      </x:c>
      <x:c r="Z1057" t="str">
        <x:f>IF(ISNUMBER(T1057),"Cost captured","Awaiting trade cost")</x:f>
        <x:v>Awaiting trade cost</x:v>
      </x:c>
      <x:c r="AB1057" s="36" t="str">
        <x:f>IF(ISNUMBER(Y1057),ROUND(Y1057*0.9,2),"")</x:f>
      </x:c>
      <x:c r="AC1057" s="36" t="str">
        <x:f>IF(ISNUMBER(AB1057),ROUND(AB1057-(AB1057*0.015+0.2)-V1057,2),"")</x:f>
      </x:c>
      <x:c r="AD1057" s="36" t="str">
        <x:f>IF(ISNUMBER(Y1057),ROUND(Y1057*0.8,2),"")</x:f>
      </x:c>
      <x:c r="AE1057" s="36" t="str">
        <x:f>IF(ISNUMBER(AD1057),ROUND(AD1057*0.015+0.2,2),"")</x:f>
      </x:c>
      <x:c r="AF1057" s="36" t="str">
        <x:f>IF(ISNUMBER(AD1057),ROUND(AD1057-AE1057-V1057,2),"")</x:f>
      </x:c>
      <x:c r="AG1057" t="str">
        <x:f>IF(NOT(ISNUMBER(T1057)),"PENDING",IF(AF1057&gt;0,"PASS","FAIL"))</x:f>
        <x:v>PENDING</x:v>
      </x:c>
      <x:c r="AH1057" t="str">
        <x:f>IF(NOT(ISNUMBER(T1057)),"Needs supplier cost",IF(K1057&lt;&gt;"In stock","Supplier unavailable",IF(AG1057&lt;&gt;"PASS","BLOCK - GT loss risk","Commercially protected")))</x:f>
        <x:v>Needs supplier cost</x:v>
      </x:c>
      <x:c r="AI1057" t="str">
        <x:v>2026-09-10 Active Sports trade capture</x:v>
      </x:c>
      <x:c r="AJ1057" t="str">
        <x:v>Management-only economics. Stripe stress test uses 1.5% + £0.20 standard UK online-card fee; pallet/mix-and-match pricing ignored.</x:v>
      </x:c>
    </x:row>
    <x:row r="1058">
      <x:c r="A1058" t="str">
        <x:v>Active Sports Nutrition</x:v>
      </x:c>
      <x:c r="B1058" t="str">
        <x:v>EHP Labs</x:v>
      </x:c>
      <x:c r="C1058" t="str">
        <x:v>OxyShred Ultra Energy RTD</x:v>
      </x:c>
      <x:c r="D1058" t="str">
        <x:v>Drinks and Bars</x:v>
      </x:c>
      <x:c r="E1058" t="str">
        <x:v>Ready to Drink Energy</x:v>
      </x:c>
      <x:c r="F1058" t="str">
        <x:v>Ready-to-drink OxyShred energy beverage.</x:v>
      </x:c>
      <x:c r="G1058" t="str">
        <x:v>12 x 355ml cans</x:v>
      </x:c>
      <x:c r="H1058" t="str">
        <x:v>Apple Slushie</x:v>
      </x:c>
      <x:c r="I1058" t="str">
        <x:v>12</x:v>
      </x:c>
      <x:c r="J1058" t="str">
        <x:v>Case</x:v>
      </x:c>
      <x:c r="K1058" t="str">
        <x:v>In stock</x:v>
      </x:c>
      <x:c r="L1058" t="str">
        <x:v>2026-09-08</x:v>
      </x:c>
      <x:c r="M1058" t="str"/>
      <x:c r="N1058" t="str"/>
      <x:c r="O1058" t="str">
        <x:v>https://www.activesportstrade.co.uk/ehp-labs-trade</x:v>
      </x:c>
      <x:c r="P1058" t="str">
        <x:v>SPECIAL OFFER / BUY 3 GET A FREE CREATINE wording removed. Case-only member order.</x:v>
      </x:c>
      <x:c r="Q1058" t="str"/>
      <x:c r="R1058" t="str"/>
      <x:c r="S1058" t="str">
        <x:v>Pending genuine supplier/brand image</x:v>
      </x:c>
      <x:c r="T1058" s="54"/>
      <x:c r="U1058" s="47" t="n">
        <x:v>0.2</x:v>
      </x:c>
      <x:c r="V1058" s="54" t="str">
        <x:f>IF(ISNUMBER(T1058),T1058*(1+U1058),"")</x:f>
      </x:c>
      <x:c r="W1058" s="47" t="n">
        <x:v>0.3</x:v>
      </x:c>
      <x:c r="X1058" s="54" t="str">
        <x:f>IF(ISNUMBER(V1058),V1058/(1-W1058),"")</x:f>
      </x:c>
      <x:c r="Y1058" s="55" t="str">
        <x:f>IF(ISNUMBER(X1058),ROUNDUP(X1058,0),"")</x:f>
      </x:c>
      <x:c r="Z1058" t="str">
        <x:f>IF(ISNUMBER(T1058),"Cost captured","Awaiting trade cost")</x:f>
        <x:v>Awaiting trade cost</x:v>
      </x:c>
      <x:c r="AB1058" s="36" t="str">
        <x:f>IF(ISNUMBER(Y1058),ROUND(Y1058*0.9,2),"")</x:f>
      </x:c>
      <x:c r="AC1058" s="36" t="str">
        <x:f>IF(ISNUMBER(AB1058),ROUND(AB1058-(AB1058*0.015+0.2)-V1058,2),"")</x:f>
      </x:c>
      <x:c r="AD1058" s="36" t="str">
        <x:f>IF(ISNUMBER(Y1058),ROUND(Y1058*0.8,2),"")</x:f>
      </x:c>
      <x:c r="AE1058" s="36" t="str">
        <x:f>IF(ISNUMBER(AD1058),ROUND(AD1058*0.015+0.2,2),"")</x:f>
      </x:c>
      <x:c r="AF1058" s="36" t="str">
        <x:f>IF(ISNUMBER(AD1058),ROUND(AD1058-AE1058-V1058,2),"")</x:f>
      </x:c>
      <x:c r="AG1058" t="str">
        <x:f>IF(NOT(ISNUMBER(T1058)),"PENDING",IF(AF1058&gt;0,"PASS","FAIL"))</x:f>
        <x:v>PENDING</x:v>
      </x:c>
      <x:c r="AH1058" t="str">
        <x:f>IF(NOT(ISNUMBER(T1058)),"Needs supplier cost",IF(K1058&lt;&gt;"In stock","Supplier unavailable",IF(AG1058&lt;&gt;"PASS","BLOCK - GT loss risk","Commercially protected")))</x:f>
        <x:v>Needs supplier cost</x:v>
      </x:c>
      <x:c r="AI1058" t="str">
        <x:v>2026-09-10 Active Sports trade capture</x:v>
      </x:c>
      <x:c r="AJ1058" t="str">
        <x:v>Management-only economics. Stripe stress test uses 1.5% + £0.20 standard UK online-card fee; pallet/mix-and-match pricing ignored.</x:v>
      </x:c>
    </x:row>
    <x:row r="1059">
      <x:c r="A1059" t="str">
        <x:v>Active Sports Nutrition</x:v>
      </x:c>
      <x:c r="B1059" t="str">
        <x:v>EHP Labs</x:v>
      </x:c>
      <x:c r="C1059" t="str">
        <x:v>OxyShred Ultra Energy RTD</x:v>
      </x:c>
      <x:c r="D1059" t="str">
        <x:v>Drinks and Bars</x:v>
      </x:c>
      <x:c r="E1059" t="str">
        <x:v>Ready to Drink Energy</x:v>
      </x:c>
      <x:c r="F1059" t="str">
        <x:v>Ready-to-drink OxyShred energy beverage.</x:v>
      </x:c>
      <x:c r="G1059" t="str">
        <x:v>12 x 355ml cans</x:v>
      </x:c>
      <x:c r="H1059" t="str">
        <x:v>Bahama Breeze</x:v>
      </x:c>
      <x:c r="I1059" t="str">
        <x:v>12</x:v>
      </x:c>
      <x:c r="J1059" t="str">
        <x:v>Case</x:v>
      </x:c>
      <x:c r="K1059" t="str">
        <x:v>In stock</x:v>
      </x:c>
      <x:c r="L1059" t="str">
        <x:v>2026-09-08</x:v>
      </x:c>
      <x:c r="M1059" t="str"/>
      <x:c r="N1059" t="str"/>
      <x:c r="O1059" t="str">
        <x:v>https://www.activesportstrade.co.uk/ehp-labs-trade</x:v>
      </x:c>
      <x:c r="P1059" t="str">
        <x:v>SPECIAL OFFER / BUY 3 GET A FREE CREATINE wording removed. Case-only member order.</x:v>
      </x:c>
      <x:c r="Q1059" t="str"/>
      <x:c r="R1059" t="str"/>
      <x:c r="S1059" t="str">
        <x:v>Pending genuine supplier/brand image</x:v>
      </x:c>
      <x:c r="T1059" s="54"/>
      <x:c r="U1059" s="47" t="n">
        <x:v>0.2</x:v>
      </x:c>
      <x:c r="V1059" s="54" t="str">
        <x:f>IF(ISNUMBER(T1059),T1059*(1+U1059),"")</x:f>
      </x:c>
      <x:c r="W1059" s="47" t="n">
        <x:v>0.3</x:v>
      </x:c>
      <x:c r="X1059" s="54" t="str">
        <x:f>IF(ISNUMBER(V1059),V1059/(1-W1059),"")</x:f>
      </x:c>
      <x:c r="Y1059" s="55" t="str">
        <x:f>IF(ISNUMBER(X1059),ROUNDUP(X1059,0),"")</x:f>
      </x:c>
      <x:c r="Z1059" t="str">
        <x:f>IF(ISNUMBER(T1059),"Cost captured","Awaiting trade cost")</x:f>
        <x:v>Awaiting trade cost</x:v>
      </x:c>
      <x:c r="AB1059" s="36" t="str">
        <x:f>IF(ISNUMBER(Y1059),ROUND(Y1059*0.9,2),"")</x:f>
      </x:c>
      <x:c r="AC1059" s="36" t="str">
        <x:f>IF(ISNUMBER(AB1059),ROUND(AB1059-(AB1059*0.015+0.2)-V1059,2),"")</x:f>
      </x:c>
      <x:c r="AD1059" s="36" t="str">
        <x:f>IF(ISNUMBER(Y1059),ROUND(Y1059*0.8,2),"")</x:f>
      </x:c>
      <x:c r="AE1059" s="36" t="str">
        <x:f>IF(ISNUMBER(AD1059),ROUND(AD1059*0.015+0.2,2),"")</x:f>
      </x:c>
      <x:c r="AF1059" s="36" t="str">
        <x:f>IF(ISNUMBER(AD1059),ROUND(AD1059-AE1059-V1059,2),"")</x:f>
      </x:c>
      <x:c r="AG1059" t="str">
        <x:f>IF(NOT(ISNUMBER(T1059)),"PENDING",IF(AF1059&gt;0,"PASS","FAIL"))</x:f>
        <x:v>PENDING</x:v>
      </x:c>
      <x:c r="AH1059" t="str">
        <x:f>IF(NOT(ISNUMBER(T1059)),"Needs supplier cost",IF(K1059&lt;&gt;"In stock","Supplier unavailable",IF(AG1059&lt;&gt;"PASS","BLOCK - GT loss risk","Commercially protected")))</x:f>
        <x:v>Needs supplier cost</x:v>
      </x:c>
      <x:c r="AI1059" t="str">
        <x:v>2026-09-10 Active Sports trade capture</x:v>
      </x:c>
      <x:c r="AJ1059" t="str">
        <x:v>Management-only economics. Stripe stress test uses 1.5% + £0.20 standard UK online-card fee; pallet/mix-and-match pricing ignored.</x:v>
      </x:c>
    </x:row>
    <x:row r="1060">
      <x:c r="A1060" t="str">
        <x:v>Active Sports Nutrition</x:v>
      </x:c>
      <x:c r="B1060" t="str">
        <x:v>EHP Labs</x:v>
      </x:c>
      <x:c r="C1060" t="str">
        <x:v>OxyShred Ultra Energy RTD</x:v>
      </x:c>
      <x:c r="D1060" t="str">
        <x:v>Drinks and Bars</x:v>
      </x:c>
      <x:c r="E1060" t="str">
        <x:v>Ready to Drink Energy</x:v>
      </x:c>
      <x:c r="F1060" t="str">
        <x:v>Ready-to-drink OxyShred energy beverage.</x:v>
      </x:c>
      <x:c r="G1060" t="str">
        <x:v>12 x 355ml cans</x:v>
      </x:c>
      <x:c r="H1060" t="str">
        <x:v>Juicy Watermelon</x:v>
      </x:c>
      <x:c r="I1060" t="str">
        <x:v>12</x:v>
      </x:c>
      <x:c r="J1060" t="str">
        <x:v>Case</x:v>
      </x:c>
      <x:c r="K1060" t="str">
        <x:v>In stock</x:v>
      </x:c>
      <x:c r="L1060" t="str">
        <x:v>2026-09-08</x:v>
      </x:c>
      <x:c r="M1060" t="str"/>
      <x:c r="N1060" t="str"/>
      <x:c r="O1060" t="str">
        <x:v>https://www.activesportstrade.co.uk/ehp-labs-trade</x:v>
      </x:c>
      <x:c r="P1060" t="str">
        <x:v>SPECIAL OFFER / BUY 3 GET A FREE CREATINE wording removed. Case-only member order.</x:v>
      </x:c>
      <x:c r="Q1060" t="str"/>
      <x:c r="R1060" t="str"/>
      <x:c r="S1060" t="str">
        <x:v>Pending genuine supplier/brand image</x:v>
      </x:c>
      <x:c r="T1060" s="54"/>
      <x:c r="U1060" s="47" t="n">
        <x:v>0.2</x:v>
      </x:c>
      <x:c r="V1060" s="54" t="str">
        <x:f>IF(ISNUMBER(T1060),T1060*(1+U1060),"")</x:f>
      </x:c>
      <x:c r="W1060" s="47" t="n">
        <x:v>0.3</x:v>
      </x:c>
      <x:c r="X1060" s="54" t="str">
        <x:f>IF(ISNUMBER(V1060),V1060/(1-W1060),"")</x:f>
      </x:c>
      <x:c r="Y1060" s="55" t="str">
        <x:f>IF(ISNUMBER(X1060),ROUNDUP(X1060,0),"")</x:f>
      </x:c>
      <x:c r="Z1060" t="str">
        <x:f>IF(ISNUMBER(T1060),"Cost captured","Awaiting trade cost")</x:f>
        <x:v>Awaiting trade cost</x:v>
      </x:c>
      <x:c r="AB1060" s="36" t="str">
        <x:f>IF(ISNUMBER(Y1060),ROUND(Y1060*0.9,2),"")</x:f>
      </x:c>
      <x:c r="AC1060" s="36" t="str">
        <x:f>IF(ISNUMBER(AB1060),ROUND(AB1060-(AB1060*0.015+0.2)-V1060,2),"")</x:f>
      </x:c>
      <x:c r="AD1060" s="36" t="str">
        <x:f>IF(ISNUMBER(Y1060),ROUND(Y1060*0.8,2),"")</x:f>
      </x:c>
      <x:c r="AE1060" s="36" t="str">
        <x:f>IF(ISNUMBER(AD1060),ROUND(AD1060*0.015+0.2,2),"")</x:f>
      </x:c>
      <x:c r="AF1060" s="36" t="str">
        <x:f>IF(ISNUMBER(AD1060),ROUND(AD1060-AE1060-V1060,2),"")</x:f>
      </x:c>
      <x:c r="AG1060" t="str">
        <x:f>IF(NOT(ISNUMBER(T1060)),"PENDING",IF(AF1060&gt;0,"PASS","FAIL"))</x:f>
        <x:v>PENDING</x:v>
      </x:c>
      <x:c r="AH1060" t="str">
        <x:f>IF(NOT(ISNUMBER(T1060)),"Needs supplier cost",IF(K1060&lt;&gt;"In stock","Supplier unavailable",IF(AG1060&lt;&gt;"PASS","BLOCK - GT loss risk","Commercially protected")))</x:f>
        <x:v>Needs supplier cost</x:v>
      </x:c>
      <x:c r="AI1060" t="str">
        <x:v>2026-09-10 Active Sports trade capture</x:v>
      </x:c>
      <x:c r="AJ1060" t="str">
        <x:v>Management-only economics. Stripe stress test uses 1.5% + £0.20 standard UK online-card fee; pallet/mix-and-match pricing ignored.</x:v>
      </x:c>
    </x:row>
    <x:row r="1061">
      <x:c r="A1061" t="str">
        <x:v>Active Sports Nutrition</x:v>
      </x:c>
      <x:c r="B1061" t="str">
        <x:v>EHP Labs</x:v>
      </x:c>
      <x:c r="C1061" t="str">
        <x:v>OxyShred Ultra Energy RTD</x:v>
      </x:c>
      <x:c r="D1061" t="str">
        <x:v>Drinks and Bars</x:v>
      </x:c>
      <x:c r="E1061" t="str">
        <x:v>Ready to Drink Energy</x:v>
      </x:c>
      <x:c r="F1061" t="str">
        <x:v>Ready-to-drink OxyShred energy beverage.</x:v>
      </x:c>
      <x:c r="G1061" t="str">
        <x:v>12 x 355ml cans</x:v>
      </x:c>
      <x:c r="H1061" t="str">
        <x:v>Kiwi Strawberry</x:v>
      </x:c>
      <x:c r="I1061" t="str">
        <x:v>12</x:v>
      </x:c>
      <x:c r="J1061" t="str">
        <x:v>Case</x:v>
      </x:c>
      <x:c r="K1061" t="str">
        <x:v>Out of stock</x:v>
      </x:c>
      <x:c r="L1061" t="str">
        <x:v>2026-09-08</x:v>
      </x:c>
      <x:c r="M1061" t="str"/>
      <x:c r="N1061" t="str"/>
      <x:c r="O1061" t="str">
        <x:v>https://www.activesportstrade.co.uk/ehp-labs-trade</x:v>
      </x:c>
      <x:c r="P1061" t="str">
        <x:v>SPECIAL OFFER / BUY 3 GET A FREE CREATINE wording removed. Case-only member order.</x:v>
      </x:c>
      <x:c r="Q1061" t="str"/>
      <x:c r="R1061" t="str"/>
      <x:c r="S1061" t="str">
        <x:v>Pending genuine supplier/brand image</x:v>
      </x:c>
      <x:c r="T1061" s="54"/>
      <x:c r="U1061" s="47" t="n">
        <x:v>0.2</x:v>
      </x:c>
      <x:c r="V1061" s="54" t="str">
        <x:f>IF(ISNUMBER(T1061),T1061*(1+U1061),"")</x:f>
      </x:c>
      <x:c r="W1061" s="47" t="n">
        <x:v>0.3</x:v>
      </x:c>
      <x:c r="X1061" s="54" t="str">
        <x:f>IF(ISNUMBER(V1061),V1061/(1-W1061),"")</x:f>
      </x:c>
      <x:c r="Y1061" s="55" t="str">
        <x:f>IF(ISNUMBER(X1061),ROUNDUP(X1061,0),"")</x:f>
      </x:c>
      <x:c r="Z1061" t="str">
        <x:f>IF(ISNUMBER(T1061),"Cost captured","Awaiting trade cost")</x:f>
        <x:v>Awaiting trade cost</x:v>
      </x:c>
      <x:c r="AB1061" s="36" t="str">
        <x:f>IF(ISNUMBER(Y1061),ROUND(Y1061*0.9,2),"")</x:f>
      </x:c>
      <x:c r="AC1061" s="36" t="str">
        <x:f>IF(ISNUMBER(AB1061),ROUND(AB1061-(AB1061*0.015+0.2)-V1061,2),"")</x:f>
      </x:c>
      <x:c r="AD1061" s="36" t="str">
        <x:f>IF(ISNUMBER(Y1061),ROUND(Y1061*0.8,2),"")</x:f>
      </x:c>
      <x:c r="AE1061" s="36" t="str">
        <x:f>IF(ISNUMBER(AD1061),ROUND(AD1061*0.015+0.2,2),"")</x:f>
      </x:c>
      <x:c r="AF1061" s="36" t="str">
        <x:f>IF(ISNUMBER(AD1061),ROUND(AD1061-AE1061-V1061,2),"")</x:f>
      </x:c>
      <x:c r="AG1061" t="str">
        <x:f>IF(NOT(ISNUMBER(T1061)),"PENDING",IF(AF1061&gt;0,"PASS","FAIL"))</x:f>
        <x:v>PENDING</x:v>
      </x:c>
      <x:c r="AH1061" t="str">
        <x:f>IF(NOT(ISNUMBER(T1061)),"Needs supplier cost",IF(K1061&lt;&gt;"In stock","Supplier unavailable",IF(AG1061&lt;&gt;"PASS","BLOCK - GT loss risk","Commercially protected")))</x:f>
        <x:v>Needs supplier cost</x:v>
      </x:c>
      <x:c r="AI1061" t="str">
        <x:v>2026-09-10 Active Sports trade capture</x:v>
      </x:c>
      <x:c r="AJ1061" t="str">
        <x:v>Management-only economics. Stripe stress test uses 1.5% + £0.20 standard UK online-card fee; pallet/mix-and-match pricing ignored.</x:v>
      </x:c>
    </x:row>
    <x:row r="1062">
      <x:c r="A1062" t="str">
        <x:v>Active Sports Nutrition</x:v>
      </x:c>
      <x:c r="B1062" t="str">
        <x:v>EHP Labs</x:v>
      </x:c>
      <x:c r="C1062" t="str">
        <x:v>OxyShred Ultra Energy RTD</x:v>
      </x:c>
      <x:c r="D1062" t="str">
        <x:v>Drinks and Bars</x:v>
      </x:c>
      <x:c r="E1062" t="str">
        <x:v>Ready to Drink Energy</x:v>
      </x:c>
      <x:c r="F1062" t="str">
        <x:v>Ready-to-drink OxyShred energy beverage.</x:v>
      </x:c>
      <x:c r="G1062" t="str">
        <x:v>12 x 355ml cans</x:v>
      </x:c>
      <x:c r="H1062" t="str">
        <x:v>Passionfruit</x:v>
      </x:c>
      <x:c r="I1062" t="str">
        <x:v>12</x:v>
      </x:c>
      <x:c r="J1062" t="str">
        <x:v>Case</x:v>
      </x:c>
      <x:c r="K1062" t="str">
        <x:v>Out of stock</x:v>
      </x:c>
      <x:c r="L1062" t="str">
        <x:v>2026-09-08</x:v>
      </x:c>
      <x:c r="M1062" t="str"/>
      <x:c r="N1062" t="str"/>
      <x:c r="O1062" t="str">
        <x:v>https://www.activesportstrade.co.uk/ehp-labs-trade</x:v>
      </x:c>
      <x:c r="P1062" t="str">
        <x:v>SPECIAL OFFER / BUY 3 GET A FREE CREATINE wording removed. Case-only member order.</x:v>
      </x:c>
      <x:c r="Q1062" t="str"/>
      <x:c r="R1062" t="str"/>
      <x:c r="S1062" t="str">
        <x:v>Pending genuine supplier/brand image</x:v>
      </x:c>
      <x:c r="T1062" s="54"/>
      <x:c r="U1062" s="47" t="n">
        <x:v>0.2</x:v>
      </x:c>
      <x:c r="V1062" s="54" t="str">
        <x:f>IF(ISNUMBER(T1062),T1062*(1+U1062),"")</x:f>
      </x:c>
      <x:c r="W1062" s="47" t="n">
        <x:v>0.3</x:v>
      </x:c>
      <x:c r="X1062" s="54" t="str">
        <x:f>IF(ISNUMBER(V1062),V1062/(1-W1062),"")</x:f>
      </x:c>
      <x:c r="Y1062" s="55" t="str">
        <x:f>IF(ISNUMBER(X1062),ROUNDUP(X1062,0),"")</x:f>
      </x:c>
      <x:c r="Z1062" t="str">
        <x:f>IF(ISNUMBER(T1062),"Cost captured","Awaiting trade cost")</x:f>
        <x:v>Awaiting trade cost</x:v>
      </x:c>
      <x:c r="AB1062" s="36" t="str">
        <x:f>IF(ISNUMBER(Y1062),ROUND(Y1062*0.9,2),"")</x:f>
      </x:c>
      <x:c r="AC1062" s="36" t="str">
        <x:f>IF(ISNUMBER(AB1062),ROUND(AB1062-(AB1062*0.015+0.2)-V1062,2),"")</x:f>
      </x:c>
      <x:c r="AD1062" s="36" t="str">
        <x:f>IF(ISNUMBER(Y1062),ROUND(Y1062*0.8,2),"")</x:f>
      </x:c>
      <x:c r="AE1062" s="36" t="str">
        <x:f>IF(ISNUMBER(AD1062),ROUND(AD1062*0.015+0.2,2),"")</x:f>
      </x:c>
      <x:c r="AF1062" s="36" t="str">
        <x:f>IF(ISNUMBER(AD1062),ROUND(AD1062-AE1062-V1062,2),"")</x:f>
      </x:c>
      <x:c r="AG1062" t="str">
        <x:f>IF(NOT(ISNUMBER(T1062)),"PENDING",IF(AF1062&gt;0,"PASS","FAIL"))</x:f>
        <x:v>PENDING</x:v>
      </x:c>
      <x:c r="AH1062" t="str">
        <x:f>IF(NOT(ISNUMBER(T1062)),"Needs supplier cost",IF(K1062&lt;&gt;"In stock","Supplier unavailable",IF(AG1062&lt;&gt;"PASS","BLOCK - GT loss risk","Commercially protected")))</x:f>
        <x:v>Needs supplier cost</x:v>
      </x:c>
      <x:c r="AI1062" t="str">
        <x:v>2026-09-10 Active Sports trade capture</x:v>
      </x:c>
      <x:c r="AJ1062" t="str">
        <x:v>Management-only economics. Stripe stress test uses 1.5% + £0.20 standard UK online-card fee; pallet/mix-and-match pricing ignored.</x:v>
      </x:c>
    </x:row>
    <x:row r="1063">
      <x:c r="A1063" t="str">
        <x:v>Active Sports Nutrition</x:v>
      </x:c>
      <x:c r="B1063" t="str">
        <x:v>EHP Labs</x:v>
      </x:c>
      <x:c r="C1063" t="str">
        <x:v>OxyShred Ultra Energy RTD</x:v>
      </x:c>
      <x:c r="D1063" t="str">
        <x:v>Drinks and Bars</x:v>
      </x:c>
      <x:c r="E1063" t="str">
        <x:v>Ready to Drink Energy</x:v>
      </x:c>
      <x:c r="F1063" t="str">
        <x:v>Ready-to-drink OxyShred energy beverage.</x:v>
      </x:c>
      <x:c r="G1063" t="str">
        <x:v>12 x 355ml cans</x:v>
      </x:c>
      <x:c r="H1063" t="str">
        <x:v>Peach Candy Rings</x:v>
      </x:c>
      <x:c r="I1063" t="str">
        <x:v>12</x:v>
      </x:c>
      <x:c r="J1063" t="str">
        <x:v>Case</x:v>
      </x:c>
      <x:c r="K1063" t="str">
        <x:v>In stock</x:v>
      </x:c>
      <x:c r="L1063" t="str">
        <x:v>2026-09-08</x:v>
      </x:c>
      <x:c r="M1063" t="str"/>
      <x:c r="N1063" t="str"/>
      <x:c r="O1063" t="str">
        <x:v>https://www.activesportstrade.co.uk/ehp-labs-trade</x:v>
      </x:c>
      <x:c r="P1063" t="str">
        <x:v>SPECIAL OFFER / BUY 3 GET A FREE CREATINE wording removed. Case-only member order.</x:v>
      </x:c>
      <x:c r="Q1063" t="str"/>
      <x:c r="R1063" t="str"/>
      <x:c r="S1063" t="str">
        <x:v>Pending genuine supplier/brand image</x:v>
      </x:c>
      <x:c r="T1063" s="54"/>
      <x:c r="U1063" s="47" t="n">
        <x:v>0.2</x:v>
      </x:c>
      <x:c r="V1063" s="54" t="str">
        <x:f>IF(ISNUMBER(T1063),T1063*(1+U1063),"")</x:f>
      </x:c>
      <x:c r="W1063" s="47" t="n">
        <x:v>0.3</x:v>
      </x:c>
      <x:c r="X1063" s="54" t="str">
        <x:f>IF(ISNUMBER(V1063),V1063/(1-W1063),"")</x:f>
      </x:c>
      <x:c r="Y1063" s="55" t="str">
        <x:f>IF(ISNUMBER(X1063),ROUNDUP(X1063,0),"")</x:f>
      </x:c>
      <x:c r="Z1063" t="str">
        <x:f>IF(ISNUMBER(T1063),"Cost captured","Awaiting trade cost")</x:f>
        <x:v>Awaiting trade cost</x:v>
      </x:c>
      <x:c r="AB1063" s="36" t="str">
        <x:f>IF(ISNUMBER(Y1063),ROUND(Y1063*0.9,2),"")</x:f>
      </x:c>
      <x:c r="AC1063" s="36" t="str">
        <x:f>IF(ISNUMBER(AB1063),ROUND(AB1063-(AB1063*0.015+0.2)-V1063,2),"")</x:f>
      </x:c>
      <x:c r="AD1063" s="36" t="str">
        <x:f>IF(ISNUMBER(Y1063),ROUND(Y1063*0.8,2),"")</x:f>
      </x:c>
      <x:c r="AE1063" s="36" t="str">
        <x:f>IF(ISNUMBER(AD1063),ROUND(AD1063*0.015+0.2,2),"")</x:f>
      </x:c>
      <x:c r="AF1063" s="36" t="str">
        <x:f>IF(ISNUMBER(AD1063),ROUND(AD1063-AE1063-V1063,2),"")</x:f>
      </x:c>
      <x:c r="AG1063" t="str">
        <x:f>IF(NOT(ISNUMBER(T1063)),"PENDING",IF(AF1063&gt;0,"PASS","FAIL"))</x:f>
        <x:v>PENDING</x:v>
      </x:c>
      <x:c r="AH1063" t="str">
        <x:f>IF(NOT(ISNUMBER(T1063)),"Needs supplier cost",IF(K1063&lt;&gt;"In stock","Supplier unavailable",IF(AG1063&lt;&gt;"PASS","BLOCK - GT loss risk","Commercially protected")))</x:f>
        <x:v>Needs supplier cost</x:v>
      </x:c>
      <x:c r="AI1063" t="str">
        <x:v>2026-09-10 Active Sports trade capture</x:v>
      </x:c>
      <x:c r="AJ1063" t="str">
        <x:v>Management-only economics. Stripe stress test uses 1.5% + £0.20 standard UK online-card fee; pallet/mix-and-match pricing ignored.</x:v>
      </x:c>
    </x:row>
    <x:row r="1064">
      <x:c r="A1064" t="str">
        <x:v>Active Sports Nutrition</x:v>
      </x:c>
      <x:c r="B1064" t="str">
        <x:v>EHP Labs</x:v>
      </x:c>
      <x:c r="C1064" t="str">
        <x:v>OxyShred Ultra Energy RTD</x:v>
      </x:c>
      <x:c r="D1064" t="str">
        <x:v>Drinks and Bars</x:v>
      </x:c>
      <x:c r="E1064" t="str">
        <x:v>Ready to Drink Energy</x:v>
      </x:c>
      <x:c r="F1064" t="str">
        <x:v>Ready-to-drink OxyShred energy beverage.</x:v>
      </x:c>
      <x:c r="G1064" t="str">
        <x:v>12 x 355ml cans</x:v>
      </x:c>
      <x:c r="H1064" t="str">
        <x:v>Pina Colada</x:v>
      </x:c>
      <x:c r="I1064" t="str">
        <x:v>12</x:v>
      </x:c>
      <x:c r="J1064" t="str">
        <x:v>Case</x:v>
      </x:c>
      <x:c r="K1064" t="str">
        <x:v>In stock</x:v>
      </x:c>
      <x:c r="L1064" t="str">
        <x:v>2026-09-08</x:v>
      </x:c>
      <x:c r="M1064" t="str"/>
      <x:c r="N1064" t="str"/>
      <x:c r="O1064" t="str">
        <x:v>https://www.activesportstrade.co.uk/ehp-labs-trade</x:v>
      </x:c>
      <x:c r="P1064" t="str">
        <x:v>SPECIAL OFFER / BUY 3 GET A FREE CREATINE wording removed. Case-only member order.</x:v>
      </x:c>
      <x:c r="Q1064" t="str"/>
      <x:c r="R1064" t="str"/>
      <x:c r="S1064" t="str">
        <x:v>Pending genuine supplier/brand image</x:v>
      </x:c>
      <x:c r="T1064" s="54"/>
      <x:c r="U1064" s="47" t="n">
        <x:v>0.2</x:v>
      </x:c>
      <x:c r="V1064" s="54" t="str">
        <x:f>IF(ISNUMBER(T1064),T1064*(1+U1064),"")</x:f>
      </x:c>
      <x:c r="W1064" s="47" t="n">
        <x:v>0.3</x:v>
      </x:c>
      <x:c r="X1064" s="54" t="str">
        <x:f>IF(ISNUMBER(V1064),V1064/(1-W1064),"")</x:f>
      </x:c>
      <x:c r="Y1064" s="55" t="str">
        <x:f>IF(ISNUMBER(X1064),ROUNDUP(X1064,0),"")</x:f>
      </x:c>
      <x:c r="Z1064" t="str">
        <x:f>IF(ISNUMBER(T1064),"Cost captured","Awaiting trade cost")</x:f>
        <x:v>Awaiting trade cost</x:v>
      </x:c>
      <x:c r="AB1064" s="36" t="str">
        <x:f>IF(ISNUMBER(Y1064),ROUND(Y1064*0.9,2),"")</x:f>
      </x:c>
      <x:c r="AC1064" s="36" t="str">
        <x:f>IF(ISNUMBER(AB1064),ROUND(AB1064-(AB1064*0.015+0.2)-V1064,2),"")</x:f>
      </x:c>
      <x:c r="AD1064" s="36" t="str">
        <x:f>IF(ISNUMBER(Y1064),ROUND(Y1064*0.8,2),"")</x:f>
      </x:c>
      <x:c r="AE1064" s="36" t="str">
        <x:f>IF(ISNUMBER(AD1064),ROUND(AD1064*0.015+0.2,2),"")</x:f>
      </x:c>
      <x:c r="AF1064" s="36" t="str">
        <x:f>IF(ISNUMBER(AD1064),ROUND(AD1064-AE1064-V1064,2),"")</x:f>
      </x:c>
      <x:c r="AG1064" t="str">
        <x:f>IF(NOT(ISNUMBER(T1064)),"PENDING",IF(AF1064&gt;0,"PASS","FAIL"))</x:f>
        <x:v>PENDING</x:v>
      </x:c>
      <x:c r="AH1064" t="str">
        <x:f>IF(NOT(ISNUMBER(T1064)),"Needs supplier cost",IF(K1064&lt;&gt;"In stock","Supplier unavailable",IF(AG1064&lt;&gt;"PASS","BLOCK - GT loss risk","Commercially protected")))</x:f>
        <x:v>Needs supplier cost</x:v>
      </x:c>
      <x:c r="AI1064" t="str">
        <x:v>2026-09-10 Active Sports trade capture</x:v>
      </x:c>
      <x:c r="AJ1064" t="str">
        <x:v>Management-only economics. Stripe stress test uses 1.5% + £0.20 standard UK online-card fee; pallet/mix-and-match pricing ignored.</x:v>
      </x:c>
    </x:row>
    <x:row r="1065">
      <x:c r="A1065" t="str">
        <x:v>Active Sports Nutrition</x:v>
      </x:c>
      <x:c r="B1065" t="str">
        <x:v>EHP Labs</x:v>
      </x:c>
      <x:c r="C1065" t="str">
        <x:v>OxyShred Ultra</x:v>
      </x:c>
      <x:c r="D1065" t="str">
        <x:v>Supplements</x:v>
      </x:c>
      <x:c r="E1065" t="str">
        <x:v>Fat Burners</x:v>
      </x:c>
      <x:c r="F1065" t="str">
        <x:v>Thermogenic powder.</x:v>
      </x:c>
      <x:c r="G1065" t="str">
        <x:v>20 servings</x:v>
      </x:c>
      <x:c r="H1065" t="str">
        <x:v>Gummy Snake</x:v>
      </x:c>
      <x:c r="I1065" t="str"/>
      <x:c r="J1065" t="str">
        <x:v>Unit</x:v>
      </x:c>
      <x:c r="K1065" t="str">
        <x:v>In stock</x:v>
      </x:c>
      <x:c r="L1065" t="str">
        <x:v>2026-09-08</x:v>
      </x:c>
      <x:c r="M1065" t="str"/>
      <x:c r="N1065" t="str"/>
      <x:c r="O1065" t="str">
        <x:v>https://www.activesportstrade.co.uk/ehp-labs-trade</x:v>
      </x:c>
      <x:c r="P1065" t="str"/>
      <x:c r="Q1065" t="str"/>
      <x:c r="R1065" t="str"/>
      <x:c r="S1065" t="str">
        <x:v>Pending genuine supplier/brand image</x:v>
      </x:c>
      <x:c r="T1065" s="54"/>
      <x:c r="U1065" s="47" t="n">
        <x:v>0.2</x:v>
      </x:c>
      <x:c r="V1065" s="54" t="str">
        <x:f>IF(ISNUMBER(T1065),T1065*(1+U1065),"")</x:f>
      </x:c>
      <x:c r="W1065" s="47" t="n">
        <x:v>0.3</x:v>
      </x:c>
      <x:c r="X1065" s="54" t="str">
        <x:f>IF(ISNUMBER(V1065),V1065/(1-W1065),"")</x:f>
      </x:c>
      <x:c r="Y1065" s="55" t="str">
        <x:f>IF(ISNUMBER(X1065),ROUNDUP(X1065,0),"")</x:f>
      </x:c>
      <x:c r="Z1065" t="str">
        <x:f>IF(ISNUMBER(T1065),"Cost captured","Awaiting trade cost")</x:f>
        <x:v>Awaiting trade cost</x:v>
      </x:c>
      <x:c r="AB1065" s="36" t="str">
        <x:f>IF(ISNUMBER(Y1065),ROUND(Y1065*0.9,2),"")</x:f>
      </x:c>
      <x:c r="AC1065" s="36" t="str">
        <x:f>IF(ISNUMBER(AB1065),ROUND(AB1065-(AB1065*0.015+0.2)-V1065,2),"")</x:f>
      </x:c>
      <x:c r="AD1065" s="36" t="str">
        <x:f>IF(ISNUMBER(Y1065),ROUND(Y1065*0.8,2),"")</x:f>
      </x:c>
      <x:c r="AE1065" s="36" t="str">
        <x:f>IF(ISNUMBER(AD1065),ROUND(AD1065*0.015+0.2,2),"")</x:f>
      </x:c>
      <x:c r="AF1065" s="36" t="str">
        <x:f>IF(ISNUMBER(AD1065),ROUND(AD1065-AE1065-V1065,2),"")</x:f>
      </x:c>
      <x:c r="AG1065" t="str">
        <x:f>IF(NOT(ISNUMBER(T1065)),"PENDING",IF(AF1065&gt;0,"PASS","FAIL"))</x:f>
        <x:v>PENDING</x:v>
      </x:c>
      <x:c r="AH1065" t="str">
        <x:f>IF(NOT(ISNUMBER(T1065)),"Needs supplier cost",IF(K1065&lt;&gt;"In stock","Supplier unavailable",IF(AG1065&lt;&gt;"PASS","BLOCK - GT loss risk","Commercially protected")))</x:f>
        <x:v>Needs supplier cost</x:v>
      </x:c>
      <x:c r="AI1065" t="str">
        <x:v>2026-09-10 Active Sports trade capture</x:v>
      </x:c>
      <x:c r="AJ1065" t="str">
        <x:v>Management-only economics. Stripe stress test uses 1.5% + £0.20 standard UK online-card fee; pallet/mix-and-match pricing ignored.</x:v>
      </x:c>
    </x:row>
    <x:row r="1066">
      <x:c r="A1066" t="str">
        <x:v>Active Sports Nutrition</x:v>
      </x:c>
      <x:c r="B1066" t="str">
        <x:v>EHP Labs</x:v>
      </x:c>
      <x:c r="C1066" t="str">
        <x:v>OxyShred Ultra</x:v>
      </x:c>
      <x:c r="D1066" t="str">
        <x:v>Supplements</x:v>
      </x:c>
      <x:c r="E1066" t="str">
        <x:v>Fat Burners</x:v>
      </x:c>
      <x:c r="F1066" t="str">
        <x:v>Thermogenic powder.</x:v>
      </x:c>
      <x:c r="G1066" t="str">
        <x:v>33 servings</x:v>
      </x:c>
      <x:c r="H1066" t="str">
        <x:v>Cosmic Blast</x:v>
      </x:c>
      <x:c r="I1066" t="str"/>
      <x:c r="J1066" t="str">
        <x:v>Unit</x:v>
      </x:c>
      <x:c r="K1066" t="str">
        <x:v>In stock</x:v>
      </x:c>
      <x:c r="L1066" t="str">
        <x:v>2026-09-08</x:v>
      </x:c>
      <x:c r="M1066" t="str"/>
      <x:c r="N1066" t="str"/>
      <x:c r="O1066" t="str">
        <x:v>https://www.activesportstrade.co.uk/ehp-labs-trade</x:v>
      </x:c>
      <x:c r="P1066" t="str"/>
      <x:c r="Q1066" t="str"/>
      <x:c r="R1066" t="str"/>
      <x:c r="S1066" t="str">
        <x:v>Pending genuine supplier/brand image</x:v>
      </x:c>
      <x:c r="T1066" s="54"/>
      <x:c r="U1066" s="47" t="n">
        <x:v>0.2</x:v>
      </x:c>
      <x:c r="V1066" s="54" t="str">
        <x:f>IF(ISNUMBER(T1066),T1066*(1+U1066),"")</x:f>
      </x:c>
      <x:c r="W1066" s="47" t="n">
        <x:v>0.3</x:v>
      </x:c>
      <x:c r="X1066" s="54" t="str">
        <x:f>IF(ISNUMBER(V1066),V1066/(1-W1066),"")</x:f>
      </x:c>
      <x:c r="Y1066" s="55" t="str">
        <x:f>IF(ISNUMBER(X1066),ROUNDUP(X1066,0),"")</x:f>
      </x:c>
      <x:c r="Z1066" t="str">
        <x:f>IF(ISNUMBER(T1066),"Cost captured","Awaiting trade cost")</x:f>
        <x:v>Awaiting trade cost</x:v>
      </x:c>
      <x:c r="AB1066" s="36" t="str">
        <x:f>IF(ISNUMBER(Y1066),ROUND(Y1066*0.9,2),"")</x:f>
      </x:c>
      <x:c r="AC1066" s="36" t="str">
        <x:f>IF(ISNUMBER(AB1066),ROUND(AB1066-(AB1066*0.015+0.2)-V1066,2),"")</x:f>
      </x:c>
      <x:c r="AD1066" s="36" t="str">
        <x:f>IF(ISNUMBER(Y1066),ROUND(Y1066*0.8,2),"")</x:f>
      </x:c>
      <x:c r="AE1066" s="36" t="str">
        <x:f>IF(ISNUMBER(AD1066),ROUND(AD1066*0.015+0.2,2),"")</x:f>
      </x:c>
      <x:c r="AF1066" s="36" t="str">
        <x:f>IF(ISNUMBER(AD1066),ROUND(AD1066-AE1066-V1066,2),"")</x:f>
      </x:c>
      <x:c r="AG1066" t="str">
        <x:f>IF(NOT(ISNUMBER(T1066)),"PENDING",IF(AF1066&gt;0,"PASS","FAIL"))</x:f>
        <x:v>PENDING</x:v>
      </x:c>
      <x:c r="AH1066" t="str">
        <x:f>IF(NOT(ISNUMBER(T1066)),"Needs supplier cost",IF(K1066&lt;&gt;"In stock","Supplier unavailable",IF(AG1066&lt;&gt;"PASS","BLOCK - GT loss risk","Commercially protected")))</x:f>
        <x:v>Needs supplier cost</x:v>
      </x:c>
      <x:c r="AI1066" t="str">
        <x:v>2026-09-10 Active Sports trade capture</x:v>
      </x:c>
      <x:c r="AJ1066" t="str">
        <x:v>Management-only economics. Stripe stress test uses 1.5% + £0.20 standard UK online-card fee; pallet/mix-and-match pricing ignored.</x:v>
      </x:c>
    </x:row>
    <x:row r="1067">
      <x:c r="A1067" t="str">
        <x:v>Active Sports Nutrition</x:v>
      </x:c>
      <x:c r="B1067" t="str">
        <x:v>EHP Labs</x:v>
      </x:c>
      <x:c r="C1067" t="str">
        <x:v>OxyShred Ultra</x:v>
      </x:c>
      <x:c r="D1067" t="str">
        <x:v>Supplements</x:v>
      </x:c>
      <x:c r="E1067" t="str">
        <x:v>Fat Burners</x:v>
      </x:c>
      <x:c r="F1067" t="str">
        <x:v>Thermogenic powder.</x:v>
      </x:c>
      <x:c r="G1067" t="str">
        <x:v>33 servings</x:v>
      </x:c>
      <x:c r="H1067" t="str">
        <x:v>Kiwi Strawberry</x:v>
      </x:c>
      <x:c r="I1067" t="str"/>
      <x:c r="J1067" t="str">
        <x:v>Unit</x:v>
      </x:c>
      <x:c r="K1067" t="str">
        <x:v>Out of stock</x:v>
      </x:c>
      <x:c r="L1067" t="str">
        <x:v>2026-09-08</x:v>
      </x:c>
      <x:c r="M1067" t="str"/>
      <x:c r="N1067" t="str"/>
      <x:c r="O1067" t="str">
        <x:v>https://www.activesportstrade.co.uk/ehp-labs-trade</x:v>
      </x:c>
      <x:c r="P1067" t="str"/>
      <x:c r="Q1067" t="str"/>
      <x:c r="R1067" t="str"/>
      <x:c r="S1067" t="str">
        <x:v>Pending genuine supplier/brand image</x:v>
      </x:c>
      <x:c r="T1067" s="54"/>
      <x:c r="U1067" s="47" t="n">
        <x:v>0.2</x:v>
      </x:c>
      <x:c r="V1067" s="54" t="str">
        <x:f>IF(ISNUMBER(T1067),T1067*(1+U1067),"")</x:f>
      </x:c>
      <x:c r="W1067" s="47" t="n">
        <x:v>0.3</x:v>
      </x:c>
      <x:c r="X1067" s="54" t="str">
        <x:f>IF(ISNUMBER(V1067),V1067/(1-W1067),"")</x:f>
      </x:c>
      <x:c r="Y1067" s="55" t="str">
        <x:f>IF(ISNUMBER(X1067),ROUNDUP(X1067,0),"")</x:f>
      </x:c>
      <x:c r="Z1067" t="str">
        <x:f>IF(ISNUMBER(T1067),"Cost captured","Awaiting trade cost")</x:f>
        <x:v>Awaiting trade cost</x:v>
      </x:c>
      <x:c r="AB1067" s="36" t="str">
        <x:f>IF(ISNUMBER(Y1067),ROUND(Y1067*0.9,2),"")</x:f>
      </x:c>
      <x:c r="AC1067" s="36" t="str">
        <x:f>IF(ISNUMBER(AB1067),ROUND(AB1067-(AB1067*0.015+0.2)-V1067,2),"")</x:f>
      </x:c>
      <x:c r="AD1067" s="36" t="str">
        <x:f>IF(ISNUMBER(Y1067),ROUND(Y1067*0.8,2),"")</x:f>
      </x:c>
      <x:c r="AE1067" s="36" t="str">
        <x:f>IF(ISNUMBER(AD1067),ROUND(AD1067*0.015+0.2,2),"")</x:f>
      </x:c>
      <x:c r="AF1067" s="36" t="str">
        <x:f>IF(ISNUMBER(AD1067),ROUND(AD1067-AE1067-V1067,2),"")</x:f>
      </x:c>
      <x:c r="AG1067" t="str">
        <x:f>IF(NOT(ISNUMBER(T1067)),"PENDING",IF(AF1067&gt;0,"PASS","FAIL"))</x:f>
        <x:v>PENDING</x:v>
      </x:c>
      <x:c r="AH1067" t="str">
        <x:f>IF(NOT(ISNUMBER(T1067)),"Needs supplier cost",IF(K1067&lt;&gt;"In stock","Supplier unavailable",IF(AG1067&lt;&gt;"PASS","BLOCK - GT loss risk","Commercially protected")))</x:f>
        <x:v>Needs supplier cost</x:v>
      </x:c>
      <x:c r="AI1067" t="str">
        <x:v>2026-09-10 Active Sports trade capture</x:v>
      </x:c>
      <x:c r="AJ1067" t="str">
        <x:v>Management-only economics. Stripe stress test uses 1.5% + £0.20 standard UK online-card fee; pallet/mix-and-match pricing ignored.</x:v>
      </x:c>
    </x:row>
    <x:row r="1068">
      <x:c r="A1068" t="str">
        <x:v>Active Sports Nutrition</x:v>
      </x:c>
      <x:c r="B1068" t="str">
        <x:v>EHP Labs</x:v>
      </x:c>
      <x:c r="C1068" t="str">
        <x:v>OxyShred Ultra</x:v>
      </x:c>
      <x:c r="D1068" t="str">
        <x:v>Supplements</x:v>
      </x:c>
      <x:c r="E1068" t="str">
        <x:v>Fat Burners</x:v>
      </x:c>
      <x:c r="F1068" t="str">
        <x:v>Thermogenic powder.</x:v>
      </x:c>
      <x:c r="G1068" t="str">
        <x:v>60 servings</x:v>
      </x:c>
      <x:c r="H1068" t="str">
        <x:v>Cosmic Blast</x:v>
      </x:c>
      <x:c r="I1068" t="str"/>
      <x:c r="J1068" t="str">
        <x:v>Unit</x:v>
      </x:c>
      <x:c r="K1068" t="str">
        <x:v>In stock</x:v>
      </x:c>
      <x:c r="L1068" t="str">
        <x:v>2026-09-08</x:v>
      </x:c>
      <x:c r="M1068" t="str"/>
      <x:c r="N1068" t="str"/>
      <x:c r="O1068" t="str">
        <x:v>https://www.activesportstrade.co.uk/ehp-labs-trade</x:v>
      </x:c>
      <x:c r="P1068" t="str">
        <x:v>SPECIAL OFFER / BUY 3 GET 1 FREE HYDREAU wording removed. Fresh brand-page stock retained; older category crawl disagreed on Pink Grapefruit.</x:v>
      </x:c>
      <x:c r="Q1068" t="str"/>
      <x:c r="R1068" t="str"/>
      <x:c r="S1068" t="str">
        <x:v>Pending genuine supplier/brand image</x:v>
      </x:c>
      <x:c r="T1068" s="54"/>
      <x:c r="U1068" s="47" t="n">
        <x:v>0.2</x:v>
      </x:c>
      <x:c r="V1068" s="54" t="str">
        <x:f>IF(ISNUMBER(T1068),T1068*(1+U1068),"")</x:f>
      </x:c>
      <x:c r="W1068" s="47" t="n">
        <x:v>0.3</x:v>
      </x:c>
      <x:c r="X1068" s="54" t="str">
        <x:f>IF(ISNUMBER(V1068),V1068/(1-W1068),"")</x:f>
      </x:c>
      <x:c r="Y1068" s="55" t="str">
        <x:f>IF(ISNUMBER(X1068),ROUNDUP(X1068,0),"")</x:f>
      </x:c>
      <x:c r="Z1068" t="str">
        <x:f>IF(ISNUMBER(T1068),"Cost captured","Awaiting trade cost")</x:f>
        <x:v>Awaiting trade cost</x:v>
      </x:c>
      <x:c r="AB1068" s="36" t="str">
        <x:f>IF(ISNUMBER(Y1068),ROUND(Y1068*0.9,2),"")</x:f>
      </x:c>
      <x:c r="AC1068" s="36" t="str">
        <x:f>IF(ISNUMBER(AB1068),ROUND(AB1068-(AB1068*0.015+0.2)-V1068,2),"")</x:f>
      </x:c>
      <x:c r="AD1068" s="36" t="str">
        <x:f>IF(ISNUMBER(Y1068),ROUND(Y1068*0.8,2),"")</x:f>
      </x:c>
      <x:c r="AE1068" s="36" t="str">
        <x:f>IF(ISNUMBER(AD1068),ROUND(AD1068*0.015+0.2,2),"")</x:f>
      </x:c>
      <x:c r="AF1068" s="36" t="str">
        <x:f>IF(ISNUMBER(AD1068),ROUND(AD1068-AE1068-V1068,2),"")</x:f>
      </x:c>
      <x:c r="AG1068" t="str">
        <x:f>IF(NOT(ISNUMBER(T1068)),"PENDING",IF(AF1068&gt;0,"PASS","FAIL"))</x:f>
        <x:v>PENDING</x:v>
      </x:c>
      <x:c r="AH1068" t="str">
        <x:f>IF(NOT(ISNUMBER(T1068)),"Needs supplier cost",IF(K1068&lt;&gt;"In stock","Supplier unavailable",IF(AG1068&lt;&gt;"PASS","BLOCK - GT loss risk","Commercially protected")))</x:f>
        <x:v>Needs supplier cost</x:v>
      </x:c>
      <x:c r="AI1068" t="str">
        <x:v>2026-09-10 Active Sports trade capture</x:v>
      </x:c>
      <x:c r="AJ1068" t="str">
        <x:v>Management-only economics. Stripe stress test uses 1.5% + £0.20 standard UK online-card fee; pallet/mix-and-match pricing ignored.</x:v>
      </x:c>
    </x:row>
    <x:row r="1069">
      <x:c r="A1069" t="str">
        <x:v>Active Sports Nutrition</x:v>
      </x:c>
      <x:c r="B1069" t="str">
        <x:v>EHP Labs</x:v>
      </x:c>
      <x:c r="C1069" t="str">
        <x:v>OxyShred Ultra</x:v>
      </x:c>
      <x:c r="D1069" t="str">
        <x:v>Supplements</x:v>
      </x:c>
      <x:c r="E1069" t="str">
        <x:v>Fat Burners</x:v>
      </x:c>
      <x:c r="F1069" t="str">
        <x:v>Thermogenic powder.</x:v>
      </x:c>
      <x:c r="G1069" t="str">
        <x:v>60 servings</x:v>
      </x:c>
      <x:c r="H1069" t="str">
        <x:v>Guava Paradise</x:v>
      </x:c>
      <x:c r="I1069" t="str"/>
      <x:c r="J1069" t="str">
        <x:v>Unit</x:v>
      </x:c>
      <x:c r="K1069" t="str">
        <x:v>In stock</x:v>
      </x:c>
      <x:c r="L1069" t="str">
        <x:v>2026-09-08</x:v>
      </x:c>
      <x:c r="M1069" t="str"/>
      <x:c r="N1069" t="str"/>
      <x:c r="O1069" t="str">
        <x:v>https://www.activesportstrade.co.uk/ehp-labs-trade</x:v>
      </x:c>
      <x:c r="P1069" t="str">
        <x:v>SPECIAL OFFER / BUY 3 GET 1 FREE HYDREAU wording removed. Fresh brand-page stock retained; older category crawl disagreed on Pink Grapefruit.</x:v>
      </x:c>
      <x:c r="Q1069" t="str"/>
      <x:c r="R1069" t="str"/>
      <x:c r="S1069" t="str">
        <x:v>Pending genuine supplier/brand image</x:v>
      </x:c>
      <x:c r="T1069" s="54"/>
      <x:c r="U1069" s="47" t="n">
        <x:v>0.2</x:v>
      </x:c>
      <x:c r="V1069" s="54" t="str">
        <x:f>IF(ISNUMBER(T1069),T1069*(1+U1069),"")</x:f>
      </x:c>
      <x:c r="W1069" s="47" t="n">
        <x:v>0.3</x:v>
      </x:c>
      <x:c r="X1069" s="54" t="str">
        <x:f>IF(ISNUMBER(V1069),V1069/(1-W1069),"")</x:f>
      </x:c>
      <x:c r="Y1069" s="55" t="str">
        <x:f>IF(ISNUMBER(X1069),ROUNDUP(X1069,0),"")</x:f>
      </x:c>
      <x:c r="Z1069" t="str">
        <x:f>IF(ISNUMBER(T1069),"Cost captured","Awaiting trade cost")</x:f>
        <x:v>Awaiting trade cost</x:v>
      </x:c>
      <x:c r="AB1069" s="36" t="str">
        <x:f>IF(ISNUMBER(Y1069),ROUND(Y1069*0.9,2),"")</x:f>
      </x:c>
      <x:c r="AC1069" s="36" t="str">
        <x:f>IF(ISNUMBER(AB1069),ROUND(AB1069-(AB1069*0.015+0.2)-V1069,2),"")</x:f>
      </x:c>
      <x:c r="AD1069" s="36" t="str">
        <x:f>IF(ISNUMBER(Y1069),ROUND(Y1069*0.8,2),"")</x:f>
      </x:c>
      <x:c r="AE1069" s="36" t="str">
        <x:f>IF(ISNUMBER(AD1069),ROUND(AD1069*0.015+0.2,2),"")</x:f>
      </x:c>
      <x:c r="AF1069" s="36" t="str">
        <x:f>IF(ISNUMBER(AD1069),ROUND(AD1069-AE1069-V1069,2),"")</x:f>
      </x:c>
      <x:c r="AG1069" t="str">
        <x:f>IF(NOT(ISNUMBER(T1069)),"PENDING",IF(AF1069&gt;0,"PASS","FAIL"))</x:f>
        <x:v>PENDING</x:v>
      </x:c>
      <x:c r="AH1069" t="str">
        <x:f>IF(NOT(ISNUMBER(T1069)),"Needs supplier cost",IF(K1069&lt;&gt;"In stock","Supplier unavailable",IF(AG1069&lt;&gt;"PASS","BLOCK - GT loss risk","Commercially protected")))</x:f>
        <x:v>Needs supplier cost</x:v>
      </x:c>
      <x:c r="AI1069" t="str">
        <x:v>2026-09-10 Active Sports trade capture</x:v>
      </x:c>
      <x:c r="AJ1069" t="str">
        <x:v>Management-only economics. Stripe stress test uses 1.5% + £0.20 standard UK online-card fee; pallet/mix-and-match pricing ignored.</x:v>
      </x:c>
    </x:row>
    <x:row r="1070">
      <x:c r="A1070" t="str">
        <x:v>Active Sports Nutrition</x:v>
      </x:c>
      <x:c r="B1070" t="str">
        <x:v>EHP Labs</x:v>
      </x:c>
      <x:c r="C1070" t="str">
        <x:v>OxyShred Ultra</x:v>
      </x:c>
      <x:c r="D1070" t="str">
        <x:v>Supplements</x:v>
      </x:c>
      <x:c r="E1070" t="str">
        <x:v>Fat Burners</x:v>
      </x:c>
      <x:c r="F1070" t="str">
        <x:v>Thermogenic powder.</x:v>
      </x:c>
      <x:c r="G1070" t="str">
        <x:v>60 servings</x:v>
      </x:c>
      <x:c r="H1070" t="str">
        <x:v>Gummy Snake</x:v>
      </x:c>
      <x:c r="I1070" t="str"/>
      <x:c r="J1070" t="str">
        <x:v>Unit</x:v>
      </x:c>
      <x:c r="K1070" t="str">
        <x:v>In stock</x:v>
      </x:c>
      <x:c r="L1070" t="str">
        <x:v>2026-09-08</x:v>
      </x:c>
      <x:c r="M1070" t="str"/>
      <x:c r="N1070" t="str"/>
      <x:c r="O1070" t="str">
        <x:v>https://www.activesportstrade.co.uk/ehp-labs-trade</x:v>
      </x:c>
      <x:c r="P1070" t="str">
        <x:v>SPECIAL OFFER / BUY 3 GET 1 FREE HYDREAU wording removed. Fresh brand-page stock retained; older category crawl disagreed on Pink Grapefruit.</x:v>
      </x:c>
      <x:c r="Q1070" t="str"/>
      <x:c r="R1070" t="str"/>
      <x:c r="S1070" t="str">
        <x:v>Pending genuine supplier/brand image</x:v>
      </x:c>
      <x:c r="T1070" s="54"/>
      <x:c r="U1070" s="47" t="n">
        <x:v>0.2</x:v>
      </x:c>
      <x:c r="V1070" s="54" t="str">
        <x:f>IF(ISNUMBER(T1070),T1070*(1+U1070),"")</x:f>
      </x:c>
      <x:c r="W1070" s="47" t="n">
        <x:v>0.3</x:v>
      </x:c>
      <x:c r="X1070" s="54" t="str">
        <x:f>IF(ISNUMBER(V1070),V1070/(1-W1070),"")</x:f>
      </x:c>
      <x:c r="Y1070" s="55" t="str">
        <x:f>IF(ISNUMBER(X1070),ROUNDUP(X1070,0),"")</x:f>
      </x:c>
      <x:c r="Z1070" t="str">
        <x:f>IF(ISNUMBER(T1070),"Cost captured","Awaiting trade cost")</x:f>
        <x:v>Awaiting trade cost</x:v>
      </x:c>
      <x:c r="AB1070" s="36" t="str">
        <x:f>IF(ISNUMBER(Y1070),ROUND(Y1070*0.9,2),"")</x:f>
      </x:c>
      <x:c r="AC1070" s="36" t="str">
        <x:f>IF(ISNUMBER(AB1070),ROUND(AB1070-(AB1070*0.015+0.2)-V1070,2),"")</x:f>
      </x:c>
      <x:c r="AD1070" s="36" t="str">
        <x:f>IF(ISNUMBER(Y1070),ROUND(Y1070*0.8,2),"")</x:f>
      </x:c>
      <x:c r="AE1070" s="36" t="str">
        <x:f>IF(ISNUMBER(AD1070),ROUND(AD1070*0.015+0.2,2),"")</x:f>
      </x:c>
      <x:c r="AF1070" s="36" t="str">
        <x:f>IF(ISNUMBER(AD1070),ROUND(AD1070-AE1070-V1070,2),"")</x:f>
      </x:c>
      <x:c r="AG1070" t="str">
        <x:f>IF(NOT(ISNUMBER(T1070)),"PENDING",IF(AF1070&gt;0,"PASS","FAIL"))</x:f>
        <x:v>PENDING</x:v>
      </x:c>
      <x:c r="AH1070" t="str">
        <x:f>IF(NOT(ISNUMBER(T1070)),"Needs supplier cost",IF(K1070&lt;&gt;"In stock","Supplier unavailable",IF(AG1070&lt;&gt;"PASS","BLOCK - GT loss risk","Commercially protected")))</x:f>
        <x:v>Needs supplier cost</x:v>
      </x:c>
      <x:c r="AI1070" t="str">
        <x:v>2026-09-10 Active Sports trade capture</x:v>
      </x:c>
      <x:c r="AJ1070" t="str">
        <x:v>Management-only economics. Stripe stress test uses 1.5% + £0.20 standard UK online-card fee; pallet/mix-and-match pricing ignored.</x:v>
      </x:c>
    </x:row>
    <x:row r="1071">
      <x:c r="A1071" t="str">
        <x:v>Active Sports Nutrition</x:v>
      </x:c>
      <x:c r="B1071" t="str">
        <x:v>EHP Labs</x:v>
      </x:c>
      <x:c r="C1071" t="str">
        <x:v>OxyShred Ultra</x:v>
      </x:c>
      <x:c r="D1071" t="str">
        <x:v>Supplements</x:v>
      </x:c>
      <x:c r="E1071" t="str">
        <x:v>Fat Burners</x:v>
      </x:c>
      <x:c r="F1071" t="str">
        <x:v>Thermogenic powder.</x:v>
      </x:c>
      <x:c r="G1071" t="str">
        <x:v>60 servings</x:v>
      </x:c>
      <x:c r="H1071" t="str">
        <x:v>Juicy Watermelon</x:v>
      </x:c>
      <x:c r="I1071" t="str"/>
      <x:c r="J1071" t="str">
        <x:v>Unit</x:v>
      </x:c>
      <x:c r="K1071" t="str">
        <x:v>In stock</x:v>
      </x:c>
      <x:c r="L1071" t="str">
        <x:v>2026-09-08</x:v>
      </x:c>
      <x:c r="M1071" t="str"/>
      <x:c r="N1071" t="str"/>
      <x:c r="O1071" t="str">
        <x:v>https://www.activesportstrade.co.uk/ehp-labs-trade</x:v>
      </x:c>
      <x:c r="P1071" t="str">
        <x:v>SPECIAL OFFER / BUY 3 GET 1 FREE HYDREAU wording removed. Fresh brand-page stock retained; older category crawl disagreed on Pink Grapefruit.</x:v>
      </x:c>
      <x:c r="Q1071" t="str"/>
      <x:c r="R1071" t="str"/>
      <x:c r="S1071" t="str">
        <x:v>Pending genuine supplier/brand image</x:v>
      </x:c>
      <x:c r="T1071" s="54"/>
      <x:c r="U1071" s="47" t="n">
        <x:v>0.2</x:v>
      </x:c>
      <x:c r="V1071" s="54" t="str">
        <x:f>IF(ISNUMBER(T1071),T1071*(1+U1071),"")</x:f>
      </x:c>
      <x:c r="W1071" s="47" t="n">
        <x:v>0.3</x:v>
      </x:c>
      <x:c r="X1071" s="54" t="str">
        <x:f>IF(ISNUMBER(V1071),V1071/(1-W1071),"")</x:f>
      </x:c>
      <x:c r="Y1071" s="55" t="str">
        <x:f>IF(ISNUMBER(X1071),ROUNDUP(X1071,0),"")</x:f>
      </x:c>
      <x:c r="Z1071" t="str">
        <x:f>IF(ISNUMBER(T1071),"Cost captured","Awaiting trade cost")</x:f>
        <x:v>Awaiting trade cost</x:v>
      </x:c>
      <x:c r="AB1071" s="36" t="str">
        <x:f>IF(ISNUMBER(Y1071),ROUND(Y1071*0.9,2),"")</x:f>
      </x:c>
      <x:c r="AC1071" s="36" t="str">
        <x:f>IF(ISNUMBER(AB1071),ROUND(AB1071-(AB1071*0.015+0.2)-V1071,2),"")</x:f>
      </x:c>
      <x:c r="AD1071" s="36" t="str">
        <x:f>IF(ISNUMBER(Y1071),ROUND(Y1071*0.8,2),"")</x:f>
      </x:c>
      <x:c r="AE1071" s="36" t="str">
        <x:f>IF(ISNUMBER(AD1071),ROUND(AD1071*0.015+0.2,2),"")</x:f>
      </x:c>
      <x:c r="AF1071" s="36" t="str">
        <x:f>IF(ISNUMBER(AD1071),ROUND(AD1071-AE1071-V1071,2),"")</x:f>
      </x:c>
      <x:c r="AG1071" t="str">
        <x:f>IF(NOT(ISNUMBER(T1071)),"PENDING",IF(AF1071&gt;0,"PASS","FAIL"))</x:f>
        <x:v>PENDING</x:v>
      </x:c>
      <x:c r="AH1071" t="str">
        <x:f>IF(NOT(ISNUMBER(T1071)),"Needs supplier cost",IF(K1071&lt;&gt;"In stock","Supplier unavailable",IF(AG1071&lt;&gt;"PASS","BLOCK - GT loss risk","Commercially protected")))</x:f>
        <x:v>Needs supplier cost</x:v>
      </x:c>
      <x:c r="AI1071" t="str">
        <x:v>2026-09-10 Active Sports trade capture</x:v>
      </x:c>
      <x:c r="AJ1071" t="str">
        <x:v>Management-only economics. Stripe stress test uses 1.5% + £0.20 standard UK online-card fee; pallet/mix-and-match pricing ignored.</x:v>
      </x:c>
    </x:row>
    <x:row r="1072">
      <x:c r="A1072" t="str">
        <x:v>Active Sports Nutrition</x:v>
      </x:c>
      <x:c r="B1072" t="str">
        <x:v>EHP Labs</x:v>
      </x:c>
      <x:c r="C1072" t="str">
        <x:v>OxyShred Ultra</x:v>
      </x:c>
      <x:c r="D1072" t="str">
        <x:v>Supplements</x:v>
      </x:c>
      <x:c r="E1072" t="str">
        <x:v>Fat Burners</x:v>
      </x:c>
      <x:c r="F1072" t="str">
        <x:v>Thermogenic powder.</x:v>
      </x:c>
      <x:c r="G1072" t="str">
        <x:v>60 servings</x:v>
      </x:c>
      <x:c r="H1072" t="str">
        <x:v>Kiwi Strawberry</x:v>
      </x:c>
      <x:c r="I1072" t="str"/>
      <x:c r="J1072" t="str">
        <x:v>Unit</x:v>
      </x:c>
      <x:c r="K1072" t="str">
        <x:v>In stock</x:v>
      </x:c>
      <x:c r="L1072" t="str">
        <x:v>2026-09-08</x:v>
      </x:c>
      <x:c r="M1072" t="str"/>
      <x:c r="N1072" t="str"/>
      <x:c r="O1072" t="str">
        <x:v>https://www.activesportstrade.co.uk/ehp-labs-trade</x:v>
      </x:c>
      <x:c r="P1072" t="str">
        <x:v>SPECIAL OFFER / BUY 3 GET 1 FREE HYDREAU wording removed. Fresh brand-page stock retained; older category crawl disagreed on Pink Grapefruit.</x:v>
      </x:c>
      <x:c r="Q1072" t="str"/>
      <x:c r="R1072" t="str"/>
      <x:c r="S1072" t="str">
        <x:v>Pending genuine supplier/brand image</x:v>
      </x:c>
      <x:c r="T1072" s="54"/>
      <x:c r="U1072" s="47" t="n">
        <x:v>0.2</x:v>
      </x:c>
      <x:c r="V1072" s="54" t="str">
        <x:f>IF(ISNUMBER(T1072),T1072*(1+U1072),"")</x:f>
      </x:c>
      <x:c r="W1072" s="47" t="n">
        <x:v>0.3</x:v>
      </x:c>
      <x:c r="X1072" s="54" t="str">
        <x:f>IF(ISNUMBER(V1072),V1072/(1-W1072),"")</x:f>
      </x:c>
      <x:c r="Y1072" s="55" t="str">
        <x:f>IF(ISNUMBER(X1072),ROUNDUP(X1072,0),"")</x:f>
      </x:c>
      <x:c r="Z1072" t="str">
        <x:f>IF(ISNUMBER(T1072),"Cost captured","Awaiting trade cost")</x:f>
        <x:v>Awaiting trade cost</x:v>
      </x:c>
      <x:c r="AB1072" s="36" t="str">
        <x:f>IF(ISNUMBER(Y1072),ROUND(Y1072*0.9,2),"")</x:f>
      </x:c>
      <x:c r="AC1072" s="36" t="str">
        <x:f>IF(ISNUMBER(AB1072),ROUND(AB1072-(AB1072*0.015+0.2)-V1072,2),"")</x:f>
      </x:c>
      <x:c r="AD1072" s="36" t="str">
        <x:f>IF(ISNUMBER(Y1072),ROUND(Y1072*0.8,2),"")</x:f>
      </x:c>
      <x:c r="AE1072" s="36" t="str">
        <x:f>IF(ISNUMBER(AD1072),ROUND(AD1072*0.015+0.2,2),"")</x:f>
      </x:c>
      <x:c r="AF1072" s="36" t="str">
        <x:f>IF(ISNUMBER(AD1072),ROUND(AD1072-AE1072-V1072,2),"")</x:f>
      </x:c>
      <x:c r="AG1072" t="str">
        <x:f>IF(NOT(ISNUMBER(T1072)),"PENDING",IF(AF1072&gt;0,"PASS","FAIL"))</x:f>
        <x:v>PENDING</x:v>
      </x:c>
      <x:c r="AH1072" t="str">
        <x:f>IF(NOT(ISNUMBER(T1072)),"Needs supplier cost",IF(K1072&lt;&gt;"In stock","Supplier unavailable",IF(AG1072&lt;&gt;"PASS","BLOCK - GT loss risk","Commercially protected")))</x:f>
        <x:v>Needs supplier cost</x:v>
      </x:c>
      <x:c r="AI1072" t="str">
        <x:v>2026-09-10 Active Sports trade capture</x:v>
      </x:c>
      <x:c r="AJ1072" t="str">
        <x:v>Management-only economics. Stripe stress test uses 1.5% + £0.20 standard UK online-card fee; pallet/mix-and-match pricing ignored.</x:v>
      </x:c>
    </x:row>
    <x:row r="1073">
      <x:c r="A1073" t="str">
        <x:v>Active Sports Nutrition</x:v>
      </x:c>
      <x:c r="B1073" t="str">
        <x:v>EHP Labs</x:v>
      </x:c>
      <x:c r="C1073" t="str">
        <x:v>OxyShred Ultra</x:v>
      </x:c>
      <x:c r="D1073" t="str">
        <x:v>Supplements</x:v>
      </x:c>
      <x:c r="E1073" t="str">
        <x:v>Fat Burners</x:v>
      </x:c>
      <x:c r="F1073" t="str">
        <x:v>Thermogenic powder.</x:v>
      </x:c>
      <x:c r="G1073" t="str">
        <x:v>60 servings</x:v>
      </x:c>
      <x:c r="H1073" t="str">
        <x:v>Mango</x:v>
      </x:c>
      <x:c r="I1073" t="str"/>
      <x:c r="J1073" t="str">
        <x:v>Unit</x:v>
      </x:c>
      <x:c r="K1073" t="str">
        <x:v>In stock</x:v>
      </x:c>
      <x:c r="L1073" t="str">
        <x:v>2026-09-08</x:v>
      </x:c>
      <x:c r="M1073" t="str"/>
      <x:c r="N1073" t="str"/>
      <x:c r="O1073" t="str">
        <x:v>https://www.activesportstrade.co.uk/ehp-labs-trade</x:v>
      </x:c>
      <x:c r="P1073" t="str">
        <x:v>SPECIAL OFFER / BUY 3 GET 1 FREE HYDREAU wording removed. Fresh brand-page stock retained; older category crawl disagreed on Pink Grapefruit.</x:v>
      </x:c>
      <x:c r="Q1073" t="str"/>
      <x:c r="R1073" t="str"/>
      <x:c r="S1073" t="str">
        <x:v>Pending genuine supplier/brand image</x:v>
      </x:c>
      <x:c r="T1073" s="54"/>
      <x:c r="U1073" s="47" t="n">
        <x:v>0.2</x:v>
      </x:c>
      <x:c r="V1073" s="54" t="str">
        <x:f>IF(ISNUMBER(T1073),T1073*(1+U1073),"")</x:f>
      </x:c>
      <x:c r="W1073" s="47" t="n">
        <x:v>0.3</x:v>
      </x:c>
      <x:c r="X1073" s="54" t="str">
        <x:f>IF(ISNUMBER(V1073),V1073/(1-W1073),"")</x:f>
      </x:c>
      <x:c r="Y1073" s="55" t="str">
        <x:f>IF(ISNUMBER(X1073),ROUNDUP(X1073,0),"")</x:f>
      </x:c>
      <x:c r="Z1073" t="str">
        <x:f>IF(ISNUMBER(T1073),"Cost captured","Awaiting trade cost")</x:f>
        <x:v>Awaiting trade cost</x:v>
      </x:c>
      <x:c r="AB1073" s="36" t="str">
        <x:f>IF(ISNUMBER(Y1073),ROUND(Y1073*0.9,2),"")</x:f>
      </x:c>
      <x:c r="AC1073" s="36" t="str">
        <x:f>IF(ISNUMBER(AB1073),ROUND(AB1073-(AB1073*0.015+0.2)-V1073,2),"")</x:f>
      </x:c>
      <x:c r="AD1073" s="36" t="str">
        <x:f>IF(ISNUMBER(Y1073),ROUND(Y1073*0.8,2),"")</x:f>
      </x:c>
      <x:c r="AE1073" s="36" t="str">
        <x:f>IF(ISNUMBER(AD1073),ROUND(AD1073*0.015+0.2,2),"")</x:f>
      </x:c>
      <x:c r="AF1073" s="36" t="str">
        <x:f>IF(ISNUMBER(AD1073),ROUND(AD1073-AE1073-V1073,2),"")</x:f>
      </x:c>
      <x:c r="AG1073" t="str">
        <x:f>IF(NOT(ISNUMBER(T1073)),"PENDING",IF(AF1073&gt;0,"PASS","FAIL"))</x:f>
        <x:v>PENDING</x:v>
      </x:c>
      <x:c r="AH1073" t="str">
        <x:f>IF(NOT(ISNUMBER(T1073)),"Needs supplier cost",IF(K1073&lt;&gt;"In stock","Supplier unavailable",IF(AG1073&lt;&gt;"PASS","BLOCK - GT loss risk","Commercially protected")))</x:f>
        <x:v>Needs supplier cost</x:v>
      </x:c>
      <x:c r="AI1073" t="str">
        <x:v>2026-09-10 Active Sports trade capture</x:v>
      </x:c>
      <x:c r="AJ1073" t="str">
        <x:v>Management-only economics. Stripe stress test uses 1.5% + £0.20 standard UK online-card fee; pallet/mix-and-match pricing ignored.</x:v>
      </x:c>
    </x:row>
    <x:row r="1074">
      <x:c r="A1074" t="str">
        <x:v>Active Sports Nutrition</x:v>
      </x:c>
      <x:c r="B1074" t="str">
        <x:v>EHP Labs</x:v>
      </x:c>
      <x:c r="C1074" t="str">
        <x:v>OxyShred Ultra</x:v>
      </x:c>
      <x:c r="D1074" t="str">
        <x:v>Supplements</x:v>
      </x:c>
      <x:c r="E1074" t="str">
        <x:v>Fat Burners</x:v>
      </x:c>
      <x:c r="F1074" t="str">
        <x:v>Thermogenic powder.</x:v>
      </x:c>
      <x:c r="G1074" t="str">
        <x:v>60 servings</x:v>
      </x:c>
      <x:c r="H1074" t="str">
        <x:v>Passionfruit</x:v>
      </x:c>
      <x:c r="I1074" t="str"/>
      <x:c r="J1074" t="str">
        <x:v>Unit</x:v>
      </x:c>
      <x:c r="K1074" t="str">
        <x:v>In stock</x:v>
      </x:c>
      <x:c r="L1074" t="str">
        <x:v>2026-09-08</x:v>
      </x:c>
      <x:c r="M1074" t="str"/>
      <x:c r="N1074" t="str"/>
      <x:c r="O1074" t="str">
        <x:v>https://www.activesportstrade.co.uk/ehp-labs-trade</x:v>
      </x:c>
      <x:c r="P1074" t="str">
        <x:v>SPECIAL OFFER / BUY 3 GET 1 FREE HYDREAU wording removed. Fresh brand-page stock retained; older category crawl disagreed on Pink Grapefruit.</x:v>
      </x:c>
      <x:c r="Q1074" t="str"/>
      <x:c r="R1074" t="str"/>
      <x:c r="S1074" t="str">
        <x:v>Pending genuine supplier/brand image</x:v>
      </x:c>
      <x:c r="T1074" s="54"/>
      <x:c r="U1074" s="47" t="n">
        <x:v>0.2</x:v>
      </x:c>
      <x:c r="V1074" s="54" t="str">
        <x:f>IF(ISNUMBER(T1074),T1074*(1+U1074),"")</x:f>
      </x:c>
      <x:c r="W1074" s="47" t="n">
        <x:v>0.3</x:v>
      </x:c>
      <x:c r="X1074" s="54" t="str">
        <x:f>IF(ISNUMBER(V1074),V1074/(1-W1074),"")</x:f>
      </x:c>
      <x:c r="Y1074" s="55" t="str">
        <x:f>IF(ISNUMBER(X1074),ROUNDUP(X1074,0),"")</x:f>
      </x:c>
      <x:c r="Z1074" t="str">
        <x:f>IF(ISNUMBER(T1074),"Cost captured","Awaiting trade cost")</x:f>
        <x:v>Awaiting trade cost</x:v>
      </x:c>
      <x:c r="AB1074" s="36" t="str">
        <x:f>IF(ISNUMBER(Y1074),ROUND(Y1074*0.9,2),"")</x:f>
      </x:c>
      <x:c r="AC1074" s="36" t="str">
        <x:f>IF(ISNUMBER(AB1074),ROUND(AB1074-(AB1074*0.015+0.2)-V1074,2),"")</x:f>
      </x:c>
      <x:c r="AD1074" s="36" t="str">
        <x:f>IF(ISNUMBER(Y1074),ROUND(Y1074*0.8,2),"")</x:f>
      </x:c>
      <x:c r="AE1074" s="36" t="str">
        <x:f>IF(ISNUMBER(AD1074),ROUND(AD1074*0.015+0.2,2),"")</x:f>
      </x:c>
      <x:c r="AF1074" s="36" t="str">
        <x:f>IF(ISNUMBER(AD1074),ROUND(AD1074-AE1074-V1074,2),"")</x:f>
      </x:c>
      <x:c r="AG1074" t="str">
        <x:f>IF(NOT(ISNUMBER(T1074)),"PENDING",IF(AF1074&gt;0,"PASS","FAIL"))</x:f>
        <x:v>PENDING</x:v>
      </x:c>
      <x:c r="AH1074" t="str">
        <x:f>IF(NOT(ISNUMBER(T1074)),"Needs supplier cost",IF(K1074&lt;&gt;"In stock","Supplier unavailable",IF(AG1074&lt;&gt;"PASS","BLOCK - GT loss risk","Commercially protected")))</x:f>
        <x:v>Needs supplier cost</x:v>
      </x:c>
      <x:c r="AI1074" t="str">
        <x:v>2026-09-10 Active Sports trade capture</x:v>
      </x:c>
      <x:c r="AJ1074" t="str">
        <x:v>Management-only economics. Stripe stress test uses 1.5% + £0.20 standard UK online-card fee; pallet/mix-and-match pricing ignored.</x:v>
      </x:c>
    </x:row>
    <x:row r="1075">
      <x:c r="A1075" t="str">
        <x:v>Active Sports Nutrition</x:v>
      </x:c>
      <x:c r="B1075" t="str">
        <x:v>EHP Labs</x:v>
      </x:c>
      <x:c r="C1075" t="str">
        <x:v>OxyShred Ultra</x:v>
      </x:c>
      <x:c r="D1075" t="str">
        <x:v>Supplements</x:v>
      </x:c>
      <x:c r="E1075" t="str">
        <x:v>Fat Burners</x:v>
      </x:c>
      <x:c r="F1075" t="str">
        <x:v>Thermogenic powder.</x:v>
      </x:c>
      <x:c r="G1075" t="str">
        <x:v>60 servings</x:v>
      </x:c>
      <x:c r="H1075" t="str">
        <x:v>Peach Candy Rings</x:v>
      </x:c>
      <x:c r="I1075" t="str"/>
      <x:c r="J1075" t="str">
        <x:v>Unit</x:v>
      </x:c>
      <x:c r="K1075" t="str">
        <x:v>In stock</x:v>
      </x:c>
      <x:c r="L1075" t="str">
        <x:v>2026-09-08</x:v>
      </x:c>
      <x:c r="M1075" t="str"/>
      <x:c r="N1075" t="str"/>
      <x:c r="O1075" t="str">
        <x:v>https://www.activesportstrade.co.uk/ehp-labs-trade</x:v>
      </x:c>
      <x:c r="P1075" t="str">
        <x:v>SPECIAL OFFER / BUY 3 GET 1 FREE HYDREAU wording removed. Fresh brand-page stock retained; older category crawl disagreed on Pink Grapefruit.</x:v>
      </x:c>
      <x:c r="Q1075" t="str"/>
      <x:c r="R1075" t="str"/>
      <x:c r="S1075" t="str">
        <x:v>Pending genuine supplier/brand image</x:v>
      </x:c>
      <x:c r="T1075" s="54"/>
      <x:c r="U1075" s="47" t="n">
        <x:v>0.2</x:v>
      </x:c>
      <x:c r="V1075" s="54" t="str">
        <x:f>IF(ISNUMBER(T1075),T1075*(1+U1075),"")</x:f>
      </x:c>
      <x:c r="W1075" s="47" t="n">
        <x:v>0.3</x:v>
      </x:c>
      <x:c r="X1075" s="54" t="str">
        <x:f>IF(ISNUMBER(V1075),V1075/(1-W1075),"")</x:f>
      </x:c>
      <x:c r="Y1075" s="55" t="str">
        <x:f>IF(ISNUMBER(X1075),ROUNDUP(X1075,0),"")</x:f>
      </x:c>
      <x:c r="Z1075" t="str">
        <x:f>IF(ISNUMBER(T1075),"Cost captured","Awaiting trade cost")</x:f>
        <x:v>Awaiting trade cost</x:v>
      </x:c>
      <x:c r="AB1075" s="36" t="str">
        <x:f>IF(ISNUMBER(Y1075),ROUND(Y1075*0.9,2),"")</x:f>
      </x:c>
      <x:c r="AC1075" s="36" t="str">
        <x:f>IF(ISNUMBER(AB1075),ROUND(AB1075-(AB1075*0.015+0.2)-V1075,2),"")</x:f>
      </x:c>
      <x:c r="AD1075" s="36" t="str">
        <x:f>IF(ISNUMBER(Y1075),ROUND(Y1075*0.8,2),"")</x:f>
      </x:c>
      <x:c r="AE1075" s="36" t="str">
        <x:f>IF(ISNUMBER(AD1075),ROUND(AD1075*0.015+0.2,2),"")</x:f>
      </x:c>
      <x:c r="AF1075" s="36" t="str">
        <x:f>IF(ISNUMBER(AD1075),ROUND(AD1075-AE1075-V1075,2),"")</x:f>
      </x:c>
      <x:c r="AG1075" t="str">
        <x:f>IF(NOT(ISNUMBER(T1075)),"PENDING",IF(AF1075&gt;0,"PASS","FAIL"))</x:f>
        <x:v>PENDING</x:v>
      </x:c>
      <x:c r="AH1075" t="str">
        <x:f>IF(NOT(ISNUMBER(T1075)),"Needs supplier cost",IF(K1075&lt;&gt;"In stock","Supplier unavailable",IF(AG1075&lt;&gt;"PASS","BLOCK - GT loss risk","Commercially protected")))</x:f>
        <x:v>Needs supplier cost</x:v>
      </x:c>
      <x:c r="AI1075" t="str">
        <x:v>2026-09-10 Active Sports trade capture</x:v>
      </x:c>
      <x:c r="AJ1075" t="str">
        <x:v>Management-only economics. Stripe stress test uses 1.5% + £0.20 standard UK online-card fee; pallet/mix-and-match pricing ignored.</x:v>
      </x:c>
    </x:row>
    <x:row r="1076">
      <x:c r="A1076" t="str">
        <x:v>Active Sports Nutrition</x:v>
      </x:c>
      <x:c r="B1076" t="str">
        <x:v>EHP Labs</x:v>
      </x:c>
      <x:c r="C1076" t="str">
        <x:v>OxyShred Ultra</x:v>
      </x:c>
      <x:c r="D1076" t="str">
        <x:v>Supplements</x:v>
      </x:c>
      <x:c r="E1076" t="str">
        <x:v>Fat Burners</x:v>
      </x:c>
      <x:c r="F1076" t="str">
        <x:v>Thermogenic powder.</x:v>
      </x:c>
      <x:c r="G1076" t="str">
        <x:v>60 servings</x:v>
      </x:c>
      <x:c r="H1076" t="str">
        <x:v>Peach Mango</x:v>
      </x:c>
      <x:c r="I1076" t="str"/>
      <x:c r="J1076" t="str">
        <x:v>Unit</x:v>
      </x:c>
      <x:c r="K1076" t="str">
        <x:v>In stock</x:v>
      </x:c>
      <x:c r="L1076" t="str">
        <x:v>2026-09-08</x:v>
      </x:c>
      <x:c r="M1076" t="str"/>
      <x:c r="N1076" t="str"/>
      <x:c r="O1076" t="str">
        <x:v>https://www.activesportstrade.co.uk/ehp-labs-trade</x:v>
      </x:c>
      <x:c r="P1076" t="str">
        <x:v>SPECIAL OFFER / BUY 3 GET 1 FREE HYDREAU wording removed. Fresh brand-page stock retained; older category crawl disagreed on Pink Grapefruit.</x:v>
      </x:c>
      <x:c r="Q1076" t="str"/>
      <x:c r="R1076" t="str"/>
      <x:c r="S1076" t="str">
        <x:v>Pending genuine supplier/brand image</x:v>
      </x:c>
      <x:c r="T1076" s="54"/>
      <x:c r="U1076" s="47" t="n">
        <x:v>0.2</x:v>
      </x:c>
      <x:c r="V1076" s="54" t="str">
        <x:f>IF(ISNUMBER(T1076),T1076*(1+U1076),"")</x:f>
      </x:c>
      <x:c r="W1076" s="47" t="n">
        <x:v>0.3</x:v>
      </x:c>
      <x:c r="X1076" s="54" t="str">
        <x:f>IF(ISNUMBER(V1076),V1076/(1-W1076),"")</x:f>
      </x:c>
      <x:c r="Y1076" s="55" t="str">
        <x:f>IF(ISNUMBER(X1076),ROUNDUP(X1076,0),"")</x:f>
      </x:c>
      <x:c r="Z1076" t="str">
        <x:f>IF(ISNUMBER(T1076),"Cost captured","Awaiting trade cost")</x:f>
        <x:v>Awaiting trade cost</x:v>
      </x:c>
      <x:c r="AB1076" s="36" t="str">
        <x:f>IF(ISNUMBER(Y1076),ROUND(Y1076*0.9,2),"")</x:f>
      </x:c>
      <x:c r="AC1076" s="36" t="str">
        <x:f>IF(ISNUMBER(AB1076),ROUND(AB1076-(AB1076*0.015+0.2)-V1076,2),"")</x:f>
      </x:c>
      <x:c r="AD1076" s="36" t="str">
        <x:f>IF(ISNUMBER(Y1076),ROUND(Y1076*0.8,2),"")</x:f>
      </x:c>
      <x:c r="AE1076" s="36" t="str">
        <x:f>IF(ISNUMBER(AD1076),ROUND(AD1076*0.015+0.2,2),"")</x:f>
      </x:c>
      <x:c r="AF1076" s="36" t="str">
        <x:f>IF(ISNUMBER(AD1076),ROUND(AD1076-AE1076-V1076,2),"")</x:f>
      </x:c>
      <x:c r="AG1076" t="str">
        <x:f>IF(NOT(ISNUMBER(T1076)),"PENDING",IF(AF1076&gt;0,"PASS","FAIL"))</x:f>
        <x:v>PENDING</x:v>
      </x:c>
      <x:c r="AH1076" t="str">
        <x:f>IF(NOT(ISNUMBER(T1076)),"Needs supplier cost",IF(K1076&lt;&gt;"In stock","Supplier unavailable",IF(AG1076&lt;&gt;"PASS","BLOCK - GT loss risk","Commercially protected")))</x:f>
        <x:v>Needs supplier cost</x:v>
      </x:c>
      <x:c r="AI1076" t="str">
        <x:v>2026-09-10 Active Sports trade capture</x:v>
      </x:c>
      <x:c r="AJ1076" t="str">
        <x:v>Management-only economics. Stripe stress test uses 1.5% + £0.20 standard UK online-card fee; pallet/mix-and-match pricing ignored.</x:v>
      </x:c>
    </x:row>
    <x:row r="1077">
      <x:c r="A1077" t="str">
        <x:v>Active Sports Nutrition</x:v>
      </x:c>
      <x:c r="B1077" t="str">
        <x:v>EHP Labs</x:v>
      </x:c>
      <x:c r="C1077" t="str">
        <x:v>OxyShred Ultra</x:v>
      </x:c>
      <x:c r="D1077" t="str">
        <x:v>Supplements</x:v>
      </x:c>
      <x:c r="E1077" t="str">
        <x:v>Fat Burners</x:v>
      </x:c>
      <x:c r="F1077" t="str">
        <x:v>Thermogenic powder.</x:v>
      </x:c>
      <x:c r="G1077" t="str">
        <x:v>60 servings</x:v>
      </x:c>
      <x:c r="H1077" t="str">
        <x:v>Pink Grapefruit</x:v>
      </x:c>
      <x:c r="I1077" t="str"/>
      <x:c r="J1077" t="str">
        <x:v>Unit</x:v>
      </x:c>
      <x:c r="K1077" t="str">
        <x:v>Out of stock</x:v>
      </x:c>
      <x:c r="L1077" t="str">
        <x:v>2026-09-08</x:v>
      </x:c>
      <x:c r="M1077" t="str"/>
      <x:c r="N1077" t="str"/>
      <x:c r="O1077" t="str">
        <x:v>https://www.activesportstrade.co.uk/ehp-labs-trade</x:v>
      </x:c>
      <x:c r="P1077" t="str">
        <x:v>SPECIAL OFFER / BUY 3 GET 1 FREE HYDREAU wording removed. Fresh brand-page stock retained; older category crawl disagreed on Pink Grapefruit.</x:v>
      </x:c>
      <x:c r="Q1077" t="str"/>
      <x:c r="R1077" t="str"/>
      <x:c r="S1077" t="str">
        <x:v>Pending genuine supplier/brand image</x:v>
      </x:c>
      <x:c r="T1077" s="54"/>
      <x:c r="U1077" s="47" t="n">
        <x:v>0.2</x:v>
      </x:c>
      <x:c r="V1077" s="54" t="str">
        <x:f>IF(ISNUMBER(T1077),T1077*(1+U1077),"")</x:f>
      </x:c>
      <x:c r="W1077" s="47" t="n">
        <x:v>0.3</x:v>
      </x:c>
      <x:c r="X1077" s="54" t="str">
        <x:f>IF(ISNUMBER(V1077),V1077/(1-W1077),"")</x:f>
      </x:c>
      <x:c r="Y1077" s="55" t="str">
        <x:f>IF(ISNUMBER(X1077),ROUNDUP(X1077,0),"")</x:f>
      </x:c>
      <x:c r="Z1077" t="str">
        <x:f>IF(ISNUMBER(T1077),"Cost captured","Awaiting trade cost")</x:f>
        <x:v>Awaiting trade cost</x:v>
      </x:c>
      <x:c r="AB1077" s="36" t="str">
        <x:f>IF(ISNUMBER(Y1077),ROUND(Y1077*0.9,2),"")</x:f>
      </x:c>
      <x:c r="AC1077" s="36" t="str">
        <x:f>IF(ISNUMBER(AB1077),ROUND(AB1077-(AB1077*0.015+0.2)-V1077,2),"")</x:f>
      </x:c>
      <x:c r="AD1077" s="36" t="str">
        <x:f>IF(ISNUMBER(Y1077),ROUND(Y1077*0.8,2),"")</x:f>
      </x:c>
      <x:c r="AE1077" s="36" t="str">
        <x:f>IF(ISNUMBER(AD1077),ROUND(AD1077*0.015+0.2,2),"")</x:f>
      </x:c>
      <x:c r="AF1077" s="36" t="str">
        <x:f>IF(ISNUMBER(AD1077),ROUND(AD1077-AE1077-V1077,2),"")</x:f>
      </x:c>
      <x:c r="AG1077" t="str">
        <x:f>IF(NOT(ISNUMBER(T1077)),"PENDING",IF(AF1077&gt;0,"PASS","FAIL"))</x:f>
        <x:v>PENDING</x:v>
      </x:c>
      <x:c r="AH1077" t="str">
        <x:f>IF(NOT(ISNUMBER(T1077)),"Needs supplier cost",IF(K1077&lt;&gt;"In stock","Supplier unavailable",IF(AG1077&lt;&gt;"PASS","BLOCK - GT loss risk","Commercially protected")))</x:f>
        <x:v>Needs supplier cost</x:v>
      </x:c>
      <x:c r="AI1077" t="str">
        <x:v>2026-09-10 Active Sports trade capture</x:v>
      </x:c>
      <x:c r="AJ1077" t="str">
        <x:v>Management-only economics. Stripe stress test uses 1.5% + £0.20 standard UK online-card fee; pallet/mix-and-match pricing ignored.</x:v>
      </x:c>
    </x:row>
    <x:row r="1078">
      <x:c r="A1078" t="str">
        <x:v>Active Sports Nutrition</x:v>
      </x:c>
      <x:c r="B1078" t="str">
        <x:v>EHP Labs</x:v>
      </x:c>
      <x:c r="C1078" t="str">
        <x:v>OxyShred Ultra</x:v>
      </x:c>
      <x:c r="D1078" t="str">
        <x:v>Supplements</x:v>
      </x:c>
      <x:c r="E1078" t="str">
        <x:v>Fat Burners</x:v>
      </x:c>
      <x:c r="F1078" t="str">
        <x:v>Thermogenic powder.</x:v>
      </x:c>
      <x:c r="G1078" t="str">
        <x:v>60 servings</x:v>
      </x:c>
      <x:c r="H1078" t="str">
        <x:v>Pink Lemonade</x:v>
      </x:c>
      <x:c r="I1078" t="str"/>
      <x:c r="J1078" t="str">
        <x:v>Unit</x:v>
      </x:c>
      <x:c r="K1078" t="str">
        <x:v>In stock</x:v>
      </x:c>
      <x:c r="L1078" t="str">
        <x:v>2026-09-08</x:v>
      </x:c>
      <x:c r="M1078" t="str"/>
      <x:c r="N1078" t="str"/>
      <x:c r="O1078" t="str">
        <x:v>https://www.activesportstrade.co.uk/ehp-labs-trade</x:v>
      </x:c>
      <x:c r="P1078" t="str">
        <x:v>SPECIAL OFFER / BUY 3 GET 1 FREE HYDREAU wording removed. Fresh brand-page stock retained; older category crawl disagreed on Pink Grapefruit.</x:v>
      </x:c>
      <x:c r="Q1078" t="str"/>
      <x:c r="R1078" t="str"/>
      <x:c r="S1078" t="str">
        <x:v>Pending genuine supplier/brand image</x:v>
      </x:c>
      <x:c r="T1078" s="54"/>
      <x:c r="U1078" s="47" t="n">
        <x:v>0.2</x:v>
      </x:c>
      <x:c r="V1078" s="54" t="str">
        <x:f>IF(ISNUMBER(T1078),T1078*(1+U1078),"")</x:f>
      </x:c>
      <x:c r="W1078" s="47" t="n">
        <x:v>0.3</x:v>
      </x:c>
      <x:c r="X1078" s="54" t="str">
        <x:f>IF(ISNUMBER(V1078),V1078/(1-W1078),"")</x:f>
      </x:c>
      <x:c r="Y1078" s="55" t="str">
        <x:f>IF(ISNUMBER(X1078),ROUNDUP(X1078,0),"")</x:f>
      </x:c>
      <x:c r="Z1078" t="str">
        <x:f>IF(ISNUMBER(T1078),"Cost captured","Awaiting trade cost")</x:f>
        <x:v>Awaiting trade cost</x:v>
      </x:c>
      <x:c r="AB1078" s="36" t="str">
        <x:f>IF(ISNUMBER(Y1078),ROUND(Y1078*0.9,2),"")</x:f>
      </x:c>
      <x:c r="AC1078" s="36" t="str">
        <x:f>IF(ISNUMBER(AB1078),ROUND(AB1078-(AB1078*0.015+0.2)-V1078,2),"")</x:f>
      </x:c>
      <x:c r="AD1078" s="36" t="str">
        <x:f>IF(ISNUMBER(Y1078),ROUND(Y1078*0.8,2),"")</x:f>
      </x:c>
      <x:c r="AE1078" s="36" t="str">
        <x:f>IF(ISNUMBER(AD1078),ROUND(AD1078*0.015+0.2,2),"")</x:f>
      </x:c>
      <x:c r="AF1078" s="36" t="str">
        <x:f>IF(ISNUMBER(AD1078),ROUND(AD1078-AE1078-V1078,2),"")</x:f>
      </x:c>
      <x:c r="AG1078" t="str">
        <x:f>IF(NOT(ISNUMBER(T1078)),"PENDING",IF(AF1078&gt;0,"PASS","FAIL"))</x:f>
        <x:v>PENDING</x:v>
      </x:c>
      <x:c r="AH1078" t="str">
        <x:f>IF(NOT(ISNUMBER(T1078)),"Needs supplier cost",IF(K1078&lt;&gt;"In stock","Supplier unavailable",IF(AG1078&lt;&gt;"PASS","BLOCK - GT loss risk","Commercially protected")))</x:f>
        <x:v>Needs supplier cost</x:v>
      </x:c>
      <x:c r="AI1078" t="str">
        <x:v>2026-09-10 Active Sports trade capture</x:v>
      </x:c>
      <x:c r="AJ1078" t="str">
        <x:v>Management-only economics. Stripe stress test uses 1.5% + £0.20 standard UK online-card fee; pallet/mix-and-match pricing ignored.</x:v>
      </x:c>
    </x:row>
    <x:row r="1079">
      <x:c r="A1079" t="str">
        <x:v>Active Sports Nutrition</x:v>
      </x:c>
      <x:c r="B1079" t="str">
        <x:v>EHP Labs</x:v>
      </x:c>
      <x:c r="C1079" t="str">
        <x:v>OxyShred Ultra</x:v>
      </x:c>
      <x:c r="D1079" t="str">
        <x:v>Supplements</x:v>
      </x:c>
      <x:c r="E1079" t="str">
        <x:v>Fat Burners</x:v>
      </x:c>
      <x:c r="F1079" t="str">
        <x:v>Thermogenic powder.</x:v>
      </x:c>
      <x:c r="G1079" t="str">
        <x:v>60 servings</x:v>
      </x:c>
      <x:c r="H1079" t="str">
        <x:v>Raspberry Refresh</x:v>
      </x:c>
      <x:c r="I1079" t="str"/>
      <x:c r="J1079" t="str">
        <x:v>Unit</x:v>
      </x:c>
      <x:c r="K1079" t="str">
        <x:v>Out of stock</x:v>
      </x:c>
      <x:c r="L1079" t="str">
        <x:v>2026-09-08</x:v>
      </x:c>
      <x:c r="M1079" t="str"/>
      <x:c r="N1079" t="str"/>
      <x:c r="O1079" t="str">
        <x:v>https://www.activesportstrade.co.uk/ehp-labs-trade</x:v>
      </x:c>
      <x:c r="P1079" t="str">
        <x:v>SPECIAL OFFER / BUY 3 GET 1 FREE HYDREAU wording removed. Fresh brand-page stock retained; older category crawl disagreed on Pink Grapefruit.</x:v>
      </x:c>
      <x:c r="Q1079" t="str"/>
      <x:c r="R1079" t="str"/>
      <x:c r="S1079" t="str">
        <x:v>Pending genuine supplier/brand image</x:v>
      </x:c>
      <x:c r="T1079" s="54"/>
      <x:c r="U1079" s="47" t="n">
        <x:v>0.2</x:v>
      </x:c>
      <x:c r="V1079" s="54" t="str">
        <x:f>IF(ISNUMBER(T1079),T1079*(1+U1079),"")</x:f>
      </x:c>
      <x:c r="W1079" s="47" t="n">
        <x:v>0.3</x:v>
      </x:c>
      <x:c r="X1079" s="54" t="str">
        <x:f>IF(ISNUMBER(V1079),V1079/(1-W1079),"")</x:f>
      </x:c>
      <x:c r="Y1079" s="55" t="str">
        <x:f>IF(ISNUMBER(X1079),ROUNDUP(X1079,0),"")</x:f>
      </x:c>
      <x:c r="Z1079" t="str">
        <x:f>IF(ISNUMBER(T1079),"Cost captured","Awaiting trade cost")</x:f>
        <x:v>Awaiting trade cost</x:v>
      </x:c>
      <x:c r="AB1079" s="36" t="str">
        <x:f>IF(ISNUMBER(Y1079),ROUND(Y1079*0.9,2),"")</x:f>
      </x:c>
      <x:c r="AC1079" s="36" t="str">
        <x:f>IF(ISNUMBER(AB1079),ROUND(AB1079-(AB1079*0.015+0.2)-V1079,2),"")</x:f>
      </x:c>
      <x:c r="AD1079" s="36" t="str">
        <x:f>IF(ISNUMBER(Y1079),ROUND(Y1079*0.8,2),"")</x:f>
      </x:c>
      <x:c r="AE1079" s="36" t="str">
        <x:f>IF(ISNUMBER(AD1079),ROUND(AD1079*0.015+0.2,2),"")</x:f>
      </x:c>
      <x:c r="AF1079" s="36" t="str">
        <x:f>IF(ISNUMBER(AD1079),ROUND(AD1079-AE1079-V1079,2),"")</x:f>
      </x:c>
      <x:c r="AG1079" t="str">
        <x:f>IF(NOT(ISNUMBER(T1079)),"PENDING",IF(AF1079&gt;0,"PASS","FAIL"))</x:f>
        <x:v>PENDING</x:v>
      </x:c>
      <x:c r="AH1079" t="str">
        <x:f>IF(NOT(ISNUMBER(T1079)),"Needs supplier cost",IF(K1079&lt;&gt;"In stock","Supplier unavailable",IF(AG1079&lt;&gt;"PASS","BLOCK - GT loss risk","Commercially protected")))</x:f>
        <x:v>Needs supplier cost</x:v>
      </x:c>
      <x:c r="AI1079" t="str">
        <x:v>2026-09-10 Active Sports trade capture</x:v>
      </x:c>
      <x:c r="AJ1079" t="str">
        <x:v>Management-only economics. Stripe stress test uses 1.5% + £0.20 standard UK online-card fee; pallet/mix-and-match pricing ignored.</x:v>
      </x:c>
    </x:row>
    <x:row r="1080">
      <x:c r="A1080" t="str">
        <x:v>Active Sports Nutrition</x:v>
      </x:c>
      <x:c r="B1080" t="str">
        <x:v>EHP Labs</x:v>
      </x:c>
      <x:c r="C1080" t="str">
        <x:v>OxyShred Ultra</x:v>
      </x:c>
      <x:c r="D1080" t="str">
        <x:v>Supplements</x:v>
      </x:c>
      <x:c r="E1080" t="str">
        <x:v>Fat Burners</x:v>
      </x:c>
      <x:c r="F1080" t="str">
        <x:v>Thermogenic powder.</x:v>
      </x:c>
      <x:c r="G1080" t="str">
        <x:v>60 servings</x:v>
      </x:c>
      <x:c r="H1080" t="str">
        <x:v>Wild Melon</x:v>
      </x:c>
      <x:c r="I1080" t="str"/>
      <x:c r="J1080" t="str">
        <x:v>Unit</x:v>
      </x:c>
      <x:c r="K1080" t="str">
        <x:v>In stock</x:v>
      </x:c>
      <x:c r="L1080" t="str">
        <x:v>2026-09-08</x:v>
      </x:c>
      <x:c r="M1080" t="str"/>
      <x:c r="N1080" t="str"/>
      <x:c r="O1080" t="str">
        <x:v>https://www.activesportstrade.co.uk/ehp-labs-trade</x:v>
      </x:c>
      <x:c r="P1080" t="str">
        <x:v>SPECIAL OFFER / BUY 3 GET 1 FREE HYDREAU wording removed. Fresh brand-page stock retained; older category crawl disagreed on Pink Grapefruit.</x:v>
      </x:c>
      <x:c r="Q1080" t="str"/>
      <x:c r="R1080" t="str"/>
      <x:c r="S1080" t="str">
        <x:v>Pending genuine supplier/brand image</x:v>
      </x:c>
      <x:c r="T1080" s="54"/>
      <x:c r="U1080" s="47" t="n">
        <x:v>0.2</x:v>
      </x:c>
      <x:c r="V1080" s="54" t="str">
        <x:f>IF(ISNUMBER(T1080),T1080*(1+U1080),"")</x:f>
      </x:c>
      <x:c r="W1080" s="47" t="n">
        <x:v>0.3</x:v>
      </x:c>
      <x:c r="X1080" s="54" t="str">
        <x:f>IF(ISNUMBER(V1080),V1080/(1-W1080),"")</x:f>
      </x:c>
      <x:c r="Y1080" s="55" t="str">
        <x:f>IF(ISNUMBER(X1080),ROUNDUP(X1080,0),"")</x:f>
      </x:c>
      <x:c r="Z1080" t="str">
        <x:f>IF(ISNUMBER(T1080),"Cost captured","Awaiting trade cost")</x:f>
        <x:v>Awaiting trade cost</x:v>
      </x:c>
      <x:c r="AB1080" s="36" t="str">
        <x:f>IF(ISNUMBER(Y1080),ROUND(Y1080*0.9,2),"")</x:f>
      </x:c>
      <x:c r="AC1080" s="36" t="str">
        <x:f>IF(ISNUMBER(AB1080),ROUND(AB1080-(AB1080*0.015+0.2)-V1080,2),"")</x:f>
      </x:c>
      <x:c r="AD1080" s="36" t="str">
        <x:f>IF(ISNUMBER(Y1080),ROUND(Y1080*0.8,2),"")</x:f>
      </x:c>
      <x:c r="AE1080" s="36" t="str">
        <x:f>IF(ISNUMBER(AD1080),ROUND(AD1080*0.015+0.2,2),"")</x:f>
      </x:c>
      <x:c r="AF1080" s="36" t="str">
        <x:f>IF(ISNUMBER(AD1080),ROUND(AD1080-AE1080-V1080,2),"")</x:f>
      </x:c>
      <x:c r="AG1080" t="str">
        <x:f>IF(NOT(ISNUMBER(T1080)),"PENDING",IF(AF1080&gt;0,"PASS","FAIL"))</x:f>
        <x:v>PENDING</x:v>
      </x:c>
      <x:c r="AH1080" t="str">
        <x:f>IF(NOT(ISNUMBER(T1080)),"Needs supplier cost",IF(K1080&lt;&gt;"In stock","Supplier unavailable",IF(AG1080&lt;&gt;"PASS","BLOCK - GT loss risk","Commercially protected")))</x:f>
        <x:v>Needs supplier cost</x:v>
      </x:c>
      <x:c r="AI1080" t="str">
        <x:v>2026-09-10 Active Sports trade capture</x:v>
      </x:c>
      <x:c r="AJ1080" t="str">
        <x:v>Management-only economics. Stripe stress test uses 1.5% + £0.20 standard UK online-card fee; pallet/mix-and-match pricing ignored.</x:v>
      </x:c>
    </x:row>
    <x:row r="1081">
      <x:c r="A1081" t="str">
        <x:v>Active Sports Nutrition</x:v>
      </x:c>
      <x:c r="B1081" t="str">
        <x:v>EHP Labs</x:v>
      </x:c>
      <x:c r="C1081" t="str">
        <x:v>OxyWhey</x:v>
      </x:c>
      <x:c r="D1081" t="str">
        <x:v>Supplements</x:v>
      </x:c>
      <x:c r="E1081" t="str">
        <x:v>Whey Protein</x:v>
      </x:c>
      <x:c r="F1081" t="str">
        <x:v>Protein blend for lean muscle and weight management.</x:v>
      </x:c>
      <x:c r="G1081" t="str">
        <x:v>15 servings</x:v>
      </x:c>
      <x:c r="H1081" t="str">
        <x:v>Delicious Chocolate</x:v>
      </x:c>
      <x:c r="I1081" t="str"/>
      <x:c r="J1081" t="str">
        <x:v>Unit</x:v>
      </x:c>
      <x:c r="K1081" t="str">
        <x:v>Out of stock</x:v>
      </x:c>
      <x:c r="L1081" t="str">
        <x:v>2026-09-08</x:v>
      </x:c>
      <x:c r="M1081" t="str"/>
      <x:c r="N1081" t="str"/>
      <x:c r="O1081" t="str">
        <x:v>https://www.activesportstrade.co.uk/ehp-labs-trade</x:v>
      </x:c>
      <x:c r="P1081" t="str"/>
      <x:c r="Q1081" t="str"/>
      <x:c r="R1081" t="str"/>
      <x:c r="S1081" t="str">
        <x:v>Pending genuine supplier/brand image</x:v>
      </x:c>
      <x:c r="T1081" s="54"/>
      <x:c r="U1081" s="47" t="n">
        <x:v>0.2</x:v>
      </x:c>
      <x:c r="V1081" s="54" t="str">
        <x:f>IF(ISNUMBER(T1081),T1081*(1+U1081),"")</x:f>
      </x:c>
      <x:c r="W1081" s="47" t="n">
        <x:v>0.3</x:v>
      </x:c>
      <x:c r="X1081" s="54" t="str">
        <x:f>IF(ISNUMBER(V1081),V1081/(1-W1081),"")</x:f>
      </x:c>
      <x:c r="Y1081" s="55" t="str">
        <x:f>IF(ISNUMBER(X1081),ROUNDUP(X1081,0),"")</x:f>
      </x:c>
      <x:c r="Z1081" t="str">
        <x:f>IF(ISNUMBER(T1081),"Cost captured","Awaiting trade cost")</x:f>
        <x:v>Awaiting trade cost</x:v>
      </x:c>
      <x:c r="AB1081" s="36" t="str">
        <x:f>IF(ISNUMBER(Y1081),ROUND(Y1081*0.9,2),"")</x:f>
      </x:c>
      <x:c r="AC1081" s="36" t="str">
        <x:f>IF(ISNUMBER(AB1081),ROUND(AB1081-(AB1081*0.015+0.2)-V1081,2),"")</x:f>
      </x:c>
      <x:c r="AD1081" s="36" t="str">
        <x:f>IF(ISNUMBER(Y1081),ROUND(Y1081*0.8,2),"")</x:f>
      </x:c>
      <x:c r="AE1081" s="36" t="str">
        <x:f>IF(ISNUMBER(AD1081),ROUND(AD1081*0.015+0.2,2),"")</x:f>
      </x:c>
      <x:c r="AF1081" s="36" t="str">
        <x:f>IF(ISNUMBER(AD1081),ROUND(AD1081-AE1081-V1081,2),"")</x:f>
      </x:c>
      <x:c r="AG1081" t="str">
        <x:f>IF(NOT(ISNUMBER(T1081)),"PENDING",IF(AF1081&gt;0,"PASS","FAIL"))</x:f>
        <x:v>PENDING</x:v>
      </x:c>
      <x:c r="AH1081" t="str">
        <x:f>IF(NOT(ISNUMBER(T1081)),"Needs supplier cost",IF(K1081&lt;&gt;"In stock","Supplier unavailable",IF(AG1081&lt;&gt;"PASS","BLOCK - GT loss risk","Commercially protected")))</x:f>
        <x:v>Needs supplier cost</x:v>
      </x:c>
      <x:c r="AI1081" t="str">
        <x:v>2026-09-10 Active Sports trade capture</x:v>
      </x:c>
      <x:c r="AJ1081" t="str">
        <x:v>Management-only economics. Stripe stress test uses 1.5% + £0.20 standard UK online-card fee; pallet/mix-and-match pricing ignored.</x:v>
      </x:c>
    </x:row>
    <x:row r="1082">
      <x:c r="A1082" t="str">
        <x:v>Active Sports Nutrition</x:v>
      </x:c>
      <x:c r="B1082" t="str">
        <x:v>EHP Labs</x:v>
      </x:c>
      <x:c r="C1082" t="str">
        <x:v>OxyWhey</x:v>
      </x:c>
      <x:c r="D1082" t="str">
        <x:v>Supplements</x:v>
      </x:c>
      <x:c r="E1082" t="str">
        <x:v>Whey Protein</x:v>
      </x:c>
      <x:c r="F1082" t="str">
        <x:v>Protein blend for lean muscle and weight management.</x:v>
      </x:c>
      <x:c r="G1082" t="str">
        <x:v>15 servings</x:v>
      </x:c>
      <x:c r="H1082" t="str">
        <x:v>Strawberry Milkshake</x:v>
      </x:c>
      <x:c r="I1082" t="str"/>
      <x:c r="J1082" t="str">
        <x:v>Unit</x:v>
      </x:c>
      <x:c r="K1082" t="str">
        <x:v>Out of stock</x:v>
      </x:c>
      <x:c r="L1082" t="str">
        <x:v>2026-09-08</x:v>
      </x:c>
      <x:c r="M1082" t="str"/>
      <x:c r="N1082" t="str"/>
      <x:c r="O1082" t="str">
        <x:v>https://www.activesportstrade.co.uk/ehp-labs-trade</x:v>
      </x:c>
      <x:c r="P1082" t="str"/>
      <x:c r="Q1082" t="str"/>
      <x:c r="R1082" t="str"/>
      <x:c r="S1082" t="str">
        <x:v>Pending genuine supplier/brand image</x:v>
      </x:c>
      <x:c r="T1082" s="54"/>
      <x:c r="U1082" s="47" t="n">
        <x:v>0.2</x:v>
      </x:c>
      <x:c r="V1082" s="54" t="str">
        <x:f>IF(ISNUMBER(T1082),T1082*(1+U1082),"")</x:f>
      </x:c>
      <x:c r="W1082" s="47" t="n">
        <x:v>0.3</x:v>
      </x:c>
      <x:c r="X1082" s="54" t="str">
        <x:f>IF(ISNUMBER(V1082),V1082/(1-W1082),"")</x:f>
      </x:c>
      <x:c r="Y1082" s="55" t="str">
        <x:f>IF(ISNUMBER(X1082),ROUNDUP(X1082,0),"")</x:f>
      </x:c>
      <x:c r="Z1082" t="str">
        <x:f>IF(ISNUMBER(T1082),"Cost captured","Awaiting trade cost")</x:f>
        <x:v>Awaiting trade cost</x:v>
      </x:c>
      <x:c r="AB1082" s="36" t="str">
        <x:f>IF(ISNUMBER(Y1082),ROUND(Y1082*0.9,2),"")</x:f>
      </x:c>
      <x:c r="AC1082" s="36" t="str">
        <x:f>IF(ISNUMBER(AB1082),ROUND(AB1082-(AB1082*0.015+0.2)-V1082,2),"")</x:f>
      </x:c>
      <x:c r="AD1082" s="36" t="str">
        <x:f>IF(ISNUMBER(Y1082),ROUND(Y1082*0.8,2),"")</x:f>
      </x:c>
      <x:c r="AE1082" s="36" t="str">
        <x:f>IF(ISNUMBER(AD1082),ROUND(AD1082*0.015+0.2,2),"")</x:f>
      </x:c>
      <x:c r="AF1082" s="36" t="str">
        <x:f>IF(ISNUMBER(AD1082),ROUND(AD1082-AE1082-V1082,2),"")</x:f>
      </x:c>
      <x:c r="AG1082" t="str">
        <x:f>IF(NOT(ISNUMBER(T1082)),"PENDING",IF(AF1082&gt;0,"PASS","FAIL"))</x:f>
        <x:v>PENDING</x:v>
      </x:c>
      <x:c r="AH1082" t="str">
        <x:f>IF(NOT(ISNUMBER(T1082)),"Needs supplier cost",IF(K1082&lt;&gt;"In stock","Supplier unavailable",IF(AG1082&lt;&gt;"PASS","BLOCK - GT loss risk","Commercially protected")))</x:f>
        <x:v>Needs supplier cost</x:v>
      </x:c>
      <x:c r="AI1082" t="str">
        <x:v>2026-09-10 Active Sports trade capture</x:v>
      </x:c>
      <x:c r="AJ1082" t="str">
        <x:v>Management-only economics. Stripe stress test uses 1.5% + £0.20 standard UK online-card fee; pallet/mix-and-match pricing ignored.</x:v>
      </x:c>
    </x:row>
    <x:row r="1083">
      <x:c r="A1083" t="str">
        <x:v>Active Sports Nutrition</x:v>
      </x:c>
      <x:c r="B1083" t="str">
        <x:v>EHP Labs</x:v>
      </x:c>
      <x:c r="C1083" t="str">
        <x:v>OxyWhey</x:v>
      </x:c>
      <x:c r="D1083" t="str">
        <x:v>Supplements</x:v>
      </x:c>
      <x:c r="E1083" t="str">
        <x:v>Whey Protein</x:v>
      </x:c>
      <x:c r="F1083" t="str">
        <x:v>Protein blend for lean muscle and weight management.</x:v>
      </x:c>
      <x:c r="G1083" t="str">
        <x:v>15 servings</x:v>
      </x:c>
      <x:c r="H1083" t="str">
        <x:v>Vanilla Ice Cream</x:v>
      </x:c>
      <x:c r="I1083" t="str"/>
      <x:c r="J1083" t="str">
        <x:v>Unit</x:v>
      </x:c>
      <x:c r="K1083" t="str">
        <x:v>Out of stock</x:v>
      </x:c>
      <x:c r="L1083" t="str">
        <x:v>2026-09-08</x:v>
      </x:c>
      <x:c r="M1083" t="str"/>
      <x:c r="N1083" t="str"/>
      <x:c r="O1083" t="str">
        <x:v>https://www.activesportstrade.co.uk/ehp-labs-trade</x:v>
      </x:c>
      <x:c r="P1083" t="str"/>
      <x:c r="Q1083" t="str"/>
      <x:c r="R1083" t="str"/>
      <x:c r="S1083" t="str">
        <x:v>Pending genuine supplier/brand image</x:v>
      </x:c>
      <x:c r="T1083" s="54"/>
      <x:c r="U1083" s="47" t="n">
        <x:v>0.2</x:v>
      </x:c>
      <x:c r="V1083" s="54" t="str">
        <x:f>IF(ISNUMBER(T1083),T1083*(1+U1083),"")</x:f>
      </x:c>
      <x:c r="W1083" s="47" t="n">
        <x:v>0.3</x:v>
      </x:c>
      <x:c r="X1083" s="54" t="str">
        <x:f>IF(ISNUMBER(V1083),V1083/(1-W1083),"")</x:f>
      </x:c>
      <x:c r="Y1083" s="55" t="str">
        <x:f>IF(ISNUMBER(X1083),ROUNDUP(X1083,0),"")</x:f>
      </x:c>
      <x:c r="Z1083" t="str">
        <x:f>IF(ISNUMBER(T1083),"Cost captured","Awaiting trade cost")</x:f>
        <x:v>Awaiting trade cost</x:v>
      </x:c>
      <x:c r="AB1083" s="36" t="str">
        <x:f>IF(ISNUMBER(Y1083),ROUND(Y1083*0.9,2),"")</x:f>
      </x:c>
      <x:c r="AC1083" s="36" t="str">
        <x:f>IF(ISNUMBER(AB1083),ROUND(AB1083-(AB1083*0.015+0.2)-V1083,2),"")</x:f>
      </x:c>
      <x:c r="AD1083" s="36" t="str">
        <x:f>IF(ISNUMBER(Y1083),ROUND(Y1083*0.8,2),"")</x:f>
      </x:c>
      <x:c r="AE1083" s="36" t="str">
        <x:f>IF(ISNUMBER(AD1083),ROUND(AD1083*0.015+0.2,2),"")</x:f>
      </x:c>
      <x:c r="AF1083" s="36" t="str">
        <x:f>IF(ISNUMBER(AD1083),ROUND(AD1083-AE1083-V1083,2),"")</x:f>
      </x:c>
      <x:c r="AG1083" t="str">
        <x:f>IF(NOT(ISNUMBER(T1083)),"PENDING",IF(AF1083&gt;0,"PASS","FAIL"))</x:f>
        <x:v>PENDING</x:v>
      </x:c>
      <x:c r="AH1083" t="str">
        <x:f>IF(NOT(ISNUMBER(T1083)),"Needs supplier cost",IF(K1083&lt;&gt;"In stock","Supplier unavailable",IF(AG1083&lt;&gt;"PASS","BLOCK - GT loss risk","Commercially protected")))</x:f>
        <x:v>Needs supplier cost</x:v>
      </x:c>
      <x:c r="AI1083" t="str">
        <x:v>2026-09-10 Active Sports trade capture</x:v>
      </x:c>
      <x:c r="AJ1083" t="str">
        <x:v>Management-only economics. Stripe stress test uses 1.5% + £0.20 standard UK online-card fee; pallet/mix-and-match pricing ignored.</x:v>
      </x:c>
    </x:row>
    <x:row r="1084">
      <x:c r="A1084" t="str">
        <x:v>Active Sports Nutrition</x:v>
      </x:c>
      <x:c r="B1084" t="str">
        <x:v>Gas Mark 10</x:v>
      </x:c>
      <x:c r="C1084" t="str">
        <x:v>Limitless</x:v>
      </x:c>
      <x:c r="D1084" t="str">
        <x:v>Supplements</x:v>
      </x:c>
      <x:c r="E1084" t="str">
        <x:v>Mood Enhancers</x:v>
      </x:c>
      <x:c r="F1084" t="str">
        <x:v>Focus/mental performance capsule formula.</x:v>
      </x:c>
      <x:c r="G1084" t="str">
        <x:v>120 caps</x:v>
      </x:c>
      <x:c r="H1084" t="str">
        <x:v>Default</x:v>
      </x:c>
      <x:c r="I1084" t="str"/>
      <x:c r="J1084" t="str">
        <x:v>Unit</x:v>
      </x:c>
      <x:c r="K1084" t="str">
        <x:v>In stock</x:v>
      </x:c>
      <x:c r="L1084" t="str">
        <x:v>2026-09-08</x:v>
      </x:c>
      <x:c r="M1084" t="str"/>
      <x:c r="N1084" t="str"/>
      <x:c r="O1084" t="str">
        <x:v>https://www.activesportstrade.co.uk/trade-pre-workout-supplements</x:v>
      </x:c>
      <x:c r="P1084" t="str"/>
      <x:c r="Q1084" t="str"/>
      <x:c r="R1084" t="str"/>
      <x:c r="S1084" t="str">
        <x:v>Pending genuine supplier/brand image</x:v>
      </x:c>
      <x:c r="T1084" s="54"/>
      <x:c r="U1084" s="47" t="n">
        <x:v>0.2</x:v>
      </x:c>
      <x:c r="V1084" s="54" t="str">
        <x:f>IF(ISNUMBER(T1084),T1084*(1+U1084),"")</x:f>
      </x:c>
      <x:c r="W1084" s="47" t="n">
        <x:v>0.3</x:v>
      </x:c>
      <x:c r="X1084" s="54" t="str">
        <x:f>IF(ISNUMBER(V1084),V1084/(1-W1084),"")</x:f>
      </x:c>
      <x:c r="Y1084" s="55" t="str">
        <x:f>IF(ISNUMBER(X1084),ROUNDUP(X1084,0),"")</x:f>
      </x:c>
      <x:c r="Z1084" t="str">
        <x:f>IF(ISNUMBER(T1084),"Cost captured","Awaiting trade cost")</x:f>
        <x:v>Awaiting trade cost</x:v>
      </x:c>
      <x:c r="AB1084" s="36" t="str">
        <x:f>IF(ISNUMBER(Y1084),ROUND(Y1084*0.9,2),"")</x:f>
      </x:c>
      <x:c r="AC1084" s="36" t="str">
        <x:f>IF(ISNUMBER(AB1084),ROUND(AB1084-(AB1084*0.015+0.2)-V1084,2),"")</x:f>
      </x:c>
      <x:c r="AD1084" s="36" t="str">
        <x:f>IF(ISNUMBER(Y1084),ROUND(Y1084*0.8,2),"")</x:f>
      </x:c>
      <x:c r="AE1084" s="36" t="str">
        <x:f>IF(ISNUMBER(AD1084),ROUND(AD1084*0.015+0.2,2),"")</x:f>
      </x:c>
      <x:c r="AF1084" s="36" t="str">
        <x:f>IF(ISNUMBER(AD1084),ROUND(AD1084-AE1084-V1084,2),"")</x:f>
      </x:c>
      <x:c r="AG1084" t="str">
        <x:f>IF(NOT(ISNUMBER(T1084)),"PENDING",IF(AF1084&gt;0,"PASS","FAIL"))</x:f>
        <x:v>PENDING</x:v>
      </x:c>
      <x:c r="AH1084" t="str">
        <x:f>IF(NOT(ISNUMBER(T1084)),"Needs supplier cost",IF(K1084&lt;&gt;"In stock","Supplier unavailable",IF(AG1084&lt;&gt;"PASS","BLOCK - GT loss risk","Commercially protected")))</x:f>
        <x:v>Needs supplier cost</x:v>
      </x:c>
      <x:c r="AI1084" t="str">
        <x:v>2026-09-10 Active Sports trade capture</x:v>
      </x:c>
      <x:c r="AJ1084" t="str">
        <x:v>Management-only economics. Stripe stress test uses 1.5% + £0.20 standard UK online-card fee; pallet/mix-and-match pricing ignored.</x:v>
      </x:c>
    </x:row>
    <x:row r="1085">
      <x:c r="A1085" t="str">
        <x:v>Active Sports Nutrition</x:v>
      </x:c>
      <x:c r="B1085" t="str">
        <x:v>Gas Mark 10</x:v>
      </x:c>
      <x:c r="C1085" t="str">
        <x:v>No Games</x:v>
      </x:c>
      <x:c r="D1085" t="str">
        <x:v>Pre Workouts</x:v>
      </x:c>
      <x:c r="E1085" t="str">
        <x:v>High Stim</x:v>
      </x:c>
      <x:c r="F1085" t="str">
        <x:v>Stimulant pre-workout.</x:v>
      </x:c>
      <x:c r="G1085" t="str">
        <x:v>330g</x:v>
      </x:c>
      <x:c r="H1085" t="str">
        <x:v>Apple &amp; Mango</x:v>
      </x:c>
      <x:c r="I1085" t="str"/>
      <x:c r="J1085" t="str">
        <x:v>Unit</x:v>
      </x:c>
      <x:c r="K1085" t="str">
        <x:v>In stock</x:v>
      </x:c>
      <x:c r="L1085" t="str">
        <x:v>2026-09-08</x:v>
      </x:c>
      <x:c r="M1085" t="str"/>
      <x:c r="N1085" t="str"/>
      <x:c r="O1085" t="str">
        <x:v>https://www.activesportstrade.co.uk/trade-pre-workout-supplements</x:v>
      </x:c>
      <x:c r="P1085" t="str"/>
      <x:c r="Q1085" t="str"/>
      <x:c r="R1085" t="str"/>
      <x:c r="S1085" t="str">
        <x:v>Pending genuine supplier/brand image</x:v>
      </x:c>
      <x:c r="T1085" s="54"/>
      <x:c r="U1085" s="47" t="n">
        <x:v>0.2</x:v>
      </x:c>
      <x:c r="V1085" s="54" t="str">
        <x:f>IF(ISNUMBER(T1085),T1085*(1+U1085),"")</x:f>
      </x:c>
      <x:c r="W1085" s="47" t="n">
        <x:v>0.3</x:v>
      </x:c>
      <x:c r="X1085" s="54" t="str">
        <x:f>IF(ISNUMBER(V1085),V1085/(1-W1085),"")</x:f>
      </x:c>
      <x:c r="Y1085" s="55" t="str">
        <x:f>IF(ISNUMBER(X1085),ROUNDUP(X1085,0),"")</x:f>
      </x:c>
      <x:c r="Z1085" t="str">
        <x:f>IF(ISNUMBER(T1085),"Cost captured","Awaiting trade cost")</x:f>
        <x:v>Awaiting trade cost</x:v>
      </x:c>
      <x:c r="AB1085" s="36" t="str">
        <x:f>IF(ISNUMBER(Y1085),ROUND(Y1085*0.9,2),"")</x:f>
      </x:c>
      <x:c r="AC1085" s="36" t="str">
        <x:f>IF(ISNUMBER(AB1085),ROUND(AB1085-(AB1085*0.015+0.2)-V1085,2),"")</x:f>
      </x:c>
      <x:c r="AD1085" s="36" t="str">
        <x:f>IF(ISNUMBER(Y1085),ROUND(Y1085*0.8,2),"")</x:f>
      </x:c>
      <x:c r="AE1085" s="36" t="str">
        <x:f>IF(ISNUMBER(AD1085),ROUND(AD1085*0.015+0.2,2),"")</x:f>
      </x:c>
      <x:c r="AF1085" s="36" t="str">
        <x:f>IF(ISNUMBER(AD1085),ROUND(AD1085-AE1085-V1085,2),"")</x:f>
      </x:c>
      <x:c r="AG1085" t="str">
        <x:f>IF(NOT(ISNUMBER(T1085)),"PENDING",IF(AF1085&gt;0,"PASS","FAIL"))</x:f>
        <x:v>PENDING</x:v>
      </x:c>
      <x:c r="AH1085" t="str">
        <x:f>IF(NOT(ISNUMBER(T1085)),"Needs supplier cost",IF(K1085&lt;&gt;"In stock","Supplier unavailable",IF(AG1085&lt;&gt;"PASS","BLOCK - GT loss risk","Commercially protected")))</x:f>
        <x:v>Needs supplier cost</x:v>
      </x:c>
      <x:c r="AI1085" t="str">
        <x:v>2026-09-10 Active Sports trade capture</x:v>
      </x:c>
      <x:c r="AJ1085" t="str">
        <x:v>Management-only economics. Stripe stress test uses 1.5% + £0.20 standard UK online-card fee; pallet/mix-and-match pricing ignored.</x:v>
      </x:c>
    </x:row>
    <x:row r="1086">
      <x:c r="A1086" t="str">
        <x:v>Active Sports Nutrition</x:v>
      </x:c>
      <x:c r="B1086" t="str">
        <x:v>Gas Mark 10</x:v>
      </x:c>
      <x:c r="C1086" t="str">
        <x:v>No Games</x:v>
      </x:c>
      <x:c r="D1086" t="str">
        <x:v>Pre Workouts</x:v>
      </x:c>
      <x:c r="E1086" t="str">
        <x:v>High Stim</x:v>
      </x:c>
      <x:c r="F1086" t="str">
        <x:v>Stimulant pre-workout.</x:v>
      </x:c>
      <x:c r="G1086" t="str">
        <x:v>330g</x:v>
      </x:c>
      <x:c r="H1086" t="str">
        <x:v>Apple Raspberry</x:v>
      </x:c>
      <x:c r="I1086" t="str"/>
      <x:c r="J1086" t="str">
        <x:v>Unit</x:v>
      </x:c>
      <x:c r="K1086" t="str">
        <x:v>In stock</x:v>
      </x:c>
      <x:c r="L1086" t="str">
        <x:v>2026-09-08</x:v>
      </x:c>
      <x:c r="M1086" t="str"/>
      <x:c r="N1086" t="str"/>
      <x:c r="O1086" t="str">
        <x:v>https://www.activesportstrade.co.uk/trade-pre-workout-supplements</x:v>
      </x:c>
      <x:c r="P1086" t="str"/>
      <x:c r="Q1086" t="str"/>
      <x:c r="R1086" t="str"/>
      <x:c r="S1086" t="str">
        <x:v>Pending genuine supplier/brand image</x:v>
      </x:c>
      <x:c r="T1086" s="54"/>
      <x:c r="U1086" s="47" t="n">
        <x:v>0.2</x:v>
      </x:c>
      <x:c r="V1086" s="54" t="str">
        <x:f>IF(ISNUMBER(T1086),T1086*(1+U1086),"")</x:f>
      </x:c>
      <x:c r="W1086" s="47" t="n">
        <x:v>0.3</x:v>
      </x:c>
      <x:c r="X1086" s="54" t="str">
        <x:f>IF(ISNUMBER(V1086),V1086/(1-W1086),"")</x:f>
      </x:c>
      <x:c r="Y1086" s="55" t="str">
        <x:f>IF(ISNUMBER(X1086),ROUNDUP(X1086,0),"")</x:f>
      </x:c>
      <x:c r="Z1086" t="str">
        <x:f>IF(ISNUMBER(T1086),"Cost captured","Awaiting trade cost")</x:f>
        <x:v>Awaiting trade cost</x:v>
      </x:c>
      <x:c r="AB1086" s="36" t="str">
        <x:f>IF(ISNUMBER(Y1086),ROUND(Y1086*0.9,2),"")</x:f>
      </x:c>
      <x:c r="AC1086" s="36" t="str">
        <x:f>IF(ISNUMBER(AB1086),ROUND(AB1086-(AB1086*0.015+0.2)-V1086,2),"")</x:f>
      </x:c>
      <x:c r="AD1086" s="36" t="str">
        <x:f>IF(ISNUMBER(Y1086),ROUND(Y1086*0.8,2),"")</x:f>
      </x:c>
      <x:c r="AE1086" s="36" t="str">
        <x:f>IF(ISNUMBER(AD1086),ROUND(AD1086*0.015+0.2,2),"")</x:f>
      </x:c>
      <x:c r="AF1086" s="36" t="str">
        <x:f>IF(ISNUMBER(AD1086),ROUND(AD1086-AE1086-V1086,2),"")</x:f>
      </x:c>
      <x:c r="AG1086" t="str">
        <x:f>IF(NOT(ISNUMBER(T1086)),"PENDING",IF(AF1086&gt;0,"PASS","FAIL"))</x:f>
        <x:v>PENDING</x:v>
      </x:c>
      <x:c r="AH1086" t="str">
        <x:f>IF(NOT(ISNUMBER(T1086)),"Needs supplier cost",IF(K1086&lt;&gt;"In stock","Supplier unavailable",IF(AG1086&lt;&gt;"PASS","BLOCK - GT loss risk","Commercially protected")))</x:f>
        <x:v>Needs supplier cost</x:v>
      </x:c>
      <x:c r="AI1086" t="str">
        <x:v>2026-09-10 Active Sports trade capture</x:v>
      </x:c>
      <x:c r="AJ1086" t="str">
        <x:v>Management-only economics. Stripe stress test uses 1.5% + £0.20 standard UK online-card fee; pallet/mix-and-match pricing ignored.</x:v>
      </x:c>
    </x:row>
    <x:row r="1087">
      <x:c r="A1087" t="str">
        <x:v>Active Sports Nutrition</x:v>
      </x:c>
      <x:c r="B1087" t="str">
        <x:v>Gas Mark 10</x:v>
      </x:c>
      <x:c r="C1087" t="str">
        <x:v>No Games</x:v>
      </x:c>
      <x:c r="D1087" t="str">
        <x:v>Pre Workouts</x:v>
      </x:c>
      <x:c r="E1087" t="str">
        <x:v>High Stim</x:v>
      </x:c>
      <x:c r="F1087" t="str">
        <x:v>Stimulant pre-workout.</x:v>
      </x:c>
      <x:c r="G1087" t="str">
        <x:v>330g</x:v>
      </x:c>
      <x:c r="H1087" t="str">
        <x:v>Bubblegum Cherry</x:v>
      </x:c>
      <x:c r="I1087" t="str"/>
      <x:c r="J1087" t="str">
        <x:v>Unit</x:v>
      </x:c>
      <x:c r="K1087" t="str">
        <x:v>In stock</x:v>
      </x:c>
      <x:c r="L1087" t="str">
        <x:v>2026-09-08</x:v>
      </x:c>
      <x:c r="M1087" t="str"/>
      <x:c r="N1087" t="str"/>
      <x:c r="O1087" t="str">
        <x:v>https://www.activesportstrade.co.uk/trade-pre-workout-supplements</x:v>
      </x:c>
      <x:c r="P1087" t="str"/>
      <x:c r="Q1087" t="str"/>
      <x:c r="R1087" t="str"/>
      <x:c r="S1087" t="str">
        <x:v>Pending genuine supplier/brand image</x:v>
      </x:c>
      <x:c r="T1087" s="54"/>
      <x:c r="U1087" s="47" t="n">
        <x:v>0.2</x:v>
      </x:c>
      <x:c r="V1087" s="54" t="str">
        <x:f>IF(ISNUMBER(T1087),T1087*(1+U1087),"")</x:f>
      </x:c>
      <x:c r="W1087" s="47" t="n">
        <x:v>0.3</x:v>
      </x:c>
      <x:c r="X1087" s="54" t="str">
        <x:f>IF(ISNUMBER(V1087),V1087/(1-W1087),"")</x:f>
      </x:c>
      <x:c r="Y1087" s="55" t="str">
        <x:f>IF(ISNUMBER(X1087),ROUNDUP(X1087,0),"")</x:f>
      </x:c>
      <x:c r="Z1087" t="str">
        <x:f>IF(ISNUMBER(T1087),"Cost captured","Awaiting trade cost")</x:f>
        <x:v>Awaiting trade cost</x:v>
      </x:c>
      <x:c r="AB1087" s="36" t="str">
        <x:f>IF(ISNUMBER(Y1087),ROUND(Y1087*0.9,2),"")</x:f>
      </x:c>
      <x:c r="AC1087" s="36" t="str">
        <x:f>IF(ISNUMBER(AB1087),ROUND(AB1087-(AB1087*0.015+0.2)-V1087,2),"")</x:f>
      </x:c>
      <x:c r="AD1087" s="36" t="str">
        <x:f>IF(ISNUMBER(Y1087),ROUND(Y1087*0.8,2),"")</x:f>
      </x:c>
      <x:c r="AE1087" s="36" t="str">
        <x:f>IF(ISNUMBER(AD1087),ROUND(AD1087*0.015+0.2,2),"")</x:f>
      </x:c>
      <x:c r="AF1087" s="36" t="str">
        <x:f>IF(ISNUMBER(AD1087),ROUND(AD1087-AE1087-V1087,2),"")</x:f>
      </x:c>
      <x:c r="AG1087" t="str">
        <x:f>IF(NOT(ISNUMBER(T1087)),"PENDING",IF(AF1087&gt;0,"PASS","FAIL"))</x:f>
        <x:v>PENDING</x:v>
      </x:c>
      <x:c r="AH1087" t="str">
        <x:f>IF(NOT(ISNUMBER(T1087)),"Needs supplier cost",IF(K1087&lt;&gt;"In stock","Supplier unavailable",IF(AG1087&lt;&gt;"PASS","BLOCK - GT loss risk","Commercially protected")))</x:f>
        <x:v>Needs supplier cost</x:v>
      </x:c>
      <x:c r="AI1087" t="str">
        <x:v>2026-09-10 Active Sports trade capture</x:v>
      </x:c>
      <x:c r="AJ1087" t="str">
        <x:v>Management-only economics. Stripe stress test uses 1.5% + £0.20 standard UK online-card fee; pallet/mix-and-match pricing ignored.</x:v>
      </x:c>
    </x:row>
    <x:row r="1088">
      <x:c r="A1088" t="str">
        <x:v>Active Sports Nutrition</x:v>
      </x:c>
      <x:c r="B1088" t="str">
        <x:v>Gas Mark 10</x:v>
      </x:c>
      <x:c r="C1088" t="str">
        <x:v>No Games</x:v>
      </x:c>
      <x:c r="D1088" t="str">
        <x:v>Pre Workouts</x:v>
      </x:c>
      <x:c r="E1088" t="str">
        <x:v>High Stim</x:v>
      </x:c>
      <x:c r="F1088" t="str">
        <x:v>Stimulant pre-workout.</x:v>
      </x:c>
      <x:c r="G1088" t="str">
        <x:v>330g</x:v>
      </x:c>
      <x:c r="H1088" t="str">
        <x:v>Lemon Sherbet</x:v>
      </x:c>
      <x:c r="I1088" t="str"/>
      <x:c r="J1088" t="str">
        <x:v>Unit</x:v>
      </x:c>
      <x:c r="K1088" t="str">
        <x:v>In stock</x:v>
      </x:c>
      <x:c r="L1088" t="str">
        <x:v>2026-09-08</x:v>
      </x:c>
      <x:c r="M1088" t="str"/>
      <x:c r="N1088" t="str"/>
      <x:c r="O1088" t="str">
        <x:v>https://www.activesportstrade.co.uk/trade-pre-workout-supplements</x:v>
      </x:c>
      <x:c r="P1088" t="str"/>
      <x:c r="Q1088" t="str"/>
      <x:c r="R1088" t="str"/>
      <x:c r="S1088" t="str">
        <x:v>Pending genuine supplier/brand image</x:v>
      </x:c>
      <x:c r="T1088" s="54"/>
      <x:c r="U1088" s="47" t="n">
        <x:v>0.2</x:v>
      </x:c>
      <x:c r="V1088" s="54" t="str">
        <x:f>IF(ISNUMBER(T1088),T1088*(1+U1088),"")</x:f>
      </x:c>
      <x:c r="W1088" s="47" t="n">
        <x:v>0.3</x:v>
      </x:c>
      <x:c r="X1088" s="54" t="str">
        <x:f>IF(ISNUMBER(V1088),V1088/(1-W1088),"")</x:f>
      </x:c>
      <x:c r="Y1088" s="55" t="str">
        <x:f>IF(ISNUMBER(X1088),ROUNDUP(X1088,0),"")</x:f>
      </x:c>
      <x:c r="Z1088" t="str">
        <x:f>IF(ISNUMBER(T1088),"Cost captured","Awaiting trade cost")</x:f>
        <x:v>Awaiting trade cost</x:v>
      </x:c>
      <x:c r="AB1088" s="36" t="str">
        <x:f>IF(ISNUMBER(Y1088),ROUND(Y1088*0.9,2),"")</x:f>
      </x:c>
      <x:c r="AC1088" s="36" t="str">
        <x:f>IF(ISNUMBER(AB1088),ROUND(AB1088-(AB1088*0.015+0.2)-V1088,2),"")</x:f>
      </x:c>
      <x:c r="AD1088" s="36" t="str">
        <x:f>IF(ISNUMBER(Y1088),ROUND(Y1088*0.8,2),"")</x:f>
      </x:c>
      <x:c r="AE1088" s="36" t="str">
        <x:f>IF(ISNUMBER(AD1088),ROUND(AD1088*0.015+0.2,2),"")</x:f>
      </x:c>
      <x:c r="AF1088" s="36" t="str">
        <x:f>IF(ISNUMBER(AD1088),ROUND(AD1088-AE1088-V1088,2),"")</x:f>
      </x:c>
      <x:c r="AG1088" t="str">
        <x:f>IF(NOT(ISNUMBER(T1088)),"PENDING",IF(AF1088&gt;0,"PASS","FAIL"))</x:f>
        <x:v>PENDING</x:v>
      </x:c>
      <x:c r="AH1088" t="str">
        <x:f>IF(NOT(ISNUMBER(T1088)),"Needs supplier cost",IF(K1088&lt;&gt;"In stock","Supplier unavailable",IF(AG1088&lt;&gt;"PASS","BLOCK - GT loss risk","Commercially protected")))</x:f>
        <x:v>Needs supplier cost</x:v>
      </x:c>
      <x:c r="AI1088" t="str">
        <x:v>2026-09-10 Active Sports trade capture</x:v>
      </x:c>
      <x:c r="AJ1088" t="str">
        <x:v>Management-only economics. Stripe stress test uses 1.5% + £0.20 standard UK online-card fee; pallet/mix-and-match pricing ignored.</x:v>
      </x:c>
    </x:row>
    <x:row r="1089">
      <x:c r="A1089" t="str">
        <x:v>Active Sports Nutrition</x:v>
      </x:c>
      <x:c r="B1089" t="str">
        <x:v>Gas Mark 10</x:v>
      </x:c>
      <x:c r="C1089" t="str">
        <x:v>No Games</x:v>
      </x:c>
      <x:c r="D1089" t="str">
        <x:v>Pre Workouts</x:v>
      </x:c>
      <x:c r="E1089" t="str">
        <x:v>High Stim</x:v>
      </x:c>
      <x:c r="F1089" t="str">
        <x:v>Stimulant pre-workout.</x:v>
      </x:c>
      <x:c r="G1089" t="str">
        <x:v>330g</x:v>
      </x:c>
      <x:c r="H1089" t="str">
        <x:v>Rainbow Skittles</x:v>
      </x:c>
      <x:c r="I1089" t="str"/>
      <x:c r="J1089" t="str">
        <x:v>Unit</x:v>
      </x:c>
      <x:c r="K1089" t="str">
        <x:v>Out of stock</x:v>
      </x:c>
      <x:c r="L1089" t="str">
        <x:v>2026-09-08</x:v>
      </x:c>
      <x:c r="M1089" t="str"/>
      <x:c r="N1089" t="str"/>
      <x:c r="O1089" t="str">
        <x:v>https://www.activesportstrade.co.uk/trade-pre-workout-supplements</x:v>
      </x:c>
      <x:c r="P1089" t="str"/>
      <x:c r="Q1089" t="str"/>
      <x:c r="R1089" t="str"/>
      <x:c r="S1089" t="str">
        <x:v>Pending genuine supplier/brand image</x:v>
      </x:c>
      <x:c r="T1089" s="54"/>
      <x:c r="U1089" s="47" t="n">
        <x:v>0.2</x:v>
      </x:c>
      <x:c r="V1089" s="54" t="str">
        <x:f>IF(ISNUMBER(T1089),T1089*(1+U1089),"")</x:f>
      </x:c>
      <x:c r="W1089" s="47" t="n">
        <x:v>0.3</x:v>
      </x:c>
      <x:c r="X1089" s="54" t="str">
        <x:f>IF(ISNUMBER(V1089),V1089/(1-W1089),"")</x:f>
      </x:c>
      <x:c r="Y1089" s="55" t="str">
        <x:f>IF(ISNUMBER(X1089),ROUNDUP(X1089,0),"")</x:f>
      </x:c>
      <x:c r="Z1089" t="str">
        <x:f>IF(ISNUMBER(T1089),"Cost captured","Awaiting trade cost")</x:f>
        <x:v>Awaiting trade cost</x:v>
      </x:c>
      <x:c r="AB1089" s="36" t="str">
        <x:f>IF(ISNUMBER(Y1089),ROUND(Y1089*0.9,2),"")</x:f>
      </x:c>
      <x:c r="AC1089" s="36" t="str">
        <x:f>IF(ISNUMBER(AB1089),ROUND(AB1089-(AB1089*0.015+0.2)-V1089,2),"")</x:f>
      </x:c>
      <x:c r="AD1089" s="36" t="str">
        <x:f>IF(ISNUMBER(Y1089),ROUND(Y1089*0.8,2),"")</x:f>
      </x:c>
      <x:c r="AE1089" s="36" t="str">
        <x:f>IF(ISNUMBER(AD1089),ROUND(AD1089*0.015+0.2,2),"")</x:f>
      </x:c>
      <x:c r="AF1089" s="36" t="str">
        <x:f>IF(ISNUMBER(AD1089),ROUND(AD1089-AE1089-V1089,2),"")</x:f>
      </x:c>
      <x:c r="AG1089" t="str">
        <x:f>IF(NOT(ISNUMBER(T1089)),"PENDING",IF(AF1089&gt;0,"PASS","FAIL"))</x:f>
        <x:v>PENDING</x:v>
      </x:c>
      <x:c r="AH1089" t="str">
        <x:f>IF(NOT(ISNUMBER(T1089)),"Needs supplier cost",IF(K1089&lt;&gt;"In stock","Supplier unavailable",IF(AG1089&lt;&gt;"PASS","BLOCK - GT loss risk","Commercially protected")))</x:f>
        <x:v>Needs supplier cost</x:v>
      </x:c>
      <x:c r="AI1089" t="str">
        <x:v>2026-09-10 Active Sports trade capture</x:v>
      </x:c>
      <x:c r="AJ1089" t="str">
        <x:v>Management-only economics. Stripe stress test uses 1.5% + £0.20 standard UK online-card fee; pallet/mix-and-match pricing ignored.</x:v>
      </x:c>
    </x:row>
    <x:row r="1090">
      <x:c r="A1090" t="str">
        <x:v>Active Sports Nutrition</x:v>
      </x:c>
      <x:c r="B1090" t="str">
        <x:v>Gas Mark 10</x:v>
      </x:c>
      <x:c r="C1090" t="str">
        <x:v>No Games</x:v>
      </x:c>
      <x:c r="D1090" t="str">
        <x:v>Pre Workouts</x:v>
      </x:c>
      <x:c r="E1090" t="str">
        <x:v>High Stim</x:v>
      </x:c>
      <x:c r="F1090" t="str">
        <x:v>Stimulant pre-workout.</x:v>
      </x:c>
      <x:c r="G1090" t="str">
        <x:v>330g</x:v>
      </x:c>
      <x:c r="H1090" t="str">
        <x:v>Strawberry Banana</x:v>
      </x:c>
      <x:c r="I1090" t="str"/>
      <x:c r="J1090" t="str">
        <x:v>Unit</x:v>
      </x:c>
      <x:c r="K1090" t="str">
        <x:v>Out of stock</x:v>
      </x:c>
      <x:c r="L1090" t="str">
        <x:v>2026-09-08</x:v>
      </x:c>
      <x:c r="M1090" t="str"/>
      <x:c r="N1090" t="str"/>
      <x:c r="O1090" t="str">
        <x:v>https://www.activesportstrade.co.uk/trade-pre-workout-supplements</x:v>
      </x:c>
      <x:c r="P1090" t="str"/>
      <x:c r="Q1090" t="str"/>
      <x:c r="R1090" t="str"/>
      <x:c r="S1090" t="str">
        <x:v>Pending genuine supplier/brand image</x:v>
      </x:c>
      <x:c r="T1090" s="54"/>
      <x:c r="U1090" s="47" t="n">
        <x:v>0.2</x:v>
      </x:c>
      <x:c r="V1090" s="54" t="str">
        <x:f>IF(ISNUMBER(T1090),T1090*(1+U1090),"")</x:f>
      </x:c>
      <x:c r="W1090" s="47" t="n">
        <x:v>0.3</x:v>
      </x:c>
      <x:c r="X1090" s="54" t="str">
        <x:f>IF(ISNUMBER(V1090),V1090/(1-W1090),"")</x:f>
      </x:c>
      <x:c r="Y1090" s="55" t="str">
        <x:f>IF(ISNUMBER(X1090),ROUNDUP(X1090,0),"")</x:f>
      </x:c>
      <x:c r="Z1090" t="str">
        <x:f>IF(ISNUMBER(T1090),"Cost captured","Awaiting trade cost")</x:f>
        <x:v>Awaiting trade cost</x:v>
      </x:c>
      <x:c r="AB1090" s="36" t="str">
        <x:f>IF(ISNUMBER(Y1090),ROUND(Y1090*0.9,2),"")</x:f>
      </x:c>
      <x:c r="AC1090" s="36" t="str">
        <x:f>IF(ISNUMBER(AB1090),ROUND(AB1090-(AB1090*0.015+0.2)-V1090,2),"")</x:f>
      </x:c>
      <x:c r="AD1090" s="36" t="str">
        <x:f>IF(ISNUMBER(Y1090),ROUND(Y1090*0.8,2),"")</x:f>
      </x:c>
      <x:c r="AE1090" s="36" t="str">
        <x:f>IF(ISNUMBER(AD1090),ROUND(AD1090*0.015+0.2,2),"")</x:f>
      </x:c>
      <x:c r="AF1090" s="36" t="str">
        <x:f>IF(ISNUMBER(AD1090),ROUND(AD1090-AE1090-V1090,2),"")</x:f>
      </x:c>
      <x:c r="AG1090" t="str">
        <x:f>IF(NOT(ISNUMBER(T1090)),"PENDING",IF(AF1090&gt;0,"PASS","FAIL"))</x:f>
        <x:v>PENDING</x:v>
      </x:c>
      <x:c r="AH1090" t="str">
        <x:f>IF(NOT(ISNUMBER(T1090)),"Needs supplier cost",IF(K1090&lt;&gt;"In stock","Supplier unavailable",IF(AG1090&lt;&gt;"PASS","BLOCK - GT loss risk","Commercially protected")))</x:f>
        <x:v>Needs supplier cost</x:v>
      </x:c>
      <x:c r="AI1090" t="str">
        <x:v>2026-09-10 Active Sports trade capture</x:v>
      </x:c>
      <x:c r="AJ1090" t="str">
        <x:v>Management-only economics. Stripe stress test uses 1.5% + £0.20 standard UK online-card fee; pallet/mix-and-match pricing ignored.</x:v>
      </x:c>
    </x:row>
    <x:row r="1091">
      <x:c r="A1091" t="str">
        <x:v>Active Sports Nutrition</x:v>
      </x:c>
      <x:c r="B1091" t="str">
        <x:v>Gas Mark 10</x:v>
      </x:c>
      <x:c r="C1091" t="str">
        <x:v>Pitbull Pump</x:v>
      </x:c>
      <x:c r="D1091" t="str">
        <x:v>Pre Workouts</x:v>
      </x:c>
      <x:c r="E1091" t="str">
        <x:v>Stim FREE</x:v>
      </x:c>
      <x:c r="F1091" t="str">
        <x:v>Stim-free pump pre-workout.</x:v>
      </x:c>
      <x:c r="G1091" t="str">
        <x:v>450g</x:v>
      </x:c>
      <x:c r="H1091" t="str">
        <x:v>Apple Raspberry</x:v>
      </x:c>
      <x:c r="I1091" t="str"/>
      <x:c r="J1091" t="str">
        <x:v>Unit</x:v>
      </x:c>
      <x:c r="K1091" t="str">
        <x:v>In stock</x:v>
      </x:c>
      <x:c r="L1091" t="str">
        <x:v>2026-09-08</x:v>
      </x:c>
      <x:c r="M1091" t="str"/>
      <x:c r="N1091" t="str"/>
      <x:c r="O1091" t="str">
        <x:v>https://www.activesportstrade.co.uk/trade-pre-workout-supplements</x:v>
      </x:c>
      <x:c r="P1091" t="str"/>
      <x:c r="Q1091" t="str"/>
      <x:c r="R1091" t="str"/>
      <x:c r="S1091" t="str">
        <x:v>Pending genuine supplier/brand image</x:v>
      </x:c>
      <x:c r="T1091" s="54"/>
      <x:c r="U1091" s="47" t="n">
        <x:v>0.2</x:v>
      </x:c>
      <x:c r="V1091" s="54" t="str">
        <x:f>IF(ISNUMBER(T1091),T1091*(1+U1091),"")</x:f>
      </x:c>
      <x:c r="W1091" s="47" t="n">
        <x:v>0.3</x:v>
      </x:c>
      <x:c r="X1091" s="54" t="str">
        <x:f>IF(ISNUMBER(V1091),V1091/(1-W1091),"")</x:f>
      </x:c>
      <x:c r="Y1091" s="55" t="str">
        <x:f>IF(ISNUMBER(X1091),ROUNDUP(X1091,0),"")</x:f>
      </x:c>
      <x:c r="Z1091" t="str">
        <x:f>IF(ISNUMBER(T1091),"Cost captured","Awaiting trade cost")</x:f>
        <x:v>Awaiting trade cost</x:v>
      </x:c>
      <x:c r="AB1091" s="36" t="str">
        <x:f>IF(ISNUMBER(Y1091),ROUND(Y1091*0.9,2),"")</x:f>
      </x:c>
      <x:c r="AC1091" s="36" t="str">
        <x:f>IF(ISNUMBER(AB1091),ROUND(AB1091-(AB1091*0.015+0.2)-V1091,2),"")</x:f>
      </x:c>
      <x:c r="AD1091" s="36" t="str">
        <x:f>IF(ISNUMBER(Y1091),ROUND(Y1091*0.8,2),"")</x:f>
      </x:c>
      <x:c r="AE1091" s="36" t="str">
        <x:f>IF(ISNUMBER(AD1091),ROUND(AD1091*0.015+0.2,2),"")</x:f>
      </x:c>
      <x:c r="AF1091" s="36" t="str">
        <x:f>IF(ISNUMBER(AD1091),ROUND(AD1091-AE1091-V1091,2),"")</x:f>
      </x:c>
      <x:c r="AG1091" t="str">
        <x:f>IF(NOT(ISNUMBER(T1091)),"PENDING",IF(AF1091&gt;0,"PASS","FAIL"))</x:f>
        <x:v>PENDING</x:v>
      </x:c>
      <x:c r="AH1091" t="str">
        <x:f>IF(NOT(ISNUMBER(T1091)),"Needs supplier cost",IF(K1091&lt;&gt;"In stock","Supplier unavailable",IF(AG1091&lt;&gt;"PASS","BLOCK - GT loss risk","Commercially protected")))</x:f>
        <x:v>Needs supplier cost</x:v>
      </x:c>
      <x:c r="AI1091" t="str">
        <x:v>2026-09-10 Active Sports trade capture</x:v>
      </x:c>
      <x:c r="AJ1091" t="str">
        <x:v>Management-only economics. Stripe stress test uses 1.5% + £0.20 standard UK online-card fee; pallet/mix-and-match pricing ignored.</x:v>
      </x:c>
    </x:row>
    <x:row r="1092">
      <x:c r="A1092" t="str">
        <x:v>Active Sports Nutrition</x:v>
      </x:c>
      <x:c r="B1092" t="str">
        <x:v>Gas Mark 10</x:v>
      </x:c>
      <x:c r="C1092" t="str">
        <x:v>Pitbull Pump</x:v>
      </x:c>
      <x:c r="D1092" t="str">
        <x:v>Pre Workouts</x:v>
      </x:c>
      <x:c r="E1092" t="str">
        <x:v>Stim FREE</x:v>
      </x:c>
      <x:c r="F1092" t="str">
        <x:v>Stim-free pump pre-workout.</x:v>
      </x:c>
      <x:c r="G1092" t="str">
        <x:v>450g</x:v>
      </x:c>
      <x:c r="H1092" t="str">
        <x:v>Cherry Bubblegum</x:v>
      </x:c>
      <x:c r="I1092" t="str"/>
      <x:c r="J1092" t="str">
        <x:v>Unit</x:v>
      </x:c>
      <x:c r="K1092" t="str">
        <x:v>In stock</x:v>
      </x:c>
      <x:c r="L1092" t="str">
        <x:v>2026-09-08</x:v>
      </x:c>
      <x:c r="M1092" t="str"/>
      <x:c r="N1092" t="str"/>
      <x:c r="O1092" t="str">
        <x:v>https://www.activesportstrade.co.uk/trade-pre-workout-supplements</x:v>
      </x:c>
      <x:c r="P1092" t="str"/>
      <x:c r="Q1092" t="str"/>
      <x:c r="R1092" t="str"/>
      <x:c r="S1092" t="str">
        <x:v>Pending genuine supplier/brand image</x:v>
      </x:c>
      <x:c r="T1092" s="54"/>
      <x:c r="U1092" s="47" t="n">
        <x:v>0.2</x:v>
      </x:c>
      <x:c r="V1092" s="54" t="str">
        <x:f>IF(ISNUMBER(T1092),T1092*(1+U1092),"")</x:f>
      </x:c>
      <x:c r="W1092" s="47" t="n">
        <x:v>0.3</x:v>
      </x:c>
      <x:c r="X1092" s="54" t="str">
        <x:f>IF(ISNUMBER(V1092),V1092/(1-W1092),"")</x:f>
      </x:c>
      <x:c r="Y1092" s="55" t="str">
        <x:f>IF(ISNUMBER(X1092),ROUNDUP(X1092,0),"")</x:f>
      </x:c>
      <x:c r="Z1092" t="str">
        <x:f>IF(ISNUMBER(T1092),"Cost captured","Awaiting trade cost")</x:f>
        <x:v>Awaiting trade cost</x:v>
      </x:c>
      <x:c r="AB1092" s="36" t="str">
        <x:f>IF(ISNUMBER(Y1092),ROUND(Y1092*0.9,2),"")</x:f>
      </x:c>
      <x:c r="AC1092" s="36" t="str">
        <x:f>IF(ISNUMBER(AB1092),ROUND(AB1092-(AB1092*0.015+0.2)-V1092,2),"")</x:f>
      </x:c>
      <x:c r="AD1092" s="36" t="str">
        <x:f>IF(ISNUMBER(Y1092),ROUND(Y1092*0.8,2),"")</x:f>
      </x:c>
      <x:c r="AE1092" s="36" t="str">
        <x:f>IF(ISNUMBER(AD1092),ROUND(AD1092*0.015+0.2,2),"")</x:f>
      </x:c>
      <x:c r="AF1092" s="36" t="str">
        <x:f>IF(ISNUMBER(AD1092),ROUND(AD1092-AE1092-V1092,2),"")</x:f>
      </x:c>
      <x:c r="AG1092" t="str">
        <x:f>IF(NOT(ISNUMBER(T1092)),"PENDING",IF(AF1092&gt;0,"PASS","FAIL"))</x:f>
        <x:v>PENDING</x:v>
      </x:c>
      <x:c r="AH1092" t="str">
        <x:f>IF(NOT(ISNUMBER(T1092)),"Needs supplier cost",IF(K1092&lt;&gt;"In stock","Supplier unavailable",IF(AG1092&lt;&gt;"PASS","BLOCK - GT loss risk","Commercially protected")))</x:f>
        <x:v>Needs supplier cost</x:v>
      </x:c>
      <x:c r="AI1092" t="str">
        <x:v>2026-09-10 Active Sports trade capture</x:v>
      </x:c>
      <x:c r="AJ1092" t="str">
        <x:v>Management-only economics. Stripe stress test uses 1.5% + £0.20 standard UK online-card fee; pallet/mix-and-match pricing ignored.</x:v>
      </x:c>
    </x:row>
    <x:row r="1093">
      <x:c r="A1093" t="str">
        <x:v>Active Sports Nutrition</x:v>
      </x:c>
      <x:c r="B1093" t="str">
        <x:v>Gas Mark 10</x:v>
      </x:c>
      <x:c r="C1093" t="str">
        <x:v>Pitbull Pump</x:v>
      </x:c>
      <x:c r="D1093" t="str">
        <x:v>Pre Workouts</x:v>
      </x:c>
      <x:c r="E1093" t="str">
        <x:v>Stim FREE</x:v>
      </x:c>
      <x:c r="F1093" t="str">
        <x:v>Stim-free pump pre-workout.</x:v>
      </x:c>
      <x:c r="G1093" t="str">
        <x:v>450g</x:v>
      </x:c>
      <x:c r="H1093" t="str">
        <x:v>Lemon Sherbet</x:v>
      </x:c>
      <x:c r="I1093" t="str"/>
      <x:c r="J1093" t="str">
        <x:v>Unit</x:v>
      </x:c>
      <x:c r="K1093" t="str">
        <x:v>In stock</x:v>
      </x:c>
      <x:c r="L1093" t="str">
        <x:v>2026-09-08</x:v>
      </x:c>
      <x:c r="M1093" t="str"/>
      <x:c r="N1093" t="str"/>
      <x:c r="O1093" t="str">
        <x:v>https://www.activesportstrade.co.uk/trade-pre-workout-supplements</x:v>
      </x:c>
      <x:c r="P1093" t="str"/>
      <x:c r="Q1093" t="str"/>
      <x:c r="R1093" t="str"/>
      <x:c r="S1093" t="str">
        <x:v>Pending genuine supplier/brand image</x:v>
      </x:c>
      <x:c r="T1093" s="54"/>
      <x:c r="U1093" s="47" t="n">
        <x:v>0.2</x:v>
      </x:c>
      <x:c r="V1093" s="54" t="str">
        <x:f>IF(ISNUMBER(T1093),T1093*(1+U1093),"")</x:f>
      </x:c>
      <x:c r="W1093" s="47" t="n">
        <x:v>0.3</x:v>
      </x:c>
      <x:c r="X1093" s="54" t="str">
        <x:f>IF(ISNUMBER(V1093),V1093/(1-W1093),"")</x:f>
      </x:c>
      <x:c r="Y1093" s="55" t="str">
        <x:f>IF(ISNUMBER(X1093),ROUNDUP(X1093,0),"")</x:f>
      </x:c>
      <x:c r="Z1093" t="str">
        <x:f>IF(ISNUMBER(T1093),"Cost captured","Awaiting trade cost")</x:f>
        <x:v>Awaiting trade cost</x:v>
      </x:c>
      <x:c r="AB1093" s="36" t="str">
        <x:f>IF(ISNUMBER(Y1093),ROUND(Y1093*0.9,2),"")</x:f>
      </x:c>
      <x:c r="AC1093" s="36" t="str">
        <x:f>IF(ISNUMBER(AB1093),ROUND(AB1093-(AB1093*0.015+0.2)-V1093,2),"")</x:f>
      </x:c>
      <x:c r="AD1093" s="36" t="str">
        <x:f>IF(ISNUMBER(Y1093),ROUND(Y1093*0.8,2),"")</x:f>
      </x:c>
      <x:c r="AE1093" s="36" t="str">
        <x:f>IF(ISNUMBER(AD1093),ROUND(AD1093*0.015+0.2,2),"")</x:f>
      </x:c>
      <x:c r="AF1093" s="36" t="str">
        <x:f>IF(ISNUMBER(AD1093),ROUND(AD1093-AE1093-V1093,2),"")</x:f>
      </x:c>
      <x:c r="AG1093" t="str">
        <x:f>IF(NOT(ISNUMBER(T1093)),"PENDING",IF(AF1093&gt;0,"PASS","FAIL"))</x:f>
        <x:v>PENDING</x:v>
      </x:c>
      <x:c r="AH1093" t="str">
        <x:f>IF(NOT(ISNUMBER(T1093)),"Needs supplier cost",IF(K1093&lt;&gt;"In stock","Supplier unavailable",IF(AG1093&lt;&gt;"PASS","BLOCK - GT loss risk","Commercially protected")))</x:f>
        <x:v>Needs supplier cost</x:v>
      </x:c>
      <x:c r="AI1093" t="str">
        <x:v>2026-09-10 Active Sports trade capture</x:v>
      </x:c>
      <x:c r="AJ1093" t="str">
        <x:v>Management-only economics. Stripe stress test uses 1.5% + £0.20 standard UK online-card fee; pallet/mix-and-match pricing ignored.</x:v>
      </x:c>
    </x:row>
    <x:row r="1094">
      <x:c r="A1094" t="str">
        <x:v>Active Sports Nutrition</x:v>
      </x:c>
      <x:c r="B1094" t="str">
        <x:v>Gas Mark 10</x:v>
      </x:c>
      <x:c r="C1094" t="str">
        <x:v>Pitbull Pump</x:v>
      </x:c>
      <x:c r="D1094" t="str">
        <x:v>Pre Workouts</x:v>
      </x:c>
      <x:c r="E1094" t="str">
        <x:v>Stim FREE</x:v>
      </x:c>
      <x:c r="F1094" t="str">
        <x:v>Stim-free pump pre-workout.</x:v>
      </x:c>
      <x:c r="G1094" t="str">
        <x:v>450g</x:v>
      </x:c>
      <x:c r="H1094" t="str">
        <x:v>Sherbet Candy</x:v>
      </x:c>
      <x:c r="I1094" t="str"/>
      <x:c r="J1094" t="str">
        <x:v>Unit</x:v>
      </x:c>
      <x:c r="K1094" t="str">
        <x:v>In stock</x:v>
      </x:c>
      <x:c r="L1094" t="str">
        <x:v>2026-09-08</x:v>
      </x:c>
      <x:c r="M1094" t="str"/>
      <x:c r="N1094" t="str"/>
      <x:c r="O1094" t="str">
        <x:v>https://www.activesportstrade.co.uk/trade-pre-workout-supplements</x:v>
      </x:c>
      <x:c r="P1094" t="str"/>
      <x:c r="Q1094" t="str"/>
      <x:c r="R1094" t="str"/>
      <x:c r="S1094" t="str">
        <x:v>Pending genuine supplier/brand image</x:v>
      </x:c>
      <x:c r="T1094" s="54"/>
      <x:c r="U1094" s="47" t="n">
        <x:v>0.2</x:v>
      </x:c>
      <x:c r="V1094" s="54" t="str">
        <x:f>IF(ISNUMBER(T1094),T1094*(1+U1094),"")</x:f>
      </x:c>
      <x:c r="W1094" s="47" t="n">
        <x:v>0.3</x:v>
      </x:c>
      <x:c r="X1094" s="54" t="str">
        <x:f>IF(ISNUMBER(V1094),V1094/(1-W1094),"")</x:f>
      </x:c>
      <x:c r="Y1094" s="55" t="str">
        <x:f>IF(ISNUMBER(X1094),ROUNDUP(X1094,0),"")</x:f>
      </x:c>
      <x:c r="Z1094" t="str">
        <x:f>IF(ISNUMBER(T1094),"Cost captured","Awaiting trade cost")</x:f>
        <x:v>Awaiting trade cost</x:v>
      </x:c>
      <x:c r="AB1094" s="36" t="str">
        <x:f>IF(ISNUMBER(Y1094),ROUND(Y1094*0.9,2),"")</x:f>
      </x:c>
      <x:c r="AC1094" s="36" t="str">
        <x:f>IF(ISNUMBER(AB1094),ROUND(AB1094-(AB1094*0.015+0.2)-V1094,2),"")</x:f>
      </x:c>
      <x:c r="AD1094" s="36" t="str">
        <x:f>IF(ISNUMBER(Y1094),ROUND(Y1094*0.8,2),"")</x:f>
      </x:c>
      <x:c r="AE1094" s="36" t="str">
        <x:f>IF(ISNUMBER(AD1094),ROUND(AD1094*0.015+0.2,2),"")</x:f>
      </x:c>
      <x:c r="AF1094" s="36" t="str">
        <x:f>IF(ISNUMBER(AD1094),ROUND(AD1094-AE1094-V1094,2),"")</x:f>
      </x:c>
      <x:c r="AG1094" t="str">
        <x:f>IF(NOT(ISNUMBER(T1094)),"PENDING",IF(AF1094&gt;0,"PASS","FAIL"))</x:f>
        <x:v>PENDING</x:v>
      </x:c>
      <x:c r="AH1094" t="str">
        <x:f>IF(NOT(ISNUMBER(T1094)),"Needs supplier cost",IF(K1094&lt;&gt;"In stock","Supplier unavailable",IF(AG1094&lt;&gt;"PASS","BLOCK - GT loss risk","Commercially protected")))</x:f>
        <x:v>Needs supplier cost</x:v>
      </x:c>
      <x:c r="AI1094" t="str">
        <x:v>2026-09-10 Active Sports trade capture</x:v>
      </x:c>
      <x:c r="AJ1094" t="str">
        <x:v>Management-only economics. Stripe stress test uses 1.5% + £0.20 standard UK online-card fee; pallet/mix-and-match pricing ignored.</x:v>
      </x:c>
    </x:row>
    <x:row r="1095">
      <x:c r="A1095" t="str">
        <x:v>Active Sports Nutrition</x:v>
      </x:c>
      <x:c r="B1095" t="str">
        <x:v>Gas Mark 10</x:v>
      </x:c>
      <x:c r="C1095" t="str">
        <x:v>Pitbull Pump</x:v>
      </x:c>
      <x:c r="D1095" t="str">
        <x:v>Pre Workouts</x:v>
      </x:c>
      <x:c r="E1095" t="str">
        <x:v>Stim FREE</x:v>
      </x:c>
      <x:c r="F1095" t="str">
        <x:v>Stim-free pump pre-workout.</x:v>
      </x:c>
      <x:c r="G1095" t="str">
        <x:v>450g</x:v>
      </x:c>
      <x:c r="H1095" t="str">
        <x:v>Strawberry Banana</x:v>
      </x:c>
      <x:c r="I1095" t="str"/>
      <x:c r="J1095" t="str">
        <x:v>Unit</x:v>
      </x:c>
      <x:c r="K1095" t="str">
        <x:v>In stock</x:v>
      </x:c>
      <x:c r="L1095" t="str">
        <x:v>2026-09-08</x:v>
      </x:c>
      <x:c r="M1095" t="str"/>
      <x:c r="N1095" t="str"/>
      <x:c r="O1095" t="str">
        <x:v>https://www.activesportstrade.co.uk/trade-pre-workout-supplements</x:v>
      </x:c>
      <x:c r="P1095" t="str"/>
      <x:c r="Q1095" t="str"/>
      <x:c r="R1095" t="str"/>
      <x:c r="S1095" t="str">
        <x:v>Pending genuine supplier/brand image</x:v>
      </x:c>
      <x:c r="T1095" s="54"/>
      <x:c r="U1095" s="47" t="n">
        <x:v>0.2</x:v>
      </x:c>
      <x:c r="V1095" s="54" t="str">
        <x:f>IF(ISNUMBER(T1095),T1095*(1+U1095),"")</x:f>
      </x:c>
      <x:c r="W1095" s="47" t="n">
        <x:v>0.3</x:v>
      </x:c>
      <x:c r="X1095" s="54" t="str">
        <x:f>IF(ISNUMBER(V1095),V1095/(1-W1095),"")</x:f>
      </x:c>
      <x:c r="Y1095" s="55" t="str">
        <x:f>IF(ISNUMBER(X1095),ROUNDUP(X1095,0),"")</x:f>
      </x:c>
      <x:c r="Z1095" t="str">
        <x:f>IF(ISNUMBER(T1095),"Cost captured","Awaiting trade cost")</x:f>
        <x:v>Awaiting trade cost</x:v>
      </x:c>
      <x:c r="AB1095" s="36" t="str">
        <x:f>IF(ISNUMBER(Y1095),ROUND(Y1095*0.9,2),"")</x:f>
      </x:c>
      <x:c r="AC1095" s="36" t="str">
        <x:f>IF(ISNUMBER(AB1095),ROUND(AB1095-(AB1095*0.015+0.2)-V1095,2),"")</x:f>
      </x:c>
      <x:c r="AD1095" s="36" t="str">
        <x:f>IF(ISNUMBER(Y1095),ROUND(Y1095*0.8,2),"")</x:f>
      </x:c>
      <x:c r="AE1095" s="36" t="str">
        <x:f>IF(ISNUMBER(AD1095),ROUND(AD1095*0.015+0.2,2),"")</x:f>
      </x:c>
      <x:c r="AF1095" s="36" t="str">
        <x:f>IF(ISNUMBER(AD1095),ROUND(AD1095-AE1095-V1095,2),"")</x:f>
      </x:c>
      <x:c r="AG1095" t="str">
        <x:f>IF(NOT(ISNUMBER(T1095)),"PENDING",IF(AF1095&gt;0,"PASS","FAIL"))</x:f>
        <x:v>PENDING</x:v>
      </x:c>
      <x:c r="AH1095" t="str">
        <x:f>IF(NOT(ISNUMBER(T1095)),"Needs supplier cost",IF(K1095&lt;&gt;"In stock","Supplier unavailable",IF(AG1095&lt;&gt;"PASS","BLOCK - GT loss risk","Commercially protected")))</x:f>
        <x:v>Needs supplier cost</x:v>
      </x:c>
      <x:c r="AI1095" t="str">
        <x:v>2026-09-10 Active Sports trade capture</x:v>
      </x:c>
      <x:c r="AJ1095" t="str">
        <x:v>Management-only economics. Stripe stress test uses 1.5% + £0.20 standard UK online-card fee; pallet/mix-and-match pricing ignored.</x:v>
      </x:c>
    </x:row>
    <x:row r="1096">
      <x:c r="A1096" t="str">
        <x:v>Active Sports Nutrition</x:v>
      </x:c>
      <x:c r="B1096" t="str">
        <x:v>Gas Mark 10</x:v>
      </x:c>
      <x:c r="C1096" t="str">
        <x:v>Pitbull Pump</x:v>
      </x:c>
      <x:c r="D1096" t="str">
        <x:v>Pre Workouts</x:v>
      </x:c>
      <x:c r="E1096" t="str">
        <x:v>Stim FREE</x:v>
      </x:c>
      <x:c r="F1096" t="str">
        <x:v>Stim-free pump pre-workout.</x:v>
      </x:c>
      <x:c r="G1096" t="str">
        <x:v>450g</x:v>
      </x:c>
      <x:c r="H1096" t="str">
        <x:v>Strawberry Laces</x:v>
      </x:c>
      <x:c r="I1096" t="str"/>
      <x:c r="J1096" t="str">
        <x:v>Unit</x:v>
      </x:c>
      <x:c r="K1096" t="str">
        <x:v>In stock</x:v>
      </x:c>
      <x:c r="L1096" t="str">
        <x:v>2026-09-08</x:v>
      </x:c>
      <x:c r="M1096" t="str"/>
      <x:c r="N1096" t="str"/>
      <x:c r="O1096" t="str">
        <x:v>https://www.activesportstrade.co.uk/trade-pre-workout-supplements</x:v>
      </x:c>
      <x:c r="P1096" t="str"/>
      <x:c r="Q1096" t="str"/>
      <x:c r="R1096" t="str"/>
      <x:c r="S1096" t="str">
        <x:v>Pending genuine supplier/brand image</x:v>
      </x:c>
      <x:c r="T1096" s="54"/>
      <x:c r="U1096" s="47" t="n">
        <x:v>0.2</x:v>
      </x:c>
      <x:c r="V1096" s="54" t="str">
        <x:f>IF(ISNUMBER(T1096),T1096*(1+U1096),"")</x:f>
      </x:c>
      <x:c r="W1096" s="47" t="n">
        <x:v>0.3</x:v>
      </x:c>
      <x:c r="X1096" s="54" t="str">
        <x:f>IF(ISNUMBER(V1096),V1096/(1-W1096),"")</x:f>
      </x:c>
      <x:c r="Y1096" s="55" t="str">
        <x:f>IF(ISNUMBER(X1096),ROUNDUP(X1096,0),"")</x:f>
      </x:c>
      <x:c r="Z1096" t="str">
        <x:f>IF(ISNUMBER(T1096),"Cost captured","Awaiting trade cost")</x:f>
        <x:v>Awaiting trade cost</x:v>
      </x:c>
      <x:c r="AB1096" s="36" t="str">
        <x:f>IF(ISNUMBER(Y1096),ROUND(Y1096*0.9,2),"")</x:f>
      </x:c>
      <x:c r="AC1096" s="36" t="str">
        <x:f>IF(ISNUMBER(AB1096),ROUND(AB1096-(AB1096*0.015+0.2)-V1096,2),"")</x:f>
      </x:c>
      <x:c r="AD1096" s="36" t="str">
        <x:f>IF(ISNUMBER(Y1096),ROUND(Y1096*0.8,2),"")</x:f>
      </x:c>
      <x:c r="AE1096" s="36" t="str">
        <x:f>IF(ISNUMBER(AD1096),ROUND(AD1096*0.015+0.2,2),"")</x:f>
      </x:c>
      <x:c r="AF1096" s="36" t="str">
        <x:f>IF(ISNUMBER(AD1096),ROUND(AD1096-AE1096-V1096,2),"")</x:f>
      </x:c>
      <x:c r="AG1096" t="str">
        <x:f>IF(NOT(ISNUMBER(T1096)),"PENDING",IF(AF1096&gt;0,"PASS","FAIL"))</x:f>
        <x:v>PENDING</x:v>
      </x:c>
      <x:c r="AH1096" t="str">
        <x:f>IF(NOT(ISNUMBER(T1096)),"Needs supplier cost",IF(K1096&lt;&gt;"In stock","Supplier unavailable",IF(AG1096&lt;&gt;"PASS","BLOCK - GT loss risk","Commercially protected")))</x:f>
        <x:v>Needs supplier cost</x:v>
      </x:c>
      <x:c r="AI1096" t="str">
        <x:v>2026-09-10 Active Sports trade capture</x:v>
      </x:c>
      <x:c r="AJ1096" t="str">
        <x:v>Management-only economics. Stripe stress test uses 1.5% + £0.20 standard UK online-card fee; pallet/mix-and-match pricing ignored.</x:v>
      </x:c>
    </x:row>
    <x:row r="1097">
      <x:c r="A1097" t="str">
        <x:v>Active Sports Nutrition</x:v>
      </x:c>
      <x:c r="B1097" t="str">
        <x:v>Gas Mark 10</x:v>
      </x:c>
      <x:c r="C1097" t="str">
        <x:v>Locked In Ultimate EAAs</x:v>
      </x:c>
      <x:c r="D1097" t="str">
        <x:v>Supplements</x:v>
      </x:c>
      <x:c r="E1097" t="str">
        <x:v>Amino Acids</x:v>
      </x:c>
      <x:c r="F1097" t="str">
        <x:v>Essential amino acid and hydration formula.</x:v>
      </x:c>
      <x:c r="G1097" t="str">
        <x:v>405g</x:v>
      </x:c>
      <x:c r="H1097" t="str">
        <x:v>Apple</x:v>
      </x:c>
      <x:c r="I1097" t="str"/>
      <x:c r="J1097" t="str">
        <x:v>Unit</x:v>
      </x:c>
      <x:c r="K1097" t="str">
        <x:v>In stock</x:v>
      </x:c>
      <x:c r="L1097" t="str">
        <x:v>2026-09-08</x:v>
      </x:c>
      <x:c r="M1097" t="str"/>
      <x:c r="N1097" t="str"/>
      <x:c r="O1097" t="str">
        <x:v>https://www.activesportstrade.co.uk/Intra-Workout</x:v>
      </x:c>
      <x:c r="P1097" t="str"/>
      <x:c r="Q1097" t="str"/>
      <x:c r="R1097" t="str"/>
      <x:c r="S1097" t="str">
        <x:v>Pending genuine supplier/brand image</x:v>
      </x:c>
      <x:c r="T1097" s="54"/>
      <x:c r="U1097" s="47" t="n">
        <x:v>0.2</x:v>
      </x:c>
      <x:c r="V1097" s="54" t="str">
        <x:f>IF(ISNUMBER(T1097),T1097*(1+U1097),"")</x:f>
      </x:c>
      <x:c r="W1097" s="47" t="n">
        <x:v>0.3</x:v>
      </x:c>
      <x:c r="X1097" s="54" t="str">
        <x:f>IF(ISNUMBER(V1097),V1097/(1-W1097),"")</x:f>
      </x:c>
      <x:c r="Y1097" s="55" t="str">
        <x:f>IF(ISNUMBER(X1097),ROUNDUP(X1097,0),"")</x:f>
      </x:c>
      <x:c r="Z1097" t="str">
        <x:f>IF(ISNUMBER(T1097),"Cost captured","Awaiting trade cost")</x:f>
        <x:v>Awaiting trade cost</x:v>
      </x:c>
      <x:c r="AB1097" s="36" t="str">
        <x:f>IF(ISNUMBER(Y1097),ROUND(Y1097*0.9,2),"")</x:f>
      </x:c>
      <x:c r="AC1097" s="36" t="str">
        <x:f>IF(ISNUMBER(AB1097),ROUND(AB1097-(AB1097*0.015+0.2)-V1097,2),"")</x:f>
      </x:c>
      <x:c r="AD1097" s="36" t="str">
        <x:f>IF(ISNUMBER(Y1097),ROUND(Y1097*0.8,2),"")</x:f>
      </x:c>
      <x:c r="AE1097" s="36" t="str">
        <x:f>IF(ISNUMBER(AD1097),ROUND(AD1097*0.015+0.2,2),"")</x:f>
      </x:c>
      <x:c r="AF1097" s="36" t="str">
        <x:f>IF(ISNUMBER(AD1097),ROUND(AD1097-AE1097-V1097,2),"")</x:f>
      </x:c>
      <x:c r="AG1097" t="str">
        <x:f>IF(NOT(ISNUMBER(T1097)),"PENDING",IF(AF1097&gt;0,"PASS","FAIL"))</x:f>
        <x:v>PENDING</x:v>
      </x:c>
      <x:c r="AH1097" t="str">
        <x:f>IF(NOT(ISNUMBER(T1097)),"Needs supplier cost",IF(K1097&lt;&gt;"In stock","Supplier unavailable",IF(AG1097&lt;&gt;"PASS","BLOCK - GT loss risk","Commercially protected")))</x:f>
        <x:v>Needs supplier cost</x:v>
      </x:c>
      <x:c r="AI1097" t="str">
        <x:v>2026-09-10 Active Sports trade capture</x:v>
      </x:c>
      <x:c r="AJ1097" t="str">
        <x:v>Management-only economics. Stripe stress test uses 1.5% + £0.20 standard UK online-card fee; pallet/mix-and-match pricing ignored.</x:v>
      </x:c>
    </x:row>
    <x:row r="1098">
      <x:c r="A1098" t="str">
        <x:v>Active Sports Nutrition</x:v>
      </x:c>
      <x:c r="B1098" t="str">
        <x:v>Gas Mark 10</x:v>
      </x:c>
      <x:c r="C1098" t="str">
        <x:v>Locked In Ultimate EAAs</x:v>
      </x:c>
      <x:c r="D1098" t="str">
        <x:v>Supplements</x:v>
      </x:c>
      <x:c r="E1098" t="str">
        <x:v>Amino Acids</x:v>
      </x:c>
      <x:c r="F1098" t="str">
        <x:v>Essential amino acid and hydration formula.</x:v>
      </x:c>
      <x:c r="G1098" t="str">
        <x:v>405g</x:v>
      </x:c>
      <x:c r="H1098" t="str">
        <x:v>Blue Raspberry</x:v>
      </x:c>
      <x:c r="I1098" t="str"/>
      <x:c r="J1098" t="str">
        <x:v>Unit</x:v>
      </x:c>
      <x:c r="K1098" t="str">
        <x:v>In stock</x:v>
      </x:c>
      <x:c r="L1098" t="str">
        <x:v>2026-09-08</x:v>
      </x:c>
      <x:c r="M1098" t="str"/>
      <x:c r="N1098" t="str"/>
      <x:c r="O1098" t="str">
        <x:v>https://www.activesportstrade.co.uk/Intra-Workout</x:v>
      </x:c>
      <x:c r="P1098" t="str"/>
      <x:c r="Q1098" t="str"/>
      <x:c r="R1098" t="str"/>
      <x:c r="S1098" t="str">
        <x:v>Pending genuine supplier/brand image</x:v>
      </x:c>
      <x:c r="T1098" s="54"/>
      <x:c r="U1098" s="47" t="n">
        <x:v>0.2</x:v>
      </x:c>
      <x:c r="V1098" s="54" t="str">
        <x:f>IF(ISNUMBER(T1098),T1098*(1+U1098),"")</x:f>
      </x:c>
      <x:c r="W1098" s="47" t="n">
        <x:v>0.3</x:v>
      </x:c>
      <x:c r="X1098" s="54" t="str">
        <x:f>IF(ISNUMBER(V1098),V1098/(1-W1098),"")</x:f>
      </x:c>
      <x:c r="Y1098" s="55" t="str">
        <x:f>IF(ISNUMBER(X1098),ROUNDUP(X1098,0),"")</x:f>
      </x:c>
      <x:c r="Z1098" t="str">
        <x:f>IF(ISNUMBER(T1098),"Cost captured","Awaiting trade cost")</x:f>
        <x:v>Awaiting trade cost</x:v>
      </x:c>
      <x:c r="AB1098" s="36" t="str">
        <x:f>IF(ISNUMBER(Y1098),ROUND(Y1098*0.9,2),"")</x:f>
      </x:c>
      <x:c r="AC1098" s="36" t="str">
        <x:f>IF(ISNUMBER(AB1098),ROUND(AB1098-(AB1098*0.015+0.2)-V1098,2),"")</x:f>
      </x:c>
      <x:c r="AD1098" s="36" t="str">
        <x:f>IF(ISNUMBER(Y1098),ROUND(Y1098*0.8,2),"")</x:f>
      </x:c>
      <x:c r="AE1098" s="36" t="str">
        <x:f>IF(ISNUMBER(AD1098),ROUND(AD1098*0.015+0.2,2),"")</x:f>
      </x:c>
      <x:c r="AF1098" s="36" t="str">
        <x:f>IF(ISNUMBER(AD1098),ROUND(AD1098-AE1098-V1098,2),"")</x:f>
      </x:c>
      <x:c r="AG1098" t="str">
        <x:f>IF(NOT(ISNUMBER(T1098)),"PENDING",IF(AF1098&gt;0,"PASS","FAIL"))</x:f>
        <x:v>PENDING</x:v>
      </x:c>
      <x:c r="AH1098" t="str">
        <x:f>IF(NOT(ISNUMBER(T1098)),"Needs supplier cost",IF(K1098&lt;&gt;"In stock","Supplier unavailable",IF(AG1098&lt;&gt;"PASS","BLOCK - GT loss risk","Commercially protected")))</x:f>
        <x:v>Needs supplier cost</x:v>
      </x:c>
      <x:c r="AI1098" t="str">
        <x:v>2026-09-10 Active Sports trade capture</x:v>
      </x:c>
      <x:c r="AJ1098" t="str">
        <x:v>Management-only economics. Stripe stress test uses 1.5% + £0.20 standard UK online-card fee; pallet/mix-and-match pricing ignored.</x:v>
      </x:c>
    </x:row>
    <x:row r="1099">
      <x:c r="A1099" t="str">
        <x:v>Active Sports Nutrition</x:v>
      </x:c>
      <x:c r="B1099" t="str">
        <x:v>Gas Mark 10</x:v>
      </x:c>
      <x:c r="C1099" t="str">
        <x:v>Locked In Ultimate EAAs</x:v>
      </x:c>
      <x:c r="D1099" t="str">
        <x:v>Supplements</x:v>
      </x:c>
      <x:c r="E1099" t="str">
        <x:v>Amino Acids</x:v>
      </x:c>
      <x:c r="F1099" t="str">
        <x:v>Essential amino acid and hydration formula.</x:v>
      </x:c>
      <x:c r="G1099" t="str">
        <x:v>405g</x:v>
      </x:c>
      <x:c r="H1099" t="str">
        <x:v>Cherry &amp; Lime</x:v>
      </x:c>
      <x:c r="I1099" t="str"/>
      <x:c r="J1099" t="str">
        <x:v>Unit</x:v>
      </x:c>
      <x:c r="K1099" t="str">
        <x:v>In stock</x:v>
      </x:c>
      <x:c r="L1099" t="str">
        <x:v>2026-09-08</x:v>
      </x:c>
      <x:c r="M1099" t="str"/>
      <x:c r="N1099" t="str"/>
      <x:c r="O1099" t="str">
        <x:v>https://www.activesportstrade.co.uk/Intra-Workout</x:v>
      </x:c>
      <x:c r="P1099" t="str"/>
      <x:c r="Q1099" t="str"/>
      <x:c r="R1099" t="str"/>
      <x:c r="S1099" t="str">
        <x:v>Pending genuine supplier/brand image</x:v>
      </x:c>
      <x:c r="T1099" s="54"/>
      <x:c r="U1099" s="47" t="n">
        <x:v>0.2</x:v>
      </x:c>
      <x:c r="V1099" s="54" t="str">
        <x:f>IF(ISNUMBER(T1099),T1099*(1+U1099),"")</x:f>
      </x:c>
      <x:c r="W1099" s="47" t="n">
        <x:v>0.3</x:v>
      </x:c>
      <x:c r="X1099" s="54" t="str">
        <x:f>IF(ISNUMBER(V1099),V1099/(1-W1099),"")</x:f>
      </x:c>
      <x:c r="Y1099" s="55" t="str">
        <x:f>IF(ISNUMBER(X1099),ROUNDUP(X1099,0),"")</x:f>
      </x:c>
      <x:c r="Z1099" t="str">
        <x:f>IF(ISNUMBER(T1099),"Cost captured","Awaiting trade cost")</x:f>
        <x:v>Awaiting trade cost</x:v>
      </x:c>
      <x:c r="AB1099" s="36" t="str">
        <x:f>IF(ISNUMBER(Y1099),ROUND(Y1099*0.9,2),"")</x:f>
      </x:c>
      <x:c r="AC1099" s="36" t="str">
        <x:f>IF(ISNUMBER(AB1099),ROUND(AB1099-(AB1099*0.015+0.2)-V1099,2),"")</x:f>
      </x:c>
      <x:c r="AD1099" s="36" t="str">
        <x:f>IF(ISNUMBER(Y1099),ROUND(Y1099*0.8,2),"")</x:f>
      </x:c>
      <x:c r="AE1099" s="36" t="str">
        <x:f>IF(ISNUMBER(AD1099),ROUND(AD1099*0.015+0.2,2),"")</x:f>
      </x:c>
      <x:c r="AF1099" s="36" t="str">
        <x:f>IF(ISNUMBER(AD1099),ROUND(AD1099-AE1099-V1099,2),"")</x:f>
      </x:c>
      <x:c r="AG1099" t="str">
        <x:f>IF(NOT(ISNUMBER(T1099)),"PENDING",IF(AF1099&gt;0,"PASS","FAIL"))</x:f>
        <x:v>PENDING</x:v>
      </x:c>
      <x:c r="AH1099" t="str">
        <x:f>IF(NOT(ISNUMBER(T1099)),"Needs supplier cost",IF(K1099&lt;&gt;"In stock","Supplier unavailable",IF(AG1099&lt;&gt;"PASS","BLOCK - GT loss risk","Commercially protected")))</x:f>
        <x:v>Needs supplier cost</x:v>
      </x:c>
      <x:c r="AI1099" t="str">
        <x:v>2026-09-10 Active Sports trade capture</x:v>
      </x:c>
      <x:c r="AJ1099" t="str">
        <x:v>Management-only economics. Stripe stress test uses 1.5% + £0.20 standard UK online-card fee; pallet/mix-and-match pricing ignored.</x:v>
      </x:c>
    </x:row>
    <x:row r="1100">
      <x:c r="A1100" t="str">
        <x:v>Active Sports Nutrition</x:v>
      </x:c>
      <x:c r="B1100" t="str">
        <x:v>Gas Mark 10</x:v>
      </x:c>
      <x:c r="C1100" t="str">
        <x:v>Locked In Ultimate EAAs</x:v>
      </x:c>
      <x:c r="D1100" t="str">
        <x:v>Supplements</x:v>
      </x:c>
      <x:c r="E1100" t="str">
        <x:v>Amino Acids</x:v>
      </x:c>
      <x:c r="F1100" t="str">
        <x:v>Essential amino acid and hydration formula.</x:v>
      </x:c>
      <x:c r="G1100" t="str">
        <x:v>405g</x:v>
      </x:c>
      <x:c r="H1100" t="str">
        <x:v>Lemon Sherbet</x:v>
      </x:c>
      <x:c r="I1100" t="str"/>
      <x:c r="J1100" t="str">
        <x:v>Unit</x:v>
      </x:c>
      <x:c r="K1100" t="str">
        <x:v>In stock</x:v>
      </x:c>
      <x:c r="L1100" t="str">
        <x:v>2026-09-08</x:v>
      </x:c>
      <x:c r="M1100" t="str"/>
      <x:c r="N1100" t="str"/>
      <x:c r="O1100" t="str">
        <x:v>https://www.activesportstrade.co.uk/Intra-Workout</x:v>
      </x:c>
      <x:c r="P1100" t="str"/>
      <x:c r="Q1100" t="str"/>
      <x:c r="R1100" t="str"/>
      <x:c r="S1100" t="str">
        <x:v>Pending genuine supplier/brand image</x:v>
      </x:c>
      <x:c r="T1100" s="54"/>
      <x:c r="U1100" s="47" t="n">
        <x:v>0.2</x:v>
      </x:c>
      <x:c r="V1100" s="54" t="str">
        <x:f>IF(ISNUMBER(T1100),T1100*(1+U1100),"")</x:f>
      </x:c>
      <x:c r="W1100" s="47" t="n">
        <x:v>0.3</x:v>
      </x:c>
      <x:c r="X1100" s="54" t="str">
        <x:f>IF(ISNUMBER(V1100),V1100/(1-W1100),"")</x:f>
      </x:c>
      <x:c r="Y1100" s="55" t="str">
        <x:f>IF(ISNUMBER(X1100),ROUNDUP(X1100,0),"")</x:f>
      </x:c>
      <x:c r="Z1100" t="str">
        <x:f>IF(ISNUMBER(T1100),"Cost captured","Awaiting trade cost")</x:f>
        <x:v>Awaiting trade cost</x:v>
      </x:c>
      <x:c r="AB1100" s="36" t="str">
        <x:f>IF(ISNUMBER(Y1100),ROUND(Y1100*0.9,2),"")</x:f>
      </x:c>
      <x:c r="AC1100" s="36" t="str">
        <x:f>IF(ISNUMBER(AB1100),ROUND(AB1100-(AB1100*0.015+0.2)-V1100,2),"")</x:f>
      </x:c>
      <x:c r="AD1100" s="36" t="str">
        <x:f>IF(ISNUMBER(Y1100),ROUND(Y1100*0.8,2),"")</x:f>
      </x:c>
      <x:c r="AE1100" s="36" t="str">
        <x:f>IF(ISNUMBER(AD1100),ROUND(AD1100*0.015+0.2,2),"")</x:f>
      </x:c>
      <x:c r="AF1100" s="36" t="str">
        <x:f>IF(ISNUMBER(AD1100),ROUND(AD1100-AE1100-V1100,2),"")</x:f>
      </x:c>
      <x:c r="AG1100" t="str">
        <x:f>IF(NOT(ISNUMBER(T1100)),"PENDING",IF(AF1100&gt;0,"PASS","FAIL"))</x:f>
        <x:v>PENDING</x:v>
      </x:c>
      <x:c r="AH1100" t="str">
        <x:f>IF(NOT(ISNUMBER(T1100)),"Needs supplier cost",IF(K1100&lt;&gt;"In stock","Supplier unavailable",IF(AG1100&lt;&gt;"PASS","BLOCK - GT loss risk","Commercially protected")))</x:f>
        <x:v>Needs supplier cost</x:v>
      </x:c>
      <x:c r="AI1100" t="str">
        <x:v>2026-09-10 Active Sports trade capture</x:v>
      </x:c>
      <x:c r="AJ1100" t="str">
        <x:v>Management-only economics. Stripe stress test uses 1.5% + £0.20 standard UK online-card fee; pallet/mix-and-match pricing ignored.</x:v>
      </x:c>
    </x:row>
    <x:row r="1101">
      <x:c r="A1101" t="str">
        <x:v>Active Sports Nutrition</x:v>
      </x:c>
      <x:c r="B1101" t="str">
        <x:v>Gas Mark 10</x:v>
      </x:c>
      <x:c r="C1101" t="str">
        <x:v>Locked In Ultimate EAAs</x:v>
      </x:c>
      <x:c r="D1101" t="str">
        <x:v>Supplements</x:v>
      </x:c>
      <x:c r="E1101" t="str">
        <x:v>Amino Acids</x:v>
      </x:c>
      <x:c r="F1101" t="str">
        <x:v>Essential amino acid and hydration formula.</x:v>
      </x:c>
      <x:c r="G1101" t="str">
        <x:v>405g</x:v>
      </x:c>
      <x:c r="H1101" t="str">
        <x:v>Pineapple</x:v>
      </x:c>
      <x:c r="I1101" t="str"/>
      <x:c r="J1101" t="str">
        <x:v>Unit</x:v>
      </x:c>
      <x:c r="K1101" t="str">
        <x:v>In stock</x:v>
      </x:c>
      <x:c r="L1101" t="str">
        <x:v>2026-09-08</x:v>
      </x:c>
      <x:c r="M1101" t="str"/>
      <x:c r="N1101" t="str"/>
      <x:c r="O1101" t="str">
        <x:v>https://www.activesportstrade.co.uk/Intra-Workout</x:v>
      </x:c>
      <x:c r="P1101" t="str"/>
      <x:c r="Q1101" t="str"/>
      <x:c r="R1101" t="str"/>
      <x:c r="S1101" t="str">
        <x:v>Pending genuine supplier/brand image</x:v>
      </x:c>
      <x:c r="T1101" s="54"/>
      <x:c r="U1101" s="47" t="n">
        <x:v>0.2</x:v>
      </x:c>
      <x:c r="V1101" s="54" t="str">
        <x:f>IF(ISNUMBER(T1101),T1101*(1+U1101),"")</x:f>
      </x:c>
      <x:c r="W1101" s="47" t="n">
        <x:v>0.3</x:v>
      </x:c>
      <x:c r="X1101" s="54" t="str">
        <x:f>IF(ISNUMBER(V1101),V1101/(1-W1101),"")</x:f>
      </x:c>
      <x:c r="Y1101" s="55" t="str">
        <x:f>IF(ISNUMBER(X1101),ROUNDUP(X1101,0),"")</x:f>
      </x:c>
      <x:c r="Z1101" t="str">
        <x:f>IF(ISNUMBER(T1101),"Cost captured","Awaiting trade cost")</x:f>
        <x:v>Awaiting trade cost</x:v>
      </x:c>
      <x:c r="AB1101" s="36" t="str">
        <x:f>IF(ISNUMBER(Y1101),ROUND(Y1101*0.9,2),"")</x:f>
      </x:c>
      <x:c r="AC1101" s="36" t="str">
        <x:f>IF(ISNUMBER(AB1101),ROUND(AB1101-(AB1101*0.015+0.2)-V1101,2),"")</x:f>
      </x:c>
      <x:c r="AD1101" s="36" t="str">
        <x:f>IF(ISNUMBER(Y1101),ROUND(Y1101*0.8,2),"")</x:f>
      </x:c>
      <x:c r="AE1101" s="36" t="str">
        <x:f>IF(ISNUMBER(AD1101),ROUND(AD1101*0.015+0.2,2),"")</x:f>
      </x:c>
      <x:c r="AF1101" s="36" t="str">
        <x:f>IF(ISNUMBER(AD1101),ROUND(AD1101-AE1101-V1101,2),"")</x:f>
      </x:c>
      <x:c r="AG1101" t="str">
        <x:f>IF(NOT(ISNUMBER(T1101)),"PENDING",IF(AF1101&gt;0,"PASS","FAIL"))</x:f>
        <x:v>PENDING</x:v>
      </x:c>
      <x:c r="AH1101" t="str">
        <x:f>IF(NOT(ISNUMBER(T1101)),"Needs supplier cost",IF(K1101&lt;&gt;"In stock","Supplier unavailable",IF(AG1101&lt;&gt;"PASS","BLOCK - GT loss risk","Commercially protected")))</x:f>
        <x:v>Needs supplier cost</x:v>
      </x:c>
      <x:c r="AI1101" t="str">
        <x:v>2026-09-10 Active Sports trade capture</x:v>
      </x:c>
      <x:c r="AJ1101" t="str">
        <x:v>Management-only economics. Stripe stress test uses 1.5% + £0.20 standard UK online-card fee; pallet/mix-and-match pricing ignored.</x:v>
      </x:c>
    </x:row>
    <x:row r="1102">
      <x:c r="A1102" t="str">
        <x:v>Active Sports Nutrition</x:v>
      </x:c>
      <x:c r="B1102" t="str">
        <x:v>Gas Mark 10</x:v>
      </x:c>
      <x:c r="C1102" t="str">
        <x:v>Locked In Ultimate EAAs</x:v>
      </x:c>
      <x:c r="D1102" t="str">
        <x:v>Supplements</x:v>
      </x:c>
      <x:c r="E1102" t="str">
        <x:v>Amino Acids</x:v>
      </x:c>
      <x:c r="F1102" t="str">
        <x:v>Essential amino acid and hydration formula.</x:v>
      </x:c>
      <x:c r="G1102" t="str">
        <x:v>405g</x:v>
      </x:c>
      <x:c r="H1102" t="str">
        <x:v>Strawberry Coconut</x:v>
      </x:c>
      <x:c r="I1102" t="str"/>
      <x:c r="J1102" t="str">
        <x:v>Unit</x:v>
      </x:c>
      <x:c r="K1102" t="str">
        <x:v>In stock</x:v>
      </x:c>
      <x:c r="L1102" t="str">
        <x:v>2026-09-08</x:v>
      </x:c>
      <x:c r="M1102" t="str"/>
      <x:c r="N1102" t="str"/>
      <x:c r="O1102" t="str">
        <x:v>https://www.activesportstrade.co.uk/Intra-Workout</x:v>
      </x:c>
      <x:c r="P1102" t="str"/>
      <x:c r="Q1102" t="str"/>
      <x:c r="R1102" t="str"/>
      <x:c r="S1102" t="str">
        <x:v>Pending genuine supplier/brand image</x:v>
      </x:c>
      <x:c r="T1102" s="54"/>
      <x:c r="U1102" s="47" t="n">
        <x:v>0.2</x:v>
      </x:c>
      <x:c r="V1102" s="54" t="str">
        <x:f>IF(ISNUMBER(T1102),T1102*(1+U1102),"")</x:f>
      </x:c>
      <x:c r="W1102" s="47" t="n">
        <x:v>0.3</x:v>
      </x:c>
      <x:c r="X1102" s="54" t="str">
        <x:f>IF(ISNUMBER(V1102),V1102/(1-W1102),"")</x:f>
      </x:c>
      <x:c r="Y1102" s="55" t="str">
        <x:f>IF(ISNUMBER(X1102),ROUNDUP(X1102,0),"")</x:f>
      </x:c>
      <x:c r="Z1102" t="str">
        <x:f>IF(ISNUMBER(T1102),"Cost captured","Awaiting trade cost")</x:f>
        <x:v>Awaiting trade cost</x:v>
      </x:c>
      <x:c r="AB1102" s="36" t="str">
        <x:f>IF(ISNUMBER(Y1102),ROUND(Y1102*0.9,2),"")</x:f>
      </x:c>
      <x:c r="AC1102" s="36" t="str">
        <x:f>IF(ISNUMBER(AB1102),ROUND(AB1102-(AB1102*0.015+0.2)-V1102,2),"")</x:f>
      </x:c>
      <x:c r="AD1102" s="36" t="str">
        <x:f>IF(ISNUMBER(Y1102),ROUND(Y1102*0.8,2),"")</x:f>
      </x:c>
      <x:c r="AE1102" s="36" t="str">
        <x:f>IF(ISNUMBER(AD1102),ROUND(AD1102*0.015+0.2,2),"")</x:f>
      </x:c>
      <x:c r="AF1102" s="36" t="str">
        <x:f>IF(ISNUMBER(AD1102),ROUND(AD1102-AE1102-V1102,2),"")</x:f>
      </x:c>
      <x:c r="AG1102" t="str">
        <x:f>IF(NOT(ISNUMBER(T1102)),"PENDING",IF(AF1102&gt;0,"PASS","FAIL"))</x:f>
        <x:v>PENDING</x:v>
      </x:c>
      <x:c r="AH1102" t="str">
        <x:f>IF(NOT(ISNUMBER(T1102)),"Needs supplier cost",IF(K1102&lt;&gt;"In stock","Supplier unavailable",IF(AG1102&lt;&gt;"PASS","BLOCK - GT loss risk","Commercially protected")))</x:f>
        <x:v>Needs supplier cost</x:v>
      </x:c>
      <x:c r="AI1102" t="str">
        <x:v>2026-09-10 Active Sports trade capture</x:v>
      </x:c>
      <x:c r="AJ1102" t="str">
        <x:v>Management-only economics. Stripe stress test uses 1.5% + £0.20 standard UK online-card fee; pallet/mix-and-match pricing ignored.</x:v>
      </x:c>
    </x:row>
    <x:row r="1103">
      <x:c r="A1103" t="str">
        <x:v>Active Sports Nutrition</x:v>
      </x:c>
      <x:c r="B1103" t="str">
        <x:v>Gas Mark 10</x:v>
      </x:c>
      <x:c r="C1103" t="str">
        <x:v>Locked In Ultimate EAAs</x:v>
      </x:c>
      <x:c r="D1103" t="str">
        <x:v>Supplements</x:v>
      </x:c>
      <x:c r="E1103" t="str">
        <x:v>Amino Acids</x:v>
      </x:c>
      <x:c r="F1103" t="str">
        <x:v>Essential amino acid and hydration formula.</x:v>
      </x:c>
      <x:c r="G1103" t="str">
        <x:v>405g</x:v>
      </x:c>
      <x:c r="H1103" t="str">
        <x:v>Sweet Berry Melon</x:v>
      </x:c>
      <x:c r="I1103" t="str"/>
      <x:c r="J1103" t="str">
        <x:v>Unit</x:v>
      </x:c>
      <x:c r="K1103" t="str">
        <x:v>In stock</x:v>
      </x:c>
      <x:c r="L1103" t="str">
        <x:v>2026-09-08</x:v>
      </x:c>
      <x:c r="M1103" t="str"/>
      <x:c r="N1103" t="str"/>
      <x:c r="O1103" t="str">
        <x:v>https://www.activesportstrade.co.uk/Intra-Workout</x:v>
      </x:c>
      <x:c r="P1103" t="str"/>
      <x:c r="Q1103" t="str"/>
      <x:c r="R1103" t="str"/>
      <x:c r="S1103" t="str">
        <x:v>Pending genuine supplier/brand image</x:v>
      </x:c>
      <x:c r="T1103" s="54"/>
      <x:c r="U1103" s="47" t="n">
        <x:v>0.2</x:v>
      </x:c>
      <x:c r="V1103" s="54" t="str">
        <x:f>IF(ISNUMBER(T1103),T1103*(1+U1103),"")</x:f>
      </x:c>
      <x:c r="W1103" s="47" t="n">
        <x:v>0.3</x:v>
      </x:c>
      <x:c r="X1103" s="54" t="str">
        <x:f>IF(ISNUMBER(V1103),V1103/(1-W1103),"")</x:f>
      </x:c>
      <x:c r="Y1103" s="55" t="str">
        <x:f>IF(ISNUMBER(X1103),ROUNDUP(X1103,0),"")</x:f>
      </x:c>
      <x:c r="Z1103" t="str">
        <x:f>IF(ISNUMBER(T1103),"Cost captured","Awaiting trade cost")</x:f>
        <x:v>Awaiting trade cost</x:v>
      </x:c>
      <x:c r="AB1103" s="36" t="str">
        <x:f>IF(ISNUMBER(Y1103),ROUND(Y1103*0.9,2),"")</x:f>
      </x:c>
      <x:c r="AC1103" s="36" t="str">
        <x:f>IF(ISNUMBER(AB1103),ROUND(AB1103-(AB1103*0.015+0.2)-V1103,2),"")</x:f>
      </x:c>
      <x:c r="AD1103" s="36" t="str">
        <x:f>IF(ISNUMBER(Y1103),ROUND(Y1103*0.8,2),"")</x:f>
      </x:c>
      <x:c r="AE1103" s="36" t="str">
        <x:f>IF(ISNUMBER(AD1103),ROUND(AD1103*0.015+0.2,2),"")</x:f>
      </x:c>
      <x:c r="AF1103" s="36" t="str">
        <x:f>IF(ISNUMBER(AD1103),ROUND(AD1103-AE1103-V1103,2),"")</x:f>
      </x:c>
      <x:c r="AG1103" t="str">
        <x:f>IF(NOT(ISNUMBER(T1103)),"PENDING",IF(AF1103&gt;0,"PASS","FAIL"))</x:f>
        <x:v>PENDING</x:v>
      </x:c>
      <x:c r="AH1103" t="str">
        <x:f>IF(NOT(ISNUMBER(T1103)),"Needs supplier cost",IF(K1103&lt;&gt;"In stock","Supplier unavailable",IF(AG1103&lt;&gt;"PASS","BLOCK - GT loss risk","Commercially protected")))</x:f>
        <x:v>Needs supplier cost</x:v>
      </x:c>
      <x:c r="AI1103" t="str">
        <x:v>2026-09-10 Active Sports trade capture</x:v>
      </x:c>
      <x:c r="AJ1103" t="str">
        <x:v>Management-only economics. Stripe stress test uses 1.5% + £0.20 standard UK online-card fee; pallet/mix-and-match pricing ignored.</x:v>
      </x:c>
    </x:row>
    <x:row r="1104">
      <x:c r="A1104" t="str">
        <x:v>Active Sports Nutrition</x:v>
      </x:c>
      <x:c r="B1104" t="str">
        <x:v>Gas Mark 10</x:v>
      </x:c>
      <x:c r="C1104" t="str">
        <x:v>Cream of Rice</x:v>
      </x:c>
      <x:c r="D1104" t="str">
        <x:v>Supplements</x:v>
      </x:c>
      <x:c r="E1104" t="str">
        <x:v>Carbohydrates</x:v>
      </x:c>
      <x:c r="F1104" t="str">
        <x:v>Cream of rice carbohydrate food.</x:v>
      </x:c>
      <x:c r="G1104" t="str">
        <x:v>2kg</x:v>
      </x:c>
      <x:c r="H1104" t="str">
        <x:v>Banoffee</x:v>
      </x:c>
      <x:c r="I1104" t="str"/>
      <x:c r="J1104" t="str">
        <x:v>Unit</x:v>
      </x:c>
      <x:c r="K1104" t="str">
        <x:v>Out of stock</x:v>
      </x:c>
      <x:c r="L1104" t="str">
        <x:v>2026-09-08</x:v>
      </x:c>
      <x:c r="M1104" t="str"/>
      <x:c r="N1104" t="str"/>
      <x:c r="O1104" t="str">
        <x:v>https://www.activesportstrade.co.uk/Carb-Powders</x:v>
      </x:c>
      <x:c r="P1104" t="str"/>
      <x:c r="Q1104" t="str"/>
      <x:c r="R1104" t="str"/>
      <x:c r="S1104" t="str">
        <x:v>Pending genuine supplier/brand image</x:v>
      </x:c>
      <x:c r="T1104" s="54"/>
      <x:c r="U1104" s="47" t="n">
        <x:v>0.2</x:v>
      </x:c>
      <x:c r="V1104" s="54" t="str">
        <x:f>IF(ISNUMBER(T1104),T1104*(1+U1104),"")</x:f>
      </x:c>
      <x:c r="W1104" s="47" t="n">
        <x:v>0.3</x:v>
      </x:c>
      <x:c r="X1104" s="54" t="str">
        <x:f>IF(ISNUMBER(V1104),V1104/(1-W1104),"")</x:f>
      </x:c>
      <x:c r="Y1104" s="55" t="str">
        <x:f>IF(ISNUMBER(X1104),ROUNDUP(X1104,0),"")</x:f>
      </x:c>
      <x:c r="Z1104" t="str">
        <x:f>IF(ISNUMBER(T1104),"Cost captured","Awaiting trade cost")</x:f>
        <x:v>Awaiting trade cost</x:v>
      </x:c>
      <x:c r="AB1104" s="36" t="str">
        <x:f>IF(ISNUMBER(Y1104),ROUND(Y1104*0.9,2),"")</x:f>
      </x:c>
      <x:c r="AC1104" s="36" t="str">
        <x:f>IF(ISNUMBER(AB1104),ROUND(AB1104-(AB1104*0.015+0.2)-V1104,2),"")</x:f>
      </x:c>
      <x:c r="AD1104" s="36" t="str">
        <x:f>IF(ISNUMBER(Y1104),ROUND(Y1104*0.8,2),"")</x:f>
      </x:c>
      <x:c r="AE1104" s="36" t="str">
        <x:f>IF(ISNUMBER(AD1104),ROUND(AD1104*0.015+0.2,2),"")</x:f>
      </x:c>
      <x:c r="AF1104" s="36" t="str">
        <x:f>IF(ISNUMBER(AD1104),ROUND(AD1104-AE1104-V1104,2),"")</x:f>
      </x:c>
      <x:c r="AG1104" t="str">
        <x:f>IF(NOT(ISNUMBER(T1104)),"PENDING",IF(AF1104&gt;0,"PASS","FAIL"))</x:f>
        <x:v>PENDING</x:v>
      </x:c>
      <x:c r="AH1104" t="str">
        <x:f>IF(NOT(ISNUMBER(T1104)),"Needs supplier cost",IF(K1104&lt;&gt;"In stock","Supplier unavailable",IF(AG1104&lt;&gt;"PASS","BLOCK - GT loss risk","Commercially protected")))</x:f>
        <x:v>Needs supplier cost</x:v>
      </x:c>
      <x:c r="AI1104" t="str">
        <x:v>2026-09-10 Active Sports trade capture</x:v>
      </x:c>
      <x:c r="AJ1104" t="str">
        <x:v>Management-only economics. Stripe stress test uses 1.5% + £0.20 standard UK online-card fee; pallet/mix-and-match pricing ignored.</x:v>
      </x:c>
    </x:row>
    <x:row r="1105">
      <x:c r="A1105" t="str">
        <x:v>Active Sports Nutrition</x:v>
      </x:c>
      <x:c r="B1105" t="str">
        <x:v>Gas Mark 10</x:v>
      </x:c>
      <x:c r="C1105" t="str">
        <x:v>Cream of Rice</x:v>
      </x:c>
      <x:c r="D1105" t="str">
        <x:v>Supplements</x:v>
      </x:c>
      <x:c r="E1105" t="str">
        <x:v>Carbohydrates</x:v>
      </x:c>
      <x:c r="F1105" t="str">
        <x:v>Cream of rice carbohydrate food.</x:v>
      </x:c>
      <x:c r="G1105" t="str">
        <x:v>2kg</x:v>
      </x:c>
      <x:c r="H1105" t="str">
        <x:v>Cherry Bakewell</x:v>
      </x:c>
      <x:c r="I1105" t="str"/>
      <x:c r="J1105" t="str">
        <x:v>Unit</x:v>
      </x:c>
      <x:c r="K1105" t="str">
        <x:v>Out of stock</x:v>
      </x:c>
      <x:c r="L1105" t="str">
        <x:v>2026-09-08</x:v>
      </x:c>
      <x:c r="M1105" t="str"/>
      <x:c r="N1105" t="str"/>
      <x:c r="O1105" t="str">
        <x:v>https://www.activesportstrade.co.uk/Carb-Powders</x:v>
      </x:c>
      <x:c r="P1105" t="str"/>
      <x:c r="Q1105" t="str"/>
      <x:c r="R1105" t="str"/>
      <x:c r="S1105" t="str">
        <x:v>Pending genuine supplier/brand image</x:v>
      </x:c>
      <x:c r="T1105" s="54"/>
      <x:c r="U1105" s="47" t="n">
        <x:v>0.2</x:v>
      </x:c>
      <x:c r="V1105" s="54" t="str">
        <x:f>IF(ISNUMBER(T1105),T1105*(1+U1105),"")</x:f>
      </x:c>
      <x:c r="W1105" s="47" t="n">
        <x:v>0.3</x:v>
      </x:c>
      <x:c r="X1105" s="54" t="str">
        <x:f>IF(ISNUMBER(V1105),V1105/(1-W1105),"")</x:f>
      </x:c>
      <x:c r="Y1105" s="55" t="str">
        <x:f>IF(ISNUMBER(X1105),ROUNDUP(X1105,0),"")</x:f>
      </x:c>
      <x:c r="Z1105" t="str">
        <x:f>IF(ISNUMBER(T1105),"Cost captured","Awaiting trade cost")</x:f>
        <x:v>Awaiting trade cost</x:v>
      </x:c>
      <x:c r="AB1105" s="36" t="str">
        <x:f>IF(ISNUMBER(Y1105),ROUND(Y1105*0.9,2),"")</x:f>
      </x:c>
      <x:c r="AC1105" s="36" t="str">
        <x:f>IF(ISNUMBER(AB1105),ROUND(AB1105-(AB1105*0.015+0.2)-V1105,2),"")</x:f>
      </x:c>
      <x:c r="AD1105" s="36" t="str">
        <x:f>IF(ISNUMBER(Y1105),ROUND(Y1105*0.8,2),"")</x:f>
      </x:c>
      <x:c r="AE1105" s="36" t="str">
        <x:f>IF(ISNUMBER(AD1105),ROUND(AD1105*0.015+0.2,2),"")</x:f>
      </x:c>
      <x:c r="AF1105" s="36" t="str">
        <x:f>IF(ISNUMBER(AD1105),ROUND(AD1105-AE1105-V1105,2),"")</x:f>
      </x:c>
      <x:c r="AG1105" t="str">
        <x:f>IF(NOT(ISNUMBER(T1105)),"PENDING",IF(AF1105&gt;0,"PASS","FAIL"))</x:f>
        <x:v>PENDING</x:v>
      </x:c>
      <x:c r="AH1105" t="str">
        <x:f>IF(NOT(ISNUMBER(T1105)),"Needs supplier cost",IF(K1105&lt;&gt;"In stock","Supplier unavailable",IF(AG1105&lt;&gt;"PASS","BLOCK - GT loss risk","Commercially protected")))</x:f>
        <x:v>Needs supplier cost</x:v>
      </x:c>
      <x:c r="AI1105" t="str">
        <x:v>2026-09-10 Active Sports trade capture</x:v>
      </x:c>
      <x:c r="AJ1105" t="str">
        <x:v>Management-only economics. Stripe stress test uses 1.5% + £0.20 standard UK online-card fee; pallet/mix-and-match pricing ignored.</x:v>
      </x:c>
    </x:row>
    <x:row r="1106">
      <x:c r="A1106" t="str">
        <x:v>Active Sports Nutrition</x:v>
      </x:c>
      <x:c r="B1106" t="str">
        <x:v>Gas Mark 10</x:v>
      </x:c>
      <x:c r="C1106" t="str">
        <x:v>Cream of Rice</x:v>
      </x:c>
      <x:c r="D1106" t="str">
        <x:v>Supplements</x:v>
      </x:c>
      <x:c r="E1106" t="str">
        <x:v>Carbohydrates</x:v>
      </x:c>
      <x:c r="F1106" t="str">
        <x:v>Cream of rice carbohydrate food.</x:v>
      </x:c>
      <x:c r="G1106" t="str">
        <x:v>2kg</x:v>
      </x:c>
      <x:c r="H1106" t="str">
        <x:v>Chocolate Mint</x:v>
      </x:c>
      <x:c r="I1106" t="str"/>
      <x:c r="J1106" t="str">
        <x:v>Unit</x:v>
      </x:c>
      <x:c r="K1106" t="str">
        <x:v>In stock</x:v>
      </x:c>
      <x:c r="L1106" t="str">
        <x:v>2026-09-08</x:v>
      </x:c>
      <x:c r="M1106" t="str"/>
      <x:c r="N1106" t="str"/>
      <x:c r="O1106" t="str">
        <x:v>https://www.activesportstrade.co.uk/Carb-Powders</x:v>
      </x:c>
      <x:c r="P1106" t="str"/>
      <x:c r="Q1106" t="str"/>
      <x:c r="R1106" t="str"/>
      <x:c r="S1106" t="str">
        <x:v>Pending genuine supplier/brand image</x:v>
      </x:c>
      <x:c r="T1106" s="54"/>
      <x:c r="U1106" s="47" t="n">
        <x:v>0.2</x:v>
      </x:c>
      <x:c r="V1106" s="54" t="str">
        <x:f>IF(ISNUMBER(T1106),T1106*(1+U1106),"")</x:f>
      </x:c>
      <x:c r="W1106" s="47" t="n">
        <x:v>0.3</x:v>
      </x:c>
      <x:c r="X1106" s="54" t="str">
        <x:f>IF(ISNUMBER(V1106),V1106/(1-W1106),"")</x:f>
      </x:c>
      <x:c r="Y1106" s="55" t="str">
        <x:f>IF(ISNUMBER(X1106),ROUNDUP(X1106,0),"")</x:f>
      </x:c>
      <x:c r="Z1106" t="str">
        <x:f>IF(ISNUMBER(T1106),"Cost captured","Awaiting trade cost")</x:f>
        <x:v>Awaiting trade cost</x:v>
      </x:c>
      <x:c r="AB1106" s="36" t="str">
        <x:f>IF(ISNUMBER(Y1106),ROUND(Y1106*0.9,2),"")</x:f>
      </x:c>
      <x:c r="AC1106" s="36" t="str">
        <x:f>IF(ISNUMBER(AB1106),ROUND(AB1106-(AB1106*0.015+0.2)-V1106,2),"")</x:f>
      </x:c>
      <x:c r="AD1106" s="36" t="str">
        <x:f>IF(ISNUMBER(Y1106),ROUND(Y1106*0.8,2),"")</x:f>
      </x:c>
      <x:c r="AE1106" s="36" t="str">
        <x:f>IF(ISNUMBER(AD1106),ROUND(AD1106*0.015+0.2,2),"")</x:f>
      </x:c>
      <x:c r="AF1106" s="36" t="str">
        <x:f>IF(ISNUMBER(AD1106),ROUND(AD1106-AE1106-V1106,2),"")</x:f>
      </x:c>
      <x:c r="AG1106" t="str">
        <x:f>IF(NOT(ISNUMBER(T1106)),"PENDING",IF(AF1106&gt;0,"PASS","FAIL"))</x:f>
        <x:v>PENDING</x:v>
      </x:c>
      <x:c r="AH1106" t="str">
        <x:f>IF(NOT(ISNUMBER(T1106)),"Needs supplier cost",IF(K1106&lt;&gt;"In stock","Supplier unavailable",IF(AG1106&lt;&gt;"PASS","BLOCK - GT loss risk","Commercially protected")))</x:f>
        <x:v>Needs supplier cost</x:v>
      </x:c>
      <x:c r="AI1106" t="str">
        <x:v>2026-09-10 Active Sports trade capture</x:v>
      </x:c>
      <x:c r="AJ1106" t="str">
        <x:v>Management-only economics. Stripe stress test uses 1.5% + £0.20 standard UK online-card fee; pallet/mix-and-match pricing ignored.</x:v>
      </x:c>
    </x:row>
    <x:row r="1107">
      <x:c r="A1107" t="str">
        <x:v>Active Sports Nutrition</x:v>
      </x:c>
      <x:c r="B1107" t="str">
        <x:v>Gas Mark 10</x:v>
      </x:c>
      <x:c r="C1107" t="str">
        <x:v>Cream of Rice</x:v>
      </x:c>
      <x:c r="D1107" t="str">
        <x:v>Supplements</x:v>
      </x:c>
      <x:c r="E1107" t="str">
        <x:v>Carbohydrates</x:v>
      </x:c>
      <x:c r="F1107" t="str">
        <x:v>Cream of rice carbohydrate food.</x:v>
      </x:c>
      <x:c r="G1107" t="str">
        <x:v>2kg</x:v>
      </x:c>
      <x:c r="H1107" t="str">
        <x:v>Cinnamon Cereal</x:v>
      </x:c>
      <x:c r="I1107" t="str"/>
      <x:c r="J1107" t="str">
        <x:v>Unit</x:v>
      </x:c>
      <x:c r="K1107" t="str">
        <x:v>In stock</x:v>
      </x:c>
      <x:c r="L1107" t="str">
        <x:v>2026-09-08</x:v>
      </x:c>
      <x:c r="M1107" t="str"/>
      <x:c r="N1107" t="str"/>
      <x:c r="O1107" t="str">
        <x:v>https://www.activesportstrade.co.uk/Carb-Powders</x:v>
      </x:c>
      <x:c r="P1107" t="str"/>
      <x:c r="Q1107" t="str"/>
      <x:c r="R1107" t="str"/>
      <x:c r="S1107" t="str">
        <x:v>Pending genuine supplier/brand image</x:v>
      </x:c>
      <x:c r="T1107" s="54"/>
      <x:c r="U1107" s="47" t="n">
        <x:v>0.2</x:v>
      </x:c>
      <x:c r="V1107" s="54" t="str">
        <x:f>IF(ISNUMBER(T1107),T1107*(1+U1107),"")</x:f>
      </x:c>
      <x:c r="W1107" s="47" t="n">
        <x:v>0.3</x:v>
      </x:c>
      <x:c r="X1107" s="54" t="str">
        <x:f>IF(ISNUMBER(V1107),V1107/(1-W1107),"")</x:f>
      </x:c>
      <x:c r="Y1107" s="55" t="str">
        <x:f>IF(ISNUMBER(X1107),ROUNDUP(X1107,0),"")</x:f>
      </x:c>
      <x:c r="Z1107" t="str">
        <x:f>IF(ISNUMBER(T1107),"Cost captured","Awaiting trade cost")</x:f>
        <x:v>Awaiting trade cost</x:v>
      </x:c>
      <x:c r="AB1107" s="36" t="str">
        <x:f>IF(ISNUMBER(Y1107),ROUND(Y1107*0.9,2),"")</x:f>
      </x:c>
      <x:c r="AC1107" s="36" t="str">
        <x:f>IF(ISNUMBER(AB1107),ROUND(AB1107-(AB1107*0.015+0.2)-V1107,2),"")</x:f>
      </x:c>
      <x:c r="AD1107" s="36" t="str">
        <x:f>IF(ISNUMBER(Y1107),ROUND(Y1107*0.8,2),"")</x:f>
      </x:c>
      <x:c r="AE1107" s="36" t="str">
        <x:f>IF(ISNUMBER(AD1107),ROUND(AD1107*0.015+0.2,2),"")</x:f>
      </x:c>
      <x:c r="AF1107" s="36" t="str">
        <x:f>IF(ISNUMBER(AD1107),ROUND(AD1107-AE1107-V1107,2),"")</x:f>
      </x:c>
      <x:c r="AG1107" t="str">
        <x:f>IF(NOT(ISNUMBER(T1107)),"PENDING",IF(AF1107&gt;0,"PASS","FAIL"))</x:f>
        <x:v>PENDING</x:v>
      </x:c>
      <x:c r="AH1107" t="str">
        <x:f>IF(NOT(ISNUMBER(T1107)),"Needs supplier cost",IF(K1107&lt;&gt;"In stock","Supplier unavailable",IF(AG1107&lt;&gt;"PASS","BLOCK - GT loss risk","Commercially protected")))</x:f>
        <x:v>Needs supplier cost</x:v>
      </x:c>
      <x:c r="AI1107" t="str">
        <x:v>2026-09-10 Active Sports trade capture</x:v>
      </x:c>
      <x:c r="AJ1107" t="str">
        <x:v>Management-only economics. Stripe stress test uses 1.5% + £0.20 standard UK online-card fee; pallet/mix-and-match pricing ignored.</x:v>
      </x:c>
    </x:row>
    <x:row r="1108">
      <x:c r="A1108" t="str">
        <x:v>Active Sports Nutrition</x:v>
      </x:c>
      <x:c r="B1108" t="str">
        <x:v>Gas Mark 10</x:v>
      </x:c>
      <x:c r="C1108" t="str">
        <x:v>Cream of Rice</x:v>
      </x:c>
      <x:c r="D1108" t="str">
        <x:v>Supplements</x:v>
      </x:c>
      <x:c r="E1108" t="str">
        <x:v>Carbohydrates</x:v>
      </x:c>
      <x:c r="F1108" t="str">
        <x:v>Cream of rice carbohydrate food.</x:v>
      </x:c>
      <x:c r="G1108" t="str">
        <x:v>2kg</x:v>
      </x:c>
      <x:c r="H1108" t="str">
        <x:v>Golden Pancake</x:v>
      </x:c>
      <x:c r="I1108" t="str"/>
      <x:c r="J1108" t="str">
        <x:v>Unit</x:v>
      </x:c>
      <x:c r="K1108" t="str">
        <x:v>In stock</x:v>
      </x:c>
      <x:c r="L1108" t="str">
        <x:v>2026-09-08</x:v>
      </x:c>
      <x:c r="M1108" t="str"/>
      <x:c r="N1108" t="str"/>
      <x:c r="O1108" t="str">
        <x:v>https://www.activesportstrade.co.uk/Carb-Powders</x:v>
      </x:c>
      <x:c r="P1108" t="str"/>
      <x:c r="Q1108" t="str"/>
      <x:c r="R1108" t="str"/>
      <x:c r="S1108" t="str">
        <x:v>Pending genuine supplier/brand image</x:v>
      </x:c>
      <x:c r="T1108" s="54"/>
      <x:c r="U1108" s="47" t="n">
        <x:v>0.2</x:v>
      </x:c>
      <x:c r="V1108" s="54" t="str">
        <x:f>IF(ISNUMBER(T1108),T1108*(1+U1108),"")</x:f>
      </x:c>
      <x:c r="W1108" s="47" t="n">
        <x:v>0.3</x:v>
      </x:c>
      <x:c r="X1108" s="54" t="str">
        <x:f>IF(ISNUMBER(V1108),V1108/(1-W1108),"")</x:f>
      </x:c>
      <x:c r="Y1108" s="55" t="str">
        <x:f>IF(ISNUMBER(X1108),ROUNDUP(X1108,0),"")</x:f>
      </x:c>
      <x:c r="Z1108" t="str">
        <x:f>IF(ISNUMBER(T1108),"Cost captured","Awaiting trade cost")</x:f>
        <x:v>Awaiting trade cost</x:v>
      </x:c>
      <x:c r="AB1108" s="36" t="str">
        <x:f>IF(ISNUMBER(Y1108),ROUND(Y1108*0.9,2),"")</x:f>
      </x:c>
      <x:c r="AC1108" s="36" t="str">
        <x:f>IF(ISNUMBER(AB1108),ROUND(AB1108-(AB1108*0.015+0.2)-V1108,2),"")</x:f>
      </x:c>
      <x:c r="AD1108" s="36" t="str">
        <x:f>IF(ISNUMBER(Y1108),ROUND(Y1108*0.8,2),"")</x:f>
      </x:c>
      <x:c r="AE1108" s="36" t="str">
        <x:f>IF(ISNUMBER(AD1108),ROUND(AD1108*0.015+0.2,2),"")</x:f>
      </x:c>
      <x:c r="AF1108" s="36" t="str">
        <x:f>IF(ISNUMBER(AD1108),ROUND(AD1108-AE1108-V1108,2),"")</x:f>
      </x:c>
      <x:c r="AG1108" t="str">
        <x:f>IF(NOT(ISNUMBER(T1108)),"PENDING",IF(AF1108&gt;0,"PASS","FAIL"))</x:f>
        <x:v>PENDING</x:v>
      </x:c>
      <x:c r="AH1108" t="str">
        <x:f>IF(NOT(ISNUMBER(T1108)),"Needs supplier cost",IF(K1108&lt;&gt;"In stock","Supplier unavailable",IF(AG1108&lt;&gt;"PASS","BLOCK - GT loss risk","Commercially protected")))</x:f>
        <x:v>Needs supplier cost</x:v>
      </x:c>
      <x:c r="AI1108" t="str">
        <x:v>2026-09-10 Active Sports trade capture</x:v>
      </x:c>
      <x:c r="AJ1108" t="str">
        <x:v>Management-only economics. Stripe stress test uses 1.5% + £0.20 standard UK online-card fee; pallet/mix-and-match pricing ignored.</x:v>
      </x:c>
    </x:row>
    <x:row r="1109">
      <x:c r="A1109" t="str">
        <x:v>Active Sports Nutrition</x:v>
      </x:c>
      <x:c r="B1109" t="str">
        <x:v>Gas Mark 10</x:v>
      </x:c>
      <x:c r="C1109" t="str">
        <x:v>Cream of Rice</x:v>
      </x:c>
      <x:c r="D1109" t="str">
        <x:v>Supplements</x:v>
      </x:c>
      <x:c r="E1109" t="str">
        <x:v>Carbohydrates</x:v>
      </x:c>
      <x:c r="F1109" t="str">
        <x:v>Cream of rice carbohydrate food.</x:v>
      </x:c>
      <x:c r="G1109" t="str">
        <x:v>2kg</x:v>
      </x:c>
      <x:c r="H1109" t="str">
        <x:v>Honey Peanut</x:v>
      </x:c>
      <x:c r="I1109" t="str"/>
      <x:c r="J1109" t="str">
        <x:v>Unit</x:v>
      </x:c>
      <x:c r="K1109" t="str">
        <x:v>In stock</x:v>
      </x:c>
      <x:c r="L1109" t="str">
        <x:v>2026-09-08</x:v>
      </x:c>
      <x:c r="M1109" t="str"/>
      <x:c r="N1109" t="str"/>
      <x:c r="O1109" t="str">
        <x:v>https://www.activesportstrade.co.uk/Carb-Powders</x:v>
      </x:c>
      <x:c r="P1109" t="str"/>
      <x:c r="Q1109" t="str"/>
      <x:c r="R1109" t="str"/>
      <x:c r="S1109" t="str">
        <x:v>Pending genuine supplier/brand image</x:v>
      </x:c>
      <x:c r="T1109" s="54"/>
      <x:c r="U1109" s="47" t="n">
        <x:v>0.2</x:v>
      </x:c>
      <x:c r="V1109" s="54" t="str">
        <x:f>IF(ISNUMBER(T1109),T1109*(1+U1109),"")</x:f>
      </x:c>
      <x:c r="W1109" s="47" t="n">
        <x:v>0.3</x:v>
      </x:c>
      <x:c r="X1109" s="54" t="str">
        <x:f>IF(ISNUMBER(V1109),V1109/(1-W1109),"")</x:f>
      </x:c>
      <x:c r="Y1109" s="55" t="str">
        <x:f>IF(ISNUMBER(X1109),ROUNDUP(X1109,0),"")</x:f>
      </x:c>
      <x:c r="Z1109" t="str">
        <x:f>IF(ISNUMBER(T1109),"Cost captured","Awaiting trade cost")</x:f>
        <x:v>Awaiting trade cost</x:v>
      </x:c>
      <x:c r="AB1109" s="36" t="str">
        <x:f>IF(ISNUMBER(Y1109),ROUND(Y1109*0.9,2),"")</x:f>
      </x:c>
      <x:c r="AC1109" s="36" t="str">
        <x:f>IF(ISNUMBER(AB1109),ROUND(AB1109-(AB1109*0.015+0.2)-V1109,2),"")</x:f>
      </x:c>
      <x:c r="AD1109" s="36" t="str">
        <x:f>IF(ISNUMBER(Y1109),ROUND(Y1109*0.8,2),"")</x:f>
      </x:c>
      <x:c r="AE1109" s="36" t="str">
        <x:f>IF(ISNUMBER(AD1109),ROUND(AD1109*0.015+0.2,2),"")</x:f>
      </x:c>
      <x:c r="AF1109" s="36" t="str">
        <x:f>IF(ISNUMBER(AD1109),ROUND(AD1109-AE1109-V1109,2),"")</x:f>
      </x:c>
      <x:c r="AG1109" t="str">
        <x:f>IF(NOT(ISNUMBER(T1109)),"PENDING",IF(AF1109&gt;0,"PASS","FAIL"))</x:f>
        <x:v>PENDING</x:v>
      </x:c>
      <x:c r="AH1109" t="str">
        <x:f>IF(NOT(ISNUMBER(T1109)),"Needs supplier cost",IF(K1109&lt;&gt;"In stock","Supplier unavailable",IF(AG1109&lt;&gt;"PASS","BLOCK - GT loss risk","Commercially protected")))</x:f>
        <x:v>Needs supplier cost</x:v>
      </x:c>
      <x:c r="AI1109" t="str">
        <x:v>2026-09-10 Active Sports trade capture</x:v>
      </x:c>
      <x:c r="AJ1109" t="str">
        <x:v>Management-only economics. Stripe stress test uses 1.5% + £0.20 standard UK online-card fee; pallet/mix-and-match pricing ignored.</x:v>
      </x:c>
    </x:row>
    <x:row r="1110">
      <x:c r="A1110" t="str">
        <x:v>Active Sports Nutrition</x:v>
      </x:c>
      <x:c r="B1110" t="str">
        <x:v>Gas Mark 10</x:v>
      </x:c>
      <x:c r="C1110" t="str">
        <x:v>Cream of Rice</x:v>
      </x:c>
      <x:c r="D1110" t="str">
        <x:v>Supplements</x:v>
      </x:c>
      <x:c r="E1110" t="str">
        <x:v>Carbohydrates</x:v>
      </x:c>
      <x:c r="F1110" t="str">
        <x:v>Cream of rice carbohydrate food.</x:v>
      </x:c>
      <x:c r="G1110" t="str">
        <x:v>2kg</x:v>
      </x:c>
      <x:c r="H1110" t="str">
        <x:v>Toffee Apple Cinnamon</x:v>
      </x:c>
      <x:c r="I1110" t="str"/>
      <x:c r="J1110" t="str">
        <x:v>Unit</x:v>
      </x:c>
      <x:c r="K1110" t="str">
        <x:v>In stock</x:v>
      </x:c>
      <x:c r="L1110" t="str">
        <x:v>2026-09-08</x:v>
      </x:c>
      <x:c r="M1110" t="str"/>
      <x:c r="N1110" t="str"/>
      <x:c r="O1110" t="str">
        <x:v>https://www.activesportstrade.co.uk/Carb-Powders</x:v>
      </x:c>
      <x:c r="P1110" t="str"/>
      <x:c r="Q1110" t="str"/>
      <x:c r="R1110" t="str"/>
      <x:c r="S1110" t="str">
        <x:v>Pending genuine supplier/brand image</x:v>
      </x:c>
      <x:c r="T1110" s="54"/>
      <x:c r="U1110" s="47" t="n">
        <x:v>0.2</x:v>
      </x:c>
      <x:c r="V1110" s="54" t="str">
        <x:f>IF(ISNUMBER(T1110),T1110*(1+U1110),"")</x:f>
      </x:c>
      <x:c r="W1110" s="47" t="n">
        <x:v>0.3</x:v>
      </x:c>
      <x:c r="X1110" s="54" t="str">
        <x:f>IF(ISNUMBER(V1110),V1110/(1-W1110),"")</x:f>
      </x:c>
      <x:c r="Y1110" s="55" t="str">
        <x:f>IF(ISNUMBER(X1110),ROUNDUP(X1110,0),"")</x:f>
      </x:c>
      <x:c r="Z1110" t="str">
        <x:f>IF(ISNUMBER(T1110),"Cost captured","Awaiting trade cost")</x:f>
        <x:v>Awaiting trade cost</x:v>
      </x:c>
      <x:c r="AB1110" s="36" t="str">
        <x:f>IF(ISNUMBER(Y1110),ROUND(Y1110*0.9,2),"")</x:f>
      </x:c>
      <x:c r="AC1110" s="36" t="str">
        <x:f>IF(ISNUMBER(AB1110),ROUND(AB1110-(AB1110*0.015+0.2)-V1110,2),"")</x:f>
      </x:c>
      <x:c r="AD1110" s="36" t="str">
        <x:f>IF(ISNUMBER(Y1110),ROUND(Y1110*0.8,2),"")</x:f>
      </x:c>
      <x:c r="AE1110" s="36" t="str">
        <x:f>IF(ISNUMBER(AD1110),ROUND(AD1110*0.015+0.2,2),"")</x:f>
      </x:c>
      <x:c r="AF1110" s="36" t="str">
        <x:f>IF(ISNUMBER(AD1110),ROUND(AD1110-AE1110-V1110,2),"")</x:f>
      </x:c>
      <x:c r="AG1110" t="str">
        <x:f>IF(NOT(ISNUMBER(T1110)),"PENDING",IF(AF1110&gt;0,"PASS","FAIL"))</x:f>
        <x:v>PENDING</x:v>
      </x:c>
      <x:c r="AH1110" t="str">
        <x:f>IF(NOT(ISNUMBER(T1110)),"Needs supplier cost",IF(K1110&lt;&gt;"In stock","Supplier unavailable",IF(AG1110&lt;&gt;"PASS","BLOCK - GT loss risk","Commercially protected")))</x:f>
        <x:v>Needs supplier cost</x:v>
      </x:c>
      <x:c r="AI1110" t="str">
        <x:v>2026-09-10 Active Sports trade capture</x:v>
      </x:c>
      <x:c r="AJ1110" t="str">
        <x:v>Management-only economics. Stripe stress test uses 1.5% + £0.20 standard UK online-card fee; pallet/mix-and-match pricing ignored.</x:v>
      </x:c>
    </x:row>
    <x:row r="1111">
      <x:c r="A1111" t="str">
        <x:v>Active Sports Nutrition</x:v>
      </x:c>
      <x:c r="B1111" t="str">
        <x:v>Gas Mark 10</x:v>
      </x:c>
      <x:c r="C1111" t="str">
        <x:v>Cream of Rice</x:v>
      </x:c>
      <x:c r="D1111" t="str">
        <x:v>Supplements</x:v>
      </x:c>
      <x:c r="E1111" t="str">
        <x:v>Carbohydrates</x:v>
      </x:c>
      <x:c r="F1111" t="str">
        <x:v>Cream of rice carbohydrate food.</x:v>
      </x:c>
      <x:c r="G1111" t="str">
        <x:v>2kg</x:v>
      </x:c>
      <x:c r="H1111" t="str">
        <x:v>White Chocolate Biscuit</x:v>
      </x:c>
      <x:c r="I1111" t="str"/>
      <x:c r="J1111" t="str">
        <x:v>Unit</x:v>
      </x:c>
      <x:c r="K1111" t="str">
        <x:v>In stock</x:v>
      </x:c>
      <x:c r="L1111" t="str">
        <x:v>2026-09-08</x:v>
      </x:c>
      <x:c r="M1111" t="str"/>
      <x:c r="N1111" t="str"/>
      <x:c r="O1111" t="str">
        <x:v>https://www.activesportstrade.co.uk/Carb-Powders</x:v>
      </x:c>
      <x:c r="P1111" t="str"/>
      <x:c r="Q1111" t="str"/>
      <x:c r="R1111" t="str"/>
      <x:c r="S1111" t="str">
        <x:v>Pending genuine supplier/brand image</x:v>
      </x:c>
      <x:c r="T1111" s="54"/>
      <x:c r="U1111" s="47" t="n">
        <x:v>0.2</x:v>
      </x:c>
      <x:c r="V1111" s="54" t="str">
        <x:f>IF(ISNUMBER(T1111),T1111*(1+U1111),"")</x:f>
      </x:c>
      <x:c r="W1111" s="47" t="n">
        <x:v>0.3</x:v>
      </x:c>
      <x:c r="X1111" s="54" t="str">
        <x:f>IF(ISNUMBER(V1111),V1111/(1-W1111),"")</x:f>
      </x:c>
      <x:c r="Y1111" s="55" t="str">
        <x:f>IF(ISNUMBER(X1111),ROUNDUP(X1111,0),"")</x:f>
      </x:c>
      <x:c r="Z1111" t="str">
        <x:f>IF(ISNUMBER(T1111),"Cost captured","Awaiting trade cost")</x:f>
        <x:v>Awaiting trade cost</x:v>
      </x:c>
      <x:c r="AB1111" s="36" t="str">
        <x:f>IF(ISNUMBER(Y1111),ROUND(Y1111*0.9,2),"")</x:f>
      </x:c>
      <x:c r="AC1111" s="36" t="str">
        <x:f>IF(ISNUMBER(AB1111),ROUND(AB1111-(AB1111*0.015+0.2)-V1111,2),"")</x:f>
      </x:c>
      <x:c r="AD1111" s="36" t="str">
        <x:f>IF(ISNUMBER(Y1111),ROUND(Y1111*0.8,2),"")</x:f>
      </x:c>
      <x:c r="AE1111" s="36" t="str">
        <x:f>IF(ISNUMBER(AD1111),ROUND(AD1111*0.015+0.2,2),"")</x:f>
      </x:c>
      <x:c r="AF1111" s="36" t="str">
        <x:f>IF(ISNUMBER(AD1111),ROUND(AD1111-AE1111-V1111,2),"")</x:f>
      </x:c>
      <x:c r="AG1111" t="str">
        <x:f>IF(NOT(ISNUMBER(T1111)),"PENDING",IF(AF1111&gt;0,"PASS","FAIL"))</x:f>
        <x:v>PENDING</x:v>
      </x:c>
      <x:c r="AH1111" t="str">
        <x:f>IF(NOT(ISNUMBER(T1111)),"Needs supplier cost",IF(K1111&lt;&gt;"In stock","Supplier unavailable",IF(AG1111&lt;&gt;"PASS","BLOCK - GT loss risk","Commercially protected")))</x:f>
        <x:v>Needs supplier cost</x:v>
      </x:c>
      <x:c r="AI1111" t="str">
        <x:v>2026-09-10 Active Sports trade capture</x:v>
      </x:c>
      <x:c r="AJ1111" t="str">
        <x:v>Management-only economics. Stripe stress test uses 1.5% + £0.20 standard UK online-card fee; pallet/mix-and-match pricing ignored.</x:v>
      </x:c>
    </x:row>
    <x:row r="1112">
      <x:c r="A1112" t="str">
        <x:v>Active Sports Nutrition</x:v>
      </x:c>
      <x:c r="B1112" t="str">
        <x:v>Gas Mark 10</x:v>
      </x:c>
      <x:c r="C1112" t="str">
        <x:v>Cream of Rice</x:v>
      </x:c>
      <x:c r="D1112" t="str">
        <x:v>Supplements</x:v>
      </x:c>
      <x:c r="E1112" t="str">
        <x:v>Carbohydrates</x:v>
      </x:c>
      <x:c r="F1112" t="str">
        <x:v>Cream of rice carbohydrate food.</x:v>
      </x:c>
      <x:c r="G1112" t="str">
        <x:v>2kg</x:v>
      </x:c>
      <x:c r="H1112" t="str">
        <x:v>White Chocolate Coconut</x:v>
      </x:c>
      <x:c r="I1112" t="str"/>
      <x:c r="J1112" t="str">
        <x:v>Unit</x:v>
      </x:c>
      <x:c r="K1112" t="str">
        <x:v>In stock</x:v>
      </x:c>
      <x:c r="L1112" t="str">
        <x:v>2026-09-08</x:v>
      </x:c>
      <x:c r="M1112" t="str"/>
      <x:c r="N1112" t="str"/>
      <x:c r="O1112" t="str">
        <x:v>https://www.activesportstrade.co.uk/Carb-Powders</x:v>
      </x:c>
      <x:c r="P1112" t="str"/>
      <x:c r="Q1112" t="str"/>
      <x:c r="R1112" t="str"/>
      <x:c r="S1112" t="str">
        <x:v>Pending genuine supplier/brand image</x:v>
      </x:c>
      <x:c r="T1112" s="54"/>
      <x:c r="U1112" s="47" t="n">
        <x:v>0.2</x:v>
      </x:c>
      <x:c r="V1112" s="54" t="str">
        <x:f>IF(ISNUMBER(T1112),T1112*(1+U1112),"")</x:f>
      </x:c>
      <x:c r="W1112" s="47" t="n">
        <x:v>0.3</x:v>
      </x:c>
      <x:c r="X1112" s="54" t="str">
        <x:f>IF(ISNUMBER(V1112),V1112/(1-W1112),"")</x:f>
      </x:c>
      <x:c r="Y1112" s="55" t="str">
        <x:f>IF(ISNUMBER(X1112),ROUNDUP(X1112,0),"")</x:f>
      </x:c>
      <x:c r="Z1112" t="str">
        <x:f>IF(ISNUMBER(T1112),"Cost captured","Awaiting trade cost")</x:f>
        <x:v>Awaiting trade cost</x:v>
      </x:c>
      <x:c r="AB1112" s="36" t="str">
        <x:f>IF(ISNUMBER(Y1112),ROUND(Y1112*0.9,2),"")</x:f>
      </x:c>
      <x:c r="AC1112" s="36" t="str">
        <x:f>IF(ISNUMBER(AB1112),ROUND(AB1112-(AB1112*0.015+0.2)-V1112,2),"")</x:f>
      </x:c>
      <x:c r="AD1112" s="36" t="str">
        <x:f>IF(ISNUMBER(Y1112),ROUND(Y1112*0.8,2),"")</x:f>
      </x:c>
      <x:c r="AE1112" s="36" t="str">
        <x:f>IF(ISNUMBER(AD1112),ROUND(AD1112*0.015+0.2,2),"")</x:f>
      </x:c>
      <x:c r="AF1112" s="36" t="str">
        <x:f>IF(ISNUMBER(AD1112),ROUND(AD1112-AE1112-V1112,2),"")</x:f>
      </x:c>
      <x:c r="AG1112" t="str">
        <x:f>IF(NOT(ISNUMBER(T1112)),"PENDING",IF(AF1112&gt;0,"PASS","FAIL"))</x:f>
        <x:v>PENDING</x:v>
      </x:c>
      <x:c r="AH1112" t="str">
        <x:f>IF(NOT(ISNUMBER(T1112)),"Needs supplier cost",IF(K1112&lt;&gt;"In stock","Supplier unavailable",IF(AG1112&lt;&gt;"PASS","BLOCK - GT loss risk","Commercially protected")))</x:f>
        <x:v>Needs supplier cost</x:v>
      </x:c>
      <x:c r="AI1112" t="str">
        <x:v>2026-09-10 Active Sports trade capture</x:v>
      </x:c>
      <x:c r="AJ1112" t="str">
        <x:v>Management-only economics. Stripe stress test uses 1.5% + £0.20 standard UK online-card fee; pallet/mix-and-match pricing ignored.</x:v>
      </x:c>
    </x:row>
    <x:row r="1113">
      <x:c r="A1113" t="str">
        <x:v>Active Sports Nutrition</x:v>
      </x:c>
      <x:c r="B1113" t="str">
        <x:v>Gas Mark 10</x:v>
      </x:c>
      <x:c r="C1113" t="str">
        <x:v>Big Dog</x:v>
      </x:c>
      <x:c r="D1113" t="str">
        <x:v>Supplements</x:v>
      </x:c>
      <x:c r="E1113" t="str">
        <x:v>Carbohydrates</x:v>
      </x:c>
      <x:c r="F1113" t="str">
        <x:v>Carbohydrate training fuel.</x:v>
      </x:c>
      <x:c r="G1113" t="str">
        <x:v>720g</x:v>
      </x:c>
      <x:c r="H1113" t="str">
        <x:v>Cherry</x:v>
      </x:c>
      <x:c r="I1113" t="str"/>
      <x:c r="J1113" t="str">
        <x:v>Unit</x:v>
      </x:c>
      <x:c r="K1113" t="str">
        <x:v>Out of stock</x:v>
      </x:c>
      <x:c r="L1113" t="str">
        <x:v>2026-09-08</x:v>
      </x:c>
      <x:c r="M1113" t="str"/>
      <x:c r="N1113" t="str"/>
      <x:c r="O1113" t="str">
        <x:v>https://www.activesportstrade.co.uk/Carb-Powders</x:v>
      </x:c>
      <x:c r="P1113" t="str"/>
      <x:c r="Q1113" t="str"/>
      <x:c r="R1113" t="str"/>
      <x:c r="S1113" t="str">
        <x:v>Pending genuine supplier/brand image</x:v>
      </x:c>
      <x:c r="T1113" s="54"/>
      <x:c r="U1113" s="47" t="n">
        <x:v>0.2</x:v>
      </x:c>
      <x:c r="V1113" s="54" t="str">
        <x:f>IF(ISNUMBER(T1113),T1113*(1+U1113),"")</x:f>
      </x:c>
      <x:c r="W1113" s="47" t="n">
        <x:v>0.3</x:v>
      </x:c>
      <x:c r="X1113" s="54" t="str">
        <x:f>IF(ISNUMBER(V1113),V1113/(1-W1113),"")</x:f>
      </x:c>
      <x:c r="Y1113" s="55" t="str">
        <x:f>IF(ISNUMBER(X1113),ROUNDUP(X1113,0),"")</x:f>
      </x:c>
      <x:c r="Z1113" t="str">
        <x:f>IF(ISNUMBER(T1113),"Cost captured","Awaiting trade cost")</x:f>
        <x:v>Awaiting trade cost</x:v>
      </x:c>
      <x:c r="AB1113" s="36" t="str">
        <x:f>IF(ISNUMBER(Y1113),ROUND(Y1113*0.9,2),"")</x:f>
      </x:c>
      <x:c r="AC1113" s="36" t="str">
        <x:f>IF(ISNUMBER(AB1113),ROUND(AB1113-(AB1113*0.015+0.2)-V1113,2),"")</x:f>
      </x:c>
      <x:c r="AD1113" s="36" t="str">
        <x:f>IF(ISNUMBER(Y1113),ROUND(Y1113*0.8,2),"")</x:f>
      </x:c>
      <x:c r="AE1113" s="36" t="str">
        <x:f>IF(ISNUMBER(AD1113),ROUND(AD1113*0.015+0.2,2),"")</x:f>
      </x:c>
      <x:c r="AF1113" s="36" t="str">
        <x:f>IF(ISNUMBER(AD1113),ROUND(AD1113-AE1113-V1113,2),"")</x:f>
      </x:c>
      <x:c r="AG1113" t="str">
        <x:f>IF(NOT(ISNUMBER(T1113)),"PENDING",IF(AF1113&gt;0,"PASS","FAIL"))</x:f>
        <x:v>PENDING</x:v>
      </x:c>
      <x:c r="AH1113" t="str">
        <x:f>IF(NOT(ISNUMBER(T1113)),"Needs supplier cost",IF(K1113&lt;&gt;"In stock","Supplier unavailable",IF(AG1113&lt;&gt;"PASS","BLOCK - GT loss risk","Commercially protected")))</x:f>
        <x:v>Needs supplier cost</x:v>
      </x:c>
      <x:c r="AI1113" t="str">
        <x:v>2026-09-10 Active Sports trade capture</x:v>
      </x:c>
      <x:c r="AJ1113" t="str">
        <x:v>Management-only economics. Stripe stress test uses 1.5% + £0.20 standard UK online-card fee; pallet/mix-and-match pricing ignored.</x:v>
      </x:c>
    </x:row>
    <x:row r="1114">
      <x:c r="A1114" t="str">
        <x:v>Active Sports Nutrition</x:v>
      </x:c>
      <x:c r="B1114" t="str">
        <x:v>Gas Mark 10</x:v>
      </x:c>
      <x:c r="C1114" t="str">
        <x:v>Big Dog</x:v>
      </x:c>
      <x:c r="D1114" t="str">
        <x:v>Supplements</x:v>
      </x:c>
      <x:c r="E1114" t="str">
        <x:v>Carbohydrates</x:v>
      </x:c>
      <x:c r="F1114" t="str">
        <x:v>Carbohydrate training fuel.</x:v>
      </x:c>
      <x:c r="G1114" t="str">
        <x:v>720g</x:v>
      </x:c>
      <x:c r="H1114" t="str">
        <x:v>Lemon Sherbet</x:v>
      </x:c>
      <x:c r="I1114" t="str"/>
      <x:c r="J1114" t="str">
        <x:v>Unit</x:v>
      </x:c>
      <x:c r="K1114" t="str">
        <x:v>In stock</x:v>
      </x:c>
      <x:c r="L1114" t="str">
        <x:v>2026-09-08</x:v>
      </x:c>
      <x:c r="M1114" t="str"/>
      <x:c r="N1114" t="str"/>
      <x:c r="O1114" t="str">
        <x:v>https://www.activesportstrade.co.uk/Carb-Powders</x:v>
      </x:c>
      <x:c r="P1114" t="str"/>
      <x:c r="Q1114" t="str"/>
      <x:c r="R1114" t="str"/>
      <x:c r="S1114" t="str">
        <x:v>Pending genuine supplier/brand image</x:v>
      </x:c>
      <x:c r="T1114" s="54"/>
      <x:c r="U1114" s="47" t="n">
        <x:v>0.2</x:v>
      </x:c>
      <x:c r="V1114" s="54" t="str">
        <x:f>IF(ISNUMBER(T1114),T1114*(1+U1114),"")</x:f>
      </x:c>
      <x:c r="W1114" s="47" t="n">
        <x:v>0.3</x:v>
      </x:c>
      <x:c r="X1114" s="54" t="str">
        <x:f>IF(ISNUMBER(V1114),V1114/(1-W1114),"")</x:f>
      </x:c>
      <x:c r="Y1114" s="55" t="str">
        <x:f>IF(ISNUMBER(X1114),ROUNDUP(X1114,0),"")</x:f>
      </x:c>
      <x:c r="Z1114" t="str">
        <x:f>IF(ISNUMBER(T1114),"Cost captured","Awaiting trade cost")</x:f>
        <x:v>Awaiting trade cost</x:v>
      </x:c>
      <x:c r="AB1114" s="36" t="str">
        <x:f>IF(ISNUMBER(Y1114),ROUND(Y1114*0.9,2),"")</x:f>
      </x:c>
      <x:c r="AC1114" s="36" t="str">
        <x:f>IF(ISNUMBER(AB1114),ROUND(AB1114-(AB1114*0.015+0.2)-V1114,2),"")</x:f>
      </x:c>
      <x:c r="AD1114" s="36" t="str">
        <x:f>IF(ISNUMBER(Y1114),ROUND(Y1114*0.8,2),"")</x:f>
      </x:c>
      <x:c r="AE1114" s="36" t="str">
        <x:f>IF(ISNUMBER(AD1114),ROUND(AD1114*0.015+0.2,2),"")</x:f>
      </x:c>
      <x:c r="AF1114" s="36" t="str">
        <x:f>IF(ISNUMBER(AD1114),ROUND(AD1114-AE1114-V1114,2),"")</x:f>
      </x:c>
      <x:c r="AG1114" t="str">
        <x:f>IF(NOT(ISNUMBER(T1114)),"PENDING",IF(AF1114&gt;0,"PASS","FAIL"))</x:f>
        <x:v>PENDING</x:v>
      </x:c>
      <x:c r="AH1114" t="str">
        <x:f>IF(NOT(ISNUMBER(T1114)),"Needs supplier cost",IF(K1114&lt;&gt;"In stock","Supplier unavailable",IF(AG1114&lt;&gt;"PASS","BLOCK - GT loss risk","Commercially protected")))</x:f>
        <x:v>Needs supplier cost</x:v>
      </x:c>
      <x:c r="AI1114" t="str">
        <x:v>2026-09-10 Active Sports trade capture</x:v>
      </x:c>
      <x:c r="AJ1114" t="str">
        <x:v>Management-only economics. Stripe stress test uses 1.5% + £0.20 standard UK online-card fee; pallet/mix-and-match pricing ignored.</x:v>
      </x:c>
    </x:row>
    <x:row r="1115">
      <x:c r="A1115" t="str">
        <x:v>Active Sports Nutrition</x:v>
      </x:c>
      <x:c r="B1115" t="str">
        <x:v>Gas Mark 10</x:v>
      </x:c>
      <x:c r="C1115" t="str">
        <x:v>Big Dog</x:v>
      </x:c>
      <x:c r="D1115" t="str">
        <x:v>Supplements</x:v>
      </x:c>
      <x:c r="E1115" t="str">
        <x:v>Carbohydrates</x:v>
      </x:c>
      <x:c r="F1115" t="str">
        <x:v>Carbohydrate training fuel.</x:v>
      </x:c>
      <x:c r="G1115" t="str">
        <x:v>720g</x:v>
      </x:c>
      <x:c r="H1115" t="str">
        <x:v>Pineapple</x:v>
      </x:c>
      <x:c r="I1115" t="str"/>
      <x:c r="J1115" t="str">
        <x:v>Unit</x:v>
      </x:c>
      <x:c r="K1115" t="str">
        <x:v>In stock</x:v>
      </x:c>
      <x:c r="L1115" t="str">
        <x:v>2026-09-08</x:v>
      </x:c>
      <x:c r="M1115" t="str"/>
      <x:c r="N1115" t="str"/>
      <x:c r="O1115" t="str">
        <x:v>https://www.activesportstrade.co.uk/Carb-Powders</x:v>
      </x:c>
      <x:c r="P1115" t="str"/>
      <x:c r="Q1115" t="str"/>
      <x:c r="R1115" t="str"/>
      <x:c r="S1115" t="str">
        <x:v>Pending genuine supplier/brand image</x:v>
      </x:c>
      <x:c r="T1115" s="54"/>
      <x:c r="U1115" s="47" t="n">
        <x:v>0.2</x:v>
      </x:c>
      <x:c r="V1115" s="54" t="str">
        <x:f>IF(ISNUMBER(T1115),T1115*(1+U1115),"")</x:f>
      </x:c>
      <x:c r="W1115" s="47" t="n">
        <x:v>0.3</x:v>
      </x:c>
      <x:c r="X1115" s="54" t="str">
        <x:f>IF(ISNUMBER(V1115),V1115/(1-W1115),"")</x:f>
      </x:c>
      <x:c r="Y1115" s="55" t="str">
        <x:f>IF(ISNUMBER(X1115),ROUNDUP(X1115,0),"")</x:f>
      </x:c>
      <x:c r="Z1115" t="str">
        <x:f>IF(ISNUMBER(T1115),"Cost captured","Awaiting trade cost")</x:f>
        <x:v>Awaiting trade cost</x:v>
      </x:c>
      <x:c r="AB1115" s="36" t="str">
        <x:f>IF(ISNUMBER(Y1115),ROUND(Y1115*0.9,2),"")</x:f>
      </x:c>
      <x:c r="AC1115" s="36" t="str">
        <x:f>IF(ISNUMBER(AB1115),ROUND(AB1115-(AB1115*0.015+0.2)-V1115,2),"")</x:f>
      </x:c>
      <x:c r="AD1115" s="36" t="str">
        <x:f>IF(ISNUMBER(Y1115),ROUND(Y1115*0.8,2),"")</x:f>
      </x:c>
      <x:c r="AE1115" s="36" t="str">
        <x:f>IF(ISNUMBER(AD1115),ROUND(AD1115*0.015+0.2,2),"")</x:f>
      </x:c>
      <x:c r="AF1115" s="36" t="str">
        <x:f>IF(ISNUMBER(AD1115),ROUND(AD1115-AE1115-V1115,2),"")</x:f>
      </x:c>
      <x:c r="AG1115" t="str">
        <x:f>IF(NOT(ISNUMBER(T1115)),"PENDING",IF(AF1115&gt;0,"PASS","FAIL"))</x:f>
        <x:v>PENDING</x:v>
      </x:c>
      <x:c r="AH1115" t="str">
        <x:f>IF(NOT(ISNUMBER(T1115)),"Needs supplier cost",IF(K1115&lt;&gt;"In stock","Supplier unavailable",IF(AG1115&lt;&gt;"PASS","BLOCK - GT loss risk","Commercially protected")))</x:f>
        <x:v>Needs supplier cost</x:v>
      </x:c>
      <x:c r="AI1115" t="str">
        <x:v>2026-09-10 Active Sports trade capture</x:v>
      </x:c>
      <x:c r="AJ1115" t="str">
        <x:v>Management-only economics. Stripe stress test uses 1.5% + £0.20 standard UK online-card fee; pallet/mix-and-match pricing ignored.</x:v>
      </x:c>
    </x:row>
    <x:row r="1116">
      <x:c r="A1116" t="str">
        <x:v>Active Sports Nutrition</x:v>
      </x:c>
      <x:c r="B1116" t="str">
        <x:v>Gas Mark 10</x:v>
      </x:c>
      <x:c r="C1116" t="str">
        <x:v>Big Dog</x:v>
      </x:c>
      <x:c r="D1116" t="str">
        <x:v>Supplements</x:v>
      </x:c>
      <x:c r="E1116" t="str">
        <x:v>Carbohydrates</x:v>
      </x:c>
      <x:c r="F1116" t="str">
        <x:v>Carbohydrate training fuel.</x:v>
      </x:c>
      <x:c r="G1116" t="str">
        <x:v>720g</x:v>
      </x:c>
      <x:c r="H1116" t="str">
        <x:v>Strawberry Coconut</x:v>
      </x:c>
      <x:c r="I1116" t="str"/>
      <x:c r="J1116" t="str">
        <x:v>Unit</x:v>
      </x:c>
      <x:c r="K1116" t="str">
        <x:v>In stock</x:v>
      </x:c>
      <x:c r="L1116" t="str">
        <x:v>2026-09-08</x:v>
      </x:c>
      <x:c r="M1116" t="str"/>
      <x:c r="N1116" t="str"/>
      <x:c r="O1116" t="str">
        <x:v>https://www.activesportstrade.co.uk/Carb-Powders</x:v>
      </x:c>
      <x:c r="P1116" t="str"/>
      <x:c r="Q1116" t="str"/>
      <x:c r="R1116" t="str"/>
      <x:c r="S1116" t="str">
        <x:v>Pending genuine supplier/brand image</x:v>
      </x:c>
      <x:c r="T1116" s="54"/>
      <x:c r="U1116" s="47" t="n">
        <x:v>0.2</x:v>
      </x:c>
      <x:c r="V1116" s="54" t="str">
        <x:f>IF(ISNUMBER(T1116),T1116*(1+U1116),"")</x:f>
      </x:c>
      <x:c r="W1116" s="47" t="n">
        <x:v>0.3</x:v>
      </x:c>
      <x:c r="X1116" s="54" t="str">
        <x:f>IF(ISNUMBER(V1116),V1116/(1-W1116),"")</x:f>
      </x:c>
      <x:c r="Y1116" s="55" t="str">
        <x:f>IF(ISNUMBER(X1116),ROUNDUP(X1116,0),"")</x:f>
      </x:c>
      <x:c r="Z1116" t="str">
        <x:f>IF(ISNUMBER(T1116),"Cost captured","Awaiting trade cost")</x:f>
        <x:v>Awaiting trade cost</x:v>
      </x:c>
      <x:c r="AB1116" s="36" t="str">
        <x:f>IF(ISNUMBER(Y1116),ROUND(Y1116*0.9,2),"")</x:f>
      </x:c>
      <x:c r="AC1116" s="36" t="str">
        <x:f>IF(ISNUMBER(AB1116),ROUND(AB1116-(AB1116*0.015+0.2)-V1116,2),"")</x:f>
      </x:c>
      <x:c r="AD1116" s="36" t="str">
        <x:f>IF(ISNUMBER(Y1116),ROUND(Y1116*0.8,2),"")</x:f>
      </x:c>
      <x:c r="AE1116" s="36" t="str">
        <x:f>IF(ISNUMBER(AD1116),ROUND(AD1116*0.015+0.2,2),"")</x:f>
      </x:c>
      <x:c r="AF1116" s="36" t="str">
        <x:f>IF(ISNUMBER(AD1116),ROUND(AD1116-AE1116-V1116,2),"")</x:f>
      </x:c>
      <x:c r="AG1116" t="str">
        <x:f>IF(NOT(ISNUMBER(T1116)),"PENDING",IF(AF1116&gt;0,"PASS","FAIL"))</x:f>
        <x:v>PENDING</x:v>
      </x:c>
      <x:c r="AH1116" t="str">
        <x:f>IF(NOT(ISNUMBER(T1116)),"Needs supplier cost",IF(K1116&lt;&gt;"In stock","Supplier unavailable",IF(AG1116&lt;&gt;"PASS","BLOCK - GT loss risk","Commercially protected")))</x:f>
        <x:v>Needs supplier cost</x:v>
      </x:c>
      <x:c r="AI1116" t="str">
        <x:v>2026-09-10 Active Sports trade capture</x:v>
      </x:c>
      <x:c r="AJ1116" t="str">
        <x:v>Management-only economics. Stripe stress test uses 1.5% + £0.20 standard UK online-card fee; pallet/mix-and-match pricing ignored.</x:v>
      </x:c>
    </x:row>
    <x:row r="1117">
      <x:c r="A1117" t="str">
        <x:v>Active Sports Nutrition</x:v>
      </x:c>
      <x:c r="B1117" t="str">
        <x:v>Gas Mark 10</x:v>
      </x:c>
      <x:c r="C1117" t="str">
        <x:v>Hydro Collagen</x:v>
      </x:c>
      <x:c r="D1117" t="str">
        <x:v>Supplements</x:v>
      </x:c>
      <x:c r="E1117" t="str">
        <x:v>Joint Repair</x:v>
      </x:c>
      <x:c r="F1117" t="str">
        <x:v>Hydration and collagen formula.</x:v>
      </x:c>
      <x:c r="G1117" t="str">
        <x:v>315g</x:v>
      </x:c>
      <x:c r="H1117" t="str">
        <x:v>Apple</x:v>
      </x:c>
      <x:c r="I1117" t="str"/>
      <x:c r="J1117" t="str">
        <x:v>Unit</x:v>
      </x:c>
      <x:c r="K1117" t="str">
        <x:v>In stock</x:v>
      </x:c>
      <x:c r="L1117" t="str">
        <x:v>2026-09-08</x:v>
      </x:c>
      <x:c r="M1117" t="str"/>
      <x:c r="N1117" t="str"/>
      <x:c r="O1117" t="str">
        <x:v>https://www.activesportstrade.co.uk/Joint-Repair/norec</x:v>
      </x:c>
      <x:c r="P1117" t="str"/>
      <x:c r="Q1117" t="str"/>
      <x:c r="R1117" t="str"/>
      <x:c r="S1117" t="str">
        <x:v>Pending genuine supplier/brand image</x:v>
      </x:c>
      <x:c r="T1117" s="54"/>
      <x:c r="U1117" s="47" t="n">
        <x:v>0.2</x:v>
      </x:c>
      <x:c r="V1117" s="54" t="str">
        <x:f>IF(ISNUMBER(T1117),T1117*(1+U1117),"")</x:f>
      </x:c>
      <x:c r="W1117" s="47" t="n">
        <x:v>0.3</x:v>
      </x:c>
      <x:c r="X1117" s="54" t="str">
        <x:f>IF(ISNUMBER(V1117),V1117/(1-W1117),"")</x:f>
      </x:c>
      <x:c r="Y1117" s="55" t="str">
        <x:f>IF(ISNUMBER(X1117),ROUNDUP(X1117,0),"")</x:f>
      </x:c>
      <x:c r="Z1117" t="str">
        <x:f>IF(ISNUMBER(T1117),"Cost captured","Awaiting trade cost")</x:f>
        <x:v>Awaiting trade cost</x:v>
      </x:c>
      <x:c r="AB1117" s="36" t="str">
        <x:f>IF(ISNUMBER(Y1117),ROUND(Y1117*0.9,2),"")</x:f>
      </x:c>
      <x:c r="AC1117" s="36" t="str">
        <x:f>IF(ISNUMBER(AB1117),ROUND(AB1117-(AB1117*0.015+0.2)-V1117,2),"")</x:f>
      </x:c>
      <x:c r="AD1117" s="36" t="str">
        <x:f>IF(ISNUMBER(Y1117),ROUND(Y1117*0.8,2),"")</x:f>
      </x:c>
      <x:c r="AE1117" s="36" t="str">
        <x:f>IF(ISNUMBER(AD1117),ROUND(AD1117*0.015+0.2,2),"")</x:f>
      </x:c>
      <x:c r="AF1117" s="36" t="str">
        <x:f>IF(ISNUMBER(AD1117),ROUND(AD1117-AE1117-V1117,2),"")</x:f>
      </x:c>
      <x:c r="AG1117" t="str">
        <x:f>IF(NOT(ISNUMBER(T1117)),"PENDING",IF(AF1117&gt;0,"PASS","FAIL"))</x:f>
        <x:v>PENDING</x:v>
      </x:c>
      <x:c r="AH1117" t="str">
        <x:f>IF(NOT(ISNUMBER(T1117)),"Needs supplier cost",IF(K1117&lt;&gt;"In stock","Supplier unavailable",IF(AG1117&lt;&gt;"PASS","BLOCK - GT loss risk","Commercially protected")))</x:f>
        <x:v>Needs supplier cost</x:v>
      </x:c>
      <x:c r="AI1117" t="str">
        <x:v>2026-09-10 Active Sports trade capture</x:v>
      </x:c>
      <x:c r="AJ1117" t="str">
        <x:v>Management-only economics. Stripe stress test uses 1.5% + £0.20 standard UK online-card fee; pallet/mix-and-match pricing ignored.</x:v>
      </x:c>
    </x:row>
    <x:row r="1118">
      <x:c r="A1118" t="str">
        <x:v>Active Sports Nutrition</x:v>
      </x:c>
      <x:c r="B1118" t="str">
        <x:v>Gas Mark 10</x:v>
      </x:c>
      <x:c r="C1118" t="str">
        <x:v>Hydro Collagen</x:v>
      </x:c>
      <x:c r="D1118" t="str">
        <x:v>Supplements</x:v>
      </x:c>
      <x:c r="E1118" t="str">
        <x:v>Joint Repair</x:v>
      </x:c>
      <x:c r="F1118" t="str">
        <x:v>Hydration and collagen formula.</x:v>
      </x:c>
      <x:c r="G1118" t="str">
        <x:v>315g</x:v>
      </x:c>
      <x:c r="H1118" t="str">
        <x:v>Black Cherry</x:v>
      </x:c>
      <x:c r="I1118" t="str"/>
      <x:c r="J1118" t="str">
        <x:v>Unit</x:v>
      </x:c>
      <x:c r="K1118" t="str">
        <x:v>In stock</x:v>
      </x:c>
      <x:c r="L1118" t="str">
        <x:v>2026-09-08</x:v>
      </x:c>
      <x:c r="M1118" t="str"/>
      <x:c r="N1118" t="str"/>
      <x:c r="O1118" t="str">
        <x:v>https://www.activesportstrade.co.uk/Joint-Repair/norec</x:v>
      </x:c>
      <x:c r="P1118" t="str"/>
      <x:c r="Q1118" t="str"/>
      <x:c r="R1118" t="str"/>
      <x:c r="S1118" t="str">
        <x:v>Pending genuine supplier/brand image</x:v>
      </x:c>
      <x:c r="T1118" s="54"/>
      <x:c r="U1118" s="47" t="n">
        <x:v>0.2</x:v>
      </x:c>
      <x:c r="V1118" s="54" t="str">
        <x:f>IF(ISNUMBER(T1118),T1118*(1+U1118),"")</x:f>
      </x:c>
      <x:c r="W1118" s="47" t="n">
        <x:v>0.3</x:v>
      </x:c>
      <x:c r="X1118" s="54" t="str">
        <x:f>IF(ISNUMBER(V1118),V1118/(1-W1118),"")</x:f>
      </x:c>
      <x:c r="Y1118" s="55" t="str">
        <x:f>IF(ISNUMBER(X1118),ROUNDUP(X1118,0),"")</x:f>
      </x:c>
      <x:c r="Z1118" t="str">
        <x:f>IF(ISNUMBER(T1118),"Cost captured","Awaiting trade cost")</x:f>
        <x:v>Awaiting trade cost</x:v>
      </x:c>
      <x:c r="AB1118" s="36" t="str">
        <x:f>IF(ISNUMBER(Y1118),ROUND(Y1118*0.9,2),"")</x:f>
      </x:c>
      <x:c r="AC1118" s="36" t="str">
        <x:f>IF(ISNUMBER(AB1118),ROUND(AB1118-(AB1118*0.015+0.2)-V1118,2),"")</x:f>
      </x:c>
      <x:c r="AD1118" s="36" t="str">
        <x:f>IF(ISNUMBER(Y1118),ROUND(Y1118*0.8,2),"")</x:f>
      </x:c>
      <x:c r="AE1118" s="36" t="str">
        <x:f>IF(ISNUMBER(AD1118),ROUND(AD1118*0.015+0.2,2),"")</x:f>
      </x:c>
      <x:c r="AF1118" s="36" t="str">
        <x:f>IF(ISNUMBER(AD1118),ROUND(AD1118-AE1118-V1118,2),"")</x:f>
      </x:c>
      <x:c r="AG1118" t="str">
        <x:f>IF(NOT(ISNUMBER(T1118)),"PENDING",IF(AF1118&gt;0,"PASS","FAIL"))</x:f>
        <x:v>PENDING</x:v>
      </x:c>
      <x:c r="AH1118" t="str">
        <x:f>IF(NOT(ISNUMBER(T1118)),"Needs supplier cost",IF(K1118&lt;&gt;"In stock","Supplier unavailable",IF(AG1118&lt;&gt;"PASS","BLOCK - GT loss risk","Commercially protected")))</x:f>
        <x:v>Needs supplier cost</x:v>
      </x:c>
      <x:c r="AI1118" t="str">
        <x:v>2026-09-10 Active Sports trade capture</x:v>
      </x:c>
      <x:c r="AJ1118" t="str">
        <x:v>Management-only economics. Stripe stress test uses 1.5% + £0.20 standard UK online-card fee; pallet/mix-and-match pricing ignored.</x:v>
      </x:c>
    </x:row>
    <x:row r="1119">
      <x:c r="A1119" t="str">
        <x:v>Active Sports Nutrition</x:v>
      </x:c>
      <x:c r="B1119" t="str">
        <x:v>Gas Mark 10</x:v>
      </x:c>
      <x:c r="C1119" t="str">
        <x:v>Hydro Collagen</x:v>
      </x:c>
      <x:c r="D1119" t="str">
        <x:v>Supplements</x:v>
      </x:c>
      <x:c r="E1119" t="str">
        <x:v>Joint Repair</x:v>
      </x:c>
      <x:c r="F1119" t="str">
        <x:v>Hydration and collagen formula.</x:v>
      </x:c>
      <x:c r="G1119" t="str">
        <x:v>315g</x:v>
      </x:c>
      <x:c r="H1119" t="str">
        <x:v>Strawberry Laces</x:v>
      </x:c>
      <x:c r="I1119" t="str"/>
      <x:c r="J1119" t="str">
        <x:v>Unit</x:v>
      </x:c>
      <x:c r="K1119" t="str">
        <x:v>In stock</x:v>
      </x:c>
      <x:c r="L1119" t="str">
        <x:v>2026-09-08</x:v>
      </x:c>
      <x:c r="M1119" t="str"/>
      <x:c r="N1119" t="str"/>
      <x:c r="O1119" t="str">
        <x:v>https://www.activesportstrade.co.uk/Joint-Repair/norec</x:v>
      </x:c>
      <x:c r="P1119" t="str"/>
      <x:c r="Q1119" t="str"/>
      <x:c r="R1119" t="str"/>
      <x:c r="S1119" t="str">
        <x:v>Pending genuine supplier/brand image</x:v>
      </x:c>
      <x:c r="T1119" s="54"/>
      <x:c r="U1119" s="47" t="n">
        <x:v>0.2</x:v>
      </x:c>
      <x:c r="V1119" s="54" t="str">
        <x:f>IF(ISNUMBER(T1119),T1119*(1+U1119),"")</x:f>
      </x:c>
      <x:c r="W1119" s="47" t="n">
        <x:v>0.3</x:v>
      </x:c>
      <x:c r="X1119" s="54" t="str">
        <x:f>IF(ISNUMBER(V1119),V1119/(1-W1119),"")</x:f>
      </x:c>
      <x:c r="Y1119" s="55" t="str">
        <x:f>IF(ISNUMBER(X1119),ROUNDUP(X1119,0),"")</x:f>
      </x:c>
      <x:c r="Z1119" t="str">
        <x:f>IF(ISNUMBER(T1119),"Cost captured","Awaiting trade cost")</x:f>
        <x:v>Awaiting trade cost</x:v>
      </x:c>
      <x:c r="AB1119" s="36" t="str">
        <x:f>IF(ISNUMBER(Y1119),ROUND(Y1119*0.9,2),"")</x:f>
      </x:c>
      <x:c r="AC1119" s="36" t="str">
        <x:f>IF(ISNUMBER(AB1119),ROUND(AB1119-(AB1119*0.015+0.2)-V1119,2),"")</x:f>
      </x:c>
      <x:c r="AD1119" s="36" t="str">
        <x:f>IF(ISNUMBER(Y1119),ROUND(Y1119*0.8,2),"")</x:f>
      </x:c>
      <x:c r="AE1119" s="36" t="str">
        <x:f>IF(ISNUMBER(AD1119),ROUND(AD1119*0.015+0.2,2),"")</x:f>
      </x:c>
      <x:c r="AF1119" s="36" t="str">
        <x:f>IF(ISNUMBER(AD1119),ROUND(AD1119-AE1119-V1119,2),"")</x:f>
      </x:c>
      <x:c r="AG1119" t="str">
        <x:f>IF(NOT(ISNUMBER(T1119)),"PENDING",IF(AF1119&gt;0,"PASS","FAIL"))</x:f>
        <x:v>PENDING</x:v>
      </x:c>
      <x:c r="AH1119" t="str">
        <x:f>IF(NOT(ISNUMBER(T1119)),"Needs supplier cost",IF(K1119&lt;&gt;"In stock","Supplier unavailable",IF(AG1119&lt;&gt;"PASS","BLOCK - GT loss risk","Commercially protected")))</x:f>
        <x:v>Needs supplier cost</x:v>
      </x:c>
      <x:c r="AI1119" t="str">
        <x:v>2026-09-10 Active Sports trade capture</x:v>
      </x:c>
      <x:c r="AJ1119" t="str">
        <x:v>Management-only economics. Stripe stress test uses 1.5% + £0.20 standard UK online-card fee; pallet/mix-and-match pricing ignored.</x:v>
      </x:c>
    </x:row>
    <x:row r="1120">
      <x:c r="A1120" t="str">
        <x:v>Active Sports Nutrition</x:v>
      </x:c>
      <x:c r="B1120" t="str">
        <x:v>Gas Mark 10</x:v>
      </x:c>
      <x:c r="C1120" t="str">
        <x:v>Longevity Essential Omegas</x:v>
      </x:c>
      <x:c r="D1120" t="str">
        <x:v>Supplements</x:v>
      </x:c>
      <x:c r="E1120" t="str">
        <x:v>Omega and EFA</x:v>
      </x:c>
      <x:c r="F1120" t="str">
        <x:v>Essential omega capsule formula.</x:v>
      </x:c>
      <x:c r="G1120" t="str">
        <x:v>90 caps</x:v>
      </x:c>
      <x:c r="H1120" t="str">
        <x:v>Default</x:v>
      </x:c>
      <x:c r="I1120" t="str"/>
      <x:c r="J1120" t="str">
        <x:v>Unit</x:v>
      </x:c>
      <x:c r="K1120" t="str">
        <x:v>In stock</x:v>
      </x:c>
      <x:c r="L1120" t="str">
        <x:v>2026-09-08</x:v>
      </x:c>
      <x:c r="M1120" t="str"/>
      <x:c r="N1120" t="str"/>
      <x:c r="O1120" t="str">
        <x:v>https://www.activesportstrade.co.uk/Joint-Repair/norec</x:v>
      </x:c>
      <x:c r="P1120" t="str"/>
      <x:c r="Q1120" t="str"/>
      <x:c r="R1120" t="str"/>
      <x:c r="S1120" t="str">
        <x:v>Pending genuine supplier/brand image</x:v>
      </x:c>
      <x:c r="T1120" s="54"/>
      <x:c r="U1120" s="47" t="n">
        <x:v>0.2</x:v>
      </x:c>
      <x:c r="V1120" s="54" t="str">
        <x:f>IF(ISNUMBER(T1120),T1120*(1+U1120),"")</x:f>
      </x:c>
      <x:c r="W1120" s="47" t="n">
        <x:v>0.3</x:v>
      </x:c>
      <x:c r="X1120" s="54" t="str">
        <x:f>IF(ISNUMBER(V1120),V1120/(1-W1120),"")</x:f>
      </x:c>
      <x:c r="Y1120" s="55" t="str">
        <x:f>IF(ISNUMBER(X1120),ROUNDUP(X1120,0),"")</x:f>
      </x:c>
      <x:c r="Z1120" t="str">
        <x:f>IF(ISNUMBER(T1120),"Cost captured","Awaiting trade cost")</x:f>
        <x:v>Awaiting trade cost</x:v>
      </x:c>
      <x:c r="AB1120" s="36" t="str">
        <x:f>IF(ISNUMBER(Y1120),ROUND(Y1120*0.9,2),"")</x:f>
      </x:c>
      <x:c r="AC1120" s="36" t="str">
        <x:f>IF(ISNUMBER(AB1120),ROUND(AB1120-(AB1120*0.015+0.2)-V1120,2),"")</x:f>
      </x:c>
      <x:c r="AD1120" s="36" t="str">
        <x:f>IF(ISNUMBER(Y1120),ROUND(Y1120*0.8,2),"")</x:f>
      </x:c>
      <x:c r="AE1120" s="36" t="str">
        <x:f>IF(ISNUMBER(AD1120),ROUND(AD1120*0.015+0.2,2),"")</x:f>
      </x:c>
      <x:c r="AF1120" s="36" t="str">
        <x:f>IF(ISNUMBER(AD1120),ROUND(AD1120-AE1120-V1120,2),"")</x:f>
      </x:c>
      <x:c r="AG1120" t="str">
        <x:f>IF(NOT(ISNUMBER(T1120)),"PENDING",IF(AF1120&gt;0,"PASS","FAIL"))</x:f>
        <x:v>PENDING</x:v>
      </x:c>
      <x:c r="AH1120" t="str">
        <x:f>IF(NOT(ISNUMBER(T1120)),"Needs supplier cost",IF(K1120&lt;&gt;"In stock","Supplier unavailable",IF(AG1120&lt;&gt;"PASS","BLOCK - GT loss risk","Commercially protected")))</x:f>
        <x:v>Needs supplier cost</x:v>
      </x:c>
      <x:c r="AI1120" t="str">
        <x:v>2026-09-10 Active Sports trade capture</x:v>
      </x:c>
      <x:c r="AJ1120" t="str">
        <x:v>Management-only economics. Stripe stress test uses 1.5% + £0.20 standard UK online-card fee; pallet/mix-and-match pricing ignored.</x:v>
      </x:c>
    </x:row>
    <x:row r="1121">
      <x:c r="A1121" t="str">
        <x:v>Active Sports Nutrition</x:v>
      </x:c>
      <x:c r="B1121" t="str">
        <x:v>Gas Mark 10</x:v>
      </x:c>
      <x:c r="C1121" t="str">
        <x:v>Longevity Joint Support</x:v>
      </x:c>
      <x:c r="D1121" t="str">
        <x:v>Supplements</x:v>
      </x:c>
      <x:c r="E1121" t="str">
        <x:v>Joint Repair</x:v>
      </x:c>
      <x:c r="F1121" t="str">
        <x:v>Joint support capsule formula.</x:v>
      </x:c>
      <x:c r="G1121" t="str">
        <x:v>120 caps</x:v>
      </x:c>
      <x:c r="H1121" t="str">
        <x:v>Default</x:v>
      </x:c>
      <x:c r="I1121" t="str"/>
      <x:c r="J1121" t="str">
        <x:v>Unit</x:v>
      </x:c>
      <x:c r="K1121" t="str">
        <x:v>In stock</x:v>
      </x:c>
      <x:c r="L1121" t="str">
        <x:v>2026-09-08</x:v>
      </x:c>
      <x:c r="M1121" t="str"/>
      <x:c r="N1121" t="str"/>
      <x:c r="O1121" t="str">
        <x:v>https://www.activesportstrade.co.uk/Joint-Repair/norec</x:v>
      </x:c>
      <x:c r="P1121" t="str"/>
      <x:c r="Q1121" t="str"/>
      <x:c r="R1121" t="str"/>
      <x:c r="S1121" t="str">
        <x:v>Pending genuine supplier/brand image</x:v>
      </x:c>
      <x:c r="T1121" s="54"/>
      <x:c r="U1121" s="47" t="n">
        <x:v>0.2</x:v>
      </x:c>
      <x:c r="V1121" s="54" t="str">
        <x:f>IF(ISNUMBER(T1121),T1121*(1+U1121),"")</x:f>
      </x:c>
      <x:c r="W1121" s="47" t="n">
        <x:v>0.3</x:v>
      </x:c>
      <x:c r="X1121" s="54" t="str">
        <x:f>IF(ISNUMBER(V1121),V1121/(1-W1121),"")</x:f>
      </x:c>
      <x:c r="Y1121" s="55" t="str">
        <x:f>IF(ISNUMBER(X1121),ROUNDUP(X1121,0),"")</x:f>
      </x:c>
      <x:c r="Z1121" t="str">
        <x:f>IF(ISNUMBER(T1121),"Cost captured","Awaiting trade cost")</x:f>
        <x:v>Awaiting trade cost</x:v>
      </x:c>
      <x:c r="AB1121" s="36" t="str">
        <x:f>IF(ISNUMBER(Y1121),ROUND(Y1121*0.9,2),"")</x:f>
      </x:c>
      <x:c r="AC1121" s="36" t="str">
        <x:f>IF(ISNUMBER(AB1121),ROUND(AB1121-(AB1121*0.015+0.2)-V1121,2),"")</x:f>
      </x:c>
      <x:c r="AD1121" s="36" t="str">
        <x:f>IF(ISNUMBER(Y1121),ROUND(Y1121*0.8,2),"")</x:f>
      </x:c>
      <x:c r="AE1121" s="36" t="str">
        <x:f>IF(ISNUMBER(AD1121),ROUND(AD1121*0.015+0.2,2),"")</x:f>
      </x:c>
      <x:c r="AF1121" s="36" t="str">
        <x:f>IF(ISNUMBER(AD1121),ROUND(AD1121-AE1121-V1121,2),"")</x:f>
      </x:c>
      <x:c r="AG1121" t="str">
        <x:f>IF(NOT(ISNUMBER(T1121)),"PENDING",IF(AF1121&gt;0,"PASS","FAIL"))</x:f>
        <x:v>PENDING</x:v>
      </x:c>
      <x:c r="AH1121" t="str">
        <x:f>IF(NOT(ISNUMBER(T1121)),"Needs supplier cost",IF(K1121&lt;&gt;"In stock","Supplier unavailable",IF(AG1121&lt;&gt;"PASS","BLOCK - GT loss risk","Commercially protected")))</x:f>
        <x:v>Needs supplier cost</x:v>
      </x:c>
      <x:c r="AI1121" t="str">
        <x:v>2026-09-10 Active Sports trade capture</x:v>
      </x:c>
      <x:c r="AJ1121" t="str">
        <x:v>Management-only economics. Stripe stress test uses 1.5% + £0.20 standard UK online-card fee; pallet/mix-and-match pricing ignored.</x:v>
      </x:c>
    </x:row>
    <x:row r="1122">
      <x:c r="A1122" t="str">
        <x:v>Active Sports Nutrition</x:v>
      </x:c>
      <x:c r="B1122" t="str">
        <x:v>Gas Mark 10</x:v>
      </x:c>
      <x:c r="C1122" t="str">
        <x:v>Cheat Code</x:v>
      </x:c>
      <x:c r="D1122" t="str">
        <x:v>Supplements</x:v>
      </x:c>
      <x:c r="E1122" t="str">
        <x:v>Insulin Drivers</x:v>
      </x:c>
      <x:c r="F1122" t="str">
        <x:v>Glucose-disposal support formula.</x:v>
      </x:c>
      <x:c r="G1122" t="str">
        <x:v>150 caps</x:v>
      </x:c>
      <x:c r="H1122" t="str">
        <x:v>Default</x:v>
      </x:c>
      <x:c r="I1122" t="str"/>
      <x:c r="J1122" t="str">
        <x:v>Unit</x:v>
      </x:c>
      <x:c r="K1122" t="str">
        <x:v>In stock</x:v>
      </x:c>
      <x:c r="L1122" t="str">
        <x:v>2026-09-08</x:v>
      </x:c>
      <x:c r="M1122" t="str"/>
      <x:c r="N1122" t="str"/>
      <x:c r="O1122" t="str">
        <x:v>https://www.activesportstrade.co.uk/testosterone-boosters-trade</x:v>
      </x:c>
      <x:c r="P1122" t="str"/>
      <x:c r="Q1122" t="str"/>
      <x:c r="R1122" t="str"/>
      <x:c r="S1122" t="str">
        <x:v>Pending genuine supplier/brand image</x:v>
      </x:c>
      <x:c r="T1122" s="54"/>
      <x:c r="U1122" s="47" t="n">
        <x:v>0.2</x:v>
      </x:c>
      <x:c r="V1122" s="54" t="str">
        <x:f>IF(ISNUMBER(T1122),T1122*(1+U1122),"")</x:f>
      </x:c>
      <x:c r="W1122" s="47" t="n">
        <x:v>0.3</x:v>
      </x:c>
      <x:c r="X1122" s="54" t="str">
        <x:f>IF(ISNUMBER(V1122),V1122/(1-W1122),"")</x:f>
      </x:c>
      <x:c r="Y1122" s="55" t="str">
        <x:f>IF(ISNUMBER(X1122),ROUNDUP(X1122,0),"")</x:f>
      </x:c>
      <x:c r="Z1122" t="str">
        <x:f>IF(ISNUMBER(T1122),"Cost captured","Awaiting trade cost")</x:f>
        <x:v>Awaiting trade cost</x:v>
      </x:c>
      <x:c r="AB1122" s="36" t="str">
        <x:f>IF(ISNUMBER(Y1122),ROUND(Y1122*0.9,2),"")</x:f>
      </x:c>
      <x:c r="AC1122" s="36" t="str">
        <x:f>IF(ISNUMBER(AB1122),ROUND(AB1122-(AB1122*0.015+0.2)-V1122,2),"")</x:f>
      </x:c>
      <x:c r="AD1122" s="36" t="str">
        <x:f>IF(ISNUMBER(Y1122),ROUND(Y1122*0.8,2),"")</x:f>
      </x:c>
      <x:c r="AE1122" s="36" t="str">
        <x:f>IF(ISNUMBER(AD1122),ROUND(AD1122*0.015+0.2,2),"")</x:f>
      </x:c>
      <x:c r="AF1122" s="36" t="str">
        <x:f>IF(ISNUMBER(AD1122),ROUND(AD1122-AE1122-V1122,2),"")</x:f>
      </x:c>
      <x:c r="AG1122" t="str">
        <x:f>IF(NOT(ISNUMBER(T1122)),"PENDING",IF(AF1122&gt;0,"PASS","FAIL"))</x:f>
        <x:v>PENDING</x:v>
      </x:c>
      <x:c r="AH1122" t="str">
        <x:f>IF(NOT(ISNUMBER(T1122)),"Needs supplier cost",IF(K1122&lt;&gt;"In stock","Supplier unavailable",IF(AG1122&lt;&gt;"PASS","BLOCK - GT loss risk","Commercially protected")))</x:f>
        <x:v>Needs supplier cost</x:v>
      </x:c>
      <x:c r="AI1122" t="str">
        <x:v>2026-09-10 Active Sports trade capture</x:v>
      </x:c>
      <x:c r="AJ1122" t="str">
        <x:v>Management-only economics. Stripe stress test uses 1.5% + £0.20 standard UK online-card fee; pallet/mix-and-match pricing ignored.</x:v>
      </x:c>
    </x:row>
    <x:row r="1123">
      <x:c r="A1123" t="str">
        <x:v>Active Sports Nutrition</x:v>
      </x:c>
      <x:c r="B1123" t="str">
        <x:v>Gas Mark 10</x:v>
      </x:c>
      <x:c r="C1123" t="str">
        <x:v>Longevity Advanced Thyroid</x:v>
      </x:c>
      <x:c r="D1123" t="str">
        <x:v>Supplements</x:v>
      </x:c>
      <x:c r="E1123" t="str">
        <x:v>Health Foods</x:v>
      </x:c>
      <x:c r="F1123" t="str">
        <x:v>Thyroid-support supplement.</x:v>
      </x:c>
      <x:c r="G1123" t="str">
        <x:v>60 caps</x:v>
      </x:c>
      <x:c r="H1123" t="str">
        <x:v>Default</x:v>
      </x:c>
      <x:c r="I1123" t="str"/>
      <x:c r="J1123" t="str">
        <x:v>Unit</x:v>
      </x:c>
      <x:c r="K1123" t="str">
        <x:v>In stock</x:v>
      </x:c>
      <x:c r="L1123" t="str">
        <x:v>2026-09-08</x:v>
      </x:c>
      <x:c r="M1123" t="str"/>
      <x:c r="N1123" t="str"/>
      <x:c r="O1123" t="str">
        <x:v>https://www.activesportstrade.co.uk/testosterone-boosters-trade</x:v>
      </x:c>
      <x:c r="P1123" t="str"/>
      <x:c r="Q1123" t="str"/>
      <x:c r="R1123" t="str"/>
      <x:c r="S1123" t="str">
        <x:v>Pending genuine supplier/brand image</x:v>
      </x:c>
      <x:c r="T1123" s="54"/>
      <x:c r="U1123" s="47" t="n">
        <x:v>0.2</x:v>
      </x:c>
      <x:c r="V1123" s="54" t="str">
        <x:f>IF(ISNUMBER(T1123),T1123*(1+U1123),"")</x:f>
      </x:c>
      <x:c r="W1123" s="47" t="n">
        <x:v>0.3</x:v>
      </x:c>
      <x:c r="X1123" s="54" t="str">
        <x:f>IF(ISNUMBER(V1123),V1123/(1-W1123),"")</x:f>
      </x:c>
      <x:c r="Y1123" s="55" t="str">
        <x:f>IF(ISNUMBER(X1123),ROUNDUP(X1123,0),"")</x:f>
      </x:c>
      <x:c r="Z1123" t="str">
        <x:f>IF(ISNUMBER(T1123),"Cost captured","Awaiting trade cost")</x:f>
        <x:v>Awaiting trade cost</x:v>
      </x:c>
      <x:c r="AB1123" s="36" t="str">
        <x:f>IF(ISNUMBER(Y1123),ROUND(Y1123*0.9,2),"")</x:f>
      </x:c>
      <x:c r="AC1123" s="36" t="str">
        <x:f>IF(ISNUMBER(AB1123),ROUND(AB1123-(AB1123*0.015+0.2)-V1123,2),"")</x:f>
      </x:c>
      <x:c r="AD1123" s="36" t="str">
        <x:f>IF(ISNUMBER(Y1123),ROUND(Y1123*0.8,2),"")</x:f>
      </x:c>
      <x:c r="AE1123" s="36" t="str">
        <x:f>IF(ISNUMBER(AD1123),ROUND(AD1123*0.015+0.2,2),"")</x:f>
      </x:c>
      <x:c r="AF1123" s="36" t="str">
        <x:f>IF(ISNUMBER(AD1123),ROUND(AD1123-AE1123-V1123,2),"")</x:f>
      </x:c>
      <x:c r="AG1123" t="str">
        <x:f>IF(NOT(ISNUMBER(T1123)),"PENDING",IF(AF1123&gt;0,"PASS","FAIL"))</x:f>
        <x:v>PENDING</x:v>
      </x:c>
      <x:c r="AH1123" t="str">
        <x:f>IF(NOT(ISNUMBER(T1123)),"Needs supplier cost",IF(K1123&lt;&gt;"In stock","Supplier unavailable",IF(AG1123&lt;&gt;"PASS","BLOCK - GT loss risk","Commercially protected")))</x:f>
        <x:v>Needs supplier cost</x:v>
      </x:c>
      <x:c r="AI1123" t="str">
        <x:v>2026-09-10 Active Sports trade capture</x:v>
      </x:c>
      <x:c r="AJ1123" t="str">
        <x:v>Management-only economics. Stripe stress test uses 1.5% + £0.20 standard UK online-card fee; pallet/mix-and-match pricing ignored.</x:v>
      </x:c>
    </x:row>
    <x:row r="1124">
      <x:c r="A1124" t="str">
        <x:v>Active Sports Nutrition</x:v>
      </x:c>
      <x:c r="B1124" t="str">
        <x:v>Gas Mark 10</x:v>
      </x:c>
      <x:c r="C1124" t="str">
        <x:v>Longevity Body Armour</x:v>
      </x:c>
      <x:c r="D1124" t="str">
        <x:v>Supplements</x:v>
      </x:c>
      <x:c r="E1124" t="str">
        <x:v>All In Ones</x:v>
      </x:c>
      <x:c r="F1124" t="str">
        <x:v>All-in-one health supplement.</x:v>
      </x:c>
      <x:c r="G1124" t="str">
        <x:v>180 caps</x:v>
      </x:c>
      <x:c r="H1124" t="str">
        <x:v>Default</x:v>
      </x:c>
      <x:c r="I1124" t="str"/>
      <x:c r="J1124" t="str">
        <x:v>Unit</x:v>
      </x:c>
      <x:c r="K1124" t="str">
        <x:v>Out of stock</x:v>
      </x:c>
      <x:c r="L1124" t="str">
        <x:v>2026-09-08</x:v>
      </x:c>
      <x:c r="M1124" t="str"/>
      <x:c r="N1124" t="str"/>
      <x:c r="O1124" t="str">
        <x:v>https://www.activesportstrade.co.uk/testosterone-boosters-trade</x:v>
      </x:c>
      <x:c r="P1124" t="str"/>
      <x:c r="Q1124" t="str"/>
      <x:c r="R1124" t="str"/>
      <x:c r="S1124" t="str">
        <x:v>Pending genuine supplier/brand image</x:v>
      </x:c>
      <x:c r="T1124" s="54"/>
      <x:c r="U1124" s="47" t="n">
        <x:v>0.2</x:v>
      </x:c>
      <x:c r="V1124" s="54" t="str">
        <x:f>IF(ISNUMBER(T1124),T1124*(1+U1124),"")</x:f>
      </x:c>
      <x:c r="W1124" s="47" t="n">
        <x:v>0.3</x:v>
      </x:c>
      <x:c r="X1124" s="54" t="str">
        <x:f>IF(ISNUMBER(V1124),V1124/(1-W1124),"")</x:f>
      </x:c>
      <x:c r="Y1124" s="55" t="str">
        <x:f>IF(ISNUMBER(X1124),ROUNDUP(X1124,0),"")</x:f>
      </x:c>
      <x:c r="Z1124" t="str">
        <x:f>IF(ISNUMBER(T1124),"Cost captured","Awaiting trade cost")</x:f>
        <x:v>Awaiting trade cost</x:v>
      </x:c>
      <x:c r="AB1124" s="36" t="str">
        <x:f>IF(ISNUMBER(Y1124),ROUND(Y1124*0.9,2),"")</x:f>
      </x:c>
      <x:c r="AC1124" s="36" t="str">
        <x:f>IF(ISNUMBER(AB1124),ROUND(AB1124-(AB1124*0.015+0.2)-V1124,2),"")</x:f>
      </x:c>
      <x:c r="AD1124" s="36" t="str">
        <x:f>IF(ISNUMBER(Y1124),ROUND(Y1124*0.8,2),"")</x:f>
      </x:c>
      <x:c r="AE1124" s="36" t="str">
        <x:f>IF(ISNUMBER(AD1124),ROUND(AD1124*0.015+0.2,2),"")</x:f>
      </x:c>
      <x:c r="AF1124" s="36" t="str">
        <x:f>IF(ISNUMBER(AD1124),ROUND(AD1124-AE1124-V1124,2),"")</x:f>
      </x:c>
      <x:c r="AG1124" t="str">
        <x:f>IF(NOT(ISNUMBER(T1124)),"PENDING",IF(AF1124&gt;0,"PASS","FAIL"))</x:f>
        <x:v>PENDING</x:v>
      </x:c>
      <x:c r="AH1124" t="str">
        <x:f>IF(NOT(ISNUMBER(T1124)),"Needs supplier cost",IF(K1124&lt;&gt;"In stock","Supplier unavailable",IF(AG1124&lt;&gt;"PASS","BLOCK - GT loss risk","Commercially protected")))</x:f>
        <x:v>Needs supplier cost</x:v>
      </x:c>
      <x:c r="AI1124" t="str">
        <x:v>2026-09-10 Active Sports trade capture</x:v>
      </x:c>
      <x:c r="AJ1124" t="str">
        <x:v>Management-only economics. Stripe stress test uses 1.5% + £0.20 standard UK online-card fee; pallet/mix-and-match pricing ignored.</x:v>
      </x:c>
    </x:row>
    <x:row r="1125">
      <x:c r="A1125" t="str">
        <x:v>Active Sports Nutrition</x:v>
      </x:c>
      <x:c r="B1125" t="str">
        <x:v>Gas Mark 10</x:v>
      </x:c>
      <x:c r="C1125" t="str">
        <x:v>Longevity Heart Support</x:v>
      </x:c>
      <x:c r="D1125" t="str">
        <x:v>Supplements</x:v>
      </x:c>
      <x:c r="E1125" t="str">
        <x:v>Health Foods</x:v>
      </x:c>
      <x:c r="F1125" t="str">
        <x:v>Heart-support supplement.</x:v>
      </x:c>
      <x:c r="G1125" t="str">
        <x:v>90 caps</x:v>
      </x:c>
      <x:c r="H1125" t="str">
        <x:v>Default</x:v>
      </x:c>
      <x:c r="I1125" t="str"/>
      <x:c r="J1125" t="str">
        <x:v>Unit</x:v>
      </x:c>
      <x:c r="K1125" t="str">
        <x:v>In stock</x:v>
      </x:c>
      <x:c r="L1125" t="str">
        <x:v>2026-09-08</x:v>
      </x:c>
      <x:c r="M1125" t="str"/>
      <x:c r="N1125" t="str"/>
      <x:c r="O1125" t="str">
        <x:v>https://www.activesportstrade.co.uk/testosterone-boosters-trade</x:v>
      </x:c>
      <x:c r="P1125" t="str"/>
      <x:c r="Q1125" t="str"/>
      <x:c r="R1125" t="str"/>
      <x:c r="S1125" t="str">
        <x:v>Pending genuine supplier/brand image</x:v>
      </x:c>
      <x:c r="T1125" s="54"/>
      <x:c r="U1125" s="47" t="n">
        <x:v>0.2</x:v>
      </x:c>
      <x:c r="V1125" s="54" t="str">
        <x:f>IF(ISNUMBER(T1125),T1125*(1+U1125),"")</x:f>
      </x:c>
      <x:c r="W1125" s="47" t="n">
        <x:v>0.3</x:v>
      </x:c>
      <x:c r="X1125" s="54" t="str">
        <x:f>IF(ISNUMBER(V1125),V1125/(1-W1125),"")</x:f>
      </x:c>
      <x:c r="Y1125" s="55" t="str">
        <x:f>IF(ISNUMBER(X1125),ROUNDUP(X1125,0),"")</x:f>
      </x:c>
      <x:c r="Z1125" t="str">
        <x:f>IF(ISNUMBER(T1125),"Cost captured","Awaiting trade cost")</x:f>
        <x:v>Awaiting trade cost</x:v>
      </x:c>
      <x:c r="AB1125" s="36" t="str">
        <x:f>IF(ISNUMBER(Y1125),ROUND(Y1125*0.9,2),"")</x:f>
      </x:c>
      <x:c r="AC1125" s="36" t="str">
        <x:f>IF(ISNUMBER(AB1125),ROUND(AB1125-(AB1125*0.015+0.2)-V1125,2),"")</x:f>
      </x:c>
      <x:c r="AD1125" s="36" t="str">
        <x:f>IF(ISNUMBER(Y1125),ROUND(Y1125*0.8,2),"")</x:f>
      </x:c>
      <x:c r="AE1125" s="36" t="str">
        <x:f>IF(ISNUMBER(AD1125),ROUND(AD1125*0.015+0.2,2),"")</x:f>
      </x:c>
      <x:c r="AF1125" s="36" t="str">
        <x:f>IF(ISNUMBER(AD1125),ROUND(AD1125-AE1125-V1125,2),"")</x:f>
      </x:c>
      <x:c r="AG1125" t="str">
        <x:f>IF(NOT(ISNUMBER(T1125)),"PENDING",IF(AF1125&gt;0,"PASS","FAIL"))</x:f>
        <x:v>PENDING</x:v>
      </x:c>
      <x:c r="AH1125" t="str">
        <x:f>IF(NOT(ISNUMBER(T1125)),"Needs supplier cost",IF(K1125&lt;&gt;"In stock","Supplier unavailable",IF(AG1125&lt;&gt;"PASS","BLOCK - GT loss risk","Commercially protected")))</x:f>
        <x:v>Needs supplier cost</x:v>
      </x:c>
      <x:c r="AI1125" t="str">
        <x:v>2026-09-10 Active Sports trade capture</x:v>
      </x:c>
      <x:c r="AJ1125" t="str">
        <x:v>Management-only economics. Stripe stress test uses 1.5% + £0.20 standard UK online-card fee; pallet/mix-and-match pricing ignored.</x:v>
      </x:c>
    </x:row>
    <x:row r="1126">
      <x:c r="A1126" t="str">
        <x:v>Active Sports Nutrition</x:v>
      </x:c>
      <x:c r="B1126" t="str">
        <x:v>Gas Mark 10</x:v>
      </x:c>
      <x:c r="C1126" t="str">
        <x:v>No Drama</x:v>
      </x:c>
      <x:c r="D1126" t="str">
        <x:v>Supplements</x:v>
      </x:c>
      <x:c r="E1126" t="str">
        <x:v>Mood Enhancers</x:v>
      </x:c>
      <x:c r="F1126" t="str">
        <x:v>Stress and mood-support formula.</x:v>
      </x:c>
      <x:c r="G1126" t="str">
        <x:v>120 caps</x:v>
      </x:c>
      <x:c r="H1126" t="str">
        <x:v>Default</x:v>
      </x:c>
      <x:c r="I1126" t="str"/>
      <x:c r="J1126" t="str">
        <x:v>Unit</x:v>
      </x:c>
      <x:c r="K1126" t="str">
        <x:v>In stock</x:v>
      </x:c>
      <x:c r="L1126" t="str">
        <x:v>2026-09-08</x:v>
      </x:c>
      <x:c r="M1126" t="str"/>
      <x:c r="N1126" t="str"/>
      <x:c r="O1126" t="str">
        <x:v>https://www.activesportstrade.co.uk/testosterone-boosters-trade</x:v>
      </x:c>
      <x:c r="P1126" t="str"/>
      <x:c r="Q1126" t="str"/>
      <x:c r="R1126" t="str"/>
      <x:c r="S1126" t="str">
        <x:v>Pending genuine supplier/brand image</x:v>
      </x:c>
      <x:c r="T1126" s="54"/>
      <x:c r="U1126" s="47" t="n">
        <x:v>0.2</x:v>
      </x:c>
      <x:c r="V1126" s="54" t="str">
        <x:f>IF(ISNUMBER(T1126),T1126*(1+U1126),"")</x:f>
      </x:c>
      <x:c r="W1126" s="47" t="n">
        <x:v>0.3</x:v>
      </x:c>
      <x:c r="X1126" s="54" t="str">
        <x:f>IF(ISNUMBER(V1126),V1126/(1-W1126),"")</x:f>
      </x:c>
      <x:c r="Y1126" s="55" t="str">
        <x:f>IF(ISNUMBER(X1126),ROUNDUP(X1126,0),"")</x:f>
      </x:c>
      <x:c r="Z1126" t="str">
        <x:f>IF(ISNUMBER(T1126),"Cost captured","Awaiting trade cost")</x:f>
        <x:v>Awaiting trade cost</x:v>
      </x:c>
      <x:c r="AB1126" s="36" t="str">
        <x:f>IF(ISNUMBER(Y1126),ROUND(Y1126*0.9,2),"")</x:f>
      </x:c>
      <x:c r="AC1126" s="36" t="str">
        <x:f>IF(ISNUMBER(AB1126),ROUND(AB1126-(AB1126*0.015+0.2)-V1126,2),"")</x:f>
      </x:c>
      <x:c r="AD1126" s="36" t="str">
        <x:f>IF(ISNUMBER(Y1126),ROUND(Y1126*0.8,2),"")</x:f>
      </x:c>
      <x:c r="AE1126" s="36" t="str">
        <x:f>IF(ISNUMBER(AD1126),ROUND(AD1126*0.015+0.2,2),"")</x:f>
      </x:c>
      <x:c r="AF1126" s="36" t="str">
        <x:f>IF(ISNUMBER(AD1126),ROUND(AD1126-AE1126-V1126,2),"")</x:f>
      </x:c>
      <x:c r="AG1126" t="str">
        <x:f>IF(NOT(ISNUMBER(T1126)),"PENDING",IF(AF1126&gt;0,"PASS","FAIL"))</x:f>
        <x:v>PENDING</x:v>
      </x:c>
      <x:c r="AH1126" t="str">
        <x:f>IF(NOT(ISNUMBER(T1126)),"Needs supplier cost",IF(K1126&lt;&gt;"In stock","Supplier unavailable",IF(AG1126&lt;&gt;"PASS","BLOCK - GT loss risk","Commercially protected")))</x:f>
        <x:v>Needs supplier cost</x:v>
      </x:c>
      <x:c r="AI1126" t="str">
        <x:v>2026-09-10 Active Sports trade capture</x:v>
      </x:c>
      <x:c r="AJ1126" t="str">
        <x:v>Management-only economics. Stripe stress test uses 1.5% + £0.20 standard UK online-card fee; pallet/mix-and-match pricing ignored.</x:v>
      </x:c>
    </x:row>
    <x:row r="1127">
      <x:c r="A1127" t="str">
        <x:v>Active Sports Nutrition</x:v>
      </x:c>
      <x:c r="B1127" t="str">
        <x:v>Ghost Lifestyle</x:v>
      </x:c>
      <x:c r="C1127" t="str">
        <x:v>BCAA V2</x:v>
      </x:c>
      <x:c r="D1127" t="str">
        <x:v>Supplements</x:v>
      </x:c>
      <x:c r="E1127" t="str">
        <x:v>BCAAS</x:v>
      </x:c>
      <x:c r="F1127" t="str">
        <x:v>BCAA performance drink powder.</x:v>
      </x:c>
      <x:c r="G1127" t="str">
        <x:v>30 servings</x:v>
      </x:c>
      <x:c r="H1127" t="str">
        <x:v>Lemon Crush</x:v>
      </x:c>
      <x:c r="I1127" t="str"/>
      <x:c r="J1127" t="str">
        <x:v>Unit</x:v>
      </x:c>
      <x:c r="K1127" t="str">
        <x:v>Out of stock</x:v>
      </x:c>
      <x:c r="L1127" t="str">
        <x:v>2026-09-08</x:v>
      </x:c>
      <x:c r="M1127" t="str"/>
      <x:c r="N1127" t="str"/>
      <x:c r="O1127" t="str">
        <x:v>https://www.activesportstrade.co.uk/BCAAS/norec</x:v>
      </x:c>
      <x:c r="P1127" t="str">
        <x:v>Fresher BCAA category stock used; older brand page showed Lemon Crush in stock.</x:v>
      </x:c>
      <x:c r="Q1127" t="str"/>
      <x:c r="R1127" t="str"/>
      <x:c r="S1127" t="str">
        <x:v>Pending genuine supplier/brand image</x:v>
      </x:c>
      <x:c r="T1127" s="54"/>
      <x:c r="U1127" s="47" t="n">
        <x:v>0.2</x:v>
      </x:c>
      <x:c r="V1127" s="54" t="str">
        <x:f>IF(ISNUMBER(T1127),T1127*(1+U1127),"")</x:f>
      </x:c>
      <x:c r="W1127" s="47" t="n">
        <x:v>0.3</x:v>
      </x:c>
      <x:c r="X1127" s="54" t="str">
        <x:f>IF(ISNUMBER(V1127),V1127/(1-W1127),"")</x:f>
      </x:c>
      <x:c r="Y1127" s="55" t="str">
        <x:f>IF(ISNUMBER(X1127),ROUNDUP(X1127,0),"")</x:f>
      </x:c>
      <x:c r="Z1127" t="str">
        <x:f>IF(ISNUMBER(T1127),"Cost captured","Awaiting trade cost")</x:f>
        <x:v>Awaiting trade cost</x:v>
      </x:c>
      <x:c r="AB1127" s="36" t="str">
        <x:f>IF(ISNUMBER(Y1127),ROUND(Y1127*0.9,2),"")</x:f>
      </x:c>
      <x:c r="AC1127" s="36" t="str">
        <x:f>IF(ISNUMBER(AB1127),ROUND(AB1127-(AB1127*0.015+0.2)-V1127,2),"")</x:f>
      </x:c>
      <x:c r="AD1127" s="36" t="str">
        <x:f>IF(ISNUMBER(Y1127),ROUND(Y1127*0.8,2),"")</x:f>
      </x:c>
      <x:c r="AE1127" s="36" t="str">
        <x:f>IF(ISNUMBER(AD1127),ROUND(AD1127*0.015+0.2,2),"")</x:f>
      </x:c>
      <x:c r="AF1127" s="36" t="str">
        <x:f>IF(ISNUMBER(AD1127),ROUND(AD1127-AE1127-V1127,2),"")</x:f>
      </x:c>
      <x:c r="AG1127" t="str">
        <x:f>IF(NOT(ISNUMBER(T1127)),"PENDING",IF(AF1127&gt;0,"PASS","FAIL"))</x:f>
        <x:v>PENDING</x:v>
      </x:c>
      <x:c r="AH1127" t="str">
        <x:f>IF(NOT(ISNUMBER(T1127)),"Needs supplier cost",IF(K1127&lt;&gt;"In stock","Supplier unavailable",IF(AG1127&lt;&gt;"PASS","BLOCK - GT loss risk","Commercially protected")))</x:f>
        <x:v>Needs supplier cost</x:v>
      </x:c>
      <x:c r="AI1127" t="str">
        <x:v>2026-09-10 Active Sports trade capture</x:v>
      </x:c>
      <x:c r="AJ1127" t="str">
        <x:v>Management-only economics. Stripe stress test uses 1.5% + £0.20 standard UK online-card fee; pallet/mix-and-match pricing ignored.</x:v>
      </x:c>
    </x:row>
    <x:row r="1128">
      <x:c r="A1128" t="str">
        <x:v>Active Sports Nutrition</x:v>
      </x:c>
      <x:c r="B1128" t="str">
        <x:v>Ghost Lifestyle</x:v>
      </x:c>
      <x:c r="C1128" t="str">
        <x:v>BCAA V2</x:v>
      </x:c>
      <x:c r="D1128" t="str">
        <x:v>Supplements</x:v>
      </x:c>
      <x:c r="E1128" t="str">
        <x:v>BCAAS</x:v>
      </x:c>
      <x:c r="F1128" t="str">
        <x:v>BCAA performance drink powder.</x:v>
      </x:c>
      <x:c r="G1128" t="str">
        <x:v>30 servings</x:v>
      </x:c>
      <x:c r="H1128" t="str">
        <x:v>Strawberry Kiwi</x:v>
      </x:c>
      <x:c r="I1128" t="str"/>
      <x:c r="J1128" t="str">
        <x:v>Unit</x:v>
      </x:c>
      <x:c r="K1128" t="str">
        <x:v>In stock</x:v>
      </x:c>
      <x:c r="L1128" t="str">
        <x:v>2026-09-08</x:v>
      </x:c>
      <x:c r="M1128" t="str"/>
      <x:c r="N1128" t="str"/>
      <x:c r="O1128" t="str">
        <x:v>https://www.activesportstrade.co.uk/BCAAS/norec</x:v>
      </x:c>
      <x:c r="P1128" t="str">
        <x:v>Fresher BCAA category stock used; older brand page showed Lemon Crush in stock.</x:v>
      </x:c>
      <x:c r="Q1128" t="str"/>
      <x:c r="R1128" t="str"/>
      <x:c r="S1128" t="str">
        <x:v>Pending genuine supplier/brand image</x:v>
      </x:c>
      <x:c r="T1128" s="54"/>
      <x:c r="U1128" s="47" t="n">
        <x:v>0.2</x:v>
      </x:c>
      <x:c r="V1128" s="54" t="str">
        <x:f>IF(ISNUMBER(T1128),T1128*(1+U1128),"")</x:f>
      </x:c>
      <x:c r="W1128" s="47" t="n">
        <x:v>0.3</x:v>
      </x:c>
      <x:c r="X1128" s="54" t="str">
        <x:f>IF(ISNUMBER(V1128),V1128/(1-W1128),"")</x:f>
      </x:c>
      <x:c r="Y1128" s="55" t="str">
        <x:f>IF(ISNUMBER(X1128),ROUNDUP(X1128,0),"")</x:f>
      </x:c>
      <x:c r="Z1128" t="str">
        <x:f>IF(ISNUMBER(T1128),"Cost captured","Awaiting trade cost")</x:f>
        <x:v>Awaiting trade cost</x:v>
      </x:c>
      <x:c r="AB1128" s="36" t="str">
        <x:f>IF(ISNUMBER(Y1128),ROUND(Y1128*0.9,2),"")</x:f>
      </x:c>
      <x:c r="AC1128" s="36" t="str">
        <x:f>IF(ISNUMBER(AB1128),ROUND(AB1128-(AB1128*0.015+0.2)-V1128,2),"")</x:f>
      </x:c>
      <x:c r="AD1128" s="36" t="str">
        <x:f>IF(ISNUMBER(Y1128),ROUND(Y1128*0.8,2),"")</x:f>
      </x:c>
      <x:c r="AE1128" s="36" t="str">
        <x:f>IF(ISNUMBER(AD1128),ROUND(AD1128*0.015+0.2,2),"")</x:f>
      </x:c>
      <x:c r="AF1128" s="36" t="str">
        <x:f>IF(ISNUMBER(AD1128),ROUND(AD1128-AE1128-V1128,2),"")</x:f>
      </x:c>
      <x:c r="AG1128" t="str">
        <x:f>IF(NOT(ISNUMBER(T1128)),"PENDING",IF(AF1128&gt;0,"PASS","FAIL"))</x:f>
        <x:v>PENDING</x:v>
      </x:c>
      <x:c r="AH1128" t="str">
        <x:f>IF(NOT(ISNUMBER(T1128)),"Needs supplier cost",IF(K1128&lt;&gt;"In stock","Supplier unavailable",IF(AG1128&lt;&gt;"PASS","BLOCK - GT loss risk","Commercially protected")))</x:f>
        <x:v>Needs supplier cost</x:v>
      </x:c>
      <x:c r="AI1128" t="str">
        <x:v>2026-09-10 Active Sports trade capture</x:v>
      </x:c>
      <x:c r="AJ1128" t="str">
        <x:v>Management-only economics. Stripe stress test uses 1.5% + £0.20 standard UK online-card fee; pallet/mix-and-match pricing ignored.</x:v>
      </x:c>
    </x:row>
    <x:row r="1129">
      <x:c r="A1129" t="str">
        <x:v>Active Sports Nutrition</x:v>
      </x:c>
      <x:c r="B1129" t="str">
        <x:v>Ghost Lifestyle</x:v>
      </x:c>
      <x:c r="C1129" t="str">
        <x:v>Greens</x:v>
      </x:c>
      <x:c r="D1129" t="str">
        <x:v>Supplements</x:v>
      </x:c>
      <x:c r="E1129" t="str">
        <x:v>Health Foods</x:v>
      </x:c>
      <x:c r="F1129" t="str">
        <x:v>Greens and reds powder.</x:v>
      </x:c>
      <x:c r="G1129" t="str">
        <x:v>30 servings</x:v>
      </x:c>
      <x:c r="H1129" t="str">
        <x:v>Guava Berry</x:v>
      </x:c>
      <x:c r="I1129" t="str"/>
      <x:c r="J1129" t="str">
        <x:v>Unit</x:v>
      </x:c>
      <x:c r="K1129" t="str">
        <x:v>In stock</x:v>
      </x:c>
      <x:c r="L1129" t="str">
        <x:v>2026-09-08</x:v>
      </x:c>
      <x:c r="M1129" t="str"/>
      <x:c r="N1129" t="str"/>
      <x:c r="O1129" t="str">
        <x:v>https://www.activesportstrade.co.uk/ghost-lifestyle-trade</x:v>
      </x:c>
      <x:c r="P1129" t="str"/>
      <x:c r="Q1129" t="str"/>
      <x:c r="R1129" t="str"/>
      <x:c r="S1129" t="str">
        <x:v>Pending genuine supplier/brand image</x:v>
      </x:c>
      <x:c r="T1129" s="54" t="n">
        <x:v>17.99</x:v>
      </x:c>
      <x:c r="U1129" s="47" t="n">
        <x:v>0.2</x:v>
      </x:c>
      <x:c r="V1129" s="54" t="n">
        <x:f>IF(ISNUMBER(T1129),T1129*(1+U1129),"")</x:f>
        <x:v>21.587999999999997</x:v>
      </x:c>
      <x:c r="W1129" s="47" t="n">
        <x:v>0.3</x:v>
      </x:c>
      <x:c r="X1129" s="54" t="n">
        <x:f>IF(ISNUMBER(V1129),V1129/(1-W1129),"")</x:f>
        <x:v>30.84</x:v>
      </x:c>
      <x:c r="Y1129" s="55" t="n">
        <x:f>IF(ISNUMBER(X1129),ROUNDUP(X1129,0),"")</x:f>
        <x:v>31</x:v>
      </x:c>
      <x:c r="Z1129" t="str">
        <x:v>Source match pending</x:v>
      </x:c>
      <x:c r="AA1129" t="str">
        <x:v>screencapture-www-activesportstrade-co-uk-ghost-lifestyle-trade-2026-09-09-18_30_22.png / page-001</x:v>
      </x:c>
      <x:c r="AB1129" s="36" t="n">
        <x:f>IF(ISNUMBER(Y1129),ROUND(Y1129*0.9,2),"")</x:f>
        <x:v>27.9</x:v>
      </x:c>
      <x:c r="AC1129" s="36" t="n">
        <x:f>IF(ISNUMBER(AB1129),ROUND(AB1129-(AB1129*0.015+0.2)-V1129,2),"")</x:f>
        <x:v>5.69</x:v>
      </x:c>
      <x:c r="AD1129" s="36" t="n">
        <x:f>IF(ISNUMBER(Y1129),ROUND(Y1129*0.8,2),"")</x:f>
        <x:v>24.8</x:v>
      </x:c>
      <x:c r="AE1129" s="36" t="n">
        <x:f>IF(ISNUMBER(AD1129),ROUND(AD1129*0.015+0.2,2),"")</x:f>
        <x:v>0.57</x:v>
      </x:c>
      <x:c r="AF1129" s="36" t="n">
        <x:f>IF(ISNUMBER(AD1129),ROUND(AD1129-AE1129-V1129,2),"")</x:f>
        <x:v>2.64</x:v>
      </x:c>
      <x:c r="AG1129" t="str">
        <x:f>IF(NOT(ISNUMBER(T1129)),"PENDING",IF(AF1129&gt;0,"PASS","FAIL"))</x:f>
        <x:v>PASS</x:v>
      </x:c>
      <x:c r="AH1129" t="str">
        <x:f>IF(NOT(ISNUMBER(T1129)),"Needs supplier cost",IF(K1129&lt;&gt;"In stock","Supplier unavailable",IF(AG1129&lt;&gt;"PASS","BLOCK - GT loss risk","Commercially protected")))</x:f>
        <x:v>Commercially protected</x:v>
      </x:c>
      <x:c r="AI1129" t="str">
        <x:v>2026-09-10 Active Sports trade capture</x:v>
      </x:c>
      <x:c r="AJ1129" t="str">
        <x:v>Management-only economics. Stripe stress test uses 1.5% + £0.20 standard UK online-card fee; pallet/mix-and-match pricing ignored.</x:v>
      </x:c>
    </x:row>
    <x:row r="1130">
      <x:c r="A1130" t="str">
        <x:v>Active Sports Nutrition</x:v>
      </x:c>
      <x:c r="B1130" t="str">
        <x:v>Ghost Lifestyle</x:v>
      </x:c>
      <x:c r="C1130" t="str">
        <x:v>Greens</x:v>
      </x:c>
      <x:c r="D1130" t="str">
        <x:v>Supplements</x:v>
      </x:c>
      <x:c r="E1130" t="str">
        <x:v>Health Foods</x:v>
      </x:c>
      <x:c r="F1130" t="str">
        <x:v>Greens and reds powder.</x:v>
      </x:c>
      <x:c r="G1130" t="str">
        <x:v>30 servings</x:v>
      </x:c>
      <x:c r="H1130" t="str">
        <x:v>Lime</x:v>
      </x:c>
      <x:c r="I1130" t="str"/>
      <x:c r="J1130" t="str">
        <x:v>Unit</x:v>
      </x:c>
      <x:c r="K1130" t="str">
        <x:v>In stock</x:v>
      </x:c>
      <x:c r="L1130" t="str">
        <x:v>2026-09-08</x:v>
      </x:c>
      <x:c r="M1130" t="str"/>
      <x:c r="N1130" t="str"/>
      <x:c r="O1130" t="str">
        <x:v>https://www.activesportstrade.co.uk/ghost-lifestyle-trade</x:v>
      </x:c>
      <x:c r="P1130" t="str"/>
      <x:c r="Q1130" t="str"/>
      <x:c r="R1130" t="str"/>
      <x:c r="S1130" t="str">
        <x:v>Pending genuine supplier/brand image</x:v>
      </x:c>
      <x:c r="T1130" s="54" t="n">
        <x:v>17.99</x:v>
      </x:c>
      <x:c r="U1130" s="47" t="n">
        <x:v>0.2</x:v>
      </x:c>
      <x:c r="V1130" s="54" t="n">
        <x:f>IF(ISNUMBER(T1130),T1130*(1+U1130),"")</x:f>
        <x:v>21.587999999999997</x:v>
      </x:c>
      <x:c r="W1130" s="47" t="n">
        <x:v>0.3</x:v>
      </x:c>
      <x:c r="X1130" s="54" t="n">
        <x:f>IF(ISNUMBER(V1130),V1130/(1-W1130),"")</x:f>
        <x:v>30.84</x:v>
      </x:c>
      <x:c r="Y1130" s="55" t="n">
        <x:f>IF(ISNUMBER(X1130),ROUNDUP(X1130,0),"")</x:f>
        <x:v>31</x:v>
      </x:c>
      <x:c r="Z1130" t="str">
        <x:v>Source match pending</x:v>
      </x:c>
      <x:c r="AA1130" t="str">
        <x:v>screencapture-www-activesportstrade-co-uk-ghost-lifestyle-trade-2026-09-09-18_30_22.png / page-001</x:v>
      </x:c>
      <x:c r="AB1130" s="36" t="n">
        <x:f>IF(ISNUMBER(Y1130),ROUND(Y1130*0.9,2),"")</x:f>
        <x:v>27.9</x:v>
      </x:c>
      <x:c r="AC1130" s="36" t="n">
        <x:f>IF(ISNUMBER(AB1130),ROUND(AB1130-(AB1130*0.015+0.2)-V1130,2),"")</x:f>
        <x:v>5.69</x:v>
      </x:c>
      <x:c r="AD1130" s="36" t="n">
        <x:f>IF(ISNUMBER(Y1130),ROUND(Y1130*0.8,2),"")</x:f>
        <x:v>24.8</x:v>
      </x:c>
      <x:c r="AE1130" s="36" t="n">
        <x:f>IF(ISNUMBER(AD1130),ROUND(AD1130*0.015+0.2,2),"")</x:f>
        <x:v>0.57</x:v>
      </x:c>
      <x:c r="AF1130" s="36" t="n">
        <x:f>IF(ISNUMBER(AD1130),ROUND(AD1130-AE1130-V1130,2),"")</x:f>
        <x:v>2.64</x:v>
      </x:c>
      <x:c r="AG1130" t="str">
        <x:f>IF(NOT(ISNUMBER(T1130)),"PENDING",IF(AF1130&gt;0,"PASS","FAIL"))</x:f>
        <x:v>PASS</x:v>
      </x:c>
      <x:c r="AH1130" t="str">
        <x:f>IF(NOT(ISNUMBER(T1130)),"Needs supplier cost",IF(K1130&lt;&gt;"In stock","Supplier unavailable",IF(AG1130&lt;&gt;"PASS","BLOCK - GT loss risk","Commercially protected")))</x:f>
        <x:v>Commercially protected</x:v>
      </x:c>
      <x:c r="AI1130" t="str">
        <x:v>2026-09-10 Active Sports trade capture</x:v>
      </x:c>
      <x:c r="AJ1130" t="str">
        <x:v>Management-only economics. Stripe stress test uses 1.5% + £0.20 standard UK online-card fee; pallet/mix-and-match pricing ignored.</x:v>
      </x:c>
    </x:row>
    <x:row r="1131">
      <x:c r="A1131" t="str">
        <x:v>Active Sports Nutrition</x:v>
      </x:c>
      <x:c r="B1131" t="str">
        <x:v>Ghost Lifestyle</x:v>
      </x:c>
      <x:c r="C1131" t="str">
        <x:v>Greens</x:v>
      </x:c>
      <x:c r="D1131" t="str">
        <x:v>Supplements</x:v>
      </x:c>
      <x:c r="E1131" t="str">
        <x:v>Health Foods</x:v>
      </x:c>
      <x:c r="F1131" t="str">
        <x:v>Greens and reds powder.</x:v>
      </x:c>
      <x:c r="G1131" t="str">
        <x:v>30 servings</x:v>
      </x:c>
      <x:c r="H1131" t="str">
        <x:v>Merica Pop</x:v>
      </x:c>
      <x:c r="I1131" t="str"/>
      <x:c r="J1131" t="str">
        <x:v>Unit</x:v>
      </x:c>
      <x:c r="K1131" t="str">
        <x:v>In stock</x:v>
      </x:c>
      <x:c r="L1131" t="str">
        <x:v>2026-09-08</x:v>
      </x:c>
      <x:c r="M1131" t="str"/>
      <x:c r="N1131" t="str"/>
      <x:c r="O1131" t="str">
        <x:v>https://www.activesportstrade.co.uk/ghost-lifestyle-trade</x:v>
      </x:c>
      <x:c r="P1131" t="str"/>
      <x:c r="Q1131" t="str"/>
      <x:c r="R1131" t="str"/>
      <x:c r="S1131" t="str">
        <x:v>Pending genuine supplier/brand image</x:v>
      </x:c>
      <x:c r="T1131" s="54" t="n">
        <x:v>17.99</x:v>
      </x:c>
      <x:c r="U1131" s="47" t="n">
        <x:v>0.2</x:v>
      </x:c>
      <x:c r="V1131" s="54" t="n">
        <x:f>IF(ISNUMBER(T1131),T1131*(1+U1131),"")</x:f>
        <x:v>21.587999999999997</x:v>
      </x:c>
      <x:c r="W1131" s="47" t="n">
        <x:v>0.3</x:v>
      </x:c>
      <x:c r="X1131" s="54" t="n">
        <x:f>IF(ISNUMBER(V1131),V1131/(1-W1131),"")</x:f>
        <x:v>30.84</x:v>
      </x:c>
      <x:c r="Y1131" s="55" t="n">
        <x:f>IF(ISNUMBER(X1131),ROUNDUP(X1131,0),"")</x:f>
        <x:v>31</x:v>
      </x:c>
      <x:c r="Z1131" t="str">
        <x:v>Source match pending</x:v>
      </x:c>
      <x:c r="AA1131" t="str">
        <x:v>screencapture-www-activesportstrade-co-uk-ghost-lifestyle-trade-2026-09-09-18_30_22.png / page-001</x:v>
      </x:c>
      <x:c r="AB1131" s="36" t="n">
        <x:f>IF(ISNUMBER(Y1131),ROUND(Y1131*0.9,2),"")</x:f>
        <x:v>27.9</x:v>
      </x:c>
      <x:c r="AC1131" s="36" t="n">
        <x:f>IF(ISNUMBER(AB1131),ROUND(AB1131-(AB1131*0.015+0.2)-V1131,2),"")</x:f>
        <x:v>5.69</x:v>
      </x:c>
      <x:c r="AD1131" s="36" t="n">
        <x:f>IF(ISNUMBER(Y1131),ROUND(Y1131*0.8,2),"")</x:f>
        <x:v>24.8</x:v>
      </x:c>
      <x:c r="AE1131" s="36" t="n">
        <x:f>IF(ISNUMBER(AD1131),ROUND(AD1131*0.015+0.2,2),"")</x:f>
        <x:v>0.57</x:v>
      </x:c>
      <x:c r="AF1131" s="36" t="n">
        <x:f>IF(ISNUMBER(AD1131),ROUND(AD1131-AE1131-V1131,2),"")</x:f>
        <x:v>2.64</x:v>
      </x:c>
      <x:c r="AG1131" t="str">
        <x:f>IF(NOT(ISNUMBER(T1131)),"PENDING",IF(AF1131&gt;0,"PASS","FAIL"))</x:f>
        <x:v>PASS</x:v>
      </x:c>
      <x:c r="AH1131" t="str">
        <x:f>IF(NOT(ISNUMBER(T1131)),"Needs supplier cost",IF(K1131&lt;&gt;"In stock","Supplier unavailable",IF(AG1131&lt;&gt;"PASS","BLOCK - GT loss risk","Commercially protected")))</x:f>
        <x:v>Commercially protected</x:v>
      </x:c>
      <x:c r="AI1131" t="str">
        <x:v>2026-09-10 Active Sports trade capture</x:v>
      </x:c>
      <x:c r="AJ1131" t="str">
        <x:v>Management-only economics. Stripe stress test uses 1.5% + £0.20 standard UK online-card fee; pallet/mix-and-match pricing ignored.</x:v>
      </x:c>
    </x:row>
    <x:row r="1132">
      <x:c r="A1132" t="str">
        <x:v>Active Sports Nutrition</x:v>
      </x:c>
      <x:c r="B1132" t="str">
        <x:v>Ghost Lifestyle</x:v>
      </x:c>
      <x:c r="C1132" t="str">
        <x:v>Greens</x:v>
      </x:c>
      <x:c r="D1132" t="str">
        <x:v>Supplements</x:v>
      </x:c>
      <x:c r="E1132" t="str">
        <x:v>Health Foods</x:v>
      </x:c>
      <x:c r="F1132" t="str">
        <x:v>Greens and reds powder.</x:v>
      </x:c>
      <x:c r="G1132" t="str">
        <x:v>30 servings</x:v>
      </x:c>
      <x:c r="H1132" t="str">
        <x:v>Old School Apple</x:v>
      </x:c>
      <x:c r="I1132" t="str"/>
      <x:c r="J1132" t="str">
        <x:v>Unit</x:v>
      </x:c>
      <x:c r="K1132" t="str">
        <x:v>In stock</x:v>
      </x:c>
      <x:c r="L1132" t="str">
        <x:v>2026-09-08</x:v>
      </x:c>
      <x:c r="M1132" t="str"/>
      <x:c r="N1132" t="str"/>
      <x:c r="O1132" t="str">
        <x:v>https://www.activesportstrade.co.uk/ghost-lifestyle-trade</x:v>
      </x:c>
      <x:c r="P1132" t="str"/>
      <x:c r="Q1132" t="str"/>
      <x:c r="R1132" t="str"/>
      <x:c r="S1132" t="str">
        <x:v>Pending genuine supplier/brand image</x:v>
      </x:c>
      <x:c r="T1132" s="54" t="n">
        <x:v>17.99</x:v>
      </x:c>
      <x:c r="U1132" s="47" t="n">
        <x:v>0.2</x:v>
      </x:c>
      <x:c r="V1132" s="54" t="n">
        <x:f>IF(ISNUMBER(T1132),T1132*(1+U1132),"")</x:f>
        <x:v>21.587999999999997</x:v>
      </x:c>
      <x:c r="W1132" s="47" t="n">
        <x:v>0.3</x:v>
      </x:c>
      <x:c r="X1132" s="54" t="n">
        <x:f>IF(ISNUMBER(V1132),V1132/(1-W1132),"")</x:f>
        <x:v>30.84</x:v>
      </x:c>
      <x:c r="Y1132" s="55" t="n">
        <x:f>IF(ISNUMBER(X1132),ROUNDUP(X1132,0),"")</x:f>
        <x:v>31</x:v>
      </x:c>
      <x:c r="Z1132" t="str">
        <x:v>Source match pending</x:v>
      </x:c>
      <x:c r="AA1132" t="str">
        <x:v>screencapture-www-activesportstrade-co-uk-ghost-lifestyle-trade-2026-09-09-18_30_22.png / page-001</x:v>
      </x:c>
      <x:c r="AB1132" s="36" t="n">
        <x:f>IF(ISNUMBER(Y1132),ROUND(Y1132*0.9,2),"")</x:f>
        <x:v>27.9</x:v>
      </x:c>
      <x:c r="AC1132" s="36" t="n">
        <x:f>IF(ISNUMBER(AB1132),ROUND(AB1132-(AB1132*0.015+0.2)-V1132,2),"")</x:f>
        <x:v>5.69</x:v>
      </x:c>
      <x:c r="AD1132" s="36" t="n">
        <x:f>IF(ISNUMBER(Y1132),ROUND(Y1132*0.8,2),"")</x:f>
        <x:v>24.8</x:v>
      </x:c>
      <x:c r="AE1132" s="36" t="n">
        <x:f>IF(ISNUMBER(AD1132),ROUND(AD1132*0.015+0.2,2),"")</x:f>
        <x:v>0.57</x:v>
      </x:c>
      <x:c r="AF1132" s="36" t="n">
        <x:f>IF(ISNUMBER(AD1132),ROUND(AD1132-AE1132-V1132,2),"")</x:f>
        <x:v>2.64</x:v>
      </x:c>
      <x:c r="AG1132" t="str">
        <x:f>IF(NOT(ISNUMBER(T1132)),"PENDING",IF(AF1132&gt;0,"PASS","FAIL"))</x:f>
        <x:v>PASS</x:v>
      </x:c>
      <x:c r="AH1132" t="str">
        <x:f>IF(NOT(ISNUMBER(T1132)),"Needs supplier cost",IF(K1132&lt;&gt;"In stock","Supplier unavailable",IF(AG1132&lt;&gt;"PASS","BLOCK - GT loss risk","Commercially protected")))</x:f>
        <x:v>Commercially protected</x:v>
      </x:c>
      <x:c r="AI1132" t="str">
        <x:v>2026-09-10 Active Sports trade capture</x:v>
      </x:c>
      <x:c r="AJ1132" t="str">
        <x:v>Management-only economics. Stripe stress test uses 1.5% + £0.20 standard UK online-card fee; pallet/mix-and-match pricing ignored.</x:v>
      </x:c>
    </x:row>
    <x:row r="1133">
      <x:c r="A1133" t="str">
        <x:v>Active Sports Nutrition</x:v>
      </x:c>
      <x:c r="B1133" t="str">
        <x:v>Ghost Lifestyle</x:v>
      </x:c>
      <x:c r="C1133" t="str">
        <x:v>Greens</x:v>
      </x:c>
      <x:c r="D1133" t="str">
        <x:v>Supplements</x:v>
      </x:c>
      <x:c r="E1133" t="str">
        <x:v>Health Foods</x:v>
      </x:c>
      <x:c r="F1133" t="str">
        <x:v>Greens and reds powder.</x:v>
      </x:c>
      <x:c r="G1133" t="str">
        <x:v>30 servings</x:v>
      </x:c>
      <x:c r="H1133" t="str">
        <x:v>Original</x:v>
      </x:c>
      <x:c r="I1133" t="str"/>
      <x:c r="J1133" t="str">
        <x:v>Unit</x:v>
      </x:c>
      <x:c r="K1133" t="str">
        <x:v>In stock</x:v>
      </x:c>
      <x:c r="L1133" t="str">
        <x:v>2026-09-08</x:v>
      </x:c>
      <x:c r="M1133" t="str"/>
      <x:c r="N1133" t="str"/>
      <x:c r="O1133" t="str">
        <x:v>https://www.activesportstrade.co.uk/ghost-lifestyle-trade</x:v>
      </x:c>
      <x:c r="P1133" t="str"/>
      <x:c r="Q1133" t="str"/>
      <x:c r="R1133" t="str"/>
      <x:c r="S1133" t="str">
        <x:v>Pending genuine supplier/brand image</x:v>
      </x:c>
      <x:c r="T1133" s="54" t="n">
        <x:v>17.99</x:v>
      </x:c>
      <x:c r="U1133" s="47" t="n">
        <x:v>0.2</x:v>
      </x:c>
      <x:c r="V1133" s="54" t="n">
        <x:f>IF(ISNUMBER(T1133),T1133*(1+U1133),"")</x:f>
        <x:v>21.587999999999997</x:v>
      </x:c>
      <x:c r="W1133" s="47" t="n">
        <x:v>0.3</x:v>
      </x:c>
      <x:c r="X1133" s="54" t="n">
        <x:f>IF(ISNUMBER(V1133),V1133/(1-W1133),"")</x:f>
        <x:v>30.84</x:v>
      </x:c>
      <x:c r="Y1133" s="55" t="n">
        <x:f>IF(ISNUMBER(X1133),ROUNDUP(X1133,0),"")</x:f>
        <x:v>31</x:v>
      </x:c>
      <x:c r="Z1133" t="str">
        <x:v>Source match pending</x:v>
      </x:c>
      <x:c r="AA1133" t="str">
        <x:v>screencapture-www-activesportstrade-co-uk-ghost-lifestyle-trade-2026-09-09-18_30_22.png / page-001</x:v>
      </x:c>
      <x:c r="AB1133" s="36" t="n">
        <x:f>IF(ISNUMBER(Y1133),ROUND(Y1133*0.9,2),"")</x:f>
        <x:v>27.9</x:v>
      </x:c>
      <x:c r="AC1133" s="36" t="n">
        <x:f>IF(ISNUMBER(AB1133),ROUND(AB1133-(AB1133*0.015+0.2)-V1133,2),"")</x:f>
        <x:v>5.69</x:v>
      </x:c>
      <x:c r="AD1133" s="36" t="n">
        <x:f>IF(ISNUMBER(Y1133),ROUND(Y1133*0.8,2),"")</x:f>
        <x:v>24.8</x:v>
      </x:c>
      <x:c r="AE1133" s="36" t="n">
        <x:f>IF(ISNUMBER(AD1133),ROUND(AD1133*0.015+0.2,2),"")</x:f>
        <x:v>0.57</x:v>
      </x:c>
      <x:c r="AF1133" s="36" t="n">
        <x:f>IF(ISNUMBER(AD1133),ROUND(AD1133-AE1133-V1133,2),"")</x:f>
        <x:v>2.64</x:v>
      </x:c>
      <x:c r="AG1133" t="str">
        <x:f>IF(NOT(ISNUMBER(T1133)),"PENDING",IF(AF1133&gt;0,"PASS","FAIL"))</x:f>
        <x:v>PASS</x:v>
      </x:c>
      <x:c r="AH1133" t="str">
        <x:f>IF(NOT(ISNUMBER(T1133)),"Needs supplier cost",IF(K1133&lt;&gt;"In stock","Supplier unavailable",IF(AG1133&lt;&gt;"PASS","BLOCK - GT loss risk","Commercially protected")))</x:f>
        <x:v>Commercially protected</x:v>
      </x:c>
      <x:c r="AI1133" t="str">
        <x:v>2026-09-10 Active Sports trade capture</x:v>
      </x:c>
      <x:c r="AJ1133" t="str">
        <x:v>Management-only economics. Stripe stress test uses 1.5% + £0.20 standard UK online-card fee; pallet/mix-and-match pricing ignored.</x:v>
      </x:c>
    </x:row>
    <x:row r="1134">
      <x:c r="A1134" t="str">
        <x:v>Active Sports Nutrition</x:v>
      </x:c>
      <x:c r="B1134" t="str">
        <x:v>Ghost Lifestyle</x:v>
      </x:c>
      <x:c r="C1134" t="str">
        <x:v>Greens</x:v>
      </x:c>
      <x:c r="D1134" t="str">
        <x:v>Supplements</x:v>
      </x:c>
      <x:c r="E1134" t="str">
        <x:v>Health Foods</x:v>
      </x:c>
      <x:c r="F1134" t="str">
        <x:v>Greens and reds powder.</x:v>
      </x:c>
      <x:c r="G1134" t="str">
        <x:v>30 servings</x:v>
      </x:c>
      <x:c r="H1134" t="str">
        <x:v>Pink Lemonade</x:v>
      </x:c>
      <x:c r="I1134" t="str"/>
      <x:c r="J1134" t="str">
        <x:v>Unit</x:v>
      </x:c>
      <x:c r="K1134" t="str">
        <x:v>Out of stock</x:v>
      </x:c>
      <x:c r="L1134" t="str">
        <x:v>2026-09-08</x:v>
      </x:c>
      <x:c r="M1134" t="str"/>
      <x:c r="N1134" t="str"/>
      <x:c r="O1134" t="str">
        <x:v>https://www.activesportstrade.co.uk/ghost-lifestyle-trade</x:v>
      </x:c>
      <x:c r="P1134" t="str"/>
      <x:c r="Q1134" t="str"/>
      <x:c r="R1134" t="str"/>
      <x:c r="S1134" t="str">
        <x:v>Pending genuine supplier/brand image</x:v>
      </x:c>
      <x:c r="T1134" s="54" t="n">
        <x:v>17.99</x:v>
      </x:c>
      <x:c r="U1134" s="47" t="n">
        <x:v>0.2</x:v>
      </x:c>
      <x:c r="V1134" s="54" t="n">
        <x:f>IF(ISNUMBER(T1134),T1134*(1+U1134),"")</x:f>
        <x:v>21.587999999999997</x:v>
      </x:c>
      <x:c r="W1134" s="47" t="n">
        <x:v>0.3</x:v>
      </x:c>
      <x:c r="X1134" s="54" t="n">
        <x:f>IF(ISNUMBER(V1134),V1134/(1-W1134),"")</x:f>
        <x:v>30.84</x:v>
      </x:c>
      <x:c r="Y1134" s="55" t="n">
        <x:f>IF(ISNUMBER(X1134),ROUNDUP(X1134,0),"")</x:f>
        <x:v>31</x:v>
      </x:c>
      <x:c r="Z1134" t="str">
        <x:v>Source match pending</x:v>
      </x:c>
      <x:c r="AA1134" t="str">
        <x:v>screencapture-www-activesportstrade-co-uk-ghost-lifestyle-trade-2026-09-09-18_30_22.png / page-001</x:v>
      </x:c>
      <x:c r="AB1134" s="36" t="n">
        <x:f>IF(ISNUMBER(Y1134),ROUND(Y1134*0.9,2),"")</x:f>
        <x:v>27.9</x:v>
      </x:c>
      <x:c r="AC1134" s="36" t="n">
        <x:f>IF(ISNUMBER(AB1134),ROUND(AB1134-(AB1134*0.015+0.2)-V1134,2),"")</x:f>
        <x:v>5.69</x:v>
      </x:c>
      <x:c r="AD1134" s="36" t="n">
        <x:f>IF(ISNUMBER(Y1134),ROUND(Y1134*0.8,2),"")</x:f>
        <x:v>24.8</x:v>
      </x:c>
      <x:c r="AE1134" s="36" t="n">
        <x:f>IF(ISNUMBER(AD1134),ROUND(AD1134*0.015+0.2,2),"")</x:f>
        <x:v>0.57</x:v>
      </x:c>
      <x:c r="AF1134" s="36" t="n">
        <x:f>IF(ISNUMBER(AD1134),ROUND(AD1134-AE1134-V1134,2),"")</x:f>
        <x:v>2.64</x:v>
      </x:c>
      <x:c r="AG1134" t="str">
        <x:f>IF(NOT(ISNUMBER(T1134)),"PENDING",IF(AF1134&gt;0,"PASS","FAIL"))</x:f>
        <x:v>PASS</x:v>
      </x:c>
      <x:c r="AH1134" t="str">
        <x:f>IF(NOT(ISNUMBER(T1134)),"Needs supplier cost",IF(K1134&lt;&gt;"In stock","Supplier unavailable",IF(AG1134&lt;&gt;"PASS","BLOCK - GT loss risk","Commercially protected")))</x:f>
        <x:v>Supplier unavailable</x:v>
      </x:c>
      <x:c r="AI1134" t="str">
        <x:v>2026-09-10 Active Sports trade capture</x:v>
      </x:c>
      <x:c r="AJ1134" t="str">
        <x:v>Management-only economics. Stripe stress test uses 1.5% + £0.20 standard UK online-card fee; pallet/mix-and-match pricing ignored.</x:v>
      </x:c>
    </x:row>
    <x:row r="1135">
      <x:c r="A1135" t="str">
        <x:v>Active Sports Nutrition</x:v>
      </x:c>
      <x:c r="B1135" t="str">
        <x:v>Ghost Lifestyle</x:v>
      </x:c>
      <x:c r="C1135" t="str">
        <x:v>Hydration</x:v>
      </x:c>
      <x:c r="D1135" t="str">
        <x:v>Supplements</x:v>
      </x:c>
      <x:c r="E1135" t="str">
        <x:v>Hydration</x:v>
      </x:c>
      <x:c r="F1135" t="str">
        <x:v>Sports hydration powder.</x:v>
      </x:c>
      <x:c r="G1135" t="str">
        <x:v>40 servings</x:v>
      </x:c>
      <x:c r="H1135" t="str">
        <x:v>Kiwi Strawberry</x:v>
      </x:c>
      <x:c r="I1135" t="str"/>
      <x:c r="J1135" t="str">
        <x:v>Unit</x:v>
      </x:c>
      <x:c r="K1135" t="str">
        <x:v>Out of stock</x:v>
      </x:c>
      <x:c r="L1135" t="str">
        <x:v>2026-09-08</x:v>
      </x:c>
      <x:c r="M1135" t="str"/>
      <x:c r="N1135" t="str"/>
      <x:c r="O1135" t="str">
        <x:v>https://www.activesportstrade.co.uk/Intra-Workout/ghost-lifestyle-trade</x:v>
      </x:c>
      <x:c r="P1135" t="str">
        <x:v>Fresher intra-workout page used; older brand page showed Kiwi Strawberry in stock.</x:v>
      </x:c>
      <x:c r="Q1135" t="str"/>
      <x:c r="R1135" t="str"/>
      <x:c r="S1135" t="str">
        <x:v>Pending genuine supplier/brand image</x:v>
      </x:c>
      <x:c r="T1135" s="54"/>
      <x:c r="U1135" s="47" t="n">
        <x:v>0.2</x:v>
      </x:c>
      <x:c r="V1135" s="54" t="str">
        <x:f>IF(ISNUMBER(T1135),T1135*(1+U1135),"")</x:f>
      </x:c>
      <x:c r="W1135" s="47" t="n">
        <x:v>0.3</x:v>
      </x:c>
      <x:c r="X1135" s="54" t="str">
        <x:f>IF(ISNUMBER(V1135),V1135/(1-W1135),"")</x:f>
      </x:c>
      <x:c r="Y1135" s="55" t="str">
        <x:f>IF(ISNUMBER(X1135),ROUNDUP(X1135,0),"")</x:f>
      </x:c>
      <x:c r="Z1135" t="str">
        <x:f>IF(ISNUMBER(T1135),"Cost captured","Awaiting trade cost")</x:f>
        <x:v>Awaiting trade cost</x:v>
      </x:c>
      <x:c r="AB1135" s="36" t="str">
        <x:f>IF(ISNUMBER(Y1135),ROUND(Y1135*0.9,2),"")</x:f>
      </x:c>
      <x:c r="AC1135" s="36" t="str">
        <x:f>IF(ISNUMBER(AB1135),ROUND(AB1135-(AB1135*0.015+0.2)-V1135,2),"")</x:f>
      </x:c>
      <x:c r="AD1135" s="36" t="str">
        <x:f>IF(ISNUMBER(Y1135),ROUND(Y1135*0.8,2),"")</x:f>
      </x:c>
      <x:c r="AE1135" s="36" t="str">
        <x:f>IF(ISNUMBER(AD1135),ROUND(AD1135*0.015+0.2,2),"")</x:f>
      </x:c>
      <x:c r="AF1135" s="36" t="str">
        <x:f>IF(ISNUMBER(AD1135),ROUND(AD1135-AE1135-V1135,2),"")</x:f>
      </x:c>
      <x:c r="AG1135" t="str">
        <x:f>IF(NOT(ISNUMBER(T1135)),"PENDING",IF(AF1135&gt;0,"PASS","FAIL"))</x:f>
        <x:v>PENDING</x:v>
      </x:c>
      <x:c r="AH1135" t="str">
        <x:f>IF(NOT(ISNUMBER(T1135)),"Needs supplier cost",IF(K1135&lt;&gt;"In stock","Supplier unavailable",IF(AG1135&lt;&gt;"PASS","BLOCK - GT loss risk","Commercially protected")))</x:f>
        <x:v>Needs supplier cost</x:v>
      </x:c>
      <x:c r="AI1135" t="str">
        <x:v>2026-09-10 Active Sports trade capture</x:v>
      </x:c>
      <x:c r="AJ1135" t="str">
        <x:v>Management-only economics. Stripe stress test uses 1.5% + £0.20 standard UK online-card fee; pallet/mix-and-match pricing ignored.</x:v>
      </x:c>
    </x:row>
    <x:row r="1136">
      <x:c r="A1136" t="str">
        <x:v>Active Sports Nutrition</x:v>
      </x:c>
      <x:c r="B1136" t="str">
        <x:v>Ghost Lifestyle</x:v>
      </x:c>
      <x:c r="C1136" t="str">
        <x:v>Hydration</x:v>
      </x:c>
      <x:c r="D1136" t="str">
        <x:v>Supplements</x:v>
      </x:c>
      <x:c r="E1136" t="str">
        <x:v>Hydration</x:v>
      </x:c>
      <x:c r="F1136" t="str">
        <x:v>Sports hydration powder.</x:v>
      </x:c>
      <x:c r="G1136" t="str">
        <x:v>40 servings</x:v>
      </x:c>
      <x:c r="H1136" t="str">
        <x:v>Lemon Crush</x:v>
      </x:c>
      <x:c r="I1136" t="str"/>
      <x:c r="J1136" t="str">
        <x:v>Unit</x:v>
      </x:c>
      <x:c r="K1136" t="str">
        <x:v>In stock</x:v>
      </x:c>
      <x:c r="L1136" t="str">
        <x:v>2026-09-08</x:v>
      </x:c>
      <x:c r="M1136" t="str"/>
      <x:c r="N1136" t="str"/>
      <x:c r="O1136" t="str">
        <x:v>https://www.activesportstrade.co.uk/Intra-Workout/ghost-lifestyle-trade</x:v>
      </x:c>
      <x:c r="P1136" t="str">
        <x:v>Fresher intra-workout page used; older brand page showed Kiwi Strawberry in stock.</x:v>
      </x:c>
      <x:c r="Q1136" t="str"/>
      <x:c r="R1136" t="str"/>
      <x:c r="S1136" t="str">
        <x:v>Pending genuine supplier/brand image</x:v>
      </x:c>
      <x:c r="T1136" s="54"/>
      <x:c r="U1136" s="47" t="n">
        <x:v>0.2</x:v>
      </x:c>
      <x:c r="V1136" s="54" t="str">
        <x:f>IF(ISNUMBER(T1136),T1136*(1+U1136),"")</x:f>
      </x:c>
      <x:c r="W1136" s="47" t="n">
        <x:v>0.3</x:v>
      </x:c>
      <x:c r="X1136" s="54" t="str">
        <x:f>IF(ISNUMBER(V1136),V1136/(1-W1136),"")</x:f>
      </x:c>
      <x:c r="Y1136" s="55" t="str">
        <x:f>IF(ISNUMBER(X1136),ROUNDUP(X1136,0),"")</x:f>
      </x:c>
      <x:c r="Z1136" t="str">
        <x:f>IF(ISNUMBER(T1136),"Cost captured","Awaiting trade cost")</x:f>
        <x:v>Awaiting trade cost</x:v>
      </x:c>
      <x:c r="AB1136" s="36" t="str">
        <x:f>IF(ISNUMBER(Y1136),ROUND(Y1136*0.9,2),"")</x:f>
      </x:c>
      <x:c r="AC1136" s="36" t="str">
        <x:f>IF(ISNUMBER(AB1136),ROUND(AB1136-(AB1136*0.015+0.2)-V1136,2),"")</x:f>
      </x:c>
      <x:c r="AD1136" s="36" t="str">
        <x:f>IF(ISNUMBER(Y1136),ROUND(Y1136*0.8,2),"")</x:f>
      </x:c>
      <x:c r="AE1136" s="36" t="str">
        <x:f>IF(ISNUMBER(AD1136),ROUND(AD1136*0.015+0.2,2),"")</x:f>
      </x:c>
      <x:c r="AF1136" s="36" t="str">
        <x:f>IF(ISNUMBER(AD1136),ROUND(AD1136-AE1136-V1136,2),"")</x:f>
      </x:c>
      <x:c r="AG1136" t="str">
        <x:f>IF(NOT(ISNUMBER(T1136)),"PENDING",IF(AF1136&gt;0,"PASS","FAIL"))</x:f>
        <x:v>PENDING</x:v>
      </x:c>
      <x:c r="AH1136" t="str">
        <x:f>IF(NOT(ISNUMBER(T1136)),"Needs supplier cost",IF(K1136&lt;&gt;"In stock","Supplier unavailable",IF(AG1136&lt;&gt;"PASS","BLOCK - GT loss risk","Commercially protected")))</x:f>
        <x:v>Needs supplier cost</x:v>
      </x:c>
      <x:c r="AI1136" t="str">
        <x:v>2026-09-10 Active Sports trade capture</x:v>
      </x:c>
      <x:c r="AJ1136" t="str">
        <x:v>Management-only economics. Stripe stress test uses 1.5% + £0.20 standard UK online-card fee; pallet/mix-and-match pricing ignored.</x:v>
      </x:c>
    </x:row>
    <x:row r="1137">
      <x:c r="A1137" t="str">
        <x:v>Active Sports Nutrition</x:v>
      </x:c>
      <x:c r="B1137" t="str">
        <x:v>Ghost Lifestyle</x:v>
      </x:c>
      <x:c r="C1137" t="str">
        <x:v>Intra</x:v>
      </x:c>
      <x:c r="D1137" t="str">
        <x:v>Supplements</x:v>
      </x:c>
      <x:c r="E1137" t="str">
        <x:v>Intra Workout</x:v>
      </x:c>
      <x:c r="F1137" t="str">
        <x:v>Intra-workout EAA formula.</x:v>
      </x:c>
      <x:c r="G1137" t="str">
        <x:v>20 servings</x:v>
      </x:c>
      <x:c r="H1137" t="str">
        <x:v>Blue Raspberry</x:v>
      </x:c>
      <x:c r="I1137" t="str"/>
      <x:c r="J1137" t="str">
        <x:v>Unit</x:v>
      </x:c>
      <x:c r="K1137" t="str">
        <x:v>In stock</x:v>
      </x:c>
      <x:c r="L1137" t="str">
        <x:v>2026-09-08</x:v>
      </x:c>
      <x:c r="M1137" t="str"/>
      <x:c r="N1137" t="str"/>
      <x:c r="O1137" t="str">
        <x:v>https://www.activesportstrade.co.uk/Intra-Workout/ghost-lifestyle-trade</x:v>
      </x:c>
      <x:c r="P1137" t="str"/>
      <x:c r="Q1137" t="str"/>
      <x:c r="R1137" t="str"/>
      <x:c r="S1137" t="str">
        <x:v>Pending genuine supplier/brand image</x:v>
      </x:c>
      <x:c r="T1137" s="54"/>
      <x:c r="U1137" s="47" t="n">
        <x:v>0.2</x:v>
      </x:c>
      <x:c r="V1137" s="54" t="str">
        <x:f>IF(ISNUMBER(T1137),T1137*(1+U1137),"")</x:f>
      </x:c>
      <x:c r="W1137" s="47" t="n">
        <x:v>0.3</x:v>
      </x:c>
      <x:c r="X1137" s="54" t="str">
        <x:f>IF(ISNUMBER(V1137),V1137/(1-W1137),"")</x:f>
      </x:c>
      <x:c r="Y1137" s="55" t="str">
        <x:f>IF(ISNUMBER(X1137),ROUNDUP(X1137,0),"")</x:f>
      </x:c>
      <x:c r="Z1137" t="str">
        <x:f>IF(ISNUMBER(T1137),"Cost captured","Awaiting trade cost")</x:f>
        <x:v>Awaiting trade cost</x:v>
      </x:c>
      <x:c r="AB1137" s="36" t="str">
        <x:f>IF(ISNUMBER(Y1137),ROUND(Y1137*0.9,2),"")</x:f>
      </x:c>
      <x:c r="AC1137" s="36" t="str">
        <x:f>IF(ISNUMBER(AB1137),ROUND(AB1137-(AB1137*0.015+0.2)-V1137,2),"")</x:f>
      </x:c>
      <x:c r="AD1137" s="36" t="str">
        <x:f>IF(ISNUMBER(Y1137),ROUND(Y1137*0.8,2),"")</x:f>
      </x:c>
      <x:c r="AE1137" s="36" t="str">
        <x:f>IF(ISNUMBER(AD1137),ROUND(AD1137*0.015+0.2,2),"")</x:f>
      </x:c>
      <x:c r="AF1137" s="36" t="str">
        <x:f>IF(ISNUMBER(AD1137),ROUND(AD1137-AE1137-V1137,2),"")</x:f>
      </x:c>
      <x:c r="AG1137" t="str">
        <x:f>IF(NOT(ISNUMBER(T1137)),"PENDING",IF(AF1137&gt;0,"PASS","FAIL"))</x:f>
        <x:v>PENDING</x:v>
      </x:c>
      <x:c r="AH1137" t="str">
        <x:f>IF(NOT(ISNUMBER(T1137)),"Needs supplier cost",IF(K1137&lt;&gt;"In stock","Supplier unavailable",IF(AG1137&lt;&gt;"PASS","BLOCK - GT loss risk","Commercially protected")))</x:f>
        <x:v>Needs supplier cost</x:v>
      </x:c>
      <x:c r="AI1137" t="str">
        <x:v>2026-09-10 Active Sports trade capture</x:v>
      </x:c>
      <x:c r="AJ1137" t="str">
        <x:v>Management-only economics. Stripe stress test uses 1.5% + £0.20 standard UK online-card fee; pallet/mix-and-match pricing ignored.</x:v>
      </x:c>
    </x:row>
    <x:row r="1138">
      <x:c r="A1138" t="str">
        <x:v>Active Sports Nutrition</x:v>
      </x:c>
      <x:c r="B1138" t="str">
        <x:v>Ghost Lifestyle</x:v>
      </x:c>
      <x:c r="C1138" t="str">
        <x:v>Intra</x:v>
      </x:c>
      <x:c r="D1138" t="str">
        <x:v>Supplements</x:v>
      </x:c>
      <x:c r="E1138" t="str">
        <x:v>Intra Workout</x:v>
      </x:c>
      <x:c r="F1138" t="str">
        <x:v>Intra-workout EAA formula.</x:v>
      </x:c>
      <x:c r="G1138" t="str">
        <x:v>20 servings</x:v>
      </x:c>
      <x:c r="H1138" t="str">
        <x:v>Ice Tea Lemonade</x:v>
      </x:c>
      <x:c r="I1138" t="str"/>
      <x:c r="J1138" t="str">
        <x:v>Unit</x:v>
      </x:c>
      <x:c r="K1138" t="str">
        <x:v>In stock</x:v>
      </x:c>
      <x:c r="L1138" t="str">
        <x:v>2026-09-08</x:v>
      </x:c>
      <x:c r="M1138" t="str"/>
      <x:c r="N1138" t="str"/>
      <x:c r="O1138" t="str">
        <x:v>https://www.activesportstrade.co.uk/Intra-Workout/ghost-lifestyle-trade</x:v>
      </x:c>
      <x:c r="P1138" t="str"/>
      <x:c r="Q1138" t="str"/>
      <x:c r="R1138" t="str"/>
      <x:c r="S1138" t="str">
        <x:v>Pending genuine supplier/brand image</x:v>
      </x:c>
      <x:c r="T1138" s="54"/>
      <x:c r="U1138" s="47" t="n">
        <x:v>0.2</x:v>
      </x:c>
      <x:c r="V1138" s="54" t="str">
        <x:f>IF(ISNUMBER(T1138),T1138*(1+U1138),"")</x:f>
      </x:c>
      <x:c r="W1138" s="47" t="n">
        <x:v>0.3</x:v>
      </x:c>
      <x:c r="X1138" s="54" t="str">
        <x:f>IF(ISNUMBER(V1138),V1138/(1-W1138),"")</x:f>
      </x:c>
      <x:c r="Y1138" s="55" t="str">
        <x:f>IF(ISNUMBER(X1138),ROUNDUP(X1138,0),"")</x:f>
      </x:c>
      <x:c r="Z1138" t="str">
        <x:f>IF(ISNUMBER(T1138),"Cost captured","Awaiting trade cost")</x:f>
        <x:v>Awaiting trade cost</x:v>
      </x:c>
      <x:c r="AB1138" s="36" t="str">
        <x:f>IF(ISNUMBER(Y1138),ROUND(Y1138*0.9,2),"")</x:f>
      </x:c>
      <x:c r="AC1138" s="36" t="str">
        <x:f>IF(ISNUMBER(AB1138),ROUND(AB1138-(AB1138*0.015+0.2)-V1138,2),"")</x:f>
      </x:c>
      <x:c r="AD1138" s="36" t="str">
        <x:f>IF(ISNUMBER(Y1138),ROUND(Y1138*0.8,2),"")</x:f>
      </x:c>
      <x:c r="AE1138" s="36" t="str">
        <x:f>IF(ISNUMBER(AD1138),ROUND(AD1138*0.015+0.2,2),"")</x:f>
      </x:c>
      <x:c r="AF1138" s="36" t="str">
        <x:f>IF(ISNUMBER(AD1138),ROUND(AD1138-AE1138-V1138,2),"")</x:f>
      </x:c>
      <x:c r="AG1138" t="str">
        <x:f>IF(NOT(ISNUMBER(T1138)),"PENDING",IF(AF1138&gt;0,"PASS","FAIL"))</x:f>
        <x:v>PENDING</x:v>
      </x:c>
      <x:c r="AH1138" t="str">
        <x:f>IF(NOT(ISNUMBER(T1138)),"Needs supplier cost",IF(K1138&lt;&gt;"In stock","Supplier unavailable",IF(AG1138&lt;&gt;"PASS","BLOCK - GT loss risk","Commercially protected")))</x:f>
        <x:v>Needs supplier cost</x:v>
      </x:c>
      <x:c r="AI1138" t="str">
        <x:v>2026-09-10 Active Sports trade capture</x:v>
      </x:c>
      <x:c r="AJ1138" t="str">
        <x:v>Management-only economics. Stripe stress test uses 1.5% + £0.20 standard UK online-card fee; pallet/mix-and-match pricing ignored.</x:v>
      </x:c>
    </x:row>
    <x:row r="1139">
      <x:c r="A1139" t="str">
        <x:v>Active Sports Nutrition</x:v>
      </x:c>
      <x:c r="B1139" t="str">
        <x:v>Ghost Lifestyle</x:v>
      </x:c>
      <x:c r="C1139" t="str">
        <x:v>Intra</x:v>
      </x:c>
      <x:c r="D1139" t="str">
        <x:v>Supplements</x:v>
      </x:c>
      <x:c r="E1139" t="str">
        <x:v>Intra Workout</x:v>
      </x:c>
      <x:c r="F1139" t="str">
        <x:v>Intra-workout EAA formula.</x:v>
      </x:c>
      <x:c r="G1139" t="str">
        <x:v>20 servings</x:v>
      </x:c>
      <x:c r="H1139" t="str">
        <x:v>Lemon Lime</x:v>
      </x:c>
      <x:c r="I1139" t="str"/>
      <x:c r="J1139" t="str">
        <x:v>Unit</x:v>
      </x:c>
      <x:c r="K1139" t="str">
        <x:v>Out of stock</x:v>
      </x:c>
      <x:c r="L1139" t="str">
        <x:v>2026-09-08</x:v>
      </x:c>
      <x:c r="M1139" t="str"/>
      <x:c r="N1139" t="str"/>
      <x:c r="O1139" t="str">
        <x:v>https://www.activesportstrade.co.uk/Intra-Workout/ghost-lifestyle-trade</x:v>
      </x:c>
      <x:c r="P1139" t="str"/>
      <x:c r="Q1139" t="str"/>
      <x:c r="R1139" t="str"/>
      <x:c r="S1139" t="str">
        <x:v>Pending genuine supplier/brand image</x:v>
      </x:c>
      <x:c r="T1139" s="54"/>
      <x:c r="U1139" s="47" t="n">
        <x:v>0.2</x:v>
      </x:c>
      <x:c r="V1139" s="54" t="str">
        <x:f>IF(ISNUMBER(T1139),T1139*(1+U1139),"")</x:f>
      </x:c>
      <x:c r="W1139" s="47" t="n">
        <x:v>0.3</x:v>
      </x:c>
      <x:c r="X1139" s="54" t="str">
        <x:f>IF(ISNUMBER(V1139),V1139/(1-W1139),"")</x:f>
      </x:c>
      <x:c r="Y1139" s="55" t="str">
        <x:f>IF(ISNUMBER(X1139),ROUNDUP(X1139,0),"")</x:f>
      </x:c>
      <x:c r="Z1139" t="str">
        <x:f>IF(ISNUMBER(T1139),"Cost captured","Awaiting trade cost")</x:f>
        <x:v>Awaiting trade cost</x:v>
      </x:c>
      <x:c r="AB1139" s="36" t="str">
        <x:f>IF(ISNUMBER(Y1139),ROUND(Y1139*0.9,2),"")</x:f>
      </x:c>
      <x:c r="AC1139" s="36" t="str">
        <x:f>IF(ISNUMBER(AB1139),ROUND(AB1139-(AB1139*0.015+0.2)-V1139,2),"")</x:f>
      </x:c>
      <x:c r="AD1139" s="36" t="str">
        <x:f>IF(ISNUMBER(Y1139),ROUND(Y1139*0.8,2),"")</x:f>
      </x:c>
      <x:c r="AE1139" s="36" t="str">
        <x:f>IF(ISNUMBER(AD1139),ROUND(AD1139*0.015+0.2,2),"")</x:f>
      </x:c>
      <x:c r="AF1139" s="36" t="str">
        <x:f>IF(ISNUMBER(AD1139),ROUND(AD1139-AE1139-V1139,2),"")</x:f>
      </x:c>
      <x:c r="AG1139" t="str">
        <x:f>IF(NOT(ISNUMBER(T1139)),"PENDING",IF(AF1139&gt;0,"PASS","FAIL"))</x:f>
        <x:v>PENDING</x:v>
      </x:c>
      <x:c r="AH1139" t="str">
        <x:f>IF(NOT(ISNUMBER(T1139)),"Needs supplier cost",IF(K1139&lt;&gt;"In stock","Supplier unavailable",IF(AG1139&lt;&gt;"PASS","BLOCK - GT loss risk","Commercially protected")))</x:f>
        <x:v>Needs supplier cost</x:v>
      </x:c>
      <x:c r="AI1139" t="str">
        <x:v>2026-09-10 Active Sports trade capture</x:v>
      </x:c>
      <x:c r="AJ1139" t="str">
        <x:v>Management-only economics. Stripe stress test uses 1.5% + £0.20 standard UK online-card fee; pallet/mix-and-match pricing ignored.</x:v>
      </x:c>
    </x:row>
    <x:row r="1140">
      <x:c r="A1140" t="str">
        <x:v>Active Sports Nutrition</x:v>
      </x:c>
      <x:c r="B1140" t="str">
        <x:v>Ghost Lifestyle</x:v>
      </x:c>
      <x:c r="C1140" t="str">
        <x:v>Intra</x:v>
      </x:c>
      <x:c r="D1140" t="str">
        <x:v>Supplements</x:v>
      </x:c>
      <x:c r="E1140" t="str">
        <x:v>Intra Workout</x:v>
      </x:c>
      <x:c r="F1140" t="str">
        <x:v>Intra-workout EAA formula.</x:v>
      </x:c>
      <x:c r="G1140" t="str">
        <x:v>20 servings</x:v>
      </x:c>
      <x:c r="H1140" t="str">
        <x:v>Orange Squeeze</x:v>
      </x:c>
      <x:c r="I1140" t="str"/>
      <x:c r="J1140" t="str">
        <x:v>Unit</x:v>
      </x:c>
      <x:c r="K1140" t="str">
        <x:v>Out of stock</x:v>
      </x:c>
      <x:c r="L1140" t="str">
        <x:v>2026-09-08</x:v>
      </x:c>
      <x:c r="M1140" t="str"/>
      <x:c r="N1140" t="str"/>
      <x:c r="O1140" t="str">
        <x:v>https://www.activesportstrade.co.uk/Intra-Workout/ghost-lifestyle-trade</x:v>
      </x:c>
      <x:c r="P1140" t="str"/>
      <x:c r="Q1140" t="str"/>
      <x:c r="R1140" t="str"/>
      <x:c r="S1140" t="str">
        <x:v>Pending genuine supplier/brand image</x:v>
      </x:c>
      <x:c r="T1140" s="54"/>
      <x:c r="U1140" s="47" t="n">
        <x:v>0.2</x:v>
      </x:c>
      <x:c r="V1140" s="54" t="str">
        <x:f>IF(ISNUMBER(T1140),T1140*(1+U1140),"")</x:f>
      </x:c>
      <x:c r="W1140" s="47" t="n">
        <x:v>0.3</x:v>
      </x:c>
      <x:c r="X1140" s="54" t="str">
        <x:f>IF(ISNUMBER(V1140),V1140/(1-W1140),"")</x:f>
      </x:c>
      <x:c r="Y1140" s="55" t="str">
        <x:f>IF(ISNUMBER(X1140),ROUNDUP(X1140,0),"")</x:f>
      </x:c>
      <x:c r="Z1140" t="str">
        <x:f>IF(ISNUMBER(T1140),"Cost captured","Awaiting trade cost")</x:f>
        <x:v>Awaiting trade cost</x:v>
      </x:c>
      <x:c r="AB1140" s="36" t="str">
        <x:f>IF(ISNUMBER(Y1140),ROUND(Y1140*0.9,2),"")</x:f>
      </x:c>
      <x:c r="AC1140" s="36" t="str">
        <x:f>IF(ISNUMBER(AB1140),ROUND(AB1140-(AB1140*0.015+0.2)-V1140,2),"")</x:f>
      </x:c>
      <x:c r="AD1140" s="36" t="str">
        <x:f>IF(ISNUMBER(Y1140),ROUND(Y1140*0.8,2),"")</x:f>
      </x:c>
      <x:c r="AE1140" s="36" t="str">
        <x:f>IF(ISNUMBER(AD1140),ROUND(AD1140*0.015+0.2,2),"")</x:f>
      </x:c>
      <x:c r="AF1140" s="36" t="str">
        <x:f>IF(ISNUMBER(AD1140),ROUND(AD1140-AE1140-V1140,2),"")</x:f>
      </x:c>
      <x:c r="AG1140" t="str">
        <x:f>IF(NOT(ISNUMBER(T1140)),"PENDING",IF(AF1140&gt;0,"PASS","FAIL"))</x:f>
        <x:v>PENDING</x:v>
      </x:c>
      <x:c r="AH1140" t="str">
        <x:f>IF(NOT(ISNUMBER(T1140)),"Needs supplier cost",IF(K1140&lt;&gt;"In stock","Supplier unavailable",IF(AG1140&lt;&gt;"PASS","BLOCK - GT loss risk","Commercially protected")))</x:f>
        <x:v>Needs supplier cost</x:v>
      </x:c>
      <x:c r="AI1140" t="str">
        <x:v>2026-09-10 Active Sports trade capture</x:v>
      </x:c>
      <x:c r="AJ1140" t="str">
        <x:v>Management-only economics. Stripe stress test uses 1.5% + £0.20 standard UK online-card fee; pallet/mix-and-match pricing ignored.</x:v>
      </x:c>
    </x:row>
    <x:row r="1141">
      <x:c r="A1141" t="str">
        <x:v>Active Sports Nutrition</x:v>
      </x:c>
      <x:c r="B1141" t="str">
        <x:v>Ghost Lifestyle</x:v>
      </x:c>
      <x:c r="C1141" t="str">
        <x:v>Intra</x:v>
      </x:c>
      <x:c r="D1141" t="str">
        <x:v>Supplements</x:v>
      </x:c>
      <x:c r="E1141" t="str">
        <x:v>Intra Workout</x:v>
      </x:c>
      <x:c r="F1141" t="str">
        <x:v>Intra-workout EAA formula.</x:v>
      </x:c>
      <x:c r="G1141" t="str">
        <x:v>20 servings</x:v>
      </x:c>
      <x:c r="H1141" t="str">
        <x:v>Sour Strips Rainbow Candy</x:v>
      </x:c>
      <x:c r="I1141" t="str"/>
      <x:c r="J1141" t="str">
        <x:v>Unit</x:v>
      </x:c>
      <x:c r="K1141" t="str">
        <x:v>Out of stock</x:v>
      </x:c>
      <x:c r="L1141" t="str">
        <x:v>2026-09-08</x:v>
      </x:c>
      <x:c r="M1141" t="str"/>
      <x:c r="N1141" t="str"/>
      <x:c r="O1141" t="str">
        <x:v>https://www.activesportstrade.co.uk/Intra-Workout/ghost-lifestyle-trade</x:v>
      </x:c>
      <x:c r="P1141" t="str"/>
      <x:c r="Q1141" t="str"/>
      <x:c r="R1141" t="str"/>
      <x:c r="S1141" t="str">
        <x:v>Pending genuine supplier/brand image</x:v>
      </x:c>
      <x:c r="T1141" s="54"/>
      <x:c r="U1141" s="47" t="n">
        <x:v>0.2</x:v>
      </x:c>
      <x:c r="V1141" s="54" t="str">
        <x:f>IF(ISNUMBER(T1141),T1141*(1+U1141),"")</x:f>
      </x:c>
      <x:c r="W1141" s="47" t="n">
        <x:v>0.3</x:v>
      </x:c>
      <x:c r="X1141" s="54" t="str">
        <x:f>IF(ISNUMBER(V1141),V1141/(1-W1141),"")</x:f>
      </x:c>
      <x:c r="Y1141" s="55" t="str">
        <x:f>IF(ISNUMBER(X1141),ROUNDUP(X1141,0),"")</x:f>
      </x:c>
      <x:c r="Z1141" t="str">
        <x:f>IF(ISNUMBER(T1141),"Cost captured","Awaiting trade cost")</x:f>
        <x:v>Awaiting trade cost</x:v>
      </x:c>
      <x:c r="AB1141" s="36" t="str">
        <x:f>IF(ISNUMBER(Y1141),ROUND(Y1141*0.9,2),"")</x:f>
      </x:c>
      <x:c r="AC1141" s="36" t="str">
        <x:f>IF(ISNUMBER(AB1141),ROUND(AB1141-(AB1141*0.015+0.2)-V1141,2),"")</x:f>
      </x:c>
      <x:c r="AD1141" s="36" t="str">
        <x:f>IF(ISNUMBER(Y1141),ROUND(Y1141*0.8,2),"")</x:f>
      </x:c>
      <x:c r="AE1141" s="36" t="str">
        <x:f>IF(ISNUMBER(AD1141),ROUND(AD1141*0.015+0.2,2),"")</x:f>
      </x:c>
      <x:c r="AF1141" s="36" t="str">
        <x:f>IF(ISNUMBER(AD1141),ROUND(AD1141-AE1141-V1141,2),"")</x:f>
      </x:c>
      <x:c r="AG1141" t="str">
        <x:f>IF(NOT(ISNUMBER(T1141)),"PENDING",IF(AF1141&gt;0,"PASS","FAIL"))</x:f>
        <x:v>PENDING</x:v>
      </x:c>
      <x:c r="AH1141" t="str">
        <x:f>IF(NOT(ISNUMBER(T1141)),"Needs supplier cost",IF(K1141&lt;&gt;"In stock","Supplier unavailable",IF(AG1141&lt;&gt;"PASS","BLOCK - GT loss risk","Commercially protected")))</x:f>
        <x:v>Needs supplier cost</x:v>
      </x:c>
      <x:c r="AI1141" t="str">
        <x:v>2026-09-10 Active Sports trade capture</x:v>
      </x:c>
      <x:c r="AJ1141" t="str">
        <x:v>Management-only economics. Stripe stress test uses 1.5% + £0.20 standard UK online-card fee; pallet/mix-and-match pricing ignored.</x:v>
      </x:c>
    </x:row>
    <x:row r="1142">
      <x:c r="A1142" t="str">
        <x:v>Active Sports Nutrition</x:v>
      </x:c>
      <x:c r="B1142" t="str">
        <x:v>Ghost Lifestyle</x:v>
      </x:c>
      <x:c r="C1142" t="str">
        <x:v>Intra</x:v>
      </x:c>
      <x:c r="D1142" t="str">
        <x:v>Supplements</x:v>
      </x:c>
      <x:c r="E1142" t="str">
        <x:v>Intra Workout</x:v>
      </x:c>
      <x:c r="F1142" t="str">
        <x:v>Intra-workout EAA formula.</x:v>
      </x:c>
      <x:c r="G1142" t="str">
        <x:v>20 servings</x:v>
      </x:c>
      <x:c r="H1142" t="str">
        <x:v>Warheads Sour Watermelon</x:v>
      </x:c>
      <x:c r="I1142" t="str"/>
      <x:c r="J1142" t="str">
        <x:v>Unit</x:v>
      </x:c>
      <x:c r="K1142" t="str">
        <x:v>Out of stock</x:v>
      </x:c>
      <x:c r="L1142" t="str">
        <x:v>2026-09-08</x:v>
      </x:c>
      <x:c r="M1142" t="str"/>
      <x:c r="N1142" t="str"/>
      <x:c r="O1142" t="str">
        <x:v>https://www.activesportstrade.co.uk/Intra-Workout/ghost-lifestyle-trade</x:v>
      </x:c>
      <x:c r="P1142" t="str"/>
      <x:c r="Q1142" t="str"/>
      <x:c r="R1142" t="str"/>
      <x:c r="S1142" t="str">
        <x:v>Pending genuine supplier/brand image</x:v>
      </x:c>
      <x:c r="T1142" s="54"/>
      <x:c r="U1142" s="47" t="n">
        <x:v>0.2</x:v>
      </x:c>
      <x:c r="V1142" s="54" t="str">
        <x:f>IF(ISNUMBER(T1142),T1142*(1+U1142),"")</x:f>
      </x:c>
      <x:c r="W1142" s="47" t="n">
        <x:v>0.3</x:v>
      </x:c>
      <x:c r="X1142" s="54" t="str">
        <x:f>IF(ISNUMBER(V1142),V1142/(1-W1142),"")</x:f>
      </x:c>
      <x:c r="Y1142" s="55" t="str">
        <x:f>IF(ISNUMBER(X1142),ROUNDUP(X1142,0),"")</x:f>
      </x:c>
      <x:c r="Z1142" t="str">
        <x:f>IF(ISNUMBER(T1142),"Cost captured","Awaiting trade cost")</x:f>
        <x:v>Awaiting trade cost</x:v>
      </x:c>
      <x:c r="AB1142" s="36" t="str">
        <x:f>IF(ISNUMBER(Y1142),ROUND(Y1142*0.9,2),"")</x:f>
      </x:c>
      <x:c r="AC1142" s="36" t="str">
        <x:f>IF(ISNUMBER(AB1142),ROUND(AB1142-(AB1142*0.015+0.2)-V1142,2),"")</x:f>
      </x:c>
      <x:c r="AD1142" s="36" t="str">
        <x:f>IF(ISNUMBER(Y1142),ROUND(Y1142*0.8,2),"")</x:f>
      </x:c>
      <x:c r="AE1142" s="36" t="str">
        <x:f>IF(ISNUMBER(AD1142),ROUND(AD1142*0.015+0.2,2),"")</x:f>
      </x:c>
      <x:c r="AF1142" s="36" t="str">
        <x:f>IF(ISNUMBER(AD1142),ROUND(AD1142-AE1142-V1142,2),"")</x:f>
      </x:c>
      <x:c r="AG1142" t="str">
        <x:f>IF(NOT(ISNUMBER(T1142)),"PENDING",IF(AF1142&gt;0,"PASS","FAIL"))</x:f>
        <x:v>PENDING</x:v>
      </x:c>
      <x:c r="AH1142" t="str">
        <x:f>IF(NOT(ISNUMBER(T1142)),"Needs supplier cost",IF(K1142&lt;&gt;"In stock","Supplier unavailable",IF(AG1142&lt;&gt;"PASS","BLOCK - GT loss risk","Commercially protected")))</x:f>
        <x:v>Needs supplier cost</x:v>
      </x:c>
      <x:c r="AI1142" t="str">
        <x:v>2026-09-10 Active Sports trade capture</x:v>
      </x:c>
      <x:c r="AJ1142" t="str">
        <x:v>Management-only economics. Stripe stress test uses 1.5% + £0.20 standard UK online-card fee; pallet/mix-and-match pricing ignored.</x:v>
      </x:c>
    </x:row>
    <x:row r="1143">
      <x:c r="A1143" t="str">
        <x:v>Active Sports Nutrition</x:v>
      </x:c>
      <x:c r="B1143" t="str">
        <x:v>Ghost Lifestyle</x:v>
      </x:c>
      <x:c r="C1143" t="str">
        <x:v>Intra</x:v>
      </x:c>
      <x:c r="D1143" t="str">
        <x:v>Supplements</x:v>
      </x:c>
      <x:c r="E1143" t="str">
        <x:v>Intra Workout</x:v>
      </x:c>
      <x:c r="F1143" t="str">
        <x:v>Intra-workout EAA formula.</x:v>
      </x:c>
      <x:c r="G1143" t="str">
        <x:v>20 servings</x:v>
      </x:c>
      <x:c r="H1143" t="str">
        <x:v>Welch's Grape</x:v>
      </x:c>
      <x:c r="I1143" t="str"/>
      <x:c r="J1143" t="str">
        <x:v>Unit</x:v>
      </x:c>
      <x:c r="K1143" t="str">
        <x:v>Out of stock</x:v>
      </x:c>
      <x:c r="L1143" t="str">
        <x:v>2026-09-08</x:v>
      </x:c>
      <x:c r="M1143" t="str"/>
      <x:c r="N1143" t="str"/>
      <x:c r="O1143" t="str">
        <x:v>https://www.activesportstrade.co.uk/Intra-Workout/ghost-lifestyle-trade</x:v>
      </x:c>
      <x:c r="P1143" t="str"/>
      <x:c r="Q1143" t="str"/>
      <x:c r="R1143" t="str"/>
      <x:c r="S1143" t="str">
        <x:v>Pending genuine supplier/brand image</x:v>
      </x:c>
      <x:c r="T1143" s="54"/>
      <x:c r="U1143" s="47" t="n">
        <x:v>0.2</x:v>
      </x:c>
      <x:c r="V1143" s="54" t="str">
        <x:f>IF(ISNUMBER(T1143),T1143*(1+U1143),"")</x:f>
      </x:c>
      <x:c r="W1143" s="47" t="n">
        <x:v>0.3</x:v>
      </x:c>
      <x:c r="X1143" s="54" t="str">
        <x:f>IF(ISNUMBER(V1143),V1143/(1-W1143),"")</x:f>
      </x:c>
      <x:c r="Y1143" s="55" t="str">
        <x:f>IF(ISNUMBER(X1143),ROUNDUP(X1143,0),"")</x:f>
      </x:c>
      <x:c r="Z1143" t="str">
        <x:f>IF(ISNUMBER(T1143),"Cost captured","Awaiting trade cost")</x:f>
        <x:v>Awaiting trade cost</x:v>
      </x:c>
      <x:c r="AB1143" s="36" t="str">
        <x:f>IF(ISNUMBER(Y1143),ROUND(Y1143*0.9,2),"")</x:f>
      </x:c>
      <x:c r="AC1143" s="36" t="str">
        <x:f>IF(ISNUMBER(AB1143),ROUND(AB1143-(AB1143*0.015+0.2)-V1143,2),"")</x:f>
      </x:c>
      <x:c r="AD1143" s="36" t="str">
        <x:f>IF(ISNUMBER(Y1143),ROUND(Y1143*0.8,2),"")</x:f>
      </x:c>
      <x:c r="AE1143" s="36" t="str">
        <x:f>IF(ISNUMBER(AD1143),ROUND(AD1143*0.015+0.2,2),"")</x:f>
      </x:c>
      <x:c r="AF1143" s="36" t="str">
        <x:f>IF(ISNUMBER(AD1143),ROUND(AD1143-AE1143-V1143,2),"")</x:f>
      </x:c>
      <x:c r="AG1143" t="str">
        <x:f>IF(NOT(ISNUMBER(T1143)),"PENDING",IF(AF1143&gt;0,"PASS","FAIL"))</x:f>
        <x:v>PENDING</x:v>
      </x:c>
      <x:c r="AH1143" t="str">
        <x:f>IF(NOT(ISNUMBER(T1143)),"Needs supplier cost",IF(K1143&lt;&gt;"In stock","Supplier unavailable",IF(AG1143&lt;&gt;"PASS","BLOCK - GT loss risk","Commercially protected")))</x:f>
        <x:v>Needs supplier cost</x:v>
      </x:c>
      <x:c r="AI1143" t="str">
        <x:v>2026-09-10 Active Sports trade capture</x:v>
      </x:c>
      <x:c r="AJ1143" t="str">
        <x:v>Management-only economics. Stripe stress test uses 1.5% + £0.20 standard UK online-card fee; pallet/mix-and-match pricing ignored.</x:v>
      </x:c>
    </x:row>
    <x:row r="1144">
      <x:c r="A1144" t="str">
        <x:v>Active Sports Nutrition</x:v>
      </x:c>
      <x:c r="B1144" t="str">
        <x:v>Ghost Lifestyle</x:v>
      </x:c>
      <x:c r="C1144" t="str">
        <x:v>Joint</x:v>
      </x:c>
      <x:c r="D1144" t="str">
        <x:v>Supplements</x:v>
      </x:c>
      <x:c r="E1144" t="str">
        <x:v>Joint Repair</x:v>
      </x:c>
      <x:c r="F1144" t="str">
        <x:v>Daily joint-maintenance powder.</x:v>
      </x:c>
      <x:c r="G1144" t="str">
        <x:v>30 servings</x:v>
      </x:c>
      <x:c r="H1144" t="str">
        <x:v>Kiwi Strawberry</x:v>
      </x:c>
      <x:c r="I1144" t="str"/>
      <x:c r="J1144" t="str">
        <x:v>Unit</x:v>
      </x:c>
      <x:c r="K1144" t="str">
        <x:v>In stock</x:v>
      </x:c>
      <x:c r="L1144" t="str">
        <x:v>2026-09-08</x:v>
      </x:c>
      <x:c r="M1144" t="str"/>
      <x:c r="N1144" t="str"/>
      <x:c r="O1144" t="str">
        <x:v>https://www.activesportstrade.co.uk/Joint-Repair</x:v>
      </x:c>
      <x:c r="P1144" t="str"/>
      <x:c r="Q1144" t="str"/>
      <x:c r="R1144" t="str"/>
      <x:c r="S1144" t="str">
        <x:v>Pending genuine supplier/brand image</x:v>
      </x:c>
      <x:c r="T1144" s="54"/>
      <x:c r="U1144" s="47" t="n">
        <x:v>0.2</x:v>
      </x:c>
      <x:c r="V1144" s="54" t="str">
        <x:f>IF(ISNUMBER(T1144),T1144*(1+U1144),"")</x:f>
      </x:c>
      <x:c r="W1144" s="47" t="n">
        <x:v>0.3</x:v>
      </x:c>
      <x:c r="X1144" s="54" t="str">
        <x:f>IF(ISNUMBER(V1144),V1144/(1-W1144),"")</x:f>
      </x:c>
      <x:c r="Y1144" s="55" t="str">
        <x:f>IF(ISNUMBER(X1144),ROUNDUP(X1144,0),"")</x:f>
      </x:c>
      <x:c r="Z1144" t="str">
        <x:f>IF(ISNUMBER(T1144),"Cost captured","Awaiting trade cost")</x:f>
        <x:v>Awaiting trade cost</x:v>
      </x:c>
      <x:c r="AB1144" s="36" t="str">
        <x:f>IF(ISNUMBER(Y1144),ROUND(Y1144*0.9,2),"")</x:f>
      </x:c>
      <x:c r="AC1144" s="36" t="str">
        <x:f>IF(ISNUMBER(AB1144),ROUND(AB1144-(AB1144*0.015+0.2)-V1144,2),"")</x:f>
      </x:c>
      <x:c r="AD1144" s="36" t="str">
        <x:f>IF(ISNUMBER(Y1144),ROUND(Y1144*0.8,2),"")</x:f>
      </x:c>
      <x:c r="AE1144" s="36" t="str">
        <x:f>IF(ISNUMBER(AD1144),ROUND(AD1144*0.015+0.2,2),"")</x:f>
      </x:c>
      <x:c r="AF1144" s="36" t="str">
        <x:f>IF(ISNUMBER(AD1144),ROUND(AD1144-AE1144-V1144,2),"")</x:f>
      </x:c>
      <x:c r="AG1144" t="str">
        <x:f>IF(NOT(ISNUMBER(T1144)),"PENDING",IF(AF1144&gt;0,"PASS","FAIL"))</x:f>
        <x:v>PENDING</x:v>
      </x:c>
      <x:c r="AH1144" t="str">
        <x:f>IF(NOT(ISNUMBER(T1144)),"Needs supplier cost",IF(K1144&lt;&gt;"In stock","Supplier unavailable",IF(AG1144&lt;&gt;"PASS","BLOCK - GT loss risk","Commercially protected")))</x:f>
        <x:v>Needs supplier cost</x:v>
      </x:c>
      <x:c r="AI1144" t="str">
        <x:v>2026-09-10 Active Sports trade capture</x:v>
      </x:c>
      <x:c r="AJ1144" t="str">
        <x:v>Management-only economics. Stripe stress test uses 1.5% + £0.20 standard UK online-card fee; pallet/mix-and-match pricing ignored.</x:v>
      </x:c>
    </x:row>
    <x:row r="1145">
      <x:c r="A1145" t="str">
        <x:v>Active Sports Nutrition</x:v>
      </x:c>
      <x:c r="B1145" t="str">
        <x:v>Ghost Lifestyle</x:v>
      </x:c>
      <x:c r="C1145" t="str">
        <x:v>Joint</x:v>
      </x:c>
      <x:c r="D1145" t="str">
        <x:v>Supplements</x:v>
      </x:c>
      <x:c r="E1145" t="str">
        <x:v>Joint Repair</x:v>
      </x:c>
      <x:c r="F1145" t="str">
        <x:v>Daily joint-maintenance powder.</x:v>
      </x:c>
      <x:c r="G1145" t="str">
        <x:v>30 servings</x:v>
      </x:c>
      <x:c r="H1145" t="str">
        <x:v>Orange Cream</x:v>
      </x:c>
      <x:c r="I1145" t="str"/>
      <x:c r="J1145" t="str">
        <x:v>Unit</x:v>
      </x:c>
      <x:c r="K1145" t="str">
        <x:v>In stock</x:v>
      </x:c>
      <x:c r="L1145" t="str">
        <x:v>2026-09-08</x:v>
      </x:c>
      <x:c r="M1145" t="str"/>
      <x:c r="N1145" t="str"/>
      <x:c r="O1145" t="str">
        <x:v>https://www.activesportstrade.co.uk/Joint-Repair</x:v>
      </x:c>
      <x:c r="P1145" t="str"/>
      <x:c r="Q1145" t="str"/>
      <x:c r="R1145" t="str"/>
      <x:c r="S1145" t="str">
        <x:v>Pending genuine supplier/brand image</x:v>
      </x:c>
      <x:c r="T1145" s="54"/>
      <x:c r="U1145" s="47" t="n">
        <x:v>0.2</x:v>
      </x:c>
      <x:c r="V1145" s="54" t="str">
        <x:f>IF(ISNUMBER(T1145),T1145*(1+U1145),"")</x:f>
      </x:c>
      <x:c r="W1145" s="47" t="n">
        <x:v>0.3</x:v>
      </x:c>
      <x:c r="X1145" s="54" t="str">
        <x:f>IF(ISNUMBER(V1145),V1145/(1-W1145),"")</x:f>
      </x:c>
      <x:c r="Y1145" s="55" t="str">
        <x:f>IF(ISNUMBER(X1145),ROUNDUP(X1145,0),"")</x:f>
      </x:c>
      <x:c r="Z1145" t="str">
        <x:f>IF(ISNUMBER(T1145),"Cost captured","Awaiting trade cost")</x:f>
        <x:v>Awaiting trade cost</x:v>
      </x:c>
      <x:c r="AB1145" s="36" t="str">
        <x:f>IF(ISNUMBER(Y1145),ROUND(Y1145*0.9,2),"")</x:f>
      </x:c>
      <x:c r="AC1145" s="36" t="str">
        <x:f>IF(ISNUMBER(AB1145),ROUND(AB1145-(AB1145*0.015+0.2)-V1145,2),"")</x:f>
      </x:c>
      <x:c r="AD1145" s="36" t="str">
        <x:f>IF(ISNUMBER(Y1145),ROUND(Y1145*0.8,2),"")</x:f>
      </x:c>
      <x:c r="AE1145" s="36" t="str">
        <x:f>IF(ISNUMBER(AD1145),ROUND(AD1145*0.015+0.2,2),"")</x:f>
      </x:c>
      <x:c r="AF1145" s="36" t="str">
        <x:f>IF(ISNUMBER(AD1145),ROUND(AD1145-AE1145-V1145,2),"")</x:f>
      </x:c>
      <x:c r="AG1145" t="str">
        <x:f>IF(NOT(ISNUMBER(T1145)),"PENDING",IF(AF1145&gt;0,"PASS","FAIL"))</x:f>
        <x:v>PENDING</x:v>
      </x:c>
      <x:c r="AH1145" t="str">
        <x:f>IF(NOT(ISNUMBER(T1145)),"Needs supplier cost",IF(K1145&lt;&gt;"In stock","Supplier unavailable",IF(AG1145&lt;&gt;"PASS","BLOCK - GT loss risk","Commercially protected")))</x:f>
        <x:v>Needs supplier cost</x:v>
      </x:c>
      <x:c r="AI1145" t="str">
        <x:v>2026-09-10 Active Sports trade capture</x:v>
      </x:c>
      <x:c r="AJ1145" t="str">
        <x:v>Management-only economics. Stripe stress test uses 1.5% + £0.20 standard UK online-card fee; pallet/mix-and-match pricing ignored.</x:v>
      </x:c>
    </x:row>
    <x:row r="1146">
      <x:c r="A1146" t="str">
        <x:v>Active Sports Nutrition</x:v>
      </x:c>
      <x:c r="B1146" t="str">
        <x:v>Ghost Lifestyle</x:v>
      </x:c>
      <x:c r="C1146" t="str">
        <x:v>Legend Pre Workout V4</x:v>
      </x:c>
      <x:c r="D1146" t="str">
        <x:v>Pre Workouts</x:v>
      </x:c>
      <x:c r="E1146" t="str">
        <x:v>High Stim</x:v>
      </x:c>
      <x:c r="F1146" t="str">
        <x:v>Pre-workout formula.</x:v>
      </x:c>
      <x:c r="G1146" t="str">
        <x:v>30 servings</x:v>
      </x:c>
      <x:c r="H1146" t="str">
        <x:v>Blue Raspberry</x:v>
      </x:c>
      <x:c r="I1146" t="str"/>
      <x:c r="J1146" t="str">
        <x:v>Unit</x:v>
      </x:c>
      <x:c r="K1146" t="str">
        <x:v>Out of stock</x:v>
      </x:c>
      <x:c r="L1146" t="str">
        <x:v>2026-09-08</x:v>
      </x:c>
      <x:c r="M1146" t="str"/>
      <x:c r="N1146" t="str"/>
      <x:c r="O1146" t="str">
        <x:v>https://www.activesportstrade.co.uk/ghost-lifestyle-trade</x:v>
      </x:c>
      <x:c r="P1146" t="str"/>
      <x:c r="Q1146" t="str"/>
      <x:c r="R1146" t="str"/>
      <x:c r="S1146" t="str">
        <x:v>Pending genuine supplier/brand image</x:v>
      </x:c>
      <x:c r="T1146" s="54"/>
      <x:c r="U1146" s="47" t="n">
        <x:v>0.2</x:v>
      </x:c>
      <x:c r="V1146" s="54" t="str">
        <x:f>IF(ISNUMBER(T1146),T1146*(1+U1146),"")</x:f>
      </x:c>
      <x:c r="W1146" s="47" t="n">
        <x:v>0.3</x:v>
      </x:c>
      <x:c r="X1146" s="54" t="str">
        <x:f>IF(ISNUMBER(V1146),V1146/(1-W1146),"")</x:f>
      </x:c>
      <x:c r="Y1146" s="55" t="str">
        <x:f>IF(ISNUMBER(X1146),ROUNDUP(X1146,0),"")</x:f>
      </x:c>
      <x:c r="Z1146" t="str">
        <x:f>IF(ISNUMBER(T1146),"Cost captured","Awaiting trade cost")</x:f>
        <x:v>Awaiting trade cost</x:v>
      </x:c>
      <x:c r="AB1146" s="36" t="str">
        <x:f>IF(ISNUMBER(Y1146),ROUND(Y1146*0.9,2),"")</x:f>
      </x:c>
      <x:c r="AC1146" s="36" t="str">
        <x:f>IF(ISNUMBER(AB1146),ROUND(AB1146-(AB1146*0.015+0.2)-V1146,2),"")</x:f>
      </x:c>
      <x:c r="AD1146" s="36" t="str">
        <x:f>IF(ISNUMBER(Y1146),ROUND(Y1146*0.8,2),"")</x:f>
      </x:c>
      <x:c r="AE1146" s="36" t="str">
        <x:f>IF(ISNUMBER(AD1146),ROUND(AD1146*0.015+0.2,2),"")</x:f>
      </x:c>
      <x:c r="AF1146" s="36" t="str">
        <x:f>IF(ISNUMBER(AD1146),ROUND(AD1146-AE1146-V1146,2),"")</x:f>
      </x:c>
      <x:c r="AG1146" t="str">
        <x:f>IF(NOT(ISNUMBER(T1146)),"PENDING",IF(AF1146&gt;0,"PASS","FAIL"))</x:f>
        <x:v>PENDING</x:v>
      </x:c>
      <x:c r="AH1146" t="str">
        <x:f>IF(NOT(ISNUMBER(T1146)),"Needs supplier cost",IF(K1146&lt;&gt;"In stock","Supplier unavailable",IF(AG1146&lt;&gt;"PASS","BLOCK - GT loss risk","Commercially protected")))</x:f>
        <x:v>Needs supplier cost</x:v>
      </x:c>
      <x:c r="AI1146" t="str">
        <x:v>2026-09-10 Active Sports trade capture</x:v>
      </x:c>
      <x:c r="AJ1146" t="str">
        <x:v>Management-only economics. Stripe stress test uses 1.5% + £0.20 standard UK online-card fee; pallet/mix-and-match pricing ignored.</x:v>
      </x:c>
    </x:row>
    <x:row r="1147">
      <x:c r="A1147" t="str">
        <x:v>Active Sports Nutrition</x:v>
      </x:c>
      <x:c r="B1147" t="str">
        <x:v>Ghost Lifestyle</x:v>
      </x:c>
      <x:c r="C1147" t="str">
        <x:v>Legend Pre Workout V4</x:v>
      </x:c>
      <x:c r="D1147" t="str">
        <x:v>Pre Workouts</x:v>
      </x:c>
      <x:c r="E1147" t="str">
        <x:v>High Stim</x:v>
      </x:c>
      <x:c r="F1147" t="str">
        <x:v>Pre-workout formula.</x:v>
      </x:c>
      <x:c r="G1147" t="str">
        <x:v>30 servings</x:v>
      </x:c>
      <x:c r="H1147" t="str">
        <x:v>Bubblicious Strawberry</x:v>
      </x:c>
      <x:c r="I1147" t="str"/>
      <x:c r="J1147" t="str">
        <x:v>Unit</x:v>
      </x:c>
      <x:c r="K1147" t="str">
        <x:v>In stock</x:v>
      </x:c>
      <x:c r="L1147" t="str">
        <x:v>2026-09-08</x:v>
      </x:c>
      <x:c r="M1147" t="str"/>
      <x:c r="N1147" t="str"/>
      <x:c r="O1147" t="str">
        <x:v>https://www.activesportstrade.co.uk/ghost-lifestyle-trade</x:v>
      </x:c>
      <x:c r="P1147" t="str"/>
      <x:c r="Q1147" t="str"/>
      <x:c r="R1147" t="str"/>
      <x:c r="S1147" t="str">
        <x:v>Pending genuine supplier/brand image</x:v>
      </x:c>
      <x:c r="T1147" s="54"/>
      <x:c r="U1147" s="47" t="n">
        <x:v>0.2</x:v>
      </x:c>
      <x:c r="V1147" s="54" t="str">
        <x:f>IF(ISNUMBER(T1147),T1147*(1+U1147),"")</x:f>
      </x:c>
      <x:c r="W1147" s="47" t="n">
        <x:v>0.3</x:v>
      </x:c>
      <x:c r="X1147" s="54" t="str">
        <x:f>IF(ISNUMBER(V1147),V1147/(1-W1147),"")</x:f>
      </x:c>
      <x:c r="Y1147" s="55" t="str">
        <x:f>IF(ISNUMBER(X1147),ROUNDUP(X1147,0),"")</x:f>
      </x:c>
      <x:c r="Z1147" t="str">
        <x:f>IF(ISNUMBER(T1147),"Cost captured","Awaiting trade cost")</x:f>
        <x:v>Awaiting trade cost</x:v>
      </x:c>
      <x:c r="AB1147" s="36" t="str">
        <x:f>IF(ISNUMBER(Y1147),ROUND(Y1147*0.9,2),"")</x:f>
      </x:c>
      <x:c r="AC1147" s="36" t="str">
        <x:f>IF(ISNUMBER(AB1147),ROUND(AB1147-(AB1147*0.015+0.2)-V1147,2),"")</x:f>
      </x:c>
      <x:c r="AD1147" s="36" t="str">
        <x:f>IF(ISNUMBER(Y1147),ROUND(Y1147*0.8,2),"")</x:f>
      </x:c>
      <x:c r="AE1147" s="36" t="str">
        <x:f>IF(ISNUMBER(AD1147),ROUND(AD1147*0.015+0.2,2),"")</x:f>
      </x:c>
      <x:c r="AF1147" s="36" t="str">
        <x:f>IF(ISNUMBER(AD1147),ROUND(AD1147-AE1147-V1147,2),"")</x:f>
      </x:c>
      <x:c r="AG1147" t="str">
        <x:f>IF(NOT(ISNUMBER(T1147)),"PENDING",IF(AF1147&gt;0,"PASS","FAIL"))</x:f>
        <x:v>PENDING</x:v>
      </x:c>
      <x:c r="AH1147" t="str">
        <x:f>IF(NOT(ISNUMBER(T1147)),"Needs supplier cost",IF(K1147&lt;&gt;"In stock","Supplier unavailable",IF(AG1147&lt;&gt;"PASS","BLOCK - GT loss risk","Commercially protected")))</x:f>
        <x:v>Needs supplier cost</x:v>
      </x:c>
      <x:c r="AI1147" t="str">
        <x:v>2026-09-10 Active Sports trade capture</x:v>
      </x:c>
      <x:c r="AJ1147" t="str">
        <x:v>Management-only economics. Stripe stress test uses 1.5% + £0.20 standard UK online-card fee; pallet/mix-and-match pricing ignored.</x:v>
      </x:c>
    </x:row>
    <x:row r="1148">
      <x:c r="A1148" t="str">
        <x:v>Active Sports Nutrition</x:v>
      </x:c>
      <x:c r="B1148" t="str">
        <x:v>Ghost Lifestyle</x:v>
      </x:c>
      <x:c r="C1148" t="str">
        <x:v>Legend Pre Workout V4</x:v>
      </x:c>
      <x:c r="D1148" t="str">
        <x:v>Pre Workouts</x:v>
      </x:c>
      <x:c r="E1148" t="str">
        <x:v>High Stim</x:v>
      </x:c>
      <x:c r="F1148" t="str">
        <x:v>Pre-workout formula.</x:v>
      </x:c>
      <x:c r="G1148" t="str">
        <x:v>30 servings</x:v>
      </x:c>
      <x:c r="H1148" t="str">
        <x:v>Electric Limeade</x:v>
      </x:c>
      <x:c r="I1148" t="str"/>
      <x:c r="J1148" t="str">
        <x:v>Unit</x:v>
      </x:c>
      <x:c r="K1148" t="str">
        <x:v>In stock</x:v>
      </x:c>
      <x:c r="L1148" t="str">
        <x:v>2026-09-08</x:v>
      </x:c>
      <x:c r="M1148" t="str"/>
      <x:c r="N1148" t="str"/>
      <x:c r="O1148" t="str">
        <x:v>https://www.activesportstrade.co.uk/ghost-lifestyle-trade</x:v>
      </x:c>
      <x:c r="P1148" t="str"/>
      <x:c r="Q1148" t="str"/>
      <x:c r="R1148" t="str"/>
      <x:c r="S1148" t="str">
        <x:v>Pending genuine supplier/brand image</x:v>
      </x:c>
      <x:c r="T1148" s="54"/>
      <x:c r="U1148" s="47" t="n">
        <x:v>0.2</x:v>
      </x:c>
      <x:c r="V1148" s="54" t="str">
        <x:f>IF(ISNUMBER(T1148),T1148*(1+U1148),"")</x:f>
      </x:c>
      <x:c r="W1148" s="47" t="n">
        <x:v>0.3</x:v>
      </x:c>
      <x:c r="X1148" s="54" t="str">
        <x:f>IF(ISNUMBER(V1148),V1148/(1-W1148),"")</x:f>
      </x:c>
      <x:c r="Y1148" s="55" t="str">
        <x:f>IF(ISNUMBER(X1148),ROUNDUP(X1148,0),"")</x:f>
      </x:c>
      <x:c r="Z1148" t="str">
        <x:f>IF(ISNUMBER(T1148),"Cost captured","Awaiting trade cost")</x:f>
        <x:v>Awaiting trade cost</x:v>
      </x:c>
      <x:c r="AB1148" s="36" t="str">
        <x:f>IF(ISNUMBER(Y1148),ROUND(Y1148*0.9,2),"")</x:f>
      </x:c>
      <x:c r="AC1148" s="36" t="str">
        <x:f>IF(ISNUMBER(AB1148),ROUND(AB1148-(AB1148*0.015+0.2)-V1148,2),"")</x:f>
      </x:c>
      <x:c r="AD1148" s="36" t="str">
        <x:f>IF(ISNUMBER(Y1148),ROUND(Y1148*0.8,2),"")</x:f>
      </x:c>
      <x:c r="AE1148" s="36" t="str">
        <x:f>IF(ISNUMBER(AD1148),ROUND(AD1148*0.015+0.2,2),"")</x:f>
      </x:c>
      <x:c r="AF1148" s="36" t="str">
        <x:f>IF(ISNUMBER(AD1148),ROUND(AD1148-AE1148-V1148,2),"")</x:f>
      </x:c>
      <x:c r="AG1148" t="str">
        <x:f>IF(NOT(ISNUMBER(T1148)),"PENDING",IF(AF1148&gt;0,"PASS","FAIL"))</x:f>
        <x:v>PENDING</x:v>
      </x:c>
      <x:c r="AH1148" t="str">
        <x:f>IF(NOT(ISNUMBER(T1148)),"Needs supplier cost",IF(K1148&lt;&gt;"In stock","Supplier unavailable",IF(AG1148&lt;&gt;"PASS","BLOCK - GT loss risk","Commercially protected")))</x:f>
        <x:v>Needs supplier cost</x:v>
      </x:c>
      <x:c r="AI1148" t="str">
        <x:v>2026-09-10 Active Sports trade capture</x:v>
      </x:c>
      <x:c r="AJ1148" t="str">
        <x:v>Management-only economics. Stripe stress test uses 1.5% + £0.20 standard UK online-card fee; pallet/mix-and-match pricing ignored.</x:v>
      </x:c>
    </x:row>
    <x:row r="1149">
      <x:c r="A1149" t="str">
        <x:v>Active Sports Nutrition</x:v>
      </x:c>
      <x:c r="B1149" t="str">
        <x:v>Ghost Lifestyle</x:v>
      </x:c>
      <x:c r="C1149" t="str">
        <x:v>Legend Pre Workout V4</x:v>
      </x:c>
      <x:c r="D1149" t="str">
        <x:v>Pre Workouts</x:v>
      </x:c>
      <x:c r="E1149" t="str">
        <x:v>High Stim</x:v>
      </x:c>
      <x:c r="F1149" t="str">
        <x:v>Pre-workout formula.</x:v>
      </x:c>
      <x:c r="G1149" t="str">
        <x:v>30 servings</x:v>
      </x:c>
      <x:c r="H1149" t="str">
        <x:v>Grapefruit</x:v>
      </x:c>
      <x:c r="I1149" t="str"/>
      <x:c r="J1149" t="str">
        <x:v>Unit</x:v>
      </x:c>
      <x:c r="K1149" t="str">
        <x:v>Out of stock</x:v>
      </x:c>
      <x:c r="L1149" t="str">
        <x:v>2026-09-08</x:v>
      </x:c>
      <x:c r="M1149" t="str"/>
      <x:c r="N1149" t="str"/>
      <x:c r="O1149" t="str">
        <x:v>https://www.activesportstrade.co.uk/ghost-lifestyle-trade</x:v>
      </x:c>
      <x:c r="P1149" t="str"/>
      <x:c r="Q1149" t="str"/>
      <x:c r="R1149" t="str"/>
      <x:c r="S1149" t="str">
        <x:v>Pending genuine supplier/brand image</x:v>
      </x:c>
      <x:c r="T1149" s="54"/>
      <x:c r="U1149" s="47" t="n">
        <x:v>0.2</x:v>
      </x:c>
      <x:c r="V1149" s="54" t="str">
        <x:f>IF(ISNUMBER(T1149),T1149*(1+U1149),"")</x:f>
      </x:c>
      <x:c r="W1149" s="47" t="n">
        <x:v>0.3</x:v>
      </x:c>
      <x:c r="X1149" s="54" t="str">
        <x:f>IF(ISNUMBER(V1149),V1149/(1-W1149),"")</x:f>
      </x:c>
      <x:c r="Y1149" s="55" t="str">
        <x:f>IF(ISNUMBER(X1149),ROUNDUP(X1149,0),"")</x:f>
      </x:c>
      <x:c r="Z1149" t="str">
        <x:f>IF(ISNUMBER(T1149),"Cost captured","Awaiting trade cost")</x:f>
        <x:v>Awaiting trade cost</x:v>
      </x:c>
      <x:c r="AB1149" s="36" t="str">
        <x:f>IF(ISNUMBER(Y1149),ROUND(Y1149*0.9,2),"")</x:f>
      </x:c>
      <x:c r="AC1149" s="36" t="str">
        <x:f>IF(ISNUMBER(AB1149),ROUND(AB1149-(AB1149*0.015+0.2)-V1149,2),"")</x:f>
      </x:c>
      <x:c r="AD1149" s="36" t="str">
        <x:f>IF(ISNUMBER(Y1149),ROUND(Y1149*0.8,2),"")</x:f>
      </x:c>
      <x:c r="AE1149" s="36" t="str">
        <x:f>IF(ISNUMBER(AD1149),ROUND(AD1149*0.015+0.2,2),"")</x:f>
      </x:c>
      <x:c r="AF1149" s="36" t="str">
        <x:f>IF(ISNUMBER(AD1149),ROUND(AD1149-AE1149-V1149,2),"")</x:f>
      </x:c>
      <x:c r="AG1149" t="str">
        <x:f>IF(NOT(ISNUMBER(T1149)),"PENDING",IF(AF1149&gt;0,"PASS","FAIL"))</x:f>
        <x:v>PENDING</x:v>
      </x:c>
      <x:c r="AH1149" t="str">
        <x:f>IF(NOT(ISNUMBER(T1149)),"Needs supplier cost",IF(K1149&lt;&gt;"In stock","Supplier unavailable",IF(AG1149&lt;&gt;"PASS","BLOCK - GT loss risk","Commercially protected")))</x:f>
        <x:v>Needs supplier cost</x:v>
      </x:c>
      <x:c r="AI1149" t="str">
        <x:v>2026-09-10 Active Sports trade capture</x:v>
      </x:c>
      <x:c r="AJ1149" t="str">
        <x:v>Management-only economics. Stripe stress test uses 1.5% + £0.20 standard UK online-card fee; pallet/mix-and-match pricing ignored.</x:v>
      </x:c>
    </x:row>
    <x:row r="1150">
      <x:c r="A1150" t="str">
        <x:v>Active Sports Nutrition</x:v>
      </x:c>
      <x:c r="B1150" t="str">
        <x:v>Ghost Lifestyle</x:v>
      </x:c>
      <x:c r="C1150" t="str">
        <x:v>Legend Pre Workout V4</x:v>
      </x:c>
      <x:c r="D1150" t="str">
        <x:v>Pre Workouts</x:v>
      </x:c>
      <x:c r="E1150" t="str">
        <x:v>High Stim</x:v>
      </x:c>
      <x:c r="F1150" t="str">
        <x:v>Pre-workout formula.</x:v>
      </x:c>
      <x:c r="G1150" t="str">
        <x:v>30 servings</x:v>
      </x:c>
      <x:c r="H1150" t="str">
        <x:v>Orange Cream</x:v>
      </x:c>
      <x:c r="I1150" t="str"/>
      <x:c r="J1150" t="str">
        <x:v>Unit</x:v>
      </x:c>
      <x:c r="K1150" t="str">
        <x:v>In stock</x:v>
      </x:c>
      <x:c r="L1150" t="str">
        <x:v>2026-09-08</x:v>
      </x:c>
      <x:c r="M1150" t="str"/>
      <x:c r="N1150" t="str"/>
      <x:c r="O1150" t="str">
        <x:v>https://www.activesportstrade.co.uk/ghost-lifestyle-trade</x:v>
      </x:c>
      <x:c r="P1150" t="str"/>
      <x:c r="Q1150" t="str"/>
      <x:c r="R1150" t="str"/>
      <x:c r="S1150" t="str">
        <x:v>Pending genuine supplier/brand image</x:v>
      </x:c>
      <x:c r="T1150" s="54"/>
      <x:c r="U1150" s="47" t="n">
        <x:v>0.2</x:v>
      </x:c>
      <x:c r="V1150" s="54" t="str">
        <x:f>IF(ISNUMBER(T1150),T1150*(1+U1150),"")</x:f>
      </x:c>
      <x:c r="W1150" s="47" t="n">
        <x:v>0.3</x:v>
      </x:c>
      <x:c r="X1150" s="54" t="str">
        <x:f>IF(ISNUMBER(V1150),V1150/(1-W1150),"")</x:f>
      </x:c>
      <x:c r="Y1150" s="55" t="str">
        <x:f>IF(ISNUMBER(X1150),ROUNDUP(X1150,0),"")</x:f>
      </x:c>
      <x:c r="Z1150" t="str">
        <x:f>IF(ISNUMBER(T1150),"Cost captured","Awaiting trade cost")</x:f>
        <x:v>Awaiting trade cost</x:v>
      </x:c>
      <x:c r="AB1150" s="36" t="str">
        <x:f>IF(ISNUMBER(Y1150),ROUND(Y1150*0.9,2),"")</x:f>
      </x:c>
      <x:c r="AC1150" s="36" t="str">
        <x:f>IF(ISNUMBER(AB1150),ROUND(AB1150-(AB1150*0.015+0.2)-V1150,2),"")</x:f>
      </x:c>
      <x:c r="AD1150" s="36" t="str">
        <x:f>IF(ISNUMBER(Y1150),ROUND(Y1150*0.8,2),"")</x:f>
      </x:c>
      <x:c r="AE1150" s="36" t="str">
        <x:f>IF(ISNUMBER(AD1150),ROUND(AD1150*0.015+0.2,2),"")</x:f>
      </x:c>
      <x:c r="AF1150" s="36" t="str">
        <x:f>IF(ISNUMBER(AD1150),ROUND(AD1150-AE1150-V1150,2),"")</x:f>
      </x:c>
      <x:c r="AG1150" t="str">
        <x:f>IF(NOT(ISNUMBER(T1150)),"PENDING",IF(AF1150&gt;0,"PASS","FAIL"))</x:f>
        <x:v>PENDING</x:v>
      </x:c>
      <x:c r="AH1150" t="str">
        <x:f>IF(NOT(ISNUMBER(T1150)),"Needs supplier cost",IF(K1150&lt;&gt;"In stock","Supplier unavailable",IF(AG1150&lt;&gt;"PASS","BLOCK - GT loss risk","Commercially protected")))</x:f>
        <x:v>Needs supplier cost</x:v>
      </x:c>
      <x:c r="AI1150" t="str">
        <x:v>2026-09-10 Active Sports trade capture</x:v>
      </x:c>
      <x:c r="AJ1150" t="str">
        <x:v>Management-only economics. Stripe stress test uses 1.5% + £0.20 standard UK online-card fee; pallet/mix-and-match pricing ignored.</x:v>
      </x:c>
    </x:row>
    <x:row r="1151">
      <x:c r="A1151" t="str">
        <x:v>Active Sports Nutrition</x:v>
      </x:c>
      <x:c r="B1151" t="str">
        <x:v>Ghost Lifestyle</x:v>
      </x:c>
      <x:c r="C1151" t="str">
        <x:v>Legend Pre Workout V4</x:v>
      </x:c>
      <x:c r="D1151" t="str">
        <x:v>Pre Workouts</x:v>
      </x:c>
      <x:c r="E1151" t="str">
        <x:v>High Stim</x:v>
      </x:c>
      <x:c r="F1151" t="str">
        <x:v>Pre-workout formula.</x:v>
      </x:c>
      <x:c r="G1151" t="str">
        <x:v>30 servings</x:v>
      </x:c>
      <x:c r="H1151" t="str">
        <x:v>Sour Strips Rainbow Candy</x:v>
      </x:c>
      <x:c r="I1151" t="str"/>
      <x:c r="J1151" t="str">
        <x:v>Unit</x:v>
      </x:c>
      <x:c r="K1151" t="str">
        <x:v>Out of stock</x:v>
      </x:c>
      <x:c r="L1151" t="str">
        <x:v>2026-09-08</x:v>
      </x:c>
      <x:c r="M1151" t="str"/>
      <x:c r="N1151" t="str"/>
      <x:c r="O1151" t="str">
        <x:v>https://www.activesportstrade.co.uk/ghost-lifestyle-trade</x:v>
      </x:c>
      <x:c r="P1151" t="str"/>
      <x:c r="Q1151" t="str"/>
      <x:c r="R1151" t="str"/>
      <x:c r="S1151" t="str">
        <x:v>Pending genuine supplier/brand image</x:v>
      </x:c>
      <x:c r="T1151" s="54"/>
      <x:c r="U1151" s="47" t="n">
        <x:v>0.2</x:v>
      </x:c>
      <x:c r="V1151" s="54" t="str">
        <x:f>IF(ISNUMBER(T1151),T1151*(1+U1151),"")</x:f>
      </x:c>
      <x:c r="W1151" s="47" t="n">
        <x:v>0.3</x:v>
      </x:c>
      <x:c r="X1151" s="54" t="str">
        <x:f>IF(ISNUMBER(V1151),V1151/(1-W1151),"")</x:f>
      </x:c>
      <x:c r="Y1151" s="55" t="str">
        <x:f>IF(ISNUMBER(X1151),ROUNDUP(X1151,0),"")</x:f>
      </x:c>
      <x:c r="Z1151" t="str">
        <x:f>IF(ISNUMBER(T1151),"Cost captured","Awaiting trade cost")</x:f>
        <x:v>Awaiting trade cost</x:v>
      </x:c>
      <x:c r="AB1151" s="36" t="str">
        <x:f>IF(ISNUMBER(Y1151),ROUND(Y1151*0.9,2),"")</x:f>
      </x:c>
      <x:c r="AC1151" s="36" t="str">
        <x:f>IF(ISNUMBER(AB1151),ROUND(AB1151-(AB1151*0.015+0.2)-V1151,2),"")</x:f>
      </x:c>
      <x:c r="AD1151" s="36" t="str">
        <x:f>IF(ISNUMBER(Y1151),ROUND(Y1151*0.8,2),"")</x:f>
      </x:c>
      <x:c r="AE1151" s="36" t="str">
        <x:f>IF(ISNUMBER(AD1151),ROUND(AD1151*0.015+0.2,2),"")</x:f>
      </x:c>
      <x:c r="AF1151" s="36" t="str">
        <x:f>IF(ISNUMBER(AD1151),ROUND(AD1151-AE1151-V1151,2),"")</x:f>
      </x:c>
      <x:c r="AG1151" t="str">
        <x:f>IF(NOT(ISNUMBER(T1151)),"PENDING",IF(AF1151&gt;0,"PASS","FAIL"))</x:f>
        <x:v>PENDING</x:v>
      </x:c>
      <x:c r="AH1151" t="str">
        <x:f>IF(NOT(ISNUMBER(T1151)),"Needs supplier cost",IF(K1151&lt;&gt;"In stock","Supplier unavailable",IF(AG1151&lt;&gt;"PASS","BLOCK - GT loss risk","Commercially protected")))</x:f>
        <x:v>Needs supplier cost</x:v>
      </x:c>
      <x:c r="AI1151" t="str">
        <x:v>2026-09-10 Active Sports trade capture</x:v>
      </x:c>
      <x:c r="AJ1151" t="str">
        <x:v>Management-only economics. Stripe stress test uses 1.5% + £0.20 standard UK online-card fee; pallet/mix-and-match pricing ignored.</x:v>
      </x:c>
    </x:row>
    <x:row r="1152">
      <x:c r="A1152" t="str">
        <x:v>Active Sports Nutrition</x:v>
      </x:c>
      <x:c r="B1152" t="str">
        <x:v>Ghost Lifestyle</x:v>
      </x:c>
      <x:c r="C1152" t="str">
        <x:v>Legend Pre Workout V4</x:v>
      </x:c>
      <x:c r="D1152" t="str">
        <x:v>Pre Workouts</x:v>
      </x:c>
      <x:c r="E1152" t="str">
        <x:v>High Stim</x:v>
      </x:c>
      <x:c r="F1152" t="str">
        <x:v>Pre-workout formula.</x:v>
      </x:c>
      <x:c r="G1152" t="str">
        <x:v>30 servings</x:v>
      </x:c>
      <x:c r="H1152" t="str">
        <x:v>Warheads Sour Black Cherry</x:v>
      </x:c>
      <x:c r="I1152" t="str"/>
      <x:c r="J1152" t="str">
        <x:v>Unit</x:v>
      </x:c>
      <x:c r="K1152" t="str">
        <x:v>In stock</x:v>
      </x:c>
      <x:c r="L1152" t="str">
        <x:v>2026-09-08</x:v>
      </x:c>
      <x:c r="M1152" t="str"/>
      <x:c r="N1152" t="str"/>
      <x:c r="O1152" t="str">
        <x:v>https://www.activesportstrade.co.uk/ghost-lifestyle-trade</x:v>
      </x:c>
      <x:c r="P1152" t="str"/>
      <x:c r="Q1152" t="str"/>
      <x:c r="R1152" t="str"/>
      <x:c r="S1152" t="str">
        <x:v>Pending genuine supplier/brand image</x:v>
      </x:c>
      <x:c r="T1152" s="54"/>
      <x:c r="U1152" s="47" t="n">
        <x:v>0.2</x:v>
      </x:c>
      <x:c r="V1152" s="54" t="str">
        <x:f>IF(ISNUMBER(T1152),T1152*(1+U1152),"")</x:f>
      </x:c>
      <x:c r="W1152" s="47" t="n">
        <x:v>0.3</x:v>
      </x:c>
      <x:c r="X1152" s="54" t="str">
        <x:f>IF(ISNUMBER(V1152),V1152/(1-W1152),"")</x:f>
      </x:c>
      <x:c r="Y1152" s="55" t="str">
        <x:f>IF(ISNUMBER(X1152),ROUNDUP(X1152,0),"")</x:f>
      </x:c>
      <x:c r="Z1152" t="str">
        <x:f>IF(ISNUMBER(T1152),"Cost captured","Awaiting trade cost")</x:f>
        <x:v>Awaiting trade cost</x:v>
      </x:c>
      <x:c r="AB1152" s="36" t="str">
        <x:f>IF(ISNUMBER(Y1152),ROUND(Y1152*0.9,2),"")</x:f>
      </x:c>
      <x:c r="AC1152" s="36" t="str">
        <x:f>IF(ISNUMBER(AB1152),ROUND(AB1152-(AB1152*0.015+0.2)-V1152,2),"")</x:f>
      </x:c>
      <x:c r="AD1152" s="36" t="str">
        <x:f>IF(ISNUMBER(Y1152),ROUND(Y1152*0.8,2),"")</x:f>
      </x:c>
      <x:c r="AE1152" s="36" t="str">
        <x:f>IF(ISNUMBER(AD1152),ROUND(AD1152*0.015+0.2,2),"")</x:f>
      </x:c>
      <x:c r="AF1152" s="36" t="str">
        <x:f>IF(ISNUMBER(AD1152),ROUND(AD1152-AE1152-V1152,2),"")</x:f>
      </x:c>
      <x:c r="AG1152" t="str">
        <x:f>IF(NOT(ISNUMBER(T1152)),"PENDING",IF(AF1152&gt;0,"PASS","FAIL"))</x:f>
        <x:v>PENDING</x:v>
      </x:c>
      <x:c r="AH1152" t="str">
        <x:f>IF(NOT(ISNUMBER(T1152)),"Needs supplier cost",IF(K1152&lt;&gt;"In stock","Supplier unavailable",IF(AG1152&lt;&gt;"PASS","BLOCK - GT loss risk","Commercially protected")))</x:f>
        <x:v>Needs supplier cost</x:v>
      </x:c>
      <x:c r="AI1152" t="str">
        <x:v>2026-09-10 Active Sports trade capture</x:v>
      </x:c>
      <x:c r="AJ1152" t="str">
        <x:v>Management-only economics. Stripe stress test uses 1.5% + £0.20 standard UK online-card fee; pallet/mix-and-match pricing ignored.</x:v>
      </x:c>
    </x:row>
    <x:row r="1153">
      <x:c r="A1153" t="str">
        <x:v>Active Sports Nutrition</x:v>
      </x:c>
      <x:c r="B1153" t="str">
        <x:v>Ghost Lifestyle</x:v>
      </x:c>
      <x:c r="C1153" t="str">
        <x:v>Legend Pre Workout V4</x:v>
      </x:c>
      <x:c r="D1153" t="str">
        <x:v>Pre Workouts</x:v>
      </x:c>
      <x:c r="E1153" t="str">
        <x:v>High Stim</x:v>
      </x:c>
      <x:c r="F1153" t="str">
        <x:v>Pre-workout formula.</x:v>
      </x:c>
      <x:c r="G1153" t="str">
        <x:v>30 servings</x:v>
      </x:c>
      <x:c r="H1153" t="str">
        <x:v>Warheads Sour Watermelon</x:v>
      </x:c>
      <x:c r="I1153" t="str"/>
      <x:c r="J1153" t="str">
        <x:v>Unit</x:v>
      </x:c>
      <x:c r="K1153" t="str">
        <x:v>Out of stock</x:v>
      </x:c>
      <x:c r="L1153" t="str">
        <x:v>2026-09-08</x:v>
      </x:c>
      <x:c r="M1153" t="str"/>
      <x:c r="N1153" t="str"/>
      <x:c r="O1153" t="str">
        <x:v>https://www.activesportstrade.co.uk/ghost-lifestyle-trade</x:v>
      </x:c>
      <x:c r="P1153" t="str"/>
      <x:c r="Q1153" t="str"/>
      <x:c r="R1153" t="str"/>
      <x:c r="S1153" t="str">
        <x:v>Pending genuine supplier/brand image</x:v>
      </x:c>
      <x:c r="T1153" s="54"/>
      <x:c r="U1153" s="47" t="n">
        <x:v>0.2</x:v>
      </x:c>
      <x:c r="V1153" s="54" t="str">
        <x:f>IF(ISNUMBER(T1153),T1153*(1+U1153),"")</x:f>
      </x:c>
      <x:c r="W1153" s="47" t="n">
        <x:v>0.3</x:v>
      </x:c>
      <x:c r="X1153" s="54" t="str">
        <x:f>IF(ISNUMBER(V1153),V1153/(1-W1153),"")</x:f>
      </x:c>
      <x:c r="Y1153" s="55" t="str">
        <x:f>IF(ISNUMBER(X1153),ROUNDUP(X1153,0),"")</x:f>
      </x:c>
      <x:c r="Z1153" t="str">
        <x:f>IF(ISNUMBER(T1153),"Cost captured","Awaiting trade cost")</x:f>
        <x:v>Awaiting trade cost</x:v>
      </x:c>
      <x:c r="AB1153" s="36" t="str">
        <x:f>IF(ISNUMBER(Y1153),ROUND(Y1153*0.9,2),"")</x:f>
      </x:c>
      <x:c r="AC1153" s="36" t="str">
        <x:f>IF(ISNUMBER(AB1153),ROUND(AB1153-(AB1153*0.015+0.2)-V1153,2),"")</x:f>
      </x:c>
      <x:c r="AD1153" s="36" t="str">
        <x:f>IF(ISNUMBER(Y1153),ROUND(Y1153*0.8,2),"")</x:f>
      </x:c>
      <x:c r="AE1153" s="36" t="str">
        <x:f>IF(ISNUMBER(AD1153),ROUND(AD1153*0.015+0.2,2),"")</x:f>
      </x:c>
      <x:c r="AF1153" s="36" t="str">
        <x:f>IF(ISNUMBER(AD1153),ROUND(AD1153-AE1153-V1153,2),"")</x:f>
      </x:c>
      <x:c r="AG1153" t="str">
        <x:f>IF(NOT(ISNUMBER(T1153)),"PENDING",IF(AF1153&gt;0,"PASS","FAIL"))</x:f>
        <x:v>PENDING</x:v>
      </x:c>
      <x:c r="AH1153" t="str">
        <x:f>IF(NOT(ISNUMBER(T1153)),"Needs supplier cost",IF(K1153&lt;&gt;"In stock","Supplier unavailable",IF(AG1153&lt;&gt;"PASS","BLOCK - GT loss risk","Commercially protected")))</x:f>
        <x:v>Needs supplier cost</x:v>
      </x:c>
      <x:c r="AI1153" t="str">
        <x:v>2026-09-10 Active Sports trade capture</x:v>
      </x:c>
      <x:c r="AJ1153" t="str">
        <x:v>Management-only economics. Stripe stress test uses 1.5% + £0.20 standard UK online-card fee; pallet/mix-and-match pricing ignored.</x:v>
      </x:c>
    </x:row>
    <x:row r="1154">
      <x:c r="A1154" t="str">
        <x:v>Active Sports Nutrition</x:v>
      </x:c>
      <x:c r="B1154" t="str">
        <x:v>Ghost Lifestyle</x:v>
      </x:c>
      <x:c r="C1154" t="str">
        <x:v>Legend Pre Workout V4</x:v>
      </x:c>
      <x:c r="D1154" t="str">
        <x:v>Pre Workouts</x:v>
      </x:c>
      <x:c r="E1154" t="str">
        <x:v>High Stim</x:v>
      </x:c>
      <x:c r="F1154" t="str">
        <x:v>Pre-workout formula.</x:v>
      </x:c>
      <x:c r="G1154" t="str">
        <x:v>30 servings</x:v>
      </x:c>
      <x:c r="H1154" t="str">
        <x:v>Welchs Grape</x:v>
      </x:c>
      <x:c r="I1154" t="str"/>
      <x:c r="J1154" t="str">
        <x:v>Unit</x:v>
      </x:c>
      <x:c r="K1154" t="str">
        <x:v>In stock</x:v>
      </x:c>
      <x:c r="L1154" t="str">
        <x:v>2026-09-08</x:v>
      </x:c>
      <x:c r="M1154" t="str"/>
      <x:c r="N1154" t="str"/>
      <x:c r="O1154" t="str">
        <x:v>https://www.activesportstrade.co.uk/ghost-lifestyle-trade</x:v>
      </x:c>
      <x:c r="P1154" t="str"/>
      <x:c r="Q1154" t="str"/>
      <x:c r="R1154" t="str"/>
      <x:c r="S1154" t="str">
        <x:v>Pending genuine supplier/brand image</x:v>
      </x:c>
      <x:c r="T1154" s="54"/>
      <x:c r="U1154" s="47" t="n">
        <x:v>0.2</x:v>
      </x:c>
      <x:c r="V1154" s="54" t="str">
        <x:f>IF(ISNUMBER(T1154),T1154*(1+U1154),"")</x:f>
      </x:c>
      <x:c r="W1154" s="47" t="n">
        <x:v>0.3</x:v>
      </x:c>
      <x:c r="X1154" s="54" t="str">
        <x:f>IF(ISNUMBER(V1154),V1154/(1-W1154),"")</x:f>
      </x:c>
      <x:c r="Y1154" s="55" t="str">
        <x:f>IF(ISNUMBER(X1154),ROUNDUP(X1154,0),"")</x:f>
      </x:c>
      <x:c r="Z1154" t="str">
        <x:f>IF(ISNUMBER(T1154),"Cost captured","Awaiting trade cost")</x:f>
        <x:v>Awaiting trade cost</x:v>
      </x:c>
      <x:c r="AB1154" s="36" t="str">
        <x:f>IF(ISNUMBER(Y1154),ROUND(Y1154*0.9,2),"")</x:f>
      </x:c>
      <x:c r="AC1154" s="36" t="str">
        <x:f>IF(ISNUMBER(AB1154),ROUND(AB1154-(AB1154*0.015+0.2)-V1154,2),"")</x:f>
      </x:c>
      <x:c r="AD1154" s="36" t="str">
        <x:f>IF(ISNUMBER(Y1154),ROUND(Y1154*0.8,2),"")</x:f>
      </x:c>
      <x:c r="AE1154" s="36" t="str">
        <x:f>IF(ISNUMBER(AD1154),ROUND(AD1154*0.015+0.2,2),"")</x:f>
      </x:c>
      <x:c r="AF1154" s="36" t="str">
        <x:f>IF(ISNUMBER(AD1154),ROUND(AD1154-AE1154-V1154,2),"")</x:f>
      </x:c>
      <x:c r="AG1154" t="str">
        <x:f>IF(NOT(ISNUMBER(T1154)),"PENDING",IF(AF1154&gt;0,"PASS","FAIL"))</x:f>
        <x:v>PENDING</x:v>
      </x:c>
      <x:c r="AH1154" t="str">
        <x:f>IF(NOT(ISNUMBER(T1154)),"Needs supplier cost",IF(K1154&lt;&gt;"In stock","Supplier unavailable",IF(AG1154&lt;&gt;"PASS","BLOCK - GT loss risk","Commercially protected")))</x:f>
        <x:v>Needs supplier cost</x:v>
      </x:c>
      <x:c r="AI1154" t="str">
        <x:v>2026-09-10 Active Sports trade capture</x:v>
      </x:c>
      <x:c r="AJ1154" t="str">
        <x:v>Management-only economics. Stripe stress test uses 1.5% + £0.20 standard UK online-card fee; pallet/mix-and-match pricing ignored.</x:v>
      </x:c>
    </x:row>
    <x:row r="1155">
      <x:c r="A1155" t="str">
        <x:v>Active Sports Nutrition</x:v>
      </x:c>
      <x:c r="B1155" t="str">
        <x:v>Ghost Lifestyle</x:v>
      </x:c>
      <x:c r="C1155" t="str">
        <x:v>Pump V2</x:v>
      </x:c>
      <x:c r="D1155" t="str">
        <x:v>Pre Workouts</x:v>
      </x:c>
      <x:c r="E1155" t="str">
        <x:v>Stim FREE</x:v>
      </x:c>
      <x:c r="F1155" t="str">
        <x:v>Stim-free pump pre-workout.</x:v>
      </x:c>
      <x:c r="G1155" t="str">
        <x:v>40 servings</x:v>
      </x:c>
      <x:c r="H1155" t="str">
        <x:v>Natty - Unflavoured</x:v>
      </x:c>
      <x:c r="I1155" t="str"/>
      <x:c r="J1155" t="str">
        <x:v>Unit</x:v>
      </x:c>
      <x:c r="K1155" t="str">
        <x:v>In stock</x:v>
      </x:c>
      <x:c r="L1155" t="str">
        <x:v>2026-09-08</x:v>
      </x:c>
      <x:c r="M1155" t="str"/>
      <x:c r="N1155" t="str"/>
      <x:c r="O1155" t="str">
        <x:v>https://www.activesportstrade.co.uk/ghost-lifestyle-trade</x:v>
      </x:c>
      <x:c r="P1155" t="str">
        <x:v>Current brand page used; older pre-workout page disagreed on Warheads Sour Watermelon.</x:v>
      </x:c>
      <x:c r="Q1155" t="str"/>
      <x:c r="R1155" t="str"/>
      <x:c r="S1155" t="str">
        <x:v>Pending genuine supplier/brand image</x:v>
      </x:c>
      <x:c r="T1155" s="54"/>
      <x:c r="U1155" s="47" t="n">
        <x:v>0.2</x:v>
      </x:c>
      <x:c r="V1155" s="54" t="str">
        <x:f>IF(ISNUMBER(T1155),T1155*(1+U1155),"")</x:f>
      </x:c>
      <x:c r="W1155" s="47" t="n">
        <x:v>0.3</x:v>
      </x:c>
      <x:c r="X1155" s="54" t="str">
        <x:f>IF(ISNUMBER(V1155),V1155/(1-W1155),"")</x:f>
      </x:c>
      <x:c r="Y1155" s="55" t="str">
        <x:f>IF(ISNUMBER(X1155),ROUNDUP(X1155,0),"")</x:f>
      </x:c>
      <x:c r="Z1155" t="str">
        <x:f>IF(ISNUMBER(T1155),"Cost captured","Awaiting trade cost")</x:f>
        <x:v>Awaiting trade cost</x:v>
      </x:c>
      <x:c r="AB1155" s="36" t="str">
        <x:f>IF(ISNUMBER(Y1155),ROUND(Y1155*0.9,2),"")</x:f>
      </x:c>
      <x:c r="AC1155" s="36" t="str">
        <x:f>IF(ISNUMBER(AB1155),ROUND(AB1155-(AB1155*0.015+0.2)-V1155,2),"")</x:f>
      </x:c>
      <x:c r="AD1155" s="36" t="str">
        <x:f>IF(ISNUMBER(Y1155),ROUND(Y1155*0.8,2),"")</x:f>
      </x:c>
      <x:c r="AE1155" s="36" t="str">
        <x:f>IF(ISNUMBER(AD1155),ROUND(AD1155*0.015+0.2,2),"")</x:f>
      </x:c>
      <x:c r="AF1155" s="36" t="str">
        <x:f>IF(ISNUMBER(AD1155),ROUND(AD1155-AE1155-V1155,2),"")</x:f>
      </x:c>
      <x:c r="AG1155" t="str">
        <x:f>IF(NOT(ISNUMBER(T1155)),"PENDING",IF(AF1155&gt;0,"PASS","FAIL"))</x:f>
        <x:v>PENDING</x:v>
      </x:c>
      <x:c r="AH1155" t="str">
        <x:f>IF(NOT(ISNUMBER(T1155)),"Needs supplier cost",IF(K1155&lt;&gt;"In stock","Supplier unavailable",IF(AG1155&lt;&gt;"PASS","BLOCK - GT loss risk","Commercially protected")))</x:f>
        <x:v>Needs supplier cost</x:v>
      </x:c>
      <x:c r="AI1155" t="str">
        <x:v>2026-09-10 Active Sports trade capture</x:v>
      </x:c>
      <x:c r="AJ1155" t="str">
        <x:v>Management-only economics. Stripe stress test uses 1.5% + £0.20 standard UK online-card fee; pallet/mix-and-match pricing ignored.</x:v>
      </x:c>
    </x:row>
    <x:row r="1156">
      <x:c r="A1156" t="str">
        <x:v>Active Sports Nutrition</x:v>
      </x:c>
      <x:c r="B1156" t="str">
        <x:v>Ghost Lifestyle</x:v>
      </x:c>
      <x:c r="C1156" t="str">
        <x:v>Pump V2</x:v>
      </x:c>
      <x:c r="D1156" t="str">
        <x:v>Pre Workouts</x:v>
      </x:c>
      <x:c r="E1156" t="str">
        <x:v>Stim FREE</x:v>
      </x:c>
      <x:c r="F1156" t="str">
        <x:v>Stim-free pump pre-workout.</x:v>
      </x:c>
      <x:c r="G1156" t="str">
        <x:v>40 servings</x:v>
      </x:c>
      <x:c r="H1156" t="str">
        <x:v>Passionfruit</x:v>
      </x:c>
      <x:c r="I1156" t="str"/>
      <x:c r="J1156" t="str">
        <x:v>Unit</x:v>
      </x:c>
      <x:c r="K1156" t="str">
        <x:v>In stock</x:v>
      </x:c>
      <x:c r="L1156" t="str">
        <x:v>2026-09-08</x:v>
      </x:c>
      <x:c r="M1156" t="str"/>
      <x:c r="N1156" t="str"/>
      <x:c r="O1156" t="str">
        <x:v>https://www.activesportstrade.co.uk/ghost-lifestyle-trade</x:v>
      </x:c>
      <x:c r="P1156" t="str">
        <x:v>Current brand page used; older pre-workout page disagreed on Warheads Sour Watermelon.</x:v>
      </x:c>
      <x:c r="Q1156" t="str"/>
      <x:c r="R1156" t="str"/>
      <x:c r="S1156" t="str">
        <x:v>Pending genuine supplier/brand image</x:v>
      </x:c>
      <x:c r="T1156" s="54"/>
      <x:c r="U1156" s="47" t="n">
        <x:v>0.2</x:v>
      </x:c>
      <x:c r="V1156" s="54" t="str">
        <x:f>IF(ISNUMBER(T1156),T1156*(1+U1156),"")</x:f>
      </x:c>
      <x:c r="W1156" s="47" t="n">
        <x:v>0.3</x:v>
      </x:c>
      <x:c r="X1156" s="54" t="str">
        <x:f>IF(ISNUMBER(V1156),V1156/(1-W1156),"")</x:f>
      </x:c>
      <x:c r="Y1156" s="55" t="str">
        <x:f>IF(ISNUMBER(X1156),ROUNDUP(X1156,0),"")</x:f>
      </x:c>
      <x:c r="Z1156" t="str">
        <x:f>IF(ISNUMBER(T1156),"Cost captured","Awaiting trade cost")</x:f>
        <x:v>Awaiting trade cost</x:v>
      </x:c>
      <x:c r="AB1156" s="36" t="str">
        <x:f>IF(ISNUMBER(Y1156),ROUND(Y1156*0.9,2),"")</x:f>
      </x:c>
      <x:c r="AC1156" s="36" t="str">
        <x:f>IF(ISNUMBER(AB1156),ROUND(AB1156-(AB1156*0.015+0.2)-V1156,2),"")</x:f>
      </x:c>
      <x:c r="AD1156" s="36" t="str">
        <x:f>IF(ISNUMBER(Y1156),ROUND(Y1156*0.8,2),"")</x:f>
      </x:c>
      <x:c r="AE1156" s="36" t="str">
        <x:f>IF(ISNUMBER(AD1156),ROUND(AD1156*0.015+0.2,2),"")</x:f>
      </x:c>
      <x:c r="AF1156" s="36" t="str">
        <x:f>IF(ISNUMBER(AD1156),ROUND(AD1156-AE1156-V1156,2),"")</x:f>
      </x:c>
      <x:c r="AG1156" t="str">
        <x:f>IF(NOT(ISNUMBER(T1156)),"PENDING",IF(AF1156&gt;0,"PASS","FAIL"))</x:f>
        <x:v>PENDING</x:v>
      </x:c>
      <x:c r="AH1156" t="str">
        <x:f>IF(NOT(ISNUMBER(T1156)),"Needs supplier cost",IF(K1156&lt;&gt;"In stock","Supplier unavailable",IF(AG1156&lt;&gt;"PASS","BLOCK - GT loss risk","Commercially protected")))</x:f>
        <x:v>Needs supplier cost</x:v>
      </x:c>
      <x:c r="AI1156" t="str">
        <x:v>2026-09-10 Active Sports trade capture</x:v>
      </x:c>
      <x:c r="AJ1156" t="str">
        <x:v>Management-only economics. Stripe stress test uses 1.5% + £0.20 standard UK online-card fee; pallet/mix-and-match pricing ignored.</x:v>
      </x:c>
    </x:row>
    <x:row r="1157">
      <x:c r="A1157" t="str">
        <x:v>Active Sports Nutrition</x:v>
      </x:c>
      <x:c r="B1157" t="str">
        <x:v>Ghost Lifestyle</x:v>
      </x:c>
      <x:c r="C1157" t="str">
        <x:v>Pump V2</x:v>
      </x:c>
      <x:c r="D1157" t="str">
        <x:v>Pre Workouts</x:v>
      </x:c>
      <x:c r="E1157" t="str">
        <x:v>Stim FREE</x:v>
      </x:c>
      <x:c r="F1157" t="str">
        <x:v>Stim-free pump pre-workout.</x:v>
      </x:c>
      <x:c r="G1157" t="str">
        <x:v>40 servings</x:v>
      </x:c>
      <x:c r="H1157" t="str">
        <x:v>Peach</x:v>
      </x:c>
      <x:c r="I1157" t="str"/>
      <x:c r="J1157" t="str">
        <x:v>Unit</x:v>
      </x:c>
      <x:c r="K1157" t="str">
        <x:v>Out of stock</x:v>
      </x:c>
      <x:c r="L1157" t="str">
        <x:v>2026-09-08</x:v>
      </x:c>
      <x:c r="M1157" t="str"/>
      <x:c r="N1157" t="str"/>
      <x:c r="O1157" t="str">
        <x:v>https://www.activesportstrade.co.uk/ghost-lifestyle-trade</x:v>
      </x:c>
      <x:c r="P1157" t="str">
        <x:v>Current brand page used; older pre-workout page disagreed on Warheads Sour Watermelon.</x:v>
      </x:c>
      <x:c r="Q1157" t="str"/>
      <x:c r="R1157" t="str"/>
      <x:c r="S1157" t="str">
        <x:v>Pending genuine supplier/brand image</x:v>
      </x:c>
      <x:c r="T1157" s="54"/>
      <x:c r="U1157" s="47" t="n">
        <x:v>0.2</x:v>
      </x:c>
      <x:c r="V1157" s="54" t="str">
        <x:f>IF(ISNUMBER(T1157),T1157*(1+U1157),"")</x:f>
      </x:c>
      <x:c r="W1157" s="47" t="n">
        <x:v>0.3</x:v>
      </x:c>
      <x:c r="X1157" s="54" t="str">
        <x:f>IF(ISNUMBER(V1157),V1157/(1-W1157),"")</x:f>
      </x:c>
      <x:c r="Y1157" s="55" t="str">
        <x:f>IF(ISNUMBER(X1157),ROUNDUP(X1157,0),"")</x:f>
      </x:c>
      <x:c r="Z1157" t="str">
        <x:f>IF(ISNUMBER(T1157),"Cost captured","Awaiting trade cost")</x:f>
        <x:v>Awaiting trade cost</x:v>
      </x:c>
      <x:c r="AB1157" s="36" t="str">
        <x:f>IF(ISNUMBER(Y1157),ROUND(Y1157*0.9,2),"")</x:f>
      </x:c>
      <x:c r="AC1157" s="36" t="str">
        <x:f>IF(ISNUMBER(AB1157),ROUND(AB1157-(AB1157*0.015+0.2)-V1157,2),"")</x:f>
      </x:c>
      <x:c r="AD1157" s="36" t="str">
        <x:f>IF(ISNUMBER(Y1157),ROUND(Y1157*0.8,2),"")</x:f>
      </x:c>
      <x:c r="AE1157" s="36" t="str">
        <x:f>IF(ISNUMBER(AD1157),ROUND(AD1157*0.015+0.2,2),"")</x:f>
      </x:c>
      <x:c r="AF1157" s="36" t="str">
        <x:f>IF(ISNUMBER(AD1157),ROUND(AD1157-AE1157-V1157,2),"")</x:f>
      </x:c>
      <x:c r="AG1157" t="str">
        <x:f>IF(NOT(ISNUMBER(T1157)),"PENDING",IF(AF1157&gt;0,"PASS","FAIL"))</x:f>
        <x:v>PENDING</x:v>
      </x:c>
      <x:c r="AH1157" t="str">
        <x:f>IF(NOT(ISNUMBER(T1157)),"Needs supplier cost",IF(K1157&lt;&gt;"In stock","Supplier unavailable",IF(AG1157&lt;&gt;"PASS","BLOCK - GT loss risk","Commercially protected")))</x:f>
        <x:v>Needs supplier cost</x:v>
      </x:c>
      <x:c r="AI1157" t="str">
        <x:v>2026-09-10 Active Sports trade capture</x:v>
      </x:c>
      <x:c r="AJ1157" t="str">
        <x:v>Management-only economics. Stripe stress test uses 1.5% + £0.20 standard UK online-card fee; pallet/mix-and-match pricing ignored.</x:v>
      </x:c>
    </x:row>
    <x:row r="1158">
      <x:c r="A1158" t="str">
        <x:v>Active Sports Nutrition</x:v>
      </x:c>
      <x:c r="B1158" t="str">
        <x:v>Ghost Lifestyle</x:v>
      </x:c>
      <x:c r="C1158" t="str">
        <x:v>Pump V2</x:v>
      </x:c>
      <x:c r="D1158" t="str">
        <x:v>Pre Workouts</x:v>
      </x:c>
      <x:c r="E1158" t="str">
        <x:v>Stim FREE</x:v>
      </x:c>
      <x:c r="F1158" t="str">
        <x:v>Stim-free pump pre-workout.</x:v>
      </x:c>
      <x:c r="G1158" t="str">
        <x:v>40 servings</x:v>
      </x:c>
      <x:c r="H1158" t="str">
        <x:v>Pineapple</x:v>
      </x:c>
      <x:c r="I1158" t="str"/>
      <x:c r="J1158" t="str">
        <x:v>Unit</x:v>
      </x:c>
      <x:c r="K1158" t="str">
        <x:v>Out of stock</x:v>
      </x:c>
      <x:c r="L1158" t="str">
        <x:v>2026-09-08</x:v>
      </x:c>
      <x:c r="M1158" t="str"/>
      <x:c r="N1158" t="str"/>
      <x:c r="O1158" t="str">
        <x:v>https://www.activesportstrade.co.uk/ghost-lifestyle-trade</x:v>
      </x:c>
      <x:c r="P1158" t="str">
        <x:v>Current brand page used; older pre-workout page disagreed on Warheads Sour Watermelon.</x:v>
      </x:c>
      <x:c r="Q1158" t="str"/>
      <x:c r="R1158" t="str"/>
      <x:c r="S1158" t="str">
        <x:v>Pending genuine supplier/brand image</x:v>
      </x:c>
      <x:c r="T1158" s="54"/>
      <x:c r="U1158" s="47" t="n">
        <x:v>0.2</x:v>
      </x:c>
      <x:c r="V1158" s="54" t="str">
        <x:f>IF(ISNUMBER(T1158),T1158*(1+U1158),"")</x:f>
      </x:c>
      <x:c r="W1158" s="47" t="n">
        <x:v>0.3</x:v>
      </x:c>
      <x:c r="X1158" s="54" t="str">
        <x:f>IF(ISNUMBER(V1158),V1158/(1-W1158),"")</x:f>
      </x:c>
      <x:c r="Y1158" s="55" t="str">
        <x:f>IF(ISNUMBER(X1158),ROUNDUP(X1158,0),"")</x:f>
      </x:c>
      <x:c r="Z1158" t="str">
        <x:f>IF(ISNUMBER(T1158),"Cost captured","Awaiting trade cost")</x:f>
        <x:v>Awaiting trade cost</x:v>
      </x:c>
      <x:c r="AB1158" s="36" t="str">
        <x:f>IF(ISNUMBER(Y1158),ROUND(Y1158*0.9,2),"")</x:f>
      </x:c>
      <x:c r="AC1158" s="36" t="str">
        <x:f>IF(ISNUMBER(AB1158),ROUND(AB1158-(AB1158*0.015+0.2)-V1158,2),"")</x:f>
      </x:c>
      <x:c r="AD1158" s="36" t="str">
        <x:f>IF(ISNUMBER(Y1158),ROUND(Y1158*0.8,2),"")</x:f>
      </x:c>
      <x:c r="AE1158" s="36" t="str">
        <x:f>IF(ISNUMBER(AD1158),ROUND(AD1158*0.015+0.2,2),"")</x:f>
      </x:c>
      <x:c r="AF1158" s="36" t="str">
        <x:f>IF(ISNUMBER(AD1158),ROUND(AD1158-AE1158-V1158,2),"")</x:f>
      </x:c>
      <x:c r="AG1158" t="str">
        <x:f>IF(NOT(ISNUMBER(T1158)),"PENDING",IF(AF1158&gt;0,"PASS","FAIL"))</x:f>
        <x:v>PENDING</x:v>
      </x:c>
      <x:c r="AH1158" t="str">
        <x:f>IF(NOT(ISNUMBER(T1158)),"Needs supplier cost",IF(K1158&lt;&gt;"In stock","Supplier unavailable",IF(AG1158&lt;&gt;"PASS","BLOCK - GT loss risk","Commercially protected")))</x:f>
        <x:v>Needs supplier cost</x:v>
      </x:c>
      <x:c r="AI1158" t="str">
        <x:v>2026-09-10 Active Sports trade capture</x:v>
      </x:c>
      <x:c r="AJ1158" t="str">
        <x:v>Management-only economics. Stripe stress test uses 1.5% + £0.20 standard UK online-card fee; pallet/mix-and-match pricing ignored.</x:v>
      </x:c>
    </x:row>
    <x:row r="1159">
      <x:c r="A1159" t="str">
        <x:v>Active Sports Nutrition</x:v>
      </x:c>
      <x:c r="B1159" t="str">
        <x:v>Ghost Lifestyle</x:v>
      </x:c>
      <x:c r="C1159" t="str">
        <x:v>Pump V2</x:v>
      </x:c>
      <x:c r="D1159" t="str">
        <x:v>Pre Workouts</x:v>
      </x:c>
      <x:c r="E1159" t="str">
        <x:v>Stim FREE</x:v>
      </x:c>
      <x:c r="F1159" t="str">
        <x:v>Stim-free pump pre-workout.</x:v>
      </x:c>
      <x:c r="G1159" t="str">
        <x:v>40 servings</x:v>
      </x:c>
      <x:c r="H1159" t="str">
        <x:v>Sour Strips Rainbow Candy</x:v>
      </x:c>
      <x:c r="I1159" t="str"/>
      <x:c r="J1159" t="str">
        <x:v>Unit</x:v>
      </x:c>
      <x:c r="K1159" t="str">
        <x:v>Out of stock</x:v>
      </x:c>
      <x:c r="L1159" t="str">
        <x:v>2026-09-08</x:v>
      </x:c>
      <x:c r="M1159" t="str"/>
      <x:c r="N1159" t="str"/>
      <x:c r="O1159" t="str">
        <x:v>https://www.activesportstrade.co.uk/ghost-lifestyle-trade</x:v>
      </x:c>
      <x:c r="P1159" t="str">
        <x:v>Current brand page used; older pre-workout page disagreed on Warheads Sour Watermelon.</x:v>
      </x:c>
      <x:c r="Q1159" t="str"/>
      <x:c r="R1159" t="str"/>
      <x:c r="S1159" t="str">
        <x:v>Pending genuine supplier/brand image</x:v>
      </x:c>
      <x:c r="T1159" s="54"/>
      <x:c r="U1159" s="47" t="n">
        <x:v>0.2</x:v>
      </x:c>
      <x:c r="V1159" s="54" t="str">
        <x:f>IF(ISNUMBER(T1159),T1159*(1+U1159),"")</x:f>
      </x:c>
      <x:c r="W1159" s="47" t="n">
        <x:v>0.3</x:v>
      </x:c>
      <x:c r="X1159" s="54" t="str">
        <x:f>IF(ISNUMBER(V1159),V1159/(1-W1159),"")</x:f>
      </x:c>
      <x:c r="Y1159" s="55" t="str">
        <x:f>IF(ISNUMBER(X1159),ROUNDUP(X1159,0),"")</x:f>
      </x:c>
      <x:c r="Z1159" t="str">
        <x:f>IF(ISNUMBER(T1159),"Cost captured","Awaiting trade cost")</x:f>
        <x:v>Awaiting trade cost</x:v>
      </x:c>
      <x:c r="AB1159" s="36" t="str">
        <x:f>IF(ISNUMBER(Y1159),ROUND(Y1159*0.9,2),"")</x:f>
      </x:c>
      <x:c r="AC1159" s="36" t="str">
        <x:f>IF(ISNUMBER(AB1159),ROUND(AB1159-(AB1159*0.015+0.2)-V1159,2),"")</x:f>
      </x:c>
      <x:c r="AD1159" s="36" t="str">
        <x:f>IF(ISNUMBER(Y1159),ROUND(Y1159*0.8,2),"")</x:f>
      </x:c>
      <x:c r="AE1159" s="36" t="str">
        <x:f>IF(ISNUMBER(AD1159),ROUND(AD1159*0.015+0.2,2),"")</x:f>
      </x:c>
      <x:c r="AF1159" s="36" t="str">
        <x:f>IF(ISNUMBER(AD1159),ROUND(AD1159-AE1159-V1159,2),"")</x:f>
      </x:c>
      <x:c r="AG1159" t="str">
        <x:f>IF(NOT(ISNUMBER(T1159)),"PENDING",IF(AF1159&gt;0,"PASS","FAIL"))</x:f>
        <x:v>PENDING</x:v>
      </x:c>
      <x:c r="AH1159" t="str">
        <x:f>IF(NOT(ISNUMBER(T1159)),"Needs supplier cost",IF(K1159&lt;&gt;"In stock","Supplier unavailable",IF(AG1159&lt;&gt;"PASS","BLOCK - GT loss risk","Commercially protected")))</x:f>
        <x:v>Needs supplier cost</x:v>
      </x:c>
      <x:c r="AI1159" t="str">
        <x:v>2026-09-10 Active Sports trade capture</x:v>
      </x:c>
      <x:c r="AJ1159" t="str">
        <x:v>Management-only economics. Stripe stress test uses 1.5% + £0.20 standard UK online-card fee; pallet/mix-and-match pricing ignored.</x:v>
      </x:c>
    </x:row>
    <x:row r="1160">
      <x:c r="A1160" t="str">
        <x:v>Active Sports Nutrition</x:v>
      </x:c>
      <x:c r="B1160" t="str">
        <x:v>Ghost Lifestyle</x:v>
      </x:c>
      <x:c r="C1160" t="str">
        <x:v>Pump V2</x:v>
      </x:c>
      <x:c r="D1160" t="str">
        <x:v>Pre Workouts</x:v>
      </x:c>
      <x:c r="E1160" t="str">
        <x:v>Stim FREE</x:v>
      </x:c>
      <x:c r="F1160" t="str">
        <x:v>Stim-free pump pre-workout.</x:v>
      </x:c>
      <x:c r="G1160" t="str">
        <x:v>40 servings</x:v>
      </x:c>
      <x:c r="H1160" t="str">
        <x:v>Warheads Sour Watermelon</x:v>
      </x:c>
      <x:c r="I1160" t="str"/>
      <x:c r="J1160" t="str">
        <x:v>Unit</x:v>
      </x:c>
      <x:c r="K1160" t="str">
        <x:v>Out of stock</x:v>
      </x:c>
      <x:c r="L1160" t="str">
        <x:v>2026-09-08</x:v>
      </x:c>
      <x:c r="M1160" t="str"/>
      <x:c r="N1160" t="str"/>
      <x:c r="O1160" t="str">
        <x:v>https://www.activesportstrade.co.uk/ghost-lifestyle-trade</x:v>
      </x:c>
      <x:c r="P1160" t="str">
        <x:v>Current brand page used; older pre-workout page disagreed on Warheads Sour Watermelon.</x:v>
      </x:c>
      <x:c r="Q1160" t="str"/>
      <x:c r="R1160" t="str"/>
      <x:c r="S1160" t="str">
        <x:v>Pending genuine supplier/brand image</x:v>
      </x:c>
      <x:c r="T1160" s="54"/>
      <x:c r="U1160" s="47" t="n">
        <x:v>0.2</x:v>
      </x:c>
      <x:c r="V1160" s="54" t="str">
        <x:f>IF(ISNUMBER(T1160),T1160*(1+U1160),"")</x:f>
      </x:c>
      <x:c r="W1160" s="47" t="n">
        <x:v>0.3</x:v>
      </x:c>
      <x:c r="X1160" s="54" t="str">
        <x:f>IF(ISNUMBER(V1160),V1160/(1-W1160),"")</x:f>
      </x:c>
      <x:c r="Y1160" s="55" t="str">
        <x:f>IF(ISNUMBER(X1160),ROUNDUP(X1160,0),"")</x:f>
      </x:c>
      <x:c r="Z1160" t="str">
        <x:f>IF(ISNUMBER(T1160),"Cost captured","Awaiting trade cost")</x:f>
        <x:v>Awaiting trade cost</x:v>
      </x:c>
      <x:c r="AB1160" s="36" t="str">
        <x:f>IF(ISNUMBER(Y1160),ROUND(Y1160*0.9,2),"")</x:f>
      </x:c>
      <x:c r="AC1160" s="36" t="str">
        <x:f>IF(ISNUMBER(AB1160),ROUND(AB1160-(AB1160*0.015+0.2)-V1160,2),"")</x:f>
      </x:c>
      <x:c r="AD1160" s="36" t="str">
        <x:f>IF(ISNUMBER(Y1160),ROUND(Y1160*0.8,2),"")</x:f>
      </x:c>
      <x:c r="AE1160" s="36" t="str">
        <x:f>IF(ISNUMBER(AD1160),ROUND(AD1160*0.015+0.2,2),"")</x:f>
      </x:c>
      <x:c r="AF1160" s="36" t="str">
        <x:f>IF(ISNUMBER(AD1160),ROUND(AD1160-AE1160-V1160,2),"")</x:f>
      </x:c>
      <x:c r="AG1160" t="str">
        <x:f>IF(NOT(ISNUMBER(T1160)),"PENDING",IF(AF1160&gt;0,"PASS","FAIL"))</x:f>
        <x:v>PENDING</x:v>
      </x:c>
      <x:c r="AH1160" t="str">
        <x:f>IF(NOT(ISNUMBER(T1160)),"Needs supplier cost",IF(K1160&lt;&gt;"In stock","Supplier unavailable",IF(AG1160&lt;&gt;"PASS","BLOCK - GT loss risk","Commercially protected")))</x:f>
        <x:v>Needs supplier cost</x:v>
      </x:c>
      <x:c r="AI1160" t="str">
        <x:v>2026-09-10 Active Sports trade capture</x:v>
      </x:c>
      <x:c r="AJ1160" t="str">
        <x:v>Management-only economics. Stripe stress test uses 1.5% + £0.20 standard UK online-card fee; pallet/mix-and-match pricing ignored.</x:v>
      </x:c>
    </x:row>
    <x:row r="1161">
      <x:c r="A1161" t="str">
        <x:v>Active Sports Nutrition</x:v>
      </x:c>
      <x:c r="B1161" t="str">
        <x:v>Ghost Lifestyle</x:v>
      </x:c>
      <x:c r="C1161" t="str">
        <x:v>Size V3</x:v>
      </x:c>
      <x:c r="D1161" t="str">
        <x:v>Supplements</x:v>
      </x:c>
      <x:c r="E1161" t="str">
        <x:v>Creatine Powders</x:v>
      </x:c>
      <x:c r="F1161" t="str">
        <x:v>Creatine-based muscle-building formula.</x:v>
      </x:c>
      <x:c r="G1161" t="str">
        <x:v>30 servings</x:v>
      </x:c>
      <x:c r="H1161" t="str">
        <x:v>Cherry Limeade</x:v>
      </x:c>
      <x:c r="I1161" t="str"/>
      <x:c r="J1161" t="str">
        <x:v>Unit</x:v>
      </x:c>
      <x:c r="K1161" t="str">
        <x:v>In stock</x:v>
      </x:c>
      <x:c r="L1161" t="str">
        <x:v>2026-09-08</x:v>
      </x:c>
      <x:c r="M1161" t="str"/>
      <x:c r="N1161" t="str"/>
      <x:c r="O1161" t="str">
        <x:v>https://www.activesportstrade.co.uk/ghost-lifestyle-trade</x:v>
      </x:c>
      <x:c r="P1161" t="str"/>
      <x:c r="Q1161" t="str"/>
      <x:c r="R1161" t="str"/>
      <x:c r="S1161" t="str">
        <x:v>Pending genuine supplier/brand image</x:v>
      </x:c>
      <x:c r="T1161" s="54"/>
      <x:c r="U1161" s="47" t="n">
        <x:v>0.2</x:v>
      </x:c>
      <x:c r="V1161" s="54" t="str">
        <x:f>IF(ISNUMBER(T1161),T1161*(1+U1161),"")</x:f>
      </x:c>
      <x:c r="W1161" s="47" t="n">
        <x:v>0.3</x:v>
      </x:c>
      <x:c r="X1161" s="54" t="str">
        <x:f>IF(ISNUMBER(V1161),V1161/(1-W1161),"")</x:f>
      </x:c>
      <x:c r="Y1161" s="55" t="str">
        <x:f>IF(ISNUMBER(X1161),ROUNDUP(X1161,0),"")</x:f>
      </x:c>
      <x:c r="Z1161" t="str">
        <x:f>IF(ISNUMBER(T1161),"Cost captured","Awaiting trade cost")</x:f>
        <x:v>Awaiting trade cost</x:v>
      </x:c>
      <x:c r="AB1161" s="36" t="str">
        <x:f>IF(ISNUMBER(Y1161),ROUND(Y1161*0.9,2),"")</x:f>
      </x:c>
      <x:c r="AC1161" s="36" t="str">
        <x:f>IF(ISNUMBER(AB1161),ROUND(AB1161-(AB1161*0.015+0.2)-V1161,2),"")</x:f>
      </x:c>
      <x:c r="AD1161" s="36" t="str">
        <x:f>IF(ISNUMBER(Y1161),ROUND(Y1161*0.8,2),"")</x:f>
      </x:c>
      <x:c r="AE1161" s="36" t="str">
        <x:f>IF(ISNUMBER(AD1161),ROUND(AD1161*0.015+0.2,2),"")</x:f>
      </x:c>
      <x:c r="AF1161" s="36" t="str">
        <x:f>IF(ISNUMBER(AD1161),ROUND(AD1161-AE1161-V1161,2),"")</x:f>
      </x:c>
      <x:c r="AG1161" t="str">
        <x:f>IF(NOT(ISNUMBER(T1161)),"PENDING",IF(AF1161&gt;0,"PASS","FAIL"))</x:f>
        <x:v>PENDING</x:v>
      </x:c>
      <x:c r="AH1161" t="str">
        <x:f>IF(NOT(ISNUMBER(T1161)),"Needs supplier cost",IF(K1161&lt;&gt;"In stock","Supplier unavailable",IF(AG1161&lt;&gt;"PASS","BLOCK - GT loss risk","Commercially protected")))</x:f>
        <x:v>Needs supplier cost</x:v>
      </x:c>
      <x:c r="AI1161" t="str">
        <x:v>2026-09-10 Active Sports trade capture</x:v>
      </x:c>
      <x:c r="AJ1161" t="str">
        <x:v>Management-only economics. Stripe stress test uses 1.5% + £0.20 standard UK online-card fee; pallet/mix-and-match pricing ignored.</x:v>
      </x:c>
    </x:row>
    <x:row r="1162">
      <x:c r="A1162" t="str">
        <x:v>Active Sports Nutrition</x:v>
      </x:c>
      <x:c r="B1162" t="str">
        <x:v>Ghost Lifestyle</x:v>
      </x:c>
      <x:c r="C1162" t="str">
        <x:v>Size V3</x:v>
      </x:c>
      <x:c r="D1162" t="str">
        <x:v>Supplements</x:v>
      </x:c>
      <x:c r="E1162" t="str">
        <x:v>Creatine Powders</x:v>
      </x:c>
      <x:c r="F1162" t="str">
        <x:v>Creatine-based muscle-building formula.</x:v>
      </x:c>
      <x:c r="G1162" t="str">
        <x:v>30 servings</x:v>
      </x:c>
      <x:c r="H1162" t="str">
        <x:v>Natty</x:v>
      </x:c>
      <x:c r="I1162" t="str"/>
      <x:c r="J1162" t="str">
        <x:v>Unit</x:v>
      </x:c>
      <x:c r="K1162" t="str">
        <x:v>In stock</x:v>
      </x:c>
      <x:c r="L1162" t="str">
        <x:v>2026-09-08</x:v>
      </x:c>
      <x:c r="M1162" t="str"/>
      <x:c r="N1162" t="str"/>
      <x:c r="O1162" t="str">
        <x:v>https://www.activesportstrade.co.uk/ghost-lifestyle-trade</x:v>
      </x:c>
      <x:c r="P1162" t="str"/>
      <x:c r="Q1162" t="str"/>
      <x:c r="R1162" t="str"/>
      <x:c r="S1162" t="str">
        <x:v>Pending genuine supplier/brand image</x:v>
      </x:c>
      <x:c r="T1162" s="54"/>
      <x:c r="U1162" s="47" t="n">
        <x:v>0.2</x:v>
      </x:c>
      <x:c r="V1162" s="54" t="str">
        <x:f>IF(ISNUMBER(T1162),T1162*(1+U1162),"")</x:f>
      </x:c>
      <x:c r="W1162" s="47" t="n">
        <x:v>0.3</x:v>
      </x:c>
      <x:c r="X1162" s="54" t="str">
        <x:f>IF(ISNUMBER(V1162),V1162/(1-W1162),"")</x:f>
      </x:c>
      <x:c r="Y1162" s="55" t="str">
        <x:f>IF(ISNUMBER(X1162),ROUNDUP(X1162,0),"")</x:f>
      </x:c>
      <x:c r="Z1162" t="str">
        <x:f>IF(ISNUMBER(T1162),"Cost captured","Awaiting trade cost")</x:f>
        <x:v>Awaiting trade cost</x:v>
      </x:c>
      <x:c r="AB1162" s="36" t="str">
        <x:f>IF(ISNUMBER(Y1162),ROUND(Y1162*0.9,2),"")</x:f>
      </x:c>
      <x:c r="AC1162" s="36" t="str">
        <x:f>IF(ISNUMBER(AB1162),ROUND(AB1162-(AB1162*0.015+0.2)-V1162,2),"")</x:f>
      </x:c>
      <x:c r="AD1162" s="36" t="str">
        <x:f>IF(ISNUMBER(Y1162),ROUND(Y1162*0.8,2),"")</x:f>
      </x:c>
      <x:c r="AE1162" s="36" t="str">
        <x:f>IF(ISNUMBER(AD1162),ROUND(AD1162*0.015+0.2,2),"")</x:f>
      </x:c>
      <x:c r="AF1162" s="36" t="str">
        <x:f>IF(ISNUMBER(AD1162),ROUND(AD1162-AE1162-V1162,2),"")</x:f>
      </x:c>
      <x:c r="AG1162" t="str">
        <x:f>IF(NOT(ISNUMBER(T1162)),"PENDING",IF(AF1162&gt;0,"PASS","FAIL"))</x:f>
        <x:v>PENDING</x:v>
      </x:c>
      <x:c r="AH1162" t="str">
        <x:f>IF(NOT(ISNUMBER(T1162)),"Needs supplier cost",IF(K1162&lt;&gt;"In stock","Supplier unavailable",IF(AG1162&lt;&gt;"PASS","BLOCK - GT loss risk","Commercially protected")))</x:f>
        <x:v>Needs supplier cost</x:v>
      </x:c>
      <x:c r="AI1162" t="str">
        <x:v>2026-09-10 Active Sports trade capture</x:v>
      </x:c>
      <x:c r="AJ1162" t="str">
        <x:v>Management-only economics. Stripe stress test uses 1.5% + £0.20 standard UK online-card fee; pallet/mix-and-match pricing ignored.</x:v>
      </x:c>
    </x:row>
    <x:row r="1163">
      <x:c r="A1163" t="str">
        <x:v>Active Sports Nutrition</x:v>
      </x:c>
      <x:c r="B1163" t="str">
        <x:v>Ghost Lifestyle</x:v>
      </x:c>
      <x:c r="C1163" t="str">
        <x:v>Size V3</x:v>
      </x:c>
      <x:c r="D1163" t="str">
        <x:v>Supplements</x:v>
      </x:c>
      <x:c r="E1163" t="str">
        <x:v>Creatine Powders</x:v>
      </x:c>
      <x:c r="F1163" t="str">
        <x:v>Creatine-based muscle-building formula.</x:v>
      </x:c>
      <x:c r="G1163" t="str">
        <x:v>30 servings</x:v>
      </x:c>
      <x:c r="H1163" t="str">
        <x:v>Warheads Sour Watermelon</x:v>
      </x:c>
      <x:c r="I1163" t="str"/>
      <x:c r="J1163" t="str">
        <x:v>Unit</x:v>
      </x:c>
      <x:c r="K1163" t="str">
        <x:v>In stock</x:v>
      </x:c>
      <x:c r="L1163" t="str">
        <x:v>2026-09-08</x:v>
      </x:c>
      <x:c r="M1163" t="str"/>
      <x:c r="N1163" t="str"/>
      <x:c r="O1163" t="str">
        <x:v>https://www.activesportstrade.co.uk/ghost-lifestyle-trade</x:v>
      </x:c>
      <x:c r="P1163" t="str"/>
      <x:c r="Q1163" t="str"/>
      <x:c r="R1163" t="str"/>
      <x:c r="S1163" t="str">
        <x:v>Pending genuine supplier/brand image</x:v>
      </x:c>
      <x:c r="T1163" s="54"/>
      <x:c r="U1163" s="47" t="n">
        <x:v>0.2</x:v>
      </x:c>
      <x:c r="V1163" s="54" t="str">
        <x:f>IF(ISNUMBER(T1163),T1163*(1+U1163),"")</x:f>
      </x:c>
      <x:c r="W1163" s="47" t="n">
        <x:v>0.3</x:v>
      </x:c>
      <x:c r="X1163" s="54" t="str">
        <x:f>IF(ISNUMBER(V1163),V1163/(1-W1163),"")</x:f>
      </x:c>
      <x:c r="Y1163" s="55" t="str">
        <x:f>IF(ISNUMBER(X1163),ROUNDUP(X1163,0),"")</x:f>
      </x:c>
      <x:c r="Z1163" t="str">
        <x:f>IF(ISNUMBER(T1163),"Cost captured","Awaiting trade cost")</x:f>
        <x:v>Awaiting trade cost</x:v>
      </x:c>
      <x:c r="AB1163" s="36" t="str">
        <x:f>IF(ISNUMBER(Y1163),ROUND(Y1163*0.9,2),"")</x:f>
      </x:c>
      <x:c r="AC1163" s="36" t="str">
        <x:f>IF(ISNUMBER(AB1163),ROUND(AB1163-(AB1163*0.015+0.2)-V1163,2),"")</x:f>
      </x:c>
      <x:c r="AD1163" s="36" t="str">
        <x:f>IF(ISNUMBER(Y1163),ROUND(Y1163*0.8,2),"")</x:f>
      </x:c>
      <x:c r="AE1163" s="36" t="str">
        <x:f>IF(ISNUMBER(AD1163),ROUND(AD1163*0.015+0.2,2),"")</x:f>
      </x:c>
      <x:c r="AF1163" s="36" t="str">
        <x:f>IF(ISNUMBER(AD1163),ROUND(AD1163-AE1163-V1163,2),"")</x:f>
      </x:c>
      <x:c r="AG1163" t="str">
        <x:f>IF(NOT(ISNUMBER(T1163)),"PENDING",IF(AF1163&gt;0,"PASS","FAIL"))</x:f>
        <x:v>PENDING</x:v>
      </x:c>
      <x:c r="AH1163" t="str">
        <x:f>IF(NOT(ISNUMBER(T1163)),"Needs supplier cost",IF(K1163&lt;&gt;"In stock","Supplier unavailable",IF(AG1163&lt;&gt;"PASS","BLOCK - GT loss risk","Commercially protected")))</x:f>
        <x:v>Needs supplier cost</x:v>
      </x:c>
      <x:c r="AI1163" t="str">
        <x:v>2026-09-10 Active Sports trade capture</x:v>
      </x:c>
      <x:c r="AJ1163" t="str">
        <x:v>Management-only economics. Stripe stress test uses 1.5% + £0.20 standard UK online-card fee; pallet/mix-and-match pricing ignored.</x:v>
      </x:c>
    </x:row>
    <x:row r="1164">
      <x:c r="A1164" t="str">
        <x:v>Active Sports Nutrition</x:v>
      </x:c>
      <x:c r="B1164" t="str">
        <x:v>Ghost Lifestyle</x:v>
      </x:c>
      <x:c r="C1164" t="str">
        <x:v>Vegan Protein</x:v>
      </x:c>
      <x:c r="D1164" t="str">
        <x:v>Supplements</x:v>
      </x:c>
      <x:c r="E1164" t="str">
        <x:v>Vegan Friendly</x:v>
      </x:c>
      <x:c r="F1164" t="str">
        <x:v>Plant-based protein powder.</x:v>
      </x:c>
      <x:c r="G1164" t="str">
        <x:v>907g</x:v>
      </x:c>
      <x:c r="H1164" t="str">
        <x:v>Banana Pancake Batter</x:v>
      </x:c>
      <x:c r="I1164" t="str"/>
      <x:c r="J1164" t="str">
        <x:v>Unit</x:v>
      </x:c>
      <x:c r="K1164" t="str">
        <x:v>In stock</x:v>
      </x:c>
      <x:c r="L1164" t="str">
        <x:v>2026-09-08</x:v>
      </x:c>
      <x:c r="M1164" t="str"/>
      <x:c r="N1164" t="str"/>
      <x:c r="O1164" t="str">
        <x:v>https://www.activesportstrade.co.uk/ghost-lifestyle-trade</x:v>
      </x:c>
      <x:c r="P1164" t="str"/>
      <x:c r="Q1164" t="str"/>
      <x:c r="R1164" t="str"/>
      <x:c r="S1164" t="str">
        <x:v>Pending genuine supplier/brand image</x:v>
      </x:c>
      <x:c r="T1164" s="54"/>
      <x:c r="U1164" s="47" t="n">
        <x:v>0.2</x:v>
      </x:c>
      <x:c r="V1164" s="54" t="str">
        <x:f>IF(ISNUMBER(T1164),T1164*(1+U1164),"")</x:f>
      </x:c>
      <x:c r="W1164" s="47" t="n">
        <x:v>0.3</x:v>
      </x:c>
      <x:c r="X1164" s="54" t="str">
        <x:f>IF(ISNUMBER(V1164),V1164/(1-W1164),"")</x:f>
      </x:c>
      <x:c r="Y1164" s="55" t="str">
        <x:f>IF(ISNUMBER(X1164),ROUNDUP(X1164,0),"")</x:f>
      </x:c>
      <x:c r="Z1164" t="str">
        <x:f>IF(ISNUMBER(T1164),"Cost captured","Awaiting trade cost")</x:f>
        <x:v>Awaiting trade cost</x:v>
      </x:c>
      <x:c r="AB1164" s="36" t="str">
        <x:f>IF(ISNUMBER(Y1164),ROUND(Y1164*0.9,2),"")</x:f>
      </x:c>
      <x:c r="AC1164" s="36" t="str">
        <x:f>IF(ISNUMBER(AB1164),ROUND(AB1164-(AB1164*0.015+0.2)-V1164,2),"")</x:f>
      </x:c>
      <x:c r="AD1164" s="36" t="str">
        <x:f>IF(ISNUMBER(Y1164),ROUND(Y1164*0.8,2),"")</x:f>
      </x:c>
      <x:c r="AE1164" s="36" t="str">
        <x:f>IF(ISNUMBER(AD1164),ROUND(AD1164*0.015+0.2,2),"")</x:f>
      </x:c>
      <x:c r="AF1164" s="36" t="str">
        <x:f>IF(ISNUMBER(AD1164),ROUND(AD1164-AE1164-V1164,2),"")</x:f>
      </x:c>
      <x:c r="AG1164" t="str">
        <x:f>IF(NOT(ISNUMBER(T1164)),"PENDING",IF(AF1164&gt;0,"PASS","FAIL"))</x:f>
        <x:v>PENDING</x:v>
      </x:c>
      <x:c r="AH1164" t="str">
        <x:f>IF(NOT(ISNUMBER(T1164)),"Needs supplier cost",IF(K1164&lt;&gt;"In stock","Supplier unavailable",IF(AG1164&lt;&gt;"PASS","BLOCK - GT loss risk","Commercially protected")))</x:f>
        <x:v>Needs supplier cost</x:v>
      </x:c>
      <x:c r="AI1164" t="str">
        <x:v>2026-09-10 Active Sports trade capture</x:v>
      </x:c>
      <x:c r="AJ1164" t="str">
        <x:v>Management-only economics. Stripe stress test uses 1.5% + £0.20 standard UK online-card fee; pallet/mix-and-match pricing ignored.</x:v>
      </x:c>
    </x:row>
    <x:row r="1165">
      <x:c r="A1165" t="str">
        <x:v>Active Sports Nutrition</x:v>
      </x:c>
      <x:c r="B1165" t="str">
        <x:v>Ghost Lifestyle</x:v>
      </x:c>
      <x:c r="C1165" t="str">
        <x:v>Vegan Protein</x:v>
      </x:c>
      <x:c r="D1165" t="str">
        <x:v>Supplements</x:v>
      </x:c>
      <x:c r="E1165" t="str">
        <x:v>Vegan Friendly</x:v>
      </x:c>
      <x:c r="F1165" t="str">
        <x:v>Plant-based protein powder.</x:v>
      </x:c>
      <x:c r="G1165" t="str">
        <x:v>907g</x:v>
      </x:c>
      <x:c r="H1165" t="str">
        <x:v>Chocolate Cereal Milk</x:v>
      </x:c>
      <x:c r="I1165" t="str"/>
      <x:c r="J1165" t="str">
        <x:v>Unit</x:v>
      </x:c>
      <x:c r="K1165" t="str">
        <x:v>In stock</x:v>
      </x:c>
      <x:c r="L1165" t="str">
        <x:v>2026-09-08</x:v>
      </x:c>
      <x:c r="M1165" t="str"/>
      <x:c r="N1165" t="str"/>
      <x:c r="O1165" t="str">
        <x:v>https://www.activesportstrade.co.uk/ghost-lifestyle-trade</x:v>
      </x:c>
      <x:c r="P1165" t="str"/>
      <x:c r="Q1165" t="str"/>
      <x:c r="R1165" t="str"/>
      <x:c r="S1165" t="str">
        <x:v>Pending genuine supplier/brand image</x:v>
      </x:c>
      <x:c r="T1165" s="54"/>
      <x:c r="U1165" s="47" t="n">
        <x:v>0.2</x:v>
      </x:c>
      <x:c r="V1165" s="54" t="str">
        <x:f>IF(ISNUMBER(T1165),T1165*(1+U1165),"")</x:f>
      </x:c>
      <x:c r="W1165" s="47" t="n">
        <x:v>0.3</x:v>
      </x:c>
      <x:c r="X1165" s="54" t="str">
        <x:f>IF(ISNUMBER(V1165),V1165/(1-W1165),"")</x:f>
      </x:c>
      <x:c r="Y1165" s="55" t="str">
        <x:f>IF(ISNUMBER(X1165),ROUNDUP(X1165,0),"")</x:f>
      </x:c>
      <x:c r="Z1165" t="str">
        <x:f>IF(ISNUMBER(T1165),"Cost captured","Awaiting trade cost")</x:f>
        <x:v>Awaiting trade cost</x:v>
      </x:c>
      <x:c r="AB1165" s="36" t="str">
        <x:f>IF(ISNUMBER(Y1165),ROUND(Y1165*0.9,2),"")</x:f>
      </x:c>
      <x:c r="AC1165" s="36" t="str">
        <x:f>IF(ISNUMBER(AB1165),ROUND(AB1165-(AB1165*0.015+0.2)-V1165,2),"")</x:f>
      </x:c>
      <x:c r="AD1165" s="36" t="str">
        <x:f>IF(ISNUMBER(Y1165),ROUND(Y1165*0.8,2),"")</x:f>
      </x:c>
      <x:c r="AE1165" s="36" t="str">
        <x:f>IF(ISNUMBER(AD1165),ROUND(AD1165*0.015+0.2,2),"")</x:f>
      </x:c>
      <x:c r="AF1165" s="36" t="str">
        <x:f>IF(ISNUMBER(AD1165),ROUND(AD1165-AE1165-V1165,2),"")</x:f>
      </x:c>
      <x:c r="AG1165" t="str">
        <x:f>IF(NOT(ISNUMBER(T1165)),"PENDING",IF(AF1165&gt;0,"PASS","FAIL"))</x:f>
        <x:v>PENDING</x:v>
      </x:c>
      <x:c r="AH1165" t="str">
        <x:f>IF(NOT(ISNUMBER(T1165)),"Needs supplier cost",IF(K1165&lt;&gt;"In stock","Supplier unavailable",IF(AG1165&lt;&gt;"PASS","BLOCK - GT loss risk","Commercially protected")))</x:f>
        <x:v>Needs supplier cost</x:v>
      </x:c>
      <x:c r="AI1165" t="str">
        <x:v>2026-09-10 Active Sports trade capture</x:v>
      </x:c>
      <x:c r="AJ1165" t="str">
        <x:v>Management-only economics. Stripe stress test uses 1.5% + £0.20 standard UK online-card fee; pallet/mix-and-match pricing ignored.</x:v>
      </x:c>
    </x:row>
    <x:row r="1166">
      <x:c r="A1166" t="str">
        <x:v>Active Sports Nutrition</x:v>
      </x:c>
      <x:c r="B1166" t="str">
        <x:v>Ghost Lifestyle</x:v>
      </x:c>
      <x:c r="C1166" t="str">
        <x:v>Vegan Protein</x:v>
      </x:c>
      <x:c r="D1166" t="str">
        <x:v>Supplements</x:v>
      </x:c>
      <x:c r="E1166" t="str">
        <x:v>Vegan Friendly</x:v>
      </x:c>
      <x:c r="F1166" t="str">
        <x:v>Plant-based protein powder.</x:v>
      </x:c>
      <x:c r="G1166" t="str">
        <x:v>907g</x:v>
      </x:c>
      <x:c r="H1166" t="str">
        <x:v>Cinnabon</x:v>
      </x:c>
      <x:c r="I1166" t="str"/>
      <x:c r="J1166" t="str">
        <x:v>Unit</x:v>
      </x:c>
      <x:c r="K1166" t="str">
        <x:v>Out of stock</x:v>
      </x:c>
      <x:c r="L1166" t="str">
        <x:v>2026-09-08</x:v>
      </x:c>
      <x:c r="M1166" t="str"/>
      <x:c r="N1166" t="str"/>
      <x:c r="O1166" t="str">
        <x:v>https://www.activesportstrade.co.uk/ghost-lifestyle-trade</x:v>
      </x:c>
      <x:c r="P1166" t="str"/>
      <x:c r="Q1166" t="str"/>
      <x:c r="R1166" t="str"/>
      <x:c r="S1166" t="str">
        <x:v>Pending genuine supplier/brand image</x:v>
      </x:c>
      <x:c r="T1166" s="54"/>
      <x:c r="U1166" s="47" t="n">
        <x:v>0.2</x:v>
      </x:c>
      <x:c r="V1166" s="54" t="str">
        <x:f>IF(ISNUMBER(T1166),T1166*(1+U1166),"")</x:f>
      </x:c>
      <x:c r="W1166" s="47" t="n">
        <x:v>0.3</x:v>
      </x:c>
      <x:c r="X1166" s="54" t="str">
        <x:f>IF(ISNUMBER(V1166),V1166/(1-W1166),"")</x:f>
      </x:c>
      <x:c r="Y1166" s="55" t="str">
        <x:f>IF(ISNUMBER(X1166),ROUNDUP(X1166,0),"")</x:f>
      </x:c>
      <x:c r="Z1166" t="str">
        <x:f>IF(ISNUMBER(T1166),"Cost captured","Awaiting trade cost")</x:f>
        <x:v>Awaiting trade cost</x:v>
      </x:c>
      <x:c r="AB1166" s="36" t="str">
        <x:f>IF(ISNUMBER(Y1166),ROUND(Y1166*0.9,2),"")</x:f>
      </x:c>
      <x:c r="AC1166" s="36" t="str">
        <x:f>IF(ISNUMBER(AB1166),ROUND(AB1166-(AB1166*0.015+0.2)-V1166,2),"")</x:f>
      </x:c>
      <x:c r="AD1166" s="36" t="str">
        <x:f>IF(ISNUMBER(Y1166),ROUND(Y1166*0.8,2),"")</x:f>
      </x:c>
      <x:c r="AE1166" s="36" t="str">
        <x:f>IF(ISNUMBER(AD1166),ROUND(AD1166*0.015+0.2,2),"")</x:f>
      </x:c>
      <x:c r="AF1166" s="36" t="str">
        <x:f>IF(ISNUMBER(AD1166),ROUND(AD1166-AE1166-V1166,2),"")</x:f>
      </x:c>
      <x:c r="AG1166" t="str">
        <x:f>IF(NOT(ISNUMBER(T1166)),"PENDING",IF(AF1166&gt;0,"PASS","FAIL"))</x:f>
        <x:v>PENDING</x:v>
      </x:c>
      <x:c r="AH1166" t="str">
        <x:f>IF(NOT(ISNUMBER(T1166)),"Needs supplier cost",IF(K1166&lt;&gt;"In stock","Supplier unavailable",IF(AG1166&lt;&gt;"PASS","BLOCK - GT loss risk","Commercially protected")))</x:f>
        <x:v>Needs supplier cost</x:v>
      </x:c>
      <x:c r="AI1166" t="str">
        <x:v>2026-09-10 Active Sports trade capture</x:v>
      </x:c>
      <x:c r="AJ1166" t="str">
        <x:v>Management-only economics. Stripe stress test uses 1.5% + £0.20 standard UK online-card fee; pallet/mix-and-match pricing ignored.</x:v>
      </x:c>
    </x:row>
    <x:row r="1167">
      <x:c r="A1167" t="str">
        <x:v>Active Sports Nutrition</x:v>
      </x:c>
      <x:c r="B1167" t="str">
        <x:v>Ghost Lifestyle</x:v>
      </x:c>
      <x:c r="C1167" t="str">
        <x:v>Vegan Protein</x:v>
      </x:c>
      <x:c r="D1167" t="str">
        <x:v>Supplements</x:v>
      </x:c>
      <x:c r="E1167" t="str">
        <x:v>Vegan Friendly</x:v>
      </x:c>
      <x:c r="F1167" t="str">
        <x:v>Plant-based protein powder.</x:v>
      </x:c>
      <x:c r="G1167" t="str">
        <x:v>907g</x:v>
      </x:c>
      <x:c r="H1167" t="str">
        <x:v>Pancake Batter</x:v>
      </x:c>
      <x:c r="I1167" t="str"/>
      <x:c r="J1167" t="str">
        <x:v>Unit</x:v>
      </x:c>
      <x:c r="K1167" t="str">
        <x:v>In stock</x:v>
      </x:c>
      <x:c r="L1167" t="str">
        <x:v>2026-09-08</x:v>
      </x:c>
      <x:c r="M1167" t="str"/>
      <x:c r="N1167" t="str"/>
      <x:c r="O1167" t="str">
        <x:v>https://www.activesportstrade.co.uk/ghost-lifestyle-trade</x:v>
      </x:c>
      <x:c r="P1167" t="str"/>
      <x:c r="Q1167" t="str"/>
      <x:c r="R1167" t="str"/>
      <x:c r="S1167" t="str">
        <x:v>Pending genuine supplier/brand image</x:v>
      </x:c>
      <x:c r="T1167" s="54"/>
      <x:c r="U1167" s="47" t="n">
        <x:v>0.2</x:v>
      </x:c>
      <x:c r="V1167" s="54" t="str">
        <x:f>IF(ISNUMBER(T1167),T1167*(1+U1167),"")</x:f>
      </x:c>
      <x:c r="W1167" s="47" t="n">
        <x:v>0.3</x:v>
      </x:c>
      <x:c r="X1167" s="54" t="str">
        <x:f>IF(ISNUMBER(V1167),V1167/(1-W1167),"")</x:f>
      </x:c>
      <x:c r="Y1167" s="55" t="str">
        <x:f>IF(ISNUMBER(X1167),ROUNDUP(X1167,0),"")</x:f>
      </x:c>
      <x:c r="Z1167" t="str">
        <x:f>IF(ISNUMBER(T1167),"Cost captured","Awaiting trade cost")</x:f>
        <x:v>Awaiting trade cost</x:v>
      </x:c>
      <x:c r="AB1167" s="36" t="str">
        <x:f>IF(ISNUMBER(Y1167),ROUND(Y1167*0.9,2),"")</x:f>
      </x:c>
      <x:c r="AC1167" s="36" t="str">
        <x:f>IF(ISNUMBER(AB1167),ROUND(AB1167-(AB1167*0.015+0.2)-V1167,2),"")</x:f>
      </x:c>
      <x:c r="AD1167" s="36" t="str">
        <x:f>IF(ISNUMBER(Y1167),ROUND(Y1167*0.8,2),"")</x:f>
      </x:c>
      <x:c r="AE1167" s="36" t="str">
        <x:f>IF(ISNUMBER(AD1167),ROUND(AD1167*0.015+0.2,2),"")</x:f>
      </x:c>
      <x:c r="AF1167" s="36" t="str">
        <x:f>IF(ISNUMBER(AD1167),ROUND(AD1167-AE1167-V1167,2),"")</x:f>
      </x:c>
      <x:c r="AG1167" t="str">
        <x:f>IF(NOT(ISNUMBER(T1167)),"PENDING",IF(AF1167&gt;0,"PASS","FAIL"))</x:f>
        <x:v>PENDING</x:v>
      </x:c>
      <x:c r="AH1167" t="str">
        <x:f>IF(NOT(ISNUMBER(T1167)),"Needs supplier cost",IF(K1167&lt;&gt;"In stock","Supplier unavailable",IF(AG1167&lt;&gt;"PASS","BLOCK - GT loss risk","Commercially protected")))</x:f>
        <x:v>Needs supplier cost</x:v>
      </x:c>
      <x:c r="AI1167" t="str">
        <x:v>2026-09-10 Active Sports trade capture</x:v>
      </x:c>
      <x:c r="AJ1167" t="str">
        <x:v>Management-only economics. Stripe stress test uses 1.5% + £0.20 standard UK online-card fee; pallet/mix-and-match pricing ignored.</x:v>
      </x:c>
    </x:row>
    <x:row r="1168">
      <x:c r="A1168" t="str">
        <x:v>Active Sports Nutrition</x:v>
      </x:c>
      <x:c r="B1168" t="str">
        <x:v>Ghost Lifestyle</x:v>
      </x:c>
      <x:c r="C1168" t="str">
        <x:v>Vegan Protein</x:v>
      </x:c>
      <x:c r="D1168" t="str">
        <x:v>Supplements</x:v>
      </x:c>
      <x:c r="E1168" t="str">
        <x:v>Vegan Friendly</x:v>
      </x:c>
      <x:c r="F1168" t="str">
        <x:v>Plant-based protein powder.</x:v>
      </x:c>
      <x:c r="G1168" t="str">
        <x:v>907g</x:v>
      </x:c>
      <x:c r="H1168" t="str">
        <x:v>Peanut Butter Cereal Milk</x:v>
      </x:c>
      <x:c r="I1168" t="str"/>
      <x:c r="J1168" t="str">
        <x:v>Unit</x:v>
      </x:c>
      <x:c r="K1168" t="str">
        <x:v>Out of stock</x:v>
      </x:c>
      <x:c r="L1168" t="str">
        <x:v>2026-09-08</x:v>
      </x:c>
      <x:c r="M1168" t="str"/>
      <x:c r="N1168" t="str"/>
      <x:c r="O1168" t="str">
        <x:v>https://www.activesportstrade.co.uk/ghost-lifestyle-trade</x:v>
      </x:c>
      <x:c r="P1168" t="str"/>
      <x:c r="Q1168" t="str"/>
      <x:c r="R1168" t="str"/>
      <x:c r="S1168" t="str">
        <x:v>Pending genuine supplier/brand image</x:v>
      </x:c>
      <x:c r="T1168" s="54"/>
      <x:c r="U1168" s="47" t="n">
        <x:v>0.2</x:v>
      </x:c>
      <x:c r="V1168" s="54" t="str">
        <x:f>IF(ISNUMBER(T1168),T1168*(1+U1168),"")</x:f>
      </x:c>
      <x:c r="W1168" s="47" t="n">
        <x:v>0.3</x:v>
      </x:c>
      <x:c r="X1168" s="54" t="str">
        <x:f>IF(ISNUMBER(V1168),V1168/(1-W1168),"")</x:f>
      </x:c>
      <x:c r="Y1168" s="55" t="str">
        <x:f>IF(ISNUMBER(X1168),ROUNDUP(X1168,0),"")</x:f>
      </x:c>
      <x:c r="Z1168" t="str">
        <x:f>IF(ISNUMBER(T1168),"Cost captured","Awaiting trade cost")</x:f>
        <x:v>Awaiting trade cost</x:v>
      </x:c>
      <x:c r="AB1168" s="36" t="str">
        <x:f>IF(ISNUMBER(Y1168),ROUND(Y1168*0.9,2),"")</x:f>
      </x:c>
      <x:c r="AC1168" s="36" t="str">
        <x:f>IF(ISNUMBER(AB1168),ROUND(AB1168-(AB1168*0.015+0.2)-V1168,2),"")</x:f>
      </x:c>
      <x:c r="AD1168" s="36" t="str">
        <x:f>IF(ISNUMBER(Y1168),ROUND(Y1168*0.8,2),"")</x:f>
      </x:c>
      <x:c r="AE1168" s="36" t="str">
        <x:f>IF(ISNUMBER(AD1168),ROUND(AD1168*0.015+0.2,2),"")</x:f>
      </x:c>
      <x:c r="AF1168" s="36" t="str">
        <x:f>IF(ISNUMBER(AD1168),ROUND(AD1168-AE1168-V1168,2),"")</x:f>
      </x:c>
      <x:c r="AG1168" t="str">
        <x:f>IF(NOT(ISNUMBER(T1168)),"PENDING",IF(AF1168&gt;0,"PASS","FAIL"))</x:f>
        <x:v>PENDING</x:v>
      </x:c>
      <x:c r="AH1168" t="str">
        <x:f>IF(NOT(ISNUMBER(T1168)),"Needs supplier cost",IF(K1168&lt;&gt;"In stock","Supplier unavailable",IF(AG1168&lt;&gt;"PASS","BLOCK - GT loss risk","Commercially protected")))</x:f>
        <x:v>Needs supplier cost</x:v>
      </x:c>
      <x:c r="AI1168" t="str">
        <x:v>2026-09-10 Active Sports trade capture</x:v>
      </x:c>
      <x:c r="AJ1168" t="str">
        <x:v>Management-only economics. Stripe stress test uses 1.5% + £0.20 standard UK online-card fee; pallet/mix-and-match pricing ignored.</x:v>
      </x:c>
    </x:row>
    <x:row r="1169">
      <x:c r="A1169" t="str">
        <x:v>Active Sports Nutrition</x:v>
      </x:c>
      <x:c r="B1169" t="str">
        <x:v>Ghost Lifestyle</x:v>
      </x:c>
      <x:c r="C1169" t="str">
        <x:v>Vegan Protein</x:v>
      </x:c>
      <x:c r="D1169" t="str">
        <x:v>Supplements</x:v>
      </x:c>
      <x:c r="E1169" t="str">
        <x:v>Vegan Friendly</x:v>
      </x:c>
      <x:c r="F1169" t="str">
        <x:v>Plant-based protein powder.</x:v>
      </x:c>
      <x:c r="G1169" t="str">
        <x:v>907g</x:v>
      </x:c>
      <x:c r="H1169" t="str">
        <x:v>Strawberry Shortcake</x:v>
      </x:c>
      <x:c r="I1169" t="str"/>
      <x:c r="J1169" t="str">
        <x:v>Unit</x:v>
      </x:c>
      <x:c r="K1169" t="str">
        <x:v>Out of stock</x:v>
      </x:c>
      <x:c r="L1169" t="str">
        <x:v>2026-09-08</x:v>
      </x:c>
      <x:c r="M1169" t="str"/>
      <x:c r="N1169" t="str"/>
      <x:c r="O1169" t="str">
        <x:v>https://www.activesportstrade.co.uk/ghost-lifestyle-trade</x:v>
      </x:c>
      <x:c r="P1169" t="str"/>
      <x:c r="Q1169" t="str"/>
      <x:c r="R1169" t="str"/>
      <x:c r="S1169" t="str">
        <x:v>Pending genuine supplier/brand image</x:v>
      </x:c>
      <x:c r="T1169" s="54"/>
      <x:c r="U1169" s="47" t="n">
        <x:v>0.2</x:v>
      </x:c>
      <x:c r="V1169" s="54" t="str">
        <x:f>IF(ISNUMBER(T1169),T1169*(1+U1169),"")</x:f>
      </x:c>
      <x:c r="W1169" s="47" t="n">
        <x:v>0.3</x:v>
      </x:c>
      <x:c r="X1169" s="54" t="str">
        <x:f>IF(ISNUMBER(V1169),V1169/(1-W1169),"")</x:f>
      </x:c>
      <x:c r="Y1169" s="55" t="str">
        <x:f>IF(ISNUMBER(X1169),ROUNDUP(X1169,0),"")</x:f>
      </x:c>
      <x:c r="Z1169" t="str">
        <x:f>IF(ISNUMBER(T1169),"Cost captured","Awaiting trade cost")</x:f>
        <x:v>Awaiting trade cost</x:v>
      </x:c>
      <x:c r="AB1169" s="36" t="str">
        <x:f>IF(ISNUMBER(Y1169),ROUND(Y1169*0.9,2),"")</x:f>
      </x:c>
      <x:c r="AC1169" s="36" t="str">
        <x:f>IF(ISNUMBER(AB1169),ROUND(AB1169-(AB1169*0.015+0.2)-V1169,2),"")</x:f>
      </x:c>
      <x:c r="AD1169" s="36" t="str">
        <x:f>IF(ISNUMBER(Y1169),ROUND(Y1169*0.8,2),"")</x:f>
      </x:c>
      <x:c r="AE1169" s="36" t="str">
        <x:f>IF(ISNUMBER(AD1169),ROUND(AD1169*0.015+0.2,2),"")</x:f>
      </x:c>
      <x:c r="AF1169" s="36" t="str">
        <x:f>IF(ISNUMBER(AD1169),ROUND(AD1169-AE1169-V1169,2),"")</x:f>
      </x:c>
      <x:c r="AG1169" t="str">
        <x:f>IF(NOT(ISNUMBER(T1169)),"PENDING",IF(AF1169&gt;0,"PASS","FAIL"))</x:f>
        <x:v>PENDING</x:v>
      </x:c>
      <x:c r="AH1169" t="str">
        <x:f>IF(NOT(ISNUMBER(T1169)),"Needs supplier cost",IF(K1169&lt;&gt;"In stock","Supplier unavailable",IF(AG1169&lt;&gt;"PASS","BLOCK - GT loss risk","Commercially protected")))</x:f>
        <x:v>Needs supplier cost</x:v>
      </x:c>
      <x:c r="AI1169" t="str">
        <x:v>2026-09-10 Active Sports trade capture</x:v>
      </x:c>
      <x:c r="AJ1169" t="str">
        <x:v>Management-only economics. Stripe stress test uses 1.5% + £0.20 standard UK online-card fee; pallet/mix-and-match pricing ignored.</x:v>
      </x:c>
    </x:row>
    <x:row r="1170">
      <x:c r="A1170" t="str">
        <x:v>Active Sports Nutrition</x:v>
      </x:c>
      <x:c r="B1170" t="str">
        <x:v>Ghost Lifestyle</x:v>
      </x:c>
      <x:c r="C1170" t="str">
        <x:v>Whey Protein</x:v>
      </x:c>
      <x:c r="D1170" t="str">
        <x:v>Supplements</x:v>
      </x:c>
      <x:c r="E1170" t="str">
        <x:v>Whey Protein</x:v>
      </x:c>
      <x:c r="F1170" t="str">
        <x:v>Whey protein blend.</x:v>
      </x:c>
      <x:c r="G1170" t="str">
        <x:v>907g</x:v>
      </x:c>
      <x:c r="H1170" t="str">
        <x:v>Cereal Milk</x:v>
      </x:c>
      <x:c r="I1170" t="str"/>
      <x:c r="J1170" t="str">
        <x:v>Unit</x:v>
      </x:c>
      <x:c r="K1170" t="str">
        <x:v>In stock</x:v>
      </x:c>
      <x:c r="L1170" t="str">
        <x:v>2026-09-08</x:v>
      </x:c>
      <x:c r="M1170" t="str"/>
      <x:c r="N1170" t="str"/>
      <x:c r="O1170" t="str">
        <x:v>https://www.activesportstrade.co.uk/ghost-lifestyle-trade</x:v>
      </x:c>
      <x:c r="P1170" t="str"/>
      <x:c r="Q1170" t="str"/>
      <x:c r="R1170" t="str"/>
      <x:c r="S1170" t="str">
        <x:v>Pending genuine supplier/brand image</x:v>
      </x:c>
      <x:c r="T1170" s="54"/>
      <x:c r="U1170" s="47" t="n">
        <x:v>0.2</x:v>
      </x:c>
      <x:c r="V1170" s="54" t="str">
        <x:f>IF(ISNUMBER(T1170),T1170*(1+U1170),"")</x:f>
      </x:c>
      <x:c r="W1170" s="47" t="n">
        <x:v>0.3</x:v>
      </x:c>
      <x:c r="X1170" s="54" t="str">
        <x:f>IF(ISNUMBER(V1170),V1170/(1-W1170),"")</x:f>
      </x:c>
      <x:c r="Y1170" s="55" t="str">
        <x:f>IF(ISNUMBER(X1170),ROUNDUP(X1170,0),"")</x:f>
      </x:c>
      <x:c r="Z1170" t="str">
        <x:f>IF(ISNUMBER(T1170),"Cost captured","Awaiting trade cost")</x:f>
        <x:v>Awaiting trade cost</x:v>
      </x:c>
      <x:c r="AB1170" s="36" t="str">
        <x:f>IF(ISNUMBER(Y1170),ROUND(Y1170*0.9,2),"")</x:f>
      </x:c>
      <x:c r="AC1170" s="36" t="str">
        <x:f>IF(ISNUMBER(AB1170),ROUND(AB1170-(AB1170*0.015+0.2)-V1170,2),"")</x:f>
      </x:c>
      <x:c r="AD1170" s="36" t="str">
        <x:f>IF(ISNUMBER(Y1170),ROUND(Y1170*0.8,2),"")</x:f>
      </x:c>
      <x:c r="AE1170" s="36" t="str">
        <x:f>IF(ISNUMBER(AD1170),ROUND(AD1170*0.015+0.2,2),"")</x:f>
      </x:c>
      <x:c r="AF1170" s="36" t="str">
        <x:f>IF(ISNUMBER(AD1170),ROUND(AD1170-AE1170-V1170,2),"")</x:f>
      </x:c>
      <x:c r="AG1170" t="str">
        <x:f>IF(NOT(ISNUMBER(T1170)),"PENDING",IF(AF1170&gt;0,"PASS","FAIL"))</x:f>
        <x:v>PENDING</x:v>
      </x:c>
      <x:c r="AH1170" t="str">
        <x:f>IF(NOT(ISNUMBER(T1170)),"Needs supplier cost",IF(K1170&lt;&gt;"In stock","Supplier unavailable",IF(AG1170&lt;&gt;"PASS","BLOCK - GT loss risk","Commercially protected")))</x:f>
        <x:v>Needs supplier cost</x:v>
      </x:c>
      <x:c r="AI1170" t="str">
        <x:v>2026-09-10 Active Sports trade capture</x:v>
      </x:c>
      <x:c r="AJ1170" t="str">
        <x:v>Management-only economics. Stripe stress test uses 1.5% + £0.20 standard UK online-card fee; pallet/mix-and-match pricing ignored.</x:v>
      </x:c>
    </x:row>
    <x:row r="1171">
      <x:c r="A1171" t="str">
        <x:v>Active Sports Nutrition</x:v>
      </x:c>
      <x:c r="B1171" t="str">
        <x:v>Ghost Lifestyle</x:v>
      </x:c>
      <x:c r="C1171" t="str">
        <x:v>Whey Protein</x:v>
      </x:c>
      <x:c r="D1171" t="str">
        <x:v>Supplements</x:v>
      </x:c>
      <x:c r="E1171" t="str">
        <x:v>Whey Protein</x:v>
      </x:c>
      <x:c r="F1171" t="str">
        <x:v>Whey protein blend.</x:v>
      </x:c>
      <x:c r="G1171" t="str">
        <x:v>907g</x:v>
      </x:c>
      <x:c r="H1171" t="str">
        <x:v>Chocolate Chip Cookie</x:v>
      </x:c>
      <x:c r="I1171" t="str"/>
      <x:c r="J1171" t="str">
        <x:v>Unit</x:v>
      </x:c>
      <x:c r="K1171" t="str">
        <x:v>In stock</x:v>
      </x:c>
      <x:c r="L1171" t="str">
        <x:v>2026-09-08</x:v>
      </x:c>
      <x:c r="M1171" t="str"/>
      <x:c r="N1171" t="str"/>
      <x:c r="O1171" t="str">
        <x:v>https://www.activesportstrade.co.uk/ghost-lifestyle-trade</x:v>
      </x:c>
      <x:c r="P1171" t="str"/>
      <x:c r="Q1171" t="str"/>
      <x:c r="R1171" t="str"/>
      <x:c r="S1171" t="str">
        <x:v>Pending genuine supplier/brand image</x:v>
      </x:c>
      <x:c r="T1171" s="54"/>
      <x:c r="U1171" s="47" t="n">
        <x:v>0.2</x:v>
      </x:c>
      <x:c r="V1171" s="54" t="str">
        <x:f>IF(ISNUMBER(T1171),T1171*(1+U1171),"")</x:f>
      </x:c>
      <x:c r="W1171" s="47" t="n">
        <x:v>0.3</x:v>
      </x:c>
      <x:c r="X1171" s="54" t="str">
        <x:f>IF(ISNUMBER(V1171),V1171/(1-W1171),"")</x:f>
      </x:c>
      <x:c r="Y1171" s="55" t="str">
        <x:f>IF(ISNUMBER(X1171),ROUNDUP(X1171,0),"")</x:f>
      </x:c>
      <x:c r="Z1171" t="str">
        <x:f>IF(ISNUMBER(T1171),"Cost captured","Awaiting trade cost")</x:f>
        <x:v>Awaiting trade cost</x:v>
      </x:c>
      <x:c r="AB1171" s="36" t="str">
        <x:f>IF(ISNUMBER(Y1171),ROUND(Y1171*0.9,2),"")</x:f>
      </x:c>
      <x:c r="AC1171" s="36" t="str">
        <x:f>IF(ISNUMBER(AB1171),ROUND(AB1171-(AB1171*0.015+0.2)-V1171,2),"")</x:f>
      </x:c>
      <x:c r="AD1171" s="36" t="str">
        <x:f>IF(ISNUMBER(Y1171),ROUND(Y1171*0.8,2),"")</x:f>
      </x:c>
      <x:c r="AE1171" s="36" t="str">
        <x:f>IF(ISNUMBER(AD1171),ROUND(AD1171*0.015+0.2,2),"")</x:f>
      </x:c>
      <x:c r="AF1171" s="36" t="str">
        <x:f>IF(ISNUMBER(AD1171),ROUND(AD1171-AE1171-V1171,2),"")</x:f>
      </x:c>
      <x:c r="AG1171" t="str">
        <x:f>IF(NOT(ISNUMBER(T1171)),"PENDING",IF(AF1171&gt;0,"PASS","FAIL"))</x:f>
        <x:v>PENDING</x:v>
      </x:c>
      <x:c r="AH1171" t="str">
        <x:f>IF(NOT(ISNUMBER(T1171)),"Needs supplier cost",IF(K1171&lt;&gt;"In stock","Supplier unavailable",IF(AG1171&lt;&gt;"PASS","BLOCK - GT loss risk","Commercially protected")))</x:f>
        <x:v>Needs supplier cost</x:v>
      </x:c>
      <x:c r="AI1171" t="str">
        <x:v>2026-09-10 Active Sports trade capture</x:v>
      </x:c>
      <x:c r="AJ1171" t="str">
        <x:v>Management-only economics. Stripe stress test uses 1.5% + £0.20 standard UK online-card fee; pallet/mix-and-match pricing ignored.</x:v>
      </x:c>
    </x:row>
    <x:row r="1172">
      <x:c r="A1172" t="str">
        <x:v>Active Sports Nutrition</x:v>
      </x:c>
      <x:c r="B1172" t="str">
        <x:v>Ghost Lifestyle</x:v>
      </x:c>
      <x:c r="C1172" t="str">
        <x:v>Whey Protein</x:v>
      </x:c>
      <x:c r="D1172" t="str">
        <x:v>Supplements</x:v>
      </x:c>
      <x:c r="E1172" t="str">
        <x:v>Whey Protein</x:v>
      </x:c>
      <x:c r="F1172" t="str">
        <x:v>Whey protein blend.</x:v>
      </x:c>
      <x:c r="G1172" t="str">
        <x:v>907g</x:v>
      </x:c>
      <x:c r="H1172" t="str">
        <x:v>Cinnabon</x:v>
      </x:c>
      <x:c r="I1172" t="str"/>
      <x:c r="J1172" t="str">
        <x:v>Unit</x:v>
      </x:c>
      <x:c r="K1172" t="str">
        <x:v>In stock</x:v>
      </x:c>
      <x:c r="L1172" t="str">
        <x:v>2026-09-08</x:v>
      </x:c>
      <x:c r="M1172" t="str"/>
      <x:c r="N1172" t="str"/>
      <x:c r="O1172" t="str">
        <x:v>https://www.activesportstrade.co.uk/ghost-lifestyle-trade</x:v>
      </x:c>
      <x:c r="P1172" t="str"/>
      <x:c r="Q1172" t="str"/>
      <x:c r="R1172" t="str"/>
      <x:c r="S1172" t="str">
        <x:v>Pending genuine supplier/brand image</x:v>
      </x:c>
      <x:c r="T1172" s="54"/>
      <x:c r="U1172" s="47" t="n">
        <x:v>0.2</x:v>
      </x:c>
      <x:c r="V1172" s="54" t="str">
        <x:f>IF(ISNUMBER(T1172),T1172*(1+U1172),"")</x:f>
      </x:c>
      <x:c r="W1172" s="47" t="n">
        <x:v>0.3</x:v>
      </x:c>
      <x:c r="X1172" s="54" t="str">
        <x:f>IF(ISNUMBER(V1172),V1172/(1-W1172),"")</x:f>
      </x:c>
      <x:c r="Y1172" s="55" t="str">
        <x:f>IF(ISNUMBER(X1172),ROUNDUP(X1172,0),"")</x:f>
      </x:c>
      <x:c r="Z1172" t="str">
        <x:f>IF(ISNUMBER(T1172),"Cost captured","Awaiting trade cost")</x:f>
        <x:v>Awaiting trade cost</x:v>
      </x:c>
      <x:c r="AB1172" s="36" t="str">
        <x:f>IF(ISNUMBER(Y1172),ROUND(Y1172*0.9,2),"")</x:f>
      </x:c>
      <x:c r="AC1172" s="36" t="str">
        <x:f>IF(ISNUMBER(AB1172),ROUND(AB1172-(AB1172*0.015+0.2)-V1172,2),"")</x:f>
      </x:c>
      <x:c r="AD1172" s="36" t="str">
        <x:f>IF(ISNUMBER(Y1172),ROUND(Y1172*0.8,2),"")</x:f>
      </x:c>
      <x:c r="AE1172" s="36" t="str">
        <x:f>IF(ISNUMBER(AD1172),ROUND(AD1172*0.015+0.2,2),"")</x:f>
      </x:c>
      <x:c r="AF1172" s="36" t="str">
        <x:f>IF(ISNUMBER(AD1172),ROUND(AD1172-AE1172-V1172,2),"")</x:f>
      </x:c>
      <x:c r="AG1172" t="str">
        <x:f>IF(NOT(ISNUMBER(T1172)),"PENDING",IF(AF1172&gt;0,"PASS","FAIL"))</x:f>
        <x:v>PENDING</x:v>
      </x:c>
      <x:c r="AH1172" t="str">
        <x:f>IF(NOT(ISNUMBER(T1172)),"Needs supplier cost",IF(K1172&lt;&gt;"In stock","Supplier unavailable",IF(AG1172&lt;&gt;"PASS","BLOCK - GT loss risk","Commercially protected")))</x:f>
        <x:v>Needs supplier cost</x:v>
      </x:c>
      <x:c r="AI1172" t="str">
        <x:v>2026-09-10 Active Sports trade capture</x:v>
      </x:c>
      <x:c r="AJ1172" t="str">
        <x:v>Management-only economics. Stripe stress test uses 1.5% + £0.20 standard UK online-card fee; pallet/mix-and-match pricing ignored.</x:v>
      </x:c>
    </x:row>
    <x:row r="1173">
      <x:c r="A1173" t="str">
        <x:v>Active Sports Nutrition</x:v>
      </x:c>
      <x:c r="B1173" t="str">
        <x:v>Ghost Lifestyle</x:v>
      </x:c>
      <x:c r="C1173" t="str">
        <x:v>Whey Protein</x:v>
      </x:c>
      <x:c r="D1173" t="str">
        <x:v>Supplements</x:v>
      </x:c>
      <x:c r="E1173" t="str">
        <x:v>Whey Protein</x:v>
      </x:c>
      <x:c r="F1173" t="str">
        <x:v>Whey protein blend.</x:v>
      </x:c>
      <x:c r="G1173" t="str">
        <x:v>907g</x:v>
      </x:c>
      <x:c r="H1173" t="str">
        <x:v>Cinnabon Caramel Pecan</x:v>
      </x:c>
      <x:c r="I1173" t="str"/>
      <x:c r="J1173" t="str">
        <x:v>Unit</x:v>
      </x:c>
      <x:c r="K1173" t="str">
        <x:v>Out of stock</x:v>
      </x:c>
      <x:c r="L1173" t="str">
        <x:v>2026-09-08</x:v>
      </x:c>
      <x:c r="M1173" t="str"/>
      <x:c r="N1173" t="str"/>
      <x:c r="O1173" t="str">
        <x:v>https://www.activesportstrade.co.uk/ghost-lifestyle-trade</x:v>
      </x:c>
      <x:c r="P1173" t="str"/>
      <x:c r="Q1173" t="str"/>
      <x:c r="R1173" t="str"/>
      <x:c r="S1173" t="str">
        <x:v>Pending genuine supplier/brand image</x:v>
      </x:c>
      <x:c r="T1173" s="54"/>
      <x:c r="U1173" s="47" t="n">
        <x:v>0.2</x:v>
      </x:c>
      <x:c r="V1173" s="54" t="str">
        <x:f>IF(ISNUMBER(T1173),T1173*(1+U1173),"")</x:f>
      </x:c>
      <x:c r="W1173" s="47" t="n">
        <x:v>0.3</x:v>
      </x:c>
      <x:c r="X1173" s="54" t="str">
        <x:f>IF(ISNUMBER(V1173),V1173/(1-W1173),"")</x:f>
      </x:c>
      <x:c r="Y1173" s="55" t="str">
        <x:f>IF(ISNUMBER(X1173),ROUNDUP(X1173,0),"")</x:f>
      </x:c>
      <x:c r="Z1173" t="str">
        <x:f>IF(ISNUMBER(T1173),"Cost captured","Awaiting trade cost")</x:f>
        <x:v>Awaiting trade cost</x:v>
      </x:c>
      <x:c r="AB1173" s="36" t="str">
        <x:f>IF(ISNUMBER(Y1173),ROUND(Y1173*0.9,2),"")</x:f>
      </x:c>
      <x:c r="AC1173" s="36" t="str">
        <x:f>IF(ISNUMBER(AB1173),ROUND(AB1173-(AB1173*0.015+0.2)-V1173,2),"")</x:f>
      </x:c>
      <x:c r="AD1173" s="36" t="str">
        <x:f>IF(ISNUMBER(Y1173),ROUND(Y1173*0.8,2),"")</x:f>
      </x:c>
      <x:c r="AE1173" s="36" t="str">
        <x:f>IF(ISNUMBER(AD1173),ROUND(AD1173*0.015+0.2,2),"")</x:f>
      </x:c>
      <x:c r="AF1173" s="36" t="str">
        <x:f>IF(ISNUMBER(AD1173),ROUND(AD1173-AE1173-V1173,2),"")</x:f>
      </x:c>
      <x:c r="AG1173" t="str">
        <x:f>IF(NOT(ISNUMBER(T1173)),"PENDING",IF(AF1173&gt;0,"PASS","FAIL"))</x:f>
        <x:v>PENDING</x:v>
      </x:c>
      <x:c r="AH1173" t="str">
        <x:f>IF(NOT(ISNUMBER(T1173)),"Needs supplier cost",IF(K1173&lt;&gt;"In stock","Supplier unavailable",IF(AG1173&lt;&gt;"PASS","BLOCK - GT loss risk","Commercially protected")))</x:f>
        <x:v>Needs supplier cost</x:v>
      </x:c>
      <x:c r="AI1173" t="str">
        <x:v>2026-09-10 Active Sports trade capture</x:v>
      </x:c>
      <x:c r="AJ1173" t="str">
        <x:v>Management-only economics. Stripe stress test uses 1.5% + £0.20 standard UK online-card fee; pallet/mix-and-match pricing ignored.</x:v>
      </x:c>
    </x:row>
    <x:row r="1174">
      <x:c r="A1174" t="str">
        <x:v>Active Sports Nutrition</x:v>
      </x:c>
      <x:c r="B1174" t="str">
        <x:v>Ghost Lifestyle</x:v>
      </x:c>
      <x:c r="C1174" t="str">
        <x:v>Whey Protein</x:v>
      </x:c>
      <x:c r="D1174" t="str">
        <x:v>Supplements</x:v>
      </x:c>
      <x:c r="E1174" t="str">
        <x:v>Whey Protein</x:v>
      </x:c>
      <x:c r="F1174" t="str">
        <x:v>Whey protein blend.</x:v>
      </x:c>
      <x:c r="G1174" t="str">
        <x:v>907g</x:v>
      </x:c>
      <x:c r="H1174" t="str">
        <x:v>Coffee Ice Cream</x:v>
      </x:c>
      <x:c r="I1174" t="str"/>
      <x:c r="J1174" t="str">
        <x:v>Unit</x:v>
      </x:c>
      <x:c r="K1174" t="str">
        <x:v>In stock</x:v>
      </x:c>
      <x:c r="L1174" t="str">
        <x:v>2026-09-08</x:v>
      </x:c>
      <x:c r="M1174" t="str"/>
      <x:c r="N1174" t="str"/>
      <x:c r="O1174" t="str">
        <x:v>https://www.activesportstrade.co.uk/ghost-lifestyle-trade</x:v>
      </x:c>
      <x:c r="P1174" t="str"/>
      <x:c r="Q1174" t="str"/>
      <x:c r="R1174" t="str"/>
      <x:c r="S1174" t="str">
        <x:v>Pending genuine supplier/brand image</x:v>
      </x:c>
      <x:c r="T1174" s="54"/>
      <x:c r="U1174" s="47" t="n">
        <x:v>0.2</x:v>
      </x:c>
      <x:c r="V1174" s="54" t="str">
        <x:f>IF(ISNUMBER(T1174),T1174*(1+U1174),"")</x:f>
      </x:c>
      <x:c r="W1174" s="47" t="n">
        <x:v>0.3</x:v>
      </x:c>
      <x:c r="X1174" s="54" t="str">
        <x:f>IF(ISNUMBER(V1174),V1174/(1-W1174),"")</x:f>
      </x:c>
      <x:c r="Y1174" s="55" t="str">
        <x:f>IF(ISNUMBER(X1174),ROUNDUP(X1174,0),"")</x:f>
      </x:c>
      <x:c r="Z1174" t="str">
        <x:f>IF(ISNUMBER(T1174),"Cost captured","Awaiting trade cost")</x:f>
        <x:v>Awaiting trade cost</x:v>
      </x:c>
      <x:c r="AB1174" s="36" t="str">
        <x:f>IF(ISNUMBER(Y1174),ROUND(Y1174*0.9,2),"")</x:f>
      </x:c>
      <x:c r="AC1174" s="36" t="str">
        <x:f>IF(ISNUMBER(AB1174),ROUND(AB1174-(AB1174*0.015+0.2)-V1174,2),"")</x:f>
      </x:c>
      <x:c r="AD1174" s="36" t="str">
        <x:f>IF(ISNUMBER(Y1174),ROUND(Y1174*0.8,2),"")</x:f>
      </x:c>
      <x:c r="AE1174" s="36" t="str">
        <x:f>IF(ISNUMBER(AD1174),ROUND(AD1174*0.015+0.2,2),"")</x:f>
      </x:c>
      <x:c r="AF1174" s="36" t="str">
        <x:f>IF(ISNUMBER(AD1174),ROUND(AD1174-AE1174-V1174,2),"")</x:f>
      </x:c>
      <x:c r="AG1174" t="str">
        <x:f>IF(NOT(ISNUMBER(T1174)),"PENDING",IF(AF1174&gt;0,"PASS","FAIL"))</x:f>
        <x:v>PENDING</x:v>
      </x:c>
      <x:c r="AH1174" t="str">
        <x:f>IF(NOT(ISNUMBER(T1174)),"Needs supplier cost",IF(K1174&lt;&gt;"In stock","Supplier unavailable",IF(AG1174&lt;&gt;"PASS","BLOCK - GT loss risk","Commercially protected")))</x:f>
        <x:v>Needs supplier cost</x:v>
      </x:c>
      <x:c r="AI1174" t="str">
        <x:v>2026-09-10 Active Sports trade capture</x:v>
      </x:c>
      <x:c r="AJ1174" t="str">
        <x:v>Management-only economics. Stripe stress test uses 1.5% + £0.20 standard UK online-card fee; pallet/mix-and-match pricing ignored.</x:v>
      </x:c>
    </x:row>
    <x:row r="1175">
      <x:c r="A1175" t="str">
        <x:v>Active Sports Nutrition</x:v>
      </x:c>
      <x:c r="B1175" t="str">
        <x:v>Ghost Lifestyle</x:v>
      </x:c>
      <x:c r="C1175" t="str">
        <x:v>Whey Protein</x:v>
      </x:c>
      <x:c r="D1175" t="str">
        <x:v>Supplements</x:v>
      </x:c>
      <x:c r="E1175" t="str">
        <x:v>Whey Protein</x:v>
      </x:c>
      <x:c r="F1175" t="str">
        <x:v>Whey protein blend.</x:v>
      </x:c>
      <x:c r="G1175" t="str">
        <x:v>907g</x:v>
      </x:c>
      <x:c r="H1175" t="str">
        <x:v>Fruity Cereal Milk</x:v>
      </x:c>
      <x:c r="I1175" t="str"/>
      <x:c r="J1175" t="str">
        <x:v>Unit</x:v>
      </x:c>
      <x:c r="K1175" t="str">
        <x:v>In stock</x:v>
      </x:c>
      <x:c r="L1175" t="str">
        <x:v>2026-09-08</x:v>
      </x:c>
      <x:c r="M1175" t="str"/>
      <x:c r="N1175" t="str"/>
      <x:c r="O1175" t="str">
        <x:v>https://www.activesportstrade.co.uk/ghost-lifestyle-trade</x:v>
      </x:c>
      <x:c r="P1175" t="str"/>
      <x:c r="Q1175" t="str"/>
      <x:c r="R1175" t="str"/>
      <x:c r="S1175" t="str">
        <x:v>Pending genuine supplier/brand image</x:v>
      </x:c>
      <x:c r="T1175" s="54"/>
      <x:c r="U1175" s="47" t="n">
        <x:v>0.2</x:v>
      </x:c>
      <x:c r="V1175" s="54" t="str">
        <x:f>IF(ISNUMBER(T1175),T1175*(1+U1175),"")</x:f>
      </x:c>
      <x:c r="W1175" s="47" t="n">
        <x:v>0.3</x:v>
      </x:c>
      <x:c r="X1175" s="54" t="str">
        <x:f>IF(ISNUMBER(V1175),V1175/(1-W1175),"")</x:f>
      </x:c>
      <x:c r="Y1175" s="55" t="str">
        <x:f>IF(ISNUMBER(X1175),ROUNDUP(X1175,0),"")</x:f>
      </x:c>
      <x:c r="Z1175" t="str">
        <x:f>IF(ISNUMBER(T1175),"Cost captured","Awaiting trade cost")</x:f>
        <x:v>Awaiting trade cost</x:v>
      </x:c>
      <x:c r="AB1175" s="36" t="str">
        <x:f>IF(ISNUMBER(Y1175),ROUND(Y1175*0.9,2),"")</x:f>
      </x:c>
      <x:c r="AC1175" s="36" t="str">
        <x:f>IF(ISNUMBER(AB1175),ROUND(AB1175-(AB1175*0.015+0.2)-V1175,2),"")</x:f>
      </x:c>
      <x:c r="AD1175" s="36" t="str">
        <x:f>IF(ISNUMBER(Y1175),ROUND(Y1175*0.8,2),"")</x:f>
      </x:c>
      <x:c r="AE1175" s="36" t="str">
        <x:f>IF(ISNUMBER(AD1175),ROUND(AD1175*0.015+0.2,2),"")</x:f>
      </x:c>
      <x:c r="AF1175" s="36" t="str">
        <x:f>IF(ISNUMBER(AD1175),ROUND(AD1175-AE1175-V1175,2),"")</x:f>
      </x:c>
      <x:c r="AG1175" t="str">
        <x:f>IF(NOT(ISNUMBER(T1175)),"PENDING",IF(AF1175&gt;0,"PASS","FAIL"))</x:f>
        <x:v>PENDING</x:v>
      </x:c>
      <x:c r="AH1175" t="str">
        <x:f>IF(NOT(ISNUMBER(T1175)),"Needs supplier cost",IF(K1175&lt;&gt;"In stock","Supplier unavailable",IF(AG1175&lt;&gt;"PASS","BLOCK - GT loss risk","Commercially protected")))</x:f>
        <x:v>Needs supplier cost</x:v>
      </x:c>
      <x:c r="AI1175" t="str">
        <x:v>2026-09-10 Active Sports trade capture</x:v>
      </x:c>
      <x:c r="AJ1175" t="str">
        <x:v>Management-only economics. Stripe stress test uses 1.5% + £0.20 standard UK online-card fee; pallet/mix-and-match pricing ignored.</x:v>
      </x:c>
    </x:row>
    <x:row r="1176">
      <x:c r="A1176" t="str">
        <x:v>Active Sports Nutrition</x:v>
      </x:c>
      <x:c r="B1176" t="str">
        <x:v>Ghost Lifestyle</x:v>
      </x:c>
      <x:c r="C1176" t="str">
        <x:v>Whey Protein</x:v>
      </x:c>
      <x:c r="D1176" t="str">
        <x:v>Supplements</x:v>
      </x:c>
      <x:c r="E1176" t="str">
        <x:v>Whey Protein</x:v>
      </x:c>
      <x:c r="F1176" t="str">
        <x:v>Whey protein blend.</x:v>
      </x:c>
      <x:c r="G1176" t="str">
        <x:v>907g</x:v>
      </x:c>
      <x:c r="H1176" t="str">
        <x:v>Marshmellow Cereal Milk</x:v>
      </x:c>
      <x:c r="I1176" t="str"/>
      <x:c r="J1176" t="str">
        <x:v>Unit</x:v>
      </x:c>
      <x:c r="K1176" t="str">
        <x:v>Out of stock</x:v>
      </x:c>
      <x:c r="L1176" t="str">
        <x:v>2026-09-08</x:v>
      </x:c>
      <x:c r="M1176" t="str"/>
      <x:c r="N1176" t="str"/>
      <x:c r="O1176" t="str">
        <x:v>https://www.activesportstrade.co.uk/ghost-lifestyle-trade</x:v>
      </x:c>
      <x:c r="P1176" t="str"/>
      <x:c r="Q1176" t="str"/>
      <x:c r="R1176" t="str"/>
      <x:c r="S1176" t="str">
        <x:v>Pending genuine supplier/brand image</x:v>
      </x:c>
      <x:c r="T1176" s="54"/>
      <x:c r="U1176" s="47" t="n">
        <x:v>0.2</x:v>
      </x:c>
      <x:c r="V1176" s="54" t="str">
        <x:f>IF(ISNUMBER(T1176),T1176*(1+U1176),"")</x:f>
      </x:c>
      <x:c r="W1176" s="47" t="n">
        <x:v>0.3</x:v>
      </x:c>
      <x:c r="X1176" s="54" t="str">
        <x:f>IF(ISNUMBER(V1176),V1176/(1-W1176),"")</x:f>
      </x:c>
      <x:c r="Y1176" s="55" t="str">
        <x:f>IF(ISNUMBER(X1176),ROUNDUP(X1176,0),"")</x:f>
      </x:c>
      <x:c r="Z1176" t="str">
        <x:f>IF(ISNUMBER(T1176),"Cost captured","Awaiting trade cost")</x:f>
        <x:v>Awaiting trade cost</x:v>
      </x:c>
      <x:c r="AB1176" s="36" t="str">
        <x:f>IF(ISNUMBER(Y1176),ROUND(Y1176*0.9,2),"")</x:f>
      </x:c>
      <x:c r="AC1176" s="36" t="str">
        <x:f>IF(ISNUMBER(AB1176),ROUND(AB1176-(AB1176*0.015+0.2)-V1176,2),"")</x:f>
      </x:c>
      <x:c r="AD1176" s="36" t="str">
        <x:f>IF(ISNUMBER(Y1176),ROUND(Y1176*0.8,2),"")</x:f>
      </x:c>
      <x:c r="AE1176" s="36" t="str">
        <x:f>IF(ISNUMBER(AD1176),ROUND(AD1176*0.015+0.2,2),"")</x:f>
      </x:c>
      <x:c r="AF1176" s="36" t="str">
        <x:f>IF(ISNUMBER(AD1176),ROUND(AD1176-AE1176-V1176,2),"")</x:f>
      </x:c>
      <x:c r="AG1176" t="str">
        <x:f>IF(NOT(ISNUMBER(T1176)),"PENDING",IF(AF1176&gt;0,"PASS","FAIL"))</x:f>
        <x:v>PENDING</x:v>
      </x:c>
      <x:c r="AH1176" t="str">
        <x:f>IF(NOT(ISNUMBER(T1176)),"Needs supplier cost",IF(K1176&lt;&gt;"In stock","Supplier unavailable",IF(AG1176&lt;&gt;"PASS","BLOCK - GT loss risk","Commercially protected")))</x:f>
        <x:v>Needs supplier cost</x:v>
      </x:c>
      <x:c r="AI1176" t="str">
        <x:v>2026-09-10 Active Sports trade capture</x:v>
      </x:c>
      <x:c r="AJ1176" t="str">
        <x:v>Management-only economics. Stripe stress test uses 1.5% + £0.20 standard UK online-card fee; pallet/mix-and-match pricing ignored.</x:v>
      </x:c>
    </x:row>
    <x:row r="1177">
      <x:c r="A1177" t="str">
        <x:v>Active Sports Nutrition</x:v>
      </x:c>
      <x:c r="B1177" t="str">
        <x:v>Ghost Lifestyle</x:v>
      </x:c>
      <x:c r="C1177" t="str">
        <x:v>Whey Protein</x:v>
      </x:c>
      <x:c r="D1177" t="str">
        <x:v>Supplements</x:v>
      </x:c>
      <x:c r="E1177" t="str">
        <x:v>Whey Protein</x:v>
      </x:c>
      <x:c r="F1177" t="str">
        <x:v>Whey protein blend.</x:v>
      </x:c>
      <x:c r="G1177" t="str">
        <x:v>907g</x:v>
      </x:c>
      <x:c r="H1177" t="str">
        <x:v>Milk Chocolate</x:v>
      </x:c>
      <x:c r="I1177" t="str"/>
      <x:c r="J1177" t="str">
        <x:v>Unit</x:v>
      </x:c>
      <x:c r="K1177" t="str">
        <x:v>In stock</x:v>
      </x:c>
      <x:c r="L1177" t="str">
        <x:v>2026-09-08</x:v>
      </x:c>
      <x:c r="M1177" t="str"/>
      <x:c r="N1177" t="str"/>
      <x:c r="O1177" t="str">
        <x:v>https://www.activesportstrade.co.uk/ghost-lifestyle-trade</x:v>
      </x:c>
      <x:c r="P1177" t="str"/>
      <x:c r="Q1177" t="str"/>
      <x:c r="R1177" t="str"/>
      <x:c r="S1177" t="str">
        <x:v>Pending genuine supplier/brand image</x:v>
      </x:c>
      <x:c r="T1177" s="54"/>
      <x:c r="U1177" s="47" t="n">
        <x:v>0.2</x:v>
      </x:c>
      <x:c r="V1177" s="54" t="str">
        <x:f>IF(ISNUMBER(T1177),T1177*(1+U1177),"")</x:f>
      </x:c>
      <x:c r="W1177" s="47" t="n">
        <x:v>0.3</x:v>
      </x:c>
      <x:c r="X1177" s="54" t="str">
        <x:f>IF(ISNUMBER(V1177),V1177/(1-W1177),"")</x:f>
      </x:c>
      <x:c r="Y1177" s="55" t="str">
        <x:f>IF(ISNUMBER(X1177),ROUNDUP(X1177,0),"")</x:f>
      </x:c>
      <x:c r="Z1177" t="str">
        <x:f>IF(ISNUMBER(T1177),"Cost captured","Awaiting trade cost")</x:f>
        <x:v>Awaiting trade cost</x:v>
      </x:c>
      <x:c r="AB1177" s="36" t="str">
        <x:f>IF(ISNUMBER(Y1177),ROUND(Y1177*0.9,2),"")</x:f>
      </x:c>
      <x:c r="AC1177" s="36" t="str">
        <x:f>IF(ISNUMBER(AB1177),ROUND(AB1177-(AB1177*0.015+0.2)-V1177,2),"")</x:f>
      </x:c>
      <x:c r="AD1177" s="36" t="str">
        <x:f>IF(ISNUMBER(Y1177),ROUND(Y1177*0.8,2),"")</x:f>
      </x:c>
      <x:c r="AE1177" s="36" t="str">
        <x:f>IF(ISNUMBER(AD1177),ROUND(AD1177*0.015+0.2,2),"")</x:f>
      </x:c>
      <x:c r="AF1177" s="36" t="str">
        <x:f>IF(ISNUMBER(AD1177),ROUND(AD1177-AE1177-V1177,2),"")</x:f>
      </x:c>
      <x:c r="AG1177" t="str">
        <x:f>IF(NOT(ISNUMBER(T1177)),"PENDING",IF(AF1177&gt;0,"PASS","FAIL"))</x:f>
        <x:v>PENDING</x:v>
      </x:c>
      <x:c r="AH1177" t="str">
        <x:f>IF(NOT(ISNUMBER(T1177)),"Needs supplier cost",IF(K1177&lt;&gt;"In stock","Supplier unavailable",IF(AG1177&lt;&gt;"PASS","BLOCK - GT loss risk","Commercially protected")))</x:f>
        <x:v>Needs supplier cost</x:v>
      </x:c>
      <x:c r="AI1177" t="str">
        <x:v>2026-09-10 Active Sports trade capture</x:v>
      </x:c>
      <x:c r="AJ1177" t="str">
        <x:v>Management-only economics. Stripe stress test uses 1.5% + £0.20 standard UK online-card fee; pallet/mix-and-match pricing ignored.</x:v>
      </x:c>
    </x:row>
    <x:row r="1178">
      <x:c r="A1178" t="str">
        <x:v>Active Sports Nutrition</x:v>
      </x:c>
      <x:c r="B1178" t="str">
        <x:v>Ghost Lifestyle</x:v>
      </x:c>
      <x:c r="C1178" t="str">
        <x:v>Whey Protein</x:v>
      </x:c>
      <x:c r="D1178" t="str">
        <x:v>Supplements</x:v>
      </x:c>
      <x:c r="E1178" t="str">
        <x:v>Whey Protein</x:v>
      </x:c>
      <x:c r="F1178" t="str">
        <x:v>Whey protein blend.</x:v>
      </x:c>
      <x:c r="G1178" t="str">
        <x:v>907g</x:v>
      </x:c>
      <x:c r="H1178" t="str">
        <x:v>Peanut Butter Cereal Milk</x:v>
      </x:c>
      <x:c r="I1178" t="str"/>
      <x:c r="J1178" t="str">
        <x:v>Unit</x:v>
      </x:c>
      <x:c r="K1178" t="str">
        <x:v>In stock</x:v>
      </x:c>
      <x:c r="L1178" t="str">
        <x:v>2026-09-08</x:v>
      </x:c>
      <x:c r="M1178" t="str"/>
      <x:c r="N1178" t="str"/>
      <x:c r="O1178" t="str">
        <x:v>https://www.activesportstrade.co.uk/ghost-lifestyle-trade</x:v>
      </x:c>
      <x:c r="P1178" t="str"/>
      <x:c r="Q1178" t="str"/>
      <x:c r="R1178" t="str"/>
      <x:c r="S1178" t="str">
        <x:v>Pending genuine supplier/brand image</x:v>
      </x:c>
      <x:c r="T1178" s="54"/>
      <x:c r="U1178" s="47" t="n">
        <x:v>0.2</x:v>
      </x:c>
      <x:c r="V1178" s="54" t="str">
        <x:f>IF(ISNUMBER(T1178),T1178*(1+U1178),"")</x:f>
      </x:c>
      <x:c r="W1178" s="47" t="n">
        <x:v>0.3</x:v>
      </x:c>
      <x:c r="X1178" s="54" t="str">
        <x:f>IF(ISNUMBER(V1178),V1178/(1-W1178),"")</x:f>
      </x:c>
      <x:c r="Y1178" s="55" t="str">
        <x:f>IF(ISNUMBER(X1178),ROUNDUP(X1178,0),"")</x:f>
      </x:c>
      <x:c r="Z1178" t="str">
        <x:f>IF(ISNUMBER(T1178),"Cost captured","Awaiting trade cost")</x:f>
        <x:v>Awaiting trade cost</x:v>
      </x:c>
      <x:c r="AB1178" s="36" t="str">
        <x:f>IF(ISNUMBER(Y1178),ROUND(Y1178*0.9,2),"")</x:f>
      </x:c>
      <x:c r="AC1178" s="36" t="str">
        <x:f>IF(ISNUMBER(AB1178),ROUND(AB1178-(AB1178*0.015+0.2)-V1178,2),"")</x:f>
      </x:c>
      <x:c r="AD1178" s="36" t="str">
        <x:f>IF(ISNUMBER(Y1178),ROUND(Y1178*0.8,2),"")</x:f>
      </x:c>
      <x:c r="AE1178" s="36" t="str">
        <x:f>IF(ISNUMBER(AD1178),ROUND(AD1178*0.015+0.2,2),"")</x:f>
      </x:c>
      <x:c r="AF1178" s="36" t="str">
        <x:f>IF(ISNUMBER(AD1178),ROUND(AD1178-AE1178-V1178,2),"")</x:f>
      </x:c>
      <x:c r="AG1178" t="str">
        <x:f>IF(NOT(ISNUMBER(T1178)),"PENDING",IF(AF1178&gt;0,"PASS","FAIL"))</x:f>
        <x:v>PENDING</x:v>
      </x:c>
      <x:c r="AH1178" t="str">
        <x:f>IF(NOT(ISNUMBER(T1178)),"Needs supplier cost",IF(K1178&lt;&gt;"In stock","Supplier unavailable",IF(AG1178&lt;&gt;"PASS","BLOCK - GT loss risk","Commercially protected")))</x:f>
        <x:v>Needs supplier cost</x:v>
      </x:c>
      <x:c r="AI1178" t="str">
        <x:v>2026-09-10 Active Sports trade capture</x:v>
      </x:c>
      <x:c r="AJ1178" t="str">
        <x:v>Management-only economics. Stripe stress test uses 1.5% + £0.20 standard UK online-card fee; pallet/mix-and-match pricing ignored.</x:v>
      </x:c>
    </x:row>
    <x:row r="1179">
      <x:c r="A1179" t="str">
        <x:v>Active Sports Nutrition</x:v>
      </x:c>
      <x:c r="B1179" t="str">
        <x:v>Ghost Lifestyle</x:v>
      </x:c>
      <x:c r="C1179" t="str">
        <x:v>Whey Protein</x:v>
      </x:c>
      <x:c r="D1179" t="str">
        <x:v>Supplements</x:v>
      </x:c>
      <x:c r="E1179" t="str">
        <x:v>Whey Protein</x:v>
      </x:c>
      <x:c r="F1179" t="str">
        <x:v>Whey protein blend.</x:v>
      </x:c>
      <x:c r="G1179" t="str">
        <x:v>907g</x:v>
      </x:c>
      <x:c r="H1179" t="str">
        <x:v>Strawberry Shortcake</x:v>
      </x:c>
      <x:c r="I1179" t="str"/>
      <x:c r="J1179" t="str">
        <x:v>Unit</x:v>
      </x:c>
      <x:c r="K1179" t="str">
        <x:v>Out of stock</x:v>
      </x:c>
      <x:c r="L1179" t="str">
        <x:v>2026-09-08</x:v>
      </x:c>
      <x:c r="M1179" t="str"/>
      <x:c r="N1179" t="str"/>
      <x:c r="O1179" t="str">
        <x:v>https://www.activesportstrade.co.uk/ghost-lifestyle-trade</x:v>
      </x:c>
      <x:c r="P1179" t="str"/>
      <x:c r="Q1179" t="str"/>
      <x:c r="R1179" t="str"/>
      <x:c r="S1179" t="str">
        <x:v>Pending genuine supplier/brand image</x:v>
      </x:c>
      <x:c r="T1179" s="54"/>
      <x:c r="U1179" s="47" t="n">
        <x:v>0.2</x:v>
      </x:c>
      <x:c r="V1179" s="54" t="str">
        <x:f>IF(ISNUMBER(T1179),T1179*(1+U1179),"")</x:f>
      </x:c>
      <x:c r="W1179" s="47" t="n">
        <x:v>0.3</x:v>
      </x:c>
      <x:c r="X1179" s="54" t="str">
        <x:f>IF(ISNUMBER(V1179),V1179/(1-W1179),"")</x:f>
      </x:c>
      <x:c r="Y1179" s="55" t="str">
        <x:f>IF(ISNUMBER(X1179),ROUNDUP(X1179,0),"")</x:f>
      </x:c>
      <x:c r="Z1179" t="str">
        <x:f>IF(ISNUMBER(T1179),"Cost captured","Awaiting trade cost")</x:f>
        <x:v>Awaiting trade cost</x:v>
      </x:c>
      <x:c r="AB1179" s="36" t="str">
        <x:f>IF(ISNUMBER(Y1179),ROUND(Y1179*0.9,2),"")</x:f>
      </x:c>
      <x:c r="AC1179" s="36" t="str">
        <x:f>IF(ISNUMBER(AB1179),ROUND(AB1179-(AB1179*0.015+0.2)-V1179,2),"")</x:f>
      </x:c>
      <x:c r="AD1179" s="36" t="str">
        <x:f>IF(ISNUMBER(Y1179),ROUND(Y1179*0.8,2),"")</x:f>
      </x:c>
      <x:c r="AE1179" s="36" t="str">
        <x:f>IF(ISNUMBER(AD1179),ROUND(AD1179*0.015+0.2,2),"")</x:f>
      </x:c>
      <x:c r="AF1179" s="36" t="str">
        <x:f>IF(ISNUMBER(AD1179),ROUND(AD1179-AE1179-V1179,2),"")</x:f>
      </x:c>
      <x:c r="AG1179" t="str">
        <x:f>IF(NOT(ISNUMBER(T1179)),"PENDING",IF(AF1179&gt;0,"PASS","FAIL"))</x:f>
        <x:v>PENDING</x:v>
      </x:c>
      <x:c r="AH1179" t="str">
        <x:f>IF(NOT(ISNUMBER(T1179)),"Needs supplier cost",IF(K1179&lt;&gt;"In stock","Supplier unavailable",IF(AG1179&lt;&gt;"PASS","BLOCK - GT loss risk","Commercially protected")))</x:f>
        <x:v>Needs supplier cost</x:v>
      </x:c>
      <x:c r="AI1179" t="str">
        <x:v>2026-09-10 Active Sports trade capture</x:v>
      </x:c>
      <x:c r="AJ1179" t="str">
        <x:v>Management-only economics. Stripe stress test uses 1.5% + £0.20 standard UK online-card fee; pallet/mix-and-match pricing ignored.</x:v>
      </x:c>
    </x:row>
    <x:row r="1180">
      <x:c r="A1180" t="str">
        <x:v>Active Sports Nutrition</x:v>
      </x:c>
      <x:c r="B1180" t="str">
        <x:v>Gorillalpha</x:v>
      </x:c>
      <x:c r="C1180" t="str">
        <x:v>Creatine</x:v>
      </x:c>
      <x:c r="D1180" t="str">
        <x:v>Supplements</x:v>
      </x:c>
      <x:c r="E1180" t="str">
        <x:v>Creatine Powders</x:v>
      </x:c>
      <x:c r="F1180" t="str">
        <x:v>Micronised creatine monohydrate.</x:v>
      </x:c>
      <x:c r="G1180" t="str">
        <x:v>400g</x:v>
      </x:c>
      <x:c r="H1180" t="str">
        <x:v>Unflavoured</x:v>
      </x:c>
      <x:c r="I1180" t="str"/>
      <x:c r="J1180" t="str">
        <x:v>Unit</x:v>
      </x:c>
      <x:c r="K1180" t="str">
        <x:v>Out of stock</x:v>
      </x:c>
      <x:c r="L1180" t="str">
        <x:v>2026-09-08</x:v>
      </x:c>
      <x:c r="M1180" t="str"/>
      <x:c r="N1180" t="str"/>
      <x:c r="O1180" t="str">
        <x:v>https://www.activesportstrade.co.uk/gorillalpha-trade</x:v>
      </x:c>
      <x:c r="P1180" t="str">
        <x:v>Fresh brand page used; older crawl showed this in stock.</x:v>
      </x:c>
      <x:c r="Q1180" t="str"/>
      <x:c r="R1180" t="str"/>
      <x:c r="S1180" t="str">
        <x:v>Pending genuine supplier/brand image</x:v>
      </x:c>
      <x:c r="T1180" s="54" t="n">
        <x:v>9.99</x:v>
      </x:c>
      <x:c r="U1180" s="47" t="n">
        <x:v>0.2</x:v>
      </x:c>
      <x:c r="V1180" s="54" t="n">
        <x:f>IF(ISNUMBER(T1180),T1180*(1+U1180),"")</x:f>
        <x:v>11.988</x:v>
      </x:c>
      <x:c r="W1180" s="47" t="n">
        <x:v>0.3</x:v>
      </x:c>
      <x:c r="X1180" s="54" t="n">
        <x:f>IF(ISNUMBER(V1180),V1180/(1-W1180),"")</x:f>
        <x:v>17.125714285714285</x:v>
      </x:c>
      <x:c r="Y1180" s="55" t="n">
        <x:f>IF(ISNUMBER(X1180),ROUNDUP(X1180,0),"")</x:f>
        <x:v>18</x:v>
      </x:c>
      <x:c r="Z1180" t="str">
        <x:v>Source match pending</x:v>
      </x:c>
      <x:c r="AA1180" t="str">
        <x:v>screencapture-www-activesportstrade-co-uk-gorillalpha-trade-2026-09-09-18_30_41.png / page-001</x:v>
      </x:c>
      <x:c r="AB1180" s="36" t="n">
        <x:f>IF(ISNUMBER(Y1180),ROUND(Y1180*0.9,2),"")</x:f>
        <x:v>16.2</x:v>
      </x:c>
      <x:c r="AC1180" s="36" t="n">
        <x:f>IF(ISNUMBER(AB1180),ROUND(AB1180-(AB1180*0.015+0.2)-V1180,2),"")</x:f>
        <x:v>3.77</x:v>
      </x:c>
      <x:c r="AD1180" s="36" t="n">
        <x:f>IF(ISNUMBER(Y1180),ROUND(Y1180*0.8,2),"")</x:f>
        <x:v>14.4</x:v>
      </x:c>
      <x:c r="AE1180" s="36" t="n">
        <x:f>IF(ISNUMBER(AD1180),ROUND(AD1180*0.015+0.2,2),"")</x:f>
        <x:v>0.42</x:v>
      </x:c>
      <x:c r="AF1180" s="36" t="n">
        <x:f>IF(ISNUMBER(AD1180),ROUND(AD1180-AE1180-V1180,2),"")</x:f>
        <x:v>1.99</x:v>
      </x:c>
      <x:c r="AG1180" t="str">
        <x:f>IF(NOT(ISNUMBER(T1180)),"PENDING",IF(AF1180&gt;0,"PASS","FAIL"))</x:f>
        <x:v>PASS</x:v>
      </x:c>
      <x:c r="AH1180" t="str">
        <x:f>IF(NOT(ISNUMBER(T1180)),"Needs supplier cost",IF(K1180&lt;&gt;"In stock","Supplier unavailable",IF(AG1180&lt;&gt;"PASS","BLOCK - GT loss risk","Commercially protected")))</x:f>
        <x:v>Supplier unavailable</x:v>
      </x:c>
      <x:c r="AI1180" t="str">
        <x:v>2026-09-10 Active Sports trade capture</x:v>
      </x:c>
      <x:c r="AJ1180" t="str">
        <x:v>Management-only economics. Stripe stress test uses 1.5% + £0.20 standard UK online-card fee; pallet/mix-and-match pricing ignored.</x:v>
      </x:c>
    </x:row>
    <x:row r="1181">
      <x:c r="A1181" t="str">
        <x:v>Active Sports Nutrition</x:v>
      </x:c>
      <x:c r="B1181" t="str">
        <x:v>Gorillalpha</x:v>
      </x:c>
      <x:c r="C1181" t="str">
        <x:v>Hydration Juice</x:v>
      </x:c>
      <x:c r="D1181" t="str">
        <x:v>Supplements</x:v>
      </x:c>
      <x:c r="E1181" t="str">
        <x:v>Hydration</x:v>
      </x:c>
      <x:c r="F1181" t="str">
        <x:v>Hydration/electrolyte powder.</x:v>
      </x:c>
      <x:c r="G1181" t="str">
        <x:v>300g</x:v>
      </x:c>
      <x:c r="H1181" t="str">
        <x:v>Fruit Twist Lollipop</x:v>
      </x:c>
      <x:c r="I1181" t="str"/>
      <x:c r="J1181" t="str">
        <x:v>Unit</x:v>
      </x:c>
      <x:c r="K1181" t="str">
        <x:v>In stock</x:v>
      </x:c>
      <x:c r="L1181" t="str">
        <x:v>2026-09-08</x:v>
      </x:c>
      <x:c r="M1181" t="str"/>
      <x:c r="N1181" t="str"/>
      <x:c r="O1181" t="str">
        <x:v>https://www.activesportstrade.co.uk/gorillalpha-trade</x:v>
      </x:c>
      <x:c r="P1181" t="str"/>
      <x:c r="Q1181" t="str"/>
      <x:c r="R1181" t="str"/>
      <x:c r="S1181" t="str">
        <x:v>Pending genuine supplier/brand image</x:v>
      </x:c>
      <x:c r="T1181" s="54" t="n">
        <x:v>13.12</x:v>
      </x:c>
      <x:c r="U1181" s="47" t="n">
        <x:v>0.2</x:v>
      </x:c>
      <x:c r="V1181" s="54" t="n">
        <x:f>IF(ISNUMBER(T1181),T1181*(1+U1181),"")</x:f>
        <x:v>15.743999999999998</x:v>
      </x:c>
      <x:c r="W1181" s="47" t="n">
        <x:v>0.3</x:v>
      </x:c>
      <x:c r="X1181" s="54" t="n">
        <x:f>IF(ISNUMBER(V1181),V1181/(1-W1181),"")</x:f>
        <x:v>22.49142857142857</x:v>
      </x:c>
      <x:c r="Y1181" s="55" t="n">
        <x:f>IF(ISNUMBER(X1181),ROUNDUP(X1181,0),"")</x:f>
        <x:v>23</x:v>
      </x:c>
      <x:c r="Z1181" t="str">
        <x:v>Source match pending</x:v>
      </x:c>
      <x:c r="AA1181" t="str">
        <x:v>screencapture-www-activesportstrade-co-uk-gorillalpha-trade-2026-09-09-18_30_41.png / page-001</x:v>
      </x:c>
      <x:c r="AB1181" s="36" t="n">
        <x:f>IF(ISNUMBER(Y1181),ROUND(Y1181*0.9,2),"")</x:f>
        <x:v>20.7</x:v>
      </x:c>
      <x:c r="AC1181" s="36" t="n">
        <x:f>IF(ISNUMBER(AB1181),ROUND(AB1181-(AB1181*0.015+0.2)-V1181,2),"")</x:f>
        <x:v>4.45</x:v>
      </x:c>
      <x:c r="AD1181" s="36" t="n">
        <x:f>IF(ISNUMBER(Y1181),ROUND(Y1181*0.8,2),"")</x:f>
        <x:v>18.4</x:v>
      </x:c>
      <x:c r="AE1181" s="36" t="n">
        <x:f>IF(ISNUMBER(AD1181),ROUND(AD1181*0.015+0.2,2),"")</x:f>
        <x:v>0.48</x:v>
      </x:c>
      <x:c r="AF1181" s="36" t="n">
        <x:f>IF(ISNUMBER(AD1181),ROUND(AD1181-AE1181-V1181,2),"")</x:f>
        <x:v>2.18</x:v>
      </x:c>
      <x:c r="AG1181" t="str">
        <x:f>IF(NOT(ISNUMBER(T1181)),"PENDING",IF(AF1181&gt;0,"PASS","FAIL"))</x:f>
        <x:v>PASS</x:v>
      </x:c>
      <x:c r="AH1181" t="str">
        <x:f>IF(NOT(ISNUMBER(T1181)),"Needs supplier cost",IF(K1181&lt;&gt;"In stock","Supplier unavailable",IF(AG1181&lt;&gt;"PASS","BLOCK - GT loss risk","Commercially protected")))</x:f>
        <x:v>Commercially protected</x:v>
      </x:c>
      <x:c r="AI1181" t="str">
        <x:v>2026-09-10 Active Sports trade capture</x:v>
      </x:c>
      <x:c r="AJ1181" t="str">
        <x:v>Management-only economics. Stripe stress test uses 1.5% + £0.20 standard UK online-card fee; pallet/mix-and-match pricing ignored.</x:v>
      </x:c>
    </x:row>
    <x:row r="1182">
      <x:c r="A1182" t="str">
        <x:v>Active Sports Nutrition</x:v>
      </x:c>
      <x:c r="B1182" t="str">
        <x:v>Gorillalpha</x:v>
      </x:c>
      <x:c r="C1182" t="str">
        <x:v>Hydration Juice</x:v>
      </x:c>
      <x:c r="D1182" t="str">
        <x:v>Supplements</x:v>
      </x:c>
      <x:c r="E1182" t="str">
        <x:v>Hydration</x:v>
      </x:c>
      <x:c r="F1182" t="str">
        <x:v>Hydration/electrolyte powder.</x:v>
      </x:c>
      <x:c r="G1182" t="str">
        <x:v>300g</x:v>
      </x:c>
      <x:c r="H1182" t="str">
        <x:v>Grape Strawberry Orange Slushie</x:v>
      </x:c>
      <x:c r="I1182" t="str"/>
      <x:c r="J1182" t="str">
        <x:v>Unit</x:v>
      </x:c>
      <x:c r="K1182" t="str">
        <x:v>In stock</x:v>
      </x:c>
      <x:c r="L1182" t="str">
        <x:v>2026-09-08</x:v>
      </x:c>
      <x:c r="M1182" t="str"/>
      <x:c r="N1182" t="str"/>
      <x:c r="O1182" t="str">
        <x:v>https://www.activesportstrade.co.uk/gorillalpha-trade</x:v>
      </x:c>
      <x:c r="P1182" t="str"/>
      <x:c r="Q1182" t="str"/>
      <x:c r="R1182" t="str"/>
      <x:c r="S1182" t="str">
        <x:v>Pending genuine supplier/brand image</x:v>
      </x:c>
      <x:c r="T1182" s="54" t="n">
        <x:v>13.12</x:v>
      </x:c>
      <x:c r="U1182" s="47" t="n">
        <x:v>0.2</x:v>
      </x:c>
      <x:c r="V1182" s="54" t="n">
        <x:f>IF(ISNUMBER(T1182),T1182*(1+U1182),"")</x:f>
        <x:v>15.743999999999998</x:v>
      </x:c>
      <x:c r="W1182" s="47" t="n">
        <x:v>0.3</x:v>
      </x:c>
      <x:c r="X1182" s="54" t="n">
        <x:f>IF(ISNUMBER(V1182),V1182/(1-W1182),"")</x:f>
        <x:v>22.49142857142857</x:v>
      </x:c>
      <x:c r="Y1182" s="55" t="n">
        <x:f>IF(ISNUMBER(X1182),ROUNDUP(X1182,0),"")</x:f>
        <x:v>23</x:v>
      </x:c>
      <x:c r="Z1182" t="str">
        <x:v>Source match pending</x:v>
      </x:c>
      <x:c r="AA1182" t="str">
        <x:v>screencapture-www-activesportstrade-co-uk-gorillalpha-trade-2026-09-09-18_30_41.png / page-001</x:v>
      </x:c>
      <x:c r="AB1182" s="36" t="n">
        <x:f>IF(ISNUMBER(Y1182),ROUND(Y1182*0.9,2),"")</x:f>
        <x:v>20.7</x:v>
      </x:c>
      <x:c r="AC1182" s="36" t="n">
        <x:f>IF(ISNUMBER(AB1182),ROUND(AB1182-(AB1182*0.015+0.2)-V1182,2),"")</x:f>
        <x:v>4.45</x:v>
      </x:c>
      <x:c r="AD1182" s="36" t="n">
        <x:f>IF(ISNUMBER(Y1182),ROUND(Y1182*0.8,2),"")</x:f>
        <x:v>18.4</x:v>
      </x:c>
      <x:c r="AE1182" s="36" t="n">
        <x:f>IF(ISNUMBER(AD1182),ROUND(AD1182*0.015+0.2,2),"")</x:f>
        <x:v>0.48</x:v>
      </x:c>
      <x:c r="AF1182" s="36" t="n">
        <x:f>IF(ISNUMBER(AD1182),ROUND(AD1182-AE1182-V1182,2),"")</x:f>
        <x:v>2.18</x:v>
      </x:c>
      <x:c r="AG1182" t="str">
        <x:f>IF(NOT(ISNUMBER(T1182)),"PENDING",IF(AF1182&gt;0,"PASS","FAIL"))</x:f>
        <x:v>PASS</x:v>
      </x:c>
      <x:c r="AH1182" t="str">
        <x:f>IF(NOT(ISNUMBER(T1182)),"Needs supplier cost",IF(K1182&lt;&gt;"In stock","Supplier unavailable",IF(AG1182&lt;&gt;"PASS","BLOCK - GT loss risk","Commercially protected")))</x:f>
        <x:v>Commercially protected</x:v>
      </x:c>
      <x:c r="AI1182" t="str">
        <x:v>2026-09-10 Active Sports trade capture</x:v>
      </x:c>
      <x:c r="AJ1182" t="str">
        <x:v>Management-only economics. Stripe stress test uses 1.5% + £0.20 standard UK online-card fee; pallet/mix-and-match pricing ignored.</x:v>
      </x:c>
    </x:row>
    <x:row r="1183">
      <x:c r="A1183" t="str">
        <x:v>Active Sports Nutrition</x:v>
      </x:c>
      <x:c r="B1183" t="str">
        <x:v>Gorillalpha</x:v>
      </x:c>
      <x:c r="C1183" t="str">
        <x:v>Hydration Juice</x:v>
      </x:c>
      <x:c r="D1183" t="str">
        <x:v>Supplements</x:v>
      </x:c>
      <x:c r="E1183" t="str">
        <x:v>Hydration</x:v>
      </x:c>
      <x:c r="F1183" t="str">
        <x:v>Hydration/electrolyte powder.</x:v>
      </x:c>
      <x:c r="G1183" t="str">
        <x:v>300g</x:v>
      </x:c>
      <x:c r="H1183" t="str">
        <x:v>Mango Pineapple Passionfruit</x:v>
      </x:c>
      <x:c r="I1183" t="str"/>
      <x:c r="J1183" t="str">
        <x:v>Unit</x:v>
      </x:c>
      <x:c r="K1183" t="str">
        <x:v>Out of stock</x:v>
      </x:c>
      <x:c r="L1183" t="str">
        <x:v>2026-09-08</x:v>
      </x:c>
      <x:c r="M1183" t="str"/>
      <x:c r="N1183" t="str"/>
      <x:c r="O1183" t="str">
        <x:v>https://www.activesportstrade.co.uk/gorillalpha-trade</x:v>
      </x:c>
      <x:c r="P1183" t="str"/>
      <x:c r="Q1183" t="str"/>
      <x:c r="R1183" t="str"/>
      <x:c r="S1183" t="str">
        <x:v>Pending genuine supplier/brand image</x:v>
      </x:c>
      <x:c r="T1183" s="54" t="n">
        <x:v>13.12</x:v>
      </x:c>
      <x:c r="U1183" s="47" t="n">
        <x:v>0.2</x:v>
      </x:c>
      <x:c r="V1183" s="54" t="n">
        <x:f>IF(ISNUMBER(T1183),T1183*(1+U1183),"")</x:f>
        <x:v>15.743999999999998</x:v>
      </x:c>
      <x:c r="W1183" s="47" t="n">
        <x:v>0.3</x:v>
      </x:c>
      <x:c r="X1183" s="54" t="n">
        <x:f>IF(ISNUMBER(V1183),V1183/(1-W1183),"")</x:f>
        <x:v>22.49142857142857</x:v>
      </x:c>
      <x:c r="Y1183" s="55" t="n">
        <x:f>IF(ISNUMBER(X1183),ROUNDUP(X1183,0),"")</x:f>
        <x:v>23</x:v>
      </x:c>
      <x:c r="Z1183" t="str">
        <x:v>Source match pending</x:v>
      </x:c>
      <x:c r="AA1183" t="str">
        <x:v>screencapture-www-activesportstrade-co-uk-gorillalpha-trade-2026-09-09-18_30_41.png / page-001</x:v>
      </x:c>
      <x:c r="AB1183" s="36" t="n">
        <x:f>IF(ISNUMBER(Y1183),ROUND(Y1183*0.9,2),"")</x:f>
        <x:v>20.7</x:v>
      </x:c>
      <x:c r="AC1183" s="36" t="n">
        <x:f>IF(ISNUMBER(AB1183),ROUND(AB1183-(AB1183*0.015+0.2)-V1183,2),"")</x:f>
        <x:v>4.45</x:v>
      </x:c>
      <x:c r="AD1183" s="36" t="n">
        <x:f>IF(ISNUMBER(Y1183),ROUND(Y1183*0.8,2),"")</x:f>
        <x:v>18.4</x:v>
      </x:c>
      <x:c r="AE1183" s="36" t="n">
        <x:f>IF(ISNUMBER(AD1183),ROUND(AD1183*0.015+0.2,2),"")</x:f>
        <x:v>0.48</x:v>
      </x:c>
      <x:c r="AF1183" s="36" t="n">
        <x:f>IF(ISNUMBER(AD1183),ROUND(AD1183-AE1183-V1183,2),"")</x:f>
        <x:v>2.18</x:v>
      </x:c>
      <x:c r="AG1183" t="str">
        <x:f>IF(NOT(ISNUMBER(T1183)),"PENDING",IF(AF1183&gt;0,"PASS","FAIL"))</x:f>
        <x:v>PASS</x:v>
      </x:c>
      <x:c r="AH1183" t="str">
        <x:f>IF(NOT(ISNUMBER(T1183)),"Needs supplier cost",IF(K1183&lt;&gt;"In stock","Supplier unavailable",IF(AG1183&lt;&gt;"PASS","BLOCK - GT loss risk","Commercially protected")))</x:f>
        <x:v>Supplier unavailable</x:v>
      </x:c>
      <x:c r="AI1183" t="str">
        <x:v>2026-09-10 Active Sports trade capture</x:v>
      </x:c>
      <x:c r="AJ1183" t="str">
        <x:v>Management-only economics. Stripe stress test uses 1.5% + £0.20 standard UK online-card fee; pallet/mix-and-match pricing ignored.</x:v>
      </x:c>
    </x:row>
    <x:row r="1184">
      <x:c r="A1184" t="str">
        <x:v>Active Sports Nutrition</x:v>
      </x:c>
      <x:c r="B1184" t="str">
        <x:v>Gorillalpha</x:v>
      </x:c>
      <x:c r="C1184" t="str">
        <x:v>Hydration Juice</x:v>
      </x:c>
      <x:c r="D1184" t="str">
        <x:v>Supplements</x:v>
      </x:c>
      <x:c r="E1184" t="str">
        <x:v>Hydration</x:v>
      </x:c>
      <x:c r="F1184" t="str">
        <x:v>Hydration/electrolyte powder.</x:v>
      </x:c>
      <x:c r="G1184" t="str">
        <x:v>300g</x:v>
      </x:c>
      <x:c r="H1184" t="str">
        <x:v>Rocket Lollipop</x:v>
      </x:c>
      <x:c r="I1184" t="str"/>
      <x:c r="J1184" t="str">
        <x:v>Unit</x:v>
      </x:c>
      <x:c r="K1184" t="str">
        <x:v>Out of stock</x:v>
      </x:c>
      <x:c r="L1184" t="str">
        <x:v>2026-09-08</x:v>
      </x:c>
      <x:c r="M1184" t="str"/>
      <x:c r="N1184" t="str"/>
      <x:c r="O1184" t="str">
        <x:v>https://www.activesportstrade.co.uk/gorillalpha-trade</x:v>
      </x:c>
      <x:c r="P1184" t="str"/>
      <x:c r="Q1184" t="str"/>
      <x:c r="R1184" t="str"/>
      <x:c r="S1184" t="str">
        <x:v>Pending genuine supplier/brand image</x:v>
      </x:c>
      <x:c r="T1184" s="54" t="n">
        <x:v>13.12</x:v>
      </x:c>
      <x:c r="U1184" s="47" t="n">
        <x:v>0.2</x:v>
      </x:c>
      <x:c r="V1184" s="54" t="n">
        <x:f>IF(ISNUMBER(T1184),T1184*(1+U1184),"")</x:f>
        <x:v>15.743999999999998</x:v>
      </x:c>
      <x:c r="W1184" s="47" t="n">
        <x:v>0.3</x:v>
      </x:c>
      <x:c r="X1184" s="54" t="n">
        <x:f>IF(ISNUMBER(V1184),V1184/(1-W1184),"")</x:f>
        <x:v>22.49142857142857</x:v>
      </x:c>
      <x:c r="Y1184" s="55" t="n">
        <x:f>IF(ISNUMBER(X1184),ROUNDUP(X1184,0),"")</x:f>
        <x:v>23</x:v>
      </x:c>
      <x:c r="Z1184" t="str">
        <x:v>Source match pending</x:v>
      </x:c>
      <x:c r="AA1184" t="str">
        <x:v>screencapture-www-activesportstrade-co-uk-gorillalpha-trade-2026-09-09-18_30_41.png / page-001</x:v>
      </x:c>
      <x:c r="AB1184" s="36" t="n">
        <x:f>IF(ISNUMBER(Y1184),ROUND(Y1184*0.9,2),"")</x:f>
        <x:v>20.7</x:v>
      </x:c>
      <x:c r="AC1184" s="36" t="n">
        <x:f>IF(ISNUMBER(AB1184),ROUND(AB1184-(AB1184*0.015+0.2)-V1184,2),"")</x:f>
        <x:v>4.45</x:v>
      </x:c>
      <x:c r="AD1184" s="36" t="n">
        <x:f>IF(ISNUMBER(Y1184),ROUND(Y1184*0.8,2),"")</x:f>
        <x:v>18.4</x:v>
      </x:c>
      <x:c r="AE1184" s="36" t="n">
        <x:f>IF(ISNUMBER(AD1184),ROUND(AD1184*0.015+0.2,2),"")</x:f>
        <x:v>0.48</x:v>
      </x:c>
      <x:c r="AF1184" s="36" t="n">
        <x:f>IF(ISNUMBER(AD1184),ROUND(AD1184-AE1184-V1184,2),"")</x:f>
        <x:v>2.18</x:v>
      </x:c>
      <x:c r="AG1184" t="str">
        <x:f>IF(NOT(ISNUMBER(T1184)),"PENDING",IF(AF1184&gt;0,"PASS","FAIL"))</x:f>
        <x:v>PASS</x:v>
      </x:c>
      <x:c r="AH1184" t="str">
        <x:f>IF(NOT(ISNUMBER(T1184)),"Needs supplier cost",IF(K1184&lt;&gt;"In stock","Supplier unavailable",IF(AG1184&lt;&gt;"PASS","BLOCK - GT loss risk","Commercially protected")))</x:f>
        <x:v>Supplier unavailable</x:v>
      </x:c>
      <x:c r="AI1184" t="str">
        <x:v>2026-09-10 Active Sports trade capture</x:v>
      </x:c>
      <x:c r="AJ1184" t="str">
        <x:v>Management-only economics. Stripe stress test uses 1.5% + £0.20 standard UK online-card fee; pallet/mix-and-match pricing ignored.</x:v>
      </x:c>
    </x:row>
    <x:row r="1185">
      <x:c r="A1185" t="str">
        <x:v>Active Sports Nutrition</x:v>
      </x:c>
      <x:c r="B1185" t="str">
        <x:v>Gorillalpha</x:v>
      </x:c>
      <x:c r="C1185" t="str">
        <x:v>Hydration Juice</x:v>
      </x:c>
      <x:c r="D1185" t="str">
        <x:v>Supplements</x:v>
      </x:c>
      <x:c r="E1185" t="str">
        <x:v>Hydration</x:v>
      </x:c>
      <x:c r="F1185" t="str">
        <x:v>Hydration/electrolyte powder.</x:v>
      </x:c>
      <x:c r="G1185" t="str">
        <x:v>300g</x:v>
      </x:c>
      <x:c r="H1185" t="str">
        <x:v>Ultimate Cherry</x:v>
      </x:c>
      <x:c r="I1185" t="str"/>
      <x:c r="J1185" t="str">
        <x:v>Unit</x:v>
      </x:c>
      <x:c r="K1185" t="str">
        <x:v>Out of stock</x:v>
      </x:c>
      <x:c r="L1185" t="str">
        <x:v>2026-09-08</x:v>
      </x:c>
      <x:c r="M1185" t="str"/>
      <x:c r="N1185" t="str"/>
      <x:c r="O1185" t="str">
        <x:v>https://www.activesportstrade.co.uk/gorillalpha-trade</x:v>
      </x:c>
      <x:c r="P1185" t="str"/>
      <x:c r="Q1185" t="str"/>
      <x:c r="R1185" t="str"/>
      <x:c r="S1185" t="str">
        <x:v>Pending genuine supplier/brand image</x:v>
      </x:c>
      <x:c r="T1185" s="54" t="n">
        <x:v>13.12</x:v>
      </x:c>
      <x:c r="U1185" s="47" t="n">
        <x:v>0.2</x:v>
      </x:c>
      <x:c r="V1185" s="54" t="n">
        <x:f>IF(ISNUMBER(T1185),T1185*(1+U1185),"")</x:f>
        <x:v>15.743999999999998</x:v>
      </x:c>
      <x:c r="W1185" s="47" t="n">
        <x:v>0.3</x:v>
      </x:c>
      <x:c r="X1185" s="54" t="n">
        <x:f>IF(ISNUMBER(V1185),V1185/(1-W1185),"")</x:f>
        <x:v>22.49142857142857</x:v>
      </x:c>
      <x:c r="Y1185" s="55" t="n">
        <x:f>IF(ISNUMBER(X1185),ROUNDUP(X1185,0),"")</x:f>
        <x:v>23</x:v>
      </x:c>
      <x:c r="Z1185" t="str">
        <x:v>Source match pending</x:v>
      </x:c>
      <x:c r="AA1185" t="str">
        <x:v>screencapture-www-activesportstrade-co-uk-gorillalpha-trade-2026-09-09-18_30_41.png / page-001</x:v>
      </x:c>
      <x:c r="AB1185" s="36" t="n">
        <x:f>IF(ISNUMBER(Y1185),ROUND(Y1185*0.9,2),"")</x:f>
        <x:v>20.7</x:v>
      </x:c>
      <x:c r="AC1185" s="36" t="n">
        <x:f>IF(ISNUMBER(AB1185),ROUND(AB1185-(AB1185*0.015+0.2)-V1185,2),"")</x:f>
        <x:v>4.45</x:v>
      </x:c>
      <x:c r="AD1185" s="36" t="n">
        <x:f>IF(ISNUMBER(Y1185),ROUND(Y1185*0.8,2),"")</x:f>
        <x:v>18.4</x:v>
      </x:c>
      <x:c r="AE1185" s="36" t="n">
        <x:f>IF(ISNUMBER(AD1185),ROUND(AD1185*0.015+0.2,2),"")</x:f>
        <x:v>0.48</x:v>
      </x:c>
      <x:c r="AF1185" s="36" t="n">
        <x:f>IF(ISNUMBER(AD1185),ROUND(AD1185-AE1185-V1185,2),"")</x:f>
        <x:v>2.18</x:v>
      </x:c>
      <x:c r="AG1185" t="str">
        <x:f>IF(NOT(ISNUMBER(T1185)),"PENDING",IF(AF1185&gt;0,"PASS","FAIL"))</x:f>
        <x:v>PASS</x:v>
      </x:c>
      <x:c r="AH1185" t="str">
        <x:f>IF(NOT(ISNUMBER(T1185)),"Needs supplier cost",IF(K1185&lt;&gt;"In stock","Supplier unavailable",IF(AG1185&lt;&gt;"PASS","BLOCK - GT loss risk","Commercially protected")))</x:f>
        <x:v>Supplier unavailable</x:v>
      </x:c>
      <x:c r="AI1185" t="str">
        <x:v>2026-09-10 Active Sports trade capture</x:v>
      </x:c>
      <x:c r="AJ1185" t="str">
        <x:v>Management-only economics. Stripe stress test uses 1.5% + £0.20 standard UK online-card fee; pallet/mix-and-match pricing ignored.</x:v>
      </x:c>
    </x:row>
    <x:row r="1186">
      <x:c r="A1186" t="str">
        <x:v>Active Sports Nutrition</x:v>
      </x:c>
      <x:c r="B1186" t="str">
        <x:v>Gorillalpha</x:v>
      </x:c>
      <x:c r="C1186" t="str">
        <x:v>Hydration Juice</x:v>
      </x:c>
      <x:c r="D1186" t="str">
        <x:v>Supplements</x:v>
      </x:c>
      <x:c r="E1186" t="str">
        <x:v>Hydration</x:v>
      </x:c>
      <x:c r="F1186" t="str">
        <x:v>Hydration/electrolyte powder.</x:v>
      </x:c>
      <x:c r="G1186" t="str">
        <x:v>300g</x:v>
      </x:c>
      <x:c r="H1186" t="str">
        <x:v>Ultimate Energy</x:v>
      </x:c>
      <x:c r="I1186" t="str"/>
      <x:c r="J1186" t="str">
        <x:v>Unit</x:v>
      </x:c>
      <x:c r="K1186" t="str">
        <x:v>Out of stock</x:v>
      </x:c>
      <x:c r="L1186" t="str">
        <x:v>2026-09-08</x:v>
      </x:c>
      <x:c r="M1186" t="str"/>
      <x:c r="N1186" t="str"/>
      <x:c r="O1186" t="str">
        <x:v>https://www.activesportstrade.co.uk/gorillalpha-trade</x:v>
      </x:c>
      <x:c r="P1186" t="str"/>
      <x:c r="Q1186" t="str"/>
      <x:c r="R1186" t="str"/>
      <x:c r="S1186" t="str">
        <x:v>Pending genuine supplier/brand image</x:v>
      </x:c>
      <x:c r="T1186" s="54" t="n">
        <x:v>13.12</x:v>
      </x:c>
      <x:c r="U1186" s="47" t="n">
        <x:v>0.2</x:v>
      </x:c>
      <x:c r="V1186" s="54" t="n">
        <x:f>IF(ISNUMBER(T1186),T1186*(1+U1186),"")</x:f>
        <x:v>15.743999999999998</x:v>
      </x:c>
      <x:c r="W1186" s="47" t="n">
        <x:v>0.3</x:v>
      </x:c>
      <x:c r="X1186" s="54" t="n">
        <x:f>IF(ISNUMBER(V1186),V1186/(1-W1186),"")</x:f>
        <x:v>22.49142857142857</x:v>
      </x:c>
      <x:c r="Y1186" s="55" t="n">
        <x:f>IF(ISNUMBER(X1186),ROUNDUP(X1186,0),"")</x:f>
        <x:v>23</x:v>
      </x:c>
      <x:c r="Z1186" t="str">
        <x:v>Source match pending</x:v>
      </x:c>
      <x:c r="AA1186" t="str">
        <x:v>screencapture-www-activesportstrade-co-uk-gorillalpha-trade-2026-09-09-18_30_41.png / page-001</x:v>
      </x:c>
      <x:c r="AB1186" s="36" t="n">
        <x:f>IF(ISNUMBER(Y1186),ROUND(Y1186*0.9,2),"")</x:f>
        <x:v>20.7</x:v>
      </x:c>
      <x:c r="AC1186" s="36" t="n">
        <x:f>IF(ISNUMBER(AB1186),ROUND(AB1186-(AB1186*0.015+0.2)-V1186,2),"")</x:f>
        <x:v>4.45</x:v>
      </x:c>
      <x:c r="AD1186" s="36" t="n">
        <x:f>IF(ISNUMBER(Y1186),ROUND(Y1186*0.8,2),"")</x:f>
        <x:v>18.4</x:v>
      </x:c>
      <x:c r="AE1186" s="36" t="n">
        <x:f>IF(ISNUMBER(AD1186),ROUND(AD1186*0.015+0.2,2),"")</x:f>
        <x:v>0.48</x:v>
      </x:c>
      <x:c r="AF1186" s="36" t="n">
        <x:f>IF(ISNUMBER(AD1186),ROUND(AD1186-AE1186-V1186,2),"")</x:f>
        <x:v>2.18</x:v>
      </x:c>
      <x:c r="AG1186" t="str">
        <x:f>IF(NOT(ISNUMBER(T1186)),"PENDING",IF(AF1186&gt;0,"PASS","FAIL"))</x:f>
        <x:v>PASS</x:v>
      </x:c>
      <x:c r="AH1186" t="str">
        <x:f>IF(NOT(ISNUMBER(T1186)),"Needs supplier cost",IF(K1186&lt;&gt;"In stock","Supplier unavailable",IF(AG1186&lt;&gt;"PASS","BLOCK - GT loss risk","Commercially protected")))</x:f>
        <x:v>Supplier unavailable</x:v>
      </x:c>
      <x:c r="AI1186" t="str">
        <x:v>2026-09-10 Active Sports trade capture</x:v>
      </x:c>
      <x:c r="AJ1186" t="str">
        <x:v>Management-only economics. Stripe stress test uses 1.5% + £0.20 standard UK online-card fee; pallet/mix-and-match pricing ignored.</x:v>
      </x:c>
    </x:row>
    <x:row r="1187">
      <x:c r="A1187" t="str">
        <x:v>Active Sports Nutrition</x:v>
      </x:c>
      <x:c r="B1187" t="str">
        <x:v>Gorillalpha</x:v>
      </x:c>
      <x:c r="C1187" t="str">
        <x:v>Hydration Juice</x:v>
      </x:c>
      <x:c r="D1187" t="str">
        <x:v>Supplements</x:v>
      </x:c>
      <x:c r="E1187" t="str">
        <x:v>Hydration</x:v>
      </x:c>
      <x:c r="F1187" t="str">
        <x:v>Hydration/electrolyte powder.</x:v>
      </x:c>
      <x:c r="G1187" t="str">
        <x:v>300g</x:v>
      </x:c>
      <x:c r="H1187" t="str">
        <x:v>Ultimate Raspberry Lemonade</x:v>
      </x:c>
      <x:c r="I1187" t="str"/>
      <x:c r="J1187" t="str">
        <x:v>Unit</x:v>
      </x:c>
      <x:c r="K1187" t="str">
        <x:v>In stock</x:v>
      </x:c>
      <x:c r="L1187" t="str">
        <x:v>2026-09-08</x:v>
      </x:c>
      <x:c r="M1187" t="str"/>
      <x:c r="N1187" t="str"/>
      <x:c r="O1187" t="str">
        <x:v>https://www.activesportstrade.co.uk/gorillalpha-trade</x:v>
      </x:c>
      <x:c r="P1187" t="str"/>
      <x:c r="Q1187" t="str"/>
      <x:c r="R1187" t="str"/>
      <x:c r="S1187" t="str">
        <x:v>Pending genuine supplier/brand image</x:v>
      </x:c>
      <x:c r="T1187" s="54" t="n">
        <x:v>13.12</x:v>
      </x:c>
      <x:c r="U1187" s="47" t="n">
        <x:v>0.2</x:v>
      </x:c>
      <x:c r="V1187" s="54" t="n">
        <x:f>IF(ISNUMBER(T1187),T1187*(1+U1187),"")</x:f>
        <x:v>15.743999999999998</x:v>
      </x:c>
      <x:c r="W1187" s="47" t="n">
        <x:v>0.3</x:v>
      </x:c>
      <x:c r="X1187" s="54" t="n">
        <x:f>IF(ISNUMBER(V1187),V1187/(1-W1187),"")</x:f>
        <x:v>22.49142857142857</x:v>
      </x:c>
      <x:c r="Y1187" s="55" t="n">
        <x:f>IF(ISNUMBER(X1187),ROUNDUP(X1187,0),"")</x:f>
        <x:v>23</x:v>
      </x:c>
      <x:c r="Z1187" t="str">
        <x:v>Source match pending</x:v>
      </x:c>
      <x:c r="AA1187" t="str">
        <x:v>screencapture-www-activesportstrade-co-uk-gorillalpha-trade-2026-09-09-18_30_41.png / page-001</x:v>
      </x:c>
      <x:c r="AB1187" s="36" t="n">
        <x:f>IF(ISNUMBER(Y1187),ROUND(Y1187*0.9,2),"")</x:f>
        <x:v>20.7</x:v>
      </x:c>
      <x:c r="AC1187" s="36" t="n">
        <x:f>IF(ISNUMBER(AB1187),ROUND(AB1187-(AB1187*0.015+0.2)-V1187,2),"")</x:f>
        <x:v>4.45</x:v>
      </x:c>
      <x:c r="AD1187" s="36" t="n">
        <x:f>IF(ISNUMBER(Y1187),ROUND(Y1187*0.8,2),"")</x:f>
        <x:v>18.4</x:v>
      </x:c>
      <x:c r="AE1187" s="36" t="n">
        <x:f>IF(ISNUMBER(AD1187),ROUND(AD1187*0.015+0.2,2),"")</x:f>
        <x:v>0.48</x:v>
      </x:c>
      <x:c r="AF1187" s="36" t="n">
        <x:f>IF(ISNUMBER(AD1187),ROUND(AD1187-AE1187-V1187,2),"")</x:f>
        <x:v>2.18</x:v>
      </x:c>
      <x:c r="AG1187" t="str">
        <x:f>IF(NOT(ISNUMBER(T1187)),"PENDING",IF(AF1187&gt;0,"PASS","FAIL"))</x:f>
        <x:v>PASS</x:v>
      </x:c>
      <x:c r="AH1187" t="str">
        <x:f>IF(NOT(ISNUMBER(T1187)),"Needs supplier cost",IF(K1187&lt;&gt;"In stock","Supplier unavailable",IF(AG1187&lt;&gt;"PASS","BLOCK - GT loss risk","Commercially protected")))</x:f>
        <x:v>Commercially protected</x:v>
      </x:c>
      <x:c r="AI1187" t="str">
        <x:v>2026-09-10 Active Sports trade capture</x:v>
      </x:c>
      <x:c r="AJ1187" t="str">
        <x:v>Management-only economics. Stripe stress test uses 1.5% + £0.20 standard UK online-card fee; pallet/mix-and-match pricing ignored.</x:v>
      </x:c>
    </x:row>
    <x:row r="1188">
      <x:c r="A1188" t="str">
        <x:v>Active Sports Nutrition</x:v>
      </x:c>
      <x:c r="B1188" t="str">
        <x:v>Gorillalpha</x:v>
      </x:c>
      <x:c r="C1188" t="str">
        <x:v>Hydration Juice</x:v>
      </x:c>
      <x:c r="D1188" t="str">
        <x:v>Supplements</x:v>
      </x:c>
      <x:c r="E1188" t="str">
        <x:v>Hydration</x:v>
      </x:c>
      <x:c r="F1188" t="str">
        <x:v>Hydration/electrolyte powder.</x:v>
      </x:c>
      <x:c r="G1188" t="str">
        <x:v>300g</x:v>
      </x:c>
      <x:c r="H1188" t="str">
        <x:v>Ultimate Sherbet Double Dipped</x:v>
      </x:c>
      <x:c r="I1188" t="str"/>
      <x:c r="J1188" t="str">
        <x:v>Unit</x:v>
      </x:c>
      <x:c r="K1188" t="str">
        <x:v>Out of stock</x:v>
      </x:c>
      <x:c r="L1188" t="str">
        <x:v>2026-09-08</x:v>
      </x:c>
      <x:c r="M1188" t="str"/>
      <x:c r="N1188" t="str"/>
      <x:c r="O1188" t="str">
        <x:v>https://www.activesportstrade.co.uk/gorillalpha-trade</x:v>
      </x:c>
      <x:c r="P1188" t="str"/>
      <x:c r="Q1188" t="str"/>
      <x:c r="R1188" t="str"/>
      <x:c r="S1188" t="str">
        <x:v>Pending genuine supplier/brand image</x:v>
      </x:c>
      <x:c r="T1188" s="54" t="n">
        <x:v>13.12</x:v>
      </x:c>
      <x:c r="U1188" s="47" t="n">
        <x:v>0.2</x:v>
      </x:c>
      <x:c r="V1188" s="54" t="n">
        <x:f>IF(ISNUMBER(T1188),T1188*(1+U1188),"")</x:f>
        <x:v>15.743999999999998</x:v>
      </x:c>
      <x:c r="W1188" s="47" t="n">
        <x:v>0.3</x:v>
      </x:c>
      <x:c r="X1188" s="54" t="n">
        <x:f>IF(ISNUMBER(V1188),V1188/(1-W1188),"")</x:f>
        <x:v>22.49142857142857</x:v>
      </x:c>
      <x:c r="Y1188" s="55" t="n">
        <x:f>IF(ISNUMBER(X1188),ROUNDUP(X1188,0),"")</x:f>
        <x:v>23</x:v>
      </x:c>
      <x:c r="Z1188" t="str">
        <x:v>Source match pending</x:v>
      </x:c>
      <x:c r="AA1188" t="str">
        <x:v>screencapture-www-activesportstrade-co-uk-gorillalpha-trade-2026-09-09-18_30_41.png / page-001</x:v>
      </x:c>
      <x:c r="AB1188" s="36" t="n">
        <x:f>IF(ISNUMBER(Y1188),ROUND(Y1188*0.9,2),"")</x:f>
        <x:v>20.7</x:v>
      </x:c>
      <x:c r="AC1188" s="36" t="n">
        <x:f>IF(ISNUMBER(AB1188),ROUND(AB1188-(AB1188*0.015+0.2)-V1188,2),"")</x:f>
        <x:v>4.45</x:v>
      </x:c>
      <x:c r="AD1188" s="36" t="n">
        <x:f>IF(ISNUMBER(Y1188),ROUND(Y1188*0.8,2),"")</x:f>
        <x:v>18.4</x:v>
      </x:c>
      <x:c r="AE1188" s="36" t="n">
        <x:f>IF(ISNUMBER(AD1188),ROUND(AD1188*0.015+0.2,2),"")</x:f>
        <x:v>0.48</x:v>
      </x:c>
      <x:c r="AF1188" s="36" t="n">
        <x:f>IF(ISNUMBER(AD1188),ROUND(AD1188-AE1188-V1188,2),"")</x:f>
        <x:v>2.18</x:v>
      </x:c>
      <x:c r="AG1188" t="str">
        <x:f>IF(NOT(ISNUMBER(T1188)),"PENDING",IF(AF1188&gt;0,"PASS","FAIL"))</x:f>
        <x:v>PASS</x:v>
      </x:c>
      <x:c r="AH1188" t="str">
        <x:f>IF(NOT(ISNUMBER(T1188)),"Needs supplier cost",IF(K1188&lt;&gt;"In stock","Supplier unavailable",IF(AG1188&lt;&gt;"PASS","BLOCK - GT loss risk","Commercially protected")))</x:f>
        <x:v>Supplier unavailable</x:v>
      </x:c>
      <x:c r="AI1188" t="str">
        <x:v>2026-09-10 Active Sports trade capture</x:v>
      </x:c>
      <x:c r="AJ1188" t="str">
        <x:v>Management-only economics. Stripe stress test uses 1.5% + £0.20 standard UK online-card fee; pallet/mix-and-match pricing ignored.</x:v>
      </x:c>
    </x:row>
    <x:row r="1189">
      <x:c r="A1189" t="str">
        <x:v>Active Sports Nutrition</x:v>
      </x:c>
      <x:c r="B1189" t="str">
        <x:v>Gorillalpha</x:v>
      </x:c>
      <x:c r="C1189" t="str">
        <x:v>Hydration Juice</x:v>
      </x:c>
      <x:c r="D1189" t="str">
        <x:v>Supplements</x:v>
      </x:c>
      <x:c r="E1189" t="str">
        <x:v>Hydration</x:v>
      </x:c>
      <x:c r="F1189" t="str">
        <x:v>Hydration/electrolyte powder.</x:v>
      </x:c>
      <x:c r="G1189" t="str">
        <x:v>300g</x:v>
      </x:c>
      <x:c r="H1189" t="str">
        <x:v>Ultimate Watermelon</x:v>
      </x:c>
      <x:c r="I1189" t="str"/>
      <x:c r="J1189" t="str">
        <x:v>Unit</x:v>
      </x:c>
      <x:c r="K1189" t="str">
        <x:v>Out of stock</x:v>
      </x:c>
      <x:c r="L1189" t="str">
        <x:v>2026-09-08</x:v>
      </x:c>
      <x:c r="M1189" t="str"/>
      <x:c r="N1189" t="str"/>
      <x:c r="O1189" t="str">
        <x:v>https://www.activesportstrade.co.uk/gorillalpha-trade</x:v>
      </x:c>
      <x:c r="P1189" t="str"/>
      <x:c r="Q1189" t="str"/>
      <x:c r="R1189" t="str"/>
      <x:c r="S1189" t="str">
        <x:v>Pending genuine supplier/brand image</x:v>
      </x:c>
      <x:c r="T1189" s="54" t="n">
        <x:v>13.12</x:v>
      </x:c>
      <x:c r="U1189" s="47" t="n">
        <x:v>0.2</x:v>
      </x:c>
      <x:c r="V1189" s="54" t="n">
        <x:f>IF(ISNUMBER(T1189),T1189*(1+U1189),"")</x:f>
        <x:v>15.743999999999998</x:v>
      </x:c>
      <x:c r="W1189" s="47" t="n">
        <x:v>0.3</x:v>
      </x:c>
      <x:c r="X1189" s="54" t="n">
        <x:f>IF(ISNUMBER(V1189),V1189/(1-W1189),"")</x:f>
        <x:v>22.49142857142857</x:v>
      </x:c>
      <x:c r="Y1189" s="55" t="n">
        <x:f>IF(ISNUMBER(X1189),ROUNDUP(X1189,0),"")</x:f>
        <x:v>23</x:v>
      </x:c>
      <x:c r="Z1189" t="str">
        <x:v>Source match pending</x:v>
      </x:c>
      <x:c r="AA1189" t="str">
        <x:v>screencapture-www-activesportstrade-co-uk-gorillalpha-trade-2026-09-09-18_30_41.png / page-001</x:v>
      </x:c>
      <x:c r="AB1189" s="36" t="n">
        <x:f>IF(ISNUMBER(Y1189),ROUND(Y1189*0.9,2),"")</x:f>
        <x:v>20.7</x:v>
      </x:c>
      <x:c r="AC1189" s="36" t="n">
        <x:f>IF(ISNUMBER(AB1189),ROUND(AB1189-(AB1189*0.015+0.2)-V1189,2),"")</x:f>
        <x:v>4.45</x:v>
      </x:c>
      <x:c r="AD1189" s="36" t="n">
        <x:f>IF(ISNUMBER(Y1189),ROUND(Y1189*0.8,2),"")</x:f>
        <x:v>18.4</x:v>
      </x:c>
      <x:c r="AE1189" s="36" t="n">
        <x:f>IF(ISNUMBER(AD1189),ROUND(AD1189*0.015+0.2,2),"")</x:f>
        <x:v>0.48</x:v>
      </x:c>
      <x:c r="AF1189" s="36" t="n">
        <x:f>IF(ISNUMBER(AD1189),ROUND(AD1189-AE1189-V1189,2),"")</x:f>
        <x:v>2.18</x:v>
      </x:c>
      <x:c r="AG1189" t="str">
        <x:f>IF(NOT(ISNUMBER(T1189)),"PENDING",IF(AF1189&gt;0,"PASS","FAIL"))</x:f>
        <x:v>PASS</x:v>
      </x:c>
      <x:c r="AH1189" t="str">
        <x:f>IF(NOT(ISNUMBER(T1189)),"Needs supplier cost",IF(K1189&lt;&gt;"In stock","Supplier unavailable",IF(AG1189&lt;&gt;"PASS","BLOCK - GT loss risk","Commercially protected")))</x:f>
        <x:v>Supplier unavailable</x:v>
      </x:c>
      <x:c r="AI1189" t="str">
        <x:v>2026-09-10 Active Sports trade capture</x:v>
      </x:c>
      <x:c r="AJ1189" t="str">
        <x:v>Management-only economics. Stripe stress test uses 1.5% + £0.20 standard UK online-card fee; pallet/mix-and-match pricing ignored.</x:v>
      </x:c>
    </x:row>
    <x:row r="1190">
      <x:c r="A1190" t="str">
        <x:v>Active Sports Nutrition</x:v>
      </x:c>
      <x:c r="B1190" t="str">
        <x:v>Gorillalpha</x:v>
      </x:c>
      <x:c r="C1190" t="str">
        <x:v>Ibiza Juice</x:v>
      </x:c>
      <x:c r="D1190" t="str">
        <x:v>Pre Workouts</x:v>
      </x:c>
      <x:c r="E1190" t="str">
        <x:v>High Stim</x:v>
      </x:c>
      <x:c r="F1190" t="str"/>
      <x:c r="G1190" t="str">
        <x:v>480g</x:v>
      </x:c>
      <x:c r="H1190" t="str">
        <x:v>Cherry</x:v>
      </x:c>
      <x:c r="I1190" t="str"/>
      <x:c r="J1190" t="str">
        <x:v>Unit</x:v>
      </x:c>
      <x:c r="K1190" t="str">
        <x:v>Out of stock</x:v>
      </x:c>
      <x:c r="L1190" t="str">
        <x:v>2026-09-08</x:v>
      </x:c>
      <x:c r="M1190" t="str"/>
      <x:c r="N1190" t="str"/>
      <x:c r="O1190" t="str">
        <x:v>https://www.activesportstrade.co.uk/gorillalpha-trade</x:v>
      </x:c>
      <x:c r="P1190" t="str"/>
      <x:c r="Q1190" t="str"/>
      <x:c r="R1190" t="str"/>
      <x:c r="S1190" t="str">
        <x:v>Pending genuine supplier/brand image</x:v>
      </x:c>
      <x:c r="T1190" s="54" t="n">
        <x:v>19.99</x:v>
      </x:c>
      <x:c r="U1190" s="47" t="n">
        <x:v>0.2</x:v>
      </x:c>
      <x:c r="V1190" s="54" t="n">
        <x:f>IF(ISNUMBER(T1190),T1190*(1+U1190),"")</x:f>
        <x:v>23.987999999999996</x:v>
      </x:c>
      <x:c r="W1190" s="47" t="n">
        <x:v>0.3</x:v>
      </x:c>
      <x:c r="X1190" s="54" t="n">
        <x:f>IF(ISNUMBER(V1190),V1190/(1-W1190),"")</x:f>
        <x:v>34.26857142857143</x:v>
      </x:c>
      <x:c r="Y1190" s="55" t="n">
        <x:f>IF(ISNUMBER(X1190),ROUNDUP(X1190,0),"")</x:f>
        <x:v>35</x:v>
      </x:c>
      <x:c r="Z1190" t="str">
        <x:v>Source match pending</x:v>
      </x:c>
      <x:c r="AA1190" t="str">
        <x:v>screencapture-www-activesportstrade-co-uk-gorillalpha-trade-2026-09-09-18_30_41.png / page-001</x:v>
      </x:c>
      <x:c r="AB1190" s="36" t="n">
        <x:f>IF(ISNUMBER(Y1190),ROUND(Y1190*0.9,2),"")</x:f>
        <x:v>31.5</x:v>
      </x:c>
      <x:c r="AC1190" s="36" t="n">
        <x:f>IF(ISNUMBER(AB1190),ROUND(AB1190-(AB1190*0.015+0.2)-V1190,2),"")</x:f>
        <x:v>6.84</x:v>
      </x:c>
      <x:c r="AD1190" s="36" t="n">
        <x:f>IF(ISNUMBER(Y1190),ROUND(Y1190*0.8,2),"")</x:f>
        <x:v>28</x:v>
      </x:c>
      <x:c r="AE1190" s="36" t="n">
        <x:f>IF(ISNUMBER(AD1190),ROUND(AD1190*0.015+0.2,2),"")</x:f>
        <x:v>0.62</x:v>
      </x:c>
      <x:c r="AF1190" s="36" t="n">
        <x:f>IF(ISNUMBER(AD1190),ROUND(AD1190-AE1190-V1190,2),"")</x:f>
        <x:v>3.39</x:v>
      </x:c>
      <x:c r="AG1190" t="str">
        <x:f>IF(NOT(ISNUMBER(T1190)),"PENDING",IF(AF1190&gt;0,"PASS","FAIL"))</x:f>
        <x:v>PASS</x:v>
      </x:c>
      <x:c r="AH1190" t="str">
        <x:f>IF(NOT(ISNUMBER(T1190)),"Needs supplier cost",IF(K1190&lt;&gt;"In stock","Supplier unavailable",IF(AG1190&lt;&gt;"PASS","BLOCK - GT loss risk","Commercially protected")))</x:f>
        <x:v>Supplier unavailable</x:v>
      </x:c>
      <x:c r="AI1190" t="str">
        <x:v>2026-09-10 Active Sports trade capture</x:v>
      </x:c>
      <x:c r="AJ1190" t="str">
        <x:v>Management-only economics. Stripe stress test uses 1.5% + £0.20 standard UK online-card fee; pallet/mix-and-match pricing ignored.</x:v>
      </x:c>
    </x:row>
    <x:row r="1191">
      <x:c r="A1191" t="str">
        <x:v>Active Sports Nutrition</x:v>
      </x:c>
      <x:c r="B1191" t="str">
        <x:v>Gorillalpha</x:v>
      </x:c>
      <x:c r="C1191" t="str">
        <x:v>Ibiza Juice</x:v>
      </x:c>
      <x:c r="D1191" t="str">
        <x:v>Pre Workouts</x:v>
      </x:c>
      <x:c r="E1191" t="str">
        <x:v>High Stim</x:v>
      </x:c>
      <x:c r="F1191" t="str"/>
      <x:c r="G1191" t="str">
        <x:v>480g</x:v>
      </x:c>
      <x:c r="H1191" t="str">
        <x:v>Grape Soda</x:v>
      </x:c>
      <x:c r="I1191" t="str"/>
      <x:c r="J1191" t="str">
        <x:v>Unit</x:v>
      </x:c>
      <x:c r="K1191" t="str">
        <x:v>In stock</x:v>
      </x:c>
      <x:c r="L1191" t="str">
        <x:v>2026-09-08</x:v>
      </x:c>
      <x:c r="M1191" t="str"/>
      <x:c r="N1191" t="str"/>
      <x:c r="O1191" t="str">
        <x:v>https://www.activesportstrade.co.uk/gorillalpha-trade</x:v>
      </x:c>
      <x:c r="P1191" t="str"/>
      <x:c r="Q1191" t="str"/>
      <x:c r="R1191" t="str"/>
      <x:c r="S1191" t="str">
        <x:v>Pending genuine supplier/brand image</x:v>
      </x:c>
      <x:c r="T1191" s="54" t="n">
        <x:v>19.99</x:v>
      </x:c>
      <x:c r="U1191" s="47" t="n">
        <x:v>0.2</x:v>
      </x:c>
      <x:c r="V1191" s="54" t="n">
        <x:f>IF(ISNUMBER(T1191),T1191*(1+U1191),"")</x:f>
        <x:v>23.987999999999996</x:v>
      </x:c>
      <x:c r="W1191" s="47" t="n">
        <x:v>0.3</x:v>
      </x:c>
      <x:c r="X1191" s="54" t="n">
        <x:f>IF(ISNUMBER(V1191),V1191/(1-W1191),"")</x:f>
        <x:v>34.26857142857143</x:v>
      </x:c>
      <x:c r="Y1191" s="55" t="n">
        <x:f>IF(ISNUMBER(X1191),ROUNDUP(X1191,0),"")</x:f>
        <x:v>35</x:v>
      </x:c>
      <x:c r="Z1191" t="str">
        <x:v>Source match pending</x:v>
      </x:c>
      <x:c r="AA1191" t="str">
        <x:v>screencapture-www-activesportstrade-co-uk-gorillalpha-trade-2026-09-09-18_30_41.png / page-001</x:v>
      </x:c>
      <x:c r="AB1191" s="36" t="n">
        <x:f>IF(ISNUMBER(Y1191),ROUND(Y1191*0.9,2),"")</x:f>
        <x:v>31.5</x:v>
      </x:c>
      <x:c r="AC1191" s="36" t="n">
        <x:f>IF(ISNUMBER(AB1191),ROUND(AB1191-(AB1191*0.015+0.2)-V1191,2),"")</x:f>
        <x:v>6.84</x:v>
      </x:c>
      <x:c r="AD1191" s="36" t="n">
        <x:f>IF(ISNUMBER(Y1191),ROUND(Y1191*0.8,2),"")</x:f>
        <x:v>28</x:v>
      </x:c>
      <x:c r="AE1191" s="36" t="n">
        <x:f>IF(ISNUMBER(AD1191),ROUND(AD1191*0.015+0.2,2),"")</x:f>
        <x:v>0.62</x:v>
      </x:c>
      <x:c r="AF1191" s="36" t="n">
        <x:f>IF(ISNUMBER(AD1191),ROUND(AD1191-AE1191-V1191,2),"")</x:f>
        <x:v>3.39</x:v>
      </x:c>
      <x:c r="AG1191" t="str">
        <x:f>IF(NOT(ISNUMBER(T1191)),"PENDING",IF(AF1191&gt;0,"PASS","FAIL"))</x:f>
        <x:v>PASS</x:v>
      </x:c>
      <x:c r="AH1191" t="str">
        <x:f>IF(NOT(ISNUMBER(T1191)),"Needs supplier cost",IF(K1191&lt;&gt;"In stock","Supplier unavailable",IF(AG1191&lt;&gt;"PASS","BLOCK - GT loss risk","Commercially protected")))</x:f>
        <x:v>Commercially protected</x:v>
      </x:c>
      <x:c r="AI1191" t="str">
        <x:v>2026-09-10 Active Sports trade capture</x:v>
      </x:c>
      <x:c r="AJ1191" t="str">
        <x:v>Management-only economics. Stripe stress test uses 1.5% + £0.20 standard UK online-card fee; pallet/mix-and-match pricing ignored.</x:v>
      </x:c>
    </x:row>
    <x:row r="1192">
      <x:c r="A1192" t="str">
        <x:v>Active Sports Nutrition</x:v>
      </x:c>
      <x:c r="B1192" t="str">
        <x:v>Gorillalpha</x:v>
      </x:c>
      <x:c r="C1192" t="str">
        <x:v>Ibiza Juice</x:v>
      </x:c>
      <x:c r="D1192" t="str">
        <x:v>Pre Workouts</x:v>
      </x:c>
      <x:c r="E1192" t="str">
        <x:v>High Stim</x:v>
      </x:c>
      <x:c r="F1192" t="str"/>
      <x:c r="G1192" t="str">
        <x:v>480g</x:v>
      </x:c>
      <x:c r="H1192" t="str">
        <x:v>Ibiza Juice - Blue Strawberry Lemonade</x:v>
      </x:c>
      <x:c r="I1192" t="str"/>
      <x:c r="J1192" t="str">
        <x:v>Unit</x:v>
      </x:c>
      <x:c r="K1192" t="str">
        <x:v>In stock</x:v>
      </x:c>
      <x:c r="L1192" t="str">
        <x:v>2026-09-08</x:v>
      </x:c>
      <x:c r="M1192" t="str"/>
      <x:c r="N1192" t="str"/>
      <x:c r="O1192" t="str">
        <x:v>https://www.activesportstrade.co.uk/gorillalpha-trade</x:v>
      </x:c>
      <x:c r="P1192" t="str"/>
      <x:c r="Q1192" t="str"/>
      <x:c r="R1192" t="str"/>
      <x:c r="S1192" t="str">
        <x:v>Pending genuine supplier/brand image</x:v>
      </x:c>
      <x:c r="T1192" s="54" t="n">
        <x:v>19.99</x:v>
      </x:c>
      <x:c r="U1192" s="47" t="n">
        <x:v>0.2</x:v>
      </x:c>
      <x:c r="V1192" s="54" t="n">
        <x:f>IF(ISNUMBER(T1192),T1192*(1+U1192),"")</x:f>
        <x:v>23.987999999999996</x:v>
      </x:c>
      <x:c r="W1192" s="47" t="n">
        <x:v>0.3</x:v>
      </x:c>
      <x:c r="X1192" s="54" t="n">
        <x:f>IF(ISNUMBER(V1192),V1192/(1-W1192),"")</x:f>
        <x:v>34.26857142857143</x:v>
      </x:c>
      <x:c r="Y1192" s="55" t="n">
        <x:f>IF(ISNUMBER(X1192),ROUNDUP(X1192,0),"")</x:f>
        <x:v>35</x:v>
      </x:c>
      <x:c r="Z1192" t="str">
        <x:v>Source match pending</x:v>
      </x:c>
      <x:c r="AA1192" t="str">
        <x:v>screencapture-www-activesportstrade-co-uk-gorillalpha-trade-2026-09-09-18_30_41.png / page-001</x:v>
      </x:c>
      <x:c r="AB1192" s="36" t="n">
        <x:f>IF(ISNUMBER(Y1192),ROUND(Y1192*0.9,2),"")</x:f>
        <x:v>31.5</x:v>
      </x:c>
      <x:c r="AC1192" s="36" t="n">
        <x:f>IF(ISNUMBER(AB1192),ROUND(AB1192-(AB1192*0.015+0.2)-V1192,2),"")</x:f>
        <x:v>6.84</x:v>
      </x:c>
      <x:c r="AD1192" s="36" t="n">
        <x:f>IF(ISNUMBER(Y1192),ROUND(Y1192*0.8,2),"")</x:f>
        <x:v>28</x:v>
      </x:c>
      <x:c r="AE1192" s="36" t="n">
        <x:f>IF(ISNUMBER(AD1192),ROUND(AD1192*0.015+0.2,2),"")</x:f>
        <x:v>0.62</x:v>
      </x:c>
      <x:c r="AF1192" s="36" t="n">
        <x:f>IF(ISNUMBER(AD1192),ROUND(AD1192-AE1192-V1192,2),"")</x:f>
        <x:v>3.39</x:v>
      </x:c>
      <x:c r="AG1192" t="str">
        <x:f>IF(NOT(ISNUMBER(T1192)),"PENDING",IF(AF1192&gt;0,"PASS","FAIL"))</x:f>
        <x:v>PASS</x:v>
      </x:c>
      <x:c r="AH1192" t="str">
        <x:f>IF(NOT(ISNUMBER(T1192)),"Needs supplier cost",IF(K1192&lt;&gt;"In stock","Supplier unavailable",IF(AG1192&lt;&gt;"PASS","BLOCK - GT loss risk","Commercially protected")))</x:f>
        <x:v>Commercially protected</x:v>
      </x:c>
      <x:c r="AI1192" t="str">
        <x:v>2026-09-10 Active Sports trade capture</x:v>
      </x:c>
      <x:c r="AJ1192" t="str">
        <x:v>Management-only economics. Stripe stress test uses 1.5% + £0.20 standard UK online-card fee; pallet/mix-and-match pricing ignored.</x:v>
      </x:c>
    </x:row>
    <x:row r="1193">
      <x:c r="A1193" t="str">
        <x:v>Active Sports Nutrition</x:v>
      </x:c>
      <x:c r="B1193" t="str">
        <x:v>Gorillalpha</x:v>
      </x:c>
      <x:c r="C1193" t="str">
        <x:v>Ibiza Juice</x:v>
      </x:c>
      <x:c r="D1193" t="str">
        <x:v>Pre Workouts</x:v>
      </x:c>
      <x:c r="E1193" t="str">
        <x:v>High Stim</x:v>
      </x:c>
      <x:c r="F1193" t="str"/>
      <x:c r="G1193" t="str">
        <x:v>480g</x:v>
      </x:c>
      <x:c r="H1193" t="str">
        <x:v>Ibiza Soda Pop - Cherry Raspberry Blackcurrant</x:v>
      </x:c>
      <x:c r="I1193" t="str"/>
      <x:c r="J1193" t="str">
        <x:v>Unit</x:v>
      </x:c>
      <x:c r="K1193" t="str">
        <x:v>In stock</x:v>
      </x:c>
      <x:c r="L1193" t="str">
        <x:v>2026-09-08</x:v>
      </x:c>
      <x:c r="M1193" t="str"/>
      <x:c r="N1193" t="str"/>
      <x:c r="O1193" t="str">
        <x:v>https://www.activesportstrade.co.uk/gorillalpha-trade</x:v>
      </x:c>
      <x:c r="P1193" t="str"/>
      <x:c r="Q1193" t="str"/>
      <x:c r="R1193" t="str"/>
      <x:c r="S1193" t="str">
        <x:v>Pending genuine supplier/brand image</x:v>
      </x:c>
      <x:c r="T1193" s="54" t="n">
        <x:v>19.99</x:v>
      </x:c>
      <x:c r="U1193" s="47" t="n">
        <x:v>0.2</x:v>
      </x:c>
      <x:c r="V1193" s="54" t="n">
        <x:f>IF(ISNUMBER(T1193),T1193*(1+U1193),"")</x:f>
        <x:v>23.987999999999996</x:v>
      </x:c>
      <x:c r="W1193" s="47" t="n">
        <x:v>0.3</x:v>
      </x:c>
      <x:c r="X1193" s="54" t="n">
        <x:f>IF(ISNUMBER(V1193),V1193/(1-W1193),"")</x:f>
        <x:v>34.26857142857143</x:v>
      </x:c>
      <x:c r="Y1193" s="55" t="n">
        <x:f>IF(ISNUMBER(X1193),ROUNDUP(X1193,0),"")</x:f>
        <x:v>35</x:v>
      </x:c>
      <x:c r="Z1193" t="str">
        <x:v>Source match pending</x:v>
      </x:c>
      <x:c r="AA1193" t="str">
        <x:v>screencapture-www-activesportstrade-co-uk-gorillalpha-trade-2026-09-09-18_30_41.png / page-001</x:v>
      </x:c>
      <x:c r="AB1193" s="36" t="n">
        <x:f>IF(ISNUMBER(Y1193),ROUND(Y1193*0.9,2),"")</x:f>
        <x:v>31.5</x:v>
      </x:c>
      <x:c r="AC1193" s="36" t="n">
        <x:f>IF(ISNUMBER(AB1193),ROUND(AB1193-(AB1193*0.015+0.2)-V1193,2),"")</x:f>
        <x:v>6.84</x:v>
      </x:c>
      <x:c r="AD1193" s="36" t="n">
        <x:f>IF(ISNUMBER(Y1193),ROUND(Y1193*0.8,2),"")</x:f>
        <x:v>28</x:v>
      </x:c>
      <x:c r="AE1193" s="36" t="n">
        <x:f>IF(ISNUMBER(AD1193),ROUND(AD1193*0.015+0.2,2),"")</x:f>
        <x:v>0.62</x:v>
      </x:c>
      <x:c r="AF1193" s="36" t="n">
        <x:f>IF(ISNUMBER(AD1193),ROUND(AD1193-AE1193-V1193,2),"")</x:f>
        <x:v>3.39</x:v>
      </x:c>
      <x:c r="AG1193" t="str">
        <x:f>IF(NOT(ISNUMBER(T1193)),"PENDING",IF(AF1193&gt;0,"PASS","FAIL"))</x:f>
        <x:v>PASS</x:v>
      </x:c>
      <x:c r="AH1193" t="str">
        <x:f>IF(NOT(ISNUMBER(T1193)),"Needs supplier cost",IF(K1193&lt;&gt;"In stock","Supplier unavailable",IF(AG1193&lt;&gt;"PASS","BLOCK - GT loss risk","Commercially protected")))</x:f>
        <x:v>Commercially protected</x:v>
      </x:c>
      <x:c r="AI1193" t="str">
        <x:v>2026-09-10 Active Sports trade capture</x:v>
      </x:c>
      <x:c r="AJ1193" t="str">
        <x:v>Management-only economics. Stripe stress test uses 1.5% + £0.20 standard UK online-card fee; pallet/mix-and-match pricing ignored.</x:v>
      </x:c>
    </x:row>
    <x:row r="1194">
      <x:c r="A1194" t="str">
        <x:v>Active Sports Nutrition</x:v>
      </x:c>
      <x:c r="B1194" t="str">
        <x:v>Gorillalpha</x:v>
      </x:c>
      <x:c r="C1194" t="str">
        <x:v>Ibiza Juice</x:v>
      </x:c>
      <x:c r="D1194" t="str">
        <x:v>Pre Workouts</x:v>
      </x:c>
      <x:c r="E1194" t="str">
        <x:v>High Stim</x:v>
      </x:c>
      <x:c r="F1194" t="str"/>
      <x:c r="G1194" t="str">
        <x:v>480g</x:v>
      </x:c>
      <x:c r="H1194" t="str">
        <x:v>Paradise Krush - Pineapple &amp; Coconut</x:v>
      </x:c>
      <x:c r="I1194" t="str"/>
      <x:c r="J1194" t="str">
        <x:v>Unit</x:v>
      </x:c>
      <x:c r="K1194" t="str">
        <x:v>In stock</x:v>
      </x:c>
      <x:c r="L1194" t="str">
        <x:v>2026-09-08</x:v>
      </x:c>
      <x:c r="M1194" t="str"/>
      <x:c r="N1194" t="str"/>
      <x:c r="O1194" t="str">
        <x:v>https://www.activesportstrade.co.uk/gorillalpha-trade</x:v>
      </x:c>
      <x:c r="P1194" t="str"/>
      <x:c r="Q1194" t="str"/>
      <x:c r="R1194" t="str"/>
      <x:c r="S1194" t="str">
        <x:v>Pending genuine supplier/brand image</x:v>
      </x:c>
      <x:c r="T1194" s="54" t="n">
        <x:v>19.99</x:v>
      </x:c>
      <x:c r="U1194" s="47" t="n">
        <x:v>0.2</x:v>
      </x:c>
      <x:c r="V1194" s="54" t="n">
        <x:f>IF(ISNUMBER(T1194),T1194*(1+U1194),"")</x:f>
        <x:v>23.987999999999996</x:v>
      </x:c>
      <x:c r="W1194" s="47" t="n">
        <x:v>0.3</x:v>
      </x:c>
      <x:c r="X1194" s="54" t="n">
        <x:f>IF(ISNUMBER(V1194),V1194/(1-W1194),"")</x:f>
        <x:v>34.26857142857143</x:v>
      </x:c>
      <x:c r="Y1194" s="55" t="n">
        <x:f>IF(ISNUMBER(X1194),ROUNDUP(X1194,0),"")</x:f>
        <x:v>35</x:v>
      </x:c>
      <x:c r="Z1194" t="str">
        <x:v>Source match pending</x:v>
      </x:c>
      <x:c r="AA1194" t="str">
        <x:v>screencapture-www-activesportstrade-co-uk-gorillalpha-trade-2026-09-09-18_30_41.png / page-001</x:v>
      </x:c>
      <x:c r="AB1194" s="36" t="n">
        <x:f>IF(ISNUMBER(Y1194),ROUND(Y1194*0.9,2),"")</x:f>
        <x:v>31.5</x:v>
      </x:c>
      <x:c r="AC1194" s="36" t="n">
        <x:f>IF(ISNUMBER(AB1194),ROUND(AB1194-(AB1194*0.015+0.2)-V1194,2),"")</x:f>
        <x:v>6.84</x:v>
      </x:c>
      <x:c r="AD1194" s="36" t="n">
        <x:f>IF(ISNUMBER(Y1194),ROUND(Y1194*0.8,2),"")</x:f>
        <x:v>28</x:v>
      </x:c>
      <x:c r="AE1194" s="36" t="n">
        <x:f>IF(ISNUMBER(AD1194),ROUND(AD1194*0.015+0.2,2),"")</x:f>
        <x:v>0.62</x:v>
      </x:c>
      <x:c r="AF1194" s="36" t="n">
        <x:f>IF(ISNUMBER(AD1194),ROUND(AD1194-AE1194-V1194,2),"")</x:f>
        <x:v>3.39</x:v>
      </x:c>
      <x:c r="AG1194" t="str">
        <x:f>IF(NOT(ISNUMBER(T1194)),"PENDING",IF(AF1194&gt;0,"PASS","FAIL"))</x:f>
        <x:v>PASS</x:v>
      </x:c>
      <x:c r="AH1194" t="str">
        <x:f>IF(NOT(ISNUMBER(T1194)),"Needs supplier cost",IF(K1194&lt;&gt;"In stock","Supplier unavailable",IF(AG1194&lt;&gt;"PASS","BLOCK - GT loss risk","Commercially protected")))</x:f>
        <x:v>Commercially protected</x:v>
      </x:c>
      <x:c r="AI1194" t="str">
        <x:v>2026-09-10 Active Sports trade capture</x:v>
      </x:c>
      <x:c r="AJ1194" t="str">
        <x:v>Management-only economics. Stripe stress test uses 1.5% + £0.20 standard UK online-card fee; pallet/mix-and-match pricing ignored.</x:v>
      </x:c>
    </x:row>
    <x:row r="1195">
      <x:c r="A1195" t="str">
        <x:v>Active Sports Nutrition</x:v>
      </x:c>
      <x:c r="B1195" t="str">
        <x:v>Gorillalpha</x:v>
      </x:c>
      <x:c r="C1195" t="str">
        <x:v>Ibiza Juice</x:v>
      </x:c>
      <x:c r="D1195" t="str">
        <x:v>Pre Workouts</x:v>
      </x:c>
      <x:c r="E1195" t="str">
        <x:v>High Stim</x:v>
      </x:c>
      <x:c r="F1195" t="str"/>
      <x:c r="G1195" t="str">
        <x:v>480g</x:v>
      </x:c>
      <x:c r="H1195" t="str">
        <x:v>Pasha Fruit - Strawberry Watermelon</x:v>
      </x:c>
      <x:c r="I1195" t="str"/>
      <x:c r="J1195" t="str">
        <x:v>Unit</x:v>
      </x:c>
      <x:c r="K1195" t="str">
        <x:v>In stock</x:v>
      </x:c>
      <x:c r="L1195" t="str">
        <x:v>2026-09-08</x:v>
      </x:c>
      <x:c r="M1195" t="str"/>
      <x:c r="N1195" t="str"/>
      <x:c r="O1195" t="str">
        <x:v>https://www.activesportstrade.co.uk/gorillalpha-trade</x:v>
      </x:c>
      <x:c r="P1195" t="str"/>
      <x:c r="Q1195" t="str"/>
      <x:c r="R1195" t="str"/>
      <x:c r="S1195" t="str">
        <x:v>Pending genuine supplier/brand image</x:v>
      </x:c>
      <x:c r="T1195" s="54" t="n">
        <x:v>19.99</x:v>
      </x:c>
      <x:c r="U1195" s="47" t="n">
        <x:v>0.2</x:v>
      </x:c>
      <x:c r="V1195" s="54" t="n">
        <x:f>IF(ISNUMBER(T1195),T1195*(1+U1195),"")</x:f>
        <x:v>23.987999999999996</x:v>
      </x:c>
      <x:c r="W1195" s="47" t="n">
        <x:v>0.3</x:v>
      </x:c>
      <x:c r="X1195" s="54" t="n">
        <x:f>IF(ISNUMBER(V1195),V1195/(1-W1195),"")</x:f>
        <x:v>34.26857142857143</x:v>
      </x:c>
      <x:c r="Y1195" s="55" t="n">
        <x:f>IF(ISNUMBER(X1195),ROUNDUP(X1195,0),"")</x:f>
        <x:v>35</x:v>
      </x:c>
      <x:c r="Z1195" t="str">
        <x:v>Source match pending</x:v>
      </x:c>
      <x:c r="AA1195" t="str">
        <x:v>screencapture-www-activesportstrade-co-uk-gorillalpha-trade-2026-09-09-18_30_41.png / page-001</x:v>
      </x:c>
      <x:c r="AB1195" s="36" t="n">
        <x:f>IF(ISNUMBER(Y1195),ROUND(Y1195*0.9,2),"")</x:f>
        <x:v>31.5</x:v>
      </x:c>
      <x:c r="AC1195" s="36" t="n">
        <x:f>IF(ISNUMBER(AB1195),ROUND(AB1195-(AB1195*0.015+0.2)-V1195,2),"")</x:f>
        <x:v>6.84</x:v>
      </x:c>
      <x:c r="AD1195" s="36" t="n">
        <x:f>IF(ISNUMBER(Y1195),ROUND(Y1195*0.8,2),"")</x:f>
        <x:v>28</x:v>
      </x:c>
      <x:c r="AE1195" s="36" t="n">
        <x:f>IF(ISNUMBER(AD1195),ROUND(AD1195*0.015+0.2,2),"")</x:f>
        <x:v>0.62</x:v>
      </x:c>
      <x:c r="AF1195" s="36" t="n">
        <x:f>IF(ISNUMBER(AD1195),ROUND(AD1195-AE1195-V1195,2),"")</x:f>
        <x:v>3.39</x:v>
      </x:c>
      <x:c r="AG1195" t="str">
        <x:f>IF(NOT(ISNUMBER(T1195)),"PENDING",IF(AF1195&gt;0,"PASS","FAIL"))</x:f>
        <x:v>PASS</x:v>
      </x:c>
      <x:c r="AH1195" t="str">
        <x:f>IF(NOT(ISNUMBER(T1195)),"Needs supplier cost",IF(K1195&lt;&gt;"In stock","Supplier unavailable",IF(AG1195&lt;&gt;"PASS","BLOCK - GT loss risk","Commercially protected")))</x:f>
        <x:v>Commercially protected</x:v>
      </x:c>
      <x:c r="AI1195" t="str">
        <x:v>2026-09-10 Active Sports trade capture</x:v>
      </x:c>
      <x:c r="AJ1195" t="str">
        <x:v>Management-only economics. Stripe stress test uses 1.5% + £0.20 standard UK online-card fee; pallet/mix-and-match pricing ignored.</x:v>
      </x:c>
    </x:row>
    <x:row r="1196">
      <x:c r="A1196" t="str">
        <x:v>Active Sports Nutrition</x:v>
      </x:c>
      <x:c r="B1196" t="str">
        <x:v>Gorillalpha</x:v>
      </x:c>
      <x:c r="C1196" t="str">
        <x:v>Ibiza Juice</x:v>
      </x:c>
      <x:c r="D1196" t="str">
        <x:v>Pre Workouts</x:v>
      </x:c>
      <x:c r="E1196" t="str">
        <x:v>High Stim</x:v>
      </x:c>
      <x:c r="F1196" t="str"/>
      <x:c r="G1196" t="str">
        <x:v>480g</x:v>
      </x:c>
      <x:c r="H1196" t="str">
        <x:v>Peach Daiquiri</x:v>
      </x:c>
      <x:c r="I1196" t="str"/>
      <x:c r="J1196" t="str">
        <x:v>Unit</x:v>
      </x:c>
      <x:c r="K1196" t="str">
        <x:v>Out of stock</x:v>
      </x:c>
      <x:c r="L1196" t="str">
        <x:v>2026-09-08</x:v>
      </x:c>
      <x:c r="M1196" t="str"/>
      <x:c r="N1196" t="str"/>
      <x:c r="O1196" t="str">
        <x:v>https://www.activesportstrade.co.uk/gorillalpha-trade</x:v>
      </x:c>
      <x:c r="P1196" t="str"/>
      <x:c r="Q1196" t="str"/>
      <x:c r="R1196" t="str"/>
      <x:c r="S1196" t="str">
        <x:v>Pending genuine supplier/brand image</x:v>
      </x:c>
      <x:c r="T1196" s="54" t="n">
        <x:v>19.99</x:v>
      </x:c>
      <x:c r="U1196" s="47" t="n">
        <x:v>0.2</x:v>
      </x:c>
      <x:c r="V1196" s="54" t="n">
        <x:f>IF(ISNUMBER(T1196),T1196*(1+U1196),"")</x:f>
        <x:v>23.987999999999996</x:v>
      </x:c>
      <x:c r="W1196" s="47" t="n">
        <x:v>0.3</x:v>
      </x:c>
      <x:c r="X1196" s="54" t="n">
        <x:f>IF(ISNUMBER(V1196),V1196/(1-W1196),"")</x:f>
        <x:v>34.26857142857143</x:v>
      </x:c>
      <x:c r="Y1196" s="55" t="n">
        <x:f>IF(ISNUMBER(X1196),ROUNDUP(X1196,0),"")</x:f>
        <x:v>35</x:v>
      </x:c>
      <x:c r="Z1196" t="str">
        <x:v>Source match pending</x:v>
      </x:c>
      <x:c r="AA1196" t="str">
        <x:v>screencapture-www-activesportstrade-co-uk-gorillalpha-trade-2026-09-09-18_30_41.png / page-001</x:v>
      </x:c>
      <x:c r="AB1196" s="36" t="n">
        <x:f>IF(ISNUMBER(Y1196),ROUND(Y1196*0.9,2),"")</x:f>
        <x:v>31.5</x:v>
      </x:c>
      <x:c r="AC1196" s="36" t="n">
        <x:f>IF(ISNUMBER(AB1196),ROUND(AB1196-(AB1196*0.015+0.2)-V1196,2),"")</x:f>
        <x:v>6.84</x:v>
      </x:c>
      <x:c r="AD1196" s="36" t="n">
        <x:f>IF(ISNUMBER(Y1196),ROUND(Y1196*0.8,2),"")</x:f>
        <x:v>28</x:v>
      </x:c>
      <x:c r="AE1196" s="36" t="n">
        <x:f>IF(ISNUMBER(AD1196),ROUND(AD1196*0.015+0.2,2),"")</x:f>
        <x:v>0.62</x:v>
      </x:c>
      <x:c r="AF1196" s="36" t="n">
        <x:f>IF(ISNUMBER(AD1196),ROUND(AD1196-AE1196-V1196,2),"")</x:f>
        <x:v>3.39</x:v>
      </x:c>
      <x:c r="AG1196" t="str">
        <x:f>IF(NOT(ISNUMBER(T1196)),"PENDING",IF(AF1196&gt;0,"PASS","FAIL"))</x:f>
        <x:v>PASS</x:v>
      </x:c>
      <x:c r="AH1196" t="str">
        <x:f>IF(NOT(ISNUMBER(T1196)),"Needs supplier cost",IF(K1196&lt;&gt;"In stock","Supplier unavailable",IF(AG1196&lt;&gt;"PASS","BLOCK - GT loss risk","Commercially protected")))</x:f>
        <x:v>Supplier unavailable</x:v>
      </x:c>
      <x:c r="AI1196" t="str">
        <x:v>2026-09-10 Active Sports trade capture</x:v>
      </x:c>
      <x:c r="AJ1196" t="str">
        <x:v>Management-only economics. Stripe stress test uses 1.5% + £0.20 standard UK online-card fee; pallet/mix-and-match pricing ignored.</x:v>
      </x:c>
    </x:row>
    <x:row r="1197">
      <x:c r="A1197" t="str">
        <x:v>Active Sports Nutrition</x:v>
      </x:c>
      <x:c r="B1197" t="str">
        <x:v>Gorillalpha</x:v>
      </x:c>
      <x:c r="C1197" t="str">
        <x:v>Ibiza Juice</x:v>
      </x:c>
      <x:c r="D1197" t="str">
        <x:v>Pre Workouts</x:v>
      </x:c>
      <x:c r="E1197" t="str">
        <x:v>High Stim</x:v>
      </x:c>
      <x:c r="F1197" t="str"/>
      <x:c r="G1197" t="str">
        <x:v>480g</x:v>
      </x:c>
      <x:c r="H1197" t="str">
        <x:v>Peach Mango Lime Slushy</x:v>
      </x:c>
      <x:c r="I1197" t="str"/>
      <x:c r="J1197" t="str">
        <x:v>Unit</x:v>
      </x:c>
      <x:c r="K1197" t="str">
        <x:v>Out of stock</x:v>
      </x:c>
      <x:c r="L1197" t="str">
        <x:v>2026-09-08</x:v>
      </x:c>
      <x:c r="M1197" t="str"/>
      <x:c r="N1197" t="str"/>
      <x:c r="O1197" t="str">
        <x:v>https://www.activesportstrade.co.uk/gorillalpha-trade</x:v>
      </x:c>
      <x:c r="P1197" t="str"/>
      <x:c r="Q1197" t="str"/>
      <x:c r="R1197" t="str"/>
      <x:c r="S1197" t="str">
        <x:v>Pending genuine supplier/brand image</x:v>
      </x:c>
      <x:c r="T1197" s="54" t="n">
        <x:v>19.99</x:v>
      </x:c>
      <x:c r="U1197" s="47" t="n">
        <x:v>0.2</x:v>
      </x:c>
      <x:c r="V1197" s="54" t="n">
        <x:f>IF(ISNUMBER(T1197),T1197*(1+U1197),"")</x:f>
        <x:v>23.987999999999996</x:v>
      </x:c>
      <x:c r="W1197" s="47" t="n">
        <x:v>0.3</x:v>
      </x:c>
      <x:c r="X1197" s="54" t="n">
        <x:f>IF(ISNUMBER(V1197),V1197/(1-W1197),"")</x:f>
        <x:v>34.26857142857143</x:v>
      </x:c>
      <x:c r="Y1197" s="55" t="n">
        <x:f>IF(ISNUMBER(X1197),ROUNDUP(X1197,0),"")</x:f>
        <x:v>35</x:v>
      </x:c>
      <x:c r="Z1197" t="str">
        <x:v>Source match pending</x:v>
      </x:c>
      <x:c r="AA1197" t="str">
        <x:v>screencapture-www-activesportstrade-co-uk-gorillalpha-trade-2026-09-09-18_30_41.png / page-001</x:v>
      </x:c>
      <x:c r="AB1197" s="36" t="n">
        <x:f>IF(ISNUMBER(Y1197),ROUND(Y1197*0.9,2),"")</x:f>
        <x:v>31.5</x:v>
      </x:c>
      <x:c r="AC1197" s="36" t="n">
        <x:f>IF(ISNUMBER(AB1197),ROUND(AB1197-(AB1197*0.015+0.2)-V1197,2),"")</x:f>
        <x:v>6.84</x:v>
      </x:c>
      <x:c r="AD1197" s="36" t="n">
        <x:f>IF(ISNUMBER(Y1197),ROUND(Y1197*0.8,2),"")</x:f>
        <x:v>28</x:v>
      </x:c>
      <x:c r="AE1197" s="36" t="n">
        <x:f>IF(ISNUMBER(AD1197),ROUND(AD1197*0.015+0.2,2),"")</x:f>
        <x:v>0.62</x:v>
      </x:c>
      <x:c r="AF1197" s="36" t="n">
        <x:f>IF(ISNUMBER(AD1197),ROUND(AD1197-AE1197-V1197,2),"")</x:f>
        <x:v>3.39</x:v>
      </x:c>
      <x:c r="AG1197" t="str">
        <x:f>IF(NOT(ISNUMBER(T1197)),"PENDING",IF(AF1197&gt;0,"PASS","FAIL"))</x:f>
        <x:v>PASS</x:v>
      </x:c>
      <x:c r="AH1197" t="str">
        <x:f>IF(NOT(ISNUMBER(T1197)),"Needs supplier cost",IF(K1197&lt;&gt;"In stock","Supplier unavailable",IF(AG1197&lt;&gt;"PASS","BLOCK - GT loss risk","Commercially protected")))</x:f>
        <x:v>Supplier unavailable</x:v>
      </x:c>
      <x:c r="AI1197" t="str">
        <x:v>2026-09-10 Active Sports trade capture</x:v>
      </x:c>
      <x:c r="AJ1197" t="str">
        <x:v>Management-only economics. Stripe stress test uses 1.5% + £0.20 standard UK online-card fee; pallet/mix-and-match pricing ignored.</x:v>
      </x:c>
    </x:row>
    <x:row r="1198">
      <x:c r="A1198" t="str">
        <x:v>Active Sports Nutrition</x:v>
      </x:c>
      <x:c r="B1198" t="str">
        <x:v>Gorillalpha</x:v>
      </x:c>
      <x:c r="C1198" t="str">
        <x:v>Ibiza Juice</x:v>
      </x:c>
      <x:c r="D1198" t="str">
        <x:v>Pre Workouts</x:v>
      </x:c>
      <x:c r="E1198" t="str">
        <x:v>High Stim</x:v>
      </x:c>
      <x:c r="F1198" t="str"/>
      <x:c r="G1198" t="str">
        <x:v>480g</x:v>
      </x:c>
      <x:c r="H1198" t="str">
        <x:v>Pineapple Lime Crush</x:v>
      </x:c>
      <x:c r="I1198" t="str"/>
      <x:c r="J1198" t="str">
        <x:v>Unit</x:v>
      </x:c>
      <x:c r="K1198" t="str">
        <x:v>In stock</x:v>
      </x:c>
      <x:c r="L1198" t="str">
        <x:v>2026-09-08</x:v>
      </x:c>
      <x:c r="M1198" t="str"/>
      <x:c r="N1198" t="str"/>
      <x:c r="O1198" t="str">
        <x:v>https://www.activesportstrade.co.uk/gorillalpha-trade</x:v>
      </x:c>
      <x:c r="P1198" t="str"/>
      <x:c r="Q1198" t="str"/>
      <x:c r="R1198" t="str"/>
      <x:c r="S1198" t="str">
        <x:v>Pending genuine supplier/brand image</x:v>
      </x:c>
      <x:c r="T1198" s="54" t="n">
        <x:v>19.99</x:v>
      </x:c>
      <x:c r="U1198" s="47" t="n">
        <x:v>0.2</x:v>
      </x:c>
      <x:c r="V1198" s="54" t="n">
        <x:f>IF(ISNUMBER(T1198),T1198*(1+U1198),"")</x:f>
        <x:v>23.987999999999996</x:v>
      </x:c>
      <x:c r="W1198" s="47" t="n">
        <x:v>0.3</x:v>
      </x:c>
      <x:c r="X1198" s="54" t="n">
        <x:f>IF(ISNUMBER(V1198),V1198/(1-W1198),"")</x:f>
        <x:v>34.26857142857143</x:v>
      </x:c>
      <x:c r="Y1198" s="55" t="n">
        <x:f>IF(ISNUMBER(X1198),ROUNDUP(X1198,0),"")</x:f>
        <x:v>35</x:v>
      </x:c>
      <x:c r="Z1198" t="str">
        <x:v>Source match pending</x:v>
      </x:c>
      <x:c r="AA1198" t="str">
        <x:v>screencapture-www-activesportstrade-co-uk-gorillalpha-trade-2026-09-09-18_30_41.png / page-001</x:v>
      </x:c>
      <x:c r="AB1198" s="36" t="n">
        <x:f>IF(ISNUMBER(Y1198),ROUND(Y1198*0.9,2),"")</x:f>
        <x:v>31.5</x:v>
      </x:c>
      <x:c r="AC1198" s="36" t="n">
        <x:f>IF(ISNUMBER(AB1198),ROUND(AB1198-(AB1198*0.015+0.2)-V1198,2),"")</x:f>
        <x:v>6.84</x:v>
      </x:c>
      <x:c r="AD1198" s="36" t="n">
        <x:f>IF(ISNUMBER(Y1198),ROUND(Y1198*0.8,2),"")</x:f>
        <x:v>28</x:v>
      </x:c>
      <x:c r="AE1198" s="36" t="n">
        <x:f>IF(ISNUMBER(AD1198),ROUND(AD1198*0.015+0.2,2),"")</x:f>
        <x:v>0.62</x:v>
      </x:c>
      <x:c r="AF1198" s="36" t="n">
        <x:f>IF(ISNUMBER(AD1198),ROUND(AD1198-AE1198-V1198,2),"")</x:f>
        <x:v>3.39</x:v>
      </x:c>
      <x:c r="AG1198" t="str">
        <x:f>IF(NOT(ISNUMBER(T1198)),"PENDING",IF(AF1198&gt;0,"PASS","FAIL"))</x:f>
        <x:v>PASS</x:v>
      </x:c>
      <x:c r="AH1198" t="str">
        <x:f>IF(NOT(ISNUMBER(T1198)),"Needs supplier cost",IF(K1198&lt;&gt;"In stock","Supplier unavailable",IF(AG1198&lt;&gt;"PASS","BLOCK - GT loss risk","Commercially protected")))</x:f>
        <x:v>Commercially protected</x:v>
      </x:c>
      <x:c r="AI1198" t="str">
        <x:v>2026-09-10 Active Sports trade capture</x:v>
      </x:c>
      <x:c r="AJ1198" t="str">
        <x:v>Management-only economics. Stripe stress test uses 1.5% + £0.20 standard UK online-card fee; pallet/mix-and-match pricing ignored.</x:v>
      </x:c>
    </x:row>
    <x:row r="1199">
      <x:c r="A1199" t="str">
        <x:v>Active Sports Nutrition</x:v>
      </x:c>
      <x:c r="B1199" t="str">
        <x:v>Gorillalpha</x:v>
      </x:c>
      <x:c r="C1199" t="str">
        <x:v>Ibiza Juice</x:v>
      </x:c>
      <x:c r="D1199" t="str">
        <x:v>Pre Workouts</x:v>
      </x:c>
      <x:c r="E1199" t="str">
        <x:v>High Stim</x:v>
      </x:c>
      <x:c r="F1199" t="str"/>
      <x:c r="G1199" t="str">
        <x:v>480g</x:v>
      </x:c>
      <x:c r="H1199" t="str">
        <x:v>Pineapple Strawberry</x:v>
      </x:c>
      <x:c r="I1199" t="str"/>
      <x:c r="J1199" t="str">
        <x:v>Unit</x:v>
      </x:c>
      <x:c r="K1199" t="str">
        <x:v>Out of stock</x:v>
      </x:c>
      <x:c r="L1199" t="str">
        <x:v>2026-09-08</x:v>
      </x:c>
      <x:c r="M1199" t="str"/>
      <x:c r="N1199" t="str"/>
      <x:c r="O1199" t="str">
        <x:v>https://www.activesportstrade.co.uk/gorillalpha-trade</x:v>
      </x:c>
      <x:c r="P1199" t="str"/>
      <x:c r="Q1199" t="str"/>
      <x:c r="R1199" t="str"/>
      <x:c r="S1199" t="str">
        <x:v>Pending genuine supplier/brand image</x:v>
      </x:c>
      <x:c r="T1199" s="54" t="n">
        <x:v>19.99</x:v>
      </x:c>
      <x:c r="U1199" s="47" t="n">
        <x:v>0.2</x:v>
      </x:c>
      <x:c r="V1199" s="54" t="n">
        <x:f>IF(ISNUMBER(T1199),T1199*(1+U1199),"")</x:f>
        <x:v>23.987999999999996</x:v>
      </x:c>
      <x:c r="W1199" s="47" t="n">
        <x:v>0.3</x:v>
      </x:c>
      <x:c r="X1199" s="54" t="n">
        <x:f>IF(ISNUMBER(V1199),V1199/(1-W1199),"")</x:f>
        <x:v>34.26857142857143</x:v>
      </x:c>
      <x:c r="Y1199" s="55" t="n">
        <x:f>IF(ISNUMBER(X1199),ROUNDUP(X1199,0),"")</x:f>
        <x:v>35</x:v>
      </x:c>
      <x:c r="Z1199" t="str">
        <x:v>Source match pending</x:v>
      </x:c>
      <x:c r="AA1199" t="str">
        <x:v>screencapture-www-activesportstrade-co-uk-gorillalpha-trade-2026-09-09-18_30_41.png / page-001</x:v>
      </x:c>
      <x:c r="AB1199" s="36" t="n">
        <x:f>IF(ISNUMBER(Y1199),ROUND(Y1199*0.9,2),"")</x:f>
        <x:v>31.5</x:v>
      </x:c>
      <x:c r="AC1199" s="36" t="n">
        <x:f>IF(ISNUMBER(AB1199),ROUND(AB1199-(AB1199*0.015+0.2)-V1199,2),"")</x:f>
        <x:v>6.84</x:v>
      </x:c>
      <x:c r="AD1199" s="36" t="n">
        <x:f>IF(ISNUMBER(Y1199),ROUND(Y1199*0.8,2),"")</x:f>
        <x:v>28</x:v>
      </x:c>
      <x:c r="AE1199" s="36" t="n">
        <x:f>IF(ISNUMBER(AD1199),ROUND(AD1199*0.015+0.2,2),"")</x:f>
        <x:v>0.62</x:v>
      </x:c>
      <x:c r="AF1199" s="36" t="n">
        <x:f>IF(ISNUMBER(AD1199),ROUND(AD1199-AE1199-V1199,2),"")</x:f>
        <x:v>3.39</x:v>
      </x:c>
      <x:c r="AG1199" t="str">
        <x:f>IF(NOT(ISNUMBER(T1199)),"PENDING",IF(AF1199&gt;0,"PASS","FAIL"))</x:f>
        <x:v>PASS</x:v>
      </x:c>
      <x:c r="AH1199" t="str">
        <x:f>IF(NOT(ISNUMBER(T1199)),"Needs supplier cost",IF(K1199&lt;&gt;"In stock","Supplier unavailable",IF(AG1199&lt;&gt;"PASS","BLOCK - GT loss risk","Commercially protected")))</x:f>
        <x:v>Supplier unavailable</x:v>
      </x:c>
      <x:c r="AI1199" t="str">
        <x:v>2026-09-10 Active Sports trade capture</x:v>
      </x:c>
      <x:c r="AJ1199" t="str">
        <x:v>Management-only economics. Stripe stress test uses 1.5% + £0.20 standard UK online-card fee; pallet/mix-and-match pricing ignored.</x:v>
      </x:c>
    </x:row>
    <x:row r="1200">
      <x:c r="A1200" t="str">
        <x:v>Active Sports Nutrition</x:v>
      </x:c>
      <x:c r="B1200" t="str">
        <x:v>Gorillalpha</x:v>
      </x:c>
      <x:c r="C1200" t="str">
        <x:v>Ibiza Juice</x:v>
      </x:c>
      <x:c r="D1200" t="str">
        <x:v>Pre Workouts</x:v>
      </x:c>
      <x:c r="E1200" t="str">
        <x:v>High Stim</x:v>
      </x:c>
      <x:c r="F1200" t="str"/>
      <x:c r="G1200" t="str">
        <x:v>480g</x:v>
      </x:c>
      <x:c r="H1200" t="str">
        <x:v>Ultimate Ibiza Punch</x:v>
      </x:c>
      <x:c r="I1200" t="str"/>
      <x:c r="J1200" t="str">
        <x:v>Unit</x:v>
      </x:c>
      <x:c r="K1200" t="str">
        <x:v>In stock</x:v>
      </x:c>
      <x:c r="L1200" t="str">
        <x:v>2026-09-08</x:v>
      </x:c>
      <x:c r="M1200" t="str"/>
      <x:c r="N1200" t="str"/>
      <x:c r="O1200" t="str">
        <x:v>https://www.activesportstrade.co.uk/gorillalpha-trade</x:v>
      </x:c>
      <x:c r="P1200" t="str"/>
      <x:c r="Q1200" t="str"/>
      <x:c r="R1200" t="str"/>
      <x:c r="S1200" t="str">
        <x:v>Pending genuine supplier/brand image</x:v>
      </x:c>
      <x:c r="T1200" s="54" t="n">
        <x:v>19.99</x:v>
      </x:c>
      <x:c r="U1200" s="47" t="n">
        <x:v>0.2</x:v>
      </x:c>
      <x:c r="V1200" s="54" t="n">
        <x:f>IF(ISNUMBER(T1200),T1200*(1+U1200),"")</x:f>
        <x:v>23.987999999999996</x:v>
      </x:c>
      <x:c r="W1200" s="47" t="n">
        <x:v>0.3</x:v>
      </x:c>
      <x:c r="X1200" s="54" t="n">
        <x:f>IF(ISNUMBER(V1200),V1200/(1-W1200),"")</x:f>
        <x:v>34.26857142857143</x:v>
      </x:c>
      <x:c r="Y1200" s="55" t="n">
        <x:f>IF(ISNUMBER(X1200),ROUNDUP(X1200,0),"")</x:f>
        <x:v>35</x:v>
      </x:c>
      <x:c r="Z1200" t="str">
        <x:v>Source match pending</x:v>
      </x:c>
      <x:c r="AA1200" t="str">
        <x:v>screencapture-www-activesportstrade-co-uk-gorillalpha-trade-2026-09-09-18_30_41.png / page-001</x:v>
      </x:c>
      <x:c r="AB1200" s="36" t="n">
        <x:f>IF(ISNUMBER(Y1200),ROUND(Y1200*0.9,2),"")</x:f>
        <x:v>31.5</x:v>
      </x:c>
      <x:c r="AC1200" s="36" t="n">
        <x:f>IF(ISNUMBER(AB1200),ROUND(AB1200-(AB1200*0.015+0.2)-V1200,2),"")</x:f>
        <x:v>6.84</x:v>
      </x:c>
      <x:c r="AD1200" s="36" t="n">
        <x:f>IF(ISNUMBER(Y1200),ROUND(Y1200*0.8,2),"")</x:f>
        <x:v>28</x:v>
      </x:c>
      <x:c r="AE1200" s="36" t="n">
        <x:f>IF(ISNUMBER(AD1200),ROUND(AD1200*0.015+0.2,2),"")</x:f>
        <x:v>0.62</x:v>
      </x:c>
      <x:c r="AF1200" s="36" t="n">
        <x:f>IF(ISNUMBER(AD1200),ROUND(AD1200-AE1200-V1200,2),"")</x:f>
        <x:v>3.39</x:v>
      </x:c>
      <x:c r="AG1200" t="str">
        <x:f>IF(NOT(ISNUMBER(T1200)),"PENDING",IF(AF1200&gt;0,"PASS","FAIL"))</x:f>
        <x:v>PASS</x:v>
      </x:c>
      <x:c r="AH1200" t="str">
        <x:f>IF(NOT(ISNUMBER(T1200)),"Needs supplier cost",IF(K1200&lt;&gt;"In stock","Supplier unavailable",IF(AG1200&lt;&gt;"PASS","BLOCK - GT loss risk","Commercially protected")))</x:f>
        <x:v>Commercially protected</x:v>
      </x:c>
      <x:c r="AI1200" t="str">
        <x:v>2026-09-10 Active Sports trade capture</x:v>
      </x:c>
      <x:c r="AJ1200" t="str">
        <x:v>Management-only economics. Stripe stress test uses 1.5% + £0.20 standard UK online-card fee; pallet/mix-and-match pricing ignored.</x:v>
      </x:c>
    </x:row>
    <x:row r="1201">
      <x:c r="A1201" t="str">
        <x:v>Active Sports Nutrition</x:v>
      </x:c>
      <x:c r="B1201" t="str">
        <x:v>Gorillalpha</x:v>
      </x:c>
      <x:c r="C1201" t="str">
        <x:v>Ibiza Juice OG Ultra Rare LTD Edition</x:v>
      </x:c>
      <x:c r="D1201" t="str">
        <x:v>Pre Workouts</x:v>
      </x:c>
      <x:c r="E1201" t="str">
        <x:v>High Stim</x:v>
      </x:c>
      <x:c r="F1201" t="str"/>
      <x:c r="G1201" t="str">
        <x:v>480g</x:v>
      </x:c>
      <x:c r="H1201" t="str">
        <x:v>Cherry Cola</x:v>
      </x:c>
      <x:c r="I1201" t="str"/>
      <x:c r="J1201" t="str">
        <x:v>Unit</x:v>
      </x:c>
      <x:c r="K1201" t="str">
        <x:v>In stock</x:v>
      </x:c>
      <x:c r="L1201" t="str">
        <x:v>2026-09-08</x:v>
      </x:c>
      <x:c r="M1201" t="str"/>
      <x:c r="N1201" t="str"/>
      <x:c r="O1201" t="str">
        <x:v>https://www.activesportstrade.co.uk/gorillalpha-trade</x:v>
      </x:c>
      <x:c r="P1201" t="str">
        <x:v>Supplier explicitly lists this limited edition as a separate product family, so it remains separate rather than being folded into standard Ibiza Juice.</x:v>
      </x:c>
      <x:c r="Q1201" t="str"/>
      <x:c r="R1201" t="str"/>
      <x:c r="S1201" t="str">
        <x:v>Pending genuine supplier/brand image</x:v>
      </x:c>
      <x:c r="T1201" s="54" t="n">
        <x:v>19.99</x:v>
      </x:c>
      <x:c r="U1201" s="47" t="n">
        <x:v>0.2</x:v>
      </x:c>
      <x:c r="V1201" s="54" t="n">
        <x:f>IF(ISNUMBER(T1201),T1201*(1+U1201),"")</x:f>
        <x:v>23.987999999999996</x:v>
      </x:c>
      <x:c r="W1201" s="47" t="n">
        <x:v>0.3</x:v>
      </x:c>
      <x:c r="X1201" s="54" t="n">
        <x:f>IF(ISNUMBER(V1201),V1201/(1-W1201),"")</x:f>
        <x:v>34.26857142857143</x:v>
      </x:c>
      <x:c r="Y1201" s="55" t="n">
        <x:f>IF(ISNUMBER(X1201),ROUNDUP(X1201,0),"")</x:f>
        <x:v>35</x:v>
      </x:c>
      <x:c r="Z1201" t="str">
        <x:v>Source match pending</x:v>
      </x:c>
      <x:c r="AA1201" t="str">
        <x:v>screencapture-www-activesportstrade-co-uk-gorillalpha-trade-2026-09-09-18_30_41.png / page-001</x:v>
      </x:c>
      <x:c r="AB1201" s="36" t="n">
        <x:f>IF(ISNUMBER(Y1201),ROUND(Y1201*0.9,2),"")</x:f>
        <x:v>31.5</x:v>
      </x:c>
      <x:c r="AC1201" s="36" t="n">
        <x:f>IF(ISNUMBER(AB1201),ROUND(AB1201-(AB1201*0.015+0.2)-V1201,2),"")</x:f>
        <x:v>6.84</x:v>
      </x:c>
      <x:c r="AD1201" s="36" t="n">
        <x:f>IF(ISNUMBER(Y1201),ROUND(Y1201*0.8,2),"")</x:f>
        <x:v>28</x:v>
      </x:c>
      <x:c r="AE1201" s="36" t="n">
        <x:f>IF(ISNUMBER(AD1201),ROUND(AD1201*0.015+0.2,2),"")</x:f>
        <x:v>0.62</x:v>
      </x:c>
      <x:c r="AF1201" s="36" t="n">
        <x:f>IF(ISNUMBER(AD1201),ROUND(AD1201-AE1201-V1201,2),"")</x:f>
        <x:v>3.39</x:v>
      </x:c>
      <x:c r="AG1201" t="str">
        <x:f>IF(NOT(ISNUMBER(T1201)),"PENDING",IF(AF1201&gt;0,"PASS","FAIL"))</x:f>
        <x:v>PASS</x:v>
      </x:c>
      <x:c r="AH1201" t="str">
        <x:f>IF(NOT(ISNUMBER(T1201)),"Needs supplier cost",IF(K1201&lt;&gt;"In stock","Supplier unavailable",IF(AG1201&lt;&gt;"PASS","BLOCK - GT loss risk","Commercially protected")))</x:f>
        <x:v>Commercially protected</x:v>
      </x:c>
      <x:c r="AI1201" t="str">
        <x:v>2026-09-10 Active Sports trade capture</x:v>
      </x:c>
      <x:c r="AJ1201" t="str">
        <x:v>Management-only economics. Stripe stress test uses 1.5% + £0.20 standard UK online-card fee; pallet/mix-and-match pricing ignored.</x:v>
      </x:c>
    </x:row>
    <x:row r="1202">
      <x:c r="A1202" t="str">
        <x:v>Active Sports Nutrition</x:v>
      </x:c>
      <x:c r="B1202" t="str">
        <x:v>Gorillalpha</x:v>
      </x:c>
      <x:c r="C1202" t="str">
        <x:v>Ibiza Juice OG Ultra Rare LTD Edition</x:v>
      </x:c>
      <x:c r="D1202" t="str">
        <x:v>Pre Workouts</x:v>
      </x:c>
      <x:c r="E1202" t="str">
        <x:v>High Stim</x:v>
      </x:c>
      <x:c r="F1202" t="str"/>
      <x:c r="G1202" t="str">
        <x:v>480g</x:v>
      </x:c>
      <x:c r="H1202" t="str">
        <x:v>Strawberry Coconut</x:v>
      </x:c>
      <x:c r="I1202" t="str"/>
      <x:c r="J1202" t="str">
        <x:v>Unit</x:v>
      </x:c>
      <x:c r="K1202" t="str">
        <x:v>In stock</x:v>
      </x:c>
      <x:c r="L1202" t="str">
        <x:v>2026-09-08</x:v>
      </x:c>
      <x:c r="M1202" t="str"/>
      <x:c r="N1202" t="str"/>
      <x:c r="O1202" t="str">
        <x:v>https://www.activesportstrade.co.uk/gorillalpha-trade</x:v>
      </x:c>
      <x:c r="P1202" t="str">
        <x:v>Supplier explicitly lists this limited edition as a separate product family, so it remains separate rather than being folded into standard Ibiza Juice.</x:v>
      </x:c>
      <x:c r="Q1202" t="str"/>
      <x:c r="R1202" t="str"/>
      <x:c r="S1202" t="str">
        <x:v>Pending genuine supplier/brand image</x:v>
      </x:c>
      <x:c r="T1202" s="54" t="n">
        <x:v>19.99</x:v>
      </x:c>
      <x:c r="U1202" s="47" t="n">
        <x:v>0.2</x:v>
      </x:c>
      <x:c r="V1202" s="54" t="n">
        <x:f>IF(ISNUMBER(T1202),T1202*(1+U1202),"")</x:f>
        <x:v>23.987999999999996</x:v>
      </x:c>
      <x:c r="W1202" s="47" t="n">
        <x:v>0.3</x:v>
      </x:c>
      <x:c r="X1202" s="54" t="n">
        <x:f>IF(ISNUMBER(V1202),V1202/(1-W1202),"")</x:f>
        <x:v>34.26857142857143</x:v>
      </x:c>
      <x:c r="Y1202" s="55" t="n">
        <x:f>IF(ISNUMBER(X1202),ROUNDUP(X1202,0),"")</x:f>
        <x:v>35</x:v>
      </x:c>
      <x:c r="Z1202" t="str">
        <x:v>Source match pending</x:v>
      </x:c>
      <x:c r="AA1202" t="str">
        <x:v>screencapture-www-activesportstrade-co-uk-gorillalpha-trade-2026-09-09-18_30_41.png / page-001</x:v>
      </x:c>
      <x:c r="AB1202" s="36" t="n">
        <x:f>IF(ISNUMBER(Y1202),ROUND(Y1202*0.9,2),"")</x:f>
        <x:v>31.5</x:v>
      </x:c>
      <x:c r="AC1202" s="36" t="n">
        <x:f>IF(ISNUMBER(AB1202),ROUND(AB1202-(AB1202*0.015+0.2)-V1202,2),"")</x:f>
        <x:v>6.84</x:v>
      </x:c>
      <x:c r="AD1202" s="36" t="n">
        <x:f>IF(ISNUMBER(Y1202),ROUND(Y1202*0.8,2),"")</x:f>
        <x:v>28</x:v>
      </x:c>
      <x:c r="AE1202" s="36" t="n">
        <x:f>IF(ISNUMBER(AD1202),ROUND(AD1202*0.015+0.2,2),"")</x:f>
        <x:v>0.62</x:v>
      </x:c>
      <x:c r="AF1202" s="36" t="n">
        <x:f>IF(ISNUMBER(AD1202),ROUND(AD1202-AE1202-V1202,2),"")</x:f>
        <x:v>3.39</x:v>
      </x:c>
      <x:c r="AG1202" t="str">
        <x:f>IF(NOT(ISNUMBER(T1202)),"PENDING",IF(AF1202&gt;0,"PASS","FAIL"))</x:f>
        <x:v>PASS</x:v>
      </x:c>
      <x:c r="AH1202" t="str">
        <x:f>IF(NOT(ISNUMBER(T1202)),"Needs supplier cost",IF(K1202&lt;&gt;"In stock","Supplier unavailable",IF(AG1202&lt;&gt;"PASS","BLOCK - GT loss risk","Commercially protected")))</x:f>
        <x:v>Commercially protected</x:v>
      </x:c>
      <x:c r="AI1202" t="str">
        <x:v>2026-09-10 Active Sports trade capture</x:v>
      </x:c>
      <x:c r="AJ1202" t="str">
        <x:v>Management-only economics. Stripe stress test uses 1.5% + £0.20 standard UK online-card fee; pallet/mix-and-match pricing ignored.</x:v>
      </x:c>
    </x:row>
    <x:row r="1203">
      <x:c r="A1203" t="str">
        <x:v>Active Sports Nutrition</x:v>
      </x:c>
      <x:c r="B1203" t="str">
        <x:v>Gorillalpha</x:v>
      </x:c>
      <x:c r="C1203" t="str">
        <x:v>Ibiza Juice OG Ultra Rare LTD Edition</x:v>
      </x:c>
      <x:c r="D1203" t="str">
        <x:v>Pre Workouts</x:v>
      </x:c>
      <x:c r="E1203" t="str">
        <x:v>High Stim</x:v>
      </x:c>
      <x:c r="F1203" t="str"/>
      <x:c r="G1203" t="str">
        <x:v>480g</x:v>
      </x:c>
      <x:c r="H1203" t="str">
        <x:v>Strawberry Pineapple</x:v>
      </x:c>
      <x:c r="I1203" t="str"/>
      <x:c r="J1203" t="str">
        <x:v>Unit</x:v>
      </x:c>
      <x:c r="K1203" t="str">
        <x:v>In stock</x:v>
      </x:c>
      <x:c r="L1203" t="str">
        <x:v>2026-09-08</x:v>
      </x:c>
      <x:c r="M1203" t="str"/>
      <x:c r="N1203" t="str"/>
      <x:c r="O1203" t="str">
        <x:v>https://www.activesportstrade.co.uk/gorillalpha-trade</x:v>
      </x:c>
      <x:c r="P1203" t="str">
        <x:v>Supplier explicitly lists this limited edition as a separate product family, so it remains separate rather than being folded into standard Ibiza Juice.</x:v>
      </x:c>
      <x:c r="Q1203" t="str"/>
      <x:c r="R1203" t="str"/>
      <x:c r="S1203" t="str">
        <x:v>Pending genuine supplier/brand image</x:v>
      </x:c>
      <x:c r="T1203" s="54" t="n">
        <x:v>19.99</x:v>
      </x:c>
      <x:c r="U1203" s="47" t="n">
        <x:v>0.2</x:v>
      </x:c>
      <x:c r="V1203" s="54" t="n">
        <x:f>IF(ISNUMBER(T1203),T1203*(1+U1203),"")</x:f>
        <x:v>23.987999999999996</x:v>
      </x:c>
      <x:c r="W1203" s="47" t="n">
        <x:v>0.3</x:v>
      </x:c>
      <x:c r="X1203" s="54" t="n">
        <x:f>IF(ISNUMBER(V1203),V1203/(1-W1203),"")</x:f>
        <x:v>34.26857142857143</x:v>
      </x:c>
      <x:c r="Y1203" s="55" t="n">
        <x:f>IF(ISNUMBER(X1203),ROUNDUP(X1203,0),"")</x:f>
        <x:v>35</x:v>
      </x:c>
      <x:c r="Z1203" t="str">
        <x:v>Source match pending</x:v>
      </x:c>
      <x:c r="AA1203" t="str">
        <x:v>screencapture-www-activesportstrade-co-uk-gorillalpha-trade-2026-09-09-18_30_41.png / page-001</x:v>
      </x:c>
      <x:c r="AB1203" s="36" t="n">
        <x:f>IF(ISNUMBER(Y1203),ROUND(Y1203*0.9,2),"")</x:f>
        <x:v>31.5</x:v>
      </x:c>
      <x:c r="AC1203" s="36" t="n">
        <x:f>IF(ISNUMBER(AB1203),ROUND(AB1203-(AB1203*0.015+0.2)-V1203,2),"")</x:f>
        <x:v>6.84</x:v>
      </x:c>
      <x:c r="AD1203" s="36" t="n">
        <x:f>IF(ISNUMBER(Y1203),ROUND(Y1203*0.8,2),"")</x:f>
        <x:v>28</x:v>
      </x:c>
      <x:c r="AE1203" s="36" t="n">
        <x:f>IF(ISNUMBER(AD1203),ROUND(AD1203*0.015+0.2,2),"")</x:f>
        <x:v>0.62</x:v>
      </x:c>
      <x:c r="AF1203" s="36" t="n">
        <x:f>IF(ISNUMBER(AD1203),ROUND(AD1203-AE1203-V1203,2),"")</x:f>
        <x:v>3.39</x:v>
      </x:c>
      <x:c r="AG1203" t="str">
        <x:f>IF(NOT(ISNUMBER(T1203)),"PENDING",IF(AF1203&gt;0,"PASS","FAIL"))</x:f>
        <x:v>PASS</x:v>
      </x:c>
      <x:c r="AH1203" t="str">
        <x:f>IF(NOT(ISNUMBER(T1203)),"Needs supplier cost",IF(K1203&lt;&gt;"In stock","Supplier unavailable",IF(AG1203&lt;&gt;"PASS","BLOCK - GT loss risk","Commercially protected")))</x:f>
        <x:v>Commercially protected</x:v>
      </x:c>
      <x:c r="AI1203" t="str">
        <x:v>2026-09-10 Active Sports trade capture</x:v>
      </x:c>
      <x:c r="AJ1203" t="str">
        <x:v>Management-only economics. Stripe stress test uses 1.5% + £0.20 standard UK online-card fee; pallet/mix-and-match pricing ignored.</x:v>
      </x:c>
    </x:row>
    <x:row r="1204">
      <x:c r="A1204" t="str">
        <x:v>Active Sports Nutrition</x:v>
      </x:c>
      <x:c r="B1204" t="str">
        <x:v>Gorillalpha</x:v>
      </x:c>
      <x:c r="C1204" t="str">
        <x:v>Ibiza Juice Ultimate Energy Vol 1</x:v>
      </x:c>
      <x:c r="D1204" t="str">
        <x:v>Pre Workouts</x:v>
      </x:c>
      <x:c r="E1204" t="str">
        <x:v>High Stim</x:v>
      </x:c>
      <x:c r="F1204" t="str"/>
      <x:c r="G1204" t="str">
        <x:v>480g</x:v>
      </x:c>
      <x:c r="H1204" t="str">
        <x:v>LUVD UP - Luvd Heart Sweets</x:v>
      </x:c>
      <x:c r="I1204" t="str"/>
      <x:c r="J1204" t="str">
        <x:v>Unit</x:v>
      </x:c>
      <x:c r="K1204" t="str">
        <x:v>In stock</x:v>
      </x:c>
      <x:c r="L1204" t="str">
        <x:v>2026-09-08</x:v>
      </x:c>
      <x:c r="M1204" t="str"/>
      <x:c r="N1204" t="str"/>
      <x:c r="O1204" t="str">
        <x:v>https://www.activesportstrade.co.uk/gorillalpha-trade</x:v>
      </x:c>
      <x:c r="P1204" t="str"/>
      <x:c r="Q1204" t="str"/>
      <x:c r="R1204" t="str"/>
      <x:c r="S1204" t="str">
        <x:v>Pending genuine supplier/brand image</x:v>
      </x:c>
      <x:c r="T1204" s="54" t="n">
        <x:v>19.99</x:v>
      </x:c>
      <x:c r="U1204" s="47" t="n">
        <x:v>0.2</x:v>
      </x:c>
      <x:c r="V1204" s="54" t="n">
        <x:f>IF(ISNUMBER(T1204),T1204*(1+U1204),"")</x:f>
        <x:v>23.987999999999996</x:v>
      </x:c>
      <x:c r="W1204" s="47" t="n">
        <x:v>0.3</x:v>
      </x:c>
      <x:c r="X1204" s="54" t="n">
        <x:f>IF(ISNUMBER(V1204),V1204/(1-W1204),"")</x:f>
        <x:v>34.26857142857143</x:v>
      </x:c>
      <x:c r="Y1204" s="55" t="n">
        <x:f>IF(ISNUMBER(X1204),ROUNDUP(X1204,0),"")</x:f>
        <x:v>35</x:v>
      </x:c>
      <x:c r="Z1204" t="str">
        <x:v>Source match pending</x:v>
      </x:c>
      <x:c r="AA1204" t="str">
        <x:v>screencapture-www-activesportstrade-co-uk-gorillalpha-trade-2026-09-09-18_30_41.png / page-001</x:v>
      </x:c>
      <x:c r="AB1204" s="36" t="n">
        <x:f>IF(ISNUMBER(Y1204),ROUND(Y1204*0.9,2),"")</x:f>
        <x:v>31.5</x:v>
      </x:c>
      <x:c r="AC1204" s="36" t="n">
        <x:f>IF(ISNUMBER(AB1204),ROUND(AB1204-(AB1204*0.015+0.2)-V1204,2),"")</x:f>
        <x:v>6.84</x:v>
      </x:c>
      <x:c r="AD1204" s="36" t="n">
        <x:f>IF(ISNUMBER(Y1204),ROUND(Y1204*0.8,2),"")</x:f>
        <x:v>28</x:v>
      </x:c>
      <x:c r="AE1204" s="36" t="n">
        <x:f>IF(ISNUMBER(AD1204),ROUND(AD1204*0.015+0.2,2),"")</x:f>
        <x:v>0.62</x:v>
      </x:c>
      <x:c r="AF1204" s="36" t="n">
        <x:f>IF(ISNUMBER(AD1204),ROUND(AD1204-AE1204-V1204,2),"")</x:f>
        <x:v>3.39</x:v>
      </x:c>
      <x:c r="AG1204" t="str">
        <x:f>IF(NOT(ISNUMBER(T1204)),"PENDING",IF(AF1204&gt;0,"PASS","FAIL"))</x:f>
        <x:v>PASS</x:v>
      </x:c>
      <x:c r="AH1204" t="str">
        <x:f>IF(NOT(ISNUMBER(T1204)),"Needs supplier cost",IF(K1204&lt;&gt;"In stock","Supplier unavailable",IF(AG1204&lt;&gt;"PASS","BLOCK - GT loss risk","Commercially protected")))</x:f>
        <x:v>Commercially protected</x:v>
      </x:c>
      <x:c r="AI1204" t="str">
        <x:v>2026-09-10 Active Sports trade capture</x:v>
      </x:c>
      <x:c r="AJ1204" t="str">
        <x:v>Management-only economics. Stripe stress test uses 1.5% + £0.20 standard UK online-card fee; pallet/mix-and-match pricing ignored.</x:v>
      </x:c>
    </x:row>
    <x:row r="1205">
      <x:c r="A1205" t="str">
        <x:v>Active Sports Nutrition</x:v>
      </x:c>
      <x:c r="B1205" t="str">
        <x:v>Gorillalpha</x:v>
      </x:c>
      <x:c r="C1205" t="str">
        <x:v>Ibiza Juice Ultimate Energy Vol 1</x:v>
      </x:c>
      <x:c r="D1205" t="str">
        <x:v>Pre Workouts</x:v>
      </x:c>
      <x:c r="E1205" t="str">
        <x:v>High Stim</x:v>
      </x:c>
      <x:c r="F1205" t="str"/>
      <x:c r="G1205" t="str">
        <x:v>480g</x:v>
      </x:c>
      <x:c r="H1205" t="str">
        <x:v>Ultimate Bubble Gum Popsicle</x:v>
      </x:c>
      <x:c r="I1205" t="str"/>
      <x:c r="J1205" t="str">
        <x:v>Unit</x:v>
      </x:c>
      <x:c r="K1205" t="str">
        <x:v>In stock</x:v>
      </x:c>
      <x:c r="L1205" t="str">
        <x:v>2026-09-08</x:v>
      </x:c>
      <x:c r="M1205" t="str"/>
      <x:c r="N1205" t="str"/>
      <x:c r="O1205" t="str">
        <x:v>https://www.activesportstrade.co.uk/gorillalpha-trade</x:v>
      </x:c>
      <x:c r="P1205" t="str"/>
      <x:c r="Q1205" t="str"/>
      <x:c r="R1205" t="str"/>
      <x:c r="S1205" t="str">
        <x:v>Pending genuine supplier/brand image</x:v>
      </x:c>
      <x:c r="T1205" s="54" t="n">
        <x:v>19.99</x:v>
      </x:c>
      <x:c r="U1205" s="47" t="n">
        <x:v>0.2</x:v>
      </x:c>
      <x:c r="V1205" s="54" t="n">
        <x:f>IF(ISNUMBER(T1205),T1205*(1+U1205),"")</x:f>
        <x:v>23.987999999999996</x:v>
      </x:c>
      <x:c r="W1205" s="47" t="n">
        <x:v>0.3</x:v>
      </x:c>
      <x:c r="X1205" s="54" t="n">
        <x:f>IF(ISNUMBER(V1205),V1205/(1-W1205),"")</x:f>
        <x:v>34.26857142857143</x:v>
      </x:c>
      <x:c r="Y1205" s="55" t="n">
        <x:f>IF(ISNUMBER(X1205),ROUNDUP(X1205,0),"")</x:f>
        <x:v>35</x:v>
      </x:c>
      <x:c r="Z1205" t="str">
        <x:v>Source match pending</x:v>
      </x:c>
      <x:c r="AA1205" t="str">
        <x:v>screencapture-www-activesportstrade-co-uk-gorillalpha-trade-2026-09-09-18_30_41.png / page-001</x:v>
      </x:c>
      <x:c r="AB1205" s="36" t="n">
        <x:f>IF(ISNUMBER(Y1205),ROUND(Y1205*0.9,2),"")</x:f>
        <x:v>31.5</x:v>
      </x:c>
      <x:c r="AC1205" s="36" t="n">
        <x:f>IF(ISNUMBER(AB1205),ROUND(AB1205-(AB1205*0.015+0.2)-V1205,2),"")</x:f>
        <x:v>6.84</x:v>
      </x:c>
      <x:c r="AD1205" s="36" t="n">
        <x:f>IF(ISNUMBER(Y1205),ROUND(Y1205*0.8,2),"")</x:f>
        <x:v>28</x:v>
      </x:c>
      <x:c r="AE1205" s="36" t="n">
        <x:f>IF(ISNUMBER(AD1205),ROUND(AD1205*0.015+0.2,2),"")</x:f>
        <x:v>0.62</x:v>
      </x:c>
      <x:c r="AF1205" s="36" t="n">
        <x:f>IF(ISNUMBER(AD1205),ROUND(AD1205-AE1205-V1205,2),"")</x:f>
        <x:v>3.39</x:v>
      </x:c>
      <x:c r="AG1205" t="str">
        <x:f>IF(NOT(ISNUMBER(T1205)),"PENDING",IF(AF1205&gt;0,"PASS","FAIL"))</x:f>
        <x:v>PASS</x:v>
      </x:c>
      <x:c r="AH1205" t="str">
        <x:f>IF(NOT(ISNUMBER(T1205)),"Needs supplier cost",IF(K1205&lt;&gt;"In stock","Supplier unavailable",IF(AG1205&lt;&gt;"PASS","BLOCK - GT loss risk","Commercially protected")))</x:f>
        <x:v>Commercially protected</x:v>
      </x:c>
      <x:c r="AI1205" t="str">
        <x:v>2026-09-10 Active Sports trade capture</x:v>
      </x:c>
      <x:c r="AJ1205" t="str">
        <x:v>Management-only economics. Stripe stress test uses 1.5% + £0.20 standard UK online-card fee; pallet/mix-and-match pricing ignored.</x:v>
      </x:c>
    </x:row>
    <x:row r="1206">
      <x:c r="A1206" t="str">
        <x:v>Active Sports Nutrition</x:v>
      </x:c>
      <x:c r="B1206" t="str">
        <x:v>Gorillalpha</x:v>
      </x:c>
      <x:c r="C1206" t="str">
        <x:v>Ibiza Juice Ultimate Energy Vol 1</x:v>
      </x:c>
      <x:c r="D1206" t="str">
        <x:v>Pre Workouts</x:v>
      </x:c>
      <x:c r="E1206" t="str">
        <x:v>High Stim</x:v>
      </x:c>
      <x:c r="F1206" t="str"/>
      <x:c r="G1206" t="str">
        <x:v>480g</x:v>
      </x:c>
      <x:c r="H1206" t="str">
        <x:v>Ultimate Grape Strawberry Orange Slushy</x:v>
      </x:c>
      <x:c r="I1206" t="str"/>
      <x:c r="J1206" t="str">
        <x:v>Unit</x:v>
      </x:c>
      <x:c r="K1206" t="str">
        <x:v>In stock</x:v>
      </x:c>
      <x:c r="L1206" t="str">
        <x:v>2026-09-08</x:v>
      </x:c>
      <x:c r="M1206" t="str"/>
      <x:c r="N1206" t="str"/>
      <x:c r="O1206" t="str">
        <x:v>https://www.activesportstrade.co.uk/gorillalpha-trade</x:v>
      </x:c>
      <x:c r="P1206" t="str"/>
      <x:c r="Q1206" t="str"/>
      <x:c r="R1206" t="str"/>
      <x:c r="S1206" t="str">
        <x:v>Pending genuine supplier/brand image</x:v>
      </x:c>
      <x:c r="T1206" s="54" t="n">
        <x:v>19.99</x:v>
      </x:c>
      <x:c r="U1206" s="47" t="n">
        <x:v>0.2</x:v>
      </x:c>
      <x:c r="V1206" s="54" t="n">
        <x:f>IF(ISNUMBER(T1206),T1206*(1+U1206),"")</x:f>
        <x:v>23.987999999999996</x:v>
      </x:c>
      <x:c r="W1206" s="47" t="n">
        <x:v>0.3</x:v>
      </x:c>
      <x:c r="X1206" s="54" t="n">
        <x:f>IF(ISNUMBER(V1206),V1206/(1-W1206),"")</x:f>
        <x:v>34.26857142857143</x:v>
      </x:c>
      <x:c r="Y1206" s="55" t="n">
        <x:f>IF(ISNUMBER(X1206),ROUNDUP(X1206,0),"")</x:f>
        <x:v>35</x:v>
      </x:c>
      <x:c r="Z1206" t="str">
        <x:v>Source match pending</x:v>
      </x:c>
      <x:c r="AA1206" t="str">
        <x:v>screencapture-www-activesportstrade-co-uk-gorillalpha-trade-2026-09-09-18_30_41.png / page-001</x:v>
      </x:c>
      <x:c r="AB1206" s="36" t="n">
        <x:f>IF(ISNUMBER(Y1206),ROUND(Y1206*0.9,2),"")</x:f>
        <x:v>31.5</x:v>
      </x:c>
      <x:c r="AC1206" s="36" t="n">
        <x:f>IF(ISNUMBER(AB1206),ROUND(AB1206-(AB1206*0.015+0.2)-V1206,2),"")</x:f>
        <x:v>6.84</x:v>
      </x:c>
      <x:c r="AD1206" s="36" t="n">
        <x:f>IF(ISNUMBER(Y1206),ROUND(Y1206*0.8,2),"")</x:f>
        <x:v>28</x:v>
      </x:c>
      <x:c r="AE1206" s="36" t="n">
        <x:f>IF(ISNUMBER(AD1206),ROUND(AD1206*0.015+0.2,2),"")</x:f>
        <x:v>0.62</x:v>
      </x:c>
      <x:c r="AF1206" s="36" t="n">
        <x:f>IF(ISNUMBER(AD1206),ROUND(AD1206-AE1206-V1206,2),"")</x:f>
        <x:v>3.39</x:v>
      </x:c>
      <x:c r="AG1206" t="str">
        <x:f>IF(NOT(ISNUMBER(T1206)),"PENDING",IF(AF1206&gt;0,"PASS","FAIL"))</x:f>
        <x:v>PASS</x:v>
      </x:c>
      <x:c r="AH1206" t="str">
        <x:f>IF(NOT(ISNUMBER(T1206)),"Needs supplier cost",IF(K1206&lt;&gt;"In stock","Supplier unavailable",IF(AG1206&lt;&gt;"PASS","BLOCK - GT loss risk","Commercially protected")))</x:f>
        <x:v>Commercially protected</x:v>
      </x:c>
      <x:c r="AI1206" t="str">
        <x:v>2026-09-10 Active Sports trade capture</x:v>
      </x:c>
      <x:c r="AJ1206" t="str">
        <x:v>Management-only economics. Stripe stress test uses 1.5% + £0.20 standard UK online-card fee; pallet/mix-and-match pricing ignored.</x:v>
      </x:c>
    </x:row>
    <x:row r="1207">
      <x:c r="A1207" t="str">
        <x:v>Active Sports Nutrition</x:v>
      </x:c>
      <x:c r="B1207" t="str">
        <x:v>Gorillalpha</x:v>
      </x:c>
      <x:c r="C1207" t="str">
        <x:v>Ibiza Juice Ultimate Energy Vol 1</x:v>
      </x:c>
      <x:c r="D1207" t="str">
        <x:v>Pre Workouts</x:v>
      </x:c>
      <x:c r="E1207" t="str">
        <x:v>High Stim</x:v>
      </x:c>
      <x:c r="F1207" t="str"/>
      <x:c r="G1207" t="str">
        <x:v>480g</x:v>
      </x:c>
      <x:c r="H1207" t="str">
        <x:v>Ultimate Sherbert Double Dipped</x:v>
      </x:c>
      <x:c r="I1207" t="str"/>
      <x:c r="J1207" t="str">
        <x:v>Unit</x:v>
      </x:c>
      <x:c r="K1207" t="str">
        <x:v>In stock</x:v>
      </x:c>
      <x:c r="L1207" t="str">
        <x:v>2026-09-08</x:v>
      </x:c>
      <x:c r="M1207" t="str"/>
      <x:c r="N1207" t="str"/>
      <x:c r="O1207" t="str">
        <x:v>https://www.activesportstrade.co.uk/gorillalpha-trade</x:v>
      </x:c>
      <x:c r="P1207" t="str"/>
      <x:c r="Q1207" t="str"/>
      <x:c r="R1207" t="str"/>
      <x:c r="S1207" t="str">
        <x:v>Pending genuine supplier/brand image</x:v>
      </x:c>
      <x:c r="T1207" s="54" t="n">
        <x:v>19.99</x:v>
      </x:c>
      <x:c r="U1207" s="47" t="n">
        <x:v>0.2</x:v>
      </x:c>
      <x:c r="V1207" s="54" t="n">
        <x:f>IF(ISNUMBER(T1207),T1207*(1+U1207),"")</x:f>
        <x:v>23.987999999999996</x:v>
      </x:c>
      <x:c r="W1207" s="47" t="n">
        <x:v>0.3</x:v>
      </x:c>
      <x:c r="X1207" s="54" t="n">
        <x:f>IF(ISNUMBER(V1207),V1207/(1-W1207),"")</x:f>
        <x:v>34.26857142857143</x:v>
      </x:c>
      <x:c r="Y1207" s="55" t="n">
        <x:f>IF(ISNUMBER(X1207),ROUNDUP(X1207,0),"")</x:f>
        <x:v>35</x:v>
      </x:c>
      <x:c r="Z1207" t="str">
        <x:v>Source match pending</x:v>
      </x:c>
      <x:c r="AA1207" t="str">
        <x:v>screencapture-www-activesportstrade-co-uk-gorillalpha-trade-2026-09-09-18_30_41.png / page-001</x:v>
      </x:c>
      <x:c r="AB1207" s="36" t="n">
        <x:f>IF(ISNUMBER(Y1207),ROUND(Y1207*0.9,2),"")</x:f>
        <x:v>31.5</x:v>
      </x:c>
      <x:c r="AC1207" s="36" t="n">
        <x:f>IF(ISNUMBER(AB1207),ROUND(AB1207-(AB1207*0.015+0.2)-V1207,2),"")</x:f>
        <x:v>6.84</x:v>
      </x:c>
      <x:c r="AD1207" s="36" t="n">
        <x:f>IF(ISNUMBER(Y1207),ROUND(Y1207*0.8,2),"")</x:f>
        <x:v>28</x:v>
      </x:c>
      <x:c r="AE1207" s="36" t="n">
        <x:f>IF(ISNUMBER(AD1207),ROUND(AD1207*0.015+0.2,2),"")</x:f>
        <x:v>0.62</x:v>
      </x:c>
      <x:c r="AF1207" s="36" t="n">
        <x:f>IF(ISNUMBER(AD1207),ROUND(AD1207-AE1207-V1207,2),"")</x:f>
        <x:v>3.39</x:v>
      </x:c>
      <x:c r="AG1207" t="str">
        <x:f>IF(NOT(ISNUMBER(T1207)),"PENDING",IF(AF1207&gt;0,"PASS","FAIL"))</x:f>
        <x:v>PASS</x:v>
      </x:c>
      <x:c r="AH1207" t="str">
        <x:f>IF(NOT(ISNUMBER(T1207)),"Needs supplier cost",IF(K1207&lt;&gt;"In stock","Supplier unavailable",IF(AG1207&lt;&gt;"PASS","BLOCK - GT loss risk","Commercially protected")))</x:f>
        <x:v>Commercially protected</x:v>
      </x:c>
      <x:c r="AI1207" t="str">
        <x:v>2026-09-10 Active Sports trade capture</x:v>
      </x:c>
      <x:c r="AJ1207" t="str">
        <x:v>Management-only economics. Stripe stress test uses 1.5% + £0.20 standard UK online-card fee; pallet/mix-and-match pricing ignored.</x:v>
      </x:c>
    </x:row>
    <x:row r="1208">
      <x:c r="A1208" t="str">
        <x:v>Active Sports Nutrition</x:v>
      </x:c>
      <x:c r="B1208" t="str">
        <x:v>Gorillalpha</x:v>
      </x:c>
      <x:c r="C1208" t="str">
        <x:v>Ibiza Juice Ultimate Energy Vol 1</x:v>
      </x:c>
      <x:c r="D1208" t="str">
        <x:v>Pre Workouts</x:v>
      </x:c>
      <x:c r="E1208" t="str">
        <x:v>High Stim</x:v>
      </x:c>
      <x:c r="F1208" t="str"/>
      <x:c r="G1208" t="str">
        <x:v>480g</x:v>
      </x:c>
      <x:c r="H1208" t="str">
        <x:v>Ultimate Twister Lollipop</x:v>
      </x:c>
      <x:c r="I1208" t="str"/>
      <x:c r="J1208" t="str">
        <x:v>Unit</x:v>
      </x:c>
      <x:c r="K1208" t="str">
        <x:v>In stock</x:v>
      </x:c>
      <x:c r="L1208" t="str">
        <x:v>2026-09-08</x:v>
      </x:c>
      <x:c r="M1208" t="str"/>
      <x:c r="N1208" t="str"/>
      <x:c r="O1208" t="str">
        <x:v>https://www.activesportstrade.co.uk/gorillalpha-trade</x:v>
      </x:c>
      <x:c r="P1208" t="str"/>
      <x:c r="Q1208" t="str"/>
      <x:c r="R1208" t="str"/>
      <x:c r="S1208" t="str">
        <x:v>Pending genuine supplier/brand image</x:v>
      </x:c>
      <x:c r="T1208" s="54" t="n">
        <x:v>19.99</x:v>
      </x:c>
      <x:c r="U1208" s="47" t="n">
        <x:v>0.2</x:v>
      </x:c>
      <x:c r="V1208" s="54" t="n">
        <x:f>IF(ISNUMBER(T1208),T1208*(1+U1208),"")</x:f>
        <x:v>23.987999999999996</x:v>
      </x:c>
      <x:c r="W1208" s="47" t="n">
        <x:v>0.3</x:v>
      </x:c>
      <x:c r="X1208" s="54" t="n">
        <x:f>IF(ISNUMBER(V1208),V1208/(1-W1208),"")</x:f>
        <x:v>34.26857142857143</x:v>
      </x:c>
      <x:c r="Y1208" s="55" t="n">
        <x:f>IF(ISNUMBER(X1208),ROUNDUP(X1208,0),"")</x:f>
        <x:v>35</x:v>
      </x:c>
      <x:c r="Z1208" t="str">
        <x:v>Source match pending</x:v>
      </x:c>
      <x:c r="AA1208" t="str">
        <x:v>screencapture-www-activesportstrade-co-uk-gorillalpha-trade-2026-09-09-18_30_41.png / page-001</x:v>
      </x:c>
      <x:c r="AB1208" s="36" t="n">
        <x:f>IF(ISNUMBER(Y1208),ROUND(Y1208*0.9,2),"")</x:f>
        <x:v>31.5</x:v>
      </x:c>
      <x:c r="AC1208" s="36" t="n">
        <x:f>IF(ISNUMBER(AB1208),ROUND(AB1208-(AB1208*0.015+0.2)-V1208,2),"")</x:f>
        <x:v>6.84</x:v>
      </x:c>
      <x:c r="AD1208" s="36" t="n">
        <x:f>IF(ISNUMBER(Y1208),ROUND(Y1208*0.8,2),"")</x:f>
        <x:v>28</x:v>
      </x:c>
      <x:c r="AE1208" s="36" t="n">
        <x:f>IF(ISNUMBER(AD1208),ROUND(AD1208*0.015+0.2,2),"")</x:f>
        <x:v>0.62</x:v>
      </x:c>
      <x:c r="AF1208" s="36" t="n">
        <x:f>IF(ISNUMBER(AD1208),ROUND(AD1208-AE1208-V1208,2),"")</x:f>
        <x:v>3.39</x:v>
      </x:c>
      <x:c r="AG1208" t="str">
        <x:f>IF(NOT(ISNUMBER(T1208)),"PENDING",IF(AF1208&gt;0,"PASS","FAIL"))</x:f>
        <x:v>PASS</x:v>
      </x:c>
      <x:c r="AH1208" t="str">
        <x:f>IF(NOT(ISNUMBER(T1208)),"Needs supplier cost",IF(K1208&lt;&gt;"In stock","Supplier unavailable",IF(AG1208&lt;&gt;"PASS","BLOCK - GT loss risk","Commercially protected")))</x:f>
        <x:v>Commercially protected</x:v>
      </x:c>
      <x:c r="AI1208" t="str">
        <x:v>2026-09-10 Active Sports trade capture</x:v>
      </x:c>
      <x:c r="AJ1208" t="str">
        <x:v>Management-only economics. Stripe stress test uses 1.5% + £0.20 standard UK online-card fee; pallet/mix-and-match pricing ignored.</x:v>
      </x:c>
    </x:row>
    <x:row r="1209">
      <x:c r="A1209" t="str">
        <x:v>Active Sports Nutrition</x:v>
      </x:c>
      <x:c r="B1209" t="str">
        <x:v>Gorillalpha</x:v>
      </x:c>
      <x:c r="C1209" t="str">
        <x:v>Thriller Juice</x:v>
      </x:c>
      <x:c r="D1209" t="str">
        <x:v>Pre Workouts</x:v>
      </x:c>
      <x:c r="E1209" t="str">
        <x:v>High Stim</x:v>
      </x:c>
      <x:c r="F1209" t="str"/>
      <x:c r="G1209" t="str">
        <x:v>520g</x:v>
      </x:c>
      <x:c r="H1209" t="str">
        <x:v>Champion Energy</x:v>
      </x:c>
      <x:c r="I1209" t="str"/>
      <x:c r="J1209" t="str">
        <x:v>Unit</x:v>
      </x:c>
      <x:c r="K1209" t="str">
        <x:v>Out of stock</x:v>
      </x:c>
      <x:c r="L1209" t="str">
        <x:v>2026-09-08</x:v>
      </x:c>
      <x:c r="M1209" t="str"/>
      <x:c r="N1209" t="str"/>
      <x:c r="O1209" t="str">
        <x:v>https://www.activesportstrade.co.uk/gorillalpha-trade</x:v>
      </x:c>
      <x:c r="P1209" t="str"/>
      <x:c r="Q1209" t="str"/>
      <x:c r="R1209" t="str"/>
      <x:c r="S1209" t="str">
        <x:v>Pending genuine supplier/brand image</x:v>
      </x:c>
      <x:c r="T1209" s="54" t="n">
        <x:v>20.36</x:v>
      </x:c>
      <x:c r="U1209" s="47" t="n">
        <x:v>0.2</x:v>
      </x:c>
      <x:c r="V1209" s="54" t="n">
        <x:f>IF(ISNUMBER(T1209),T1209*(1+U1209),"")</x:f>
        <x:v>24.432</x:v>
      </x:c>
      <x:c r="W1209" s="47" t="n">
        <x:v>0.3</x:v>
      </x:c>
      <x:c r="X1209" s="54" t="n">
        <x:f>IF(ISNUMBER(V1209),V1209/(1-W1209),"")</x:f>
        <x:v>34.902857142857144</x:v>
      </x:c>
      <x:c r="Y1209" s="55" t="n">
        <x:f>IF(ISNUMBER(X1209),ROUNDUP(X1209,0),"")</x:f>
        <x:v>35</x:v>
      </x:c>
      <x:c r="Z1209" t="str">
        <x:v>Source match pending</x:v>
      </x:c>
      <x:c r="AA1209" t="str">
        <x:v>screencapture-www-activesportstrade-co-uk-gorillalpha-trade-2026-09-09-18_30_41.png / page-001</x:v>
      </x:c>
      <x:c r="AB1209" s="36" t="n">
        <x:f>IF(ISNUMBER(Y1209),ROUND(Y1209*0.9,2),"")</x:f>
        <x:v>31.5</x:v>
      </x:c>
      <x:c r="AC1209" s="36" t="n">
        <x:f>IF(ISNUMBER(AB1209),ROUND(AB1209-(AB1209*0.015+0.2)-V1209,2),"")</x:f>
        <x:v>6.4</x:v>
      </x:c>
      <x:c r="AD1209" s="36" t="n">
        <x:f>IF(ISNUMBER(Y1209),ROUND(Y1209*0.8,2),"")</x:f>
        <x:v>28</x:v>
      </x:c>
      <x:c r="AE1209" s="36" t="n">
        <x:f>IF(ISNUMBER(AD1209),ROUND(AD1209*0.015+0.2,2),"")</x:f>
        <x:v>0.62</x:v>
      </x:c>
      <x:c r="AF1209" s="36" t="n">
        <x:f>IF(ISNUMBER(AD1209),ROUND(AD1209-AE1209-V1209,2),"")</x:f>
        <x:v>2.95</x:v>
      </x:c>
      <x:c r="AG1209" t="str">
        <x:f>IF(NOT(ISNUMBER(T1209)),"PENDING",IF(AF1209&gt;0,"PASS","FAIL"))</x:f>
        <x:v>PASS</x:v>
      </x:c>
      <x:c r="AH1209" t="str">
        <x:f>IF(NOT(ISNUMBER(T1209)),"Needs supplier cost",IF(K1209&lt;&gt;"In stock","Supplier unavailable",IF(AG1209&lt;&gt;"PASS","BLOCK - GT loss risk","Commercially protected")))</x:f>
        <x:v>Supplier unavailable</x:v>
      </x:c>
      <x:c r="AI1209" t="str">
        <x:v>2026-09-10 Active Sports trade capture</x:v>
      </x:c>
      <x:c r="AJ1209" t="str">
        <x:v>Management-only economics. Stripe stress test uses 1.5% + £0.20 standard UK online-card fee; pallet/mix-and-match pricing ignored.</x:v>
      </x:c>
    </x:row>
    <x:row r="1210">
      <x:c r="A1210" t="str">
        <x:v>Active Sports Nutrition</x:v>
      </x:c>
      <x:c r="B1210" t="str">
        <x:v>Gorillalpha</x:v>
      </x:c>
      <x:c r="C1210" t="str">
        <x:v>Thriller Juice</x:v>
      </x:c>
      <x:c r="D1210" t="str">
        <x:v>Pre Workouts</x:v>
      </x:c>
      <x:c r="E1210" t="str">
        <x:v>High Stim</x:v>
      </x:c>
      <x:c r="F1210" t="str"/>
      <x:c r="G1210" t="str">
        <x:v>520g</x:v>
      </x:c>
      <x:c r="H1210" t="str">
        <x:v>Cherry Blast Lemonade Slushy</x:v>
      </x:c>
      <x:c r="I1210" t="str"/>
      <x:c r="J1210" t="str">
        <x:v>Unit</x:v>
      </x:c>
      <x:c r="K1210" t="str">
        <x:v>Out of stock</x:v>
      </x:c>
      <x:c r="L1210" t="str">
        <x:v>2026-09-08</x:v>
      </x:c>
      <x:c r="M1210" t="str"/>
      <x:c r="N1210" t="str"/>
      <x:c r="O1210" t="str">
        <x:v>https://www.activesportstrade.co.uk/gorillalpha-trade</x:v>
      </x:c>
      <x:c r="P1210" t="str"/>
      <x:c r="Q1210" t="str"/>
      <x:c r="R1210" t="str"/>
      <x:c r="S1210" t="str">
        <x:v>Pending genuine supplier/brand image</x:v>
      </x:c>
      <x:c r="T1210" s="54" t="n">
        <x:v>20.36</x:v>
      </x:c>
      <x:c r="U1210" s="47" t="n">
        <x:v>0.2</x:v>
      </x:c>
      <x:c r="V1210" s="54" t="n">
        <x:f>IF(ISNUMBER(T1210),T1210*(1+U1210),"")</x:f>
        <x:v>24.432</x:v>
      </x:c>
      <x:c r="W1210" s="47" t="n">
        <x:v>0.3</x:v>
      </x:c>
      <x:c r="X1210" s="54" t="n">
        <x:f>IF(ISNUMBER(V1210),V1210/(1-W1210),"")</x:f>
        <x:v>34.902857142857144</x:v>
      </x:c>
      <x:c r="Y1210" s="55" t="n">
        <x:f>IF(ISNUMBER(X1210),ROUNDUP(X1210,0),"")</x:f>
        <x:v>35</x:v>
      </x:c>
      <x:c r="Z1210" t="str">
        <x:v>Source match pending</x:v>
      </x:c>
      <x:c r="AA1210" t="str">
        <x:v>screencapture-www-activesportstrade-co-uk-gorillalpha-trade-2026-09-09-18_30_41.png / page-001</x:v>
      </x:c>
      <x:c r="AB1210" s="36" t="n">
        <x:f>IF(ISNUMBER(Y1210),ROUND(Y1210*0.9,2),"")</x:f>
        <x:v>31.5</x:v>
      </x:c>
      <x:c r="AC1210" s="36" t="n">
        <x:f>IF(ISNUMBER(AB1210),ROUND(AB1210-(AB1210*0.015+0.2)-V1210,2),"")</x:f>
        <x:v>6.4</x:v>
      </x:c>
      <x:c r="AD1210" s="36" t="n">
        <x:f>IF(ISNUMBER(Y1210),ROUND(Y1210*0.8,2),"")</x:f>
        <x:v>28</x:v>
      </x:c>
      <x:c r="AE1210" s="36" t="n">
        <x:f>IF(ISNUMBER(AD1210),ROUND(AD1210*0.015+0.2,2),"")</x:f>
        <x:v>0.62</x:v>
      </x:c>
      <x:c r="AF1210" s="36" t="n">
        <x:f>IF(ISNUMBER(AD1210),ROUND(AD1210-AE1210-V1210,2),"")</x:f>
        <x:v>2.95</x:v>
      </x:c>
      <x:c r="AG1210" t="str">
        <x:f>IF(NOT(ISNUMBER(T1210)),"PENDING",IF(AF1210&gt;0,"PASS","FAIL"))</x:f>
        <x:v>PASS</x:v>
      </x:c>
      <x:c r="AH1210" t="str">
        <x:f>IF(NOT(ISNUMBER(T1210)),"Needs supplier cost",IF(K1210&lt;&gt;"In stock","Supplier unavailable",IF(AG1210&lt;&gt;"PASS","BLOCK - GT loss risk","Commercially protected")))</x:f>
        <x:v>Supplier unavailable</x:v>
      </x:c>
      <x:c r="AI1210" t="str">
        <x:v>2026-09-10 Active Sports trade capture</x:v>
      </x:c>
      <x:c r="AJ1210" t="str">
        <x:v>Management-only economics. Stripe stress test uses 1.5% + £0.20 standard UK online-card fee; pallet/mix-and-match pricing ignored.</x:v>
      </x:c>
    </x:row>
    <x:row r="1211">
      <x:c r="A1211" t="str">
        <x:v>Active Sports Nutrition</x:v>
      </x:c>
      <x:c r="B1211" t="str">
        <x:v>Gorillalpha</x:v>
      </x:c>
      <x:c r="C1211" t="str">
        <x:v>Thriller Juice</x:v>
      </x:c>
      <x:c r="D1211" t="str">
        <x:v>Pre Workouts</x:v>
      </x:c>
      <x:c r="E1211" t="str">
        <x:v>High Stim</x:v>
      </x:c>
      <x:c r="F1211" t="str"/>
      <x:c r="G1211" t="str">
        <x:v>520g</x:v>
      </x:c>
      <x:c r="H1211" t="str">
        <x:v>Mighty Melon Cocktail</x:v>
      </x:c>
      <x:c r="I1211" t="str"/>
      <x:c r="J1211" t="str">
        <x:v>Unit</x:v>
      </x:c>
      <x:c r="K1211" t="str">
        <x:v>Out of stock</x:v>
      </x:c>
      <x:c r="L1211" t="str">
        <x:v>2026-09-08</x:v>
      </x:c>
      <x:c r="M1211" t="str"/>
      <x:c r="N1211" t="str"/>
      <x:c r="O1211" t="str">
        <x:v>https://www.activesportstrade.co.uk/gorillalpha-trade</x:v>
      </x:c>
      <x:c r="P1211" t="str"/>
      <x:c r="Q1211" t="str"/>
      <x:c r="R1211" t="str"/>
      <x:c r="S1211" t="str">
        <x:v>Pending genuine supplier/brand image</x:v>
      </x:c>
      <x:c r="T1211" s="54" t="n">
        <x:v>20.36</x:v>
      </x:c>
      <x:c r="U1211" s="47" t="n">
        <x:v>0.2</x:v>
      </x:c>
      <x:c r="V1211" s="54" t="n">
        <x:f>IF(ISNUMBER(T1211),T1211*(1+U1211),"")</x:f>
        <x:v>24.432</x:v>
      </x:c>
      <x:c r="W1211" s="47" t="n">
        <x:v>0.3</x:v>
      </x:c>
      <x:c r="X1211" s="54" t="n">
        <x:f>IF(ISNUMBER(V1211),V1211/(1-W1211),"")</x:f>
        <x:v>34.902857142857144</x:v>
      </x:c>
      <x:c r="Y1211" s="55" t="n">
        <x:f>IF(ISNUMBER(X1211),ROUNDUP(X1211,0),"")</x:f>
        <x:v>35</x:v>
      </x:c>
      <x:c r="Z1211" t="str">
        <x:v>Source match pending</x:v>
      </x:c>
      <x:c r="AA1211" t="str">
        <x:v>screencapture-www-activesportstrade-co-uk-gorillalpha-trade-2026-09-09-18_30_41.png / page-001</x:v>
      </x:c>
      <x:c r="AB1211" s="36" t="n">
        <x:f>IF(ISNUMBER(Y1211),ROUND(Y1211*0.9,2),"")</x:f>
        <x:v>31.5</x:v>
      </x:c>
      <x:c r="AC1211" s="36" t="n">
        <x:f>IF(ISNUMBER(AB1211),ROUND(AB1211-(AB1211*0.015+0.2)-V1211,2),"")</x:f>
        <x:v>6.4</x:v>
      </x:c>
      <x:c r="AD1211" s="36" t="n">
        <x:f>IF(ISNUMBER(Y1211),ROUND(Y1211*0.8,2),"")</x:f>
        <x:v>28</x:v>
      </x:c>
      <x:c r="AE1211" s="36" t="n">
        <x:f>IF(ISNUMBER(AD1211),ROUND(AD1211*0.015+0.2,2),"")</x:f>
        <x:v>0.62</x:v>
      </x:c>
      <x:c r="AF1211" s="36" t="n">
        <x:f>IF(ISNUMBER(AD1211),ROUND(AD1211-AE1211-V1211,2),"")</x:f>
        <x:v>2.95</x:v>
      </x:c>
      <x:c r="AG1211" t="str">
        <x:f>IF(NOT(ISNUMBER(T1211)),"PENDING",IF(AF1211&gt;0,"PASS","FAIL"))</x:f>
        <x:v>PASS</x:v>
      </x:c>
      <x:c r="AH1211" t="str">
        <x:f>IF(NOT(ISNUMBER(T1211)),"Needs supplier cost",IF(K1211&lt;&gt;"In stock","Supplier unavailable",IF(AG1211&lt;&gt;"PASS","BLOCK - GT loss risk","Commercially protected")))</x:f>
        <x:v>Supplier unavailable</x:v>
      </x:c>
      <x:c r="AI1211" t="str">
        <x:v>2026-09-10 Active Sports trade capture</x:v>
      </x:c>
      <x:c r="AJ1211" t="str">
        <x:v>Management-only economics. Stripe stress test uses 1.5% + £0.20 standard UK online-card fee; pallet/mix-and-match pricing ignored.</x:v>
      </x:c>
    </x:row>
    <x:row r="1212">
      <x:c r="A1212" t="str">
        <x:v>Active Sports Nutrition</x:v>
      </x:c>
      <x:c r="B1212" t="str">
        <x:v>Gorillalpha</x:v>
      </x:c>
      <x:c r="C1212" t="str">
        <x:v>Thriller Juice</x:v>
      </x:c>
      <x:c r="D1212" t="str">
        <x:v>Pre Workouts</x:v>
      </x:c>
      <x:c r="E1212" t="str">
        <x:v>High Stim</x:v>
      </x:c>
      <x:c r="F1212" t="str"/>
      <x:c r="G1212" t="str">
        <x:v>520g</x:v>
      </x:c>
      <x:c r="H1212" t="str">
        <x:v>Orange Lemonade Sherbet Slushy</x:v>
      </x:c>
      <x:c r="I1212" t="str"/>
      <x:c r="J1212" t="str">
        <x:v>Unit</x:v>
      </x:c>
      <x:c r="K1212" t="str">
        <x:v>Out of stock</x:v>
      </x:c>
      <x:c r="L1212" t="str">
        <x:v>2026-09-08</x:v>
      </x:c>
      <x:c r="M1212" t="str"/>
      <x:c r="N1212" t="str"/>
      <x:c r="O1212" t="str">
        <x:v>https://www.activesportstrade.co.uk/gorillalpha-trade</x:v>
      </x:c>
      <x:c r="P1212" t="str"/>
      <x:c r="Q1212" t="str"/>
      <x:c r="R1212" t="str"/>
      <x:c r="S1212" t="str">
        <x:v>Pending genuine supplier/brand image</x:v>
      </x:c>
      <x:c r="T1212" s="54" t="n">
        <x:v>20.36</x:v>
      </x:c>
      <x:c r="U1212" s="47" t="n">
        <x:v>0.2</x:v>
      </x:c>
      <x:c r="V1212" s="54" t="n">
        <x:f>IF(ISNUMBER(T1212),T1212*(1+U1212),"")</x:f>
        <x:v>24.432</x:v>
      </x:c>
      <x:c r="W1212" s="47" t="n">
        <x:v>0.3</x:v>
      </x:c>
      <x:c r="X1212" s="54" t="n">
        <x:f>IF(ISNUMBER(V1212),V1212/(1-W1212),"")</x:f>
        <x:v>34.902857142857144</x:v>
      </x:c>
      <x:c r="Y1212" s="55" t="n">
        <x:f>IF(ISNUMBER(X1212),ROUNDUP(X1212,0),"")</x:f>
        <x:v>35</x:v>
      </x:c>
      <x:c r="Z1212" t="str">
        <x:v>Source match pending</x:v>
      </x:c>
      <x:c r="AA1212" t="str">
        <x:v>screencapture-www-activesportstrade-co-uk-gorillalpha-trade-2026-09-09-18_30_41.png / page-001</x:v>
      </x:c>
      <x:c r="AB1212" s="36" t="n">
        <x:f>IF(ISNUMBER(Y1212),ROUND(Y1212*0.9,2),"")</x:f>
        <x:v>31.5</x:v>
      </x:c>
      <x:c r="AC1212" s="36" t="n">
        <x:f>IF(ISNUMBER(AB1212),ROUND(AB1212-(AB1212*0.015+0.2)-V1212,2),"")</x:f>
        <x:v>6.4</x:v>
      </x:c>
      <x:c r="AD1212" s="36" t="n">
        <x:f>IF(ISNUMBER(Y1212),ROUND(Y1212*0.8,2),"")</x:f>
        <x:v>28</x:v>
      </x:c>
      <x:c r="AE1212" s="36" t="n">
        <x:f>IF(ISNUMBER(AD1212),ROUND(AD1212*0.015+0.2,2),"")</x:f>
        <x:v>0.62</x:v>
      </x:c>
      <x:c r="AF1212" s="36" t="n">
        <x:f>IF(ISNUMBER(AD1212),ROUND(AD1212-AE1212-V1212,2),"")</x:f>
        <x:v>2.95</x:v>
      </x:c>
      <x:c r="AG1212" t="str">
        <x:f>IF(NOT(ISNUMBER(T1212)),"PENDING",IF(AF1212&gt;0,"PASS","FAIL"))</x:f>
        <x:v>PASS</x:v>
      </x:c>
      <x:c r="AH1212" t="str">
        <x:f>IF(NOT(ISNUMBER(T1212)),"Needs supplier cost",IF(K1212&lt;&gt;"In stock","Supplier unavailable",IF(AG1212&lt;&gt;"PASS","BLOCK - GT loss risk","Commercially protected")))</x:f>
        <x:v>Supplier unavailable</x:v>
      </x:c>
      <x:c r="AI1212" t="str">
        <x:v>2026-09-10 Active Sports trade capture</x:v>
      </x:c>
      <x:c r="AJ1212" t="str">
        <x:v>Management-only economics. Stripe stress test uses 1.5% + £0.20 standard UK online-card fee; pallet/mix-and-match pricing ignored.</x:v>
      </x:c>
    </x:row>
    <x:row r="1213">
      <x:c r="A1213" t="str">
        <x:v>Active Sports Nutrition</x:v>
      </x:c>
      <x:c r="B1213" t="str">
        <x:v>Gorillalpha</x:v>
      </x:c>
      <x:c r="C1213" t="str">
        <x:v>Thriller Juice</x:v>
      </x:c>
      <x:c r="D1213" t="str">
        <x:v>Pre Workouts</x:v>
      </x:c>
      <x:c r="E1213" t="str">
        <x:v>High Stim</x:v>
      </x:c>
      <x:c r="F1213" t="str"/>
      <x:c r="G1213" t="str">
        <x:v>520g</x:v>
      </x:c>
      <x:c r="H1213" t="str">
        <x:v>Raspberry &amp; Lemonade Slushy</x:v>
      </x:c>
      <x:c r="I1213" t="str"/>
      <x:c r="J1213" t="str">
        <x:v>Unit</x:v>
      </x:c>
      <x:c r="K1213" t="str">
        <x:v>Out of stock</x:v>
      </x:c>
      <x:c r="L1213" t="str">
        <x:v>2026-09-08</x:v>
      </x:c>
      <x:c r="M1213" t="str"/>
      <x:c r="N1213" t="str"/>
      <x:c r="O1213" t="str">
        <x:v>https://www.activesportstrade.co.uk/gorillalpha-trade</x:v>
      </x:c>
      <x:c r="P1213" t="str"/>
      <x:c r="Q1213" t="str"/>
      <x:c r="R1213" t="str"/>
      <x:c r="S1213" t="str">
        <x:v>Pending genuine supplier/brand image</x:v>
      </x:c>
      <x:c r="T1213" s="54" t="n">
        <x:v>20.36</x:v>
      </x:c>
      <x:c r="U1213" s="47" t="n">
        <x:v>0.2</x:v>
      </x:c>
      <x:c r="V1213" s="54" t="n">
        <x:f>IF(ISNUMBER(T1213),T1213*(1+U1213),"")</x:f>
        <x:v>24.432</x:v>
      </x:c>
      <x:c r="W1213" s="47" t="n">
        <x:v>0.3</x:v>
      </x:c>
      <x:c r="X1213" s="54" t="n">
        <x:f>IF(ISNUMBER(V1213),V1213/(1-W1213),"")</x:f>
        <x:v>34.902857142857144</x:v>
      </x:c>
      <x:c r="Y1213" s="55" t="n">
        <x:f>IF(ISNUMBER(X1213),ROUNDUP(X1213,0),"")</x:f>
        <x:v>35</x:v>
      </x:c>
      <x:c r="Z1213" t="str">
        <x:v>Source match pending</x:v>
      </x:c>
      <x:c r="AA1213" t="str">
        <x:v>screencapture-www-activesportstrade-co-uk-gorillalpha-trade-2026-09-09-18_30_41.png / page-001</x:v>
      </x:c>
      <x:c r="AB1213" s="36" t="n">
        <x:f>IF(ISNUMBER(Y1213),ROUND(Y1213*0.9,2),"")</x:f>
        <x:v>31.5</x:v>
      </x:c>
      <x:c r="AC1213" s="36" t="n">
        <x:f>IF(ISNUMBER(AB1213),ROUND(AB1213-(AB1213*0.015+0.2)-V1213,2),"")</x:f>
        <x:v>6.4</x:v>
      </x:c>
      <x:c r="AD1213" s="36" t="n">
        <x:f>IF(ISNUMBER(Y1213),ROUND(Y1213*0.8,2),"")</x:f>
        <x:v>28</x:v>
      </x:c>
      <x:c r="AE1213" s="36" t="n">
        <x:f>IF(ISNUMBER(AD1213),ROUND(AD1213*0.015+0.2,2),"")</x:f>
        <x:v>0.62</x:v>
      </x:c>
      <x:c r="AF1213" s="36" t="n">
        <x:f>IF(ISNUMBER(AD1213),ROUND(AD1213-AE1213-V1213,2),"")</x:f>
        <x:v>2.95</x:v>
      </x:c>
      <x:c r="AG1213" t="str">
        <x:f>IF(NOT(ISNUMBER(T1213)),"PENDING",IF(AF1213&gt;0,"PASS","FAIL"))</x:f>
        <x:v>PASS</x:v>
      </x:c>
      <x:c r="AH1213" t="str">
        <x:f>IF(NOT(ISNUMBER(T1213)),"Needs supplier cost",IF(K1213&lt;&gt;"In stock","Supplier unavailable",IF(AG1213&lt;&gt;"PASS","BLOCK - GT loss risk","Commercially protected")))</x:f>
        <x:v>Supplier unavailable</x:v>
      </x:c>
      <x:c r="AI1213" t="str">
        <x:v>2026-09-10 Active Sports trade capture</x:v>
      </x:c>
      <x:c r="AJ1213" t="str">
        <x:v>Management-only economics. Stripe stress test uses 1.5% + £0.20 standard UK online-card fee; pallet/mix-and-match pricing ignored.</x:v>
      </x:c>
    </x:row>
    <x:row r="1214">
      <x:c r="A1214" t="str">
        <x:v>Active Sports Nutrition</x:v>
      </x:c>
      <x:c r="B1214" t="str">
        <x:v>Gorillalpha</x:v>
      </x:c>
      <x:c r="C1214" t="str">
        <x:v>Thriller Juice</x:v>
      </x:c>
      <x:c r="D1214" t="str">
        <x:v>Pre Workouts</x:v>
      </x:c>
      <x:c r="E1214" t="str">
        <x:v>High Stim</x:v>
      </x:c>
      <x:c r="F1214" t="str"/>
      <x:c r="G1214" t="str">
        <x:v>520g</x:v>
      </x:c>
      <x:c r="H1214" t="str">
        <x:v>Thrilling Cherry Cola</x:v>
      </x:c>
      <x:c r="I1214" t="str"/>
      <x:c r="J1214" t="str">
        <x:v>Unit</x:v>
      </x:c>
      <x:c r="K1214" t="str">
        <x:v>Out of stock</x:v>
      </x:c>
      <x:c r="L1214" t="str">
        <x:v>2026-09-08</x:v>
      </x:c>
      <x:c r="M1214" t="str"/>
      <x:c r="N1214" t="str"/>
      <x:c r="O1214" t="str">
        <x:v>https://www.activesportstrade.co.uk/gorillalpha-trade</x:v>
      </x:c>
      <x:c r="P1214" t="str"/>
      <x:c r="Q1214" t="str"/>
      <x:c r="R1214" t="str"/>
      <x:c r="S1214" t="str">
        <x:v>Pending genuine supplier/brand image</x:v>
      </x:c>
      <x:c r="T1214" s="54" t="n">
        <x:v>20.36</x:v>
      </x:c>
      <x:c r="U1214" s="47" t="n">
        <x:v>0.2</x:v>
      </x:c>
      <x:c r="V1214" s="54" t="n">
        <x:f>IF(ISNUMBER(T1214),T1214*(1+U1214),"")</x:f>
        <x:v>24.432</x:v>
      </x:c>
      <x:c r="W1214" s="47" t="n">
        <x:v>0.3</x:v>
      </x:c>
      <x:c r="X1214" s="54" t="n">
        <x:f>IF(ISNUMBER(V1214),V1214/(1-W1214),"")</x:f>
        <x:v>34.902857142857144</x:v>
      </x:c>
      <x:c r="Y1214" s="55" t="n">
        <x:f>IF(ISNUMBER(X1214),ROUNDUP(X1214,0),"")</x:f>
        <x:v>35</x:v>
      </x:c>
      <x:c r="Z1214" t="str">
        <x:v>Source match pending</x:v>
      </x:c>
      <x:c r="AA1214" t="str">
        <x:v>screencapture-www-activesportstrade-co-uk-gorillalpha-trade-2026-09-09-18_30_41.png / page-001</x:v>
      </x:c>
      <x:c r="AB1214" s="36" t="n">
        <x:f>IF(ISNUMBER(Y1214),ROUND(Y1214*0.9,2),"")</x:f>
        <x:v>31.5</x:v>
      </x:c>
      <x:c r="AC1214" s="36" t="n">
        <x:f>IF(ISNUMBER(AB1214),ROUND(AB1214-(AB1214*0.015+0.2)-V1214,2),"")</x:f>
        <x:v>6.4</x:v>
      </x:c>
      <x:c r="AD1214" s="36" t="n">
        <x:f>IF(ISNUMBER(Y1214),ROUND(Y1214*0.8,2),"")</x:f>
        <x:v>28</x:v>
      </x:c>
      <x:c r="AE1214" s="36" t="n">
        <x:f>IF(ISNUMBER(AD1214),ROUND(AD1214*0.015+0.2,2),"")</x:f>
        <x:v>0.62</x:v>
      </x:c>
      <x:c r="AF1214" s="36" t="n">
        <x:f>IF(ISNUMBER(AD1214),ROUND(AD1214-AE1214-V1214,2),"")</x:f>
        <x:v>2.95</x:v>
      </x:c>
      <x:c r="AG1214" t="str">
        <x:f>IF(NOT(ISNUMBER(T1214)),"PENDING",IF(AF1214&gt;0,"PASS","FAIL"))</x:f>
        <x:v>PASS</x:v>
      </x:c>
      <x:c r="AH1214" t="str">
        <x:f>IF(NOT(ISNUMBER(T1214)),"Needs supplier cost",IF(K1214&lt;&gt;"In stock","Supplier unavailable",IF(AG1214&lt;&gt;"PASS","BLOCK - GT loss risk","Commercially protected")))</x:f>
        <x:v>Supplier unavailable</x:v>
      </x:c>
      <x:c r="AI1214" t="str">
        <x:v>2026-09-10 Active Sports trade capture</x:v>
      </x:c>
      <x:c r="AJ1214" t="str">
        <x:v>Management-only economics. Stripe stress test uses 1.5% + £0.20 standard UK online-card fee; pallet/mix-and-match pricing ignored.</x:v>
      </x:c>
    </x:row>
    <x:row r="1215">
      <x:c r="A1215" t="str">
        <x:v>Active Sports Nutrition</x:v>
      </x:c>
      <x:c r="B1215" t="str">
        <x:v>Gorillalpha</x:v>
      </x:c>
      <x:c r="C1215" t="str">
        <x:v>Thriller Juice</x:v>
      </x:c>
      <x:c r="D1215" t="str">
        <x:v>Pre Workouts</x:v>
      </x:c>
      <x:c r="E1215" t="str">
        <x:v>High Stim</x:v>
      </x:c>
      <x:c r="F1215" t="str"/>
      <x:c r="G1215" t="str">
        <x:v>520g</x:v>
      </x:c>
      <x:c r="H1215" t="str">
        <x:v>Tropical Punch</x:v>
      </x:c>
      <x:c r="I1215" t="str"/>
      <x:c r="J1215" t="str">
        <x:v>Unit</x:v>
      </x:c>
      <x:c r="K1215" t="str">
        <x:v>Out of stock</x:v>
      </x:c>
      <x:c r="L1215" t="str">
        <x:v>2026-09-08</x:v>
      </x:c>
      <x:c r="M1215" t="str"/>
      <x:c r="N1215" t="str"/>
      <x:c r="O1215" t="str">
        <x:v>https://www.activesportstrade.co.uk/gorillalpha-trade</x:v>
      </x:c>
      <x:c r="P1215" t="str"/>
      <x:c r="Q1215" t="str"/>
      <x:c r="R1215" t="str"/>
      <x:c r="S1215" t="str">
        <x:v>Pending genuine supplier/brand image</x:v>
      </x:c>
      <x:c r="T1215" s="54" t="n">
        <x:v>20.36</x:v>
      </x:c>
      <x:c r="U1215" s="47" t="n">
        <x:v>0.2</x:v>
      </x:c>
      <x:c r="V1215" s="54" t="n">
        <x:f>IF(ISNUMBER(T1215),T1215*(1+U1215),"")</x:f>
        <x:v>24.432</x:v>
      </x:c>
      <x:c r="W1215" s="47" t="n">
        <x:v>0.3</x:v>
      </x:c>
      <x:c r="X1215" s="54" t="n">
        <x:f>IF(ISNUMBER(V1215),V1215/(1-W1215),"")</x:f>
        <x:v>34.902857142857144</x:v>
      </x:c>
      <x:c r="Y1215" s="55" t="n">
        <x:f>IF(ISNUMBER(X1215),ROUNDUP(X1215,0),"")</x:f>
        <x:v>35</x:v>
      </x:c>
      <x:c r="Z1215" t="str">
        <x:v>Source match pending</x:v>
      </x:c>
      <x:c r="AA1215" t="str">
        <x:v>screencapture-www-activesportstrade-co-uk-gorillalpha-trade-2026-09-09-18_30_41.png / page-001</x:v>
      </x:c>
      <x:c r="AB1215" s="36" t="n">
        <x:f>IF(ISNUMBER(Y1215),ROUND(Y1215*0.9,2),"")</x:f>
        <x:v>31.5</x:v>
      </x:c>
      <x:c r="AC1215" s="36" t="n">
        <x:f>IF(ISNUMBER(AB1215),ROUND(AB1215-(AB1215*0.015+0.2)-V1215,2),"")</x:f>
        <x:v>6.4</x:v>
      </x:c>
      <x:c r="AD1215" s="36" t="n">
        <x:f>IF(ISNUMBER(Y1215),ROUND(Y1215*0.8,2),"")</x:f>
        <x:v>28</x:v>
      </x:c>
      <x:c r="AE1215" s="36" t="n">
        <x:f>IF(ISNUMBER(AD1215),ROUND(AD1215*0.015+0.2,2),"")</x:f>
        <x:v>0.62</x:v>
      </x:c>
      <x:c r="AF1215" s="36" t="n">
        <x:f>IF(ISNUMBER(AD1215),ROUND(AD1215-AE1215-V1215,2),"")</x:f>
        <x:v>2.95</x:v>
      </x:c>
      <x:c r="AG1215" t="str">
        <x:f>IF(NOT(ISNUMBER(T1215)),"PENDING",IF(AF1215&gt;0,"PASS","FAIL"))</x:f>
        <x:v>PASS</x:v>
      </x:c>
      <x:c r="AH1215" t="str">
        <x:f>IF(NOT(ISNUMBER(T1215)),"Needs supplier cost",IF(K1215&lt;&gt;"In stock","Supplier unavailable",IF(AG1215&lt;&gt;"PASS","BLOCK - GT loss risk","Commercially protected")))</x:f>
        <x:v>Supplier unavailable</x:v>
      </x:c>
      <x:c r="AI1215" t="str">
        <x:v>2026-09-10 Active Sports trade capture</x:v>
      </x:c>
      <x:c r="AJ1215" t="str">
        <x:v>Management-only economics. Stripe stress test uses 1.5% + £0.20 standard UK online-card fee; pallet/mix-and-match pricing ignored.</x:v>
      </x:c>
    </x:row>
    <x:row r="1216">
      <x:c r="A1216" t="str">
        <x:v>Active Sports Nutrition</x:v>
      </x:c>
      <x:c r="B1216" t="str">
        <x:v>Gorillalpha</x:v>
      </x:c>
      <x:c r="C1216" t="str">
        <x:v>Yeti Juice Pre Workout</x:v>
      </x:c>
      <x:c r="D1216" t="str">
        <x:v>Pre Workouts</x:v>
      </x:c>
      <x:c r="E1216" t="str">
        <x:v>High Stim</x:v>
      </x:c>
      <x:c r="F1216" t="str"/>
      <x:c r="G1216" t="str">
        <x:v>480g</x:v>
      </x:c>
      <x:c r="H1216" t="str">
        <x:v>Absolute Energy</x:v>
      </x:c>
      <x:c r="I1216" t="str"/>
      <x:c r="J1216" t="str">
        <x:v>Unit</x:v>
      </x:c>
      <x:c r="K1216" t="str">
        <x:v>In stock</x:v>
      </x:c>
      <x:c r="L1216" t="str">
        <x:v>2026-09-08</x:v>
      </x:c>
      <x:c r="M1216" t="str"/>
      <x:c r="N1216" t="str"/>
      <x:c r="O1216" t="str">
        <x:v>https://www.activesportstrade.co.uk/gorillalpha-trade</x:v>
      </x:c>
      <x:c r="P1216" t="str"/>
      <x:c r="Q1216" t="str"/>
      <x:c r="R1216" t="str"/>
      <x:c r="S1216" t="str">
        <x:v>Pending genuine supplier/brand image</x:v>
      </x:c>
      <x:c r="T1216" s="54"/>
      <x:c r="U1216" s="47" t="n">
        <x:v>0.2</x:v>
      </x:c>
      <x:c r="V1216" s="54" t="str">
        <x:f>IF(ISNUMBER(T1216),T1216*(1+U1216),"")</x:f>
      </x:c>
      <x:c r="W1216" s="47" t="n">
        <x:v>0.3</x:v>
      </x:c>
      <x:c r="X1216" s="54" t="str">
        <x:f>IF(ISNUMBER(V1216),V1216/(1-W1216),"")</x:f>
      </x:c>
      <x:c r="Y1216" s="55" t="str">
        <x:f>IF(ISNUMBER(X1216),ROUNDUP(X1216,0),"")</x:f>
      </x:c>
      <x:c r="Z1216" t="str">
        <x:f>IF(ISNUMBER(T1216),"Cost captured","Awaiting trade cost")</x:f>
        <x:v>Awaiting trade cost</x:v>
      </x:c>
      <x:c r="AB1216" s="36" t="str">
        <x:f>IF(ISNUMBER(Y1216),ROUND(Y1216*0.9,2),"")</x:f>
      </x:c>
      <x:c r="AC1216" s="36" t="str">
        <x:f>IF(ISNUMBER(AB1216),ROUND(AB1216-(AB1216*0.015+0.2)-V1216,2),"")</x:f>
      </x:c>
      <x:c r="AD1216" s="36" t="str">
        <x:f>IF(ISNUMBER(Y1216),ROUND(Y1216*0.8,2),"")</x:f>
      </x:c>
      <x:c r="AE1216" s="36" t="str">
        <x:f>IF(ISNUMBER(AD1216),ROUND(AD1216*0.015+0.2,2),"")</x:f>
      </x:c>
      <x:c r="AF1216" s="36" t="str">
        <x:f>IF(ISNUMBER(AD1216),ROUND(AD1216-AE1216-V1216,2),"")</x:f>
      </x:c>
      <x:c r="AG1216" t="str">
        <x:f>IF(NOT(ISNUMBER(T1216)),"PENDING",IF(AF1216&gt;0,"PASS","FAIL"))</x:f>
        <x:v>PENDING</x:v>
      </x:c>
      <x:c r="AH1216" t="str">
        <x:f>IF(NOT(ISNUMBER(T1216)),"Needs supplier cost",IF(K1216&lt;&gt;"In stock","Supplier unavailable",IF(AG1216&lt;&gt;"PASS","BLOCK - GT loss risk","Commercially protected")))</x:f>
        <x:v>Needs supplier cost</x:v>
      </x:c>
      <x:c r="AI1216" t="str">
        <x:v>2026-09-10 Active Sports trade capture</x:v>
      </x:c>
      <x:c r="AJ1216" t="str">
        <x:v>Management-only economics. Stripe stress test uses 1.5% + £0.20 standard UK online-card fee; pallet/mix-and-match pricing ignored.</x:v>
      </x:c>
    </x:row>
    <x:row r="1217">
      <x:c r="A1217" t="str">
        <x:v>Active Sports Nutrition</x:v>
      </x:c>
      <x:c r="B1217" t="str">
        <x:v>Gorillalpha</x:v>
      </x:c>
      <x:c r="C1217" t="str">
        <x:v>Yeti Juice Pre Workout</x:v>
      </x:c>
      <x:c r="D1217" t="str">
        <x:v>Pre Workouts</x:v>
      </x:c>
      <x:c r="E1217" t="str">
        <x:v>High Stim</x:v>
      </x:c>
      <x:c r="F1217" t="str"/>
      <x:c r="G1217" t="str">
        <x:v>480g</x:v>
      </x:c>
      <x:c r="H1217" t="str">
        <x:v>Apple Bubblegum</x:v>
      </x:c>
      <x:c r="I1217" t="str"/>
      <x:c r="J1217" t="str">
        <x:v>Unit</x:v>
      </x:c>
      <x:c r="K1217" t="str">
        <x:v>In stock</x:v>
      </x:c>
      <x:c r="L1217" t="str">
        <x:v>2026-09-08</x:v>
      </x:c>
      <x:c r="M1217" t="str"/>
      <x:c r="N1217" t="str"/>
      <x:c r="O1217" t="str">
        <x:v>https://www.activesportstrade.co.uk/gorillalpha-trade</x:v>
      </x:c>
      <x:c r="P1217" t="str"/>
      <x:c r="Q1217" t="str"/>
      <x:c r="R1217" t="str"/>
      <x:c r="S1217" t="str">
        <x:v>Pending genuine supplier/brand image</x:v>
      </x:c>
      <x:c r="T1217" s="54"/>
      <x:c r="U1217" s="47" t="n">
        <x:v>0.2</x:v>
      </x:c>
      <x:c r="V1217" s="54" t="str">
        <x:f>IF(ISNUMBER(T1217),T1217*(1+U1217),"")</x:f>
      </x:c>
      <x:c r="W1217" s="47" t="n">
        <x:v>0.3</x:v>
      </x:c>
      <x:c r="X1217" s="54" t="str">
        <x:f>IF(ISNUMBER(V1217),V1217/(1-W1217),"")</x:f>
      </x:c>
      <x:c r="Y1217" s="55" t="str">
        <x:f>IF(ISNUMBER(X1217),ROUNDUP(X1217,0),"")</x:f>
      </x:c>
      <x:c r="Z1217" t="str">
        <x:f>IF(ISNUMBER(T1217),"Cost captured","Awaiting trade cost")</x:f>
        <x:v>Awaiting trade cost</x:v>
      </x:c>
      <x:c r="AB1217" s="36" t="str">
        <x:f>IF(ISNUMBER(Y1217),ROUND(Y1217*0.9,2),"")</x:f>
      </x:c>
      <x:c r="AC1217" s="36" t="str">
        <x:f>IF(ISNUMBER(AB1217),ROUND(AB1217-(AB1217*0.015+0.2)-V1217,2),"")</x:f>
      </x:c>
      <x:c r="AD1217" s="36" t="str">
        <x:f>IF(ISNUMBER(Y1217),ROUND(Y1217*0.8,2),"")</x:f>
      </x:c>
      <x:c r="AE1217" s="36" t="str">
        <x:f>IF(ISNUMBER(AD1217),ROUND(AD1217*0.015+0.2,2),"")</x:f>
      </x:c>
      <x:c r="AF1217" s="36" t="str">
        <x:f>IF(ISNUMBER(AD1217),ROUND(AD1217-AE1217-V1217,2),"")</x:f>
      </x:c>
      <x:c r="AG1217" t="str">
        <x:f>IF(NOT(ISNUMBER(T1217)),"PENDING",IF(AF1217&gt;0,"PASS","FAIL"))</x:f>
        <x:v>PENDING</x:v>
      </x:c>
      <x:c r="AH1217" t="str">
        <x:f>IF(NOT(ISNUMBER(T1217)),"Needs supplier cost",IF(K1217&lt;&gt;"In stock","Supplier unavailable",IF(AG1217&lt;&gt;"PASS","BLOCK - GT loss risk","Commercially protected")))</x:f>
        <x:v>Needs supplier cost</x:v>
      </x:c>
      <x:c r="AI1217" t="str">
        <x:v>2026-09-10 Active Sports trade capture</x:v>
      </x:c>
      <x:c r="AJ1217" t="str">
        <x:v>Management-only economics. Stripe stress test uses 1.5% + £0.20 standard UK online-card fee; pallet/mix-and-match pricing ignored.</x:v>
      </x:c>
    </x:row>
    <x:row r="1218">
      <x:c r="A1218" t="str">
        <x:v>Active Sports Nutrition</x:v>
      </x:c>
      <x:c r="B1218" t="str">
        <x:v>Gorillalpha</x:v>
      </x:c>
      <x:c r="C1218" t="str">
        <x:v>Yeti Juice Pre Workout</x:v>
      </x:c>
      <x:c r="D1218" t="str">
        <x:v>Pre Workouts</x:v>
      </x:c>
      <x:c r="E1218" t="str">
        <x:v>High Stim</x:v>
      </x:c>
      <x:c r="F1218" t="str"/>
      <x:c r="G1218" t="str">
        <x:v>480g</x:v>
      </x:c>
      <x:c r="H1218" t="str">
        <x:v>Apple Candy</x:v>
      </x:c>
      <x:c r="I1218" t="str"/>
      <x:c r="J1218" t="str">
        <x:v>Unit</x:v>
      </x:c>
      <x:c r="K1218" t="str">
        <x:v>Out of stock</x:v>
      </x:c>
      <x:c r="L1218" t="str">
        <x:v>2026-09-08</x:v>
      </x:c>
      <x:c r="M1218" t="str"/>
      <x:c r="N1218" t="str"/>
      <x:c r="O1218" t="str">
        <x:v>https://www.activesportstrade.co.uk/gorillalpha-trade</x:v>
      </x:c>
      <x:c r="P1218" t="str"/>
      <x:c r="Q1218" t="str"/>
      <x:c r="R1218" t="str"/>
      <x:c r="S1218" t="str">
        <x:v>Pending genuine supplier/brand image</x:v>
      </x:c>
      <x:c r="T1218" s="54"/>
      <x:c r="U1218" s="47" t="n">
        <x:v>0.2</x:v>
      </x:c>
      <x:c r="V1218" s="54" t="str">
        <x:f>IF(ISNUMBER(T1218),T1218*(1+U1218),"")</x:f>
      </x:c>
      <x:c r="W1218" s="47" t="n">
        <x:v>0.3</x:v>
      </x:c>
      <x:c r="X1218" s="54" t="str">
        <x:f>IF(ISNUMBER(V1218),V1218/(1-W1218),"")</x:f>
      </x:c>
      <x:c r="Y1218" s="55" t="str">
        <x:f>IF(ISNUMBER(X1218),ROUNDUP(X1218,0),"")</x:f>
      </x:c>
      <x:c r="Z1218" t="str">
        <x:f>IF(ISNUMBER(T1218),"Cost captured","Awaiting trade cost")</x:f>
        <x:v>Awaiting trade cost</x:v>
      </x:c>
      <x:c r="AB1218" s="36" t="str">
        <x:f>IF(ISNUMBER(Y1218),ROUND(Y1218*0.9,2),"")</x:f>
      </x:c>
      <x:c r="AC1218" s="36" t="str">
        <x:f>IF(ISNUMBER(AB1218),ROUND(AB1218-(AB1218*0.015+0.2)-V1218,2),"")</x:f>
      </x:c>
      <x:c r="AD1218" s="36" t="str">
        <x:f>IF(ISNUMBER(Y1218),ROUND(Y1218*0.8,2),"")</x:f>
      </x:c>
      <x:c r="AE1218" s="36" t="str">
        <x:f>IF(ISNUMBER(AD1218),ROUND(AD1218*0.015+0.2,2),"")</x:f>
      </x:c>
      <x:c r="AF1218" s="36" t="str">
        <x:f>IF(ISNUMBER(AD1218),ROUND(AD1218-AE1218-V1218,2),"")</x:f>
      </x:c>
      <x:c r="AG1218" t="str">
        <x:f>IF(NOT(ISNUMBER(T1218)),"PENDING",IF(AF1218&gt;0,"PASS","FAIL"))</x:f>
        <x:v>PENDING</x:v>
      </x:c>
      <x:c r="AH1218" t="str">
        <x:f>IF(NOT(ISNUMBER(T1218)),"Needs supplier cost",IF(K1218&lt;&gt;"In stock","Supplier unavailable",IF(AG1218&lt;&gt;"PASS","BLOCK - GT loss risk","Commercially protected")))</x:f>
        <x:v>Needs supplier cost</x:v>
      </x:c>
      <x:c r="AI1218" t="str">
        <x:v>2026-09-10 Active Sports trade capture</x:v>
      </x:c>
      <x:c r="AJ1218" t="str">
        <x:v>Management-only economics. Stripe stress test uses 1.5% + £0.20 standard UK online-card fee; pallet/mix-and-match pricing ignored.</x:v>
      </x:c>
    </x:row>
    <x:row r="1219">
      <x:c r="A1219" t="str">
        <x:v>Active Sports Nutrition</x:v>
      </x:c>
      <x:c r="B1219" t="str">
        <x:v>Gorillalpha</x:v>
      </x:c>
      <x:c r="C1219" t="str">
        <x:v>Yeti Juice Pre Workout</x:v>
      </x:c>
      <x:c r="D1219" t="str">
        <x:v>Pre Workouts</x:v>
      </x:c>
      <x:c r="E1219" t="str">
        <x:v>High Stim</x:v>
      </x:c>
      <x:c r="F1219" t="str"/>
      <x:c r="G1219" t="str">
        <x:v>480g</x:v>
      </x:c>
      <x:c r="H1219" t="str">
        <x:v>Blue Slushie Crush</x:v>
      </x:c>
      <x:c r="I1219" t="str"/>
      <x:c r="J1219" t="str">
        <x:v>Unit</x:v>
      </x:c>
      <x:c r="K1219" t="str">
        <x:v>In stock</x:v>
      </x:c>
      <x:c r="L1219" t="str">
        <x:v>2026-09-08</x:v>
      </x:c>
      <x:c r="M1219" t="str"/>
      <x:c r="N1219" t="str"/>
      <x:c r="O1219" t="str">
        <x:v>https://www.activesportstrade.co.uk/gorillalpha-trade</x:v>
      </x:c>
      <x:c r="P1219" t="str"/>
      <x:c r="Q1219" t="str"/>
      <x:c r="R1219" t="str"/>
      <x:c r="S1219" t="str">
        <x:v>Pending genuine supplier/brand image</x:v>
      </x:c>
      <x:c r="T1219" s="54"/>
      <x:c r="U1219" s="47" t="n">
        <x:v>0.2</x:v>
      </x:c>
      <x:c r="V1219" s="54" t="str">
        <x:f>IF(ISNUMBER(T1219),T1219*(1+U1219),"")</x:f>
      </x:c>
      <x:c r="W1219" s="47" t="n">
        <x:v>0.3</x:v>
      </x:c>
      <x:c r="X1219" s="54" t="str">
        <x:f>IF(ISNUMBER(V1219),V1219/(1-W1219),"")</x:f>
      </x:c>
      <x:c r="Y1219" s="55" t="str">
        <x:f>IF(ISNUMBER(X1219),ROUNDUP(X1219,0),"")</x:f>
      </x:c>
      <x:c r="Z1219" t="str">
        <x:f>IF(ISNUMBER(T1219),"Cost captured","Awaiting trade cost")</x:f>
        <x:v>Awaiting trade cost</x:v>
      </x:c>
      <x:c r="AB1219" s="36" t="str">
        <x:f>IF(ISNUMBER(Y1219),ROUND(Y1219*0.9,2),"")</x:f>
      </x:c>
      <x:c r="AC1219" s="36" t="str">
        <x:f>IF(ISNUMBER(AB1219),ROUND(AB1219-(AB1219*0.015+0.2)-V1219,2),"")</x:f>
      </x:c>
      <x:c r="AD1219" s="36" t="str">
        <x:f>IF(ISNUMBER(Y1219),ROUND(Y1219*0.8,2),"")</x:f>
      </x:c>
      <x:c r="AE1219" s="36" t="str">
        <x:f>IF(ISNUMBER(AD1219),ROUND(AD1219*0.015+0.2,2),"")</x:f>
      </x:c>
      <x:c r="AF1219" s="36" t="str">
        <x:f>IF(ISNUMBER(AD1219),ROUND(AD1219-AE1219-V1219,2),"")</x:f>
      </x:c>
      <x:c r="AG1219" t="str">
        <x:f>IF(NOT(ISNUMBER(T1219)),"PENDING",IF(AF1219&gt;0,"PASS","FAIL"))</x:f>
        <x:v>PENDING</x:v>
      </x:c>
      <x:c r="AH1219" t="str">
        <x:f>IF(NOT(ISNUMBER(T1219)),"Needs supplier cost",IF(K1219&lt;&gt;"In stock","Supplier unavailable",IF(AG1219&lt;&gt;"PASS","BLOCK - GT loss risk","Commercially protected")))</x:f>
        <x:v>Needs supplier cost</x:v>
      </x:c>
      <x:c r="AI1219" t="str">
        <x:v>2026-09-10 Active Sports trade capture</x:v>
      </x:c>
      <x:c r="AJ1219" t="str">
        <x:v>Management-only economics. Stripe stress test uses 1.5% + £0.20 standard UK online-card fee; pallet/mix-and-match pricing ignored.</x:v>
      </x:c>
    </x:row>
    <x:row r="1220">
      <x:c r="A1220" t="str">
        <x:v>Active Sports Nutrition</x:v>
      </x:c>
      <x:c r="B1220" t="str">
        <x:v>Gorillalpha</x:v>
      </x:c>
      <x:c r="C1220" t="str">
        <x:v>Yeti Juice Pre Workout</x:v>
      </x:c>
      <x:c r="D1220" t="str">
        <x:v>Pre Workouts</x:v>
      </x:c>
      <x:c r="E1220" t="str">
        <x:v>High Stim</x:v>
      </x:c>
      <x:c r="F1220" t="str"/>
      <x:c r="G1220" t="str">
        <x:v>480g</x:v>
      </x:c>
      <x:c r="H1220" t="str">
        <x:v>Bubble Gum Blast</x:v>
      </x:c>
      <x:c r="I1220" t="str"/>
      <x:c r="J1220" t="str">
        <x:v>Unit</x:v>
      </x:c>
      <x:c r="K1220" t="str">
        <x:v>In stock</x:v>
      </x:c>
      <x:c r="L1220" t="str">
        <x:v>2026-09-08</x:v>
      </x:c>
      <x:c r="M1220" t="str"/>
      <x:c r="N1220" t="str"/>
      <x:c r="O1220" t="str">
        <x:v>https://www.activesportstrade.co.uk/gorillalpha-trade</x:v>
      </x:c>
      <x:c r="P1220" t="str"/>
      <x:c r="Q1220" t="str"/>
      <x:c r="R1220" t="str"/>
      <x:c r="S1220" t="str">
        <x:v>Pending genuine supplier/brand image</x:v>
      </x:c>
      <x:c r="T1220" s="54"/>
      <x:c r="U1220" s="47" t="n">
        <x:v>0.2</x:v>
      </x:c>
      <x:c r="V1220" s="54" t="str">
        <x:f>IF(ISNUMBER(T1220),T1220*(1+U1220),"")</x:f>
      </x:c>
      <x:c r="W1220" s="47" t="n">
        <x:v>0.3</x:v>
      </x:c>
      <x:c r="X1220" s="54" t="str">
        <x:f>IF(ISNUMBER(V1220),V1220/(1-W1220),"")</x:f>
      </x:c>
      <x:c r="Y1220" s="55" t="str">
        <x:f>IF(ISNUMBER(X1220),ROUNDUP(X1220,0),"")</x:f>
      </x:c>
      <x:c r="Z1220" t="str">
        <x:f>IF(ISNUMBER(T1220),"Cost captured","Awaiting trade cost")</x:f>
        <x:v>Awaiting trade cost</x:v>
      </x:c>
      <x:c r="AB1220" s="36" t="str">
        <x:f>IF(ISNUMBER(Y1220),ROUND(Y1220*0.9,2),"")</x:f>
      </x:c>
      <x:c r="AC1220" s="36" t="str">
        <x:f>IF(ISNUMBER(AB1220),ROUND(AB1220-(AB1220*0.015+0.2)-V1220,2),"")</x:f>
      </x:c>
      <x:c r="AD1220" s="36" t="str">
        <x:f>IF(ISNUMBER(Y1220),ROUND(Y1220*0.8,2),"")</x:f>
      </x:c>
      <x:c r="AE1220" s="36" t="str">
        <x:f>IF(ISNUMBER(AD1220),ROUND(AD1220*0.015+0.2,2),"")</x:f>
      </x:c>
      <x:c r="AF1220" s="36" t="str">
        <x:f>IF(ISNUMBER(AD1220),ROUND(AD1220-AE1220-V1220,2),"")</x:f>
      </x:c>
      <x:c r="AG1220" t="str">
        <x:f>IF(NOT(ISNUMBER(T1220)),"PENDING",IF(AF1220&gt;0,"PASS","FAIL"))</x:f>
        <x:v>PENDING</x:v>
      </x:c>
      <x:c r="AH1220" t="str">
        <x:f>IF(NOT(ISNUMBER(T1220)),"Needs supplier cost",IF(K1220&lt;&gt;"In stock","Supplier unavailable",IF(AG1220&lt;&gt;"PASS","BLOCK - GT loss risk","Commercially protected")))</x:f>
        <x:v>Needs supplier cost</x:v>
      </x:c>
      <x:c r="AI1220" t="str">
        <x:v>2026-09-10 Active Sports trade capture</x:v>
      </x:c>
      <x:c r="AJ1220" t="str">
        <x:v>Management-only economics. Stripe stress test uses 1.5% + £0.20 standard UK online-card fee; pallet/mix-and-match pricing ignored.</x:v>
      </x:c>
    </x:row>
    <x:row r="1221">
      <x:c r="A1221" t="str">
        <x:v>Active Sports Nutrition</x:v>
      </x:c>
      <x:c r="B1221" t="str">
        <x:v>Gorillalpha</x:v>
      </x:c>
      <x:c r="C1221" t="str">
        <x:v>Yeti Juice Pre Workout</x:v>
      </x:c>
      <x:c r="D1221" t="str">
        <x:v>Pre Workouts</x:v>
      </x:c>
      <x:c r="E1221" t="str">
        <x:v>High Stim</x:v>
      </x:c>
      <x:c r="F1221" t="str"/>
      <x:c r="G1221" t="str">
        <x:v>480g</x:v>
      </x:c>
      <x:c r="H1221" t="str">
        <x:v>Caribbean Crush</x:v>
      </x:c>
      <x:c r="I1221" t="str"/>
      <x:c r="J1221" t="str">
        <x:v>Unit</x:v>
      </x:c>
      <x:c r="K1221" t="str">
        <x:v>In stock</x:v>
      </x:c>
      <x:c r="L1221" t="str">
        <x:v>2026-09-08</x:v>
      </x:c>
      <x:c r="M1221" t="str"/>
      <x:c r="N1221" t="str"/>
      <x:c r="O1221" t="str">
        <x:v>https://www.activesportstrade.co.uk/gorillalpha-trade</x:v>
      </x:c>
      <x:c r="P1221" t="str"/>
      <x:c r="Q1221" t="str"/>
      <x:c r="R1221" t="str"/>
      <x:c r="S1221" t="str">
        <x:v>Pending genuine supplier/brand image</x:v>
      </x:c>
      <x:c r="T1221" s="54"/>
      <x:c r="U1221" s="47" t="n">
        <x:v>0.2</x:v>
      </x:c>
      <x:c r="V1221" s="54" t="str">
        <x:f>IF(ISNUMBER(T1221),T1221*(1+U1221),"")</x:f>
      </x:c>
      <x:c r="W1221" s="47" t="n">
        <x:v>0.3</x:v>
      </x:c>
      <x:c r="X1221" s="54" t="str">
        <x:f>IF(ISNUMBER(V1221),V1221/(1-W1221),"")</x:f>
      </x:c>
      <x:c r="Y1221" s="55" t="str">
        <x:f>IF(ISNUMBER(X1221),ROUNDUP(X1221,0),"")</x:f>
      </x:c>
      <x:c r="Z1221" t="str">
        <x:f>IF(ISNUMBER(T1221),"Cost captured","Awaiting trade cost")</x:f>
        <x:v>Awaiting trade cost</x:v>
      </x:c>
      <x:c r="AB1221" s="36" t="str">
        <x:f>IF(ISNUMBER(Y1221),ROUND(Y1221*0.9,2),"")</x:f>
      </x:c>
      <x:c r="AC1221" s="36" t="str">
        <x:f>IF(ISNUMBER(AB1221),ROUND(AB1221-(AB1221*0.015+0.2)-V1221,2),"")</x:f>
      </x:c>
      <x:c r="AD1221" s="36" t="str">
        <x:f>IF(ISNUMBER(Y1221),ROUND(Y1221*0.8,2),"")</x:f>
      </x:c>
      <x:c r="AE1221" s="36" t="str">
        <x:f>IF(ISNUMBER(AD1221),ROUND(AD1221*0.015+0.2,2),"")</x:f>
      </x:c>
      <x:c r="AF1221" s="36" t="str">
        <x:f>IF(ISNUMBER(AD1221),ROUND(AD1221-AE1221-V1221,2),"")</x:f>
      </x:c>
      <x:c r="AG1221" t="str">
        <x:f>IF(NOT(ISNUMBER(T1221)),"PENDING",IF(AF1221&gt;0,"PASS","FAIL"))</x:f>
        <x:v>PENDING</x:v>
      </x:c>
      <x:c r="AH1221" t="str">
        <x:f>IF(NOT(ISNUMBER(T1221)),"Needs supplier cost",IF(K1221&lt;&gt;"In stock","Supplier unavailable",IF(AG1221&lt;&gt;"PASS","BLOCK - GT loss risk","Commercially protected")))</x:f>
        <x:v>Needs supplier cost</x:v>
      </x:c>
      <x:c r="AI1221" t="str">
        <x:v>2026-09-10 Active Sports trade capture</x:v>
      </x:c>
      <x:c r="AJ1221" t="str">
        <x:v>Management-only economics. Stripe stress test uses 1.5% + £0.20 standard UK online-card fee; pallet/mix-and-match pricing ignored.</x:v>
      </x:c>
    </x:row>
    <x:row r="1222">
      <x:c r="A1222" t="str">
        <x:v>Active Sports Nutrition</x:v>
      </x:c>
      <x:c r="B1222" t="str">
        <x:v>Gorillalpha</x:v>
      </x:c>
      <x:c r="C1222" t="str">
        <x:v>Yeti Juice Pre Workout</x:v>
      </x:c>
      <x:c r="D1222" t="str">
        <x:v>Pre Workouts</x:v>
      </x:c>
      <x:c r="E1222" t="str">
        <x:v>High Stim</x:v>
      </x:c>
      <x:c r="F1222" t="str"/>
      <x:c r="G1222" t="str">
        <x:v>480g</x:v>
      </x:c>
      <x:c r="H1222" t="str">
        <x:v>Cherry Bomb</x:v>
      </x:c>
      <x:c r="I1222" t="str"/>
      <x:c r="J1222" t="str">
        <x:v>Unit</x:v>
      </x:c>
      <x:c r="K1222" t="str">
        <x:v>Out of stock</x:v>
      </x:c>
      <x:c r="L1222" t="str">
        <x:v>2026-09-08</x:v>
      </x:c>
      <x:c r="M1222" t="str"/>
      <x:c r="N1222" t="str"/>
      <x:c r="O1222" t="str">
        <x:v>https://www.activesportstrade.co.uk/gorillalpha-trade</x:v>
      </x:c>
      <x:c r="P1222" t="str"/>
      <x:c r="Q1222" t="str"/>
      <x:c r="R1222" t="str"/>
      <x:c r="S1222" t="str">
        <x:v>Pending genuine supplier/brand image</x:v>
      </x:c>
      <x:c r="T1222" s="54"/>
      <x:c r="U1222" s="47" t="n">
        <x:v>0.2</x:v>
      </x:c>
      <x:c r="V1222" s="54" t="str">
        <x:f>IF(ISNUMBER(T1222),T1222*(1+U1222),"")</x:f>
      </x:c>
      <x:c r="W1222" s="47" t="n">
        <x:v>0.3</x:v>
      </x:c>
      <x:c r="X1222" s="54" t="str">
        <x:f>IF(ISNUMBER(V1222),V1222/(1-W1222),"")</x:f>
      </x:c>
      <x:c r="Y1222" s="55" t="str">
        <x:f>IF(ISNUMBER(X1222),ROUNDUP(X1222,0),"")</x:f>
      </x:c>
      <x:c r="Z1222" t="str">
        <x:f>IF(ISNUMBER(T1222),"Cost captured","Awaiting trade cost")</x:f>
        <x:v>Awaiting trade cost</x:v>
      </x:c>
      <x:c r="AB1222" s="36" t="str">
        <x:f>IF(ISNUMBER(Y1222),ROUND(Y1222*0.9,2),"")</x:f>
      </x:c>
      <x:c r="AC1222" s="36" t="str">
        <x:f>IF(ISNUMBER(AB1222),ROUND(AB1222-(AB1222*0.015+0.2)-V1222,2),"")</x:f>
      </x:c>
      <x:c r="AD1222" s="36" t="str">
        <x:f>IF(ISNUMBER(Y1222),ROUND(Y1222*0.8,2),"")</x:f>
      </x:c>
      <x:c r="AE1222" s="36" t="str">
        <x:f>IF(ISNUMBER(AD1222),ROUND(AD1222*0.015+0.2,2),"")</x:f>
      </x:c>
      <x:c r="AF1222" s="36" t="str">
        <x:f>IF(ISNUMBER(AD1222),ROUND(AD1222-AE1222-V1222,2),"")</x:f>
      </x:c>
      <x:c r="AG1222" t="str">
        <x:f>IF(NOT(ISNUMBER(T1222)),"PENDING",IF(AF1222&gt;0,"PASS","FAIL"))</x:f>
        <x:v>PENDING</x:v>
      </x:c>
      <x:c r="AH1222" t="str">
        <x:f>IF(NOT(ISNUMBER(T1222)),"Needs supplier cost",IF(K1222&lt;&gt;"In stock","Supplier unavailable",IF(AG1222&lt;&gt;"PASS","BLOCK - GT loss risk","Commercially protected")))</x:f>
        <x:v>Needs supplier cost</x:v>
      </x:c>
      <x:c r="AI1222" t="str">
        <x:v>2026-09-10 Active Sports trade capture</x:v>
      </x:c>
      <x:c r="AJ1222" t="str">
        <x:v>Management-only economics. Stripe stress test uses 1.5% + £0.20 standard UK online-card fee; pallet/mix-and-match pricing ignored.</x:v>
      </x:c>
    </x:row>
    <x:row r="1223">
      <x:c r="A1223" t="str">
        <x:v>Active Sports Nutrition</x:v>
      </x:c>
      <x:c r="B1223" t="str">
        <x:v>Gorillalpha</x:v>
      </x:c>
      <x:c r="C1223" t="str">
        <x:v>Yeti Juice Pre Workout</x:v>
      </x:c>
      <x:c r="D1223" t="str">
        <x:v>Pre Workouts</x:v>
      </x:c>
      <x:c r="E1223" t="str">
        <x:v>High Stim</x:v>
      </x:c>
      <x:c r="F1223" t="str"/>
      <x:c r="G1223" t="str">
        <x:v>480g</x:v>
      </x:c>
      <x:c r="H1223" t="str">
        <x:v>Cherry Raspberry</x:v>
      </x:c>
      <x:c r="I1223" t="str"/>
      <x:c r="J1223" t="str">
        <x:v>Unit</x:v>
      </x:c>
      <x:c r="K1223" t="str">
        <x:v>In stock</x:v>
      </x:c>
      <x:c r="L1223" t="str">
        <x:v>2026-09-08</x:v>
      </x:c>
      <x:c r="M1223" t="str"/>
      <x:c r="N1223" t="str"/>
      <x:c r="O1223" t="str">
        <x:v>https://www.activesportstrade.co.uk/gorillalpha-trade</x:v>
      </x:c>
      <x:c r="P1223" t="str"/>
      <x:c r="Q1223" t="str"/>
      <x:c r="R1223" t="str"/>
      <x:c r="S1223" t="str">
        <x:v>Pending genuine supplier/brand image</x:v>
      </x:c>
      <x:c r="T1223" s="54"/>
      <x:c r="U1223" s="47" t="n">
        <x:v>0.2</x:v>
      </x:c>
      <x:c r="V1223" s="54" t="str">
        <x:f>IF(ISNUMBER(T1223),T1223*(1+U1223),"")</x:f>
      </x:c>
      <x:c r="W1223" s="47" t="n">
        <x:v>0.3</x:v>
      </x:c>
      <x:c r="X1223" s="54" t="str">
        <x:f>IF(ISNUMBER(V1223),V1223/(1-W1223),"")</x:f>
      </x:c>
      <x:c r="Y1223" s="55" t="str">
        <x:f>IF(ISNUMBER(X1223),ROUNDUP(X1223,0),"")</x:f>
      </x:c>
      <x:c r="Z1223" t="str">
        <x:f>IF(ISNUMBER(T1223),"Cost captured","Awaiting trade cost")</x:f>
        <x:v>Awaiting trade cost</x:v>
      </x:c>
      <x:c r="AB1223" s="36" t="str">
        <x:f>IF(ISNUMBER(Y1223),ROUND(Y1223*0.9,2),"")</x:f>
      </x:c>
      <x:c r="AC1223" s="36" t="str">
        <x:f>IF(ISNUMBER(AB1223),ROUND(AB1223-(AB1223*0.015+0.2)-V1223,2),"")</x:f>
      </x:c>
      <x:c r="AD1223" s="36" t="str">
        <x:f>IF(ISNUMBER(Y1223),ROUND(Y1223*0.8,2),"")</x:f>
      </x:c>
      <x:c r="AE1223" s="36" t="str">
        <x:f>IF(ISNUMBER(AD1223),ROUND(AD1223*0.015+0.2,2),"")</x:f>
      </x:c>
      <x:c r="AF1223" s="36" t="str">
        <x:f>IF(ISNUMBER(AD1223),ROUND(AD1223-AE1223-V1223,2),"")</x:f>
      </x:c>
      <x:c r="AG1223" t="str">
        <x:f>IF(NOT(ISNUMBER(T1223)),"PENDING",IF(AF1223&gt;0,"PASS","FAIL"))</x:f>
        <x:v>PENDING</x:v>
      </x:c>
      <x:c r="AH1223" t="str">
        <x:f>IF(NOT(ISNUMBER(T1223)),"Needs supplier cost",IF(K1223&lt;&gt;"In stock","Supplier unavailable",IF(AG1223&lt;&gt;"PASS","BLOCK - GT loss risk","Commercially protected")))</x:f>
        <x:v>Needs supplier cost</x:v>
      </x:c>
      <x:c r="AI1223" t="str">
        <x:v>2026-09-10 Active Sports trade capture</x:v>
      </x:c>
      <x:c r="AJ1223" t="str">
        <x:v>Management-only economics. Stripe stress test uses 1.5% + £0.20 standard UK online-card fee; pallet/mix-and-match pricing ignored.</x:v>
      </x:c>
    </x:row>
    <x:row r="1224">
      <x:c r="A1224" t="str">
        <x:v>Active Sports Nutrition</x:v>
      </x:c>
      <x:c r="B1224" t="str">
        <x:v>Gorillalpha</x:v>
      </x:c>
      <x:c r="C1224" t="str">
        <x:v>Yeti Juice Pre Workout</x:v>
      </x:c>
      <x:c r="D1224" t="str">
        <x:v>Pre Workouts</x:v>
      </x:c>
      <x:c r="E1224" t="str">
        <x:v>High Stim</x:v>
      </x:c>
      <x:c r="F1224" t="str"/>
      <x:c r="G1224" t="str">
        <x:v>480g</x:v>
      </x:c>
      <x:c r="H1224" t="str">
        <x:v>Coconut Cola</x:v>
      </x:c>
      <x:c r="I1224" t="str"/>
      <x:c r="J1224" t="str">
        <x:v>Unit</x:v>
      </x:c>
      <x:c r="K1224" t="str">
        <x:v>In stock</x:v>
      </x:c>
      <x:c r="L1224" t="str">
        <x:v>2026-09-08</x:v>
      </x:c>
      <x:c r="M1224" t="str"/>
      <x:c r="N1224" t="str"/>
      <x:c r="O1224" t="str">
        <x:v>https://www.activesportstrade.co.uk/gorillalpha-trade</x:v>
      </x:c>
      <x:c r="P1224" t="str"/>
      <x:c r="Q1224" t="str"/>
      <x:c r="R1224" t="str"/>
      <x:c r="S1224" t="str">
        <x:v>Pending genuine supplier/brand image</x:v>
      </x:c>
      <x:c r="T1224" s="54"/>
      <x:c r="U1224" s="47" t="n">
        <x:v>0.2</x:v>
      </x:c>
      <x:c r="V1224" s="54" t="str">
        <x:f>IF(ISNUMBER(T1224),T1224*(1+U1224),"")</x:f>
      </x:c>
      <x:c r="W1224" s="47" t="n">
        <x:v>0.3</x:v>
      </x:c>
      <x:c r="X1224" s="54" t="str">
        <x:f>IF(ISNUMBER(V1224),V1224/(1-W1224),"")</x:f>
      </x:c>
      <x:c r="Y1224" s="55" t="str">
        <x:f>IF(ISNUMBER(X1224),ROUNDUP(X1224,0),"")</x:f>
      </x:c>
      <x:c r="Z1224" t="str">
        <x:f>IF(ISNUMBER(T1224),"Cost captured","Awaiting trade cost")</x:f>
        <x:v>Awaiting trade cost</x:v>
      </x:c>
      <x:c r="AB1224" s="36" t="str">
        <x:f>IF(ISNUMBER(Y1224),ROUND(Y1224*0.9,2),"")</x:f>
      </x:c>
      <x:c r="AC1224" s="36" t="str">
        <x:f>IF(ISNUMBER(AB1224),ROUND(AB1224-(AB1224*0.015+0.2)-V1224,2),"")</x:f>
      </x:c>
      <x:c r="AD1224" s="36" t="str">
        <x:f>IF(ISNUMBER(Y1224),ROUND(Y1224*0.8,2),"")</x:f>
      </x:c>
      <x:c r="AE1224" s="36" t="str">
        <x:f>IF(ISNUMBER(AD1224),ROUND(AD1224*0.015+0.2,2),"")</x:f>
      </x:c>
      <x:c r="AF1224" s="36" t="str">
        <x:f>IF(ISNUMBER(AD1224),ROUND(AD1224-AE1224-V1224,2),"")</x:f>
      </x:c>
      <x:c r="AG1224" t="str">
        <x:f>IF(NOT(ISNUMBER(T1224)),"PENDING",IF(AF1224&gt;0,"PASS","FAIL"))</x:f>
        <x:v>PENDING</x:v>
      </x:c>
      <x:c r="AH1224" t="str">
        <x:f>IF(NOT(ISNUMBER(T1224)),"Needs supplier cost",IF(K1224&lt;&gt;"In stock","Supplier unavailable",IF(AG1224&lt;&gt;"PASS","BLOCK - GT loss risk","Commercially protected")))</x:f>
        <x:v>Needs supplier cost</x:v>
      </x:c>
      <x:c r="AI1224" t="str">
        <x:v>2026-09-10 Active Sports trade capture</x:v>
      </x:c>
      <x:c r="AJ1224" t="str">
        <x:v>Management-only economics. Stripe stress test uses 1.5% + £0.20 standard UK online-card fee; pallet/mix-and-match pricing ignored.</x:v>
      </x:c>
    </x:row>
    <x:row r="1225">
      <x:c r="A1225" t="str">
        <x:v>Active Sports Nutrition</x:v>
      </x:c>
      <x:c r="B1225" t="str">
        <x:v>Gorillalpha</x:v>
      </x:c>
      <x:c r="C1225" t="str">
        <x:v>Yeti Juice Pre Workout</x:v>
      </x:c>
      <x:c r="D1225" t="str">
        <x:v>Pre Workouts</x:v>
      </x:c>
      <x:c r="E1225" t="str">
        <x:v>High Stim</x:v>
      </x:c>
      <x:c r="F1225" t="str"/>
      <x:c r="G1225" t="str">
        <x:v>480g</x:v>
      </x:c>
      <x:c r="H1225" t="str">
        <x:v>Fizzy Cola</x:v>
      </x:c>
      <x:c r="I1225" t="str"/>
      <x:c r="J1225" t="str">
        <x:v>Unit</x:v>
      </x:c>
      <x:c r="K1225" t="str">
        <x:v>Out of stock</x:v>
      </x:c>
      <x:c r="L1225" t="str">
        <x:v>2026-09-08</x:v>
      </x:c>
      <x:c r="M1225" t="str"/>
      <x:c r="N1225" t="str"/>
      <x:c r="O1225" t="str">
        <x:v>https://www.activesportstrade.co.uk/gorillalpha-trade</x:v>
      </x:c>
      <x:c r="P1225" t="str"/>
      <x:c r="Q1225" t="str"/>
      <x:c r="R1225" t="str"/>
      <x:c r="S1225" t="str">
        <x:v>Pending genuine supplier/brand image</x:v>
      </x:c>
      <x:c r="T1225" s="54"/>
      <x:c r="U1225" s="47" t="n">
        <x:v>0.2</x:v>
      </x:c>
      <x:c r="V1225" s="54" t="str">
        <x:f>IF(ISNUMBER(T1225),T1225*(1+U1225),"")</x:f>
      </x:c>
      <x:c r="W1225" s="47" t="n">
        <x:v>0.3</x:v>
      </x:c>
      <x:c r="X1225" s="54" t="str">
        <x:f>IF(ISNUMBER(V1225),V1225/(1-W1225),"")</x:f>
      </x:c>
      <x:c r="Y1225" s="55" t="str">
        <x:f>IF(ISNUMBER(X1225),ROUNDUP(X1225,0),"")</x:f>
      </x:c>
      <x:c r="Z1225" t="str">
        <x:f>IF(ISNUMBER(T1225),"Cost captured","Awaiting trade cost")</x:f>
        <x:v>Awaiting trade cost</x:v>
      </x:c>
      <x:c r="AB1225" s="36" t="str">
        <x:f>IF(ISNUMBER(Y1225),ROUND(Y1225*0.9,2),"")</x:f>
      </x:c>
      <x:c r="AC1225" s="36" t="str">
        <x:f>IF(ISNUMBER(AB1225),ROUND(AB1225-(AB1225*0.015+0.2)-V1225,2),"")</x:f>
      </x:c>
      <x:c r="AD1225" s="36" t="str">
        <x:f>IF(ISNUMBER(Y1225),ROUND(Y1225*0.8,2),"")</x:f>
      </x:c>
      <x:c r="AE1225" s="36" t="str">
        <x:f>IF(ISNUMBER(AD1225),ROUND(AD1225*0.015+0.2,2),"")</x:f>
      </x:c>
      <x:c r="AF1225" s="36" t="str">
        <x:f>IF(ISNUMBER(AD1225),ROUND(AD1225-AE1225-V1225,2),"")</x:f>
      </x:c>
      <x:c r="AG1225" t="str">
        <x:f>IF(NOT(ISNUMBER(T1225)),"PENDING",IF(AF1225&gt;0,"PASS","FAIL"))</x:f>
        <x:v>PENDING</x:v>
      </x:c>
      <x:c r="AH1225" t="str">
        <x:f>IF(NOT(ISNUMBER(T1225)),"Needs supplier cost",IF(K1225&lt;&gt;"In stock","Supplier unavailable",IF(AG1225&lt;&gt;"PASS","BLOCK - GT loss risk","Commercially protected")))</x:f>
        <x:v>Needs supplier cost</x:v>
      </x:c>
      <x:c r="AI1225" t="str">
        <x:v>2026-09-10 Active Sports trade capture</x:v>
      </x:c>
      <x:c r="AJ1225" t="str">
        <x:v>Management-only economics. Stripe stress test uses 1.5% + £0.20 standard UK online-card fee; pallet/mix-and-match pricing ignored.</x:v>
      </x:c>
    </x:row>
    <x:row r="1226">
      <x:c r="A1226" t="str">
        <x:v>Active Sports Nutrition</x:v>
      </x:c>
      <x:c r="B1226" t="str">
        <x:v>Gorillalpha</x:v>
      </x:c>
      <x:c r="C1226" t="str">
        <x:v>Yeti Juice Pre Workout</x:v>
      </x:c>
      <x:c r="D1226" t="str">
        <x:v>Pre Workouts</x:v>
      </x:c>
      <x:c r="E1226" t="str">
        <x:v>High Stim</x:v>
      </x:c>
      <x:c r="F1226" t="str"/>
      <x:c r="G1226" t="str">
        <x:v>480g</x:v>
      </x:c>
      <x:c r="H1226" t="str">
        <x:v>Gummy Bears</x:v>
      </x:c>
      <x:c r="I1226" t="str"/>
      <x:c r="J1226" t="str">
        <x:v>Unit</x:v>
      </x:c>
      <x:c r="K1226" t="str">
        <x:v>In stock</x:v>
      </x:c>
      <x:c r="L1226" t="str">
        <x:v>2026-09-08</x:v>
      </x:c>
      <x:c r="M1226" t="str"/>
      <x:c r="N1226" t="str"/>
      <x:c r="O1226" t="str">
        <x:v>https://www.activesportstrade.co.uk/gorillalpha-trade</x:v>
      </x:c>
      <x:c r="P1226" t="str"/>
      <x:c r="Q1226" t="str"/>
      <x:c r="R1226" t="str"/>
      <x:c r="S1226" t="str">
        <x:v>Pending genuine supplier/brand image</x:v>
      </x:c>
      <x:c r="T1226" s="54"/>
      <x:c r="U1226" s="47" t="n">
        <x:v>0.2</x:v>
      </x:c>
      <x:c r="V1226" s="54" t="str">
        <x:f>IF(ISNUMBER(T1226),T1226*(1+U1226),"")</x:f>
      </x:c>
      <x:c r="W1226" s="47" t="n">
        <x:v>0.3</x:v>
      </x:c>
      <x:c r="X1226" s="54" t="str">
        <x:f>IF(ISNUMBER(V1226),V1226/(1-W1226),"")</x:f>
      </x:c>
      <x:c r="Y1226" s="55" t="str">
        <x:f>IF(ISNUMBER(X1226),ROUNDUP(X1226,0),"")</x:f>
      </x:c>
      <x:c r="Z1226" t="str">
        <x:f>IF(ISNUMBER(T1226),"Cost captured","Awaiting trade cost")</x:f>
        <x:v>Awaiting trade cost</x:v>
      </x:c>
      <x:c r="AB1226" s="36" t="str">
        <x:f>IF(ISNUMBER(Y1226),ROUND(Y1226*0.9,2),"")</x:f>
      </x:c>
      <x:c r="AC1226" s="36" t="str">
        <x:f>IF(ISNUMBER(AB1226),ROUND(AB1226-(AB1226*0.015+0.2)-V1226,2),"")</x:f>
      </x:c>
      <x:c r="AD1226" s="36" t="str">
        <x:f>IF(ISNUMBER(Y1226),ROUND(Y1226*0.8,2),"")</x:f>
      </x:c>
      <x:c r="AE1226" s="36" t="str">
        <x:f>IF(ISNUMBER(AD1226),ROUND(AD1226*0.015+0.2,2),"")</x:f>
      </x:c>
      <x:c r="AF1226" s="36" t="str">
        <x:f>IF(ISNUMBER(AD1226),ROUND(AD1226-AE1226-V1226,2),"")</x:f>
      </x:c>
      <x:c r="AG1226" t="str">
        <x:f>IF(NOT(ISNUMBER(T1226)),"PENDING",IF(AF1226&gt;0,"PASS","FAIL"))</x:f>
        <x:v>PENDING</x:v>
      </x:c>
      <x:c r="AH1226" t="str">
        <x:f>IF(NOT(ISNUMBER(T1226)),"Needs supplier cost",IF(K1226&lt;&gt;"In stock","Supplier unavailable",IF(AG1226&lt;&gt;"PASS","BLOCK - GT loss risk","Commercially protected")))</x:f>
        <x:v>Needs supplier cost</x:v>
      </x:c>
      <x:c r="AI1226" t="str">
        <x:v>2026-09-10 Active Sports trade capture</x:v>
      </x:c>
      <x:c r="AJ1226" t="str">
        <x:v>Management-only economics. Stripe stress test uses 1.5% + £0.20 standard UK online-card fee; pallet/mix-and-match pricing ignored.</x:v>
      </x:c>
    </x:row>
    <x:row r="1227">
      <x:c r="A1227" t="str">
        <x:v>Active Sports Nutrition</x:v>
      </x:c>
      <x:c r="B1227" t="str">
        <x:v>Gorillalpha</x:v>
      </x:c>
      <x:c r="C1227" t="str">
        <x:v>Yeti Juice Pre Workout</x:v>
      </x:c>
      <x:c r="D1227" t="str">
        <x:v>Pre Workouts</x:v>
      </x:c>
      <x:c r="E1227" t="str">
        <x:v>High Stim</x:v>
      </x:c>
      <x:c r="F1227" t="str"/>
      <x:c r="G1227" t="str">
        <x:v>480g</x:v>
      </x:c>
      <x:c r="H1227" t="str">
        <x:v>Jungle Juice - Mixed Fruit</x:v>
      </x:c>
      <x:c r="I1227" t="str"/>
      <x:c r="J1227" t="str">
        <x:v>Unit</x:v>
      </x:c>
      <x:c r="K1227" t="str">
        <x:v>In stock</x:v>
      </x:c>
      <x:c r="L1227" t="str">
        <x:v>2026-09-08</x:v>
      </x:c>
      <x:c r="M1227" t="str"/>
      <x:c r="N1227" t="str"/>
      <x:c r="O1227" t="str">
        <x:v>https://www.activesportstrade.co.uk/gorillalpha-trade</x:v>
      </x:c>
      <x:c r="P1227" t="str"/>
      <x:c r="Q1227" t="str"/>
      <x:c r="R1227" t="str"/>
      <x:c r="S1227" t="str">
        <x:v>Pending genuine supplier/brand image</x:v>
      </x:c>
      <x:c r="T1227" s="54"/>
      <x:c r="U1227" s="47" t="n">
        <x:v>0.2</x:v>
      </x:c>
      <x:c r="V1227" s="54" t="str">
        <x:f>IF(ISNUMBER(T1227),T1227*(1+U1227),"")</x:f>
      </x:c>
      <x:c r="W1227" s="47" t="n">
        <x:v>0.3</x:v>
      </x:c>
      <x:c r="X1227" s="54" t="str">
        <x:f>IF(ISNUMBER(V1227),V1227/(1-W1227),"")</x:f>
      </x:c>
      <x:c r="Y1227" s="55" t="str">
        <x:f>IF(ISNUMBER(X1227),ROUNDUP(X1227,0),"")</x:f>
      </x:c>
      <x:c r="Z1227" t="str">
        <x:f>IF(ISNUMBER(T1227),"Cost captured","Awaiting trade cost")</x:f>
        <x:v>Awaiting trade cost</x:v>
      </x:c>
      <x:c r="AB1227" s="36" t="str">
        <x:f>IF(ISNUMBER(Y1227),ROUND(Y1227*0.9,2),"")</x:f>
      </x:c>
      <x:c r="AC1227" s="36" t="str">
        <x:f>IF(ISNUMBER(AB1227),ROUND(AB1227-(AB1227*0.015+0.2)-V1227,2),"")</x:f>
      </x:c>
      <x:c r="AD1227" s="36" t="str">
        <x:f>IF(ISNUMBER(Y1227),ROUND(Y1227*0.8,2),"")</x:f>
      </x:c>
      <x:c r="AE1227" s="36" t="str">
        <x:f>IF(ISNUMBER(AD1227),ROUND(AD1227*0.015+0.2,2),"")</x:f>
      </x:c>
      <x:c r="AF1227" s="36" t="str">
        <x:f>IF(ISNUMBER(AD1227),ROUND(AD1227-AE1227-V1227,2),"")</x:f>
      </x:c>
      <x:c r="AG1227" t="str">
        <x:f>IF(NOT(ISNUMBER(T1227)),"PENDING",IF(AF1227&gt;0,"PASS","FAIL"))</x:f>
        <x:v>PENDING</x:v>
      </x:c>
      <x:c r="AH1227" t="str">
        <x:f>IF(NOT(ISNUMBER(T1227)),"Needs supplier cost",IF(K1227&lt;&gt;"In stock","Supplier unavailable",IF(AG1227&lt;&gt;"PASS","BLOCK - GT loss risk","Commercially protected")))</x:f>
        <x:v>Needs supplier cost</x:v>
      </x:c>
      <x:c r="AI1227" t="str">
        <x:v>2026-09-10 Active Sports trade capture</x:v>
      </x:c>
      <x:c r="AJ1227" t="str">
        <x:v>Management-only economics. Stripe stress test uses 1.5% + £0.20 standard UK online-card fee; pallet/mix-and-match pricing ignored.</x:v>
      </x:c>
    </x:row>
    <x:row r="1228">
      <x:c r="A1228" t="str">
        <x:v>Active Sports Nutrition</x:v>
      </x:c>
      <x:c r="B1228" t="str">
        <x:v>Gorillalpha</x:v>
      </x:c>
      <x:c r="C1228" t="str">
        <x:v>Yeti Juice Pre Workout</x:v>
      </x:c>
      <x:c r="D1228" t="str">
        <x:v>Pre Workouts</x:v>
      </x:c>
      <x:c r="E1228" t="str">
        <x:v>High Stim</x:v>
      </x:c>
      <x:c r="F1228" t="str"/>
      <x:c r="G1228" t="str">
        <x:v>480g</x:v>
      </x:c>
      <x:c r="H1228" t="str">
        <x:v>Mango &amp; Passionfruit</x:v>
      </x:c>
      <x:c r="I1228" t="str"/>
      <x:c r="J1228" t="str">
        <x:v>Unit</x:v>
      </x:c>
      <x:c r="K1228" t="str">
        <x:v>Out of stock</x:v>
      </x:c>
      <x:c r="L1228" t="str">
        <x:v>2026-09-08</x:v>
      </x:c>
      <x:c r="M1228" t="str"/>
      <x:c r="N1228" t="str"/>
      <x:c r="O1228" t="str">
        <x:v>https://www.activesportstrade.co.uk/gorillalpha-trade</x:v>
      </x:c>
      <x:c r="P1228" t="str"/>
      <x:c r="Q1228" t="str"/>
      <x:c r="R1228" t="str"/>
      <x:c r="S1228" t="str">
        <x:v>Pending genuine supplier/brand image</x:v>
      </x:c>
      <x:c r="T1228" s="54"/>
      <x:c r="U1228" s="47" t="n">
        <x:v>0.2</x:v>
      </x:c>
      <x:c r="V1228" s="54" t="str">
        <x:f>IF(ISNUMBER(T1228),T1228*(1+U1228),"")</x:f>
      </x:c>
      <x:c r="W1228" s="47" t="n">
        <x:v>0.3</x:v>
      </x:c>
      <x:c r="X1228" s="54" t="str">
        <x:f>IF(ISNUMBER(V1228),V1228/(1-W1228),"")</x:f>
      </x:c>
      <x:c r="Y1228" s="55" t="str">
        <x:f>IF(ISNUMBER(X1228),ROUNDUP(X1228,0),"")</x:f>
      </x:c>
      <x:c r="Z1228" t="str">
        <x:f>IF(ISNUMBER(T1228),"Cost captured","Awaiting trade cost")</x:f>
        <x:v>Awaiting trade cost</x:v>
      </x:c>
      <x:c r="AB1228" s="36" t="str">
        <x:f>IF(ISNUMBER(Y1228),ROUND(Y1228*0.9,2),"")</x:f>
      </x:c>
      <x:c r="AC1228" s="36" t="str">
        <x:f>IF(ISNUMBER(AB1228),ROUND(AB1228-(AB1228*0.015+0.2)-V1228,2),"")</x:f>
      </x:c>
      <x:c r="AD1228" s="36" t="str">
        <x:f>IF(ISNUMBER(Y1228),ROUND(Y1228*0.8,2),"")</x:f>
      </x:c>
      <x:c r="AE1228" s="36" t="str">
        <x:f>IF(ISNUMBER(AD1228),ROUND(AD1228*0.015+0.2,2),"")</x:f>
      </x:c>
      <x:c r="AF1228" s="36" t="str">
        <x:f>IF(ISNUMBER(AD1228),ROUND(AD1228-AE1228-V1228,2),"")</x:f>
      </x:c>
      <x:c r="AG1228" t="str">
        <x:f>IF(NOT(ISNUMBER(T1228)),"PENDING",IF(AF1228&gt;0,"PASS","FAIL"))</x:f>
        <x:v>PENDING</x:v>
      </x:c>
      <x:c r="AH1228" t="str">
        <x:f>IF(NOT(ISNUMBER(T1228)),"Needs supplier cost",IF(K1228&lt;&gt;"In stock","Supplier unavailable",IF(AG1228&lt;&gt;"PASS","BLOCK - GT loss risk","Commercially protected")))</x:f>
        <x:v>Needs supplier cost</x:v>
      </x:c>
      <x:c r="AI1228" t="str">
        <x:v>2026-09-10 Active Sports trade capture</x:v>
      </x:c>
      <x:c r="AJ1228" t="str">
        <x:v>Management-only economics. Stripe stress test uses 1.5% + £0.20 standard UK online-card fee; pallet/mix-and-match pricing ignored.</x:v>
      </x:c>
    </x:row>
    <x:row r="1229">
      <x:c r="A1229" t="str">
        <x:v>Active Sports Nutrition</x:v>
      </x:c>
      <x:c r="B1229" t="str">
        <x:v>Gorillalpha</x:v>
      </x:c>
      <x:c r="C1229" t="str">
        <x:v>Yeti Juice Pre Workout</x:v>
      </x:c>
      <x:c r="D1229" t="str">
        <x:v>Pre Workouts</x:v>
      </x:c>
      <x:c r="E1229" t="str">
        <x:v>High Stim</x:v>
      </x:c>
      <x:c r="F1229" t="str"/>
      <x:c r="G1229" t="str">
        <x:v>480g</x:v>
      </x:c>
      <x:c r="H1229" t="str">
        <x:v>Orange &amp; Mango</x:v>
      </x:c>
      <x:c r="I1229" t="str"/>
      <x:c r="J1229" t="str">
        <x:v>Unit</x:v>
      </x:c>
      <x:c r="K1229" t="str">
        <x:v>Out of stock</x:v>
      </x:c>
      <x:c r="L1229" t="str">
        <x:v>2026-09-08</x:v>
      </x:c>
      <x:c r="M1229" t="str"/>
      <x:c r="N1229" t="str"/>
      <x:c r="O1229" t="str">
        <x:v>https://www.activesportstrade.co.uk/gorillalpha-trade</x:v>
      </x:c>
      <x:c r="P1229" t="str"/>
      <x:c r="Q1229" t="str"/>
      <x:c r="R1229" t="str"/>
      <x:c r="S1229" t="str">
        <x:v>Pending genuine supplier/brand image</x:v>
      </x:c>
      <x:c r="T1229" s="54"/>
      <x:c r="U1229" s="47" t="n">
        <x:v>0.2</x:v>
      </x:c>
      <x:c r="V1229" s="54" t="str">
        <x:f>IF(ISNUMBER(T1229),T1229*(1+U1229),"")</x:f>
      </x:c>
      <x:c r="W1229" s="47" t="n">
        <x:v>0.3</x:v>
      </x:c>
      <x:c r="X1229" s="54" t="str">
        <x:f>IF(ISNUMBER(V1229),V1229/(1-W1229),"")</x:f>
      </x:c>
      <x:c r="Y1229" s="55" t="str">
        <x:f>IF(ISNUMBER(X1229),ROUNDUP(X1229,0),"")</x:f>
      </x:c>
      <x:c r="Z1229" t="str">
        <x:f>IF(ISNUMBER(T1229),"Cost captured","Awaiting trade cost")</x:f>
        <x:v>Awaiting trade cost</x:v>
      </x:c>
      <x:c r="AB1229" s="36" t="str">
        <x:f>IF(ISNUMBER(Y1229),ROUND(Y1229*0.9,2),"")</x:f>
      </x:c>
      <x:c r="AC1229" s="36" t="str">
        <x:f>IF(ISNUMBER(AB1229),ROUND(AB1229-(AB1229*0.015+0.2)-V1229,2),"")</x:f>
      </x:c>
      <x:c r="AD1229" s="36" t="str">
        <x:f>IF(ISNUMBER(Y1229),ROUND(Y1229*0.8,2),"")</x:f>
      </x:c>
      <x:c r="AE1229" s="36" t="str">
        <x:f>IF(ISNUMBER(AD1229),ROUND(AD1229*0.015+0.2,2),"")</x:f>
      </x:c>
      <x:c r="AF1229" s="36" t="str">
        <x:f>IF(ISNUMBER(AD1229),ROUND(AD1229-AE1229-V1229,2),"")</x:f>
      </x:c>
      <x:c r="AG1229" t="str">
        <x:f>IF(NOT(ISNUMBER(T1229)),"PENDING",IF(AF1229&gt;0,"PASS","FAIL"))</x:f>
        <x:v>PENDING</x:v>
      </x:c>
      <x:c r="AH1229" t="str">
        <x:f>IF(NOT(ISNUMBER(T1229)),"Needs supplier cost",IF(K1229&lt;&gt;"In stock","Supplier unavailable",IF(AG1229&lt;&gt;"PASS","BLOCK - GT loss risk","Commercially protected")))</x:f>
        <x:v>Needs supplier cost</x:v>
      </x:c>
      <x:c r="AI1229" t="str">
        <x:v>2026-09-10 Active Sports trade capture</x:v>
      </x:c>
      <x:c r="AJ1229" t="str">
        <x:v>Management-only economics. Stripe stress test uses 1.5% + £0.20 standard UK online-card fee; pallet/mix-and-match pricing ignored.</x:v>
      </x:c>
    </x:row>
    <x:row r="1230">
      <x:c r="A1230" t="str">
        <x:v>Active Sports Nutrition</x:v>
      </x:c>
      <x:c r="B1230" t="str">
        <x:v>Gorillalpha</x:v>
      </x:c>
      <x:c r="C1230" t="str">
        <x:v>Yeti Juice Pre Workout</x:v>
      </x:c>
      <x:c r="D1230" t="str">
        <x:v>Pre Workouts</x:v>
      </x:c>
      <x:c r="E1230" t="str">
        <x:v>High Stim</x:v>
      </x:c>
      <x:c r="F1230" t="str"/>
      <x:c r="G1230" t="str">
        <x:v>480g</x:v>
      </x:c>
      <x:c r="H1230" t="str">
        <x:v>Passion Fruit</x:v>
      </x:c>
      <x:c r="I1230" t="str"/>
      <x:c r="J1230" t="str">
        <x:v>Unit</x:v>
      </x:c>
      <x:c r="K1230" t="str">
        <x:v>In stock</x:v>
      </x:c>
      <x:c r="L1230" t="str">
        <x:v>2026-09-08</x:v>
      </x:c>
      <x:c r="M1230" t="str"/>
      <x:c r="N1230" t="str"/>
      <x:c r="O1230" t="str">
        <x:v>https://www.activesportstrade.co.uk/gorillalpha-trade</x:v>
      </x:c>
      <x:c r="P1230" t="str"/>
      <x:c r="Q1230" t="str"/>
      <x:c r="R1230" t="str"/>
      <x:c r="S1230" t="str">
        <x:v>Pending genuine supplier/brand image</x:v>
      </x:c>
      <x:c r="T1230" s="54"/>
      <x:c r="U1230" s="47" t="n">
        <x:v>0.2</x:v>
      </x:c>
      <x:c r="V1230" s="54" t="str">
        <x:f>IF(ISNUMBER(T1230),T1230*(1+U1230),"")</x:f>
      </x:c>
      <x:c r="W1230" s="47" t="n">
        <x:v>0.3</x:v>
      </x:c>
      <x:c r="X1230" s="54" t="str">
        <x:f>IF(ISNUMBER(V1230),V1230/(1-W1230),"")</x:f>
      </x:c>
      <x:c r="Y1230" s="55" t="str">
        <x:f>IF(ISNUMBER(X1230),ROUNDUP(X1230,0),"")</x:f>
      </x:c>
      <x:c r="Z1230" t="str">
        <x:f>IF(ISNUMBER(T1230),"Cost captured","Awaiting trade cost")</x:f>
        <x:v>Awaiting trade cost</x:v>
      </x:c>
      <x:c r="AB1230" s="36" t="str">
        <x:f>IF(ISNUMBER(Y1230),ROUND(Y1230*0.9,2),"")</x:f>
      </x:c>
      <x:c r="AC1230" s="36" t="str">
        <x:f>IF(ISNUMBER(AB1230),ROUND(AB1230-(AB1230*0.015+0.2)-V1230,2),"")</x:f>
      </x:c>
      <x:c r="AD1230" s="36" t="str">
        <x:f>IF(ISNUMBER(Y1230),ROUND(Y1230*0.8,2),"")</x:f>
      </x:c>
      <x:c r="AE1230" s="36" t="str">
        <x:f>IF(ISNUMBER(AD1230),ROUND(AD1230*0.015+0.2,2),"")</x:f>
      </x:c>
      <x:c r="AF1230" s="36" t="str">
        <x:f>IF(ISNUMBER(AD1230),ROUND(AD1230-AE1230-V1230,2),"")</x:f>
      </x:c>
      <x:c r="AG1230" t="str">
        <x:f>IF(NOT(ISNUMBER(T1230)),"PENDING",IF(AF1230&gt;0,"PASS","FAIL"))</x:f>
        <x:v>PENDING</x:v>
      </x:c>
      <x:c r="AH1230" t="str">
        <x:f>IF(NOT(ISNUMBER(T1230)),"Needs supplier cost",IF(K1230&lt;&gt;"In stock","Supplier unavailable",IF(AG1230&lt;&gt;"PASS","BLOCK - GT loss risk","Commercially protected")))</x:f>
        <x:v>Needs supplier cost</x:v>
      </x:c>
      <x:c r="AI1230" t="str">
        <x:v>2026-09-10 Active Sports trade capture</x:v>
      </x:c>
      <x:c r="AJ1230" t="str">
        <x:v>Management-only economics. Stripe stress test uses 1.5% + £0.20 standard UK online-card fee; pallet/mix-and-match pricing ignored.</x:v>
      </x:c>
    </x:row>
    <x:row r="1231">
      <x:c r="A1231" t="str">
        <x:v>Active Sports Nutrition</x:v>
      </x:c>
      <x:c r="B1231" t="str">
        <x:v>Gorillalpha</x:v>
      </x:c>
      <x:c r="C1231" t="str">
        <x:v>Yeti Juice Pre Workout</x:v>
      </x:c>
      <x:c r="D1231" t="str">
        <x:v>Pre Workouts</x:v>
      </x:c>
      <x:c r="E1231" t="str">
        <x:v>High Stim</x:v>
      </x:c>
      <x:c r="F1231" t="str"/>
      <x:c r="G1231" t="str">
        <x:v>480g</x:v>
      </x:c>
      <x:c r="H1231" t="str">
        <x:v>Pumping Iron</x:v>
      </x:c>
      <x:c r="I1231" t="str"/>
      <x:c r="J1231" t="str">
        <x:v>Unit</x:v>
      </x:c>
      <x:c r="K1231" t="str">
        <x:v>In stock</x:v>
      </x:c>
      <x:c r="L1231" t="str">
        <x:v>2026-09-08</x:v>
      </x:c>
      <x:c r="M1231" t="str"/>
      <x:c r="N1231" t="str"/>
      <x:c r="O1231" t="str">
        <x:v>https://www.activesportstrade.co.uk/gorillalpha-trade</x:v>
      </x:c>
      <x:c r="P1231" t="str"/>
      <x:c r="Q1231" t="str"/>
      <x:c r="R1231" t="str"/>
      <x:c r="S1231" t="str">
        <x:v>Pending genuine supplier/brand image</x:v>
      </x:c>
      <x:c r="T1231" s="54"/>
      <x:c r="U1231" s="47" t="n">
        <x:v>0.2</x:v>
      </x:c>
      <x:c r="V1231" s="54" t="str">
        <x:f>IF(ISNUMBER(T1231),T1231*(1+U1231),"")</x:f>
      </x:c>
      <x:c r="W1231" s="47" t="n">
        <x:v>0.3</x:v>
      </x:c>
      <x:c r="X1231" s="54" t="str">
        <x:f>IF(ISNUMBER(V1231),V1231/(1-W1231),"")</x:f>
      </x:c>
      <x:c r="Y1231" s="55" t="str">
        <x:f>IF(ISNUMBER(X1231),ROUNDUP(X1231,0),"")</x:f>
      </x:c>
      <x:c r="Z1231" t="str">
        <x:f>IF(ISNUMBER(T1231),"Cost captured","Awaiting trade cost")</x:f>
        <x:v>Awaiting trade cost</x:v>
      </x:c>
      <x:c r="AB1231" s="36" t="str">
        <x:f>IF(ISNUMBER(Y1231),ROUND(Y1231*0.9,2),"")</x:f>
      </x:c>
      <x:c r="AC1231" s="36" t="str">
        <x:f>IF(ISNUMBER(AB1231),ROUND(AB1231-(AB1231*0.015+0.2)-V1231,2),"")</x:f>
      </x:c>
      <x:c r="AD1231" s="36" t="str">
        <x:f>IF(ISNUMBER(Y1231),ROUND(Y1231*0.8,2),"")</x:f>
      </x:c>
      <x:c r="AE1231" s="36" t="str">
        <x:f>IF(ISNUMBER(AD1231),ROUND(AD1231*0.015+0.2,2),"")</x:f>
      </x:c>
      <x:c r="AF1231" s="36" t="str">
        <x:f>IF(ISNUMBER(AD1231),ROUND(AD1231-AE1231-V1231,2),"")</x:f>
      </x:c>
      <x:c r="AG1231" t="str">
        <x:f>IF(NOT(ISNUMBER(T1231)),"PENDING",IF(AF1231&gt;0,"PASS","FAIL"))</x:f>
        <x:v>PENDING</x:v>
      </x:c>
      <x:c r="AH1231" t="str">
        <x:f>IF(NOT(ISNUMBER(T1231)),"Needs supplier cost",IF(K1231&lt;&gt;"In stock","Supplier unavailable",IF(AG1231&lt;&gt;"PASS","BLOCK - GT loss risk","Commercially protected")))</x:f>
        <x:v>Needs supplier cost</x:v>
      </x:c>
      <x:c r="AI1231" t="str">
        <x:v>2026-09-10 Active Sports trade capture</x:v>
      </x:c>
      <x:c r="AJ1231" t="str">
        <x:v>Management-only economics. Stripe stress test uses 1.5% + £0.20 standard UK online-card fee; pallet/mix-and-match pricing ignored.</x:v>
      </x:c>
    </x:row>
    <x:row r="1232">
      <x:c r="A1232" t="str">
        <x:v>Active Sports Nutrition</x:v>
      </x:c>
      <x:c r="B1232" t="str">
        <x:v>Gorillalpha</x:v>
      </x:c>
      <x:c r="C1232" t="str">
        <x:v>Yeti Juice Pre Workout</x:v>
      </x:c>
      <x:c r="D1232" t="str">
        <x:v>Pre Workouts</x:v>
      </x:c>
      <x:c r="E1232" t="str">
        <x:v>High Stim</x:v>
      </x:c>
      <x:c r="F1232" t="str"/>
      <x:c r="G1232" t="str">
        <x:v>480g</x:v>
      </x:c>
      <x:c r="H1232" t="str">
        <x:v>Strawberry Laces</x:v>
      </x:c>
      <x:c r="I1232" t="str"/>
      <x:c r="J1232" t="str">
        <x:v>Unit</x:v>
      </x:c>
      <x:c r="K1232" t="str">
        <x:v>In stock</x:v>
      </x:c>
      <x:c r="L1232" t="str">
        <x:v>2026-09-08</x:v>
      </x:c>
      <x:c r="M1232" t="str"/>
      <x:c r="N1232" t="str"/>
      <x:c r="O1232" t="str">
        <x:v>https://www.activesportstrade.co.uk/gorillalpha-trade</x:v>
      </x:c>
      <x:c r="P1232" t="str"/>
      <x:c r="Q1232" t="str"/>
      <x:c r="R1232" t="str"/>
      <x:c r="S1232" t="str">
        <x:v>Pending genuine supplier/brand image</x:v>
      </x:c>
      <x:c r="T1232" s="54"/>
      <x:c r="U1232" s="47" t="n">
        <x:v>0.2</x:v>
      </x:c>
      <x:c r="V1232" s="54" t="str">
        <x:f>IF(ISNUMBER(T1232),T1232*(1+U1232),"")</x:f>
      </x:c>
      <x:c r="W1232" s="47" t="n">
        <x:v>0.3</x:v>
      </x:c>
      <x:c r="X1232" s="54" t="str">
        <x:f>IF(ISNUMBER(V1232),V1232/(1-W1232),"")</x:f>
      </x:c>
      <x:c r="Y1232" s="55" t="str">
        <x:f>IF(ISNUMBER(X1232),ROUNDUP(X1232,0),"")</x:f>
      </x:c>
      <x:c r="Z1232" t="str">
        <x:f>IF(ISNUMBER(T1232),"Cost captured","Awaiting trade cost")</x:f>
        <x:v>Awaiting trade cost</x:v>
      </x:c>
      <x:c r="AB1232" s="36" t="str">
        <x:f>IF(ISNUMBER(Y1232),ROUND(Y1232*0.9,2),"")</x:f>
      </x:c>
      <x:c r="AC1232" s="36" t="str">
        <x:f>IF(ISNUMBER(AB1232),ROUND(AB1232-(AB1232*0.015+0.2)-V1232,2),"")</x:f>
      </x:c>
      <x:c r="AD1232" s="36" t="str">
        <x:f>IF(ISNUMBER(Y1232),ROUND(Y1232*0.8,2),"")</x:f>
      </x:c>
      <x:c r="AE1232" s="36" t="str">
        <x:f>IF(ISNUMBER(AD1232),ROUND(AD1232*0.015+0.2,2),"")</x:f>
      </x:c>
      <x:c r="AF1232" s="36" t="str">
        <x:f>IF(ISNUMBER(AD1232),ROUND(AD1232-AE1232-V1232,2),"")</x:f>
      </x:c>
      <x:c r="AG1232" t="str">
        <x:f>IF(NOT(ISNUMBER(T1232)),"PENDING",IF(AF1232&gt;0,"PASS","FAIL"))</x:f>
        <x:v>PENDING</x:v>
      </x:c>
      <x:c r="AH1232" t="str">
        <x:f>IF(NOT(ISNUMBER(T1232)),"Needs supplier cost",IF(K1232&lt;&gt;"In stock","Supplier unavailable",IF(AG1232&lt;&gt;"PASS","BLOCK - GT loss risk","Commercially protected")))</x:f>
        <x:v>Needs supplier cost</x:v>
      </x:c>
      <x:c r="AI1232" t="str">
        <x:v>2026-09-10 Active Sports trade capture</x:v>
      </x:c>
      <x:c r="AJ1232" t="str">
        <x:v>Management-only economics. Stripe stress test uses 1.5% + £0.20 standard UK online-card fee; pallet/mix-and-match pricing ignored.</x:v>
      </x:c>
    </x:row>
    <x:row r="1233">
      <x:c r="A1233" t="str">
        <x:v>Active Sports Nutrition</x:v>
      </x:c>
      <x:c r="B1233" t="str">
        <x:v>Gorillalpha</x:v>
      </x:c>
      <x:c r="C1233" t="str">
        <x:v>Yeti Juice Pre Workout</x:v>
      </x:c>
      <x:c r="D1233" t="str">
        <x:v>Pre Workouts</x:v>
      </x:c>
      <x:c r="E1233" t="str">
        <x:v>High Stim</x:v>
      </x:c>
      <x:c r="F1233" t="str"/>
      <x:c r="G1233" t="str">
        <x:v>480g</x:v>
      </x:c>
      <x:c r="H1233" t="str">
        <x:v>Tooty Fruity</x:v>
      </x:c>
      <x:c r="I1233" t="str"/>
      <x:c r="J1233" t="str">
        <x:v>Unit</x:v>
      </x:c>
      <x:c r="K1233" t="str">
        <x:v>In stock</x:v>
      </x:c>
      <x:c r="L1233" t="str">
        <x:v>2026-09-08</x:v>
      </x:c>
      <x:c r="M1233" t="str"/>
      <x:c r="N1233" t="str"/>
      <x:c r="O1233" t="str">
        <x:v>https://www.activesportstrade.co.uk/gorillalpha-trade</x:v>
      </x:c>
      <x:c r="P1233" t="str"/>
      <x:c r="Q1233" t="str"/>
      <x:c r="R1233" t="str"/>
      <x:c r="S1233" t="str">
        <x:v>Pending genuine supplier/brand image</x:v>
      </x:c>
      <x:c r="T1233" s="54"/>
      <x:c r="U1233" s="47" t="n">
        <x:v>0.2</x:v>
      </x:c>
      <x:c r="V1233" s="54" t="str">
        <x:f>IF(ISNUMBER(T1233),T1233*(1+U1233),"")</x:f>
      </x:c>
      <x:c r="W1233" s="47" t="n">
        <x:v>0.3</x:v>
      </x:c>
      <x:c r="X1233" s="54" t="str">
        <x:f>IF(ISNUMBER(V1233),V1233/(1-W1233),"")</x:f>
      </x:c>
      <x:c r="Y1233" s="55" t="str">
        <x:f>IF(ISNUMBER(X1233),ROUNDUP(X1233,0),"")</x:f>
      </x:c>
      <x:c r="Z1233" t="str">
        <x:f>IF(ISNUMBER(T1233),"Cost captured","Awaiting trade cost")</x:f>
        <x:v>Awaiting trade cost</x:v>
      </x:c>
      <x:c r="AB1233" s="36" t="str">
        <x:f>IF(ISNUMBER(Y1233),ROUND(Y1233*0.9,2),"")</x:f>
      </x:c>
      <x:c r="AC1233" s="36" t="str">
        <x:f>IF(ISNUMBER(AB1233),ROUND(AB1233-(AB1233*0.015+0.2)-V1233,2),"")</x:f>
      </x:c>
      <x:c r="AD1233" s="36" t="str">
        <x:f>IF(ISNUMBER(Y1233),ROUND(Y1233*0.8,2),"")</x:f>
      </x:c>
      <x:c r="AE1233" s="36" t="str">
        <x:f>IF(ISNUMBER(AD1233),ROUND(AD1233*0.015+0.2,2),"")</x:f>
      </x:c>
      <x:c r="AF1233" s="36" t="str">
        <x:f>IF(ISNUMBER(AD1233),ROUND(AD1233-AE1233-V1233,2),"")</x:f>
      </x:c>
      <x:c r="AG1233" t="str">
        <x:f>IF(NOT(ISNUMBER(T1233)),"PENDING",IF(AF1233&gt;0,"PASS","FAIL"))</x:f>
        <x:v>PENDING</x:v>
      </x:c>
      <x:c r="AH1233" t="str">
        <x:f>IF(NOT(ISNUMBER(T1233)),"Needs supplier cost",IF(K1233&lt;&gt;"In stock","Supplier unavailable",IF(AG1233&lt;&gt;"PASS","BLOCK - GT loss risk","Commercially protected")))</x:f>
        <x:v>Needs supplier cost</x:v>
      </x:c>
      <x:c r="AI1233" t="str">
        <x:v>2026-09-10 Active Sports trade capture</x:v>
      </x:c>
      <x:c r="AJ1233" t="str">
        <x:v>Management-only economics. Stripe stress test uses 1.5% + £0.20 standard UK online-card fee; pallet/mix-and-match pricing ignored.</x:v>
      </x:c>
    </x:row>
    <x:row r="1234">
      <x:c r="A1234" t="str">
        <x:v>Active Sports Nutrition</x:v>
      </x:c>
      <x:c r="B1234" t="str">
        <x:v>Gorillalpha</x:v>
      </x:c>
      <x:c r="C1234" t="str">
        <x:v>Yeti Juice Pre Workout</x:v>
      </x:c>
      <x:c r="D1234" t="str">
        <x:v>Pre Workouts</x:v>
      </x:c>
      <x:c r="E1234" t="str">
        <x:v>High Stim</x:v>
      </x:c>
      <x:c r="F1234" t="str"/>
      <x:c r="G1234" t="str">
        <x:v>480g</x:v>
      </x:c>
      <x:c r="H1234" t="str">
        <x:v>Ultimate Energy</x:v>
      </x:c>
      <x:c r="I1234" t="str"/>
      <x:c r="J1234" t="str">
        <x:v>Unit</x:v>
      </x:c>
      <x:c r="K1234" t="str">
        <x:v>In stock</x:v>
      </x:c>
      <x:c r="L1234" t="str">
        <x:v>2026-09-08</x:v>
      </x:c>
      <x:c r="M1234" t="str"/>
      <x:c r="N1234" t="str"/>
      <x:c r="O1234" t="str">
        <x:v>https://www.activesportstrade.co.uk/gorillalpha-trade</x:v>
      </x:c>
      <x:c r="P1234" t="str"/>
      <x:c r="Q1234" t="str"/>
      <x:c r="R1234" t="str"/>
      <x:c r="S1234" t="str">
        <x:v>Pending genuine supplier/brand image</x:v>
      </x:c>
      <x:c r="T1234" s="54"/>
      <x:c r="U1234" s="47" t="n">
        <x:v>0.2</x:v>
      </x:c>
      <x:c r="V1234" s="54" t="str">
        <x:f>IF(ISNUMBER(T1234),T1234*(1+U1234),"")</x:f>
      </x:c>
      <x:c r="W1234" s="47" t="n">
        <x:v>0.3</x:v>
      </x:c>
      <x:c r="X1234" s="54" t="str">
        <x:f>IF(ISNUMBER(V1234),V1234/(1-W1234),"")</x:f>
      </x:c>
      <x:c r="Y1234" s="55" t="str">
        <x:f>IF(ISNUMBER(X1234),ROUNDUP(X1234,0),"")</x:f>
      </x:c>
      <x:c r="Z1234" t="str">
        <x:f>IF(ISNUMBER(T1234),"Cost captured","Awaiting trade cost")</x:f>
        <x:v>Awaiting trade cost</x:v>
      </x:c>
      <x:c r="AB1234" s="36" t="str">
        <x:f>IF(ISNUMBER(Y1234),ROUND(Y1234*0.9,2),"")</x:f>
      </x:c>
      <x:c r="AC1234" s="36" t="str">
        <x:f>IF(ISNUMBER(AB1234),ROUND(AB1234-(AB1234*0.015+0.2)-V1234,2),"")</x:f>
      </x:c>
      <x:c r="AD1234" s="36" t="str">
        <x:f>IF(ISNUMBER(Y1234),ROUND(Y1234*0.8,2),"")</x:f>
      </x:c>
      <x:c r="AE1234" s="36" t="str">
        <x:f>IF(ISNUMBER(AD1234),ROUND(AD1234*0.015+0.2,2),"")</x:f>
      </x:c>
      <x:c r="AF1234" s="36" t="str">
        <x:f>IF(ISNUMBER(AD1234),ROUND(AD1234-AE1234-V1234,2),"")</x:f>
      </x:c>
      <x:c r="AG1234" t="str">
        <x:f>IF(NOT(ISNUMBER(T1234)),"PENDING",IF(AF1234&gt;0,"PASS","FAIL"))</x:f>
        <x:v>PENDING</x:v>
      </x:c>
      <x:c r="AH1234" t="str">
        <x:f>IF(NOT(ISNUMBER(T1234)),"Needs supplier cost",IF(K1234&lt;&gt;"In stock","Supplier unavailable",IF(AG1234&lt;&gt;"PASS","BLOCK - GT loss risk","Commercially protected")))</x:f>
        <x:v>Needs supplier cost</x:v>
      </x:c>
      <x:c r="AI1234" t="str">
        <x:v>2026-09-10 Active Sports trade capture</x:v>
      </x:c>
      <x:c r="AJ1234" t="str">
        <x:v>Management-only economics. Stripe stress test uses 1.5% + £0.20 standard UK online-card fee; pallet/mix-and-match pricing ignored.</x:v>
      </x:c>
    </x:row>
    <x:row r="1235">
      <x:c r="A1235" t="str">
        <x:v>Active Sports Nutrition</x:v>
      </x:c>
      <x:c r="B1235" t="str">
        <x:v>Gorillalpha</x:v>
      </x:c>
      <x:c r="C1235" t="str">
        <x:v>Yeti Juice Pre Workout</x:v>
      </x:c>
      <x:c r="D1235" t="str">
        <x:v>Pre Workouts</x:v>
      </x:c>
      <x:c r="E1235" t="str">
        <x:v>High Stim</x:v>
      </x:c>
      <x:c r="F1235" t="str"/>
      <x:c r="G1235" t="str">
        <x:v>480g</x:v>
      </x:c>
      <x:c r="H1235" t="str">
        <x:v>Ultimate Hulk Juice</x:v>
      </x:c>
      <x:c r="I1235" t="str"/>
      <x:c r="J1235" t="str">
        <x:v>Unit</x:v>
      </x:c>
      <x:c r="K1235" t="str">
        <x:v>In stock</x:v>
      </x:c>
      <x:c r="L1235" t="str">
        <x:v>2026-09-08</x:v>
      </x:c>
      <x:c r="M1235" t="str"/>
      <x:c r="N1235" t="str"/>
      <x:c r="O1235" t="str">
        <x:v>https://www.activesportstrade.co.uk/gorillalpha-trade</x:v>
      </x:c>
      <x:c r="P1235" t="str"/>
      <x:c r="Q1235" t="str"/>
      <x:c r="R1235" t="str"/>
      <x:c r="S1235" t="str">
        <x:v>Pending genuine supplier/brand image</x:v>
      </x:c>
      <x:c r="T1235" s="54"/>
      <x:c r="U1235" s="47" t="n">
        <x:v>0.2</x:v>
      </x:c>
      <x:c r="V1235" s="54" t="str">
        <x:f>IF(ISNUMBER(T1235),T1235*(1+U1235),"")</x:f>
      </x:c>
      <x:c r="W1235" s="47" t="n">
        <x:v>0.3</x:v>
      </x:c>
      <x:c r="X1235" s="54" t="str">
        <x:f>IF(ISNUMBER(V1235),V1235/(1-W1235),"")</x:f>
      </x:c>
      <x:c r="Y1235" s="55" t="str">
        <x:f>IF(ISNUMBER(X1235),ROUNDUP(X1235,0),"")</x:f>
      </x:c>
      <x:c r="Z1235" t="str">
        <x:f>IF(ISNUMBER(T1235),"Cost captured","Awaiting trade cost")</x:f>
        <x:v>Awaiting trade cost</x:v>
      </x:c>
      <x:c r="AB1235" s="36" t="str">
        <x:f>IF(ISNUMBER(Y1235),ROUND(Y1235*0.9,2),"")</x:f>
      </x:c>
      <x:c r="AC1235" s="36" t="str">
        <x:f>IF(ISNUMBER(AB1235),ROUND(AB1235-(AB1235*0.015+0.2)-V1235,2),"")</x:f>
      </x:c>
      <x:c r="AD1235" s="36" t="str">
        <x:f>IF(ISNUMBER(Y1235),ROUND(Y1235*0.8,2),"")</x:f>
      </x:c>
      <x:c r="AE1235" s="36" t="str">
        <x:f>IF(ISNUMBER(AD1235),ROUND(AD1235*0.015+0.2,2),"")</x:f>
      </x:c>
      <x:c r="AF1235" s="36" t="str">
        <x:f>IF(ISNUMBER(AD1235),ROUND(AD1235-AE1235-V1235,2),"")</x:f>
      </x:c>
      <x:c r="AG1235" t="str">
        <x:f>IF(NOT(ISNUMBER(T1235)),"PENDING",IF(AF1235&gt;0,"PASS","FAIL"))</x:f>
        <x:v>PENDING</x:v>
      </x:c>
      <x:c r="AH1235" t="str">
        <x:f>IF(NOT(ISNUMBER(T1235)),"Needs supplier cost",IF(K1235&lt;&gt;"In stock","Supplier unavailable",IF(AG1235&lt;&gt;"PASS","BLOCK - GT loss risk","Commercially protected")))</x:f>
        <x:v>Needs supplier cost</x:v>
      </x:c>
      <x:c r="AI1235" t="str">
        <x:v>2026-09-10 Active Sports trade capture</x:v>
      </x:c>
      <x:c r="AJ1235" t="str">
        <x:v>Management-only economics. Stripe stress test uses 1.5% + £0.20 standard UK online-card fee; pallet/mix-and-match pricing ignored.</x:v>
      </x:c>
    </x:row>
    <x:row r="1236">
      <x:c r="A1236" t="str">
        <x:v>Active Sports Nutrition</x:v>
      </x:c>
      <x:c r="B1236" t="str">
        <x:v>Gorillalpha</x:v>
      </x:c>
      <x:c r="C1236" t="str">
        <x:v>Yeti Juice Pre Workout</x:v>
      </x:c>
      <x:c r="D1236" t="str">
        <x:v>Pre Workouts</x:v>
      </x:c>
      <x:c r="E1236" t="str">
        <x:v>High Stim</x:v>
      </x:c>
      <x:c r="F1236" t="str"/>
      <x:c r="G1236" t="str">
        <x:v>480g</x:v>
      </x:c>
      <x:c r="H1236" t="str">
        <x:v>Ultimate Iron Man</x:v>
      </x:c>
      <x:c r="I1236" t="str"/>
      <x:c r="J1236" t="str">
        <x:v>Unit</x:v>
      </x:c>
      <x:c r="K1236" t="str">
        <x:v>In stock</x:v>
      </x:c>
      <x:c r="L1236" t="str">
        <x:v>2026-09-08</x:v>
      </x:c>
      <x:c r="M1236" t="str"/>
      <x:c r="N1236" t="str"/>
      <x:c r="O1236" t="str">
        <x:v>https://www.activesportstrade.co.uk/gorillalpha-trade</x:v>
      </x:c>
      <x:c r="P1236" t="str"/>
      <x:c r="Q1236" t="str"/>
      <x:c r="R1236" t="str"/>
      <x:c r="S1236" t="str">
        <x:v>Pending genuine supplier/brand image</x:v>
      </x:c>
      <x:c r="T1236" s="54"/>
      <x:c r="U1236" s="47" t="n">
        <x:v>0.2</x:v>
      </x:c>
      <x:c r="V1236" s="54" t="str">
        <x:f>IF(ISNUMBER(T1236),T1236*(1+U1236),"")</x:f>
      </x:c>
      <x:c r="W1236" s="47" t="n">
        <x:v>0.3</x:v>
      </x:c>
      <x:c r="X1236" s="54" t="str">
        <x:f>IF(ISNUMBER(V1236),V1236/(1-W1236),"")</x:f>
      </x:c>
      <x:c r="Y1236" s="55" t="str">
        <x:f>IF(ISNUMBER(X1236),ROUNDUP(X1236,0),"")</x:f>
      </x:c>
      <x:c r="Z1236" t="str">
        <x:f>IF(ISNUMBER(T1236),"Cost captured","Awaiting trade cost")</x:f>
        <x:v>Awaiting trade cost</x:v>
      </x:c>
      <x:c r="AB1236" s="36" t="str">
        <x:f>IF(ISNUMBER(Y1236),ROUND(Y1236*0.9,2),"")</x:f>
      </x:c>
      <x:c r="AC1236" s="36" t="str">
        <x:f>IF(ISNUMBER(AB1236),ROUND(AB1236-(AB1236*0.015+0.2)-V1236,2),"")</x:f>
      </x:c>
      <x:c r="AD1236" s="36" t="str">
        <x:f>IF(ISNUMBER(Y1236),ROUND(Y1236*0.8,2),"")</x:f>
      </x:c>
      <x:c r="AE1236" s="36" t="str">
        <x:f>IF(ISNUMBER(AD1236),ROUND(AD1236*0.015+0.2,2),"")</x:f>
      </x:c>
      <x:c r="AF1236" s="36" t="str">
        <x:f>IF(ISNUMBER(AD1236),ROUND(AD1236-AE1236-V1236,2),"")</x:f>
      </x:c>
      <x:c r="AG1236" t="str">
        <x:f>IF(NOT(ISNUMBER(T1236)),"PENDING",IF(AF1236&gt;0,"PASS","FAIL"))</x:f>
        <x:v>PENDING</x:v>
      </x:c>
      <x:c r="AH1236" t="str">
        <x:f>IF(NOT(ISNUMBER(T1236)),"Needs supplier cost",IF(K1236&lt;&gt;"In stock","Supplier unavailable",IF(AG1236&lt;&gt;"PASS","BLOCK - GT loss risk","Commercially protected")))</x:f>
        <x:v>Needs supplier cost</x:v>
      </x:c>
      <x:c r="AI1236" t="str">
        <x:v>2026-09-10 Active Sports trade capture</x:v>
      </x:c>
      <x:c r="AJ1236" t="str">
        <x:v>Management-only economics. Stripe stress test uses 1.5% + £0.20 standard UK online-card fee; pallet/mix-and-match pricing ignored.</x:v>
      </x:c>
    </x:row>
    <x:row r="1237">
      <x:c r="A1237" t="str">
        <x:v>Active Sports Nutrition</x:v>
      </x:c>
      <x:c r="B1237" t="str">
        <x:v>Gorillalpha</x:v>
      </x:c>
      <x:c r="C1237" t="str">
        <x:v>Yeti Juice Pre Workout</x:v>
      </x:c>
      <x:c r="D1237" t="str">
        <x:v>Pre Workouts</x:v>
      </x:c>
      <x:c r="E1237" t="str">
        <x:v>High Stim</x:v>
      </x:c>
      <x:c r="F1237" t="str"/>
      <x:c r="G1237" t="str">
        <x:v>480g</x:v>
      </x:c>
      <x:c r="H1237" t="str">
        <x:v>Ultimate Juice</x:v>
      </x:c>
      <x:c r="I1237" t="str"/>
      <x:c r="J1237" t="str">
        <x:v>Unit</x:v>
      </x:c>
      <x:c r="K1237" t="str">
        <x:v>Out of stock</x:v>
      </x:c>
      <x:c r="L1237" t="str">
        <x:v>2026-09-08</x:v>
      </x:c>
      <x:c r="M1237" t="str"/>
      <x:c r="N1237" t="str"/>
      <x:c r="O1237" t="str">
        <x:v>https://www.activesportstrade.co.uk/gorillalpha-trade</x:v>
      </x:c>
      <x:c r="P1237" t="str"/>
      <x:c r="Q1237" t="str"/>
      <x:c r="R1237" t="str"/>
      <x:c r="S1237" t="str">
        <x:v>Pending genuine supplier/brand image</x:v>
      </x:c>
      <x:c r="T1237" s="54"/>
      <x:c r="U1237" s="47" t="n">
        <x:v>0.2</x:v>
      </x:c>
      <x:c r="V1237" s="54" t="str">
        <x:f>IF(ISNUMBER(T1237),T1237*(1+U1237),"")</x:f>
      </x:c>
      <x:c r="W1237" s="47" t="n">
        <x:v>0.3</x:v>
      </x:c>
      <x:c r="X1237" s="54" t="str">
        <x:f>IF(ISNUMBER(V1237),V1237/(1-W1237),"")</x:f>
      </x:c>
      <x:c r="Y1237" s="55" t="str">
        <x:f>IF(ISNUMBER(X1237),ROUNDUP(X1237,0),"")</x:f>
      </x:c>
      <x:c r="Z1237" t="str">
        <x:f>IF(ISNUMBER(T1237),"Cost captured","Awaiting trade cost")</x:f>
        <x:v>Awaiting trade cost</x:v>
      </x:c>
      <x:c r="AB1237" s="36" t="str">
        <x:f>IF(ISNUMBER(Y1237),ROUND(Y1237*0.9,2),"")</x:f>
      </x:c>
      <x:c r="AC1237" s="36" t="str">
        <x:f>IF(ISNUMBER(AB1237),ROUND(AB1237-(AB1237*0.015+0.2)-V1237,2),"")</x:f>
      </x:c>
      <x:c r="AD1237" s="36" t="str">
        <x:f>IF(ISNUMBER(Y1237),ROUND(Y1237*0.8,2),"")</x:f>
      </x:c>
      <x:c r="AE1237" s="36" t="str">
        <x:f>IF(ISNUMBER(AD1237),ROUND(AD1237*0.015+0.2,2),"")</x:f>
      </x:c>
      <x:c r="AF1237" s="36" t="str">
        <x:f>IF(ISNUMBER(AD1237),ROUND(AD1237-AE1237-V1237,2),"")</x:f>
      </x:c>
      <x:c r="AG1237" t="str">
        <x:f>IF(NOT(ISNUMBER(T1237)),"PENDING",IF(AF1237&gt;0,"PASS","FAIL"))</x:f>
        <x:v>PENDING</x:v>
      </x:c>
      <x:c r="AH1237" t="str">
        <x:f>IF(NOT(ISNUMBER(T1237)),"Needs supplier cost",IF(K1237&lt;&gt;"In stock","Supplier unavailable",IF(AG1237&lt;&gt;"PASS","BLOCK - GT loss risk","Commercially protected")))</x:f>
        <x:v>Needs supplier cost</x:v>
      </x:c>
      <x:c r="AI1237" t="str">
        <x:v>2026-09-10 Active Sports trade capture</x:v>
      </x:c>
      <x:c r="AJ1237" t="str">
        <x:v>Management-only economics. Stripe stress test uses 1.5% + £0.20 standard UK online-card fee; pallet/mix-and-match pricing ignored.</x:v>
      </x:c>
    </x:row>
    <x:row r="1238">
      <x:c r="A1238" t="str">
        <x:v>Active Sports Nutrition</x:v>
      </x:c>
      <x:c r="B1238" t="str">
        <x:v>Gorillalpha</x:v>
      </x:c>
      <x:c r="C1238" t="str">
        <x:v>Yeti Juice Pre Workout</x:v>
      </x:c>
      <x:c r="D1238" t="str">
        <x:v>Pre Workouts</x:v>
      </x:c>
      <x:c r="E1238" t="str">
        <x:v>High Stim</x:v>
      </x:c>
      <x:c r="F1238" t="str"/>
      <x:c r="G1238" t="str">
        <x:v>480g</x:v>
      </x:c>
      <x:c r="H1238" t="str">
        <x:v>Ultimate Lemonade</x:v>
      </x:c>
      <x:c r="I1238" t="str"/>
      <x:c r="J1238" t="str">
        <x:v>Unit</x:v>
      </x:c>
      <x:c r="K1238" t="str">
        <x:v>In stock</x:v>
      </x:c>
      <x:c r="L1238" t="str">
        <x:v>2026-09-08</x:v>
      </x:c>
      <x:c r="M1238" t="str"/>
      <x:c r="N1238" t="str"/>
      <x:c r="O1238" t="str">
        <x:v>https://www.activesportstrade.co.uk/gorillalpha-trade</x:v>
      </x:c>
      <x:c r="P1238" t="str"/>
      <x:c r="Q1238" t="str"/>
      <x:c r="R1238" t="str"/>
      <x:c r="S1238" t="str">
        <x:v>Pending genuine supplier/brand image</x:v>
      </x:c>
      <x:c r="T1238" s="54"/>
      <x:c r="U1238" s="47" t="n">
        <x:v>0.2</x:v>
      </x:c>
      <x:c r="V1238" s="54" t="str">
        <x:f>IF(ISNUMBER(T1238),T1238*(1+U1238),"")</x:f>
      </x:c>
      <x:c r="W1238" s="47" t="n">
        <x:v>0.3</x:v>
      </x:c>
      <x:c r="X1238" s="54" t="str">
        <x:f>IF(ISNUMBER(V1238),V1238/(1-W1238),"")</x:f>
      </x:c>
      <x:c r="Y1238" s="55" t="str">
        <x:f>IF(ISNUMBER(X1238),ROUNDUP(X1238,0),"")</x:f>
      </x:c>
      <x:c r="Z1238" t="str">
        <x:f>IF(ISNUMBER(T1238),"Cost captured","Awaiting trade cost")</x:f>
        <x:v>Awaiting trade cost</x:v>
      </x:c>
      <x:c r="AB1238" s="36" t="str">
        <x:f>IF(ISNUMBER(Y1238),ROUND(Y1238*0.9,2),"")</x:f>
      </x:c>
      <x:c r="AC1238" s="36" t="str">
        <x:f>IF(ISNUMBER(AB1238),ROUND(AB1238-(AB1238*0.015+0.2)-V1238,2),"")</x:f>
      </x:c>
      <x:c r="AD1238" s="36" t="str">
        <x:f>IF(ISNUMBER(Y1238),ROUND(Y1238*0.8,2),"")</x:f>
      </x:c>
      <x:c r="AE1238" s="36" t="str">
        <x:f>IF(ISNUMBER(AD1238),ROUND(AD1238*0.015+0.2,2),"")</x:f>
      </x:c>
      <x:c r="AF1238" s="36" t="str">
        <x:f>IF(ISNUMBER(AD1238),ROUND(AD1238-AE1238-V1238,2),"")</x:f>
      </x:c>
      <x:c r="AG1238" t="str">
        <x:f>IF(NOT(ISNUMBER(T1238)),"PENDING",IF(AF1238&gt;0,"PASS","FAIL"))</x:f>
        <x:v>PENDING</x:v>
      </x:c>
      <x:c r="AH1238" t="str">
        <x:f>IF(NOT(ISNUMBER(T1238)),"Needs supplier cost",IF(K1238&lt;&gt;"In stock","Supplier unavailable",IF(AG1238&lt;&gt;"PASS","BLOCK - GT loss risk","Commercially protected")))</x:f>
        <x:v>Needs supplier cost</x:v>
      </x:c>
      <x:c r="AI1238" t="str">
        <x:v>2026-09-10 Active Sports trade capture</x:v>
      </x:c>
      <x:c r="AJ1238" t="str">
        <x:v>Management-only economics. Stripe stress test uses 1.5% + £0.20 standard UK online-card fee; pallet/mix-and-match pricing ignored.</x:v>
      </x:c>
    </x:row>
    <x:row r="1239">
      <x:c r="A1239" t="str">
        <x:v>Active Sports Nutrition</x:v>
      </x:c>
      <x:c r="B1239" t="str">
        <x:v>Gorillalpha</x:v>
      </x:c>
      <x:c r="C1239" t="str">
        <x:v>Yeti Juice Pre Workout</x:v>
      </x:c>
      <x:c r="D1239" t="str">
        <x:v>Pre Workouts</x:v>
      </x:c>
      <x:c r="E1239" t="str">
        <x:v>High Stim</x:v>
      </x:c>
      <x:c r="F1239" t="str"/>
      <x:c r="G1239" t="str">
        <x:v>480g</x:v>
      </x:c>
      <x:c r="H1239" t="str">
        <x:v>Ultimate Raspberry</x:v>
      </x:c>
      <x:c r="I1239" t="str"/>
      <x:c r="J1239" t="str">
        <x:v>Unit</x:v>
      </x:c>
      <x:c r="K1239" t="str">
        <x:v>Out of stock</x:v>
      </x:c>
      <x:c r="L1239" t="str">
        <x:v>2026-09-08</x:v>
      </x:c>
      <x:c r="M1239" t="str"/>
      <x:c r="N1239" t="str"/>
      <x:c r="O1239" t="str">
        <x:v>https://www.activesportstrade.co.uk/gorillalpha-trade</x:v>
      </x:c>
      <x:c r="P1239" t="str"/>
      <x:c r="Q1239" t="str"/>
      <x:c r="R1239" t="str"/>
      <x:c r="S1239" t="str">
        <x:v>Pending genuine supplier/brand image</x:v>
      </x:c>
      <x:c r="T1239" s="54"/>
      <x:c r="U1239" s="47" t="n">
        <x:v>0.2</x:v>
      </x:c>
      <x:c r="V1239" s="54" t="str">
        <x:f>IF(ISNUMBER(T1239),T1239*(1+U1239),"")</x:f>
      </x:c>
      <x:c r="W1239" s="47" t="n">
        <x:v>0.3</x:v>
      </x:c>
      <x:c r="X1239" s="54" t="str">
        <x:f>IF(ISNUMBER(V1239),V1239/(1-W1239),"")</x:f>
      </x:c>
      <x:c r="Y1239" s="55" t="str">
        <x:f>IF(ISNUMBER(X1239),ROUNDUP(X1239,0),"")</x:f>
      </x:c>
      <x:c r="Z1239" t="str">
        <x:f>IF(ISNUMBER(T1239),"Cost captured","Awaiting trade cost")</x:f>
        <x:v>Awaiting trade cost</x:v>
      </x:c>
      <x:c r="AB1239" s="36" t="str">
        <x:f>IF(ISNUMBER(Y1239),ROUND(Y1239*0.9,2),"")</x:f>
      </x:c>
      <x:c r="AC1239" s="36" t="str">
        <x:f>IF(ISNUMBER(AB1239),ROUND(AB1239-(AB1239*0.015+0.2)-V1239,2),"")</x:f>
      </x:c>
      <x:c r="AD1239" s="36" t="str">
        <x:f>IF(ISNUMBER(Y1239),ROUND(Y1239*0.8,2),"")</x:f>
      </x:c>
      <x:c r="AE1239" s="36" t="str">
        <x:f>IF(ISNUMBER(AD1239),ROUND(AD1239*0.015+0.2,2),"")</x:f>
      </x:c>
      <x:c r="AF1239" s="36" t="str">
        <x:f>IF(ISNUMBER(AD1239),ROUND(AD1239-AE1239-V1239,2),"")</x:f>
      </x:c>
      <x:c r="AG1239" t="str">
        <x:f>IF(NOT(ISNUMBER(T1239)),"PENDING",IF(AF1239&gt;0,"PASS","FAIL"))</x:f>
        <x:v>PENDING</x:v>
      </x:c>
      <x:c r="AH1239" t="str">
        <x:f>IF(NOT(ISNUMBER(T1239)),"Needs supplier cost",IF(K1239&lt;&gt;"In stock","Supplier unavailable",IF(AG1239&lt;&gt;"PASS","BLOCK - GT loss risk","Commercially protected")))</x:f>
        <x:v>Needs supplier cost</x:v>
      </x:c>
      <x:c r="AI1239" t="str">
        <x:v>2026-09-10 Active Sports trade capture</x:v>
      </x:c>
      <x:c r="AJ1239" t="str">
        <x:v>Management-only economics. Stripe stress test uses 1.5% + £0.20 standard UK online-card fee; pallet/mix-and-match pricing ignored.</x:v>
      </x:c>
    </x:row>
    <x:row r="1240">
      <x:c r="A1240" t="str">
        <x:v>Active Sports Nutrition</x:v>
      </x:c>
      <x:c r="B1240" t="str">
        <x:v>Gorillalpha</x:v>
      </x:c>
      <x:c r="C1240" t="str">
        <x:v>Yeti Juice Pre Workout</x:v>
      </x:c>
      <x:c r="D1240" t="str">
        <x:v>Pre Workouts</x:v>
      </x:c>
      <x:c r="E1240" t="str">
        <x:v>High Stim</x:v>
      </x:c>
      <x:c r="F1240" t="str"/>
      <x:c r="G1240" t="str">
        <x:v>480g</x:v>
      </x:c>
      <x:c r="H1240" t="str">
        <x:v>Ultimate Super Juice</x:v>
      </x:c>
      <x:c r="I1240" t="str"/>
      <x:c r="J1240" t="str">
        <x:v>Unit</x:v>
      </x:c>
      <x:c r="K1240" t="str">
        <x:v>In stock</x:v>
      </x:c>
      <x:c r="L1240" t="str">
        <x:v>2026-09-08</x:v>
      </x:c>
      <x:c r="M1240" t="str"/>
      <x:c r="N1240" t="str"/>
      <x:c r="O1240" t="str">
        <x:v>https://www.activesportstrade.co.uk/gorillalpha-trade</x:v>
      </x:c>
      <x:c r="P1240" t="str"/>
      <x:c r="Q1240" t="str"/>
      <x:c r="R1240" t="str"/>
      <x:c r="S1240" t="str">
        <x:v>Pending genuine supplier/brand image</x:v>
      </x:c>
      <x:c r="T1240" s="54"/>
      <x:c r="U1240" s="47" t="n">
        <x:v>0.2</x:v>
      </x:c>
      <x:c r="V1240" s="54" t="str">
        <x:f>IF(ISNUMBER(T1240),T1240*(1+U1240),"")</x:f>
      </x:c>
      <x:c r="W1240" s="47" t="n">
        <x:v>0.3</x:v>
      </x:c>
      <x:c r="X1240" s="54" t="str">
        <x:f>IF(ISNUMBER(V1240),V1240/(1-W1240),"")</x:f>
      </x:c>
      <x:c r="Y1240" s="55" t="str">
        <x:f>IF(ISNUMBER(X1240),ROUNDUP(X1240,0),"")</x:f>
      </x:c>
      <x:c r="Z1240" t="str">
        <x:f>IF(ISNUMBER(T1240),"Cost captured","Awaiting trade cost")</x:f>
        <x:v>Awaiting trade cost</x:v>
      </x:c>
      <x:c r="AB1240" s="36" t="str">
        <x:f>IF(ISNUMBER(Y1240),ROUND(Y1240*0.9,2),"")</x:f>
      </x:c>
      <x:c r="AC1240" s="36" t="str">
        <x:f>IF(ISNUMBER(AB1240),ROUND(AB1240-(AB1240*0.015+0.2)-V1240,2),"")</x:f>
      </x:c>
      <x:c r="AD1240" s="36" t="str">
        <x:f>IF(ISNUMBER(Y1240),ROUND(Y1240*0.8,2),"")</x:f>
      </x:c>
      <x:c r="AE1240" s="36" t="str">
        <x:f>IF(ISNUMBER(AD1240),ROUND(AD1240*0.015+0.2,2),"")</x:f>
      </x:c>
      <x:c r="AF1240" s="36" t="str">
        <x:f>IF(ISNUMBER(AD1240),ROUND(AD1240-AE1240-V1240,2),"")</x:f>
      </x:c>
      <x:c r="AG1240" t="str">
        <x:f>IF(NOT(ISNUMBER(T1240)),"PENDING",IF(AF1240&gt;0,"PASS","FAIL"))</x:f>
        <x:v>PENDING</x:v>
      </x:c>
      <x:c r="AH1240" t="str">
        <x:f>IF(NOT(ISNUMBER(T1240)),"Needs supplier cost",IF(K1240&lt;&gt;"In stock","Supplier unavailable",IF(AG1240&lt;&gt;"PASS","BLOCK - GT loss risk","Commercially protected")))</x:f>
        <x:v>Needs supplier cost</x:v>
      </x:c>
      <x:c r="AI1240" t="str">
        <x:v>2026-09-10 Active Sports trade capture</x:v>
      </x:c>
      <x:c r="AJ1240" t="str">
        <x:v>Management-only economics. Stripe stress test uses 1.5% + £0.20 standard UK online-card fee; pallet/mix-and-match pricing ignored.</x:v>
      </x:c>
    </x:row>
    <x:row r="1241">
      <x:c r="A1241" t="str">
        <x:v>Active Sports Nutrition</x:v>
      </x:c>
      <x:c r="B1241" t="str">
        <x:v>Gorillalpha</x:v>
      </x:c>
      <x:c r="C1241" t="str">
        <x:v>Yeti Juice Pre Workout</x:v>
      </x:c>
      <x:c r="D1241" t="str">
        <x:v>Pre Workouts</x:v>
      </x:c>
      <x:c r="E1241" t="str">
        <x:v>High Stim</x:v>
      </x:c>
      <x:c r="F1241" t="str"/>
      <x:c r="G1241" t="str">
        <x:v>480g</x:v>
      </x:c>
      <x:c r="H1241" t="str">
        <x:v>Ultra Orange Lemonade</x:v>
      </x:c>
      <x:c r="I1241" t="str"/>
      <x:c r="J1241" t="str">
        <x:v>Unit</x:v>
      </x:c>
      <x:c r="K1241" t="str">
        <x:v>Out of stock</x:v>
      </x:c>
      <x:c r="L1241" t="str">
        <x:v>2026-09-08</x:v>
      </x:c>
      <x:c r="M1241" t="str"/>
      <x:c r="N1241" t="str"/>
      <x:c r="O1241" t="str">
        <x:v>https://www.activesportstrade.co.uk/gorillalpha-trade</x:v>
      </x:c>
      <x:c r="P1241" t="str"/>
      <x:c r="Q1241" t="str"/>
      <x:c r="R1241" t="str"/>
      <x:c r="S1241" t="str">
        <x:v>Pending genuine supplier/brand image</x:v>
      </x:c>
      <x:c r="T1241" s="54"/>
      <x:c r="U1241" s="47" t="n">
        <x:v>0.2</x:v>
      </x:c>
      <x:c r="V1241" s="54" t="str">
        <x:f>IF(ISNUMBER(T1241),T1241*(1+U1241),"")</x:f>
      </x:c>
      <x:c r="W1241" s="47" t="n">
        <x:v>0.3</x:v>
      </x:c>
      <x:c r="X1241" s="54" t="str">
        <x:f>IF(ISNUMBER(V1241),V1241/(1-W1241),"")</x:f>
      </x:c>
      <x:c r="Y1241" s="55" t="str">
        <x:f>IF(ISNUMBER(X1241),ROUNDUP(X1241,0),"")</x:f>
      </x:c>
      <x:c r="Z1241" t="str">
        <x:f>IF(ISNUMBER(T1241),"Cost captured","Awaiting trade cost")</x:f>
        <x:v>Awaiting trade cost</x:v>
      </x:c>
      <x:c r="AB1241" s="36" t="str">
        <x:f>IF(ISNUMBER(Y1241),ROUND(Y1241*0.9,2),"")</x:f>
      </x:c>
      <x:c r="AC1241" s="36" t="str">
        <x:f>IF(ISNUMBER(AB1241),ROUND(AB1241-(AB1241*0.015+0.2)-V1241,2),"")</x:f>
      </x:c>
      <x:c r="AD1241" s="36" t="str">
        <x:f>IF(ISNUMBER(Y1241),ROUND(Y1241*0.8,2),"")</x:f>
      </x:c>
      <x:c r="AE1241" s="36" t="str">
        <x:f>IF(ISNUMBER(AD1241),ROUND(AD1241*0.015+0.2,2),"")</x:f>
      </x:c>
      <x:c r="AF1241" s="36" t="str">
        <x:f>IF(ISNUMBER(AD1241),ROUND(AD1241-AE1241-V1241,2),"")</x:f>
      </x:c>
      <x:c r="AG1241" t="str">
        <x:f>IF(NOT(ISNUMBER(T1241)),"PENDING",IF(AF1241&gt;0,"PASS","FAIL"))</x:f>
        <x:v>PENDING</x:v>
      </x:c>
      <x:c r="AH1241" t="str">
        <x:f>IF(NOT(ISNUMBER(T1241)),"Needs supplier cost",IF(K1241&lt;&gt;"In stock","Supplier unavailable",IF(AG1241&lt;&gt;"PASS","BLOCK - GT loss risk","Commercially protected")))</x:f>
        <x:v>Needs supplier cost</x:v>
      </x:c>
      <x:c r="AI1241" t="str">
        <x:v>2026-09-10 Active Sports trade capture</x:v>
      </x:c>
      <x:c r="AJ1241" t="str">
        <x:v>Management-only economics. Stripe stress test uses 1.5% + £0.20 standard UK online-card fee; pallet/mix-and-match pricing ignored.</x:v>
      </x:c>
    </x:row>
    <x:row r="1242">
      <x:c r="A1242" t="str">
        <x:v>Active Sports Nutrition</x:v>
      </x:c>
      <x:c r="B1242" t="str">
        <x:v>Grenade</x:v>
      </x:c>
      <x:c r="C1242" t="str">
        <x:v>Carb Killa Bar in a Jar Spread</x:v>
      </x:c>
      <x:c r="D1242" t="str">
        <x:v>Drinks and Bars</x:v>
      </x:c>
      <x:c r="E1242" t="str">
        <x:v>High Protein Foods</x:v>
      </x:c>
      <x:c r="F1242" t="str">
        <x:v>Protein spread.</x:v>
      </x:c>
      <x:c r="G1242" t="str">
        <x:v>360g</x:v>
      </x:c>
      <x:c r="H1242" t="str">
        <x:v>Chocolate Chip Salted Caramel</x:v>
      </x:c>
      <x:c r="I1242" t="str"/>
      <x:c r="J1242" t="str">
        <x:v>Unit</x:v>
      </x:c>
      <x:c r="K1242" t="str">
        <x:v>In stock</x:v>
      </x:c>
      <x:c r="L1242" t="str">
        <x:v>2026-09-08</x:v>
      </x:c>
      <x:c r="M1242" t="str"/>
      <x:c r="N1242" t="str"/>
      <x:c r="O1242" t="str">
        <x:v>https://www.activesportstrade.co.uk/trade-convienience</x:v>
      </x:c>
      <x:c r="P1242" t="str"/>
      <x:c r="Q1242" t="str"/>
      <x:c r="R1242" t="str"/>
      <x:c r="S1242" t="str">
        <x:v>Pending genuine supplier/brand image</x:v>
      </x:c>
      <x:c r="T1242" s="54" t="n">
        <x:v>4.19</x:v>
      </x:c>
      <x:c r="U1242" s="47" t="n">
        <x:v>0.2</x:v>
      </x:c>
      <x:c r="V1242" s="54" t="n">
        <x:f>IF(ISNUMBER(T1242),T1242*(1+U1242),"")</x:f>
        <x:v>5.0280000000000005</x:v>
      </x:c>
      <x:c r="W1242" s="47" t="n">
        <x:v>0.3</x:v>
      </x:c>
      <x:c r="X1242" s="54" t="n">
        <x:f>IF(ISNUMBER(V1242),V1242/(1-W1242),"")</x:f>
        <x:v>7.182857142857144</x:v>
      </x:c>
      <x:c r="Y1242" s="55" t="n">
        <x:f>IF(ISNUMBER(X1242),ROUNDUP(X1242,0),"")</x:f>
        <x:v>8</x:v>
      </x:c>
      <x:c r="Z1242" t="str">
        <x:v>Source match pending</x:v>
      </x:c>
      <x:c r="AA1242" t="str">
        <x:v>screencapture-www-activesportstrade-co-uk-grenade-trade-2026-09-09-18_30_56.png / page-001</x:v>
      </x:c>
      <x:c r="AB1242" s="36" t="n">
        <x:f>IF(ISNUMBER(Y1242),ROUND(Y1242*0.9,2),"")</x:f>
        <x:v>7.2</x:v>
      </x:c>
      <x:c r="AC1242" s="36" t="n">
        <x:f>IF(ISNUMBER(AB1242),ROUND(AB1242-(AB1242*0.015+0.2)-V1242,2),"")</x:f>
        <x:v>1.86</x:v>
      </x:c>
      <x:c r="AD1242" s="36" t="n">
        <x:f>IF(ISNUMBER(Y1242),ROUND(Y1242*0.8,2),"")</x:f>
        <x:v>6.4</x:v>
      </x:c>
      <x:c r="AE1242" s="36" t="n">
        <x:f>IF(ISNUMBER(AD1242),ROUND(AD1242*0.015+0.2,2),"")</x:f>
        <x:v>0.3</x:v>
      </x:c>
      <x:c r="AF1242" s="36" t="n">
        <x:f>IF(ISNUMBER(AD1242),ROUND(AD1242-AE1242-V1242,2),"")</x:f>
        <x:v>1.07</x:v>
      </x:c>
      <x:c r="AG1242" t="str">
        <x:f>IF(NOT(ISNUMBER(T1242)),"PENDING",IF(AF1242&gt;0,"PASS","FAIL"))</x:f>
        <x:v>PASS</x:v>
      </x:c>
      <x:c r="AH1242" t="str">
        <x:f>IF(NOT(ISNUMBER(T1242)),"Needs supplier cost",IF(K1242&lt;&gt;"In stock","Supplier unavailable",IF(AG1242&lt;&gt;"PASS","BLOCK - GT loss risk","Commercially protected")))</x:f>
        <x:v>Commercially protected</x:v>
      </x:c>
      <x:c r="AI1242" t="str">
        <x:v>2026-09-10 Active Sports trade capture</x:v>
      </x:c>
      <x:c r="AJ1242" t="str">
        <x:v>Management-only economics. Stripe stress test uses 1.5% + £0.20 standard UK online-card fee; pallet/mix-and-match pricing ignored.</x:v>
      </x:c>
    </x:row>
    <x:row r="1243">
      <x:c r="A1243" t="str">
        <x:v>Active Sports Nutrition</x:v>
      </x:c>
      <x:c r="B1243" t="str">
        <x:v>Grenade</x:v>
      </x:c>
      <x:c r="C1243" t="str">
        <x:v>Carb Killa Bar in a Jar Spread</x:v>
      </x:c>
      <x:c r="D1243" t="str">
        <x:v>Drinks and Bars</x:v>
      </x:c>
      <x:c r="E1243" t="str">
        <x:v>High Protein Foods</x:v>
      </x:c>
      <x:c r="F1243" t="str">
        <x:v>Protein spread.</x:v>
      </x:c>
      <x:c r="G1243" t="str">
        <x:v>360g</x:v>
      </x:c>
      <x:c r="H1243" t="str">
        <x:v>Hazel Nutter</x:v>
      </x:c>
      <x:c r="I1243" t="str"/>
      <x:c r="J1243" t="str">
        <x:v>Unit</x:v>
      </x:c>
      <x:c r="K1243" t="str">
        <x:v>In stock</x:v>
      </x:c>
      <x:c r="L1243" t="str">
        <x:v>2026-09-08</x:v>
      </x:c>
      <x:c r="M1243" t="str"/>
      <x:c r="N1243" t="str"/>
      <x:c r="O1243" t="str">
        <x:v>https://www.activesportstrade.co.uk/trade-convienience</x:v>
      </x:c>
      <x:c r="P1243" t="str"/>
      <x:c r="Q1243" t="str"/>
      <x:c r="R1243" t="str"/>
      <x:c r="S1243" t="str">
        <x:v>Pending genuine supplier/brand image</x:v>
      </x:c>
      <x:c r="T1243" s="54" t="n">
        <x:v>4.19</x:v>
      </x:c>
      <x:c r="U1243" s="47" t="n">
        <x:v>0.2</x:v>
      </x:c>
      <x:c r="V1243" s="54" t="n">
        <x:f>IF(ISNUMBER(T1243),T1243*(1+U1243),"")</x:f>
        <x:v>5.0280000000000005</x:v>
      </x:c>
      <x:c r="W1243" s="47" t="n">
        <x:v>0.3</x:v>
      </x:c>
      <x:c r="X1243" s="54" t="n">
        <x:f>IF(ISNUMBER(V1243),V1243/(1-W1243),"")</x:f>
        <x:v>7.182857142857144</x:v>
      </x:c>
      <x:c r="Y1243" s="55" t="n">
        <x:f>IF(ISNUMBER(X1243),ROUNDUP(X1243,0),"")</x:f>
        <x:v>8</x:v>
      </x:c>
      <x:c r="Z1243" t="str">
        <x:v>Source match pending</x:v>
      </x:c>
      <x:c r="AA1243" t="str">
        <x:v>screencapture-www-activesportstrade-co-uk-grenade-trade-2026-09-09-18_30_56.png / page-001</x:v>
      </x:c>
      <x:c r="AB1243" s="36" t="n">
        <x:f>IF(ISNUMBER(Y1243),ROUND(Y1243*0.9,2),"")</x:f>
        <x:v>7.2</x:v>
      </x:c>
      <x:c r="AC1243" s="36" t="n">
        <x:f>IF(ISNUMBER(AB1243),ROUND(AB1243-(AB1243*0.015+0.2)-V1243,2),"")</x:f>
        <x:v>1.86</x:v>
      </x:c>
      <x:c r="AD1243" s="36" t="n">
        <x:f>IF(ISNUMBER(Y1243),ROUND(Y1243*0.8,2),"")</x:f>
        <x:v>6.4</x:v>
      </x:c>
      <x:c r="AE1243" s="36" t="n">
        <x:f>IF(ISNUMBER(AD1243),ROUND(AD1243*0.015+0.2,2),"")</x:f>
        <x:v>0.3</x:v>
      </x:c>
      <x:c r="AF1243" s="36" t="n">
        <x:f>IF(ISNUMBER(AD1243),ROUND(AD1243-AE1243-V1243,2),"")</x:f>
        <x:v>1.07</x:v>
      </x:c>
      <x:c r="AG1243" t="str">
        <x:f>IF(NOT(ISNUMBER(T1243)),"PENDING",IF(AF1243&gt;0,"PASS","FAIL"))</x:f>
        <x:v>PASS</x:v>
      </x:c>
      <x:c r="AH1243" t="str">
        <x:f>IF(NOT(ISNUMBER(T1243)),"Needs supplier cost",IF(K1243&lt;&gt;"In stock","Supplier unavailable",IF(AG1243&lt;&gt;"PASS","BLOCK - GT loss risk","Commercially protected")))</x:f>
        <x:v>Commercially protected</x:v>
      </x:c>
      <x:c r="AI1243" t="str">
        <x:v>2026-09-10 Active Sports trade capture</x:v>
      </x:c>
      <x:c r="AJ1243" t="str">
        <x:v>Management-only economics. Stripe stress test uses 1.5% + £0.20 standard UK online-card fee; pallet/mix-and-match pricing ignored.</x:v>
      </x:c>
    </x:row>
    <x:row r="1244">
      <x:c r="A1244" t="str">
        <x:v>Active Sports Nutrition</x:v>
      </x:c>
      <x:c r="B1244" t="str">
        <x:v>Grenade</x:v>
      </x:c>
      <x:c r="C1244" t="str">
        <x:v>Carb Killa Bar in a Jar Spread</x:v>
      </x:c>
      <x:c r="D1244" t="str">
        <x:v>Drinks and Bars</x:v>
      </x:c>
      <x:c r="E1244" t="str">
        <x:v>High Protein Foods</x:v>
      </x:c>
      <x:c r="F1244" t="str">
        <x:v>Protein spread.</x:v>
      </x:c>
      <x:c r="G1244" t="str">
        <x:v>360g</x:v>
      </x:c>
      <x:c r="H1244" t="str">
        <x:v>Milk Chocolate</x:v>
      </x:c>
      <x:c r="I1244" t="str"/>
      <x:c r="J1244" t="str">
        <x:v>Unit</x:v>
      </x:c>
      <x:c r="K1244" t="str">
        <x:v>In stock</x:v>
      </x:c>
      <x:c r="L1244" t="str">
        <x:v>2026-09-08</x:v>
      </x:c>
      <x:c r="M1244" t="str"/>
      <x:c r="N1244" t="str"/>
      <x:c r="O1244" t="str">
        <x:v>https://www.activesportstrade.co.uk/trade-convienience</x:v>
      </x:c>
      <x:c r="P1244" t="str"/>
      <x:c r="Q1244" t="str"/>
      <x:c r="R1244" t="str"/>
      <x:c r="S1244" t="str">
        <x:v>Pending genuine supplier/brand image</x:v>
      </x:c>
      <x:c r="T1244" s="54" t="n">
        <x:v>4.19</x:v>
      </x:c>
      <x:c r="U1244" s="47" t="n">
        <x:v>0.2</x:v>
      </x:c>
      <x:c r="V1244" s="54" t="n">
        <x:f>IF(ISNUMBER(T1244),T1244*(1+U1244),"")</x:f>
        <x:v>5.0280000000000005</x:v>
      </x:c>
      <x:c r="W1244" s="47" t="n">
        <x:v>0.3</x:v>
      </x:c>
      <x:c r="X1244" s="54" t="n">
        <x:f>IF(ISNUMBER(V1244),V1244/(1-W1244),"")</x:f>
        <x:v>7.182857142857144</x:v>
      </x:c>
      <x:c r="Y1244" s="55" t="n">
        <x:f>IF(ISNUMBER(X1244),ROUNDUP(X1244,0),"")</x:f>
        <x:v>8</x:v>
      </x:c>
      <x:c r="Z1244" t="str">
        <x:v>Source match pending</x:v>
      </x:c>
      <x:c r="AA1244" t="str">
        <x:v>screencapture-www-activesportstrade-co-uk-grenade-trade-2026-09-09-18_30_56.png / page-001</x:v>
      </x:c>
      <x:c r="AB1244" s="36" t="n">
        <x:f>IF(ISNUMBER(Y1244),ROUND(Y1244*0.9,2),"")</x:f>
        <x:v>7.2</x:v>
      </x:c>
      <x:c r="AC1244" s="36" t="n">
        <x:f>IF(ISNUMBER(AB1244),ROUND(AB1244-(AB1244*0.015+0.2)-V1244,2),"")</x:f>
        <x:v>1.86</x:v>
      </x:c>
      <x:c r="AD1244" s="36" t="n">
        <x:f>IF(ISNUMBER(Y1244),ROUND(Y1244*0.8,2),"")</x:f>
        <x:v>6.4</x:v>
      </x:c>
      <x:c r="AE1244" s="36" t="n">
        <x:f>IF(ISNUMBER(AD1244),ROUND(AD1244*0.015+0.2,2),"")</x:f>
        <x:v>0.3</x:v>
      </x:c>
      <x:c r="AF1244" s="36" t="n">
        <x:f>IF(ISNUMBER(AD1244),ROUND(AD1244-AE1244-V1244,2),"")</x:f>
        <x:v>1.07</x:v>
      </x:c>
      <x:c r="AG1244" t="str">
        <x:f>IF(NOT(ISNUMBER(T1244)),"PENDING",IF(AF1244&gt;0,"PASS","FAIL"))</x:f>
        <x:v>PASS</x:v>
      </x:c>
      <x:c r="AH1244" t="str">
        <x:f>IF(NOT(ISNUMBER(T1244)),"Needs supplier cost",IF(K1244&lt;&gt;"In stock","Supplier unavailable",IF(AG1244&lt;&gt;"PASS","BLOCK - GT loss risk","Commercially protected")))</x:f>
        <x:v>Commercially protected</x:v>
      </x:c>
      <x:c r="AI1244" t="str">
        <x:v>2026-09-10 Active Sports trade capture</x:v>
      </x:c>
      <x:c r="AJ1244" t="str">
        <x:v>Management-only economics. Stripe stress test uses 1.5% + £0.20 standard UK online-card fee; pallet/mix-and-match pricing ignored.</x:v>
      </x:c>
    </x:row>
    <x:row r="1245">
      <x:c r="A1245" t="str">
        <x:v>Active Sports Nutrition</x:v>
      </x:c>
      <x:c r="B1245" t="str">
        <x:v>Grenade</x:v>
      </x:c>
      <x:c r="C1245" t="str">
        <x:v>Carb Killa Bar in a Jar Spread</x:v>
      </x:c>
      <x:c r="D1245" t="str">
        <x:v>Drinks and Bars</x:v>
      </x:c>
      <x:c r="E1245" t="str">
        <x:v>High Protein Foods</x:v>
      </x:c>
      <x:c r="F1245" t="str">
        <x:v>Protein spread.</x:v>
      </x:c>
      <x:c r="G1245" t="str">
        <x:v>360g</x:v>
      </x:c>
      <x:c r="H1245" t="str">
        <x:v>White Chocolate Cookie</x:v>
      </x:c>
      <x:c r="I1245" t="str"/>
      <x:c r="J1245" t="str">
        <x:v>Unit</x:v>
      </x:c>
      <x:c r="K1245" t="str">
        <x:v>In stock</x:v>
      </x:c>
      <x:c r="L1245" t="str">
        <x:v>2026-09-08</x:v>
      </x:c>
      <x:c r="M1245" t="str"/>
      <x:c r="N1245" t="str"/>
      <x:c r="O1245" t="str">
        <x:v>https://www.activesportstrade.co.uk/trade-convienience</x:v>
      </x:c>
      <x:c r="P1245" t="str"/>
      <x:c r="Q1245" t="str"/>
      <x:c r="R1245" t="str"/>
      <x:c r="S1245" t="str">
        <x:v>Pending genuine supplier/brand image</x:v>
      </x:c>
      <x:c r="T1245" s="54" t="n">
        <x:v>4.19</x:v>
      </x:c>
      <x:c r="U1245" s="47" t="n">
        <x:v>0.2</x:v>
      </x:c>
      <x:c r="V1245" s="54" t="n">
        <x:f>IF(ISNUMBER(T1245),T1245*(1+U1245),"")</x:f>
        <x:v>5.0280000000000005</x:v>
      </x:c>
      <x:c r="W1245" s="47" t="n">
        <x:v>0.3</x:v>
      </x:c>
      <x:c r="X1245" s="54" t="n">
        <x:f>IF(ISNUMBER(V1245),V1245/(1-W1245),"")</x:f>
        <x:v>7.182857142857144</x:v>
      </x:c>
      <x:c r="Y1245" s="55" t="n">
        <x:f>IF(ISNUMBER(X1245),ROUNDUP(X1245,0),"")</x:f>
        <x:v>8</x:v>
      </x:c>
      <x:c r="Z1245" t="str">
        <x:v>Source match pending</x:v>
      </x:c>
      <x:c r="AA1245" t="str">
        <x:v>screencapture-www-activesportstrade-co-uk-grenade-trade-2026-09-09-18_30_56.png / page-001</x:v>
      </x:c>
      <x:c r="AB1245" s="36" t="n">
        <x:f>IF(ISNUMBER(Y1245),ROUND(Y1245*0.9,2),"")</x:f>
        <x:v>7.2</x:v>
      </x:c>
      <x:c r="AC1245" s="36" t="n">
        <x:f>IF(ISNUMBER(AB1245),ROUND(AB1245-(AB1245*0.015+0.2)-V1245,2),"")</x:f>
        <x:v>1.86</x:v>
      </x:c>
      <x:c r="AD1245" s="36" t="n">
        <x:f>IF(ISNUMBER(Y1245),ROUND(Y1245*0.8,2),"")</x:f>
        <x:v>6.4</x:v>
      </x:c>
      <x:c r="AE1245" s="36" t="n">
        <x:f>IF(ISNUMBER(AD1245),ROUND(AD1245*0.015+0.2,2),"")</x:f>
        <x:v>0.3</x:v>
      </x:c>
      <x:c r="AF1245" s="36" t="n">
        <x:f>IF(ISNUMBER(AD1245),ROUND(AD1245-AE1245-V1245,2),"")</x:f>
        <x:v>1.07</x:v>
      </x:c>
      <x:c r="AG1245" t="str">
        <x:f>IF(NOT(ISNUMBER(T1245)),"PENDING",IF(AF1245&gt;0,"PASS","FAIL"))</x:f>
        <x:v>PASS</x:v>
      </x:c>
      <x:c r="AH1245" t="str">
        <x:f>IF(NOT(ISNUMBER(T1245)),"Needs supplier cost",IF(K1245&lt;&gt;"In stock","Supplier unavailable",IF(AG1245&lt;&gt;"PASS","BLOCK - GT loss risk","Commercially protected")))</x:f>
        <x:v>Commercially protected</x:v>
      </x:c>
      <x:c r="AI1245" t="str">
        <x:v>2026-09-10 Active Sports trade capture</x:v>
      </x:c>
      <x:c r="AJ1245" t="str">
        <x:v>Management-only economics. Stripe stress test uses 1.5% + £0.20 standard UK online-card fee; pallet/mix-and-match pricing ignored.</x:v>
      </x:c>
    </x:row>
    <x:row r="1246">
      <x:c r="A1246" t="str">
        <x:v>Active Sports Nutrition</x:v>
      </x:c>
      <x:c r="B1246" t="str">
        <x:v>Grenade</x:v>
      </x:c>
      <x:c r="C1246" t="str">
        <x:v>Carb Killa Shake RTD</x:v>
      </x:c>
      <x:c r="D1246" t="str">
        <x:v>Drinks and Bars</x:v>
      </x:c>
      <x:c r="E1246" t="str">
        <x:v>Ready to Drink Protein</x:v>
      </x:c>
      <x:c r="F1246" t="str">
        <x:v>High-protein ready-to-drink shake.</x:v>
      </x:c>
      <x:c r="G1246" t="str">
        <x:v>8 x 330ml bottles</x:v>
      </x:c>
      <x:c r="H1246" t="str">
        <x:v>Chocolate Salted Caramel</x:v>
      </x:c>
      <x:c r="I1246" t="str">
        <x:v>8</x:v>
      </x:c>
      <x:c r="J1246" t="str">
        <x:v>Case</x:v>
      </x:c>
      <x:c r="K1246" t="str">
        <x:v>In stock</x:v>
      </x:c>
      <x:c r="L1246" t="str">
        <x:v>2026-09-08</x:v>
      </x:c>
      <x:c r="M1246" t="str"/>
      <x:c r="N1246" t="str"/>
      <x:c r="O1246" t="str">
        <x:v>https://www.activesportstrade.co.uk/trade-convienience</x:v>
      </x:c>
      <x:c r="P1246" t="str">
        <x:v>VAT FREE / PALLET PROMO / SPECIAL OFFER wording removed. Case-only member order.</x:v>
      </x:c>
      <x:c r="Q1246" t="str"/>
      <x:c r="R1246" t="str"/>
      <x:c r="S1246" t="str">
        <x:v>Pending genuine supplier/brand image</x:v>
      </x:c>
      <x:c r="T1246" s="54" t="n">
        <x:v>12.99</x:v>
      </x:c>
      <x:c r="U1246" s="47" t="n">
        <x:v>0</x:v>
      </x:c>
      <x:c r="V1246" s="54" t="n">
        <x:f>IF(ISNUMBER(T1246),T1246*(1+U1246),"")</x:f>
        <x:v>12.99</x:v>
      </x:c>
      <x:c r="W1246" s="47" t="n">
        <x:v>0.3</x:v>
      </x:c>
      <x:c r="X1246" s="54" t="n">
        <x:f>IF(ISNUMBER(V1246),V1246/(1-W1246),"")</x:f>
        <x:v>18.557142857142857</x:v>
      </x:c>
      <x:c r="Y1246" s="55" t="n">
        <x:f>IF(ISNUMBER(X1246),ROUNDUP(X1246,0),"")</x:f>
        <x:v>19</x:v>
      </x:c>
      <x:c r="Z1246" t="str">
        <x:v>Source match pending</x:v>
      </x:c>
      <x:c r="AA1246" t="str">
        <x:v>screencapture-www-activesportstrade-co-uk-grenade-trade-2026-09-09-18_30_56.png / page-001</x:v>
      </x:c>
      <x:c r="AB1246" s="36" t="n">
        <x:f>IF(ISNUMBER(Y1246),ROUND(Y1246*0.9,2),"")</x:f>
        <x:v>17.1</x:v>
      </x:c>
      <x:c r="AC1246" s="36" t="n">
        <x:f>IF(ISNUMBER(AB1246),ROUND(AB1246-(AB1246*0.015+0.2)-V1246,2),"")</x:f>
        <x:v>3.65</x:v>
      </x:c>
      <x:c r="AD1246" s="36" t="n">
        <x:f>IF(ISNUMBER(Y1246),ROUND(Y1246*0.8,2),"")</x:f>
        <x:v>15.2</x:v>
      </x:c>
      <x:c r="AE1246" s="36" t="n">
        <x:f>IF(ISNUMBER(AD1246),ROUND(AD1246*0.015+0.2,2),"")</x:f>
        <x:v>0.43</x:v>
      </x:c>
      <x:c r="AF1246" s="36" t="n">
        <x:f>IF(ISNUMBER(AD1246),ROUND(AD1246-AE1246-V1246,2),"")</x:f>
        <x:v>1.78</x:v>
      </x:c>
      <x:c r="AG1246" t="str">
        <x:f>IF(NOT(ISNUMBER(T1246)),"PENDING",IF(AF1246&gt;0,"PASS","FAIL"))</x:f>
        <x:v>PASS</x:v>
      </x:c>
      <x:c r="AH1246" t="str">
        <x:f>IF(NOT(ISNUMBER(T1246)),"Needs supplier cost",IF(K1246&lt;&gt;"In stock","Supplier unavailable",IF(AG1246&lt;&gt;"PASS","BLOCK - GT loss risk","Commercially protected")))</x:f>
        <x:v>Commercially protected</x:v>
      </x:c>
      <x:c r="AI1246" t="str">
        <x:v>2026-09-10 Active Sports trade capture</x:v>
      </x:c>
      <x:c r="AJ1246" t="str">
        <x:v>Management-only economics. Stripe stress test uses 1.5% + £0.20 standard UK online-card fee; pallet/mix-and-match pricing ignored.</x:v>
      </x:c>
    </x:row>
    <x:row r="1247">
      <x:c r="A1247" t="str">
        <x:v>Active Sports Nutrition</x:v>
      </x:c>
      <x:c r="B1247" t="str">
        <x:v>Grenade</x:v>
      </x:c>
      <x:c r="C1247" t="str">
        <x:v>Carb Killa Shake RTD</x:v>
      </x:c>
      <x:c r="D1247" t="str">
        <x:v>Drinks and Bars</x:v>
      </x:c>
      <x:c r="E1247" t="str">
        <x:v>Ready to Drink Protein</x:v>
      </x:c>
      <x:c r="F1247" t="str">
        <x:v>High-protein ready-to-drink shake.</x:v>
      </x:c>
      <x:c r="G1247" t="str">
        <x:v>8 x 330ml bottles</x:v>
      </x:c>
      <x:c r="H1247" t="str">
        <x:v>Cookies &amp; Cream</x:v>
      </x:c>
      <x:c r="I1247" t="str">
        <x:v>8</x:v>
      </x:c>
      <x:c r="J1247" t="str">
        <x:v>Case</x:v>
      </x:c>
      <x:c r="K1247" t="str">
        <x:v>In stock</x:v>
      </x:c>
      <x:c r="L1247" t="str">
        <x:v>2026-09-08</x:v>
      </x:c>
      <x:c r="M1247" t="str"/>
      <x:c r="N1247" t="str"/>
      <x:c r="O1247" t="str">
        <x:v>https://www.activesportstrade.co.uk/trade-convienience</x:v>
      </x:c>
      <x:c r="P1247" t="str">
        <x:v>VAT FREE / PALLET PROMO / SPECIAL OFFER wording removed. Case-only member order.</x:v>
      </x:c>
      <x:c r="Q1247" t="str"/>
      <x:c r="R1247" t="str"/>
      <x:c r="S1247" t="str">
        <x:v>Pending genuine supplier/brand image</x:v>
      </x:c>
      <x:c r="T1247" s="54" t="n">
        <x:v>12.99</x:v>
      </x:c>
      <x:c r="U1247" s="47" t="n">
        <x:v>0</x:v>
      </x:c>
      <x:c r="V1247" s="54" t="n">
        <x:f>IF(ISNUMBER(T1247),T1247*(1+U1247),"")</x:f>
        <x:v>12.99</x:v>
      </x:c>
      <x:c r="W1247" s="47" t="n">
        <x:v>0.3</x:v>
      </x:c>
      <x:c r="X1247" s="54" t="n">
        <x:f>IF(ISNUMBER(V1247),V1247/(1-W1247),"")</x:f>
        <x:v>18.557142857142857</x:v>
      </x:c>
      <x:c r="Y1247" s="55" t="n">
        <x:f>IF(ISNUMBER(X1247),ROUNDUP(X1247,0),"")</x:f>
        <x:v>19</x:v>
      </x:c>
      <x:c r="Z1247" t="str">
        <x:v>Source match pending</x:v>
      </x:c>
      <x:c r="AA1247" t="str">
        <x:v>screencapture-www-activesportstrade-co-uk-grenade-trade-2026-09-09-18_30_56.png / page-001</x:v>
      </x:c>
      <x:c r="AB1247" s="36" t="n">
        <x:f>IF(ISNUMBER(Y1247),ROUND(Y1247*0.9,2),"")</x:f>
        <x:v>17.1</x:v>
      </x:c>
      <x:c r="AC1247" s="36" t="n">
        <x:f>IF(ISNUMBER(AB1247),ROUND(AB1247-(AB1247*0.015+0.2)-V1247,2),"")</x:f>
        <x:v>3.65</x:v>
      </x:c>
      <x:c r="AD1247" s="36" t="n">
        <x:f>IF(ISNUMBER(Y1247),ROUND(Y1247*0.8,2),"")</x:f>
        <x:v>15.2</x:v>
      </x:c>
      <x:c r="AE1247" s="36" t="n">
        <x:f>IF(ISNUMBER(AD1247),ROUND(AD1247*0.015+0.2,2),"")</x:f>
        <x:v>0.43</x:v>
      </x:c>
      <x:c r="AF1247" s="36" t="n">
        <x:f>IF(ISNUMBER(AD1247),ROUND(AD1247-AE1247-V1247,2),"")</x:f>
        <x:v>1.78</x:v>
      </x:c>
      <x:c r="AG1247" t="str">
        <x:f>IF(NOT(ISNUMBER(T1247)),"PENDING",IF(AF1247&gt;0,"PASS","FAIL"))</x:f>
        <x:v>PASS</x:v>
      </x:c>
      <x:c r="AH1247" t="str">
        <x:f>IF(NOT(ISNUMBER(T1247)),"Needs supplier cost",IF(K1247&lt;&gt;"In stock","Supplier unavailable",IF(AG1247&lt;&gt;"PASS","BLOCK - GT loss risk","Commercially protected")))</x:f>
        <x:v>Commercially protected</x:v>
      </x:c>
      <x:c r="AI1247" t="str">
        <x:v>2026-09-10 Active Sports trade capture</x:v>
      </x:c>
      <x:c r="AJ1247" t="str">
        <x:v>Management-only economics. Stripe stress test uses 1.5% + £0.20 standard UK online-card fee; pallet/mix-and-match pricing ignored.</x:v>
      </x:c>
    </x:row>
    <x:row r="1248">
      <x:c r="A1248" t="str">
        <x:v>Active Sports Nutrition</x:v>
      </x:c>
      <x:c r="B1248" t="str">
        <x:v>Grenade</x:v>
      </x:c>
      <x:c r="C1248" t="str">
        <x:v>Carb Killa Shake RTD</x:v>
      </x:c>
      <x:c r="D1248" t="str">
        <x:v>Drinks and Bars</x:v>
      </x:c>
      <x:c r="E1248" t="str">
        <x:v>Ready to Drink Protein</x:v>
      </x:c>
      <x:c r="F1248" t="str">
        <x:v>High-protein ready-to-drink shake.</x:v>
      </x:c>
      <x:c r="G1248" t="str">
        <x:v>8 x 330ml bottles</x:v>
      </x:c>
      <x:c r="H1248" t="str">
        <x:v>Fudge Brownie</x:v>
      </x:c>
      <x:c r="I1248" t="str">
        <x:v>8</x:v>
      </x:c>
      <x:c r="J1248" t="str">
        <x:v>Case</x:v>
      </x:c>
      <x:c r="K1248" t="str">
        <x:v>In stock</x:v>
      </x:c>
      <x:c r="L1248" t="str">
        <x:v>2026-09-08</x:v>
      </x:c>
      <x:c r="M1248" t="str"/>
      <x:c r="N1248" t="str"/>
      <x:c r="O1248" t="str">
        <x:v>https://www.activesportstrade.co.uk/trade-convienience</x:v>
      </x:c>
      <x:c r="P1248" t="str">
        <x:v>VAT FREE / PALLET PROMO / SPECIAL OFFER wording removed. Case-only member order.</x:v>
      </x:c>
      <x:c r="Q1248" t="str"/>
      <x:c r="R1248" t="str"/>
      <x:c r="S1248" t="str">
        <x:v>Pending genuine supplier/brand image</x:v>
      </x:c>
      <x:c r="T1248" s="54" t="n">
        <x:v>12.99</x:v>
      </x:c>
      <x:c r="U1248" s="47" t="n">
        <x:v>0</x:v>
      </x:c>
      <x:c r="V1248" s="54" t="n">
        <x:f>IF(ISNUMBER(T1248),T1248*(1+U1248),"")</x:f>
        <x:v>12.99</x:v>
      </x:c>
      <x:c r="W1248" s="47" t="n">
        <x:v>0.3</x:v>
      </x:c>
      <x:c r="X1248" s="54" t="n">
        <x:f>IF(ISNUMBER(V1248),V1248/(1-W1248),"")</x:f>
        <x:v>18.557142857142857</x:v>
      </x:c>
      <x:c r="Y1248" s="55" t="n">
        <x:f>IF(ISNUMBER(X1248),ROUNDUP(X1248,0),"")</x:f>
        <x:v>19</x:v>
      </x:c>
      <x:c r="Z1248" t="str">
        <x:v>Source match pending</x:v>
      </x:c>
      <x:c r="AA1248" t="str">
        <x:v>screencapture-www-activesportstrade-co-uk-grenade-trade-2026-09-09-18_30_56.png / page-001</x:v>
      </x:c>
      <x:c r="AB1248" s="36" t="n">
        <x:f>IF(ISNUMBER(Y1248),ROUND(Y1248*0.9,2),"")</x:f>
        <x:v>17.1</x:v>
      </x:c>
      <x:c r="AC1248" s="36" t="n">
        <x:f>IF(ISNUMBER(AB1248),ROUND(AB1248-(AB1248*0.015+0.2)-V1248,2),"")</x:f>
        <x:v>3.65</x:v>
      </x:c>
      <x:c r="AD1248" s="36" t="n">
        <x:f>IF(ISNUMBER(Y1248),ROUND(Y1248*0.8,2),"")</x:f>
        <x:v>15.2</x:v>
      </x:c>
      <x:c r="AE1248" s="36" t="n">
        <x:f>IF(ISNUMBER(AD1248),ROUND(AD1248*0.015+0.2,2),"")</x:f>
        <x:v>0.43</x:v>
      </x:c>
      <x:c r="AF1248" s="36" t="n">
        <x:f>IF(ISNUMBER(AD1248),ROUND(AD1248-AE1248-V1248,2),"")</x:f>
        <x:v>1.78</x:v>
      </x:c>
      <x:c r="AG1248" t="str">
        <x:f>IF(NOT(ISNUMBER(T1248)),"PENDING",IF(AF1248&gt;0,"PASS","FAIL"))</x:f>
        <x:v>PASS</x:v>
      </x:c>
      <x:c r="AH1248" t="str">
        <x:f>IF(NOT(ISNUMBER(T1248)),"Needs supplier cost",IF(K1248&lt;&gt;"In stock","Supplier unavailable",IF(AG1248&lt;&gt;"PASS","BLOCK - GT loss risk","Commercially protected")))</x:f>
        <x:v>Commercially protected</x:v>
      </x:c>
      <x:c r="AI1248" t="str">
        <x:v>2026-09-10 Active Sports trade capture</x:v>
      </x:c>
      <x:c r="AJ1248" t="str">
        <x:v>Management-only economics. Stripe stress test uses 1.5% + £0.20 standard UK online-card fee; pallet/mix-and-match pricing ignored.</x:v>
      </x:c>
    </x:row>
    <x:row r="1249">
      <x:c r="A1249" t="str">
        <x:v>Active Sports Nutrition</x:v>
      </x:c>
      <x:c r="B1249" t="str">
        <x:v>Grenade</x:v>
      </x:c>
      <x:c r="C1249" t="str">
        <x:v>Carb Killa Shake RTD</x:v>
      </x:c>
      <x:c r="D1249" t="str">
        <x:v>Drinks and Bars</x:v>
      </x:c>
      <x:c r="E1249" t="str">
        <x:v>Ready to Drink Protein</x:v>
      </x:c>
      <x:c r="F1249" t="str">
        <x:v>High-protein ready-to-drink shake.</x:v>
      </x:c>
      <x:c r="G1249" t="str">
        <x:v>8 x 330ml bottles</x:v>
      </x:c>
      <x:c r="H1249" t="str">
        <x:v>Strawberries &amp; Cream</x:v>
      </x:c>
      <x:c r="I1249" t="str">
        <x:v>8</x:v>
      </x:c>
      <x:c r="J1249" t="str">
        <x:v>Case</x:v>
      </x:c>
      <x:c r="K1249" t="str">
        <x:v>In stock</x:v>
      </x:c>
      <x:c r="L1249" t="str">
        <x:v>2026-09-08</x:v>
      </x:c>
      <x:c r="M1249" t="str"/>
      <x:c r="N1249" t="str"/>
      <x:c r="O1249" t="str">
        <x:v>https://www.activesportstrade.co.uk/trade-convienience</x:v>
      </x:c>
      <x:c r="P1249" t="str">
        <x:v>VAT FREE / PALLET PROMO / SPECIAL OFFER wording removed. Case-only member order.</x:v>
      </x:c>
      <x:c r="Q1249" t="str"/>
      <x:c r="R1249" t="str"/>
      <x:c r="S1249" t="str">
        <x:v>Pending genuine supplier/brand image</x:v>
      </x:c>
      <x:c r="T1249" s="54" t="n">
        <x:v>12.99</x:v>
      </x:c>
      <x:c r="U1249" s="47" t="n">
        <x:v>0</x:v>
      </x:c>
      <x:c r="V1249" s="54" t="n">
        <x:f>IF(ISNUMBER(T1249),T1249*(1+U1249),"")</x:f>
        <x:v>12.99</x:v>
      </x:c>
      <x:c r="W1249" s="47" t="n">
        <x:v>0.3</x:v>
      </x:c>
      <x:c r="X1249" s="54" t="n">
        <x:f>IF(ISNUMBER(V1249),V1249/(1-W1249),"")</x:f>
        <x:v>18.557142857142857</x:v>
      </x:c>
      <x:c r="Y1249" s="55" t="n">
        <x:f>IF(ISNUMBER(X1249),ROUNDUP(X1249,0),"")</x:f>
        <x:v>19</x:v>
      </x:c>
      <x:c r="Z1249" t="str">
        <x:v>Source match pending</x:v>
      </x:c>
      <x:c r="AA1249" t="str">
        <x:v>screencapture-www-activesportstrade-co-uk-grenade-trade-2026-09-09-18_30_56.png / page-001</x:v>
      </x:c>
      <x:c r="AB1249" s="36" t="n">
        <x:f>IF(ISNUMBER(Y1249),ROUND(Y1249*0.9,2),"")</x:f>
        <x:v>17.1</x:v>
      </x:c>
      <x:c r="AC1249" s="36" t="n">
        <x:f>IF(ISNUMBER(AB1249),ROUND(AB1249-(AB1249*0.015+0.2)-V1249,2),"")</x:f>
        <x:v>3.65</x:v>
      </x:c>
      <x:c r="AD1249" s="36" t="n">
        <x:f>IF(ISNUMBER(Y1249),ROUND(Y1249*0.8,2),"")</x:f>
        <x:v>15.2</x:v>
      </x:c>
      <x:c r="AE1249" s="36" t="n">
        <x:f>IF(ISNUMBER(AD1249),ROUND(AD1249*0.015+0.2,2),"")</x:f>
        <x:v>0.43</x:v>
      </x:c>
      <x:c r="AF1249" s="36" t="n">
        <x:f>IF(ISNUMBER(AD1249),ROUND(AD1249-AE1249-V1249,2),"")</x:f>
        <x:v>1.78</x:v>
      </x:c>
      <x:c r="AG1249" t="str">
        <x:f>IF(NOT(ISNUMBER(T1249)),"PENDING",IF(AF1249&gt;0,"PASS","FAIL"))</x:f>
        <x:v>PASS</x:v>
      </x:c>
      <x:c r="AH1249" t="str">
        <x:f>IF(NOT(ISNUMBER(T1249)),"Needs supplier cost",IF(K1249&lt;&gt;"In stock","Supplier unavailable",IF(AG1249&lt;&gt;"PASS","BLOCK - GT loss risk","Commercially protected")))</x:f>
        <x:v>Commercially protected</x:v>
      </x:c>
      <x:c r="AI1249" t="str">
        <x:v>2026-09-10 Active Sports trade capture</x:v>
      </x:c>
      <x:c r="AJ1249" t="str">
        <x:v>Management-only economics. Stripe stress test uses 1.5% + £0.20 standard UK online-card fee; pallet/mix-and-match pricing ignored.</x:v>
      </x:c>
    </x:row>
    <x:row r="1250">
      <x:c r="A1250" t="str">
        <x:v>Active Sports Nutrition</x:v>
      </x:c>
      <x:c r="B1250" t="str">
        <x:v>Grenade</x:v>
      </x:c>
      <x:c r="C1250" t="str">
        <x:v>Carb Killa Shake RTD</x:v>
      </x:c>
      <x:c r="D1250" t="str">
        <x:v>Drinks and Bars</x:v>
      </x:c>
      <x:c r="E1250" t="str">
        <x:v>Ready to Drink Protein</x:v>
      </x:c>
      <x:c r="F1250" t="str">
        <x:v>High-protein ready-to-drink shake.</x:v>
      </x:c>
      <x:c r="G1250" t="str">
        <x:v>8 x 330ml bottles</x:v>
      </x:c>
      <x:c r="H1250" t="str">
        <x:v>White Chocolate</x:v>
      </x:c>
      <x:c r="I1250" t="str">
        <x:v>8</x:v>
      </x:c>
      <x:c r="J1250" t="str">
        <x:v>Case</x:v>
      </x:c>
      <x:c r="K1250" t="str">
        <x:v>In stock</x:v>
      </x:c>
      <x:c r="L1250" t="str">
        <x:v>2026-09-08</x:v>
      </x:c>
      <x:c r="M1250" t="str"/>
      <x:c r="N1250" t="str"/>
      <x:c r="O1250" t="str">
        <x:v>https://www.activesportstrade.co.uk/trade-convienience</x:v>
      </x:c>
      <x:c r="P1250" t="str">
        <x:v>VAT FREE / PALLET PROMO / SPECIAL OFFER wording removed. Case-only member order.</x:v>
      </x:c>
      <x:c r="Q1250" t="str"/>
      <x:c r="R1250" t="str"/>
      <x:c r="S1250" t="str">
        <x:v>Pending genuine supplier/brand image</x:v>
      </x:c>
      <x:c r="T1250" s="54" t="n">
        <x:v>12.99</x:v>
      </x:c>
      <x:c r="U1250" s="47" t="n">
        <x:v>0</x:v>
      </x:c>
      <x:c r="V1250" s="54" t="n">
        <x:f>IF(ISNUMBER(T1250),T1250*(1+U1250),"")</x:f>
        <x:v>12.99</x:v>
      </x:c>
      <x:c r="W1250" s="47" t="n">
        <x:v>0.3</x:v>
      </x:c>
      <x:c r="X1250" s="54" t="n">
        <x:f>IF(ISNUMBER(V1250),V1250/(1-W1250),"")</x:f>
        <x:v>18.557142857142857</x:v>
      </x:c>
      <x:c r="Y1250" s="55" t="n">
        <x:f>IF(ISNUMBER(X1250),ROUNDUP(X1250,0),"")</x:f>
        <x:v>19</x:v>
      </x:c>
      <x:c r="Z1250" t="str">
        <x:v>Source match pending</x:v>
      </x:c>
      <x:c r="AA1250" t="str">
        <x:v>screencapture-www-activesportstrade-co-uk-grenade-trade-2026-09-09-18_30_56.png / page-001</x:v>
      </x:c>
      <x:c r="AB1250" s="36" t="n">
        <x:f>IF(ISNUMBER(Y1250),ROUND(Y1250*0.9,2),"")</x:f>
        <x:v>17.1</x:v>
      </x:c>
      <x:c r="AC1250" s="36" t="n">
        <x:f>IF(ISNUMBER(AB1250),ROUND(AB1250-(AB1250*0.015+0.2)-V1250,2),"")</x:f>
        <x:v>3.65</x:v>
      </x:c>
      <x:c r="AD1250" s="36" t="n">
        <x:f>IF(ISNUMBER(Y1250),ROUND(Y1250*0.8,2),"")</x:f>
        <x:v>15.2</x:v>
      </x:c>
      <x:c r="AE1250" s="36" t="n">
        <x:f>IF(ISNUMBER(AD1250),ROUND(AD1250*0.015+0.2,2),"")</x:f>
        <x:v>0.43</x:v>
      </x:c>
      <x:c r="AF1250" s="36" t="n">
        <x:f>IF(ISNUMBER(AD1250),ROUND(AD1250-AE1250-V1250,2),"")</x:f>
        <x:v>1.78</x:v>
      </x:c>
      <x:c r="AG1250" t="str">
        <x:f>IF(NOT(ISNUMBER(T1250)),"PENDING",IF(AF1250&gt;0,"PASS","FAIL"))</x:f>
        <x:v>PASS</x:v>
      </x:c>
      <x:c r="AH1250" t="str">
        <x:f>IF(NOT(ISNUMBER(T1250)),"Needs supplier cost",IF(K1250&lt;&gt;"In stock","Supplier unavailable",IF(AG1250&lt;&gt;"PASS","BLOCK - GT loss risk","Commercially protected")))</x:f>
        <x:v>Commercially protected</x:v>
      </x:c>
      <x:c r="AI1250" t="str">
        <x:v>2026-09-10 Active Sports trade capture</x:v>
      </x:c>
      <x:c r="AJ1250" t="str">
        <x:v>Management-only economics. Stripe stress test uses 1.5% + £0.20 standard UK online-card fee; pallet/mix-and-match pricing ignored.</x:v>
      </x:c>
    </x:row>
    <x:row r="1251">
      <x:c r="A1251" t="str">
        <x:v>Active Sports Nutrition</x:v>
      </x:c>
      <x:c r="B1251" t="str">
        <x:v>Grenade - Carb Killa Bars</x:v>
      </x:c>
      <x:c r="C1251" t="str">
        <x:v>Carb Killa Protein Bars</x:v>
      </x:c>
      <x:c r="D1251" t="str">
        <x:v>Drinks and Bars</x:v>
      </x:c>
      <x:c r="E1251" t="str">
        <x:v>Bars and Snacks</x:v>
      </x:c>
      <x:c r="F1251" t="str">
        <x:v>Low-carb high-protein bars.</x:v>
      </x:c>
      <x:c r="G1251" t="str">
        <x:v>12 bars</x:v>
      </x:c>
      <x:c r="H1251" t="str">
        <x:v>Birthday Cake</x:v>
      </x:c>
      <x:c r="I1251" t="str">
        <x:v>12</x:v>
      </x:c>
      <x:c r="J1251" t="str">
        <x:v>Case</x:v>
      </x:c>
      <x:c r="K1251" t="str">
        <x:v>In stock</x:v>
      </x:c>
      <x:c r="L1251" t="str">
        <x:v>2026-09-08</x:v>
      </x:c>
      <x:c r="M1251" t="str"/>
      <x:c r="N1251" t="str"/>
      <x:c r="O1251" t="str">
        <x:v>https://www.activesportstrade.co.uk/trade-convienience</x:v>
      </x:c>
      <x:c r="P1251" t="str">
        <x:v>SPECIAL OFFER wording removed. Case-only member order.</x:v>
      </x:c>
      <x:c r="Q1251" t="str"/>
      <x:c r="R1251" t="str"/>
      <x:c r="S1251" t="str">
        <x:v>Pending genuine supplier/brand image</x:v>
      </x:c>
      <x:c r="T1251" s="54"/>
      <x:c r="U1251" s="47" t="n">
        <x:v>0.2</x:v>
      </x:c>
      <x:c r="V1251" s="54" t="str">
        <x:f>IF(ISNUMBER(T1251),T1251*(1+U1251),"")</x:f>
      </x:c>
      <x:c r="W1251" s="47" t="n">
        <x:v>0.3</x:v>
      </x:c>
      <x:c r="X1251" s="54" t="str">
        <x:f>IF(ISNUMBER(V1251),V1251/(1-W1251),"")</x:f>
      </x:c>
      <x:c r="Y1251" s="55" t="str">
        <x:f>IF(ISNUMBER(X1251),ROUNDUP(X1251,0),"")</x:f>
      </x:c>
      <x:c r="Z1251" t="str">
        <x:f>IF(ISNUMBER(T1251),"Cost captured","Awaiting trade cost")</x:f>
        <x:v>Awaiting trade cost</x:v>
      </x:c>
      <x:c r="AB1251" s="36" t="str">
        <x:f>IF(ISNUMBER(Y1251),ROUND(Y1251*0.9,2),"")</x:f>
      </x:c>
      <x:c r="AC1251" s="36" t="str">
        <x:f>IF(ISNUMBER(AB1251),ROUND(AB1251-(AB1251*0.015+0.2)-V1251,2),"")</x:f>
      </x:c>
      <x:c r="AD1251" s="36" t="str">
        <x:f>IF(ISNUMBER(Y1251),ROUND(Y1251*0.8,2),"")</x:f>
      </x:c>
      <x:c r="AE1251" s="36" t="str">
        <x:f>IF(ISNUMBER(AD1251),ROUND(AD1251*0.015+0.2,2),"")</x:f>
      </x:c>
      <x:c r="AF1251" s="36" t="str">
        <x:f>IF(ISNUMBER(AD1251),ROUND(AD1251-AE1251-V1251,2),"")</x:f>
      </x:c>
      <x:c r="AG1251" t="str">
        <x:f>IF(NOT(ISNUMBER(T1251)),"PENDING",IF(AF1251&gt;0,"PASS","FAIL"))</x:f>
        <x:v>PENDING</x:v>
      </x:c>
      <x:c r="AH1251" t="str">
        <x:f>IF(NOT(ISNUMBER(T1251)),"Needs supplier cost",IF(K1251&lt;&gt;"In stock","Supplier unavailable",IF(AG1251&lt;&gt;"PASS","BLOCK - GT loss risk","Commercially protected")))</x:f>
        <x:v>Needs supplier cost</x:v>
      </x:c>
      <x:c r="AI1251" t="str">
        <x:v>2026-09-10 Active Sports trade capture</x:v>
      </x:c>
      <x:c r="AJ1251" t="str">
        <x:v>Management-only economics. Stripe stress test uses 1.5% + £0.20 standard UK online-card fee; pallet/mix-and-match pricing ignored.</x:v>
      </x:c>
    </x:row>
    <x:row r="1252">
      <x:c r="A1252" t="str">
        <x:v>Active Sports Nutrition</x:v>
      </x:c>
      <x:c r="B1252" t="str">
        <x:v>Grenade - Carb Killa Bars</x:v>
      </x:c>
      <x:c r="C1252" t="str">
        <x:v>Carb Killa Protein Bars</x:v>
      </x:c>
      <x:c r="D1252" t="str">
        <x:v>Drinks and Bars</x:v>
      </x:c>
      <x:c r="E1252" t="str">
        <x:v>Bars and Snacks</x:v>
      </x:c>
      <x:c r="F1252" t="str">
        <x:v>Low-carb high-protein bars.</x:v>
      </x:c>
      <x:c r="G1252" t="str">
        <x:v>12 bars</x:v>
      </x:c>
      <x:c r="H1252" t="str">
        <x:v>Caramel Chaos</x:v>
      </x:c>
      <x:c r="I1252" t="str">
        <x:v>12</x:v>
      </x:c>
      <x:c r="J1252" t="str">
        <x:v>Case</x:v>
      </x:c>
      <x:c r="K1252" t="str">
        <x:v>In stock</x:v>
      </x:c>
      <x:c r="L1252" t="str">
        <x:v>2026-09-08</x:v>
      </x:c>
      <x:c r="M1252" t="str"/>
      <x:c r="N1252" t="str"/>
      <x:c r="O1252" t="str">
        <x:v>https://www.activesportstrade.co.uk/trade-convienience</x:v>
      </x:c>
      <x:c r="P1252" t="str">
        <x:v>SPECIAL OFFER wording removed. Case-only member order.</x:v>
      </x:c>
      <x:c r="Q1252" t="str"/>
      <x:c r="R1252" t="str"/>
      <x:c r="S1252" t="str">
        <x:v>Pending genuine supplier/brand image</x:v>
      </x:c>
      <x:c r="T1252" s="54"/>
      <x:c r="U1252" s="47" t="n">
        <x:v>0.2</x:v>
      </x:c>
      <x:c r="V1252" s="54" t="str">
        <x:f>IF(ISNUMBER(T1252),T1252*(1+U1252),"")</x:f>
      </x:c>
      <x:c r="W1252" s="47" t="n">
        <x:v>0.3</x:v>
      </x:c>
      <x:c r="X1252" s="54" t="str">
        <x:f>IF(ISNUMBER(V1252),V1252/(1-W1252),"")</x:f>
      </x:c>
      <x:c r="Y1252" s="55" t="str">
        <x:f>IF(ISNUMBER(X1252),ROUNDUP(X1252,0),"")</x:f>
      </x:c>
      <x:c r="Z1252" t="str">
        <x:f>IF(ISNUMBER(T1252),"Cost captured","Awaiting trade cost")</x:f>
        <x:v>Awaiting trade cost</x:v>
      </x:c>
      <x:c r="AB1252" s="36" t="str">
        <x:f>IF(ISNUMBER(Y1252),ROUND(Y1252*0.9,2),"")</x:f>
      </x:c>
      <x:c r="AC1252" s="36" t="str">
        <x:f>IF(ISNUMBER(AB1252),ROUND(AB1252-(AB1252*0.015+0.2)-V1252,2),"")</x:f>
      </x:c>
      <x:c r="AD1252" s="36" t="str">
        <x:f>IF(ISNUMBER(Y1252),ROUND(Y1252*0.8,2),"")</x:f>
      </x:c>
      <x:c r="AE1252" s="36" t="str">
        <x:f>IF(ISNUMBER(AD1252),ROUND(AD1252*0.015+0.2,2),"")</x:f>
      </x:c>
      <x:c r="AF1252" s="36" t="str">
        <x:f>IF(ISNUMBER(AD1252),ROUND(AD1252-AE1252-V1252,2),"")</x:f>
      </x:c>
      <x:c r="AG1252" t="str">
        <x:f>IF(NOT(ISNUMBER(T1252)),"PENDING",IF(AF1252&gt;0,"PASS","FAIL"))</x:f>
        <x:v>PENDING</x:v>
      </x:c>
      <x:c r="AH1252" t="str">
        <x:f>IF(NOT(ISNUMBER(T1252)),"Needs supplier cost",IF(K1252&lt;&gt;"In stock","Supplier unavailable",IF(AG1252&lt;&gt;"PASS","BLOCK - GT loss risk","Commercially protected")))</x:f>
        <x:v>Needs supplier cost</x:v>
      </x:c>
      <x:c r="AI1252" t="str">
        <x:v>2026-09-10 Active Sports trade capture</x:v>
      </x:c>
      <x:c r="AJ1252" t="str">
        <x:v>Management-only economics. Stripe stress test uses 1.5% + £0.20 standard UK online-card fee; pallet/mix-and-match pricing ignored.</x:v>
      </x:c>
    </x:row>
    <x:row r="1253">
      <x:c r="A1253" t="str">
        <x:v>Active Sports Nutrition</x:v>
      </x:c>
      <x:c r="B1253" t="str">
        <x:v>Grenade - Carb Killa Bars</x:v>
      </x:c>
      <x:c r="C1253" t="str">
        <x:v>Carb Killa Protein Bars</x:v>
      </x:c>
      <x:c r="D1253" t="str">
        <x:v>Drinks and Bars</x:v>
      </x:c>
      <x:c r="E1253" t="str">
        <x:v>Bars and Snacks</x:v>
      </x:c>
      <x:c r="F1253" t="str">
        <x:v>Low-carb high-protein bars.</x:v>
      </x:c>
      <x:c r="G1253" t="str">
        <x:v>12 bars</x:v>
      </x:c>
      <x:c r="H1253" t="str">
        <x:v>Choc Chip Cookie Dough</x:v>
      </x:c>
      <x:c r="I1253" t="str">
        <x:v>12</x:v>
      </x:c>
      <x:c r="J1253" t="str">
        <x:v>Case</x:v>
      </x:c>
      <x:c r="K1253" t="str">
        <x:v>In stock</x:v>
      </x:c>
      <x:c r="L1253" t="str">
        <x:v>2026-09-08</x:v>
      </x:c>
      <x:c r="M1253" t="str"/>
      <x:c r="N1253" t="str"/>
      <x:c r="O1253" t="str">
        <x:v>https://www.activesportstrade.co.uk/trade-convienience</x:v>
      </x:c>
      <x:c r="P1253" t="str">
        <x:v>SPECIAL OFFER wording removed. Case-only member order.</x:v>
      </x:c>
      <x:c r="Q1253" t="str"/>
      <x:c r="R1253" t="str"/>
      <x:c r="S1253" t="str">
        <x:v>Pending genuine supplier/brand image</x:v>
      </x:c>
      <x:c r="T1253" s="54"/>
      <x:c r="U1253" s="47" t="n">
        <x:v>0.2</x:v>
      </x:c>
      <x:c r="V1253" s="54" t="str">
        <x:f>IF(ISNUMBER(T1253),T1253*(1+U1253),"")</x:f>
      </x:c>
      <x:c r="W1253" s="47" t="n">
        <x:v>0.3</x:v>
      </x:c>
      <x:c r="X1253" s="54" t="str">
        <x:f>IF(ISNUMBER(V1253),V1253/(1-W1253),"")</x:f>
      </x:c>
      <x:c r="Y1253" s="55" t="str">
        <x:f>IF(ISNUMBER(X1253),ROUNDUP(X1253,0),"")</x:f>
      </x:c>
      <x:c r="Z1253" t="str">
        <x:f>IF(ISNUMBER(T1253),"Cost captured","Awaiting trade cost")</x:f>
        <x:v>Awaiting trade cost</x:v>
      </x:c>
      <x:c r="AB1253" s="36" t="str">
        <x:f>IF(ISNUMBER(Y1253),ROUND(Y1253*0.9,2),"")</x:f>
      </x:c>
      <x:c r="AC1253" s="36" t="str">
        <x:f>IF(ISNUMBER(AB1253),ROUND(AB1253-(AB1253*0.015+0.2)-V1253,2),"")</x:f>
      </x:c>
      <x:c r="AD1253" s="36" t="str">
        <x:f>IF(ISNUMBER(Y1253),ROUND(Y1253*0.8,2),"")</x:f>
      </x:c>
      <x:c r="AE1253" s="36" t="str">
        <x:f>IF(ISNUMBER(AD1253),ROUND(AD1253*0.015+0.2,2),"")</x:f>
      </x:c>
      <x:c r="AF1253" s="36" t="str">
        <x:f>IF(ISNUMBER(AD1253),ROUND(AD1253-AE1253-V1253,2),"")</x:f>
      </x:c>
      <x:c r="AG1253" t="str">
        <x:f>IF(NOT(ISNUMBER(T1253)),"PENDING",IF(AF1253&gt;0,"PASS","FAIL"))</x:f>
        <x:v>PENDING</x:v>
      </x:c>
      <x:c r="AH1253" t="str">
        <x:f>IF(NOT(ISNUMBER(T1253)),"Needs supplier cost",IF(K1253&lt;&gt;"In stock","Supplier unavailable",IF(AG1253&lt;&gt;"PASS","BLOCK - GT loss risk","Commercially protected")))</x:f>
        <x:v>Needs supplier cost</x:v>
      </x:c>
      <x:c r="AI1253" t="str">
        <x:v>2026-09-10 Active Sports trade capture</x:v>
      </x:c>
      <x:c r="AJ1253" t="str">
        <x:v>Management-only economics. Stripe stress test uses 1.5% + £0.20 standard UK online-card fee; pallet/mix-and-match pricing ignored.</x:v>
      </x:c>
    </x:row>
    <x:row r="1254">
      <x:c r="A1254" t="str">
        <x:v>Active Sports Nutrition</x:v>
      </x:c>
      <x:c r="B1254" t="str">
        <x:v>Grenade - Carb Killa Bars</x:v>
      </x:c>
      <x:c r="C1254" t="str">
        <x:v>Carb Killa Protein Bars</x:v>
      </x:c>
      <x:c r="D1254" t="str">
        <x:v>Drinks and Bars</x:v>
      </x:c>
      <x:c r="E1254" t="str">
        <x:v>Bars and Snacks</x:v>
      </x:c>
      <x:c r="F1254" t="str">
        <x:v>Low-carb high-protein bars.</x:v>
      </x:c>
      <x:c r="G1254" t="str">
        <x:v>12 bars</x:v>
      </x:c>
      <x:c r="H1254" t="str">
        <x:v>Choc Chip Salted Caramel</x:v>
      </x:c>
      <x:c r="I1254" t="str">
        <x:v>12</x:v>
      </x:c>
      <x:c r="J1254" t="str">
        <x:v>Case</x:v>
      </x:c>
      <x:c r="K1254" t="str">
        <x:v>In stock</x:v>
      </x:c>
      <x:c r="L1254" t="str">
        <x:v>2026-09-08</x:v>
      </x:c>
      <x:c r="M1254" t="str"/>
      <x:c r="N1254" t="str"/>
      <x:c r="O1254" t="str">
        <x:v>https://www.activesportstrade.co.uk/trade-convienience</x:v>
      </x:c>
      <x:c r="P1254" t="str">
        <x:v>SPECIAL OFFER wording removed. Case-only member order.</x:v>
      </x:c>
      <x:c r="Q1254" t="str"/>
      <x:c r="R1254" t="str"/>
      <x:c r="S1254" t="str">
        <x:v>Pending genuine supplier/brand image</x:v>
      </x:c>
      <x:c r="T1254" s="54"/>
      <x:c r="U1254" s="47" t="n">
        <x:v>0.2</x:v>
      </x:c>
      <x:c r="V1254" s="54" t="str">
        <x:f>IF(ISNUMBER(T1254),T1254*(1+U1254),"")</x:f>
      </x:c>
      <x:c r="W1254" s="47" t="n">
        <x:v>0.3</x:v>
      </x:c>
      <x:c r="X1254" s="54" t="str">
        <x:f>IF(ISNUMBER(V1254),V1254/(1-W1254),"")</x:f>
      </x:c>
      <x:c r="Y1254" s="55" t="str">
        <x:f>IF(ISNUMBER(X1254),ROUNDUP(X1254,0),"")</x:f>
      </x:c>
      <x:c r="Z1254" t="str">
        <x:f>IF(ISNUMBER(T1254),"Cost captured","Awaiting trade cost")</x:f>
        <x:v>Awaiting trade cost</x:v>
      </x:c>
      <x:c r="AB1254" s="36" t="str">
        <x:f>IF(ISNUMBER(Y1254),ROUND(Y1254*0.9,2),"")</x:f>
      </x:c>
      <x:c r="AC1254" s="36" t="str">
        <x:f>IF(ISNUMBER(AB1254),ROUND(AB1254-(AB1254*0.015+0.2)-V1254,2),"")</x:f>
      </x:c>
      <x:c r="AD1254" s="36" t="str">
        <x:f>IF(ISNUMBER(Y1254),ROUND(Y1254*0.8,2),"")</x:f>
      </x:c>
      <x:c r="AE1254" s="36" t="str">
        <x:f>IF(ISNUMBER(AD1254),ROUND(AD1254*0.015+0.2,2),"")</x:f>
      </x:c>
      <x:c r="AF1254" s="36" t="str">
        <x:f>IF(ISNUMBER(AD1254),ROUND(AD1254-AE1254-V1254,2),"")</x:f>
      </x:c>
      <x:c r="AG1254" t="str">
        <x:f>IF(NOT(ISNUMBER(T1254)),"PENDING",IF(AF1254&gt;0,"PASS","FAIL"))</x:f>
        <x:v>PENDING</x:v>
      </x:c>
      <x:c r="AH1254" t="str">
        <x:f>IF(NOT(ISNUMBER(T1254)),"Needs supplier cost",IF(K1254&lt;&gt;"In stock","Supplier unavailable",IF(AG1254&lt;&gt;"PASS","BLOCK - GT loss risk","Commercially protected")))</x:f>
        <x:v>Needs supplier cost</x:v>
      </x:c>
      <x:c r="AI1254" t="str">
        <x:v>2026-09-10 Active Sports trade capture</x:v>
      </x:c>
      <x:c r="AJ1254" t="str">
        <x:v>Management-only economics. Stripe stress test uses 1.5% + £0.20 standard UK online-card fee; pallet/mix-and-match pricing ignored.</x:v>
      </x:c>
    </x:row>
    <x:row r="1255">
      <x:c r="A1255" t="str">
        <x:v>Active Sports Nutrition</x:v>
      </x:c>
      <x:c r="B1255" t="str">
        <x:v>Grenade - Carb Killa Bars</x:v>
      </x:c>
      <x:c r="C1255" t="str">
        <x:v>Carb Killa Protein Bars</x:v>
      </x:c>
      <x:c r="D1255" t="str">
        <x:v>Drinks and Bars</x:v>
      </x:c>
      <x:c r="E1255" t="str">
        <x:v>Bars and Snacks</x:v>
      </x:c>
      <x:c r="F1255" t="str">
        <x:v>Low-carb high-protein bars.</x:v>
      </x:c>
      <x:c r="G1255" t="str">
        <x:v>12 bars</x:v>
      </x:c>
      <x:c r="H1255" t="str">
        <x:v>Dark Chocolate Mint</x:v>
      </x:c>
      <x:c r="I1255" t="str">
        <x:v>12</x:v>
      </x:c>
      <x:c r="J1255" t="str">
        <x:v>Case</x:v>
      </x:c>
      <x:c r="K1255" t="str">
        <x:v>In stock</x:v>
      </x:c>
      <x:c r="L1255" t="str">
        <x:v>2026-09-08</x:v>
      </x:c>
      <x:c r="M1255" t="str"/>
      <x:c r="N1255" t="str"/>
      <x:c r="O1255" t="str">
        <x:v>https://www.activesportstrade.co.uk/trade-convienience</x:v>
      </x:c>
      <x:c r="P1255" t="str">
        <x:v>SPECIAL OFFER wording removed. Case-only member order.</x:v>
      </x:c>
      <x:c r="Q1255" t="str"/>
      <x:c r="R1255" t="str"/>
      <x:c r="S1255" t="str">
        <x:v>Pending genuine supplier/brand image</x:v>
      </x:c>
      <x:c r="T1255" s="54"/>
      <x:c r="U1255" s="47" t="n">
        <x:v>0.2</x:v>
      </x:c>
      <x:c r="V1255" s="54" t="str">
        <x:f>IF(ISNUMBER(T1255),T1255*(1+U1255),"")</x:f>
      </x:c>
      <x:c r="W1255" s="47" t="n">
        <x:v>0.3</x:v>
      </x:c>
      <x:c r="X1255" s="54" t="str">
        <x:f>IF(ISNUMBER(V1255),V1255/(1-W1255),"")</x:f>
      </x:c>
      <x:c r="Y1255" s="55" t="str">
        <x:f>IF(ISNUMBER(X1255),ROUNDUP(X1255,0),"")</x:f>
      </x:c>
      <x:c r="Z1255" t="str">
        <x:f>IF(ISNUMBER(T1255),"Cost captured","Awaiting trade cost")</x:f>
        <x:v>Awaiting trade cost</x:v>
      </x:c>
      <x:c r="AB1255" s="36" t="str">
        <x:f>IF(ISNUMBER(Y1255),ROUND(Y1255*0.9,2),"")</x:f>
      </x:c>
      <x:c r="AC1255" s="36" t="str">
        <x:f>IF(ISNUMBER(AB1255),ROUND(AB1255-(AB1255*0.015+0.2)-V1255,2),"")</x:f>
      </x:c>
      <x:c r="AD1255" s="36" t="str">
        <x:f>IF(ISNUMBER(Y1255),ROUND(Y1255*0.8,2),"")</x:f>
      </x:c>
      <x:c r="AE1255" s="36" t="str">
        <x:f>IF(ISNUMBER(AD1255),ROUND(AD1255*0.015+0.2,2),"")</x:f>
      </x:c>
      <x:c r="AF1255" s="36" t="str">
        <x:f>IF(ISNUMBER(AD1255),ROUND(AD1255-AE1255-V1255,2),"")</x:f>
      </x:c>
      <x:c r="AG1255" t="str">
        <x:f>IF(NOT(ISNUMBER(T1255)),"PENDING",IF(AF1255&gt;0,"PASS","FAIL"))</x:f>
        <x:v>PENDING</x:v>
      </x:c>
      <x:c r="AH1255" t="str">
        <x:f>IF(NOT(ISNUMBER(T1255)),"Needs supplier cost",IF(K1255&lt;&gt;"In stock","Supplier unavailable",IF(AG1255&lt;&gt;"PASS","BLOCK - GT loss risk","Commercially protected")))</x:f>
        <x:v>Needs supplier cost</x:v>
      </x:c>
      <x:c r="AI1255" t="str">
        <x:v>2026-09-10 Active Sports trade capture</x:v>
      </x:c>
      <x:c r="AJ1255" t="str">
        <x:v>Management-only economics. Stripe stress test uses 1.5% + £0.20 standard UK online-card fee; pallet/mix-and-match pricing ignored.</x:v>
      </x:c>
    </x:row>
    <x:row r="1256">
      <x:c r="A1256" t="str">
        <x:v>Active Sports Nutrition</x:v>
      </x:c>
      <x:c r="B1256" t="str">
        <x:v>Grenade - Carb Killa Bars</x:v>
      </x:c>
      <x:c r="C1256" t="str">
        <x:v>Carb Killa Protein Bars</x:v>
      </x:c>
      <x:c r="D1256" t="str">
        <x:v>Drinks and Bars</x:v>
      </x:c>
      <x:c r="E1256" t="str">
        <x:v>Bars and Snacks</x:v>
      </x:c>
      <x:c r="F1256" t="str">
        <x:v>Low-carb high-protein bars.</x:v>
      </x:c>
      <x:c r="G1256" t="str">
        <x:v>12 bars</x:v>
      </x:c>
      <x:c r="H1256" t="str">
        <x:v>Dark Chocolate Raspberry</x:v>
      </x:c>
      <x:c r="I1256" t="str">
        <x:v>12</x:v>
      </x:c>
      <x:c r="J1256" t="str">
        <x:v>Case</x:v>
      </x:c>
      <x:c r="K1256" t="str">
        <x:v>In stock</x:v>
      </x:c>
      <x:c r="L1256" t="str">
        <x:v>2026-09-08</x:v>
      </x:c>
      <x:c r="M1256" t="str"/>
      <x:c r="N1256" t="str"/>
      <x:c r="O1256" t="str">
        <x:v>https://www.activesportstrade.co.uk/trade-convienience</x:v>
      </x:c>
      <x:c r="P1256" t="str">
        <x:v>SPECIAL OFFER wording removed. Case-only member order.</x:v>
      </x:c>
      <x:c r="Q1256" t="str"/>
      <x:c r="R1256" t="str"/>
      <x:c r="S1256" t="str">
        <x:v>Pending genuine supplier/brand image</x:v>
      </x:c>
      <x:c r="T1256" s="54"/>
      <x:c r="U1256" s="47" t="n">
        <x:v>0.2</x:v>
      </x:c>
      <x:c r="V1256" s="54" t="str">
        <x:f>IF(ISNUMBER(T1256),T1256*(1+U1256),"")</x:f>
      </x:c>
      <x:c r="W1256" s="47" t="n">
        <x:v>0.3</x:v>
      </x:c>
      <x:c r="X1256" s="54" t="str">
        <x:f>IF(ISNUMBER(V1256),V1256/(1-W1256),"")</x:f>
      </x:c>
      <x:c r="Y1256" s="55" t="str">
        <x:f>IF(ISNUMBER(X1256),ROUNDUP(X1256,0),"")</x:f>
      </x:c>
      <x:c r="Z1256" t="str">
        <x:f>IF(ISNUMBER(T1256),"Cost captured","Awaiting trade cost")</x:f>
        <x:v>Awaiting trade cost</x:v>
      </x:c>
      <x:c r="AB1256" s="36" t="str">
        <x:f>IF(ISNUMBER(Y1256),ROUND(Y1256*0.9,2),"")</x:f>
      </x:c>
      <x:c r="AC1256" s="36" t="str">
        <x:f>IF(ISNUMBER(AB1256),ROUND(AB1256-(AB1256*0.015+0.2)-V1256,2),"")</x:f>
      </x:c>
      <x:c r="AD1256" s="36" t="str">
        <x:f>IF(ISNUMBER(Y1256),ROUND(Y1256*0.8,2),"")</x:f>
      </x:c>
      <x:c r="AE1256" s="36" t="str">
        <x:f>IF(ISNUMBER(AD1256),ROUND(AD1256*0.015+0.2,2),"")</x:f>
      </x:c>
      <x:c r="AF1256" s="36" t="str">
        <x:f>IF(ISNUMBER(AD1256),ROUND(AD1256-AE1256-V1256,2),"")</x:f>
      </x:c>
      <x:c r="AG1256" t="str">
        <x:f>IF(NOT(ISNUMBER(T1256)),"PENDING",IF(AF1256&gt;0,"PASS","FAIL"))</x:f>
        <x:v>PENDING</x:v>
      </x:c>
      <x:c r="AH1256" t="str">
        <x:f>IF(NOT(ISNUMBER(T1256)),"Needs supplier cost",IF(K1256&lt;&gt;"In stock","Supplier unavailable",IF(AG1256&lt;&gt;"PASS","BLOCK - GT loss risk","Commercially protected")))</x:f>
        <x:v>Needs supplier cost</x:v>
      </x:c>
      <x:c r="AI1256" t="str">
        <x:v>2026-09-10 Active Sports trade capture</x:v>
      </x:c>
      <x:c r="AJ1256" t="str">
        <x:v>Management-only economics. Stripe stress test uses 1.5% + £0.20 standard UK online-card fee; pallet/mix-and-match pricing ignored.</x:v>
      </x:c>
    </x:row>
    <x:row r="1257">
      <x:c r="A1257" t="str">
        <x:v>Active Sports Nutrition</x:v>
      </x:c>
      <x:c r="B1257" t="str">
        <x:v>Grenade - Carb Killa Bars</x:v>
      </x:c>
      <x:c r="C1257" t="str">
        <x:v>Carb Killa Protein Bars</x:v>
      </x:c>
      <x:c r="D1257" t="str">
        <x:v>Drinks and Bars</x:v>
      </x:c>
      <x:c r="E1257" t="str">
        <x:v>Bars and Snacks</x:v>
      </x:c>
      <x:c r="F1257" t="str">
        <x:v>Low-carb high-protein bars.</x:v>
      </x:c>
      <x:c r="G1257" t="str">
        <x:v>12 bars</x:v>
      </x:c>
      <x:c r="H1257" t="str">
        <x:v>Fudged Up</x:v>
      </x:c>
      <x:c r="I1257" t="str">
        <x:v>12</x:v>
      </x:c>
      <x:c r="J1257" t="str">
        <x:v>Case</x:v>
      </x:c>
      <x:c r="K1257" t="str">
        <x:v>In stock</x:v>
      </x:c>
      <x:c r="L1257" t="str">
        <x:v>2026-09-08</x:v>
      </x:c>
      <x:c r="M1257" t="str"/>
      <x:c r="N1257" t="str"/>
      <x:c r="O1257" t="str">
        <x:v>https://www.activesportstrade.co.uk/trade-convienience</x:v>
      </x:c>
      <x:c r="P1257" t="str">
        <x:v>SPECIAL OFFER wording removed. Case-only member order.</x:v>
      </x:c>
      <x:c r="Q1257" t="str"/>
      <x:c r="R1257" t="str"/>
      <x:c r="S1257" t="str">
        <x:v>Pending genuine supplier/brand image</x:v>
      </x:c>
      <x:c r="T1257" s="54"/>
      <x:c r="U1257" s="47" t="n">
        <x:v>0.2</x:v>
      </x:c>
      <x:c r="V1257" s="54" t="str">
        <x:f>IF(ISNUMBER(T1257),T1257*(1+U1257),"")</x:f>
      </x:c>
      <x:c r="W1257" s="47" t="n">
        <x:v>0.3</x:v>
      </x:c>
      <x:c r="X1257" s="54" t="str">
        <x:f>IF(ISNUMBER(V1257),V1257/(1-W1257),"")</x:f>
      </x:c>
      <x:c r="Y1257" s="55" t="str">
        <x:f>IF(ISNUMBER(X1257),ROUNDUP(X1257,0),"")</x:f>
      </x:c>
      <x:c r="Z1257" t="str">
        <x:f>IF(ISNUMBER(T1257),"Cost captured","Awaiting trade cost")</x:f>
        <x:v>Awaiting trade cost</x:v>
      </x:c>
      <x:c r="AB1257" s="36" t="str">
        <x:f>IF(ISNUMBER(Y1257),ROUND(Y1257*0.9,2),"")</x:f>
      </x:c>
      <x:c r="AC1257" s="36" t="str">
        <x:f>IF(ISNUMBER(AB1257),ROUND(AB1257-(AB1257*0.015+0.2)-V1257,2),"")</x:f>
      </x:c>
      <x:c r="AD1257" s="36" t="str">
        <x:f>IF(ISNUMBER(Y1257),ROUND(Y1257*0.8,2),"")</x:f>
      </x:c>
      <x:c r="AE1257" s="36" t="str">
        <x:f>IF(ISNUMBER(AD1257),ROUND(AD1257*0.015+0.2,2),"")</x:f>
      </x:c>
      <x:c r="AF1257" s="36" t="str">
        <x:f>IF(ISNUMBER(AD1257),ROUND(AD1257-AE1257-V1257,2),"")</x:f>
      </x:c>
      <x:c r="AG1257" t="str">
        <x:f>IF(NOT(ISNUMBER(T1257)),"PENDING",IF(AF1257&gt;0,"PASS","FAIL"))</x:f>
        <x:v>PENDING</x:v>
      </x:c>
      <x:c r="AH1257" t="str">
        <x:f>IF(NOT(ISNUMBER(T1257)),"Needs supplier cost",IF(K1257&lt;&gt;"In stock","Supplier unavailable",IF(AG1257&lt;&gt;"PASS","BLOCK - GT loss risk","Commercially protected")))</x:f>
        <x:v>Needs supplier cost</x:v>
      </x:c>
      <x:c r="AI1257" t="str">
        <x:v>2026-09-10 Active Sports trade capture</x:v>
      </x:c>
      <x:c r="AJ1257" t="str">
        <x:v>Management-only economics. Stripe stress test uses 1.5% + £0.20 standard UK online-card fee; pallet/mix-and-match pricing ignored.</x:v>
      </x:c>
    </x:row>
    <x:row r="1258">
      <x:c r="A1258" t="str">
        <x:v>Active Sports Nutrition</x:v>
      </x:c>
      <x:c r="B1258" t="str">
        <x:v>Grenade - Carb Killa Bars</x:v>
      </x:c>
      <x:c r="C1258" t="str">
        <x:v>Carb Killa Protein Bars</x:v>
      </x:c>
      <x:c r="D1258" t="str">
        <x:v>Drinks and Bars</x:v>
      </x:c>
      <x:c r="E1258" t="str">
        <x:v>Bars and Snacks</x:v>
      </x:c>
      <x:c r="F1258" t="str">
        <x:v>Low-carb high-protein bars.</x:v>
      </x:c>
      <x:c r="G1258" t="str">
        <x:v>12 bars</x:v>
      </x:c>
      <x:c r="H1258" t="str">
        <x:v>Jaffa Quake</x:v>
      </x:c>
      <x:c r="I1258" t="str">
        <x:v>12</x:v>
      </x:c>
      <x:c r="J1258" t="str">
        <x:v>Case</x:v>
      </x:c>
      <x:c r="K1258" t="str">
        <x:v>In stock</x:v>
      </x:c>
      <x:c r="L1258" t="str">
        <x:v>2026-09-08</x:v>
      </x:c>
      <x:c r="M1258" t="str"/>
      <x:c r="N1258" t="str"/>
      <x:c r="O1258" t="str">
        <x:v>https://www.activesportstrade.co.uk/trade-convienience</x:v>
      </x:c>
      <x:c r="P1258" t="str">
        <x:v>SPECIAL OFFER wording removed. Case-only member order.</x:v>
      </x:c>
      <x:c r="Q1258" t="str"/>
      <x:c r="R1258" t="str"/>
      <x:c r="S1258" t="str">
        <x:v>Pending genuine supplier/brand image</x:v>
      </x:c>
      <x:c r="T1258" s="54"/>
      <x:c r="U1258" s="47" t="n">
        <x:v>0.2</x:v>
      </x:c>
      <x:c r="V1258" s="54" t="str">
        <x:f>IF(ISNUMBER(T1258),T1258*(1+U1258),"")</x:f>
      </x:c>
      <x:c r="W1258" s="47" t="n">
        <x:v>0.3</x:v>
      </x:c>
      <x:c r="X1258" s="54" t="str">
        <x:f>IF(ISNUMBER(V1258),V1258/(1-W1258),"")</x:f>
      </x:c>
      <x:c r="Y1258" s="55" t="str">
        <x:f>IF(ISNUMBER(X1258),ROUNDUP(X1258,0),"")</x:f>
      </x:c>
      <x:c r="Z1258" t="str">
        <x:f>IF(ISNUMBER(T1258),"Cost captured","Awaiting trade cost")</x:f>
        <x:v>Awaiting trade cost</x:v>
      </x:c>
      <x:c r="AB1258" s="36" t="str">
        <x:f>IF(ISNUMBER(Y1258),ROUND(Y1258*0.9,2),"")</x:f>
      </x:c>
      <x:c r="AC1258" s="36" t="str">
        <x:f>IF(ISNUMBER(AB1258),ROUND(AB1258-(AB1258*0.015+0.2)-V1258,2),"")</x:f>
      </x:c>
      <x:c r="AD1258" s="36" t="str">
        <x:f>IF(ISNUMBER(Y1258),ROUND(Y1258*0.8,2),"")</x:f>
      </x:c>
      <x:c r="AE1258" s="36" t="str">
        <x:f>IF(ISNUMBER(AD1258),ROUND(AD1258*0.015+0.2,2),"")</x:f>
      </x:c>
      <x:c r="AF1258" s="36" t="str">
        <x:f>IF(ISNUMBER(AD1258),ROUND(AD1258-AE1258-V1258,2),"")</x:f>
      </x:c>
      <x:c r="AG1258" t="str">
        <x:f>IF(NOT(ISNUMBER(T1258)),"PENDING",IF(AF1258&gt;0,"PASS","FAIL"))</x:f>
        <x:v>PENDING</x:v>
      </x:c>
      <x:c r="AH1258" t="str">
        <x:f>IF(NOT(ISNUMBER(T1258)),"Needs supplier cost",IF(K1258&lt;&gt;"In stock","Supplier unavailable",IF(AG1258&lt;&gt;"PASS","BLOCK - GT loss risk","Commercially protected")))</x:f>
        <x:v>Needs supplier cost</x:v>
      </x:c>
      <x:c r="AI1258" t="str">
        <x:v>2026-09-10 Active Sports trade capture</x:v>
      </x:c>
      <x:c r="AJ1258" t="str">
        <x:v>Management-only economics. Stripe stress test uses 1.5% + £0.20 standard UK online-card fee; pallet/mix-and-match pricing ignored.</x:v>
      </x:c>
    </x:row>
    <x:row r="1259">
      <x:c r="A1259" t="str">
        <x:v>Active Sports Nutrition</x:v>
      </x:c>
      <x:c r="B1259" t="str">
        <x:v>Grenade - Carb Killa Bars</x:v>
      </x:c>
      <x:c r="C1259" t="str">
        <x:v>Carb Killa Protein Bars</x:v>
      </x:c>
      <x:c r="D1259" t="str">
        <x:v>Drinks and Bars</x:v>
      </x:c>
      <x:c r="E1259" t="str">
        <x:v>Bars and Snacks</x:v>
      </x:c>
      <x:c r="F1259" t="str">
        <x:v>Low-carb high-protein bars.</x:v>
      </x:c>
      <x:c r="G1259" t="str">
        <x:v>12 bars</x:v>
      </x:c>
      <x:c r="H1259" t="str">
        <x:v>Lemon Cheesecake</x:v>
      </x:c>
      <x:c r="I1259" t="str">
        <x:v>12</x:v>
      </x:c>
      <x:c r="J1259" t="str">
        <x:v>Case</x:v>
      </x:c>
      <x:c r="K1259" t="str">
        <x:v>In stock</x:v>
      </x:c>
      <x:c r="L1259" t="str">
        <x:v>2026-09-08</x:v>
      </x:c>
      <x:c r="M1259" t="str"/>
      <x:c r="N1259" t="str"/>
      <x:c r="O1259" t="str">
        <x:v>https://www.activesportstrade.co.uk/trade-convienience</x:v>
      </x:c>
      <x:c r="P1259" t="str">
        <x:v>SPECIAL OFFER wording removed. Case-only member order.</x:v>
      </x:c>
      <x:c r="Q1259" t="str"/>
      <x:c r="R1259" t="str"/>
      <x:c r="S1259" t="str">
        <x:v>Pending genuine supplier/brand image</x:v>
      </x:c>
      <x:c r="T1259" s="54"/>
      <x:c r="U1259" s="47" t="n">
        <x:v>0.2</x:v>
      </x:c>
      <x:c r="V1259" s="54" t="str">
        <x:f>IF(ISNUMBER(T1259),T1259*(1+U1259),"")</x:f>
      </x:c>
      <x:c r="W1259" s="47" t="n">
        <x:v>0.3</x:v>
      </x:c>
      <x:c r="X1259" s="54" t="str">
        <x:f>IF(ISNUMBER(V1259),V1259/(1-W1259),"")</x:f>
      </x:c>
      <x:c r="Y1259" s="55" t="str">
        <x:f>IF(ISNUMBER(X1259),ROUNDUP(X1259,0),"")</x:f>
      </x:c>
      <x:c r="Z1259" t="str">
        <x:f>IF(ISNUMBER(T1259),"Cost captured","Awaiting trade cost")</x:f>
        <x:v>Awaiting trade cost</x:v>
      </x:c>
      <x:c r="AB1259" s="36" t="str">
        <x:f>IF(ISNUMBER(Y1259),ROUND(Y1259*0.9,2),"")</x:f>
      </x:c>
      <x:c r="AC1259" s="36" t="str">
        <x:f>IF(ISNUMBER(AB1259),ROUND(AB1259-(AB1259*0.015+0.2)-V1259,2),"")</x:f>
      </x:c>
      <x:c r="AD1259" s="36" t="str">
        <x:f>IF(ISNUMBER(Y1259),ROUND(Y1259*0.8,2),"")</x:f>
      </x:c>
      <x:c r="AE1259" s="36" t="str">
        <x:f>IF(ISNUMBER(AD1259),ROUND(AD1259*0.015+0.2,2),"")</x:f>
      </x:c>
      <x:c r="AF1259" s="36" t="str">
        <x:f>IF(ISNUMBER(AD1259),ROUND(AD1259-AE1259-V1259,2),"")</x:f>
      </x:c>
      <x:c r="AG1259" t="str">
        <x:f>IF(NOT(ISNUMBER(T1259)),"PENDING",IF(AF1259&gt;0,"PASS","FAIL"))</x:f>
        <x:v>PENDING</x:v>
      </x:c>
      <x:c r="AH1259" t="str">
        <x:f>IF(NOT(ISNUMBER(T1259)),"Needs supplier cost",IF(K1259&lt;&gt;"In stock","Supplier unavailable",IF(AG1259&lt;&gt;"PASS","BLOCK - GT loss risk","Commercially protected")))</x:f>
        <x:v>Needs supplier cost</x:v>
      </x:c>
      <x:c r="AI1259" t="str">
        <x:v>2026-09-10 Active Sports trade capture</x:v>
      </x:c>
      <x:c r="AJ1259" t="str">
        <x:v>Management-only economics. Stripe stress test uses 1.5% + £0.20 standard UK online-card fee; pallet/mix-and-match pricing ignored.</x:v>
      </x:c>
    </x:row>
    <x:row r="1260">
      <x:c r="A1260" t="str">
        <x:v>Active Sports Nutrition</x:v>
      </x:c>
      <x:c r="B1260" t="str">
        <x:v>Grenade - Carb Killa Bars</x:v>
      </x:c>
      <x:c r="C1260" t="str">
        <x:v>Carb Killa Protein Bars</x:v>
      </x:c>
      <x:c r="D1260" t="str">
        <x:v>Drinks and Bars</x:v>
      </x:c>
      <x:c r="E1260" t="str">
        <x:v>Bars and Snacks</x:v>
      </x:c>
      <x:c r="F1260" t="str">
        <x:v>Low-carb high-protein bars.</x:v>
      </x:c>
      <x:c r="G1260" t="str">
        <x:v>12 bars</x:v>
      </x:c>
      <x:c r="H1260" t="str">
        <x:v>Oreo</x:v>
      </x:c>
      <x:c r="I1260" t="str">
        <x:v>12</x:v>
      </x:c>
      <x:c r="J1260" t="str">
        <x:v>Case</x:v>
      </x:c>
      <x:c r="K1260" t="str">
        <x:v>In stock</x:v>
      </x:c>
      <x:c r="L1260" t="str">
        <x:v>2026-09-08</x:v>
      </x:c>
      <x:c r="M1260" t="str"/>
      <x:c r="N1260" t="str"/>
      <x:c r="O1260" t="str">
        <x:v>https://www.activesportstrade.co.uk/trade-convienience</x:v>
      </x:c>
      <x:c r="P1260" t="str">
        <x:v>SPECIAL OFFER wording removed. Case-only member order.</x:v>
      </x:c>
      <x:c r="Q1260" t="str"/>
      <x:c r="R1260" t="str"/>
      <x:c r="S1260" t="str">
        <x:v>Pending genuine supplier/brand image</x:v>
      </x:c>
      <x:c r="T1260" s="54"/>
      <x:c r="U1260" s="47" t="n">
        <x:v>0.2</x:v>
      </x:c>
      <x:c r="V1260" s="54" t="str">
        <x:f>IF(ISNUMBER(T1260),T1260*(1+U1260),"")</x:f>
      </x:c>
      <x:c r="W1260" s="47" t="n">
        <x:v>0.3</x:v>
      </x:c>
      <x:c r="X1260" s="54" t="str">
        <x:f>IF(ISNUMBER(V1260),V1260/(1-W1260),"")</x:f>
      </x:c>
      <x:c r="Y1260" s="55" t="str">
        <x:f>IF(ISNUMBER(X1260),ROUNDUP(X1260,0),"")</x:f>
      </x:c>
      <x:c r="Z1260" t="str">
        <x:f>IF(ISNUMBER(T1260),"Cost captured","Awaiting trade cost")</x:f>
        <x:v>Awaiting trade cost</x:v>
      </x:c>
      <x:c r="AB1260" s="36" t="str">
        <x:f>IF(ISNUMBER(Y1260),ROUND(Y1260*0.9,2),"")</x:f>
      </x:c>
      <x:c r="AC1260" s="36" t="str">
        <x:f>IF(ISNUMBER(AB1260),ROUND(AB1260-(AB1260*0.015+0.2)-V1260,2),"")</x:f>
      </x:c>
      <x:c r="AD1260" s="36" t="str">
        <x:f>IF(ISNUMBER(Y1260),ROUND(Y1260*0.8,2),"")</x:f>
      </x:c>
      <x:c r="AE1260" s="36" t="str">
        <x:f>IF(ISNUMBER(AD1260),ROUND(AD1260*0.015+0.2,2),"")</x:f>
      </x:c>
      <x:c r="AF1260" s="36" t="str">
        <x:f>IF(ISNUMBER(AD1260),ROUND(AD1260-AE1260-V1260,2),"")</x:f>
      </x:c>
      <x:c r="AG1260" t="str">
        <x:f>IF(NOT(ISNUMBER(T1260)),"PENDING",IF(AF1260&gt;0,"PASS","FAIL"))</x:f>
        <x:v>PENDING</x:v>
      </x:c>
      <x:c r="AH1260" t="str">
        <x:f>IF(NOT(ISNUMBER(T1260)),"Needs supplier cost",IF(K1260&lt;&gt;"In stock","Supplier unavailable",IF(AG1260&lt;&gt;"PASS","BLOCK - GT loss risk","Commercially protected")))</x:f>
        <x:v>Needs supplier cost</x:v>
      </x:c>
      <x:c r="AI1260" t="str">
        <x:v>2026-09-10 Active Sports trade capture</x:v>
      </x:c>
      <x:c r="AJ1260" t="str">
        <x:v>Management-only economics. Stripe stress test uses 1.5% + £0.20 standard UK online-card fee; pallet/mix-and-match pricing ignored.</x:v>
      </x:c>
    </x:row>
    <x:row r="1261">
      <x:c r="A1261" t="str">
        <x:v>Active Sports Nutrition</x:v>
      </x:c>
      <x:c r="B1261" t="str">
        <x:v>Grenade - Carb Killa Bars</x:v>
      </x:c>
      <x:c r="C1261" t="str">
        <x:v>Carb Killa Protein Bars</x:v>
      </x:c>
      <x:c r="D1261" t="str">
        <x:v>Drinks and Bars</x:v>
      </x:c>
      <x:c r="E1261" t="str">
        <x:v>Bars and Snacks</x:v>
      </x:c>
      <x:c r="F1261" t="str">
        <x:v>Low-carb high-protein bars.</x:v>
      </x:c>
      <x:c r="G1261" t="str">
        <x:v>12 bars</x:v>
      </x:c>
      <x:c r="H1261" t="str">
        <x:v>Oreo White</x:v>
      </x:c>
      <x:c r="I1261" t="str">
        <x:v>12</x:v>
      </x:c>
      <x:c r="J1261" t="str">
        <x:v>Case</x:v>
      </x:c>
      <x:c r="K1261" t="str">
        <x:v>In stock</x:v>
      </x:c>
      <x:c r="L1261" t="str">
        <x:v>2026-09-08</x:v>
      </x:c>
      <x:c r="M1261" t="str"/>
      <x:c r="N1261" t="str"/>
      <x:c r="O1261" t="str">
        <x:v>https://www.activesportstrade.co.uk/trade-convienience</x:v>
      </x:c>
      <x:c r="P1261" t="str">
        <x:v>SPECIAL OFFER wording removed. Case-only member order.</x:v>
      </x:c>
      <x:c r="Q1261" t="str"/>
      <x:c r="R1261" t="str"/>
      <x:c r="S1261" t="str">
        <x:v>Pending genuine supplier/brand image</x:v>
      </x:c>
      <x:c r="T1261" s="54"/>
      <x:c r="U1261" s="47" t="n">
        <x:v>0.2</x:v>
      </x:c>
      <x:c r="V1261" s="54" t="str">
        <x:f>IF(ISNUMBER(T1261),T1261*(1+U1261),"")</x:f>
      </x:c>
      <x:c r="W1261" s="47" t="n">
        <x:v>0.3</x:v>
      </x:c>
      <x:c r="X1261" s="54" t="str">
        <x:f>IF(ISNUMBER(V1261),V1261/(1-W1261),"")</x:f>
      </x:c>
      <x:c r="Y1261" s="55" t="str">
        <x:f>IF(ISNUMBER(X1261),ROUNDUP(X1261,0),"")</x:f>
      </x:c>
      <x:c r="Z1261" t="str">
        <x:f>IF(ISNUMBER(T1261),"Cost captured","Awaiting trade cost")</x:f>
        <x:v>Awaiting trade cost</x:v>
      </x:c>
      <x:c r="AB1261" s="36" t="str">
        <x:f>IF(ISNUMBER(Y1261),ROUND(Y1261*0.9,2),"")</x:f>
      </x:c>
      <x:c r="AC1261" s="36" t="str">
        <x:f>IF(ISNUMBER(AB1261),ROUND(AB1261-(AB1261*0.015+0.2)-V1261,2),"")</x:f>
      </x:c>
      <x:c r="AD1261" s="36" t="str">
        <x:f>IF(ISNUMBER(Y1261),ROUND(Y1261*0.8,2),"")</x:f>
      </x:c>
      <x:c r="AE1261" s="36" t="str">
        <x:f>IF(ISNUMBER(AD1261),ROUND(AD1261*0.015+0.2,2),"")</x:f>
      </x:c>
      <x:c r="AF1261" s="36" t="str">
        <x:f>IF(ISNUMBER(AD1261),ROUND(AD1261-AE1261-V1261,2),"")</x:f>
      </x:c>
      <x:c r="AG1261" t="str">
        <x:f>IF(NOT(ISNUMBER(T1261)),"PENDING",IF(AF1261&gt;0,"PASS","FAIL"))</x:f>
        <x:v>PENDING</x:v>
      </x:c>
      <x:c r="AH1261" t="str">
        <x:f>IF(NOT(ISNUMBER(T1261)),"Needs supplier cost",IF(K1261&lt;&gt;"In stock","Supplier unavailable",IF(AG1261&lt;&gt;"PASS","BLOCK - GT loss risk","Commercially protected")))</x:f>
        <x:v>Needs supplier cost</x:v>
      </x:c>
      <x:c r="AI1261" t="str">
        <x:v>2026-09-10 Active Sports trade capture</x:v>
      </x:c>
      <x:c r="AJ1261" t="str">
        <x:v>Management-only economics. Stripe stress test uses 1.5% + £0.20 standard UK online-card fee; pallet/mix-and-match pricing ignored.</x:v>
      </x:c>
    </x:row>
    <x:row r="1262">
      <x:c r="A1262" t="str">
        <x:v>Active Sports Nutrition</x:v>
      </x:c>
      <x:c r="B1262" t="str">
        <x:v>Grenade - Carb Killa Bars</x:v>
      </x:c>
      <x:c r="C1262" t="str">
        <x:v>Carb Killa Protein Bars</x:v>
      </x:c>
      <x:c r="D1262" t="str">
        <x:v>Drinks and Bars</x:v>
      </x:c>
      <x:c r="E1262" t="str">
        <x:v>Bars and Snacks</x:v>
      </x:c>
      <x:c r="F1262" t="str">
        <x:v>Low-carb high-protein bars.</x:v>
      </x:c>
      <x:c r="G1262" t="str">
        <x:v>12 bars</x:v>
      </x:c>
      <x:c r="H1262" t="str">
        <x:v>Peanut Nutter</x:v>
      </x:c>
      <x:c r="I1262" t="str">
        <x:v>12</x:v>
      </x:c>
      <x:c r="J1262" t="str">
        <x:v>Case</x:v>
      </x:c>
      <x:c r="K1262" t="str">
        <x:v>In stock</x:v>
      </x:c>
      <x:c r="L1262" t="str">
        <x:v>2026-09-08</x:v>
      </x:c>
      <x:c r="M1262" t="str"/>
      <x:c r="N1262" t="str"/>
      <x:c r="O1262" t="str">
        <x:v>https://www.activesportstrade.co.uk/trade-convienience</x:v>
      </x:c>
      <x:c r="P1262" t="str">
        <x:v>SPECIAL OFFER wording removed. Case-only member order.</x:v>
      </x:c>
      <x:c r="Q1262" t="str"/>
      <x:c r="R1262" t="str"/>
      <x:c r="S1262" t="str">
        <x:v>Pending genuine supplier/brand image</x:v>
      </x:c>
      <x:c r="T1262" s="54"/>
      <x:c r="U1262" s="47" t="n">
        <x:v>0.2</x:v>
      </x:c>
      <x:c r="V1262" s="54" t="str">
        <x:f>IF(ISNUMBER(T1262),T1262*(1+U1262),"")</x:f>
      </x:c>
      <x:c r="W1262" s="47" t="n">
        <x:v>0.3</x:v>
      </x:c>
      <x:c r="X1262" s="54" t="str">
        <x:f>IF(ISNUMBER(V1262),V1262/(1-W1262),"")</x:f>
      </x:c>
      <x:c r="Y1262" s="55" t="str">
        <x:f>IF(ISNUMBER(X1262),ROUNDUP(X1262,0),"")</x:f>
      </x:c>
      <x:c r="Z1262" t="str">
        <x:f>IF(ISNUMBER(T1262),"Cost captured","Awaiting trade cost")</x:f>
        <x:v>Awaiting trade cost</x:v>
      </x:c>
      <x:c r="AB1262" s="36" t="str">
        <x:f>IF(ISNUMBER(Y1262),ROUND(Y1262*0.9,2),"")</x:f>
      </x:c>
      <x:c r="AC1262" s="36" t="str">
        <x:f>IF(ISNUMBER(AB1262),ROUND(AB1262-(AB1262*0.015+0.2)-V1262,2),"")</x:f>
      </x:c>
      <x:c r="AD1262" s="36" t="str">
        <x:f>IF(ISNUMBER(Y1262),ROUND(Y1262*0.8,2),"")</x:f>
      </x:c>
      <x:c r="AE1262" s="36" t="str">
        <x:f>IF(ISNUMBER(AD1262),ROUND(AD1262*0.015+0.2,2),"")</x:f>
      </x:c>
      <x:c r="AF1262" s="36" t="str">
        <x:f>IF(ISNUMBER(AD1262),ROUND(AD1262-AE1262-V1262,2),"")</x:f>
      </x:c>
      <x:c r="AG1262" t="str">
        <x:f>IF(NOT(ISNUMBER(T1262)),"PENDING",IF(AF1262&gt;0,"PASS","FAIL"))</x:f>
        <x:v>PENDING</x:v>
      </x:c>
      <x:c r="AH1262" t="str">
        <x:f>IF(NOT(ISNUMBER(T1262)),"Needs supplier cost",IF(K1262&lt;&gt;"In stock","Supplier unavailable",IF(AG1262&lt;&gt;"PASS","BLOCK - GT loss risk","Commercially protected")))</x:f>
        <x:v>Needs supplier cost</x:v>
      </x:c>
      <x:c r="AI1262" t="str">
        <x:v>2026-09-10 Active Sports trade capture</x:v>
      </x:c>
      <x:c r="AJ1262" t="str">
        <x:v>Management-only economics. Stripe stress test uses 1.5% + £0.20 standard UK online-card fee; pallet/mix-and-match pricing ignored.</x:v>
      </x:c>
    </x:row>
    <x:row r="1263">
      <x:c r="A1263" t="str">
        <x:v>Active Sports Nutrition</x:v>
      </x:c>
      <x:c r="B1263" t="str">
        <x:v>Grenade - Carb Killa Bars</x:v>
      </x:c>
      <x:c r="C1263" t="str">
        <x:v>Carb Killa Protein Bars</x:v>
      </x:c>
      <x:c r="D1263" t="str">
        <x:v>Drinks and Bars</x:v>
      </x:c>
      <x:c r="E1263" t="str">
        <x:v>Bars and Snacks</x:v>
      </x:c>
      <x:c r="F1263" t="str">
        <x:v>Low-carb high-protein bars.</x:v>
      </x:c>
      <x:c r="G1263" t="str">
        <x:v>12 bars</x:v>
      </x:c>
      <x:c r="H1263" t="str">
        <x:v>White Chocolate Cookie</x:v>
      </x:c>
      <x:c r="I1263" t="str">
        <x:v>12</x:v>
      </x:c>
      <x:c r="J1263" t="str">
        <x:v>Case</x:v>
      </x:c>
      <x:c r="K1263" t="str">
        <x:v>In stock</x:v>
      </x:c>
      <x:c r="L1263" t="str">
        <x:v>2026-09-08</x:v>
      </x:c>
      <x:c r="M1263" t="str"/>
      <x:c r="N1263" t="str"/>
      <x:c r="O1263" t="str">
        <x:v>https://www.activesportstrade.co.uk/trade-convienience</x:v>
      </x:c>
      <x:c r="P1263" t="str">
        <x:v>SPECIAL OFFER wording removed. Case-only member order.</x:v>
      </x:c>
      <x:c r="Q1263" t="str"/>
      <x:c r="R1263" t="str"/>
      <x:c r="S1263" t="str">
        <x:v>Pending genuine supplier/brand image</x:v>
      </x:c>
      <x:c r="T1263" s="54"/>
      <x:c r="U1263" s="47" t="n">
        <x:v>0.2</x:v>
      </x:c>
      <x:c r="V1263" s="54" t="str">
        <x:f>IF(ISNUMBER(T1263),T1263*(1+U1263),"")</x:f>
      </x:c>
      <x:c r="W1263" s="47" t="n">
        <x:v>0.3</x:v>
      </x:c>
      <x:c r="X1263" s="54" t="str">
        <x:f>IF(ISNUMBER(V1263),V1263/(1-W1263),"")</x:f>
      </x:c>
      <x:c r="Y1263" s="55" t="str">
        <x:f>IF(ISNUMBER(X1263),ROUNDUP(X1263,0),"")</x:f>
      </x:c>
      <x:c r="Z1263" t="str">
        <x:f>IF(ISNUMBER(T1263),"Cost captured","Awaiting trade cost")</x:f>
        <x:v>Awaiting trade cost</x:v>
      </x:c>
      <x:c r="AB1263" s="36" t="str">
        <x:f>IF(ISNUMBER(Y1263),ROUND(Y1263*0.9,2),"")</x:f>
      </x:c>
      <x:c r="AC1263" s="36" t="str">
        <x:f>IF(ISNUMBER(AB1263),ROUND(AB1263-(AB1263*0.015+0.2)-V1263,2),"")</x:f>
      </x:c>
      <x:c r="AD1263" s="36" t="str">
        <x:f>IF(ISNUMBER(Y1263),ROUND(Y1263*0.8,2),"")</x:f>
      </x:c>
      <x:c r="AE1263" s="36" t="str">
        <x:f>IF(ISNUMBER(AD1263),ROUND(AD1263*0.015+0.2,2),"")</x:f>
      </x:c>
      <x:c r="AF1263" s="36" t="str">
        <x:f>IF(ISNUMBER(AD1263),ROUND(AD1263-AE1263-V1263,2),"")</x:f>
      </x:c>
      <x:c r="AG1263" t="str">
        <x:f>IF(NOT(ISNUMBER(T1263)),"PENDING",IF(AF1263&gt;0,"PASS","FAIL"))</x:f>
        <x:v>PENDING</x:v>
      </x:c>
      <x:c r="AH1263" t="str">
        <x:f>IF(NOT(ISNUMBER(T1263)),"Needs supplier cost",IF(K1263&lt;&gt;"In stock","Supplier unavailable",IF(AG1263&lt;&gt;"PASS","BLOCK - GT loss risk","Commercially protected")))</x:f>
        <x:v>Needs supplier cost</x:v>
      </x:c>
      <x:c r="AI1263" t="str">
        <x:v>2026-09-10 Active Sports trade capture</x:v>
      </x:c>
      <x:c r="AJ1263" t="str">
        <x:v>Management-only economics. Stripe stress test uses 1.5% + £0.20 standard UK online-card fee; pallet/mix-and-match pricing ignored.</x:v>
      </x:c>
    </x:row>
    <x:row r="1264">
      <x:c r="A1264" t="str">
        <x:v>Active Sports Nutrition</x:v>
      </x:c>
      <x:c r="B1264" t="str">
        <x:v>Grenade - Carb Killa Bars</x:v>
      </x:c>
      <x:c r="C1264" t="str">
        <x:v>Carb Killa Protein Bars</x:v>
      </x:c>
      <x:c r="D1264" t="str">
        <x:v>Drinks and Bars</x:v>
      </x:c>
      <x:c r="E1264" t="str">
        <x:v>Bars and Snacks</x:v>
      </x:c>
      <x:c r="F1264" t="str">
        <x:v>Low-carb high-protein bars.</x:v>
      </x:c>
      <x:c r="G1264" t="str">
        <x:v>12 bars</x:v>
      </x:c>
      <x:c r="H1264" t="str">
        <x:v>White Chocolate Salted Peanut</x:v>
      </x:c>
      <x:c r="I1264" t="str">
        <x:v>12</x:v>
      </x:c>
      <x:c r="J1264" t="str">
        <x:v>Case</x:v>
      </x:c>
      <x:c r="K1264" t="str">
        <x:v>Out of stock</x:v>
      </x:c>
      <x:c r="L1264" t="str">
        <x:v>2026-09-08</x:v>
      </x:c>
      <x:c r="M1264" t="str"/>
      <x:c r="N1264" t="str"/>
      <x:c r="O1264" t="str">
        <x:v>https://www.activesportstrade.co.uk/trade-convienience</x:v>
      </x:c>
      <x:c r="P1264" t="str">
        <x:v>SPECIAL OFFER wording removed. Case-only member order.</x:v>
      </x:c>
      <x:c r="Q1264" t="str"/>
      <x:c r="R1264" t="str"/>
      <x:c r="S1264" t="str">
        <x:v>Pending genuine supplier/brand image</x:v>
      </x:c>
      <x:c r="T1264" s="54"/>
      <x:c r="U1264" s="47" t="n">
        <x:v>0.2</x:v>
      </x:c>
      <x:c r="V1264" s="54" t="str">
        <x:f>IF(ISNUMBER(T1264),T1264*(1+U1264),"")</x:f>
      </x:c>
      <x:c r="W1264" s="47" t="n">
        <x:v>0.3</x:v>
      </x:c>
      <x:c r="X1264" s="54" t="str">
        <x:f>IF(ISNUMBER(V1264),V1264/(1-W1264),"")</x:f>
      </x:c>
      <x:c r="Y1264" s="55" t="str">
        <x:f>IF(ISNUMBER(X1264),ROUNDUP(X1264,0),"")</x:f>
      </x:c>
      <x:c r="Z1264" t="str">
        <x:f>IF(ISNUMBER(T1264),"Cost captured","Awaiting trade cost")</x:f>
        <x:v>Awaiting trade cost</x:v>
      </x:c>
      <x:c r="AB1264" s="36" t="str">
        <x:f>IF(ISNUMBER(Y1264),ROUND(Y1264*0.9,2),"")</x:f>
      </x:c>
      <x:c r="AC1264" s="36" t="str">
        <x:f>IF(ISNUMBER(AB1264),ROUND(AB1264-(AB1264*0.015+0.2)-V1264,2),"")</x:f>
      </x:c>
      <x:c r="AD1264" s="36" t="str">
        <x:f>IF(ISNUMBER(Y1264),ROUND(Y1264*0.8,2),"")</x:f>
      </x:c>
      <x:c r="AE1264" s="36" t="str">
        <x:f>IF(ISNUMBER(AD1264),ROUND(AD1264*0.015+0.2,2),"")</x:f>
      </x:c>
      <x:c r="AF1264" s="36" t="str">
        <x:f>IF(ISNUMBER(AD1264),ROUND(AD1264-AE1264-V1264,2),"")</x:f>
      </x:c>
      <x:c r="AG1264" t="str">
        <x:f>IF(NOT(ISNUMBER(T1264)),"PENDING",IF(AF1264&gt;0,"PASS","FAIL"))</x:f>
        <x:v>PENDING</x:v>
      </x:c>
      <x:c r="AH1264" t="str">
        <x:f>IF(NOT(ISNUMBER(T1264)),"Needs supplier cost",IF(K1264&lt;&gt;"In stock","Supplier unavailable",IF(AG1264&lt;&gt;"PASS","BLOCK - GT loss risk","Commercially protected")))</x:f>
        <x:v>Needs supplier cost</x:v>
      </x:c>
      <x:c r="AI1264" t="str">
        <x:v>2026-09-10 Active Sports trade capture</x:v>
      </x:c>
      <x:c r="AJ1264" t="str">
        <x:v>Management-only economics. Stripe stress test uses 1.5% + £0.20 standard UK online-card fee; pallet/mix-and-match pricing ignored.</x:v>
      </x:c>
    </x:row>
    <x:row r="1265">
      <x:c r="A1265" t="str">
        <x:v>Active Sports Nutrition</x:v>
      </x:c>
      <x:c r="B1265" t="str">
        <x:v>Grenade - Carb Killa Bars</x:v>
      </x:c>
      <x:c r="C1265" t="str">
        <x:v>Soft Core Protein Bar</x:v>
      </x:c>
      <x:c r="D1265" t="str">
        <x:v>Drinks and Bars</x:v>
      </x:c>
      <x:c r="E1265" t="str">
        <x:v>Bars and Snacks</x:v>
      </x:c>
      <x:c r="F1265" t="str">
        <x:v>Soft-centre protein bars.</x:v>
      </x:c>
      <x:c r="G1265" t="str">
        <x:v>12 x 50g bars</x:v>
      </x:c>
      <x:c r="H1265" t="str">
        <x:v>Chocolate Peanut Butter</x:v>
      </x:c>
      <x:c r="I1265" t="str">
        <x:v>12</x:v>
      </x:c>
      <x:c r="J1265" t="str">
        <x:v>Case</x:v>
      </x:c>
      <x:c r="K1265" t="str">
        <x:v>In stock</x:v>
      </x:c>
      <x:c r="L1265" t="str">
        <x:v>2026-09-08</x:v>
      </x:c>
      <x:c r="M1265" t="str"/>
      <x:c r="N1265" t="str"/>
      <x:c r="O1265" t="str">
        <x:v>https://www.activesportstrade.co.uk/trade-convienience</x:v>
      </x:c>
      <x:c r="P1265" t="str">
        <x:v>NEW / LAUNCH PRICE wording removed. Case-only member order.</x:v>
      </x:c>
      <x:c r="Q1265" t="str"/>
      <x:c r="R1265" t="str"/>
      <x:c r="S1265" t="str">
        <x:v>Pending genuine supplier/brand image</x:v>
      </x:c>
      <x:c r="T1265" s="54"/>
      <x:c r="U1265" s="47" t="n">
        <x:v>0.2</x:v>
      </x:c>
      <x:c r="V1265" s="54" t="str">
        <x:f>IF(ISNUMBER(T1265),T1265*(1+U1265),"")</x:f>
      </x:c>
      <x:c r="W1265" s="47" t="n">
        <x:v>0.3</x:v>
      </x:c>
      <x:c r="X1265" s="54" t="str">
        <x:f>IF(ISNUMBER(V1265),V1265/(1-W1265),"")</x:f>
      </x:c>
      <x:c r="Y1265" s="55" t="str">
        <x:f>IF(ISNUMBER(X1265),ROUNDUP(X1265,0),"")</x:f>
      </x:c>
      <x:c r="Z1265" t="str">
        <x:f>IF(ISNUMBER(T1265),"Cost captured","Awaiting trade cost")</x:f>
        <x:v>Awaiting trade cost</x:v>
      </x:c>
      <x:c r="AB1265" s="36" t="str">
        <x:f>IF(ISNUMBER(Y1265),ROUND(Y1265*0.9,2),"")</x:f>
      </x:c>
      <x:c r="AC1265" s="36" t="str">
        <x:f>IF(ISNUMBER(AB1265),ROUND(AB1265-(AB1265*0.015+0.2)-V1265,2),"")</x:f>
      </x:c>
      <x:c r="AD1265" s="36" t="str">
        <x:f>IF(ISNUMBER(Y1265),ROUND(Y1265*0.8,2),"")</x:f>
      </x:c>
      <x:c r="AE1265" s="36" t="str">
        <x:f>IF(ISNUMBER(AD1265),ROUND(AD1265*0.015+0.2,2),"")</x:f>
      </x:c>
      <x:c r="AF1265" s="36" t="str">
        <x:f>IF(ISNUMBER(AD1265),ROUND(AD1265-AE1265-V1265,2),"")</x:f>
      </x:c>
      <x:c r="AG1265" t="str">
        <x:f>IF(NOT(ISNUMBER(T1265)),"PENDING",IF(AF1265&gt;0,"PASS","FAIL"))</x:f>
        <x:v>PENDING</x:v>
      </x:c>
      <x:c r="AH1265" t="str">
        <x:f>IF(NOT(ISNUMBER(T1265)),"Needs supplier cost",IF(K1265&lt;&gt;"In stock","Supplier unavailable",IF(AG1265&lt;&gt;"PASS","BLOCK - GT loss risk","Commercially protected")))</x:f>
        <x:v>Needs supplier cost</x:v>
      </x:c>
      <x:c r="AI1265" t="str">
        <x:v>2026-09-10 Active Sports trade capture</x:v>
      </x:c>
      <x:c r="AJ1265" t="str">
        <x:v>Management-only economics. Stripe stress test uses 1.5% + £0.20 standard UK online-card fee; pallet/mix-and-match pricing ignored.</x:v>
      </x:c>
    </x:row>
    <x:row r="1266">
      <x:c r="A1266" t="str">
        <x:v>Active Sports Nutrition</x:v>
      </x:c>
      <x:c r="B1266" t="str">
        <x:v>Grenade - Carb Killa Bars</x:v>
      </x:c>
      <x:c r="C1266" t="str">
        <x:v>Soft Core Protein Bar</x:v>
      </x:c>
      <x:c r="D1266" t="str">
        <x:v>Drinks and Bars</x:v>
      </x:c>
      <x:c r="E1266" t="str">
        <x:v>Bars and Snacks</x:v>
      </x:c>
      <x:c r="F1266" t="str">
        <x:v>Soft-centre protein bars.</x:v>
      </x:c>
      <x:c r="G1266" t="str">
        <x:v>12 x 50g bars</x:v>
      </x:c>
      <x:c r="H1266" t="str">
        <x:v>Double Chocolate</x:v>
      </x:c>
      <x:c r="I1266" t="str">
        <x:v>12</x:v>
      </x:c>
      <x:c r="J1266" t="str">
        <x:v>Case</x:v>
      </x:c>
      <x:c r="K1266" t="str">
        <x:v>In stock</x:v>
      </x:c>
      <x:c r="L1266" t="str">
        <x:v>2026-09-08</x:v>
      </x:c>
      <x:c r="M1266" t="str"/>
      <x:c r="N1266" t="str"/>
      <x:c r="O1266" t="str">
        <x:v>https://www.activesportstrade.co.uk/trade-convienience</x:v>
      </x:c>
      <x:c r="P1266" t="str">
        <x:v>NEW / LAUNCH PRICE wording removed. Case-only member order.</x:v>
      </x:c>
      <x:c r="Q1266" t="str"/>
      <x:c r="R1266" t="str"/>
      <x:c r="S1266" t="str">
        <x:v>Pending genuine supplier/brand image</x:v>
      </x:c>
      <x:c r="T1266" s="54"/>
      <x:c r="U1266" s="47" t="n">
        <x:v>0.2</x:v>
      </x:c>
      <x:c r="V1266" s="54" t="str">
        <x:f>IF(ISNUMBER(T1266),T1266*(1+U1266),"")</x:f>
      </x:c>
      <x:c r="W1266" s="47" t="n">
        <x:v>0.3</x:v>
      </x:c>
      <x:c r="X1266" s="54" t="str">
        <x:f>IF(ISNUMBER(V1266),V1266/(1-W1266),"")</x:f>
      </x:c>
      <x:c r="Y1266" s="55" t="str">
        <x:f>IF(ISNUMBER(X1266),ROUNDUP(X1266,0),"")</x:f>
      </x:c>
      <x:c r="Z1266" t="str">
        <x:f>IF(ISNUMBER(T1266),"Cost captured","Awaiting trade cost")</x:f>
        <x:v>Awaiting trade cost</x:v>
      </x:c>
      <x:c r="AB1266" s="36" t="str">
        <x:f>IF(ISNUMBER(Y1266),ROUND(Y1266*0.9,2),"")</x:f>
      </x:c>
      <x:c r="AC1266" s="36" t="str">
        <x:f>IF(ISNUMBER(AB1266),ROUND(AB1266-(AB1266*0.015+0.2)-V1266,2),"")</x:f>
      </x:c>
      <x:c r="AD1266" s="36" t="str">
        <x:f>IF(ISNUMBER(Y1266),ROUND(Y1266*0.8,2),"")</x:f>
      </x:c>
      <x:c r="AE1266" s="36" t="str">
        <x:f>IF(ISNUMBER(AD1266),ROUND(AD1266*0.015+0.2,2),"")</x:f>
      </x:c>
      <x:c r="AF1266" s="36" t="str">
        <x:f>IF(ISNUMBER(AD1266),ROUND(AD1266-AE1266-V1266,2),"")</x:f>
      </x:c>
      <x:c r="AG1266" t="str">
        <x:f>IF(NOT(ISNUMBER(T1266)),"PENDING",IF(AF1266&gt;0,"PASS","FAIL"))</x:f>
        <x:v>PENDING</x:v>
      </x:c>
      <x:c r="AH1266" t="str">
        <x:f>IF(NOT(ISNUMBER(T1266)),"Needs supplier cost",IF(K1266&lt;&gt;"In stock","Supplier unavailable",IF(AG1266&lt;&gt;"PASS","BLOCK - GT loss risk","Commercially protected")))</x:f>
        <x:v>Needs supplier cost</x:v>
      </x:c>
      <x:c r="AI1266" t="str">
        <x:v>2026-09-10 Active Sports trade capture</x:v>
      </x:c>
      <x:c r="AJ1266" t="str">
        <x:v>Management-only economics. Stripe stress test uses 1.5% + £0.20 standard UK online-card fee; pallet/mix-and-match pricing ignored.</x:v>
      </x:c>
    </x:row>
    <x:row r="1267">
      <x:c r="A1267" t="str">
        <x:v>Active Sports Nutrition</x:v>
      </x:c>
      <x:c r="B1267" t="str">
        <x:v>Grenade - Carb Killa Bars</x:v>
      </x:c>
      <x:c r="C1267" t="str">
        <x:v>Soft Core Protein Bar</x:v>
      </x:c>
      <x:c r="D1267" t="str">
        <x:v>Drinks and Bars</x:v>
      </x:c>
      <x:c r="E1267" t="str">
        <x:v>Bars and Snacks</x:v>
      </x:c>
      <x:c r="F1267" t="str">
        <x:v>Soft-centre protein bars.</x:v>
      </x:c>
      <x:c r="G1267" t="str">
        <x:v>12 x 50g bars</x:v>
      </x:c>
      <x:c r="H1267" t="str">
        <x:v>Golden Caramel</x:v>
      </x:c>
      <x:c r="I1267" t="str">
        <x:v>12</x:v>
      </x:c>
      <x:c r="J1267" t="str">
        <x:v>Case</x:v>
      </x:c>
      <x:c r="K1267" t="str">
        <x:v>Out of stock</x:v>
      </x:c>
      <x:c r="L1267" t="str">
        <x:v>2026-09-08</x:v>
      </x:c>
      <x:c r="M1267" t="str"/>
      <x:c r="N1267" t="str"/>
      <x:c r="O1267" t="str">
        <x:v>https://www.activesportstrade.co.uk/trade-convienience</x:v>
      </x:c>
      <x:c r="P1267" t="str">
        <x:v>NEW / LAUNCH PRICE wording removed. Case-only member order.</x:v>
      </x:c>
      <x:c r="Q1267" t="str"/>
      <x:c r="R1267" t="str"/>
      <x:c r="S1267" t="str">
        <x:v>Pending genuine supplier/brand image</x:v>
      </x:c>
      <x:c r="T1267" s="54"/>
      <x:c r="U1267" s="47" t="n">
        <x:v>0.2</x:v>
      </x:c>
      <x:c r="V1267" s="54" t="str">
        <x:f>IF(ISNUMBER(T1267),T1267*(1+U1267),"")</x:f>
      </x:c>
      <x:c r="W1267" s="47" t="n">
        <x:v>0.3</x:v>
      </x:c>
      <x:c r="X1267" s="54" t="str">
        <x:f>IF(ISNUMBER(V1267),V1267/(1-W1267),"")</x:f>
      </x:c>
      <x:c r="Y1267" s="55" t="str">
        <x:f>IF(ISNUMBER(X1267),ROUNDUP(X1267,0),"")</x:f>
      </x:c>
      <x:c r="Z1267" t="str">
        <x:f>IF(ISNUMBER(T1267),"Cost captured","Awaiting trade cost")</x:f>
        <x:v>Awaiting trade cost</x:v>
      </x:c>
      <x:c r="AB1267" s="36" t="str">
        <x:f>IF(ISNUMBER(Y1267),ROUND(Y1267*0.9,2),"")</x:f>
      </x:c>
      <x:c r="AC1267" s="36" t="str">
        <x:f>IF(ISNUMBER(AB1267),ROUND(AB1267-(AB1267*0.015+0.2)-V1267,2),"")</x:f>
      </x:c>
      <x:c r="AD1267" s="36" t="str">
        <x:f>IF(ISNUMBER(Y1267),ROUND(Y1267*0.8,2),"")</x:f>
      </x:c>
      <x:c r="AE1267" s="36" t="str">
        <x:f>IF(ISNUMBER(AD1267),ROUND(AD1267*0.015+0.2,2),"")</x:f>
      </x:c>
      <x:c r="AF1267" s="36" t="str">
        <x:f>IF(ISNUMBER(AD1267),ROUND(AD1267-AE1267-V1267,2),"")</x:f>
      </x:c>
      <x:c r="AG1267" t="str">
        <x:f>IF(NOT(ISNUMBER(T1267)),"PENDING",IF(AF1267&gt;0,"PASS","FAIL"))</x:f>
        <x:v>PENDING</x:v>
      </x:c>
      <x:c r="AH1267" t="str">
        <x:f>IF(NOT(ISNUMBER(T1267)),"Needs supplier cost",IF(K1267&lt;&gt;"In stock","Supplier unavailable",IF(AG1267&lt;&gt;"PASS","BLOCK - GT loss risk","Commercially protected")))</x:f>
        <x:v>Needs supplier cost</x:v>
      </x:c>
      <x:c r="AI1267" t="str">
        <x:v>2026-09-10 Active Sports trade capture</x:v>
      </x:c>
      <x:c r="AJ1267" t="str">
        <x:v>Management-only economics. Stripe stress test uses 1.5% + £0.20 standard UK online-card fee; pallet/mix-and-match pricing ignored.</x:v>
      </x:c>
    </x:row>
    <x:row r="1268">
      <x:c r="A1268" t="str">
        <x:v>Active Sports Nutrition</x:v>
      </x:c>
      <x:c r="B1268" t="str">
        <x:v>Grenade - Carb Killa Bars</x:v>
      </x:c>
      <x:c r="C1268" t="str">
        <x:v>Soft Core Creme Egg Protein Bar</x:v>
      </x:c>
      <x:c r="D1268" t="str">
        <x:v>Drinks and Bars</x:v>
      </x:c>
      <x:c r="E1268" t="str">
        <x:v>Bars and Snacks</x:v>
      </x:c>
      <x:c r="F1268" t="str">
        <x:v>Soft-centre protein bar.</x:v>
      </x:c>
      <x:c r="G1268" t="str">
        <x:v>18 x 45g bars</x:v>
      </x:c>
      <x:c r="H1268" t="str">
        <x:v>Creme Egg</x:v>
      </x:c>
      <x:c r="I1268" t="str">
        <x:v>18</x:v>
      </x:c>
      <x:c r="J1268" t="str">
        <x:v>Case</x:v>
      </x:c>
      <x:c r="K1268" t="str">
        <x:v>Out of stock</x:v>
      </x:c>
      <x:c r="L1268" t="str">
        <x:v>2026-09-08</x:v>
      </x:c>
      <x:c r="M1268" t="str"/>
      <x:c r="N1268" t="str"/>
      <x:c r="O1268" t="str">
        <x:v>https://www.activesportstrade.co.uk/trade-convienience</x:v>
      </x:c>
      <x:c r="P1268" t="str">
        <x:v>25% OFF / SPECIAL OFFER wording removed. Supplier lists this separately at 18 x 45g.</x:v>
      </x:c>
      <x:c r="Q1268" t="str"/>
      <x:c r="R1268" t="str"/>
      <x:c r="S1268" t="str">
        <x:v>Pending genuine supplier/brand image</x:v>
      </x:c>
      <x:c r="T1268" s="54"/>
      <x:c r="U1268" s="47" t="n">
        <x:v>0.2</x:v>
      </x:c>
      <x:c r="V1268" s="54" t="str">
        <x:f>IF(ISNUMBER(T1268),T1268*(1+U1268),"")</x:f>
      </x:c>
      <x:c r="W1268" s="47" t="n">
        <x:v>0.3</x:v>
      </x:c>
      <x:c r="X1268" s="54" t="str">
        <x:f>IF(ISNUMBER(V1268),V1268/(1-W1268),"")</x:f>
      </x:c>
      <x:c r="Y1268" s="55" t="str">
        <x:f>IF(ISNUMBER(X1268),ROUNDUP(X1268,0),"")</x:f>
      </x:c>
      <x:c r="Z1268" t="str">
        <x:f>IF(ISNUMBER(T1268),"Cost captured","Awaiting trade cost")</x:f>
        <x:v>Awaiting trade cost</x:v>
      </x:c>
      <x:c r="AB1268" s="36" t="str">
        <x:f>IF(ISNUMBER(Y1268),ROUND(Y1268*0.9,2),"")</x:f>
      </x:c>
      <x:c r="AC1268" s="36" t="str">
        <x:f>IF(ISNUMBER(AB1268),ROUND(AB1268-(AB1268*0.015+0.2)-V1268,2),"")</x:f>
      </x:c>
      <x:c r="AD1268" s="36" t="str">
        <x:f>IF(ISNUMBER(Y1268),ROUND(Y1268*0.8,2),"")</x:f>
      </x:c>
      <x:c r="AE1268" s="36" t="str">
        <x:f>IF(ISNUMBER(AD1268),ROUND(AD1268*0.015+0.2,2),"")</x:f>
      </x:c>
      <x:c r="AF1268" s="36" t="str">
        <x:f>IF(ISNUMBER(AD1268),ROUND(AD1268-AE1268-V1268,2),"")</x:f>
      </x:c>
      <x:c r="AG1268" t="str">
        <x:f>IF(NOT(ISNUMBER(T1268)),"PENDING",IF(AF1268&gt;0,"PASS","FAIL"))</x:f>
        <x:v>PENDING</x:v>
      </x:c>
      <x:c r="AH1268" t="str">
        <x:f>IF(NOT(ISNUMBER(T1268)),"Needs supplier cost",IF(K1268&lt;&gt;"In stock","Supplier unavailable",IF(AG1268&lt;&gt;"PASS","BLOCK - GT loss risk","Commercially protected")))</x:f>
        <x:v>Needs supplier cost</x:v>
      </x:c>
      <x:c r="AI1268" t="str">
        <x:v>2026-09-10 Active Sports trade capture</x:v>
      </x:c>
      <x:c r="AJ1268" t="str">
        <x:v>Management-only economics. Stripe stress test uses 1.5% + £0.20 standard UK online-card fee; pallet/mix-and-match pricing ignored.</x:v>
      </x:c>
    </x:row>
    <x:row r="1269">
      <x:c r="A1269" t="str">
        <x:v>Active Sports Nutrition</x:v>
      </x:c>
      <x:c r="B1269" t="str">
        <x:v>HR Labs</x:v>
      </x:c>
      <x:c r="C1269" t="str">
        <x:v>Ashwagandha KSM-66</x:v>
      </x:c>
      <x:c r="D1269" t="str">
        <x:v>Supplements</x:v>
      </x:c>
      <x:c r="E1269" t="str">
        <x:v>Health Foods</x:v>
      </x:c>
      <x:c r="F1269" t="str"/>
      <x:c r="G1269" t="str">
        <x:v>120 caps</x:v>
      </x:c>
      <x:c r="H1269" t="str">
        <x:v>Default</x:v>
      </x:c>
      <x:c r="I1269" t="str"/>
      <x:c r="J1269" t="str">
        <x:v>Unit</x:v>
      </x:c>
      <x:c r="K1269" t="str">
        <x:v>In stock</x:v>
      </x:c>
      <x:c r="L1269" t="str">
        <x:v>2026-09-08</x:v>
      </x:c>
      <x:c r="M1269" t="str"/>
      <x:c r="N1269" t="str"/>
      <x:c r="O1269" t="str">
        <x:v>https://www.activesportstrade.co.uk/hr-labs-trade</x:v>
      </x:c>
      <x:c r="P1269" t="str">
        <x:v>SPECIAL OFFER / BUY 1 GET 1 FREE wording removed.</x:v>
      </x:c>
      <x:c r="Q1269" t="str"/>
      <x:c r="R1269" t="str"/>
      <x:c r="S1269" t="str">
        <x:v>Pending genuine supplier/brand image</x:v>
      </x:c>
      <x:c r="T1269" s="54" t="n">
        <x:v>11.24</x:v>
      </x:c>
      <x:c r="U1269" s="47" t="n">
        <x:v>0.2</x:v>
      </x:c>
      <x:c r="V1269" s="54" t="n">
        <x:f>IF(ISNUMBER(T1269),T1269*(1+U1269),"")</x:f>
        <x:v>13.488</x:v>
      </x:c>
      <x:c r="W1269" s="47" t="n">
        <x:v>0.3</x:v>
      </x:c>
      <x:c r="X1269" s="54" t="n">
        <x:f>IF(ISNUMBER(V1269),V1269/(1-W1269),"")</x:f>
        <x:v>19.26857142857143</x:v>
      </x:c>
      <x:c r="Y1269" s="55" t="n">
        <x:f>IF(ISNUMBER(X1269),ROUNDUP(X1269,0),"")</x:f>
        <x:v>20</x:v>
      </x:c>
      <x:c r="Z1269" t="str">
        <x:v>Source match pending</x:v>
      </x:c>
      <x:c r="AA1269" t="str">
        <x:v>screencapture-www-activesportstrade-co-uk-hr-labs-trade-2026-09-09-18_31_19.png / page-001</x:v>
      </x:c>
      <x:c r="AB1269" s="36" t="n">
        <x:f>IF(ISNUMBER(Y1269),ROUND(Y1269*0.9,2),"")</x:f>
        <x:v>18</x:v>
      </x:c>
      <x:c r="AC1269" s="36" t="n">
        <x:f>IF(ISNUMBER(AB1269),ROUND(AB1269-(AB1269*0.015+0.2)-V1269,2),"")</x:f>
        <x:v>4.04</x:v>
      </x:c>
      <x:c r="AD1269" s="36" t="n">
        <x:f>IF(ISNUMBER(Y1269),ROUND(Y1269*0.8,2),"")</x:f>
        <x:v>16</x:v>
      </x:c>
      <x:c r="AE1269" s="36" t="n">
        <x:f>IF(ISNUMBER(AD1269),ROUND(AD1269*0.015+0.2,2),"")</x:f>
        <x:v>0.44</x:v>
      </x:c>
      <x:c r="AF1269" s="36" t="n">
        <x:f>IF(ISNUMBER(AD1269),ROUND(AD1269-AE1269-V1269,2),"")</x:f>
        <x:v>2.07</x:v>
      </x:c>
      <x:c r="AG1269" t="str">
        <x:f>IF(NOT(ISNUMBER(T1269)),"PENDING",IF(AF1269&gt;0,"PASS","FAIL"))</x:f>
        <x:v>PASS</x:v>
      </x:c>
      <x:c r="AH1269" t="str">
        <x:f>IF(NOT(ISNUMBER(T1269)),"Needs supplier cost",IF(K1269&lt;&gt;"In stock","Supplier unavailable",IF(AG1269&lt;&gt;"PASS","BLOCK - GT loss risk","Commercially protected")))</x:f>
        <x:v>Commercially protected</x:v>
      </x:c>
      <x:c r="AI1269" t="str">
        <x:v>2026-09-10 Active Sports trade capture</x:v>
      </x:c>
      <x:c r="AJ1269" t="str">
        <x:v>Management-only economics. Stripe stress test uses 1.5% + £0.20 standard UK online-card fee; pallet/mix-and-match pricing ignored.</x:v>
      </x:c>
    </x:row>
    <x:row r="1270">
      <x:c r="A1270" t="str">
        <x:v>Active Sports Nutrition</x:v>
      </x:c>
      <x:c r="B1270" t="str">
        <x:v>HR Labs</x:v>
      </x:c>
      <x:c r="C1270" t="str">
        <x:v>BASIC</x:v>
      </x:c>
      <x:c r="D1270" t="str">
        <x:v>Supplements</x:v>
      </x:c>
      <x:c r="E1270" t="str">
        <x:v>Creatine Powders</x:v>
      </x:c>
      <x:c r="F1270" t="str">
        <x:v>High-performance creatine formula.</x:v>
      </x:c>
      <x:c r="G1270" t="str">
        <x:v>30 servings</x:v>
      </x:c>
      <x:c r="H1270" t="str">
        <x:v>Boom Boom Berry</x:v>
      </x:c>
      <x:c r="I1270" t="str"/>
      <x:c r="J1270" t="str">
        <x:v>Unit</x:v>
      </x:c>
      <x:c r="K1270" t="str">
        <x:v>In stock</x:v>
      </x:c>
      <x:c r="L1270" t="str">
        <x:v>2026-09-08</x:v>
      </x:c>
      <x:c r="M1270" t="str"/>
      <x:c r="N1270" t="str"/>
      <x:c r="O1270" t="str">
        <x:v>https://www.activesportstrade.co.uk/hr-labs-trade</x:v>
      </x:c>
      <x:c r="P1270" t="str"/>
      <x:c r="Q1270" t="str"/>
      <x:c r="R1270" t="str"/>
      <x:c r="S1270" t="str">
        <x:v>Pending genuine supplier/brand image</x:v>
      </x:c>
      <x:c r="T1270" s="54" t="n">
        <x:v>19.99</x:v>
      </x:c>
      <x:c r="U1270" s="47" t="n">
        <x:v>0.2</x:v>
      </x:c>
      <x:c r="V1270" s="54" t="n">
        <x:f>IF(ISNUMBER(T1270),T1270*(1+U1270),"")</x:f>
        <x:v>23.987999999999996</x:v>
      </x:c>
      <x:c r="W1270" s="47" t="n">
        <x:v>0.3</x:v>
      </x:c>
      <x:c r="X1270" s="54" t="n">
        <x:f>IF(ISNUMBER(V1270),V1270/(1-W1270),"")</x:f>
        <x:v>34.26857142857143</x:v>
      </x:c>
      <x:c r="Y1270" s="55" t="n">
        <x:f>IF(ISNUMBER(X1270),ROUNDUP(X1270,0),"")</x:f>
        <x:v>35</x:v>
      </x:c>
      <x:c r="Z1270" t="str">
        <x:v>Source match pending</x:v>
      </x:c>
      <x:c r="AA1270" t="str">
        <x:v>screencapture-www-activesportstrade-co-uk-hr-labs-trade-2026-09-09-18_31_19.png / page-001</x:v>
      </x:c>
      <x:c r="AB1270" s="36" t="n">
        <x:f>IF(ISNUMBER(Y1270),ROUND(Y1270*0.9,2),"")</x:f>
        <x:v>31.5</x:v>
      </x:c>
      <x:c r="AC1270" s="36" t="n">
        <x:f>IF(ISNUMBER(AB1270),ROUND(AB1270-(AB1270*0.015+0.2)-V1270,2),"")</x:f>
        <x:v>6.84</x:v>
      </x:c>
      <x:c r="AD1270" s="36" t="n">
        <x:f>IF(ISNUMBER(Y1270),ROUND(Y1270*0.8,2),"")</x:f>
        <x:v>28</x:v>
      </x:c>
      <x:c r="AE1270" s="36" t="n">
        <x:f>IF(ISNUMBER(AD1270),ROUND(AD1270*0.015+0.2,2),"")</x:f>
        <x:v>0.62</x:v>
      </x:c>
      <x:c r="AF1270" s="36" t="n">
        <x:f>IF(ISNUMBER(AD1270),ROUND(AD1270-AE1270-V1270,2),"")</x:f>
        <x:v>3.39</x:v>
      </x:c>
      <x:c r="AG1270" t="str">
        <x:f>IF(NOT(ISNUMBER(T1270)),"PENDING",IF(AF1270&gt;0,"PASS","FAIL"))</x:f>
        <x:v>PASS</x:v>
      </x:c>
      <x:c r="AH1270" t="str">
        <x:f>IF(NOT(ISNUMBER(T1270)),"Needs supplier cost",IF(K1270&lt;&gt;"In stock","Supplier unavailable",IF(AG1270&lt;&gt;"PASS","BLOCK - GT loss risk","Commercially protected")))</x:f>
        <x:v>Commercially protected</x:v>
      </x:c>
      <x:c r="AI1270" t="str">
        <x:v>2026-09-10 Active Sports trade capture</x:v>
      </x:c>
      <x:c r="AJ1270" t="str">
        <x:v>Management-only economics. Stripe stress test uses 1.5% + £0.20 standard UK online-card fee; pallet/mix-and-match pricing ignored.</x:v>
      </x:c>
    </x:row>
    <x:row r="1271">
      <x:c r="A1271" t="str">
        <x:v>Active Sports Nutrition</x:v>
      </x:c>
      <x:c r="B1271" t="str">
        <x:v>HR Labs</x:v>
      </x:c>
      <x:c r="C1271" t="str">
        <x:v>BASIC</x:v>
      </x:c>
      <x:c r="D1271" t="str">
        <x:v>Supplements</x:v>
      </x:c>
      <x:c r="E1271" t="str">
        <x:v>Creatine Powders</x:v>
      </x:c>
      <x:c r="F1271" t="str">
        <x:v>High-performance creatine formula.</x:v>
      </x:c>
      <x:c r="G1271" t="str">
        <x:v>30 servings</x:v>
      </x:c>
      <x:c r="H1271" t="str">
        <x:v>Fuzzy Fruits</x:v>
      </x:c>
      <x:c r="I1271" t="str"/>
      <x:c r="J1271" t="str">
        <x:v>Unit</x:v>
      </x:c>
      <x:c r="K1271" t="str">
        <x:v>In stock</x:v>
      </x:c>
      <x:c r="L1271" t="str">
        <x:v>2026-09-08</x:v>
      </x:c>
      <x:c r="M1271" t="str"/>
      <x:c r="N1271" t="str"/>
      <x:c r="O1271" t="str">
        <x:v>https://www.activesportstrade.co.uk/hr-labs-trade</x:v>
      </x:c>
      <x:c r="P1271" t="str"/>
      <x:c r="Q1271" t="str"/>
      <x:c r="R1271" t="str"/>
      <x:c r="S1271" t="str">
        <x:v>Pending genuine supplier/brand image</x:v>
      </x:c>
      <x:c r="T1271" s="54" t="n">
        <x:v>19.99</x:v>
      </x:c>
      <x:c r="U1271" s="47" t="n">
        <x:v>0.2</x:v>
      </x:c>
      <x:c r="V1271" s="54" t="n">
        <x:f>IF(ISNUMBER(T1271),T1271*(1+U1271),"")</x:f>
        <x:v>23.987999999999996</x:v>
      </x:c>
      <x:c r="W1271" s="47" t="n">
        <x:v>0.3</x:v>
      </x:c>
      <x:c r="X1271" s="54" t="n">
        <x:f>IF(ISNUMBER(V1271),V1271/(1-W1271),"")</x:f>
        <x:v>34.26857142857143</x:v>
      </x:c>
      <x:c r="Y1271" s="55" t="n">
        <x:f>IF(ISNUMBER(X1271),ROUNDUP(X1271,0),"")</x:f>
        <x:v>35</x:v>
      </x:c>
      <x:c r="Z1271" t="str">
        <x:v>Source match pending</x:v>
      </x:c>
      <x:c r="AA1271" t="str">
        <x:v>screencapture-www-activesportstrade-co-uk-hr-labs-trade-2026-09-09-18_31_19.png / page-001</x:v>
      </x:c>
      <x:c r="AB1271" s="36" t="n">
        <x:f>IF(ISNUMBER(Y1271),ROUND(Y1271*0.9,2),"")</x:f>
        <x:v>31.5</x:v>
      </x:c>
      <x:c r="AC1271" s="36" t="n">
        <x:f>IF(ISNUMBER(AB1271),ROUND(AB1271-(AB1271*0.015+0.2)-V1271,2),"")</x:f>
        <x:v>6.84</x:v>
      </x:c>
      <x:c r="AD1271" s="36" t="n">
        <x:f>IF(ISNUMBER(Y1271),ROUND(Y1271*0.8,2),"")</x:f>
        <x:v>28</x:v>
      </x:c>
      <x:c r="AE1271" s="36" t="n">
        <x:f>IF(ISNUMBER(AD1271),ROUND(AD1271*0.015+0.2,2),"")</x:f>
        <x:v>0.62</x:v>
      </x:c>
      <x:c r="AF1271" s="36" t="n">
        <x:f>IF(ISNUMBER(AD1271),ROUND(AD1271-AE1271-V1271,2),"")</x:f>
        <x:v>3.39</x:v>
      </x:c>
      <x:c r="AG1271" t="str">
        <x:f>IF(NOT(ISNUMBER(T1271)),"PENDING",IF(AF1271&gt;0,"PASS","FAIL"))</x:f>
        <x:v>PASS</x:v>
      </x:c>
      <x:c r="AH1271" t="str">
        <x:f>IF(NOT(ISNUMBER(T1271)),"Needs supplier cost",IF(K1271&lt;&gt;"In stock","Supplier unavailable",IF(AG1271&lt;&gt;"PASS","BLOCK - GT loss risk","Commercially protected")))</x:f>
        <x:v>Commercially protected</x:v>
      </x:c>
      <x:c r="AI1271" t="str">
        <x:v>2026-09-10 Active Sports trade capture</x:v>
      </x:c>
      <x:c r="AJ1271" t="str">
        <x:v>Management-only economics. Stripe stress test uses 1.5% + £0.20 standard UK online-card fee; pallet/mix-and-match pricing ignored.</x:v>
      </x:c>
    </x:row>
    <x:row r="1272">
      <x:c r="A1272" t="str">
        <x:v>Active Sports Nutrition</x:v>
      </x:c>
      <x:c r="B1272" t="str">
        <x:v>HR Labs</x:v>
      </x:c>
      <x:c r="C1272" t="str">
        <x:v>BASIC</x:v>
      </x:c>
      <x:c r="D1272" t="str">
        <x:v>Supplements</x:v>
      </x:c>
      <x:c r="E1272" t="str">
        <x:v>Creatine Powders</x:v>
      </x:c>
      <x:c r="F1272" t="str">
        <x:v>High-performance creatine formula.</x:v>
      </x:c>
      <x:c r="G1272" t="str">
        <x:v>30 servings</x:v>
      </x:c>
      <x:c r="H1272" t="str">
        <x:v>Peach Ice Tea</x:v>
      </x:c>
      <x:c r="I1272" t="str"/>
      <x:c r="J1272" t="str">
        <x:v>Unit</x:v>
      </x:c>
      <x:c r="K1272" t="str">
        <x:v>In stock</x:v>
      </x:c>
      <x:c r="L1272" t="str">
        <x:v>2026-09-08</x:v>
      </x:c>
      <x:c r="M1272" t="str"/>
      <x:c r="N1272" t="str"/>
      <x:c r="O1272" t="str">
        <x:v>https://www.activesportstrade.co.uk/hr-labs-trade</x:v>
      </x:c>
      <x:c r="P1272" t="str"/>
      <x:c r="Q1272" t="str"/>
      <x:c r="R1272" t="str"/>
      <x:c r="S1272" t="str">
        <x:v>Pending genuine supplier/brand image</x:v>
      </x:c>
      <x:c r="T1272" s="54" t="n">
        <x:v>19.99</x:v>
      </x:c>
      <x:c r="U1272" s="47" t="n">
        <x:v>0.2</x:v>
      </x:c>
      <x:c r="V1272" s="54" t="n">
        <x:f>IF(ISNUMBER(T1272),T1272*(1+U1272),"")</x:f>
        <x:v>23.987999999999996</x:v>
      </x:c>
      <x:c r="W1272" s="47" t="n">
        <x:v>0.3</x:v>
      </x:c>
      <x:c r="X1272" s="54" t="n">
        <x:f>IF(ISNUMBER(V1272),V1272/(1-W1272),"")</x:f>
        <x:v>34.26857142857143</x:v>
      </x:c>
      <x:c r="Y1272" s="55" t="n">
        <x:f>IF(ISNUMBER(X1272),ROUNDUP(X1272,0),"")</x:f>
        <x:v>35</x:v>
      </x:c>
      <x:c r="Z1272" t="str">
        <x:v>Source match pending</x:v>
      </x:c>
      <x:c r="AA1272" t="str">
        <x:v>screencapture-www-activesportstrade-co-uk-hr-labs-trade-2026-09-09-18_31_19.png / page-001</x:v>
      </x:c>
      <x:c r="AB1272" s="36" t="n">
        <x:f>IF(ISNUMBER(Y1272),ROUND(Y1272*0.9,2),"")</x:f>
        <x:v>31.5</x:v>
      </x:c>
      <x:c r="AC1272" s="36" t="n">
        <x:f>IF(ISNUMBER(AB1272),ROUND(AB1272-(AB1272*0.015+0.2)-V1272,2),"")</x:f>
        <x:v>6.84</x:v>
      </x:c>
      <x:c r="AD1272" s="36" t="n">
        <x:f>IF(ISNUMBER(Y1272),ROUND(Y1272*0.8,2),"")</x:f>
        <x:v>28</x:v>
      </x:c>
      <x:c r="AE1272" s="36" t="n">
        <x:f>IF(ISNUMBER(AD1272),ROUND(AD1272*0.015+0.2,2),"")</x:f>
        <x:v>0.62</x:v>
      </x:c>
      <x:c r="AF1272" s="36" t="n">
        <x:f>IF(ISNUMBER(AD1272),ROUND(AD1272-AE1272-V1272,2),"")</x:f>
        <x:v>3.39</x:v>
      </x:c>
      <x:c r="AG1272" t="str">
        <x:f>IF(NOT(ISNUMBER(T1272)),"PENDING",IF(AF1272&gt;0,"PASS","FAIL"))</x:f>
        <x:v>PASS</x:v>
      </x:c>
      <x:c r="AH1272" t="str">
        <x:f>IF(NOT(ISNUMBER(T1272)),"Needs supplier cost",IF(K1272&lt;&gt;"In stock","Supplier unavailable",IF(AG1272&lt;&gt;"PASS","BLOCK - GT loss risk","Commercially protected")))</x:f>
        <x:v>Commercially protected</x:v>
      </x:c>
      <x:c r="AI1272" t="str">
        <x:v>2026-09-10 Active Sports trade capture</x:v>
      </x:c>
      <x:c r="AJ1272" t="str">
        <x:v>Management-only economics. Stripe stress test uses 1.5% + £0.20 standard UK online-card fee; pallet/mix-and-match pricing ignored.</x:v>
      </x:c>
    </x:row>
    <x:row r="1273">
      <x:c r="A1273" t="str">
        <x:v>Active Sports Nutrition</x:v>
      </x:c>
      <x:c r="B1273" t="str">
        <x:v>HR Labs</x:v>
      </x:c>
      <x:c r="C1273" t="str">
        <x:v>BASIC</x:v>
      </x:c>
      <x:c r="D1273" t="str">
        <x:v>Supplements</x:v>
      </x:c>
      <x:c r="E1273" t="str">
        <x:v>Creatine Powders</x:v>
      </x:c>
      <x:c r="F1273" t="str">
        <x:v>High-performance creatine formula.</x:v>
      </x:c>
      <x:c r="G1273" t="str">
        <x:v>30 servings</x:v>
      </x:c>
      <x:c r="H1273" t="str">
        <x:v>Super Fresh OJ</x:v>
      </x:c>
      <x:c r="I1273" t="str"/>
      <x:c r="J1273" t="str">
        <x:v>Unit</x:v>
      </x:c>
      <x:c r="K1273" t="str">
        <x:v>Out of stock</x:v>
      </x:c>
      <x:c r="L1273" t="str">
        <x:v>2026-09-08</x:v>
      </x:c>
      <x:c r="M1273" t="str"/>
      <x:c r="N1273" t="str"/>
      <x:c r="O1273" t="str">
        <x:v>https://www.activesportstrade.co.uk/hr-labs-trade</x:v>
      </x:c>
      <x:c r="P1273" t="str"/>
      <x:c r="Q1273" t="str"/>
      <x:c r="R1273" t="str"/>
      <x:c r="S1273" t="str">
        <x:v>Pending genuine supplier/brand image</x:v>
      </x:c>
      <x:c r="T1273" s="54" t="n">
        <x:v>19.99</x:v>
      </x:c>
      <x:c r="U1273" s="47" t="n">
        <x:v>0.2</x:v>
      </x:c>
      <x:c r="V1273" s="54" t="n">
        <x:f>IF(ISNUMBER(T1273),T1273*(1+U1273),"")</x:f>
        <x:v>23.987999999999996</x:v>
      </x:c>
      <x:c r="W1273" s="47" t="n">
        <x:v>0.3</x:v>
      </x:c>
      <x:c r="X1273" s="54" t="n">
        <x:f>IF(ISNUMBER(V1273),V1273/(1-W1273),"")</x:f>
        <x:v>34.26857142857143</x:v>
      </x:c>
      <x:c r="Y1273" s="55" t="n">
        <x:f>IF(ISNUMBER(X1273),ROUNDUP(X1273,0),"")</x:f>
        <x:v>35</x:v>
      </x:c>
      <x:c r="Z1273" t="str">
        <x:v>Source match pending</x:v>
      </x:c>
      <x:c r="AA1273" t="str">
        <x:v>screencapture-www-activesportstrade-co-uk-hr-labs-trade-2026-09-09-18_31_19.png / page-001</x:v>
      </x:c>
      <x:c r="AB1273" s="36" t="n">
        <x:f>IF(ISNUMBER(Y1273),ROUND(Y1273*0.9,2),"")</x:f>
        <x:v>31.5</x:v>
      </x:c>
      <x:c r="AC1273" s="36" t="n">
        <x:f>IF(ISNUMBER(AB1273),ROUND(AB1273-(AB1273*0.015+0.2)-V1273,2),"")</x:f>
        <x:v>6.84</x:v>
      </x:c>
      <x:c r="AD1273" s="36" t="n">
        <x:f>IF(ISNUMBER(Y1273),ROUND(Y1273*0.8,2),"")</x:f>
        <x:v>28</x:v>
      </x:c>
      <x:c r="AE1273" s="36" t="n">
        <x:f>IF(ISNUMBER(AD1273),ROUND(AD1273*0.015+0.2,2),"")</x:f>
        <x:v>0.62</x:v>
      </x:c>
      <x:c r="AF1273" s="36" t="n">
        <x:f>IF(ISNUMBER(AD1273),ROUND(AD1273-AE1273-V1273,2),"")</x:f>
        <x:v>3.39</x:v>
      </x:c>
      <x:c r="AG1273" t="str">
        <x:f>IF(NOT(ISNUMBER(T1273)),"PENDING",IF(AF1273&gt;0,"PASS","FAIL"))</x:f>
        <x:v>PASS</x:v>
      </x:c>
      <x:c r="AH1273" t="str">
        <x:f>IF(NOT(ISNUMBER(T1273)),"Needs supplier cost",IF(K1273&lt;&gt;"In stock","Supplier unavailable",IF(AG1273&lt;&gt;"PASS","BLOCK - GT loss risk","Commercially protected")))</x:f>
        <x:v>Supplier unavailable</x:v>
      </x:c>
      <x:c r="AI1273" t="str">
        <x:v>2026-09-10 Active Sports trade capture</x:v>
      </x:c>
      <x:c r="AJ1273" t="str">
        <x:v>Management-only economics. Stripe stress test uses 1.5% + £0.20 standard UK online-card fee; pallet/mix-and-match pricing ignored.</x:v>
      </x:c>
    </x:row>
    <x:row r="1274">
      <x:c r="A1274" t="str">
        <x:v>Active Sports Nutrition</x:v>
      </x:c>
      <x:c r="B1274" t="str">
        <x:v>HR Labs</x:v>
      </x:c>
      <x:c r="C1274" t="str">
        <x:v>Carb Up</x:v>
      </x:c>
      <x:c r="D1274" t="str">
        <x:v>Supplements</x:v>
      </x:c>
      <x:c r="E1274" t="str">
        <x:v>Intra Workout</x:v>
      </x:c>
      <x:c r="F1274" t="str">
        <x:v>Cluster dextrin intra-training carbohydrate fuel.</x:v>
      </x:c>
      <x:c r="G1274" t="str">
        <x:v>1.02kg</x:v>
      </x:c>
      <x:c r="H1274" t="str">
        <x:v>Grape Bubbalicious</x:v>
      </x:c>
      <x:c r="I1274" t="str"/>
      <x:c r="J1274" t="str">
        <x:v>Unit</x:v>
      </x:c>
      <x:c r="K1274" t="str">
        <x:v>In stock</x:v>
      </x:c>
      <x:c r="L1274" t="str">
        <x:v>2026-09-08</x:v>
      </x:c>
      <x:c r="M1274" t="str"/>
      <x:c r="N1274" t="str"/>
      <x:c r="O1274" t="str">
        <x:v>https://www.activesportstrade.co.uk/hr-labs-trade</x:v>
      </x:c>
      <x:c r="P1274" t="str"/>
      <x:c r="Q1274" t="str"/>
      <x:c r="R1274" t="str"/>
      <x:c r="S1274" t="str">
        <x:v>Pending genuine supplier/brand image</x:v>
      </x:c>
      <x:c r="T1274" s="54" t="n">
        <x:v>24.38</x:v>
      </x:c>
      <x:c r="U1274" s="47" t="n">
        <x:v>0.2</x:v>
      </x:c>
      <x:c r="V1274" s="54" t="n">
        <x:f>IF(ISNUMBER(T1274),T1274*(1+U1274),"")</x:f>
        <x:v>29.255999999999997</x:v>
      </x:c>
      <x:c r="W1274" s="47" t="n">
        <x:v>0.3</x:v>
      </x:c>
      <x:c r="X1274" s="54" t="n">
        <x:f>IF(ISNUMBER(V1274),V1274/(1-W1274),"")</x:f>
        <x:v>41.794285714285714</x:v>
      </x:c>
      <x:c r="Y1274" s="55" t="n">
        <x:f>IF(ISNUMBER(X1274),ROUNDUP(X1274,0),"")</x:f>
        <x:v>42</x:v>
      </x:c>
      <x:c r="Z1274" t="str">
        <x:v>Source match pending</x:v>
      </x:c>
      <x:c r="AA1274" t="str">
        <x:v>screencapture-www-activesportstrade-co-uk-hr-labs-trade-2026-09-09-18_31_19.png / page-001</x:v>
      </x:c>
      <x:c r="AB1274" s="36" t="n">
        <x:f>IF(ISNUMBER(Y1274),ROUND(Y1274*0.9,2),"")</x:f>
        <x:v>37.8</x:v>
      </x:c>
      <x:c r="AC1274" s="36" t="n">
        <x:f>IF(ISNUMBER(AB1274),ROUND(AB1274-(AB1274*0.015+0.2)-V1274,2),"")</x:f>
        <x:v>7.78</x:v>
      </x:c>
      <x:c r="AD1274" s="36" t="n">
        <x:f>IF(ISNUMBER(Y1274),ROUND(Y1274*0.8,2),"")</x:f>
        <x:v>33.6</x:v>
      </x:c>
      <x:c r="AE1274" s="36" t="n">
        <x:f>IF(ISNUMBER(AD1274),ROUND(AD1274*0.015+0.2,2),"")</x:f>
        <x:v>0.7</x:v>
      </x:c>
      <x:c r="AF1274" s="36" t="n">
        <x:f>IF(ISNUMBER(AD1274),ROUND(AD1274-AE1274-V1274,2),"")</x:f>
        <x:v>3.64</x:v>
      </x:c>
      <x:c r="AG1274" t="str">
        <x:f>IF(NOT(ISNUMBER(T1274)),"PENDING",IF(AF1274&gt;0,"PASS","FAIL"))</x:f>
        <x:v>PASS</x:v>
      </x:c>
      <x:c r="AH1274" t="str">
        <x:f>IF(NOT(ISNUMBER(T1274)),"Needs supplier cost",IF(K1274&lt;&gt;"In stock","Supplier unavailable",IF(AG1274&lt;&gt;"PASS","BLOCK - GT loss risk","Commercially protected")))</x:f>
        <x:v>Commercially protected</x:v>
      </x:c>
      <x:c r="AI1274" t="str">
        <x:v>2026-09-10 Active Sports trade capture</x:v>
      </x:c>
      <x:c r="AJ1274" t="str">
        <x:v>Management-only economics. Stripe stress test uses 1.5% + £0.20 standard UK online-card fee; pallet/mix-and-match pricing ignored.</x:v>
      </x:c>
    </x:row>
    <x:row r="1275">
      <x:c r="A1275" t="str">
        <x:v>Active Sports Nutrition</x:v>
      </x:c>
      <x:c r="B1275" t="str">
        <x:v>HR Labs</x:v>
      </x:c>
      <x:c r="C1275" t="str">
        <x:v>Carb Up</x:v>
      </x:c>
      <x:c r="D1275" t="str">
        <x:v>Supplements</x:v>
      </x:c>
      <x:c r="E1275" t="str">
        <x:v>Intra Workout</x:v>
      </x:c>
      <x:c r="F1275" t="str">
        <x:v>Cluster dextrin intra-training carbohydrate fuel.</x:v>
      </x:c>
      <x:c r="G1275" t="str">
        <x:v>1.02kg</x:v>
      </x:c>
      <x:c r="H1275" t="str">
        <x:v>Life Is Peachy</x:v>
      </x:c>
      <x:c r="I1275" t="str"/>
      <x:c r="J1275" t="str">
        <x:v>Unit</x:v>
      </x:c>
      <x:c r="K1275" t="str">
        <x:v>In stock</x:v>
      </x:c>
      <x:c r="L1275" t="str">
        <x:v>2026-09-08</x:v>
      </x:c>
      <x:c r="M1275" t="str"/>
      <x:c r="N1275" t="str"/>
      <x:c r="O1275" t="str">
        <x:v>https://www.activesportstrade.co.uk/hr-labs-trade</x:v>
      </x:c>
      <x:c r="P1275" t="str"/>
      <x:c r="Q1275" t="str"/>
      <x:c r="R1275" t="str"/>
      <x:c r="S1275" t="str">
        <x:v>Pending genuine supplier/brand image</x:v>
      </x:c>
      <x:c r="T1275" s="54" t="n">
        <x:v>24.38</x:v>
      </x:c>
      <x:c r="U1275" s="47" t="n">
        <x:v>0.2</x:v>
      </x:c>
      <x:c r="V1275" s="54" t="n">
        <x:f>IF(ISNUMBER(T1275),T1275*(1+U1275),"")</x:f>
        <x:v>29.255999999999997</x:v>
      </x:c>
      <x:c r="W1275" s="47" t="n">
        <x:v>0.3</x:v>
      </x:c>
      <x:c r="X1275" s="54" t="n">
        <x:f>IF(ISNUMBER(V1275),V1275/(1-W1275),"")</x:f>
        <x:v>41.794285714285714</x:v>
      </x:c>
      <x:c r="Y1275" s="55" t="n">
        <x:f>IF(ISNUMBER(X1275),ROUNDUP(X1275,0),"")</x:f>
        <x:v>42</x:v>
      </x:c>
      <x:c r="Z1275" t="str">
        <x:v>Source match pending</x:v>
      </x:c>
      <x:c r="AA1275" t="str">
        <x:v>screencapture-www-activesportstrade-co-uk-hr-labs-trade-2026-09-09-18_31_19.png / page-001</x:v>
      </x:c>
      <x:c r="AB1275" s="36" t="n">
        <x:f>IF(ISNUMBER(Y1275),ROUND(Y1275*0.9,2),"")</x:f>
        <x:v>37.8</x:v>
      </x:c>
      <x:c r="AC1275" s="36" t="n">
        <x:f>IF(ISNUMBER(AB1275),ROUND(AB1275-(AB1275*0.015+0.2)-V1275,2),"")</x:f>
        <x:v>7.78</x:v>
      </x:c>
      <x:c r="AD1275" s="36" t="n">
        <x:f>IF(ISNUMBER(Y1275),ROUND(Y1275*0.8,2),"")</x:f>
        <x:v>33.6</x:v>
      </x:c>
      <x:c r="AE1275" s="36" t="n">
        <x:f>IF(ISNUMBER(AD1275),ROUND(AD1275*0.015+0.2,2),"")</x:f>
        <x:v>0.7</x:v>
      </x:c>
      <x:c r="AF1275" s="36" t="n">
        <x:f>IF(ISNUMBER(AD1275),ROUND(AD1275-AE1275-V1275,2),"")</x:f>
        <x:v>3.64</x:v>
      </x:c>
      <x:c r="AG1275" t="str">
        <x:f>IF(NOT(ISNUMBER(T1275)),"PENDING",IF(AF1275&gt;0,"PASS","FAIL"))</x:f>
        <x:v>PASS</x:v>
      </x:c>
      <x:c r="AH1275" t="str">
        <x:f>IF(NOT(ISNUMBER(T1275)),"Needs supplier cost",IF(K1275&lt;&gt;"In stock","Supplier unavailable",IF(AG1275&lt;&gt;"PASS","BLOCK - GT loss risk","Commercially protected")))</x:f>
        <x:v>Commercially protected</x:v>
      </x:c>
      <x:c r="AI1275" t="str">
        <x:v>2026-09-10 Active Sports trade capture</x:v>
      </x:c>
      <x:c r="AJ1275" t="str">
        <x:v>Management-only economics. Stripe stress test uses 1.5% + £0.20 standard UK online-card fee; pallet/mix-and-match pricing ignored.</x:v>
      </x:c>
    </x:row>
    <x:row r="1276">
      <x:c r="A1276" t="str">
        <x:v>Active Sports Nutrition</x:v>
      </x:c>
      <x:c r="B1276" t="str">
        <x:v>HR Labs</x:v>
      </x:c>
      <x:c r="C1276" t="str">
        <x:v>Cream Of Carbs</x:v>
      </x:c>
      <x:c r="D1276" t="str">
        <x:v>Supplements</x:v>
      </x:c>
      <x:c r="E1276" t="str">
        <x:v>Carbohydrates</x:v>
      </x:c>
      <x:c r="F1276" t="str">
        <x:v>Carbohydrate powder.</x:v>
      </x:c>
      <x:c r="G1276" t="str">
        <x:v>2.28kg</x:v>
      </x:c>
      <x:c r="H1276" t="str">
        <x:v>Custard Creams</x:v>
      </x:c>
      <x:c r="I1276" t="str"/>
      <x:c r="J1276" t="str">
        <x:v>Unit</x:v>
      </x:c>
      <x:c r="K1276" t="str">
        <x:v>In stock</x:v>
      </x:c>
      <x:c r="L1276" t="str">
        <x:v>2026-09-08</x:v>
      </x:c>
      <x:c r="M1276" t="str"/>
      <x:c r="N1276" t="str"/>
      <x:c r="O1276" t="str">
        <x:v>https://www.activesportstrade.co.uk/hr-labs-trade</x:v>
      </x:c>
      <x:c r="P1276" t="str"/>
      <x:c r="Q1276" t="str"/>
      <x:c r="R1276" t="str"/>
      <x:c r="S1276" t="str">
        <x:v>Pending genuine supplier/brand image</x:v>
      </x:c>
      <x:c r="T1276" s="54"/>
      <x:c r="U1276" s="47" t="n">
        <x:v>0.2</x:v>
      </x:c>
      <x:c r="V1276" s="54" t="str">
        <x:f>IF(ISNUMBER(T1276),T1276*(1+U1276),"")</x:f>
      </x:c>
      <x:c r="W1276" s="47" t="n">
        <x:v>0.3</x:v>
      </x:c>
      <x:c r="X1276" s="54" t="str">
        <x:f>IF(ISNUMBER(V1276),V1276/(1-W1276),"")</x:f>
      </x:c>
      <x:c r="Y1276" s="55" t="str">
        <x:f>IF(ISNUMBER(X1276),ROUNDUP(X1276,0),"")</x:f>
      </x:c>
      <x:c r="Z1276" t="str">
        <x:f>IF(ISNUMBER(T1276),"Cost captured","Awaiting trade cost")</x:f>
        <x:v>Awaiting trade cost</x:v>
      </x:c>
      <x:c r="AB1276" s="36" t="str">
        <x:f>IF(ISNUMBER(Y1276),ROUND(Y1276*0.9,2),"")</x:f>
      </x:c>
      <x:c r="AC1276" s="36" t="str">
        <x:f>IF(ISNUMBER(AB1276),ROUND(AB1276-(AB1276*0.015+0.2)-V1276,2),"")</x:f>
      </x:c>
      <x:c r="AD1276" s="36" t="str">
        <x:f>IF(ISNUMBER(Y1276),ROUND(Y1276*0.8,2),"")</x:f>
      </x:c>
      <x:c r="AE1276" s="36" t="str">
        <x:f>IF(ISNUMBER(AD1276),ROUND(AD1276*0.015+0.2,2),"")</x:f>
      </x:c>
      <x:c r="AF1276" s="36" t="str">
        <x:f>IF(ISNUMBER(AD1276),ROUND(AD1276-AE1276-V1276,2),"")</x:f>
      </x:c>
      <x:c r="AG1276" t="str">
        <x:f>IF(NOT(ISNUMBER(T1276)),"PENDING",IF(AF1276&gt;0,"PASS","FAIL"))</x:f>
        <x:v>PENDING</x:v>
      </x:c>
      <x:c r="AH1276" t="str">
        <x:f>IF(NOT(ISNUMBER(T1276)),"Needs supplier cost",IF(K1276&lt;&gt;"In stock","Supplier unavailable",IF(AG1276&lt;&gt;"PASS","BLOCK - GT loss risk","Commercially protected")))</x:f>
        <x:v>Needs supplier cost</x:v>
      </x:c>
      <x:c r="AI1276" t="str">
        <x:v>2026-09-10 Active Sports trade capture</x:v>
      </x:c>
      <x:c r="AJ1276" t="str">
        <x:v>Management-only economics. Stripe stress test uses 1.5% + £0.20 standard UK online-card fee; pallet/mix-and-match pricing ignored.</x:v>
      </x:c>
    </x:row>
    <x:row r="1277">
      <x:c r="A1277" t="str">
        <x:v>Active Sports Nutrition</x:v>
      </x:c>
      <x:c r="B1277" t="str">
        <x:v>HR Labs</x:v>
      </x:c>
      <x:c r="C1277" t="str">
        <x:v>Cream Of Carbs</x:v>
      </x:c>
      <x:c r="D1277" t="str">
        <x:v>Supplements</x:v>
      </x:c>
      <x:c r="E1277" t="str">
        <x:v>Carbohydrates</x:v>
      </x:c>
      <x:c r="F1277" t="str">
        <x:v>Carbohydrate powder.</x:v>
      </x:c>
      <x:c r="G1277" t="str">
        <x:v>2.28kg</x:v>
      </x:c>
      <x:c r="H1277" t="str">
        <x:v>Double Choc Chunk</x:v>
      </x:c>
      <x:c r="I1277" t="str"/>
      <x:c r="J1277" t="str">
        <x:v>Unit</x:v>
      </x:c>
      <x:c r="K1277" t="str">
        <x:v>In stock</x:v>
      </x:c>
      <x:c r="L1277" t="str">
        <x:v>2026-09-08</x:v>
      </x:c>
      <x:c r="M1277" t="str"/>
      <x:c r="N1277" t="str"/>
      <x:c r="O1277" t="str">
        <x:v>https://www.activesportstrade.co.uk/hr-labs-trade</x:v>
      </x:c>
      <x:c r="P1277" t="str"/>
      <x:c r="Q1277" t="str"/>
      <x:c r="R1277" t="str"/>
      <x:c r="S1277" t="str">
        <x:v>Pending genuine supplier/brand image</x:v>
      </x:c>
      <x:c r="T1277" s="54"/>
      <x:c r="U1277" s="47" t="n">
        <x:v>0.2</x:v>
      </x:c>
      <x:c r="V1277" s="54" t="str">
        <x:f>IF(ISNUMBER(T1277),T1277*(1+U1277),"")</x:f>
      </x:c>
      <x:c r="W1277" s="47" t="n">
        <x:v>0.3</x:v>
      </x:c>
      <x:c r="X1277" s="54" t="str">
        <x:f>IF(ISNUMBER(V1277),V1277/(1-W1277),"")</x:f>
      </x:c>
      <x:c r="Y1277" s="55" t="str">
        <x:f>IF(ISNUMBER(X1277),ROUNDUP(X1277,0),"")</x:f>
      </x:c>
      <x:c r="Z1277" t="str">
        <x:f>IF(ISNUMBER(T1277),"Cost captured","Awaiting trade cost")</x:f>
        <x:v>Awaiting trade cost</x:v>
      </x:c>
      <x:c r="AB1277" s="36" t="str">
        <x:f>IF(ISNUMBER(Y1277),ROUND(Y1277*0.9,2),"")</x:f>
      </x:c>
      <x:c r="AC1277" s="36" t="str">
        <x:f>IF(ISNUMBER(AB1277),ROUND(AB1277-(AB1277*0.015+0.2)-V1277,2),"")</x:f>
      </x:c>
      <x:c r="AD1277" s="36" t="str">
        <x:f>IF(ISNUMBER(Y1277),ROUND(Y1277*0.8,2),"")</x:f>
      </x:c>
      <x:c r="AE1277" s="36" t="str">
        <x:f>IF(ISNUMBER(AD1277),ROUND(AD1277*0.015+0.2,2),"")</x:f>
      </x:c>
      <x:c r="AF1277" s="36" t="str">
        <x:f>IF(ISNUMBER(AD1277),ROUND(AD1277-AE1277-V1277,2),"")</x:f>
      </x:c>
      <x:c r="AG1277" t="str">
        <x:f>IF(NOT(ISNUMBER(T1277)),"PENDING",IF(AF1277&gt;0,"PASS","FAIL"))</x:f>
        <x:v>PENDING</x:v>
      </x:c>
      <x:c r="AH1277" t="str">
        <x:f>IF(NOT(ISNUMBER(T1277)),"Needs supplier cost",IF(K1277&lt;&gt;"In stock","Supplier unavailable",IF(AG1277&lt;&gt;"PASS","BLOCK - GT loss risk","Commercially protected")))</x:f>
        <x:v>Needs supplier cost</x:v>
      </x:c>
      <x:c r="AI1277" t="str">
        <x:v>2026-09-10 Active Sports trade capture</x:v>
      </x:c>
      <x:c r="AJ1277" t="str">
        <x:v>Management-only economics. Stripe stress test uses 1.5% + £0.20 standard UK online-card fee; pallet/mix-and-match pricing ignored.</x:v>
      </x:c>
    </x:row>
    <x:row r="1278">
      <x:c r="A1278" t="str">
        <x:v>Active Sports Nutrition</x:v>
      </x:c>
      <x:c r="B1278" t="str">
        <x:v>HR Labs</x:v>
      </x:c>
      <x:c r="C1278" t="str">
        <x:v>Cream Of Carbs</x:v>
      </x:c>
      <x:c r="D1278" t="str">
        <x:v>Supplements</x:v>
      </x:c>
      <x:c r="E1278" t="str">
        <x:v>Carbohydrates</x:v>
      </x:c>
      <x:c r="F1278" t="str">
        <x:v>Carbohydrate powder.</x:v>
      </x:c>
      <x:c r="G1278" t="str">
        <x:v>2.28kg</x:v>
      </x:c>
      <x:c r="H1278" t="str">
        <x:v>Salted Caramel</x:v>
      </x:c>
      <x:c r="I1278" t="str"/>
      <x:c r="J1278" t="str">
        <x:v>Unit</x:v>
      </x:c>
      <x:c r="K1278" t="str">
        <x:v>In stock</x:v>
      </x:c>
      <x:c r="L1278" t="str">
        <x:v>2026-09-08</x:v>
      </x:c>
      <x:c r="M1278" t="str"/>
      <x:c r="N1278" t="str"/>
      <x:c r="O1278" t="str">
        <x:v>https://www.activesportstrade.co.uk/hr-labs-trade</x:v>
      </x:c>
      <x:c r="P1278" t="str"/>
      <x:c r="Q1278" t="str"/>
      <x:c r="R1278" t="str"/>
      <x:c r="S1278" t="str">
        <x:v>Pending genuine supplier/brand image</x:v>
      </x:c>
      <x:c r="T1278" s="54"/>
      <x:c r="U1278" s="47" t="n">
        <x:v>0.2</x:v>
      </x:c>
      <x:c r="V1278" s="54" t="str">
        <x:f>IF(ISNUMBER(T1278),T1278*(1+U1278),"")</x:f>
      </x:c>
      <x:c r="W1278" s="47" t="n">
        <x:v>0.3</x:v>
      </x:c>
      <x:c r="X1278" s="54" t="str">
        <x:f>IF(ISNUMBER(V1278),V1278/(1-W1278),"")</x:f>
      </x:c>
      <x:c r="Y1278" s="55" t="str">
        <x:f>IF(ISNUMBER(X1278),ROUNDUP(X1278,0),"")</x:f>
      </x:c>
      <x:c r="Z1278" t="str">
        <x:f>IF(ISNUMBER(T1278),"Cost captured","Awaiting trade cost")</x:f>
        <x:v>Awaiting trade cost</x:v>
      </x:c>
      <x:c r="AB1278" s="36" t="str">
        <x:f>IF(ISNUMBER(Y1278),ROUND(Y1278*0.9,2),"")</x:f>
      </x:c>
      <x:c r="AC1278" s="36" t="str">
        <x:f>IF(ISNUMBER(AB1278),ROUND(AB1278-(AB1278*0.015+0.2)-V1278,2),"")</x:f>
      </x:c>
      <x:c r="AD1278" s="36" t="str">
        <x:f>IF(ISNUMBER(Y1278),ROUND(Y1278*0.8,2),"")</x:f>
      </x:c>
      <x:c r="AE1278" s="36" t="str">
        <x:f>IF(ISNUMBER(AD1278),ROUND(AD1278*0.015+0.2,2),"")</x:f>
      </x:c>
      <x:c r="AF1278" s="36" t="str">
        <x:f>IF(ISNUMBER(AD1278),ROUND(AD1278-AE1278-V1278,2),"")</x:f>
      </x:c>
      <x:c r="AG1278" t="str">
        <x:f>IF(NOT(ISNUMBER(T1278)),"PENDING",IF(AF1278&gt;0,"PASS","FAIL"))</x:f>
        <x:v>PENDING</x:v>
      </x:c>
      <x:c r="AH1278" t="str">
        <x:f>IF(NOT(ISNUMBER(T1278)),"Needs supplier cost",IF(K1278&lt;&gt;"In stock","Supplier unavailable",IF(AG1278&lt;&gt;"PASS","BLOCK - GT loss risk","Commercially protected")))</x:f>
        <x:v>Needs supplier cost</x:v>
      </x:c>
      <x:c r="AI1278" t="str">
        <x:v>2026-09-10 Active Sports trade capture</x:v>
      </x:c>
      <x:c r="AJ1278" t="str">
        <x:v>Management-only economics. Stripe stress test uses 1.5% + £0.20 standard UK online-card fee; pallet/mix-and-match pricing ignored.</x:v>
      </x:c>
    </x:row>
    <x:row r="1279">
      <x:c r="A1279" t="str">
        <x:v>Active Sports Nutrition</x:v>
      </x:c>
      <x:c r="B1279" t="str">
        <x:v>HR Labs</x:v>
      </x:c>
      <x:c r="C1279" t="str">
        <x:v>Cream Of Carbs</x:v>
      </x:c>
      <x:c r="D1279" t="str">
        <x:v>Supplements</x:v>
      </x:c>
      <x:c r="E1279" t="str">
        <x:v>Carbohydrates</x:v>
      </x:c>
      <x:c r="F1279" t="str">
        <x:v>Carbohydrate powder.</x:v>
      </x:c>
      <x:c r="G1279" t="str">
        <x:v>2.28kg</x:v>
      </x:c>
      <x:c r="H1279" t="str">
        <x:v>Vanilla Ice Cream</x:v>
      </x:c>
      <x:c r="I1279" t="str"/>
      <x:c r="J1279" t="str">
        <x:v>Unit</x:v>
      </x:c>
      <x:c r="K1279" t="str">
        <x:v>In stock</x:v>
      </x:c>
      <x:c r="L1279" t="str">
        <x:v>2026-09-08</x:v>
      </x:c>
      <x:c r="M1279" t="str"/>
      <x:c r="N1279" t="str"/>
      <x:c r="O1279" t="str">
        <x:v>https://www.activesportstrade.co.uk/hr-labs-trade</x:v>
      </x:c>
      <x:c r="P1279" t="str"/>
      <x:c r="Q1279" t="str"/>
      <x:c r="R1279" t="str"/>
      <x:c r="S1279" t="str">
        <x:v>Pending genuine supplier/brand image</x:v>
      </x:c>
      <x:c r="T1279" s="54"/>
      <x:c r="U1279" s="47" t="n">
        <x:v>0.2</x:v>
      </x:c>
      <x:c r="V1279" s="54" t="str">
        <x:f>IF(ISNUMBER(T1279),T1279*(1+U1279),"")</x:f>
      </x:c>
      <x:c r="W1279" s="47" t="n">
        <x:v>0.3</x:v>
      </x:c>
      <x:c r="X1279" s="54" t="str">
        <x:f>IF(ISNUMBER(V1279),V1279/(1-W1279),"")</x:f>
      </x:c>
      <x:c r="Y1279" s="55" t="str">
        <x:f>IF(ISNUMBER(X1279),ROUNDUP(X1279,0),"")</x:f>
      </x:c>
      <x:c r="Z1279" t="str">
        <x:f>IF(ISNUMBER(T1279),"Cost captured","Awaiting trade cost")</x:f>
        <x:v>Awaiting trade cost</x:v>
      </x:c>
      <x:c r="AB1279" s="36" t="str">
        <x:f>IF(ISNUMBER(Y1279),ROUND(Y1279*0.9,2),"")</x:f>
      </x:c>
      <x:c r="AC1279" s="36" t="str">
        <x:f>IF(ISNUMBER(AB1279),ROUND(AB1279-(AB1279*0.015+0.2)-V1279,2),"")</x:f>
      </x:c>
      <x:c r="AD1279" s="36" t="str">
        <x:f>IF(ISNUMBER(Y1279),ROUND(Y1279*0.8,2),"")</x:f>
      </x:c>
      <x:c r="AE1279" s="36" t="str">
        <x:f>IF(ISNUMBER(AD1279),ROUND(AD1279*0.015+0.2,2),"")</x:f>
      </x:c>
      <x:c r="AF1279" s="36" t="str">
        <x:f>IF(ISNUMBER(AD1279),ROUND(AD1279-AE1279-V1279,2),"")</x:f>
      </x:c>
      <x:c r="AG1279" t="str">
        <x:f>IF(NOT(ISNUMBER(T1279)),"PENDING",IF(AF1279&gt;0,"PASS","FAIL"))</x:f>
        <x:v>PENDING</x:v>
      </x:c>
      <x:c r="AH1279" t="str">
        <x:f>IF(NOT(ISNUMBER(T1279)),"Needs supplier cost",IF(K1279&lt;&gt;"In stock","Supplier unavailable",IF(AG1279&lt;&gt;"PASS","BLOCK - GT loss risk","Commercially protected")))</x:f>
        <x:v>Needs supplier cost</x:v>
      </x:c>
      <x:c r="AI1279" t="str">
        <x:v>2026-09-10 Active Sports trade capture</x:v>
      </x:c>
      <x:c r="AJ1279" t="str">
        <x:v>Management-only economics. Stripe stress test uses 1.5% + £0.20 standard UK online-card fee; pallet/mix-and-match pricing ignored.</x:v>
      </x:c>
    </x:row>
    <x:row r="1280">
      <x:c r="A1280" t="str">
        <x:v>Active Sports Nutrition</x:v>
      </x:c>
      <x:c r="B1280" t="str">
        <x:v>HR Labs</x:v>
      </x:c>
      <x:c r="C1280" t="str">
        <x:v>Creatine Monohydrate</x:v>
      </x:c>
      <x:c r="D1280" t="str">
        <x:v>Supplements</x:v>
      </x:c>
      <x:c r="E1280" t="str">
        <x:v>Creatine Powders</x:v>
      </x:c>
      <x:c r="F1280" t="str"/>
      <x:c r="G1280" t="str">
        <x:v>250g</x:v>
      </x:c>
      <x:c r="H1280" t="str">
        <x:v>Unflavoured</x:v>
      </x:c>
      <x:c r="I1280" t="str"/>
      <x:c r="J1280" t="str">
        <x:v>Unit</x:v>
      </x:c>
      <x:c r="K1280" t="str">
        <x:v>In stock</x:v>
      </x:c>
      <x:c r="L1280" t="str">
        <x:v>2026-09-08</x:v>
      </x:c>
      <x:c r="M1280" t="str"/>
      <x:c r="N1280" t="str"/>
      <x:c r="O1280" t="str">
        <x:v>https://www.activesportstrade.co.uk/hr-labs-trade</x:v>
      </x:c>
      <x:c r="P1280" t="str"/>
      <x:c r="Q1280" t="str"/>
      <x:c r="R1280" t="str"/>
      <x:c r="S1280" t="str">
        <x:v>Pending genuine supplier/brand image</x:v>
      </x:c>
      <x:c r="T1280" s="54"/>
      <x:c r="U1280" s="47" t="n">
        <x:v>0.2</x:v>
      </x:c>
      <x:c r="V1280" s="54" t="str">
        <x:f>IF(ISNUMBER(T1280),T1280*(1+U1280),"")</x:f>
      </x:c>
      <x:c r="W1280" s="47" t="n">
        <x:v>0.3</x:v>
      </x:c>
      <x:c r="X1280" s="54" t="str">
        <x:f>IF(ISNUMBER(V1280),V1280/(1-W1280),"")</x:f>
      </x:c>
      <x:c r="Y1280" s="55" t="str">
        <x:f>IF(ISNUMBER(X1280),ROUNDUP(X1280,0),"")</x:f>
      </x:c>
      <x:c r="Z1280" t="str">
        <x:f>IF(ISNUMBER(T1280),"Cost captured","Awaiting trade cost")</x:f>
        <x:v>Awaiting trade cost</x:v>
      </x:c>
      <x:c r="AB1280" s="36" t="str">
        <x:f>IF(ISNUMBER(Y1280),ROUND(Y1280*0.9,2),"")</x:f>
      </x:c>
      <x:c r="AC1280" s="36" t="str">
        <x:f>IF(ISNUMBER(AB1280),ROUND(AB1280-(AB1280*0.015+0.2)-V1280,2),"")</x:f>
      </x:c>
      <x:c r="AD1280" s="36" t="str">
        <x:f>IF(ISNUMBER(Y1280),ROUND(Y1280*0.8,2),"")</x:f>
      </x:c>
      <x:c r="AE1280" s="36" t="str">
        <x:f>IF(ISNUMBER(AD1280),ROUND(AD1280*0.015+0.2,2),"")</x:f>
      </x:c>
      <x:c r="AF1280" s="36" t="str">
        <x:f>IF(ISNUMBER(AD1280),ROUND(AD1280-AE1280-V1280,2),"")</x:f>
      </x:c>
      <x:c r="AG1280" t="str">
        <x:f>IF(NOT(ISNUMBER(T1280)),"PENDING",IF(AF1280&gt;0,"PASS","FAIL"))</x:f>
        <x:v>PENDING</x:v>
      </x:c>
      <x:c r="AH1280" t="str">
        <x:f>IF(NOT(ISNUMBER(T1280)),"Needs supplier cost",IF(K1280&lt;&gt;"In stock","Supplier unavailable",IF(AG1280&lt;&gt;"PASS","BLOCK - GT loss risk","Commercially protected")))</x:f>
        <x:v>Needs supplier cost</x:v>
      </x:c>
      <x:c r="AI1280" t="str">
        <x:v>2026-09-10 Active Sports trade capture</x:v>
      </x:c>
      <x:c r="AJ1280" t="str">
        <x:v>Management-only economics. Stripe stress test uses 1.5% + £0.20 standard UK online-card fee; pallet/mix-and-match pricing ignored.</x:v>
      </x:c>
    </x:row>
    <x:row r="1281">
      <x:c r="A1281" t="str">
        <x:v>Active Sports Nutrition</x:v>
      </x:c>
      <x:c r="B1281" t="str">
        <x:v>HR Labs</x:v>
      </x:c>
      <x:c r="C1281" t="str">
        <x:v>Defib Proven Edition</x:v>
      </x:c>
      <x:c r="D1281" t="str">
        <x:v>Pre Workouts</x:v>
      </x:c>
      <x:c r="E1281" t="str">
        <x:v>High Stim</x:v>
      </x:c>
      <x:c r="F1281" t="str"/>
      <x:c r="G1281" t="str">
        <x:v>20 servings</x:v>
      </x:c>
      <x:c r="H1281" t="str">
        <x:v>Fruit Punch</x:v>
      </x:c>
      <x:c r="I1281" t="str"/>
      <x:c r="J1281" t="str">
        <x:v>Unit</x:v>
      </x:c>
      <x:c r="K1281" t="str">
        <x:v>In stock</x:v>
      </x:c>
      <x:c r="L1281" t="str">
        <x:v>2026-09-08</x:v>
      </x:c>
      <x:c r="M1281" t="str"/>
      <x:c r="N1281" t="str"/>
      <x:c r="O1281" t="str">
        <x:v>https://www.activesportstrade.co.uk/hr-labs-trade</x:v>
      </x:c>
      <x:c r="P1281" t="str">
        <x:v>LIMITED EDITION wording retained only in notes; canonical product name cleaned.</x:v>
      </x:c>
      <x:c r="Q1281" t="str"/>
      <x:c r="R1281" t="str"/>
      <x:c r="S1281" t="str">
        <x:v>Pending genuine supplier/brand image</x:v>
      </x:c>
      <x:c r="T1281" s="54" t="n">
        <x:v>29.99</x:v>
      </x:c>
      <x:c r="U1281" s="47" t="n">
        <x:v>0.2</x:v>
      </x:c>
      <x:c r="V1281" s="54" t="n">
        <x:f>IF(ISNUMBER(T1281),T1281*(1+U1281),"")</x:f>
        <x:v>35.988</x:v>
      </x:c>
      <x:c r="W1281" s="47" t="n">
        <x:v>0.3</x:v>
      </x:c>
      <x:c r="X1281" s="54" t="n">
        <x:f>IF(ISNUMBER(V1281),V1281/(1-W1281),"")</x:f>
        <x:v>51.41142857142857</x:v>
      </x:c>
      <x:c r="Y1281" s="55" t="n">
        <x:f>IF(ISNUMBER(X1281),ROUNDUP(X1281,0),"")</x:f>
        <x:v>52</x:v>
      </x:c>
      <x:c r="Z1281" t="str">
        <x:v>Source match pending</x:v>
      </x:c>
      <x:c r="AA1281" t="str">
        <x:v>screencapture-www-activesportstrade-co-uk-hr-labs-trade-2026-09-09-18_31_19.png / page-001</x:v>
      </x:c>
      <x:c r="AB1281" s="36" t="n">
        <x:f>IF(ISNUMBER(Y1281),ROUND(Y1281*0.9,2),"")</x:f>
        <x:v>46.8</x:v>
      </x:c>
      <x:c r="AC1281" s="36" t="n">
        <x:f>IF(ISNUMBER(AB1281),ROUND(AB1281-(AB1281*0.015+0.2)-V1281,2),"")</x:f>
        <x:v>9.91</x:v>
      </x:c>
      <x:c r="AD1281" s="36" t="n">
        <x:f>IF(ISNUMBER(Y1281),ROUND(Y1281*0.8,2),"")</x:f>
        <x:v>41.6</x:v>
      </x:c>
      <x:c r="AE1281" s="36" t="n">
        <x:f>IF(ISNUMBER(AD1281),ROUND(AD1281*0.015+0.2,2),"")</x:f>
        <x:v>0.82</x:v>
      </x:c>
      <x:c r="AF1281" s="36" t="n">
        <x:f>IF(ISNUMBER(AD1281),ROUND(AD1281-AE1281-V1281,2),"")</x:f>
        <x:v>4.79</x:v>
      </x:c>
      <x:c r="AG1281" t="str">
        <x:f>IF(NOT(ISNUMBER(T1281)),"PENDING",IF(AF1281&gt;0,"PASS","FAIL"))</x:f>
        <x:v>PASS</x:v>
      </x:c>
      <x:c r="AH1281" t="str">
        <x:f>IF(NOT(ISNUMBER(T1281)),"Needs supplier cost",IF(K1281&lt;&gt;"In stock","Supplier unavailable",IF(AG1281&lt;&gt;"PASS","BLOCK - GT loss risk","Commercially protected")))</x:f>
        <x:v>Commercially protected</x:v>
      </x:c>
      <x:c r="AI1281" t="str">
        <x:v>2026-09-10 Active Sports trade capture</x:v>
      </x:c>
      <x:c r="AJ1281" t="str">
        <x:v>Management-only economics. Stripe stress test uses 1.5% + £0.20 standard UK online-card fee; pallet/mix-and-match pricing ignored.</x:v>
      </x:c>
    </x:row>
    <x:row r="1282">
      <x:c r="A1282" t="str">
        <x:v>Active Sports Nutrition</x:v>
      </x:c>
      <x:c r="B1282" t="str">
        <x:v>HR Labs</x:v>
      </x:c>
      <x:c r="C1282" t="str">
        <x:v>Defib V4 Pre Workout</x:v>
      </x:c>
      <x:c r="D1282" t="str">
        <x:v>Pre Workouts</x:v>
      </x:c>
      <x:c r="E1282" t="str">
        <x:v>High Stim</x:v>
      </x:c>
      <x:c r="F1282" t="str"/>
      <x:c r="G1282" t="str">
        <x:v>420g</x:v>
      </x:c>
      <x:c r="H1282" t="str">
        <x:v>Cherryade</x:v>
      </x:c>
      <x:c r="I1282" t="str"/>
      <x:c r="J1282" t="str">
        <x:v>Unit</x:v>
      </x:c>
      <x:c r="K1282" t="str">
        <x:v>In stock</x:v>
      </x:c>
      <x:c r="L1282" t="str">
        <x:v>2026-09-08</x:v>
      </x:c>
      <x:c r="M1282" t="str"/>
      <x:c r="N1282" t="str"/>
      <x:c r="O1282" t="str">
        <x:v>https://www.activesportstrade.co.uk/hr-labs-trade</x:v>
      </x:c>
      <x:c r="P1282" t="str"/>
      <x:c r="Q1282" t="str"/>
      <x:c r="R1282" t="str"/>
      <x:c r="S1282" t="str">
        <x:v>Pending genuine supplier/brand image</x:v>
      </x:c>
      <x:c r="T1282" s="54" t="n">
        <x:v>19.99</x:v>
      </x:c>
      <x:c r="U1282" s="47" t="n">
        <x:v>0.2</x:v>
      </x:c>
      <x:c r="V1282" s="54" t="n">
        <x:f>IF(ISNUMBER(T1282),T1282*(1+U1282),"")</x:f>
        <x:v>23.987999999999996</x:v>
      </x:c>
      <x:c r="W1282" s="47" t="n">
        <x:v>0.3</x:v>
      </x:c>
      <x:c r="X1282" s="54" t="n">
        <x:f>IF(ISNUMBER(V1282),V1282/(1-W1282),"")</x:f>
        <x:v>34.26857142857143</x:v>
      </x:c>
      <x:c r="Y1282" s="55" t="n">
        <x:f>IF(ISNUMBER(X1282),ROUNDUP(X1282,0),"")</x:f>
        <x:v>35</x:v>
      </x:c>
      <x:c r="Z1282" t="str">
        <x:v>Source match pending</x:v>
      </x:c>
      <x:c r="AA1282" t="str">
        <x:v>screencapture-www-activesportstrade-co-uk-hr-labs-trade-2026-09-09-18_31_19.png / page-001</x:v>
      </x:c>
      <x:c r="AB1282" s="36" t="n">
        <x:f>IF(ISNUMBER(Y1282),ROUND(Y1282*0.9,2),"")</x:f>
        <x:v>31.5</x:v>
      </x:c>
      <x:c r="AC1282" s="36" t="n">
        <x:f>IF(ISNUMBER(AB1282),ROUND(AB1282-(AB1282*0.015+0.2)-V1282,2),"")</x:f>
        <x:v>6.84</x:v>
      </x:c>
      <x:c r="AD1282" s="36" t="n">
        <x:f>IF(ISNUMBER(Y1282),ROUND(Y1282*0.8,2),"")</x:f>
        <x:v>28</x:v>
      </x:c>
      <x:c r="AE1282" s="36" t="n">
        <x:f>IF(ISNUMBER(AD1282),ROUND(AD1282*0.015+0.2,2),"")</x:f>
        <x:v>0.62</x:v>
      </x:c>
      <x:c r="AF1282" s="36" t="n">
        <x:f>IF(ISNUMBER(AD1282),ROUND(AD1282-AE1282-V1282,2),"")</x:f>
        <x:v>3.39</x:v>
      </x:c>
      <x:c r="AG1282" t="str">
        <x:f>IF(NOT(ISNUMBER(T1282)),"PENDING",IF(AF1282&gt;0,"PASS","FAIL"))</x:f>
        <x:v>PASS</x:v>
      </x:c>
      <x:c r="AH1282" t="str">
        <x:f>IF(NOT(ISNUMBER(T1282)),"Needs supplier cost",IF(K1282&lt;&gt;"In stock","Supplier unavailable",IF(AG1282&lt;&gt;"PASS","BLOCK - GT loss risk","Commercially protected")))</x:f>
        <x:v>Commercially protected</x:v>
      </x:c>
      <x:c r="AI1282" t="str">
        <x:v>2026-09-10 Active Sports trade capture</x:v>
      </x:c>
      <x:c r="AJ1282" t="str">
        <x:v>Management-only economics. Stripe stress test uses 1.5% + £0.20 standard UK online-card fee; pallet/mix-and-match pricing ignored.</x:v>
      </x:c>
    </x:row>
    <x:row r="1283">
      <x:c r="A1283" t="str">
        <x:v>Active Sports Nutrition</x:v>
      </x:c>
      <x:c r="B1283" t="str">
        <x:v>HR Labs</x:v>
      </x:c>
      <x:c r="C1283" t="str">
        <x:v>Defib V4 Pre Workout</x:v>
      </x:c>
      <x:c r="D1283" t="str">
        <x:v>Pre Workouts</x:v>
      </x:c>
      <x:c r="E1283" t="str">
        <x:v>High Stim</x:v>
      </x:c>
      <x:c r="F1283" t="str"/>
      <x:c r="G1283" t="str">
        <x:v>420g</x:v>
      </x:c>
      <x:c r="H1283" t="str">
        <x:v>Fizzy Bubblegum Bottles</x:v>
      </x:c>
      <x:c r="I1283" t="str"/>
      <x:c r="J1283" t="str">
        <x:v>Unit</x:v>
      </x:c>
      <x:c r="K1283" t="str">
        <x:v>In stock</x:v>
      </x:c>
      <x:c r="L1283" t="str">
        <x:v>2026-09-08</x:v>
      </x:c>
      <x:c r="M1283" t="str"/>
      <x:c r="N1283" t="str"/>
      <x:c r="O1283" t="str">
        <x:v>https://www.activesportstrade.co.uk/hr-labs-trade</x:v>
      </x:c>
      <x:c r="P1283" t="str"/>
      <x:c r="Q1283" t="str"/>
      <x:c r="R1283" t="str"/>
      <x:c r="S1283" t="str">
        <x:v>Pending genuine supplier/brand image</x:v>
      </x:c>
      <x:c r="T1283" s="54" t="n">
        <x:v>19.99</x:v>
      </x:c>
      <x:c r="U1283" s="47" t="n">
        <x:v>0.2</x:v>
      </x:c>
      <x:c r="V1283" s="54" t="n">
        <x:f>IF(ISNUMBER(T1283),T1283*(1+U1283),"")</x:f>
        <x:v>23.987999999999996</x:v>
      </x:c>
      <x:c r="W1283" s="47" t="n">
        <x:v>0.3</x:v>
      </x:c>
      <x:c r="X1283" s="54" t="n">
        <x:f>IF(ISNUMBER(V1283),V1283/(1-W1283),"")</x:f>
        <x:v>34.26857142857143</x:v>
      </x:c>
      <x:c r="Y1283" s="55" t="n">
        <x:f>IF(ISNUMBER(X1283),ROUNDUP(X1283,0),"")</x:f>
        <x:v>35</x:v>
      </x:c>
      <x:c r="Z1283" t="str">
        <x:v>Source match pending</x:v>
      </x:c>
      <x:c r="AA1283" t="str">
        <x:v>screencapture-www-activesportstrade-co-uk-hr-labs-trade-2026-09-09-18_31_19.png / page-001</x:v>
      </x:c>
      <x:c r="AB1283" s="36" t="n">
        <x:f>IF(ISNUMBER(Y1283),ROUND(Y1283*0.9,2),"")</x:f>
        <x:v>31.5</x:v>
      </x:c>
      <x:c r="AC1283" s="36" t="n">
        <x:f>IF(ISNUMBER(AB1283),ROUND(AB1283-(AB1283*0.015+0.2)-V1283,2),"")</x:f>
        <x:v>6.84</x:v>
      </x:c>
      <x:c r="AD1283" s="36" t="n">
        <x:f>IF(ISNUMBER(Y1283),ROUND(Y1283*0.8,2),"")</x:f>
        <x:v>28</x:v>
      </x:c>
      <x:c r="AE1283" s="36" t="n">
        <x:f>IF(ISNUMBER(AD1283),ROUND(AD1283*0.015+0.2,2),"")</x:f>
        <x:v>0.62</x:v>
      </x:c>
      <x:c r="AF1283" s="36" t="n">
        <x:f>IF(ISNUMBER(AD1283),ROUND(AD1283-AE1283-V1283,2),"")</x:f>
        <x:v>3.39</x:v>
      </x:c>
      <x:c r="AG1283" t="str">
        <x:f>IF(NOT(ISNUMBER(T1283)),"PENDING",IF(AF1283&gt;0,"PASS","FAIL"))</x:f>
        <x:v>PASS</x:v>
      </x:c>
      <x:c r="AH1283" t="str">
        <x:f>IF(NOT(ISNUMBER(T1283)),"Needs supplier cost",IF(K1283&lt;&gt;"In stock","Supplier unavailable",IF(AG1283&lt;&gt;"PASS","BLOCK - GT loss risk","Commercially protected")))</x:f>
        <x:v>Commercially protected</x:v>
      </x:c>
      <x:c r="AI1283" t="str">
        <x:v>2026-09-10 Active Sports trade capture</x:v>
      </x:c>
      <x:c r="AJ1283" t="str">
        <x:v>Management-only economics. Stripe stress test uses 1.5% + £0.20 standard UK online-card fee; pallet/mix-and-match pricing ignored.</x:v>
      </x:c>
    </x:row>
    <x:row r="1284">
      <x:c r="A1284" t="str">
        <x:v>Active Sports Nutrition</x:v>
      </x:c>
      <x:c r="B1284" t="str">
        <x:v>HR Labs</x:v>
      </x:c>
      <x:c r="C1284" t="str">
        <x:v>Defib V4 Pre Workout</x:v>
      </x:c>
      <x:c r="D1284" t="str">
        <x:v>Pre Workouts</x:v>
      </x:c>
      <x:c r="E1284" t="str">
        <x:v>High Stim</x:v>
      </x:c>
      <x:c r="F1284" t="str"/>
      <x:c r="G1284" t="str">
        <x:v>420g</x:v>
      </x:c>
      <x:c r="H1284" t="str">
        <x:v>Fizzy Cola Bottles</x:v>
      </x:c>
      <x:c r="I1284" t="str"/>
      <x:c r="J1284" t="str">
        <x:v>Unit</x:v>
      </x:c>
      <x:c r="K1284" t="str">
        <x:v>In stock</x:v>
      </x:c>
      <x:c r="L1284" t="str">
        <x:v>2026-09-08</x:v>
      </x:c>
      <x:c r="M1284" t="str"/>
      <x:c r="N1284" t="str"/>
      <x:c r="O1284" t="str">
        <x:v>https://www.activesportstrade.co.uk/hr-labs-trade</x:v>
      </x:c>
      <x:c r="P1284" t="str"/>
      <x:c r="Q1284" t="str"/>
      <x:c r="R1284" t="str"/>
      <x:c r="S1284" t="str">
        <x:v>Pending genuine supplier/brand image</x:v>
      </x:c>
      <x:c r="T1284" s="54" t="n">
        <x:v>19.99</x:v>
      </x:c>
      <x:c r="U1284" s="47" t="n">
        <x:v>0.2</x:v>
      </x:c>
      <x:c r="V1284" s="54" t="n">
        <x:f>IF(ISNUMBER(T1284),T1284*(1+U1284),"")</x:f>
        <x:v>23.987999999999996</x:v>
      </x:c>
      <x:c r="W1284" s="47" t="n">
        <x:v>0.3</x:v>
      </x:c>
      <x:c r="X1284" s="54" t="n">
        <x:f>IF(ISNUMBER(V1284),V1284/(1-W1284),"")</x:f>
        <x:v>34.26857142857143</x:v>
      </x:c>
      <x:c r="Y1284" s="55" t="n">
        <x:f>IF(ISNUMBER(X1284),ROUNDUP(X1284,0),"")</x:f>
        <x:v>35</x:v>
      </x:c>
      <x:c r="Z1284" t="str">
        <x:v>Source match pending</x:v>
      </x:c>
      <x:c r="AA1284" t="str">
        <x:v>screencapture-www-activesportstrade-co-uk-hr-labs-trade-2026-09-09-18_31_19.png / page-001</x:v>
      </x:c>
      <x:c r="AB1284" s="36" t="n">
        <x:f>IF(ISNUMBER(Y1284),ROUND(Y1284*0.9,2),"")</x:f>
        <x:v>31.5</x:v>
      </x:c>
      <x:c r="AC1284" s="36" t="n">
        <x:f>IF(ISNUMBER(AB1284),ROUND(AB1284-(AB1284*0.015+0.2)-V1284,2),"")</x:f>
        <x:v>6.84</x:v>
      </x:c>
      <x:c r="AD1284" s="36" t="n">
        <x:f>IF(ISNUMBER(Y1284),ROUND(Y1284*0.8,2),"")</x:f>
        <x:v>28</x:v>
      </x:c>
      <x:c r="AE1284" s="36" t="n">
        <x:f>IF(ISNUMBER(AD1284),ROUND(AD1284*0.015+0.2,2),"")</x:f>
        <x:v>0.62</x:v>
      </x:c>
      <x:c r="AF1284" s="36" t="n">
        <x:f>IF(ISNUMBER(AD1284),ROUND(AD1284-AE1284-V1284,2),"")</x:f>
        <x:v>3.39</x:v>
      </x:c>
      <x:c r="AG1284" t="str">
        <x:f>IF(NOT(ISNUMBER(T1284)),"PENDING",IF(AF1284&gt;0,"PASS","FAIL"))</x:f>
        <x:v>PASS</x:v>
      </x:c>
      <x:c r="AH1284" t="str">
        <x:f>IF(NOT(ISNUMBER(T1284)),"Needs supplier cost",IF(K1284&lt;&gt;"In stock","Supplier unavailable",IF(AG1284&lt;&gt;"PASS","BLOCK - GT loss risk","Commercially protected")))</x:f>
        <x:v>Commercially protected</x:v>
      </x:c>
      <x:c r="AI1284" t="str">
        <x:v>2026-09-10 Active Sports trade capture</x:v>
      </x:c>
      <x:c r="AJ1284" t="str">
        <x:v>Management-only economics. Stripe stress test uses 1.5% + £0.20 standard UK online-card fee; pallet/mix-and-match pricing ignored.</x:v>
      </x:c>
    </x:row>
    <x:row r="1285">
      <x:c r="A1285" t="str">
        <x:v>Active Sports Nutrition</x:v>
      </x:c>
      <x:c r="B1285" t="str">
        <x:v>HR Labs</x:v>
      </x:c>
      <x:c r="C1285" t="str">
        <x:v>Defib V4 Pre Workout</x:v>
      </x:c>
      <x:c r="D1285" t="str">
        <x:v>Pre Workouts</x:v>
      </x:c>
      <x:c r="E1285" t="str">
        <x:v>High Stim</x:v>
      </x:c>
      <x:c r="F1285" t="str"/>
      <x:c r="G1285" t="str">
        <x:v>420g</x:v>
      </x:c>
      <x:c r="H1285" t="str">
        <x:v>Fruit Punch</x:v>
      </x:c>
      <x:c r="I1285" t="str"/>
      <x:c r="J1285" t="str">
        <x:v>Unit</x:v>
      </x:c>
      <x:c r="K1285" t="str">
        <x:v>In stock</x:v>
      </x:c>
      <x:c r="L1285" t="str">
        <x:v>2026-09-08</x:v>
      </x:c>
      <x:c r="M1285" t="str"/>
      <x:c r="N1285" t="str"/>
      <x:c r="O1285" t="str">
        <x:v>https://www.activesportstrade.co.uk/hr-labs-trade</x:v>
      </x:c>
      <x:c r="P1285" t="str"/>
      <x:c r="Q1285" t="str"/>
      <x:c r="R1285" t="str"/>
      <x:c r="S1285" t="str">
        <x:v>Pending genuine supplier/brand image</x:v>
      </x:c>
      <x:c r="T1285" s="54" t="n">
        <x:v>19.99</x:v>
      </x:c>
      <x:c r="U1285" s="47" t="n">
        <x:v>0.2</x:v>
      </x:c>
      <x:c r="V1285" s="54" t="n">
        <x:f>IF(ISNUMBER(T1285),T1285*(1+U1285),"")</x:f>
        <x:v>23.987999999999996</x:v>
      </x:c>
      <x:c r="W1285" s="47" t="n">
        <x:v>0.3</x:v>
      </x:c>
      <x:c r="X1285" s="54" t="n">
        <x:f>IF(ISNUMBER(V1285),V1285/(1-W1285),"")</x:f>
        <x:v>34.26857142857143</x:v>
      </x:c>
      <x:c r="Y1285" s="55" t="n">
        <x:f>IF(ISNUMBER(X1285),ROUNDUP(X1285,0),"")</x:f>
        <x:v>35</x:v>
      </x:c>
      <x:c r="Z1285" t="str">
        <x:v>Source match pending</x:v>
      </x:c>
      <x:c r="AA1285" t="str">
        <x:v>screencapture-www-activesportstrade-co-uk-hr-labs-trade-2026-09-09-18_31_19.png / page-001</x:v>
      </x:c>
      <x:c r="AB1285" s="36" t="n">
        <x:f>IF(ISNUMBER(Y1285),ROUND(Y1285*0.9,2),"")</x:f>
        <x:v>31.5</x:v>
      </x:c>
      <x:c r="AC1285" s="36" t="n">
        <x:f>IF(ISNUMBER(AB1285),ROUND(AB1285-(AB1285*0.015+0.2)-V1285,2),"")</x:f>
        <x:v>6.84</x:v>
      </x:c>
      <x:c r="AD1285" s="36" t="n">
        <x:f>IF(ISNUMBER(Y1285),ROUND(Y1285*0.8,2),"")</x:f>
        <x:v>28</x:v>
      </x:c>
      <x:c r="AE1285" s="36" t="n">
        <x:f>IF(ISNUMBER(AD1285),ROUND(AD1285*0.015+0.2,2),"")</x:f>
        <x:v>0.62</x:v>
      </x:c>
      <x:c r="AF1285" s="36" t="n">
        <x:f>IF(ISNUMBER(AD1285),ROUND(AD1285-AE1285-V1285,2),"")</x:f>
        <x:v>3.39</x:v>
      </x:c>
      <x:c r="AG1285" t="str">
        <x:f>IF(NOT(ISNUMBER(T1285)),"PENDING",IF(AF1285&gt;0,"PASS","FAIL"))</x:f>
        <x:v>PASS</x:v>
      </x:c>
      <x:c r="AH1285" t="str">
        <x:f>IF(NOT(ISNUMBER(T1285)),"Needs supplier cost",IF(K1285&lt;&gt;"In stock","Supplier unavailable",IF(AG1285&lt;&gt;"PASS","BLOCK - GT loss risk","Commercially protected")))</x:f>
        <x:v>Commercially protected</x:v>
      </x:c>
      <x:c r="AI1285" t="str">
        <x:v>2026-09-10 Active Sports trade capture</x:v>
      </x:c>
      <x:c r="AJ1285" t="str">
        <x:v>Management-only economics. Stripe stress test uses 1.5% + £0.20 standard UK online-card fee; pallet/mix-and-match pricing ignored.</x:v>
      </x:c>
    </x:row>
    <x:row r="1286">
      <x:c r="A1286" t="str">
        <x:v>Active Sports Nutrition</x:v>
      </x:c>
      <x:c r="B1286" t="str">
        <x:v>HR Labs</x:v>
      </x:c>
      <x:c r="C1286" t="str">
        <x:v>Defib V4 Pre Workout</x:v>
      </x:c>
      <x:c r="D1286" t="str">
        <x:v>Pre Workouts</x:v>
      </x:c>
      <x:c r="E1286" t="str">
        <x:v>High Stim</x:v>
      </x:c>
      <x:c r="F1286" t="str"/>
      <x:c r="G1286" t="str">
        <x:v>420g</x:v>
      </x:c>
      <x:c r="H1286" t="str">
        <x:v>Gummy Bears</x:v>
      </x:c>
      <x:c r="I1286" t="str"/>
      <x:c r="J1286" t="str">
        <x:v>Unit</x:v>
      </x:c>
      <x:c r="K1286" t="str">
        <x:v>In stock</x:v>
      </x:c>
      <x:c r="L1286" t="str">
        <x:v>2026-09-08</x:v>
      </x:c>
      <x:c r="M1286" t="str"/>
      <x:c r="N1286" t="str"/>
      <x:c r="O1286" t="str">
        <x:v>https://www.activesportstrade.co.uk/hr-labs-trade</x:v>
      </x:c>
      <x:c r="P1286" t="str"/>
      <x:c r="Q1286" t="str"/>
      <x:c r="R1286" t="str"/>
      <x:c r="S1286" t="str">
        <x:v>Pending genuine supplier/brand image</x:v>
      </x:c>
      <x:c r="T1286" s="54" t="n">
        <x:v>19.99</x:v>
      </x:c>
      <x:c r="U1286" s="47" t="n">
        <x:v>0.2</x:v>
      </x:c>
      <x:c r="V1286" s="54" t="n">
        <x:f>IF(ISNUMBER(T1286),T1286*(1+U1286),"")</x:f>
        <x:v>23.987999999999996</x:v>
      </x:c>
      <x:c r="W1286" s="47" t="n">
        <x:v>0.3</x:v>
      </x:c>
      <x:c r="X1286" s="54" t="n">
        <x:f>IF(ISNUMBER(V1286),V1286/(1-W1286),"")</x:f>
        <x:v>34.26857142857143</x:v>
      </x:c>
      <x:c r="Y1286" s="55" t="n">
        <x:f>IF(ISNUMBER(X1286),ROUNDUP(X1286,0),"")</x:f>
        <x:v>35</x:v>
      </x:c>
      <x:c r="Z1286" t="str">
        <x:v>Source match pending</x:v>
      </x:c>
      <x:c r="AA1286" t="str">
        <x:v>screencapture-www-activesportstrade-co-uk-hr-labs-trade-2026-09-09-18_31_19.png / page-001</x:v>
      </x:c>
      <x:c r="AB1286" s="36" t="n">
        <x:f>IF(ISNUMBER(Y1286),ROUND(Y1286*0.9,2),"")</x:f>
        <x:v>31.5</x:v>
      </x:c>
      <x:c r="AC1286" s="36" t="n">
        <x:f>IF(ISNUMBER(AB1286),ROUND(AB1286-(AB1286*0.015+0.2)-V1286,2),"")</x:f>
        <x:v>6.84</x:v>
      </x:c>
      <x:c r="AD1286" s="36" t="n">
        <x:f>IF(ISNUMBER(Y1286),ROUND(Y1286*0.8,2),"")</x:f>
        <x:v>28</x:v>
      </x:c>
      <x:c r="AE1286" s="36" t="n">
        <x:f>IF(ISNUMBER(AD1286),ROUND(AD1286*0.015+0.2,2),"")</x:f>
        <x:v>0.62</x:v>
      </x:c>
      <x:c r="AF1286" s="36" t="n">
        <x:f>IF(ISNUMBER(AD1286),ROUND(AD1286-AE1286-V1286,2),"")</x:f>
        <x:v>3.39</x:v>
      </x:c>
      <x:c r="AG1286" t="str">
        <x:f>IF(NOT(ISNUMBER(T1286)),"PENDING",IF(AF1286&gt;0,"PASS","FAIL"))</x:f>
        <x:v>PASS</x:v>
      </x:c>
      <x:c r="AH1286" t="str">
        <x:f>IF(NOT(ISNUMBER(T1286)),"Needs supplier cost",IF(K1286&lt;&gt;"In stock","Supplier unavailable",IF(AG1286&lt;&gt;"PASS","BLOCK - GT loss risk","Commercially protected")))</x:f>
        <x:v>Commercially protected</x:v>
      </x:c>
      <x:c r="AI1286" t="str">
        <x:v>2026-09-10 Active Sports trade capture</x:v>
      </x:c>
      <x:c r="AJ1286" t="str">
        <x:v>Management-only economics. Stripe stress test uses 1.5% + £0.20 standard UK online-card fee; pallet/mix-and-match pricing ignored.</x:v>
      </x:c>
    </x:row>
    <x:row r="1287">
      <x:c r="A1287" t="str">
        <x:v>Active Sports Nutrition</x:v>
      </x:c>
      <x:c r="B1287" t="str">
        <x:v>HR Labs</x:v>
      </x:c>
      <x:c r="C1287" t="str">
        <x:v>Defib V4 Pre Workout</x:v>
      </x:c>
      <x:c r="D1287" t="str">
        <x:v>Pre Workouts</x:v>
      </x:c>
      <x:c r="E1287" t="str">
        <x:v>High Stim</x:v>
      </x:c>
      <x:c r="F1287" t="str"/>
      <x:c r="G1287" t="str">
        <x:v>420g</x:v>
      </x:c>
      <x:c r="H1287" t="str">
        <x:v>Iced Blue Slush</x:v>
      </x:c>
      <x:c r="I1287" t="str"/>
      <x:c r="J1287" t="str">
        <x:v>Unit</x:v>
      </x:c>
      <x:c r="K1287" t="str">
        <x:v>In stock</x:v>
      </x:c>
      <x:c r="L1287" t="str">
        <x:v>2026-09-08</x:v>
      </x:c>
      <x:c r="M1287" t="str"/>
      <x:c r="N1287" t="str"/>
      <x:c r="O1287" t="str">
        <x:v>https://www.activesportstrade.co.uk/hr-labs-trade</x:v>
      </x:c>
      <x:c r="P1287" t="str"/>
      <x:c r="Q1287" t="str"/>
      <x:c r="R1287" t="str"/>
      <x:c r="S1287" t="str">
        <x:v>Pending genuine supplier/brand image</x:v>
      </x:c>
      <x:c r="T1287" s="54" t="n">
        <x:v>19.99</x:v>
      </x:c>
      <x:c r="U1287" s="47" t="n">
        <x:v>0.2</x:v>
      </x:c>
      <x:c r="V1287" s="54" t="n">
        <x:f>IF(ISNUMBER(T1287),T1287*(1+U1287),"")</x:f>
        <x:v>23.987999999999996</x:v>
      </x:c>
      <x:c r="W1287" s="47" t="n">
        <x:v>0.3</x:v>
      </x:c>
      <x:c r="X1287" s="54" t="n">
        <x:f>IF(ISNUMBER(V1287),V1287/(1-W1287),"")</x:f>
        <x:v>34.26857142857143</x:v>
      </x:c>
      <x:c r="Y1287" s="55" t="n">
        <x:f>IF(ISNUMBER(X1287),ROUNDUP(X1287,0),"")</x:f>
        <x:v>35</x:v>
      </x:c>
      <x:c r="Z1287" t="str">
        <x:v>Source match pending</x:v>
      </x:c>
      <x:c r="AA1287" t="str">
        <x:v>screencapture-www-activesportstrade-co-uk-hr-labs-trade-2026-09-09-18_31_19.png / page-001</x:v>
      </x:c>
      <x:c r="AB1287" s="36" t="n">
        <x:f>IF(ISNUMBER(Y1287),ROUND(Y1287*0.9,2),"")</x:f>
        <x:v>31.5</x:v>
      </x:c>
      <x:c r="AC1287" s="36" t="n">
        <x:f>IF(ISNUMBER(AB1287),ROUND(AB1287-(AB1287*0.015+0.2)-V1287,2),"")</x:f>
        <x:v>6.84</x:v>
      </x:c>
      <x:c r="AD1287" s="36" t="n">
        <x:f>IF(ISNUMBER(Y1287),ROUND(Y1287*0.8,2),"")</x:f>
        <x:v>28</x:v>
      </x:c>
      <x:c r="AE1287" s="36" t="n">
        <x:f>IF(ISNUMBER(AD1287),ROUND(AD1287*0.015+0.2,2),"")</x:f>
        <x:v>0.62</x:v>
      </x:c>
      <x:c r="AF1287" s="36" t="n">
        <x:f>IF(ISNUMBER(AD1287),ROUND(AD1287-AE1287-V1287,2),"")</x:f>
        <x:v>3.39</x:v>
      </x:c>
      <x:c r="AG1287" t="str">
        <x:f>IF(NOT(ISNUMBER(T1287)),"PENDING",IF(AF1287&gt;0,"PASS","FAIL"))</x:f>
        <x:v>PASS</x:v>
      </x:c>
      <x:c r="AH1287" t="str">
        <x:f>IF(NOT(ISNUMBER(T1287)),"Needs supplier cost",IF(K1287&lt;&gt;"In stock","Supplier unavailable",IF(AG1287&lt;&gt;"PASS","BLOCK - GT loss risk","Commercially protected")))</x:f>
        <x:v>Commercially protected</x:v>
      </x:c>
      <x:c r="AI1287" t="str">
        <x:v>2026-09-10 Active Sports trade capture</x:v>
      </x:c>
      <x:c r="AJ1287" t="str">
        <x:v>Management-only economics. Stripe stress test uses 1.5% + £0.20 standard UK online-card fee; pallet/mix-and-match pricing ignored.</x:v>
      </x:c>
    </x:row>
    <x:row r="1288">
      <x:c r="A1288" t="str">
        <x:v>Active Sports Nutrition</x:v>
      </x:c>
      <x:c r="B1288" t="str">
        <x:v>HR Labs</x:v>
      </x:c>
      <x:c r="C1288" t="str">
        <x:v>Defib V4 Pre Workout</x:v>
      </x:c>
      <x:c r="D1288" t="str">
        <x:v>Pre Workouts</x:v>
      </x:c>
      <x:c r="E1288" t="str">
        <x:v>High Stim</x:v>
      </x:c>
      <x:c r="F1288" t="str"/>
      <x:c r="G1288" t="str">
        <x:v>420g</x:v>
      </x:c>
      <x:c r="H1288" t="str">
        <x:v>Lemon Fizz Bombs</x:v>
      </x:c>
      <x:c r="I1288" t="str"/>
      <x:c r="J1288" t="str">
        <x:v>Unit</x:v>
      </x:c>
      <x:c r="K1288" t="str">
        <x:v>In stock</x:v>
      </x:c>
      <x:c r="L1288" t="str">
        <x:v>2026-09-08</x:v>
      </x:c>
      <x:c r="M1288" t="str"/>
      <x:c r="N1288" t="str"/>
      <x:c r="O1288" t="str">
        <x:v>https://www.activesportstrade.co.uk/hr-labs-trade</x:v>
      </x:c>
      <x:c r="P1288" t="str"/>
      <x:c r="Q1288" t="str"/>
      <x:c r="R1288" t="str"/>
      <x:c r="S1288" t="str">
        <x:v>Pending genuine supplier/brand image</x:v>
      </x:c>
      <x:c r="T1288" s="54" t="n">
        <x:v>19.99</x:v>
      </x:c>
      <x:c r="U1288" s="47" t="n">
        <x:v>0.2</x:v>
      </x:c>
      <x:c r="V1288" s="54" t="n">
        <x:f>IF(ISNUMBER(T1288),T1288*(1+U1288),"")</x:f>
        <x:v>23.987999999999996</x:v>
      </x:c>
      <x:c r="W1288" s="47" t="n">
        <x:v>0.3</x:v>
      </x:c>
      <x:c r="X1288" s="54" t="n">
        <x:f>IF(ISNUMBER(V1288),V1288/(1-W1288),"")</x:f>
        <x:v>34.26857142857143</x:v>
      </x:c>
      <x:c r="Y1288" s="55" t="n">
        <x:f>IF(ISNUMBER(X1288),ROUNDUP(X1288,0),"")</x:f>
        <x:v>35</x:v>
      </x:c>
      <x:c r="Z1288" t="str">
        <x:v>Source match pending</x:v>
      </x:c>
      <x:c r="AA1288" t="str">
        <x:v>screencapture-www-activesportstrade-co-uk-hr-labs-trade-2026-09-09-18_31_19.png / page-001</x:v>
      </x:c>
      <x:c r="AB1288" s="36" t="n">
        <x:f>IF(ISNUMBER(Y1288),ROUND(Y1288*0.9,2),"")</x:f>
        <x:v>31.5</x:v>
      </x:c>
      <x:c r="AC1288" s="36" t="n">
        <x:f>IF(ISNUMBER(AB1288),ROUND(AB1288-(AB1288*0.015+0.2)-V1288,2),"")</x:f>
        <x:v>6.84</x:v>
      </x:c>
      <x:c r="AD1288" s="36" t="n">
        <x:f>IF(ISNUMBER(Y1288),ROUND(Y1288*0.8,2),"")</x:f>
        <x:v>28</x:v>
      </x:c>
      <x:c r="AE1288" s="36" t="n">
        <x:f>IF(ISNUMBER(AD1288),ROUND(AD1288*0.015+0.2,2),"")</x:f>
        <x:v>0.62</x:v>
      </x:c>
      <x:c r="AF1288" s="36" t="n">
        <x:f>IF(ISNUMBER(AD1288),ROUND(AD1288-AE1288-V1288,2),"")</x:f>
        <x:v>3.39</x:v>
      </x:c>
      <x:c r="AG1288" t="str">
        <x:f>IF(NOT(ISNUMBER(T1288)),"PENDING",IF(AF1288&gt;0,"PASS","FAIL"))</x:f>
        <x:v>PASS</x:v>
      </x:c>
      <x:c r="AH1288" t="str">
        <x:f>IF(NOT(ISNUMBER(T1288)),"Needs supplier cost",IF(K1288&lt;&gt;"In stock","Supplier unavailable",IF(AG1288&lt;&gt;"PASS","BLOCK - GT loss risk","Commercially protected")))</x:f>
        <x:v>Commercially protected</x:v>
      </x:c>
      <x:c r="AI1288" t="str">
        <x:v>2026-09-10 Active Sports trade capture</x:v>
      </x:c>
      <x:c r="AJ1288" t="str">
        <x:v>Management-only economics. Stripe stress test uses 1.5% + £0.20 standard UK online-card fee; pallet/mix-and-match pricing ignored.</x:v>
      </x:c>
    </x:row>
    <x:row r="1289">
      <x:c r="A1289" t="str">
        <x:v>Active Sports Nutrition</x:v>
      </x:c>
      <x:c r="B1289" t="str">
        <x:v>HR Labs</x:v>
      </x:c>
      <x:c r="C1289" t="str">
        <x:v>Defib V4 Pre Workout</x:v>
      </x:c>
      <x:c r="D1289" t="str">
        <x:v>Pre Workouts</x:v>
      </x:c>
      <x:c r="E1289" t="str">
        <x:v>High Stim</x:v>
      </x:c>
      <x:c r="F1289" t="str"/>
      <x:c r="G1289" t="str">
        <x:v>420g</x:v>
      </x:c>
      <x:c r="H1289" t="str">
        <x:v>Pink Lemonade</x:v>
      </x:c>
      <x:c r="I1289" t="str"/>
      <x:c r="J1289" t="str">
        <x:v>Unit</x:v>
      </x:c>
      <x:c r="K1289" t="str">
        <x:v>In stock</x:v>
      </x:c>
      <x:c r="L1289" t="str">
        <x:v>2026-09-08</x:v>
      </x:c>
      <x:c r="M1289" t="str"/>
      <x:c r="N1289" t="str"/>
      <x:c r="O1289" t="str">
        <x:v>https://www.activesportstrade.co.uk/hr-labs-trade</x:v>
      </x:c>
      <x:c r="P1289" t="str"/>
      <x:c r="Q1289" t="str"/>
      <x:c r="R1289" t="str"/>
      <x:c r="S1289" t="str">
        <x:v>Pending genuine supplier/brand image</x:v>
      </x:c>
      <x:c r="T1289" s="54" t="n">
        <x:v>19.99</x:v>
      </x:c>
      <x:c r="U1289" s="47" t="n">
        <x:v>0.2</x:v>
      </x:c>
      <x:c r="V1289" s="54" t="n">
        <x:f>IF(ISNUMBER(T1289),T1289*(1+U1289),"")</x:f>
        <x:v>23.987999999999996</x:v>
      </x:c>
      <x:c r="W1289" s="47" t="n">
        <x:v>0.3</x:v>
      </x:c>
      <x:c r="X1289" s="54" t="n">
        <x:f>IF(ISNUMBER(V1289),V1289/(1-W1289),"")</x:f>
        <x:v>34.26857142857143</x:v>
      </x:c>
      <x:c r="Y1289" s="55" t="n">
        <x:f>IF(ISNUMBER(X1289),ROUNDUP(X1289,0),"")</x:f>
        <x:v>35</x:v>
      </x:c>
      <x:c r="Z1289" t="str">
        <x:v>Source match pending</x:v>
      </x:c>
      <x:c r="AA1289" t="str">
        <x:v>screencapture-www-activesportstrade-co-uk-hr-labs-trade-2026-09-09-18_31_19.png / page-001</x:v>
      </x:c>
      <x:c r="AB1289" s="36" t="n">
        <x:f>IF(ISNUMBER(Y1289),ROUND(Y1289*0.9,2),"")</x:f>
        <x:v>31.5</x:v>
      </x:c>
      <x:c r="AC1289" s="36" t="n">
        <x:f>IF(ISNUMBER(AB1289),ROUND(AB1289-(AB1289*0.015+0.2)-V1289,2),"")</x:f>
        <x:v>6.84</x:v>
      </x:c>
      <x:c r="AD1289" s="36" t="n">
        <x:f>IF(ISNUMBER(Y1289),ROUND(Y1289*0.8,2),"")</x:f>
        <x:v>28</x:v>
      </x:c>
      <x:c r="AE1289" s="36" t="n">
        <x:f>IF(ISNUMBER(AD1289),ROUND(AD1289*0.015+0.2,2),"")</x:f>
        <x:v>0.62</x:v>
      </x:c>
      <x:c r="AF1289" s="36" t="n">
        <x:f>IF(ISNUMBER(AD1289),ROUND(AD1289-AE1289-V1289,2),"")</x:f>
        <x:v>3.39</x:v>
      </x:c>
      <x:c r="AG1289" t="str">
        <x:f>IF(NOT(ISNUMBER(T1289)),"PENDING",IF(AF1289&gt;0,"PASS","FAIL"))</x:f>
        <x:v>PASS</x:v>
      </x:c>
      <x:c r="AH1289" t="str">
        <x:f>IF(NOT(ISNUMBER(T1289)),"Needs supplier cost",IF(K1289&lt;&gt;"In stock","Supplier unavailable",IF(AG1289&lt;&gt;"PASS","BLOCK - GT loss risk","Commercially protected")))</x:f>
        <x:v>Commercially protected</x:v>
      </x:c>
      <x:c r="AI1289" t="str">
        <x:v>2026-09-10 Active Sports trade capture</x:v>
      </x:c>
      <x:c r="AJ1289" t="str">
        <x:v>Management-only economics. Stripe stress test uses 1.5% + £0.20 standard UK online-card fee; pallet/mix-and-match pricing ignored.</x:v>
      </x:c>
    </x:row>
    <x:row r="1290">
      <x:c r="A1290" t="str">
        <x:v>Active Sports Nutrition</x:v>
      </x:c>
      <x:c r="B1290" t="str">
        <x:v>HR Labs</x:v>
      </x:c>
      <x:c r="C1290" t="str">
        <x:v>Fever 40</x:v>
      </x:c>
      <x:c r="D1290" t="str">
        <x:v>Supplements</x:v>
      </x:c>
      <x:c r="E1290" t="str">
        <x:v>Fat Burners</x:v>
      </x:c>
      <x:c r="F1290" t="str"/>
      <x:c r="G1290" t="str">
        <x:v>75 caps</x:v>
      </x:c>
      <x:c r="H1290" t="str">
        <x:v>Default</x:v>
      </x:c>
      <x:c r="I1290" t="str"/>
      <x:c r="J1290" t="str">
        <x:v>Unit</x:v>
      </x:c>
      <x:c r="K1290" t="str">
        <x:v>In stock</x:v>
      </x:c>
      <x:c r="L1290" t="str">
        <x:v>2026-09-08</x:v>
      </x:c>
      <x:c r="M1290" t="str"/>
      <x:c r="N1290" t="str"/>
      <x:c r="O1290" t="str">
        <x:v>https://www.activesportstrade.co.uk/hr-labs-trade</x:v>
      </x:c>
      <x:c r="P1290" t="str">
        <x:v>Supplier title says '40 x 75 Caps'; interpreted as Fever 40 product name with 75-caps unit, not pack quantity 40.</x:v>
      </x:c>
      <x:c r="Q1290" t="str"/>
      <x:c r="R1290" t="str"/>
      <x:c r="S1290" t="str">
        <x:v>Pending genuine supplier/brand image</x:v>
      </x:c>
      <x:c r="T1290" s="54" t="n">
        <x:v>27.44</x:v>
      </x:c>
      <x:c r="U1290" s="47" t="n">
        <x:v>0.2</x:v>
      </x:c>
      <x:c r="V1290" s="54" t="n">
        <x:f>IF(ISNUMBER(T1290),T1290*(1+U1290),"")</x:f>
        <x:v>32.928</x:v>
      </x:c>
      <x:c r="W1290" s="47" t="n">
        <x:v>0.3</x:v>
      </x:c>
      <x:c r="X1290" s="54" t="n">
        <x:f>IF(ISNUMBER(V1290),V1290/(1-W1290),"")</x:f>
        <x:v>47.04</x:v>
      </x:c>
      <x:c r="Y1290" s="55" t="n">
        <x:f>IF(ISNUMBER(X1290),ROUNDUP(X1290,0),"")</x:f>
        <x:v>48</x:v>
      </x:c>
      <x:c r="Z1290" t="str">
        <x:v>Source match pending</x:v>
      </x:c>
      <x:c r="AA1290" t="str">
        <x:v>screencapture-www-activesportstrade-co-uk-hr-labs-trade-2026-09-09-18_31_19.png / page-001</x:v>
      </x:c>
      <x:c r="AB1290" s="36" t="n">
        <x:f>IF(ISNUMBER(Y1290),ROUND(Y1290*0.9,2),"")</x:f>
        <x:v>43.2</x:v>
      </x:c>
      <x:c r="AC1290" s="36" t="n">
        <x:f>IF(ISNUMBER(AB1290),ROUND(AB1290-(AB1290*0.015+0.2)-V1290,2),"")</x:f>
        <x:v>9.42</x:v>
      </x:c>
      <x:c r="AD1290" s="36" t="n">
        <x:f>IF(ISNUMBER(Y1290),ROUND(Y1290*0.8,2),"")</x:f>
        <x:v>38.4</x:v>
      </x:c>
      <x:c r="AE1290" s="36" t="n">
        <x:f>IF(ISNUMBER(AD1290),ROUND(AD1290*0.015+0.2,2),"")</x:f>
        <x:v>0.78</x:v>
      </x:c>
      <x:c r="AF1290" s="36" t="n">
        <x:f>IF(ISNUMBER(AD1290),ROUND(AD1290-AE1290-V1290,2),"")</x:f>
        <x:v>4.69</x:v>
      </x:c>
      <x:c r="AG1290" t="str">
        <x:f>IF(NOT(ISNUMBER(T1290)),"PENDING",IF(AF1290&gt;0,"PASS","FAIL"))</x:f>
        <x:v>PASS</x:v>
      </x:c>
      <x:c r="AH1290" t="str">
        <x:f>IF(NOT(ISNUMBER(T1290)),"Needs supplier cost",IF(K1290&lt;&gt;"In stock","Supplier unavailable",IF(AG1290&lt;&gt;"PASS","BLOCK - GT loss risk","Commercially protected")))</x:f>
        <x:v>Commercially protected</x:v>
      </x:c>
      <x:c r="AI1290" t="str">
        <x:v>2026-09-10 Active Sports trade capture</x:v>
      </x:c>
      <x:c r="AJ1290" t="str">
        <x:v>Management-only economics. Stripe stress test uses 1.5% + £0.20 standard UK online-card fee; pallet/mix-and-match pricing ignored.</x:v>
      </x:c>
    </x:row>
    <x:row r="1291">
      <x:c r="A1291" t="str">
        <x:v>Active Sports Nutrition</x:v>
      </x:c>
      <x:c r="B1291" t="str">
        <x:v>HR Labs</x:v>
      </x:c>
      <x:c r="C1291" t="str">
        <x:v>Hydro EAA</x:v>
      </x:c>
      <x:c r="D1291" t="str">
        <x:v>Supplements</x:v>
      </x:c>
      <x:c r="E1291" t="str">
        <x:v>Amino Acids</x:v>
      </x:c>
      <x:c r="F1291" t="str"/>
      <x:c r="G1291" t="str">
        <x:v>30 servings</x:v>
      </x:c>
      <x:c r="H1291" t="str">
        <x:v>Cherry Bubblegum</x:v>
      </x:c>
      <x:c r="I1291" t="str"/>
      <x:c r="J1291" t="str">
        <x:v>Unit</x:v>
      </x:c>
      <x:c r="K1291" t="str">
        <x:v>In stock</x:v>
      </x:c>
      <x:c r="L1291" t="str">
        <x:v>2026-09-08</x:v>
      </x:c>
      <x:c r="M1291" t="str"/>
      <x:c r="N1291" t="str"/>
      <x:c r="O1291" t="str">
        <x:v>https://www.activesportstrade.co.uk/hr-labs-trade</x:v>
      </x:c>
      <x:c r="P1291" t="str">
        <x:v>SPECIAL OFFER wording removed. Fresh brand page used over older BCAA page where stock differs.</x:v>
      </x:c>
      <x:c r="Q1291" t="str"/>
      <x:c r="R1291" t="str"/>
      <x:c r="S1291" t="str">
        <x:v>Pending genuine supplier/brand image</x:v>
      </x:c>
      <x:c r="T1291" s="54"/>
      <x:c r="U1291" s="47" t="n">
        <x:v>0.2</x:v>
      </x:c>
      <x:c r="V1291" s="54" t="str">
        <x:f>IF(ISNUMBER(T1291),T1291*(1+U1291),"")</x:f>
      </x:c>
      <x:c r="W1291" s="47" t="n">
        <x:v>0.3</x:v>
      </x:c>
      <x:c r="X1291" s="54" t="str">
        <x:f>IF(ISNUMBER(V1291),V1291/(1-W1291),"")</x:f>
      </x:c>
      <x:c r="Y1291" s="55" t="str">
        <x:f>IF(ISNUMBER(X1291),ROUNDUP(X1291,0),"")</x:f>
      </x:c>
      <x:c r="Z1291" t="str">
        <x:f>IF(ISNUMBER(T1291),"Cost captured","Awaiting trade cost")</x:f>
        <x:v>Awaiting trade cost</x:v>
      </x:c>
      <x:c r="AB1291" s="36" t="str">
        <x:f>IF(ISNUMBER(Y1291),ROUND(Y1291*0.9,2),"")</x:f>
      </x:c>
      <x:c r="AC1291" s="36" t="str">
        <x:f>IF(ISNUMBER(AB1291),ROUND(AB1291-(AB1291*0.015+0.2)-V1291,2),"")</x:f>
      </x:c>
      <x:c r="AD1291" s="36" t="str">
        <x:f>IF(ISNUMBER(Y1291),ROUND(Y1291*0.8,2),"")</x:f>
      </x:c>
      <x:c r="AE1291" s="36" t="str">
        <x:f>IF(ISNUMBER(AD1291),ROUND(AD1291*0.015+0.2,2),"")</x:f>
      </x:c>
      <x:c r="AF1291" s="36" t="str">
        <x:f>IF(ISNUMBER(AD1291),ROUND(AD1291-AE1291-V1291,2),"")</x:f>
      </x:c>
      <x:c r="AG1291" t="str">
        <x:f>IF(NOT(ISNUMBER(T1291)),"PENDING",IF(AF1291&gt;0,"PASS","FAIL"))</x:f>
        <x:v>PENDING</x:v>
      </x:c>
      <x:c r="AH1291" t="str">
        <x:f>IF(NOT(ISNUMBER(T1291)),"Needs supplier cost",IF(K1291&lt;&gt;"In stock","Supplier unavailable",IF(AG1291&lt;&gt;"PASS","BLOCK - GT loss risk","Commercially protected")))</x:f>
        <x:v>Needs supplier cost</x:v>
      </x:c>
      <x:c r="AI1291" t="str">
        <x:v>2026-09-10 Active Sports trade capture</x:v>
      </x:c>
      <x:c r="AJ1291" t="str">
        <x:v>Management-only economics. Stripe stress test uses 1.5% + £0.20 standard UK online-card fee; pallet/mix-and-match pricing ignored.</x:v>
      </x:c>
    </x:row>
    <x:row r="1292">
      <x:c r="A1292" t="str">
        <x:v>Active Sports Nutrition</x:v>
      </x:c>
      <x:c r="B1292" t="str">
        <x:v>HR Labs</x:v>
      </x:c>
      <x:c r="C1292" t="str">
        <x:v>Hydro EAA</x:v>
      </x:c>
      <x:c r="D1292" t="str">
        <x:v>Supplements</x:v>
      </x:c>
      <x:c r="E1292" t="str">
        <x:v>Amino Acids</x:v>
      </x:c>
      <x:c r="F1292" t="str"/>
      <x:c r="G1292" t="str">
        <x:v>30 servings</x:v>
      </x:c>
      <x:c r="H1292" t="str">
        <x:v>Grape Bubbalicious</x:v>
      </x:c>
      <x:c r="I1292" t="str"/>
      <x:c r="J1292" t="str">
        <x:v>Unit</x:v>
      </x:c>
      <x:c r="K1292" t="str">
        <x:v>Out of stock</x:v>
      </x:c>
      <x:c r="L1292" t="str">
        <x:v>2026-09-08</x:v>
      </x:c>
      <x:c r="M1292" t="str"/>
      <x:c r="N1292" t="str"/>
      <x:c r="O1292" t="str">
        <x:v>https://www.activesportstrade.co.uk/hr-labs-trade</x:v>
      </x:c>
      <x:c r="P1292" t="str">
        <x:v>SPECIAL OFFER wording removed. Fresh brand page used over older BCAA page where stock differs.</x:v>
      </x:c>
      <x:c r="Q1292" t="str"/>
      <x:c r="R1292" t="str"/>
      <x:c r="S1292" t="str">
        <x:v>Pending genuine supplier/brand image</x:v>
      </x:c>
      <x:c r="T1292" s="54"/>
      <x:c r="U1292" s="47" t="n">
        <x:v>0.2</x:v>
      </x:c>
      <x:c r="V1292" s="54" t="str">
        <x:f>IF(ISNUMBER(T1292),T1292*(1+U1292),"")</x:f>
      </x:c>
      <x:c r="W1292" s="47" t="n">
        <x:v>0.3</x:v>
      </x:c>
      <x:c r="X1292" s="54" t="str">
        <x:f>IF(ISNUMBER(V1292),V1292/(1-W1292),"")</x:f>
      </x:c>
      <x:c r="Y1292" s="55" t="str">
        <x:f>IF(ISNUMBER(X1292),ROUNDUP(X1292,0),"")</x:f>
      </x:c>
      <x:c r="Z1292" t="str">
        <x:f>IF(ISNUMBER(T1292),"Cost captured","Awaiting trade cost")</x:f>
        <x:v>Awaiting trade cost</x:v>
      </x:c>
      <x:c r="AB1292" s="36" t="str">
        <x:f>IF(ISNUMBER(Y1292),ROUND(Y1292*0.9,2),"")</x:f>
      </x:c>
      <x:c r="AC1292" s="36" t="str">
        <x:f>IF(ISNUMBER(AB1292),ROUND(AB1292-(AB1292*0.015+0.2)-V1292,2),"")</x:f>
      </x:c>
      <x:c r="AD1292" s="36" t="str">
        <x:f>IF(ISNUMBER(Y1292),ROUND(Y1292*0.8,2),"")</x:f>
      </x:c>
      <x:c r="AE1292" s="36" t="str">
        <x:f>IF(ISNUMBER(AD1292),ROUND(AD1292*0.015+0.2,2),"")</x:f>
      </x:c>
      <x:c r="AF1292" s="36" t="str">
        <x:f>IF(ISNUMBER(AD1292),ROUND(AD1292-AE1292-V1292,2),"")</x:f>
      </x:c>
      <x:c r="AG1292" t="str">
        <x:f>IF(NOT(ISNUMBER(T1292)),"PENDING",IF(AF1292&gt;0,"PASS","FAIL"))</x:f>
        <x:v>PENDING</x:v>
      </x:c>
      <x:c r="AH1292" t="str">
        <x:f>IF(NOT(ISNUMBER(T1292)),"Needs supplier cost",IF(K1292&lt;&gt;"In stock","Supplier unavailable",IF(AG1292&lt;&gt;"PASS","BLOCK - GT loss risk","Commercially protected")))</x:f>
        <x:v>Needs supplier cost</x:v>
      </x:c>
      <x:c r="AI1292" t="str">
        <x:v>2026-09-10 Active Sports trade capture</x:v>
      </x:c>
      <x:c r="AJ1292" t="str">
        <x:v>Management-only economics. Stripe stress test uses 1.5% + £0.20 standard UK online-card fee; pallet/mix-and-match pricing ignored.</x:v>
      </x:c>
    </x:row>
    <x:row r="1293">
      <x:c r="A1293" t="str">
        <x:v>Active Sports Nutrition</x:v>
      </x:c>
      <x:c r="B1293" t="str">
        <x:v>HR Labs</x:v>
      </x:c>
      <x:c r="C1293" t="str">
        <x:v>Hydro EAA</x:v>
      </x:c>
      <x:c r="D1293" t="str">
        <x:v>Supplements</x:v>
      </x:c>
      <x:c r="E1293" t="str">
        <x:v>Amino Acids</x:v>
      </x:c>
      <x:c r="F1293" t="str"/>
      <x:c r="G1293" t="str">
        <x:v>30 servings</x:v>
      </x:c>
      <x:c r="H1293" t="str">
        <x:v>Strawberry &amp; Peaches</x:v>
      </x:c>
      <x:c r="I1293" t="str"/>
      <x:c r="J1293" t="str">
        <x:v>Unit</x:v>
      </x:c>
      <x:c r="K1293" t="str">
        <x:v>Out of stock</x:v>
      </x:c>
      <x:c r="L1293" t="str">
        <x:v>2026-09-08</x:v>
      </x:c>
      <x:c r="M1293" t="str"/>
      <x:c r="N1293" t="str"/>
      <x:c r="O1293" t="str">
        <x:v>https://www.activesportstrade.co.uk/hr-labs-trade</x:v>
      </x:c>
      <x:c r="P1293" t="str">
        <x:v>SPECIAL OFFER wording removed. Fresh brand page used over older BCAA page where stock differs.</x:v>
      </x:c>
      <x:c r="Q1293" t="str"/>
      <x:c r="R1293" t="str"/>
      <x:c r="S1293" t="str">
        <x:v>Pending genuine supplier/brand image</x:v>
      </x:c>
      <x:c r="T1293" s="54"/>
      <x:c r="U1293" s="47" t="n">
        <x:v>0.2</x:v>
      </x:c>
      <x:c r="V1293" s="54" t="str">
        <x:f>IF(ISNUMBER(T1293),T1293*(1+U1293),"")</x:f>
      </x:c>
      <x:c r="W1293" s="47" t="n">
        <x:v>0.3</x:v>
      </x:c>
      <x:c r="X1293" s="54" t="str">
        <x:f>IF(ISNUMBER(V1293),V1293/(1-W1293),"")</x:f>
      </x:c>
      <x:c r="Y1293" s="55" t="str">
        <x:f>IF(ISNUMBER(X1293),ROUNDUP(X1293,0),"")</x:f>
      </x:c>
      <x:c r="Z1293" t="str">
        <x:f>IF(ISNUMBER(T1293),"Cost captured","Awaiting trade cost")</x:f>
        <x:v>Awaiting trade cost</x:v>
      </x:c>
      <x:c r="AB1293" s="36" t="str">
        <x:f>IF(ISNUMBER(Y1293),ROUND(Y1293*0.9,2),"")</x:f>
      </x:c>
      <x:c r="AC1293" s="36" t="str">
        <x:f>IF(ISNUMBER(AB1293),ROUND(AB1293-(AB1293*0.015+0.2)-V1293,2),"")</x:f>
      </x:c>
      <x:c r="AD1293" s="36" t="str">
        <x:f>IF(ISNUMBER(Y1293),ROUND(Y1293*0.8,2),"")</x:f>
      </x:c>
      <x:c r="AE1293" s="36" t="str">
        <x:f>IF(ISNUMBER(AD1293),ROUND(AD1293*0.015+0.2,2),"")</x:f>
      </x:c>
      <x:c r="AF1293" s="36" t="str">
        <x:f>IF(ISNUMBER(AD1293),ROUND(AD1293-AE1293-V1293,2),"")</x:f>
      </x:c>
      <x:c r="AG1293" t="str">
        <x:f>IF(NOT(ISNUMBER(T1293)),"PENDING",IF(AF1293&gt;0,"PASS","FAIL"))</x:f>
        <x:v>PENDING</x:v>
      </x:c>
      <x:c r="AH1293" t="str">
        <x:f>IF(NOT(ISNUMBER(T1293)),"Needs supplier cost",IF(K1293&lt;&gt;"In stock","Supplier unavailable",IF(AG1293&lt;&gt;"PASS","BLOCK - GT loss risk","Commercially protected")))</x:f>
        <x:v>Needs supplier cost</x:v>
      </x:c>
      <x:c r="AI1293" t="str">
        <x:v>2026-09-10 Active Sports trade capture</x:v>
      </x:c>
      <x:c r="AJ1293" t="str">
        <x:v>Management-only economics. Stripe stress test uses 1.5% + £0.20 standard UK online-card fee; pallet/mix-and-match pricing ignored.</x:v>
      </x:c>
    </x:row>
    <x:row r="1294">
      <x:c r="A1294" t="str">
        <x:v>Active Sports Nutrition</x:v>
      </x:c>
      <x:c r="B1294" t="str">
        <x:v>HR Labs</x:v>
      </x:c>
      <x:c r="C1294" t="str">
        <x:v>Hydro EAA</x:v>
      </x:c>
      <x:c r="D1294" t="str">
        <x:v>Supplements</x:v>
      </x:c>
      <x:c r="E1294" t="str">
        <x:v>Amino Acids</x:v>
      </x:c>
      <x:c r="F1294" t="str"/>
      <x:c r="G1294" t="str">
        <x:v>30 servings</x:v>
      </x:c>
      <x:c r="H1294" t="str">
        <x:v>Super Fresh OJ</x:v>
      </x:c>
      <x:c r="I1294" t="str"/>
      <x:c r="J1294" t="str">
        <x:v>Unit</x:v>
      </x:c>
      <x:c r="K1294" t="str">
        <x:v>Out of stock</x:v>
      </x:c>
      <x:c r="L1294" t="str">
        <x:v>2026-09-08</x:v>
      </x:c>
      <x:c r="M1294" t="str"/>
      <x:c r="N1294" t="str"/>
      <x:c r="O1294" t="str">
        <x:v>https://www.activesportstrade.co.uk/hr-labs-trade</x:v>
      </x:c>
      <x:c r="P1294" t="str">
        <x:v>SPECIAL OFFER wording removed. Fresh brand page used over older BCAA page where stock differs.</x:v>
      </x:c>
      <x:c r="Q1294" t="str"/>
      <x:c r="R1294" t="str"/>
      <x:c r="S1294" t="str">
        <x:v>Pending genuine supplier/brand image</x:v>
      </x:c>
      <x:c r="T1294" s="54"/>
      <x:c r="U1294" s="47" t="n">
        <x:v>0.2</x:v>
      </x:c>
      <x:c r="V1294" s="54" t="str">
        <x:f>IF(ISNUMBER(T1294),T1294*(1+U1294),"")</x:f>
      </x:c>
      <x:c r="W1294" s="47" t="n">
        <x:v>0.3</x:v>
      </x:c>
      <x:c r="X1294" s="54" t="str">
        <x:f>IF(ISNUMBER(V1294),V1294/(1-W1294),"")</x:f>
      </x:c>
      <x:c r="Y1294" s="55" t="str">
        <x:f>IF(ISNUMBER(X1294),ROUNDUP(X1294,0),"")</x:f>
      </x:c>
      <x:c r="Z1294" t="str">
        <x:f>IF(ISNUMBER(T1294),"Cost captured","Awaiting trade cost")</x:f>
        <x:v>Awaiting trade cost</x:v>
      </x:c>
      <x:c r="AB1294" s="36" t="str">
        <x:f>IF(ISNUMBER(Y1294),ROUND(Y1294*0.9,2),"")</x:f>
      </x:c>
      <x:c r="AC1294" s="36" t="str">
        <x:f>IF(ISNUMBER(AB1294),ROUND(AB1294-(AB1294*0.015+0.2)-V1294,2),"")</x:f>
      </x:c>
      <x:c r="AD1294" s="36" t="str">
        <x:f>IF(ISNUMBER(Y1294),ROUND(Y1294*0.8,2),"")</x:f>
      </x:c>
      <x:c r="AE1294" s="36" t="str">
        <x:f>IF(ISNUMBER(AD1294),ROUND(AD1294*0.015+0.2,2),"")</x:f>
      </x:c>
      <x:c r="AF1294" s="36" t="str">
        <x:f>IF(ISNUMBER(AD1294),ROUND(AD1294-AE1294-V1294,2),"")</x:f>
      </x:c>
      <x:c r="AG1294" t="str">
        <x:f>IF(NOT(ISNUMBER(T1294)),"PENDING",IF(AF1294&gt;0,"PASS","FAIL"))</x:f>
        <x:v>PENDING</x:v>
      </x:c>
      <x:c r="AH1294" t="str">
        <x:f>IF(NOT(ISNUMBER(T1294)),"Needs supplier cost",IF(K1294&lt;&gt;"In stock","Supplier unavailable",IF(AG1294&lt;&gt;"PASS","BLOCK - GT loss risk","Commercially protected")))</x:f>
        <x:v>Needs supplier cost</x:v>
      </x:c>
      <x:c r="AI1294" t="str">
        <x:v>2026-09-10 Active Sports trade capture</x:v>
      </x:c>
      <x:c r="AJ1294" t="str">
        <x:v>Management-only economics. Stripe stress test uses 1.5% + £0.20 standard UK online-card fee; pallet/mix-and-match pricing ignored.</x:v>
      </x:c>
    </x:row>
    <x:row r="1295">
      <x:c r="A1295" t="str">
        <x:v>Active Sports Nutrition</x:v>
      </x:c>
      <x:c r="B1295" t="str">
        <x:v>HR Labs</x:v>
      </x:c>
      <x:c r="C1295" t="str">
        <x:v>L-Glycine</x:v>
      </x:c>
      <x:c r="D1295" t="str">
        <x:v>Supplements</x:v>
      </x:c>
      <x:c r="E1295" t="str">
        <x:v>Amino Acids</x:v>
      </x:c>
      <x:c r="F1295" t="str"/>
      <x:c r="G1295" t="str">
        <x:v>300g</x:v>
      </x:c>
      <x:c r="H1295" t="str">
        <x:v>Unflavoured</x:v>
      </x:c>
      <x:c r="I1295" t="str"/>
      <x:c r="J1295" t="str">
        <x:v>Unit</x:v>
      </x:c>
      <x:c r="K1295" t="str">
        <x:v>In stock</x:v>
      </x:c>
      <x:c r="L1295" t="str">
        <x:v>2026-09-08</x:v>
      </x:c>
      <x:c r="M1295" t="str"/>
      <x:c r="N1295" t="str"/>
      <x:c r="O1295" t="str">
        <x:v>https://www.activesportstrade.co.uk/hr-labs-trade</x:v>
      </x:c>
      <x:c r="P1295" t="str"/>
      <x:c r="Q1295" t="str"/>
      <x:c r="R1295" t="str"/>
      <x:c r="S1295" t="str">
        <x:v>Pending genuine supplier/brand image</x:v>
      </x:c>
      <x:c r="T1295" s="54" t="n">
        <x:v>8.76</x:v>
      </x:c>
      <x:c r="U1295" s="47" t="n">
        <x:v>0.2</x:v>
      </x:c>
      <x:c r="V1295" s="54" t="n">
        <x:f>IF(ISNUMBER(T1295),T1295*(1+U1295),"")</x:f>
        <x:v>10.511999999999999</x:v>
      </x:c>
      <x:c r="W1295" s="47" t="n">
        <x:v>0.3</x:v>
      </x:c>
      <x:c r="X1295" s="54" t="n">
        <x:f>IF(ISNUMBER(V1295),V1295/(1-W1295),"")</x:f>
        <x:v>15.017142857142856</x:v>
      </x:c>
      <x:c r="Y1295" s="55" t="n">
        <x:f>IF(ISNUMBER(X1295),ROUNDUP(X1295,0),"")</x:f>
        <x:v>16</x:v>
      </x:c>
      <x:c r="Z1295" t="str">
        <x:v>Source match pending</x:v>
      </x:c>
      <x:c r="AA1295" t="str">
        <x:v>screencapture-www-activesportstrade-co-uk-hr-labs-trade-2026-09-09-18_31_19.png / page-002</x:v>
      </x:c>
      <x:c r="AB1295" s="36" t="n">
        <x:f>IF(ISNUMBER(Y1295),ROUND(Y1295*0.9,2),"")</x:f>
        <x:v>14.4</x:v>
      </x:c>
      <x:c r="AC1295" s="36" t="n">
        <x:f>IF(ISNUMBER(AB1295),ROUND(AB1295-(AB1295*0.015+0.2)-V1295,2),"")</x:f>
        <x:v>3.47</x:v>
      </x:c>
      <x:c r="AD1295" s="36" t="n">
        <x:f>IF(ISNUMBER(Y1295),ROUND(Y1295*0.8,2),"")</x:f>
        <x:v>12.8</x:v>
      </x:c>
      <x:c r="AE1295" s="36" t="n">
        <x:f>IF(ISNUMBER(AD1295),ROUND(AD1295*0.015+0.2,2),"")</x:f>
        <x:v>0.39</x:v>
      </x:c>
      <x:c r="AF1295" s="36" t="n">
        <x:f>IF(ISNUMBER(AD1295),ROUND(AD1295-AE1295-V1295,2),"")</x:f>
        <x:v>1.9</x:v>
      </x:c>
      <x:c r="AG1295" t="str">
        <x:f>IF(NOT(ISNUMBER(T1295)),"PENDING",IF(AF1295&gt;0,"PASS","FAIL"))</x:f>
        <x:v>PASS</x:v>
      </x:c>
      <x:c r="AH1295" t="str">
        <x:f>IF(NOT(ISNUMBER(T1295)),"Needs supplier cost",IF(K1295&lt;&gt;"In stock","Supplier unavailable",IF(AG1295&lt;&gt;"PASS","BLOCK - GT loss risk","Commercially protected")))</x:f>
        <x:v>Commercially protected</x:v>
      </x:c>
      <x:c r="AI1295" t="str">
        <x:v>2026-09-10 Active Sports trade capture</x:v>
      </x:c>
      <x:c r="AJ1295" t="str">
        <x:v>Management-only economics. Stripe stress test uses 1.5% + £0.20 standard UK online-card fee; pallet/mix-and-match pricing ignored.</x:v>
      </x:c>
    </x:row>
    <x:row r="1296">
      <x:c r="A1296" t="str">
        <x:v>Active Sports Nutrition</x:v>
      </x:c>
      <x:c r="B1296" t="str">
        <x:v>HR Labs</x:v>
      </x:c>
      <x:c r="C1296" t="str">
        <x:v>Proven</x:v>
      </x:c>
      <x:c r="D1296" t="str">
        <x:v>Pre Workouts</x:v>
      </x:c>
      <x:c r="E1296" t="str">
        <x:v>Stim FREE</x:v>
      </x:c>
      <x:c r="F1296" t="str">
        <x:v>Stim-free pre-workout.</x:v>
      </x:c>
      <x:c r="G1296" t="str">
        <x:v>320g</x:v>
      </x:c>
      <x:c r="H1296" t="str">
        <x:v>Classic Cola</x:v>
      </x:c>
      <x:c r="I1296" t="str"/>
      <x:c r="J1296" t="str">
        <x:v>Unit</x:v>
      </x:c>
      <x:c r="K1296" t="str">
        <x:v>In stock</x:v>
      </x:c>
      <x:c r="L1296" t="str">
        <x:v>2026-09-08</x:v>
      </x:c>
      <x:c r="M1296" t="str"/>
      <x:c r="N1296" t="str"/>
      <x:c r="O1296" t="str">
        <x:v>https://www.activesportstrade.co.uk/hr-labs-trade</x:v>
      </x:c>
      <x:c r="P1296" t="str"/>
      <x:c r="Q1296" t="str"/>
      <x:c r="R1296" t="str"/>
      <x:c r="S1296" t="str">
        <x:v>Pending genuine supplier/brand image</x:v>
      </x:c>
      <x:c r="T1296" s="54"/>
      <x:c r="U1296" s="47" t="n">
        <x:v>0.2</x:v>
      </x:c>
      <x:c r="V1296" s="54" t="str">
        <x:f>IF(ISNUMBER(T1296),T1296*(1+U1296),"")</x:f>
      </x:c>
      <x:c r="W1296" s="47" t="n">
        <x:v>0.3</x:v>
      </x:c>
      <x:c r="X1296" s="54" t="str">
        <x:f>IF(ISNUMBER(V1296),V1296/(1-W1296),"")</x:f>
      </x:c>
      <x:c r="Y1296" s="55" t="str">
        <x:f>IF(ISNUMBER(X1296),ROUNDUP(X1296,0),"")</x:f>
      </x:c>
      <x:c r="Z1296" t="str">
        <x:f>IF(ISNUMBER(T1296),"Cost captured","Awaiting trade cost")</x:f>
        <x:v>Awaiting trade cost</x:v>
      </x:c>
      <x:c r="AB1296" s="36" t="str">
        <x:f>IF(ISNUMBER(Y1296),ROUND(Y1296*0.9,2),"")</x:f>
      </x:c>
      <x:c r="AC1296" s="36" t="str">
        <x:f>IF(ISNUMBER(AB1296),ROUND(AB1296-(AB1296*0.015+0.2)-V1296,2),"")</x:f>
      </x:c>
      <x:c r="AD1296" s="36" t="str">
        <x:f>IF(ISNUMBER(Y1296),ROUND(Y1296*0.8,2),"")</x:f>
      </x:c>
      <x:c r="AE1296" s="36" t="str">
        <x:f>IF(ISNUMBER(AD1296),ROUND(AD1296*0.015+0.2,2),"")</x:f>
      </x:c>
      <x:c r="AF1296" s="36" t="str">
        <x:f>IF(ISNUMBER(AD1296),ROUND(AD1296-AE1296-V1296,2),"")</x:f>
      </x:c>
      <x:c r="AG1296" t="str">
        <x:f>IF(NOT(ISNUMBER(T1296)),"PENDING",IF(AF1296&gt;0,"PASS","FAIL"))</x:f>
        <x:v>PENDING</x:v>
      </x:c>
      <x:c r="AH1296" t="str">
        <x:f>IF(NOT(ISNUMBER(T1296)),"Needs supplier cost",IF(K1296&lt;&gt;"In stock","Supplier unavailable",IF(AG1296&lt;&gt;"PASS","BLOCK - GT loss risk","Commercially protected")))</x:f>
        <x:v>Needs supplier cost</x:v>
      </x:c>
      <x:c r="AI1296" t="str">
        <x:v>2026-09-10 Active Sports trade capture</x:v>
      </x:c>
      <x:c r="AJ1296" t="str">
        <x:v>Management-only economics. Stripe stress test uses 1.5% + £0.20 standard UK online-card fee; pallet/mix-and-match pricing ignored.</x:v>
      </x:c>
    </x:row>
    <x:row r="1297">
      <x:c r="A1297" t="str">
        <x:v>Active Sports Nutrition</x:v>
      </x:c>
      <x:c r="B1297" t="str">
        <x:v>HR Labs</x:v>
      </x:c>
      <x:c r="C1297" t="str">
        <x:v>Proven</x:v>
      </x:c>
      <x:c r="D1297" t="str">
        <x:v>Pre Workouts</x:v>
      </x:c>
      <x:c r="E1297" t="str">
        <x:v>Stim FREE</x:v>
      </x:c>
      <x:c r="F1297" t="str">
        <x:v>Stim-free pre-workout.</x:v>
      </x:c>
      <x:c r="G1297" t="str">
        <x:v>320g</x:v>
      </x:c>
      <x:c r="H1297" t="str">
        <x:v>Frootz</x:v>
      </x:c>
      <x:c r="I1297" t="str"/>
      <x:c r="J1297" t="str">
        <x:v>Unit</x:v>
      </x:c>
      <x:c r="K1297" t="str">
        <x:v>In stock</x:v>
      </x:c>
      <x:c r="L1297" t="str">
        <x:v>2026-09-08</x:v>
      </x:c>
      <x:c r="M1297" t="str"/>
      <x:c r="N1297" t="str"/>
      <x:c r="O1297" t="str">
        <x:v>https://www.activesportstrade.co.uk/hr-labs-trade</x:v>
      </x:c>
      <x:c r="P1297" t="str"/>
      <x:c r="Q1297" t="str"/>
      <x:c r="R1297" t="str"/>
      <x:c r="S1297" t="str">
        <x:v>Pending genuine supplier/brand image</x:v>
      </x:c>
      <x:c r="T1297" s="54"/>
      <x:c r="U1297" s="47" t="n">
        <x:v>0.2</x:v>
      </x:c>
      <x:c r="V1297" s="54" t="str">
        <x:f>IF(ISNUMBER(T1297),T1297*(1+U1297),"")</x:f>
      </x:c>
      <x:c r="W1297" s="47" t="n">
        <x:v>0.3</x:v>
      </x:c>
      <x:c r="X1297" s="54" t="str">
        <x:f>IF(ISNUMBER(V1297),V1297/(1-W1297),"")</x:f>
      </x:c>
      <x:c r="Y1297" s="55" t="str">
        <x:f>IF(ISNUMBER(X1297),ROUNDUP(X1297,0),"")</x:f>
      </x:c>
      <x:c r="Z1297" t="str">
        <x:f>IF(ISNUMBER(T1297),"Cost captured","Awaiting trade cost")</x:f>
        <x:v>Awaiting trade cost</x:v>
      </x:c>
      <x:c r="AB1297" s="36" t="str">
        <x:f>IF(ISNUMBER(Y1297),ROUND(Y1297*0.9,2),"")</x:f>
      </x:c>
      <x:c r="AC1297" s="36" t="str">
        <x:f>IF(ISNUMBER(AB1297),ROUND(AB1297-(AB1297*0.015+0.2)-V1297,2),"")</x:f>
      </x:c>
      <x:c r="AD1297" s="36" t="str">
        <x:f>IF(ISNUMBER(Y1297),ROUND(Y1297*0.8,2),"")</x:f>
      </x:c>
      <x:c r="AE1297" s="36" t="str">
        <x:f>IF(ISNUMBER(AD1297),ROUND(AD1297*0.015+0.2,2),"")</x:f>
      </x:c>
      <x:c r="AF1297" s="36" t="str">
        <x:f>IF(ISNUMBER(AD1297),ROUND(AD1297-AE1297-V1297,2),"")</x:f>
      </x:c>
      <x:c r="AG1297" t="str">
        <x:f>IF(NOT(ISNUMBER(T1297)),"PENDING",IF(AF1297&gt;0,"PASS","FAIL"))</x:f>
        <x:v>PENDING</x:v>
      </x:c>
      <x:c r="AH1297" t="str">
        <x:f>IF(NOT(ISNUMBER(T1297)),"Needs supplier cost",IF(K1297&lt;&gt;"In stock","Supplier unavailable",IF(AG1297&lt;&gt;"PASS","BLOCK - GT loss risk","Commercially protected")))</x:f>
        <x:v>Needs supplier cost</x:v>
      </x:c>
      <x:c r="AI1297" t="str">
        <x:v>2026-09-10 Active Sports trade capture</x:v>
      </x:c>
      <x:c r="AJ1297" t="str">
        <x:v>Management-only economics. Stripe stress test uses 1.5% + £0.20 standard UK online-card fee; pallet/mix-and-match pricing ignored.</x:v>
      </x:c>
    </x:row>
    <x:row r="1298">
      <x:c r="A1298" t="str">
        <x:v>Active Sports Nutrition</x:v>
      </x:c>
      <x:c r="B1298" t="str">
        <x:v>HR Labs</x:v>
      </x:c>
      <x:c r="C1298" t="str">
        <x:v>Proven</x:v>
      </x:c>
      <x:c r="D1298" t="str">
        <x:v>Pre Workouts</x:v>
      </x:c>
      <x:c r="E1298" t="str">
        <x:v>Stim FREE</x:v>
      </x:c>
      <x:c r="F1298" t="str">
        <x:v>Stim-free pre-workout.</x:v>
      </x:c>
      <x:c r="G1298" t="str">
        <x:v>320g</x:v>
      </x:c>
      <x:c r="H1298" t="str">
        <x:v>Gummy Bears</x:v>
      </x:c>
      <x:c r="I1298" t="str"/>
      <x:c r="J1298" t="str">
        <x:v>Unit</x:v>
      </x:c>
      <x:c r="K1298" t="str">
        <x:v>In stock</x:v>
      </x:c>
      <x:c r="L1298" t="str">
        <x:v>2026-09-08</x:v>
      </x:c>
      <x:c r="M1298" t="str"/>
      <x:c r="N1298" t="str"/>
      <x:c r="O1298" t="str">
        <x:v>https://www.activesportstrade.co.uk/hr-labs-trade</x:v>
      </x:c>
      <x:c r="P1298" t="str"/>
      <x:c r="Q1298" t="str"/>
      <x:c r="R1298" t="str"/>
      <x:c r="S1298" t="str">
        <x:v>Pending genuine supplier/brand image</x:v>
      </x:c>
      <x:c r="T1298" s="54"/>
      <x:c r="U1298" s="47" t="n">
        <x:v>0.2</x:v>
      </x:c>
      <x:c r="V1298" s="54" t="str">
        <x:f>IF(ISNUMBER(T1298),T1298*(1+U1298),"")</x:f>
      </x:c>
      <x:c r="W1298" s="47" t="n">
        <x:v>0.3</x:v>
      </x:c>
      <x:c r="X1298" s="54" t="str">
        <x:f>IF(ISNUMBER(V1298),V1298/(1-W1298),"")</x:f>
      </x:c>
      <x:c r="Y1298" s="55" t="str">
        <x:f>IF(ISNUMBER(X1298),ROUNDUP(X1298,0),"")</x:f>
      </x:c>
      <x:c r="Z1298" t="str">
        <x:f>IF(ISNUMBER(T1298),"Cost captured","Awaiting trade cost")</x:f>
        <x:v>Awaiting trade cost</x:v>
      </x:c>
      <x:c r="AB1298" s="36" t="str">
        <x:f>IF(ISNUMBER(Y1298),ROUND(Y1298*0.9,2),"")</x:f>
      </x:c>
      <x:c r="AC1298" s="36" t="str">
        <x:f>IF(ISNUMBER(AB1298),ROUND(AB1298-(AB1298*0.015+0.2)-V1298,2),"")</x:f>
      </x:c>
      <x:c r="AD1298" s="36" t="str">
        <x:f>IF(ISNUMBER(Y1298),ROUND(Y1298*0.8,2),"")</x:f>
      </x:c>
      <x:c r="AE1298" s="36" t="str">
        <x:f>IF(ISNUMBER(AD1298),ROUND(AD1298*0.015+0.2,2),"")</x:f>
      </x:c>
      <x:c r="AF1298" s="36" t="str">
        <x:f>IF(ISNUMBER(AD1298),ROUND(AD1298-AE1298-V1298,2),"")</x:f>
      </x:c>
      <x:c r="AG1298" t="str">
        <x:f>IF(NOT(ISNUMBER(T1298)),"PENDING",IF(AF1298&gt;0,"PASS","FAIL"))</x:f>
        <x:v>PENDING</x:v>
      </x:c>
      <x:c r="AH1298" t="str">
        <x:f>IF(NOT(ISNUMBER(T1298)),"Needs supplier cost",IF(K1298&lt;&gt;"In stock","Supplier unavailable",IF(AG1298&lt;&gt;"PASS","BLOCK - GT loss risk","Commercially protected")))</x:f>
        <x:v>Needs supplier cost</x:v>
      </x:c>
      <x:c r="AI1298" t="str">
        <x:v>2026-09-10 Active Sports trade capture</x:v>
      </x:c>
      <x:c r="AJ1298" t="str">
        <x:v>Management-only economics. Stripe stress test uses 1.5% + £0.20 standard UK online-card fee; pallet/mix-and-match pricing ignored.</x:v>
      </x:c>
    </x:row>
    <x:row r="1299">
      <x:c r="A1299" t="str">
        <x:v>Active Sports Nutrition</x:v>
      </x:c>
      <x:c r="B1299" t="str">
        <x:v>HR Labs</x:v>
      </x:c>
      <x:c r="C1299" t="str">
        <x:v>Proven</x:v>
      </x:c>
      <x:c r="D1299" t="str">
        <x:v>Pre Workouts</x:v>
      </x:c>
      <x:c r="E1299" t="str">
        <x:v>Stim FREE</x:v>
      </x:c>
      <x:c r="F1299" t="str">
        <x:v>Stim-free pre-workout.</x:v>
      </x:c>
      <x:c r="G1299" t="str">
        <x:v>320g</x:v>
      </x:c>
      <x:c r="H1299" t="str">
        <x:v>Orange Crush</x:v>
      </x:c>
      <x:c r="I1299" t="str"/>
      <x:c r="J1299" t="str">
        <x:v>Unit</x:v>
      </x:c>
      <x:c r="K1299" t="str">
        <x:v>In stock</x:v>
      </x:c>
      <x:c r="L1299" t="str">
        <x:v>2026-09-08</x:v>
      </x:c>
      <x:c r="M1299" t="str"/>
      <x:c r="N1299" t="str"/>
      <x:c r="O1299" t="str">
        <x:v>https://www.activesportstrade.co.uk/hr-labs-trade</x:v>
      </x:c>
      <x:c r="P1299" t="str"/>
      <x:c r="Q1299" t="str"/>
      <x:c r="R1299" t="str"/>
      <x:c r="S1299" t="str">
        <x:v>Pending genuine supplier/brand image</x:v>
      </x:c>
      <x:c r="T1299" s="54"/>
      <x:c r="U1299" s="47" t="n">
        <x:v>0.2</x:v>
      </x:c>
      <x:c r="V1299" s="54" t="str">
        <x:f>IF(ISNUMBER(T1299),T1299*(1+U1299),"")</x:f>
      </x:c>
      <x:c r="W1299" s="47" t="n">
        <x:v>0.3</x:v>
      </x:c>
      <x:c r="X1299" s="54" t="str">
        <x:f>IF(ISNUMBER(V1299),V1299/(1-W1299),"")</x:f>
      </x:c>
      <x:c r="Y1299" s="55" t="str">
        <x:f>IF(ISNUMBER(X1299),ROUNDUP(X1299,0),"")</x:f>
      </x:c>
      <x:c r="Z1299" t="str">
        <x:f>IF(ISNUMBER(T1299),"Cost captured","Awaiting trade cost")</x:f>
        <x:v>Awaiting trade cost</x:v>
      </x:c>
      <x:c r="AB1299" s="36" t="str">
        <x:f>IF(ISNUMBER(Y1299),ROUND(Y1299*0.9,2),"")</x:f>
      </x:c>
      <x:c r="AC1299" s="36" t="str">
        <x:f>IF(ISNUMBER(AB1299),ROUND(AB1299-(AB1299*0.015+0.2)-V1299,2),"")</x:f>
      </x:c>
      <x:c r="AD1299" s="36" t="str">
        <x:f>IF(ISNUMBER(Y1299),ROUND(Y1299*0.8,2),"")</x:f>
      </x:c>
      <x:c r="AE1299" s="36" t="str">
        <x:f>IF(ISNUMBER(AD1299),ROUND(AD1299*0.015+0.2,2),"")</x:f>
      </x:c>
      <x:c r="AF1299" s="36" t="str">
        <x:f>IF(ISNUMBER(AD1299),ROUND(AD1299-AE1299-V1299,2),"")</x:f>
      </x:c>
      <x:c r="AG1299" t="str">
        <x:f>IF(NOT(ISNUMBER(T1299)),"PENDING",IF(AF1299&gt;0,"PASS","FAIL"))</x:f>
        <x:v>PENDING</x:v>
      </x:c>
      <x:c r="AH1299" t="str">
        <x:f>IF(NOT(ISNUMBER(T1299)),"Needs supplier cost",IF(K1299&lt;&gt;"In stock","Supplier unavailable",IF(AG1299&lt;&gt;"PASS","BLOCK - GT loss risk","Commercially protected")))</x:f>
        <x:v>Needs supplier cost</x:v>
      </x:c>
      <x:c r="AI1299" t="str">
        <x:v>2026-09-10 Active Sports trade capture</x:v>
      </x:c>
      <x:c r="AJ1299" t="str">
        <x:v>Management-only economics. Stripe stress test uses 1.5% + £0.20 standard UK online-card fee; pallet/mix-and-match pricing ignored.</x:v>
      </x:c>
    </x:row>
    <x:row r="1300">
      <x:c r="A1300" t="str">
        <x:v>Active Sports Nutrition</x:v>
      </x:c>
      <x:c r="B1300" t="str">
        <x:v>HR Labs</x:v>
      </x:c>
      <x:c r="C1300" t="str">
        <x:v>Rest Up</x:v>
      </x:c>
      <x:c r="D1300" t="str">
        <x:v>Supplements</x:v>
      </x:c>
      <x:c r="E1300" t="str">
        <x:v>Sleep Aids</x:v>
      </x:c>
      <x:c r="F1300" t="str"/>
      <x:c r="G1300" t="str">
        <x:v>100 caps</x:v>
      </x:c>
      <x:c r="H1300" t="str">
        <x:v>Default</x:v>
      </x:c>
      <x:c r="I1300" t="str"/>
      <x:c r="J1300" t="str">
        <x:v>Unit</x:v>
      </x:c>
      <x:c r="K1300" t="str">
        <x:v>In stock</x:v>
      </x:c>
      <x:c r="L1300" t="str">
        <x:v>2026-09-08</x:v>
      </x:c>
      <x:c r="M1300" t="str"/>
      <x:c r="N1300" t="str"/>
      <x:c r="O1300" t="str">
        <x:v>https://www.activesportstrade.co.uk/hr-labs-trade</x:v>
      </x:c>
      <x:c r="P1300" t="str">
        <x:v>SPECIAL OFFER wording removed.</x:v>
      </x:c>
      <x:c r="Q1300" t="str"/>
      <x:c r="R1300" t="str"/>
      <x:c r="S1300" t="str">
        <x:v>Pending genuine supplier/brand image</x:v>
      </x:c>
      <x:c r="T1300" s="54" t="n">
        <x:v>29.99</x:v>
      </x:c>
      <x:c r="U1300" s="47" t="n">
        <x:v>0.2</x:v>
      </x:c>
      <x:c r="V1300" s="54" t="n">
        <x:f>IF(ISNUMBER(T1300),T1300*(1+U1300),"")</x:f>
        <x:v>35.988</x:v>
      </x:c>
      <x:c r="W1300" s="47" t="n">
        <x:v>0.3</x:v>
      </x:c>
      <x:c r="X1300" s="54" t="n">
        <x:f>IF(ISNUMBER(V1300),V1300/(1-W1300),"")</x:f>
        <x:v>51.41142857142857</x:v>
      </x:c>
      <x:c r="Y1300" s="55" t="n">
        <x:f>IF(ISNUMBER(X1300),ROUNDUP(X1300,0),"")</x:f>
        <x:v>52</x:v>
      </x:c>
      <x:c r="Z1300" t="str">
        <x:v>Source match pending</x:v>
      </x:c>
      <x:c r="AA1300" t="str">
        <x:v>screencapture-www-activesportstrade-co-uk-hr-labs-trade-2026-09-09-18_31_19.png / page-002</x:v>
      </x:c>
      <x:c r="AB1300" s="36" t="n">
        <x:f>IF(ISNUMBER(Y1300),ROUND(Y1300*0.9,2),"")</x:f>
        <x:v>46.8</x:v>
      </x:c>
      <x:c r="AC1300" s="36" t="n">
        <x:f>IF(ISNUMBER(AB1300),ROUND(AB1300-(AB1300*0.015+0.2)-V1300,2),"")</x:f>
        <x:v>9.91</x:v>
      </x:c>
      <x:c r="AD1300" s="36" t="n">
        <x:f>IF(ISNUMBER(Y1300),ROUND(Y1300*0.8,2),"")</x:f>
        <x:v>41.6</x:v>
      </x:c>
      <x:c r="AE1300" s="36" t="n">
        <x:f>IF(ISNUMBER(AD1300),ROUND(AD1300*0.015+0.2,2),"")</x:f>
        <x:v>0.82</x:v>
      </x:c>
      <x:c r="AF1300" s="36" t="n">
        <x:f>IF(ISNUMBER(AD1300),ROUND(AD1300-AE1300-V1300,2),"")</x:f>
        <x:v>4.79</x:v>
      </x:c>
      <x:c r="AG1300" t="str">
        <x:f>IF(NOT(ISNUMBER(T1300)),"PENDING",IF(AF1300&gt;0,"PASS","FAIL"))</x:f>
        <x:v>PASS</x:v>
      </x:c>
      <x:c r="AH1300" t="str">
        <x:f>IF(NOT(ISNUMBER(T1300)),"Needs supplier cost",IF(K1300&lt;&gt;"In stock","Supplier unavailable",IF(AG1300&lt;&gt;"PASS","BLOCK - GT loss risk","Commercially protected")))</x:f>
        <x:v>Commercially protected</x:v>
      </x:c>
      <x:c r="AI1300" t="str">
        <x:v>2026-09-10 Active Sports trade capture</x:v>
      </x:c>
      <x:c r="AJ1300" t="str">
        <x:v>Management-only economics. Stripe stress test uses 1.5% + £0.20 standard UK online-card fee; pallet/mix-and-match pricing ignored.</x:v>
      </x:c>
    </x:row>
    <x:row r="1301">
      <x:c r="A1301" t="str">
        <x:v>Active Sports Nutrition</x:v>
      </x:c>
      <x:c r="B1301" t="str">
        <x:v>HR Labs</x:v>
      </x:c>
      <x:c r="C1301" t="str">
        <x:v>Ride On</x:v>
      </x:c>
      <x:c r="D1301" t="str">
        <x:v>Supplements</x:v>
      </x:c>
      <x:c r="E1301" t="str">
        <x:v>Testosterone Boosters</x:v>
      </x:c>
      <x:c r="F1301" t="str"/>
      <x:c r="G1301" t="str">
        <x:v>180 caps</x:v>
      </x:c>
      <x:c r="H1301" t="str">
        <x:v>Default</x:v>
      </x:c>
      <x:c r="I1301" t="str"/>
      <x:c r="J1301" t="str">
        <x:v>Unit</x:v>
      </x:c>
      <x:c r="K1301" t="str">
        <x:v>Out of stock</x:v>
      </x:c>
      <x:c r="L1301" t="str">
        <x:v>2026-09-08</x:v>
      </x:c>
      <x:c r="M1301" t="str"/>
      <x:c r="N1301" t="str"/>
      <x:c r="O1301" t="str">
        <x:v>https://www.activesportstrade.co.uk/hr-labs-trade</x:v>
      </x:c>
      <x:c r="P1301" t="str"/>
      <x:c r="Q1301" t="str"/>
      <x:c r="R1301" t="str"/>
      <x:c r="S1301" t="str">
        <x:v>Pending genuine supplier/brand image</x:v>
      </x:c>
      <x:c r="T1301" s="54"/>
      <x:c r="U1301" s="47" t="n">
        <x:v>0.2</x:v>
      </x:c>
      <x:c r="V1301" s="54" t="str">
        <x:f>IF(ISNUMBER(T1301),T1301*(1+U1301),"")</x:f>
      </x:c>
      <x:c r="W1301" s="47" t="n">
        <x:v>0.3</x:v>
      </x:c>
      <x:c r="X1301" s="54" t="str">
        <x:f>IF(ISNUMBER(V1301),V1301/(1-W1301),"")</x:f>
      </x:c>
      <x:c r="Y1301" s="55" t="str">
        <x:f>IF(ISNUMBER(X1301),ROUNDUP(X1301,0),"")</x:f>
      </x:c>
      <x:c r="Z1301" t="str">
        <x:f>IF(ISNUMBER(T1301),"Cost captured","Awaiting trade cost")</x:f>
        <x:v>Awaiting trade cost</x:v>
      </x:c>
      <x:c r="AB1301" s="36" t="str">
        <x:f>IF(ISNUMBER(Y1301),ROUND(Y1301*0.9,2),"")</x:f>
      </x:c>
      <x:c r="AC1301" s="36" t="str">
        <x:f>IF(ISNUMBER(AB1301),ROUND(AB1301-(AB1301*0.015+0.2)-V1301,2),"")</x:f>
      </x:c>
      <x:c r="AD1301" s="36" t="str">
        <x:f>IF(ISNUMBER(Y1301),ROUND(Y1301*0.8,2),"")</x:f>
      </x:c>
      <x:c r="AE1301" s="36" t="str">
        <x:f>IF(ISNUMBER(AD1301),ROUND(AD1301*0.015+0.2,2),"")</x:f>
      </x:c>
      <x:c r="AF1301" s="36" t="str">
        <x:f>IF(ISNUMBER(AD1301),ROUND(AD1301-AE1301-V1301,2),"")</x:f>
      </x:c>
      <x:c r="AG1301" t="str">
        <x:f>IF(NOT(ISNUMBER(T1301)),"PENDING",IF(AF1301&gt;0,"PASS","FAIL"))</x:f>
        <x:v>PENDING</x:v>
      </x:c>
      <x:c r="AH1301" t="str">
        <x:f>IF(NOT(ISNUMBER(T1301)),"Needs supplier cost",IF(K1301&lt;&gt;"In stock","Supplier unavailable",IF(AG1301&lt;&gt;"PASS","BLOCK - GT loss risk","Commercially protected")))</x:f>
        <x:v>Needs supplier cost</x:v>
      </x:c>
      <x:c r="AI1301" t="str">
        <x:v>2026-09-10 Active Sports trade capture</x:v>
      </x:c>
      <x:c r="AJ1301" t="str">
        <x:v>Management-only economics. Stripe stress test uses 1.5% + £0.20 standard UK online-card fee; pallet/mix-and-match pricing ignored.</x:v>
      </x:c>
    </x:row>
    <x:row r="1302">
      <x:c r="A1302" t="str">
        <x:v>Active Sports Nutrition</x:v>
      </x:c>
      <x:c r="B1302" t="str">
        <x:v>HR Labs</x:v>
      </x:c>
      <x:c r="C1302" t="str">
        <x:v>Vitamin D3 5000IU</x:v>
      </x:c>
      <x:c r="D1302" t="str">
        <x:v>Supplements</x:v>
      </x:c>
      <x:c r="E1302" t="str">
        <x:v>Vitamins</x:v>
      </x:c>
      <x:c r="F1302" t="str"/>
      <x:c r="G1302" t="str">
        <x:v>120 softgel caps</x:v>
      </x:c>
      <x:c r="H1302" t="str">
        <x:v>Default</x:v>
      </x:c>
      <x:c r="I1302" t="str"/>
      <x:c r="J1302" t="str">
        <x:v>Unit</x:v>
      </x:c>
      <x:c r="K1302" t="str">
        <x:v>In stock</x:v>
      </x:c>
      <x:c r="L1302" t="str">
        <x:v>2026-09-08</x:v>
      </x:c>
      <x:c r="M1302" t="str"/>
      <x:c r="N1302" t="str"/>
      <x:c r="O1302" t="str">
        <x:v>https://www.activesportstrade.co.uk/hr-labs-trade</x:v>
      </x:c>
      <x:c r="P1302" t="str"/>
      <x:c r="Q1302" t="str"/>
      <x:c r="R1302" t="str"/>
      <x:c r="S1302" t="str">
        <x:v>Pending genuine supplier/brand image</x:v>
      </x:c>
      <x:c r="T1302" s="54"/>
      <x:c r="U1302" s="47" t="n">
        <x:v>0.2</x:v>
      </x:c>
      <x:c r="V1302" s="54" t="str">
        <x:f>IF(ISNUMBER(T1302),T1302*(1+U1302),"")</x:f>
      </x:c>
      <x:c r="W1302" s="47" t="n">
        <x:v>0.3</x:v>
      </x:c>
      <x:c r="X1302" s="54" t="str">
        <x:f>IF(ISNUMBER(V1302),V1302/(1-W1302),"")</x:f>
      </x:c>
      <x:c r="Y1302" s="55" t="str">
        <x:f>IF(ISNUMBER(X1302),ROUNDUP(X1302,0),"")</x:f>
      </x:c>
      <x:c r="Z1302" t="str">
        <x:f>IF(ISNUMBER(T1302),"Cost captured","Awaiting trade cost")</x:f>
        <x:v>Awaiting trade cost</x:v>
      </x:c>
      <x:c r="AB1302" s="36" t="str">
        <x:f>IF(ISNUMBER(Y1302),ROUND(Y1302*0.9,2),"")</x:f>
      </x:c>
      <x:c r="AC1302" s="36" t="str">
        <x:f>IF(ISNUMBER(AB1302),ROUND(AB1302-(AB1302*0.015+0.2)-V1302,2),"")</x:f>
      </x:c>
      <x:c r="AD1302" s="36" t="str">
        <x:f>IF(ISNUMBER(Y1302),ROUND(Y1302*0.8,2),"")</x:f>
      </x:c>
      <x:c r="AE1302" s="36" t="str">
        <x:f>IF(ISNUMBER(AD1302),ROUND(AD1302*0.015+0.2,2),"")</x:f>
      </x:c>
      <x:c r="AF1302" s="36" t="str">
        <x:f>IF(ISNUMBER(AD1302),ROUND(AD1302-AE1302-V1302,2),"")</x:f>
      </x:c>
      <x:c r="AG1302" t="str">
        <x:f>IF(NOT(ISNUMBER(T1302)),"PENDING",IF(AF1302&gt;0,"PASS","FAIL"))</x:f>
        <x:v>PENDING</x:v>
      </x:c>
      <x:c r="AH1302" t="str">
        <x:f>IF(NOT(ISNUMBER(T1302)),"Needs supplier cost",IF(K1302&lt;&gt;"In stock","Supplier unavailable",IF(AG1302&lt;&gt;"PASS","BLOCK - GT loss risk","Commercially protected")))</x:f>
        <x:v>Needs supplier cost</x:v>
      </x:c>
      <x:c r="AI1302" t="str">
        <x:v>2026-09-10 Active Sports trade capture</x:v>
      </x:c>
      <x:c r="AJ1302" t="str">
        <x:v>Management-only economics. Stripe stress test uses 1.5% + £0.20 standard UK online-card fee; pallet/mix-and-match pricing ignored.</x:v>
      </x:c>
    </x:row>
    <x:row r="1303">
      <x:c r="A1303" t="str">
        <x:v>Active Sports Nutrition</x:v>
      </x:c>
      <x:c r="B1303" t="str">
        <x:v>HR Labs</x:v>
      </x:c>
      <x:c r="C1303" t="str">
        <x:v>WATTR</x:v>
      </x:c>
      <x:c r="D1303" t="str">
        <x:v>Supplements</x:v>
      </x:c>
      <x:c r="E1303" t="str">
        <x:v>Hydration</x:v>
      </x:c>
      <x:c r="F1303" t="str">
        <x:v>Electrolyte-loaded hydration formula.</x:v>
      </x:c>
      <x:c r="G1303" t="str">
        <x:v>320g</x:v>
      </x:c>
      <x:c r="H1303" t="str">
        <x:v>Classic Cola</x:v>
      </x:c>
      <x:c r="I1303" t="str"/>
      <x:c r="J1303" t="str">
        <x:v>Unit</x:v>
      </x:c>
      <x:c r="K1303" t="str">
        <x:v>In stock</x:v>
      </x:c>
      <x:c r="L1303" t="str">
        <x:v>2026-09-08</x:v>
      </x:c>
      <x:c r="M1303" t="str"/>
      <x:c r="N1303" t="str"/>
      <x:c r="O1303" t="str">
        <x:v>https://www.activesportstrade.co.uk/hr-labs-trade</x:v>
      </x:c>
      <x:c r="P1303" t="str"/>
      <x:c r="Q1303" t="str"/>
      <x:c r="R1303" t="str"/>
      <x:c r="S1303" t="str">
        <x:v>Pending genuine supplier/brand image</x:v>
      </x:c>
      <x:c r="T1303" s="54"/>
      <x:c r="U1303" s="47" t="n">
        <x:v>0.2</x:v>
      </x:c>
      <x:c r="V1303" s="54" t="str">
        <x:f>IF(ISNUMBER(T1303),T1303*(1+U1303),"")</x:f>
      </x:c>
      <x:c r="W1303" s="47" t="n">
        <x:v>0.3</x:v>
      </x:c>
      <x:c r="X1303" s="54" t="str">
        <x:f>IF(ISNUMBER(V1303),V1303/(1-W1303),"")</x:f>
      </x:c>
      <x:c r="Y1303" s="55" t="str">
        <x:f>IF(ISNUMBER(X1303),ROUNDUP(X1303,0),"")</x:f>
      </x:c>
      <x:c r="Z1303" t="str">
        <x:f>IF(ISNUMBER(T1303),"Cost captured","Awaiting trade cost")</x:f>
        <x:v>Awaiting trade cost</x:v>
      </x:c>
      <x:c r="AB1303" s="36" t="str">
        <x:f>IF(ISNUMBER(Y1303),ROUND(Y1303*0.9,2),"")</x:f>
      </x:c>
      <x:c r="AC1303" s="36" t="str">
        <x:f>IF(ISNUMBER(AB1303),ROUND(AB1303-(AB1303*0.015+0.2)-V1303,2),"")</x:f>
      </x:c>
      <x:c r="AD1303" s="36" t="str">
        <x:f>IF(ISNUMBER(Y1303),ROUND(Y1303*0.8,2),"")</x:f>
      </x:c>
      <x:c r="AE1303" s="36" t="str">
        <x:f>IF(ISNUMBER(AD1303),ROUND(AD1303*0.015+0.2,2),"")</x:f>
      </x:c>
      <x:c r="AF1303" s="36" t="str">
        <x:f>IF(ISNUMBER(AD1303),ROUND(AD1303-AE1303-V1303,2),"")</x:f>
      </x:c>
      <x:c r="AG1303" t="str">
        <x:f>IF(NOT(ISNUMBER(T1303)),"PENDING",IF(AF1303&gt;0,"PASS","FAIL"))</x:f>
        <x:v>PENDING</x:v>
      </x:c>
      <x:c r="AH1303" t="str">
        <x:f>IF(NOT(ISNUMBER(T1303)),"Needs supplier cost",IF(K1303&lt;&gt;"In stock","Supplier unavailable",IF(AG1303&lt;&gt;"PASS","BLOCK - GT loss risk","Commercially protected")))</x:f>
        <x:v>Needs supplier cost</x:v>
      </x:c>
      <x:c r="AI1303" t="str">
        <x:v>2026-09-10 Active Sports trade capture</x:v>
      </x:c>
      <x:c r="AJ1303" t="str">
        <x:v>Management-only economics. Stripe stress test uses 1.5% + £0.20 standard UK online-card fee; pallet/mix-and-match pricing ignored.</x:v>
      </x:c>
    </x:row>
    <x:row r="1304">
      <x:c r="A1304" t="str">
        <x:v>Active Sports Nutrition</x:v>
      </x:c>
      <x:c r="B1304" t="str">
        <x:v>HR Labs</x:v>
      </x:c>
      <x:c r="C1304" t="str">
        <x:v>WATTR</x:v>
      </x:c>
      <x:c r="D1304" t="str">
        <x:v>Supplements</x:v>
      </x:c>
      <x:c r="E1304" t="str">
        <x:v>Hydration</x:v>
      </x:c>
      <x:c r="F1304" t="str">
        <x:v>Electrolyte-loaded hydration formula.</x:v>
      </x:c>
      <x:c r="G1304" t="str">
        <x:v>320g</x:v>
      </x:c>
      <x:c r="H1304" t="str">
        <x:v>Frootz</x:v>
      </x:c>
      <x:c r="I1304" t="str"/>
      <x:c r="J1304" t="str">
        <x:v>Unit</x:v>
      </x:c>
      <x:c r="K1304" t="str">
        <x:v>In stock</x:v>
      </x:c>
      <x:c r="L1304" t="str">
        <x:v>2026-09-08</x:v>
      </x:c>
      <x:c r="M1304" t="str"/>
      <x:c r="N1304" t="str"/>
      <x:c r="O1304" t="str">
        <x:v>https://www.activesportstrade.co.uk/hr-labs-trade</x:v>
      </x:c>
      <x:c r="P1304" t="str"/>
      <x:c r="Q1304" t="str"/>
      <x:c r="R1304" t="str"/>
      <x:c r="S1304" t="str">
        <x:v>Pending genuine supplier/brand image</x:v>
      </x:c>
      <x:c r="T1304" s="54"/>
      <x:c r="U1304" s="47" t="n">
        <x:v>0.2</x:v>
      </x:c>
      <x:c r="V1304" s="54" t="str">
        <x:f>IF(ISNUMBER(T1304),T1304*(1+U1304),"")</x:f>
      </x:c>
      <x:c r="W1304" s="47" t="n">
        <x:v>0.3</x:v>
      </x:c>
      <x:c r="X1304" s="54" t="str">
        <x:f>IF(ISNUMBER(V1304),V1304/(1-W1304),"")</x:f>
      </x:c>
      <x:c r="Y1304" s="55" t="str">
        <x:f>IF(ISNUMBER(X1304),ROUNDUP(X1304,0),"")</x:f>
      </x:c>
      <x:c r="Z1304" t="str">
        <x:f>IF(ISNUMBER(T1304),"Cost captured","Awaiting trade cost")</x:f>
        <x:v>Awaiting trade cost</x:v>
      </x:c>
      <x:c r="AB1304" s="36" t="str">
        <x:f>IF(ISNUMBER(Y1304),ROUND(Y1304*0.9,2),"")</x:f>
      </x:c>
      <x:c r="AC1304" s="36" t="str">
        <x:f>IF(ISNUMBER(AB1304),ROUND(AB1304-(AB1304*0.015+0.2)-V1304,2),"")</x:f>
      </x:c>
      <x:c r="AD1304" s="36" t="str">
        <x:f>IF(ISNUMBER(Y1304),ROUND(Y1304*0.8,2),"")</x:f>
      </x:c>
      <x:c r="AE1304" s="36" t="str">
        <x:f>IF(ISNUMBER(AD1304),ROUND(AD1304*0.015+0.2,2),"")</x:f>
      </x:c>
      <x:c r="AF1304" s="36" t="str">
        <x:f>IF(ISNUMBER(AD1304),ROUND(AD1304-AE1304-V1304,2),"")</x:f>
      </x:c>
      <x:c r="AG1304" t="str">
        <x:f>IF(NOT(ISNUMBER(T1304)),"PENDING",IF(AF1304&gt;0,"PASS","FAIL"))</x:f>
        <x:v>PENDING</x:v>
      </x:c>
      <x:c r="AH1304" t="str">
        <x:f>IF(NOT(ISNUMBER(T1304)),"Needs supplier cost",IF(K1304&lt;&gt;"In stock","Supplier unavailable",IF(AG1304&lt;&gt;"PASS","BLOCK - GT loss risk","Commercially protected")))</x:f>
        <x:v>Needs supplier cost</x:v>
      </x:c>
      <x:c r="AI1304" t="str">
        <x:v>2026-09-10 Active Sports trade capture</x:v>
      </x:c>
      <x:c r="AJ1304" t="str">
        <x:v>Management-only economics. Stripe stress test uses 1.5% + £0.20 standard UK online-card fee; pallet/mix-and-match pricing ignored.</x:v>
      </x:c>
    </x:row>
    <x:row r="1305">
      <x:c r="A1305" t="str">
        <x:v>Active Sports Nutrition</x:v>
      </x:c>
      <x:c r="B1305" t="str">
        <x:v>HR Labs</x:v>
      </x:c>
      <x:c r="C1305" t="str">
        <x:v>WATTR</x:v>
      </x:c>
      <x:c r="D1305" t="str">
        <x:v>Supplements</x:v>
      </x:c>
      <x:c r="E1305" t="str">
        <x:v>Hydration</x:v>
      </x:c>
      <x:c r="F1305" t="str">
        <x:v>Electrolyte-loaded hydration formula.</x:v>
      </x:c>
      <x:c r="G1305" t="str">
        <x:v>320g</x:v>
      </x:c>
      <x:c r="H1305" t="str">
        <x:v>Grape Currant</x:v>
      </x:c>
      <x:c r="I1305" t="str"/>
      <x:c r="J1305" t="str">
        <x:v>Unit</x:v>
      </x:c>
      <x:c r="K1305" t="str">
        <x:v>In stock</x:v>
      </x:c>
      <x:c r="L1305" t="str">
        <x:v>2026-09-08</x:v>
      </x:c>
      <x:c r="M1305" t="str"/>
      <x:c r="N1305" t="str"/>
      <x:c r="O1305" t="str">
        <x:v>https://www.activesportstrade.co.uk/hr-labs-trade</x:v>
      </x:c>
      <x:c r="P1305" t="str"/>
      <x:c r="Q1305" t="str"/>
      <x:c r="R1305" t="str"/>
      <x:c r="S1305" t="str">
        <x:v>Pending genuine supplier/brand image</x:v>
      </x:c>
      <x:c r="T1305" s="54"/>
      <x:c r="U1305" s="47" t="n">
        <x:v>0.2</x:v>
      </x:c>
      <x:c r="V1305" s="54" t="str">
        <x:f>IF(ISNUMBER(T1305),T1305*(1+U1305),"")</x:f>
      </x:c>
      <x:c r="W1305" s="47" t="n">
        <x:v>0.3</x:v>
      </x:c>
      <x:c r="X1305" s="54" t="str">
        <x:f>IF(ISNUMBER(V1305),V1305/(1-W1305),"")</x:f>
      </x:c>
      <x:c r="Y1305" s="55" t="str">
        <x:f>IF(ISNUMBER(X1305),ROUNDUP(X1305,0),"")</x:f>
      </x:c>
      <x:c r="Z1305" t="str">
        <x:f>IF(ISNUMBER(T1305),"Cost captured","Awaiting trade cost")</x:f>
        <x:v>Awaiting trade cost</x:v>
      </x:c>
      <x:c r="AB1305" s="36" t="str">
        <x:f>IF(ISNUMBER(Y1305),ROUND(Y1305*0.9,2),"")</x:f>
      </x:c>
      <x:c r="AC1305" s="36" t="str">
        <x:f>IF(ISNUMBER(AB1305),ROUND(AB1305-(AB1305*0.015+0.2)-V1305,2),"")</x:f>
      </x:c>
      <x:c r="AD1305" s="36" t="str">
        <x:f>IF(ISNUMBER(Y1305),ROUND(Y1305*0.8,2),"")</x:f>
      </x:c>
      <x:c r="AE1305" s="36" t="str">
        <x:f>IF(ISNUMBER(AD1305),ROUND(AD1305*0.015+0.2,2),"")</x:f>
      </x:c>
      <x:c r="AF1305" s="36" t="str">
        <x:f>IF(ISNUMBER(AD1305),ROUND(AD1305-AE1305-V1305,2),"")</x:f>
      </x:c>
      <x:c r="AG1305" t="str">
        <x:f>IF(NOT(ISNUMBER(T1305)),"PENDING",IF(AF1305&gt;0,"PASS","FAIL"))</x:f>
        <x:v>PENDING</x:v>
      </x:c>
      <x:c r="AH1305" t="str">
        <x:f>IF(NOT(ISNUMBER(T1305)),"Needs supplier cost",IF(K1305&lt;&gt;"In stock","Supplier unavailable",IF(AG1305&lt;&gt;"PASS","BLOCK - GT loss risk","Commercially protected")))</x:f>
        <x:v>Needs supplier cost</x:v>
      </x:c>
      <x:c r="AI1305" t="str">
        <x:v>2026-09-10 Active Sports trade capture</x:v>
      </x:c>
      <x:c r="AJ1305" t="str">
        <x:v>Management-only economics. Stripe stress test uses 1.5% + £0.20 standard UK online-card fee; pallet/mix-and-match pricing ignored.</x:v>
      </x:c>
    </x:row>
    <x:row r="1306">
      <x:c r="A1306" t="str">
        <x:v>Active Sports Nutrition</x:v>
      </x:c>
      <x:c r="B1306" t="str">
        <x:v>HR Labs</x:v>
      </x:c>
      <x:c r="C1306" t="str">
        <x:v>WATTR</x:v>
      </x:c>
      <x:c r="D1306" t="str">
        <x:v>Supplements</x:v>
      </x:c>
      <x:c r="E1306" t="str">
        <x:v>Hydration</x:v>
      </x:c>
      <x:c r="F1306" t="str">
        <x:v>Electrolyte-loaded hydration formula.</x:v>
      </x:c>
      <x:c r="G1306" t="str">
        <x:v>320g</x:v>
      </x:c>
      <x:c r="H1306" t="str">
        <x:v>Peach &amp; Pomegranate</x:v>
      </x:c>
      <x:c r="I1306" t="str"/>
      <x:c r="J1306" t="str">
        <x:v>Unit</x:v>
      </x:c>
      <x:c r="K1306" t="str">
        <x:v>In stock</x:v>
      </x:c>
      <x:c r="L1306" t="str">
        <x:v>2026-09-08</x:v>
      </x:c>
      <x:c r="M1306" t="str"/>
      <x:c r="N1306" t="str"/>
      <x:c r="O1306" t="str">
        <x:v>https://www.activesportstrade.co.uk/hr-labs-trade</x:v>
      </x:c>
      <x:c r="P1306" t="str"/>
      <x:c r="Q1306" t="str"/>
      <x:c r="R1306" t="str"/>
      <x:c r="S1306" t="str">
        <x:v>Pending genuine supplier/brand image</x:v>
      </x:c>
      <x:c r="T1306" s="54"/>
      <x:c r="U1306" s="47" t="n">
        <x:v>0.2</x:v>
      </x:c>
      <x:c r="V1306" s="54" t="str">
        <x:f>IF(ISNUMBER(T1306),T1306*(1+U1306),"")</x:f>
      </x:c>
      <x:c r="W1306" s="47" t="n">
        <x:v>0.3</x:v>
      </x:c>
      <x:c r="X1306" s="54" t="str">
        <x:f>IF(ISNUMBER(V1306),V1306/(1-W1306),"")</x:f>
      </x:c>
      <x:c r="Y1306" s="55" t="str">
        <x:f>IF(ISNUMBER(X1306),ROUNDUP(X1306,0),"")</x:f>
      </x:c>
      <x:c r="Z1306" t="str">
        <x:f>IF(ISNUMBER(T1306),"Cost captured","Awaiting trade cost")</x:f>
        <x:v>Awaiting trade cost</x:v>
      </x:c>
      <x:c r="AB1306" s="36" t="str">
        <x:f>IF(ISNUMBER(Y1306),ROUND(Y1306*0.9,2),"")</x:f>
      </x:c>
      <x:c r="AC1306" s="36" t="str">
        <x:f>IF(ISNUMBER(AB1306),ROUND(AB1306-(AB1306*0.015+0.2)-V1306,2),"")</x:f>
      </x:c>
      <x:c r="AD1306" s="36" t="str">
        <x:f>IF(ISNUMBER(Y1306),ROUND(Y1306*0.8,2),"")</x:f>
      </x:c>
      <x:c r="AE1306" s="36" t="str">
        <x:f>IF(ISNUMBER(AD1306),ROUND(AD1306*0.015+0.2,2),"")</x:f>
      </x:c>
      <x:c r="AF1306" s="36" t="str">
        <x:f>IF(ISNUMBER(AD1306),ROUND(AD1306-AE1306-V1306,2),"")</x:f>
      </x:c>
      <x:c r="AG1306" t="str">
        <x:f>IF(NOT(ISNUMBER(T1306)),"PENDING",IF(AF1306&gt;0,"PASS","FAIL"))</x:f>
        <x:v>PENDING</x:v>
      </x:c>
      <x:c r="AH1306" t="str">
        <x:f>IF(NOT(ISNUMBER(T1306)),"Needs supplier cost",IF(K1306&lt;&gt;"In stock","Supplier unavailable",IF(AG1306&lt;&gt;"PASS","BLOCK - GT loss risk","Commercially protected")))</x:f>
        <x:v>Needs supplier cost</x:v>
      </x:c>
      <x:c r="AI1306" t="str">
        <x:v>2026-09-10 Active Sports trade capture</x:v>
      </x:c>
      <x:c r="AJ1306" t="str">
        <x:v>Management-only economics. Stripe stress test uses 1.5% + £0.20 standard UK online-card fee; pallet/mix-and-match pricing ignored.</x:v>
      </x:c>
    </x:row>
    <x:row r="1307">
      <x:c r="A1307" t="str">
        <x:v>Active Sports Nutrition</x:v>
      </x:c>
      <x:c r="B1307" t="str">
        <x:v>HR Labs</x:v>
      </x:c>
      <x:c r="C1307" t="str">
        <x:v>WATTR</x:v>
      </x:c>
      <x:c r="D1307" t="str">
        <x:v>Supplements</x:v>
      </x:c>
      <x:c r="E1307" t="str">
        <x:v>Hydration</x:v>
      </x:c>
      <x:c r="F1307" t="str">
        <x:v>Electrolyte-loaded hydration formula.</x:v>
      </x:c>
      <x:c r="G1307" t="str">
        <x:v>320g</x:v>
      </x:c>
      <x:c r="H1307" t="str">
        <x:v>Pineapple &amp; Mango</x:v>
      </x:c>
      <x:c r="I1307" t="str"/>
      <x:c r="J1307" t="str">
        <x:v>Unit</x:v>
      </x:c>
      <x:c r="K1307" t="str">
        <x:v>In stock</x:v>
      </x:c>
      <x:c r="L1307" t="str">
        <x:v>2026-09-08</x:v>
      </x:c>
      <x:c r="M1307" t="str"/>
      <x:c r="N1307" t="str"/>
      <x:c r="O1307" t="str">
        <x:v>https://www.activesportstrade.co.uk/hr-labs-trade</x:v>
      </x:c>
      <x:c r="P1307" t="str"/>
      <x:c r="Q1307" t="str"/>
      <x:c r="R1307" t="str"/>
      <x:c r="S1307" t="str">
        <x:v>Pending genuine supplier/brand image</x:v>
      </x:c>
      <x:c r="T1307" s="54"/>
      <x:c r="U1307" s="47" t="n">
        <x:v>0.2</x:v>
      </x:c>
      <x:c r="V1307" s="54" t="str">
        <x:f>IF(ISNUMBER(T1307),T1307*(1+U1307),"")</x:f>
      </x:c>
      <x:c r="W1307" s="47" t="n">
        <x:v>0.3</x:v>
      </x:c>
      <x:c r="X1307" s="54" t="str">
        <x:f>IF(ISNUMBER(V1307),V1307/(1-W1307),"")</x:f>
      </x:c>
      <x:c r="Y1307" s="55" t="str">
        <x:f>IF(ISNUMBER(X1307),ROUNDUP(X1307,0),"")</x:f>
      </x:c>
      <x:c r="Z1307" t="str">
        <x:f>IF(ISNUMBER(T1307),"Cost captured","Awaiting trade cost")</x:f>
        <x:v>Awaiting trade cost</x:v>
      </x:c>
      <x:c r="AB1307" s="36" t="str">
        <x:f>IF(ISNUMBER(Y1307),ROUND(Y1307*0.9,2),"")</x:f>
      </x:c>
      <x:c r="AC1307" s="36" t="str">
        <x:f>IF(ISNUMBER(AB1307),ROUND(AB1307-(AB1307*0.015+0.2)-V1307,2),"")</x:f>
      </x:c>
      <x:c r="AD1307" s="36" t="str">
        <x:f>IF(ISNUMBER(Y1307),ROUND(Y1307*0.8,2),"")</x:f>
      </x:c>
      <x:c r="AE1307" s="36" t="str">
        <x:f>IF(ISNUMBER(AD1307),ROUND(AD1307*0.015+0.2,2),"")</x:f>
      </x:c>
      <x:c r="AF1307" s="36" t="str">
        <x:f>IF(ISNUMBER(AD1307),ROUND(AD1307-AE1307-V1307,2),"")</x:f>
      </x:c>
      <x:c r="AG1307" t="str">
        <x:f>IF(NOT(ISNUMBER(T1307)),"PENDING",IF(AF1307&gt;0,"PASS","FAIL"))</x:f>
        <x:v>PENDING</x:v>
      </x:c>
      <x:c r="AH1307" t="str">
        <x:f>IF(NOT(ISNUMBER(T1307)),"Needs supplier cost",IF(K1307&lt;&gt;"In stock","Supplier unavailable",IF(AG1307&lt;&gt;"PASS","BLOCK - GT loss risk","Commercially protected")))</x:f>
        <x:v>Needs supplier cost</x:v>
      </x:c>
      <x:c r="AI1307" t="str">
        <x:v>2026-09-10 Active Sports trade capture</x:v>
      </x:c>
      <x:c r="AJ1307" t="str">
        <x:v>Management-only economics. Stripe stress test uses 1.5% + £0.20 standard UK online-card fee; pallet/mix-and-match pricing ignored.</x:v>
      </x:c>
    </x:row>
    <x:row r="1308">
      <x:c r="A1308" t="str">
        <x:v>Active Sports Nutrition</x:v>
      </x:c>
      <x:c r="B1308" t="str">
        <x:v>HR Labs</x:v>
      </x:c>
      <x:c r="C1308" t="str">
        <x:v>WATTR</x:v>
      </x:c>
      <x:c r="D1308" t="str">
        <x:v>Supplements</x:v>
      </x:c>
      <x:c r="E1308" t="str">
        <x:v>Hydration</x:v>
      </x:c>
      <x:c r="F1308" t="str">
        <x:v>Electrolyte-loaded hydration formula.</x:v>
      </x:c>
      <x:c r="G1308" t="str">
        <x:v>320g</x:v>
      </x:c>
      <x:c r="H1308" t="str">
        <x:v>Pink Lemonade</x:v>
      </x:c>
      <x:c r="I1308" t="str"/>
      <x:c r="J1308" t="str">
        <x:v>Unit</x:v>
      </x:c>
      <x:c r="K1308" t="str">
        <x:v>In stock</x:v>
      </x:c>
      <x:c r="L1308" t="str">
        <x:v>2026-09-08</x:v>
      </x:c>
      <x:c r="M1308" t="str"/>
      <x:c r="N1308" t="str"/>
      <x:c r="O1308" t="str">
        <x:v>https://www.activesportstrade.co.uk/hr-labs-trade</x:v>
      </x:c>
      <x:c r="P1308" t="str"/>
      <x:c r="Q1308" t="str"/>
      <x:c r="R1308" t="str"/>
      <x:c r="S1308" t="str">
        <x:v>Pending genuine supplier/brand image</x:v>
      </x:c>
      <x:c r="T1308" s="54"/>
      <x:c r="U1308" s="47" t="n">
        <x:v>0.2</x:v>
      </x:c>
      <x:c r="V1308" s="54" t="str">
        <x:f>IF(ISNUMBER(T1308),T1308*(1+U1308),"")</x:f>
      </x:c>
      <x:c r="W1308" s="47" t="n">
        <x:v>0.3</x:v>
      </x:c>
      <x:c r="X1308" s="54" t="str">
        <x:f>IF(ISNUMBER(V1308),V1308/(1-W1308),"")</x:f>
      </x:c>
      <x:c r="Y1308" s="55" t="str">
        <x:f>IF(ISNUMBER(X1308),ROUNDUP(X1308,0),"")</x:f>
      </x:c>
      <x:c r="Z1308" t="str">
        <x:f>IF(ISNUMBER(T1308),"Cost captured","Awaiting trade cost")</x:f>
        <x:v>Awaiting trade cost</x:v>
      </x:c>
      <x:c r="AB1308" s="36" t="str">
        <x:f>IF(ISNUMBER(Y1308),ROUND(Y1308*0.9,2),"")</x:f>
      </x:c>
      <x:c r="AC1308" s="36" t="str">
        <x:f>IF(ISNUMBER(AB1308),ROUND(AB1308-(AB1308*0.015+0.2)-V1308,2),"")</x:f>
      </x:c>
      <x:c r="AD1308" s="36" t="str">
        <x:f>IF(ISNUMBER(Y1308),ROUND(Y1308*0.8,2),"")</x:f>
      </x:c>
      <x:c r="AE1308" s="36" t="str">
        <x:f>IF(ISNUMBER(AD1308),ROUND(AD1308*0.015+0.2,2),"")</x:f>
      </x:c>
      <x:c r="AF1308" s="36" t="str">
        <x:f>IF(ISNUMBER(AD1308),ROUND(AD1308-AE1308-V1308,2),"")</x:f>
      </x:c>
      <x:c r="AG1308" t="str">
        <x:f>IF(NOT(ISNUMBER(T1308)),"PENDING",IF(AF1308&gt;0,"PASS","FAIL"))</x:f>
        <x:v>PENDING</x:v>
      </x:c>
      <x:c r="AH1308" t="str">
        <x:f>IF(NOT(ISNUMBER(T1308)),"Needs supplier cost",IF(K1308&lt;&gt;"In stock","Supplier unavailable",IF(AG1308&lt;&gt;"PASS","BLOCK - GT loss risk","Commercially protected")))</x:f>
        <x:v>Needs supplier cost</x:v>
      </x:c>
      <x:c r="AI1308" t="str">
        <x:v>2026-09-10 Active Sports trade capture</x:v>
      </x:c>
      <x:c r="AJ1308" t="str">
        <x:v>Management-only economics. Stripe stress test uses 1.5% + £0.20 standard UK online-card fee; pallet/mix-and-match pricing ignored.</x:v>
      </x:c>
    </x:row>
    <x:row r="1309">
      <x:c r="A1309" t="str">
        <x:v>Active Sports Nutrition</x:v>
      </x:c>
      <x:c r="B1309" t="str">
        <x:v>HR Labs</x:v>
      </x:c>
      <x:c r="C1309" t="str">
        <x:v>WATTR</x:v>
      </x:c>
      <x:c r="D1309" t="str">
        <x:v>Supplements</x:v>
      </x:c>
      <x:c r="E1309" t="str">
        <x:v>Hydration</x:v>
      </x:c>
      <x:c r="F1309" t="str">
        <x:v>Electrolyte-loaded hydration formula.</x:v>
      </x:c>
      <x:c r="G1309" t="str">
        <x:v>320g</x:v>
      </x:c>
      <x:c r="H1309" t="str">
        <x:v>Super Fresh OJ</x:v>
      </x:c>
      <x:c r="I1309" t="str"/>
      <x:c r="J1309" t="str">
        <x:v>Unit</x:v>
      </x:c>
      <x:c r="K1309" t="str">
        <x:v>In stock</x:v>
      </x:c>
      <x:c r="L1309" t="str">
        <x:v>2026-09-08</x:v>
      </x:c>
      <x:c r="M1309" t="str"/>
      <x:c r="N1309" t="str"/>
      <x:c r="O1309" t="str">
        <x:v>https://www.activesportstrade.co.uk/hr-labs-trade</x:v>
      </x:c>
      <x:c r="P1309" t="str"/>
      <x:c r="Q1309" t="str"/>
      <x:c r="R1309" t="str"/>
      <x:c r="S1309" t="str">
        <x:v>Pending genuine supplier/brand image</x:v>
      </x:c>
      <x:c r="T1309" s="54"/>
      <x:c r="U1309" s="47" t="n">
        <x:v>0.2</x:v>
      </x:c>
      <x:c r="V1309" s="54" t="str">
        <x:f>IF(ISNUMBER(T1309),T1309*(1+U1309),"")</x:f>
      </x:c>
      <x:c r="W1309" s="47" t="n">
        <x:v>0.3</x:v>
      </x:c>
      <x:c r="X1309" s="54" t="str">
        <x:f>IF(ISNUMBER(V1309),V1309/(1-W1309),"")</x:f>
      </x:c>
      <x:c r="Y1309" s="55" t="str">
        <x:f>IF(ISNUMBER(X1309),ROUNDUP(X1309,0),"")</x:f>
      </x:c>
      <x:c r="Z1309" t="str">
        <x:f>IF(ISNUMBER(T1309),"Cost captured","Awaiting trade cost")</x:f>
        <x:v>Awaiting trade cost</x:v>
      </x:c>
      <x:c r="AB1309" s="36" t="str">
        <x:f>IF(ISNUMBER(Y1309),ROUND(Y1309*0.9,2),"")</x:f>
      </x:c>
      <x:c r="AC1309" s="36" t="str">
        <x:f>IF(ISNUMBER(AB1309),ROUND(AB1309-(AB1309*0.015+0.2)-V1309,2),"")</x:f>
      </x:c>
      <x:c r="AD1309" s="36" t="str">
        <x:f>IF(ISNUMBER(Y1309),ROUND(Y1309*0.8,2),"")</x:f>
      </x:c>
      <x:c r="AE1309" s="36" t="str">
        <x:f>IF(ISNUMBER(AD1309),ROUND(AD1309*0.015+0.2,2),"")</x:f>
      </x:c>
      <x:c r="AF1309" s="36" t="str">
        <x:f>IF(ISNUMBER(AD1309),ROUND(AD1309-AE1309-V1309,2),"")</x:f>
      </x:c>
      <x:c r="AG1309" t="str">
        <x:f>IF(NOT(ISNUMBER(T1309)),"PENDING",IF(AF1309&gt;0,"PASS","FAIL"))</x:f>
        <x:v>PENDING</x:v>
      </x:c>
      <x:c r="AH1309" t="str">
        <x:f>IF(NOT(ISNUMBER(T1309)),"Needs supplier cost",IF(K1309&lt;&gt;"In stock","Supplier unavailable",IF(AG1309&lt;&gt;"PASS","BLOCK - GT loss risk","Commercially protected")))</x:f>
        <x:v>Needs supplier cost</x:v>
      </x:c>
      <x:c r="AI1309" t="str">
        <x:v>2026-09-10 Active Sports trade capture</x:v>
      </x:c>
      <x:c r="AJ1309" t="str">
        <x:v>Management-only economics. Stripe stress test uses 1.5% + £0.20 standard UK online-card fee; pallet/mix-and-match pricing ignored.</x:v>
      </x:c>
    </x:row>
    <x:row r="1310">
      <x:c r="A1310" t="str">
        <x:v>Active Sports Nutrition</x:v>
      </x:c>
      <x:c r="B1310" t="str">
        <x:v>InnovaPharm</x:v>
      </x:c>
      <x:c r="C1310" t="str">
        <x:v>MVPRE 3.0</x:v>
      </x:c>
      <x:c r="D1310" t="str">
        <x:v>Pre Workouts</x:v>
      </x:c>
      <x:c r="E1310" t="str">
        <x:v>High Stim</x:v>
      </x:c>
      <x:c r="F1310" t="str">
        <x:v>High-stimulant pre-workout.</x:v>
      </x:c>
      <x:c r="G1310" t="str">
        <x:v>437g</x:v>
      </x:c>
      <x:c r="H1310" t="str">
        <x:v>Gusher Blast</x:v>
      </x:c>
      <x:c r="I1310" t="str"/>
      <x:c r="J1310" t="str">
        <x:v>Unit</x:v>
      </x:c>
      <x:c r="K1310" t="str">
        <x:v>In stock</x:v>
      </x:c>
      <x:c r="L1310" t="str">
        <x:v>2026-09-08</x:v>
      </x:c>
      <x:c r="M1310" t="str">
        <x:v>0000000000000075</x:v>
      </x:c>
      <x:c r="N1310" t="str"/>
      <x:c r="O1310" t="str">
        <x:v>https://www.activesportstrade.co.uk/trade-pre-workout-supplements/innovapharm-trade</x:v>
      </x:c>
      <x:c r="P1310" t="str">
        <x:v>Exact supplier product code captured from current product page.</x:v>
      </x:c>
      <x:c r="Q1310" t="str"/>
      <x:c r="R1310" t="str"/>
      <x:c r="S1310" t="str">
        <x:v>Pending genuine supplier/brand image</x:v>
      </x:c>
      <x:c r="T1310" s="54" t="n">
        <x:v>23.99</x:v>
      </x:c>
      <x:c r="U1310" s="47" t="n">
        <x:v>0.2</x:v>
      </x:c>
      <x:c r="V1310" s="54" t="n">
        <x:f>IF(ISNUMBER(T1310),T1310*(1+U1310),"")</x:f>
        <x:v>28.787999999999997</x:v>
      </x:c>
      <x:c r="W1310" s="47" t="n">
        <x:v>0.3</x:v>
      </x:c>
      <x:c r="X1310" s="54" t="n">
        <x:f>IF(ISNUMBER(V1310),V1310/(1-W1310),"")</x:f>
        <x:v>41.12571428571428</x:v>
      </x:c>
      <x:c r="Y1310" s="55" t="n">
        <x:f>IF(ISNUMBER(X1310),ROUNDUP(X1310,0),"")</x:f>
        <x:v>42</x:v>
      </x:c>
      <x:c r="Z1310" t="str">
        <x:v>Source match pending</x:v>
      </x:c>
      <x:c r="AA1310" t="str">
        <x:v>screencapture-www-activesportstrade-co-uk-innovapharm-trade-2026-09-09-18_32_19.png / page-001</x:v>
      </x:c>
      <x:c r="AB1310" s="36" t="n">
        <x:f>IF(ISNUMBER(Y1310),ROUND(Y1310*0.9,2),"")</x:f>
        <x:v>37.8</x:v>
      </x:c>
      <x:c r="AC1310" s="36" t="n">
        <x:f>IF(ISNUMBER(AB1310),ROUND(AB1310-(AB1310*0.015+0.2)-V1310,2),"")</x:f>
        <x:v>8.24</x:v>
      </x:c>
      <x:c r="AD1310" s="36" t="n">
        <x:f>IF(ISNUMBER(Y1310),ROUND(Y1310*0.8,2),"")</x:f>
        <x:v>33.6</x:v>
      </x:c>
      <x:c r="AE1310" s="36" t="n">
        <x:f>IF(ISNUMBER(AD1310),ROUND(AD1310*0.015+0.2,2),"")</x:f>
        <x:v>0.7</x:v>
      </x:c>
      <x:c r="AF1310" s="36" t="n">
        <x:f>IF(ISNUMBER(AD1310),ROUND(AD1310-AE1310-V1310,2),"")</x:f>
        <x:v>4.11</x:v>
      </x:c>
      <x:c r="AG1310" t="str">
        <x:f>IF(NOT(ISNUMBER(T1310)),"PENDING",IF(AF1310&gt;0,"PASS","FAIL"))</x:f>
        <x:v>PASS</x:v>
      </x:c>
      <x:c r="AH1310" t="str">
        <x:f>IF(NOT(ISNUMBER(T1310)),"Needs supplier cost",IF(K1310&lt;&gt;"In stock","Supplier unavailable",IF(AG1310&lt;&gt;"PASS","BLOCK - GT loss risk","Commercially protected")))</x:f>
        <x:v>Commercially protected</x:v>
      </x:c>
      <x:c r="AI1310" t="str">
        <x:v>2026-09-10 Active Sports trade capture</x:v>
      </x:c>
      <x:c r="AJ1310" t="str">
        <x:v>Management-only economics. Stripe stress test uses 1.5% + £0.20 standard UK online-card fee; pallet/mix-and-match pricing ignored.</x:v>
      </x:c>
    </x:row>
    <x:row r="1311">
      <x:c r="A1311" t="str">
        <x:v>Active Sports Nutrition</x:v>
      </x:c>
      <x:c r="B1311" t="str">
        <x:v>InnovaPharm</x:v>
      </x:c>
      <x:c r="C1311" t="str">
        <x:v>MVPRE 3.0</x:v>
      </x:c>
      <x:c r="D1311" t="str">
        <x:v>Pre Workouts</x:v>
      </x:c>
      <x:c r="E1311" t="str">
        <x:v>High Stim</x:v>
      </x:c>
      <x:c r="F1311" t="str">
        <x:v>High-stimulant pre-workout.</x:v>
      </x:c>
      <x:c r="G1311" t="str">
        <x:v>437g</x:v>
      </x:c>
      <x:c r="H1311" t="str">
        <x:v>Jungle Juice</x:v>
      </x:c>
      <x:c r="I1311" t="str"/>
      <x:c r="J1311" t="str">
        <x:v>Unit</x:v>
      </x:c>
      <x:c r="K1311" t="str">
        <x:v>In stock</x:v>
      </x:c>
      <x:c r="L1311" t="str">
        <x:v>2026-09-08</x:v>
      </x:c>
      <x:c r="M1311" t="str">
        <x:v>0000000000000075</x:v>
      </x:c>
      <x:c r="N1311" t="str"/>
      <x:c r="O1311" t="str">
        <x:v>https://www.activesportstrade.co.uk/trade-pre-workout-supplements/innovapharm-trade</x:v>
      </x:c>
      <x:c r="P1311" t="str">
        <x:v>Exact supplier product code captured from current product page.</x:v>
      </x:c>
      <x:c r="Q1311" t="str"/>
      <x:c r="R1311" t="str"/>
      <x:c r="S1311" t="str">
        <x:v>Pending genuine supplier/brand image</x:v>
      </x:c>
      <x:c r="T1311" s="54" t="n">
        <x:v>23.99</x:v>
      </x:c>
      <x:c r="U1311" s="47" t="n">
        <x:v>0.2</x:v>
      </x:c>
      <x:c r="V1311" s="54" t="n">
        <x:f>IF(ISNUMBER(T1311),T1311*(1+U1311),"")</x:f>
        <x:v>28.787999999999997</x:v>
      </x:c>
      <x:c r="W1311" s="47" t="n">
        <x:v>0.3</x:v>
      </x:c>
      <x:c r="X1311" s="54" t="n">
        <x:f>IF(ISNUMBER(V1311),V1311/(1-W1311),"")</x:f>
        <x:v>41.12571428571428</x:v>
      </x:c>
      <x:c r="Y1311" s="55" t="n">
        <x:f>IF(ISNUMBER(X1311),ROUNDUP(X1311,0),"")</x:f>
        <x:v>42</x:v>
      </x:c>
      <x:c r="Z1311" t="str">
        <x:v>Source match pending</x:v>
      </x:c>
      <x:c r="AA1311" t="str">
        <x:v>screencapture-www-activesportstrade-co-uk-innovapharm-trade-2026-09-09-18_32_19.png / page-001</x:v>
      </x:c>
      <x:c r="AB1311" s="36" t="n">
        <x:f>IF(ISNUMBER(Y1311),ROUND(Y1311*0.9,2),"")</x:f>
        <x:v>37.8</x:v>
      </x:c>
      <x:c r="AC1311" s="36" t="n">
        <x:f>IF(ISNUMBER(AB1311),ROUND(AB1311-(AB1311*0.015+0.2)-V1311,2),"")</x:f>
        <x:v>8.24</x:v>
      </x:c>
      <x:c r="AD1311" s="36" t="n">
        <x:f>IF(ISNUMBER(Y1311),ROUND(Y1311*0.8,2),"")</x:f>
        <x:v>33.6</x:v>
      </x:c>
      <x:c r="AE1311" s="36" t="n">
        <x:f>IF(ISNUMBER(AD1311),ROUND(AD1311*0.015+0.2,2),"")</x:f>
        <x:v>0.7</x:v>
      </x:c>
      <x:c r="AF1311" s="36" t="n">
        <x:f>IF(ISNUMBER(AD1311),ROUND(AD1311-AE1311-V1311,2),"")</x:f>
        <x:v>4.11</x:v>
      </x:c>
      <x:c r="AG1311" t="str">
        <x:f>IF(NOT(ISNUMBER(T1311)),"PENDING",IF(AF1311&gt;0,"PASS","FAIL"))</x:f>
        <x:v>PASS</x:v>
      </x:c>
      <x:c r="AH1311" t="str">
        <x:f>IF(NOT(ISNUMBER(T1311)),"Needs supplier cost",IF(K1311&lt;&gt;"In stock","Supplier unavailable",IF(AG1311&lt;&gt;"PASS","BLOCK - GT loss risk","Commercially protected")))</x:f>
        <x:v>Commercially protected</x:v>
      </x:c>
      <x:c r="AI1311" t="str">
        <x:v>2026-09-10 Active Sports trade capture</x:v>
      </x:c>
      <x:c r="AJ1311" t="str">
        <x:v>Management-only economics. Stripe stress test uses 1.5% + £0.20 standard UK online-card fee; pallet/mix-and-match pricing ignored.</x:v>
      </x:c>
    </x:row>
    <x:row r="1312">
      <x:c r="A1312" t="str">
        <x:v>Active Sports Nutrition</x:v>
      </x:c>
      <x:c r="B1312" t="str">
        <x:v>InnovaPharm</x:v>
      </x:c>
      <x:c r="C1312" t="str">
        <x:v>MVPRE 3.0</x:v>
      </x:c>
      <x:c r="D1312" t="str">
        <x:v>Pre Workouts</x:v>
      </x:c>
      <x:c r="E1312" t="str">
        <x:v>High Stim</x:v>
      </x:c>
      <x:c r="F1312" t="str">
        <x:v>High-stimulant pre-workout.</x:v>
      </x:c>
      <x:c r="G1312" t="str">
        <x:v>437g</x:v>
      </x:c>
      <x:c r="H1312" t="str">
        <x:v>Rainbow Rock Candy</x:v>
      </x:c>
      <x:c r="I1312" t="str"/>
      <x:c r="J1312" t="str">
        <x:v>Unit</x:v>
      </x:c>
      <x:c r="K1312" t="str">
        <x:v>In stock</x:v>
      </x:c>
      <x:c r="L1312" t="str">
        <x:v>2026-09-08</x:v>
      </x:c>
      <x:c r="M1312" t="str">
        <x:v>0000000000000075</x:v>
      </x:c>
      <x:c r="N1312" t="str"/>
      <x:c r="O1312" t="str">
        <x:v>https://www.activesportstrade.co.uk/trade-pre-workout-supplements/innovapharm-trade</x:v>
      </x:c>
      <x:c r="P1312" t="str">
        <x:v>Exact supplier product code captured from current product page.</x:v>
      </x:c>
      <x:c r="Q1312" t="str"/>
      <x:c r="R1312" t="str"/>
      <x:c r="S1312" t="str">
        <x:v>Pending genuine supplier/brand image</x:v>
      </x:c>
      <x:c r="T1312" s="54" t="n">
        <x:v>23.99</x:v>
      </x:c>
      <x:c r="U1312" s="47" t="n">
        <x:v>0.2</x:v>
      </x:c>
      <x:c r="V1312" s="54" t="n">
        <x:f>IF(ISNUMBER(T1312),T1312*(1+U1312),"")</x:f>
        <x:v>28.787999999999997</x:v>
      </x:c>
      <x:c r="W1312" s="47" t="n">
        <x:v>0.3</x:v>
      </x:c>
      <x:c r="X1312" s="54" t="n">
        <x:f>IF(ISNUMBER(V1312),V1312/(1-W1312),"")</x:f>
        <x:v>41.12571428571428</x:v>
      </x:c>
      <x:c r="Y1312" s="55" t="n">
        <x:f>IF(ISNUMBER(X1312),ROUNDUP(X1312,0),"")</x:f>
        <x:v>42</x:v>
      </x:c>
      <x:c r="Z1312" t="str">
        <x:v>Source match pending</x:v>
      </x:c>
      <x:c r="AA1312" t="str">
        <x:v>screencapture-www-activesportstrade-co-uk-innovapharm-trade-2026-09-09-18_32_19.png / page-001</x:v>
      </x:c>
      <x:c r="AB1312" s="36" t="n">
        <x:f>IF(ISNUMBER(Y1312),ROUND(Y1312*0.9,2),"")</x:f>
        <x:v>37.8</x:v>
      </x:c>
      <x:c r="AC1312" s="36" t="n">
        <x:f>IF(ISNUMBER(AB1312),ROUND(AB1312-(AB1312*0.015+0.2)-V1312,2),"")</x:f>
        <x:v>8.24</x:v>
      </x:c>
      <x:c r="AD1312" s="36" t="n">
        <x:f>IF(ISNUMBER(Y1312),ROUND(Y1312*0.8,2),"")</x:f>
        <x:v>33.6</x:v>
      </x:c>
      <x:c r="AE1312" s="36" t="n">
        <x:f>IF(ISNUMBER(AD1312),ROUND(AD1312*0.015+0.2,2),"")</x:f>
        <x:v>0.7</x:v>
      </x:c>
      <x:c r="AF1312" s="36" t="n">
        <x:f>IF(ISNUMBER(AD1312),ROUND(AD1312-AE1312-V1312,2),"")</x:f>
        <x:v>4.11</x:v>
      </x:c>
      <x:c r="AG1312" t="str">
        <x:f>IF(NOT(ISNUMBER(T1312)),"PENDING",IF(AF1312&gt;0,"PASS","FAIL"))</x:f>
        <x:v>PASS</x:v>
      </x:c>
      <x:c r="AH1312" t="str">
        <x:f>IF(NOT(ISNUMBER(T1312)),"Needs supplier cost",IF(K1312&lt;&gt;"In stock","Supplier unavailable",IF(AG1312&lt;&gt;"PASS","BLOCK - GT loss risk","Commercially protected")))</x:f>
        <x:v>Commercially protected</x:v>
      </x:c>
      <x:c r="AI1312" t="str">
        <x:v>2026-09-10 Active Sports trade capture</x:v>
      </x:c>
      <x:c r="AJ1312" t="str">
        <x:v>Management-only economics. Stripe stress test uses 1.5% + £0.20 standard UK online-card fee; pallet/mix-and-match pricing ignored.</x:v>
      </x:c>
    </x:row>
    <x:row r="1313">
      <x:c r="A1313" t="str">
        <x:v>Active Sports Nutrition</x:v>
      </x:c>
      <x:c r="B1313" t="str">
        <x:v>InnovaPharm</x:v>
      </x:c>
      <x:c r="C1313" t="str">
        <x:v>MVPRE 3.0</x:v>
      </x:c>
      <x:c r="D1313" t="str">
        <x:v>Pre Workouts</x:v>
      </x:c>
      <x:c r="E1313" t="str">
        <x:v>High Stim</x:v>
      </x:c>
      <x:c r="F1313" t="str">
        <x:v>High-stimulant pre-workout.</x:v>
      </x:c>
      <x:c r="G1313" t="str">
        <x:v>437g</x:v>
      </x:c>
      <x:c r="H1313" t="str">
        <x:v>Roadside Lemonade</x:v>
      </x:c>
      <x:c r="I1313" t="str"/>
      <x:c r="J1313" t="str">
        <x:v>Unit</x:v>
      </x:c>
      <x:c r="K1313" t="str">
        <x:v>In stock</x:v>
      </x:c>
      <x:c r="L1313" t="str">
        <x:v>2026-09-08</x:v>
      </x:c>
      <x:c r="M1313" t="str">
        <x:v>0000000000000075</x:v>
      </x:c>
      <x:c r="N1313" t="str"/>
      <x:c r="O1313" t="str">
        <x:v>https://www.activesportstrade.co.uk/trade-pre-workout-supplements/innovapharm-trade</x:v>
      </x:c>
      <x:c r="P1313" t="str">
        <x:v>Exact supplier product code captured from current product page.</x:v>
      </x:c>
      <x:c r="Q1313" t="str"/>
      <x:c r="R1313" t="str"/>
      <x:c r="S1313" t="str">
        <x:v>Pending genuine supplier/brand image</x:v>
      </x:c>
      <x:c r="T1313" s="54" t="n">
        <x:v>23.99</x:v>
      </x:c>
      <x:c r="U1313" s="47" t="n">
        <x:v>0.2</x:v>
      </x:c>
      <x:c r="V1313" s="54" t="n">
        <x:f>IF(ISNUMBER(T1313),T1313*(1+U1313),"")</x:f>
        <x:v>28.787999999999997</x:v>
      </x:c>
      <x:c r="W1313" s="47" t="n">
        <x:v>0.3</x:v>
      </x:c>
      <x:c r="X1313" s="54" t="n">
        <x:f>IF(ISNUMBER(V1313),V1313/(1-W1313),"")</x:f>
        <x:v>41.12571428571428</x:v>
      </x:c>
      <x:c r="Y1313" s="55" t="n">
        <x:f>IF(ISNUMBER(X1313),ROUNDUP(X1313,0),"")</x:f>
        <x:v>42</x:v>
      </x:c>
      <x:c r="Z1313" t="str">
        <x:v>Source match pending</x:v>
      </x:c>
      <x:c r="AA1313" t="str">
        <x:v>screencapture-www-activesportstrade-co-uk-innovapharm-trade-2026-09-09-18_32_19.png / page-001</x:v>
      </x:c>
      <x:c r="AB1313" s="36" t="n">
        <x:f>IF(ISNUMBER(Y1313),ROUND(Y1313*0.9,2),"")</x:f>
        <x:v>37.8</x:v>
      </x:c>
      <x:c r="AC1313" s="36" t="n">
        <x:f>IF(ISNUMBER(AB1313),ROUND(AB1313-(AB1313*0.015+0.2)-V1313,2),"")</x:f>
        <x:v>8.24</x:v>
      </x:c>
      <x:c r="AD1313" s="36" t="n">
        <x:f>IF(ISNUMBER(Y1313),ROUND(Y1313*0.8,2),"")</x:f>
        <x:v>33.6</x:v>
      </x:c>
      <x:c r="AE1313" s="36" t="n">
        <x:f>IF(ISNUMBER(AD1313),ROUND(AD1313*0.015+0.2,2),"")</x:f>
        <x:v>0.7</x:v>
      </x:c>
      <x:c r="AF1313" s="36" t="n">
        <x:f>IF(ISNUMBER(AD1313),ROUND(AD1313-AE1313-V1313,2),"")</x:f>
        <x:v>4.11</x:v>
      </x:c>
      <x:c r="AG1313" t="str">
        <x:f>IF(NOT(ISNUMBER(T1313)),"PENDING",IF(AF1313&gt;0,"PASS","FAIL"))</x:f>
        <x:v>PASS</x:v>
      </x:c>
      <x:c r="AH1313" t="str">
        <x:f>IF(NOT(ISNUMBER(T1313)),"Needs supplier cost",IF(K1313&lt;&gt;"In stock","Supplier unavailable",IF(AG1313&lt;&gt;"PASS","BLOCK - GT loss risk","Commercially protected")))</x:f>
        <x:v>Commercially protected</x:v>
      </x:c>
      <x:c r="AI1313" t="str">
        <x:v>2026-09-10 Active Sports trade capture</x:v>
      </x:c>
      <x:c r="AJ1313" t="str">
        <x:v>Management-only economics. Stripe stress test uses 1.5% + £0.20 standard UK online-card fee; pallet/mix-and-match pricing ignored.</x:v>
      </x:c>
    </x:row>
    <x:row r="1314">
      <x:c r="A1314" t="str">
        <x:v>Active Sports Nutrition</x:v>
      </x:c>
      <x:c r="B1314" t="str">
        <x:v>InnovaPharm</x:v>
      </x:c>
      <x:c r="C1314" t="str">
        <x:v>MVPRE 3.0</x:v>
      </x:c>
      <x:c r="D1314" t="str">
        <x:v>Pre Workouts</x:v>
      </x:c>
      <x:c r="E1314" t="str">
        <x:v>High Stim</x:v>
      </x:c>
      <x:c r="F1314" t="str">
        <x:v>High-stimulant pre-workout.</x:v>
      </x:c>
      <x:c r="G1314" t="str">
        <x:v>437g</x:v>
      </x:c>
      <x:c r="H1314" t="str">
        <x:v>Rocket Pop</x:v>
      </x:c>
      <x:c r="I1314" t="str"/>
      <x:c r="J1314" t="str">
        <x:v>Unit</x:v>
      </x:c>
      <x:c r="K1314" t="str">
        <x:v>In stock</x:v>
      </x:c>
      <x:c r="L1314" t="str">
        <x:v>2026-09-08</x:v>
      </x:c>
      <x:c r="M1314" t="str">
        <x:v>0000000000000075</x:v>
      </x:c>
      <x:c r="N1314" t="str"/>
      <x:c r="O1314" t="str">
        <x:v>https://www.activesportstrade.co.uk/trade-pre-workout-supplements/innovapharm-trade</x:v>
      </x:c>
      <x:c r="P1314" t="str">
        <x:v>Exact supplier product code captured from current product page.</x:v>
      </x:c>
      <x:c r="Q1314" t="str"/>
      <x:c r="R1314" t="str"/>
      <x:c r="S1314" t="str">
        <x:v>Pending genuine supplier/brand image</x:v>
      </x:c>
      <x:c r="T1314" s="54" t="n">
        <x:v>23.99</x:v>
      </x:c>
      <x:c r="U1314" s="47" t="n">
        <x:v>0.2</x:v>
      </x:c>
      <x:c r="V1314" s="54" t="n">
        <x:f>IF(ISNUMBER(T1314),T1314*(1+U1314),"")</x:f>
        <x:v>28.787999999999997</x:v>
      </x:c>
      <x:c r="W1314" s="47" t="n">
        <x:v>0.3</x:v>
      </x:c>
      <x:c r="X1314" s="54" t="n">
        <x:f>IF(ISNUMBER(V1314),V1314/(1-W1314),"")</x:f>
        <x:v>41.12571428571428</x:v>
      </x:c>
      <x:c r="Y1314" s="55" t="n">
        <x:f>IF(ISNUMBER(X1314),ROUNDUP(X1314,0),"")</x:f>
        <x:v>42</x:v>
      </x:c>
      <x:c r="Z1314" t="str">
        <x:v>Source match pending</x:v>
      </x:c>
      <x:c r="AA1314" t="str">
        <x:v>screencapture-www-activesportstrade-co-uk-innovapharm-trade-2026-09-09-18_32_19.png / page-001</x:v>
      </x:c>
      <x:c r="AB1314" s="36" t="n">
        <x:f>IF(ISNUMBER(Y1314),ROUND(Y1314*0.9,2),"")</x:f>
        <x:v>37.8</x:v>
      </x:c>
      <x:c r="AC1314" s="36" t="n">
        <x:f>IF(ISNUMBER(AB1314),ROUND(AB1314-(AB1314*0.015+0.2)-V1314,2),"")</x:f>
        <x:v>8.24</x:v>
      </x:c>
      <x:c r="AD1314" s="36" t="n">
        <x:f>IF(ISNUMBER(Y1314),ROUND(Y1314*0.8,2),"")</x:f>
        <x:v>33.6</x:v>
      </x:c>
      <x:c r="AE1314" s="36" t="n">
        <x:f>IF(ISNUMBER(AD1314),ROUND(AD1314*0.015+0.2,2),"")</x:f>
        <x:v>0.7</x:v>
      </x:c>
      <x:c r="AF1314" s="36" t="n">
        <x:f>IF(ISNUMBER(AD1314),ROUND(AD1314-AE1314-V1314,2),"")</x:f>
        <x:v>4.11</x:v>
      </x:c>
      <x:c r="AG1314" t="str">
        <x:f>IF(NOT(ISNUMBER(T1314)),"PENDING",IF(AF1314&gt;0,"PASS","FAIL"))</x:f>
        <x:v>PASS</x:v>
      </x:c>
      <x:c r="AH1314" t="str">
        <x:f>IF(NOT(ISNUMBER(T1314)),"Needs supplier cost",IF(K1314&lt;&gt;"In stock","Supplier unavailable",IF(AG1314&lt;&gt;"PASS","BLOCK - GT loss risk","Commercially protected")))</x:f>
        <x:v>Commercially protected</x:v>
      </x:c>
      <x:c r="AI1314" t="str">
        <x:v>2026-09-10 Active Sports trade capture</x:v>
      </x:c>
      <x:c r="AJ1314" t="str">
        <x:v>Management-only economics. Stripe stress test uses 1.5% + £0.20 standard UK online-card fee; pallet/mix-and-match pricing ignored.</x:v>
      </x:c>
    </x:row>
    <x:row r="1315">
      <x:c r="A1315" t="str">
        <x:v>Active Sports Nutrition</x:v>
      </x:c>
      <x:c r="B1315" t="str">
        <x:v>InnovaPharm</x:v>
      </x:c>
      <x:c r="C1315" t="str">
        <x:v>MVPRE 3.0</x:v>
      </x:c>
      <x:c r="D1315" t="str">
        <x:v>Pre Workouts</x:v>
      </x:c>
      <x:c r="E1315" t="str">
        <x:v>High Stim</x:v>
      </x:c>
      <x:c r="F1315" t="str">
        <x:v>High-stimulant pre-workout.</x:v>
      </x:c>
      <x:c r="G1315" t="str">
        <x:v>437g</x:v>
      </x:c>
      <x:c r="H1315" t="str">
        <x:v>Sweet Apple Punch</x:v>
      </x:c>
      <x:c r="I1315" t="str"/>
      <x:c r="J1315" t="str">
        <x:v>Unit</x:v>
      </x:c>
      <x:c r="K1315" t="str">
        <x:v>In stock</x:v>
      </x:c>
      <x:c r="L1315" t="str">
        <x:v>2026-09-08</x:v>
      </x:c>
      <x:c r="M1315" t="str">
        <x:v>0000000000000075</x:v>
      </x:c>
      <x:c r="N1315" t="str"/>
      <x:c r="O1315" t="str">
        <x:v>https://www.activesportstrade.co.uk/trade-pre-workout-supplements/innovapharm-trade</x:v>
      </x:c>
      <x:c r="P1315" t="str">
        <x:v>Exact supplier product code captured from current product page.</x:v>
      </x:c>
      <x:c r="Q1315" t="str"/>
      <x:c r="R1315" t="str"/>
      <x:c r="S1315" t="str">
        <x:v>Pending genuine supplier/brand image</x:v>
      </x:c>
      <x:c r="T1315" s="54" t="n">
        <x:v>23.99</x:v>
      </x:c>
      <x:c r="U1315" s="47" t="n">
        <x:v>0.2</x:v>
      </x:c>
      <x:c r="V1315" s="54" t="n">
        <x:f>IF(ISNUMBER(T1315),T1315*(1+U1315),"")</x:f>
        <x:v>28.787999999999997</x:v>
      </x:c>
      <x:c r="W1315" s="47" t="n">
        <x:v>0.3</x:v>
      </x:c>
      <x:c r="X1315" s="54" t="n">
        <x:f>IF(ISNUMBER(V1315),V1315/(1-W1315),"")</x:f>
        <x:v>41.12571428571428</x:v>
      </x:c>
      <x:c r="Y1315" s="55" t="n">
        <x:f>IF(ISNUMBER(X1315),ROUNDUP(X1315,0),"")</x:f>
        <x:v>42</x:v>
      </x:c>
      <x:c r="Z1315" t="str">
        <x:v>Source match pending</x:v>
      </x:c>
      <x:c r="AA1315" t="str">
        <x:v>screencapture-www-activesportstrade-co-uk-innovapharm-trade-2026-09-09-18_32_19.png / page-001</x:v>
      </x:c>
      <x:c r="AB1315" s="36" t="n">
        <x:f>IF(ISNUMBER(Y1315),ROUND(Y1315*0.9,2),"")</x:f>
        <x:v>37.8</x:v>
      </x:c>
      <x:c r="AC1315" s="36" t="n">
        <x:f>IF(ISNUMBER(AB1315),ROUND(AB1315-(AB1315*0.015+0.2)-V1315,2),"")</x:f>
        <x:v>8.24</x:v>
      </x:c>
      <x:c r="AD1315" s="36" t="n">
        <x:f>IF(ISNUMBER(Y1315),ROUND(Y1315*0.8,2),"")</x:f>
        <x:v>33.6</x:v>
      </x:c>
      <x:c r="AE1315" s="36" t="n">
        <x:f>IF(ISNUMBER(AD1315),ROUND(AD1315*0.015+0.2,2),"")</x:f>
        <x:v>0.7</x:v>
      </x:c>
      <x:c r="AF1315" s="36" t="n">
        <x:f>IF(ISNUMBER(AD1315),ROUND(AD1315-AE1315-V1315,2),"")</x:f>
        <x:v>4.11</x:v>
      </x:c>
      <x:c r="AG1315" t="str">
        <x:f>IF(NOT(ISNUMBER(T1315)),"PENDING",IF(AF1315&gt;0,"PASS","FAIL"))</x:f>
        <x:v>PASS</x:v>
      </x:c>
      <x:c r="AH1315" t="str">
        <x:f>IF(NOT(ISNUMBER(T1315)),"Needs supplier cost",IF(K1315&lt;&gt;"In stock","Supplier unavailable",IF(AG1315&lt;&gt;"PASS","BLOCK - GT loss risk","Commercially protected")))</x:f>
        <x:v>Commercially protected</x:v>
      </x:c>
      <x:c r="AI1315" t="str">
        <x:v>2026-09-10 Active Sports trade capture</x:v>
      </x:c>
      <x:c r="AJ1315" t="str">
        <x:v>Management-only economics. Stripe stress test uses 1.5% + £0.20 standard UK online-card fee; pallet/mix-and-match pricing ignored.</x:v>
      </x:c>
    </x:row>
    <x:row r="1316">
      <x:c r="A1316" t="str">
        <x:v>Active Sports Nutrition</x:v>
      </x:c>
      <x:c r="B1316" t="str">
        <x:v>InnovaPharm</x:v>
      </x:c>
      <x:c r="C1316" t="str">
        <x:v>MVPRE 3.0</x:v>
      </x:c>
      <x:c r="D1316" t="str">
        <x:v>Pre Workouts</x:v>
      </x:c>
      <x:c r="E1316" t="str">
        <x:v>High Stim</x:v>
      </x:c>
      <x:c r="F1316" t="str">
        <x:v>High-stimulant pre-workout.</x:v>
      </x:c>
      <x:c r="G1316" t="str">
        <x:v>437g</x:v>
      </x:c>
      <x:c r="H1316" t="str">
        <x:v>Watermelon Lemonade</x:v>
      </x:c>
      <x:c r="I1316" t="str"/>
      <x:c r="J1316" t="str">
        <x:v>Unit</x:v>
      </x:c>
      <x:c r="K1316" t="str">
        <x:v>In stock</x:v>
      </x:c>
      <x:c r="L1316" t="str">
        <x:v>2026-09-08</x:v>
      </x:c>
      <x:c r="M1316" t="str">
        <x:v>0000000000000075</x:v>
      </x:c>
      <x:c r="N1316" t="str"/>
      <x:c r="O1316" t="str">
        <x:v>https://www.activesportstrade.co.uk/trade-pre-workout-supplements/innovapharm-trade</x:v>
      </x:c>
      <x:c r="P1316" t="str">
        <x:v>Exact supplier product code captured from current product page.</x:v>
      </x:c>
      <x:c r="Q1316" t="str"/>
      <x:c r="R1316" t="str"/>
      <x:c r="S1316" t="str">
        <x:v>Pending genuine supplier/brand image</x:v>
      </x:c>
      <x:c r="T1316" s="54" t="n">
        <x:v>23.99</x:v>
      </x:c>
      <x:c r="U1316" s="47" t="n">
        <x:v>0.2</x:v>
      </x:c>
      <x:c r="V1316" s="54" t="n">
        <x:f>IF(ISNUMBER(T1316),T1316*(1+U1316),"")</x:f>
        <x:v>28.787999999999997</x:v>
      </x:c>
      <x:c r="W1316" s="47" t="n">
        <x:v>0.3</x:v>
      </x:c>
      <x:c r="X1316" s="54" t="n">
        <x:f>IF(ISNUMBER(V1316),V1316/(1-W1316),"")</x:f>
        <x:v>41.12571428571428</x:v>
      </x:c>
      <x:c r="Y1316" s="55" t="n">
        <x:f>IF(ISNUMBER(X1316),ROUNDUP(X1316,0),"")</x:f>
        <x:v>42</x:v>
      </x:c>
      <x:c r="Z1316" t="str">
        <x:v>Source match pending</x:v>
      </x:c>
      <x:c r="AA1316" t="str">
        <x:v>screencapture-www-activesportstrade-co-uk-innovapharm-trade-2026-09-09-18_32_19.png / page-001</x:v>
      </x:c>
      <x:c r="AB1316" s="36" t="n">
        <x:f>IF(ISNUMBER(Y1316),ROUND(Y1316*0.9,2),"")</x:f>
        <x:v>37.8</x:v>
      </x:c>
      <x:c r="AC1316" s="36" t="n">
        <x:f>IF(ISNUMBER(AB1316),ROUND(AB1316-(AB1316*0.015+0.2)-V1316,2),"")</x:f>
        <x:v>8.24</x:v>
      </x:c>
      <x:c r="AD1316" s="36" t="n">
        <x:f>IF(ISNUMBER(Y1316),ROUND(Y1316*0.8,2),"")</x:f>
        <x:v>33.6</x:v>
      </x:c>
      <x:c r="AE1316" s="36" t="n">
        <x:f>IF(ISNUMBER(AD1316),ROUND(AD1316*0.015+0.2,2),"")</x:f>
        <x:v>0.7</x:v>
      </x:c>
      <x:c r="AF1316" s="36" t="n">
        <x:f>IF(ISNUMBER(AD1316),ROUND(AD1316-AE1316-V1316,2),"")</x:f>
        <x:v>4.11</x:v>
      </x:c>
      <x:c r="AG1316" t="str">
        <x:f>IF(NOT(ISNUMBER(T1316)),"PENDING",IF(AF1316&gt;0,"PASS","FAIL"))</x:f>
        <x:v>PASS</x:v>
      </x:c>
      <x:c r="AH1316" t="str">
        <x:f>IF(NOT(ISNUMBER(T1316)),"Needs supplier cost",IF(K1316&lt;&gt;"In stock","Supplier unavailable",IF(AG1316&lt;&gt;"PASS","BLOCK - GT loss risk","Commercially protected")))</x:f>
        <x:v>Commercially protected</x:v>
      </x:c>
      <x:c r="AI1316" t="str">
        <x:v>2026-09-10 Active Sports trade capture</x:v>
      </x:c>
      <x:c r="AJ1316" t="str">
        <x:v>Management-only economics. Stripe stress test uses 1.5% + £0.20 standard UK online-card fee; pallet/mix-and-match pricing ignored.</x:v>
      </x:c>
    </x:row>
    <x:row r="1317">
      <x:c r="A1317" t="str">
        <x:v>Active Sports Nutrition</x:v>
      </x:c>
      <x:c r="B1317" t="str">
        <x:v>InnovaPharm</x:v>
      </x:c>
      <x:c r="C1317" t="str">
        <x:v>MVPRE 365</x:v>
      </x:c>
      <x:c r="D1317" t="str">
        <x:v>Pre Workouts</x:v>
      </x:c>
      <x:c r="E1317" t="str">
        <x:v>High Stim</x:v>
      </x:c>
      <x:c r="F1317" t="str">
        <x:v>Pre-workout formula.</x:v>
      </x:c>
      <x:c r="G1317" t="str">
        <x:v>40/20 servings</x:v>
      </x:c>
      <x:c r="H1317" t="str">
        <x:v>Bahama Mama</x:v>
      </x:c>
      <x:c r="I1317" t="str"/>
      <x:c r="J1317" t="str">
        <x:v>Unit</x:v>
      </x:c>
      <x:c r="K1317" t="str">
        <x:v>In stock</x:v>
      </x:c>
      <x:c r="L1317" t="str">
        <x:v>2026-09-08</x:v>
      </x:c>
      <x:c r="M1317" t="str"/>
      <x:c r="N1317" t="str"/>
      <x:c r="O1317" t="str">
        <x:v>https://www.activesportstrade.co.uk/trade-pre-workout-supplements/innovapharm-trade</x:v>
      </x:c>
      <x:c r="P1317" t="str">
        <x:v>Fresh 2-month page used; older page showed Bahama Mama and Blue Razz Popsicle out of stock.</x:v>
      </x:c>
      <x:c r="Q1317" t="str"/>
      <x:c r="R1317" t="str"/>
      <x:c r="S1317" t="str">
        <x:v>Pending genuine supplier/brand image</x:v>
      </x:c>
      <x:c r="T1317" s="54" t="n">
        <x:v>23.99</x:v>
      </x:c>
      <x:c r="U1317" s="47" t="n">
        <x:v>0.2</x:v>
      </x:c>
      <x:c r="V1317" s="54" t="n">
        <x:f>IF(ISNUMBER(T1317),T1317*(1+U1317),"")</x:f>
        <x:v>28.787999999999997</x:v>
      </x:c>
      <x:c r="W1317" s="47" t="n">
        <x:v>0.3</x:v>
      </x:c>
      <x:c r="X1317" s="54" t="n">
        <x:f>IF(ISNUMBER(V1317),V1317/(1-W1317),"")</x:f>
        <x:v>41.12571428571428</x:v>
      </x:c>
      <x:c r="Y1317" s="55" t="n">
        <x:f>IF(ISNUMBER(X1317),ROUNDUP(X1317,0),"")</x:f>
        <x:v>42</x:v>
      </x:c>
      <x:c r="Z1317" t="str">
        <x:v>Source match pending</x:v>
      </x:c>
      <x:c r="AA1317" t="str">
        <x:v>screencapture-www-activesportstrade-co-uk-innovapharm-trade-2026-09-09-18_32_19.png / page-001</x:v>
      </x:c>
      <x:c r="AB1317" s="36" t="n">
        <x:f>IF(ISNUMBER(Y1317),ROUND(Y1317*0.9,2),"")</x:f>
        <x:v>37.8</x:v>
      </x:c>
      <x:c r="AC1317" s="36" t="n">
        <x:f>IF(ISNUMBER(AB1317),ROUND(AB1317-(AB1317*0.015+0.2)-V1317,2),"")</x:f>
        <x:v>8.24</x:v>
      </x:c>
      <x:c r="AD1317" s="36" t="n">
        <x:f>IF(ISNUMBER(Y1317),ROUND(Y1317*0.8,2),"")</x:f>
        <x:v>33.6</x:v>
      </x:c>
      <x:c r="AE1317" s="36" t="n">
        <x:f>IF(ISNUMBER(AD1317),ROUND(AD1317*0.015+0.2,2),"")</x:f>
        <x:v>0.7</x:v>
      </x:c>
      <x:c r="AF1317" s="36" t="n">
        <x:f>IF(ISNUMBER(AD1317),ROUND(AD1317-AE1317-V1317,2),"")</x:f>
        <x:v>4.11</x:v>
      </x:c>
      <x:c r="AG1317" t="str">
        <x:f>IF(NOT(ISNUMBER(T1317)),"PENDING",IF(AF1317&gt;0,"PASS","FAIL"))</x:f>
        <x:v>PASS</x:v>
      </x:c>
      <x:c r="AH1317" t="str">
        <x:f>IF(NOT(ISNUMBER(T1317)),"Needs supplier cost",IF(K1317&lt;&gt;"In stock","Supplier unavailable",IF(AG1317&lt;&gt;"PASS","BLOCK - GT loss risk","Commercially protected")))</x:f>
        <x:v>Commercially protected</x:v>
      </x:c>
      <x:c r="AI1317" t="str">
        <x:v>2026-09-10 Active Sports trade capture</x:v>
      </x:c>
      <x:c r="AJ1317" t="str">
        <x:v>Management-only economics. Stripe stress test uses 1.5% + £0.20 standard UK online-card fee; pallet/mix-and-match pricing ignored.</x:v>
      </x:c>
    </x:row>
    <x:row r="1318">
      <x:c r="A1318" t="str">
        <x:v>Active Sports Nutrition</x:v>
      </x:c>
      <x:c r="B1318" t="str">
        <x:v>InnovaPharm</x:v>
      </x:c>
      <x:c r="C1318" t="str">
        <x:v>MVPRE 365</x:v>
      </x:c>
      <x:c r="D1318" t="str">
        <x:v>Pre Workouts</x:v>
      </x:c>
      <x:c r="E1318" t="str">
        <x:v>High Stim</x:v>
      </x:c>
      <x:c r="F1318" t="str">
        <x:v>Pre-workout formula.</x:v>
      </x:c>
      <x:c r="G1318" t="str">
        <x:v>40/20 servings</x:v>
      </x:c>
      <x:c r="H1318" t="str">
        <x:v>Blue Razz Popsicle</x:v>
      </x:c>
      <x:c r="I1318" t="str"/>
      <x:c r="J1318" t="str">
        <x:v>Unit</x:v>
      </x:c>
      <x:c r="K1318" t="str">
        <x:v>In stock</x:v>
      </x:c>
      <x:c r="L1318" t="str">
        <x:v>2026-09-08</x:v>
      </x:c>
      <x:c r="M1318" t="str"/>
      <x:c r="N1318" t="str"/>
      <x:c r="O1318" t="str">
        <x:v>https://www.activesportstrade.co.uk/trade-pre-workout-supplements/innovapharm-trade</x:v>
      </x:c>
      <x:c r="P1318" t="str">
        <x:v>Fresh 2-month page used; older page showed Bahama Mama and Blue Razz Popsicle out of stock.</x:v>
      </x:c>
      <x:c r="Q1318" t="str"/>
      <x:c r="R1318" t="str"/>
      <x:c r="S1318" t="str">
        <x:v>Pending genuine supplier/brand image</x:v>
      </x:c>
      <x:c r="T1318" s="54" t="n">
        <x:v>23.99</x:v>
      </x:c>
      <x:c r="U1318" s="47" t="n">
        <x:v>0.2</x:v>
      </x:c>
      <x:c r="V1318" s="54" t="n">
        <x:f>IF(ISNUMBER(T1318),T1318*(1+U1318),"")</x:f>
        <x:v>28.787999999999997</x:v>
      </x:c>
      <x:c r="W1318" s="47" t="n">
        <x:v>0.3</x:v>
      </x:c>
      <x:c r="X1318" s="54" t="n">
        <x:f>IF(ISNUMBER(V1318),V1318/(1-W1318),"")</x:f>
        <x:v>41.12571428571428</x:v>
      </x:c>
      <x:c r="Y1318" s="55" t="n">
        <x:f>IF(ISNUMBER(X1318),ROUNDUP(X1318,0),"")</x:f>
        <x:v>42</x:v>
      </x:c>
      <x:c r="Z1318" t="str">
        <x:v>Source match pending</x:v>
      </x:c>
      <x:c r="AA1318" t="str">
        <x:v>screencapture-www-activesportstrade-co-uk-innovapharm-trade-2026-09-09-18_32_19.png / page-001</x:v>
      </x:c>
      <x:c r="AB1318" s="36" t="n">
        <x:f>IF(ISNUMBER(Y1318),ROUND(Y1318*0.9,2),"")</x:f>
        <x:v>37.8</x:v>
      </x:c>
      <x:c r="AC1318" s="36" t="n">
        <x:f>IF(ISNUMBER(AB1318),ROUND(AB1318-(AB1318*0.015+0.2)-V1318,2),"")</x:f>
        <x:v>8.24</x:v>
      </x:c>
      <x:c r="AD1318" s="36" t="n">
        <x:f>IF(ISNUMBER(Y1318),ROUND(Y1318*0.8,2),"")</x:f>
        <x:v>33.6</x:v>
      </x:c>
      <x:c r="AE1318" s="36" t="n">
        <x:f>IF(ISNUMBER(AD1318),ROUND(AD1318*0.015+0.2,2),"")</x:f>
        <x:v>0.7</x:v>
      </x:c>
      <x:c r="AF1318" s="36" t="n">
        <x:f>IF(ISNUMBER(AD1318),ROUND(AD1318-AE1318-V1318,2),"")</x:f>
        <x:v>4.11</x:v>
      </x:c>
      <x:c r="AG1318" t="str">
        <x:f>IF(NOT(ISNUMBER(T1318)),"PENDING",IF(AF1318&gt;0,"PASS","FAIL"))</x:f>
        <x:v>PASS</x:v>
      </x:c>
      <x:c r="AH1318" t="str">
        <x:f>IF(NOT(ISNUMBER(T1318)),"Needs supplier cost",IF(K1318&lt;&gt;"In stock","Supplier unavailable",IF(AG1318&lt;&gt;"PASS","BLOCK - GT loss risk","Commercially protected")))</x:f>
        <x:v>Commercially protected</x:v>
      </x:c>
      <x:c r="AI1318" t="str">
        <x:v>2026-09-10 Active Sports trade capture</x:v>
      </x:c>
      <x:c r="AJ1318" t="str">
        <x:v>Management-only economics. Stripe stress test uses 1.5% + £0.20 standard UK online-card fee; pallet/mix-and-match pricing ignored.</x:v>
      </x:c>
    </x:row>
    <x:row r="1319">
      <x:c r="A1319" t="str">
        <x:v>Active Sports Nutrition</x:v>
      </x:c>
      <x:c r="B1319" t="str">
        <x:v>InnovaPharm</x:v>
      </x:c>
      <x:c r="C1319" t="str">
        <x:v>MVPRE 365</x:v>
      </x:c>
      <x:c r="D1319" t="str">
        <x:v>Pre Workouts</x:v>
      </x:c>
      <x:c r="E1319" t="str">
        <x:v>High Stim</x:v>
      </x:c>
      <x:c r="F1319" t="str">
        <x:v>Pre-workout formula.</x:v>
      </x:c>
      <x:c r="G1319" t="str">
        <x:v>40/20 servings</x:v>
      </x:c>
      <x:c r="H1319" t="str">
        <x:v>Monkey Punch</x:v>
      </x:c>
      <x:c r="I1319" t="str"/>
      <x:c r="J1319" t="str">
        <x:v>Unit</x:v>
      </x:c>
      <x:c r="K1319" t="str">
        <x:v>Out of stock</x:v>
      </x:c>
      <x:c r="L1319" t="str">
        <x:v>2026-09-08</x:v>
      </x:c>
      <x:c r="M1319" t="str"/>
      <x:c r="N1319" t="str"/>
      <x:c r="O1319" t="str">
        <x:v>https://www.activesportstrade.co.uk/trade-pre-workout-supplements/innovapharm-trade</x:v>
      </x:c>
      <x:c r="P1319" t="str">
        <x:v>Fresh 2-month page used; older page showed Bahama Mama and Blue Razz Popsicle out of stock.</x:v>
      </x:c>
      <x:c r="Q1319" t="str"/>
      <x:c r="R1319" t="str"/>
      <x:c r="S1319" t="str">
        <x:v>Pending genuine supplier/brand image</x:v>
      </x:c>
      <x:c r="T1319" s="54" t="n">
        <x:v>23.99</x:v>
      </x:c>
      <x:c r="U1319" s="47" t="n">
        <x:v>0.2</x:v>
      </x:c>
      <x:c r="V1319" s="54" t="n">
        <x:f>IF(ISNUMBER(T1319),T1319*(1+U1319),"")</x:f>
        <x:v>28.787999999999997</x:v>
      </x:c>
      <x:c r="W1319" s="47" t="n">
        <x:v>0.3</x:v>
      </x:c>
      <x:c r="X1319" s="54" t="n">
        <x:f>IF(ISNUMBER(V1319),V1319/(1-W1319),"")</x:f>
        <x:v>41.12571428571428</x:v>
      </x:c>
      <x:c r="Y1319" s="55" t="n">
        <x:f>IF(ISNUMBER(X1319),ROUNDUP(X1319,0),"")</x:f>
        <x:v>42</x:v>
      </x:c>
      <x:c r="Z1319" t="str">
        <x:v>Source match pending</x:v>
      </x:c>
      <x:c r="AA1319" t="str">
        <x:v>screencapture-www-activesportstrade-co-uk-innovapharm-trade-2026-09-09-18_32_19.png / page-001</x:v>
      </x:c>
      <x:c r="AB1319" s="36" t="n">
        <x:f>IF(ISNUMBER(Y1319),ROUND(Y1319*0.9,2),"")</x:f>
        <x:v>37.8</x:v>
      </x:c>
      <x:c r="AC1319" s="36" t="n">
        <x:f>IF(ISNUMBER(AB1319),ROUND(AB1319-(AB1319*0.015+0.2)-V1319,2),"")</x:f>
        <x:v>8.24</x:v>
      </x:c>
      <x:c r="AD1319" s="36" t="n">
        <x:f>IF(ISNUMBER(Y1319),ROUND(Y1319*0.8,2),"")</x:f>
        <x:v>33.6</x:v>
      </x:c>
      <x:c r="AE1319" s="36" t="n">
        <x:f>IF(ISNUMBER(AD1319),ROUND(AD1319*0.015+0.2,2),"")</x:f>
        <x:v>0.7</x:v>
      </x:c>
      <x:c r="AF1319" s="36" t="n">
        <x:f>IF(ISNUMBER(AD1319),ROUND(AD1319-AE1319-V1319,2),"")</x:f>
        <x:v>4.11</x:v>
      </x:c>
      <x:c r="AG1319" t="str">
        <x:f>IF(NOT(ISNUMBER(T1319)),"PENDING",IF(AF1319&gt;0,"PASS","FAIL"))</x:f>
        <x:v>PASS</x:v>
      </x:c>
      <x:c r="AH1319" t="str">
        <x:f>IF(NOT(ISNUMBER(T1319)),"Needs supplier cost",IF(K1319&lt;&gt;"In stock","Supplier unavailable",IF(AG1319&lt;&gt;"PASS","BLOCK - GT loss risk","Commercially protected")))</x:f>
        <x:v>Supplier unavailable</x:v>
      </x:c>
      <x:c r="AI1319" t="str">
        <x:v>2026-09-10 Active Sports trade capture</x:v>
      </x:c>
      <x:c r="AJ1319" t="str">
        <x:v>Management-only economics. Stripe stress test uses 1.5% + £0.20 standard UK online-card fee; pallet/mix-and-match pricing ignored.</x:v>
      </x:c>
    </x:row>
    <x:row r="1320">
      <x:c r="A1320" t="str">
        <x:v>Active Sports Nutrition</x:v>
      </x:c>
      <x:c r="B1320" t="str">
        <x:v>InnovaPharm</x:v>
      </x:c>
      <x:c r="C1320" t="str">
        <x:v>NovaPump</x:v>
      </x:c>
      <x:c r="D1320" t="str">
        <x:v>Pre Workouts</x:v>
      </x:c>
      <x:c r="E1320" t="str">
        <x:v>Stim FREE</x:v>
      </x:c>
      <x:c r="F1320" t="str">
        <x:v>Stim-free pump pre-workout.</x:v>
      </x:c>
      <x:c r="G1320" t="str">
        <x:v>40/20 servings</x:v>
      </x:c>
      <x:c r="H1320" t="str">
        <x:v>Pink Lemonade</x:v>
      </x:c>
      <x:c r="I1320" t="str"/>
      <x:c r="J1320" t="str">
        <x:v>Unit</x:v>
      </x:c>
      <x:c r="K1320" t="str">
        <x:v>In stock</x:v>
      </x:c>
      <x:c r="L1320" t="str">
        <x:v>2026-09-08</x:v>
      </x:c>
      <x:c r="M1320" t="str"/>
      <x:c r="N1320" t="str"/>
      <x:c r="O1320" t="str">
        <x:v>https://www.activesportstrade.co.uk/trade-pre-workout-supplements/innovapharm-trade</x:v>
      </x:c>
      <x:c r="P1320" t="str"/>
      <x:c r="Q1320" t="str"/>
      <x:c r="R1320" t="str"/>
      <x:c r="S1320" t="str">
        <x:v>Pending genuine supplier/brand image</x:v>
      </x:c>
      <x:c r="T1320" s="54" t="n">
        <x:v>23.49</x:v>
      </x:c>
      <x:c r="U1320" s="47" t="n">
        <x:v>0.2</x:v>
      </x:c>
      <x:c r="V1320" s="54" t="n">
        <x:f>IF(ISNUMBER(T1320),T1320*(1+U1320),"")</x:f>
        <x:v>28.188</x:v>
      </x:c>
      <x:c r="W1320" s="47" t="n">
        <x:v>0.3</x:v>
      </x:c>
      <x:c r="X1320" s="54" t="n">
        <x:f>IF(ISNUMBER(V1320),V1320/(1-W1320),"")</x:f>
        <x:v>40.26857142857143</x:v>
      </x:c>
      <x:c r="Y1320" s="55" t="n">
        <x:f>IF(ISNUMBER(X1320),ROUNDUP(X1320,0),"")</x:f>
        <x:v>41</x:v>
      </x:c>
      <x:c r="Z1320" t="str">
        <x:v>Source match pending</x:v>
      </x:c>
      <x:c r="AA1320" t="str">
        <x:v>screencapture-www-activesportstrade-co-uk-innovapharm-trade-2026-09-09-18_32_19.png / page-001</x:v>
      </x:c>
      <x:c r="AB1320" s="36" t="n">
        <x:f>IF(ISNUMBER(Y1320),ROUND(Y1320*0.9,2),"")</x:f>
        <x:v>36.9</x:v>
      </x:c>
      <x:c r="AC1320" s="36" t="n">
        <x:f>IF(ISNUMBER(AB1320),ROUND(AB1320-(AB1320*0.015+0.2)-V1320,2),"")</x:f>
        <x:v>7.96</x:v>
      </x:c>
      <x:c r="AD1320" s="36" t="n">
        <x:f>IF(ISNUMBER(Y1320),ROUND(Y1320*0.8,2),"")</x:f>
        <x:v>32.8</x:v>
      </x:c>
      <x:c r="AE1320" s="36" t="n">
        <x:f>IF(ISNUMBER(AD1320),ROUND(AD1320*0.015+0.2,2),"")</x:f>
        <x:v>0.69</x:v>
      </x:c>
      <x:c r="AF1320" s="36" t="n">
        <x:f>IF(ISNUMBER(AD1320),ROUND(AD1320-AE1320-V1320,2),"")</x:f>
        <x:v>3.92</x:v>
      </x:c>
      <x:c r="AG1320" t="str">
        <x:f>IF(NOT(ISNUMBER(T1320)),"PENDING",IF(AF1320&gt;0,"PASS","FAIL"))</x:f>
        <x:v>PASS</x:v>
      </x:c>
      <x:c r="AH1320" t="str">
        <x:f>IF(NOT(ISNUMBER(T1320)),"Needs supplier cost",IF(K1320&lt;&gt;"In stock","Supplier unavailable",IF(AG1320&lt;&gt;"PASS","BLOCK - GT loss risk","Commercially protected")))</x:f>
        <x:v>Commercially protected</x:v>
      </x:c>
      <x:c r="AI1320" t="str">
        <x:v>2026-09-10 Active Sports trade capture</x:v>
      </x:c>
      <x:c r="AJ1320" t="str">
        <x:v>Management-only economics. Stripe stress test uses 1.5% + £0.20 standard UK online-card fee; pallet/mix-and-match pricing ignored.</x:v>
      </x:c>
    </x:row>
    <x:row r="1321">
      <x:c r="A1321" t="str">
        <x:v>Active Sports Nutrition</x:v>
      </x:c>
      <x:c r="B1321" t="str">
        <x:v>InnovaPharm</x:v>
      </x:c>
      <x:c r="C1321" t="str">
        <x:v>NovaPump</x:v>
      </x:c>
      <x:c r="D1321" t="str">
        <x:v>Pre Workouts</x:v>
      </x:c>
      <x:c r="E1321" t="str">
        <x:v>Stim FREE</x:v>
      </x:c>
      <x:c r="F1321" t="str">
        <x:v>Stim-free pump pre-workout.</x:v>
      </x:c>
      <x:c r="G1321" t="str">
        <x:v>40/20 servings</x:v>
      </x:c>
      <x:c r="H1321" t="str">
        <x:v>Unicorn Candy</x:v>
      </x:c>
      <x:c r="I1321" t="str"/>
      <x:c r="J1321" t="str">
        <x:v>Unit</x:v>
      </x:c>
      <x:c r="K1321" t="str">
        <x:v>In stock</x:v>
      </x:c>
      <x:c r="L1321" t="str">
        <x:v>2026-09-08</x:v>
      </x:c>
      <x:c r="M1321" t="str"/>
      <x:c r="N1321" t="str"/>
      <x:c r="O1321" t="str">
        <x:v>https://www.activesportstrade.co.uk/trade-pre-workout-supplements/innovapharm-trade</x:v>
      </x:c>
      <x:c r="P1321" t="str"/>
      <x:c r="Q1321" t="str"/>
      <x:c r="R1321" t="str"/>
      <x:c r="S1321" t="str">
        <x:v>Pending genuine supplier/brand image</x:v>
      </x:c>
      <x:c r="T1321" s="54" t="n">
        <x:v>23.49</x:v>
      </x:c>
      <x:c r="U1321" s="47" t="n">
        <x:v>0.2</x:v>
      </x:c>
      <x:c r="V1321" s="54" t="n">
        <x:f>IF(ISNUMBER(T1321),T1321*(1+U1321),"")</x:f>
        <x:v>28.188</x:v>
      </x:c>
      <x:c r="W1321" s="47" t="n">
        <x:v>0.3</x:v>
      </x:c>
      <x:c r="X1321" s="54" t="n">
        <x:f>IF(ISNUMBER(V1321),V1321/(1-W1321),"")</x:f>
        <x:v>40.26857142857143</x:v>
      </x:c>
      <x:c r="Y1321" s="55" t="n">
        <x:f>IF(ISNUMBER(X1321),ROUNDUP(X1321,0),"")</x:f>
        <x:v>41</x:v>
      </x:c>
      <x:c r="Z1321" t="str">
        <x:v>Source match pending</x:v>
      </x:c>
      <x:c r="AA1321" t="str">
        <x:v>screencapture-www-activesportstrade-co-uk-innovapharm-trade-2026-09-09-18_32_19.png / page-001</x:v>
      </x:c>
      <x:c r="AB1321" s="36" t="n">
        <x:f>IF(ISNUMBER(Y1321),ROUND(Y1321*0.9,2),"")</x:f>
        <x:v>36.9</x:v>
      </x:c>
      <x:c r="AC1321" s="36" t="n">
        <x:f>IF(ISNUMBER(AB1321),ROUND(AB1321-(AB1321*0.015+0.2)-V1321,2),"")</x:f>
        <x:v>7.96</x:v>
      </x:c>
      <x:c r="AD1321" s="36" t="n">
        <x:f>IF(ISNUMBER(Y1321),ROUND(Y1321*0.8,2),"")</x:f>
        <x:v>32.8</x:v>
      </x:c>
      <x:c r="AE1321" s="36" t="n">
        <x:f>IF(ISNUMBER(AD1321),ROUND(AD1321*0.015+0.2,2),"")</x:f>
        <x:v>0.69</x:v>
      </x:c>
      <x:c r="AF1321" s="36" t="n">
        <x:f>IF(ISNUMBER(AD1321),ROUND(AD1321-AE1321-V1321,2),"")</x:f>
        <x:v>3.92</x:v>
      </x:c>
      <x:c r="AG1321" t="str">
        <x:f>IF(NOT(ISNUMBER(T1321)),"PENDING",IF(AF1321&gt;0,"PASS","FAIL"))</x:f>
        <x:v>PASS</x:v>
      </x:c>
      <x:c r="AH1321" t="str">
        <x:f>IF(NOT(ISNUMBER(T1321)),"Needs supplier cost",IF(K1321&lt;&gt;"In stock","Supplier unavailable",IF(AG1321&lt;&gt;"PASS","BLOCK - GT loss risk","Commercially protected")))</x:f>
        <x:v>Commercially protected</x:v>
      </x:c>
      <x:c r="AI1321" t="str">
        <x:v>2026-09-10 Active Sports trade capture</x:v>
      </x:c>
      <x:c r="AJ1321" t="str">
        <x:v>Management-only economics. Stripe stress test uses 1.5% + £0.20 standard UK online-card fee; pallet/mix-and-match pricing ignored.</x:v>
      </x:c>
    </x:row>
    <x:row r="1322">
      <x:c r="A1322" t="str">
        <x:v>Active Sports Nutrition</x:v>
      </x:c>
      <x:c r="B1322" t="str">
        <x:v>InnovaPharm</x:v>
      </x:c>
      <x:c r="C1322" t="str">
        <x:v>NovaPump Neuro</x:v>
      </x:c>
      <x:c r="D1322" t="str">
        <x:v>Pre Workouts</x:v>
      </x:c>
      <x:c r="E1322" t="str">
        <x:v>Stim FREE</x:v>
      </x:c>
      <x:c r="F1322" t="str">
        <x:v>Stim-free pump and focus pre-workout.</x:v>
      </x:c>
      <x:c r="G1322" t="str">
        <x:v>40/20 servings</x:v>
      </x:c>
      <x:c r="H1322" t="str">
        <x:v>Blackberry Mojito</x:v>
      </x:c>
      <x:c r="I1322" t="str"/>
      <x:c r="J1322" t="str">
        <x:v>Unit</x:v>
      </x:c>
      <x:c r="K1322" t="str">
        <x:v>In stock</x:v>
      </x:c>
      <x:c r="L1322" t="str">
        <x:v>2026-09-08</x:v>
      </x:c>
      <x:c r="M1322" t="str"/>
      <x:c r="N1322" t="str"/>
      <x:c r="O1322" t="str">
        <x:v>https://www.activesportstrade.co.uk/trade-pre-workout-supplements/innovapharm-trade</x:v>
      </x:c>
      <x:c r="P1322" t="str">
        <x:v>Fresh 2-month page used; older page showed Snowcone and Sour Apple Punch in stock.</x:v>
      </x:c>
      <x:c r="Q1322" t="str"/>
      <x:c r="R1322" t="str"/>
      <x:c r="S1322" t="str">
        <x:v>Pending genuine supplier/brand image</x:v>
      </x:c>
      <x:c r="T1322" s="54" t="n">
        <x:v>25.99</x:v>
      </x:c>
      <x:c r="U1322" s="47" t="n">
        <x:v>0.2</x:v>
      </x:c>
      <x:c r="V1322" s="54" t="n">
        <x:f>IF(ISNUMBER(T1322),T1322*(1+U1322),"")</x:f>
        <x:v>31.187999999999995</x:v>
      </x:c>
      <x:c r="W1322" s="47" t="n">
        <x:v>0.3</x:v>
      </x:c>
      <x:c r="X1322" s="54" t="n">
        <x:f>IF(ISNUMBER(V1322),V1322/(1-W1322),"")</x:f>
        <x:v>44.55428571428571</x:v>
      </x:c>
      <x:c r="Y1322" s="55" t="n">
        <x:f>IF(ISNUMBER(X1322),ROUNDUP(X1322,0),"")</x:f>
        <x:v>45</x:v>
      </x:c>
      <x:c r="Z1322" t="str">
        <x:v>Source match pending</x:v>
      </x:c>
      <x:c r="AA1322" t="str">
        <x:v>screencapture-www-activesportstrade-co-uk-innovapharm-trade-2026-09-09-18_32_19.png / page-001</x:v>
      </x:c>
      <x:c r="AB1322" s="36" t="n">
        <x:f>IF(ISNUMBER(Y1322),ROUND(Y1322*0.9,2),"")</x:f>
        <x:v>40.5</x:v>
      </x:c>
      <x:c r="AC1322" s="36" t="n">
        <x:f>IF(ISNUMBER(AB1322),ROUND(AB1322-(AB1322*0.015+0.2)-V1322,2),"")</x:f>
        <x:v>8.5</x:v>
      </x:c>
      <x:c r="AD1322" s="36" t="n">
        <x:f>IF(ISNUMBER(Y1322),ROUND(Y1322*0.8,2),"")</x:f>
        <x:v>36</x:v>
      </x:c>
      <x:c r="AE1322" s="36" t="n">
        <x:f>IF(ISNUMBER(AD1322),ROUND(AD1322*0.015+0.2,2),"")</x:f>
        <x:v>0.74</x:v>
      </x:c>
      <x:c r="AF1322" s="36" t="n">
        <x:f>IF(ISNUMBER(AD1322),ROUND(AD1322-AE1322-V1322,2),"")</x:f>
        <x:v>4.07</x:v>
      </x:c>
      <x:c r="AG1322" t="str">
        <x:f>IF(NOT(ISNUMBER(T1322)),"PENDING",IF(AF1322&gt;0,"PASS","FAIL"))</x:f>
        <x:v>PASS</x:v>
      </x:c>
      <x:c r="AH1322" t="str">
        <x:f>IF(NOT(ISNUMBER(T1322)),"Needs supplier cost",IF(K1322&lt;&gt;"In stock","Supplier unavailable",IF(AG1322&lt;&gt;"PASS","BLOCK - GT loss risk","Commercially protected")))</x:f>
        <x:v>Commercially protected</x:v>
      </x:c>
      <x:c r="AI1322" t="str">
        <x:v>2026-09-10 Active Sports trade capture</x:v>
      </x:c>
      <x:c r="AJ1322" t="str">
        <x:v>Management-only economics. Stripe stress test uses 1.5% + £0.20 standard UK online-card fee; pallet/mix-and-match pricing ignored.</x:v>
      </x:c>
    </x:row>
    <x:row r="1323">
      <x:c r="A1323" t="str">
        <x:v>Active Sports Nutrition</x:v>
      </x:c>
      <x:c r="B1323" t="str">
        <x:v>InnovaPharm</x:v>
      </x:c>
      <x:c r="C1323" t="str">
        <x:v>NovaPump Neuro</x:v>
      </x:c>
      <x:c r="D1323" t="str">
        <x:v>Pre Workouts</x:v>
      </x:c>
      <x:c r="E1323" t="str">
        <x:v>Stim FREE</x:v>
      </x:c>
      <x:c r="F1323" t="str">
        <x:v>Stim-free pump and focus pre-workout.</x:v>
      </x:c>
      <x:c r="G1323" t="str">
        <x:v>40/20 servings</x:v>
      </x:c>
      <x:c r="H1323" t="str">
        <x:v>Mermaid Kisses</x:v>
      </x:c>
      <x:c r="I1323" t="str"/>
      <x:c r="J1323" t="str">
        <x:v>Unit</x:v>
      </x:c>
      <x:c r="K1323" t="str">
        <x:v>In stock</x:v>
      </x:c>
      <x:c r="L1323" t="str">
        <x:v>2026-09-08</x:v>
      </x:c>
      <x:c r="M1323" t="str"/>
      <x:c r="N1323" t="str"/>
      <x:c r="O1323" t="str">
        <x:v>https://www.activesportstrade.co.uk/trade-pre-workout-supplements/innovapharm-trade</x:v>
      </x:c>
      <x:c r="P1323" t="str">
        <x:v>Fresh 2-month page used; older page showed Snowcone and Sour Apple Punch in stock.</x:v>
      </x:c>
      <x:c r="Q1323" t="str"/>
      <x:c r="R1323" t="str"/>
      <x:c r="S1323" t="str">
        <x:v>Pending genuine supplier/brand image</x:v>
      </x:c>
      <x:c r="T1323" s="54" t="n">
        <x:v>25.99</x:v>
      </x:c>
      <x:c r="U1323" s="47" t="n">
        <x:v>0.2</x:v>
      </x:c>
      <x:c r="V1323" s="54" t="n">
        <x:f>IF(ISNUMBER(T1323),T1323*(1+U1323),"")</x:f>
        <x:v>31.187999999999995</x:v>
      </x:c>
      <x:c r="W1323" s="47" t="n">
        <x:v>0.3</x:v>
      </x:c>
      <x:c r="X1323" s="54" t="n">
        <x:f>IF(ISNUMBER(V1323),V1323/(1-W1323),"")</x:f>
        <x:v>44.55428571428571</x:v>
      </x:c>
      <x:c r="Y1323" s="55" t="n">
        <x:f>IF(ISNUMBER(X1323),ROUNDUP(X1323,0),"")</x:f>
        <x:v>45</x:v>
      </x:c>
      <x:c r="Z1323" t="str">
        <x:v>Source match pending</x:v>
      </x:c>
      <x:c r="AA1323" t="str">
        <x:v>screencapture-www-activesportstrade-co-uk-innovapharm-trade-2026-09-09-18_32_19.png / page-001</x:v>
      </x:c>
      <x:c r="AB1323" s="36" t="n">
        <x:f>IF(ISNUMBER(Y1323),ROUND(Y1323*0.9,2),"")</x:f>
        <x:v>40.5</x:v>
      </x:c>
      <x:c r="AC1323" s="36" t="n">
        <x:f>IF(ISNUMBER(AB1323),ROUND(AB1323-(AB1323*0.015+0.2)-V1323,2),"")</x:f>
        <x:v>8.5</x:v>
      </x:c>
      <x:c r="AD1323" s="36" t="n">
        <x:f>IF(ISNUMBER(Y1323),ROUND(Y1323*0.8,2),"")</x:f>
        <x:v>36</x:v>
      </x:c>
      <x:c r="AE1323" s="36" t="n">
        <x:f>IF(ISNUMBER(AD1323),ROUND(AD1323*0.015+0.2,2),"")</x:f>
        <x:v>0.74</x:v>
      </x:c>
      <x:c r="AF1323" s="36" t="n">
        <x:f>IF(ISNUMBER(AD1323),ROUND(AD1323-AE1323-V1323,2),"")</x:f>
        <x:v>4.07</x:v>
      </x:c>
      <x:c r="AG1323" t="str">
        <x:f>IF(NOT(ISNUMBER(T1323)),"PENDING",IF(AF1323&gt;0,"PASS","FAIL"))</x:f>
        <x:v>PASS</x:v>
      </x:c>
      <x:c r="AH1323" t="str">
        <x:f>IF(NOT(ISNUMBER(T1323)),"Needs supplier cost",IF(K1323&lt;&gt;"In stock","Supplier unavailable",IF(AG1323&lt;&gt;"PASS","BLOCK - GT loss risk","Commercially protected")))</x:f>
        <x:v>Commercially protected</x:v>
      </x:c>
      <x:c r="AI1323" t="str">
        <x:v>2026-09-10 Active Sports trade capture</x:v>
      </x:c>
      <x:c r="AJ1323" t="str">
        <x:v>Management-only economics. Stripe stress test uses 1.5% + £0.20 standard UK online-card fee; pallet/mix-and-match pricing ignored.</x:v>
      </x:c>
    </x:row>
    <x:row r="1324">
      <x:c r="A1324" t="str">
        <x:v>Active Sports Nutrition</x:v>
      </x:c>
      <x:c r="B1324" t="str">
        <x:v>InnovaPharm</x:v>
      </x:c>
      <x:c r="C1324" t="str">
        <x:v>NovaPump Neuro</x:v>
      </x:c>
      <x:c r="D1324" t="str">
        <x:v>Pre Workouts</x:v>
      </x:c>
      <x:c r="E1324" t="str">
        <x:v>Stim FREE</x:v>
      </x:c>
      <x:c r="F1324" t="str">
        <x:v>Stim-free pump and focus pre-workout.</x:v>
      </x:c>
      <x:c r="G1324" t="str">
        <x:v>40/20 servings</x:v>
      </x:c>
      <x:c r="H1324" t="str">
        <x:v>Pink Lemonade</x:v>
      </x:c>
      <x:c r="I1324" t="str"/>
      <x:c r="J1324" t="str">
        <x:v>Unit</x:v>
      </x:c>
      <x:c r="K1324" t="str">
        <x:v>In stock</x:v>
      </x:c>
      <x:c r="L1324" t="str">
        <x:v>2026-09-08</x:v>
      </x:c>
      <x:c r="M1324" t="str"/>
      <x:c r="N1324" t="str"/>
      <x:c r="O1324" t="str">
        <x:v>https://www.activesportstrade.co.uk/trade-pre-workout-supplements/innovapharm-trade</x:v>
      </x:c>
      <x:c r="P1324" t="str">
        <x:v>Fresh 2-month page used; older page showed Snowcone and Sour Apple Punch in stock.</x:v>
      </x:c>
      <x:c r="Q1324" t="str"/>
      <x:c r="R1324" t="str"/>
      <x:c r="S1324" t="str">
        <x:v>Pending genuine supplier/brand image</x:v>
      </x:c>
      <x:c r="T1324" s="54" t="n">
        <x:v>25.99</x:v>
      </x:c>
      <x:c r="U1324" s="47" t="n">
        <x:v>0.2</x:v>
      </x:c>
      <x:c r="V1324" s="54" t="n">
        <x:f>IF(ISNUMBER(T1324),T1324*(1+U1324),"")</x:f>
        <x:v>31.187999999999995</x:v>
      </x:c>
      <x:c r="W1324" s="47" t="n">
        <x:v>0.3</x:v>
      </x:c>
      <x:c r="X1324" s="54" t="n">
        <x:f>IF(ISNUMBER(V1324),V1324/(1-W1324),"")</x:f>
        <x:v>44.55428571428571</x:v>
      </x:c>
      <x:c r="Y1324" s="55" t="n">
        <x:f>IF(ISNUMBER(X1324),ROUNDUP(X1324,0),"")</x:f>
        <x:v>45</x:v>
      </x:c>
      <x:c r="Z1324" t="str">
        <x:v>Source match pending</x:v>
      </x:c>
      <x:c r="AA1324" t="str">
        <x:v>screencapture-www-activesportstrade-co-uk-innovapharm-trade-2026-09-09-18_32_19.png / page-001</x:v>
      </x:c>
      <x:c r="AB1324" s="36" t="n">
        <x:f>IF(ISNUMBER(Y1324),ROUND(Y1324*0.9,2),"")</x:f>
        <x:v>40.5</x:v>
      </x:c>
      <x:c r="AC1324" s="36" t="n">
        <x:f>IF(ISNUMBER(AB1324),ROUND(AB1324-(AB1324*0.015+0.2)-V1324,2),"")</x:f>
        <x:v>8.5</x:v>
      </x:c>
      <x:c r="AD1324" s="36" t="n">
        <x:f>IF(ISNUMBER(Y1324),ROUND(Y1324*0.8,2),"")</x:f>
        <x:v>36</x:v>
      </x:c>
      <x:c r="AE1324" s="36" t="n">
        <x:f>IF(ISNUMBER(AD1324),ROUND(AD1324*0.015+0.2,2),"")</x:f>
        <x:v>0.74</x:v>
      </x:c>
      <x:c r="AF1324" s="36" t="n">
        <x:f>IF(ISNUMBER(AD1324),ROUND(AD1324-AE1324-V1324,2),"")</x:f>
        <x:v>4.07</x:v>
      </x:c>
      <x:c r="AG1324" t="str">
        <x:f>IF(NOT(ISNUMBER(T1324)),"PENDING",IF(AF1324&gt;0,"PASS","FAIL"))</x:f>
        <x:v>PASS</x:v>
      </x:c>
      <x:c r="AH1324" t="str">
        <x:f>IF(NOT(ISNUMBER(T1324)),"Needs supplier cost",IF(K1324&lt;&gt;"In stock","Supplier unavailable",IF(AG1324&lt;&gt;"PASS","BLOCK - GT loss risk","Commercially protected")))</x:f>
        <x:v>Commercially protected</x:v>
      </x:c>
      <x:c r="AI1324" t="str">
        <x:v>2026-09-10 Active Sports trade capture</x:v>
      </x:c>
      <x:c r="AJ1324" t="str">
        <x:v>Management-only economics. Stripe stress test uses 1.5% + £0.20 standard UK online-card fee; pallet/mix-and-match pricing ignored.</x:v>
      </x:c>
    </x:row>
    <x:row r="1325">
      <x:c r="A1325" t="str">
        <x:v>Active Sports Nutrition</x:v>
      </x:c>
      <x:c r="B1325" t="str">
        <x:v>InnovaPharm</x:v>
      </x:c>
      <x:c r="C1325" t="str">
        <x:v>NovaPump Neuro</x:v>
      </x:c>
      <x:c r="D1325" t="str">
        <x:v>Pre Workouts</x:v>
      </x:c>
      <x:c r="E1325" t="str">
        <x:v>Stim FREE</x:v>
      </x:c>
      <x:c r="F1325" t="str">
        <x:v>Stim-free pump and focus pre-workout.</x:v>
      </x:c>
      <x:c r="G1325" t="str">
        <x:v>40/20 servings</x:v>
      </x:c>
      <x:c r="H1325" t="str">
        <x:v>Snowcone</x:v>
      </x:c>
      <x:c r="I1325" t="str"/>
      <x:c r="J1325" t="str">
        <x:v>Unit</x:v>
      </x:c>
      <x:c r="K1325" t="str">
        <x:v>Out of stock</x:v>
      </x:c>
      <x:c r="L1325" t="str">
        <x:v>2026-09-08</x:v>
      </x:c>
      <x:c r="M1325" t="str"/>
      <x:c r="N1325" t="str"/>
      <x:c r="O1325" t="str">
        <x:v>https://www.activesportstrade.co.uk/trade-pre-workout-supplements/innovapharm-trade</x:v>
      </x:c>
      <x:c r="P1325" t="str">
        <x:v>Fresh 2-month page used; older page showed Snowcone and Sour Apple Punch in stock.</x:v>
      </x:c>
      <x:c r="Q1325" t="str"/>
      <x:c r="R1325" t="str"/>
      <x:c r="S1325" t="str">
        <x:v>Pending genuine supplier/brand image</x:v>
      </x:c>
      <x:c r="T1325" s="54" t="n">
        <x:v>25.99</x:v>
      </x:c>
      <x:c r="U1325" s="47" t="n">
        <x:v>0.2</x:v>
      </x:c>
      <x:c r="V1325" s="54" t="n">
        <x:f>IF(ISNUMBER(T1325),T1325*(1+U1325),"")</x:f>
        <x:v>31.187999999999995</x:v>
      </x:c>
      <x:c r="W1325" s="47" t="n">
        <x:v>0.3</x:v>
      </x:c>
      <x:c r="X1325" s="54" t="n">
        <x:f>IF(ISNUMBER(V1325),V1325/(1-W1325),"")</x:f>
        <x:v>44.55428571428571</x:v>
      </x:c>
      <x:c r="Y1325" s="55" t="n">
        <x:f>IF(ISNUMBER(X1325),ROUNDUP(X1325,0),"")</x:f>
        <x:v>45</x:v>
      </x:c>
      <x:c r="Z1325" t="str">
        <x:v>Source match pending</x:v>
      </x:c>
      <x:c r="AA1325" t="str">
        <x:v>screencapture-www-activesportstrade-co-uk-innovapharm-trade-2026-09-09-18_32_19.png / page-001</x:v>
      </x:c>
      <x:c r="AB1325" s="36" t="n">
        <x:f>IF(ISNUMBER(Y1325),ROUND(Y1325*0.9,2),"")</x:f>
        <x:v>40.5</x:v>
      </x:c>
      <x:c r="AC1325" s="36" t="n">
        <x:f>IF(ISNUMBER(AB1325),ROUND(AB1325-(AB1325*0.015+0.2)-V1325,2),"")</x:f>
        <x:v>8.5</x:v>
      </x:c>
      <x:c r="AD1325" s="36" t="n">
        <x:f>IF(ISNUMBER(Y1325),ROUND(Y1325*0.8,2),"")</x:f>
        <x:v>36</x:v>
      </x:c>
      <x:c r="AE1325" s="36" t="n">
        <x:f>IF(ISNUMBER(AD1325),ROUND(AD1325*0.015+0.2,2),"")</x:f>
        <x:v>0.74</x:v>
      </x:c>
      <x:c r="AF1325" s="36" t="n">
        <x:f>IF(ISNUMBER(AD1325),ROUND(AD1325-AE1325-V1325,2),"")</x:f>
        <x:v>4.07</x:v>
      </x:c>
      <x:c r="AG1325" t="str">
        <x:f>IF(NOT(ISNUMBER(T1325)),"PENDING",IF(AF1325&gt;0,"PASS","FAIL"))</x:f>
        <x:v>PASS</x:v>
      </x:c>
      <x:c r="AH1325" t="str">
        <x:f>IF(NOT(ISNUMBER(T1325)),"Needs supplier cost",IF(K1325&lt;&gt;"In stock","Supplier unavailable",IF(AG1325&lt;&gt;"PASS","BLOCK - GT loss risk","Commercially protected")))</x:f>
        <x:v>Supplier unavailable</x:v>
      </x:c>
      <x:c r="AI1325" t="str">
        <x:v>2026-09-10 Active Sports trade capture</x:v>
      </x:c>
      <x:c r="AJ1325" t="str">
        <x:v>Management-only economics. Stripe stress test uses 1.5% + £0.20 standard UK online-card fee; pallet/mix-and-match pricing ignored.</x:v>
      </x:c>
    </x:row>
    <x:row r="1326">
      <x:c r="A1326" t="str">
        <x:v>Active Sports Nutrition</x:v>
      </x:c>
      <x:c r="B1326" t="str">
        <x:v>InnovaPharm</x:v>
      </x:c>
      <x:c r="C1326" t="str">
        <x:v>NovaPump Neuro</x:v>
      </x:c>
      <x:c r="D1326" t="str">
        <x:v>Pre Workouts</x:v>
      </x:c>
      <x:c r="E1326" t="str">
        <x:v>Stim FREE</x:v>
      </x:c>
      <x:c r="F1326" t="str">
        <x:v>Stim-free pump and focus pre-workout.</x:v>
      </x:c>
      <x:c r="G1326" t="str">
        <x:v>40/20 servings</x:v>
      </x:c>
      <x:c r="H1326" t="str">
        <x:v>Sour Apple Punch</x:v>
      </x:c>
      <x:c r="I1326" t="str"/>
      <x:c r="J1326" t="str">
        <x:v>Unit</x:v>
      </x:c>
      <x:c r="K1326" t="str">
        <x:v>Out of stock</x:v>
      </x:c>
      <x:c r="L1326" t="str">
        <x:v>2026-09-08</x:v>
      </x:c>
      <x:c r="M1326" t="str"/>
      <x:c r="N1326" t="str"/>
      <x:c r="O1326" t="str">
        <x:v>https://www.activesportstrade.co.uk/trade-pre-workout-supplements/innovapharm-trade</x:v>
      </x:c>
      <x:c r="P1326" t="str">
        <x:v>Fresh 2-month page used; older page showed Snowcone and Sour Apple Punch in stock.</x:v>
      </x:c>
      <x:c r="Q1326" t="str"/>
      <x:c r="R1326" t="str"/>
      <x:c r="S1326" t="str">
        <x:v>Pending genuine supplier/brand image</x:v>
      </x:c>
      <x:c r="T1326" s="54" t="n">
        <x:v>25.99</x:v>
      </x:c>
      <x:c r="U1326" s="47" t="n">
        <x:v>0.2</x:v>
      </x:c>
      <x:c r="V1326" s="54" t="n">
        <x:f>IF(ISNUMBER(T1326),T1326*(1+U1326),"")</x:f>
        <x:v>31.187999999999995</x:v>
      </x:c>
      <x:c r="W1326" s="47" t="n">
        <x:v>0.3</x:v>
      </x:c>
      <x:c r="X1326" s="54" t="n">
        <x:f>IF(ISNUMBER(V1326),V1326/(1-W1326),"")</x:f>
        <x:v>44.55428571428571</x:v>
      </x:c>
      <x:c r="Y1326" s="55" t="n">
        <x:f>IF(ISNUMBER(X1326),ROUNDUP(X1326,0),"")</x:f>
        <x:v>45</x:v>
      </x:c>
      <x:c r="Z1326" t="str">
        <x:v>Source match pending</x:v>
      </x:c>
      <x:c r="AA1326" t="str">
        <x:v>screencapture-www-activesportstrade-co-uk-innovapharm-trade-2026-09-09-18_32_19.png / page-001</x:v>
      </x:c>
      <x:c r="AB1326" s="36" t="n">
        <x:f>IF(ISNUMBER(Y1326),ROUND(Y1326*0.9,2),"")</x:f>
        <x:v>40.5</x:v>
      </x:c>
      <x:c r="AC1326" s="36" t="n">
        <x:f>IF(ISNUMBER(AB1326),ROUND(AB1326-(AB1326*0.015+0.2)-V1326,2),"")</x:f>
        <x:v>8.5</x:v>
      </x:c>
      <x:c r="AD1326" s="36" t="n">
        <x:f>IF(ISNUMBER(Y1326),ROUND(Y1326*0.8,2),"")</x:f>
        <x:v>36</x:v>
      </x:c>
      <x:c r="AE1326" s="36" t="n">
        <x:f>IF(ISNUMBER(AD1326),ROUND(AD1326*0.015+0.2,2),"")</x:f>
        <x:v>0.74</x:v>
      </x:c>
      <x:c r="AF1326" s="36" t="n">
        <x:f>IF(ISNUMBER(AD1326),ROUND(AD1326-AE1326-V1326,2),"")</x:f>
        <x:v>4.07</x:v>
      </x:c>
      <x:c r="AG1326" t="str">
        <x:f>IF(NOT(ISNUMBER(T1326)),"PENDING",IF(AF1326&gt;0,"PASS","FAIL"))</x:f>
        <x:v>PASS</x:v>
      </x:c>
      <x:c r="AH1326" t="str">
        <x:f>IF(NOT(ISNUMBER(T1326)),"Needs supplier cost",IF(K1326&lt;&gt;"In stock","Supplier unavailable",IF(AG1326&lt;&gt;"PASS","BLOCK - GT loss risk","Commercially protected")))</x:f>
        <x:v>Supplier unavailable</x:v>
      </x:c>
      <x:c r="AI1326" t="str">
        <x:v>2026-09-10 Active Sports trade capture</x:v>
      </x:c>
      <x:c r="AJ1326" t="str">
        <x:v>Management-only economics. Stripe stress test uses 1.5% + £0.20 standard UK online-card fee; pallet/mix-and-match pricing ignored.</x:v>
      </x:c>
    </x:row>
    <x:row r="1327">
      <x:c r="A1327" t="str">
        <x:v>Active Sports Nutrition</x:v>
      </x:c>
      <x:c r="B1327" t="str">
        <x:v>InnovaPharm</x:v>
      </x:c>
      <x:c r="C1327" t="str">
        <x:v>NovaPump Neuro</x:v>
      </x:c>
      <x:c r="D1327" t="str">
        <x:v>Pre Workouts</x:v>
      </x:c>
      <x:c r="E1327" t="str">
        <x:v>Stim FREE</x:v>
      </x:c>
      <x:c r="F1327" t="str">
        <x:v>Stim-free pump and focus pre-workout.</x:v>
      </x:c>
      <x:c r="G1327" t="str">
        <x:v>40/20 servings</x:v>
      </x:c>
      <x:c r="H1327" t="str">
        <x:v>Watermelon Gummy Candy</x:v>
      </x:c>
      <x:c r="I1327" t="str"/>
      <x:c r="J1327" t="str">
        <x:v>Unit</x:v>
      </x:c>
      <x:c r="K1327" t="str">
        <x:v>In stock</x:v>
      </x:c>
      <x:c r="L1327" t="str">
        <x:v>2026-09-08</x:v>
      </x:c>
      <x:c r="M1327" t="str"/>
      <x:c r="N1327" t="str"/>
      <x:c r="O1327" t="str">
        <x:v>https://www.activesportstrade.co.uk/trade-pre-workout-supplements/innovapharm-trade</x:v>
      </x:c>
      <x:c r="P1327" t="str">
        <x:v>Fresh 2-month page used; older page showed Snowcone and Sour Apple Punch in stock.</x:v>
      </x:c>
      <x:c r="Q1327" t="str"/>
      <x:c r="R1327" t="str"/>
      <x:c r="S1327" t="str">
        <x:v>Pending genuine supplier/brand image</x:v>
      </x:c>
      <x:c r="T1327" s="54" t="n">
        <x:v>25.99</x:v>
      </x:c>
      <x:c r="U1327" s="47" t="n">
        <x:v>0.2</x:v>
      </x:c>
      <x:c r="V1327" s="54" t="n">
        <x:f>IF(ISNUMBER(T1327),T1327*(1+U1327),"")</x:f>
        <x:v>31.187999999999995</x:v>
      </x:c>
      <x:c r="W1327" s="47" t="n">
        <x:v>0.3</x:v>
      </x:c>
      <x:c r="X1327" s="54" t="n">
        <x:f>IF(ISNUMBER(V1327),V1327/(1-W1327),"")</x:f>
        <x:v>44.55428571428571</x:v>
      </x:c>
      <x:c r="Y1327" s="55" t="n">
        <x:f>IF(ISNUMBER(X1327),ROUNDUP(X1327,0),"")</x:f>
        <x:v>45</x:v>
      </x:c>
      <x:c r="Z1327" t="str">
        <x:v>Source match pending</x:v>
      </x:c>
      <x:c r="AA1327" t="str">
        <x:v>screencapture-www-activesportstrade-co-uk-innovapharm-trade-2026-09-09-18_32_19.png / page-001</x:v>
      </x:c>
      <x:c r="AB1327" s="36" t="n">
        <x:f>IF(ISNUMBER(Y1327),ROUND(Y1327*0.9,2),"")</x:f>
        <x:v>40.5</x:v>
      </x:c>
      <x:c r="AC1327" s="36" t="n">
        <x:f>IF(ISNUMBER(AB1327),ROUND(AB1327-(AB1327*0.015+0.2)-V1327,2),"")</x:f>
        <x:v>8.5</x:v>
      </x:c>
      <x:c r="AD1327" s="36" t="n">
        <x:f>IF(ISNUMBER(Y1327),ROUND(Y1327*0.8,2),"")</x:f>
        <x:v>36</x:v>
      </x:c>
      <x:c r="AE1327" s="36" t="n">
        <x:f>IF(ISNUMBER(AD1327),ROUND(AD1327*0.015+0.2,2),"")</x:f>
        <x:v>0.74</x:v>
      </x:c>
      <x:c r="AF1327" s="36" t="n">
        <x:f>IF(ISNUMBER(AD1327),ROUND(AD1327-AE1327-V1327,2),"")</x:f>
        <x:v>4.07</x:v>
      </x:c>
      <x:c r="AG1327" t="str">
        <x:f>IF(NOT(ISNUMBER(T1327)),"PENDING",IF(AF1327&gt;0,"PASS","FAIL"))</x:f>
        <x:v>PASS</x:v>
      </x:c>
      <x:c r="AH1327" t="str">
        <x:f>IF(NOT(ISNUMBER(T1327)),"Needs supplier cost",IF(K1327&lt;&gt;"In stock","Supplier unavailable",IF(AG1327&lt;&gt;"PASS","BLOCK - GT loss risk","Commercially protected")))</x:f>
        <x:v>Commercially protected</x:v>
      </x:c>
      <x:c r="AI1327" t="str">
        <x:v>2026-09-10 Active Sports trade capture</x:v>
      </x:c>
      <x:c r="AJ1327" t="str">
        <x:v>Management-only economics. Stripe stress test uses 1.5% + £0.20 standard UK online-card fee; pallet/mix-and-match pricing ignored.</x:v>
      </x:c>
    </x:row>
    <x:row r="1328">
      <x:c r="A1328" t="str">
        <x:v>Active Sports Nutrition</x:v>
      </x:c>
      <x:c r="B1328" t="str">
        <x:v>InnovaPharm</x:v>
      </x:c>
      <x:c r="C1328" t="str">
        <x:v>Poppa Pump</x:v>
      </x:c>
      <x:c r="D1328" t="str">
        <x:v>Pre Workouts</x:v>
      </x:c>
      <x:c r="E1328" t="str">
        <x:v>Stim FREE</x:v>
      </x:c>
      <x:c r="F1328" t="str"/>
      <x:c r="G1328" t="str">
        <x:v>150 caps</x:v>
      </x:c>
      <x:c r="H1328" t="str">
        <x:v>Default</x:v>
      </x:c>
      <x:c r="I1328" t="str"/>
      <x:c r="J1328" t="str">
        <x:v>Unit</x:v>
      </x:c>
      <x:c r="K1328" t="str">
        <x:v>Unavailable - dated clearance</x:v>
      </x:c>
      <x:c r="L1328" t="str">
        <x:v>2026-09-08</x:v>
      </x:c>
      <x:c r="M1328" t="str"/>
      <x:c r="N1328" t="str"/>
      <x:c r="O1328" t="str">
        <x:v>https://www.activesportstrade.co.uk/trade-pre-workout-supplements/innovapharm-trade</x:v>
      </x:c>
      <x:c r="P1328" t="str">
        <x:v>Supplier explicitly lists SPECIAL OFFER BB 12/25. Preserved for audit, not normal member-orderable.</x:v>
      </x:c>
      <x:c r="Q1328" t="str"/>
      <x:c r="R1328" t="str"/>
      <x:c r="S1328" t="str">
        <x:v>Pending genuine supplier/brand image</x:v>
      </x:c>
      <x:c r="T1328" s="54" t="n">
        <x:v>4.99</x:v>
      </x:c>
      <x:c r="U1328" s="47" t="n">
        <x:v>0.2</x:v>
      </x:c>
      <x:c r="V1328" s="54" t="n">
        <x:f>IF(ISNUMBER(T1328),T1328*(1+U1328),"")</x:f>
        <x:v>5.988</x:v>
      </x:c>
      <x:c r="W1328" s="47" t="n">
        <x:v>0.3</x:v>
      </x:c>
      <x:c r="X1328" s="54" t="n">
        <x:f>IF(ISNUMBER(V1328),V1328/(1-W1328),"")</x:f>
        <x:v>8.554285714285715</x:v>
      </x:c>
      <x:c r="Y1328" s="55" t="n">
        <x:f>IF(ISNUMBER(X1328),ROUNDUP(X1328,0),"")</x:f>
        <x:v>9</x:v>
      </x:c>
      <x:c r="Z1328" t="str">
        <x:v>Source match pending</x:v>
      </x:c>
      <x:c r="AA1328" t="str">
        <x:v>screencapture-www-activesportstrade-co-uk-innovapharm-trade-2026-09-09-18_32_19.png / page-001</x:v>
      </x:c>
      <x:c r="AB1328" s="36" t="n">
        <x:f>IF(ISNUMBER(Y1328),ROUND(Y1328*0.9,2),"")</x:f>
        <x:v>8.1</x:v>
      </x:c>
      <x:c r="AC1328" s="36" t="n">
        <x:f>IF(ISNUMBER(AB1328),ROUND(AB1328-(AB1328*0.015+0.2)-V1328,2),"")</x:f>
        <x:v>1.79</x:v>
      </x:c>
      <x:c r="AD1328" s="36" t="n">
        <x:f>IF(ISNUMBER(Y1328),ROUND(Y1328*0.8,2),"")</x:f>
        <x:v>7.2</x:v>
      </x:c>
      <x:c r="AE1328" s="36" t="n">
        <x:f>IF(ISNUMBER(AD1328),ROUND(AD1328*0.015+0.2,2),"")</x:f>
        <x:v>0.31</x:v>
      </x:c>
      <x:c r="AF1328" s="36" t="n">
        <x:f>IF(ISNUMBER(AD1328),ROUND(AD1328-AE1328-V1328,2),"")</x:f>
        <x:v>0.9</x:v>
      </x:c>
      <x:c r="AG1328" t="str">
        <x:f>IF(NOT(ISNUMBER(T1328)),"PENDING",IF(AF1328&gt;0,"PASS","FAIL"))</x:f>
        <x:v>PASS</x:v>
      </x:c>
      <x:c r="AH1328" t="str">
        <x:f>IF(NOT(ISNUMBER(T1328)),"Needs supplier cost",IF(K1328&lt;&gt;"In stock","Supplier unavailable",IF(AG1328&lt;&gt;"PASS","BLOCK - GT loss risk","Commercially protected")))</x:f>
        <x:v>Supplier unavailable</x:v>
      </x:c>
      <x:c r="AI1328" t="str">
        <x:v>2026-09-10 Active Sports trade capture</x:v>
      </x:c>
      <x:c r="AJ1328" t="str">
        <x:v>Management-only economics. Stripe stress test uses 1.5% + £0.20 standard UK online-card fee; pallet/mix-and-match pricing ignored.</x:v>
      </x:c>
    </x:row>
    <x:row r="1329">
      <x:c r="A1329" t="str">
        <x:v>Active Sports Nutrition</x:v>
      </x:c>
      <x:c r="B1329" t="str">
        <x:v>InnovaPharm</x:v>
      </x:c>
      <x:c r="C1329" t="str">
        <x:v>Recover EAA</x:v>
      </x:c>
      <x:c r="D1329" t="str">
        <x:v>Supplements</x:v>
      </x:c>
      <x:c r="E1329" t="str">
        <x:v>Amino Acids</x:v>
      </x:c>
      <x:c r="F1329" t="str">
        <x:v>Essential amino acid formula.</x:v>
      </x:c>
      <x:c r="G1329" t="str">
        <x:v>555g</x:v>
      </x:c>
      <x:c r="H1329" t="str">
        <x:v>Candy Apple Rancher</x:v>
      </x:c>
      <x:c r="I1329" t="str"/>
      <x:c r="J1329" t="str">
        <x:v>Unit</x:v>
      </x:c>
      <x:c r="K1329" t="str">
        <x:v>Out of stock</x:v>
      </x:c>
      <x:c r="L1329" t="str">
        <x:v>2026-09-08</x:v>
      </x:c>
      <x:c r="M1329" t="str"/>
      <x:c r="N1329" t="str"/>
      <x:c r="O1329" t="str">
        <x:v>https://www.activesportstrade.co.uk/BCAAS/innovapharm-trade</x:v>
      </x:c>
      <x:c r="P1329" t="str">
        <x:v>SPECIAL OFFER wording removed.</x:v>
      </x:c>
      <x:c r="Q1329" t="str"/>
      <x:c r="R1329" t="str"/>
      <x:c r="S1329" t="str">
        <x:v>Pending genuine supplier/brand image</x:v>
      </x:c>
      <x:c r="T1329" s="54" t="n">
        <x:v>19.99</x:v>
      </x:c>
      <x:c r="U1329" s="47" t="n">
        <x:v>0.2</x:v>
      </x:c>
      <x:c r="V1329" s="54" t="n">
        <x:f>IF(ISNUMBER(T1329),T1329*(1+U1329),"")</x:f>
        <x:v>23.987999999999996</x:v>
      </x:c>
      <x:c r="W1329" s="47" t="n">
        <x:v>0.3</x:v>
      </x:c>
      <x:c r="X1329" s="54" t="n">
        <x:f>IF(ISNUMBER(V1329),V1329/(1-W1329),"")</x:f>
        <x:v>34.26857142857143</x:v>
      </x:c>
      <x:c r="Y1329" s="55" t="n">
        <x:f>IF(ISNUMBER(X1329),ROUNDUP(X1329,0),"")</x:f>
        <x:v>35</x:v>
      </x:c>
      <x:c r="Z1329" t="str">
        <x:v>Source match pending</x:v>
      </x:c>
      <x:c r="AA1329" t="str">
        <x:v>screencapture-www-activesportstrade-co-uk-innovapharm-trade-2026-09-09-18_32_19.png / page-001</x:v>
      </x:c>
      <x:c r="AB1329" s="36" t="n">
        <x:f>IF(ISNUMBER(Y1329),ROUND(Y1329*0.9,2),"")</x:f>
        <x:v>31.5</x:v>
      </x:c>
      <x:c r="AC1329" s="36" t="n">
        <x:f>IF(ISNUMBER(AB1329),ROUND(AB1329-(AB1329*0.015+0.2)-V1329,2),"")</x:f>
        <x:v>6.84</x:v>
      </x:c>
      <x:c r="AD1329" s="36" t="n">
        <x:f>IF(ISNUMBER(Y1329),ROUND(Y1329*0.8,2),"")</x:f>
        <x:v>28</x:v>
      </x:c>
      <x:c r="AE1329" s="36" t="n">
        <x:f>IF(ISNUMBER(AD1329),ROUND(AD1329*0.015+0.2,2),"")</x:f>
        <x:v>0.62</x:v>
      </x:c>
      <x:c r="AF1329" s="36" t="n">
        <x:f>IF(ISNUMBER(AD1329),ROUND(AD1329-AE1329-V1329,2),"")</x:f>
        <x:v>3.39</x:v>
      </x:c>
      <x:c r="AG1329" t="str">
        <x:f>IF(NOT(ISNUMBER(T1329)),"PENDING",IF(AF1329&gt;0,"PASS","FAIL"))</x:f>
        <x:v>PASS</x:v>
      </x:c>
      <x:c r="AH1329" t="str">
        <x:f>IF(NOT(ISNUMBER(T1329)),"Needs supplier cost",IF(K1329&lt;&gt;"In stock","Supplier unavailable",IF(AG1329&lt;&gt;"PASS","BLOCK - GT loss risk","Commercially protected")))</x:f>
        <x:v>Supplier unavailable</x:v>
      </x:c>
      <x:c r="AI1329" t="str">
        <x:v>2026-09-10 Active Sports trade capture</x:v>
      </x:c>
      <x:c r="AJ1329" t="str">
        <x:v>Management-only economics. Stripe stress test uses 1.5% + £0.20 standard UK online-card fee; pallet/mix-and-match pricing ignored.</x:v>
      </x:c>
    </x:row>
    <x:row r="1330">
      <x:c r="A1330" t="str">
        <x:v>Active Sports Nutrition</x:v>
      </x:c>
      <x:c r="B1330" t="str">
        <x:v>InnovaPharm</x:v>
      </x:c>
      <x:c r="C1330" t="str">
        <x:v>Recover EAA</x:v>
      </x:c>
      <x:c r="D1330" t="str">
        <x:v>Supplements</x:v>
      </x:c>
      <x:c r="E1330" t="str">
        <x:v>Amino Acids</x:v>
      </x:c>
      <x:c r="F1330" t="str">
        <x:v>Essential amino acid formula.</x:v>
      </x:c>
      <x:c r="G1330" t="str">
        <x:v>555g</x:v>
      </x:c>
      <x:c r="H1330" t="str">
        <x:v>Fuzzy Navel</x:v>
      </x:c>
      <x:c r="I1330" t="str"/>
      <x:c r="J1330" t="str">
        <x:v>Unit</x:v>
      </x:c>
      <x:c r="K1330" t="str">
        <x:v>Out of stock</x:v>
      </x:c>
      <x:c r="L1330" t="str">
        <x:v>2026-09-08</x:v>
      </x:c>
      <x:c r="M1330" t="str"/>
      <x:c r="N1330" t="str"/>
      <x:c r="O1330" t="str">
        <x:v>https://www.activesportstrade.co.uk/BCAAS/innovapharm-trade</x:v>
      </x:c>
      <x:c r="P1330" t="str">
        <x:v>SPECIAL OFFER wording removed.</x:v>
      </x:c>
      <x:c r="Q1330" t="str"/>
      <x:c r="R1330" t="str"/>
      <x:c r="S1330" t="str">
        <x:v>Pending genuine supplier/brand image</x:v>
      </x:c>
      <x:c r="T1330" s="54" t="n">
        <x:v>19.99</x:v>
      </x:c>
      <x:c r="U1330" s="47" t="n">
        <x:v>0.2</x:v>
      </x:c>
      <x:c r="V1330" s="54" t="n">
        <x:f>IF(ISNUMBER(T1330),T1330*(1+U1330),"")</x:f>
        <x:v>23.987999999999996</x:v>
      </x:c>
      <x:c r="W1330" s="47" t="n">
        <x:v>0.3</x:v>
      </x:c>
      <x:c r="X1330" s="54" t="n">
        <x:f>IF(ISNUMBER(V1330),V1330/(1-W1330),"")</x:f>
        <x:v>34.26857142857143</x:v>
      </x:c>
      <x:c r="Y1330" s="55" t="n">
        <x:f>IF(ISNUMBER(X1330),ROUNDUP(X1330,0),"")</x:f>
        <x:v>35</x:v>
      </x:c>
      <x:c r="Z1330" t="str">
        <x:v>Source match pending</x:v>
      </x:c>
      <x:c r="AA1330" t="str">
        <x:v>screencapture-www-activesportstrade-co-uk-innovapharm-trade-2026-09-09-18_32_19.png / page-001</x:v>
      </x:c>
      <x:c r="AB1330" s="36" t="n">
        <x:f>IF(ISNUMBER(Y1330),ROUND(Y1330*0.9,2),"")</x:f>
        <x:v>31.5</x:v>
      </x:c>
      <x:c r="AC1330" s="36" t="n">
        <x:f>IF(ISNUMBER(AB1330),ROUND(AB1330-(AB1330*0.015+0.2)-V1330,2),"")</x:f>
        <x:v>6.84</x:v>
      </x:c>
      <x:c r="AD1330" s="36" t="n">
        <x:f>IF(ISNUMBER(Y1330),ROUND(Y1330*0.8,2),"")</x:f>
        <x:v>28</x:v>
      </x:c>
      <x:c r="AE1330" s="36" t="n">
        <x:f>IF(ISNUMBER(AD1330),ROUND(AD1330*0.015+0.2,2),"")</x:f>
        <x:v>0.62</x:v>
      </x:c>
      <x:c r="AF1330" s="36" t="n">
        <x:f>IF(ISNUMBER(AD1330),ROUND(AD1330-AE1330-V1330,2),"")</x:f>
        <x:v>3.39</x:v>
      </x:c>
      <x:c r="AG1330" t="str">
        <x:f>IF(NOT(ISNUMBER(T1330)),"PENDING",IF(AF1330&gt;0,"PASS","FAIL"))</x:f>
        <x:v>PASS</x:v>
      </x:c>
      <x:c r="AH1330" t="str">
        <x:f>IF(NOT(ISNUMBER(T1330)),"Needs supplier cost",IF(K1330&lt;&gt;"In stock","Supplier unavailable",IF(AG1330&lt;&gt;"PASS","BLOCK - GT loss risk","Commercially protected")))</x:f>
        <x:v>Supplier unavailable</x:v>
      </x:c>
      <x:c r="AI1330" t="str">
        <x:v>2026-09-10 Active Sports trade capture</x:v>
      </x:c>
      <x:c r="AJ1330" t="str">
        <x:v>Management-only economics. Stripe stress test uses 1.5% + £0.20 standard UK online-card fee; pallet/mix-and-match pricing ignored.</x:v>
      </x:c>
    </x:row>
    <x:row r="1331">
      <x:c r="A1331" t="str">
        <x:v>Active Sports Nutrition</x:v>
      </x:c>
      <x:c r="B1331" t="str">
        <x:v>InnovaPharm</x:v>
      </x:c>
      <x:c r="C1331" t="str">
        <x:v>Recover EAA</x:v>
      </x:c>
      <x:c r="D1331" t="str">
        <x:v>Supplements</x:v>
      </x:c>
      <x:c r="E1331" t="str">
        <x:v>Amino Acids</x:v>
      </x:c>
      <x:c r="F1331" t="str">
        <x:v>Essential amino acid formula.</x:v>
      </x:c>
      <x:c r="G1331" t="str">
        <x:v>555g</x:v>
      </x:c>
      <x:c r="H1331" t="str">
        <x:v>Lemon Iced Tea</x:v>
      </x:c>
      <x:c r="I1331" t="str"/>
      <x:c r="J1331" t="str">
        <x:v>Unit</x:v>
      </x:c>
      <x:c r="K1331" t="str">
        <x:v>Out of stock</x:v>
      </x:c>
      <x:c r="L1331" t="str">
        <x:v>2026-09-08</x:v>
      </x:c>
      <x:c r="M1331" t="str"/>
      <x:c r="N1331" t="str"/>
      <x:c r="O1331" t="str">
        <x:v>https://www.activesportstrade.co.uk/BCAAS/innovapharm-trade</x:v>
      </x:c>
      <x:c r="P1331" t="str">
        <x:v>SPECIAL OFFER wording removed.</x:v>
      </x:c>
      <x:c r="Q1331" t="str"/>
      <x:c r="R1331" t="str"/>
      <x:c r="S1331" t="str">
        <x:v>Pending genuine supplier/brand image</x:v>
      </x:c>
      <x:c r="T1331" s="54" t="n">
        <x:v>19.99</x:v>
      </x:c>
      <x:c r="U1331" s="47" t="n">
        <x:v>0.2</x:v>
      </x:c>
      <x:c r="V1331" s="54" t="n">
        <x:f>IF(ISNUMBER(T1331),T1331*(1+U1331),"")</x:f>
        <x:v>23.987999999999996</x:v>
      </x:c>
      <x:c r="W1331" s="47" t="n">
        <x:v>0.3</x:v>
      </x:c>
      <x:c r="X1331" s="54" t="n">
        <x:f>IF(ISNUMBER(V1331),V1331/(1-W1331),"")</x:f>
        <x:v>34.26857142857143</x:v>
      </x:c>
      <x:c r="Y1331" s="55" t="n">
        <x:f>IF(ISNUMBER(X1331),ROUNDUP(X1331,0),"")</x:f>
        <x:v>35</x:v>
      </x:c>
      <x:c r="Z1331" t="str">
        <x:v>Source match pending</x:v>
      </x:c>
      <x:c r="AA1331" t="str">
        <x:v>screencapture-www-activesportstrade-co-uk-innovapharm-trade-2026-09-09-18_32_19.png / page-001</x:v>
      </x:c>
      <x:c r="AB1331" s="36" t="n">
        <x:f>IF(ISNUMBER(Y1331),ROUND(Y1331*0.9,2),"")</x:f>
        <x:v>31.5</x:v>
      </x:c>
      <x:c r="AC1331" s="36" t="n">
        <x:f>IF(ISNUMBER(AB1331),ROUND(AB1331-(AB1331*0.015+0.2)-V1331,2),"")</x:f>
        <x:v>6.84</x:v>
      </x:c>
      <x:c r="AD1331" s="36" t="n">
        <x:f>IF(ISNUMBER(Y1331),ROUND(Y1331*0.8,2),"")</x:f>
        <x:v>28</x:v>
      </x:c>
      <x:c r="AE1331" s="36" t="n">
        <x:f>IF(ISNUMBER(AD1331),ROUND(AD1331*0.015+0.2,2),"")</x:f>
        <x:v>0.62</x:v>
      </x:c>
      <x:c r="AF1331" s="36" t="n">
        <x:f>IF(ISNUMBER(AD1331),ROUND(AD1331-AE1331-V1331,2),"")</x:f>
        <x:v>3.39</x:v>
      </x:c>
      <x:c r="AG1331" t="str">
        <x:f>IF(NOT(ISNUMBER(T1331)),"PENDING",IF(AF1331&gt;0,"PASS","FAIL"))</x:f>
        <x:v>PASS</x:v>
      </x:c>
      <x:c r="AH1331" t="str">
        <x:f>IF(NOT(ISNUMBER(T1331)),"Needs supplier cost",IF(K1331&lt;&gt;"In stock","Supplier unavailable",IF(AG1331&lt;&gt;"PASS","BLOCK - GT loss risk","Commercially protected")))</x:f>
        <x:v>Supplier unavailable</x:v>
      </x:c>
      <x:c r="AI1331" t="str">
        <x:v>2026-09-10 Active Sports trade capture</x:v>
      </x:c>
      <x:c r="AJ1331" t="str">
        <x:v>Management-only economics. Stripe stress test uses 1.5% + £0.20 standard UK online-card fee; pallet/mix-and-match pricing ignored.</x:v>
      </x:c>
    </x:row>
    <x:row r="1332">
      <x:c r="A1332" t="str">
        <x:v>Active Sports Nutrition</x:v>
      </x:c>
      <x:c r="B1332" t="str">
        <x:v>InnovaPharm</x:v>
      </x:c>
      <x:c r="C1332" t="str">
        <x:v>Recover EAA</x:v>
      </x:c>
      <x:c r="D1332" t="str">
        <x:v>Supplements</x:v>
      </x:c>
      <x:c r="E1332" t="str">
        <x:v>Amino Acids</x:v>
      </x:c>
      <x:c r="F1332" t="str">
        <x:v>Essential amino acid formula.</x:v>
      </x:c>
      <x:c r="G1332" t="str">
        <x:v>555g</x:v>
      </x:c>
      <x:c r="H1332" t="str">
        <x:v>Lemon Lime Slushy</x:v>
      </x:c>
      <x:c r="I1332" t="str"/>
      <x:c r="J1332" t="str">
        <x:v>Unit</x:v>
      </x:c>
      <x:c r="K1332" t="str">
        <x:v>Out of stock</x:v>
      </x:c>
      <x:c r="L1332" t="str">
        <x:v>2026-09-08</x:v>
      </x:c>
      <x:c r="M1332" t="str"/>
      <x:c r="N1332" t="str"/>
      <x:c r="O1332" t="str">
        <x:v>https://www.activesportstrade.co.uk/BCAAS/innovapharm-trade</x:v>
      </x:c>
      <x:c r="P1332" t="str">
        <x:v>SPECIAL OFFER wording removed.</x:v>
      </x:c>
      <x:c r="Q1332" t="str"/>
      <x:c r="R1332" t="str"/>
      <x:c r="S1332" t="str">
        <x:v>Pending genuine supplier/brand image</x:v>
      </x:c>
      <x:c r="T1332" s="54" t="n">
        <x:v>19.99</x:v>
      </x:c>
      <x:c r="U1332" s="47" t="n">
        <x:v>0.2</x:v>
      </x:c>
      <x:c r="V1332" s="54" t="n">
        <x:f>IF(ISNUMBER(T1332),T1332*(1+U1332),"")</x:f>
        <x:v>23.987999999999996</x:v>
      </x:c>
      <x:c r="W1332" s="47" t="n">
        <x:v>0.3</x:v>
      </x:c>
      <x:c r="X1332" s="54" t="n">
        <x:f>IF(ISNUMBER(V1332),V1332/(1-W1332),"")</x:f>
        <x:v>34.26857142857143</x:v>
      </x:c>
      <x:c r="Y1332" s="55" t="n">
        <x:f>IF(ISNUMBER(X1332),ROUNDUP(X1332,0),"")</x:f>
        <x:v>35</x:v>
      </x:c>
      <x:c r="Z1332" t="str">
        <x:v>Source match pending</x:v>
      </x:c>
      <x:c r="AA1332" t="str">
        <x:v>screencapture-www-activesportstrade-co-uk-innovapharm-trade-2026-09-09-18_32_19.png / page-001</x:v>
      </x:c>
      <x:c r="AB1332" s="36" t="n">
        <x:f>IF(ISNUMBER(Y1332),ROUND(Y1332*0.9,2),"")</x:f>
        <x:v>31.5</x:v>
      </x:c>
      <x:c r="AC1332" s="36" t="n">
        <x:f>IF(ISNUMBER(AB1332),ROUND(AB1332-(AB1332*0.015+0.2)-V1332,2),"")</x:f>
        <x:v>6.84</x:v>
      </x:c>
      <x:c r="AD1332" s="36" t="n">
        <x:f>IF(ISNUMBER(Y1332),ROUND(Y1332*0.8,2),"")</x:f>
        <x:v>28</x:v>
      </x:c>
      <x:c r="AE1332" s="36" t="n">
        <x:f>IF(ISNUMBER(AD1332),ROUND(AD1332*0.015+0.2,2),"")</x:f>
        <x:v>0.62</x:v>
      </x:c>
      <x:c r="AF1332" s="36" t="n">
        <x:f>IF(ISNUMBER(AD1332),ROUND(AD1332-AE1332-V1332,2),"")</x:f>
        <x:v>3.39</x:v>
      </x:c>
      <x:c r="AG1332" t="str">
        <x:f>IF(NOT(ISNUMBER(T1332)),"PENDING",IF(AF1332&gt;0,"PASS","FAIL"))</x:f>
        <x:v>PASS</x:v>
      </x:c>
      <x:c r="AH1332" t="str">
        <x:f>IF(NOT(ISNUMBER(T1332)),"Needs supplier cost",IF(K1332&lt;&gt;"In stock","Supplier unavailable",IF(AG1332&lt;&gt;"PASS","BLOCK - GT loss risk","Commercially protected")))</x:f>
        <x:v>Supplier unavailable</x:v>
      </x:c>
      <x:c r="AI1332" t="str">
        <x:v>2026-09-10 Active Sports trade capture</x:v>
      </x:c>
      <x:c r="AJ1332" t="str">
        <x:v>Management-only economics. Stripe stress test uses 1.5% + £0.20 standard UK online-card fee; pallet/mix-and-match pricing ignored.</x:v>
      </x:c>
    </x:row>
    <x:row r="1333">
      <x:c r="A1333" t="str">
        <x:v>Active Sports Nutrition</x:v>
      </x:c>
      <x:c r="B1333" t="str">
        <x:v>InnovaPharm</x:v>
      </x:c>
      <x:c r="C1333" t="str">
        <x:v>Recover EAA</x:v>
      </x:c>
      <x:c r="D1333" t="str">
        <x:v>Supplements</x:v>
      </x:c>
      <x:c r="E1333" t="str">
        <x:v>Amino Acids</x:v>
      </x:c>
      <x:c r="F1333" t="str">
        <x:v>Essential amino acid formula.</x:v>
      </x:c>
      <x:c r="G1333" t="str">
        <x:v>555g</x:v>
      </x:c>
      <x:c r="H1333" t="str">
        <x:v>OMG</x:v>
      </x:c>
      <x:c r="I1333" t="str"/>
      <x:c r="J1333" t="str">
        <x:v>Unit</x:v>
      </x:c>
      <x:c r="K1333" t="str">
        <x:v>Out of stock</x:v>
      </x:c>
      <x:c r="L1333" t="str">
        <x:v>2026-09-08</x:v>
      </x:c>
      <x:c r="M1333" t="str"/>
      <x:c r="N1333" t="str"/>
      <x:c r="O1333" t="str">
        <x:v>https://www.activesportstrade.co.uk/BCAAS/innovapharm-trade</x:v>
      </x:c>
      <x:c r="P1333" t="str">
        <x:v>SPECIAL OFFER wording removed.</x:v>
      </x:c>
      <x:c r="Q1333" t="str"/>
      <x:c r="R1333" t="str"/>
      <x:c r="S1333" t="str">
        <x:v>Pending genuine supplier/brand image</x:v>
      </x:c>
      <x:c r="T1333" s="54" t="n">
        <x:v>19.99</x:v>
      </x:c>
      <x:c r="U1333" s="47" t="n">
        <x:v>0.2</x:v>
      </x:c>
      <x:c r="V1333" s="54" t="n">
        <x:f>IF(ISNUMBER(T1333),T1333*(1+U1333),"")</x:f>
        <x:v>23.987999999999996</x:v>
      </x:c>
      <x:c r="W1333" s="47" t="n">
        <x:v>0.3</x:v>
      </x:c>
      <x:c r="X1333" s="54" t="n">
        <x:f>IF(ISNUMBER(V1333),V1333/(1-W1333),"")</x:f>
        <x:v>34.26857142857143</x:v>
      </x:c>
      <x:c r="Y1333" s="55" t="n">
        <x:f>IF(ISNUMBER(X1333),ROUNDUP(X1333,0),"")</x:f>
        <x:v>35</x:v>
      </x:c>
      <x:c r="Z1333" t="str">
        <x:v>Source match pending</x:v>
      </x:c>
      <x:c r="AA1333" t="str">
        <x:v>screencapture-www-activesportstrade-co-uk-innovapharm-trade-2026-09-09-18_32_19.png / page-001</x:v>
      </x:c>
      <x:c r="AB1333" s="36" t="n">
        <x:f>IF(ISNUMBER(Y1333),ROUND(Y1333*0.9,2),"")</x:f>
        <x:v>31.5</x:v>
      </x:c>
      <x:c r="AC1333" s="36" t="n">
        <x:f>IF(ISNUMBER(AB1333),ROUND(AB1333-(AB1333*0.015+0.2)-V1333,2),"")</x:f>
        <x:v>6.84</x:v>
      </x:c>
      <x:c r="AD1333" s="36" t="n">
        <x:f>IF(ISNUMBER(Y1333),ROUND(Y1333*0.8,2),"")</x:f>
        <x:v>28</x:v>
      </x:c>
      <x:c r="AE1333" s="36" t="n">
        <x:f>IF(ISNUMBER(AD1333),ROUND(AD1333*0.015+0.2,2),"")</x:f>
        <x:v>0.62</x:v>
      </x:c>
      <x:c r="AF1333" s="36" t="n">
        <x:f>IF(ISNUMBER(AD1333),ROUND(AD1333-AE1333-V1333,2),"")</x:f>
        <x:v>3.39</x:v>
      </x:c>
      <x:c r="AG1333" t="str">
        <x:f>IF(NOT(ISNUMBER(T1333)),"PENDING",IF(AF1333&gt;0,"PASS","FAIL"))</x:f>
        <x:v>PASS</x:v>
      </x:c>
      <x:c r="AH1333" t="str">
        <x:f>IF(NOT(ISNUMBER(T1333)),"Needs supplier cost",IF(K1333&lt;&gt;"In stock","Supplier unavailable",IF(AG1333&lt;&gt;"PASS","BLOCK - GT loss risk","Commercially protected")))</x:f>
        <x:v>Supplier unavailable</x:v>
      </x:c>
      <x:c r="AI1333" t="str">
        <x:v>2026-09-10 Active Sports trade capture</x:v>
      </x:c>
      <x:c r="AJ1333" t="str">
        <x:v>Management-only economics. Stripe stress test uses 1.5% + £0.20 standard UK online-card fee; pallet/mix-and-match pricing ignored.</x:v>
      </x:c>
    </x:row>
    <x:row r="1334">
      <x:c r="A1334" t="str">
        <x:v>Active Sports Nutrition</x:v>
      </x:c>
      <x:c r="B1334" t="str">
        <x:v>InnovaPharm</x:v>
      </x:c>
      <x:c r="C1334" t="str">
        <x:v>Recover EAA</x:v>
      </x:c>
      <x:c r="D1334" t="str">
        <x:v>Supplements</x:v>
      </x:c>
      <x:c r="E1334" t="str">
        <x:v>Amino Acids</x:v>
      </x:c>
      <x:c r="F1334" t="str">
        <x:v>Essential amino acid formula.</x:v>
      </x:c>
      <x:c r="G1334" t="str">
        <x:v>555g</x:v>
      </x:c>
      <x:c r="H1334" t="str">
        <x:v>Pink Lemonade</x:v>
      </x:c>
      <x:c r="I1334" t="str"/>
      <x:c r="J1334" t="str">
        <x:v>Unit</x:v>
      </x:c>
      <x:c r="K1334" t="str">
        <x:v>Out of stock</x:v>
      </x:c>
      <x:c r="L1334" t="str">
        <x:v>2026-09-08</x:v>
      </x:c>
      <x:c r="M1334" t="str"/>
      <x:c r="N1334" t="str"/>
      <x:c r="O1334" t="str">
        <x:v>https://www.activesportstrade.co.uk/BCAAS/innovapharm-trade</x:v>
      </x:c>
      <x:c r="P1334" t="str">
        <x:v>SPECIAL OFFER wording removed.</x:v>
      </x:c>
      <x:c r="Q1334" t="str"/>
      <x:c r="R1334" t="str"/>
      <x:c r="S1334" t="str">
        <x:v>Pending genuine supplier/brand image</x:v>
      </x:c>
      <x:c r="T1334" s="54" t="n">
        <x:v>19.99</x:v>
      </x:c>
      <x:c r="U1334" s="47" t="n">
        <x:v>0.2</x:v>
      </x:c>
      <x:c r="V1334" s="54" t="n">
        <x:f>IF(ISNUMBER(T1334),T1334*(1+U1334),"")</x:f>
        <x:v>23.987999999999996</x:v>
      </x:c>
      <x:c r="W1334" s="47" t="n">
        <x:v>0.3</x:v>
      </x:c>
      <x:c r="X1334" s="54" t="n">
        <x:f>IF(ISNUMBER(V1334),V1334/(1-W1334),"")</x:f>
        <x:v>34.26857142857143</x:v>
      </x:c>
      <x:c r="Y1334" s="55" t="n">
        <x:f>IF(ISNUMBER(X1334),ROUNDUP(X1334,0),"")</x:f>
        <x:v>35</x:v>
      </x:c>
      <x:c r="Z1334" t="str">
        <x:v>Source match pending</x:v>
      </x:c>
      <x:c r="AA1334" t="str">
        <x:v>screencapture-www-activesportstrade-co-uk-innovapharm-trade-2026-09-09-18_32_19.png / page-001</x:v>
      </x:c>
      <x:c r="AB1334" s="36" t="n">
        <x:f>IF(ISNUMBER(Y1334),ROUND(Y1334*0.9,2),"")</x:f>
        <x:v>31.5</x:v>
      </x:c>
      <x:c r="AC1334" s="36" t="n">
        <x:f>IF(ISNUMBER(AB1334),ROUND(AB1334-(AB1334*0.015+0.2)-V1334,2),"")</x:f>
        <x:v>6.84</x:v>
      </x:c>
      <x:c r="AD1334" s="36" t="n">
        <x:f>IF(ISNUMBER(Y1334),ROUND(Y1334*0.8,2),"")</x:f>
        <x:v>28</x:v>
      </x:c>
      <x:c r="AE1334" s="36" t="n">
        <x:f>IF(ISNUMBER(AD1334),ROUND(AD1334*0.015+0.2,2),"")</x:f>
        <x:v>0.62</x:v>
      </x:c>
      <x:c r="AF1334" s="36" t="n">
        <x:f>IF(ISNUMBER(AD1334),ROUND(AD1334-AE1334-V1334,2),"")</x:f>
        <x:v>3.39</x:v>
      </x:c>
      <x:c r="AG1334" t="str">
        <x:f>IF(NOT(ISNUMBER(T1334)),"PENDING",IF(AF1334&gt;0,"PASS","FAIL"))</x:f>
        <x:v>PASS</x:v>
      </x:c>
      <x:c r="AH1334" t="str">
        <x:f>IF(NOT(ISNUMBER(T1334)),"Needs supplier cost",IF(K1334&lt;&gt;"In stock","Supplier unavailable",IF(AG1334&lt;&gt;"PASS","BLOCK - GT loss risk","Commercially protected")))</x:f>
        <x:v>Supplier unavailable</x:v>
      </x:c>
      <x:c r="AI1334" t="str">
        <x:v>2026-09-10 Active Sports trade capture</x:v>
      </x:c>
      <x:c r="AJ1334" t="str">
        <x:v>Management-only economics. Stripe stress test uses 1.5% + £0.20 standard UK online-card fee; pallet/mix-and-match pricing ignored.</x:v>
      </x:c>
    </x:row>
    <x:row r="1335">
      <x:c r="A1335" t="str">
        <x:v>Active Sports Nutrition</x:v>
      </x:c>
      <x:c r="B1335" t="str">
        <x:v>InnovaPharm</x:v>
      </x:c>
      <x:c r="C1335" t="str">
        <x:v>Recover EAA</x:v>
      </x:c>
      <x:c r="D1335" t="str">
        <x:v>Supplements</x:v>
      </x:c>
      <x:c r="E1335" t="str">
        <x:v>Amino Acids</x:v>
      </x:c>
      <x:c r="F1335" t="str">
        <x:v>Essential amino acid formula.</x:v>
      </x:c>
      <x:c r="G1335" t="str">
        <x:v>555g</x:v>
      </x:c>
      <x:c r="H1335" t="str">
        <x:v>Snowcone</x:v>
      </x:c>
      <x:c r="I1335" t="str"/>
      <x:c r="J1335" t="str">
        <x:v>Unit</x:v>
      </x:c>
      <x:c r="K1335" t="str">
        <x:v>In stock</x:v>
      </x:c>
      <x:c r="L1335" t="str">
        <x:v>2026-09-08</x:v>
      </x:c>
      <x:c r="M1335" t="str"/>
      <x:c r="N1335" t="str"/>
      <x:c r="O1335" t="str">
        <x:v>https://www.activesportstrade.co.uk/BCAAS/innovapharm-trade</x:v>
      </x:c>
      <x:c r="P1335" t="str">
        <x:v>SPECIAL OFFER wording removed.</x:v>
      </x:c>
      <x:c r="Q1335" t="str"/>
      <x:c r="R1335" t="str"/>
      <x:c r="S1335" t="str">
        <x:v>Pending genuine supplier/brand image</x:v>
      </x:c>
      <x:c r="T1335" s="54" t="n">
        <x:v>19.99</x:v>
      </x:c>
      <x:c r="U1335" s="47" t="n">
        <x:v>0.2</x:v>
      </x:c>
      <x:c r="V1335" s="54" t="n">
        <x:f>IF(ISNUMBER(T1335),T1335*(1+U1335),"")</x:f>
        <x:v>23.987999999999996</x:v>
      </x:c>
      <x:c r="W1335" s="47" t="n">
        <x:v>0.3</x:v>
      </x:c>
      <x:c r="X1335" s="54" t="n">
        <x:f>IF(ISNUMBER(V1335),V1335/(1-W1335),"")</x:f>
        <x:v>34.26857142857143</x:v>
      </x:c>
      <x:c r="Y1335" s="55" t="n">
        <x:f>IF(ISNUMBER(X1335),ROUNDUP(X1335,0),"")</x:f>
        <x:v>35</x:v>
      </x:c>
      <x:c r="Z1335" t="str">
        <x:v>Source match pending</x:v>
      </x:c>
      <x:c r="AA1335" t="str">
        <x:v>screencapture-www-activesportstrade-co-uk-innovapharm-trade-2026-09-09-18_32_19.png / page-001</x:v>
      </x:c>
      <x:c r="AB1335" s="36" t="n">
        <x:f>IF(ISNUMBER(Y1335),ROUND(Y1335*0.9,2),"")</x:f>
        <x:v>31.5</x:v>
      </x:c>
      <x:c r="AC1335" s="36" t="n">
        <x:f>IF(ISNUMBER(AB1335),ROUND(AB1335-(AB1335*0.015+0.2)-V1335,2),"")</x:f>
        <x:v>6.84</x:v>
      </x:c>
      <x:c r="AD1335" s="36" t="n">
        <x:f>IF(ISNUMBER(Y1335),ROUND(Y1335*0.8,2),"")</x:f>
        <x:v>28</x:v>
      </x:c>
      <x:c r="AE1335" s="36" t="n">
        <x:f>IF(ISNUMBER(AD1335),ROUND(AD1335*0.015+0.2,2),"")</x:f>
        <x:v>0.62</x:v>
      </x:c>
      <x:c r="AF1335" s="36" t="n">
        <x:f>IF(ISNUMBER(AD1335),ROUND(AD1335-AE1335-V1335,2),"")</x:f>
        <x:v>3.39</x:v>
      </x:c>
      <x:c r="AG1335" t="str">
        <x:f>IF(NOT(ISNUMBER(T1335)),"PENDING",IF(AF1335&gt;0,"PASS","FAIL"))</x:f>
        <x:v>PASS</x:v>
      </x:c>
      <x:c r="AH1335" t="str">
        <x:f>IF(NOT(ISNUMBER(T1335)),"Needs supplier cost",IF(K1335&lt;&gt;"In stock","Supplier unavailable",IF(AG1335&lt;&gt;"PASS","BLOCK - GT loss risk","Commercially protected")))</x:f>
        <x:v>Commercially protected</x:v>
      </x:c>
      <x:c r="AI1335" t="str">
        <x:v>2026-09-10 Active Sports trade capture</x:v>
      </x:c>
      <x:c r="AJ1335" t="str">
        <x:v>Management-only economics. Stripe stress test uses 1.5% + £0.20 standard UK online-card fee; pallet/mix-and-match pricing ignored.</x:v>
      </x:c>
    </x:row>
    <x:row r="1336">
      <x:c r="A1336" t="str">
        <x:v>Active Sports Nutrition</x:v>
      </x:c>
      <x:c r="B1336" t="str">
        <x:v>InnovaPharm</x:v>
      </x:c>
      <x:c r="C1336" t="str">
        <x:v>Recover EAA</x:v>
      </x:c>
      <x:c r="D1336" t="str">
        <x:v>Supplements</x:v>
      </x:c>
      <x:c r="E1336" t="str">
        <x:v>Amino Acids</x:v>
      </x:c>
      <x:c r="F1336" t="str">
        <x:v>Essential amino acid formula.</x:v>
      </x:c>
      <x:c r="G1336" t="str">
        <x:v>555g</x:v>
      </x:c>
      <x:c r="H1336" t="str">
        <x:v>Watermelon Gummy Candy</x:v>
      </x:c>
      <x:c r="I1336" t="str"/>
      <x:c r="J1336" t="str">
        <x:v>Unit</x:v>
      </x:c>
      <x:c r="K1336" t="str">
        <x:v>In stock</x:v>
      </x:c>
      <x:c r="L1336" t="str">
        <x:v>2026-09-08</x:v>
      </x:c>
      <x:c r="M1336" t="str"/>
      <x:c r="N1336" t="str"/>
      <x:c r="O1336" t="str">
        <x:v>https://www.activesportstrade.co.uk/BCAAS/innovapharm-trade</x:v>
      </x:c>
      <x:c r="P1336" t="str">
        <x:v>SPECIAL OFFER wording removed.</x:v>
      </x:c>
      <x:c r="Q1336" t="str"/>
      <x:c r="R1336" t="str"/>
      <x:c r="S1336" t="str">
        <x:v>Pending genuine supplier/brand image</x:v>
      </x:c>
      <x:c r="T1336" s="54" t="n">
        <x:v>19.99</x:v>
      </x:c>
      <x:c r="U1336" s="47" t="n">
        <x:v>0.2</x:v>
      </x:c>
      <x:c r="V1336" s="54" t="n">
        <x:f>IF(ISNUMBER(T1336),T1336*(1+U1336),"")</x:f>
        <x:v>23.987999999999996</x:v>
      </x:c>
      <x:c r="W1336" s="47" t="n">
        <x:v>0.3</x:v>
      </x:c>
      <x:c r="X1336" s="54" t="n">
        <x:f>IF(ISNUMBER(V1336),V1336/(1-W1336),"")</x:f>
        <x:v>34.26857142857143</x:v>
      </x:c>
      <x:c r="Y1336" s="55" t="n">
        <x:f>IF(ISNUMBER(X1336),ROUNDUP(X1336,0),"")</x:f>
        <x:v>35</x:v>
      </x:c>
      <x:c r="Z1336" t="str">
        <x:v>Source match pending</x:v>
      </x:c>
      <x:c r="AA1336" t="str">
        <x:v>screencapture-www-activesportstrade-co-uk-innovapharm-trade-2026-09-09-18_32_19.png / page-001</x:v>
      </x:c>
      <x:c r="AB1336" s="36" t="n">
        <x:f>IF(ISNUMBER(Y1336),ROUND(Y1336*0.9,2),"")</x:f>
        <x:v>31.5</x:v>
      </x:c>
      <x:c r="AC1336" s="36" t="n">
        <x:f>IF(ISNUMBER(AB1336),ROUND(AB1336-(AB1336*0.015+0.2)-V1336,2),"")</x:f>
        <x:v>6.84</x:v>
      </x:c>
      <x:c r="AD1336" s="36" t="n">
        <x:f>IF(ISNUMBER(Y1336),ROUND(Y1336*0.8,2),"")</x:f>
        <x:v>28</x:v>
      </x:c>
      <x:c r="AE1336" s="36" t="n">
        <x:f>IF(ISNUMBER(AD1336),ROUND(AD1336*0.015+0.2,2),"")</x:f>
        <x:v>0.62</x:v>
      </x:c>
      <x:c r="AF1336" s="36" t="n">
        <x:f>IF(ISNUMBER(AD1336),ROUND(AD1336-AE1336-V1336,2),"")</x:f>
        <x:v>3.39</x:v>
      </x:c>
      <x:c r="AG1336" t="str">
        <x:f>IF(NOT(ISNUMBER(T1336)),"PENDING",IF(AF1336&gt;0,"PASS","FAIL"))</x:f>
        <x:v>PASS</x:v>
      </x:c>
      <x:c r="AH1336" t="str">
        <x:f>IF(NOT(ISNUMBER(T1336)),"Needs supplier cost",IF(K1336&lt;&gt;"In stock","Supplier unavailable",IF(AG1336&lt;&gt;"PASS","BLOCK - GT loss risk","Commercially protected")))</x:f>
        <x:v>Commercially protected</x:v>
      </x:c>
      <x:c r="AI1336" t="str">
        <x:v>2026-09-10 Active Sports trade capture</x:v>
      </x:c>
      <x:c r="AJ1336" t="str">
        <x:v>Management-only economics. Stripe stress test uses 1.5% + £0.20 standard UK online-card fee; pallet/mix-and-match pricing ignored.</x:v>
      </x:c>
    </x:row>
    <x:row r="1337">
      <x:c r="A1337" t="str">
        <x:v>Active Sports Nutrition</x:v>
      </x:c>
      <x:c r="B1337" t="str">
        <x:v>Lenny and Larrys</x:v>
      </x:c>
      <x:c r="C1337" t="str">
        <x:v>Complete Cookie</x:v>
      </x:c>
      <x:c r="D1337" t="str">
        <x:v>Drinks and Bars</x:v>
      </x:c>
      <x:c r="E1337" t="str">
        <x:v>Bars and Snacks</x:v>
      </x:c>
      <x:c r="F1337" t="str">
        <x:v>Protein cookie.</x:v>
      </x:c>
      <x:c r="G1337" t="str">
        <x:v>12 cookies</x:v>
      </x:c>
      <x:c r="H1337" t="str">
        <x:v>Chocolate Chip</x:v>
      </x:c>
      <x:c r="I1337" t="str">
        <x:v>12</x:v>
      </x:c>
      <x:c r="J1337" t="str">
        <x:v>Case</x:v>
      </x:c>
      <x:c r="K1337" t="str">
        <x:v>Unknown</x:v>
      </x:c>
      <x:c r="L1337" t="str">
        <x:v>2026-09-08</x:v>
      </x:c>
      <x:c r="M1337" t="str"/>
      <x:c r="N1337" t="str"/>
      <x:c r="O1337" t="str">
        <x:v>https://www.activesportstrade.co.uk/trade-convienience</x:v>
      </x:c>
      <x:c r="P1337" t="str">
        <x:v>Current catalogue confirms Lenny &amp; Larry's convenience presence; exact flavour availability not reliably exposed in fresh crawl, so retained as Unknown pending reconciliation.</x:v>
      </x:c>
      <x:c r="Q1337" t="str"/>
      <x:c r="R1337" t="str"/>
      <x:c r="S1337" t="str">
        <x:v>Pending genuine supplier/brand image</x:v>
      </x:c>
      <x:c r="T1337" s="54" t="n">
        <x:v>16.69</x:v>
      </x:c>
      <x:c r="U1337" s="47" t="n">
        <x:v>0.2</x:v>
      </x:c>
      <x:c r="V1337" s="54" t="n">
        <x:f>IF(ISNUMBER(T1337),T1337*(1+U1337),"")</x:f>
        <x:v>20.028000000000002</x:v>
      </x:c>
      <x:c r="W1337" s="47" t="n">
        <x:v>0.3</x:v>
      </x:c>
      <x:c r="X1337" s="54" t="n">
        <x:f>IF(ISNUMBER(V1337),V1337/(1-W1337),"")</x:f>
        <x:v>28.611428571428576</x:v>
      </x:c>
      <x:c r="Y1337" s="55" t="n">
        <x:f>IF(ISNUMBER(X1337),ROUNDUP(X1337,0),"")</x:f>
        <x:v>29</x:v>
      </x:c>
      <x:c r="Z1337" t="str">
        <x:v>Source match pending</x:v>
      </x:c>
      <x:c r="AA1337" t="str">
        <x:v>screencapture-www-activesportstrade-co-uk-lenny-and-larrys-2026-09-09-18_37_52.png / page-001</x:v>
      </x:c>
      <x:c r="AB1337" s="36" t="n">
        <x:f>IF(ISNUMBER(Y1337),ROUND(Y1337*0.9,2),"")</x:f>
        <x:v>26.1</x:v>
      </x:c>
      <x:c r="AC1337" s="36" t="n">
        <x:f>IF(ISNUMBER(AB1337),ROUND(AB1337-(AB1337*0.015+0.2)-V1337,2),"")</x:f>
        <x:v>5.48</x:v>
      </x:c>
      <x:c r="AD1337" s="36" t="n">
        <x:f>IF(ISNUMBER(Y1337),ROUND(Y1337*0.8,2),"")</x:f>
        <x:v>23.2</x:v>
      </x:c>
      <x:c r="AE1337" s="36" t="n">
        <x:f>IF(ISNUMBER(AD1337),ROUND(AD1337*0.015+0.2,2),"")</x:f>
        <x:v>0.55</x:v>
      </x:c>
      <x:c r="AF1337" s="36" t="n">
        <x:f>IF(ISNUMBER(AD1337),ROUND(AD1337-AE1337-V1337,2),"")</x:f>
        <x:v>2.62</x:v>
      </x:c>
      <x:c r="AG1337" t="str">
        <x:f>IF(NOT(ISNUMBER(T1337)),"PENDING",IF(AF1337&gt;0,"PASS","FAIL"))</x:f>
        <x:v>PASS</x:v>
      </x:c>
      <x:c r="AH1337" t="str">
        <x:f>IF(NOT(ISNUMBER(T1337)),"Needs supplier cost",IF(K1337&lt;&gt;"In stock","Supplier unavailable",IF(AG1337&lt;&gt;"PASS","BLOCK - GT loss risk","Commercially protected")))</x:f>
        <x:v>Supplier unavailable</x:v>
      </x:c>
      <x:c r="AI1337" t="str">
        <x:v>2026-09-10 Active Sports trade capture</x:v>
      </x:c>
      <x:c r="AJ1337" t="str">
        <x:v>Management-only economics. Stripe stress test uses 1.5% + £0.20 standard UK online-card fee; pallet/mix-and-match pricing ignored.</x:v>
      </x:c>
    </x:row>
    <x:row r="1338">
      <x:c r="A1338" t="str">
        <x:v>Active Sports Nutrition</x:v>
      </x:c>
      <x:c r="B1338" t="str">
        <x:v>Lenny and Larrys</x:v>
      </x:c>
      <x:c r="C1338" t="str">
        <x:v>Complete Cookie</x:v>
      </x:c>
      <x:c r="D1338" t="str">
        <x:v>Drinks and Bars</x:v>
      </x:c>
      <x:c r="E1338" t="str">
        <x:v>Bars and Snacks</x:v>
      </x:c>
      <x:c r="F1338" t="str">
        <x:v>Protein cookie.</x:v>
      </x:c>
      <x:c r="G1338" t="str">
        <x:v>12 cookies</x:v>
      </x:c>
      <x:c r="H1338" t="str">
        <x:v>Double Chocolate</x:v>
      </x:c>
      <x:c r="I1338" t="str">
        <x:v>12</x:v>
      </x:c>
      <x:c r="J1338" t="str">
        <x:v>Case</x:v>
      </x:c>
      <x:c r="K1338" t="str">
        <x:v>Unknown</x:v>
      </x:c>
      <x:c r="L1338" t="str">
        <x:v>2026-09-08</x:v>
      </x:c>
      <x:c r="M1338" t="str"/>
      <x:c r="N1338" t="str"/>
      <x:c r="O1338" t="str">
        <x:v>https://www.activesportstrade.co.uk/trade-convienience</x:v>
      </x:c>
      <x:c r="P1338" t="str">
        <x:v>Current catalogue confirms Lenny &amp; Larry's convenience presence; exact flavour availability not reliably exposed in fresh crawl, so retained as Unknown pending reconciliation.</x:v>
      </x:c>
      <x:c r="Q1338" t="str"/>
      <x:c r="R1338" t="str"/>
      <x:c r="S1338" t="str">
        <x:v>Pending genuine supplier/brand image</x:v>
      </x:c>
      <x:c r="T1338" s="54" t="n">
        <x:v>16.69</x:v>
      </x:c>
      <x:c r="U1338" s="47" t="n">
        <x:v>0.2</x:v>
      </x:c>
      <x:c r="V1338" s="54" t="n">
        <x:f>IF(ISNUMBER(T1338),T1338*(1+U1338),"")</x:f>
        <x:v>20.028000000000002</x:v>
      </x:c>
      <x:c r="W1338" s="47" t="n">
        <x:v>0.3</x:v>
      </x:c>
      <x:c r="X1338" s="54" t="n">
        <x:f>IF(ISNUMBER(V1338),V1338/(1-W1338),"")</x:f>
        <x:v>28.611428571428576</x:v>
      </x:c>
      <x:c r="Y1338" s="55" t="n">
        <x:f>IF(ISNUMBER(X1338),ROUNDUP(X1338,0),"")</x:f>
        <x:v>29</x:v>
      </x:c>
      <x:c r="Z1338" t="str">
        <x:v>Source match pending</x:v>
      </x:c>
      <x:c r="AA1338" t="str">
        <x:v>screencapture-www-activesportstrade-co-uk-lenny-and-larrys-2026-09-09-18_37_52.png / page-001</x:v>
      </x:c>
      <x:c r="AB1338" s="36" t="n">
        <x:f>IF(ISNUMBER(Y1338),ROUND(Y1338*0.9,2),"")</x:f>
        <x:v>26.1</x:v>
      </x:c>
      <x:c r="AC1338" s="36" t="n">
        <x:f>IF(ISNUMBER(AB1338),ROUND(AB1338-(AB1338*0.015+0.2)-V1338,2),"")</x:f>
        <x:v>5.48</x:v>
      </x:c>
      <x:c r="AD1338" s="36" t="n">
        <x:f>IF(ISNUMBER(Y1338),ROUND(Y1338*0.8,2),"")</x:f>
        <x:v>23.2</x:v>
      </x:c>
      <x:c r="AE1338" s="36" t="n">
        <x:f>IF(ISNUMBER(AD1338),ROUND(AD1338*0.015+0.2,2),"")</x:f>
        <x:v>0.55</x:v>
      </x:c>
      <x:c r="AF1338" s="36" t="n">
        <x:f>IF(ISNUMBER(AD1338),ROUND(AD1338-AE1338-V1338,2),"")</x:f>
        <x:v>2.62</x:v>
      </x:c>
      <x:c r="AG1338" t="str">
        <x:f>IF(NOT(ISNUMBER(T1338)),"PENDING",IF(AF1338&gt;0,"PASS","FAIL"))</x:f>
        <x:v>PASS</x:v>
      </x:c>
      <x:c r="AH1338" t="str">
        <x:f>IF(NOT(ISNUMBER(T1338)),"Needs supplier cost",IF(K1338&lt;&gt;"In stock","Supplier unavailable",IF(AG1338&lt;&gt;"PASS","BLOCK - GT loss risk","Commercially protected")))</x:f>
        <x:v>Supplier unavailable</x:v>
      </x:c>
      <x:c r="AI1338" t="str">
        <x:v>2026-09-10 Active Sports trade capture</x:v>
      </x:c>
      <x:c r="AJ1338" t="str">
        <x:v>Management-only economics. Stripe stress test uses 1.5% + £0.20 standard UK online-card fee; pallet/mix-and-match pricing ignored.</x:v>
      </x:c>
    </x:row>
    <x:row r="1339">
      <x:c r="A1339" t="str">
        <x:v>Active Sports Nutrition</x:v>
      </x:c>
      <x:c r="B1339" t="str">
        <x:v>Lenny and Larrys</x:v>
      </x:c>
      <x:c r="C1339" t="str">
        <x:v>Complete Cookie</x:v>
      </x:c>
      <x:c r="D1339" t="str">
        <x:v>Drinks and Bars</x:v>
      </x:c>
      <x:c r="E1339" t="str">
        <x:v>Bars and Snacks</x:v>
      </x:c>
      <x:c r="F1339" t="str">
        <x:v>Protein cookie.</x:v>
      </x:c>
      <x:c r="G1339" t="str">
        <x:v>12 cookies</x:v>
      </x:c>
      <x:c r="H1339" t="str">
        <x:v>Snickerdoodle</x:v>
      </x:c>
      <x:c r="I1339" t="str">
        <x:v>12</x:v>
      </x:c>
      <x:c r="J1339" t="str">
        <x:v>Case</x:v>
      </x:c>
      <x:c r="K1339" t="str">
        <x:v>Unknown</x:v>
      </x:c>
      <x:c r="L1339" t="str">
        <x:v>2026-09-08</x:v>
      </x:c>
      <x:c r="M1339" t="str"/>
      <x:c r="N1339" t="str"/>
      <x:c r="O1339" t="str">
        <x:v>https://www.activesportstrade.co.uk/trade-convienience</x:v>
      </x:c>
      <x:c r="P1339" t="str">
        <x:v>Current catalogue confirms Lenny &amp; Larry's convenience presence; exact flavour availability not reliably exposed in fresh crawl, so retained as Unknown pending reconciliation.</x:v>
      </x:c>
      <x:c r="Q1339" t="str"/>
      <x:c r="R1339" t="str"/>
      <x:c r="S1339" t="str">
        <x:v>Pending genuine supplier/brand image</x:v>
      </x:c>
      <x:c r="T1339" s="54" t="n">
        <x:v>16.69</x:v>
      </x:c>
      <x:c r="U1339" s="47" t="n">
        <x:v>0.2</x:v>
      </x:c>
      <x:c r="V1339" s="54" t="n">
        <x:f>IF(ISNUMBER(T1339),T1339*(1+U1339),"")</x:f>
        <x:v>20.028000000000002</x:v>
      </x:c>
      <x:c r="W1339" s="47" t="n">
        <x:v>0.3</x:v>
      </x:c>
      <x:c r="X1339" s="54" t="n">
        <x:f>IF(ISNUMBER(V1339),V1339/(1-W1339),"")</x:f>
        <x:v>28.611428571428576</x:v>
      </x:c>
      <x:c r="Y1339" s="55" t="n">
        <x:f>IF(ISNUMBER(X1339),ROUNDUP(X1339,0),"")</x:f>
        <x:v>29</x:v>
      </x:c>
      <x:c r="Z1339" t="str">
        <x:v>Source match pending</x:v>
      </x:c>
      <x:c r="AA1339" t="str">
        <x:v>screencapture-www-activesportstrade-co-uk-lenny-and-larrys-2026-09-09-18_37_52.png / page-001</x:v>
      </x:c>
      <x:c r="AB1339" s="36" t="n">
        <x:f>IF(ISNUMBER(Y1339),ROUND(Y1339*0.9,2),"")</x:f>
        <x:v>26.1</x:v>
      </x:c>
      <x:c r="AC1339" s="36" t="n">
        <x:f>IF(ISNUMBER(AB1339),ROUND(AB1339-(AB1339*0.015+0.2)-V1339,2),"")</x:f>
        <x:v>5.48</x:v>
      </x:c>
      <x:c r="AD1339" s="36" t="n">
        <x:f>IF(ISNUMBER(Y1339),ROUND(Y1339*0.8,2),"")</x:f>
        <x:v>23.2</x:v>
      </x:c>
      <x:c r="AE1339" s="36" t="n">
        <x:f>IF(ISNUMBER(AD1339),ROUND(AD1339*0.015+0.2,2),"")</x:f>
        <x:v>0.55</x:v>
      </x:c>
      <x:c r="AF1339" s="36" t="n">
        <x:f>IF(ISNUMBER(AD1339),ROUND(AD1339-AE1339-V1339,2),"")</x:f>
        <x:v>2.62</x:v>
      </x:c>
      <x:c r="AG1339" t="str">
        <x:f>IF(NOT(ISNUMBER(T1339)),"PENDING",IF(AF1339&gt;0,"PASS","FAIL"))</x:f>
        <x:v>PASS</x:v>
      </x:c>
      <x:c r="AH1339" t="str">
        <x:f>IF(NOT(ISNUMBER(T1339)),"Needs supplier cost",IF(K1339&lt;&gt;"In stock","Supplier unavailable",IF(AG1339&lt;&gt;"PASS","BLOCK - GT loss risk","Commercially protected")))</x:f>
        <x:v>Supplier unavailable</x:v>
      </x:c>
      <x:c r="AI1339" t="str">
        <x:v>2026-09-10 Active Sports trade capture</x:v>
      </x:c>
      <x:c r="AJ1339" t="str">
        <x:v>Management-only economics. Stripe stress test uses 1.5% + £0.20 standard UK online-card fee; pallet/mix-and-match pricing ignored.</x:v>
      </x:c>
    </x:row>
    <x:row r="1340">
      <x:c r="A1340" t="str">
        <x:v>Active Sports Nutrition</x:v>
      </x:c>
      <x:c r="B1340" t="str">
        <x:v>M&amp;Ms Protein</x:v>
      </x:c>
      <x:c r="C1340" t="str">
        <x:v>Hi Protein Bar</x:v>
      </x:c>
      <x:c r="D1340" t="str">
        <x:v>Drinks and Bars</x:v>
      </x:c>
      <x:c r="E1340" t="str">
        <x:v>Bars and Snacks</x:v>
      </x:c>
      <x:c r="F1340" t="str">
        <x:v>High-protein confectionery bar.</x:v>
      </x:c>
      <x:c r="G1340" t="str">
        <x:v>12 bars</x:v>
      </x:c>
      <x:c r="H1340" t="str">
        <x:v>Chocolate</x:v>
      </x:c>
      <x:c r="I1340" t="str">
        <x:v>12</x:v>
      </x:c>
      <x:c r="J1340" t="str">
        <x:v>Case</x:v>
      </x:c>
      <x:c r="K1340" t="str">
        <x:v>Unknown</x:v>
      </x:c>
      <x:c r="L1340" t="str">
        <x:v>2026-09-08</x:v>
      </x:c>
      <x:c r="M1340" t="str"/>
      <x:c r="N1340" t="str"/>
      <x:c r="O1340" t="str">
        <x:v>https://www.activesportstrade.co.uk/trade-convienience</x:v>
      </x:c>
      <x:c r="P1340" t="str">
        <x:v>Current catalogue confirms one M&amp;Ms Protein line; stock not invented where fresh option state is not exposed.</x:v>
      </x:c>
      <x:c r="Q1340" t="str"/>
      <x:c r="R1340" t="str"/>
      <x:c r="S1340" t="str">
        <x:v>Pending genuine supplier/brand image</x:v>
      </x:c>
      <x:c r="T1340" s="54"/>
      <x:c r="U1340" s="47" t="n">
        <x:v>0.2</x:v>
      </x:c>
      <x:c r="V1340" s="54" t="str">
        <x:f>IF(ISNUMBER(T1340),T1340*(1+U1340),"")</x:f>
      </x:c>
      <x:c r="W1340" s="47" t="n">
        <x:v>0.3</x:v>
      </x:c>
      <x:c r="X1340" s="54" t="str">
        <x:f>IF(ISNUMBER(V1340),V1340/(1-W1340),"")</x:f>
      </x:c>
      <x:c r="Y1340" s="55" t="str">
        <x:f>IF(ISNUMBER(X1340),ROUNDUP(X1340,0),"")</x:f>
      </x:c>
      <x:c r="Z1340" t="str">
        <x:f>IF(ISNUMBER(T1340),"Cost captured","Awaiting trade cost")</x:f>
        <x:v>Awaiting trade cost</x:v>
      </x:c>
      <x:c r="AB1340" s="36" t="str">
        <x:f>IF(ISNUMBER(Y1340),ROUND(Y1340*0.9,2),"")</x:f>
      </x:c>
      <x:c r="AC1340" s="36" t="str">
        <x:f>IF(ISNUMBER(AB1340),ROUND(AB1340-(AB1340*0.015+0.2)-V1340,2),"")</x:f>
      </x:c>
      <x:c r="AD1340" s="36" t="str">
        <x:f>IF(ISNUMBER(Y1340),ROUND(Y1340*0.8,2),"")</x:f>
      </x:c>
      <x:c r="AE1340" s="36" t="str">
        <x:f>IF(ISNUMBER(AD1340),ROUND(AD1340*0.015+0.2,2),"")</x:f>
      </x:c>
      <x:c r="AF1340" s="36" t="str">
        <x:f>IF(ISNUMBER(AD1340),ROUND(AD1340-AE1340-V1340,2),"")</x:f>
      </x:c>
      <x:c r="AG1340" t="str">
        <x:f>IF(NOT(ISNUMBER(T1340)),"PENDING",IF(AF1340&gt;0,"PASS","FAIL"))</x:f>
        <x:v>PENDING</x:v>
      </x:c>
      <x:c r="AH1340" t="str">
        <x:f>IF(NOT(ISNUMBER(T1340)),"Needs supplier cost",IF(K1340&lt;&gt;"In stock","Supplier unavailable",IF(AG1340&lt;&gt;"PASS","BLOCK - GT loss risk","Commercially protected")))</x:f>
        <x:v>Needs supplier cost</x:v>
      </x:c>
      <x:c r="AI1340" t="str">
        <x:v>2026-09-10 Active Sports trade capture</x:v>
      </x:c>
      <x:c r="AJ1340" t="str">
        <x:v>Management-only economics. Stripe stress test uses 1.5% + £0.20 standard UK online-card fee; pallet/mix-and-match pricing ignored.</x:v>
      </x:c>
    </x:row>
    <x:row r="1341">
      <x:c r="A1341" t="str">
        <x:v>Active Sports Nutrition</x:v>
      </x:c>
      <x:c r="B1341" t="str">
        <x:v>Mars</x:v>
      </x:c>
      <x:c r="C1341" t="str">
        <x:v>Hi Protein Bar</x:v>
      </x:c>
      <x:c r="D1341" t="str">
        <x:v>Drinks and Bars</x:v>
      </x:c>
      <x:c r="E1341" t="str">
        <x:v>Bars and Snacks</x:v>
      </x:c>
      <x:c r="F1341" t="str">
        <x:v>High-protein confectionery bar.</x:v>
      </x:c>
      <x:c r="G1341" t="str">
        <x:v>12 bars</x:v>
      </x:c>
      <x:c r="H1341" t="str">
        <x:v>Mars</x:v>
      </x:c>
      <x:c r="I1341" t="str">
        <x:v>12</x:v>
      </x:c>
      <x:c r="J1341" t="str">
        <x:v>Case</x:v>
      </x:c>
      <x:c r="K1341" t="str">
        <x:v>Unknown</x:v>
      </x:c>
      <x:c r="L1341" t="str">
        <x:v>2026-09-08</x:v>
      </x:c>
      <x:c r="M1341" t="str"/>
      <x:c r="N1341" t="str"/>
      <x:c r="O1341" t="str">
        <x:v>https://www.activesportstrade.co.uk/trade-convienience</x:v>
      </x:c>
      <x:c r="P1341" t="str"/>
      <x:c r="Q1341" t="str"/>
      <x:c r="R1341" t="str"/>
      <x:c r="S1341" t="str">
        <x:v>Pending genuine supplier/brand image</x:v>
      </x:c>
      <x:c r="T1341" s="54" t="n">
        <x:v>16.99</x:v>
      </x:c>
      <x:c r="U1341" s="47" t="n">
        <x:v>0.2</x:v>
      </x:c>
      <x:c r="V1341" s="54" t="n">
        <x:f>IF(ISNUMBER(T1341),T1341*(1+U1341),"")</x:f>
        <x:v>20.387999999999998</x:v>
      </x:c>
      <x:c r="W1341" s="47" t="n">
        <x:v>0.3</x:v>
      </x:c>
      <x:c r="X1341" s="54" t="n">
        <x:f>IF(ISNUMBER(V1341),V1341/(1-W1341),"")</x:f>
        <x:v>29.125714285714285</x:v>
      </x:c>
      <x:c r="Y1341" s="55" t="n">
        <x:f>IF(ISNUMBER(X1341),ROUNDUP(X1341,0),"")</x:f>
        <x:v>30</x:v>
      </x:c>
      <x:c r="Z1341" t="str">
        <x:v>Source match pending</x:v>
      </x:c>
      <x:c r="AA1341" t="str">
        <x:v>screencapture-www-activesportstrade-co-uk-mars-protein-trade-2026-09-09-18_38_45.png / page-001</x:v>
      </x:c>
      <x:c r="AB1341" s="36" t="n">
        <x:f>IF(ISNUMBER(Y1341),ROUND(Y1341*0.9,2),"")</x:f>
        <x:v>27</x:v>
      </x:c>
      <x:c r="AC1341" s="36" t="n">
        <x:f>IF(ISNUMBER(AB1341),ROUND(AB1341-(AB1341*0.015+0.2)-V1341,2),"")</x:f>
        <x:v>6.01</x:v>
      </x:c>
      <x:c r="AD1341" s="36" t="n">
        <x:f>IF(ISNUMBER(Y1341),ROUND(Y1341*0.8,2),"")</x:f>
        <x:v>24</x:v>
      </x:c>
      <x:c r="AE1341" s="36" t="n">
        <x:f>IF(ISNUMBER(AD1341),ROUND(AD1341*0.015+0.2,2),"")</x:f>
        <x:v>0.56</x:v>
      </x:c>
      <x:c r="AF1341" s="36" t="n">
        <x:f>IF(ISNUMBER(AD1341),ROUND(AD1341-AE1341-V1341,2),"")</x:f>
        <x:v>3.05</x:v>
      </x:c>
      <x:c r="AG1341" t="str">
        <x:f>IF(NOT(ISNUMBER(T1341)),"PENDING",IF(AF1341&gt;0,"PASS","FAIL"))</x:f>
        <x:v>PASS</x:v>
      </x:c>
      <x:c r="AH1341" t="str">
        <x:f>IF(NOT(ISNUMBER(T1341)),"Needs supplier cost",IF(K1341&lt;&gt;"In stock","Supplier unavailable",IF(AG1341&lt;&gt;"PASS","BLOCK - GT loss risk","Commercially protected")))</x:f>
        <x:v>Supplier unavailable</x:v>
      </x:c>
      <x:c r="AI1341" t="str">
        <x:v>2026-09-10 Active Sports trade capture</x:v>
      </x:c>
      <x:c r="AJ1341" t="str">
        <x:v>Management-only economics. Stripe stress test uses 1.5% + £0.20 standard UK online-card fee; pallet/mix-and-match pricing ignored.</x:v>
      </x:c>
    </x:row>
    <x:row r="1342">
      <x:c r="A1342" t="str">
        <x:v>Active Sports Nutrition</x:v>
      </x:c>
      <x:c r="B1342" t="str">
        <x:v>Mars</x:v>
      </x:c>
      <x:c r="C1342" t="str">
        <x:v>Hi Protein Powder</x:v>
      </x:c>
      <x:c r="D1342" t="str">
        <x:v>Supplements</x:v>
      </x:c>
      <x:c r="E1342" t="str">
        <x:v>Whey Protein</x:v>
      </x:c>
      <x:c r="F1342" t="str">
        <x:v>Mars-branded protein powder.</x:v>
      </x:c>
      <x:c r="G1342" t="str">
        <x:v>875g</x:v>
      </x:c>
      <x:c r="H1342" t="str">
        <x:v>Mars Chocolate</x:v>
      </x:c>
      <x:c r="I1342" t="str"/>
      <x:c r="J1342" t="str">
        <x:v>Unit</x:v>
      </x:c>
      <x:c r="K1342" t="str">
        <x:v>Unknown</x:v>
      </x:c>
      <x:c r="L1342" t="str">
        <x:v>2026-09-08</x:v>
      </x:c>
      <x:c r="M1342" t="str"/>
      <x:c r="N1342" t="str"/>
      <x:c r="O1342" t="str">
        <x:v>https://www.activesportstrade.co.uk/trade-sports-supplements</x:v>
      </x:c>
      <x:c r="P1342" t="str"/>
      <x:c r="Q1342" t="str"/>
      <x:c r="R1342" t="str"/>
      <x:c r="S1342" t="str">
        <x:v>Pending genuine supplier/brand image</x:v>
      </x:c>
      <x:c r="T1342" s="54"/>
      <x:c r="U1342" s="47" t="n">
        <x:v>0.2</x:v>
      </x:c>
      <x:c r="V1342" s="54" t="str">
        <x:f>IF(ISNUMBER(T1342),T1342*(1+U1342),"")</x:f>
      </x:c>
      <x:c r="W1342" s="47" t="n">
        <x:v>0.3</x:v>
      </x:c>
      <x:c r="X1342" s="54" t="str">
        <x:f>IF(ISNUMBER(V1342),V1342/(1-W1342),"")</x:f>
      </x:c>
      <x:c r="Y1342" s="55" t="str">
        <x:f>IF(ISNUMBER(X1342),ROUNDUP(X1342,0),"")</x:f>
      </x:c>
      <x:c r="Z1342" t="str">
        <x:f>IF(ISNUMBER(T1342),"Cost captured","Awaiting trade cost")</x:f>
        <x:v>Awaiting trade cost</x:v>
      </x:c>
      <x:c r="AB1342" s="36" t="str">
        <x:f>IF(ISNUMBER(Y1342),ROUND(Y1342*0.9,2),"")</x:f>
      </x:c>
      <x:c r="AC1342" s="36" t="str">
        <x:f>IF(ISNUMBER(AB1342),ROUND(AB1342-(AB1342*0.015+0.2)-V1342,2),"")</x:f>
      </x:c>
      <x:c r="AD1342" s="36" t="str">
        <x:f>IF(ISNUMBER(Y1342),ROUND(Y1342*0.8,2),"")</x:f>
      </x:c>
      <x:c r="AE1342" s="36" t="str">
        <x:f>IF(ISNUMBER(AD1342),ROUND(AD1342*0.015+0.2,2),"")</x:f>
      </x:c>
      <x:c r="AF1342" s="36" t="str">
        <x:f>IF(ISNUMBER(AD1342),ROUND(AD1342-AE1342-V1342,2),"")</x:f>
      </x:c>
      <x:c r="AG1342" t="str">
        <x:f>IF(NOT(ISNUMBER(T1342)),"PENDING",IF(AF1342&gt;0,"PASS","FAIL"))</x:f>
        <x:v>PENDING</x:v>
      </x:c>
      <x:c r="AH1342" t="str">
        <x:f>IF(NOT(ISNUMBER(T1342)),"Needs supplier cost",IF(K1342&lt;&gt;"In stock","Supplier unavailable",IF(AG1342&lt;&gt;"PASS","BLOCK - GT loss risk","Commercially protected")))</x:f>
        <x:v>Needs supplier cost</x:v>
      </x:c>
      <x:c r="AI1342" t="str">
        <x:v>2026-09-10 Active Sports trade capture</x:v>
      </x:c>
      <x:c r="AJ1342" t="str">
        <x:v>Management-only economics. Stripe stress test uses 1.5% + £0.20 standard UK online-card fee; pallet/mix-and-match pricing ignored.</x:v>
      </x:c>
    </x:row>
    <x:row r="1343">
      <x:c r="A1343" t="str">
        <x:v>Active Sports Nutrition</x:v>
      </x:c>
      <x:c r="B1343" t="str">
        <x:v>Mars</x:v>
      </x:c>
      <x:c r="C1343" t="str">
        <x:v>Hi Protein RTD</x:v>
      </x:c>
      <x:c r="D1343" t="str">
        <x:v>Drinks and Bars</x:v>
      </x:c>
      <x:c r="E1343" t="str">
        <x:v>Ready to Drink Protein</x:v>
      </x:c>
      <x:c r="F1343" t="str">
        <x:v>Ready-to-drink protein shake.</x:v>
      </x:c>
      <x:c r="G1343" t="str">
        <x:v>8 bottles</x:v>
      </x:c>
      <x:c r="H1343" t="str">
        <x:v>Mars Chocolate</x:v>
      </x:c>
      <x:c r="I1343" t="str">
        <x:v>8</x:v>
      </x:c>
      <x:c r="J1343" t="str">
        <x:v>Case</x:v>
      </x:c>
      <x:c r="K1343" t="str">
        <x:v>Unknown</x:v>
      </x:c>
      <x:c r="L1343" t="str">
        <x:v>2026-09-08</x:v>
      </x:c>
      <x:c r="M1343" t="str"/>
      <x:c r="N1343" t="str"/>
      <x:c r="O1343" t="str">
        <x:v>https://www.activesportstrade.co.uk/trade-convienience</x:v>
      </x:c>
      <x:c r="P1343" t="str">
        <x:v>Case-only member order; exact bottle volume/stock requires fresh supplier reconciliation before production import.</x:v>
      </x:c>
      <x:c r="Q1343" t="str"/>
      <x:c r="R1343" t="str"/>
      <x:c r="S1343" t="str">
        <x:v>Pending genuine supplier/brand image</x:v>
      </x:c>
      <x:c r="T1343" s="54"/>
      <x:c r="U1343" s="47" t="n">
        <x:v>0.2</x:v>
      </x:c>
      <x:c r="V1343" s="54" t="str">
        <x:f>IF(ISNUMBER(T1343),T1343*(1+U1343),"")</x:f>
      </x:c>
      <x:c r="W1343" s="47" t="n">
        <x:v>0.3</x:v>
      </x:c>
      <x:c r="X1343" s="54" t="str">
        <x:f>IF(ISNUMBER(V1343),V1343/(1-W1343),"")</x:f>
      </x:c>
      <x:c r="Y1343" s="55" t="str">
        <x:f>IF(ISNUMBER(X1343),ROUNDUP(X1343,0),"")</x:f>
      </x:c>
      <x:c r="Z1343" t="str">
        <x:f>IF(ISNUMBER(T1343),"Cost captured","Awaiting trade cost")</x:f>
        <x:v>Awaiting trade cost</x:v>
      </x:c>
      <x:c r="AB1343" s="36" t="str">
        <x:f>IF(ISNUMBER(Y1343),ROUND(Y1343*0.9,2),"")</x:f>
      </x:c>
      <x:c r="AC1343" s="36" t="str">
        <x:f>IF(ISNUMBER(AB1343),ROUND(AB1343-(AB1343*0.015+0.2)-V1343,2),"")</x:f>
      </x:c>
      <x:c r="AD1343" s="36" t="str">
        <x:f>IF(ISNUMBER(Y1343),ROUND(Y1343*0.8,2),"")</x:f>
      </x:c>
      <x:c r="AE1343" s="36" t="str">
        <x:f>IF(ISNUMBER(AD1343),ROUND(AD1343*0.015+0.2,2),"")</x:f>
      </x:c>
      <x:c r="AF1343" s="36" t="str">
        <x:f>IF(ISNUMBER(AD1343),ROUND(AD1343-AE1343-V1343,2),"")</x:f>
      </x:c>
      <x:c r="AG1343" t="str">
        <x:f>IF(NOT(ISNUMBER(T1343)),"PENDING",IF(AF1343&gt;0,"PASS","FAIL"))</x:f>
        <x:v>PENDING</x:v>
      </x:c>
      <x:c r="AH1343" t="str">
        <x:f>IF(NOT(ISNUMBER(T1343)),"Needs supplier cost",IF(K1343&lt;&gt;"In stock","Supplier unavailable",IF(AG1343&lt;&gt;"PASS","BLOCK - GT loss risk","Commercially protected")))</x:f>
        <x:v>Needs supplier cost</x:v>
      </x:c>
      <x:c r="AI1343" t="str">
        <x:v>2026-09-10 Active Sports trade capture</x:v>
      </x:c>
      <x:c r="AJ1343" t="str">
        <x:v>Management-only economics. Stripe stress test uses 1.5% + £0.20 standard UK online-card fee; pallet/mix-and-match pricing ignored.</x:v>
      </x:c>
    </x:row>
    <x:row r="1344">
      <x:c r="A1344" t="str">
        <x:v>Active Sports Nutrition</x:v>
      </x:c>
      <x:c r="B1344" t="str">
        <x:v>Inferno 2 - Fat Burner</x:v>
      </x:c>
      <x:c r="C1344" t="str">
        <x:v>Inferno 2</x:v>
      </x:c>
      <x:c r="D1344" t="str">
        <x:v>Supplements</x:v>
      </x:c>
      <x:c r="E1344" t="str">
        <x:v>Fat Burners</x:v>
      </x:c>
      <x:c r="F1344" t="str">
        <x:v>Fat-burner supplement.</x:v>
      </x:c>
      <x:c r="G1344" t="str">
        <x:v>Capsules</x:v>
      </x:c>
      <x:c r="H1344" t="str">
        <x:v>Default</x:v>
      </x:c>
      <x:c r="I1344" t="str"/>
      <x:c r="J1344" t="str">
        <x:v>Unit</x:v>
      </x:c>
      <x:c r="K1344" t="str">
        <x:v>Unknown</x:v>
      </x:c>
      <x:c r="L1344" t="str">
        <x:v>2026-09-08</x:v>
      </x:c>
      <x:c r="M1344" t="str"/>
      <x:c r="N1344" t="str"/>
      <x:c r="O1344" t="str">
        <x:v>https://www.activesportstrade.co.uk/trade-sports-supplements</x:v>
      </x:c>
      <x:c r="P1344" t="str">
        <x:v>Current supplier filter confirms one Inferno 2 product line but fresh crawl did not expose reliable pack/stock detail. Size and availability must be reconciled before production import.</x:v>
      </x:c>
      <x:c r="Q1344" t="str"/>
      <x:c r="R1344" t="str"/>
      <x:c r="S1344" t="str">
        <x:v>Pending genuine supplier/brand image</x:v>
      </x:c>
      <x:c r="T1344" s="54"/>
      <x:c r="U1344" s="47" t="n">
        <x:v>0.2</x:v>
      </x:c>
      <x:c r="V1344" s="54" t="str">
        <x:f>IF(ISNUMBER(T1344),T1344*(1+U1344),"")</x:f>
      </x:c>
      <x:c r="W1344" s="47" t="n">
        <x:v>0.3</x:v>
      </x:c>
      <x:c r="X1344" s="54" t="str">
        <x:f>IF(ISNUMBER(V1344),V1344/(1-W1344),"")</x:f>
      </x:c>
      <x:c r="Y1344" s="55" t="str">
        <x:f>IF(ISNUMBER(X1344),ROUNDUP(X1344,0),"")</x:f>
      </x:c>
      <x:c r="Z1344" t="str">
        <x:f>IF(ISNUMBER(T1344),"Cost captured","Awaiting trade cost")</x:f>
        <x:v>Awaiting trade cost</x:v>
      </x:c>
      <x:c r="AB1344" s="36" t="str">
        <x:f>IF(ISNUMBER(Y1344),ROUND(Y1344*0.9,2),"")</x:f>
      </x:c>
      <x:c r="AC1344" s="36" t="str">
        <x:f>IF(ISNUMBER(AB1344),ROUND(AB1344-(AB1344*0.015+0.2)-V1344,2),"")</x:f>
      </x:c>
      <x:c r="AD1344" s="36" t="str">
        <x:f>IF(ISNUMBER(Y1344),ROUND(Y1344*0.8,2),"")</x:f>
      </x:c>
      <x:c r="AE1344" s="36" t="str">
        <x:f>IF(ISNUMBER(AD1344),ROUND(AD1344*0.015+0.2,2),"")</x:f>
      </x:c>
      <x:c r="AF1344" s="36" t="str">
        <x:f>IF(ISNUMBER(AD1344),ROUND(AD1344-AE1344-V1344,2),"")</x:f>
      </x:c>
      <x:c r="AG1344" t="str">
        <x:f>IF(NOT(ISNUMBER(T1344)),"PENDING",IF(AF1344&gt;0,"PASS","FAIL"))</x:f>
        <x:v>PENDING</x:v>
      </x:c>
      <x:c r="AH1344" t="str">
        <x:f>IF(NOT(ISNUMBER(T1344)),"Needs supplier cost",IF(K1344&lt;&gt;"In stock","Supplier unavailable",IF(AG1344&lt;&gt;"PASS","BLOCK - GT loss risk","Commercially protected")))</x:f>
        <x:v>Needs supplier cost</x:v>
      </x:c>
      <x:c r="AI1344" t="str">
        <x:v>2026-09-10 Active Sports trade capture</x:v>
      </x:c>
      <x:c r="AJ1344" t="str">
        <x:v>Management-only economics. Stripe stress test uses 1.5% + £0.20 standard UK online-card fee; pallet/mix-and-match pricing ignored.</x:v>
      </x:c>
    </x:row>
    <x:row r="1345">
      <x:c r="A1345" t="str">
        <x:v>Active Sports Nutrition</x:v>
      </x:c>
      <x:c r="B1345" t="str">
        <x:v>Monster Energy</x:v>
      </x:c>
      <x:c r="C1345" t="str">
        <x:v>Aussie Lemonade Edition</x:v>
      </x:c>
      <x:c r="D1345" t="str">
        <x:v>Drinks and Bars</x:v>
      </x:c>
      <x:c r="E1345" t="str">
        <x:v>Ready to Drink Energy</x:v>
      </x:c>
      <x:c r="F1345" t="str">
        <x:v>Monster Energy ready-to-drink energy drink.</x:v>
      </x:c>
      <x:c r="G1345" t="str">
        <x:v>12 x 500ml cans</x:v>
      </x:c>
      <x:c r="H1345" t="str">
        <x:v>Default</x:v>
      </x:c>
      <x:c r="I1345" t="str">
        <x:v>12</x:v>
      </x:c>
      <x:c r="J1345" t="str">
        <x:v>Case</x:v>
      </x:c>
      <x:c r="K1345" t="str">
        <x:v>In stock</x:v>
      </x:c>
      <x:c r="L1345" t="str">
        <x:v>2026-09-08</x:v>
      </x:c>
      <x:c r="M1345" t="str"/>
      <x:c r="N1345" t="str"/>
      <x:c r="O1345" t="str">
        <x:v>https://www.activesportstrade.co.uk/monster-energy-trade</x:v>
      </x:c>
      <x:c r="P1345" t="str">
        <x:v>PALLET PROMO pricing/boilerplate stripped. Case-only member order.</x:v>
      </x:c>
      <x:c r="Q1345" t="str"/>
      <x:c r="R1345" t="str"/>
      <x:c r="S1345" t="str">
        <x:v>Pending genuine supplier/brand image</x:v>
      </x:c>
      <x:c r="T1345" s="54" t="n">
        <x:v>15.5</x:v>
      </x:c>
      <x:c r="U1345" s="47" t="n">
        <x:v>0.2</x:v>
      </x:c>
      <x:c r="V1345" s="54" t="n">
        <x:f>IF(ISNUMBER(T1345),T1345*(1+U1345),"")</x:f>
        <x:v>18.599999999999998</x:v>
      </x:c>
      <x:c r="W1345" s="47" t="n">
        <x:v>0.3</x:v>
      </x:c>
      <x:c r="X1345" s="54" t="n">
        <x:f>IF(ISNUMBER(V1345),V1345/(1-W1345),"")</x:f>
        <x:v>26.57142857142857</x:v>
      </x:c>
      <x:c r="Y1345" s="55" t="n">
        <x:f>IF(ISNUMBER(X1345),ROUNDUP(X1345,0),"")</x:f>
        <x:v>27</x:v>
      </x:c>
      <x:c r="Z1345" t="str">
        <x:v>Source match pending</x:v>
      </x:c>
      <x:c r="AA1345" t="str">
        <x:v>screencapture-www-activesportstrade-co-uk-monster-energy-trade-2026-09-09-18_46_20.png / page-001</x:v>
      </x:c>
      <x:c r="AB1345" s="36" t="n">
        <x:f>IF(ISNUMBER(Y1345),ROUND(Y1345*0.9,2),"")</x:f>
        <x:v>24.3</x:v>
      </x:c>
      <x:c r="AC1345" s="36" t="n">
        <x:f>IF(ISNUMBER(AB1345),ROUND(AB1345-(AB1345*0.015+0.2)-V1345,2),"")</x:f>
        <x:v>5.14</x:v>
      </x:c>
      <x:c r="AD1345" s="36" t="n">
        <x:f>IF(ISNUMBER(Y1345),ROUND(Y1345*0.8,2),"")</x:f>
        <x:v>21.6</x:v>
      </x:c>
      <x:c r="AE1345" s="36" t="n">
        <x:f>IF(ISNUMBER(AD1345),ROUND(AD1345*0.015+0.2,2),"")</x:f>
        <x:v>0.52</x:v>
      </x:c>
      <x:c r="AF1345" s="36" t="n">
        <x:f>IF(ISNUMBER(AD1345),ROUND(AD1345-AE1345-V1345,2),"")</x:f>
        <x:v>2.48</x:v>
      </x:c>
      <x:c r="AG1345" t="str">
        <x:f>IF(NOT(ISNUMBER(T1345)),"PENDING",IF(AF1345&gt;0,"PASS","FAIL"))</x:f>
        <x:v>PASS</x:v>
      </x:c>
      <x:c r="AH1345" t="str">
        <x:f>IF(NOT(ISNUMBER(T1345)),"Needs supplier cost",IF(K1345&lt;&gt;"In stock","Supplier unavailable",IF(AG1345&lt;&gt;"PASS","BLOCK - GT loss risk","Commercially protected")))</x:f>
        <x:v>Commercially protected</x:v>
      </x:c>
      <x:c r="AI1345" t="str">
        <x:v>2026-09-10 Active Sports trade capture</x:v>
      </x:c>
      <x:c r="AJ1345" t="str">
        <x:v>Management-only economics. Stripe stress test uses 1.5% + £0.20 standard UK online-card fee; pallet/mix-and-match pricing ignored.</x:v>
      </x:c>
    </x:row>
    <x:row r="1346">
      <x:c r="A1346" t="str">
        <x:v>Active Sports Nutrition</x:v>
      </x:c>
      <x:c r="B1346" t="str">
        <x:v>Monster Energy</x:v>
      </x:c>
      <x:c r="C1346" t="str">
        <x:v>Bad Apple Edition</x:v>
      </x:c>
      <x:c r="D1346" t="str">
        <x:v>Drinks and Bars</x:v>
      </x:c>
      <x:c r="E1346" t="str">
        <x:v>Ready to Drink Energy</x:v>
      </x:c>
      <x:c r="F1346" t="str">
        <x:v>Monster Energy ready-to-drink energy drink.</x:v>
      </x:c>
      <x:c r="G1346" t="str">
        <x:v>12 x 500ml cans</x:v>
      </x:c>
      <x:c r="H1346" t="str">
        <x:v>Default</x:v>
      </x:c>
      <x:c r="I1346" t="str">
        <x:v>12</x:v>
      </x:c>
      <x:c r="J1346" t="str">
        <x:v>Case</x:v>
      </x:c>
      <x:c r="K1346" t="str">
        <x:v>In stock</x:v>
      </x:c>
      <x:c r="L1346" t="str">
        <x:v>2026-09-08</x:v>
      </x:c>
      <x:c r="M1346" t="str"/>
      <x:c r="N1346" t="str"/>
      <x:c r="O1346" t="str">
        <x:v>https://www.activesportstrade.co.uk/monster-energy-trade</x:v>
      </x:c>
      <x:c r="P1346" t="str">
        <x:v>PALLET PROMO pricing/boilerplate stripped. Case-only member order.</x:v>
      </x:c>
      <x:c r="Q1346" t="str"/>
      <x:c r="R1346" t="str"/>
      <x:c r="S1346" t="str">
        <x:v>Pending genuine supplier/brand image</x:v>
      </x:c>
      <x:c r="T1346" s="54" t="n">
        <x:v>15.5</x:v>
      </x:c>
      <x:c r="U1346" s="47" t="n">
        <x:v>0.2</x:v>
      </x:c>
      <x:c r="V1346" s="54" t="n">
        <x:f>IF(ISNUMBER(T1346),T1346*(1+U1346),"")</x:f>
        <x:v>18.599999999999998</x:v>
      </x:c>
      <x:c r="W1346" s="47" t="n">
        <x:v>0.3</x:v>
      </x:c>
      <x:c r="X1346" s="54" t="n">
        <x:f>IF(ISNUMBER(V1346),V1346/(1-W1346),"")</x:f>
        <x:v>26.57142857142857</x:v>
      </x:c>
      <x:c r="Y1346" s="55" t="n">
        <x:f>IF(ISNUMBER(X1346),ROUNDUP(X1346,0),"")</x:f>
        <x:v>27</x:v>
      </x:c>
      <x:c r="Z1346" t="str">
        <x:v>Source match pending</x:v>
      </x:c>
      <x:c r="AA1346" t="str">
        <x:v>screencapture-www-activesportstrade-co-uk-monster-energy-trade-2026-09-09-18_46_20.png / page-001</x:v>
      </x:c>
      <x:c r="AB1346" s="36" t="n">
        <x:f>IF(ISNUMBER(Y1346),ROUND(Y1346*0.9,2),"")</x:f>
        <x:v>24.3</x:v>
      </x:c>
      <x:c r="AC1346" s="36" t="n">
        <x:f>IF(ISNUMBER(AB1346),ROUND(AB1346-(AB1346*0.015+0.2)-V1346,2),"")</x:f>
        <x:v>5.14</x:v>
      </x:c>
      <x:c r="AD1346" s="36" t="n">
        <x:f>IF(ISNUMBER(Y1346),ROUND(Y1346*0.8,2),"")</x:f>
        <x:v>21.6</x:v>
      </x:c>
      <x:c r="AE1346" s="36" t="n">
        <x:f>IF(ISNUMBER(AD1346),ROUND(AD1346*0.015+0.2,2),"")</x:f>
        <x:v>0.52</x:v>
      </x:c>
      <x:c r="AF1346" s="36" t="n">
        <x:f>IF(ISNUMBER(AD1346),ROUND(AD1346-AE1346-V1346,2),"")</x:f>
        <x:v>2.48</x:v>
      </x:c>
      <x:c r="AG1346" t="str">
        <x:f>IF(NOT(ISNUMBER(T1346)),"PENDING",IF(AF1346&gt;0,"PASS","FAIL"))</x:f>
        <x:v>PASS</x:v>
      </x:c>
      <x:c r="AH1346" t="str">
        <x:f>IF(NOT(ISNUMBER(T1346)),"Needs supplier cost",IF(K1346&lt;&gt;"In stock","Supplier unavailable",IF(AG1346&lt;&gt;"PASS","BLOCK - GT loss risk","Commercially protected")))</x:f>
        <x:v>Commercially protected</x:v>
      </x:c>
      <x:c r="AI1346" t="str">
        <x:v>2026-09-10 Active Sports trade capture</x:v>
      </x:c>
      <x:c r="AJ1346" t="str">
        <x:v>Management-only economics. Stripe stress test uses 1.5% + £0.20 standard UK online-card fee; pallet/mix-and-match pricing ignored.</x:v>
      </x:c>
    </x:row>
    <x:row r="1347">
      <x:c r="A1347" t="str">
        <x:v>Active Sports Nutrition</x:v>
      </x:c>
      <x:c r="B1347" t="str">
        <x:v>Monster Energy - Ultra &amp; Sugar Free</x:v>
      </x:c>
      <x:c r="C1347" t="str">
        <x:v>Absolute Zero</x:v>
      </x:c>
      <x:c r="D1347" t="str">
        <x:v>Drinks and Bars</x:v>
      </x:c>
      <x:c r="E1347" t="str">
        <x:v>Ready to Drink Energy</x:v>
      </x:c>
      <x:c r="F1347" t="str">
        <x:v>Sugar-free Monster Energy drink.</x:v>
      </x:c>
      <x:c r="G1347" t="str">
        <x:v>12 x 500ml cans</x:v>
      </x:c>
      <x:c r="H1347" t="str">
        <x:v>Default</x:v>
      </x:c>
      <x:c r="I1347" t="str">
        <x:v>12</x:v>
      </x:c>
      <x:c r="J1347" t="str">
        <x:v>Case</x:v>
      </x:c>
      <x:c r="K1347" t="str">
        <x:v>In stock</x:v>
      </x:c>
      <x:c r="L1347" t="str">
        <x:v>2026-09-08</x:v>
      </x:c>
      <x:c r="M1347" t="str"/>
      <x:c r="N1347" t="str"/>
      <x:c r="O1347" t="str">
        <x:v>https://www.activesportstrade.co.uk/Ready-to-Drink-Energy/monster-energy-ultra</x:v>
      </x:c>
      <x:c r="P1347" t="str">
        <x:v>PALLET PROMO pricing/boilerplate stripped.</x:v>
      </x:c>
      <x:c r="Q1347" t="str"/>
      <x:c r="R1347" t="str"/>
      <x:c r="S1347" t="str">
        <x:v>Pending genuine supplier/brand image</x:v>
      </x:c>
      <x:c r="T1347" s="54"/>
      <x:c r="U1347" s="47" t="n">
        <x:v>0.2</x:v>
      </x:c>
      <x:c r="V1347" s="54" t="str">
        <x:f>IF(ISNUMBER(T1347),T1347*(1+U1347),"")</x:f>
      </x:c>
      <x:c r="W1347" s="47" t="n">
        <x:v>0.3</x:v>
      </x:c>
      <x:c r="X1347" s="54" t="str">
        <x:f>IF(ISNUMBER(V1347),V1347/(1-W1347),"")</x:f>
      </x:c>
      <x:c r="Y1347" s="55" t="str">
        <x:f>IF(ISNUMBER(X1347),ROUNDUP(X1347,0),"")</x:f>
      </x:c>
      <x:c r="Z1347" t="str">
        <x:f>IF(ISNUMBER(T1347),"Cost captured","Awaiting trade cost")</x:f>
        <x:v>Awaiting trade cost</x:v>
      </x:c>
      <x:c r="AB1347" s="36" t="str">
        <x:f>IF(ISNUMBER(Y1347),ROUND(Y1347*0.9,2),"")</x:f>
      </x:c>
      <x:c r="AC1347" s="36" t="str">
        <x:f>IF(ISNUMBER(AB1347),ROUND(AB1347-(AB1347*0.015+0.2)-V1347,2),"")</x:f>
      </x:c>
      <x:c r="AD1347" s="36" t="str">
        <x:f>IF(ISNUMBER(Y1347),ROUND(Y1347*0.8,2),"")</x:f>
      </x:c>
      <x:c r="AE1347" s="36" t="str">
        <x:f>IF(ISNUMBER(AD1347),ROUND(AD1347*0.015+0.2,2),"")</x:f>
      </x:c>
      <x:c r="AF1347" s="36" t="str">
        <x:f>IF(ISNUMBER(AD1347),ROUND(AD1347-AE1347-V1347,2),"")</x:f>
      </x:c>
      <x:c r="AG1347" t="str">
        <x:f>IF(NOT(ISNUMBER(T1347)),"PENDING",IF(AF1347&gt;0,"PASS","FAIL"))</x:f>
        <x:v>PENDING</x:v>
      </x:c>
      <x:c r="AH1347" t="str">
        <x:f>IF(NOT(ISNUMBER(T1347)),"Needs supplier cost",IF(K1347&lt;&gt;"In stock","Supplier unavailable",IF(AG1347&lt;&gt;"PASS","BLOCK - GT loss risk","Commercially protected")))</x:f>
        <x:v>Needs supplier cost</x:v>
      </x:c>
      <x:c r="AI1347" t="str">
        <x:v>2026-09-10 Active Sports trade capture</x:v>
      </x:c>
      <x:c r="AJ1347" t="str">
        <x:v>Management-only economics. Stripe stress test uses 1.5% + £0.20 standard UK online-card fee; pallet/mix-and-match pricing ignored.</x:v>
      </x:c>
    </x:row>
    <x:row r="1348">
      <x:c r="A1348" t="str">
        <x:v>Active Sports Nutrition</x:v>
      </x:c>
      <x:c r="B1348" t="str">
        <x:v>Monster Energy - Ultra &amp; Sugar Free</x:v>
      </x:c>
      <x:c r="C1348" t="str">
        <x:v>Monster Ultra</x:v>
      </x:c>
      <x:c r="D1348" t="str">
        <x:v>Drinks and Bars</x:v>
      </x:c>
      <x:c r="E1348" t="str">
        <x:v>Ready to Drink Energy</x:v>
      </x:c>
      <x:c r="F1348" t="str">
        <x:v>Sugar-free Monster Ultra range.</x:v>
      </x:c>
      <x:c r="G1348" t="str">
        <x:v>12 x 500ml cans</x:v>
      </x:c>
      <x:c r="H1348" t="str">
        <x:v>Ultra Fantasy Ruby Red</x:v>
      </x:c>
      <x:c r="I1348" t="str">
        <x:v>12</x:v>
      </x:c>
      <x:c r="J1348" t="str">
        <x:v>Case</x:v>
      </x:c>
      <x:c r="K1348" t="str">
        <x:v>In stock</x:v>
      </x:c>
      <x:c r="L1348" t="str">
        <x:v>2026-09-08</x:v>
      </x:c>
      <x:c r="M1348" t="str"/>
      <x:c r="N1348" t="str"/>
      <x:c r="O1348" t="str">
        <x:v>https://www.activesportstrade.co.uk/Ready-to-Drink-Energy/monster-energy-ultra</x:v>
      </x:c>
      <x:c r="P1348" t="str">
        <x:v>Recent Ready-to-Drink Energy page used; it is fresher than an older supplements crawl which had Ultra Fiesta in stock.</x:v>
      </x:c>
      <x:c r="Q1348" t="str"/>
      <x:c r="R1348" t="str"/>
      <x:c r="S1348" t="str">
        <x:v>Pending genuine supplier/brand image</x:v>
      </x:c>
      <x:c r="T1348" s="54"/>
      <x:c r="U1348" s="47" t="n">
        <x:v>0.2</x:v>
      </x:c>
      <x:c r="V1348" s="54" t="str">
        <x:f>IF(ISNUMBER(T1348),T1348*(1+U1348),"")</x:f>
      </x:c>
      <x:c r="W1348" s="47" t="n">
        <x:v>0.3</x:v>
      </x:c>
      <x:c r="X1348" s="54" t="str">
        <x:f>IF(ISNUMBER(V1348),V1348/(1-W1348),"")</x:f>
      </x:c>
      <x:c r="Y1348" s="55" t="str">
        <x:f>IF(ISNUMBER(X1348),ROUNDUP(X1348,0),"")</x:f>
      </x:c>
      <x:c r="Z1348" t="str">
        <x:f>IF(ISNUMBER(T1348),"Cost captured","Awaiting trade cost")</x:f>
        <x:v>Awaiting trade cost</x:v>
      </x:c>
      <x:c r="AB1348" s="36" t="str">
        <x:f>IF(ISNUMBER(Y1348),ROUND(Y1348*0.9,2),"")</x:f>
      </x:c>
      <x:c r="AC1348" s="36" t="str">
        <x:f>IF(ISNUMBER(AB1348),ROUND(AB1348-(AB1348*0.015+0.2)-V1348,2),"")</x:f>
      </x:c>
      <x:c r="AD1348" s="36" t="str">
        <x:f>IF(ISNUMBER(Y1348),ROUND(Y1348*0.8,2),"")</x:f>
      </x:c>
      <x:c r="AE1348" s="36" t="str">
        <x:f>IF(ISNUMBER(AD1348),ROUND(AD1348*0.015+0.2,2),"")</x:f>
      </x:c>
      <x:c r="AF1348" s="36" t="str">
        <x:f>IF(ISNUMBER(AD1348),ROUND(AD1348-AE1348-V1348,2),"")</x:f>
      </x:c>
      <x:c r="AG1348" t="str">
        <x:f>IF(NOT(ISNUMBER(T1348)),"PENDING",IF(AF1348&gt;0,"PASS","FAIL"))</x:f>
        <x:v>PENDING</x:v>
      </x:c>
      <x:c r="AH1348" t="str">
        <x:f>IF(NOT(ISNUMBER(T1348)),"Needs supplier cost",IF(K1348&lt;&gt;"In stock","Supplier unavailable",IF(AG1348&lt;&gt;"PASS","BLOCK - GT loss risk","Commercially protected")))</x:f>
        <x:v>Needs supplier cost</x:v>
      </x:c>
      <x:c r="AI1348" t="str">
        <x:v>2026-09-10 Active Sports trade capture</x:v>
      </x:c>
      <x:c r="AJ1348" t="str">
        <x:v>Management-only economics. Stripe stress test uses 1.5% + £0.20 standard UK online-card fee; pallet/mix-and-match pricing ignored.</x:v>
      </x:c>
    </x:row>
    <x:row r="1349">
      <x:c r="A1349" t="str">
        <x:v>Active Sports Nutrition</x:v>
      </x:c>
      <x:c r="B1349" t="str">
        <x:v>Monster Energy - Ultra &amp; Sugar Free</x:v>
      </x:c>
      <x:c r="C1349" t="str">
        <x:v>Monster Ultra</x:v>
      </x:c>
      <x:c r="D1349" t="str">
        <x:v>Drinks and Bars</x:v>
      </x:c>
      <x:c r="E1349" t="str">
        <x:v>Ready to Drink Energy</x:v>
      </x:c>
      <x:c r="F1349" t="str">
        <x:v>Sugar-free Monster Ultra range.</x:v>
      </x:c>
      <x:c r="G1349" t="str">
        <x:v>12 x 500ml cans</x:v>
      </x:c>
      <x:c r="H1349" t="str">
        <x:v>Ultra Fiesta</x:v>
      </x:c>
      <x:c r="I1349" t="str">
        <x:v>12</x:v>
      </x:c>
      <x:c r="J1349" t="str">
        <x:v>Case</x:v>
      </x:c>
      <x:c r="K1349" t="str">
        <x:v>Out of stock</x:v>
      </x:c>
      <x:c r="L1349" t="str">
        <x:v>2026-09-08</x:v>
      </x:c>
      <x:c r="M1349" t="str"/>
      <x:c r="N1349" t="str"/>
      <x:c r="O1349" t="str">
        <x:v>https://www.activesportstrade.co.uk/Ready-to-Drink-Energy/monster-energy-ultra</x:v>
      </x:c>
      <x:c r="P1349" t="str">
        <x:v>Recent Ready-to-Drink Energy page used; it is fresher than an older supplements crawl which had Ultra Fiesta in stock.</x:v>
      </x:c>
      <x:c r="Q1349" t="str"/>
      <x:c r="R1349" t="str"/>
      <x:c r="S1349" t="str">
        <x:v>Pending genuine supplier/brand image</x:v>
      </x:c>
      <x:c r="T1349" s="54"/>
      <x:c r="U1349" s="47" t="n">
        <x:v>0.2</x:v>
      </x:c>
      <x:c r="V1349" s="54" t="str">
        <x:f>IF(ISNUMBER(T1349),T1349*(1+U1349),"")</x:f>
      </x:c>
      <x:c r="W1349" s="47" t="n">
        <x:v>0.3</x:v>
      </x:c>
      <x:c r="X1349" s="54" t="str">
        <x:f>IF(ISNUMBER(V1349),V1349/(1-W1349),"")</x:f>
      </x:c>
      <x:c r="Y1349" s="55" t="str">
        <x:f>IF(ISNUMBER(X1349),ROUNDUP(X1349,0),"")</x:f>
      </x:c>
      <x:c r="Z1349" t="str">
        <x:f>IF(ISNUMBER(T1349),"Cost captured","Awaiting trade cost")</x:f>
        <x:v>Awaiting trade cost</x:v>
      </x:c>
      <x:c r="AB1349" s="36" t="str">
        <x:f>IF(ISNUMBER(Y1349),ROUND(Y1349*0.9,2),"")</x:f>
      </x:c>
      <x:c r="AC1349" s="36" t="str">
        <x:f>IF(ISNUMBER(AB1349),ROUND(AB1349-(AB1349*0.015+0.2)-V1349,2),"")</x:f>
      </x:c>
      <x:c r="AD1349" s="36" t="str">
        <x:f>IF(ISNUMBER(Y1349),ROUND(Y1349*0.8,2),"")</x:f>
      </x:c>
      <x:c r="AE1349" s="36" t="str">
        <x:f>IF(ISNUMBER(AD1349),ROUND(AD1349*0.015+0.2,2),"")</x:f>
      </x:c>
      <x:c r="AF1349" s="36" t="str">
        <x:f>IF(ISNUMBER(AD1349),ROUND(AD1349-AE1349-V1349,2),"")</x:f>
      </x:c>
      <x:c r="AG1349" t="str">
        <x:f>IF(NOT(ISNUMBER(T1349)),"PENDING",IF(AF1349&gt;0,"PASS","FAIL"))</x:f>
        <x:v>PENDING</x:v>
      </x:c>
      <x:c r="AH1349" t="str">
        <x:f>IF(NOT(ISNUMBER(T1349)),"Needs supplier cost",IF(K1349&lt;&gt;"In stock","Supplier unavailable",IF(AG1349&lt;&gt;"PASS","BLOCK - GT loss risk","Commercially protected")))</x:f>
        <x:v>Needs supplier cost</x:v>
      </x:c>
      <x:c r="AI1349" t="str">
        <x:v>2026-09-10 Active Sports trade capture</x:v>
      </x:c>
      <x:c r="AJ1349" t="str">
        <x:v>Management-only economics. Stripe stress test uses 1.5% + £0.20 standard UK online-card fee; pallet/mix-and-match pricing ignored.</x:v>
      </x:c>
    </x:row>
    <x:row r="1350">
      <x:c r="A1350" t="str">
        <x:v>Active Sports Nutrition</x:v>
      </x:c>
      <x:c r="B1350" t="str">
        <x:v>Monster Energy - Ultra &amp; Sugar Free</x:v>
      </x:c>
      <x:c r="C1350" t="str">
        <x:v>Monster Ultra</x:v>
      </x:c>
      <x:c r="D1350" t="str">
        <x:v>Drinks and Bars</x:v>
      </x:c>
      <x:c r="E1350" t="str">
        <x:v>Ready to Drink Energy</x:v>
      </x:c>
      <x:c r="F1350" t="str">
        <x:v>Sugar-free Monster Ultra range.</x:v>
      </x:c>
      <x:c r="G1350" t="str">
        <x:v>12 x 500ml cans</x:v>
      </x:c>
      <x:c r="H1350" t="str">
        <x:v>Ultra Paradise / Green</x:v>
      </x:c>
      <x:c r="I1350" t="str">
        <x:v>12</x:v>
      </x:c>
      <x:c r="J1350" t="str">
        <x:v>Case</x:v>
      </x:c>
      <x:c r="K1350" t="str">
        <x:v>In stock</x:v>
      </x:c>
      <x:c r="L1350" t="str">
        <x:v>2026-09-08</x:v>
      </x:c>
      <x:c r="M1350" t="str"/>
      <x:c r="N1350" t="str"/>
      <x:c r="O1350" t="str">
        <x:v>https://www.activesportstrade.co.uk/Ready-to-Drink-Energy/monster-energy-ultra</x:v>
      </x:c>
      <x:c r="P1350" t="str">
        <x:v>Recent Ready-to-Drink Energy page used; it is fresher than an older supplements crawl which had Ultra Fiesta in stock.</x:v>
      </x:c>
      <x:c r="Q1350" t="str"/>
      <x:c r="R1350" t="str"/>
      <x:c r="S1350" t="str">
        <x:v>Pending genuine supplier/brand image</x:v>
      </x:c>
      <x:c r="T1350" s="54"/>
      <x:c r="U1350" s="47" t="n">
        <x:v>0.2</x:v>
      </x:c>
      <x:c r="V1350" s="54" t="str">
        <x:f>IF(ISNUMBER(T1350),T1350*(1+U1350),"")</x:f>
      </x:c>
      <x:c r="W1350" s="47" t="n">
        <x:v>0.3</x:v>
      </x:c>
      <x:c r="X1350" s="54" t="str">
        <x:f>IF(ISNUMBER(V1350),V1350/(1-W1350),"")</x:f>
      </x:c>
      <x:c r="Y1350" s="55" t="str">
        <x:f>IF(ISNUMBER(X1350),ROUNDUP(X1350,0),"")</x:f>
      </x:c>
      <x:c r="Z1350" t="str">
        <x:f>IF(ISNUMBER(T1350),"Cost captured","Awaiting trade cost")</x:f>
        <x:v>Awaiting trade cost</x:v>
      </x:c>
      <x:c r="AB1350" s="36" t="str">
        <x:f>IF(ISNUMBER(Y1350),ROUND(Y1350*0.9,2),"")</x:f>
      </x:c>
      <x:c r="AC1350" s="36" t="str">
        <x:f>IF(ISNUMBER(AB1350),ROUND(AB1350-(AB1350*0.015+0.2)-V1350,2),"")</x:f>
      </x:c>
      <x:c r="AD1350" s="36" t="str">
        <x:f>IF(ISNUMBER(Y1350),ROUND(Y1350*0.8,2),"")</x:f>
      </x:c>
      <x:c r="AE1350" s="36" t="str">
        <x:f>IF(ISNUMBER(AD1350),ROUND(AD1350*0.015+0.2,2),"")</x:f>
      </x:c>
      <x:c r="AF1350" s="36" t="str">
        <x:f>IF(ISNUMBER(AD1350),ROUND(AD1350-AE1350-V1350,2),"")</x:f>
      </x:c>
      <x:c r="AG1350" t="str">
        <x:f>IF(NOT(ISNUMBER(T1350)),"PENDING",IF(AF1350&gt;0,"PASS","FAIL"))</x:f>
        <x:v>PENDING</x:v>
      </x:c>
      <x:c r="AH1350" t="str">
        <x:f>IF(NOT(ISNUMBER(T1350)),"Needs supplier cost",IF(K1350&lt;&gt;"In stock","Supplier unavailable",IF(AG1350&lt;&gt;"PASS","BLOCK - GT loss risk","Commercially protected")))</x:f>
        <x:v>Needs supplier cost</x:v>
      </x:c>
      <x:c r="AI1350" t="str">
        <x:v>2026-09-10 Active Sports trade capture</x:v>
      </x:c>
      <x:c r="AJ1350" t="str">
        <x:v>Management-only economics. Stripe stress test uses 1.5% + £0.20 standard UK online-card fee; pallet/mix-and-match pricing ignored.</x:v>
      </x:c>
    </x:row>
    <x:row r="1351">
      <x:c r="A1351" t="str">
        <x:v>Active Sports Nutrition</x:v>
      </x:c>
      <x:c r="B1351" t="str">
        <x:v>Monster Energy - Ultra &amp; Sugar Free</x:v>
      </x:c>
      <x:c r="C1351" t="str">
        <x:v>Monster Ultra</x:v>
      </x:c>
      <x:c r="D1351" t="str">
        <x:v>Drinks and Bars</x:v>
      </x:c>
      <x:c r="E1351" t="str">
        <x:v>Ready to Drink Energy</x:v>
      </x:c>
      <x:c r="F1351" t="str">
        <x:v>Sugar-free Monster Ultra range.</x:v>
      </x:c>
      <x:c r="G1351" t="str">
        <x:v>12 x 500ml cans</x:v>
      </x:c>
      <x:c r="H1351" t="str">
        <x:v>Ultra Peachy Keen</x:v>
      </x:c>
      <x:c r="I1351" t="str">
        <x:v>12</x:v>
      </x:c>
      <x:c r="J1351" t="str">
        <x:v>Case</x:v>
      </x:c>
      <x:c r="K1351" t="str">
        <x:v>In stock</x:v>
      </x:c>
      <x:c r="L1351" t="str">
        <x:v>2026-09-08</x:v>
      </x:c>
      <x:c r="M1351" t="str"/>
      <x:c r="N1351" t="str"/>
      <x:c r="O1351" t="str">
        <x:v>https://www.activesportstrade.co.uk/Ready-to-Drink-Energy/monster-energy-ultra</x:v>
      </x:c>
      <x:c r="P1351" t="str">
        <x:v>Recent Ready-to-Drink Energy page used; it is fresher than an older supplements crawl which had Ultra Fiesta in stock.</x:v>
      </x:c>
      <x:c r="Q1351" t="str"/>
      <x:c r="R1351" t="str"/>
      <x:c r="S1351" t="str">
        <x:v>Pending genuine supplier/brand image</x:v>
      </x:c>
      <x:c r="T1351" s="54"/>
      <x:c r="U1351" s="47" t="n">
        <x:v>0.2</x:v>
      </x:c>
      <x:c r="V1351" s="54" t="str">
        <x:f>IF(ISNUMBER(T1351),T1351*(1+U1351),"")</x:f>
      </x:c>
      <x:c r="W1351" s="47" t="n">
        <x:v>0.3</x:v>
      </x:c>
      <x:c r="X1351" s="54" t="str">
        <x:f>IF(ISNUMBER(V1351),V1351/(1-W1351),"")</x:f>
      </x:c>
      <x:c r="Y1351" s="55" t="str">
        <x:f>IF(ISNUMBER(X1351),ROUNDUP(X1351,0),"")</x:f>
      </x:c>
      <x:c r="Z1351" t="str">
        <x:f>IF(ISNUMBER(T1351),"Cost captured","Awaiting trade cost")</x:f>
        <x:v>Awaiting trade cost</x:v>
      </x:c>
      <x:c r="AB1351" s="36" t="str">
        <x:f>IF(ISNUMBER(Y1351),ROUND(Y1351*0.9,2),"")</x:f>
      </x:c>
      <x:c r="AC1351" s="36" t="str">
        <x:f>IF(ISNUMBER(AB1351),ROUND(AB1351-(AB1351*0.015+0.2)-V1351,2),"")</x:f>
      </x:c>
      <x:c r="AD1351" s="36" t="str">
        <x:f>IF(ISNUMBER(Y1351),ROUND(Y1351*0.8,2),"")</x:f>
      </x:c>
      <x:c r="AE1351" s="36" t="str">
        <x:f>IF(ISNUMBER(AD1351),ROUND(AD1351*0.015+0.2,2),"")</x:f>
      </x:c>
      <x:c r="AF1351" s="36" t="str">
        <x:f>IF(ISNUMBER(AD1351),ROUND(AD1351-AE1351-V1351,2),"")</x:f>
      </x:c>
      <x:c r="AG1351" t="str">
        <x:f>IF(NOT(ISNUMBER(T1351)),"PENDING",IF(AF1351&gt;0,"PASS","FAIL"))</x:f>
        <x:v>PENDING</x:v>
      </x:c>
      <x:c r="AH1351" t="str">
        <x:f>IF(NOT(ISNUMBER(T1351)),"Needs supplier cost",IF(K1351&lt;&gt;"In stock","Supplier unavailable",IF(AG1351&lt;&gt;"PASS","BLOCK - GT loss risk","Commercially protected")))</x:f>
        <x:v>Needs supplier cost</x:v>
      </x:c>
      <x:c r="AI1351" t="str">
        <x:v>2026-09-10 Active Sports trade capture</x:v>
      </x:c>
      <x:c r="AJ1351" t="str">
        <x:v>Management-only economics. Stripe stress test uses 1.5% + £0.20 standard UK online-card fee; pallet/mix-and-match pricing ignored.</x:v>
      </x:c>
    </x:row>
    <x:row r="1352">
      <x:c r="A1352" t="str">
        <x:v>Active Sports Nutrition</x:v>
      </x:c>
      <x:c r="B1352" t="str">
        <x:v>Monster Energy - Ultra &amp; Sugar Free</x:v>
      </x:c>
      <x:c r="C1352" t="str">
        <x:v>Monster Ultra</x:v>
      </x:c>
      <x:c r="D1352" t="str">
        <x:v>Drinks and Bars</x:v>
      </x:c>
      <x:c r="E1352" t="str">
        <x:v>Ready to Drink Energy</x:v>
      </x:c>
      <x:c r="F1352" t="str">
        <x:v>Sugar-free Monster Ultra range.</x:v>
      </x:c>
      <x:c r="G1352" t="str">
        <x:v>12 x 500ml cans</x:v>
      </x:c>
      <x:c r="H1352" t="str">
        <x:v>Ultra Rosa</x:v>
      </x:c>
      <x:c r="I1352" t="str">
        <x:v>12</x:v>
      </x:c>
      <x:c r="J1352" t="str">
        <x:v>Case</x:v>
      </x:c>
      <x:c r="K1352" t="str">
        <x:v>In stock</x:v>
      </x:c>
      <x:c r="L1352" t="str">
        <x:v>2026-09-08</x:v>
      </x:c>
      <x:c r="M1352" t="str"/>
      <x:c r="N1352" t="str"/>
      <x:c r="O1352" t="str">
        <x:v>https://www.activesportstrade.co.uk/Ready-to-Drink-Energy/monster-energy-ultra</x:v>
      </x:c>
      <x:c r="P1352" t="str">
        <x:v>Recent Ready-to-Drink Energy page used; it is fresher than an older supplements crawl which had Ultra Fiesta in stock.</x:v>
      </x:c>
      <x:c r="Q1352" t="str"/>
      <x:c r="R1352" t="str"/>
      <x:c r="S1352" t="str">
        <x:v>Pending genuine supplier/brand image</x:v>
      </x:c>
      <x:c r="T1352" s="54"/>
      <x:c r="U1352" s="47" t="n">
        <x:v>0.2</x:v>
      </x:c>
      <x:c r="V1352" s="54" t="str">
        <x:f>IF(ISNUMBER(T1352),T1352*(1+U1352),"")</x:f>
      </x:c>
      <x:c r="W1352" s="47" t="n">
        <x:v>0.3</x:v>
      </x:c>
      <x:c r="X1352" s="54" t="str">
        <x:f>IF(ISNUMBER(V1352),V1352/(1-W1352),"")</x:f>
      </x:c>
      <x:c r="Y1352" s="55" t="str">
        <x:f>IF(ISNUMBER(X1352),ROUNDUP(X1352,0),"")</x:f>
      </x:c>
      <x:c r="Z1352" t="str">
        <x:f>IF(ISNUMBER(T1352),"Cost captured","Awaiting trade cost")</x:f>
        <x:v>Awaiting trade cost</x:v>
      </x:c>
      <x:c r="AB1352" s="36" t="str">
        <x:f>IF(ISNUMBER(Y1352),ROUND(Y1352*0.9,2),"")</x:f>
      </x:c>
      <x:c r="AC1352" s="36" t="str">
        <x:f>IF(ISNUMBER(AB1352),ROUND(AB1352-(AB1352*0.015+0.2)-V1352,2),"")</x:f>
      </x:c>
      <x:c r="AD1352" s="36" t="str">
        <x:f>IF(ISNUMBER(Y1352),ROUND(Y1352*0.8,2),"")</x:f>
      </x:c>
      <x:c r="AE1352" s="36" t="str">
        <x:f>IF(ISNUMBER(AD1352),ROUND(AD1352*0.015+0.2,2),"")</x:f>
      </x:c>
      <x:c r="AF1352" s="36" t="str">
        <x:f>IF(ISNUMBER(AD1352),ROUND(AD1352-AE1352-V1352,2),"")</x:f>
      </x:c>
      <x:c r="AG1352" t="str">
        <x:f>IF(NOT(ISNUMBER(T1352)),"PENDING",IF(AF1352&gt;0,"PASS","FAIL"))</x:f>
        <x:v>PENDING</x:v>
      </x:c>
      <x:c r="AH1352" t="str">
        <x:f>IF(NOT(ISNUMBER(T1352)),"Needs supplier cost",IF(K1352&lt;&gt;"In stock","Supplier unavailable",IF(AG1352&lt;&gt;"PASS","BLOCK - GT loss risk","Commercially protected")))</x:f>
        <x:v>Needs supplier cost</x:v>
      </x:c>
      <x:c r="AI1352" t="str">
        <x:v>2026-09-10 Active Sports trade capture</x:v>
      </x:c>
      <x:c r="AJ1352" t="str">
        <x:v>Management-only economics. Stripe stress test uses 1.5% + £0.20 standard UK online-card fee; pallet/mix-and-match pricing ignored.</x:v>
      </x:c>
    </x:row>
    <x:row r="1353">
      <x:c r="A1353" t="str">
        <x:v>Active Sports Nutrition</x:v>
      </x:c>
      <x:c r="B1353" t="str">
        <x:v>Monster Energy - Ultra &amp; Sugar Free</x:v>
      </x:c>
      <x:c r="C1353" t="str">
        <x:v>Monster Ultra</x:v>
      </x:c>
      <x:c r="D1353" t="str">
        <x:v>Drinks and Bars</x:v>
      </x:c>
      <x:c r="E1353" t="str">
        <x:v>Ready to Drink Energy</x:v>
      </x:c>
      <x:c r="F1353" t="str">
        <x:v>Sugar-free Monster Ultra range.</x:v>
      </x:c>
      <x:c r="G1353" t="str">
        <x:v>12 x 500ml cans</x:v>
      </x:c>
      <x:c r="H1353" t="str">
        <x:v>Ultra Strawberry Dream</x:v>
      </x:c>
      <x:c r="I1353" t="str">
        <x:v>12</x:v>
      </x:c>
      <x:c r="J1353" t="str">
        <x:v>Case</x:v>
      </x:c>
      <x:c r="K1353" t="str">
        <x:v>In stock</x:v>
      </x:c>
      <x:c r="L1353" t="str">
        <x:v>2026-09-08</x:v>
      </x:c>
      <x:c r="M1353" t="str"/>
      <x:c r="N1353" t="str"/>
      <x:c r="O1353" t="str">
        <x:v>https://www.activesportstrade.co.uk/Ready-to-Drink-Energy/monster-energy-ultra</x:v>
      </x:c>
      <x:c r="P1353" t="str">
        <x:v>Recent Ready-to-Drink Energy page used; it is fresher than an older supplements crawl which had Ultra Fiesta in stock.</x:v>
      </x:c>
      <x:c r="Q1353" t="str"/>
      <x:c r="R1353" t="str"/>
      <x:c r="S1353" t="str">
        <x:v>Pending genuine supplier/brand image</x:v>
      </x:c>
      <x:c r="T1353" s="54"/>
      <x:c r="U1353" s="47" t="n">
        <x:v>0.2</x:v>
      </x:c>
      <x:c r="V1353" s="54" t="str">
        <x:f>IF(ISNUMBER(T1353),T1353*(1+U1353),"")</x:f>
      </x:c>
      <x:c r="W1353" s="47" t="n">
        <x:v>0.3</x:v>
      </x:c>
      <x:c r="X1353" s="54" t="str">
        <x:f>IF(ISNUMBER(V1353),V1353/(1-W1353),"")</x:f>
      </x:c>
      <x:c r="Y1353" s="55" t="str">
        <x:f>IF(ISNUMBER(X1353),ROUNDUP(X1353,0),"")</x:f>
      </x:c>
      <x:c r="Z1353" t="str">
        <x:f>IF(ISNUMBER(T1353),"Cost captured","Awaiting trade cost")</x:f>
        <x:v>Awaiting trade cost</x:v>
      </x:c>
      <x:c r="AB1353" s="36" t="str">
        <x:f>IF(ISNUMBER(Y1353),ROUND(Y1353*0.9,2),"")</x:f>
      </x:c>
      <x:c r="AC1353" s="36" t="str">
        <x:f>IF(ISNUMBER(AB1353),ROUND(AB1353-(AB1353*0.015+0.2)-V1353,2),"")</x:f>
      </x:c>
      <x:c r="AD1353" s="36" t="str">
        <x:f>IF(ISNUMBER(Y1353),ROUND(Y1353*0.8,2),"")</x:f>
      </x:c>
      <x:c r="AE1353" s="36" t="str">
        <x:f>IF(ISNUMBER(AD1353),ROUND(AD1353*0.015+0.2,2),"")</x:f>
      </x:c>
      <x:c r="AF1353" s="36" t="str">
        <x:f>IF(ISNUMBER(AD1353),ROUND(AD1353-AE1353-V1353,2),"")</x:f>
      </x:c>
      <x:c r="AG1353" t="str">
        <x:f>IF(NOT(ISNUMBER(T1353)),"PENDING",IF(AF1353&gt;0,"PASS","FAIL"))</x:f>
        <x:v>PENDING</x:v>
      </x:c>
      <x:c r="AH1353" t="str">
        <x:f>IF(NOT(ISNUMBER(T1353)),"Needs supplier cost",IF(K1353&lt;&gt;"In stock","Supplier unavailable",IF(AG1353&lt;&gt;"PASS","BLOCK - GT loss risk","Commercially protected")))</x:f>
        <x:v>Needs supplier cost</x:v>
      </x:c>
      <x:c r="AI1353" t="str">
        <x:v>2026-09-10 Active Sports trade capture</x:v>
      </x:c>
      <x:c r="AJ1353" t="str">
        <x:v>Management-only economics. Stripe stress test uses 1.5% + £0.20 standard UK online-card fee; pallet/mix-and-match pricing ignored.</x:v>
      </x:c>
    </x:row>
    <x:row r="1354">
      <x:c r="A1354" t="str">
        <x:v>Active Sports Nutrition</x:v>
      </x:c>
      <x:c r="B1354" t="str">
        <x:v>Monster Energy - Ultra &amp; Sugar Free</x:v>
      </x:c>
      <x:c r="C1354" t="str">
        <x:v>Monster Ultra</x:v>
      </x:c>
      <x:c r="D1354" t="str">
        <x:v>Drinks and Bars</x:v>
      </x:c>
      <x:c r="E1354" t="str">
        <x:v>Ready to Drink Energy</x:v>
      </x:c>
      <x:c r="F1354" t="str">
        <x:v>Sugar-free Monster Ultra range.</x:v>
      </x:c>
      <x:c r="G1354" t="str">
        <x:v>12 x 500ml cans</x:v>
      </x:c>
      <x:c r="H1354" t="str">
        <x:v>Ultra White</x:v>
      </x:c>
      <x:c r="I1354" t="str">
        <x:v>12</x:v>
      </x:c>
      <x:c r="J1354" t="str">
        <x:v>Case</x:v>
      </x:c>
      <x:c r="K1354" t="str">
        <x:v>In stock</x:v>
      </x:c>
      <x:c r="L1354" t="str">
        <x:v>2026-09-08</x:v>
      </x:c>
      <x:c r="M1354" t="str"/>
      <x:c r="N1354" t="str"/>
      <x:c r="O1354" t="str">
        <x:v>https://www.activesportstrade.co.uk/Ready-to-Drink-Energy/monster-energy-ultra</x:v>
      </x:c>
      <x:c r="P1354" t="str">
        <x:v>Recent Ready-to-Drink Energy page used; it is fresher than an older supplements crawl which had Ultra Fiesta in stock.</x:v>
      </x:c>
      <x:c r="Q1354" t="str"/>
      <x:c r="R1354" t="str"/>
      <x:c r="S1354" t="str">
        <x:v>Pending genuine supplier/brand image</x:v>
      </x:c>
      <x:c r="T1354" s="54"/>
      <x:c r="U1354" s="47" t="n">
        <x:v>0.2</x:v>
      </x:c>
      <x:c r="V1354" s="54" t="str">
        <x:f>IF(ISNUMBER(T1354),T1354*(1+U1354),"")</x:f>
      </x:c>
      <x:c r="W1354" s="47" t="n">
        <x:v>0.3</x:v>
      </x:c>
      <x:c r="X1354" s="54" t="str">
        <x:f>IF(ISNUMBER(V1354),V1354/(1-W1354),"")</x:f>
      </x:c>
      <x:c r="Y1354" s="55" t="str">
        <x:f>IF(ISNUMBER(X1354),ROUNDUP(X1354,0),"")</x:f>
      </x:c>
      <x:c r="Z1354" t="str">
        <x:f>IF(ISNUMBER(T1354),"Cost captured","Awaiting trade cost")</x:f>
        <x:v>Awaiting trade cost</x:v>
      </x:c>
      <x:c r="AB1354" s="36" t="str">
        <x:f>IF(ISNUMBER(Y1354),ROUND(Y1354*0.9,2),"")</x:f>
      </x:c>
      <x:c r="AC1354" s="36" t="str">
        <x:f>IF(ISNUMBER(AB1354),ROUND(AB1354-(AB1354*0.015+0.2)-V1354,2),"")</x:f>
      </x:c>
      <x:c r="AD1354" s="36" t="str">
        <x:f>IF(ISNUMBER(Y1354),ROUND(Y1354*0.8,2),"")</x:f>
      </x:c>
      <x:c r="AE1354" s="36" t="str">
        <x:f>IF(ISNUMBER(AD1354),ROUND(AD1354*0.015+0.2,2),"")</x:f>
      </x:c>
      <x:c r="AF1354" s="36" t="str">
        <x:f>IF(ISNUMBER(AD1354),ROUND(AD1354-AE1354-V1354,2),"")</x:f>
      </x:c>
      <x:c r="AG1354" t="str">
        <x:f>IF(NOT(ISNUMBER(T1354)),"PENDING",IF(AF1354&gt;0,"PASS","FAIL"))</x:f>
        <x:v>PENDING</x:v>
      </x:c>
      <x:c r="AH1354" t="str">
        <x:f>IF(NOT(ISNUMBER(T1354)),"Needs supplier cost",IF(K1354&lt;&gt;"In stock","Supplier unavailable",IF(AG1354&lt;&gt;"PASS","BLOCK - GT loss risk","Commercially protected")))</x:f>
        <x:v>Needs supplier cost</x:v>
      </x:c>
      <x:c r="AI1354" t="str">
        <x:v>2026-09-10 Active Sports trade capture</x:v>
      </x:c>
      <x:c r="AJ1354" t="str">
        <x:v>Management-only economics. Stripe stress test uses 1.5% + £0.20 standard UK online-card fee; pallet/mix-and-match pricing ignored.</x:v>
      </x:c>
    </x:row>
    <x:row r="1355">
      <x:c r="A1355" t="str">
        <x:v>Active Sports Nutrition</x:v>
      </x:c>
      <x:c r="B1355" t="str">
        <x:v>Monster Energy - Ultra &amp; Sugar Free</x:v>
      </x:c>
      <x:c r="C1355" t="str">
        <x:v>Zero Sugar - Lando Norris</x:v>
      </x:c>
      <x:c r="D1355" t="str">
        <x:v>Drinks and Bars</x:v>
      </x:c>
      <x:c r="E1355" t="str">
        <x:v>Ready to Drink Energy</x:v>
      </x:c>
      <x:c r="F1355" t="str">
        <x:v>Sugar-free Monster Energy drink.</x:v>
      </x:c>
      <x:c r="G1355" t="str">
        <x:v>12 x 500ml cans</x:v>
      </x:c>
      <x:c r="H1355" t="str">
        <x:v>Default</x:v>
      </x:c>
      <x:c r="I1355" t="str">
        <x:v>12</x:v>
      </x:c>
      <x:c r="J1355" t="str">
        <x:v>Case</x:v>
      </x:c>
      <x:c r="K1355" t="str">
        <x:v>In stock</x:v>
      </x:c>
      <x:c r="L1355" t="str">
        <x:v>2026-09-08</x:v>
      </x:c>
      <x:c r="M1355" t="str"/>
      <x:c r="N1355" t="str"/>
      <x:c r="O1355" t="str">
        <x:v>https://www.activesportstrade.co.uk/trade-sports-supplements/monster-energy-ultra</x:v>
      </x:c>
      <x:c r="P1355" t="str">
        <x:v>PALLET PROMO pricing/boilerplate stripped. Case-only member order.</x:v>
      </x:c>
      <x:c r="Q1355" t="str"/>
      <x:c r="R1355" t="str"/>
      <x:c r="S1355" t="str">
        <x:v>Pending genuine supplier/brand image</x:v>
      </x:c>
      <x:c r="T1355" s="54"/>
      <x:c r="U1355" s="47" t="n">
        <x:v>0.2</x:v>
      </x:c>
      <x:c r="V1355" s="54" t="str">
        <x:f>IF(ISNUMBER(T1355),T1355*(1+U1355),"")</x:f>
      </x:c>
      <x:c r="W1355" s="47" t="n">
        <x:v>0.3</x:v>
      </x:c>
      <x:c r="X1355" s="54" t="str">
        <x:f>IF(ISNUMBER(V1355),V1355/(1-W1355),"")</x:f>
      </x:c>
      <x:c r="Y1355" s="55" t="str">
        <x:f>IF(ISNUMBER(X1355),ROUNDUP(X1355,0),"")</x:f>
      </x:c>
      <x:c r="Z1355" t="str">
        <x:f>IF(ISNUMBER(T1355),"Cost captured","Awaiting trade cost")</x:f>
        <x:v>Awaiting trade cost</x:v>
      </x:c>
      <x:c r="AB1355" s="36" t="str">
        <x:f>IF(ISNUMBER(Y1355),ROUND(Y1355*0.9,2),"")</x:f>
      </x:c>
      <x:c r="AC1355" s="36" t="str">
        <x:f>IF(ISNUMBER(AB1355),ROUND(AB1355-(AB1355*0.015+0.2)-V1355,2),"")</x:f>
      </x:c>
      <x:c r="AD1355" s="36" t="str">
        <x:f>IF(ISNUMBER(Y1355),ROUND(Y1355*0.8,2),"")</x:f>
      </x:c>
      <x:c r="AE1355" s="36" t="str">
        <x:f>IF(ISNUMBER(AD1355),ROUND(AD1355*0.015+0.2,2),"")</x:f>
      </x:c>
      <x:c r="AF1355" s="36" t="str">
        <x:f>IF(ISNUMBER(AD1355),ROUND(AD1355-AE1355-V1355,2),"")</x:f>
      </x:c>
      <x:c r="AG1355" t="str">
        <x:f>IF(NOT(ISNUMBER(T1355)),"PENDING",IF(AF1355&gt;0,"PASS","FAIL"))</x:f>
        <x:v>PENDING</x:v>
      </x:c>
      <x:c r="AH1355" t="str">
        <x:f>IF(NOT(ISNUMBER(T1355)),"Needs supplier cost",IF(K1355&lt;&gt;"In stock","Supplier unavailable",IF(AG1355&lt;&gt;"PASS","BLOCK - GT loss risk","Commercially protected")))</x:f>
        <x:v>Needs supplier cost</x:v>
      </x:c>
      <x:c r="AI1355" t="str">
        <x:v>2026-09-10 Active Sports trade capture</x:v>
      </x:c>
      <x:c r="AJ1355" t="str">
        <x:v>Management-only economics. Stripe stress test uses 1.5% + £0.20 standard UK online-card fee; pallet/mix-and-match pricing ignored.</x:v>
      </x:c>
    </x:row>
    <x:row r="1356">
      <x:c r="A1356" t="str">
        <x:v>Active Sports Nutrition</x:v>
      </x:c>
      <x:c r="B1356" t="str">
        <x:v>Monster Energy - Ultra &amp; Sugar Free</x:v>
      </x:c>
      <x:c r="C1356" t="str">
        <x:v>Zero Sugar - Lewis Hamilton</x:v>
      </x:c>
      <x:c r="D1356" t="str">
        <x:v>Drinks and Bars</x:v>
      </x:c>
      <x:c r="E1356" t="str">
        <x:v>Ready to Drink Energy</x:v>
      </x:c>
      <x:c r="F1356" t="str">
        <x:v>Sugar-free Monster Energy drink.</x:v>
      </x:c>
      <x:c r="G1356" t="str">
        <x:v>12 x 500ml cans</x:v>
      </x:c>
      <x:c r="H1356" t="str">
        <x:v>Default</x:v>
      </x:c>
      <x:c r="I1356" t="str">
        <x:v>12</x:v>
      </x:c>
      <x:c r="J1356" t="str">
        <x:v>Case</x:v>
      </x:c>
      <x:c r="K1356" t="str">
        <x:v>In stock</x:v>
      </x:c>
      <x:c r="L1356" t="str">
        <x:v>2026-09-08</x:v>
      </x:c>
      <x:c r="M1356" t="str"/>
      <x:c r="N1356" t="str"/>
      <x:c r="O1356" t="str">
        <x:v>https://www.activesportstrade.co.uk/trade-sports-supplements/monster-energy-ultra</x:v>
      </x:c>
      <x:c r="P1356" t="str">
        <x:v>PALLET PROMO pricing/boilerplate stripped. Case-only member order.</x:v>
      </x:c>
      <x:c r="Q1356" t="str"/>
      <x:c r="R1356" t="str"/>
      <x:c r="S1356" t="str">
        <x:v>Pending genuine supplier/brand image</x:v>
      </x:c>
      <x:c r="T1356" s="54"/>
      <x:c r="U1356" s="47" t="n">
        <x:v>0.2</x:v>
      </x:c>
      <x:c r="V1356" s="54" t="str">
        <x:f>IF(ISNUMBER(T1356),T1356*(1+U1356),"")</x:f>
      </x:c>
      <x:c r="W1356" s="47" t="n">
        <x:v>0.3</x:v>
      </x:c>
      <x:c r="X1356" s="54" t="str">
        <x:f>IF(ISNUMBER(V1356),V1356/(1-W1356),"")</x:f>
      </x:c>
      <x:c r="Y1356" s="55" t="str">
        <x:f>IF(ISNUMBER(X1356),ROUNDUP(X1356,0),"")</x:f>
      </x:c>
      <x:c r="Z1356" t="str">
        <x:f>IF(ISNUMBER(T1356),"Cost captured","Awaiting trade cost")</x:f>
        <x:v>Awaiting trade cost</x:v>
      </x:c>
      <x:c r="AB1356" s="36" t="str">
        <x:f>IF(ISNUMBER(Y1356),ROUND(Y1356*0.9,2),"")</x:f>
      </x:c>
      <x:c r="AC1356" s="36" t="str">
        <x:f>IF(ISNUMBER(AB1356),ROUND(AB1356-(AB1356*0.015+0.2)-V1356,2),"")</x:f>
      </x:c>
      <x:c r="AD1356" s="36" t="str">
        <x:f>IF(ISNUMBER(Y1356),ROUND(Y1356*0.8,2),"")</x:f>
      </x:c>
      <x:c r="AE1356" s="36" t="str">
        <x:f>IF(ISNUMBER(AD1356),ROUND(AD1356*0.015+0.2,2),"")</x:f>
      </x:c>
      <x:c r="AF1356" s="36" t="str">
        <x:f>IF(ISNUMBER(AD1356),ROUND(AD1356-AE1356-V1356,2),"")</x:f>
      </x:c>
      <x:c r="AG1356" t="str">
        <x:f>IF(NOT(ISNUMBER(T1356)),"PENDING",IF(AF1356&gt;0,"PASS","FAIL"))</x:f>
        <x:v>PENDING</x:v>
      </x:c>
      <x:c r="AH1356" t="str">
        <x:f>IF(NOT(ISNUMBER(T1356)),"Needs supplier cost",IF(K1356&lt;&gt;"In stock","Supplier unavailable",IF(AG1356&lt;&gt;"PASS","BLOCK - GT loss risk","Commercially protected")))</x:f>
        <x:v>Needs supplier cost</x:v>
      </x:c>
      <x:c r="AI1356" t="str">
        <x:v>2026-09-10 Active Sports trade capture</x:v>
      </x:c>
      <x:c r="AJ1356" t="str">
        <x:v>Management-only economics. Stripe stress test uses 1.5% + £0.20 standard UK online-card fee; pallet/mix-and-match pricing ignored.</x:v>
      </x:c>
    </x:row>
    <x:row r="1357">
      <x:c r="A1357" t="str">
        <x:v>Active Sports Nutrition</x:v>
      </x:c>
      <x:c r="B1357" t="str">
        <x:v>Monster Energy - Ultra &amp; Sugar Free</x:v>
      </x:c>
      <x:c r="C1357" t="str">
        <x:v>Zero Sugar - Original</x:v>
      </x:c>
      <x:c r="D1357" t="str">
        <x:v>Drinks and Bars</x:v>
      </x:c>
      <x:c r="E1357" t="str">
        <x:v>Ready to Drink Energy</x:v>
      </x:c>
      <x:c r="F1357" t="str">
        <x:v>Sugar-free Monster Energy drink.</x:v>
      </x:c>
      <x:c r="G1357" t="str">
        <x:v>12 x 500ml cans</x:v>
      </x:c>
      <x:c r="H1357" t="str">
        <x:v>Default</x:v>
      </x:c>
      <x:c r="I1357" t="str">
        <x:v>12</x:v>
      </x:c>
      <x:c r="J1357" t="str">
        <x:v>Case</x:v>
      </x:c>
      <x:c r="K1357" t="str">
        <x:v>In stock</x:v>
      </x:c>
      <x:c r="L1357" t="str">
        <x:v>2026-09-08</x:v>
      </x:c>
      <x:c r="M1357" t="str"/>
      <x:c r="N1357" t="str"/>
      <x:c r="O1357" t="str">
        <x:v>https://www.activesportstrade.co.uk/trade-sports-supplements/monster-energy-ultra</x:v>
      </x:c>
      <x:c r="P1357" t="str">
        <x:v>PALLET PROMO pricing/boilerplate stripped. Case-only member order.</x:v>
      </x:c>
      <x:c r="Q1357" t="str"/>
      <x:c r="R1357" t="str"/>
      <x:c r="S1357" t="str">
        <x:v>Pending genuine supplier/brand image</x:v>
      </x:c>
      <x:c r="T1357" s="54"/>
      <x:c r="U1357" s="47" t="n">
        <x:v>0.2</x:v>
      </x:c>
      <x:c r="V1357" s="54" t="str">
        <x:f>IF(ISNUMBER(T1357),T1357*(1+U1357),"")</x:f>
      </x:c>
      <x:c r="W1357" s="47" t="n">
        <x:v>0.3</x:v>
      </x:c>
      <x:c r="X1357" s="54" t="str">
        <x:f>IF(ISNUMBER(V1357),V1357/(1-W1357),"")</x:f>
      </x:c>
      <x:c r="Y1357" s="55" t="str">
        <x:f>IF(ISNUMBER(X1357),ROUNDUP(X1357,0),"")</x:f>
      </x:c>
      <x:c r="Z1357" t="str">
        <x:f>IF(ISNUMBER(T1357),"Cost captured","Awaiting trade cost")</x:f>
        <x:v>Awaiting trade cost</x:v>
      </x:c>
      <x:c r="AB1357" s="36" t="str">
        <x:f>IF(ISNUMBER(Y1357),ROUND(Y1357*0.9,2),"")</x:f>
      </x:c>
      <x:c r="AC1357" s="36" t="str">
        <x:f>IF(ISNUMBER(AB1357),ROUND(AB1357-(AB1357*0.015+0.2)-V1357,2),"")</x:f>
      </x:c>
      <x:c r="AD1357" s="36" t="str">
        <x:f>IF(ISNUMBER(Y1357),ROUND(Y1357*0.8,2),"")</x:f>
      </x:c>
      <x:c r="AE1357" s="36" t="str">
        <x:f>IF(ISNUMBER(AD1357),ROUND(AD1357*0.015+0.2,2),"")</x:f>
      </x:c>
      <x:c r="AF1357" s="36" t="str">
        <x:f>IF(ISNUMBER(AD1357),ROUND(AD1357-AE1357-V1357,2),"")</x:f>
      </x:c>
      <x:c r="AG1357" t="str">
        <x:f>IF(NOT(ISNUMBER(T1357)),"PENDING",IF(AF1357&gt;0,"PASS","FAIL"))</x:f>
        <x:v>PENDING</x:v>
      </x:c>
      <x:c r="AH1357" t="str">
        <x:f>IF(NOT(ISNUMBER(T1357)),"Needs supplier cost",IF(K1357&lt;&gt;"In stock","Supplier unavailable",IF(AG1357&lt;&gt;"PASS","BLOCK - GT loss risk","Commercially protected")))</x:f>
        <x:v>Needs supplier cost</x:v>
      </x:c>
      <x:c r="AI1357" t="str">
        <x:v>2026-09-10 Active Sports trade capture</x:v>
      </x:c>
      <x:c r="AJ1357" t="str">
        <x:v>Management-only economics. Stripe stress test uses 1.5% + £0.20 standard UK online-card fee; pallet/mix-and-match pricing ignored.</x:v>
      </x:c>
    </x:row>
    <x:row r="1358">
      <x:c r="A1358" t="str">
        <x:v>Active Sports Nutrition</x:v>
      </x:c>
      <x:c r="B1358" t="str">
        <x:v>Monster Energy - Ultra &amp; Sugar Free</x:v>
      </x:c>
      <x:c r="C1358" t="str">
        <x:v>Zero Sugar - VR 46 Valentino Rossi</x:v>
      </x:c>
      <x:c r="D1358" t="str">
        <x:v>Drinks and Bars</x:v>
      </x:c>
      <x:c r="E1358" t="str">
        <x:v>Ready to Drink Energy</x:v>
      </x:c>
      <x:c r="F1358" t="str">
        <x:v>Sugar-free Monster Energy drink.</x:v>
      </x:c>
      <x:c r="G1358" t="str">
        <x:v>12 x 500ml cans</x:v>
      </x:c>
      <x:c r="H1358" t="str">
        <x:v>Default</x:v>
      </x:c>
      <x:c r="I1358" t="str">
        <x:v>12</x:v>
      </x:c>
      <x:c r="J1358" t="str">
        <x:v>Case</x:v>
      </x:c>
      <x:c r="K1358" t="str">
        <x:v>In stock</x:v>
      </x:c>
      <x:c r="L1358" t="str">
        <x:v>2026-09-08</x:v>
      </x:c>
      <x:c r="M1358" t="str"/>
      <x:c r="N1358" t="str"/>
      <x:c r="O1358" t="str">
        <x:v>https://www.activesportstrade.co.uk/trade-sports-supplements/monster-energy-ultra</x:v>
      </x:c>
      <x:c r="P1358" t="str">
        <x:v>PALLET PROMO pricing/boilerplate stripped. Case-only member order.</x:v>
      </x:c>
      <x:c r="Q1358" t="str"/>
      <x:c r="R1358" t="str"/>
      <x:c r="S1358" t="str">
        <x:v>Pending genuine supplier/brand image</x:v>
      </x:c>
      <x:c r="T1358" s="54"/>
      <x:c r="U1358" s="47" t="n">
        <x:v>0.2</x:v>
      </x:c>
      <x:c r="V1358" s="54" t="str">
        <x:f>IF(ISNUMBER(T1358),T1358*(1+U1358),"")</x:f>
      </x:c>
      <x:c r="W1358" s="47" t="n">
        <x:v>0.3</x:v>
      </x:c>
      <x:c r="X1358" s="54" t="str">
        <x:f>IF(ISNUMBER(V1358),V1358/(1-W1358),"")</x:f>
      </x:c>
      <x:c r="Y1358" s="55" t="str">
        <x:f>IF(ISNUMBER(X1358),ROUNDUP(X1358,0),"")</x:f>
      </x:c>
      <x:c r="Z1358" t="str">
        <x:f>IF(ISNUMBER(T1358),"Cost captured","Awaiting trade cost")</x:f>
        <x:v>Awaiting trade cost</x:v>
      </x:c>
      <x:c r="AB1358" s="36" t="str">
        <x:f>IF(ISNUMBER(Y1358),ROUND(Y1358*0.9,2),"")</x:f>
      </x:c>
      <x:c r="AC1358" s="36" t="str">
        <x:f>IF(ISNUMBER(AB1358),ROUND(AB1358-(AB1358*0.015+0.2)-V1358,2),"")</x:f>
      </x:c>
      <x:c r="AD1358" s="36" t="str">
        <x:f>IF(ISNUMBER(Y1358),ROUND(Y1358*0.8,2),"")</x:f>
      </x:c>
      <x:c r="AE1358" s="36" t="str">
        <x:f>IF(ISNUMBER(AD1358),ROUND(AD1358*0.015+0.2,2),"")</x:f>
      </x:c>
      <x:c r="AF1358" s="36" t="str">
        <x:f>IF(ISNUMBER(AD1358),ROUND(AD1358-AE1358-V1358,2),"")</x:f>
      </x:c>
      <x:c r="AG1358" t="str">
        <x:f>IF(NOT(ISNUMBER(T1358)),"PENDING",IF(AF1358&gt;0,"PASS","FAIL"))</x:f>
        <x:v>PENDING</x:v>
      </x:c>
      <x:c r="AH1358" t="str">
        <x:f>IF(NOT(ISNUMBER(T1358)),"Needs supplier cost",IF(K1358&lt;&gt;"In stock","Supplier unavailable",IF(AG1358&lt;&gt;"PASS","BLOCK - GT loss risk","Commercially protected")))</x:f>
        <x:v>Needs supplier cost</x:v>
      </x:c>
      <x:c r="AI1358" t="str">
        <x:v>2026-09-10 Active Sports trade capture</x:v>
      </x:c>
      <x:c r="AJ1358" t="str">
        <x:v>Management-only economics. Stripe stress test uses 1.5% + £0.20 standard UK online-card fee; pallet/mix-and-match pricing ignored.</x:v>
      </x:c>
    </x:row>
    <x:row r="1359">
      <x:c r="A1359" t="str">
        <x:v>Active Sports Nutrition</x:v>
      </x:c>
      <x:c r="B1359" t="str">
        <x:v>Muscle King Nutrition</x:v>
      </x:c>
      <x:c r="C1359" t="str">
        <x:v>Carbo Fuel RTD</x:v>
      </x:c>
      <x:c r="D1359" t="str">
        <x:v>Drinks and Bars</x:v>
      </x:c>
      <x:c r="E1359" t="str">
        <x:v>Carbohydrate Drinks</x:v>
      </x:c>
      <x:c r="F1359" t="str">
        <x:v>Ready-to-drink carbohydrate drink.</x:v>
      </x:c>
      <x:c r="G1359" t="str">
        <x:v>12 x 500ml bottles</x:v>
      </x:c>
      <x:c r="H1359" t="str">
        <x:v>Orange - BBE 06/26</x:v>
      </x:c>
      <x:c r="I1359" t="str">
        <x:v>12</x:v>
      </x:c>
      <x:c r="J1359" t="str">
        <x:v>Case</x:v>
      </x:c>
      <x:c r="K1359" t="str">
        <x:v>Unavailable - dated clearance</x:v>
      </x:c>
      <x:c r="L1359" t="str">
        <x:v>2026-09-08</x:v>
      </x:c>
      <x:c r="M1359" t="str"/>
      <x:c r="N1359" t="str"/>
      <x:c r="O1359" t="str">
        <x:v>https://www.activesportstrade.co.uk/trade-sports-supplements/Muscle-King-Nutrition</x:v>
      </x:c>
      <x:c r="P1359" t="str">
        <x:v>Dated BBE promo variants retained as clearance-only; current normal flavours use PALLET PROMO listing with commercial boilerplate stripped.</x:v>
      </x:c>
      <x:c r="Q1359" t="str"/>
      <x:c r="R1359" t="str"/>
      <x:c r="S1359" t="str">
        <x:v>Pending genuine supplier/brand image</x:v>
      </x:c>
      <x:c r="T1359" s="54"/>
      <x:c r="U1359" s="47" t="n">
        <x:v>0.2</x:v>
      </x:c>
      <x:c r="V1359" s="54" t="str">
        <x:f>IF(ISNUMBER(T1359),T1359*(1+U1359),"")</x:f>
      </x:c>
      <x:c r="W1359" s="47" t="n">
        <x:v>0.3</x:v>
      </x:c>
      <x:c r="X1359" s="54" t="str">
        <x:f>IF(ISNUMBER(V1359),V1359/(1-W1359),"")</x:f>
      </x:c>
      <x:c r="Y1359" s="55" t="str">
        <x:f>IF(ISNUMBER(X1359),ROUNDUP(X1359,0),"")</x:f>
      </x:c>
      <x:c r="Z1359" t="str">
        <x:f>IF(ISNUMBER(T1359),"Cost captured","Awaiting trade cost")</x:f>
        <x:v>Awaiting trade cost</x:v>
      </x:c>
      <x:c r="AB1359" s="36" t="str">
        <x:f>IF(ISNUMBER(Y1359),ROUND(Y1359*0.9,2),"")</x:f>
      </x:c>
      <x:c r="AC1359" s="36" t="str">
        <x:f>IF(ISNUMBER(AB1359),ROUND(AB1359-(AB1359*0.015+0.2)-V1359,2),"")</x:f>
      </x:c>
      <x:c r="AD1359" s="36" t="str">
        <x:f>IF(ISNUMBER(Y1359),ROUND(Y1359*0.8,2),"")</x:f>
      </x:c>
      <x:c r="AE1359" s="36" t="str">
        <x:f>IF(ISNUMBER(AD1359),ROUND(AD1359*0.015+0.2,2),"")</x:f>
      </x:c>
      <x:c r="AF1359" s="36" t="str">
        <x:f>IF(ISNUMBER(AD1359),ROUND(AD1359-AE1359-V1359,2),"")</x:f>
      </x:c>
      <x:c r="AG1359" t="str">
        <x:f>IF(NOT(ISNUMBER(T1359)),"PENDING",IF(AF1359&gt;0,"PASS","FAIL"))</x:f>
        <x:v>PENDING</x:v>
      </x:c>
      <x:c r="AH1359" t="str">
        <x:f>IF(NOT(ISNUMBER(T1359)),"Needs supplier cost",IF(K1359&lt;&gt;"In stock","Supplier unavailable",IF(AG1359&lt;&gt;"PASS","BLOCK - GT loss risk","Commercially protected")))</x:f>
        <x:v>Needs supplier cost</x:v>
      </x:c>
      <x:c r="AI1359" t="str">
        <x:v>2026-09-10 Active Sports trade capture</x:v>
      </x:c>
      <x:c r="AJ1359" t="str">
        <x:v>Management-only economics. Stripe stress test uses 1.5% + £0.20 standard UK online-card fee; pallet/mix-and-match pricing ignored.</x:v>
      </x:c>
    </x:row>
    <x:row r="1360">
      <x:c r="A1360" t="str">
        <x:v>Active Sports Nutrition</x:v>
      </x:c>
      <x:c r="B1360" t="str">
        <x:v>Muscle King Nutrition</x:v>
      </x:c>
      <x:c r="C1360" t="str">
        <x:v>Carbo Fuel RTD</x:v>
      </x:c>
      <x:c r="D1360" t="str">
        <x:v>Drinks and Bars</x:v>
      </x:c>
      <x:c r="E1360" t="str">
        <x:v>Carbohydrate Drinks</x:v>
      </x:c>
      <x:c r="F1360" t="str">
        <x:v>Ready-to-drink carbohydrate drink.</x:v>
      </x:c>
      <x:c r="G1360" t="str">
        <x:v>12 x 500ml bottles</x:v>
      </x:c>
      <x:c r="H1360" t="str">
        <x:v>Blue Raspberry - BBE 08/26</x:v>
      </x:c>
      <x:c r="I1360" t="str">
        <x:v>12</x:v>
      </x:c>
      <x:c r="J1360" t="str">
        <x:v>Case</x:v>
      </x:c>
      <x:c r="K1360" t="str">
        <x:v>Unavailable - dated clearance</x:v>
      </x:c>
      <x:c r="L1360" t="str">
        <x:v>2026-09-08</x:v>
      </x:c>
      <x:c r="M1360" t="str"/>
      <x:c r="N1360" t="str"/>
      <x:c r="O1360" t="str">
        <x:v>https://www.activesportstrade.co.uk/trade-sports-supplements/Muscle-King-Nutrition</x:v>
      </x:c>
      <x:c r="P1360" t="str">
        <x:v>Dated BBE promo variants retained as clearance-only; current normal flavours use PALLET PROMO listing with commercial boilerplate stripped.</x:v>
      </x:c>
      <x:c r="Q1360" t="str"/>
      <x:c r="R1360" t="str"/>
      <x:c r="S1360" t="str">
        <x:v>Pending genuine supplier/brand image</x:v>
      </x:c>
      <x:c r="T1360" s="54"/>
      <x:c r="U1360" s="47" t="n">
        <x:v>0.2</x:v>
      </x:c>
      <x:c r="V1360" s="54" t="str">
        <x:f>IF(ISNUMBER(T1360),T1360*(1+U1360),"")</x:f>
      </x:c>
      <x:c r="W1360" s="47" t="n">
        <x:v>0.3</x:v>
      </x:c>
      <x:c r="X1360" s="54" t="str">
        <x:f>IF(ISNUMBER(V1360),V1360/(1-W1360),"")</x:f>
      </x:c>
      <x:c r="Y1360" s="55" t="str">
        <x:f>IF(ISNUMBER(X1360),ROUNDUP(X1360,0),"")</x:f>
      </x:c>
      <x:c r="Z1360" t="str">
        <x:f>IF(ISNUMBER(T1360),"Cost captured","Awaiting trade cost")</x:f>
        <x:v>Awaiting trade cost</x:v>
      </x:c>
      <x:c r="AB1360" s="36" t="str">
        <x:f>IF(ISNUMBER(Y1360),ROUND(Y1360*0.9,2),"")</x:f>
      </x:c>
      <x:c r="AC1360" s="36" t="str">
        <x:f>IF(ISNUMBER(AB1360),ROUND(AB1360-(AB1360*0.015+0.2)-V1360,2),"")</x:f>
      </x:c>
      <x:c r="AD1360" s="36" t="str">
        <x:f>IF(ISNUMBER(Y1360),ROUND(Y1360*0.8,2),"")</x:f>
      </x:c>
      <x:c r="AE1360" s="36" t="str">
        <x:f>IF(ISNUMBER(AD1360),ROUND(AD1360*0.015+0.2,2),"")</x:f>
      </x:c>
      <x:c r="AF1360" s="36" t="str">
        <x:f>IF(ISNUMBER(AD1360),ROUND(AD1360-AE1360-V1360,2),"")</x:f>
      </x:c>
      <x:c r="AG1360" t="str">
        <x:f>IF(NOT(ISNUMBER(T1360)),"PENDING",IF(AF1360&gt;0,"PASS","FAIL"))</x:f>
        <x:v>PENDING</x:v>
      </x:c>
      <x:c r="AH1360" t="str">
        <x:f>IF(NOT(ISNUMBER(T1360)),"Needs supplier cost",IF(K1360&lt;&gt;"In stock","Supplier unavailable",IF(AG1360&lt;&gt;"PASS","BLOCK - GT loss risk","Commercially protected")))</x:f>
        <x:v>Needs supplier cost</x:v>
      </x:c>
      <x:c r="AI1360" t="str">
        <x:v>2026-09-10 Active Sports trade capture</x:v>
      </x:c>
      <x:c r="AJ1360" t="str">
        <x:v>Management-only economics. Stripe stress test uses 1.5% + £0.20 standard UK online-card fee; pallet/mix-and-match pricing ignored.</x:v>
      </x:c>
    </x:row>
    <x:row r="1361">
      <x:c r="A1361" t="str">
        <x:v>Active Sports Nutrition</x:v>
      </x:c>
      <x:c r="B1361" t="str">
        <x:v>Muscle King Nutrition</x:v>
      </x:c>
      <x:c r="C1361" t="str">
        <x:v>Carbo Fuel RTD</x:v>
      </x:c>
      <x:c r="D1361" t="str">
        <x:v>Drinks and Bars</x:v>
      </x:c>
      <x:c r="E1361" t="str">
        <x:v>Carbohydrate Drinks</x:v>
      </x:c>
      <x:c r="F1361" t="str">
        <x:v>Ready-to-drink carbohydrate drink.</x:v>
      </x:c>
      <x:c r="G1361" t="str">
        <x:v>12 x 500ml bottles</x:v>
      </x:c>
      <x:c r="H1361" t="str">
        <x:v>Lemon &amp; Lime - BBE 08/26</x:v>
      </x:c>
      <x:c r="I1361" t="str">
        <x:v>12</x:v>
      </x:c>
      <x:c r="J1361" t="str">
        <x:v>Case</x:v>
      </x:c>
      <x:c r="K1361" t="str">
        <x:v>Unavailable - dated clearance</x:v>
      </x:c>
      <x:c r="L1361" t="str">
        <x:v>2026-09-08</x:v>
      </x:c>
      <x:c r="M1361" t="str"/>
      <x:c r="N1361" t="str"/>
      <x:c r="O1361" t="str">
        <x:v>https://www.activesportstrade.co.uk/trade-sports-supplements/Muscle-King-Nutrition</x:v>
      </x:c>
      <x:c r="P1361" t="str">
        <x:v>Dated BBE promo variants retained as clearance-only; current normal flavours use PALLET PROMO listing with commercial boilerplate stripped.</x:v>
      </x:c>
      <x:c r="Q1361" t="str"/>
      <x:c r="R1361" t="str"/>
      <x:c r="S1361" t="str">
        <x:v>Pending genuine supplier/brand image</x:v>
      </x:c>
      <x:c r="T1361" s="54"/>
      <x:c r="U1361" s="47" t="n">
        <x:v>0.2</x:v>
      </x:c>
      <x:c r="V1361" s="54" t="str">
        <x:f>IF(ISNUMBER(T1361),T1361*(1+U1361),"")</x:f>
      </x:c>
      <x:c r="W1361" s="47" t="n">
        <x:v>0.3</x:v>
      </x:c>
      <x:c r="X1361" s="54" t="str">
        <x:f>IF(ISNUMBER(V1361),V1361/(1-W1361),"")</x:f>
      </x:c>
      <x:c r="Y1361" s="55" t="str">
        <x:f>IF(ISNUMBER(X1361),ROUNDUP(X1361,0),"")</x:f>
      </x:c>
      <x:c r="Z1361" t="str">
        <x:f>IF(ISNUMBER(T1361),"Cost captured","Awaiting trade cost")</x:f>
        <x:v>Awaiting trade cost</x:v>
      </x:c>
      <x:c r="AB1361" s="36" t="str">
        <x:f>IF(ISNUMBER(Y1361),ROUND(Y1361*0.9,2),"")</x:f>
      </x:c>
      <x:c r="AC1361" s="36" t="str">
        <x:f>IF(ISNUMBER(AB1361),ROUND(AB1361-(AB1361*0.015+0.2)-V1361,2),"")</x:f>
      </x:c>
      <x:c r="AD1361" s="36" t="str">
        <x:f>IF(ISNUMBER(Y1361),ROUND(Y1361*0.8,2),"")</x:f>
      </x:c>
      <x:c r="AE1361" s="36" t="str">
        <x:f>IF(ISNUMBER(AD1361),ROUND(AD1361*0.015+0.2,2),"")</x:f>
      </x:c>
      <x:c r="AF1361" s="36" t="str">
        <x:f>IF(ISNUMBER(AD1361),ROUND(AD1361-AE1361-V1361,2),"")</x:f>
      </x:c>
      <x:c r="AG1361" t="str">
        <x:f>IF(NOT(ISNUMBER(T1361)),"PENDING",IF(AF1361&gt;0,"PASS","FAIL"))</x:f>
        <x:v>PENDING</x:v>
      </x:c>
      <x:c r="AH1361" t="str">
        <x:f>IF(NOT(ISNUMBER(T1361)),"Needs supplier cost",IF(K1361&lt;&gt;"In stock","Supplier unavailable",IF(AG1361&lt;&gt;"PASS","BLOCK - GT loss risk","Commercially protected")))</x:f>
        <x:v>Needs supplier cost</x:v>
      </x:c>
      <x:c r="AI1361" t="str">
        <x:v>2026-09-10 Active Sports trade capture</x:v>
      </x:c>
      <x:c r="AJ1361" t="str">
        <x:v>Management-only economics. Stripe stress test uses 1.5% + £0.20 standard UK online-card fee; pallet/mix-and-match pricing ignored.</x:v>
      </x:c>
    </x:row>
    <x:row r="1362">
      <x:c r="A1362" t="str">
        <x:v>Active Sports Nutrition</x:v>
      </x:c>
      <x:c r="B1362" t="str">
        <x:v>Muscle King Nutrition</x:v>
      </x:c>
      <x:c r="C1362" t="str">
        <x:v>Carbo Fuel RTD</x:v>
      </x:c>
      <x:c r="D1362" t="str">
        <x:v>Drinks and Bars</x:v>
      </x:c>
      <x:c r="E1362" t="str">
        <x:v>Carbohydrate Drinks</x:v>
      </x:c>
      <x:c r="F1362" t="str">
        <x:v>Ready-to-drink carbohydrate drink.</x:v>
      </x:c>
      <x:c r="G1362" t="str">
        <x:v>12 x 500ml bottles</x:v>
      </x:c>
      <x:c r="H1362" t="str">
        <x:v>Blue Raspberry</x:v>
      </x:c>
      <x:c r="I1362" t="str">
        <x:v>12</x:v>
      </x:c>
      <x:c r="J1362" t="str">
        <x:v>Case</x:v>
      </x:c>
      <x:c r="K1362" t="str">
        <x:v>In stock</x:v>
      </x:c>
      <x:c r="L1362" t="str">
        <x:v>2026-09-08</x:v>
      </x:c>
      <x:c r="M1362" t="str"/>
      <x:c r="N1362" t="str"/>
      <x:c r="O1362" t="str">
        <x:v>https://www.activesportstrade.co.uk/trade-sports-supplements/Muscle-King-Nutrition</x:v>
      </x:c>
      <x:c r="P1362" t="str">
        <x:v>Dated BBE promo variants retained as clearance-only; current normal flavours use PALLET PROMO listing with commercial boilerplate stripped.</x:v>
      </x:c>
      <x:c r="Q1362" t="str"/>
      <x:c r="R1362" t="str"/>
      <x:c r="S1362" t="str">
        <x:v>Pending genuine supplier/brand image</x:v>
      </x:c>
      <x:c r="T1362" s="54"/>
      <x:c r="U1362" s="47" t="n">
        <x:v>0.2</x:v>
      </x:c>
      <x:c r="V1362" s="54" t="str">
        <x:f>IF(ISNUMBER(T1362),T1362*(1+U1362),"")</x:f>
      </x:c>
      <x:c r="W1362" s="47" t="n">
        <x:v>0.3</x:v>
      </x:c>
      <x:c r="X1362" s="54" t="str">
        <x:f>IF(ISNUMBER(V1362),V1362/(1-W1362),"")</x:f>
      </x:c>
      <x:c r="Y1362" s="55" t="str">
        <x:f>IF(ISNUMBER(X1362),ROUNDUP(X1362,0),"")</x:f>
      </x:c>
      <x:c r="Z1362" t="str">
        <x:f>IF(ISNUMBER(T1362),"Cost captured","Awaiting trade cost")</x:f>
        <x:v>Awaiting trade cost</x:v>
      </x:c>
      <x:c r="AB1362" s="36" t="str">
        <x:f>IF(ISNUMBER(Y1362),ROUND(Y1362*0.9,2),"")</x:f>
      </x:c>
      <x:c r="AC1362" s="36" t="str">
        <x:f>IF(ISNUMBER(AB1362),ROUND(AB1362-(AB1362*0.015+0.2)-V1362,2),"")</x:f>
      </x:c>
      <x:c r="AD1362" s="36" t="str">
        <x:f>IF(ISNUMBER(Y1362),ROUND(Y1362*0.8,2),"")</x:f>
      </x:c>
      <x:c r="AE1362" s="36" t="str">
        <x:f>IF(ISNUMBER(AD1362),ROUND(AD1362*0.015+0.2,2),"")</x:f>
      </x:c>
      <x:c r="AF1362" s="36" t="str">
        <x:f>IF(ISNUMBER(AD1362),ROUND(AD1362-AE1362-V1362,2),"")</x:f>
      </x:c>
      <x:c r="AG1362" t="str">
        <x:f>IF(NOT(ISNUMBER(T1362)),"PENDING",IF(AF1362&gt;0,"PASS","FAIL"))</x:f>
        <x:v>PENDING</x:v>
      </x:c>
      <x:c r="AH1362" t="str">
        <x:f>IF(NOT(ISNUMBER(T1362)),"Needs supplier cost",IF(K1362&lt;&gt;"In stock","Supplier unavailable",IF(AG1362&lt;&gt;"PASS","BLOCK - GT loss risk","Commercially protected")))</x:f>
        <x:v>Needs supplier cost</x:v>
      </x:c>
      <x:c r="AI1362" t="str">
        <x:v>2026-09-10 Active Sports trade capture</x:v>
      </x:c>
      <x:c r="AJ1362" t="str">
        <x:v>Management-only economics. Stripe stress test uses 1.5% + £0.20 standard UK online-card fee; pallet/mix-and-match pricing ignored.</x:v>
      </x:c>
    </x:row>
    <x:row r="1363">
      <x:c r="A1363" t="str">
        <x:v>Active Sports Nutrition</x:v>
      </x:c>
      <x:c r="B1363" t="str">
        <x:v>Muscle King Nutrition</x:v>
      </x:c>
      <x:c r="C1363" t="str">
        <x:v>Carbo Fuel RTD</x:v>
      </x:c>
      <x:c r="D1363" t="str">
        <x:v>Drinks and Bars</x:v>
      </x:c>
      <x:c r="E1363" t="str">
        <x:v>Carbohydrate Drinks</x:v>
      </x:c>
      <x:c r="F1363" t="str">
        <x:v>Ready-to-drink carbohydrate drink.</x:v>
      </x:c>
      <x:c r="G1363" t="str">
        <x:v>12 x 500ml bottles</x:v>
      </x:c>
      <x:c r="H1363" t="str">
        <x:v>Fruit Burst</x:v>
      </x:c>
      <x:c r="I1363" t="str">
        <x:v>12</x:v>
      </x:c>
      <x:c r="J1363" t="str">
        <x:v>Case</x:v>
      </x:c>
      <x:c r="K1363" t="str">
        <x:v>In stock</x:v>
      </x:c>
      <x:c r="L1363" t="str">
        <x:v>2026-09-08</x:v>
      </x:c>
      <x:c r="M1363" t="str"/>
      <x:c r="N1363" t="str"/>
      <x:c r="O1363" t="str">
        <x:v>https://www.activesportstrade.co.uk/trade-sports-supplements/Muscle-King-Nutrition</x:v>
      </x:c>
      <x:c r="P1363" t="str">
        <x:v>Dated BBE promo variants retained as clearance-only; current normal flavours use PALLET PROMO listing with commercial boilerplate stripped.</x:v>
      </x:c>
      <x:c r="Q1363" t="str"/>
      <x:c r="R1363" t="str"/>
      <x:c r="S1363" t="str">
        <x:v>Pending genuine supplier/brand image</x:v>
      </x:c>
      <x:c r="T1363" s="54"/>
      <x:c r="U1363" s="47" t="n">
        <x:v>0.2</x:v>
      </x:c>
      <x:c r="V1363" s="54" t="str">
        <x:f>IF(ISNUMBER(T1363),T1363*(1+U1363),"")</x:f>
      </x:c>
      <x:c r="W1363" s="47" t="n">
        <x:v>0.3</x:v>
      </x:c>
      <x:c r="X1363" s="54" t="str">
        <x:f>IF(ISNUMBER(V1363),V1363/(1-W1363),"")</x:f>
      </x:c>
      <x:c r="Y1363" s="55" t="str">
        <x:f>IF(ISNUMBER(X1363),ROUNDUP(X1363,0),"")</x:f>
      </x:c>
      <x:c r="Z1363" t="str">
        <x:f>IF(ISNUMBER(T1363),"Cost captured","Awaiting trade cost")</x:f>
        <x:v>Awaiting trade cost</x:v>
      </x:c>
      <x:c r="AB1363" s="36" t="str">
        <x:f>IF(ISNUMBER(Y1363),ROUND(Y1363*0.9,2),"")</x:f>
      </x:c>
      <x:c r="AC1363" s="36" t="str">
        <x:f>IF(ISNUMBER(AB1363),ROUND(AB1363-(AB1363*0.015+0.2)-V1363,2),"")</x:f>
      </x:c>
      <x:c r="AD1363" s="36" t="str">
        <x:f>IF(ISNUMBER(Y1363),ROUND(Y1363*0.8,2),"")</x:f>
      </x:c>
      <x:c r="AE1363" s="36" t="str">
        <x:f>IF(ISNUMBER(AD1363),ROUND(AD1363*0.015+0.2,2),"")</x:f>
      </x:c>
      <x:c r="AF1363" s="36" t="str">
        <x:f>IF(ISNUMBER(AD1363),ROUND(AD1363-AE1363-V1363,2),"")</x:f>
      </x:c>
      <x:c r="AG1363" t="str">
        <x:f>IF(NOT(ISNUMBER(T1363)),"PENDING",IF(AF1363&gt;0,"PASS","FAIL"))</x:f>
        <x:v>PENDING</x:v>
      </x:c>
      <x:c r="AH1363" t="str">
        <x:f>IF(NOT(ISNUMBER(T1363)),"Needs supplier cost",IF(K1363&lt;&gt;"In stock","Supplier unavailable",IF(AG1363&lt;&gt;"PASS","BLOCK - GT loss risk","Commercially protected")))</x:f>
        <x:v>Needs supplier cost</x:v>
      </x:c>
      <x:c r="AI1363" t="str">
        <x:v>2026-09-10 Active Sports trade capture</x:v>
      </x:c>
      <x:c r="AJ1363" t="str">
        <x:v>Management-only economics. Stripe stress test uses 1.5% + £0.20 standard UK online-card fee; pallet/mix-and-match pricing ignored.</x:v>
      </x:c>
    </x:row>
    <x:row r="1364">
      <x:c r="A1364" t="str">
        <x:v>Active Sports Nutrition</x:v>
      </x:c>
      <x:c r="B1364" t="str">
        <x:v>Muscle King Nutrition</x:v>
      </x:c>
      <x:c r="C1364" t="str">
        <x:v>Carbo Fuel RTD</x:v>
      </x:c>
      <x:c r="D1364" t="str">
        <x:v>Drinks and Bars</x:v>
      </x:c>
      <x:c r="E1364" t="str">
        <x:v>Carbohydrate Drinks</x:v>
      </x:c>
      <x:c r="F1364" t="str">
        <x:v>Ready-to-drink carbohydrate drink.</x:v>
      </x:c>
      <x:c r="G1364" t="str">
        <x:v>12 x 500ml bottles</x:v>
      </x:c>
      <x:c r="H1364" t="str">
        <x:v>Lemon &amp; Lime</x:v>
      </x:c>
      <x:c r="I1364" t="str">
        <x:v>12</x:v>
      </x:c>
      <x:c r="J1364" t="str">
        <x:v>Case</x:v>
      </x:c>
      <x:c r="K1364" t="str">
        <x:v>In stock</x:v>
      </x:c>
      <x:c r="L1364" t="str">
        <x:v>2026-09-08</x:v>
      </x:c>
      <x:c r="M1364" t="str"/>
      <x:c r="N1364" t="str"/>
      <x:c r="O1364" t="str">
        <x:v>https://www.activesportstrade.co.uk/trade-sports-supplements/Muscle-King-Nutrition</x:v>
      </x:c>
      <x:c r="P1364" t="str">
        <x:v>Dated BBE promo variants retained as clearance-only; current normal flavours use PALLET PROMO listing with commercial boilerplate stripped.</x:v>
      </x:c>
      <x:c r="Q1364" t="str"/>
      <x:c r="R1364" t="str"/>
      <x:c r="S1364" t="str">
        <x:v>Pending genuine supplier/brand image</x:v>
      </x:c>
      <x:c r="T1364" s="54"/>
      <x:c r="U1364" s="47" t="n">
        <x:v>0.2</x:v>
      </x:c>
      <x:c r="V1364" s="54" t="str">
        <x:f>IF(ISNUMBER(T1364),T1364*(1+U1364),"")</x:f>
      </x:c>
      <x:c r="W1364" s="47" t="n">
        <x:v>0.3</x:v>
      </x:c>
      <x:c r="X1364" s="54" t="str">
        <x:f>IF(ISNUMBER(V1364),V1364/(1-W1364),"")</x:f>
      </x:c>
      <x:c r="Y1364" s="55" t="str">
        <x:f>IF(ISNUMBER(X1364),ROUNDUP(X1364,0),"")</x:f>
      </x:c>
      <x:c r="Z1364" t="str">
        <x:f>IF(ISNUMBER(T1364),"Cost captured","Awaiting trade cost")</x:f>
        <x:v>Awaiting trade cost</x:v>
      </x:c>
      <x:c r="AB1364" s="36" t="str">
        <x:f>IF(ISNUMBER(Y1364),ROUND(Y1364*0.9,2),"")</x:f>
      </x:c>
      <x:c r="AC1364" s="36" t="str">
        <x:f>IF(ISNUMBER(AB1364),ROUND(AB1364-(AB1364*0.015+0.2)-V1364,2),"")</x:f>
      </x:c>
      <x:c r="AD1364" s="36" t="str">
        <x:f>IF(ISNUMBER(Y1364),ROUND(Y1364*0.8,2),"")</x:f>
      </x:c>
      <x:c r="AE1364" s="36" t="str">
        <x:f>IF(ISNUMBER(AD1364),ROUND(AD1364*0.015+0.2,2),"")</x:f>
      </x:c>
      <x:c r="AF1364" s="36" t="str">
        <x:f>IF(ISNUMBER(AD1364),ROUND(AD1364-AE1364-V1364,2),"")</x:f>
      </x:c>
      <x:c r="AG1364" t="str">
        <x:f>IF(NOT(ISNUMBER(T1364)),"PENDING",IF(AF1364&gt;0,"PASS","FAIL"))</x:f>
        <x:v>PENDING</x:v>
      </x:c>
      <x:c r="AH1364" t="str">
        <x:f>IF(NOT(ISNUMBER(T1364)),"Needs supplier cost",IF(K1364&lt;&gt;"In stock","Supplier unavailable",IF(AG1364&lt;&gt;"PASS","BLOCK - GT loss risk","Commercially protected")))</x:f>
        <x:v>Needs supplier cost</x:v>
      </x:c>
      <x:c r="AI1364" t="str">
        <x:v>2026-09-10 Active Sports trade capture</x:v>
      </x:c>
      <x:c r="AJ1364" t="str">
        <x:v>Management-only economics. Stripe stress test uses 1.5% + £0.20 standard UK online-card fee; pallet/mix-and-match pricing ignored.</x:v>
      </x:c>
    </x:row>
    <x:row r="1365">
      <x:c r="A1365" t="str">
        <x:v>Active Sports Nutrition</x:v>
      </x:c>
      <x:c r="B1365" t="str">
        <x:v>Muscle King Nutrition</x:v>
      </x:c>
      <x:c r="C1365" t="str">
        <x:v>Carbo Fuel RTD</x:v>
      </x:c>
      <x:c r="D1365" t="str">
        <x:v>Drinks and Bars</x:v>
      </x:c>
      <x:c r="E1365" t="str">
        <x:v>Carbohydrate Drinks</x:v>
      </x:c>
      <x:c r="F1365" t="str">
        <x:v>Ready-to-drink carbohydrate drink.</x:v>
      </x:c>
      <x:c r="G1365" t="str">
        <x:v>12 x 500ml bottles</x:v>
      </x:c>
      <x:c r="H1365" t="str">
        <x:v>Orange</x:v>
      </x:c>
      <x:c r="I1365" t="str">
        <x:v>12</x:v>
      </x:c>
      <x:c r="J1365" t="str">
        <x:v>Case</x:v>
      </x:c>
      <x:c r="K1365" t="str">
        <x:v>In stock</x:v>
      </x:c>
      <x:c r="L1365" t="str">
        <x:v>2026-09-08</x:v>
      </x:c>
      <x:c r="M1365" t="str"/>
      <x:c r="N1365" t="str"/>
      <x:c r="O1365" t="str">
        <x:v>https://www.activesportstrade.co.uk/trade-sports-supplements/Muscle-King-Nutrition</x:v>
      </x:c>
      <x:c r="P1365" t="str">
        <x:v>Dated BBE promo variants retained as clearance-only; current normal flavours use PALLET PROMO listing with commercial boilerplate stripped.</x:v>
      </x:c>
      <x:c r="Q1365" t="str"/>
      <x:c r="R1365" t="str"/>
      <x:c r="S1365" t="str">
        <x:v>Pending genuine supplier/brand image</x:v>
      </x:c>
      <x:c r="T1365" s="54"/>
      <x:c r="U1365" s="47" t="n">
        <x:v>0.2</x:v>
      </x:c>
      <x:c r="V1365" s="54" t="str">
        <x:f>IF(ISNUMBER(T1365),T1365*(1+U1365),"")</x:f>
      </x:c>
      <x:c r="W1365" s="47" t="n">
        <x:v>0.3</x:v>
      </x:c>
      <x:c r="X1365" s="54" t="str">
        <x:f>IF(ISNUMBER(V1365),V1365/(1-W1365),"")</x:f>
      </x:c>
      <x:c r="Y1365" s="55" t="str">
        <x:f>IF(ISNUMBER(X1365),ROUNDUP(X1365,0),"")</x:f>
      </x:c>
      <x:c r="Z1365" t="str">
        <x:f>IF(ISNUMBER(T1365),"Cost captured","Awaiting trade cost")</x:f>
        <x:v>Awaiting trade cost</x:v>
      </x:c>
      <x:c r="AB1365" s="36" t="str">
        <x:f>IF(ISNUMBER(Y1365),ROUND(Y1365*0.9,2),"")</x:f>
      </x:c>
      <x:c r="AC1365" s="36" t="str">
        <x:f>IF(ISNUMBER(AB1365),ROUND(AB1365-(AB1365*0.015+0.2)-V1365,2),"")</x:f>
      </x:c>
      <x:c r="AD1365" s="36" t="str">
        <x:f>IF(ISNUMBER(Y1365),ROUND(Y1365*0.8,2),"")</x:f>
      </x:c>
      <x:c r="AE1365" s="36" t="str">
        <x:f>IF(ISNUMBER(AD1365),ROUND(AD1365*0.015+0.2,2),"")</x:f>
      </x:c>
      <x:c r="AF1365" s="36" t="str">
        <x:f>IF(ISNUMBER(AD1365),ROUND(AD1365-AE1365-V1365,2),"")</x:f>
      </x:c>
      <x:c r="AG1365" t="str">
        <x:f>IF(NOT(ISNUMBER(T1365)),"PENDING",IF(AF1365&gt;0,"PASS","FAIL"))</x:f>
        <x:v>PENDING</x:v>
      </x:c>
      <x:c r="AH1365" t="str">
        <x:f>IF(NOT(ISNUMBER(T1365)),"Needs supplier cost",IF(K1365&lt;&gt;"In stock","Supplier unavailable",IF(AG1365&lt;&gt;"PASS","BLOCK - GT loss risk","Commercially protected")))</x:f>
        <x:v>Needs supplier cost</x:v>
      </x:c>
      <x:c r="AI1365" t="str">
        <x:v>2026-09-10 Active Sports trade capture</x:v>
      </x:c>
      <x:c r="AJ1365" t="str">
        <x:v>Management-only economics. Stripe stress test uses 1.5% + £0.20 standard UK online-card fee; pallet/mix-and-match pricing ignored.</x:v>
      </x:c>
    </x:row>
    <x:row r="1366">
      <x:c r="A1366" t="str">
        <x:v>Active Sports Nutrition</x:v>
      </x:c>
      <x:c r="B1366" t="str">
        <x:v>Muscle King Nutrition</x:v>
      </x:c>
      <x:c r="C1366" t="str">
        <x:v>Creatine Monohydrate Powder</x:v>
      </x:c>
      <x:c r="D1366" t="str">
        <x:v>Supplements</x:v>
      </x:c>
      <x:c r="E1366" t="str">
        <x:v>Creatine Powders</x:v>
      </x:c>
      <x:c r="F1366" t="str">
        <x:v>Creatine monohydrate powder.</x:v>
      </x:c>
      <x:c r="G1366" t="str">
        <x:v>250g</x:v>
      </x:c>
      <x:c r="H1366" t="str">
        <x:v>Unflavoured</x:v>
      </x:c>
      <x:c r="I1366" t="str"/>
      <x:c r="J1366" t="str">
        <x:v>Unit</x:v>
      </x:c>
      <x:c r="K1366" t="str">
        <x:v>In stock</x:v>
      </x:c>
      <x:c r="L1366" t="str">
        <x:v>2026-09-08</x:v>
      </x:c>
      <x:c r="M1366" t="str"/>
      <x:c r="N1366" t="str"/>
      <x:c r="O1366" t="str">
        <x:v>https://www.activesportstrade.co.uk/trade-sports-supplements/Muscle-King-Nutrition</x:v>
      </x:c>
      <x:c r="P1366" t="str">
        <x:v>MEGA SPECIAL OFFER wording removed.</x:v>
      </x:c>
      <x:c r="Q1366" t="str"/>
      <x:c r="R1366" t="str"/>
      <x:c r="S1366" t="str">
        <x:v>Pending genuine supplier/brand image</x:v>
      </x:c>
      <x:c r="T1366" s="54"/>
      <x:c r="U1366" s="47" t="n">
        <x:v>0.2</x:v>
      </x:c>
      <x:c r="V1366" s="54" t="str">
        <x:f>IF(ISNUMBER(T1366),T1366*(1+U1366),"")</x:f>
      </x:c>
      <x:c r="W1366" s="47" t="n">
        <x:v>0.3</x:v>
      </x:c>
      <x:c r="X1366" s="54" t="str">
        <x:f>IF(ISNUMBER(V1366),V1366/(1-W1366),"")</x:f>
      </x:c>
      <x:c r="Y1366" s="55" t="str">
        <x:f>IF(ISNUMBER(X1366),ROUNDUP(X1366,0),"")</x:f>
      </x:c>
      <x:c r="Z1366" t="str">
        <x:f>IF(ISNUMBER(T1366),"Cost captured","Awaiting trade cost")</x:f>
        <x:v>Awaiting trade cost</x:v>
      </x:c>
      <x:c r="AB1366" s="36" t="str">
        <x:f>IF(ISNUMBER(Y1366),ROUND(Y1366*0.9,2),"")</x:f>
      </x:c>
      <x:c r="AC1366" s="36" t="str">
        <x:f>IF(ISNUMBER(AB1366),ROUND(AB1366-(AB1366*0.015+0.2)-V1366,2),"")</x:f>
      </x:c>
      <x:c r="AD1366" s="36" t="str">
        <x:f>IF(ISNUMBER(Y1366),ROUND(Y1366*0.8,2),"")</x:f>
      </x:c>
      <x:c r="AE1366" s="36" t="str">
        <x:f>IF(ISNUMBER(AD1366),ROUND(AD1366*0.015+0.2,2),"")</x:f>
      </x:c>
      <x:c r="AF1366" s="36" t="str">
        <x:f>IF(ISNUMBER(AD1366),ROUND(AD1366-AE1366-V1366,2),"")</x:f>
      </x:c>
      <x:c r="AG1366" t="str">
        <x:f>IF(NOT(ISNUMBER(T1366)),"PENDING",IF(AF1366&gt;0,"PASS","FAIL"))</x:f>
        <x:v>PENDING</x:v>
      </x:c>
      <x:c r="AH1366" t="str">
        <x:f>IF(NOT(ISNUMBER(T1366)),"Needs supplier cost",IF(K1366&lt;&gt;"In stock","Supplier unavailable",IF(AG1366&lt;&gt;"PASS","BLOCK - GT loss risk","Commercially protected")))</x:f>
        <x:v>Needs supplier cost</x:v>
      </x:c>
      <x:c r="AI1366" t="str">
        <x:v>2026-09-10 Active Sports trade capture</x:v>
      </x:c>
      <x:c r="AJ1366" t="str">
        <x:v>Management-only economics. Stripe stress test uses 1.5% + £0.20 standard UK online-card fee; pallet/mix-and-match pricing ignored.</x:v>
      </x:c>
    </x:row>
    <x:row r="1367">
      <x:c r="A1367" t="str">
        <x:v>Active Sports Nutrition</x:v>
      </x:c>
      <x:c r="B1367" t="str">
        <x:v>Muscle King Nutrition</x:v>
      </x:c>
      <x:c r="C1367" t="str">
        <x:v>Creatine Monohydrate Powder</x:v>
      </x:c>
      <x:c r="D1367" t="str">
        <x:v>Supplements</x:v>
      </x:c>
      <x:c r="E1367" t="str">
        <x:v>Creatine Powders</x:v>
      </x:c>
      <x:c r="F1367" t="str">
        <x:v>Creatine monohydrate powder.</x:v>
      </x:c>
      <x:c r="G1367" t="str">
        <x:v>500g</x:v>
      </x:c>
      <x:c r="H1367" t="str">
        <x:v>Unflavoured</x:v>
      </x:c>
      <x:c r="I1367" t="str"/>
      <x:c r="J1367" t="str">
        <x:v>Unit</x:v>
      </x:c>
      <x:c r="K1367" t="str">
        <x:v>In stock</x:v>
      </x:c>
      <x:c r="L1367" t="str">
        <x:v>2026-09-08</x:v>
      </x:c>
      <x:c r="M1367" t="str">
        <x:v>05060387682218</x:v>
      </x:c>
      <x:c r="N1367" t="str"/>
      <x:c r="O1367" t="str">
        <x:v>https://www.activesportstrade.co.uk/trade-sports-supplements/Muscle-King-Nutrition</x:v>
      </x:c>
      <x:c r="P1367" t="str">
        <x:v>BUY 10 GET 1 FREE / SPECIAL OFFER wording removed.</x:v>
      </x:c>
      <x:c r="Q1367" t="str"/>
      <x:c r="R1367" t="str"/>
      <x:c r="S1367" t="str">
        <x:v>Pending genuine supplier/brand image</x:v>
      </x:c>
      <x:c r="T1367" s="54"/>
      <x:c r="U1367" s="47" t="n">
        <x:v>0.2</x:v>
      </x:c>
      <x:c r="V1367" s="54" t="str">
        <x:f>IF(ISNUMBER(T1367),T1367*(1+U1367),"")</x:f>
      </x:c>
      <x:c r="W1367" s="47" t="n">
        <x:v>0.3</x:v>
      </x:c>
      <x:c r="X1367" s="54" t="str">
        <x:f>IF(ISNUMBER(V1367),V1367/(1-W1367),"")</x:f>
      </x:c>
      <x:c r="Y1367" s="55" t="str">
        <x:f>IF(ISNUMBER(X1367),ROUNDUP(X1367,0),"")</x:f>
      </x:c>
      <x:c r="Z1367" t="str">
        <x:f>IF(ISNUMBER(T1367),"Cost captured","Awaiting trade cost")</x:f>
        <x:v>Awaiting trade cost</x:v>
      </x:c>
      <x:c r="AB1367" s="36" t="str">
        <x:f>IF(ISNUMBER(Y1367),ROUND(Y1367*0.9,2),"")</x:f>
      </x:c>
      <x:c r="AC1367" s="36" t="str">
        <x:f>IF(ISNUMBER(AB1367),ROUND(AB1367-(AB1367*0.015+0.2)-V1367,2),"")</x:f>
      </x:c>
      <x:c r="AD1367" s="36" t="str">
        <x:f>IF(ISNUMBER(Y1367),ROUND(Y1367*0.8,2),"")</x:f>
      </x:c>
      <x:c r="AE1367" s="36" t="str">
        <x:f>IF(ISNUMBER(AD1367),ROUND(AD1367*0.015+0.2,2),"")</x:f>
      </x:c>
      <x:c r="AF1367" s="36" t="str">
        <x:f>IF(ISNUMBER(AD1367),ROUND(AD1367-AE1367-V1367,2),"")</x:f>
      </x:c>
      <x:c r="AG1367" t="str">
        <x:f>IF(NOT(ISNUMBER(T1367)),"PENDING",IF(AF1367&gt;0,"PASS","FAIL"))</x:f>
        <x:v>PENDING</x:v>
      </x:c>
      <x:c r="AH1367" t="str">
        <x:f>IF(NOT(ISNUMBER(T1367)),"Needs supplier cost",IF(K1367&lt;&gt;"In stock","Supplier unavailable",IF(AG1367&lt;&gt;"PASS","BLOCK - GT loss risk","Commercially protected")))</x:f>
        <x:v>Needs supplier cost</x:v>
      </x:c>
      <x:c r="AI1367" t="str">
        <x:v>2026-09-10 Active Sports trade capture</x:v>
      </x:c>
      <x:c r="AJ1367" t="str">
        <x:v>Management-only economics. Stripe stress test uses 1.5% + £0.20 standard UK online-card fee; pallet/mix-and-match pricing ignored.</x:v>
      </x:c>
    </x:row>
    <x:row r="1368">
      <x:c r="A1368" t="str">
        <x:v>Active Sports Nutrition</x:v>
      </x:c>
      <x:c r="B1368" t="str">
        <x:v>Muscle King Nutrition</x:v>
      </x:c>
      <x:c r="C1368" t="str">
        <x:v>PRE Workout</x:v>
      </x:c>
      <x:c r="D1368" t="str">
        <x:v>Pre Workouts</x:v>
      </x:c>
      <x:c r="E1368" t="str">
        <x:v>High Stim</x:v>
      </x:c>
      <x:c r="F1368" t="str">
        <x:v>Pre-workout powder.</x:v>
      </x:c>
      <x:c r="G1368" t="str">
        <x:v>30 servings</x:v>
      </x:c>
      <x:c r="H1368" t="str">
        <x:v>Fruit Burst - BBE 05/26</x:v>
      </x:c>
      <x:c r="I1368" t="str"/>
      <x:c r="J1368" t="str">
        <x:v>Unit</x:v>
      </x:c>
      <x:c r="K1368" t="str">
        <x:v>Unavailable - dated clearance</x:v>
      </x:c>
      <x:c r="L1368" t="str">
        <x:v>2026-09-08</x:v>
      </x:c>
      <x:c r="M1368" t="str"/>
      <x:c r="N1368" t="str"/>
      <x:c r="O1368" t="str">
        <x:v>https://www.activesportstrade.co.uk/trade-sports-supplements/Muscle-King-Nutrition</x:v>
      </x:c>
      <x:c r="P1368" t="str">
        <x:v>Current supplier page exposes only BBE 05/26 promotional stock; not treated as normal member-orderable.</x:v>
      </x:c>
      <x:c r="Q1368" t="str"/>
      <x:c r="R1368" t="str"/>
      <x:c r="S1368" t="str">
        <x:v>Pending genuine supplier/brand image</x:v>
      </x:c>
      <x:c r="T1368" s="54"/>
      <x:c r="U1368" s="47" t="n">
        <x:v>0.2</x:v>
      </x:c>
      <x:c r="V1368" s="54" t="str">
        <x:f>IF(ISNUMBER(T1368),T1368*(1+U1368),"")</x:f>
      </x:c>
      <x:c r="W1368" s="47" t="n">
        <x:v>0.3</x:v>
      </x:c>
      <x:c r="X1368" s="54" t="str">
        <x:f>IF(ISNUMBER(V1368),V1368/(1-W1368),"")</x:f>
      </x:c>
      <x:c r="Y1368" s="55" t="str">
        <x:f>IF(ISNUMBER(X1368),ROUNDUP(X1368,0),"")</x:f>
      </x:c>
      <x:c r="Z1368" t="str">
        <x:f>IF(ISNUMBER(T1368),"Cost captured","Awaiting trade cost")</x:f>
        <x:v>Awaiting trade cost</x:v>
      </x:c>
      <x:c r="AB1368" s="36" t="str">
        <x:f>IF(ISNUMBER(Y1368),ROUND(Y1368*0.9,2),"")</x:f>
      </x:c>
      <x:c r="AC1368" s="36" t="str">
        <x:f>IF(ISNUMBER(AB1368),ROUND(AB1368-(AB1368*0.015+0.2)-V1368,2),"")</x:f>
      </x:c>
      <x:c r="AD1368" s="36" t="str">
        <x:f>IF(ISNUMBER(Y1368),ROUND(Y1368*0.8,2),"")</x:f>
      </x:c>
      <x:c r="AE1368" s="36" t="str">
        <x:f>IF(ISNUMBER(AD1368),ROUND(AD1368*0.015+0.2,2),"")</x:f>
      </x:c>
      <x:c r="AF1368" s="36" t="str">
        <x:f>IF(ISNUMBER(AD1368),ROUND(AD1368-AE1368-V1368,2),"")</x:f>
      </x:c>
      <x:c r="AG1368" t="str">
        <x:f>IF(NOT(ISNUMBER(T1368)),"PENDING",IF(AF1368&gt;0,"PASS","FAIL"))</x:f>
        <x:v>PENDING</x:v>
      </x:c>
      <x:c r="AH1368" t="str">
        <x:f>IF(NOT(ISNUMBER(T1368)),"Needs supplier cost",IF(K1368&lt;&gt;"In stock","Supplier unavailable",IF(AG1368&lt;&gt;"PASS","BLOCK - GT loss risk","Commercially protected")))</x:f>
        <x:v>Needs supplier cost</x:v>
      </x:c>
      <x:c r="AI1368" t="str">
        <x:v>2026-09-10 Active Sports trade capture</x:v>
      </x:c>
      <x:c r="AJ1368" t="str">
        <x:v>Management-only economics. Stripe stress test uses 1.5% + £0.20 standard UK online-card fee; pallet/mix-and-match pricing ignored.</x:v>
      </x:c>
    </x:row>
    <x:row r="1369">
      <x:c r="A1369" t="str">
        <x:v>Active Sports Nutrition</x:v>
      </x:c>
      <x:c r="B1369" t="str">
        <x:v>Muscle King Nutrition</x:v>
      </x:c>
      <x:c r="C1369" t="str">
        <x:v>PRE Workout</x:v>
      </x:c>
      <x:c r="D1369" t="str">
        <x:v>Pre Workouts</x:v>
      </x:c>
      <x:c r="E1369" t="str">
        <x:v>High Stim</x:v>
      </x:c>
      <x:c r="F1369" t="str">
        <x:v>Pre-workout powder.</x:v>
      </x:c>
      <x:c r="G1369" t="str">
        <x:v>30 servings</x:v>
      </x:c>
      <x:c r="H1369" t="str">
        <x:v>Icy Blue Razz - BBE 05/26</x:v>
      </x:c>
      <x:c r="I1369" t="str"/>
      <x:c r="J1369" t="str">
        <x:v>Unit</x:v>
      </x:c>
      <x:c r="K1369" t="str">
        <x:v>Unavailable - dated clearance</x:v>
      </x:c>
      <x:c r="L1369" t="str">
        <x:v>2026-09-08</x:v>
      </x:c>
      <x:c r="M1369" t="str"/>
      <x:c r="N1369" t="str"/>
      <x:c r="O1369" t="str">
        <x:v>https://www.activesportstrade.co.uk/trade-sports-supplements/Muscle-King-Nutrition</x:v>
      </x:c>
      <x:c r="P1369" t="str">
        <x:v>Current supplier page exposes only BBE 05/26 promotional stock; not treated as normal member-orderable.</x:v>
      </x:c>
      <x:c r="Q1369" t="str"/>
      <x:c r="R1369" t="str"/>
      <x:c r="S1369" t="str">
        <x:v>Pending genuine supplier/brand image</x:v>
      </x:c>
      <x:c r="T1369" s="54"/>
      <x:c r="U1369" s="47" t="n">
        <x:v>0.2</x:v>
      </x:c>
      <x:c r="V1369" s="54" t="str">
        <x:f>IF(ISNUMBER(T1369),T1369*(1+U1369),"")</x:f>
      </x:c>
      <x:c r="W1369" s="47" t="n">
        <x:v>0.3</x:v>
      </x:c>
      <x:c r="X1369" s="54" t="str">
        <x:f>IF(ISNUMBER(V1369),V1369/(1-W1369),"")</x:f>
      </x:c>
      <x:c r="Y1369" s="55" t="str">
        <x:f>IF(ISNUMBER(X1369),ROUNDUP(X1369,0),"")</x:f>
      </x:c>
      <x:c r="Z1369" t="str">
        <x:f>IF(ISNUMBER(T1369),"Cost captured","Awaiting trade cost")</x:f>
        <x:v>Awaiting trade cost</x:v>
      </x:c>
      <x:c r="AB1369" s="36" t="str">
        <x:f>IF(ISNUMBER(Y1369),ROUND(Y1369*0.9,2),"")</x:f>
      </x:c>
      <x:c r="AC1369" s="36" t="str">
        <x:f>IF(ISNUMBER(AB1369),ROUND(AB1369-(AB1369*0.015+0.2)-V1369,2),"")</x:f>
      </x:c>
      <x:c r="AD1369" s="36" t="str">
        <x:f>IF(ISNUMBER(Y1369),ROUND(Y1369*0.8,2),"")</x:f>
      </x:c>
      <x:c r="AE1369" s="36" t="str">
        <x:f>IF(ISNUMBER(AD1369),ROUND(AD1369*0.015+0.2,2),"")</x:f>
      </x:c>
      <x:c r="AF1369" s="36" t="str">
        <x:f>IF(ISNUMBER(AD1369),ROUND(AD1369-AE1369-V1369,2),"")</x:f>
      </x:c>
      <x:c r="AG1369" t="str">
        <x:f>IF(NOT(ISNUMBER(T1369)),"PENDING",IF(AF1369&gt;0,"PASS","FAIL"))</x:f>
        <x:v>PENDING</x:v>
      </x:c>
      <x:c r="AH1369" t="str">
        <x:f>IF(NOT(ISNUMBER(T1369)),"Needs supplier cost",IF(K1369&lt;&gt;"In stock","Supplier unavailable",IF(AG1369&lt;&gt;"PASS","BLOCK - GT loss risk","Commercially protected")))</x:f>
        <x:v>Needs supplier cost</x:v>
      </x:c>
      <x:c r="AI1369" t="str">
        <x:v>2026-09-10 Active Sports trade capture</x:v>
      </x:c>
      <x:c r="AJ1369" t="str">
        <x:v>Management-only economics. Stripe stress test uses 1.5% + £0.20 standard UK online-card fee; pallet/mix-and-match pricing ignored.</x:v>
      </x:c>
    </x:row>
    <x:row r="1370">
      <x:c r="A1370" t="str">
        <x:v>Active Sports Nutrition</x:v>
      </x:c>
      <x:c r="B1370" t="str">
        <x:v>Muscle King Nutrition</x:v>
      </x:c>
      <x:c r="C1370" t="str">
        <x:v>Protein Flapjacks</x:v>
      </x:c>
      <x:c r="D1370" t="str">
        <x:v>Drinks and Bars</x:v>
      </x:c>
      <x:c r="E1370" t="str">
        <x:v>Bars and Snacks</x:v>
      </x:c>
      <x:c r="F1370" t="str">
        <x:v>Hand-baked protein flapjacks.</x:v>
      </x:c>
      <x:c r="G1370" t="str">
        <x:v>12 x 100g bars</x:v>
      </x:c>
      <x:c r="H1370" t="str">
        <x:v>Blueberry Yoghurt</x:v>
      </x:c>
      <x:c r="I1370" t="str">
        <x:v>12</x:v>
      </x:c>
      <x:c r="J1370" t="str">
        <x:v>Case</x:v>
      </x:c>
      <x:c r="K1370" t="str">
        <x:v>In stock</x:v>
      </x:c>
      <x:c r="L1370" t="str">
        <x:v>2026-09-08</x:v>
      </x:c>
      <x:c r="M1370" t="str"/>
      <x:c r="N1370" t="str"/>
      <x:c r="O1370" t="str">
        <x:v>https://www.activesportstrade.co.uk/trade-sports-supplements/Muscle-King-Nutrition</x:v>
      </x:c>
      <x:c r="P1370" t="str">
        <x:v>Fresh supplements page used; older special-offer crawl disagreed on Peanut Butter Choc Chip. Case-only member order.</x:v>
      </x:c>
      <x:c r="Q1370" t="str"/>
      <x:c r="R1370" t="str"/>
      <x:c r="S1370" t="str">
        <x:v>Pending genuine supplier/brand image</x:v>
      </x:c>
      <x:c r="T1370" s="54"/>
      <x:c r="U1370" s="47" t="n">
        <x:v>0.2</x:v>
      </x:c>
      <x:c r="V1370" s="54" t="str">
        <x:f>IF(ISNUMBER(T1370),T1370*(1+U1370),"")</x:f>
      </x:c>
      <x:c r="W1370" s="47" t="n">
        <x:v>0.3</x:v>
      </x:c>
      <x:c r="X1370" s="54" t="str">
        <x:f>IF(ISNUMBER(V1370),V1370/(1-W1370),"")</x:f>
      </x:c>
      <x:c r="Y1370" s="55" t="str">
        <x:f>IF(ISNUMBER(X1370),ROUNDUP(X1370,0),"")</x:f>
      </x:c>
      <x:c r="Z1370" t="str">
        <x:f>IF(ISNUMBER(T1370),"Cost captured","Awaiting trade cost")</x:f>
        <x:v>Awaiting trade cost</x:v>
      </x:c>
      <x:c r="AB1370" s="36" t="str">
        <x:f>IF(ISNUMBER(Y1370),ROUND(Y1370*0.9,2),"")</x:f>
      </x:c>
      <x:c r="AC1370" s="36" t="str">
        <x:f>IF(ISNUMBER(AB1370),ROUND(AB1370-(AB1370*0.015+0.2)-V1370,2),"")</x:f>
      </x:c>
      <x:c r="AD1370" s="36" t="str">
        <x:f>IF(ISNUMBER(Y1370),ROUND(Y1370*0.8,2),"")</x:f>
      </x:c>
      <x:c r="AE1370" s="36" t="str">
        <x:f>IF(ISNUMBER(AD1370),ROUND(AD1370*0.015+0.2,2),"")</x:f>
      </x:c>
      <x:c r="AF1370" s="36" t="str">
        <x:f>IF(ISNUMBER(AD1370),ROUND(AD1370-AE1370-V1370,2),"")</x:f>
      </x:c>
      <x:c r="AG1370" t="str">
        <x:f>IF(NOT(ISNUMBER(T1370)),"PENDING",IF(AF1370&gt;0,"PASS","FAIL"))</x:f>
        <x:v>PENDING</x:v>
      </x:c>
      <x:c r="AH1370" t="str">
        <x:f>IF(NOT(ISNUMBER(T1370)),"Needs supplier cost",IF(K1370&lt;&gt;"In stock","Supplier unavailable",IF(AG1370&lt;&gt;"PASS","BLOCK - GT loss risk","Commercially protected")))</x:f>
        <x:v>Needs supplier cost</x:v>
      </x:c>
      <x:c r="AI1370" t="str">
        <x:v>2026-09-10 Active Sports trade capture</x:v>
      </x:c>
      <x:c r="AJ1370" t="str">
        <x:v>Management-only economics. Stripe stress test uses 1.5% + £0.20 standard UK online-card fee; pallet/mix-and-match pricing ignored.</x:v>
      </x:c>
    </x:row>
    <x:row r="1371">
      <x:c r="A1371" t="str">
        <x:v>Active Sports Nutrition</x:v>
      </x:c>
      <x:c r="B1371" t="str">
        <x:v>Muscle King Nutrition</x:v>
      </x:c>
      <x:c r="C1371" t="str">
        <x:v>Protein Flapjacks</x:v>
      </x:c>
      <x:c r="D1371" t="str">
        <x:v>Drinks and Bars</x:v>
      </x:c>
      <x:c r="E1371" t="str">
        <x:v>Bars and Snacks</x:v>
      </x:c>
      <x:c r="F1371" t="str">
        <x:v>Hand-baked protein flapjacks.</x:v>
      </x:c>
      <x:c r="G1371" t="str">
        <x:v>12 x 100g bars</x:v>
      </x:c>
      <x:c r="H1371" t="str">
        <x:v>Cherry Bakewell</x:v>
      </x:c>
      <x:c r="I1371" t="str">
        <x:v>12</x:v>
      </x:c>
      <x:c r="J1371" t="str">
        <x:v>Case</x:v>
      </x:c>
      <x:c r="K1371" t="str">
        <x:v>In stock</x:v>
      </x:c>
      <x:c r="L1371" t="str">
        <x:v>2026-09-08</x:v>
      </x:c>
      <x:c r="M1371" t="str"/>
      <x:c r="N1371" t="str"/>
      <x:c r="O1371" t="str">
        <x:v>https://www.activesportstrade.co.uk/trade-sports-supplements/Muscle-King-Nutrition</x:v>
      </x:c>
      <x:c r="P1371" t="str">
        <x:v>Fresh supplements page used; older special-offer crawl disagreed on Peanut Butter Choc Chip. Case-only member order.</x:v>
      </x:c>
      <x:c r="Q1371" t="str"/>
      <x:c r="R1371" t="str"/>
      <x:c r="S1371" t="str">
        <x:v>Pending genuine supplier/brand image</x:v>
      </x:c>
      <x:c r="T1371" s="54"/>
      <x:c r="U1371" s="47" t="n">
        <x:v>0.2</x:v>
      </x:c>
      <x:c r="V1371" s="54" t="str">
        <x:f>IF(ISNUMBER(T1371),T1371*(1+U1371),"")</x:f>
      </x:c>
      <x:c r="W1371" s="47" t="n">
        <x:v>0.3</x:v>
      </x:c>
      <x:c r="X1371" s="54" t="str">
        <x:f>IF(ISNUMBER(V1371),V1371/(1-W1371),"")</x:f>
      </x:c>
      <x:c r="Y1371" s="55" t="str">
        <x:f>IF(ISNUMBER(X1371),ROUNDUP(X1371,0),"")</x:f>
      </x:c>
      <x:c r="Z1371" t="str">
        <x:f>IF(ISNUMBER(T1371),"Cost captured","Awaiting trade cost")</x:f>
        <x:v>Awaiting trade cost</x:v>
      </x:c>
      <x:c r="AB1371" s="36" t="str">
        <x:f>IF(ISNUMBER(Y1371),ROUND(Y1371*0.9,2),"")</x:f>
      </x:c>
      <x:c r="AC1371" s="36" t="str">
        <x:f>IF(ISNUMBER(AB1371),ROUND(AB1371-(AB1371*0.015+0.2)-V1371,2),"")</x:f>
      </x:c>
      <x:c r="AD1371" s="36" t="str">
        <x:f>IF(ISNUMBER(Y1371),ROUND(Y1371*0.8,2),"")</x:f>
      </x:c>
      <x:c r="AE1371" s="36" t="str">
        <x:f>IF(ISNUMBER(AD1371),ROUND(AD1371*0.015+0.2,2),"")</x:f>
      </x:c>
      <x:c r="AF1371" s="36" t="str">
        <x:f>IF(ISNUMBER(AD1371),ROUND(AD1371-AE1371-V1371,2),"")</x:f>
      </x:c>
      <x:c r="AG1371" t="str">
        <x:f>IF(NOT(ISNUMBER(T1371)),"PENDING",IF(AF1371&gt;0,"PASS","FAIL"))</x:f>
        <x:v>PENDING</x:v>
      </x:c>
      <x:c r="AH1371" t="str">
        <x:f>IF(NOT(ISNUMBER(T1371)),"Needs supplier cost",IF(K1371&lt;&gt;"In stock","Supplier unavailable",IF(AG1371&lt;&gt;"PASS","BLOCK - GT loss risk","Commercially protected")))</x:f>
        <x:v>Needs supplier cost</x:v>
      </x:c>
      <x:c r="AI1371" t="str">
        <x:v>2026-09-10 Active Sports trade capture</x:v>
      </x:c>
      <x:c r="AJ1371" t="str">
        <x:v>Management-only economics. Stripe stress test uses 1.5% + £0.20 standard UK online-card fee; pallet/mix-and-match pricing ignored.</x:v>
      </x:c>
    </x:row>
    <x:row r="1372">
      <x:c r="A1372" t="str">
        <x:v>Active Sports Nutrition</x:v>
      </x:c>
      <x:c r="B1372" t="str">
        <x:v>Muscle King Nutrition</x:v>
      </x:c>
      <x:c r="C1372" t="str">
        <x:v>Protein Flapjacks</x:v>
      </x:c>
      <x:c r="D1372" t="str">
        <x:v>Drinks and Bars</x:v>
      </x:c>
      <x:c r="E1372" t="str">
        <x:v>Bars and Snacks</x:v>
      </x:c>
      <x:c r="F1372" t="str">
        <x:v>Hand-baked protein flapjacks.</x:v>
      </x:c>
      <x:c r="G1372" t="str">
        <x:v>12 x 100g bars</x:v>
      </x:c>
      <x:c r="H1372" t="str">
        <x:v>Chocolate Banana</x:v>
      </x:c>
      <x:c r="I1372" t="str">
        <x:v>12</x:v>
      </x:c>
      <x:c r="J1372" t="str">
        <x:v>Case</x:v>
      </x:c>
      <x:c r="K1372" t="str">
        <x:v>In stock</x:v>
      </x:c>
      <x:c r="L1372" t="str">
        <x:v>2026-09-08</x:v>
      </x:c>
      <x:c r="M1372" t="str"/>
      <x:c r="N1372" t="str"/>
      <x:c r="O1372" t="str">
        <x:v>https://www.activesportstrade.co.uk/trade-sports-supplements/Muscle-King-Nutrition</x:v>
      </x:c>
      <x:c r="P1372" t="str">
        <x:v>Fresh supplements page used; older special-offer crawl disagreed on Peanut Butter Choc Chip. Case-only member order.</x:v>
      </x:c>
      <x:c r="Q1372" t="str"/>
      <x:c r="R1372" t="str"/>
      <x:c r="S1372" t="str">
        <x:v>Pending genuine supplier/brand image</x:v>
      </x:c>
      <x:c r="T1372" s="54"/>
      <x:c r="U1372" s="47" t="n">
        <x:v>0.2</x:v>
      </x:c>
      <x:c r="V1372" s="54" t="str">
        <x:f>IF(ISNUMBER(T1372),T1372*(1+U1372),"")</x:f>
      </x:c>
      <x:c r="W1372" s="47" t="n">
        <x:v>0.3</x:v>
      </x:c>
      <x:c r="X1372" s="54" t="str">
        <x:f>IF(ISNUMBER(V1372),V1372/(1-W1372),"")</x:f>
      </x:c>
      <x:c r="Y1372" s="55" t="str">
        <x:f>IF(ISNUMBER(X1372),ROUNDUP(X1372,0),"")</x:f>
      </x:c>
      <x:c r="Z1372" t="str">
        <x:f>IF(ISNUMBER(T1372),"Cost captured","Awaiting trade cost")</x:f>
        <x:v>Awaiting trade cost</x:v>
      </x:c>
      <x:c r="AB1372" s="36" t="str">
        <x:f>IF(ISNUMBER(Y1372),ROUND(Y1372*0.9,2),"")</x:f>
      </x:c>
      <x:c r="AC1372" s="36" t="str">
        <x:f>IF(ISNUMBER(AB1372),ROUND(AB1372-(AB1372*0.015+0.2)-V1372,2),"")</x:f>
      </x:c>
      <x:c r="AD1372" s="36" t="str">
        <x:f>IF(ISNUMBER(Y1372),ROUND(Y1372*0.8,2),"")</x:f>
      </x:c>
      <x:c r="AE1372" s="36" t="str">
        <x:f>IF(ISNUMBER(AD1372),ROUND(AD1372*0.015+0.2,2),"")</x:f>
      </x:c>
      <x:c r="AF1372" s="36" t="str">
        <x:f>IF(ISNUMBER(AD1372),ROUND(AD1372-AE1372-V1372,2),"")</x:f>
      </x:c>
      <x:c r="AG1372" t="str">
        <x:f>IF(NOT(ISNUMBER(T1372)),"PENDING",IF(AF1372&gt;0,"PASS","FAIL"))</x:f>
        <x:v>PENDING</x:v>
      </x:c>
      <x:c r="AH1372" t="str">
        <x:f>IF(NOT(ISNUMBER(T1372)),"Needs supplier cost",IF(K1372&lt;&gt;"In stock","Supplier unavailable",IF(AG1372&lt;&gt;"PASS","BLOCK - GT loss risk","Commercially protected")))</x:f>
        <x:v>Needs supplier cost</x:v>
      </x:c>
      <x:c r="AI1372" t="str">
        <x:v>2026-09-10 Active Sports trade capture</x:v>
      </x:c>
      <x:c r="AJ1372" t="str">
        <x:v>Management-only economics. Stripe stress test uses 1.5% + £0.20 standard UK online-card fee; pallet/mix-and-match pricing ignored.</x:v>
      </x:c>
    </x:row>
    <x:row r="1373">
      <x:c r="A1373" t="str">
        <x:v>Active Sports Nutrition</x:v>
      </x:c>
      <x:c r="B1373" t="str">
        <x:v>Muscle King Nutrition</x:v>
      </x:c>
      <x:c r="C1373" t="str">
        <x:v>Protein Flapjacks</x:v>
      </x:c>
      <x:c r="D1373" t="str">
        <x:v>Drinks and Bars</x:v>
      </x:c>
      <x:c r="E1373" t="str">
        <x:v>Bars and Snacks</x:v>
      </x:c>
      <x:c r="F1373" t="str">
        <x:v>Hand-baked protein flapjacks.</x:v>
      </x:c>
      <x:c r="G1373" t="str">
        <x:v>12 x 100g bars</x:v>
      </x:c>
      <x:c r="H1373" t="str">
        <x:v>Chocolate Duo</x:v>
      </x:c>
      <x:c r="I1373" t="str">
        <x:v>12</x:v>
      </x:c>
      <x:c r="J1373" t="str">
        <x:v>Case</x:v>
      </x:c>
      <x:c r="K1373" t="str">
        <x:v>In stock</x:v>
      </x:c>
      <x:c r="L1373" t="str">
        <x:v>2026-09-08</x:v>
      </x:c>
      <x:c r="M1373" t="str"/>
      <x:c r="N1373" t="str"/>
      <x:c r="O1373" t="str">
        <x:v>https://www.activesportstrade.co.uk/trade-sports-supplements/Muscle-King-Nutrition</x:v>
      </x:c>
      <x:c r="P1373" t="str">
        <x:v>Fresh supplements page used; older special-offer crawl disagreed on Peanut Butter Choc Chip. Case-only member order.</x:v>
      </x:c>
      <x:c r="Q1373" t="str"/>
      <x:c r="R1373" t="str"/>
      <x:c r="S1373" t="str">
        <x:v>Pending genuine supplier/brand image</x:v>
      </x:c>
      <x:c r="T1373" s="54"/>
      <x:c r="U1373" s="47" t="n">
        <x:v>0.2</x:v>
      </x:c>
      <x:c r="V1373" s="54" t="str">
        <x:f>IF(ISNUMBER(T1373),T1373*(1+U1373),"")</x:f>
      </x:c>
      <x:c r="W1373" s="47" t="n">
        <x:v>0.3</x:v>
      </x:c>
      <x:c r="X1373" s="54" t="str">
        <x:f>IF(ISNUMBER(V1373),V1373/(1-W1373),"")</x:f>
      </x:c>
      <x:c r="Y1373" s="55" t="str">
        <x:f>IF(ISNUMBER(X1373),ROUNDUP(X1373,0),"")</x:f>
      </x:c>
      <x:c r="Z1373" t="str">
        <x:f>IF(ISNUMBER(T1373),"Cost captured","Awaiting trade cost")</x:f>
        <x:v>Awaiting trade cost</x:v>
      </x:c>
      <x:c r="AB1373" s="36" t="str">
        <x:f>IF(ISNUMBER(Y1373),ROUND(Y1373*0.9,2),"")</x:f>
      </x:c>
      <x:c r="AC1373" s="36" t="str">
        <x:f>IF(ISNUMBER(AB1373),ROUND(AB1373-(AB1373*0.015+0.2)-V1373,2),"")</x:f>
      </x:c>
      <x:c r="AD1373" s="36" t="str">
        <x:f>IF(ISNUMBER(Y1373),ROUND(Y1373*0.8,2),"")</x:f>
      </x:c>
      <x:c r="AE1373" s="36" t="str">
        <x:f>IF(ISNUMBER(AD1373),ROUND(AD1373*0.015+0.2,2),"")</x:f>
      </x:c>
      <x:c r="AF1373" s="36" t="str">
        <x:f>IF(ISNUMBER(AD1373),ROUND(AD1373-AE1373-V1373,2),"")</x:f>
      </x:c>
      <x:c r="AG1373" t="str">
        <x:f>IF(NOT(ISNUMBER(T1373)),"PENDING",IF(AF1373&gt;0,"PASS","FAIL"))</x:f>
        <x:v>PENDING</x:v>
      </x:c>
      <x:c r="AH1373" t="str">
        <x:f>IF(NOT(ISNUMBER(T1373)),"Needs supplier cost",IF(K1373&lt;&gt;"In stock","Supplier unavailable",IF(AG1373&lt;&gt;"PASS","BLOCK - GT loss risk","Commercially protected")))</x:f>
        <x:v>Needs supplier cost</x:v>
      </x:c>
      <x:c r="AI1373" t="str">
        <x:v>2026-09-10 Active Sports trade capture</x:v>
      </x:c>
      <x:c r="AJ1373" t="str">
        <x:v>Management-only economics. Stripe stress test uses 1.5% + £0.20 standard UK online-card fee; pallet/mix-and-match pricing ignored.</x:v>
      </x:c>
    </x:row>
    <x:row r="1374">
      <x:c r="A1374" t="str">
        <x:v>Active Sports Nutrition</x:v>
      </x:c>
      <x:c r="B1374" t="str">
        <x:v>Muscle King Nutrition</x:v>
      </x:c>
      <x:c r="C1374" t="str">
        <x:v>Protein Flapjacks</x:v>
      </x:c>
      <x:c r="D1374" t="str">
        <x:v>Drinks and Bars</x:v>
      </x:c>
      <x:c r="E1374" t="str">
        <x:v>Bars and Snacks</x:v>
      </x:c>
      <x:c r="F1374" t="str">
        <x:v>Hand-baked protein flapjacks.</x:v>
      </x:c>
      <x:c r="G1374" t="str">
        <x:v>12 x 100g bars</x:v>
      </x:c>
      <x:c r="H1374" t="str">
        <x:v>Chocolate Hazelnut</x:v>
      </x:c>
      <x:c r="I1374" t="str">
        <x:v>12</x:v>
      </x:c>
      <x:c r="J1374" t="str">
        <x:v>Case</x:v>
      </x:c>
      <x:c r="K1374" t="str">
        <x:v>In stock</x:v>
      </x:c>
      <x:c r="L1374" t="str">
        <x:v>2026-09-08</x:v>
      </x:c>
      <x:c r="M1374" t="str"/>
      <x:c r="N1374" t="str"/>
      <x:c r="O1374" t="str">
        <x:v>https://www.activesportstrade.co.uk/trade-sports-supplements/Muscle-King-Nutrition</x:v>
      </x:c>
      <x:c r="P1374" t="str">
        <x:v>Fresh supplements page used; older special-offer crawl disagreed on Peanut Butter Choc Chip. Case-only member order.</x:v>
      </x:c>
      <x:c r="Q1374" t="str"/>
      <x:c r="R1374" t="str"/>
      <x:c r="S1374" t="str">
        <x:v>Pending genuine supplier/brand image</x:v>
      </x:c>
      <x:c r="T1374" s="54"/>
      <x:c r="U1374" s="47" t="n">
        <x:v>0.2</x:v>
      </x:c>
      <x:c r="V1374" s="54" t="str">
        <x:f>IF(ISNUMBER(T1374),T1374*(1+U1374),"")</x:f>
      </x:c>
      <x:c r="W1374" s="47" t="n">
        <x:v>0.3</x:v>
      </x:c>
      <x:c r="X1374" s="54" t="str">
        <x:f>IF(ISNUMBER(V1374),V1374/(1-W1374),"")</x:f>
      </x:c>
      <x:c r="Y1374" s="55" t="str">
        <x:f>IF(ISNUMBER(X1374),ROUNDUP(X1374,0),"")</x:f>
      </x:c>
      <x:c r="Z1374" t="str">
        <x:f>IF(ISNUMBER(T1374),"Cost captured","Awaiting trade cost")</x:f>
        <x:v>Awaiting trade cost</x:v>
      </x:c>
      <x:c r="AB1374" s="36" t="str">
        <x:f>IF(ISNUMBER(Y1374),ROUND(Y1374*0.9,2),"")</x:f>
      </x:c>
      <x:c r="AC1374" s="36" t="str">
        <x:f>IF(ISNUMBER(AB1374),ROUND(AB1374-(AB1374*0.015+0.2)-V1374,2),"")</x:f>
      </x:c>
      <x:c r="AD1374" s="36" t="str">
        <x:f>IF(ISNUMBER(Y1374),ROUND(Y1374*0.8,2),"")</x:f>
      </x:c>
      <x:c r="AE1374" s="36" t="str">
        <x:f>IF(ISNUMBER(AD1374),ROUND(AD1374*0.015+0.2,2),"")</x:f>
      </x:c>
      <x:c r="AF1374" s="36" t="str">
        <x:f>IF(ISNUMBER(AD1374),ROUND(AD1374-AE1374-V1374,2),"")</x:f>
      </x:c>
      <x:c r="AG1374" t="str">
        <x:f>IF(NOT(ISNUMBER(T1374)),"PENDING",IF(AF1374&gt;0,"PASS","FAIL"))</x:f>
        <x:v>PENDING</x:v>
      </x:c>
      <x:c r="AH1374" t="str">
        <x:f>IF(NOT(ISNUMBER(T1374)),"Needs supplier cost",IF(K1374&lt;&gt;"In stock","Supplier unavailable",IF(AG1374&lt;&gt;"PASS","BLOCK - GT loss risk","Commercially protected")))</x:f>
        <x:v>Needs supplier cost</x:v>
      </x:c>
      <x:c r="AI1374" t="str">
        <x:v>2026-09-10 Active Sports trade capture</x:v>
      </x:c>
      <x:c r="AJ1374" t="str">
        <x:v>Management-only economics. Stripe stress test uses 1.5% + £0.20 standard UK online-card fee; pallet/mix-and-match pricing ignored.</x:v>
      </x:c>
    </x:row>
    <x:row r="1375">
      <x:c r="A1375" t="str">
        <x:v>Active Sports Nutrition</x:v>
      </x:c>
      <x:c r="B1375" t="str">
        <x:v>Muscle King Nutrition</x:v>
      </x:c>
      <x:c r="C1375" t="str">
        <x:v>Protein Flapjacks</x:v>
      </x:c>
      <x:c r="D1375" t="str">
        <x:v>Drinks and Bars</x:v>
      </x:c>
      <x:c r="E1375" t="str">
        <x:v>Bars and Snacks</x:v>
      </x:c>
      <x:c r="F1375" t="str">
        <x:v>Hand-baked protein flapjacks.</x:v>
      </x:c>
      <x:c r="G1375" t="str">
        <x:v>12 x 100g bars</x:v>
      </x:c>
      <x:c r="H1375" t="str">
        <x:v>Golden Syrup</x:v>
      </x:c>
      <x:c r="I1375" t="str">
        <x:v>12</x:v>
      </x:c>
      <x:c r="J1375" t="str">
        <x:v>Case</x:v>
      </x:c>
      <x:c r="K1375" t="str">
        <x:v>In stock</x:v>
      </x:c>
      <x:c r="L1375" t="str">
        <x:v>2026-09-08</x:v>
      </x:c>
      <x:c r="M1375" t="str"/>
      <x:c r="N1375" t="str"/>
      <x:c r="O1375" t="str">
        <x:v>https://www.activesportstrade.co.uk/trade-sports-supplements/Muscle-King-Nutrition</x:v>
      </x:c>
      <x:c r="P1375" t="str">
        <x:v>Fresh supplements page used; older special-offer crawl disagreed on Peanut Butter Choc Chip. Case-only member order.</x:v>
      </x:c>
      <x:c r="Q1375" t="str"/>
      <x:c r="R1375" t="str"/>
      <x:c r="S1375" t="str">
        <x:v>Pending genuine supplier/brand image</x:v>
      </x:c>
      <x:c r="T1375" s="54"/>
      <x:c r="U1375" s="47" t="n">
        <x:v>0.2</x:v>
      </x:c>
      <x:c r="V1375" s="54" t="str">
        <x:f>IF(ISNUMBER(T1375),T1375*(1+U1375),"")</x:f>
      </x:c>
      <x:c r="W1375" s="47" t="n">
        <x:v>0.3</x:v>
      </x:c>
      <x:c r="X1375" s="54" t="str">
        <x:f>IF(ISNUMBER(V1375),V1375/(1-W1375),"")</x:f>
      </x:c>
      <x:c r="Y1375" s="55" t="str">
        <x:f>IF(ISNUMBER(X1375),ROUNDUP(X1375,0),"")</x:f>
      </x:c>
      <x:c r="Z1375" t="str">
        <x:f>IF(ISNUMBER(T1375),"Cost captured","Awaiting trade cost")</x:f>
        <x:v>Awaiting trade cost</x:v>
      </x:c>
      <x:c r="AB1375" s="36" t="str">
        <x:f>IF(ISNUMBER(Y1375),ROUND(Y1375*0.9,2),"")</x:f>
      </x:c>
      <x:c r="AC1375" s="36" t="str">
        <x:f>IF(ISNUMBER(AB1375),ROUND(AB1375-(AB1375*0.015+0.2)-V1375,2),"")</x:f>
      </x:c>
      <x:c r="AD1375" s="36" t="str">
        <x:f>IF(ISNUMBER(Y1375),ROUND(Y1375*0.8,2),"")</x:f>
      </x:c>
      <x:c r="AE1375" s="36" t="str">
        <x:f>IF(ISNUMBER(AD1375),ROUND(AD1375*0.015+0.2,2),"")</x:f>
      </x:c>
      <x:c r="AF1375" s="36" t="str">
        <x:f>IF(ISNUMBER(AD1375),ROUND(AD1375-AE1375-V1375,2),"")</x:f>
      </x:c>
      <x:c r="AG1375" t="str">
        <x:f>IF(NOT(ISNUMBER(T1375)),"PENDING",IF(AF1375&gt;0,"PASS","FAIL"))</x:f>
        <x:v>PENDING</x:v>
      </x:c>
      <x:c r="AH1375" t="str">
        <x:f>IF(NOT(ISNUMBER(T1375)),"Needs supplier cost",IF(K1375&lt;&gt;"In stock","Supplier unavailable",IF(AG1375&lt;&gt;"PASS","BLOCK - GT loss risk","Commercially protected")))</x:f>
        <x:v>Needs supplier cost</x:v>
      </x:c>
      <x:c r="AI1375" t="str">
        <x:v>2026-09-10 Active Sports trade capture</x:v>
      </x:c>
      <x:c r="AJ1375" t="str">
        <x:v>Management-only economics. Stripe stress test uses 1.5% + £0.20 standard UK online-card fee; pallet/mix-and-match pricing ignored.</x:v>
      </x:c>
    </x:row>
    <x:row r="1376">
      <x:c r="A1376" t="str">
        <x:v>Active Sports Nutrition</x:v>
      </x:c>
      <x:c r="B1376" t="str">
        <x:v>Muscle King Nutrition</x:v>
      </x:c>
      <x:c r="C1376" t="str">
        <x:v>Protein Flapjacks</x:v>
      </x:c>
      <x:c r="D1376" t="str">
        <x:v>Drinks and Bars</x:v>
      </x:c>
      <x:c r="E1376" t="str">
        <x:v>Bars and Snacks</x:v>
      </x:c>
      <x:c r="F1376" t="str">
        <x:v>Hand-baked protein flapjacks.</x:v>
      </x:c>
      <x:c r="G1376" t="str">
        <x:v>12 x 100g bars</x:v>
      </x:c>
      <x:c r="H1376" t="str">
        <x:v>Milk Chocolate Chip</x:v>
      </x:c>
      <x:c r="I1376" t="str">
        <x:v>12</x:v>
      </x:c>
      <x:c r="J1376" t="str">
        <x:v>Case</x:v>
      </x:c>
      <x:c r="K1376" t="str">
        <x:v>In stock</x:v>
      </x:c>
      <x:c r="L1376" t="str">
        <x:v>2026-09-08</x:v>
      </x:c>
      <x:c r="M1376" t="str"/>
      <x:c r="N1376" t="str"/>
      <x:c r="O1376" t="str">
        <x:v>https://www.activesportstrade.co.uk/trade-sports-supplements/Muscle-King-Nutrition</x:v>
      </x:c>
      <x:c r="P1376" t="str">
        <x:v>Fresh supplements page used; older special-offer crawl disagreed on Peanut Butter Choc Chip. Case-only member order.</x:v>
      </x:c>
      <x:c r="Q1376" t="str"/>
      <x:c r="R1376" t="str"/>
      <x:c r="S1376" t="str">
        <x:v>Pending genuine supplier/brand image</x:v>
      </x:c>
      <x:c r="T1376" s="54"/>
      <x:c r="U1376" s="47" t="n">
        <x:v>0.2</x:v>
      </x:c>
      <x:c r="V1376" s="54" t="str">
        <x:f>IF(ISNUMBER(T1376),T1376*(1+U1376),"")</x:f>
      </x:c>
      <x:c r="W1376" s="47" t="n">
        <x:v>0.3</x:v>
      </x:c>
      <x:c r="X1376" s="54" t="str">
        <x:f>IF(ISNUMBER(V1376),V1376/(1-W1376),"")</x:f>
      </x:c>
      <x:c r="Y1376" s="55" t="str">
        <x:f>IF(ISNUMBER(X1376),ROUNDUP(X1376,0),"")</x:f>
      </x:c>
      <x:c r="Z1376" t="str">
        <x:f>IF(ISNUMBER(T1376),"Cost captured","Awaiting trade cost")</x:f>
        <x:v>Awaiting trade cost</x:v>
      </x:c>
      <x:c r="AB1376" s="36" t="str">
        <x:f>IF(ISNUMBER(Y1376),ROUND(Y1376*0.9,2),"")</x:f>
      </x:c>
      <x:c r="AC1376" s="36" t="str">
        <x:f>IF(ISNUMBER(AB1376),ROUND(AB1376-(AB1376*0.015+0.2)-V1376,2),"")</x:f>
      </x:c>
      <x:c r="AD1376" s="36" t="str">
        <x:f>IF(ISNUMBER(Y1376),ROUND(Y1376*0.8,2),"")</x:f>
      </x:c>
      <x:c r="AE1376" s="36" t="str">
        <x:f>IF(ISNUMBER(AD1376),ROUND(AD1376*0.015+0.2,2),"")</x:f>
      </x:c>
      <x:c r="AF1376" s="36" t="str">
        <x:f>IF(ISNUMBER(AD1376),ROUND(AD1376-AE1376-V1376,2),"")</x:f>
      </x:c>
      <x:c r="AG1376" t="str">
        <x:f>IF(NOT(ISNUMBER(T1376)),"PENDING",IF(AF1376&gt;0,"PASS","FAIL"))</x:f>
        <x:v>PENDING</x:v>
      </x:c>
      <x:c r="AH1376" t="str">
        <x:f>IF(NOT(ISNUMBER(T1376)),"Needs supplier cost",IF(K1376&lt;&gt;"In stock","Supplier unavailable",IF(AG1376&lt;&gt;"PASS","BLOCK - GT loss risk","Commercially protected")))</x:f>
        <x:v>Needs supplier cost</x:v>
      </x:c>
      <x:c r="AI1376" t="str">
        <x:v>2026-09-10 Active Sports trade capture</x:v>
      </x:c>
      <x:c r="AJ1376" t="str">
        <x:v>Management-only economics. Stripe stress test uses 1.5% + £0.20 standard UK online-card fee; pallet/mix-and-match pricing ignored.</x:v>
      </x:c>
    </x:row>
    <x:row r="1377">
      <x:c r="A1377" t="str">
        <x:v>Active Sports Nutrition</x:v>
      </x:c>
      <x:c r="B1377" t="str">
        <x:v>Muscle King Nutrition</x:v>
      </x:c>
      <x:c r="C1377" t="str">
        <x:v>Protein Flapjacks</x:v>
      </x:c>
      <x:c r="D1377" t="str">
        <x:v>Drinks and Bars</x:v>
      </x:c>
      <x:c r="E1377" t="str">
        <x:v>Bars and Snacks</x:v>
      </x:c>
      <x:c r="F1377" t="str">
        <x:v>Hand-baked protein flapjacks.</x:v>
      </x:c>
      <x:c r="G1377" t="str">
        <x:v>12 x 100g bars</x:v>
      </x:c>
      <x:c r="H1377" t="str">
        <x:v>Peanut Butter Choc Chip</x:v>
      </x:c>
      <x:c r="I1377" t="str">
        <x:v>12</x:v>
      </x:c>
      <x:c r="J1377" t="str">
        <x:v>Case</x:v>
      </x:c>
      <x:c r="K1377" t="str">
        <x:v>In stock</x:v>
      </x:c>
      <x:c r="L1377" t="str">
        <x:v>2026-09-08</x:v>
      </x:c>
      <x:c r="M1377" t="str"/>
      <x:c r="N1377" t="str"/>
      <x:c r="O1377" t="str">
        <x:v>https://www.activesportstrade.co.uk/trade-sports-supplements/Muscle-King-Nutrition</x:v>
      </x:c>
      <x:c r="P1377" t="str">
        <x:v>Fresh supplements page used; older special-offer crawl disagreed on Peanut Butter Choc Chip. Case-only member order.</x:v>
      </x:c>
      <x:c r="Q1377" t="str"/>
      <x:c r="R1377" t="str"/>
      <x:c r="S1377" t="str">
        <x:v>Pending genuine supplier/brand image</x:v>
      </x:c>
      <x:c r="T1377" s="54"/>
      <x:c r="U1377" s="47" t="n">
        <x:v>0.2</x:v>
      </x:c>
      <x:c r="V1377" s="54" t="str">
        <x:f>IF(ISNUMBER(T1377),T1377*(1+U1377),"")</x:f>
      </x:c>
      <x:c r="W1377" s="47" t="n">
        <x:v>0.3</x:v>
      </x:c>
      <x:c r="X1377" s="54" t="str">
        <x:f>IF(ISNUMBER(V1377),V1377/(1-W1377),"")</x:f>
      </x:c>
      <x:c r="Y1377" s="55" t="str">
        <x:f>IF(ISNUMBER(X1377),ROUNDUP(X1377,0),"")</x:f>
      </x:c>
      <x:c r="Z1377" t="str">
        <x:f>IF(ISNUMBER(T1377),"Cost captured","Awaiting trade cost")</x:f>
        <x:v>Awaiting trade cost</x:v>
      </x:c>
      <x:c r="AB1377" s="36" t="str">
        <x:f>IF(ISNUMBER(Y1377),ROUND(Y1377*0.9,2),"")</x:f>
      </x:c>
      <x:c r="AC1377" s="36" t="str">
        <x:f>IF(ISNUMBER(AB1377),ROUND(AB1377-(AB1377*0.015+0.2)-V1377,2),"")</x:f>
      </x:c>
      <x:c r="AD1377" s="36" t="str">
        <x:f>IF(ISNUMBER(Y1377),ROUND(Y1377*0.8,2),"")</x:f>
      </x:c>
      <x:c r="AE1377" s="36" t="str">
        <x:f>IF(ISNUMBER(AD1377),ROUND(AD1377*0.015+0.2,2),"")</x:f>
      </x:c>
      <x:c r="AF1377" s="36" t="str">
        <x:f>IF(ISNUMBER(AD1377),ROUND(AD1377-AE1377-V1377,2),"")</x:f>
      </x:c>
      <x:c r="AG1377" t="str">
        <x:f>IF(NOT(ISNUMBER(T1377)),"PENDING",IF(AF1377&gt;0,"PASS","FAIL"))</x:f>
        <x:v>PENDING</x:v>
      </x:c>
      <x:c r="AH1377" t="str">
        <x:f>IF(NOT(ISNUMBER(T1377)),"Needs supplier cost",IF(K1377&lt;&gt;"In stock","Supplier unavailable",IF(AG1377&lt;&gt;"PASS","BLOCK - GT loss risk","Commercially protected")))</x:f>
        <x:v>Needs supplier cost</x:v>
      </x:c>
      <x:c r="AI1377" t="str">
        <x:v>2026-09-10 Active Sports trade capture</x:v>
      </x:c>
      <x:c r="AJ1377" t="str">
        <x:v>Management-only economics. Stripe stress test uses 1.5% + £0.20 standard UK online-card fee; pallet/mix-and-match pricing ignored.</x:v>
      </x:c>
    </x:row>
    <x:row r="1378">
      <x:c r="A1378" t="str">
        <x:v>Active Sports Nutrition</x:v>
      </x:c>
      <x:c r="B1378" t="str">
        <x:v>Muscle King Nutrition</x:v>
      </x:c>
      <x:c r="C1378" t="str">
        <x:v>Protein Flapjacks</x:v>
      </x:c>
      <x:c r="D1378" t="str">
        <x:v>Drinks and Bars</x:v>
      </x:c>
      <x:c r="E1378" t="str">
        <x:v>Bars and Snacks</x:v>
      </x:c>
      <x:c r="F1378" t="str">
        <x:v>Hand-baked protein flapjacks.</x:v>
      </x:c>
      <x:c r="G1378" t="str">
        <x:v>12 x 100g bars</x:v>
      </x:c>
      <x:c r="H1378" t="str">
        <x:v>Salted Caramel</x:v>
      </x:c>
      <x:c r="I1378" t="str">
        <x:v>12</x:v>
      </x:c>
      <x:c r="J1378" t="str">
        <x:v>Case</x:v>
      </x:c>
      <x:c r="K1378" t="str">
        <x:v>In stock</x:v>
      </x:c>
      <x:c r="L1378" t="str">
        <x:v>2026-09-08</x:v>
      </x:c>
      <x:c r="M1378" t="str"/>
      <x:c r="N1378" t="str"/>
      <x:c r="O1378" t="str">
        <x:v>https://www.activesportstrade.co.uk/trade-sports-supplements/Muscle-King-Nutrition</x:v>
      </x:c>
      <x:c r="P1378" t="str">
        <x:v>Fresh supplements page used; older special-offer crawl disagreed on Peanut Butter Choc Chip. Case-only member order.</x:v>
      </x:c>
      <x:c r="Q1378" t="str"/>
      <x:c r="R1378" t="str"/>
      <x:c r="S1378" t="str">
        <x:v>Pending genuine supplier/brand image</x:v>
      </x:c>
      <x:c r="T1378" s="54"/>
      <x:c r="U1378" s="47" t="n">
        <x:v>0.2</x:v>
      </x:c>
      <x:c r="V1378" s="54" t="str">
        <x:f>IF(ISNUMBER(T1378),T1378*(1+U1378),"")</x:f>
      </x:c>
      <x:c r="W1378" s="47" t="n">
        <x:v>0.3</x:v>
      </x:c>
      <x:c r="X1378" s="54" t="str">
        <x:f>IF(ISNUMBER(V1378),V1378/(1-W1378),"")</x:f>
      </x:c>
      <x:c r="Y1378" s="55" t="str">
        <x:f>IF(ISNUMBER(X1378),ROUNDUP(X1378,0),"")</x:f>
      </x:c>
      <x:c r="Z1378" t="str">
        <x:f>IF(ISNUMBER(T1378),"Cost captured","Awaiting trade cost")</x:f>
        <x:v>Awaiting trade cost</x:v>
      </x:c>
      <x:c r="AB1378" s="36" t="str">
        <x:f>IF(ISNUMBER(Y1378),ROUND(Y1378*0.9,2),"")</x:f>
      </x:c>
      <x:c r="AC1378" s="36" t="str">
        <x:f>IF(ISNUMBER(AB1378),ROUND(AB1378-(AB1378*0.015+0.2)-V1378,2),"")</x:f>
      </x:c>
      <x:c r="AD1378" s="36" t="str">
        <x:f>IF(ISNUMBER(Y1378),ROUND(Y1378*0.8,2),"")</x:f>
      </x:c>
      <x:c r="AE1378" s="36" t="str">
        <x:f>IF(ISNUMBER(AD1378),ROUND(AD1378*0.015+0.2,2),"")</x:f>
      </x:c>
      <x:c r="AF1378" s="36" t="str">
        <x:f>IF(ISNUMBER(AD1378),ROUND(AD1378-AE1378-V1378,2),"")</x:f>
      </x:c>
      <x:c r="AG1378" t="str">
        <x:f>IF(NOT(ISNUMBER(T1378)),"PENDING",IF(AF1378&gt;0,"PASS","FAIL"))</x:f>
        <x:v>PENDING</x:v>
      </x:c>
      <x:c r="AH1378" t="str">
        <x:f>IF(NOT(ISNUMBER(T1378)),"Needs supplier cost",IF(K1378&lt;&gt;"In stock","Supplier unavailable",IF(AG1378&lt;&gt;"PASS","BLOCK - GT loss risk","Commercially protected")))</x:f>
        <x:v>Needs supplier cost</x:v>
      </x:c>
      <x:c r="AI1378" t="str">
        <x:v>2026-09-10 Active Sports trade capture</x:v>
      </x:c>
      <x:c r="AJ1378" t="str">
        <x:v>Management-only economics. Stripe stress test uses 1.5% + £0.20 standard UK online-card fee; pallet/mix-and-match pricing ignored.</x:v>
      </x:c>
    </x:row>
    <x:row r="1379">
      <x:c r="A1379" t="str">
        <x:v>Active Sports Nutrition</x:v>
      </x:c>
      <x:c r="B1379" t="str">
        <x:v>Muscle King Nutrition</x:v>
      </x:c>
      <x:c r="C1379" t="str">
        <x:v>Protein Flapjacks</x:v>
      </x:c>
      <x:c r="D1379" t="str">
        <x:v>Drinks and Bars</x:v>
      </x:c>
      <x:c r="E1379" t="str">
        <x:v>Bars and Snacks</x:v>
      </x:c>
      <x:c r="F1379" t="str">
        <x:v>Hand-baked protein flapjacks.</x:v>
      </x:c>
      <x:c r="G1379" t="str">
        <x:v>12 x 100g bars</x:v>
      </x:c>
      <x:c r="H1379" t="str">
        <x:v>Sticky Toffee Pudding</x:v>
      </x:c>
      <x:c r="I1379" t="str">
        <x:v>12</x:v>
      </x:c>
      <x:c r="J1379" t="str">
        <x:v>Case</x:v>
      </x:c>
      <x:c r="K1379" t="str">
        <x:v>In stock</x:v>
      </x:c>
      <x:c r="L1379" t="str">
        <x:v>2026-09-08</x:v>
      </x:c>
      <x:c r="M1379" t="str"/>
      <x:c r="N1379" t="str"/>
      <x:c r="O1379" t="str">
        <x:v>https://www.activesportstrade.co.uk/trade-sports-supplements/Muscle-King-Nutrition</x:v>
      </x:c>
      <x:c r="P1379" t="str">
        <x:v>Fresh supplements page used; older special-offer crawl disagreed on Peanut Butter Choc Chip. Case-only member order.</x:v>
      </x:c>
      <x:c r="Q1379" t="str"/>
      <x:c r="R1379" t="str"/>
      <x:c r="S1379" t="str">
        <x:v>Pending genuine supplier/brand image</x:v>
      </x:c>
      <x:c r="T1379" s="54"/>
      <x:c r="U1379" s="47" t="n">
        <x:v>0.2</x:v>
      </x:c>
      <x:c r="V1379" s="54" t="str">
        <x:f>IF(ISNUMBER(T1379),T1379*(1+U1379),"")</x:f>
      </x:c>
      <x:c r="W1379" s="47" t="n">
        <x:v>0.3</x:v>
      </x:c>
      <x:c r="X1379" s="54" t="str">
        <x:f>IF(ISNUMBER(V1379),V1379/(1-W1379),"")</x:f>
      </x:c>
      <x:c r="Y1379" s="55" t="str">
        <x:f>IF(ISNUMBER(X1379),ROUNDUP(X1379,0),"")</x:f>
      </x:c>
      <x:c r="Z1379" t="str">
        <x:f>IF(ISNUMBER(T1379),"Cost captured","Awaiting trade cost")</x:f>
        <x:v>Awaiting trade cost</x:v>
      </x:c>
      <x:c r="AB1379" s="36" t="str">
        <x:f>IF(ISNUMBER(Y1379),ROUND(Y1379*0.9,2),"")</x:f>
      </x:c>
      <x:c r="AC1379" s="36" t="str">
        <x:f>IF(ISNUMBER(AB1379),ROUND(AB1379-(AB1379*0.015+0.2)-V1379,2),"")</x:f>
      </x:c>
      <x:c r="AD1379" s="36" t="str">
        <x:f>IF(ISNUMBER(Y1379),ROUND(Y1379*0.8,2),"")</x:f>
      </x:c>
      <x:c r="AE1379" s="36" t="str">
        <x:f>IF(ISNUMBER(AD1379),ROUND(AD1379*0.015+0.2,2),"")</x:f>
      </x:c>
      <x:c r="AF1379" s="36" t="str">
        <x:f>IF(ISNUMBER(AD1379),ROUND(AD1379-AE1379-V1379,2),"")</x:f>
      </x:c>
      <x:c r="AG1379" t="str">
        <x:f>IF(NOT(ISNUMBER(T1379)),"PENDING",IF(AF1379&gt;0,"PASS","FAIL"))</x:f>
        <x:v>PENDING</x:v>
      </x:c>
      <x:c r="AH1379" t="str">
        <x:f>IF(NOT(ISNUMBER(T1379)),"Needs supplier cost",IF(K1379&lt;&gt;"In stock","Supplier unavailable",IF(AG1379&lt;&gt;"PASS","BLOCK - GT loss risk","Commercially protected")))</x:f>
        <x:v>Needs supplier cost</x:v>
      </x:c>
      <x:c r="AI1379" t="str">
        <x:v>2026-09-10 Active Sports trade capture</x:v>
      </x:c>
      <x:c r="AJ1379" t="str">
        <x:v>Management-only economics. Stripe stress test uses 1.5% + £0.20 standard UK online-card fee; pallet/mix-and-match pricing ignored.</x:v>
      </x:c>
    </x:row>
    <x:row r="1380">
      <x:c r="A1380" t="str">
        <x:v>Active Sports Nutrition</x:v>
      </x:c>
      <x:c r="B1380" t="str">
        <x:v>Muscle King Nutrition</x:v>
      </x:c>
      <x:c r="C1380" t="str">
        <x:v>Protein Flapjacks</x:v>
      </x:c>
      <x:c r="D1380" t="str">
        <x:v>Drinks and Bars</x:v>
      </x:c>
      <x:c r="E1380" t="str">
        <x:v>Bars and Snacks</x:v>
      </x:c>
      <x:c r="F1380" t="str">
        <x:v>Hand-baked protein flapjacks.</x:v>
      </x:c>
      <x:c r="G1380" t="str">
        <x:v>12 x 100g bars</x:v>
      </x:c>
      <x:c r="H1380" t="str">
        <x:v>Strawberry Jam</x:v>
      </x:c>
      <x:c r="I1380" t="str">
        <x:v>12</x:v>
      </x:c>
      <x:c r="J1380" t="str">
        <x:v>Case</x:v>
      </x:c>
      <x:c r="K1380" t="str">
        <x:v>In stock</x:v>
      </x:c>
      <x:c r="L1380" t="str">
        <x:v>2026-09-08</x:v>
      </x:c>
      <x:c r="M1380" t="str"/>
      <x:c r="N1380" t="str"/>
      <x:c r="O1380" t="str">
        <x:v>https://www.activesportstrade.co.uk/trade-sports-supplements/Muscle-King-Nutrition</x:v>
      </x:c>
      <x:c r="P1380" t="str">
        <x:v>Fresh supplements page used; older special-offer crawl disagreed on Peanut Butter Choc Chip. Case-only member order.</x:v>
      </x:c>
      <x:c r="Q1380" t="str"/>
      <x:c r="R1380" t="str"/>
      <x:c r="S1380" t="str">
        <x:v>Pending genuine supplier/brand image</x:v>
      </x:c>
      <x:c r="T1380" s="54"/>
      <x:c r="U1380" s="47" t="n">
        <x:v>0.2</x:v>
      </x:c>
      <x:c r="V1380" s="54" t="str">
        <x:f>IF(ISNUMBER(T1380),T1380*(1+U1380),"")</x:f>
      </x:c>
      <x:c r="W1380" s="47" t="n">
        <x:v>0.3</x:v>
      </x:c>
      <x:c r="X1380" s="54" t="str">
        <x:f>IF(ISNUMBER(V1380),V1380/(1-W1380),"")</x:f>
      </x:c>
      <x:c r="Y1380" s="55" t="str">
        <x:f>IF(ISNUMBER(X1380),ROUNDUP(X1380,0),"")</x:f>
      </x:c>
      <x:c r="Z1380" t="str">
        <x:f>IF(ISNUMBER(T1380),"Cost captured","Awaiting trade cost")</x:f>
        <x:v>Awaiting trade cost</x:v>
      </x:c>
      <x:c r="AB1380" s="36" t="str">
        <x:f>IF(ISNUMBER(Y1380),ROUND(Y1380*0.9,2),"")</x:f>
      </x:c>
      <x:c r="AC1380" s="36" t="str">
        <x:f>IF(ISNUMBER(AB1380),ROUND(AB1380-(AB1380*0.015+0.2)-V1380,2),"")</x:f>
      </x:c>
      <x:c r="AD1380" s="36" t="str">
        <x:f>IF(ISNUMBER(Y1380),ROUND(Y1380*0.8,2),"")</x:f>
      </x:c>
      <x:c r="AE1380" s="36" t="str">
        <x:f>IF(ISNUMBER(AD1380),ROUND(AD1380*0.015+0.2,2),"")</x:f>
      </x:c>
      <x:c r="AF1380" s="36" t="str">
        <x:f>IF(ISNUMBER(AD1380),ROUND(AD1380-AE1380-V1380,2),"")</x:f>
      </x:c>
      <x:c r="AG1380" t="str">
        <x:f>IF(NOT(ISNUMBER(T1380)),"PENDING",IF(AF1380&gt;0,"PASS","FAIL"))</x:f>
        <x:v>PENDING</x:v>
      </x:c>
      <x:c r="AH1380" t="str">
        <x:f>IF(NOT(ISNUMBER(T1380)),"Needs supplier cost",IF(K1380&lt;&gt;"In stock","Supplier unavailable",IF(AG1380&lt;&gt;"PASS","BLOCK - GT loss risk","Commercially protected")))</x:f>
        <x:v>Needs supplier cost</x:v>
      </x:c>
      <x:c r="AI1380" t="str">
        <x:v>2026-09-10 Active Sports trade capture</x:v>
      </x:c>
      <x:c r="AJ1380" t="str">
        <x:v>Management-only economics. Stripe stress test uses 1.5% + £0.20 standard UK online-card fee; pallet/mix-and-match pricing ignored.</x:v>
      </x:c>
    </x:row>
    <x:row r="1381">
      <x:c r="A1381" t="str">
        <x:v>Active Sports Nutrition</x:v>
      </x:c>
      <x:c r="B1381" t="str">
        <x:v>Muscle King Nutrition</x:v>
      </x:c>
      <x:c r="C1381" t="str">
        <x:v>Protein Flapjacks</x:v>
      </x:c>
      <x:c r="D1381" t="str">
        <x:v>Drinks and Bars</x:v>
      </x:c>
      <x:c r="E1381" t="str">
        <x:v>Bars and Snacks</x:v>
      </x:c>
      <x:c r="F1381" t="str">
        <x:v>Hand-baked protein flapjacks.</x:v>
      </x:c>
      <x:c r="G1381" t="str">
        <x:v>12 x 100g bars</x:v>
      </x:c>
      <x:c r="H1381" t="str">
        <x:v>White Chocolate Raspberry</x:v>
      </x:c>
      <x:c r="I1381" t="str">
        <x:v>12</x:v>
      </x:c>
      <x:c r="J1381" t="str">
        <x:v>Case</x:v>
      </x:c>
      <x:c r="K1381" t="str">
        <x:v>In stock</x:v>
      </x:c>
      <x:c r="L1381" t="str">
        <x:v>2026-09-08</x:v>
      </x:c>
      <x:c r="M1381" t="str"/>
      <x:c r="N1381" t="str"/>
      <x:c r="O1381" t="str">
        <x:v>https://www.activesportstrade.co.uk/trade-sports-supplements/Muscle-King-Nutrition</x:v>
      </x:c>
      <x:c r="P1381" t="str">
        <x:v>Fresh supplements page used; older special-offer crawl disagreed on Peanut Butter Choc Chip. Case-only member order.</x:v>
      </x:c>
      <x:c r="Q1381" t="str"/>
      <x:c r="R1381" t="str"/>
      <x:c r="S1381" t="str">
        <x:v>Pending genuine supplier/brand image</x:v>
      </x:c>
      <x:c r="T1381" s="54"/>
      <x:c r="U1381" s="47" t="n">
        <x:v>0.2</x:v>
      </x:c>
      <x:c r="V1381" s="54" t="str">
        <x:f>IF(ISNUMBER(T1381),T1381*(1+U1381),"")</x:f>
      </x:c>
      <x:c r="W1381" s="47" t="n">
        <x:v>0.3</x:v>
      </x:c>
      <x:c r="X1381" s="54" t="str">
        <x:f>IF(ISNUMBER(V1381),V1381/(1-W1381),"")</x:f>
      </x:c>
      <x:c r="Y1381" s="55" t="str">
        <x:f>IF(ISNUMBER(X1381),ROUNDUP(X1381,0),"")</x:f>
      </x:c>
      <x:c r="Z1381" t="str">
        <x:f>IF(ISNUMBER(T1381),"Cost captured","Awaiting trade cost")</x:f>
        <x:v>Awaiting trade cost</x:v>
      </x:c>
      <x:c r="AB1381" s="36" t="str">
        <x:f>IF(ISNUMBER(Y1381),ROUND(Y1381*0.9,2),"")</x:f>
      </x:c>
      <x:c r="AC1381" s="36" t="str">
        <x:f>IF(ISNUMBER(AB1381),ROUND(AB1381-(AB1381*0.015+0.2)-V1381,2),"")</x:f>
      </x:c>
      <x:c r="AD1381" s="36" t="str">
        <x:f>IF(ISNUMBER(Y1381),ROUND(Y1381*0.8,2),"")</x:f>
      </x:c>
      <x:c r="AE1381" s="36" t="str">
        <x:f>IF(ISNUMBER(AD1381),ROUND(AD1381*0.015+0.2,2),"")</x:f>
      </x:c>
      <x:c r="AF1381" s="36" t="str">
        <x:f>IF(ISNUMBER(AD1381),ROUND(AD1381-AE1381-V1381,2),"")</x:f>
      </x:c>
      <x:c r="AG1381" t="str">
        <x:f>IF(NOT(ISNUMBER(T1381)),"PENDING",IF(AF1381&gt;0,"PASS","FAIL"))</x:f>
        <x:v>PENDING</x:v>
      </x:c>
      <x:c r="AH1381" t="str">
        <x:f>IF(NOT(ISNUMBER(T1381)),"Needs supplier cost",IF(K1381&lt;&gt;"In stock","Supplier unavailable",IF(AG1381&lt;&gt;"PASS","BLOCK - GT loss risk","Commercially protected")))</x:f>
        <x:v>Needs supplier cost</x:v>
      </x:c>
      <x:c r="AI1381" t="str">
        <x:v>2026-09-10 Active Sports trade capture</x:v>
      </x:c>
      <x:c r="AJ1381" t="str">
        <x:v>Management-only economics. Stripe stress test uses 1.5% + £0.20 standard UK online-card fee; pallet/mix-and-match pricing ignored.</x:v>
      </x:c>
    </x:row>
    <x:row r="1382">
      <x:c r="A1382" t="str">
        <x:v>Active Sports Nutrition</x:v>
      </x:c>
      <x:c r="B1382" t="str">
        <x:v>Muscle King Nutrition</x:v>
      </x:c>
      <x:c r="C1382" t="str">
        <x:v>Protein Power Shake</x:v>
      </x:c>
      <x:c r="D1382" t="str">
        <x:v>Supplements</x:v>
      </x:c>
      <x:c r="E1382" t="str">
        <x:v>Protein Blends</x:v>
      </x:c>
      <x:c r="F1382" t="str">
        <x:v>Protein blend powder.</x:v>
      </x:c>
      <x:c r="G1382" t="str">
        <x:v>2kg</x:v>
      </x:c>
      <x:c r="H1382" t="str">
        <x:v>Banana</x:v>
      </x:c>
      <x:c r="I1382" t="str"/>
      <x:c r="J1382" t="str">
        <x:v>Unit</x:v>
      </x:c>
      <x:c r="K1382" t="str">
        <x:v>In stock</x:v>
      </x:c>
      <x:c r="L1382" t="str">
        <x:v>2026-09-08</x:v>
      </x:c>
      <x:c r="M1382" t="str"/>
      <x:c r="N1382" t="str"/>
      <x:c r="O1382" t="str">
        <x:v>https://www.activesportstrade.co.uk/Protein-Blends-Trade/Muscle-King-Nutrition</x:v>
      </x:c>
      <x:c r="P1382" t="str">
        <x:v>Fresh protein-blends page used; BBE/promo suffixes stripped from canonical flavour names.</x:v>
      </x:c>
      <x:c r="Q1382" t="str"/>
      <x:c r="R1382" t="str"/>
      <x:c r="S1382" t="str">
        <x:v>Pending genuine supplier/brand image</x:v>
      </x:c>
      <x:c r="T1382" s="54"/>
      <x:c r="U1382" s="47" t="n">
        <x:v>0.2</x:v>
      </x:c>
      <x:c r="V1382" s="54" t="str">
        <x:f>IF(ISNUMBER(T1382),T1382*(1+U1382),"")</x:f>
      </x:c>
      <x:c r="W1382" s="47" t="n">
        <x:v>0.3</x:v>
      </x:c>
      <x:c r="X1382" s="54" t="str">
        <x:f>IF(ISNUMBER(V1382),V1382/(1-W1382),"")</x:f>
      </x:c>
      <x:c r="Y1382" s="55" t="str">
        <x:f>IF(ISNUMBER(X1382),ROUNDUP(X1382,0),"")</x:f>
      </x:c>
      <x:c r="Z1382" t="str">
        <x:f>IF(ISNUMBER(T1382),"Cost captured","Awaiting trade cost")</x:f>
        <x:v>Awaiting trade cost</x:v>
      </x:c>
      <x:c r="AB1382" s="36" t="str">
        <x:f>IF(ISNUMBER(Y1382),ROUND(Y1382*0.9,2),"")</x:f>
      </x:c>
      <x:c r="AC1382" s="36" t="str">
        <x:f>IF(ISNUMBER(AB1382),ROUND(AB1382-(AB1382*0.015+0.2)-V1382,2),"")</x:f>
      </x:c>
      <x:c r="AD1382" s="36" t="str">
        <x:f>IF(ISNUMBER(Y1382),ROUND(Y1382*0.8,2),"")</x:f>
      </x:c>
      <x:c r="AE1382" s="36" t="str">
        <x:f>IF(ISNUMBER(AD1382),ROUND(AD1382*0.015+0.2,2),"")</x:f>
      </x:c>
      <x:c r="AF1382" s="36" t="str">
        <x:f>IF(ISNUMBER(AD1382),ROUND(AD1382-AE1382-V1382,2),"")</x:f>
      </x:c>
      <x:c r="AG1382" t="str">
        <x:f>IF(NOT(ISNUMBER(T1382)),"PENDING",IF(AF1382&gt;0,"PASS","FAIL"))</x:f>
        <x:v>PENDING</x:v>
      </x:c>
      <x:c r="AH1382" t="str">
        <x:f>IF(NOT(ISNUMBER(T1382)),"Needs supplier cost",IF(K1382&lt;&gt;"In stock","Supplier unavailable",IF(AG1382&lt;&gt;"PASS","BLOCK - GT loss risk","Commercially protected")))</x:f>
        <x:v>Needs supplier cost</x:v>
      </x:c>
      <x:c r="AI1382" t="str">
        <x:v>2026-09-10 Active Sports trade capture</x:v>
      </x:c>
      <x:c r="AJ1382" t="str">
        <x:v>Management-only economics. Stripe stress test uses 1.5% + £0.20 standard UK online-card fee; pallet/mix-and-match pricing ignored.</x:v>
      </x:c>
    </x:row>
    <x:row r="1383">
      <x:c r="A1383" t="str">
        <x:v>Active Sports Nutrition</x:v>
      </x:c>
      <x:c r="B1383" t="str">
        <x:v>Muscle King Nutrition</x:v>
      </x:c>
      <x:c r="C1383" t="str">
        <x:v>Protein Power Shake</x:v>
      </x:c>
      <x:c r="D1383" t="str">
        <x:v>Supplements</x:v>
      </x:c>
      <x:c r="E1383" t="str">
        <x:v>Protein Blends</x:v>
      </x:c>
      <x:c r="F1383" t="str">
        <x:v>Protein blend powder.</x:v>
      </x:c>
      <x:c r="G1383" t="str">
        <x:v>2kg</x:v>
      </x:c>
      <x:c r="H1383" t="str">
        <x:v>Chocolate</x:v>
      </x:c>
      <x:c r="I1383" t="str"/>
      <x:c r="J1383" t="str">
        <x:v>Unit</x:v>
      </x:c>
      <x:c r="K1383" t="str">
        <x:v>In stock</x:v>
      </x:c>
      <x:c r="L1383" t="str">
        <x:v>2026-09-08</x:v>
      </x:c>
      <x:c r="M1383" t="str"/>
      <x:c r="N1383" t="str"/>
      <x:c r="O1383" t="str">
        <x:v>https://www.activesportstrade.co.uk/Protein-Blends-Trade/Muscle-King-Nutrition</x:v>
      </x:c>
      <x:c r="P1383" t="str">
        <x:v>Fresh protein-blends page used; BBE/promo suffixes stripped from canonical flavour names.</x:v>
      </x:c>
      <x:c r="Q1383" t="str"/>
      <x:c r="R1383" t="str"/>
      <x:c r="S1383" t="str">
        <x:v>Pending genuine supplier/brand image</x:v>
      </x:c>
      <x:c r="T1383" s="54"/>
      <x:c r="U1383" s="47" t="n">
        <x:v>0.2</x:v>
      </x:c>
      <x:c r="V1383" s="54" t="str">
        <x:f>IF(ISNUMBER(T1383),T1383*(1+U1383),"")</x:f>
      </x:c>
      <x:c r="W1383" s="47" t="n">
        <x:v>0.3</x:v>
      </x:c>
      <x:c r="X1383" s="54" t="str">
        <x:f>IF(ISNUMBER(V1383),V1383/(1-W1383),"")</x:f>
      </x:c>
      <x:c r="Y1383" s="55" t="str">
        <x:f>IF(ISNUMBER(X1383),ROUNDUP(X1383,0),"")</x:f>
      </x:c>
      <x:c r="Z1383" t="str">
        <x:f>IF(ISNUMBER(T1383),"Cost captured","Awaiting trade cost")</x:f>
        <x:v>Awaiting trade cost</x:v>
      </x:c>
      <x:c r="AB1383" s="36" t="str">
        <x:f>IF(ISNUMBER(Y1383),ROUND(Y1383*0.9,2),"")</x:f>
      </x:c>
      <x:c r="AC1383" s="36" t="str">
        <x:f>IF(ISNUMBER(AB1383),ROUND(AB1383-(AB1383*0.015+0.2)-V1383,2),"")</x:f>
      </x:c>
      <x:c r="AD1383" s="36" t="str">
        <x:f>IF(ISNUMBER(Y1383),ROUND(Y1383*0.8,2),"")</x:f>
      </x:c>
      <x:c r="AE1383" s="36" t="str">
        <x:f>IF(ISNUMBER(AD1383),ROUND(AD1383*0.015+0.2,2),"")</x:f>
      </x:c>
      <x:c r="AF1383" s="36" t="str">
        <x:f>IF(ISNUMBER(AD1383),ROUND(AD1383-AE1383-V1383,2),"")</x:f>
      </x:c>
      <x:c r="AG1383" t="str">
        <x:f>IF(NOT(ISNUMBER(T1383)),"PENDING",IF(AF1383&gt;0,"PASS","FAIL"))</x:f>
        <x:v>PENDING</x:v>
      </x:c>
      <x:c r="AH1383" t="str">
        <x:f>IF(NOT(ISNUMBER(T1383)),"Needs supplier cost",IF(K1383&lt;&gt;"In stock","Supplier unavailable",IF(AG1383&lt;&gt;"PASS","BLOCK - GT loss risk","Commercially protected")))</x:f>
        <x:v>Needs supplier cost</x:v>
      </x:c>
      <x:c r="AI1383" t="str">
        <x:v>2026-09-10 Active Sports trade capture</x:v>
      </x:c>
      <x:c r="AJ1383" t="str">
        <x:v>Management-only economics. Stripe stress test uses 1.5% + £0.20 standard UK online-card fee; pallet/mix-and-match pricing ignored.</x:v>
      </x:c>
    </x:row>
    <x:row r="1384">
      <x:c r="A1384" t="str">
        <x:v>Active Sports Nutrition</x:v>
      </x:c>
      <x:c r="B1384" t="str">
        <x:v>Muscle King Nutrition</x:v>
      </x:c>
      <x:c r="C1384" t="str">
        <x:v>Protein Power Shake</x:v>
      </x:c>
      <x:c r="D1384" t="str">
        <x:v>Supplements</x:v>
      </x:c>
      <x:c r="E1384" t="str">
        <x:v>Protein Blends</x:v>
      </x:c>
      <x:c r="F1384" t="str">
        <x:v>Protein blend powder.</x:v>
      </x:c>
      <x:c r="G1384" t="str">
        <x:v>2kg</x:v>
      </x:c>
      <x:c r="H1384" t="str">
        <x:v>Strawberry</x:v>
      </x:c>
      <x:c r="I1384" t="str"/>
      <x:c r="J1384" t="str">
        <x:v>Unit</x:v>
      </x:c>
      <x:c r="K1384" t="str">
        <x:v>In stock</x:v>
      </x:c>
      <x:c r="L1384" t="str">
        <x:v>2026-09-08</x:v>
      </x:c>
      <x:c r="M1384" t="str"/>
      <x:c r="N1384" t="str"/>
      <x:c r="O1384" t="str">
        <x:v>https://www.activesportstrade.co.uk/Protein-Blends-Trade/Muscle-King-Nutrition</x:v>
      </x:c>
      <x:c r="P1384" t="str">
        <x:v>Fresh protein-blends page used; BBE/promo suffixes stripped from canonical flavour names.</x:v>
      </x:c>
      <x:c r="Q1384" t="str"/>
      <x:c r="R1384" t="str"/>
      <x:c r="S1384" t="str">
        <x:v>Pending genuine supplier/brand image</x:v>
      </x:c>
      <x:c r="T1384" s="54"/>
      <x:c r="U1384" s="47" t="n">
        <x:v>0.2</x:v>
      </x:c>
      <x:c r="V1384" s="54" t="str">
        <x:f>IF(ISNUMBER(T1384),T1384*(1+U1384),"")</x:f>
      </x:c>
      <x:c r="W1384" s="47" t="n">
        <x:v>0.3</x:v>
      </x:c>
      <x:c r="X1384" s="54" t="str">
        <x:f>IF(ISNUMBER(V1384),V1384/(1-W1384),"")</x:f>
      </x:c>
      <x:c r="Y1384" s="55" t="str">
        <x:f>IF(ISNUMBER(X1384),ROUNDUP(X1384,0),"")</x:f>
      </x:c>
      <x:c r="Z1384" t="str">
        <x:f>IF(ISNUMBER(T1384),"Cost captured","Awaiting trade cost")</x:f>
        <x:v>Awaiting trade cost</x:v>
      </x:c>
      <x:c r="AB1384" s="36" t="str">
        <x:f>IF(ISNUMBER(Y1384),ROUND(Y1384*0.9,2),"")</x:f>
      </x:c>
      <x:c r="AC1384" s="36" t="str">
        <x:f>IF(ISNUMBER(AB1384),ROUND(AB1384-(AB1384*0.015+0.2)-V1384,2),"")</x:f>
      </x:c>
      <x:c r="AD1384" s="36" t="str">
        <x:f>IF(ISNUMBER(Y1384),ROUND(Y1384*0.8,2),"")</x:f>
      </x:c>
      <x:c r="AE1384" s="36" t="str">
        <x:f>IF(ISNUMBER(AD1384),ROUND(AD1384*0.015+0.2,2),"")</x:f>
      </x:c>
      <x:c r="AF1384" s="36" t="str">
        <x:f>IF(ISNUMBER(AD1384),ROUND(AD1384-AE1384-V1384,2),"")</x:f>
      </x:c>
      <x:c r="AG1384" t="str">
        <x:f>IF(NOT(ISNUMBER(T1384)),"PENDING",IF(AF1384&gt;0,"PASS","FAIL"))</x:f>
        <x:v>PENDING</x:v>
      </x:c>
      <x:c r="AH1384" t="str">
        <x:f>IF(NOT(ISNUMBER(T1384)),"Needs supplier cost",IF(K1384&lt;&gt;"In stock","Supplier unavailable",IF(AG1384&lt;&gt;"PASS","BLOCK - GT loss risk","Commercially protected")))</x:f>
        <x:v>Needs supplier cost</x:v>
      </x:c>
      <x:c r="AI1384" t="str">
        <x:v>2026-09-10 Active Sports trade capture</x:v>
      </x:c>
      <x:c r="AJ1384" t="str">
        <x:v>Management-only economics. Stripe stress test uses 1.5% + £0.20 standard UK online-card fee; pallet/mix-and-match pricing ignored.</x:v>
      </x:c>
    </x:row>
    <x:row r="1385">
      <x:c r="A1385" t="str">
        <x:v>Active Sports Nutrition</x:v>
      </x:c>
      <x:c r="B1385" t="str">
        <x:v>Muscle King Nutrition</x:v>
      </x:c>
      <x:c r="C1385" t="str">
        <x:v>Protein Power Shake</x:v>
      </x:c>
      <x:c r="D1385" t="str">
        <x:v>Supplements</x:v>
      </x:c>
      <x:c r="E1385" t="str">
        <x:v>Protein Blends</x:v>
      </x:c>
      <x:c r="F1385" t="str">
        <x:v>Protein blend powder.</x:v>
      </x:c>
      <x:c r="G1385" t="str">
        <x:v>2kg</x:v>
      </x:c>
      <x:c r="H1385" t="str">
        <x:v>Vanilla</x:v>
      </x:c>
      <x:c r="I1385" t="str"/>
      <x:c r="J1385" t="str">
        <x:v>Unit</x:v>
      </x:c>
      <x:c r="K1385" t="str">
        <x:v>In stock</x:v>
      </x:c>
      <x:c r="L1385" t="str">
        <x:v>2026-09-08</x:v>
      </x:c>
      <x:c r="M1385" t="str"/>
      <x:c r="N1385" t="str"/>
      <x:c r="O1385" t="str">
        <x:v>https://www.activesportstrade.co.uk/Protein-Blends-Trade/Muscle-King-Nutrition</x:v>
      </x:c>
      <x:c r="P1385" t="str">
        <x:v>Fresh protein-blends page used; BBE/promo suffixes stripped from canonical flavour names.</x:v>
      </x:c>
      <x:c r="Q1385" t="str"/>
      <x:c r="R1385" t="str"/>
      <x:c r="S1385" t="str">
        <x:v>Pending genuine supplier/brand image</x:v>
      </x:c>
      <x:c r="T1385" s="54"/>
      <x:c r="U1385" s="47" t="n">
        <x:v>0.2</x:v>
      </x:c>
      <x:c r="V1385" s="54" t="str">
        <x:f>IF(ISNUMBER(T1385),T1385*(1+U1385),"")</x:f>
      </x:c>
      <x:c r="W1385" s="47" t="n">
        <x:v>0.3</x:v>
      </x:c>
      <x:c r="X1385" s="54" t="str">
        <x:f>IF(ISNUMBER(V1385),V1385/(1-W1385),"")</x:f>
      </x:c>
      <x:c r="Y1385" s="55" t="str">
        <x:f>IF(ISNUMBER(X1385),ROUNDUP(X1385,0),"")</x:f>
      </x:c>
      <x:c r="Z1385" t="str">
        <x:f>IF(ISNUMBER(T1385),"Cost captured","Awaiting trade cost")</x:f>
        <x:v>Awaiting trade cost</x:v>
      </x:c>
      <x:c r="AB1385" s="36" t="str">
        <x:f>IF(ISNUMBER(Y1385),ROUND(Y1385*0.9,2),"")</x:f>
      </x:c>
      <x:c r="AC1385" s="36" t="str">
        <x:f>IF(ISNUMBER(AB1385),ROUND(AB1385-(AB1385*0.015+0.2)-V1385,2),"")</x:f>
      </x:c>
      <x:c r="AD1385" s="36" t="str">
        <x:f>IF(ISNUMBER(Y1385),ROUND(Y1385*0.8,2),"")</x:f>
      </x:c>
      <x:c r="AE1385" s="36" t="str">
        <x:f>IF(ISNUMBER(AD1385),ROUND(AD1385*0.015+0.2,2),"")</x:f>
      </x:c>
      <x:c r="AF1385" s="36" t="str">
        <x:f>IF(ISNUMBER(AD1385),ROUND(AD1385-AE1385-V1385,2),"")</x:f>
      </x:c>
      <x:c r="AG1385" t="str">
        <x:f>IF(NOT(ISNUMBER(T1385)),"PENDING",IF(AF1385&gt;0,"PASS","FAIL"))</x:f>
        <x:v>PENDING</x:v>
      </x:c>
      <x:c r="AH1385" t="str">
        <x:f>IF(NOT(ISNUMBER(T1385)),"Needs supplier cost",IF(K1385&lt;&gt;"In stock","Supplier unavailable",IF(AG1385&lt;&gt;"PASS","BLOCK - GT loss risk","Commercially protected")))</x:f>
        <x:v>Needs supplier cost</x:v>
      </x:c>
      <x:c r="AI1385" t="str">
        <x:v>2026-09-10 Active Sports trade capture</x:v>
      </x:c>
      <x:c r="AJ1385" t="str">
        <x:v>Management-only economics. Stripe stress test uses 1.5% + £0.20 standard UK online-card fee; pallet/mix-and-match pricing ignored.</x:v>
      </x:c>
    </x:row>
    <x:row r="1386">
      <x:c r="A1386" t="str">
        <x:v>Active Sports Nutrition</x:v>
      </x:c>
      <x:c r="B1386" t="str">
        <x:v>Muscle King Nutrition</x:v>
      </x:c>
      <x:c r="C1386" t="str">
        <x:v>WIR3D Extreme Energy Shot</x:v>
      </x:c>
      <x:c r="D1386" t="str">
        <x:v>Pre Workouts</x:v>
      </x:c>
      <x:c r="E1386" t="str">
        <x:v>Shots and Ready To Drink</x:v>
      </x:c>
      <x:c r="F1386" t="str">
        <x:v>Pre-workout energy shot.</x:v>
      </x:c>
      <x:c r="G1386" t="str">
        <x:v>12 x 65ml shots</x:v>
      </x:c>
      <x:c r="H1386" t="str">
        <x:v>Blue Raspberry</x:v>
      </x:c>
      <x:c r="I1386" t="str">
        <x:v>12</x:v>
      </x:c>
      <x:c r="J1386" t="str">
        <x:v>Case</x:v>
      </x:c>
      <x:c r="K1386" t="str">
        <x:v>In stock</x:v>
      </x:c>
      <x:c r="L1386" t="str">
        <x:v>2026-09-08</x:v>
      </x:c>
      <x:c r="M1386" t="str"/>
      <x:c r="N1386" t="str"/>
      <x:c r="O1386" t="str">
        <x:v>https://www.activesportstrade.co.uk/trade-sports-supplements/Muscle-King-Nutrition</x:v>
      </x:c>
      <x:c r="P1386" t="str">
        <x:v>MEGA SPECIAL OFFER / PRICE wording removed.</x:v>
      </x:c>
      <x:c r="Q1386" t="str"/>
      <x:c r="R1386" t="str"/>
      <x:c r="S1386" t="str">
        <x:v>Pending genuine supplier/brand image</x:v>
      </x:c>
      <x:c r="T1386" s="54"/>
      <x:c r="U1386" s="47" t="n">
        <x:v>0.2</x:v>
      </x:c>
      <x:c r="V1386" s="54" t="str">
        <x:f>IF(ISNUMBER(T1386),T1386*(1+U1386),"")</x:f>
      </x:c>
      <x:c r="W1386" s="47" t="n">
        <x:v>0.3</x:v>
      </x:c>
      <x:c r="X1386" s="54" t="str">
        <x:f>IF(ISNUMBER(V1386),V1386/(1-W1386),"")</x:f>
      </x:c>
      <x:c r="Y1386" s="55" t="str">
        <x:f>IF(ISNUMBER(X1386),ROUNDUP(X1386,0),"")</x:f>
      </x:c>
      <x:c r="Z1386" t="str">
        <x:f>IF(ISNUMBER(T1386),"Cost captured","Awaiting trade cost")</x:f>
        <x:v>Awaiting trade cost</x:v>
      </x:c>
      <x:c r="AB1386" s="36" t="str">
        <x:f>IF(ISNUMBER(Y1386),ROUND(Y1386*0.9,2),"")</x:f>
      </x:c>
      <x:c r="AC1386" s="36" t="str">
        <x:f>IF(ISNUMBER(AB1386),ROUND(AB1386-(AB1386*0.015+0.2)-V1386,2),"")</x:f>
      </x:c>
      <x:c r="AD1386" s="36" t="str">
        <x:f>IF(ISNUMBER(Y1386),ROUND(Y1386*0.8,2),"")</x:f>
      </x:c>
      <x:c r="AE1386" s="36" t="str">
        <x:f>IF(ISNUMBER(AD1386),ROUND(AD1386*0.015+0.2,2),"")</x:f>
      </x:c>
      <x:c r="AF1386" s="36" t="str">
        <x:f>IF(ISNUMBER(AD1386),ROUND(AD1386-AE1386-V1386,2),"")</x:f>
      </x:c>
      <x:c r="AG1386" t="str">
        <x:f>IF(NOT(ISNUMBER(T1386)),"PENDING",IF(AF1386&gt;0,"PASS","FAIL"))</x:f>
        <x:v>PENDING</x:v>
      </x:c>
      <x:c r="AH1386" t="str">
        <x:f>IF(NOT(ISNUMBER(T1386)),"Needs supplier cost",IF(K1386&lt;&gt;"In stock","Supplier unavailable",IF(AG1386&lt;&gt;"PASS","BLOCK - GT loss risk","Commercially protected")))</x:f>
        <x:v>Needs supplier cost</x:v>
      </x:c>
      <x:c r="AI1386" t="str">
        <x:v>2026-09-10 Active Sports trade capture</x:v>
      </x:c>
      <x:c r="AJ1386" t="str">
        <x:v>Management-only economics. Stripe stress test uses 1.5% + £0.20 standard UK online-card fee; pallet/mix-and-match pricing ignored.</x:v>
      </x:c>
    </x:row>
    <x:row r="1387">
      <x:c r="A1387" t="str">
        <x:v>Active Sports Nutrition</x:v>
      </x:c>
      <x:c r="B1387" t="str">
        <x:v>Muscle King Nutrition</x:v>
      </x:c>
      <x:c r="C1387" t="str">
        <x:v>WIR3D Extreme Energy Shot</x:v>
      </x:c>
      <x:c r="D1387" t="str">
        <x:v>Pre Workouts</x:v>
      </x:c>
      <x:c r="E1387" t="str">
        <x:v>Shots and Ready To Drink</x:v>
      </x:c>
      <x:c r="F1387" t="str">
        <x:v>Pre-workout energy shot.</x:v>
      </x:c>
      <x:c r="G1387" t="str">
        <x:v>12 x 65ml shots</x:v>
      </x:c>
      <x:c r="H1387" t="str">
        <x:v>Fruit Burst</x:v>
      </x:c>
      <x:c r="I1387" t="str">
        <x:v>12</x:v>
      </x:c>
      <x:c r="J1387" t="str">
        <x:v>Case</x:v>
      </x:c>
      <x:c r="K1387" t="str">
        <x:v>In stock</x:v>
      </x:c>
      <x:c r="L1387" t="str">
        <x:v>2026-09-08</x:v>
      </x:c>
      <x:c r="M1387" t="str"/>
      <x:c r="N1387" t="str"/>
      <x:c r="O1387" t="str">
        <x:v>https://www.activesportstrade.co.uk/trade-sports-supplements/Muscle-King-Nutrition</x:v>
      </x:c>
      <x:c r="P1387" t="str">
        <x:v>MEGA SPECIAL OFFER / PRICE wording removed.</x:v>
      </x:c>
      <x:c r="Q1387" t="str"/>
      <x:c r="R1387" t="str"/>
      <x:c r="S1387" t="str">
        <x:v>Pending genuine supplier/brand image</x:v>
      </x:c>
      <x:c r="T1387" s="54"/>
      <x:c r="U1387" s="47" t="n">
        <x:v>0.2</x:v>
      </x:c>
      <x:c r="V1387" s="54" t="str">
        <x:f>IF(ISNUMBER(T1387),T1387*(1+U1387),"")</x:f>
      </x:c>
      <x:c r="W1387" s="47" t="n">
        <x:v>0.3</x:v>
      </x:c>
      <x:c r="X1387" s="54" t="str">
        <x:f>IF(ISNUMBER(V1387),V1387/(1-W1387),"")</x:f>
      </x:c>
      <x:c r="Y1387" s="55" t="str">
        <x:f>IF(ISNUMBER(X1387),ROUNDUP(X1387,0),"")</x:f>
      </x:c>
      <x:c r="Z1387" t="str">
        <x:f>IF(ISNUMBER(T1387),"Cost captured","Awaiting trade cost")</x:f>
        <x:v>Awaiting trade cost</x:v>
      </x:c>
      <x:c r="AB1387" s="36" t="str">
        <x:f>IF(ISNUMBER(Y1387),ROUND(Y1387*0.9,2),"")</x:f>
      </x:c>
      <x:c r="AC1387" s="36" t="str">
        <x:f>IF(ISNUMBER(AB1387),ROUND(AB1387-(AB1387*0.015+0.2)-V1387,2),"")</x:f>
      </x:c>
      <x:c r="AD1387" s="36" t="str">
        <x:f>IF(ISNUMBER(Y1387),ROUND(Y1387*0.8,2),"")</x:f>
      </x:c>
      <x:c r="AE1387" s="36" t="str">
        <x:f>IF(ISNUMBER(AD1387),ROUND(AD1387*0.015+0.2,2),"")</x:f>
      </x:c>
      <x:c r="AF1387" s="36" t="str">
        <x:f>IF(ISNUMBER(AD1387),ROUND(AD1387-AE1387-V1387,2),"")</x:f>
      </x:c>
      <x:c r="AG1387" t="str">
        <x:f>IF(NOT(ISNUMBER(T1387)),"PENDING",IF(AF1387&gt;0,"PASS","FAIL"))</x:f>
        <x:v>PENDING</x:v>
      </x:c>
      <x:c r="AH1387" t="str">
        <x:f>IF(NOT(ISNUMBER(T1387)),"Needs supplier cost",IF(K1387&lt;&gt;"In stock","Supplier unavailable",IF(AG1387&lt;&gt;"PASS","BLOCK - GT loss risk","Commercially protected")))</x:f>
        <x:v>Needs supplier cost</x:v>
      </x:c>
      <x:c r="AI1387" t="str">
        <x:v>2026-09-10 Active Sports trade capture</x:v>
      </x:c>
      <x:c r="AJ1387" t="str">
        <x:v>Management-only economics. Stripe stress test uses 1.5% + £0.20 standard UK online-card fee; pallet/mix-and-match pricing ignored.</x:v>
      </x:c>
    </x:row>
    <x:row r="1388">
      <x:c r="A1388" t="str">
        <x:v>Active Sports Nutrition</x:v>
      </x:c>
      <x:c r="B1388" t="str">
        <x:v>Muscle King Nutrition</x:v>
      </x:c>
      <x:c r="C1388" t="str">
        <x:v>Gym / Fitness Gloves with Wrist Support</x:v>
      </x:c>
      <x:c r="D1388" t="str">
        <x:v>Merch &amp; Apparel</x:v>
      </x:c>
      <x:c r="E1388" t="str">
        <x:v>Training Gloves</x:v>
      </x:c>
      <x:c r="F1388" t="str"/>
      <x:c r="G1388" t="str">
        <x:v>Pair</x:v>
      </x:c>
      <x:c r="H1388" t="str">
        <x:v>Large</x:v>
      </x:c>
      <x:c r="I1388" t="str"/>
      <x:c r="J1388" t="str">
        <x:v>Unit</x:v>
      </x:c>
      <x:c r="K1388" t="str">
        <x:v>Out of stock</x:v>
      </x:c>
      <x:c r="L1388" t="str">
        <x:v>2026-09-08</x:v>
      </x:c>
      <x:c r="M1388" t="str"/>
      <x:c r="N1388" t="str"/>
      <x:c r="O1388" t="str">
        <x:v>https://www.activesportstrade.co.uk/Straps-and-Supports</x:v>
      </x:c>
      <x:c r="P1388" t="str"/>
      <x:c r="Q1388" t="str"/>
      <x:c r="R1388" t="str"/>
      <x:c r="S1388" t="str">
        <x:v>Pending genuine supplier/brand image</x:v>
      </x:c>
      <x:c r="T1388" s="54"/>
      <x:c r="U1388" s="47" t="n">
        <x:v>0.2</x:v>
      </x:c>
      <x:c r="V1388" s="54" t="str">
        <x:f>IF(ISNUMBER(T1388),T1388*(1+U1388),"")</x:f>
      </x:c>
      <x:c r="W1388" s="47" t="n">
        <x:v>0.3</x:v>
      </x:c>
      <x:c r="X1388" s="54" t="str">
        <x:f>IF(ISNUMBER(V1388),V1388/(1-W1388),"")</x:f>
      </x:c>
      <x:c r="Y1388" s="55" t="str">
        <x:f>IF(ISNUMBER(X1388),ROUNDUP(X1388,0),"")</x:f>
      </x:c>
      <x:c r="Z1388" t="str">
        <x:f>IF(ISNUMBER(T1388),"Cost captured","Awaiting trade cost")</x:f>
        <x:v>Awaiting trade cost</x:v>
      </x:c>
      <x:c r="AB1388" s="36" t="str">
        <x:f>IF(ISNUMBER(Y1388),ROUND(Y1388*0.9,2),"")</x:f>
      </x:c>
      <x:c r="AC1388" s="36" t="str">
        <x:f>IF(ISNUMBER(AB1388),ROUND(AB1388-(AB1388*0.015+0.2)-V1388,2),"")</x:f>
      </x:c>
      <x:c r="AD1388" s="36" t="str">
        <x:f>IF(ISNUMBER(Y1388),ROUND(Y1388*0.8,2),"")</x:f>
      </x:c>
      <x:c r="AE1388" s="36" t="str">
        <x:f>IF(ISNUMBER(AD1388),ROUND(AD1388*0.015+0.2,2),"")</x:f>
      </x:c>
      <x:c r="AF1388" s="36" t="str">
        <x:f>IF(ISNUMBER(AD1388),ROUND(AD1388-AE1388-V1388,2),"")</x:f>
      </x:c>
      <x:c r="AG1388" t="str">
        <x:f>IF(NOT(ISNUMBER(T1388)),"PENDING",IF(AF1388&gt;0,"PASS","FAIL"))</x:f>
        <x:v>PENDING</x:v>
      </x:c>
      <x:c r="AH1388" t="str">
        <x:f>IF(NOT(ISNUMBER(T1388)),"Needs supplier cost",IF(K1388&lt;&gt;"In stock","Supplier unavailable",IF(AG1388&lt;&gt;"PASS","BLOCK - GT loss risk","Commercially protected")))</x:f>
        <x:v>Needs supplier cost</x:v>
      </x:c>
      <x:c r="AI1388" t="str">
        <x:v>2026-09-10 Active Sports trade capture</x:v>
      </x:c>
      <x:c r="AJ1388" t="str">
        <x:v>Management-only economics. Stripe stress test uses 1.5% + £0.20 standard UK online-card fee; pallet/mix-and-match pricing ignored.</x:v>
      </x:c>
    </x:row>
    <x:row r="1389">
      <x:c r="A1389" t="str">
        <x:v>Active Sports Nutrition</x:v>
      </x:c>
      <x:c r="B1389" t="str">
        <x:v>Muscle King Nutrition</x:v>
      </x:c>
      <x:c r="C1389" t="str">
        <x:v>Gym / Fitness Gloves with Wrist Support</x:v>
      </x:c>
      <x:c r="D1389" t="str">
        <x:v>Merch &amp; Apparel</x:v>
      </x:c>
      <x:c r="E1389" t="str">
        <x:v>Training Gloves</x:v>
      </x:c>
      <x:c r="F1389" t="str"/>
      <x:c r="G1389" t="str">
        <x:v>Pair</x:v>
      </x:c>
      <x:c r="H1389" t="str">
        <x:v>Medium</x:v>
      </x:c>
      <x:c r="I1389" t="str"/>
      <x:c r="J1389" t="str">
        <x:v>Unit</x:v>
      </x:c>
      <x:c r="K1389" t="str">
        <x:v>In stock</x:v>
      </x:c>
      <x:c r="L1389" t="str">
        <x:v>2026-09-08</x:v>
      </x:c>
      <x:c r="M1389" t="str"/>
      <x:c r="N1389" t="str"/>
      <x:c r="O1389" t="str">
        <x:v>https://www.activesportstrade.co.uk/Straps-and-Supports</x:v>
      </x:c>
      <x:c r="P1389" t="str"/>
      <x:c r="Q1389" t="str"/>
      <x:c r="R1389" t="str"/>
      <x:c r="S1389" t="str">
        <x:v>Pending genuine supplier/brand image</x:v>
      </x:c>
      <x:c r="T1389" s="54"/>
      <x:c r="U1389" s="47" t="n">
        <x:v>0.2</x:v>
      </x:c>
      <x:c r="V1389" s="54" t="str">
        <x:f>IF(ISNUMBER(T1389),T1389*(1+U1389),"")</x:f>
      </x:c>
      <x:c r="W1389" s="47" t="n">
        <x:v>0.3</x:v>
      </x:c>
      <x:c r="X1389" s="54" t="str">
        <x:f>IF(ISNUMBER(V1389),V1389/(1-W1389),"")</x:f>
      </x:c>
      <x:c r="Y1389" s="55" t="str">
        <x:f>IF(ISNUMBER(X1389),ROUNDUP(X1389,0),"")</x:f>
      </x:c>
      <x:c r="Z1389" t="str">
        <x:f>IF(ISNUMBER(T1389),"Cost captured","Awaiting trade cost")</x:f>
        <x:v>Awaiting trade cost</x:v>
      </x:c>
      <x:c r="AB1389" s="36" t="str">
        <x:f>IF(ISNUMBER(Y1389),ROUND(Y1389*0.9,2),"")</x:f>
      </x:c>
      <x:c r="AC1389" s="36" t="str">
        <x:f>IF(ISNUMBER(AB1389),ROUND(AB1389-(AB1389*0.015+0.2)-V1389,2),"")</x:f>
      </x:c>
      <x:c r="AD1389" s="36" t="str">
        <x:f>IF(ISNUMBER(Y1389),ROUND(Y1389*0.8,2),"")</x:f>
      </x:c>
      <x:c r="AE1389" s="36" t="str">
        <x:f>IF(ISNUMBER(AD1389),ROUND(AD1389*0.015+0.2,2),"")</x:f>
      </x:c>
      <x:c r="AF1389" s="36" t="str">
        <x:f>IF(ISNUMBER(AD1389),ROUND(AD1389-AE1389-V1389,2),"")</x:f>
      </x:c>
      <x:c r="AG1389" t="str">
        <x:f>IF(NOT(ISNUMBER(T1389)),"PENDING",IF(AF1389&gt;0,"PASS","FAIL"))</x:f>
        <x:v>PENDING</x:v>
      </x:c>
      <x:c r="AH1389" t="str">
        <x:f>IF(NOT(ISNUMBER(T1389)),"Needs supplier cost",IF(K1389&lt;&gt;"In stock","Supplier unavailable",IF(AG1389&lt;&gt;"PASS","BLOCK - GT loss risk","Commercially protected")))</x:f>
        <x:v>Needs supplier cost</x:v>
      </x:c>
      <x:c r="AI1389" t="str">
        <x:v>2026-09-10 Active Sports trade capture</x:v>
      </x:c>
      <x:c r="AJ1389" t="str">
        <x:v>Management-only economics. Stripe stress test uses 1.5% + £0.20 standard UK online-card fee; pallet/mix-and-match pricing ignored.</x:v>
      </x:c>
    </x:row>
    <x:row r="1390">
      <x:c r="A1390" t="str">
        <x:v>Active Sports Nutrition</x:v>
      </x:c>
      <x:c r="B1390" t="str">
        <x:v>Muscle King Nutrition</x:v>
      </x:c>
      <x:c r="C1390" t="str">
        <x:v>Gym / Fitness Gloves with Wrist Support</x:v>
      </x:c>
      <x:c r="D1390" t="str">
        <x:v>Merch &amp; Apparel</x:v>
      </x:c>
      <x:c r="E1390" t="str">
        <x:v>Training Gloves</x:v>
      </x:c>
      <x:c r="F1390" t="str"/>
      <x:c r="G1390" t="str">
        <x:v>Pair</x:v>
      </x:c>
      <x:c r="H1390" t="str">
        <x:v>Small</x:v>
      </x:c>
      <x:c r="I1390" t="str"/>
      <x:c r="J1390" t="str">
        <x:v>Unit</x:v>
      </x:c>
      <x:c r="K1390" t="str">
        <x:v>In stock</x:v>
      </x:c>
      <x:c r="L1390" t="str">
        <x:v>2026-09-08</x:v>
      </x:c>
      <x:c r="M1390" t="str"/>
      <x:c r="N1390" t="str"/>
      <x:c r="O1390" t="str">
        <x:v>https://www.activesportstrade.co.uk/Straps-and-Supports</x:v>
      </x:c>
      <x:c r="P1390" t="str"/>
      <x:c r="Q1390" t="str"/>
      <x:c r="R1390" t="str"/>
      <x:c r="S1390" t="str">
        <x:v>Pending genuine supplier/brand image</x:v>
      </x:c>
      <x:c r="T1390" s="54"/>
      <x:c r="U1390" s="47" t="n">
        <x:v>0.2</x:v>
      </x:c>
      <x:c r="V1390" s="54" t="str">
        <x:f>IF(ISNUMBER(T1390),T1390*(1+U1390),"")</x:f>
      </x:c>
      <x:c r="W1390" s="47" t="n">
        <x:v>0.3</x:v>
      </x:c>
      <x:c r="X1390" s="54" t="str">
        <x:f>IF(ISNUMBER(V1390),V1390/(1-W1390),"")</x:f>
      </x:c>
      <x:c r="Y1390" s="55" t="str">
        <x:f>IF(ISNUMBER(X1390),ROUNDUP(X1390,0),"")</x:f>
      </x:c>
      <x:c r="Z1390" t="str">
        <x:f>IF(ISNUMBER(T1390),"Cost captured","Awaiting trade cost")</x:f>
        <x:v>Awaiting trade cost</x:v>
      </x:c>
      <x:c r="AB1390" s="36" t="str">
        <x:f>IF(ISNUMBER(Y1390),ROUND(Y1390*0.9,2),"")</x:f>
      </x:c>
      <x:c r="AC1390" s="36" t="str">
        <x:f>IF(ISNUMBER(AB1390),ROUND(AB1390-(AB1390*0.015+0.2)-V1390,2),"")</x:f>
      </x:c>
      <x:c r="AD1390" s="36" t="str">
        <x:f>IF(ISNUMBER(Y1390),ROUND(Y1390*0.8,2),"")</x:f>
      </x:c>
      <x:c r="AE1390" s="36" t="str">
        <x:f>IF(ISNUMBER(AD1390),ROUND(AD1390*0.015+0.2,2),"")</x:f>
      </x:c>
      <x:c r="AF1390" s="36" t="str">
        <x:f>IF(ISNUMBER(AD1390),ROUND(AD1390-AE1390-V1390,2),"")</x:f>
      </x:c>
      <x:c r="AG1390" t="str">
        <x:f>IF(NOT(ISNUMBER(T1390)),"PENDING",IF(AF1390&gt;0,"PASS","FAIL"))</x:f>
        <x:v>PENDING</x:v>
      </x:c>
      <x:c r="AH1390" t="str">
        <x:f>IF(NOT(ISNUMBER(T1390)),"Needs supplier cost",IF(K1390&lt;&gt;"In stock","Supplier unavailable",IF(AG1390&lt;&gt;"PASS","BLOCK - GT loss risk","Commercially protected")))</x:f>
        <x:v>Needs supplier cost</x:v>
      </x:c>
      <x:c r="AI1390" t="str">
        <x:v>2026-09-10 Active Sports trade capture</x:v>
      </x:c>
      <x:c r="AJ1390" t="str">
        <x:v>Management-only economics. Stripe stress test uses 1.5% + £0.20 standard UK online-card fee; pallet/mix-and-match pricing ignored.</x:v>
      </x:c>
    </x:row>
    <x:row r="1391">
      <x:c r="A1391" t="str">
        <x:v>Active Sports Nutrition</x:v>
      </x:c>
      <x:c r="B1391" t="str">
        <x:v>Muscle King Nutrition</x:v>
      </x:c>
      <x:c r="C1391" t="str">
        <x:v>Gym / Fitness Gloves with Wrist Support</x:v>
      </x:c>
      <x:c r="D1391" t="str">
        <x:v>Merch &amp; Apparel</x:v>
      </x:c>
      <x:c r="E1391" t="str">
        <x:v>Training Gloves</x:v>
      </x:c>
      <x:c r="F1391" t="str"/>
      <x:c r="G1391" t="str">
        <x:v>Pair</x:v>
      </x:c>
      <x:c r="H1391" t="str">
        <x:v>X-Large</x:v>
      </x:c>
      <x:c r="I1391" t="str"/>
      <x:c r="J1391" t="str">
        <x:v>Unit</x:v>
      </x:c>
      <x:c r="K1391" t="str">
        <x:v>In stock</x:v>
      </x:c>
      <x:c r="L1391" t="str">
        <x:v>2026-09-08</x:v>
      </x:c>
      <x:c r="M1391" t="str"/>
      <x:c r="N1391" t="str"/>
      <x:c r="O1391" t="str">
        <x:v>https://www.activesportstrade.co.uk/Straps-and-Supports</x:v>
      </x:c>
      <x:c r="P1391" t="str"/>
      <x:c r="Q1391" t="str"/>
      <x:c r="R1391" t="str"/>
      <x:c r="S1391" t="str">
        <x:v>Pending genuine supplier/brand image</x:v>
      </x:c>
      <x:c r="T1391" s="54"/>
      <x:c r="U1391" s="47" t="n">
        <x:v>0.2</x:v>
      </x:c>
      <x:c r="V1391" s="54" t="str">
        <x:f>IF(ISNUMBER(T1391),T1391*(1+U1391),"")</x:f>
      </x:c>
      <x:c r="W1391" s="47" t="n">
        <x:v>0.3</x:v>
      </x:c>
      <x:c r="X1391" s="54" t="str">
        <x:f>IF(ISNUMBER(V1391),V1391/(1-W1391),"")</x:f>
      </x:c>
      <x:c r="Y1391" s="55" t="str">
        <x:f>IF(ISNUMBER(X1391),ROUNDUP(X1391,0),"")</x:f>
      </x:c>
      <x:c r="Z1391" t="str">
        <x:f>IF(ISNUMBER(T1391),"Cost captured","Awaiting trade cost")</x:f>
        <x:v>Awaiting trade cost</x:v>
      </x:c>
      <x:c r="AB1391" s="36" t="str">
        <x:f>IF(ISNUMBER(Y1391),ROUND(Y1391*0.9,2),"")</x:f>
      </x:c>
      <x:c r="AC1391" s="36" t="str">
        <x:f>IF(ISNUMBER(AB1391),ROUND(AB1391-(AB1391*0.015+0.2)-V1391,2),"")</x:f>
      </x:c>
      <x:c r="AD1391" s="36" t="str">
        <x:f>IF(ISNUMBER(Y1391),ROUND(Y1391*0.8,2),"")</x:f>
      </x:c>
      <x:c r="AE1391" s="36" t="str">
        <x:f>IF(ISNUMBER(AD1391),ROUND(AD1391*0.015+0.2,2),"")</x:f>
      </x:c>
      <x:c r="AF1391" s="36" t="str">
        <x:f>IF(ISNUMBER(AD1391),ROUND(AD1391-AE1391-V1391,2),"")</x:f>
      </x:c>
      <x:c r="AG1391" t="str">
        <x:f>IF(NOT(ISNUMBER(T1391)),"PENDING",IF(AF1391&gt;0,"PASS","FAIL"))</x:f>
        <x:v>PENDING</x:v>
      </x:c>
      <x:c r="AH1391" t="str">
        <x:f>IF(NOT(ISNUMBER(T1391)),"Needs supplier cost",IF(K1391&lt;&gt;"In stock","Supplier unavailable",IF(AG1391&lt;&gt;"PASS","BLOCK - GT loss risk","Commercially protected")))</x:f>
        <x:v>Needs supplier cost</x:v>
      </x:c>
      <x:c r="AI1391" t="str">
        <x:v>2026-09-10 Active Sports trade capture</x:v>
      </x:c>
      <x:c r="AJ1391" t="str">
        <x:v>Management-only economics. Stripe stress test uses 1.5% + £0.20 standard UK online-card fee; pallet/mix-and-match pricing ignored.</x:v>
      </x:c>
    </x:row>
    <x:row r="1392">
      <x:c r="A1392" t="str">
        <x:v>Active Sports Nutrition</x:v>
      </x:c>
      <x:c r="B1392" t="str">
        <x:v>Muscle King Nutrition</x:v>
      </x:c>
      <x:c r="C1392" t="str">
        <x:v>Knee Sleeves 7mm Neoprene</x:v>
      </x:c>
      <x:c r="D1392" t="str">
        <x:v>Merch &amp; Apparel</x:v>
      </x:c>
      <x:c r="E1392" t="str">
        <x:v>Straps and Supports</x:v>
      </x:c>
      <x:c r="F1392" t="str"/>
      <x:c r="G1392" t="str">
        <x:v>Pair</x:v>
      </x:c>
      <x:c r="H1392" t="str">
        <x:v>Large (Red Stitch)</x:v>
      </x:c>
      <x:c r="I1392" t="str"/>
      <x:c r="J1392" t="str">
        <x:v>Unit</x:v>
      </x:c>
      <x:c r="K1392" t="str">
        <x:v>Out of stock</x:v>
      </x:c>
      <x:c r="L1392" t="str">
        <x:v>2026-09-08</x:v>
      </x:c>
      <x:c r="M1392" t="str"/>
      <x:c r="N1392" t="str"/>
      <x:c r="O1392" t="str">
        <x:v>https://www.activesportstrade.co.uk/Straps-and-Supports</x:v>
      </x:c>
      <x:c r="P1392" t="str"/>
      <x:c r="Q1392" t="str"/>
      <x:c r="R1392" t="str"/>
      <x:c r="S1392" t="str">
        <x:v>Pending genuine supplier/brand image</x:v>
      </x:c>
      <x:c r="T1392" s="54"/>
      <x:c r="U1392" s="47" t="n">
        <x:v>0.2</x:v>
      </x:c>
      <x:c r="V1392" s="54" t="str">
        <x:f>IF(ISNUMBER(T1392),T1392*(1+U1392),"")</x:f>
      </x:c>
      <x:c r="W1392" s="47" t="n">
        <x:v>0.3</x:v>
      </x:c>
      <x:c r="X1392" s="54" t="str">
        <x:f>IF(ISNUMBER(V1392),V1392/(1-W1392),"")</x:f>
      </x:c>
      <x:c r="Y1392" s="55" t="str">
        <x:f>IF(ISNUMBER(X1392),ROUNDUP(X1392,0),"")</x:f>
      </x:c>
      <x:c r="Z1392" t="str">
        <x:f>IF(ISNUMBER(T1392),"Cost captured","Awaiting trade cost")</x:f>
        <x:v>Awaiting trade cost</x:v>
      </x:c>
      <x:c r="AB1392" s="36" t="str">
        <x:f>IF(ISNUMBER(Y1392),ROUND(Y1392*0.9,2),"")</x:f>
      </x:c>
      <x:c r="AC1392" s="36" t="str">
        <x:f>IF(ISNUMBER(AB1392),ROUND(AB1392-(AB1392*0.015+0.2)-V1392,2),"")</x:f>
      </x:c>
      <x:c r="AD1392" s="36" t="str">
        <x:f>IF(ISNUMBER(Y1392),ROUND(Y1392*0.8,2),"")</x:f>
      </x:c>
      <x:c r="AE1392" s="36" t="str">
        <x:f>IF(ISNUMBER(AD1392),ROUND(AD1392*0.015+0.2,2),"")</x:f>
      </x:c>
      <x:c r="AF1392" s="36" t="str">
        <x:f>IF(ISNUMBER(AD1392),ROUND(AD1392-AE1392-V1392,2),"")</x:f>
      </x:c>
      <x:c r="AG1392" t="str">
        <x:f>IF(NOT(ISNUMBER(T1392)),"PENDING",IF(AF1392&gt;0,"PASS","FAIL"))</x:f>
        <x:v>PENDING</x:v>
      </x:c>
      <x:c r="AH1392" t="str">
        <x:f>IF(NOT(ISNUMBER(T1392)),"Needs supplier cost",IF(K1392&lt;&gt;"In stock","Supplier unavailable",IF(AG1392&lt;&gt;"PASS","BLOCK - GT loss risk","Commercially protected")))</x:f>
        <x:v>Needs supplier cost</x:v>
      </x:c>
      <x:c r="AI1392" t="str">
        <x:v>2026-09-10 Active Sports trade capture</x:v>
      </x:c>
      <x:c r="AJ1392" t="str">
        <x:v>Management-only economics. Stripe stress test uses 1.5% + £0.20 standard UK online-card fee; pallet/mix-and-match pricing ignored.</x:v>
      </x:c>
    </x:row>
    <x:row r="1393">
      <x:c r="A1393" t="str">
        <x:v>Active Sports Nutrition</x:v>
      </x:c>
      <x:c r="B1393" t="str">
        <x:v>Muscle King Nutrition</x:v>
      </x:c>
      <x:c r="C1393" t="str">
        <x:v>Knee Sleeves 7mm Neoprene</x:v>
      </x:c>
      <x:c r="D1393" t="str">
        <x:v>Merch &amp; Apparel</x:v>
      </x:c>
      <x:c r="E1393" t="str">
        <x:v>Straps and Supports</x:v>
      </x:c>
      <x:c r="F1393" t="str"/>
      <x:c r="G1393" t="str">
        <x:v>Pair</x:v>
      </x:c>
      <x:c r="H1393" t="str">
        <x:v>Large (White Stitch)</x:v>
      </x:c>
      <x:c r="I1393" t="str"/>
      <x:c r="J1393" t="str">
        <x:v>Unit</x:v>
      </x:c>
      <x:c r="K1393" t="str">
        <x:v>Out of stock</x:v>
      </x:c>
      <x:c r="L1393" t="str">
        <x:v>2026-09-08</x:v>
      </x:c>
      <x:c r="M1393" t="str"/>
      <x:c r="N1393" t="str"/>
      <x:c r="O1393" t="str">
        <x:v>https://www.activesportstrade.co.uk/Straps-and-Supports</x:v>
      </x:c>
      <x:c r="P1393" t="str"/>
      <x:c r="Q1393" t="str"/>
      <x:c r="R1393" t="str"/>
      <x:c r="S1393" t="str">
        <x:v>Pending genuine supplier/brand image</x:v>
      </x:c>
      <x:c r="T1393" s="54"/>
      <x:c r="U1393" s="47" t="n">
        <x:v>0.2</x:v>
      </x:c>
      <x:c r="V1393" s="54" t="str">
        <x:f>IF(ISNUMBER(T1393),T1393*(1+U1393),"")</x:f>
      </x:c>
      <x:c r="W1393" s="47" t="n">
        <x:v>0.3</x:v>
      </x:c>
      <x:c r="X1393" s="54" t="str">
        <x:f>IF(ISNUMBER(V1393),V1393/(1-W1393),"")</x:f>
      </x:c>
      <x:c r="Y1393" s="55" t="str">
        <x:f>IF(ISNUMBER(X1393),ROUNDUP(X1393,0),"")</x:f>
      </x:c>
      <x:c r="Z1393" t="str">
        <x:f>IF(ISNUMBER(T1393),"Cost captured","Awaiting trade cost")</x:f>
        <x:v>Awaiting trade cost</x:v>
      </x:c>
      <x:c r="AB1393" s="36" t="str">
        <x:f>IF(ISNUMBER(Y1393),ROUND(Y1393*0.9,2),"")</x:f>
      </x:c>
      <x:c r="AC1393" s="36" t="str">
        <x:f>IF(ISNUMBER(AB1393),ROUND(AB1393-(AB1393*0.015+0.2)-V1393,2),"")</x:f>
      </x:c>
      <x:c r="AD1393" s="36" t="str">
        <x:f>IF(ISNUMBER(Y1393),ROUND(Y1393*0.8,2),"")</x:f>
      </x:c>
      <x:c r="AE1393" s="36" t="str">
        <x:f>IF(ISNUMBER(AD1393),ROUND(AD1393*0.015+0.2,2),"")</x:f>
      </x:c>
      <x:c r="AF1393" s="36" t="str">
        <x:f>IF(ISNUMBER(AD1393),ROUND(AD1393-AE1393-V1393,2),"")</x:f>
      </x:c>
      <x:c r="AG1393" t="str">
        <x:f>IF(NOT(ISNUMBER(T1393)),"PENDING",IF(AF1393&gt;0,"PASS","FAIL"))</x:f>
        <x:v>PENDING</x:v>
      </x:c>
      <x:c r="AH1393" t="str">
        <x:f>IF(NOT(ISNUMBER(T1393)),"Needs supplier cost",IF(K1393&lt;&gt;"In stock","Supplier unavailable",IF(AG1393&lt;&gt;"PASS","BLOCK - GT loss risk","Commercially protected")))</x:f>
        <x:v>Needs supplier cost</x:v>
      </x:c>
      <x:c r="AI1393" t="str">
        <x:v>2026-09-10 Active Sports trade capture</x:v>
      </x:c>
      <x:c r="AJ1393" t="str">
        <x:v>Management-only economics. Stripe stress test uses 1.5% + £0.20 standard UK online-card fee; pallet/mix-and-match pricing ignored.</x:v>
      </x:c>
    </x:row>
    <x:row r="1394">
      <x:c r="A1394" t="str">
        <x:v>Active Sports Nutrition</x:v>
      </x:c>
      <x:c r="B1394" t="str">
        <x:v>Muscle King Nutrition</x:v>
      </x:c>
      <x:c r="C1394" t="str">
        <x:v>Knee Sleeves 7mm Neoprene</x:v>
      </x:c>
      <x:c r="D1394" t="str">
        <x:v>Merch &amp; Apparel</x:v>
      </x:c>
      <x:c r="E1394" t="str">
        <x:v>Straps and Supports</x:v>
      </x:c>
      <x:c r="F1394" t="str"/>
      <x:c r="G1394" t="str">
        <x:v>Pair</x:v>
      </x:c>
      <x:c r="H1394" t="str">
        <x:v>Medium (Red Stitch)</x:v>
      </x:c>
      <x:c r="I1394" t="str"/>
      <x:c r="J1394" t="str">
        <x:v>Unit</x:v>
      </x:c>
      <x:c r="K1394" t="str">
        <x:v>In stock</x:v>
      </x:c>
      <x:c r="L1394" t="str">
        <x:v>2026-09-08</x:v>
      </x:c>
      <x:c r="M1394" t="str"/>
      <x:c r="N1394" t="str"/>
      <x:c r="O1394" t="str">
        <x:v>https://www.activesportstrade.co.uk/Straps-and-Supports</x:v>
      </x:c>
      <x:c r="P1394" t="str"/>
      <x:c r="Q1394" t="str"/>
      <x:c r="R1394" t="str"/>
      <x:c r="S1394" t="str">
        <x:v>Pending genuine supplier/brand image</x:v>
      </x:c>
      <x:c r="T1394" s="54"/>
      <x:c r="U1394" s="47" t="n">
        <x:v>0.2</x:v>
      </x:c>
      <x:c r="V1394" s="54" t="str">
        <x:f>IF(ISNUMBER(T1394),T1394*(1+U1394),"")</x:f>
      </x:c>
      <x:c r="W1394" s="47" t="n">
        <x:v>0.3</x:v>
      </x:c>
      <x:c r="X1394" s="54" t="str">
        <x:f>IF(ISNUMBER(V1394),V1394/(1-W1394),"")</x:f>
      </x:c>
      <x:c r="Y1394" s="55" t="str">
        <x:f>IF(ISNUMBER(X1394),ROUNDUP(X1394,0),"")</x:f>
      </x:c>
      <x:c r="Z1394" t="str">
        <x:f>IF(ISNUMBER(T1394),"Cost captured","Awaiting trade cost")</x:f>
        <x:v>Awaiting trade cost</x:v>
      </x:c>
      <x:c r="AB1394" s="36" t="str">
        <x:f>IF(ISNUMBER(Y1394),ROUND(Y1394*0.9,2),"")</x:f>
      </x:c>
      <x:c r="AC1394" s="36" t="str">
        <x:f>IF(ISNUMBER(AB1394),ROUND(AB1394-(AB1394*0.015+0.2)-V1394,2),"")</x:f>
      </x:c>
      <x:c r="AD1394" s="36" t="str">
        <x:f>IF(ISNUMBER(Y1394),ROUND(Y1394*0.8,2),"")</x:f>
      </x:c>
      <x:c r="AE1394" s="36" t="str">
        <x:f>IF(ISNUMBER(AD1394),ROUND(AD1394*0.015+0.2,2),"")</x:f>
      </x:c>
      <x:c r="AF1394" s="36" t="str">
        <x:f>IF(ISNUMBER(AD1394),ROUND(AD1394-AE1394-V1394,2),"")</x:f>
      </x:c>
      <x:c r="AG1394" t="str">
        <x:f>IF(NOT(ISNUMBER(T1394)),"PENDING",IF(AF1394&gt;0,"PASS","FAIL"))</x:f>
        <x:v>PENDING</x:v>
      </x:c>
      <x:c r="AH1394" t="str">
        <x:f>IF(NOT(ISNUMBER(T1394)),"Needs supplier cost",IF(K1394&lt;&gt;"In stock","Supplier unavailable",IF(AG1394&lt;&gt;"PASS","BLOCK - GT loss risk","Commercially protected")))</x:f>
        <x:v>Needs supplier cost</x:v>
      </x:c>
      <x:c r="AI1394" t="str">
        <x:v>2026-09-10 Active Sports trade capture</x:v>
      </x:c>
      <x:c r="AJ1394" t="str">
        <x:v>Management-only economics. Stripe stress test uses 1.5% + £0.20 standard UK online-card fee; pallet/mix-and-match pricing ignored.</x:v>
      </x:c>
    </x:row>
    <x:row r="1395">
      <x:c r="A1395" t="str">
        <x:v>Active Sports Nutrition</x:v>
      </x:c>
      <x:c r="B1395" t="str">
        <x:v>Muscle King Nutrition</x:v>
      </x:c>
      <x:c r="C1395" t="str">
        <x:v>Knee Sleeves 7mm Neoprene</x:v>
      </x:c>
      <x:c r="D1395" t="str">
        <x:v>Merch &amp; Apparel</x:v>
      </x:c>
      <x:c r="E1395" t="str">
        <x:v>Straps and Supports</x:v>
      </x:c>
      <x:c r="F1395" t="str"/>
      <x:c r="G1395" t="str">
        <x:v>Pair</x:v>
      </x:c>
      <x:c r="H1395" t="str">
        <x:v>Medium (White Stitch)</x:v>
      </x:c>
      <x:c r="I1395" t="str"/>
      <x:c r="J1395" t="str">
        <x:v>Unit</x:v>
      </x:c>
      <x:c r="K1395" t="str">
        <x:v>In stock</x:v>
      </x:c>
      <x:c r="L1395" t="str">
        <x:v>2026-09-08</x:v>
      </x:c>
      <x:c r="M1395" t="str"/>
      <x:c r="N1395" t="str"/>
      <x:c r="O1395" t="str">
        <x:v>https://www.activesportstrade.co.uk/Straps-and-Supports</x:v>
      </x:c>
      <x:c r="P1395" t="str"/>
      <x:c r="Q1395" t="str"/>
      <x:c r="R1395" t="str"/>
      <x:c r="S1395" t="str">
        <x:v>Pending genuine supplier/brand image</x:v>
      </x:c>
      <x:c r="T1395" s="54"/>
      <x:c r="U1395" s="47" t="n">
        <x:v>0.2</x:v>
      </x:c>
      <x:c r="V1395" s="54" t="str">
        <x:f>IF(ISNUMBER(T1395),T1395*(1+U1395),"")</x:f>
      </x:c>
      <x:c r="W1395" s="47" t="n">
        <x:v>0.3</x:v>
      </x:c>
      <x:c r="X1395" s="54" t="str">
        <x:f>IF(ISNUMBER(V1395),V1395/(1-W1395),"")</x:f>
      </x:c>
      <x:c r="Y1395" s="55" t="str">
        <x:f>IF(ISNUMBER(X1395),ROUNDUP(X1395,0),"")</x:f>
      </x:c>
      <x:c r="Z1395" t="str">
        <x:f>IF(ISNUMBER(T1395),"Cost captured","Awaiting trade cost")</x:f>
        <x:v>Awaiting trade cost</x:v>
      </x:c>
      <x:c r="AB1395" s="36" t="str">
        <x:f>IF(ISNUMBER(Y1395),ROUND(Y1395*0.9,2),"")</x:f>
      </x:c>
      <x:c r="AC1395" s="36" t="str">
        <x:f>IF(ISNUMBER(AB1395),ROUND(AB1395-(AB1395*0.015+0.2)-V1395,2),"")</x:f>
      </x:c>
      <x:c r="AD1395" s="36" t="str">
        <x:f>IF(ISNUMBER(Y1395),ROUND(Y1395*0.8,2),"")</x:f>
      </x:c>
      <x:c r="AE1395" s="36" t="str">
        <x:f>IF(ISNUMBER(AD1395),ROUND(AD1395*0.015+0.2,2),"")</x:f>
      </x:c>
      <x:c r="AF1395" s="36" t="str">
        <x:f>IF(ISNUMBER(AD1395),ROUND(AD1395-AE1395-V1395,2),"")</x:f>
      </x:c>
      <x:c r="AG1395" t="str">
        <x:f>IF(NOT(ISNUMBER(T1395)),"PENDING",IF(AF1395&gt;0,"PASS","FAIL"))</x:f>
        <x:v>PENDING</x:v>
      </x:c>
      <x:c r="AH1395" t="str">
        <x:f>IF(NOT(ISNUMBER(T1395)),"Needs supplier cost",IF(K1395&lt;&gt;"In stock","Supplier unavailable",IF(AG1395&lt;&gt;"PASS","BLOCK - GT loss risk","Commercially protected")))</x:f>
        <x:v>Needs supplier cost</x:v>
      </x:c>
      <x:c r="AI1395" t="str">
        <x:v>2026-09-10 Active Sports trade capture</x:v>
      </x:c>
      <x:c r="AJ1395" t="str">
        <x:v>Management-only economics. Stripe stress test uses 1.5% + £0.20 standard UK online-card fee; pallet/mix-and-match pricing ignored.</x:v>
      </x:c>
    </x:row>
    <x:row r="1396">
      <x:c r="A1396" t="str">
        <x:v>Active Sports Nutrition</x:v>
      </x:c>
      <x:c r="B1396" t="str">
        <x:v>Muscle King Nutrition</x:v>
      </x:c>
      <x:c r="C1396" t="str">
        <x:v>Knee Sleeves 7mm Neoprene</x:v>
      </x:c>
      <x:c r="D1396" t="str">
        <x:v>Merch &amp; Apparel</x:v>
      </x:c>
      <x:c r="E1396" t="str">
        <x:v>Straps and Supports</x:v>
      </x:c>
      <x:c r="F1396" t="str"/>
      <x:c r="G1396" t="str">
        <x:v>Pair</x:v>
      </x:c>
      <x:c r="H1396" t="str">
        <x:v>Small (Red Stitch)</x:v>
      </x:c>
      <x:c r="I1396" t="str"/>
      <x:c r="J1396" t="str">
        <x:v>Unit</x:v>
      </x:c>
      <x:c r="K1396" t="str">
        <x:v>In stock</x:v>
      </x:c>
      <x:c r="L1396" t="str">
        <x:v>2026-09-08</x:v>
      </x:c>
      <x:c r="M1396" t="str"/>
      <x:c r="N1396" t="str"/>
      <x:c r="O1396" t="str">
        <x:v>https://www.activesportstrade.co.uk/Straps-and-Supports</x:v>
      </x:c>
      <x:c r="P1396" t="str"/>
      <x:c r="Q1396" t="str"/>
      <x:c r="R1396" t="str"/>
      <x:c r="S1396" t="str">
        <x:v>Pending genuine supplier/brand image</x:v>
      </x:c>
      <x:c r="T1396" s="54"/>
      <x:c r="U1396" s="47" t="n">
        <x:v>0.2</x:v>
      </x:c>
      <x:c r="V1396" s="54" t="str">
        <x:f>IF(ISNUMBER(T1396),T1396*(1+U1396),"")</x:f>
      </x:c>
      <x:c r="W1396" s="47" t="n">
        <x:v>0.3</x:v>
      </x:c>
      <x:c r="X1396" s="54" t="str">
        <x:f>IF(ISNUMBER(V1396),V1396/(1-W1396),"")</x:f>
      </x:c>
      <x:c r="Y1396" s="55" t="str">
        <x:f>IF(ISNUMBER(X1396),ROUNDUP(X1396,0),"")</x:f>
      </x:c>
      <x:c r="Z1396" t="str">
        <x:f>IF(ISNUMBER(T1396),"Cost captured","Awaiting trade cost")</x:f>
        <x:v>Awaiting trade cost</x:v>
      </x:c>
      <x:c r="AB1396" s="36" t="str">
        <x:f>IF(ISNUMBER(Y1396),ROUND(Y1396*0.9,2),"")</x:f>
      </x:c>
      <x:c r="AC1396" s="36" t="str">
        <x:f>IF(ISNUMBER(AB1396),ROUND(AB1396-(AB1396*0.015+0.2)-V1396,2),"")</x:f>
      </x:c>
      <x:c r="AD1396" s="36" t="str">
        <x:f>IF(ISNUMBER(Y1396),ROUND(Y1396*0.8,2),"")</x:f>
      </x:c>
      <x:c r="AE1396" s="36" t="str">
        <x:f>IF(ISNUMBER(AD1396),ROUND(AD1396*0.015+0.2,2),"")</x:f>
      </x:c>
      <x:c r="AF1396" s="36" t="str">
        <x:f>IF(ISNUMBER(AD1396),ROUND(AD1396-AE1396-V1396,2),"")</x:f>
      </x:c>
      <x:c r="AG1396" t="str">
        <x:f>IF(NOT(ISNUMBER(T1396)),"PENDING",IF(AF1396&gt;0,"PASS","FAIL"))</x:f>
        <x:v>PENDING</x:v>
      </x:c>
      <x:c r="AH1396" t="str">
        <x:f>IF(NOT(ISNUMBER(T1396)),"Needs supplier cost",IF(K1396&lt;&gt;"In stock","Supplier unavailable",IF(AG1396&lt;&gt;"PASS","BLOCK - GT loss risk","Commercially protected")))</x:f>
        <x:v>Needs supplier cost</x:v>
      </x:c>
      <x:c r="AI1396" t="str">
        <x:v>2026-09-10 Active Sports trade capture</x:v>
      </x:c>
      <x:c r="AJ1396" t="str">
        <x:v>Management-only economics. Stripe stress test uses 1.5% + £0.20 standard UK online-card fee; pallet/mix-and-match pricing ignored.</x:v>
      </x:c>
    </x:row>
    <x:row r="1397">
      <x:c r="A1397" t="str">
        <x:v>Active Sports Nutrition</x:v>
      </x:c>
      <x:c r="B1397" t="str">
        <x:v>Muscle King Nutrition</x:v>
      </x:c>
      <x:c r="C1397" t="str">
        <x:v>Knee Sleeves 7mm Neoprene</x:v>
      </x:c>
      <x:c r="D1397" t="str">
        <x:v>Merch &amp; Apparel</x:v>
      </x:c>
      <x:c r="E1397" t="str">
        <x:v>Straps and Supports</x:v>
      </x:c>
      <x:c r="F1397" t="str"/>
      <x:c r="G1397" t="str">
        <x:v>Pair</x:v>
      </x:c>
      <x:c r="H1397" t="str">
        <x:v>Small (White Stitch)</x:v>
      </x:c>
      <x:c r="I1397" t="str"/>
      <x:c r="J1397" t="str">
        <x:v>Unit</x:v>
      </x:c>
      <x:c r="K1397" t="str">
        <x:v>In stock</x:v>
      </x:c>
      <x:c r="L1397" t="str">
        <x:v>2026-09-08</x:v>
      </x:c>
      <x:c r="M1397" t="str"/>
      <x:c r="N1397" t="str"/>
      <x:c r="O1397" t="str">
        <x:v>https://www.activesportstrade.co.uk/Straps-and-Supports</x:v>
      </x:c>
      <x:c r="P1397" t="str"/>
      <x:c r="Q1397" t="str"/>
      <x:c r="R1397" t="str"/>
      <x:c r="S1397" t="str">
        <x:v>Pending genuine supplier/brand image</x:v>
      </x:c>
      <x:c r="T1397" s="54"/>
      <x:c r="U1397" s="47" t="n">
        <x:v>0.2</x:v>
      </x:c>
      <x:c r="V1397" s="54" t="str">
        <x:f>IF(ISNUMBER(T1397),T1397*(1+U1397),"")</x:f>
      </x:c>
      <x:c r="W1397" s="47" t="n">
        <x:v>0.3</x:v>
      </x:c>
      <x:c r="X1397" s="54" t="str">
        <x:f>IF(ISNUMBER(V1397),V1397/(1-W1397),"")</x:f>
      </x:c>
      <x:c r="Y1397" s="55" t="str">
        <x:f>IF(ISNUMBER(X1397),ROUNDUP(X1397,0),"")</x:f>
      </x:c>
      <x:c r="Z1397" t="str">
        <x:f>IF(ISNUMBER(T1397),"Cost captured","Awaiting trade cost")</x:f>
        <x:v>Awaiting trade cost</x:v>
      </x:c>
      <x:c r="AB1397" s="36" t="str">
        <x:f>IF(ISNUMBER(Y1397),ROUND(Y1397*0.9,2),"")</x:f>
      </x:c>
      <x:c r="AC1397" s="36" t="str">
        <x:f>IF(ISNUMBER(AB1397),ROUND(AB1397-(AB1397*0.015+0.2)-V1397,2),"")</x:f>
      </x:c>
      <x:c r="AD1397" s="36" t="str">
        <x:f>IF(ISNUMBER(Y1397),ROUND(Y1397*0.8,2),"")</x:f>
      </x:c>
      <x:c r="AE1397" s="36" t="str">
        <x:f>IF(ISNUMBER(AD1397),ROUND(AD1397*0.015+0.2,2),"")</x:f>
      </x:c>
      <x:c r="AF1397" s="36" t="str">
        <x:f>IF(ISNUMBER(AD1397),ROUND(AD1397-AE1397-V1397,2),"")</x:f>
      </x:c>
      <x:c r="AG1397" t="str">
        <x:f>IF(NOT(ISNUMBER(T1397)),"PENDING",IF(AF1397&gt;0,"PASS","FAIL"))</x:f>
        <x:v>PENDING</x:v>
      </x:c>
      <x:c r="AH1397" t="str">
        <x:f>IF(NOT(ISNUMBER(T1397)),"Needs supplier cost",IF(K1397&lt;&gt;"In stock","Supplier unavailable",IF(AG1397&lt;&gt;"PASS","BLOCK - GT loss risk","Commercially protected")))</x:f>
        <x:v>Needs supplier cost</x:v>
      </x:c>
      <x:c r="AI1397" t="str">
        <x:v>2026-09-10 Active Sports trade capture</x:v>
      </x:c>
      <x:c r="AJ1397" t="str">
        <x:v>Management-only economics. Stripe stress test uses 1.5% + £0.20 standard UK online-card fee; pallet/mix-and-match pricing ignored.</x:v>
      </x:c>
    </x:row>
    <x:row r="1398">
      <x:c r="A1398" t="str">
        <x:v>Active Sports Nutrition</x:v>
      </x:c>
      <x:c r="B1398" t="str">
        <x:v>Muscle King Nutrition</x:v>
      </x:c>
      <x:c r="C1398" t="str">
        <x:v>Knee Wraps</x:v>
      </x:c>
      <x:c r="D1398" t="str">
        <x:v>Merch &amp; Apparel</x:v>
      </x:c>
      <x:c r="E1398" t="str">
        <x:v>Straps and Supports</x:v>
      </x:c>
      <x:c r="F1398" t="str"/>
      <x:c r="G1398" t="str">
        <x:v>Pair</x:v>
      </x:c>
      <x:c r="H1398" t="str">
        <x:v>Red and Black</x:v>
      </x:c>
      <x:c r="I1398" t="str"/>
      <x:c r="J1398" t="str">
        <x:v>Unit</x:v>
      </x:c>
      <x:c r="K1398" t="str">
        <x:v>Out of stock</x:v>
      </x:c>
      <x:c r="L1398" t="str">
        <x:v>2026-09-08</x:v>
      </x:c>
      <x:c r="M1398" t="str"/>
      <x:c r="N1398" t="str"/>
      <x:c r="O1398" t="str">
        <x:v>https://www.activesportstrade.co.uk/Straps-and-Supports</x:v>
      </x:c>
      <x:c r="P1398" t="str"/>
      <x:c r="Q1398" t="str"/>
      <x:c r="R1398" t="str"/>
      <x:c r="S1398" t="str">
        <x:v>Pending genuine supplier/brand image</x:v>
      </x:c>
      <x:c r="T1398" s="54"/>
      <x:c r="U1398" s="47" t="n">
        <x:v>0.2</x:v>
      </x:c>
      <x:c r="V1398" s="54" t="str">
        <x:f>IF(ISNUMBER(T1398),T1398*(1+U1398),"")</x:f>
      </x:c>
      <x:c r="W1398" s="47" t="n">
        <x:v>0.3</x:v>
      </x:c>
      <x:c r="X1398" s="54" t="str">
        <x:f>IF(ISNUMBER(V1398),V1398/(1-W1398),"")</x:f>
      </x:c>
      <x:c r="Y1398" s="55" t="str">
        <x:f>IF(ISNUMBER(X1398),ROUNDUP(X1398,0),"")</x:f>
      </x:c>
      <x:c r="Z1398" t="str">
        <x:f>IF(ISNUMBER(T1398),"Cost captured","Awaiting trade cost")</x:f>
        <x:v>Awaiting trade cost</x:v>
      </x:c>
      <x:c r="AB1398" s="36" t="str">
        <x:f>IF(ISNUMBER(Y1398),ROUND(Y1398*0.9,2),"")</x:f>
      </x:c>
      <x:c r="AC1398" s="36" t="str">
        <x:f>IF(ISNUMBER(AB1398),ROUND(AB1398-(AB1398*0.015+0.2)-V1398,2),"")</x:f>
      </x:c>
      <x:c r="AD1398" s="36" t="str">
        <x:f>IF(ISNUMBER(Y1398),ROUND(Y1398*0.8,2),"")</x:f>
      </x:c>
      <x:c r="AE1398" s="36" t="str">
        <x:f>IF(ISNUMBER(AD1398),ROUND(AD1398*0.015+0.2,2),"")</x:f>
      </x:c>
      <x:c r="AF1398" s="36" t="str">
        <x:f>IF(ISNUMBER(AD1398),ROUND(AD1398-AE1398-V1398,2),"")</x:f>
      </x:c>
      <x:c r="AG1398" t="str">
        <x:f>IF(NOT(ISNUMBER(T1398)),"PENDING",IF(AF1398&gt;0,"PASS","FAIL"))</x:f>
        <x:v>PENDING</x:v>
      </x:c>
      <x:c r="AH1398" t="str">
        <x:f>IF(NOT(ISNUMBER(T1398)),"Needs supplier cost",IF(K1398&lt;&gt;"In stock","Supplier unavailable",IF(AG1398&lt;&gt;"PASS","BLOCK - GT loss risk","Commercially protected")))</x:f>
        <x:v>Needs supplier cost</x:v>
      </x:c>
      <x:c r="AI1398" t="str">
        <x:v>2026-09-10 Active Sports trade capture</x:v>
      </x:c>
      <x:c r="AJ1398" t="str">
        <x:v>Management-only economics. Stripe stress test uses 1.5% + £0.20 standard UK online-card fee; pallet/mix-and-match pricing ignored.</x:v>
      </x:c>
    </x:row>
    <x:row r="1399">
      <x:c r="A1399" t="str">
        <x:v>Active Sports Nutrition</x:v>
      </x:c>
      <x:c r="B1399" t="str">
        <x:v>Muscle King Nutrition</x:v>
      </x:c>
      <x:c r="C1399" t="str">
        <x:v>Knee Wraps</x:v>
      </x:c>
      <x:c r="D1399" t="str">
        <x:v>Merch &amp; Apparel</x:v>
      </x:c>
      <x:c r="E1399" t="str">
        <x:v>Straps and Supports</x:v>
      </x:c>
      <x:c r="F1399" t="str"/>
      <x:c r="G1399" t="str">
        <x:v>Pair</x:v>
      </x:c>
      <x:c r="H1399" t="str">
        <x:v>White and Black</x:v>
      </x:c>
      <x:c r="I1399" t="str"/>
      <x:c r="J1399" t="str">
        <x:v>Unit</x:v>
      </x:c>
      <x:c r="K1399" t="str">
        <x:v>In stock</x:v>
      </x:c>
      <x:c r="L1399" t="str">
        <x:v>2026-09-08</x:v>
      </x:c>
      <x:c r="M1399" t="str"/>
      <x:c r="N1399" t="str"/>
      <x:c r="O1399" t="str">
        <x:v>https://www.activesportstrade.co.uk/Straps-and-Supports</x:v>
      </x:c>
      <x:c r="P1399" t="str"/>
      <x:c r="Q1399" t="str"/>
      <x:c r="R1399" t="str"/>
      <x:c r="S1399" t="str">
        <x:v>Pending genuine supplier/brand image</x:v>
      </x:c>
      <x:c r="T1399" s="54"/>
      <x:c r="U1399" s="47" t="n">
        <x:v>0.2</x:v>
      </x:c>
      <x:c r="V1399" s="54" t="str">
        <x:f>IF(ISNUMBER(T1399),T1399*(1+U1399),"")</x:f>
      </x:c>
      <x:c r="W1399" s="47" t="n">
        <x:v>0.3</x:v>
      </x:c>
      <x:c r="X1399" s="54" t="str">
        <x:f>IF(ISNUMBER(V1399),V1399/(1-W1399),"")</x:f>
      </x:c>
      <x:c r="Y1399" s="55" t="str">
        <x:f>IF(ISNUMBER(X1399),ROUNDUP(X1399,0),"")</x:f>
      </x:c>
      <x:c r="Z1399" t="str">
        <x:f>IF(ISNUMBER(T1399),"Cost captured","Awaiting trade cost")</x:f>
        <x:v>Awaiting trade cost</x:v>
      </x:c>
      <x:c r="AB1399" s="36" t="str">
        <x:f>IF(ISNUMBER(Y1399),ROUND(Y1399*0.9,2),"")</x:f>
      </x:c>
      <x:c r="AC1399" s="36" t="str">
        <x:f>IF(ISNUMBER(AB1399),ROUND(AB1399-(AB1399*0.015+0.2)-V1399,2),"")</x:f>
      </x:c>
      <x:c r="AD1399" s="36" t="str">
        <x:f>IF(ISNUMBER(Y1399),ROUND(Y1399*0.8,2),"")</x:f>
      </x:c>
      <x:c r="AE1399" s="36" t="str">
        <x:f>IF(ISNUMBER(AD1399),ROUND(AD1399*0.015+0.2,2),"")</x:f>
      </x:c>
      <x:c r="AF1399" s="36" t="str">
        <x:f>IF(ISNUMBER(AD1399),ROUND(AD1399-AE1399-V1399,2),"")</x:f>
      </x:c>
      <x:c r="AG1399" t="str">
        <x:f>IF(NOT(ISNUMBER(T1399)),"PENDING",IF(AF1399&gt;0,"PASS","FAIL"))</x:f>
        <x:v>PENDING</x:v>
      </x:c>
      <x:c r="AH1399" t="str">
        <x:f>IF(NOT(ISNUMBER(T1399)),"Needs supplier cost",IF(K1399&lt;&gt;"In stock","Supplier unavailable",IF(AG1399&lt;&gt;"PASS","BLOCK - GT loss risk","Commercially protected")))</x:f>
        <x:v>Needs supplier cost</x:v>
      </x:c>
      <x:c r="AI1399" t="str">
        <x:v>2026-09-10 Active Sports trade capture</x:v>
      </x:c>
      <x:c r="AJ1399" t="str">
        <x:v>Management-only economics. Stripe stress test uses 1.5% + £0.20 standard UK online-card fee; pallet/mix-and-match pricing ignored.</x:v>
      </x:c>
    </x:row>
    <x:row r="1400">
      <x:c r="A1400" t="str">
        <x:v>Active Sports Nutrition</x:v>
      </x:c>
      <x:c r="B1400" t="str">
        <x:v>Muscle King Nutrition</x:v>
      </x:c>
      <x:c r="C1400" t="str">
        <x:v>Padded Rubber Grip Lifting Straps</x:v>
      </x:c>
      <x:c r="D1400" t="str">
        <x:v>Merch &amp; Apparel</x:v>
      </x:c>
      <x:c r="E1400" t="str">
        <x:v>Straps and Supports</x:v>
      </x:c>
      <x:c r="F1400" t="str"/>
      <x:c r="G1400" t="str">
        <x:v>Pair</x:v>
      </x:c>
      <x:c r="H1400" t="str">
        <x:v>Black / Red</x:v>
      </x:c>
      <x:c r="I1400" t="str"/>
      <x:c r="J1400" t="str">
        <x:v>Unit</x:v>
      </x:c>
      <x:c r="K1400" t="str">
        <x:v>In stock</x:v>
      </x:c>
      <x:c r="L1400" t="str">
        <x:v>2026-09-08</x:v>
      </x:c>
      <x:c r="M1400" t="str"/>
      <x:c r="N1400" t="str"/>
      <x:c r="O1400" t="str">
        <x:v>https://www.activesportstrade.co.uk/Straps-and-Supports</x:v>
      </x:c>
      <x:c r="P1400" t="str"/>
      <x:c r="Q1400" t="str"/>
      <x:c r="R1400" t="str"/>
      <x:c r="S1400" t="str">
        <x:v>Pending genuine supplier/brand image</x:v>
      </x:c>
      <x:c r="T1400" s="54"/>
      <x:c r="U1400" s="47" t="n">
        <x:v>0.2</x:v>
      </x:c>
      <x:c r="V1400" s="54" t="str">
        <x:f>IF(ISNUMBER(T1400),T1400*(1+U1400),"")</x:f>
      </x:c>
      <x:c r="W1400" s="47" t="n">
        <x:v>0.3</x:v>
      </x:c>
      <x:c r="X1400" s="54" t="str">
        <x:f>IF(ISNUMBER(V1400),V1400/(1-W1400),"")</x:f>
      </x:c>
      <x:c r="Y1400" s="55" t="str">
        <x:f>IF(ISNUMBER(X1400),ROUNDUP(X1400,0),"")</x:f>
      </x:c>
      <x:c r="Z1400" t="str">
        <x:f>IF(ISNUMBER(T1400),"Cost captured","Awaiting trade cost")</x:f>
        <x:v>Awaiting trade cost</x:v>
      </x:c>
      <x:c r="AB1400" s="36" t="str">
        <x:f>IF(ISNUMBER(Y1400),ROUND(Y1400*0.9,2),"")</x:f>
      </x:c>
      <x:c r="AC1400" s="36" t="str">
        <x:f>IF(ISNUMBER(AB1400),ROUND(AB1400-(AB1400*0.015+0.2)-V1400,2),"")</x:f>
      </x:c>
      <x:c r="AD1400" s="36" t="str">
        <x:f>IF(ISNUMBER(Y1400),ROUND(Y1400*0.8,2),"")</x:f>
      </x:c>
      <x:c r="AE1400" s="36" t="str">
        <x:f>IF(ISNUMBER(AD1400),ROUND(AD1400*0.015+0.2,2),"")</x:f>
      </x:c>
      <x:c r="AF1400" s="36" t="str">
        <x:f>IF(ISNUMBER(AD1400),ROUND(AD1400-AE1400-V1400,2),"")</x:f>
      </x:c>
      <x:c r="AG1400" t="str">
        <x:f>IF(NOT(ISNUMBER(T1400)),"PENDING",IF(AF1400&gt;0,"PASS","FAIL"))</x:f>
        <x:v>PENDING</x:v>
      </x:c>
      <x:c r="AH1400" t="str">
        <x:f>IF(NOT(ISNUMBER(T1400)),"Needs supplier cost",IF(K1400&lt;&gt;"In stock","Supplier unavailable",IF(AG1400&lt;&gt;"PASS","BLOCK - GT loss risk","Commercially protected")))</x:f>
        <x:v>Needs supplier cost</x:v>
      </x:c>
      <x:c r="AI1400" t="str">
        <x:v>2026-09-10 Active Sports trade capture</x:v>
      </x:c>
      <x:c r="AJ1400" t="str">
        <x:v>Management-only economics. Stripe stress test uses 1.5% + £0.20 standard UK online-card fee; pallet/mix-and-match pricing ignored.</x:v>
      </x:c>
    </x:row>
    <x:row r="1401">
      <x:c r="A1401" t="str">
        <x:v>Active Sports Nutrition</x:v>
      </x:c>
      <x:c r="B1401" t="str">
        <x:v>Muscle King Nutrition</x:v>
      </x:c>
      <x:c r="C1401" t="str">
        <x:v>Padded Rubber Grip Lifting Straps</x:v>
      </x:c>
      <x:c r="D1401" t="str">
        <x:v>Merch &amp; Apparel</x:v>
      </x:c>
      <x:c r="E1401" t="str">
        <x:v>Straps and Supports</x:v>
      </x:c>
      <x:c r="F1401" t="str"/>
      <x:c r="G1401" t="str">
        <x:v>Pair</x:v>
      </x:c>
      <x:c r="H1401" t="str">
        <x:v>Black / White</x:v>
      </x:c>
      <x:c r="I1401" t="str"/>
      <x:c r="J1401" t="str">
        <x:v>Unit</x:v>
      </x:c>
      <x:c r="K1401" t="str">
        <x:v>In stock</x:v>
      </x:c>
      <x:c r="L1401" t="str">
        <x:v>2026-09-08</x:v>
      </x:c>
      <x:c r="M1401" t="str"/>
      <x:c r="N1401" t="str"/>
      <x:c r="O1401" t="str">
        <x:v>https://www.activesportstrade.co.uk/Straps-and-Supports</x:v>
      </x:c>
      <x:c r="P1401" t="str"/>
      <x:c r="Q1401" t="str"/>
      <x:c r="R1401" t="str"/>
      <x:c r="S1401" t="str">
        <x:v>Pending genuine supplier/brand image</x:v>
      </x:c>
      <x:c r="T1401" s="54"/>
      <x:c r="U1401" s="47" t="n">
        <x:v>0.2</x:v>
      </x:c>
      <x:c r="V1401" s="54" t="str">
        <x:f>IF(ISNUMBER(T1401),T1401*(1+U1401),"")</x:f>
      </x:c>
      <x:c r="W1401" s="47" t="n">
        <x:v>0.3</x:v>
      </x:c>
      <x:c r="X1401" s="54" t="str">
        <x:f>IF(ISNUMBER(V1401),V1401/(1-W1401),"")</x:f>
      </x:c>
      <x:c r="Y1401" s="55" t="str">
        <x:f>IF(ISNUMBER(X1401),ROUNDUP(X1401,0),"")</x:f>
      </x:c>
      <x:c r="Z1401" t="str">
        <x:f>IF(ISNUMBER(T1401),"Cost captured","Awaiting trade cost")</x:f>
        <x:v>Awaiting trade cost</x:v>
      </x:c>
      <x:c r="AB1401" s="36" t="str">
        <x:f>IF(ISNUMBER(Y1401),ROUND(Y1401*0.9,2),"")</x:f>
      </x:c>
      <x:c r="AC1401" s="36" t="str">
        <x:f>IF(ISNUMBER(AB1401),ROUND(AB1401-(AB1401*0.015+0.2)-V1401,2),"")</x:f>
      </x:c>
      <x:c r="AD1401" s="36" t="str">
        <x:f>IF(ISNUMBER(Y1401),ROUND(Y1401*0.8,2),"")</x:f>
      </x:c>
      <x:c r="AE1401" s="36" t="str">
        <x:f>IF(ISNUMBER(AD1401),ROUND(AD1401*0.015+0.2,2),"")</x:f>
      </x:c>
      <x:c r="AF1401" s="36" t="str">
        <x:f>IF(ISNUMBER(AD1401),ROUND(AD1401-AE1401-V1401,2),"")</x:f>
      </x:c>
      <x:c r="AG1401" t="str">
        <x:f>IF(NOT(ISNUMBER(T1401)),"PENDING",IF(AF1401&gt;0,"PASS","FAIL"))</x:f>
        <x:v>PENDING</x:v>
      </x:c>
      <x:c r="AH1401" t="str">
        <x:f>IF(NOT(ISNUMBER(T1401)),"Needs supplier cost",IF(K1401&lt;&gt;"In stock","Supplier unavailable",IF(AG1401&lt;&gt;"PASS","BLOCK - GT loss risk","Commercially protected")))</x:f>
        <x:v>Needs supplier cost</x:v>
      </x:c>
      <x:c r="AI1401" t="str">
        <x:v>2026-09-10 Active Sports trade capture</x:v>
      </x:c>
      <x:c r="AJ1401" t="str">
        <x:v>Management-only economics. Stripe stress test uses 1.5% + £0.20 standard UK online-card fee; pallet/mix-and-match pricing ignored.</x:v>
      </x:c>
    </x:row>
    <x:row r="1402">
      <x:c r="A1402" t="str">
        <x:v>Active Sports Nutrition</x:v>
      </x:c>
      <x:c r="B1402" t="str">
        <x:v>Muscle King Nutrition</x:v>
      </x:c>
      <x:c r="C1402" t="str">
        <x:v>Wrist Wraps / Supports</x:v>
      </x:c>
      <x:c r="D1402" t="str">
        <x:v>Merch &amp; Apparel</x:v>
      </x:c>
      <x:c r="E1402" t="str">
        <x:v>Straps and Supports</x:v>
      </x:c>
      <x:c r="F1402" t="str"/>
      <x:c r="G1402" t="str">
        <x:v>Pair</x:v>
      </x:c>
      <x:c r="H1402" t="str">
        <x:v>Black / Red</x:v>
      </x:c>
      <x:c r="I1402" t="str"/>
      <x:c r="J1402" t="str">
        <x:v>Unit</x:v>
      </x:c>
      <x:c r="K1402" t="str">
        <x:v>Out of stock</x:v>
      </x:c>
      <x:c r="L1402" t="str">
        <x:v>2026-09-08</x:v>
      </x:c>
      <x:c r="M1402" t="str"/>
      <x:c r="N1402" t="str"/>
      <x:c r="O1402" t="str">
        <x:v>https://www.activesportstrade.co.uk/Straps-and-Supports</x:v>
      </x:c>
      <x:c r="P1402" t="str"/>
      <x:c r="Q1402" t="str"/>
      <x:c r="R1402" t="str"/>
      <x:c r="S1402" t="str">
        <x:v>Pending genuine supplier/brand image</x:v>
      </x:c>
      <x:c r="T1402" s="54"/>
      <x:c r="U1402" s="47" t="n">
        <x:v>0.2</x:v>
      </x:c>
      <x:c r="V1402" s="54" t="str">
        <x:f>IF(ISNUMBER(T1402),T1402*(1+U1402),"")</x:f>
      </x:c>
      <x:c r="W1402" s="47" t="n">
        <x:v>0.3</x:v>
      </x:c>
      <x:c r="X1402" s="54" t="str">
        <x:f>IF(ISNUMBER(V1402),V1402/(1-W1402),"")</x:f>
      </x:c>
      <x:c r="Y1402" s="55" t="str">
        <x:f>IF(ISNUMBER(X1402),ROUNDUP(X1402,0),"")</x:f>
      </x:c>
      <x:c r="Z1402" t="str">
        <x:f>IF(ISNUMBER(T1402),"Cost captured","Awaiting trade cost")</x:f>
        <x:v>Awaiting trade cost</x:v>
      </x:c>
      <x:c r="AB1402" s="36" t="str">
        <x:f>IF(ISNUMBER(Y1402),ROUND(Y1402*0.9,2),"")</x:f>
      </x:c>
      <x:c r="AC1402" s="36" t="str">
        <x:f>IF(ISNUMBER(AB1402),ROUND(AB1402-(AB1402*0.015+0.2)-V1402,2),"")</x:f>
      </x:c>
      <x:c r="AD1402" s="36" t="str">
        <x:f>IF(ISNUMBER(Y1402),ROUND(Y1402*0.8,2),"")</x:f>
      </x:c>
      <x:c r="AE1402" s="36" t="str">
        <x:f>IF(ISNUMBER(AD1402),ROUND(AD1402*0.015+0.2,2),"")</x:f>
      </x:c>
      <x:c r="AF1402" s="36" t="str">
        <x:f>IF(ISNUMBER(AD1402),ROUND(AD1402-AE1402-V1402,2),"")</x:f>
      </x:c>
      <x:c r="AG1402" t="str">
        <x:f>IF(NOT(ISNUMBER(T1402)),"PENDING",IF(AF1402&gt;0,"PASS","FAIL"))</x:f>
        <x:v>PENDING</x:v>
      </x:c>
      <x:c r="AH1402" t="str">
        <x:f>IF(NOT(ISNUMBER(T1402)),"Needs supplier cost",IF(K1402&lt;&gt;"In stock","Supplier unavailable",IF(AG1402&lt;&gt;"PASS","BLOCK - GT loss risk","Commercially protected")))</x:f>
        <x:v>Needs supplier cost</x:v>
      </x:c>
      <x:c r="AI1402" t="str">
        <x:v>2026-09-10 Active Sports trade capture</x:v>
      </x:c>
      <x:c r="AJ1402" t="str">
        <x:v>Management-only economics. Stripe stress test uses 1.5% + £0.20 standard UK online-card fee; pallet/mix-and-match pricing ignored.</x:v>
      </x:c>
    </x:row>
    <x:row r="1403">
      <x:c r="A1403" t="str">
        <x:v>Active Sports Nutrition</x:v>
      </x:c>
      <x:c r="B1403" t="str">
        <x:v>Muscle King Nutrition</x:v>
      </x:c>
      <x:c r="C1403" t="str">
        <x:v>Wrist Wraps / Supports</x:v>
      </x:c>
      <x:c r="D1403" t="str">
        <x:v>Merch &amp; Apparel</x:v>
      </x:c>
      <x:c r="E1403" t="str">
        <x:v>Straps and Supports</x:v>
      </x:c>
      <x:c r="F1403" t="str"/>
      <x:c r="G1403" t="str">
        <x:v>Pair</x:v>
      </x:c>
      <x:c r="H1403" t="str">
        <x:v>Black / White</x:v>
      </x:c>
      <x:c r="I1403" t="str"/>
      <x:c r="J1403" t="str">
        <x:v>Unit</x:v>
      </x:c>
      <x:c r="K1403" t="str">
        <x:v>In stock</x:v>
      </x:c>
      <x:c r="L1403" t="str">
        <x:v>2026-09-08</x:v>
      </x:c>
      <x:c r="M1403" t="str"/>
      <x:c r="N1403" t="str"/>
      <x:c r="O1403" t="str">
        <x:v>https://www.activesportstrade.co.uk/Straps-and-Supports</x:v>
      </x:c>
      <x:c r="P1403" t="str"/>
      <x:c r="Q1403" t="str"/>
      <x:c r="R1403" t="str"/>
      <x:c r="S1403" t="str">
        <x:v>Pending genuine supplier/brand image</x:v>
      </x:c>
      <x:c r="T1403" s="54"/>
      <x:c r="U1403" s="47" t="n">
        <x:v>0.2</x:v>
      </x:c>
      <x:c r="V1403" s="54" t="str">
        <x:f>IF(ISNUMBER(T1403),T1403*(1+U1403),"")</x:f>
      </x:c>
      <x:c r="W1403" s="47" t="n">
        <x:v>0.3</x:v>
      </x:c>
      <x:c r="X1403" s="54" t="str">
        <x:f>IF(ISNUMBER(V1403),V1403/(1-W1403),"")</x:f>
      </x:c>
      <x:c r="Y1403" s="55" t="str">
        <x:f>IF(ISNUMBER(X1403),ROUNDUP(X1403,0),"")</x:f>
      </x:c>
      <x:c r="Z1403" t="str">
        <x:f>IF(ISNUMBER(T1403),"Cost captured","Awaiting trade cost")</x:f>
        <x:v>Awaiting trade cost</x:v>
      </x:c>
      <x:c r="AB1403" s="36" t="str">
        <x:f>IF(ISNUMBER(Y1403),ROUND(Y1403*0.9,2),"")</x:f>
      </x:c>
      <x:c r="AC1403" s="36" t="str">
        <x:f>IF(ISNUMBER(AB1403),ROUND(AB1403-(AB1403*0.015+0.2)-V1403,2),"")</x:f>
      </x:c>
      <x:c r="AD1403" s="36" t="str">
        <x:f>IF(ISNUMBER(Y1403),ROUND(Y1403*0.8,2),"")</x:f>
      </x:c>
      <x:c r="AE1403" s="36" t="str">
        <x:f>IF(ISNUMBER(AD1403),ROUND(AD1403*0.015+0.2,2),"")</x:f>
      </x:c>
      <x:c r="AF1403" s="36" t="str">
        <x:f>IF(ISNUMBER(AD1403),ROUND(AD1403-AE1403-V1403,2),"")</x:f>
      </x:c>
      <x:c r="AG1403" t="str">
        <x:f>IF(NOT(ISNUMBER(T1403)),"PENDING",IF(AF1403&gt;0,"PASS","FAIL"))</x:f>
        <x:v>PENDING</x:v>
      </x:c>
      <x:c r="AH1403" t="str">
        <x:f>IF(NOT(ISNUMBER(T1403)),"Needs supplier cost",IF(K1403&lt;&gt;"In stock","Supplier unavailable",IF(AG1403&lt;&gt;"PASS","BLOCK - GT loss risk","Commercially protected")))</x:f>
        <x:v>Needs supplier cost</x:v>
      </x:c>
      <x:c r="AI1403" t="str">
        <x:v>2026-09-10 Active Sports trade capture</x:v>
      </x:c>
      <x:c r="AJ1403" t="str">
        <x:v>Management-only economics. Stripe stress test uses 1.5% + £0.20 standard UK online-card fee; pallet/mix-and-match pricing ignored.</x:v>
      </x:c>
    </x:row>
    <x:row r="1404">
      <x:c r="A1404" t="str">
        <x:v>Active Sports Nutrition</x:v>
      </x:c>
      <x:c r="B1404" t="str">
        <x:v>Inferno 2 - Fat Burner</x:v>
      </x:c>
      <x:c r="C1404" t="str">
        <x:v>Inferno 2</x:v>
      </x:c>
      <x:c r="D1404" t="str">
        <x:v>Supplements</x:v>
      </x:c>
      <x:c r="E1404" t="str">
        <x:v>Fat Burners</x:v>
      </x:c>
      <x:c r="F1404" t="str">
        <x:v>Fat-burner capsule formula.</x:v>
      </x:c>
      <x:c r="G1404" t="str">
        <x:v>90 caps</x:v>
      </x:c>
      <x:c r="H1404" t="str">
        <x:v>Default</x:v>
      </x:c>
      <x:c r="I1404" t="str"/>
      <x:c r="J1404" t="str">
        <x:v>Unit</x:v>
      </x:c>
      <x:c r="K1404" t="str">
        <x:v>In stock</x:v>
      </x:c>
      <x:c r="L1404" t="str">
        <x:v>2026-09-08</x:v>
      </x:c>
      <x:c r="M1404" t="str"/>
      <x:c r="N1404" t="str"/>
      <x:c r="O1404" t="str">
        <x:v>https://www.activesportstrade.co.uk/Diet-Weight-Loss</x:v>
      </x:c>
      <x:c r="P1404" t="str">
        <x:v>Fresh Diet &amp; Weight Loss page supplies exact 90-cap format and current In stock state; supersedes earlier placeholder identity row.</x:v>
      </x:c>
      <x:c r="Q1404" t="str"/>
      <x:c r="R1404" t="str"/>
      <x:c r="S1404" t="str">
        <x:v>Pending genuine supplier/brand image</x:v>
      </x:c>
      <x:c r="T1404" s="54"/>
      <x:c r="U1404" s="47" t="n">
        <x:v>0.2</x:v>
      </x:c>
      <x:c r="V1404" s="54" t="str">
        <x:f>IF(ISNUMBER(T1404),T1404*(1+U1404),"")</x:f>
      </x:c>
      <x:c r="W1404" s="47" t="n">
        <x:v>0.3</x:v>
      </x:c>
      <x:c r="X1404" s="54" t="str">
        <x:f>IF(ISNUMBER(V1404),V1404/(1-W1404),"")</x:f>
      </x:c>
      <x:c r="Y1404" s="55" t="str">
        <x:f>IF(ISNUMBER(X1404),ROUNDUP(X1404,0),"")</x:f>
      </x:c>
      <x:c r="Z1404" t="str">
        <x:f>IF(ISNUMBER(T1404),"Cost captured","Awaiting trade cost")</x:f>
        <x:v>Awaiting trade cost</x:v>
      </x:c>
      <x:c r="AB1404" s="36" t="str">
        <x:f>IF(ISNUMBER(Y1404),ROUND(Y1404*0.9,2),"")</x:f>
      </x:c>
      <x:c r="AC1404" s="36" t="str">
        <x:f>IF(ISNUMBER(AB1404),ROUND(AB1404-(AB1404*0.015+0.2)-V1404,2),"")</x:f>
      </x:c>
      <x:c r="AD1404" s="36" t="str">
        <x:f>IF(ISNUMBER(Y1404),ROUND(Y1404*0.8,2),"")</x:f>
      </x:c>
      <x:c r="AE1404" s="36" t="str">
        <x:f>IF(ISNUMBER(AD1404),ROUND(AD1404*0.015+0.2,2),"")</x:f>
      </x:c>
      <x:c r="AF1404" s="36" t="str">
        <x:f>IF(ISNUMBER(AD1404),ROUND(AD1404-AE1404-V1404,2),"")</x:f>
      </x:c>
      <x:c r="AG1404" t="str">
        <x:f>IF(NOT(ISNUMBER(T1404)),"PENDING",IF(AF1404&gt;0,"PASS","FAIL"))</x:f>
        <x:v>PENDING</x:v>
      </x:c>
      <x:c r="AH1404" t="str">
        <x:f>IF(NOT(ISNUMBER(T1404)),"Needs supplier cost",IF(K1404&lt;&gt;"In stock","Supplier unavailable",IF(AG1404&lt;&gt;"PASS","BLOCK - GT loss risk","Commercially protected")))</x:f>
        <x:v>Needs supplier cost</x:v>
      </x:c>
      <x:c r="AI1404" t="str">
        <x:v>2026-09-10 Active Sports trade capture</x:v>
      </x:c>
      <x:c r="AJ1404" t="str">
        <x:v>Management-only economics. Stripe stress test uses 1.5% + £0.20 standard UK online-card fee; pallet/mix-and-match pricing ignored.</x:v>
      </x:c>
    </x:row>
    <x:row r="1405">
      <x:c r="A1405" t="str">
        <x:v>Active Sports Nutrition</x:v>
      </x:c>
      <x:c r="B1405" t="str">
        <x:v>Mountain Joes</x:v>
      </x:c>
      <x:c r="C1405" t="str">
        <x:v>Shake A Whey</x:v>
      </x:c>
      <x:c r="D1405" t="str">
        <x:v>Supplements</x:v>
      </x:c>
      <x:c r="E1405" t="str">
        <x:v>Whey Protein</x:v>
      </x:c>
      <x:c r="F1405" t="str">
        <x:v>Whey protein powder.</x:v>
      </x:c>
      <x:c r="G1405" t="str">
        <x:v>1.8kg</x:v>
      </x:c>
      <x:c r="H1405" t="str">
        <x:v>Banana</x:v>
      </x:c>
      <x:c r="I1405" t="str"/>
      <x:c r="J1405" t="str">
        <x:v>Unit</x:v>
      </x:c>
      <x:c r="K1405" t="str">
        <x:v>In stock</x:v>
      </x:c>
      <x:c r="L1405" t="str">
        <x:v>2026-09-08</x:v>
      </x:c>
      <x:c r="M1405" t="str"/>
      <x:c r="N1405" t="str"/>
      <x:c r="O1405" t="str">
        <x:v>https://www.activesportstrade.co.uk/Whey-Protein-Supplements-Trade/mountain-joes-trade</x:v>
      </x:c>
      <x:c r="P1405" t="str"/>
      <x:c r="Q1405" t="str"/>
      <x:c r="R1405" t="str"/>
      <x:c r="S1405" t="str">
        <x:v>Pending genuine supplier/brand image</x:v>
      </x:c>
      <x:c r="T1405" s="54" t="n">
        <x:v>23.99</x:v>
      </x:c>
      <x:c r="U1405" s="47" t="n">
        <x:v>0.2</x:v>
      </x:c>
      <x:c r="V1405" s="54" t="n">
        <x:f>IF(ISNUMBER(T1405),T1405*(1+U1405),"")</x:f>
        <x:v>28.787999999999997</x:v>
      </x:c>
      <x:c r="W1405" s="47" t="n">
        <x:v>0.3</x:v>
      </x:c>
      <x:c r="X1405" s="54" t="n">
        <x:f>IF(ISNUMBER(V1405),V1405/(1-W1405),"")</x:f>
        <x:v>41.12571428571428</x:v>
      </x:c>
      <x:c r="Y1405" s="55" t="n">
        <x:f>IF(ISNUMBER(X1405),ROUNDUP(X1405,0),"")</x:f>
        <x:v>42</x:v>
      </x:c>
      <x:c r="Z1405" t="str">
        <x:v>Source match pending</x:v>
      </x:c>
      <x:c r="AA1405" t="str">
        <x:v>screencapture-www-activesportstrade-co-uk-mountain-joes-trade-2026-09-09-18_39_49.png / page-002</x:v>
      </x:c>
      <x:c r="AB1405" s="36" t="n">
        <x:f>IF(ISNUMBER(Y1405),ROUND(Y1405*0.9,2),"")</x:f>
        <x:v>37.8</x:v>
      </x:c>
      <x:c r="AC1405" s="36" t="n">
        <x:f>IF(ISNUMBER(AB1405),ROUND(AB1405-(AB1405*0.015+0.2)-V1405,2),"")</x:f>
        <x:v>8.24</x:v>
      </x:c>
      <x:c r="AD1405" s="36" t="n">
        <x:f>IF(ISNUMBER(Y1405),ROUND(Y1405*0.8,2),"")</x:f>
        <x:v>33.6</x:v>
      </x:c>
      <x:c r="AE1405" s="36" t="n">
        <x:f>IF(ISNUMBER(AD1405),ROUND(AD1405*0.015+0.2,2),"")</x:f>
        <x:v>0.7</x:v>
      </x:c>
      <x:c r="AF1405" s="36" t="n">
        <x:f>IF(ISNUMBER(AD1405),ROUND(AD1405-AE1405-V1405,2),"")</x:f>
        <x:v>4.11</x:v>
      </x:c>
      <x:c r="AG1405" t="str">
        <x:f>IF(NOT(ISNUMBER(T1405)),"PENDING",IF(AF1405&gt;0,"PASS","FAIL"))</x:f>
        <x:v>PASS</x:v>
      </x:c>
      <x:c r="AH1405" t="str">
        <x:f>IF(NOT(ISNUMBER(T1405)),"Needs supplier cost",IF(K1405&lt;&gt;"In stock","Supplier unavailable",IF(AG1405&lt;&gt;"PASS","BLOCK - GT loss risk","Commercially protected")))</x:f>
        <x:v>Commercially protected</x:v>
      </x:c>
      <x:c r="AI1405" t="str">
        <x:v>2026-09-10 Active Sports trade capture</x:v>
      </x:c>
      <x:c r="AJ1405" t="str">
        <x:v>Management-only economics. Stripe stress test uses 1.5% + £0.20 standard UK online-card fee; pallet/mix-and-match pricing ignored.</x:v>
      </x:c>
    </x:row>
    <x:row r="1406">
      <x:c r="A1406" t="str">
        <x:v>Active Sports Nutrition</x:v>
      </x:c>
      <x:c r="B1406" t="str">
        <x:v>Mountain Joes</x:v>
      </x:c>
      <x:c r="C1406" t="str">
        <x:v>Shake A Whey</x:v>
      </x:c>
      <x:c r="D1406" t="str">
        <x:v>Supplements</x:v>
      </x:c>
      <x:c r="E1406" t="str">
        <x:v>Whey Protein</x:v>
      </x:c>
      <x:c r="F1406" t="str">
        <x:v>Whey protein powder.</x:v>
      </x:c>
      <x:c r="G1406" t="str">
        <x:v>1.8kg</x:v>
      </x:c>
      <x:c r="H1406" t="str">
        <x:v>Chocolate Brownie</x:v>
      </x:c>
      <x:c r="I1406" t="str"/>
      <x:c r="J1406" t="str">
        <x:v>Unit</x:v>
      </x:c>
      <x:c r="K1406" t="str">
        <x:v>In stock</x:v>
      </x:c>
      <x:c r="L1406" t="str">
        <x:v>2026-09-08</x:v>
      </x:c>
      <x:c r="M1406" t="str"/>
      <x:c r="N1406" t="str"/>
      <x:c r="O1406" t="str">
        <x:v>https://www.activesportstrade.co.uk/Whey-Protein-Supplements-Trade/mountain-joes-trade</x:v>
      </x:c>
      <x:c r="P1406" t="str"/>
      <x:c r="Q1406" t="str"/>
      <x:c r="R1406" t="str"/>
      <x:c r="S1406" t="str">
        <x:v>Pending genuine supplier/brand image</x:v>
      </x:c>
      <x:c r="T1406" s="54" t="n">
        <x:v>23.99</x:v>
      </x:c>
      <x:c r="U1406" s="47" t="n">
        <x:v>0.2</x:v>
      </x:c>
      <x:c r="V1406" s="54" t="n">
        <x:f>IF(ISNUMBER(T1406),T1406*(1+U1406),"")</x:f>
        <x:v>28.787999999999997</x:v>
      </x:c>
      <x:c r="W1406" s="47" t="n">
        <x:v>0.3</x:v>
      </x:c>
      <x:c r="X1406" s="54" t="n">
        <x:f>IF(ISNUMBER(V1406),V1406/(1-W1406),"")</x:f>
        <x:v>41.12571428571428</x:v>
      </x:c>
      <x:c r="Y1406" s="55" t="n">
        <x:f>IF(ISNUMBER(X1406),ROUNDUP(X1406,0),"")</x:f>
        <x:v>42</x:v>
      </x:c>
      <x:c r="Z1406" t="str">
        <x:v>Source match pending</x:v>
      </x:c>
      <x:c r="AA1406" t="str">
        <x:v>screencapture-www-activesportstrade-co-uk-mountain-joes-trade-2026-09-09-18_39_49.png / page-002</x:v>
      </x:c>
      <x:c r="AB1406" s="36" t="n">
        <x:f>IF(ISNUMBER(Y1406),ROUND(Y1406*0.9,2),"")</x:f>
        <x:v>37.8</x:v>
      </x:c>
      <x:c r="AC1406" s="36" t="n">
        <x:f>IF(ISNUMBER(AB1406),ROUND(AB1406-(AB1406*0.015+0.2)-V1406,2),"")</x:f>
        <x:v>8.24</x:v>
      </x:c>
      <x:c r="AD1406" s="36" t="n">
        <x:f>IF(ISNUMBER(Y1406),ROUND(Y1406*0.8,2),"")</x:f>
        <x:v>33.6</x:v>
      </x:c>
      <x:c r="AE1406" s="36" t="n">
        <x:f>IF(ISNUMBER(AD1406),ROUND(AD1406*0.015+0.2,2),"")</x:f>
        <x:v>0.7</x:v>
      </x:c>
      <x:c r="AF1406" s="36" t="n">
        <x:f>IF(ISNUMBER(AD1406),ROUND(AD1406-AE1406-V1406,2),"")</x:f>
        <x:v>4.11</x:v>
      </x:c>
      <x:c r="AG1406" t="str">
        <x:f>IF(NOT(ISNUMBER(T1406)),"PENDING",IF(AF1406&gt;0,"PASS","FAIL"))</x:f>
        <x:v>PASS</x:v>
      </x:c>
      <x:c r="AH1406" t="str">
        <x:f>IF(NOT(ISNUMBER(T1406)),"Needs supplier cost",IF(K1406&lt;&gt;"In stock","Supplier unavailable",IF(AG1406&lt;&gt;"PASS","BLOCK - GT loss risk","Commercially protected")))</x:f>
        <x:v>Commercially protected</x:v>
      </x:c>
      <x:c r="AI1406" t="str">
        <x:v>2026-09-10 Active Sports trade capture</x:v>
      </x:c>
      <x:c r="AJ1406" t="str">
        <x:v>Management-only economics. Stripe stress test uses 1.5% + £0.20 standard UK online-card fee; pallet/mix-and-match pricing ignored.</x:v>
      </x:c>
    </x:row>
    <x:row r="1407">
      <x:c r="A1407" t="str">
        <x:v>Active Sports Nutrition</x:v>
      </x:c>
      <x:c r="B1407" t="str">
        <x:v>Mountain Joes</x:v>
      </x:c>
      <x:c r="C1407" t="str">
        <x:v>Shake A Whey</x:v>
      </x:c>
      <x:c r="D1407" t="str">
        <x:v>Supplements</x:v>
      </x:c>
      <x:c r="E1407" t="str">
        <x:v>Whey Protein</x:v>
      </x:c>
      <x:c r="F1407" t="str">
        <x:v>Whey protein powder.</x:v>
      </x:c>
      <x:c r="G1407" t="str">
        <x:v>1.8kg</x:v>
      </x:c>
      <x:c r="H1407" t="str">
        <x:v>Chocolate Caramel</x:v>
      </x:c>
      <x:c r="I1407" t="str"/>
      <x:c r="J1407" t="str">
        <x:v>Unit</x:v>
      </x:c>
      <x:c r="K1407" t="str">
        <x:v>In stock</x:v>
      </x:c>
      <x:c r="L1407" t="str">
        <x:v>2026-09-08</x:v>
      </x:c>
      <x:c r="M1407" t="str"/>
      <x:c r="N1407" t="str"/>
      <x:c r="O1407" t="str">
        <x:v>https://www.activesportstrade.co.uk/Whey-Protein-Supplements-Trade/mountain-joes-trade</x:v>
      </x:c>
      <x:c r="P1407" t="str"/>
      <x:c r="Q1407" t="str"/>
      <x:c r="R1407" t="str"/>
      <x:c r="S1407" t="str">
        <x:v>Pending genuine supplier/brand image</x:v>
      </x:c>
      <x:c r="T1407" s="54" t="n">
        <x:v>23.99</x:v>
      </x:c>
      <x:c r="U1407" s="47" t="n">
        <x:v>0.2</x:v>
      </x:c>
      <x:c r="V1407" s="54" t="n">
        <x:f>IF(ISNUMBER(T1407),T1407*(1+U1407),"")</x:f>
        <x:v>28.787999999999997</x:v>
      </x:c>
      <x:c r="W1407" s="47" t="n">
        <x:v>0.3</x:v>
      </x:c>
      <x:c r="X1407" s="54" t="n">
        <x:f>IF(ISNUMBER(V1407),V1407/(1-W1407),"")</x:f>
        <x:v>41.12571428571428</x:v>
      </x:c>
      <x:c r="Y1407" s="55" t="n">
        <x:f>IF(ISNUMBER(X1407),ROUNDUP(X1407,0),"")</x:f>
        <x:v>42</x:v>
      </x:c>
      <x:c r="Z1407" t="str">
        <x:v>Source match pending</x:v>
      </x:c>
      <x:c r="AA1407" t="str">
        <x:v>screencapture-www-activesportstrade-co-uk-mountain-joes-trade-2026-09-09-18_39_49.png / page-002</x:v>
      </x:c>
      <x:c r="AB1407" s="36" t="n">
        <x:f>IF(ISNUMBER(Y1407),ROUND(Y1407*0.9,2),"")</x:f>
        <x:v>37.8</x:v>
      </x:c>
      <x:c r="AC1407" s="36" t="n">
        <x:f>IF(ISNUMBER(AB1407),ROUND(AB1407-(AB1407*0.015+0.2)-V1407,2),"")</x:f>
        <x:v>8.24</x:v>
      </x:c>
      <x:c r="AD1407" s="36" t="n">
        <x:f>IF(ISNUMBER(Y1407),ROUND(Y1407*0.8,2),"")</x:f>
        <x:v>33.6</x:v>
      </x:c>
      <x:c r="AE1407" s="36" t="n">
        <x:f>IF(ISNUMBER(AD1407),ROUND(AD1407*0.015+0.2,2),"")</x:f>
        <x:v>0.7</x:v>
      </x:c>
      <x:c r="AF1407" s="36" t="n">
        <x:f>IF(ISNUMBER(AD1407),ROUND(AD1407-AE1407-V1407,2),"")</x:f>
        <x:v>4.11</x:v>
      </x:c>
      <x:c r="AG1407" t="str">
        <x:f>IF(NOT(ISNUMBER(T1407)),"PENDING",IF(AF1407&gt;0,"PASS","FAIL"))</x:f>
        <x:v>PASS</x:v>
      </x:c>
      <x:c r="AH1407" t="str">
        <x:f>IF(NOT(ISNUMBER(T1407)),"Needs supplier cost",IF(K1407&lt;&gt;"In stock","Supplier unavailable",IF(AG1407&lt;&gt;"PASS","BLOCK - GT loss risk","Commercially protected")))</x:f>
        <x:v>Commercially protected</x:v>
      </x:c>
      <x:c r="AI1407" t="str">
        <x:v>2026-09-10 Active Sports trade capture</x:v>
      </x:c>
      <x:c r="AJ1407" t="str">
        <x:v>Management-only economics. Stripe stress test uses 1.5% + £0.20 standard UK online-card fee; pallet/mix-and-match pricing ignored.</x:v>
      </x:c>
    </x:row>
    <x:row r="1408">
      <x:c r="A1408" t="str">
        <x:v>Active Sports Nutrition</x:v>
      </x:c>
      <x:c r="B1408" t="str">
        <x:v>Mountain Joes</x:v>
      </x:c>
      <x:c r="C1408" t="str">
        <x:v>Shake A Whey</x:v>
      </x:c>
      <x:c r="D1408" t="str">
        <x:v>Supplements</x:v>
      </x:c>
      <x:c r="E1408" t="str">
        <x:v>Whey Protein</x:v>
      </x:c>
      <x:c r="F1408" t="str">
        <x:v>Whey protein powder.</x:v>
      </x:c>
      <x:c r="G1408" t="str">
        <x:v>1.8kg</x:v>
      </x:c>
      <x:c r="H1408" t="str">
        <x:v>Chocolate Peanut Butter</x:v>
      </x:c>
      <x:c r="I1408" t="str"/>
      <x:c r="J1408" t="str">
        <x:v>Unit</x:v>
      </x:c>
      <x:c r="K1408" t="str">
        <x:v>In stock</x:v>
      </x:c>
      <x:c r="L1408" t="str">
        <x:v>2026-09-08</x:v>
      </x:c>
      <x:c r="M1408" t="str"/>
      <x:c r="N1408" t="str"/>
      <x:c r="O1408" t="str">
        <x:v>https://www.activesportstrade.co.uk/Whey-Protein-Supplements-Trade/mountain-joes-trade</x:v>
      </x:c>
      <x:c r="P1408" t="str"/>
      <x:c r="Q1408" t="str"/>
      <x:c r="R1408" t="str"/>
      <x:c r="S1408" t="str">
        <x:v>Pending genuine supplier/brand image</x:v>
      </x:c>
      <x:c r="T1408" s="54" t="n">
        <x:v>23.99</x:v>
      </x:c>
      <x:c r="U1408" s="47" t="n">
        <x:v>0.2</x:v>
      </x:c>
      <x:c r="V1408" s="54" t="n">
        <x:f>IF(ISNUMBER(T1408),T1408*(1+U1408),"")</x:f>
        <x:v>28.787999999999997</x:v>
      </x:c>
      <x:c r="W1408" s="47" t="n">
        <x:v>0.3</x:v>
      </x:c>
      <x:c r="X1408" s="54" t="n">
        <x:f>IF(ISNUMBER(V1408),V1408/(1-W1408),"")</x:f>
        <x:v>41.12571428571428</x:v>
      </x:c>
      <x:c r="Y1408" s="55" t="n">
        <x:f>IF(ISNUMBER(X1408),ROUNDUP(X1408,0),"")</x:f>
        <x:v>42</x:v>
      </x:c>
      <x:c r="Z1408" t="str">
        <x:v>Source match pending</x:v>
      </x:c>
      <x:c r="AA1408" t="str">
        <x:v>screencapture-www-activesportstrade-co-uk-mountain-joes-trade-2026-09-09-18_39_49.png / page-002</x:v>
      </x:c>
      <x:c r="AB1408" s="36" t="n">
        <x:f>IF(ISNUMBER(Y1408),ROUND(Y1408*0.9,2),"")</x:f>
        <x:v>37.8</x:v>
      </x:c>
      <x:c r="AC1408" s="36" t="n">
        <x:f>IF(ISNUMBER(AB1408),ROUND(AB1408-(AB1408*0.015+0.2)-V1408,2),"")</x:f>
        <x:v>8.24</x:v>
      </x:c>
      <x:c r="AD1408" s="36" t="n">
        <x:f>IF(ISNUMBER(Y1408),ROUND(Y1408*0.8,2),"")</x:f>
        <x:v>33.6</x:v>
      </x:c>
      <x:c r="AE1408" s="36" t="n">
        <x:f>IF(ISNUMBER(AD1408),ROUND(AD1408*0.015+0.2,2),"")</x:f>
        <x:v>0.7</x:v>
      </x:c>
      <x:c r="AF1408" s="36" t="n">
        <x:f>IF(ISNUMBER(AD1408),ROUND(AD1408-AE1408-V1408,2),"")</x:f>
        <x:v>4.11</x:v>
      </x:c>
      <x:c r="AG1408" t="str">
        <x:f>IF(NOT(ISNUMBER(T1408)),"PENDING",IF(AF1408&gt;0,"PASS","FAIL"))</x:f>
        <x:v>PASS</x:v>
      </x:c>
      <x:c r="AH1408" t="str">
        <x:f>IF(NOT(ISNUMBER(T1408)),"Needs supplier cost",IF(K1408&lt;&gt;"In stock","Supplier unavailable",IF(AG1408&lt;&gt;"PASS","BLOCK - GT loss risk","Commercially protected")))</x:f>
        <x:v>Commercially protected</x:v>
      </x:c>
      <x:c r="AI1408" t="str">
        <x:v>2026-09-10 Active Sports trade capture</x:v>
      </x:c>
      <x:c r="AJ1408" t="str">
        <x:v>Management-only economics. Stripe stress test uses 1.5% + £0.20 standard UK online-card fee; pallet/mix-and-match pricing ignored.</x:v>
      </x:c>
    </x:row>
    <x:row r="1409">
      <x:c r="A1409" t="str">
        <x:v>Active Sports Nutrition</x:v>
      </x:c>
      <x:c r="B1409" t="str">
        <x:v>Mountain Joes</x:v>
      </x:c>
      <x:c r="C1409" t="str">
        <x:v>Shake A Whey</x:v>
      </x:c>
      <x:c r="D1409" t="str">
        <x:v>Supplements</x:v>
      </x:c>
      <x:c r="E1409" t="str">
        <x:v>Whey Protein</x:v>
      </x:c>
      <x:c r="F1409" t="str">
        <x:v>Whey protein powder.</x:v>
      </x:c>
      <x:c r="G1409" t="str">
        <x:v>1.8kg</x:v>
      </x:c>
      <x:c r="H1409" t="str">
        <x:v>Cookies &amp; Cream</x:v>
      </x:c>
      <x:c r="I1409" t="str"/>
      <x:c r="J1409" t="str">
        <x:v>Unit</x:v>
      </x:c>
      <x:c r="K1409" t="str">
        <x:v>In stock</x:v>
      </x:c>
      <x:c r="L1409" t="str">
        <x:v>2026-09-08</x:v>
      </x:c>
      <x:c r="M1409" t="str"/>
      <x:c r="N1409" t="str"/>
      <x:c r="O1409" t="str">
        <x:v>https://www.activesportstrade.co.uk/Whey-Protein-Supplements-Trade/mountain-joes-trade</x:v>
      </x:c>
      <x:c r="P1409" t="str"/>
      <x:c r="Q1409" t="str"/>
      <x:c r="R1409" t="str"/>
      <x:c r="S1409" t="str">
        <x:v>Pending genuine supplier/brand image</x:v>
      </x:c>
      <x:c r="T1409" s="54" t="n">
        <x:v>23.99</x:v>
      </x:c>
      <x:c r="U1409" s="47" t="n">
        <x:v>0.2</x:v>
      </x:c>
      <x:c r="V1409" s="54" t="n">
        <x:f>IF(ISNUMBER(T1409),T1409*(1+U1409),"")</x:f>
        <x:v>28.787999999999997</x:v>
      </x:c>
      <x:c r="W1409" s="47" t="n">
        <x:v>0.3</x:v>
      </x:c>
      <x:c r="X1409" s="54" t="n">
        <x:f>IF(ISNUMBER(V1409),V1409/(1-W1409),"")</x:f>
        <x:v>41.12571428571428</x:v>
      </x:c>
      <x:c r="Y1409" s="55" t="n">
        <x:f>IF(ISNUMBER(X1409),ROUNDUP(X1409,0),"")</x:f>
        <x:v>42</x:v>
      </x:c>
      <x:c r="Z1409" t="str">
        <x:v>Source match pending</x:v>
      </x:c>
      <x:c r="AA1409" t="str">
        <x:v>screencapture-www-activesportstrade-co-uk-mountain-joes-trade-2026-09-09-18_39_49.png / page-002</x:v>
      </x:c>
      <x:c r="AB1409" s="36" t="n">
        <x:f>IF(ISNUMBER(Y1409),ROUND(Y1409*0.9,2),"")</x:f>
        <x:v>37.8</x:v>
      </x:c>
      <x:c r="AC1409" s="36" t="n">
        <x:f>IF(ISNUMBER(AB1409),ROUND(AB1409-(AB1409*0.015+0.2)-V1409,2),"")</x:f>
        <x:v>8.24</x:v>
      </x:c>
      <x:c r="AD1409" s="36" t="n">
        <x:f>IF(ISNUMBER(Y1409),ROUND(Y1409*0.8,2),"")</x:f>
        <x:v>33.6</x:v>
      </x:c>
      <x:c r="AE1409" s="36" t="n">
        <x:f>IF(ISNUMBER(AD1409),ROUND(AD1409*0.015+0.2,2),"")</x:f>
        <x:v>0.7</x:v>
      </x:c>
      <x:c r="AF1409" s="36" t="n">
        <x:f>IF(ISNUMBER(AD1409),ROUND(AD1409-AE1409-V1409,2),"")</x:f>
        <x:v>4.11</x:v>
      </x:c>
      <x:c r="AG1409" t="str">
        <x:f>IF(NOT(ISNUMBER(T1409)),"PENDING",IF(AF1409&gt;0,"PASS","FAIL"))</x:f>
        <x:v>PASS</x:v>
      </x:c>
      <x:c r="AH1409" t="str">
        <x:f>IF(NOT(ISNUMBER(T1409)),"Needs supplier cost",IF(K1409&lt;&gt;"In stock","Supplier unavailable",IF(AG1409&lt;&gt;"PASS","BLOCK - GT loss risk","Commercially protected")))</x:f>
        <x:v>Commercially protected</x:v>
      </x:c>
      <x:c r="AI1409" t="str">
        <x:v>2026-09-10 Active Sports trade capture</x:v>
      </x:c>
      <x:c r="AJ1409" t="str">
        <x:v>Management-only economics. Stripe stress test uses 1.5% + £0.20 standard UK online-card fee; pallet/mix-and-match pricing ignored.</x:v>
      </x:c>
    </x:row>
    <x:row r="1410">
      <x:c r="A1410" t="str">
        <x:v>Active Sports Nutrition</x:v>
      </x:c>
      <x:c r="B1410" t="str">
        <x:v>Mountain Joes</x:v>
      </x:c>
      <x:c r="C1410" t="str">
        <x:v>Shake A Whey</x:v>
      </x:c>
      <x:c r="D1410" t="str">
        <x:v>Supplements</x:v>
      </x:c>
      <x:c r="E1410" t="str">
        <x:v>Whey Protein</x:v>
      </x:c>
      <x:c r="F1410" t="str">
        <x:v>Whey protein powder.</x:v>
      </x:c>
      <x:c r="G1410" t="str">
        <x:v>1.8kg</x:v>
      </x:c>
      <x:c r="H1410" t="str">
        <x:v>Strawberry &amp; Cream</x:v>
      </x:c>
      <x:c r="I1410" t="str"/>
      <x:c r="J1410" t="str">
        <x:v>Unit</x:v>
      </x:c>
      <x:c r="K1410" t="str">
        <x:v>In stock</x:v>
      </x:c>
      <x:c r="L1410" t="str">
        <x:v>2026-09-08</x:v>
      </x:c>
      <x:c r="M1410" t="str"/>
      <x:c r="N1410" t="str"/>
      <x:c r="O1410" t="str">
        <x:v>https://www.activesportstrade.co.uk/Whey-Protein-Supplements-Trade/mountain-joes-trade</x:v>
      </x:c>
      <x:c r="P1410" t="str"/>
      <x:c r="Q1410" t="str"/>
      <x:c r="R1410" t="str"/>
      <x:c r="S1410" t="str">
        <x:v>Pending genuine supplier/brand image</x:v>
      </x:c>
      <x:c r="T1410" s="54" t="n">
        <x:v>23.99</x:v>
      </x:c>
      <x:c r="U1410" s="47" t="n">
        <x:v>0.2</x:v>
      </x:c>
      <x:c r="V1410" s="54" t="n">
        <x:f>IF(ISNUMBER(T1410),T1410*(1+U1410),"")</x:f>
        <x:v>28.787999999999997</x:v>
      </x:c>
      <x:c r="W1410" s="47" t="n">
        <x:v>0.3</x:v>
      </x:c>
      <x:c r="X1410" s="54" t="n">
        <x:f>IF(ISNUMBER(V1410),V1410/(1-W1410),"")</x:f>
        <x:v>41.12571428571428</x:v>
      </x:c>
      <x:c r="Y1410" s="55" t="n">
        <x:f>IF(ISNUMBER(X1410),ROUNDUP(X1410,0),"")</x:f>
        <x:v>42</x:v>
      </x:c>
      <x:c r="Z1410" t="str">
        <x:v>Source match pending</x:v>
      </x:c>
      <x:c r="AA1410" t="str">
        <x:v>screencapture-www-activesportstrade-co-uk-mountain-joes-trade-2026-09-09-18_39_49.png / page-002</x:v>
      </x:c>
      <x:c r="AB1410" s="36" t="n">
        <x:f>IF(ISNUMBER(Y1410),ROUND(Y1410*0.9,2),"")</x:f>
        <x:v>37.8</x:v>
      </x:c>
      <x:c r="AC1410" s="36" t="n">
        <x:f>IF(ISNUMBER(AB1410),ROUND(AB1410-(AB1410*0.015+0.2)-V1410,2),"")</x:f>
        <x:v>8.24</x:v>
      </x:c>
      <x:c r="AD1410" s="36" t="n">
        <x:f>IF(ISNUMBER(Y1410),ROUND(Y1410*0.8,2),"")</x:f>
        <x:v>33.6</x:v>
      </x:c>
      <x:c r="AE1410" s="36" t="n">
        <x:f>IF(ISNUMBER(AD1410),ROUND(AD1410*0.015+0.2,2),"")</x:f>
        <x:v>0.7</x:v>
      </x:c>
      <x:c r="AF1410" s="36" t="n">
        <x:f>IF(ISNUMBER(AD1410),ROUND(AD1410-AE1410-V1410,2),"")</x:f>
        <x:v>4.11</x:v>
      </x:c>
      <x:c r="AG1410" t="str">
        <x:f>IF(NOT(ISNUMBER(T1410)),"PENDING",IF(AF1410&gt;0,"PASS","FAIL"))</x:f>
        <x:v>PASS</x:v>
      </x:c>
      <x:c r="AH1410" t="str">
        <x:f>IF(NOT(ISNUMBER(T1410)),"Needs supplier cost",IF(K1410&lt;&gt;"In stock","Supplier unavailable",IF(AG1410&lt;&gt;"PASS","BLOCK - GT loss risk","Commercially protected")))</x:f>
        <x:v>Commercially protected</x:v>
      </x:c>
      <x:c r="AI1410" t="str">
        <x:v>2026-09-10 Active Sports trade capture</x:v>
      </x:c>
      <x:c r="AJ1410" t="str">
        <x:v>Management-only economics. Stripe stress test uses 1.5% + £0.20 standard UK online-card fee; pallet/mix-and-match pricing ignored.</x:v>
      </x:c>
    </x:row>
    <x:row r="1411">
      <x:c r="A1411" t="str">
        <x:v>Active Sports Nutrition</x:v>
      </x:c>
      <x:c r="B1411" t="str">
        <x:v>Mountain Joes</x:v>
      </x:c>
      <x:c r="C1411" t="str">
        <x:v>Shake A Whey</x:v>
      </x:c>
      <x:c r="D1411" t="str">
        <x:v>Supplements</x:v>
      </x:c>
      <x:c r="E1411" t="str">
        <x:v>Whey Protein</x:v>
      </x:c>
      <x:c r="F1411" t="str">
        <x:v>Whey protein powder.</x:v>
      </x:c>
      <x:c r="G1411" t="str">
        <x:v>1.8kg</x:v>
      </x:c>
      <x:c r="H1411" t="str">
        <x:v>Vanilla Cream</x:v>
      </x:c>
      <x:c r="I1411" t="str"/>
      <x:c r="J1411" t="str">
        <x:v>Unit</x:v>
      </x:c>
      <x:c r="K1411" t="str">
        <x:v>In stock</x:v>
      </x:c>
      <x:c r="L1411" t="str">
        <x:v>2026-09-08</x:v>
      </x:c>
      <x:c r="M1411" t="str"/>
      <x:c r="N1411" t="str"/>
      <x:c r="O1411" t="str">
        <x:v>https://www.activesportstrade.co.uk/Whey-Protein-Supplements-Trade/mountain-joes-trade</x:v>
      </x:c>
      <x:c r="P1411" t="str"/>
      <x:c r="Q1411" t="str"/>
      <x:c r="R1411" t="str"/>
      <x:c r="S1411" t="str">
        <x:v>Pending genuine supplier/brand image</x:v>
      </x:c>
      <x:c r="T1411" s="54" t="n">
        <x:v>23.99</x:v>
      </x:c>
      <x:c r="U1411" s="47" t="n">
        <x:v>0.2</x:v>
      </x:c>
      <x:c r="V1411" s="54" t="n">
        <x:f>IF(ISNUMBER(T1411),T1411*(1+U1411),"")</x:f>
        <x:v>28.787999999999997</x:v>
      </x:c>
      <x:c r="W1411" s="47" t="n">
        <x:v>0.3</x:v>
      </x:c>
      <x:c r="X1411" s="54" t="n">
        <x:f>IF(ISNUMBER(V1411),V1411/(1-W1411),"")</x:f>
        <x:v>41.12571428571428</x:v>
      </x:c>
      <x:c r="Y1411" s="55" t="n">
        <x:f>IF(ISNUMBER(X1411),ROUNDUP(X1411,0),"")</x:f>
        <x:v>42</x:v>
      </x:c>
      <x:c r="Z1411" t="str">
        <x:v>Source match pending</x:v>
      </x:c>
      <x:c r="AA1411" t="str">
        <x:v>screencapture-www-activesportstrade-co-uk-mountain-joes-trade-2026-09-09-18_39_49.png / page-002</x:v>
      </x:c>
      <x:c r="AB1411" s="36" t="n">
        <x:f>IF(ISNUMBER(Y1411),ROUND(Y1411*0.9,2),"")</x:f>
        <x:v>37.8</x:v>
      </x:c>
      <x:c r="AC1411" s="36" t="n">
        <x:f>IF(ISNUMBER(AB1411),ROUND(AB1411-(AB1411*0.015+0.2)-V1411,2),"")</x:f>
        <x:v>8.24</x:v>
      </x:c>
      <x:c r="AD1411" s="36" t="n">
        <x:f>IF(ISNUMBER(Y1411),ROUND(Y1411*0.8,2),"")</x:f>
        <x:v>33.6</x:v>
      </x:c>
      <x:c r="AE1411" s="36" t="n">
        <x:f>IF(ISNUMBER(AD1411),ROUND(AD1411*0.015+0.2,2),"")</x:f>
        <x:v>0.7</x:v>
      </x:c>
      <x:c r="AF1411" s="36" t="n">
        <x:f>IF(ISNUMBER(AD1411),ROUND(AD1411-AE1411-V1411,2),"")</x:f>
        <x:v>4.11</x:v>
      </x:c>
      <x:c r="AG1411" t="str">
        <x:f>IF(NOT(ISNUMBER(T1411)),"PENDING",IF(AF1411&gt;0,"PASS","FAIL"))</x:f>
        <x:v>PASS</x:v>
      </x:c>
      <x:c r="AH1411" t="str">
        <x:f>IF(NOT(ISNUMBER(T1411)),"Needs supplier cost",IF(K1411&lt;&gt;"In stock","Supplier unavailable",IF(AG1411&lt;&gt;"PASS","BLOCK - GT loss risk","Commercially protected")))</x:f>
        <x:v>Commercially protected</x:v>
      </x:c>
      <x:c r="AI1411" t="str">
        <x:v>2026-09-10 Active Sports trade capture</x:v>
      </x:c>
      <x:c r="AJ1411" t="str">
        <x:v>Management-only economics. Stripe stress test uses 1.5% + £0.20 standard UK online-card fee; pallet/mix-and-match pricing ignored.</x:v>
      </x:c>
    </x:row>
    <x:row r="1412">
      <x:c r="A1412" t="str">
        <x:v>Active Sports Nutrition</x:v>
      </x:c>
      <x:c r="B1412" t="str">
        <x:v>Muscle Moose</x:v>
      </x:c>
      <x:c r="C1412" t="str">
        <x:v>Big Protein Flapjack</x:v>
      </x:c>
      <x:c r="D1412" t="str">
        <x:v>Drinks and Bars</x:v>
      </x:c>
      <x:c r="E1412" t="str">
        <x:v>Bars and Snacks</x:v>
      </x:c>
      <x:c r="F1412" t="str">
        <x:v>Protein flapjack.</x:v>
      </x:c>
      <x:c r="G1412" t="str">
        <x:v>12 x 100g bars</x:v>
      </x:c>
      <x:c r="H1412" t="str">
        <x:v>Berry</x:v>
      </x:c>
      <x:c r="I1412" t="str">
        <x:v>12</x:v>
      </x:c>
      <x:c r="J1412" t="str">
        <x:v>Case</x:v>
      </x:c>
      <x:c r="K1412" t="str">
        <x:v>In stock</x:v>
      </x:c>
      <x:c r="L1412" t="str">
        <x:v>2026-09-08</x:v>
      </x:c>
      <x:c r="M1412" t="str"/>
      <x:c r="N1412" t="str"/>
      <x:c r="O1412" t="str">
        <x:v>https://www.activesportstrade.co.uk/muscle-moose-trade</x:v>
      </x:c>
      <x:c r="P1412" t="str">
        <x:v>Fresh brand page used; older supplements page had several flavours out of stock. Case-only member order.</x:v>
      </x:c>
      <x:c r="Q1412" t="str"/>
      <x:c r="R1412" t="str"/>
      <x:c r="S1412" t="str">
        <x:v>Pending genuine supplier/brand image</x:v>
      </x:c>
      <x:c r="T1412" s="54" t="n">
        <x:v>9.99</x:v>
      </x:c>
      <x:c r="U1412" s="47" t="n">
        <x:v>0.2</x:v>
      </x:c>
      <x:c r="V1412" s="54" t="n">
        <x:f>IF(ISNUMBER(T1412),T1412*(1+U1412),"")</x:f>
        <x:v>11.988</x:v>
      </x:c>
      <x:c r="W1412" s="47" t="n">
        <x:v>0.3</x:v>
      </x:c>
      <x:c r="X1412" s="54" t="n">
        <x:f>IF(ISNUMBER(V1412),V1412/(1-W1412),"")</x:f>
        <x:v>17.125714285714285</x:v>
      </x:c>
      <x:c r="Y1412" s="55" t="n">
        <x:f>IF(ISNUMBER(X1412),ROUNDUP(X1412,0),"")</x:f>
        <x:v>18</x:v>
      </x:c>
      <x:c r="Z1412" t="str">
        <x:v>Source match pending</x:v>
      </x:c>
      <x:c r="AA1412" t="str">
        <x:v>screencapture-www-activesportstrade-co-uk-muscle-moose-trade-2026-09-09-18_40_47.png / page-001</x:v>
      </x:c>
      <x:c r="AB1412" s="36" t="n">
        <x:f>IF(ISNUMBER(Y1412),ROUND(Y1412*0.9,2),"")</x:f>
        <x:v>16.2</x:v>
      </x:c>
      <x:c r="AC1412" s="36" t="n">
        <x:f>IF(ISNUMBER(AB1412),ROUND(AB1412-(AB1412*0.015+0.2)-V1412,2),"")</x:f>
        <x:v>3.77</x:v>
      </x:c>
      <x:c r="AD1412" s="36" t="n">
        <x:f>IF(ISNUMBER(Y1412),ROUND(Y1412*0.8,2),"")</x:f>
        <x:v>14.4</x:v>
      </x:c>
      <x:c r="AE1412" s="36" t="n">
        <x:f>IF(ISNUMBER(AD1412),ROUND(AD1412*0.015+0.2,2),"")</x:f>
        <x:v>0.42</x:v>
      </x:c>
      <x:c r="AF1412" s="36" t="n">
        <x:f>IF(ISNUMBER(AD1412),ROUND(AD1412-AE1412-V1412,2),"")</x:f>
        <x:v>1.99</x:v>
      </x:c>
      <x:c r="AG1412" t="str">
        <x:f>IF(NOT(ISNUMBER(T1412)),"PENDING",IF(AF1412&gt;0,"PASS","FAIL"))</x:f>
        <x:v>PASS</x:v>
      </x:c>
      <x:c r="AH1412" t="str">
        <x:f>IF(NOT(ISNUMBER(T1412)),"Needs supplier cost",IF(K1412&lt;&gt;"In stock","Supplier unavailable",IF(AG1412&lt;&gt;"PASS","BLOCK - GT loss risk","Commercially protected")))</x:f>
        <x:v>Commercially protected</x:v>
      </x:c>
      <x:c r="AI1412" t="str">
        <x:v>2026-09-10 Active Sports trade capture</x:v>
      </x:c>
      <x:c r="AJ1412" t="str">
        <x:v>Management-only economics. Stripe stress test uses 1.5% + £0.20 standard UK online-card fee; pallet/mix-and-match pricing ignored.</x:v>
      </x:c>
    </x:row>
    <x:row r="1413">
      <x:c r="A1413" t="str">
        <x:v>Active Sports Nutrition</x:v>
      </x:c>
      <x:c r="B1413" t="str">
        <x:v>Muscle Moose</x:v>
      </x:c>
      <x:c r="C1413" t="str">
        <x:v>Big Protein Flapjack</x:v>
      </x:c>
      <x:c r="D1413" t="str">
        <x:v>Drinks and Bars</x:v>
      </x:c>
      <x:c r="E1413" t="str">
        <x:v>Bars and Snacks</x:v>
      </x:c>
      <x:c r="F1413" t="str">
        <x:v>Protein flapjack.</x:v>
      </x:c>
      <x:c r="G1413" t="str">
        <x:v>12 x 100g bars</x:v>
      </x:c>
      <x:c r="H1413" t="str">
        <x:v>Cherry Bakewell</x:v>
      </x:c>
      <x:c r="I1413" t="str">
        <x:v>12</x:v>
      </x:c>
      <x:c r="J1413" t="str">
        <x:v>Case</x:v>
      </x:c>
      <x:c r="K1413" t="str">
        <x:v>In stock</x:v>
      </x:c>
      <x:c r="L1413" t="str">
        <x:v>2026-09-08</x:v>
      </x:c>
      <x:c r="M1413" t="str"/>
      <x:c r="N1413" t="str"/>
      <x:c r="O1413" t="str">
        <x:v>https://www.activesportstrade.co.uk/muscle-moose-trade</x:v>
      </x:c>
      <x:c r="P1413" t="str">
        <x:v>Fresh brand page used; older supplements page had several flavours out of stock. Case-only member order.</x:v>
      </x:c>
      <x:c r="Q1413" t="str"/>
      <x:c r="R1413" t="str"/>
      <x:c r="S1413" t="str">
        <x:v>Pending genuine supplier/brand image</x:v>
      </x:c>
      <x:c r="T1413" s="54" t="n">
        <x:v>9.99</x:v>
      </x:c>
      <x:c r="U1413" s="47" t="n">
        <x:v>0.2</x:v>
      </x:c>
      <x:c r="V1413" s="54" t="n">
        <x:f>IF(ISNUMBER(T1413),T1413*(1+U1413),"")</x:f>
        <x:v>11.988</x:v>
      </x:c>
      <x:c r="W1413" s="47" t="n">
        <x:v>0.3</x:v>
      </x:c>
      <x:c r="X1413" s="54" t="n">
        <x:f>IF(ISNUMBER(V1413),V1413/(1-W1413),"")</x:f>
        <x:v>17.125714285714285</x:v>
      </x:c>
      <x:c r="Y1413" s="55" t="n">
        <x:f>IF(ISNUMBER(X1413),ROUNDUP(X1413,0),"")</x:f>
        <x:v>18</x:v>
      </x:c>
      <x:c r="Z1413" t="str">
        <x:v>Source match pending</x:v>
      </x:c>
      <x:c r="AA1413" t="str">
        <x:v>screencapture-www-activesportstrade-co-uk-muscle-moose-trade-2026-09-09-18_40_47.png / page-001</x:v>
      </x:c>
      <x:c r="AB1413" s="36" t="n">
        <x:f>IF(ISNUMBER(Y1413),ROUND(Y1413*0.9,2),"")</x:f>
        <x:v>16.2</x:v>
      </x:c>
      <x:c r="AC1413" s="36" t="n">
        <x:f>IF(ISNUMBER(AB1413),ROUND(AB1413-(AB1413*0.015+0.2)-V1413,2),"")</x:f>
        <x:v>3.77</x:v>
      </x:c>
      <x:c r="AD1413" s="36" t="n">
        <x:f>IF(ISNUMBER(Y1413),ROUND(Y1413*0.8,2),"")</x:f>
        <x:v>14.4</x:v>
      </x:c>
      <x:c r="AE1413" s="36" t="n">
        <x:f>IF(ISNUMBER(AD1413),ROUND(AD1413*0.015+0.2,2),"")</x:f>
        <x:v>0.42</x:v>
      </x:c>
      <x:c r="AF1413" s="36" t="n">
        <x:f>IF(ISNUMBER(AD1413),ROUND(AD1413-AE1413-V1413,2),"")</x:f>
        <x:v>1.99</x:v>
      </x:c>
      <x:c r="AG1413" t="str">
        <x:f>IF(NOT(ISNUMBER(T1413)),"PENDING",IF(AF1413&gt;0,"PASS","FAIL"))</x:f>
        <x:v>PASS</x:v>
      </x:c>
      <x:c r="AH1413" t="str">
        <x:f>IF(NOT(ISNUMBER(T1413)),"Needs supplier cost",IF(K1413&lt;&gt;"In stock","Supplier unavailable",IF(AG1413&lt;&gt;"PASS","BLOCK - GT loss risk","Commercially protected")))</x:f>
        <x:v>Commercially protected</x:v>
      </x:c>
      <x:c r="AI1413" t="str">
        <x:v>2026-09-10 Active Sports trade capture</x:v>
      </x:c>
      <x:c r="AJ1413" t="str">
        <x:v>Management-only economics. Stripe stress test uses 1.5% + £0.20 standard UK online-card fee; pallet/mix-and-match pricing ignored.</x:v>
      </x:c>
    </x:row>
    <x:row r="1414">
      <x:c r="A1414" t="str">
        <x:v>Active Sports Nutrition</x:v>
      </x:c>
      <x:c r="B1414" t="str">
        <x:v>Muscle Moose</x:v>
      </x:c>
      <x:c r="C1414" t="str">
        <x:v>Big Protein Flapjack</x:v>
      </x:c>
      <x:c r="D1414" t="str">
        <x:v>Drinks and Bars</x:v>
      </x:c>
      <x:c r="E1414" t="str">
        <x:v>Bars and Snacks</x:v>
      </x:c>
      <x:c r="F1414" t="str">
        <x:v>Protein flapjack.</x:v>
      </x:c>
      <x:c r="G1414" t="str">
        <x:v>12 x 100g bars</x:v>
      </x:c>
      <x:c r="H1414" t="str">
        <x:v>Chocolate</x:v>
      </x:c>
      <x:c r="I1414" t="str">
        <x:v>12</x:v>
      </x:c>
      <x:c r="J1414" t="str">
        <x:v>Case</x:v>
      </x:c>
      <x:c r="K1414" t="str">
        <x:v>In stock</x:v>
      </x:c>
      <x:c r="L1414" t="str">
        <x:v>2026-09-08</x:v>
      </x:c>
      <x:c r="M1414" t="str"/>
      <x:c r="N1414" t="str"/>
      <x:c r="O1414" t="str">
        <x:v>https://www.activesportstrade.co.uk/muscle-moose-trade</x:v>
      </x:c>
      <x:c r="P1414" t="str">
        <x:v>Fresh brand page used; older supplements page had several flavours out of stock. Case-only member order.</x:v>
      </x:c>
      <x:c r="Q1414" t="str"/>
      <x:c r="R1414" t="str"/>
      <x:c r="S1414" t="str">
        <x:v>Pending genuine supplier/brand image</x:v>
      </x:c>
      <x:c r="T1414" s="54" t="n">
        <x:v>9.99</x:v>
      </x:c>
      <x:c r="U1414" s="47" t="n">
        <x:v>0.2</x:v>
      </x:c>
      <x:c r="V1414" s="54" t="n">
        <x:f>IF(ISNUMBER(T1414),T1414*(1+U1414),"")</x:f>
        <x:v>11.988</x:v>
      </x:c>
      <x:c r="W1414" s="47" t="n">
        <x:v>0.3</x:v>
      </x:c>
      <x:c r="X1414" s="54" t="n">
        <x:f>IF(ISNUMBER(V1414),V1414/(1-W1414),"")</x:f>
        <x:v>17.125714285714285</x:v>
      </x:c>
      <x:c r="Y1414" s="55" t="n">
        <x:f>IF(ISNUMBER(X1414),ROUNDUP(X1414,0),"")</x:f>
        <x:v>18</x:v>
      </x:c>
      <x:c r="Z1414" t="str">
        <x:v>Source match pending</x:v>
      </x:c>
      <x:c r="AA1414" t="str">
        <x:v>screencapture-www-activesportstrade-co-uk-muscle-moose-trade-2026-09-09-18_40_47.png / page-001</x:v>
      </x:c>
      <x:c r="AB1414" s="36" t="n">
        <x:f>IF(ISNUMBER(Y1414),ROUND(Y1414*0.9,2),"")</x:f>
        <x:v>16.2</x:v>
      </x:c>
      <x:c r="AC1414" s="36" t="n">
        <x:f>IF(ISNUMBER(AB1414),ROUND(AB1414-(AB1414*0.015+0.2)-V1414,2),"")</x:f>
        <x:v>3.77</x:v>
      </x:c>
      <x:c r="AD1414" s="36" t="n">
        <x:f>IF(ISNUMBER(Y1414),ROUND(Y1414*0.8,2),"")</x:f>
        <x:v>14.4</x:v>
      </x:c>
      <x:c r="AE1414" s="36" t="n">
        <x:f>IF(ISNUMBER(AD1414),ROUND(AD1414*0.015+0.2,2),"")</x:f>
        <x:v>0.42</x:v>
      </x:c>
      <x:c r="AF1414" s="36" t="n">
        <x:f>IF(ISNUMBER(AD1414),ROUND(AD1414-AE1414-V1414,2),"")</x:f>
        <x:v>1.99</x:v>
      </x:c>
      <x:c r="AG1414" t="str">
        <x:f>IF(NOT(ISNUMBER(T1414)),"PENDING",IF(AF1414&gt;0,"PASS","FAIL"))</x:f>
        <x:v>PASS</x:v>
      </x:c>
      <x:c r="AH1414" t="str">
        <x:f>IF(NOT(ISNUMBER(T1414)),"Needs supplier cost",IF(K1414&lt;&gt;"In stock","Supplier unavailable",IF(AG1414&lt;&gt;"PASS","BLOCK - GT loss risk","Commercially protected")))</x:f>
        <x:v>Commercially protected</x:v>
      </x:c>
      <x:c r="AI1414" t="str">
        <x:v>2026-09-10 Active Sports trade capture</x:v>
      </x:c>
      <x:c r="AJ1414" t="str">
        <x:v>Management-only economics. Stripe stress test uses 1.5% + £0.20 standard UK online-card fee; pallet/mix-and-match pricing ignored.</x:v>
      </x:c>
    </x:row>
    <x:row r="1415">
      <x:c r="A1415" t="str">
        <x:v>Active Sports Nutrition</x:v>
      </x:c>
      <x:c r="B1415" t="str">
        <x:v>Muscle Moose</x:v>
      </x:c>
      <x:c r="C1415" t="str">
        <x:v>Big Protein Flapjack</x:v>
      </x:c>
      <x:c r="D1415" t="str">
        <x:v>Drinks and Bars</x:v>
      </x:c>
      <x:c r="E1415" t="str">
        <x:v>Bars and Snacks</x:v>
      </x:c>
      <x:c r="F1415" t="str">
        <x:v>Protein flapjack.</x:v>
      </x:c>
      <x:c r="G1415" t="str">
        <x:v>12 x 100g bars</x:v>
      </x:c>
      <x:c r="H1415" t="str">
        <x:v>Cookies &amp; Cream</x:v>
      </x:c>
      <x:c r="I1415" t="str">
        <x:v>12</x:v>
      </x:c>
      <x:c r="J1415" t="str">
        <x:v>Case</x:v>
      </x:c>
      <x:c r="K1415" t="str">
        <x:v>In stock</x:v>
      </x:c>
      <x:c r="L1415" t="str">
        <x:v>2026-09-08</x:v>
      </x:c>
      <x:c r="M1415" t="str"/>
      <x:c r="N1415" t="str"/>
      <x:c r="O1415" t="str">
        <x:v>https://www.activesportstrade.co.uk/muscle-moose-trade</x:v>
      </x:c>
      <x:c r="P1415" t="str">
        <x:v>Fresh brand page used; older supplements page had several flavours out of stock. Case-only member order.</x:v>
      </x:c>
      <x:c r="Q1415" t="str"/>
      <x:c r="R1415" t="str"/>
      <x:c r="S1415" t="str">
        <x:v>Pending genuine supplier/brand image</x:v>
      </x:c>
      <x:c r="T1415" s="54" t="n">
        <x:v>9.99</x:v>
      </x:c>
      <x:c r="U1415" s="47" t="n">
        <x:v>0.2</x:v>
      </x:c>
      <x:c r="V1415" s="54" t="n">
        <x:f>IF(ISNUMBER(T1415),T1415*(1+U1415),"")</x:f>
        <x:v>11.988</x:v>
      </x:c>
      <x:c r="W1415" s="47" t="n">
        <x:v>0.3</x:v>
      </x:c>
      <x:c r="X1415" s="54" t="n">
        <x:f>IF(ISNUMBER(V1415),V1415/(1-W1415),"")</x:f>
        <x:v>17.125714285714285</x:v>
      </x:c>
      <x:c r="Y1415" s="55" t="n">
        <x:f>IF(ISNUMBER(X1415),ROUNDUP(X1415,0),"")</x:f>
        <x:v>18</x:v>
      </x:c>
      <x:c r="Z1415" t="str">
        <x:v>Source match pending</x:v>
      </x:c>
      <x:c r="AA1415" t="str">
        <x:v>screencapture-www-activesportstrade-co-uk-muscle-moose-trade-2026-09-09-18_40_47.png / page-001</x:v>
      </x:c>
      <x:c r="AB1415" s="36" t="n">
        <x:f>IF(ISNUMBER(Y1415),ROUND(Y1415*0.9,2),"")</x:f>
        <x:v>16.2</x:v>
      </x:c>
      <x:c r="AC1415" s="36" t="n">
        <x:f>IF(ISNUMBER(AB1415),ROUND(AB1415-(AB1415*0.015+0.2)-V1415,2),"")</x:f>
        <x:v>3.77</x:v>
      </x:c>
      <x:c r="AD1415" s="36" t="n">
        <x:f>IF(ISNUMBER(Y1415),ROUND(Y1415*0.8,2),"")</x:f>
        <x:v>14.4</x:v>
      </x:c>
      <x:c r="AE1415" s="36" t="n">
        <x:f>IF(ISNUMBER(AD1415),ROUND(AD1415*0.015+0.2,2),"")</x:f>
        <x:v>0.42</x:v>
      </x:c>
      <x:c r="AF1415" s="36" t="n">
        <x:f>IF(ISNUMBER(AD1415),ROUND(AD1415-AE1415-V1415,2),"")</x:f>
        <x:v>1.99</x:v>
      </x:c>
      <x:c r="AG1415" t="str">
        <x:f>IF(NOT(ISNUMBER(T1415)),"PENDING",IF(AF1415&gt;0,"PASS","FAIL"))</x:f>
        <x:v>PASS</x:v>
      </x:c>
      <x:c r="AH1415" t="str">
        <x:f>IF(NOT(ISNUMBER(T1415)),"Needs supplier cost",IF(K1415&lt;&gt;"In stock","Supplier unavailable",IF(AG1415&lt;&gt;"PASS","BLOCK - GT loss risk","Commercially protected")))</x:f>
        <x:v>Commercially protected</x:v>
      </x:c>
      <x:c r="AI1415" t="str">
        <x:v>2026-09-10 Active Sports trade capture</x:v>
      </x:c>
      <x:c r="AJ1415" t="str">
        <x:v>Management-only economics. Stripe stress test uses 1.5% + £0.20 standard UK online-card fee; pallet/mix-and-match pricing ignored.</x:v>
      </x:c>
    </x:row>
    <x:row r="1416">
      <x:c r="A1416" t="str">
        <x:v>Active Sports Nutrition</x:v>
      </x:c>
      <x:c r="B1416" t="str">
        <x:v>Muscle Moose</x:v>
      </x:c>
      <x:c r="C1416" t="str">
        <x:v>Big Protein Flapjack</x:v>
      </x:c>
      <x:c r="D1416" t="str">
        <x:v>Drinks and Bars</x:v>
      </x:c>
      <x:c r="E1416" t="str">
        <x:v>Bars and Snacks</x:v>
      </x:c>
      <x:c r="F1416" t="str">
        <x:v>Protein flapjack.</x:v>
      </x:c>
      <x:c r="G1416" t="str">
        <x:v>12 x 100g bars</x:v>
      </x:c>
      <x:c r="H1416" t="str">
        <x:v>Golden Syrup</x:v>
      </x:c>
      <x:c r="I1416" t="str">
        <x:v>12</x:v>
      </x:c>
      <x:c r="J1416" t="str">
        <x:v>Case</x:v>
      </x:c>
      <x:c r="K1416" t="str">
        <x:v>In stock</x:v>
      </x:c>
      <x:c r="L1416" t="str">
        <x:v>2026-09-08</x:v>
      </x:c>
      <x:c r="M1416" t="str"/>
      <x:c r="N1416" t="str"/>
      <x:c r="O1416" t="str">
        <x:v>https://www.activesportstrade.co.uk/muscle-moose-trade</x:v>
      </x:c>
      <x:c r="P1416" t="str">
        <x:v>Fresh brand page used; older supplements page had several flavours out of stock. Case-only member order.</x:v>
      </x:c>
      <x:c r="Q1416" t="str"/>
      <x:c r="R1416" t="str"/>
      <x:c r="S1416" t="str">
        <x:v>Pending genuine supplier/brand image</x:v>
      </x:c>
      <x:c r="T1416" s="54" t="n">
        <x:v>9.99</x:v>
      </x:c>
      <x:c r="U1416" s="47" t="n">
        <x:v>0.2</x:v>
      </x:c>
      <x:c r="V1416" s="54" t="n">
        <x:f>IF(ISNUMBER(T1416),T1416*(1+U1416),"")</x:f>
        <x:v>11.988</x:v>
      </x:c>
      <x:c r="W1416" s="47" t="n">
        <x:v>0.3</x:v>
      </x:c>
      <x:c r="X1416" s="54" t="n">
        <x:f>IF(ISNUMBER(V1416),V1416/(1-W1416),"")</x:f>
        <x:v>17.125714285714285</x:v>
      </x:c>
      <x:c r="Y1416" s="55" t="n">
        <x:f>IF(ISNUMBER(X1416),ROUNDUP(X1416,0),"")</x:f>
        <x:v>18</x:v>
      </x:c>
      <x:c r="Z1416" t="str">
        <x:v>Source match pending</x:v>
      </x:c>
      <x:c r="AA1416" t="str">
        <x:v>screencapture-www-activesportstrade-co-uk-muscle-moose-trade-2026-09-09-18_40_47.png / page-001</x:v>
      </x:c>
      <x:c r="AB1416" s="36" t="n">
        <x:f>IF(ISNUMBER(Y1416),ROUND(Y1416*0.9,2),"")</x:f>
        <x:v>16.2</x:v>
      </x:c>
      <x:c r="AC1416" s="36" t="n">
        <x:f>IF(ISNUMBER(AB1416),ROUND(AB1416-(AB1416*0.015+0.2)-V1416,2),"")</x:f>
        <x:v>3.77</x:v>
      </x:c>
      <x:c r="AD1416" s="36" t="n">
        <x:f>IF(ISNUMBER(Y1416),ROUND(Y1416*0.8,2),"")</x:f>
        <x:v>14.4</x:v>
      </x:c>
      <x:c r="AE1416" s="36" t="n">
        <x:f>IF(ISNUMBER(AD1416),ROUND(AD1416*0.015+0.2,2),"")</x:f>
        <x:v>0.42</x:v>
      </x:c>
      <x:c r="AF1416" s="36" t="n">
        <x:f>IF(ISNUMBER(AD1416),ROUND(AD1416-AE1416-V1416,2),"")</x:f>
        <x:v>1.99</x:v>
      </x:c>
      <x:c r="AG1416" t="str">
        <x:f>IF(NOT(ISNUMBER(T1416)),"PENDING",IF(AF1416&gt;0,"PASS","FAIL"))</x:f>
        <x:v>PASS</x:v>
      </x:c>
      <x:c r="AH1416" t="str">
        <x:f>IF(NOT(ISNUMBER(T1416)),"Needs supplier cost",IF(K1416&lt;&gt;"In stock","Supplier unavailable",IF(AG1416&lt;&gt;"PASS","BLOCK - GT loss risk","Commercially protected")))</x:f>
        <x:v>Commercially protected</x:v>
      </x:c>
      <x:c r="AI1416" t="str">
        <x:v>2026-09-10 Active Sports trade capture</x:v>
      </x:c>
      <x:c r="AJ1416" t="str">
        <x:v>Management-only economics. Stripe stress test uses 1.5% + £0.20 standard UK online-card fee; pallet/mix-and-match pricing ignored.</x:v>
      </x:c>
    </x:row>
    <x:row r="1417">
      <x:c r="A1417" t="str">
        <x:v>Active Sports Nutrition</x:v>
      </x:c>
      <x:c r="B1417" t="str">
        <x:v>Muscle Moose</x:v>
      </x:c>
      <x:c r="C1417" t="str">
        <x:v>Big Protein Flapjack</x:v>
      </x:c>
      <x:c r="D1417" t="str">
        <x:v>Drinks and Bars</x:v>
      </x:c>
      <x:c r="E1417" t="str">
        <x:v>Bars and Snacks</x:v>
      </x:c>
      <x:c r="F1417" t="str">
        <x:v>Protein flapjack.</x:v>
      </x:c>
      <x:c r="G1417" t="str">
        <x:v>12 x 100g bars</x:v>
      </x:c>
      <x:c r="H1417" t="str">
        <x:v>Peanut Butter</x:v>
      </x:c>
      <x:c r="I1417" t="str">
        <x:v>12</x:v>
      </x:c>
      <x:c r="J1417" t="str">
        <x:v>Case</x:v>
      </x:c>
      <x:c r="K1417" t="str">
        <x:v>In stock</x:v>
      </x:c>
      <x:c r="L1417" t="str">
        <x:v>2026-09-08</x:v>
      </x:c>
      <x:c r="M1417" t="str"/>
      <x:c r="N1417" t="str"/>
      <x:c r="O1417" t="str">
        <x:v>https://www.activesportstrade.co.uk/muscle-moose-trade</x:v>
      </x:c>
      <x:c r="P1417" t="str">
        <x:v>Fresh brand page used; older supplements page had several flavours out of stock. Case-only member order.</x:v>
      </x:c>
      <x:c r="Q1417" t="str"/>
      <x:c r="R1417" t="str"/>
      <x:c r="S1417" t="str">
        <x:v>Pending genuine supplier/brand image</x:v>
      </x:c>
      <x:c r="T1417" s="54" t="n">
        <x:v>9.99</x:v>
      </x:c>
      <x:c r="U1417" s="47" t="n">
        <x:v>0.2</x:v>
      </x:c>
      <x:c r="V1417" s="54" t="n">
        <x:f>IF(ISNUMBER(T1417),T1417*(1+U1417),"")</x:f>
        <x:v>11.988</x:v>
      </x:c>
      <x:c r="W1417" s="47" t="n">
        <x:v>0.3</x:v>
      </x:c>
      <x:c r="X1417" s="54" t="n">
        <x:f>IF(ISNUMBER(V1417),V1417/(1-W1417),"")</x:f>
        <x:v>17.125714285714285</x:v>
      </x:c>
      <x:c r="Y1417" s="55" t="n">
        <x:f>IF(ISNUMBER(X1417),ROUNDUP(X1417,0),"")</x:f>
        <x:v>18</x:v>
      </x:c>
      <x:c r="Z1417" t="str">
        <x:v>Source match pending</x:v>
      </x:c>
      <x:c r="AA1417" t="str">
        <x:v>screencapture-www-activesportstrade-co-uk-muscle-moose-trade-2026-09-09-18_40_47.png / page-001</x:v>
      </x:c>
      <x:c r="AB1417" s="36" t="n">
        <x:f>IF(ISNUMBER(Y1417),ROUND(Y1417*0.9,2),"")</x:f>
        <x:v>16.2</x:v>
      </x:c>
      <x:c r="AC1417" s="36" t="n">
        <x:f>IF(ISNUMBER(AB1417),ROUND(AB1417-(AB1417*0.015+0.2)-V1417,2),"")</x:f>
        <x:v>3.77</x:v>
      </x:c>
      <x:c r="AD1417" s="36" t="n">
        <x:f>IF(ISNUMBER(Y1417),ROUND(Y1417*0.8,2),"")</x:f>
        <x:v>14.4</x:v>
      </x:c>
      <x:c r="AE1417" s="36" t="n">
        <x:f>IF(ISNUMBER(AD1417),ROUND(AD1417*0.015+0.2,2),"")</x:f>
        <x:v>0.42</x:v>
      </x:c>
      <x:c r="AF1417" s="36" t="n">
        <x:f>IF(ISNUMBER(AD1417),ROUND(AD1417-AE1417-V1417,2),"")</x:f>
        <x:v>1.99</x:v>
      </x:c>
      <x:c r="AG1417" t="str">
        <x:f>IF(NOT(ISNUMBER(T1417)),"PENDING",IF(AF1417&gt;0,"PASS","FAIL"))</x:f>
        <x:v>PASS</x:v>
      </x:c>
      <x:c r="AH1417" t="str">
        <x:f>IF(NOT(ISNUMBER(T1417)),"Needs supplier cost",IF(K1417&lt;&gt;"In stock","Supplier unavailable",IF(AG1417&lt;&gt;"PASS","BLOCK - GT loss risk","Commercially protected")))</x:f>
        <x:v>Commercially protected</x:v>
      </x:c>
      <x:c r="AI1417" t="str">
        <x:v>2026-09-10 Active Sports trade capture</x:v>
      </x:c>
      <x:c r="AJ1417" t="str">
        <x:v>Management-only economics. Stripe stress test uses 1.5% + £0.20 standard UK online-card fee; pallet/mix-and-match pricing ignored.</x:v>
      </x:c>
    </x:row>
    <x:row r="1418">
      <x:c r="A1418" t="str">
        <x:v>Active Sports Nutrition</x:v>
      </x:c>
      <x:c r="B1418" t="str">
        <x:v>Muscle Moose</x:v>
      </x:c>
      <x:c r="C1418" t="str">
        <x:v>Moose Juice Energy Shot</x:v>
      </x:c>
      <x:c r="D1418" t="str">
        <x:v>Pre Workouts</x:v>
      </x:c>
      <x:c r="E1418" t="str">
        <x:v>Shots and Ready To Drink</x:v>
      </x:c>
      <x:c r="F1418" t="str">
        <x:v>Energy/pre-workout shot.</x:v>
      </x:c>
      <x:c r="G1418" t="str">
        <x:v>12 x 60ml shots</x:v>
      </x:c>
      <x:c r="H1418" t="str">
        <x:v>Grapetastic</x:v>
      </x:c>
      <x:c r="I1418" t="str">
        <x:v>12</x:v>
      </x:c>
      <x:c r="J1418" t="str">
        <x:v>Case</x:v>
      </x:c>
      <x:c r="K1418" t="str">
        <x:v>Out of stock</x:v>
      </x:c>
      <x:c r="L1418" t="str">
        <x:v>2026-09-08</x:v>
      </x:c>
      <x:c r="M1418" t="str"/>
      <x:c r="N1418" t="str"/>
      <x:c r="O1418" t="str">
        <x:v>https://www.activesportstrade.co.uk/ready-to-drink-pre-workout-trade</x:v>
      </x:c>
      <x:c r="P1418" t="str">
        <x:v>Fresh RTD/pre-workout page used; older supplements crawl showed Rainbow Candy out of stock.</x:v>
      </x:c>
      <x:c r="Q1418" t="str"/>
      <x:c r="R1418" t="str"/>
      <x:c r="S1418" t="str">
        <x:v>Pending genuine supplier/brand image</x:v>
      </x:c>
      <x:c r="T1418" s="54" t="n">
        <x:v>10.49</x:v>
      </x:c>
      <x:c r="U1418" s="47" t="n">
        <x:v>0.2</x:v>
      </x:c>
      <x:c r="V1418" s="54" t="n">
        <x:f>IF(ISNUMBER(T1418),T1418*(1+U1418),"")</x:f>
        <x:v>12.588</x:v>
      </x:c>
      <x:c r="W1418" s="47" t="n">
        <x:v>0.3</x:v>
      </x:c>
      <x:c r="X1418" s="54" t="n">
        <x:f>IF(ISNUMBER(V1418),V1418/(1-W1418),"")</x:f>
        <x:v>17.982857142857142</x:v>
      </x:c>
      <x:c r="Y1418" s="55" t="n">
        <x:f>IF(ISNUMBER(X1418),ROUNDUP(X1418,0),"")</x:f>
        <x:v>18</x:v>
      </x:c>
      <x:c r="Z1418" t="str">
        <x:v>Source match pending</x:v>
      </x:c>
      <x:c r="AA1418" t="str">
        <x:v>screencapture-www-activesportstrade-co-uk-muscle-moose-trade-2026-09-09-18_40_47.png / page-001</x:v>
      </x:c>
      <x:c r="AB1418" s="36" t="n">
        <x:f>IF(ISNUMBER(Y1418),ROUND(Y1418*0.9,2),"")</x:f>
        <x:v>16.2</x:v>
      </x:c>
      <x:c r="AC1418" s="36" t="n">
        <x:f>IF(ISNUMBER(AB1418),ROUND(AB1418-(AB1418*0.015+0.2)-V1418,2),"")</x:f>
        <x:v>3.17</x:v>
      </x:c>
      <x:c r="AD1418" s="36" t="n">
        <x:f>IF(ISNUMBER(Y1418),ROUND(Y1418*0.8,2),"")</x:f>
        <x:v>14.4</x:v>
      </x:c>
      <x:c r="AE1418" s="36" t="n">
        <x:f>IF(ISNUMBER(AD1418),ROUND(AD1418*0.015+0.2,2),"")</x:f>
        <x:v>0.42</x:v>
      </x:c>
      <x:c r="AF1418" s="36" t="n">
        <x:f>IF(ISNUMBER(AD1418),ROUND(AD1418-AE1418-V1418,2),"")</x:f>
        <x:v>1.39</x:v>
      </x:c>
      <x:c r="AG1418" t="str">
        <x:f>IF(NOT(ISNUMBER(T1418)),"PENDING",IF(AF1418&gt;0,"PASS","FAIL"))</x:f>
        <x:v>PASS</x:v>
      </x:c>
      <x:c r="AH1418" t="str">
        <x:f>IF(NOT(ISNUMBER(T1418)),"Needs supplier cost",IF(K1418&lt;&gt;"In stock","Supplier unavailable",IF(AG1418&lt;&gt;"PASS","BLOCK - GT loss risk","Commercially protected")))</x:f>
        <x:v>Supplier unavailable</x:v>
      </x:c>
      <x:c r="AI1418" t="str">
        <x:v>2026-09-10 Active Sports trade capture</x:v>
      </x:c>
      <x:c r="AJ1418" t="str">
        <x:v>Management-only economics. Stripe stress test uses 1.5% + £0.20 standard UK online-card fee; pallet/mix-and-match pricing ignored.</x:v>
      </x:c>
    </x:row>
    <x:row r="1419">
      <x:c r="A1419" t="str">
        <x:v>Active Sports Nutrition</x:v>
      </x:c>
      <x:c r="B1419" t="str">
        <x:v>Muscle Moose</x:v>
      </x:c>
      <x:c r="C1419" t="str">
        <x:v>Moose Juice Energy Shot</x:v>
      </x:c>
      <x:c r="D1419" t="str">
        <x:v>Pre Workouts</x:v>
      </x:c>
      <x:c r="E1419" t="str">
        <x:v>Shots and Ready To Drink</x:v>
      </x:c>
      <x:c r="F1419" t="str">
        <x:v>Energy/pre-workout shot.</x:v>
      </x:c>
      <x:c r="G1419" t="str">
        <x:v>12 x 60ml shots</x:v>
      </x:c>
      <x:c r="H1419" t="str">
        <x:v>Rainbow Candy</x:v>
      </x:c>
      <x:c r="I1419" t="str">
        <x:v>12</x:v>
      </x:c>
      <x:c r="J1419" t="str">
        <x:v>Case</x:v>
      </x:c>
      <x:c r="K1419" t="str">
        <x:v>In stock</x:v>
      </x:c>
      <x:c r="L1419" t="str">
        <x:v>2026-09-08</x:v>
      </x:c>
      <x:c r="M1419" t="str"/>
      <x:c r="N1419" t="str"/>
      <x:c r="O1419" t="str">
        <x:v>https://www.activesportstrade.co.uk/ready-to-drink-pre-workout-trade</x:v>
      </x:c>
      <x:c r="P1419" t="str">
        <x:v>Fresh RTD/pre-workout page used; older supplements crawl showed Rainbow Candy out of stock.</x:v>
      </x:c>
      <x:c r="Q1419" t="str"/>
      <x:c r="R1419" t="str"/>
      <x:c r="S1419" t="str">
        <x:v>Pending genuine supplier/brand image</x:v>
      </x:c>
      <x:c r="T1419" s="54" t="n">
        <x:v>10.49</x:v>
      </x:c>
      <x:c r="U1419" s="47" t="n">
        <x:v>0.2</x:v>
      </x:c>
      <x:c r="V1419" s="54" t="n">
        <x:f>IF(ISNUMBER(T1419),T1419*(1+U1419),"")</x:f>
        <x:v>12.588</x:v>
      </x:c>
      <x:c r="W1419" s="47" t="n">
        <x:v>0.3</x:v>
      </x:c>
      <x:c r="X1419" s="54" t="n">
        <x:f>IF(ISNUMBER(V1419),V1419/(1-W1419),"")</x:f>
        <x:v>17.982857142857142</x:v>
      </x:c>
      <x:c r="Y1419" s="55" t="n">
        <x:f>IF(ISNUMBER(X1419),ROUNDUP(X1419,0),"")</x:f>
        <x:v>18</x:v>
      </x:c>
      <x:c r="Z1419" t="str">
        <x:v>Source match pending</x:v>
      </x:c>
      <x:c r="AA1419" t="str">
        <x:v>screencapture-www-activesportstrade-co-uk-muscle-moose-trade-2026-09-09-18_40_47.png / page-001</x:v>
      </x:c>
      <x:c r="AB1419" s="36" t="n">
        <x:f>IF(ISNUMBER(Y1419),ROUND(Y1419*0.9,2),"")</x:f>
        <x:v>16.2</x:v>
      </x:c>
      <x:c r="AC1419" s="36" t="n">
        <x:f>IF(ISNUMBER(AB1419),ROUND(AB1419-(AB1419*0.015+0.2)-V1419,2),"")</x:f>
        <x:v>3.17</x:v>
      </x:c>
      <x:c r="AD1419" s="36" t="n">
        <x:f>IF(ISNUMBER(Y1419),ROUND(Y1419*0.8,2),"")</x:f>
        <x:v>14.4</x:v>
      </x:c>
      <x:c r="AE1419" s="36" t="n">
        <x:f>IF(ISNUMBER(AD1419),ROUND(AD1419*0.015+0.2,2),"")</x:f>
        <x:v>0.42</x:v>
      </x:c>
      <x:c r="AF1419" s="36" t="n">
        <x:f>IF(ISNUMBER(AD1419),ROUND(AD1419-AE1419-V1419,2),"")</x:f>
        <x:v>1.39</x:v>
      </x:c>
      <x:c r="AG1419" t="str">
        <x:f>IF(NOT(ISNUMBER(T1419)),"PENDING",IF(AF1419&gt;0,"PASS","FAIL"))</x:f>
        <x:v>PASS</x:v>
      </x:c>
      <x:c r="AH1419" t="str">
        <x:f>IF(NOT(ISNUMBER(T1419)),"Needs supplier cost",IF(K1419&lt;&gt;"In stock","Supplier unavailable",IF(AG1419&lt;&gt;"PASS","BLOCK - GT loss risk","Commercially protected")))</x:f>
        <x:v>Commercially protected</x:v>
      </x:c>
      <x:c r="AI1419" t="str">
        <x:v>2026-09-10 Active Sports trade capture</x:v>
      </x:c>
      <x:c r="AJ1419" t="str">
        <x:v>Management-only economics. Stripe stress test uses 1.5% + £0.20 standard UK online-card fee; pallet/mix-and-match pricing ignored.</x:v>
      </x:c>
    </x:row>
    <x:row r="1420">
      <x:c r="A1420" t="str">
        <x:v>Active Sports Nutrition</x:v>
      </x:c>
      <x:c r="B1420" t="str">
        <x:v>Muscle Moose</x:v>
      </x:c>
      <x:c r="C1420" t="str">
        <x:v>Protein Shake</x:v>
      </x:c>
      <x:c r="D1420" t="str">
        <x:v>Supplements</x:v>
      </x:c>
      <x:c r="E1420" t="str">
        <x:v>Whey Protein</x:v>
      </x:c>
      <x:c r="F1420" t="str"/>
      <x:c r="G1420" t="str">
        <x:v>400g</x:v>
      </x:c>
      <x:c r="H1420" t="str">
        <x:v>Chocolate Muffin</x:v>
      </x:c>
      <x:c r="I1420" t="str"/>
      <x:c r="J1420" t="str">
        <x:v>Unit</x:v>
      </x:c>
      <x:c r="K1420" t="str">
        <x:v>In stock</x:v>
      </x:c>
      <x:c r="L1420" t="str">
        <x:v>2026-09-08</x:v>
      </x:c>
      <x:c r="M1420" t="str"/>
      <x:c r="N1420" t="str"/>
      <x:c r="O1420" t="str">
        <x:v>https://www.activesportstrade.co.uk/Whey-Protein-Supplements-Trade/muscle-moose-trade</x:v>
      </x:c>
      <x:c r="P1420" t="str"/>
      <x:c r="Q1420" t="str"/>
      <x:c r="R1420" t="str"/>
      <x:c r="S1420" t="str">
        <x:v>Pending genuine supplier/brand image</x:v>
      </x:c>
      <x:c r="T1420" s="54"/>
      <x:c r="U1420" s="47" t="n">
        <x:v>0.2</x:v>
      </x:c>
      <x:c r="V1420" s="54" t="str">
        <x:f>IF(ISNUMBER(T1420),T1420*(1+U1420),"")</x:f>
      </x:c>
      <x:c r="W1420" s="47" t="n">
        <x:v>0.3</x:v>
      </x:c>
      <x:c r="X1420" s="54" t="str">
        <x:f>IF(ISNUMBER(V1420),V1420/(1-W1420),"")</x:f>
      </x:c>
      <x:c r="Y1420" s="55" t="str">
        <x:f>IF(ISNUMBER(X1420),ROUNDUP(X1420,0),"")</x:f>
      </x:c>
      <x:c r="Z1420" t="str">
        <x:f>IF(ISNUMBER(T1420),"Cost captured","Awaiting trade cost")</x:f>
        <x:v>Awaiting trade cost</x:v>
      </x:c>
      <x:c r="AB1420" s="36" t="str">
        <x:f>IF(ISNUMBER(Y1420),ROUND(Y1420*0.9,2),"")</x:f>
      </x:c>
      <x:c r="AC1420" s="36" t="str">
        <x:f>IF(ISNUMBER(AB1420),ROUND(AB1420-(AB1420*0.015+0.2)-V1420,2),"")</x:f>
      </x:c>
      <x:c r="AD1420" s="36" t="str">
        <x:f>IF(ISNUMBER(Y1420),ROUND(Y1420*0.8,2),"")</x:f>
      </x:c>
      <x:c r="AE1420" s="36" t="str">
        <x:f>IF(ISNUMBER(AD1420),ROUND(AD1420*0.015+0.2,2),"")</x:f>
      </x:c>
      <x:c r="AF1420" s="36" t="str">
        <x:f>IF(ISNUMBER(AD1420),ROUND(AD1420-AE1420-V1420,2),"")</x:f>
      </x:c>
      <x:c r="AG1420" t="str">
        <x:f>IF(NOT(ISNUMBER(T1420)),"PENDING",IF(AF1420&gt;0,"PASS","FAIL"))</x:f>
        <x:v>PENDING</x:v>
      </x:c>
      <x:c r="AH1420" t="str">
        <x:f>IF(NOT(ISNUMBER(T1420)),"Needs supplier cost",IF(K1420&lt;&gt;"In stock","Supplier unavailable",IF(AG1420&lt;&gt;"PASS","BLOCK - GT loss risk","Commercially protected")))</x:f>
        <x:v>Needs supplier cost</x:v>
      </x:c>
      <x:c r="AI1420" t="str">
        <x:v>2026-09-10 Active Sports trade capture</x:v>
      </x:c>
      <x:c r="AJ1420" t="str">
        <x:v>Management-only economics. Stripe stress test uses 1.5% + £0.20 standard UK online-card fee; pallet/mix-and-match pricing ignored.</x:v>
      </x:c>
    </x:row>
    <x:row r="1421">
      <x:c r="A1421" t="str">
        <x:v>Active Sports Nutrition</x:v>
      </x:c>
      <x:c r="B1421" t="str">
        <x:v>Muscle Moose</x:v>
      </x:c>
      <x:c r="C1421" t="str">
        <x:v>Protein Shake</x:v>
      </x:c>
      <x:c r="D1421" t="str">
        <x:v>Supplements</x:v>
      </x:c>
      <x:c r="E1421" t="str">
        <x:v>Whey Protein</x:v>
      </x:c>
      <x:c r="F1421" t="str"/>
      <x:c r="G1421" t="str">
        <x:v>400g</x:v>
      </x:c>
      <x:c r="H1421" t="str">
        <x:v>Strawberries and Cream</x:v>
      </x:c>
      <x:c r="I1421" t="str"/>
      <x:c r="J1421" t="str">
        <x:v>Unit</x:v>
      </x:c>
      <x:c r="K1421" t="str">
        <x:v>In stock</x:v>
      </x:c>
      <x:c r="L1421" t="str">
        <x:v>2026-09-08</x:v>
      </x:c>
      <x:c r="M1421" t="str"/>
      <x:c r="N1421" t="str"/>
      <x:c r="O1421" t="str">
        <x:v>https://www.activesportstrade.co.uk/Whey-Protein-Supplements-Trade/muscle-moose-trade</x:v>
      </x:c>
      <x:c r="P1421" t="str"/>
      <x:c r="Q1421" t="str"/>
      <x:c r="R1421" t="str"/>
      <x:c r="S1421" t="str">
        <x:v>Pending genuine supplier/brand image</x:v>
      </x:c>
      <x:c r="T1421" s="54"/>
      <x:c r="U1421" s="47" t="n">
        <x:v>0.2</x:v>
      </x:c>
      <x:c r="V1421" s="54" t="str">
        <x:f>IF(ISNUMBER(T1421),T1421*(1+U1421),"")</x:f>
      </x:c>
      <x:c r="W1421" s="47" t="n">
        <x:v>0.3</x:v>
      </x:c>
      <x:c r="X1421" s="54" t="str">
        <x:f>IF(ISNUMBER(V1421),V1421/(1-W1421),"")</x:f>
      </x:c>
      <x:c r="Y1421" s="55" t="str">
        <x:f>IF(ISNUMBER(X1421),ROUNDUP(X1421,0),"")</x:f>
      </x:c>
      <x:c r="Z1421" t="str">
        <x:f>IF(ISNUMBER(T1421),"Cost captured","Awaiting trade cost")</x:f>
        <x:v>Awaiting trade cost</x:v>
      </x:c>
      <x:c r="AB1421" s="36" t="str">
        <x:f>IF(ISNUMBER(Y1421),ROUND(Y1421*0.9,2),"")</x:f>
      </x:c>
      <x:c r="AC1421" s="36" t="str">
        <x:f>IF(ISNUMBER(AB1421),ROUND(AB1421-(AB1421*0.015+0.2)-V1421,2),"")</x:f>
      </x:c>
      <x:c r="AD1421" s="36" t="str">
        <x:f>IF(ISNUMBER(Y1421),ROUND(Y1421*0.8,2),"")</x:f>
      </x:c>
      <x:c r="AE1421" s="36" t="str">
        <x:f>IF(ISNUMBER(AD1421),ROUND(AD1421*0.015+0.2,2),"")</x:f>
      </x:c>
      <x:c r="AF1421" s="36" t="str">
        <x:f>IF(ISNUMBER(AD1421),ROUND(AD1421-AE1421-V1421,2),"")</x:f>
      </x:c>
      <x:c r="AG1421" t="str">
        <x:f>IF(NOT(ISNUMBER(T1421)),"PENDING",IF(AF1421&gt;0,"PASS","FAIL"))</x:f>
        <x:v>PENDING</x:v>
      </x:c>
      <x:c r="AH1421" t="str">
        <x:f>IF(NOT(ISNUMBER(T1421)),"Needs supplier cost",IF(K1421&lt;&gt;"In stock","Supplier unavailable",IF(AG1421&lt;&gt;"PASS","BLOCK - GT loss risk","Commercially protected")))</x:f>
        <x:v>Needs supplier cost</x:v>
      </x:c>
      <x:c r="AI1421" t="str">
        <x:v>2026-09-10 Active Sports trade capture</x:v>
      </x:c>
      <x:c r="AJ1421" t="str">
        <x:v>Management-only economics. Stripe stress test uses 1.5% + £0.20 standard UK online-card fee; pallet/mix-and-match pricing ignored.</x:v>
      </x:c>
    </x:row>
    <x:row r="1422">
      <x:c r="A1422" t="str">
        <x:v>Active Sports Nutrition</x:v>
      </x:c>
      <x:c r="B1422" t="str">
        <x:v>Muscle Moose</x:v>
      </x:c>
      <x:c r="C1422" t="str">
        <x:v>Protein Shake</x:v>
      </x:c>
      <x:c r="D1422" t="str">
        <x:v>Supplements</x:v>
      </x:c>
      <x:c r="E1422" t="str">
        <x:v>Whey Protein</x:v>
      </x:c>
      <x:c r="F1422" t="str"/>
      <x:c r="G1422" t="str">
        <x:v>400g</x:v>
      </x:c>
      <x:c r="H1422" t="str">
        <x:v>Vanilla Ice Cream</x:v>
      </x:c>
      <x:c r="I1422" t="str"/>
      <x:c r="J1422" t="str">
        <x:v>Unit</x:v>
      </x:c>
      <x:c r="K1422" t="str">
        <x:v>In stock</x:v>
      </x:c>
      <x:c r="L1422" t="str">
        <x:v>2026-09-08</x:v>
      </x:c>
      <x:c r="M1422" t="str"/>
      <x:c r="N1422" t="str"/>
      <x:c r="O1422" t="str">
        <x:v>https://www.activesportstrade.co.uk/Whey-Protein-Supplements-Trade/muscle-moose-trade</x:v>
      </x:c>
      <x:c r="P1422" t="str"/>
      <x:c r="Q1422" t="str"/>
      <x:c r="R1422" t="str"/>
      <x:c r="S1422" t="str">
        <x:v>Pending genuine supplier/brand image</x:v>
      </x:c>
      <x:c r="T1422" s="54"/>
      <x:c r="U1422" s="47" t="n">
        <x:v>0.2</x:v>
      </x:c>
      <x:c r="V1422" s="54" t="str">
        <x:f>IF(ISNUMBER(T1422),T1422*(1+U1422),"")</x:f>
      </x:c>
      <x:c r="W1422" s="47" t="n">
        <x:v>0.3</x:v>
      </x:c>
      <x:c r="X1422" s="54" t="str">
        <x:f>IF(ISNUMBER(V1422),V1422/(1-W1422),"")</x:f>
      </x:c>
      <x:c r="Y1422" s="55" t="str">
        <x:f>IF(ISNUMBER(X1422),ROUNDUP(X1422,0),"")</x:f>
      </x:c>
      <x:c r="Z1422" t="str">
        <x:f>IF(ISNUMBER(T1422),"Cost captured","Awaiting trade cost")</x:f>
        <x:v>Awaiting trade cost</x:v>
      </x:c>
      <x:c r="AB1422" s="36" t="str">
        <x:f>IF(ISNUMBER(Y1422),ROUND(Y1422*0.9,2),"")</x:f>
      </x:c>
      <x:c r="AC1422" s="36" t="str">
        <x:f>IF(ISNUMBER(AB1422),ROUND(AB1422-(AB1422*0.015+0.2)-V1422,2),"")</x:f>
      </x:c>
      <x:c r="AD1422" s="36" t="str">
        <x:f>IF(ISNUMBER(Y1422),ROUND(Y1422*0.8,2),"")</x:f>
      </x:c>
      <x:c r="AE1422" s="36" t="str">
        <x:f>IF(ISNUMBER(AD1422),ROUND(AD1422*0.015+0.2,2),"")</x:f>
      </x:c>
      <x:c r="AF1422" s="36" t="str">
        <x:f>IF(ISNUMBER(AD1422),ROUND(AD1422-AE1422-V1422,2),"")</x:f>
      </x:c>
      <x:c r="AG1422" t="str">
        <x:f>IF(NOT(ISNUMBER(T1422)),"PENDING",IF(AF1422&gt;0,"PASS","FAIL"))</x:f>
        <x:v>PENDING</x:v>
      </x:c>
      <x:c r="AH1422" t="str">
        <x:f>IF(NOT(ISNUMBER(T1422)),"Needs supplier cost",IF(K1422&lt;&gt;"In stock","Supplier unavailable",IF(AG1422&lt;&gt;"PASS","BLOCK - GT loss risk","Commercially protected")))</x:f>
        <x:v>Needs supplier cost</x:v>
      </x:c>
      <x:c r="AI1422" t="str">
        <x:v>2026-09-10 Active Sports trade capture</x:v>
      </x:c>
      <x:c r="AJ1422" t="str">
        <x:v>Management-only economics. Stripe stress test uses 1.5% + £0.20 standard UK online-card fee; pallet/mix-and-match pricing ignored.</x:v>
      </x:c>
    </x:row>
    <x:row r="1423">
      <x:c r="A1423" t="str">
        <x:v>Active Sports Nutrition</x:v>
      </x:c>
      <x:c r="B1423" t="str">
        <x:v>Muscle Moose</x:v>
      </x:c>
      <x:c r="C1423" t="str">
        <x:v>Supreme Protein</x:v>
      </x:c>
      <x:c r="D1423" t="str">
        <x:v>Supplements</x:v>
      </x:c>
      <x:c r="E1423" t="str">
        <x:v>Whey Protein</x:v>
      </x:c>
      <x:c r="F1423" t="str"/>
      <x:c r="G1423" t="str">
        <x:v>1.8kg</x:v>
      </x:c>
      <x:c r="H1423" t="str">
        <x:v>Chocolate</x:v>
      </x:c>
      <x:c r="I1423" t="str"/>
      <x:c r="J1423" t="str">
        <x:v>Unit</x:v>
      </x:c>
      <x:c r="K1423" t="str">
        <x:v>In stock</x:v>
      </x:c>
      <x:c r="L1423" t="str">
        <x:v>2026-09-08</x:v>
      </x:c>
      <x:c r="M1423" t="str"/>
      <x:c r="N1423" t="str"/>
      <x:c r="O1423" t="str">
        <x:v>https://www.activesportstrade.co.uk/Whey-Protein-Supplements-Trade/muscle-moose-trade</x:v>
      </x:c>
      <x:c r="P1423" t="str"/>
      <x:c r="Q1423" t="str"/>
      <x:c r="R1423" t="str"/>
      <x:c r="S1423" t="str">
        <x:v>Pending genuine supplier/brand image</x:v>
      </x:c>
      <x:c r="T1423" s="54" t="n">
        <x:v>17.99</x:v>
      </x:c>
      <x:c r="U1423" s="47" t="n">
        <x:v>0.2</x:v>
      </x:c>
      <x:c r="V1423" s="54" t="n">
        <x:f>IF(ISNUMBER(T1423),T1423*(1+U1423),"")</x:f>
        <x:v>21.587999999999997</x:v>
      </x:c>
      <x:c r="W1423" s="47" t="n">
        <x:v>0.3</x:v>
      </x:c>
      <x:c r="X1423" s="54" t="n">
        <x:f>IF(ISNUMBER(V1423),V1423/(1-W1423),"")</x:f>
        <x:v>30.84</x:v>
      </x:c>
      <x:c r="Y1423" s="55" t="n">
        <x:f>IF(ISNUMBER(X1423),ROUNDUP(X1423,0),"")</x:f>
        <x:v>31</x:v>
      </x:c>
      <x:c r="Z1423" t="str">
        <x:v>Source match pending</x:v>
      </x:c>
      <x:c r="AA1423" t="str">
        <x:v>screencapture-www-activesportstrade-co-uk-muscle-moose-trade-2026-09-09-18_40_47.png / page-001</x:v>
      </x:c>
      <x:c r="AB1423" s="36" t="n">
        <x:f>IF(ISNUMBER(Y1423),ROUND(Y1423*0.9,2),"")</x:f>
        <x:v>27.9</x:v>
      </x:c>
      <x:c r="AC1423" s="36" t="n">
        <x:f>IF(ISNUMBER(AB1423),ROUND(AB1423-(AB1423*0.015+0.2)-V1423,2),"")</x:f>
        <x:v>5.69</x:v>
      </x:c>
      <x:c r="AD1423" s="36" t="n">
        <x:f>IF(ISNUMBER(Y1423),ROUND(Y1423*0.8,2),"")</x:f>
        <x:v>24.8</x:v>
      </x:c>
      <x:c r="AE1423" s="36" t="n">
        <x:f>IF(ISNUMBER(AD1423),ROUND(AD1423*0.015+0.2,2),"")</x:f>
        <x:v>0.57</x:v>
      </x:c>
      <x:c r="AF1423" s="36" t="n">
        <x:f>IF(ISNUMBER(AD1423),ROUND(AD1423-AE1423-V1423,2),"")</x:f>
        <x:v>2.64</x:v>
      </x:c>
      <x:c r="AG1423" t="str">
        <x:f>IF(NOT(ISNUMBER(T1423)),"PENDING",IF(AF1423&gt;0,"PASS","FAIL"))</x:f>
        <x:v>PASS</x:v>
      </x:c>
      <x:c r="AH1423" t="str">
        <x:f>IF(NOT(ISNUMBER(T1423)),"Needs supplier cost",IF(K1423&lt;&gt;"In stock","Supplier unavailable",IF(AG1423&lt;&gt;"PASS","BLOCK - GT loss risk","Commercially protected")))</x:f>
        <x:v>Commercially protected</x:v>
      </x:c>
      <x:c r="AI1423" t="str">
        <x:v>2026-09-10 Active Sports trade capture</x:v>
      </x:c>
      <x:c r="AJ1423" t="str">
        <x:v>Management-only economics. Stripe stress test uses 1.5% + £0.20 standard UK online-card fee; pallet/mix-and-match pricing ignored.</x:v>
      </x:c>
    </x:row>
    <x:row r="1424">
      <x:c r="A1424" t="str">
        <x:v>Active Sports Nutrition</x:v>
      </x:c>
      <x:c r="B1424" t="str">
        <x:v>Muscle Moose</x:v>
      </x:c>
      <x:c r="C1424" t="str">
        <x:v>Supreme Protein</x:v>
      </x:c>
      <x:c r="D1424" t="str">
        <x:v>Supplements</x:v>
      </x:c>
      <x:c r="E1424" t="str">
        <x:v>Whey Protein</x:v>
      </x:c>
      <x:c r="F1424" t="str"/>
      <x:c r="G1424" t="str">
        <x:v>1.8kg</x:v>
      </x:c>
      <x:c r="H1424" t="str">
        <x:v>Strawberry</x:v>
      </x:c>
      <x:c r="I1424" t="str"/>
      <x:c r="J1424" t="str">
        <x:v>Unit</x:v>
      </x:c>
      <x:c r="K1424" t="str">
        <x:v>In stock</x:v>
      </x:c>
      <x:c r="L1424" t="str">
        <x:v>2026-09-08</x:v>
      </x:c>
      <x:c r="M1424" t="str"/>
      <x:c r="N1424" t="str"/>
      <x:c r="O1424" t="str">
        <x:v>https://www.activesportstrade.co.uk/Whey-Protein-Supplements-Trade/muscle-moose-trade</x:v>
      </x:c>
      <x:c r="P1424" t="str"/>
      <x:c r="Q1424" t="str"/>
      <x:c r="R1424" t="str"/>
      <x:c r="S1424" t="str">
        <x:v>Pending genuine supplier/brand image</x:v>
      </x:c>
      <x:c r="T1424" s="54" t="n">
        <x:v>17.99</x:v>
      </x:c>
      <x:c r="U1424" s="47" t="n">
        <x:v>0.2</x:v>
      </x:c>
      <x:c r="V1424" s="54" t="n">
        <x:f>IF(ISNUMBER(T1424),T1424*(1+U1424),"")</x:f>
        <x:v>21.587999999999997</x:v>
      </x:c>
      <x:c r="W1424" s="47" t="n">
        <x:v>0.3</x:v>
      </x:c>
      <x:c r="X1424" s="54" t="n">
        <x:f>IF(ISNUMBER(V1424),V1424/(1-W1424),"")</x:f>
        <x:v>30.84</x:v>
      </x:c>
      <x:c r="Y1424" s="55" t="n">
        <x:f>IF(ISNUMBER(X1424),ROUNDUP(X1424,0),"")</x:f>
        <x:v>31</x:v>
      </x:c>
      <x:c r="Z1424" t="str">
        <x:v>Source match pending</x:v>
      </x:c>
      <x:c r="AA1424" t="str">
        <x:v>screencapture-www-activesportstrade-co-uk-muscle-moose-trade-2026-09-09-18_40_47.png / page-001</x:v>
      </x:c>
      <x:c r="AB1424" s="36" t="n">
        <x:f>IF(ISNUMBER(Y1424),ROUND(Y1424*0.9,2),"")</x:f>
        <x:v>27.9</x:v>
      </x:c>
      <x:c r="AC1424" s="36" t="n">
        <x:f>IF(ISNUMBER(AB1424),ROUND(AB1424-(AB1424*0.015+0.2)-V1424,2),"")</x:f>
        <x:v>5.69</x:v>
      </x:c>
      <x:c r="AD1424" s="36" t="n">
        <x:f>IF(ISNUMBER(Y1424),ROUND(Y1424*0.8,2),"")</x:f>
        <x:v>24.8</x:v>
      </x:c>
      <x:c r="AE1424" s="36" t="n">
        <x:f>IF(ISNUMBER(AD1424),ROUND(AD1424*0.015+0.2,2),"")</x:f>
        <x:v>0.57</x:v>
      </x:c>
      <x:c r="AF1424" s="36" t="n">
        <x:f>IF(ISNUMBER(AD1424),ROUND(AD1424-AE1424-V1424,2),"")</x:f>
        <x:v>2.64</x:v>
      </x:c>
      <x:c r="AG1424" t="str">
        <x:f>IF(NOT(ISNUMBER(T1424)),"PENDING",IF(AF1424&gt;0,"PASS","FAIL"))</x:f>
        <x:v>PASS</x:v>
      </x:c>
      <x:c r="AH1424" t="str">
        <x:f>IF(NOT(ISNUMBER(T1424)),"Needs supplier cost",IF(K1424&lt;&gt;"In stock","Supplier unavailable",IF(AG1424&lt;&gt;"PASS","BLOCK - GT loss risk","Commercially protected")))</x:f>
        <x:v>Commercially protected</x:v>
      </x:c>
      <x:c r="AI1424" t="str">
        <x:v>2026-09-10 Active Sports trade capture</x:v>
      </x:c>
      <x:c r="AJ1424" t="str">
        <x:v>Management-only economics. Stripe stress test uses 1.5% + £0.20 standard UK online-card fee; pallet/mix-and-match pricing ignored.</x:v>
      </x:c>
    </x:row>
    <x:row r="1425">
      <x:c r="A1425" t="str">
        <x:v>Active Sports Nutrition</x:v>
      </x:c>
      <x:c r="B1425" t="str">
        <x:v>Muscle Moose</x:v>
      </x:c>
      <x:c r="C1425" t="str">
        <x:v>Supreme Protein</x:v>
      </x:c>
      <x:c r="D1425" t="str">
        <x:v>Supplements</x:v>
      </x:c>
      <x:c r="E1425" t="str">
        <x:v>Whey Protein</x:v>
      </x:c>
      <x:c r="F1425" t="str"/>
      <x:c r="G1425" t="str">
        <x:v>1.8kg</x:v>
      </x:c>
      <x:c r="H1425" t="str">
        <x:v>Vanilla</x:v>
      </x:c>
      <x:c r="I1425" t="str"/>
      <x:c r="J1425" t="str">
        <x:v>Unit</x:v>
      </x:c>
      <x:c r="K1425" t="str">
        <x:v>In stock</x:v>
      </x:c>
      <x:c r="L1425" t="str">
        <x:v>2026-09-08</x:v>
      </x:c>
      <x:c r="M1425" t="str"/>
      <x:c r="N1425" t="str"/>
      <x:c r="O1425" t="str">
        <x:v>https://www.activesportstrade.co.uk/Whey-Protein-Supplements-Trade/muscle-moose-trade</x:v>
      </x:c>
      <x:c r="P1425" t="str"/>
      <x:c r="Q1425" t="str"/>
      <x:c r="R1425" t="str"/>
      <x:c r="S1425" t="str">
        <x:v>Pending genuine supplier/brand image</x:v>
      </x:c>
      <x:c r="T1425" s="54" t="n">
        <x:v>17.99</x:v>
      </x:c>
      <x:c r="U1425" s="47" t="n">
        <x:v>0.2</x:v>
      </x:c>
      <x:c r="V1425" s="54" t="n">
        <x:f>IF(ISNUMBER(T1425),T1425*(1+U1425),"")</x:f>
        <x:v>21.587999999999997</x:v>
      </x:c>
      <x:c r="W1425" s="47" t="n">
        <x:v>0.3</x:v>
      </x:c>
      <x:c r="X1425" s="54" t="n">
        <x:f>IF(ISNUMBER(V1425),V1425/(1-W1425),"")</x:f>
        <x:v>30.84</x:v>
      </x:c>
      <x:c r="Y1425" s="55" t="n">
        <x:f>IF(ISNUMBER(X1425),ROUNDUP(X1425,0),"")</x:f>
        <x:v>31</x:v>
      </x:c>
      <x:c r="Z1425" t="str">
        <x:v>Source match pending</x:v>
      </x:c>
      <x:c r="AA1425" t="str">
        <x:v>screencapture-www-activesportstrade-co-uk-muscle-moose-trade-2026-09-09-18_40_47.png / page-001</x:v>
      </x:c>
      <x:c r="AB1425" s="36" t="n">
        <x:f>IF(ISNUMBER(Y1425),ROUND(Y1425*0.9,2),"")</x:f>
        <x:v>27.9</x:v>
      </x:c>
      <x:c r="AC1425" s="36" t="n">
        <x:f>IF(ISNUMBER(AB1425),ROUND(AB1425-(AB1425*0.015+0.2)-V1425,2),"")</x:f>
        <x:v>5.69</x:v>
      </x:c>
      <x:c r="AD1425" s="36" t="n">
        <x:f>IF(ISNUMBER(Y1425),ROUND(Y1425*0.8,2),"")</x:f>
        <x:v>24.8</x:v>
      </x:c>
      <x:c r="AE1425" s="36" t="n">
        <x:f>IF(ISNUMBER(AD1425),ROUND(AD1425*0.015+0.2,2),"")</x:f>
        <x:v>0.57</x:v>
      </x:c>
      <x:c r="AF1425" s="36" t="n">
        <x:f>IF(ISNUMBER(AD1425),ROUND(AD1425-AE1425-V1425,2),"")</x:f>
        <x:v>2.64</x:v>
      </x:c>
      <x:c r="AG1425" t="str">
        <x:f>IF(NOT(ISNUMBER(T1425)),"PENDING",IF(AF1425&gt;0,"PASS","FAIL"))</x:f>
        <x:v>PASS</x:v>
      </x:c>
      <x:c r="AH1425" t="str">
        <x:f>IF(NOT(ISNUMBER(T1425)),"Needs supplier cost",IF(K1425&lt;&gt;"In stock","Supplier unavailable",IF(AG1425&lt;&gt;"PASS","BLOCK - GT loss risk","Commercially protected")))</x:f>
        <x:v>Commercially protected</x:v>
      </x:c>
      <x:c r="AI1425" t="str">
        <x:v>2026-09-10 Active Sports trade capture</x:v>
      </x:c>
      <x:c r="AJ1425" t="str">
        <x:v>Management-only economics. Stripe stress test uses 1.5% + £0.20 standard UK online-card fee; pallet/mix-and-match pricing ignored.</x:v>
      </x:c>
    </x:row>
    <x:row r="1426">
      <x:c r="A1426" t="str">
        <x:v>Active Sports Nutrition</x:v>
      </x:c>
      <x:c r="B1426" t="str">
        <x:v>Naughty Boy Lifestyle</x:v>
      </x:c>
      <x:c r="C1426" t="str">
        <x:v>HydraMind</x:v>
      </x:c>
      <x:c r="D1426" t="str">
        <x:v>Supplements</x:v>
      </x:c>
      <x:c r="E1426" t="str">
        <x:v>Hydration</x:v>
      </x:c>
      <x:c r="F1426" t="str">
        <x:v>Hydration/focus powder.</x:v>
      </x:c>
      <x:c r="G1426" t="str">
        <x:v>30 servings</x:v>
      </x:c>
      <x:c r="H1426" t="str">
        <x:v>Candy Bubblegum</x:v>
      </x:c>
      <x:c r="I1426" t="str"/>
      <x:c r="J1426" t="str">
        <x:v>Unit</x:v>
      </x:c>
      <x:c r="K1426" t="str">
        <x:v>In stock</x:v>
      </x:c>
      <x:c r="L1426" t="str">
        <x:v>2026-09-08</x:v>
      </x:c>
      <x:c r="M1426" t="str"/>
      <x:c r="N1426" t="str"/>
      <x:c r="O1426" t="str">
        <x:v>https://www.activesportstrade.co.uk/hydration-supplements-trade</x:v>
      </x:c>
      <x:c r="P1426" t="str"/>
      <x:c r="Q1426" t="str"/>
      <x:c r="R1426" t="str"/>
      <x:c r="S1426" t="str">
        <x:v>Pending genuine supplier/brand image</x:v>
      </x:c>
      <x:c r="T1426" s="54"/>
      <x:c r="U1426" s="47" t="n">
        <x:v>0.2</x:v>
      </x:c>
      <x:c r="V1426" s="54" t="str">
        <x:f>IF(ISNUMBER(T1426),T1426*(1+U1426),"")</x:f>
      </x:c>
      <x:c r="W1426" s="47" t="n">
        <x:v>0.3</x:v>
      </x:c>
      <x:c r="X1426" s="54" t="str">
        <x:f>IF(ISNUMBER(V1426),V1426/(1-W1426),"")</x:f>
      </x:c>
      <x:c r="Y1426" s="55" t="str">
        <x:f>IF(ISNUMBER(X1426),ROUNDUP(X1426,0),"")</x:f>
      </x:c>
      <x:c r="Z1426" t="str">
        <x:f>IF(ISNUMBER(T1426),"Cost captured","Awaiting trade cost")</x:f>
        <x:v>Awaiting trade cost</x:v>
      </x:c>
      <x:c r="AB1426" s="36" t="str">
        <x:f>IF(ISNUMBER(Y1426),ROUND(Y1426*0.9,2),"")</x:f>
      </x:c>
      <x:c r="AC1426" s="36" t="str">
        <x:f>IF(ISNUMBER(AB1426),ROUND(AB1426-(AB1426*0.015+0.2)-V1426,2),"")</x:f>
      </x:c>
      <x:c r="AD1426" s="36" t="str">
        <x:f>IF(ISNUMBER(Y1426),ROUND(Y1426*0.8,2),"")</x:f>
      </x:c>
      <x:c r="AE1426" s="36" t="str">
        <x:f>IF(ISNUMBER(AD1426),ROUND(AD1426*0.015+0.2,2),"")</x:f>
      </x:c>
      <x:c r="AF1426" s="36" t="str">
        <x:f>IF(ISNUMBER(AD1426),ROUND(AD1426-AE1426-V1426,2),"")</x:f>
      </x:c>
      <x:c r="AG1426" t="str">
        <x:f>IF(NOT(ISNUMBER(T1426)),"PENDING",IF(AF1426&gt;0,"PASS","FAIL"))</x:f>
        <x:v>PENDING</x:v>
      </x:c>
      <x:c r="AH1426" t="str">
        <x:f>IF(NOT(ISNUMBER(T1426)),"Needs supplier cost",IF(K1426&lt;&gt;"In stock","Supplier unavailable",IF(AG1426&lt;&gt;"PASS","BLOCK - GT loss risk","Commercially protected")))</x:f>
        <x:v>Needs supplier cost</x:v>
      </x:c>
      <x:c r="AI1426" t="str">
        <x:v>2026-09-10 Active Sports trade capture</x:v>
      </x:c>
      <x:c r="AJ1426" t="str">
        <x:v>Management-only economics. Stripe stress test uses 1.5% + £0.20 standard UK online-card fee; pallet/mix-and-match pricing ignored.</x:v>
      </x:c>
    </x:row>
    <x:row r="1427">
      <x:c r="A1427" t="str">
        <x:v>Active Sports Nutrition</x:v>
      </x:c>
      <x:c r="B1427" t="str">
        <x:v>Naughty Boy Lifestyle</x:v>
      </x:c>
      <x:c r="C1427" t="str">
        <x:v>HydraMind</x:v>
      </x:c>
      <x:c r="D1427" t="str">
        <x:v>Supplements</x:v>
      </x:c>
      <x:c r="E1427" t="str">
        <x:v>Hydration</x:v>
      </x:c>
      <x:c r="F1427" t="str">
        <x:v>Hydration/focus powder.</x:v>
      </x:c>
      <x:c r="G1427" t="str">
        <x:v>30 servings</x:v>
      </x:c>
      <x:c r="H1427" t="str">
        <x:v>Mafiosa Twist</x:v>
      </x:c>
      <x:c r="I1427" t="str"/>
      <x:c r="J1427" t="str">
        <x:v>Unit</x:v>
      </x:c>
      <x:c r="K1427" t="str">
        <x:v>In stock</x:v>
      </x:c>
      <x:c r="L1427" t="str">
        <x:v>2026-09-08</x:v>
      </x:c>
      <x:c r="M1427" t="str"/>
      <x:c r="N1427" t="str"/>
      <x:c r="O1427" t="str">
        <x:v>https://www.activesportstrade.co.uk/hydration-supplements-trade</x:v>
      </x:c>
      <x:c r="P1427" t="str"/>
      <x:c r="Q1427" t="str"/>
      <x:c r="R1427" t="str"/>
      <x:c r="S1427" t="str">
        <x:v>Pending genuine supplier/brand image</x:v>
      </x:c>
      <x:c r="T1427" s="54"/>
      <x:c r="U1427" s="47" t="n">
        <x:v>0.2</x:v>
      </x:c>
      <x:c r="V1427" s="54" t="str">
        <x:f>IF(ISNUMBER(T1427),T1427*(1+U1427),"")</x:f>
      </x:c>
      <x:c r="W1427" s="47" t="n">
        <x:v>0.3</x:v>
      </x:c>
      <x:c r="X1427" s="54" t="str">
        <x:f>IF(ISNUMBER(V1427),V1427/(1-W1427),"")</x:f>
      </x:c>
      <x:c r="Y1427" s="55" t="str">
        <x:f>IF(ISNUMBER(X1427),ROUNDUP(X1427,0),"")</x:f>
      </x:c>
      <x:c r="Z1427" t="str">
        <x:f>IF(ISNUMBER(T1427),"Cost captured","Awaiting trade cost")</x:f>
        <x:v>Awaiting trade cost</x:v>
      </x:c>
      <x:c r="AB1427" s="36" t="str">
        <x:f>IF(ISNUMBER(Y1427),ROUND(Y1427*0.9,2),"")</x:f>
      </x:c>
      <x:c r="AC1427" s="36" t="str">
        <x:f>IF(ISNUMBER(AB1427),ROUND(AB1427-(AB1427*0.015+0.2)-V1427,2),"")</x:f>
      </x:c>
      <x:c r="AD1427" s="36" t="str">
        <x:f>IF(ISNUMBER(Y1427),ROUND(Y1427*0.8,2),"")</x:f>
      </x:c>
      <x:c r="AE1427" s="36" t="str">
        <x:f>IF(ISNUMBER(AD1427),ROUND(AD1427*0.015+0.2,2),"")</x:f>
      </x:c>
      <x:c r="AF1427" s="36" t="str">
        <x:f>IF(ISNUMBER(AD1427),ROUND(AD1427-AE1427-V1427,2),"")</x:f>
      </x:c>
      <x:c r="AG1427" t="str">
        <x:f>IF(NOT(ISNUMBER(T1427)),"PENDING",IF(AF1427&gt;0,"PASS","FAIL"))</x:f>
        <x:v>PENDING</x:v>
      </x:c>
      <x:c r="AH1427" t="str">
        <x:f>IF(NOT(ISNUMBER(T1427)),"Needs supplier cost",IF(K1427&lt;&gt;"In stock","Supplier unavailable",IF(AG1427&lt;&gt;"PASS","BLOCK - GT loss risk","Commercially protected")))</x:f>
        <x:v>Needs supplier cost</x:v>
      </x:c>
      <x:c r="AI1427" t="str">
        <x:v>2026-09-10 Active Sports trade capture</x:v>
      </x:c>
      <x:c r="AJ1427" t="str">
        <x:v>Management-only economics. Stripe stress test uses 1.5% + £0.20 standard UK online-card fee; pallet/mix-and-match pricing ignored.</x:v>
      </x:c>
    </x:row>
    <x:row r="1428">
      <x:c r="A1428" t="str">
        <x:v>Active Sports Nutrition</x:v>
      </x:c>
      <x:c r="B1428" t="str">
        <x:v>Naughty Boy Lifestyle</x:v>
      </x:c>
      <x:c r="C1428" t="str">
        <x:v>HydraMind</x:v>
      </x:c>
      <x:c r="D1428" t="str">
        <x:v>Supplements</x:v>
      </x:c>
      <x:c r="E1428" t="str">
        <x:v>Hydration</x:v>
      </x:c>
      <x:c r="F1428" t="str">
        <x:v>Hydration/focus powder.</x:v>
      </x:c>
      <x:c r="G1428" t="str">
        <x:v>30 servings</x:v>
      </x:c>
      <x:c r="H1428" t="str">
        <x:v>Pink Lemonade</x:v>
      </x:c>
      <x:c r="I1428" t="str"/>
      <x:c r="J1428" t="str">
        <x:v>Unit</x:v>
      </x:c>
      <x:c r="K1428" t="str">
        <x:v>In stock</x:v>
      </x:c>
      <x:c r="L1428" t="str">
        <x:v>2026-09-08</x:v>
      </x:c>
      <x:c r="M1428" t="str"/>
      <x:c r="N1428" t="str"/>
      <x:c r="O1428" t="str">
        <x:v>https://www.activesportstrade.co.uk/hydration-supplements-trade</x:v>
      </x:c>
      <x:c r="P1428" t="str"/>
      <x:c r="Q1428" t="str"/>
      <x:c r="R1428" t="str"/>
      <x:c r="S1428" t="str">
        <x:v>Pending genuine supplier/brand image</x:v>
      </x:c>
      <x:c r="T1428" s="54"/>
      <x:c r="U1428" s="47" t="n">
        <x:v>0.2</x:v>
      </x:c>
      <x:c r="V1428" s="54" t="str">
        <x:f>IF(ISNUMBER(T1428),T1428*(1+U1428),"")</x:f>
      </x:c>
      <x:c r="W1428" s="47" t="n">
        <x:v>0.3</x:v>
      </x:c>
      <x:c r="X1428" s="54" t="str">
        <x:f>IF(ISNUMBER(V1428),V1428/(1-W1428),"")</x:f>
      </x:c>
      <x:c r="Y1428" s="55" t="str">
        <x:f>IF(ISNUMBER(X1428),ROUNDUP(X1428,0),"")</x:f>
      </x:c>
      <x:c r="Z1428" t="str">
        <x:f>IF(ISNUMBER(T1428),"Cost captured","Awaiting trade cost")</x:f>
        <x:v>Awaiting trade cost</x:v>
      </x:c>
      <x:c r="AB1428" s="36" t="str">
        <x:f>IF(ISNUMBER(Y1428),ROUND(Y1428*0.9,2),"")</x:f>
      </x:c>
      <x:c r="AC1428" s="36" t="str">
        <x:f>IF(ISNUMBER(AB1428),ROUND(AB1428-(AB1428*0.015+0.2)-V1428,2),"")</x:f>
      </x:c>
      <x:c r="AD1428" s="36" t="str">
        <x:f>IF(ISNUMBER(Y1428),ROUND(Y1428*0.8,2),"")</x:f>
      </x:c>
      <x:c r="AE1428" s="36" t="str">
        <x:f>IF(ISNUMBER(AD1428),ROUND(AD1428*0.015+0.2,2),"")</x:f>
      </x:c>
      <x:c r="AF1428" s="36" t="str">
        <x:f>IF(ISNUMBER(AD1428),ROUND(AD1428-AE1428-V1428,2),"")</x:f>
      </x:c>
      <x:c r="AG1428" t="str">
        <x:f>IF(NOT(ISNUMBER(T1428)),"PENDING",IF(AF1428&gt;0,"PASS","FAIL"))</x:f>
        <x:v>PENDING</x:v>
      </x:c>
      <x:c r="AH1428" t="str">
        <x:f>IF(NOT(ISNUMBER(T1428)),"Needs supplier cost",IF(K1428&lt;&gt;"In stock","Supplier unavailable",IF(AG1428&lt;&gt;"PASS","BLOCK - GT loss risk","Commercially protected")))</x:f>
        <x:v>Needs supplier cost</x:v>
      </x:c>
      <x:c r="AI1428" t="str">
        <x:v>2026-09-10 Active Sports trade capture</x:v>
      </x:c>
      <x:c r="AJ1428" t="str">
        <x:v>Management-only economics. Stripe stress test uses 1.5% + £0.20 standard UK online-card fee; pallet/mix-and-match pricing ignored.</x:v>
      </x:c>
    </x:row>
    <x:row r="1429">
      <x:c r="A1429" t="str">
        <x:v>Active Sports Nutrition</x:v>
      </x:c>
      <x:c r="B1429" t="str">
        <x:v>Naughty Boy Lifestyle</x:v>
      </x:c>
      <x:c r="C1429" t="str">
        <x:v>HydraMind</x:v>
      </x:c>
      <x:c r="D1429" t="str">
        <x:v>Supplements</x:v>
      </x:c>
      <x:c r="E1429" t="str">
        <x:v>Hydration</x:v>
      </x:c>
      <x:c r="F1429" t="str">
        <x:v>Hydration/focus powder.</x:v>
      </x:c>
      <x:c r="G1429" t="str">
        <x:v>30 servings</x:v>
      </x:c>
      <x:c r="H1429" t="str">
        <x:v>Strawberry Mango</x:v>
      </x:c>
      <x:c r="I1429" t="str"/>
      <x:c r="J1429" t="str">
        <x:v>Unit</x:v>
      </x:c>
      <x:c r="K1429" t="str">
        <x:v>Out of stock</x:v>
      </x:c>
      <x:c r="L1429" t="str">
        <x:v>2026-09-08</x:v>
      </x:c>
      <x:c r="M1429" t="str"/>
      <x:c r="N1429" t="str"/>
      <x:c r="O1429" t="str">
        <x:v>https://www.activesportstrade.co.uk/hydration-supplements-trade</x:v>
      </x:c>
      <x:c r="P1429" t="str"/>
      <x:c r="Q1429" t="str"/>
      <x:c r="R1429" t="str"/>
      <x:c r="S1429" t="str">
        <x:v>Pending genuine supplier/brand image</x:v>
      </x:c>
      <x:c r="T1429" s="54"/>
      <x:c r="U1429" s="47" t="n">
        <x:v>0.2</x:v>
      </x:c>
      <x:c r="V1429" s="54" t="str">
        <x:f>IF(ISNUMBER(T1429),T1429*(1+U1429),"")</x:f>
      </x:c>
      <x:c r="W1429" s="47" t="n">
        <x:v>0.3</x:v>
      </x:c>
      <x:c r="X1429" s="54" t="str">
        <x:f>IF(ISNUMBER(V1429),V1429/(1-W1429),"")</x:f>
      </x:c>
      <x:c r="Y1429" s="55" t="str">
        <x:f>IF(ISNUMBER(X1429),ROUNDUP(X1429,0),"")</x:f>
      </x:c>
      <x:c r="Z1429" t="str">
        <x:f>IF(ISNUMBER(T1429),"Cost captured","Awaiting trade cost")</x:f>
        <x:v>Awaiting trade cost</x:v>
      </x:c>
      <x:c r="AB1429" s="36" t="str">
        <x:f>IF(ISNUMBER(Y1429),ROUND(Y1429*0.9,2),"")</x:f>
      </x:c>
      <x:c r="AC1429" s="36" t="str">
        <x:f>IF(ISNUMBER(AB1429),ROUND(AB1429-(AB1429*0.015+0.2)-V1429,2),"")</x:f>
      </x:c>
      <x:c r="AD1429" s="36" t="str">
        <x:f>IF(ISNUMBER(Y1429),ROUND(Y1429*0.8,2),"")</x:f>
      </x:c>
      <x:c r="AE1429" s="36" t="str">
        <x:f>IF(ISNUMBER(AD1429),ROUND(AD1429*0.015+0.2,2),"")</x:f>
      </x:c>
      <x:c r="AF1429" s="36" t="str">
        <x:f>IF(ISNUMBER(AD1429),ROUND(AD1429-AE1429-V1429,2),"")</x:f>
      </x:c>
      <x:c r="AG1429" t="str">
        <x:f>IF(NOT(ISNUMBER(T1429)),"PENDING",IF(AF1429&gt;0,"PASS","FAIL"))</x:f>
        <x:v>PENDING</x:v>
      </x:c>
      <x:c r="AH1429" t="str">
        <x:f>IF(NOT(ISNUMBER(T1429)),"Needs supplier cost",IF(K1429&lt;&gt;"In stock","Supplier unavailable",IF(AG1429&lt;&gt;"PASS","BLOCK - GT loss risk","Commercially protected")))</x:f>
        <x:v>Needs supplier cost</x:v>
      </x:c>
      <x:c r="AI1429" t="str">
        <x:v>2026-09-10 Active Sports trade capture</x:v>
      </x:c>
      <x:c r="AJ1429" t="str">
        <x:v>Management-only economics. Stripe stress test uses 1.5% + £0.20 standard UK online-card fee; pallet/mix-and-match pricing ignored.</x:v>
      </x:c>
    </x:row>
    <x:row r="1430">
      <x:c r="A1430" t="str">
        <x:v>Active Sports Nutrition</x:v>
      </x:c>
      <x:c r="B1430" t="str">
        <x:v>Naughty Boy Lifestyle</x:v>
      </x:c>
      <x:c r="C1430" t="str">
        <x:v>HydraMind</x:v>
      </x:c>
      <x:c r="D1430" t="str">
        <x:v>Supplements</x:v>
      </x:c>
      <x:c r="E1430" t="str">
        <x:v>Hydration</x:v>
      </x:c>
      <x:c r="F1430" t="str">
        <x:v>Hydration/focus powder.</x:v>
      </x:c>
      <x:c r="G1430" t="str">
        <x:v>30 servings</x:v>
      </x:c>
      <x:c r="H1430" t="str">
        <x:v>Ultra Energy</x:v>
      </x:c>
      <x:c r="I1430" t="str"/>
      <x:c r="J1430" t="str">
        <x:v>Unit</x:v>
      </x:c>
      <x:c r="K1430" t="str">
        <x:v>In stock</x:v>
      </x:c>
      <x:c r="L1430" t="str">
        <x:v>2026-09-08</x:v>
      </x:c>
      <x:c r="M1430" t="str"/>
      <x:c r="N1430" t="str"/>
      <x:c r="O1430" t="str">
        <x:v>https://www.activesportstrade.co.uk/hydration-supplements-trade</x:v>
      </x:c>
      <x:c r="P1430" t="str"/>
      <x:c r="Q1430" t="str"/>
      <x:c r="R1430" t="str"/>
      <x:c r="S1430" t="str">
        <x:v>Pending genuine supplier/brand image</x:v>
      </x:c>
      <x:c r="T1430" s="54"/>
      <x:c r="U1430" s="47" t="n">
        <x:v>0.2</x:v>
      </x:c>
      <x:c r="V1430" s="54" t="str">
        <x:f>IF(ISNUMBER(T1430),T1430*(1+U1430),"")</x:f>
      </x:c>
      <x:c r="W1430" s="47" t="n">
        <x:v>0.3</x:v>
      </x:c>
      <x:c r="X1430" s="54" t="str">
        <x:f>IF(ISNUMBER(V1430),V1430/(1-W1430),"")</x:f>
      </x:c>
      <x:c r="Y1430" s="55" t="str">
        <x:f>IF(ISNUMBER(X1430),ROUNDUP(X1430,0),"")</x:f>
      </x:c>
      <x:c r="Z1430" t="str">
        <x:f>IF(ISNUMBER(T1430),"Cost captured","Awaiting trade cost")</x:f>
        <x:v>Awaiting trade cost</x:v>
      </x:c>
      <x:c r="AB1430" s="36" t="str">
        <x:f>IF(ISNUMBER(Y1430),ROUND(Y1430*0.9,2),"")</x:f>
      </x:c>
      <x:c r="AC1430" s="36" t="str">
        <x:f>IF(ISNUMBER(AB1430),ROUND(AB1430-(AB1430*0.015+0.2)-V1430,2),"")</x:f>
      </x:c>
      <x:c r="AD1430" s="36" t="str">
        <x:f>IF(ISNUMBER(Y1430),ROUND(Y1430*0.8,2),"")</x:f>
      </x:c>
      <x:c r="AE1430" s="36" t="str">
        <x:f>IF(ISNUMBER(AD1430),ROUND(AD1430*0.015+0.2,2),"")</x:f>
      </x:c>
      <x:c r="AF1430" s="36" t="str">
        <x:f>IF(ISNUMBER(AD1430),ROUND(AD1430-AE1430-V1430,2),"")</x:f>
      </x:c>
      <x:c r="AG1430" t="str">
        <x:f>IF(NOT(ISNUMBER(T1430)),"PENDING",IF(AF1430&gt;0,"PASS","FAIL"))</x:f>
        <x:v>PENDING</x:v>
      </x:c>
      <x:c r="AH1430" t="str">
        <x:f>IF(NOT(ISNUMBER(T1430)),"Needs supplier cost",IF(K1430&lt;&gt;"In stock","Supplier unavailable",IF(AG1430&lt;&gt;"PASS","BLOCK - GT loss risk","Commercially protected")))</x:f>
        <x:v>Needs supplier cost</x:v>
      </x:c>
      <x:c r="AI1430" t="str">
        <x:v>2026-09-10 Active Sports trade capture</x:v>
      </x:c>
      <x:c r="AJ1430" t="str">
        <x:v>Management-only economics. Stripe stress test uses 1.5% + £0.20 standard UK online-card fee; pallet/mix-and-match pricing ignored.</x:v>
      </x:c>
    </x:row>
    <x:row r="1431">
      <x:c r="A1431" t="str">
        <x:v>Active Sports Nutrition</x:v>
      </x:c>
      <x:c r="B1431" t="str">
        <x:v>Naughty Boy Lifestyle</x:v>
      </x:c>
      <x:c r="C1431" t="str">
        <x:v>Hydration</x:v>
      </x:c>
      <x:c r="D1431" t="str">
        <x:v>Supplements</x:v>
      </x:c>
      <x:c r="E1431" t="str">
        <x:v>Hydration</x:v>
      </x:c>
      <x:c r="F1431" t="str">
        <x:v>Electrolyte hydration powder.</x:v>
      </x:c>
      <x:c r="G1431" t="str">
        <x:v>15 servings</x:v>
      </x:c>
      <x:c r="H1431" t="str">
        <x:v>Blueberry Pineapple</x:v>
      </x:c>
      <x:c r="I1431" t="str"/>
      <x:c r="J1431" t="str">
        <x:v>Unit</x:v>
      </x:c>
      <x:c r="K1431" t="str">
        <x:v>In stock</x:v>
      </x:c>
      <x:c r="L1431" t="str">
        <x:v>2026-09-08</x:v>
      </x:c>
      <x:c r="M1431" t="str"/>
      <x:c r="N1431" t="str"/>
      <x:c r="O1431" t="str">
        <x:v>https://www.activesportstrade.co.uk/hydration-supplements-trade</x:v>
      </x:c>
      <x:c r="P1431" t="str">
        <x:v>SPECIAL OFFER wording removed.</x:v>
      </x:c>
      <x:c r="Q1431" t="str"/>
      <x:c r="R1431" t="str"/>
      <x:c r="S1431" t="str">
        <x:v>Pending genuine supplier/brand image</x:v>
      </x:c>
      <x:c r="T1431" s="54"/>
      <x:c r="U1431" s="47" t="n">
        <x:v>0.2</x:v>
      </x:c>
      <x:c r="V1431" s="54" t="str">
        <x:f>IF(ISNUMBER(T1431),T1431*(1+U1431),"")</x:f>
      </x:c>
      <x:c r="W1431" s="47" t="n">
        <x:v>0.3</x:v>
      </x:c>
      <x:c r="X1431" s="54" t="str">
        <x:f>IF(ISNUMBER(V1431),V1431/(1-W1431),"")</x:f>
      </x:c>
      <x:c r="Y1431" s="55" t="str">
        <x:f>IF(ISNUMBER(X1431),ROUNDUP(X1431,0),"")</x:f>
      </x:c>
      <x:c r="Z1431" t="str">
        <x:f>IF(ISNUMBER(T1431),"Cost captured","Awaiting trade cost")</x:f>
        <x:v>Awaiting trade cost</x:v>
      </x:c>
      <x:c r="AB1431" s="36" t="str">
        <x:f>IF(ISNUMBER(Y1431),ROUND(Y1431*0.9,2),"")</x:f>
      </x:c>
      <x:c r="AC1431" s="36" t="str">
        <x:f>IF(ISNUMBER(AB1431),ROUND(AB1431-(AB1431*0.015+0.2)-V1431,2),"")</x:f>
      </x:c>
      <x:c r="AD1431" s="36" t="str">
        <x:f>IF(ISNUMBER(Y1431),ROUND(Y1431*0.8,2),"")</x:f>
      </x:c>
      <x:c r="AE1431" s="36" t="str">
        <x:f>IF(ISNUMBER(AD1431),ROUND(AD1431*0.015+0.2,2),"")</x:f>
      </x:c>
      <x:c r="AF1431" s="36" t="str">
        <x:f>IF(ISNUMBER(AD1431),ROUND(AD1431-AE1431-V1431,2),"")</x:f>
      </x:c>
      <x:c r="AG1431" t="str">
        <x:f>IF(NOT(ISNUMBER(T1431)),"PENDING",IF(AF1431&gt;0,"PASS","FAIL"))</x:f>
        <x:v>PENDING</x:v>
      </x:c>
      <x:c r="AH1431" t="str">
        <x:f>IF(NOT(ISNUMBER(T1431)),"Needs supplier cost",IF(K1431&lt;&gt;"In stock","Supplier unavailable",IF(AG1431&lt;&gt;"PASS","BLOCK - GT loss risk","Commercially protected")))</x:f>
        <x:v>Needs supplier cost</x:v>
      </x:c>
      <x:c r="AI1431" t="str">
        <x:v>2026-09-10 Active Sports trade capture</x:v>
      </x:c>
      <x:c r="AJ1431" t="str">
        <x:v>Management-only economics. Stripe stress test uses 1.5% + £0.20 standard UK online-card fee; pallet/mix-and-match pricing ignored.</x:v>
      </x:c>
    </x:row>
    <x:row r="1432">
      <x:c r="A1432" t="str">
        <x:v>Active Sports Nutrition</x:v>
      </x:c>
      <x:c r="B1432" t="str">
        <x:v>Naughty Boy Lifestyle</x:v>
      </x:c>
      <x:c r="C1432" t="str">
        <x:v>Hydration</x:v>
      </x:c>
      <x:c r="D1432" t="str">
        <x:v>Supplements</x:v>
      </x:c>
      <x:c r="E1432" t="str">
        <x:v>Hydration</x:v>
      </x:c>
      <x:c r="F1432" t="str">
        <x:v>Electrolyte hydration powder.</x:v>
      </x:c>
      <x:c r="G1432" t="str">
        <x:v>15 servings</x:v>
      </x:c>
      <x:c r="H1432" t="str">
        <x:v>Cherry Mango</x:v>
      </x:c>
      <x:c r="I1432" t="str"/>
      <x:c r="J1432" t="str">
        <x:v>Unit</x:v>
      </x:c>
      <x:c r="K1432" t="str">
        <x:v>In stock</x:v>
      </x:c>
      <x:c r="L1432" t="str">
        <x:v>2026-09-08</x:v>
      </x:c>
      <x:c r="M1432" t="str"/>
      <x:c r="N1432" t="str"/>
      <x:c r="O1432" t="str">
        <x:v>https://www.activesportstrade.co.uk/hydration-supplements-trade</x:v>
      </x:c>
      <x:c r="P1432" t="str">
        <x:v>SPECIAL OFFER wording removed.</x:v>
      </x:c>
      <x:c r="Q1432" t="str"/>
      <x:c r="R1432" t="str"/>
      <x:c r="S1432" t="str">
        <x:v>Pending genuine supplier/brand image</x:v>
      </x:c>
      <x:c r="T1432" s="54"/>
      <x:c r="U1432" s="47" t="n">
        <x:v>0.2</x:v>
      </x:c>
      <x:c r="V1432" s="54" t="str">
        <x:f>IF(ISNUMBER(T1432),T1432*(1+U1432),"")</x:f>
      </x:c>
      <x:c r="W1432" s="47" t="n">
        <x:v>0.3</x:v>
      </x:c>
      <x:c r="X1432" s="54" t="str">
        <x:f>IF(ISNUMBER(V1432),V1432/(1-W1432),"")</x:f>
      </x:c>
      <x:c r="Y1432" s="55" t="str">
        <x:f>IF(ISNUMBER(X1432),ROUNDUP(X1432,0),"")</x:f>
      </x:c>
      <x:c r="Z1432" t="str">
        <x:f>IF(ISNUMBER(T1432),"Cost captured","Awaiting trade cost")</x:f>
        <x:v>Awaiting trade cost</x:v>
      </x:c>
      <x:c r="AB1432" s="36" t="str">
        <x:f>IF(ISNUMBER(Y1432),ROUND(Y1432*0.9,2),"")</x:f>
      </x:c>
      <x:c r="AC1432" s="36" t="str">
        <x:f>IF(ISNUMBER(AB1432),ROUND(AB1432-(AB1432*0.015+0.2)-V1432,2),"")</x:f>
      </x:c>
      <x:c r="AD1432" s="36" t="str">
        <x:f>IF(ISNUMBER(Y1432),ROUND(Y1432*0.8,2),"")</x:f>
      </x:c>
      <x:c r="AE1432" s="36" t="str">
        <x:f>IF(ISNUMBER(AD1432),ROUND(AD1432*0.015+0.2,2),"")</x:f>
      </x:c>
      <x:c r="AF1432" s="36" t="str">
        <x:f>IF(ISNUMBER(AD1432),ROUND(AD1432-AE1432-V1432,2),"")</x:f>
      </x:c>
      <x:c r="AG1432" t="str">
        <x:f>IF(NOT(ISNUMBER(T1432)),"PENDING",IF(AF1432&gt;0,"PASS","FAIL"))</x:f>
        <x:v>PENDING</x:v>
      </x:c>
      <x:c r="AH1432" t="str">
        <x:f>IF(NOT(ISNUMBER(T1432)),"Needs supplier cost",IF(K1432&lt;&gt;"In stock","Supplier unavailable",IF(AG1432&lt;&gt;"PASS","BLOCK - GT loss risk","Commercially protected")))</x:f>
        <x:v>Needs supplier cost</x:v>
      </x:c>
      <x:c r="AI1432" t="str">
        <x:v>2026-09-10 Active Sports trade capture</x:v>
      </x:c>
      <x:c r="AJ1432" t="str">
        <x:v>Management-only economics. Stripe stress test uses 1.5% + £0.20 standard UK online-card fee; pallet/mix-and-match pricing ignored.</x:v>
      </x:c>
    </x:row>
    <x:row r="1433">
      <x:c r="A1433" t="str">
        <x:v>Active Sports Nutrition</x:v>
      </x:c>
      <x:c r="B1433" t="str">
        <x:v>Naughty Boy Lifestyle</x:v>
      </x:c>
      <x:c r="C1433" t="str">
        <x:v>Hydration</x:v>
      </x:c>
      <x:c r="D1433" t="str">
        <x:v>Supplements</x:v>
      </x:c>
      <x:c r="E1433" t="str">
        <x:v>Hydration</x:v>
      </x:c>
      <x:c r="F1433" t="str">
        <x:v>Electrolyte hydration powder.</x:v>
      </x:c>
      <x:c r="G1433" t="str">
        <x:v>15 servings</x:v>
      </x:c>
      <x:c r="H1433" t="str">
        <x:v>Pink Lemonade</x:v>
      </x:c>
      <x:c r="I1433" t="str"/>
      <x:c r="J1433" t="str">
        <x:v>Unit</x:v>
      </x:c>
      <x:c r="K1433" t="str">
        <x:v>Out of stock</x:v>
      </x:c>
      <x:c r="L1433" t="str">
        <x:v>2026-09-08</x:v>
      </x:c>
      <x:c r="M1433" t="str"/>
      <x:c r="N1433" t="str"/>
      <x:c r="O1433" t="str">
        <x:v>https://www.activesportstrade.co.uk/hydration-supplements-trade</x:v>
      </x:c>
      <x:c r="P1433" t="str">
        <x:v>SPECIAL OFFER wording removed.</x:v>
      </x:c>
      <x:c r="Q1433" t="str"/>
      <x:c r="R1433" t="str"/>
      <x:c r="S1433" t="str">
        <x:v>Pending genuine supplier/brand image</x:v>
      </x:c>
      <x:c r="T1433" s="54"/>
      <x:c r="U1433" s="47" t="n">
        <x:v>0.2</x:v>
      </x:c>
      <x:c r="V1433" s="54" t="str">
        <x:f>IF(ISNUMBER(T1433),T1433*(1+U1433),"")</x:f>
      </x:c>
      <x:c r="W1433" s="47" t="n">
        <x:v>0.3</x:v>
      </x:c>
      <x:c r="X1433" s="54" t="str">
        <x:f>IF(ISNUMBER(V1433),V1433/(1-W1433),"")</x:f>
      </x:c>
      <x:c r="Y1433" s="55" t="str">
        <x:f>IF(ISNUMBER(X1433),ROUNDUP(X1433,0),"")</x:f>
      </x:c>
      <x:c r="Z1433" t="str">
        <x:f>IF(ISNUMBER(T1433),"Cost captured","Awaiting trade cost")</x:f>
        <x:v>Awaiting trade cost</x:v>
      </x:c>
      <x:c r="AB1433" s="36" t="str">
        <x:f>IF(ISNUMBER(Y1433),ROUND(Y1433*0.9,2),"")</x:f>
      </x:c>
      <x:c r="AC1433" s="36" t="str">
        <x:f>IF(ISNUMBER(AB1433),ROUND(AB1433-(AB1433*0.015+0.2)-V1433,2),"")</x:f>
      </x:c>
      <x:c r="AD1433" s="36" t="str">
        <x:f>IF(ISNUMBER(Y1433),ROUND(Y1433*0.8,2),"")</x:f>
      </x:c>
      <x:c r="AE1433" s="36" t="str">
        <x:f>IF(ISNUMBER(AD1433),ROUND(AD1433*0.015+0.2,2),"")</x:f>
      </x:c>
      <x:c r="AF1433" s="36" t="str">
        <x:f>IF(ISNUMBER(AD1433),ROUND(AD1433-AE1433-V1433,2),"")</x:f>
      </x:c>
      <x:c r="AG1433" t="str">
        <x:f>IF(NOT(ISNUMBER(T1433)),"PENDING",IF(AF1433&gt;0,"PASS","FAIL"))</x:f>
        <x:v>PENDING</x:v>
      </x:c>
      <x:c r="AH1433" t="str">
        <x:f>IF(NOT(ISNUMBER(T1433)),"Needs supplier cost",IF(K1433&lt;&gt;"In stock","Supplier unavailable",IF(AG1433&lt;&gt;"PASS","BLOCK - GT loss risk","Commercially protected")))</x:f>
        <x:v>Needs supplier cost</x:v>
      </x:c>
      <x:c r="AI1433" t="str">
        <x:v>2026-09-10 Active Sports trade capture</x:v>
      </x:c>
      <x:c r="AJ1433" t="str">
        <x:v>Management-only economics. Stripe stress test uses 1.5% + £0.20 standard UK online-card fee; pallet/mix-and-match pricing ignored.</x:v>
      </x:c>
    </x:row>
    <x:row r="1434">
      <x:c r="A1434" t="str">
        <x:v>Active Sports Nutrition</x:v>
      </x:c>
      <x:c r="B1434" t="str">
        <x:v>Naughty Boy Lifestyle</x:v>
      </x:c>
      <x:c r="C1434" t="str">
        <x:v>Hydration</x:v>
      </x:c>
      <x:c r="D1434" t="str">
        <x:v>Supplements</x:v>
      </x:c>
      <x:c r="E1434" t="str">
        <x:v>Hydration</x:v>
      </x:c>
      <x:c r="F1434" t="str">
        <x:v>Electrolyte hydration powder.</x:v>
      </x:c>
      <x:c r="G1434" t="str">
        <x:v>30 servings</x:v>
      </x:c>
      <x:c r="H1434" t="str">
        <x:v>Blueberry Pineapple</x:v>
      </x:c>
      <x:c r="I1434" t="str"/>
      <x:c r="J1434" t="str">
        <x:v>Unit</x:v>
      </x:c>
      <x:c r="K1434" t="str">
        <x:v>In stock</x:v>
      </x:c>
      <x:c r="L1434" t="str">
        <x:v>2026-09-08</x:v>
      </x:c>
      <x:c r="M1434" t="str"/>
      <x:c r="N1434" t="str"/>
      <x:c r="O1434" t="str">
        <x:v>https://www.activesportstrade.co.uk/hydration-supplements-trade</x:v>
      </x:c>
      <x:c r="P1434" t="str">
        <x:v>SPECIAL OFFER and NEW wording removed.</x:v>
      </x:c>
      <x:c r="Q1434" t="str"/>
      <x:c r="R1434" t="str"/>
      <x:c r="S1434" t="str">
        <x:v>Pending genuine supplier/brand image</x:v>
      </x:c>
      <x:c r="T1434" s="54"/>
      <x:c r="U1434" s="47" t="n">
        <x:v>0.2</x:v>
      </x:c>
      <x:c r="V1434" s="54" t="str">
        <x:f>IF(ISNUMBER(T1434),T1434*(1+U1434),"")</x:f>
      </x:c>
      <x:c r="W1434" s="47" t="n">
        <x:v>0.3</x:v>
      </x:c>
      <x:c r="X1434" s="54" t="str">
        <x:f>IF(ISNUMBER(V1434),V1434/(1-W1434),"")</x:f>
      </x:c>
      <x:c r="Y1434" s="55" t="str">
        <x:f>IF(ISNUMBER(X1434),ROUNDUP(X1434,0),"")</x:f>
      </x:c>
      <x:c r="Z1434" t="str">
        <x:f>IF(ISNUMBER(T1434),"Cost captured","Awaiting trade cost")</x:f>
        <x:v>Awaiting trade cost</x:v>
      </x:c>
      <x:c r="AB1434" s="36" t="str">
        <x:f>IF(ISNUMBER(Y1434),ROUND(Y1434*0.9,2),"")</x:f>
      </x:c>
      <x:c r="AC1434" s="36" t="str">
        <x:f>IF(ISNUMBER(AB1434),ROUND(AB1434-(AB1434*0.015+0.2)-V1434,2),"")</x:f>
      </x:c>
      <x:c r="AD1434" s="36" t="str">
        <x:f>IF(ISNUMBER(Y1434),ROUND(Y1434*0.8,2),"")</x:f>
      </x:c>
      <x:c r="AE1434" s="36" t="str">
        <x:f>IF(ISNUMBER(AD1434),ROUND(AD1434*0.015+0.2,2),"")</x:f>
      </x:c>
      <x:c r="AF1434" s="36" t="str">
        <x:f>IF(ISNUMBER(AD1434),ROUND(AD1434-AE1434-V1434,2),"")</x:f>
      </x:c>
      <x:c r="AG1434" t="str">
        <x:f>IF(NOT(ISNUMBER(T1434)),"PENDING",IF(AF1434&gt;0,"PASS","FAIL"))</x:f>
        <x:v>PENDING</x:v>
      </x:c>
      <x:c r="AH1434" t="str">
        <x:f>IF(NOT(ISNUMBER(T1434)),"Needs supplier cost",IF(K1434&lt;&gt;"In stock","Supplier unavailable",IF(AG1434&lt;&gt;"PASS","BLOCK - GT loss risk","Commercially protected")))</x:f>
        <x:v>Needs supplier cost</x:v>
      </x:c>
      <x:c r="AI1434" t="str">
        <x:v>2026-09-10 Active Sports trade capture</x:v>
      </x:c>
      <x:c r="AJ1434" t="str">
        <x:v>Management-only economics. Stripe stress test uses 1.5% + £0.20 standard UK online-card fee; pallet/mix-and-match pricing ignored.</x:v>
      </x:c>
    </x:row>
    <x:row r="1435">
      <x:c r="A1435" t="str">
        <x:v>Active Sports Nutrition</x:v>
      </x:c>
      <x:c r="B1435" t="str">
        <x:v>Naughty Boy Lifestyle</x:v>
      </x:c>
      <x:c r="C1435" t="str">
        <x:v>Hydration</x:v>
      </x:c>
      <x:c r="D1435" t="str">
        <x:v>Supplements</x:v>
      </x:c>
      <x:c r="E1435" t="str">
        <x:v>Hydration</x:v>
      </x:c>
      <x:c r="F1435" t="str">
        <x:v>Electrolyte hydration powder.</x:v>
      </x:c>
      <x:c r="G1435" t="str">
        <x:v>30 servings</x:v>
      </x:c>
      <x:c r="H1435" t="str">
        <x:v>Candy Bubblegum</x:v>
      </x:c>
      <x:c r="I1435" t="str"/>
      <x:c r="J1435" t="str">
        <x:v>Unit</x:v>
      </x:c>
      <x:c r="K1435" t="str">
        <x:v>In stock</x:v>
      </x:c>
      <x:c r="L1435" t="str">
        <x:v>2026-09-08</x:v>
      </x:c>
      <x:c r="M1435" t="str"/>
      <x:c r="N1435" t="str"/>
      <x:c r="O1435" t="str">
        <x:v>https://www.activesportstrade.co.uk/hydration-supplements-trade</x:v>
      </x:c>
      <x:c r="P1435" t="str">
        <x:v>SPECIAL OFFER and NEW wording removed.</x:v>
      </x:c>
      <x:c r="Q1435" t="str"/>
      <x:c r="R1435" t="str"/>
      <x:c r="S1435" t="str">
        <x:v>Pending genuine supplier/brand image</x:v>
      </x:c>
      <x:c r="T1435" s="54"/>
      <x:c r="U1435" s="47" t="n">
        <x:v>0.2</x:v>
      </x:c>
      <x:c r="V1435" s="54" t="str">
        <x:f>IF(ISNUMBER(T1435),T1435*(1+U1435),"")</x:f>
      </x:c>
      <x:c r="W1435" s="47" t="n">
        <x:v>0.3</x:v>
      </x:c>
      <x:c r="X1435" s="54" t="str">
        <x:f>IF(ISNUMBER(V1435),V1435/(1-W1435),"")</x:f>
      </x:c>
      <x:c r="Y1435" s="55" t="str">
        <x:f>IF(ISNUMBER(X1435),ROUNDUP(X1435,0),"")</x:f>
      </x:c>
      <x:c r="Z1435" t="str">
        <x:f>IF(ISNUMBER(T1435),"Cost captured","Awaiting trade cost")</x:f>
        <x:v>Awaiting trade cost</x:v>
      </x:c>
      <x:c r="AB1435" s="36" t="str">
        <x:f>IF(ISNUMBER(Y1435),ROUND(Y1435*0.9,2),"")</x:f>
      </x:c>
      <x:c r="AC1435" s="36" t="str">
        <x:f>IF(ISNUMBER(AB1435),ROUND(AB1435-(AB1435*0.015+0.2)-V1435,2),"")</x:f>
      </x:c>
      <x:c r="AD1435" s="36" t="str">
        <x:f>IF(ISNUMBER(Y1435),ROUND(Y1435*0.8,2),"")</x:f>
      </x:c>
      <x:c r="AE1435" s="36" t="str">
        <x:f>IF(ISNUMBER(AD1435),ROUND(AD1435*0.015+0.2,2),"")</x:f>
      </x:c>
      <x:c r="AF1435" s="36" t="str">
        <x:f>IF(ISNUMBER(AD1435),ROUND(AD1435-AE1435-V1435,2),"")</x:f>
      </x:c>
      <x:c r="AG1435" t="str">
        <x:f>IF(NOT(ISNUMBER(T1435)),"PENDING",IF(AF1435&gt;0,"PASS","FAIL"))</x:f>
        <x:v>PENDING</x:v>
      </x:c>
      <x:c r="AH1435" t="str">
        <x:f>IF(NOT(ISNUMBER(T1435)),"Needs supplier cost",IF(K1435&lt;&gt;"In stock","Supplier unavailable",IF(AG1435&lt;&gt;"PASS","BLOCK - GT loss risk","Commercially protected")))</x:f>
        <x:v>Needs supplier cost</x:v>
      </x:c>
      <x:c r="AI1435" t="str">
        <x:v>2026-09-10 Active Sports trade capture</x:v>
      </x:c>
      <x:c r="AJ1435" t="str">
        <x:v>Management-only economics. Stripe stress test uses 1.5% + £0.20 standard UK online-card fee; pallet/mix-and-match pricing ignored.</x:v>
      </x:c>
    </x:row>
    <x:row r="1436">
      <x:c r="A1436" t="str">
        <x:v>Active Sports Nutrition</x:v>
      </x:c>
      <x:c r="B1436" t="str">
        <x:v>Naughty Boy Lifestyle</x:v>
      </x:c>
      <x:c r="C1436" t="str">
        <x:v>Hydration</x:v>
      </x:c>
      <x:c r="D1436" t="str">
        <x:v>Supplements</x:v>
      </x:c>
      <x:c r="E1436" t="str">
        <x:v>Hydration</x:v>
      </x:c>
      <x:c r="F1436" t="str">
        <x:v>Electrolyte hydration powder.</x:v>
      </x:c>
      <x:c r="G1436" t="str">
        <x:v>30 servings</x:v>
      </x:c>
      <x:c r="H1436" t="str">
        <x:v>Cherry Mango</x:v>
      </x:c>
      <x:c r="I1436" t="str"/>
      <x:c r="J1436" t="str">
        <x:v>Unit</x:v>
      </x:c>
      <x:c r="K1436" t="str">
        <x:v>In stock</x:v>
      </x:c>
      <x:c r="L1436" t="str">
        <x:v>2026-09-08</x:v>
      </x:c>
      <x:c r="M1436" t="str"/>
      <x:c r="N1436" t="str"/>
      <x:c r="O1436" t="str">
        <x:v>https://www.activesportstrade.co.uk/hydration-supplements-trade</x:v>
      </x:c>
      <x:c r="P1436" t="str">
        <x:v>SPECIAL OFFER and NEW wording removed.</x:v>
      </x:c>
      <x:c r="Q1436" t="str"/>
      <x:c r="R1436" t="str"/>
      <x:c r="S1436" t="str">
        <x:v>Pending genuine supplier/brand image</x:v>
      </x:c>
      <x:c r="T1436" s="54"/>
      <x:c r="U1436" s="47" t="n">
        <x:v>0.2</x:v>
      </x:c>
      <x:c r="V1436" s="54" t="str">
        <x:f>IF(ISNUMBER(T1436),T1436*(1+U1436),"")</x:f>
      </x:c>
      <x:c r="W1436" s="47" t="n">
        <x:v>0.3</x:v>
      </x:c>
      <x:c r="X1436" s="54" t="str">
        <x:f>IF(ISNUMBER(V1436),V1436/(1-W1436),"")</x:f>
      </x:c>
      <x:c r="Y1436" s="55" t="str">
        <x:f>IF(ISNUMBER(X1436),ROUNDUP(X1436,0),"")</x:f>
      </x:c>
      <x:c r="Z1436" t="str">
        <x:f>IF(ISNUMBER(T1436),"Cost captured","Awaiting trade cost")</x:f>
        <x:v>Awaiting trade cost</x:v>
      </x:c>
      <x:c r="AB1436" s="36" t="str">
        <x:f>IF(ISNUMBER(Y1436),ROUND(Y1436*0.9,2),"")</x:f>
      </x:c>
      <x:c r="AC1436" s="36" t="str">
        <x:f>IF(ISNUMBER(AB1436),ROUND(AB1436-(AB1436*0.015+0.2)-V1436,2),"")</x:f>
      </x:c>
      <x:c r="AD1436" s="36" t="str">
        <x:f>IF(ISNUMBER(Y1436),ROUND(Y1436*0.8,2),"")</x:f>
      </x:c>
      <x:c r="AE1436" s="36" t="str">
        <x:f>IF(ISNUMBER(AD1436),ROUND(AD1436*0.015+0.2,2),"")</x:f>
      </x:c>
      <x:c r="AF1436" s="36" t="str">
        <x:f>IF(ISNUMBER(AD1436),ROUND(AD1436-AE1436-V1436,2),"")</x:f>
      </x:c>
      <x:c r="AG1436" t="str">
        <x:f>IF(NOT(ISNUMBER(T1436)),"PENDING",IF(AF1436&gt;0,"PASS","FAIL"))</x:f>
        <x:v>PENDING</x:v>
      </x:c>
      <x:c r="AH1436" t="str">
        <x:f>IF(NOT(ISNUMBER(T1436)),"Needs supplier cost",IF(K1436&lt;&gt;"In stock","Supplier unavailable",IF(AG1436&lt;&gt;"PASS","BLOCK - GT loss risk","Commercially protected")))</x:f>
        <x:v>Needs supplier cost</x:v>
      </x:c>
      <x:c r="AI1436" t="str">
        <x:v>2026-09-10 Active Sports trade capture</x:v>
      </x:c>
      <x:c r="AJ1436" t="str">
        <x:v>Management-only economics. Stripe stress test uses 1.5% + £0.20 standard UK online-card fee; pallet/mix-and-match pricing ignored.</x:v>
      </x:c>
    </x:row>
    <x:row r="1437">
      <x:c r="A1437" t="str">
        <x:v>Active Sports Nutrition</x:v>
      </x:c>
      <x:c r="B1437" t="str">
        <x:v>Naughty Boy Lifestyle</x:v>
      </x:c>
      <x:c r="C1437" t="str">
        <x:v>Hydration</x:v>
      </x:c>
      <x:c r="D1437" t="str">
        <x:v>Supplements</x:v>
      </x:c>
      <x:c r="E1437" t="str">
        <x:v>Hydration</x:v>
      </x:c>
      <x:c r="F1437" t="str">
        <x:v>Electrolyte hydration powder.</x:v>
      </x:c>
      <x:c r="G1437" t="str">
        <x:v>30 servings</x:v>
      </x:c>
      <x:c r="H1437" t="str">
        <x:v>Cherry Razz</x:v>
      </x:c>
      <x:c r="I1437" t="str"/>
      <x:c r="J1437" t="str">
        <x:v>Unit</x:v>
      </x:c>
      <x:c r="K1437" t="str">
        <x:v>In stock</x:v>
      </x:c>
      <x:c r="L1437" t="str">
        <x:v>2026-09-08</x:v>
      </x:c>
      <x:c r="M1437" t="str"/>
      <x:c r="N1437" t="str"/>
      <x:c r="O1437" t="str">
        <x:v>https://www.activesportstrade.co.uk/hydration-supplements-trade</x:v>
      </x:c>
      <x:c r="P1437" t="str">
        <x:v>SPECIAL OFFER and NEW wording removed.</x:v>
      </x:c>
      <x:c r="Q1437" t="str"/>
      <x:c r="R1437" t="str"/>
      <x:c r="S1437" t="str">
        <x:v>Pending genuine supplier/brand image</x:v>
      </x:c>
      <x:c r="T1437" s="54"/>
      <x:c r="U1437" s="47" t="n">
        <x:v>0.2</x:v>
      </x:c>
      <x:c r="V1437" s="54" t="str">
        <x:f>IF(ISNUMBER(T1437),T1437*(1+U1437),"")</x:f>
      </x:c>
      <x:c r="W1437" s="47" t="n">
        <x:v>0.3</x:v>
      </x:c>
      <x:c r="X1437" s="54" t="str">
        <x:f>IF(ISNUMBER(V1437),V1437/(1-W1437),"")</x:f>
      </x:c>
      <x:c r="Y1437" s="55" t="str">
        <x:f>IF(ISNUMBER(X1437),ROUNDUP(X1437,0),"")</x:f>
      </x:c>
      <x:c r="Z1437" t="str">
        <x:f>IF(ISNUMBER(T1437),"Cost captured","Awaiting trade cost")</x:f>
        <x:v>Awaiting trade cost</x:v>
      </x:c>
      <x:c r="AB1437" s="36" t="str">
        <x:f>IF(ISNUMBER(Y1437),ROUND(Y1437*0.9,2),"")</x:f>
      </x:c>
      <x:c r="AC1437" s="36" t="str">
        <x:f>IF(ISNUMBER(AB1437),ROUND(AB1437-(AB1437*0.015+0.2)-V1437,2),"")</x:f>
      </x:c>
      <x:c r="AD1437" s="36" t="str">
        <x:f>IF(ISNUMBER(Y1437),ROUND(Y1437*0.8,2),"")</x:f>
      </x:c>
      <x:c r="AE1437" s="36" t="str">
        <x:f>IF(ISNUMBER(AD1437),ROUND(AD1437*0.015+0.2,2),"")</x:f>
      </x:c>
      <x:c r="AF1437" s="36" t="str">
        <x:f>IF(ISNUMBER(AD1437),ROUND(AD1437-AE1437-V1437,2),"")</x:f>
      </x:c>
      <x:c r="AG1437" t="str">
        <x:f>IF(NOT(ISNUMBER(T1437)),"PENDING",IF(AF1437&gt;0,"PASS","FAIL"))</x:f>
        <x:v>PENDING</x:v>
      </x:c>
      <x:c r="AH1437" t="str">
        <x:f>IF(NOT(ISNUMBER(T1437)),"Needs supplier cost",IF(K1437&lt;&gt;"In stock","Supplier unavailable",IF(AG1437&lt;&gt;"PASS","BLOCK - GT loss risk","Commercially protected")))</x:f>
        <x:v>Needs supplier cost</x:v>
      </x:c>
      <x:c r="AI1437" t="str">
        <x:v>2026-09-10 Active Sports trade capture</x:v>
      </x:c>
      <x:c r="AJ1437" t="str">
        <x:v>Management-only economics. Stripe stress test uses 1.5% + £0.20 standard UK online-card fee; pallet/mix-and-match pricing ignored.</x:v>
      </x:c>
    </x:row>
    <x:row r="1438">
      <x:c r="A1438" t="str">
        <x:v>Active Sports Nutrition</x:v>
      </x:c>
      <x:c r="B1438" t="str">
        <x:v>Naughty Boy Lifestyle</x:v>
      </x:c>
      <x:c r="C1438" t="str">
        <x:v>Hydration</x:v>
      </x:c>
      <x:c r="D1438" t="str">
        <x:v>Supplements</x:v>
      </x:c>
      <x:c r="E1438" t="str">
        <x:v>Hydration</x:v>
      </x:c>
      <x:c r="F1438" t="str">
        <x:v>Electrolyte hydration powder.</x:v>
      </x:c>
      <x:c r="G1438" t="str">
        <x:v>30 servings</x:v>
      </x:c>
      <x:c r="H1438" t="str">
        <x:v>Citrus Dream</x:v>
      </x:c>
      <x:c r="I1438" t="str"/>
      <x:c r="J1438" t="str">
        <x:v>Unit</x:v>
      </x:c>
      <x:c r="K1438" t="str">
        <x:v>In stock</x:v>
      </x:c>
      <x:c r="L1438" t="str">
        <x:v>2026-09-08</x:v>
      </x:c>
      <x:c r="M1438" t="str"/>
      <x:c r="N1438" t="str"/>
      <x:c r="O1438" t="str">
        <x:v>https://www.activesportstrade.co.uk/hydration-supplements-trade</x:v>
      </x:c>
      <x:c r="P1438" t="str">
        <x:v>SPECIAL OFFER and NEW wording removed.</x:v>
      </x:c>
      <x:c r="Q1438" t="str"/>
      <x:c r="R1438" t="str"/>
      <x:c r="S1438" t="str">
        <x:v>Pending genuine supplier/brand image</x:v>
      </x:c>
      <x:c r="T1438" s="54"/>
      <x:c r="U1438" s="47" t="n">
        <x:v>0.2</x:v>
      </x:c>
      <x:c r="V1438" s="54" t="str">
        <x:f>IF(ISNUMBER(T1438),T1438*(1+U1438),"")</x:f>
      </x:c>
      <x:c r="W1438" s="47" t="n">
        <x:v>0.3</x:v>
      </x:c>
      <x:c r="X1438" s="54" t="str">
        <x:f>IF(ISNUMBER(V1438),V1438/(1-W1438),"")</x:f>
      </x:c>
      <x:c r="Y1438" s="55" t="str">
        <x:f>IF(ISNUMBER(X1438),ROUNDUP(X1438,0),"")</x:f>
      </x:c>
      <x:c r="Z1438" t="str">
        <x:f>IF(ISNUMBER(T1438),"Cost captured","Awaiting trade cost")</x:f>
        <x:v>Awaiting trade cost</x:v>
      </x:c>
      <x:c r="AB1438" s="36" t="str">
        <x:f>IF(ISNUMBER(Y1438),ROUND(Y1438*0.9,2),"")</x:f>
      </x:c>
      <x:c r="AC1438" s="36" t="str">
        <x:f>IF(ISNUMBER(AB1438),ROUND(AB1438-(AB1438*0.015+0.2)-V1438,2),"")</x:f>
      </x:c>
      <x:c r="AD1438" s="36" t="str">
        <x:f>IF(ISNUMBER(Y1438),ROUND(Y1438*0.8,2),"")</x:f>
      </x:c>
      <x:c r="AE1438" s="36" t="str">
        <x:f>IF(ISNUMBER(AD1438),ROUND(AD1438*0.015+0.2,2),"")</x:f>
      </x:c>
      <x:c r="AF1438" s="36" t="str">
        <x:f>IF(ISNUMBER(AD1438),ROUND(AD1438-AE1438-V1438,2),"")</x:f>
      </x:c>
      <x:c r="AG1438" t="str">
        <x:f>IF(NOT(ISNUMBER(T1438)),"PENDING",IF(AF1438&gt;0,"PASS","FAIL"))</x:f>
        <x:v>PENDING</x:v>
      </x:c>
      <x:c r="AH1438" t="str">
        <x:f>IF(NOT(ISNUMBER(T1438)),"Needs supplier cost",IF(K1438&lt;&gt;"In stock","Supplier unavailable",IF(AG1438&lt;&gt;"PASS","BLOCK - GT loss risk","Commercially protected")))</x:f>
        <x:v>Needs supplier cost</x:v>
      </x:c>
      <x:c r="AI1438" t="str">
        <x:v>2026-09-10 Active Sports trade capture</x:v>
      </x:c>
      <x:c r="AJ1438" t="str">
        <x:v>Management-only economics. Stripe stress test uses 1.5% + £0.20 standard UK online-card fee; pallet/mix-and-match pricing ignored.</x:v>
      </x:c>
    </x:row>
    <x:row r="1439">
      <x:c r="A1439" t="str">
        <x:v>Active Sports Nutrition</x:v>
      </x:c>
      <x:c r="B1439" t="str">
        <x:v>Naughty Boy Lifestyle</x:v>
      </x:c>
      <x:c r="C1439" t="str">
        <x:v>Hydration</x:v>
      </x:c>
      <x:c r="D1439" t="str">
        <x:v>Supplements</x:v>
      </x:c>
      <x:c r="E1439" t="str">
        <x:v>Hydration</x:v>
      </x:c>
      <x:c r="F1439" t="str">
        <x:v>Electrolyte hydration powder.</x:v>
      </x:c>
      <x:c r="G1439" t="str">
        <x:v>30 servings</x:v>
      </x:c>
      <x:c r="H1439" t="str">
        <x:v>CocoMelon</x:v>
      </x:c>
      <x:c r="I1439" t="str"/>
      <x:c r="J1439" t="str">
        <x:v>Unit</x:v>
      </x:c>
      <x:c r="K1439" t="str">
        <x:v>In stock</x:v>
      </x:c>
      <x:c r="L1439" t="str">
        <x:v>2026-09-08</x:v>
      </x:c>
      <x:c r="M1439" t="str"/>
      <x:c r="N1439" t="str"/>
      <x:c r="O1439" t="str">
        <x:v>https://www.activesportstrade.co.uk/hydration-supplements-trade</x:v>
      </x:c>
      <x:c r="P1439" t="str">
        <x:v>SPECIAL OFFER and NEW wording removed.</x:v>
      </x:c>
      <x:c r="Q1439" t="str"/>
      <x:c r="R1439" t="str"/>
      <x:c r="S1439" t="str">
        <x:v>Pending genuine supplier/brand image</x:v>
      </x:c>
      <x:c r="T1439" s="54"/>
      <x:c r="U1439" s="47" t="n">
        <x:v>0.2</x:v>
      </x:c>
      <x:c r="V1439" s="54" t="str">
        <x:f>IF(ISNUMBER(T1439),T1439*(1+U1439),"")</x:f>
      </x:c>
      <x:c r="W1439" s="47" t="n">
        <x:v>0.3</x:v>
      </x:c>
      <x:c r="X1439" s="54" t="str">
        <x:f>IF(ISNUMBER(V1439),V1439/(1-W1439),"")</x:f>
      </x:c>
      <x:c r="Y1439" s="55" t="str">
        <x:f>IF(ISNUMBER(X1439),ROUNDUP(X1439,0),"")</x:f>
      </x:c>
      <x:c r="Z1439" t="str">
        <x:f>IF(ISNUMBER(T1439),"Cost captured","Awaiting trade cost")</x:f>
        <x:v>Awaiting trade cost</x:v>
      </x:c>
      <x:c r="AB1439" s="36" t="str">
        <x:f>IF(ISNUMBER(Y1439),ROUND(Y1439*0.9,2),"")</x:f>
      </x:c>
      <x:c r="AC1439" s="36" t="str">
        <x:f>IF(ISNUMBER(AB1439),ROUND(AB1439-(AB1439*0.015+0.2)-V1439,2),"")</x:f>
      </x:c>
      <x:c r="AD1439" s="36" t="str">
        <x:f>IF(ISNUMBER(Y1439),ROUND(Y1439*0.8,2),"")</x:f>
      </x:c>
      <x:c r="AE1439" s="36" t="str">
        <x:f>IF(ISNUMBER(AD1439),ROUND(AD1439*0.015+0.2,2),"")</x:f>
      </x:c>
      <x:c r="AF1439" s="36" t="str">
        <x:f>IF(ISNUMBER(AD1439),ROUND(AD1439-AE1439-V1439,2),"")</x:f>
      </x:c>
      <x:c r="AG1439" t="str">
        <x:f>IF(NOT(ISNUMBER(T1439)),"PENDING",IF(AF1439&gt;0,"PASS","FAIL"))</x:f>
        <x:v>PENDING</x:v>
      </x:c>
      <x:c r="AH1439" t="str">
        <x:f>IF(NOT(ISNUMBER(T1439)),"Needs supplier cost",IF(K1439&lt;&gt;"In stock","Supplier unavailable",IF(AG1439&lt;&gt;"PASS","BLOCK - GT loss risk","Commercially protected")))</x:f>
        <x:v>Needs supplier cost</x:v>
      </x:c>
      <x:c r="AI1439" t="str">
        <x:v>2026-09-10 Active Sports trade capture</x:v>
      </x:c>
      <x:c r="AJ1439" t="str">
        <x:v>Management-only economics. Stripe stress test uses 1.5% + £0.20 standard UK online-card fee; pallet/mix-and-match pricing ignored.</x:v>
      </x:c>
    </x:row>
    <x:row r="1440">
      <x:c r="A1440" t="str">
        <x:v>Active Sports Nutrition</x:v>
      </x:c>
      <x:c r="B1440" t="str">
        <x:v>Naughty Boy Lifestyle</x:v>
      </x:c>
      <x:c r="C1440" t="str">
        <x:v>Hydration</x:v>
      </x:c>
      <x:c r="D1440" t="str">
        <x:v>Supplements</x:v>
      </x:c>
      <x:c r="E1440" t="str">
        <x:v>Hydration</x:v>
      </x:c>
      <x:c r="F1440" t="str">
        <x:v>Electrolyte hydration powder.</x:v>
      </x:c>
      <x:c r="G1440" t="str">
        <x:v>30 servings</x:v>
      </x:c>
      <x:c r="H1440" t="str">
        <x:v>Fizzy Peach Sweets</x:v>
      </x:c>
      <x:c r="I1440" t="str"/>
      <x:c r="J1440" t="str">
        <x:v>Unit</x:v>
      </x:c>
      <x:c r="K1440" t="str">
        <x:v>In stock</x:v>
      </x:c>
      <x:c r="L1440" t="str">
        <x:v>2026-09-08</x:v>
      </x:c>
      <x:c r="M1440" t="str"/>
      <x:c r="N1440" t="str"/>
      <x:c r="O1440" t="str">
        <x:v>https://www.activesportstrade.co.uk/hydration-supplements-trade</x:v>
      </x:c>
      <x:c r="P1440" t="str">
        <x:v>SPECIAL OFFER and NEW wording removed.</x:v>
      </x:c>
      <x:c r="Q1440" t="str"/>
      <x:c r="R1440" t="str"/>
      <x:c r="S1440" t="str">
        <x:v>Pending genuine supplier/brand image</x:v>
      </x:c>
      <x:c r="T1440" s="54"/>
      <x:c r="U1440" s="47" t="n">
        <x:v>0.2</x:v>
      </x:c>
      <x:c r="V1440" s="54" t="str">
        <x:f>IF(ISNUMBER(T1440),T1440*(1+U1440),"")</x:f>
      </x:c>
      <x:c r="W1440" s="47" t="n">
        <x:v>0.3</x:v>
      </x:c>
      <x:c r="X1440" s="54" t="str">
        <x:f>IF(ISNUMBER(V1440),V1440/(1-W1440),"")</x:f>
      </x:c>
      <x:c r="Y1440" s="55" t="str">
        <x:f>IF(ISNUMBER(X1440),ROUNDUP(X1440,0),"")</x:f>
      </x:c>
      <x:c r="Z1440" t="str">
        <x:f>IF(ISNUMBER(T1440),"Cost captured","Awaiting trade cost")</x:f>
        <x:v>Awaiting trade cost</x:v>
      </x:c>
      <x:c r="AB1440" s="36" t="str">
        <x:f>IF(ISNUMBER(Y1440),ROUND(Y1440*0.9,2),"")</x:f>
      </x:c>
      <x:c r="AC1440" s="36" t="str">
        <x:f>IF(ISNUMBER(AB1440),ROUND(AB1440-(AB1440*0.015+0.2)-V1440,2),"")</x:f>
      </x:c>
      <x:c r="AD1440" s="36" t="str">
        <x:f>IF(ISNUMBER(Y1440),ROUND(Y1440*0.8,2),"")</x:f>
      </x:c>
      <x:c r="AE1440" s="36" t="str">
        <x:f>IF(ISNUMBER(AD1440),ROUND(AD1440*0.015+0.2,2),"")</x:f>
      </x:c>
      <x:c r="AF1440" s="36" t="str">
        <x:f>IF(ISNUMBER(AD1440),ROUND(AD1440-AE1440-V1440,2),"")</x:f>
      </x:c>
      <x:c r="AG1440" t="str">
        <x:f>IF(NOT(ISNUMBER(T1440)),"PENDING",IF(AF1440&gt;0,"PASS","FAIL"))</x:f>
        <x:v>PENDING</x:v>
      </x:c>
      <x:c r="AH1440" t="str">
        <x:f>IF(NOT(ISNUMBER(T1440)),"Needs supplier cost",IF(K1440&lt;&gt;"In stock","Supplier unavailable",IF(AG1440&lt;&gt;"PASS","BLOCK - GT loss risk","Commercially protected")))</x:f>
        <x:v>Needs supplier cost</x:v>
      </x:c>
      <x:c r="AI1440" t="str">
        <x:v>2026-09-10 Active Sports trade capture</x:v>
      </x:c>
      <x:c r="AJ1440" t="str">
        <x:v>Management-only economics. Stripe stress test uses 1.5% + £0.20 standard UK online-card fee; pallet/mix-and-match pricing ignored.</x:v>
      </x:c>
    </x:row>
    <x:row r="1441">
      <x:c r="A1441" t="str">
        <x:v>Active Sports Nutrition</x:v>
      </x:c>
      <x:c r="B1441" t="str">
        <x:v>Naughty Boy Lifestyle</x:v>
      </x:c>
      <x:c r="C1441" t="str">
        <x:v>Hydration</x:v>
      </x:c>
      <x:c r="D1441" t="str">
        <x:v>Supplements</x:v>
      </x:c>
      <x:c r="E1441" t="str">
        <x:v>Hydration</x:v>
      </x:c>
      <x:c r="F1441" t="str">
        <x:v>Electrolyte hydration powder.</x:v>
      </x:c>
      <x:c r="G1441" t="str">
        <x:v>30 servings</x:v>
      </x:c>
      <x:c r="H1441" t="str">
        <x:v>Mafiosa Twist</x:v>
      </x:c>
      <x:c r="I1441" t="str"/>
      <x:c r="J1441" t="str">
        <x:v>Unit</x:v>
      </x:c>
      <x:c r="K1441" t="str">
        <x:v>In stock</x:v>
      </x:c>
      <x:c r="L1441" t="str">
        <x:v>2026-09-08</x:v>
      </x:c>
      <x:c r="M1441" t="str"/>
      <x:c r="N1441" t="str"/>
      <x:c r="O1441" t="str">
        <x:v>https://www.activesportstrade.co.uk/hydration-supplements-trade</x:v>
      </x:c>
      <x:c r="P1441" t="str">
        <x:v>SPECIAL OFFER and NEW wording removed.</x:v>
      </x:c>
      <x:c r="Q1441" t="str"/>
      <x:c r="R1441" t="str"/>
      <x:c r="S1441" t="str">
        <x:v>Pending genuine supplier/brand image</x:v>
      </x:c>
      <x:c r="T1441" s="54"/>
      <x:c r="U1441" s="47" t="n">
        <x:v>0.2</x:v>
      </x:c>
      <x:c r="V1441" s="54" t="str">
        <x:f>IF(ISNUMBER(T1441),T1441*(1+U1441),"")</x:f>
      </x:c>
      <x:c r="W1441" s="47" t="n">
        <x:v>0.3</x:v>
      </x:c>
      <x:c r="X1441" s="54" t="str">
        <x:f>IF(ISNUMBER(V1441),V1441/(1-W1441),"")</x:f>
      </x:c>
      <x:c r="Y1441" s="55" t="str">
        <x:f>IF(ISNUMBER(X1441),ROUNDUP(X1441,0),"")</x:f>
      </x:c>
      <x:c r="Z1441" t="str">
        <x:f>IF(ISNUMBER(T1441),"Cost captured","Awaiting trade cost")</x:f>
        <x:v>Awaiting trade cost</x:v>
      </x:c>
      <x:c r="AB1441" s="36" t="str">
        <x:f>IF(ISNUMBER(Y1441),ROUND(Y1441*0.9,2),"")</x:f>
      </x:c>
      <x:c r="AC1441" s="36" t="str">
        <x:f>IF(ISNUMBER(AB1441),ROUND(AB1441-(AB1441*0.015+0.2)-V1441,2),"")</x:f>
      </x:c>
      <x:c r="AD1441" s="36" t="str">
        <x:f>IF(ISNUMBER(Y1441),ROUND(Y1441*0.8,2),"")</x:f>
      </x:c>
      <x:c r="AE1441" s="36" t="str">
        <x:f>IF(ISNUMBER(AD1441),ROUND(AD1441*0.015+0.2,2),"")</x:f>
      </x:c>
      <x:c r="AF1441" s="36" t="str">
        <x:f>IF(ISNUMBER(AD1441),ROUND(AD1441-AE1441-V1441,2),"")</x:f>
      </x:c>
      <x:c r="AG1441" t="str">
        <x:f>IF(NOT(ISNUMBER(T1441)),"PENDING",IF(AF1441&gt;0,"PASS","FAIL"))</x:f>
        <x:v>PENDING</x:v>
      </x:c>
      <x:c r="AH1441" t="str">
        <x:f>IF(NOT(ISNUMBER(T1441)),"Needs supplier cost",IF(K1441&lt;&gt;"In stock","Supplier unavailable",IF(AG1441&lt;&gt;"PASS","BLOCK - GT loss risk","Commercially protected")))</x:f>
        <x:v>Needs supplier cost</x:v>
      </x:c>
      <x:c r="AI1441" t="str">
        <x:v>2026-09-10 Active Sports trade capture</x:v>
      </x:c>
      <x:c r="AJ1441" t="str">
        <x:v>Management-only economics. Stripe stress test uses 1.5% + £0.20 standard UK online-card fee; pallet/mix-and-match pricing ignored.</x:v>
      </x:c>
    </x:row>
    <x:row r="1442">
      <x:c r="A1442" t="str">
        <x:v>Active Sports Nutrition</x:v>
      </x:c>
      <x:c r="B1442" t="str">
        <x:v>Naughty Boy Lifestyle</x:v>
      </x:c>
      <x:c r="C1442" t="str">
        <x:v>Hydration</x:v>
      </x:c>
      <x:c r="D1442" t="str">
        <x:v>Supplements</x:v>
      </x:c>
      <x:c r="E1442" t="str">
        <x:v>Hydration</x:v>
      </x:c>
      <x:c r="F1442" t="str">
        <x:v>Electrolyte hydration powder.</x:v>
      </x:c>
      <x:c r="G1442" t="str">
        <x:v>30 servings</x:v>
      </x:c>
      <x:c r="H1442" t="str">
        <x:v>Pick N Mix</x:v>
      </x:c>
      <x:c r="I1442" t="str"/>
      <x:c r="J1442" t="str">
        <x:v>Unit</x:v>
      </x:c>
      <x:c r="K1442" t="str">
        <x:v>In stock</x:v>
      </x:c>
      <x:c r="L1442" t="str">
        <x:v>2026-09-08</x:v>
      </x:c>
      <x:c r="M1442" t="str"/>
      <x:c r="N1442" t="str"/>
      <x:c r="O1442" t="str">
        <x:v>https://www.activesportstrade.co.uk/hydration-supplements-trade</x:v>
      </x:c>
      <x:c r="P1442" t="str">
        <x:v>SPECIAL OFFER and NEW wording removed.</x:v>
      </x:c>
      <x:c r="Q1442" t="str"/>
      <x:c r="R1442" t="str"/>
      <x:c r="S1442" t="str">
        <x:v>Pending genuine supplier/brand image</x:v>
      </x:c>
      <x:c r="T1442" s="54"/>
      <x:c r="U1442" s="47" t="n">
        <x:v>0.2</x:v>
      </x:c>
      <x:c r="V1442" s="54" t="str">
        <x:f>IF(ISNUMBER(T1442),T1442*(1+U1442),"")</x:f>
      </x:c>
      <x:c r="W1442" s="47" t="n">
        <x:v>0.3</x:v>
      </x:c>
      <x:c r="X1442" s="54" t="str">
        <x:f>IF(ISNUMBER(V1442),V1442/(1-W1442),"")</x:f>
      </x:c>
      <x:c r="Y1442" s="55" t="str">
        <x:f>IF(ISNUMBER(X1442),ROUNDUP(X1442,0),"")</x:f>
      </x:c>
      <x:c r="Z1442" t="str">
        <x:f>IF(ISNUMBER(T1442),"Cost captured","Awaiting trade cost")</x:f>
        <x:v>Awaiting trade cost</x:v>
      </x:c>
      <x:c r="AB1442" s="36" t="str">
        <x:f>IF(ISNUMBER(Y1442),ROUND(Y1442*0.9,2),"")</x:f>
      </x:c>
      <x:c r="AC1442" s="36" t="str">
        <x:f>IF(ISNUMBER(AB1442),ROUND(AB1442-(AB1442*0.015+0.2)-V1442,2),"")</x:f>
      </x:c>
      <x:c r="AD1442" s="36" t="str">
        <x:f>IF(ISNUMBER(Y1442),ROUND(Y1442*0.8,2),"")</x:f>
      </x:c>
      <x:c r="AE1442" s="36" t="str">
        <x:f>IF(ISNUMBER(AD1442),ROUND(AD1442*0.015+0.2,2),"")</x:f>
      </x:c>
      <x:c r="AF1442" s="36" t="str">
        <x:f>IF(ISNUMBER(AD1442),ROUND(AD1442-AE1442-V1442,2),"")</x:f>
      </x:c>
      <x:c r="AG1442" t="str">
        <x:f>IF(NOT(ISNUMBER(T1442)),"PENDING",IF(AF1442&gt;0,"PASS","FAIL"))</x:f>
        <x:v>PENDING</x:v>
      </x:c>
      <x:c r="AH1442" t="str">
        <x:f>IF(NOT(ISNUMBER(T1442)),"Needs supplier cost",IF(K1442&lt;&gt;"In stock","Supplier unavailable",IF(AG1442&lt;&gt;"PASS","BLOCK - GT loss risk","Commercially protected")))</x:f>
        <x:v>Needs supplier cost</x:v>
      </x:c>
      <x:c r="AI1442" t="str">
        <x:v>2026-09-10 Active Sports trade capture</x:v>
      </x:c>
      <x:c r="AJ1442" t="str">
        <x:v>Management-only economics. Stripe stress test uses 1.5% + £0.20 standard UK online-card fee; pallet/mix-and-match pricing ignored.</x:v>
      </x:c>
    </x:row>
    <x:row r="1443">
      <x:c r="A1443" t="str">
        <x:v>Active Sports Nutrition</x:v>
      </x:c>
      <x:c r="B1443" t="str">
        <x:v>Naughty Boy Lifestyle</x:v>
      </x:c>
      <x:c r="C1443" t="str">
        <x:v>Hydration</x:v>
      </x:c>
      <x:c r="D1443" t="str">
        <x:v>Supplements</x:v>
      </x:c>
      <x:c r="E1443" t="str">
        <x:v>Hydration</x:v>
      </x:c>
      <x:c r="F1443" t="str">
        <x:v>Electrolyte hydration powder.</x:v>
      </x:c>
      <x:c r="G1443" t="str">
        <x:v>30 servings</x:v>
      </x:c>
      <x:c r="H1443" t="str">
        <x:v>Pink Lemonade</x:v>
      </x:c>
      <x:c r="I1443" t="str"/>
      <x:c r="J1443" t="str">
        <x:v>Unit</x:v>
      </x:c>
      <x:c r="K1443" t="str">
        <x:v>In stock</x:v>
      </x:c>
      <x:c r="L1443" t="str">
        <x:v>2026-09-08</x:v>
      </x:c>
      <x:c r="M1443" t="str"/>
      <x:c r="N1443" t="str"/>
      <x:c r="O1443" t="str">
        <x:v>https://www.activesportstrade.co.uk/hydration-supplements-trade</x:v>
      </x:c>
      <x:c r="P1443" t="str">
        <x:v>SPECIAL OFFER and NEW wording removed.</x:v>
      </x:c>
      <x:c r="Q1443" t="str"/>
      <x:c r="R1443" t="str"/>
      <x:c r="S1443" t="str">
        <x:v>Pending genuine supplier/brand image</x:v>
      </x:c>
      <x:c r="T1443" s="54"/>
      <x:c r="U1443" s="47" t="n">
        <x:v>0.2</x:v>
      </x:c>
      <x:c r="V1443" s="54" t="str">
        <x:f>IF(ISNUMBER(T1443),T1443*(1+U1443),"")</x:f>
      </x:c>
      <x:c r="W1443" s="47" t="n">
        <x:v>0.3</x:v>
      </x:c>
      <x:c r="X1443" s="54" t="str">
        <x:f>IF(ISNUMBER(V1443),V1443/(1-W1443),"")</x:f>
      </x:c>
      <x:c r="Y1443" s="55" t="str">
        <x:f>IF(ISNUMBER(X1443),ROUNDUP(X1443,0),"")</x:f>
      </x:c>
      <x:c r="Z1443" t="str">
        <x:f>IF(ISNUMBER(T1443),"Cost captured","Awaiting trade cost")</x:f>
        <x:v>Awaiting trade cost</x:v>
      </x:c>
      <x:c r="AB1443" s="36" t="str">
        <x:f>IF(ISNUMBER(Y1443),ROUND(Y1443*0.9,2),"")</x:f>
      </x:c>
      <x:c r="AC1443" s="36" t="str">
        <x:f>IF(ISNUMBER(AB1443),ROUND(AB1443-(AB1443*0.015+0.2)-V1443,2),"")</x:f>
      </x:c>
      <x:c r="AD1443" s="36" t="str">
        <x:f>IF(ISNUMBER(Y1443),ROUND(Y1443*0.8,2),"")</x:f>
      </x:c>
      <x:c r="AE1443" s="36" t="str">
        <x:f>IF(ISNUMBER(AD1443),ROUND(AD1443*0.015+0.2,2),"")</x:f>
      </x:c>
      <x:c r="AF1443" s="36" t="str">
        <x:f>IF(ISNUMBER(AD1443),ROUND(AD1443-AE1443-V1443,2),"")</x:f>
      </x:c>
      <x:c r="AG1443" t="str">
        <x:f>IF(NOT(ISNUMBER(T1443)),"PENDING",IF(AF1443&gt;0,"PASS","FAIL"))</x:f>
        <x:v>PENDING</x:v>
      </x:c>
      <x:c r="AH1443" t="str">
        <x:f>IF(NOT(ISNUMBER(T1443)),"Needs supplier cost",IF(K1443&lt;&gt;"In stock","Supplier unavailable",IF(AG1443&lt;&gt;"PASS","BLOCK - GT loss risk","Commercially protected")))</x:f>
        <x:v>Needs supplier cost</x:v>
      </x:c>
      <x:c r="AI1443" t="str">
        <x:v>2026-09-10 Active Sports trade capture</x:v>
      </x:c>
      <x:c r="AJ1443" t="str">
        <x:v>Management-only economics. Stripe stress test uses 1.5% + £0.20 standard UK online-card fee; pallet/mix-and-match pricing ignored.</x:v>
      </x:c>
    </x:row>
    <x:row r="1444">
      <x:c r="A1444" t="str">
        <x:v>Active Sports Nutrition</x:v>
      </x:c>
      <x:c r="B1444" t="str">
        <x:v>Naughty Boy Lifestyle</x:v>
      </x:c>
      <x:c r="C1444" t="str">
        <x:v>Hydration</x:v>
      </x:c>
      <x:c r="D1444" t="str">
        <x:v>Supplements</x:v>
      </x:c>
      <x:c r="E1444" t="str">
        <x:v>Hydration</x:v>
      </x:c>
      <x:c r="F1444" t="str">
        <x:v>Electrolyte hydration powder.</x:v>
      </x:c>
      <x:c r="G1444" t="str">
        <x:v>30 servings</x:v>
      </x:c>
      <x:c r="H1444" t="str">
        <x:v>Strawberry Kiwi</x:v>
      </x:c>
      <x:c r="I1444" t="str"/>
      <x:c r="J1444" t="str">
        <x:v>Unit</x:v>
      </x:c>
      <x:c r="K1444" t="str">
        <x:v>In stock</x:v>
      </x:c>
      <x:c r="L1444" t="str">
        <x:v>2026-09-08</x:v>
      </x:c>
      <x:c r="M1444" t="str"/>
      <x:c r="N1444" t="str"/>
      <x:c r="O1444" t="str">
        <x:v>https://www.activesportstrade.co.uk/hydration-supplements-trade</x:v>
      </x:c>
      <x:c r="P1444" t="str">
        <x:v>SPECIAL OFFER and NEW wording removed.</x:v>
      </x:c>
      <x:c r="Q1444" t="str"/>
      <x:c r="R1444" t="str"/>
      <x:c r="S1444" t="str">
        <x:v>Pending genuine supplier/brand image</x:v>
      </x:c>
      <x:c r="T1444" s="54"/>
      <x:c r="U1444" s="47" t="n">
        <x:v>0.2</x:v>
      </x:c>
      <x:c r="V1444" s="54" t="str">
        <x:f>IF(ISNUMBER(T1444),T1444*(1+U1444),"")</x:f>
      </x:c>
      <x:c r="W1444" s="47" t="n">
        <x:v>0.3</x:v>
      </x:c>
      <x:c r="X1444" s="54" t="str">
        <x:f>IF(ISNUMBER(V1444),V1444/(1-W1444),"")</x:f>
      </x:c>
      <x:c r="Y1444" s="55" t="str">
        <x:f>IF(ISNUMBER(X1444),ROUNDUP(X1444,0),"")</x:f>
      </x:c>
      <x:c r="Z1444" t="str">
        <x:f>IF(ISNUMBER(T1444),"Cost captured","Awaiting trade cost")</x:f>
        <x:v>Awaiting trade cost</x:v>
      </x:c>
      <x:c r="AB1444" s="36" t="str">
        <x:f>IF(ISNUMBER(Y1444),ROUND(Y1444*0.9,2),"")</x:f>
      </x:c>
      <x:c r="AC1444" s="36" t="str">
        <x:f>IF(ISNUMBER(AB1444),ROUND(AB1444-(AB1444*0.015+0.2)-V1444,2),"")</x:f>
      </x:c>
      <x:c r="AD1444" s="36" t="str">
        <x:f>IF(ISNUMBER(Y1444),ROUND(Y1444*0.8,2),"")</x:f>
      </x:c>
      <x:c r="AE1444" s="36" t="str">
        <x:f>IF(ISNUMBER(AD1444),ROUND(AD1444*0.015+0.2,2),"")</x:f>
      </x:c>
      <x:c r="AF1444" s="36" t="str">
        <x:f>IF(ISNUMBER(AD1444),ROUND(AD1444-AE1444-V1444,2),"")</x:f>
      </x:c>
      <x:c r="AG1444" t="str">
        <x:f>IF(NOT(ISNUMBER(T1444)),"PENDING",IF(AF1444&gt;0,"PASS","FAIL"))</x:f>
        <x:v>PENDING</x:v>
      </x:c>
      <x:c r="AH1444" t="str">
        <x:f>IF(NOT(ISNUMBER(T1444)),"Needs supplier cost",IF(K1444&lt;&gt;"In stock","Supplier unavailable",IF(AG1444&lt;&gt;"PASS","BLOCK - GT loss risk","Commercially protected")))</x:f>
        <x:v>Needs supplier cost</x:v>
      </x:c>
      <x:c r="AI1444" t="str">
        <x:v>2026-09-10 Active Sports trade capture</x:v>
      </x:c>
      <x:c r="AJ1444" t="str">
        <x:v>Management-only economics. Stripe stress test uses 1.5% + £0.20 standard UK online-card fee; pallet/mix-and-match pricing ignored.</x:v>
      </x:c>
    </x:row>
    <x:row r="1445">
      <x:c r="A1445" t="str">
        <x:v>Active Sports Nutrition</x:v>
      </x:c>
      <x:c r="B1445" t="str">
        <x:v>Naughty Boy Lifestyle</x:v>
      </x:c>
      <x:c r="C1445" t="str">
        <x:v>Hydration</x:v>
      </x:c>
      <x:c r="D1445" t="str">
        <x:v>Supplements</x:v>
      </x:c>
      <x:c r="E1445" t="str">
        <x:v>Hydration</x:v>
      </x:c>
      <x:c r="F1445" t="str">
        <x:v>Electrolyte hydration powder.</x:v>
      </x:c>
      <x:c r="G1445" t="str">
        <x:v>30 servings</x:v>
      </x:c>
      <x:c r="H1445" t="str">
        <x:v>Strawberry Mango</x:v>
      </x:c>
      <x:c r="I1445" t="str"/>
      <x:c r="J1445" t="str">
        <x:v>Unit</x:v>
      </x:c>
      <x:c r="K1445" t="str">
        <x:v>In stock</x:v>
      </x:c>
      <x:c r="L1445" t="str">
        <x:v>2026-09-08</x:v>
      </x:c>
      <x:c r="M1445" t="str"/>
      <x:c r="N1445" t="str"/>
      <x:c r="O1445" t="str">
        <x:v>https://www.activesportstrade.co.uk/hydration-supplements-trade</x:v>
      </x:c>
      <x:c r="P1445" t="str">
        <x:v>SPECIAL OFFER and NEW wording removed.</x:v>
      </x:c>
      <x:c r="Q1445" t="str"/>
      <x:c r="R1445" t="str"/>
      <x:c r="S1445" t="str">
        <x:v>Pending genuine supplier/brand image</x:v>
      </x:c>
      <x:c r="T1445" s="54"/>
      <x:c r="U1445" s="47" t="n">
        <x:v>0.2</x:v>
      </x:c>
      <x:c r="V1445" s="54" t="str">
        <x:f>IF(ISNUMBER(T1445),T1445*(1+U1445),"")</x:f>
      </x:c>
      <x:c r="W1445" s="47" t="n">
        <x:v>0.3</x:v>
      </x:c>
      <x:c r="X1445" s="54" t="str">
        <x:f>IF(ISNUMBER(V1445),V1445/(1-W1445),"")</x:f>
      </x:c>
      <x:c r="Y1445" s="55" t="str">
        <x:f>IF(ISNUMBER(X1445),ROUNDUP(X1445,0),"")</x:f>
      </x:c>
      <x:c r="Z1445" t="str">
        <x:f>IF(ISNUMBER(T1445),"Cost captured","Awaiting trade cost")</x:f>
        <x:v>Awaiting trade cost</x:v>
      </x:c>
      <x:c r="AB1445" s="36" t="str">
        <x:f>IF(ISNUMBER(Y1445),ROUND(Y1445*0.9,2),"")</x:f>
      </x:c>
      <x:c r="AC1445" s="36" t="str">
        <x:f>IF(ISNUMBER(AB1445),ROUND(AB1445-(AB1445*0.015+0.2)-V1445,2),"")</x:f>
      </x:c>
      <x:c r="AD1445" s="36" t="str">
        <x:f>IF(ISNUMBER(Y1445),ROUND(Y1445*0.8,2),"")</x:f>
      </x:c>
      <x:c r="AE1445" s="36" t="str">
        <x:f>IF(ISNUMBER(AD1445),ROUND(AD1445*0.015+0.2,2),"")</x:f>
      </x:c>
      <x:c r="AF1445" s="36" t="str">
        <x:f>IF(ISNUMBER(AD1445),ROUND(AD1445-AE1445-V1445,2),"")</x:f>
      </x:c>
      <x:c r="AG1445" t="str">
        <x:f>IF(NOT(ISNUMBER(T1445)),"PENDING",IF(AF1445&gt;0,"PASS","FAIL"))</x:f>
        <x:v>PENDING</x:v>
      </x:c>
      <x:c r="AH1445" t="str">
        <x:f>IF(NOT(ISNUMBER(T1445)),"Needs supplier cost",IF(K1445&lt;&gt;"In stock","Supplier unavailable",IF(AG1445&lt;&gt;"PASS","BLOCK - GT loss risk","Commercially protected")))</x:f>
        <x:v>Needs supplier cost</x:v>
      </x:c>
      <x:c r="AI1445" t="str">
        <x:v>2026-09-10 Active Sports trade capture</x:v>
      </x:c>
      <x:c r="AJ1445" t="str">
        <x:v>Management-only economics. Stripe stress test uses 1.5% + £0.20 standard UK online-card fee; pallet/mix-and-match pricing ignored.</x:v>
      </x:c>
    </x:row>
    <x:row r="1446">
      <x:c r="A1446" t="str">
        <x:v>Active Sports Nutrition</x:v>
      </x:c>
      <x:c r="B1446" t="str">
        <x:v>Naughty Boy Lifestyle</x:v>
      </x:c>
      <x:c r="C1446" t="str">
        <x:v>Hydration</x:v>
      </x:c>
      <x:c r="D1446" t="str">
        <x:v>Supplements</x:v>
      </x:c>
      <x:c r="E1446" t="str">
        <x:v>Hydration</x:v>
      </x:c>
      <x:c r="F1446" t="str">
        <x:v>Electrolyte hydration powder.</x:v>
      </x:c>
      <x:c r="G1446" t="str">
        <x:v>30 servings</x:v>
      </x:c>
      <x:c r="H1446" t="str">
        <x:v>Strawberry Pineapple</x:v>
      </x:c>
      <x:c r="I1446" t="str"/>
      <x:c r="J1446" t="str">
        <x:v>Unit</x:v>
      </x:c>
      <x:c r="K1446" t="str">
        <x:v>In stock</x:v>
      </x:c>
      <x:c r="L1446" t="str">
        <x:v>2026-09-08</x:v>
      </x:c>
      <x:c r="M1446" t="str"/>
      <x:c r="N1446" t="str"/>
      <x:c r="O1446" t="str">
        <x:v>https://www.activesportstrade.co.uk/hydration-supplements-trade</x:v>
      </x:c>
      <x:c r="P1446" t="str">
        <x:v>SPECIAL OFFER and NEW wording removed.</x:v>
      </x:c>
      <x:c r="Q1446" t="str"/>
      <x:c r="R1446" t="str"/>
      <x:c r="S1446" t="str">
        <x:v>Pending genuine supplier/brand image</x:v>
      </x:c>
      <x:c r="T1446" s="54"/>
      <x:c r="U1446" s="47" t="n">
        <x:v>0.2</x:v>
      </x:c>
      <x:c r="V1446" s="54" t="str">
        <x:f>IF(ISNUMBER(T1446),T1446*(1+U1446),"")</x:f>
      </x:c>
      <x:c r="W1446" s="47" t="n">
        <x:v>0.3</x:v>
      </x:c>
      <x:c r="X1446" s="54" t="str">
        <x:f>IF(ISNUMBER(V1446),V1446/(1-W1446),"")</x:f>
      </x:c>
      <x:c r="Y1446" s="55" t="str">
        <x:f>IF(ISNUMBER(X1446),ROUNDUP(X1446,0),"")</x:f>
      </x:c>
      <x:c r="Z1446" t="str">
        <x:f>IF(ISNUMBER(T1446),"Cost captured","Awaiting trade cost")</x:f>
        <x:v>Awaiting trade cost</x:v>
      </x:c>
      <x:c r="AB1446" s="36" t="str">
        <x:f>IF(ISNUMBER(Y1446),ROUND(Y1446*0.9,2),"")</x:f>
      </x:c>
      <x:c r="AC1446" s="36" t="str">
        <x:f>IF(ISNUMBER(AB1446),ROUND(AB1446-(AB1446*0.015+0.2)-V1446,2),"")</x:f>
      </x:c>
      <x:c r="AD1446" s="36" t="str">
        <x:f>IF(ISNUMBER(Y1446),ROUND(Y1446*0.8,2),"")</x:f>
      </x:c>
      <x:c r="AE1446" s="36" t="str">
        <x:f>IF(ISNUMBER(AD1446),ROUND(AD1446*0.015+0.2,2),"")</x:f>
      </x:c>
      <x:c r="AF1446" s="36" t="str">
        <x:f>IF(ISNUMBER(AD1446),ROUND(AD1446-AE1446-V1446,2),"")</x:f>
      </x:c>
      <x:c r="AG1446" t="str">
        <x:f>IF(NOT(ISNUMBER(T1446)),"PENDING",IF(AF1446&gt;0,"PASS","FAIL"))</x:f>
        <x:v>PENDING</x:v>
      </x:c>
      <x:c r="AH1446" t="str">
        <x:f>IF(NOT(ISNUMBER(T1446)),"Needs supplier cost",IF(K1446&lt;&gt;"In stock","Supplier unavailable",IF(AG1446&lt;&gt;"PASS","BLOCK - GT loss risk","Commercially protected")))</x:f>
        <x:v>Needs supplier cost</x:v>
      </x:c>
      <x:c r="AI1446" t="str">
        <x:v>2026-09-10 Active Sports trade capture</x:v>
      </x:c>
      <x:c r="AJ1446" t="str">
        <x:v>Management-only economics. Stripe stress test uses 1.5% + £0.20 standard UK online-card fee; pallet/mix-and-match pricing ignored.</x:v>
      </x:c>
    </x:row>
    <x:row r="1447">
      <x:c r="A1447" t="str">
        <x:v>Active Sports Nutrition</x:v>
      </x:c>
      <x:c r="B1447" t="str">
        <x:v>Naughty Boy Lifestyle</x:v>
      </x:c>
      <x:c r="C1447" t="str">
        <x:v>Hydration</x:v>
      </x:c>
      <x:c r="D1447" t="str">
        <x:v>Supplements</x:v>
      </x:c>
      <x:c r="E1447" t="str">
        <x:v>Hydration</x:v>
      </x:c>
      <x:c r="F1447" t="str">
        <x:v>Electrolyte hydration powder.</x:v>
      </x:c>
      <x:c r="G1447" t="str">
        <x:v>30 servings</x:v>
      </x:c>
      <x:c r="H1447" t="str">
        <x:v>Summer Fruits</x:v>
      </x:c>
      <x:c r="I1447" t="str"/>
      <x:c r="J1447" t="str">
        <x:v>Unit</x:v>
      </x:c>
      <x:c r="K1447" t="str">
        <x:v>In stock</x:v>
      </x:c>
      <x:c r="L1447" t="str">
        <x:v>2026-09-08</x:v>
      </x:c>
      <x:c r="M1447" t="str"/>
      <x:c r="N1447" t="str"/>
      <x:c r="O1447" t="str">
        <x:v>https://www.activesportstrade.co.uk/hydration-supplements-trade</x:v>
      </x:c>
      <x:c r="P1447" t="str">
        <x:v>SPECIAL OFFER and NEW wording removed.</x:v>
      </x:c>
      <x:c r="Q1447" t="str"/>
      <x:c r="R1447" t="str"/>
      <x:c r="S1447" t="str">
        <x:v>Pending genuine supplier/brand image</x:v>
      </x:c>
      <x:c r="T1447" s="54"/>
      <x:c r="U1447" s="47" t="n">
        <x:v>0.2</x:v>
      </x:c>
      <x:c r="V1447" s="54" t="str">
        <x:f>IF(ISNUMBER(T1447),T1447*(1+U1447),"")</x:f>
      </x:c>
      <x:c r="W1447" s="47" t="n">
        <x:v>0.3</x:v>
      </x:c>
      <x:c r="X1447" s="54" t="str">
        <x:f>IF(ISNUMBER(V1447),V1447/(1-W1447),"")</x:f>
      </x:c>
      <x:c r="Y1447" s="55" t="str">
        <x:f>IF(ISNUMBER(X1447),ROUNDUP(X1447,0),"")</x:f>
      </x:c>
      <x:c r="Z1447" t="str">
        <x:f>IF(ISNUMBER(T1447),"Cost captured","Awaiting trade cost")</x:f>
        <x:v>Awaiting trade cost</x:v>
      </x:c>
      <x:c r="AB1447" s="36" t="str">
        <x:f>IF(ISNUMBER(Y1447),ROUND(Y1447*0.9,2),"")</x:f>
      </x:c>
      <x:c r="AC1447" s="36" t="str">
        <x:f>IF(ISNUMBER(AB1447),ROUND(AB1447-(AB1447*0.015+0.2)-V1447,2),"")</x:f>
      </x:c>
      <x:c r="AD1447" s="36" t="str">
        <x:f>IF(ISNUMBER(Y1447),ROUND(Y1447*0.8,2),"")</x:f>
      </x:c>
      <x:c r="AE1447" s="36" t="str">
        <x:f>IF(ISNUMBER(AD1447),ROUND(AD1447*0.015+0.2,2),"")</x:f>
      </x:c>
      <x:c r="AF1447" s="36" t="str">
        <x:f>IF(ISNUMBER(AD1447),ROUND(AD1447-AE1447-V1447,2),"")</x:f>
      </x:c>
      <x:c r="AG1447" t="str">
        <x:f>IF(NOT(ISNUMBER(T1447)),"PENDING",IF(AF1447&gt;0,"PASS","FAIL"))</x:f>
        <x:v>PENDING</x:v>
      </x:c>
      <x:c r="AH1447" t="str">
        <x:f>IF(NOT(ISNUMBER(T1447)),"Needs supplier cost",IF(K1447&lt;&gt;"In stock","Supplier unavailable",IF(AG1447&lt;&gt;"PASS","BLOCK - GT loss risk","Commercially protected")))</x:f>
        <x:v>Needs supplier cost</x:v>
      </x:c>
      <x:c r="AI1447" t="str">
        <x:v>2026-09-10 Active Sports trade capture</x:v>
      </x:c>
      <x:c r="AJ1447" t="str">
        <x:v>Management-only economics. Stripe stress test uses 1.5% + £0.20 standard UK online-card fee; pallet/mix-and-match pricing ignored.</x:v>
      </x:c>
    </x:row>
    <x:row r="1448">
      <x:c r="A1448" t="str">
        <x:v>Active Sports Nutrition</x:v>
      </x:c>
      <x:c r="B1448" t="str">
        <x:v>Naughty Boy Lifestyle</x:v>
      </x:c>
      <x:c r="C1448" t="str">
        <x:v>Hydration</x:v>
      </x:c>
      <x:c r="D1448" t="str">
        <x:v>Supplements</x:v>
      </x:c>
      <x:c r="E1448" t="str">
        <x:v>Hydration</x:v>
      </x:c>
      <x:c r="F1448" t="str">
        <x:v>Electrolyte hydration powder.</x:v>
      </x:c>
      <x:c r="G1448" t="str">
        <x:v>30 servings</x:v>
      </x:c>
      <x:c r="H1448" t="str">
        <x:v>Ultra Energy</x:v>
      </x:c>
      <x:c r="I1448" t="str"/>
      <x:c r="J1448" t="str">
        <x:v>Unit</x:v>
      </x:c>
      <x:c r="K1448" t="str">
        <x:v>In stock</x:v>
      </x:c>
      <x:c r="L1448" t="str">
        <x:v>2026-09-08</x:v>
      </x:c>
      <x:c r="M1448" t="str"/>
      <x:c r="N1448" t="str"/>
      <x:c r="O1448" t="str">
        <x:v>https://www.activesportstrade.co.uk/hydration-supplements-trade</x:v>
      </x:c>
      <x:c r="P1448" t="str">
        <x:v>SPECIAL OFFER and NEW wording removed.</x:v>
      </x:c>
      <x:c r="Q1448" t="str"/>
      <x:c r="R1448" t="str"/>
      <x:c r="S1448" t="str">
        <x:v>Pending genuine supplier/brand image</x:v>
      </x:c>
      <x:c r="T1448" s="54"/>
      <x:c r="U1448" s="47" t="n">
        <x:v>0.2</x:v>
      </x:c>
      <x:c r="V1448" s="54" t="str">
        <x:f>IF(ISNUMBER(T1448),T1448*(1+U1448),"")</x:f>
      </x:c>
      <x:c r="W1448" s="47" t="n">
        <x:v>0.3</x:v>
      </x:c>
      <x:c r="X1448" s="54" t="str">
        <x:f>IF(ISNUMBER(V1448),V1448/(1-W1448),"")</x:f>
      </x:c>
      <x:c r="Y1448" s="55" t="str">
        <x:f>IF(ISNUMBER(X1448),ROUNDUP(X1448,0),"")</x:f>
      </x:c>
      <x:c r="Z1448" t="str">
        <x:f>IF(ISNUMBER(T1448),"Cost captured","Awaiting trade cost")</x:f>
        <x:v>Awaiting trade cost</x:v>
      </x:c>
      <x:c r="AB1448" s="36" t="str">
        <x:f>IF(ISNUMBER(Y1448),ROUND(Y1448*0.9,2),"")</x:f>
      </x:c>
      <x:c r="AC1448" s="36" t="str">
        <x:f>IF(ISNUMBER(AB1448),ROUND(AB1448-(AB1448*0.015+0.2)-V1448,2),"")</x:f>
      </x:c>
      <x:c r="AD1448" s="36" t="str">
        <x:f>IF(ISNUMBER(Y1448),ROUND(Y1448*0.8,2),"")</x:f>
      </x:c>
      <x:c r="AE1448" s="36" t="str">
        <x:f>IF(ISNUMBER(AD1448),ROUND(AD1448*0.015+0.2,2),"")</x:f>
      </x:c>
      <x:c r="AF1448" s="36" t="str">
        <x:f>IF(ISNUMBER(AD1448),ROUND(AD1448-AE1448-V1448,2),"")</x:f>
      </x:c>
      <x:c r="AG1448" t="str">
        <x:f>IF(NOT(ISNUMBER(T1448)),"PENDING",IF(AF1448&gt;0,"PASS","FAIL"))</x:f>
        <x:v>PENDING</x:v>
      </x:c>
      <x:c r="AH1448" t="str">
        <x:f>IF(NOT(ISNUMBER(T1448)),"Needs supplier cost",IF(K1448&lt;&gt;"In stock","Supplier unavailable",IF(AG1448&lt;&gt;"PASS","BLOCK - GT loss risk","Commercially protected")))</x:f>
        <x:v>Needs supplier cost</x:v>
      </x:c>
      <x:c r="AI1448" t="str">
        <x:v>2026-09-10 Active Sports trade capture</x:v>
      </x:c>
      <x:c r="AJ1448" t="str">
        <x:v>Management-only economics. Stripe stress test uses 1.5% + £0.20 standard UK online-card fee; pallet/mix-and-match pricing ignored.</x:v>
      </x:c>
    </x:row>
    <x:row r="1449">
      <x:c r="A1449" t="str">
        <x:v>Active Sports Nutrition</x:v>
      </x:c>
      <x:c r="B1449" t="str">
        <x:v>Naughty Boy Lifestyle</x:v>
      </x:c>
      <x:c r="C1449" t="str">
        <x:v>Hydration</x:v>
      </x:c>
      <x:c r="D1449" t="str">
        <x:v>Supplements</x:v>
      </x:c>
      <x:c r="E1449" t="str">
        <x:v>Hydration</x:v>
      </x:c>
      <x:c r="F1449" t="str">
        <x:v>Electrolyte hydration powder.</x:v>
      </x:c>
      <x:c r="G1449" t="str">
        <x:v>510g / 60 servings</x:v>
      </x:c>
      <x:c r="H1449" t="str">
        <x:v>Blueberry Pineapple</x:v>
      </x:c>
      <x:c r="I1449" t="str"/>
      <x:c r="J1449" t="str">
        <x:v>Unit</x:v>
      </x:c>
      <x:c r="K1449" t="str">
        <x:v>In stock</x:v>
      </x:c>
      <x:c r="L1449" t="str">
        <x:v>2026-09-08</x:v>
      </x:c>
      <x:c r="M1449" t="str"/>
      <x:c r="N1449" t="str"/>
      <x:c r="O1449" t="str">
        <x:v>https://www.activesportstrade.co.uk/hydration-supplements-trade</x:v>
      </x:c>
      <x:c r="P1449" t="str">
        <x:v>SPECIAL OFFER and NEW wording removed.</x:v>
      </x:c>
      <x:c r="Q1449" t="str"/>
      <x:c r="R1449" t="str"/>
      <x:c r="S1449" t="str">
        <x:v>Pending genuine supplier/brand image</x:v>
      </x:c>
      <x:c r="T1449" s="54"/>
      <x:c r="U1449" s="47" t="n">
        <x:v>0.2</x:v>
      </x:c>
      <x:c r="V1449" s="54" t="str">
        <x:f>IF(ISNUMBER(T1449),T1449*(1+U1449),"")</x:f>
      </x:c>
      <x:c r="W1449" s="47" t="n">
        <x:v>0.3</x:v>
      </x:c>
      <x:c r="X1449" s="54" t="str">
        <x:f>IF(ISNUMBER(V1449),V1449/(1-W1449),"")</x:f>
      </x:c>
      <x:c r="Y1449" s="55" t="str">
        <x:f>IF(ISNUMBER(X1449),ROUNDUP(X1449,0),"")</x:f>
      </x:c>
      <x:c r="Z1449" t="str">
        <x:f>IF(ISNUMBER(T1449),"Cost captured","Awaiting trade cost")</x:f>
        <x:v>Awaiting trade cost</x:v>
      </x:c>
      <x:c r="AB1449" s="36" t="str">
        <x:f>IF(ISNUMBER(Y1449),ROUND(Y1449*0.9,2),"")</x:f>
      </x:c>
      <x:c r="AC1449" s="36" t="str">
        <x:f>IF(ISNUMBER(AB1449),ROUND(AB1449-(AB1449*0.015+0.2)-V1449,2),"")</x:f>
      </x:c>
      <x:c r="AD1449" s="36" t="str">
        <x:f>IF(ISNUMBER(Y1449),ROUND(Y1449*0.8,2),"")</x:f>
      </x:c>
      <x:c r="AE1449" s="36" t="str">
        <x:f>IF(ISNUMBER(AD1449),ROUND(AD1449*0.015+0.2,2),"")</x:f>
      </x:c>
      <x:c r="AF1449" s="36" t="str">
        <x:f>IF(ISNUMBER(AD1449),ROUND(AD1449-AE1449-V1449,2),"")</x:f>
      </x:c>
      <x:c r="AG1449" t="str">
        <x:f>IF(NOT(ISNUMBER(T1449)),"PENDING",IF(AF1449&gt;0,"PASS","FAIL"))</x:f>
        <x:v>PENDING</x:v>
      </x:c>
      <x:c r="AH1449" t="str">
        <x:f>IF(NOT(ISNUMBER(T1449)),"Needs supplier cost",IF(K1449&lt;&gt;"In stock","Supplier unavailable",IF(AG1449&lt;&gt;"PASS","BLOCK - GT loss risk","Commercially protected")))</x:f>
        <x:v>Needs supplier cost</x:v>
      </x:c>
      <x:c r="AI1449" t="str">
        <x:v>2026-09-10 Active Sports trade capture</x:v>
      </x:c>
      <x:c r="AJ1449" t="str">
        <x:v>Management-only economics. Stripe stress test uses 1.5% + £0.20 standard UK online-card fee; pallet/mix-and-match pricing ignored.</x:v>
      </x:c>
    </x:row>
    <x:row r="1450">
      <x:c r="A1450" t="str">
        <x:v>Active Sports Nutrition</x:v>
      </x:c>
      <x:c r="B1450" t="str">
        <x:v>Naughty Boy Lifestyle</x:v>
      </x:c>
      <x:c r="C1450" t="str">
        <x:v>Hydration</x:v>
      </x:c>
      <x:c r="D1450" t="str">
        <x:v>Supplements</x:v>
      </x:c>
      <x:c r="E1450" t="str">
        <x:v>Hydration</x:v>
      </x:c>
      <x:c r="F1450" t="str">
        <x:v>Electrolyte hydration powder.</x:v>
      </x:c>
      <x:c r="G1450" t="str">
        <x:v>510g / 60 servings</x:v>
      </x:c>
      <x:c r="H1450" t="str">
        <x:v>Cherry Mango</x:v>
      </x:c>
      <x:c r="I1450" t="str"/>
      <x:c r="J1450" t="str">
        <x:v>Unit</x:v>
      </x:c>
      <x:c r="K1450" t="str">
        <x:v>In stock</x:v>
      </x:c>
      <x:c r="L1450" t="str">
        <x:v>2026-09-08</x:v>
      </x:c>
      <x:c r="M1450" t="str"/>
      <x:c r="N1450" t="str"/>
      <x:c r="O1450" t="str">
        <x:v>https://www.activesportstrade.co.uk/hydration-supplements-trade</x:v>
      </x:c>
      <x:c r="P1450" t="str">
        <x:v>SPECIAL OFFER and NEW wording removed.</x:v>
      </x:c>
      <x:c r="Q1450" t="str"/>
      <x:c r="R1450" t="str"/>
      <x:c r="S1450" t="str">
        <x:v>Pending genuine supplier/brand image</x:v>
      </x:c>
      <x:c r="T1450" s="54"/>
      <x:c r="U1450" s="47" t="n">
        <x:v>0.2</x:v>
      </x:c>
      <x:c r="V1450" s="54" t="str">
        <x:f>IF(ISNUMBER(T1450),T1450*(1+U1450),"")</x:f>
      </x:c>
      <x:c r="W1450" s="47" t="n">
        <x:v>0.3</x:v>
      </x:c>
      <x:c r="X1450" s="54" t="str">
        <x:f>IF(ISNUMBER(V1450),V1450/(1-W1450),"")</x:f>
      </x:c>
      <x:c r="Y1450" s="55" t="str">
        <x:f>IF(ISNUMBER(X1450),ROUNDUP(X1450,0),"")</x:f>
      </x:c>
      <x:c r="Z1450" t="str">
        <x:f>IF(ISNUMBER(T1450),"Cost captured","Awaiting trade cost")</x:f>
        <x:v>Awaiting trade cost</x:v>
      </x:c>
      <x:c r="AB1450" s="36" t="str">
        <x:f>IF(ISNUMBER(Y1450),ROUND(Y1450*0.9,2),"")</x:f>
      </x:c>
      <x:c r="AC1450" s="36" t="str">
        <x:f>IF(ISNUMBER(AB1450),ROUND(AB1450-(AB1450*0.015+0.2)-V1450,2),"")</x:f>
      </x:c>
      <x:c r="AD1450" s="36" t="str">
        <x:f>IF(ISNUMBER(Y1450),ROUND(Y1450*0.8,2),"")</x:f>
      </x:c>
      <x:c r="AE1450" s="36" t="str">
        <x:f>IF(ISNUMBER(AD1450),ROUND(AD1450*0.015+0.2,2),"")</x:f>
      </x:c>
      <x:c r="AF1450" s="36" t="str">
        <x:f>IF(ISNUMBER(AD1450),ROUND(AD1450-AE1450-V1450,2),"")</x:f>
      </x:c>
      <x:c r="AG1450" t="str">
        <x:f>IF(NOT(ISNUMBER(T1450)),"PENDING",IF(AF1450&gt;0,"PASS","FAIL"))</x:f>
        <x:v>PENDING</x:v>
      </x:c>
      <x:c r="AH1450" t="str">
        <x:f>IF(NOT(ISNUMBER(T1450)),"Needs supplier cost",IF(K1450&lt;&gt;"In stock","Supplier unavailable",IF(AG1450&lt;&gt;"PASS","BLOCK - GT loss risk","Commercially protected")))</x:f>
        <x:v>Needs supplier cost</x:v>
      </x:c>
      <x:c r="AI1450" t="str">
        <x:v>2026-09-10 Active Sports trade capture</x:v>
      </x:c>
      <x:c r="AJ1450" t="str">
        <x:v>Management-only economics. Stripe stress test uses 1.5% + £0.20 standard UK online-card fee; pallet/mix-and-match pricing ignored.</x:v>
      </x:c>
    </x:row>
    <x:row r="1451">
      <x:c r="A1451" t="str">
        <x:v>Active Sports Nutrition</x:v>
      </x:c>
      <x:c r="B1451" t="str">
        <x:v>Naughty Boy Lifestyle</x:v>
      </x:c>
      <x:c r="C1451" t="str">
        <x:v>Hydration</x:v>
      </x:c>
      <x:c r="D1451" t="str">
        <x:v>Supplements</x:v>
      </x:c>
      <x:c r="E1451" t="str">
        <x:v>Hydration</x:v>
      </x:c>
      <x:c r="F1451" t="str">
        <x:v>Electrolyte hydration powder.</x:v>
      </x:c>
      <x:c r="G1451" t="str">
        <x:v>510g / 60 servings</x:v>
      </x:c>
      <x:c r="H1451" t="str">
        <x:v>Mafiosa Twist</x:v>
      </x:c>
      <x:c r="I1451" t="str"/>
      <x:c r="J1451" t="str">
        <x:v>Unit</x:v>
      </x:c>
      <x:c r="K1451" t="str">
        <x:v>In stock</x:v>
      </x:c>
      <x:c r="L1451" t="str">
        <x:v>2026-09-08</x:v>
      </x:c>
      <x:c r="M1451" t="str"/>
      <x:c r="N1451" t="str"/>
      <x:c r="O1451" t="str">
        <x:v>https://www.activesportstrade.co.uk/hydration-supplements-trade</x:v>
      </x:c>
      <x:c r="P1451" t="str">
        <x:v>SPECIAL OFFER and NEW wording removed.</x:v>
      </x:c>
      <x:c r="Q1451" t="str"/>
      <x:c r="R1451" t="str"/>
      <x:c r="S1451" t="str">
        <x:v>Pending genuine supplier/brand image</x:v>
      </x:c>
      <x:c r="T1451" s="54"/>
      <x:c r="U1451" s="47" t="n">
        <x:v>0.2</x:v>
      </x:c>
      <x:c r="V1451" s="54" t="str">
        <x:f>IF(ISNUMBER(T1451),T1451*(1+U1451),"")</x:f>
      </x:c>
      <x:c r="W1451" s="47" t="n">
        <x:v>0.3</x:v>
      </x:c>
      <x:c r="X1451" s="54" t="str">
        <x:f>IF(ISNUMBER(V1451),V1451/(1-W1451),"")</x:f>
      </x:c>
      <x:c r="Y1451" s="55" t="str">
        <x:f>IF(ISNUMBER(X1451),ROUNDUP(X1451,0),"")</x:f>
      </x:c>
      <x:c r="Z1451" t="str">
        <x:f>IF(ISNUMBER(T1451),"Cost captured","Awaiting trade cost")</x:f>
        <x:v>Awaiting trade cost</x:v>
      </x:c>
      <x:c r="AB1451" s="36" t="str">
        <x:f>IF(ISNUMBER(Y1451),ROUND(Y1451*0.9,2),"")</x:f>
      </x:c>
      <x:c r="AC1451" s="36" t="str">
        <x:f>IF(ISNUMBER(AB1451),ROUND(AB1451-(AB1451*0.015+0.2)-V1451,2),"")</x:f>
      </x:c>
      <x:c r="AD1451" s="36" t="str">
        <x:f>IF(ISNUMBER(Y1451),ROUND(Y1451*0.8,2),"")</x:f>
      </x:c>
      <x:c r="AE1451" s="36" t="str">
        <x:f>IF(ISNUMBER(AD1451),ROUND(AD1451*0.015+0.2,2),"")</x:f>
      </x:c>
      <x:c r="AF1451" s="36" t="str">
        <x:f>IF(ISNUMBER(AD1451),ROUND(AD1451-AE1451-V1451,2),"")</x:f>
      </x:c>
      <x:c r="AG1451" t="str">
        <x:f>IF(NOT(ISNUMBER(T1451)),"PENDING",IF(AF1451&gt;0,"PASS","FAIL"))</x:f>
        <x:v>PENDING</x:v>
      </x:c>
      <x:c r="AH1451" t="str">
        <x:f>IF(NOT(ISNUMBER(T1451)),"Needs supplier cost",IF(K1451&lt;&gt;"In stock","Supplier unavailable",IF(AG1451&lt;&gt;"PASS","BLOCK - GT loss risk","Commercially protected")))</x:f>
        <x:v>Needs supplier cost</x:v>
      </x:c>
      <x:c r="AI1451" t="str">
        <x:v>2026-09-10 Active Sports trade capture</x:v>
      </x:c>
      <x:c r="AJ1451" t="str">
        <x:v>Management-only economics. Stripe stress test uses 1.5% + £0.20 standard UK online-card fee; pallet/mix-and-match pricing ignored.</x:v>
      </x:c>
    </x:row>
    <x:row r="1452">
      <x:c r="A1452" t="str">
        <x:v>Active Sports Nutrition</x:v>
      </x:c>
      <x:c r="B1452" t="str">
        <x:v>Naughty Boy Lifestyle</x:v>
      </x:c>
      <x:c r="C1452" t="str">
        <x:v>Hydration</x:v>
      </x:c>
      <x:c r="D1452" t="str">
        <x:v>Supplements</x:v>
      </x:c>
      <x:c r="E1452" t="str">
        <x:v>Hydration</x:v>
      </x:c>
      <x:c r="F1452" t="str">
        <x:v>Electrolyte hydration powder.</x:v>
      </x:c>
      <x:c r="G1452" t="str">
        <x:v>510g / 60 servings</x:v>
      </x:c>
      <x:c r="H1452" t="str">
        <x:v>Pink Lemonade</x:v>
      </x:c>
      <x:c r="I1452" t="str"/>
      <x:c r="J1452" t="str">
        <x:v>Unit</x:v>
      </x:c>
      <x:c r="K1452" t="str">
        <x:v>In stock</x:v>
      </x:c>
      <x:c r="L1452" t="str">
        <x:v>2026-09-08</x:v>
      </x:c>
      <x:c r="M1452" t="str"/>
      <x:c r="N1452" t="str"/>
      <x:c r="O1452" t="str">
        <x:v>https://www.activesportstrade.co.uk/hydration-supplements-trade</x:v>
      </x:c>
      <x:c r="P1452" t="str">
        <x:v>SPECIAL OFFER and NEW wording removed.</x:v>
      </x:c>
      <x:c r="Q1452" t="str"/>
      <x:c r="R1452" t="str"/>
      <x:c r="S1452" t="str">
        <x:v>Pending genuine supplier/brand image</x:v>
      </x:c>
      <x:c r="T1452" s="54"/>
      <x:c r="U1452" s="47" t="n">
        <x:v>0.2</x:v>
      </x:c>
      <x:c r="V1452" s="54" t="str">
        <x:f>IF(ISNUMBER(T1452),T1452*(1+U1452),"")</x:f>
      </x:c>
      <x:c r="W1452" s="47" t="n">
        <x:v>0.3</x:v>
      </x:c>
      <x:c r="X1452" s="54" t="str">
        <x:f>IF(ISNUMBER(V1452),V1452/(1-W1452),"")</x:f>
      </x:c>
      <x:c r="Y1452" s="55" t="str">
        <x:f>IF(ISNUMBER(X1452),ROUNDUP(X1452,0),"")</x:f>
      </x:c>
      <x:c r="Z1452" t="str">
        <x:f>IF(ISNUMBER(T1452),"Cost captured","Awaiting trade cost")</x:f>
        <x:v>Awaiting trade cost</x:v>
      </x:c>
      <x:c r="AB1452" s="36" t="str">
        <x:f>IF(ISNUMBER(Y1452),ROUND(Y1452*0.9,2),"")</x:f>
      </x:c>
      <x:c r="AC1452" s="36" t="str">
        <x:f>IF(ISNUMBER(AB1452),ROUND(AB1452-(AB1452*0.015+0.2)-V1452,2),"")</x:f>
      </x:c>
      <x:c r="AD1452" s="36" t="str">
        <x:f>IF(ISNUMBER(Y1452),ROUND(Y1452*0.8,2),"")</x:f>
      </x:c>
      <x:c r="AE1452" s="36" t="str">
        <x:f>IF(ISNUMBER(AD1452),ROUND(AD1452*0.015+0.2,2),"")</x:f>
      </x:c>
      <x:c r="AF1452" s="36" t="str">
        <x:f>IF(ISNUMBER(AD1452),ROUND(AD1452-AE1452-V1452,2),"")</x:f>
      </x:c>
      <x:c r="AG1452" t="str">
        <x:f>IF(NOT(ISNUMBER(T1452)),"PENDING",IF(AF1452&gt;0,"PASS","FAIL"))</x:f>
        <x:v>PENDING</x:v>
      </x:c>
      <x:c r="AH1452" t="str">
        <x:f>IF(NOT(ISNUMBER(T1452)),"Needs supplier cost",IF(K1452&lt;&gt;"In stock","Supplier unavailable",IF(AG1452&lt;&gt;"PASS","BLOCK - GT loss risk","Commercially protected")))</x:f>
        <x:v>Needs supplier cost</x:v>
      </x:c>
      <x:c r="AI1452" t="str">
        <x:v>2026-09-10 Active Sports trade capture</x:v>
      </x:c>
      <x:c r="AJ1452" t="str">
        <x:v>Management-only economics. Stripe stress test uses 1.5% + £0.20 standard UK online-card fee; pallet/mix-and-match pricing ignored.</x:v>
      </x:c>
    </x:row>
    <x:row r="1453">
      <x:c r="A1453" t="str">
        <x:v>Active Sports Nutrition</x:v>
      </x:c>
      <x:c r="B1453" t="str">
        <x:v>Naughty Boy Lifestyle</x:v>
      </x:c>
      <x:c r="C1453" t="str">
        <x:v>Advanced Whey Protein</x:v>
      </x:c>
      <x:c r="D1453" t="str">
        <x:v>Supplements</x:v>
      </x:c>
      <x:c r="E1453" t="str">
        <x:v>Whey Protein</x:v>
      </x:c>
      <x:c r="F1453" t="str">
        <x:v>Whey protein powder.</x:v>
      </x:c>
      <x:c r="G1453" t="str">
        <x:v>900g</x:v>
      </x:c>
      <x:c r="H1453" t="str">
        <x:v>Banoffee Pie</x:v>
      </x:c>
      <x:c r="I1453" t="str"/>
      <x:c r="J1453" t="str">
        <x:v>Unit</x:v>
      </x:c>
      <x:c r="K1453" t="str">
        <x:v>In stock</x:v>
      </x:c>
      <x:c r="L1453" t="str">
        <x:v>2026-09-08</x:v>
      </x:c>
      <x:c r="M1453" t="str"/>
      <x:c r="N1453" t="str"/>
      <x:c r="O1453" t="str">
        <x:v>https://www.activesportstrade.co.uk/Whey-Protein-Supplements-Trade</x:v>
      </x:c>
      <x:c r="P1453" t="str">
        <x:v>Current standard listing retained. Separate BBE 03/27 Chocolate Orange and Salted Caramel promo rows are not used to alter normal canonical availability.</x:v>
      </x:c>
      <x:c r="Q1453" t="str"/>
      <x:c r="R1453" t="str"/>
      <x:c r="S1453" t="str">
        <x:v>Pending genuine supplier/brand image</x:v>
      </x:c>
      <x:c r="T1453" s="54"/>
      <x:c r="U1453" s="47" t="n">
        <x:v>0.2</x:v>
      </x:c>
      <x:c r="V1453" s="54" t="str">
        <x:f>IF(ISNUMBER(T1453),T1453*(1+U1453),"")</x:f>
      </x:c>
      <x:c r="W1453" s="47" t="n">
        <x:v>0.3</x:v>
      </x:c>
      <x:c r="X1453" s="54" t="str">
        <x:f>IF(ISNUMBER(V1453),V1453/(1-W1453),"")</x:f>
      </x:c>
      <x:c r="Y1453" s="55" t="str">
        <x:f>IF(ISNUMBER(X1453),ROUNDUP(X1453,0),"")</x:f>
      </x:c>
      <x:c r="Z1453" t="str">
        <x:f>IF(ISNUMBER(T1453),"Cost captured","Awaiting trade cost")</x:f>
        <x:v>Awaiting trade cost</x:v>
      </x:c>
      <x:c r="AB1453" s="36" t="str">
        <x:f>IF(ISNUMBER(Y1453),ROUND(Y1453*0.9,2),"")</x:f>
      </x:c>
      <x:c r="AC1453" s="36" t="str">
        <x:f>IF(ISNUMBER(AB1453),ROUND(AB1453-(AB1453*0.015+0.2)-V1453,2),"")</x:f>
      </x:c>
      <x:c r="AD1453" s="36" t="str">
        <x:f>IF(ISNUMBER(Y1453),ROUND(Y1453*0.8,2),"")</x:f>
      </x:c>
      <x:c r="AE1453" s="36" t="str">
        <x:f>IF(ISNUMBER(AD1453),ROUND(AD1453*0.015+0.2,2),"")</x:f>
      </x:c>
      <x:c r="AF1453" s="36" t="str">
        <x:f>IF(ISNUMBER(AD1453),ROUND(AD1453-AE1453-V1453,2),"")</x:f>
      </x:c>
      <x:c r="AG1453" t="str">
        <x:f>IF(NOT(ISNUMBER(T1453)),"PENDING",IF(AF1453&gt;0,"PASS","FAIL"))</x:f>
        <x:v>PENDING</x:v>
      </x:c>
      <x:c r="AH1453" t="str">
        <x:f>IF(NOT(ISNUMBER(T1453)),"Needs supplier cost",IF(K1453&lt;&gt;"In stock","Supplier unavailable",IF(AG1453&lt;&gt;"PASS","BLOCK - GT loss risk","Commercially protected")))</x:f>
        <x:v>Needs supplier cost</x:v>
      </x:c>
      <x:c r="AI1453" t="str">
        <x:v>2026-09-10 Active Sports trade capture</x:v>
      </x:c>
      <x:c r="AJ1453" t="str">
        <x:v>Management-only economics. Stripe stress test uses 1.5% + £0.20 standard UK online-card fee; pallet/mix-and-match pricing ignored.</x:v>
      </x:c>
    </x:row>
    <x:row r="1454">
      <x:c r="A1454" t="str">
        <x:v>Active Sports Nutrition</x:v>
      </x:c>
      <x:c r="B1454" t="str">
        <x:v>Naughty Boy Lifestyle</x:v>
      </x:c>
      <x:c r="C1454" t="str">
        <x:v>Advanced Whey Protein</x:v>
      </x:c>
      <x:c r="D1454" t="str">
        <x:v>Supplements</x:v>
      </x:c>
      <x:c r="E1454" t="str">
        <x:v>Whey Protein</x:v>
      </x:c>
      <x:c r="F1454" t="str">
        <x:v>Whey protein powder.</x:v>
      </x:c>
      <x:c r="G1454" t="str">
        <x:v>900g</x:v>
      </x:c>
      <x:c r="H1454" t="str">
        <x:v>Birthday Cake</x:v>
      </x:c>
      <x:c r="I1454" t="str"/>
      <x:c r="J1454" t="str">
        <x:v>Unit</x:v>
      </x:c>
      <x:c r="K1454" t="str">
        <x:v>Out of stock</x:v>
      </x:c>
      <x:c r="L1454" t="str">
        <x:v>2026-09-08</x:v>
      </x:c>
      <x:c r="M1454" t="str"/>
      <x:c r="N1454" t="str"/>
      <x:c r="O1454" t="str">
        <x:v>https://www.activesportstrade.co.uk/Whey-Protein-Supplements-Trade</x:v>
      </x:c>
      <x:c r="P1454" t="str">
        <x:v>Current standard listing retained. Separate BBE 03/27 Chocolate Orange and Salted Caramel promo rows are not used to alter normal canonical availability.</x:v>
      </x:c>
      <x:c r="Q1454" t="str"/>
      <x:c r="R1454" t="str"/>
      <x:c r="S1454" t="str">
        <x:v>Pending genuine supplier/brand image</x:v>
      </x:c>
      <x:c r="T1454" s="54"/>
      <x:c r="U1454" s="47" t="n">
        <x:v>0.2</x:v>
      </x:c>
      <x:c r="V1454" s="54" t="str">
        <x:f>IF(ISNUMBER(T1454),T1454*(1+U1454),"")</x:f>
      </x:c>
      <x:c r="W1454" s="47" t="n">
        <x:v>0.3</x:v>
      </x:c>
      <x:c r="X1454" s="54" t="str">
        <x:f>IF(ISNUMBER(V1454),V1454/(1-W1454),"")</x:f>
      </x:c>
      <x:c r="Y1454" s="55" t="str">
        <x:f>IF(ISNUMBER(X1454),ROUNDUP(X1454,0),"")</x:f>
      </x:c>
      <x:c r="Z1454" t="str">
        <x:f>IF(ISNUMBER(T1454),"Cost captured","Awaiting trade cost")</x:f>
        <x:v>Awaiting trade cost</x:v>
      </x:c>
      <x:c r="AB1454" s="36" t="str">
        <x:f>IF(ISNUMBER(Y1454),ROUND(Y1454*0.9,2),"")</x:f>
      </x:c>
      <x:c r="AC1454" s="36" t="str">
        <x:f>IF(ISNUMBER(AB1454),ROUND(AB1454-(AB1454*0.015+0.2)-V1454,2),"")</x:f>
      </x:c>
      <x:c r="AD1454" s="36" t="str">
        <x:f>IF(ISNUMBER(Y1454),ROUND(Y1454*0.8,2),"")</x:f>
      </x:c>
      <x:c r="AE1454" s="36" t="str">
        <x:f>IF(ISNUMBER(AD1454),ROUND(AD1454*0.015+0.2,2),"")</x:f>
      </x:c>
      <x:c r="AF1454" s="36" t="str">
        <x:f>IF(ISNUMBER(AD1454),ROUND(AD1454-AE1454-V1454,2),"")</x:f>
      </x:c>
      <x:c r="AG1454" t="str">
        <x:f>IF(NOT(ISNUMBER(T1454)),"PENDING",IF(AF1454&gt;0,"PASS","FAIL"))</x:f>
        <x:v>PENDING</x:v>
      </x:c>
      <x:c r="AH1454" t="str">
        <x:f>IF(NOT(ISNUMBER(T1454)),"Needs supplier cost",IF(K1454&lt;&gt;"In stock","Supplier unavailable",IF(AG1454&lt;&gt;"PASS","BLOCK - GT loss risk","Commercially protected")))</x:f>
        <x:v>Needs supplier cost</x:v>
      </x:c>
      <x:c r="AI1454" t="str">
        <x:v>2026-09-10 Active Sports trade capture</x:v>
      </x:c>
      <x:c r="AJ1454" t="str">
        <x:v>Management-only economics. Stripe stress test uses 1.5% + £0.20 standard UK online-card fee; pallet/mix-and-match pricing ignored.</x:v>
      </x:c>
    </x:row>
    <x:row r="1455">
      <x:c r="A1455" t="str">
        <x:v>Active Sports Nutrition</x:v>
      </x:c>
      <x:c r="B1455" t="str">
        <x:v>Naughty Boy Lifestyle</x:v>
      </x:c>
      <x:c r="C1455" t="str">
        <x:v>Advanced Whey Protein</x:v>
      </x:c>
      <x:c r="D1455" t="str">
        <x:v>Supplements</x:v>
      </x:c>
      <x:c r="E1455" t="str">
        <x:v>Whey Protein</x:v>
      </x:c>
      <x:c r="F1455" t="str">
        <x:v>Whey protein powder.</x:v>
      </x:c>
      <x:c r="G1455" t="str">
        <x:v>900g</x:v>
      </x:c>
      <x:c r="H1455" t="str">
        <x:v>Blueberry Cobbler</x:v>
      </x:c>
      <x:c r="I1455" t="str"/>
      <x:c r="J1455" t="str">
        <x:v>Unit</x:v>
      </x:c>
      <x:c r="K1455" t="str">
        <x:v>In stock</x:v>
      </x:c>
      <x:c r="L1455" t="str">
        <x:v>2026-09-08</x:v>
      </x:c>
      <x:c r="M1455" t="str"/>
      <x:c r="N1455" t="str"/>
      <x:c r="O1455" t="str">
        <x:v>https://www.activesportstrade.co.uk/Whey-Protein-Supplements-Trade</x:v>
      </x:c>
      <x:c r="P1455" t="str">
        <x:v>Current standard listing retained. Separate BBE 03/27 Chocolate Orange and Salted Caramel promo rows are not used to alter normal canonical availability.</x:v>
      </x:c>
      <x:c r="Q1455" t="str"/>
      <x:c r="R1455" t="str"/>
      <x:c r="S1455" t="str">
        <x:v>Pending genuine supplier/brand image</x:v>
      </x:c>
      <x:c r="T1455" s="54"/>
      <x:c r="U1455" s="47" t="n">
        <x:v>0.2</x:v>
      </x:c>
      <x:c r="V1455" s="54" t="str">
        <x:f>IF(ISNUMBER(T1455),T1455*(1+U1455),"")</x:f>
      </x:c>
      <x:c r="W1455" s="47" t="n">
        <x:v>0.3</x:v>
      </x:c>
      <x:c r="X1455" s="54" t="str">
        <x:f>IF(ISNUMBER(V1455),V1455/(1-W1455),"")</x:f>
      </x:c>
      <x:c r="Y1455" s="55" t="str">
        <x:f>IF(ISNUMBER(X1455),ROUNDUP(X1455,0),"")</x:f>
      </x:c>
      <x:c r="Z1455" t="str">
        <x:f>IF(ISNUMBER(T1455),"Cost captured","Awaiting trade cost")</x:f>
        <x:v>Awaiting trade cost</x:v>
      </x:c>
      <x:c r="AB1455" s="36" t="str">
        <x:f>IF(ISNUMBER(Y1455),ROUND(Y1455*0.9,2),"")</x:f>
      </x:c>
      <x:c r="AC1455" s="36" t="str">
        <x:f>IF(ISNUMBER(AB1455),ROUND(AB1455-(AB1455*0.015+0.2)-V1455,2),"")</x:f>
      </x:c>
      <x:c r="AD1455" s="36" t="str">
        <x:f>IF(ISNUMBER(Y1455),ROUND(Y1455*0.8,2),"")</x:f>
      </x:c>
      <x:c r="AE1455" s="36" t="str">
        <x:f>IF(ISNUMBER(AD1455),ROUND(AD1455*0.015+0.2,2),"")</x:f>
      </x:c>
      <x:c r="AF1455" s="36" t="str">
        <x:f>IF(ISNUMBER(AD1455),ROUND(AD1455-AE1455-V1455,2),"")</x:f>
      </x:c>
      <x:c r="AG1455" t="str">
        <x:f>IF(NOT(ISNUMBER(T1455)),"PENDING",IF(AF1455&gt;0,"PASS","FAIL"))</x:f>
        <x:v>PENDING</x:v>
      </x:c>
      <x:c r="AH1455" t="str">
        <x:f>IF(NOT(ISNUMBER(T1455)),"Needs supplier cost",IF(K1455&lt;&gt;"In stock","Supplier unavailable",IF(AG1455&lt;&gt;"PASS","BLOCK - GT loss risk","Commercially protected")))</x:f>
        <x:v>Needs supplier cost</x:v>
      </x:c>
      <x:c r="AI1455" t="str">
        <x:v>2026-09-10 Active Sports trade capture</x:v>
      </x:c>
      <x:c r="AJ1455" t="str">
        <x:v>Management-only economics. Stripe stress test uses 1.5% + £0.20 standard UK online-card fee; pallet/mix-and-match pricing ignored.</x:v>
      </x:c>
    </x:row>
    <x:row r="1456">
      <x:c r="A1456" t="str">
        <x:v>Active Sports Nutrition</x:v>
      </x:c>
      <x:c r="B1456" t="str">
        <x:v>Naughty Boy Lifestyle</x:v>
      </x:c>
      <x:c r="C1456" t="str">
        <x:v>Advanced Whey Protein</x:v>
      </x:c>
      <x:c r="D1456" t="str">
        <x:v>Supplements</x:v>
      </x:c>
      <x:c r="E1456" t="str">
        <x:v>Whey Protein</x:v>
      </x:c>
      <x:c r="F1456" t="str">
        <x:v>Whey protein powder.</x:v>
      </x:c>
      <x:c r="G1456" t="str">
        <x:v>900g</x:v>
      </x:c>
      <x:c r="H1456" t="str">
        <x:v>Caramel Biscuit</x:v>
      </x:c>
      <x:c r="I1456" t="str"/>
      <x:c r="J1456" t="str">
        <x:v>Unit</x:v>
      </x:c>
      <x:c r="K1456" t="str">
        <x:v>In stock</x:v>
      </x:c>
      <x:c r="L1456" t="str">
        <x:v>2026-09-08</x:v>
      </x:c>
      <x:c r="M1456" t="str"/>
      <x:c r="N1456" t="str"/>
      <x:c r="O1456" t="str">
        <x:v>https://www.activesportstrade.co.uk/Whey-Protein-Supplements-Trade</x:v>
      </x:c>
      <x:c r="P1456" t="str">
        <x:v>Current standard listing retained. Separate BBE 03/27 Chocolate Orange and Salted Caramel promo rows are not used to alter normal canonical availability.</x:v>
      </x:c>
      <x:c r="Q1456" t="str"/>
      <x:c r="R1456" t="str"/>
      <x:c r="S1456" t="str">
        <x:v>Pending genuine supplier/brand image</x:v>
      </x:c>
      <x:c r="T1456" s="54"/>
      <x:c r="U1456" s="47" t="n">
        <x:v>0.2</x:v>
      </x:c>
      <x:c r="V1456" s="54" t="str">
        <x:f>IF(ISNUMBER(T1456),T1456*(1+U1456),"")</x:f>
      </x:c>
      <x:c r="W1456" s="47" t="n">
        <x:v>0.3</x:v>
      </x:c>
      <x:c r="X1456" s="54" t="str">
        <x:f>IF(ISNUMBER(V1456),V1456/(1-W1456),"")</x:f>
      </x:c>
      <x:c r="Y1456" s="55" t="str">
        <x:f>IF(ISNUMBER(X1456),ROUNDUP(X1456,0),"")</x:f>
      </x:c>
      <x:c r="Z1456" t="str">
        <x:f>IF(ISNUMBER(T1456),"Cost captured","Awaiting trade cost")</x:f>
        <x:v>Awaiting trade cost</x:v>
      </x:c>
      <x:c r="AB1456" s="36" t="str">
        <x:f>IF(ISNUMBER(Y1456),ROUND(Y1456*0.9,2),"")</x:f>
      </x:c>
      <x:c r="AC1456" s="36" t="str">
        <x:f>IF(ISNUMBER(AB1456),ROUND(AB1456-(AB1456*0.015+0.2)-V1456,2),"")</x:f>
      </x:c>
      <x:c r="AD1456" s="36" t="str">
        <x:f>IF(ISNUMBER(Y1456),ROUND(Y1456*0.8,2),"")</x:f>
      </x:c>
      <x:c r="AE1456" s="36" t="str">
        <x:f>IF(ISNUMBER(AD1456),ROUND(AD1456*0.015+0.2,2),"")</x:f>
      </x:c>
      <x:c r="AF1456" s="36" t="str">
        <x:f>IF(ISNUMBER(AD1456),ROUND(AD1456-AE1456-V1456,2),"")</x:f>
      </x:c>
      <x:c r="AG1456" t="str">
        <x:f>IF(NOT(ISNUMBER(T1456)),"PENDING",IF(AF1456&gt;0,"PASS","FAIL"))</x:f>
        <x:v>PENDING</x:v>
      </x:c>
      <x:c r="AH1456" t="str">
        <x:f>IF(NOT(ISNUMBER(T1456)),"Needs supplier cost",IF(K1456&lt;&gt;"In stock","Supplier unavailable",IF(AG1456&lt;&gt;"PASS","BLOCK - GT loss risk","Commercially protected")))</x:f>
        <x:v>Needs supplier cost</x:v>
      </x:c>
      <x:c r="AI1456" t="str">
        <x:v>2026-09-10 Active Sports trade capture</x:v>
      </x:c>
      <x:c r="AJ1456" t="str">
        <x:v>Management-only economics. Stripe stress test uses 1.5% + £0.20 standard UK online-card fee; pallet/mix-and-match pricing ignored.</x:v>
      </x:c>
    </x:row>
    <x:row r="1457">
      <x:c r="A1457" t="str">
        <x:v>Active Sports Nutrition</x:v>
      </x:c>
      <x:c r="B1457" t="str">
        <x:v>Naughty Boy Lifestyle</x:v>
      </x:c>
      <x:c r="C1457" t="str">
        <x:v>Advanced Whey Protein</x:v>
      </x:c>
      <x:c r="D1457" t="str">
        <x:v>Supplements</x:v>
      </x:c>
      <x:c r="E1457" t="str">
        <x:v>Whey Protein</x:v>
      </x:c>
      <x:c r="F1457" t="str">
        <x:v>Whey protein powder.</x:v>
      </x:c>
      <x:c r="G1457" t="str">
        <x:v>900g</x:v>
      </x:c>
      <x:c r="H1457" t="str">
        <x:v>Chocolate Brownie</x:v>
      </x:c>
      <x:c r="I1457" t="str"/>
      <x:c r="J1457" t="str">
        <x:v>Unit</x:v>
      </x:c>
      <x:c r="K1457" t="str">
        <x:v>In stock</x:v>
      </x:c>
      <x:c r="L1457" t="str">
        <x:v>2026-09-08</x:v>
      </x:c>
      <x:c r="M1457" t="str"/>
      <x:c r="N1457" t="str"/>
      <x:c r="O1457" t="str">
        <x:v>https://www.activesportstrade.co.uk/Whey-Protein-Supplements-Trade</x:v>
      </x:c>
      <x:c r="P1457" t="str">
        <x:v>Current standard listing retained. Separate BBE 03/27 Chocolate Orange and Salted Caramel promo rows are not used to alter normal canonical availability.</x:v>
      </x:c>
      <x:c r="Q1457" t="str"/>
      <x:c r="R1457" t="str"/>
      <x:c r="S1457" t="str">
        <x:v>Pending genuine supplier/brand image</x:v>
      </x:c>
      <x:c r="T1457" s="54"/>
      <x:c r="U1457" s="47" t="n">
        <x:v>0.2</x:v>
      </x:c>
      <x:c r="V1457" s="54" t="str">
        <x:f>IF(ISNUMBER(T1457),T1457*(1+U1457),"")</x:f>
      </x:c>
      <x:c r="W1457" s="47" t="n">
        <x:v>0.3</x:v>
      </x:c>
      <x:c r="X1457" s="54" t="str">
        <x:f>IF(ISNUMBER(V1457),V1457/(1-W1457),"")</x:f>
      </x:c>
      <x:c r="Y1457" s="55" t="str">
        <x:f>IF(ISNUMBER(X1457),ROUNDUP(X1457,0),"")</x:f>
      </x:c>
      <x:c r="Z1457" t="str">
        <x:f>IF(ISNUMBER(T1457),"Cost captured","Awaiting trade cost")</x:f>
        <x:v>Awaiting trade cost</x:v>
      </x:c>
      <x:c r="AB1457" s="36" t="str">
        <x:f>IF(ISNUMBER(Y1457),ROUND(Y1457*0.9,2),"")</x:f>
      </x:c>
      <x:c r="AC1457" s="36" t="str">
        <x:f>IF(ISNUMBER(AB1457),ROUND(AB1457-(AB1457*0.015+0.2)-V1457,2),"")</x:f>
      </x:c>
      <x:c r="AD1457" s="36" t="str">
        <x:f>IF(ISNUMBER(Y1457),ROUND(Y1457*0.8,2),"")</x:f>
      </x:c>
      <x:c r="AE1457" s="36" t="str">
        <x:f>IF(ISNUMBER(AD1457),ROUND(AD1457*0.015+0.2,2),"")</x:f>
      </x:c>
      <x:c r="AF1457" s="36" t="str">
        <x:f>IF(ISNUMBER(AD1457),ROUND(AD1457-AE1457-V1457,2),"")</x:f>
      </x:c>
      <x:c r="AG1457" t="str">
        <x:f>IF(NOT(ISNUMBER(T1457)),"PENDING",IF(AF1457&gt;0,"PASS","FAIL"))</x:f>
        <x:v>PENDING</x:v>
      </x:c>
      <x:c r="AH1457" t="str">
        <x:f>IF(NOT(ISNUMBER(T1457)),"Needs supplier cost",IF(K1457&lt;&gt;"In stock","Supplier unavailable",IF(AG1457&lt;&gt;"PASS","BLOCK - GT loss risk","Commercially protected")))</x:f>
        <x:v>Needs supplier cost</x:v>
      </x:c>
      <x:c r="AI1457" t="str">
        <x:v>2026-09-10 Active Sports trade capture</x:v>
      </x:c>
      <x:c r="AJ1457" t="str">
        <x:v>Management-only economics. Stripe stress test uses 1.5% + £0.20 standard UK online-card fee; pallet/mix-and-match pricing ignored.</x:v>
      </x:c>
    </x:row>
    <x:row r="1458">
      <x:c r="A1458" t="str">
        <x:v>Active Sports Nutrition</x:v>
      </x:c>
      <x:c r="B1458" t="str">
        <x:v>Naughty Boy Lifestyle</x:v>
      </x:c>
      <x:c r="C1458" t="str">
        <x:v>Advanced Whey Protein</x:v>
      </x:c>
      <x:c r="D1458" t="str">
        <x:v>Supplements</x:v>
      </x:c>
      <x:c r="E1458" t="str">
        <x:v>Whey Protein</x:v>
      </x:c>
      <x:c r="F1458" t="str">
        <x:v>Whey protein powder.</x:v>
      </x:c>
      <x:c r="G1458" t="str">
        <x:v>900g</x:v>
      </x:c>
      <x:c r="H1458" t="str">
        <x:v>Chocolate Caramellow</x:v>
      </x:c>
      <x:c r="I1458" t="str"/>
      <x:c r="J1458" t="str">
        <x:v>Unit</x:v>
      </x:c>
      <x:c r="K1458" t="str">
        <x:v>In stock</x:v>
      </x:c>
      <x:c r="L1458" t="str">
        <x:v>2026-09-08</x:v>
      </x:c>
      <x:c r="M1458" t="str"/>
      <x:c r="N1458" t="str"/>
      <x:c r="O1458" t="str">
        <x:v>https://www.activesportstrade.co.uk/Whey-Protein-Supplements-Trade</x:v>
      </x:c>
      <x:c r="P1458" t="str">
        <x:v>Current standard listing retained. Separate BBE 03/27 Chocolate Orange and Salted Caramel promo rows are not used to alter normal canonical availability.</x:v>
      </x:c>
      <x:c r="Q1458" t="str"/>
      <x:c r="R1458" t="str"/>
      <x:c r="S1458" t="str">
        <x:v>Pending genuine supplier/brand image</x:v>
      </x:c>
      <x:c r="T1458" s="54"/>
      <x:c r="U1458" s="47" t="n">
        <x:v>0.2</x:v>
      </x:c>
      <x:c r="V1458" s="54" t="str">
        <x:f>IF(ISNUMBER(T1458),T1458*(1+U1458),"")</x:f>
      </x:c>
      <x:c r="W1458" s="47" t="n">
        <x:v>0.3</x:v>
      </x:c>
      <x:c r="X1458" s="54" t="str">
        <x:f>IF(ISNUMBER(V1458),V1458/(1-W1458),"")</x:f>
      </x:c>
      <x:c r="Y1458" s="55" t="str">
        <x:f>IF(ISNUMBER(X1458),ROUNDUP(X1458,0),"")</x:f>
      </x:c>
      <x:c r="Z1458" t="str">
        <x:f>IF(ISNUMBER(T1458),"Cost captured","Awaiting trade cost")</x:f>
        <x:v>Awaiting trade cost</x:v>
      </x:c>
      <x:c r="AB1458" s="36" t="str">
        <x:f>IF(ISNUMBER(Y1458),ROUND(Y1458*0.9,2),"")</x:f>
      </x:c>
      <x:c r="AC1458" s="36" t="str">
        <x:f>IF(ISNUMBER(AB1458),ROUND(AB1458-(AB1458*0.015+0.2)-V1458,2),"")</x:f>
      </x:c>
      <x:c r="AD1458" s="36" t="str">
        <x:f>IF(ISNUMBER(Y1458),ROUND(Y1458*0.8,2),"")</x:f>
      </x:c>
      <x:c r="AE1458" s="36" t="str">
        <x:f>IF(ISNUMBER(AD1458),ROUND(AD1458*0.015+0.2,2),"")</x:f>
      </x:c>
      <x:c r="AF1458" s="36" t="str">
        <x:f>IF(ISNUMBER(AD1458),ROUND(AD1458-AE1458-V1458,2),"")</x:f>
      </x:c>
      <x:c r="AG1458" t="str">
        <x:f>IF(NOT(ISNUMBER(T1458)),"PENDING",IF(AF1458&gt;0,"PASS","FAIL"))</x:f>
        <x:v>PENDING</x:v>
      </x:c>
      <x:c r="AH1458" t="str">
        <x:f>IF(NOT(ISNUMBER(T1458)),"Needs supplier cost",IF(K1458&lt;&gt;"In stock","Supplier unavailable",IF(AG1458&lt;&gt;"PASS","BLOCK - GT loss risk","Commercially protected")))</x:f>
        <x:v>Needs supplier cost</x:v>
      </x:c>
      <x:c r="AI1458" t="str">
        <x:v>2026-09-10 Active Sports trade capture</x:v>
      </x:c>
      <x:c r="AJ1458" t="str">
        <x:v>Management-only economics. Stripe stress test uses 1.5% + £0.20 standard UK online-card fee; pallet/mix-and-match pricing ignored.</x:v>
      </x:c>
    </x:row>
    <x:row r="1459">
      <x:c r="A1459" t="str">
        <x:v>Active Sports Nutrition</x:v>
      </x:c>
      <x:c r="B1459" t="str">
        <x:v>Naughty Boy Lifestyle</x:v>
      </x:c>
      <x:c r="C1459" t="str">
        <x:v>Advanced Whey Protein</x:v>
      </x:c>
      <x:c r="D1459" t="str">
        <x:v>Supplements</x:v>
      </x:c>
      <x:c r="E1459" t="str">
        <x:v>Whey Protein</x:v>
      </x:c>
      <x:c r="F1459" t="str">
        <x:v>Whey protein powder.</x:v>
      </x:c>
      <x:c r="G1459" t="str">
        <x:v>900g</x:v>
      </x:c>
      <x:c r="H1459" t="str">
        <x:v>Chocolate Cereal Milk</x:v>
      </x:c>
      <x:c r="I1459" t="str"/>
      <x:c r="J1459" t="str">
        <x:v>Unit</x:v>
      </x:c>
      <x:c r="K1459" t="str">
        <x:v>In stock</x:v>
      </x:c>
      <x:c r="L1459" t="str">
        <x:v>2026-09-08</x:v>
      </x:c>
      <x:c r="M1459" t="str"/>
      <x:c r="N1459" t="str"/>
      <x:c r="O1459" t="str">
        <x:v>https://www.activesportstrade.co.uk/Whey-Protein-Supplements-Trade</x:v>
      </x:c>
      <x:c r="P1459" t="str">
        <x:v>Current standard listing retained. Separate BBE 03/27 Chocolate Orange and Salted Caramel promo rows are not used to alter normal canonical availability.</x:v>
      </x:c>
      <x:c r="Q1459" t="str"/>
      <x:c r="R1459" t="str"/>
      <x:c r="S1459" t="str">
        <x:v>Pending genuine supplier/brand image</x:v>
      </x:c>
      <x:c r="T1459" s="54"/>
      <x:c r="U1459" s="47" t="n">
        <x:v>0.2</x:v>
      </x:c>
      <x:c r="V1459" s="54" t="str">
        <x:f>IF(ISNUMBER(T1459),T1459*(1+U1459),"")</x:f>
      </x:c>
      <x:c r="W1459" s="47" t="n">
        <x:v>0.3</x:v>
      </x:c>
      <x:c r="X1459" s="54" t="str">
        <x:f>IF(ISNUMBER(V1459),V1459/(1-W1459),"")</x:f>
      </x:c>
      <x:c r="Y1459" s="55" t="str">
        <x:f>IF(ISNUMBER(X1459),ROUNDUP(X1459,0),"")</x:f>
      </x:c>
      <x:c r="Z1459" t="str">
        <x:f>IF(ISNUMBER(T1459),"Cost captured","Awaiting trade cost")</x:f>
        <x:v>Awaiting trade cost</x:v>
      </x:c>
      <x:c r="AB1459" s="36" t="str">
        <x:f>IF(ISNUMBER(Y1459),ROUND(Y1459*0.9,2),"")</x:f>
      </x:c>
      <x:c r="AC1459" s="36" t="str">
        <x:f>IF(ISNUMBER(AB1459),ROUND(AB1459-(AB1459*0.015+0.2)-V1459,2),"")</x:f>
      </x:c>
      <x:c r="AD1459" s="36" t="str">
        <x:f>IF(ISNUMBER(Y1459),ROUND(Y1459*0.8,2),"")</x:f>
      </x:c>
      <x:c r="AE1459" s="36" t="str">
        <x:f>IF(ISNUMBER(AD1459),ROUND(AD1459*0.015+0.2,2),"")</x:f>
      </x:c>
      <x:c r="AF1459" s="36" t="str">
        <x:f>IF(ISNUMBER(AD1459),ROUND(AD1459-AE1459-V1459,2),"")</x:f>
      </x:c>
      <x:c r="AG1459" t="str">
        <x:f>IF(NOT(ISNUMBER(T1459)),"PENDING",IF(AF1459&gt;0,"PASS","FAIL"))</x:f>
        <x:v>PENDING</x:v>
      </x:c>
      <x:c r="AH1459" t="str">
        <x:f>IF(NOT(ISNUMBER(T1459)),"Needs supplier cost",IF(K1459&lt;&gt;"In stock","Supplier unavailable",IF(AG1459&lt;&gt;"PASS","BLOCK - GT loss risk","Commercially protected")))</x:f>
        <x:v>Needs supplier cost</x:v>
      </x:c>
      <x:c r="AI1459" t="str">
        <x:v>2026-09-10 Active Sports trade capture</x:v>
      </x:c>
      <x:c r="AJ1459" t="str">
        <x:v>Management-only economics. Stripe stress test uses 1.5% + £0.20 standard UK online-card fee; pallet/mix-and-match pricing ignored.</x:v>
      </x:c>
    </x:row>
    <x:row r="1460">
      <x:c r="A1460" t="str">
        <x:v>Active Sports Nutrition</x:v>
      </x:c>
      <x:c r="B1460" t="str">
        <x:v>Naughty Boy Lifestyle</x:v>
      </x:c>
      <x:c r="C1460" t="str">
        <x:v>Advanced Whey Protein</x:v>
      </x:c>
      <x:c r="D1460" t="str">
        <x:v>Supplements</x:v>
      </x:c>
      <x:c r="E1460" t="str">
        <x:v>Whey Protein</x:v>
      </x:c>
      <x:c r="F1460" t="str">
        <x:v>Whey protein powder.</x:v>
      </x:c>
      <x:c r="G1460" t="str">
        <x:v>900g</x:v>
      </x:c>
      <x:c r="H1460" t="str">
        <x:v>Chocolate Orange</x:v>
      </x:c>
      <x:c r="I1460" t="str"/>
      <x:c r="J1460" t="str">
        <x:v>Unit</x:v>
      </x:c>
      <x:c r="K1460" t="str">
        <x:v>In stock</x:v>
      </x:c>
      <x:c r="L1460" t="str">
        <x:v>2026-09-08</x:v>
      </x:c>
      <x:c r="M1460" t="str"/>
      <x:c r="N1460" t="str"/>
      <x:c r="O1460" t="str">
        <x:v>https://www.activesportstrade.co.uk/Whey-Protein-Supplements-Trade</x:v>
      </x:c>
      <x:c r="P1460" t="str">
        <x:v>Current standard listing retained. Separate BBE 03/27 Chocolate Orange and Salted Caramel promo rows are not used to alter normal canonical availability.</x:v>
      </x:c>
      <x:c r="Q1460" t="str"/>
      <x:c r="R1460" t="str"/>
      <x:c r="S1460" t="str">
        <x:v>Pending genuine supplier/brand image</x:v>
      </x:c>
      <x:c r="T1460" s="54"/>
      <x:c r="U1460" s="47" t="n">
        <x:v>0.2</x:v>
      </x:c>
      <x:c r="V1460" s="54" t="str">
        <x:f>IF(ISNUMBER(T1460),T1460*(1+U1460),"")</x:f>
      </x:c>
      <x:c r="W1460" s="47" t="n">
        <x:v>0.3</x:v>
      </x:c>
      <x:c r="X1460" s="54" t="str">
        <x:f>IF(ISNUMBER(V1460),V1460/(1-W1460),"")</x:f>
      </x:c>
      <x:c r="Y1460" s="55" t="str">
        <x:f>IF(ISNUMBER(X1460),ROUNDUP(X1460,0),"")</x:f>
      </x:c>
      <x:c r="Z1460" t="str">
        <x:f>IF(ISNUMBER(T1460),"Cost captured","Awaiting trade cost")</x:f>
        <x:v>Awaiting trade cost</x:v>
      </x:c>
      <x:c r="AB1460" s="36" t="str">
        <x:f>IF(ISNUMBER(Y1460),ROUND(Y1460*0.9,2),"")</x:f>
      </x:c>
      <x:c r="AC1460" s="36" t="str">
        <x:f>IF(ISNUMBER(AB1460),ROUND(AB1460-(AB1460*0.015+0.2)-V1460,2),"")</x:f>
      </x:c>
      <x:c r="AD1460" s="36" t="str">
        <x:f>IF(ISNUMBER(Y1460),ROUND(Y1460*0.8,2),"")</x:f>
      </x:c>
      <x:c r="AE1460" s="36" t="str">
        <x:f>IF(ISNUMBER(AD1460),ROUND(AD1460*0.015+0.2,2),"")</x:f>
      </x:c>
      <x:c r="AF1460" s="36" t="str">
        <x:f>IF(ISNUMBER(AD1460),ROUND(AD1460-AE1460-V1460,2),"")</x:f>
      </x:c>
      <x:c r="AG1460" t="str">
        <x:f>IF(NOT(ISNUMBER(T1460)),"PENDING",IF(AF1460&gt;0,"PASS","FAIL"))</x:f>
        <x:v>PENDING</x:v>
      </x:c>
      <x:c r="AH1460" t="str">
        <x:f>IF(NOT(ISNUMBER(T1460)),"Needs supplier cost",IF(K1460&lt;&gt;"In stock","Supplier unavailable",IF(AG1460&lt;&gt;"PASS","BLOCK - GT loss risk","Commercially protected")))</x:f>
        <x:v>Needs supplier cost</x:v>
      </x:c>
      <x:c r="AI1460" t="str">
        <x:v>2026-09-10 Active Sports trade capture</x:v>
      </x:c>
      <x:c r="AJ1460" t="str">
        <x:v>Management-only economics. Stripe stress test uses 1.5% + £0.20 standard UK online-card fee; pallet/mix-and-match pricing ignored.</x:v>
      </x:c>
    </x:row>
    <x:row r="1461">
      <x:c r="A1461" t="str">
        <x:v>Active Sports Nutrition</x:v>
      </x:c>
      <x:c r="B1461" t="str">
        <x:v>Naughty Boy Lifestyle</x:v>
      </x:c>
      <x:c r="C1461" t="str">
        <x:v>Advanced Whey Protein</x:v>
      </x:c>
      <x:c r="D1461" t="str">
        <x:v>Supplements</x:v>
      </x:c>
      <x:c r="E1461" t="str">
        <x:v>Whey Protein</x:v>
      </x:c>
      <x:c r="F1461" t="str">
        <x:v>Whey protein powder.</x:v>
      </x:c>
      <x:c r="G1461" t="str">
        <x:v>900g</x:v>
      </x:c>
      <x:c r="H1461" t="str">
        <x:v>Cinnamon Bun</x:v>
      </x:c>
      <x:c r="I1461" t="str"/>
      <x:c r="J1461" t="str">
        <x:v>Unit</x:v>
      </x:c>
      <x:c r="K1461" t="str">
        <x:v>Out of stock</x:v>
      </x:c>
      <x:c r="L1461" t="str">
        <x:v>2026-09-08</x:v>
      </x:c>
      <x:c r="M1461" t="str"/>
      <x:c r="N1461" t="str"/>
      <x:c r="O1461" t="str">
        <x:v>https://www.activesportstrade.co.uk/Whey-Protein-Supplements-Trade</x:v>
      </x:c>
      <x:c r="P1461" t="str">
        <x:v>Current standard listing retained. Separate BBE 03/27 Chocolate Orange and Salted Caramel promo rows are not used to alter normal canonical availability.</x:v>
      </x:c>
      <x:c r="Q1461" t="str"/>
      <x:c r="R1461" t="str"/>
      <x:c r="S1461" t="str">
        <x:v>Pending genuine supplier/brand image</x:v>
      </x:c>
      <x:c r="T1461" s="54"/>
      <x:c r="U1461" s="47" t="n">
        <x:v>0.2</x:v>
      </x:c>
      <x:c r="V1461" s="54" t="str">
        <x:f>IF(ISNUMBER(T1461),T1461*(1+U1461),"")</x:f>
      </x:c>
      <x:c r="W1461" s="47" t="n">
        <x:v>0.3</x:v>
      </x:c>
      <x:c r="X1461" s="54" t="str">
        <x:f>IF(ISNUMBER(V1461),V1461/(1-W1461),"")</x:f>
      </x:c>
      <x:c r="Y1461" s="55" t="str">
        <x:f>IF(ISNUMBER(X1461),ROUNDUP(X1461,0),"")</x:f>
      </x:c>
      <x:c r="Z1461" t="str">
        <x:f>IF(ISNUMBER(T1461),"Cost captured","Awaiting trade cost")</x:f>
        <x:v>Awaiting trade cost</x:v>
      </x:c>
      <x:c r="AB1461" s="36" t="str">
        <x:f>IF(ISNUMBER(Y1461),ROUND(Y1461*0.9,2),"")</x:f>
      </x:c>
      <x:c r="AC1461" s="36" t="str">
        <x:f>IF(ISNUMBER(AB1461),ROUND(AB1461-(AB1461*0.015+0.2)-V1461,2),"")</x:f>
      </x:c>
      <x:c r="AD1461" s="36" t="str">
        <x:f>IF(ISNUMBER(Y1461),ROUND(Y1461*0.8,2),"")</x:f>
      </x:c>
      <x:c r="AE1461" s="36" t="str">
        <x:f>IF(ISNUMBER(AD1461),ROUND(AD1461*0.015+0.2,2),"")</x:f>
      </x:c>
      <x:c r="AF1461" s="36" t="str">
        <x:f>IF(ISNUMBER(AD1461),ROUND(AD1461-AE1461-V1461,2),"")</x:f>
      </x:c>
      <x:c r="AG1461" t="str">
        <x:f>IF(NOT(ISNUMBER(T1461)),"PENDING",IF(AF1461&gt;0,"PASS","FAIL"))</x:f>
        <x:v>PENDING</x:v>
      </x:c>
      <x:c r="AH1461" t="str">
        <x:f>IF(NOT(ISNUMBER(T1461)),"Needs supplier cost",IF(K1461&lt;&gt;"In stock","Supplier unavailable",IF(AG1461&lt;&gt;"PASS","BLOCK - GT loss risk","Commercially protected")))</x:f>
        <x:v>Needs supplier cost</x:v>
      </x:c>
      <x:c r="AI1461" t="str">
        <x:v>2026-09-10 Active Sports trade capture</x:v>
      </x:c>
      <x:c r="AJ1461" t="str">
        <x:v>Management-only economics. Stripe stress test uses 1.5% + £0.20 standard UK online-card fee; pallet/mix-and-match pricing ignored.</x:v>
      </x:c>
    </x:row>
    <x:row r="1462">
      <x:c r="A1462" t="str">
        <x:v>Active Sports Nutrition</x:v>
      </x:c>
      <x:c r="B1462" t="str">
        <x:v>Naughty Boy Lifestyle</x:v>
      </x:c>
      <x:c r="C1462" t="str">
        <x:v>Advanced Whey Protein</x:v>
      </x:c>
      <x:c r="D1462" t="str">
        <x:v>Supplements</x:v>
      </x:c>
      <x:c r="E1462" t="str">
        <x:v>Whey Protein</x:v>
      </x:c>
      <x:c r="F1462" t="str">
        <x:v>Whey protein powder.</x:v>
      </x:c>
      <x:c r="G1462" t="str">
        <x:v>900g</x:v>
      </x:c>
      <x:c r="H1462" t="str">
        <x:v>Cookies &amp; Cream</x:v>
      </x:c>
      <x:c r="I1462" t="str"/>
      <x:c r="J1462" t="str">
        <x:v>Unit</x:v>
      </x:c>
      <x:c r="K1462" t="str">
        <x:v>In stock</x:v>
      </x:c>
      <x:c r="L1462" t="str">
        <x:v>2026-09-08</x:v>
      </x:c>
      <x:c r="M1462" t="str"/>
      <x:c r="N1462" t="str"/>
      <x:c r="O1462" t="str">
        <x:v>https://www.activesportstrade.co.uk/Whey-Protein-Supplements-Trade</x:v>
      </x:c>
      <x:c r="P1462" t="str">
        <x:v>Current standard listing retained. Separate BBE 03/27 Chocolate Orange and Salted Caramel promo rows are not used to alter normal canonical availability.</x:v>
      </x:c>
      <x:c r="Q1462" t="str"/>
      <x:c r="R1462" t="str"/>
      <x:c r="S1462" t="str">
        <x:v>Pending genuine supplier/brand image</x:v>
      </x:c>
      <x:c r="T1462" s="54"/>
      <x:c r="U1462" s="47" t="n">
        <x:v>0.2</x:v>
      </x:c>
      <x:c r="V1462" s="54" t="str">
        <x:f>IF(ISNUMBER(T1462),T1462*(1+U1462),"")</x:f>
      </x:c>
      <x:c r="W1462" s="47" t="n">
        <x:v>0.3</x:v>
      </x:c>
      <x:c r="X1462" s="54" t="str">
        <x:f>IF(ISNUMBER(V1462),V1462/(1-W1462),"")</x:f>
      </x:c>
      <x:c r="Y1462" s="55" t="str">
        <x:f>IF(ISNUMBER(X1462),ROUNDUP(X1462,0),"")</x:f>
      </x:c>
      <x:c r="Z1462" t="str">
        <x:f>IF(ISNUMBER(T1462),"Cost captured","Awaiting trade cost")</x:f>
        <x:v>Awaiting trade cost</x:v>
      </x:c>
      <x:c r="AB1462" s="36" t="str">
        <x:f>IF(ISNUMBER(Y1462),ROUND(Y1462*0.9,2),"")</x:f>
      </x:c>
      <x:c r="AC1462" s="36" t="str">
        <x:f>IF(ISNUMBER(AB1462),ROUND(AB1462-(AB1462*0.015+0.2)-V1462,2),"")</x:f>
      </x:c>
      <x:c r="AD1462" s="36" t="str">
        <x:f>IF(ISNUMBER(Y1462),ROUND(Y1462*0.8,2),"")</x:f>
      </x:c>
      <x:c r="AE1462" s="36" t="str">
        <x:f>IF(ISNUMBER(AD1462),ROUND(AD1462*0.015+0.2,2),"")</x:f>
      </x:c>
      <x:c r="AF1462" s="36" t="str">
        <x:f>IF(ISNUMBER(AD1462),ROUND(AD1462-AE1462-V1462,2),"")</x:f>
      </x:c>
      <x:c r="AG1462" t="str">
        <x:f>IF(NOT(ISNUMBER(T1462)),"PENDING",IF(AF1462&gt;0,"PASS","FAIL"))</x:f>
        <x:v>PENDING</x:v>
      </x:c>
      <x:c r="AH1462" t="str">
        <x:f>IF(NOT(ISNUMBER(T1462)),"Needs supplier cost",IF(K1462&lt;&gt;"In stock","Supplier unavailable",IF(AG1462&lt;&gt;"PASS","BLOCK - GT loss risk","Commercially protected")))</x:f>
        <x:v>Needs supplier cost</x:v>
      </x:c>
      <x:c r="AI1462" t="str">
        <x:v>2026-09-10 Active Sports trade capture</x:v>
      </x:c>
      <x:c r="AJ1462" t="str">
        <x:v>Management-only economics. Stripe stress test uses 1.5% + £0.20 standard UK online-card fee; pallet/mix-and-match pricing ignored.</x:v>
      </x:c>
    </x:row>
    <x:row r="1463">
      <x:c r="A1463" t="str">
        <x:v>Active Sports Nutrition</x:v>
      </x:c>
      <x:c r="B1463" t="str">
        <x:v>Naughty Boy Lifestyle</x:v>
      </x:c>
      <x:c r="C1463" t="str">
        <x:v>Advanced Whey Protein</x:v>
      </x:c>
      <x:c r="D1463" t="str">
        <x:v>Supplements</x:v>
      </x:c>
      <x:c r="E1463" t="str">
        <x:v>Whey Protein</x:v>
      </x:c>
      <x:c r="F1463" t="str">
        <x:v>Whey protein powder.</x:v>
      </x:c>
      <x:c r="G1463" t="str">
        <x:v>900g</x:v>
      </x:c>
      <x:c r="H1463" t="str">
        <x:v>Frosted Carrot Cake</x:v>
      </x:c>
      <x:c r="I1463" t="str"/>
      <x:c r="J1463" t="str">
        <x:v>Unit</x:v>
      </x:c>
      <x:c r="K1463" t="str">
        <x:v>In stock</x:v>
      </x:c>
      <x:c r="L1463" t="str">
        <x:v>2026-09-08</x:v>
      </x:c>
      <x:c r="M1463" t="str"/>
      <x:c r="N1463" t="str"/>
      <x:c r="O1463" t="str">
        <x:v>https://www.activesportstrade.co.uk/Whey-Protein-Supplements-Trade</x:v>
      </x:c>
      <x:c r="P1463" t="str">
        <x:v>Current standard listing retained. Separate BBE 03/27 Chocolate Orange and Salted Caramel promo rows are not used to alter normal canonical availability.</x:v>
      </x:c>
      <x:c r="Q1463" t="str"/>
      <x:c r="R1463" t="str"/>
      <x:c r="S1463" t="str">
        <x:v>Pending genuine supplier/brand image</x:v>
      </x:c>
      <x:c r="T1463" s="54"/>
      <x:c r="U1463" s="47" t="n">
        <x:v>0.2</x:v>
      </x:c>
      <x:c r="V1463" s="54" t="str">
        <x:f>IF(ISNUMBER(T1463),T1463*(1+U1463),"")</x:f>
      </x:c>
      <x:c r="W1463" s="47" t="n">
        <x:v>0.3</x:v>
      </x:c>
      <x:c r="X1463" s="54" t="str">
        <x:f>IF(ISNUMBER(V1463),V1463/(1-W1463),"")</x:f>
      </x:c>
      <x:c r="Y1463" s="55" t="str">
        <x:f>IF(ISNUMBER(X1463),ROUNDUP(X1463,0),"")</x:f>
      </x:c>
      <x:c r="Z1463" t="str">
        <x:f>IF(ISNUMBER(T1463),"Cost captured","Awaiting trade cost")</x:f>
        <x:v>Awaiting trade cost</x:v>
      </x:c>
      <x:c r="AB1463" s="36" t="str">
        <x:f>IF(ISNUMBER(Y1463),ROUND(Y1463*0.9,2),"")</x:f>
      </x:c>
      <x:c r="AC1463" s="36" t="str">
        <x:f>IF(ISNUMBER(AB1463),ROUND(AB1463-(AB1463*0.015+0.2)-V1463,2),"")</x:f>
      </x:c>
      <x:c r="AD1463" s="36" t="str">
        <x:f>IF(ISNUMBER(Y1463),ROUND(Y1463*0.8,2),"")</x:f>
      </x:c>
      <x:c r="AE1463" s="36" t="str">
        <x:f>IF(ISNUMBER(AD1463),ROUND(AD1463*0.015+0.2,2),"")</x:f>
      </x:c>
      <x:c r="AF1463" s="36" t="str">
        <x:f>IF(ISNUMBER(AD1463),ROUND(AD1463-AE1463-V1463,2),"")</x:f>
      </x:c>
      <x:c r="AG1463" t="str">
        <x:f>IF(NOT(ISNUMBER(T1463)),"PENDING",IF(AF1463&gt;0,"PASS","FAIL"))</x:f>
        <x:v>PENDING</x:v>
      </x:c>
      <x:c r="AH1463" t="str">
        <x:f>IF(NOT(ISNUMBER(T1463)),"Needs supplier cost",IF(K1463&lt;&gt;"In stock","Supplier unavailable",IF(AG1463&lt;&gt;"PASS","BLOCK - GT loss risk","Commercially protected")))</x:f>
        <x:v>Needs supplier cost</x:v>
      </x:c>
      <x:c r="AI1463" t="str">
        <x:v>2026-09-10 Active Sports trade capture</x:v>
      </x:c>
      <x:c r="AJ1463" t="str">
        <x:v>Management-only economics. Stripe stress test uses 1.5% + £0.20 standard UK online-card fee; pallet/mix-and-match pricing ignored.</x:v>
      </x:c>
    </x:row>
    <x:row r="1464">
      <x:c r="A1464" t="str">
        <x:v>Active Sports Nutrition</x:v>
      </x:c>
      <x:c r="B1464" t="str">
        <x:v>Naughty Boy Lifestyle</x:v>
      </x:c>
      <x:c r="C1464" t="str">
        <x:v>Advanced Whey Protein</x:v>
      </x:c>
      <x:c r="D1464" t="str">
        <x:v>Supplements</x:v>
      </x:c>
      <x:c r="E1464" t="str">
        <x:v>Whey Protein</x:v>
      </x:c>
      <x:c r="F1464" t="str">
        <x:v>Whey protein powder.</x:v>
      </x:c>
      <x:c r="G1464" t="str">
        <x:v>900g</x:v>
      </x:c>
      <x:c r="H1464" t="str">
        <x:v>Lifestyle Loops</x:v>
      </x:c>
      <x:c r="I1464" t="str"/>
      <x:c r="J1464" t="str">
        <x:v>Unit</x:v>
      </x:c>
      <x:c r="K1464" t="str">
        <x:v>In stock</x:v>
      </x:c>
      <x:c r="L1464" t="str">
        <x:v>2026-09-08</x:v>
      </x:c>
      <x:c r="M1464" t="str"/>
      <x:c r="N1464" t="str"/>
      <x:c r="O1464" t="str">
        <x:v>https://www.activesportstrade.co.uk/Whey-Protein-Supplements-Trade</x:v>
      </x:c>
      <x:c r="P1464" t="str">
        <x:v>Current standard listing retained. Separate BBE 03/27 Chocolate Orange and Salted Caramel promo rows are not used to alter normal canonical availability.</x:v>
      </x:c>
      <x:c r="Q1464" t="str"/>
      <x:c r="R1464" t="str"/>
      <x:c r="S1464" t="str">
        <x:v>Pending genuine supplier/brand image</x:v>
      </x:c>
      <x:c r="T1464" s="54"/>
      <x:c r="U1464" s="47" t="n">
        <x:v>0.2</x:v>
      </x:c>
      <x:c r="V1464" s="54" t="str">
        <x:f>IF(ISNUMBER(T1464),T1464*(1+U1464),"")</x:f>
      </x:c>
      <x:c r="W1464" s="47" t="n">
        <x:v>0.3</x:v>
      </x:c>
      <x:c r="X1464" s="54" t="str">
        <x:f>IF(ISNUMBER(V1464),V1464/(1-W1464),"")</x:f>
      </x:c>
      <x:c r="Y1464" s="55" t="str">
        <x:f>IF(ISNUMBER(X1464),ROUNDUP(X1464,0),"")</x:f>
      </x:c>
      <x:c r="Z1464" t="str">
        <x:f>IF(ISNUMBER(T1464),"Cost captured","Awaiting trade cost")</x:f>
        <x:v>Awaiting trade cost</x:v>
      </x:c>
      <x:c r="AB1464" s="36" t="str">
        <x:f>IF(ISNUMBER(Y1464),ROUND(Y1464*0.9,2),"")</x:f>
      </x:c>
      <x:c r="AC1464" s="36" t="str">
        <x:f>IF(ISNUMBER(AB1464),ROUND(AB1464-(AB1464*0.015+0.2)-V1464,2),"")</x:f>
      </x:c>
      <x:c r="AD1464" s="36" t="str">
        <x:f>IF(ISNUMBER(Y1464),ROUND(Y1464*0.8,2),"")</x:f>
      </x:c>
      <x:c r="AE1464" s="36" t="str">
        <x:f>IF(ISNUMBER(AD1464),ROUND(AD1464*0.015+0.2,2),"")</x:f>
      </x:c>
      <x:c r="AF1464" s="36" t="str">
        <x:f>IF(ISNUMBER(AD1464),ROUND(AD1464-AE1464-V1464,2),"")</x:f>
      </x:c>
      <x:c r="AG1464" t="str">
        <x:f>IF(NOT(ISNUMBER(T1464)),"PENDING",IF(AF1464&gt;0,"PASS","FAIL"))</x:f>
        <x:v>PENDING</x:v>
      </x:c>
      <x:c r="AH1464" t="str">
        <x:f>IF(NOT(ISNUMBER(T1464)),"Needs supplier cost",IF(K1464&lt;&gt;"In stock","Supplier unavailable",IF(AG1464&lt;&gt;"PASS","BLOCK - GT loss risk","Commercially protected")))</x:f>
        <x:v>Needs supplier cost</x:v>
      </x:c>
      <x:c r="AI1464" t="str">
        <x:v>2026-09-10 Active Sports trade capture</x:v>
      </x:c>
      <x:c r="AJ1464" t="str">
        <x:v>Management-only economics. Stripe stress test uses 1.5% + £0.20 standard UK online-card fee; pallet/mix-and-match pricing ignored.</x:v>
      </x:c>
    </x:row>
    <x:row r="1465">
      <x:c r="A1465" t="str">
        <x:v>Active Sports Nutrition</x:v>
      </x:c>
      <x:c r="B1465" t="str">
        <x:v>Naughty Boy Lifestyle</x:v>
      </x:c>
      <x:c r="C1465" t="str">
        <x:v>Advanced Whey Protein</x:v>
      </x:c>
      <x:c r="D1465" t="str">
        <x:v>Supplements</x:v>
      </x:c>
      <x:c r="E1465" t="str">
        <x:v>Whey Protein</x:v>
      </x:c>
      <x:c r="F1465" t="str">
        <x:v>Whey protein powder.</x:v>
      </x:c>
      <x:c r="G1465" t="str">
        <x:v>900g</x:v>
      </x:c>
      <x:c r="H1465" t="str">
        <x:v>Maple Pecan Pancakes</x:v>
      </x:c>
      <x:c r="I1465" t="str"/>
      <x:c r="J1465" t="str">
        <x:v>Unit</x:v>
      </x:c>
      <x:c r="K1465" t="str">
        <x:v>In stock</x:v>
      </x:c>
      <x:c r="L1465" t="str">
        <x:v>2026-09-08</x:v>
      </x:c>
      <x:c r="M1465" t="str"/>
      <x:c r="N1465" t="str"/>
      <x:c r="O1465" t="str">
        <x:v>https://www.activesportstrade.co.uk/Whey-Protein-Supplements-Trade</x:v>
      </x:c>
      <x:c r="P1465" t="str">
        <x:v>Current standard listing retained. Separate BBE 03/27 Chocolate Orange and Salted Caramel promo rows are not used to alter normal canonical availability.</x:v>
      </x:c>
      <x:c r="Q1465" t="str"/>
      <x:c r="R1465" t="str"/>
      <x:c r="S1465" t="str">
        <x:v>Pending genuine supplier/brand image</x:v>
      </x:c>
      <x:c r="T1465" s="54"/>
      <x:c r="U1465" s="47" t="n">
        <x:v>0.2</x:v>
      </x:c>
      <x:c r="V1465" s="54" t="str">
        <x:f>IF(ISNUMBER(T1465),T1465*(1+U1465),"")</x:f>
      </x:c>
      <x:c r="W1465" s="47" t="n">
        <x:v>0.3</x:v>
      </x:c>
      <x:c r="X1465" s="54" t="str">
        <x:f>IF(ISNUMBER(V1465),V1465/(1-W1465),"")</x:f>
      </x:c>
      <x:c r="Y1465" s="55" t="str">
        <x:f>IF(ISNUMBER(X1465),ROUNDUP(X1465,0),"")</x:f>
      </x:c>
      <x:c r="Z1465" t="str">
        <x:f>IF(ISNUMBER(T1465),"Cost captured","Awaiting trade cost")</x:f>
        <x:v>Awaiting trade cost</x:v>
      </x:c>
      <x:c r="AB1465" s="36" t="str">
        <x:f>IF(ISNUMBER(Y1465),ROUND(Y1465*0.9,2),"")</x:f>
      </x:c>
      <x:c r="AC1465" s="36" t="str">
        <x:f>IF(ISNUMBER(AB1465),ROUND(AB1465-(AB1465*0.015+0.2)-V1465,2),"")</x:f>
      </x:c>
      <x:c r="AD1465" s="36" t="str">
        <x:f>IF(ISNUMBER(Y1465),ROUND(Y1465*0.8,2),"")</x:f>
      </x:c>
      <x:c r="AE1465" s="36" t="str">
        <x:f>IF(ISNUMBER(AD1465),ROUND(AD1465*0.015+0.2,2),"")</x:f>
      </x:c>
      <x:c r="AF1465" s="36" t="str">
        <x:f>IF(ISNUMBER(AD1465),ROUND(AD1465-AE1465-V1465,2),"")</x:f>
      </x:c>
      <x:c r="AG1465" t="str">
        <x:f>IF(NOT(ISNUMBER(T1465)),"PENDING",IF(AF1465&gt;0,"PASS","FAIL"))</x:f>
        <x:v>PENDING</x:v>
      </x:c>
      <x:c r="AH1465" t="str">
        <x:f>IF(NOT(ISNUMBER(T1465)),"Needs supplier cost",IF(K1465&lt;&gt;"In stock","Supplier unavailable",IF(AG1465&lt;&gt;"PASS","BLOCK - GT loss risk","Commercially protected")))</x:f>
        <x:v>Needs supplier cost</x:v>
      </x:c>
      <x:c r="AI1465" t="str">
        <x:v>2026-09-10 Active Sports trade capture</x:v>
      </x:c>
      <x:c r="AJ1465" t="str">
        <x:v>Management-only economics. Stripe stress test uses 1.5% + £0.20 standard UK online-card fee; pallet/mix-and-match pricing ignored.</x:v>
      </x:c>
    </x:row>
    <x:row r="1466">
      <x:c r="A1466" t="str">
        <x:v>Active Sports Nutrition</x:v>
      </x:c>
      <x:c r="B1466" t="str">
        <x:v>Naughty Boy Lifestyle</x:v>
      </x:c>
      <x:c r="C1466" t="str">
        <x:v>Advanced Whey Protein</x:v>
      </x:c>
      <x:c r="D1466" t="str">
        <x:v>Supplements</x:v>
      </x:c>
      <x:c r="E1466" t="str">
        <x:v>Whey Protein</x:v>
      </x:c>
      <x:c r="F1466" t="str">
        <x:v>Whey protein powder.</x:v>
      </x:c>
      <x:c r="G1466" t="str">
        <x:v>900g</x:v>
      </x:c>
      <x:c r="H1466" t="str">
        <x:v>Milk Chocolate Caramel Biscuit</x:v>
      </x:c>
      <x:c r="I1466" t="str"/>
      <x:c r="J1466" t="str">
        <x:v>Unit</x:v>
      </x:c>
      <x:c r="K1466" t="str">
        <x:v>In stock</x:v>
      </x:c>
      <x:c r="L1466" t="str">
        <x:v>2026-09-08</x:v>
      </x:c>
      <x:c r="M1466" t="str"/>
      <x:c r="N1466" t="str"/>
      <x:c r="O1466" t="str">
        <x:v>https://www.activesportstrade.co.uk/Whey-Protein-Supplements-Trade</x:v>
      </x:c>
      <x:c r="P1466" t="str">
        <x:v>Current standard listing retained. Separate BBE 03/27 Chocolate Orange and Salted Caramel promo rows are not used to alter normal canonical availability.</x:v>
      </x:c>
      <x:c r="Q1466" t="str"/>
      <x:c r="R1466" t="str"/>
      <x:c r="S1466" t="str">
        <x:v>Pending genuine supplier/brand image</x:v>
      </x:c>
      <x:c r="T1466" s="54"/>
      <x:c r="U1466" s="47" t="n">
        <x:v>0.2</x:v>
      </x:c>
      <x:c r="V1466" s="54" t="str">
        <x:f>IF(ISNUMBER(T1466),T1466*(1+U1466),"")</x:f>
      </x:c>
      <x:c r="W1466" s="47" t="n">
        <x:v>0.3</x:v>
      </x:c>
      <x:c r="X1466" s="54" t="str">
        <x:f>IF(ISNUMBER(V1466),V1466/(1-W1466),"")</x:f>
      </x:c>
      <x:c r="Y1466" s="55" t="str">
        <x:f>IF(ISNUMBER(X1466),ROUNDUP(X1466,0),"")</x:f>
      </x:c>
      <x:c r="Z1466" t="str">
        <x:f>IF(ISNUMBER(T1466),"Cost captured","Awaiting trade cost")</x:f>
        <x:v>Awaiting trade cost</x:v>
      </x:c>
      <x:c r="AB1466" s="36" t="str">
        <x:f>IF(ISNUMBER(Y1466),ROUND(Y1466*0.9,2),"")</x:f>
      </x:c>
      <x:c r="AC1466" s="36" t="str">
        <x:f>IF(ISNUMBER(AB1466),ROUND(AB1466-(AB1466*0.015+0.2)-V1466,2),"")</x:f>
      </x:c>
      <x:c r="AD1466" s="36" t="str">
        <x:f>IF(ISNUMBER(Y1466),ROUND(Y1466*0.8,2),"")</x:f>
      </x:c>
      <x:c r="AE1466" s="36" t="str">
        <x:f>IF(ISNUMBER(AD1466),ROUND(AD1466*0.015+0.2,2),"")</x:f>
      </x:c>
      <x:c r="AF1466" s="36" t="str">
        <x:f>IF(ISNUMBER(AD1466),ROUND(AD1466-AE1466-V1466,2),"")</x:f>
      </x:c>
      <x:c r="AG1466" t="str">
        <x:f>IF(NOT(ISNUMBER(T1466)),"PENDING",IF(AF1466&gt;0,"PASS","FAIL"))</x:f>
        <x:v>PENDING</x:v>
      </x:c>
      <x:c r="AH1466" t="str">
        <x:f>IF(NOT(ISNUMBER(T1466)),"Needs supplier cost",IF(K1466&lt;&gt;"In stock","Supplier unavailable",IF(AG1466&lt;&gt;"PASS","BLOCK - GT loss risk","Commercially protected")))</x:f>
        <x:v>Needs supplier cost</x:v>
      </x:c>
      <x:c r="AI1466" t="str">
        <x:v>2026-09-10 Active Sports trade capture</x:v>
      </x:c>
      <x:c r="AJ1466" t="str">
        <x:v>Management-only economics. Stripe stress test uses 1.5% + £0.20 standard UK online-card fee; pallet/mix-and-match pricing ignored.</x:v>
      </x:c>
    </x:row>
    <x:row r="1467">
      <x:c r="A1467" t="str">
        <x:v>Active Sports Nutrition</x:v>
      </x:c>
      <x:c r="B1467" t="str">
        <x:v>Naughty Boy Lifestyle</x:v>
      </x:c>
      <x:c r="C1467" t="str">
        <x:v>Advanced Whey Protein</x:v>
      </x:c>
      <x:c r="D1467" t="str">
        <x:v>Supplements</x:v>
      </x:c>
      <x:c r="E1467" t="str">
        <x:v>Whey Protein</x:v>
      </x:c>
      <x:c r="F1467" t="str">
        <x:v>Whey protein powder.</x:v>
      </x:c>
      <x:c r="G1467" t="str">
        <x:v>900g</x:v>
      </x:c>
      <x:c r="H1467" t="str">
        <x:v>Mint Cookies &amp; Cream</x:v>
      </x:c>
      <x:c r="I1467" t="str"/>
      <x:c r="J1467" t="str">
        <x:v>Unit</x:v>
      </x:c>
      <x:c r="K1467" t="str">
        <x:v>In stock</x:v>
      </x:c>
      <x:c r="L1467" t="str">
        <x:v>2026-09-08</x:v>
      </x:c>
      <x:c r="M1467" t="str"/>
      <x:c r="N1467" t="str"/>
      <x:c r="O1467" t="str">
        <x:v>https://www.activesportstrade.co.uk/Whey-Protein-Supplements-Trade</x:v>
      </x:c>
      <x:c r="P1467" t="str">
        <x:v>Current standard listing retained. Separate BBE 03/27 Chocolate Orange and Salted Caramel promo rows are not used to alter normal canonical availability.</x:v>
      </x:c>
      <x:c r="Q1467" t="str"/>
      <x:c r="R1467" t="str"/>
      <x:c r="S1467" t="str">
        <x:v>Pending genuine supplier/brand image</x:v>
      </x:c>
      <x:c r="T1467" s="54"/>
      <x:c r="U1467" s="47" t="n">
        <x:v>0.2</x:v>
      </x:c>
      <x:c r="V1467" s="54" t="str">
        <x:f>IF(ISNUMBER(T1467),T1467*(1+U1467),"")</x:f>
      </x:c>
      <x:c r="W1467" s="47" t="n">
        <x:v>0.3</x:v>
      </x:c>
      <x:c r="X1467" s="54" t="str">
        <x:f>IF(ISNUMBER(V1467),V1467/(1-W1467),"")</x:f>
      </x:c>
      <x:c r="Y1467" s="55" t="str">
        <x:f>IF(ISNUMBER(X1467),ROUNDUP(X1467,0),"")</x:f>
      </x:c>
      <x:c r="Z1467" t="str">
        <x:f>IF(ISNUMBER(T1467),"Cost captured","Awaiting trade cost")</x:f>
        <x:v>Awaiting trade cost</x:v>
      </x:c>
      <x:c r="AB1467" s="36" t="str">
        <x:f>IF(ISNUMBER(Y1467),ROUND(Y1467*0.9,2),"")</x:f>
      </x:c>
      <x:c r="AC1467" s="36" t="str">
        <x:f>IF(ISNUMBER(AB1467),ROUND(AB1467-(AB1467*0.015+0.2)-V1467,2),"")</x:f>
      </x:c>
      <x:c r="AD1467" s="36" t="str">
        <x:f>IF(ISNUMBER(Y1467),ROUND(Y1467*0.8,2),"")</x:f>
      </x:c>
      <x:c r="AE1467" s="36" t="str">
        <x:f>IF(ISNUMBER(AD1467),ROUND(AD1467*0.015+0.2,2),"")</x:f>
      </x:c>
      <x:c r="AF1467" s="36" t="str">
        <x:f>IF(ISNUMBER(AD1467),ROUND(AD1467-AE1467-V1467,2),"")</x:f>
      </x:c>
      <x:c r="AG1467" t="str">
        <x:f>IF(NOT(ISNUMBER(T1467)),"PENDING",IF(AF1467&gt;0,"PASS","FAIL"))</x:f>
        <x:v>PENDING</x:v>
      </x:c>
      <x:c r="AH1467" t="str">
        <x:f>IF(NOT(ISNUMBER(T1467)),"Needs supplier cost",IF(K1467&lt;&gt;"In stock","Supplier unavailable",IF(AG1467&lt;&gt;"PASS","BLOCK - GT loss risk","Commercially protected")))</x:f>
        <x:v>Needs supplier cost</x:v>
      </x:c>
      <x:c r="AI1467" t="str">
        <x:v>2026-09-10 Active Sports trade capture</x:v>
      </x:c>
      <x:c r="AJ1467" t="str">
        <x:v>Management-only economics. Stripe stress test uses 1.5% + £0.20 standard UK online-card fee; pallet/mix-and-match pricing ignored.</x:v>
      </x:c>
    </x:row>
    <x:row r="1468">
      <x:c r="A1468" t="str">
        <x:v>Active Sports Nutrition</x:v>
      </x:c>
      <x:c r="B1468" t="str">
        <x:v>Naughty Boy Lifestyle</x:v>
      </x:c>
      <x:c r="C1468" t="str">
        <x:v>Advanced Whey Protein</x:v>
      </x:c>
      <x:c r="D1468" t="str">
        <x:v>Supplements</x:v>
      </x:c>
      <x:c r="E1468" t="str">
        <x:v>Whey Protein</x:v>
      </x:c>
      <x:c r="F1468" t="str">
        <x:v>Whey protein powder.</x:v>
      </x:c>
      <x:c r="G1468" t="str">
        <x:v>900g</x:v>
      </x:c>
      <x:c r="H1468" t="str">
        <x:v>Peanut Butter Blondie</x:v>
      </x:c>
      <x:c r="I1468" t="str"/>
      <x:c r="J1468" t="str">
        <x:v>Unit</x:v>
      </x:c>
      <x:c r="K1468" t="str">
        <x:v>Out of stock</x:v>
      </x:c>
      <x:c r="L1468" t="str">
        <x:v>2026-09-08</x:v>
      </x:c>
      <x:c r="M1468" t="str"/>
      <x:c r="N1468" t="str"/>
      <x:c r="O1468" t="str">
        <x:v>https://www.activesportstrade.co.uk/Whey-Protein-Supplements-Trade</x:v>
      </x:c>
      <x:c r="P1468" t="str">
        <x:v>Current standard listing retained. Separate BBE 03/27 Chocolate Orange and Salted Caramel promo rows are not used to alter normal canonical availability.</x:v>
      </x:c>
      <x:c r="Q1468" t="str"/>
      <x:c r="R1468" t="str"/>
      <x:c r="S1468" t="str">
        <x:v>Pending genuine supplier/brand image</x:v>
      </x:c>
      <x:c r="T1468" s="54"/>
      <x:c r="U1468" s="47" t="n">
        <x:v>0.2</x:v>
      </x:c>
      <x:c r="V1468" s="54" t="str">
        <x:f>IF(ISNUMBER(T1468),T1468*(1+U1468),"")</x:f>
      </x:c>
      <x:c r="W1468" s="47" t="n">
        <x:v>0.3</x:v>
      </x:c>
      <x:c r="X1468" s="54" t="str">
        <x:f>IF(ISNUMBER(V1468),V1468/(1-W1468),"")</x:f>
      </x:c>
      <x:c r="Y1468" s="55" t="str">
        <x:f>IF(ISNUMBER(X1468),ROUNDUP(X1468,0),"")</x:f>
      </x:c>
      <x:c r="Z1468" t="str">
        <x:f>IF(ISNUMBER(T1468),"Cost captured","Awaiting trade cost")</x:f>
        <x:v>Awaiting trade cost</x:v>
      </x:c>
      <x:c r="AB1468" s="36" t="str">
        <x:f>IF(ISNUMBER(Y1468),ROUND(Y1468*0.9,2),"")</x:f>
      </x:c>
      <x:c r="AC1468" s="36" t="str">
        <x:f>IF(ISNUMBER(AB1468),ROUND(AB1468-(AB1468*0.015+0.2)-V1468,2),"")</x:f>
      </x:c>
      <x:c r="AD1468" s="36" t="str">
        <x:f>IF(ISNUMBER(Y1468),ROUND(Y1468*0.8,2),"")</x:f>
      </x:c>
      <x:c r="AE1468" s="36" t="str">
        <x:f>IF(ISNUMBER(AD1468),ROUND(AD1468*0.015+0.2,2),"")</x:f>
      </x:c>
      <x:c r="AF1468" s="36" t="str">
        <x:f>IF(ISNUMBER(AD1468),ROUND(AD1468-AE1468-V1468,2),"")</x:f>
      </x:c>
      <x:c r="AG1468" t="str">
        <x:f>IF(NOT(ISNUMBER(T1468)),"PENDING",IF(AF1468&gt;0,"PASS","FAIL"))</x:f>
        <x:v>PENDING</x:v>
      </x:c>
      <x:c r="AH1468" t="str">
        <x:f>IF(NOT(ISNUMBER(T1468)),"Needs supplier cost",IF(K1468&lt;&gt;"In stock","Supplier unavailable",IF(AG1468&lt;&gt;"PASS","BLOCK - GT loss risk","Commercially protected")))</x:f>
        <x:v>Needs supplier cost</x:v>
      </x:c>
      <x:c r="AI1468" t="str">
        <x:v>2026-09-10 Active Sports trade capture</x:v>
      </x:c>
      <x:c r="AJ1468" t="str">
        <x:v>Management-only economics. Stripe stress test uses 1.5% + £0.20 standard UK online-card fee; pallet/mix-and-match pricing ignored.</x:v>
      </x:c>
    </x:row>
    <x:row r="1469">
      <x:c r="A1469" t="str">
        <x:v>Active Sports Nutrition</x:v>
      </x:c>
      <x:c r="B1469" t="str">
        <x:v>Naughty Boy Lifestyle</x:v>
      </x:c>
      <x:c r="C1469" t="str">
        <x:v>Advanced Whey Protein</x:v>
      </x:c>
      <x:c r="D1469" t="str">
        <x:v>Supplements</x:v>
      </x:c>
      <x:c r="E1469" t="str">
        <x:v>Whey Protein</x:v>
      </x:c>
      <x:c r="F1469" t="str">
        <x:v>Whey protein powder.</x:v>
      </x:c>
      <x:c r="G1469" t="str">
        <x:v>900g</x:v>
      </x:c>
      <x:c r="H1469" t="str">
        <x:v>Peanut Butter Cereal Milk</x:v>
      </x:c>
      <x:c r="I1469" t="str"/>
      <x:c r="J1469" t="str">
        <x:v>Unit</x:v>
      </x:c>
      <x:c r="K1469" t="str">
        <x:v>In stock</x:v>
      </x:c>
      <x:c r="L1469" t="str">
        <x:v>2026-09-08</x:v>
      </x:c>
      <x:c r="M1469" t="str"/>
      <x:c r="N1469" t="str"/>
      <x:c r="O1469" t="str">
        <x:v>https://www.activesportstrade.co.uk/Whey-Protein-Supplements-Trade</x:v>
      </x:c>
      <x:c r="P1469" t="str">
        <x:v>Current standard listing retained. Separate BBE 03/27 Chocolate Orange and Salted Caramel promo rows are not used to alter normal canonical availability.</x:v>
      </x:c>
      <x:c r="Q1469" t="str"/>
      <x:c r="R1469" t="str"/>
      <x:c r="S1469" t="str">
        <x:v>Pending genuine supplier/brand image</x:v>
      </x:c>
      <x:c r="T1469" s="54"/>
      <x:c r="U1469" s="47" t="n">
        <x:v>0.2</x:v>
      </x:c>
      <x:c r="V1469" s="54" t="str">
        <x:f>IF(ISNUMBER(T1469),T1469*(1+U1469),"")</x:f>
      </x:c>
      <x:c r="W1469" s="47" t="n">
        <x:v>0.3</x:v>
      </x:c>
      <x:c r="X1469" s="54" t="str">
        <x:f>IF(ISNUMBER(V1469),V1469/(1-W1469),"")</x:f>
      </x:c>
      <x:c r="Y1469" s="55" t="str">
        <x:f>IF(ISNUMBER(X1469),ROUNDUP(X1469,0),"")</x:f>
      </x:c>
      <x:c r="Z1469" t="str">
        <x:f>IF(ISNUMBER(T1469),"Cost captured","Awaiting trade cost")</x:f>
        <x:v>Awaiting trade cost</x:v>
      </x:c>
      <x:c r="AB1469" s="36" t="str">
        <x:f>IF(ISNUMBER(Y1469),ROUND(Y1469*0.9,2),"")</x:f>
      </x:c>
      <x:c r="AC1469" s="36" t="str">
        <x:f>IF(ISNUMBER(AB1469),ROUND(AB1469-(AB1469*0.015+0.2)-V1469,2),"")</x:f>
      </x:c>
      <x:c r="AD1469" s="36" t="str">
        <x:f>IF(ISNUMBER(Y1469),ROUND(Y1469*0.8,2),"")</x:f>
      </x:c>
      <x:c r="AE1469" s="36" t="str">
        <x:f>IF(ISNUMBER(AD1469),ROUND(AD1469*0.015+0.2,2),"")</x:f>
      </x:c>
      <x:c r="AF1469" s="36" t="str">
        <x:f>IF(ISNUMBER(AD1469),ROUND(AD1469-AE1469-V1469,2),"")</x:f>
      </x:c>
      <x:c r="AG1469" t="str">
        <x:f>IF(NOT(ISNUMBER(T1469)),"PENDING",IF(AF1469&gt;0,"PASS","FAIL"))</x:f>
        <x:v>PENDING</x:v>
      </x:c>
      <x:c r="AH1469" t="str">
        <x:f>IF(NOT(ISNUMBER(T1469)),"Needs supplier cost",IF(K1469&lt;&gt;"In stock","Supplier unavailable",IF(AG1469&lt;&gt;"PASS","BLOCK - GT loss risk","Commercially protected")))</x:f>
        <x:v>Needs supplier cost</x:v>
      </x:c>
      <x:c r="AI1469" t="str">
        <x:v>2026-09-10 Active Sports trade capture</x:v>
      </x:c>
      <x:c r="AJ1469" t="str">
        <x:v>Management-only economics. Stripe stress test uses 1.5% + £0.20 standard UK online-card fee; pallet/mix-and-match pricing ignored.</x:v>
      </x:c>
    </x:row>
    <x:row r="1470">
      <x:c r="A1470" t="str">
        <x:v>Active Sports Nutrition</x:v>
      </x:c>
      <x:c r="B1470" t="str">
        <x:v>Naughty Boy Lifestyle</x:v>
      </x:c>
      <x:c r="C1470" t="str">
        <x:v>Advanced Whey Protein</x:v>
      </x:c>
      <x:c r="D1470" t="str">
        <x:v>Supplements</x:v>
      </x:c>
      <x:c r="E1470" t="str">
        <x:v>Whey Protein</x:v>
      </x:c>
      <x:c r="F1470" t="str">
        <x:v>Whey protein powder.</x:v>
      </x:c>
      <x:c r="G1470" t="str">
        <x:v>900g</x:v>
      </x:c>
      <x:c r="H1470" t="str">
        <x:v>Rainbow Charms</x:v>
      </x:c>
      <x:c r="I1470" t="str"/>
      <x:c r="J1470" t="str">
        <x:v>Unit</x:v>
      </x:c>
      <x:c r="K1470" t="str">
        <x:v>In stock</x:v>
      </x:c>
      <x:c r="L1470" t="str">
        <x:v>2026-09-08</x:v>
      </x:c>
      <x:c r="M1470" t="str"/>
      <x:c r="N1470" t="str"/>
      <x:c r="O1470" t="str">
        <x:v>https://www.activesportstrade.co.uk/Whey-Protein-Supplements-Trade</x:v>
      </x:c>
      <x:c r="P1470" t="str">
        <x:v>Current standard listing retained. Separate BBE 03/27 Chocolate Orange and Salted Caramel promo rows are not used to alter normal canonical availability.</x:v>
      </x:c>
      <x:c r="Q1470" t="str"/>
      <x:c r="R1470" t="str"/>
      <x:c r="S1470" t="str">
        <x:v>Pending genuine supplier/brand image</x:v>
      </x:c>
      <x:c r="T1470" s="54"/>
      <x:c r="U1470" s="47" t="n">
        <x:v>0.2</x:v>
      </x:c>
      <x:c r="V1470" s="54" t="str">
        <x:f>IF(ISNUMBER(T1470),T1470*(1+U1470),"")</x:f>
      </x:c>
      <x:c r="W1470" s="47" t="n">
        <x:v>0.3</x:v>
      </x:c>
      <x:c r="X1470" s="54" t="str">
        <x:f>IF(ISNUMBER(V1470),V1470/(1-W1470),"")</x:f>
      </x:c>
      <x:c r="Y1470" s="55" t="str">
        <x:f>IF(ISNUMBER(X1470),ROUNDUP(X1470,0),"")</x:f>
      </x:c>
      <x:c r="Z1470" t="str">
        <x:f>IF(ISNUMBER(T1470),"Cost captured","Awaiting trade cost")</x:f>
        <x:v>Awaiting trade cost</x:v>
      </x:c>
      <x:c r="AB1470" s="36" t="str">
        <x:f>IF(ISNUMBER(Y1470),ROUND(Y1470*0.9,2),"")</x:f>
      </x:c>
      <x:c r="AC1470" s="36" t="str">
        <x:f>IF(ISNUMBER(AB1470),ROUND(AB1470-(AB1470*0.015+0.2)-V1470,2),"")</x:f>
      </x:c>
      <x:c r="AD1470" s="36" t="str">
        <x:f>IF(ISNUMBER(Y1470),ROUND(Y1470*0.8,2),"")</x:f>
      </x:c>
      <x:c r="AE1470" s="36" t="str">
        <x:f>IF(ISNUMBER(AD1470),ROUND(AD1470*0.015+0.2,2),"")</x:f>
      </x:c>
      <x:c r="AF1470" s="36" t="str">
        <x:f>IF(ISNUMBER(AD1470),ROUND(AD1470-AE1470-V1470,2),"")</x:f>
      </x:c>
      <x:c r="AG1470" t="str">
        <x:f>IF(NOT(ISNUMBER(T1470)),"PENDING",IF(AF1470&gt;0,"PASS","FAIL"))</x:f>
        <x:v>PENDING</x:v>
      </x:c>
      <x:c r="AH1470" t="str">
        <x:f>IF(NOT(ISNUMBER(T1470)),"Needs supplier cost",IF(K1470&lt;&gt;"In stock","Supplier unavailable",IF(AG1470&lt;&gt;"PASS","BLOCK - GT loss risk","Commercially protected")))</x:f>
        <x:v>Needs supplier cost</x:v>
      </x:c>
      <x:c r="AI1470" t="str">
        <x:v>2026-09-10 Active Sports trade capture</x:v>
      </x:c>
      <x:c r="AJ1470" t="str">
        <x:v>Management-only economics. Stripe stress test uses 1.5% + £0.20 standard UK online-card fee; pallet/mix-and-match pricing ignored.</x:v>
      </x:c>
    </x:row>
    <x:row r="1471">
      <x:c r="A1471" t="str">
        <x:v>Active Sports Nutrition</x:v>
      </x:c>
      <x:c r="B1471" t="str">
        <x:v>Naughty Boy Lifestyle</x:v>
      </x:c>
      <x:c r="C1471" t="str">
        <x:v>Advanced Whey Protein</x:v>
      </x:c>
      <x:c r="D1471" t="str">
        <x:v>Supplements</x:v>
      </x:c>
      <x:c r="E1471" t="str">
        <x:v>Whey Protein</x:v>
      </x:c>
      <x:c r="F1471" t="str">
        <x:v>Whey protein powder.</x:v>
      </x:c>
      <x:c r="G1471" t="str">
        <x:v>900g</x:v>
      </x:c>
      <x:c r="H1471" t="str">
        <x:v>Raspberry Ripple Ice Cream</x:v>
      </x:c>
      <x:c r="I1471" t="str"/>
      <x:c r="J1471" t="str">
        <x:v>Unit</x:v>
      </x:c>
      <x:c r="K1471" t="str">
        <x:v>In stock</x:v>
      </x:c>
      <x:c r="L1471" t="str">
        <x:v>2026-09-08</x:v>
      </x:c>
      <x:c r="M1471" t="str"/>
      <x:c r="N1471" t="str"/>
      <x:c r="O1471" t="str">
        <x:v>https://www.activesportstrade.co.uk/Whey-Protein-Supplements-Trade</x:v>
      </x:c>
      <x:c r="P1471" t="str">
        <x:v>Current standard listing retained. Separate BBE 03/27 Chocolate Orange and Salted Caramel promo rows are not used to alter normal canonical availability.</x:v>
      </x:c>
      <x:c r="Q1471" t="str"/>
      <x:c r="R1471" t="str"/>
      <x:c r="S1471" t="str">
        <x:v>Pending genuine supplier/brand image</x:v>
      </x:c>
      <x:c r="T1471" s="54"/>
      <x:c r="U1471" s="47" t="n">
        <x:v>0.2</x:v>
      </x:c>
      <x:c r="V1471" s="54" t="str">
        <x:f>IF(ISNUMBER(T1471),T1471*(1+U1471),"")</x:f>
      </x:c>
      <x:c r="W1471" s="47" t="n">
        <x:v>0.3</x:v>
      </x:c>
      <x:c r="X1471" s="54" t="str">
        <x:f>IF(ISNUMBER(V1471),V1471/(1-W1471),"")</x:f>
      </x:c>
      <x:c r="Y1471" s="55" t="str">
        <x:f>IF(ISNUMBER(X1471),ROUNDUP(X1471,0),"")</x:f>
      </x:c>
      <x:c r="Z1471" t="str">
        <x:f>IF(ISNUMBER(T1471),"Cost captured","Awaiting trade cost")</x:f>
        <x:v>Awaiting trade cost</x:v>
      </x:c>
      <x:c r="AB1471" s="36" t="str">
        <x:f>IF(ISNUMBER(Y1471),ROUND(Y1471*0.9,2),"")</x:f>
      </x:c>
      <x:c r="AC1471" s="36" t="str">
        <x:f>IF(ISNUMBER(AB1471),ROUND(AB1471-(AB1471*0.015+0.2)-V1471,2),"")</x:f>
      </x:c>
      <x:c r="AD1471" s="36" t="str">
        <x:f>IF(ISNUMBER(Y1471),ROUND(Y1471*0.8,2),"")</x:f>
      </x:c>
      <x:c r="AE1471" s="36" t="str">
        <x:f>IF(ISNUMBER(AD1471),ROUND(AD1471*0.015+0.2,2),"")</x:f>
      </x:c>
      <x:c r="AF1471" s="36" t="str">
        <x:f>IF(ISNUMBER(AD1471),ROUND(AD1471-AE1471-V1471,2),"")</x:f>
      </x:c>
      <x:c r="AG1471" t="str">
        <x:f>IF(NOT(ISNUMBER(T1471)),"PENDING",IF(AF1471&gt;0,"PASS","FAIL"))</x:f>
        <x:v>PENDING</x:v>
      </x:c>
      <x:c r="AH1471" t="str">
        <x:f>IF(NOT(ISNUMBER(T1471)),"Needs supplier cost",IF(K1471&lt;&gt;"In stock","Supplier unavailable",IF(AG1471&lt;&gt;"PASS","BLOCK - GT loss risk","Commercially protected")))</x:f>
        <x:v>Needs supplier cost</x:v>
      </x:c>
      <x:c r="AI1471" t="str">
        <x:v>2026-09-10 Active Sports trade capture</x:v>
      </x:c>
      <x:c r="AJ1471" t="str">
        <x:v>Management-only economics. Stripe stress test uses 1.5% + £0.20 standard UK online-card fee; pallet/mix-and-match pricing ignored.</x:v>
      </x:c>
    </x:row>
    <x:row r="1472">
      <x:c r="A1472" t="str">
        <x:v>Active Sports Nutrition</x:v>
      </x:c>
      <x:c r="B1472" t="str">
        <x:v>Naughty Boy Lifestyle</x:v>
      </x:c>
      <x:c r="C1472" t="str">
        <x:v>Advanced Whey Protein</x:v>
      </x:c>
      <x:c r="D1472" t="str">
        <x:v>Supplements</x:v>
      </x:c>
      <x:c r="E1472" t="str">
        <x:v>Whey Protein</x:v>
      </x:c>
      <x:c r="F1472" t="str">
        <x:v>Whey protein powder.</x:v>
      </x:c>
      <x:c r="G1472" t="str">
        <x:v>900g</x:v>
      </x:c>
      <x:c r="H1472" t="str">
        <x:v>Salted Caramel</x:v>
      </x:c>
      <x:c r="I1472" t="str"/>
      <x:c r="J1472" t="str">
        <x:v>Unit</x:v>
      </x:c>
      <x:c r="K1472" t="str">
        <x:v>In stock</x:v>
      </x:c>
      <x:c r="L1472" t="str">
        <x:v>2026-09-08</x:v>
      </x:c>
      <x:c r="M1472" t="str"/>
      <x:c r="N1472" t="str"/>
      <x:c r="O1472" t="str">
        <x:v>https://www.activesportstrade.co.uk/Whey-Protein-Supplements-Trade</x:v>
      </x:c>
      <x:c r="P1472" t="str">
        <x:v>Current standard listing retained. Separate BBE 03/27 Chocolate Orange and Salted Caramel promo rows are not used to alter normal canonical availability.</x:v>
      </x:c>
      <x:c r="Q1472" t="str"/>
      <x:c r="R1472" t="str"/>
      <x:c r="S1472" t="str">
        <x:v>Pending genuine supplier/brand image</x:v>
      </x:c>
      <x:c r="T1472" s="54"/>
      <x:c r="U1472" s="47" t="n">
        <x:v>0.2</x:v>
      </x:c>
      <x:c r="V1472" s="54" t="str">
        <x:f>IF(ISNUMBER(T1472),T1472*(1+U1472),"")</x:f>
      </x:c>
      <x:c r="W1472" s="47" t="n">
        <x:v>0.3</x:v>
      </x:c>
      <x:c r="X1472" s="54" t="str">
        <x:f>IF(ISNUMBER(V1472),V1472/(1-W1472),"")</x:f>
      </x:c>
      <x:c r="Y1472" s="55" t="str">
        <x:f>IF(ISNUMBER(X1472),ROUNDUP(X1472,0),"")</x:f>
      </x:c>
      <x:c r="Z1472" t="str">
        <x:f>IF(ISNUMBER(T1472),"Cost captured","Awaiting trade cost")</x:f>
        <x:v>Awaiting trade cost</x:v>
      </x:c>
      <x:c r="AB1472" s="36" t="str">
        <x:f>IF(ISNUMBER(Y1472),ROUND(Y1472*0.9,2),"")</x:f>
      </x:c>
      <x:c r="AC1472" s="36" t="str">
        <x:f>IF(ISNUMBER(AB1472),ROUND(AB1472-(AB1472*0.015+0.2)-V1472,2),"")</x:f>
      </x:c>
      <x:c r="AD1472" s="36" t="str">
        <x:f>IF(ISNUMBER(Y1472),ROUND(Y1472*0.8,2),"")</x:f>
      </x:c>
      <x:c r="AE1472" s="36" t="str">
        <x:f>IF(ISNUMBER(AD1472),ROUND(AD1472*0.015+0.2,2),"")</x:f>
      </x:c>
      <x:c r="AF1472" s="36" t="str">
        <x:f>IF(ISNUMBER(AD1472),ROUND(AD1472-AE1472-V1472,2),"")</x:f>
      </x:c>
      <x:c r="AG1472" t="str">
        <x:f>IF(NOT(ISNUMBER(T1472)),"PENDING",IF(AF1472&gt;0,"PASS","FAIL"))</x:f>
        <x:v>PENDING</x:v>
      </x:c>
      <x:c r="AH1472" t="str">
        <x:f>IF(NOT(ISNUMBER(T1472)),"Needs supplier cost",IF(K1472&lt;&gt;"In stock","Supplier unavailable",IF(AG1472&lt;&gt;"PASS","BLOCK - GT loss risk","Commercially protected")))</x:f>
        <x:v>Needs supplier cost</x:v>
      </x:c>
      <x:c r="AI1472" t="str">
        <x:v>2026-09-10 Active Sports trade capture</x:v>
      </x:c>
      <x:c r="AJ1472" t="str">
        <x:v>Management-only economics. Stripe stress test uses 1.5% + £0.20 standard UK online-card fee; pallet/mix-and-match pricing ignored.</x:v>
      </x:c>
    </x:row>
    <x:row r="1473">
      <x:c r="A1473" t="str">
        <x:v>Active Sports Nutrition</x:v>
      </x:c>
      <x:c r="B1473" t="str">
        <x:v>Naughty Boy Lifestyle</x:v>
      </x:c>
      <x:c r="C1473" t="str">
        <x:v>Advanced Whey Protein</x:v>
      </x:c>
      <x:c r="D1473" t="str">
        <x:v>Supplements</x:v>
      </x:c>
      <x:c r="E1473" t="str">
        <x:v>Whey Protein</x:v>
      </x:c>
      <x:c r="F1473" t="str">
        <x:v>Whey protein powder.</x:v>
      </x:c>
      <x:c r="G1473" t="str">
        <x:v>900g</x:v>
      </x:c>
      <x:c r="H1473" t="str">
        <x:v>Sticky Toffee Pudding</x:v>
      </x:c>
      <x:c r="I1473" t="str"/>
      <x:c r="J1473" t="str">
        <x:v>Unit</x:v>
      </x:c>
      <x:c r="K1473" t="str">
        <x:v>In stock</x:v>
      </x:c>
      <x:c r="L1473" t="str">
        <x:v>2026-09-08</x:v>
      </x:c>
      <x:c r="M1473" t="str"/>
      <x:c r="N1473" t="str"/>
      <x:c r="O1473" t="str">
        <x:v>https://www.activesportstrade.co.uk/Whey-Protein-Supplements-Trade</x:v>
      </x:c>
      <x:c r="P1473" t="str">
        <x:v>Current standard listing retained. Separate BBE 03/27 Chocolate Orange and Salted Caramel promo rows are not used to alter normal canonical availability.</x:v>
      </x:c>
      <x:c r="Q1473" t="str"/>
      <x:c r="R1473" t="str"/>
      <x:c r="S1473" t="str">
        <x:v>Pending genuine supplier/brand image</x:v>
      </x:c>
      <x:c r="T1473" s="54"/>
      <x:c r="U1473" s="47" t="n">
        <x:v>0.2</x:v>
      </x:c>
      <x:c r="V1473" s="54" t="str">
        <x:f>IF(ISNUMBER(T1473),T1473*(1+U1473),"")</x:f>
      </x:c>
      <x:c r="W1473" s="47" t="n">
        <x:v>0.3</x:v>
      </x:c>
      <x:c r="X1473" s="54" t="str">
        <x:f>IF(ISNUMBER(V1473),V1473/(1-W1473),"")</x:f>
      </x:c>
      <x:c r="Y1473" s="55" t="str">
        <x:f>IF(ISNUMBER(X1473),ROUNDUP(X1473,0),"")</x:f>
      </x:c>
      <x:c r="Z1473" t="str">
        <x:f>IF(ISNUMBER(T1473),"Cost captured","Awaiting trade cost")</x:f>
        <x:v>Awaiting trade cost</x:v>
      </x:c>
      <x:c r="AB1473" s="36" t="str">
        <x:f>IF(ISNUMBER(Y1473),ROUND(Y1473*0.9,2),"")</x:f>
      </x:c>
      <x:c r="AC1473" s="36" t="str">
        <x:f>IF(ISNUMBER(AB1473),ROUND(AB1473-(AB1473*0.015+0.2)-V1473,2),"")</x:f>
      </x:c>
      <x:c r="AD1473" s="36" t="str">
        <x:f>IF(ISNUMBER(Y1473),ROUND(Y1473*0.8,2),"")</x:f>
      </x:c>
      <x:c r="AE1473" s="36" t="str">
        <x:f>IF(ISNUMBER(AD1473),ROUND(AD1473*0.015+0.2,2),"")</x:f>
      </x:c>
      <x:c r="AF1473" s="36" t="str">
        <x:f>IF(ISNUMBER(AD1473),ROUND(AD1473-AE1473-V1473,2),"")</x:f>
      </x:c>
      <x:c r="AG1473" t="str">
        <x:f>IF(NOT(ISNUMBER(T1473)),"PENDING",IF(AF1473&gt;0,"PASS","FAIL"))</x:f>
        <x:v>PENDING</x:v>
      </x:c>
      <x:c r="AH1473" t="str">
        <x:f>IF(NOT(ISNUMBER(T1473)),"Needs supplier cost",IF(K1473&lt;&gt;"In stock","Supplier unavailable",IF(AG1473&lt;&gt;"PASS","BLOCK - GT loss risk","Commercially protected")))</x:f>
        <x:v>Needs supplier cost</x:v>
      </x:c>
      <x:c r="AI1473" t="str">
        <x:v>2026-09-10 Active Sports trade capture</x:v>
      </x:c>
      <x:c r="AJ1473" t="str">
        <x:v>Management-only economics. Stripe stress test uses 1.5% + £0.20 standard UK online-card fee; pallet/mix-and-match pricing ignored.</x:v>
      </x:c>
    </x:row>
    <x:row r="1474">
      <x:c r="A1474" t="str">
        <x:v>Active Sports Nutrition</x:v>
      </x:c>
      <x:c r="B1474" t="str">
        <x:v>Naughty Boy Lifestyle</x:v>
      </x:c>
      <x:c r="C1474" t="str">
        <x:v>Advanced Whey Protein</x:v>
      </x:c>
      <x:c r="D1474" t="str">
        <x:v>Supplements</x:v>
      </x:c>
      <x:c r="E1474" t="str">
        <x:v>Whey Protein</x:v>
      </x:c>
      <x:c r="F1474" t="str">
        <x:v>Whey protein powder.</x:v>
      </x:c>
      <x:c r="G1474" t="str">
        <x:v>900g</x:v>
      </x:c>
      <x:c r="H1474" t="str">
        <x:v>Strawberry Milkshake</x:v>
      </x:c>
      <x:c r="I1474" t="str"/>
      <x:c r="J1474" t="str">
        <x:v>Unit</x:v>
      </x:c>
      <x:c r="K1474" t="str">
        <x:v>In stock</x:v>
      </x:c>
      <x:c r="L1474" t="str">
        <x:v>2026-09-08</x:v>
      </x:c>
      <x:c r="M1474" t="str"/>
      <x:c r="N1474" t="str"/>
      <x:c r="O1474" t="str">
        <x:v>https://www.activesportstrade.co.uk/Whey-Protein-Supplements-Trade</x:v>
      </x:c>
      <x:c r="P1474" t="str">
        <x:v>Current standard listing retained. Separate BBE 03/27 Chocolate Orange and Salted Caramel promo rows are not used to alter normal canonical availability.</x:v>
      </x:c>
      <x:c r="Q1474" t="str"/>
      <x:c r="R1474" t="str"/>
      <x:c r="S1474" t="str">
        <x:v>Pending genuine supplier/brand image</x:v>
      </x:c>
      <x:c r="T1474" s="54"/>
      <x:c r="U1474" s="47" t="n">
        <x:v>0.2</x:v>
      </x:c>
      <x:c r="V1474" s="54" t="str">
        <x:f>IF(ISNUMBER(T1474),T1474*(1+U1474),"")</x:f>
      </x:c>
      <x:c r="W1474" s="47" t="n">
        <x:v>0.3</x:v>
      </x:c>
      <x:c r="X1474" s="54" t="str">
        <x:f>IF(ISNUMBER(V1474),V1474/(1-W1474),"")</x:f>
      </x:c>
      <x:c r="Y1474" s="55" t="str">
        <x:f>IF(ISNUMBER(X1474),ROUNDUP(X1474,0),"")</x:f>
      </x:c>
      <x:c r="Z1474" t="str">
        <x:f>IF(ISNUMBER(T1474),"Cost captured","Awaiting trade cost")</x:f>
        <x:v>Awaiting trade cost</x:v>
      </x:c>
      <x:c r="AB1474" s="36" t="str">
        <x:f>IF(ISNUMBER(Y1474),ROUND(Y1474*0.9,2),"")</x:f>
      </x:c>
      <x:c r="AC1474" s="36" t="str">
        <x:f>IF(ISNUMBER(AB1474),ROUND(AB1474-(AB1474*0.015+0.2)-V1474,2),"")</x:f>
      </x:c>
      <x:c r="AD1474" s="36" t="str">
        <x:f>IF(ISNUMBER(Y1474),ROUND(Y1474*0.8,2),"")</x:f>
      </x:c>
      <x:c r="AE1474" s="36" t="str">
        <x:f>IF(ISNUMBER(AD1474),ROUND(AD1474*0.015+0.2,2),"")</x:f>
      </x:c>
      <x:c r="AF1474" s="36" t="str">
        <x:f>IF(ISNUMBER(AD1474),ROUND(AD1474-AE1474-V1474,2),"")</x:f>
      </x:c>
      <x:c r="AG1474" t="str">
        <x:f>IF(NOT(ISNUMBER(T1474)),"PENDING",IF(AF1474&gt;0,"PASS","FAIL"))</x:f>
        <x:v>PENDING</x:v>
      </x:c>
      <x:c r="AH1474" t="str">
        <x:f>IF(NOT(ISNUMBER(T1474)),"Needs supplier cost",IF(K1474&lt;&gt;"In stock","Supplier unavailable",IF(AG1474&lt;&gt;"PASS","BLOCK - GT loss risk","Commercially protected")))</x:f>
        <x:v>Needs supplier cost</x:v>
      </x:c>
      <x:c r="AI1474" t="str">
        <x:v>2026-09-10 Active Sports trade capture</x:v>
      </x:c>
      <x:c r="AJ1474" t="str">
        <x:v>Management-only economics. Stripe stress test uses 1.5% + £0.20 standard UK online-card fee; pallet/mix-and-match pricing ignored.</x:v>
      </x:c>
    </x:row>
    <x:row r="1475">
      <x:c r="A1475" t="str">
        <x:v>Active Sports Nutrition</x:v>
      </x:c>
      <x:c r="B1475" t="str">
        <x:v>Naughty Boy Lifestyle</x:v>
      </x:c>
      <x:c r="C1475" t="str">
        <x:v>Advanced Whey Protein</x:v>
      </x:c>
      <x:c r="D1475" t="str">
        <x:v>Supplements</x:v>
      </x:c>
      <x:c r="E1475" t="str">
        <x:v>Whey Protein</x:v>
      </x:c>
      <x:c r="F1475" t="str">
        <x:v>Whey protein powder.</x:v>
      </x:c>
      <x:c r="G1475" t="str">
        <x:v>900g</x:v>
      </x:c>
      <x:c r="H1475" t="str">
        <x:v>Triple Chocolate</x:v>
      </x:c>
      <x:c r="I1475" t="str"/>
      <x:c r="J1475" t="str">
        <x:v>Unit</x:v>
      </x:c>
      <x:c r="K1475" t="str">
        <x:v>In stock</x:v>
      </x:c>
      <x:c r="L1475" t="str">
        <x:v>2026-09-08</x:v>
      </x:c>
      <x:c r="M1475" t="str"/>
      <x:c r="N1475" t="str"/>
      <x:c r="O1475" t="str">
        <x:v>https://www.activesportstrade.co.uk/Whey-Protein-Supplements-Trade</x:v>
      </x:c>
      <x:c r="P1475" t="str">
        <x:v>Current standard listing retained. Separate BBE 03/27 Chocolate Orange and Salted Caramel promo rows are not used to alter normal canonical availability.</x:v>
      </x:c>
      <x:c r="Q1475" t="str"/>
      <x:c r="R1475" t="str"/>
      <x:c r="S1475" t="str">
        <x:v>Pending genuine supplier/brand image</x:v>
      </x:c>
      <x:c r="T1475" s="54"/>
      <x:c r="U1475" s="47" t="n">
        <x:v>0.2</x:v>
      </x:c>
      <x:c r="V1475" s="54" t="str">
        <x:f>IF(ISNUMBER(T1475),T1475*(1+U1475),"")</x:f>
      </x:c>
      <x:c r="W1475" s="47" t="n">
        <x:v>0.3</x:v>
      </x:c>
      <x:c r="X1475" s="54" t="str">
        <x:f>IF(ISNUMBER(V1475),V1475/(1-W1475),"")</x:f>
      </x:c>
      <x:c r="Y1475" s="55" t="str">
        <x:f>IF(ISNUMBER(X1475),ROUNDUP(X1475,0),"")</x:f>
      </x:c>
      <x:c r="Z1475" t="str">
        <x:f>IF(ISNUMBER(T1475),"Cost captured","Awaiting trade cost")</x:f>
        <x:v>Awaiting trade cost</x:v>
      </x:c>
      <x:c r="AB1475" s="36" t="str">
        <x:f>IF(ISNUMBER(Y1475),ROUND(Y1475*0.9,2),"")</x:f>
      </x:c>
      <x:c r="AC1475" s="36" t="str">
        <x:f>IF(ISNUMBER(AB1475),ROUND(AB1475-(AB1475*0.015+0.2)-V1475,2),"")</x:f>
      </x:c>
      <x:c r="AD1475" s="36" t="str">
        <x:f>IF(ISNUMBER(Y1475),ROUND(Y1475*0.8,2),"")</x:f>
      </x:c>
      <x:c r="AE1475" s="36" t="str">
        <x:f>IF(ISNUMBER(AD1475),ROUND(AD1475*0.015+0.2,2),"")</x:f>
      </x:c>
      <x:c r="AF1475" s="36" t="str">
        <x:f>IF(ISNUMBER(AD1475),ROUND(AD1475-AE1475-V1475,2),"")</x:f>
      </x:c>
      <x:c r="AG1475" t="str">
        <x:f>IF(NOT(ISNUMBER(T1475)),"PENDING",IF(AF1475&gt;0,"PASS","FAIL"))</x:f>
        <x:v>PENDING</x:v>
      </x:c>
      <x:c r="AH1475" t="str">
        <x:f>IF(NOT(ISNUMBER(T1475)),"Needs supplier cost",IF(K1475&lt;&gt;"In stock","Supplier unavailable",IF(AG1475&lt;&gt;"PASS","BLOCK - GT loss risk","Commercially protected")))</x:f>
        <x:v>Needs supplier cost</x:v>
      </x:c>
      <x:c r="AI1475" t="str">
        <x:v>2026-09-10 Active Sports trade capture</x:v>
      </x:c>
      <x:c r="AJ1475" t="str">
        <x:v>Management-only economics. Stripe stress test uses 1.5% + £0.20 standard UK online-card fee; pallet/mix-and-match pricing ignored.</x:v>
      </x:c>
    </x:row>
    <x:row r="1476">
      <x:c r="A1476" t="str">
        <x:v>Active Sports Nutrition</x:v>
      </x:c>
      <x:c r="B1476" t="str">
        <x:v>Naughty Boy Lifestyle</x:v>
      </x:c>
      <x:c r="C1476" t="str">
        <x:v>Advanced Whey Protein</x:v>
      </x:c>
      <x:c r="D1476" t="str">
        <x:v>Supplements</x:v>
      </x:c>
      <x:c r="E1476" t="str">
        <x:v>Whey Protein</x:v>
      </x:c>
      <x:c r="F1476" t="str">
        <x:v>Whey protein powder.</x:v>
      </x:c>
      <x:c r="G1476" t="str">
        <x:v>900g</x:v>
      </x:c>
      <x:c r="H1476" t="str">
        <x:v>Vanilla Ice Cream</x:v>
      </x:c>
      <x:c r="I1476" t="str"/>
      <x:c r="J1476" t="str">
        <x:v>Unit</x:v>
      </x:c>
      <x:c r="K1476" t="str">
        <x:v>In stock</x:v>
      </x:c>
      <x:c r="L1476" t="str">
        <x:v>2026-09-08</x:v>
      </x:c>
      <x:c r="M1476" t="str"/>
      <x:c r="N1476" t="str"/>
      <x:c r="O1476" t="str">
        <x:v>https://www.activesportstrade.co.uk/Whey-Protein-Supplements-Trade</x:v>
      </x:c>
      <x:c r="P1476" t="str">
        <x:v>Current standard listing retained. Separate BBE 03/27 Chocolate Orange and Salted Caramel promo rows are not used to alter normal canonical availability.</x:v>
      </x:c>
      <x:c r="Q1476" t="str"/>
      <x:c r="R1476" t="str"/>
      <x:c r="S1476" t="str">
        <x:v>Pending genuine supplier/brand image</x:v>
      </x:c>
      <x:c r="T1476" s="54"/>
      <x:c r="U1476" s="47" t="n">
        <x:v>0.2</x:v>
      </x:c>
      <x:c r="V1476" s="54" t="str">
        <x:f>IF(ISNUMBER(T1476),T1476*(1+U1476),"")</x:f>
      </x:c>
      <x:c r="W1476" s="47" t="n">
        <x:v>0.3</x:v>
      </x:c>
      <x:c r="X1476" s="54" t="str">
        <x:f>IF(ISNUMBER(V1476),V1476/(1-W1476),"")</x:f>
      </x:c>
      <x:c r="Y1476" s="55" t="str">
        <x:f>IF(ISNUMBER(X1476),ROUNDUP(X1476,0),"")</x:f>
      </x:c>
      <x:c r="Z1476" t="str">
        <x:f>IF(ISNUMBER(T1476),"Cost captured","Awaiting trade cost")</x:f>
        <x:v>Awaiting trade cost</x:v>
      </x:c>
      <x:c r="AB1476" s="36" t="str">
        <x:f>IF(ISNUMBER(Y1476),ROUND(Y1476*0.9,2),"")</x:f>
      </x:c>
      <x:c r="AC1476" s="36" t="str">
        <x:f>IF(ISNUMBER(AB1476),ROUND(AB1476-(AB1476*0.015+0.2)-V1476,2),"")</x:f>
      </x:c>
      <x:c r="AD1476" s="36" t="str">
        <x:f>IF(ISNUMBER(Y1476),ROUND(Y1476*0.8,2),"")</x:f>
      </x:c>
      <x:c r="AE1476" s="36" t="str">
        <x:f>IF(ISNUMBER(AD1476),ROUND(AD1476*0.015+0.2,2),"")</x:f>
      </x:c>
      <x:c r="AF1476" s="36" t="str">
        <x:f>IF(ISNUMBER(AD1476),ROUND(AD1476-AE1476-V1476,2),"")</x:f>
      </x:c>
      <x:c r="AG1476" t="str">
        <x:f>IF(NOT(ISNUMBER(T1476)),"PENDING",IF(AF1476&gt;0,"PASS","FAIL"))</x:f>
        <x:v>PENDING</x:v>
      </x:c>
      <x:c r="AH1476" t="str">
        <x:f>IF(NOT(ISNUMBER(T1476)),"Needs supplier cost",IF(K1476&lt;&gt;"In stock","Supplier unavailable",IF(AG1476&lt;&gt;"PASS","BLOCK - GT loss risk","Commercially protected")))</x:f>
        <x:v>Needs supplier cost</x:v>
      </x:c>
      <x:c r="AI1476" t="str">
        <x:v>2026-09-10 Active Sports trade capture</x:v>
      </x:c>
      <x:c r="AJ1476" t="str">
        <x:v>Management-only economics. Stripe stress test uses 1.5% + £0.20 standard UK online-card fee; pallet/mix-and-match pricing ignored.</x:v>
      </x:c>
    </x:row>
    <x:row r="1477">
      <x:c r="A1477" t="str">
        <x:v>Active Sports Nutrition</x:v>
      </x:c>
      <x:c r="B1477" t="str">
        <x:v>Naughty Boy Lifestyle</x:v>
      </x:c>
      <x:c r="C1477" t="str">
        <x:v>Advanced Whey Protein</x:v>
      </x:c>
      <x:c r="D1477" t="str">
        <x:v>Supplements</x:v>
      </x:c>
      <x:c r="E1477" t="str">
        <x:v>Whey Protein</x:v>
      </x:c>
      <x:c r="F1477" t="str">
        <x:v>Whey protein powder.</x:v>
      </x:c>
      <x:c r="G1477" t="str">
        <x:v>900g</x:v>
      </x:c>
      <x:c r="H1477" t="str">
        <x:v>White Chocolate Caramel Biscuit</x:v>
      </x:c>
      <x:c r="I1477" t="str"/>
      <x:c r="J1477" t="str">
        <x:v>Unit</x:v>
      </x:c>
      <x:c r="K1477" t="str">
        <x:v>In stock</x:v>
      </x:c>
      <x:c r="L1477" t="str">
        <x:v>2026-09-08</x:v>
      </x:c>
      <x:c r="M1477" t="str"/>
      <x:c r="N1477" t="str"/>
      <x:c r="O1477" t="str">
        <x:v>https://www.activesportstrade.co.uk/Whey-Protein-Supplements-Trade</x:v>
      </x:c>
      <x:c r="P1477" t="str">
        <x:v>Current standard listing retained. Separate BBE 03/27 Chocolate Orange and Salted Caramel promo rows are not used to alter normal canonical availability.</x:v>
      </x:c>
      <x:c r="Q1477" t="str"/>
      <x:c r="R1477" t="str"/>
      <x:c r="S1477" t="str">
        <x:v>Pending genuine supplier/brand image</x:v>
      </x:c>
      <x:c r="T1477" s="54"/>
      <x:c r="U1477" s="47" t="n">
        <x:v>0.2</x:v>
      </x:c>
      <x:c r="V1477" s="54" t="str">
        <x:f>IF(ISNUMBER(T1477),T1477*(1+U1477),"")</x:f>
      </x:c>
      <x:c r="W1477" s="47" t="n">
        <x:v>0.3</x:v>
      </x:c>
      <x:c r="X1477" s="54" t="str">
        <x:f>IF(ISNUMBER(V1477),V1477/(1-W1477),"")</x:f>
      </x:c>
      <x:c r="Y1477" s="55" t="str">
        <x:f>IF(ISNUMBER(X1477),ROUNDUP(X1477,0),"")</x:f>
      </x:c>
      <x:c r="Z1477" t="str">
        <x:f>IF(ISNUMBER(T1477),"Cost captured","Awaiting trade cost")</x:f>
        <x:v>Awaiting trade cost</x:v>
      </x:c>
      <x:c r="AB1477" s="36" t="str">
        <x:f>IF(ISNUMBER(Y1477),ROUND(Y1477*0.9,2),"")</x:f>
      </x:c>
      <x:c r="AC1477" s="36" t="str">
        <x:f>IF(ISNUMBER(AB1477),ROUND(AB1477-(AB1477*0.015+0.2)-V1477,2),"")</x:f>
      </x:c>
      <x:c r="AD1477" s="36" t="str">
        <x:f>IF(ISNUMBER(Y1477),ROUND(Y1477*0.8,2),"")</x:f>
      </x:c>
      <x:c r="AE1477" s="36" t="str">
        <x:f>IF(ISNUMBER(AD1477),ROUND(AD1477*0.015+0.2,2),"")</x:f>
      </x:c>
      <x:c r="AF1477" s="36" t="str">
        <x:f>IF(ISNUMBER(AD1477),ROUND(AD1477-AE1477-V1477,2),"")</x:f>
      </x:c>
      <x:c r="AG1477" t="str">
        <x:f>IF(NOT(ISNUMBER(T1477)),"PENDING",IF(AF1477&gt;0,"PASS","FAIL"))</x:f>
        <x:v>PENDING</x:v>
      </x:c>
      <x:c r="AH1477" t="str">
        <x:f>IF(NOT(ISNUMBER(T1477)),"Needs supplier cost",IF(K1477&lt;&gt;"In stock","Supplier unavailable",IF(AG1477&lt;&gt;"PASS","BLOCK - GT loss risk","Commercially protected")))</x:f>
        <x:v>Needs supplier cost</x:v>
      </x:c>
      <x:c r="AI1477" t="str">
        <x:v>2026-09-10 Active Sports trade capture</x:v>
      </x:c>
      <x:c r="AJ1477" t="str">
        <x:v>Management-only economics. Stripe stress test uses 1.5% + £0.20 standard UK online-card fee; pallet/mix-and-match pricing ignored.</x:v>
      </x:c>
    </x:row>
    <x:row r="1478">
      <x:c r="A1478" t="str">
        <x:v>Active Sports Nutrition</x:v>
      </x:c>
      <x:c r="B1478" t="str">
        <x:v>Naughty Boy Lifestyle</x:v>
      </x:c>
      <x:c r="C1478" t="str">
        <x:v>Advanced Whey Protein</x:v>
      </x:c>
      <x:c r="D1478" t="str">
        <x:v>Supplements</x:v>
      </x:c>
      <x:c r="E1478" t="str">
        <x:v>Whey Protein</x:v>
      </x:c>
      <x:c r="F1478" t="str">
        <x:v>Whey protein powder.</x:v>
      </x:c>
      <x:c r="G1478" t="str">
        <x:v>900g</x:v>
      </x:c>
      <x:c r="H1478" t="str">
        <x:v>White Chocolate Cookies &amp; Cream</x:v>
      </x:c>
      <x:c r="I1478" t="str"/>
      <x:c r="J1478" t="str">
        <x:v>Unit</x:v>
      </x:c>
      <x:c r="K1478" t="str">
        <x:v>In stock</x:v>
      </x:c>
      <x:c r="L1478" t="str">
        <x:v>2026-09-08</x:v>
      </x:c>
      <x:c r="M1478" t="str"/>
      <x:c r="N1478" t="str"/>
      <x:c r="O1478" t="str">
        <x:v>https://www.activesportstrade.co.uk/Whey-Protein-Supplements-Trade</x:v>
      </x:c>
      <x:c r="P1478" t="str">
        <x:v>Current standard listing retained. Separate BBE 03/27 Chocolate Orange and Salted Caramel promo rows are not used to alter normal canonical availability.</x:v>
      </x:c>
      <x:c r="Q1478" t="str"/>
      <x:c r="R1478" t="str"/>
      <x:c r="S1478" t="str">
        <x:v>Pending genuine supplier/brand image</x:v>
      </x:c>
      <x:c r="T1478" s="54"/>
      <x:c r="U1478" s="47" t="n">
        <x:v>0.2</x:v>
      </x:c>
      <x:c r="V1478" s="54" t="str">
        <x:f>IF(ISNUMBER(T1478),T1478*(1+U1478),"")</x:f>
      </x:c>
      <x:c r="W1478" s="47" t="n">
        <x:v>0.3</x:v>
      </x:c>
      <x:c r="X1478" s="54" t="str">
        <x:f>IF(ISNUMBER(V1478),V1478/(1-W1478),"")</x:f>
      </x:c>
      <x:c r="Y1478" s="55" t="str">
        <x:f>IF(ISNUMBER(X1478),ROUNDUP(X1478,0),"")</x:f>
      </x:c>
      <x:c r="Z1478" t="str">
        <x:f>IF(ISNUMBER(T1478),"Cost captured","Awaiting trade cost")</x:f>
        <x:v>Awaiting trade cost</x:v>
      </x:c>
      <x:c r="AB1478" s="36" t="str">
        <x:f>IF(ISNUMBER(Y1478),ROUND(Y1478*0.9,2),"")</x:f>
      </x:c>
      <x:c r="AC1478" s="36" t="str">
        <x:f>IF(ISNUMBER(AB1478),ROUND(AB1478-(AB1478*0.015+0.2)-V1478,2),"")</x:f>
      </x:c>
      <x:c r="AD1478" s="36" t="str">
        <x:f>IF(ISNUMBER(Y1478),ROUND(Y1478*0.8,2),"")</x:f>
      </x:c>
      <x:c r="AE1478" s="36" t="str">
        <x:f>IF(ISNUMBER(AD1478),ROUND(AD1478*0.015+0.2,2),"")</x:f>
      </x:c>
      <x:c r="AF1478" s="36" t="str">
        <x:f>IF(ISNUMBER(AD1478),ROUND(AD1478-AE1478-V1478,2),"")</x:f>
      </x:c>
      <x:c r="AG1478" t="str">
        <x:f>IF(NOT(ISNUMBER(T1478)),"PENDING",IF(AF1478&gt;0,"PASS","FAIL"))</x:f>
        <x:v>PENDING</x:v>
      </x:c>
      <x:c r="AH1478" t="str">
        <x:f>IF(NOT(ISNUMBER(T1478)),"Needs supplier cost",IF(K1478&lt;&gt;"In stock","Supplier unavailable",IF(AG1478&lt;&gt;"PASS","BLOCK - GT loss risk","Commercially protected")))</x:f>
        <x:v>Needs supplier cost</x:v>
      </x:c>
      <x:c r="AI1478" t="str">
        <x:v>2026-09-10 Active Sports trade capture</x:v>
      </x:c>
      <x:c r="AJ1478" t="str">
        <x:v>Management-only economics. Stripe stress test uses 1.5% + £0.20 standard UK online-card fee; pallet/mix-and-match pricing ignored.</x:v>
      </x:c>
    </x:row>
    <x:row r="1479">
      <x:c r="A1479" t="str">
        <x:v>Active Sports Nutrition</x:v>
      </x:c>
      <x:c r="B1479" t="str">
        <x:v>Naughty Boy Lifestyle</x:v>
      </x:c>
      <x:c r="C1479" t="str">
        <x:v>Advanced Whey Protein</x:v>
      </x:c>
      <x:c r="D1479" t="str">
        <x:v>Supplements</x:v>
      </x:c>
      <x:c r="E1479" t="str">
        <x:v>Whey Protein</x:v>
      </x:c>
      <x:c r="F1479" t="str">
        <x:v>Whey protein powder.</x:v>
      </x:c>
      <x:c r="G1479" t="str">
        <x:v>900g</x:v>
      </x:c>
      <x:c r="H1479" t="str">
        <x:v>White Chocolate Hazelnut</x:v>
      </x:c>
      <x:c r="I1479" t="str"/>
      <x:c r="J1479" t="str">
        <x:v>Unit</x:v>
      </x:c>
      <x:c r="K1479" t="str">
        <x:v>In stock</x:v>
      </x:c>
      <x:c r="L1479" t="str">
        <x:v>2026-09-08</x:v>
      </x:c>
      <x:c r="M1479" t="str"/>
      <x:c r="N1479" t="str"/>
      <x:c r="O1479" t="str">
        <x:v>https://www.activesportstrade.co.uk/Whey-Protein-Supplements-Trade</x:v>
      </x:c>
      <x:c r="P1479" t="str">
        <x:v>Current standard listing retained. Separate BBE 03/27 Chocolate Orange and Salted Caramel promo rows are not used to alter normal canonical availability.</x:v>
      </x:c>
      <x:c r="Q1479" t="str"/>
      <x:c r="R1479" t="str"/>
      <x:c r="S1479" t="str">
        <x:v>Pending genuine supplier/brand image</x:v>
      </x:c>
      <x:c r="T1479" s="54"/>
      <x:c r="U1479" s="47" t="n">
        <x:v>0.2</x:v>
      </x:c>
      <x:c r="V1479" s="54" t="str">
        <x:f>IF(ISNUMBER(T1479),T1479*(1+U1479),"")</x:f>
      </x:c>
      <x:c r="W1479" s="47" t="n">
        <x:v>0.3</x:v>
      </x:c>
      <x:c r="X1479" s="54" t="str">
        <x:f>IF(ISNUMBER(V1479),V1479/(1-W1479),"")</x:f>
      </x:c>
      <x:c r="Y1479" s="55" t="str">
        <x:f>IF(ISNUMBER(X1479),ROUNDUP(X1479,0),"")</x:f>
      </x:c>
      <x:c r="Z1479" t="str">
        <x:f>IF(ISNUMBER(T1479),"Cost captured","Awaiting trade cost")</x:f>
        <x:v>Awaiting trade cost</x:v>
      </x:c>
      <x:c r="AB1479" s="36" t="str">
        <x:f>IF(ISNUMBER(Y1479),ROUND(Y1479*0.9,2),"")</x:f>
      </x:c>
      <x:c r="AC1479" s="36" t="str">
        <x:f>IF(ISNUMBER(AB1479),ROUND(AB1479-(AB1479*0.015+0.2)-V1479,2),"")</x:f>
      </x:c>
      <x:c r="AD1479" s="36" t="str">
        <x:f>IF(ISNUMBER(Y1479),ROUND(Y1479*0.8,2),"")</x:f>
      </x:c>
      <x:c r="AE1479" s="36" t="str">
        <x:f>IF(ISNUMBER(AD1479),ROUND(AD1479*0.015+0.2,2),"")</x:f>
      </x:c>
      <x:c r="AF1479" s="36" t="str">
        <x:f>IF(ISNUMBER(AD1479),ROUND(AD1479-AE1479-V1479,2),"")</x:f>
      </x:c>
      <x:c r="AG1479" t="str">
        <x:f>IF(NOT(ISNUMBER(T1479)),"PENDING",IF(AF1479&gt;0,"PASS","FAIL"))</x:f>
        <x:v>PENDING</x:v>
      </x:c>
      <x:c r="AH1479" t="str">
        <x:f>IF(NOT(ISNUMBER(T1479)),"Needs supplier cost",IF(K1479&lt;&gt;"In stock","Supplier unavailable",IF(AG1479&lt;&gt;"PASS","BLOCK - GT loss risk","Commercially protected")))</x:f>
        <x:v>Needs supplier cost</x:v>
      </x:c>
      <x:c r="AI1479" t="str">
        <x:v>2026-09-10 Active Sports trade capture</x:v>
      </x:c>
      <x:c r="AJ1479" t="str">
        <x:v>Management-only economics. Stripe stress test uses 1.5% + £0.20 standard UK online-card fee; pallet/mix-and-match pricing ignored.</x:v>
      </x:c>
    </x:row>
    <x:row r="1480">
      <x:c r="A1480" t="str">
        <x:v>Active Sports Nutrition</x:v>
      </x:c>
      <x:c r="B1480" t="str">
        <x:v>Naughty Boy Lifestyle</x:v>
      </x:c>
      <x:c r="C1480" t="str">
        <x:v>Beef Zero Clear Beef Protein Isolate</x:v>
      </x:c>
      <x:c r="D1480" t="str">
        <x:v>Supplements</x:v>
      </x:c>
      <x:c r="E1480" t="str">
        <x:v>Protein Blends</x:v>
      </x:c>
      <x:c r="F1480" t="str">
        <x:v>Clear beef protein isolate.</x:v>
      </x:c>
      <x:c r="G1480" t="str">
        <x:v>1800g</x:v>
      </x:c>
      <x:c r="H1480" t="str">
        <x:v>Apple Blackcurrant</x:v>
      </x:c>
      <x:c r="I1480" t="str"/>
      <x:c r="J1480" t="str">
        <x:v>Unit</x:v>
      </x:c>
      <x:c r="K1480" t="str">
        <x:v>In stock</x:v>
      </x:c>
      <x:c r="L1480" t="str">
        <x:v>2026-09-08</x:v>
      </x:c>
      <x:c r="M1480" t="str"/>
      <x:c r="N1480" t="str"/>
      <x:c r="O1480" t="str">
        <x:v>https://www.activesportstrade.co.uk/Whey-Protein-Supplements-Trade</x:v>
      </x:c>
      <x:c r="P1480" t="str"/>
      <x:c r="Q1480" t="str"/>
      <x:c r="R1480" t="str"/>
      <x:c r="S1480" t="str">
        <x:v>Pending genuine supplier/brand image</x:v>
      </x:c>
      <x:c r="T1480" s="54"/>
      <x:c r="U1480" s="47" t="n">
        <x:v>0.2</x:v>
      </x:c>
      <x:c r="V1480" s="54" t="str">
        <x:f>IF(ISNUMBER(T1480),T1480*(1+U1480),"")</x:f>
      </x:c>
      <x:c r="W1480" s="47" t="n">
        <x:v>0.3</x:v>
      </x:c>
      <x:c r="X1480" s="54" t="str">
        <x:f>IF(ISNUMBER(V1480),V1480/(1-W1480),"")</x:f>
      </x:c>
      <x:c r="Y1480" s="55" t="str">
        <x:f>IF(ISNUMBER(X1480),ROUNDUP(X1480,0),"")</x:f>
      </x:c>
      <x:c r="Z1480" t="str">
        <x:f>IF(ISNUMBER(T1480),"Cost captured","Awaiting trade cost")</x:f>
        <x:v>Awaiting trade cost</x:v>
      </x:c>
      <x:c r="AB1480" s="36" t="str">
        <x:f>IF(ISNUMBER(Y1480),ROUND(Y1480*0.9,2),"")</x:f>
      </x:c>
      <x:c r="AC1480" s="36" t="str">
        <x:f>IF(ISNUMBER(AB1480),ROUND(AB1480-(AB1480*0.015+0.2)-V1480,2),"")</x:f>
      </x:c>
      <x:c r="AD1480" s="36" t="str">
        <x:f>IF(ISNUMBER(Y1480),ROUND(Y1480*0.8,2),"")</x:f>
      </x:c>
      <x:c r="AE1480" s="36" t="str">
        <x:f>IF(ISNUMBER(AD1480),ROUND(AD1480*0.015+0.2,2),"")</x:f>
      </x:c>
      <x:c r="AF1480" s="36" t="str">
        <x:f>IF(ISNUMBER(AD1480),ROUND(AD1480-AE1480-V1480,2),"")</x:f>
      </x:c>
      <x:c r="AG1480" t="str">
        <x:f>IF(NOT(ISNUMBER(T1480)),"PENDING",IF(AF1480&gt;0,"PASS","FAIL"))</x:f>
        <x:v>PENDING</x:v>
      </x:c>
      <x:c r="AH1480" t="str">
        <x:f>IF(NOT(ISNUMBER(T1480)),"Needs supplier cost",IF(K1480&lt;&gt;"In stock","Supplier unavailable",IF(AG1480&lt;&gt;"PASS","BLOCK - GT loss risk","Commercially protected")))</x:f>
        <x:v>Needs supplier cost</x:v>
      </x:c>
      <x:c r="AI1480" t="str">
        <x:v>2026-09-10 Active Sports trade capture</x:v>
      </x:c>
      <x:c r="AJ1480" t="str">
        <x:v>Management-only economics. Stripe stress test uses 1.5% + £0.20 standard UK online-card fee; pallet/mix-and-match pricing ignored.</x:v>
      </x:c>
    </x:row>
    <x:row r="1481">
      <x:c r="A1481" t="str">
        <x:v>Active Sports Nutrition</x:v>
      </x:c>
      <x:c r="B1481" t="str">
        <x:v>Naughty Boy Lifestyle</x:v>
      </x:c>
      <x:c r="C1481" t="str">
        <x:v>Beef Zero Clear Beef Protein Isolate</x:v>
      </x:c>
      <x:c r="D1481" t="str">
        <x:v>Supplements</x:v>
      </x:c>
      <x:c r="E1481" t="str">
        <x:v>Protein Blends</x:v>
      </x:c>
      <x:c r="F1481" t="str">
        <x:v>Clear beef protein isolate.</x:v>
      </x:c>
      <x:c r="G1481" t="str">
        <x:v>1800g</x:v>
      </x:c>
      <x:c r="H1481" t="str">
        <x:v>Blue Raspberry</x:v>
      </x:c>
      <x:c r="I1481" t="str"/>
      <x:c r="J1481" t="str">
        <x:v>Unit</x:v>
      </x:c>
      <x:c r="K1481" t="str">
        <x:v>In stock</x:v>
      </x:c>
      <x:c r="L1481" t="str">
        <x:v>2026-09-08</x:v>
      </x:c>
      <x:c r="M1481" t="str"/>
      <x:c r="N1481" t="str"/>
      <x:c r="O1481" t="str">
        <x:v>https://www.activesportstrade.co.uk/Whey-Protein-Supplements-Trade</x:v>
      </x:c>
      <x:c r="P1481" t="str"/>
      <x:c r="Q1481" t="str"/>
      <x:c r="R1481" t="str"/>
      <x:c r="S1481" t="str">
        <x:v>Pending genuine supplier/brand image</x:v>
      </x:c>
      <x:c r="T1481" s="54"/>
      <x:c r="U1481" s="47" t="n">
        <x:v>0.2</x:v>
      </x:c>
      <x:c r="V1481" s="54" t="str">
        <x:f>IF(ISNUMBER(T1481),T1481*(1+U1481),"")</x:f>
      </x:c>
      <x:c r="W1481" s="47" t="n">
        <x:v>0.3</x:v>
      </x:c>
      <x:c r="X1481" s="54" t="str">
        <x:f>IF(ISNUMBER(V1481),V1481/(1-W1481),"")</x:f>
      </x:c>
      <x:c r="Y1481" s="55" t="str">
        <x:f>IF(ISNUMBER(X1481),ROUNDUP(X1481,0),"")</x:f>
      </x:c>
      <x:c r="Z1481" t="str">
        <x:f>IF(ISNUMBER(T1481),"Cost captured","Awaiting trade cost")</x:f>
        <x:v>Awaiting trade cost</x:v>
      </x:c>
      <x:c r="AB1481" s="36" t="str">
        <x:f>IF(ISNUMBER(Y1481),ROUND(Y1481*0.9,2),"")</x:f>
      </x:c>
      <x:c r="AC1481" s="36" t="str">
        <x:f>IF(ISNUMBER(AB1481),ROUND(AB1481-(AB1481*0.015+0.2)-V1481,2),"")</x:f>
      </x:c>
      <x:c r="AD1481" s="36" t="str">
        <x:f>IF(ISNUMBER(Y1481),ROUND(Y1481*0.8,2),"")</x:f>
      </x:c>
      <x:c r="AE1481" s="36" t="str">
        <x:f>IF(ISNUMBER(AD1481),ROUND(AD1481*0.015+0.2,2),"")</x:f>
      </x:c>
      <x:c r="AF1481" s="36" t="str">
        <x:f>IF(ISNUMBER(AD1481),ROUND(AD1481-AE1481-V1481,2),"")</x:f>
      </x:c>
      <x:c r="AG1481" t="str">
        <x:f>IF(NOT(ISNUMBER(T1481)),"PENDING",IF(AF1481&gt;0,"PASS","FAIL"))</x:f>
        <x:v>PENDING</x:v>
      </x:c>
      <x:c r="AH1481" t="str">
        <x:f>IF(NOT(ISNUMBER(T1481)),"Needs supplier cost",IF(K1481&lt;&gt;"In stock","Supplier unavailable",IF(AG1481&lt;&gt;"PASS","BLOCK - GT loss risk","Commercially protected")))</x:f>
        <x:v>Needs supplier cost</x:v>
      </x:c>
      <x:c r="AI1481" t="str">
        <x:v>2026-09-10 Active Sports trade capture</x:v>
      </x:c>
      <x:c r="AJ1481" t="str">
        <x:v>Management-only economics. Stripe stress test uses 1.5% + £0.20 standard UK online-card fee; pallet/mix-and-match pricing ignored.</x:v>
      </x:c>
    </x:row>
    <x:row r="1482">
      <x:c r="A1482" t="str">
        <x:v>Active Sports Nutrition</x:v>
      </x:c>
      <x:c r="B1482" t="str">
        <x:v>Naughty Boy Lifestyle</x:v>
      </x:c>
      <x:c r="C1482" t="str">
        <x:v>Beef Zero Clear Beef Protein Isolate</x:v>
      </x:c>
      <x:c r="D1482" t="str">
        <x:v>Supplements</x:v>
      </x:c>
      <x:c r="E1482" t="str">
        <x:v>Protein Blends</x:v>
      </x:c>
      <x:c r="F1482" t="str">
        <x:v>Clear beef protein isolate.</x:v>
      </x:c>
      <x:c r="G1482" t="str">
        <x:v>1800g</x:v>
      </x:c>
      <x:c r="H1482" t="str">
        <x:v>Cherry Cola</x:v>
      </x:c>
      <x:c r="I1482" t="str"/>
      <x:c r="J1482" t="str">
        <x:v>Unit</x:v>
      </x:c>
      <x:c r="K1482" t="str">
        <x:v>In stock</x:v>
      </x:c>
      <x:c r="L1482" t="str">
        <x:v>2026-09-08</x:v>
      </x:c>
      <x:c r="M1482" t="str"/>
      <x:c r="N1482" t="str"/>
      <x:c r="O1482" t="str">
        <x:v>https://www.activesportstrade.co.uk/Whey-Protein-Supplements-Trade</x:v>
      </x:c>
      <x:c r="P1482" t="str"/>
      <x:c r="Q1482" t="str"/>
      <x:c r="R1482" t="str"/>
      <x:c r="S1482" t="str">
        <x:v>Pending genuine supplier/brand image</x:v>
      </x:c>
      <x:c r="T1482" s="54"/>
      <x:c r="U1482" s="47" t="n">
        <x:v>0.2</x:v>
      </x:c>
      <x:c r="V1482" s="54" t="str">
        <x:f>IF(ISNUMBER(T1482),T1482*(1+U1482),"")</x:f>
      </x:c>
      <x:c r="W1482" s="47" t="n">
        <x:v>0.3</x:v>
      </x:c>
      <x:c r="X1482" s="54" t="str">
        <x:f>IF(ISNUMBER(V1482),V1482/(1-W1482),"")</x:f>
      </x:c>
      <x:c r="Y1482" s="55" t="str">
        <x:f>IF(ISNUMBER(X1482),ROUNDUP(X1482,0),"")</x:f>
      </x:c>
      <x:c r="Z1482" t="str">
        <x:f>IF(ISNUMBER(T1482),"Cost captured","Awaiting trade cost")</x:f>
        <x:v>Awaiting trade cost</x:v>
      </x:c>
      <x:c r="AB1482" s="36" t="str">
        <x:f>IF(ISNUMBER(Y1482),ROUND(Y1482*0.9,2),"")</x:f>
      </x:c>
      <x:c r="AC1482" s="36" t="str">
        <x:f>IF(ISNUMBER(AB1482),ROUND(AB1482-(AB1482*0.015+0.2)-V1482,2),"")</x:f>
      </x:c>
      <x:c r="AD1482" s="36" t="str">
        <x:f>IF(ISNUMBER(Y1482),ROUND(Y1482*0.8,2),"")</x:f>
      </x:c>
      <x:c r="AE1482" s="36" t="str">
        <x:f>IF(ISNUMBER(AD1482),ROUND(AD1482*0.015+0.2,2),"")</x:f>
      </x:c>
      <x:c r="AF1482" s="36" t="str">
        <x:f>IF(ISNUMBER(AD1482),ROUND(AD1482-AE1482-V1482,2),"")</x:f>
      </x:c>
      <x:c r="AG1482" t="str">
        <x:f>IF(NOT(ISNUMBER(T1482)),"PENDING",IF(AF1482&gt;0,"PASS","FAIL"))</x:f>
        <x:v>PENDING</x:v>
      </x:c>
      <x:c r="AH1482" t="str">
        <x:f>IF(NOT(ISNUMBER(T1482)),"Needs supplier cost",IF(K1482&lt;&gt;"In stock","Supplier unavailable",IF(AG1482&lt;&gt;"PASS","BLOCK - GT loss risk","Commercially protected")))</x:f>
        <x:v>Needs supplier cost</x:v>
      </x:c>
      <x:c r="AI1482" t="str">
        <x:v>2026-09-10 Active Sports trade capture</x:v>
      </x:c>
      <x:c r="AJ1482" t="str">
        <x:v>Management-only economics. Stripe stress test uses 1.5% + £0.20 standard UK online-card fee; pallet/mix-and-match pricing ignored.</x:v>
      </x:c>
    </x:row>
    <x:row r="1483">
      <x:c r="A1483" t="str">
        <x:v>Active Sports Nutrition</x:v>
      </x:c>
      <x:c r="B1483" t="str">
        <x:v>Naughty Boy Lifestyle</x:v>
      </x:c>
      <x:c r="C1483" t="str">
        <x:v>Beef Zero Clear Beef Protein Isolate</x:v>
      </x:c>
      <x:c r="D1483" t="str">
        <x:v>Supplements</x:v>
      </x:c>
      <x:c r="E1483" t="str">
        <x:v>Protein Blends</x:v>
      </x:c>
      <x:c r="F1483" t="str">
        <x:v>Clear beef protein isolate.</x:v>
      </x:c>
      <x:c r="G1483" t="str">
        <x:v>1800g</x:v>
      </x:c>
      <x:c r="H1483" t="str">
        <x:v>Cherry Razz</x:v>
      </x:c>
      <x:c r="I1483" t="str"/>
      <x:c r="J1483" t="str">
        <x:v>Unit</x:v>
      </x:c>
      <x:c r="K1483" t="str">
        <x:v>In stock</x:v>
      </x:c>
      <x:c r="L1483" t="str">
        <x:v>2026-09-08</x:v>
      </x:c>
      <x:c r="M1483" t="str"/>
      <x:c r="N1483" t="str"/>
      <x:c r="O1483" t="str">
        <x:v>https://www.activesportstrade.co.uk/Whey-Protein-Supplements-Trade</x:v>
      </x:c>
      <x:c r="P1483" t="str"/>
      <x:c r="Q1483" t="str"/>
      <x:c r="R1483" t="str"/>
      <x:c r="S1483" t="str">
        <x:v>Pending genuine supplier/brand image</x:v>
      </x:c>
      <x:c r="T1483" s="54"/>
      <x:c r="U1483" s="47" t="n">
        <x:v>0.2</x:v>
      </x:c>
      <x:c r="V1483" s="54" t="str">
        <x:f>IF(ISNUMBER(T1483),T1483*(1+U1483),"")</x:f>
      </x:c>
      <x:c r="W1483" s="47" t="n">
        <x:v>0.3</x:v>
      </x:c>
      <x:c r="X1483" s="54" t="str">
        <x:f>IF(ISNUMBER(V1483),V1483/(1-W1483),"")</x:f>
      </x:c>
      <x:c r="Y1483" s="55" t="str">
        <x:f>IF(ISNUMBER(X1483),ROUNDUP(X1483,0),"")</x:f>
      </x:c>
      <x:c r="Z1483" t="str">
        <x:f>IF(ISNUMBER(T1483),"Cost captured","Awaiting trade cost")</x:f>
        <x:v>Awaiting trade cost</x:v>
      </x:c>
      <x:c r="AB1483" s="36" t="str">
        <x:f>IF(ISNUMBER(Y1483),ROUND(Y1483*0.9,2),"")</x:f>
      </x:c>
      <x:c r="AC1483" s="36" t="str">
        <x:f>IF(ISNUMBER(AB1483),ROUND(AB1483-(AB1483*0.015+0.2)-V1483,2),"")</x:f>
      </x:c>
      <x:c r="AD1483" s="36" t="str">
        <x:f>IF(ISNUMBER(Y1483),ROUND(Y1483*0.8,2),"")</x:f>
      </x:c>
      <x:c r="AE1483" s="36" t="str">
        <x:f>IF(ISNUMBER(AD1483),ROUND(AD1483*0.015+0.2,2),"")</x:f>
      </x:c>
      <x:c r="AF1483" s="36" t="str">
        <x:f>IF(ISNUMBER(AD1483),ROUND(AD1483-AE1483-V1483,2),"")</x:f>
      </x:c>
      <x:c r="AG1483" t="str">
        <x:f>IF(NOT(ISNUMBER(T1483)),"PENDING",IF(AF1483&gt;0,"PASS","FAIL"))</x:f>
        <x:v>PENDING</x:v>
      </x:c>
      <x:c r="AH1483" t="str">
        <x:f>IF(NOT(ISNUMBER(T1483)),"Needs supplier cost",IF(K1483&lt;&gt;"In stock","Supplier unavailable",IF(AG1483&lt;&gt;"PASS","BLOCK - GT loss risk","Commercially protected")))</x:f>
        <x:v>Needs supplier cost</x:v>
      </x:c>
      <x:c r="AI1483" t="str">
        <x:v>2026-09-10 Active Sports trade capture</x:v>
      </x:c>
      <x:c r="AJ1483" t="str">
        <x:v>Management-only economics. Stripe stress test uses 1.5% + £0.20 standard UK online-card fee; pallet/mix-and-match pricing ignored.</x:v>
      </x:c>
    </x:row>
    <x:row r="1484">
      <x:c r="A1484" t="str">
        <x:v>Active Sports Nutrition</x:v>
      </x:c>
      <x:c r="B1484" t="str">
        <x:v>Naughty Boy Lifestyle</x:v>
      </x:c>
      <x:c r="C1484" t="str">
        <x:v>Beef Zero Clear Beef Protein Isolate</x:v>
      </x:c>
      <x:c r="D1484" t="str">
        <x:v>Supplements</x:v>
      </x:c>
      <x:c r="E1484" t="str">
        <x:v>Protein Blends</x:v>
      </x:c>
      <x:c r="F1484" t="str">
        <x:v>Clear beef protein isolate.</x:v>
      </x:c>
      <x:c r="G1484" t="str">
        <x:v>1800g</x:v>
      </x:c>
      <x:c r="H1484" t="str">
        <x:v>Fruit Punch</x:v>
      </x:c>
      <x:c r="I1484" t="str"/>
      <x:c r="J1484" t="str">
        <x:v>Unit</x:v>
      </x:c>
      <x:c r="K1484" t="str">
        <x:v>In stock</x:v>
      </x:c>
      <x:c r="L1484" t="str">
        <x:v>2026-09-08</x:v>
      </x:c>
      <x:c r="M1484" t="str"/>
      <x:c r="N1484" t="str"/>
      <x:c r="O1484" t="str">
        <x:v>https://www.activesportstrade.co.uk/Whey-Protein-Supplements-Trade</x:v>
      </x:c>
      <x:c r="P1484" t="str"/>
      <x:c r="Q1484" t="str"/>
      <x:c r="R1484" t="str"/>
      <x:c r="S1484" t="str">
        <x:v>Pending genuine supplier/brand image</x:v>
      </x:c>
      <x:c r="T1484" s="54"/>
      <x:c r="U1484" s="47" t="n">
        <x:v>0.2</x:v>
      </x:c>
      <x:c r="V1484" s="54" t="str">
        <x:f>IF(ISNUMBER(T1484),T1484*(1+U1484),"")</x:f>
      </x:c>
      <x:c r="W1484" s="47" t="n">
        <x:v>0.3</x:v>
      </x:c>
      <x:c r="X1484" s="54" t="str">
        <x:f>IF(ISNUMBER(V1484),V1484/(1-W1484),"")</x:f>
      </x:c>
      <x:c r="Y1484" s="55" t="str">
        <x:f>IF(ISNUMBER(X1484),ROUNDUP(X1484,0),"")</x:f>
      </x:c>
      <x:c r="Z1484" t="str">
        <x:f>IF(ISNUMBER(T1484),"Cost captured","Awaiting trade cost")</x:f>
        <x:v>Awaiting trade cost</x:v>
      </x:c>
      <x:c r="AB1484" s="36" t="str">
        <x:f>IF(ISNUMBER(Y1484),ROUND(Y1484*0.9,2),"")</x:f>
      </x:c>
      <x:c r="AC1484" s="36" t="str">
        <x:f>IF(ISNUMBER(AB1484),ROUND(AB1484-(AB1484*0.015+0.2)-V1484,2),"")</x:f>
      </x:c>
      <x:c r="AD1484" s="36" t="str">
        <x:f>IF(ISNUMBER(Y1484),ROUND(Y1484*0.8,2),"")</x:f>
      </x:c>
      <x:c r="AE1484" s="36" t="str">
        <x:f>IF(ISNUMBER(AD1484),ROUND(AD1484*0.015+0.2,2),"")</x:f>
      </x:c>
      <x:c r="AF1484" s="36" t="str">
        <x:f>IF(ISNUMBER(AD1484),ROUND(AD1484-AE1484-V1484,2),"")</x:f>
      </x:c>
      <x:c r="AG1484" t="str">
        <x:f>IF(NOT(ISNUMBER(T1484)),"PENDING",IF(AF1484&gt;0,"PASS","FAIL"))</x:f>
        <x:v>PENDING</x:v>
      </x:c>
      <x:c r="AH1484" t="str">
        <x:f>IF(NOT(ISNUMBER(T1484)),"Needs supplier cost",IF(K1484&lt;&gt;"In stock","Supplier unavailable",IF(AG1484&lt;&gt;"PASS","BLOCK - GT loss risk","Commercially protected")))</x:f>
        <x:v>Needs supplier cost</x:v>
      </x:c>
      <x:c r="AI1484" t="str">
        <x:v>2026-09-10 Active Sports trade capture</x:v>
      </x:c>
      <x:c r="AJ1484" t="str">
        <x:v>Management-only economics. Stripe stress test uses 1.5% + £0.20 standard UK online-card fee; pallet/mix-and-match pricing ignored.</x:v>
      </x:c>
    </x:row>
    <x:row r="1485">
      <x:c r="A1485" t="str">
        <x:v>Active Sports Nutrition</x:v>
      </x:c>
      <x:c r="B1485" t="str">
        <x:v>Naughty Boy Lifestyle</x:v>
      </x:c>
      <x:c r="C1485" t="str">
        <x:v>Beef Zero Clear Beef Protein Isolate</x:v>
      </x:c>
      <x:c r="D1485" t="str">
        <x:v>Supplements</x:v>
      </x:c>
      <x:c r="E1485" t="str">
        <x:v>Protein Blends</x:v>
      </x:c>
      <x:c r="F1485" t="str">
        <x:v>Clear beef protein isolate.</x:v>
      </x:c>
      <x:c r="G1485" t="str">
        <x:v>1800g</x:v>
      </x:c>
      <x:c r="H1485" t="str">
        <x:v>Iced Mango</x:v>
      </x:c>
      <x:c r="I1485" t="str"/>
      <x:c r="J1485" t="str">
        <x:v>Unit</x:v>
      </x:c>
      <x:c r="K1485" t="str">
        <x:v>In stock</x:v>
      </x:c>
      <x:c r="L1485" t="str">
        <x:v>2026-09-08</x:v>
      </x:c>
      <x:c r="M1485" t="str"/>
      <x:c r="N1485" t="str"/>
      <x:c r="O1485" t="str">
        <x:v>https://www.activesportstrade.co.uk/Whey-Protein-Supplements-Trade</x:v>
      </x:c>
      <x:c r="P1485" t="str"/>
      <x:c r="Q1485" t="str"/>
      <x:c r="R1485" t="str"/>
      <x:c r="S1485" t="str">
        <x:v>Pending genuine supplier/brand image</x:v>
      </x:c>
      <x:c r="T1485" s="54"/>
      <x:c r="U1485" s="47" t="n">
        <x:v>0.2</x:v>
      </x:c>
      <x:c r="V1485" s="54" t="str">
        <x:f>IF(ISNUMBER(T1485),T1485*(1+U1485),"")</x:f>
      </x:c>
      <x:c r="W1485" s="47" t="n">
        <x:v>0.3</x:v>
      </x:c>
      <x:c r="X1485" s="54" t="str">
        <x:f>IF(ISNUMBER(V1485),V1485/(1-W1485),"")</x:f>
      </x:c>
      <x:c r="Y1485" s="55" t="str">
        <x:f>IF(ISNUMBER(X1485),ROUNDUP(X1485,0),"")</x:f>
      </x:c>
      <x:c r="Z1485" t="str">
        <x:f>IF(ISNUMBER(T1485),"Cost captured","Awaiting trade cost")</x:f>
        <x:v>Awaiting trade cost</x:v>
      </x:c>
      <x:c r="AB1485" s="36" t="str">
        <x:f>IF(ISNUMBER(Y1485),ROUND(Y1485*0.9,2),"")</x:f>
      </x:c>
      <x:c r="AC1485" s="36" t="str">
        <x:f>IF(ISNUMBER(AB1485),ROUND(AB1485-(AB1485*0.015+0.2)-V1485,2),"")</x:f>
      </x:c>
      <x:c r="AD1485" s="36" t="str">
        <x:f>IF(ISNUMBER(Y1485),ROUND(Y1485*0.8,2),"")</x:f>
      </x:c>
      <x:c r="AE1485" s="36" t="str">
        <x:f>IF(ISNUMBER(AD1485),ROUND(AD1485*0.015+0.2,2),"")</x:f>
      </x:c>
      <x:c r="AF1485" s="36" t="str">
        <x:f>IF(ISNUMBER(AD1485),ROUND(AD1485-AE1485-V1485,2),"")</x:f>
      </x:c>
      <x:c r="AG1485" t="str">
        <x:f>IF(NOT(ISNUMBER(T1485)),"PENDING",IF(AF1485&gt;0,"PASS","FAIL"))</x:f>
        <x:v>PENDING</x:v>
      </x:c>
      <x:c r="AH1485" t="str">
        <x:f>IF(NOT(ISNUMBER(T1485)),"Needs supplier cost",IF(K1485&lt;&gt;"In stock","Supplier unavailable",IF(AG1485&lt;&gt;"PASS","BLOCK - GT loss risk","Commercially protected")))</x:f>
        <x:v>Needs supplier cost</x:v>
      </x:c>
      <x:c r="AI1485" t="str">
        <x:v>2026-09-10 Active Sports trade capture</x:v>
      </x:c>
      <x:c r="AJ1485" t="str">
        <x:v>Management-only economics. Stripe stress test uses 1.5% + £0.20 standard UK online-card fee; pallet/mix-and-match pricing ignored.</x:v>
      </x:c>
    </x:row>
    <x:row r="1486">
      <x:c r="A1486" t="str">
        <x:v>Active Sports Nutrition</x:v>
      </x:c>
      <x:c r="B1486" t="str">
        <x:v>Naughty Boy Lifestyle</x:v>
      </x:c>
      <x:c r="C1486" t="str">
        <x:v>Esco Bar</x:v>
      </x:c>
      <x:c r="D1486" t="str">
        <x:v>Drinks and Bars</x:v>
      </x:c>
      <x:c r="E1486" t="str">
        <x:v>Bars and Snacks</x:v>
      </x:c>
      <x:c r="F1486" t="str">
        <x:v>Low-sugar protein bar.</x:v>
      </x:c>
      <x:c r="G1486" t="str">
        <x:v>12 bars</x:v>
      </x:c>
      <x:c r="H1486" t="str">
        <x:v>Chocolate Caramellow</x:v>
      </x:c>
      <x:c r="I1486" t="str">
        <x:v>12</x:v>
      </x:c>
      <x:c r="J1486" t="str">
        <x:v>Case</x:v>
      </x:c>
      <x:c r="K1486" t="str">
        <x:v>Out of stock</x:v>
      </x:c>
      <x:c r="L1486" t="str">
        <x:v>2026-09-08</x:v>
      </x:c>
      <x:c r="M1486" t="str"/>
      <x:c r="N1486" t="str"/>
      <x:c r="O1486" t="str">
        <x:v>https://www.activesportstrade.co.uk/Protein-Bars</x:v>
      </x:c>
      <x:c r="P1486" t="str">
        <x:v>SPECIAL OFFER wording removed. Case-only member order.</x:v>
      </x:c>
      <x:c r="Q1486" t="str"/>
      <x:c r="R1486" t="str"/>
      <x:c r="S1486" t="str">
        <x:v>Pending genuine supplier/brand image</x:v>
      </x:c>
      <x:c r="T1486" s="54"/>
      <x:c r="U1486" s="47" t="n">
        <x:v>0.2</x:v>
      </x:c>
      <x:c r="V1486" s="54" t="str">
        <x:f>IF(ISNUMBER(T1486),T1486*(1+U1486),"")</x:f>
      </x:c>
      <x:c r="W1486" s="47" t="n">
        <x:v>0.3</x:v>
      </x:c>
      <x:c r="X1486" s="54" t="str">
        <x:f>IF(ISNUMBER(V1486),V1486/(1-W1486),"")</x:f>
      </x:c>
      <x:c r="Y1486" s="55" t="str">
        <x:f>IF(ISNUMBER(X1486),ROUNDUP(X1486,0),"")</x:f>
      </x:c>
      <x:c r="Z1486" t="str">
        <x:f>IF(ISNUMBER(T1486),"Cost captured","Awaiting trade cost")</x:f>
        <x:v>Awaiting trade cost</x:v>
      </x:c>
      <x:c r="AB1486" s="36" t="str">
        <x:f>IF(ISNUMBER(Y1486),ROUND(Y1486*0.9,2),"")</x:f>
      </x:c>
      <x:c r="AC1486" s="36" t="str">
        <x:f>IF(ISNUMBER(AB1486),ROUND(AB1486-(AB1486*0.015+0.2)-V1486,2),"")</x:f>
      </x:c>
      <x:c r="AD1486" s="36" t="str">
        <x:f>IF(ISNUMBER(Y1486),ROUND(Y1486*0.8,2),"")</x:f>
      </x:c>
      <x:c r="AE1486" s="36" t="str">
        <x:f>IF(ISNUMBER(AD1486),ROUND(AD1486*0.015+0.2,2),"")</x:f>
      </x:c>
      <x:c r="AF1486" s="36" t="str">
        <x:f>IF(ISNUMBER(AD1486),ROUND(AD1486-AE1486-V1486,2),"")</x:f>
      </x:c>
      <x:c r="AG1486" t="str">
        <x:f>IF(NOT(ISNUMBER(T1486)),"PENDING",IF(AF1486&gt;0,"PASS","FAIL"))</x:f>
        <x:v>PENDING</x:v>
      </x:c>
      <x:c r="AH1486" t="str">
        <x:f>IF(NOT(ISNUMBER(T1486)),"Needs supplier cost",IF(K1486&lt;&gt;"In stock","Supplier unavailable",IF(AG1486&lt;&gt;"PASS","BLOCK - GT loss risk","Commercially protected")))</x:f>
        <x:v>Needs supplier cost</x:v>
      </x:c>
      <x:c r="AI1486" t="str">
        <x:v>2026-09-10 Active Sports trade capture</x:v>
      </x:c>
      <x:c r="AJ1486" t="str">
        <x:v>Management-only economics. Stripe stress test uses 1.5% + £0.20 standard UK online-card fee; pallet/mix-and-match pricing ignored.</x:v>
      </x:c>
    </x:row>
    <x:row r="1487">
      <x:c r="A1487" t="str">
        <x:v>Active Sports Nutrition</x:v>
      </x:c>
      <x:c r="B1487" t="str">
        <x:v>Naughty Boy Lifestyle</x:v>
      </x:c>
      <x:c r="C1487" t="str">
        <x:v>Esco Bar</x:v>
      </x:c>
      <x:c r="D1487" t="str">
        <x:v>Drinks and Bars</x:v>
      </x:c>
      <x:c r="E1487" t="str">
        <x:v>Bars and Snacks</x:v>
      </x:c>
      <x:c r="F1487" t="str">
        <x:v>Low-sugar protein bar.</x:v>
      </x:c>
      <x:c r="G1487" t="str">
        <x:v>12 bars</x:v>
      </x:c>
      <x:c r="H1487" t="str">
        <x:v>White Chocolate Caramel Biscuit</x:v>
      </x:c>
      <x:c r="I1487" t="str">
        <x:v>12</x:v>
      </x:c>
      <x:c r="J1487" t="str">
        <x:v>Case</x:v>
      </x:c>
      <x:c r="K1487" t="str">
        <x:v>Out of stock</x:v>
      </x:c>
      <x:c r="L1487" t="str">
        <x:v>2026-09-08</x:v>
      </x:c>
      <x:c r="M1487" t="str"/>
      <x:c r="N1487" t="str"/>
      <x:c r="O1487" t="str">
        <x:v>https://www.activesportstrade.co.uk/Protein-Bars</x:v>
      </x:c>
      <x:c r="P1487" t="str">
        <x:v>SPECIAL OFFER wording removed. Case-only member order.</x:v>
      </x:c>
      <x:c r="Q1487" t="str"/>
      <x:c r="R1487" t="str"/>
      <x:c r="S1487" t="str">
        <x:v>Pending genuine supplier/brand image</x:v>
      </x:c>
      <x:c r="T1487" s="54"/>
      <x:c r="U1487" s="47" t="n">
        <x:v>0.2</x:v>
      </x:c>
      <x:c r="V1487" s="54" t="str">
        <x:f>IF(ISNUMBER(T1487),T1487*(1+U1487),"")</x:f>
      </x:c>
      <x:c r="W1487" s="47" t="n">
        <x:v>0.3</x:v>
      </x:c>
      <x:c r="X1487" s="54" t="str">
        <x:f>IF(ISNUMBER(V1487),V1487/(1-W1487),"")</x:f>
      </x:c>
      <x:c r="Y1487" s="55" t="str">
        <x:f>IF(ISNUMBER(X1487),ROUNDUP(X1487,0),"")</x:f>
      </x:c>
      <x:c r="Z1487" t="str">
        <x:f>IF(ISNUMBER(T1487),"Cost captured","Awaiting trade cost")</x:f>
        <x:v>Awaiting trade cost</x:v>
      </x:c>
      <x:c r="AB1487" s="36" t="str">
        <x:f>IF(ISNUMBER(Y1487),ROUND(Y1487*0.9,2),"")</x:f>
      </x:c>
      <x:c r="AC1487" s="36" t="str">
        <x:f>IF(ISNUMBER(AB1487),ROUND(AB1487-(AB1487*0.015+0.2)-V1487,2),"")</x:f>
      </x:c>
      <x:c r="AD1487" s="36" t="str">
        <x:f>IF(ISNUMBER(Y1487),ROUND(Y1487*0.8,2),"")</x:f>
      </x:c>
      <x:c r="AE1487" s="36" t="str">
        <x:f>IF(ISNUMBER(AD1487),ROUND(AD1487*0.015+0.2,2),"")</x:f>
      </x:c>
      <x:c r="AF1487" s="36" t="str">
        <x:f>IF(ISNUMBER(AD1487),ROUND(AD1487-AE1487-V1487,2),"")</x:f>
      </x:c>
      <x:c r="AG1487" t="str">
        <x:f>IF(NOT(ISNUMBER(T1487)),"PENDING",IF(AF1487&gt;0,"PASS","FAIL"))</x:f>
        <x:v>PENDING</x:v>
      </x:c>
      <x:c r="AH1487" t="str">
        <x:f>IF(NOT(ISNUMBER(T1487)),"Needs supplier cost",IF(K1487&lt;&gt;"In stock","Supplier unavailable",IF(AG1487&lt;&gt;"PASS","BLOCK - GT loss risk","Commercially protected")))</x:f>
        <x:v>Needs supplier cost</x:v>
      </x:c>
      <x:c r="AI1487" t="str">
        <x:v>2026-09-10 Active Sports trade capture</x:v>
      </x:c>
      <x:c r="AJ1487" t="str">
        <x:v>Management-only economics. Stripe stress test uses 1.5% + £0.20 standard UK online-card fee; pallet/mix-and-match pricing ignored.</x:v>
      </x:c>
    </x:row>
    <x:row r="1488">
      <x:c r="A1488" t="str">
        <x:v>Active Sports Nutrition</x:v>
      </x:c>
      <x:c r="B1488" t="str">
        <x:v>Naughty Boy Lifestyle</x:v>
      </x:c>
      <x:c r="C1488" t="str">
        <x:v>Esco Bar</x:v>
      </x:c>
      <x:c r="D1488" t="str">
        <x:v>Drinks and Bars</x:v>
      </x:c>
      <x:c r="E1488" t="str">
        <x:v>Bars and Snacks</x:v>
      </x:c>
      <x:c r="F1488" t="str">
        <x:v>Low-sugar protein bar.</x:v>
      </x:c>
      <x:c r="G1488" t="str">
        <x:v>12 bars</x:v>
      </x:c>
      <x:c r="H1488" t="str">
        <x:v>White Chocolate Cookies &amp; Cream</x:v>
      </x:c>
      <x:c r="I1488" t="str">
        <x:v>12</x:v>
      </x:c>
      <x:c r="J1488" t="str">
        <x:v>Case</x:v>
      </x:c>
      <x:c r="K1488" t="str">
        <x:v>In stock</x:v>
      </x:c>
      <x:c r="L1488" t="str">
        <x:v>2026-09-08</x:v>
      </x:c>
      <x:c r="M1488" t="str"/>
      <x:c r="N1488" t="str"/>
      <x:c r="O1488" t="str">
        <x:v>https://www.activesportstrade.co.uk/Protein-Bars</x:v>
      </x:c>
      <x:c r="P1488" t="str">
        <x:v>SPECIAL OFFER wording removed. Case-only member order.</x:v>
      </x:c>
      <x:c r="Q1488" t="str"/>
      <x:c r="R1488" t="str"/>
      <x:c r="S1488" t="str">
        <x:v>Pending genuine supplier/brand image</x:v>
      </x:c>
      <x:c r="T1488" s="54"/>
      <x:c r="U1488" s="47" t="n">
        <x:v>0.2</x:v>
      </x:c>
      <x:c r="V1488" s="54" t="str">
        <x:f>IF(ISNUMBER(T1488),T1488*(1+U1488),"")</x:f>
      </x:c>
      <x:c r="W1488" s="47" t="n">
        <x:v>0.3</x:v>
      </x:c>
      <x:c r="X1488" s="54" t="str">
        <x:f>IF(ISNUMBER(V1488),V1488/(1-W1488),"")</x:f>
      </x:c>
      <x:c r="Y1488" s="55" t="str">
        <x:f>IF(ISNUMBER(X1488),ROUNDUP(X1488,0),"")</x:f>
      </x:c>
      <x:c r="Z1488" t="str">
        <x:f>IF(ISNUMBER(T1488),"Cost captured","Awaiting trade cost")</x:f>
        <x:v>Awaiting trade cost</x:v>
      </x:c>
      <x:c r="AB1488" s="36" t="str">
        <x:f>IF(ISNUMBER(Y1488),ROUND(Y1488*0.9,2),"")</x:f>
      </x:c>
      <x:c r="AC1488" s="36" t="str">
        <x:f>IF(ISNUMBER(AB1488),ROUND(AB1488-(AB1488*0.015+0.2)-V1488,2),"")</x:f>
      </x:c>
      <x:c r="AD1488" s="36" t="str">
        <x:f>IF(ISNUMBER(Y1488),ROUND(Y1488*0.8,2),"")</x:f>
      </x:c>
      <x:c r="AE1488" s="36" t="str">
        <x:f>IF(ISNUMBER(AD1488),ROUND(AD1488*0.015+0.2,2),"")</x:f>
      </x:c>
      <x:c r="AF1488" s="36" t="str">
        <x:f>IF(ISNUMBER(AD1488),ROUND(AD1488-AE1488-V1488,2),"")</x:f>
      </x:c>
      <x:c r="AG1488" t="str">
        <x:f>IF(NOT(ISNUMBER(T1488)),"PENDING",IF(AF1488&gt;0,"PASS","FAIL"))</x:f>
        <x:v>PENDING</x:v>
      </x:c>
      <x:c r="AH1488" t="str">
        <x:f>IF(NOT(ISNUMBER(T1488)),"Needs supplier cost",IF(K1488&lt;&gt;"In stock","Supplier unavailable",IF(AG1488&lt;&gt;"PASS","BLOCK - GT loss risk","Commercially protected")))</x:f>
        <x:v>Needs supplier cost</x:v>
      </x:c>
      <x:c r="AI1488" t="str">
        <x:v>2026-09-10 Active Sports trade capture</x:v>
      </x:c>
      <x:c r="AJ1488" t="str">
        <x:v>Management-only economics. Stripe stress test uses 1.5% + £0.20 standard UK online-card fee; pallet/mix-and-match pricing ignored.</x:v>
      </x:c>
    </x:row>
    <x:row r="1489">
      <x:c r="A1489" t="str">
        <x:v>Active Sports Nutrition</x:v>
      </x:c>
      <x:c r="B1489" t="str">
        <x:v>Naughty Boy Lifestyle</x:v>
      </x:c>
      <x:c r="C1489" t="str">
        <x:v>Esco Bar</x:v>
      </x:c>
      <x:c r="D1489" t="str">
        <x:v>Drinks and Bars</x:v>
      </x:c>
      <x:c r="E1489" t="str">
        <x:v>Bars and Snacks</x:v>
      </x:c>
      <x:c r="F1489" t="str">
        <x:v>Low-sugar protein bar.</x:v>
      </x:c>
      <x:c r="G1489" t="str">
        <x:v>12 bars</x:v>
      </x:c>
      <x:c r="H1489" t="str">
        <x:v>White Chocolate Peanut Blondie</x:v>
      </x:c>
      <x:c r="I1489" t="str">
        <x:v>12</x:v>
      </x:c>
      <x:c r="J1489" t="str">
        <x:v>Case</x:v>
      </x:c>
      <x:c r="K1489" t="str">
        <x:v>In stock</x:v>
      </x:c>
      <x:c r="L1489" t="str">
        <x:v>2026-09-08</x:v>
      </x:c>
      <x:c r="M1489" t="str"/>
      <x:c r="N1489" t="str"/>
      <x:c r="O1489" t="str">
        <x:v>https://www.activesportstrade.co.uk/Protein-Bars</x:v>
      </x:c>
      <x:c r="P1489" t="str">
        <x:v>SPECIAL OFFER wording removed. Case-only member order.</x:v>
      </x:c>
      <x:c r="Q1489" t="str"/>
      <x:c r="R1489" t="str"/>
      <x:c r="S1489" t="str">
        <x:v>Pending genuine supplier/brand image</x:v>
      </x:c>
      <x:c r="T1489" s="54"/>
      <x:c r="U1489" s="47" t="n">
        <x:v>0.2</x:v>
      </x:c>
      <x:c r="V1489" s="54" t="str">
        <x:f>IF(ISNUMBER(T1489),T1489*(1+U1489),"")</x:f>
      </x:c>
      <x:c r="W1489" s="47" t="n">
        <x:v>0.3</x:v>
      </x:c>
      <x:c r="X1489" s="54" t="str">
        <x:f>IF(ISNUMBER(V1489),V1489/(1-W1489),"")</x:f>
      </x:c>
      <x:c r="Y1489" s="55" t="str">
        <x:f>IF(ISNUMBER(X1489),ROUNDUP(X1489,0),"")</x:f>
      </x:c>
      <x:c r="Z1489" t="str">
        <x:f>IF(ISNUMBER(T1489),"Cost captured","Awaiting trade cost")</x:f>
        <x:v>Awaiting trade cost</x:v>
      </x:c>
      <x:c r="AB1489" s="36" t="str">
        <x:f>IF(ISNUMBER(Y1489),ROUND(Y1489*0.9,2),"")</x:f>
      </x:c>
      <x:c r="AC1489" s="36" t="str">
        <x:f>IF(ISNUMBER(AB1489),ROUND(AB1489-(AB1489*0.015+0.2)-V1489,2),"")</x:f>
      </x:c>
      <x:c r="AD1489" s="36" t="str">
        <x:f>IF(ISNUMBER(Y1489),ROUND(Y1489*0.8,2),"")</x:f>
      </x:c>
      <x:c r="AE1489" s="36" t="str">
        <x:f>IF(ISNUMBER(AD1489),ROUND(AD1489*0.015+0.2,2),"")</x:f>
      </x:c>
      <x:c r="AF1489" s="36" t="str">
        <x:f>IF(ISNUMBER(AD1489),ROUND(AD1489-AE1489-V1489,2),"")</x:f>
      </x:c>
      <x:c r="AG1489" t="str">
        <x:f>IF(NOT(ISNUMBER(T1489)),"PENDING",IF(AF1489&gt;0,"PASS","FAIL"))</x:f>
        <x:v>PENDING</x:v>
      </x:c>
      <x:c r="AH1489" t="str">
        <x:f>IF(NOT(ISNUMBER(T1489)),"Needs supplier cost",IF(K1489&lt;&gt;"In stock","Supplier unavailable",IF(AG1489&lt;&gt;"PASS","BLOCK - GT loss risk","Commercially protected")))</x:f>
        <x:v>Needs supplier cost</x:v>
      </x:c>
      <x:c r="AI1489" t="str">
        <x:v>2026-09-10 Active Sports trade capture</x:v>
      </x:c>
      <x:c r="AJ1489" t="str">
        <x:v>Management-only economics. Stripe stress test uses 1.5% + £0.20 standard UK online-card fee; pallet/mix-and-match pricing ignored.</x:v>
      </x:c>
    </x:row>
    <x:row r="1490">
      <x:c r="A1490" t="str">
        <x:v>Active Sports Nutrition</x:v>
      </x:c>
      <x:c r="B1490" t="str">
        <x:v>Naughty Boy Lifestyle</x:v>
      </x:c>
      <x:c r="C1490" t="str">
        <x:v>Menace Pre Workout Shots</x:v>
      </x:c>
      <x:c r="D1490" t="str">
        <x:v>Pre Workouts</x:v>
      </x:c>
      <x:c r="E1490" t="str">
        <x:v>Shots and Ready To Drink</x:v>
      </x:c>
      <x:c r="F1490" t="str">
        <x:v>Pre-workout shot.</x:v>
      </x:c>
      <x:c r="G1490" t="str">
        <x:v>12 shots</x:v>
      </x:c>
      <x:c r="H1490" t="str">
        <x:v>Candy Bubblegum - BBE 05/26</x:v>
      </x:c>
      <x:c r="I1490" t="str">
        <x:v>12</x:v>
      </x:c>
      <x:c r="J1490" t="str">
        <x:v>Case</x:v>
      </x:c>
      <x:c r="K1490" t="str">
        <x:v>Unavailable - dated clearance</x:v>
      </x:c>
      <x:c r="L1490" t="str">
        <x:v>2026-09-08</x:v>
      </x:c>
      <x:c r="M1490" t="str"/>
      <x:c r="N1490" t="str"/>
      <x:c r="O1490" t="str">
        <x:v>https://www.activesportstrade.co.uk/ready-to-drink-pre-workout-trade</x:v>
      </x:c>
      <x:c r="P1490" t="str">
        <x:v>Current supplier stock is explicitly BBE 05/26 / MEGA SPECIAL OFFER; retained as dated clearance only, not normal member-orderable.</x:v>
      </x:c>
      <x:c r="Q1490" t="str"/>
      <x:c r="R1490" t="str"/>
      <x:c r="S1490" t="str">
        <x:v>Pending genuine supplier/brand image</x:v>
      </x:c>
      <x:c r="T1490" s="54"/>
      <x:c r="U1490" s="47" t="n">
        <x:v>0.2</x:v>
      </x:c>
      <x:c r="V1490" s="54" t="str">
        <x:f>IF(ISNUMBER(T1490),T1490*(1+U1490),"")</x:f>
      </x:c>
      <x:c r="W1490" s="47" t="n">
        <x:v>0.3</x:v>
      </x:c>
      <x:c r="X1490" s="54" t="str">
        <x:f>IF(ISNUMBER(V1490),V1490/(1-W1490),"")</x:f>
      </x:c>
      <x:c r="Y1490" s="55" t="str">
        <x:f>IF(ISNUMBER(X1490),ROUNDUP(X1490,0),"")</x:f>
      </x:c>
      <x:c r="Z1490" t="str">
        <x:f>IF(ISNUMBER(T1490),"Cost captured","Awaiting trade cost")</x:f>
        <x:v>Awaiting trade cost</x:v>
      </x:c>
      <x:c r="AB1490" s="36" t="str">
        <x:f>IF(ISNUMBER(Y1490),ROUND(Y1490*0.9,2),"")</x:f>
      </x:c>
      <x:c r="AC1490" s="36" t="str">
        <x:f>IF(ISNUMBER(AB1490),ROUND(AB1490-(AB1490*0.015+0.2)-V1490,2),"")</x:f>
      </x:c>
      <x:c r="AD1490" s="36" t="str">
        <x:f>IF(ISNUMBER(Y1490),ROUND(Y1490*0.8,2),"")</x:f>
      </x:c>
      <x:c r="AE1490" s="36" t="str">
        <x:f>IF(ISNUMBER(AD1490),ROUND(AD1490*0.015+0.2,2),"")</x:f>
      </x:c>
      <x:c r="AF1490" s="36" t="str">
        <x:f>IF(ISNUMBER(AD1490),ROUND(AD1490-AE1490-V1490,2),"")</x:f>
      </x:c>
      <x:c r="AG1490" t="str">
        <x:f>IF(NOT(ISNUMBER(T1490)),"PENDING",IF(AF1490&gt;0,"PASS","FAIL"))</x:f>
        <x:v>PENDING</x:v>
      </x:c>
      <x:c r="AH1490" t="str">
        <x:f>IF(NOT(ISNUMBER(T1490)),"Needs supplier cost",IF(K1490&lt;&gt;"In stock","Supplier unavailable",IF(AG1490&lt;&gt;"PASS","BLOCK - GT loss risk","Commercially protected")))</x:f>
        <x:v>Needs supplier cost</x:v>
      </x:c>
      <x:c r="AI1490" t="str">
        <x:v>2026-09-10 Active Sports trade capture</x:v>
      </x:c>
      <x:c r="AJ1490" t="str">
        <x:v>Management-only economics. Stripe stress test uses 1.5% + £0.20 standard UK online-card fee; pallet/mix-and-match pricing ignored.</x:v>
      </x:c>
    </x:row>
    <x:row r="1491">
      <x:c r="A1491" t="str">
        <x:v>Active Sports Nutrition</x:v>
      </x:c>
      <x:c r="B1491" t="str">
        <x:v>Naughty Boy Lifestyle</x:v>
      </x:c>
      <x:c r="C1491" t="str">
        <x:v>Menace Pre Workout Shots</x:v>
      </x:c>
      <x:c r="D1491" t="str">
        <x:v>Pre Workouts</x:v>
      </x:c>
      <x:c r="E1491" t="str">
        <x:v>Shots and Ready To Drink</x:v>
      </x:c>
      <x:c r="F1491" t="str">
        <x:v>Pre-workout shot.</x:v>
      </x:c>
      <x:c r="G1491" t="str">
        <x:v>12 shots</x:v>
      </x:c>
      <x:c r="H1491" t="str">
        <x:v>Cherry Razz - BBE 05/26</x:v>
      </x:c>
      <x:c r="I1491" t="str">
        <x:v>12</x:v>
      </x:c>
      <x:c r="J1491" t="str">
        <x:v>Case</x:v>
      </x:c>
      <x:c r="K1491" t="str">
        <x:v>Unavailable - dated clearance</x:v>
      </x:c>
      <x:c r="L1491" t="str">
        <x:v>2026-09-08</x:v>
      </x:c>
      <x:c r="M1491" t="str"/>
      <x:c r="N1491" t="str"/>
      <x:c r="O1491" t="str">
        <x:v>https://www.activesportstrade.co.uk/ready-to-drink-pre-workout-trade</x:v>
      </x:c>
      <x:c r="P1491" t="str">
        <x:v>Current supplier stock is explicitly BBE 05/26 / MEGA SPECIAL OFFER; retained as dated clearance only, not normal member-orderable.</x:v>
      </x:c>
      <x:c r="Q1491" t="str"/>
      <x:c r="R1491" t="str"/>
      <x:c r="S1491" t="str">
        <x:v>Pending genuine supplier/brand image</x:v>
      </x:c>
      <x:c r="T1491" s="54"/>
      <x:c r="U1491" s="47" t="n">
        <x:v>0.2</x:v>
      </x:c>
      <x:c r="V1491" s="54" t="str">
        <x:f>IF(ISNUMBER(T1491),T1491*(1+U1491),"")</x:f>
      </x:c>
      <x:c r="W1491" s="47" t="n">
        <x:v>0.3</x:v>
      </x:c>
      <x:c r="X1491" s="54" t="str">
        <x:f>IF(ISNUMBER(V1491),V1491/(1-W1491),"")</x:f>
      </x:c>
      <x:c r="Y1491" s="55" t="str">
        <x:f>IF(ISNUMBER(X1491),ROUNDUP(X1491,0),"")</x:f>
      </x:c>
      <x:c r="Z1491" t="str">
        <x:f>IF(ISNUMBER(T1491),"Cost captured","Awaiting trade cost")</x:f>
        <x:v>Awaiting trade cost</x:v>
      </x:c>
      <x:c r="AB1491" s="36" t="str">
        <x:f>IF(ISNUMBER(Y1491),ROUND(Y1491*0.9,2),"")</x:f>
      </x:c>
      <x:c r="AC1491" s="36" t="str">
        <x:f>IF(ISNUMBER(AB1491),ROUND(AB1491-(AB1491*0.015+0.2)-V1491,2),"")</x:f>
      </x:c>
      <x:c r="AD1491" s="36" t="str">
        <x:f>IF(ISNUMBER(Y1491),ROUND(Y1491*0.8,2),"")</x:f>
      </x:c>
      <x:c r="AE1491" s="36" t="str">
        <x:f>IF(ISNUMBER(AD1491),ROUND(AD1491*0.015+0.2,2),"")</x:f>
      </x:c>
      <x:c r="AF1491" s="36" t="str">
        <x:f>IF(ISNUMBER(AD1491),ROUND(AD1491-AE1491-V1491,2),"")</x:f>
      </x:c>
      <x:c r="AG1491" t="str">
        <x:f>IF(NOT(ISNUMBER(T1491)),"PENDING",IF(AF1491&gt;0,"PASS","FAIL"))</x:f>
        <x:v>PENDING</x:v>
      </x:c>
      <x:c r="AH1491" t="str">
        <x:f>IF(NOT(ISNUMBER(T1491)),"Needs supplier cost",IF(K1491&lt;&gt;"In stock","Supplier unavailable",IF(AG1491&lt;&gt;"PASS","BLOCK - GT loss risk","Commercially protected")))</x:f>
        <x:v>Needs supplier cost</x:v>
      </x:c>
      <x:c r="AI1491" t="str">
        <x:v>2026-09-10 Active Sports trade capture</x:v>
      </x:c>
      <x:c r="AJ1491" t="str">
        <x:v>Management-only economics. Stripe stress test uses 1.5% + £0.20 standard UK online-card fee; pallet/mix-and-match pricing ignored.</x:v>
      </x:c>
    </x:row>
    <x:row r="1492">
      <x:c r="A1492" t="str">
        <x:v>Active Sports Nutrition</x:v>
      </x:c>
      <x:c r="B1492" t="str">
        <x:v>Naughty Boy Lifestyle</x:v>
      </x:c>
      <x:c r="C1492" t="str">
        <x:v>Menace Pre Workout Shots</x:v>
      </x:c>
      <x:c r="D1492" t="str">
        <x:v>Pre Workouts</x:v>
      </x:c>
      <x:c r="E1492" t="str">
        <x:v>Shots and Ready To Drink</x:v>
      </x:c>
      <x:c r="F1492" t="str">
        <x:v>Pre-workout shot.</x:v>
      </x:c>
      <x:c r="G1492" t="str">
        <x:v>12 shots</x:v>
      </x:c>
      <x:c r="H1492" t="str">
        <x:v>Strawberry Mango - BBE 05/26</x:v>
      </x:c>
      <x:c r="I1492" t="str">
        <x:v>12</x:v>
      </x:c>
      <x:c r="J1492" t="str">
        <x:v>Case</x:v>
      </x:c>
      <x:c r="K1492" t="str">
        <x:v>Unavailable - dated clearance</x:v>
      </x:c>
      <x:c r="L1492" t="str">
        <x:v>2026-09-08</x:v>
      </x:c>
      <x:c r="M1492" t="str"/>
      <x:c r="N1492" t="str"/>
      <x:c r="O1492" t="str">
        <x:v>https://www.activesportstrade.co.uk/ready-to-drink-pre-workout-trade</x:v>
      </x:c>
      <x:c r="P1492" t="str">
        <x:v>Current supplier stock is explicitly BBE 05/26 / MEGA SPECIAL OFFER; retained as dated clearance only, not normal member-orderable.</x:v>
      </x:c>
      <x:c r="Q1492" t="str"/>
      <x:c r="R1492" t="str"/>
      <x:c r="S1492" t="str">
        <x:v>Pending genuine supplier/brand image</x:v>
      </x:c>
      <x:c r="T1492" s="54"/>
      <x:c r="U1492" s="47" t="n">
        <x:v>0.2</x:v>
      </x:c>
      <x:c r="V1492" s="54" t="str">
        <x:f>IF(ISNUMBER(T1492),T1492*(1+U1492),"")</x:f>
      </x:c>
      <x:c r="W1492" s="47" t="n">
        <x:v>0.3</x:v>
      </x:c>
      <x:c r="X1492" s="54" t="str">
        <x:f>IF(ISNUMBER(V1492),V1492/(1-W1492),"")</x:f>
      </x:c>
      <x:c r="Y1492" s="55" t="str">
        <x:f>IF(ISNUMBER(X1492),ROUNDUP(X1492,0),"")</x:f>
      </x:c>
      <x:c r="Z1492" t="str">
        <x:f>IF(ISNUMBER(T1492),"Cost captured","Awaiting trade cost")</x:f>
        <x:v>Awaiting trade cost</x:v>
      </x:c>
      <x:c r="AB1492" s="36" t="str">
        <x:f>IF(ISNUMBER(Y1492),ROUND(Y1492*0.9,2),"")</x:f>
      </x:c>
      <x:c r="AC1492" s="36" t="str">
        <x:f>IF(ISNUMBER(AB1492),ROUND(AB1492-(AB1492*0.015+0.2)-V1492,2),"")</x:f>
      </x:c>
      <x:c r="AD1492" s="36" t="str">
        <x:f>IF(ISNUMBER(Y1492),ROUND(Y1492*0.8,2),"")</x:f>
      </x:c>
      <x:c r="AE1492" s="36" t="str">
        <x:f>IF(ISNUMBER(AD1492),ROUND(AD1492*0.015+0.2,2),"")</x:f>
      </x:c>
      <x:c r="AF1492" s="36" t="str">
        <x:f>IF(ISNUMBER(AD1492),ROUND(AD1492-AE1492-V1492,2),"")</x:f>
      </x:c>
      <x:c r="AG1492" t="str">
        <x:f>IF(NOT(ISNUMBER(T1492)),"PENDING",IF(AF1492&gt;0,"PASS","FAIL"))</x:f>
        <x:v>PENDING</x:v>
      </x:c>
      <x:c r="AH1492" t="str">
        <x:f>IF(NOT(ISNUMBER(T1492)),"Needs supplier cost",IF(K1492&lt;&gt;"In stock","Supplier unavailable",IF(AG1492&lt;&gt;"PASS","BLOCK - GT loss risk","Commercially protected")))</x:f>
        <x:v>Needs supplier cost</x:v>
      </x:c>
      <x:c r="AI1492" t="str">
        <x:v>2026-09-10 Active Sports trade capture</x:v>
      </x:c>
      <x:c r="AJ1492" t="str">
        <x:v>Management-only economics. Stripe stress test uses 1.5% + £0.20 standard UK online-card fee; pallet/mix-and-match pricing ignored.</x:v>
      </x:c>
    </x:row>
    <x:row r="1493">
      <x:c r="A1493" t="str">
        <x:v>Active Sports Nutrition</x:v>
      </x:c>
      <x:c r="B1493" t="str">
        <x:v>Naughty Boy Lifestyle</x:v>
      </x:c>
      <x:c r="C1493" t="str">
        <x:v>Gluco-B</x:v>
      </x:c>
      <x:c r="D1493" t="str">
        <x:v>Supplements</x:v>
      </x:c>
      <x:c r="E1493" t="str">
        <x:v>Insulin Drivers</x:v>
      </x:c>
      <x:c r="F1493" t="str">
        <x:v>Glucose-disposal support formula.</x:v>
      </x:c>
      <x:c r="G1493" t="str">
        <x:v>60 caps</x:v>
      </x:c>
      <x:c r="H1493" t="str">
        <x:v>Default</x:v>
      </x:c>
      <x:c r="I1493" t="str"/>
      <x:c r="J1493" t="str">
        <x:v>Unit</x:v>
      </x:c>
      <x:c r="K1493" t="str">
        <x:v>In stock</x:v>
      </x:c>
      <x:c r="L1493" t="str">
        <x:v>2026-09-08</x:v>
      </x:c>
      <x:c r="M1493" t="str"/>
      <x:c r="N1493" t="str"/>
      <x:c r="O1493" t="str">
        <x:v>https://www.activesportstrade.co.uk/Diet-Weight-Loss</x:v>
      </x:c>
      <x:c r="P1493" t="str">
        <x:v>SPECIAL OFFER / BUY 5 GET 1 FREE wording removed.</x:v>
      </x:c>
      <x:c r="Q1493" t="str"/>
      <x:c r="R1493" t="str"/>
      <x:c r="S1493" t="str">
        <x:v>Pending genuine supplier/brand image</x:v>
      </x:c>
      <x:c r="T1493" s="54"/>
      <x:c r="U1493" s="47" t="n">
        <x:v>0.2</x:v>
      </x:c>
      <x:c r="V1493" s="54" t="str">
        <x:f>IF(ISNUMBER(T1493),T1493*(1+U1493),"")</x:f>
      </x:c>
      <x:c r="W1493" s="47" t="n">
        <x:v>0.3</x:v>
      </x:c>
      <x:c r="X1493" s="54" t="str">
        <x:f>IF(ISNUMBER(V1493),V1493/(1-W1493),"")</x:f>
      </x:c>
      <x:c r="Y1493" s="55" t="str">
        <x:f>IF(ISNUMBER(X1493),ROUNDUP(X1493,0),"")</x:f>
      </x:c>
      <x:c r="Z1493" t="str">
        <x:f>IF(ISNUMBER(T1493),"Cost captured","Awaiting trade cost")</x:f>
        <x:v>Awaiting trade cost</x:v>
      </x:c>
      <x:c r="AB1493" s="36" t="str">
        <x:f>IF(ISNUMBER(Y1493),ROUND(Y1493*0.9,2),"")</x:f>
      </x:c>
      <x:c r="AC1493" s="36" t="str">
        <x:f>IF(ISNUMBER(AB1493),ROUND(AB1493-(AB1493*0.015+0.2)-V1493,2),"")</x:f>
      </x:c>
      <x:c r="AD1493" s="36" t="str">
        <x:f>IF(ISNUMBER(Y1493),ROUND(Y1493*0.8,2),"")</x:f>
      </x:c>
      <x:c r="AE1493" s="36" t="str">
        <x:f>IF(ISNUMBER(AD1493),ROUND(AD1493*0.015+0.2,2),"")</x:f>
      </x:c>
      <x:c r="AF1493" s="36" t="str">
        <x:f>IF(ISNUMBER(AD1493),ROUND(AD1493-AE1493-V1493,2),"")</x:f>
      </x:c>
      <x:c r="AG1493" t="str">
        <x:f>IF(NOT(ISNUMBER(T1493)),"PENDING",IF(AF1493&gt;0,"PASS","FAIL"))</x:f>
        <x:v>PENDING</x:v>
      </x:c>
      <x:c r="AH1493" t="str">
        <x:f>IF(NOT(ISNUMBER(T1493)),"Needs supplier cost",IF(K1493&lt;&gt;"In stock","Supplier unavailable",IF(AG1493&lt;&gt;"PASS","BLOCK - GT loss risk","Commercially protected")))</x:f>
        <x:v>Needs supplier cost</x:v>
      </x:c>
      <x:c r="AI1493" t="str">
        <x:v>2026-09-10 Active Sports trade capture</x:v>
      </x:c>
      <x:c r="AJ1493" t="str">
        <x:v>Management-only economics. Stripe stress test uses 1.5% + £0.20 standard UK online-card fee; pallet/mix-and-match pricing ignored.</x:v>
      </x:c>
    </x:row>
    <x:row r="1494">
      <x:c r="A1494" t="str">
        <x:v>Active Sports Nutrition</x:v>
      </x:c>
      <x:c r="B1494" t="str">
        <x:v>Naughty Boy Lifestyle</x:v>
      </x:c>
      <x:c r="C1494" t="str">
        <x:v>Shred OG</x:v>
      </x:c>
      <x:c r="D1494" t="str">
        <x:v>Supplements</x:v>
      </x:c>
      <x:c r="E1494" t="str">
        <x:v>Fat Burners</x:v>
      </x:c>
      <x:c r="F1494" t="str">
        <x:v>Weight-management formula.</x:v>
      </x:c>
      <x:c r="G1494" t="str">
        <x:v>60 caps</x:v>
      </x:c>
      <x:c r="H1494" t="str">
        <x:v>Default</x:v>
      </x:c>
      <x:c r="I1494" t="str"/>
      <x:c r="J1494" t="str">
        <x:v>Unit</x:v>
      </x:c>
      <x:c r="K1494" t="str">
        <x:v>Out of stock</x:v>
      </x:c>
      <x:c r="L1494" t="str">
        <x:v>2026-09-08</x:v>
      </x:c>
      <x:c r="M1494" t="str"/>
      <x:c r="N1494" t="str"/>
      <x:c r="O1494" t="str">
        <x:v>https://www.activesportstrade.co.uk/Diet-Weight-Loss</x:v>
      </x:c>
      <x:c r="P1494" t="str">
        <x:v>SPECIAL OFFER / BUY 5 GET 1 FREE wording removed.</x:v>
      </x:c>
      <x:c r="Q1494" t="str"/>
      <x:c r="R1494" t="str"/>
      <x:c r="S1494" t="str">
        <x:v>Pending genuine supplier/brand image</x:v>
      </x:c>
      <x:c r="T1494" s="54"/>
      <x:c r="U1494" s="47" t="n">
        <x:v>0.2</x:v>
      </x:c>
      <x:c r="V1494" s="54" t="str">
        <x:f>IF(ISNUMBER(T1494),T1494*(1+U1494),"")</x:f>
      </x:c>
      <x:c r="W1494" s="47" t="n">
        <x:v>0.3</x:v>
      </x:c>
      <x:c r="X1494" s="54" t="str">
        <x:f>IF(ISNUMBER(V1494),V1494/(1-W1494),"")</x:f>
      </x:c>
      <x:c r="Y1494" s="55" t="str">
        <x:f>IF(ISNUMBER(X1494),ROUNDUP(X1494,0),"")</x:f>
      </x:c>
      <x:c r="Z1494" t="str">
        <x:f>IF(ISNUMBER(T1494),"Cost captured","Awaiting trade cost")</x:f>
        <x:v>Awaiting trade cost</x:v>
      </x:c>
      <x:c r="AB1494" s="36" t="str">
        <x:f>IF(ISNUMBER(Y1494),ROUND(Y1494*0.9,2),"")</x:f>
      </x:c>
      <x:c r="AC1494" s="36" t="str">
        <x:f>IF(ISNUMBER(AB1494),ROUND(AB1494-(AB1494*0.015+0.2)-V1494,2),"")</x:f>
      </x:c>
      <x:c r="AD1494" s="36" t="str">
        <x:f>IF(ISNUMBER(Y1494),ROUND(Y1494*0.8,2),"")</x:f>
      </x:c>
      <x:c r="AE1494" s="36" t="str">
        <x:f>IF(ISNUMBER(AD1494),ROUND(AD1494*0.015+0.2,2),"")</x:f>
      </x:c>
      <x:c r="AF1494" s="36" t="str">
        <x:f>IF(ISNUMBER(AD1494),ROUND(AD1494-AE1494-V1494,2),"")</x:f>
      </x:c>
      <x:c r="AG1494" t="str">
        <x:f>IF(NOT(ISNUMBER(T1494)),"PENDING",IF(AF1494&gt;0,"PASS","FAIL"))</x:f>
        <x:v>PENDING</x:v>
      </x:c>
      <x:c r="AH1494" t="str">
        <x:f>IF(NOT(ISNUMBER(T1494)),"Needs supplier cost",IF(K1494&lt;&gt;"In stock","Supplier unavailable",IF(AG1494&lt;&gt;"PASS","BLOCK - GT loss risk","Commercially protected")))</x:f>
        <x:v>Needs supplier cost</x:v>
      </x:c>
      <x:c r="AI1494" t="str">
        <x:v>2026-09-10 Active Sports trade capture</x:v>
      </x:c>
      <x:c r="AJ1494" t="str">
        <x:v>Management-only economics. Stripe stress test uses 1.5% + £0.20 standard UK online-card fee; pallet/mix-and-match pricing ignored.</x:v>
      </x:c>
    </x:row>
    <x:row r="1495">
      <x:c r="A1495" t="str">
        <x:v>Active Sports Nutrition</x:v>
      </x:c>
      <x:c r="B1495" t="str">
        <x:v>Naughty Boy Lifestyle</x:v>
      </x:c>
      <x:c r="C1495" t="str">
        <x:v>ENERGY Pre Workout</x:v>
      </x:c>
      <x:c r="D1495" t="str">
        <x:v>Pre Workouts</x:v>
      </x:c>
      <x:c r="E1495" t="str">
        <x:v>High Stim</x:v>
      </x:c>
      <x:c r="F1495" t="str">
        <x:v>All-in-one pre-workout.</x:v>
      </x:c>
      <x:c r="G1495" t="str">
        <x:v>30 servings</x:v>
      </x:c>
      <x:c r="H1495" t="str">
        <x:v>Blue Razz Bon Bons</x:v>
      </x:c>
      <x:c r="I1495" t="str"/>
      <x:c r="J1495" t="str">
        <x:v>Unit</x:v>
      </x:c>
      <x:c r="K1495" t="str">
        <x:v>In stock</x:v>
      </x:c>
      <x:c r="L1495" t="str">
        <x:v>2026-09-08</x:v>
      </x:c>
      <x:c r="M1495" t="str"/>
      <x:c r="N1495" t="str"/>
      <x:c r="O1495" t="str">
        <x:v>https://www.activesportstrade.co.uk/pre-workouts-powder-trade</x:v>
      </x:c>
      <x:c r="P1495" t="str"/>
      <x:c r="Q1495" t="str"/>
      <x:c r="R1495" t="str"/>
      <x:c r="S1495" t="str">
        <x:v>Pending genuine supplier/brand image</x:v>
      </x:c>
      <x:c r="T1495" s="54"/>
      <x:c r="U1495" s="47" t="n">
        <x:v>0.2</x:v>
      </x:c>
      <x:c r="V1495" s="54" t="str">
        <x:f>IF(ISNUMBER(T1495),T1495*(1+U1495),"")</x:f>
      </x:c>
      <x:c r="W1495" s="47" t="n">
        <x:v>0.3</x:v>
      </x:c>
      <x:c r="X1495" s="54" t="str">
        <x:f>IF(ISNUMBER(V1495),V1495/(1-W1495),"")</x:f>
      </x:c>
      <x:c r="Y1495" s="55" t="str">
        <x:f>IF(ISNUMBER(X1495),ROUNDUP(X1495,0),"")</x:f>
      </x:c>
      <x:c r="Z1495" t="str">
        <x:f>IF(ISNUMBER(T1495),"Cost captured","Awaiting trade cost")</x:f>
        <x:v>Awaiting trade cost</x:v>
      </x:c>
      <x:c r="AB1495" s="36" t="str">
        <x:f>IF(ISNUMBER(Y1495),ROUND(Y1495*0.9,2),"")</x:f>
      </x:c>
      <x:c r="AC1495" s="36" t="str">
        <x:f>IF(ISNUMBER(AB1495),ROUND(AB1495-(AB1495*0.015+0.2)-V1495,2),"")</x:f>
      </x:c>
      <x:c r="AD1495" s="36" t="str">
        <x:f>IF(ISNUMBER(Y1495),ROUND(Y1495*0.8,2),"")</x:f>
      </x:c>
      <x:c r="AE1495" s="36" t="str">
        <x:f>IF(ISNUMBER(AD1495),ROUND(AD1495*0.015+0.2,2),"")</x:f>
      </x:c>
      <x:c r="AF1495" s="36" t="str">
        <x:f>IF(ISNUMBER(AD1495),ROUND(AD1495-AE1495-V1495,2),"")</x:f>
      </x:c>
      <x:c r="AG1495" t="str">
        <x:f>IF(NOT(ISNUMBER(T1495)),"PENDING",IF(AF1495&gt;0,"PASS","FAIL"))</x:f>
        <x:v>PENDING</x:v>
      </x:c>
      <x:c r="AH1495" t="str">
        <x:f>IF(NOT(ISNUMBER(T1495)),"Needs supplier cost",IF(K1495&lt;&gt;"In stock","Supplier unavailable",IF(AG1495&lt;&gt;"PASS","BLOCK - GT loss risk","Commercially protected")))</x:f>
        <x:v>Needs supplier cost</x:v>
      </x:c>
      <x:c r="AI1495" t="str">
        <x:v>2026-09-10 Active Sports trade capture</x:v>
      </x:c>
      <x:c r="AJ1495" t="str">
        <x:v>Management-only economics. Stripe stress test uses 1.5% + £0.20 standard UK online-card fee; pallet/mix-and-match pricing ignored.</x:v>
      </x:c>
    </x:row>
    <x:row r="1496">
      <x:c r="A1496" t="str">
        <x:v>Active Sports Nutrition</x:v>
      </x:c>
      <x:c r="B1496" t="str">
        <x:v>Naughty Boy Lifestyle</x:v>
      </x:c>
      <x:c r="C1496" t="str">
        <x:v>ENERGY Pre Workout</x:v>
      </x:c>
      <x:c r="D1496" t="str">
        <x:v>Pre Workouts</x:v>
      </x:c>
      <x:c r="E1496" t="str">
        <x:v>High Stim</x:v>
      </x:c>
      <x:c r="F1496" t="str">
        <x:v>All-in-one pre-workout.</x:v>
      </x:c>
      <x:c r="G1496" t="str">
        <x:v>30 servings</x:v>
      </x:c>
      <x:c r="H1496" t="str">
        <x:v>Candy Bubblegum</x:v>
      </x:c>
      <x:c r="I1496" t="str"/>
      <x:c r="J1496" t="str">
        <x:v>Unit</x:v>
      </x:c>
      <x:c r="K1496" t="str">
        <x:v>In stock</x:v>
      </x:c>
      <x:c r="L1496" t="str">
        <x:v>2026-09-08</x:v>
      </x:c>
      <x:c r="M1496" t="str"/>
      <x:c r="N1496" t="str"/>
      <x:c r="O1496" t="str">
        <x:v>https://www.activesportstrade.co.uk/pre-workouts-powder-trade</x:v>
      </x:c>
      <x:c r="P1496" t="str"/>
      <x:c r="Q1496" t="str"/>
      <x:c r="R1496" t="str"/>
      <x:c r="S1496" t="str">
        <x:v>Pending genuine supplier/brand image</x:v>
      </x:c>
      <x:c r="T1496" s="54"/>
      <x:c r="U1496" s="47" t="n">
        <x:v>0.2</x:v>
      </x:c>
      <x:c r="V1496" s="54" t="str">
        <x:f>IF(ISNUMBER(T1496),T1496*(1+U1496),"")</x:f>
      </x:c>
      <x:c r="W1496" s="47" t="n">
        <x:v>0.3</x:v>
      </x:c>
      <x:c r="X1496" s="54" t="str">
        <x:f>IF(ISNUMBER(V1496),V1496/(1-W1496),"")</x:f>
      </x:c>
      <x:c r="Y1496" s="55" t="str">
        <x:f>IF(ISNUMBER(X1496),ROUNDUP(X1496,0),"")</x:f>
      </x:c>
      <x:c r="Z1496" t="str">
        <x:f>IF(ISNUMBER(T1496),"Cost captured","Awaiting trade cost")</x:f>
        <x:v>Awaiting trade cost</x:v>
      </x:c>
      <x:c r="AB1496" s="36" t="str">
        <x:f>IF(ISNUMBER(Y1496),ROUND(Y1496*0.9,2),"")</x:f>
      </x:c>
      <x:c r="AC1496" s="36" t="str">
        <x:f>IF(ISNUMBER(AB1496),ROUND(AB1496-(AB1496*0.015+0.2)-V1496,2),"")</x:f>
      </x:c>
      <x:c r="AD1496" s="36" t="str">
        <x:f>IF(ISNUMBER(Y1496),ROUND(Y1496*0.8,2),"")</x:f>
      </x:c>
      <x:c r="AE1496" s="36" t="str">
        <x:f>IF(ISNUMBER(AD1496),ROUND(AD1496*0.015+0.2,2),"")</x:f>
      </x:c>
      <x:c r="AF1496" s="36" t="str">
        <x:f>IF(ISNUMBER(AD1496),ROUND(AD1496-AE1496-V1496,2),"")</x:f>
      </x:c>
      <x:c r="AG1496" t="str">
        <x:f>IF(NOT(ISNUMBER(T1496)),"PENDING",IF(AF1496&gt;0,"PASS","FAIL"))</x:f>
        <x:v>PENDING</x:v>
      </x:c>
      <x:c r="AH1496" t="str">
        <x:f>IF(NOT(ISNUMBER(T1496)),"Needs supplier cost",IF(K1496&lt;&gt;"In stock","Supplier unavailable",IF(AG1496&lt;&gt;"PASS","BLOCK - GT loss risk","Commercially protected")))</x:f>
        <x:v>Needs supplier cost</x:v>
      </x:c>
      <x:c r="AI1496" t="str">
        <x:v>2026-09-10 Active Sports trade capture</x:v>
      </x:c>
      <x:c r="AJ1496" t="str">
        <x:v>Management-only economics. Stripe stress test uses 1.5% + £0.20 standard UK online-card fee; pallet/mix-and-match pricing ignored.</x:v>
      </x:c>
    </x:row>
    <x:row r="1497">
      <x:c r="A1497" t="str">
        <x:v>Active Sports Nutrition</x:v>
      </x:c>
      <x:c r="B1497" t="str">
        <x:v>Naughty Boy Lifestyle</x:v>
      </x:c>
      <x:c r="C1497" t="str">
        <x:v>ENERGY Pre Workout</x:v>
      </x:c>
      <x:c r="D1497" t="str">
        <x:v>Pre Workouts</x:v>
      </x:c>
      <x:c r="E1497" t="str">
        <x:v>High Stim</x:v>
      </x:c>
      <x:c r="F1497" t="str">
        <x:v>All-in-one pre-workout.</x:v>
      </x:c>
      <x:c r="G1497" t="str">
        <x:v>30 servings</x:v>
      </x:c>
      <x:c r="H1497" t="str">
        <x:v>Citrus Dream</x:v>
      </x:c>
      <x:c r="I1497" t="str"/>
      <x:c r="J1497" t="str">
        <x:v>Unit</x:v>
      </x:c>
      <x:c r="K1497" t="str">
        <x:v>In stock</x:v>
      </x:c>
      <x:c r="L1497" t="str">
        <x:v>2026-09-08</x:v>
      </x:c>
      <x:c r="M1497" t="str"/>
      <x:c r="N1497" t="str"/>
      <x:c r="O1497" t="str">
        <x:v>https://www.activesportstrade.co.uk/pre-workouts-powder-trade</x:v>
      </x:c>
      <x:c r="P1497" t="str"/>
      <x:c r="Q1497" t="str"/>
      <x:c r="R1497" t="str"/>
      <x:c r="S1497" t="str">
        <x:v>Pending genuine supplier/brand image</x:v>
      </x:c>
      <x:c r="T1497" s="54"/>
      <x:c r="U1497" s="47" t="n">
        <x:v>0.2</x:v>
      </x:c>
      <x:c r="V1497" s="54" t="str">
        <x:f>IF(ISNUMBER(T1497),T1497*(1+U1497),"")</x:f>
      </x:c>
      <x:c r="W1497" s="47" t="n">
        <x:v>0.3</x:v>
      </x:c>
      <x:c r="X1497" s="54" t="str">
        <x:f>IF(ISNUMBER(V1497),V1497/(1-W1497),"")</x:f>
      </x:c>
      <x:c r="Y1497" s="55" t="str">
        <x:f>IF(ISNUMBER(X1497),ROUNDUP(X1497,0),"")</x:f>
      </x:c>
      <x:c r="Z1497" t="str">
        <x:f>IF(ISNUMBER(T1497),"Cost captured","Awaiting trade cost")</x:f>
        <x:v>Awaiting trade cost</x:v>
      </x:c>
      <x:c r="AB1497" s="36" t="str">
        <x:f>IF(ISNUMBER(Y1497),ROUND(Y1497*0.9,2),"")</x:f>
      </x:c>
      <x:c r="AC1497" s="36" t="str">
        <x:f>IF(ISNUMBER(AB1497),ROUND(AB1497-(AB1497*0.015+0.2)-V1497,2),"")</x:f>
      </x:c>
      <x:c r="AD1497" s="36" t="str">
        <x:f>IF(ISNUMBER(Y1497),ROUND(Y1497*0.8,2),"")</x:f>
      </x:c>
      <x:c r="AE1497" s="36" t="str">
        <x:f>IF(ISNUMBER(AD1497),ROUND(AD1497*0.015+0.2,2),"")</x:f>
      </x:c>
      <x:c r="AF1497" s="36" t="str">
        <x:f>IF(ISNUMBER(AD1497),ROUND(AD1497-AE1497-V1497,2),"")</x:f>
      </x:c>
      <x:c r="AG1497" t="str">
        <x:f>IF(NOT(ISNUMBER(T1497)),"PENDING",IF(AF1497&gt;0,"PASS","FAIL"))</x:f>
        <x:v>PENDING</x:v>
      </x:c>
      <x:c r="AH1497" t="str">
        <x:f>IF(NOT(ISNUMBER(T1497)),"Needs supplier cost",IF(K1497&lt;&gt;"In stock","Supplier unavailable",IF(AG1497&lt;&gt;"PASS","BLOCK - GT loss risk","Commercially protected")))</x:f>
        <x:v>Needs supplier cost</x:v>
      </x:c>
      <x:c r="AI1497" t="str">
        <x:v>2026-09-10 Active Sports trade capture</x:v>
      </x:c>
      <x:c r="AJ1497" t="str">
        <x:v>Management-only economics. Stripe stress test uses 1.5% + £0.20 standard UK online-card fee; pallet/mix-and-match pricing ignored.</x:v>
      </x:c>
    </x:row>
    <x:row r="1498">
      <x:c r="A1498" t="str">
        <x:v>Active Sports Nutrition</x:v>
      </x:c>
      <x:c r="B1498" t="str">
        <x:v>Naughty Boy Lifestyle</x:v>
      </x:c>
      <x:c r="C1498" t="str">
        <x:v>ENERGY Pre Workout</x:v>
      </x:c>
      <x:c r="D1498" t="str">
        <x:v>Pre Workouts</x:v>
      </x:c>
      <x:c r="E1498" t="str">
        <x:v>High Stim</x:v>
      </x:c>
      <x:c r="F1498" t="str">
        <x:v>All-in-one pre-workout.</x:v>
      </x:c>
      <x:c r="G1498" t="str">
        <x:v>30 servings</x:v>
      </x:c>
      <x:c r="H1498" t="str">
        <x:v>Fizzy Peach Sweets</x:v>
      </x:c>
      <x:c r="I1498" t="str"/>
      <x:c r="J1498" t="str">
        <x:v>Unit</x:v>
      </x:c>
      <x:c r="K1498" t="str">
        <x:v>In stock</x:v>
      </x:c>
      <x:c r="L1498" t="str">
        <x:v>2026-09-08</x:v>
      </x:c>
      <x:c r="M1498" t="str"/>
      <x:c r="N1498" t="str"/>
      <x:c r="O1498" t="str">
        <x:v>https://www.activesportstrade.co.uk/pre-workouts-powder-trade</x:v>
      </x:c>
      <x:c r="P1498" t="str"/>
      <x:c r="Q1498" t="str"/>
      <x:c r="R1498" t="str"/>
      <x:c r="S1498" t="str">
        <x:v>Pending genuine supplier/brand image</x:v>
      </x:c>
      <x:c r="T1498" s="54"/>
      <x:c r="U1498" s="47" t="n">
        <x:v>0.2</x:v>
      </x:c>
      <x:c r="V1498" s="54" t="str">
        <x:f>IF(ISNUMBER(T1498),T1498*(1+U1498),"")</x:f>
      </x:c>
      <x:c r="W1498" s="47" t="n">
        <x:v>0.3</x:v>
      </x:c>
      <x:c r="X1498" s="54" t="str">
        <x:f>IF(ISNUMBER(V1498),V1498/(1-W1498),"")</x:f>
      </x:c>
      <x:c r="Y1498" s="55" t="str">
        <x:f>IF(ISNUMBER(X1498),ROUNDUP(X1498,0),"")</x:f>
      </x:c>
      <x:c r="Z1498" t="str">
        <x:f>IF(ISNUMBER(T1498),"Cost captured","Awaiting trade cost")</x:f>
        <x:v>Awaiting trade cost</x:v>
      </x:c>
      <x:c r="AB1498" s="36" t="str">
        <x:f>IF(ISNUMBER(Y1498),ROUND(Y1498*0.9,2),"")</x:f>
      </x:c>
      <x:c r="AC1498" s="36" t="str">
        <x:f>IF(ISNUMBER(AB1498),ROUND(AB1498-(AB1498*0.015+0.2)-V1498,2),"")</x:f>
      </x:c>
      <x:c r="AD1498" s="36" t="str">
        <x:f>IF(ISNUMBER(Y1498),ROUND(Y1498*0.8,2),"")</x:f>
      </x:c>
      <x:c r="AE1498" s="36" t="str">
        <x:f>IF(ISNUMBER(AD1498),ROUND(AD1498*0.015+0.2,2),"")</x:f>
      </x:c>
      <x:c r="AF1498" s="36" t="str">
        <x:f>IF(ISNUMBER(AD1498),ROUND(AD1498-AE1498-V1498,2),"")</x:f>
      </x:c>
      <x:c r="AG1498" t="str">
        <x:f>IF(NOT(ISNUMBER(T1498)),"PENDING",IF(AF1498&gt;0,"PASS","FAIL"))</x:f>
        <x:v>PENDING</x:v>
      </x:c>
      <x:c r="AH1498" t="str">
        <x:f>IF(NOT(ISNUMBER(T1498)),"Needs supplier cost",IF(K1498&lt;&gt;"In stock","Supplier unavailable",IF(AG1498&lt;&gt;"PASS","BLOCK - GT loss risk","Commercially protected")))</x:f>
        <x:v>Needs supplier cost</x:v>
      </x:c>
      <x:c r="AI1498" t="str">
        <x:v>2026-09-10 Active Sports trade capture</x:v>
      </x:c>
      <x:c r="AJ1498" t="str">
        <x:v>Management-only economics. Stripe stress test uses 1.5% + £0.20 standard UK online-card fee; pallet/mix-and-match pricing ignored.</x:v>
      </x:c>
    </x:row>
    <x:row r="1499">
      <x:c r="A1499" t="str">
        <x:v>Active Sports Nutrition</x:v>
      </x:c>
      <x:c r="B1499" t="str">
        <x:v>Naughty Boy Lifestyle</x:v>
      </x:c>
      <x:c r="C1499" t="str">
        <x:v>ENERGY Pre Workout</x:v>
      </x:c>
      <x:c r="D1499" t="str">
        <x:v>Pre Workouts</x:v>
      </x:c>
      <x:c r="E1499" t="str">
        <x:v>High Stim</x:v>
      </x:c>
      <x:c r="F1499" t="str">
        <x:v>All-in-one pre-workout.</x:v>
      </x:c>
      <x:c r="G1499" t="str">
        <x:v>30 servings</x:v>
      </x:c>
      <x:c r="H1499" t="str">
        <x:v>Orange &amp; Passionfruit</x:v>
      </x:c>
      <x:c r="I1499" t="str"/>
      <x:c r="J1499" t="str">
        <x:v>Unit</x:v>
      </x:c>
      <x:c r="K1499" t="str">
        <x:v>In stock</x:v>
      </x:c>
      <x:c r="L1499" t="str">
        <x:v>2026-09-08</x:v>
      </x:c>
      <x:c r="M1499" t="str"/>
      <x:c r="N1499" t="str"/>
      <x:c r="O1499" t="str">
        <x:v>https://www.activesportstrade.co.uk/pre-workouts-powder-trade</x:v>
      </x:c>
      <x:c r="P1499" t="str"/>
      <x:c r="Q1499" t="str"/>
      <x:c r="R1499" t="str"/>
      <x:c r="S1499" t="str">
        <x:v>Pending genuine supplier/brand image</x:v>
      </x:c>
      <x:c r="T1499" s="54"/>
      <x:c r="U1499" s="47" t="n">
        <x:v>0.2</x:v>
      </x:c>
      <x:c r="V1499" s="54" t="str">
        <x:f>IF(ISNUMBER(T1499),T1499*(1+U1499),"")</x:f>
      </x:c>
      <x:c r="W1499" s="47" t="n">
        <x:v>0.3</x:v>
      </x:c>
      <x:c r="X1499" s="54" t="str">
        <x:f>IF(ISNUMBER(V1499),V1499/(1-W1499),"")</x:f>
      </x:c>
      <x:c r="Y1499" s="55" t="str">
        <x:f>IF(ISNUMBER(X1499),ROUNDUP(X1499,0),"")</x:f>
      </x:c>
      <x:c r="Z1499" t="str">
        <x:f>IF(ISNUMBER(T1499),"Cost captured","Awaiting trade cost")</x:f>
        <x:v>Awaiting trade cost</x:v>
      </x:c>
      <x:c r="AB1499" s="36" t="str">
        <x:f>IF(ISNUMBER(Y1499),ROUND(Y1499*0.9,2),"")</x:f>
      </x:c>
      <x:c r="AC1499" s="36" t="str">
        <x:f>IF(ISNUMBER(AB1499),ROUND(AB1499-(AB1499*0.015+0.2)-V1499,2),"")</x:f>
      </x:c>
      <x:c r="AD1499" s="36" t="str">
        <x:f>IF(ISNUMBER(Y1499),ROUND(Y1499*0.8,2),"")</x:f>
      </x:c>
      <x:c r="AE1499" s="36" t="str">
        <x:f>IF(ISNUMBER(AD1499),ROUND(AD1499*0.015+0.2,2),"")</x:f>
      </x:c>
      <x:c r="AF1499" s="36" t="str">
        <x:f>IF(ISNUMBER(AD1499),ROUND(AD1499-AE1499-V1499,2),"")</x:f>
      </x:c>
      <x:c r="AG1499" t="str">
        <x:f>IF(NOT(ISNUMBER(T1499)),"PENDING",IF(AF1499&gt;0,"PASS","FAIL"))</x:f>
        <x:v>PENDING</x:v>
      </x:c>
      <x:c r="AH1499" t="str">
        <x:f>IF(NOT(ISNUMBER(T1499)),"Needs supplier cost",IF(K1499&lt;&gt;"In stock","Supplier unavailable",IF(AG1499&lt;&gt;"PASS","BLOCK - GT loss risk","Commercially protected")))</x:f>
        <x:v>Needs supplier cost</x:v>
      </x:c>
      <x:c r="AI1499" t="str">
        <x:v>2026-09-10 Active Sports trade capture</x:v>
      </x:c>
      <x:c r="AJ1499" t="str">
        <x:v>Management-only economics. Stripe stress test uses 1.5% + £0.20 standard UK online-card fee; pallet/mix-and-match pricing ignored.</x:v>
      </x:c>
    </x:row>
    <x:row r="1500">
      <x:c r="A1500" t="str">
        <x:v>Active Sports Nutrition</x:v>
      </x:c>
      <x:c r="B1500" t="str">
        <x:v>Naughty Boy Lifestyle</x:v>
      </x:c>
      <x:c r="C1500" t="str">
        <x:v>ENERGY Pre Workout</x:v>
      </x:c>
      <x:c r="D1500" t="str">
        <x:v>Pre Workouts</x:v>
      </x:c>
      <x:c r="E1500" t="str">
        <x:v>High Stim</x:v>
      </x:c>
      <x:c r="F1500" t="str">
        <x:v>All-in-one pre-workout.</x:v>
      </x:c>
      <x:c r="G1500" t="str">
        <x:v>30 servings</x:v>
      </x:c>
      <x:c r="H1500" t="str">
        <x:v>Pick N Mix</x:v>
      </x:c>
      <x:c r="I1500" t="str"/>
      <x:c r="J1500" t="str">
        <x:v>Unit</x:v>
      </x:c>
      <x:c r="K1500" t="str">
        <x:v>In stock</x:v>
      </x:c>
      <x:c r="L1500" t="str">
        <x:v>2026-09-08</x:v>
      </x:c>
      <x:c r="M1500" t="str"/>
      <x:c r="N1500" t="str"/>
      <x:c r="O1500" t="str">
        <x:v>https://www.activesportstrade.co.uk/pre-workouts-powder-trade</x:v>
      </x:c>
      <x:c r="P1500" t="str"/>
      <x:c r="Q1500" t="str"/>
      <x:c r="R1500" t="str"/>
      <x:c r="S1500" t="str">
        <x:v>Pending genuine supplier/brand image</x:v>
      </x:c>
      <x:c r="T1500" s="54"/>
      <x:c r="U1500" s="47" t="n">
        <x:v>0.2</x:v>
      </x:c>
      <x:c r="V1500" s="54" t="str">
        <x:f>IF(ISNUMBER(T1500),T1500*(1+U1500),"")</x:f>
      </x:c>
      <x:c r="W1500" s="47" t="n">
        <x:v>0.3</x:v>
      </x:c>
      <x:c r="X1500" s="54" t="str">
        <x:f>IF(ISNUMBER(V1500),V1500/(1-W1500),"")</x:f>
      </x:c>
      <x:c r="Y1500" s="55" t="str">
        <x:f>IF(ISNUMBER(X1500),ROUNDUP(X1500,0),"")</x:f>
      </x:c>
      <x:c r="Z1500" t="str">
        <x:f>IF(ISNUMBER(T1500),"Cost captured","Awaiting trade cost")</x:f>
        <x:v>Awaiting trade cost</x:v>
      </x:c>
      <x:c r="AB1500" s="36" t="str">
        <x:f>IF(ISNUMBER(Y1500),ROUND(Y1500*0.9,2),"")</x:f>
      </x:c>
      <x:c r="AC1500" s="36" t="str">
        <x:f>IF(ISNUMBER(AB1500),ROUND(AB1500-(AB1500*0.015+0.2)-V1500,2),"")</x:f>
      </x:c>
      <x:c r="AD1500" s="36" t="str">
        <x:f>IF(ISNUMBER(Y1500),ROUND(Y1500*0.8,2),"")</x:f>
      </x:c>
      <x:c r="AE1500" s="36" t="str">
        <x:f>IF(ISNUMBER(AD1500),ROUND(AD1500*0.015+0.2,2),"")</x:f>
      </x:c>
      <x:c r="AF1500" s="36" t="str">
        <x:f>IF(ISNUMBER(AD1500),ROUND(AD1500-AE1500-V1500,2),"")</x:f>
      </x:c>
      <x:c r="AG1500" t="str">
        <x:f>IF(NOT(ISNUMBER(T1500)),"PENDING",IF(AF1500&gt;0,"PASS","FAIL"))</x:f>
        <x:v>PENDING</x:v>
      </x:c>
      <x:c r="AH1500" t="str">
        <x:f>IF(NOT(ISNUMBER(T1500)),"Needs supplier cost",IF(K1500&lt;&gt;"In stock","Supplier unavailable",IF(AG1500&lt;&gt;"PASS","BLOCK - GT loss risk","Commercially protected")))</x:f>
        <x:v>Needs supplier cost</x:v>
      </x:c>
      <x:c r="AI1500" t="str">
        <x:v>2026-09-10 Active Sports trade capture</x:v>
      </x:c>
      <x:c r="AJ1500" t="str">
        <x:v>Management-only economics. Stripe stress test uses 1.5% + £0.20 standard UK online-card fee; pallet/mix-and-match pricing ignored.</x:v>
      </x:c>
    </x:row>
    <x:row r="1501">
      <x:c r="A1501" t="str">
        <x:v>Active Sports Nutrition</x:v>
      </x:c>
      <x:c r="B1501" t="str">
        <x:v>Naughty Boy Lifestyle</x:v>
      </x:c>
      <x:c r="C1501" t="str">
        <x:v>ENERGY Pre Workout</x:v>
      </x:c>
      <x:c r="D1501" t="str">
        <x:v>Pre Workouts</x:v>
      </x:c>
      <x:c r="E1501" t="str">
        <x:v>High Stim</x:v>
      </x:c>
      <x:c r="F1501" t="str">
        <x:v>All-in-one pre-workout.</x:v>
      </x:c>
      <x:c r="G1501" t="str">
        <x:v>30 servings</x:v>
      </x:c>
      <x:c r="H1501" t="str">
        <x:v>Pineapple Crush</x:v>
      </x:c>
      <x:c r="I1501" t="str"/>
      <x:c r="J1501" t="str">
        <x:v>Unit</x:v>
      </x:c>
      <x:c r="K1501" t="str">
        <x:v>In stock</x:v>
      </x:c>
      <x:c r="L1501" t="str">
        <x:v>2026-09-08</x:v>
      </x:c>
      <x:c r="M1501" t="str"/>
      <x:c r="N1501" t="str"/>
      <x:c r="O1501" t="str">
        <x:v>https://www.activesportstrade.co.uk/pre-workouts-powder-trade</x:v>
      </x:c>
      <x:c r="P1501" t="str"/>
      <x:c r="Q1501" t="str"/>
      <x:c r="R1501" t="str"/>
      <x:c r="S1501" t="str">
        <x:v>Pending genuine supplier/brand image</x:v>
      </x:c>
      <x:c r="T1501" s="54"/>
      <x:c r="U1501" s="47" t="n">
        <x:v>0.2</x:v>
      </x:c>
      <x:c r="V1501" s="54" t="str">
        <x:f>IF(ISNUMBER(T1501),T1501*(1+U1501),"")</x:f>
      </x:c>
      <x:c r="W1501" s="47" t="n">
        <x:v>0.3</x:v>
      </x:c>
      <x:c r="X1501" s="54" t="str">
        <x:f>IF(ISNUMBER(V1501),V1501/(1-W1501),"")</x:f>
      </x:c>
      <x:c r="Y1501" s="55" t="str">
        <x:f>IF(ISNUMBER(X1501),ROUNDUP(X1501,0),"")</x:f>
      </x:c>
      <x:c r="Z1501" t="str">
        <x:f>IF(ISNUMBER(T1501),"Cost captured","Awaiting trade cost")</x:f>
        <x:v>Awaiting trade cost</x:v>
      </x:c>
      <x:c r="AB1501" s="36" t="str">
        <x:f>IF(ISNUMBER(Y1501),ROUND(Y1501*0.9,2),"")</x:f>
      </x:c>
      <x:c r="AC1501" s="36" t="str">
        <x:f>IF(ISNUMBER(AB1501),ROUND(AB1501-(AB1501*0.015+0.2)-V1501,2),"")</x:f>
      </x:c>
      <x:c r="AD1501" s="36" t="str">
        <x:f>IF(ISNUMBER(Y1501),ROUND(Y1501*0.8,2),"")</x:f>
      </x:c>
      <x:c r="AE1501" s="36" t="str">
        <x:f>IF(ISNUMBER(AD1501),ROUND(AD1501*0.015+0.2,2),"")</x:f>
      </x:c>
      <x:c r="AF1501" s="36" t="str">
        <x:f>IF(ISNUMBER(AD1501),ROUND(AD1501-AE1501-V1501,2),"")</x:f>
      </x:c>
      <x:c r="AG1501" t="str">
        <x:f>IF(NOT(ISNUMBER(T1501)),"PENDING",IF(AF1501&gt;0,"PASS","FAIL"))</x:f>
        <x:v>PENDING</x:v>
      </x:c>
      <x:c r="AH1501" t="str">
        <x:f>IF(NOT(ISNUMBER(T1501)),"Needs supplier cost",IF(K1501&lt;&gt;"In stock","Supplier unavailable",IF(AG1501&lt;&gt;"PASS","BLOCK - GT loss risk","Commercially protected")))</x:f>
        <x:v>Needs supplier cost</x:v>
      </x:c>
      <x:c r="AI1501" t="str">
        <x:v>2026-09-10 Active Sports trade capture</x:v>
      </x:c>
      <x:c r="AJ1501" t="str">
        <x:v>Management-only economics. Stripe stress test uses 1.5% + £0.20 standard UK online-card fee; pallet/mix-and-match pricing ignored.</x:v>
      </x:c>
    </x:row>
    <x:row r="1502">
      <x:c r="A1502" t="str">
        <x:v>Active Sports Nutrition</x:v>
      </x:c>
      <x:c r="B1502" t="str">
        <x:v>Naughty Boy Lifestyle</x:v>
      </x:c>
      <x:c r="C1502" t="str">
        <x:v>ENERGY Pre Workout</x:v>
      </x:c>
      <x:c r="D1502" t="str">
        <x:v>Pre Workouts</x:v>
      </x:c>
      <x:c r="E1502" t="str">
        <x:v>High Stim</x:v>
      </x:c>
      <x:c r="F1502" t="str">
        <x:v>All-in-one pre-workout.</x:v>
      </x:c>
      <x:c r="G1502" t="str">
        <x:v>30 servings</x:v>
      </x:c>
      <x:c r="H1502" t="str">
        <x:v>Pink Lemonade</x:v>
      </x:c>
      <x:c r="I1502" t="str"/>
      <x:c r="J1502" t="str">
        <x:v>Unit</x:v>
      </x:c>
      <x:c r="K1502" t="str">
        <x:v>In stock</x:v>
      </x:c>
      <x:c r="L1502" t="str">
        <x:v>2026-09-08</x:v>
      </x:c>
      <x:c r="M1502" t="str"/>
      <x:c r="N1502" t="str"/>
      <x:c r="O1502" t="str">
        <x:v>https://www.activesportstrade.co.uk/pre-workouts-powder-trade</x:v>
      </x:c>
      <x:c r="P1502" t="str"/>
      <x:c r="Q1502" t="str"/>
      <x:c r="R1502" t="str"/>
      <x:c r="S1502" t="str">
        <x:v>Pending genuine supplier/brand image</x:v>
      </x:c>
      <x:c r="T1502" s="54"/>
      <x:c r="U1502" s="47" t="n">
        <x:v>0.2</x:v>
      </x:c>
      <x:c r="V1502" s="54" t="str">
        <x:f>IF(ISNUMBER(T1502),T1502*(1+U1502),"")</x:f>
      </x:c>
      <x:c r="W1502" s="47" t="n">
        <x:v>0.3</x:v>
      </x:c>
      <x:c r="X1502" s="54" t="str">
        <x:f>IF(ISNUMBER(V1502),V1502/(1-W1502),"")</x:f>
      </x:c>
      <x:c r="Y1502" s="55" t="str">
        <x:f>IF(ISNUMBER(X1502),ROUNDUP(X1502,0),"")</x:f>
      </x:c>
      <x:c r="Z1502" t="str">
        <x:f>IF(ISNUMBER(T1502),"Cost captured","Awaiting trade cost")</x:f>
        <x:v>Awaiting trade cost</x:v>
      </x:c>
      <x:c r="AB1502" s="36" t="str">
        <x:f>IF(ISNUMBER(Y1502),ROUND(Y1502*0.9,2),"")</x:f>
      </x:c>
      <x:c r="AC1502" s="36" t="str">
        <x:f>IF(ISNUMBER(AB1502),ROUND(AB1502-(AB1502*0.015+0.2)-V1502,2),"")</x:f>
      </x:c>
      <x:c r="AD1502" s="36" t="str">
        <x:f>IF(ISNUMBER(Y1502),ROUND(Y1502*0.8,2),"")</x:f>
      </x:c>
      <x:c r="AE1502" s="36" t="str">
        <x:f>IF(ISNUMBER(AD1502),ROUND(AD1502*0.015+0.2,2),"")</x:f>
      </x:c>
      <x:c r="AF1502" s="36" t="str">
        <x:f>IF(ISNUMBER(AD1502),ROUND(AD1502-AE1502-V1502,2),"")</x:f>
      </x:c>
      <x:c r="AG1502" t="str">
        <x:f>IF(NOT(ISNUMBER(T1502)),"PENDING",IF(AF1502&gt;0,"PASS","FAIL"))</x:f>
        <x:v>PENDING</x:v>
      </x:c>
      <x:c r="AH1502" t="str">
        <x:f>IF(NOT(ISNUMBER(T1502)),"Needs supplier cost",IF(K1502&lt;&gt;"In stock","Supplier unavailable",IF(AG1502&lt;&gt;"PASS","BLOCK - GT loss risk","Commercially protected")))</x:f>
        <x:v>Needs supplier cost</x:v>
      </x:c>
      <x:c r="AI1502" t="str">
        <x:v>2026-09-10 Active Sports trade capture</x:v>
      </x:c>
      <x:c r="AJ1502" t="str">
        <x:v>Management-only economics. Stripe stress test uses 1.5% + £0.20 standard UK online-card fee; pallet/mix-and-match pricing ignored.</x:v>
      </x:c>
    </x:row>
    <x:row r="1503">
      <x:c r="A1503" t="str">
        <x:v>Active Sports Nutrition</x:v>
      </x:c>
      <x:c r="B1503" t="str">
        <x:v>Naughty Boy Lifestyle</x:v>
      </x:c>
      <x:c r="C1503" t="str">
        <x:v>ENERGY Pre Workout</x:v>
      </x:c>
      <x:c r="D1503" t="str">
        <x:v>Pre Workouts</x:v>
      </x:c>
      <x:c r="E1503" t="str">
        <x:v>High Stim</x:v>
      </x:c>
      <x:c r="F1503" t="str">
        <x:v>All-in-one pre-workout.</x:v>
      </x:c>
      <x:c r="G1503" t="str">
        <x:v>30 servings</x:v>
      </x:c>
      <x:c r="H1503" t="str">
        <x:v>Rocket Ice Lolly</x:v>
      </x:c>
      <x:c r="I1503" t="str"/>
      <x:c r="J1503" t="str">
        <x:v>Unit</x:v>
      </x:c>
      <x:c r="K1503" t="str">
        <x:v>In stock</x:v>
      </x:c>
      <x:c r="L1503" t="str">
        <x:v>2026-09-08</x:v>
      </x:c>
      <x:c r="M1503" t="str"/>
      <x:c r="N1503" t="str"/>
      <x:c r="O1503" t="str">
        <x:v>https://www.activesportstrade.co.uk/pre-workouts-powder-trade</x:v>
      </x:c>
      <x:c r="P1503" t="str"/>
      <x:c r="Q1503" t="str"/>
      <x:c r="R1503" t="str"/>
      <x:c r="S1503" t="str">
        <x:v>Pending genuine supplier/brand image</x:v>
      </x:c>
      <x:c r="T1503" s="54"/>
      <x:c r="U1503" s="47" t="n">
        <x:v>0.2</x:v>
      </x:c>
      <x:c r="V1503" s="54" t="str">
        <x:f>IF(ISNUMBER(T1503),T1503*(1+U1503),"")</x:f>
      </x:c>
      <x:c r="W1503" s="47" t="n">
        <x:v>0.3</x:v>
      </x:c>
      <x:c r="X1503" s="54" t="str">
        <x:f>IF(ISNUMBER(V1503),V1503/(1-W1503),"")</x:f>
      </x:c>
      <x:c r="Y1503" s="55" t="str">
        <x:f>IF(ISNUMBER(X1503),ROUNDUP(X1503,0),"")</x:f>
      </x:c>
      <x:c r="Z1503" t="str">
        <x:f>IF(ISNUMBER(T1503),"Cost captured","Awaiting trade cost")</x:f>
        <x:v>Awaiting trade cost</x:v>
      </x:c>
      <x:c r="AB1503" s="36" t="str">
        <x:f>IF(ISNUMBER(Y1503),ROUND(Y1503*0.9,2),"")</x:f>
      </x:c>
      <x:c r="AC1503" s="36" t="str">
        <x:f>IF(ISNUMBER(AB1503),ROUND(AB1503-(AB1503*0.015+0.2)-V1503,2),"")</x:f>
      </x:c>
      <x:c r="AD1503" s="36" t="str">
        <x:f>IF(ISNUMBER(Y1503),ROUND(Y1503*0.8,2),"")</x:f>
      </x:c>
      <x:c r="AE1503" s="36" t="str">
        <x:f>IF(ISNUMBER(AD1503),ROUND(AD1503*0.015+0.2,2),"")</x:f>
      </x:c>
      <x:c r="AF1503" s="36" t="str">
        <x:f>IF(ISNUMBER(AD1503),ROUND(AD1503-AE1503-V1503,2),"")</x:f>
      </x:c>
      <x:c r="AG1503" t="str">
        <x:f>IF(NOT(ISNUMBER(T1503)),"PENDING",IF(AF1503&gt;0,"PASS","FAIL"))</x:f>
        <x:v>PENDING</x:v>
      </x:c>
      <x:c r="AH1503" t="str">
        <x:f>IF(NOT(ISNUMBER(T1503)),"Needs supplier cost",IF(K1503&lt;&gt;"In stock","Supplier unavailable",IF(AG1503&lt;&gt;"PASS","BLOCK - GT loss risk","Commercially protected")))</x:f>
        <x:v>Needs supplier cost</x:v>
      </x:c>
      <x:c r="AI1503" t="str">
        <x:v>2026-09-10 Active Sports trade capture</x:v>
      </x:c>
      <x:c r="AJ1503" t="str">
        <x:v>Management-only economics. Stripe stress test uses 1.5% + £0.20 standard UK online-card fee; pallet/mix-and-match pricing ignored.</x:v>
      </x:c>
    </x:row>
    <x:row r="1504">
      <x:c r="A1504" t="str">
        <x:v>Active Sports Nutrition</x:v>
      </x:c>
      <x:c r="B1504" t="str">
        <x:v>Naughty Boy Lifestyle</x:v>
      </x:c>
      <x:c r="C1504" t="str">
        <x:v>ENERGY Pre Workout</x:v>
      </x:c>
      <x:c r="D1504" t="str">
        <x:v>Pre Workouts</x:v>
      </x:c>
      <x:c r="E1504" t="str">
        <x:v>High Stim</x:v>
      </x:c>
      <x:c r="F1504" t="str">
        <x:v>All-in-one pre-workout.</x:v>
      </x:c>
      <x:c r="G1504" t="str">
        <x:v>30 servings</x:v>
      </x:c>
      <x:c r="H1504" t="str">
        <x:v>Strawberry Mango</x:v>
      </x:c>
      <x:c r="I1504" t="str"/>
      <x:c r="J1504" t="str">
        <x:v>Unit</x:v>
      </x:c>
      <x:c r="K1504" t="str">
        <x:v>In stock</x:v>
      </x:c>
      <x:c r="L1504" t="str">
        <x:v>2026-09-08</x:v>
      </x:c>
      <x:c r="M1504" t="str"/>
      <x:c r="N1504" t="str"/>
      <x:c r="O1504" t="str">
        <x:v>https://www.activesportstrade.co.uk/pre-workouts-powder-trade</x:v>
      </x:c>
      <x:c r="P1504" t="str"/>
      <x:c r="Q1504" t="str"/>
      <x:c r="R1504" t="str"/>
      <x:c r="S1504" t="str">
        <x:v>Pending genuine supplier/brand image</x:v>
      </x:c>
      <x:c r="T1504" s="54"/>
      <x:c r="U1504" s="47" t="n">
        <x:v>0.2</x:v>
      </x:c>
      <x:c r="V1504" s="54" t="str">
        <x:f>IF(ISNUMBER(T1504),T1504*(1+U1504),"")</x:f>
      </x:c>
      <x:c r="W1504" s="47" t="n">
        <x:v>0.3</x:v>
      </x:c>
      <x:c r="X1504" s="54" t="str">
        <x:f>IF(ISNUMBER(V1504),V1504/(1-W1504),"")</x:f>
      </x:c>
      <x:c r="Y1504" s="55" t="str">
        <x:f>IF(ISNUMBER(X1504),ROUNDUP(X1504,0),"")</x:f>
      </x:c>
      <x:c r="Z1504" t="str">
        <x:f>IF(ISNUMBER(T1504),"Cost captured","Awaiting trade cost")</x:f>
        <x:v>Awaiting trade cost</x:v>
      </x:c>
      <x:c r="AB1504" s="36" t="str">
        <x:f>IF(ISNUMBER(Y1504),ROUND(Y1504*0.9,2),"")</x:f>
      </x:c>
      <x:c r="AC1504" s="36" t="str">
        <x:f>IF(ISNUMBER(AB1504),ROUND(AB1504-(AB1504*0.015+0.2)-V1504,2),"")</x:f>
      </x:c>
      <x:c r="AD1504" s="36" t="str">
        <x:f>IF(ISNUMBER(Y1504),ROUND(Y1504*0.8,2),"")</x:f>
      </x:c>
      <x:c r="AE1504" s="36" t="str">
        <x:f>IF(ISNUMBER(AD1504),ROUND(AD1504*0.015+0.2,2),"")</x:f>
      </x:c>
      <x:c r="AF1504" s="36" t="str">
        <x:f>IF(ISNUMBER(AD1504),ROUND(AD1504-AE1504-V1504,2),"")</x:f>
      </x:c>
      <x:c r="AG1504" t="str">
        <x:f>IF(NOT(ISNUMBER(T1504)),"PENDING",IF(AF1504&gt;0,"PASS","FAIL"))</x:f>
        <x:v>PENDING</x:v>
      </x:c>
      <x:c r="AH1504" t="str">
        <x:f>IF(NOT(ISNUMBER(T1504)),"Needs supplier cost",IF(K1504&lt;&gt;"In stock","Supplier unavailable",IF(AG1504&lt;&gt;"PASS","BLOCK - GT loss risk","Commercially protected")))</x:f>
        <x:v>Needs supplier cost</x:v>
      </x:c>
      <x:c r="AI1504" t="str">
        <x:v>2026-09-10 Active Sports trade capture</x:v>
      </x:c>
      <x:c r="AJ1504" t="str">
        <x:v>Management-only economics. Stripe stress test uses 1.5% + £0.20 standard UK online-card fee; pallet/mix-and-match pricing ignored.</x:v>
      </x:c>
    </x:row>
    <x:row r="1505">
      <x:c r="A1505" t="str">
        <x:v>Active Sports Nutrition</x:v>
      </x:c>
      <x:c r="B1505" t="str">
        <x:v>Naughty Boy Lifestyle</x:v>
      </x:c>
      <x:c r="C1505" t="str">
        <x:v>ENERGY Pre Workout</x:v>
      </x:c>
      <x:c r="D1505" t="str">
        <x:v>Pre Workouts</x:v>
      </x:c>
      <x:c r="E1505" t="str">
        <x:v>High Stim</x:v>
      </x:c>
      <x:c r="F1505" t="str">
        <x:v>All-in-one pre-workout.</x:v>
      </x:c>
      <x:c r="G1505" t="str">
        <x:v>30 servings</x:v>
      </x:c>
      <x:c r="H1505" t="str">
        <x:v>Tropical Punch</x:v>
      </x:c>
      <x:c r="I1505" t="str"/>
      <x:c r="J1505" t="str">
        <x:v>Unit</x:v>
      </x:c>
      <x:c r="K1505" t="str">
        <x:v>In stock</x:v>
      </x:c>
      <x:c r="L1505" t="str">
        <x:v>2026-09-08</x:v>
      </x:c>
      <x:c r="M1505" t="str"/>
      <x:c r="N1505" t="str"/>
      <x:c r="O1505" t="str">
        <x:v>https://www.activesportstrade.co.uk/pre-workouts-powder-trade</x:v>
      </x:c>
      <x:c r="P1505" t="str"/>
      <x:c r="Q1505" t="str"/>
      <x:c r="R1505" t="str"/>
      <x:c r="S1505" t="str">
        <x:v>Pending genuine supplier/brand image</x:v>
      </x:c>
      <x:c r="T1505" s="54"/>
      <x:c r="U1505" s="47" t="n">
        <x:v>0.2</x:v>
      </x:c>
      <x:c r="V1505" s="54" t="str">
        <x:f>IF(ISNUMBER(T1505),T1505*(1+U1505),"")</x:f>
      </x:c>
      <x:c r="W1505" s="47" t="n">
        <x:v>0.3</x:v>
      </x:c>
      <x:c r="X1505" s="54" t="str">
        <x:f>IF(ISNUMBER(V1505),V1505/(1-W1505),"")</x:f>
      </x:c>
      <x:c r="Y1505" s="55" t="str">
        <x:f>IF(ISNUMBER(X1505),ROUNDUP(X1505,0),"")</x:f>
      </x:c>
      <x:c r="Z1505" t="str">
        <x:f>IF(ISNUMBER(T1505),"Cost captured","Awaiting trade cost")</x:f>
        <x:v>Awaiting trade cost</x:v>
      </x:c>
      <x:c r="AB1505" s="36" t="str">
        <x:f>IF(ISNUMBER(Y1505),ROUND(Y1505*0.9,2),"")</x:f>
      </x:c>
      <x:c r="AC1505" s="36" t="str">
        <x:f>IF(ISNUMBER(AB1505),ROUND(AB1505-(AB1505*0.015+0.2)-V1505,2),"")</x:f>
      </x:c>
      <x:c r="AD1505" s="36" t="str">
        <x:f>IF(ISNUMBER(Y1505),ROUND(Y1505*0.8,2),"")</x:f>
      </x:c>
      <x:c r="AE1505" s="36" t="str">
        <x:f>IF(ISNUMBER(AD1505),ROUND(AD1505*0.015+0.2,2),"")</x:f>
      </x:c>
      <x:c r="AF1505" s="36" t="str">
        <x:f>IF(ISNUMBER(AD1505),ROUND(AD1505-AE1505-V1505,2),"")</x:f>
      </x:c>
      <x:c r="AG1505" t="str">
        <x:f>IF(NOT(ISNUMBER(T1505)),"PENDING",IF(AF1505&gt;0,"PASS","FAIL"))</x:f>
        <x:v>PENDING</x:v>
      </x:c>
      <x:c r="AH1505" t="str">
        <x:f>IF(NOT(ISNUMBER(T1505)),"Needs supplier cost",IF(K1505&lt;&gt;"In stock","Supplier unavailable",IF(AG1505&lt;&gt;"PASS","BLOCK - GT loss risk","Commercially protected")))</x:f>
        <x:v>Needs supplier cost</x:v>
      </x:c>
      <x:c r="AI1505" t="str">
        <x:v>2026-09-10 Active Sports trade capture</x:v>
      </x:c>
      <x:c r="AJ1505" t="str">
        <x:v>Management-only economics. Stripe stress test uses 1.5% + £0.20 standard UK online-card fee; pallet/mix-and-match pricing ignored.</x:v>
      </x:c>
    </x:row>
    <x:row r="1506">
      <x:c r="A1506" t="str">
        <x:v>Active Sports Nutrition</x:v>
      </x:c>
      <x:c r="B1506" t="str">
        <x:v>Naughty Boy Lifestyle</x:v>
      </x:c>
      <x:c r="C1506" t="str">
        <x:v>ENERGY Pre Workout</x:v>
      </x:c>
      <x:c r="D1506" t="str">
        <x:v>Pre Workouts</x:v>
      </x:c>
      <x:c r="E1506" t="str">
        <x:v>High Stim</x:v>
      </x:c>
      <x:c r="F1506" t="str">
        <x:v>All-in-one pre-workout.</x:v>
      </x:c>
      <x:c r="G1506" t="str">
        <x:v>30 servings</x:v>
      </x:c>
      <x:c r="H1506" t="str">
        <x:v>Ultra Energy</x:v>
      </x:c>
      <x:c r="I1506" t="str"/>
      <x:c r="J1506" t="str">
        <x:v>Unit</x:v>
      </x:c>
      <x:c r="K1506" t="str">
        <x:v>In stock</x:v>
      </x:c>
      <x:c r="L1506" t="str">
        <x:v>2026-09-08</x:v>
      </x:c>
      <x:c r="M1506" t="str"/>
      <x:c r="N1506" t="str"/>
      <x:c r="O1506" t="str">
        <x:v>https://www.activesportstrade.co.uk/pre-workouts-powder-trade</x:v>
      </x:c>
      <x:c r="P1506" t="str"/>
      <x:c r="Q1506" t="str"/>
      <x:c r="R1506" t="str"/>
      <x:c r="S1506" t="str">
        <x:v>Pending genuine supplier/brand image</x:v>
      </x:c>
      <x:c r="T1506" s="54"/>
      <x:c r="U1506" s="47" t="n">
        <x:v>0.2</x:v>
      </x:c>
      <x:c r="V1506" s="54" t="str">
        <x:f>IF(ISNUMBER(T1506),T1506*(1+U1506),"")</x:f>
      </x:c>
      <x:c r="W1506" s="47" t="n">
        <x:v>0.3</x:v>
      </x:c>
      <x:c r="X1506" s="54" t="str">
        <x:f>IF(ISNUMBER(V1506),V1506/(1-W1506),"")</x:f>
      </x:c>
      <x:c r="Y1506" s="55" t="str">
        <x:f>IF(ISNUMBER(X1506),ROUNDUP(X1506,0),"")</x:f>
      </x:c>
      <x:c r="Z1506" t="str">
        <x:f>IF(ISNUMBER(T1506),"Cost captured","Awaiting trade cost")</x:f>
        <x:v>Awaiting trade cost</x:v>
      </x:c>
      <x:c r="AB1506" s="36" t="str">
        <x:f>IF(ISNUMBER(Y1506),ROUND(Y1506*0.9,2),"")</x:f>
      </x:c>
      <x:c r="AC1506" s="36" t="str">
        <x:f>IF(ISNUMBER(AB1506),ROUND(AB1506-(AB1506*0.015+0.2)-V1506,2),"")</x:f>
      </x:c>
      <x:c r="AD1506" s="36" t="str">
        <x:f>IF(ISNUMBER(Y1506),ROUND(Y1506*0.8,2),"")</x:f>
      </x:c>
      <x:c r="AE1506" s="36" t="str">
        <x:f>IF(ISNUMBER(AD1506),ROUND(AD1506*0.015+0.2,2),"")</x:f>
      </x:c>
      <x:c r="AF1506" s="36" t="str">
        <x:f>IF(ISNUMBER(AD1506),ROUND(AD1506-AE1506-V1506,2),"")</x:f>
      </x:c>
      <x:c r="AG1506" t="str">
        <x:f>IF(NOT(ISNUMBER(T1506)),"PENDING",IF(AF1506&gt;0,"PASS","FAIL"))</x:f>
        <x:v>PENDING</x:v>
      </x:c>
      <x:c r="AH1506" t="str">
        <x:f>IF(NOT(ISNUMBER(T1506)),"Needs supplier cost",IF(K1506&lt;&gt;"In stock","Supplier unavailable",IF(AG1506&lt;&gt;"PASS","BLOCK - GT loss risk","Commercially protected")))</x:f>
        <x:v>Needs supplier cost</x:v>
      </x:c>
      <x:c r="AI1506" t="str">
        <x:v>2026-09-10 Active Sports trade capture</x:v>
      </x:c>
      <x:c r="AJ1506" t="str">
        <x:v>Management-only economics. Stripe stress test uses 1.5% + £0.20 standard UK online-card fee; pallet/mix-and-match pricing ignored.</x:v>
      </x:c>
    </x:row>
    <x:row r="1507">
      <x:c r="A1507" t="str">
        <x:v>Active Sports Nutrition</x:v>
      </x:c>
      <x:c r="B1507" t="str">
        <x:v>Naughty Boy Lifestyle</x:v>
      </x:c>
      <x:c r="C1507" t="str">
        <x:v>Menace Pre Workout V1</x:v>
      </x:c>
      <x:c r="D1507" t="str">
        <x:v>Pre Workouts</x:v>
      </x:c>
      <x:c r="E1507" t="str">
        <x:v>High Stim</x:v>
      </x:c>
      <x:c r="F1507" t="str">
        <x:v>Legacy Menace pre-workout.</x:v>
      </x:c>
      <x:c r="G1507" t="str">
        <x:v>30 servings</x:v>
      </x:c>
      <x:c r="H1507" t="str">
        <x:v>Apple Power - BBE 11/26</x:v>
      </x:c>
      <x:c r="I1507" t="str"/>
      <x:c r="J1507" t="str">
        <x:v>Unit</x:v>
      </x:c>
      <x:c r="K1507" t="str">
        <x:v>Unavailable - dated clearance</x:v>
      </x:c>
      <x:c r="L1507" t="str">
        <x:v>2026-09-08</x:v>
      </x:c>
      <x:c r="M1507" t="str"/>
      <x:c r="N1507" t="str"/>
      <x:c r="O1507" t="str">
        <x:v>https://www.activesportstrade.co.uk/pre-workouts-powder-trade</x:v>
      </x:c>
      <x:c r="P1507" t="str">
        <x:v>Supplier current listing is explicitly BBE 11/26 / MEGA SPECIAL OFFER. Preserved as dated clearance rather than normal member-orderable.</x:v>
      </x:c>
      <x:c r="Q1507" t="str"/>
      <x:c r="R1507" t="str"/>
      <x:c r="S1507" t="str">
        <x:v>Pending genuine supplier/brand image</x:v>
      </x:c>
      <x:c r="T1507" s="54"/>
      <x:c r="U1507" s="47" t="n">
        <x:v>0.2</x:v>
      </x:c>
      <x:c r="V1507" s="54" t="str">
        <x:f>IF(ISNUMBER(T1507),T1507*(1+U1507),"")</x:f>
      </x:c>
      <x:c r="W1507" s="47" t="n">
        <x:v>0.3</x:v>
      </x:c>
      <x:c r="X1507" s="54" t="str">
        <x:f>IF(ISNUMBER(V1507),V1507/(1-W1507),"")</x:f>
      </x:c>
      <x:c r="Y1507" s="55" t="str">
        <x:f>IF(ISNUMBER(X1507),ROUNDUP(X1507,0),"")</x:f>
      </x:c>
      <x:c r="Z1507" t="str">
        <x:f>IF(ISNUMBER(T1507),"Cost captured","Awaiting trade cost")</x:f>
        <x:v>Awaiting trade cost</x:v>
      </x:c>
      <x:c r="AB1507" s="36" t="str">
        <x:f>IF(ISNUMBER(Y1507),ROUND(Y1507*0.9,2),"")</x:f>
      </x:c>
      <x:c r="AC1507" s="36" t="str">
        <x:f>IF(ISNUMBER(AB1507),ROUND(AB1507-(AB1507*0.015+0.2)-V1507,2),"")</x:f>
      </x:c>
      <x:c r="AD1507" s="36" t="str">
        <x:f>IF(ISNUMBER(Y1507),ROUND(Y1507*0.8,2),"")</x:f>
      </x:c>
      <x:c r="AE1507" s="36" t="str">
        <x:f>IF(ISNUMBER(AD1507),ROUND(AD1507*0.015+0.2,2),"")</x:f>
      </x:c>
      <x:c r="AF1507" s="36" t="str">
        <x:f>IF(ISNUMBER(AD1507),ROUND(AD1507-AE1507-V1507,2),"")</x:f>
      </x:c>
      <x:c r="AG1507" t="str">
        <x:f>IF(NOT(ISNUMBER(T1507)),"PENDING",IF(AF1507&gt;0,"PASS","FAIL"))</x:f>
        <x:v>PENDING</x:v>
      </x:c>
      <x:c r="AH1507" t="str">
        <x:f>IF(NOT(ISNUMBER(T1507)),"Needs supplier cost",IF(K1507&lt;&gt;"In stock","Supplier unavailable",IF(AG1507&lt;&gt;"PASS","BLOCK - GT loss risk","Commercially protected")))</x:f>
        <x:v>Needs supplier cost</x:v>
      </x:c>
      <x:c r="AI1507" t="str">
        <x:v>2026-09-10 Active Sports trade capture</x:v>
      </x:c>
      <x:c r="AJ1507" t="str">
        <x:v>Management-only economics. Stripe stress test uses 1.5% + £0.20 standard UK online-card fee; pallet/mix-and-match pricing ignored.</x:v>
      </x:c>
    </x:row>
    <x:row r="1508">
      <x:c r="A1508" t="str">
        <x:v>Active Sports Nutrition</x:v>
      </x:c>
      <x:c r="B1508" t="str">
        <x:v>Naughty Boy Lifestyle</x:v>
      </x:c>
      <x:c r="C1508" t="str">
        <x:v>Menace Pre Workout V1</x:v>
      </x:c>
      <x:c r="D1508" t="str">
        <x:v>Pre Workouts</x:v>
      </x:c>
      <x:c r="E1508" t="str">
        <x:v>High Stim</x:v>
      </x:c>
      <x:c r="F1508" t="str">
        <x:v>Legacy Menace pre-workout.</x:v>
      </x:c>
      <x:c r="G1508" t="str">
        <x:v>30 servings</x:v>
      </x:c>
      <x:c r="H1508" t="str">
        <x:v>Blue Strawberry - BBE 11/26</x:v>
      </x:c>
      <x:c r="I1508" t="str"/>
      <x:c r="J1508" t="str">
        <x:v>Unit</x:v>
      </x:c>
      <x:c r="K1508" t="str">
        <x:v>Unavailable - dated clearance</x:v>
      </x:c>
      <x:c r="L1508" t="str">
        <x:v>2026-09-08</x:v>
      </x:c>
      <x:c r="M1508" t="str"/>
      <x:c r="N1508" t="str"/>
      <x:c r="O1508" t="str">
        <x:v>https://www.activesportstrade.co.uk/pre-workouts-powder-trade</x:v>
      </x:c>
      <x:c r="P1508" t="str">
        <x:v>Supplier current listing is explicitly BBE 11/26 / MEGA SPECIAL OFFER. Preserved as dated clearance rather than normal member-orderable.</x:v>
      </x:c>
      <x:c r="Q1508" t="str"/>
      <x:c r="R1508" t="str"/>
      <x:c r="S1508" t="str">
        <x:v>Pending genuine supplier/brand image</x:v>
      </x:c>
      <x:c r="T1508" s="54"/>
      <x:c r="U1508" s="47" t="n">
        <x:v>0.2</x:v>
      </x:c>
      <x:c r="V1508" s="54" t="str">
        <x:f>IF(ISNUMBER(T1508),T1508*(1+U1508),"")</x:f>
      </x:c>
      <x:c r="W1508" s="47" t="n">
        <x:v>0.3</x:v>
      </x:c>
      <x:c r="X1508" s="54" t="str">
        <x:f>IF(ISNUMBER(V1508),V1508/(1-W1508),"")</x:f>
      </x:c>
      <x:c r="Y1508" s="55" t="str">
        <x:f>IF(ISNUMBER(X1508),ROUNDUP(X1508,0),"")</x:f>
      </x:c>
      <x:c r="Z1508" t="str">
        <x:f>IF(ISNUMBER(T1508),"Cost captured","Awaiting trade cost")</x:f>
        <x:v>Awaiting trade cost</x:v>
      </x:c>
      <x:c r="AB1508" s="36" t="str">
        <x:f>IF(ISNUMBER(Y1508),ROUND(Y1508*0.9,2),"")</x:f>
      </x:c>
      <x:c r="AC1508" s="36" t="str">
        <x:f>IF(ISNUMBER(AB1508),ROUND(AB1508-(AB1508*0.015+0.2)-V1508,2),"")</x:f>
      </x:c>
      <x:c r="AD1508" s="36" t="str">
        <x:f>IF(ISNUMBER(Y1508),ROUND(Y1508*0.8,2),"")</x:f>
      </x:c>
      <x:c r="AE1508" s="36" t="str">
        <x:f>IF(ISNUMBER(AD1508),ROUND(AD1508*0.015+0.2,2),"")</x:f>
      </x:c>
      <x:c r="AF1508" s="36" t="str">
        <x:f>IF(ISNUMBER(AD1508),ROUND(AD1508-AE1508-V1508,2),"")</x:f>
      </x:c>
      <x:c r="AG1508" t="str">
        <x:f>IF(NOT(ISNUMBER(T1508)),"PENDING",IF(AF1508&gt;0,"PASS","FAIL"))</x:f>
        <x:v>PENDING</x:v>
      </x:c>
      <x:c r="AH1508" t="str">
        <x:f>IF(NOT(ISNUMBER(T1508)),"Needs supplier cost",IF(K1508&lt;&gt;"In stock","Supplier unavailable",IF(AG1508&lt;&gt;"PASS","BLOCK - GT loss risk","Commercially protected")))</x:f>
        <x:v>Needs supplier cost</x:v>
      </x:c>
      <x:c r="AI1508" t="str">
        <x:v>2026-09-10 Active Sports trade capture</x:v>
      </x:c>
      <x:c r="AJ1508" t="str">
        <x:v>Management-only economics. Stripe stress test uses 1.5% + £0.20 standard UK online-card fee; pallet/mix-and-match pricing ignored.</x:v>
      </x:c>
    </x:row>
    <x:row r="1509">
      <x:c r="A1509" t="str">
        <x:v>Active Sports Nutrition</x:v>
      </x:c>
      <x:c r="B1509" t="str">
        <x:v>Naughty Boy Lifestyle</x:v>
      </x:c>
      <x:c r="C1509" t="str">
        <x:v>Menace Pre Workout V1</x:v>
      </x:c>
      <x:c r="D1509" t="str">
        <x:v>Pre Workouts</x:v>
      </x:c>
      <x:c r="E1509" t="str">
        <x:v>High Stim</x:v>
      </x:c>
      <x:c r="F1509" t="str">
        <x:v>Legacy Menace pre-workout.</x:v>
      </x:c>
      <x:c r="G1509" t="str">
        <x:v>30 servings</x:v>
      </x:c>
      <x:c r="H1509" t="str">
        <x:v>Candy Watermelon - BBE 11/26</x:v>
      </x:c>
      <x:c r="I1509" t="str"/>
      <x:c r="J1509" t="str">
        <x:v>Unit</x:v>
      </x:c>
      <x:c r="K1509" t="str">
        <x:v>Unavailable - dated clearance</x:v>
      </x:c>
      <x:c r="L1509" t="str">
        <x:v>2026-09-08</x:v>
      </x:c>
      <x:c r="M1509" t="str"/>
      <x:c r="N1509" t="str"/>
      <x:c r="O1509" t="str">
        <x:v>https://www.activesportstrade.co.uk/pre-workouts-powder-trade</x:v>
      </x:c>
      <x:c r="P1509" t="str">
        <x:v>Supplier current listing is explicitly BBE 11/26 / MEGA SPECIAL OFFER. Preserved as dated clearance rather than normal member-orderable.</x:v>
      </x:c>
      <x:c r="Q1509" t="str"/>
      <x:c r="R1509" t="str"/>
      <x:c r="S1509" t="str">
        <x:v>Pending genuine supplier/brand image</x:v>
      </x:c>
      <x:c r="T1509" s="54"/>
      <x:c r="U1509" s="47" t="n">
        <x:v>0.2</x:v>
      </x:c>
      <x:c r="V1509" s="54" t="str">
        <x:f>IF(ISNUMBER(T1509),T1509*(1+U1509),"")</x:f>
      </x:c>
      <x:c r="W1509" s="47" t="n">
        <x:v>0.3</x:v>
      </x:c>
      <x:c r="X1509" s="54" t="str">
        <x:f>IF(ISNUMBER(V1509),V1509/(1-W1509),"")</x:f>
      </x:c>
      <x:c r="Y1509" s="55" t="str">
        <x:f>IF(ISNUMBER(X1509),ROUNDUP(X1509,0),"")</x:f>
      </x:c>
      <x:c r="Z1509" t="str">
        <x:f>IF(ISNUMBER(T1509),"Cost captured","Awaiting trade cost")</x:f>
        <x:v>Awaiting trade cost</x:v>
      </x:c>
      <x:c r="AB1509" s="36" t="str">
        <x:f>IF(ISNUMBER(Y1509),ROUND(Y1509*0.9,2),"")</x:f>
      </x:c>
      <x:c r="AC1509" s="36" t="str">
        <x:f>IF(ISNUMBER(AB1509),ROUND(AB1509-(AB1509*0.015+0.2)-V1509,2),"")</x:f>
      </x:c>
      <x:c r="AD1509" s="36" t="str">
        <x:f>IF(ISNUMBER(Y1509),ROUND(Y1509*0.8,2),"")</x:f>
      </x:c>
      <x:c r="AE1509" s="36" t="str">
        <x:f>IF(ISNUMBER(AD1509),ROUND(AD1509*0.015+0.2,2),"")</x:f>
      </x:c>
      <x:c r="AF1509" s="36" t="str">
        <x:f>IF(ISNUMBER(AD1509),ROUND(AD1509-AE1509-V1509,2),"")</x:f>
      </x:c>
      <x:c r="AG1509" t="str">
        <x:f>IF(NOT(ISNUMBER(T1509)),"PENDING",IF(AF1509&gt;0,"PASS","FAIL"))</x:f>
        <x:v>PENDING</x:v>
      </x:c>
      <x:c r="AH1509" t="str">
        <x:f>IF(NOT(ISNUMBER(T1509)),"Needs supplier cost",IF(K1509&lt;&gt;"In stock","Supplier unavailable",IF(AG1509&lt;&gt;"PASS","BLOCK - GT loss risk","Commercially protected")))</x:f>
        <x:v>Needs supplier cost</x:v>
      </x:c>
      <x:c r="AI1509" t="str">
        <x:v>2026-09-10 Active Sports trade capture</x:v>
      </x:c>
      <x:c r="AJ1509" t="str">
        <x:v>Management-only economics. Stripe stress test uses 1.5% + £0.20 standard UK online-card fee; pallet/mix-and-match pricing ignored.</x:v>
      </x:c>
    </x:row>
    <x:row r="1510">
      <x:c r="A1510" t="str">
        <x:v>Active Sports Nutrition</x:v>
      </x:c>
      <x:c r="B1510" t="str">
        <x:v>Naughty Boy Lifestyle</x:v>
      </x:c>
      <x:c r="C1510" t="str">
        <x:v>Menace Pre Workout V1</x:v>
      </x:c>
      <x:c r="D1510" t="str">
        <x:v>Pre Workouts</x:v>
      </x:c>
      <x:c r="E1510" t="str">
        <x:v>High Stim</x:v>
      </x:c>
      <x:c r="F1510" t="str">
        <x:v>Legacy Menace pre-workout.</x:v>
      </x:c>
      <x:c r="G1510" t="str">
        <x:v>30 servings</x:v>
      </x:c>
      <x:c r="H1510" t="str">
        <x:v>Gotti Grape - BBE 11/26</x:v>
      </x:c>
      <x:c r="I1510" t="str"/>
      <x:c r="J1510" t="str">
        <x:v>Unit</x:v>
      </x:c>
      <x:c r="K1510" t="str">
        <x:v>Unavailable - dated clearance</x:v>
      </x:c>
      <x:c r="L1510" t="str">
        <x:v>2026-09-08</x:v>
      </x:c>
      <x:c r="M1510" t="str"/>
      <x:c r="N1510" t="str"/>
      <x:c r="O1510" t="str">
        <x:v>https://www.activesportstrade.co.uk/pre-workouts-powder-trade</x:v>
      </x:c>
      <x:c r="P1510" t="str">
        <x:v>Supplier current listing is explicitly BBE 11/26 / MEGA SPECIAL OFFER. Preserved as dated clearance rather than normal member-orderable.</x:v>
      </x:c>
      <x:c r="Q1510" t="str"/>
      <x:c r="R1510" t="str"/>
      <x:c r="S1510" t="str">
        <x:v>Pending genuine supplier/brand image</x:v>
      </x:c>
      <x:c r="T1510" s="54"/>
      <x:c r="U1510" s="47" t="n">
        <x:v>0.2</x:v>
      </x:c>
      <x:c r="V1510" s="54" t="str">
        <x:f>IF(ISNUMBER(T1510),T1510*(1+U1510),"")</x:f>
      </x:c>
      <x:c r="W1510" s="47" t="n">
        <x:v>0.3</x:v>
      </x:c>
      <x:c r="X1510" s="54" t="str">
        <x:f>IF(ISNUMBER(V1510),V1510/(1-W1510),"")</x:f>
      </x:c>
      <x:c r="Y1510" s="55" t="str">
        <x:f>IF(ISNUMBER(X1510),ROUNDUP(X1510,0),"")</x:f>
      </x:c>
      <x:c r="Z1510" t="str">
        <x:f>IF(ISNUMBER(T1510),"Cost captured","Awaiting trade cost")</x:f>
        <x:v>Awaiting trade cost</x:v>
      </x:c>
      <x:c r="AB1510" s="36" t="str">
        <x:f>IF(ISNUMBER(Y1510),ROUND(Y1510*0.9,2),"")</x:f>
      </x:c>
      <x:c r="AC1510" s="36" t="str">
        <x:f>IF(ISNUMBER(AB1510),ROUND(AB1510-(AB1510*0.015+0.2)-V1510,2),"")</x:f>
      </x:c>
      <x:c r="AD1510" s="36" t="str">
        <x:f>IF(ISNUMBER(Y1510),ROUND(Y1510*0.8,2),"")</x:f>
      </x:c>
      <x:c r="AE1510" s="36" t="str">
        <x:f>IF(ISNUMBER(AD1510),ROUND(AD1510*0.015+0.2,2),"")</x:f>
      </x:c>
      <x:c r="AF1510" s="36" t="str">
        <x:f>IF(ISNUMBER(AD1510),ROUND(AD1510-AE1510-V1510,2),"")</x:f>
      </x:c>
      <x:c r="AG1510" t="str">
        <x:f>IF(NOT(ISNUMBER(T1510)),"PENDING",IF(AF1510&gt;0,"PASS","FAIL"))</x:f>
        <x:v>PENDING</x:v>
      </x:c>
      <x:c r="AH1510" t="str">
        <x:f>IF(NOT(ISNUMBER(T1510)),"Needs supplier cost",IF(K1510&lt;&gt;"In stock","Supplier unavailable",IF(AG1510&lt;&gt;"PASS","BLOCK - GT loss risk","Commercially protected")))</x:f>
        <x:v>Needs supplier cost</x:v>
      </x:c>
      <x:c r="AI1510" t="str">
        <x:v>2026-09-10 Active Sports trade capture</x:v>
      </x:c>
      <x:c r="AJ1510" t="str">
        <x:v>Management-only economics. Stripe stress test uses 1.5% + £0.20 standard UK online-card fee; pallet/mix-and-match pricing ignored.</x:v>
      </x:c>
    </x:row>
    <x:row r="1511">
      <x:c r="A1511" t="str">
        <x:v>Active Sports Nutrition</x:v>
      </x:c>
      <x:c r="B1511" t="str">
        <x:v>Naughty Boy Lifestyle</x:v>
      </x:c>
      <x:c r="C1511" t="str">
        <x:v>Menace Pre Workout V1</x:v>
      </x:c>
      <x:c r="D1511" t="str">
        <x:v>Pre Workouts</x:v>
      </x:c>
      <x:c r="E1511" t="str">
        <x:v>High Stim</x:v>
      </x:c>
      <x:c r="F1511" t="str">
        <x:v>Legacy Menace pre-workout.</x:v>
      </x:c>
      <x:c r="G1511" t="str">
        <x:v>30 servings</x:v>
      </x:c>
      <x:c r="H1511" t="str">
        <x:v>Passion Fruit - BBE 11/26</x:v>
      </x:c>
      <x:c r="I1511" t="str"/>
      <x:c r="J1511" t="str">
        <x:v>Unit</x:v>
      </x:c>
      <x:c r="K1511" t="str">
        <x:v>Unavailable - dated clearance</x:v>
      </x:c>
      <x:c r="L1511" t="str">
        <x:v>2026-09-08</x:v>
      </x:c>
      <x:c r="M1511" t="str"/>
      <x:c r="N1511" t="str"/>
      <x:c r="O1511" t="str">
        <x:v>https://www.activesportstrade.co.uk/pre-workouts-powder-trade</x:v>
      </x:c>
      <x:c r="P1511" t="str">
        <x:v>Supplier current listing is explicitly BBE 11/26 / MEGA SPECIAL OFFER. Preserved as dated clearance rather than normal member-orderable.</x:v>
      </x:c>
      <x:c r="Q1511" t="str"/>
      <x:c r="R1511" t="str"/>
      <x:c r="S1511" t="str">
        <x:v>Pending genuine supplier/brand image</x:v>
      </x:c>
      <x:c r="T1511" s="54"/>
      <x:c r="U1511" s="47" t="n">
        <x:v>0.2</x:v>
      </x:c>
      <x:c r="V1511" s="54" t="str">
        <x:f>IF(ISNUMBER(T1511),T1511*(1+U1511),"")</x:f>
      </x:c>
      <x:c r="W1511" s="47" t="n">
        <x:v>0.3</x:v>
      </x:c>
      <x:c r="X1511" s="54" t="str">
        <x:f>IF(ISNUMBER(V1511),V1511/(1-W1511),"")</x:f>
      </x:c>
      <x:c r="Y1511" s="55" t="str">
        <x:f>IF(ISNUMBER(X1511),ROUNDUP(X1511,0),"")</x:f>
      </x:c>
      <x:c r="Z1511" t="str">
        <x:f>IF(ISNUMBER(T1511),"Cost captured","Awaiting trade cost")</x:f>
        <x:v>Awaiting trade cost</x:v>
      </x:c>
      <x:c r="AB1511" s="36" t="str">
        <x:f>IF(ISNUMBER(Y1511),ROUND(Y1511*0.9,2),"")</x:f>
      </x:c>
      <x:c r="AC1511" s="36" t="str">
        <x:f>IF(ISNUMBER(AB1511),ROUND(AB1511-(AB1511*0.015+0.2)-V1511,2),"")</x:f>
      </x:c>
      <x:c r="AD1511" s="36" t="str">
        <x:f>IF(ISNUMBER(Y1511),ROUND(Y1511*0.8,2),"")</x:f>
      </x:c>
      <x:c r="AE1511" s="36" t="str">
        <x:f>IF(ISNUMBER(AD1511),ROUND(AD1511*0.015+0.2,2),"")</x:f>
      </x:c>
      <x:c r="AF1511" s="36" t="str">
        <x:f>IF(ISNUMBER(AD1511),ROUND(AD1511-AE1511-V1511,2),"")</x:f>
      </x:c>
      <x:c r="AG1511" t="str">
        <x:f>IF(NOT(ISNUMBER(T1511)),"PENDING",IF(AF1511&gt;0,"PASS","FAIL"))</x:f>
        <x:v>PENDING</x:v>
      </x:c>
      <x:c r="AH1511" t="str">
        <x:f>IF(NOT(ISNUMBER(T1511)),"Needs supplier cost",IF(K1511&lt;&gt;"In stock","Supplier unavailable",IF(AG1511&lt;&gt;"PASS","BLOCK - GT loss risk","Commercially protected")))</x:f>
        <x:v>Needs supplier cost</x:v>
      </x:c>
      <x:c r="AI1511" t="str">
        <x:v>2026-09-10 Active Sports trade capture</x:v>
      </x:c>
      <x:c r="AJ1511" t="str">
        <x:v>Management-only economics. Stripe stress test uses 1.5% + £0.20 standard UK online-card fee; pallet/mix-and-match pricing ignored.</x:v>
      </x:c>
    </x:row>
    <x:row r="1512">
      <x:c r="A1512" t="str">
        <x:v>Active Sports Nutrition</x:v>
      </x:c>
      <x:c r="B1512" t="str">
        <x:v>Naughty Boy Lifestyle</x:v>
      </x:c>
      <x:c r="C1512" t="str">
        <x:v>Menace Pre Workout V1</x:v>
      </x:c>
      <x:c r="D1512" t="str">
        <x:v>Pre Workouts</x:v>
      </x:c>
      <x:c r="E1512" t="str">
        <x:v>High Stim</x:v>
      </x:c>
      <x:c r="F1512" t="str">
        <x:v>Legacy Menace pre-workout.</x:v>
      </x:c>
      <x:c r="G1512" t="str">
        <x:v>30 servings</x:v>
      </x:c>
      <x:c r="H1512" t="str">
        <x:v>Pink Lemonade - BBE 11/26</x:v>
      </x:c>
      <x:c r="I1512" t="str"/>
      <x:c r="J1512" t="str">
        <x:v>Unit</x:v>
      </x:c>
      <x:c r="K1512" t="str">
        <x:v>Unavailable - dated clearance</x:v>
      </x:c>
      <x:c r="L1512" t="str">
        <x:v>2026-09-08</x:v>
      </x:c>
      <x:c r="M1512" t="str"/>
      <x:c r="N1512" t="str"/>
      <x:c r="O1512" t="str">
        <x:v>https://www.activesportstrade.co.uk/pre-workouts-powder-trade</x:v>
      </x:c>
      <x:c r="P1512" t="str">
        <x:v>Supplier current listing is explicitly BBE 11/26 / MEGA SPECIAL OFFER. Preserved as dated clearance rather than normal member-orderable.</x:v>
      </x:c>
      <x:c r="Q1512" t="str"/>
      <x:c r="R1512" t="str"/>
      <x:c r="S1512" t="str">
        <x:v>Pending genuine supplier/brand image</x:v>
      </x:c>
      <x:c r="T1512" s="54"/>
      <x:c r="U1512" s="47" t="n">
        <x:v>0.2</x:v>
      </x:c>
      <x:c r="V1512" s="54" t="str">
        <x:f>IF(ISNUMBER(T1512),T1512*(1+U1512),"")</x:f>
      </x:c>
      <x:c r="W1512" s="47" t="n">
        <x:v>0.3</x:v>
      </x:c>
      <x:c r="X1512" s="54" t="str">
        <x:f>IF(ISNUMBER(V1512),V1512/(1-W1512),"")</x:f>
      </x:c>
      <x:c r="Y1512" s="55" t="str">
        <x:f>IF(ISNUMBER(X1512),ROUNDUP(X1512,0),"")</x:f>
      </x:c>
      <x:c r="Z1512" t="str">
        <x:f>IF(ISNUMBER(T1512),"Cost captured","Awaiting trade cost")</x:f>
        <x:v>Awaiting trade cost</x:v>
      </x:c>
      <x:c r="AB1512" s="36" t="str">
        <x:f>IF(ISNUMBER(Y1512),ROUND(Y1512*0.9,2),"")</x:f>
      </x:c>
      <x:c r="AC1512" s="36" t="str">
        <x:f>IF(ISNUMBER(AB1512),ROUND(AB1512-(AB1512*0.015+0.2)-V1512,2),"")</x:f>
      </x:c>
      <x:c r="AD1512" s="36" t="str">
        <x:f>IF(ISNUMBER(Y1512),ROUND(Y1512*0.8,2),"")</x:f>
      </x:c>
      <x:c r="AE1512" s="36" t="str">
        <x:f>IF(ISNUMBER(AD1512),ROUND(AD1512*0.015+0.2,2),"")</x:f>
      </x:c>
      <x:c r="AF1512" s="36" t="str">
        <x:f>IF(ISNUMBER(AD1512),ROUND(AD1512-AE1512-V1512,2),"")</x:f>
      </x:c>
      <x:c r="AG1512" t="str">
        <x:f>IF(NOT(ISNUMBER(T1512)),"PENDING",IF(AF1512&gt;0,"PASS","FAIL"))</x:f>
        <x:v>PENDING</x:v>
      </x:c>
      <x:c r="AH1512" t="str">
        <x:f>IF(NOT(ISNUMBER(T1512)),"Needs supplier cost",IF(K1512&lt;&gt;"In stock","Supplier unavailable",IF(AG1512&lt;&gt;"PASS","BLOCK - GT loss risk","Commercially protected")))</x:f>
        <x:v>Needs supplier cost</x:v>
      </x:c>
      <x:c r="AI1512" t="str">
        <x:v>2026-09-10 Active Sports trade capture</x:v>
      </x:c>
      <x:c r="AJ1512" t="str">
        <x:v>Management-only economics. Stripe stress test uses 1.5% + £0.20 standard UK online-card fee; pallet/mix-and-match pricing ignored.</x:v>
      </x:c>
    </x:row>
    <x:row r="1513">
      <x:c r="A1513" t="str">
        <x:v>Active Sports Nutrition</x:v>
      </x:c>
      <x:c r="B1513" t="str">
        <x:v>Naughty Boy Lifestyle</x:v>
      </x:c>
      <x:c r="C1513" t="str">
        <x:v>Menace V2 Pre Workout</x:v>
      </x:c>
      <x:c r="D1513" t="str">
        <x:v>Pre Workouts</x:v>
      </x:c>
      <x:c r="E1513" t="str">
        <x:v>High Stim</x:v>
      </x:c>
      <x:c r="F1513" t="str">
        <x:v>Pre-workout formula.</x:v>
      </x:c>
      <x:c r="G1513" t="str">
        <x:v>60 / 30 servings</x:v>
      </x:c>
      <x:c r="H1513" t="str">
        <x:v>Blueberry Pineapple</x:v>
      </x:c>
      <x:c r="I1513" t="str"/>
      <x:c r="J1513" t="str">
        <x:v>Unit</x:v>
      </x:c>
      <x:c r="K1513" t="str">
        <x:v>In stock</x:v>
      </x:c>
      <x:c r="L1513" t="str">
        <x:v>2026-09-08</x:v>
      </x:c>
      <x:c r="M1513" t="str"/>
      <x:c r="N1513" t="str"/>
      <x:c r="O1513" t="str">
        <x:v>https://www.activesportstrade.co.uk/pre-workouts-powder-trade</x:v>
      </x:c>
      <x:c r="P1513" t="str"/>
      <x:c r="Q1513" t="str"/>
      <x:c r="R1513" t="str"/>
      <x:c r="S1513" t="str">
        <x:v>Pending genuine supplier/brand image</x:v>
      </x:c>
      <x:c r="T1513" s="54"/>
      <x:c r="U1513" s="47" t="n">
        <x:v>0.2</x:v>
      </x:c>
      <x:c r="V1513" s="54" t="str">
        <x:f>IF(ISNUMBER(T1513),T1513*(1+U1513),"")</x:f>
      </x:c>
      <x:c r="W1513" s="47" t="n">
        <x:v>0.3</x:v>
      </x:c>
      <x:c r="X1513" s="54" t="str">
        <x:f>IF(ISNUMBER(V1513),V1513/(1-W1513),"")</x:f>
      </x:c>
      <x:c r="Y1513" s="55" t="str">
        <x:f>IF(ISNUMBER(X1513),ROUNDUP(X1513,0),"")</x:f>
      </x:c>
      <x:c r="Z1513" t="str">
        <x:f>IF(ISNUMBER(T1513),"Cost captured","Awaiting trade cost")</x:f>
        <x:v>Awaiting trade cost</x:v>
      </x:c>
      <x:c r="AB1513" s="36" t="str">
        <x:f>IF(ISNUMBER(Y1513),ROUND(Y1513*0.9,2),"")</x:f>
      </x:c>
      <x:c r="AC1513" s="36" t="str">
        <x:f>IF(ISNUMBER(AB1513),ROUND(AB1513-(AB1513*0.015+0.2)-V1513,2),"")</x:f>
      </x:c>
      <x:c r="AD1513" s="36" t="str">
        <x:f>IF(ISNUMBER(Y1513),ROUND(Y1513*0.8,2),"")</x:f>
      </x:c>
      <x:c r="AE1513" s="36" t="str">
        <x:f>IF(ISNUMBER(AD1513),ROUND(AD1513*0.015+0.2,2),"")</x:f>
      </x:c>
      <x:c r="AF1513" s="36" t="str">
        <x:f>IF(ISNUMBER(AD1513),ROUND(AD1513-AE1513-V1513,2),"")</x:f>
      </x:c>
      <x:c r="AG1513" t="str">
        <x:f>IF(NOT(ISNUMBER(T1513)),"PENDING",IF(AF1513&gt;0,"PASS","FAIL"))</x:f>
        <x:v>PENDING</x:v>
      </x:c>
      <x:c r="AH1513" t="str">
        <x:f>IF(NOT(ISNUMBER(T1513)),"Needs supplier cost",IF(K1513&lt;&gt;"In stock","Supplier unavailable",IF(AG1513&lt;&gt;"PASS","BLOCK - GT loss risk","Commercially protected")))</x:f>
        <x:v>Needs supplier cost</x:v>
      </x:c>
      <x:c r="AI1513" t="str">
        <x:v>2026-09-10 Active Sports trade capture</x:v>
      </x:c>
      <x:c r="AJ1513" t="str">
        <x:v>Management-only economics. Stripe stress test uses 1.5% + £0.20 standard UK online-card fee; pallet/mix-and-match pricing ignored.</x:v>
      </x:c>
    </x:row>
    <x:row r="1514">
      <x:c r="A1514" t="str">
        <x:v>Active Sports Nutrition</x:v>
      </x:c>
      <x:c r="B1514" t="str">
        <x:v>Naughty Boy Lifestyle</x:v>
      </x:c>
      <x:c r="C1514" t="str">
        <x:v>Menace V2 Pre Workout</x:v>
      </x:c>
      <x:c r="D1514" t="str">
        <x:v>Pre Workouts</x:v>
      </x:c>
      <x:c r="E1514" t="str">
        <x:v>High Stim</x:v>
      </x:c>
      <x:c r="F1514" t="str">
        <x:v>Pre-workout formula.</x:v>
      </x:c>
      <x:c r="G1514" t="str">
        <x:v>60 / 30 servings</x:v>
      </x:c>
      <x:c r="H1514" t="str">
        <x:v>Candy Bubblegum</x:v>
      </x:c>
      <x:c r="I1514" t="str"/>
      <x:c r="J1514" t="str">
        <x:v>Unit</x:v>
      </x:c>
      <x:c r="K1514" t="str">
        <x:v>In stock</x:v>
      </x:c>
      <x:c r="L1514" t="str">
        <x:v>2026-09-08</x:v>
      </x:c>
      <x:c r="M1514" t="str"/>
      <x:c r="N1514" t="str"/>
      <x:c r="O1514" t="str">
        <x:v>https://www.activesportstrade.co.uk/pre-workouts-powder-trade</x:v>
      </x:c>
      <x:c r="P1514" t="str"/>
      <x:c r="Q1514" t="str"/>
      <x:c r="R1514" t="str"/>
      <x:c r="S1514" t="str">
        <x:v>Pending genuine supplier/brand image</x:v>
      </x:c>
      <x:c r="T1514" s="54"/>
      <x:c r="U1514" s="47" t="n">
        <x:v>0.2</x:v>
      </x:c>
      <x:c r="V1514" s="54" t="str">
        <x:f>IF(ISNUMBER(T1514),T1514*(1+U1514),"")</x:f>
      </x:c>
      <x:c r="W1514" s="47" t="n">
        <x:v>0.3</x:v>
      </x:c>
      <x:c r="X1514" s="54" t="str">
        <x:f>IF(ISNUMBER(V1514),V1514/(1-W1514),"")</x:f>
      </x:c>
      <x:c r="Y1514" s="55" t="str">
        <x:f>IF(ISNUMBER(X1514),ROUNDUP(X1514,0),"")</x:f>
      </x:c>
      <x:c r="Z1514" t="str">
        <x:f>IF(ISNUMBER(T1514),"Cost captured","Awaiting trade cost")</x:f>
        <x:v>Awaiting trade cost</x:v>
      </x:c>
      <x:c r="AB1514" s="36" t="str">
        <x:f>IF(ISNUMBER(Y1514),ROUND(Y1514*0.9,2),"")</x:f>
      </x:c>
      <x:c r="AC1514" s="36" t="str">
        <x:f>IF(ISNUMBER(AB1514),ROUND(AB1514-(AB1514*0.015+0.2)-V1514,2),"")</x:f>
      </x:c>
      <x:c r="AD1514" s="36" t="str">
        <x:f>IF(ISNUMBER(Y1514),ROUND(Y1514*0.8,2),"")</x:f>
      </x:c>
      <x:c r="AE1514" s="36" t="str">
        <x:f>IF(ISNUMBER(AD1514),ROUND(AD1514*0.015+0.2,2),"")</x:f>
      </x:c>
      <x:c r="AF1514" s="36" t="str">
        <x:f>IF(ISNUMBER(AD1514),ROUND(AD1514-AE1514-V1514,2),"")</x:f>
      </x:c>
      <x:c r="AG1514" t="str">
        <x:f>IF(NOT(ISNUMBER(T1514)),"PENDING",IF(AF1514&gt;0,"PASS","FAIL"))</x:f>
        <x:v>PENDING</x:v>
      </x:c>
      <x:c r="AH1514" t="str">
        <x:f>IF(NOT(ISNUMBER(T1514)),"Needs supplier cost",IF(K1514&lt;&gt;"In stock","Supplier unavailable",IF(AG1514&lt;&gt;"PASS","BLOCK - GT loss risk","Commercially protected")))</x:f>
        <x:v>Needs supplier cost</x:v>
      </x:c>
      <x:c r="AI1514" t="str">
        <x:v>2026-09-10 Active Sports trade capture</x:v>
      </x:c>
      <x:c r="AJ1514" t="str">
        <x:v>Management-only economics. Stripe stress test uses 1.5% + £0.20 standard UK online-card fee; pallet/mix-and-match pricing ignored.</x:v>
      </x:c>
    </x:row>
    <x:row r="1515">
      <x:c r="A1515" t="str">
        <x:v>Active Sports Nutrition</x:v>
      </x:c>
      <x:c r="B1515" t="str">
        <x:v>Naughty Boy Lifestyle</x:v>
      </x:c>
      <x:c r="C1515" t="str">
        <x:v>Menace V2 Pre Workout</x:v>
      </x:c>
      <x:c r="D1515" t="str">
        <x:v>Pre Workouts</x:v>
      </x:c>
      <x:c r="E1515" t="str">
        <x:v>High Stim</x:v>
      </x:c>
      <x:c r="F1515" t="str">
        <x:v>Pre-workout formula.</x:v>
      </x:c>
      <x:c r="G1515" t="str">
        <x:v>60 / 30 servings</x:v>
      </x:c>
      <x:c r="H1515" t="str">
        <x:v>Cherry Razz</x:v>
      </x:c>
      <x:c r="I1515" t="str"/>
      <x:c r="J1515" t="str">
        <x:v>Unit</x:v>
      </x:c>
      <x:c r="K1515" t="str">
        <x:v>In stock</x:v>
      </x:c>
      <x:c r="L1515" t="str">
        <x:v>2026-09-08</x:v>
      </x:c>
      <x:c r="M1515" t="str"/>
      <x:c r="N1515" t="str"/>
      <x:c r="O1515" t="str">
        <x:v>https://www.activesportstrade.co.uk/pre-workouts-powder-trade</x:v>
      </x:c>
      <x:c r="P1515" t="str"/>
      <x:c r="Q1515" t="str"/>
      <x:c r="R1515" t="str"/>
      <x:c r="S1515" t="str">
        <x:v>Pending genuine supplier/brand image</x:v>
      </x:c>
      <x:c r="T1515" s="54"/>
      <x:c r="U1515" s="47" t="n">
        <x:v>0.2</x:v>
      </x:c>
      <x:c r="V1515" s="54" t="str">
        <x:f>IF(ISNUMBER(T1515),T1515*(1+U1515),"")</x:f>
      </x:c>
      <x:c r="W1515" s="47" t="n">
        <x:v>0.3</x:v>
      </x:c>
      <x:c r="X1515" s="54" t="str">
        <x:f>IF(ISNUMBER(V1515),V1515/(1-W1515),"")</x:f>
      </x:c>
      <x:c r="Y1515" s="55" t="str">
        <x:f>IF(ISNUMBER(X1515),ROUNDUP(X1515,0),"")</x:f>
      </x:c>
      <x:c r="Z1515" t="str">
        <x:f>IF(ISNUMBER(T1515),"Cost captured","Awaiting trade cost")</x:f>
        <x:v>Awaiting trade cost</x:v>
      </x:c>
      <x:c r="AB1515" s="36" t="str">
        <x:f>IF(ISNUMBER(Y1515),ROUND(Y1515*0.9,2),"")</x:f>
      </x:c>
      <x:c r="AC1515" s="36" t="str">
        <x:f>IF(ISNUMBER(AB1515),ROUND(AB1515-(AB1515*0.015+0.2)-V1515,2),"")</x:f>
      </x:c>
      <x:c r="AD1515" s="36" t="str">
        <x:f>IF(ISNUMBER(Y1515),ROUND(Y1515*0.8,2),"")</x:f>
      </x:c>
      <x:c r="AE1515" s="36" t="str">
        <x:f>IF(ISNUMBER(AD1515),ROUND(AD1515*0.015+0.2,2),"")</x:f>
      </x:c>
      <x:c r="AF1515" s="36" t="str">
        <x:f>IF(ISNUMBER(AD1515),ROUND(AD1515-AE1515-V1515,2),"")</x:f>
      </x:c>
      <x:c r="AG1515" t="str">
        <x:f>IF(NOT(ISNUMBER(T1515)),"PENDING",IF(AF1515&gt;0,"PASS","FAIL"))</x:f>
        <x:v>PENDING</x:v>
      </x:c>
      <x:c r="AH1515" t="str">
        <x:f>IF(NOT(ISNUMBER(T1515)),"Needs supplier cost",IF(K1515&lt;&gt;"In stock","Supplier unavailable",IF(AG1515&lt;&gt;"PASS","BLOCK - GT loss risk","Commercially protected")))</x:f>
        <x:v>Needs supplier cost</x:v>
      </x:c>
      <x:c r="AI1515" t="str">
        <x:v>2026-09-10 Active Sports trade capture</x:v>
      </x:c>
      <x:c r="AJ1515" t="str">
        <x:v>Management-only economics. Stripe stress test uses 1.5% + £0.20 standard UK online-card fee; pallet/mix-and-match pricing ignored.</x:v>
      </x:c>
    </x:row>
    <x:row r="1516">
      <x:c r="A1516" t="str">
        <x:v>Active Sports Nutrition</x:v>
      </x:c>
      <x:c r="B1516" t="str">
        <x:v>Naughty Boy Lifestyle</x:v>
      </x:c>
      <x:c r="C1516" t="str">
        <x:v>Menace V2 Pre Workout</x:v>
      </x:c>
      <x:c r="D1516" t="str">
        <x:v>Pre Workouts</x:v>
      </x:c>
      <x:c r="E1516" t="str">
        <x:v>High Stim</x:v>
      </x:c>
      <x:c r="F1516" t="str">
        <x:v>Pre-workout formula.</x:v>
      </x:c>
      <x:c r="G1516" t="str">
        <x:v>60 / 30 servings</x:v>
      </x:c>
      <x:c r="H1516" t="str">
        <x:v>Fizzy Cola Bottles</x:v>
      </x:c>
      <x:c r="I1516" t="str"/>
      <x:c r="J1516" t="str">
        <x:v>Unit</x:v>
      </x:c>
      <x:c r="K1516" t="str">
        <x:v>In stock</x:v>
      </x:c>
      <x:c r="L1516" t="str">
        <x:v>2026-09-08</x:v>
      </x:c>
      <x:c r="M1516" t="str"/>
      <x:c r="N1516" t="str"/>
      <x:c r="O1516" t="str">
        <x:v>https://www.activesportstrade.co.uk/pre-workouts-powder-trade</x:v>
      </x:c>
      <x:c r="P1516" t="str"/>
      <x:c r="Q1516" t="str"/>
      <x:c r="R1516" t="str"/>
      <x:c r="S1516" t="str">
        <x:v>Pending genuine supplier/brand image</x:v>
      </x:c>
      <x:c r="T1516" s="54"/>
      <x:c r="U1516" s="47" t="n">
        <x:v>0.2</x:v>
      </x:c>
      <x:c r="V1516" s="54" t="str">
        <x:f>IF(ISNUMBER(T1516),T1516*(1+U1516),"")</x:f>
      </x:c>
      <x:c r="W1516" s="47" t="n">
        <x:v>0.3</x:v>
      </x:c>
      <x:c r="X1516" s="54" t="str">
        <x:f>IF(ISNUMBER(V1516),V1516/(1-W1516),"")</x:f>
      </x:c>
      <x:c r="Y1516" s="55" t="str">
        <x:f>IF(ISNUMBER(X1516),ROUNDUP(X1516,0),"")</x:f>
      </x:c>
      <x:c r="Z1516" t="str">
        <x:f>IF(ISNUMBER(T1516),"Cost captured","Awaiting trade cost")</x:f>
        <x:v>Awaiting trade cost</x:v>
      </x:c>
      <x:c r="AB1516" s="36" t="str">
        <x:f>IF(ISNUMBER(Y1516),ROUND(Y1516*0.9,2),"")</x:f>
      </x:c>
      <x:c r="AC1516" s="36" t="str">
        <x:f>IF(ISNUMBER(AB1516),ROUND(AB1516-(AB1516*0.015+0.2)-V1516,2),"")</x:f>
      </x:c>
      <x:c r="AD1516" s="36" t="str">
        <x:f>IF(ISNUMBER(Y1516),ROUND(Y1516*0.8,2),"")</x:f>
      </x:c>
      <x:c r="AE1516" s="36" t="str">
        <x:f>IF(ISNUMBER(AD1516),ROUND(AD1516*0.015+0.2,2),"")</x:f>
      </x:c>
      <x:c r="AF1516" s="36" t="str">
        <x:f>IF(ISNUMBER(AD1516),ROUND(AD1516-AE1516-V1516,2),"")</x:f>
      </x:c>
      <x:c r="AG1516" t="str">
        <x:f>IF(NOT(ISNUMBER(T1516)),"PENDING",IF(AF1516&gt;0,"PASS","FAIL"))</x:f>
        <x:v>PENDING</x:v>
      </x:c>
      <x:c r="AH1516" t="str">
        <x:f>IF(NOT(ISNUMBER(T1516)),"Needs supplier cost",IF(K1516&lt;&gt;"In stock","Supplier unavailable",IF(AG1516&lt;&gt;"PASS","BLOCK - GT loss risk","Commercially protected")))</x:f>
        <x:v>Needs supplier cost</x:v>
      </x:c>
      <x:c r="AI1516" t="str">
        <x:v>2026-09-10 Active Sports trade capture</x:v>
      </x:c>
      <x:c r="AJ1516" t="str">
        <x:v>Management-only economics. Stripe stress test uses 1.5% + £0.20 standard UK online-card fee; pallet/mix-and-match pricing ignored.</x:v>
      </x:c>
    </x:row>
    <x:row r="1517">
      <x:c r="A1517" t="str">
        <x:v>Active Sports Nutrition</x:v>
      </x:c>
      <x:c r="B1517" t="str">
        <x:v>Naughty Boy Lifestyle</x:v>
      </x:c>
      <x:c r="C1517" t="str">
        <x:v>Menace V2 Pre Workout</x:v>
      </x:c>
      <x:c r="D1517" t="str">
        <x:v>Pre Workouts</x:v>
      </x:c>
      <x:c r="E1517" t="str">
        <x:v>High Stim</x:v>
      </x:c>
      <x:c r="F1517" t="str">
        <x:v>Pre-workout formula.</x:v>
      </x:c>
      <x:c r="G1517" t="str">
        <x:v>60 / 30 servings</x:v>
      </x:c>
      <x:c r="H1517" t="str">
        <x:v>Fruit Twist</x:v>
      </x:c>
      <x:c r="I1517" t="str"/>
      <x:c r="J1517" t="str">
        <x:v>Unit</x:v>
      </x:c>
      <x:c r="K1517" t="str">
        <x:v>In stock</x:v>
      </x:c>
      <x:c r="L1517" t="str">
        <x:v>2026-09-08</x:v>
      </x:c>
      <x:c r="M1517" t="str"/>
      <x:c r="N1517" t="str"/>
      <x:c r="O1517" t="str">
        <x:v>https://www.activesportstrade.co.uk/pre-workouts-powder-trade</x:v>
      </x:c>
      <x:c r="P1517" t="str"/>
      <x:c r="Q1517" t="str"/>
      <x:c r="R1517" t="str"/>
      <x:c r="S1517" t="str">
        <x:v>Pending genuine supplier/brand image</x:v>
      </x:c>
      <x:c r="T1517" s="54"/>
      <x:c r="U1517" s="47" t="n">
        <x:v>0.2</x:v>
      </x:c>
      <x:c r="V1517" s="54" t="str">
        <x:f>IF(ISNUMBER(T1517),T1517*(1+U1517),"")</x:f>
      </x:c>
      <x:c r="W1517" s="47" t="n">
        <x:v>0.3</x:v>
      </x:c>
      <x:c r="X1517" s="54" t="str">
        <x:f>IF(ISNUMBER(V1517),V1517/(1-W1517),"")</x:f>
      </x:c>
      <x:c r="Y1517" s="55" t="str">
        <x:f>IF(ISNUMBER(X1517),ROUNDUP(X1517,0),"")</x:f>
      </x:c>
      <x:c r="Z1517" t="str">
        <x:f>IF(ISNUMBER(T1517),"Cost captured","Awaiting trade cost")</x:f>
        <x:v>Awaiting trade cost</x:v>
      </x:c>
      <x:c r="AB1517" s="36" t="str">
        <x:f>IF(ISNUMBER(Y1517),ROUND(Y1517*0.9,2),"")</x:f>
      </x:c>
      <x:c r="AC1517" s="36" t="str">
        <x:f>IF(ISNUMBER(AB1517),ROUND(AB1517-(AB1517*0.015+0.2)-V1517,2),"")</x:f>
      </x:c>
      <x:c r="AD1517" s="36" t="str">
        <x:f>IF(ISNUMBER(Y1517),ROUND(Y1517*0.8,2),"")</x:f>
      </x:c>
      <x:c r="AE1517" s="36" t="str">
        <x:f>IF(ISNUMBER(AD1517),ROUND(AD1517*0.015+0.2,2),"")</x:f>
      </x:c>
      <x:c r="AF1517" s="36" t="str">
        <x:f>IF(ISNUMBER(AD1517),ROUND(AD1517-AE1517-V1517,2),"")</x:f>
      </x:c>
      <x:c r="AG1517" t="str">
        <x:f>IF(NOT(ISNUMBER(T1517)),"PENDING",IF(AF1517&gt;0,"PASS","FAIL"))</x:f>
        <x:v>PENDING</x:v>
      </x:c>
      <x:c r="AH1517" t="str">
        <x:f>IF(NOT(ISNUMBER(T1517)),"Needs supplier cost",IF(K1517&lt;&gt;"In stock","Supplier unavailable",IF(AG1517&lt;&gt;"PASS","BLOCK - GT loss risk","Commercially protected")))</x:f>
        <x:v>Needs supplier cost</x:v>
      </x:c>
      <x:c r="AI1517" t="str">
        <x:v>2026-09-10 Active Sports trade capture</x:v>
      </x:c>
      <x:c r="AJ1517" t="str">
        <x:v>Management-only economics. Stripe stress test uses 1.5% + £0.20 standard UK online-card fee; pallet/mix-and-match pricing ignored.</x:v>
      </x:c>
    </x:row>
    <x:row r="1518">
      <x:c r="A1518" t="str">
        <x:v>Active Sports Nutrition</x:v>
      </x:c>
      <x:c r="B1518" t="str">
        <x:v>Naughty Boy Lifestyle</x:v>
      </x:c>
      <x:c r="C1518" t="str">
        <x:v>Menace V2 Pre Workout</x:v>
      </x:c>
      <x:c r="D1518" t="str">
        <x:v>Pre Workouts</x:v>
      </x:c>
      <x:c r="E1518" t="str">
        <x:v>High Stim</x:v>
      </x:c>
      <x:c r="F1518" t="str">
        <x:v>Pre-workout formula.</x:v>
      </x:c>
      <x:c r="G1518" t="str">
        <x:v>60 / 30 servings</x:v>
      </x:c>
      <x:c r="H1518" t="str">
        <x:v>Gotti Grape</x:v>
      </x:c>
      <x:c r="I1518" t="str"/>
      <x:c r="J1518" t="str">
        <x:v>Unit</x:v>
      </x:c>
      <x:c r="K1518" t="str">
        <x:v>In stock</x:v>
      </x:c>
      <x:c r="L1518" t="str">
        <x:v>2026-09-08</x:v>
      </x:c>
      <x:c r="M1518" t="str"/>
      <x:c r="N1518" t="str"/>
      <x:c r="O1518" t="str">
        <x:v>https://www.activesportstrade.co.uk/pre-workouts-powder-trade</x:v>
      </x:c>
      <x:c r="P1518" t="str"/>
      <x:c r="Q1518" t="str"/>
      <x:c r="R1518" t="str"/>
      <x:c r="S1518" t="str">
        <x:v>Pending genuine supplier/brand image</x:v>
      </x:c>
      <x:c r="T1518" s="54"/>
      <x:c r="U1518" s="47" t="n">
        <x:v>0.2</x:v>
      </x:c>
      <x:c r="V1518" s="54" t="str">
        <x:f>IF(ISNUMBER(T1518),T1518*(1+U1518),"")</x:f>
      </x:c>
      <x:c r="W1518" s="47" t="n">
        <x:v>0.3</x:v>
      </x:c>
      <x:c r="X1518" s="54" t="str">
        <x:f>IF(ISNUMBER(V1518),V1518/(1-W1518),"")</x:f>
      </x:c>
      <x:c r="Y1518" s="55" t="str">
        <x:f>IF(ISNUMBER(X1518),ROUNDUP(X1518,0),"")</x:f>
      </x:c>
      <x:c r="Z1518" t="str">
        <x:f>IF(ISNUMBER(T1518),"Cost captured","Awaiting trade cost")</x:f>
        <x:v>Awaiting trade cost</x:v>
      </x:c>
      <x:c r="AB1518" s="36" t="str">
        <x:f>IF(ISNUMBER(Y1518),ROUND(Y1518*0.9,2),"")</x:f>
      </x:c>
      <x:c r="AC1518" s="36" t="str">
        <x:f>IF(ISNUMBER(AB1518),ROUND(AB1518-(AB1518*0.015+0.2)-V1518,2),"")</x:f>
      </x:c>
      <x:c r="AD1518" s="36" t="str">
        <x:f>IF(ISNUMBER(Y1518),ROUND(Y1518*0.8,2),"")</x:f>
      </x:c>
      <x:c r="AE1518" s="36" t="str">
        <x:f>IF(ISNUMBER(AD1518),ROUND(AD1518*0.015+0.2,2),"")</x:f>
      </x:c>
      <x:c r="AF1518" s="36" t="str">
        <x:f>IF(ISNUMBER(AD1518),ROUND(AD1518-AE1518-V1518,2),"")</x:f>
      </x:c>
      <x:c r="AG1518" t="str">
        <x:f>IF(NOT(ISNUMBER(T1518)),"PENDING",IF(AF1518&gt;0,"PASS","FAIL"))</x:f>
        <x:v>PENDING</x:v>
      </x:c>
      <x:c r="AH1518" t="str">
        <x:f>IF(NOT(ISNUMBER(T1518)),"Needs supplier cost",IF(K1518&lt;&gt;"In stock","Supplier unavailable",IF(AG1518&lt;&gt;"PASS","BLOCK - GT loss risk","Commercially protected")))</x:f>
        <x:v>Needs supplier cost</x:v>
      </x:c>
      <x:c r="AI1518" t="str">
        <x:v>2026-09-10 Active Sports trade capture</x:v>
      </x:c>
      <x:c r="AJ1518" t="str">
        <x:v>Management-only economics. Stripe stress test uses 1.5% + £0.20 standard UK online-card fee; pallet/mix-and-match pricing ignored.</x:v>
      </x:c>
    </x:row>
    <x:row r="1519">
      <x:c r="A1519" t="str">
        <x:v>Active Sports Nutrition</x:v>
      </x:c>
      <x:c r="B1519" t="str">
        <x:v>Naughty Boy Lifestyle</x:v>
      </x:c>
      <x:c r="C1519" t="str">
        <x:v>Menace V2 Pre Workout</x:v>
      </x:c>
      <x:c r="D1519" t="str">
        <x:v>Pre Workouts</x:v>
      </x:c>
      <x:c r="E1519" t="str">
        <x:v>High Stim</x:v>
      </x:c>
      <x:c r="F1519" t="str">
        <x:v>Pre-workout formula.</x:v>
      </x:c>
      <x:c r="G1519" t="str">
        <x:v>60 / 30 servings</x:v>
      </x:c>
      <x:c r="H1519" t="str">
        <x:v>Pina Colada</x:v>
      </x:c>
      <x:c r="I1519" t="str"/>
      <x:c r="J1519" t="str">
        <x:v>Unit</x:v>
      </x:c>
      <x:c r="K1519" t="str">
        <x:v>In stock</x:v>
      </x:c>
      <x:c r="L1519" t="str">
        <x:v>2026-09-08</x:v>
      </x:c>
      <x:c r="M1519" t="str"/>
      <x:c r="N1519" t="str"/>
      <x:c r="O1519" t="str">
        <x:v>https://www.activesportstrade.co.uk/pre-workouts-powder-trade</x:v>
      </x:c>
      <x:c r="P1519" t="str"/>
      <x:c r="Q1519" t="str"/>
      <x:c r="R1519" t="str"/>
      <x:c r="S1519" t="str">
        <x:v>Pending genuine supplier/brand image</x:v>
      </x:c>
      <x:c r="T1519" s="54"/>
      <x:c r="U1519" s="47" t="n">
        <x:v>0.2</x:v>
      </x:c>
      <x:c r="V1519" s="54" t="str">
        <x:f>IF(ISNUMBER(T1519),T1519*(1+U1519),"")</x:f>
      </x:c>
      <x:c r="W1519" s="47" t="n">
        <x:v>0.3</x:v>
      </x:c>
      <x:c r="X1519" s="54" t="str">
        <x:f>IF(ISNUMBER(V1519),V1519/(1-W1519),"")</x:f>
      </x:c>
      <x:c r="Y1519" s="55" t="str">
        <x:f>IF(ISNUMBER(X1519),ROUNDUP(X1519,0),"")</x:f>
      </x:c>
      <x:c r="Z1519" t="str">
        <x:f>IF(ISNUMBER(T1519),"Cost captured","Awaiting trade cost")</x:f>
        <x:v>Awaiting trade cost</x:v>
      </x:c>
      <x:c r="AB1519" s="36" t="str">
        <x:f>IF(ISNUMBER(Y1519),ROUND(Y1519*0.9,2),"")</x:f>
      </x:c>
      <x:c r="AC1519" s="36" t="str">
        <x:f>IF(ISNUMBER(AB1519),ROUND(AB1519-(AB1519*0.015+0.2)-V1519,2),"")</x:f>
      </x:c>
      <x:c r="AD1519" s="36" t="str">
        <x:f>IF(ISNUMBER(Y1519),ROUND(Y1519*0.8,2),"")</x:f>
      </x:c>
      <x:c r="AE1519" s="36" t="str">
        <x:f>IF(ISNUMBER(AD1519),ROUND(AD1519*0.015+0.2,2),"")</x:f>
      </x:c>
      <x:c r="AF1519" s="36" t="str">
        <x:f>IF(ISNUMBER(AD1519),ROUND(AD1519-AE1519-V1519,2),"")</x:f>
      </x:c>
      <x:c r="AG1519" t="str">
        <x:f>IF(NOT(ISNUMBER(T1519)),"PENDING",IF(AF1519&gt;0,"PASS","FAIL"))</x:f>
        <x:v>PENDING</x:v>
      </x:c>
      <x:c r="AH1519" t="str">
        <x:f>IF(NOT(ISNUMBER(T1519)),"Needs supplier cost",IF(K1519&lt;&gt;"In stock","Supplier unavailable",IF(AG1519&lt;&gt;"PASS","BLOCK - GT loss risk","Commercially protected")))</x:f>
        <x:v>Needs supplier cost</x:v>
      </x:c>
      <x:c r="AI1519" t="str">
        <x:v>2026-09-10 Active Sports trade capture</x:v>
      </x:c>
      <x:c r="AJ1519" t="str">
        <x:v>Management-only economics. Stripe stress test uses 1.5% + £0.20 standard UK online-card fee; pallet/mix-and-match pricing ignored.</x:v>
      </x:c>
    </x:row>
    <x:row r="1520">
      <x:c r="A1520" t="str">
        <x:v>Active Sports Nutrition</x:v>
      </x:c>
      <x:c r="B1520" t="str">
        <x:v>Naughty Boy Lifestyle</x:v>
      </x:c>
      <x:c r="C1520" t="str">
        <x:v>Menace V2 Pre Workout</x:v>
      </x:c>
      <x:c r="D1520" t="str">
        <x:v>Pre Workouts</x:v>
      </x:c>
      <x:c r="E1520" t="str">
        <x:v>High Stim</x:v>
      </x:c>
      <x:c r="F1520" t="str">
        <x:v>Pre-workout formula.</x:v>
      </x:c>
      <x:c r="G1520" t="str">
        <x:v>60 / 30 servings</x:v>
      </x:c>
      <x:c r="H1520" t="str">
        <x:v>Pink Lemonade</x:v>
      </x:c>
      <x:c r="I1520" t="str"/>
      <x:c r="J1520" t="str">
        <x:v>Unit</x:v>
      </x:c>
      <x:c r="K1520" t="str">
        <x:v>In stock</x:v>
      </x:c>
      <x:c r="L1520" t="str">
        <x:v>2026-09-08</x:v>
      </x:c>
      <x:c r="M1520" t="str"/>
      <x:c r="N1520" t="str"/>
      <x:c r="O1520" t="str">
        <x:v>https://www.activesportstrade.co.uk/pre-workouts-powder-trade</x:v>
      </x:c>
      <x:c r="P1520" t="str"/>
      <x:c r="Q1520" t="str"/>
      <x:c r="R1520" t="str"/>
      <x:c r="S1520" t="str">
        <x:v>Pending genuine supplier/brand image</x:v>
      </x:c>
      <x:c r="T1520" s="54"/>
      <x:c r="U1520" s="47" t="n">
        <x:v>0.2</x:v>
      </x:c>
      <x:c r="V1520" s="54" t="str">
        <x:f>IF(ISNUMBER(T1520),T1520*(1+U1520),"")</x:f>
      </x:c>
      <x:c r="W1520" s="47" t="n">
        <x:v>0.3</x:v>
      </x:c>
      <x:c r="X1520" s="54" t="str">
        <x:f>IF(ISNUMBER(V1520),V1520/(1-W1520),"")</x:f>
      </x:c>
      <x:c r="Y1520" s="55" t="str">
        <x:f>IF(ISNUMBER(X1520),ROUNDUP(X1520,0),"")</x:f>
      </x:c>
      <x:c r="Z1520" t="str">
        <x:f>IF(ISNUMBER(T1520),"Cost captured","Awaiting trade cost")</x:f>
        <x:v>Awaiting trade cost</x:v>
      </x:c>
      <x:c r="AB1520" s="36" t="str">
        <x:f>IF(ISNUMBER(Y1520),ROUND(Y1520*0.9,2),"")</x:f>
      </x:c>
      <x:c r="AC1520" s="36" t="str">
        <x:f>IF(ISNUMBER(AB1520),ROUND(AB1520-(AB1520*0.015+0.2)-V1520,2),"")</x:f>
      </x:c>
      <x:c r="AD1520" s="36" t="str">
        <x:f>IF(ISNUMBER(Y1520),ROUND(Y1520*0.8,2),"")</x:f>
      </x:c>
      <x:c r="AE1520" s="36" t="str">
        <x:f>IF(ISNUMBER(AD1520),ROUND(AD1520*0.015+0.2,2),"")</x:f>
      </x:c>
      <x:c r="AF1520" s="36" t="str">
        <x:f>IF(ISNUMBER(AD1520),ROUND(AD1520-AE1520-V1520,2),"")</x:f>
      </x:c>
      <x:c r="AG1520" t="str">
        <x:f>IF(NOT(ISNUMBER(T1520)),"PENDING",IF(AF1520&gt;0,"PASS","FAIL"))</x:f>
        <x:v>PENDING</x:v>
      </x:c>
      <x:c r="AH1520" t="str">
        <x:f>IF(NOT(ISNUMBER(T1520)),"Needs supplier cost",IF(K1520&lt;&gt;"In stock","Supplier unavailable",IF(AG1520&lt;&gt;"PASS","BLOCK - GT loss risk","Commercially protected")))</x:f>
        <x:v>Needs supplier cost</x:v>
      </x:c>
      <x:c r="AI1520" t="str">
        <x:v>2026-09-10 Active Sports trade capture</x:v>
      </x:c>
      <x:c r="AJ1520" t="str">
        <x:v>Management-only economics. Stripe stress test uses 1.5% + £0.20 standard UK online-card fee; pallet/mix-and-match pricing ignored.</x:v>
      </x:c>
    </x:row>
    <x:row r="1521">
      <x:c r="A1521" t="str">
        <x:v>Active Sports Nutrition</x:v>
      </x:c>
      <x:c r="B1521" t="str">
        <x:v>Naughty Boy Lifestyle</x:v>
      </x:c>
      <x:c r="C1521" t="str">
        <x:v>Menace V2 Pre Workout</x:v>
      </x:c>
      <x:c r="D1521" t="str">
        <x:v>Pre Workouts</x:v>
      </x:c>
      <x:c r="E1521" t="str">
        <x:v>High Stim</x:v>
      </x:c>
      <x:c r="F1521" t="str">
        <x:v>Pre-workout formula.</x:v>
      </x:c>
      <x:c r="G1521" t="str">
        <x:v>60 / 30 servings</x:v>
      </x:c>
      <x:c r="H1521" t="str">
        <x:v>Sour Apple</x:v>
      </x:c>
      <x:c r="I1521" t="str"/>
      <x:c r="J1521" t="str">
        <x:v>Unit</x:v>
      </x:c>
      <x:c r="K1521" t="str">
        <x:v>In stock</x:v>
      </x:c>
      <x:c r="L1521" t="str">
        <x:v>2026-09-08</x:v>
      </x:c>
      <x:c r="M1521" t="str"/>
      <x:c r="N1521" t="str"/>
      <x:c r="O1521" t="str">
        <x:v>https://www.activesportstrade.co.uk/pre-workouts-powder-trade</x:v>
      </x:c>
      <x:c r="P1521" t="str"/>
      <x:c r="Q1521" t="str"/>
      <x:c r="R1521" t="str"/>
      <x:c r="S1521" t="str">
        <x:v>Pending genuine supplier/brand image</x:v>
      </x:c>
      <x:c r="T1521" s="54"/>
      <x:c r="U1521" s="47" t="n">
        <x:v>0.2</x:v>
      </x:c>
      <x:c r="V1521" s="54" t="str">
        <x:f>IF(ISNUMBER(T1521),T1521*(1+U1521),"")</x:f>
      </x:c>
      <x:c r="W1521" s="47" t="n">
        <x:v>0.3</x:v>
      </x:c>
      <x:c r="X1521" s="54" t="str">
        <x:f>IF(ISNUMBER(V1521),V1521/(1-W1521),"")</x:f>
      </x:c>
      <x:c r="Y1521" s="55" t="str">
        <x:f>IF(ISNUMBER(X1521),ROUNDUP(X1521,0),"")</x:f>
      </x:c>
      <x:c r="Z1521" t="str">
        <x:f>IF(ISNUMBER(T1521),"Cost captured","Awaiting trade cost")</x:f>
        <x:v>Awaiting trade cost</x:v>
      </x:c>
      <x:c r="AB1521" s="36" t="str">
        <x:f>IF(ISNUMBER(Y1521),ROUND(Y1521*0.9,2),"")</x:f>
      </x:c>
      <x:c r="AC1521" s="36" t="str">
        <x:f>IF(ISNUMBER(AB1521),ROUND(AB1521-(AB1521*0.015+0.2)-V1521,2),"")</x:f>
      </x:c>
      <x:c r="AD1521" s="36" t="str">
        <x:f>IF(ISNUMBER(Y1521),ROUND(Y1521*0.8,2),"")</x:f>
      </x:c>
      <x:c r="AE1521" s="36" t="str">
        <x:f>IF(ISNUMBER(AD1521),ROUND(AD1521*0.015+0.2,2),"")</x:f>
      </x:c>
      <x:c r="AF1521" s="36" t="str">
        <x:f>IF(ISNUMBER(AD1521),ROUND(AD1521-AE1521-V1521,2),"")</x:f>
      </x:c>
      <x:c r="AG1521" t="str">
        <x:f>IF(NOT(ISNUMBER(T1521)),"PENDING",IF(AF1521&gt;0,"PASS","FAIL"))</x:f>
        <x:v>PENDING</x:v>
      </x:c>
      <x:c r="AH1521" t="str">
        <x:f>IF(NOT(ISNUMBER(T1521)),"Needs supplier cost",IF(K1521&lt;&gt;"In stock","Supplier unavailable",IF(AG1521&lt;&gt;"PASS","BLOCK - GT loss risk","Commercially protected")))</x:f>
        <x:v>Needs supplier cost</x:v>
      </x:c>
      <x:c r="AI1521" t="str">
        <x:v>2026-09-10 Active Sports trade capture</x:v>
      </x:c>
      <x:c r="AJ1521" t="str">
        <x:v>Management-only economics. Stripe stress test uses 1.5% + £0.20 standard UK online-card fee; pallet/mix-and-match pricing ignored.</x:v>
      </x:c>
    </x:row>
    <x:row r="1522">
      <x:c r="A1522" t="str">
        <x:v>Active Sports Nutrition</x:v>
      </x:c>
      <x:c r="B1522" t="str">
        <x:v>Naughty Boy Lifestyle</x:v>
      </x:c>
      <x:c r="C1522" t="str">
        <x:v>Menace V2 Pre Workout</x:v>
      </x:c>
      <x:c r="D1522" t="str">
        <x:v>Pre Workouts</x:v>
      </x:c>
      <x:c r="E1522" t="str">
        <x:v>High Stim</x:v>
      </x:c>
      <x:c r="F1522" t="str">
        <x:v>Pre-workout formula.</x:v>
      </x:c>
      <x:c r="G1522" t="str">
        <x:v>60 / 30 servings</x:v>
      </x:c>
      <x:c r="H1522" t="str">
        <x:v>Sour Blue Razz</x:v>
      </x:c>
      <x:c r="I1522" t="str"/>
      <x:c r="J1522" t="str">
        <x:v>Unit</x:v>
      </x:c>
      <x:c r="K1522" t="str">
        <x:v>In stock</x:v>
      </x:c>
      <x:c r="L1522" t="str">
        <x:v>2026-09-08</x:v>
      </x:c>
      <x:c r="M1522" t="str"/>
      <x:c r="N1522" t="str"/>
      <x:c r="O1522" t="str">
        <x:v>https://www.activesportstrade.co.uk/pre-workouts-powder-trade</x:v>
      </x:c>
      <x:c r="P1522" t="str"/>
      <x:c r="Q1522" t="str"/>
      <x:c r="R1522" t="str"/>
      <x:c r="S1522" t="str">
        <x:v>Pending genuine supplier/brand image</x:v>
      </x:c>
      <x:c r="T1522" s="54"/>
      <x:c r="U1522" s="47" t="n">
        <x:v>0.2</x:v>
      </x:c>
      <x:c r="V1522" s="54" t="str">
        <x:f>IF(ISNUMBER(T1522),T1522*(1+U1522),"")</x:f>
      </x:c>
      <x:c r="W1522" s="47" t="n">
        <x:v>0.3</x:v>
      </x:c>
      <x:c r="X1522" s="54" t="str">
        <x:f>IF(ISNUMBER(V1522),V1522/(1-W1522),"")</x:f>
      </x:c>
      <x:c r="Y1522" s="55" t="str">
        <x:f>IF(ISNUMBER(X1522),ROUNDUP(X1522,0),"")</x:f>
      </x:c>
      <x:c r="Z1522" t="str">
        <x:f>IF(ISNUMBER(T1522),"Cost captured","Awaiting trade cost")</x:f>
        <x:v>Awaiting trade cost</x:v>
      </x:c>
      <x:c r="AB1522" s="36" t="str">
        <x:f>IF(ISNUMBER(Y1522),ROUND(Y1522*0.9,2),"")</x:f>
      </x:c>
      <x:c r="AC1522" s="36" t="str">
        <x:f>IF(ISNUMBER(AB1522),ROUND(AB1522-(AB1522*0.015+0.2)-V1522,2),"")</x:f>
      </x:c>
      <x:c r="AD1522" s="36" t="str">
        <x:f>IF(ISNUMBER(Y1522),ROUND(Y1522*0.8,2),"")</x:f>
      </x:c>
      <x:c r="AE1522" s="36" t="str">
        <x:f>IF(ISNUMBER(AD1522),ROUND(AD1522*0.015+0.2,2),"")</x:f>
      </x:c>
      <x:c r="AF1522" s="36" t="str">
        <x:f>IF(ISNUMBER(AD1522),ROUND(AD1522-AE1522-V1522,2),"")</x:f>
      </x:c>
      <x:c r="AG1522" t="str">
        <x:f>IF(NOT(ISNUMBER(T1522)),"PENDING",IF(AF1522&gt;0,"PASS","FAIL"))</x:f>
        <x:v>PENDING</x:v>
      </x:c>
      <x:c r="AH1522" t="str">
        <x:f>IF(NOT(ISNUMBER(T1522)),"Needs supplier cost",IF(K1522&lt;&gt;"In stock","Supplier unavailable",IF(AG1522&lt;&gt;"PASS","BLOCK - GT loss risk","Commercially protected")))</x:f>
        <x:v>Needs supplier cost</x:v>
      </x:c>
      <x:c r="AI1522" t="str">
        <x:v>2026-09-10 Active Sports trade capture</x:v>
      </x:c>
      <x:c r="AJ1522" t="str">
        <x:v>Management-only economics. Stripe stress test uses 1.5% + £0.20 standard UK online-card fee; pallet/mix-and-match pricing ignored.</x:v>
      </x:c>
    </x:row>
    <x:row r="1523">
      <x:c r="A1523" t="str">
        <x:v>Active Sports Nutrition</x:v>
      </x:c>
      <x:c r="B1523" t="str">
        <x:v>Naughty Boy Lifestyle</x:v>
      </x:c>
      <x:c r="C1523" t="str">
        <x:v>Menace V2 Pre Workout</x:v>
      </x:c>
      <x:c r="D1523" t="str">
        <x:v>Pre Workouts</x:v>
      </x:c>
      <x:c r="E1523" t="str">
        <x:v>High Stim</x:v>
      </x:c>
      <x:c r="F1523" t="str">
        <x:v>Pre-workout formula.</x:v>
      </x:c>
      <x:c r="G1523" t="str">
        <x:v>60 / 30 servings</x:v>
      </x:c>
      <x:c r="H1523" t="str">
        <x:v>Sour Gummy Bear</x:v>
      </x:c>
      <x:c r="I1523" t="str"/>
      <x:c r="J1523" t="str">
        <x:v>Unit</x:v>
      </x:c>
      <x:c r="K1523" t="str">
        <x:v>In stock</x:v>
      </x:c>
      <x:c r="L1523" t="str">
        <x:v>2026-09-08</x:v>
      </x:c>
      <x:c r="M1523" t="str"/>
      <x:c r="N1523" t="str"/>
      <x:c r="O1523" t="str">
        <x:v>https://www.activesportstrade.co.uk/pre-workouts-powder-trade</x:v>
      </x:c>
      <x:c r="P1523" t="str"/>
      <x:c r="Q1523" t="str"/>
      <x:c r="R1523" t="str"/>
      <x:c r="S1523" t="str">
        <x:v>Pending genuine supplier/brand image</x:v>
      </x:c>
      <x:c r="T1523" s="54"/>
      <x:c r="U1523" s="47" t="n">
        <x:v>0.2</x:v>
      </x:c>
      <x:c r="V1523" s="54" t="str">
        <x:f>IF(ISNUMBER(T1523),T1523*(1+U1523),"")</x:f>
      </x:c>
      <x:c r="W1523" s="47" t="n">
        <x:v>0.3</x:v>
      </x:c>
      <x:c r="X1523" s="54" t="str">
        <x:f>IF(ISNUMBER(V1523),V1523/(1-W1523),"")</x:f>
      </x:c>
      <x:c r="Y1523" s="55" t="str">
        <x:f>IF(ISNUMBER(X1523),ROUNDUP(X1523,0),"")</x:f>
      </x:c>
      <x:c r="Z1523" t="str">
        <x:f>IF(ISNUMBER(T1523),"Cost captured","Awaiting trade cost")</x:f>
        <x:v>Awaiting trade cost</x:v>
      </x:c>
      <x:c r="AB1523" s="36" t="str">
        <x:f>IF(ISNUMBER(Y1523),ROUND(Y1523*0.9,2),"")</x:f>
      </x:c>
      <x:c r="AC1523" s="36" t="str">
        <x:f>IF(ISNUMBER(AB1523),ROUND(AB1523-(AB1523*0.015+0.2)-V1523,2),"")</x:f>
      </x:c>
      <x:c r="AD1523" s="36" t="str">
        <x:f>IF(ISNUMBER(Y1523),ROUND(Y1523*0.8,2),"")</x:f>
      </x:c>
      <x:c r="AE1523" s="36" t="str">
        <x:f>IF(ISNUMBER(AD1523),ROUND(AD1523*0.015+0.2,2),"")</x:f>
      </x:c>
      <x:c r="AF1523" s="36" t="str">
        <x:f>IF(ISNUMBER(AD1523),ROUND(AD1523-AE1523-V1523,2),"")</x:f>
      </x:c>
      <x:c r="AG1523" t="str">
        <x:f>IF(NOT(ISNUMBER(T1523)),"PENDING",IF(AF1523&gt;0,"PASS","FAIL"))</x:f>
        <x:v>PENDING</x:v>
      </x:c>
      <x:c r="AH1523" t="str">
        <x:f>IF(NOT(ISNUMBER(T1523)),"Needs supplier cost",IF(K1523&lt;&gt;"In stock","Supplier unavailable",IF(AG1523&lt;&gt;"PASS","BLOCK - GT loss risk","Commercially protected")))</x:f>
        <x:v>Needs supplier cost</x:v>
      </x:c>
      <x:c r="AI1523" t="str">
        <x:v>2026-09-10 Active Sports trade capture</x:v>
      </x:c>
      <x:c r="AJ1523" t="str">
        <x:v>Management-only economics. Stripe stress test uses 1.5% + £0.20 standard UK online-card fee; pallet/mix-and-match pricing ignored.</x:v>
      </x:c>
    </x:row>
    <x:row r="1524">
      <x:c r="A1524" t="str">
        <x:v>Active Sports Nutrition</x:v>
      </x:c>
      <x:c r="B1524" t="str">
        <x:v>Naughty Boy Lifestyle</x:v>
      </x:c>
      <x:c r="C1524" t="str">
        <x:v>Menace V2 Pre Workout</x:v>
      </x:c>
      <x:c r="D1524" t="str">
        <x:v>Pre Workouts</x:v>
      </x:c>
      <x:c r="E1524" t="str">
        <x:v>High Stim</x:v>
      </x:c>
      <x:c r="F1524" t="str">
        <x:v>Pre-workout formula.</x:v>
      </x:c>
      <x:c r="G1524" t="str">
        <x:v>60 / 30 servings</x:v>
      </x:c>
      <x:c r="H1524" t="str">
        <x:v>Strawberry Mango</x:v>
      </x:c>
      <x:c r="I1524" t="str"/>
      <x:c r="J1524" t="str">
        <x:v>Unit</x:v>
      </x:c>
      <x:c r="K1524" t="str">
        <x:v>In stock</x:v>
      </x:c>
      <x:c r="L1524" t="str">
        <x:v>2026-09-08</x:v>
      </x:c>
      <x:c r="M1524" t="str"/>
      <x:c r="N1524" t="str"/>
      <x:c r="O1524" t="str">
        <x:v>https://www.activesportstrade.co.uk/pre-workouts-powder-trade</x:v>
      </x:c>
      <x:c r="P1524" t="str"/>
      <x:c r="Q1524" t="str"/>
      <x:c r="R1524" t="str"/>
      <x:c r="S1524" t="str">
        <x:v>Pending genuine supplier/brand image</x:v>
      </x:c>
      <x:c r="T1524" s="54"/>
      <x:c r="U1524" s="47" t="n">
        <x:v>0.2</x:v>
      </x:c>
      <x:c r="V1524" s="54" t="str">
        <x:f>IF(ISNUMBER(T1524),T1524*(1+U1524),"")</x:f>
      </x:c>
      <x:c r="W1524" s="47" t="n">
        <x:v>0.3</x:v>
      </x:c>
      <x:c r="X1524" s="54" t="str">
        <x:f>IF(ISNUMBER(V1524),V1524/(1-W1524),"")</x:f>
      </x:c>
      <x:c r="Y1524" s="55" t="str">
        <x:f>IF(ISNUMBER(X1524),ROUNDUP(X1524,0),"")</x:f>
      </x:c>
      <x:c r="Z1524" t="str">
        <x:f>IF(ISNUMBER(T1524),"Cost captured","Awaiting trade cost")</x:f>
        <x:v>Awaiting trade cost</x:v>
      </x:c>
      <x:c r="AB1524" s="36" t="str">
        <x:f>IF(ISNUMBER(Y1524),ROUND(Y1524*0.9,2),"")</x:f>
      </x:c>
      <x:c r="AC1524" s="36" t="str">
        <x:f>IF(ISNUMBER(AB1524),ROUND(AB1524-(AB1524*0.015+0.2)-V1524,2),"")</x:f>
      </x:c>
      <x:c r="AD1524" s="36" t="str">
        <x:f>IF(ISNUMBER(Y1524),ROUND(Y1524*0.8,2),"")</x:f>
      </x:c>
      <x:c r="AE1524" s="36" t="str">
        <x:f>IF(ISNUMBER(AD1524),ROUND(AD1524*0.015+0.2,2),"")</x:f>
      </x:c>
      <x:c r="AF1524" s="36" t="str">
        <x:f>IF(ISNUMBER(AD1524),ROUND(AD1524-AE1524-V1524,2),"")</x:f>
      </x:c>
      <x:c r="AG1524" t="str">
        <x:f>IF(NOT(ISNUMBER(T1524)),"PENDING",IF(AF1524&gt;0,"PASS","FAIL"))</x:f>
        <x:v>PENDING</x:v>
      </x:c>
      <x:c r="AH1524" t="str">
        <x:f>IF(NOT(ISNUMBER(T1524)),"Needs supplier cost",IF(K1524&lt;&gt;"In stock","Supplier unavailable",IF(AG1524&lt;&gt;"PASS","BLOCK - GT loss risk","Commercially protected")))</x:f>
        <x:v>Needs supplier cost</x:v>
      </x:c>
      <x:c r="AI1524" t="str">
        <x:v>2026-09-10 Active Sports trade capture</x:v>
      </x:c>
      <x:c r="AJ1524" t="str">
        <x:v>Management-only economics. Stripe stress test uses 1.5% + £0.20 standard UK online-card fee; pallet/mix-and-match pricing ignored.</x:v>
      </x:c>
    </x:row>
    <x:row r="1525">
      <x:c r="A1525" t="str">
        <x:v>Active Sports Nutrition</x:v>
      </x:c>
      <x:c r="B1525" t="str">
        <x:v>Naughty Boy Lifestyle</x:v>
      </x:c>
      <x:c r="C1525" t="str">
        <x:v>Menace V2 Pre Workout</x:v>
      </x:c>
      <x:c r="D1525" t="str">
        <x:v>Pre Workouts</x:v>
      </x:c>
      <x:c r="E1525" t="str">
        <x:v>High Stim</x:v>
      </x:c>
      <x:c r="F1525" t="str">
        <x:v>Pre-workout formula.</x:v>
      </x:c>
      <x:c r="G1525" t="str">
        <x:v>60 / 30 servings</x:v>
      </x:c>
      <x:c r="H1525" t="str">
        <x:v>Strawberry Sweets</x:v>
      </x:c>
      <x:c r="I1525" t="str"/>
      <x:c r="J1525" t="str">
        <x:v>Unit</x:v>
      </x:c>
      <x:c r="K1525" t="str">
        <x:v>In stock</x:v>
      </x:c>
      <x:c r="L1525" t="str">
        <x:v>2026-09-08</x:v>
      </x:c>
      <x:c r="M1525" t="str"/>
      <x:c r="N1525" t="str"/>
      <x:c r="O1525" t="str">
        <x:v>https://www.activesportstrade.co.uk/pre-workouts-powder-trade</x:v>
      </x:c>
      <x:c r="P1525" t="str"/>
      <x:c r="Q1525" t="str"/>
      <x:c r="R1525" t="str"/>
      <x:c r="S1525" t="str">
        <x:v>Pending genuine supplier/brand image</x:v>
      </x:c>
      <x:c r="T1525" s="54"/>
      <x:c r="U1525" s="47" t="n">
        <x:v>0.2</x:v>
      </x:c>
      <x:c r="V1525" s="54" t="str">
        <x:f>IF(ISNUMBER(T1525),T1525*(1+U1525),"")</x:f>
      </x:c>
      <x:c r="W1525" s="47" t="n">
        <x:v>0.3</x:v>
      </x:c>
      <x:c r="X1525" s="54" t="str">
        <x:f>IF(ISNUMBER(V1525),V1525/(1-W1525),"")</x:f>
      </x:c>
      <x:c r="Y1525" s="55" t="str">
        <x:f>IF(ISNUMBER(X1525),ROUNDUP(X1525,0),"")</x:f>
      </x:c>
      <x:c r="Z1525" t="str">
        <x:f>IF(ISNUMBER(T1525),"Cost captured","Awaiting trade cost")</x:f>
        <x:v>Awaiting trade cost</x:v>
      </x:c>
      <x:c r="AB1525" s="36" t="str">
        <x:f>IF(ISNUMBER(Y1525),ROUND(Y1525*0.9,2),"")</x:f>
      </x:c>
      <x:c r="AC1525" s="36" t="str">
        <x:f>IF(ISNUMBER(AB1525),ROUND(AB1525-(AB1525*0.015+0.2)-V1525,2),"")</x:f>
      </x:c>
      <x:c r="AD1525" s="36" t="str">
        <x:f>IF(ISNUMBER(Y1525),ROUND(Y1525*0.8,2),"")</x:f>
      </x:c>
      <x:c r="AE1525" s="36" t="str">
        <x:f>IF(ISNUMBER(AD1525),ROUND(AD1525*0.015+0.2,2),"")</x:f>
      </x:c>
      <x:c r="AF1525" s="36" t="str">
        <x:f>IF(ISNUMBER(AD1525),ROUND(AD1525-AE1525-V1525,2),"")</x:f>
      </x:c>
      <x:c r="AG1525" t="str">
        <x:f>IF(NOT(ISNUMBER(T1525)),"PENDING",IF(AF1525&gt;0,"PASS","FAIL"))</x:f>
        <x:v>PENDING</x:v>
      </x:c>
      <x:c r="AH1525" t="str">
        <x:f>IF(NOT(ISNUMBER(T1525)),"Needs supplier cost",IF(K1525&lt;&gt;"In stock","Supplier unavailable",IF(AG1525&lt;&gt;"PASS","BLOCK - GT loss risk","Commercially protected")))</x:f>
        <x:v>Needs supplier cost</x:v>
      </x:c>
      <x:c r="AI1525" t="str">
        <x:v>2026-09-10 Active Sports trade capture</x:v>
      </x:c>
      <x:c r="AJ1525" t="str">
        <x:v>Management-only economics. Stripe stress test uses 1.5% + £0.20 standard UK online-card fee; pallet/mix-and-match pricing ignored.</x:v>
      </x:c>
    </x:row>
    <x:row r="1526">
      <x:c r="A1526" t="str">
        <x:v>Active Sports Nutrition</x:v>
      </x:c>
      <x:c r="B1526" t="str">
        <x:v>Naughty Boy Lifestyle</x:v>
      </x:c>
      <x:c r="C1526" t="str">
        <x:v>Pump</x:v>
      </x:c>
      <x:c r="D1526" t="str">
        <x:v>Pre Workouts</x:v>
      </x:c>
      <x:c r="E1526" t="str">
        <x:v>Stim FREE</x:v>
      </x:c>
      <x:c r="F1526" t="str">
        <x:v>Stim-free pump pre-workout.</x:v>
      </x:c>
      <x:c r="G1526" t="str">
        <x:v>25 servings</x:v>
      </x:c>
      <x:c r="H1526" t="str">
        <x:v>Blue Razz Bon Bon</x:v>
      </x:c>
      <x:c r="I1526" t="str"/>
      <x:c r="J1526" t="str">
        <x:v>Unit</x:v>
      </x:c>
      <x:c r="K1526" t="str">
        <x:v>In stock</x:v>
      </x:c>
      <x:c r="L1526" t="str">
        <x:v>2026-09-08</x:v>
      </x:c>
      <x:c r="M1526" t="str"/>
      <x:c r="N1526" t="str"/>
      <x:c r="O1526" t="str">
        <x:v>https://www.activesportstrade.co.uk/pre-workouts-powder-trade</x:v>
      </x:c>
      <x:c r="P1526" t="str"/>
      <x:c r="Q1526" t="str"/>
      <x:c r="R1526" t="str"/>
      <x:c r="S1526" t="str">
        <x:v>Pending genuine supplier/brand image</x:v>
      </x:c>
      <x:c r="T1526" s="54"/>
      <x:c r="U1526" s="47" t="n">
        <x:v>0.2</x:v>
      </x:c>
      <x:c r="V1526" s="54" t="str">
        <x:f>IF(ISNUMBER(T1526),T1526*(1+U1526),"")</x:f>
      </x:c>
      <x:c r="W1526" s="47" t="n">
        <x:v>0.3</x:v>
      </x:c>
      <x:c r="X1526" s="54" t="str">
        <x:f>IF(ISNUMBER(V1526),V1526/(1-W1526),"")</x:f>
      </x:c>
      <x:c r="Y1526" s="55" t="str">
        <x:f>IF(ISNUMBER(X1526),ROUNDUP(X1526,0),"")</x:f>
      </x:c>
      <x:c r="Z1526" t="str">
        <x:f>IF(ISNUMBER(T1526),"Cost captured","Awaiting trade cost")</x:f>
        <x:v>Awaiting trade cost</x:v>
      </x:c>
      <x:c r="AB1526" s="36" t="str">
        <x:f>IF(ISNUMBER(Y1526),ROUND(Y1526*0.9,2),"")</x:f>
      </x:c>
      <x:c r="AC1526" s="36" t="str">
        <x:f>IF(ISNUMBER(AB1526),ROUND(AB1526-(AB1526*0.015+0.2)-V1526,2),"")</x:f>
      </x:c>
      <x:c r="AD1526" s="36" t="str">
        <x:f>IF(ISNUMBER(Y1526),ROUND(Y1526*0.8,2),"")</x:f>
      </x:c>
      <x:c r="AE1526" s="36" t="str">
        <x:f>IF(ISNUMBER(AD1526),ROUND(AD1526*0.015+0.2,2),"")</x:f>
      </x:c>
      <x:c r="AF1526" s="36" t="str">
        <x:f>IF(ISNUMBER(AD1526),ROUND(AD1526-AE1526-V1526,2),"")</x:f>
      </x:c>
      <x:c r="AG1526" t="str">
        <x:f>IF(NOT(ISNUMBER(T1526)),"PENDING",IF(AF1526&gt;0,"PASS","FAIL"))</x:f>
        <x:v>PENDING</x:v>
      </x:c>
      <x:c r="AH1526" t="str">
        <x:f>IF(NOT(ISNUMBER(T1526)),"Needs supplier cost",IF(K1526&lt;&gt;"In stock","Supplier unavailable",IF(AG1526&lt;&gt;"PASS","BLOCK - GT loss risk","Commercially protected")))</x:f>
        <x:v>Needs supplier cost</x:v>
      </x:c>
      <x:c r="AI1526" t="str">
        <x:v>2026-09-10 Active Sports trade capture</x:v>
      </x:c>
      <x:c r="AJ1526" t="str">
        <x:v>Management-only economics. Stripe stress test uses 1.5% + £0.20 standard UK online-card fee; pallet/mix-and-match pricing ignored.</x:v>
      </x:c>
    </x:row>
    <x:row r="1527">
      <x:c r="A1527" t="str">
        <x:v>Active Sports Nutrition</x:v>
      </x:c>
      <x:c r="B1527" t="str">
        <x:v>Naughty Boy Lifestyle</x:v>
      </x:c>
      <x:c r="C1527" t="str">
        <x:v>Pump</x:v>
      </x:c>
      <x:c r="D1527" t="str">
        <x:v>Pre Workouts</x:v>
      </x:c>
      <x:c r="E1527" t="str">
        <x:v>Stim FREE</x:v>
      </x:c>
      <x:c r="F1527" t="str">
        <x:v>Stim-free pump pre-workout.</x:v>
      </x:c>
      <x:c r="G1527" t="str">
        <x:v>25 servings</x:v>
      </x:c>
      <x:c r="H1527" t="str">
        <x:v>Candy Bubblegum</x:v>
      </x:c>
      <x:c r="I1527" t="str"/>
      <x:c r="J1527" t="str">
        <x:v>Unit</x:v>
      </x:c>
      <x:c r="K1527" t="str">
        <x:v>In stock</x:v>
      </x:c>
      <x:c r="L1527" t="str">
        <x:v>2026-09-08</x:v>
      </x:c>
      <x:c r="M1527" t="str"/>
      <x:c r="N1527" t="str"/>
      <x:c r="O1527" t="str">
        <x:v>https://www.activesportstrade.co.uk/pre-workouts-powder-trade</x:v>
      </x:c>
      <x:c r="P1527" t="str"/>
      <x:c r="Q1527" t="str"/>
      <x:c r="R1527" t="str"/>
      <x:c r="S1527" t="str">
        <x:v>Pending genuine supplier/brand image</x:v>
      </x:c>
      <x:c r="T1527" s="54"/>
      <x:c r="U1527" s="47" t="n">
        <x:v>0.2</x:v>
      </x:c>
      <x:c r="V1527" s="54" t="str">
        <x:f>IF(ISNUMBER(T1527),T1527*(1+U1527),"")</x:f>
      </x:c>
      <x:c r="W1527" s="47" t="n">
        <x:v>0.3</x:v>
      </x:c>
      <x:c r="X1527" s="54" t="str">
        <x:f>IF(ISNUMBER(V1527),V1527/(1-W1527),"")</x:f>
      </x:c>
      <x:c r="Y1527" s="55" t="str">
        <x:f>IF(ISNUMBER(X1527),ROUNDUP(X1527,0),"")</x:f>
      </x:c>
      <x:c r="Z1527" t="str">
        <x:f>IF(ISNUMBER(T1527),"Cost captured","Awaiting trade cost")</x:f>
        <x:v>Awaiting trade cost</x:v>
      </x:c>
      <x:c r="AB1527" s="36" t="str">
        <x:f>IF(ISNUMBER(Y1527),ROUND(Y1527*0.9,2),"")</x:f>
      </x:c>
      <x:c r="AC1527" s="36" t="str">
        <x:f>IF(ISNUMBER(AB1527),ROUND(AB1527-(AB1527*0.015+0.2)-V1527,2),"")</x:f>
      </x:c>
      <x:c r="AD1527" s="36" t="str">
        <x:f>IF(ISNUMBER(Y1527),ROUND(Y1527*0.8,2),"")</x:f>
      </x:c>
      <x:c r="AE1527" s="36" t="str">
        <x:f>IF(ISNUMBER(AD1527),ROUND(AD1527*0.015+0.2,2),"")</x:f>
      </x:c>
      <x:c r="AF1527" s="36" t="str">
        <x:f>IF(ISNUMBER(AD1527),ROUND(AD1527-AE1527-V1527,2),"")</x:f>
      </x:c>
      <x:c r="AG1527" t="str">
        <x:f>IF(NOT(ISNUMBER(T1527)),"PENDING",IF(AF1527&gt;0,"PASS","FAIL"))</x:f>
        <x:v>PENDING</x:v>
      </x:c>
      <x:c r="AH1527" t="str">
        <x:f>IF(NOT(ISNUMBER(T1527)),"Needs supplier cost",IF(K1527&lt;&gt;"In stock","Supplier unavailable",IF(AG1527&lt;&gt;"PASS","BLOCK - GT loss risk","Commercially protected")))</x:f>
        <x:v>Needs supplier cost</x:v>
      </x:c>
      <x:c r="AI1527" t="str">
        <x:v>2026-09-10 Active Sports trade capture</x:v>
      </x:c>
      <x:c r="AJ1527" t="str">
        <x:v>Management-only economics. Stripe stress test uses 1.5% + £0.20 standard UK online-card fee; pallet/mix-and-match pricing ignored.</x:v>
      </x:c>
    </x:row>
    <x:row r="1528">
      <x:c r="A1528" t="str">
        <x:v>Active Sports Nutrition</x:v>
      </x:c>
      <x:c r="B1528" t="str">
        <x:v>Naughty Boy Lifestyle</x:v>
      </x:c>
      <x:c r="C1528" t="str">
        <x:v>Pump</x:v>
      </x:c>
      <x:c r="D1528" t="str">
        <x:v>Pre Workouts</x:v>
      </x:c>
      <x:c r="E1528" t="str">
        <x:v>Stim FREE</x:v>
      </x:c>
      <x:c r="F1528" t="str">
        <x:v>Stim-free pump pre-workout.</x:v>
      </x:c>
      <x:c r="G1528" t="str">
        <x:v>25 servings</x:v>
      </x:c>
      <x:c r="H1528" t="str">
        <x:v>Pineapple Crush</x:v>
      </x:c>
      <x:c r="I1528" t="str"/>
      <x:c r="J1528" t="str">
        <x:v>Unit</x:v>
      </x:c>
      <x:c r="K1528" t="str">
        <x:v>In stock</x:v>
      </x:c>
      <x:c r="L1528" t="str">
        <x:v>2026-09-08</x:v>
      </x:c>
      <x:c r="M1528" t="str"/>
      <x:c r="N1528" t="str"/>
      <x:c r="O1528" t="str">
        <x:v>https://www.activesportstrade.co.uk/pre-workouts-powder-trade</x:v>
      </x:c>
      <x:c r="P1528" t="str"/>
      <x:c r="Q1528" t="str"/>
      <x:c r="R1528" t="str"/>
      <x:c r="S1528" t="str">
        <x:v>Pending genuine supplier/brand image</x:v>
      </x:c>
      <x:c r="T1528" s="54"/>
      <x:c r="U1528" s="47" t="n">
        <x:v>0.2</x:v>
      </x:c>
      <x:c r="V1528" s="54" t="str">
        <x:f>IF(ISNUMBER(T1528),T1528*(1+U1528),"")</x:f>
      </x:c>
      <x:c r="W1528" s="47" t="n">
        <x:v>0.3</x:v>
      </x:c>
      <x:c r="X1528" s="54" t="str">
        <x:f>IF(ISNUMBER(V1528),V1528/(1-W1528),"")</x:f>
      </x:c>
      <x:c r="Y1528" s="55" t="str">
        <x:f>IF(ISNUMBER(X1528),ROUNDUP(X1528,0),"")</x:f>
      </x:c>
      <x:c r="Z1528" t="str">
        <x:f>IF(ISNUMBER(T1528),"Cost captured","Awaiting trade cost")</x:f>
        <x:v>Awaiting trade cost</x:v>
      </x:c>
      <x:c r="AB1528" s="36" t="str">
        <x:f>IF(ISNUMBER(Y1528),ROUND(Y1528*0.9,2),"")</x:f>
      </x:c>
      <x:c r="AC1528" s="36" t="str">
        <x:f>IF(ISNUMBER(AB1528),ROUND(AB1528-(AB1528*0.015+0.2)-V1528,2),"")</x:f>
      </x:c>
      <x:c r="AD1528" s="36" t="str">
        <x:f>IF(ISNUMBER(Y1528),ROUND(Y1528*0.8,2),"")</x:f>
      </x:c>
      <x:c r="AE1528" s="36" t="str">
        <x:f>IF(ISNUMBER(AD1528),ROUND(AD1528*0.015+0.2,2),"")</x:f>
      </x:c>
      <x:c r="AF1528" s="36" t="str">
        <x:f>IF(ISNUMBER(AD1528),ROUND(AD1528-AE1528-V1528,2),"")</x:f>
      </x:c>
      <x:c r="AG1528" t="str">
        <x:f>IF(NOT(ISNUMBER(T1528)),"PENDING",IF(AF1528&gt;0,"PASS","FAIL"))</x:f>
        <x:v>PENDING</x:v>
      </x:c>
      <x:c r="AH1528" t="str">
        <x:f>IF(NOT(ISNUMBER(T1528)),"Needs supplier cost",IF(K1528&lt;&gt;"In stock","Supplier unavailable",IF(AG1528&lt;&gt;"PASS","BLOCK - GT loss risk","Commercially protected")))</x:f>
        <x:v>Needs supplier cost</x:v>
      </x:c>
      <x:c r="AI1528" t="str">
        <x:v>2026-09-10 Active Sports trade capture</x:v>
      </x:c>
      <x:c r="AJ1528" t="str">
        <x:v>Management-only economics. Stripe stress test uses 1.5% + £0.20 standard UK online-card fee; pallet/mix-and-match pricing ignored.</x:v>
      </x:c>
    </x:row>
    <x:row r="1529">
      <x:c r="A1529" t="str">
        <x:v>Active Sports Nutrition</x:v>
      </x:c>
      <x:c r="B1529" t="str">
        <x:v>Naughty Boy Lifestyle</x:v>
      </x:c>
      <x:c r="C1529" t="str">
        <x:v>Pump</x:v>
      </x:c>
      <x:c r="D1529" t="str">
        <x:v>Pre Workouts</x:v>
      </x:c>
      <x:c r="E1529" t="str">
        <x:v>Stim FREE</x:v>
      </x:c>
      <x:c r="F1529" t="str">
        <x:v>Stim-free pump pre-workout.</x:v>
      </x:c>
      <x:c r="G1529" t="str">
        <x:v>25 servings</x:v>
      </x:c>
      <x:c r="H1529" t="str">
        <x:v>Strawberry Mango</x:v>
      </x:c>
      <x:c r="I1529" t="str"/>
      <x:c r="J1529" t="str">
        <x:v>Unit</x:v>
      </x:c>
      <x:c r="K1529" t="str">
        <x:v>In stock</x:v>
      </x:c>
      <x:c r="L1529" t="str">
        <x:v>2026-09-08</x:v>
      </x:c>
      <x:c r="M1529" t="str"/>
      <x:c r="N1529" t="str"/>
      <x:c r="O1529" t="str">
        <x:v>https://www.activesportstrade.co.uk/pre-workouts-powder-trade</x:v>
      </x:c>
      <x:c r="P1529" t="str"/>
      <x:c r="Q1529" t="str"/>
      <x:c r="R1529" t="str"/>
      <x:c r="S1529" t="str">
        <x:v>Pending genuine supplier/brand image</x:v>
      </x:c>
      <x:c r="T1529" s="54"/>
      <x:c r="U1529" s="47" t="n">
        <x:v>0.2</x:v>
      </x:c>
      <x:c r="V1529" s="54" t="str">
        <x:f>IF(ISNUMBER(T1529),T1529*(1+U1529),"")</x:f>
      </x:c>
      <x:c r="W1529" s="47" t="n">
        <x:v>0.3</x:v>
      </x:c>
      <x:c r="X1529" s="54" t="str">
        <x:f>IF(ISNUMBER(V1529),V1529/(1-W1529),"")</x:f>
      </x:c>
      <x:c r="Y1529" s="55" t="str">
        <x:f>IF(ISNUMBER(X1529),ROUNDUP(X1529,0),"")</x:f>
      </x:c>
      <x:c r="Z1529" t="str">
        <x:f>IF(ISNUMBER(T1529),"Cost captured","Awaiting trade cost")</x:f>
        <x:v>Awaiting trade cost</x:v>
      </x:c>
      <x:c r="AB1529" s="36" t="str">
        <x:f>IF(ISNUMBER(Y1529),ROUND(Y1529*0.9,2),"")</x:f>
      </x:c>
      <x:c r="AC1529" s="36" t="str">
        <x:f>IF(ISNUMBER(AB1529),ROUND(AB1529-(AB1529*0.015+0.2)-V1529,2),"")</x:f>
      </x:c>
      <x:c r="AD1529" s="36" t="str">
        <x:f>IF(ISNUMBER(Y1529),ROUND(Y1529*0.8,2),"")</x:f>
      </x:c>
      <x:c r="AE1529" s="36" t="str">
        <x:f>IF(ISNUMBER(AD1529),ROUND(AD1529*0.015+0.2,2),"")</x:f>
      </x:c>
      <x:c r="AF1529" s="36" t="str">
        <x:f>IF(ISNUMBER(AD1529),ROUND(AD1529-AE1529-V1529,2),"")</x:f>
      </x:c>
      <x:c r="AG1529" t="str">
        <x:f>IF(NOT(ISNUMBER(T1529)),"PENDING",IF(AF1529&gt;0,"PASS","FAIL"))</x:f>
        <x:v>PENDING</x:v>
      </x:c>
      <x:c r="AH1529" t="str">
        <x:f>IF(NOT(ISNUMBER(T1529)),"Needs supplier cost",IF(K1529&lt;&gt;"In stock","Supplier unavailable",IF(AG1529&lt;&gt;"PASS","BLOCK - GT loss risk","Commercially protected")))</x:f>
        <x:v>Needs supplier cost</x:v>
      </x:c>
      <x:c r="AI1529" t="str">
        <x:v>2026-09-10 Active Sports trade capture</x:v>
      </x:c>
      <x:c r="AJ1529" t="str">
        <x:v>Management-only economics. Stripe stress test uses 1.5% + £0.20 standard UK online-card fee; pallet/mix-and-match pricing ignored.</x:v>
      </x:c>
    </x:row>
    <x:row r="1530">
      <x:c r="A1530" t="str">
        <x:v>Active Sports Nutrition</x:v>
      </x:c>
      <x:c r="B1530" t="str">
        <x:v>Naughty Boy Lifestyle</x:v>
      </x:c>
      <x:c r="C1530" t="str">
        <x:v>Pump</x:v>
      </x:c>
      <x:c r="D1530" t="str">
        <x:v>Pre Workouts</x:v>
      </x:c>
      <x:c r="E1530" t="str">
        <x:v>Stim FREE</x:v>
      </x:c>
      <x:c r="F1530" t="str">
        <x:v>Stim-free pump pre-workout.</x:v>
      </x:c>
      <x:c r="G1530" t="str">
        <x:v>25 servings</x:v>
      </x:c>
      <x:c r="H1530" t="str">
        <x:v>Tropical Punch</x:v>
      </x:c>
      <x:c r="I1530" t="str"/>
      <x:c r="J1530" t="str">
        <x:v>Unit</x:v>
      </x:c>
      <x:c r="K1530" t="str">
        <x:v>Out of stock</x:v>
      </x:c>
      <x:c r="L1530" t="str">
        <x:v>2026-09-08</x:v>
      </x:c>
      <x:c r="M1530" t="str"/>
      <x:c r="N1530" t="str"/>
      <x:c r="O1530" t="str">
        <x:v>https://www.activesportstrade.co.uk/pre-workouts-powder-trade</x:v>
      </x:c>
      <x:c r="P1530" t="str"/>
      <x:c r="Q1530" t="str"/>
      <x:c r="R1530" t="str"/>
      <x:c r="S1530" t="str">
        <x:v>Pending genuine supplier/brand image</x:v>
      </x:c>
      <x:c r="T1530" s="54"/>
      <x:c r="U1530" s="47" t="n">
        <x:v>0.2</x:v>
      </x:c>
      <x:c r="V1530" s="54" t="str">
        <x:f>IF(ISNUMBER(T1530),T1530*(1+U1530),"")</x:f>
      </x:c>
      <x:c r="W1530" s="47" t="n">
        <x:v>0.3</x:v>
      </x:c>
      <x:c r="X1530" s="54" t="str">
        <x:f>IF(ISNUMBER(V1530),V1530/(1-W1530),"")</x:f>
      </x:c>
      <x:c r="Y1530" s="55" t="str">
        <x:f>IF(ISNUMBER(X1530),ROUNDUP(X1530,0),"")</x:f>
      </x:c>
      <x:c r="Z1530" t="str">
        <x:f>IF(ISNUMBER(T1530),"Cost captured","Awaiting trade cost")</x:f>
        <x:v>Awaiting trade cost</x:v>
      </x:c>
      <x:c r="AB1530" s="36" t="str">
        <x:f>IF(ISNUMBER(Y1530),ROUND(Y1530*0.9,2),"")</x:f>
      </x:c>
      <x:c r="AC1530" s="36" t="str">
        <x:f>IF(ISNUMBER(AB1530),ROUND(AB1530-(AB1530*0.015+0.2)-V1530,2),"")</x:f>
      </x:c>
      <x:c r="AD1530" s="36" t="str">
        <x:f>IF(ISNUMBER(Y1530),ROUND(Y1530*0.8,2),"")</x:f>
      </x:c>
      <x:c r="AE1530" s="36" t="str">
        <x:f>IF(ISNUMBER(AD1530),ROUND(AD1530*0.015+0.2,2),"")</x:f>
      </x:c>
      <x:c r="AF1530" s="36" t="str">
        <x:f>IF(ISNUMBER(AD1530),ROUND(AD1530-AE1530-V1530,2),"")</x:f>
      </x:c>
      <x:c r="AG1530" t="str">
        <x:f>IF(NOT(ISNUMBER(T1530)),"PENDING",IF(AF1530&gt;0,"PASS","FAIL"))</x:f>
        <x:v>PENDING</x:v>
      </x:c>
      <x:c r="AH1530" t="str">
        <x:f>IF(NOT(ISNUMBER(T1530)),"Needs supplier cost",IF(K1530&lt;&gt;"In stock","Supplier unavailable",IF(AG1530&lt;&gt;"PASS","BLOCK - GT loss risk","Commercially protected")))</x:f>
        <x:v>Needs supplier cost</x:v>
      </x:c>
      <x:c r="AI1530" t="str">
        <x:v>2026-09-10 Active Sports trade capture</x:v>
      </x:c>
      <x:c r="AJ1530" t="str">
        <x:v>Management-only economics. Stripe stress test uses 1.5% + £0.20 standard UK online-card fee; pallet/mix-and-match pricing ignored.</x:v>
      </x:c>
    </x:row>
    <x:row r="1531">
      <x:c r="A1531" t="str">
        <x:v>Active Sports Nutrition</x:v>
      </x:c>
      <x:c r="B1531" t="str">
        <x:v>Naughty Boy Lifestyle</x:v>
      </x:c>
      <x:c r="C1531" t="str">
        <x:v>Pump</x:v>
      </x:c>
      <x:c r="D1531" t="str">
        <x:v>Pre Workouts</x:v>
      </x:c>
      <x:c r="E1531" t="str">
        <x:v>Stim FREE</x:v>
      </x:c>
      <x:c r="F1531" t="str">
        <x:v>Stim-free pump pre-workout.</x:v>
      </x:c>
      <x:c r="G1531" t="str">
        <x:v>25 servings</x:v>
      </x:c>
      <x:c r="H1531" t="str">
        <x:v>Ultra Energy</x:v>
      </x:c>
      <x:c r="I1531" t="str"/>
      <x:c r="J1531" t="str">
        <x:v>Unit</x:v>
      </x:c>
      <x:c r="K1531" t="str">
        <x:v>In stock</x:v>
      </x:c>
      <x:c r="L1531" t="str">
        <x:v>2026-09-08</x:v>
      </x:c>
      <x:c r="M1531" t="str"/>
      <x:c r="N1531" t="str"/>
      <x:c r="O1531" t="str">
        <x:v>https://www.activesportstrade.co.uk/pre-workouts-powder-trade</x:v>
      </x:c>
      <x:c r="P1531" t="str"/>
      <x:c r="Q1531" t="str"/>
      <x:c r="R1531" t="str"/>
      <x:c r="S1531" t="str">
        <x:v>Pending genuine supplier/brand image</x:v>
      </x:c>
      <x:c r="T1531" s="54"/>
      <x:c r="U1531" s="47" t="n">
        <x:v>0.2</x:v>
      </x:c>
      <x:c r="V1531" s="54" t="str">
        <x:f>IF(ISNUMBER(T1531),T1531*(1+U1531),"")</x:f>
      </x:c>
      <x:c r="W1531" s="47" t="n">
        <x:v>0.3</x:v>
      </x:c>
      <x:c r="X1531" s="54" t="str">
        <x:f>IF(ISNUMBER(V1531),V1531/(1-W1531),"")</x:f>
      </x:c>
      <x:c r="Y1531" s="55" t="str">
        <x:f>IF(ISNUMBER(X1531),ROUNDUP(X1531,0),"")</x:f>
      </x:c>
      <x:c r="Z1531" t="str">
        <x:f>IF(ISNUMBER(T1531),"Cost captured","Awaiting trade cost")</x:f>
        <x:v>Awaiting trade cost</x:v>
      </x:c>
      <x:c r="AB1531" s="36" t="str">
        <x:f>IF(ISNUMBER(Y1531),ROUND(Y1531*0.9,2),"")</x:f>
      </x:c>
      <x:c r="AC1531" s="36" t="str">
        <x:f>IF(ISNUMBER(AB1531),ROUND(AB1531-(AB1531*0.015+0.2)-V1531,2),"")</x:f>
      </x:c>
      <x:c r="AD1531" s="36" t="str">
        <x:f>IF(ISNUMBER(Y1531),ROUND(Y1531*0.8,2),"")</x:f>
      </x:c>
      <x:c r="AE1531" s="36" t="str">
        <x:f>IF(ISNUMBER(AD1531),ROUND(AD1531*0.015+0.2,2),"")</x:f>
      </x:c>
      <x:c r="AF1531" s="36" t="str">
        <x:f>IF(ISNUMBER(AD1531),ROUND(AD1531-AE1531-V1531,2),"")</x:f>
      </x:c>
      <x:c r="AG1531" t="str">
        <x:f>IF(NOT(ISNUMBER(T1531)),"PENDING",IF(AF1531&gt;0,"PASS","FAIL"))</x:f>
        <x:v>PENDING</x:v>
      </x:c>
      <x:c r="AH1531" t="str">
        <x:f>IF(NOT(ISNUMBER(T1531)),"Needs supplier cost",IF(K1531&lt;&gt;"In stock","Supplier unavailable",IF(AG1531&lt;&gt;"PASS","BLOCK - GT loss risk","Commercially protected")))</x:f>
        <x:v>Needs supplier cost</x:v>
      </x:c>
      <x:c r="AI1531" t="str">
        <x:v>2026-09-10 Active Sports trade capture</x:v>
      </x:c>
      <x:c r="AJ1531" t="str">
        <x:v>Management-only economics. Stripe stress test uses 1.5% + £0.20 standard UK online-card fee; pallet/mix-and-match pricing ignored.</x:v>
      </x:c>
    </x:row>
    <x:row r="1532">
      <x:c r="A1532" t="str">
        <x:v>Active Sports Nutrition</x:v>
      </x:c>
      <x:c r="B1532" t="str">
        <x:v>NXT Nutrition</x:v>
      </x:c>
      <x:c r="C1532" t="str">
        <x:v>10 Billion Live Friendly Bacteria</x:v>
      </x:c>
      <x:c r="D1532" t="str">
        <x:v>Supplements</x:v>
      </x:c>
      <x:c r="E1532" t="str">
        <x:v>Health Foods</x:v>
      </x:c>
      <x:c r="F1532" t="str"/>
      <x:c r="G1532" t="str">
        <x:v>30 capsules</x:v>
      </x:c>
      <x:c r="H1532" t="str">
        <x:v>Default</x:v>
      </x:c>
      <x:c r="I1532" t="str"/>
      <x:c r="J1532" t="str">
        <x:v>Unit</x:v>
      </x:c>
      <x:c r="K1532" t="str">
        <x:v>In stock</x:v>
      </x:c>
      <x:c r="L1532" t="str">
        <x:v>2026-09-08</x:v>
      </x:c>
      <x:c r="M1532" t="str"/>
      <x:c r="N1532" t="str"/>
      <x:c r="O1532" t="str">
        <x:v>https://www.activesportstrade.co.uk/nxt-nutrition-trade</x:v>
      </x:c>
      <x:c r="P1532" t="str"/>
      <x:c r="Q1532" t="str"/>
      <x:c r="R1532" t="str"/>
      <x:c r="S1532" t="str">
        <x:v>Pending genuine supplier/brand image</x:v>
      </x:c>
      <x:c r="T1532" s="54"/>
      <x:c r="U1532" s="47" t="n">
        <x:v>0.2</x:v>
      </x:c>
      <x:c r="V1532" s="54" t="str">
        <x:f>IF(ISNUMBER(T1532),T1532*(1+U1532),"")</x:f>
      </x:c>
      <x:c r="W1532" s="47" t="n">
        <x:v>0.3</x:v>
      </x:c>
      <x:c r="X1532" s="54" t="str">
        <x:f>IF(ISNUMBER(V1532),V1532/(1-W1532),"")</x:f>
      </x:c>
      <x:c r="Y1532" s="55" t="str">
        <x:f>IF(ISNUMBER(X1532),ROUNDUP(X1532,0),"")</x:f>
      </x:c>
      <x:c r="Z1532" t="str">
        <x:f>IF(ISNUMBER(T1532),"Cost captured","Awaiting trade cost")</x:f>
        <x:v>Awaiting trade cost</x:v>
      </x:c>
      <x:c r="AB1532" s="36" t="str">
        <x:f>IF(ISNUMBER(Y1532),ROUND(Y1532*0.9,2),"")</x:f>
      </x:c>
      <x:c r="AC1532" s="36" t="str">
        <x:f>IF(ISNUMBER(AB1532),ROUND(AB1532-(AB1532*0.015+0.2)-V1532,2),"")</x:f>
      </x:c>
      <x:c r="AD1532" s="36" t="str">
        <x:f>IF(ISNUMBER(Y1532),ROUND(Y1532*0.8,2),"")</x:f>
      </x:c>
      <x:c r="AE1532" s="36" t="str">
        <x:f>IF(ISNUMBER(AD1532),ROUND(AD1532*0.015+0.2,2),"")</x:f>
      </x:c>
      <x:c r="AF1532" s="36" t="str">
        <x:f>IF(ISNUMBER(AD1532),ROUND(AD1532-AE1532-V1532,2),"")</x:f>
      </x:c>
      <x:c r="AG1532" t="str">
        <x:f>IF(NOT(ISNUMBER(T1532)),"PENDING",IF(AF1532&gt;0,"PASS","FAIL"))</x:f>
        <x:v>PENDING</x:v>
      </x:c>
      <x:c r="AH1532" t="str">
        <x:f>IF(NOT(ISNUMBER(T1532)),"Needs supplier cost",IF(K1532&lt;&gt;"In stock","Supplier unavailable",IF(AG1532&lt;&gt;"PASS","BLOCK - GT loss risk","Commercially protected")))</x:f>
        <x:v>Needs supplier cost</x:v>
      </x:c>
      <x:c r="AI1532" t="str">
        <x:v>2026-09-10 Active Sports trade capture</x:v>
      </x:c>
      <x:c r="AJ1532" t="str">
        <x:v>Management-only economics. Stripe stress test uses 1.5% + £0.20 standard UK online-card fee; pallet/mix-and-match pricing ignored.</x:v>
      </x:c>
    </x:row>
    <x:row r="1533">
      <x:c r="A1533" t="str">
        <x:v>Active Sports Nutrition</x:v>
      </x:c>
      <x:c r="B1533" t="str">
        <x:v>NXT Nutrition</x:v>
      </x:c>
      <x:c r="C1533" t="str">
        <x:v>BCAA Tablets</x:v>
      </x:c>
      <x:c r="D1533" t="str">
        <x:v>Supplements</x:v>
      </x:c>
      <x:c r="E1533" t="str">
        <x:v>BCAAS</x:v>
      </x:c>
      <x:c r="F1533" t="str"/>
      <x:c r="G1533" t="str">
        <x:v>200 tablets</x:v>
      </x:c>
      <x:c r="H1533" t="str">
        <x:v>Default</x:v>
      </x:c>
      <x:c r="I1533" t="str"/>
      <x:c r="J1533" t="str">
        <x:v>Unit</x:v>
      </x:c>
      <x:c r="K1533" t="str">
        <x:v>In stock</x:v>
      </x:c>
      <x:c r="L1533" t="str">
        <x:v>2026-09-08</x:v>
      </x:c>
      <x:c r="M1533" t="str"/>
      <x:c r="N1533" t="str"/>
      <x:c r="O1533" t="str">
        <x:v>https://www.activesportstrade.co.uk/nxt-nutrition-trade</x:v>
      </x:c>
      <x:c r="P1533" t="str"/>
      <x:c r="Q1533" t="str"/>
      <x:c r="R1533" t="str"/>
      <x:c r="S1533" t="str">
        <x:v>Pending genuine supplier/brand image</x:v>
      </x:c>
      <x:c r="T1533" s="54"/>
      <x:c r="U1533" s="47" t="n">
        <x:v>0.2</x:v>
      </x:c>
      <x:c r="V1533" s="54" t="str">
        <x:f>IF(ISNUMBER(T1533),T1533*(1+U1533),"")</x:f>
      </x:c>
      <x:c r="W1533" s="47" t="n">
        <x:v>0.3</x:v>
      </x:c>
      <x:c r="X1533" s="54" t="str">
        <x:f>IF(ISNUMBER(V1533),V1533/(1-W1533),"")</x:f>
      </x:c>
      <x:c r="Y1533" s="55" t="str">
        <x:f>IF(ISNUMBER(X1533),ROUNDUP(X1533,0),"")</x:f>
      </x:c>
      <x:c r="Z1533" t="str">
        <x:f>IF(ISNUMBER(T1533),"Cost captured","Awaiting trade cost")</x:f>
        <x:v>Awaiting trade cost</x:v>
      </x:c>
      <x:c r="AB1533" s="36" t="str">
        <x:f>IF(ISNUMBER(Y1533),ROUND(Y1533*0.9,2),"")</x:f>
      </x:c>
      <x:c r="AC1533" s="36" t="str">
        <x:f>IF(ISNUMBER(AB1533),ROUND(AB1533-(AB1533*0.015+0.2)-V1533,2),"")</x:f>
      </x:c>
      <x:c r="AD1533" s="36" t="str">
        <x:f>IF(ISNUMBER(Y1533),ROUND(Y1533*0.8,2),"")</x:f>
      </x:c>
      <x:c r="AE1533" s="36" t="str">
        <x:f>IF(ISNUMBER(AD1533),ROUND(AD1533*0.015+0.2,2),"")</x:f>
      </x:c>
      <x:c r="AF1533" s="36" t="str">
        <x:f>IF(ISNUMBER(AD1533),ROUND(AD1533-AE1533-V1533,2),"")</x:f>
      </x:c>
      <x:c r="AG1533" t="str">
        <x:f>IF(NOT(ISNUMBER(T1533)),"PENDING",IF(AF1533&gt;0,"PASS","FAIL"))</x:f>
        <x:v>PENDING</x:v>
      </x:c>
      <x:c r="AH1533" t="str">
        <x:f>IF(NOT(ISNUMBER(T1533)),"Needs supplier cost",IF(K1533&lt;&gt;"In stock","Supplier unavailable",IF(AG1533&lt;&gt;"PASS","BLOCK - GT loss risk","Commercially protected")))</x:f>
        <x:v>Needs supplier cost</x:v>
      </x:c>
      <x:c r="AI1533" t="str">
        <x:v>2026-09-10 Active Sports trade capture</x:v>
      </x:c>
      <x:c r="AJ1533" t="str">
        <x:v>Management-only economics. Stripe stress test uses 1.5% + £0.20 standard UK online-card fee; pallet/mix-and-match pricing ignored.</x:v>
      </x:c>
    </x:row>
    <x:row r="1534">
      <x:c r="A1534" t="str">
        <x:v>Active Sports Nutrition</x:v>
      </x:c>
      <x:c r="B1534" t="str">
        <x:v>NXT Nutrition</x:v>
      </x:c>
      <x:c r="C1534" t="str">
        <x:v>BCAA, Glutamine &amp; Vitamin D3</x:v>
      </x:c>
      <x:c r="D1534" t="str">
        <x:v>Supplements</x:v>
      </x:c>
      <x:c r="E1534" t="str">
        <x:v>BCAAS</x:v>
      </x:c>
      <x:c r="F1534" t="str"/>
      <x:c r="G1534" t="str">
        <x:v>360g / 30 servings</x:v>
      </x:c>
      <x:c r="H1534" t="str">
        <x:v>Apple &amp; Blackcurrant</x:v>
      </x:c>
      <x:c r="I1534" t="str"/>
      <x:c r="J1534" t="str">
        <x:v>Unit</x:v>
      </x:c>
      <x:c r="K1534" t="str">
        <x:v>Out of stock</x:v>
      </x:c>
      <x:c r="L1534" t="str">
        <x:v>2026-09-08</x:v>
      </x:c>
      <x:c r="M1534" t="str"/>
      <x:c r="N1534" t="str"/>
      <x:c r="O1534" t="str">
        <x:v>https://www.activesportstrade.co.uk/nxt-nutrition-trade</x:v>
      </x:c>
      <x:c r="P1534" t="str">
        <x:v>Current brand-page visible options captured; continuation may reveal more flavours, so coverage remains underway.</x:v>
      </x:c>
      <x:c r="Q1534" t="str"/>
      <x:c r="R1534" t="str"/>
      <x:c r="S1534" t="str">
        <x:v>Pending genuine supplier/brand image</x:v>
      </x:c>
      <x:c r="T1534" s="54"/>
      <x:c r="U1534" s="47" t="n">
        <x:v>0.2</x:v>
      </x:c>
      <x:c r="V1534" s="54" t="str">
        <x:f>IF(ISNUMBER(T1534),T1534*(1+U1534),"")</x:f>
      </x:c>
      <x:c r="W1534" s="47" t="n">
        <x:v>0.3</x:v>
      </x:c>
      <x:c r="X1534" s="54" t="str">
        <x:f>IF(ISNUMBER(V1534),V1534/(1-W1534),"")</x:f>
      </x:c>
      <x:c r="Y1534" s="55" t="str">
        <x:f>IF(ISNUMBER(X1534),ROUNDUP(X1534,0),"")</x:f>
      </x:c>
      <x:c r="Z1534" t="str">
        <x:f>IF(ISNUMBER(T1534),"Cost captured","Awaiting trade cost")</x:f>
        <x:v>Awaiting trade cost</x:v>
      </x:c>
      <x:c r="AB1534" s="36" t="str">
        <x:f>IF(ISNUMBER(Y1534),ROUND(Y1534*0.9,2),"")</x:f>
      </x:c>
      <x:c r="AC1534" s="36" t="str">
        <x:f>IF(ISNUMBER(AB1534),ROUND(AB1534-(AB1534*0.015+0.2)-V1534,2),"")</x:f>
      </x:c>
      <x:c r="AD1534" s="36" t="str">
        <x:f>IF(ISNUMBER(Y1534),ROUND(Y1534*0.8,2),"")</x:f>
      </x:c>
      <x:c r="AE1534" s="36" t="str">
        <x:f>IF(ISNUMBER(AD1534),ROUND(AD1534*0.015+0.2,2),"")</x:f>
      </x:c>
      <x:c r="AF1534" s="36" t="str">
        <x:f>IF(ISNUMBER(AD1534),ROUND(AD1534-AE1534-V1534,2),"")</x:f>
      </x:c>
      <x:c r="AG1534" t="str">
        <x:f>IF(NOT(ISNUMBER(T1534)),"PENDING",IF(AF1534&gt;0,"PASS","FAIL"))</x:f>
        <x:v>PENDING</x:v>
      </x:c>
      <x:c r="AH1534" t="str">
        <x:f>IF(NOT(ISNUMBER(T1534)),"Needs supplier cost",IF(K1534&lt;&gt;"In stock","Supplier unavailable",IF(AG1534&lt;&gt;"PASS","BLOCK - GT loss risk","Commercially protected")))</x:f>
        <x:v>Needs supplier cost</x:v>
      </x:c>
      <x:c r="AI1534" t="str">
        <x:v>2026-09-10 Active Sports trade capture</x:v>
      </x:c>
      <x:c r="AJ1534" t="str">
        <x:v>Management-only economics. Stripe stress test uses 1.5% + £0.20 standard UK online-card fee; pallet/mix-and-match pricing ignored.</x:v>
      </x:c>
    </x:row>
    <x:row r="1535">
      <x:c r="A1535" t="str">
        <x:v>Active Sports Nutrition</x:v>
      </x:c>
      <x:c r="B1535" t="str">
        <x:v>NXT Nutrition</x:v>
      </x:c>
      <x:c r="C1535" t="str">
        <x:v>BCAA, Glutamine &amp; Vitamin D3</x:v>
      </x:c>
      <x:c r="D1535" t="str">
        <x:v>Supplements</x:v>
      </x:c>
      <x:c r="E1535" t="str">
        <x:v>BCAAS</x:v>
      </x:c>
      <x:c r="F1535" t="str"/>
      <x:c r="G1535" t="str">
        <x:v>360g / 30 servings</x:v>
      </x:c>
      <x:c r="H1535" t="str">
        <x:v>Blue Raspberry</x:v>
      </x:c>
      <x:c r="I1535" t="str"/>
      <x:c r="J1535" t="str">
        <x:v>Unit</x:v>
      </x:c>
      <x:c r="K1535" t="str">
        <x:v>In stock</x:v>
      </x:c>
      <x:c r="L1535" t="str">
        <x:v>2026-09-08</x:v>
      </x:c>
      <x:c r="M1535" t="str"/>
      <x:c r="N1535" t="str"/>
      <x:c r="O1535" t="str">
        <x:v>https://www.activesportstrade.co.uk/nxt-nutrition-trade</x:v>
      </x:c>
      <x:c r="P1535" t="str">
        <x:v>Current brand-page visible options captured; continuation may reveal more flavours, so coverage remains underway.</x:v>
      </x:c>
      <x:c r="Q1535" t="str"/>
      <x:c r="R1535" t="str"/>
      <x:c r="S1535" t="str">
        <x:v>Pending genuine supplier/brand image</x:v>
      </x:c>
      <x:c r="T1535" s="54"/>
      <x:c r="U1535" s="47" t="n">
        <x:v>0.2</x:v>
      </x:c>
      <x:c r="V1535" s="54" t="str">
        <x:f>IF(ISNUMBER(T1535),T1535*(1+U1535),"")</x:f>
      </x:c>
      <x:c r="W1535" s="47" t="n">
        <x:v>0.3</x:v>
      </x:c>
      <x:c r="X1535" s="54" t="str">
        <x:f>IF(ISNUMBER(V1535),V1535/(1-W1535),"")</x:f>
      </x:c>
      <x:c r="Y1535" s="55" t="str">
        <x:f>IF(ISNUMBER(X1535),ROUNDUP(X1535,0),"")</x:f>
      </x:c>
      <x:c r="Z1535" t="str">
        <x:f>IF(ISNUMBER(T1535),"Cost captured","Awaiting trade cost")</x:f>
        <x:v>Awaiting trade cost</x:v>
      </x:c>
      <x:c r="AB1535" s="36" t="str">
        <x:f>IF(ISNUMBER(Y1535),ROUND(Y1535*0.9,2),"")</x:f>
      </x:c>
      <x:c r="AC1535" s="36" t="str">
        <x:f>IF(ISNUMBER(AB1535),ROUND(AB1535-(AB1535*0.015+0.2)-V1535,2),"")</x:f>
      </x:c>
      <x:c r="AD1535" s="36" t="str">
        <x:f>IF(ISNUMBER(Y1535),ROUND(Y1535*0.8,2),"")</x:f>
      </x:c>
      <x:c r="AE1535" s="36" t="str">
        <x:f>IF(ISNUMBER(AD1535),ROUND(AD1535*0.015+0.2,2),"")</x:f>
      </x:c>
      <x:c r="AF1535" s="36" t="str">
        <x:f>IF(ISNUMBER(AD1535),ROUND(AD1535-AE1535-V1535,2),"")</x:f>
      </x:c>
      <x:c r="AG1535" t="str">
        <x:f>IF(NOT(ISNUMBER(T1535)),"PENDING",IF(AF1535&gt;0,"PASS","FAIL"))</x:f>
        <x:v>PENDING</x:v>
      </x:c>
      <x:c r="AH1535" t="str">
        <x:f>IF(NOT(ISNUMBER(T1535)),"Needs supplier cost",IF(K1535&lt;&gt;"In stock","Supplier unavailable",IF(AG1535&lt;&gt;"PASS","BLOCK - GT loss risk","Commercially protected")))</x:f>
        <x:v>Needs supplier cost</x:v>
      </x:c>
      <x:c r="AI1535" t="str">
        <x:v>2026-09-10 Active Sports trade capture</x:v>
      </x:c>
      <x:c r="AJ1535" t="str">
        <x:v>Management-only economics. Stripe stress test uses 1.5% + £0.20 standard UK online-card fee; pallet/mix-and-match pricing ignored.</x:v>
      </x:c>
    </x:row>
    <x:row r="1536">
      <x:c r="A1536" t="str">
        <x:v>Active Sports Nutrition</x:v>
      </x:c>
      <x:c r="B1536" t="str">
        <x:v>NXT Nutrition</x:v>
      </x:c>
      <x:c r="C1536" t="str">
        <x:v>BCAA, Glutamine &amp; Vitamin D3</x:v>
      </x:c>
      <x:c r="D1536" t="str">
        <x:v>Supplements</x:v>
      </x:c>
      <x:c r="E1536" t="str">
        <x:v>BCAAS</x:v>
      </x:c>
      <x:c r="F1536" t="str"/>
      <x:c r="G1536" t="str">
        <x:v>360g / 30 servings</x:v>
      </x:c>
      <x:c r="H1536" t="str">
        <x:v>Cola</x:v>
      </x:c>
      <x:c r="I1536" t="str"/>
      <x:c r="J1536" t="str">
        <x:v>Unit</x:v>
      </x:c>
      <x:c r="K1536" t="str">
        <x:v>In stock</x:v>
      </x:c>
      <x:c r="L1536" t="str">
        <x:v>2026-09-08</x:v>
      </x:c>
      <x:c r="M1536" t="str"/>
      <x:c r="N1536" t="str"/>
      <x:c r="O1536" t="str">
        <x:v>https://www.activesportstrade.co.uk/nxt-nutrition-trade</x:v>
      </x:c>
      <x:c r="P1536" t="str">
        <x:v>Current brand-page visible options captured; continuation may reveal more flavours, so coverage remains underway.</x:v>
      </x:c>
      <x:c r="Q1536" t="str"/>
      <x:c r="R1536" t="str"/>
      <x:c r="S1536" t="str">
        <x:v>Pending genuine supplier/brand image</x:v>
      </x:c>
      <x:c r="T1536" s="54"/>
      <x:c r="U1536" s="47" t="n">
        <x:v>0.2</x:v>
      </x:c>
      <x:c r="V1536" s="54" t="str">
        <x:f>IF(ISNUMBER(T1536),T1536*(1+U1536),"")</x:f>
      </x:c>
      <x:c r="W1536" s="47" t="n">
        <x:v>0.3</x:v>
      </x:c>
      <x:c r="X1536" s="54" t="str">
        <x:f>IF(ISNUMBER(V1536),V1536/(1-W1536),"")</x:f>
      </x:c>
      <x:c r="Y1536" s="55" t="str">
        <x:f>IF(ISNUMBER(X1536),ROUNDUP(X1536,0),"")</x:f>
      </x:c>
      <x:c r="Z1536" t="str">
        <x:f>IF(ISNUMBER(T1536),"Cost captured","Awaiting trade cost")</x:f>
        <x:v>Awaiting trade cost</x:v>
      </x:c>
      <x:c r="AB1536" s="36" t="str">
        <x:f>IF(ISNUMBER(Y1536),ROUND(Y1536*0.9,2),"")</x:f>
      </x:c>
      <x:c r="AC1536" s="36" t="str">
        <x:f>IF(ISNUMBER(AB1536),ROUND(AB1536-(AB1536*0.015+0.2)-V1536,2),"")</x:f>
      </x:c>
      <x:c r="AD1536" s="36" t="str">
        <x:f>IF(ISNUMBER(Y1536),ROUND(Y1536*0.8,2),"")</x:f>
      </x:c>
      <x:c r="AE1536" s="36" t="str">
        <x:f>IF(ISNUMBER(AD1536),ROUND(AD1536*0.015+0.2,2),"")</x:f>
      </x:c>
      <x:c r="AF1536" s="36" t="str">
        <x:f>IF(ISNUMBER(AD1536),ROUND(AD1536-AE1536-V1536,2),"")</x:f>
      </x:c>
      <x:c r="AG1536" t="str">
        <x:f>IF(NOT(ISNUMBER(T1536)),"PENDING",IF(AF1536&gt;0,"PASS","FAIL"))</x:f>
        <x:v>PENDING</x:v>
      </x:c>
      <x:c r="AH1536" t="str">
        <x:f>IF(NOT(ISNUMBER(T1536)),"Needs supplier cost",IF(K1536&lt;&gt;"In stock","Supplier unavailable",IF(AG1536&lt;&gt;"PASS","BLOCK - GT loss risk","Commercially protected")))</x:f>
        <x:v>Needs supplier cost</x:v>
      </x:c>
      <x:c r="AI1536" t="str">
        <x:v>2026-09-10 Active Sports trade capture</x:v>
      </x:c>
      <x:c r="AJ1536" t="str">
        <x:v>Management-only economics. Stripe stress test uses 1.5% + £0.20 standard UK online-card fee; pallet/mix-and-match pricing ignored.</x:v>
      </x:c>
    </x:row>
    <x:row r="1537">
      <x:c r="A1537" t="str">
        <x:v>Active Sports Nutrition</x:v>
      </x:c>
      <x:c r="B1537" t="str">
        <x:v>NXT Nutrition</x:v>
      </x:c>
      <x:c r="C1537" t="str">
        <x:v>BCAA, Glutamine &amp; Vitamin D3</x:v>
      </x:c>
      <x:c r="D1537" t="str">
        <x:v>Supplements</x:v>
      </x:c>
      <x:c r="E1537" t="str">
        <x:v>BCAAS</x:v>
      </x:c>
      <x:c r="F1537" t="str"/>
      <x:c r="G1537" t="str">
        <x:v>360g / 30 servings</x:v>
      </x:c>
      <x:c r="H1537" t="str">
        <x:v>Green Apple</x:v>
      </x:c>
      <x:c r="I1537" t="str"/>
      <x:c r="J1537" t="str">
        <x:v>Unit</x:v>
      </x:c>
      <x:c r="K1537" t="str">
        <x:v>In stock</x:v>
      </x:c>
      <x:c r="L1537" t="str">
        <x:v>2026-09-08</x:v>
      </x:c>
      <x:c r="M1537" t="str"/>
      <x:c r="N1537" t="str"/>
      <x:c r="O1537" t="str">
        <x:v>https://www.activesportstrade.co.uk/nxt-nutrition-trade</x:v>
      </x:c>
      <x:c r="P1537" t="str">
        <x:v>Current brand-page visible options captured; continuation may reveal more flavours, so coverage remains underway.</x:v>
      </x:c>
      <x:c r="Q1537" t="str"/>
      <x:c r="R1537" t="str"/>
      <x:c r="S1537" t="str">
        <x:v>Pending genuine supplier/brand image</x:v>
      </x:c>
      <x:c r="T1537" s="54"/>
      <x:c r="U1537" s="47" t="n">
        <x:v>0.2</x:v>
      </x:c>
      <x:c r="V1537" s="54" t="str">
        <x:f>IF(ISNUMBER(T1537),T1537*(1+U1537),"")</x:f>
      </x:c>
      <x:c r="W1537" s="47" t="n">
        <x:v>0.3</x:v>
      </x:c>
      <x:c r="X1537" s="54" t="str">
        <x:f>IF(ISNUMBER(V1537),V1537/(1-W1537),"")</x:f>
      </x:c>
      <x:c r="Y1537" s="55" t="str">
        <x:f>IF(ISNUMBER(X1537),ROUNDUP(X1537,0),"")</x:f>
      </x:c>
      <x:c r="Z1537" t="str">
        <x:f>IF(ISNUMBER(T1537),"Cost captured","Awaiting trade cost")</x:f>
        <x:v>Awaiting trade cost</x:v>
      </x:c>
      <x:c r="AB1537" s="36" t="str">
        <x:f>IF(ISNUMBER(Y1537),ROUND(Y1537*0.9,2),"")</x:f>
      </x:c>
      <x:c r="AC1537" s="36" t="str">
        <x:f>IF(ISNUMBER(AB1537),ROUND(AB1537-(AB1537*0.015+0.2)-V1537,2),"")</x:f>
      </x:c>
      <x:c r="AD1537" s="36" t="str">
        <x:f>IF(ISNUMBER(Y1537),ROUND(Y1537*0.8,2),"")</x:f>
      </x:c>
      <x:c r="AE1537" s="36" t="str">
        <x:f>IF(ISNUMBER(AD1537),ROUND(AD1537*0.015+0.2,2),"")</x:f>
      </x:c>
      <x:c r="AF1537" s="36" t="str">
        <x:f>IF(ISNUMBER(AD1537),ROUND(AD1537-AE1537-V1537,2),"")</x:f>
      </x:c>
      <x:c r="AG1537" t="str">
        <x:f>IF(NOT(ISNUMBER(T1537)),"PENDING",IF(AF1537&gt;0,"PASS","FAIL"))</x:f>
        <x:v>PENDING</x:v>
      </x:c>
      <x:c r="AH1537" t="str">
        <x:f>IF(NOT(ISNUMBER(T1537)),"Needs supplier cost",IF(K1537&lt;&gt;"In stock","Supplier unavailable",IF(AG1537&lt;&gt;"PASS","BLOCK - GT loss risk","Commercially protected")))</x:f>
        <x:v>Needs supplier cost</x:v>
      </x:c>
      <x:c r="AI1537" t="str">
        <x:v>2026-09-10 Active Sports trade capture</x:v>
      </x:c>
      <x:c r="AJ1537" t="str">
        <x:v>Management-only economics. Stripe stress test uses 1.5% + £0.20 standard UK online-card fee; pallet/mix-and-match pricing ignored.</x:v>
      </x:c>
    </x:row>
    <x:row r="1538">
      <x:c r="A1538" t="str">
        <x:v>Active Sports Nutrition</x:v>
      </x:c>
      <x:c r="B1538" t="str">
        <x:v>NXT Nutrition</x:v>
      </x:c>
      <x:c r="C1538" t="str">
        <x:v>BCAA, Glutamine &amp; Vitamin D3</x:v>
      </x:c>
      <x:c r="D1538" t="str">
        <x:v>Supplements</x:v>
      </x:c>
      <x:c r="E1538" t="str">
        <x:v>BCAAS</x:v>
      </x:c>
      <x:c r="F1538" t="str"/>
      <x:c r="G1538" t="str">
        <x:v>360g / 30 servings</x:v>
      </x:c>
      <x:c r="H1538" t="str">
        <x:v>Kiwi Lime</x:v>
      </x:c>
      <x:c r="I1538" t="str"/>
      <x:c r="J1538" t="str">
        <x:v>Unit</x:v>
      </x:c>
      <x:c r="K1538" t="str">
        <x:v>In stock</x:v>
      </x:c>
      <x:c r="L1538" t="str">
        <x:v>2026-09-08</x:v>
      </x:c>
      <x:c r="M1538" t="str"/>
      <x:c r="N1538" t="str"/>
      <x:c r="O1538" t="str">
        <x:v>https://www.activesportstrade.co.uk/nxt-nutrition-trade</x:v>
      </x:c>
      <x:c r="P1538" t="str">
        <x:v>Current brand-page visible options captured; continuation may reveal more flavours, so coverage remains underway.</x:v>
      </x:c>
      <x:c r="Q1538" t="str"/>
      <x:c r="R1538" t="str"/>
      <x:c r="S1538" t="str">
        <x:v>Pending genuine supplier/brand image</x:v>
      </x:c>
      <x:c r="T1538" s="54"/>
      <x:c r="U1538" s="47" t="n">
        <x:v>0.2</x:v>
      </x:c>
      <x:c r="V1538" s="54" t="str">
        <x:f>IF(ISNUMBER(T1538),T1538*(1+U1538),"")</x:f>
      </x:c>
      <x:c r="W1538" s="47" t="n">
        <x:v>0.3</x:v>
      </x:c>
      <x:c r="X1538" s="54" t="str">
        <x:f>IF(ISNUMBER(V1538),V1538/(1-W1538),"")</x:f>
      </x:c>
      <x:c r="Y1538" s="55" t="str">
        <x:f>IF(ISNUMBER(X1538),ROUNDUP(X1538,0),"")</x:f>
      </x:c>
      <x:c r="Z1538" t="str">
        <x:f>IF(ISNUMBER(T1538),"Cost captured","Awaiting trade cost")</x:f>
        <x:v>Awaiting trade cost</x:v>
      </x:c>
      <x:c r="AB1538" s="36" t="str">
        <x:f>IF(ISNUMBER(Y1538),ROUND(Y1538*0.9,2),"")</x:f>
      </x:c>
      <x:c r="AC1538" s="36" t="str">
        <x:f>IF(ISNUMBER(AB1538),ROUND(AB1538-(AB1538*0.015+0.2)-V1538,2),"")</x:f>
      </x:c>
      <x:c r="AD1538" s="36" t="str">
        <x:f>IF(ISNUMBER(Y1538),ROUND(Y1538*0.8,2),"")</x:f>
      </x:c>
      <x:c r="AE1538" s="36" t="str">
        <x:f>IF(ISNUMBER(AD1538),ROUND(AD1538*0.015+0.2,2),"")</x:f>
      </x:c>
      <x:c r="AF1538" s="36" t="str">
        <x:f>IF(ISNUMBER(AD1538),ROUND(AD1538-AE1538-V1538,2),"")</x:f>
      </x:c>
      <x:c r="AG1538" t="str">
        <x:f>IF(NOT(ISNUMBER(T1538)),"PENDING",IF(AF1538&gt;0,"PASS","FAIL"))</x:f>
        <x:v>PENDING</x:v>
      </x:c>
      <x:c r="AH1538" t="str">
        <x:f>IF(NOT(ISNUMBER(T1538)),"Needs supplier cost",IF(K1538&lt;&gt;"In stock","Supplier unavailable",IF(AG1538&lt;&gt;"PASS","BLOCK - GT loss risk","Commercially protected")))</x:f>
        <x:v>Needs supplier cost</x:v>
      </x:c>
      <x:c r="AI1538" t="str">
        <x:v>2026-09-10 Active Sports trade capture</x:v>
      </x:c>
      <x:c r="AJ1538" t="str">
        <x:v>Management-only economics. Stripe stress test uses 1.5% + £0.20 standard UK online-card fee; pallet/mix-and-match pricing ignored.</x:v>
      </x:c>
    </x:row>
    <x:row r="1539">
      <x:c r="A1539" t="str">
        <x:v>Active Sports Nutrition</x:v>
      </x:c>
      <x:c r="B1539" t="str">
        <x:v>NXT Nutrition</x:v>
      </x:c>
      <x:c r="C1539" t="str">
        <x:v>CRE Hydrate</x:v>
      </x:c>
      <x:c r="D1539" t="str">
        <x:v>Supplements</x:v>
      </x:c>
      <x:c r="E1539" t="str">
        <x:v>Creatine Powders</x:v>
      </x:c>
      <x:c r="F1539" t="str">
        <x:v>Creatine and electrolyte mix.</x:v>
      </x:c>
      <x:c r="G1539" t="str">
        <x:v>360g</x:v>
      </x:c>
      <x:c r="H1539" t="str">
        <x:v>Apple &amp; Blackcurrant</x:v>
      </x:c>
      <x:c r="I1539" t="str"/>
      <x:c r="J1539" t="str">
        <x:v>Unit</x:v>
      </x:c>
      <x:c r="K1539" t="str">
        <x:v>In stock</x:v>
      </x:c>
      <x:c r="L1539" t="str">
        <x:v>2026-09-08</x:v>
      </x:c>
      <x:c r="M1539" t="str"/>
      <x:c r="N1539" t="str"/>
      <x:c r="O1539" t="str">
        <x:v>https://www.activesportstrade.co.uk/Creatine-Powders-Trade/nxt-nutrition-trade</x:v>
      </x:c>
      <x:c r="P1539" t="str"/>
      <x:c r="Q1539" t="str"/>
      <x:c r="R1539" t="str"/>
      <x:c r="S1539" t="str">
        <x:v>Pending genuine supplier/brand image</x:v>
      </x:c>
      <x:c r="T1539" s="54"/>
      <x:c r="U1539" s="47" t="n">
        <x:v>0.2</x:v>
      </x:c>
      <x:c r="V1539" s="54" t="str">
        <x:f>IF(ISNUMBER(T1539),T1539*(1+U1539),"")</x:f>
      </x:c>
      <x:c r="W1539" s="47" t="n">
        <x:v>0.3</x:v>
      </x:c>
      <x:c r="X1539" s="54" t="str">
        <x:f>IF(ISNUMBER(V1539),V1539/(1-W1539),"")</x:f>
      </x:c>
      <x:c r="Y1539" s="55" t="str">
        <x:f>IF(ISNUMBER(X1539),ROUNDUP(X1539,0),"")</x:f>
      </x:c>
      <x:c r="Z1539" t="str">
        <x:f>IF(ISNUMBER(T1539),"Cost captured","Awaiting trade cost")</x:f>
        <x:v>Awaiting trade cost</x:v>
      </x:c>
      <x:c r="AB1539" s="36" t="str">
        <x:f>IF(ISNUMBER(Y1539),ROUND(Y1539*0.9,2),"")</x:f>
      </x:c>
      <x:c r="AC1539" s="36" t="str">
        <x:f>IF(ISNUMBER(AB1539),ROUND(AB1539-(AB1539*0.015+0.2)-V1539,2),"")</x:f>
      </x:c>
      <x:c r="AD1539" s="36" t="str">
        <x:f>IF(ISNUMBER(Y1539),ROUND(Y1539*0.8,2),"")</x:f>
      </x:c>
      <x:c r="AE1539" s="36" t="str">
        <x:f>IF(ISNUMBER(AD1539),ROUND(AD1539*0.015+0.2,2),"")</x:f>
      </x:c>
      <x:c r="AF1539" s="36" t="str">
        <x:f>IF(ISNUMBER(AD1539),ROUND(AD1539-AE1539-V1539,2),"")</x:f>
      </x:c>
      <x:c r="AG1539" t="str">
        <x:f>IF(NOT(ISNUMBER(T1539)),"PENDING",IF(AF1539&gt;0,"PASS","FAIL"))</x:f>
        <x:v>PENDING</x:v>
      </x:c>
      <x:c r="AH1539" t="str">
        <x:f>IF(NOT(ISNUMBER(T1539)),"Needs supplier cost",IF(K1539&lt;&gt;"In stock","Supplier unavailable",IF(AG1539&lt;&gt;"PASS","BLOCK - GT loss risk","Commercially protected")))</x:f>
        <x:v>Needs supplier cost</x:v>
      </x:c>
      <x:c r="AI1539" t="str">
        <x:v>2026-09-10 Active Sports trade capture</x:v>
      </x:c>
      <x:c r="AJ1539" t="str">
        <x:v>Management-only economics. Stripe stress test uses 1.5% + £0.20 standard UK online-card fee; pallet/mix-and-match pricing ignored.</x:v>
      </x:c>
    </x:row>
    <x:row r="1540">
      <x:c r="A1540" t="str">
        <x:v>Active Sports Nutrition</x:v>
      </x:c>
      <x:c r="B1540" t="str">
        <x:v>NXT Nutrition</x:v>
      </x:c>
      <x:c r="C1540" t="str">
        <x:v>CRE Hydrate</x:v>
      </x:c>
      <x:c r="D1540" t="str">
        <x:v>Supplements</x:v>
      </x:c>
      <x:c r="E1540" t="str">
        <x:v>Creatine Powders</x:v>
      </x:c>
      <x:c r="F1540" t="str">
        <x:v>Creatine and electrolyte mix.</x:v>
      </x:c>
      <x:c r="G1540" t="str">
        <x:v>360g</x:v>
      </x:c>
      <x:c r="H1540" t="str">
        <x:v>Fruits of the Forest</x:v>
      </x:c>
      <x:c r="I1540" t="str"/>
      <x:c r="J1540" t="str">
        <x:v>Unit</x:v>
      </x:c>
      <x:c r="K1540" t="str">
        <x:v>In stock</x:v>
      </x:c>
      <x:c r="L1540" t="str">
        <x:v>2026-09-08</x:v>
      </x:c>
      <x:c r="M1540" t="str"/>
      <x:c r="N1540" t="str"/>
      <x:c r="O1540" t="str">
        <x:v>https://www.activesportstrade.co.uk/Creatine-Powders-Trade/nxt-nutrition-trade</x:v>
      </x:c>
      <x:c r="P1540" t="str"/>
      <x:c r="Q1540" t="str"/>
      <x:c r="R1540" t="str"/>
      <x:c r="S1540" t="str">
        <x:v>Pending genuine supplier/brand image</x:v>
      </x:c>
      <x:c r="T1540" s="54"/>
      <x:c r="U1540" s="47" t="n">
        <x:v>0.2</x:v>
      </x:c>
      <x:c r="V1540" s="54" t="str">
        <x:f>IF(ISNUMBER(T1540),T1540*(1+U1540),"")</x:f>
      </x:c>
      <x:c r="W1540" s="47" t="n">
        <x:v>0.3</x:v>
      </x:c>
      <x:c r="X1540" s="54" t="str">
        <x:f>IF(ISNUMBER(V1540),V1540/(1-W1540),"")</x:f>
      </x:c>
      <x:c r="Y1540" s="55" t="str">
        <x:f>IF(ISNUMBER(X1540),ROUNDUP(X1540,0),"")</x:f>
      </x:c>
      <x:c r="Z1540" t="str">
        <x:f>IF(ISNUMBER(T1540),"Cost captured","Awaiting trade cost")</x:f>
        <x:v>Awaiting trade cost</x:v>
      </x:c>
      <x:c r="AB1540" s="36" t="str">
        <x:f>IF(ISNUMBER(Y1540),ROUND(Y1540*0.9,2),"")</x:f>
      </x:c>
      <x:c r="AC1540" s="36" t="str">
        <x:f>IF(ISNUMBER(AB1540),ROUND(AB1540-(AB1540*0.015+0.2)-V1540,2),"")</x:f>
      </x:c>
      <x:c r="AD1540" s="36" t="str">
        <x:f>IF(ISNUMBER(Y1540),ROUND(Y1540*0.8,2),"")</x:f>
      </x:c>
      <x:c r="AE1540" s="36" t="str">
        <x:f>IF(ISNUMBER(AD1540),ROUND(AD1540*0.015+0.2,2),"")</x:f>
      </x:c>
      <x:c r="AF1540" s="36" t="str">
        <x:f>IF(ISNUMBER(AD1540),ROUND(AD1540-AE1540-V1540,2),"")</x:f>
      </x:c>
      <x:c r="AG1540" t="str">
        <x:f>IF(NOT(ISNUMBER(T1540)),"PENDING",IF(AF1540&gt;0,"PASS","FAIL"))</x:f>
        <x:v>PENDING</x:v>
      </x:c>
      <x:c r="AH1540" t="str">
        <x:f>IF(NOT(ISNUMBER(T1540)),"Needs supplier cost",IF(K1540&lt;&gt;"In stock","Supplier unavailable",IF(AG1540&lt;&gt;"PASS","BLOCK - GT loss risk","Commercially protected")))</x:f>
        <x:v>Needs supplier cost</x:v>
      </x:c>
      <x:c r="AI1540" t="str">
        <x:v>2026-09-10 Active Sports trade capture</x:v>
      </x:c>
      <x:c r="AJ1540" t="str">
        <x:v>Management-only economics. Stripe stress test uses 1.5% + £0.20 standard UK online-card fee; pallet/mix-and-match pricing ignored.</x:v>
      </x:c>
    </x:row>
    <x:row r="1541">
      <x:c r="A1541" t="str">
        <x:v>Active Sports Nutrition</x:v>
      </x:c>
      <x:c r="B1541" t="str">
        <x:v>NXT Nutrition</x:v>
      </x:c>
      <x:c r="C1541" t="str">
        <x:v>CRE Hydrate</x:v>
      </x:c>
      <x:c r="D1541" t="str">
        <x:v>Supplements</x:v>
      </x:c>
      <x:c r="E1541" t="str">
        <x:v>Creatine Powders</x:v>
      </x:c>
      <x:c r="F1541" t="str">
        <x:v>Creatine and electrolyte mix.</x:v>
      </x:c>
      <x:c r="G1541" t="str">
        <x:v>360g</x:v>
      </x:c>
      <x:c r="H1541" t="str">
        <x:v>Ice Burst</x:v>
      </x:c>
      <x:c r="I1541" t="str"/>
      <x:c r="J1541" t="str">
        <x:v>Unit</x:v>
      </x:c>
      <x:c r="K1541" t="str">
        <x:v>Out of stock</x:v>
      </x:c>
      <x:c r="L1541" t="str">
        <x:v>2026-09-08</x:v>
      </x:c>
      <x:c r="M1541" t="str"/>
      <x:c r="N1541" t="str"/>
      <x:c r="O1541" t="str">
        <x:v>https://www.activesportstrade.co.uk/Creatine-Powders-Trade/nxt-nutrition-trade</x:v>
      </x:c>
      <x:c r="P1541" t="str"/>
      <x:c r="Q1541" t="str"/>
      <x:c r="R1541" t="str"/>
      <x:c r="S1541" t="str">
        <x:v>Pending genuine supplier/brand image</x:v>
      </x:c>
      <x:c r="T1541" s="54"/>
      <x:c r="U1541" s="47" t="n">
        <x:v>0.2</x:v>
      </x:c>
      <x:c r="V1541" s="54" t="str">
        <x:f>IF(ISNUMBER(T1541),T1541*(1+U1541),"")</x:f>
      </x:c>
      <x:c r="W1541" s="47" t="n">
        <x:v>0.3</x:v>
      </x:c>
      <x:c r="X1541" s="54" t="str">
        <x:f>IF(ISNUMBER(V1541),V1541/(1-W1541),"")</x:f>
      </x:c>
      <x:c r="Y1541" s="55" t="str">
        <x:f>IF(ISNUMBER(X1541),ROUNDUP(X1541,0),"")</x:f>
      </x:c>
      <x:c r="Z1541" t="str">
        <x:f>IF(ISNUMBER(T1541),"Cost captured","Awaiting trade cost")</x:f>
        <x:v>Awaiting trade cost</x:v>
      </x:c>
      <x:c r="AB1541" s="36" t="str">
        <x:f>IF(ISNUMBER(Y1541),ROUND(Y1541*0.9,2),"")</x:f>
      </x:c>
      <x:c r="AC1541" s="36" t="str">
        <x:f>IF(ISNUMBER(AB1541),ROUND(AB1541-(AB1541*0.015+0.2)-V1541,2),"")</x:f>
      </x:c>
      <x:c r="AD1541" s="36" t="str">
        <x:f>IF(ISNUMBER(Y1541),ROUND(Y1541*0.8,2),"")</x:f>
      </x:c>
      <x:c r="AE1541" s="36" t="str">
        <x:f>IF(ISNUMBER(AD1541),ROUND(AD1541*0.015+0.2,2),"")</x:f>
      </x:c>
      <x:c r="AF1541" s="36" t="str">
        <x:f>IF(ISNUMBER(AD1541),ROUND(AD1541-AE1541-V1541,2),"")</x:f>
      </x:c>
      <x:c r="AG1541" t="str">
        <x:f>IF(NOT(ISNUMBER(T1541)),"PENDING",IF(AF1541&gt;0,"PASS","FAIL"))</x:f>
        <x:v>PENDING</x:v>
      </x:c>
      <x:c r="AH1541" t="str">
        <x:f>IF(NOT(ISNUMBER(T1541)),"Needs supplier cost",IF(K1541&lt;&gt;"In stock","Supplier unavailable",IF(AG1541&lt;&gt;"PASS","BLOCK - GT loss risk","Commercially protected")))</x:f>
        <x:v>Needs supplier cost</x:v>
      </x:c>
      <x:c r="AI1541" t="str">
        <x:v>2026-09-10 Active Sports trade capture</x:v>
      </x:c>
      <x:c r="AJ1541" t="str">
        <x:v>Management-only economics. Stripe stress test uses 1.5% + £0.20 standard UK online-card fee; pallet/mix-and-match pricing ignored.</x:v>
      </x:c>
    </x:row>
    <x:row r="1542">
      <x:c r="A1542" t="str">
        <x:v>Active Sports Nutrition</x:v>
      </x:c>
      <x:c r="B1542" t="str">
        <x:v>NXT Nutrition</x:v>
      </x:c>
      <x:c r="C1542" t="str">
        <x:v>CRE Hydrate</x:v>
      </x:c>
      <x:c r="D1542" t="str">
        <x:v>Supplements</x:v>
      </x:c>
      <x:c r="E1542" t="str">
        <x:v>Creatine Powders</x:v>
      </x:c>
      <x:c r="F1542" t="str">
        <x:v>Creatine and electrolyte mix.</x:v>
      </x:c>
      <x:c r="G1542" t="str">
        <x:v>360g</x:v>
      </x:c>
      <x:c r="H1542" t="str">
        <x:v>Mmmto</x:v>
      </x:c>
      <x:c r="I1542" t="str"/>
      <x:c r="J1542" t="str">
        <x:v>Unit</x:v>
      </x:c>
      <x:c r="K1542" t="str">
        <x:v>In stock</x:v>
      </x:c>
      <x:c r="L1542" t="str">
        <x:v>2026-09-08</x:v>
      </x:c>
      <x:c r="M1542" t="str"/>
      <x:c r="N1542" t="str"/>
      <x:c r="O1542" t="str">
        <x:v>https://www.activesportstrade.co.uk/Creatine-Powders-Trade/nxt-nutrition-trade</x:v>
      </x:c>
      <x:c r="P1542" t="str"/>
      <x:c r="Q1542" t="str"/>
      <x:c r="R1542" t="str"/>
      <x:c r="S1542" t="str">
        <x:v>Pending genuine supplier/brand image</x:v>
      </x:c>
      <x:c r="T1542" s="54"/>
      <x:c r="U1542" s="47" t="n">
        <x:v>0.2</x:v>
      </x:c>
      <x:c r="V1542" s="54" t="str">
        <x:f>IF(ISNUMBER(T1542),T1542*(1+U1542),"")</x:f>
      </x:c>
      <x:c r="W1542" s="47" t="n">
        <x:v>0.3</x:v>
      </x:c>
      <x:c r="X1542" s="54" t="str">
        <x:f>IF(ISNUMBER(V1542),V1542/(1-W1542),"")</x:f>
      </x:c>
      <x:c r="Y1542" s="55" t="str">
        <x:f>IF(ISNUMBER(X1542),ROUNDUP(X1542,0),"")</x:f>
      </x:c>
      <x:c r="Z1542" t="str">
        <x:f>IF(ISNUMBER(T1542),"Cost captured","Awaiting trade cost")</x:f>
        <x:v>Awaiting trade cost</x:v>
      </x:c>
      <x:c r="AB1542" s="36" t="str">
        <x:f>IF(ISNUMBER(Y1542),ROUND(Y1542*0.9,2),"")</x:f>
      </x:c>
      <x:c r="AC1542" s="36" t="str">
        <x:f>IF(ISNUMBER(AB1542),ROUND(AB1542-(AB1542*0.015+0.2)-V1542,2),"")</x:f>
      </x:c>
      <x:c r="AD1542" s="36" t="str">
        <x:f>IF(ISNUMBER(Y1542),ROUND(Y1542*0.8,2),"")</x:f>
      </x:c>
      <x:c r="AE1542" s="36" t="str">
        <x:f>IF(ISNUMBER(AD1542),ROUND(AD1542*0.015+0.2,2),"")</x:f>
      </x:c>
      <x:c r="AF1542" s="36" t="str">
        <x:f>IF(ISNUMBER(AD1542),ROUND(AD1542-AE1542-V1542,2),"")</x:f>
      </x:c>
      <x:c r="AG1542" t="str">
        <x:f>IF(NOT(ISNUMBER(T1542)),"PENDING",IF(AF1542&gt;0,"PASS","FAIL"))</x:f>
        <x:v>PENDING</x:v>
      </x:c>
      <x:c r="AH1542" t="str">
        <x:f>IF(NOT(ISNUMBER(T1542)),"Needs supplier cost",IF(K1542&lt;&gt;"In stock","Supplier unavailable",IF(AG1542&lt;&gt;"PASS","BLOCK - GT loss risk","Commercially protected")))</x:f>
        <x:v>Needs supplier cost</x:v>
      </x:c>
      <x:c r="AI1542" t="str">
        <x:v>2026-09-10 Active Sports trade capture</x:v>
      </x:c>
      <x:c r="AJ1542" t="str">
        <x:v>Management-only economics. Stripe stress test uses 1.5% + £0.20 standard UK online-card fee; pallet/mix-and-match pricing ignored.</x:v>
      </x:c>
    </x:row>
    <x:row r="1543">
      <x:c r="A1543" t="str">
        <x:v>Active Sports Nutrition</x:v>
      </x:c>
      <x:c r="B1543" t="str">
        <x:v>NXT Nutrition</x:v>
      </x:c>
      <x:c r="C1543" t="str">
        <x:v>CRE Hydrate</x:v>
      </x:c>
      <x:c r="D1543" t="str">
        <x:v>Supplements</x:v>
      </x:c>
      <x:c r="E1543" t="str">
        <x:v>Creatine Powders</x:v>
      </x:c>
      <x:c r="F1543" t="str">
        <x:v>Creatine and electrolyte mix.</x:v>
      </x:c>
      <x:c r="G1543" t="str">
        <x:v>360g</x:v>
      </x:c>
      <x:c r="H1543" t="str">
        <x:v>Pineapple</x:v>
      </x:c>
      <x:c r="I1543" t="str"/>
      <x:c r="J1543" t="str">
        <x:v>Unit</x:v>
      </x:c>
      <x:c r="K1543" t="str">
        <x:v>In stock</x:v>
      </x:c>
      <x:c r="L1543" t="str">
        <x:v>2026-09-08</x:v>
      </x:c>
      <x:c r="M1543" t="str"/>
      <x:c r="N1543" t="str"/>
      <x:c r="O1543" t="str">
        <x:v>https://www.activesportstrade.co.uk/Creatine-Powders-Trade/nxt-nutrition-trade</x:v>
      </x:c>
      <x:c r="P1543" t="str"/>
      <x:c r="Q1543" t="str"/>
      <x:c r="R1543" t="str"/>
      <x:c r="S1543" t="str">
        <x:v>Pending genuine supplier/brand image</x:v>
      </x:c>
      <x:c r="T1543" s="54"/>
      <x:c r="U1543" s="47" t="n">
        <x:v>0.2</x:v>
      </x:c>
      <x:c r="V1543" s="54" t="str">
        <x:f>IF(ISNUMBER(T1543),T1543*(1+U1543),"")</x:f>
      </x:c>
      <x:c r="W1543" s="47" t="n">
        <x:v>0.3</x:v>
      </x:c>
      <x:c r="X1543" s="54" t="str">
        <x:f>IF(ISNUMBER(V1543),V1543/(1-W1543),"")</x:f>
      </x:c>
      <x:c r="Y1543" s="55" t="str">
        <x:f>IF(ISNUMBER(X1543),ROUNDUP(X1543,0),"")</x:f>
      </x:c>
      <x:c r="Z1543" t="str">
        <x:f>IF(ISNUMBER(T1543),"Cost captured","Awaiting trade cost")</x:f>
        <x:v>Awaiting trade cost</x:v>
      </x:c>
      <x:c r="AB1543" s="36" t="str">
        <x:f>IF(ISNUMBER(Y1543),ROUND(Y1543*0.9,2),"")</x:f>
      </x:c>
      <x:c r="AC1543" s="36" t="str">
        <x:f>IF(ISNUMBER(AB1543),ROUND(AB1543-(AB1543*0.015+0.2)-V1543,2),"")</x:f>
      </x:c>
      <x:c r="AD1543" s="36" t="str">
        <x:f>IF(ISNUMBER(Y1543),ROUND(Y1543*0.8,2),"")</x:f>
      </x:c>
      <x:c r="AE1543" s="36" t="str">
        <x:f>IF(ISNUMBER(AD1543),ROUND(AD1543*0.015+0.2,2),"")</x:f>
      </x:c>
      <x:c r="AF1543" s="36" t="str">
        <x:f>IF(ISNUMBER(AD1543),ROUND(AD1543-AE1543-V1543,2),"")</x:f>
      </x:c>
      <x:c r="AG1543" t="str">
        <x:f>IF(NOT(ISNUMBER(T1543)),"PENDING",IF(AF1543&gt;0,"PASS","FAIL"))</x:f>
        <x:v>PENDING</x:v>
      </x:c>
      <x:c r="AH1543" t="str">
        <x:f>IF(NOT(ISNUMBER(T1543)),"Needs supplier cost",IF(K1543&lt;&gt;"In stock","Supplier unavailable",IF(AG1543&lt;&gt;"PASS","BLOCK - GT loss risk","Commercially protected")))</x:f>
        <x:v>Needs supplier cost</x:v>
      </x:c>
      <x:c r="AI1543" t="str">
        <x:v>2026-09-10 Active Sports trade capture</x:v>
      </x:c>
      <x:c r="AJ1543" t="str">
        <x:v>Management-only economics. Stripe stress test uses 1.5% + £0.20 standard UK online-card fee; pallet/mix-and-match pricing ignored.</x:v>
      </x:c>
    </x:row>
    <x:row r="1544">
      <x:c r="A1544" t="str">
        <x:v>Active Sports Nutrition</x:v>
      </x:c>
      <x:c r="B1544" t="str">
        <x:v>NXT Nutrition</x:v>
      </x:c>
      <x:c r="C1544" t="str">
        <x:v>CRE Hydrate</x:v>
      </x:c>
      <x:c r="D1544" t="str">
        <x:v>Supplements</x:v>
      </x:c>
      <x:c r="E1544" t="str">
        <x:v>Creatine Powders</x:v>
      </x:c>
      <x:c r="F1544" t="str">
        <x:v>Creatine and electrolyte mix.</x:v>
      </x:c>
      <x:c r="G1544" t="str">
        <x:v>360g</x:v>
      </x:c>
      <x:c r="H1544" t="str">
        <x:v>Unflavoured</x:v>
      </x:c>
      <x:c r="I1544" t="str"/>
      <x:c r="J1544" t="str">
        <x:v>Unit</x:v>
      </x:c>
      <x:c r="K1544" t="str">
        <x:v>In stock</x:v>
      </x:c>
      <x:c r="L1544" t="str">
        <x:v>2026-09-08</x:v>
      </x:c>
      <x:c r="M1544" t="str"/>
      <x:c r="N1544" t="str"/>
      <x:c r="O1544" t="str">
        <x:v>https://www.activesportstrade.co.uk/Creatine-Powders-Trade/nxt-nutrition-trade</x:v>
      </x:c>
      <x:c r="P1544" t="str"/>
      <x:c r="Q1544" t="str"/>
      <x:c r="R1544" t="str"/>
      <x:c r="S1544" t="str">
        <x:v>Pending genuine supplier/brand image</x:v>
      </x:c>
      <x:c r="T1544" s="54"/>
      <x:c r="U1544" s="47" t="n">
        <x:v>0.2</x:v>
      </x:c>
      <x:c r="V1544" s="54" t="str">
        <x:f>IF(ISNUMBER(T1544),T1544*(1+U1544),"")</x:f>
      </x:c>
      <x:c r="W1544" s="47" t="n">
        <x:v>0.3</x:v>
      </x:c>
      <x:c r="X1544" s="54" t="str">
        <x:f>IF(ISNUMBER(V1544),V1544/(1-W1544),"")</x:f>
      </x:c>
      <x:c r="Y1544" s="55" t="str">
        <x:f>IF(ISNUMBER(X1544),ROUNDUP(X1544,0),"")</x:f>
      </x:c>
      <x:c r="Z1544" t="str">
        <x:f>IF(ISNUMBER(T1544),"Cost captured","Awaiting trade cost")</x:f>
        <x:v>Awaiting trade cost</x:v>
      </x:c>
      <x:c r="AB1544" s="36" t="str">
        <x:f>IF(ISNUMBER(Y1544),ROUND(Y1544*0.9,2),"")</x:f>
      </x:c>
      <x:c r="AC1544" s="36" t="str">
        <x:f>IF(ISNUMBER(AB1544),ROUND(AB1544-(AB1544*0.015+0.2)-V1544,2),"")</x:f>
      </x:c>
      <x:c r="AD1544" s="36" t="str">
        <x:f>IF(ISNUMBER(Y1544),ROUND(Y1544*0.8,2),"")</x:f>
      </x:c>
      <x:c r="AE1544" s="36" t="str">
        <x:f>IF(ISNUMBER(AD1544),ROUND(AD1544*0.015+0.2,2),"")</x:f>
      </x:c>
      <x:c r="AF1544" s="36" t="str">
        <x:f>IF(ISNUMBER(AD1544),ROUND(AD1544-AE1544-V1544,2),"")</x:f>
      </x:c>
      <x:c r="AG1544" t="str">
        <x:f>IF(NOT(ISNUMBER(T1544)),"PENDING",IF(AF1544&gt;0,"PASS","FAIL"))</x:f>
        <x:v>PENDING</x:v>
      </x:c>
      <x:c r="AH1544" t="str">
        <x:f>IF(NOT(ISNUMBER(T1544)),"Needs supplier cost",IF(K1544&lt;&gt;"In stock","Supplier unavailable",IF(AG1544&lt;&gt;"PASS","BLOCK - GT loss risk","Commercially protected")))</x:f>
        <x:v>Needs supplier cost</x:v>
      </x:c>
      <x:c r="AI1544" t="str">
        <x:v>2026-09-10 Active Sports trade capture</x:v>
      </x:c>
      <x:c r="AJ1544" t="str">
        <x:v>Management-only economics. Stripe stress test uses 1.5% + £0.20 standard UK online-card fee; pallet/mix-and-match pricing ignored.</x:v>
      </x:c>
    </x:row>
    <x:row r="1545">
      <x:c r="A1545" t="str">
        <x:v>Active Sports Nutrition</x:v>
      </x:c>
      <x:c r="B1545" t="str">
        <x:v>NXT Nutrition</x:v>
      </x:c>
      <x:c r="C1545" t="str">
        <x:v>CRE Hydrate</x:v>
      </x:c>
      <x:c r="D1545" t="str">
        <x:v>Supplements</x:v>
      </x:c>
      <x:c r="E1545" t="str">
        <x:v>Creatine Powders</x:v>
      </x:c>
      <x:c r="F1545" t="str">
        <x:v>Creatine and electrolyte mix.</x:v>
      </x:c>
      <x:c r="G1545" t="str">
        <x:v>360g</x:v>
      </x:c>
      <x:c r="H1545" t="str">
        <x:v>Watermelon Strawberry</x:v>
      </x:c>
      <x:c r="I1545" t="str"/>
      <x:c r="J1545" t="str">
        <x:v>Unit</x:v>
      </x:c>
      <x:c r="K1545" t="str">
        <x:v>In stock</x:v>
      </x:c>
      <x:c r="L1545" t="str">
        <x:v>2026-09-08</x:v>
      </x:c>
      <x:c r="M1545" t="str"/>
      <x:c r="N1545" t="str"/>
      <x:c r="O1545" t="str">
        <x:v>https://www.activesportstrade.co.uk/Creatine-Powders-Trade/nxt-nutrition-trade</x:v>
      </x:c>
      <x:c r="P1545" t="str"/>
      <x:c r="Q1545" t="str"/>
      <x:c r="R1545" t="str"/>
      <x:c r="S1545" t="str">
        <x:v>Pending genuine supplier/brand image</x:v>
      </x:c>
      <x:c r="T1545" s="54"/>
      <x:c r="U1545" s="47" t="n">
        <x:v>0.2</x:v>
      </x:c>
      <x:c r="V1545" s="54" t="str">
        <x:f>IF(ISNUMBER(T1545),T1545*(1+U1545),"")</x:f>
      </x:c>
      <x:c r="W1545" s="47" t="n">
        <x:v>0.3</x:v>
      </x:c>
      <x:c r="X1545" s="54" t="str">
        <x:f>IF(ISNUMBER(V1545),V1545/(1-W1545),"")</x:f>
      </x:c>
      <x:c r="Y1545" s="55" t="str">
        <x:f>IF(ISNUMBER(X1545),ROUNDUP(X1545,0),"")</x:f>
      </x:c>
      <x:c r="Z1545" t="str">
        <x:f>IF(ISNUMBER(T1545),"Cost captured","Awaiting trade cost")</x:f>
        <x:v>Awaiting trade cost</x:v>
      </x:c>
      <x:c r="AB1545" s="36" t="str">
        <x:f>IF(ISNUMBER(Y1545),ROUND(Y1545*0.9,2),"")</x:f>
      </x:c>
      <x:c r="AC1545" s="36" t="str">
        <x:f>IF(ISNUMBER(AB1545),ROUND(AB1545-(AB1545*0.015+0.2)-V1545,2),"")</x:f>
      </x:c>
      <x:c r="AD1545" s="36" t="str">
        <x:f>IF(ISNUMBER(Y1545),ROUND(Y1545*0.8,2),"")</x:f>
      </x:c>
      <x:c r="AE1545" s="36" t="str">
        <x:f>IF(ISNUMBER(AD1545),ROUND(AD1545*0.015+0.2,2),"")</x:f>
      </x:c>
      <x:c r="AF1545" s="36" t="str">
        <x:f>IF(ISNUMBER(AD1545),ROUND(AD1545-AE1545-V1545,2),"")</x:f>
      </x:c>
      <x:c r="AG1545" t="str">
        <x:f>IF(NOT(ISNUMBER(T1545)),"PENDING",IF(AF1545&gt;0,"PASS","FAIL"))</x:f>
        <x:v>PENDING</x:v>
      </x:c>
      <x:c r="AH1545" t="str">
        <x:f>IF(NOT(ISNUMBER(T1545)),"Needs supplier cost",IF(K1545&lt;&gt;"In stock","Supplier unavailable",IF(AG1545&lt;&gt;"PASS","BLOCK - GT loss risk","Commercially protected")))</x:f>
        <x:v>Needs supplier cost</x:v>
      </x:c>
      <x:c r="AI1545" t="str">
        <x:v>2026-09-10 Active Sports trade capture</x:v>
      </x:c>
      <x:c r="AJ1545" t="str">
        <x:v>Management-only economics. Stripe stress test uses 1.5% + £0.20 standard UK online-card fee; pallet/mix-and-match pricing ignored.</x:v>
      </x:c>
    </x:row>
    <x:row r="1546">
      <x:c r="A1546" t="str">
        <x:v>Active Sports Nutrition</x:v>
      </x:c>
      <x:c r="B1546" t="str">
        <x:v>NXT Nutrition</x:v>
      </x:c>
      <x:c r="C1546" t="str">
        <x:v>Micronised Creatine</x:v>
      </x:c>
      <x:c r="D1546" t="str">
        <x:v>Supplements</x:v>
      </x:c>
      <x:c r="E1546" t="str">
        <x:v>Creatine Powders</x:v>
      </x:c>
      <x:c r="F1546" t="str"/>
      <x:c r="G1546" t="str">
        <x:v>300g</x:v>
      </x:c>
      <x:c r="H1546" t="str">
        <x:v>Unflavoured</x:v>
      </x:c>
      <x:c r="I1546" t="str"/>
      <x:c r="J1546" t="str">
        <x:v>Unit</x:v>
      </x:c>
      <x:c r="K1546" t="str">
        <x:v>Out of stock</x:v>
      </x:c>
      <x:c r="L1546" t="str">
        <x:v>2026-09-08</x:v>
      </x:c>
      <x:c r="M1546" t="str"/>
      <x:c r="N1546" t="str"/>
      <x:c r="O1546" t="str">
        <x:v>https://www.activesportstrade.co.uk/Creatine-Powders-Trade/nxt-nutrition-trade</x:v>
      </x:c>
      <x:c r="P1546" t="str">
        <x:v>SPECIAL OFFER wording removed.</x:v>
      </x:c>
      <x:c r="Q1546" t="str"/>
      <x:c r="R1546" t="str"/>
      <x:c r="S1546" t="str">
        <x:v>Pending genuine supplier/brand image</x:v>
      </x:c>
      <x:c r="T1546" s="54"/>
      <x:c r="U1546" s="47" t="n">
        <x:v>0.2</x:v>
      </x:c>
      <x:c r="V1546" s="54" t="str">
        <x:f>IF(ISNUMBER(T1546),T1546*(1+U1546),"")</x:f>
      </x:c>
      <x:c r="W1546" s="47" t="n">
        <x:v>0.3</x:v>
      </x:c>
      <x:c r="X1546" s="54" t="str">
        <x:f>IF(ISNUMBER(V1546),V1546/(1-W1546),"")</x:f>
      </x:c>
      <x:c r="Y1546" s="55" t="str">
        <x:f>IF(ISNUMBER(X1546),ROUNDUP(X1546,0),"")</x:f>
      </x:c>
      <x:c r="Z1546" t="str">
        <x:f>IF(ISNUMBER(T1546),"Cost captured","Awaiting trade cost")</x:f>
        <x:v>Awaiting trade cost</x:v>
      </x:c>
      <x:c r="AB1546" s="36" t="str">
        <x:f>IF(ISNUMBER(Y1546),ROUND(Y1546*0.9,2),"")</x:f>
      </x:c>
      <x:c r="AC1546" s="36" t="str">
        <x:f>IF(ISNUMBER(AB1546),ROUND(AB1546-(AB1546*0.015+0.2)-V1546,2),"")</x:f>
      </x:c>
      <x:c r="AD1546" s="36" t="str">
        <x:f>IF(ISNUMBER(Y1546),ROUND(Y1546*0.8,2),"")</x:f>
      </x:c>
      <x:c r="AE1546" s="36" t="str">
        <x:f>IF(ISNUMBER(AD1546),ROUND(AD1546*0.015+0.2,2),"")</x:f>
      </x:c>
      <x:c r="AF1546" s="36" t="str">
        <x:f>IF(ISNUMBER(AD1546),ROUND(AD1546-AE1546-V1546,2),"")</x:f>
      </x:c>
      <x:c r="AG1546" t="str">
        <x:f>IF(NOT(ISNUMBER(T1546)),"PENDING",IF(AF1546&gt;0,"PASS","FAIL"))</x:f>
        <x:v>PENDING</x:v>
      </x:c>
      <x:c r="AH1546" t="str">
        <x:f>IF(NOT(ISNUMBER(T1546)),"Needs supplier cost",IF(K1546&lt;&gt;"In stock","Supplier unavailable",IF(AG1546&lt;&gt;"PASS","BLOCK - GT loss risk","Commercially protected")))</x:f>
        <x:v>Needs supplier cost</x:v>
      </x:c>
      <x:c r="AI1546" t="str">
        <x:v>2026-09-10 Active Sports trade capture</x:v>
      </x:c>
      <x:c r="AJ1546" t="str">
        <x:v>Management-only economics. Stripe stress test uses 1.5% + £0.20 standard UK online-card fee; pallet/mix-and-match pricing ignored.</x:v>
      </x:c>
    </x:row>
    <x:row r="1547">
      <x:c r="A1547" t="str">
        <x:v>Active Sports Nutrition</x:v>
      </x:c>
      <x:c r="B1547" t="str">
        <x:v>NXT Nutrition</x:v>
      </x:c>
      <x:c r="C1547" t="str">
        <x:v>Caffeine</x:v>
      </x:c>
      <x:c r="D1547" t="str">
        <x:v>Supplements</x:v>
      </x:c>
      <x:c r="E1547" t="str">
        <x:v>Energy</x:v>
      </x:c>
      <x:c r="F1547" t="str"/>
      <x:c r="G1547" t="str">
        <x:v>60 tablets</x:v>
      </x:c>
      <x:c r="H1547" t="str">
        <x:v>Default</x:v>
      </x:c>
      <x:c r="I1547" t="str"/>
      <x:c r="J1547" t="str">
        <x:v>Unit</x:v>
      </x:c>
      <x:c r="K1547" t="str">
        <x:v>In stock</x:v>
      </x:c>
      <x:c r="L1547" t="str">
        <x:v>2026-09-08</x:v>
      </x:c>
      <x:c r="M1547" t="str"/>
      <x:c r="N1547" t="str"/>
      <x:c r="O1547" t="str">
        <x:v>https://www.activesportstrade.co.uk/trade-pre-workout-supplements/nxt-nutrition-trade</x:v>
      </x:c>
      <x:c r="P1547" t="str"/>
      <x:c r="Q1547" t="str"/>
      <x:c r="R1547" t="str"/>
      <x:c r="S1547" t="str">
        <x:v>Pending genuine supplier/brand image</x:v>
      </x:c>
      <x:c r="T1547" s="54"/>
      <x:c r="U1547" s="47" t="n">
        <x:v>0.2</x:v>
      </x:c>
      <x:c r="V1547" s="54" t="str">
        <x:f>IF(ISNUMBER(T1547),T1547*(1+U1547),"")</x:f>
      </x:c>
      <x:c r="W1547" s="47" t="n">
        <x:v>0.3</x:v>
      </x:c>
      <x:c r="X1547" s="54" t="str">
        <x:f>IF(ISNUMBER(V1547),V1547/(1-W1547),"")</x:f>
      </x:c>
      <x:c r="Y1547" s="55" t="str">
        <x:f>IF(ISNUMBER(X1547),ROUNDUP(X1547,0),"")</x:f>
      </x:c>
      <x:c r="Z1547" t="str">
        <x:f>IF(ISNUMBER(T1547),"Cost captured","Awaiting trade cost")</x:f>
        <x:v>Awaiting trade cost</x:v>
      </x:c>
      <x:c r="AB1547" s="36" t="str">
        <x:f>IF(ISNUMBER(Y1547),ROUND(Y1547*0.9,2),"")</x:f>
      </x:c>
      <x:c r="AC1547" s="36" t="str">
        <x:f>IF(ISNUMBER(AB1547),ROUND(AB1547-(AB1547*0.015+0.2)-V1547,2),"")</x:f>
      </x:c>
      <x:c r="AD1547" s="36" t="str">
        <x:f>IF(ISNUMBER(Y1547),ROUND(Y1547*0.8,2),"")</x:f>
      </x:c>
      <x:c r="AE1547" s="36" t="str">
        <x:f>IF(ISNUMBER(AD1547),ROUND(AD1547*0.015+0.2,2),"")</x:f>
      </x:c>
      <x:c r="AF1547" s="36" t="str">
        <x:f>IF(ISNUMBER(AD1547),ROUND(AD1547-AE1547-V1547,2),"")</x:f>
      </x:c>
      <x:c r="AG1547" t="str">
        <x:f>IF(NOT(ISNUMBER(T1547)),"PENDING",IF(AF1547&gt;0,"PASS","FAIL"))</x:f>
        <x:v>PENDING</x:v>
      </x:c>
      <x:c r="AH1547" t="str">
        <x:f>IF(NOT(ISNUMBER(T1547)),"Needs supplier cost",IF(K1547&lt;&gt;"In stock","Supplier unavailable",IF(AG1547&lt;&gt;"PASS","BLOCK - GT loss risk","Commercially protected")))</x:f>
        <x:v>Needs supplier cost</x:v>
      </x:c>
      <x:c r="AI1547" t="str">
        <x:v>2026-09-10 Active Sports trade capture</x:v>
      </x:c>
      <x:c r="AJ1547" t="str">
        <x:v>Management-only economics. Stripe stress test uses 1.5% + £0.20 standard UK online-card fee; pallet/mix-and-match pricing ignored.</x:v>
      </x:c>
    </x:row>
    <x:row r="1548">
      <x:c r="A1548" t="str">
        <x:v>Active Sports Nutrition</x:v>
      </x:c>
      <x:c r="B1548" t="str">
        <x:v>NXT Nutrition</x:v>
      </x:c>
      <x:c r="C1548" t="str">
        <x:v>TNT Nuclear Cans</x:v>
      </x:c>
      <x:c r="D1548" t="str">
        <x:v>Drinks and Bars</x:v>
      </x:c>
      <x:c r="E1548" t="str">
        <x:v>Ready to Drink Energy</x:v>
      </x:c>
      <x:c r="F1548" t="str"/>
      <x:c r="G1548" t="str">
        <x:v>12 x 330ml cans</x:v>
      </x:c>
      <x:c r="H1548" t="str">
        <x:v>Cherry Cola</x:v>
      </x:c>
      <x:c r="I1548" t="str">
        <x:v>12</x:v>
      </x:c>
      <x:c r="J1548" t="str">
        <x:v>Case</x:v>
      </x:c>
      <x:c r="K1548" t="str">
        <x:v>In stock</x:v>
      </x:c>
      <x:c r="L1548" t="str">
        <x:v>2026-09-08</x:v>
      </x:c>
      <x:c r="M1548" t="str"/>
      <x:c r="N1548" t="str"/>
      <x:c r="O1548" t="str">
        <x:v>https://www.activesportstrade.co.uk/trade-pre-workout-supplements/nxt-nutrition-trade</x:v>
      </x:c>
      <x:c r="P1548" t="str">
        <x:v>SPECIAL OFFER / BUY 5 GET 1 FREE wording removed. Case-only member order.</x:v>
      </x:c>
      <x:c r="Q1548" t="str"/>
      <x:c r="R1548" t="str"/>
      <x:c r="S1548" t="str">
        <x:v>Pending genuine supplier/brand image</x:v>
      </x:c>
      <x:c r="T1548" s="54"/>
      <x:c r="U1548" s="47" t="n">
        <x:v>0.2</x:v>
      </x:c>
      <x:c r="V1548" s="54" t="str">
        <x:f>IF(ISNUMBER(T1548),T1548*(1+U1548),"")</x:f>
      </x:c>
      <x:c r="W1548" s="47" t="n">
        <x:v>0.3</x:v>
      </x:c>
      <x:c r="X1548" s="54" t="str">
        <x:f>IF(ISNUMBER(V1548),V1548/(1-W1548),"")</x:f>
      </x:c>
      <x:c r="Y1548" s="55" t="str">
        <x:f>IF(ISNUMBER(X1548),ROUNDUP(X1548,0),"")</x:f>
      </x:c>
      <x:c r="Z1548" t="str">
        <x:f>IF(ISNUMBER(T1548),"Cost captured","Awaiting trade cost")</x:f>
        <x:v>Awaiting trade cost</x:v>
      </x:c>
      <x:c r="AB1548" s="36" t="str">
        <x:f>IF(ISNUMBER(Y1548),ROUND(Y1548*0.9,2),"")</x:f>
      </x:c>
      <x:c r="AC1548" s="36" t="str">
        <x:f>IF(ISNUMBER(AB1548),ROUND(AB1548-(AB1548*0.015+0.2)-V1548,2),"")</x:f>
      </x:c>
      <x:c r="AD1548" s="36" t="str">
        <x:f>IF(ISNUMBER(Y1548),ROUND(Y1548*0.8,2),"")</x:f>
      </x:c>
      <x:c r="AE1548" s="36" t="str">
        <x:f>IF(ISNUMBER(AD1548),ROUND(AD1548*0.015+0.2,2),"")</x:f>
      </x:c>
      <x:c r="AF1548" s="36" t="str">
        <x:f>IF(ISNUMBER(AD1548),ROUND(AD1548-AE1548-V1548,2),"")</x:f>
      </x:c>
      <x:c r="AG1548" t="str">
        <x:f>IF(NOT(ISNUMBER(T1548)),"PENDING",IF(AF1548&gt;0,"PASS","FAIL"))</x:f>
        <x:v>PENDING</x:v>
      </x:c>
      <x:c r="AH1548" t="str">
        <x:f>IF(NOT(ISNUMBER(T1548)),"Needs supplier cost",IF(K1548&lt;&gt;"In stock","Supplier unavailable",IF(AG1548&lt;&gt;"PASS","BLOCK - GT loss risk","Commercially protected")))</x:f>
        <x:v>Needs supplier cost</x:v>
      </x:c>
      <x:c r="AI1548" t="str">
        <x:v>2026-09-10 Active Sports trade capture</x:v>
      </x:c>
      <x:c r="AJ1548" t="str">
        <x:v>Management-only economics. Stripe stress test uses 1.5% + £0.20 standard UK online-card fee; pallet/mix-and-match pricing ignored.</x:v>
      </x:c>
    </x:row>
    <x:row r="1549">
      <x:c r="A1549" t="str">
        <x:v>Active Sports Nutrition</x:v>
      </x:c>
      <x:c r="B1549" t="str">
        <x:v>NXT Nutrition</x:v>
      </x:c>
      <x:c r="C1549" t="str">
        <x:v>TNT Nuclear Cans</x:v>
      </x:c>
      <x:c r="D1549" t="str">
        <x:v>Drinks and Bars</x:v>
      </x:c>
      <x:c r="E1549" t="str">
        <x:v>Ready to Drink Energy</x:v>
      </x:c>
      <x:c r="F1549" t="str"/>
      <x:c r="G1549" t="str">
        <x:v>12 x 330ml cans</x:v>
      </x:c>
      <x:c r="H1549" t="str">
        <x:v>Ice Burst</x:v>
      </x:c>
      <x:c r="I1549" t="str">
        <x:v>12</x:v>
      </x:c>
      <x:c r="J1549" t="str">
        <x:v>Case</x:v>
      </x:c>
      <x:c r="K1549" t="str">
        <x:v>In stock</x:v>
      </x:c>
      <x:c r="L1549" t="str">
        <x:v>2026-09-08</x:v>
      </x:c>
      <x:c r="M1549" t="str"/>
      <x:c r="N1549" t="str"/>
      <x:c r="O1549" t="str">
        <x:v>https://www.activesportstrade.co.uk/trade-pre-workout-supplements/nxt-nutrition-trade</x:v>
      </x:c>
      <x:c r="P1549" t="str">
        <x:v>SPECIAL OFFER / BUY 5 GET 1 FREE wording removed. Case-only member order.</x:v>
      </x:c>
      <x:c r="Q1549" t="str"/>
      <x:c r="R1549" t="str"/>
      <x:c r="S1549" t="str">
        <x:v>Pending genuine supplier/brand image</x:v>
      </x:c>
      <x:c r="T1549" s="54"/>
      <x:c r="U1549" s="47" t="n">
        <x:v>0.2</x:v>
      </x:c>
      <x:c r="V1549" s="54" t="str">
        <x:f>IF(ISNUMBER(T1549),T1549*(1+U1549),"")</x:f>
      </x:c>
      <x:c r="W1549" s="47" t="n">
        <x:v>0.3</x:v>
      </x:c>
      <x:c r="X1549" s="54" t="str">
        <x:f>IF(ISNUMBER(V1549),V1549/(1-W1549),"")</x:f>
      </x:c>
      <x:c r="Y1549" s="55" t="str">
        <x:f>IF(ISNUMBER(X1549),ROUNDUP(X1549,0),"")</x:f>
      </x:c>
      <x:c r="Z1549" t="str">
        <x:f>IF(ISNUMBER(T1549),"Cost captured","Awaiting trade cost")</x:f>
        <x:v>Awaiting trade cost</x:v>
      </x:c>
      <x:c r="AB1549" s="36" t="str">
        <x:f>IF(ISNUMBER(Y1549),ROUND(Y1549*0.9,2),"")</x:f>
      </x:c>
      <x:c r="AC1549" s="36" t="str">
        <x:f>IF(ISNUMBER(AB1549),ROUND(AB1549-(AB1549*0.015+0.2)-V1549,2),"")</x:f>
      </x:c>
      <x:c r="AD1549" s="36" t="str">
        <x:f>IF(ISNUMBER(Y1549),ROUND(Y1549*0.8,2),"")</x:f>
      </x:c>
      <x:c r="AE1549" s="36" t="str">
        <x:f>IF(ISNUMBER(AD1549),ROUND(AD1549*0.015+0.2,2),"")</x:f>
      </x:c>
      <x:c r="AF1549" s="36" t="str">
        <x:f>IF(ISNUMBER(AD1549),ROUND(AD1549-AE1549-V1549,2),"")</x:f>
      </x:c>
      <x:c r="AG1549" t="str">
        <x:f>IF(NOT(ISNUMBER(T1549)),"PENDING",IF(AF1549&gt;0,"PASS","FAIL"))</x:f>
        <x:v>PENDING</x:v>
      </x:c>
      <x:c r="AH1549" t="str">
        <x:f>IF(NOT(ISNUMBER(T1549)),"Needs supplier cost",IF(K1549&lt;&gt;"In stock","Supplier unavailable",IF(AG1549&lt;&gt;"PASS","BLOCK - GT loss risk","Commercially protected")))</x:f>
        <x:v>Needs supplier cost</x:v>
      </x:c>
      <x:c r="AI1549" t="str">
        <x:v>2026-09-10 Active Sports trade capture</x:v>
      </x:c>
      <x:c r="AJ1549" t="str">
        <x:v>Management-only economics. Stripe stress test uses 1.5% + £0.20 standard UK online-card fee; pallet/mix-and-match pricing ignored.</x:v>
      </x:c>
    </x:row>
    <x:row r="1550">
      <x:c r="A1550" t="str">
        <x:v>Active Sports Nutrition</x:v>
      </x:c>
      <x:c r="B1550" t="str">
        <x:v>NXT Nutrition</x:v>
      </x:c>
      <x:c r="C1550" t="str">
        <x:v>TNT Nuclear Cans</x:v>
      </x:c>
      <x:c r="D1550" t="str">
        <x:v>Drinks and Bars</x:v>
      </x:c>
      <x:c r="E1550" t="str">
        <x:v>Ready to Drink Energy</x:v>
      </x:c>
      <x:c r="F1550" t="str"/>
      <x:c r="G1550" t="str">
        <x:v>12 x 330ml cans</x:v>
      </x:c>
      <x:c r="H1550" t="str">
        <x:v>Lemonade</x:v>
      </x:c>
      <x:c r="I1550" t="str">
        <x:v>12</x:v>
      </x:c>
      <x:c r="J1550" t="str">
        <x:v>Case</x:v>
      </x:c>
      <x:c r="K1550" t="str">
        <x:v>In stock</x:v>
      </x:c>
      <x:c r="L1550" t="str">
        <x:v>2026-09-08</x:v>
      </x:c>
      <x:c r="M1550" t="str"/>
      <x:c r="N1550" t="str"/>
      <x:c r="O1550" t="str">
        <x:v>https://www.activesportstrade.co.uk/trade-pre-workout-supplements/nxt-nutrition-trade</x:v>
      </x:c>
      <x:c r="P1550" t="str">
        <x:v>SPECIAL OFFER / BUY 5 GET 1 FREE wording removed. Case-only member order.</x:v>
      </x:c>
      <x:c r="Q1550" t="str"/>
      <x:c r="R1550" t="str"/>
      <x:c r="S1550" t="str">
        <x:v>Pending genuine supplier/brand image</x:v>
      </x:c>
      <x:c r="T1550" s="54"/>
      <x:c r="U1550" s="47" t="n">
        <x:v>0.2</x:v>
      </x:c>
      <x:c r="V1550" s="54" t="str">
        <x:f>IF(ISNUMBER(T1550),T1550*(1+U1550),"")</x:f>
      </x:c>
      <x:c r="W1550" s="47" t="n">
        <x:v>0.3</x:v>
      </x:c>
      <x:c r="X1550" s="54" t="str">
        <x:f>IF(ISNUMBER(V1550),V1550/(1-W1550),"")</x:f>
      </x:c>
      <x:c r="Y1550" s="55" t="str">
        <x:f>IF(ISNUMBER(X1550),ROUNDUP(X1550,0),"")</x:f>
      </x:c>
      <x:c r="Z1550" t="str">
        <x:f>IF(ISNUMBER(T1550),"Cost captured","Awaiting trade cost")</x:f>
        <x:v>Awaiting trade cost</x:v>
      </x:c>
      <x:c r="AB1550" s="36" t="str">
        <x:f>IF(ISNUMBER(Y1550),ROUND(Y1550*0.9,2),"")</x:f>
      </x:c>
      <x:c r="AC1550" s="36" t="str">
        <x:f>IF(ISNUMBER(AB1550),ROUND(AB1550-(AB1550*0.015+0.2)-V1550,2),"")</x:f>
      </x:c>
      <x:c r="AD1550" s="36" t="str">
        <x:f>IF(ISNUMBER(Y1550),ROUND(Y1550*0.8,2),"")</x:f>
      </x:c>
      <x:c r="AE1550" s="36" t="str">
        <x:f>IF(ISNUMBER(AD1550),ROUND(AD1550*0.015+0.2,2),"")</x:f>
      </x:c>
      <x:c r="AF1550" s="36" t="str">
        <x:f>IF(ISNUMBER(AD1550),ROUND(AD1550-AE1550-V1550,2),"")</x:f>
      </x:c>
      <x:c r="AG1550" t="str">
        <x:f>IF(NOT(ISNUMBER(T1550)),"PENDING",IF(AF1550&gt;0,"PASS","FAIL"))</x:f>
        <x:v>PENDING</x:v>
      </x:c>
      <x:c r="AH1550" t="str">
        <x:f>IF(NOT(ISNUMBER(T1550)),"Needs supplier cost",IF(K1550&lt;&gt;"In stock","Supplier unavailable",IF(AG1550&lt;&gt;"PASS","BLOCK - GT loss risk","Commercially protected")))</x:f>
        <x:v>Needs supplier cost</x:v>
      </x:c>
      <x:c r="AI1550" t="str">
        <x:v>2026-09-10 Active Sports trade capture</x:v>
      </x:c>
      <x:c r="AJ1550" t="str">
        <x:v>Management-only economics. Stripe stress test uses 1.5% + £0.20 standard UK online-card fee; pallet/mix-and-match pricing ignored.</x:v>
      </x:c>
    </x:row>
    <x:row r="1551">
      <x:c r="A1551" t="str">
        <x:v>Active Sports Nutrition</x:v>
      </x:c>
      <x:c r="B1551" t="str">
        <x:v>NXT Nutrition</x:v>
      </x:c>
      <x:c r="C1551" t="str">
        <x:v>TNT Nuclear PRE</x:v>
      </x:c>
      <x:c r="D1551" t="str">
        <x:v>Pre Workouts</x:v>
      </x:c>
      <x:c r="E1551" t="str">
        <x:v>High Stim</x:v>
      </x:c>
      <x:c r="F1551" t="str"/>
      <x:c r="G1551" t="str">
        <x:v>420g</x:v>
      </x:c>
      <x:c r="H1551" t="str">
        <x:v>Fizzy Cola Bottles</x:v>
      </x:c>
      <x:c r="I1551" t="str"/>
      <x:c r="J1551" t="str">
        <x:v>Unit</x:v>
      </x:c>
      <x:c r="K1551" t="str">
        <x:v>In stock</x:v>
      </x:c>
      <x:c r="L1551" t="str">
        <x:v>2026-09-08</x:v>
      </x:c>
      <x:c r="M1551" t="str"/>
      <x:c r="N1551" t="str"/>
      <x:c r="O1551" t="str">
        <x:v>https://www.activesportstrade.co.uk/trade-pre-workout-supplements/nxt-nutrition-trade</x:v>
      </x:c>
      <x:c r="P1551" t="str">
        <x:v>SPECIAL OFFER / FREE CAFFEINE CAPS wording removed. Current crawl may expose further flavours later; coverage remains underway.</x:v>
      </x:c>
      <x:c r="Q1551" t="str"/>
      <x:c r="R1551" t="str"/>
      <x:c r="S1551" t="str">
        <x:v>Pending genuine supplier/brand image</x:v>
      </x:c>
      <x:c r="T1551" s="54"/>
      <x:c r="U1551" s="47" t="n">
        <x:v>0.2</x:v>
      </x:c>
      <x:c r="V1551" s="54" t="str">
        <x:f>IF(ISNUMBER(T1551),T1551*(1+U1551),"")</x:f>
      </x:c>
      <x:c r="W1551" s="47" t="n">
        <x:v>0.3</x:v>
      </x:c>
      <x:c r="X1551" s="54" t="str">
        <x:f>IF(ISNUMBER(V1551),V1551/(1-W1551),"")</x:f>
      </x:c>
      <x:c r="Y1551" s="55" t="str">
        <x:f>IF(ISNUMBER(X1551),ROUNDUP(X1551,0),"")</x:f>
      </x:c>
      <x:c r="Z1551" t="str">
        <x:f>IF(ISNUMBER(T1551),"Cost captured","Awaiting trade cost")</x:f>
        <x:v>Awaiting trade cost</x:v>
      </x:c>
      <x:c r="AB1551" s="36" t="str">
        <x:f>IF(ISNUMBER(Y1551),ROUND(Y1551*0.9,2),"")</x:f>
      </x:c>
      <x:c r="AC1551" s="36" t="str">
        <x:f>IF(ISNUMBER(AB1551),ROUND(AB1551-(AB1551*0.015+0.2)-V1551,2),"")</x:f>
      </x:c>
      <x:c r="AD1551" s="36" t="str">
        <x:f>IF(ISNUMBER(Y1551),ROUND(Y1551*0.8,2),"")</x:f>
      </x:c>
      <x:c r="AE1551" s="36" t="str">
        <x:f>IF(ISNUMBER(AD1551),ROUND(AD1551*0.015+0.2,2),"")</x:f>
      </x:c>
      <x:c r="AF1551" s="36" t="str">
        <x:f>IF(ISNUMBER(AD1551),ROUND(AD1551-AE1551-V1551,2),"")</x:f>
      </x:c>
      <x:c r="AG1551" t="str">
        <x:f>IF(NOT(ISNUMBER(T1551)),"PENDING",IF(AF1551&gt;0,"PASS","FAIL"))</x:f>
        <x:v>PENDING</x:v>
      </x:c>
      <x:c r="AH1551" t="str">
        <x:f>IF(NOT(ISNUMBER(T1551)),"Needs supplier cost",IF(K1551&lt;&gt;"In stock","Supplier unavailable",IF(AG1551&lt;&gt;"PASS","BLOCK - GT loss risk","Commercially protected")))</x:f>
        <x:v>Needs supplier cost</x:v>
      </x:c>
      <x:c r="AI1551" t="str">
        <x:v>2026-09-10 Active Sports trade capture</x:v>
      </x:c>
      <x:c r="AJ1551" t="str">
        <x:v>Management-only economics. Stripe stress test uses 1.5% + £0.20 standard UK online-card fee; pallet/mix-and-match pricing ignored.</x:v>
      </x:c>
    </x:row>
    <x:row r="1552">
      <x:c r="A1552" t="str">
        <x:v>Active Sports Nutrition</x:v>
      </x:c>
      <x:c r="B1552" t="str">
        <x:v>NXT Nutrition</x:v>
      </x:c>
      <x:c r="C1552" t="str">
        <x:v>TNT Nuclear PRE</x:v>
      </x:c>
      <x:c r="D1552" t="str">
        <x:v>Pre Workouts</x:v>
      </x:c>
      <x:c r="E1552" t="str">
        <x:v>High Stim</x:v>
      </x:c>
      <x:c r="F1552" t="str"/>
      <x:c r="G1552" t="str">
        <x:v>420g</x:v>
      </x:c>
      <x:c r="H1552" t="str">
        <x:v>Fruit Pastilles</x:v>
      </x:c>
      <x:c r="I1552" t="str"/>
      <x:c r="J1552" t="str">
        <x:v>Unit</x:v>
      </x:c>
      <x:c r="K1552" t="str">
        <x:v>In stock</x:v>
      </x:c>
      <x:c r="L1552" t="str">
        <x:v>2026-09-08</x:v>
      </x:c>
      <x:c r="M1552" t="str"/>
      <x:c r="N1552" t="str"/>
      <x:c r="O1552" t="str">
        <x:v>https://www.activesportstrade.co.uk/trade-pre-workout-supplements/nxt-nutrition-trade</x:v>
      </x:c>
      <x:c r="P1552" t="str">
        <x:v>SPECIAL OFFER / FREE CAFFEINE CAPS wording removed. Current crawl may expose further flavours later; coverage remains underway.</x:v>
      </x:c>
      <x:c r="Q1552" t="str"/>
      <x:c r="R1552" t="str"/>
      <x:c r="S1552" t="str">
        <x:v>Pending genuine supplier/brand image</x:v>
      </x:c>
      <x:c r="T1552" s="54"/>
      <x:c r="U1552" s="47" t="n">
        <x:v>0.2</x:v>
      </x:c>
      <x:c r="V1552" s="54" t="str">
        <x:f>IF(ISNUMBER(T1552),T1552*(1+U1552),"")</x:f>
      </x:c>
      <x:c r="W1552" s="47" t="n">
        <x:v>0.3</x:v>
      </x:c>
      <x:c r="X1552" s="54" t="str">
        <x:f>IF(ISNUMBER(V1552),V1552/(1-W1552),"")</x:f>
      </x:c>
      <x:c r="Y1552" s="55" t="str">
        <x:f>IF(ISNUMBER(X1552),ROUNDUP(X1552,0),"")</x:f>
      </x:c>
      <x:c r="Z1552" t="str">
        <x:f>IF(ISNUMBER(T1552),"Cost captured","Awaiting trade cost")</x:f>
        <x:v>Awaiting trade cost</x:v>
      </x:c>
      <x:c r="AB1552" s="36" t="str">
        <x:f>IF(ISNUMBER(Y1552),ROUND(Y1552*0.9,2),"")</x:f>
      </x:c>
      <x:c r="AC1552" s="36" t="str">
        <x:f>IF(ISNUMBER(AB1552),ROUND(AB1552-(AB1552*0.015+0.2)-V1552,2),"")</x:f>
      </x:c>
      <x:c r="AD1552" s="36" t="str">
        <x:f>IF(ISNUMBER(Y1552),ROUND(Y1552*0.8,2),"")</x:f>
      </x:c>
      <x:c r="AE1552" s="36" t="str">
        <x:f>IF(ISNUMBER(AD1552),ROUND(AD1552*0.015+0.2,2),"")</x:f>
      </x:c>
      <x:c r="AF1552" s="36" t="str">
        <x:f>IF(ISNUMBER(AD1552),ROUND(AD1552-AE1552-V1552,2),"")</x:f>
      </x:c>
      <x:c r="AG1552" t="str">
        <x:f>IF(NOT(ISNUMBER(T1552)),"PENDING",IF(AF1552&gt;0,"PASS","FAIL"))</x:f>
        <x:v>PENDING</x:v>
      </x:c>
      <x:c r="AH1552" t="str">
        <x:f>IF(NOT(ISNUMBER(T1552)),"Needs supplier cost",IF(K1552&lt;&gt;"In stock","Supplier unavailable",IF(AG1552&lt;&gt;"PASS","BLOCK - GT loss risk","Commercially protected")))</x:f>
        <x:v>Needs supplier cost</x:v>
      </x:c>
      <x:c r="AI1552" t="str">
        <x:v>2026-09-10 Active Sports trade capture</x:v>
      </x:c>
      <x:c r="AJ1552" t="str">
        <x:v>Management-only economics. Stripe stress test uses 1.5% + £0.20 standard UK online-card fee; pallet/mix-and-match pricing ignored.</x:v>
      </x:c>
    </x:row>
    <x:row r="1553">
      <x:c r="A1553" t="str">
        <x:v>Active Sports Nutrition</x:v>
      </x:c>
      <x:c r="B1553" t="str">
        <x:v>NXT Nutrition</x:v>
      </x:c>
      <x:c r="C1553" t="str">
        <x:v>TNT Nuclear PRE</x:v>
      </x:c>
      <x:c r="D1553" t="str">
        <x:v>Pre Workouts</x:v>
      </x:c>
      <x:c r="E1553" t="str">
        <x:v>High Stim</x:v>
      </x:c>
      <x:c r="F1553" t="str"/>
      <x:c r="G1553" t="str">
        <x:v>420g</x:v>
      </x:c>
      <x:c r="H1553" t="str">
        <x:v>Green Apple</x:v>
      </x:c>
      <x:c r="I1553" t="str"/>
      <x:c r="J1553" t="str">
        <x:v>Unit</x:v>
      </x:c>
      <x:c r="K1553" t="str">
        <x:v>In stock</x:v>
      </x:c>
      <x:c r="L1553" t="str">
        <x:v>2026-09-08</x:v>
      </x:c>
      <x:c r="M1553" t="str"/>
      <x:c r="N1553" t="str"/>
      <x:c r="O1553" t="str">
        <x:v>https://www.activesportstrade.co.uk/trade-pre-workout-supplements/nxt-nutrition-trade</x:v>
      </x:c>
      <x:c r="P1553" t="str">
        <x:v>SPECIAL OFFER / FREE CAFFEINE CAPS wording removed. Current crawl may expose further flavours later; coverage remains underway.</x:v>
      </x:c>
      <x:c r="Q1553" t="str"/>
      <x:c r="R1553" t="str"/>
      <x:c r="S1553" t="str">
        <x:v>Pending genuine supplier/brand image</x:v>
      </x:c>
      <x:c r="T1553" s="54"/>
      <x:c r="U1553" s="47" t="n">
        <x:v>0.2</x:v>
      </x:c>
      <x:c r="V1553" s="54" t="str">
        <x:f>IF(ISNUMBER(T1553),T1553*(1+U1553),"")</x:f>
      </x:c>
      <x:c r="W1553" s="47" t="n">
        <x:v>0.3</x:v>
      </x:c>
      <x:c r="X1553" s="54" t="str">
        <x:f>IF(ISNUMBER(V1553),V1553/(1-W1553),"")</x:f>
      </x:c>
      <x:c r="Y1553" s="55" t="str">
        <x:f>IF(ISNUMBER(X1553),ROUNDUP(X1553,0),"")</x:f>
      </x:c>
      <x:c r="Z1553" t="str">
        <x:f>IF(ISNUMBER(T1553),"Cost captured","Awaiting trade cost")</x:f>
        <x:v>Awaiting trade cost</x:v>
      </x:c>
      <x:c r="AB1553" s="36" t="str">
        <x:f>IF(ISNUMBER(Y1553),ROUND(Y1553*0.9,2),"")</x:f>
      </x:c>
      <x:c r="AC1553" s="36" t="str">
        <x:f>IF(ISNUMBER(AB1553),ROUND(AB1553-(AB1553*0.015+0.2)-V1553,2),"")</x:f>
      </x:c>
      <x:c r="AD1553" s="36" t="str">
        <x:f>IF(ISNUMBER(Y1553),ROUND(Y1553*0.8,2),"")</x:f>
      </x:c>
      <x:c r="AE1553" s="36" t="str">
        <x:f>IF(ISNUMBER(AD1553),ROUND(AD1553*0.015+0.2,2),"")</x:f>
      </x:c>
      <x:c r="AF1553" s="36" t="str">
        <x:f>IF(ISNUMBER(AD1553),ROUND(AD1553-AE1553-V1553,2),"")</x:f>
      </x:c>
      <x:c r="AG1553" t="str">
        <x:f>IF(NOT(ISNUMBER(T1553)),"PENDING",IF(AF1553&gt;0,"PASS","FAIL"))</x:f>
        <x:v>PENDING</x:v>
      </x:c>
      <x:c r="AH1553" t="str">
        <x:f>IF(NOT(ISNUMBER(T1553)),"Needs supplier cost",IF(K1553&lt;&gt;"In stock","Supplier unavailable",IF(AG1553&lt;&gt;"PASS","BLOCK - GT loss risk","Commercially protected")))</x:f>
        <x:v>Needs supplier cost</x:v>
      </x:c>
      <x:c r="AI1553" t="str">
        <x:v>2026-09-10 Active Sports trade capture</x:v>
      </x:c>
      <x:c r="AJ1553" t="str">
        <x:v>Management-only economics. Stripe stress test uses 1.5% + £0.20 standard UK online-card fee; pallet/mix-and-match pricing ignored.</x:v>
      </x:c>
    </x:row>
    <x:row r="1554">
      <x:c r="A1554" t="str">
        <x:v>Active Sports Nutrition</x:v>
      </x:c>
      <x:c r="B1554" t="str">
        <x:v>NXT Nutrition</x:v>
      </x:c>
      <x:c r="C1554" t="str">
        <x:v>Beef Protein Isolate</x:v>
      </x:c>
      <x:c r="D1554" t="str">
        <x:v>Supplements</x:v>
      </x:c>
      <x:c r="E1554" t="str">
        <x:v>Protein Blends</x:v>
      </x:c>
      <x:c r="F1554" t="str">
        <x:v>Beef protein isolate.</x:v>
      </x:c>
      <x:c r="G1554" t="str">
        <x:v>1.8kg</x:v>
      </x:c>
      <x:c r="H1554" t="str">
        <x:v>Apple</x:v>
      </x:c>
      <x:c r="I1554" t="str"/>
      <x:c r="J1554" t="str">
        <x:v>Unit</x:v>
      </x:c>
      <x:c r="K1554" t="str">
        <x:v>In stock</x:v>
      </x:c>
      <x:c r="L1554" t="str">
        <x:v>2026-09-08</x:v>
      </x:c>
      <x:c r="M1554" t="str"/>
      <x:c r="N1554" t="str"/>
      <x:c r="O1554" t="str">
        <x:v>https://www.activesportstrade.co.uk/Protein-Blends-Trade</x:v>
      </x:c>
      <x:c r="P1554" t="str">
        <x:v>Fresh Protein Blends page used over older whey crawl; Blue Coconut and Cherry Cola now out of stock.</x:v>
      </x:c>
      <x:c r="Q1554" t="str"/>
      <x:c r="R1554" t="str"/>
      <x:c r="S1554" t="str">
        <x:v>Pending genuine supplier/brand image</x:v>
      </x:c>
      <x:c r="T1554" s="54"/>
      <x:c r="U1554" s="47" t="n">
        <x:v>0.2</x:v>
      </x:c>
      <x:c r="V1554" s="54" t="str">
        <x:f>IF(ISNUMBER(T1554),T1554*(1+U1554),"")</x:f>
      </x:c>
      <x:c r="W1554" s="47" t="n">
        <x:v>0.3</x:v>
      </x:c>
      <x:c r="X1554" s="54" t="str">
        <x:f>IF(ISNUMBER(V1554),V1554/(1-W1554),"")</x:f>
      </x:c>
      <x:c r="Y1554" s="55" t="str">
        <x:f>IF(ISNUMBER(X1554),ROUNDUP(X1554,0),"")</x:f>
      </x:c>
      <x:c r="Z1554" t="str">
        <x:f>IF(ISNUMBER(T1554),"Cost captured","Awaiting trade cost")</x:f>
        <x:v>Awaiting trade cost</x:v>
      </x:c>
      <x:c r="AB1554" s="36" t="str">
        <x:f>IF(ISNUMBER(Y1554),ROUND(Y1554*0.9,2),"")</x:f>
      </x:c>
      <x:c r="AC1554" s="36" t="str">
        <x:f>IF(ISNUMBER(AB1554),ROUND(AB1554-(AB1554*0.015+0.2)-V1554,2),"")</x:f>
      </x:c>
      <x:c r="AD1554" s="36" t="str">
        <x:f>IF(ISNUMBER(Y1554),ROUND(Y1554*0.8,2),"")</x:f>
      </x:c>
      <x:c r="AE1554" s="36" t="str">
        <x:f>IF(ISNUMBER(AD1554),ROUND(AD1554*0.015+0.2,2),"")</x:f>
      </x:c>
      <x:c r="AF1554" s="36" t="str">
        <x:f>IF(ISNUMBER(AD1554),ROUND(AD1554-AE1554-V1554,2),"")</x:f>
      </x:c>
      <x:c r="AG1554" t="str">
        <x:f>IF(NOT(ISNUMBER(T1554)),"PENDING",IF(AF1554&gt;0,"PASS","FAIL"))</x:f>
        <x:v>PENDING</x:v>
      </x:c>
      <x:c r="AH1554" t="str">
        <x:f>IF(NOT(ISNUMBER(T1554)),"Needs supplier cost",IF(K1554&lt;&gt;"In stock","Supplier unavailable",IF(AG1554&lt;&gt;"PASS","BLOCK - GT loss risk","Commercially protected")))</x:f>
        <x:v>Needs supplier cost</x:v>
      </x:c>
      <x:c r="AI1554" t="str">
        <x:v>2026-09-10 Active Sports trade capture</x:v>
      </x:c>
      <x:c r="AJ1554" t="str">
        <x:v>Management-only economics. Stripe stress test uses 1.5% + £0.20 standard UK online-card fee; pallet/mix-and-match pricing ignored.</x:v>
      </x:c>
    </x:row>
    <x:row r="1555">
      <x:c r="A1555" t="str">
        <x:v>Active Sports Nutrition</x:v>
      </x:c>
      <x:c r="B1555" t="str">
        <x:v>NXT Nutrition</x:v>
      </x:c>
      <x:c r="C1555" t="str">
        <x:v>Beef Protein Isolate</x:v>
      </x:c>
      <x:c r="D1555" t="str">
        <x:v>Supplements</x:v>
      </x:c>
      <x:c r="E1555" t="str">
        <x:v>Protein Blends</x:v>
      </x:c>
      <x:c r="F1555" t="str">
        <x:v>Beef protein isolate.</x:v>
      </x:c>
      <x:c r="G1555" t="str">
        <x:v>1.8kg</x:v>
      </x:c>
      <x:c r="H1555" t="str">
        <x:v>Apple &amp; Blackcurrant</x:v>
      </x:c>
      <x:c r="I1555" t="str"/>
      <x:c r="J1555" t="str">
        <x:v>Unit</x:v>
      </x:c>
      <x:c r="K1555" t="str">
        <x:v>In stock</x:v>
      </x:c>
      <x:c r="L1555" t="str">
        <x:v>2026-09-08</x:v>
      </x:c>
      <x:c r="M1555" t="str"/>
      <x:c r="N1555" t="str"/>
      <x:c r="O1555" t="str">
        <x:v>https://www.activesportstrade.co.uk/Protein-Blends-Trade</x:v>
      </x:c>
      <x:c r="P1555" t="str">
        <x:v>Fresh Protein Blends page used over older whey crawl; Blue Coconut and Cherry Cola now out of stock.</x:v>
      </x:c>
      <x:c r="Q1555" t="str"/>
      <x:c r="R1555" t="str"/>
      <x:c r="S1555" t="str">
        <x:v>Pending genuine supplier/brand image</x:v>
      </x:c>
      <x:c r="T1555" s="54"/>
      <x:c r="U1555" s="47" t="n">
        <x:v>0.2</x:v>
      </x:c>
      <x:c r="V1555" s="54" t="str">
        <x:f>IF(ISNUMBER(T1555),T1555*(1+U1555),"")</x:f>
      </x:c>
      <x:c r="W1555" s="47" t="n">
        <x:v>0.3</x:v>
      </x:c>
      <x:c r="X1555" s="54" t="str">
        <x:f>IF(ISNUMBER(V1555),V1555/(1-W1555),"")</x:f>
      </x:c>
      <x:c r="Y1555" s="55" t="str">
        <x:f>IF(ISNUMBER(X1555),ROUNDUP(X1555,0),"")</x:f>
      </x:c>
      <x:c r="Z1555" t="str">
        <x:f>IF(ISNUMBER(T1555),"Cost captured","Awaiting trade cost")</x:f>
        <x:v>Awaiting trade cost</x:v>
      </x:c>
      <x:c r="AB1555" s="36" t="str">
        <x:f>IF(ISNUMBER(Y1555),ROUND(Y1555*0.9,2),"")</x:f>
      </x:c>
      <x:c r="AC1555" s="36" t="str">
        <x:f>IF(ISNUMBER(AB1555),ROUND(AB1555-(AB1555*0.015+0.2)-V1555,2),"")</x:f>
      </x:c>
      <x:c r="AD1555" s="36" t="str">
        <x:f>IF(ISNUMBER(Y1555),ROUND(Y1555*0.8,2),"")</x:f>
      </x:c>
      <x:c r="AE1555" s="36" t="str">
        <x:f>IF(ISNUMBER(AD1555),ROUND(AD1555*0.015+0.2,2),"")</x:f>
      </x:c>
      <x:c r="AF1555" s="36" t="str">
        <x:f>IF(ISNUMBER(AD1555),ROUND(AD1555-AE1555-V1555,2),"")</x:f>
      </x:c>
      <x:c r="AG1555" t="str">
        <x:f>IF(NOT(ISNUMBER(T1555)),"PENDING",IF(AF1555&gt;0,"PASS","FAIL"))</x:f>
        <x:v>PENDING</x:v>
      </x:c>
      <x:c r="AH1555" t="str">
        <x:f>IF(NOT(ISNUMBER(T1555)),"Needs supplier cost",IF(K1555&lt;&gt;"In stock","Supplier unavailable",IF(AG1555&lt;&gt;"PASS","BLOCK - GT loss risk","Commercially protected")))</x:f>
        <x:v>Needs supplier cost</x:v>
      </x:c>
      <x:c r="AI1555" t="str">
        <x:v>2026-09-10 Active Sports trade capture</x:v>
      </x:c>
      <x:c r="AJ1555" t="str">
        <x:v>Management-only economics. Stripe stress test uses 1.5% + £0.20 standard UK online-card fee; pallet/mix-and-match pricing ignored.</x:v>
      </x:c>
    </x:row>
    <x:row r="1556">
      <x:c r="A1556" t="str">
        <x:v>Active Sports Nutrition</x:v>
      </x:c>
      <x:c r="B1556" t="str">
        <x:v>NXT Nutrition</x:v>
      </x:c>
      <x:c r="C1556" t="str">
        <x:v>Beef Protein Isolate</x:v>
      </x:c>
      <x:c r="D1556" t="str">
        <x:v>Supplements</x:v>
      </x:c>
      <x:c r="E1556" t="str">
        <x:v>Protein Blends</x:v>
      </x:c>
      <x:c r="F1556" t="str">
        <x:v>Beef protein isolate.</x:v>
      </x:c>
      <x:c r="G1556" t="str">
        <x:v>1.8kg</x:v>
      </x:c>
      <x:c r="H1556" t="str">
        <x:v>Apple &amp; Cherry</x:v>
      </x:c>
      <x:c r="I1556" t="str"/>
      <x:c r="J1556" t="str">
        <x:v>Unit</x:v>
      </x:c>
      <x:c r="K1556" t="str">
        <x:v>In stock</x:v>
      </x:c>
      <x:c r="L1556" t="str">
        <x:v>2026-09-08</x:v>
      </x:c>
      <x:c r="M1556" t="str"/>
      <x:c r="N1556" t="str"/>
      <x:c r="O1556" t="str">
        <x:v>https://www.activesportstrade.co.uk/Protein-Blends-Trade</x:v>
      </x:c>
      <x:c r="P1556" t="str">
        <x:v>Fresh Protein Blends page used over older whey crawl; Blue Coconut and Cherry Cola now out of stock.</x:v>
      </x:c>
      <x:c r="Q1556" t="str"/>
      <x:c r="R1556" t="str"/>
      <x:c r="S1556" t="str">
        <x:v>Pending genuine supplier/brand image</x:v>
      </x:c>
      <x:c r="T1556" s="54"/>
      <x:c r="U1556" s="47" t="n">
        <x:v>0.2</x:v>
      </x:c>
      <x:c r="V1556" s="54" t="str">
        <x:f>IF(ISNUMBER(T1556),T1556*(1+U1556),"")</x:f>
      </x:c>
      <x:c r="W1556" s="47" t="n">
        <x:v>0.3</x:v>
      </x:c>
      <x:c r="X1556" s="54" t="str">
        <x:f>IF(ISNUMBER(V1556),V1556/(1-W1556),"")</x:f>
      </x:c>
      <x:c r="Y1556" s="55" t="str">
        <x:f>IF(ISNUMBER(X1556),ROUNDUP(X1556,0),"")</x:f>
      </x:c>
      <x:c r="Z1556" t="str">
        <x:f>IF(ISNUMBER(T1556),"Cost captured","Awaiting trade cost")</x:f>
        <x:v>Awaiting trade cost</x:v>
      </x:c>
      <x:c r="AB1556" s="36" t="str">
        <x:f>IF(ISNUMBER(Y1556),ROUND(Y1556*0.9,2),"")</x:f>
      </x:c>
      <x:c r="AC1556" s="36" t="str">
        <x:f>IF(ISNUMBER(AB1556),ROUND(AB1556-(AB1556*0.015+0.2)-V1556,2),"")</x:f>
      </x:c>
      <x:c r="AD1556" s="36" t="str">
        <x:f>IF(ISNUMBER(Y1556),ROUND(Y1556*0.8,2),"")</x:f>
      </x:c>
      <x:c r="AE1556" s="36" t="str">
        <x:f>IF(ISNUMBER(AD1556),ROUND(AD1556*0.015+0.2,2),"")</x:f>
      </x:c>
      <x:c r="AF1556" s="36" t="str">
        <x:f>IF(ISNUMBER(AD1556),ROUND(AD1556-AE1556-V1556,2),"")</x:f>
      </x:c>
      <x:c r="AG1556" t="str">
        <x:f>IF(NOT(ISNUMBER(T1556)),"PENDING",IF(AF1556&gt;0,"PASS","FAIL"))</x:f>
        <x:v>PENDING</x:v>
      </x:c>
      <x:c r="AH1556" t="str">
        <x:f>IF(NOT(ISNUMBER(T1556)),"Needs supplier cost",IF(K1556&lt;&gt;"In stock","Supplier unavailable",IF(AG1556&lt;&gt;"PASS","BLOCK - GT loss risk","Commercially protected")))</x:f>
        <x:v>Needs supplier cost</x:v>
      </x:c>
      <x:c r="AI1556" t="str">
        <x:v>2026-09-10 Active Sports trade capture</x:v>
      </x:c>
      <x:c r="AJ1556" t="str">
        <x:v>Management-only economics. Stripe stress test uses 1.5% + £0.20 standard UK online-card fee; pallet/mix-and-match pricing ignored.</x:v>
      </x:c>
    </x:row>
    <x:row r="1557">
      <x:c r="A1557" t="str">
        <x:v>Active Sports Nutrition</x:v>
      </x:c>
      <x:c r="B1557" t="str">
        <x:v>NXT Nutrition</x:v>
      </x:c>
      <x:c r="C1557" t="str">
        <x:v>Beef Protein Isolate</x:v>
      </x:c>
      <x:c r="D1557" t="str">
        <x:v>Supplements</x:v>
      </x:c>
      <x:c r="E1557" t="str">
        <x:v>Protein Blends</x:v>
      </x:c>
      <x:c r="F1557" t="str">
        <x:v>Beef protein isolate.</x:v>
      </x:c>
      <x:c r="G1557" t="str">
        <x:v>1.8kg</x:v>
      </x:c>
      <x:c r="H1557" t="str">
        <x:v>Black Grape</x:v>
      </x:c>
      <x:c r="I1557" t="str"/>
      <x:c r="J1557" t="str">
        <x:v>Unit</x:v>
      </x:c>
      <x:c r="K1557" t="str">
        <x:v>In stock</x:v>
      </x:c>
      <x:c r="L1557" t="str">
        <x:v>2026-09-08</x:v>
      </x:c>
      <x:c r="M1557" t="str"/>
      <x:c r="N1557" t="str"/>
      <x:c r="O1557" t="str">
        <x:v>https://www.activesportstrade.co.uk/Protein-Blends-Trade</x:v>
      </x:c>
      <x:c r="P1557" t="str">
        <x:v>Fresh Protein Blends page used over older whey crawl; Blue Coconut and Cherry Cola now out of stock.</x:v>
      </x:c>
      <x:c r="Q1557" t="str"/>
      <x:c r="R1557" t="str"/>
      <x:c r="S1557" t="str">
        <x:v>Pending genuine supplier/brand image</x:v>
      </x:c>
      <x:c r="T1557" s="54"/>
      <x:c r="U1557" s="47" t="n">
        <x:v>0.2</x:v>
      </x:c>
      <x:c r="V1557" s="54" t="str">
        <x:f>IF(ISNUMBER(T1557),T1557*(1+U1557),"")</x:f>
      </x:c>
      <x:c r="W1557" s="47" t="n">
        <x:v>0.3</x:v>
      </x:c>
      <x:c r="X1557" s="54" t="str">
        <x:f>IF(ISNUMBER(V1557),V1557/(1-W1557),"")</x:f>
      </x:c>
      <x:c r="Y1557" s="55" t="str">
        <x:f>IF(ISNUMBER(X1557),ROUNDUP(X1557,0),"")</x:f>
      </x:c>
      <x:c r="Z1557" t="str">
        <x:f>IF(ISNUMBER(T1557),"Cost captured","Awaiting trade cost")</x:f>
        <x:v>Awaiting trade cost</x:v>
      </x:c>
      <x:c r="AB1557" s="36" t="str">
        <x:f>IF(ISNUMBER(Y1557),ROUND(Y1557*0.9,2),"")</x:f>
      </x:c>
      <x:c r="AC1557" s="36" t="str">
        <x:f>IF(ISNUMBER(AB1557),ROUND(AB1557-(AB1557*0.015+0.2)-V1557,2),"")</x:f>
      </x:c>
      <x:c r="AD1557" s="36" t="str">
        <x:f>IF(ISNUMBER(Y1557),ROUND(Y1557*0.8,2),"")</x:f>
      </x:c>
      <x:c r="AE1557" s="36" t="str">
        <x:f>IF(ISNUMBER(AD1557),ROUND(AD1557*0.015+0.2,2),"")</x:f>
      </x:c>
      <x:c r="AF1557" s="36" t="str">
        <x:f>IF(ISNUMBER(AD1557),ROUND(AD1557-AE1557-V1557,2),"")</x:f>
      </x:c>
      <x:c r="AG1557" t="str">
        <x:f>IF(NOT(ISNUMBER(T1557)),"PENDING",IF(AF1557&gt;0,"PASS","FAIL"))</x:f>
        <x:v>PENDING</x:v>
      </x:c>
      <x:c r="AH1557" t="str">
        <x:f>IF(NOT(ISNUMBER(T1557)),"Needs supplier cost",IF(K1557&lt;&gt;"In stock","Supplier unavailable",IF(AG1557&lt;&gt;"PASS","BLOCK - GT loss risk","Commercially protected")))</x:f>
        <x:v>Needs supplier cost</x:v>
      </x:c>
      <x:c r="AI1557" t="str">
        <x:v>2026-09-10 Active Sports trade capture</x:v>
      </x:c>
      <x:c r="AJ1557" t="str">
        <x:v>Management-only economics. Stripe stress test uses 1.5% + £0.20 standard UK online-card fee; pallet/mix-and-match pricing ignored.</x:v>
      </x:c>
    </x:row>
    <x:row r="1558">
      <x:c r="A1558" t="str">
        <x:v>Active Sports Nutrition</x:v>
      </x:c>
      <x:c r="B1558" t="str">
        <x:v>NXT Nutrition</x:v>
      </x:c>
      <x:c r="C1558" t="str">
        <x:v>Beef Protein Isolate</x:v>
      </x:c>
      <x:c r="D1558" t="str">
        <x:v>Supplements</x:v>
      </x:c>
      <x:c r="E1558" t="str">
        <x:v>Protein Blends</x:v>
      </x:c>
      <x:c r="F1558" t="str">
        <x:v>Beef protein isolate.</x:v>
      </x:c>
      <x:c r="G1558" t="str">
        <x:v>1.8kg</x:v>
      </x:c>
      <x:c r="H1558" t="str">
        <x:v>Blue Coconut</x:v>
      </x:c>
      <x:c r="I1558" t="str"/>
      <x:c r="J1558" t="str">
        <x:v>Unit</x:v>
      </x:c>
      <x:c r="K1558" t="str">
        <x:v>Out of stock</x:v>
      </x:c>
      <x:c r="L1558" t="str">
        <x:v>2026-09-08</x:v>
      </x:c>
      <x:c r="M1558" t="str"/>
      <x:c r="N1558" t="str"/>
      <x:c r="O1558" t="str">
        <x:v>https://www.activesportstrade.co.uk/Protein-Blends-Trade</x:v>
      </x:c>
      <x:c r="P1558" t="str">
        <x:v>Fresh Protein Blends page used over older whey crawl; Blue Coconut and Cherry Cola now out of stock.</x:v>
      </x:c>
      <x:c r="Q1558" t="str"/>
      <x:c r="R1558" t="str"/>
      <x:c r="S1558" t="str">
        <x:v>Pending genuine supplier/brand image</x:v>
      </x:c>
      <x:c r="T1558" s="54"/>
      <x:c r="U1558" s="47" t="n">
        <x:v>0.2</x:v>
      </x:c>
      <x:c r="V1558" s="54" t="str">
        <x:f>IF(ISNUMBER(T1558),T1558*(1+U1558),"")</x:f>
      </x:c>
      <x:c r="W1558" s="47" t="n">
        <x:v>0.3</x:v>
      </x:c>
      <x:c r="X1558" s="54" t="str">
        <x:f>IF(ISNUMBER(V1558),V1558/(1-W1558),"")</x:f>
      </x:c>
      <x:c r="Y1558" s="55" t="str">
        <x:f>IF(ISNUMBER(X1558),ROUNDUP(X1558,0),"")</x:f>
      </x:c>
      <x:c r="Z1558" t="str">
        <x:f>IF(ISNUMBER(T1558),"Cost captured","Awaiting trade cost")</x:f>
        <x:v>Awaiting trade cost</x:v>
      </x:c>
      <x:c r="AB1558" s="36" t="str">
        <x:f>IF(ISNUMBER(Y1558),ROUND(Y1558*0.9,2),"")</x:f>
      </x:c>
      <x:c r="AC1558" s="36" t="str">
        <x:f>IF(ISNUMBER(AB1558),ROUND(AB1558-(AB1558*0.015+0.2)-V1558,2),"")</x:f>
      </x:c>
      <x:c r="AD1558" s="36" t="str">
        <x:f>IF(ISNUMBER(Y1558),ROUND(Y1558*0.8,2),"")</x:f>
      </x:c>
      <x:c r="AE1558" s="36" t="str">
        <x:f>IF(ISNUMBER(AD1558),ROUND(AD1558*0.015+0.2,2),"")</x:f>
      </x:c>
      <x:c r="AF1558" s="36" t="str">
        <x:f>IF(ISNUMBER(AD1558),ROUND(AD1558-AE1558-V1558,2),"")</x:f>
      </x:c>
      <x:c r="AG1558" t="str">
        <x:f>IF(NOT(ISNUMBER(T1558)),"PENDING",IF(AF1558&gt;0,"PASS","FAIL"))</x:f>
        <x:v>PENDING</x:v>
      </x:c>
      <x:c r="AH1558" t="str">
        <x:f>IF(NOT(ISNUMBER(T1558)),"Needs supplier cost",IF(K1558&lt;&gt;"In stock","Supplier unavailable",IF(AG1558&lt;&gt;"PASS","BLOCK - GT loss risk","Commercially protected")))</x:f>
        <x:v>Needs supplier cost</x:v>
      </x:c>
      <x:c r="AI1558" t="str">
        <x:v>2026-09-10 Active Sports trade capture</x:v>
      </x:c>
      <x:c r="AJ1558" t="str">
        <x:v>Management-only economics. Stripe stress test uses 1.5% + £0.20 standard UK online-card fee; pallet/mix-and-match pricing ignored.</x:v>
      </x:c>
    </x:row>
    <x:row r="1559">
      <x:c r="A1559" t="str">
        <x:v>Active Sports Nutrition</x:v>
      </x:c>
      <x:c r="B1559" t="str">
        <x:v>NXT Nutrition</x:v>
      </x:c>
      <x:c r="C1559" t="str">
        <x:v>Beef Protein Isolate</x:v>
      </x:c>
      <x:c r="D1559" t="str">
        <x:v>Supplements</x:v>
      </x:c>
      <x:c r="E1559" t="str">
        <x:v>Protein Blends</x:v>
      </x:c>
      <x:c r="F1559" t="str">
        <x:v>Beef protein isolate.</x:v>
      </x:c>
      <x:c r="G1559" t="str">
        <x:v>1.8kg</x:v>
      </x:c>
      <x:c r="H1559" t="str">
        <x:v>Blue Raspberry</x:v>
      </x:c>
      <x:c r="I1559" t="str"/>
      <x:c r="J1559" t="str">
        <x:v>Unit</x:v>
      </x:c>
      <x:c r="K1559" t="str">
        <x:v>In stock</x:v>
      </x:c>
      <x:c r="L1559" t="str">
        <x:v>2026-09-08</x:v>
      </x:c>
      <x:c r="M1559" t="str"/>
      <x:c r="N1559" t="str"/>
      <x:c r="O1559" t="str">
        <x:v>https://www.activesportstrade.co.uk/Protein-Blends-Trade</x:v>
      </x:c>
      <x:c r="P1559" t="str">
        <x:v>Fresh Protein Blends page used over older whey crawl; Blue Coconut and Cherry Cola now out of stock.</x:v>
      </x:c>
      <x:c r="Q1559" t="str"/>
      <x:c r="R1559" t="str"/>
      <x:c r="S1559" t="str">
        <x:v>Pending genuine supplier/brand image</x:v>
      </x:c>
      <x:c r="T1559" s="54"/>
      <x:c r="U1559" s="47" t="n">
        <x:v>0.2</x:v>
      </x:c>
      <x:c r="V1559" s="54" t="str">
        <x:f>IF(ISNUMBER(T1559),T1559*(1+U1559),"")</x:f>
      </x:c>
      <x:c r="W1559" s="47" t="n">
        <x:v>0.3</x:v>
      </x:c>
      <x:c r="X1559" s="54" t="str">
        <x:f>IF(ISNUMBER(V1559),V1559/(1-W1559),"")</x:f>
      </x:c>
      <x:c r="Y1559" s="55" t="str">
        <x:f>IF(ISNUMBER(X1559),ROUNDUP(X1559,0),"")</x:f>
      </x:c>
      <x:c r="Z1559" t="str">
        <x:f>IF(ISNUMBER(T1559),"Cost captured","Awaiting trade cost")</x:f>
        <x:v>Awaiting trade cost</x:v>
      </x:c>
      <x:c r="AB1559" s="36" t="str">
        <x:f>IF(ISNUMBER(Y1559),ROUND(Y1559*0.9,2),"")</x:f>
      </x:c>
      <x:c r="AC1559" s="36" t="str">
        <x:f>IF(ISNUMBER(AB1559),ROUND(AB1559-(AB1559*0.015+0.2)-V1559,2),"")</x:f>
      </x:c>
      <x:c r="AD1559" s="36" t="str">
        <x:f>IF(ISNUMBER(Y1559),ROUND(Y1559*0.8,2),"")</x:f>
      </x:c>
      <x:c r="AE1559" s="36" t="str">
        <x:f>IF(ISNUMBER(AD1559),ROUND(AD1559*0.015+0.2,2),"")</x:f>
      </x:c>
      <x:c r="AF1559" s="36" t="str">
        <x:f>IF(ISNUMBER(AD1559),ROUND(AD1559-AE1559-V1559,2),"")</x:f>
      </x:c>
      <x:c r="AG1559" t="str">
        <x:f>IF(NOT(ISNUMBER(T1559)),"PENDING",IF(AF1559&gt;0,"PASS","FAIL"))</x:f>
        <x:v>PENDING</x:v>
      </x:c>
      <x:c r="AH1559" t="str">
        <x:f>IF(NOT(ISNUMBER(T1559)),"Needs supplier cost",IF(K1559&lt;&gt;"In stock","Supplier unavailable",IF(AG1559&lt;&gt;"PASS","BLOCK - GT loss risk","Commercially protected")))</x:f>
        <x:v>Needs supplier cost</x:v>
      </x:c>
      <x:c r="AI1559" t="str">
        <x:v>2026-09-10 Active Sports trade capture</x:v>
      </x:c>
      <x:c r="AJ1559" t="str">
        <x:v>Management-only economics. Stripe stress test uses 1.5% + £0.20 standard UK online-card fee; pallet/mix-and-match pricing ignored.</x:v>
      </x:c>
    </x:row>
    <x:row r="1560">
      <x:c r="A1560" t="str">
        <x:v>Active Sports Nutrition</x:v>
      </x:c>
      <x:c r="B1560" t="str">
        <x:v>NXT Nutrition</x:v>
      </x:c>
      <x:c r="C1560" t="str">
        <x:v>Beef Protein Isolate</x:v>
      </x:c>
      <x:c r="D1560" t="str">
        <x:v>Supplements</x:v>
      </x:c>
      <x:c r="E1560" t="str">
        <x:v>Protein Blends</x:v>
      </x:c>
      <x:c r="F1560" t="str">
        <x:v>Beef protein isolate.</x:v>
      </x:c>
      <x:c r="G1560" t="str">
        <x:v>1.8kg</x:v>
      </x:c>
      <x:c r="H1560" t="str">
        <x:v>Caramel Latte</x:v>
      </x:c>
      <x:c r="I1560" t="str"/>
      <x:c r="J1560" t="str">
        <x:v>Unit</x:v>
      </x:c>
      <x:c r="K1560" t="str">
        <x:v>In stock</x:v>
      </x:c>
      <x:c r="L1560" t="str">
        <x:v>2026-09-08</x:v>
      </x:c>
      <x:c r="M1560" t="str"/>
      <x:c r="N1560" t="str"/>
      <x:c r="O1560" t="str">
        <x:v>https://www.activesportstrade.co.uk/Protein-Blends-Trade</x:v>
      </x:c>
      <x:c r="P1560" t="str">
        <x:v>Fresh Protein Blends page used over older whey crawl; Blue Coconut and Cherry Cola now out of stock.</x:v>
      </x:c>
      <x:c r="Q1560" t="str"/>
      <x:c r="R1560" t="str"/>
      <x:c r="S1560" t="str">
        <x:v>Pending genuine supplier/brand image</x:v>
      </x:c>
      <x:c r="T1560" s="54"/>
      <x:c r="U1560" s="47" t="n">
        <x:v>0.2</x:v>
      </x:c>
      <x:c r="V1560" s="54" t="str">
        <x:f>IF(ISNUMBER(T1560),T1560*(1+U1560),"")</x:f>
      </x:c>
      <x:c r="W1560" s="47" t="n">
        <x:v>0.3</x:v>
      </x:c>
      <x:c r="X1560" s="54" t="str">
        <x:f>IF(ISNUMBER(V1560),V1560/(1-W1560),"")</x:f>
      </x:c>
      <x:c r="Y1560" s="55" t="str">
        <x:f>IF(ISNUMBER(X1560),ROUNDUP(X1560,0),"")</x:f>
      </x:c>
      <x:c r="Z1560" t="str">
        <x:f>IF(ISNUMBER(T1560),"Cost captured","Awaiting trade cost")</x:f>
        <x:v>Awaiting trade cost</x:v>
      </x:c>
      <x:c r="AB1560" s="36" t="str">
        <x:f>IF(ISNUMBER(Y1560),ROUND(Y1560*0.9,2),"")</x:f>
      </x:c>
      <x:c r="AC1560" s="36" t="str">
        <x:f>IF(ISNUMBER(AB1560),ROUND(AB1560-(AB1560*0.015+0.2)-V1560,2),"")</x:f>
      </x:c>
      <x:c r="AD1560" s="36" t="str">
        <x:f>IF(ISNUMBER(Y1560),ROUND(Y1560*0.8,2),"")</x:f>
      </x:c>
      <x:c r="AE1560" s="36" t="str">
        <x:f>IF(ISNUMBER(AD1560),ROUND(AD1560*0.015+0.2,2),"")</x:f>
      </x:c>
      <x:c r="AF1560" s="36" t="str">
        <x:f>IF(ISNUMBER(AD1560),ROUND(AD1560-AE1560-V1560,2),"")</x:f>
      </x:c>
      <x:c r="AG1560" t="str">
        <x:f>IF(NOT(ISNUMBER(T1560)),"PENDING",IF(AF1560&gt;0,"PASS","FAIL"))</x:f>
        <x:v>PENDING</x:v>
      </x:c>
      <x:c r="AH1560" t="str">
        <x:f>IF(NOT(ISNUMBER(T1560)),"Needs supplier cost",IF(K1560&lt;&gt;"In stock","Supplier unavailable",IF(AG1560&lt;&gt;"PASS","BLOCK - GT loss risk","Commercially protected")))</x:f>
        <x:v>Needs supplier cost</x:v>
      </x:c>
      <x:c r="AI1560" t="str">
        <x:v>2026-09-10 Active Sports trade capture</x:v>
      </x:c>
      <x:c r="AJ1560" t="str">
        <x:v>Management-only economics. Stripe stress test uses 1.5% + £0.20 standard UK online-card fee; pallet/mix-and-match pricing ignored.</x:v>
      </x:c>
    </x:row>
    <x:row r="1561">
      <x:c r="A1561" t="str">
        <x:v>Active Sports Nutrition</x:v>
      </x:c>
      <x:c r="B1561" t="str">
        <x:v>NXT Nutrition</x:v>
      </x:c>
      <x:c r="C1561" t="str">
        <x:v>Beef Protein Isolate</x:v>
      </x:c>
      <x:c r="D1561" t="str">
        <x:v>Supplements</x:v>
      </x:c>
      <x:c r="E1561" t="str">
        <x:v>Protein Blends</x:v>
      </x:c>
      <x:c r="F1561" t="str">
        <x:v>Beef protein isolate.</x:v>
      </x:c>
      <x:c r="G1561" t="str">
        <x:v>1.8kg</x:v>
      </x:c>
      <x:c r="H1561" t="str">
        <x:v>Cherry Cola</x:v>
      </x:c>
      <x:c r="I1561" t="str"/>
      <x:c r="J1561" t="str">
        <x:v>Unit</x:v>
      </x:c>
      <x:c r="K1561" t="str">
        <x:v>Out of stock</x:v>
      </x:c>
      <x:c r="L1561" t="str">
        <x:v>2026-09-08</x:v>
      </x:c>
      <x:c r="M1561" t="str"/>
      <x:c r="N1561" t="str"/>
      <x:c r="O1561" t="str">
        <x:v>https://www.activesportstrade.co.uk/Protein-Blends-Trade</x:v>
      </x:c>
      <x:c r="P1561" t="str">
        <x:v>Fresh Protein Blends page used over older whey crawl; Blue Coconut and Cherry Cola now out of stock.</x:v>
      </x:c>
      <x:c r="Q1561" t="str"/>
      <x:c r="R1561" t="str"/>
      <x:c r="S1561" t="str">
        <x:v>Pending genuine supplier/brand image</x:v>
      </x:c>
      <x:c r="T1561" s="54"/>
      <x:c r="U1561" s="47" t="n">
        <x:v>0.2</x:v>
      </x:c>
      <x:c r="V1561" s="54" t="str">
        <x:f>IF(ISNUMBER(T1561),T1561*(1+U1561),"")</x:f>
      </x:c>
      <x:c r="W1561" s="47" t="n">
        <x:v>0.3</x:v>
      </x:c>
      <x:c r="X1561" s="54" t="str">
        <x:f>IF(ISNUMBER(V1561),V1561/(1-W1561),"")</x:f>
      </x:c>
      <x:c r="Y1561" s="55" t="str">
        <x:f>IF(ISNUMBER(X1561),ROUNDUP(X1561,0),"")</x:f>
      </x:c>
      <x:c r="Z1561" t="str">
        <x:f>IF(ISNUMBER(T1561),"Cost captured","Awaiting trade cost")</x:f>
        <x:v>Awaiting trade cost</x:v>
      </x:c>
      <x:c r="AB1561" s="36" t="str">
        <x:f>IF(ISNUMBER(Y1561),ROUND(Y1561*0.9,2),"")</x:f>
      </x:c>
      <x:c r="AC1561" s="36" t="str">
        <x:f>IF(ISNUMBER(AB1561),ROUND(AB1561-(AB1561*0.015+0.2)-V1561,2),"")</x:f>
      </x:c>
      <x:c r="AD1561" s="36" t="str">
        <x:f>IF(ISNUMBER(Y1561),ROUND(Y1561*0.8,2),"")</x:f>
      </x:c>
      <x:c r="AE1561" s="36" t="str">
        <x:f>IF(ISNUMBER(AD1561),ROUND(AD1561*0.015+0.2,2),"")</x:f>
      </x:c>
      <x:c r="AF1561" s="36" t="str">
        <x:f>IF(ISNUMBER(AD1561),ROUND(AD1561-AE1561-V1561,2),"")</x:f>
      </x:c>
      <x:c r="AG1561" t="str">
        <x:f>IF(NOT(ISNUMBER(T1561)),"PENDING",IF(AF1561&gt;0,"PASS","FAIL"))</x:f>
        <x:v>PENDING</x:v>
      </x:c>
      <x:c r="AH1561" t="str">
        <x:f>IF(NOT(ISNUMBER(T1561)),"Needs supplier cost",IF(K1561&lt;&gt;"In stock","Supplier unavailable",IF(AG1561&lt;&gt;"PASS","BLOCK - GT loss risk","Commercially protected")))</x:f>
        <x:v>Needs supplier cost</x:v>
      </x:c>
      <x:c r="AI1561" t="str">
        <x:v>2026-09-10 Active Sports trade capture</x:v>
      </x:c>
      <x:c r="AJ1561" t="str">
        <x:v>Management-only economics. Stripe stress test uses 1.5% + £0.20 standard UK online-card fee; pallet/mix-and-match pricing ignored.</x:v>
      </x:c>
    </x:row>
    <x:row r="1562">
      <x:c r="A1562" t="str">
        <x:v>Active Sports Nutrition</x:v>
      </x:c>
      <x:c r="B1562" t="str">
        <x:v>NXT Nutrition</x:v>
      </x:c>
      <x:c r="C1562" t="str">
        <x:v>Beef Protein Isolate</x:v>
      </x:c>
      <x:c r="D1562" t="str">
        <x:v>Supplements</x:v>
      </x:c>
      <x:c r="E1562" t="str">
        <x:v>Protein Blends</x:v>
      </x:c>
      <x:c r="F1562" t="str">
        <x:v>Beef protein isolate.</x:v>
      </x:c>
      <x:c r="G1562" t="str">
        <x:v>1.8kg</x:v>
      </x:c>
      <x:c r="H1562" t="str">
        <x:v>Cherryade</x:v>
      </x:c>
      <x:c r="I1562" t="str"/>
      <x:c r="J1562" t="str">
        <x:v>Unit</x:v>
      </x:c>
      <x:c r="K1562" t="str">
        <x:v>In stock</x:v>
      </x:c>
      <x:c r="L1562" t="str">
        <x:v>2026-09-08</x:v>
      </x:c>
      <x:c r="M1562" t="str"/>
      <x:c r="N1562" t="str"/>
      <x:c r="O1562" t="str">
        <x:v>https://www.activesportstrade.co.uk/Protein-Blends-Trade</x:v>
      </x:c>
      <x:c r="P1562" t="str">
        <x:v>Fresh Protein Blends page used over older whey crawl; Blue Coconut and Cherry Cola now out of stock.</x:v>
      </x:c>
      <x:c r="Q1562" t="str"/>
      <x:c r="R1562" t="str"/>
      <x:c r="S1562" t="str">
        <x:v>Pending genuine supplier/brand image</x:v>
      </x:c>
      <x:c r="T1562" s="54"/>
      <x:c r="U1562" s="47" t="n">
        <x:v>0.2</x:v>
      </x:c>
      <x:c r="V1562" s="54" t="str">
        <x:f>IF(ISNUMBER(T1562),T1562*(1+U1562),"")</x:f>
      </x:c>
      <x:c r="W1562" s="47" t="n">
        <x:v>0.3</x:v>
      </x:c>
      <x:c r="X1562" s="54" t="str">
        <x:f>IF(ISNUMBER(V1562),V1562/(1-W1562),"")</x:f>
      </x:c>
      <x:c r="Y1562" s="55" t="str">
        <x:f>IF(ISNUMBER(X1562),ROUNDUP(X1562,0),"")</x:f>
      </x:c>
      <x:c r="Z1562" t="str">
        <x:f>IF(ISNUMBER(T1562),"Cost captured","Awaiting trade cost")</x:f>
        <x:v>Awaiting trade cost</x:v>
      </x:c>
      <x:c r="AB1562" s="36" t="str">
        <x:f>IF(ISNUMBER(Y1562),ROUND(Y1562*0.9,2),"")</x:f>
      </x:c>
      <x:c r="AC1562" s="36" t="str">
        <x:f>IF(ISNUMBER(AB1562),ROUND(AB1562-(AB1562*0.015+0.2)-V1562,2),"")</x:f>
      </x:c>
      <x:c r="AD1562" s="36" t="str">
        <x:f>IF(ISNUMBER(Y1562),ROUND(Y1562*0.8,2),"")</x:f>
      </x:c>
      <x:c r="AE1562" s="36" t="str">
        <x:f>IF(ISNUMBER(AD1562),ROUND(AD1562*0.015+0.2,2),"")</x:f>
      </x:c>
      <x:c r="AF1562" s="36" t="str">
        <x:f>IF(ISNUMBER(AD1562),ROUND(AD1562-AE1562-V1562,2),"")</x:f>
      </x:c>
      <x:c r="AG1562" t="str">
        <x:f>IF(NOT(ISNUMBER(T1562)),"PENDING",IF(AF1562&gt;0,"PASS","FAIL"))</x:f>
        <x:v>PENDING</x:v>
      </x:c>
      <x:c r="AH1562" t="str">
        <x:f>IF(NOT(ISNUMBER(T1562)),"Needs supplier cost",IF(K1562&lt;&gt;"In stock","Supplier unavailable",IF(AG1562&lt;&gt;"PASS","BLOCK - GT loss risk","Commercially protected")))</x:f>
        <x:v>Needs supplier cost</x:v>
      </x:c>
      <x:c r="AI1562" t="str">
        <x:v>2026-09-10 Active Sports trade capture</x:v>
      </x:c>
      <x:c r="AJ1562" t="str">
        <x:v>Management-only economics. Stripe stress test uses 1.5% + £0.20 standard UK online-card fee; pallet/mix-and-match pricing ignored.</x:v>
      </x:c>
    </x:row>
    <x:row r="1563">
      <x:c r="A1563" t="str">
        <x:v>Active Sports Nutrition</x:v>
      </x:c>
      <x:c r="B1563" t="str">
        <x:v>NXT Nutrition</x:v>
      </x:c>
      <x:c r="C1563" t="str">
        <x:v>Beef Protein Isolate</x:v>
      </x:c>
      <x:c r="D1563" t="str">
        <x:v>Supplements</x:v>
      </x:c>
      <x:c r="E1563" t="str">
        <x:v>Protein Blends</x:v>
      </x:c>
      <x:c r="F1563" t="str">
        <x:v>Beef protein isolate.</x:v>
      </x:c>
      <x:c r="G1563" t="str">
        <x:v>1.8kg</x:v>
      </x:c>
      <x:c r="H1563" t="str">
        <x:v>Cola</x:v>
      </x:c>
      <x:c r="I1563" t="str"/>
      <x:c r="J1563" t="str">
        <x:v>Unit</x:v>
      </x:c>
      <x:c r="K1563" t="str">
        <x:v>In stock</x:v>
      </x:c>
      <x:c r="L1563" t="str">
        <x:v>2026-09-08</x:v>
      </x:c>
      <x:c r="M1563" t="str"/>
      <x:c r="N1563" t="str"/>
      <x:c r="O1563" t="str">
        <x:v>https://www.activesportstrade.co.uk/Protein-Blends-Trade</x:v>
      </x:c>
      <x:c r="P1563" t="str">
        <x:v>Fresh Protein Blends page used over older whey crawl; Blue Coconut and Cherry Cola now out of stock.</x:v>
      </x:c>
      <x:c r="Q1563" t="str"/>
      <x:c r="R1563" t="str"/>
      <x:c r="S1563" t="str">
        <x:v>Pending genuine supplier/brand image</x:v>
      </x:c>
      <x:c r="T1563" s="54"/>
      <x:c r="U1563" s="47" t="n">
        <x:v>0.2</x:v>
      </x:c>
      <x:c r="V1563" s="54" t="str">
        <x:f>IF(ISNUMBER(T1563),T1563*(1+U1563),"")</x:f>
      </x:c>
      <x:c r="W1563" s="47" t="n">
        <x:v>0.3</x:v>
      </x:c>
      <x:c r="X1563" s="54" t="str">
        <x:f>IF(ISNUMBER(V1563),V1563/(1-W1563),"")</x:f>
      </x:c>
      <x:c r="Y1563" s="55" t="str">
        <x:f>IF(ISNUMBER(X1563),ROUNDUP(X1563,0),"")</x:f>
      </x:c>
      <x:c r="Z1563" t="str">
        <x:f>IF(ISNUMBER(T1563),"Cost captured","Awaiting trade cost")</x:f>
        <x:v>Awaiting trade cost</x:v>
      </x:c>
      <x:c r="AB1563" s="36" t="str">
        <x:f>IF(ISNUMBER(Y1563),ROUND(Y1563*0.9,2),"")</x:f>
      </x:c>
      <x:c r="AC1563" s="36" t="str">
        <x:f>IF(ISNUMBER(AB1563),ROUND(AB1563-(AB1563*0.015+0.2)-V1563,2),"")</x:f>
      </x:c>
      <x:c r="AD1563" s="36" t="str">
        <x:f>IF(ISNUMBER(Y1563),ROUND(Y1563*0.8,2),"")</x:f>
      </x:c>
      <x:c r="AE1563" s="36" t="str">
        <x:f>IF(ISNUMBER(AD1563),ROUND(AD1563*0.015+0.2,2),"")</x:f>
      </x:c>
      <x:c r="AF1563" s="36" t="str">
        <x:f>IF(ISNUMBER(AD1563),ROUND(AD1563-AE1563-V1563,2),"")</x:f>
      </x:c>
      <x:c r="AG1563" t="str">
        <x:f>IF(NOT(ISNUMBER(T1563)),"PENDING",IF(AF1563&gt;0,"PASS","FAIL"))</x:f>
        <x:v>PENDING</x:v>
      </x:c>
      <x:c r="AH1563" t="str">
        <x:f>IF(NOT(ISNUMBER(T1563)),"Needs supplier cost",IF(K1563&lt;&gt;"In stock","Supplier unavailable",IF(AG1563&lt;&gt;"PASS","BLOCK - GT loss risk","Commercially protected")))</x:f>
        <x:v>Needs supplier cost</x:v>
      </x:c>
      <x:c r="AI1563" t="str">
        <x:v>2026-09-10 Active Sports trade capture</x:v>
      </x:c>
      <x:c r="AJ1563" t="str">
        <x:v>Management-only economics. Stripe stress test uses 1.5% + £0.20 standard UK online-card fee; pallet/mix-and-match pricing ignored.</x:v>
      </x:c>
    </x:row>
    <x:row r="1564">
      <x:c r="A1564" t="str">
        <x:v>Active Sports Nutrition</x:v>
      </x:c>
      <x:c r="B1564" t="str">
        <x:v>NXT Nutrition</x:v>
      </x:c>
      <x:c r="C1564" t="str">
        <x:v>Beef Protein Isolate</x:v>
      </x:c>
      <x:c r="D1564" t="str">
        <x:v>Supplements</x:v>
      </x:c>
      <x:c r="E1564" t="str">
        <x:v>Protein Blends</x:v>
      </x:c>
      <x:c r="F1564" t="str">
        <x:v>Beef protein isolate.</x:v>
      </x:c>
      <x:c r="G1564" t="str">
        <x:v>1.8kg</x:v>
      </x:c>
      <x:c r="H1564" t="str">
        <x:v>Fruit Burst</x:v>
      </x:c>
      <x:c r="I1564" t="str"/>
      <x:c r="J1564" t="str">
        <x:v>Unit</x:v>
      </x:c>
      <x:c r="K1564" t="str">
        <x:v>In stock</x:v>
      </x:c>
      <x:c r="L1564" t="str">
        <x:v>2026-09-08</x:v>
      </x:c>
      <x:c r="M1564" t="str"/>
      <x:c r="N1564" t="str"/>
      <x:c r="O1564" t="str">
        <x:v>https://www.activesportstrade.co.uk/Protein-Blends-Trade</x:v>
      </x:c>
      <x:c r="P1564" t="str">
        <x:v>Fresh Protein Blends page used over older whey crawl; Blue Coconut and Cherry Cola now out of stock.</x:v>
      </x:c>
      <x:c r="Q1564" t="str"/>
      <x:c r="R1564" t="str"/>
      <x:c r="S1564" t="str">
        <x:v>Pending genuine supplier/brand image</x:v>
      </x:c>
      <x:c r="T1564" s="54"/>
      <x:c r="U1564" s="47" t="n">
        <x:v>0.2</x:v>
      </x:c>
      <x:c r="V1564" s="54" t="str">
        <x:f>IF(ISNUMBER(T1564),T1564*(1+U1564),"")</x:f>
      </x:c>
      <x:c r="W1564" s="47" t="n">
        <x:v>0.3</x:v>
      </x:c>
      <x:c r="X1564" s="54" t="str">
        <x:f>IF(ISNUMBER(V1564),V1564/(1-W1564),"")</x:f>
      </x:c>
      <x:c r="Y1564" s="55" t="str">
        <x:f>IF(ISNUMBER(X1564),ROUNDUP(X1564,0),"")</x:f>
      </x:c>
      <x:c r="Z1564" t="str">
        <x:f>IF(ISNUMBER(T1564),"Cost captured","Awaiting trade cost")</x:f>
        <x:v>Awaiting trade cost</x:v>
      </x:c>
      <x:c r="AB1564" s="36" t="str">
        <x:f>IF(ISNUMBER(Y1564),ROUND(Y1564*0.9,2),"")</x:f>
      </x:c>
      <x:c r="AC1564" s="36" t="str">
        <x:f>IF(ISNUMBER(AB1564),ROUND(AB1564-(AB1564*0.015+0.2)-V1564,2),"")</x:f>
      </x:c>
      <x:c r="AD1564" s="36" t="str">
        <x:f>IF(ISNUMBER(Y1564),ROUND(Y1564*0.8,2),"")</x:f>
      </x:c>
      <x:c r="AE1564" s="36" t="str">
        <x:f>IF(ISNUMBER(AD1564),ROUND(AD1564*0.015+0.2,2),"")</x:f>
      </x:c>
      <x:c r="AF1564" s="36" t="str">
        <x:f>IF(ISNUMBER(AD1564),ROUND(AD1564-AE1564-V1564,2),"")</x:f>
      </x:c>
      <x:c r="AG1564" t="str">
        <x:f>IF(NOT(ISNUMBER(T1564)),"PENDING",IF(AF1564&gt;0,"PASS","FAIL"))</x:f>
        <x:v>PENDING</x:v>
      </x:c>
      <x:c r="AH1564" t="str">
        <x:f>IF(NOT(ISNUMBER(T1564)),"Needs supplier cost",IF(K1564&lt;&gt;"In stock","Supplier unavailable",IF(AG1564&lt;&gt;"PASS","BLOCK - GT loss risk","Commercially protected")))</x:f>
        <x:v>Needs supplier cost</x:v>
      </x:c>
      <x:c r="AI1564" t="str">
        <x:v>2026-09-10 Active Sports trade capture</x:v>
      </x:c>
      <x:c r="AJ1564" t="str">
        <x:v>Management-only economics. Stripe stress test uses 1.5% + £0.20 standard UK online-card fee; pallet/mix-and-match pricing ignored.</x:v>
      </x:c>
    </x:row>
    <x:row r="1565">
      <x:c r="A1565" t="str">
        <x:v>Active Sports Nutrition</x:v>
      </x:c>
      <x:c r="B1565" t="str">
        <x:v>NXT Nutrition</x:v>
      </x:c>
      <x:c r="C1565" t="str">
        <x:v>Beef Protein Isolate</x:v>
      </x:c>
      <x:c r="D1565" t="str">
        <x:v>Supplements</x:v>
      </x:c>
      <x:c r="E1565" t="str">
        <x:v>Protein Blends</x:v>
      </x:c>
      <x:c r="F1565" t="str">
        <x:v>Beef protein isolate.</x:v>
      </x:c>
      <x:c r="G1565" t="str">
        <x:v>1.8kg</x:v>
      </x:c>
      <x:c r="H1565" t="str">
        <x:v>Fruit of the Forest</x:v>
      </x:c>
      <x:c r="I1565" t="str"/>
      <x:c r="J1565" t="str">
        <x:v>Unit</x:v>
      </x:c>
      <x:c r="K1565" t="str">
        <x:v>In stock</x:v>
      </x:c>
      <x:c r="L1565" t="str">
        <x:v>2026-09-08</x:v>
      </x:c>
      <x:c r="M1565" t="str"/>
      <x:c r="N1565" t="str"/>
      <x:c r="O1565" t="str">
        <x:v>https://www.activesportstrade.co.uk/Protein-Blends-Trade</x:v>
      </x:c>
      <x:c r="P1565" t="str">
        <x:v>Fresh Protein Blends page used over older whey crawl; Blue Coconut and Cherry Cola now out of stock.</x:v>
      </x:c>
      <x:c r="Q1565" t="str"/>
      <x:c r="R1565" t="str"/>
      <x:c r="S1565" t="str">
        <x:v>Pending genuine supplier/brand image</x:v>
      </x:c>
      <x:c r="T1565" s="54"/>
      <x:c r="U1565" s="47" t="n">
        <x:v>0.2</x:v>
      </x:c>
      <x:c r="V1565" s="54" t="str">
        <x:f>IF(ISNUMBER(T1565),T1565*(1+U1565),"")</x:f>
      </x:c>
      <x:c r="W1565" s="47" t="n">
        <x:v>0.3</x:v>
      </x:c>
      <x:c r="X1565" s="54" t="str">
        <x:f>IF(ISNUMBER(V1565),V1565/(1-W1565),"")</x:f>
      </x:c>
      <x:c r="Y1565" s="55" t="str">
        <x:f>IF(ISNUMBER(X1565),ROUNDUP(X1565,0),"")</x:f>
      </x:c>
      <x:c r="Z1565" t="str">
        <x:f>IF(ISNUMBER(T1565),"Cost captured","Awaiting trade cost")</x:f>
        <x:v>Awaiting trade cost</x:v>
      </x:c>
      <x:c r="AB1565" s="36" t="str">
        <x:f>IF(ISNUMBER(Y1565),ROUND(Y1565*0.9,2),"")</x:f>
      </x:c>
      <x:c r="AC1565" s="36" t="str">
        <x:f>IF(ISNUMBER(AB1565),ROUND(AB1565-(AB1565*0.015+0.2)-V1565,2),"")</x:f>
      </x:c>
      <x:c r="AD1565" s="36" t="str">
        <x:f>IF(ISNUMBER(Y1565),ROUND(Y1565*0.8,2),"")</x:f>
      </x:c>
      <x:c r="AE1565" s="36" t="str">
        <x:f>IF(ISNUMBER(AD1565),ROUND(AD1565*0.015+0.2,2),"")</x:f>
      </x:c>
      <x:c r="AF1565" s="36" t="str">
        <x:f>IF(ISNUMBER(AD1565),ROUND(AD1565-AE1565-V1565,2),"")</x:f>
      </x:c>
      <x:c r="AG1565" t="str">
        <x:f>IF(NOT(ISNUMBER(T1565)),"PENDING",IF(AF1565&gt;0,"PASS","FAIL"))</x:f>
        <x:v>PENDING</x:v>
      </x:c>
      <x:c r="AH1565" t="str">
        <x:f>IF(NOT(ISNUMBER(T1565)),"Needs supplier cost",IF(K1565&lt;&gt;"In stock","Supplier unavailable",IF(AG1565&lt;&gt;"PASS","BLOCK - GT loss risk","Commercially protected")))</x:f>
        <x:v>Needs supplier cost</x:v>
      </x:c>
      <x:c r="AI1565" t="str">
        <x:v>2026-09-10 Active Sports trade capture</x:v>
      </x:c>
      <x:c r="AJ1565" t="str">
        <x:v>Management-only economics. Stripe stress test uses 1.5% + £0.20 standard UK online-card fee; pallet/mix-and-match pricing ignored.</x:v>
      </x:c>
    </x:row>
    <x:row r="1566">
      <x:c r="A1566" t="str">
        <x:v>Active Sports Nutrition</x:v>
      </x:c>
      <x:c r="B1566" t="str">
        <x:v>NXT Nutrition</x:v>
      </x:c>
      <x:c r="C1566" t="str">
        <x:v>Beef Protein Isolate</x:v>
      </x:c>
      <x:c r="D1566" t="str">
        <x:v>Supplements</x:v>
      </x:c>
      <x:c r="E1566" t="str">
        <x:v>Protein Blends</x:v>
      </x:c>
      <x:c r="F1566" t="str">
        <x:v>Beef protein isolate.</x:v>
      </x:c>
      <x:c r="G1566" t="str">
        <x:v>1.8kg</x:v>
      </x:c>
      <x:c r="H1566" t="str">
        <x:v>Fruit Pastilles</x:v>
      </x:c>
      <x:c r="I1566" t="str"/>
      <x:c r="J1566" t="str">
        <x:v>Unit</x:v>
      </x:c>
      <x:c r="K1566" t="str">
        <x:v>In stock</x:v>
      </x:c>
      <x:c r="L1566" t="str">
        <x:v>2026-09-08</x:v>
      </x:c>
      <x:c r="M1566" t="str"/>
      <x:c r="N1566" t="str"/>
      <x:c r="O1566" t="str">
        <x:v>https://www.activesportstrade.co.uk/Protein-Blends-Trade</x:v>
      </x:c>
      <x:c r="P1566" t="str">
        <x:v>Fresh Protein Blends page used over older whey crawl; Blue Coconut and Cherry Cola now out of stock.</x:v>
      </x:c>
      <x:c r="Q1566" t="str"/>
      <x:c r="R1566" t="str"/>
      <x:c r="S1566" t="str">
        <x:v>Pending genuine supplier/brand image</x:v>
      </x:c>
      <x:c r="T1566" s="54"/>
      <x:c r="U1566" s="47" t="n">
        <x:v>0.2</x:v>
      </x:c>
      <x:c r="V1566" s="54" t="str">
        <x:f>IF(ISNUMBER(T1566),T1566*(1+U1566),"")</x:f>
      </x:c>
      <x:c r="W1566" s="47" t="n">
        <x:v>0.3</x:v>
      </x:c>
      <x:c r="X1566" s="54" t="str">
        <x:f>IF(ISNUMBER(V1566),V1566/(1-W1566),"")</x:f>
      </x:c>
      <x:c r="Y1566" s="55" t="str">
        <x:f>IF(ISNUMBER(X1566),ROUNDUP(X1566,0),"")</x:f>
      </x:c>
      <x:c r="Z1566" t="str">
        <x:f>IF(ISNUMBER(T1566),"Cost captured","Awaiting trade cost")</x:f>
        <x:v>Awaiting trade cost</x:v>
      </x:c>
      <x:c r="AB1566" s="36" t="str">
        <x:f>IF(ISNUMBER(Y1566),ROUND(Y1566*0.9,2),"")</x:f>
      </x:c>
      <x:c r="AC1566" s="36" t="str">
        <x:f>IF(ISNUMBER(AB1566),ROUND(AB1566-(AB1566*0.015+0.2)-V1566,2),"")</x:f>
      </x:c>
      <x:c r="AD1566" s="36" t="str">
        <x:f>IF(ISNUMBER(Y1566),ROUND(Y1566*0.8,2),"")</x:f>
      </x:c>
      <x:c r="AE1566" s="36" t="str">
        <x:f>IF(ISNUMBER(AD1566),ROUND(AD1566*0.015+0.2,2),"")</x:f>
      </x:c>
      <x:c r="AF1566" s="36" t="str">
        <x:f>IF(ISNUMBER(AD1566),ROUND(AD1566-AE1566-V1566,2),"")</x:f>
      </x:c>
      <x:c r="AG1566" t="str">
        <x:f>IF(NOT(ISNUMBER(T1566)),"PENDING",IF(AF1566&gt;0,"PASS","FAIL"))</x:f>
        <x:v>PENDING</x:v>
      </x:c>
      <x:c r="AH1566" t="str">
        <x:f>IF(NOT(ISNUMBER(T1566)),"Needs supplier cost",IF(K1566&lt;&gt;"In stock","Supplier unavailable",IF(AG1566&lt;&gt;"PASS","BLOCK - GT loss risk","Commercially protected")))</x:f>
        <x:v>Needs supplier cost</x:v>
      </x:c>
      <x:c r="AI1566" t="str">
        <x:v>2026-09-10 Active Sports trade capture</x:v>
      </x:c>
      <x:c r="AJ1566" t="str">
        <x:v>Management-only economics. Stripe stress test uses 1.5% + £0.20 standard UK online-card fee; pallet/mix-and-match pricing ignored.</x:v>
      </x:c>
    </x:row>
    <x:row r="1567">
      <x:c r="A1567" t="str">
        <x:v>Active Sports Nutrition</x:v>
      </x:c>
      <x:c r="B1567" t="str">
        <x:v>NXT Nutrition</x:v>
      </x:c>
      <x:c r="C1567" t="str">
        <x:v>Beef Protein Isolate</x:v>
      </x:c>
      <x:c r="D1567" t="str">
        <x:v>Supplements</x:v>
      </x:c>
      <x:c r="E1567" t="str">
        <x:v>Protein Blends</x:v>
      </x:c>
      <x:c r="F1567" t="str">
        <x:v>Beef protein isolate.</x:v>
      </x:c>
      <x:c r="G1567" t="str">
        <x:v>1.8kg</x:v>
      </x:c>
      <x:c r="H1567" t="str">
        <x:v>Ice Blast</x:v>
      </x:c>
      <x:c r="I1567" t="str"/>
      <x:c r="J1567" t="str">
        <x:v>Unit</x:v>
      </x:c>
      <x:c r="K1567" t="str">
        <x:v>In stock</x:v>
      </x:c>
      <x:c r="L1567" t="str">
        <x:v>2026-09-08</x:v>
      </x:c>
      <x:c r="M1567" t="str"/>
      <x:c r="N1567" t="str"/>
      <x:c r="O1567" t="str">
        <x:v>https://www.activesportstrade.co.uk/Protein-Blends-Trade</x:v>
      </x:c>
      <x:c r="P1567" t="str">
        <x:v>Fresh Protein Blends page used over older whey crawl; Blue Coconut and Cherry Cola now out of stock.</x:v>
      </x:c>
      <x:c r="Q1567" t="str"/>
      <x:c r="R1567" t="str"/>
      <x:c r="S1567" t="str">
        <x:v>Pending genuine supplier/brand image</x:v>
      </x:c>
      <x:c r="T1567" s="54"/>
      <x:c r="U1567" s="47" t="n">
        <x:v>0.2</x:v>
      </x:c>
      <x:c r="V1567" s="54" t="str">
        <x:f>IF(ISNUMBER(T1567),T1567*(1+U1567),"")</x:f>
      </x:c>
      <x:c r="W1567" s="47" t="n">
        <x:v>0.3</x:v>
      </x:c>
      <x:c r="X1567" s="54" t="str">
        <x:f>IF(ISNUMBER(V1567),V1567/(1-W1567),"")</x:f>
      </x:c>
      <x:c r="Y1567" s="55" t="str">
        <x:f>IF(ISNUMBER(X1567),ROUNDUP(X1567,0),"")</x:f>
      </x:c>
      <x:c r="Z1567" t="str">
        <x:f>IF(ISNUMBER(T1567),"Cost captured","Awaiting trade cost")</x:f>
        <x:v>Awaiting trade cost</x:v>
      </x:c>
      <x:c r="AB1567" s="36" t="str">
        <x:f>IF(ISNUMBER(Y1567),ROUND(Y1567*0.9,2),"")</x:f>
      </x:c>
      <x:c r="AC1567" s="36" t="str">
        <x:f>IF(ISNUMBER(AB1567),ROUND(AB1567-(AB1567*0.015+0.2)-V1567,2),"")</x:f>
      </x:c>
      <x:c r="AD1567" s="36" t="str">
        <x:f>IF(ISNUMBER(Y1567),ROUND(Y1567*0.8,2),"")</x:f>
      </x:c>
      <x:c r="AE1567" s="36" t="str">
        <x:f>IF(ISNUMBER(AD1567),ROUND(AD1567*0.015+0.2,2),"")</x:f>
      </x:c>
      <x:c r="AF1567" s="36" t="str">
        <x:f>IF(ISNUMBER(AD1567),ROUND(AD1567-AE1567-V1567,2),"")</x:f>
      </x:c>
      <x:c r="AG1567" t="str">
        <x:f>IF(NOT(ISNUMBER(T1567)),"PENDING",IF(AF1567&gt;0,"PASS","FAIL"))</x:f>
        <x:v>PENDING</x:v>
      </x:c>
      <x:c r="AH1567" t="str">
        <x:f>IF(NOT(ISNUMBER(T1567)),"Needs supplier cost",IF(K1567&lt;&gt;"In stock","Supplier unavailable",IF(AG1567&lt;&gt;"PASS","BLOCK - GT loss risk","Commercially protected")))</x:f>
        <x:v>Needs supplier cost</x:v>
      </x:c>
      <x:c r="AI1567" t="str">
        <x:v>2026-09-10 Active Sports trade capture</x:v>
      </x:c>
      <x:c r="AJ1567" t="str">
        <x:v>Management-only economics. Stripe stress test uses 1.5% + £0.20 standard UK online-card fee; pallet/mix-and-match pricing ignored.</x:v>
      </x:c>
    </x:row>
    <x:row r="1568">
      <x:c r="A1568" t="str">
        <x:v>Active Sports Nutrition</x:v>
      </x:c>
      <x:c r="B1568" t="str">
        <x:v>NXT Nutrition</x:v>
      </x:c>
      <x:c r="C1568" t="str">
        <x:v>Beef Protein Isolate</x:v>
      </x:c>
      <x:c r="D1568" t="str">
        <x:v>Supplements</x:v>
      </x:c>
      <x:c r="E1568" t="str">
        <x:v>Protein Blends</x:v>
      </x:c>
      <x:c r="F1568" t="str">
        <x:v>Beef protein isolate.</x:v>
      </x:c>
      <x:c r="G1568" t="str">
        <x:v>1.8kg</x:v>
      </x:c>
      <x:c r="H1568" t="str">
        <x:v>Kiwi Lime</x:v>
      </x:c>
      <x:c r="I1568" t="str"/>
      <x:c r="J1568" t="str">
        <x:v>Unit</x:v>
      </x:c>
      <x:c r="K1568" t="str">
        <x:v>In stock</x:v>
      </x:c>
      <x:c r="L1568" t="str">
        <x:v>2026-09-08</x:v>
      </x:c>
      <x:c r="M1568" t="str"/>
      <x:c r="N1568" t="str"/>
      <x:c r="O1568" t="str">
        <x:v>https://www.activesportstrade.co.uk/Protein-Blends-Trade</x:v>
      </x:c>
      <x:c r="P1568" t="str">
        <x:v>Fresh Protein Blends page used over older whey crawl; Blue Coconut and Cherry Cola now out of stock.</x:v>
      </x:c>
      <x:c r="Q1568" t="str"/>
      <x:c r="R1568" t="str"/>
      <x:c r="S1568" t="str">
        <x:v>Pending genuine supplier/brand image</x:v>
      </x:c>
      <x:c r="T1568" s="54"/>
      <x:c r="U1568" s="47" t="n">
        <x:v>0.2</x:v>
      </x:c>
      <x:c r="V1568" s="54" t="str">
        <x:f>IF(ISNUMBER(T1568),T1568*(1+U1568),"")</x:f>
      </x:c>
      <x:c r="W1568" s="47" t="n">
        <x:v>0.3</x:v>
      </x:c>
      <x:c r="X1568" s="54" t="str">
        <x:f>IF(ISNUMBER(V1568),V1568/(1-W1568),"")</x:f>
      </x:c>
      <x:c r="Y1568" s="55" t="str">
        <x:f>IF(ISNUMBER(X1568),ROUNDUP(X1568,0),"")</x:f>
      </x:c>
      <x:c r="Z1568" t="str">
        <x:f>IF(ISNUMBER(T1568),"Cost captured","Awaiting trade cost")</x:f>
        <x:v>Awaiting trade cost</x:v>
      </x:c>
      <x:c r="AB1568" s="36" t="str">
        <x:f>IF(ISNUMBER(Y1568),ROUND(Y1568*0.9,2),"")</x:f>
      </x:c>
      <x:c r="AC1568" s="36" t="str">
        <x:f>IF(ISNUMBER(AB1568),ROUND(AB1568-(AB1568*0.015+0.2)-V1568,2),"")</x:f>
      </x:c>
      <x:c r="AD1568" s="36" t="str">
        <x:f>IF(ISNUMBER(Y1568),ROUND(Y1568*0.8,2),"")</x:f>
      </x:c>
      <x:c r="AE1568" s="36" t="str">
        <x:f>IF(ISNUMBER(AD1568),ROUND(AD1568*0.015+0.2,2),"")</x:f>
      </x:c>
      <x:c r="AF1568" s="36" t="str">
        <x:f>IF(ISNUMBER(AD1568),ROUND(AD1568-AE1568-V1568,2),"")</x:f>
      </x:c>
      <x:c r="AG1568" t="str">
        <x:f>IF(NOT(ISNUMBER(T1568)),"PENDING",IF(AF1568&gt;0,"PASS","FAIL"))</x:f>
        <x:v>PENDING</x:v>
      </x:c>
      <x:c r="AH1568" t="str">
        <x:f>IF(NOT(ISNUMBER(T1568)),"Needs supplier cost",IF(K1568&lt;&gt;"In stock","Supplier unavailable",IF(AG1568&lt;&gt;"PASS","BLOCK - GT loss risk","Commercially protected")))</x:f>
        <x:v>Needs supplier cost</x:v>
      </x:c>
      <x:c r="AI1568" t="str">
        <x:v>2026-09-10 Active Sports trade capture</x:v>
      </x:c>
      <x:c r="AJ1568" t="str">
        <x:v>Management-only economics. Stripe stress test uses 1.5% + £0.20 standard UK online-card fee; pallet/mix-and-match pricing ignored.</x:v>
      </x:c>
    </x:row>
    <x:row r="1569">
      <x:c r="A1569" t="str">
        <x:v>Active Sports Nutrition</x:v>
      </x:c>
      <x:c r="B1569" t="str">
        <x:v>NXT Nutrition</x:v>
      </x:c>
      <x:c r="C1569" t="str">
        <x:v>Beef Protein Isolate</x:v>
      </x:c>
      <x:c r="D1569" t="str">
        <x:v>Supplements</x:v>
      </x:c>
      <x:c r="E1569" t="str">
        <x:v>Protein Blends</x:v>
      </x:c>
      <x:c r="F1569" t="str">
        <x:v>Beef protein isolate.</x:v>
      </x:c>
      <x:c r="G1569" t="str">
        <x:v>1.8kg</x:v>
      </x:c>
      <x:c r="H1569" t="str">
        <x:v>Lemon &amp; Lime</x:v>
      </x:c>
      <x:c r="I1569" t="str"/>
      <x:c r="J1569" t="str">
        <x:v>Unit</x:v>
      </x:c>
      <x:c r="K1569" t="str">
        <x:v>In stock</x:v>
      </x:c>
      <x:c r="L1569" t="str">
        <x:v>2026-09-08</x:v>
      </x:c>
      <x:c r="M1569" t="str"/>
      <x:c r="N1569" t="str"/>
      <x:c r="O1569" t="str">
        <x:v>https://www.activesportstrade.co.uk/Protein-Blends-Trade</x:v>
      </x:c>
      <x:c r="P1569" t="str">
        <x:v>Fresh Protein Blends page used over older whey crawl; Blue Coconut and Cherry Cola now out of stock.</x:v>
      </x:c>
      <x:c r="Q1569" t="str"/>
      <x:c r="R1569" t="str"/>
      <x:c r="S1569" t="str">
        <x:v>Pending genuine supplier/brand image</x:v>
      </x:c>
      <x:c r="T1569" s="54"/>
      <x:c r="U1569" s="47" t="n">
        <x:v>0.2</x:v>
      </x:c>
      <x:c r="V1569" s="54" t="str">
        <x:f>IF(ISNUMBER(T1569),T1569*(1+U1569),"")</x:f>
      </x:c>
      <x:c r="W1569" s="47" t="n">
        <x:v>0.3</x:v>
      </x:c>
      <x:c r="X1569" s="54" t="str">
        <x:f>IF(ISNUMBER(V1569),V1569/(1-W1569),"")</x:f>
      </x:c>
      <x:c r="Y1569" s="55" t="str">
        <x:f>IF(ISNUMBER(X1569),ROUNDUP(X1569,0),"")</x:f>
      </x:c>
      <x:c r="Z1569" t="str">
        <x:f>IF(ISNUMBER(T1569),"Cost captured","Awaiting trade cost")</x:f>
        <x:v>Awaiting trade cost</x:v>
      </x:c>
      <x:c r="AB1569" s="36" t="str">
        <x:f>IF(ISNUMBER(Y1569),ROUND(Y1569*0.9,2),"")</x:f>
      </x:c>
      <x:c r="AC1569" s="36" t="str">
        <x:f>IF(ISNUMBER(AB1569),ROUND(AB1569-(AB1569*0.015+0.2)-V1569,2),"")</x:f>
      </x:c>
      <x:c r="AD1569" s="36" t="str">
        <x:f>IF(ISNUMBER(Y1569),ROUND(Y1569*0.8,2),"")</x:f>
      </x:c>
      <x:c r="AE1569" s="36" t="str">
        <x:f>IF(ISNUMBER(AD1569),ROUND(AD1569*0.015+0.2,2),"")</x:f>
      </x:c>
      <x:c r="AF1569" s="36" t="str">
        <x:f>IF(ISNUMBER(AD1569),ROUND(AD1569-AE1569-V1569,2),"")</x:f>
      </x:c>
      <x:c r="AG1569" t="str">
        <x:f>IF(NOT(ISNUMBER(T1569)),"PENDING",IF(AF1569&gt;0,"PASS","FAIL"))</x:f>
        <x:v>PENDING</x:v>
      </x:c>
      <x:c r="AH1569" t="str">
        <x:f>IF(NOT(ISNUMBER(T1569)),"Needs supplier cost",IF(K1569&lt;&gt;"In stock","Supplier unavailable",IF(AG1569&lt;&gt;"PASS","BLOCK - GT loss risk","Commercially protected")))</x:f>
        <x:v>Needs supplier cost</x:v>
      </x:c>
      <x:c r="AI1569" t="str">
        <x:v>2026-09-10 Active Sports trade capture</x:v>
      </x:c>
      <x:c r="AJ1569" t="str">
        <x:v>Management-only economics. Stripe stress test uses 1.5% + £0.20 standard UK online-card fee; pallet/mix-and-match pricing ignored.</x:v>
      </x:c>
    </x:row>
    <x:row r="1570">
      <x:c r="A1570" t="str">
        <x:v>Active Sports Nutrition</x:v>
      </x:c>
      <x:c r="B1570" t="str">
        <x:v>NXT Nutrition</x:v>
      </x:c>
      <x:c r="C1570" t="str">
        <x:v>Beef Protein Isolate</x:v>
      </x:c>
      <x:c r="D1570" t="str">
        <x:v>Supplements</x:v>
      </x:c>
      <x:c r="E1570" t="str">
        <x:v>Protein Blends</x:v>
      </x:c>
      <x:c r="F1570" t="str">
        <x:v>Beef protein isolate.</x:v>
      </x:c>
      <x:c r="G1570" t="str">
        <x:v>1.8kg</x:v>
      </x:c>
      <x:c r="H1570" t="str">
        <x:v>Lemonade</x:v>
      </x:c>
      <x:c r="I1570" t="str"/>
      <x:c r="J1570" t="str">
        <x:v>Unit</x:v>
      </x:c>
      <x:c r="K1570" t="str">
        <x:v>In stock</x:v>
      </x:c>
      <x:c r="L1570" t="str">
        <x:v>2026-09-08</x:v>
      </x:c>
      <x:c r="M1570" t="str"/>
      <x:c r="N1570" t="str"/>
      <x:c r="O1570" t="str">
        <x:v>https://www.activesportstrade.co.uk/Protein-Blends-Trade</x:v>
      </x:c>
      <x:c r="P1570" t="str">
        <x:v>Fresh Protein Blends page used over older whey crawl; Blue Coconut and Cherry Cola now out of stock.</x:v>
      </x:c>
      <x:c r="Q1570" t="str"/>
      <x:c r="R1570" t="str"/>
      <x:c r="S1570" t="str">
        <x:v>Pending genuine supplier/brand image</x:v>
      </x:c>
      <x:c r="T1570" s="54"/>
      <x:c r="U1570" s="47" t="n">
        <x:v>0.2</x:v>
      </x:c>
      <x:c r="V1570" s="54" t="str">
        <x:f>IF(ISNUMBER(T1570),T1570*(1+U1570),"")</x:f>
      </x:c>
      <x:c r="W1570" s="47" t="n">
        <x:v>0.3</x:v>
      </x:c>
      <x:c r="X1570" s="54" t="str">
        <x:f>IF(ISNUMBER(V1570),V1570/(1-W1570),"")</x:f>
      </x:c>
      <x:c r="Y1570" s="55" t="str">
        <x:f>IF(ISNUMBER(X1570),ROUNDUP(X1570,0),"")</x:f>
      </x:c>
      <x:c r="Z1570" t="str">
        <x:f>IF(ISNUMBER(T1570),"Cost captured","Awaiting trade cost")</x:f>
        <x:v>Awaiting trade cost</x:v>
      </x:c>
      <x:c r="AB1570" s="36" t="str">
        <x:f>IF(ISNUMBER(Y1570),ROUND(Y1570*0.9,2),"")</x:f>
      </x:c>
      <x:c r="AC1570" s="36" t="str">
        <x:f>IF(ISNUMBER(AB1570),ROUND(AB1570-(AB1570*0.015+0.2)-V1570,2),"")</x:f>
      </x:c>
      <x:c r="AD1570" s="36" t="str">
        <x:f>IF(ISNUMBER(Y1570),ROUND(Y1570*0.8,2),"")</x:f>
      </x:c>
      <x:c r="AE1570" s="36" t="str">
        <x:f>IF(ISNUMBER(AD1570),ROUND(AD1570*0.015+0.2,2),"")</x:f>
      </x:c>
      <x:c r="AF1570" s="36" t="str">
        <x:f>IF(ISNUMBER(AD1570),ROUND(AD1570-AE1570-V1570,2),"")</x:f>
      </x:c>
      <x:c r="AG1570" t="str">
        <x:f>IF(NOT(ISNUMBER(T1570)),"PENDING",IF(AF1570&gt;0,"PASS","FAIL"))</x:f>
        <x:v>PENDING</x:v>
      </x:c>
      <x:c r="AH1570" t="str">
        <x:f>IF(NOT(ISNUMBER(T1570)),"Needs supplier cost",IF(K1570&lt;&gt;"In stock","Supplier unavailable",IF(AG1570&lt;&gt;"PASS","BLOCK - GT loss risk","Commercially protected")))</x:f>
        <x:v>Needs supplier cost</x:v>
      </x:c>
      <x:c r="AI1570" t="str">
        <x:v>2026-09-10 Active Sports trade capture</x:v>
      </x:c>
      <x:c r="AJ1570" t="str">
        <x:v>Management-only economics. Stripe stress test uses 1.5% + £0.20 standard UK online-card fee; pallet/mix-and-match pricing ignored.</x:v>
      </x:c>
    </x:row>
    <x:row r="1571">
      <x:c r="A1571" t="str">
        <x:v>Active Sports Nutrition</x:v>
      </x:c>
      <x:c r="B1571" t="str">
        <x:v>NXT Nutrition</x:v>
      </x:c>
      <x:c r="C1571" t="str">
        <x:v>Beef Protein Isolate</x:v>
      </x:c>
      <x:c r="D1571" t="str">
        <x:v>Supplements</x:v>
      </x:c>
      <x:c r="E1571" t="str">
        <x:v>Protein Blends</x:v>
      </x:c>
      <x:c r="F1571" t="str">
        <x:v>Beef protein isolate.</x:v>
      </x:c>
      <x:c r="G1571" t="str">
        <x:v>1.8kg</x:v>
      </x:c>
      <x:c r="H1571" t="str">
        <x:v>Mango &amp; Orange</x:v>
      </x:c>
      <x:c r="I1571" t="str"/>
      <x:c r="J1571" t="str">
        <x:v>Unit</x:v>
      </x:c>
      <x:c r="K1571" t="str">
        <x:v>In stock</x:v>
      </x:c>
      <x:c r="L1571" t="str">
        <x:v>2026-09-08</x:v>
      </x:c>
      <x:c r="M1571" t="str"/>
      <x:c r="N1571" t="str"/>
      <x:c r="O1571" t="str">
        <x:v>https://www.activesportstrade.co.uk/Protein-Blends-Trade</x:v>
      </x:c>
      <x:c r="P1571" t="str">
        <x:v>Fresh Protein Blends page used over older whey crawl; Blue Coconut and Cherry Cola now out of stock.</x:v>
      </x:c>
      <x:c r="Q1571" t="str"/>
      <x:c r="R1571" t="str"/>
      <x:c r="S1571" t="str">
        <x:v>Pending genuine supplier/brand image</x:v>
      </x:c>
      <x:c r="T1571" s="54"/>
      <x:c r="U1571" s="47" t="n">
        <x:v>0.2</x:v>
      </x:c>
      <x:c r="V1571" s="54" t="str">
        <x:f>IF(ISNUMBER(T1571),T1571*(1+U1571),"")</x:f>
      </x:c>
      <x:c r="W1571" s="47" t="n">
        <x:v>0.3</x:v>
      </x:c>
      <x:c r="X1571" s="54" t="str">
        <x:f>IF(ISNUMBER(V1571),V1571/(1-W1571),"")</x:f>
      </x:c>
      <x:c r="Y1571" s="55" t="str">
        <x:f>IF(ISNUMBER(X1571),ROUNDUP(X1571,0),"")</x:f>
      </x:c>
      <x:c r="Z1571" t="str">
        <x:f>IF(ISNUMBER(T1571),"Cost captured","Awaiting trade cost")</x:f>
        <x:v>Awaiting trade cost</x:v>
      </x:c>
      <x:c r="AB1571" s="36" t="str">
        <x:f>IF(ISNUMBER(Y1571),ROUND(Y1571*0.9,2),"")</x:f>
      </x:c>
      <x:c r="AC1571" s="36" t="str">
        <x:f>IF(ISNUMBER(AB1571),ROUND(AB1571-(AB1571*0.015+0.2)-V1571,2),"")</x:f>
      </x:c>
      <x:c r="AD1571" s="36" t="str">
        <x:f>IF(ISNUMBER(Y1571),ROUND(Y1571*0.8,2),"")</x:f>
      </x:c>
      <x:c r="AE1571" s="36" t="str">
        <x:f>IF(ISNUMBER(AD1571),ROUND(AD1571*0.015+0.2,2),"")</x:f>
      </x:c>
      <x:c r="AF1571" s="36" t="str">
        <x:f>IF(ISNUMBER(AD1571),ROUND(AD1571-AE1571-V1571,2),"")</x:f>
      </x:c>
      <x:c r="AG1571" t="str">
        <x:f>IF(NOT(ISNUMBER(T1571)),"PENDING",IF(AF1571&gt;0,"PASS","FAIL"))</x:f>
        <x:v>PENDING</x:v>
      </x:c>
      <x:c r="AH1571" t="str">
        <x:f>IF(NOT(ISNUMBER(T1571)),"Needs supplier cost",IF(K1571&lt;&gt;"In stock","Supplier unavailable",IF(AG1571&lt;&gt;"PASS","BLOCK - GT loss risk","Commercially protected")))</x:f>
        <x:v>Needs supplier cost</x:v>
      </x:c>
      <x:c r="AI1571" t="str">
        <x:v>2026-09-10 Active Sports trade capture</x:v>
      </x:c>
      <x:c r="AJ1571" t="str">
        <x:v>Management-only economics. Stripe stress test uses 1.5% + £0.20 standard UK online-card fee; pallet/mix-and-match pricing ignored.</x:v>
      </x:c>
    </x:row>
    <x:row r="1572">
      <x:c r="A1572" t="str">
        <x:v>Active Sports Nutrition</x:v>
      </x:c>
      <x:c r="B1572" t="str">
        <x:v>NXT Nutrition</x:v>
      </x:c>
      <x:c r="C1572" t="str">
        <x:v>Beef Protein Isolate</x:v>
      </x:c>
      <x:c r="D1572" t="str">
        <x:v>Supplements</x:v>
      </x:c>
      <x:c r="E1572" t="str">
        <x:v>Protein Blends</x:v>
      </x:c>
      <x:c r="F1572" t="str">
        <x:v>Beef protein isolate.</x:v>
      </x:c>
      <x:c r="G1572" t="str">
        <x:v>1.8kg</x:v>
      </x:c>
      <x:c r="H1572" t="str">
        <x:v>Mmmto</x:v>
      </x:c>
      <x:c r="I1572" t="str"/>
      <x:c r="J1572" t="str">
        <x:v>Unit</x:v>
      </x:c>
      <x:c r="K1572" t="str">
        <x:v>In stock</x:v>
      </x:c>
      <x:c r="L1572" t="str">
        <x:v>2026-09-08</x:v>
      </x:c>
      <x:c r="M1572" t="str"/>
      <x:c r="N1572" t="str"/>
      <x:c r="O1572" t="str">
        <x:v>https://www.activesportstrade.co.uk/Protein-Blends-Trade</x:v>
      </x:c>
      <x:c r="P1572" t="str">
        <x:v>Fresh Protein Blends page used over older whey crawl; Blue Coconut and Cherry Cola now out of stock.</x:v>
      </x:c>
      <x:c r="Q1572" t="str"/>
      <x:c r="R1572" t="str"/>
      <x:c r="S1572" t="str">
        <x:v>Pending genuine supplier/brand image</x:v>
      </x:c>
      <x:c r="T1572" s="54"/>
      <x:c r="U1572" s="47" t="n">
        <x:v>0.2</x:v>
      </x:c>
      <x:c r="V1572" s="54" t="str">
        <x:f>IF(ISNUMBER(T1572),T1572*(1+U1572),"")</x:f>
      </x:c>
      <x:c r="W1572" s="47" t="n">
        <x:v>0.3</x:v>
      </x:c>
      <x:c r="X1572" s="54" t="str">
        <x:f>IF(ISNUMBER(V1572),V1572/(1-W1572),"")</x:f>
      </x:c>
      <x:c r="Y1572" s="55" t="str">
        <x:f>IF(ISNUMBER(X1572),ROUNDUP(X1572,0),"")</x:f>
      </x:c>
      <x:c r="Z1572" t="str">
        <x:f>IF(ISNUMBER(T1572),"Cost captured","Awaiting trade cost")</x:f>
        <x:v>Awaiting trade cost</x:v>
      </x:c>
      <x:c r="AB1572" s="36" t="str">
        <x:f>IF(ISNUMBER(Y1572),ROUND(Y1572*0.9,2),"")</x:f>
      </x:c>
      <x:c r="AC1572" s="36" t="str">
        <x:f>IF(ISNUMBER(AB1572),ROUND(AB1572-(AB1572*0.015+0.2)-V1572,2),"")</x:f>
      </x:c>
      <x:c r="AD1572" s="36" t="str">
        <x:f>IF(ISNUMBER(Y1572),ROUND(Y1572*0.8,2),"")</x:f>
      </x:c>
      <x:c r="AE1572" s="36" t="str">
        <x:f>IF(ISNUMBER(AD1572),ROUND(AD1572*0.015+0.2,2),"")</x:f>
      </x:c>
      <x:c r="AF1572" s="36" t="str">
        <x:f>IF(ISNUMBER(AD1572),ROUND(AD1572-AE1572-V1572,2),"")</x:f>
      </x:c>
      <x:c r="AG1572" t="str">
        <x:f>IF(NOT(ISNUMBER(T1572)),"PENDING",IF(AF1572&gt;0,"PASS","FAIL"))</x:f>
        <x:v>PENDING</x:v>
      </x:c>
      <x:c r="AH1572" t="str">
        <x:f>IF(NOT(ISNUMBER(T1572)),"Needs supplier cost",IF(K1572&lt;&gt;"In stock","Supplier unavailable",IF(AG1572&lt;&gt;"PASS","BLOCK - GT loss risk","Commercially protected")))</x:f>
        <x:v>Needs supplier cost</x:v>
      </x:c>
      <x:c r="AI1572" t="str">
        <x:v>2026-09-10 Active Sports trade capture</x:v>
      </x:c>
      <x:c r="AJ1572" t="str">
        <x:v>Management-only economics. Stripe stress test uses 1.5% + £0.20 standard UK online-card fee; pallet/mix-and-match pricing ignored.</x:v>
      </x:c>
    </x:row>
    <x:row r="1573">
      <x:c r="A1573" t="str">
        <x:v>Active Sports Nutrition</x:v>
      </x:c>
      <x:c r="B1573" t="str">
        <x:v>NXT Nutrition</x:v>
      </x:c>
      <x:c r="C1573" t="str">
        <x:v>Beef Protein Isolate</x:v>
      </x:c>
      <x:c r="D1573" t="str">
        <x:v>Supplements</x:v>
      </x:c>
      <x:c r="E1573" t="str">
        <x:v>Protein Blends</x:v>
      </x:c>
      <x:c r="F1573" t="str">
        <x:v>Beef protein isolate.</x:v>
      </x:c>
      <x:c r="G1573" t="str">
        <x:v>1.8kg</x:v>
      </x:c>
      <x:c r="H1573" t="str">
        <x:v>Mojito</x:v>
      </x:c>
      <x:c r="I1573" t="str"/>
      <x:c r="J1573" t="str">
        <x:v>Unit</x:v>
      </x:c>
      <x:c r="K1573" t="str">
        <x:v>In stock</x:v>
      </x:c>
      <x:c r="L1573" t="str">
        <x:v>2026-09-08</x:v>
      </x:c>
      <x:c r="M1573" t="str"/>
      <x:c r="N1573" t="str"/>
      <x:c r="O1573" t="str">
        <x:v>https://www.activesportstrade.co.uk/Protein-Blends-Trade</x:v>
      </x:c>
      <x:c r="P1573" t="str">
        <x:v>Fresh Protein Blends page used over older whey crawl; Blue Coconut and Cherry Cola now out of stock.</x:v>
      </x:c>
      <x:c r="Q1573" t="str"/>
      <x:c r="R1573" t="str"/>
      <x:c r="S1573" t="str">
        <x:v>Pending genuine supplier/brand image</x:v>
      </x:c>
      <x:c r="T1573" s="54"/>
      <x:c r="U1573" s="47" t="n">
        <x:v>0.2</x:v>
      </x:c>
      <x:c r="V1573" s="54" t="str">
        <x:f>IF(ISNUMBER(T1573),T1573*(1+U1573),"")</x:f>
      </x:c>
      <x:c r="W1573" s="47" t="n">
        <x:v>0.3</x:v>
      </x:c>
      <x:c r="X1573" s="54" t="str">
        <x:f>IF(ISNUMBER(V1573),V1573/(1-W1573),"")</x:f>
      </x:c>
      <x:c r="Y1573" s="55" t="str">
        <x:f>IF(ISNUMBER(X1573),ROUNDUP(X1573,0),"")</x:f>
      </x:c>
      <x:c r="Z1573" t="str">
        <x:f>IF(ISNUMBER(T1573),"Cost captured","Awaiting trade cost")</x:f>
        <x:v>Awaiting trade cost</x:v>
      </x:c>
      <x:c r="AB1573" s="36" t="str">
        <x:f>IF(ISNUMBER(Y1573),ROUND(Y1573*0.9,2),"")</x:f>
      </x:c>
      <x:c r="AC1573" s="36" t="str">
        <x:f>IF(ISNUMBER(AB1573),ROUND(AB1573-(AB1573*0.015+0.2)-V1573,2),"")</x:f>
      </x:c>
      <x:c r="AD1573" s="36" t="str">
        <x:f>IF(ISNUMBER(Y1573),ROUND(Y1573*0.8,2),"")</x:f>
      </x:c>
      <x:c r="AE1573" s="36" t="str">
        <x:f>IF(ISNUMBER(AD1573),ROUND(AD1573*0.015+0.2,2),"")</x:f>
      </x:c>
      <x:c r="AF1573" s="36" t="str">
        <x:f>IF(ISNUMBER(AD1573),ROUND(AD1573-AE1573-V1573,2),"")</x:f>
      </x:c>
      <x:c r="AG1573" t="str">
        <x:f>IF(NOT(ISNUMBER(T1573)),"PENDING",IF(AF1573&gt;0,"PASS","FAIL"))</x:f>
        <x:v>PENDING</x:v>
      </x:c>
      <x:c r="AH1573" t="str">
        <x:f>IF(NOT(ISNUMBER(T1573)),"Needs supplier cost",IF(K1573&lt;&gt;"In stock","Supplier unavailable",IF(AG1573&lt;&gt;"PASS","BLOCK - GT loss risk","Commercially protected")))</x:f>
        <x:v>Needs supplier cost</x:v>
      </x:c>
      <x:c r="AI1573" t="str">
        <x:v>2026-09-10 Active Sports trade capture</x:v>
      </x:c>
      <x:c r="AJ1573" t="str">
        <x:v>Management-only economics. Stripe stress test uses 1.5% + £0.20 standard UK online-card fee; pallet/mix-and-match pricing ignored.</x:v>
      </x:c>
    </x:row>
    <x:row r="1574">
      <x:c r="A1574" t="str">
        <x:v>Active Sports Nutrition</x:v>
      </x:c>
      <x:c r="B1574" t="str">
        <x:v>NXT Nutrition</x:v>
      </x:c>
      <x:c r="C1574" t="str">
        <x:v>Beef Protein Isolate</x:v>
      </x:c>
      <x:c r="D1574" t="str">
        <x:v>Supplements</x:v>
      </x:c>
      <x:c r="E1574" t="str">
        <x:v>Protein Blends</x:v>
      </x:c>
      <x:c r="F1574" t="str">
        <x:v>Beef protein isolate.</x:v>
      </x:c>
      <x:c r="G1574" t="str">
        <x:v>1.8kg</x:v>
      </x:c>
      <x:c r="H1574" t="str">
        <x:v>Orange</x:v>
      </x:c>
      <x:c r="I1574" t="str"/>
      <x:c r="J1574" t="str">
        <x:v>Unit</x:v>
      </x:c>
      <x:c r="K1574" t="str">
        <x:v>In stock</x:v>
      </x:c>
      <x:c r="L1574" t="str">
        <x:v>2026-09-08</x:v>
      </x:c>
      <x:c r="M1574" t="str"/>
      <x:c r="N1574" t="str"/>
      <x:c r="O1574" t="str">
        <x:v>https://www.activesportstrade.co.uk/Protein-Blends-Trade</x:v>
      </x:c>
      <x:c r="P1574" t="str">
        <x:v>Fresh Protein Blends page used over older whey crawl; Blue Coconut and Cherry Cola now out of stock.</x:v>
      </x:c>
      <x:c r="Q1574" t="str"/>
      <x:c r="R1574" t="str"/>
      <x:c r="S1574" t="str">
        <x:v>Pending genuine supplier/brand image</x:v>
      </x:c>
      <x:c r="T1574" s="54"/>
      <x:c r="U1574" s="47" t="n">
        <x:v>0.2</x:v>
      </x:c>
      <x:c r="V1574" s="54" t="str">
        <x:f>IF(ISNUMBER(T1574),T1574*(1+U1574),"")</x:f>
      </x:c>
      <x:c r="W1574" s="47" t="n">
        <x:v>0.3</x:v>
      </x:c>
      <x:c r="X1574" s="54" t="str">
        <x:f>IF(ISNUMBER(V1574),V1574/(1-W1574),"")</x:f>
      </x:c>
      <x:c r="Y1574" s="55" t="str">
        <x:f>IF(ISNUMBER(X1574),ROUNDUP(X1574,0),"")</x:f>
      </x:c>
      <x:c r="Z1574" t="str">
        <x:f>IF(ISNUMBER(T1574),"Cost captured","Awaiting trade cost")</x:f>
        <x:v>Awaiting trade cost</x:v>
      </x:c>
      <x:c r="AB1574" s="36" t="str">
        <x:f>IF(ISNUMBER(Y1574),ROUND(Y1574*0.9,2),"")</x:f>
      </x:c>
      <x:c r="AC1574" s="36" t="str">
        <x:f>IF(ISNUMBER(AB1574),ROUND(AB1574-(AB1574*0.015+0.2)-V1574,2),"")</x:f>
      </x:c>
      <x:c r="AD1574" s="36" t="str">
        <x:f>IF(ISNUMBER(Y1574),ROUND(Y1574*0.8,2),"")</x:f>
      </x:c>
      <x:c r="AE1574" s="36" t="str">
        <x:f>IF(ISNUMBER(AD1574),ROUND(AD1574*0.015+0.2,2),"")</x:f>
      </x:c>
      <x:c r="AF1574" s="36" t="str">
        <x:f>IF(ISNUMBER(AD1574),ROUND(AD1574-AE1574-V1574,2),"")</x:f>
      </x:c>
      <x:c r="AG1574" t="str">
        <x:f>IF(NOT(ISNUMBER(T1574)),"PENDING",IF(AF1574&gt;0,"PASS","FAIL"))</x:f>
        <x:v>PENDING</x:v>
      </x:c>
      <x:c r="AH1574" t="str">
        <x:f>IF(NOT(ISNUMBER(T1574)),"Needs supplier cost",IF(K1574&lt;&gt;"In stock","Supplier unavailable",IF(AG1574&lt;&gt;"PASS","BLOCK - GT loss risk","Commercially protected")))</x:f>
        <x:v>Needs supplier cost</x:v>
      </x:c>
      <x:c r="AI1574" t="str">
        <x:v>2026-09-10 Active Sports trade capture</x:v>
      </x:c>
      <x:c r="AJ1574" t="str">
        <x:v>Management-only economics. Stripe stress test uses 1.5% + £0.20 standard UK online-card fee; pallet/mix-and-match pricing ignored.</x:v>
      </x:c>
    </x:row>
    <x:row r="1575">
      <x:c r="A1575" t="str">
        <x:v>Active Sports Nutrition</x:v>
      </x:c>
      <x:c r="B1575" t="str">
        <x:v>NXT Nutrition</x:v>
      </x:c>
      <x:c r="C1575" t="str">
        <x:v>Beef Protein Isolate</x:v>
      </x:c>
      <x:c r="D1575" t="str">
        <x:v>Supplements</x:v>
      </x:c>
      <x:c r="E1575" t="str">
        <x:v>Protein Blends</x:v>
      </x:c>
      <x:c r="F1575" t="str">
        <x:v>Beef protein isolate.</x:v>
      </x:c>
      <x:c r="G1575" t="str">
        <x:v>1.8kg</x:v>
      </x:c>
      <x:c r="H1575" t="str">
        <x:v>Pear Drops</x:v>
      </x:c>
      <x:c r="I1575" t="str"/>
      <x:c r="J1575" t="str">
        <x:v>Unit</x:v>
      </x:c>
      <x:c r="K1575" t="str">
        <x:v>In stock</x:v>
      </x:c>
      <x:c r="L1575" t="str">
        <x:v>2026-09-08</x:v>
      </x:c>
      <x:c r="M1575" t="str"/>
      <x:c r="N1575" t="str"/>
      <x:c r="O1575" t="str">
        <x:v>https://www.activesportstrade.co.uk/Protein-Blends-Trade</x:v>
      </x:c>
      <x:c r="P1575" t="str">
        <x:v>Fresh Protein Blends page used over older whey crawl; Blue Coconut and Cherry Cola now out of stock.</x:v>
      </x:c>
      <x:c r="Q1575" t="str"/>
      <x:c r="R1575" t="str"/>
      <x:c r="S1575" t="str">
        <x:v>Pending genuine supplier/brand image</x:v>
      </x:c>
      <x:c r="T1575" s="54"/>
      <x:c r="U1575" s="47" t="n">
        <x:v>0.2</x:v>
      </x:c>
      <x:c r="V1575" s="54" t="str">
        <x:f>IF(ISNUMBER(T1575),T1575*(1+U1575),"")</x:f>
      </x:c>
      <x:c r="W1575" s="47" t="n">
        <x:v>0.3</x:v>
      </x:c>
      <x:c r="X1575" s="54" t="str">
        <x:f>IF(ISNUMBER(V1575),V1575/(1-W1575),"")</x:f>
      </x:c>
      <x:c r="Y1575" s="55" t="str">
        <x:f>IF(ISNUMBER(X1575),ROUNDUP(X1575,0),"")</x:f>
      </x:c>
      <x:c r="Z1575" t="str">
        <x:f>IF(ISNUMBER(T1575),"Cost captured","Awaiting trade cost")</x:f>
        <x:v>Awaiting trade cost</x:v>
      </x:c>
      <x:c r="AB1575" s="36" t="str">
        <x:f>IF(ISNUMBER(Y1575),ROUND(Y1575*0.9,2),"")</x:f>
      </x:c>
      <x:c r="AC1575" s="36" t="str">
        <x:f>IF(ISNUMBER(AB1575),ROUND(AB1575-(AB1575*0.015+0.2)-V1575,2),"")</x:f>
      </x:c>
      <x:c r="AD1575" s="36" t="str">
        <x:f>IF(ISNUMBER(Y1575),ROUND(Y1575*0.8,2),"")</x:f>
      </x:c>
      <x:c r="AE1575" s="36" t="str">
        <x:f>IF(ISNUMBER(AD1575),ROUND(AD1575*0.015+0.2,2),"")</x:f>
      </x:c>
      <x:c r="AF1575" s="36" t="str">
        <x:f>IF(ISNUMBER(AD1575),ROUND(AD1575-AE1575-V1575,2),"")</x:f>
      </x:c>
      <x:c r="AG1575" t="str">
        <x:f>IF(NOT(ISNUMBER(T1575)),"PENDING",IF(AF1575&gt;0,"PASS","FAIL"))</x:f>
        <x:v>PENDING</x:v>
      </x:c>
      <x:c r="AH1575" t="str">
        <x:f>IF(NOT(ISNUMBER(T1575)),"Needs supplier cost",IF(K1575&lt;&gt;"In stock","Supplier unavailable",IF(AG1575&lt;&gt;"PASS","BLOCK - GT loss risk","Commercially protected")))</x:f>
        <x:v>Needs supplier cost</x:v>
      </x:c>
      <x:c r="AI1575" t="str">
        <x:v>2026-09-10 Active Sports trade capture</x:v>
      </x:c>
      <x:c r="AJ1575" t="str">
        <x:v>Management-only economics. Stripe stress test uses 1.5% + £0.20 standard UK online-card fee; pallet/mix-and-match pricing ignored.</x:v>
      </x:c>
    </x:row>
    <x:row r="1576">
      <x:c r="A1576" t="str">
        <x:v>Active Sports Nutrition</x:v>
      </x:c>
      <x:c r="B1576" t="str">
        <x:v>NXT Nutrition</x:v>
      </x:c>
      <x:c r="C1576" t="str">
        <x:v>Beef Protein Isolate</x:v>
      </x:c>
      <x:c r="D1576" t="str">
        <x:v>Supplements</x:v>
      </x:c>
      <x:c r="E1576" t="str">
        <x:v>Protein Blends</x:v>
      </x:c>
      <x:c r="F1576" t="str">
        <x:v>Beef protein isolate.</x:v>
      </x:c>
      <x:c r="G1576" t="str">
        <x:v>1.8kg</x:v>
      </x:c>
      <x:c r="H1576" t="str">
        <x:v>Perfectly Peachy</x:v>
      </x:c>
      <x:c r="I1576" t="str"/>
      <x:c r="J1576" t="str">
        <x:v>Unit</x:v>
      </x:c>
      <x:c r="K1576" t="str">
        <x:v>In stock</x:v>
      </x:c>
      <x:c r="L1576" t="str">
        <x:v>2026-09-08</x:v>
      </x:c>
      <x:c r="M1576" t="str"/>
      <x:c r="N1576" t="str"/>
      <x:c r="O1576" t="str">
        <x:v>https://www.activesportstrade.co.uk/Protein-Blends-Trade</x:v>
      </x:c>
      <x:c r="P1576" t="str">
        <x:v>Fresh Protein Blends page used over older whey crawl; Blue Coconut and Cherry Cola now out of stock.</x:v>
      </x:c>
      <x:c r="Q1576" t="str"/>
      <x:c r="R1576" t="str"/>
      <x:c r="S1576" t="str">
        <x:v>Pending genuine supplier/brand image</x:v>
      </x:c>
      <x:c r="T1576" s="54"/>
      <x:c r="U1576" s="47" t="n">
        <x:v>0.2</x:v>
      </x:c>
      <x:c r="V1576" s="54" t="str">
        <x:f>IF(ISNUMBER(T1576),T1576*(1+U1576),"")</x:f>
      </x:c>
      <x:c r="W1576" s="47" t="n">
        <x:v>0.3</x:v>
      </x:c>
      <x:c r="X1576" s="54" t="str">
        <x:f>IF(ISNUMBER(V1576),V1576/(1-W1576),"")</x:f>
      </x:c>
      <x:c r="Y1576" s="55" t="str">
        <x:f>IF(ISNUMBER(X1576),ROUNDUP(X1576,0),"")</x:f>
      </x:c>
      <x:c r="Z1576" t="str">
        <x:f>IF(ISNUMBER(T1576),"Cost captured","Awaiting trade cost")</x:f>
        <x:v>Awaiting trade cost</x:v>
      </x:c>
      <x:c r="AB1576" s="36" t="str">
        <x:f>IF(ISNUMBER(Y1576),ROUND(Y1576*0.9,2),"")</x:f>
      </x:c>
      <x:c r="AC1576" s="36" t="str">
        <x:f>IF(ISNUMBER(AB1576),ROUND(AB1576-(AB1576*0.015+0.2)-V1576,2),"")</x:f>
      </x:c>
      <x:c r="AD1576" s="36" t="str">
        <x:f>IF(ISNUMBER(Y1576),ROUND(Y1576*0.8,2),"")</x:f>
      </x:c>
      <x:c r="AE1576" s="36" t="str">
        <x:f>IF(ISNUMBER(AD1576),ROUND(AD1576*0.015+0.2,2),"")</x:f>
      </x:c>
      <x:c r="AF1576" s="36" t="str">
        <x:f>IF(ISNUMBER(AD1576),ROUND(AD1576-AE1576-V1576,2),"")</x:f>
      </x:c>
      <x:c r="AG1576" t="str">
        <x:f>IF(NOT(ISNUMBER(T1576)),"PENDING",IF(AF1576&gt;0,"PASS","FAIL"))</x:f>
        <x:v>PENDING</x:v>
      </x:c>
      <x:c r="AH1576" t="str">
        <x:f>IF(NOT(ISNUMBER(T1576)),"Needs supplier cost",IF(K1576&lt;&gt;"In stock","Supplier unavailable",IF(AG1576&lt;&gt;"PASS","BLOCK - GT loss risk","Commercially protected")))</x:f>
        <x:v>Needs supplier cost</x:v>
      </x:c>
      <x:c r="AI1576" t="str">
        <x:v>2026-09-10 Active Sports trade capture</x:v>
      </x:c>
      <x:c r="AJ1576" t="str">
        <x:v>Management-only economics. Stripe stress test uses 1.5% + £0.20 standard UK online-card fee; pallet/mix-and-match pricing ignored.</x:v>
      </x:c>
    </x:row>
    <x:row r="1577">
      <x:c r="A1577" t="str">
        <x:v>Active Sports Nutrition</x:v>
      </x:c>
      <x:c r="B1577" t="str">
        <x:v>NXT Nutrition</x:v>
      </x:c>
      <x:c r="C1577" t="str">
        <x:v>Beef Protein Isolate</x:v>
      </x:c>
      <x:c r="D1577" t="str">
        <x:v>Supplements</x:v>
      </x:c>
      <x:c r="E1577" t="str">
        <x:v>Protein Blends</x:v>
      </x:c>
      <x:c r="F1577" t="str">
        <x:v>Beef protein isolate.</x:v>
      </x:c>
      <x:c r="G1577" t="str">
        <x:v>1.8kg</x:v>
      </x:c>
      <x:c r="H1577" t="str">
        <x:v>Pina Colada</x:v>
      </x:c>
      <x:c r="I1577" t="str"/>
      <x:c r="J1577" t="str">
        <x:v>Unit</x:v>
      </x:c>
      <x:c r="K1577" t="str">
        <x:v>In stock</x:v>
      </x:c>
      <x:c r="L1577" t="str">
        <x:v>2026-09-08</x:v>
      </x:c>
      <x:c r="M1577" t="str"/>
      <x:c r="N1577" t="str"/>
      <x:c r="O1577" t="str">
        <x:v>https://www.activesportstrade.co.uk/Protein-Blends-Trade</x:v>
      </x:c>
      <x:c r="P1577" t="str">
        <x:v>Fresh Protein Blends page used over older whey crawl; Blue Coconut and Cherry Cola now out of stock.</x:v>
      </x:c>
      <x:c r="Q1577" t="str"/>
      <x:c r="R1577" t="str"/>
      <x:c r="S1577" t="str">
        <x:v>Pending genuine supplier/brand image</x:v>
      </x:c>
      <x:c r="T1577" s="54"/>
      <x:c r="U1577" s="47" t="n">
        <x:v>0.2</x:v>
      </x:c>
      <x:c r="V1577" s="54" t="str">
        <x:f>IF(ISNUMBER(T1577),T1577*(1+U1577),"")</x:f>
      </x:c>
      <x:c r="W1577" s="47" t="n">
        <x:v>0.3</x:v>
      </x:c>
      <x:c r="X1577" s="54" t="str">
        <x:f>IF(ISNUMBER(V1577),V1577/(1-W1577),"")</x:f>
      </x:c>
      <x:c r="Y1577" s="55" t="str">
        <x:f>IF(ISNUMBER(X1577),ROUNDUP(X1577,0),"")</x:f>
      </x:c>
      <x:c r="Z1577" t="str">
        <x:f>IF(ISNUMBER(T1577),"Cost captured","Awaiting trade cost")</x:f>
        <x:v>Awaiting trade cost</x:v>
      </x:c>
      <x:c r="AB1577" s="36" t="str">
        <x:f>IF(ISNUMBER(Y1577),ROUND(Y1577*0.9,2),"")</x:f>
      </x:c>
      <x:c r="AC1577" s="36" t="str">
        <x:f>IF(ISNUMBER(AB1577),ROUND(AB1577-(AB1577*0.015+0.2)-V1577,2),"")</x:f>
      </x:c>
      <x:c r="AD1577" s="36" t="str">
        <x:f>IF(ISNUMBER(Y1577),ROUND(Y1577*0.8,2),"")</x:f>
      </x:c>
      <x:c r="AE1577" s="36" t="str">
        <x:f>IF(ISNUMBER(AD1577),ROUND(AD1577*0.015+0.2,2),"")</x:f>
      </x:c>
      <x:c r="AF1577" s="36" t="str">
        <x:f>IF(ISNUMBER(AD1577),ROUND(AD1577-AE1577-V1577,2),"")</x:f>
      </x:c>
      <x:c r="AG1577" t="str">
        <x:f>IF(NOT(ISNUMBER(T1577)),"PENDING",IF(AF1577&gt;0,"PASS","FAIL"))</x:f>
        <x:v>PENDING</x:v>
      </x:c>
      <x:c r="AH1577" t="str">
        <x:f>IF(NOT(ISNUMBER(T1577)),"Needs supplier cost",IF(K1577&lt;&gt;"In stock","Supplier unavailable",IF(AG1577&lt;&gt;"PASS","BLOCK - GT loss risk","Commercially protected")))</x:f>
        <x:v>Needs supplier cost</x:v>
      </x:c>
      <x:c r="AI1577" t="str">
        <x:v>2026-09-10 Active Sports trade capture</x:v>
      </x:c>
      <x:c r="AJ1577" t="str">
        <x:v>Management-only economics. Stripe stress test uses 1.5% + £0.20 standard UK online-card fee; pallet/mix-and-match pricing ignored.</x:v>
      </x:c>
    </x:row>
    <x:row r="1578">
      <x:c r="A1578" t="str">
        <x:v>Active Sports Nutrition</x:v>
      </x:c>
      <x:c r="B1578" t="str">
        <x:v>Mutant</x:v>
      </x:c>
      <x:c r="C1578" t="str">
        <x:v>GEAAR EAA</x:v>
      </x:c>
      <x:c r="D1578" t="str">
        <x:v>Supplements</x:v>
      </x:c>
      <x:c r="E1578" t="str">
        <x:v>Amino Acids</x:v>
      </x:c>
      <x:c r="F1578" t="str"/>
      <x:c r="G1578" t="str">
        <x:v>378g</x:v>
      </x:c>
      <x:c r="H1578" t="str">
        <x:v>Blue Raspberry</x:v>
      </x:c>
      <x:c r="I1578" t="str"/>
      <x:c r="J1578" t="str">
        <x:v>Unit</x:v>
      </x:c>
      <x:c r="K1578" t="str">
        <x:v>In stock</x:v>
      </x:c>
      <x:c r="L1578" t="str">
        <x:v>2026-09-08</x:v>
      </x:c>
      <x:c r="M1578" t="str"/>
      <x:c r="N1578" t="str"/>
      <x:c r="O1578" t="str">
        <x:v>https://www.activesportstrade.co.uk/BCAAS</x:v>
      </x:c>
      <x:c r="P1578" t="str">
        <x:v>SPECIAL OFFER wording removed.</x:v>
      </x:c>
      <x:c r="Q1578" t="str"/>
      <x:c r="R1578" t="str"/>
      <x:c r="S1578" t="str">
        <x:v>Pending genuine supplier/brand image</x:v>
      </x:c>
      <x:c r="T1578" s="54"/>
      <x:c r="U1578" s="47" t="n">
        <x:v>0.2</x:v>
      </x:c>
      <x:c r="V1578" s="54" t="str">
        <x:f>IF(ISNUMBER(T1578),T1578*(1+U1578),"")</x:f>
      </x:c>
      <x:c r="W1578" s="47" t="n">
        <x:v>0.3</x:v>
      </x:c>
      <x:c r="X1578" s="54" t="str">
        <x:f>IF(ISNUMBER(V1578),V1578/(1-W1578),"")</x:f>
      </x:c>
      <x:c r="Y1578" s="55" t="str">
        <x:f>IF(ISNUMBER(X1578),ROUNDUP(X1578,0),"")</x:f>
      </x:c>
      <x:c r="Z1578" t="str">
        <x:f>IF(ISNUMBER(T1578),"Cost captured","Awaiting trade cost")</x:f>
        <x:v>Awaiting trade cost</x:v>
      </x:c>
      <x:c r="AB1578" s="36" t="str">
        <x:f>IF(ISNUMBER(Y1578),ROUND(Y1578*0.9,2),"")</x:f>
      </x:c>
      <x:c r="AC1578" s="36" t="str">
        <x:f>IF(ISNUMBER(AB1578),ROUND(AB1578-(AB1578*0.015+0.2)-V1578,2),"")</x:f>
      </x:c>
      <x:c r="AD1578" s="36" t="str">
        <x:f>IF(ISNUMBER(Y1578),ROUND(Y1578*0.8,2),"")</x:f>
      </x:c>
      <x:c r="AE1578" s="36" t="str">
        <x:f>IF(ISNUMBER(AD1578),ROUND(AD1578*0.015+0.2,2),"")</x:f>
      </x:c>
      <x:c r="AF1578" s="36" t="str">
        <x:f>IF(ISNUMBER(AD1578),ROUND(AD1578-AE1578-V1578,2),"")</x:f>
      </x:c>
      <x:c r="AG1578" t="str">
        <x:f>IF(NOT(ISNUMBER(T1578)),"PENDING",IF(AF1578&gt;0,"PASS","FAIL"))</x:f>
        <x:v>PENDING</x:v>
      </x:c>
      <x:c r="AH1578" t="str">
        <x:f>IF(NOT(ISNUMBER(T1578)),"Needs supplier cost",IF(K1578&lt;&gt;"In stock","Supplier unavailable",IF(AG1578&lt;&gt;"PASS","BLOCK - GT loss risk","Commercially protected")))</x:f>
        <x:v>Needs supplier cost</x:v>
      </x:c>
      <x:c r="AI1578" t="str">
        <x:v>2026-09-10 Active Sports trade capture</x:v>
      </x:c>
      <x:c r="AJ1578" t="str">
        <x:v>Management-only economics. Stripe stress test uses 1.5% + £0.20 standard UK online-card fee; pallet/mix-and-match pricing ignored.</x:v>
      </x:c>
    </x:row>
    <x:row r="1579">
      <x:c r="A1579" t="str">
        <x:v>Active Sports Nutrition</x:v>
      </x:c>
      <x:c r="B1579" t="str">
        <x:v>Mutant</x:v>
      </x:c>
      <x:c r="C1579" t="str">
        <x:v>GEAAR EAA</x:v>
      </x:c>
      <x:c r="D1579" t="str">
        <x:v>Supplements</x:v>
      </x:c>
      <x:c r="E1579" t="str">
        <x:v>Amino Acids</x:v>
      </x:c>
      <x:c r="F1579" t="str"/>
      <x:c r="G1579" t="str">
        <x:v>378g</x:v>
      </x:c>
      <x:c r="H1579" t="str">
        <x:v>Orange Rush</x:v>
      </x:c>
      <x:c r="I1579" t="str"/>
      <x:c r="J1579" t="str">
        <x:v>Unit</x:v>
      </x:c>
      <x:c r="K1579" t="str">
        <x:v>In stock</x:v>
      </x:c>
      <x:c r="L1579" t="str">
        <x:v>2026-09-08</x:v>
      </x:c>
      <x:c r="M1579" t="str"/>
      <x:c r="N1579" t="str"/>
      <x:c r="O1579" t="str">
        <x:v>https://www.activesportstrade.co.uk/BCAAS</x:v>
      </x:c>
      <x:c r="P1579" t="str">
        <x:v>SPECIAL OFFER wording removed.</x:v>
      </x:c>
      <x:c r="Q1579" t="str"/>
      <x:c r="R1579" t="str"/>
      <x:c r="S1579" t="str">
        <x:v>Pending genuine supplier/brand image</x:v>
      </x:c>
      <x:c r="T1579" s="54"/>
      <x:c r="U1579" s="47" t="n">
        <x:v>0.2</x:v>
      </x:c>
      <x:c r="V1579" s="54" t="str">
        <x:f>IF(ISNUMBER(T1579),T1579*(1+U1579),"")</x:f>
      </x:c>
      <x:c r="W1579" s="47" t="n">
        <x:v>0.3</x:v>
      </x:c>
      <x:c r="X1579" s="54" t="str">
        <x:f>IF(ISNUMBER(V1579),V1579/(1-W1579),"")</x:f>
      </x:c>
      <x:c r="Y1579" s="55" t="str">
        <x:f>IF(ISNUMBER(X1579),ROUNDUP(X1579,0),"")</x:f>
      </x:c>
      <x:c r="Z1579" t="str">
        <x:f>IF(ISNUMBER(T1579),"Cost captured","Awaiting trade cost")</x:f>
        <x:v>Awaiting trade cost</x:v>
      </x:c>
      <x:c r="AB1579" s="36" t="str">
        <x:f>IF(ISNUMBER(Y1579),ROUND(Y1579*0.9,2),"")</x:f>
      </x:c>
      <x:c r="AC1579" s="36" t="str">
        <x:f>IF(ISNUMBER(AB1579),ROUND(AB1579-(AB1579*0.015+0.2)-V1579,2),"")</x:f>
      </x:c>
      <x:c r="AD1579" s="36" t="str">
        <x:f>IF(ISNUMBER(Y1579),ROUND(Y1579*0.8,2),"")</x:f>
      </x:c>
      <x:c r="AE1579" s="36" t="str">
        <x:f>IF(ISNUMBER(AD1579),ROUND(AD1579*0.015+0.2,2),"")</x:f>
      </x:c>
      <x:c r="AF1579" s="36" t="str">
        <x:f>IF(ISNUMBER(AD1579),ROUND(AD1579-AE1579-V1579,2),"")</x:f>
      </x:c>
      <x:c r="AG1579" t="str">
        <x:f>IF(NOT(ISNUMBER(T1579)),"PENDING",IF(AF1579&gt;0,"PASS","FAIL"))</x:f>
        <x:v>PENDING</x:v>
      </x:c>
      <x:c r="AH1579" t="str">
        <x:f>IF(NOT(ISNUMBER(T1579)),"Needs supplier cost",IF(K1579&lt;&gt;"In stock","Supplier unavailable",IF(AG1579&lt;&gt;"PASS","BLOCK - GT loss risk","Commercially protected")))</x:f>
        <x:v>Needs supplier cost</x:v>
      </x:c>
      <x:c r="AI1579" t="str">
        <x:v>2026-09-10 Active Sports trade capture</x:v>
      </x:c>
      <x:c r="AJ1579" t="str">
        <x:v>Management-only economics. Stripe stress test uses 1.5% + £0.20 standard UK online-card fee; pallet/mix-and-match pricing ignored.</x:v>
      </x:c>
    </x:row>
    <x:row r="1580">
      <x:c r="A1580" t="str">
        <x:v>Active Sports Nutrition</x:v>
      </x:c>
      <x:c r="B1580" t="str">
        <x:v>Mutant</x:v>
      </x:c>
      <x:c r="C1580" t="str">
        <x:v>GEAAR EAA</x:v>
      </x:c>
      <x:c r="D1580" t="str">
        <x:v>Supplements</x:v>
      </x:c>
      <x:c r="E1580" t="str">
        <x:v>Amino Acids</x:v>
      </x:c>
      <x:c r="F1580" t="str"/>
      <x:c r="G1580" t="str">
        <x:v>378g</x:v>
      </x:c>
      <x:c r="H1580" t="str">
        <x:v>Peach Mango</x:v>
      </x:c>
      <x:c r="I1580" t="str"/>
      <x:c r="J1580" t="str">
        <x:v>Unit</x:v>
      </x:c>
      <x:c r="K1580" t="str">
        <x:v>Out of stock</x:v>
      </x:c>
      <x:c r="L1580" t="str">
        <x:v>2026-09-08</x:v>
      </x:c>
      <x:c r="M1580" t="str"/>
      <x:c r="N1580" t="str"/>
      <x:c r="O1580" t="str">
        <x:v>https://www.activesportstrade.co.uk/BCAAS</x:v>
      </x:c>
      <x:c r="P1580" t="str">
        <x:v>SPECIAL OFFER wording removed.</x:v>
      </x:c>
      <x:c r="Q1580" t="str"/>
      <x:c r="R1580" t="str"/>
      <x:c r="S1580" t="str">
        <x:v>Pending genuine supplier/brand image</x:v>
      </x:c>
      <x:c r="T1580" s="54"/>
      <x:c r="U1580" s="47" t="n">
        <x:v>0.2</x:v>
      </x:c>
      <x:c r="V1580" s="54" t="str">
        <x:f>IF(ISNUMBER(T1580),T1580*(1+U1580),"")</x:f>
      </x:c>
      <x:c r="W1580" s="47" t="n">
        <x:v>0.3</x:v>
      </x:c>
      <x:c r="X1580" s="54" t="str">
        <x:f>IF(ISNUMBER(V1580),V1580/(1-W1580),"")</x:f>
      </x:c>
      <x:c r="Y1580" s="55" t="str">
        <x:f>IF(ISNUMBER(X1580),ROUNDUP(X1580,0),"")</x:f>
      </x:c>
      <x:c r="Z1580" t="str">
        <x:f>IF(ISNUMBER(T1580),"Cost captured","Awaiting trade cost")</x:f>
        <x:v>Awaiting trade cost</x:v>
      </x:c>
      <x:c r="AB1580" s="36" t="str">
        <x:f>IF(ISNUMBER(Y1580),ROUND(Y1580*0.9,2),"")</x:f>
      </x:c>
      <x:c r="AC1580" s="36" t="str">
        <x:f>IF(ISNUMBER(AB1580),ROUND(AB1580-(AB1580*0.015+0.2)-V1580,2),"")</x:f>
      </x:c>
      <x:c r="AD1580" s="36" t="str">
        <x:f>IF(ISNUMBER(Y1580),ROUND(Y1580*0.8,2),"")</x:f>
      </x:c>
      <x:c r="AE1580" s="36" t="str">
        <x:f>IF(ISNUMBER(AD1580),ROUND(AD1580*0.015+0.2,2),"")</x:f>
      </x:c>
      <x:c r="AF1580" s="36" t="str">
        <x:f>IF(ISNUMBER(AD1580),ROUND(AD1580-AE1580-V1580,2),"")</x:f>
      </x:c>
      <x:c r="AG1580" t="str">
        <x:f>IF(NOT(ISNUMBER(T1580)),"PENDING",IF(AF1580&gt;0,"PASS","FAIL"))</x:f>
        <x:v>PENDING</x:v>
      </x:c>
      <x:c r="AH1580" t="str">
        <x:f>IF(NOT(ISNUMBER(T1580)),"Needs supplier cost",IF(K1580&lt;&gt;"In stock","Supplier unavailable",IF(AG1580&lt;&gt;"PASS","BLOCK - GT loss risk","Commercially protected")))</x:f>
        <x:v>Needs supplier cost</x:v>
      </x:c>
      <x:c r="AI1580" t="str">
        <x:v>2026-09-10 Active Sports trade capture</x:v>
      </x:c>
      <x:c r="AJ1580" t="str">
        <x:v>Management-only economics. Stripe stress test uses 1.5% + £0.20 standard UK online-card fee; pallet/mix-and-match pricing ignored.</x:v>
      </x:c>
    </x:row>
    <x:row r="1581">
      <x:c r="A1581" t="str">
        <x:v>Active Sports Nutrition</x:v>
      </x:c>
      <x:c r="B1581" t="str">
        <x:v>Mutant</x:v>
      </x:c>
      <x:c r="C1581" t="str">
        <x:v>GEAAR EAA</x:v>
      </x:c>
      <x:c r="D1581" t="str">
        <x:v>Supplements</x:v>
      </x:c>
      <x:c r="E1581" t="str">
        <x:v>Amino Acids</x:v>
      </x:c>
      <x:c r="F1581" t="str"/>
      <x:c r="G1581" t="str">
        <x:v>378g</x:v>
      </x:c>
      <x:c r="H1581" t="str">
        <x:v>Rocket Pop</x:v>
      </x:c>
      <x:c r="I1581" t="str"/>
      <x:c r="J1581" t="str">
        <x:v>Unit</x:v>
      </x:c>
      <x:c r="K1581" t="str">
        <x:v>In stock</x:v>
      </x:c>
      <x:c r="L1581" t="str">
        <x:v>2026-09-08</x:v>
      </x:c>
      <x:c r="M1581" t="str"/>
      <x:c r="N1581" t="str"/>
      <x:c r="O1581" t="str">
        <x:v>https://www.activesportstrade.co.uk/BCAAS</x:v>
      </x:c>
      <x:c r="P1581" t="str">
        <x:v>SPECIAL OFFER wording removed.</x:v>
      </x:c>
      <x:c r="Q1581" t="str"/>
      <x:c r="R1581" t="str"/>
      <x:c r="S1581" t="str">
        <x:v>Pending genuine supplier/brand image</x:v>
      </x:c>
      <x:c r="T1581" s="54"/>
      <x:c r="U1581" s="47" t="n">
        <x:v>0.2</x:v>
      </x:c>
      <x:c r="V1581" s="54" t="str">
        <x:f>IF(ISNUMBER(T1581),T1581*(1+U1581),"")</x:f>
      </x:c>
      <x:c r="W1581" s="47" t="n">
        <x:v>0.3</x:v>
      </x:c>
      <x:c r="X1581" s="54" t="str">
        <x:f>IF(ISNUMBER(V1581),V1581/(1-W1581),"")</x:f>
      </x:c>
      <x:c r="Y1581" s="55" t="str">
        <x:f>IF(ISNUMBER(X1581),ROUNDUP(X1581,0),"")</x:f>
      </x:c>
      <x:c r="Z1581" t="str">
        <x:f>IF(ISNUMBER(T1581),"Cost captured","Awaiting trade cost")</x:f>
        <x:v>Awaiting trade cost</x:v>
      </x:c>
      <x:c r="AB1581" s="36" t="str">
        <x:f>IF(ISNUMBER(Y1581),ROUND(Y1581*0.9,2),"")</x:f>
      </x:c>
      <x:c r="AC1581" s="36" t="str">
        <x:f>IF(ISNUMBER(AB1581),ROUND(AB1581-(AB1581*0.015+0.2)-V1581,2),"")</x:f>
      </x:c>
      <x:c r="AD1581" s="36" t="str">
        <x:f>IF(ISNUMBER(Y1581),ROUND(Y1581*0.8,2),"")</x:f>
      </x:c>
      <x:c r="AE1581" s="36" t="str">
        <x:f>IF(ISNUMBER(AD1581),ROUND(AD1581*0.015+0.2,2),"")</x:f>
      </x:c>
      <x:c r="AF1581" s="36" t="str">
        <x:f>IF(ISNUMBER(AD1581),ROUND(AD1581-AE1581-V1581,2),"")</x:f>
      </x:c>
      <x:c r="AG1581" t="str">
        <x:f>IF(NOT(ISNUMBER(T1581)),"PENDING",IF(AF1581&gt;0,"PASS","FAIL"))</x:f>
        <x:v>PENDING</x:v>
      </x:c>
      <x:c r="AH1581" t="str">
        <x:f>IF(NOT(ISNUMBER(T1581)),"Needs supplier cost",IF(K1581&lt;&gt;"In stock","Supplier unavailable",IF(AG1581&lt;&gt;"PASS","BLOCK - GT loss risk","Commercially protected")))</x:f>
        <x:v>Needs supplier cost</x:v>
      </x:c>
      <x:c r="AI1581" t="str">
        <x:v>2026-09-10 Active Sports trade capture</x:v>
      </x:c>
      <x:c r="AJ1581" t="str">
        <x:v>Management-only economics. Stripe stress test uses 1.5% + £0.20 standard UK online-card fee; pallet/mix-and-match pricing ignored.</x:v>
      </x:c>
    </x:row>
    <x:row r="1582">
      <x:c r="A1582" t="str">
        <x:v>Active Sports Nutrition</x:v>
      </x:c>
      <x:c r="B1582" t="str">
        <x:v>Mutant</x:v>
      </x:c>
      <x:c r="C1582" t="str">
        <x:v>GEAAR EAA</x:v>
      </x:c>
      <x:c r="D1582" t="str">
        <x:v>Supplements</x:v>
      </x:c>
      <x:c r="E1582" t="str">
        <x:v>Amino Acids</x:v>
      </x:c>
      <x:c r="F1582" t="str"/>
      <x:c r="G1582" t="str">
        <x:v>378g</x:v>
      </x:c>
      <x:c r="H1582" t="str">
        <x:v>Sweet Iced Tea</x:v>
      </x:c>
      <x:c r="I1582" t="str"/>
      <x:c r="J1582" t="str">
        <x:v>Unit</x:v>
      </x:c>
      <x:c r="K1582" t="str">
        <x:v>Out of stock</x:v>
      </x:c>
      <x:c r="L1582" t="str">
        <x:v>2026-09-08</x:v>
      </x:c>
      <x:c r="M1582" t="str"/>
      <x:c r="N1582" t="str"/>
      <x:c r="O1582" t="str">
        <x:v>https://www.activesportstrade.co.uk/BCAAS</x:v>
      </x:c>
      <x:c r="P1582" t="str">
        <x:v>SPECIAL OFFER wording removed.</x:v>
      </x:c>
      <x:c r="Q1582" t="str"/>
      <x:c r="R1582" t="str"/>
      <x:c r="S1582" t="str">
        <x:v>Pending genuine supplier/brand image</x:v>
      </x:c>
      <x:c r="T1582" s="54"/>
      <x:c r="U1582" s="47" t="n">
        <x:v>0.2</x:v>
      </x:c>
      <x:c r="V1582" s="54" t="str">
        <x:f>IF(ISNUMBER(T1582),T1582*(1+U1582),"")</x:f>
      </x:c>
      <x:c r="W1582" s="47" t="n">
        <x:v>0.3</x:v>
      </x:c>
      <x:c r="X1582" s="54" t="str">
        <x:f>IF(ISNUMBER(V1582),V1582/(1-W1582),"")</x:f>
      </x:c>
      <x:c r="Y1582" s="55" t="str">
        <x:f>IF(ISNUMBER(X1582),ROUNDUP(X1582,0),"")</x:f>
      </x:c>
      <x:c r="Z1582" t="str">
        <x:f>IF(ISNUMBER(T1582),"Cost captured","Awaiting trade cost")</x:f>
        <x:v>Awaiting trade cost</x:v>
      </x:c>
      <x:c r="AB1582" s="36" t="str">
        <x:f>IF(ISNUMBER(Y1582),ROUND(Y1582*0.9,2),"")</x:f>
      </x:c>
      <x:c r="AC1582" s="36" t="str">
        <x:f>IF(ISNUMBER(AB1582),ROUND(AB1582-(AB1582*0.015+0.2)-V1582,2),"")</x:f>
      </x:c>
      <x:c r="AD1582" s="36" t="str">
        <x:f>IF(ISNUMBER(Y1582),ROUND(Y1582*0.8,2),"")</x:f>
      </x:c>
      <x:c r="AE1582" s="36" t="str">
        <x:f>IF(ISNUMBER(AD1582),ROUND(AD1582*0.015+0.2,2),"")</x:f>
      </x:c>
      <x:c r="AF1582" s="36" t="str">
        <x:f>IF(ISNUMBER(AD1582),ROUND(AD1582-AE1582-V1582,2),"")</x:f>
      </x:c>
      <x:c r="AG1582" t="str">
        <x:f>IF(NOT(ISNUMBER(T1582)),"PENDING",IF(AF1582&gt;0,"PASS","FAIL"))</x:f>
        <x:v>PENDING</x:v>
      </x:c>
      <x:c r="AH1582" t="str">
        <x:f>IF(NOT(ISNUMBER(T1582)),"Needs supplier cost",IF(K1582&lt;&gt;"In stock","Supplier unavailable",IF(AG1582&lt;&gt;"PASS","BLOCK - GT loss risk","Commercially protected")))</x:f>
        <x:v>Needs supplier cost</x:v>
      </x:c>
      <x:c r="AI1582" t="str">
        <x:v>2026-09-10 Active Sports trade capture</x:v>
      </x:c>
      <x:c r="AJ1582" t="str">
        <x:v>Management-only economics. Stripe stress test uses 1.5% + £0.20 standard UK online-card fee; pallet/mix-and-match pricing ignored.</x:v>
      </x:c>
    </x:row>
    <x:row r="1583">
      <x:c r="A1583" t="str">
        <x:v>Active Sports Nutrition</x:v>
      </x:c>
      <x:c r="B1583" t="str">
        <x:v>Mutant</x:v>
      </x:c>
      <x:c r="C1583" t="str">
        <x:v>GEAAR EAA</x:v>
      </x:c>
      <x:c r="D1583" t="str">
        <x:v>Supplements</x:v>
      </x:c>
      <x:c r="E1583" t="str">
        <x:v>Amino Acids</x:v>
      </x:c>
      <x:c r="F1583" t="str"/>
      <x:c r="G1583" t="str">
        <x:v>378g</x:v>
      </x:c>
      <x:c r="H1583" t="str">
        <x:v>Tropical Fruit Punch</x:v>
      </x:c>
      <x:c r="I1583" t="str"/>
      <x:c r="J1583" t="str">
        <x:v>Unit</x:v>
      </x:c>
      <x:c r="K1583" t="str">
        <x:v>Out of stock</x:v>
      </x:c>
      <x:c r="L1583" t="str">
        <x:v>2026-09-08</x:v>
      </x:c>
      <x:c r="M1583" t="str"/>
      <x:c r="N1583" t="str"/>
      <x:c r="O1583" t="str">
        <x:v>https://www.activesportstrade.co.uk/BCAAS</x:v>
      </x:c>
      <x:c r="P1583" t="str">
        <x:v>SPECIAL OFFER wording removed.</x:v>
      </x:c>
      <x:c r="Q1583" t="str"/>
      <x:c r="R1583" t="str"/>
      <x:c r="S1583" t="str">
        <x:v>Pending genuine supplier/brand image</x:v>
      </x:c>
      <x:c r="T1583" s="54"/>
      <x:c r="U1583" s="47" t="n">
        <x:v>0.2</x:v>
      </x:c>
      <x:c r="V1583" s="54" t="str">
        <x:f>IF(ISNUMBER(T1583),T1583*(1+U1583),"")</x:f>
      </x:c>
      <x:c r="W1583" s="47" t="n">
        <x:v>0.3</x:v>
      </x:c>
      <x:c r="X1583" s="54" t="str">
        <x:f>IF(ISNUMBER(V1583),V1583/(1-W1583),"")</x:f>
      </x:c>
      <x:c r="Y1583" s="55" t="str">
        <x:f>IF(ISNUMBER(X1583),ROUNDUP(X1583,0),"")</x:f>
      </x:c>
      <x:c r="Z1583" t="str">
        <x:f>IF(ISNUMBER(T1583),"Cost captured","Awaiting trade cost")</x:f>
        <x:v>Awaiting trade cost</x:v>
      </x:c>
      <x:c r="AB1583" s="36" t="str">
        <x:f>IF(ISNUMBER(Y1583),ROUND(Y1583*0.9,2),"")</x:f>
      </x:c>
      <x:c r="AC1583" s="36" t="str">
        <x:f>IF(ISNUMBER(AB1583),ROUND(AB1583-(AB1583*0.015+0.2)-V1583,2),"")</x:f>
      </x:c>
      <x:c r="AD1583" s="36" t="str">
        <x:f>IF(ISNUMBER(Y1583),ROUND(Y1583*0.8,2),"")</x:f>
      </x:c>
      <x:c r="AE1583" s="36" t="str">
        <x:f>IF(ISNUMBER(AD1583),ROUND(AD1583*0.015+0.2,2),"")</x:f>
      </x:c>
      <x:c r="AF1583" s="36" t="str">
        <x:f>IF(ISNUMBER(AD1583),ROUND(AD1583-AE1583-V1583,2),"")</x:f>
      </x:c>
      <x:c r="AG1583" t="str">
        <x:f>IF(NOT(ISNUMBER(T1583)),"PENDING",IF(AF1583&gt;0,"PASS","FAIL"))</x:f>
        <x:v>PENDING</x:v>
      </x:c>
      <x:c r="AH1583" t="str">
        <x:f>IF(NOT(ISNUMBER(T1583)),"Needs supplier cost",IF(K1583&lt;&gt;"In stock","Supplier unavailable",IF(AG1583&lt;&gt;"PASS","BLOCK - GT loss risk","Commercially protected")))</x:f>
        <x:v>Needs supplier cost</x:v>
      </x:c>
      <x:c r="AI1583" t="str">
        <x:v>2026-09-10 Active Sports trade capture</x:v>
      </x:c>
      <x:c r="AJ1583" t="str">
        <x:v>Management-only economics. Stripe stress test uses 1.5% + £0.20 standard UK online-card fee; pallet/mix-and-match pricing ignored.</x:v>
      </x:c>
    </x:row>
    <x:row r="1584">
      <x:c r="A1584" t="str">
        <x:v>Active Sports Nutrition</x:v>
      </x:c>
      <x:c r="B1584" t="str">
        <x:v>Mutant</x:v>
      </x:c>
      <x:c r="C1584" t="str">
        <x:v>Hardcore BCAA</x:v>
      </x:c>
      <x:c r="D1584" t="str">
        <x:v>Supplements</x:v>
      </x:c>
      <x:c r="E1584" t="str">
        <x:v>BCAAS</x:v>
      </x:c>
      <x:c r="F1584" t="str"/>
      <x:c r="G1584" t="str">
        <x:v>390g</x:v>
      </x:c>
      <x:c r="H1584" t="str">
        <x:v>Blue Raspberry</x:v>
      </x:c>
      <x:c r="I1584" t="str"/>
      <x:c r="J1584" t="str">
        <x:v>Unit</x:v>
      </x:c>
      <x:c r="K1584" t="str">
        <x:v>In stock</x:v>
      </x:c>
      <x:c r="L1584" t="str">
        <x:v>2026-09-08</x:v>
      </x:c>
      <x:c r="M1584" t="str"/>
      <x:c r="N1584" t="str"/>
      <x:c r="O1584" t="str">
        <x:v>https://www.activesportstrade.co.uk/BCAAS</x:v>
      </x:c>
      <x:c r="P1584" t="str"/>
      <x:c r="Q1584" t="str"/>
      <x:c r="R1584" t="str"/>
      <x:c r="S1584" t="str">
        <x:v>Pending genuine supplier/brand image</x:v>
      </x:c>
      <x:c r="T1584" s="54"/>
      <x:c r="U1584" s="47" t="n">
        <x:v>0.2</x:v>
      </x:c>
      <x:c r="V1584" s="54" t="str">
        <x:f>IF(ISNUMBER(T1584),T1584*(1+U1584),"")</x:f>
      </x:c>
      <x:c r="W1584" s="47" t="n">
        <x:v>0.3</x:v>
      </x:c>
      <x:c r="X1584" s="54" t="str">
        <x:f>IF(ISNUMBER(V1584),V1584/(1-W1584),"")</x:f>
      </x:c>
      <x:c r="Y1584" s="55" t="str">
        <x:f>IF(ISNUMBER(X1584),ROUNDUP(X1584,0),"")</x:f>
      </x:c>
      <x:c r="Z1584" t="str">
        <x:f>IF(ISNUMBER(T1584),"Cost captured","Awaiting trade cost")</x:f>
        <x:v>Awaiting trade cost</x:v>
      </x:c>
      <x:c r="AB1584" s="36" t="str">
        <x:f>IF(ISNUMBER(Y1584),ROUND(Y1584*0.9,2),"")</x:f>
      </x:c>
      <x:c r="AC1584" s="36" t="str">
        <x:f>IF(ISNUMBER(AB1584),ROUND(AB1584-(AB1584*0.015+0.2)-V1584,2),"")</x:f>
      </x:c>
      <x:c r="AD1584" s="36" t="str">
        <x:f>IF(ISNUMBER(Y1584),ROUND(Y1584*0.8,2),"")</x:f>
      </x:c>
      <x:c r="AE1584" s="36" t="str">
        <x:f>IF(ISNUMBER(AD1584),ROUND(AD1584*0.015+0.2,2),"")</x:f>
      </x:c>
      <x:c r="AF1584" s="36" t="str">
        <x:f>IF(ISNUMBER(AD1584),ROUND(AD1584-AE1584-V1584,2),"")</x:f>
      </x:c>
      <x:c r="AG1584" t="str">
        <x:f>IF(NOT(ISNUMBER(T1584)),"PENDING",IF(AF1584&gt;0,"PASS","FAIL"))</x:f>
        <x:v>PENDING</x:v>
      </x:c>
      <x:c r="AH1584" t="str">
        <x:f>IF(NOT(ISNUMBER(T1584)),"Needs supplier cost",IF(K1584&lt;&gt;"In stock","Supplier unavailable",IF(AG1584&lt;&gt;"PASS","BLOCK - GT loss risk","Commercially protected")))</x:f>
        <x:v>Needs supplier cost</x:v>
      </x:c>
      <x:c r="AI1584" t="str">
        <x:v>2026-09-10 Active Sports trade capture</x:v>
      </x:c>
      <x:c r="AJ1584" t="str">
        <x:v>Management-only economics. Stripe stress test uses 1.5% + £0.20 standard UK online-card fee; pallet/mix-and-match pricing ignored.</x:v>
      </x:c>
    </x:row>
    <x:row r="1585">
      <x:c r="A1585" t="str">
        <x:v>Active Sports Nutrition</x:v>
      </x:c>
      <x:c r="B1585" t="str">
        <x:v>Mutant</x:v>
      </x:c>
      <x:c r="C1585" t="str">
        <x:v>Hardcore BCAA</x:v>
      </x:c>
      <x:c r="D1585" t="str">
        <x:v>Supplements</x:v>
      </x:c>
      <x:c r="E1585" t="str">
        <x:v>BCAAS</x:v>
      </x:c>
      <x:c r="F1585" t="str"/>
      <x:c r="G1585" t="str">
        <x:v>390g</x:v>
      </x:c>
      <x:c r="H1585" t="str">
        <x:v>Fruit Punch</x:v>
      </x:c>
      <x:c r="I1585" t="str"/>
      <x:c r="J1585" t="str">
        <x:v>Unit</x:v>
      </x:c>
      <x:c r="K1585" t="str">
        <x:v>In stock</x:v>
      </x:c>
      <x:c r="L1585" t="str">
        <x:v>2026-09-08</x:v>
      </x:c>
      <x:c r="M1585" t="str"/>
      <x:c r="N1585" t="str"/>
      <x:c r="O1585" t="str">
        <x:v>https://www.activesportstrade.co.uk/BCAAS</x:v>
      </x:c>
      <x:c r="P1585" t="str"/>
      <x:c r="Q1585" t="str"/>
      <x:c r="R1585" t="str"/>
      <x:c r="S1585" t="str">
        <x:v>Pending genuine supplier/brand image</x:v>
      </x:c>
      <x:c r="T1585" s="54"/>
      <x:c r="U1585" s="47" t="n">
        <x:v>0.2</x:v>
      </x:c>
      <x:c r="V1585" s="54" t="str">
        <x:f>IF(ISNUMBER(T1585),T1585*(1+U1585),"")</x:f>
      </x:c>
      <x:c r="W1585" s="47" t="n">
        <x:v>0.3</x:v>
      </x:c>
      <x:c r="X1585" s="54" t="str">
        <x:f>IF(ISNUMBER(V1585),V1585/(1-W1585),"")</x:f>
      </x:c>
      <x:c r="Y1585" s="55" t="str">
        <x:f>IF(ISNUMBER(X1585),ROUNDUP(X1585,0),"")</x:f>
      </x:c>
      <x:c r="Z1585" t="str">
        <x:f>IF(ISNUMBER(T1585),"Cost captured","Awaiting trade cost")</x:f>
        <x:v>Awaiting trade cost</x:v>
      </x:c>
      <x:c r="AB1585" s="36" t="str">
        <x:f>IF(ISNUMBER(Y1585),ROUND(Y1585*0.9,2),"")</x:f>
      </x:c>
      <x:c r="AC1585" s="36" t="str">
        <x:f>IF(ISNUMBER(AB1585),ROUND(AB1585-(AB1585*0.015+0.2)-V1585,2),"")</x:f>
      </x:c>
      <x:c r="AD1585" s="36" t="str">
        <x:f>IF(ISNUMBER(Y1585),ROUND(Y1585*0.8,2),"")</x:f>
      </x:c>
      <x:c r="AE1585" s="36" t="str">
        <x:f>IF(ISNUMBER(AD1585),ROUND(AD1585*0.015+0.2,2),"")</x:f>
      </x:c>
      <x:c r="AF1585" s="36" t="str">
        <x:f>IF(ISNUMBER(AD1585),ROUND(AD1585-AE1585-V1585,2),"")</x:f>
      </x:c>
      <x:c r="AG1585" t="str">
        <x:f>IF(NOT(ISNUMBER(T1585)),"PENDING",IF(AF1585&gt;0,"PASS","FAIL"))</x:f>
        <x:v>PENDING</x:v>
      </x:c>
      <x:c r="AH1585" t="str">
        <x:f>IF(NOT(ISNUMBER(T1585)),"Needs supplier cost",IF(K1585&lt;&gt;"In stock","Supplier unavailable",IF(AG1585&lt;&gt;"PASS","BLOCK - GT loss risk","Commercially protected")))</x:f>
        <x:v>Needs supplier cost</x:v>
      </x:c>
      <x:c r="AI1585" t="str">
        <x:v>2026-09-10 Active Sports trade capture</x:v>
      </x:c>
      <x:c r="AJ1585" t="str">
        <x:v>Management-only economics. Stripe stress test uses 1.5% + £0.20 standard UK online-card fee; pallet/mix-and-match pricing ignored.</x:v>
      </x:c>
    </x:row>
    <x:row r="1586">
      <x:c r="A1586" t="str">
        <x:v>Active Sports Nutrition</x:v>
      </x:c>
      <x:c r="B1586" t="str">
        <x:v>Mutant</x:v>
      </x:c>
      <x:c r="C1586" t="str">
        <x:v>Hardcore BCAA</x:v>
      </x:c>
      <x:c r="D1586" t="str">
        <x:v>Supplements</x:v>
      </x:c>
      <x:c r="E1586" t="str">
        <x:v>BCAAS</x:v>
      </x:c>
      <x:c r="F1586" t="str"/>
      <x:c r="G1586" t="str">
        <x:v>390g</x:v>
      </x:c>
      <x:c r="H1586" t="str">
        <x:v>Grape</x:v>
      </x:c>
      <x:c r="I1586" t="str"/>
      <x:c r="J1586" t="str">
        <x:v>Unit</x:v>
      </x:c>
      <x:c r="K1586" t="str">
        <x:v>In stock</x:v>
      </x:c>
      <x:c r="L1586" t="str">
        <x:v>2026-09-08</x:v>
      </x:c>
      <x:c r="M1586" t="str"/>
      <x:c r="N1586" t="str"/>
      <x:c r="O1586" t="str">
        <x:v>https://www.activesportstrade.co.uk/BCAAS</x:v>
      </x:c>
      <x:c r="P1586" t="str"/>
      <x:c r="Q1586" t="str"/>
      <x:c r="R1586" t="str"/>
      <x:c r="S1586" t="str">
        <x:v>Pending genuine supplier/brand image</x:v>
      </x:c>
      <x:c r="T1586" s="54"/>
      <x:c r="U1586" s="47" t="n">
        <x:v>0.2</x:v>
      </x:c>
      <x:c r="V1586" s="54" t="str">
        <x:f>IF(ISNUMBER(T1586),T1586*(1+U1586),"")</x:f>
      </x:c>
      <x:c r="W1586" s="47" t="n">
        <x:v>0.3</x:v>
      </x:c>
      <x:c r="X1586" s="54" t="str">
        <x:f>IF(ISNUMBER(V1586),V1586/(1-W1586),"")</x:f>
      </x:c>
      <x:c r="Y1586" s="55" t="str">
        <x:f>IF(ISNUMBER(X1586),ROUNDUP(X1586,0),"")</x:f>
      </x:c>
      <x:c r="Z1586" t="str">
        <x:f>IF(ISNUMBER(T1586),"Cost captured","Awaiting trade cost")</x:f>
        <x:v>Awaiting trade cost</x:v>
      </x:c>
      <x:c r="AB1586" s="36" t="str">
        <x:f>IF(ISNUMBER(Y1586),ROUND(Y1586*0.9,2),"")</x:f>
      </x:c>
      <x:c r="AC1586" s="36" t="str">
        <x:f>IF(ISNUMBER(AB1586),ROUND(AB1586-(AB1586*0.015+0.2)-V1586,2),"")</x:f>
      </x:c>
      <x:c r="AD1586" s="36" t="str">
        <x:f>IF(ISNUMBER(Y1586),ROUND(Y1586*0.8,2),"")</x:f>
      </x:c>
      <x:c r="AE1586" s="36" t="str">
        <x:f>IF(ISNUMBER(AD1586),ROUND(AD1586*0.015+0.2,2),"")</x:f>
      </x:c>
      <x:c r="AF1586" s="36" t="str">
        <x:f>IF(ISNUMBER(AD1586),ROUND(AD1586-AE1586-V1586,2),"")</x:f>
      </x:c>
      <x:c r="AG1586" t="str">
        <x:f>IF(NOT(ISNUMBER(T1586)),"PENDING",IF(AF1586&gt;0,"PASS","FAIL"))</x:f>
        <x:v>PENDING</x:v>
      </x:c>
      <x:c r="AH1586" t="str">
        <x:f>IF(NOT(ISNUMBER(T1586)),"Needs supplier cost",IF(K1586&lt;&gt;"In stock","Supplier unavailable",IF(AG1586&lt;&gt;"PASS","BLOCK - GT loss risk","Commercially protected")))</x:f>
        <x:v>Needs supplier cost</x:v>
      </x:c>
      <x:c r="AI1586" t="str">
        <x:v>2026-09-10 Active Sports trade capture</x:v>
      </x:c>
      <x:c r="AJ1586" t="str">
        <x:v>Management-only economics. Stripe stress test uses 1.5% + £0.20 standard UK online-card fee; pallet/mix-and-match pricing ignored.</x:v>
      </x:c>
    </x:row>
    <x:row r="1587">
      <x:c r="A1587" t="str">
        <x:v>Active Sports Nutrition</x:v>
      </x:c>
      <x:c r="B1587" t="str">
        <x:v>Mutant</x:v>
      </x:c>
      <x:c r="C1587" t="str">
        <x:v>Hardcore BCAA</x:v>
      </x:c>
      <x:c r="D1587" t="str">
        <x:v>Supplements</x:v>
      </x:c>
      <x:c r="E1587" t="str">
        <x:v>BCAAS</x:v>
      </x:c>
      <x:c r="F1587" t="str"/>
      <x:c r="G1587" t="str">
        <x:v>390g</x:v>
      </x:c>
      <x:c r="H1587" t="str">
        <x:v>Lemonade</x:v>
      </x:c>
      <x:c r="I1587" t="str"/>
      <x:c r="J1587" t="str">
        <x:v>Unit</x:v>
      </x:c>
      <x:c r="K1587" t="str">
        <x:v>In stock</x:v>
      </x:c>
      <x:c r="L1587" t="str">
        <x:v>2026-09-08</x:v>
      </x:c>
      <x:c r="M1587" t="str"/>
      <x:c r="N1587" t="str"/>
      <x:c r="O1587" t="str">
        <x:v>https://www.activesportstrade.co.uk/BCAAS</x:v>
      </x:c>
      <x:c r="P1587" t="str"/>
      <x:c r="Q1587" t="str"/>
      <x:c r="R1587" t="str"/>
      <x:c r="S1587" t="str">
        <x:v>Pending genuine supplier/brand image</x:v>
      </x:c>
      <x:c r="T1587" s="54"/>
      <x:c r="U1587" s="47" t="n">
        <x:v>0.2</x:v>
      </x:c>
      <x:c r="V1587" s="54" t="str">
        <x:f>IF(ISNUMBER(T1587),T1587*(1+U1587),"")</x:f>
      </x:c>
      <x:c r="W1587" s="47" t="n">
        <x:v>0.3</x:v>
      </x:c>
      <x:c r="X1587" s="54" t="str">
        <x:f>IF(ISNUMBER(V1587),V1587/(1-W1587),"")</x:f>
      </x:c>
      <x:c r="Y1587" s="55" t="str">
        <x:f>IF(ISNUMBER(X1587),ROUNDUP(X1587,0),"")</x:f>
      </x:c>
      <x:c r="Z1587" t="str">
        <x:f>IF(ISNUMBER(T1587),"Cost captured","Awaiting trade cost")</x:f>
        <x:v>Awaiting trade cost</x:v>
      </x:c>
      <x:c r="AB1587" s="36" t="str">
        <x:f>IF(ISNUMBER(Y1587),ROUND(Y1587*0.9,2),"")</x:f>
      </x:c>
      <x:c r="AC1587" s="36" t="str">
        <x:f>IF(ISNUMBER(AB1587),ROUND(AB1587-(AB1587*0.015+0.2)-V1587,2),"")</x:f>
      </x:c>
      <x:c r="AD1587" s="36" t="str">
        <x:f>IF(ISNUMBER(Y1587),ROUND(Y1587*0.8,2),"")</x:f>
      </x:c>
      <x:c r="AE1587" s="36" t="str">
        <x:f>IF(ISNUMBER(AD1587),ROUND(AD1587*0.015+0.2,2),"")</x:f>
      </x:c>
      <x:c r="AF1587" s="36" t="str">
        <x:f>IF(ISNUMBER(AD1587),ROUND(AD1587-AE1587-V1587,2),"")</x:f>
      </x:c>
      <x:c r="AG1587" t="str">
        <x:f>IF(NOT(ISNUMBER(T1587)),"PENDING",IF(AF1587&gt;0,"PASS","FAIL"))</x:f>
        <x:v>PENDING</x:v>
      </x:c>
      <x:c r="AH1587" t="str">
        <x:f>IF(NOT(ISNUMBER(T1587)),"Needs supplier cost",IF(K1587&lt;&gt;"In stock","Supplier unavailable",IF(AG1587&lt;&gt;"PASS","BLOCK - GT loss risk","Commercially protected")))</x:f>
        <x:v>Needs supplier cost</x:v>
      </x:c>
      <x:c r="AI1587" t="str">
        <x:v>2026-09-10 Active Sports trade capture</x:v>
      </x:c>
      <x:c r="AJ1587" t="str">
        <x:v>Management-only economics. Stripe stress test uses 1.5% + £0.20 standard UK online-card fee; pallet/mix-and-match pricing ignored.</x:v>
      </x:c>
    </x:row>
    <x:row r="1588">
      <x:c r="A1588" t="str">
        <x:v>Active Sports Nutrition</x:v>
      </x:c>
      <x:c r="B1588" t="str">
        <x:v>Mutant</x:v>
      </x:c>
      <x:c r="C1588" t="str">
        <x:v>Hardcore BCAA</x:v>
      </x:c>
      <x:c r="D1588" t="str">
        <x:v>Supplements</x:v>
      </x:c>
      <x:c r="E1588" t="str">
        <x:v>BCAAS</x:v>
      </x:c>
      <x:c r="F1588" t="str"/>
      <x:c r="G1588" t="str">
        <x:v>390g</x:v>
      </x:c>
      <x:c r="H1588" t="str">
        <x:v>Mango</x:v>
      </x:c>
      <x:c r="I1588" t="str"/>
      <x:c r="J1588" t="str">
        <x:v>Unit</x:v>
      </x:c>
      <x:c r="K1588" t="str">
        <x:v>In stock</x:v>
      </x:c>
      <x:c r="L1588" t="str">
        <x:v>2026-09-08</x:v>
      </x:c>
      <x:c r="M1588" t="str"/>
      <x:c r="N1588" t="str"/>
      <x:c r="O1588" t="str">
        <x:v>https://www.activesportstrade.co.uk/BCAAS</x:v>
      </x:c>
      <x:c r="P1588" t="str"/>
      <x:c r="Q1588" t="str"/>
      <x:c r="R1588" t="str"/>
      <x:c r="S1588" t="str">
        <x:v>Pending genuine supplier/brand image</x:v>
      </x:c>
      <x:c r="T1588" s="54"/>
      <x:c r="U1588" s="47" t="n">
        <x:v>0.2</x:v>
      </x:c>
      <x:c r="V1588" s="54" t="str">
        <x:f>IF(ISNUMBER(T1588),T1588*(1+U1588),"")</x:f>
      </x:c>
      <x:c r="W1588" s="47" t="n">
        <x:v>0.3</x:v>
      </x:c>
      <x:c r="X1588" s="54" t="str">
        <x:f>IF(ISNUMBER(V1588),V1588/(1-W1588),"")</x:f>
      </x:c>
      <x:c r="Y1588" s="55" t="str">
        <x:f>IF(ISNUMBER(X1588),ROUNDUP(X1588,0),"")</x:f>
      </x:c>
      <x:c r="Z1588" t="str">
        <x:f>IF(ISNUMBER(T1588),"Cost captured","Awaiting trade cost")</x:f>
        <x:v>Awaiting trade cost</x:v>
      </x:c>
      <x:c r="AB1588" s="36" t="str">
        <x:f>IF(ISNUMBER(Y1588),ROUND(Y1588*0.9,2),"")</x:f>
      </x:c>
      <x:c r="AC1588" s="36" t="str">
        <x:f>IF(ISNUMBER(AB1588),ROUND(AB1588-(AB1588*0.015+0.2)-V1588,2),"")</x:f>
      </x:c>
      <x:c r="AD1588" s="36" t="str">
        <x:f>IF(ISNUMBER(Y1588),ROUND(Y1588*0.8,2),"")</x:f>
      </x:c>
      <x:c r="AE1588" s="36" t="str">
        <x:f>IF(ISNUMBER(AD1588),ROUND(AD1588*0.015+0.2,2),"")</x:f>
      </x:c>
      <x:c r="AF1588" s="36" t="str">
        <x:f>IF(ISNUMBER(AD1588),ROUND(AD1588-AE1588-V1588,2),"")</x:f>
      </x:c>
      <x:c r="AG1588" t="str">
        <x:f>IF(NOT(ISNUMBER(T1588)),"PENDING",IF(AF1588&gt;0,"PASS","FAIL"))</x:f>
        <x:v>PENDING</x:v>
      </x:c>
      <x:c r="AH1588" t="str">
        <x:f>IF(NOT(ISNUMBER(T1588)),"Needs supplier cost",IF(K1588&lt;&gt;"In stock","Supplier unavailable",IF(AG1588&lt;&gt;"PASS","BLOCK - GT loss risk","Commercially protected")))</x:f>
        <x:v>Needs supplier cost</x:v>
      </x:c>
      <x:c r="AI1588" t="str">
        <x:v>2026-09-10 Active Sports trade capture</x:v>
      </x:c>
      <x:c r="AJ1588" t="str">
        <x:v>Management-only economics. Stripe stress test uses 1.5% + £0.20 standard UK online-card fee; pallet/mix-and-match pricing ignored.</x:v>
      </x:c>
    </x:row>
    <x:row r="1589">
      <x:c r="A1589" t="str">
        <x:v>Active Sports Nutrition</x:v>
      </x:c>
      <x:c r="B1589" t="str">
        <x:v>Mutant</x:v>
      </x:c>
      <x:c r="C1589" t="str">
        <x:v>Hardcore BCAA</x:v>
      </x:c>
      <x:c r="D1589" t="str">
        <x:v>Supplements</x:v>
      </x:c>
      <x:c r="E1589" t="str">
        <x:v>BCAAS</x:v>
      </x:c>
      <x:c r="F1589" t="str"/>
      <x:c r="G1589" t="str">
        <x:v>390g</x:v>
      </x:c>
      <x:c r="H1589" t="str">
        <x:v>Peach</x:v>
      </x:c>
      <x:c r="I1589" t="str"/>
      <x:c r="J1589" t="str">
        <x:v>Unit</x:v>
      </x:c>
      <x:c r="K1589" t="str">
        <x:v>In stock</x:v>
      </x:c>
      <x:c r="L1589" t="str">
        <x:v>2026-09-08</x:v>
      </x:c>
      <x:c r="M1589" t="str"/>
      <x:c r="N1589" t="str"/>
      <x:c r="O1589" t="str">
        <x:v>https://www.activesportstrade.co.uk/BCAAS</x:v>
      </x:c>
      <x:c r="P1589" t="str"/>
      <x:c r="Q1589" t="str"/>
      <x:c r="R1589" t="str"/>
      <x:c r="S1589" t="str">
        <x:v>Pending genuine supplier/brand image</x:v>
      </x:c>
      <x:c r="T1589" s="54"/>
      <x:c r="U1589" s="47" t="n">
        <x:v>0.2</x:v>
      </x:c>
      <x:c r="V1589" s="54" t="str">
        <x:f>IF(ISNUMBER(T1589),T1589*(1+U1589),"")</x:f>
      </x:c>
      <x:c r="W1589" s="47" t="n">
        <x:v>0.3</x:v>
      </x:c>
      <x:c r="X1589" s="54" t="str">
        <x:f>IF(ISNUMBER(V1589),V1589/(1-W1589),"")</x:f>
      </x:c>
      <x:c r="Y1589" s="55" t="str">
        <x:f>IF(ISNUMBER(X1589),ROUNDUP(X1589,0),"")</x:f>
      </x:c>
      <x:c r="Z1589" t="str">
        <x:f>IF(ISNUMBER(T1589),"Cost captured","Awaiting trade cost")</x:f>
        <x:v>Awaiting trade cost</x:v>
      </x:c>
      <x:c r="AB1589" s="36" t="str">
        <x:f>IF(ISNUMBER(Y1589),ROUND(Y1589*0.9,2),"")</x:f>
      </x:c>
      <x:c r="AC1589" s="36" t="str">
        <x:f>IF(ISNUMBER(AB1589),ROUND(AB1589-(AB1589*0.015+0.2)-V1589,2),"")</x:f>
      </x:c>
      <x:c r="AD1589" s="36" t="str">
        <x:f>IF(ISNUMBER(Y1589),ROUND(Y1589*0.8,2),"")</x:f>
      </x:c>
      <x:c r="AE1589" s="36" t="str">
        <x:f>IF(ISNUMBER(AD1589),ROUND(AD1589*0.015+0.2,2),"")</x:f>
      </x:c>
      <x:c r="AF1589" s="36" t="str">
        <x:f>IF(ISNUMBER(AD1589),ROUND(AD1589-AE1589-V1589,2),"")</x:f>
      </x:c>
      <x:c r="AG1589" t="str">
        <x:f>IF(NOT(ISNUMBER(T1589)),"PENDING",IF(AF1589&gt;0,"PASS","FAIL"))</x:f>
        <x:v>PENDING</x:v>
      </x:c>
      <x:c r="AH1589" t="str">
        <x:f>IF(NOT(ISNUMBER(T1589)),"Needs supplier cost",IF(K1589&lt;&gt;"In stock","Supplier unavailable",IF(AG1589&lt;&gt;"PASS","BLOCK - GT loss risk","Commercially protected")))</x:f>
        <x:v>Needs supplier cost</x:v>
      </x:c>
      <x:c r="AI1589" t="str">
        <x:v>2026-09-10 Active Sports trade capture</x:v>
      </x:c>
      <x:c r="AJ1589" t="str">
        <x:v>Management-only economics. Stripe stress test uses 1.5% + £0.20 standard UK online-card fee; pallet/mix-and-match pricing ignored.</x:v>
      </x:c>
    </x:row>
    <x:row r="1590">
      <x:c r="A1590" t="str">
        <x:v>Active Sports Nutrition</x:v>
      </x:c>
      <x:c r="B1590" t="str">
        <x:v>Mutant</x:v>
      </x:c>
      <x:c r="C1590" t="str">
        <x:v>Madness ALL IN</x:v>
      </x:c>
      <x:c r="D1590" t="str">
        <x:v>Pre Workouts</x:v>
      </x:c>
      <x:c r="E1590" t="str">
        <x:v>High Stim</x:v>
      </x:c>
      <x:c r="F1590" t="str"/>
      <x:c r="G1590" t="str">
        <x:v>504g</x:v>
      </x:c>
      <x:c r="H1590" t="str">
        <x:v>Blue Sharkberry</x:v>
      </x:c>
      <x:c r="I1590" t="str"/>
      <x:c r="J1590" t="str">
        <x:v>Unit</x:v>
      </x:c>
      <x:c r="K1590" t="str">
        <x:v>Out of stock</x:v>
      </x:c>
      <x:c r="L1590" t="str">
        <x:v>2026-09-08</x:v>
      </x:c>
      <x:c r="M1590" t="str"/>
      <x:c r="N1590" t="str"/>
      <x:c r="O1590" t="str">
        <x:v>https://www.activesportstrade.co.uk/trade-pre-workout-supplements</x:v>
      </x:c>
      <x:c r="P1590" t="str"/>
      <x:c r="Q1590" t="str"/>
      <x:c r="R1590" t="str"/>
      <x:c r="S1590" t="str">
        <x:v>Pending genuine supplier/brand image</x:v>
      </x:c>
      <x:c r="T1590" s="54"/>
      <x:c r="U1590" s="47" t="n">
        <x:v>0.2</x:v>
      </x:c>
      <x:c r="V1590" s="54" t="str">
        <x:f>IF(ISNUMBER(T1590),T1590*(1+U1590),"")</x:f>
      </x:c>
      <x:c r="W1590" s="47" t="n">
        <x:v>0.3</x:v>
      </x:c>
      <x:c r="X1590" s="54" t="str">
        <x:f>IF(ISNUMBER(V1590),V1590/(1-W1590),"")</x:f>
      </x:c>
      <x:c r="Y1590" s="55" t="str">
        <x:f>IF(ISNUMBER(X1590),ROUNDUP(X1590,0),"")</x:f>
      </x:c>
      <x:c r="Z1590" t="str">
        <x:f>IF(ISNUMBER(T1590),"Cost captured","Awaiting trade cost")</x:f>
        <x:v>Awaiting trade cost</x:v>
      </x:c>
      <x:c r="AB1590" s="36" t="str">
        <x:f>IF(ISNUMBER(Y1590),ROUND(Y1590*0.9,2),"")</x:f>
      </x:c>
      <x:c r="AC1590" s="36" t="str">
        <x:f>IF(ISNUMBER(AB1590),ROUND(AB1590-(AB1590*0.015+0.2)-V1590,2),"")</x:f>
      </x:c>
      <x:c r="AD1590" s="36" t="str">
        <x:f>IF(ISNUMBER(Y1590),ROUND(Y1590*0.8,2),"")</x:f>
      </x:c>
      <x:c r="AE1590" s="36" t="str">
        <x:f>IF(ISNUMBER(AD1590),ROUND(AD1590*0.015+0.2,2),"")</x:f>
      </x:c>
      <x:c r="AF1590" s="36" t="str">
        <x:f>IF(ISNUMBER(AD1590),ROUND(AD1590-AE1590-V1590,2),"")</x:f>
      </x:c>
      <x:c r="AG1590" t="str">
        <x:f>IF(NOT(ISNUMBER(T1590)),"PENDING",IF(AF1590&gt;0,"PASS","FAIL"))</x:f>
        <x:v>PENDING</x:v>
      </x:c>
      <x:c r="AH1590" t="str">
        <x:f>IF(NOT(ISNUMBER(T1590)),"Needs supplier cost",IF(K1590&lt;&gt;"In stock","Supplier unavailable",IF(AG1590&lt;&gt;"PASS","BLOCK - GT loss risk","Commercially protected")))</x:f>
        <x:v>Needs supplier cost</x:v>
      </x:c>
      <x:c r="AI1590" t="str">
        <x:v>2026-09-10 Active Sports trade capture</x:v>
      </x:c>
      <x:c r="AJ1590" t="str">
        <x:v>Management-only economics. Stripe stress test uses 1.5% + £0.20 standard UK online-card fee; pallet/mix-and-match pricing ignored.</x:v>
      </x:c>
    </x:row>
    <x:row r="1591">
      <x:c r="A1591" t="str">
        <x:v>Active Sports Nutrition</x:v>
      </x:c>
      <x:c r="B1591" t="str">
        <x:v>Mutant</x:v>
      </x:c>
      <x:c r="C1591" t="str">
        <x:v>Madness ALL IN</x:v>
      </x:c>
      <x:c r="D1591" t="str">
        <x:v>Pre Workouts</x:v>
      </x:c>
      <x:c r="E1591" t="str">
        <x:v>High Stim</x:v>
      </x:c>
      <x:c r="F1591" t="str"/>
      <x:c r="G1591" t="str">
        <x:v>504g</x:v>
      </x:c>
      <x:c r="H1591" t="str">
        <x:v>Melon Candy</x:v>
      </x:c>
      <x:c r="I1591" t="str"/>
      <x:c r="J1591" t="str">
        <x:v>Unit</x:v>
      </x:c>
      <x:c r="K1591" t="str">
        <x:v>Out of stock</x:v>
      </x:c>
      <x:c r="L1591" t="str">
        <x:v>2026-09-08</x:v>
      </x:c>
      <x:c r="M1591" t="str"/>
      <x:c r="N1591" t="str"/>
      <x:c r="O1591" t="str">
        <x:v>https://www.activesportstrade.co.uk/trade-pre-workout-supplements</x:v>
      </x:c>
      <x:c r="P1591" t="str"/>
      <x:c r="Q1591" t="str"/>
      <x:c r="R1591" t="str"/>
      <x:c r="S1591" t="str">
        <x:v>Pending genuine supplier/brand image</x:v>
      </x:c>
      <x:c r="T1591" s="54"/>
      <x:c r="U1591" s="47" t="n">
        <x:v>0.2</x:v>
      </x:c>
      <x:c r="V1591" s="54" t="str">
        <x:f>IF(ISNUMBER(T1591),T1591*(1+U1591),"")</x:f>
      </x:c>
      <x:c r="W1591" s="47" t="n">
        <x:v>0.3</x:v>
      </x:c>
      <x:c r="X1591" s="54" t="str">
        <x:f>IF(ISNUMBER(V1591),V1591/(1-W1591),"")</x:f>
      </x:c>
      <x:c r="Y1591" s="55" t="str">
        <x:f>IF(ISNUMBER(X1591),ROUNDUP(X1591,0),"")</x:f>
      </x:c>
      <x:c r="Z1591" t="str">
        <x:f>IF(ISNUMBER(T1591),"Cost captured","Awaiting trade cost")</x:f>
        <x:v>Awaiting trade cost</x:v>
      </x:c>
      <x:c r="AB1591" s="36" t="str">
        <x:f>IF(ISNUMBER(Y1591),ROUND(Y1591*0.9,2),"")</x:f>
      </x:c>
      <x:c r="AC1591" s="36" t="str">
        <x:f>IF(ISNUMBER(AB1591),ROUND(AB1591-(AB1591*0.015+0.2)-V1591,2),"")</x:f>
      </x:c>
      <x:c r="AD1591" s="36" t="str">
        <x:f>IF(ISNUMBER(Y1591),ROUND(Y1591*0.8,2),"")</x:f>
      </x:c>
      <x:c r="AE1591" s="36" t="str">
        <x:f>IF(ISNUMBER(AD1591),ROUND(AD1591*0.015+0.2,2),"")</x:f>
      </x:c>
      <x:c r="AF1591" s="36" t="str">
        <x:f>IF(ISNUMBER(AD1591),ROUND(AD1591-AE1591-V1591,2),"")</x:f>
      </x:c>
      <x:c r="AG1591" t="str">
        <x:f>IF(NOT(ISNUMBER(T1591)),"PENDING",IF(AF1591&gt;0,"PASS","FAIL"))</x:f>
        <x:v>PENDING</x:v>
      </x:c>
      <x:c r="AH1591" t="str">
        <x:f>IF(NOT(ISNUMBER(T1591)),"Needs supplier cost",IF(K1591&lt;&gt;"In stock","Supplier unavailable",IF(AG1591&lt;&gt;"PASS","BLOCK - GT loss risk","Commercially protected")))</x:f>
        <x:v>Needs supplier cost</x:v>
      </x:c>
      <x:c r="AI1591" t="str">
        <x:v>2026-09-10 Active Sports trade capture</x:v>
      </x:c>
      <x:c r="AJ1591" t="str">
        <x:v>Management-only economics. Stripe stress test uses 1.5% + £0.20 standard UK online-card fee; pallet/mix-and-match pricing ignored.</x:v>
      </x:c>
    </x:row>
    <x:row r="1592">
      <x:c r="A1592" t="str">
        <x:v>Active Sports Nutrition</x:v>
      </x:c>
      <x:c r="B1592" t="str">
        <x:v>Mutant</x:v>
      </x:c>
      <x:c r="C1592" t="str">
        <x:v>Madness ALL IN</x:v>
      </x:c>
      <x:c r="D1592" t="str">
        <x:v>Pre Workouts</x:v>
      </x:c>
      <x:c r="E1592" t="str">
        <x:v>High Stim</x:v>
      </x:c>
      <x:c r="F1592" t="str"/>
      <x:c r="G1592" t="str">
        <x:v>504g</x:v>
      </x:c>
      <x:c r="H1592" t="str">
        <x:v>Tropical Cyclone</x:v>
      </x:c>
      <x:c r="I1592" t="str"/>
      <x:c r="J1592" t="str">
        <x:v>Unit</x:v>
      </x:c>
      <x:c r="K1592" t="str">
        <x:v>Out of stock</x:v>
      </x:c>
      <x:c r="L1592" t="str">
        <x:v>2026-09-08</x:v>
      </x:c>
      <x:c r="M1592" t="str"/>
      <x:c r="N1592" t="str"/>
      <x:c r="O1592" t="str">
        <x:v>https://www.activesportstrade.co.uk/trade-pre-workout-supplements</x:v>
      </x:c>
      <x:c r="P1592" t="str"/>
      <x:c r="Q1592" t="str"/>
      <x:c r="R1592" t="str"/>
      <x:c r="S1592" t="str">
        <x:v>Pending genuine supplier/brand image</x:v>
      </x:c>
      <x:c r="T1592" s="54"/>
      <x:c r="U1592" s="47" t="n">
        <x:v>0.2</x:v>
      </x:c>
      <x:c r="V1592" s="54" t="str">
        <x:f>IF(ISNUMBER(T1592),T1592*(1+U1592),"")</x:f>
      </x:c>
      <x:c r="W1592" s="47" t="n">
        <x:v>0.3</x:v>
      </x:c>
      <x:c r="X1592" s="54" t="str">
        <x:f>IF(ISNUMBER(V1592),V1592/(1-W1592),"")</x:f>
      </x:c>
      <x:c r="Y1592" s="55" t="str">
        <x:f>IF(ISNUMBER(X1592),ROUNDUP(X1592,0),"")</x:f>
      </x:c>
      <x:c r="Z1592" t="str">
        <x:f>IF(ISNUMBER(T1592),"Cost captured","Awaiting trade cost")</x:f>
        <x:v>Awaiting trade cost</x:v>
      </x:c>
      <x:c r="AB1592" s="36" t="str">
        <x:f>IF(ISNUMBER(Y1592),ROUND(Y1592*0.9,2),"")</x:f>
      </x:c>
      <x:c r="AC1592" s="36" t="str">
        <x:f>IF(ISNUMBER(AB1592),ROUND(AB1592-(AB1592*0.015+0.2)-V1592,2),"")</x:f>
      </x:c>
      <x:c r="AD1592" s="36" t="str">
        <x:f>IF(ISNUMBER(Y1592),ROUND(Y1592*0.8,2),"")</x:f>
      </x:c>
      <x:c r="AE1592" s="36" t="str">
        <x:f>IF(ISNUMBER(AD1592),ROUND(AD1592*0.015+0.2,2),"")</x:f>
      </x:c>
      <x:c r="AF1592" s="36" t="str">
        <x:f>IF(ISNUMBER(AD1592),ROUND(AD1592-AE1592-V1592,2),"")</x:f>
      </x:c>
      <x:c r="AG1592" t="str">
        <x:f>IF(NOT(ISNUMBER(T1592)),"PENDING",IF(AF1592&gt;0,"PASS","FAIL"))</x:f>
        <x:v>PENDING</x:v>
      </x:c>
      <x:c r="AH1592" t="str">
        <x:f>IF(NOT(ISNUMBER(T1592)),"Needs supplier cost",IF(K1592&lt;&gt;"In stock","Supplier unavailable",IF(AG1592&lt;&gt;"PASS","BLOCK - GT loss risk","Commercially protected")))</x:f>
        <x:v>Needs supplier cost</x:v>
      </x:c>
      <x:c r="AI1592" t="str">
        <x:v>2026-09-10 Active Sports trade capture</x:v>
      </x:c>
      <x:c r="AJ1592" t="str">
        <x:v>Management-only economics. Stripe stress test uses 1.5% + £0.20 standard UK online-card fee; pallet/mix-and-match pricing ignored.</x:v>
      </x:c>
    </x:row>
    <x:row r="1593">
      <x:c r="A1593" t="str">
        <x:v>Active Sports Nutrition</x:v>
      </x:c>
      <x:c r="B1593" t="str">
        <x:v>Mutant</x:v>
      </x:c>
      <x:c r="C1593" t="str">
        <x:v>Madness Pre Workout</x:v>
      </x:c>
      <x:c r="D1593" t="str">
        <x:v>Pre Workouts</x:v>
      </x:c>
      <x:c r="E1593" t="str">
        <x:v>High Stim</x:v>
      </x:c>
      <x:c r="F1593" t="str"/>
      <x:c r="G1593" t="str">
        <x:v>225g</x:v>
      </x:c>
      <x:c r="H1593" t="str">
        <x:v>Fruit Punch</x:v>
      </x:c>
      <x:c r="I1593" t="str"/>
      <x:c r="J1593" t="str">
        <x:v>Unit</x:v>
      </x:c>
      <x:c r="K1593" t="str">
        <x:v>In stock</x:v>
      </x:c>
      <x:c r="L1593" t="str">
        <x:v>2026-09-08</x:v>
      </x:c>
      <x:c r="M1593" t="str"/>
      <x:c r="N1593" t="str"/>
      <x:c r="O1593" t="str">
        <x:v>https://www.activesportstrade.co.uk/trade-pre-workout-supplements</x:v>
      </x:c>
      <x:c r="P1593" t="str">
        <x:v>SPECIAL OFFER wording removed.</x:v>
      </x:c>
      <x:c r="Q1593" t="str"/>
      <x:c r="R1593" t="str"/>
      <x:c r="S1593" t="str">
        <x:v>Pending genuine supplier/brand image</x:v>
      </x:c>
      <x:c r="T1593" s="54"/>
      <x:c r="U1593" s="47" t="n">
        <x:v>0.2</x:v>
      </x:c>
      <x:c r="V1593" s="54" t="str">
        <x:f>IF(ISNUMBER(T1593),T1593*(1+U1593),"")</x:f>
      </x:c>
      <x:c r="W1593" s="47" t="n">
        <x:v>0.3</x:v>
      </x:c>
      <x:c r="X1593" s="54" t="str">
        <x:f>IF(ISNUMBER(V1593),V1593/(1-W1593),"")</x:f>
      </x:c>
      <x:c r="Y1593" s="55" t="str">
        <x:f>IF(ISNUMBER(X1593),ROUNDUP(X1593,0),"")</x:f>
      </x:c>
      <x:c r="Z1593" t="str">
        <x:f>IF(ISNUMBER(T1593),"Cost captured","Awaiting trade cost")</x:f>
        <x:v>Awaiting trade cost</x:v>
      </x:c>
      <x:c r="AB1593" s="36" t="str">
        <x:f>IF(ISNUMBER(Y1593),ROUND(Y1593*0.9,2),"")</x:f>
      </x:c>
      <x:c r="AC1593" s="36" t="str">
        <x:f>IF(ISNUMBER(AB1593),ROUND(AB1593-(AB1593*0.015+0.2)-V1593,2),"")</x:f>
      </x:c>
      <x:c r="AD1593" s="36" t="str">
        <x:f>IF(ISNUMBER(Y1593),ROUND(Y1593*0.8,2),"")</x:f>
      </x:c>
      <x:c r="AE1593" s="36" t="str">
        <x:f>IF(ISNUMBER(AD1593),ROUND(AD1593*0.015+0.2,2),"")</x:f>
      </x:c>
      <x:c r="AF1593" s="36" t="str">
        <x:f>IF(ISNUMBER(AD1593),ROUND(AD1593-AE1593-V1593,2),"")</x:f>
      </x:c>
      <x:c r="AG1593" t="str">
        <x:f>IF(NOT(ISNUMBER(T1593)),"PENDING",IF(AF1593&gt;0,"PASS","FAIL"))</x:f>
        <x:v>PENDING</x:v>
      </x:c>
      <x:c r="AH1593" t="str">
        <x:f>IF(NOT(ISNUMBER(T1593)),"Needs supplier cost",IF(K1593&lt;&gt;"In stock","Supplier unavailable",IF(AG1593&lt;&gt;"PASS","BLOCK - GT loss risk","Commercially protected")))</x:f>
        <x:v>Needs supplier cost</x:v>
      </x:c>
      <x:c r="AI1593" t="str">
        <x:v>2026-09-10 Active Sports trade capture</x:v>
      </x:c>
      <x:c r="AJ1593" t="str">
        <x:v>Management-only economics. Stripe stress test uses 1.5% + £0.20 standard UK online-card fee; pallet/mix-and-match pricing ignored.</x:v>
      </x:c>
    </x:row>
    <x:row r="1594">
      <x:c r="A1594" t="str">
        <x:v>Active Sports Nutrition</x:v>
      </x:c>
      <x:c r="B1594" t="str">
        <x:v>Mutant</x:v>
      </x:c>
      <x:c r="C1594" t="str">
        <x:v>Madness Pre Workout</x:v>
      </x:c>
      <x:c r="D1594" t="str">
        <x:v>Pre Workouts</x:v>
      </x:c>
      <x:c r="E1594" t="str">
        <x:v>High Stim</x:v>
      </x:c>
      <x:c r="F1594" t="str"/>
      <x:c r="G1594" t="str">
        <x:v>225g</x:v>
      </x:c>
      <x:c r="H1594" t="str">
        <x:v>Lemonade</x:v>
      </x:c>
      <x:c r="I1594" t="str"/>
      <x:c r="J1594" t="str">
        <x:v>Unit</x:v>
      </x:c>
      <x:c r="K1594" t="str">
        <x:v>Out of stock</x:v>
      </x:c>
      <x:c r="L1594" t="str">
        <x:v>2026-09-08</x:v>
      </x:c>
      <x:c r="M1594" t="str"/>
      <x:c r="N1594" t="str"/>
      <x:c r="O1594" t="str">
        <x:v>https://www.activesportstrade.co.uk/trade-pre-workout-supplements</x:v>
      </x:c>
      <x:c r="P1594" t="str">
        <x:v>SPECIAL OFFER wording removed.</x:v>
      </x:c>
      <x:c r="Q1594" t="str"/>
      <x:c r="R1594" t="str"/>
      <x:c r="S1594" t="str">
        <x:v>Pending genuine supplier/brand image</x:v>
      </x:c>
      <x:c r="T1594" s="54"/>
      <x:c r="U1594" s="47" t="n">
        <x:v>0.2</x:v>
      </x:c>
      <x:c r="V1594" s="54" t="str">
        <x:f>IF(ISNUMBER(T1594),T1594*(1+U1594),"")</x:f>
      </x:c>
      <x:c r="W1594" s="47" t="n">
        <x:v>0.3</x:v>
      </x:c>
      <x:c r="X1594" s="54" t="str">
        <x:f>IF(ISNUMBER(V1594),V1594/(1-W1594),"")</x:f>
      </x:c>
      <x:c r="Y1594" s="55" t="str">
        <x:f>IF(ISNUMBER(X1594),ROUNDUP(X1594,0),"")</x:f>
      </x:c>
      <x:c r="Z1594" t="str">
        <x:f>IF(ISNUMBER(T1594),"Cost captured","Awaiting trade cost")</x:f>
        <x:v>Awaiting trade cost</x:v>
      </x:c>
      <x:c r="AB1594" s="36" t="str">
        <x:f>IF(ISNUMBER(Y1594),ROUND(Y1594*0.9,2),"")</x:f>
      </x:c>
      <x:c r="AC1594" s="36" t="str">
        <x:f>IF(ISNUMBER(AB1594),ROUND(AB1594-(AB1594*0.015+0.2)-V1594,2),"")</x:f>
      </x:c>
      <x:c r="AD1594" s="36" t="str">
        <x:f>IF(ISNUMBER(Y1594),ROUND(Y1594*0.8,2),"")</x:f>
      </x:c>
      <x:c r="AE1594" s="36" t="str">
        <x:f>IF(ISNUMBER(AD1594),ROUND(AD1594*0.015+0.2,2),"")</x:f>
      </x:c>
      <x:c r="AF1594" s="36" t="str">
        <x:f>IF(ISNUMBER(AD1594),ROUND(AD1594-AE1594-V1594,2),"")</x:f>
      </x:c>
      <x:c r="AG1594" t="str">
        <x:f>IF(NOT(ISNUMBER(T1594)),"PENDING",IF(AF1594&gt;0,"PASS","FAIL"))</x:f>
        <x:v>PENDING</x:v>
      </x:c>
      <x:c r="AH1594" t="str">
        <x:f>IF(NOT(ISNUMBER(T1594)),"Needs supplier cost",IF(K1594&lt;&gt;"In stock","Supplier unavailable",IF(AG1594&lt;&gt;"PASS","BLOCK - GT loss risk","Commercially protected")))</x:f>
        <x:v>Needs supplier cost</x:v>
      </x:c>
      <x:c r="AI1594" t="str">
        <x:v>2026-09-10 Active Sports trade capture</x:v>
      </x:c>
      <x:c r="AJ1594" t="str">
        <x:v>Management-only economics. Stripe stress test uses 1.5% + £0.20 standard UK online-card fee; pallet/mix-and-match pricing ignored.</x:v>
      </x:c>
    </x:row>
    <x:row r="1595">
      <x:c r="A1595" t="str">
        <x:v>Active Sports Nutrition</x:v>
      </x:c>
      <x:c r="B1595" t="str">
        <x:v>Mutant</x:v>
      </x:c>
      <x:c r="C1595" t="str">
        <x:v>Madness Pre Workout</x:v>
      </x:c>
      <x:c r="D1595" t="str">
        <x:v>Pre Workouts</x:v>
      </x:c>
      <x:c r="E1595" t="str">
        <x:v>High Stim</x:v>
      </x:c>
      <x:c r="F1595" t="str"/>
      <x:c r="G1595" t="str">
        <x:v>225g</x:v>
      </x:c>
      <x:c r="H1595" t="str">
        <x:v>Peach Mango</x:v>
      </x:c>
      <x:c r="I1595" t="str"/>
      <x:c r="J1595" t="str">
        <x:v>Unit</x:v>
      </x:c>
      <x:c r="K1595" t="str">
        <x:v>Out of stock</x:v>
      </x:c>
      <x:c r="L1595" t="str">
        <x:v>2026-09-08</x:v>
      </x:c>
      <x:c r="M1595" t="str"/>
      <x:c r="N1595" t="str"/>
      <x:c r="O1595" t="str">
        <x:v>https://www.activesportstrade.co.uk/trade-pre-workout-supplements</x:v>
      </x:c>
      <x:c r="P1595" t="str">
        <x:v>SPECIAL OFFER wording removed.</x:v>
      </x:c>
      <x:c r="Q1595" t="str"/>
      <x:c r="R1595" t="str"/>
      <x:c r="S1595" t="str">
        <x:v>Pending genuine supplier/brand image</x:v>
      </x:c>
      <x:c r="T1595" s="54"/>
      <x:c r="U1595" s="47" t="n">
        <x:v>0.2</x:v>
      </x:c>
      <x:c r="V1595" s="54" t="str">
        <x:f>IF(ISNUMBER(T1595),T1595*(1+U1595),"")</x:f>
      </x:c>
      <x:c r="W1595" s="47" t="n">
        <x:v>0.3</x:v>
      </x:c>
      <x:c r="X1595" s="54" t="str">
        <x:f>IF(ISNUMBER(V1595),V1595/(1-W1595),"")</x:f>
      </x:c>
      <x:c r="Y1595" s="55" t="str">
        <x:f>IF(ISNUMBER(X1595),ROUNDUP(X1595,0),"")</x:f>
      </x:c>
      <x:c r="Z1595" t="str">
        <x:f>IF(ISNUMBER(T1595),"Cost captured","Awaiting trade cost")</x:f>
        <x:v>Awaiting trade cost</x:v>
      </x:c>
      <x:c r="AB1595" s="36" t="str">
        <x:f>IF(ISNUMBER(Y1595),ROUND(Y1595*0.9,2),"")</x:f>
      </x:c>
      <x:c r="AC1595" s="36" t="str">
        <x:f>IF(ISNUMBER(AB1595),ROUND(AB1595-(AB1595*0.015+0.2)-V1595,2),"")</x:f>
      </x:c>
      <x:c r="AD1595" s="36" t="str">
        <x:f>IF(ISNUMBER(Y1595),ROUND(Y1595*0.8,2),"")</x:f>
      </x:c>
      <x:c r="AE1595" s="36" t="str">
        <x:f>IF(ISNUMBER(AD1595),ROUND(AD1595*0.015+0.2,2),"")</x:f>
      </x:c>
      <x:c r="AF1595" s="36" t="str">
        <x:f>IF(ISNUMBER(AD1595),ROUND(AD1595-AE1595-V1595,2),"")</x:f>
      </x:c>
      <x:c r="AG1595" t="str">
        <x:f>IF(NOT(ISNUMBER(T1595)),"PENDING",IF(AF1595&gt;0,"PASS","FAIL"))</x:f>
        <x:v>PENDING</x:v>
      </x:c>
      <x:c r="AH1595" t="str">
        <x:f>IF(NOT(ISNUMBER(T1595)),"Needs supplier cost",IF(K1595&lt;&gt;"In stock","Supplier unavailable",IF(AG1595&lt;&gt;"PASS","BLOCK - GT loss risk","Commercially protected")))</x:f>
        <x:v>Needs supplier cost</x:v>
      </x:c>
      <x:c r="AI1595" t="str">
        <x:v>2026-09-10 Active Sports trade capture</x:v>
      </x:c>
      <x:c r="AJ1595" t="str">
        <x:v>Management-only economics. Stripe stress test uses 1.5% + £0.20 standard UK online-card fee; pallet/mix-and-match pricing ignored.</x:v>
      </x:c>
    </x:row>
    <x:row r="1596">
      <x:c r="A1596" t="str">
        <x:v>Active Sports Nutrition</x:v>
      </x:c>
      <x:c r="B1596" t="str">
        <x:v>Mutant</x:v>
      </x:c>
      <x:c r="C1596" t="str">
        <x:v>Madness Pre Workout</x:v>
      </x:c>
      <x:c r="D1596" t="str">
        <x:v>Pre Workouts</x:v>
      </x:c>
      <x:c r="E1596" t="str">
        <x:v>High Stim</x:v>
      </x:c>
      <x:c r="F1596" t="str"/>
      <x:c r="G1596" t="str">
        <x:v>225g</x:v>
      </x:c>
      <x:c r="H1596" t="str">
        <x:v>Sweet Iced Tea</x:v>
      </x:c>
      <x:c r="I1596" t="str"/>
      <x:c r="J1596" t="str">
        <x:v>Unit</x:v>
      </x:c>
      <x:c r="K1596" t="str">
        <x:v>Out of stock</x:v>
      </x:c>
      <x:c r="L1596" t="str">
        <x:v>2026-09-08</x:v>
      </x:c>
      <x:c r="M1596" t="str"/>
      <x:c r="N1596" t="str"/>
      <x:c r="O1596" t="str">
        <x:v>https://www.activesportstrade.co.uk/trade-pre-workout-supplements</x:v>
      </x:c>
      <x:c r="P1596" t="str">
        <x:v>SPECIAL OFFER wording removed.</x:v>
      </x:c>
      <x:c r="Q1596" t="str"/>
      <x:c r="R1596" t="str"/>
      <x:c r="S1596" t="str">
        <x:v>Pending genuine supplier/brand image</x:v>
      </x:c>
      <x:c r="T1596" s="54"/>
      <x:c r="U1596" s="47" t="n">
        <x:v>0.2</x:v>
      </x:c>
      <x:c r="V1596" s="54" t="str">
        <x:f>IF(ISNUMBER(T1596),T1596*(1+U1596),"")</x:f>
      </x:c>
      <x:c r="W1596" s="47" t="n">
        <x:v>0.3</x:v>
      </x:c>
      <x:c r="X1596" s="54" t="str">
        <x:f>IF(ISNUMBER(V1596),V1596/(1-W1596),"")</x:f>
      </x:c>
      <x:c r="Y1596" s="55" t="str">
        <x:f>IF(ISNUMBER(X1596),ROUNDUP(X1596,0),"")</x:f>
      </x:c>
      <x:c r="Z1596" t="str">
        <x:f>IF(ISNUMBER(T1596),"Cost captured","Awaiting trade cost")</x:f>
        <x:v>Awaiting trade cost</x:v>
      </x:c>
      <x:c r="AB1596" s="36" t="str">
        <x:f>IF(ISNUMBER(Y1596),ROUND(Y1596*0.9,2),"")</x:f>
      </x:c>
      <x:c r="AC1596" s="36" t="str">
        <x:f>IF(ISNUMBER(AB1596),ROUND(AB1596-(AB1596*0.015+0.2)-V1596,2),"")</x:f>
      </x:c>
      <x:c r="AD1596" s="36" t="str">
        <x:f>IF(ISNUMBER(Y1596),ROUND(Y1596*0.8,2),"")</x:f>
      </x:c>
      <x:c r="AE1596" s="36" t="str">
        <x:f>IF(ISNUMBER(AD1596),ROUND(AD1596*0.015+0.2,2),"")</x:f>
      </x:c>
      <x:c r="AF1596" s="36" t="str">
        <x:f>IF(ISNUMBER(AD1596),ROUND(AD1596-AE1596-V1596,2),"")</x:f>
      </x:c>
      <x:c r="AG1596" t="str">
        <x:f>IF(NOT(ISNUMBER(T1596)),"PENDING",IF(AF1596&gt;0,"PASS","FAIL"))</x:f>
        <x:v>PENDING</x:v>
      </x:c>
      <x:c r="AH1596" t="str">
        <x:f>IF(NOT(ISNUMBER(T1596)),"Needs supplier cost",IF(K1596&lt;&gt;"In stock","Supplier unavailable",IF(AG1596&lt;&gt;"PASS","BLOCK - GT loss risk","Commercially protected")))</x:f>
        <x:v>Needs supplier cost</x:v>
      </x:c>
      <x:c r="AI1596" t="str">
        <x:v>2026-09-10 Active Sports trade capture</x:v>
      </x:c>
      <x:c r="AJ1596" t="str">
        <x:v>Management-only economics. Stripe stress test uses 1.5% + £0.20 standard UK online-card fee; pallet/mix-and-match pricing ignored.</x:v>
      </x:c>
    </x:row>
    <x:row r="1597">
      <x:c r="A1597" t="str">
        <x:v>Active Sports Nutrition</x:v>
      </x:c>
      <x:c r="B1597" t="str">
        <x:v>Project AD</x:v>
      </x:c>
      <x:c r="C1597" t="str">
        <x:v>Aminotaur Essential</x:v>
      </x:c>
      <x:c r="D1597" t="str">
        <x:v>Supplements</x:v>
      </x:c>
      <x:c r="E1597" t="str">
        <x:v>Amino Acids</x:v>
      </x:c>
      <x:c r="F1597" t="str"/>
      <x:c r="G1597" t="str">
        <x:v>30 servings</x:v>
      </x:c>
      <x:c r="H1597" t="str">
        <x:v>Fresh Squeezed Lemonade</x:v>
      </x:c>
      <x:c r="I1597" t="str"/>
      <x:c r="J1597" t="str">
        <x:v>Unit</x:v>
      </x:c>
      <x:c r="K1597" t="str">
        <x:v>In stock</x:v>
      </x:c>
      <x:c r="L1597" t="str">
        <x:v>2026-09-08</x:v>
      </x:c>
      <x:c r="M1597" t="str"/>
      <x:c r="N1597" t="str"/>
      <x:c r="O1597" t="str">
        <x:v>https://www.activesportstrade.co.uk/project-ad-trade</x:v>
      </x:c>
      <x:c r="P1597" t="str"/>
      <x:c r="Q1597" t="str"/>
      <x:c r="R1597" t="str"/>
      <x:c r="S1597" t="str">
        <x:v>Pending genuine supplier/brand image</x:v>
      </x:c>
      <x:c r="T1597" s="54" t="n">
        <x:v>20.99</x:v>
      </x:c>
      <x:c r="U1597" s="47" t="n">
        <x:v>0.2</x:v>
      </x:c>
      <x:c r="V1597" s="54" t="n">
        <x:f>IF(ISNUMBER(T1597),T1597*(1+U1597),"")</x:f>
        <x:v>25.188</x:v>
      </x:c>
      <x:c r="W1597" s="47" t="n">
        <x:v>0.3</x:v>
      </x:c>
      <x:c r="X1597" s="54" t="n">
        <x:f>IF(ISNUMBER(V1597),V1597/(1-W1597),"")</x:f>
        <x:v>35.98285714285714</x:v>
      </x:c>
      <x:c r="Y1597" s="55" t="n">
        <x:f>IF(ISNUMBER(X1597),ROUNDUP(X1597,0),"")</x:f>
        <x:v>36</x:v>
      </x:c>
      <x:c r="Z1597" t="str">
        <x:v>Source match pending</x:v>
      </x:c>
      <x:c r="AA1597" t="str">
        <x:v>screencapture-www-activesportstrade-co-uk-project-ad-trade-2026-09-09-18_49_49.png / page-001</x:v>
      </x:c>
      <x:c r="AB1597" s="36" t="n">
        <x:f>IF(ISNUMBER(Y1597),ROUND(Y1597*0.9,2),"")</x:f>
        <x:v>32.4</x:v>
      </x:c>
      <x:c r="AC1597" s="36" t="n">
        <x:f>IF(ISNUMBER(AB1597),ROUND(AB1597-(AB1597*0.015+0.2)-V1597,2),"")</x:f>
        <x:v>6.53</x:v>
      </x:c>
      <x:c r="AD1597" s="36" t="n">
        <x:f>IF(ISNUMBER(Y1597),ROUND(Y1597*0.8,2),"")</x:f>
        <x:v>28.8</x:v>
      </x:c>
      <x:c r="AE1597" s="36" t="n">
        <x:f>IF(ISNUMBER(AD1597),ROUND(AD1597*0.015+0.2,2),"")</x:f>
        <x:v>0.63</x:v>
      </x:c>
      <x:c r="AF1597" s="36" t="n">
        <x:f>IF(ISNUMBER(AD1597),ROUND(AD1597-AE1597-V1597,2),"")</x:f>
        <x:v>2.98</x:v>
      </x:c>
      <x:c r="AG1597" t="str">
        <x:f>IF(NOT(ISNUMBER(T1597)),"PENDING",IF(AF1597&gt;0,"PASS","FAIL"))</x:f>
        <x:v>PASS</x:v>
      </x:c>
      <x:c r="AH1597" t="str">
        <x:f>IF(NOT(ISNUMBER(T1597)),"Needs supplier cost",IF(K1597&lt;&gt;"In stock","Supplier unavailable",IF(AG1597&lt;&gt;"PASS","BLOCK - GT loss risk","Commercially protected")))</x:f>
        <x:v>Commercially protected</x:v>
      </x:c>
      <x:c r="AI1597" t="str">
        <x:v>2026-09-10 Active Sports trade capture</x:v>
      </x:c>
      <x:c r="AJ1597" t="str">
        <x:v>Management-only economics. Stripe stress test uses 1.5% + £0.20 standard UK online-card fee; pallet/mix-and-match pricing ignored.</x:v>
      </x:c>
    </x:row>
    <x:row r="1598">
      <x:c r="A1598" t="str">
        <x:v>Active Sports Nutrition</x:v>
      </x:c>
      <x:c r="B1598" t="str">
        <x:v>Project AD</x:v>
      </x:c>
      <x:c r="C1598" t="str">
        <x:v>Aminotaur Essential</x:v>
      </x:c>
      <x:c r="D1598" t="str">
        <x:v>Supplements</x:v>
      </x:c>
      <x:c r="E1598" t="str">
        <x:v>Amino Acids</x:v>
      </x:c>
      <x:c r="F1598" t="str"/>
      <x:c r="G1598" t="str">
        <x:v>30 servings</x:v>
      </x:c>
      <x:c r="H1598" t="str">
        <x:v>Grape Escape</x:v>
      </x:c>
      <x:c r="I1598" t="str"/>
      <x:c r="J1598" t="str">
        <x:v>Unit</x:v>
      </x:c>
      <x:c r="K1598" t="str">
        <x:v>In stock</x:v>
      </x:c>
      <x:c r="L1598" t="str">
        <x:v>2026-09-08</x:v>
      </x:c>
      <x:c r="M1598" t="str"/>
      <x:c r="N1598" t="str"/>
      <x:c r="O1598" t="str">
        <x:v>https://www.activesportstrade.co.uk/project-ad-trade</x:v>
      </x:c>
      <x:c r="P1598" t="str"/>
      <x:c r="Q1598" t="str"/>
      <x:c r="R1598" t="str"/>
      <x:c r="S1598" t="str">
        <x:v>Pending genuine supplier/brand image</x:v>
      </x:c>
      <x:c r="T1598" s="54" t="n">
        <x:v>20.99</x:v>
      </x:c>
      <x:c r="U1598" s="47" t="n">
        <x:v>0.2</x:v>
      </x:c>
      <x:c r="V1598" s="54" t="n">
        <x:f>IF(ISNUMBER(T1598),T1598*(1+U1598),"")</x:f>
        <x:v>25.188</x:v>
      </x:c>
      <x:c r="W1598" s="47" t="n">
        <x:v>0.3</x:v>
      </x:c>
      <x:c r="X1598" s="54" t="n">
        <x:f>IF(ISNUMBER(V1598),V1598/(1-W1598),"")</x:f>
        <x:v>35.98285714285714</x:v>
      </x:c>
      <x:c r="Y1598" s="55" t="n">
        <x:f>IF(ISNUMBER(X1598),ROUNDUP(X1598,0),"")</x:f>
        <x:v>36</x:v>
      </x:c>
      <x:c r="Z1598" t="str">
        <x:v>Source match pending</x:v>
      </x:c>
      <x:c r="AA1598" t="str">
        <x:v>screencapture-www-activesportstrade-co-uk-project-ad-trade-2026-09-09-18_49_49.png / page-001</x:v>
      </x:c>
      <x:c r="AB1598" s="36" t="n">
        <x:f>IF(ISNUMBER(Y1598),ROUND(Y1598*0.9,2),"")</x:f>
        <x:v>32.4</x:v>
      </x:c>
      <x:c r="AC1598" s="36" t="n">
        <x:f>IF(ISNUMBER(AB1598),ROUND(AB1598-(AB1598*0.015+0.2)-V1598,2),"")</x:f>
        <x:v>6.53</x:v>
      </x:c>
      <x:c r="AD1598" s="36" t="n">
        <x:f>IF(ISNUMBER(Y1598),ROUND(Y1598*0.8,2),"")</x:f>
        <x:v>28.8</x:v>
      </x:c>
      <x:c r="AE1598" s="36" t="n">
        <x:f>IF(ISNUMBER(AD1598),ROUND(AD1598*0.015+0.2,2),"")</x:f>
        <x:v>0.63</x:v>
      </x:c>
      <x:c r="AF1598" s="36" t="n">
        <x:f>IF(ISNUMBER(AD1598),ROUND(AD1598-AE1598-V1598,2),"")</x:f>
        <x:v>2.98</x:v>
      </x:c>
      <x:c r="AG1598" t="str">
        <x:f>IF(NOT(ISNUMBER(T1598)),"PENDING",IF(AF1598&gt;0,"PASS","FAIL"))</x:f>
        <x:v>PASS</x:v>
      </x:c>
      <x:c r="AH1598" t="str">
        <x:f>IF(NOT(ISNUMBER(T1598)),"Needs supplier cost",IF(K1598&lt;&gt;"In stock","Supplier unavailable",IF(AG1598&lt;&gt;"PASS","BLOCK - GT loss risk","Commercially protected")))</x:f>
        <x:v>Commercially protected</x:v>
      </x:c>
      <x:c r="AI1598" t="str">
        <x:v>2026-09-10 Active Sports trade capture</x:v>
      </x:c>
      <x:c r="AJ1598" t="str">
        <x:v>Management-only economics. Stripe stress test uses 1.5% + £0.20 standard UK online-card fee; pallet/mix-and-match pricing ignored.</x:v>
      </x:c>
    </x:row>
    <x:row r="1599">
      <x:c r="A1599" t="str">
        <x:v>Active Sports Nutrition</x:v>
      </x:c>
      <x:c r="B1599" t="str">
        <x:v>Project AD</x:v>
      </x:c>
      <x:c r="C1599" t="str">
        <x:v>Aminotaur Essential</x:v>
      </x:c>
      <x:c r="D1599" t="str">
        <x:v>Supplements</x:v>
      </x:c>
      <x:c r="E1599" t="str">
        <x:v>Amino Acids</x:v>
      </x:c>
      <x:c r="F1599" t="str"/>
      <x:c r="G1599" t="str">
        <x:v>30 servings</x:v>
      </x:c>
      <x:c r="H1599" t="str">
        <x:v>Key Lime Colada</x:v>
      </x:c>
      <x:c r="I1599" t="str"/>
      <x:c r="J1599" t="str">
        <x:v>Unit</x:v>
      </x:c>
      <x:c r="K1599" t="str">
        <x:v>Out of stock</x:v>
      </x:c>
      <x:c r="L1599" t="str">
        <x:v>2026-09-08</x:v>
      </x:c>
      <x:c r="M1599" t="str"/>
      <x:c r="N1599" t="str"/>
      <x:c r="O1599" t="str">
        <x:v>https://www.activesportstrade.co.uk/project-ad-trade</x:v>
      </x:c>
      <x:c r="P1599" t="str"/>
      <x:c r="Q1599" t="str"/>
      <x:c r="R1599" t="str"/>
      <x:c r="S1599" t="str">
        <x:v>Pending genuine supplier/brand image</x:v>
      </x:c>
      <x:c r="T1599" s="54" t="n">
        <x:v>20.99</x:v>
      </x:c>
      <x:c r="U1599" s="47" t="n">
        <x:v>0.2</x:v>
      </x:c>
      <x:c r="V1599" s="54" t="n">
        <x:f>IF(ISNUMBER(T1599),T1599*(1+U1599),"")</x:f>
        <x:v>25.188</x:v>
      </x:c>
      <x:c r="W1599" s="47" t="n">
        <x:v>0.3</x:v>
      </x:c>
      <x:c r="X1599" s="54" t="n">
        <x:f>IF(ISNUMBER(V1599),V1599/(1-W1599),"")</x:f>
        <x:v>35.98285714285714</x:v>
      </x:c>
      <x:c r="Y1599" s="55" t="n">
        <x:f>IF(ISNUMBER(X1599),ROUNDUP(X1599,0),"")</x:f>
        <x:v>36</x:v>
      </x:c>
      <x:c r="Z1599" t="str">
        <x:v>Source match pending</x:v>
      </x:c>
      <x:c r="AA1599" t="str">
        <x:v>screencapture-www-activesportstrade-co-uk-project-ad-trade-2026-09-09-18_49_49.png / page-001</x:v>
      </x:c>
      <x:c r="AB1599" s="36" t="n">
        <x:f>IF(ISNUMBER(Y1599),ROUND(Y1599*0.9,2),"")</x:f>
        <x:v>32.4</x:v>
      </x:c>
      <x:c r="AC1599" s="36" t="n">
        <x:f>IF(ISNUMBER(AB1599),ROUND(AB1599-(AB1599*0.015+0.2)-V1599,2),"")</x:f>
        <x:v>6.53</x:v>
      </x:c>
      <x:c r="AD1599" s="36" t="n">
        <x:f>IF(ISNUMBER(Y1599),ROUND(Y1599*0.8,2),"")</x:f>
        <x:v>28.8</x:v>
      </x:c>
      <x:c r="AE1599" s="36" t="n">
        <x:f>IF(ISNUMBER(AD1599),ROUND(AD1599*0.015+0.2,2),"")</x:f>
        <x:v>0.63</x:v>
      </x:c>
      <x:c r="AF1599" s="36" t="n">
        <x:f>IF(ISNUMBER(AD1599),ROUND(AD1599-AE1599-V1599,2),"")</x:f>
        <x:v>2.98</x:v>
      </x:c>
      <x:c r="AG1599" t="str">
        <x:f>IF(NOT(ISNUMBER(T1599)),"PENDING",IF(AF1599&gt;0,"PASS","FAIL"))</x:f>
        <x:v>PASS</x:v>
      </x:c>
      <x:c r="AH1599" t="str">
        <x:f>IF(NOT(ISNUMBER(T1599)),"Needs supplier cost",IF(K1599&lt;&gt;"In stock","Supplier unavailable",IF(AG1599&lt;&gt;"PASS","BLOCK - GT loss risk","Commercially protected")))</x:f>
        <x:v>Supplier unavailable</x:v>
      </x:c>
      <x:c r="AI1599" t="str">
        <x:v>2026-09-10 Active Sports trade capture</x:v>
      </x:c>
      <x:c r="AJ1599" t="str">
        <x:v>Management-only economics. Stripe stress test uses 1.5% + £0.20 standard UK online-card fee; pallet/mix-and-match pricing ignored.</x:v>
      </x:c>
    </x:row>
    <x:row r="1600">
      <x:c r="A1600" t="str">
        <x:v>Active Sports Nutrition</x:v>
      </x:c>
      <x:c r="B1600" t="str">
        <x:v>Project AD</x:v>
      </x:c>
      <x:c r="C1600" t="str">
        <x:v>Aminotaur Essential</x:v>
      </x:c>
      <x:c r="D1600" t="str">
        <x:v>Supplements</x:v>
      </x:c>
      <x:c r="E1600" t="str">
        <x:v>Amino Acids</x:v>
      </x:c>
      <x:c r="F1600" t="str"/>
      <x:c r="G1600" t="str">
        <x:v>30 servings</x:v>
      </x:c>
      <x:c r="H1600" t="str">
        <x:v>Rainbow Twist</x:v>
      </x:c>
      <x:c r="I1600" t="str"/>
      <x:c r="J1600" t="str">
        <x:v>Unit</x:v>
      </x:c>
      <x:c r="K1600" t="str">
        <x:v>Out of stock</x:v>
      </x:c>
      <x:c r="L1600" t="str">
        <x:v>2026-09-08</x:v>
      </x:c>
      <x:c r="M1600" t="str"/>
      <x:c r="N1600" t="str"/>
      <x:c r="O1600" t="str">
        <x:v>https://www.activesportstrade.co.uk/project-ad-trade</x:v>
      </x:c>
      <x:c r="P1600" t="str"/>
      <x:c r="Q1600" t="str"/>
      <x:c r="R1600" t="str"/>
      <x:c r="S1600" t="str">
        <x:v>Pending genuine supplier/brand image</x:v>
      </x:c>
      <x:c r="T1600" s="54" t="n">
        <x:v>20.99</x:v>
      </x:c>
      <x:c r="U1600" s="47" t="n">
        <x:v>0.2</x:v>
      </x:c>
      <x:c r="V1600" s="54" t="n">
        <x:f>IF(ISNUMBER(T1600),T1600*(1+U1600),"")</x:f>
        <x:v>25.188</x:v>
      </x:c>
      <x:c r="W1600" s="47" t="n">
        <x:v>0.3</x:v>
      </x:c>
      <x:c r="X1600" s="54" t="n">
        <x:f>IF(ISNUMBER(V1600),V1600/(1-W1600),"")</x:f>
        <x:v>35.98285714285714</x:v>
      </x:c>
      <x:c r="Y1600" s="55" t="n">
        <x:f>IF(ISNUMBER(X1600),ROUNDUP(X1600,0),"")</x:f>
        <x:v>36</x:v>
      </x:c>
      <x:c r="Z1600" t="str">
        <x:v>Source match pending</x:v>
      </x:c>
      <x:c r="AA1600" t="str">
        <x:v>screencapture-www-activesportstrade-co-uk-project-ad-trade-2026-09-09-18_49_49.png / page-001</x:v>
      </x:c>
      <x:c r="AB1600" s="36" t="n">
        <x:f>IF(ISNUMBER(Y1600),ROUND(Y1600*0.9,2),"")</x:f>
        <x:v>32.4</x:v>
      </x:c>
      <x:c r="AC1600" s="36" t="n">
        <x:f>IF(ISNUMBER(AB1600),ROUND(AB1600-(AB1600*0.015+0.2)-V1600,2),"")</x:f>
        <x:v>6.53</x:v>
      </x:c>
      <x:c r="AD1600" s="36" t="n">
        <x:f>IF(ISNUMBER(Y1600),ROUND(Y1600*0.8,2),"")</x:f>
        <x:v>28.8</x:v>
      </x:c>
      <x:c r="AE1600" s="36" t="n">
        <x:f>IF(ISNUMBER(AD1600),ROUND(AD1600*0.015+0.2,2),"")</x:f>
        <x:v>0.63</x:v>
      </x:c>
      <x:c r="AF1600" s="36" t="n">
        <x:f>IF(ISNUMBER(AD1600),ROUND(AD1600-AE1600-V1600,2),"")</x:f>
        <x:v>2.98</x:v>
      </x:c>
      <x:c r="AG1600" t="str">
        <x:f>IF(NOT(ISNUMBER(T1600)),"PENDING",IF(AF1600&gt;0,"PASS","FAIL"))</x:f>
        <x:v>PASS</x:v>
      </x:c>
      <x:c r="AH1600" t="str">
        <x:f>IF(NOT(ISNUMBER(T1600)),"Needs supplier cost",IF(K1600&lt;&gt;"In stock","Supplier unavailable",IF(AG1600&lt;&gt;"PASS","BLOCK - GT loss risk","Commercially protected")))</x:f>
        <x:v>Supplier unavailable</x:v>
      </x:c>
      <x:c r="AI1600" t="str">
        <x:v>2026-09-10 Active Sports trade capture</x:v>
      </x:c>
      <x:c r="AJ1600" t="str">
        <x:v>Management-only economics. Stripe stress test uses 1.5% + £0.20 standard UK online-card fee; pallet/mix-and-match pricing ignored.</x:v>
      </x:c>
    </x:row>
    <x:row r="1601">
      <x:c r="A1601" t="str">
        <x:v>Active Sports Nutrition</x:v>
      </x:c>
      <x:c r="B1601" t="str">
        <x:v>Project AD</x:v>
      </x:c>
      <x:c r="C1601" t="str">
        <x:v>Aminotaur Essential</x:v>
      </x:c>
      <x:c r="D1601" t="str">
        <x:v>Supplements</x:v>
      </x:c>
      <x:c r="E1601" t="str">
        <x:v>Amino Acids</x:v>
      </x:c>
      <x:c r="F1601" t="str"/>
      <x:c r="G1601" t="str">
        <x:v>30 servings</x:v>
      </x:c>
      <x:c r="H1601" t="str">
        <x:v>Sour Apple</x:v>
      </x:c>
      <x:c r="I1601" t="str"/>
      <x:c r="J1601" t="str">
        <x:v>Unit</x:v>
      </x:c>
      <x:c r="K1601" t="str">
        <x:v>In stock</x:v>
      </x:c>
      <x:c r="L1601" t="str">
        <x:v>2026-09-08</x:v>
      </x:c>
      <x:c r="M1601" t="str"/>
      <x:c r="N1601" t="str"/>
      <x:c r="O1601" t="str">
        <x:v>https://www.activesportstrade.co.uk/project-ad-trade</x:v>
      </x:c>
      <x:c r="P1601" t="str"/>
      <x:c r="Q1601" t="str"/>
      <x:c r="R1601" t="str"/>
      <x:c r="S1601" t="str">
        <x:v>Pending genuine supplier/brand image</x:v>
      </x:c>
      <x:c r="T1601" s="54" t="n">
        <x:v>20.99</x:v>
      </x:c>
      <x:c r="U1601" s="47" t="n">
        <x:v>0.2</x:v>
      </x:c>
      <x:c r="V1601" s="54" t="n">
        <x:f>IF(ISNUMBER(T1601),T1601*(1+U1601),"")</x:f>
        <x:v>25.188</x:v>
      </x:c>
      <x:c r="W1601" s="47" t="n">
        <x:v>0.3</x:v>
      </x:c>
      <x:c r="X1601" s="54" t="n">
        <x:f>IF(ISNUMBER(V1601),V1601/(1-W1601),"")</x:f>
        <x:v>35.98285714285714</x:v>
      </x:c>
      <x:c r="Y1601" s="55" t="n">
        <x:f>IF(ISNUMBER(X1601),ROUNDUP(X1601,0),"")</x:f>
        <x:v>36</x:v>
      </x:c>
      <x:c r="Z1601" t="str">
        <x:v>Source match pending</x:v>
      </x:c>
      <x:c r="AA1601" t="str">
        <x:v>screencapture-www-activesportstrade-co-uk-project-ad-trade-2026-09-09-18_49_49.png / page-001</x:v>
      </x:c>
      <x:c r="AB1601" s="36" t="n">
        <x:f>IF(ISNUMBER(Y1601),ROUND(Y1601*0.9,2),"")</x:f>
        <x:v>32.4</x:v>
      </x:c>
      <x:c r="AC1601" s="36" t="n">
        <x:f>IF(ISNUMBER(AB1601),ROUND(AB1601-(AB1601*0.015+0.2)-V1601,2),"")</x:f>
        <x:v>6.53</x:v>
      </x:c>
      <x:c r="AD1601" s="36" t="n">
        <x:f>IF(ISNUMBER(Y1601),ROUND(Y1601*0.8,2),"")</x:f>
        <x:v>28.8</x:v>
      </x:c>
      <x:c r="AE1601" s="36" t="n">
        <x:f>IF(ISNUMBER(AD1601),ROUND(AD1601*0.015+0.2,2),"")</x:f>
        <x:v>0.63</x:v>
      </x:c>
      <x:c r="AF1601" s="36" t="n">
        <x:f>IF(ISNUMBER(AD1601),ROUND(AD1601-AE1601-V1601,2),"")</x:f>
        <x:v>2.98</x:v>
      </x:c>
      <x:c r="AG1601" t="str">
        <x:f>IF(NOT(ISNUMBER(T1601)),"PENDING",IF(AF1601&gt;0,"PASS","FAIL"))</x:f>
        <x:v>PASS</x:v>
      </x:c>
      <x:c r="AH1601" t="str">
        <x:f>IF(NOT(ISNUMBER(T1601)),"Needs supplier cost",IF(K1601&lt;&gt;"In stock","Supplier unavailable",IF(AG1601&lt;&gt;"PASS","BLOCK - GT loss risk","Commercially protected")))</x:f>
        <x:v>Commercially protected</x:v>
      </x:c>
      <x:c r="AI1601" t="str">
        <x:v>2026-09-10 Active Sports trade capture</x:v>
      </x:c>
      <x:c r="AJ1601" t="str">
        <x:v>Management-only economics. Stripe stress test uses 1.5% + £0.20 standard UK online-card fee; pallet/mix-and-match pricing ignored.</x:v>
      </x:c>
    </x:row>
    <x:row r="1602">
      <x:c r="A1602" t="str">
        <x:v>Active Sports Nutrition</x:v>
      </x:c>
      <x:c r="B1602" t="str">
        <x:v>Project AD</x:v>
      </x:c>
      <x:c r="C1602" t="str">
        <x:v>Aminotaur Essential</x:v>
      </x:c>
      <x:c r="D1602" t="str">
        <x:v>Supplements</x:v>
      </x:c>
      <x:c r="E1602" t="str">
        <x:v>Amino Acids</x:v>
      </x:c>
      <x:c r="F1602" t="str"/>
      <x:c r="G1602" t="str">
        <x:v>30 servings</x:v>
      </x:c>
      <x:c r="H1602" t="str">
        <x:v>Strawberry Lemonade</x:v>
      </x:c>
      <x:c r="I1602" t="str"/>
      <x:c r="J1602" t="str">
        <x:v>Unit</x:v>
      </x:c>
      <x:c r="K1602" t="str">
        <x:v>Out of stock</x:v>
      </x:c>
      <x:c r="L1602" t="str">
        <x:v>2026-09-08</x:v>
      </x:c>
      <x:c r="M1602" t="str"/>
      <x:c r="N1602" t="str"/>
      <x:c r="O1602" t="str">
        <x:v>https://www.activesportstrade.co.uk/project-ad-trade</x:v>
      </x:c>
      <x:c r="P1602" t="str"/>
      <x:c r="Q1602" t="str"/>
      <x:c r="R1602" t="str"/>
      <x:c r="S1602" t="str">
        <x:v>Pending genuine supplier/brand image</x:v>
      </x:c>
      <x:c r="T1602" s="54" t="n">
        <x:v>20.99</x:v>
      </x:c>
      <x:c r="U1602" s="47" t="n">
        <x:v>0.2</x:v>
      </x:c>
      <x:c r="V1602" s="54" t="n">
        <x:f>IF(ISNUMBER(T1602),T1602*(1+U1602),"")</x:f>
        <x:v>25.188</x:v>
      </x:c>
      <x:c r="W1602" s="47" t="n">
        <x:v>0.3</x:v>
      </x:c>
      <x:c r="X1602" s="54" t="n">
        <x:f>IF(ISNUMBER(V1602),V1602/(1-W1602),"")</x:f>
        <x:v>35.98285714285714</x:v>
      </x:c>
      <x:c r="Y1602" s="55" t="n">
        <x:f>IF(ISNUMBER(X1602),ROUNDUP(X1602,0),"")</x:f>
        <x:v>36</x:v>
      </x:c>
      <x:c r="Z1602" t="str">
        <x:v>Source match pending</x:v>
      </x:c>
      <x:c r="AA1602" t="str">
        <x:v>screencapture-www-activesportstrade-co-uk-project-ad-trade-2026-09-09-18_49_49.png / page-001</x:v>
      </x:c>
      <x:c r="AB1602" s="36" t="n">
        <x:f>IF(ISNUMBER(Y1602),ROUND(Y1602*0.9,2),"")</x:f>
        <x:v>32.4</x:v>
      </x:c>
      <x:c r="AC1602" s="36" t="n">
        <x:f>IF(ISNUMBER(AB1602),ROUND(AB1602-(AB1602*0.015+0.2)-V1602,2),"")</x:f>
        <x:v>6.53</x:v>
      </x:c>
      <x:c r="AD1602" s="36" t="n">
        <x:f>IF(ISNUMBER(Y1602),ROUND(Y1602*0.8,2),"")</x:f>
        <x:v>28.8</x:v>
      </x:c>
      <x:c r="AE1602" s="36" t="n">
        <x:f>IF(ISNUMBER(AD1602),ROUND(AD1602*0.015+0.2,2),"")</x:f>
        <x:v>0.63</x:v>
      </x:c>
      <x:c r="AF1602" s="36" t="n">
        <x:f>IF(ISNUMBER(AD1602),ROUND(AD1602-AE1602-V1602,2),"")</x:f>
        <x:v>2.98</x:v>
      </x:c>
      <x:c r="AG1602" t="str">
        <x:f>IF(NOT(ISNUMBER(T1602)),"PENDING",IF(AF1602&gt;0,"PASS","FAIL"))</x:f>
        <x:v>PASS</x:v>
      </x:c>
      <x:c r="AH1602" t="str">
        <x:f>IF(NOT(ISNUMBER(T1602)),"Needs supplier cost",IF(K1602&lt;&gt;"In stock","Supplier unavailable",IF(AG1602&lt;&gt;"PASS","BLOCK - GT loss risk","Commercially protected")))</x:f>
        <x:v>Supplier unavailable</x:v>
      </x:c>
      <x:c r="AI1602" t="str">
        <x:v>2026-09-10 Active Sports trade capture</x:v>
      </x:c>
      <x:c r="AJ1602" t="str">
        <x:v>Management-only economics. Stripe stress test uses 1.5% + £0.20 standard UK online-card fee; pallet/mix-and-match pricing ignored.</x:v>
      </x:c>
    </x:row>
    <x:row r="1603">
      <x:c r="A1603" t="str">
        <x:v>Active Sports Nutrition</x:v>
      </x:c>
      <x:c r="B1603" t="str">
        <x:v>Project AD</x:v>
      </x:c>
      <x:c r="C1603" t="str">
        <x:v>Estro Pro +</x:v>
      </x:c>
      <x:c r="D1603" t="str">
        <x:v>Supplements</x:v>
      </x:c>
      <x:c r="E1603" t="str">
        <x:v>Testosterone Boosters</x:v>
      </x:c>
      <x:c r="F1603" t="str"/>
      <x:c r="G1603" t="str">
        <x:v>90 caps</x:v>
      </x:c>
      <x:c r="H1603" t="str">
        <x:v>Default</x:v>
      </x:c>
      <x:c r="I1603" t="str"/>
      <x:c r="J1603" t="str">
        <x:v>Unit</x:v>
      </x:c>
      <x:c r="K1603" t="str">
        <x:v>In stock</x:v>
      </x:c>
      <x:c r="L1603" t="str">
        <x:v>2026-09-08</x:v>
      </x:c>
      <x:c r="M1603" t="str"/>
      <x:c r="N1603" t="str"/>
      <x:c r="O1603" t="str">
        <x:v>https://www.activesportstrade.co.uk/project-ad-trade</x:v>
      </x:c>
      <x:c r="P1603" t="str"/>
      <x:c r="Q1603" t="str"/>
      <x:c r="R1603" t="str"/>
      <x:c r="S1603" t="str">
        <x:v>Pending genuine supplier/brand image</x:v>
      </x:c>
      <x:c r="T1603" s="54" t="n">
        <x:v>21.99</x:v>
      </x:c>
      <x:c r="U1603" s="47" t="n">
        <x:v>0.2</x:v>
      </x:c>
      <x:c r="V1603" s="54" t="n">
        <x:f>IF(ISNUMBER(T1603),T1603*(1+U1603),"")</x:f>
        <x:v>26.387999999999998</x:v>
      </x:c>
      <x:c r="W1603" s="47" t="n">
        <x:v>0.3</x:v>
      </x:c>
      <x:c r="X1603" s="54" t="n">
        <x:f>IF(ISNUMBER(V1603),V1603/(1-W1603),"")</x:f>
        <x:v>37.69714285714286</x:v>
      </x:c>
      <x:c r="Y1603" s="55" t="n">
        <x:f>IF(ISNUMBER(X1603),ROUNDUP(X1603,0),"")</x:f>
        <x:v>38</x:v>
      </x:c>
      <x:c r="Z1603" t="str">
        <x:v>Source match pending</x:v>
      </x:c>
      <x:c r="AA1603" t="str">
        <x:v>screencapture-www-activesportstrade-co-uk-project-ad-trade-2026-09-09-18_49_49.png / page-001</x:v>
      </x:c>
      <x:c r="AB1603" s="36" t="n">
        <x:f>IF(ISNUMBER(Y1603),ROUND(Y1603*0.9,2),"")</x:f>
        <x:v>34.2</x:v>
      </x:c>
      <x:c r="AC1603" s="36" t="n">
        <x:f>IF(ISNUMBER(AB1603),ROUND(AB1603-(AB1603*0.015+0.2)-V1603,2),"")</x:f>
        <x:v>7.1</x:v>
      </x:c>
      <x:c r="AD1603" s="36" t="n">
        <x:f>IF(ISNUMBER(Y1603),ROUND(Y1603*0.8,2),"")</x:f>
        <x:v>30.4</x:v>
      </x:c>
      <x:c r="AE1603" s="36" t="n">
        <x:f>IF(ISNUMBER(AD1603),ROUND(AD1603*0.015+0.2,2),"")</x:f>
        <x:v>0.66</x:v>
      </x:c>
      <x:c r="AF1603" s="36" t="n">
        <x:f>IF(ISNUMBER(AD1603),ROUND(AD1603-AE1603-V1603,2),"")</x:f>
        <x:v>3.35</x:v>
      </x:c>
      <x:c r="AG1603" t="str">
        <x:f>IF(NOT(ISNUMBER(T1603)),"PENDING",IF(AF1603&gt;0,"PASS","FAIL"))</x:f>
        <x:v>PASS</x:v>
      </x:c>
      <x:c r="AH1603" t="str">
        <x:f>IF(NOT(ISNUMBER(T1603)),"Needs supplier cost",IF(K1603&lt;&gt;"In stock","Supplier unavailable",IF(AG1603&lt;&gt;"PASS","BLOCK - GT loss risk","Commercially protected")))</x:f>
        <x:v>Commercially protected</x:v>
      </x:c>
      <x:c r="AI1603" t="str">
        <x:v>2026-09-10 Active Sports trade capture</x:v>
      </x:c>
      <x:c r="AJ1603" t="str">
        <x:v>Management-only economics. Stripe stress test uses 1.5% + £0.20 standard UK online-card fee; pallet/mix-and-match pricing ignored.</x:v>
      </x:c>
    </x:row>
    <x:row r="1604">
      <x:c r="A1604" t="str">
        <x:v>Active Sports Nutrition</x:v>
      </x:c>
      <x:c r="B1604" t="str">
        <x:v>Project AD</x:v>
      </x:c>
      <x:c r="C1604" t="str">
        <x:v>Fiber +</x:v>
      </x:c>
      <x:c r="D1604" t="str">
        <x:v>Supplements</x:v>
      </x:c>
      <x:c r="E1604" t="str">
        <x:v>Health Foods</x:v>
      </x:c>
      <x:c r="F1604" t="str"/>
      <x:c r="G1604" t="str">
        <x:v>30 servings</x:v>
      </x:c>
      <x:c r="H1604" t="str">
        <x:v>Mango Crush</x:v>
      </x:c>
      <x:c r="I1604" t="str"/>
      <x:c r="J1604" t="str">
        <x:v>Unit</x:v>
      </x:c>
      <x:c r="K1604" t="str">
        <x:v>In stock</x:v>
      </x:c>
      <x:c r="L1604" t="str">
        <x:v>2026-09-08</x:v>
      </x:c>
      <x:c r="M1604" t="str"/>
      <x:c r="N1604" t="str"/>
      <x:c r="O1604" t="str">
        <x:v>https://www.activesportstrade.co.uk/project-ad-trade</x:v>
      </x:c>
      <x:c r="P1604" t="str"/>
      <x:c r="Q1604" t="str"/>
      <x:c r="R1604" t="str"/>
      <x:c r="S1604" t="str">
        <x:v>Pending genuine supplier/brand image</x:v>
      </x:c>
      <x:c r="T1604" s="54" t="n">
        <x:v>19.99</x:v>
      </x:c>
      <x:c r="U1604" s="47" t="n">
        <x:v>0.2</x:v>
      </x:c>
      <x:c r="V1604" s="54" t="n">
        <x:f>IF(ISNUMBER(T1604),T1604*(1+U1604),"")</x:f>
        <x:v>23.987999999999996</x:v>
      </x:c>
      <x:c r="W1604" s="47" t="n">
        <x:v>0.3</x:v>
      </x:c>
      <x:c r="X1604" s="54" t="n">
        <x:f>IF(ISNUMBER(V1604),V1604/(1-W1604),"")</x:f>
        <x:v>34.26857142857143</x:v>
      </x:c>
      <x:c r="Y1604" s="55" t="n">
        <x:f>IF(ISNUMBER(X1604),ROUNDUP(X1604,0),"")</x:f>
        <x:v>35</x:v>
      </x:c>
      <x:c r="Z1604" t="str">
        <x:v>Source match pending</x:v>
      </x:c>
      <x:c r="AA1604" t="str">
        <x:v>screencapture-www-activesportstrade-co-uk-project-ad-trade-2026-09-09-18_49_49.png / page-001</x:v>
      </x:c>
      <x:c r="AB1604" s="36" t="n">
        <x:f>IF(ISNUMBER(Y1604),ROUND(Y1604*0.9,2),"")</x:f>
        <x:v>31.5</x:v>
      </x:c>
      <x:c r="AC1604" s="36" t="n">
        <x:f>IF(ISNUMBER(AB1604),ROUND(AB1604-(AB1604*0.015+0.2)-V1604,2),"")</x:f>
        <x:v>6.84</x:v>
      </x:c>
      <x:c r="AD1604" s="36" t="n">
        <x:f>IF(ISNUMBER(Y1604),ROUND(Y1604*0.8,2),"")</x:f>
        <x:v>28</x:v>
      </x:c>
      <x:c r="AE1604" s="36" t="n">
        <x:f>IF(ISNUMBER(AD1604),ROUND(AD1604*0.015+0.2,2),"")</x:f>
        <x:v>0.62</x:v>
      </x:c>
      <x:c r="AF1604" s="36" t="n">
        <x:f>IF(ISNUMBER(AD1604),ROUND(AD1604-AE1604-V1604,2),"")</x:f>
        <x:v>3.39</x:v>
      </x:c>
      <x:c r="AG1604" t="str">
        <x:f>IF(NOT(ISNUMBER(T1604)),"PENDING",IF(AF1604&gt;0,"PASS","FAIL"))</x:f>
        <x:v>PASS</x:v>
      </x:c>
      <x:c r="AH1604" t="str">
        <x:f>IF(NOT(ISNUMBER(T1604)),"Needs supplier cost",IF(K1604&lt;&gt;"In stock","Supplier unavailable",IF(AG1604&lt;&gt;"PASS","BLOCK - GT loss risk","Commercially protected")))</x:f>
        <x:v>Commercially protected</x:v>
      </x:c>
      <x:c r="AI1604" t="str">
        <x:v>2026-09-10 Active Sports trade capture</x:v>
      </x:c>
      <x:c r="AJ1604" t="str">
        <x:v>Management-only economics. Stripe stress test uses 1.5% + £0.20 standard UK online-card fee; pallet/mix-and-match pricing ignored.</x:v>
      </x:c>
    </x:row>
    <x:row r="1605">
      <x:c r="A1605" t="str">
        <x:v>Active Sports Nutrition</x:v>
      </x:c>
      <x:c r="B1605" t="str">
        <x:v>Project AD</x:v>
      </x:c>
      <x:c r="C1605" t="str">
        <x:v>Fiber +</x:v>
      </x:c>
      <x:c r="D1605" t="str">
        <x:v>Supplements</x:v>
      </x:c>
      <x:c r="E1605" t="str">
        <x:v>Health Foods</x:v>
      </x:c>
      <x:c r="F1605" t="str"/>
      <x:c r="G1605" t="str">
        <x:v>30 servings</x:v>
      </x:c>
      <x:c r="H1605" t="str">
        <x:v>Strawberry Banana</x:v>
      </x:c>
      <x:c r="I1605" t="str"/>
      <x:c r="J1605" t="str">
        <x:v>Unit</x:v>
      </x:c>
      <x:c r="K1605" t="str">
        <x:v>In stock</x:v>
      </x:c>
      <x:c r="L1605" t="str">
        <x:v>2026-09-08</x:v>
      </x:c>
      <x:c r="M1605" t="str"/>
      <x:c r="N1605" t="str"/>
      <x:c r="O1605" t="str">
        <x:v>https://www.activesportstrade.co.uk/project-ad-trade</x:v>
      </x:c>
      <x:c r="P1605" t="str"/>
      <x:c r="Q1605" t="str"/>
      <x:c r="R1605" t="str"/>
      <x:c r="S1605" t="str">
        <x:v>Pending genuine supplier/brand image</x:v>
      </x:c>
      <x:c r="T1605" s="54" t="n">
        <x:v>19.99</x:v>
      </x:c>
      <x:c r="U1605" s="47" t="n">
        <x:v>0.2</x:v>
      </x:c>
      <x:c r="V1605" s="54" t="n">
        <x:f>IF(ISNUMBER(T1605),T1605*(1+U1605),"")</x:f>
        <x:v>23.987999999999996</x:v>
      </x:c>
      <x:c r="W1605" s="47" t="n">
        <x:v>0.3</x:v>
      </x:c>
      <x:c r="X1605" s="54" t="n">
        <x:f>IF(ISNUMBER(V1605),V1605/(1-W1605),"")</x:f>
        <x:v>34.26857142857143</x:v>
      </x:c>
      <x:c r="Y1605" s="55" t="n">
        <x:f>IF(ISNUMBER(X1605),ROUNDUP(X1605,0),"")</x:f>
        <x:v>35</x:v>
      </x:c>
      <x:c r="Z1605" t="str">
        <x:v>Source match pending</x:v>
      </x:c>
      <x:c r="AA1605" t="str">
        <x:v>screencapture-www-activesportstrade-co-uk-project-ad-trade-2026-09-09-18_49_49.png / page-001</x:v>
      </x:c>
      <x:c r="AB1605" s="36" t="n">
        <x:f>IF(ISNUMBER(Y1605),ROUND(Y1605*0.9,2),"")</x:f>
        <x:v>31.5</x:v>
      </x:c>
      <x:c r="AC1605" s="36" t="n">
        <x:f>IF(ISNUMBER(AB1605),ROUND(AB1605-(AB1605*0.015+0.2)-V1605,2),"")</x:f>
        <x:v>6.84</x:v>
      </x:c>
      <x:c r="AD1605" s="36" t="n">
        <x:f>IF(ISNUMBER(Y1605),ROUND(Y1605*0.8,2),"")</x:f>
        <x:v>28</x:v>
      </x:c>
      <x:c r="AE1605" s="36" t="n">
        <x:f>IF(ISNUMBER(AD1605),ROUND(AD1605*0.015+0.2,2),"")</x:f>
        <x:v>0.62</x:v>
      </x:c>
      <x:c r="AF1605" s="36" t="n">
        <x:f>IF(ISNUMBER(AD1605),ROUND(AD1605-AE1605-V1605,2),"")</x:f>
        <x:v>3.39</x:v>
      </x:c>
      <x:c r="AG1605" t="str">
        <x:f>IF(NOT(ISNUMBER(T1605)),"PENDING",IF(AF1605&gt;0,"PASS","FAIL"))</x:f>
        <x:v>PASS</x:v>
      </x:c>
      <x:c r="AH1605" t="str">
        <x:f>IF(NOT(ISNUMBER(T1605)),"Needs supplier cost",IF(K1605&lt;&gt;"In stock","Supplier unavailable",IF(AG1605&lt;&gt;"PASS","BLOCK - GT loss risk","Commercially protected")))</x:f>
        <x:v>Commercially protected</x:v>
      </x:c>
      <x:c r="AI1605" t="str">
        <x:v>2026-09-10 Active Sports trade capture</x:v>
      </x:c>
      <x:c r="AJ1605" t="str">
        <x:v>Management-only economics. Stripe stress test uses 1.5% + £0.20 standard UK online-card fee; pallet/mix-and-match pricing ignored.</x:v>
      </x:c>
    </x:row>
    <x:row r="1606">
      <x:c r="A1606" t="str">
        <x:v>Active Sports Nutrition</x:v>
      </x:c>
      <x:c r="B1606" t="str">
        <x:v>Project AD</x:v>
      </x:c>
      <x:c r="C1606" t="str">
        <x:v>Fiber +</x:v>
      </x:c>
      <x:c r="D1606" t="str">
        <x:v>Supplements</x:v>
      </x:c>
      <x:c r="E1606" t="str">
        <x:v>Health Foods</x:v>
      </x:c>
      <x:c r="F1606" t="str"/>
      <x:c r="G1606" t="str">
        <x:v>30 servings</x:v>
      </x:c>
      <x:c r="H1606" t="str">
        <x:v>Swiss Chocolate</x:v>
      </x:c>
      <x:c r="I1606" t="str"/>
      <x:c r="J1606" t="str">
        <x:v>Unit</x:v>
      </x:c>
      <x:c r="K1606" t="str">
        <x:v>Out of stock</x:v>
      </x:c>
      <x:c r="L1606" t="str">
        <x:v>2026-09-08</x:v>
      </x:c>
      <x:c r="M1606" t="str"/>
      <x:c r="N1606" t="str"/>
      <x:c r="O1606" t="str">
        <x:v>https://www.activesportstrade.co.uk/project-ad-trade</x:v>
      </x:c>
      <x:c r="P1606" t="str"/>
      <x:c r="Q1606" t="str"/>
      <x:c r="R1606" t="str"/>
      <x:c r="S1606" t="str">
        <x:v>Pending genuine supplier/brand image</x:v>
      </x:c>
      <x:c r="T1606" s="54" t="n">
        <x:v>19.99</x:v>
      </x:c>
      <x:c r="U1606" s="47" t="n">
        <x:v>0.2</x:v>
      </x:c>
      <x:c r="V1606" s="54" t="n">
        <x:f>IF(ISNUMBER(T1606),T1606*(1+U1606),"")</x:f>
        <x:v>23.987999999999996</x:v>
      </x:c>
      <x:c r="W1606" s="47" t="n">
        <x:v>0.3</x:v>
      </x:c>
      <x:c r="X1606" s="54" t="n">
        <x:f>IF(ISNUMBER(V1606),V1606/(1-W1606),"")</x:f>
        <x:v>34.26857142857143</x:v>
      </x:c>
      <x:c r="Y1606" s="55" t="n">
        <x:f>IF(ISNUMBER(X1606),ROUNDUP(X1606,0),"")</x:f>
        <x:v>35</x:v>
      </x:c>
      <x:c r="Z1606" t="str">
        <x:v>Source match pending</x:v>
      </x:c>
      <x:c r="AA1606" t="str">
        <x:v>screencapture-www-activesportstrade-co-uk-project-ad-trade-2026-09-09-18_49_49.png / page-001</x:v>
      </x:c>
      <x:c r="AB1606" s="36" t="n">
        <x:f>IF(ISNUMBER(Y1606),ROUND(Y1606*0.9,2),"")</x:f>
        <x:v>31.5</x:v>
      </x:c>
      <x:c r="AC1606" s="36" t="n">
        <x:f>IF(ISNUMBER(AB1606),ROUND(AB1606-(AB1606*0.015+0.2)-V1606,2),"")</x:f>
        <x:v>6.84</x:v>
      </x:c>
      <x:c r="AD1606" s="36" t="n">
        <x:f>IF(ISNUMBER(Y1606),ROUND(Y1606*0.8,2),"")</x:f>
        <x:v>28</x:v>
      </x:c>
      <x:c r="AE1606" s="36" t="n">
        <x:f>IF(ISNUMBER(AD1606),ROUND(AD1606*0.015+0.2,2),"")</x:f>
        <x:v>0.62</x:v>
      </x:c>
      <x:c r="AF1606" s="36" t="n">
        <x:f>IF(ISNUMBER(AD1606),ROUND(AD1606-AE1606-V1606,2),"")</x:f>
        <x:v>3.39</x:v>
      </x:c>
      <x:c r="AG1606" t="str">
        <x:f>IF(NOT(ISNUMBER(T1606)),"PENDING",IF(AF1606&gt;0,"PASS","FAIL"))</x:f>
        <x:v>PASS</x:v>
      </x:c>
      <x:c r="AH1606" t="str">
        <x:f>IF(NOT(ISNUMBER(T1606)),"Needs supplier cost",IF(K1606&lt;&gt;"In stock","Supplier unavailable",IF(AG1606&lt;&gt;"PASS","BLOCK - GT loss risk","Commercially protected")))</x:f>
        <x:v>Supplier unavailable</x:v>
      </x:c>
      <x:c r="AI1606" t="str">
        <x:v>2026-09-10 Active Sports trade capture</x:v>
      </x:c>
      <x:c r="AJ1606" t="str">
        <x:v>Management-only economics. Stripe stress test uses 1.5% + £0.20 standard UK online-card fee; pallet/mix-and-match pricing ignored.</x:v>
      </x:c>
    </x:row>
    <x:row r="1607">
      <x:c r="A1607" t="str">
        <x:v>Active Sports Nutrition</x:v>
      </x:c>
      <x:c r="B1607" t="str">
        <x:v>Project AD</x:v>
      </x:c>
      <x:c r="C1607" t="str">
        <x:v>Good Mornin Gut Performance</x:v>
      </x:c>
      <x:c r="D1607" t="str">
        <x:v>Supplements</x:v>
      </x:c>
      <x:c r="E1607" t="str">
        <x:v>Health Foods</x:v>
      </x:c>
      <x:c r="F1607" t="str"/>
      <x:c r="G1607" t="str">
        <x:v>24 servings</x:v>
      </x:c>
      <x:c r="H1607" t="str">
        <x:v>Fresh Pressed OJ</x:v>
      </x:c>
      <x:c r="I1607" t="str"/>
      <x:c r="J1607" t="str">
        <x:v>Unit</x:v>
      </x:c>
      <x:c r="K1607" t="str">
        <x:v>In stock</x:v>
      </x:c>
      <x:c r="L1607" t="str">
        <x:v>2026-09-08</x:v>
      </x:c>
      <x:c r="M1607" t="str"/>
      <x:c r="N1607" t="str"/>
      <x:c r="O1607" t="str">
        <x:v>https://www.activesportstrade.co.uk/project-ad-trade</x:v>
      </x:c>
      <x:c r="P1607" t="str"/>
      <x:c r="Q1607" t="str"/>
      <x:c r="R1607" t="str"/>
      <x:c r="S1607" t="str">
        <x:v>Pending genuine supplier/brand image</x:v>
      </x:c>
      <x:c r="T1607" s="54" t="n">
        <x:v>19.99</x:v>
      </x:c>
      <x:c r="U1607" s="47" t="n">
        <x:v>0.2</x:v>
      </x:c>
      <x:c r="V1607" s="54" t="n">
        <x:f>IF(ISNUMBER(T1607),T1607*(1+U1607),"")</x:f>
        <x:v>23.987999999999996</x:v>
      </x:c>
      <x:c r="W1607" s="47" t="n">
        <x:v>0.3</x:v>
      </x:c>
      <x:c r="X1607" s="54" t="n">
        <x:f>IF(ISNUMBER(V1607),V1607/(1-W1607),"")</x:f>
        <x:v>34.26857142857143</x:v>
      </x:c>
      <x:c r="Y1607" s="55" t="n">
        <x:f>IF(ISNUMBER(X1607),ROUNDUP(X1607,0),"")</x:f>
        <x:v>35</x:v>
      </x:c>
      <x:c r="Z1607" t="str">
        <x:v>Source match pending</x:v>
      </x:c>
      <x:c r="AA1607" t="str">
        <x:v>screencapture-www-activesportstrade-co-uk-project-ad-trade-2026-09-09-18_49_49.png / page-001</x:v>
      </x:c>
      <x:c r="AB1607" s="36" t="n">
        <x:f>IF(ISNUMBER(Y1607),ROUND(Y1607*0.9,2),"")</x:f>
        <x:v>31.5</x:v>
      </x:c>
      <x:c r="AC1607" s="36" t="n">
        <x:f>IF(ISNUMBER(AB1607),ROUND(AB1607-(AB1607*0.015+0.2)-V1607,2),"")</x:f>
        <x:v>6.84</x:v>
      </x:c>
      <x:c r="AD1607" s="36" t="n">
        <x:f>IF(ISNUMBER(Y1607),ROUND(Y1607*0.8,2),"")</x:f>
        <x:v>28</x:v>
      </x:c>
      <x:c r="AE1607" s="36" t="n">
        <x:f>IF(ISNUMBER(AD1607),ROUND(AD1607*0.015+0.2,2),"")</x:f>
        <x:v>0.62</x:v>
      </x:c>
      <x:c r="AF1607" s="36" t="n">
        <x:f>IF(ISNUMBER(AD1607),ROUND(AD1607-AE1607-V1607,2),"")</x:f>
        <x:v>3.39</x:v>
      </x:c>
      <x:c r="AG1607" t="str">
        <x:f>IF(NOT(ISNUMBER(T1607)),"PENDING",IF(AF1607&gt;0,"PASS","FAIL"))</x:f>
        <x:v>PASS</x:v>
      </x:c>
      <x:c r="AH1607" t="str">
        <x:f>IF(NOT(ISNUMBER(T1607)),"Needs supplier cost",IF(K1607&lt;&gt;"In stock","Supplier unavailable",IF(AG1607&lt;&gt;"PASS","BLOCK - GT loss risk","Commercially protected")))</x:f>
        <x:v>Commercially protected</x:v>
      </x:c>
      <x:c r="AI1607" t="str">
        <x:v>2026-09-10 Active Sports trade capture</x:v>
      </x:c>
      <x:c r="AJ1607" t="str">
        <x:v>Management-only economics. Stripe stress test uses 1.5% + £0.20 standard UK online-card fee; pallet/mix-and-match pricing ignored.</x:v>
      </x:c>
    </x:row>
    <x:row r="1608">
      <x:c r="A1608" t="str">
        <x:v>Active Sports Nutrition</x:v>
      </x:c>
      <x:c r="B1608" t="str">
        <x:v>Project AD</x:v>
      </x:c>
      <x:c r="C1608" t="str">
        <x:v>Good Mornin Gut Performance</x:v>
      </x:c>
      <x:c r="D1608" t="str">
        <x:v>Supplements</x:v>
      </x:c>
      <x:c r="E1608" t="str">
        <x:v>Health Foods</x:v>
      </x:c>
      <x:c r="F1608" t="str"/>
      <x:c r="G1608" t="str">
        <x:v>24 servings</x:v>
      </x:c>
      <x:c r="H1608" t="str">
        <x:v>Summer Berries</x:v>
      </x:c>
      <x:c r="I1608" t="str"/>
      <x:c r="J1608" t="str">
        <x:v>Unit</x:v>
      </x:c>
      <x:c r="K1608" t="str">
        <x:v>In stock</x:v>
      </x:c>
      <x:c r="L1608" t="str">
        <x:v>2026-09-08</x:v>
      </x:c>
      <x:c r="M1608" t="str"/>
      <x:c r="N1608" t="str"/>
      <x:c r="O1608" t="str">
        <x:v>https://www.activesportstrade.co.uk/project-ad-trade</x:v>
      </x:c>
      <x:c r="P1608" t="str"/>
      <x:c r="Q1608" t="str"/>
      <x:c r="R1608" t="str"/>
      <x:c r="S1608" t="str">
        <x:v>Pending genuine supplier/brand image</x:v>
      </x:c>
      <x:c r="T1608" s="54" t="n">
        <x:v>19.99</x:v>
      </x:c>
      <x:c r="U1608" s="47" t="n">
        <x:v>0.2</x:v>
      </x:c>
      <x:c r="V1608" s="54" t="n">
        <x:f>IF(ISNUMBER(T1608),T1608*(1+U1608),"")</x:f>
        <x:v>23.987999999999996</x:v>
      </x:c>
      <x:c r="W1608" s="47" t="n">
        <x:v>0.3</x:v>
      </x:c>
      <x:c r="X1608" s="54" t="n">
        <x:f>IF(ISNUMBER(V1608),V1608/(1-W1608),"")</x:f>
        <x:v>34.26857142857143</x:v>
      </x:c>
      <x:c r="Y1608" s="55" t="n">
        <x:f>IF(ISNUMBER(X1608),ROUNDUP(X1608,0),"")</x:f>
        <x:v>35</x:v>
      </x:c>
      <x:c r="Z1608" t="str">
        <x:v>Source match pending</x:v>
      </x:c>
      <x:c r="AA1608" t="str">
        <x:v>screencapture-www-activesportstrade-co-uk-project-ad-trade-2026-09-09-18_49_49.png / page-001</x:v>
      </x:c>
      <x:c r="AB1608" s="36" t="n">
        <x:f>IF(ISNUMBER(Y1608),ROUND(Y1608*0.9,2),"")</x:f>
        <x:v>31.5</x:v>
      </x:c>
      <x:c r="AC1608" s="36" t="n">
        <x:f>IF(ISNUMBER(AB1608),ROUND(AB1608-(AB1608*0.015+0.2)-V1608,2),"")</x:f>
        <x:v>6.84</x:v>
      </x:c>
      <x:c r="AD1608" s="36" t="n">
        <x:f>IF(ISNUMBER(Y1608),ROUND(Y1608*0.8,2),"")</x:f>
        <x:v>28</x:v>
      </x:c>
      <x:c r="AE1608" s="36" t="n">
        <x:f>IF(ISNUMBER(AD1608),ROUND(AD1608*0.015+0.2,2),"")</x:f>
        <x:v>0.62</x:v>
      </x:c>
      <x:c r="AF1608" s="36" t="n">
        <x:f>IF(ISNUMBER(AD1608),ROUND(AD1608-AE1608-V1608,2),"")</x:f>
        <x:v>3.39</x:v>
      </x:c>
      <x:c r="AG1608" t="str">
        <x:f>IF(NOT(ISNUMBER(T1608)),"PENDING",IF(AF1608&gt;0,"PASS","FAIL"))</x:f>
        <x:v>PASS</x:v>
      </x:c>
      <x:c r="AH1608" t="str">
        <x:f>IF(NOT(ISNUMBER(T1608)),"Needs supplier cost",IF(K1608&lt;&gt;"In stock","Supplier unavailable",IF(AG1608&lt;&gt;"PASS","BLOCK - GT loss risk","Commercially protected")))</x:f>
        <x:v>Commercially protected</x:v>
      </x:c>
      <x:c r="AI1608" t="str">
        <x:v>2026-09-10 Active Sports trade capture</x:v>
      </x:c>
      <x:c r="AJ1608" t="str">
        <x:v>Management-only economics. Stripe stress test uses 1.5% + £0.20 standard UK online-card fee; pallet/mix-and-match pricing ignored.</x:v>
      </x:c>
    </x:row>
    <x:row r="1609">
      <x:c r="A1609" t="str">
        <x:v>Active Sports Nutrition</x:v>
      </x:c>
      <x:c r="B1609" t="str">
        <x:v>Project AD</x:v>
      </x:c>
      <x:c r="C1609" t="str">
        <x:v>Matador</x:v>
      </x:c>
      <x:c r="D1609" t="str">
        <x:v>Supplements</x:v>
      </x:c>
      <x:c r="E1609" t="str">
        <x:v>Insulin Drivers</x:v>
      </x:c>
      <x:c r="F1609" t="str"/>
      <x:c r="G1609" t="str">
        <x:v>60 caps</x:v>
      </x:c>
      <x:c r="H1609" t="str">
        <x:v>Default</x:v>
      </x:c>
      <x:c r="I1609" t="str"/>
      <x:c r="J1609" t="str">
        <x:v>Unit</x:v>
      </x:c>
      <x:c r="K1609" t="str">
        <x:v>Out of stock</x:v>
      </x:c>
      <x:c r="L1609" t="str">
        <x:v>2026-09-08</x:v>
      </x:c>
      <x:c r="M1609" t="str"/>
      <x:c r="N1609" t="str"/>
      <x:c r="O1609" t="str">
        <x:v>https://www.activesportstrade.co.uk/project-ad-trade</x:v>
      </x:c>
      <x:c r="P1609" t="str"/>
      <x:c r="Q1609" t="str"/>
      <x:c r="R1609" t="str"/>
      <x:c r="S1609" t="str">
        <x:v>Pending genuine supplier/brand image</x:v>
      </x:c>
      <x:c r="T1609" s="54" t="n">
        <x:v>24.71</x:v>
      </x:c>
      <x:c r="U1609" s="47" t="n">
        <x:v>0.2</x:v>
      </x:c>
      <x:c r="V1609" s="54" t="n">
        <x:f>IF(ISNUMBER(T1609),T1609*(1+U1609),"")</x:f>
        <x:v>29.652</x:v>
      </x:c>
      <x:c r="W1609" s="47" t="n">
        <x:v>0.3</x:v>
      </x:c>
      <x:c r="X1609" s="54" t="n">
        <x:f>IF(ISNUMBER(V1609),V1609/(1-W1609),"")</x:f>
        <x:v>42.36000000000001</x:v>
      </x:c>
      <x:c r="Y1609" s="55" t="n">
        <x:f>IF(ISNUMBER(X1609),ROUNDUP(X1609,0),"")</x:f>
        <x:v>43</x:v>
      </x:c>
      <x:c r="Z1609" t="str">
        <x:v>Source match pending</x:v>
      </x:c>
      <x:c r="AA1609" t="str">
        <x:v>screencapture-www-activesportstrade-co-uk-project-ad-trade-2026-09-09-18_49_49.png / page-001</x:v>
      </x:c>
      <x:c r="AB1609" s="36" t="n">
        <x:f>IF(ISNUMBER(Y1609),ROUND(Y1609*0.9,2),"")</x:f>
        <x:v>38.7</x:v>
      </x:c>
      <x:c r="AC1609" s="36" t="n">
        <x:f>IF(ISNUMBER(AB1609),ROUND(AB1609-(AB1609*0.015+0.2)-V1609,2),"")</x:f>
        <x:v>8.27</x:v>
      </x:c>
      <x:c r="AD1609" s="36" t="n">
        <x:f>IF(ISNUMBER(Y1609),ROUND(Y1609*0.8,2),"")</x:f>
        <x:v>34.4</x:v>
      </x:c>
      <x:c r="AE1609" s="36" t="n">
        <x:f>IF(ISNUMBER(AD1609),ROUND(AD1609*0.015+0.2,2),"")</x:f>
        <x:v>0.72</x:v>
      </x:c>
      <x:c r="AF1609" s="36" t="n">
        <x:f>IF(ISNUMBER(AD1609),ROUND(AD1609-AE1609-V1609,2),"")</x:f>
        <x:v>4.03</x:v>
      </x:c>
      <x:c r="AG1609" t="str">
        <x:f>IF(NOT(ISNUMBER(T1609)),"PENDING",IF(AF1609&gt;0,"PASS","FAIL"))</x:f>
        <x:v>PASS</x:v>
      </x:c>
      <x:c r="AH1609" t="str">
        <x:f>IF(NOT(ISNUMBER(T1609)),"Needs supplier cost",IF(K1609&lt;&gt;"In stock","Supplier unavailable",IF(AG1609&lt;&gt;"PASS","BLOCK - GT loss risk","Commercially protected")))</x:f>
        <x:v>Supplier unavailable</x:v>
      </x:c>
      <x:c r="AI1609" t="str">
        <x:v>2026-09-10 Active Sports trade capture</x:v>
      </x:c>
      <x:c r="AJ1609" t="str">
        <x:v>Management-only economics. Stripe stress test uses 1.5% + £0.20 standard UK online-card fee; pallet/mix-and-match pricing ignored.</x:v>
      </x:c>
    </x:row>
    <x:row r="1610">
      <x:c r="A1610" t="str">
        <x:v>Active Sports Nutrition</x:v>
      </x:c>
      <x:c r="B1610" t="str">
        <x:v>Project AD</x:v>
      </x:c>
      <x:c r="C1610" t="str">
        <x:v>Ravenous</x:v>
      </x:c>
      <x:c r="D1610" t="str">
        <x:v>Supplements</x:v>
      </x:c>
      <x:c r="E1610" t="str">
        <x:v>Digestive Support</x:v>
      </x:c>
      <x:c r="F1610" t="str"/>
      <x:c r="G1610" t="str">
        <x:v>120 caps</x:v>
      </x:c>
      <x:c r="H1610" t="str">
        <x:v>Default</x:v>
      </x:c>
      <x:c r="I1610" t="str"/>
      <x:c r="J1610" t="str">
        <x:v>Unit</x:v>
      </x:c>
      <x:c r="K1610" t="str">
        <x:v>In stock</x:v>
      </x:c>
      <x:c r="L1610" t="str">
        <x:v>2026-09-08</x:v>
      </x:c>
      <x:c r="M1610" t="str"/>
      <x:c r="N1610" t="str"/>
      <x:c r="O1610" t="str">
        <x:v>https://www.activesportstrade.co.uk/project-ad-trade</x:v>
      </x:c>
      <x:c r="P1610" t="str"/>
      <x:c r="Q1610" t="str"/>
      <x:c r="R1610" t="str"/>
      <x:c r="S1610" t="str">
        <x:v>Pending genuine supplier/brand image</x:v>
      </x:c>
      <x:c r="T1610" s="54" t="n">
        <x:v>17.99</x:v>
      </x:c>
      <x:c r="U1610" s="47" t="n">
        <x:v>0.2</x:v>
      </x:c>
      <x:c r="V1610" s="54" t="n">
        <x:f>IF(ISNUMBER(T1610),T1610*(1+U1610),"")</x:f>
        <x:v>21.587999999999997</x:v>
      </x:c>
      <x:c r="W1610" s="47" t="n">
        <x:v>0.3</x:v>
      </x:c>
      <x:c r="X1610" s="54" t="n">
        <x:f>IF(ISNUMBER(V1610),V1610/(1-W1610),"")</x:f>
        <x:v>30.84</x:v>
      </x:c>
      <x:c r="Y1610" s="55" t="n">
        <x:f>IF(ISNUMBER(X1610),ROUNDUP(X1610,0),"")</x:f>
        <x:v>31</x:v>
      </x:c>
      <x:c r="Z1610" t="str">
        <x:v>Source match pending</x:v>
      </x:c>
      <x:c r="AA1610" t="str">
        <x:v>screencapture-www-activesportstrade-co-uk-project-ad-trade-2026-09-09-18_49_49.png / page-001</x:v>
      </x:c>
      <x:c r="AB1610" s="36" t="n">
        <x:f>IF(ISNUMBER(Y1610),ROUND(Y1610*0.9,2),"")</x:f>
        <x:v>27.9</x:v>
      </x:c>
      <x:c r="AC1610" s="36" t="n">
        <x:f>IF(ISNUMBER(AB1610),ROUND(AB1610-(AB1610*0.015+0.2)-V1610,2),"")</x:f>
        <x:v>5.69</x:v>
      </x:c>
      <x:c r="AD1610" s="36" t="n">
        <x:f>IF(ISNUMBER(Y1610),ROUND(Y1610*0.8,2),"")</x:f>
        <x:v>24.8</x:v>
      </x:c>
      <x:c r="AE1610" s="36" t="n">
        <x:f>IF(ISNUMBER(AD1610),ROUND(AD1610*0.015+0.2,2),"")</x:f>
        <x:v>0.57</x:v>
      </x:c>
      <x:c r="AF1610" s="36" t="n">
        <x:f>IF(ISNUMBER(AD1610),ROUND(AD1610-AE1610-V1610,2),"")</x:f>
        <x:v>2.64</x:v>
      </x:c>
      <x:c r="AG1610" t="str">
        <x:f>IF(NOT(ISNUMBER(T1610)),"PENDING",IF(AF1610&gt;0,"PASS","FAIL"))</x:f>
        <x:v>PASS</x:v>
      </x:c>
      <x:c r="AH1610" t="str">
        <x:f>IF(NOT(ISNUMBER(T1610)),"Needs supplier cost",IF(K1610&lt;&gt;"In stock","Supplier unavailable",IF(AG1610&lt;&gt;"PASS","BLOCK - GT loss risk","Commercially protected")))</x:f>
        <x:v>Commercially protected</x:v>
      </x:c>
      <x:c r="AI1610" t="str">
        <x:v>2026-09-10 Active Sports trade capture</x:v>
      </x:c>
      <x:c r="AJ1610" t="str">
        <x:v>Management-only economics. Stripe stress test uses 1.5% + £0.20 standard UK online-card fee; pallet/mix-and-match pricing ignored.</x:v>
      </x:c>
    </x:row>
    <x:row r="1611">
      <x:c r="A1611" t="str">
        <x:v>Active Sports Nutrition</x:v>
      </x:c>
      <x:c r="B1611" t="str">
        <x:v>Project AD</x:v>
      </x:c>
      <x:c r="C1611" t="str">
        <x:v>Shredabull</x:v>
      </x:c>
      <x:c r="D1611" t="str">
        <x:v>Supplements</x:v>
      </x:c>
      <x:c r="E1611" t="str">
        <x:v>Fat Burners</x:v>
      </x:c>
      <x:c r="F1611" t="str"/>
      <x:c r="G1611" t="str">
        <x:v>50 caps</x:v>
      </x:c>
      <x:c r="H1611" t="str">
        <x:v>Default</x:v>
      </x:c>
      <x:c r="I1611" t="str"/>
      <x:c r="J1611" t="str">
        <x:v>Unit</x:v>
      </x:c>
      <x:c r="K1611" t="str">
        <x:v>In stock</x:v>
      </x:c>
      <x:c r="L1611" t="str">
        <x:v>2026-09-08</x:v>
      </x:c>
      <x:c r="M1611" t="str"/>
      <x:c r="N1611" t="str"/>
      <x:c r="O1611" t="str">
        <x:v>https://www.activesportstrade.co.uk/project-ad-trade</x:v>
      </x:c>
      <x:c r="P1611" t="str"/>
      <x:c r="Q1611" t="str"/>
      <x:c r="R1611" t="str"/>
      <x:c r="S1611" t="str">
        <x:v>Pending genuine supplier/brand image</x:v>
      </x:c>
      <x:c r="T1611" s="54" t="n">
        <x:v>24.99</x:v>
      </x:c>
      <x:c r="U1611" s="47" t="n">
        <x:v>0.2</x:v>
      </x:c>
      <x:c r="V1611" s="54" t="n">
        <x:f>IF(ISNUMBER(T1611),T1611*(1+U1611),"")</x:f>
        <x:v>29.987999999999996</x:v>
      </x:c>
      <x:c r="W1611" s="47" t="n">
        <x:v>0.3</x:v>
      </x:c>
      <x:c r="X1611" s="54" t="n">
        <x:f>IF(ISNUMBER(V1611),V1611/(1-W1611),"")</x:f>
        <x:v>42.839999999999996</x:v>
      </x:c>
      <x:c r="Y1611" s="55" t="n">
        <x:f>IF(ISNUMBER(X1611),ROUNDUP(X1611,0),"")</x:f>
        <x:v>43</x:v>
      </x:c>
      <x:c r="Z1611" t="str">
        <x:v>Source match pending</x:v>
      </x:c>
      <x:c r="AA1611" t="str">
        <x:v>screencapture-www-activesportstrade-co-uk-project-ad-trade-2026-09-09-18_49_49.png / page-001</x:v>
      </x:c>
      <x:c r="AB1611" s="36" t="n">
        <x:f>IF(ISNUMBER(Y1611),ROUND(Y1611*0.9,2),"")</x:f>
        <x:v>38.7</x:v>
      </x:c>
      <x:c r="AC1611" s="36" t="n">
        <x:f>IF(ISNUMBER(AB1611),ROUND(AB1611-(AB1611*0.015+0.2)-V1611,2),"")</x:f>
        <x:v>7.93</x:v>
      </x:c>
      <x:c r="AD1611" s="36" t="n">
        <x:f>IF(ISNUMBER(Y1611),ROUND(Y1611*0.8,2),"")</x:f>
        <x:v>34.4</x:v>
      </x:c>
      <x:c r="AE1611" s="36" t="n">
        <x:f>IF(ISNUMBER(AD1611),ROUND(AD1611*0.015+0.2,2),"")</x:f>
        <x:v>0.72</x:v>
      </x:c>
      <x:c r="AF1611" s="36" t="n">
        <x:f>IF(ISNUMBER(AD1611),ROUND(AD1611-AE1611-V1611,2),"")</x:f>
        <x:v>3.69</x:v>
      </x:c>
      <x:c r="AG1611" t="str">
        <x:f>IF(NOT(ISNUMBER(T1611)),"PENDING",IF(AF1611&gt;0,"PASS","FAIL"))</x:f>
        <x:v>PASS</x:v>
      </x:c>
      <x:c r="AH1611" t="str">
        <x:f>IF(NOT(ISNUMBER(T1611)),"Needs supplier cost",IF(K1611&lt;&gt;"In stock","Supplier unavailable",IF(AG1611&lt;&gt;"PASS","BLOCK - GT loss risk","Commercially protected")))</x:f>
        <x:v>Commercially protected</x:v>
      </x:c>
      <x:c r="AI1611" t="str">
        <x:v>2026-09-10 Active Sports trade capture</x:v>
      </x:c>
      <x:c r="AJ1611" t="str">
        <x:v>Management-only economics. Stripe stress test uses 1.5% + £0.20 standard UK online-card fee; pallet/mix-and-match pricing ignored.</x:v>
      </x:c>
    </x:row>
    <x:row r="1612">
      <x:c r="A1612" t="str">
        <x:v>Active Sports Nutrition</x:v>
      </x:c>
      <x:c r="B1612" t="str">
        <x:v>Project AD</x:v>
      </x:c>
      <x:c r="C1612" t="str">
        <x:v>Tauro Test</x:v>
      </x:c>
      <x:c r="D1612" t="str">
        <x:v>Supplements</x:v>
      </x:c>
      <x:c r="E1612" t="str">
        <x:v>Testosterone Boosters</x:v>
      </x:c>
      <x:c r="F1612" t="str"/>
      <x:c r="G1612" t="str">
        <x:v>180 caps</x:v>
      </x:c>
      <x:c r="H1612" t="str">
        <x:v>Default</x:v>
      </x:c>
      <x:c r="I1612" t="str"/>
      <x:c r="J1612" t="str">
        <x:v>Unit</x:v>
      </x:c>
      <x:c r="K1612" t="str">
        <x:v>In stock</x:v>
      </x:c>
      <x:c r="L1612" t="str">
        <x:v>2026-09-08</x:v>
      </x:c>
      <x:c r="M1612" t="str"/>
      <x:c r="N1612" t="str"/>
      <x:c r="O1612" t="str">
        <x:v>https://www.activesportstrade.co.uk/project-ad-trade</x:v>
      </x:c>
      <x:c r="P1612" t="str"/>
      <x:c r="Q1612" t="str"/>
      <x:c r="R1612" t="str"/>
      <x:c r="S1612" t="str">
        <x:v>Pending genuine supplier/brand image</x:v>
      </x:c>
      <x:c r="T1612" s="54" t="n">
        <x:v>23.99</x:v>
      </x:c>
      <x:c r="U1612" s="47" t="n">
        <x:v>0.2</x:v>
      </x:c>
      <x:c r="V1612" s="54" t="n">
        <x:f>IF(ISNUMBER(T1612),T1612*(1+U1612),"")</x:f>
        <x:v>28.787999999999997</x:v>
      </x:c>
      <x:c r="W1612" s="47" t="n">
        <x:v>0.3</x:v>
      </x:c>
      <x:c r="X1612" s="54" t="n">
        <x:f>IF(ISNUMBER(V1612),V1612/(1-W1612),"")</x:f>
        <x:v>41.12571428571428</x:v>
      </x:c>
      <x:c r="Y1612" s="55" t="n">
        <x:f>IF(ISNUMBER(X1612),ROUNDUP(X1612,0),"")</x:f>
        <x:v>42</x:v>
      </x:c>
      <x:c r="Z1612" t="str">
        <x:v>Source match pending</x:v>
      </x:c>
      <x:c r="AA1612" t="str">
        <x:v>screencapture-www-activesportstrade-co-uk-project-ad-trade-2026-09-09-18_49_49.png / page-001</x:v>
      </x:c>
      <x:c r="AB1612" s="36" t="n">
        <x:f>IF(ISNUMBER(Y1612),ROUND(Y1612*0.9,2),"")</x:f>
        <x:v>37.8</x:v>
      </x:c>
      <x:c r="AC1612" s="36" t="n">
        <x:f>IF(ISNUMBER(AB1612),ROUND(AB1612-(AB1612*0.015+0.2)-V1612,2),"")</x:f>
        <x:v>8.24</x:v>
      </x:c>
      <x:c r="AD1612" s="36" t="n">
        <x:f>IF(ISNUMBER(Y1612),ROUND(Y1612*0.8,2),"")</x:f>
        <x:v>33.6</x:v>
      </x:c>
      <x:c r="AE1612" s="36" t="n">
        <x:f>IF(ISNUMBER(AD1612),ROUND(AD1612*0.015+0.2,2),"")</x:f>
        <x:v>0.7</x:v>
      </x:c>
      <x:c r="AF1612" s="36" t="n">
        <x:f>IF(ISNUMBER(AD1612),ROUND(AD1612-AE1612-V1612,2),"")</x:f>
        <x:v>4.11</x:v>
      </x:c>
      <x:c r="AG1612" t="str">
        <x:f>IF(NOT(ISNUMBER(T1612)),"PENDING",IF(AF1612&gt;0,"PASS","FAIL"))</x:f>
        <x:v>PASS</x:v>
      </x:c>
      <x:c r="AH1612" t="str">
        <x:f>IF(NOT(ISNUMBER(T1612)),"Needs supplier cost",IF(K1612&lt;&gt;"In stock","Supplier unavailable",IF(AG1612&lt;&gt;"PASS","BLOCK - GT loss risk","Commercially protected")))</x:f>
        <x:v>Commercially protected</x:v>
      </x:c>
      <x:c r="AI1612" t="str">
        <x:v>2026-09-10 Active Sports trade capture</x:v>
      </x:c>
      <x:c r="AJ1612" t="str">
        <x:v>Management-only economics. Stripe stress test uses 1.5% + £0.20 standard UK online-card fee; pallet/mix-and-match pricing ignored.</x:v>
      </x:c>
    </x:row>
    <x:row r="1613">
      <x:c r="A1613" t="str">
        <x:v>Active Sports Nutrition</x:v>
      </x:c>
      <x:c r="B1613" t="str">
        <x:v>Project AD</x:v>
      </x:c>
      <x:c r="C1613" t="str">
        <x:v>Thyroid</x:v>
      </x:c>
      <x:c r="D1613" t="str">
        <x:v>Supplements</x:v>
      </x:c>
      <x:c r="E1613" t="str">
        <x:v>Health Foods</x:v>
      </x:c>
      <x:c r="F1613" t="str"/>
      <x:c r="G1613" t="str">
        <x:v>150 caps</x:v>
      </x:c>
      <x:c r="H1613" t="str">
        <x:v>Default</x:v>
      </x:c>
      <x:c r="I1613" t="str"/>
      <x:c r="J1613" t="str">
        <x:v>Unit</x:v>
      </x:c>
      <x:c r="K1613" t="str">
        <x:v>In stock</x:v>
      </x:c>
      <x:c r="L1613" t="str">
        <x:v>2026-09-08</x:v>
      </x:c>
      <x:c r="M1613" t="str"/>
      <x:c r="N1613" t="str"/>
      <x:c r="O1613" t="str">
        <x:v>https://www.activesportstrade.co.uk/project-ad-trade</x:v>
      </x:c>
      <x:c r="P1613" t="str"/>
      <x:c r="Q1613" t="str"/>
      <x:c r="R1613" t="str"/>
      <x:c r="S1613" t="str">
        <x:v>Pending genuine supplier/brand image</x:v>
      </x:c>
      <x:c r="T1613" s="54" t="n">
        <x:v>24.99</x:v>
      </x:c>
      <x:c r="U1613" s="47" t="n">
        <x:v>0.2</x:v>
      </x:c>
      <x:c r="V1613" s="54" t="n">
        <x:f>IF(ISNUMBER(T1613),T1613*(1+U1613),"")</x:f>
        <x:v>29.987999999999996</x:v>
      </x:c>
      <x:c r="W1613" s="47" t="n">
        <x:v>0.3</x:v>
      </x:c>
      <x:c r="X1613" s="54" t="n">
        <x:f>IF(ISNUMBER(V1613),V1613/(1-W1613),"")</x:f>
        <x:v>42.839999999999996</x:v>
      </x:c>
      <x:c r="Y1613" s="55" t="n">
        <x:f>IF(ISNUMBER(X1613),ROUNDUP(X1613,0),"")</x:f>
        <x:v>43</x:v>
      </x:c>
      <x:c r="Z1613" t="str">
        <x:v>Source match pending</x:v>
      </x:c>
      <x:c r="AA1613" t="str">
        <x:v>screencapture-www-activesportstrade-co-uk-project-ad-trade-2026-09-09-18_49_49.png / page-001</x:v>
      </x:c>
      <x:c r="AB1613" s="36" t="n">
        <x:f>IF(ISNUMBER(Y1613),ROUND(Y1613*0.9,2),"")</x:f>
        <x:v>38.7</x:v>
      </x:c>
      <x:c r="AC1613" s="36" t="n">
        <x:f>IF(ISNUMBER(AB1613),ROUND(AB1613-(AB1613*0.015+0.2)-V1613,2),"")</x:f>
        <x:v>7.93</x:v>
      </x:c>
      <x:c r="AD1613" s="36" t="n">
        <x:f>IF(ISNUMBER(Y1613),ROUND(Y1613*0.8,2),"")</x:f>
        <x:v>34.4</x:v>
      </x:c>
      <x:c r="AE1613" s="36" t="n">
        <x:f>IF(ISNUMBER(AD1613),ROUND(AD1613*0.015+0.2,2),"")</x:f>
        <x:v>0.72</x:v>
      </x:c>
      <x:c r="AF1613" s="36" t="n">
        <x:f>IF(ISNUMBER(AD1613),ROUND(AD1613-AE1613-V1613,2),"")</x:f>
        <x:v>3.69</x:v>
      </x:c>
      <x:c r="AG1613" t="str">
        <x:f>IF(NOT(ISNUMBER(T1613)),"PENDING",IF(AF1613&gt;0,"PASS","FAIL"))</x:f>
        <x:v>PASS</x:v>
      </x:c>
      <x:c r="AH1613" t="str">
        <x:f>IF(NOT(ISNUMBER(T1613)),"Needs supplier cost",IF(K1613&lt;&gt;"In stock","Supplier unavailable",IF(AG1613&lt;&gt;"PASS","BLOCK - GT loss risk","Commercially protected")))</x:f>
        <x:v>Commercially protected</x:v>
      </x:c>
      <x:c r="AI1613" t="str">
        <x:v>2026-09-10 Active Sports trade capture</x:v>
      </x:c>
      <x:c r="AJ1613" t="str">
        <x:v>Management-only economics. Stripe stress test uses 1.5% + £0.20 standard UK online-card fee; pallet/mix-and-match pricing ignored.</x:v>
      </x:c>
    </x:row>
    <x:row r="1614">
      <x:c r="A1614" t="str">
        <x:v>Active Sports Nutrition</x:v>
      </x:c>
      <x:c r="B1614" t="str">
        <x:v>Powerade</x:v>
      </x:c>
      <x:c r="C1614" t="str">
        <x:v>Powerade</x:v>
      </x:c>
      <x:c r="D1614" t="str">
        <x:v>Drinks and Bars</x:v>
      </x:c>
      <x:c r="E1614" t="str">
        <x:v>Ready to Drink Hydration</x:v>
      </x:c>
      <x:c r="F1614" t="str"/>
      <x:c r="G1614" t="str">
        <x:v>12 x 500ml bottles</x:v>
      </x:c>
      <x:c r="H1614" t="str">
        <x:v>Blue - Berry Tropical</x:v>
      </x:c>
      <x:c r="I1614" t="str">
        <x:v>12</x:v>
      </x:c>
      <x:c r="J1614" t="str">
        <x:v>Case</x:v>
      </x:c>
      <x:c r="K1614" t="str">
        <x:v>Out of stock</x:v>
      </x:c>
      <x:c r="L1614" t="str">
        <x:v>2026-09-08</x:v>
      </x:c>
      <x:c r="M1614" t="str"/>
      <x:c r="N1614" t="str"/>
      <x:c r="O1614" t="str">
        <x:v>https://www.activesportstrade.co.uk/powerade-trade</x:v>
      </x:c>
      <x:c r="P1614" t="str">
        <x:v>PALLET PROMO pricing/minimum-order boilerplate excluded. Case-only member order.</x:v>
      </x:c>
      <x:c r="Q1614" t="str"/>
      <x:c r="R1614" t="str"/>
      <x:c r="S1614" t="str">
        <x:v>Pending genuine supplier/brand image</x:v>
      </x:c>
      <x:c r="T1614" s="54"/>
      <x:c r="U1614" s="47" t="n">
        <x:v>0.2</x:v>
      </x:c>
      <x:c r="V1614" s="54" t="str">
        <x:f>IF(ISNUMBER(T1614),T1614*(1+U1614),"")</x:f>
      </x:c>
      <x:c r="W1614" s="47" t="n">
        <x:v>0.3</x:v>
      </x:c>
      <x:c r="X1614" s="54" t="str">
        <x:f>IF(ISNUMBER(V1614),V1614/(1-W1614),"")</x:f>
      </x:c>
      <x:c r="Y1614" s="55" t="str">
        <x:f>IF(ISNUMBER(X1614),ROUNDUP(X1614,0),"")</x:f>
      </x:c>
      <x:c r="Z1614" t="str">
        <x:f>IF(ISNUMBER(T1614),"Cost captured","Awaiting trade cost")</x:f>
        <x:v>Awaiting trade cost</x:v>
      </x:c>
      <x:c r="AB1614" s="36" t="str">
        <x:f>IF(ISNUMBER(Y1614),ROUND(Y1614*0.9,2),"")</x:f>
      </x:c>
      <x:c r="AC1614" s="36" t="str">
        <x:f>IF(ISNUMBER(AB1614),ROUND(AB1614-(AB1614*0.015+0.2)-V1614,2),"")</x:f>
      </x:c>
      <x:c r="AD1614" s="36" t="str">
        <x:f>IF(ISNUMBER(Y1614),ROUND(Y1614*0.8,2),"")</x:f>
      </x:c>
      <x:c r="AE1614" s="36" t="str">
        <x:f>IF(ISNUMBER(AD1614),ROUND(AD1614*0.015+0.2,2),"")</x:f>
      </x:c>
      <x:c r="AF1614" s="36" t="str">
        <x:f>IF(ISNUMBER(AD1614),ROUND(AD1614-AE1614-V1614,2),"")</x:f>
      </x:c>
      <x:c r="AG1614" t="str">
        <x:f>IF(NOT(ISNUMBER(T1614)),"PENDING",IF(AF1614&gt;0,"PASS","FAIL"))</x:f>
        <x:v>PENDING</x:v>
      </x:c>
      <x:c r="AH1614" t="str">
        <x:f>IF(NOT(ISNUMBER(T1614)),"Needs supplier cost",IF(K1614&lt;&gt;"In stock","Supplier unavailable",IF(AG1614&lt;&gt;"PASS","BLOCK - GT loss risk","Commercially protected")))</x:f>
        <x:v>Needs supplier cost</x:v>
      </x:c>
      <x:c r="AI1614" t="str">
        <x:v>2026-09-10 Active Sports trade capture</x:v>
      </x:c>
      <x:c r="AJ1614" t="str">
        <x:v>Management-only economics. Stripe stress test uses 1.5% + £0.20 standard UK online-card fee; pallet/mix-and-match pricing ignored.</x:v>
      </x:c>
    </x:row>
    <x:row r="1615">
      <x:c r="A1615" t="str">
        <x:v>Active Sports Nutrition</x:v>
      </x:c>
      <x:c r="B1615" t="str">
        <x:v>Powerade</x:v>
      </x:c>
      <x:c r="C1615" t="str">
        <x:v>Powerade</x:v>
      </x:c>
      <x:c r="D1615" t="str">
        <x:v>Drinks and Bars</x:v>
      </x:c>
      <x:c r="E1615" t="str">
        <x:v>Ready to Drink Hydration</x:v>
      </x:c>
      <x:c r="F1615" t="str"/>
      <x:c r="G1615" t="str">
        <x:v>12 x 500ml bottles</x:v>
      </x:c>
      <x:c r="H1615" t="str">
        <x:v>Gold - Mango</x:v>
      </x:c>
      <x:c r="I1615" t="str">
        <x:v>12</x:v>
      </x:c>
      <x:c r="J1615" t="str">
        <x:v>Case</x:v>
      </x:c>
      <x:c r="K1615" t="str">
        <x:v>In stock</x:v>
      </x:c>
      <x:c r="L1615" t="str">
        <x:v>2026-09-08</x:v>
      </x:c>
      <x:c r="M1615" t="str"/>
      <x:c r="N1615" t="str"/>
      <x:c r="O1615" t="str">
        <x:v>https://www.activesportstrade.co.uk/powerade-trade</x:v>
      </x:c>
      <x:c r="P1615" t="str">
        <x:v>PALLET PROMO pricing/minimum-order boilerplate excluded. Case-only member order.</x:v>
      </x:c>
      <x:c r="Q1615" t="str"/>
      <x:c r="R1615" t="str"/>
      <x:c r="S1615" t="str">
        <x:v>Pending genuine supplier/brand image</x:v>
      </x:c>
      <x:c r="T1615" s="54"/>
      <x:c r="U1615" s="47" t="n">
        <x:v>0.2</x:v>
      </x:c>
      <x:c r="V1615" s="54" t="str">
        <x:f>IF(ISNUMBER(T1615),T1615*(1+U1615),"")</x:f>
      </x:c>
      <x:c r="W1615" s="47" t="n">
        <x:v>0.3</x:v>
      </x:c>
      <x:c r="X1615" s="54" t="str">
        <x:f>IF(ISNUMBER(V1615),V1615/(1-W1615),"")</x:f>
      </x:c>
      <x:c r="Y1615" s="55" t="str">
        <x:f>IF(ISNUMBER(X1615),ROUNDUP(X1615,0),"")</x:f>
      </x:c>
      <x:c r="Z1615" t="str">
        <x:f>IF(ISNUMBER(T1615),"Cost captured","Awaiting trade cost")</x:f>
        <x:v>Awaiting trade cost</x:v>
      </x:c>
      <x:c r="AB1615" s="36" t="str">
        <x:f>IF(ISNUMBER(Y1615),ROUND(Y1615*0.9,2),"")</x:f>
      </x:c>
      <x:c r="AC1615" s="36" t="str">
        <x:f>IF(ISNUMBER(AB1615),ROUND(AB1615-(AB1615*0.015+0.2)-V1615,2),"")</x:f>
      </x:c>
      <x:c r="AD1615" s="36" t="str">
        <x:f>IF(ISNUMBER(Y1615),ROUND(Y1615*0.8,2),"")</x:f>
      </x:c>
      <x:c r="AE1615" s="36" t="str">
        <x:f>IF(ISNUMBER(AD1615),ROUND(AD1615*0.015+0.2,2),"")</x:f>
      </x:c>
      <x:c r="AF1615" s="36" t="str">
        <x:f>IF(ISNUMBER(AD1615),ROUND(AD1615-AE1615-V1615,2),"")</x:f>
      </x:c>
      <x:c r="AG1615" t="str">
        <x:f>IF(NOT(ISNUMBER(T1615)),"PENDING",IF(AF1615&gt;0,"PASS","FAIL"))</x:f>
        <x:v>PENDING</x:v>
      </x:c>
      <x:c r="AH1615" t="str">
        <x:f>IF(NOT(ISNUMBER(T1615)),"Needs supplier cost",IF(K1615&lt;&gt;"In stock","Supplier unavailable",IF(AG1615&lt;&gt;"PASS","BLOCK - GT loss risk","Commercially protected")))</x:f>
        <x:v>Needs supplier cost</x:v>
      </x:c>
      <x:c r="AI1615" t="str">
        <x:v>2026-09-10 Active Sports trade capture</x:v>
      </x:c>
      <x:c r="AJ1615" t="str">
        <x:v>Management-only economics. Stripe stress test uses 1.5% + £0.20 standard UK online-card fee; pallet/mix-and-match pricing ignored.</x:v>
      </x:c>
    </x:row>
    <x:row r="1616">
      <x:c r="A1616" t="str">
        <x:v>Active Sports Nutrition</x:v>
      </x:c>
      <x:c r="B1616" t="str">
        <x:v>Powerade</x:v>
      </x:c>
      <x:c r="C1616" t="str">
        <x:v>Powerade Limited Edition FIFA</x:v>
      </x:c>
      <x:c r="D1616" t="str">
        <x:v>Drinks and Bars</x:v>
      </x:c>
      <x:c r="E1616" t="str">
        <x:v>Ready to Drink Hydration</x:v>
      </x:c>
      <x:c r="F1616" t="str"/>
      <x:c r="G1616" t="str">
        <x:v>12 x 500ml bottles</x:v>
      </x:c>
      <x:c r="H1616" t="str">
        <x:v>Attack (Red)</x:v>
      </x:c>
      <x:c r="I1616" t="str">
        <x:v>12</x:v>
      </x:c>
      <x:c r="J1616" t="str">
        <x:v>Case</x:v>
      </x:c>
      <x:c r="K1616" t="str">
        <x:v>Out of stock</x:v>
      </x:c>
      <x:c r="L1616" t="str">
        <x:v>2026-09-08</x:v>
      </x:c>
      <x:c r="M1616" t="str"/>
      <x:c r="N1616" t="str"/>
      <x:c r="O1616" t="str">
        <x:v>https://www.activesportstrade.co.uk/powerade-trade</x:v>
      </x:c>
      <x:c r="P1616" t="str">
        <x:v>LIMITED EDITION FIFA kept as distinct supplier parent; pallet promo pricing excluded.</x:v>
      </x:c>
      <x:c r="Q1616" t="str"/>
      <x:c r="R1616" t="str"/>
      <x:c r="S1616" t="str">
        <x:v>Pending genuine supplier/brand image</x:v>
      </x:c>
      <x:c r="T1616" s="54"/>
      <x:c r="U1616" s="47" t="n">
        <x:v>0.2</x:v>
      </x:c>
      <x:c r="V1616" s="54" t="str">
        <x:f>IF(ISNUMBER(T1616),T1616*(1+U1616),"")</x:f>
      </x:c>
      <x:c r="W1616" s="47" t="n">
        <x:v>0.3</x:v>
      </x:c>
      <x:c r="X1616" s="54" t="str">
        <x:f>IF(ISNUMBER(V1616),V1616/(1-W1616),"")</x:f>
      </x:c>
      <x:c r="Y1616" s="55" t="str">
        <x:f>IF(ISNUMBER(X1616),ROUNDUP(X1616,0),"")</x:f>
      </x:c>
      <x:c r="Z1616" t="str">
        <x:f>IF(ISNUMBER(T1616),"Cost captured","Awaiting trade cost")</x:f>
        <x:v>Awaiting trade cost</x:v>
      </x:c>
      <x:c r="AB1616" s="36" t="str">
        <x:f>IF(ISNUMBER(Y1616),ROUND(Y1616*0.9,2),"")</x:f>
      </x:c>
      <x:c r="AC1616" s="36" t="str">
        <x:f>IF(ISNUMBER(AB1616),ROUND(AB1616-(AB1616*0.015+0.2)-V1616,2),"")</x:f>
      </x:c>
      <x:c r="AD1616" s="36" t="str">
        <x:f>IF(ISNUMBER(Y1616),ROUND(Y1616*0.8,2),"")</x:f>
      </x:c>
      <x:c r="AE1616" s="36" t="str">
        <x:f>IF(ISNUMBER(AD1616),ROUND(AD1616*0.015+0.2,2),"")</x:f>
      </x:c>
      <x:c r="AF1616" s="36" t="str">
        <x:f>IF(ISNUMBER(AD1616),ROUND(AD1616-AE1616-V1616,2),"")</x:f>
      </x:c>
      <x:c r="AG1616" t="str">
        <x:f>IF(NOT(ISNUMBER(T1616)),"PENDING",IF(AF1616&gt;0,"PASS","FAIL"))</x:f>
        <x:v>PENDING</x:v>
      </x:c>
      <x:c r="AH1616" t="str">
        <x:f>IF(NOT(ISNUMBER(T1616)),"Needs supplier cost",IF(K1616&lt;&gt;"In stock","Supplier unavailable",IF(AG1616&lt;&gt;"PASS","BLOCK - GT loss risk","Commercially protected")))</x:f>
        <x:v>Needs supplier cost</x:v>
      </x:c>
      <x:c r="AI1616" t="str">
        <x:v>2026-09-10 Active Sports trade capture</x:v>
      </x:c>
      <x:c r="AJ1616" t="str">
        <x:v>Management-only economics. Stripe stress test uses 1.5% + £0.20 standard UK online-card fee; pallet/mix-and-match pricing ignored.</x:v>
      </x:c>
    </x:row>
    <x:row r="1617">
      <x:c r="A1617" t="str">
        <x:v>Active Sports Nutrition</x:v>
      </x:c>
      <x:c r="B1617" t="str">
        <x:v>Powerade</x:v>
      </x:c>
      <x:c r="C1617" t="str">
        <x:v>Powerade Limited Edition FIFA</x:v>
      </x:c>
      <x:c r="D1617" t="str">
        <x:v>Drinks and Bars</x:v>
      </x:c>
      <x:c r="E1617" t="str">
        <x:v>Ready to Drink Hydration</x:v>
      </x:c>
      <x:c r="F1617" t="str"/>
      <x:c r="G1617" t="str">
        <x:v>12 x 500ml bottles</x:v>
      </x:c>
      <x:c r="H1617" t="str">
        <x:v>Defend (Blue)</x:v>
      </x:c>
      <x:c r="I1617" t="str">
        <x:v>12</x:v>
      </x:c>
      <x:c r="J1617" t="str">
        <x:v>Case</x:v>
      </x:c>
      <x:c r="K1617" t="str">
        <x:v>Out of stock</x:v>
      </x:c>
      <x:c r="L1617" t="str">
        <x:v>2026-09-08</x:v>
      </x:c>
      <x:c r="M1617" t="str"/>
      <x:c r="N1617" t="str"/>
      <x:c r="O1617" t="str">
        <x:v>https://www.activesportstrade.co.uk/powerade-trade</x:v>
      </x:c>
      <x:c r="P1617" t="str">
        <x:v>LIMITED EDITION FIFA kept as distinct supplier parent; pallet promo pricing excluded.</x:v>
      </x:c>
      <x:c r="Q1617" t="str"/>
      <x:c r="R1617" t="str"/>
      <x:c r="S1617" t="str">
        <x:v>Pending genuine supplier/brand image</x:v>
      </x:c>
      <x:c r="T1617" s="54"/>
      <x:c r="U1617" s="47" t="n">
        <x:v>0.2</x:v>
      </x:c>
      <x:c r="V1617" s="54" t="str">
        <x:f>IF(ISNUMBER(T1617),T1617*(1+U1617),"")</x:f>
      </x:c>
      <x:c r="W1617" s="47" t="n">
        <x:v>0.3</x:v>
      </x:c>
      <x:c r="X1617" s="54" t="str">
        <x:f>IF(ISNUMBER(V1617),V1617/(1-W1617),"")</x:f>
      </x:c>
      <x:c r="Y1617" s="55" t="str">
        <x:f>IF(ISNUMBER(X1617),ROUNDUP(X1617,0),"")</x:f>
      </x:c>
      <x:c r="Z1617" t="str">
        <x:f>IF(ISNUMBER(T1617),"Cost captured","Awaiting trade cost")</x:f>
        <x:v>Awaiting trade cost</x:v>
      </x:c>
      <x:c r="AB1617" s="36" t="str">
        <x:f>IF(ISNUMBER(Y1617),ROUND(Y1617*0.9,2),"")</x:f>
      </x:c>
      <x:c r="AC1617" s="36" t="str">
        <x:f>IF(ISNUMBER(AB1617),ROUND(AB1617-(AB1617*0.015+0.2)-V1617,2),"")</x:f>
      </x:c>
      <x:c r="AD1617" s="36" t="str">
        <x:f>IF(ISNUMBER(Y1617),ROUND(Y1617*0.8,2),"")</x:f>
      </x:c>
      <x:c r="AE1617" s="36" t="str">
        <x:f>IF(ISNUMBER(AD1617),ROUND(AD1617*0.015+0.2,2),"")</x:f>
      </x:c>
      <x:c r="AF1617" s="36" t="str">
        <x:f>IF(ISNUMBER(AD1617),ROUND(AD1617-AE1617-V1617,2),"")</x:f>
      </x:c>
      <x:c r="AG1617" t="str">
        <x:f>IF(NOT(ISNUMBER(T1617)),"PENDING",IF(AF1617&gt;0,"PASS","FAIL"))</x:f>
        <x:v>PENDING</x:v>
      </x:c>
      <x:c r="AH1617" t="str">
        <x:f>IF(NOT(ISNUMBER(T1617)),"Needs supplier cost",IF(K1617&lt;&gt;"In stock","Supplier unavailable",IF(AG1617&lt;&gt;"PASS","BLOCK - GT loss risk","Commercially protected")))</x:f>
        <x:v>Needs supplier cost</x:v>
      </x:c>
      <x:c r="AI1617" t="str">
        <x:v>2026-09-10 Active Sports trade capture</x:v>
      </x:c>
      <x:c r="AJ1617" t="str">
        <x:v>Management-only economics. Stripe stress test uses 1.5% + £0.20 standard UK online-card fee; pallet/mix-and-match pricing ignored.</x:v>
      </x:c>
    </x:row>
    <x:row r="1618">
      <x:c r="A1618" t="str">
        <x:v>Active Sports Nutrition</x:v>
      </x:c>
      <x:c r="B1618" t="str">
        <x:v>NOCCO</x:v>
      </x:c>
      <x:c r="C1618" t="str">
        <x:v>Electrolyte</x:v>
      </x:c>
      <x:c r="D1618" t="str">
        <x:v>Drinks and Bars</x:v>
      </x:c>
      <x:c r="E1618" t="str">
        <x:v>Ready to Drink Hydration</x:v>
      </x:c>
      <x:c r="F1618" t="str"/>
      <x:c r="G1618" t="str">
        <x:v>12 x 355ml cans</x:v>
      </x:c>
      <x:c r="H1618" t="str">
        <x:v>Blood Orange</x:v>
      </x:c>
      <x:c r="I1618" t="str">
        <x:v>12</x:v>
      </x:c>
      <x:c r="J1618" t="str">
        <x:v>Case</x:v>
      </x:c>
      <x:c r="K1618" t="str">
        <x:v>In stock</x:v>
      </x:c>
      <x:c r="L1618" t="str">
        <x:v>2026-09-08</x:v>
      </x:c>
      <x:c r="M1618" t="str"/>
      <x:c r="N1618" t="str"/>
      <x:c r="O1618" t="str">
        <x:v>https://www.activesportstrade.co.uk/hydration-supplements-trade</x:v>
      </x:c>
      <x:c r="P1618" t="str">
        <x:v>With-caffeine/sugar-free product. PALLET PROMO pricing excluded. Case-only member order.</x:v>
      </x:c>
      <x:c r="Q1618" t="str"/>
      <x:c r="R1618" t="str"/>
      <x:c r="S1618" t="str">
        <x:v>Pending genuine supplier/brand image</x:v>
      </x:c>
      <x:c r="T1618" s="54" t="n">
        <x:v>14.19</x:v>
      </x:c>
      <x:c r="U1618" s="47" t="n">
        <x:v>0.2</x:v>
      </x:c>
      <x:c r="V1618" s="54" t="n">
        <x:f>IF(ISNUMBER(T1618),T1618*(1+U1618),"")</x:f>
        <x:v>17.028</x:v>
      </x:c>
      <x:c r="W1618" s="47" t="n">
        <x:v>0.3</x:v>
      </x:c>
      <x:c r="X1618" s="54" t="n">
        <x:f>IF(ISNUMBER(V1618),V1618/(1-W1618),"")</x:f>
        <x:v>24.325714285714284</x:v>
      </x:c>
      <x:c r="Y1618" s="55" t="n">
        <x:f>IF(ISNUMBER(X1618),ROUNDUP(X1618,0),"")</x:f>
        <x:v>25</x:v>
      </x:c>
      <x:c r="Z1618" t="str">
        <x:v>Source match pending</x:v>
      </x:c>
      <x:c r="AA1618" t="str">
        <x:v>screencapture-www-activesportstrade-co-uk-NOCCO-2026-09-09-18_42_00.png / page-001</x:v>
      </x:c>
      <x:c r="AB1618" s="36" t="n">
        <x:f>IF(ISNUMBER(Y1618),ROUND(Y1618*0.9,2),"")</x:f>
        <x:v>22.5</x:v>
      </x:c>
      <x:c r="AC1618" s="36" t="n">
        <x:f>IF(ISNUMBER(AB1618),ROUND(AB1618-(AB1618*0.015+0.2)-V1618,2),"")</x:f>
        <x:v>4.93</x:v>
      </x:c>
      <x:c r="AD1618" s="36" t="n">
        <x:f>IF(ISNUMBER(Y1618),ROUND(Y1618*0.8,2),"")</x:f>
        <x:v>20</x:v>
      </x:c>
      <x:c r="AE1618" s="36" t="n">
        <x:f>IF(ISNUMBER(AD1618),ROUND(AD1618*0.015+0.2,2),"")</x:f>
        <x:v>0.5</x:v>
      </x:c>
      <x:c r="AF1618" s="36" t="n">
        <x:f>IF(ISNUMBER(AD1618),ROUND(AD1618-AE1618-V1618,2),"")</x:f>
        <x:v>2.47</x:v>
      </x:c>
      <x:c r="AG1618" t="str">
        <x:f>IF(NOT(ISNUMBER(T1618)),"PENDING",IF(AF1618&gt;0,"PASS","FAIL"))</x:f>
        <x:v>PASS</x:v>
      </x:c>
      <x:c r="AH1618" t="str">
        <x:f>IF(NOT(ISNUMBER(T1618)),"Needs supplier cost",IF(K1618&lt;&gt;"In stock","Supplier unavailable",IF(AG1618&lt;&gt;"PASS","BLOCK - GT loss risk","Commercially protected")))</x:f>
        <x:v>Commercially protected</x:v>
      </x:c>
      <x:c r="AI1618" t="str">
        <x:v>2026-09-10 Active Sports trade capture</x:v>
      </x:c>
      <x:c r="AJ1618" t="str">
        <x:v>Management-only economics. Stripe stress test uses 1.5% + £0.20 standard UK online-card fee; pallet/mix-and-match pricing ignored.</x:v>
      </x:c>
    </x:row>
    <x:row r="1619">
      <x:c r="A1619" t="str">
        <x:v>Active Sports Nutrition</x:v>
      </x:c>
      <x:c r="B1619" t="str">
        <x:v>NOCCO</x:v>
      </x:c>
      <x:c r="C1619" t="str">
        <x:v>Electrolyte</x:v>
      </x:c>
      <x:c r="D1619" t="str">
        <x:v>Drinks and Bars</x:v>
      </x:c>
      <x:c r="E1619" t="str">
        <x:v>Ready to Drink Hydration</x:v>
      </x:c>
      <x:c r="F1619" t="str"/>
      <x:c r="G1619" t="str">
        <x:v>12 x 355ml cans</x:v>
      </x:c>
      <x:c r="H1619" t="str">
        <x:v>Lemon Lime</x:v>
      </x:c>
      <x:c r="I1619" t="str">
        <x:v>12</x:v>
      </x:c>
      <x:c r="J1619" t="str">
        <x:v>Case</x:v>
      </x:c>
      <x:c r="K1619" t="str">
        <x:v>Out of stock</x:v>
      </x:c>
      <x:c r="L1619" t="str">
        <x:v>2026-09-08</x:v>
      </x:c>
      <x:c r="M1619" t="str"/>
      <x:c r="N1619" t="str"/>
      <x:c r="O1619" t="str">
        <x:v>https://www.activesportstrade.co.uk/hydration-supplements-trade</x:v>
      </x:c>
      <x:c r="P1619" t="str">
        <x:v>With-caffeine/sugar-free product. PALLET PROMO pricing excluded. Case-only member order.</x:v>
      </x:c>
      <x:c r="Q1619" t="str"/>
      <x:c r="R1619" t="str"/>
      <x:c r="S1619" t="str">
        <x:v>Pending genuine supplier/brand image</x:v>
      </x:c>
      <x:c r="T1619" s="54" t="n">
        <x:v>14.19</x:v>
      </x:c>
      <x:c r="U1619" s="47" t="n">
        <x:v>0.2</x:v>
      </x:c>
      <x:c r="V1619" s="54" t="n">
        <x:f>IF(ISNUMBER(T1619),T1619*(1+U1619),"")</x:f>
        <x:v>17.028</x:v>
      </x:c>
      <x:c r="W1619" s="47" t="n">
        <x:v>0.3</x:v>
      </x:c>
      <x:c r="X1619" s="54" t="n">
        <x:f>IF(ISNUMBER(V1619),V1619/(1-W1619),"")</x:f>
        <x:v>24.325714285714284</x:v>
      </x:c>
      <x:c r="Y1619" s="55" t="n">
        <x:f>IF(ISNUMBER(X1619),ROUNDUP(X1619,0),"")</x:f>
        <x:v>25</x:v>
      </x:c>
      <x:c r="Z1619" t="str">
        <x:v>Source match pending</x:v>
      </x:c>
      <x:c r="AA1619" t="str">
        <x:v>screencapture-www-activesportstrade-co-uk-NOCCO-2026-09-09-18_42_00.png / page-001</x:v>
      </x:c>
      <x:c r="AB1619" s="36" t="n">
        <x:f>IF(ISNUMBER(Y1619),ROUND(Y1619*0.9,2),"")</x:f>
        <x:v>22.5</x:v>
      </x:c>
      <x:c r="AC1619" s="36" t="n">
        <x:f>IF(ISNUMBER(AB1619),ROUND(AB1619-(AB1619*0.015+0.2)-V1619,2),"")</x:f>
        <x:v>4.93</x:v>
      </x:c>
      <x:c r="AD1619" s="36" t="n">
        <x:f>IF(ISNUMBER(Y1619),ROUND(Y1619*0.8,2),"")</x:f>
        <x:v>20</x:v>
      </x:c>
      <x:c r="AE1619" s="36" t="n">
        <x:f>IF(ISNUMBER(AD1619),ROUND(AD1619*0.015+0.2,2),"")</x:f>
        <x:v>0.5</x:v>
      </x:c>
      <x:c r="AF1619" s="36" t="n">
        <x:f>IF(ISNUMBER(AD1619),ROUND(AD1619-AE1619-V1619,2),"")</x:f>
        <x:v>2.47</x:v>
      </x:c>
      <x:c r="AG1619" t="str">
        <x:f>IF(NOT(ISNUMBER(T1619)),"PENDING",IF(AF1619&gt;0,"PASS","FAIL"))</x:f>
        <x:v>PASS</x:v>
      </x:c>
      <x:c r="AH1619" t="str">
        <x:f>IF(NOT(ISNUMBER(T1619)),"Needs supplier cost",IF(K1619&lt;&gt;"In stock","Supplier unavailable",IF(AG1619&lt;&gt;"PASS","BLOCK - GT loss risk","Commercially protected")))</x:f>
        <x:v>Supplier unavailable</x:v>
      </x:c>
      <x:c r="AI1619" t="str">
        <x:v>2026-09-10 Active Sports trade capture</x:v>
      </x:c>
      <x:c r="AJ1619" t="str">
        <x:v>Management-only economics. Stripe stress test uses 1.5% + £0.20 standard UK online-card fee; pallet/mix-and-match pricing ignored.</x:v>
      </x:c>
    </x:row>
    <x:row r="1620">
      <x:c r="A1620" t="str">
        <x:v>Active Sports Nutrition</x:v>
      </x:c>
      <x:c r="B1620" t="str">
        <x:v>NXT Nutrition</x:v>
      </x:c>
      <x:c r="C1620" t="str">
        <x:v>TNT Nuclear Shots</x:v>
      </x:c>
      <x:c r="D1620" t="str">
        <x:v>Pre Workouts</x:v>
      </x:c>
      <x:c r="E1620" t="str">
        <x:v>Shots and Ready To Drink</x:v>
      </x:c>
      <x:c r="F1620" t="str"/>
      <x:c r="G1620" t="str">
        <x:v>12 x 60ml shots</x:v>
      </x:c>
      <x:c r="H1620" t="str">
        <x:v>Blue Raspberry</x:v>
      </x:c>
      <x:c r="I1620" t="str">
        <x:v>12</x:v>
      </x:c>
      <x:c r="J1620" t="str">
        <x:v>Case</x:v>
      </x:c>
      <x:c r="K1620" t="str">
        <x:v>In stock</x:v>
      </x:c>
      <x:c r="L1620" t="str">
        <x:v>2026-09-08</x:v>
      </x:c>
      <x:c r="M1620" t="str"/>
      <x:c r="N1620" t="str"/>
      <x:c r="O1620" t="str">
        <x:v>https://www.activesportstrade.co.uk/Ready-to-Drink-Energy/nxt-nutrition-trade/norec</x:v>
      </x:c>
      <x:c r="P1620" t="str">
        <x:v>Case-only member order.</x:v>
      </x:c>
      <x:c r="Q1620" t="str"/>
      <x:c r="R1620" t="str"/>
      <x:c r="S1620" t="str">
        <x:v>Pending genuine supplier/brand image</x:v>
      </x:c>
      <x:c r="T1620" s="54"/>
      <x:c r="U1620" s="47" t="n">
        <x:v>0.2</x:v>
      </x:c>
      <x:c r="V1620" s="54" t="str">
        <x:f>IF(ISNUMBER(T1620),T1620*(1+U1620),"")</x:f>
      </x:c>
      <x:c r="W1620" s="47" t="n">
        <x:v>0.3</x:v>
      </x:c>
      <x:c r="X1620" s="54" t="str">
        <x:f>IF(ISNUMBER(V1620),V1620/(1-W1620),"")</x:f>
      </x:c>
      <x:c r="Y1620" s="55" t="str">
        <x:f>IF(ISNUMBER(X1620),ROUNDUP(X1620,0),"")</x:f>
      </x:c>
      <x:c r="Z1620" t="str">
        <x:f>IF(ISNUMBER(T1620),"Cost captured","Awaiting trade cost")</x:f>
        <x:v>Awaiting trade cost</x:v>
      </x:c>
      <x:c r="AB1620" s="36" t="str">
        <x:f>IF(ISNUMBER(Y1620),ROUND(Y1620*0.9,2),"")</x:f>
      </x:c>
      <x:c r="AC1620" s="36" t="str">
        <x:f>IF(ISNUMBER(AB1620),ROUND(AB1620-(AB1620*0.015+0.2)-V1620,2),"")</x:f>
      </x:c>
      <x:c r="AD1620" s="36" t="str">
        <x:f>IF(ISNUMBER(Y1620),ROUND(Y1620*0.8,2),"")</x:f>
      </x:c>
      <x:c r="AE1620" s="36" t="str">
        <x:f>IF(ISNUMBER(AD1620),ROUND(AD1620*0.015+0.2,2),"")</x:f>
      </x:c>
      <x:c r="AF1620" s="36" t="str">
        <x:f>IF(ISNUMBER(AD1620),ROUND(AD1620-AE1620-V1620,2),"")</x:f>
      </x:c>
      <x:c r="AG1620" t="str">
        <x:f>IF(NOT(ISNUMBER(T1620)),"PENDING",IF(AF1620&gt;0,"PASS","FAIL"))</x:f>
        <x:v>PENDING</x:v>
      </x:c>
      <x:c r="AH1620" t="str">
        <x:f>IF(NOT(ISNUMBER(T1620)),"Needs supplier cost",IF(K1620&lt;&gt;"In stock","Supplier unavailable",IF(AG1620&lt;&gt;"PASS","BLOCK - GT loss risk","Commercially protected")))</x:f>
        <x:v>Needs supplier cost</x:v>
      </x:c>
      <x:c r="AI1620" t="str">
        <x:v>2026-09-10 Active Sports trade capture</x:v>
      </x:c>
      <x:c r="AJ1620" t="str">
        <x:v>Management-only economics. Stripe stress test uses 1.5% + £0.20 standard UK online-card fee; pallet/mix-and-match pricing ignored.</x:v>
      </x:c>
    </x:row>
    <x:row r="1621">
      <x:c r="A1621" t="str">
        <x:v>Active Sports Nutrition</x:v>
      </x:c>
      <x:c r="B1621" t="str">
        <x:v>NXT Nutrition</x:v>
      </x:c>
      <x:c r="C1621" t="str">
        <x:v>TNT Nuclear Shots</x:v>
      </x:c>
      <x:c r="D1621" t="str">
        <x:v>Pre Workouts</x:v>
      </x:c>
      <x:c r="E1621" t="str">
        <x:v>Shots and Ready To Drink</x:v>
      </x:c>
      <x:c r="F1621" t="str"/>
      <x:c r="G1621" t="str">
        <x:v>12 x 60ml shots</x:v>
      </x:c>
      <x:c r="H1621" t="str">
        <x:v>Ice Burst</x:v>
      </x:c>
      <x:c r="I1621" t="str">
        <x:v>12</x:v>
      </x:c>
      <x:c r="J1621" t="str">
        <x:v>Case</x:v>
      </x:c>
      <x:c r="K1621" t="str">
        <x:v>In stock</x:v>
      </x:c>
      <x:c r="L1621" t="str">
        <x:v>2026-09-08</x:v>
      </x:c>
      <x:c r="M1621" t="str"/>
      <x:c r="N1621" t="str"/>
      <x:c r="O1621" t="str">
        <x:v>https://www.activesportstrade.co.uk/Ready-to-Drink-Energy/nxt-nutrition-trade/norec</x:v>
      </x:c>
      <x:c r="P1621" t="str">
        <x:v>Case-only member order.</x:v>
      </x:c>
      <x:c r="Q1621" t="str"/>
      <x:c r="R1621" t="str"/>
      <x:c r="S1621" t="str">
        <x:v>Pending genuine supplier/brand image</x:v>
      </x:c>
      <x:c r="T1621" s="54"/>
      <x:c r="U1621" s="47" t="n">
        <x:v>0.2</x:v>
      </x:c>
      <x:c r="V1621" s="54" t="str">
        <x:f>IF(ISNUMBER(T1621),T1621*(1+U1621),"")</x:f>
      </x:c>
      <x:c r="W1621" s="47" t="n">
        <x:v>0.3</x:v>
      </x:c>
      <x:c r="X1621" s="54" t="str">
        <x:f>IF(ISNUMBER(V1621),V1621/(1-W1621),"")</x:f>
      </x:c>
      <x:c r="Y1621" s="55" t="str">
        <x:f>IF(ISNUMBER(X1621),ROUNDUP(X1621,0),"")</x:f>
      </x:c>
      <x:c r="Z1621" t="str">
        <x:f>IF(ISNUMBER(T1621),"Cost captured","Awaiting trade cost")</x:f>
        <x:v>Awaiting trade cost</x:v>
      </x:c>
      <x:c r="AB1621" s="36" t="str">
        <x:f>IF(ISNUMBER(Y1621),ROUND(Y1621*0.9,2),"")</x:f>
      </x:c>
      <x:c r="AC1621" s="36" t="str">
        <x:f>IF(ISNUMBER(AB1621),ROUND(AB1621-(AB1621*0.015+0.2)-V1621,2),"")</x:f>
      </x:c>
      <x:c r="AD1621" s="36" t="str">
        <x:f>IF(ISNUMBER(Y1621),ROUND(Y1621*0.8,2),"")</x:f>
      </x:c>
      <x:c r="AE1621" s="36" t="str">
        <x:f>IF(ISNUMBER(AD1621),ROUND(AD1621*0.015+0.2,2),"")</x:f>
      </x:c>
      <x:c r="AF1621" s="36" t="str">
        <x:f>IF(ISNUMBER(AD1621),ROUND(AD1621-AE1621-V1621,2),"")</x:f>
      </x:c>
      <x:c r="AG1621" t="str">
        <x:f>IF(NOT(ISNUMBER(T1621)),"PENDING",IF(AF1621&gt;0,"PASS","FAIL"))</x:f>
        <x:v>PENDING</x:v>
      </x:c>
      <x:c r="AH1621" t="str">
        <x:f>IF(NOT(ISNUMBER(T1621)),"Needs supplier cost",IF(K1621&lt;&gt;"In stock","Supplier unavailable",IF(AG1621&lt;&gt;"PASS","BLOCK - GT loss risk","Commercially protected")))</x:f>
        <x:v>Needs supplier cost</x:v>
      </x:c>
      <x:c r="AI1621" t="str">
        <x:v>2026-09-10 Active Sports trade capture</x:v>
      </x:c>
      <x:c r="AJ1621" t="str">
        <x:v>Management-only economics. Stripe stress test uses 1.5% + £0.20 standard UK online-card fee; pallet/mix-and-match pricing ignored.</x:v>
      </x:c>
    </x:row>
    <x:row r="1622">
      <x:c r="A1622" t="str">
        <x:v>Active Sports Nutrition</x:v>
      </x:c>
      <x:c r="B1622" t="str">
        <x:v>NXT Nutrition</x:v>
      </x:c>
      <x:c r="C1622" t="str">
        <x:v>TNT Nuclear Shots</x:v>
      </x:c>
      <x:c r="D1622" t="str">
        <x:v>Pre Workouts</x:v>
      </x:c>
      <x:c r="E1622" t="str">
        <x:v>Shots and Ready To Drink</x:v>
      </x:c>
      <x:c r="F1622" t="str"/>
      <x:c r="G1622" t="str">
        <x:v>12 x 60ml shots</x:v>
      </x:c>
      <x:c r="H1622" t="str">
        <x:v>Kiwi Lime</x:v>
      </x:c>
      <x:c r="I1622" t="str">
        <x:v>12</x:v>
      </x:c>
      <x:c r="J1622" t="str">
        <x:v>Case</x:v>
      </x:c>
      <x:c r="K1622" t="str">
        <x:v>Out of stock</x:v>
      </x:c>
      <x:c r="L1622" t="str">
        <x:v>2026-09-08</x:v>
      </x:c>
      <x:c r="M1622" t="str"/>
      <x:c r="N1622" t="str"/>
      <x:c r="O1622" t="str">
        <x:v>https://www.activesportstrade.co.uk/Ready-to-Drink-Energy/nxt-nutrition-trade/norec</x:v>
      </x:c>
      <x:c r="P1622" t="str">
        <x:v>Case-only member order.</x:v>
      </x:c>
      <x:c r="Q1622" t="str"/>
      <x:c r="R1622" t="str"/>
      <x:c r="S1622" t="str">
        <x:v>Pending genuine supplier/brand image</x:v>
      </x:c>
      <x:c r="T1622" s="54"/>
      <x:c r="U1622" s="47" t="n">
        <x:v>0.2</x:v>
      </x:c>
      <x:c r="V1622" s="54" t="str">
        <x:f>IF(ISNUMBER(T1622),T1622*(1+U1622),"")</x:f>
      </x:c>
      <x:c r="W1622" s="47" t="n">
        <x:v>0.3</x:v>
      </x:c>
      <x:c r="X1622" s="54" t="str">
        <x:f>IF(ISNUMBER(V1622),V1622/(1-W1622),"")</x:f>
      </x:c>
      <x:c r="Y1622" s="55" t="str">
        <x:f>IF(ISNUMBER(X1622),ROUNDUP(X1622,0),"")</x:f>
      </x:c>
      <x:c r="Z1622" t="str">
        <x:f>IF(ISNUMBER(T1622),"Cost captured","Awaiting trade cost")</x:f>
        <x:v>Awaiting trade cost</x:v>
      </x:c>
      <x:c r="AB1622" s="36" t="str">
        <x:f>IF(ISNUMBER(Y1622),ROUND(Y1622*0.9,2),"")</x:f>
      </x:c>
      <x:c r="AC1622" s="36" t="str">
        <x:f>IF(ISNUMBER(AB1622),ROUND(AB1622-(AB1622*0.015+0.2)-V1622,2),"")</x:f>
      </x:c>
      <x:c r="AD1622" s="36" t="str">
        <x:f>IF(ISNUMBER(Y1622),ROUND(Y1622*0.8,2),"")</x:f>
      </x:c>
      <x:c r="AE1622" s="36" t="str">
        <x:f>IF(ISNUMBER(AD1622),ROUND(AD1622*0.015+0.2,2),"")</x:f>
      </x:c>
      <x:c r="AF1622" s="36" t="str">
        <x:f>IF(ISNUMBER(AD1622),ROUND(AD1622-AE1622-V1622,2),"")</x:f>
      </x:c>
      <x:c r="AG1622" t="str">
        <x:f>IF(NOT(ISNUMBER(T1622)),"PENDING",IF(AF1622&gt;0,"PASS","FAIL"))</x:f>
        <x:v>PENDING</x:v>
      </x:c>
      <x:c r="AH1622" t="str">
        <x:f>IF(NOT(ISNUMBER(T1622)),"Needs supplier cost",IF(K1622&lt;&gt;"In stock","Supplier unavailable",IF(AG1622&lt;&gt;"PASS","BLOCK - GT loss risk","Commercially protected")))</x:f>
        <x:v>Needs supplier cost</x:v>
      </x:c>
      <x:c r="AI1622" t="str">
        <x:v>2026-09-10 Active Sports trade capture</x:v>
      </x:c>
      <x:c r="AJ1622" t="str">
        <x:v>Management-only economics. Stripe stress test uses 1.5% + £0.20 standard UK online-card fee; pallet/mix-and-match pricing ignored.</x:v>
      </x:c>
    </x:row>
    <x:row r="1623">
      <x:c r="A1623" t="str">
        <x:v>Active Sports Nutrition</x:v>
      </x:c>
      <x:c r="B1623" t="str">
        <x:v>NXT Nutrition</x:v>
      </x:c>
      <x:c r="C1623" t="str">
        <x:v>TNT Nuclear Shots</x:v>
      </x:c>
      <x:c r="D1623" t="str">
        <x:v>Pre Workouts</x:v>
      </x:c>
      <x:c r="E1623" t="str">
        <x:v>Shots and Ready To Drink</x:v>
      </x:c>
      <x:c r="F1623" t="str"/>
      <x:c r="G1623" t="str">
        <x:v>12 x 60ml shots</x:v>
      </x:c>
      <x:c r="H1623" t="str">
        <x:v>Mixed Candy</x:v>
      </x:c>
      <x:c r="I1623" t="str">
        <x:v>12</x:v>
      </x:c>
      <x:c r="J1623" t="str">
        <x:v>Case</x:v>
      </x:c>
      <x:c r="K1623" t="str">
        <x:v>In stock</x:v>
      </x:c>
      <x:c r="L1623" t="str">
        <x:v>2026-09-08</x:v>
      </x:c>
      <x:c r="M1623" t="str"/>
      <x:c r="N1623" t="str"/>
      <x:c r="O1623" t="str">
        <x:v>https://www.activesportstrade.co.uk/Ready-to-Drink-Energy/nxt-nutrition-trade/norec</x:v>
      </x:c>
      <x:c r="P1623" t="str">
        <x:v>Case-only member order.</x:v>
      </x:c>
      <x:c r="Q1623" t="str"/>
      <x:c r="R1623" t="str"/>
      <x:c r="S1623" t="str">
        <x:v>Pending genuine supplier/brand image</x:v>
      </x:c>
      <x:c r="T1623" s="54"/>
      <x:c r="U1623" s="47" t="n">
        <x:v>0.2</x:v>
      </x:c>
      <x:c r="V1623" s="54" t="str">
        <x:f>IF(ISNUMBER(T1623),T1623*(1+U1623),"")</x:f>
      </x:c>
      <x:c r="W1623" s="47" t="n">
        <x:v>0.3</x:v>
      </x:c>
      <x:c r="X1623" s="54" t="str">
        <x:f>IF(ISNUMBER(V1623),V1623/(1-W1623),"")</x:f>
      </x:c>
      <x:c r="Y1623" s="55" t="str">
        <x:f>IF(ISNUMBER(X1623),ROUNDUP(X1623,0),"")</x:f>
      </x:c>
      <x:c r="Z1623" t="str">
        <x:f>IF(ISNUMBER(T1623),"Cost captured","Awaiting trade cost")</x:f>
        <x:v>Awaiting trade cost</x:v>
      </x:c>
      <x:c r="AB1623" s="36" t="str">
        <x:f>IF(ISNUMBER(Y1623),ROUND(Y1623*0.9,2),"")</x:f>
      </x:c>
      <x:c r="AC1623" s="36" t="str">
        <x:f>IF(ISNUMBER(AB1623),ROUND(AB1623-(AB1623*0.015+0.2)-V1623,2),"")</x:f>
      </x:c>
      <x:c r="AD1623" s="36" t="str">
        <x:f>IF(ISNUMBER(Y1623),ROUND(Y1623*0.8,2),"")</x:f>
      </x:c>
      <x:c r="AE1623" s="36" t="str">
        <x:f>IF(ISNUMBER(AD1623),ROUND(AD1623*0.015+0.2,2),"")</x:f>
      </x:c>
      <x:c r="AF1623" s="36" t="str">
        <x:f>IF(ISNUMBER(AD1623),ROUND(AD1623-AE1623-V1623,2),"")</x:f>
      </x:c>
      <x:c r="AG1623" t="str">
        <x:f>IF(NOT(ISNUMBER(T1623)),"PENDING",IF(AF1623&gt;0,"PASS","FAIL"))</x:f>
        <x:v>PENDING</x:v>
      </x:c>
      <x:c r="AH1623" t="str">
        <x:f>IF(NOT(ISNUMBER(T1623)),"Needs supplier cost",IF(K1623&lt;&gt;"In stock","Supplier unavailable",IF(AG1623&lt;&gt;"PASS","BLOCK - GT loss risk","Commercially protected")))</x:f>
        <x:v>Needs supplier cost</x:v>
      </x:c>
      <x:c r="AI1623" t="str">
        <x:v>2026-09-10 Active Sports trade capture</x:v>
      </x:c>
      <x:c r="AJ1623" t="str">
        <x:v>Management-only economics. Stripe stress test uses 1.5% + £0.20 standard UK online-card fee; pallet/mix-and-match pricing ignored.</x:v>
      </x:c>
    </x:row>
    <x:row r="1624">
      <x:c r="A1624" t="str">
        <x:v>Active Sports Nutrition</x:v>
      </x:c>
      <x:c r="B1624" t="str">
        <x:v>NXT Nutrition</x:v>
      </x:c>
      <x:c r="C1624" t="str">
        <x:v>TNT Nuclear Shots</x:v>
      </x:c>
      <x:c r="D1624" t="str">
        <x:v>Pre Workouts</x:v>
      </x:c>
      <x:c r="E1624" t="str">
        <x:v>Shots and Ready To Drink</x:v>
      </x:c>
      <x:c r="F1624" t="str"/>
      <x:c r="G1624" t="str">
        <x:v>12 x 60ml shots</x:v>
      </x:c>
      <x:c r="H1624" t="str">
        <x:v>Orange</x:v>
      </x:c>
      <x:c r="I1624" t="str">
        <x:v>12</x:v>
      </x:c>
      <x:c r="J1624" t="str">
        <x:v>Case</x:v>
      </x:c>
      <x:c r="K1624" t="str">
        <x:v>In stock</x:v>
      </x:c>
      <x:c r="L1624" t="str">
        <x:v>2026-09-08</x:v>
      </x:c>
      <x:c r="M1624" t="str"/>
      <x:c r="N1624" t="str"/>
      <x:c r="O1624" t="str">
        <x:v>https://www.activesportstrade.co.uk/Ready-to-Drink-Energy/nxt-nutrition-trade/norec</x:v>
      </x:c>
      <x:c r="P1624" t="str">
        <x:v>Case-only member order.</x:v>
      </x:c>
      <x:c r="Q1624" t="str"/>
      <x:c r="R1624" t="str"/>
      <x:c r="S1624" t="str">
        <x:v>Pending genuine supplier/brand image</x:v>
      </x:c>
      <x:c r="T1624" s="54"/>
      <x:c r="U1624" s="47" t="n">
        <x:v>0.2</x:v>
      </x:c>
      <x:c r="V1624" s="54" t="str">
        <x:f>IF(ISNUMBER(T1624),T1624*(1+U1624),"")</x:f>
      </x:c>
      <x:c r="W1624" s="47" t="n">
        <x:v>0.3</x:v>
      </x:c>
      <x:c r="X1624" s="54" t="str">
        <x:f>IF(ISNUMBER(V1624),V1624/(1-W1624),"")</x:f>
      </x:c>
      <x:c r="Y1624" s="55" t="str">
        <x:f>IF(ISNUMBER(X1624),ROUNDUP(X1624,0),"")</x:f>
      </x:c>
      <x:c r="Z1624" t="str">
        <x:f>IF(ISNUMBER(T1624),"Cost captured","Awaiting trade cost")</x:f>
        <x:v>Awaiting trade cost</x:v>
      </x:c>
      <x:c r="AB1624" s="36" t="str">
        <x:f>IF(ISNUMBER(Y1624),ROUND(Y1624*0.9,2),"")</x:f>
      </x:c>
      <x:c r="AC1624" s="36" t="str">
        <x:f>IF(ISNUMBER(AB1624),ROUND(AB1624-(AB1624*0.015+0.2)-V1624,2),"")</x:f>
      </x:c>
      <x:c r="AD1624" s="36" t="str">
        <x:f>IF(ISNUMBER(Y1624),ROUND(Y1624*0.8,2),"")</x:f>
      </x:c>
      <x:c r="AE1624" s="36" t="str">
        <x:f>IF(ISNUMBER(AD1624),ROUND(AD1624*0.015+0.2,2),"")</x:f>
      </x:c>
      <x:c r="AF1624" s="36" t="str">
        <x:f>IF(ISNUMBER(AD1624),ROUND(AD1624-AE1624-V1624,2),"")</x:f>
      </x:c>
      <x:c r="AG1624" t="str">
        <x:f>IF(NOT(ISNUMBER(T1624)),"PENDING",IF(AF1624&gt;0,"PASS","FAIL"))</x:f>
        <x:v>PENDING</x:v>
      </x:c>
      <x:c r="AH1624" t="str">
        <x:f>IF(NOT(ISNUMBER(T1624)),"Needs supplier cost",IF(K1624&lt;&gt;"In stock","Supplier unavailable",IF(AG1624&lt;&gt;"PASS","BLOCK - GT loss risk","Commercially protected")))</x:f>
        <x:v>Needs supplier cost</x:v>
      </x:c>
      <x:c r="AI1624" t="str">
        <x:v>2026-09-10 Active Sports trade capture</x:v>
      </x:c>
      <x:c r="AJ1624" t="str">
        <x:v>Management-only economics. Stripe stress test uses 1.5% + £0.20 standard UK online-card fee; pallet/mix-and-match pricing ignored.</x:v>
      </x:c>
    </x:row>
    <x:row r="1625">
      <x:c r="A1625" t="str">
        <x:v>Active Sports Nutrition</x:v>
      </x:c>
      <x:c r="B1625" t="str">
        <x:v>NXT Nutrition</x:v>
      </x:c>
      <x:c r="C1625" t="str">
        <x:v>TNT Nuclear Shots</x:v>
      </x:c>
      <x:c r="D1625" t="str">
        <x:v>Pre Workouts</x:v>
      </x:c>
      <x:c r="E1625" t="str">
        <x:v>Shots and Ready To Drink</x:v>
      </x:c>
      <x:c r="F1625" t="str"/>
      <x:c r="G1625" t="str">
        <x:v>12 x 60ml shots</x:v>
      </x:c>
      <x:c r="H1625" t="str">
        <x:v>Pineapple</x:v>
      </x:c>
      <x:c r="I1625" t="str">
        <x:v>12</x:v>
      </x:c>
      <x:c r="J1625" t="str">
        <x:v>Case</x:v>
      </x:c>
      <x:c r="K1625" t="str">
        <x:v>In stock</x:v>
      </x:c>
      <x:c r="L1625" t="str">
        <x:v>2026-09-08</x:v>
      </x:c>
      <x:c r="M1625" t="str"/>
      <x:c r="N1625" t="str"/>
      <x:c r="O1625" t="str">
        <x:v>https://www.activesportstrade.co.uk/Ready-to-Drink-Energy/nxt-nutrition-trade/norec</x:v>
      </x:c>
      <x:c r="P1625" t="str">
        <x:v>Case-only member order.</x:v>
      </x:c>
      <x:c r="Q1625" t="str"/>
      <x:c r="R1625" t="str"/>
      <x:c r="S1625" t="str">
        <x:v>Pending genuine supplier/brand image</x:v>
      </x:c>
      <x:c r="T1625" s="54"/>
      <x:c r="U1625" s="47" t="n">
        <x:v>0.2</x:v>
      </x:c>
      <x:c r="V1625" s="54" t="str">
        <x:f>IF(ISNUMBER(T1625),T1625*(1+U1625),"")</x:f>
      </x:c>
      <x:c r="W1625" s="47" t="n">
        <x:v>0.3</x:v>
      </x:c>
      <x:c r="X1625" s="54" t="str">
        <x:f>IF(ISNUMBER(V1625),V1625/(1-W1625),"")</x:f>
      </x:c>
      <x:c r="Y1625" s="55" t="str">
        <x:f>IF(ISNUMBER(X1625),ROUNDUP(X1625,0),"")</x:f>
      </x:c>
      <x:c r="Z1625" t="str">
        <x:f>IF(ISNUMBER(T1625),"Cost captured","Awaiting trade cost")</x:f>
        <x:v>Awaiting trade cost</x:v>
      </x:c>
      <x:c r="AB1625" s="36" t="str">
        <x:f>IF(ISNUMBER(Y1625),ROUND(Y1625*0.9,2),"")</x:f>
      </x:c>
      <x:c r="AC1625" s="36" t="str">
        <x:f>IF(ISNUMBER(AB1625),ROUND(AB1625-(AB1625*0.015+0.2)-V1625,2),"")</x:f>
      </x:c>
      <x:c r="AD1625" s="36" t="str">
        <x:f>IF(ISNUMBER(Y1625),ROUND(Y1625*0.8,2),"")</x:f>
      </x:c>
      <x:c r="AE1625" s="36" t="str">
        <x:f>IF(ISNUMBER(AD1625),ROUND(AD1625*0.015+0.2,2),"")</x:f>
      </x:c>
      <x:c r="AF1625" s="36" t="str">
        <x:f>IF(ISNUMBER(AD1625),ROUND(AD1625-AE1625-V1625,2),"")</x:f>
      </x:c>
      <x:c r="AG1625" t="str">
        <x:f>IF(NOT(ISNUMBER(T1625)),"PENDING",IF(AF1625&gt;0,"PASS","FAIL"))</x:f>
        <x:v>PENDING</x:v>
      </x:c>
      <x:c r="AH1625" t="str">
        <x:f>IF(NOT(ISNUMBER(T1625)),"Needs supplier cost",IF(K1625&lt;&gt;"In stock","Supplier unavailable",IF(AG1625&lt;&gt;"PASS","BLOCK - GT loss risk","Commercially protected")))</x:f>
        <x:v>Needs supplier cost</x:v>
      </x:c>
      <x:c r="AI1625" t="str">
        <x:v>2026-09-10 Active Sports trade capture</x:v>
      </x:c>
      <x:c r="AJ1625" t="str">
        <x:v>Management-only economics. Stripe stress test uses 1.5% + £0.20 standard UK online-card fee; pallet/mix-and-match pricing ignored.</x:v>
      </x:c>
    </x:row>
    <x:row r="1626">
      <x:c r="A1626" t="str">
        <x:v>Active Sports Nutrition</x:v>
      </x:c>
      <x:c r="B1626" t="str">
        <x:v>NXT Nutrition</x:v>
      </x:c>
      <x:c r="C1626" t="str">
        <x:v>TNT Nuclear Shots</x:v>
      </x:c>
      <x:c r="D1626" t="str">
        <x:v>Pre Workouts</x:v>
      </x:c>
      <x:c r="E1626" t="str">
        <x:v>Shots and Ready To Drink</x:v>
      </x:c>
      <x:c r="F1626" t="str"/>
      <x:c r="G1626" t="str">
        <x:v>12 x 60ml shots</x:v>
      </x:c>
      <x:c r="H1626" t="str">
        <x:v>Strawberry</x:v>
      </x:c>
      <x:c r="I1626" t="str">
        <x:v>12</x:v>
      </x:c>
      <x:c r="J1626" t="str">
        <x:v>Case</x:v>
      </x:c>
      <x:c r="K1626" t="str">
        <x:v>Out of stock</x:v>
      </x:c>
      <x:c r="L1626" t="str">
        <x:v>2026-09-08</x:v>
      </x:c>
      <x:c r="M1626" t="str"/>
      <x:c r="N1626" t="str"/>
      <x:c r="O1626" t="str">
        <x:v>https://www.activesportstrade.co.uk/Ready-to-Drink-Energy/nxt-nutrition-trade/norec</x:v>
      </x:c>
      <x:c r="P1626" t="str">
        <x:v>Case-only member order.</x:v>
      </x:c>
      <x:c r="Q1626" t="str"/>
      <x:c r="R1626" t="str"/>
      <x:c r="S1626" t="str">
        <x:v>Pending genuine supplier/brand image</x:v>
      </x:c>
      <x:c r="T1626" s="54"/>
      <x:c r="U1626" s="47" t="n">
        <x:v>0.2</x:v>
      </x:c>
      <x:c r="V1626" s="54" t="str">
        <x:f>IF(ISNUMBER(T1626),T1626*(1+U1626),"")</x:f>
      </x:c>
      <x:c r="W1626" s="47" t="n">
        <x:v>0.3</x:v>
      </x:c>
      <x:c r="X1626" s="54" t="str">
        <x:f>IF(ISNUMBER(V1626),V1626/(1-W1626),"")</x:f>
      </x:c>
      <x:c r="Y1626" s="55" t="str">
        <x:f>IF(ISNUMBER(X1626),ROUNDUP(X1626,0),"")</x:f>
      </x:c>
      <x:c r="Z1626" t="str">
        <x:f>IF(ISNUMBER(T1626),"Cost captured","Awaiting trade cost")</x:f>
        <x:v>Awaiting trade cost</x:v>
      </x:c>
      <x:c r="AB1626" s="36" t="str">
        <x:f>IF(ISNUMBER(Y1626),ROUND(Y1626*0.9,2),"")</x:f>
      </x:c>
      <x:c r="AC1626" s="36" t="str">
        <x:f>IF(ISNUMBER(AB1626),ROUND(AB1626-(AB1626*0.015+0.2)-V1626,2),"")</x:f>
      </x:c>
      <x:c r="AD1626" s="36" t="str">
        <x:f>IF(ISNUMBER(Y1626),ROUND(Y1626*0.8,2),"")</x:f>
      </x:c>
      <x:c r="AE1626" s="36" t="str">
        <x:f>IF(ISNUMBER(AD1626),ROUND(AD1626*0.015+0.2,2),"")</x:f>
      </x:c>
      <x:c r="AF1626" s="36" t="str">
        <x:f>IF(ISNUMBER(AD1626),ROUND(AD1626-AE1626-V1626,2),"")</x:f>
      </x:c>
      <x:c r="AG1626" t="str">
        <x:f>IF(NOT(ISNUMBER(T1626)),"PENDING",IF(AF1626&gt;0,"PASS","FAIL"))</x:f>
        <x:v>PENDING</x:v>
      </x:c>
      <x:c r="AH1626" t="str">
        <x:f>IF(NOT(ISNUMBER(T1626)),"Needs supplier cost",IF(K1626&lt;&gt;"In stock","Supplier unavailable",IF(AG1626&lt;&gt;"PASS","BLOCK - GT loss risk","Commercially protected")))</x:f>
        <x:v>Needs supplier cost</x:v>
      </x:c>
      <x:c r="AI1626" t="str">
        <x:v>2026-09-10 Active Sports trade capture</x:v>
      </x:c>
      <x:c r="AJ1626" t="str">
        <x:v>Management-only economics. Stripe stress test uses 1.5% + £0.20 standard UK online-card fee; pallet/mix-and-match pricing ignored.</x:v>
      </x:c>
    </x:row>
    <x:row r="1627">
      <x:c r="A1627" t="str">
        <x:v>Active Sports Nutrition</x:v>
      </x:c>
      <x:c r="B1627" t="str">
        <x:v>QNT</x:v>
      </x:c>
      <x:c r="C1627" t="str">
        <x:v>BCAA 8000 RTD</x:v>
      </x:c>
      <x:c r="D1627" t="str">
        <x:v>Drinks and Bars</x:v>
      </x:c>
      <x:c r="E1627" t="str">
        <x:v>Ready to Drink Amino Acids</x:v>
      </x:c>
      <x:c r="F1627" t="str"/>
      <x:c r="G1627" t="str">
        <x:v>12 x 700ml bottles</x:v>
      </x:c>
      <x:c r="H1627" t="str">
        <x:v>Forest Fruits</x:v>
      </x:c>
      <x:c r="I1627" t="str">
        <x:v>12</x:v>
      </x:c>
      <x:c r="J1627" t="str">
        <x:v>Case</x:v>
      </x:c>
      <x:c r="K1627" t="str">
        <x:v>In stock</x:v>
      </x:c>
      <x:c r="L1627" t="str">
        <x:v>2026-09-08</x:v>
      </x:c>
      <x:c r="M1627" t="str"/>
      <x:c r="N1627" t="str"/>
      <x:c r="O1627" t="str">
        <x:v>https://www.activesportstrade.co.uk/Intra-Workout</x:v>
      </x:c>
      <x:c r="P1627" t="str">
        <x:v>PALLET PROMO price/minimum-order boilerplate excluded.</x:v>
      </x:c>
      <x:c r="Q1627" t="str"/>
      <x:c r="R1627" t="str"/>
      <x:c r="S1627" t="str">
        <x:v>Pending genuine supplier/brand image</x:v>
      </x:c>
      <x:c r="T1627" s="54" t="n">
        <x:v>12.99</x:v>
      </x:c>
      <x:c r="U1627" s="47" t="n">
        <x:v>0.2</x:v>
      </x:c>
      <x:c r="V1627" s="54" t="n">
        <x:f>IF(ISNUMBER(T1627),T1627*(1+U1627),"")</x:f>
        <x:v>15.588</x:v>
      </x:c>
      <x:c r="W1627" s="47" t="n">
        <x:v>0.3</x:v>
      </x:c>
      <x:c r="X1627" s="54" t="n">
        <x:f>IF(ISNUMBER(V1627),V1627/(1-W1627),"")</x:f>
        <x:v>22.26857142857143</x:v>
      </x:c>
      <x:c r="Y1627" s="55" t="n">
        <x:f>IF(ISNUMBER(X1627),ROUNDUP(X1627,0),"")</x:f>
        <x:v>23</x:v>
      </x:c>
      <x:c r="Z1627" t="str">
        <x:v>Source match pending</x:v>
      </x:c>
      <x:c r="AA1627" t="str">
        <x:v>screencapture-www-activesportstrade-co-uk-qnt-trade-2026-09-09-18_50_30.png / page-001</x:v>
      </x:c>
      <x:c r="AB1627" s="36" t="n">
        <x:f>IF(ISNUMBER(Y1627),ROUND(Y1627*0.9,2),"")</x:f>
        <x:v>20.7</x:v>
      </x:c>
      <x:c r="AC1627" s="36" t="n">
        <x:f>IF(ISNUMBER(AB1627),ROUND(AB1627-(AB1627*0.015+0.2)-V1627,2),"")</x:f>
        <x:v>4.6</x:v>
      </x:c>
      <x:c r="AD1627" s="36" t="n">
        <x:f>IF(ISNUMBER(Y1627),ROUND(Y1627*0.8,2),"")</x:f>
        <x:v>18.4</x:v>
      </x:c>
      <x:c r="AE1627" s="36" t="n">
        <x:f>IF(ISNUMBER(AD1627),ROUND(AD1627*0.015+0.2,2),"")</x:f>
        <x:v>0.48</x:v>
      </x:c>
      <x:c r="AF1627" s="36" t="n">
        <x:f>IF(ISNUMBER(AD1627),ROUND(AD1627-AE1627-V1627,2),"")</x:f>
        <x:v>2.33</x:v>
      </x:c>
      <x:c r="AG1627" t="str">
        <x:f>IF(NOT(ISNUMBER(T1627)),"PENDING",IF(AF1627&gt;0,"PASS","FAIL"))</x:f>
        <x:v>PASS</x:v>
      </x:c>
      <x:c r="AH1627" t="str">
        <x:f>IF(NOT(ISNUMBER(T1627)),"Needs supplier cost",IF(K1627&lt;&gt;"In stock","Supplier unavailable",IF(AG1627&lt;&gt;"PASS","BLOCK - GT loss risk","Commercially protected")))</x:f>
        <x:v>Commercially protected</x:v>
      </x:c>
      <x:c r="AI1627" t="str">
        <x:v>2026-09-10 Active Sports trade capture</x:v>
      </x:c>
      <x:c r="AJ1627" t="str">
        <x:v>Management-only economics. Stripe stress test uses 1.5% + £0.20 standard UK online-card fee; pallet/mix-and-match pricing ignored.</x:v>
      </x:c>
    </x:row>
    <x:row r="1628">
      <x:c r="A1628" t="str">
        <x:v>Active Sports Nutrition</x:v>
      </x:c>
      <x:c r="B1628" t="str">
        <x:v>QNT</x:v>
      </x:c>
      <x:c r="C1628" t="str">
        <x:v>BCAA 8000 RTD</x:v>
      </x:c>
      <x:c r="D1628" t="str">
        <x:v>Drinks and Bars</x:v>
      </x:c>
      <x:c r="E1628" t="str">
        <x:v>Ready to Drink Amino Acids</x:v>
      </x:c>
      <x:c r="F1628" t="str"/>
      <x:c r="G1628" t="str">
        <x:v>12 x 700ml bottles</x:v>
      </x:c>
      <x:c r="H1628" t="str">
        <x:v>Grapefruit</x:v>
      </x:c>
      <x:c r="I1628" t="str">
        <x:v>12</x:v>
      </x:c>
      <x:c r="J1628" t="str">
        <x:v>Case</x:v>
      </x:c>
      <x:c r="K1628" t="str">
        <x:v>In stock</x:v>
      </x:c>
      <x:c r="L1628" t="str">
        <x:v>2026-09-08</x:v>
      </x:c>
      <x:c r="M1628" t="str"/>
      <x:c r="N1628" t="str"/>
      <x:c r="O1628" t="str">
        <x:v>https://www.activesportstrade.co.uk/Intra-Workout</x:v>
      </x:c>
      <x:c r="P1628" t="str">
        <x:v>PALLET PROMO price/minimum-order boilerplate excluded.</x:v>
      </x:c>
      <x:c r="Q1628" t="str"/>
      <x:c r="R1628" t="str"/>
      <x:c r="S1628" t="str">
        <x:v>Pending genuine supplier/brand image</x:v>
      </x:c>
      <x:c r="T1628" s="54" t="n">
        <x:v>12.99</x:v>
      </x:c>
      <x:c r="U1628" s="47" t="n">
        <x:v>0.2</x:v>
      </x:c>
      <x:c r="V1628" s="54" t="n">
        <x:f>IF(ISNUMBER(T1628),T1628*(1+U1628),"")</x:f>
        <x:v>15.588</x:v>
      </x:c>
      <x:c r="W1628" s="47" t="n">
        <x:v>0.3</x:v>
      </x:c>
      <x:c r="X1628" s="54" t="n">
        <x:f>IF(ISNUMBER(V1628),V1628/(1-W1628),"")</x:f>
        <x:v>22.26857142857143</x:v>
      </x:c>
      <x:c r="Y1628" s="55" t="n">
        <x:f>IF(ISNUMBER(X1628),ROUNDUP(X1628,0),"")</x:f>
        <x:v>23</x:v>
      </x:c>
      <x:c r="Z1628" t="str">
        <x:v>Source match pending</x:v>
      </x:c>
      <x:c r="AA1628" t="str">
        <x:v>screencapture-www-activesportstrade-co-uk-qnt-trade-2026-09-09-18_50_30.png / page-001</x:v>
      </x:c>
      <x:c r="AB1628" s="36" t="n">
        <x:f>IF(ISNUMBER(Y1628),ROUND(Y1628*0.9,2),"")</x:f>
        <x:v>20.7</x:v>
      </x:c>
      <x:c r="AC1628" s="36" t="n">
        <x:f>IF(ISNUMBER(AB1628),ROUND(AB1628-(AB1628*0.015+0.2)-V1628,2),"")</x:f>
        <x:v>4.6</x:v>
      </x:c>
      <x:c r="AD1628" s="36" t="n">
        <x:f>IF(ISNUMBER(Y1628),ROUND(Y1628*0.8,2),"")</x:f>
        <x:v>18.4</x:v>
      </x:c>
      <x:c r="AE1628" s="36" t="n">
        <x:f>IF(ISNUMBER(AD1628),ROUND(AD1628*0.015+0.2,2),"")</x:f>
        <x:v>0.48</x:v>
      </x:c>
      <x:c r="AF1628" s="36" t="n">
        <x:f>IF(ISNUMBER(AD1628),ROUND(AD1628-AE1628-V1628,2),"")</x:f>
        <x:v>2.33</x:v>
      </x:c>
      <x:c r="AG1628" t="str">
        <x:f>IF(NOT(ISNUMBER(T1628)),"PENDING",IF(AF1628&gt;0,"PASS","FAIL"))</x:f>
        <x:v>PASS</x:v>
      </x:c>
      <x:c r="AH1628" t="str">
        <x:f>IF(NOT(ISNUMBER(T1628)),"Needs supplier cost",IF(K1628&lt;&gt;"In stock","Supplier unavailable",IF(AG1628&lt;&gt;"PASS","BLOCK - GT loss risk","Commercially protected")))</x:f>
        <x:v>Commercially protected</x:v>
      </x:c>
      <x:c r="AI1628" t="str">
        <x:v>2026-09-10 Active Sports trade capture</x:v>
      </x:c>
      <x:c r="AJ1628" t="str">
        <x:v>Management-only economics. Stripe stress test uses 1.5% + £0.20 standard UK online-card fee; pallet/mix-and-match pricing ignored.</x:v>
      </x:c>
    </x:row>
    <x:row r="1629">
      <x:c r="A1629" t="str">
        <x:v>Active Sports Nutrition</x:v>
      </x:c>
      <x:c r="B1629" t="str">
        <x:v>QNT</x:v>
      </x:c>
      <x:c r="C1629" t="str">
        <x:v>BCAA 8000 RTD</x:v>
      </x:c>
      <x:c r="D1629" t="str">
        <x:v>Drinks and Bars</x:v>
      </x:c>
      <x:c r="E1629" t="str">
        <x:v>Ready to Drink Amino Acids</x:v>
      </x:c>
      <x:c r="F1629" t="str"/>
      <x:c r="G1629" t="str">
        <x:v>12 x 700ml bottles</x:v>
      </x:c>
      <x:c r="H1629" t="str">
        <x:v>Lemon</x:v>
      </x:c>
      <x:c r="I1629" t="str">
        <x:v>12</x:v>
      </x:c>
      <x:c r="J1629" t="str">
        <x:v>Case</x:v>
      </x:c>
      <x:c r="K1629" t="str">
        <x:v>In stock</x:v>
      </x:c>
      <x:c r="L1629" t="str">
        <x:v>2026-09-08</x:v>
      </x:c>
      <x:c r="M1629" t="str"/>
      <x:c r="N1629" t="str"/>
      <x:c r="O1629" t="str">
        <x:v>https://www.activesportstrade.co.uk/Intra-Workout</x:v>
      </x:c>
      <x:c r="P1629" t="str">
        <x:v>PALLET PROMO price/minimum-order boilerplate excluded.</x:v>
      </x:c>
      <x:c r="Q1629" t="str"/>
      <x:c r="R1629" t="str"/>
      <x:c r="S1629" t="str">
        <x:v>Pending genuine supplier/brand image</x:v>
      </x:c>
      <x:c r="T1629" s="54" t="n">
        <x:v>12.99</x:v>
      </x:c>
      <x:c r="U1629" s="47" t="n">
        <x:v>0.2</x:v>
      </x:c>
      <x:c r="V1629" s="54" t="n">
        <x:f>IF(ISNUMBER(T1629),T1629*(1+U1629),"")</x:f>
        <x:v>15.588</x:v>
      </x:c>
      <x:c r="W1629" s="47" t="n">
        <x:v>0.3</x:v>
      </x:c>
      <x:c r="X1629" s="54" t="n">
        <x:f>IF(ISNUMBER(V1629),V1629/(1-W1629),"")</x:f>
        <x:v>22.26857142857143</x:v>
      </x:c>
      <x:c r="Y1629" s="55" t="n">
        <x:f>IF(ISNUMBER(X1629),ROUNDUP(X1629,0),"")</x:f>
        <x:v>23</x:v>
      </x:c>
      <x:c r="Z1629" t="str">
        <x:v>Source match pending</x:v>
      </x:c>
      <x:c r="AA1629" t="str">
        <x:v>screencapture-www-activesportstrade-co-uk-qnt-trade-2026-09-09-18_50_30.png / page-001</x:v>
      </x:c>
      <x:c r="AB1629" s="36" t="n">
        <x:f>IF(ISNUMBER(Y1629),ROUND(Y1629*0.9,2),"")</x:f>
        <x:v>20.7</x:v>
      </x:c>
      <x:c r="AC1629" s="36" t="n">
        <x:f>IF(ISNUMBER(AB1629),ROUND(AB1629-(AB1629*0.015+0.2)-V1629,2),"")</x:f>
        <x:v>4.6</x:v>
      </x:c>
      <x:c r="AD1629" s="36" t="n">
        <x:f>IF(ISNUMBER(Y1629),ROUND(Y1629*0.8,2),"")</x:f>
        <x:v>18.4</x:v>
      </x:c>
      <x:c r="AE1629" s="36" t="n">
        <x:f>IF(ISNUMBER(AD1629),ROUND(AD1629*0.015+0.2,2),"")</x:f>
        <x:v>0.48</x:v>
      </x:c>
      <x:c r="AF1629" s="36" t="n">
        <x:f>IF(ISNUMBER(AD1629),ROUND(AD1629-AE1629-V1629,2),"")</x:f>
        <x:v>2.33</x:v>
      </x:c>
      <x:c r="AG1629" t="str">
        <x:f>IF(NOT(ISNUMBER(T1629)),"PENDING",IF(AF1629&gt;0,"PASS","FAIL"))</x:f>
        <x:v>PASS</x:v>
      </x:c>
      <x:c r="AH1629" t="str">
        <x:f>IF(NOT(ISNUMBER(T1629)),"Needs supplier cost",IF(K1629&lt;&gt;"In stock","Supplier unavailable",IF(AG1629&lt;&gt;"PASS","BLOCK - GT loss risk","Commercially protected")))</x:f>
        <x:v>Commercially protected</x:v>
      </x:c>
      <x:c r="AI1629" t="str">
        <x:v>2026-09-10 Active Sports trade capture</x:v>
      </x:c>
      <x:c r="AJ1629" t="str">
        <x:v>Management-only economics. Stripe stress test uses 1.5% + £0.20 standard UK online-card fee; pallet/mix-and-match pricing ignored.</x:v>
      </x:c>
    </x:row>
    <x:row r="1630">
      <x:c r="A1630" t="str">
        <x:v>Active Sports Nutrition</x:v>
      </x:c>
      <x:c r="B1630" t="str">
        <x:v>QNT</x:v>
      </x:c>
      <x:c r="C1630" t="str">
        <x:v>H2O L-Carnitine Immunity Water</x:v>
      </x:c>
      <x:c r="D1630" t="str">
        <x:v>Drinks and Bars</x:v>
      </x:c>
      <x:c r="E1630" t="str">
        <x:v>Ready to Drink Hydration</x:v>
      </x:c>
      <x:c r="F1630" t="str"/>
      <x:c r="G1630" t="str">
        <x:v>12 x 500ml bottles</x:v>
      </x:c>
      <x:c r="H1630" t="str">
        <x:v>Lemon Lime</x:v>
      </x:c>
      <x:c r="I1630" t="str">
        <x:v>12</x:v>
      </x:c>
      <x:c r="J1630" t="str">
        <x:v>Case</x:v>
      </x:c>
      <x:c r="K1630" t="str">
        <x:v>In stock</x:v>
      </x:c>
      <x:c r="L1630" t="str">
        <x:v>2026-09-08</x:v>
      </x:c>
      <x:c r="M1630" t="str"/>
      <x:c r="N1630" t="str"/>
      <x:c r="O1630" t="str">
        <x:v>https://www.activesportstrade.co.uk/Diet-Weight-Loss</x:v>
      </x:c>
      <x:c r="P1630" t="str">
        <x:v>Fresh Diet &amp; Weight Loss page used; current Raspberry state Out of stock.</x:v>
      </x:c>
      <x:c r="Q1630" t="str"/>
      <x:c r="R1630" t="str"/>
      <x:c r="S1630" t="str">
        <x:v>Pending genuine supplier/brand image</x:v>
      </x:c>
      <x:c r="T1630" s="54"/>
      <x:c r="U1630" s="47" t="n">
        <x:v>0.2</x:v>
      </x:c>
      <x:c r="V1630" s="54" t="str">
        <x:f>IF(ISNUMBER(T1630),T1630*(1+U1630),"")</x:f>
      </x:c>
      <x:c r="W1630" s="47" t="n">
        <x:v>0.3</x:v>
      </x:c>
      <x:c r="X1630" s="54" t="str">
        <x:f>IF(ISNUMBER(V1630),V1630/(1-W1630),"")</x:f>
      </x:c>
      <x:c r="Y1630" s="55" t="str">
        <x:f>IF(ISNUMBER(X1630),ROUNDUP(X1630,0),"")</x:f>
      </x:c>
      <x:c r="Z1630" t="str">
        <x:f>IF(ISNUMBER(T1630),"Cost captured","Awaiting trade cost")</x:f>
        <x:v>Awaiting trade cost</x:v>
      </x:c>
      <x:c r="AB1630" s="36" t="str">
        <x:f>IF(ISNUMBER(Y1630),ROUND(Y1630*0.9,2),"")</x:f>
      </x:c>
      <x:c r="AC1630" s="36" t="str">
        <x:f>IF(ISNUMBER(AB1630),ROUND(AB1630-(AB1630*0.015+0.2)-V1630,2),"")</x:f>
      </x:c>
      <x:c r="AD1630" s="36" t="str">
        <x:f>IF(ISNUMBER(Y1630),ROUND(Y1630*0.8,2),"")</x:f>
      </x:c>
      <x:c r="AE1630" s="36" t="str">
        <x:f>IF(ISNUMBER(AD1630),ROUND(AD1630*0.015+0.2,2),"")</x:f>
      </x:c>
      <x:c r="AF1630" s="36" t="str">
        <x:f>IF(ISNUMBER(AD1630),ROUND(AD1630-AE1630-V1630,2),"")</x:f>
      </x:c>
      <x:c r="AG1630" t="str">
        <x:f>IF(NOT(ISNUMBER(T1630)),"PENDING",IF(AF1630&gt;0,"PASS","FAIL"))</x:f>
        <x:v>PENDING</x:v>
      </x:c>
      <x:c r="AH1630" t="str">
        <x:f>IF(NOT(ISNUMBER(T1630)),"Needs supplier cost",IF(K1630&lt;&gt;"In stock","Supplier unavailable",IF(AG1630&lt;&gt;"PASS","BLOCK - GT loss risk","Commercially protected")))</x:f>
        <x:v>Needs supplier cost</x:v>
      </x:c>
      <x:c r="AI1630" t="str">
        <x:v>2026-09-10 Active Sports trade capture</x:v>
      </x:c>
      <x:c r="AJ1630" t="str">
        <x:v>Management-only economics. Stripe stress test uses 1.5% + £0.20 standard UK online-card fee; pallet/mix-and-match pricing ignored.</x:v>
      </x:c>
    </x:row>
    <x:row r="1631">
      <x:c r="A1631" t="str">
        <x:v>Active Sports Nutrition</x:v>
      </x:c>
      <x:c r="B1631" t="str">
        <x:v>QNT</x:v>
      </x:c>
      <x:c r="C1631" t="str">
        <x:v>H2O L-Carnitine Immunity Water</x:v>
      </x:c>
      <x:c r="D1631" t="str">
        <x:v>Drinks and Bars</x:v>
      </x:c>
      <x:c r="E1631" t="str">
        <x:v>Ready to Drink Hydration</x:v>
      </x:c>
      <x:c r="F1631" t="str"/>
      <x:c r="G1631" t="str">
        <x:v>12 x 500ml bottles</x:v>
      </x:c>
      <x:c r="H1631" t="str">
        <x:v>Raspberry</x:v>
      </x:c>
      <x:c r="I1631" t="str">
        <x:v>12</x:v>
      </x:c>
      <x:c r="J1631" t="str">
        <x:v>Case</x:v>
      </x:c>
      <x:c r="K1631" t="str">
        <x:v>Out of stock</x:v>
      </x:c>
      <x:c r="L1631" t="str">
        <x:v>2026-09-08</x:v>
      </x:c>
      <x:c r="M1631" t="str"/>
      <x:c r="N1631" t="str"/>
      <x:c r="O1631" t="str">
        <x:v>https://www.activesportstrade.co.uk/Diet-Weight-Loss</x:v>
      </x:c>
      <x:c r="P1631" t="str">
        <x:v>Fresh Diet &amp; Weight Loss page used; current Raspberry state Out of stock.</x:v>
      </x:c>
      <x:c r="Q1631" t="str"/>
      <x:c r="R1631" t="str"/>
      <x:c r="S1631" t="str">
        <x:v>Pending genuine supplier/brand image</x:v>
      </x:c>
      <x:c r="T1631" s="54"/>
      <x:c r="U1631" s="47" t="n">
        <x:v>0.2</x:v>
      </x:c>
      <x:c r="V1631" s="54" t="str">
        <x:f>IF(ISNUMBER(T1631),T1631*(1+U1631),"")</x:f>
      </x:c>
      <x:c r="W1631" s="47" t="n">
        <x:v>0.3</x:v>
      </x:c>
      <x:c r="X1631" s="54" t="str">
        <x:f>IF(ISNUMBER(V1631),V1631/(1-W1631),"")</x:f>
      </x:c>
      <x:c r="Y1631" s="55" t="str">
        <x:f>IF(ISNUMBER(X1631),ROUNDUP(X1631,0),"")</x:f>
      </x:c>
      <x:c r="Z1631" t="str">
        <x:f>IF(ISNUMBER(T1631),"Cost captured","Awaiting trade cost")</x:f>
        <x:v>Awaiting trade cost</x:v>
      </x:c>
      <x:c r="AB1631" s="36" t="str">
        <x:f>IF(ISNUMBER(Y1631),ROUND(Y1631*0.9,2),"")</x:f>
      </x:c>
      <x:c r="AC1631" s="36" t="str">
        <x:f>IF(ISNUMBER(AB1631),ROUND(AB1631-(AB1631*0.015+0.2)-V1631,2),"")</x:f>
      </x:c>
      <x:c r="AD1631" s="36" t="str">
        <x:f>IF(ISNUMBER(Y1631),ROUND(Y1631*0.8,2),"")</x:f>
      </x:c>
      <x:c r="AE1631" s="36" t="str">
        <x:f>IF(ISNUMBER(AD1631),ROUND(AD1631*0.015+0.2,2),"")</x:f>
      </x:c>
      <x:c r="AF1631" s="36" t="str">
        <x:f>IF(ISNUMBER(AD1631),ROUND(AD1631-AE1631-V1631,2),"")</x:f>
      </x:c>
      <x:c r="AG1631" t="str">
        <x:f>IF(NOT(ISNUMBER(T1631)),"PENDING",IF(AF1631&gt;0,"PASS","FAIL"))</x:f>
        <x:v>PENDING</x:v>
      </x:c>
      <x:c r="AH1631" t="str">
        <x:f>IF(NOT(ISNUMBER(T1631)),"Needs supplier cost",IF(K1631&lt;&gt;"In stock","Supplier unavailable",IF(AG1631&lt;&gt;"PASS","BLOCK - GT loss risk","Commercially protected")))</x:f>
        <x:v>Needs supplier cost</x:v>
      </x:c>
      <x:c r="AI1631" t="str">
        <x:v>2026-09-10 Active Sports trade capture</x:v>
      </x:c>
      <x:c r="AJ1631" t="str">
        <x:v>Management-only economics. Stripe stress test uses 1.5% + £0.20 standard UK online-card fee; pallet/mix-and-match pricing ignored.</x:v>
      </x:c>
    </x:row>
    <x:row r="1632">
      <x:c r="A1632" t="str">
        <x:v>Active Sports Nutrition</x:v>
      </x:c>
      <x:c r="B1632" t="str">
        <x:v>QNT</x:v>
      </x:c>
      <x:c r="C1632" t="str">
        <x:v>L-Carnitine 2000 Fat Burn Drink RTD</x:v>
      </x:c>
      <x:c r="D1632" t="str">
        <x:v>Drinks and Bars</x:v>
      </x:c>
      <x:c r="E1632" t="str">
        <x:v>Ready to Drink Energy</x:v>
      </x:c>
      <x:c r="F1632" t="str"/>
      <x:c r="G1632" t="str">
        <x:v>12 x 700ml bottles</x:v>
      </x:c>
      <x:c r="H1632" t="str">
        <x:v>Cranberry</x:v>
      </x:c>
      <x:c r="I1632" t="str">
        <x:v>12</x:v>
      </x:c>
      <x:c r="J1632" t="str">
        <x:v>Case</x:v>
      </x:c>
      <x:c r="K1632" t="str">
        <x:v>In stock</x:v>
      </x:c>
      <x:c r="L1632" t="str">
        <x:v>2026-09-08</x:v>
      </x:c>
      <x:c r="M1632" t="str"/>
      <x:c r="N1632" t="str"/>
      <x:c r="O1632" t="str">
        <x:v>https://www.activesportstrade.co.uk/Diet-Weight-Loss</x:v>
      </x:c>
      <x:c r="P1632" t="str">
        <x:v>Fresh Diet &amp; Weight Loss page used; PALLET PROMO price excluded.</x:v>
      </x:c>
      <x:c r="Q1632" t="str"/>
      <x:c r="R1632" t="str"/>
      <x:c r="S1632" t="str">
        <x:v>Pending genuine supplier/brand image</x:v>
      </x:c>
      <x:c r="T1632" s="54" t="n">
        <x:v>11.99</x:v>
      </x:c>
      <x:c r="U1632" s="47" t="n">
        <x:v>0.2</x:v>
      </x:c>
      <x:c r="V1632" s="54" t="n">
        <x:f>IF(ISNUMBER(T1632),T1632*(1+U1632),"")</x:f>
        <x:v>14.388</x:v>
      </x:c>
      <x:c r="W1632" s="47" t="n">
        <x:v>0.3</x:v>
      </x:c>
      <x:c r="X1632" s="54" t="n">
        <x:f>IF(ISNUMBER(V1632),V1632/(1-W1632),"")</x:f>
        <x:v>20.554285714285715</x:v>
      </x:c>
      <x:c r="Y1632" s="55" t="n">
        <x:f>IF(ISNUMBER(X1632),ROUNDUP(X1632,0),"")</x:f>
        <x:v>21</x:v>
      </x:c>
      <x:c r="Z1632" t="str">
        <x:v>Source match pending</x:v>
      </x:c>
      <x:c r="AA1632" t="str">
        <x:v>screencapture-www-activesportstrade-co-uk-qnt-trade-2026-09-09-18_50_30.png / page-001</x:v>
      </x:c>
      <x:c r="AB1632" s="36" t="n">
        <x:f>IF(ISNUMBER(Y1632),ROUND(Y1632*0.9,2),"")</x:f>
        <x:v>18.9</x:v>
      </x:c>
      <x:c r="AC1632" s="36" t="n">
        <x:f>IF(ISNUMBER(AB1632),ROUND(AB1632-(AB1632*0.015+0.2)-V1632,2),"")</x:f>
        <x:v>4.03</x:v>
      </x:c>
      <x:c r="AD1632" s="36" t="n">
        <x:f>IF(ISNUMBER(Y1632),ROUND(Y1632*0.8,2),"")</x:f>
        <x:v>16.8</x:v>
      </x:c>
      <x:c r="AE1632" s="36" t="n">
        <x:f>IF(ISNUMBER(AD1632),ROUND(AD1632*0.015+0.2,2),"")</x:f>
        <x:v>0.45</x:v>
      </x:c>
      <x:c r="AF1632" s="36" t="n">
        <x:f>IF(ISNUMBER(AD1632),ROUND(AD1632-AE1632-V1632,2),"")</x:f>
        <x:v>1.96</x:v>
      </x:c>
      <x:c r="AG1632" t="str">
        <x:f>IF(NOT(ISNUMBER(T1632)),"PENDING",IF(AF1632&gt;0,"PASS","FAIL"))</x:f>
        <x:v>PASS</x:v>
      </x:c>
      <x:c r="AH1632" t="str">
        <x:f>IF(NOT(ISNUMBER(T1632)),"Needs supplier cost",IF(K1632&lt;&gt;"In stock","Supplier unavailable",IF(AG1632&lt;&gt;"PASS","BLOCK - GT loss risk","Commercially protected")))</x:f>
        <x:v>Commercially protected</x:v>
      </x:c>
      <x:c r="AI1632" t="str">
        <x:v>2026-09-10 Active Sports trade capture</x:v>
      </x:c>
      <x:c r="AJ1632" t="str">
        <x:v>Management-only economics. Stripe stress test uses 1.5% + £0.20 standard UK online-card fee; pallet/mix-and-match pricing ignored.</x:v>
      </x:c>
    </x:row>
    <x:row r="1633">
      <x:c r="A1633" t="str">
        <x:v>Active Sports Nutrition</x:v>
      </x:c>
      <x:c r="B1633" t="str">
        <x:v>QNT</x:v>
      </x:c>
      <x:c r="C1633" t="str">
        <x:v>L-Carnitine 2000 Fat Burn Drink RTD</x:v>
      </x:c>
      <x:c r="D1633" t="str">
        <x:v>Drinks and Bars</x:v>
      </x:c>
      <x:c r="E1633" t="str">
        <x:v>Ready to Drink Energy</x:v>
      </x:c>
      <x:c r="F1633" t="str"/>
      <x:c r="G1633" t="str">
        <x:v>12 x 700ml bottles</x:v>
      </x:c>
      <x:c r="H1633" t="str">
        <x:v>Lemon Lime</x:v>
      </x:c>
      <x:c r="I1633" t="str">
        <x:v>12</x:v>
      </x:c>
      <x:c r="J1633" t="str">
        <x:v>Case</x:v>
      </x:c>
      <x:c r="K1633" t="str">
        <x:v>In stock</x:v>
      </x:c>
      <x:c r="L1633" t="str">
        <x:v>2026-09-08</x:v>
      </x:c>
      <x:c r="M1633" t="str"/>
      <x:c r="N1633" t="str"/>
      <x:c r="O1633" t="str">
        <x:v>https://www.activesportstrade.co.uk/Diet-Weight-Loss</x:v>
      </x:c>
      <x:c r="P1633" t="str">
        <x:v>Fresh Diet &amp; Weight Loss page used; PALLET PROMO price excluded.</x:v>
      </x:c>
      <x:c r="Q1633" t="str"/>
      <x:c r="R1633" t="str"/>
      <x:c r="S1633" t="str">
        <x:v>Pending genuine supplier/brand image</x:v>
      </x:c>
      <x:c r="T1633" s="54" t="n">
        <x:v>11.99</x:v>
      </x:c>
      <x:c r="U1633" s="47" t="n">
        <x:v>0.2</x:v>
      </x:c>
      <x:c r="V1633" s="54" t="n">
        <x:f>IF(ISNUMBER(T1633),T1633*(1+U1633),"")</x:f>
        <x:v>14.388</x:v>
      </x:c>
      <x:c r="W1633" s="47" t="n">
        <x:v>0.3</x:v>
      </x:c>
      <x:c r="X1633" s="54" t="n">
        <x:f>IF(ISNUMBER(V1633),V1633/(1-W1633),"")</x:f>
        <x:v>20.554285714285715</x:v>
      </x:c>
      <x:c r="Y1633" s="55" t="n">
        <x:f>IF(ISNUMBER(X1633),ROUNDUP(X1633,0),"")</x:f>
        <x:v>21</x:v>
      </x:c>
      <x:c r="Z1633" t="str">
        <x:v>Source match pending</x:v>
      </x:c>
      <x:c r="AA1633" t="str">
        <x:v>screencapture-www-activesportstrade-co-uk-qnt-trade-2026-09-09-18_50_30.png / page-001</x:v>
      </x:c>
      <x:c r="AB1633" s="36" t="n">
        <x:f>IF(ISNUMBER(Y1633),ROUND(Y1633*0.9,2),"")</x:f>
        <x:v>18.9</x:v>
      </x:c>
      <x:c r="AC1633" s="36" t="n">
        <x:f>IF(ISNUMBER(AB1633),ROUND(AB1633-(AB1633*0.015+0.2)-V1633,2),"")</x:f>
        <x:v>4.03</x:v>
      </x:c>
      <x:c r="AD1633" s="36" t="n">
        <x:f>IF(ISNUMBER(Y1633),ROUND(Y1633*0.8,2),"")</x:f>
        <x:v>16.8</x:v>
      </x:c>
      <x:c r="AE1633" s="36" t="n">
        <x:f>IF(ISNUMBER(AD1633),ROUND(AD1633*0.015+0.2,2),"")</x:f>
        <x:v>0.45</x:v>
      </x:c>
      <x:c r="AF1633" s="36" t="n">
        <x:f>IF(ISNUMBER(AD1633),ROUND(AD1633-AE1633-V1633,2),"")</x:f>
        <x:v>1.96</x:v>
      </x:c>
      <x:c r="AG1633" t="str">
        <x:f>IF(NOT(ISNUMBER(T1633)),"PENDING",IF(AF1633&gt;0,"PASS","FAIL"))</x:f>
        <x:v>PASS</x:v>
      </x:c>
      <x:c r="AH1633" t="str">
        <x:f>IF(NOT(ISNUMBER(T1633)),"Needs supplier cost",IF(K1633&lt;&gt;"In stock","Supplier unavailable",IF(AG1633&lt;&gt;"PASS","BLOCK - GT loss risk","Commercially protected")))</x:f>
        <x:v>Commercially protected</x:v>
      </x:c>
      <x:c r="AI1633" t="str">
        <x:v>2026-09-10 Active Sports trade capture</x:v>
      </x:c>
      <x:c r="AJ1633" t="str">
        <x:v>Management-only economics. Stripe stress test uses 1.5% + £0.20 standard UK online-card fee; pallet/mix-and-match pricing ignored.</x:v>
      </x:c>
    </x:row>
    <x:row r="1634">
      <x:c r="A1634" t="str">
        <x:v>Active Sports Nutrition</x:v>
      </x:c>
      <x:c r="B1634" t="str">
        <x:v>QNT</x:v>
      </x:c>
      <x:c r="C1634" t="str">
        <x:v>L-Carnitine 2000 Fat Burn Drink RTD</x:v>
      </x:c>
      <x:c r="D1634" t="str">
        <x:v>Drinks and Bars</x:v>
      </x:c>
      <x:c r="E1634" t="str">
        <x:v>Ready to Drink Energy</x:v>
      </x:c>
      <x:c r="F1634" t="str"/>
      <x:c r="G1634" t="str">
        <x:v>12 x 700ml bottles</x:v>
      </x:c>
      <x:c r="H1634" t="str">
        <x:v>Orange</x:v>
      </x:c>
      <x:c r="I1634" t="str">
        <x:v>12</x:v>
      </x:c>
      <x:c r="J1634" t="str">
        <x:v>Case</x:v>
      </x:c>
      <x:c r="K1634" t="str">
        <x:v>In stock</x:v>
      </x:c>
      <x:c r="L1634" t="str">
        <x:v>2026-09-08</x:v>
      </x:c>
      <x:c r="M1634" t="str"/>
      <x:c r="N1634" t="str"/>
      <x:c r="O1634" t="str">
        <x:v>https://www.activesportstrade.co.uk/Diet-Weight-Loss</x:v>
      </x:c>
      <x:c r="P1634" t="str">
        <x:v>Fresh Diet &amp; Weight Loss page used; PALLET PROMO price excluded.</x:v>
      </x:c>
      <x:c r="Q1634" t="str"/>
      <x:c r="R1634" t="str"/>
      <x:c r="S1634" t="str">
        <x:v>Pending genuine supplier/brand image</x:v>
      </x:c>
      <x:c r="T1634" s="54" t="n">
        <x:v>11.99</x:v>
      </x:c>
      <x:c r="U1634" s="47" t="n">
        <x:v>0.2</x:v>
      </x:c>
      <x:c r="V1634" s="54" t="n">
        <x:f>IF(ISNUMBER(T1634),T1634*(1+U1634),"")</x:f>
        <x:v>14.388</x:v>
      </x:c>
      <x:c r="W1634" s="47" t="n">
        <x:v>0.3</x:v>
      </x:c>
      <x:c r="X1634" s="54" t="n">
        <x:f>IF(ISNUMBER(V1634),V1634/(1-W1634),"")</x:f>
        <x:v>20.554285714285715</x:v>
      </x:c>
      <x:c r="Y1634" s="55" t="n">
        <x:f>IF(ISNUMBER(X1634),ROUNDUP(X1634,0),"")</x:f>
        <x:v>21</x:v>
      </x:c>
      <x:c r="Z1634" t="str">
        <x:v>Source match pending</x:v>
      </x:c>
      <x:c r="AA1634" t="str">
        <x:v>screencapture-www-activesportstrade-co-uk-qnt-trade-2026-09-09-18_50_30.png / page-001</x:v>
      </x:c>
      <x:c r="AB1634" s="36" t="n">
        <x:f>IF(ISNUMBER(Y1634),ROUND(Y1634*0.9,2),"")</x:f>
        <x:v>18.9</x:v>
      </x:c>
      <x:c r="AC1634" s="36" t="n">
        <x:f>IF(ISNUMBER(AB1634),ROUND(AB1634-(AB1634*0.015+0.2)-V1634,2),"")</x:f>
        <x:v>4.03</x:v>
      </x:c>
      <x:c r="AD1634" s="36" t="n">
        <x:f>IF(ISNUMBER(Y1634),ROUND(Y1634*0.8,2),"")</x:f>
        <x:v>16.8</x:v>
      </x:c>
      <x:c r="AE1634" s="36" t="n">
        <x:f>IF(ISNUMBER(AD1634),ROUND(AD1634*0.015+0.2,2),"")</x:f>
        <x:v>0.45</x:v>
      </x:c>
      <x:c r="AF1634" s="36" t="n">
        <x:f>IF(ISNUMBER(AD1634),ROUND(AD1634-AE1634-V1634,2),"")</x:f>
        <x:v>1.96</x:v>
      </x:c>
      <x:c r="AG1634" t="str">
        <x:f>IF(NOT(ISNUMBER(T1634)),"PENDING",IF(AF1634&gt;0,"PASS","FAIL"))</x:f>
        <x:v>PASS</x:v>
      </x:c>
      <x:c r="AH1634" t="str">
        <x:f>IF(NOT(ISNUMBER(T1634)),"Needs supplier cost",IF(K1634&lt;&gt;"In stock","Supplier unavailable",IF(AG1634&lt;&gt;"PASS","BLOCK - GT loss risk","Commercially protected")))</x:f>
        <x:v>Commercially protected</x:v>
      </x:c>
      <x:c r="AI1634" t="str">
        <x:v>2026-09-10 Active Sports trade capture</x:v>
      </x:c>
      <x:c r="AJ1634" t="str">
        <x:v>Management-only economics. Stripe stress test uses 1.5% + £0.20 standard UK online-card fee; pallet/mix-and-match pricing ignored.</x:v>
      </x:c>
    </x:row>
    <x:row r="1635">
      <x:c r="A1635" t="str">
        <x:v>Active Sports Nutrition</x:v>
      </x:c>
      <x:c r="B1635" t="str">
        <x:v>QNT</x:v>
      </x:c>
      <x:c r="C1635" t="str">
        <x:v>L-Carnitine 2000 Fat Burn Drink RTD</x:v>
      </x:c>
      <x:c r="D1635" t="str">
        <x:v>Drinks and Bars</x:v>
      </x:c>
      <x:c r="E1635" t="str">
        <x:v>Ready to Drink Energy</x:v>
      </x:c>
      <x:c r="F1635" t="str"/>
      <x:c r="G1635" t="str">
        <x:v>12 x 700ml bottles</x:v>
      </x:c>
      <x:c r="H1635" t="str">
        <x:v>Peach Tea</x:v>
      </x:c>
      <x:c r="I1635" t="str">
        <x:v>12</x:v>
      </x:c>
      <x:c r="J1635" t="str">
        <x:v>Case</x:v>
      </x:c>
      <x:c r="K1635" t="str">
        <x:v>Out of stock</x:v>
      </x:c>
      <x:c r="L1635" t="str">
        <x:v>2026-09-08</x:v>
      </x:c>
      <x:c r="M1635" t="str"/>
      <x:c r="N1635" t="str"/>
      <x:c r="O1635" t="str">
        <x:v>https://www.activesportstrade.co.uk/Diet-Weight-Loss</x:v>
      </x:c>
      <x:c r="P1635" t="str">
        <x:v>Fresh Diet &amp; Weight Loss page used; PALLET PROMO price excluded.</x:v>
      </x:c>
      <x:c r="Q1635" t="str"/>
      <x:c r="R1635" t="str"/>
      <x:c r="S1635" t="str">
        <x:v>Pending genuine supplier/brand image</x:v>
      </x:c>
      <x:c r="T1635" s="54" t="n">
        <x:v>11.99</x:v>
      </x:c>
      <x:c r="U1635" s="47" t="n">
        <x:v>0.2</x:v>
      </x:c>
      <x:c r="V1635" s="54" t="n">
        <x:f>IF(ISNUMBER(T1635),T1635*(1+U1635),"")</x:f>
        <x:v>14.388</x:v>
      </x:c>
      <x:c r="W1635" s="47" t="n">
        <x:v>0.3</x:v>
      </x:c>
      <x:c r="X1635" s="54" t="n">
        <x:f>IF(ISNUMBER(V1635),V1635/(1-W1635),"")</x:f>
        <x:v>20.554285714285715</x:v>
      </x:c>
      <x:c r="Y1635" s="55" t="n">
        <x:f>IF(ISNUMBER(X1635),ROUNDUP(X1635,0),"")</x:f>
        <x:v>21</x:v>
      </x:c>
      <x:c r="Z1635" t="str">
        <x:v>Source match pending</x:v>
      </x:c>
      <x:c r="AA1635" t="str">
        <x:v>screencapture-www-activesportstrade-co-uk-qnt-trade-2026-09-09-18_50_30.png / page-001</x:v>
      </x:c>
      <x:c r="AB1635" s="36" t="n">
        <x:f>IF(ISNUMBER(Y1635),ROUND(Y1635*0.9,2),"")</x:f>
        <x:v>18.9</x:v>
      </x:c>
      <x:c r="AC1635" s="36" t="n">
        <x:f>IF(ISNUMBER(AB1635),ROUND(AB1635-(AB1635*0.015+0.2)-V1635,2),"")</x:f>
        <x:v>4.03</x:v>
      </x:c>
      <x:c r="AD1635" s="36" t="n">
        <x:f>IF(ISNUMBER(Y1635),ROUND(Y1635*0.8,2),"")</x:f>
        <x:v>16.8</x:v>
      </x:c>
      <x:c r="AE1635" s="36" t="n">
        <x:f>IF(ISNUMBER(AD1635),ROUND(AD1635*0.015+0.2,2),"")</x:f>
        <x:v>0.45</x:v>
      </x:c>
      <x:c r="AF1635" s="36" t="n">
        <x:f>IF(ISNUMBER(AD1635),ROUND(AD1635-AE1635-V1635,2),"")</x:f>
        <x:v>1.96</x:v>
      </x:c>
      <x:c r="AG1635" t="str">
        <x:f>IF(NOT(ISNUMBER(T1635)),"PENDING",IF(AF1635&gt;0,"PASS","FAIL"))</x:f>
        <x:v>PASS</x:v>
      </x:c>
      <x:c r="AH1635" t="str">
        <x:f>IF(NOT(ISNUMBER(T1635)),"Needs supplier cost",IF(K1635&lt;&gt;"In stock","Supplier unavailable",IF(AG1635&lt;&gt;"PASS","BLOCK - GT loss risk","Commercially protected")))</x:f>
        <x:v>Supplier unavailable</x:v>
      </x:c>
      <x:c r="AI1635" t="str">
        <x:v>2026-09-10 Active Sports trade capture</x:v>
      </x:c>
      <x:c r="AJ1635" t="str">
        <x:v>Management-only economics. Stripe stress test uses 1.5% + £0.20 standard UK online-card fee; pallet/mix-and-match pricing ignored.</x:v>
      </x:c>
    </x:row>
    <x:row r="1636">
      <x:c r="A1636" t="str">
        <x:v>Active Sports Nutrition</x:v>
      </x:c>
      <x:c r="B1636" t="str">
        <x:v>QNT</x:v>
      </x:c>
      <x:c r="C1636" t="str">
        <x:v>Thermo Booster RTD</x:v>
      </x:c>
      <x:c r="D1636" t="str">
        <x:v>Drinks and Bars</x:v>
      </x:c>
      <x:c r="E1636" t="str">
        <x:v>Ready to Drink Energy</x:v>
      </x:c>
      <x:c r="F1636" t="str"/>
      <x:c r="G1636" t="str">
        <x:v>12 x 700ml bottles</x:v>
      </x:c>
      <x:c r="H1636" t="str">
        <x:v>Cranberry Lemon</x:v>
      </x:c>
      <x:c r="I1636" t="str">
        <x:v>12</x:v>
      </x:c>
      <x:c r="J1636" t="str">
        <x:v>Case</x:v>
      </x:c>
      <x:c r="K1636" t="str">
        <x:v>In stock</x:v>
      </x:c>
      <x:c r="L1636" t="str">
        <x:v>2026-09-08</x:v>
      </x:c>
      <x:c r="M1636" t="str"/>
      <x:c r="N1636" t="str"/>
      <x:c r="O1636" t="str">
        <x:v>https://www.activesportstrade.co.uk/Diet-Weight-Loss</x:v>
      </x:c>
      <x:c r="P1636" t="str">
        <x:v>PALLET PROMO price/minimum-order boilerplate excluded.</x:v>
      </x:c>
      <x:c r="Q1636" t="str"/>
      <x:c r="R1636" t="str"/>
      <x:c r="S1636" t="str">
        <x:v>Pending genuine supplier/brand image</x:v>
      </x:c>
      <x:c r="T1636" s="54" t="n">
        <x:v>11.99</x:v>
      </x:c>
      <x:c r="U1636" s="47" t="n">
        <x:v>0.2</x:v>
      </x:c>
      <x:c r="V1636" s="54" t="n">
        <x:f>IF(ISNUMBER(T1636),T1636*(1+U1636),"")</x:f>
        <x:v>14.388</x:v>
      </x:c>
      <x:c r="W1636" s="47" t="n">
        <x:v>0.3</x:v>
      </x:c>
      <x:c r="X1636" s="54" t="n">
        <x:f>IF(ISNUMBER(V1636),V1636/(1-W1636),"")</x:f>
        <x:v>20.554285714285715</x:v>
      </x:c>
      <x:c r="Y1636" s="55" t="n">
        <x:f>IF(ISNUMBER(X1636),ROUNDUP(X1636,0),"")</x:f>
        <x:v>21</x:v>
      </x:c>
      <x:c r="Z1636" t="str">
        <x:v>Source match pending</x:v>
      </x:c>
      <x:c r="AA1636" t="str">
        <x:v>screencapture-www-activesportstrade-co-uk-qnt-trade-2026-09-09-18_50_30.png / page-002</x:v>
      </x:c>
      <x:c r="AB1636" s="36" t="n">
        <x:f>IF(ISNUMBER(Y1636),ROUND(Y1636*0.9,2),"")</x:f>
        <x:v>18.9</x:v>
      </x:c>
      <x:c r="AC1636" s="36" t="n">
        <x:f>IF(ISNUMBER(AB1636),ROUND(AB1636-(AB1636*0.015+0.2)-V1636,2),"")</x:f>
        <x:v>4.03</x:v>
      </x:c>
      <x:c r="AD1636" s="36" t="n">
        <x:f>IF(ISNUMBER(Y1636),ROUND(Y1636*0.8,2),"")</x:f>
        <x:v>16.8</x:v>
      </x:c>
      <x:c r="AE1636" s="36" t="n">
        <x:f>IF(ISNUMBER(AD1636),ROUND(AD1636*0.015+0.2,2),"")</x:f>
        <x:v>0.45</x:v>
      </x:c>
      <x:c r="AF1636" s="36" t="n">
        <x:f>IF(ISNUMBER(AD1636),ROUND(AD1636-AE1636-V1636,2),"")</x:f>
        <x:v>1.96</x:v>
      </x:c>
      <x:c r="AG1636" t="str">
        <x:f>IF(NOT(ISNUMBER(T1636)),"PENDING",IF(AF1636&gt;0,"PASS","FAIL"))</x:f>
        <x:v>PASS</x:v>
      </x:c>
      <x:c r="AH1636" t="str">
        <x:f>IF(NOT(ISNUMBER(T1636)),"Needs supplier cost",IF(K1636&lt;&gt;"In stock","Supplier unavailable",IF(AG1636&lt;&gt;"PASS","BLOCK - GT loss risk","Commercially protected")))</x:f>
        <x:v>Commercially protected</x:v>
      </x:c>
      <x:c r="AI1636" t="str">
        <x:v>2026-09-10 Active Sports trade capture</x:v>
      </x:c>
      <x:c r="AJ1636" t="str">
        <x:v>Management-only economics. Stripe stress test uses 1.5% + £0.20 standard UK online-card fee; pallet/mix-and-match pricing ignored.</x:v>
      </x:c>
    </x:row>
    <x:row r="1637">
      <x:c r="A1637" t="str">
        <x:v>Active Sports Nutrition</x:v>
      </x:c>
      <x:c r="B1637" t="str">
        <x:v>Reflex Nutrition</x:v>
      </x:c>
      <x:c r="C1637" t="str">
        <x:v>100% Whey</x:v>
      </x:c>
      <x:c r="D1637" t="str">
        <x:v>Supplements</x:v>
      </x:c>
      <x:c r="E1637" t="str">
        <x:v>Whey Protein</x:v>
      </x:c>
      <x:c r="F1637" t="str">
        <x:v>Grass-fed whey protein concentrate with digestive enzymes.</x:v>
      </x:c>
      <x:c r="G1637" t="str">
        <x:v>2kg</x:v>
      </x:c>
      <x:c r="H1637" t="str">
        <x:v>Chocolate</x:v>
      </x:c>
      <x:c r="I1637" t="str"/>
      <x:c r="J1637" t="str">
        <x:v>Unit</x:v>
      </x:c>
      <x:c r="K1637" t="str">
        <x:v>Out of stock</x:v>
      </x:c>
      <x:c r="L1637" t="str">
        <x:v>2026-09-08</x:v>
      </x:c>
      <x:c r="M1637" t="str"/>
      <x:c r="N1637" t="str"/>
      <x:c r="O1637" t="str">
        <x:v>https://www.activesportstrade.co.uk/reflex-nutrition-trade</x:v>
      </x:c>
      <x:c r="P1637" t="str">
        <x:v>Fresh live brand page used; older whey crawl disagreed on Chocolate and Salted Peanut Caramel.</x:v>
      </x:c>
      <x:c r="Q1637" t="str"/>
      <x:c r="R1637" t="str"/>
      <x:c r="S1637" t="str">
        <x:v>Pending genuine supplier/brand image</x:v>
      </x:c>
      <x:c r="T1637" s="54"/>
      <x:c r="U1637" s="47" t="n">
        <x:v>0.2</x:v>
      </x:c>
      <x:c r="V1637" s="54" t="str">
        <x:f>IF(ISNUMBER(T1637),T1637*(1+U1637),"")</x:f>
      </x:c>
      <x:c r="W1637" s="47" t="n">
        <x:v>0.3</x:v>
      </x:c>
      <x:c r="X1637" s="54" t="str">
        <x:f>IF(ISNUMBER(V1637),V1637/(1-W1637),"")</x:f>
      </x:c>
      <x:c r="Y1637" s="55" t="str">
        <x:f>IF(ISNUMBER(X1637),ROUNDUP(X1637,0),"")</x:f>
      </x:c>
      <x:c r="Z1637" t="str">
        <x:f>IF(ISNUMBER(T1637),"Cost captured","Awaiting trade cost")</x:f>
        <x:v>Awaiting trade cost</x:v>
      </x:c>
      <x:c r="AB1637" s="36" t="str">
        <x:f>IF(ISNUMBER(Y1637),ROUND(Y1637*0.9,2),"")</x:f>
      </x:c>
      <x:c r="AC1637" s="36" t="str">
        <x:f>IF(ISNUMBER(AB1637),ROUND(AB1637-(AB1637*0.015+0.2)-V1637,2),"")</x:f>
      </x:c>
      <x:c r="AD1637" s="36" t="str">
        <x:f>IF(ISNUMBER(Y1637),ROUND(Y1637*0.8,2),"")</x:f>
      </x:c>
      <x:c r="AE1637" s="36" t="str">
        <x:f>IF(ISNUMBER(AD1637),ROUND(AD1637*0.015+0.2,2),"")</x:f>
      </x:c>
      <x:c r="AF1637" s="36" t="str">
        <x:f>IF(ISNUMBER(AD1637),ROUND(AD1637-AE1637-V1637,2),"")</x:f>
      </x:c>
      <x:c r="AG1637" t="str">
        <x:f>IF(NOT(ISNUMBER(T1637)),"PENDING",IF(AF1637&gt;0,"PASS","FAIL"))</x:f>
        <x:v>PENDING</x:v>
      </x:c>
      <x:c r="AH1637" t="str">
        <x:f>IF(NOT(ISNUMBER(T1637)),"Needs supplier cost",IF(K1637&lt;&gt;"In stock","Supplier unavailable",IF(AG1637&lt;&gt;"PASS","BLOCK - GT loss risk","Commercially protected")))</x:f>
        <x:v>Needs supplier cost</x:v>
      </x:c>
      <x:c r="AI1637" t="str">
        <x:v>2026-09-10 Active Sports trade capture</x:v>
      </x:c>
      <x:c r="AJ1637" t="str">
        <x:v>Management-only economics. Stripe stress test uses 1.5% + £0.20 standard UK online-card fee; pallet/mix-and-match pricing ignored.</x:v>
      </x:c>
    </x:row>
    <x:row r="1638">
      <x:c r="A1638" t="str">
        <x:v>Active Sports Nutrition</x:v>
      </x:c>
      <x:c r="B1638" t="str">
        <x:v>Reflex Nutrition</x:v>
      </x:c>
      <x:c r="C1638" t="str">
        <x:v>100% Whey</x:v>
      </x:c>
      <x:c r="D1638" t="str">
        <x:v>Supplements</x:v>
      </x:c>
      <x:c r="E1638" t="str">
        <x:v>Whey Protein</x:v>
      </x:c>
      <x:c r="F1638" t="str">
        <x:v>Grass-fed whey protein concentrate with digestive enzymes.</x:v>
      </x:c>
      <x:c r="G1638" t="str">
        <x:v>2kg</x:v>
      </x:c>
      <x:c r="H1638" t="str">
        <x:v>Salted Peanut Caramel</x:v>
      </x:c>
      <x:c r="I1638" t="str"/>
      <x:c r="J1638" t="str">
        <x:v>Unit</x:v>
      </x:c>
      <x:c r="K1638" t="str">
        <x:v>Out of stock</x:v>
      </x:c>
      <x:c r="L1638" t="str">
        <x:v>2026-09-08</x:v>
      </x:c>
      <x:c r="M1638" t="str"/>
      <x:c r="N1638" t="str"/>
      <x:c r="O1638" t="str">
        <x:v>https://www.activesportstrade.co.uk/reflex-nutrition-trade</x:v>
      </x:c>
      <x:c r="P1638" t="str">
        <x:v>Fresh live brand page used; older whey crawl disagreed on Chocolate and Salted Peanut Caramel.</x:v>
      </x:c>
      <x:c r="Q1638" t="str"/>
      <x:c r="R1638" t="str"/>
      <x:c r="S1638" t="str">
        <x:v>Pending genuine supplier/brand image</x:v>
      </x:c>
      <x:c r="T1638" s="54"/>
      <x:c r="U1638" s="47" t="n">
        <x:v>0.2</x:v>
      </x:c>
      <x:c r="V1638" s="54" t="str">
        <x:f>IF(ISNUMBER(T1638),T1638*(1+U1638),"")</x:f>
      </x:c>
      <x:c r="W1638" s="47" t="n">
        <x:v>0.3</x:v>
      </x:c>
      <x:c r="X1638" s="54" t="str">
        <x:f>IF(ISNUMBER(V1638),V1638/(1-W1638),"")</x:f>
      </x:c>
      <x:c r="Y1638" s="55" t="str">
        <x:f>IF(ISNUMBER(X1638),ROUNDUP(X1638,0),"")</x:f>
      </x:c>
      <x:c r="Z1638" t="str">
        <x:f>IF(ISNUMBER(T1638),"Cost captured","Awaiting trade cost")</x:f>
        <x:v>Awaiting trade cost</x:v>
      </x:c>
      <x:c r="AB1638" s="36" t="str">
        <x:f>IF(ISNUMBER(Y1638),ROUND(Y1638*0.9,2),"")</x:f>
      </x:c>
      <x:c r="AC1638" s="36" t="str">
        <x:f>IF(ISNUMBER(AB1638),ROUND(AB1638-(AB1638*0.015+0.2)-V1638,2),"")</x:f>
      </x:c>
      <x:c r="AD1638" s="36" t="str">
        <x:f>IF(ISNUMBER(Y1638),ROUND(Y1638*0.8,2),"")</x:f>
      </x:c>
      <x:c r="AE1638" s="36" t="str">
        <x:f>IF(ISNUMBER(AD1638),ROUND(AD1638*0.015+0.2,2),"")</x:f>
      </x:c>
      <x:c r="AF1638" s="36" t="str">
        <x:f>IF(ISNUMBER(AD1638),ROUND(AD1638-AE1638-V1638,2),"")</x:f>
      </x:c>
      <x:c r="AG1638" t="str">
        <x:f>IF(NOT(ISNUMBER(T1638)),"PENDING",IF(AF1638&gt;0,"PASS","FAIL"))</x:f>
        <x:v>PENDING</x:v>
      </x:c>
      <x:c r="AH1638" t="str">
        <x:f>IF(NOT(ISNUMBER(T1638)),"Needs supplier cost",IF(K1638&lt;&gt;"In stock","Supplier unavailable",IF(AG1638&lt;&gt;"PASS","BLOCK - GT loss risk","Commercially protected")))</x:f>
        <x:v>Needs supplier cost</x:v>
      </x:c>
      <x:c r="AI1638" t="str">
        <x:v>2026-09-10 Active Sports trade capture</x:v>
      </x:c>
      <x:c r="AJ1638" t="str">
        <x:v>Management-only economics. Stripe stress test uses 1.5% + £0.20 standard UK online-card fee; pallet/mix-and-match pricing ignored.</x:v>
      </x:c>
    </x:row>
    <x:row r="1639">
      <x:c r="A1639" t="str">
        <x:v>Active Sports Nutrition</x:v>
      </x:c>
      <x:c r="B1639" t="str">
        <x:v>Reflex Nutrition</x:v>
      </x:c>
      <x:c r="C1639" t="str">
        <x:v>100% Whey</x:v>
      </x:c>
      <x:c r="D1639" t="str">
        <x:v>Supplements</x:v>
      </x:c>
      <x:c r="E1639" t="str">
        <x:v>Whey Protein</x:v>
      </x:c>
      <x:c r="F1639" t="str">
        <x:v>Grass-fed whey protein concentrate with digestive enzymes.</x:v>
      </x:c>
      <x:c r="G1639" t="str">
        <x:v>2kg</x:v>
      </x:c>
      <x:c r="H1639" t="str">
        <x:v>Strawberry &amp; Raspberry</x:v>
      </x:c>
      <x:c r="I1639" t="str"/>
      <x:c r="J1639" t="str">
        <x:v>Unit</x:v>
      </x:c>
      <x:c r="K1639" t="str">
        <x:v>Out of stock</x:v>
      </x:c>
      <x:c r="L1639" t="str">
        <x:v>2026-09-08</x:v>
      </x:c>
      <x:c r="M1639" t="str"/>
      <x:c r="N1639" t="str"/>
      <x:c r="O1639" t="str">
        <x:v>https://www.activesportstrade.co.uk/reflex-nutrition-trade</x:v>
      </x:c>
      <x:c r="P1639" t="str">
        <x:v>Fresh live brand page used; older whey crawl disagreed on Chocolate and Salted Peanut Caramel.</x:v>
      </x:c>
      <x:c r="Q1639" t="str"/>
      <x:c r="R1639" t="str"/>
      <x:c r="S1639" t="str">
        <x:v>Pending genuine supplier/brand image</x:v>
      </x:c>
      <x:c r="T1639" s="54"/>
      <x:c r="U1639" s="47" t="n">
        <x:v>0.2</x:v>
      </x:c>
      <x:c r="V1639" s="54" t="str">
        <x:f>IF(ISNUMBER(T1639),T1639*(1+U1639),"")</x:f>
      </x:c>
      <x:c r="W1639" s="47" t="n">
        <x:v>0.3</x:v>
      </x:c>
      <x:c r="X1639" s="54" t="str">
        <x:f>IF(ISNUMBER(V1639),V1639/(1-W1639),"")</x:f>
      </x:c>
      <x:c r="Y1639" s="55" t="str">
        <x:f>IF(ISNUMBER(X1639),ROUNDUP(X1639,0),"")</x:f>
      </x:c>
      <x:c r="Z1639" t="str">
        <x:f>IF(ISNUMBER(T1639),"Cost captured","Awaiting trade cost")</x:f>
        <x:v>Awaiting trade cost</x:v>
      </x:c>
      <x:c r="AB1639" s="36" t="str">
        <x:f>IF(ISNUMBER(Y1639),ROUND(Y1639*0.9,2),"")</x:f>
      </x:c>
      <x:c r="AC1639" s="36" t="str">
        <x:f>IF(ISNUMBER(AB1639),ROUND(AB1639-(AB1639*0.015+0.2)-V1639,2),"")</x:f>
      </x:c>
      <x:c r="AD1639" s="36" t="str">
        <x:f>IF(ISNUMBER(Y1639),ROUND(Y1639*0.8,2),"")</x:f>
      </x:c>
      <x:c r="AE1639" s="36" t="str">
        <x:f>IF(ISNUMBER(AD1639),ROUND(AD1639*0.015+0.2,2),"")</x:f>
      </x:c>
      <x:c r="AF1639" s="36" t="str">
        <x:f>IF(ISNUMBER(AD1639),ROUND(AD1639-AE1639-V1639,2),"")</x:f>
      </x:c>
      <x:c r="AG1639" t="str">
        <x:f>IF(NOT(ISNUMBER(T1639)),"PENDING",IF(AF1639&gt;0,"PASS","FAIL"))</x:f>
        <x:v>PENDING</x:v>
      </x:c>
      <x:c r="AH1639" t="str">
        <x:f>IF(NOT(ISNUMBER(T1639)),"Needs supplier cost",IF(K1639&lt;&gt;"In stock","Supplier unavailable",IF(AG1639&lt;&gt;"PASS","BLOCK - GT loss risk","Commercially protected")))</x:f>
        <x:v>Needs supplier cost</x:v>
      </x:c>
      <x:c r="AI1639" t="str">
        <x:v>2026-09-10 Active Sports trade capture</x:v>
      </x:c>
      <x:c r="AJ1639" t="str">
        <x:v>Management-only economics. Stripe stress test uses 1.5% + £0.20 standard UK online-card fee; pallet/mix-and-match pricing ignored.</x:v>
      </x:c>
    </x:row>
    <x:row r="1640">
      <x:c r="A1640" t="str">
        <x:v>Active Sports Nutrition</x:v>
      </x:c>
      <x:c r="B1640" t="str">
        <x:v>Reflex Nutrition</x:v>
      </x:c>
      <x:c r="C1640" t="str">
        <x:v>100% Whey</x:v>
      </x:c>
      <x:c r="D1640" t="str">
        <x:v>Supplements</x:v>
      </x:c>
      <x:c r="E1640" t="str">
        <x:v>Whey Protein</x:v>
      </x:c>
      <x:c r="F1640" t="str">
        <x:v>Grass-fed whey protein concentrate with digestive enzymes.</x:v>
      </x:c>
      <x:c r="G1640" t="str">
        <x:v>2kg</x:v>
      </x:c>
      <x:c r="H1640" t="str">
        <x:v>Vanilla</x:v>
      </x:c>
      <x:c r="I1640" t="str"/>
      <x:c r="J1640" t="str">
        <x:v>Unit</x:v>
      </x:c>
      <x:c r="K1640" t="str">
        <x:v>In stock</x:v>
      </x:c>
      <x:c r="L1640" t="str">
        <x:v>2026-09-08</x:v>
      </x:c>
      <x:c r="M1640" t="str"/>
      <x:c r="N1640" t="str"/>
      <x:c r="O1640" t="str">
        <x:v>https://www.activesportstrade.co.uk/reflex-nutrition-trade</x:v>
      </x:c>
      <x:c r="P1640" t="str">
        <x:v>Fresh live brand page used; older whey crawl disagreed on Chocolate and Salted Peanut Caramel.</x:v>
      </x:c>
      <x:c r="Q1640" t="str"/>
      <x:c r="R1640" t="str"/>
      <x:c r="S1640" t="str">
        <x:v>Pending genuine supplier/brand image</x:v>
      </x:c>
      <x:c r="T1640" s="54"/>
      <x:c r="U1640" s="47" t="n">
        <x:v>0.2</x:v>
      </x:c>
      <x:c r="V1640" s="54" t="str">
        <x:f>IF(ISNUMBER(T1640),T1640*(1+U1640),"")</x:f>
      </x:c>
      <x:c r="W1640" s="47" t="n">
        <x:v>0.3</x:v>
      </x:c>
      <x:c r="X1640" s="54" t="str">
        <x:f>IF(ISNUMBER(V1640),V1640/(1-W1640),"")</x:f>
      </x:c>
      <x:c r="Y1640" s="55" t="str">
        <x:f>IF(ISNUMBER(X1640),ROUNDUP(X1640,0),"")</x:f>
      </x:c>
      <x:c r="Z1640" t="str">
        <x:f>IF(ISNUMBER(T1640),"Cost captured","Awaiting trade cost")</x:f>
        <x:v>Awaiting trade cost</x:v>
      </x:c>
      <x:c r="AB1640" s="36" t="str">
        <x:f>IF(ISNUMBER(Y1640),ROUND(Y1640*0.9,2),"")</x:f>
      </x:c>
      <x:c r="AC1640" s="36" t="str">
        <x:f>IF(ISNUMBER(AB1640),ROUND(AB1640-(AB1640*0.015+0.2)-V1640,2),"")</x:f>
      </x:c>
      <x:c r="AD1640" s="36" t="str">
        <x:f>IF(ISNUMBER(Y1640),ROUND(Y1640*0.8,2),"")</x:f>
      </x:c>
      <x:c r="AE1640" s="36" t="str">
        <x:f>IF(ISNUMBER(AD1640),ROUND(AD1640*0.015+0.2,2),"")</x:f>
      </x:c>
      <x:c r="AF1640" s="36" t="str">
        <x:f>IF(ISNUMBER(AD1640),ROUND(AD1640-AE1640-V1640,2),"")</x:f>
      </x:c>
      <x:c r="AG1640" t="str">
        <x:f>IF(NOT(ISNUMBER(T1640)),"PENDING",IF(AF1640&gt;0,"PASS","FAIL"))</x:f>
        <x:v>PENDING</x:v>
      </x:c>
      <x:c r="AH1640" t="str">
        <x:f>IF(NOT(ISNUMBER(T1640)),"Needs supplier cost",IF(K1640&lt;&gt;"In stock","Supplier unavailable",IF(AG1640&lt;&gt;"PASS","BLOCK - GT loss risk","Commercially protected")))</x:f>
        <x:v>Needs supplier cost</x:v>
      </x:c>
      <x:c r="AI1640" t="str">
        <x:v>2026-09-10 Active Sports trade capture</x:v>
      </x:c>
      <x:c r="AJ1640" t="str">
        <x:v>Management-only economics. Stripe stress test uses 1.5% + £0.20 standard UK online-card fee; pallet/mix-and-match pricing ignored.</x:v>
      </x:c>
    </x:row>
    <x:row r="1641">
      <x:c r="A1641" t="str">
        <x:v>Active Sports Nutrition</x:v>
      </x:c>
      <x:c r="B1641" t="str">
        <x:v>Reflex Nutrition</x:v>
      </x:c>
      <x:c r="C1641" t="str">
        <x:v>100% Whey</x:v>
      </x:c>
      <x:c r="D1641" t="str">
        <x:v>Supplements</x:v>
      </x:c>
      <x:c r="E1641" t="str">
        <x:v>Whey Protein</x:v>
      </x:c>
      <x:c r="F1641" t="str"/>
      <x:c r="G1641" t="str">
        <x:v>720g</x:v>
      </x:c>
      <x:c r="H1641" t="str">
        <x:v>Chocolate</x:v>
      </x:c>
      <x:c r="I1641" t="str"/>
      <x:c r="J1641" t="str">
        <x:v>Unit</x:v>
      </x:c>
      <x:c r="K1641" t="str">
        <x:v>Out of stock</x:v>
      </x:c>
      <x:c r="L1641" t="str">
        <x:v>2026-09-08</x:v>
      </x:c>
      <x:c r="M1641" t="str"/>
      <x:c r="N1641" t="str"/>
      <x:c r="O1641" t="str">
        <x:v>https://www.activesportstrade.co.uk/reflex-nutrition-trade</x:v>
      </x:c>
      <x:c r="P1641" t="str"/>
      <x:c r="Q1641" t="str"/>
      <x:c r="R1641" t="str"/>
      <x:c r="S1641" t="str">
        <x:v>Pending genuine supplier/brand image</x:v>
      </x:c>
      <x:c r="T1641" s="54"/>
      <x:c r="U1641" s="47" t="n">
        <x:v>0.2</x:v>
      </x:c>
      <x:c r="V1641" s="54" t="str">
        <x:f>IF(ISNUMBER(T1641),T1641*(1+U1641),"")</x:f>
      </x:c>
      <x:c r="W1641" s="47" t="n">
        <x:v>0.3</x:v>
      </x:c>
      <x:c r="X1641" s="54" t="str">
        <x:f>IF(ISNUMBER(V1641),V1641/(1-W1641),"")</x:f>
      </x:c>
      <x:c r="Y1641" s="55" t="str">
        <x:f>IF(ISNUMBER(X1641),ROUNDUP(X1641,0),"")</x:f>
      </x:c>
      <x:c r="Z1641" t="str">
        <x:f>IF(ISNUMBER(T1641),"Cost captured","Awaiting trade cost")</x:f>
        <x:v>Awaiting trade cost</x:v>
      </x:c>
      <x:c r="AB1641" s="36" t="str">
        <x:f>IF(ISNUMBER(Y1641),ROUND(Y1641*0.9,2),"")</x:f>
      </x:c>
      <x:c r="AC1641" s="36" t="str">
        <x:f>IF(ISNUMBER(AB1641),ROUND(AB1641-(AB1641*0.015+0.2)-V1641,2),"")</x:f>
      </x:c>
      <x:c r="AD1641" s="36" t="str">
        <x:f>IF(ISNUMBER(Y1641),ROUND(Y1641*0.8,2),"")</x:f>
      </x:c>
      <x:c r="AE1641" s="36" t="str">
        <x:f>IF(ISNUMBER(AD1641),ROUND(AD1641*0.015+0.2,2),"")</x:f>
      </x:c>
      <x:c r="AF1641" s="36" t="str">
        <x:f>IF(ISNUMBER(AD1641),ROUND(AD1641-AE1641-V1641,2),"")</x:f>
      </x:c>
      <x:c r="AG1641" t="str">
        <x:f>IF(NOT(ISNUMBER(T1641)),"PENDING",IF(AF1641&gt;0,"PASS","FAIL"))</x:f>
        <x:v>PENDING</x:v>
      </x:c>
      <x:c r="AH1641" t="str">
        <x:f>IF(NOT(ISNUMBER(T1641)),"Needs supplier cost",IF(K1641&lt;&gt;"In stock","Supplier unavailable",IF(AG1641&lt;&gt;"PASS","BLOCK - GT loss risk","Commercially protected")))</x:f>
        <x:v>Needs supplier cost</x:v>
      </x:c>
      <x:c r="AI1641" t="str">
        <x:v>2026-09-10 Active Sports trade capture</x:v>
      </x:c>
      <x:c r="AJ1641" t="str">
        <x:v>Management-only economics. Stripe stress test uses 1.5% + £0.20 standard UK online-card fee; pallet/mix-and-match pricing ignored.</x:v>
      </x:c>
    </x:row>
    <x:row r="1642">
      <x:c r="A1642" t="str">
        <x:v>Active Sports Nutrition</x:v>
      </x:c>
      <x:c r="B1642" t="str">
        <x:v>Reflex Nutrition</x:v>
      </x:c>
      <x:c r="C1642" t="str">
        <x:v>100% Whey</x:v>
      </x:c>
      <x:c r="D1642" t="str">
        <x:v>Supplements</x:v>
      </x:c>
      <x:c r="E1642" t="str">
        <x:v>Whey Protein</x:v>
      </x:c>
      <x:c r="F1642" t="str"/>
      <x:c r="G1642" t="str">
        <x:v>720g</x:v>
      </x:c>
      <x:c r="H1642" t="str">
        <x:v>Salted Peanut Caramel</x:v>
      </x:c>
      <x:c r="I1642" t="str"/>
      <x:c r="J1642" t="str">
        <x:v>Unit</x:v>
      </x:c>
      <x:c r="K1642" t="str">
        <x:v>In stock</x:v>
      </x:c>
      <x:c r="L1642" t="str">
        <x:v>2026-09-08</x:v>
      </x:c>
      <x:c r="M1642" t="str"/>
      <x:c r="N1642" t="str"/>
      <x:c r="O1642" t="str">
        <x:v>https://www.activesportstrade.co.uk/reflex-nutrition-trade</x:v>
      </x:c>
      <x:c r="P1642" t="str"/>
      <x:c r="Q1642" t="str"/>
      <x:c r="R1642" t="str"/>
      <x:c r="S1642" t="str">
        <x:v>Pending genuine supplier/brand image</x:v>
      </x:c>
      <x:c r="T1642" s="54"/>
      <x:c r="U1642" s="47" t="n">
        <x:v>0.2</x:v>
      </x:c>
      <x:c r="V1642" s="54" t="str">
        <x:f>IF(ISNUMBER(T1642),T1642*(1+U1642),"")</x:f>
      </x:c>
      <x:c r="W1642" s="47" t="n">
        <x:v>0.3</x:v>
      </x:c>
      <x:c r="X1642" s="54" t="str">
        <x:f>IF(ISNUMBER(V1642),V1642/(1-W1642),"")</x:f>
      </x:c>
      <x:c r="Y1642" s="55" t="str">
        <x:f>IF(ISNUMBER(X1642),ROUNDUP(X1642,0),"")</x:f>
      </x:c>
      <x:c r="Z1642" t="str">
        <x:f>IF(ISNUMBER(T1642),"Cost captured","Awaiting trade cost")</x:f>
        <x:v>Awaiting trade cost</x:v>
      </x:c>
      <x:c r="AB1642" s="36" t="str">
        <x:f>IF(ISNUMBER(Y1642),ROUND(Y1642*0.9,2),"")</x:f>
      </x:c>
      <x:c r="AC1642" s="36" t="str">
        <x:f>IF(ISNUMBER(AB1642),ROUND(AB1642-(AB1642*0.015+0.2)-V1642,2),"")</x:f>
      </x:c>
      <x:c r="AD1642" s="36" t="str">
        <x:f>IF(ISNUMBER(Y1642),ROUND(Y1642*0.8,2),"")</x:f>
      </x:c>
      <x:c r="AE1642" s="36" t="str">
        <x:f>IF(ISNUMBER(AD1642),ROUND(AD1642*0.015+0.2,2),"")</x:f>
      </x:c>
      <x:c r="AF1642" s="36" t="str">
        <x:f>IF(ISNUMBER(AD1642),ROUND(AD1642-AE1642-V1642,2),"")</x:f>
      </x:c>
      <x:c r="AG1642" t="str">
        <x:f>IF(NOT(ISNUMBER(T1642)),"PENDING",IF(AF1642&gt;0,"PASS","FAIL"))</x:f>
        <x:v>PENDING</x:v>
      </x:c>
      <x:c r="AH1642" t="str">
        <x:f>IF(NOT(ISNUMBER(T1642)),"Needs supplier cost",IF(K1642&lt;&gt;"In stock","Supplier unavailable",IF(AG1642&lt;&gt;"PASS","BLOCK - GT loss risk","Commercially protected")))</x:f>
        <x:v>Needs supplier cost</x:v>
      </x:c>
      <x:c r="AI1642" t="str">
        <x:v>2026-09-10 Active Sports trade capture</x:v>
      </x:c>
      <x:c r="AJ1642" t="str">
        <x:v>Management-only economics. Stripe stress test uses 1.5% + £0.20 standard UK online-card fee; pallet/mix-and-match pricing ignored.</x:v>
      </x:c>
    </x:row>
    <x:row r="1643">
      <x:c r="A1643" t="str">
        <x:v>Active Sports Nutrition</x:v>
      </x:c>
      <x:c r="B1643" t="str">
        <x:v>Reflex Nutrition</x:v>
      </x:c>
      <x:c r="C1643" t="str">
        <x:v>100% Whey</x:v>
      </x:c>
      <x:c r="D1643" t="str">
        <x:v>Supplements</x:v>
      </x:c>
      <x:c r="E1643" t="str">
        <x:v>Whey Protein</x:v>
      </x:c>
      <x:c r="F1643" t="str"/>
      <x:c r="G1643" t="str">
        <x:v>720g</x:v>
      </x:c>
      <x:c r="H1643" t="str">
        <x:v>Strawberry &amp; Raspberry</x:v>
      </x:c>
      <x:c r="I1643" t="str"/>
      <x:c r="J1643" t="str">
        <x:v>Unit</x:v>
      </x:c>
      <x:c r="K1643" t="str">
        <x:v>Out of stock</x:v>
      </x:c>
      <x:c r="L1643" t="str">
        <x:v>2026-09-08</x:v>
      </x:c>
      <x:c r="M1643" t="str"/>
      <x:c r="N1643" t="str"/>
      <x:c r="O1643" t="str">
        <x:v>https://www.activesportstrade.co.uk/reflex-nutrition-trade</x:v>
      </x:c>
      <x:c r="P1643" t="str"/>
      <x:c r="Q1643" t="str"/>
      <x:c r="R1643" t="str"/>
      <x:c r="S1643" t="str">
        <x:v>Pending genuine supplier/brand image</x:v>
      </x:c>
      <x:c r="T1643" s="54"/>
      <x:c r="U1643" s="47" t="n">
        <x:v>0.2</x:v>
      </x:c>
      <x:c r="V1643" s="54" t="str">
        <x:f>IF(ISNUMBER(T1643),T1643*(1+U1643),"")</x:f>
      </x:c>
      <x:c r="W1643" s="47" t="n">
        <x:v>0.3</x:v>
      </x:c>
      <x:c r="X1643" s="54" t="str">
        <x:f>IF(ISNUMBER(V1643),V1643/(1-W1643),"")</x:f>
      </x:c>
      <x:c r="Y1643" s="55" t="str">
        <x:f>IF(ISNUMBER(X1643),ROUNDUP(X1643,0),"")</x:f>
      </x:c>
      <x:c r="Z1643" t="str">
        <x:f>IF(ISNUMBER(T1643),"Cost captured","Awaiting trade cost")</x:f>
        <x:v>Awaiting trade cost</x:v>
      </x:c>
      <x:c r="AB1643" s="36" t="str">
        <x:f>IF(ISNUMBER(Y1643),ROUND(Y1643*0.9,2),"")</x:f>
      </x:c>
      <x:c r="AC1643" s="36" t="str">
        <x:f>IF(ISNUMBER(AB1643),ROUND(AB1643-(AB1643*0.015+0.2)-V1643,2),"")</x:f>
      </x:c>
      <x:c r="AD1643" s="36" t="str">
        <x:f>IF(ISNUMBER(Y1643),ROUND(Y1643*0.8,2),"")</x:f>
      </x:c>
      <x:c r="AE1643" s="36" t="str">
        <x:f>IF(ISNUMBER(AD1643),ROUND(AD1643*0.015+0.2,2),"")</x:f>
      </x:c>
      <x:c r="AF1643" s="36" t="str">
        <x:f>IF(ISNUMBER(AD1643),ROUND(AD1643-AE1643-V1643,2),"")</x:f>
      </x:c>
      <x:c r="AG1643" t="str">
        <x:f>IF(NOT(ISNUMBER(T1643)),"PENDING",IF(AF1643&gt;0,"PASS","FAIL"))</x:f>
        <x:v>PENDING</x:v>
      </x:c>
      <x:c r="AH1643" t="str">
        <x:f>IF(NOT(ISNUMBER(T1643)),"Needs supplier cost",IF(K1643&lt;&gt;"In stock","Supplier unavailable",IF(AG1643&lt;&gt;"PASS","BLOCK - GT loss risk","Commercially protected")))</x:f>
        <x:v>Needs supplier cost</x:v>
      </x:c>
      <x:c r="AI1643" t="str">
        <x:v>2026-09-10 Active Sports trade capture</x:v>
      </x:c>
      <x:c r="AJ1643" t="str">
        <x:v>Management-only economics. Stripe stress test uses 1.5% + £0.20 standard UK online-card fee; pallet/mix-and-match pricing ignored.</x:v>
      </x:c>
    </x:row>
    <x:row r="1644">
      <x:c r="A1644" t="str">
        <x:v>Active Sports Nutrition</x:v>
      </x:c>
      <x:c r="B1644" t="str">
        <x:v>Reflex Nutrition</x:v>
      </x:c>
      <x:c r="C1644" t="str">
        <x:v>100% Whey</x:v>
      </x:c>
      <x:c r="D1644" t="str">
        <x:v>Supplements</x:v>
      </x:c>
      <x:c r="E1644" t="str">
        <x:v>Whey Protein</x:v>
      </x:c>
      <x:c r="F1644" t="str"/>
      <x:c r="G1644" t="str">
        <x:v>720g</x:v>
      </x:c>
      <x:c r="H1644" t="str">
        <x:v>Vanilla</x:v>
      </x:c>
      <x:c r="I1644" t="str"/>
      <x:c r="J1644" t="str">
        <x:v>Unit</x:v>
      </x:c>
      <x:c r="K1644" t="str">
        <x:v>Out of stock</x:v>
      </x:c>
      <x:c r="L1644" t="str">
        <x:v>2026-09-08</x:v>
      </x:c>
      <x:c r="M1644" t="str"/>
      <x:c r="N1644" t="str"/>
      <x:c r="O1644" t="str">
        <x:v>https://www.activesportstrade.co.uk/reflex-nutrition-trade</x:v>
      </x:c>
      <x:c r="P1644" t="str"/>
      <x:c r="Q1644" t="str"/>
      <x:c r="R1644" t="str"/>
      <x:c r="S1644" t="str">
        <x:v>Pending genuine supplier/brand image</x:v>
      </x:c>
      <x:c r="T1644" s="54"/>
      <x:c r="U1644" s="47" t="n">
        <x:v>0.2</x:v>
      </x:c>
      <x:c r="V1644" s="54" t="str">
        <x:f>IF(ISNUMBER(T1644),T1644*(1+U1644),"")</x:f>
      </x:c>
      <x:c r="W1644" s="47" t="n">
        <x:v>0.3</x:v>
      </x:c>
      <x:c r="X1644" s="54" t="str">
        <x:f>IF(ISNUMBER(V1644),V1644/(1-W1644),"")</x:f>
      </x:c>
      <x:c r="Y1644" s="55" t="str">
        <x:f>IF(ISNUMBER(X1644),ROUNDUP(X1644,0),"")</x:f>
      </x:c>
      <x:c r="Z1644" t="str">
        <x:f>IF(ISNUMBER(T1644),"Cost captured","Awaiting trade cost")</x:f>
        <x:v>Awaiting trade cost</x:v>
      </x:c>
      <x:c r="AB1644" s="36" t="str">
        <x:f>IF(ISNUMBER(Y1644),ROUND(Y1644*0.9,2),"")</x:f>
      </x:c>
      <x:c r="AC1644" s="36" t="str">
        <x:f>IF(ISNUMBER(AB1644),ROUND(AB1644-(AB1644*0.015+0.2)-V1644,2),"")</x:f>
      </x:c>
      <x:c r="AD1644" s="36" t="str">
        <x:f>IF(ISNUMBER(Y1644),ROUND(Y1644*0.8,2),"")</x:f>
      </x:c>
      <x:c r="AE1644" s="36" t="str">
        <x:f>IF(ISNUMBER(AD1644),ROUND(AD1644*0.015+0.2,2),"")</x:f>
      </x:c>
      <x:c r="AF1644" s="36" t="str">
        <x:f>IF(ISNUMBER(AD1644),ROUND(AD1644-AE1644-V1644,2),"")</x:f>
      </x:c>
      <x:c r="AG1644" t="str">
        <x:f>IF(NOT(ISNUMBER(T1644)),"PENDING",IF(AF1644&gt;0,"PASS","FAIL"))</x:f>
        <x:v>PENDING</x:v>
      </x:c>
      <x:c r="AH1644" t="str">
        <x:f>IF(NOT(ISNUMBER(T1644)),"Needs supplier cost",IF(K1644&lt;&gt;"In stock","Supplier unavailable",IF(AG1644&lt;&gt;"PASS","BLOCK - GT loss risk","Commercially protected")))</x:f>
        <x:v>Needs supplier cost</x:v>
      </x:c>
      <x:c r="AI1644" t="str">
        <x:v>2026-09-10 Active Sports trade capture</x:v>
      </x:c>
      <x:c r="AJ1644" t="str">
        <x:v>Management-only economics. Stripe stress test uses 1.5% + £0.20 standard UK online-card fee; pallet/mix-and-match pricing ignored.</x:v>
      </x:c>
    </x:row>
    <x:row r="1645">
      <x:c r="A1645" t="str">
        <x:v>Active Sports Nutrition</x:v>
      </x:c>
      <x:c r="B1645" t="str">
        <x:v>Reflex Nutrition</x:v>
      </x:c>
      <x:c r="C1645" t="str">
        <x:v>Clear Whey Isolate</x:v>
      </x:c>
      <x:c r="D1645" t="str">
        <x:v>Supplements</x:v>
      </x:c>
      <x:c r="E1645" t="str">
        <x:v>Whey Protein</x:v>
      </x:c>
      <x:c r="F1645" t="str"/>
      <x:c r="G1645" t="str">
        <x:v>510g</x:v>
      </x:c>
      <x:c r="H1645" t="str">
        <x:v>Blue Raspberry (Bag)</x:v>
      </x:c>
      <x:c r="I1645" t="str"/>
      <x:c r="J1645" t="str">
        <x:v>Unit</x:v>
      </x:c>
      <x:c r="K1645" t="str">
        <x:v>Out of stock</x:v>
      </x:c>
      <x:c r="L1645" t="str">
        <x:v>2026-09-08</x:v>
      </x:c>
      <x:c r="M1645" t="str"/>
      <x:c r="N1645" t="str"/>
      <x:c r="O1645" t="str">
        <x:v>https://www.activesportstrade.co.uk/reflex-nutrition-trade</x:v>
      </x:c>
      <x:c r="P1645" t="str"/>
      <x:c r="Q1645" t="str"/>
      <x:c r="R1645" t="str"/>
      <x:c r="S1645" t="str">
        <x:v>Pending genuine supplier/brand image</x:v>
      </x:c>
      <x:c r="T1645" s="54"/>
      <x:c r="U1645" s="47" t="n">
        <x:v>0.2</x:v>
      </x:c>
      <x:c r="V1645" s="54" t="str">
        <x:f>IF(ISNUMBER(T1645),T1645*(1+U1645),"")</x:f>
      </x:c>
      <x:c r="W1645" s="47" t="n">
        <x:v>0.3</x:v>
      </x:c>
      <x:c r="X1645" s="54" t="str">
        <x:f>IF(ISNUMBER(V1645),V1645/(1-W1645),"")</x:f>
      </x:c>
      <x:c r="Y1645" s="55" t="str">
        <x:f>IF(ISNUMBER(X1645),ROUNDUP(X1645,0),"")</x:f>
      </x:c>
      <x:c r="Z1645" t="str">
        <x:f>IF(ISNUMBER(T1645),"Cost captured","Awaiting trade cost")</x:f>
        <x:v>Awaiting trade cost</x:v>
      </x:c>
      <x:c r="AB1645" s="36" t="str">
        <x:f>IF(ISNUMBER(Y1645),ROUND(Y1645*0.9,2),"")</x:f>
      </x:c>
      <x:c r="AC1645" s="36" t="str">
        <x:f>IF(ISNUMBER(AB1645),ROUND(AB1645-(AB1645*0.015+0.2)-V1645,2),"")</x:f>
      </x:c>
      <x:c r="AD1645" s="36" t="str">
        <x:f>IF(ISNUMBER(Y1645),ROUND(Y1645*0.8,2),"")</x:f>
      </x:c>
      <x:c r="AE1645" s="36" t="str">
        <x:f>IF(ISNUMBER(AD1645),ROUND(AD1645*0.015+0.2,2),"")</x:f>
      </x:c>
      <x:c r="AF1645" s="36" t="str">
        <x:f>IF(ISNUMBER(AD1645),ROUND(AD1645-AE1645-V1645,2),"")</x:f>
      </x:c>
      <x:c r="AG1645" t="str">
        <x:f>IF(NOT(ISNUMBER(T1645)),"PENDING",IF(AF1645&gt;0,"PASS","FAIL"))</x:f>
        <x:v>PENDING</x:v>
      </x:c>
      <x:c r="AH1645" t="str">
        <x:f>IF(NOT(ISNUMBER(T1645)),"Needs supplier cost",IF(K1645&lt;&gt;"In stock","Supplier unavailable",IF(AG1645&lt;&gt;"PASS","BLOCK - GT loss risk","Commercially protected")))</x:f>
        <x:v>Needs supplier cost</x:v>
      </x:c>
      <x:c r="AI1645" t="str">
        <x:v>2026-09-10 Active Sports trade capture</x:v>
      </x:c>
      <x:c r="AJ1645" t="str">
        <x:v>Management-only economics. Stripe stress test uses 1.5% + £0.20 standard UK online-card fee; pallet/mix-and-match pricing ignored.</x:v>
      </x:c>
    </x:row>
    <x:row r="1646">
      <x:c r="A1646" t="str">
        <x:v>Active Sports Nutrition</x:v>
      </x:c>
      <x:c r="B1646" t="str">
        <x:v>Reflex Nutrition</x:v>
      </x:c>
      <x:c r="C1646" t="str">
        <x:v>Clear Whey Isolate</x:v>
      </x:c>
      <x:c r="D1646" t="str">
        <x:v>Supplements</x:v>
      </x:c>
      <x:c r="E1646" t="str">
        <x:v>Whey Protein</x:v>
      </x:c>
      <x:c r="F1646" t="str"/>
      <x:c r="G1646" t="str">
        <x:v>510g</x:v>
      </x:c>
      <x:c r="H1646" t="str">
        <x:v>Mango</x:v>
      </x:c>
      <x:c r="I1646" t="str"/>
      <x:c r="J1646" t="str">
        <x:v>Unit</x:v>
      </x:c>
      <x:c r="K1646" t="str">
        <x:v>Out of stock</x:v>
      </x:c>
      <x:c r="L1646" t="str">
        <x:v>2026-09-08</x:v>
      </x:c>
      <x:c r="M1646" t="str"/>
      <x:c r="N1646" t="str"/>
      <x:c r="O1646" t="str">
        <x:v>https://www.activesportstrade.co.uk/reflex-nutrition-trade</x:v>
      </x:c>
      <x:c r="P1646" t="str"/>
      <x:c r="Q1646" t="str"/>
      <x:c r="R1646" t="str"/>
      <x:c r="S1646" t="str">
        <x:v>Pending genuine supplier/brand image</x:v>
      </x:c>
      <x:c r="T1646" s="54"/>
      <x:c r="U1646" s="47" t="n">
        <x:v>0.2</x:v>
      </x:c>
      <x:c r="V1646" s="54" t="str">
        <x:f>IF(ISNUMBER(T1646),T1646*(1+U1646),"")</x:f>
      </x:c>
      <x:c r="W1646" s="47" t="n">
        <x:v>0.3</x:v>
      </x:c>
      <x:c r="X1646" s="54" t="str">
        <x:f>IF(ISNUMBER(V1646),V1646/(1-W1646),"")</x:f>
      </x:c>
      <x:c r="Y1646" s="55" t="str">
        <x:f>IF(ISNUMBER(X1646),ROUNDUP(X1646,0),"")</x:f>
      </x:c>
      <x:c r="Z1646" t="str">
        <x:f>IF(ISNUMBER(T1646),"Cost captured","Awaiting trade cost")</x:f>
        <x:v>Awaiting trade cost</x:v>
      </x:c>
      <x:c r="AB1646" s="36" t="str">
        <x:f>IF(ISNUMBER(Y1646),ROUND(Y1646*0.9,2),"")</x:f>
      </x:c>
      <x:c r="AC1646" s="36" t="str">
        <x:f>IF(ISNUMBER(AB1646),ROUND(AB1646-(AB1646*0.015+0.2)-V1646,2),"")</x:f>
      </x:c>
      <x:c r="AD1646" s="36" t="str">
        <x:f>IF(ISNUMBER(Y1646),ROUND(Y1646*0.8,2),"")</x:f>
      </x:c>
      <x:c r="AE1646" s="36" t="str">
        <x:f>IF(ISNUMBER(AD1646),ROUND(AD1646*0.015+0.2,2),"")</x:f>
      </x:c>
      <x:c r="AF1646" s="36" t="str">
        <x:f>IF(ISNUMBER(AD1646),ROUND(AD1646-AE1646-V1646,2),"")</x:f>
      </x:c>
      <x:c r="AG1646" t="str">
        <x:f>IF(NOT(ISNUMBER(T1646)),"PENDING",IF(AF1646&gt;0,"PASS","FAIL"))</x:f>
        <x:v>PENDING</x:v>
      </x:c>
      <x:c r="AH1646" t="str">
        <x:f>IF(NOT(ISNUMBER(T1646)),"Needs supplier cost",IF(K1646&lt;&gt;"In stock","Supplier unavailable",IF(AG1646&lt;&gt;"PASS","BLOCK - GT loss risk","Commercially protected")))</x:f>
        <x:v>Needs supplier cost</x:v>
      </x:c>
      <x:c r="AI1646" t="str">
        <x:v>2026-09-10 Active Sports trade capture</x:v>
      </x:c>
      <x:c r="AJ1646" t="str">
        <x:v>Management-only economics. Stripe stress test uses 1.5% + £0.20 standard UK online-card fee; pallet/mix-and-match pricing ignored.</x:v>
      </x:c>
    </x:row>
    <x:row r="1647">
      <x:c r="A1647" t="str">
        <x:v>Active Sports Nutrition</x:v>
      </x:c>
      <x:c r="B1647" t="str">
        <x:v>Reflex Nutrition</x:v>
      </x:c>
      <x:c r="C1647" t="str">
        <x:v>Clear Whey Isolate</x:v>
      </x:c>
      <x:c r="D1647" t="str">
        <x:v>Supplements</x:v>
      </x:c>
      <x:c r="E1647" t="str">
        <x:v>Whey Protein</x:v>
      </x:c>
      <x:c r="F1647" t="str"/>
      <x:c r="G1647" t="str">
        <x:v>510g</x:v>
      </x:c>
      <x:c r="H1647" t="str">
        <x:v>Mango Passionfruit (Bag)</x:v>
      </x:c>
      <x:c r="I1647" t="str"/>
      <x:c r="J1647" t="str">
        <x:v>Unit</x:v>
      </x:c>
      <x:c r="K1647" t="str">
        <x:v>Out of stock</x:v>
      </x:c>
      <x:c r="L1647" t="str">
        <x:v>2026-09-08</x:v>
      </x:c>
      <x:c r="M1647" t="str"/>
      <x:c r="N1647" t="str"/>
      <x:c r="O1647" t="str">
        <x:v>https://www.activesportstrade.co.uk/reflex-nutrition-trade</x:v>
      </x:c>
      <x:c r="P1647" t="str"/>
      <x:c r="Q1647" t="str"/>
      <x:c r="R1647" t="str"/>
      <x:c r="S1647" t="str">
        <x:v>Pending genuine supplier/brand image</x:v>
      </x:c>
      <x:c r="T1647" s="54"/>
      <x:c r="U1647" s="47" t="n">
        <x:v>0.2</x:v>
      </x:c>
      <x:c r="V1647" s="54" t="str">
        <x:f>IF(ISNUMBER(T1647),T1647*(1+U1647),"")</x:f>
      </x:c>
      <x:c r="W1647" s="47" t="n">
        <x:v>0.3</x:v>
      </x:c>
      <x:c r="X1647" s="54" t="str">
        <x:f>IF(ISNUMBER(V1647),V1647/(1-W1647),"")</x:f>
      </x:c>
      <x:c r="Y1647" s="55" t="str">
        <x:f>IF(ISNUMBER(X1647),ROUNDUP(X1647,0),"")</x:f>
      </x:c>
      <x:c r="Z1647" t="str">
        <x:f>IF(ISNUMBER(T1647),"Cost captured","Awaiting trade cost")</x:f>
        <x:v>Awaiting trade cost</x:v>
      </x:c>
      <x:c r="AB1647" s="36" t="str">
        <x:f>IF(ISNUMBER(Y1647),ROUND(Y1647*0.9,2),"")</x:f>
      </x:c>
      <x:c r="AC1647" s="36" t="str">
        <x:f>IF(ISNUMBER(AB1647),ROUND(AB1647-(AB1647*0.015+0.2)-V1647,2),"")</x:f>
      </x:c>
      <x:c r="AD1647" s="36" t="str">
        <x:f>IF(ISNUMBER(Y1647),ROUND(Y1647*0.8,2),"")</x:f>
      </x:c>
      <x:c r="AE1647" s="36" t="str">
        <x:f>IF(ISNUMBER(AD1647),ROUND(AD1647*0.015+0.2,2),"")</x:f>
      </x:c>
      <x:c r="AF1647" s="36" t="str">
        <x:f>IF(ISNUMBER(AD1647),ROUND(AD1647-AE1647-V1647,2),"")</x:f>
      </x:c>
      <x:c r="AG1647" t="str">
        <x:f>IF(NOT(ISNUMBER(T1647)),"PENDING",IF(AF1647&gt;0,"PASS","FAIL"))</x:f>
        <x:v>PENDING</x:v>
      </x:c>
      <x:c r="AH1647" t="str">
        <x:f>IF(NOT(ISNUMBER(T1647)),"Needs supplier cost",IF(K1647&lt;&gt;"In stock","Supplier unavailable",IF(AG1647&lt;&gt;"PASS","BLOCK - GT loss risk","Commercially protected")))</x:f>
        <x:v>Needs supplier cost</x:v>
      </x:c>
      <x:c r="AI1647" t="str">
        <x:v>2026-09-10 Active Sports trade capture</x:v>
      </x:c>
      <x:c r="AJ1647" t="str">
        <x:v>Management-only economics. Stripe stress test uses 1.5% + £0.20 standard UK online-card fee; pallet/mix-and-match pricing ignored.</x:v>
      </x:c>
    </x:row>
    <x:row r="1648">
      <x:c r="A1648" t="str">
        <x:v>Active Sports Nutrition</x:v>
      </x:c>
      <x:c r="B1648" t="str">
        <x:v>Reflex Nutrition</x:v>
      </x:c>
      <x:c r="C1648" t="str">
        <x:v>Clear Whey Isolate</x:v>
      </x:c>
      <x:c r="D1648" t="str">
        <x:v>Supplements</x:v>
      </x:c>
      <x:c r="E1648" t="str">
        <x:v>Whey Protein</x:v>
      </x:c>
      <x:c r="F1648" t="str"/>
      <x:c r="G1648" t="str">
        <x:v>510g</x:v>
      </x:c>
      <x:c r="H1648" t="str">
        <x:v>Peach Ice Tea (Bag)</x:v>
      </x:c>
      <x:c r="I1648" t="str"/>
      <x:c r="J1648" t="str">
        <x:v>Unit</x:v>
      </x:c>
      <x:c r="K1648" t="str">
        <x:v>Out of stock</x:v>
      </x:c>
      <x:c r="L1648" t="str">
        <x:v>2026-09-08</x:v>
      </x:c>
      <x:c r="M1648" t="str"/>
      <x:c r="N1648" t="str"/>
      <x:c r="O1648" t="str">
        <x:v>https://www.activesportstrade.co.uk/reflex-nutrition-trade</x:v>
      </x:c>
      <x:c r="P1648" t="str"/>
      <x:c r="Q1648" t="str"/>
      <x:c r="R1648" t="str"/>
      <x:c r="S1648" t="str">
        <x:v>Pending genuine supplier/brand image</x:v>
      </x:c>
      <x:c r="T1648" s="54"/>
      <x:c r="U1648" s="47" t="n">
        <x:v>0.2</x:v>
      </x:c>
      <x:c r="V1648" s="54" t="str">
        <x:f>IF(ISNUMBER(T1648),T1648*(1+U1648),"")</x:f>
      </x:c>
      <x:c r="W1648" s="47" t="n">
        <x:v>0.3</x:v>
      </x:c>
      <x:c r="X1648" s="54" t="str">
        <x:f>IF(ISNUMBER(V1648),V1648/(1-W1648),"")</x:f>
      </x:c>
      <x:c r="Y1648" s="55" t="str">
        <x:f>IF(ISNUMBER(X1648),ROUNDUP(X1648,0),"")</x:f>
      </x:c>
      <x:c r="Z1648" t="str">
        <x:f>IF(ISNUMBER(T1648),"Cost captured","Awaiting trade cost")</x:f>
        <x:v>Awaiting trade cost</x:v>
      </x:c>
      <x:c r="AB1648" s="36" t="str">
        <x:f>IF(ISNUMBER(Y1648),ROUND(Y1648*0.9,2),"")</x:f>
      </x:c>
      <x:c r="AC1648" s="36" t="str">
        <x:f>IF(ISNUMBER(AB1648),ROUND(AB1648-(AB1648*0.015+0.2)-V1648,2),"")</x:f>
      </x:c>
      <x:c r="AD1648" s="36" t="str">
        <x:f>IF(ISNUMBER(Y1648),ROUND(Y1648*0.8,2),"")</x:f>
      </x:c>
      <x:c r="AE1648" s="36" t="str">
        <x:f>IF(ISNUMBER(AD1648),ROUND(AD1648*0.015+0.2,2),"")</x:f>
      </x:c>
      <x:c r="AF1648" s="36" t="str">
        <x:f>IF(ISNUMBER(AD1648),ROUND(AD1648-AE1648-V1648,2),"")</x:f>
      </x:c>
      <x:c r="AG1648" t="str">
        <x:f>IF(NOT(ISNUMBER(T1648)),"PENDING",IF(AF1648&gt;0,"PASS","FAIL"))</x:f>
        <x:v>PENDING</x:v>
      </x:c>
      <x:c r="AH1648" t="str">
        <x:f>IF(NOT(ISNUMBER(T1648)),"Needs supplier cost",IF(K1648&lt;&gt;"In stock","Supplier unavailable",IF(AG1648&lt;&gt;"PASS","BLOCK - GT loss risk","Commercially protected")))</x:f>
        <x:v>Needs supplier cost</x:v>
      </x:c>
      <x:c r="AI1648" t="str">
        <x:v>2026-09-10 Active Sports trade capture</x:v>
      </x:c>
      <x:c r="AJ1648" t="str">
        <x:v>Management-only economics. Stripe stress test uses 1.5% + £0.20 standard UK online-card fee; pallet/mix-and-match pricing ignored.</x:v>
      </x:c>
    </x:row>
    <x:row r="1649">
      <x:c r="A1649" t="str">
        <x:v>Active Sports Nutrition</x:v>
      </x:c>
      <x:c r="B1649" t="str">
        <x:v>Reflex Nutrition</x:v>
      </x:c>
      <x:c r="C1649" t="str">
        <x:v>Clear Whey Isolate</x:v>
      </x:c>
      <x:c r="D1649" t="str">
        <x:v>Supplements</x:v>
      </x:c>
      <x:c r="E1649" t="str">
        <x:v>Whey Protein</x:v>
      </x:c>
      <x:c r="F1649" t="str"/>
      <x:c r="G1649" t="str">
        <x:v>510g</x:v>
      </x:c>
      <x:c r="H1649" t="str">
        <x:v>Raspberry</x:v>
      </x:c>
      <x:c r="I1649" t="str"/>
      <x:c r="J1649" t="str">
        <x:v>Unit</x:v>
      </x:c>
      <x:c r="K1649" t="str">
        <x:v>Out of stock</x:v>
      </x:c>
      <x:c r="L1649" t="str">
        <x:v>2026-09-08</x:v>
      </x:c>
      <x:c r="M1649" t="str"/>
      <x:c r="N1649" t="str"/>
      <x:c r="O1649" t="str">
        <x:v>https://www.activesportstrade.co.uk/reflex-nutrition-trade</x:v>
      </x:c>
      <x:c r="P1649" t="str"/>
      <x:c r="Q1649" t="str"/>
      <x:c r="R1649" t="str"/>
      <x:c r="S1649" t="str">
        <x:v>Pending genuine supplier/brand image</x:v>
      </x:c>
      <x:c r="T1649" s="54"/>
      <x:c r="U1649" s="47" t="n">
        <x:v>0.2</x:v>
      </x:c>
      <x:c r="V1649" s="54" t="str">
        <x:f>IF(ISNUMBER(T1649),T1649*(1+U1649),"")</x:f>
      </x:c>
      <x:c r="W1649" s="47" t="n">
        <x:v>0.3</x:v>
      </x:c>
      <x:c r="X1649" s="54" t="str">
        <x:f>IF(ISNUMBER(V1649),V1649/(1-W1649),"")</x:f>
      </x:c>
      <x:c r="Y1649" s="55" t="str">
        <x:f>IF(ISNUMBER(X1649),ROUNDUP(X1649,0),"")</x:f>
      </x:c>
      <x:c r="Z1649" t="str">
        <x:f>IF(ISNUMBER(T1649),"Cost captured","Awaiting trade cost")</x:f>
        <x:v>Awaiting trade cost</x:v>
      </x:c>
      <x:c r="AB1649" s="36" t="str">
        <x:f>IF(ISNUMBER(Y1649),ROUND(Y1649*0.9,2),"")</x:f>
      </x:c>
      <x:c r="AC1649" s="36" t="str">
        <x:f>IF(ISNUMBER(AB1649),ROUND(AB1649-(AB1649*0.015+0.2)-V1649,2),"")</x:f>
      </x:c>
      <x:c r="AD1649" s="36" t="str">
        <x:f>IF(ISNUMBER(Y1649),ROUND(Y1649*0.8,2),"")</x:f>
      </x:c>
      <x:c r="AE1649" s="36" t="str">
        <x:f>IF(ISNUMBER(AD1649),ROUND(AD1649*0.015+0.2,2),"")</x:f>
      </x:c>
      <x:c r="AF1649" s="36" t="str">
        <x:f>IF(ISNUMBER(AD1649),ROUND(AD1649-AE1649-V1649,2),"")</x:f>
      </x:c>
      <x:c r="AG1649" t="str">
        <x:f>IF(NOT(ISNUMBER(T1649)),"PENDING",IF(AF1649&gt;0,"PASS","FAIL"))</x:f>
        <x:v>PENDING</x:v>
      </x:c>
      <x:c r="AH1649" t="str">
        <x:f>IF(NOT(ISNUMBER(T1649)),"Needs supplier cost",IF(K1649&lt;&gt;"In stock","Supplier unavailable",IF(AG1649&lt;&gt;"PASS","BLOCK - GT loss risk","Commercially protected")))</x:f>
        <x:v>Needs supplier cost</x:v>
      </x:c>
      <x:c r="AI1649" t="str">
        <x:v>2026-09-10 Active Sports trade capture</x:v>
      </x:c>
      <x:c r="AJ1649" t="str">
        <x:v>Management-only economics. Stripe stress test uses 1.5% + £0.20 standard UK online-card fee; pallet/mix-and-match pricing ignored.</x:v>
      </x:c>
    </x:row>
    <x:row r="1650">
      <x:c r="A1650" t="str">
        <x:v>Active Sports Nutrition</x:v>
      </x:c>
      <x:c r="B1650" t="str">
        <x:v>Reflex Nutrition</x:v>
      </x:c>
      <x:c r="C1650" t="str">
        <x:v>Clear Whey Isolate</x:v>
      </x:c>
      <x:c r="D1650" t="str">
        <x:v>Supplements</x:v>
      </x:c>
      <x:c r="E1650" t="str">
        <x:v>Whey Protein</x:v>
      </x:c>
      <x:c r="F1650" t="str"/>
      <x:c r="G1650" t="str">
        <x:v>510g</x:v>
      </x:c>
      <x:c r="H1650" t="str">
        <x:v>Tropical</x:v>
      </x:c>
      <x:c r="I1650" t="str"/>
      <x:c r="J1650" t="str">
        <x:v>Unit</x:v>
      </x:c>
      <x:c r="K1650" t="str">
        <x:v>Out of stock</x:v>
      </x:c>
      <x:c r="L1650" t="str">
        <x:v>2026-09-08</x:v>
      </x:c>
      <x:c r="M1650" t="str"/>
      <x:c r="N1650" t="str"/>
      <x:c r="O1650" t="str">
        <x:v>https://www.activesportstrade.co.uk/reflex-nutrition-trade</x:v>
      </x:c>
      <x:c r="P1650" t="str"/>
      <x:c r="Q1650" t="str"/>
      <x:c r="R1650" t="str"/>
      <x:c r="S1650" t="str">
        <x:v>Pending genuine supplier/brand image</x:v>
      </x:c>
      <x:c r="T1650" s="54"/>
      <x:c r="U1650" s="47" t="n">
        <x:v>0.2</x:v>
      </x:c>
      <x:c r="V1650" s="54" t="str">
        <x:f>IF(ISNUMBER(T1650),T1650*(1+U1650),"")</x:f>
      </x:c>
      <x:c r="W1650" s="47" t="n">
        <x:v>0.3</x:v>
      </x:c>
      <x:c r="X1650" s="54" t="str">
        <x:f>IF(ISNUMBER(V1650),V1650/(1-W1650),"")</x:f>
      </x:c>
      <x:c r="Y1650" s="55" t="str">
        <x:f>IF(ISNUMBER(X1650),ROUNDUP(X1650,0),"")</x:f>
      </x:c>
      <x:c r="Z1650" t="str">
        <x:f>IF(ISNUMBER(T1650),"Cost captured","Awaiting trade cost")</x:f>
        <x:v>Awaiting trade cost</x:v>
      </x:c>
      <x:c r="AB1650" s="36" t="str">
        <x:f>IF(ISNUMBER(Y1650),ROUND(Y1650*0.9,2),"")</x:f>
      </x:c>
      <x:c r="AC1650" s="36" t="str">
        <x:f>IF(ISNUMBER(AB1650),ROUND(AB1650-(AB1650*0.015+0.2)-V1650,2),"")</x:f>
      </x:c>
      <x:c r="AD1650" s="36" t="str">
        <x:f>IF(ISNUMBER(Y1650),ROUND(Y1650*0.8,2),"")</x:f>
      </x:c>
      <x:c r="AE1650" s="36" t="str">
        <x:f>IF(ISNUMBER(AD1650),ROUND(AD1650*0.015+0.2,2),"")</x:f>
      </x:c>
      <x:c r="AF1650" s="36" t="str">
        <x:f>IF(ISNUMBER(AD1650),ROUND(AD1650-AE1650-V1650,2),"")</x:f>
      </x:c>
      <x:c r="AG1650" t="str">
        <x:f>IF(NOT(ISNUMBER(T1650)),"PENDING",IF(AF1650&gt;0,"PASS","FAIL"))</x:f>
        <x:v>PENDING</x:v>
      </x:c>
      <x:c r="AH1650" t="str">
        <x:f>IF(NOT(ISNUMBER(T1650)),"Needs supplier cost",IF(K1650&lt;&gt;"In stock","Supplier unavailable",IF(AG1650&lt;&gt;"PASS","BLOCK - GT loss risk","Commercially protected")))</x:f>
        <x:v>Needs supplier cost</x:v>
      </x:c>
      <x:c r="AI1650" t="str">
        <x:v>2026-09-10 Active Sports trade capture</x:v>
      </x:c>
      <x:c r="AJ1650" t="str">
        <x:v>Management-only economics. Stripe stress test uses 1.5% + £0.20 standard UK online-card fee; pallet/mix-and-match pricing ignored.</x:v>
      </x:c>
    </x:row>
    <x:row r="1651">
      <x:c r="A1651" t="str">
        <x:v>Active Sports Nutrition</x:v>
      </x:c>
      <x:c r="B1651" t="str">
        <x:v>Reflex Nutrition</x:v>
      </x:c>
      <x:c r="C1651" t="str">
        <x:v>Creapure Creatine</x:v>
      </x:c>
      <x:c r="D1651" t="str">
        <x:v>Supplements</x:v>
      </x:c>
      <x:c r="E1651" t="str">
        <x:v>Creatine Powders</x:v>
      </x:c>
      <x:c r="F1651" t="str"/>
      <x:c r="G1651" t="str">
        <x:v>250g</x:v>
      </x:c>
      <x:c r="H1651" t="str">
        <x:v>Unflavoured</x:v>
      </x:c>
      <x:c r="I1651" t="str"/>
      <x:c r="J1651" t="str">
        <x:v>Unit</x:v>
      </x:c>
      <x:c r="K1651" t="str">
        <x:v>In stock</x:v>
      </x:c>
      <x:c r="L1651" t="str">
        <x:v>2026-09-08</x:v>
      </x:c>
      <x:c r="M1651" t="str"/>
      <x:c r="N1651" t="str"/>
      <x:c r="O1651" t="str">
        <x:v>https://www.activesportstrade.co.uk/reflex-nutrition-trade</x:v>
      </x:c>
      <x:c r="P1651" t="str"/>
      <x:c r="Q1651" t="str"/>
      <x:c r="R1651" t="str"/>
      <x:c r="S1651" t="str">
        <x:v>Pending genuine supplier/brand image</x:v>
      </x:c>
      <x:c r="T1651" s="54"/>
      <x:c r="U1651" s="47" t="n">
        <x:v>0.2</x:v>
      </x:c>
      <x:c r="V1651" s="54" t="str">
        <x:f>IF(ISNUMBER(T1651),T1651*(1+U1651),"")</x:f>
      </x:c>
      <x:c r="W1651" s="47" t="n">
        <x:v>0.3</x:v>
      </x:c>
      <x:c r="X1651" s="54" t="str">
        <x:f>IF(ISNUMBER(V1651),V1651/(1-W1651),"")</x:f>
      </x:c>
      <x:c r="Y1651" s="55" t="str">
        <x:f>IF(ISNUMBER(X1651),ROUNDUP(X1651,0),"")</x:f>
      </x:c>
      <x:c r="Z1651" t="str">
        <x:f>IF(ISNUMBER(T1651),"Cost captured","Awaiting trade cost")</x:f>
        <x:v>Awaiting trade cost</x:v>
      </x:c>
      <x:c r="AB1651" s="36" t="str">
        <x:f>IF(ISNUMBER(Y1651),ROUND(Y1651*0.9,2),"")</x:f>
      </x:c>
      <x:c r="AC1651" s="36" t="str">
        <x:f>IF(ISNUMBER(AB1651),ROUND(AB1651-(AB1651*0.015+0.2)-V1651,2),"")</x:f>
      </x:c>
      <x:c r="AD1651" s="36" t="str">
        <x:f>IF(ISNUMBER(Y1651),ROUND(Y1651*0.8,2),"")</x:f>
      </x:c>
      <x:c r="AE1651" s="36" t="str">
        <x:f>IF(ISNUMBER(AD1651),ROUND(AD1651*0.015+0.2,2),"")</x:f>
      </x:c>
      <x:c r="AF1651" s="36" t="str">
        <x:f>IF(ISNUMBER(AD1651),ROUND(AD1651-AE1651-V1651,2),"")</x:f>
      </x:c>
      <x:c r="AG1651" t="str">
        <x:f>IF(NOT(ISNUMBER(T1651)),"PENDING",IF(AF1651&gt;0,"PASS","FAIL"))</x:f>
        <x:v>PENDING</x:v>
      </x:c>
      <x:c r="AH1651" t="str">
        <x:f>IF(NOT(ISNUMBER(T1651)),"Needs supplier cost",IF(K1651&lt;&gt;"In stock","Supplier unavailable",IF(AG1651&lt;&gt;"PASS","BLOCK - GT loss risk","Commercially protected")))</x:f>
        <x:v>Needs supplier cost</x:v>
      </x:c>
      <x:c r="AI1651" t="str">
        <x:v>2026-09-10 Active Sports trade capture</x:v>
      </x:c>
      <x:c r="AJ1651" t="str">
        <x:v>Management-only economics. Stripe stress test uses 1.5% + £0.20 standard UK online-card fee; pallet/mix-and-match pricing ignored.</x:v>
      </x:c>
    </x:row>
    <x:row r="1652">
      <x:c r="A1652" t="str">
        <x:v>Active Sports Nutrition</x:v>
      </x:c>
      <x:c r="B1652" t="str">
        <x:v>Reflex Nutrition</x:v>
      </x:c>
      <x:c r="C1652" t="str">
        <x:v>Creapure Creatine</x:v>
      </x:c>
      <x:c r="D1652" t="str">
        <x:v>Supplements</x:v>
      </x:c>
      <x:c r="E1652" t="str">
        <x:v>Creatine Powders</x:v>
      </x:c>
      <x:c r="F1652" t="str"/>
      <x:c r="G1652" t="str">
        <x:v>500g</x:v>
      </x:c>
      <x:c r="H1652" t="str">
        <x:v>Unflavoured</x:v>
      </x:c>
      <x:c r="I1652" t="str"/>
      <x:c r="J1652" t="str">
        <x:v>Unit</x:v>
      </x:c>
      <x:c r="K1652" t="str">
        <x:v>Out of stock</x:v>
      </x:c>
      <x:c r="L1652" t="str">
        <x:v>2026-09-08</x:v>
      </x:c>
      <x:c r="M1652" t="str"/>
      <x:c r="N1652" t="str"/>
      <x:c r="O1652" t="str">
        <x:v>https://www.activesportstrade.co.uk/reflex-nutrition-trade</x:v>
      </x:c>
      <x:c r="P1652" t="str"/>
      <x:c r="Q1652" t="str"/>
      <x:c r="R1652" t="str"/>
      <x:c r="S1652" t="str">
        <x:v>Pending genuine supplier/brand image</x:v>
      </x:c>
      <x:c r="T1652" s="54"/>
      <x:c r="U1652" s="47" t="n">
        <x:v>0.2</x:v>
      </x:c>
      <x:c r="V1652" s="54" t="str">
        <x:f>IF(ISNUMBER(T1652),T1652*(1+U1652),"")</x:f>
      </x:c>
      <x:c r="W1652" s="47" t="n">
        <x:v>0.3</x:v>
      </x:c>
      <x:c r="X1652" s="54" t="str">
        <x:f>IF(ISNUMBER(V1652),V1652/(1-W1652),"")</x:f>
      </x:c>
      <x:c r="Y1652" s="55" t="str">
        <x:f>IF(ISNUMBER(X1652),ROUNDUP(X1652,0),"")</x:f>
      </x:c>
      <x:c r="Z1652" t="str">
        <x:f>IF(ISNUMBER(T1652),"Cost captured","Awaiting trade cost")</x:f>
        <x:v>Awaiting trade cost</x:v>
      </x:c>
      <x:c r="AB1652" s="36" t="str">
        <x:f>IF(ISNUMBER(Y1652),ROUND(Y1652*0.9,2),"")</x:f>
      </x:c>
      <x:c r="AC1652" s="36" t="str">
        <x:f>IF(ISNUMBER(AB1652),ROUND(AB1652-(AB1652*0.015+0.2)-V1652,2),"")</x:f>
      </x:c>
      <x:c r="AD1652" s="36" t="str">
        <x:f>IF(ISNUMBER(Y1652),ROUND(Y1652*0.8,2),"")</x:f>
      </x:c>
      <x:c r="AE1652" s="36" t="str">
        <x:f>IF(ISNUMBER(AD1652),ROUND(AD1652*0.015+0.2,2),"")</x:f>
      </x:c>
      <x:c r="AF1652" s="36" t="str">
        <x:f>IF(ISNUMBER(AD1652),ROUND(AD1652-AE1652-V1652,2),"")</x:f>
      </x:c>
      <x:c r="AG1652" t="str">
        <x:f>IF(NOT(ISNUMBER(T1652)),"PENDING",IF(AF1652&gt;0,"PASS","FAIL"))</x:f>
        <x:v>PENDING</x:v>
      </x:c>
      <x:c r="AH1652" t="str">
        <x:f>IF(NOT(ISNUMBER(T1652)),"Needs supplier cost",IF(K1652&lt;&gt;"In stock","Supplier unavailable",IF(AG1652&lt;&gt;"PASS","BLOCK - GT loss risk","Commercially protected")))</x:f>
        <x:v>Needs supplier cost</x:v>
      </x:c>
      <x:c r="AI1652" t="str">
        <x:v>2026-09-10 Active Sports trade capture</x:v>
      </x:c>
      <x:c r="AJ1652" t="str">
        <x:v>Management-only economics. Stripe stress test uses 1.5% + £0.20 standard UK online-card fee; pallet/mix-and-match pricing ignored.</x:v>
      </x:c>
    </x:row>
    <x:row r="1653">
      <x:c r="A1653" t="str">
        <x:v>Active Sports Nutrition</x:v>
      </x:c>
      <x:c r="B1653" t="str">
        <x:v>Reflex Nutrition</x:v>
      </x:c>
      <x:c r="C1653" t="str">
        <x:v>Creapure Creatine Capsules</x:v>
      </x:c>
      <x:c r="D1653" t="str">
        <x:v>Supplements</x:v>
      </x:c>
      <x:c r="E1653" t="str">
        <x:v>Creatine Pills</x:v>
      </x:c>
      <x:c r="F1653" t="str"/>
      <x:c r="G1653" t="str">
        <x:v>90 capsules</x:v>
      </x:c>
      <x:c r="H1653" t="str">
        <x:v>Default</x:v>
      </x:c>
      <x:c r="I1653" t="str"/>
      <x:c r="J1653" t="str">
        <x:v>Unit</x:v>
      </x:c>
      <x:c r="K1653" t="str">
        <x:v>In stock</x:v>
      </x:c>
      <x:c r="L1653" t="str">
        <x:v>2026-09-08</x:v>
      </x:c>
      <x:c r="M1653" t="str"/>
      <x:c r="N1653" t="str"/>
      <x:c r="O1653" t="str">
        <x:v>https://www.activesportstrade.co.uk/reflex-nutrition-trade</x:v>
      </x:c>
      <x:c r="P1653" t="str"/>
      <x:c r="Q1653" t="str"/>
      <x:c r="R1653" t="str"/>
      <x:c r="S1653" t="str">
        <x:v>Pending genuine supplier/brand image</x:v>
      </x:c>
      <x:c r="T1653" s="54"/>
      <x:c r="U1653" s="47" t="n">
        <x:v>0.2</x:v>
      </x:c>
      <x:c r="V1653" s="54" t="str">
        <x:f>IF(ISNUMBER(T1653),T1653*(1+U1653),"")</x:f>
      </x:c>
      <x:c r="W1653" s="47" t="n">
        <x:v>0.3</x:v>
      </x:c>
      <x:c r="X1653" s="54" t="str">
        <x:f>IF(ISNUMBER(V1653),V1653/(1-W1653),"")</x:f>
      </x:c>
      <x:c r="Y1653" s="55" t="str">
        <x:f>IF(ISNUMBER(X1653),ROUNDUP(X1653,0),"")</x:f>
      </x:c>
      <x:c r="Z1653" t="str">
        <x:f>IF(ISNUMBER(T1653),"Cost captured","Awaiting trade cost")</x:f>
        <x:v>Awaiting trade cost</x:v>
      </x:c>
      <x:c r="AB1653" s="36" t="str">
        <x:f>IF(ISNUMBER(Y1653),ROUND(Y1653*0.9,2),"")</x:f>
      </x:c>
      <x:c r="AC1653" s="36" t="str">
        <x:f>IF(ISNUMBER(AB1653),ROUND(AB1653-(AB1653*0.015+0.2)-V1653,2),"")</x:f>
      </x:c>
      <x:c r="AD1653" s="36" t="str">
        <x:f>IF(ISNUMBER(Y1653),ROUND(Y1653*0.8,2),"")</x:f>
      </x:c>
      <x:c r="AE1653" s="36" t="str">
        <x:f>IF(ISNUMBER(AD1653),ROUND(AD1653*0.015+0.2,2),"")</x:f>
      </x:c>
      <x:c r="AF1653" s="36" t="str">
        <x:f>IF(ISNUMBER(AD1653),ROUND(AD1653-AE1653-V1653,2),"")</x:f>
      </x:c>
      <x:c r="AG1653" t="str">
        <x:f>IF(NOT(ISNUMBER(T1653)),"PENDING",IF(AF1653&gt;0,"PASS","FAIL"))</x:f>
        <x:v>PENDING</x:v>
      </x:c>
      <x:c r="AH1653" t="str">
        <x:f>IF(NOT(ISNUMBER(T1653)),"Needs supplier cost",IF(K1653&lt;&gt;"In stock","Supplier unavailable",IF(AG1653&lt;&gt;"PASS","BLOCK - GT loss risk","Commercially protected")))</x:f>
        <x:v>Needs supplier cost</x:v>
      </x:c>
      <x:c r="AI1653" t="str">
        <x:v>2026-09-10 Active Sports trade capture</x:v>
      </x:c>
      <x:c r="AJ1653" t="str">
        <x:v>Management-only economics. Stripe stress test uses 1.5% + £0.20 standard UK online-card fee; pallet/mix-and-match pricing ignored.</x:v>
      </x:c>
    </x:row>
    <x:row r="1654">
      <x:c r="A1654" t="str">
        <x:v>Active Sports Nutrition</x:v>
      </x:c>
      <x:c r="B1654" t="str">
        <x:v>Reflex Nutrition</x:v>
      </x:c>
      <x:c r="C1654" t="str">
        <x:v>Creatine Monohydrate</x:v>
      </x:c>
      <x:c r="D1654" t="str">
        <x:v>Supplements</x:v>
      </x:c>
      <x:c r="E1654" t="str">
        <x:v>Creatine Powders</x:v>
      </x:c>
      <x:c r="F1654" t="str"/>
      <x:c r="G1654" t="str">
        <x:v>450g</x:v>
      </x:c>
      <x:c r="H1654" t="str">
        <x:v>Unflavoured</x:v>
      </x:c>
      <x:c r="I1654" t="str"/>
      <x:c r="J1654" t="str">
        <x:v>Unit</x:v>
      </x:c>
      <x:c r="K1654" t="str">
        <x:v>In stock</x:v>
      </x:c>
      <x:c r="L1654" t="str">
        <x:v>2026-09-08</x:v>
      </x:c>
      <x:c r="M1654" t="str"/>
      <x:c r="N1654" t="str"/>
      <x:c r="O1654" t="str">
        <x:v>https://www.activesportstrade.co.uk/reflex-nutrition-trade</x:v>
      </x:c>
      <x:c r="P1654" t="str"/>
      <x:c r="Q1654" t="str"/>
      <x:c r="R1654" t="str"/>
      <x:c r="S1654" t="str">
        <x:v>Pending genuine supplier/brand image</x:v>
      </x:c>
      <x:c r="T1654" s="54"/>
      <x:c r="U1654" s="47" t="n">
        <x:v>0.2</x:v>
      </x:c>
      <x:c r="V1654" s="54" t="str">
        <x:f>IF(ISNUMBER(T1654),T1654*(1+U1654),"")</x:f>
      </x:c>
      <x:c r="W1654" s="47" t="n">
        <x:v>0.3</x:v>
      </x:c>
      <x:c r="X1654" s="54" t="str">
        <x:f>IF(ISNUMBER(V1654),V1654/(1-W1654),"")</x:f>
      </x:c>
      <x:c r="Y1654" s="55" t="str">
        <x:f>IF(ISNUMBER(X1654),ROUNDUP(X1654,0),"")</x:f>
      </x:c>
      <x:c r="Z1654" t="str">
        <x:f>IF(ISNUMBER(T1654),"Cost captured","Awaiting trade cost")</x:f>
        <x:v>Awaiting trade cost</x:v>
      </x:c>
      <x:c r="AB1654" s="36" t="str">
        <x:f>IF(ISNUMBER(Y1654),ROUND(Y1654*0.9,2),"")</x:f>
      </x:c>
      <x:c r="AC1654" s="36" t="str">
        <x:f>IF(ISNUMBER(AB1654),ROUND(AB1654-(AB1654*0.015+0.2)-V1654,2),"")</x:f>
      </x:c>
      <x:c r="AD1654" s="36" t="str">
        <x:f>IF(ISNUMBER(Y1654),ROUND(Y1654*0.8,2),"")</x:f>
      </x:c>
      <x:c r="AE1654" s="36" t="str">
        <x:f>IF(ISNUMBER(AD1654),ROUND(AD1654*0.015+0.2,2),"")</x:f>
      </x:c>
      <x:c r="AF1654" s="36" t="str">
        <x:f>IF(ISNUMBER(AD1654),ROUND(AD1654-AE1654-V1654,2),"")</x:f>
      </x:c>
      <x:c r="AG1654" t="str">
        <x:f>IF(NOT(ISNUMBER(T1654)),"PENDING",IF(AF1654&gt;0,"PASS","FAIL"))</x:f>
        <x:v>PENDING</x:v>
      </x:c>
      <x:c r="AH1654" t="str">
        <x:f>IF(NOT(ISNUMBER(T1654)),"Needs supplier cost",IF(K1654&lt;&gt;"In stock","Supplier unavailable",IF(AG1654&lt;&gt;"PASS","BLOCK - GT loss risk","Commercially protected")))</x:f>
        <x:v>Needs supplier cost</x:v>
      </x:c>
      <x:c r="AI1654" t="str">
        <x:v>2026-09-10 Active Sports trade capture</x:v>
      </x:c>
      <x:c r="AJ1654" t="str">
        <x:v>Management-only economics. Stripe stress test uses 1.5% + £0.20 standard UK online-card fee; pallet/mix-and-match pricing ignored.</x:v>
      </x:c>
    </x:row>
    <x:row r="1655">
      <x:c r="A1655" t="str">
        <x:v>Active Sports Nutrition</x:v>
      </x:c>
      <x:c r="B1655" t="str">
        <x:v>Reflex Nutrition</x:v>
      </x:c>
      <x:c r="C1655" t="str">
        <x:v>Growth Matrix</x:v>
      </x:c>
      <x:c r="D1655" t="str">
        <x:v>Supplements</x:v>
      </x:c>
      <x:c r="E1655" t="str">
        <x:v>Recovery Shakes</x:v>
      </x:c>
      <x:c r="F1655" t="str">
        <x:v>Post-workout recovery shake with protein, BCAAs, creatine and vitamin B6.</x:v>
      </x:c>
      <x:c r="G1655" t="str">
        <x:v>1.89kg</x:v>
      </x:c>
      <x:c r="H1655" t="str">
        <x:v>Rich Chocolate</x:v>
      </x:c>
      <x:c r="I1655" t="str"/>
      <x:c r="J1655" t="str">
        <x:v>Unit</x:v>
      </x:c>
      <x:c r="K1655" t="str">
        <x:v>In stock</x:v>
      </x:c>
      <x:c r="L1655" t="str">
        <x:v>2026-09-08</x:v>
      </x:c>
      <x:c r="M1655" t="str"/>
      <x:c r="N1655" t="str"/>
      <x:c r="O1655" t="str">
        <x:v>https://www.activesportstrade.co.uk/reflex-nutrition-trade</x:v>
      </x:c>
      <x:c r="P1655" t="str"/>
      <x:c r="Q1655" t="str"/>
      <x:c r="R1655" t="str"/>
      <x:c r="S1655" t="str">
        <x:v>Pending genuine supplier/brand image</x:v>
      </x:c>
      <x:c r="T1655" s="54"/>
      <x:c r="U1655" s="47" t="n">
        <x:v>0.2</x:v>
      </x:c>
      <x:c r="V1655" s="54" t="str">
        <x:f>IF(ISNUMBER(T1655),T1655*(1+U1655),"")</x:f>
      </x:c>
      <x:c r="W1655" s="47" t="n">
        <x:v>0.3</x:v>
      </x:c>
      <x:c r="X1655" s="54" t="str">
        <x:f>IF(ISNUMBER(V1655),V1655/(1-W1655),"")</x:f>
      </x:c>
      <x:c r="Y1655" s="55" t="str">
        <x:f>IF(ISNUMBER(X1655),ROUNDUP(X1655,0),"")</x:f>
      </x:c>
      <x:c r="Z1655" t="str">
        <x:f>IF(ISNUMBER(T1655),"Cost captured","Awaiting trade cost")</x:f>
        <x:v>Awaiting trade cost</x:v>
      </x:c>
      <x:c r="AB1655" s="36" t="str">
        <x:f>IF(ISNUMBER(Y1655),ROUND(Y1655*0.9,2),"")</x:f>
      </x:c>
      <x:c r="AC1655" s="36" t="str">
        <x:f>IF(ISNUMBER(AB1655),ROUND(AB1655-(AB1655*0.015+0.2)-V1655,2),"")</x:f>
      </x:c>
      <x:c r="AD1655" s="36" t="str">
        <x:f>IF(ISNUMBER(Y1655),ROUND(Y1655*0.8,2),"")</x:f>
      </x:c>
      <x:c r="AE1655" s="36" t="str">
        <x:f>IF(ISNUMBER(AD1655),ROUND(AD1655*0.015+0.2,2),"")</x:f>
      </x:c>
      <x:c r="AF1655" s="36" t="str">
        <x:f>IF(ISNUMBER(AD1655),ROUND(AD1655-AE1655-V1655,2),"")</x:f>
      </x:c>
      <x:c r="AG1655" t="str">
        <x:f>IF(NOT(ISNUMBER(T1655)),"PENDING",IF(AF1655&gt;0,"PASS","FAIL"))</x:f>
        <x:v>PENDING</x:v>
      </x:c>
      <x:c r="AH1655" t="str">
        <x:f>IF(NOT(ISNUMBER(T1655)),"Needs supplier cost",IF(K1655&lt;&gt;"In stock","Supplier unavailable",IF(AG1655&lt;&gt;"PASS","BLOCK - GT loss risk","Commercially protected")))</x:f>
        <x:v>Needs supplier cost</x:v>
      </x:c>
      <x:c r="AI1655" t="str">
        <x:v>2026-09-10 Active Sports trade capture</x:v>
      </x:c>
      <x:c r="AJ1655" t="str">
        <x:v>Management-only economics. Stripe stress test uses 1.5% + £0.20 standard UK online-card fee; pallet/mix-and-match pricing ignored.</x:v>
      </x:c>
    </x:row>
    <x:row r="1656">
      <x:c r="A1656" t="str">
        <x:v>Active Sports Nutrition</x:v>
      </x:c>
      <x:c r="B1656" t="str">
        <x:v>Reflex Nutrition</x:v>
      </x:c>
      <x:c r="C1656" t="str">
        <x:v>Growth Matrix</x:v>
      </x:c>
      <x:c r="D1656" t="str">
        <x:v>Supplements</x:v>
      </x:c>
      <x:c r="E1656" t="str">
        <x:v>Recovery Shakes</x:v>
      </x:c>
      <x:c r="F1656" t="str">
        <x:v>Post-workout recovery shake with protein, BCAAs, creatine and vitamin B6.</x:v>
      </x:c>
      <x:c r="G1656" t="str">
        <x:v>1.89kg</x:v>
      </x:c>
      <x:c r="H1656" t="str">
        <x:v>Smooth Fruit</x:v>
      </x:c>
      <x:c r="I1656" t="str"/>
      <x:c r="J1656" t="str">
        <x:v>Unit</x:v>
      </x:c>
      <x:c r="K1656" t="str">
        <x:v>Out of stock</x:v>
      </x:c>
      <x:c r="L1656" t="str">
        <x:v>2026-09-08</x:v>
      </x:c>
      <x:c r="M1656" t="str"/>
      <x:c r="N1656" t="str"/>
      <x:c r="O1656" t="str">
        <x:v>https://www.activesportstrade.co.uk/reflex-nutrition-trade</x:v>
      </x:c>
      <x:c r="P1656" t="str"/>
      <x:c r="Q1656" t="str"/>
      <x:c r="R1656" t="str"/>
      <x:c r="S1656" t="str">
        <x:v>Pending genuine supplier/brand image</x:v>
      </x:c>
      <x:c r="T1656" s="54"/>
      <x:c r="U1656" s="47" t="n">
        <x:v>0.2</x:v>
      </x:c>
      <x:c r="V1656" s="54" t="str">
        <x:f>IF(ISNUMBER(T1656),T1656*(1+U1656),"")</x:f>
      </x:c>
      <x:c r="W1656" s="47" t="n">
        <x:v>0.3</x:v>
      </x:c>
      <x:c r="X1656" s="54" t="str">
        <x:f>IF(ISNUMBER(V1656),V1656/(1-W1656),"")</x:f>
      </x:c>
      <x:c r="Y1656" s="55" t="str">
        <x:f>IF(ISNUMBER(X1656),ROUNDUP(X1656,0),"")</x:f>
      </x:c>
      <x:c r="Z1656" t="str">
        <x:f>IF(ISNUMBER(T1656),"Cost captured","Awaiting trade cost")</x:f>
        <x:v>Awaiting trade cost</x:v>
      </x:c>
      <x:c r="AB1656" s="36" t="str">
        <x:f>IF(ISNUMBER(Y1656),ROUND(Y1656*0.9,2),"")</x:f>
      </x:c>
      <x:c r="AC1656" s="36" t="str">
        <x:f>IF(ISNUMBER(AB1656),ROUND(AB1656-(AB1656*0.015+0.2)-V1656,2),"")</x:f>
      </x:c>
      <x:c r="AD1656" s="36" t="str">
        <x:f>IF(ISNUMBER(Y1656),ROUND(Y1656*0.8,2),"")</x:f>
      </x:c>
      <x:c r="AE1656" s="36" t="str">
        <x:f>IF(ISNUMBER(AD1656),ROUND(AD1656*0.015+0.2,2),"")</x:f>
      </x:c>
      <x:c r="AF1656" s="36" t="str">
        <x:f>IF(ISNUMBER(AD1656),ROUND(AD1656-AE1656-V1656,2),"")</x:f>
      </x:c>
      <x:c r="AG1656" t="str">
        <x:f>IF(NOT(ISNUMBER(T1656)),"PENDING",IF(AF1656&gt;0,"PASS","FAIL"))</x:f>
        <x:v>PENDING</x:v>
      </x:c>
      <x:c r="AH1656" t="str">
        <x:f>IF(NOT(ISNUMBER(T1656)),"Needs supplier cost",IF(K1656&lt;&gt;"In stock","Supplier unavailable",IF(AG1656&lt;&gt;"PASS","BLOCK - GT loss risk","Commercially protected")))</x:f>
        <x:v>Needs supplier cost</x:v>
      </x:c>
      <x:c r="AI1656" t="str">
        <x:v>2026-09-10 Active Sports trade capture</x:v>
      </x:c>
      <x:c r="AJ1656" t="str">
        <x:v>Management-only economics. Stripe stress test uses 1.5% + £0.20 standard UK online-card fee; pallet/mix-and-match pricing ignored.</x:v>
      </x:c>
    </x:row>
    <x:row r="1657">
      <x:c r="A1657" t="str">
        <x:v>Active Sports Nutrition</x:v>
      </x:c>
      <x:c r="B1657" t="str">
        <x:v>Reflex Nutrition</x:v>
      </x:c>
      <x:c r="C1657" t="str">
        <x:v>High Protein Twin Bar</x:v>
      </x:c>
      <x:c r="D1657" t="str">
        <x:v>Drinks and Bars</x:v>
      </x:c>
      <x:c r="E1657" t="str">
        <x:v>Bars and Snacks</x:v>
      </x:c>
      <x:c r="F1657" t="str"/>
      <x:c r="G1657" t="str">
        <x:v>12 x 60g bars</x:v>
      </x:c>
      <x:c r="H1657" t="str">
        <x:v>Chocolate Toffee Crispy - BBE 11/26</x:v>
      </x:c>
      <x:c r="I1657" t="str">
        <x:v>12</x:v>
      </x:c>
      <x:c r="J1657" t="str">
        <x:v>Case</x:v>
      </x:c>
      <x:c r="K1657" t="str">
        <x:v>Unavailable - dated clearance</x:v>
      </x:c>
      <x:c r="L1657" t="str">
        <x:v>2026-09-08</x:v>
      </x:c>
      <x:c r="M1657" t="str"/>
      <x:c r="N1657" t="str"/>
      <x:c r="O1657" t="str">
        <x:v>https://www.activesportstrade.co.uk/reflex-nutrition-trade</x:v>
      </x:c>
      <x:c r="P1657" t="str">
        <x:v>Fresh brand/convenience pages expose only BBE 11/26 stock. Recorded as dated clearance rather than normal member-orderable.</x:v>
      </x:c>
      <x:c r="Q1657" t="str"/>
      <x:c r="R1657" t="str"/>
      <x:c r="S1657" t="str">
        <x:v>Pending genuine supplier/brand image</x:v>
      </x:c>
      <x:c r="T1657" s="54"/>
      <x:c r="U1657" s="47" t="n">
        <x:v>0.2</x:v>
      </x:c>
      <x:c r="V1657" s="54" t="str">
        <x:f>IF(ISNUMBER(T1657),T1657*(1+U1657),"")</x:f>
      </x:c>
      <x:c r="W1657" s="47" t="n">
        <x:v>0.3</x:v>
      </x:c>
      <x:c r="X1657" s="54" t="str">
        <x:f>IF(ISNUMBER(V1657),V1657/(1-W1657),"")</x:f>
      </x:c>
      <x:c r="Y1657" s="55" t="str">
        <x:f>IF(ISNUMBER(X1657),ROUNDUP(X1657,0),"")</x:f>
      </x:c>
      <x:c r="Z1657" t="str">
        <x:f>IF(ISNUMBER(T1657),"Cost captured","Awaiting trade cost")</x:f>
        <x:v>Awaiting trade cost</x:v>
      </x:c>
      <x:c r="AB1657" s="36" t="str">
        <x:f>IF(ISNUMBER(Y1657),ROUND(Y1657*0.9,2),"")</x:f>
      </x:c>
      <x:c r="AC1657" s="36" t="str">
        <x:f>IF(ISNUMBER(AB1657),ROUND(AB1657-(AB1657*0.015+0.2)-V1657,2),"")</x:f>
      </x:c>
      <x:c r="AD1657" s="36" t="str">
        <x:f>IF(ISNUMBER(Y1657),ROUND(Y1657*0.8,2),"")</x:f>
      </x:c>
      <x:c r="AE1657" s="36" t="str">
        <x:f>IF(ISNUMBER(AD1657),ROUND(AD1657*0.015+0.2,2),"")</x:f>
      </x:c>
      <x:c r="AF1657" s="36" t="str">
        <x:f>IF(ISNUMBER(AD1657),ROUND(AD1657-AE1657-V1657,2),"")</x:f>
      </x:c>
      <x:c r="AG1657" t="str">
        <x:f>IF(NOT(ISNUMBER(T1657)),"PENDING",IF(AF1657&gt;0,"PASS","FAIL"))</x:f>
        <x:v>PENDING</x:v>
      </x:c>
      <x:c r="AH1657" t="str">
        <x:f>IF(NOT(ISNUMBER(T1657)),"Needs supplier cost",IF(K1657&lt;&gt;"In stock","Supplier unavailable",IF(AG1657&lt;&gt;"PASS","BLOCK - GT loss risk","Commercially protected")))</x:f>
        <x:v>Needs supplier cost</x:v>
      </x:c>
      <x:c r="AI1657" t="str">
        <x:v>2026-09-10 Active Sports trade capture</x:v>
      </x:c>
      <x:c r="AJ1657" t="str">
        <x:v>Management-only economics. Stripe stress test uses 1.5% + £0.20 standard UK online-card fee; pallet/mix-and-match pricing ignored.</x:v>
      </x:c>
    </x:row>
    <x:row r="1658">
      <x:c r="A1658" t="str">
        <x:v>Active Sports Nutrition</x:v>
      </x:c>
      <x:c r="B1658" t="str">
        <x:v>Reflex Nutrition</x:v>
      </x:c>
      <x:c r="C1658" t="str">
        <x:v>High Protein Twin Bar</x:v>
      </x:c>
      <x:c r="D1658" t="str">
        <x:v>Drinks and Bars</x:v>
      </x:c>
      <x:c r="E1658" t="str">
        <x:v>Bars and Snacks</x:v>
      </x:c>
      <x:c r="F1658" t="str"/>
      <x:c r="G1658" t="str">
        <x:v>12 x 60g bars</x:v>
      </x:c>
      <x:c r="H1658" t="str">
        <x:v>Salted Caramel Crunch - BBE 11/26</x:v>
      </x:c>
      <x:c r="I1658" t="str">
        <x:v>12</x:v>
      </x:c>
      <x:c r="J1658" t="str">
        <x:v>Case</x:v>
      </x:c>
      <x:c r="K1658" t="str">
        <x:v>Unavailable - dated clearance</x:v>
      </x:c>
      <x:c r="L1658" t="str">
        <x:v>2026-09-08</x:v>
      </x:c>
      <x:c r="M1658" t="str"/>
      <x:c r="N1658" t="str"/>
      <x:c r="O1658" t="str">
        <x:v>https://www.activesportstrade.co.uk/reflex-nutrition-trade</x:v>
      </x:c>
      <x:c r="P1658" t="str">
        <x:v>Fresh brand/convenience pages expose only BBE 11/26 stock. Recorded as dated clearance rather than normal member-orderable.</x:v>
      </x:c>
      <x:c r="Q1658" t="str"/>
      <x:c r="R1658" t="str"/>
      <x:c r="S1658" t="str">
        <x:v>Pending genuine supplier/brand image</x:v>
      </x:c>
      <x:c r="T1658" s="54"/>
      <x:c r="U1658" s="47" t="n">
        <x:v>0.2</x:v>
      </x:c>
      <x:c r="V1658" s="54" t="str">
        <x:f>IF(ISNUMBER(T1658),T1658*(1+U1658),"")</x:f>
      </x:c>
      <x:c r="W1658" s="47" t="n">
        <x:v>0.3</x:v>
      </x:c>
      <x:c r="X1658" s="54" t="str">
        <x:f>IF(ISNUMBER(V1658),V1658/(1-W1658),"")</x:f>
      </x:c>
      <x:c r="Y1658" s="55" t="str">
        <x:f>IF(ISNUMBER(X1658),ROUNDUP(X1658,0),"")</x:f>
      </x:c>
      <x:c r="Z1658" t="str">
        <x:f>IF(ISNUMBER(T1658),"Cost captured","Awaiting trade cost")</x:f>
        <x:v>Awaiting trade cost</x:v>
      </x:c>
      <x:c r="AB1658" s="36" t="str">
        <x:f>IF(ISNUMBER(Y1658),ROUND(Y1658*0.9,2),"")</x:f>
      </x:c>
      <x:c r="AC1658" s="36" t="str">
        <x:f>IF(ISNUMBER(AB1658),ROUND(AB1658-(AB1658*0.015+0.2)-V1658,2),"")</x:f>
      </x:c>
      <x:c r="AD1658" s="36" t="str">
        <x:f>IF(ISNUMBER(Y1658),ROUND(Y1658*0.8,2),"")</x:f>
      </x:c>
      <x:c r="AE1658" s="36" t="str">
        <x:f>IF(ISNUMBER(AD1658),ROUND(AD1658*0.015+0.2,2),"")</x:f>
      </x:c>
      <x:c r="AF1658" s="36" t="str">
        <x:f>IF(ISNUMBER(AD1658),ROUND(AD1658-AE1658-V1658,2),"")</x:f>
      </x:c>
      <x:c r="AG1658" t="str">
        <x:f>IF(NOT(ISNUMBER(T1658)),"PENDING",IF(AF1658&gt;0,"PASS","FAIL"))</x:f>
        <x:v>PENDING</x:v>
      </x:c>
      <x:c r="AH1658" t="str">
        <x:f>IF(NOT(ISNUMBER(T1658)),"Needs supplier cost",IF(K1658&lt;&gt;"In stock","Supplier unavailable",IF(AG1658&lt;&gt;"PASS","BLOCK - GT loss risk","Commercially protected")))</x:f>
        <x:v>Needs supplier cost</x:v>
      </x:c>
      <x:c r="AI1658" t="str">
        <x:v>2026-09-10 Active Sports trade capture</x:v>
      </x:c>
      <x:c r="AJ1658" t="str">
        <x:v>Management-only economics. Stripe stress test uses 1.5% + £0.20 standard UK online-card fee; pallet/mix-and-match pricing ignored.</x:v>
      </x:c>
    </x:row>
    <x:row r="1659">
      <x:c r="A1659" t="str">
        <x:v>Active Sports Nutrition</x:v>
      </x:c>
      <x:c r="B1659" t="str">
        <x:v>Reflex Nutrition</x:v>
      </x:c>
      <x:c r="C1659" t="str">
        <x:v>Instant Mass Heavyweight</x:v>
      </x:c>
      <x:c r="D1659" t="str">
        <x:v>Supplements</x:v>
      </x:c>
      <x:c r="E1659" t="str">
        <x:v>Weight Gainers</x:v>
      </x:c>
      <x:c r="F1659" t="str"/>
      <x:c r="G1659" t="str">
        <x:v>2kg</x:v>
      </x:c>
      <x:c r="H1659" t="str">
        <x:v>Blueberry</x:v>
      </x:c>
      <x:c r="I1659" t="str"/>
      <x:c r="J1659" t="str">
        <x:v>Unit</x:v>
      </x:c>
      <x:c r="K1659" t="str">
        <x:v>In stock</x:v>
      </x:c>
      <x:c r="L1659" t="str">
        <x:v>2026-09-08</x:v>
      </x:c>
      <x:c r="M1659" t="str"/>
      <x:c r="N1659" t="str"/>
      <x:c r="O1659" t="str">
        <x:v>https://www.activesportstrade.co.uk/reflex-nutrition-trade</x:v>
      </x:c>
      <x:c r="P1659" t="str"/>
      <x:c r="Q1659" t="str"/>
      <x:c r="R1659" t="str"/>
      <x:c r="S1659" t="str">
        <x:v>Pending genuine supplier/brand image</x:v>
      </x:c>
      <x:c r="T1659" s="54"/>
      <x:c r="U1659" s="47" t="n">
        <x:v>0.2</x:v>
      </x:c>
      <x:c r="V1659" s="54" t="str">
        <x:f>IF(ISNUMBER(T1659),T1659*(1+U1659),"")</x:f>
      </x:c>
      <x:c r="W1659" s="47" t="n">
        <x:v>0.3</x:v>
      </x:c>
      <x:c r="X1659" s="54" t="str">
        <x:f>IF(ISNUMBER(V1659),V1659/(1-W1659),"")</x:f>
      </x:c>
      <x:c r="Y1659" s="55" t="str">
        <x:f>IF(ISNUMBER(X1659),ROUNDUP(X1659,0),"")</x:f>
      </x:c>
      <x:c r="Z1659" t="str">
        <x:f>IF(ISNUMBER(T1659),"Cost captured","Awaiting trade cost")</x:f>
        <x:v>Awaiting trade cost</x:v>
      </x:c>
      <x:c r="AB1659" s="36" t="str">
        <x:f>IF(ISNUMBER(Y1659),ROUND(Y1659*0.9,2),"")</x:f>
      </x:c>
      <x:c r="AC1659" s="36" t="str">
        <x:f>IF(ISNUMBER(AB1659),ROUND(AB1659-(AB1659*0.015+0.2)-V1659,2),"")</x:f>
      </x:c>
      <x:c r="AD1659" s="36" t="str">
        <x:f>IF(ISNUMBER(Y1659),ROUND(Y1659*0.8,2),"")</x:f>
      </x:c>
      <x:c r="AE1659" s="36" t="str">
        <x:f>IF(ISNUMBER(AD1659),ROUND(AD1659*0.015+0.2,2),"")</x:f>
      </x:c>
      <x:c r="AF1659" s="36" t="str">
        <x:f>IF(ISNUMBER(AD1659),ROUND(AD1659-AE1659-V1659,2),"")</x:f>
      </x:c>
      <x:c r="AG1659" t="str">
        <x:f>IF(NOT(ISNUMBER(T1659)),"PENDING",IF(AF1659&gt;0,"PASS","FAIL"))</x:f>
        <x:v>PENDING</x:v>
      </x:c>
      <x:c r="AH1659" t="str">
        <x:f>IF(NOT(ISNUMBER(T1659)),"Needs supplier cost",IF(K1659&lt;&gt;"In stock","Supplier unavailable",IF(AG1659&lt;&gt;"PASS","BLOCK - GT loss risk","Commercially protected")))</x:f>
        <x:v>Needs supplier cost</x:v>
      </x:c>
      <x:c r="AI1659" t="str">
        <x:v>2026-09-10 Active Sports trade capture</x:v>
      </x:c>
      <x:c r="AJ1659" t="str">
        <x:v>Management-only economics. Stripe stress test uses 1.5% + £0.20 standard UK online-card fee; pallet/mix-and-match pricing ignored.</x:v>
      </x:c>
    </x:row>
    <x:row r="1660">
      <x:c r="A1660" t="str">
        <x:v>Active Sports Nutrition</x:v>
      </x:c>
      <x:c r="B1660" t="str">
        <x:v>Reflex Nutrition</x:v>
      </x:c>
      <x:c r="C1660" t="str">
        <x:v>Instant Mass Heavyweight</x:v>
      </x:c>
      <x:c r="D1660" t="str">
        <x:v>Supplements</x:v>
      </x:c>
      <x:c r="E1660" t="str">
        <x:v>Weight Gainers</x:v>
      </x:c>
      <x:c r="F1660" t="str"/>
      <x:c r="G1660" t="str">
        <x:v>2kg</x:v>
      </x:c>
      <x:c r="H1660" t="str">
        <x:v>Choc Peanut Butter</x:v>
      </x:c>
      <x:c r="I1660" t="str"/>
      <x:c r="J1660" t="str">
        <x:v>Unit</x:v>
      </x:c>
      <x:c r="K1660" t="str">
        <x:v>In stock</x:v>
      </x:c>
      <x:c r="L1660" t="str">
        <x:v>2026-09-08</x:v>
      </x:c>
      <x:c r="M1660" t="str"/>
      <x:c r="N1660" t="str"/>
      <x:c r="O1660" t="str">
        <x:v>https://www.activesportstrade.co.uk/reflex-nutrition-trade</x:v>
      </x:c>
      <x:c r="P1660" t="str"/>
      <x:c r="Q1660" t="str"/>
      <x:c r="R1660" t="str"/>
      <x:c r="S1660" t="str">
        <x:v>Pending genuine supplier/brand image</x:v>
      </x:c>
      <x:c r="T1660" s="54"/>
      <x:c r="U1660" s="47" t="n">
        <x:v>0.2</x:v>
      </x:c>
      <x:c r="V1660" s="54" t="str">
        <x:f>IF(ISNUMBER(T1660),T1660*(1+U1660),"")</x:f>
      </x:c>
      <x:c r="W1660" s="47" t="n">
        <x:v>0.3</x:v>
      </x:c>
      <x:c r="X1660" s="54" t="str">
        <x:f>IF(ISNUMBER(V1660),V1660/(1-W1660),"")</x:f>
      </x:c>
      <x:c r="Y1660" s="55" t="str">
        <x:f>IF(ISNUMBER(X1660),ROUNDUP(X1660,0),"")</x:f>
      </x:c>
      <x:c r="Z1660" t="str">
        <x:f>IF(ISNUMBER(T1660),"Cost captured","Awaiting trade cost")</x:f>
        <x:v>Awaiting trade cost</x:v>
      </x:c>
      <x:c r="AB1660" s="36" t="str">
        <x:f>IF(ISNUMBER(Y1660),ROUND(Y1660*0.9,2),"")</x:f>
      </x:c>
      <x:c r="AC1660" s="36" t="str">
        <x:f>IF(ISNUMBER(AB1660),ROUND(AB1660-(AB1660*0.015+0.2)-V1660,2),"")</x:f>
      </x:c>
      <x:c r="AD1660" s="36" t="str">
        <x:f>IF(ISNUMBER(Y1660),ROUND(Y1660*0.8,2),"")</x:f>
      </x:c>
      <x:c r="AE1660" s="36" t="str">
        <x:f>IF(ISNUMBER(AD1660),ROUND(AD1660*0.015+0.2,2),"")</x:f>
      </x:c>
      <x:c r="AF1660" s="36" t="str">
        <x:f>IF(ISNUMBER(AD1660),ROUND(AD1660-AE1660-V1660,2),"")</x:f>
      </x:c>
      <x:c r="AG1660" t="str">
        <x:f>IF(NOT(ISNUMBER(T1660)),"PENDING",IF(AF1660&gt;0,"PASS","FAIL"))</x:f>
        <x:v>PENDING</x:v>
      </x:c>
      <x:c r="AH1660" t="str">
        <x:f>IF(NOT(ISNUMBER(T1660)),"Needs supplier cost",IF(K1660&lt;&gt;"In stock","Supplier unavailable",IF(AG1660&lt;&gt;"PASS","BLOCK - GT loss risk","Commercially protected")))</x:f>
        <x:v>Needs supplier cost</x:v>
      </x:c>
      <x:c r="AI1660" t="str">
        <x:v>2026-09-10 Active Sports trade capture</x:v>
      </x:c>
      <x:c r="AJ1660" t="str">
        <x:v>Management-only economics. Stripe stress test uses 1.5% + £0.20 standard UK online-card fee; pallet/mix-and-match pricing ignored.</x:v>
      </x:c>
    </x:row>
    <x:row r="1661">
      <x:c r="A1661" t="str">
        <x:v>Active Sports Nutrition</x:v>
      </x:c>
      <x:c r="B1661" t="str">
        <x:v>Reflex Nutrition</x:v>
      </x:c>
      <x:c r="C1661" t="str">
        <x:v>Instant Mass Heavyweight</x:v>
      </x:c>
      <x:c r="D1661" t="str">
        <x:v>Supplements</x:v>
      </x:c>
      <x:c r="E1661" t="str">
        <x:v>Weight Gainers</x:v>
      </x:c>
      <x:c r="F1661" t="str"/>
      <x:c r="G1661" t="str">
        <x:v>2kg</x:v>
      </x:c>
      <x:c r="H1661" t="str">
        <x:v>Chocolate Perfection</x:v>
      </x:c>
      <x:c r="I1661" t="str"/>
      <x:c r="J1661" t="str">
        <x:v>Unit</x:v>
      </x:c>
      <x:c r="K1661" t="str">
        <x:v>In stock</x:v>
      </x:c>
      <x:c r="L1661" t="str">
        <x:v>2026-09-08</x:v>
      </x:c>
      <x:c r="M1661" t="str"/>
      <x:c r="N1661" t="str"/>
      <x:c r="O1661" t="str">
        <x:v>https://www.activesportstrade.co.uk/reflex-nutrition-trade</x:v>
      </x:c>
      <x:c r="P1661" t="str"/>
      <x:c r="Q1661" t="str"/>
      <x:c r="R1661" t="str"/>
      <x:c r="S1661" t="str">
        <x:v>Pending genuine supplier/brand image</x:v>
      </x:c>
      <x:c r="T1661" s="54"/>
      <x:c r="U1661" s="47" t="n">
        <x:v>0.2</x:v>
      </x:c>
      <x:c r="V1661" s="54" t="str">
        <x:f>IF(ISNUMBER(T1661),T1661*(1+U1661),"")</x:f>
      </x:c>
      <x:c r="W1661" s="47" t="n">
        <x:v>0.3</x:v>
      </x:c>
      <x:c r="X1661" s="54" t="str">
        <x:f>IF(ISNUMBER(V1661),V1661/(1-W1661),"")</x:f>
      </x:c>
      <x:c r="Y1661" s="55" t="str">
        <x:f>IF(ISNUMBER(X1661),ROUNDUP(X1661,0),"")</x:f>
      </x:c>
      <x:c r="Z1661" t="str">
        <x:f>IF(ISNUMBER(T1661),"Cost captured","Awaiting trade cost")</x:f>
        <x:v>Awaiting trade cost</x:v>
      </x:c>
      <x:c r="AB1661" s="36" t="str">
        <x:f>IF(ISNUMBER(Y1661),ROUND(Y1661*0.9,2),"")</x:f>
      </x:c>
      <x:c r="AC1661" s="36" t="str">
        <x:f>IF(ISNUMBER(AB1661),ROUND(AB1661-(AB1661*0.015+0.2)-V1661,2),"")</x:f>
      </x:c>
      <x:c r="AD1661" s="36" t="str">
        <x:f>IF(ISNUMBER(Y1661),ROUND(Y1661*0.8,2),"")</x:f>
      </x:c>
      <x:c r="AE1661" s="36" t="str">
        <x:f>IF(ISNUMBER(AD1661),ROUND(AD1661*0.015+0.2,2),"")</x:f>
      </x:c>
      <x:c r="AF1661" s="36" t="str">
        <x:f>IF(ISNUMBER(AD1661),ROUND(AD1661-AE1661-V1661,2),"")</x:f>
      </x:c>
      <x:c r="AG1661" t="str">
        <x:f>IF(NOT(ISNUMBER(T1661)),"PENDING",IF(AF1661&gt;0,"PASS","FAIL"))</x:f>
        <x:v>PENDING</x:v>
      </x:c>
      <x:c r="AH1661" t="str">
        <x:f>IF(NOT(ISNUMBER(T1661)),"Needs supplier cost",IF(K1661&lt;&gt;"In stock","Supplier unavailable",IF(AG1661&lt;&gt;"PASS","BLOCK - GT loss risk","Commercially protected")))</x:f>
        <x:v>Needs supplier cost</x:v>
      </x:c>
      <x:c r="AI1661" t="str">
        <x:v>2026-09-10 Active Sports trade capture</x:v>
      </x:c>
      <x:c r="AJ1661" t="str">
        <x:v>Management-only economics. Stripe stress test uses 1.5% + £0.20 standard UK online-card fee; pallet/mix-and-match pricing ignored.</x:v>
      </x:c>
    </x:row>
    <x:row r="1662">
      <x:c r="A1662" t="str">
        <x:v>Active Sports Nutrition</x:v>
      </x:c>
      <x:c r="B1662" t="str">
        <x:v>Reflex Nutrition</x:v>
      </x:c>
      <x:c r="C1662" t="str">
        <x:v>Instant Mass Heavyweight</x:v>
      </x:c>
      <x:c r="D1662" t="str">
        <x:v>Supplements</x:v>
      </x:c>
      <x:c r="E1662" t="str">
        <x:v>Weight Gainers</x:v>
      </x:c>
      <x:c r="F1662" t="str"/>
      <x:c r="G1662" t="str">
        <x:v>2kg</x:v>
      </x:c>
      <x:c r="H1662" t="str">
        <x:v>Salted Caramel</x:v>
      </x:c>
      <x:c r="I1662" t="str"/>
      <x:c r="J1662" t="str">
        <x:v>Unit</x:v>
      </x:c>
      <x:c r="K1662" t="str">
        <x:v>In stock</x:v>
      </x:c>
      <x:c r="L1662" t="str">
        <x:v>2026-09-08</x:v>
      </x:c>
      <x:c r="M1662" t="str"/>
      <x:c r="N1662" t="str"/>
      <x:c r="O1662" t="str">
        <x:v>https://www.activesportstrade.co.uk/reflex-nutrition-trade</x:v>
      </x:c>
      <x:c r="P1662" t="str"/>
      <x:c r="Q1662" t="str"/>
      <x:c r="R1662" t="str"/>
      <x:c r="S1662" t="str">
        <x:v>Pending genuine supplier/brand image</x:v>
      </x:c>
      <x:c r="T1662" s="54"/>
      <x:c r="U1662" s="47" t="n">
        <x:v>0.2</x:v>
      </x:c>
      <x:c r="V1662" s="54" t="str">
        <x:f>IF(ISNUMBER(T1662),T1662*(1+U1662),"")</x:f>
      </x:c>
      <x:c r="W1662" s="47" t="n">
        <x:v>0.3</x:v>
      </x:c>
      <x:c r="X1662" s="54" t="str">
        <x:f>IF(ISNUMBER(V1662),V1662/(1-W1662),"")</x:f>
      </x:c>
      <x:c r="Y1662" s="55" t="str">
        <x:f>IF(ISNUMBER(X1662),ROUNDUP(X1662,0),"")</x:f>
      </x:c>
      <x:c r="Z1662" t="str">
        <x:f>IF(ISNUMBER(T1662),"Cost captured","Awaiting trade cost")</x:f>
        <x:v>Awaiting trade cost</x:v>
      </x:c>
      <x:c r="AB1662" s="36" t="str">
        <x:f>IF(ISNUMBER(Y1662),ROUND(Y1662*0.9,2),"")</x:f>
      </x:c>
      <x:c r="AC1662" s="36" t="str">
        <x:f>IF(ISNUMBER(AB1662),ROUND(AB1662-(AB1662*0.015+0.2)-V1662,2),"")</x:f>
      </x:c>
      <x:c r="AD1662" s="36" t="str">
        <x:f>IF(ISNUMBER(Y1662),ROUND(Y1662*0.8,2),"")</x:f>
      </x:c>
      <x:c r="AE1662" s="36" t="str">
        <x:f>IF(ISNUMBER(AD1662),ROUND(AD1662*0.015+0.2,2),"")</x:f>
      </x:c>
      <x:c r="AF1662" s="36" t="str">
        <x:f>IF(ISNUMBER(AD1662),ROUND(AD1662-AE1662-V1662,2),"")</x:f>
      </x:c>
      <x:c r="AG1662" t="str">
        <x:f>IF(NOT(ISNUMBER(T1662)),"PENDING",IF(AF1662&gt;0,"PASS","FAIL"))</x:f>
        <x:v>PENDING</x:v>
      </x:c>
      <x:c r="AH1662" t="str">
        <x:f>IF(NOT(ISNUMBER(T1662)),"Needs supplier cost",IF(K1662&lt;&gt;"In stock","Supplier unavailable",IF(AG1662&lt;&gt;"PASS","BLOCK - GT loss risk","Commercially protected")))</x:f>
        <x:v>Needs supplier cost</x:v>
      </x:c>
      <x:c r="AI1662" t="str">
        <x:v>2026-09-10 Active Sports trade capture</x:v>
      </x:c>
      <x:c r="AJ1662" t="str">
        <x:v>Management-only economics. Stripe stress test uses 1.5% + £0.20 standard UK online-card fee; pallet/mix-and-match pricing ignored.</x:v>
      </x:c>
    </x:row>
    <x:row r="1663">
      <x:c r="A1663" t="str">
        <x:v>Active Sports Nutrition</x:v>
      </x:c>
      <x:c r="B1663" t="str">
        <x:v>Reflex Nutrition</x:v>
      </x:c>
      <x:c r="C1663" t="str">
        <x:v>Instant Mass Heavyweight</x:v>
      </x:c>
      <x:c r="D1663" t="str">
        <x:v>Supplements</x:v>
      </x:c>
      <x:c r="E1663" t="str">
        <x:v>Weight Gainers</x:v>
      </x:c>
      <x:c r="F1663" t="str"/>
      <x:c r="G1663" t="str">
        <x:v>2kg</x:v>
      </x:c>
      <x:c r="H1663" t="str">
        <x:v>Strawberries &amp; Cream</x:v>
      </x:c>
      <x:c r="I1663" t="str"/>
      <x:c r="J1663" t="str">
        <x:v>Unit</x:v>
      </x:c>
      <x:c r="K1663" t="str">
        <x:v>In stock</x:v>
      </x:c>
      <x:c r="L1663" t="str">
        <x:v>2026-09-08</x:v>
      </x:c>
      <x:c r="M1663" t="str"/>
      <x:c r="N1663" t="str"/>
      <x:c r="O1663" t="str">
        <x:v>https://www.activesportstrade.co.uk/reflex-nutrition-trade</x:v>
      </x:c>
      <x:c r="P1663" t="str"/>
      <x:c r="Q1663" t="str"/>
      <x:c r="R1663" t="str"/>
      <x:c r="S1663" t="str">
        <x:v>Pending genuine supplier/brand image</x:v>
      </x:c>
      <x:c r="T1663" s="54"/>
      <x:c r="U1663" s="47" t="n">
        <x:v>0.2</x:v>
      </x:c>
      <x:c r="V1663" s="54" t="str">
        <x:f>IF(ISNUMBER(T1663),T1663*(1+U1663),"")</x:f>
      </x:c>
      <x:c r="W1663" s="47" t="n">
        <x:v>0.3</x:v>
      </x:c>
      <x:c r="X1663" s="54" t="str">
        <x:f>IF(ISNUMBER(V1663),V1663/(1-W1663),"")</x:f>
      </x:c>
      <x:c r="Y1663" s="55" t="str">
        <x:f>IF(ISNUMBER(X1663),ROUNDUP(X1663,0),"")</x:f>
      </x:c>
      <x:c r="Z1663" t="str">
        <x:f>IF(ISNUMBER(T1663),"Cost captured","Awaiting trade cost")</x:f>
        <x:v>Awaiting trade cost</x:v>
      </x:c>
      <x:c r="AB1663" s="36" t="str">
        <x:f>IF(ISNUMBER(Y1663),ROUND(Y1663*0.9,2),"")</x:f>
      </x:c>
      <x:c r="AC1663" s="36" t="str">
        <x:f>IF(ISNUMBER(AB1663),ROUND(AB1663-(AB1663*0.015+0.2)-V1663,2),"")</x:f>
      </x:c>
      <x:c r="AD1663" s="36" t="str">
        <x:f>IF(ISNUMBER(Y1663),ROUND(Y1663*0.8,2),"")</x:f>
      </x:c>
      <x:c r="AE1663" s="36" t="str">
        <x:f>IF(ISNUMBER(AD1663),ROUND(AD1663*0.015+0.2,2),"")</x:f>
      </x:c>
      <x:c r="AF1663" s="36" t="str">
        <x:f>IF(ISNUMBER(AD1663),ROUND(AD1663-AE1663-V1663,2),"")</x:f>
      </x:c>
      <x:c r="AG1663" t="str">
        <x:f>IF(NOT(ISNUMBER(T1663)),"PENDING",IF(AF1663&gt;0,"PASS","FAIL"))</x:f>
        <x:v>PENDING</x:v>
      </x:c>
      <x:c r="AH1663" t="str">
        <x:f>IF(NOT(ISNUMBER(T1663)),"Needs supplier cost",IF(K1663&lt;&gt;"In stock","Supplier unavailable",IF(AG1663&lt;&gt;"PASS","BLOCK - GT loss risk","Commercially protected")))</x:f>
        <x:v>Needs supplier cost</x:v>
      </x:c>
      <x:c r="AI1663" t="str">
        <x:v>2026-09-10 Active Sports trade capture</x:v>
      </x:c>
      <x:c r="AJ1663" t="str">
        <x:v>Management-only economics. Stripe stress test uses 1.5% + £0.20 standard UK online-card fee; pallet/mix-and-match pricing ignored.</x:v>
      </x:c>
    </x:row>
    <x:row r="1664">
      <x:c r="A1664" t="str">
        <x:v>Active Sports Nutrition</x:v>
      </x:c>
      <x:c r="B1664" t="str">
        <x:v>Reflex Nutrition</x:v>
      </x:c>
      <x:c r="C1664" t="str">
        <x:v>Instant Mass Heavyweight</x:v>
      </x:c>
      <x:c r="D1664" t="str">
        <x:v>Supplements</x:v>
      </x:c>
      <x:c r="E1664" t="str">
        <x:v>Weight Gainers</x:v>
      </x:c>
      <x:c r="F1664" t="str"/>
      <x:c r="G1664" t="str">
        <x:v>2kg</x:v>
      </x:c>
      <x:c r="H1664" t="str">
        <x:v>Vanilla Ice Cream</x:v>
      </x:c>
      <x:c r="I1664" t="str"/>
      <x:c r="J1664" t="str">
        <x:v>Unit</x:v>
      </x:c>
      <x:c r="K1664" t="str">
        <x:v>In stock</x:v>
      </x:c>
      <x:c r="L1664" t="str">
        <x:v>2026-09-08</x:v>
      </x:c>
      <x:c r="M1664" t="str"/>
      <x:c r="N1664" t="str"/>
      <x:c r="O1664" t="str">
        <x:v>https://www.activesportstrade.co.uk/reflex-nutrition-trade</x:v>
      </x:c>
      <x:c r="P1664" t="str"/>
      <x:c r="Q1664" t="str"/>
      <x:c r="R1664" t="str"/>
      <x:c r="S1664" t="str">
        <x:v>Pending genuine supplier/brand image</x:v>
      </x:c>
      <x:c r="T1664" s="54"/>
      <x:c r="U1664" s="47" t="n">
        <x:v>0.2</x:v>
      </x:c>
      <x:c r="V1664" s="54" t="str">
        <x:f>IF(ISNUMBER(T1664),T1664*(1+U1664),"")</x:f>
      </x:c>
      <x:c r="W1664" s="47" t="n">
        <x:v>0.3</x:v>
      </x:c>
      <x:c r="X1664" s="54" t="str">
        <x:f>IF(ISNUMBER(V1664),V1664/(1-W1664),"")</x:f>
      </x:c>
      <x:c r="Y1664" s="55" t="str">
        <x:f>IF(ISNUMBER(X1664),ROUNDUP(X1664,0),"")</x:f>
      </x:c>
      <x:c r="Z1664" t="str">
        <x:f>IF(ISNUMBER(T1664),"Cost captured","Awaiting trade cost")</x:f>
        <x:v>Awaiting trade cost</x:v>
      </x:c>
      <x:c r="AB1664" s="36" t="str">
        <x:f>IF(ISNUMBER(Y1664),ROUND(Y1664*0.9,2),"")</x:f>
      </x:c>
      <x:c r="AC1664" s="36" t="str">
        <x:f>IF(ISNUMBER(AB1664),ROUND(AB1664-(AB1664*0.015+0.2)-V1664,2),"")</x:f>
      </x:c>
      <x:c r="AD1664" s="36" t="str">
        <x:f>IF(ISNUMBER(Y1664),ROUND(Y1664*0.8,2),"")</x:f>
      </x:c>
      <x:c r="AE1664" s="36" t="str">
        <x:f>IF(ISNUMBER(AD1664),ROUND(AD1664*0.015+0.2,2),"")</x:f>
      </x:c>
      <x:c r="AF1664" s="36" t="str">
        <x:f>IF(ISNUMBER(AD1664),ROUND(AD1664-AE1664-V1664,2),"")</x:f>
      </x:c>
      <x:c r="AG1664" t="str">
        <x:f>IF(NOT(ISNUMBER(T1664)),"PENDING",IF(AF1664&gt;0,"PASS","FAIL"))</x:f>
        <x:v>PENDING</x:v>
      </x:c>
      <x:c r="AH1664" t="str">
        <x:f>IF(NOT(ISNUMBER(T1664)),"Needs supplier cost",IF(K1664&lt;&gt;"In stock","Supplier unavailable",IF(AG1664&lt;&gt;"PASS","BLOCK - GT loss risk","Commercially protected")))</x:f>
        <x:v>Needs supplier cost</x:v>
      </x:c>
      <x:c r="AI1664" t="str">
        <x:v>2026-09-10 Active Sports trade capture</x:v>
      </x:c>
      <x:c r="AJ1664" t="str">
        <x:v>Management-only economics. Stripe stress test uses 1.5% + £0.20 standard UK online-card fee; pallet/mix-and-match pricing ignored.</x:v>
      </x:c>
    </x:row>
    <x:row r="1665">
      <x:c r="A1665" t="str">
        <x:v>Active Sports Nutrition</x:v>
      </x:c>
      <x:c r="B1665" t="str">
        <x:v>Reflex Nutrition</x:v>
      </x:c>
      <x:c r="C1665" t="str">
        <x:v>Instant Mass Heavyweight</x:v>
      </x:c>
      <x:c r="D1665" t="str">
        <x:v>Supplements</x:v>
      </x:c>
      <x:c r="E1665" t="str">
        <x:v>Weight Gainers</x:v>
      </x:c>
      <x:c r="F1665" t="str"/>
      <x:c r="G1665" t="str">
        <x:v>5.4kg</x:v>
      </x:c>
      <x:c r="H1665" t="str">
        <x:v>Blueberry</x:v>
      </x:c>
      <x:c r="I1665" t="str"/>
      <x:c r="J1665" t="str">
        <x:v>Unit</x:v>
      </x:c>
      <x:c r="K1665" t="str">
        <x:v>Out of stock</x:v>
      </x:c>
      <x:c r="L1665" t="str">
        <x:v>2026-09-08</x:v>
      </x:c>
      <x:c r="M1665" t="str"/>
      <x:c r="N1665" t="str"/>
      <x:c r="O1665" t="str">
        <x:v>https://www.activesportstrade.co.uk/reflex-nutrition-trade</x:v>
      </x:c>
      <x:c r="P1665" t="str">
        <x:v>Separate dated BBE 07/26/08/26 promo duplicate listing excluded from normal canonical availability.</x:v>
      </x:c>
      <x:c r="Q1665" t="str"/>
      <x:c r="R1665" t="str"/>
      <x:c r="S1665" t="str">
        <x:v>Pending genuine supplier/brand image</x:v>
      </x:c>
      <x:c r="T1665" s="54"/>
      <x:c r="U1665" s="47" t="n">
        <x:v>0.2</x:v>
      </x:c>
      <x:c r="V1665" s="54" t="str">
        <x:f>IF(ISNUMBER(T1665),T1665*(1+U1665),"")</x:f>
      </x:c>
      <x:c r="W1665" s="47" t="n">
        <x:v>0.3</x:v>
      </x:c>
      <x:c r="X1665" s="54" t="str">
        <x:f>IF(ISNUMBER(V1665),V1665/(1-W1665),"")</x:f>
      </x:c>
      <x:c r="Y1665" s="55" t="str">
        <x:f>IF(ISNUMBER(X1665),ROUNDUP(X1665,0),"")</x:f>
      </x:c>
      <x:c r="Z1665" t="str">
        <x:f>IF(ISNUMBER(T1665),"Cost captured","Awaiting trade cost")</x:f>
        <x:v>Awaiting trade cost</x:v>
      </x:c>
      <x:c r="AB1665" s="36" t="str">
        <x:f>IF(ISNUMBER(Y1665),ROUND(Y1665*0.9,2),"")</x:f>
      </x:c>
      <x:c r="AC1665" s="36" t="str">
        <x:f>IF(ISNUMBER(AB1665),ROUND(AB1665-(AB1665*0.015+0.2)-V1665,2),"")</x:f>
      </x:c>
      <x:c r="AD1665" s="36" t="str">
        <x:f>IF(ISNUMBER(Y1665),ROUND(Y1665*0.8,2),"")</x:f>
      </x:c>
      <x:c r="AE1665" s="36" t="str">
        <x:f>IF(ISNUMBER(AD1665),ROUND(AD1665*0.015+0.2,2),"")</x:f>
      </x:c>
      <x:c r="AF1665" s="36" t="str">
        <x:f>IF(ISNUMBER(AD1665),ROUND(AD1665-AE1665-V1665,2),"")</x:f>
      </x:c>
      <x:c r="AG1665" t="str">
        <x:f>IF(NOT(ISNUMBER(T1665)),"PENDING",IF(AF1665&gt;0,"PASS","FAIL"))</x:f>
        <x:v>PENDING</x:v>
      </x:c>
      <x:c r="AH1665" t="str">
        <x:f>IF(NOT(ISNUMBER(T1665)),"Needs supplier cost",IF(K1665&lt;&gt;"In stock","Supplier unavailable",IF(AG1665&lt;&gt;"PASS","BLOCK - GT loss risk","Commercially protected")))</x:f>
        <x:v>Needs supplier cost</x:v>
      </x:c>
      <x:c r="AI1665" t="str">
        <x:v>2026-09-10 Active Sports trade capture</x:v>
      </x:c>
      <x:c r="AJ1665" t="str">
        <x:v>Management-only economics. Stripe stress test uses 1.5% + £0.20 standard UK online-card fee; pallet/mix-and-match pricing ignored.</x:v>
      </x:c>
    </x:row>
    <x:row r="1666">
      <x:c r="A1666" t="str">
        <x:v>Active Sports Nutrition</x:v>
      </x:c>
      <x:c r="B1666" t="str">
        <x:v>Reflex Nutrition</x:v>
      </x:c>
      <x:c r="C1666" t="str">
        <x:v>Instant Mass Heavyweight</x:v>
      </x:c>
      <x:c r="D1666" t="str">
        <x:v>Supplements</x:v>
      </x:c>
      <x:c r="E1666" t="str">
        <x:v>Weight Gainers</x:v>
      </x:c>
      <x:c r="F1666" t="str"/>
      <x:c r="G1666" t="str">
        <x:v>5.4kg</x:v>
      </x:c>
      <x:c r="H1666" t="str">
        <x:v>Choc Peanut Butter</x:v>
      </x:c>
      <x:c r="I1666" t="str"/>
      <x:c r="J1666" t="str">
        <x:v>Unit</x:v>
      </x:c>
      <x:c r="K1666" t="str">
        <x:v>Out of stock</x:v>
      </x:c>
      <x:c r="L1666" t="str">
        <x:v>2026-09-08</x:v>
      </x:c>
      <x:c r="M1666" t="str"/>
      <x:c r="N1666" t="str"/>
      <x:c r="O1666" t="str">
        <x:v>https://www.activesportstrade.co.uk/reflex-nutrition-trade</x:v>
      </x:c>
      <x:c r="P1666" t="str">
        <x:v>Separate dated BBE 07/26/08/26 promo duplicate listing excluded from normal canonical availability.</x:v>
      </x:c>
      <x:c r="Q1666" t="str"/>
      <x:c r="R1666" t="str"/>
      <x:c r="S1666" t="str">
        <x:v>Pending genuine supplier/brand image</x:v>
      </x:c>
      <x:c r="T1666" s="54"/>
      <x:c r="U1666" s="47" t="n">
        <x:v>0.2</x:v>
      </x:c>
      <x:c r="V1666" s="54" t="str">
        <x:f>IF(ISNUMBER(T1666),T1666*(1+U1666),"")</x:f>
      </x:c>
      <x:c r="W1666" s="47" t="n">
        <x:v>0.3</x:v>
      </x:c>
      <x:c r="X1666" s="54" t="str">
        <x:f>IF(ISNUMBER(V1666),V1666/(1-W1666),"")</x:f>
      </x:c>
      <x:c r="Y1666" s="55" t="str">
        <x:f>IF(ISNUMBER(X1666),ROUNDUP(X1666,0),"")</x:f>
      </x:c>
      <x:c r="Z1666" t="str">
        <x:f>IF(ISNUMBER(T1666),"Cost captured","Awaiting trade cost")</x:f>
        <x:v>Awaiting trade cost</x:v>
      </x:c>
      <x:c r="AB1666" s="36" t="str">
        <x:f>IF(ISNUMBER(Y1666),ROUND(Y1666*0.9,2),"")</x:f>
      </x:c>
      <x:c r="AC1666" s="36" t="str">
        <x:f>IF(ISNUMBER(AB1666),ROUND(AB1666-(AB1666*0.015+0.2)-V1666,2),"")</x:f>
      </x:c>
      <x:c r="AD1666" s="36" t="str">
        <x:f>IF(ISNUMBER(Y1666),ROUND(Y1666*0.8,2),"")</x:f>
      </x:c>
      <x:c r="AE1666" s="36" t="str">
        <x:f>IF(ISNUMBER(AD1666),ROUND(AD1666*0.015+0.2,2),"")</x:f>
      </x:c>
      <x:c r="AF1666" s="36" t="str">
        <x:f>IF(ISNUMBER(AD1666),ROUND(AD1666-AE1666-V1666,2),"")</x:f>
      </x:c>
      <x:c r="AG1666" t="str">
        <x:f>IF(NOT(ISNUMBER(T1666)),"PENDING",IF(AF1666&gt;0,"PASS","FAIL"))</x:f>
        <x:v>PENDING</x:v>
      </x:c>
      <x:c r="AH1666" t="str">
        <x:f>IF(NOT(ISNUMBER(T1666)),"Needs supplier cost",IF(K1666&lt;&gt;"In stock","Supplier unavailable",IF(AG1666&lt;&gt;"PASS","BLOCK - GT loss risk","Commercially protected")))</x:f>
        <x:v>Needs supplier cost</x:v>
      </x:c>
      <x:c r="AI1666" t="str">
        <x:v>2026-09-10 Active Sports trade capture</x:v>
      </x:c>
      <x:c r="AJ1666" t="str">
        <x:v>Management-only economics. Stripe stress test uses 1.5% + £0.20 standard UK online-card fee; pallet/mix-and-match pricing ignored.</x:v>
      </x:c>
    </x:row>
    <x:row r="1667">
      <x:c r="A1667" t="str">
        <x:v>Active Sports Nutrition</x:v>
      </x:c>
      <x:c r="B1667" t="str">
        <x:v>Reflex Nutrition</x:v>
      </x:c>
      <x:c r="C1667" t="str">
        <x:v>Instant Mass Heavyweight</x:v>
      </x:c>
      <x:c r="D1667" t="str">
        <x:v>Supplements</x:v>
      </x:c>
      <x:c r="E1667" t="str">
        <x:v>Weight Gainers</x:v>
      </x:c>
      <x:c r="F1667" t="str"/>
      <x:c r="G1667" t="str">
        <x:v>5.4kg</x:v>
      </x:c>
      <x:c r="H1667" t="str">
        <x:v>Chocolate Perfection</x:v>
      </x:c>
      <x:c r="I1667" t="str"/>
      <x:c r="J1667" t="str">
        <x:v>Unit</x:v>
      </x:c>
      <x:c r="K1667" t="str">
        <x:v>In stock</x:v>
      </x:c>
      <x:c r="L1667" t="str">
        <x:v>2026-09-08</x:v>
      </x:c>
      <x:c r="M1667" t="str"/>
      <x:c r="N1667" t="str"/>
      <x:c r="O1667" t="str">
        <x:v>https://www.activesportstrade.co.uk/reflex-nutrition-trade</x:v>
      </x:c>
      <x:c r="P1667" t="str">
        <x:v>Separate dated BBE 07/26/08/26 promo duplicate listing excluded from normal canonical availability.</x:v>
      </x:c>
      <x:c r="Q1667" t="str"/>
      <x:c r="R1667" t="str"/>
      <x:c r="S1667" t="str">
        <x:v>Pending genuine supplier/brand image</x:v>
      </x:c>
      <x:c r="T1667" s="54"/>
      <x:c r="U1667" s="47" t="n">
        <x:v>0.2</x:v>
      </x:c>
      <x:c r="V1667" s="54" t="str">
        <x:f>IF(ISNUMBER(T1667),T1667*(1+U1667),"")</x:f>
      </x:c>
      <x:c r="W1667" s="47" t="n">
        <x:v>0.3</x:v>
      </x:c>
      <x:c r="X1667" s="54" t="str">
        <x:f>IF(ISNUMBER(V1667),V1667/(1-W1667),"")</x:f>
      </x:c>
      <x:c r="Y1667" s="55" t="str">
        <x:f>IF(ISNUMBER(X1667),ROUNDUP(X1667,0),"")</x:f>
      </x:c>
      <x:c r="Z1667" t="str">
        <x:f>IF(ISNUMBER(T1667),"Cost captured","Awaiting trade cost")</x:f>
        <x:v>Awaiting trade cost</x:v>
      </x:c>
      <x:c r="AB1667" s="36" t="str">
        <x:f>IF(ISNUMBER(Y1667),ROUND(Y1667*0.9,2),"")</x:f>
      </x:c>
      <x:c r="AC1667" s="36" t="str">
        <x:f>IF(ISNUMBER(AB1667),ROUND(AB1667-(AB1667*0.015+0.2)-V1667,2),"")</x:f>
      </x:c>
      <x:c r="AD1667" s="36" t="str">
        <x:f>IF(ISNUMBER(Y1667),ROUND(Y1667*0.8,2),"")</x:f>
      </x:c>
      <x:c r="AE1667" s="36" t="str">
        <x:f>IF(ISNUMBER(AD1667),ROUND(AD1667*0.015+0.2,2),"")</x:f>
      </x:c>
      <x:c r="AF1667" s="36" t="str">
        <x:f>IF(ISNUMBER(AD1667),ROUND(AD1667-AE1667-V1667,2),"")</x:f>
      </x:c>
      <x:c r="AG1667" t="str">
        <x:f>IF(NOT(ISNUMBER(T1667)),"PENDING",IF(AF1667&gt;0,"PASS","FAIL"))</x:f>
        <x:v>PENDING</x:v>
      </x:c>
      <x:c r="AH1667" t="str">
        <x:f>IF(NOT(ISNUMBER(T1667)),"Needs supplier cost",IF(K1667&lt;&gt;"In stock","Supplier unavailable",IF(AG1667&lt;&gt;"PASS","BLOCK - GT loss risk","Commercially protected")))</x:f>
        <x:v>Needs supplier cost</x:v>
      </x:c>
      <x:c r="AI1667" t="str">
        <x:v>2026-09-10 Active Sports trade capture</x:v>
      </x:c>
      <x:c r="AJ1667" t="str">
        <x:v>Management-only economics. Stripe stress test uses 1.5% + £0.20 standard UK online-card fee; pallet/mix-and-match pricing ignored.</x:v>
      </x:c>
    </x:row>
    <x:row r="1668">
      <x:c r="A1668" t="str">
        <x:v>Active Sports Nutrition</x:v>
      </x:c>
      <x:c r="B1668" t="str">
        <x:v>Reflex Nutrition</x:v>
      </x:c>
      <x:c r="C1668" t="str">
        <x:v>Instant Mass Heavyweight</x:v>
      </x:c>
      <x:c r="D1668" t="str">
        <x:v>Supplements</x:v>
      </x:c>
      <x:c r="E1668" t="str">
        <x:v>Weight Gainers</x:v>
      </x:c>
      <x:c r="F1668" t="str"/>
      <x:c r="G1668" t="str">
        <x:v>5.4kg</x:v>
      </x:c>
      <x:c r="H1668" t="str">
        <x:v>Salted Caramel</x:v>
      </x:c>
      <x:c r="I1668" t="str"/>
      <x:c r="J1668" t="str">
        <x:v>Unit</x:v>
      </x:c>
      <x:c r="K1668" t="str">
        <x:v>In stock</x:v>
      </x:c>
      <x:c r="L1668" t="str">
        <x:v>2026-09-08</x:v>
      </x:c>
      <x:c r="M1668" t="str"/>
      <x:c r="N1668" t="str"/>
      <x:c r="O1668" t="str">
        <x:v>https://www.activesportstrade.co.uk/reflex-nutrition-trade</x:v>
      </x:c>
      <x:c r="P1668" t="str">
        <x:v>Separate dated BBE 07/26/08/26 promo duplicate listing excluded from normal canonical availability.</x:v>
      </x:c>
      <x:c r="Q1668" t="str"/>
      <x:c r="R1668" t="str"/>
      <x:c r="S1668" t="str">
        <x:v>Pending genuine supplier/brand image</x:v>
      </x:c>
      <x:c r="T1668" s="54"/>
      <x:c r="U1668" s="47" t="n">
        <x:v>0.2</x:v>
      </x:c>
      <x:c r="V1668" s="54" t="str">
        <x:f>IF(ISNUMBER(T1668),T1668*(1+U1668),"")</x:f>
      </x:c>
      <x:c r="W1668" s="47" t="n">
        <x:v>0.3</x:v>
      </x:c>
      <x:c r="X1668" s="54" t="str">
        <x:f>IF(ISNUMBER(V1668),V1668/(1-W1668),"")</x:f>
      </x:c>
      <x:c r="Y1668" s="55" t="str">
        <x:f>IF(ISNUMBER(X1668),ROUNDUP(X1668,0),"")</x:f>
      </x:c>
      <x:c r="Z1668" t="str">
        <x:f>IF(ISNUMBER(T1668),"Cost captured","Awaiting trade cost")</x:f>
        <x:v>Awaiting trade cost</x:v>
      </x:c>
      <x:c r="AB1668" s="36" t="str">
        <x:f>IF(ISNUMBER(Y1668),ROUND(Y1668*0.9,2),"")</x:f>
      </x:c>
      <x:c r="AC1668" s="36" t="str">
        <x:f>IF(ISNUMBER(AB1668),ROUND(AB1668-(AB1668*0.015+0.2)-V1668,2),"")</x:f>
      </x:c>
      <x:c r="AD1668" s="36" t="str">
        <x:f>IF(ISNUMBER(Y1668),ROUND(Y1668*0.8,2),"")</x:f>
      </x:c>
      <x:c r="AE1668" s="36" t="str">
        <x:f>IF(ISNUMBER(AD1668),ROUND(AD1668*0.015+0.2,2),"")</x:f>
      </x:c>
      <x:c r="AF1668" s="36" t="str">
        <x:f>IF(ISNUMBER(AD1668),ROUND(AD1668-AE1668-V1668,2),"")</x:f>
      </x:c>
      <x:c r="AG1668" t="str">
        <x:f>IF(NOT(ISNUMBER(T1668)),"PENDING",IF(AF1668&gt;0,"PASS","FAIL"))</x:f>
        <x:v>PENDING</x:v>
      </x:c>
      <x:c r="AH1668" t="str">
        <x:f>IF(NOT(ISNUMBER(T1668)),"Needs supplier cost",IF(K1668&lt;&gt;"In stock","Supplier unavailable",IF(AG1668&lt;&gt;"PASS","BLOCK - GT loss risk","Commercially protected")))</x:f>
        <x:v>Needs supplier cost</x:v>
      </x:c>
      <x:c r="AI1668" t="str">
        <x:v>2026-09-10 Active Sports trade capture</x:v>
      </x:c>
      <x:c r="AJ1668" t="str">
        <x:v>Management-only economics. Stripe stress test uses 1.5% + £0.20 standard UK online-card fee; pallet/mix-and-match pricing ignored.</x:v>
      </x:c>
    </x:row>
    <x:row r="1669">
      <x:c r="A1669" t="str">
        <x:v>Active Sports Nutrition</x:v>
      </x:c>
      <x:c r="B1669" t="str">
        <x:v>Reflex Nutrition</x:v>
      </x:c>
      <x:c r="C1669" t="str">
        <x:v>Instant Mass Heavyweight</x:v>
      </x:c>
      <x:c r="D1669" t="str">
        <x:v>Supplements</x:v>
      </x:c>
      <x:c r="E1669" t="str">
        <x:v>Weight Gainers</x:v>
      </x:c>
      <x:c r="F1669" t="str"/>
      <x:c r="G1669" t="str">
        <x:v>5.4kg</x:v>
      </x:c>
      <x:c r="H1669" t="str">
        <x:v>Strawberries &amp; Cream</x:v>
      </x:c>
      <x:c r="I1669" t="str"/>
      <x:c r="J1669" t="str">
        <x:v>Unit</x:v>
      </x:c>
      <x:c r="K1669" t="str">
        <x:v>In stock</x:v>
      </x:c>
      <x:c r="L1669" t="str">
        <x:v>2026-09-08</x:v>
      </x:c>
      <x:c r="M1669" t="str"/>
      <x:c r="N1669" t="str"/>
      <x:c r="O1669" t="str">
        <x:v>https://www.activesportstrade.co.uk/reflex-nutrition-trade</x:v>
      </x:c>
      <x:c r="P1669" t="str">
        <x:v>Separate dated BBE 07/26/08/26 promo duplicate listing excluded from normal canonical availability.</x:v>
      </x:c>
      <x:c r="Q1669" t="str"/>
      <x:c r="R1669" t="str"/>
      <x:c r="S1669" t="str">
        <x:v>Pending genuine supplier/brand image</x:v>
      </x:c>
      <x:c r="T1669" s="54"/>
      <x:c r="U1669" s="47" t="n">
        <x:v>0.2</x:v>
      </x:c>
      <x:c r="V1669" s="54" t="str">
        <x:f>IF(ISNUMBER(T1669),T1669*(1+U1669),"")</x:f>
      </x:c>
      <x:c r="W1669" s="47" t="n">
        <x:v>0.3</x:v>
      </x:c>
      <x:c r="X1669" s="54" t="str">
        <x:f>IF(ISNUMBER(V1669),V1669/(1-W1669),"")</x:f>
      </x:c>
      <x:c r="Y1669" s="55" t="str">
        <x:f>IF(ISNUMBER(X1669),ROUNDUP(X1669,0),"")</x:f>
      </x:c>
      <x:c r="Z1669" t="str">
        <x:f>IF(ISNUMBER(T1669),"Cost captured","Awaiting trade cost")</x:f>
        <x:v>Awaiting trade cost</x:v>
      </x:c>
      <x:c r="AB1669" s="36" t="str">
        <x:f>IF(ISNUMBER(Y1669),ROUND(Y1669*0.9,2),"")</x:f>
      </x:c>
      <x:c r="AC1669" s="36" t="str">
        <x:f>IF(ISNUMBER(AB1669),ROUND(AB1669-(AB1669*0.015+0.2)-V1669,2),"")</x:f>
      </x:c>
      <x:c r="AD1669" s="36" t="str">
        <x:f>IF(ISNUMBER(Y1669),ROUND(Y1669*0.8,2),"")</x:f>
      </x:c>
      <x:c r="AE1669" s="36" t="str">
        <x:f>IF(ISNUMBER(AD1669),ROUND(AD1669*0.015+0.2,2),"")</x:f>
      </x:c>
      <x:c r="AF1669" s="36" t="str">
        <x:f>IF(ISNUMBER(AD1669),ROUND(AD1669-AE1669-V1669,2),"")</x:f>
      </x:c>
      <x:c r="AG1669" t="str">
        <x:f>IF(NOT(ISNUMBER(T1669)),"PENDING",IF(AF1669&gt;0,"PASS","FAIL"))</x:f>
        <x:v>PENDING</x:v>
      </x:c>
      <x:c r="AH1669" t="str">
        <x:f>IF(NOT(ISNUMBER(T1669)),"Needs supplier cost",IF(K1669&lt;&gt;"In stock","Supplier unavailable",IF(AG1669&lt;&gt;"PASS","BLOCK - GT loss risk","Commercially protected")))</x:f>
        <x:v>Needs supplier cost</x:v>
      </x:c>
      <x:c r="AI1669" t="str">
        <x:v>2026-09-10 Active Sports trade capture</x:v>
      </x:c>
      <x:c r="AJ1669" t="str">
        <x:v>Management-only economics. Stripe stress test uses 1.5% + £0.20 standard UK online-card fee; pallet/mix-and-match pricing ignored.</x:v>
      </x:c>
    </x:row>
    <x:row r="1670">
      <x:c r="A1670" t="str">
        <x:v>Active Sports Nutrition</x:v>
      </x:c>
      <x:c r="B1670" t="str">
        <x:v>Reflex Nutrition</x:v>
      </x:c>
      <x:c r="C1670" t="str">
        <x:v>Instant Mass Heavyweight</x:v>
      </x:c>
      <x:c r="D1670" t="str">
        <x:v>Supplements</x:v>
      </x:c>
      <x:c r="E1670" t="str">
        <x:v>Weight Gainers</x:v>
      </x:c>
      <x:c r="F1670" t="str"/>
      <x:c r="G1670" t="str">
        <x:v>5.4kg</x:v>
      </x:c>
      <x:c r="H1670" t="str">
        <x:v>Vanilla Ice Cream</x:v>
      </x:c>
      <x:c r="I1670" t="str"/>
      <x:c r="J1670" t="str">
        <x:v>Unit</x:v>
      </x:c>
      <x:c r="K1670" t="str">
        <x:v>In stock</x:v>
      </x:c>
      <x:c r="L1670" t="str">
        <x:v>2026-09-08</x:v>
      </x:c>
      <x:c r="M1670" t="str"/>
      <x:c r="N1670" t="str"/>
      <x:c r="O1670" t="str">
        <x:v>https://www.activesportstrade.co.uk/reflex-nutrition-trade</x:v>
      </x:c>
      <x:c r="P1670" t="str">
        <x:v>Separate dated BBE 07/26/08/26 promo duplicate listing excluded from normal canonical availability.</x:v>
      </x:c>
      <x:c r="Q1670" t="str"/>
      <x:c r="R1670" t="str"/>
      <x:c r="S1670" t="str">
        <x:v>Pending genuine supplier/brand image</x:v>
      </x:c>
      <x:c r="T1670" s="54"/>
      <x:c r="U1670" s="47" t="n">
        <x:v>0.2</x:v>
      </x:c>
      <x:c r="V1670" s="54" t="str">
        <x:f>IF(ISNUMBER(T1670),T1670*(1+U1670),"")</x:f>
      </x:c>
      <x:c r="W1670" s="47" t="n">
        <x:v>0.3</x:v>
      </x:c>
      <x:c r="X1670" s="54" t="str">
        <x:f>IF(ISNUMBER(V1670),V1670/(1-W1670),"")</x:f>
      </x:c>
      <x:c r="Y1670" s="55" t="str">
        <x:f>IF(ISNUMBER(X1670),ROUNDUP(X1670,0),"")</x:f>
      </x:c>
      <x:c r="Z1670" t="str">
        <x:f>IF(ISNUMBER(T1670),"Cost captured","Awaiting trade cost")</x:f>
        <x:v>Awaiting trade cost</x:v>
      </x:c>
      <x:c r="AB1670" s="36" t="str">
        <x:f>IF(ISNUMBER(Y1670),ROUND(Y1670*0.9,2),"")</x:f>
      </x:c>
      <x:c r="AC1670" s="36" t="str">
        <x:f>IF(ISNUMBER(AB1670),ROUND(AB1670-(AB1670*0.015+0.2)-V1670,2),"")</x:f>
      </x:c>
      <x:c r="AD1670" s="36" t="str">
        <x:f>IF(ISNUMBER(Y1670),ROUND(Y1670*0.8,2),"")</x:f>
      </x:c>
      <x:c r="AE1670" s="36" t="str">
        <x:f>IF(ISNUMBER(AD1670),ROUND(AD1670*0.015+0.2,2),"")</x:f>
      </x:c>
      <x:c r="AF1670" s="36" t="str">
        <x:f>IF(ISNUMBER(AD1670),ROUND(AD1670-AE1670-V1670,2),"")</x:f>
      </x:c>
      <x:c r="AG1670" t="str">
        <x:f>IF(NOT(ISNUMBER(T1670)),"PENDING",IF(AF1670&gt;0,"PASS","FAIL"))</x:f>
        <x:v>PENDING</x:v>
      </x:c>
      <x:c r="AH1670" t="str">
        <x:f>IF(NOT(ISNUMBER(T1670)),"Needs supplier cost",IF(K1670&lt;&gt;"In stock","Supplier unavailable",IF(AG1670&lt;&gt;"PASS","BLOCK - GT loss risk","Commercially protected")))</x:f>
        <x:v>Needs supplier cost</x:v>
      </x:c>
      <x:c r="AI1670" t="str">
        <x:v>2026-09-10 Active Sports trade capture</x:v>
      </x:c>
      <x:c r="AJ1670" t="str">
        <x:v>Management-only economics. Stripe stress test uses 1.5% + £0.20 standard UK online-card fee; pallet/mix-and-match pricing ignored.</x:v>
      </x:c>
    </x:row>
    <x:row r="1671">
      <x:c r="A1671" t="str">
        <x:v>Active Sports Nutrition</x:v>
      </x:c>
      <x:c r="B1671" t="str">
        <x:v>Reflex Nutrition</x:v>
      </x:c>
      <x:c r="C1671" t="str">
        <x:v>Instant Whey Pro</x:v>
      </x:c>
      <x:c r="D1671" t="str">
        <x:v>Supplements</x:v>
      </x:c>
      <x:c r="E1671" t="str">
        <x:v>Whey Protein</x:v>
      </x:c>
      <x:c r="F1671" t="str"/>
      <x:c r="G1671" t="str">
        <x:v>900g</x:v>
      </x:c>
      <x:c r="H1671" t="str">
        <x:v>Banana</x:v>
      </x:c>
      <x:c r="I1671" t="str"/>
      <x:c r="J1671" t="str">
        <x:v>Unit</x:v>
      </x:c>
      <x:c r="K1671" t="str">
        <x:v>In stock</x:v>
      </x:c>
      <x:c r="L1671" t="str">
        <x:v>2026-09-08</x:v>
      </x:c>
      <x:c r="M1671" t="str"/>
      <x:c r="N1671" t="str"/>
      <x:c r="O1671" t="str">
        <x:v>https://www.activesportstrade.co.uk/reflex-nutrition-trade</x:v>
      </x:c>
      <x:c r="P1671" t="str"/>
      <x:c r="Q1671" t="str"/>
      <x:c r="R1671" t="str"/>
      <x:c r="S1671" t="str">
        <x:v>Pending genuine supplier/brand image</x:v>
      </x:c>
      <x:c r="T1671" s="54"/>
      <x:c r="U1671" s="47" t="n">
        <x:v>0.2</x:v>
      </x:c>
      <x:c r="V1671" s="54" t="str">
        <x:f>IF(ISNUMBER(T1671),T1671*(1+U1671),"")</x:f>
      </x:c>
      <x:c r="W1671" s="47" t="n">
        <x:v>0.3</x:v>
      </x:c>
      <x:c r="X1671" s="54" t="str">
        <x:f>IF(ISNUMBER(V1671),V1671/(1-W1671),"")</x:f>
      </x:c>
      <x:c r="Y1671" s="55" t="str">
        <x:f>IF(ISNUMBER(X1671),ROUNDUP(X1671,0),"")</x:f>
      </x:c>
      <x:c r="Z1671" t="str">
        <x:f>IF(ISNUMBER(T1671),"Cost captured","Awaiting trade cost")</x:f>
        <x:v>Awaiting trade cost</x:v>
      </x:c>
      <x:c r="AB1671" s="36" t="str">
        <x:f>IF(ISNUMBER(Y1671),ROUND(Y1671*0.9,2),"")</x:f>
      </x:c>
      <x:c r="AC1671" s="36" t="str">
        <x:f>IF(ISNUMBER(AB1671),ROUND(AB1671-(AB1671*0.015+0.2)-V1671,2),"")</x:f>
      </x:c>
      <x:c r="AD1671" s="36" t="str">
        <x:f>IF(ISNUMBER(Y1671),ROUND(Y1671*0.8,2),"")</x:f>
      </x:c>
      <x:c r="AE1671" s="36" t="str">
        <x:f>IF(ISNUMBER(AD1671),ROUND(AD1671*0.015+0.2,2),"")</x:f>
      </x:c>
      <x:c r="AF1671" s="36" t="str">
        <x:f>IF(ISNUMBER(AD1671),ROUND(AD1671-AE1671-V1671,2),"")</x:f>
      </x:c>
      <x:c r="AG1671" t="str">
        <x:f>IF(NOT(ISNUMBER(T1671)),"PENDING",IF(AF1671&gt;0,"PASS","FAIL"))</x:f>
        <x:v>PENDING</x:v>
      </x:c>
      <x:c r="AH1671" t="str">
        <x:f>IF(NOT(ISNUMBER(T1671)),"Needs supplier cost",IF(K1671&lt;&gt;"In stock","Supplier unavailable",IF(AG1671&lt;&gt;"PASS","BLOCK - GT loss risk","Commercially protected")))</x:f>
        <x:v>Needs supplier cost</x:v>
      </x:c>
      <x:c r="AI1671" t="str">
        <x:v>2026-09-10 Active Sports trade capture</x:v>
      </x:c>
      <x:c r="AJ1671" t="str">
        <x:v>Management-only economics. Stripe stress test uses 1.5% + £0.20 standard UK online-card fee; pallet/mix-and-match pricing ignored.</x:v>
      </x:c>
    </x:row>
    <x:row r="1672">
      <x:c r="A1672" t="str">
        <x:v>Active Sports Nutrition</x:v>
      </x:c>
      <x:c r="B1672" t="str">
        <x:v>Reflex Nutrition</x:v>
      </x:c>
      <x:c r="C1672" t="str">
        <x:v>Instant Whey Pro</x:v>
      </x:c>
      <x:c r="D1672" t="str">
        <x:v>Supplements</x:v>
      </x:c>
      <x:c r="E1672" t="str">
        <x:v>Whey Protein</x:v>
      </x:c>
      <x:c r="F1672" t="str"/>
      <x:c r="G1672" t="str">
        <x:v>900g</x:v>
      </x:c>
      <x:c r="H1672" t="str">
        <x:v>Chocolate</x:v>
      </x:c>
      <x:c r="I1672" t="str"/>
      <x:c r="J1672" t="str">
        <x:v>Unit</x:v>
      </x:c>
      <x:c r="K1672" t="str">
        <x:v>In stock</x:v>
      </x:c>
      <x:c r="L1672" t="str">
        <x:v>2026-09-08</x:v>
      </x:c>
      <x:c r="M1672" t="str"/>
      <x:c r="N1672" t="str"/>
      <x:c r="O1672" t="str">
        <x:v>https://www.activesportstrade.co.uk/reflex-nutrition-trade</x:v>
      </x:c>
      <x:c r="P1672" t="str"/>
      <x:c r="Q1672" t="str"/>
      <x:c r="R1672" t="str"/>
      <x:c r="S1672" t="str">
        <x:v>Pending genuine supplier/brand image</x:v>
      </x:c>
      <x:c r="T1672" s="54"/>
      <x:c r="U1672" s="47" t="n">
        <x:v>0.2</x:v>
      </x:c>
      <x:c r="V1672" s="54" t="str">
        <x:f>IF(ISNUMBER(T1672),T1672*(1+U1672),"")</x:f>
      </x:c>
      <x:c r="W1672" s="47" t="n">
        <x:v>0.3</x:v>
      </x:c>
      <x:c r="X1672" s="54" t="str">
        <x:f>IF(ISNUMBER(V1672),V1672/(1-W1672),"")</x:f>
      </x:c>
      <x:c r="Y1672" s="55" t="str">
        <x:f>IF(ISNUMBER(X1672),ROUNDUP(X1672,0),"")</x:f>
      </x:c>
      <x:c r="Z1672" t="str">
        <x:f>IF(ISNUMBER(T1672),"Cost captured","Awaiting trade cost")</x:f>
        <x:v>Awaiting trade cost</x:v>
      </x:c>
      <x:c r="AB1672" s="36" t="str">
        <x:f>IF(ISNUMBER(Y1672),ROUND(Y1672*0.9,2),"")</x:f>
      </x:c>
      <x:c r="AC1672" s="36" t="str">
        <x:f>IF(ISNUMBER(AB1672),ROUND(AB1672-(AB1672*0.015+0.2)-V1672,2),"")</x:f>
      </x:c>
      <x:c r="AD1672" s="36" t="str">
        <x:f>IF(ISNUMBER(Y1672),ROUND(Y1672*0.8,2),"")</x:f>
      </x:c>
      <x:c r="AE1672" s="36" t="str">
        <x:f>IF(ISNUMBER(AD1672),ROUND(AD1672*0.015+0.2,2),"")</x:f>
      </x:c>
      <x:c r="AF1672" s="36" t="str">
        <x:f>IF(ISNUMBER(AD1672),ROUND(AD1672-AE1672-V1672,2),"")</x:f>
      </x:c>
      <x:c r="AG1672" t="str">
        <x:f>IF(NOT(ISNUMBER(T1672)),"PENDING",IF(AF1672&gt;0,"PASS","FAIL"))</x:f>
        <x:v>PENDING</x:v>
      </x:c>
      <x:c r="AH1672" t="str">
        <x:f>IF(NOT(ISNUMBER(T1672)),"Needs supplier cost",IF(K1672&lt;&gt;"In stock","Supplier unavailable",IF(AG1672&lt;&gt;"PASS","BLOCK - GT loss risk","Commercially protected")))</x:f>
        <x:v>Needs supplier cost</x:v>
      </x:c>
      <x:c r="AI1672" t="str">
        <x:v>2026-09-10 Active Sports trade capture</x:v>
      </x:c>
      <x:c r="AJ1672" t="str">
        <x:v>Management-only economics. Stripe stress test uses 1.5% + £0.20 standard UK online-card fee; pallet/mix-and-match pricing ignored.</x:v>
      </x:c>
    </x:row>
    <x:row r="1673">
      <x:c r="A1673" t="str">
        <x:v>Active Sports Nutrition</x:v>
      </x:c>
      <x:c r="B1673" t="str">
        <x:v>Reflex Nutrition</x:v>
      </x:c>
      <x:c r="C1673" t="str">
        <x:v>Instant Whey Pro</x:v>
      </x:c>
      <x:c r="D1673" t="str">
        <x:v>Supplements</x:v>
      </x:c>
      <x:c r="E1673" t="str">
        <x:v>Whey Protein</x:v>
      </x:c>
      <x:c r="F1673" t="str"/>
      <x:c r="G1673" t="str">
        <x:v>900g</x:v>
      </x:c>
      <x:c r="H1673" t="str">
        <x:v>Salted Peanut Caramel</x:v>
      </x:c>
      <x:c r="I1673" t="str"/>
      <x:c r="J1673" t="str">
        <x:v>Unit</x:v>
      </x:c>
      <x:c r="K1673" t="str">
        <x:v>Out of stock</x:v>
      </x:c>
      <x:c r="L1673" t="str">
        <x:v>2026-09-08</x:v>
      </x:c>
      <x:c r="M1673" t="str"/>
      <x:c r="N1673" t="str"/>
      <x:c r="O1673" t="str">
        <x:v>https://www.activesportstrade.co.uk/reflex-nutrition-trade</x:v>
      </x:c>
      <x:c r="P1673" t="str"/>
      <x:c r="Q1673" t="str"/>
      <x:c r="R1673" t="str"/>
      <x:c r="S1673" t="str">
        <x:v>Pending genuine supplier/brand image</x:v>
      </x:c>
      <x:c r="T1673" s="54"/>
      <x:c r="U1673" s="47" t="n">
        <x:v>0.2</x:v>
      </x:c>
      <x:c r="V1673" s="54" t="str">
        <x:f>IF(ISNUMBER(T1673),T1673*(1+U1673),"")</x:f>
      </x:c>
      <x:c r="W1673" s="47" t="n">
        <x:v>0.3</x:v>
      </x:c>
      <x:c r="X1673" s="54" t="str">
        <x:f>IF(ISNUMBER(V1673),V1673/(1-W1673),"")</x:f>
      </x:c>
      <x:c r="Y1673" s="55" t="str">
        <x:f>IF(ISNUMBER(X1673),ROUNDUP(X1673,0),"")</x:f>
      </x:c>
      <x:c r="Z1673" t="str">
        <x:f>IF(ISNUMBER(T1673),"Cost captured","Awaiting trade cost")</x:f>
        <x:v>Awaiting trade cost</x:v>
      </x:c>
      <x:c r="AB1673" s="36" t="str">
        <x:f>IF(ISNUMBER(Y1673),ROUND(Y1673*0.9,2),"")</x:f>
      </x:c>
      <x:c r="AC1673" s="36" t="str">
        <x:f>IF(ISNUMBER(AB1673),ROUND(AB1673-(AB1673*0.015+0.2)-V1673,2),"")</x:f>
      </x:c>
      <x:c r="AD1673" s="36" t="str">
        <x:f>IF(ISNUMBER(Y1673),ROUND(Y1673*0.8,2),"")</x:f>
      </x:c>
      <x:c r="AE1673" s="36" t="str">
        <x:f>IF(ISNUMBER(AD1673),ROUND(AD1673*0.015+0.2,2),"")</x:f>
      </x:c>
      <x:c r="AF1673" s="36" t="str">
        <x:f>IF(ISNUMBER(AD1673),ROUND(AD1673-AE1673-V1673,2),"")</x:f>
      </x:c>
      <x:c r="AG1673" t="str">
        <x:f>IF(NOT(ISNUMBER(T1673)),"PENDING",IF(AF1673&gt;0,"PASS","FAIL"))</x:f>
        <x:v>PENDING</x:v>
      </x:c>
      <x:c r="AH1673" t="str">
        <x:f>IF(NOT(ISNUMBER(T1673)),"Needs supplier cost",IF(K1673&lt;&gt;"In stock","Supplier unavailable",IF(AG1673&lt;&gt;"PASS","BLOCK - GT loss risk","Commercially protected")))</x:f>
        <x:v>Needs supplier cost</x:v>
      </x:c>
      <x:c r="AI1673" t="str">
        <x:v>2026-09-10 Active Sports trade capture</x:v>
      </x:c>
      <x:c r="AJ1673" t="str">
        <x:v>Management-only economics. Stripe stress test uses 1.5% + £0.20 standard UK online-card fee; pallet/mix-and-match pricing ignored.</x:v>
      </x:c>
    </x:row>
    <x:row r="1674">
      <x:c r="A1674" t="str">
        <x:v>Active Sports Nutrition</x:v>
      </x:c>
      <x:c r="B1674" t="str">
        <x:v>Reflex Nutrition</x:v>
      </x:c>
      <x:c r="C1674" t="str">
        <x:v>Instant Whey Pro</x:v>
      </x:c>
      <x:c r="D1674" t="str">
        <x:v>Supplements</x:v>
      </x:c>
      <x:c r="E1674" t="str">
        <x:v>Whey Protein</x:v>
      </x:c>
      <x:c r="F1674" t="str"/>
      <x:c r="G1674" t="str">
        <x:v>900g</x:v>
      </x:c>
      <x:c r="H1674" t="str">
        <x:v>Strawberry &amp; Raspberry</x:v>
      </x:c>
      <x:c r="I1674" t="str"/>
      <x:c r="J1674" t="str">
        <x:v>Unit</x:v>
      </x:c>
      <x:c r="K1674" t="str">
        <x:v>Out of stock</x:v>
      </x:c>
      <x:c r="L1674" t="str">
        <x:v>2026-09-08</x:v>
      </x:c>
      <x:c r="M1674" t="str"/>
      <x:c r="N1674" t="str"/>
      <x:c r="O1674" t="str">
        <x:v>https://www.activesportstrade.co.uk/reflex-nutrition-trade</x:v>
      </x:c>
      <x:c r="P1674" t="str"/>
      <x:c r="Q1674" t="str"/>
      <x:c r="R1674" t="str"/>
      <x:c r="S1674" t="str">
        <x:v>Pending genuine supplier/brand image</x:v>
      </x:c>
      <x:c r="T1674" s="54"/>
      <x:c r="U1674" s="47" t="n">
        <x:v>0.2</x:v>
      </x:c>
      <x:c r="V1674" s="54" t="str">
        <x:f>IF(ISNUMBER(T1674),T1674*(1+U1674),"")</x:f>
      </x:c>
      <x:c r="W1674" s="47" t="n">
        <x:v>0.3</x:v>
      </x:c>
      <x:c r="X1674" s="54" t="str">
        <x:f>IF(ISNUMBER(V1674),V1674/(1-W1674),"")</x:f>
      </x:c>
      <x:c r="Y1674" s="55" t="str">
        <x:f>IF(ISNUMBER(X1674),ROUNDUP(X1674,0),"")</x:f>
      </x:c>
      <x:c r="Z1674" t="str">
        <x:f>IF(ISNUMBER(T1674),"Cost captured","Awaiting trade cost")</x:f>
        <x:v>Awaiting trade cost</x:v>
      </x:c>
      <x:c r="AB1674" s="36" t="str">
        <x:f>IF(ISNUMBER(Y1674),ROUND(Y1674*0.9,2),"")</x:f>
      </x:c>
      <x:c r="AC1674" s="36" t="str">
        <x:f>IF(ISNUMBER(AB1674),ROUND(AB1674-(AB1674*0.015+0.2)-V1674,2),"")</x:f>
      </x:c>
      <x:c r="AD1674" s="36" t="str">
        <x:f>IF(ISNUMBER(Y1674),ROUND(Y1674*0.8,2),"")</x:f>
      </x:c>
      <x:c r="AE1674" s="36" t="str">
        <x:f>IF(ISNUMBER(AD1674),ROUND(AD1674*0.015+0.2,2),"")</x:f>
      </x:c>
      <x:c r="AF1674" s="36" t="str">
        <x:f>IF(ISNUMBER(AD1674),ROUND(AD1674-AE1674-V1674,2),"")</x:f>
      </x:c>
      <x:c r="AG1674" t="str">
        <x:f>IF(NOT(ISNUMBER(T1674)),"PENDING",IF(AF1674&gt;0,"PASS","FAIL"))</x:f>
        <x:v>PENDING</x:v>
      </x:c>
      <x:c r="AH1674" t="str">
        <x:f>IF(NOT(ISNUMBER(T1674)),"Needs supplier cost",IF(K1674&lt;&gt;"In stock","Supplier unavailable",IF(AG1674&lt;&gt;"PASS","BLOCK - GT loss risk","Commercially protected")))</x:f>
        <x:v>Needs supplier cost</x:v>
      </x:c>
      <x:c r="AI1674" t="str">
        <x:v>2026-09-10 Active Sports trade capture</x:v>
      </x:c>
      <x:c r="AJ1674" t="str">
        <x:v>Management-only economics. Stripe stress test uses 1.5% + £0.20 standard UK online-card fee; pallet/mix-and-match pricing ignored.</x:v>
      </x:c>
    </x:row>
    <x:row r="1675">
      <x:c r="A1675" t="str">
        <x:v>Active Sports Nutrition</x:v>
      </x:c>
      <x:c r="B1675" t="str">
        <x:v>Reflex Nutrition</x:v>
      </x:c>
      <x:c r="C1675" t="str">
        <x:v>Instant Whey Pro</x:v>
      </x:c>
      <x:c r="D1675" t="str">
        <x:v>Supplements</x:v>
      </x:c>
      <x:c r="E1675" t="str">
        <x:v>Whey Protein</x:v>
      </x:c>
      <x:c r="F1675" t="str"/>
      <x:c r="G1675" t="str">
        <x:v>900g</x:v>
      </x:c>
      <x:c r="H1675" t="str">
        <x:v>Vanilla</x:v>
      </x:c>
      <x:c r="I1675" t="str"/>
      <x:c r="J1675" t="str">
        <x:v>Unit</x:v>
      </x:c>
      <x:c r="K1675" t="str">
        <x:v>Out of stock</x:v>
      </x:c>
      <x:c r="L1675" t="str">
        <x:v>2026-09-08</x:v>
      </x:c>
      <x:c r="M1675" t="str"/>
      <x:c r="N1675" t="str"/>
      <x:c r="O1675" t="str">
        <x:v>https://www.activesportstrade.co.uk/reflex-nutrition-trade</x:v>
      </x:c>
      <x:c r="P1675" t="str"/>
      <x:c r="Q1675" t="str"/>
      <x:c r="R1675" t="str"/>
      <x:c r="S1675" t="str">
        <x:v>Pending genuine supplier/brand image</x:v>
      </x:c>
      <x:c r="T1675" s="54"/>
      <x:c r="U1675" s="47" t="n">
        <x:v>0.2</x:v>
      </x:c>
      <x:c r="V1675" s="54" t="str">
        <x:f>IF(ISNUMBER(T1675),T1675*(1+U1675),"")</x:f>
      </x:c>
      <x:c r="W1675" s="47" t="n">
        <x:v>0.3</x:v>
      </x:c>
      <x:c r="X1675" s="54" t="str">
        <x:f>IF(ISNUMBER(V1675),V1675/(1-W1675),"")</x:f>
      </x:c>
      <x:c r="Y1675" s="55" t="str">
        <x:f>IF(ISNUMBER(X1675),ROUNDUP(X1675,0),"")</x:f>
      </x:c>
      <x:c r="Z1675" t="str">
        <x:f>IF(ISNUMBER(T1675),"Cost captured","Awaiting trade cost")</x:f>
        <x:v>Awaiting trade cost</x:v>
      </x:c>
      <x:c r="AB1675" s="36" t="str">
        <x:f>IF(ISNUMBER(Y1675),ROUND(Y1675*0.9,2),"")</x:f>
      </x:c>
      <x:c r="AC1675" s="36" t="str">
        <x:f>IF(ISNUMBER(AB1675),ROUND(AB1675-(AB1675*0.015+0.2)-V1675,2),"")</x:f>
      </x:c>
      <x:c r="AD1675" s="36" t="str">
        <x:f>IF(ISNUMBER(Y1675),ROUND(Y1675*0.8,2),"")</x:f>
      </x:c>
      <x:c r="AE1675" s="36" t="str">
        <x:f>IF(ISNUMBER(AD1675),ROUND(AD1675*0.015+0.2,2),"")</x:f>
      </x:c>
      <x:c r="AF1675" s="36" t="str">
        <x:f>IF(ISNUMBER(AD1675),ROUND(AD1675-AE1675-V1675,2),"")</x:f>
      </x:c>
      <x:c r="AG1675" t="str">
        <x:f>IF(NOT(ISNUMBER(T1675)),"PENDING",IF(AF1675&gt;0,"PASS","FAIL"))</x:f>
        <x:v>PENDING</x:v>
      </x:c>
      <x:c r="AH1675" t="str">
        <x:f>IF(NOT(ISNUMBER(T1675)),"Needs supplier cost",IF(K1675&lt;&gt;"In stock","Supplier unavailable",IF(AG1675&lt;&gt;"PASS","BLOCK - GT loss risk","Commercially protected")))</x:f>
        <x:v>Needs supplier cost</x:v>
      </x:c>
      <x:c r="AI1675" t="str">
        <x:v>2026-09-10 Active Sports trade capture</x:v>
      </x:c>
      <x:c r="AJ1675" t="str">
        <x:v>Management-only economics. Stripe stress test uses 1.5% + £0.20 standard UK online-card fee; pallet/mix-and-match pricing ignored.</x:v>
      </x:c>
    </x:row>
    <x:row r="1676">
      <x:c r="A1676" t="str">
        <x:v>Active Sports Nutrition</x:v>
      </x:c>
      <x:c r="B1676" t="str">
        <x:v>Reflex Nutrition</x:v>
      </x:c>
      <x:c r="C1676" t="str">
        <x:v>Isolate Pro</x:v>
      </x:c>
      <x:c r="D1676" t="str">
        <x:v>Supplements</x:v>
      </x:c>
      <x:c r="E1676" t="str">
        <x:v>Whey Protein</x:v>
      </x:c>
      <x:c r="F1676" t="str"/>
      <x:c r="G1676" t="str">
        <x:v>1.8kg</x:v>
      </x:c>
      <x:c r="H1676" t="str">
        <x:v>Chocolate</x:v>
      </x:c>
      <x:c r="I1676" t="str"/>
      <x:c r="J1676" t="str">
        <x:v>Unit</x:v>
      </x:c>
      <x:c r="K1676" t="str">
        <x:v>Out of stock</x:v>
      </x:c>
      <x:c r="L1676" t="str">
        <x:v>2026-09-08</x:v>
      </x:c>
      <x:c r="M1676" t="str"/>
      <x:c r="N1676" t="str"/>
      <x:c r="O1676" t="str">
        <x:v>https://www.activesportstrade.co.uk/reflex-nutrition-trade</x:v>
      </x:c>
      <x:c r="P1676" t="str"/>
      <x:c r="Q1676" t="str"/>
      <x:c r="R1676" t="str"/>
      <x:c r="S1676" t="str">
        <x:v>Pending genuine supplier/brand image</x:v>
      </x:c>
      <x:c r="T1676" s="54"/>
      <x:c r="U1676" s="47" t="n">
        <x:v>0.2</x:v>
      </x:c>
      <x:c r="V1676" s="54" t="str">
        <x:f>IF(ISNUMBER(T1676),T1676*(1+U1676),"")</x:f>
      </x:c>
      <x:c r="W1676" s="47" t="n">
        <x:v>0.3</x:v>
      </x:c>
      <x:c r="X1676" s="54" t="str">
        <x:f>IF(ISNUMBER(V1676),V1676/(1-W1676),"")</x:f>
      </x:c>
      <x:c r="Y1676" s="55" t="str">
        <x:f>IF(ISNUMBER(X1676),ROUNDUP(X1676,0),"")</x:f>
      </x:c>
      <x:c r="Z1676" t="str">
        <x:f>IF(ISNUMBER(T1676),"Cost captured","Awaiting trade cost")</x:f>
        <x:v>Awaiting trade cost</x:v>
      </x:c>
      <x:c r="AB1676" s="36" t="str">
        <x:f>IF(ISNUMBER(Y1676),ROUND(Y1676*0.9,2),"")</x:f>
      </x:c>
      <x:c r="AC1676" s="36" t="str">
        <x:f>IF(ISNUMBER(AB1676),ROUND(AB1676-(AB1676*0.015+0.2)-V1676,2),"")</x:f>
      </x:c>
      <x:c r="AD1676" s="36" t="str">
        <x:f>IF(ISNUMBER(Y1676),ROUND(Y1676*0.8,2),"")</x:f>
      </x:c>
      <x:c r="AE1676" s="36" t="str">
        <x:f>IF(ISNUMBER(AD1676),ROUND(AD1676*0.015+0.2,2),"")</x:f>
      </x:c>
      <x:c r="AF1676" s="36" t="str">
        <x:f>IF(ISNUMBER(AD1676),ROUND(AD1676-AE1676-V1676,2),"")</x:f>
      </x:c>
      <x:c r="AG1676" t="str">
        <x:f>IF(NOT(ISNUMBER(T1676)),"PENDING",IF(AF1676&gt;0,"PASS","FAIL"))</x:f>
        <x:v>PENDING</x:v>
      </x:c>
      <x:c r="AH1676" t="str">
        <x:f>IF(NOT(ISNUMBER(T1676)),"Needs supplier cost",IF(K1676&lt;&gt;"In stock","Supplier unavailable",IF(AG1676&lt;&gt;"PASS","BLOCK - GT loss risk","Commercially protected")))</x:f>
        <x:v>Needs supplier cost</x:v>
      </x:c>
      <x:c r="AI1676" t="str">
        <x:v>2026-09-10 Active Sports trade capture</x:v>
      </x:c>
      <x:c r="AJ1676" t="str">
        <x:v>Management-only economics. Stripe stress test uses 1.5% + £0.20 standard UK online-card fee; pallet/mix-and-match pricing ignored.</x:v>
      </x:c>
    </x:row>
    <x:row r="1677">
      <x:c r="A1677" t="str">
        <x:v>Active Sports Nutrition</x:v>
      </x:c>
      <x:c r="B1677" t="str">
        <x:v>Reflex Nutrition</x:v>
      </x:c>
      <x:c r="C1677" t="str">
        <x:v>Isolate Pro</x:v>
      </x:c>
      <x:c r="D1677" t="str">
        <x:v>Supplements</x:v>
      </x:c>
      <x:c r="E1677" t="str">
        <x:v>Whey Protein</x:v>
      </x:c>
      <x:c r="F1677" t="str"/>
      <x:c r="G1677" t="str">
        <x:v>1.8kg</x:v>
      </x:c>
      <x:c r="H1677" t="str">
        <x:v>Strawberry &amp; Raspberry</x:v>
      </x:c>
      <x:c r="I1677" t="str"/>
      <x:c r="J1677" t="str">
        <x:v>Unit</x:v>
      </x:c>
      <x:c r="K1677" t="str">
        <x:v>Out of stock</x:v>
      </x:c>
      <x:c r="L1677" t="str">
        <x:v>2026-09-08</x:v>
      </x:c>
      <x:c r="M1677" t="str"/>
      <x:c r="N1677" t="str"/>
      <x:c r="O1677" t="str">
        <x:v>https://www.activesportstrade.co.uk/reflex-nutrition-trade</x:v>
      </x:c>
      <x:c r="P1677" t="str"/>
      <x:c r="Q1677" t="str"/>
      <x:c r="R1677" t="str"/>
      <x:c r="S1677" t="str">
        <x:v>Pending genuine supplier/brand image</x:v>
      </x:c>
      <x:c r="T1677" s="54"/>
      <x:c r="U1677" s="47" t="n">
        <x:v>0.2</x:v>
      </x:c>
      <x:c r="V1677" s="54" t="str">
        <x:f>IF(ISNUMBER(T1677),T1677*(1+U1677),"")</x:f>
      </x:c>
      <x:c r="W1677" s="47" t="n">
        <x:v>0.3</x:v>
      </x:c>
      <x:c r="X1677" s="54" t="str">
        <x:f>IF(ISNUMBER(V1677),V1677/(1-W1677),"")</x:f>
      </x:c>
      <x:c r="Y1677" s="55" t="str">
        <x:f>IF(ISNUMBER(X1677),ROUNDUP(X1677,0),"")</x:f>
      </x:c>
      <x:c r="Z1677" t="str">
        <x:f>IF(ISNUMBER(T1677),"Cost captured","Awaiting trade cost")</x:f>
        <x:v>Awaiting trade cost</x:v>
      </x:c>
      <x:c r="AB1677" s="36" t="str">
        <x:f>IF(ISNUMBER(Y1677),ROUND(Y1677*0.9,2),"")</x:f>
      </x:c>
      <x:c r="AC1677" s="36" t="str">
        <x:f>IF(ISNUMBER(AB1677),ROUND(AB1677-(AB1677*0.015+0.2)-V1677,2),"")</x:f>
      </x:c>
      <x:c r="AD1677" s="36" t="str">
        <x:f>IF(ISNUMBER(Y1677),ROUND(Y1677*0.8,2),"")</x:f>
      </x:c>
      <x:c r="AE1677" s="36" t="str">
        <x:f>IF(ISNUMBER(AD1677),ROUND(AD1677*0.015+0.2,2),"")</x:f>
      </x:c>
      <x:c r="AF1677" s="36" t="str">
        <x:f>IF(ISNUMBER(AD1677),ROUND(AD1677-AE1677-V1677,2),"")</x:f>
      </x:c>
      <x:c r="AG1677" t="str">
        <x:f>IF(NOT(ISNUMBER(T1677)),"PENDING",IF(AF1677&gt;0,"PASS","FAIL"))</x:f>
        <x:v>PENDING</x:v>
      </x:c>
      <x:c r="AH1677" t="str">
        <x:f>IF(NOT(ISNUMBER(T1677)),"Needs supplier cost",IF(K1677&lt;&gt;"In stock","Supplier unavailable",IF(AG1677&lt;&gt;"PASS","BLOCK - GT loss risk","Commercially protected")))</x:f>
        <x:v>Needs supplier cost</x:v>
      </x:c>
      <x:c r="AI1677" t="str">
        <x:v>2026-09-10 Active Sports trade capture</x:v>
      </x:c>
      <x:c r="AJ1677" t="str">
        <x:v>Management-only economics. Stripe stress test uses 1.5% + £0.20 standard UK online-card fee; pallet/mix-and-match pricing ignored.</x:v>
      </x:c>
    </x:row>
    <x:row r="1678">
      <x:c r="A1678" t="str">
        <x:v>Active Sports Nutrition</x:v>
      </x:c>
      <x:c r="B1678" t="str">
        <x:v>Reflex Nutrition</x:v>
      </x:c>
      <x:c r="C1678" t="str">
        <x:v>Isolate Pro</x:v>
      </x:c>
      <x:c r="D1678" t="str">
        <x:v>Supplements</x:v>
      </x:c>
      <x:c r="E1678" t="str">
        <x:v>Whey Protein</x:v>
      </x:c>
      <x:c r="F1678" t="str"/>
      <x:c r="G1678" t="str">
        <x:v>1.8kg</x:v>
      </x:c>
      <x:c r="H1678" t="str">
        <x:v>Vanilla</x:v>
      </x:c>
      <x:c r="I1678" t="str"/>
      <x:c r="J1678" t="str">
        <x:v>Unit</x:v>
      </x:c>
      <x:c r="K1678" t="str">
        <x:v>Out of stock</x:v>
      </x:c>
      <x:c r="L1678" t="str">
        <x:v>2026-09-08</x:v>
      </x:c>
      <x:c r="M1678" t="str"/>
      <x:c r="N1678" t="str"/>
      <x:c r="O1678" t="str">
        <x:v>https://www.activesportstrade.co.uk/reflex-nutrition-trade</x:v>
      </x:c>
      <x:c r="P1678" t="str"/>
      <x:c r="Q1678" t="str"/>
      <x:c r="R1678" t="str"/>
      <x:c r="S1678" t="str">
        <x:v>Pending genuine supplier/brand image</x:v>
      </x:c>
      <x:c r="T1678" s="54"/>
      <x:c r="U1678" s="47" t="n">
        <x:v>0.2</x:v>
      </x:c>
      <x:c r="V1678" s="54" t="str">
        <x:f>IF(ISNUMBER(T1678),T1678*(1+U1678),"")</x:f>
      </x:c>
      <x:c r="W1678" s="47" t="n">
        <x:v>0.3</x:v>
      </x:c>
      <x:c r="X1678" s="54" t="str">
        <x:f>IF(ISNUMBER(V1678),V1678/(1-W1678),"")</x:f>
      </x:c>
      <x:c r="Y1678" s="55" t="str">
        <x:f>IF(ISNUMBER(X1678),ROUNDUP(X1678,0),"")</x:f>
      </x:c>
      <x:c r="Z1678" t="str">
        <x:f>IF(ISNUMBER(T1678),"Cost captured","Awaiting trade cost")</x:f>
        <x:v>Awaiting trade cost</x:v>
      </x:c>
      <x:c r="AB1678" s="36" t="str">
        <x:f>IF(ISNUMBER(Y1678),ROUND(Y1678*0.9,2),"")</x:f>
      </x:c>
      <x:c r="AC1678" s="36" t="str">
        <x:f>IF(ISNUMBER(AB1678),ROUND(AB1678-(AB1678*0.015+0.2)-V1678,2),"")</x:f>
      </x:c>
      <x:c r="AD1678" s="36" t="str">
        <x:f>IF(ISNUMBER(Y1678),ROUND(Y1678*0.8,2),"")</x:f>
      </x:c>
      <x:c r="AE1678" s="36" t="str">
        <x:f>IF(ISNUMBER(AD1678),ROUND(AD1678*0.015+0.2,2),"")</x:f>
      </x:c>
      <x:c r="AF1678" s="36" t="str">
        <x:f>IF(ISNUMBER(AD1678),ROUND(AD1678-AE1678-V1678,2),"")</x:f>
      </x:c>
      <x:c r="AG1678" t="str">
        <x:f>IF(NOT(ISNUMBER(T1678)),"PENDING",IF(AF1678&gt;0,"PASS","FAIL"))</x:f>
        <x:v>PENDING</x:v>
      </x:c>
      <x:c r="AH1678" t="str">
        <x:f>IF(NOT(ISNUMBER(T1678)),"Needs supplier cost",IF(K1678&lt;&gt;"In stock","Supplier unavailable",IF(AG1678&lt;&gt;"PASS","BLOCK - GT loss risk","Commercially protected")))</x:f>
        <x:v>Needs supplier cost</x:v>
      </x:c>
      <x:c r="AI1678" t="str">
        <x:v>2026-09-10 Active Sports trade capture</x:v>
      </x:c>
      <x:c r="AJ1678" t="str">
        <x:v>Management-only economics. Stripe stress test uses 1.5% + £0.20 standard UK online-card fee; pallet/mix-and-match pricing ignored.</x:v>
      </x:c>
    </x:row>
    <x:row r="1679">
      <x:c r="A1679" t="str">
        <x:v>Active Sports Nutrition</x:v>
      </x:c>
      <x:c r="B1679" t="str">
        <x:v>Reflex Nutrition</x:v>
      </x:c>
      <x:c r="C1679" t="str">
        <x:v>L-Glutamine</x:v>
      </x:c>
      <x:c r="D1679" t="str">
        <x:v>Supplements</x:v>
      </x:c>
      <x:c r="E1679" t="str">
        <x:v>L-Glutamine</x:v>
      </x:c>
      <x:c r="F1679" t="str"/>
      <x:c r="G1679" t="str">
        <x:v>250g</x:v>
      </x:c>
      <x:c r="H1679" t="str">
        <x:v>Unflavoured</x:v>
      </x:c>
      <x:c r="I1679" t="str"/>
      <x:c r="J1679" t="str">
        <x:v>Unit</x:v>
      </x:c>
      <x:c r="K1679" t="str">
        <x:v>In stock</x:v>
      </x:c>
      <x:c r="L1679" t="str">
        <x:v>2026-09-08</x:v>
      </x:c>
      <x:c r="M1679" t="str"/>
      <x:c r="N1679" t="str"/>
      <x:c r="O1679" t="str">
        <x:v>https://www.activesportstrade.co.uk/reflex-nutrition-trade</x:v>
      </x:c>
      <x:c r="P1679" t="str"/>
      <x:c r="Q1679" t="str"/>
      <x:c r="R1679" t="str"/>
      <x:c r="S1679" t="str">
        <x:v>Pending genuine supplier/brand image</x:v>
      </x:c>
      <x:c r="T1679" s="54"/>
      <x:c r="U1679" s="47" t="n">
        <x:v>0.2</x:v>
      </x:c>
      <x:c r="V1679" s="54" t="str">
        <x:f>IF(ISNUMBER(T1679),T1679*(1+U1679),"")</x:f>
      </x:c>
      <x:c r="W1679" s="47" t="n">
        <x:v>0.3</x:v>
      </x:c>
      <x:c r="X1679" s="54" t="str">
        <x:f>IF(ISNUMBER(V1679),V1679/(1-W1679),"")</x:f>
      </x:c>
      <x:c r="Y1679" s="55" t="str">
        <x:f>IF(ISNUMBER(X1679),ROUNDUP(X1679,0),"")</x:f>
      </x:c>
      <x:c r="Z1679" t="str">
        <x:f>IF(ISNUMBER(T1679),"Cost captured","Awaiting trade cost")</x:f>
        <x:v>Awaiting trade cost</x:v>
      </x:c>
      <x:c r="AB1679" s="36" t="str">
        <x:f>IF(ISNUMBER(Y1679),ROUND(Y1679*0.9,2),"")</x:f>
      </x:c>
      <x:c r="AC1679" s="36" t="str">
        <x:f>IF(ISNUMBER(AB1679),ROUND(AB1679-(AB1679*0.015+0.2)-V1679,2),"")</x:f>
      </x:c>
      <x:c r="AD1679" s="36" t="str">
        <x:f>IF(ISNUMBER(Y1679),ROUND(Y1679*0.8,2),"")</x:f>
      </x:c>
      <x:c r="AE1679" s="36" t="str">
        <x:f>IF(ISNUMBER(AD1679),ROUND(AD1679*0.015+0.2,2),"")</x:f>
      </x:c>
      <x:c r="AF1679" s="36" t="str">
        <x:f>IF(ISNUMBER(AD1679),ROUND(AD1679-AE1679-V1679,2),"")</x:f>
      </x:c>
      <x:c r="AG1679" t="str">
        <x:f>IF(NOT(ISNUMBER(T1679)),"PENDING",IF(AF1679&gt;0,"PASS","FAIL"))</x:f>
        <x:v>PENDING</x:v>
      </x:c>
      <x:c r="AH1679" t="str">
        <x:f>IF(NOT(ISNUMBER(T1679)),"Needs supplier cost",IF(K1679&lt;&gt;"In stock","Supplier unavailable",IF(AG1679&lt;&gt;"PASS","BLOCK - GT loss risk","Commercially protected")))</x:f>
        <x:v>Needs supplier cost</x:v>
      </x:c>
      <x:c r="AI1679" t="str">
        <x:v>2026-09-10 Active Sports trade capture</x:v>
      </x:c>
      <x:c r="AJ1679" t="str">
        <x:v>Management-only economics. Stripe stress test uses 1.5% + £0.20 standard UK online-card fee; pallet/mix-and-match pricing ignored.</x:v>
      </x:c>
    </x:row>
    <x:row r="1680">
      <x:c r="A1680" t="str">
        <x:v>Active Sports Nutrition</x:v>
      </x:c>
      <x:c r="B1680" t="str">
        <x:v>Reflex Nutrition</x:v>
      </x:c>
      <x:c r="C1680" t="str">
        <x:v>L-Glutamine</x:v>
      </x:c>
      <x:c r="D1680" t="str">
        <x:v>Supplements</x:v>
      </x:c>
      <x:c r="E1680" t="str">
        <x:v>L-Glutamine</x:v>
      </x:c>
      <x:c r="F1680" t="str"/>
      <x:c r="G1680" t="str">
        <x:v>500g</x:v>
      </x:c>
      <x:c r="H1680" t="str">
        <x:v>Unflavoured</x:v>
      </x:c>
      <x:c r="I1680" t="str"/>
      <x:c r="J1680" t="str">
        <x:v>Unit</x:v>
      </x:c>
      <x:c r="K1680" t="str">
        <x:v>In stock</x:v>
      </x:c>
      <x:c r="L1680" t="str">
        <x:v>2026-09-08</x:v>
      </x:c>
      <x:c r="M1680" t="str"/>
      <x:c r="N1680" t="str"/>
      <x:c r="O1680" t="str">
        <x:v>https://www.activesportstrade.co.uk/reflex-nutrition-trade</x:v>
      </x:c>
      <x:c r="P1680" t="str"/>
      <x:c r="Q1680" t="str"/>
      <x:c r="R1680" t="str"/>
      <x:c r="S1680" t="str">
        <x:v>Pending genuine supplier/brand image</x:v>
      </x:c>
      <x:c r="T1680" s="54"/>
      <x:c r="U1680" s="47" t="n">
        <x:v>0.2</x:v>
      </x:c>
      <x:c r="V1680" s="54" t="str">
        <x:f>IF(ISNUMBER(T1680),T1680*(1+U1680),"")</x:f>
      </x:c>
      <x:c r="W1680" s="47" t="n">
        <x:v>0.3</x:v>
      </x:c>
      <x:c r="X1680" s="54" t="str">
        <x:f>IF(ISNUMBER(V1680),V1680/(1-W1680),"")</x:f>
      </x:c>
      <x:c r="Y1680" s="55" t="str">
        <x:f>IF(ISNUMBER(X1680),ROUNDUP(X1680,0),"")</x:f>
      </x:c>
      <x:c r="Z1680" t="str">
        <x:f>IF(ISNUMBER(T1680),"Cost captured","Awaiting trade cost")</x:f>
        <x:v>Awaiting trade cost</x:v>
      </x:c>
      <x:c r="AB1680" s="36" t="str">
        <x:f>IF(ISNUMBER(Y1680),ROUND(Y1680*0.9,2),"")</x:f>
      </x:c>
      <x:c r="AC1680" s="36" t="str">
        <x:f>IF(ISNUMBER(AB1680),ROUND(AB1680-(AB1680*0.015+0.2)-V1680,2),"")</x:f>
      </x:c>
      <x:c r="AD1680" s="36" t="str">
        <x:f>IF(ISNUMBER(Y1680),ROUND(Y1680*0.8,2),"")</x:f>
      </x:c>
      <x:c r="AE1680" s="36" t="str">
        <x:f>IF(ISNUMBER(AD1680),ROUND(AD1680*0.015+0.2,2),"")</x:f>
      </x:c>
      <x:c r="AF1680" s="36" t="str">
        <x:f>IF(ISNUMBER(AD1680),ROUND(AD1680-AE1680-V1680,2),"")</x:f>
      </x:c>
      <x:c r="AG1680" t="str">
        <x:f>IF(NOT(ISNUMBER(T1680)),"PENDING",IF(AF1680&gt;0,"PASS","FAIL"))</x:f>
        <x:v>PENDING</x:v>
      </x:c>
      <x:c r="AH1680" t="str">
        <x:f>IF(NOT(ISNUMBER(T1680)),"Needs supplier cost",IF(K1680&lt;&gt;"In stock","Supplier unavailable",IF(AG1680&lt;&gt;"PASS","BLOCK - GT loss risk","Commercially protected")))</x:f>
        <x:v>Needs supplier cost</x:v>
      </x:c>
      <x:c r="AI1680" t="str">
        <x:v>2026-09-10 Active Sports trade capture</x:v>
      </x:c>
      <x:c r="AJ1680" t="str">
        <x:v>Management-only economics. Stripe stress test uses 1.5% + £0.20 standard UK online-card fee; pallet/mix-and-match pricing ignored.</x:v>
      </x:c>
    </x:row>
    <x:row r="1681">
      <x:c r="A1681" t="str">
        <x:v>Active Sports Nutrition</x:v>
      </x:c>
      <x:c r="B1681" t="str">
        <x:v>Reflex Nutrition</x:v>
      </x:c>
      <x:c r="C1681" t="str">
        <x:v>Magnesium Bisglycinate</x:v>
      </x:c>
      <x:c r="D1681" t="str">
        <x:v>Supplements</x:v>
      </x:c>
      <x:c r="E1681" t="str">
        <x:v>Health Foods</x:v>
      </x:c>
      <x:c r="F1681" t="str"/>
      <x:c r="G1681" t="str">
        <x:v>90 caps</x:v>
      </x:c>
      <x:c r="H1681" t="str">
        <x:v>Default</x:v>
      </x:c>
      <x:c r="I1681" t="str"/>
      <x:c r="J1681" t="str">
        <x:v>Unit</x:v>
      </x:c>
      <x:c r="K1681" t="str">
        <x:v>In stock</x:v>
      </x:c>
      <x:c r="L1681" t="str">
        <x:v>2026-09-08</x:v>
      </x:c>
      <x:c r="M1681" t="str"/>
      <x:c r="N1681" t="str"/>
      <x:c r="O1681" t="str">
        <x:v>https://www.activesportstrade.co.uk/reflex-nutrition-trade</x:v>
      </x:c>
      <x:c r="P1681" t="str"/>
      <x:c r="Q1681" t="str"/>
      <x:c r="R1681" t="str"/>
      <x:c r="S1681" t="str">
        <x:v>Pending genuine supplier/brand image</x:v>
      </x:c>
      <x:c r="T1681" s="54"/>
      <x:c r="U1681" s="47" t="n">
        <x:v>0.2</x:v>
      </x:c>
      <x:c r="V1681" s="54" t="str">
        <x:f>IF(ISNUMBER(T1681),T1681*(1+U1681),"")</x:f>
      </x:c>
      <x:c r="W1681" s="47" t="n">
        <x:v>0.3</x:v>
      </x:c>
      <x:c r="X1681" s="54" t="str">
        <x:f>IF(ISNUMBER(V1681),V1681/(1-W1681),"")</x:f>
      </x:c>
      <x:c r="Y1681" s="55" t="str">
        <x:f>IF(ISNUMBER(X1681),ROUNDUP(X1681,0),"")</x:f>
      </x:c>
      <x:c r="Z1681" t="str">
        <x:f>IF(ISNUMBER(T1681),"Cost captured","Awaiting trade cost")</x:f>
        <x:v>Awaiting trade cost</x:v>
      </x:c>
      <x:c r="AB1681" s="36" t="str">
        <x:f>IF(ISNUMBER(Y1681),ROUND(Y1681*0.9,2),"")</x:f>
      </x:c>
      <x:c r="AC1681" s="36" t="str">
        <x:f>IF(ISNUMBER(AB1681),ROUND(AB1681-(AB1681*0.015+0.2)-V1681,2),"")</x:f>
      </x:c>
      <x:c r="AD1681" s="36" t="str">
        <x:f>IF(ISNUMBER(Y1681),ROUND(Y1681*0.8,2),"")</x:f>
      </x:c>
      <x:c r="AE1681" s="36" t="str">
        <x:f>IF(ISNUMBER(AD1681),ROUND(AD1681*0.015+0.2,2),"")</x:f>
      </x:c>
      <x:c r="AF1681" s="36" t="str">
        <x:f>IF(ISNUMBER(AD1681),ROUND(AD1681-AE1681-V1681,2),"")</x:f>
      </x:c>
      <x:c r="AG1681" t="str">
        <x:f>IF(NOT(ISNUMBER(T1681)),"PENDING",IF(AF1681&gt;0,"PASS","FAIL"))</x:f>
        <x:v>PENDING</x:v>
      </x:c>
      <x:c r="AH1681" t="str">
        <x:f>IF(NOT(ISNUMBER(T1681)),"Needs supplier cost",IF(K1681&lt;&gt;"In stock","Supplier unavailable",IF(AG1681&lt;&gt;"PASS","BLOCK - GT loss risk","Commercially protected")))</x:f>
        <x:v>Needs supplier cost</x:v>
      </x:c>
      <x:c r="AI1681" t="str">
        <x:v>2026-09-10 Active Sports trade capture</x:v>
      </x:c>
      <x:c r="AJ1681" t="str">
        <x:v>Management-only economics. Stripe stress test uses 1.5% + £0.20 standard UK online-card fee; pallet/mix-and-match pricing ignored.</x:v>
      </x:c>
    </x:row>
    <x:row r="1682">
      <x:c r="A1682" t="str">
        <x:v>Active Sports Nutrition</x:v>
      </x:c>
      <x:c r="B1682" t="str">
        <x:v>Reflex Nutrition</x:v>
      </x:c>
      <x:c r="C1682" t="str">
        <x:v>Nexgen Pro Multi Vitamin</x:v>
      </x:c>
      <x:c r="D1682" t="str">
        <x:v>Supplements</x:v>
      </x:c>
      <x:c r="E1682" t="str">
        <x:v>Vitamins</x:v>
      </x:c>
      <x:c r="F1682" t="str"/>
      <x:c r="G1682" t="str">
        <x:v>90 caps</x:v>
      </x:c>
      <x:c r="H1682" t="str">
        <x:v>Default</x:v>
      </x:c>
      <x:c r="I1682" t="str"/>
      <x:c r="J1682" t="str">
        <x:v>Unit</x:v>
      </x:c>
      <x:c r="K1682" t="str">
        <x:v>In stock</x:v>
      </x:c>
      <x:c r="L1682" t="str">
        <x:v>2026-09-08</x:v>
      </x:c>
      <x:c r="M1682" t="str"/>
      <x:c r="N1682" t="str"/>
      <x:c r="O1682" t="str">
        <x:v>https://www.activesportstrade.co.uk/reflex-nutrition-trade</x:v>
      </x:c>
      <x:c r="P1682" t="str"/>
      <x:c r="Q1682" t="str"/>
      <x:c r="R1682" t="str"/>
      <x:c r="S1682" t="str">
        <x:v>Pending genuine supplier/brand image</x:v>
      </x:c>
      <x:c r="T1682" s="54"/>
      <x:c r="U1682" s="47" t="n">
        <x:v>0.2</x:v>
      </x:c>
      <x:c r="V1682" s="54" t="str">
        <x:f>IF(ISNUMBER(T1682),T1682*(1+U1682),"")</x:f>
      </x:c>
      <x:c r="W1682" s="47" t="n">
        <x:v>0.3</x:v>
      </x:c>
      <x:c r="X1682" s="54" t="str">
        <x:f>IF(ISNUMBER(V1682),V1682/(1-W1682),"")</x:f>
      </x:c>
      <x:c r="Y1682" s="55" t="str">
        <x:f>IF(ISNUMBER(X1682),ROUNDUP(X1682,0),"")</x:f>
      </x:c>
      <x:c r="Z1682" t="str">
        <x:f>IF(ISNUMBER(T1682),"Cost captured","Awaiting trade cost")</x:f>
        <x:v>Awaiting trade cost</x:v>
      </x:c>
      <x:c r="AB1682" s="36" t="str">
        <x:f>IF(ISNUMBER(Y1682),ROUND(Y1682*0.9,2),"")</x:f>
      </x:c>
      <x:c r="AC1682" s="36" t="str">
        <x:f>IF(ISNUMBER(AB1682),ROUND(AB1682-(AB1682*0.015+0.2)-V1682,2),"")</x:f>
      </x:c>
      <x:c r="AD1682" s="36" t="str">
        <x:f>IF(ISNUMBER(Y1682),ROUND(Y1682*0.8,2),"")</x:f>
      </x:c>
      <x:c r="AE1682" s="36" t="str">
        <x:f>IF(ISNUMBER(AD1682),ROUND(AD1682*0.015+0.2,2),"")</x:f>
      </x:c>
      <x:c r="AF1682" s="36" t="str">
        <x:f>IF(ISNUMBER(AD1682),ROUND(AD1682-AE1682-V1682,2),"")</x:f>
      </x:c>
      <x:c r="AG1682" t="str">
        <x:f>IF(NOT(ISNUMBER(T1682)),"PENDING",IF(AF1682&gt;0,"PASS","FAIL"))</x:f>
        <x:v>PENDING</x:v>
      </x:c>
      <x:c r="AH1682" t="str">
        <x:f>IF(NOT(ISNUMBER(T1682)),"Needs supplier cost",IF(K1682&lt;&gt;"In stock","Supplier unavailable",IF(AG1682&lt;&gt;"PASS","BLOCK - GT loss risk","Commercially protected")))</x:f>
        <x:v>Needs supplier cost</x:v>
      </x:c>
      <x:c r="AI1682" t="str">
        <x:v>2026-09-10 Active Sports trade capture</x:v>
      </x:c>
      <x:c r="AJ1682" t="str">
        <x:v>Management-only economics. Stripe stress test uses 1.5% + £0.20 standard UK online-card fee; pallet/mix-and-match pricing ignored.</x:v>
      </x:c>
    </x:row>
    <x:row r="1683">
      <x:c r="A1683" t="str">
        <x:v>Active Sports Nutrition</x:v>
      </x:c>
      <x:c r="B1683" t="str">
        <x:v>Reflex Nutrition</x:v>
      </x:c>
      <x:c r="C1683" t="str">
        <x:v>Omega 3</x:v>
      </x:c>
      <x:c r="D1683" t="str">
        <x:v>Supplements</x:v>
      </x:c>
      <x:c r="E1683" t="str">
        <x:v>Omega and EFA</x:v>
      </x:c>
      <x:c r="F1683" t="str"/>
      <x:c r="G1683" t="str">
        <x:v>90 caps</x:v>
      </x:c>
      <x:c r="H1683" t="str">
        <x:v>Default</x:v>
      </x:c>
      <x:c r="I1683" t="str"/>
      <x:c r="J1683" t="str">
        <x:v>Unit</x:v>
      </x:c>
      <x:c r="K1683" t="str">
        <x:v>Out of stock</x:v>
      </x:c>
      <x:c r="L1683" t="str">
        <x:v>2026-09-08</x:v>
      </x:c>
      <x:c r="M1683" t="str"/>
      <x:c r="N1683" t="str"/>
      <x:c r="O1683" t="str">
        <x:v>https://www.activesportstrade.co.uk/reflex-nutrition-trade</x:v>
      </x:c>
      <x:c r="P1683" t="str"/>
      <x:c r="Q1683" t="str"/>
      <x:c r="R1683" t="str"/>
      <x:c r="S1683" t="str">
        <x:v>Pending genuine supplier/brand image</x:v>
      </x:c>
      <x:c r="T1683" s="54"/>
      <x:c r="U1683" s="47" t="n">
        <x:v>0.2</x:v>
      </x:c>
      <x:c r="V1683" s="54" t="str">
        <x:f>IF(ISNUMBER(T1683),T1683*(1+U1683),"")</x:f>
      </x:c>
      <x:c r="W1683" s="47" t="n">
        <x:v>0.3</x:v>
      </x:c>
      <x:c r="X1683" s="54" t="str">
        <x:f>IF(ISNUMBER(V1683),V1683/(1-W1683),"")</x:f>
      </x:c>
      <x:c r="Y1683" s="55" t="str">
        <x:f>IF(ISNUMBER(X1683),ROUNDUP(X1683,0),"")</x:f>
      </x:c>
      <x:c r="Z1683" t="str">
        <x:f>IF(ISNUMBER(T1683),"Cost captured","Awaiting trade cost")</x:f>
        <x:v>Awaiting trade cost</x:v>
      </x:c>
      <x:c r="AB1683" s="36" t="str">
        <x:f>IF(ISNUMBER(Y1683),ROUND(Y1683*0.9,2),"")</x:f>
      </x:c>
      <x:c r="AC1683" s="36" t="str">
        <x:f>IF(ISNUMBER(AB1683),ROUND(AB1683-(AB1683*0.015+0.2)-V1683,2),"")</x:f>
      </x:c>
      <x:c r="AD1683" s="36" t="str">
        <x:f>IF(ISNUMBER(Y1683),ROUND(Y1683*0.8,2),"")</x:f>
      </x:c>
      <x:c r="AE1683" s="36" t="str">
        <x:f>IF(ISNUMBER(AD1683),ROUND(AD1683*0.015+0.2,2),"")</x:f>
      </x:c>
      <x:c r="AF1683" s="36" t="str">
        <x:f>IF(ISNUMBER(AD1683),ROUND(AD1683-AE1683-V1683,2),"")</x:f>
      </x:c>
      <x:c r="AG1683" t="str">
        <x:f>IF(NOT(ISNUMBER(T1683)),"PENDING",IF(AF1683&gt;0,"PASS","FAIL"))</x:f>
        <x:v>PENDING</x:v>
      </x:c>
      <x:c r="AH1683" t="str">
        <x:f>IF(NOT(ISNUMBER(T1683)),"Needs supplier cost",IF(K1683&lt;&gt;"In stock","Supplier unavailable",IF(AG1683&lt;&gt;"PASS","BLOCK - GT loss risk","Commercially protected")))</x:f>
        <x:v>Needs supplier cost</x:v>
      </x:c>
      <x:c r="AI1683" t="str">
        <x:v>2026-09-10 Active Sports trade capture</x:v>
      </x:c>
      <x:c r="AJ1683" t="str">
        <x:v>Management-only economics. Stripe stress test uses 1.5% + £0.20 standard UK online-card fee; pallet/mix-and-match pricing ignored.</x:v>
      </x:c>
    </x:row>
    <x:row r="1684">
      <x:c r="A1684" t="str">
        <x:v>Active Sports Nutrition</x:v>
      </x:c>
      <x:c r="B1684" t="str">
        <x:v>Reflex Nutrition</x:v>
      </x:c>
      <x:c r="C1684" t="str">
        <x:v>One Stop Xtreme</x:v>
      </x:c>
      <x:c r="D1684" t="str">
        <x:v>Supplements</x:v>
      </x:c>
      <x:c r="E1684" t="str">
        <x:v>All In Ones</x:v>
      </x:c>
      <x:c r="F1684" t="str"/>
      <x:c r="G1684" t="str">
        <x:v>2.03kg</x:v>
      </x:c>
      <x:c r="H1684" t="str">
        <x:v>Chocolate Perfection</x:v>
      </x:c>
      <x:c r="I1684" t="str"/>
      <x:c r="J1684" t="str">
        <x:v>Unit</x:v>
      </x:c>
      <x:c r="K1684" t="str">
        <x:v>Out of stock</x:v>
      </x:c>
      <x:c r="L1684" t="str">
        <x:v>2026-09-08</x:v>
      </x:c>
      <x:c r="M1684" t="str"/>
      <x:c r="N1684" t="str"/>
      <x:c r="O1684" t="str">
        <x:v>https://www.activesportstrade.co.uk/reflex-nutrition-trade</x:v>
      </x:c>
      <x:c r="P1684" t="str"/>
      <x:c r="Q1684" t="str"/>
      <x:c r="R1684" t="str"/>
      <x:c r="S1684" t="str">
        <x:v>Pending genuine supplier/brand image</x:v>
      </x:c>
      <x:c r="T1684" s="54"/>
      <x:c r="U1684" s="47" t="n">
        <x:v>0.2</x:v>
      </x:c>
      <x:c r="V1684" s="54" t="str">
        <x:f>IF(ISNUMBER(T1684),T1684*(1+U1684),"")</x:f>
      </x:c>
      <x:c r="W1684" s="47" t="n">
        <x:v>0.3</x:v>
      </x:c>
      <x:c r="X1684" s="54" t="str">
        <x:f>IF(ISNUMBER(V1684),V1684/(1-W1684),"")</x:f>
      </x:c>
      <x:c r="Y1684" s="55" t="str">
        <x:f>IF(ISNUMBER(X1684),ROUNDUP(X1684,0),"")</x:f>
      </x:c>
      <x:c r="Z1684" t="str">
        <x:f>IF(ISNUMBER(T1684),"Cost captured","Awaiting trade cost")</x:f>
        <x:v>Awaiting trade cost</x:v>
      </x:c>
      <x:c r="AB1684" s="36" t="str">
        <x:f>IF(ISNUMBER(Y1684),ROUND(Y1684*0.9,2),"")</x:f>
      </x:c>
      <x:c r="AC1684" s="36" t="str">
        <x:f>IF(ISNUMBER(AB1684),ROUND(AB1684-(AB1684*0.015+0.2)-V1684,2),"")</x:f>
      </x:c>
      <x:c r="AD1684" s="36" t="str">
        <x:f>IF(ISNUMBER(Y1684),ROUND(Y1684*0.8,2),"")</x:f>
      </x:c>
      <x:c r="AE1684" s="36" t="str">
        <x:f>IF(ISNUMBER(AD1684),ROUND(AD1684*0.015+0.2,2),"")</x:f>
      </x:c>
      <x:c r="AF1684" s="36" t="str">
        <x:f>IF(ISNUMBER(AD1684),ROUND(AD1684-AE1684-V1684,2),"")</x:f>
      </x:c>
      <x:c r="AG1684" t="str">
        <x:f>IF(NOT(ISNUMBER(T1684)),"PENDING",IF(AF1684&gt;0,"PASS","FAIL"))</x:f>
        <x:v>PENDING</x:v>
      </x:c>
      <x:c r="AH1684" t="str">
        <x:f>IF(NOT(ISNUMBER(T1684)),"Needs supplier cost",IF(K1684&lt;&gt;"In stock","Supplier unavailable",IF(AG1684&lt;&gt;"PASS","BLOCK - GT loss risk","Commercially protected")))</x:f>
        <x:v>Needs supplier cost</x:v>
      </x:c>
      <x:c r="AI1684" t="str">
        <x:v>2026-09-10 Active Sports trade capture</x:v>
      </x:c>
      <x:c r="AJ1684" t="str">
        <x:v>Management-only economics. Stripe stress test uses 1.5% + £0.20 standard UK online-card fee; pallet/mix-and-match pricing ignored.</x:v>
      </x:c>
    </x:row>
    <x:row r="1685">
      <x:c r="A1685" t="str">
        <x:v>Active Sports Nutrition</x:v>
      </x:c>
      <x:c r="B1685" t="str">
        <x:v>Reflex Nutrition</x:v>
      </x:c>
      <x:c r="C1685" t="str">
        <x:v>One Stop Xtreme</x:v>
      </x:c>
      <x:c r="D1685" t="str">
        <x:v>Supplements</x:v>
      </x:c>
      <x:c r="E1685" t="str">
        <x:v>All In Ones</x:v>
      </x:c>
      <x:c r="F1685" t="str"/>
      <x:c r="G1685" t="str">
        <x:v>2.03kg</x:v>
      </x:c>
      <x:c r="H1685" t="str">
        <x:v>Strawberries &amp; Cream</x:v>
      </x:c>
      <x:c r="I1685" t="str"/>
      <x:c r="J1685" t="str">
        <x:v>Unit</x:v>
      </x:c>
      <x:c r="K1685" t="str">
        <x:v>Out of stock</x:v>
      </x:c>
      <x:c r="L1685" t="str">
        <x:v>2026-09-08</x:v>
      </x:c>
      <x:c r="M1685" t="str"/>
      <x:c r="N1685" t="str"/>
      <x:c r="O1685" t="str">
        <x:v>https://www.activesportstrade.co.uk/reflex-nutrition-trade</x:v>
      </x:c>
      <x:c r="P1685" t="str"/>
      <x:c r="Q1685" t="str"/>
      <x:c r="R1685" t="str"/>
      <x:c r="S1685" t="str">
        <x:v>Pending genuine supplier/brand image</x:v>
      </x:c>
      <x:c r="T1685" s="54"/>
      <x:c r="U1685" s="47" t="n">
        <x:v>0.2</x:v>
      </x:c>
      <x:c r="V1685" s="54" t="str">
        <x:f>IF(ISNUMBER(T1685),T1685*(1+U1685),"")</x:f>
      </x:c>
      <x:c r="W1685" s="47" t="n">
        <x:v>0.3</x:v>
      </x:c>
      <x:c r="X1685" s="54" t="str">
        <x:f>IF(ISNUMBER(V1685),V1685/(1-W1685),"")</x:f>
      </x:c>
      <x:c r="Y1685" s="55" t="str">
        <x:f>IF(ISNUMBER(X1685),ROUNDUP(X1685,0),"")</x:f>
      </x:c>
      <x:c r="Z1685" t="str">
        <x:f>IF(ISNUMBER(T1685),"Cost captured","Awaiting trade cost")</x:f>
        <x:v>Awaiting trade cost</x:v>
      </x:c>
      <x:c r="AB1685" s="36" t="str">
        <x:f>IF(ISNUMBER(Y1685),ROUND(Y1685*0.9,2),"")</x:f>
      </x:c>
      <x:c r="AC1685" s="36" t="str">
        <x:f>IF(ISNUMBER(AB1685),ROUND(AB1685-(AB1685*0.015+0.2)-V1685,2),"")</x:f>
      </x:c>
      <x:c r="AD1685" s="36" t="str">
        <x:f>IF(ISNUMBER(Y1685),ROUND(Y1685*0.8,2),"")</x:f>
      </x:c>
      <x:c r="AE1685" s="36" t="str">
        <x:f>IF(ISNUMBER(AD1685),ROUND(AD1685*0.015+0.2,2),"")</x:f>
      </x:c>
      <x:c r="AF1685" s="36" t="str">
        <x:f>IF(ISNUMBER(AD1685),ROUND(AD1685-AE1685-V1685,2),"")</x:f>
      </x:c>
      <x:c r="AG1685" t="str">
        <x:f>IF(NOT(ISNUMBER(T1685)),"PENDING",IF(AF1685&gt;0,"PASS","FAIL"))</x:f>
        <x:v>PENDING</x:v>
      </x:c>
      <x:c r="AH1685" t="str">
        <x:f>IF(NOT(ISNUMBER(T1685)),"Needs supplier cost",IF(K1685&lt;&gt;"In stock","Supplier unavailable",IF(AG1685&lt;&gt;"PASS","BLOCK - GT loss risk","Commercially protected")))</x:f>
        <x:v>Needs supplier cost</x:v>
      </x:c>
      <x:c r="AI1685" t="str">
        <x:v>2026-09-10 Active Sports trade capture</x:v>
      </x:c>
      <x:c r="AJ1685" t="str">
        <x:v>Management-only economics. Stripe stress test uses 1.5% + £0.20 standard UK online-card fee; pallet/mix-and-match pricing ignored.</x:v>
      </x:c>
    </x:row>
    <x:row r="1686">
      <x:c r="A1686" t="str">
        <x:v>Active Sports Nutrition</x:v>
      </x:c>
      <x:c r="B1686" t="str">
        <x:v>Reflex Nutrition</x:v>
      </x:c>
      <x:c r="C1686" t="str">
        <x:v>One Stop Xtreme</x:v>
      </x:c>
      <x:c r="D1686" t="str">
        <x:v>Supplements</x:v>
      </x:c>
      <x:c r="E1686" t="str">
        <x:v>All In Ones</x:v>
      </x:c>
      <x:c r="F1686" t="str"/>
      <x:c r="G1686" t="str">
        <x:v>2.03kg</x:v>
      </x:c>
      <x:c r="H1686" t="str">
        <x:v>Vanilla Ice Cream</x:v>
      </x:c>
      <x:c r="I1686" t="str"/>
      <x:c r="J1686" t="str">
        <x:v>Unit</x:v>
      </x:c>
      <x:c r="K1686" t="str">
        <x:v>Out of stock</x:v>
      </x:c>
      <x:c r="L1686" t="str">
        <x:v>2026-09-08</x:v>
      </x:c>
      <x:c r="M1686" t="str"/>
      <x:c r="N1686" t="str"/>
      <x:c r="O1686" t="str">
        <x:v>https://www.activesportstrade.co.uk/reflex-nutrition-trade</x:v>
      </x:c>
      <x:c r="P1686" t="str"/>
      <x:c r="Q1686" t="str"/>
      <x:c r="R1686" t="str"/>
      <x:c r="S1686" t="str">
        <x:v>Pending genuine supplier/brand image</x:v>
      </x:c>
      <x:c r="T1686" s="54"/>
      <x:c r="U1686" s="47" t="n">
        <x:v>0.2</x:v>
      </x:c>
      <x:c r="V1686" s="54" t="str">
        <x:f>IF(ISNUMBER(T1686),T1686*(1+U1686),"")</x:f>
      </x:c>
      <x:c r="W1686" s="47" t="n">
        <x:v>0.3</x:v>
      </x:c>
      <x:c r="X1686" s="54" t="str">
        <x:f>IF(ISNUMBER(V1686),V1686/(1-W1686),"")</x:f>
      </x:c>
      <x:c r="Y1686" s="55" t="str">
        <x:f>IF(ISNUMBER(X1686),ROUNDUP(X1686,0),"")</x:f>
      </x:c>
      <x:c r="Z1686" t="str">
        <x:f>IF(ISNUMBER(T1686),"Cost captured","Awaiting trade cost")</x:f>
        <x:v>Awaiting trade cost</x:v>
      </x:c>
      <x:c r="AB1686" s="36" t="str">
        <x:f>IF(ISNUMBER(Y1686),ROUND(Y1686*0.9,2),"")</x:f>
      </x:c>
      <x:c r="AC1686" s="36" t="str">
        <x:f>IF(ISNUMBER(AB1686),ROUND(AB1686-(AB1686*0.015+0.2)-V1686,2),"")</x:f>
      </x:c>
      <x:c r="AD1686" s="36" t="str">
        <x:f>IF(ISNUMBER(Y1686),ROUND(Y1686*0.8,2),"")</x:f>
      </x:c>
      <x:c r="AE1686" s="36" t="str">
        <x:f>IF(ISNUMBER(AD1686),ROUND(AD1686*0.015+0.2,2),"")</x:f>
      </x:c>
      <x:c r="AF1686" s="36" t="str">
        <x:f>IF(ISNUMBER(AD1686),ROUND(AD1686-AE1686-V1686,2),"")</x:f>
      </x:c>
      <x:c r="AG1686" t="str">
        <x:f>IF(NOT(ISNUMBER(T1686)),"PENDING",IF(AF1686&gt;0,"PASS","FAIL"))</x:f>
        <x:v>PENDING</x:v>
      </x:c>
      <x:c r="AH1686" t="str">
        <x:f>IF(NOT(ISNUMBER(T1686)),"Needs supplier cost",IF(K1686&lt;&gt;"In stock","Supplier unavailable",IF(AG1686&lt;&gt;"PASS","BLOCK - GT loss risk","Commercially protected")))</x:f>
        <x:v>Needs supplier cost</x:v>
      </x:c>
      <x:c r="AI1686" t="str">
        <x:v>2026-09-10 Active Sports trade capture</x:v>
      </x:c>
      <x:c r="AJ1686" t="str">
        <x:v>Management-only economics. Stripe stress test uses 1.5% + £0.20 standard UK online-card fee; pallet/mix-and-match pricing ignored.</x:v>
      </x:c>
    </x:row>
    <x:row r="1687">
      <x:c r="A1687" t="str">
        <x:v>Active Sports Nutrition</x:v>
      </x:c>
      <x:c r="B1687" t="str">
        <x:v>Reflex Nutrition</x:v>
      </x:c>
      <x:c r="C1687" t="str">
        <x:v>Super Greens &amp; Gut Support</x:v>
      </x:c>
      <x:c r="D1687" t="str">
        <x:v>Supplements</x:v>
      </x:c>
      <x:c r="E1687" t="str">
        <x:v>Health Foods</x:v>
      </x:c>
      <x:c r="F1687" t="str"/>
      <x:c r="G1687" t="str">
        <x:v>90 caps</x:v>
      </x:c>
      <x:c r="H1687" t="str">
        <x:v>Default</x:v>
      </x:c>
      <x:c r="I1687" t="str"/>
      <x:c r="J1687" t="str">
        <x:v>Unit</x:v>
      </x:c>
      <x:c r="K1687" t="str">
        <x:v>In stock</x:v>
      </x:c>
      <x:c r="L1687" t="str">
        <x:v>2026-09-08</x:v>
      </x:c>
      <x:c r="M1687" t="str"/>
      <x:c r="N1687" t="str"/>
      <x:c r="O1687" t="str">
        <x:v>https://www.activesportstrade.co.uk/reflex-nutrition-trade</x:v>
      </x:c>
      <x:c r="P1687" t="str"/>
      <x:c r="Q1687" t="str"/>
      <x:c r="R1687" t="str"/>
      <x:c r="S1687" t="str">
        <x:v>Pending genuine supplier/brand image</x:v>
      </x:c>
      <x:c r="T1687" s="54"/>
      <x:c r="U1687" s="47" t="n">
        <x:v>0.2</x:v>
      </x:c>
      <x:c r="V1687" s="54" t="str">
        <x:f>IF(ISNUMBER(T1687),T1687*(1+U1687),"")</x:f>
      </x:c>
      <x:c r="W1687" s="47" t="n">
        <x:v>0.3</x:v>
      </x:c>
      <x:c r="X1687" s="54" t="str">
        <x:f>IF(ISNUMBER(V1687),V1687/(1-W1687),"")</x:f>
      </x:c>
      <x:c r="Y1687" s="55" t="str">
        <x:f>IF(ISNUMBER(X1687),ROUNDUP(X1687,0),"")</x:f>
      </x:c>
      <x:c r="Z1687" t="str">
        <x:f>IF(ISNUMBER(T1687),"Cost captured","Awaiting trade cost")</x:f>
        <x:v>Awaiting trade cost</x:v>
      </x:c>
      <x:c r="AB1687" s="36" t="str">
        <x:f>IF(ISNUMBER(Y1687),ROUND(Y1687*0.9,2),"")</x:f>
      </x:c>
      <x:c r="AC1687" s="36" t="str">
        <x:f>IF(ISNUMBER(AB1687),ROUND(AB1687-(AB1687*0.015+0.2)-V1687,2),"")</x:f>
      </x:c>
      <x:c r="AD1687" s="36" t="str">
        <x:f>IF(ISNUMBER(Y1687),ROUND(Y1687*0.8,2),"")</x:f>
      </x:c>
      <x:c r="AE1687" s="36" t="str">
        <x:f>IF(ISNUMBER(AD1687),ROUND(AD1687*0.015+0.2,2),"")</x:f>
      </x:c>
      <x:c r="AF1687" s="36" t="str">
        <x:f>IF(ISNUMBER(AD1687),ROUND(AD1687-AE1687-V1687,2),"")</x:f>
      </x:c>
      <x:c r="AG1687" t="str">
        <x:f>IF(NOT(ISNUMBER(T1687)),"PENDING",IF(AF1687&gt;0,"PASS","FAIL"))</x:f>
        <x:v>PENDING</x:v>
      </x:c>
      <x:c r="AH1687" t="str">
        <x:f>IF(NOT(ISNUMBER(T1687)),"Needs supplier cost",IF(K1687&lt;&gt;"In stock","Supplier unavailable",IF(AG1687&lt;&gt;"PASS","BLOCK - GT loss risk","Commercially protected")))</x:f>
        <x:v>Needs supplier cost</x:v>
      </x:c>
      <x:c r="AI1687" t="str">
        <x:v>2026-09-10 Active Sports trade capture</x:v>
      </x:c>
      <x:c r="AJ1687" t="str">
        <x:v>Management-only economics. Stripe stress test uses 1.5% + £0.20 standard UK online-card fee; pallet/mix-and-match pricing ignored.</x:v>
      </x:c>
    </x:row>
    <x:row r="1688">
      <x:c r="A1688" t="str">
        <x:v>Active Sports Nutrition</x:v>
      </x:c>
      <x:c r="B1688" t="str">
        <x:v>Reflex Nutrition</x:v>
      </x:c>
      <x:c r="C1688" t="str">
        <x:v>The Muscle Bomb</x:v>
      </x:c>
      <x:c r="D1688" t="str">
        <x:v>Pre Workouts</x:v>
      </x:c>
      <x:c r="E1688" t="str">
        <x:v>High Stim</x:v>
      </x:c>
      <x:c r="F1688" t="str"/>
      <x:c r="G1688" t="str">
        <x:v>400g</x:v>
      </x:c>
      <x:c r="H1688" t="str">
        <x:v>Blue Raspberry</x:v>
      </x:c>
      <x:c r="I1688" t="str"/>
      <x:c r="J1688" t="str">
        <x:v>Unit</x:v>
      </x:c>
      <x:c r="K1688" t="str">
        <x:v>In stock</x:v>
      </x:c>
      <x:c r="L1688" t="str">
        <x:v>2026-09-08</x:v>
      </x:c>
      <x:c r="M1688" t="str"/>
      <x:c r="N1688" t="str"/>
      <x:c r="O1688" t="str">
        <x:v>https://www.activesportstrade.co.uk/reflex-nutrition-trade</x:v>
      </x:c>
      <x:c r="P1688" t="str">
        <x:v>Caffeine-free Sherbet Lemon is a genuine supplier variant within the same parent, retained exactly.</x:v>
      </x:c>
      <x:c r="Q1688" t="str"/>
      <x:c r="R1688" t="str"/>
      <x:c r="S1688" t="str">
        <x:v>Pending genuine supplier/brand image</x:v>
      </x:c>
      <x:c r="T1688" s="54"/>
      <x:c r="U1688" s="47" t="n">
        <x:v>0.2</x:v>
      </x:c>
      <x:c r="V1688" s="54" t="str">
        <x:f>IF(ISNUMBER(T1688),T1688*(1+U1688),"")</x:f>
      </x:c>
      <x:c r="W1688" s="47" t="n">
        <x:v>0.3</x:v>
      </x:c>
      <x:c r="X1688" s="54" t="str">
        <x:f>IF(ISNUMBER(V1688),V1688/(1-W1688),"")</x:f>
      </x:c>
      <x:c r="Y1688" s="55" t="str">
        <x:f>IF(ISNUMBER(X1688),ROUNDUP(X1688,0),"")</x:f>
      </x:c>
      <x:c r="Z1688" t="str">
        <x:f>IF(ISNUMBER(T1688),"Cost captured","Awaiting trade cost")</x:f>
        <x:v>Awaiting trade cost</x:v>
      </x:c>
      <x:c r="AB1688" s="36" t="str">
        <x:f>IF(ISNUMBER(Y1688),ROUND(Y1688*0.9,2),"")</x:f>
      </x:c>
      <x:c r="AC1688" s="36" t="str">
        <x:f>IF(ISNUMBER(AB1688),ROUND(AB1688-(AB1688*0.015+0.2)-V1688,2),"")</x:f>
      </x:c>
      <x:c r="AD1688" s="36" t="str">
        <x:f>IF(ISNUMBER(Y1688),ROUND(Y1688*0.8,2),"")</x:f>
      </x:c>
      <x:c r="AE1688" s="36" t="str">
        <x:f>IF(ISNUMBER(AD1688),ROUND(AD1688*0.015+0.2,2),"")</x:f>
      </x:c>
      <x:c r="AF1688" s="36" t="str">
        <x:f>IF(ISNUMBER(AD1688),ROUND(AD1688-AE1688-V1688,2),"")</x:f>
      </x:c>
      <x:c r="AG1688" t="str">
        <x:f>IF(NOT(ISNUMBER(T1688)),"PENDING",IF(AF1688&gt;0,"PASS","FAIL"))</x:f>
        <x:v>PENDING</x:v>
      </x:c>
      <x:c r="AH1688" t="str">
        <x:f>IF(NOT(ISNUMBER(T1688)),"Needs supplier cost",IF(K1688&lt;&gt;"In stock","Supplier unavailable",IF(AG1688&lt;&gt;"PASS","BLOCK - GT loss risk","Commercially protected")))</x:f>
        <x:v>Needs supplier cost</x:v>
      </x:c>
      <x:c r="AI1688" t="str">
        <x:v>2026-09-10 Active Sports trade capture</x:v>
      </x:c>
      <x:c r="AJ1688" t="str">
        <x:v>Management-only economics. Stripe stress test uses 1.5% + £0.20 standard UK online-card fee; pallet/mix-and-match pricing ignored.</x:v>
      </x:c>
    </x:row>
    <x:row r="1689">
      <x:c r="A1689" t="str">
        <x:v>Active Sports Nutrition</x:v>
      </x:c>
      <x:c r="B1689" t="str">
        <x:v>Reflex Nutrition</x:v>
      </x:c>
      <x:c r="C1689" t="str">
        <x:v>The Muscle Bomb</x:v>
      </x:c>
      <x:c r="D1689" t="str">
        <x:v>Pre Workouts</x:v>
      </x:c>
      <x:c r="E1689" t="str">
        <x:v>High Stim</x:v>
      </x:c>
      <x:c r="F1689" t="str"/>
      <x:c r="G1689" t="str">
        <x:v>400g</x:v>
      </x:c>
      <x:c r="H1689" t="str">
        <x:v>Caffeine Free - Sherbet Lemon</x:v>
      </x:c>
      <x:c r="I1689" t="str"/>
      <x:c r="J1689" t="str">
        <x:v>Unit</x:v>
      </x:c>
      <x:c r="K1689" t="str">
        <x:v>In stock</x:v>
      </x:c>
      <x:c r="L1689" t="str">
        <x:v>2026-09-08</x:v>
      </x:c>
      <x:c r="M1689" t="str"/>
      <x:c r="N1689" t="str"/>
      <x:c r="O1689" t="str">
        <x:v>https://www.activesportstrade.co.uk/reflex-nutrition-trade</x:v>
      </x:c>
      <x:c r="P1689" t="str">
        <x:v>Caffeine-free Sherbet Lemon is a genuine supplier variant within the same parent, retained exactly.</x:v>
      </x:c>
      <x:c r="Q1689" t="str"/>
      <x:c r="R1689" t="str"/>
      <x:c r="S1689" t="str">
        <x:v>Pending genuine supplier/brand image</x:v>
      </x:c>
      <x:c r="T1689" s="54"/>
      <x:c r="U1689" s="47" t="n">
        <x:v>0.2</x:v>
      </x:c>
      <x:c r="V1689" s="54" t="str">
        <x:f>IF(ISNUMBER(T1689),T1689*(1+U1689),"")</x:f>
      </x:c>
      <x:c r="W1689" s="47" t="n">
        <x:v>0.3</x:v>
      </x:c>
      <x:c r="X1689" s="54" t="str">
        <x:f>IF(ISNUMBER(V1689),V1689/(1-W1689),"")</x:f>
      </x:c>
      <x:c r="Y1689" s="55" t="str">
        <x:f>IF(ISNUMBER(X1689),ROUNDUP(X1689,0),"")</x:f>
      </x:c>
      <x:c r="Z1689" t="str">
        <x:f>IF(ISNUMBER(T1689),"Cost captured","Awaiting trade cost")</x:f>
        <x:v>Awaiting trade cost</x:v>
      </x:c>
      <x:c r="AB1689" s="36" t="str">
        <x:f>IF(ISNUMBER(Y1689),ROUND(Y1689*0.9,2),"")</x:f>
      </x:c>
      <x:c r="AC1689" s="36" t="str">
        <x:f>IF(ISNUMBER(AB1689),ROUND(AB1689-(AB1689*0.015+0.2)-V1689,2),"")</x:f>
      </x:c>
      <x:c r="AD1689" s="36" t="str">
        <x:f>IF(ISNUMBER(Y1689),ROUND(Y1689*0.8,2),"")</x:f>
      </x:c>
      <x:c r="AE1689" s="36" t="str">
        <x:f>IF(ISNUMBER(AD1689),ROUND(AD1689*0.015+0.2,2),"")</x:f>
      </x:c>
      <x:c r="AF1689" s="36" t="str">
        <x:f>IF(ISNUMBER(AD1689),ROUND(AD1689-AE1689-V1689,2),"")</x:f>
      </x:c>
      <x:c r="AG1689" t="str">
        <x:f>IF(NOT(ISNUMBER(T1689)),"PENDING",IF(AF1689&gt;0,"PASS","FAIL"))</x:f>
        <x:v>PENDING</x:v>
      </x:c>
      <x:c r="AH1689" t="str">
        <x:f>IF(NOT(ISNUMBER(T1689)),"Needs supplier cost",IF(K1689&lt;&gt;"In stock","Supplier unavailable",IF(AG1689&lt;&gt;"PASS","BLOCK - GT loss risk","Commercially protected")))</x:f>
        <x:v>Needs supplier cost</x:v>
      </x:c>
      <x:c r="AI1689" t="str">
        <x:v>2026-09-10 Active Sports trade capture</x:v>
      </x:c>
      <x:c r="AJ1689" t="str">
        <x:v>Management-only economics. Stripe stress test uses 1.5% + £0.20 standard UK online-card fee; pallet/mix-and-match pricing ignored.</x:v>
      </x:c>
    </x:row>
    <x:row r="1690">
      <x:c r="A1690" t="str">
        <x:v>Active Sports Nutrition</x:v>
      </x:c>
      <x:c r="B1690" t="str">
        <x:v>Reflex Nutrition</x:v>
      </x:c>
      <x:c r="C1690" t="str">
        <x:v>The Muscle Bomb</x:v>
      </x:c>
      <x:c r="D1690" t="str">
        <x:v>Pre Workouts</x:v>
      </x:c>
      <x:c r="E1690" t="str">
        <x:v>High Stim</x:v>
      </x:c>
      <x:c r="F1690" t="str"/>
      <x:c r="G1690" t="str">
        <x:v>400g</x:v>
      </x:c>
      <x:c r="H1690" t="str">
        <x:v>Sherbet Lemon</x:v>
      </x:c>
      <x:c r="I1690" t="str"/>
      <x:c r="J1690" t="str">
        <x:v>Unit</x:v>
      </x:c>
      <x:c r="K1690" t="str">
        <x:v>In stock</x:v>
      </x:c>
      <x:c r="L1690" t="str">
        <x:v>2026-09-08</x:v>
      </x:c>
      <x:c r="M1690" t="str"/>
      <x:c r="N1690" t="str"/>
      <x:c r="O1690" t="str">
        <x:v>https://www.activesportstrade.co.uk/reflex-nutrition-trade</x:v>
      </x:c>
      <x:c r="P1690" t="str">
        <x:v>Caffeine-free Sherbet Lemon is a genuine supplier variant within the same parent, retained exactly.</x:v>
      </x:c>
      <x:c r="Q1690" t="str"/>
      <x:c r="R1690" t="str"/>
      <x:c r="S1690" t="str">
        <x:v>Pending genuine supplier/brand image</x:v>
      </x:c>
      <x:c r="T1690" s="54"/>
      <x:c r="U1690" s="47" t="n">
        <x:v>0.2</x:v>
      </x:c>
      <x:c r="V1690" s="54" t="str">
        <x:f>IF(ISNUMBER(T1690),T1690*(1+U1690),"")</x:f>
      </x:c>
      <x:c r="W1690" s="47" t="n">
        <x:v>0.3</x:v>
      </x:c>
      <x:c r="X1690" s="54" t="str">
        <x:f>IF(ISNUMBER(V1690),V1690/(1-W1690),"")</x:f>
      </x:c>
      <x:c r="Y1690" s="55" t="str">
        <x:f>IF(ISNUMBER(X1690),ROUNDUP(X1690,0),"")</x:f>
      </x:c>
      <x:c r="Z1690" t="str">
        <x:f>IF(ISNUMBER(T1690),"Cost captured","Awaiting trade cost")</x:f>
        <x:v>Awaiting trade cost</x:v>
      </x:c>
      <x:c r="AB1690" s="36" t="str">
        <x:f>IF(ISNUMBER(Y1690),ROUND(Y1690*0.9,2),"")</x:f>
      </x:c>
      <x:c r="AC1690" s="36" t="str">
        <x:f>IF(ISNUMBER(AB1690),ROUND(AB1690-(AB1690*0.015+0.2)-V1690,2),"")</x:f>
      </x:c>
      <x:c r="AD1690" s="36" t="str">
        <x:f>IF(ISNUMBER(Y1690),ROUND(Y1690*0.8,2),"")</x:f>
      </x:c>
      <x:c r="AE1690" s="36" t="str">
        <x:f>IF(ISNUMBER(AD1690),ROUND(AD1690*0.015+0.2,2),"")</x:f>
      </x:c>
      <x:c r="AF1690" s="36" t="str">
        <x:f>IF(ISNUMBER(AD1690),ROUND(AD1690-AE1690-V1690,2),"")</x:f>
      </x:c>
      <x:c r="AG1690" t="str">
        <x:f>IF(NOT(ISNUMBER(T1690)),"PENDING",IF(AF1690&gt;0,"PASS","FAIL"))</x:f>
        <x:v>PENDING</x:v>
      </x:c>
      <x:c r="AH1690" t="str">
        <x:f>IF(NOT(ISNUMBER(T1690)),"Needs supplier cost",IF(K1690&lt;&gt;"In stock","Supplier unavailable",IF(AG1690&lt;&gt;"PASS","BLOCK - GT loss risk","Commercially protected")))</x:f>
        <x:v>Needs supplier cost</x:v>
      </x:c>
      <x:c r="AI1690" t="str">
        <x:v>2026-09-10 Active Sports trade capture</x:v>
      </x:c>
      <x:c r="AJ1690" t="str">
        <x:v>Management-only economics. Stripe stress test uses 1.5% + £0.20 standard UK online-card fee; pallet/mix-and-match pricing ignored.</x:v>
      </x:c>
    </x:row>
    <x:row r="1691">
      <x:c r="A1691" t="str">
        <x:v>Active Sports Nutrition</x:v>
      </x:c>
      <x:c r="B1691" t="str">
        <x:v>Reflex Nutrition</x:v>
      </x:c>
      <x:c r="C1691" t="str">
        <x:v>The Muscle Bomb</x:v>
      </x:c>
      <x:c r="D1691" t="str">
        <x:v>Pre Workouts</x:v>
      </x:c>
      <x:c r="E1691" t="str">
        <x:v>High Stim</x:v>
      </x:c>
      <x:c r="F1691" t="str"/>
      <x:c r="G1691" t="str">
        <x:v>400g</x:v>
      </x:c>
      <x:c r="H1691" t="str">
        <x:v>Sour Apple</x:v>
      </x:c>
      <x:c r="I1691" t="str"/>
      <x:c r="J1691" t="str">
        <x:v>Unit</x:v>
      </x:c>
      <x:c r="K1691" t="str">
        <x:v>In stock</x:v>
      </x:c>
      <x:c r="L1691" t="str">
        <x:v>2026-09-08</x:v>
      </x:c>
      <x:c r="M1691" t="str"/>
      <x:c r="N1691" t="str"/>
      <x:c r="O1691" t="str">
        <x:v>https://www.activesportstrade.co.uk/reflex-nutrition-trade</x:v>
      </x:c>
      <x:c r="P1691" t="str">
        <x:v>Caffeine-free Sherbet Lemon is a genuine supplier variant within the same parent, retained exactly.</x:v>
      </x:c>
      <x:c r="Q1691" t="str"/>
      <x:c r="R1691" t="str"/>
      <x:c r="S1691" t="str">
        <x:v>Pending genuine supplier/brand image</x:v>
      </x:c>
      <x:c r="T1691" s="54"/>
      <x:c r="U1691" s="47" t="n">
        <x:v>0.2</x:v>
      </x:c>
      <x:c r="V1691" s="54" t="str">
        <x:f>IF(ISNUMBER(T1691),T1691*(1+U1691),"")</x:f>
      </x:c>
      <x:c r="W1691" s="47" t="n">
        <x:v>0.3</x:v>
      </x:c>
      <x:c r="X1691" s="54" t="str">
        <x:f>IF(ISNUMBER(V1691),V1691/(1-W1691),"")</x:f>
      </x:c>
      <x:c r="Y1691" s="55" t="str">
        <x:f>IF(ISNUMBER(X1691),ROUNDUP(X1691,0),"")</x:f>
      </x:c>
      <x:c r="Z1691" t="str">
        <x:f>IF(ISNUMBER(T1691),"Cost captured","Awaiting trade cost")</x:f>
        <x:v>Awaiting trade cost</x:v>
      </x:c>
      <x:c r="AB1691" s="36" t="str">
        <x:f>IF(ISNUMBER(Y1691),ROUND(Y1691*0.9,2),"")</x:f>
      </x:c>
      <x:c r="AC1691" s="36" t="str">
        <x:f>IF(ISNUMBER(AB1691),ROUND(AB1691-(AB1691*0.015+0.2)-V1691,2),"")</x:f>
      </x:c>
      <x:c r="AD1691" s="36" t="str">
        <x:f>IF(ISNUMBER(Y1691),ROUND(Y1691*0.8,2),"")</x:f>
      </x:c>
      <x:c r="AE1691" s="36" t="str">
        <x:f>IF(ISNUMBER(AD1691),ROUND(AD1691*0.015+0.2,2),"")</x:f>
      </x:c>
      <x:c r="AF1691" s="36" t="str">
        <x:f>IF(ISNUMBER(AD1691),ROUND(AD1691-AE1691-V1691,2),"")</x:f>
      </x:c>
      <x:c r="AG1691" t="str">
        <x:f>IF(NOT(ISNUMBER(T1691)),"PENDING",IF(AF1691&gt;0,"PASS","FAIL"))</x:f>
        <x:v>PENDING</x:v>
      </x:c>
      <x:c r="AH1691" t="str">
        <x:f>IF(NOT(ISNUMBER(T1691)),"Needs supplier cost",IF(K1691&lt;&gt;"In stock","Supplier unavailable",IF(AG1691&lt;&gt;"PASS","BLOCK - GT loss risk","Commercially protected")))</x:f>
        <x:v>Needs supplier cost</x:v>
      </x:c>
      <x:c r="AI1691" t="str">
        <x:v>2026-09-10 Active Sports trade capture</x:v>
      </x:c>
      <x:c r="AJ1691" t="str">
        <x:v>Management-only economics. Stripe stress test uses 1.5% + £0.20 standard UK online-card fee; pallet/mix-and-match pricing ignored.</x:v>
      </x:c>
    </x:row>
    <x:row r="1692">
      <x:c r="A1692" t="str">
        <x:v>Active Sports Nutrition</x:v>
      </x:c>
      <x:c r="B1692" t="str">
        <x:v>Reflex Nutrition</x:v>
      </x:c>
      <x:c r="C1692" t="str">
        <x:v>The Muscle Bomb</x:v>
      </x:c>
      <x:c r="D1692" t="str">
        <x:v>Pre Workouts</x:v>
      </x:c>
      <x:c r="E1692" t="str">
        <x:v>High Stim</x:v>
      </x:c>
      <x:c r="F1692" t="str"/>
      <x:c r="G1692" t="str">
        <x:v>400g</x:v>
      </x:c>
      <x:c r="H1692" t="str">
        <x:v>Twizzle Lolly</x:v>
      </x:c>
      <x:c r="I1692" t="str"/>
      <x:c r="J1692" t="str">
        <x:v>Unit</x:v>
      </x:c>
      <x:c r="K1692" t="str">
        <x:v>In stock</x:v>
      </x:c>
      <x:c r="L1692" t="str">
        <x:v>2026-09-08</x:v>
      </x:c>
      <x:c r="M1692" t="str"/>
      <x:c r="N1692" t="str"/>
      <x:c r="O1692" t="str">
        <x:v>https://www.activesportstrade.co.uk/reflex-nutrition-trade</x:v>
      </x:c>
      <x:c r="P1692" t="str">
        <x:v>Caffeine-free Sherbet Lemon is a genuine supplier variant within the same parent, retained exactly.</x:v>
      </x:c>
      <x:c r="Q1692" t="str"/>
      <x:c r="R1692" t="str"/>
      <x:c r="S1692" t="str">
        <x:v>Pending genuine supplier/brand image</x:v>
      </x:c>
      <x:c r="T1692" s="54"/>
      <x:c r="U1692" s="47" t="n">
        <x:v>0.2</x:v>
      </x:c>
      <x:c r="V1692" s="54" t="str">
        <x:f>IF(ISNUMBER(T1692),T1692*(1+U1692),"")</x:f>
      </x:c>
      <x:c r="W1692" s="47" t="n">
        <x:v>0.3</x:v>
      </x:c>
      <x:c r="X1692" s="54" t="str">
        <x:f>IF(ISNUMBER(V1692),V1692/(1-W1692),"")</x:f>
      </x:c>
      <x:c r="Y1692" s="55" t="str">
        <x:f>IF(ISNUMBER(X1692),ROUNDUP(X1692,0),"")</x:f>
      </x:c>
      <x:c r="Z1692" t="str">
        <x:f>IF(ISNUMBER(T1692),"Cost captured","Awaiting trade cost")</x:f>
        <x:v>Awaiting trade cost</x:v>
      </x:c>
      <x:c r="AB1692" s="36" t="str">
        <x:f>IF(ISNUMBER(Y1692),ROUND(Y1692*0.9,2),"")</x:f>
      </x:c>
      <x:c r="AC1692" s="36" t="str">
        <x:f>IF(ISNUMBER(AB1692),ROUND(AB1692-(AB1692*0.015+0.2)-V1692,2),"")</x:f>
      </x:c>
      <x:c r="AD1692" s="36" t="str">
        <x:f>IF(ISNUMBER(Y1692),ROUND(Y1692*0.8,2),"")</x:f>
      </x:c>
      <x:c r="AE1692" s="36" t="str">
        <x:f>IF(ISNUMBER(AD1692),ROUND(AD1692*0.015+0.2,2),"")</x:f>
      </x:c>
      <x:c r="AF1692" s="36" t="str">
        <x:f>IF(ISNUMBER(AD1692),ROUND(AD1692-AE1692-V1692,2),"")</x:f>
      </x:c>
      <x:c r="AG1692" t="str">
        <x:f>IF(NOT(ISNUMBER(T1692)),"PENDING",IF(AF1692&gt;0,"PASS","FAIL"))</x:f>
        <x:v>PENDING</x:v>
      </x:c>
      <x:c r="AH1692" t="str">
        <x:f>IF(NOT(ISNUMBER(T1692)),"Needs supplier cost",IF(K1692&lt;&gt;"In stock","Supplier unavailable",IF(AG1692&lt;&gt;"PASS","BLOCK - GT loss risk","Commercially protected")))</x:f>
        <x:v>Needs supplier cost</x:v>
      </x:c>
      <x:c r="AI1692" t="str">
        <x:v>2026-09-10 Active Sports trade capture</x:v>
      </x:c>
      <x:c r="AJ1692" t="str">
        <x:v>Management-only economics. Stripe stress test uses 1.5% + £0.20 standard UK online-card fee; pallet/mix-and-match pricing ignored.</x:v>
      </x:c>
    </x:row>
    <x:row r="1693">
      <x:c r="A1693" t="str">
        <x:v>Active Sports Nutrition</x:v>
      </x:c>
      <x:c r="B1693" t="str">
        <x:v>Reflex Nutrition</x:v>
      </x:c>
      <x:c r="C1693" t="str">
        <x:v>Zinc Matrix</x:v>
      </x:c>
      <x:c r="D1693" t="str">
        <x:v>Supplements</x:v>
      </x:c>
      <x:c r="E1693" t="str">
        <x:v>Testosterone Boosters</x:v>
      </x:c>
      <x:c r="F1693" t="str"/>
      <x:c r="G1693" t="str">
        <x:v>100 caps</x:v>
      </x:c>
      <x:c r="H1693" t="str">
        <x:v>Default</x:v>
      </x:c>
      <x:c r="I1693" t="str"/>
      <x:c r="J1693" t="str">
        <x:v>Unit</x:v>
      </x:c>
      <x:c r="K1693" t="str">
        <x:v>In stock</x:v>
      </x:c>
      <x:c r="L1693" t="str">
        <x:v>2026-09-08</x:v>
      </x:c>
      <x:c r="M1693" t="str"/>
      <x:c r="N1693" t="str"/>
      <x:c r="O1693" t="str">
        <x:v>https://www.activesportstrade.co.uk/reflex-nutrition-trade</x:v>
      </x:c>
      <x:c r="P1693" t="str"/>
      <x:c r="Q1693" t="str"/>
      <x:c r="R1693" t="str"/>
      <x:c r="S1693" t="str">
        <x:v>Pending genuine supplier/brand image</x:v>
      </x:c>
      <x:c r="T1693" s="54"/>
      <x:c r="U1693" s="47" t="n">
        <x:v>0.2</x:v>
      </x:c>
      <x:c r="V1693" s="54" t="str">
        <x:f>IF(ISNUMBER(T1693),T1693*(1+U1693),"")</x:f>
      </x:c>
      <x:c r="W1693" s="47" t="n">
        <x:v>0.3</x:v>
      </x:c>
      <x:c r="X1693" s="54" t="str">
        <x:f>IF(ISNUMBER(V1693),V1693/(1-W1693),"")</x:f>
      </x:c>
      <x:c r="Y1693" s="55" t="str">
        <x:f>IF(ISNUMBER(X1693),ROUNDUP(X1693,0),"")</x:f>
      </x:c>
      <x:c r="Z1693" t="str">
        <x:f>IF(ISNUMBER(T1693),"Cost captured","Awaiting trade cost")</x:f>
        <x:v>Awaiting trade cost</x:v>
      </x:c>
      <x:c r="AB1693" s="36" t="str">
        <x:f>IF(ISNUMBER(Y1693),ROUND(Y1693*0.9,2),"")</x:f>
      </x:c>
      <x:c r="AC1693" s="36" t="str">
        <x:f>IF(ISNUMBER(AB1693),ROUND(AB1693-(AB1693*0.015+0.2)-V1693,2),"")</x:f>
      </x:c>
      <x:c r="AD1693" s="36" t="str">
        <x:f>IF(ISNUMBER(Y1693),ROUND(Y1693*0.8,2),"")</x:f>
      </x:c>
      <x:c r="AE1693" s="36" t="str">
        <x:f>IF(ISNUMBER(AD1693),ROUND(AD1693*0.015+0.2,2),"")</x:f>
      </x:c>
      <x:c r="AF1693" s="36" t="str">
        <x:f>IF(ISNUMBER(AD1693),ROUND(AD1693-AE1693-V1693,2),"")</x:f>
      </x:c>
      <x:c r="AG1693" t="str">
        <x:f>IF(NOT(ISNUMBER(T1693)),"PENDING",IF(AF1693&gt;0,"PASS","FAIL"))</x:f>
        <x:v>PENDING</x:v>
      </x:c>
      <x:c r="AH1693" t="str">
        <x:f>IF(NOT(ISNUMBER(T1693)),"Needs supplier cost",IF(K1693&lt;&gt;"In stock","Supplier unavailable",IF(AG1693&lt;&gt;"PASS","BLOCK - GT loss risk","Commercially protected")))</x:f>
        <x:v>Needs supplier cost</x:v>
      </x:c>
      <x:c r="AI1693" t="str">
        <x:v>2026-09-10 Active Sports trade capture</x:v>
      </x:c>
      <x:c r="AJ1693" t="str">
        <x:v>Management-only economics. Stripe stress test uses 1.5% + £0.20 standard UK online-card fee; pallet/mix-and-match pricing ignored.</x:v>
      </x:c>
    </x:row>
    <x:row r="1694">
      <x:c r="A1694" t="str">
        <x:v>Active Sports Nutrition</x:v>
      </x:c>
      <x:c r="B1694" t="str">
        <x:v>Redcon1</x:v>
      </x:c>
      <x:c r="C1694" t="str">
        <x:v>Total War Pre Workout</x:v>
      </x:c>
      <x:c r="D1694" t="str">
        <x:v>Pre Workouts</x:v>
      </x:c>
      <x:c r="E1694" t="str">
        <x:v>High Stim</x:v>
      </x:c>
      <x:c r="F1694" t="str">
        <x:v>High-stimulant pre-workout.</x:v>
      </x:c>
      <x:c r="G1694" t="str">
        <x:v>30 servings</x:v>
      </x:c>
      <x:c r="H1694" t="str">
        <x:v>Blue Lemonade</x:v>
      </x:c>
      <x:c r="I1694" t="str"/>
      <x:c r="J1694" t="str">
        <x:v>Unit</x:v>
      </x:c>
      <x:c r="K1694" t="str">
        <x:v>Out of stock</x:v>
      </x:c>
      <x:c r="L1694" t="str">
        <x:v>2026-09-08</x:v>
      </x:c>
      <x:c r="M1694" t="str"/>
      <x:c r="N1694" t="str"/>
      <x:c r="O1694" t="str">
        <x:v>https://www.activesportstrade.co.uk/trade-pre-workout-supplements</x:v>
      </x:c>
      <x:c r="P1694" t="str">
        <x:v>Fresh current pre-workout page used; older Redcon1 brand crawl had Blue Lemonade, Rainbow Candy and Watermelon in stock.</x:v>
      </x:c>
      <x:c r="Q1694" t="str"/>
      <x:c r="R1694" t="str"/>
      <x:c r="S1694" t="str">
        <x:v>Pending genuine supplier/brand image</x:v>
      </x:c>
      <x:c r="T1694" s="54" t="n">
        <x:v>15.99</x:v>
      </x:c>
      <x:c r="U1694" s="47" t="n">
        <x:v>0.2</x:v>
      </x:c>
      <x:c r="V1694" s="54" t="n">
        <x:f>IF(ISNUMBER(T1694),T1694*(1+U1694),"")</x:f>
        <x:v>19.188</x:v>
      </x:c>
      <x:c r="W1694" s="47" t="n">
        <x:v>0.3</x:v>
      </x:c>
      <x:c r="X1694" s="54" t="n">
        <x:f>IF(ISNUMBER(V1694),V1694/(1-W1694),"")</x:f>
        <x:v>27.411428571428573</x:v>
      </x:c>
      <x:c r="Y1694" s="55" t="n">
        <x:f>IF(ISNUMBER(X1694),ROUNDUP(X1694,0),"")</x:f>
        <x:v>28</x:v>
      </x:c>
      <x:c r="Z1694" t="str">
        <x:v>Source match pending</x:v>
      </x:c>
      <x:c r="AA1694" t="str">
        <x:v>screencapture-www-activesportstrade-co-uk-redcon1-trade-2026-09-09-18_51_25.png / page-001</x:v>
      </x:c>
      <x:c r="AB1694" s="36" t="n">
        <x:f>IF(ISNUMBER(Y1694),ROUND(Y1694*0.9,2),"")</x:f>
        <x:v>25.2</x:v>
      </x:c>
      <x:c r="AC1694" s="36" t="n">
        <x:f>IF(ISNUMBER(AB1694),ROUND(AB1694-(AB1694*0.015+0.2)-V1694,2),"")</x:f>
        <x:v>5.43</x:v>
      </x:c>
      <x:c r="AD1694" s="36" t="n">
        <x:f>IF(ISNUMBER(Y1694),ROUND(Y1694*0.8,2),"")</x:f>
        <x:v>22.4</x:v>
      </x:c>
      <x:c r="AE1694" s="36" t="n">
        <x:f>IF(ISNUMBER(AD1694),ROUND(AD1694*0.015+0.2,2),"")</x:f>
        <x:v>0.54</x:v>
      </x:c>
      <x:c r="AF1694" s="36" t="n">
        <x:f>IF(ISNUMBER(AD1694),ROUND(AD1694-AE1694-V1694,2),"")</x:f>
        <x:v>2.67</x:v>
      </x:c>
      <x:c r="AG1694" t="str">
        <x:f>IF(NOT(ISNUMBER(T1694)),"PENDING",IF(AF1694&gt;0,"PASS","FAIL"))</x:f>
        <x:v>PASS</x:v>
      </x:c>
      <x:c r="AH1694" t="str">
        <x:f>IF(NOT(ISNUMBER(T1694)),"Needs supplier cost",IF(K1694&lt;&gt;"In stock","Supplier unavailable",IF(AG1694&lt;&gt;"PASS","BLOCK - GT loss risk","Commercially protected")))</x:f>
        <x:v>Supplier unavailable</x:v>
      </x:c>
      <x:c r="AI1694" t="str">
        <x:v>2026-09-10 Active Sports trade capture</x:v>
      </x:c>
      <x:c r="AJ1694" t="str">
        <x:v>Management-only economics. Stripe stress test uses 1.5% + £0.20 standard UK online-card fee; pallet/mix-and-match pricing ignored.</x:v>
      </x:c>
    </x:row>
    <x:row r="1695">
      <x:c r="A1695" t="str">
        <x:v>Active Sports Nutrition</x:v>
      </x:c>
      <x:c r="B1695" t="str">
        <x:v>Redcon1</x:v>
      </x:c>
      <x:c r="C1695" t="str">
        <x:v>Total War Pre Workout</x:v>
      </x:c>
      <x:c r="D1695" t="str">
        <x:v>Pre Workouts</x:v>
      </x:c>
      <x:c r="E1695" t="str">
        <x:v>High Stim</x:v>
      </x:c>
      <x:c r="F1695" t="str">
        <x:v>High-stimulant pre-workout.</x:v>
      </x:c>
      <x:c r="G1695" t="str">
        <x:v>30 servings</x:v>
      </x:c>
      <x:c r="H1695" t="str">
        <x:v>Blue Raspberry</x:v>
      </x:c>
      <x:c r="I1695" t="str"/>
      <x:c r="J1695" t="str">
        <x:v>Unit</x:v>
      </x:c>
      <x:c r="K1695" t="str">
        <x:v>In stock</x:v>
      </x:c>
      <x:c r="L1695" t="str">
        <x:v>2026-09-08</x:v>
      </x:c>
      <x:c r="M1695" t="str"/>
      <x:c r="N1695" t="str"/>
      <x:c r="O1695" t="str">
        <x:v>https://www.activesportstrade.co.uk/trade-pre-workout-supplements</x:v>
      </x:c>
      <x:c r="P1695" t="str">
        <x:v>Fresh current pre-workout page used; older Redcon1 brand crawl had Blue Lemonade, Rainbow Candy and Watermelon in stock.</x:v>
      </x:c>
      <x:c r="Q1695" t="str"/>
      <x:c r="R1695" t="str"/>
      <x:c r="S1695" t="str">
        <x:v>Pending genuine supplier/brand image</x:v>
      </x:c>
      <x:c r="T1695" s="54" t="n">
        <x:v>15.99</x:v>
      </x:c>
      <x:c r="U1695" s="47" t="n">
        <x:v>0.2</x:v>
      </x:c>
      <x:c r="V1695" s="54" t="n">
        <x:f>IF(ISNUMBER(T1695),T1695*(1+U1695),"")</x:f>
        <x:v>19.188</x:v>
      </x:c>
      <x:c r="W1695" s="47" t="n">
        <x:v>0.3</x:v>
      </x:c>
      <x:c r="X1695" s="54" t="n">
        <x:f>IF(ISNUMBER(V1695),V1695/(1-W1695),"")</x:f>
        <x:v>27.411428571428573</x:v>
      </x:c>
      <x:c r="Y1695" s="55" t="n">
        <x:f>IF(ISNUMBER(X1695),ROUNDUP(X1695,0),"")</x:f>
        <x:v>28</x:v>
      </x:c>
      <x:c r="Z1695" t="str">
        <x:v>Source match pending</x:v>
      </x:c>
      <x:c r="AA1695" t="str">
        <x:v>screencapture-www-activesportstrade-co-uk-redcon1-trade-2026-09-09-18_51_25.png / page-001</x:v>
      </x:c>
      <x:c r="AB1695" s="36" t="n">
        <x:f>IF(ISNUMBER(Y1695),ROUND(Y1695*0.9,2),"")</x:f>
        <x:v>25.2</x:v>
      </x:c>
      <x:c r="AC1695" s="36" t="n">
        <x:f>IF(ISNUMBER(AB1695),ROUND(AB1695-(AB1695*0.015+0.2)-V1695,2),"")</x:f>
        <x:v>5.43</x:v>
      </x:c>
      <x:c r="AD1695" s="36" t="n">
        <x:f>IF(ISNUMBER(Y1695),ROUND(Y1695*0.8,2),"")</x:f>
        <x:v>22.4</x:v>
      </x:c>
      <x:c r="AE1695" s="36" t="n">
        <x:f>IF(ISNUMBER(AD1695),ROUND(AD1695*0.015+0.2,2),"")</x:f>
        <x:v>0.54</x:v>
      </x:c>
      <x:c r="AF1695" s="36" t="n">
        <x:f>IF(ISNUMBER(AD1695),ROUND(AD1695-AE1695-V1695,2),"")</x:f>
        <x:v>2.67</x:v>
      </x:c>
      <x:c r="AG1695" t="str">
        <x:f>IF(NOT(ISNUMBER(T1695)),"PENDING",IF(AF1695&gt;0,"PASS","FAIL"))</x:f>
        <x:v>PASS</x:v>
      </x:c>
      <x:c r="AH1695" t="str">
        <x:f>IF(NOT(ISNUMBER(T1695)),"Needs supplier cost",IF(K1695&lt;&gt;"In stock","Supplier unavailable",IF(AG1695&lt;&gt;"PASS","BLOCK - GT loss risk","Commercially protected")))</x:f>
        <x:v>Commercially protected</x:v>
      </x:c>
      <x:c r="AI1695" t="str">
        <x:v>2026-09-10 Active Sports trade capture</x:v>
      </x:c>
      <x:c r="AJ1695" t="str">
        <x:v>Management-only economics. Stripe stress test uses 1.5% + £0.20 standard UK online-card fee; pallet/mix-and-match pricing ignored.</x:v>
      </x:c>
    </x:row>
    <x:row r="1696">
      <x:c r="A1696" t="str">
        <x:v>Active Sports Nutrition</x:v>
      </x:c>
      <x:c r="B1696" t="str">
        <x:v>Redcon1</x:v>
      </x:c>
      <x:c r="C1696" t="str">
        <x:v>Total War Pre Workout</x:v>
      </x:c>
      <x:c r="D1696" t="str">
        <x:v>Pre Workouts</x:v>
      </x:c>
      <x:c r="E1696" t="str">
        <x:v>High Stim</x:v>
      </x:c>
      <x:c r="F1696" t="str">
        <x:v>High-stimulant pre-workout.</x:v>
      </x:c>
      <x:c r="G1696" t="str">
        <x:v>30 servings</x:v>
      </x:c>
      <x:c r="H1696" t="str">
        <x:v>Grape</x:v>
      </x:c>
      <x:c r="I1696" t="str"/>
      <x:c r="J1696" t="str">
        <x:v>Unit</x:v>
      </x:c>
      <x:c r="K1696" t="str">
        <x:v>In stock</x:v>
      </x:c>
      <x:c r="L1696" t="str">
        <x:v>2026-09-08</x:v>
      </x:c>
      <x:c r="M1696" t="str"/>
      <x:c r="N1696" t="str"/>
      <x:c r="O1696" t="str">
        <x:v>https://www.activesportstrade.co.uk/trade-pre-workout-supplements</x:v>
      </x:c>
      <x:c r="P1696" t="str">
        <x:v>Fresh current pre-workout page used; older Redcon1 brand crawl had Blue Lemonade, Rainbow Candy and Watermelon in stock.</x:v>
      </x:c>
      <x:c r="Q1696" t="str"/>
      <x:c r="R1696" t="str"/>
      <x:c r="S1696" t="str">
        <x:v>Pending genuine supplier/brand image</x:v>
      </x:c>
      <x:c r="T1696" s="54" t="n">
        <x:v>15.99</x:v>
      </x:c>
      <x:c r="U1696" s="47" t="n">
        <x:v>0.2</x:v>
      </x:c>
      <x:c r="V1696" s="54" t="n">
        <x:f>IF(ISNUMBER(T1696),T1696*(1+U1696),"")</x:f>
        <x:v>19.188</x:v>
      </x:c>
      <x:c r="W1696" s="47" t="n">
        <x:v>0.3</x:v>
      </x:c>
      <x:c r="X1696" s="54" t="n">
        <x:f>IF(ISNUMBER(V1696),V1696/(1-W1696),"")</x:f>
        <x:v>27.411428571428573</x:v>
      </x:c>
      <x:c r="Y1696" s="55" t="n">
        <x:f>IF(ISNUMBER(X1696),ROUNDUP(X1696,0),"")</x:f>
        <x:v>28</x:v>
      </x:c>
      <x:c r="Z1696" t="str">
        <x:v>Source match pending</x:v>
      </x:c>
      <x:c r="AA1696" t="str">
        <x:v>screencapture-www-activesportstrade-co-uk-redcon1-trade-2026-09-09-18_51_25.png / page-001</x:v>
      </x:c>
      <x:c r="AB1696" s="36" t="n">
        <x:f>IF(ISNUMBER(Y1696),ROUND(Y1696*0.9,2),"")</x:f>
        <x:v>25.2</x:v>
      </x:c>
      <x:c r="AC1696" s="36" t="n">
        <x:f>IF(ISNUMBER(AB1696),ROUND(AB1696-(AB1696*0.015+0.2)-V1696,2),"")</x:f>
        <x:v>5.43</x:v>
      </x:c>
      <x:c r="AD1696" s="36" t="n">
        <x:f>IF(ISNUMBER(Y1696),ROUND(Y1696*0.8,2),"")</x:f>
        <x:v>22.4</x:v>
      </x:c>
      <x:c r="AE1696" s="36" t="n">
        <x:f>IF(ISNUMBER(AD1696),ROUND(AD1696*0.015+0.2,2),"")</x:f>
        <x:v>0.54</x:v>
      </x:c>
      <x:c r="AF1696" s="36" t="n">
        <x:f>IF(ISNUMBER(AD1696),ROUND(AD1696-AE1696-V1696,2),"")</x:f>
        <x:v>2.67</x:v>
      </x:c>
      <x:c r="AG1696" t="str">
        <x:f>IF(NOT(ISNUMBER(T1696)),"PENDING",IF(AF1696&gt;0,"PASS","FAIL"))</x:f>
        <x:v>PASS</x:v>
      </x:c>
      <x:c r="AH1696" t="str">
        <x:f>IF(NOT(ISNUMBER(T1696)),"Needs supplier cost",IF(K1696&lt;&gt;"In stock","Supplier unavailable",IF(AG1696&lt;&gt;"PASS","BLOCK - GT loss risk","Commercially protected")))</x:f>
        <x:v>Commercially protected</x:v>
      </x:c>
      <x:c r="AI1696" t="str">
        <x:v>2026-09-10 Active Sports trade capture</x:v>
      </x:c>
      <x:c r="AJ1696" t="str">
        <x:v>Management-only economics. Stripe stress test uses 1.5% + £0.20 standard UK online-card fee; pallet/mix-and-match pricing ignored.</x:v>
      </x:c>
    </x:row>
    <x:row r="1697">
      <x:c r="A1697" t="str">
        <x:v>Active Sports Nutrition</x:v>
      </x:c>
      <x:c r="B1697" t="str">
        <x:v>Redcon1</x:v>
      </x:c>
      <x:c r="C1697" t="str">
        <x:v>Total War Pre Workout</x:v>
      </x:c>
      <x:c r="D1697" t="str">
        <x:v>Pre Workouts</x:v>
      </x:c>
      <x:c r="E1697" t="str">
        <x:v>High Stim</x:v>
      </x:c>
      <x:c r="F1697" t="str">
        <x:v>High-stimulant pre-workout.</x:v>
      </x:c>
      <x:c r="G1697" t="str">
        <x:v>30 servings</x:v>
      </x:c>
      <x:c r="H1697" t="str">
        <x:v>Green Apple</x:v>
      </x:c>
      <x:c r="I1697" t="str"/>
      <x:c r="J1697" t="str">
        <x:v>Unit</x:v>
      </x:c>
      <x:c r="K1697" t="str">
        <x:v>Out of stock</x:v>
      </x:c>
      <x:c r="L1697" t="str">
        <x:v>2026-09-08</x:v>
      </x:c>
      <x:c r="M1697" t="str"/>
      <x:c r="N1697" t="str"/>
      <x:c r="O1697" t="str">
        <x:v>https://www.activesportstrade.co.uk/trade-pre-workout-supplements</x:v>
      </x:c>
      <x:c r="P1697" t="str">
        <x:v>Fresh current pre-workout page used; older Redcon1 brand crawl had Blue Lemonade, Rainbow Candy and Watermelon in stock.</x:v>
      </x:c>
      <x:c r="Q1697" t="str"/>
      <x:c r="R1697" t="str"/>
      <x:c r="S1697" t="str">
        <x:v>Pending genuine supplier/brand image</x:v>
      </x:c>
      <x:c r="T1697" s="54" t="n">
        <x:v>15.99</x:v>
      </x:c>
      <x:c r="U1697" s="47" t="n">
        <x:v>0.2</x:v>
      </x:c>
      <x:c r="V1697" s="54" t="n">
        <x:f>IF(ISNUMBER(T1697),T1697*(1+U1697),"")</x:f>
        <x:v>19.188</x:v>
      </x:c>
      <x:c r="W1697" s="47" t="n">
        <x:v>0.3</x:v>
      </x:c>
      <x:c r="X1697" s="54" t="n">
        <x:f>IF(ISNUMBER(V1697),V1697/(1-W1697),"")</x:f>
        <x:v>27.411428571428573</x:v>
      </x:c>
      <x:c r="Y1697" s="55" t="n">
        <x:f>IF(ISNUMBER(X1697),ROUNDUP(X1697,0),"")</x:f>
        <x:v>28</x:v>
      </x:c>
      <x:c r="Z1697" t="str">
        <x:v>Source match pending</x:v>
      </x:c>
      <x:c r="AA1697" t="str">
        <x:v>screencapture-www-activesportstrade-co-uk-redcon1-trade-2026-09-09-18_51_25.png / page-001</x:v>
      </x:c>
      <x:c r="AB1697" s="36" t="n">
        <x:f>IF(ISNUMBER(Y1697),ROUND(Y1697*0.9,2),"")</x:f>
        <x:v>25.2</x:v>
      </x:c>
      <x:c r="AC1697" s="36" t="n">
        <x:f>IF(ISNUMBER(AB1697),ROUND(AB1697-(AB1697*0.015+0.2)-V1697,2),"")</x:f>
        <x:v>5.43</x:v>
      </x:c>
      <x:c r="AD1697" s="36" t="n">
        <x:f>IF(ISNUMBER(Y1697),ROUND(Y1697*0.8,2),"")</x:f>
        <x:v>22.4</x:v>
      </x:c>
      <x:c r="AE1697" s="36" t="n">
        <x:f>IF(ISNUMBER(AD1697),ROUND(AD1697*0.015+0.2,2),"")</x:f>
        <x:v>0.54</x:v>
      </x:c>
      <x:c r="AF1697" s="36" t="n">
        <x:f>IF(ISNUMBER(AD1697),ROUND(AD1697-AE1697-V1697,2),"")</x:f>
        <x:v>2.67</x:v>
      </x:c>
      <x:c r="AG1697" t="str">
        <x:f>IF(NOT(ISNUMBER(T1697)),"PENDING",IF(AF1697&gt;0,"PASS","FAIL"))</x:f>
        <x:v>PASS</x:v>
      </x:c>
      <x:c r="AH1697" t="str">
        <x:f>IF(NOT(ISNUMBER(T1697)),"Needs supplier cost",IF(K1697&lt;&gt;"In stock","Supplier unavailable",IF(AG1697&lt;&gt;"PASS","BLOCK - GT loss risk","Commercially protected")))</x:f>
        <x:v>Supplier unavailable</x:v>
      </x:c>
      <x:c r="AI1697" t="str">
        <x:v>2026-09-10 Active Sports trade capture</x:v>
      </x:c>
      <x:c r="AJ1697" t="str">
        <x:v>Management-only economics. Stripe stress test uses 1.5% + £0.20 standard UK online-card fee; pallet/mix-and-match pricing ignored.</x:v>
      </x:c>
    </x:row>
    <x:row r="1698">
      <x:c r="A1698" t="str">
        <x:v>Active Sports Nutrition</x:v>
      </x:c>
      <x:c r="B1698" t="str">
        <x:v>Redcon1</x:v>
      </x:c>
      <x:c r="C1698" t="str">
        <x:v>Total War Pre Workout</x:v>
      </x:c>
      <x:c r="D1698" t="str">
        <x:v>Pre Workouts</x:v>
      </x:c>
      <x:c r="E1698" t="str">
        <x:v>High Stim</x:v>
      </x:c>
      <x:c r="F1698" t="str">
        <x:v>High-stimulant pre-workout.</x:v>
      </x:c>
      <x:c r="G1698" t="str">
        <x:v>30 servings</x:v>
      </x:c>
      <x:c r="H1698" t="str">
        <x:v>Orange Crush</x:v>
      </x:c>
      <x:c r="I1698" t="str"/>
      <x:c r="J1698" t="str">
        <x:v>Unit</x:v>
      </x:c>
      <x:c r="K1698" t="str">
        <x:v>Out of stock</x:v>
      </x:c>
      <x:c r="L1698" t="str">
        <x:v>2026-09-08</x:v>
      </x:c>
      <x:c r="M1698" t="str"/>
      <x:c r="N1698" t="str"/>
      <x:c r="O1698" t="str">
        <x:v>https://www.activesportstrade.co.uk/trade-pre-workout-supplements</x:v>
      </x:c>
      <x:c r="P1698" t="str">
        <x:v>Fresh current pre-workout page used; older Redcon1 brand crawl had Blue Lemonade, Rainbow Candy and Watermelon in stock.</x:v>
      </x:c>
      <x:c r="Q1698" t="str"/>
      <x:c r="R1698" t="str"/>
      <x:c r="S1698" t="str">
        <x:v>Pending genuine supplier/brand image</x:v>
      </x:c>
      <x:c r="T1698" s="54" t="n">
        <x:v>15.99</x:v>
      </x:c>
      <x:c r="U1698" s="47" t="n">
        <x:v>0.2</x:v>
      </x:c>
      <x:c r="V1698" s="54" t="n">
        <x:f>IF(ISNUMBER(T1698),T1698*(1+U1698),"")</x:f>
        <x:v>19.188</x:v>
      </x:c>
      <x:c r="W1698" s="47" t="n">
        <x:v>0.3</x:v>
      </x:c>
      <x:c r="X1698" s="54" t="n">
        <x:f>IF(ISNUMBER(V1698),V1698/(1-W1698),"")</x:f>
        <x:v>27.411428571428573</x:v>
      </x:c>
      <x:c r="Y1698" s="55" t="n">
        <x:f>IF(ISNUMBER(X1698),ROUNDUP(X1698,0),"")</x:f>
        <x:v>28</x:v>
      </x:c>
      <x:c r="Z1698" t="str">
        <x:v>Source match pending</x:v>
      </x:c>
      <x:c r="AA1698" t="str">
        <x:v>screencapture-www-activesportstrade-co-uk-redcon1-trade-2026-09-09-18_51_25.png / page-001</x:v>
      </x:c>
      <x:c r="AB1698" s="36" t="n">
        <x:f>IF(ISNUMBER(Y1698),ROUND(Y1698*0.9,2),"")</x:f>
        <x:v>25.2</x:v>
      </x:c>
      <x:c r="AC1698" s="36" t="n">
        <x:f>IF(ISNUMBER(AB1698),ROUND(AB1698-(AB1698*0.015+0.2)-V1698,2),"")</x:f>
        <x:v>5.43</x:v>
      </x:c>
      <x:c r="AD1698" s="36" t="n">
        <x:f>IF(ISNUMBER(Y1698),ROUND(Y1698*0.8,2),"")</x:f>
        <x:v>22.4</x:v>
      </x:c>
      <x:c r="AE1698" s="36" t="n">
        <x:f>IF(ISNUMBER(AD1698),ROUND(AD1698*0.015+0.2,2),"")</x:f>
        <x:v>0.54</x:v>
      </x:c>
      <x:c r="AF1698" s="36" t="n">
        <x:f>IF(ISNUMBER(AD1698),ROUND(AD1698-AE1698-V1698,2),"")</x:f>
        <x:v>2.67</x:v>
      </x:c>
      <x:c r="AG1698" t="str">
        <x:f>IF(NOT(ISNUMBER(T1698)),"PENDING",IF(AF1698&gt;0,"PASS","FAIL"))</x:f>
        <x:v>PASS</x:v>
      </x:c>
      <x:c r="AH1698" t="str">
        <x:f>IF(NOT(ISNUMBER(T1698)),"Needs supplier cost",IF(K1698&lt;&gt;"In stock","Supplier unavailable",IF(AG1698&lt;&gt;"PASS","BLOCK - GT loss risk","Commercially protected")))</x:f>
        <x:v>Supplier unavailable</x:v>
      </x:c>
      <x:c r="AI1698" t="str">
        <x:v>2026-09-10 Active Sports trade capture</x:v>
      </x:c>
      <x:c r="AJ1698" t="str">
        <x:v>Management-only economics. Stripe stress test uses 1.5% + £0.20 standard UK online-card fee; pallet/mix-and-match pricing ignored.</x:v>
      </x:c>
    </x:row>
    <x:row r="1699">
      <x:c r="A1699" t="str">
        <x:v>Active Sports Nutrition</x:v>
      </x:c>
      <x:c r="B1699" t="str">
        <x:v>Redcon1</x:v>
      </x:c>
      <x:c r="C1699" t="str">
        <x:v>Total War Pre Workout</x:v>
      </x:c>
      <x:c r="D1699" t="str">
        <x:v>Pre Workouts</x:v>
      </x:c>
      <x:c r="E1699" t="str">
        <x:v>High Stim</x:v>
      </x:c>
      <x:c r="F1699" t="str">
        <x:v>High-stimulant pre-workout.</x:v>
      </x:c>
      <x:c r="G1699" t="str">
        <x:v>30 servings</x:v>
      </x:c>
      <x:c r="H1699" t="str">
        <x:v>Pineapple Juice</x:v>
      </x:c>
      <x:c r="I1699" t="str"/>
      <x:c r="J1699" t="str">
        <x:v>Unit</x:v>
      </x:c>
      <x:c r="K1699" t="str">
        <x:v>Out of stock</x:v>
      </x:c>
      <x:c r="L1699" t="str">
        <x:v>2026-09-08</x:v>
      </x:c>
      <x:c r="M1699" t="str"/>
      <x:c r="N1699" t="str"/>
      <x:c r="O1699" t="str">
        <x:v>https://www.activesportstrade.co.uk/trade-pre-workout-supplements</x:v>
      </x:c>
      <x:c r="P1699" t="str">
        <x:v>Fresh current pre-workout page used; older Redcon1 brand crawl had Blue Lemonade, Rainbow Candy and Watermelon in stock.</x:v>
      </x:c>
      <x:c r="Q1699" t="str"/>
      <x:c r="R1699" t="str"/>
      <x:c r="S1699" t="str">
        <x:v>Pending genuine supplier/brand image</x:v>
      </x:c>
      <x:c r="T1699" s="54" t="n">
        <x:v>15.99</x:v>
      </x:c>
      <x:c r="U1699" s="47" t="n">
        <x:v>0.2</x:v>
      </x:c>
      <x:c r="V1699" s="54" t="n">
        <x:f>IF(ISNUMBER(T1699),T1699*(1+U1699),"")</x:f>
        <x:v>19.188</x:v>
      </x:c>
      <x:c r="W1699" s="47" t="n">
        <x:v>0.3</x:v>
      </x:c>
      <x:c r="X1699" s="54" t="n">
        <x:f>IF(ISNUMBER(V1699),V1699/(1-W1699),"")</x:f>
        <x:v>27.411428571428573</x:v>
      </x:c>
      <x:c r="Y1699" s="55" t="n">
        <x:f>IF(ISNUMBER(X1699),ROUNDUP(X1699,0),"")</x:f>
        <x:v>28</x:v>
      </x:c>
      <x:c r="Z1699" t="str">
        <x:v>Source match pending</x:v>
      </x:c>
      <x:c r="AA1699" t="str">
        <x:v>screencapture-www-activesportstrade-co-uk-redcon1-trade-2026-09-09-18_51_25.png / page-001</x:v>
      </x:c>
      <x:c r="AB1699" s="36" t="n">
        <x:f>IF(ISNUMBER(Y1699),ROUND(Y1699*0.9,2),"")</x:f>
        <x:v>25.2</x:v>
      </x:c>
      <x:c r="AC1699" s="36" t="n">
        <x:f>IF(ISNUMBER(AB1699),ROUND(AB1699-(AB1699*0.015+0.2)-V1699,2),"")</x:f>
        <x:v>5.43</x:v>
      </x:c>
      <x:c r="AD1699" s="36" t="n">
        <x:f>IF(ISNUMBER(Y1699),ROUND(Y1699*0.8,2),"")</x:f>
        <x:v>22.4</x:v>
      </x:c>
      <x:c r="AE1699" s="36" t="n">
        <x:f>IF(ISNUMBER(AD1699),ROUND(AD1699*0.015+0.2,2),"")</x:f>
        <x:v>0.54</x:v>
      </x:c>
      <x:c r="AF1699" s="36" t="n">
        <x:f>IF(ISNUMBER(AD1699),ROUND(AD1699-AE1699-V1699,2),"")</x:f>
        <x:v>2.67</x:v>
      </x:c>
      <x:c r="AG1699" t="str">
        <x:f>IF(NOT(ISNUMBER(T1699)),"PENDING",IF(AF1699&gt;0,"PASS","FAIL"))</x:f>
        <x:v>PASS</x:v>
      </x:c>
      <x:c r="AH1699" t="str">
        <x:f>IF(NOT(ISNUMBER(T1699)),"Needs supplier cost",IF(K1699&lt;&gt;"In stock","Supplier unavailable",IF(AG1699&lt;&gt;"PASS","BLOCK - GT loss risk","Commercially protected")))</x:f>
        <x:v>Supplier unavailable</x:v>
      </x:c>
      <x:c r="AI1699" t="str">
        <x:v>2026-09-10 Active Sports trade capture</x:v>
      </x:c>
      <x:c r="AJ1699" t="str">
        <x:v>Management-only economics. Stripe stress test uses 1.5% + £0.20 standard UK online-card fee; pallet/mix-and-match pricing ignored.</x:v>
      </x:c>
    </x:row>
    <x:row r="1700">
      <x:c r="A1700" t="str">
        <x:v>Active Sports Nutrition</x:v>
      </x:c>
      <x:c r="B1700" t="str">
        <x:v>Redcon1</x:v>
      </x:c>
      <x:c r="C1700" t="str">
        <x:v>Total War Pre Workout</x:v>
      </x:c>
      <x:c r="D1700" t="str">
        <x:v>Pre Workouts</x:v>
      </x:c>
      <x:c r="E1700" t="str">
        <x:v>High Stim</x:v>
      </x:c>
      <x:c r="F1700" t="str">
        <x:v>High-stimulant pre-workout.</x:v>
      </x:c>
      <x:c r="G1700" t="str">
        <x:v>30 servings</x:v>
      </x:c>
      <x:c r="H1700" t="str">
        <x:v>Rainbow Candy</x:v>
      </x:c>
      <x:c r="I1700" t="str"/>
      <x:c r="J1700" t="str">
        <x:v>Unit</x:v>
      </x:c>
      <x:c r="K1700" t="str">
        <x:v>Out of stock</x:v>
      </x:c>
      <x:c r="L1700" t="str">
        <x:v>2026-09-08</x:v>
      </x:c>
      <x:c r="M1700" t="str"/>
      <x:c r="N1700" t="str"/>
      <x:c r="O1700" t="str">
        <x:v>https://www.activesportstrade.co.uk/trade-pre-workout-supplements</x:v>
      </x:c>
      <x:c r="P1700" t="str">
        <x:v>Fresh current pre-workout page used; older Redcon1 brand crawl had Blue Lemonade, Rainbow Candy and Watermelon in stock.</x:v>
      </x:c>
      <x:c r="Q1700" t="str"/>
      <x:c r="R1700" t="str"/>
      <x:c r="S1700" t="str">
        <x:v>Pending genuine supplier/brand image</x:v>
      </x:c>
      <x:c r="T1700" s="54" t="n">
        <x:v>15.99</x:v>
      </x:c>
      <x:c r="U1700" s="47" t="n">
        <x:v>0.2</x:v>
      </x:c>
      <x:c r="V1700" s="54" t="n">
        <x:f>IF(ISNUMBER(T1700),T1700*(1+U1700),"")</x:f>
        <x:v>19.188</x:v>
      </x:c>
      <x:c r="W1700" s="47" t="n">
        <x:v>0.3</x:v>
      </x:c>
      <x:c r="X1700" s="54" t="n">
        <x:f>IF(ISNUMBER(V1700),V1700/(1-W1700),"")</x:f>
        <x:v>27.411428571428573</x:v>
      </x:c>
      <x:c r="Y1700" s="55" t="n">
        <x:f>IF(ISNUMBER(X1700),ROUNDUP(X1700,0),"")</x:f>
        <x:v>28</x:v>
      </x:c>
      <x:c r="Z1700" t="str">
        <x:v>Source match pending</x:v>
      </x:c>
      <x:c r="AA1700" t="str">
        <x:v>screencapture-www-activesportstrade-co-uk-redcon1-trade-2026-09-09-18_51_25.png / page-001</x:v>
      </x:c>
      <x:c r="AB1700" s="36" t="n">
        <x:f>IF(ISNUMBER(Y1700),ROUND(Y1700*0.9,2),"")</x:f>
        <x:v>25.2</x:v>
      </x:c>
      <x:c r="AC1700" s="36" t="n">
        <x:f>IF(ISNUMBER(AB1700),ROUND(AB1700-(AB1700*0.015+0.2)-V1700,2),"")</x:f>
        <x:v>5.43</x:v>
      </x:c>
      <x:c r="AD1700" s="36" t="n">
        <x:f>IF(ISNUMBER(Y1700),ROUND(Y1700*0.8,2),"")</x:f>
        <x:v>22.4</x:v>
      </x:c>
      <x:c r="AE1700" s="36" t="n">
        <x:f>IF(ISNUMBER(AD1700),ROUND(AD1700*0.015+0.2,2),"")</x:f>
        <x:v>0.54</x:v>
      </x:c>
      <x:c r="AF1700" s="36" t="n">
        <x:f>IF(ISNUMBER(AD1700),ROUND(AD1700-AE1700-V1700,2),"")</x:f>
        <x:v>2.67</x:v>
      </x:c>
      <x:c r="AG1700" t="str">
        <x:f>IF(NOT(ISNUMBER(T1700)),"PENDING",IF(AF1700&gt;0,"PASS","FAIL"))</x:f>
        <x:v>PASS</x:v>
      </x:c>
      <x:c r="AH1700" t="str">
        <x:f>IF(NOT(ISNUMBER(T1700)),"Needs supplier cost",IF(K1700&lt;&gt;"In stock","Supplier unavailable",IF(AG1700&lt;&gt;"PASS","BLOCK - GT loss risk","Commercially protected")))</x:f>
        <x:v>Supplier unavailable</x:v>
      </x:c>
      <x:c r="AI1700" t="str">
        <x:v>2026-09-10 Active Sports trade capture</x:v>
      </x:c>
      <x:c r="AJ1700" t="str">
        <x:v>Management-only economics. Stripe stress test uses 1.5% + £0.20 standard UK online-card fee; pallet/mix-and-match pricing ignored.</x:v>
      </x:c>
    </x:row>
    <x:row r="1701">
      <x:c r="A1701" t="str">
        <x:v>Active Sports Nutrition</x:v>
      </x:c>
      <x:c r="B1701" t="str">
        <x:v>Redcon1</x:v>
      </x:c>
      <x:c r="C1701" t="str">
        <x:v>Total War Pre Workout</x:v>
      </x:c>
      <x:c r="D1701" t="str">
        <x:v>Pre Workouts</x:v>
      </x:c>
      <x:c r="E1701" t="str">
        <x:v>High Stim</x:v>
      </x:c>
      <x:c r="F1701" t="str">
        <x:v>High-stimulant pre-workout.</x:v>
      </x:c>
      <x:c r="G1701" t="str">
        <x:v>30 servings</x:v>
      </x:c>
      <x:c r="H1701" t="str">
        <x:v>Sour Gummy Bear</x:v>
      </x:c>
      <x:c r="I1701" t="str"/>
      <x:c r="J1701" t="str">
        <x:v>Unit</x:v>
      </x:c>
      <x:c r="K1701" t="str">
        <x:v>In stock</x:v>
      </x:c>
      <x:c r="L1701" t="str">
        <x:v>2026-09-08</x:v>
      </x:c>
      <x:c r="M1701" t="str"/>
      <x:c r="N1701" t="str"/>
      <x:c r="O1701" t="str">
        <x:v>https://www.activesportstrade.co.uk/trade-pre-workout-supplements</x:v>
      </x:c>
      <x:c r="P1701" t="str">
        <x:v>Fresh current pre-workout page used; older Redcon1 brand crawl had Blue Lemonade, Rainbow Candy and Watermelon in stock.</x:v>
      </x:c>
      <x:c r="Q1701" t="str"/>
      <x:c r="R1701" t="str"/>
      <x:c r="S1701" t="str">
        <x:v>Pending genuine supplier/brand image</x:v>
      </x:c>
      <x:c r="T1701" s="54" t="n">
        <x:v>15.99</x:v>
      </x:c>
      <x:c r="U1701" s="47" t="n">
        <x:v>0.2</x:v>
      </x:c>
      <x:c r="V1701" s="54" t="n">
        <x:f>IF(ISNUMBER(T1701),T1701*(1+U1701),"")</x:f>
        <x:v>19.188</x:v>
      </x:c>
      <x:c r="W1701" s="47" t="n">
        <x:v>0.3</x:v>
      </x:c>
      <x:c r="X1701" s="54" t="n">
        <x:f>IF(ISNUMBER(V1701),V1701/(1-W1701),"")</x:f>
        <x:v>27.411428571428573</x:v>
      </x:c>
      <x:c r="Y1701" s="55" t="n">
        <x:f>IF(ISNUMBER(X1701),ROUNDUP(X1701,0),"")</x:f>
        <x:v>28</x:v>
      </x:c>
      <x:c r="Z1701" t="str">
        <x:v>Source match pending</x:v>
      </x:c>
      <x:c r="AA1701" t="str">
        <x:v>screencapture-www-activesportstrade-co-uk-redcon1-trade-2026-09-09-18_51_25.png / page-001</x:v>
      </x:c>
      <x:c r="AB1701" s="36" t="n">
        <x:f>IF(ISNUMBER(Y1701),ROUND(Y1701*0.9,2),"")</x:f>
        <x:v>25.2</x:v>
      </x:c>
      <x:c r="AC1701" s="36" t="n">
        <x:f>IF(ISNUMBER(AB1701),ROUND(AB1701-(AB1701*0.015+0.2)-V1701,2),"")</x:f>
        <x:v>5.43</x:v>
      </x:c>
      <x:c r="AD1701" s="36" t="n">
        <x:f>IF(ISNUMBER(Y1701),ROUND(Y1701*0.8,2),"")</x:f>
        <x:v>22.4</x:v>
      </x:c>
      <x:c r="AE1701" s="36" t="n">
        <x:f>IF(ISNUMBER(AD1701),ROUND(AD1701*0.015+0.2,2),"")</x:f>
        <x:v>0.54</x:v>
      </x:c>
      <x:c r="AF1701" s="36" t="n">
        <x:f>IF(ISNUMBER(AD1701),ROUND(AD1701-AE1701-V1701,2),"")</x:f>
        <x:v>2.67</x:v>
      </x:c>
      <x:c r="AG1701" t="str">
        <x:f>IF(NOT(ISNUMBER(T1701)),"PENDING",IF(AF1701&gt;0,"PASS","FAIL"))</x:f>
        <x:v>PASS</x:v>
      </x:c>
      <x:c r="AH1701" t="str">
        <x:f>IF(NOT(ISNUMBER(T1701)),"Needs supplier cost",IF(K1701&lt;&gt;"In stock","Supplier unavailable",IF(AG1701&lt;&gt;"PASS","BLOCK - GT loss risk","Commercially protected")))</x:f>
        <x:v>Commercially protected</x:v>
      </x:c>
      <x:c r="AI1701" t="str">
        <x:v>2026-09-10 Active Sports trade capture</x:v>
      </x:c>
      <x:c r="AJ1701" t="str">
        <x:v>Management-only economics. Stripe stress test uses 1.5% + £0.20 standard UK online-card fee; pallet/mix-and-match pricing ignored.</x:v>
      </x:c>
    </x:row>
    <x:row r="1702">
      <x:c r="A1702" t="str">
        <x:v>Active Sports Nutrition</x:v>
      </x:c>
      <x:c r="B1702" t="str">
        <x:v>Redcon1</x:v>
      </x:c>
      <x:c r="C1702" t="str">
        <x:v>Total War Pre Workout</x:v>
      </x:c>
      <x:c r="D1702" t="str">
        <x:v>Pre Workouts</x:v>
      </x:c>
      <x:c r="E1702" t="str">
        <x:v>High Stim</x:v>
      </x:c>
      <x:c r="F1702" t="str">
        <x:v>High-stimulant pre-workout.</x:v>
      </x:c>
      <x:c r="G1702" t="str">
        <x:v>30 servings</x:v>
      </x:c>
      <x:c r="H1702" t="str">
        <x:v>Strawberry Kiwi</x:v>
      </x:c>
      <x:c r="I1702" t="str"/>
      <x:c r="J1702" t="str">
        <x:v>Unit</x:v>
      </x:c>
      <x:c r="K1702" t="str">
        <x:v>In stock</x:v>
      </x:c>
      <x:c r="L1702" t="str">
        <x:v>2026-09-08</x:v>
      </x:c>
      <x:c r="M1702" t="str"/>
      <x:c r="N1702" t="str"/>
      <x:c r="O1702" t="str">
        <x:v>https://www.activesportstrade.co.uk/trade-pre-workout-supplements</x:v>
      </x:c>
      <x:c r="P1702" t="str">
        <x:v>Fresh current pre-workout page used; older Redcon1 brand crawl had Blue Lemonade, Rainbow Candy and Watermelon in stock.</x:v>
      </x:c>
      <x:c r="Q1702" t="str"/>
      <x:c r="R1702" t="str"/>
      <x:c r="S1702" t="str">
        <x:v>Pending genuine supplier/brand image</x:v>
      </x:c>
      <x:c r="T1702" s="54" t="n">
        <x:v>15.99</x:v>
      </x:c>
      <x:c r="U1702" s="47" t="n">
        <x:v>0.2</x:v>
      </x:c>
      <x:c r="V1702" s="54" t="n">
        <x:f>IF(ISNUMBER(T1702),T1702*(1+U1702),"")</x:f>
        <x:v>19.188</x:v>
      </x:c>
      <x:c r="W1702" s="47" t="n">
        <x:v>0.3</x:v>
      </x:c>
      <x:c r="X1702" s="54" t="n">
        <x:f>IF(ISNUMBER(V1702),V1702/(1-W1702),"")</x:f>
        <x:v>27.411428571428573</x:v>
      </x:c>
      <x:c r="Y1702" s="55" t="n">
        <x:f>IF(ISNUMBER(X1702),ROUNDUP(X1702,0),"")</x:f>
        <x:v>28</x:v>
      </x:c>
      <x:c r="Z1702" t="str">
        <x:v>Source match pending</x:v>
      </x:c>
      <x:c r="AA1702" t="str">
        <x:v>screencapture-www-activesportstrade-co-uk-redcon1-trade-2026-09-09-18_51_25.png / page-001</x:v>
      </x:c>
      <x:c r="AB1702" s="36" t="n">
        <x:f>IF(ISNUMBER(Y1702),ROUND(Y1702*0.9,2),"")</x:f>
        <x:v>25.2</x:v>
      </x:c>
      <x:c r="AC1702" s="36" t="n">
        <x:f>IF(ISNUMBER(AB1702),ROUND(AB1702-(AB1702*0.015+0.2)-V1702,2),"")</x:f>
        <x:v>5.43</x:v>
      </x:c>
      <x:c r="AD1702" s="36" t="n">
        <x:f>IF(ISNUMBER(Y1702),ROUND(Y1702*0.8,2),"")</x:f>
        <x:v>22.4</x:v>
      </x:c>
      <x:c r="AE1702" s="36" t="n">
        <x:f>IF(ISNUMBER(AD1702),ROUND(AD1702*0.015+0.2,2),"")</x:f>
        <x:v>0.54</x:v>
      </x:c>
      <x:c r="AF1702" s="36" t="n">
        <x:f>IF(ISNUMBER(AD1702),ROUND(AD1702-AE1702-V1702,2),"")</x:f>
        <x:v>2.67</x:v>
      </x:c>
      <x:c r="AG1702" t="str">
        <x:f>IF(NOT(ISNUMBER(T1702)),"PENDING",IF(AF1702&gt;0,"PASS","FAIL"))</x:f>
        <x:v>PASS</x:v>
      </x:c>
      <x:c r="AH1702" t="str">
        <x:f>IF(NOT(ISNUMBER(T1702)),"Needs supplier cost",IF(K1702&lt;&gt;"In stock","Supplier unavailable",IF(AG1702&lt;&gt;"PASS","BLOCK - GT loss risk","Commercially protected")))</x:f>
        <x:v>Commercially protected</x:v>
      </x:c>
      <x:c r="AI1702" t="str">
        <x:v>2026-09-10 Active Sports trade capture</x:v>
      </x:c>
      <x:c r="AJ1702" t="str">
        <x:v>Management-only economics. Stripe stress test uses 1.5% + £0.20 standard UK online-card fee; pallet/mix-and-match pricing ignored.</x:v>
      </x:c>
    </x:row>
    <x:row r="1703">
      <x:c r="A1703" t="str">
        <x:v>Active Sports Nutrition</x:v>
      </x:c>
      <x:c r="B1703" t="str">
        <x:v>Redcon1</x:v>
      </x:c>
      <x:c r="C1703" t="str">
        <x:v>Total War Pre Workout</x:v>
      </x:c>
      <x:c r="D1703" t="str">
        <x:v>Pre Workouts</x:v>
      </x:c>
      <x:c r="E1703" t="str">
        <x:v>High Stim</x:v>
      </x:c>
      <x:c r="F1703" t="str">
        <x:v>High-stimulant pre-workout.</x:v>
      </x:c>
      <x:c r="G1703" t="str">
        <x:v>30 servings</x:v>
      </x:c>
      <x:c r="H1703" t="str">
        <x:v>Strawberry Mango</x:v>
      </x:c>
      <x:c r="I1703" t="str"/>
      <x:c r="J1703" t="str">
        <x:v>Unit</x:v>
      </x:c>
      <x:c r="K1703" t="str">
        <x:v>In stock</x:v>
      </x:c>
      <x:c r="L1703" t="str">
        <x:v>2026-09-08</x:v>
      </x:c>
      <x:c r="M1703" t="str"/>
      <x:c r="N1703" t="str"/>
      <x:c r="O1703" t="str">
        <x:v>https://www.activesportstrade.co.uk/trade-pre-workout-supplements</x:v>
      </x:c>
      <x:c r="P1703" t="str">
        <x:v>Fresh current pre-workout page used; older Redcon1 brand crawl had Blue Lemonade, Rainbow Candy and Watermelon in stock.</x:v>
      </x:c>
      <x:c r="Q1703" t="str"/>
      <x:c r="R1703" t="str"/>
      <x:c r="S1703" t="str">
        <x:v>Pending genuine supplier/brand image</x:v>
      </x:c>
      <x:c r="T1703" s="54" t="n">
        <x:v>15.99</x:v>
      </x:c>
      <x:c r="U1703" s="47" t="n">
        <x:v>0.2</x:v>
      </x:c>
      <x:c r="V1703" s="54" t="n">
        <x:f>IF(ISNUMBER(T1703),T1703*(1+U1703),"")</x:f>
        <x:v>19.188</x:v>
      </x:c>
      <x:c r="W1703" s="47" t="n">
        <x:v>0.3</x:v>
      </x:c>
      <x:c r="X1703" s="54" t="n">
        <x:f>IF(ISNUMBER(V1703),V1703/(1-W1703),"")</x:f>
        <x:v>27.411428571428573</x:v>
      </x:c>
      <x:c r="Y1703" s="55" t="n">
        <x:f>IF(ISNUMBER(X1703),ROUNDUP(X1703,0),"")</x:f>
        <x:v>28</x:v>
      </x:c>
      <x:c r="Z1703" t="str">
        <x:v>Source match pending</x:v>
      </x:c>
      <x:c r="AA1703" t="str">
        <x:v>screencapture-www-activesportstrade-co-uk-redcon1-trade-2026-09-09-18_51_25.png / page-001</x:v>
      </x:c>
      <x:c r="AB1703" s="36" t="n">
        <x:f>IF(ISNUMBER(Y1703),ROUND(Y1703*0.9,2),"")</x:f>
        <x:v>25.2</x:v>
      </x:c>
      <x:c r="AC1703" s="36" t="n">
        <x:f>IF(ISNUMBER(AB1703),ROUND(AB1703-(AB1703*0.015+0.2)-V1703,2),"")</x:f>
        <x:v>5.43</x:v>
      </x:c>
      <x:c r="AD1703" s="36" t="n">
        <x:f>IF(ISNUMBER(Y1703),ROUND(Y1703*0.8,2),"")</x:f>
        <x:v>22.4</x:v>
      </x:c>
      <x:c r="AE1703" s="36" t="n">
        <x:f>IF(ISNUMBER(AD1703),ROUND(AD1703*0.015+0.2,2),"")</x:f>
        <x:v>0.54</x:v>
      </x:c>
      <x:c r="AF1703" s="36" t="n">
        <x:f>IF(ISNUMBER(AD1703),ROUND(AD1703-AE1703-V1703,2),"")</x:f>
        <x:v>2.67</x:v>
      </x:c>
      <x:c r="AG1703" t="str">
        <x:f>IF(NOT(ISNUMBER(T1703)),"PENDING",IF(AF1703&gt;0,"PASS","FAIL"))</x:f>
        <x:v>PASS</x:v>
      </x:c>
      <x:c r="AH1703" t="str">
        <x:f>IF(NOT(ISNUMBER(T1703)),"Needs supplier cost",IF(K1703&lt;&gt;"In stock","Supplier unavailable",IF(AG1703&lt;&gt;"PASS","BLOCK - GT loss risk","Commercially protected")))</x:f>
        <x:v>Commercially protected</x:v>
      </x:c>
      <x:c r="AI1703" t="str">
        <x:v>2026-09-10 Active Sports trade capture</x:v>
      </x:c>
      <x:c r="AJ1703" t="str">
        <x:v>Management-only economics. Stripe stress test uses 1.5% + £0.20 standard UK online-card fee; pallet/mix-and-match pricing ignored.</x:v>
      </x:c>
    </x:row>
    <x:row r="1704">
      <x:c r="A1704" t="str">
        <x:v>Active Sports Nutrition</x:v>
      </x:c>
      <x:c r="B1704" t="str">
        <x:v>Redcon1</x:v>
      </x:c>
      <x:c r="C1704" t="str">
        <x:v>Total War Pre Workout</x:v>
      </x:c>
      <x:c r="D1704" t="str">
        <x:v>Pre Workouts</x:v>
      </x:c>
      <x:c r="E1704" t="str">
        <x:v>High Stim</x:v>
      </x:c>
      <x:c r="F1704" t="str">
        <x:v>High-stimulant pre-workout.</x:v>
      </x:c>
      <x:c r="G1704" t="str">
        <x:v>30 servings</x:v>
      </x:c>
      <x:c r="H1704" t="str">
        <x:v>Tigers Blood</x:v>
      </x:c>
      <x:c r="I1704" t="str"/>
      <x:c r="J1704" t="str">
        <x:v>Unit</x:v>
      </x:c>
      <x:c r="K1704" t="str">
        <x:v>Out of stock</x:v>
      </x:c>
      <x:c r="L1704" t="str">
        <x:v>2026-09-08</x:v>
      </x:c>
      <x:c r="M1704" t="str"/>
      <x:c r="N1704" t="str"/>
      <x:c r="O1704" t="str">
        <x:v>https://www.activesportstrade.co.uk/trade-pre-workout-supplements</x:v>
      </x:c>
      <x:c r="P1704" t="str">
        <x:v>Fresh current pre-workout page used; older Redcon1 brand crawl had Blue Lemonade, Rainbow Candy and Watermelon in stock.</x:v>
      </x:c>
      <x:c r="Q1704" t="str"/>
      <x:c r="R1704" t="str"/>
      <x:c r="S1704" t="str">
        <x:v>Pending genuine supplier/brand image</x:v>
      </x:c>
      <x:c r="T1704" s="54" t="n">
        <x:v>15.99</x:v>
      </x:c>
      <x:c r="U1704" s="47" t="n">
        <x:v>0.2</x:v>
      </x:c>
      <x:c r="V1704" s="54" t="n">
        <x:f>IF(ISNUMBER(T1704),T1704*(1+U1704),"")</x:f>
        <x:v>19.188</x:v>
      </x:c>
      <x:c r="W1704" s="47" t="n">
        <x:v>0.3</x:v>
      </x:c>
      <x:c r="X1704" s="54" t="n">
        <x:f>IF(ISNUMBER(V1704),V1704/(1-W1704),"")</x:f>
        <x:v>27.411428571428573</x:v>
      </x:c>
      <x:c r="Y1704" s="55" t="n">
        <x:f>IF(ISNUMBER(X1704),ROUNDUP(X1704,0),"")</x:f>
        <x:v>28</x:v>
      </x:c>
      <x:c r="Z1704" t="str">
        <x:v>Source match pending</x:v>
      </x:c>
      <x:c r="AA1704" t="str">
        <x:v>screencapture-www-activesportstrade-co-uk-redcon1-trade-2026-09-09-18_51_25.png / page-001</x:v>
      </x:c>
      <x:c r="AB1704" s="36" t="n">
        <x:f>IF(ISNUMBER(Y1704),ROUND(Y1704*0.9,2),"")</x:f>
        <x:v>25.2</x:v>
      </x:c>
      <x:c r="AC1704" s="36" t="n">
        <x:f>IF(ISNUMBER(AB1704),ROUND(AB1704-(AB1704*0.015+0.2)-V1704,2),"")</x:f>
        <x:v>5.43</x:v>
      </x:c>
      <x:c r="AD1704" s="36" t="n">
        <x:f>IF(ISNUMBER(Y1704),ROUND(Y1704*0.8,2),"")</x:f>
        <x:v>22.4</x:v>
      </x:c>
      <x:c r="AE1704" s="36" t="n">
        <x:f>IF(ISNUMBER(AD1704),ROUND(AD1704*0.015+0.2,2),"")</x:f>
        <x:v>0.54</x:v>
      </x:c>
      <x:c r="AF1704" s="36" t="n">
        <x:f>IF(ISNUMBER(AD1704),ROUND(AD1704-AE1704-V1704,2),"")</x:f>
        <x:v>2.67</x:v>
      </x:c>
      <x:c r="AG1704" t="str">
        <x:f>IF(NOT(ISNUMBER(T1704)),"PENDING",IF(AF1704&gt;0,"PASS","FAIL"))</x:f>
        <x:v>PASS</x:v>
      </x:c>
      <x:c r="AH1704" t="str">
        <x:f>IF(NOT(ISNUMBER(T1704)),"Needs supplier cost",IF(K1704&lt;&gt;"In stock","Supplier unavailable",IF(AG1704&lt;&gt;"PASS","BLOCK - GT loss risk","Commercially protected")))</x:f>
        <x:v>Supplier unavailable</x:v>
      </x:c>
      <x:c r="AI1704" t="str">
        <x:v>2026-09-10 Active Sports trade capture</x:v>
      </x:c>
      <x:c r="AJ1704" t="str">
        <x:v>Management-only economics. Stripe stress test uses 1.5% + £0.20 standard UK online-card fee; pallet/mix-and-match pricing ignored.</x:v>
      </x:c>
    </x:row>
    <x:row r="1705">
      <x:c r="A1705" t="str">
        <x:v>Active Sports Nutrition</x:v>
      </x:c>
      <x:c r="B1705" t="str">
        <x:v>Redcon1</x:v>
      </x:c>
      <x:c r="C1705" t="str">
        <x:v>Total War Pre Workout</x:v>
      </x:c>
      <x:c r="D1705" t="str">
        <x:v>Pre Workouts</x:v>
      </x:c>
      <x:c r="E1705" t="str">
        <x:v>High Stim</x:v>
      </x:c>
      <x:c r="F1705" t="str">
        <x:v>High-stimulant pre-workout.</x:v>
      </x:c>
      <x:c r="G1705" t="str">
        <x:v>30 servings</x:v>
      </x:c>
      <x:c r="H1705" t="str">
        <x:v>Watermelon</x:v>
      </x:c>
      <x:c r="I1705" t="str"/>
      <x:c r="J1705" t="str">
        <x:v>Unit</x:v>
      </x:c>
      <x:c r="K1705" t="str">
        <x:v>Out of stock</x:v>
      </x:c>
      <x:c r="L1705" t="str">
        <x:v>2026-09-08</x:v>
      </x:c>
      <x:c r="M1705" t="str"/>
      <x:c r="N1705" t="str"/>
      <x:c r="O1705" t="str">
        <x:v>https://www.activesportstrade.co.uk/trade-pre-workout-supplements</x:v>
      </x:c>
      <x:c r="P1705" t="str">
        <x:v>Fresh current pre-workout page used; older Redcon1 brand crawl had Blue Lemonade, Rainbow Candy and Watermelon in stock.</x:v>
      </x:c>
      <x:c r="Q1705" t="str"/>
      <x:c r="R1705" t="str"/>
      <x:c r="S1705" t="str">
        <x:v>Pending genuine supplier/brand image</x:v>
      </x:c>
      <x:c r="T1705" s="54" t="n">
        <x:v>15.99</x:v>
      </x:c>
      <x:c r="U1705" s="47" t="n">
        <x:v>0.2</x:v>
      </x:c>
      <x:c r="V1705" s="54" t="n">
        <x:f>IF(ISNUMBER(T1705),T1705*(1+U1705),"")</x:f>
        <x:v>19.188</x:v>
      </x:c>
      <x:c r="W1705" s="47" t="n">
        <x:v>0.3</x:v>
      </x:c>
      <x:c r="X1705" s="54" t="n">
        <x:f>IF(ISNUMBER(V1705),V1705/(1-W1705),"")</x:f>
        <x:v>27.411428571428573</x:v>
      </x:c>
      <x:c r="Y1705" s="55" t="n">
        <x:f>IF(ISNUMBER(X1705),ROUNDUP(X1705,0),"")</x:f>
        <x:v>28</x:v>
      </x:c>
      <x:c r="Z1705" t="str">
        <x:v>Source match pending</x:v>
      </x:c>
      <x:c r="AA1705" t="str">
        <x:v>screencapture-www-activesportstrade-co-uk-redcon1-trade-2026-09-09-18_51_25.png / page-001</x:v>
      </x:c>
      <x:c r="AB1705" s="36" t="n">
        <x:f>IF(ISNUMBER(Y1705),ROUND(Y1705*0.9,2),"")</x:f>
        <x:v>25.2</x:v>
      </x:c>
      <x:c r="AC1705" s="36" t="n">
        <x:f>IF(ISNUMBER(AB1705),ROUND(AB1705-(AB1705*0.015+0.2)-V1705,2),"")</x:f>
        <x:v>5.43</x:v>
      </x:c>
      <x:c r="AD1705" s="36" t="n">
        <x:f>IF(ISNUMBER(Y1705),ROUND(Y1705*0.8,2),"")</x:f>
        <x:v>22.4</x:v>
      </x:c>
      <x:c r="AE1705" s="36" t="n">
        <x:f>IF(ISNUMBER(AD1705),ROUND(AD1705*0.015+0.2,2),"")</x:f>
        <x:v>0.54</x:v>
      </x:c>
      <x:c r="AF1705" s="36" t="n">
        <x:f>IF(ISNUMBER(AD1705),ROUND(AD1705-AE1705-V1705,2),"")</x:f>
        <x:v>2.67</x:v>
      </x:c>
      <x:c r="AG1705" t="str">
        <x:f>IF(NOT(ISNUMBER(T1705)),"PENDING",IF(AF1705&gt;0,"PASS","FAIL"))</x:f>
        <x:v>PASS</x:v>
      </x:c>
      <x:c r="AH1705" t="str">
        <x:f>IF(NOT(ISNUMBER(T1705)),"Needs supplier cost",IF(K1705&lt;&gt;"In stock","Supplier unavailable",IF(AG1705&lt;&gt;"PASS","BLOCK - GT loss risk","Commercially protected")))</x:f>
        <x:v>Supplier unavailable</x:v>
      </x:c>
      <x:c r="AI1705" t="str">
        <x:v>2026-09-10 Active Sports trade capture</x:v>
      </x:c>
      <x:c r="AJ1705" t="str">
        <x:v>Management-only economics. Stripe stress test uses 1.5% + £0.20 standard UK online-card fee; pallet/mix-and-match pricing ignored.</x:v>
      </x:c>
    </x:row>
    <x:row r="1706">
      <x:c r="A1706" t="str">
        <x:v>Active Sports Nutrition</x:v>
      </x:c>
      <x:c r="B1706" t="str">
        <x:v>QNT</x:v>
      </x:c>
      <x:c r="C1706" t="str">
        <x:v>Carbo Load RTD</x:v>
      </x:c>
      <x:c r="D1706" t="str">
        <x:v>Drinks and Bars</x:v>
      </x:c>
      <x:c r="E1706" t="str">
        <x:v>Ready to Drink Carbs</x:v>
      </x:c>
      <x:c r="F1706" t="str"/>
      <x:c r="G1706" t="str">
        <x:v>12 x 700ml bottles</x:v>
      </x:c>
      <x:c r="H1706" t="str">
        <x:v>Lemon Lime</x:v>
      </x:c>
      <x:c r="I1706" t="str">
        <x:v>12</x:v>
      </x:c>
      <x:c r="J1706" t="str">
        <x:v>Case</x:v>
      </x:c>
      <x:c r="K1706" t="str">
        <x:v>In stock</x:v>
      </x:c>
      <x:c r="L1706" t="str">
        <x:v>2026-09-08</x:v>
      </x:c>
      <x:c r="M1706" t="str"/>
      <x:c r="N1706" t="str"/>
      <x:c r="O1706" t="str">
        <x:v>https://www.activesportstrade.co.uk/trade-sports-supplements/qnt-trade</x:v>
      </x:c>
      <x:c r="P1706" t="str">
        <x:v>PALLET PROMO pricing/minimum-order boilerplate excluded. Case-only member order.</x:v>
      </x:c>
      <x:c r="Q1706" t="str"/>
      <x:c r="R1706" t="str"/>
      <x:c r="S1706" t="str">
        <x:v>Pending genuine supplier/brand image</x:v>
      </x:c>
      <x:c r="T1706" s="54" t="n">
        <x:v>11.99</x:v>
      </x:c>
      <x:c r="U1706" s="47" t="n">
        <x:v>0.2</x:v>
      </x:c>
      <x:c r="V1706" s="54" t="n">
        <x:f>IF(ISNUMBER(T1706),T1706*(1+U1706),"")</x:f>
        <x:v>14.388</x:v>
      </x:c>
      <x:c r="W1706" s="47" t="n">
        <x:v>0.3</x:v>
      </x:c>
      <x:c r="X1706" s="54" t="n">
        <x:f>IF(ISNUMBER(V1706),V1706/(1-W1706),"")</x:f>
        <x:v>20.554285714285715</x:v>
      </x:c>
      <x:c r="Y1706" s="55" t="n">
        <x:f>IF(ISNUMBER(X1706),ROUNDUP(X1706,0),"")</x:f>
        <x:v>21</x:v>
      </x:c>
      <x:c r="Z1706" t="str">
        <x:v>Source match pending</x:v>
      </x:c>
      <x:c r="AA1706" t="str">
        <x:v>screencapture-www-activesportstrade-co-uk-qnt-trade-2026-09-09-18_50_30.png / page-001</x:v>
      </x:c>
      <x:c r="AB1706" s="36" t="n">
        <x:f>IF(ISNUMBER(Y1706),ROUND(Y1706*0.9,2),"")</x:f>
        <x:v>18.9</x:v>
      </x:c>
      <x:c r="AC1706" s="36" t="n">
        <x:f>IF(ISNUMBER(AB1706),ROUND(AB1706-(AB1706*0.015+0.2)-V1706,2),"")</x:f>
        <x:v>4.03</x:v>
      </x:c>
      <x:c r="AD1706" s="36" t="n">
        <x:f>IF(ISNUMBER(Y1706),ROUND(Y1706*0.8,2),"")</x:f>
        <x:v>16.8</x:v>
      </x:c>
      <x:c r="AE1706" s="36" t="n">
        <x:f>IF(ISNUMBER(AD1706),ROUND(AD1706*0.015+0.2,2),"")</x:f>
        <x:v>0.45</x:v>
      </x:c>
      <x:c r="AF1706" s="36" t="n">
        <x:f>IF(ISNUMBER(AD1706),ROUND(AD1706-AE1706-V1706,2),"")</x:f>
        <x:v>1.96</x:v>
      </x:c>
      <x:c r="AG1706" t="str">
        <x:f>IF(NOT(ISNUMBER(T1706)),"PENDING",IF(AF1706&gt;0,"PASS","FAIL"))</x:f>
        <x:v>PASS</x:v>
      </x:c>
      <x:c r="AH1706" t="str">
        <x:f>IF(NOT(ISNUMBER(T1706)),"Needs supplier cost",IF(K1706&lt;&gt;"In stock","Supplier unavailable",IF(AG1706&lt;&gt;"PASS","BLOCK - GT loss risk","Commercially protected")))</x:f>
        <x:v>Commercially protected</x:v>
      </x:c>
      <x:c r="AI1706" t="str">
        <x:v>2026-09-10 Active Sports trade capture</x:v>
      </x:c>
      <x:c r="AJ1706" t="str">
        <x:v>Management-only economics. Stripe stress test uses 1.5% + £0.20 standard UK online-card fee; pallet/mix-and-match pricing ignored.</x:v>
      </x:c>
    </x:row>
    <x:row r="1707">
      <x:c r="A1707" t="str">
        <x:v>Active Sports Nutrition</x:v>
      </x:c>
      <x:c r="B1707" t="str">
        <x:v>QNT</x:v>
      </x:c>
      <x:c r="C1707" t="str">
        <x:v>Carbo Load RTD</x:v>
      </x:c>
      <x:c r="D1707" t="str">
        <x:v>Drinks and Bars</x:v>
      </x:c>
      <x:c r="E1707" t="str">
        <x:v>Ready to Drink Carbs</x:v>
      </x:c>
      <x:c r="F1707" t="str"/>
      <x:c r="G1707" t="str">
        <x:v>12 x 700ml bottles</x:v>
      </x:c>
      <x:c r="H1707" t="str">
        <x:v>Super Fruit</x:v>
      </x:c>
      <x:c r="I1707" t="str">
        <x:v>12</x:v>
      </x:c>
      <x:c r="J1707" t="str">
        <x:v>Case</x:v>
      </x:c>
      <x:c r="K1707" t="str">
        <x:v>In stock</x:v>
      </x:c>
      <x:c r="L1707" t="str">
        <x:v>2026-09-08</x:v>
      </x:c>
      <x:c r="M1707" t="str"/>
      <x:c r="N1707" t="str"/>
      <x:c r="O1707" t="str">
        <x:v>https://www.activesportstrade.co.uk/trade-sports-supplements/qnt-trade</x:v>
      </x:c>
      <x:c r="P1707" t="str">
        <x:v>PALLET PROMO pricing/minimum-order boilerplate excluded. Case-only member order.</x:v>
      </x:c>
      <x:c r="Q1707" t="str"/>
      <x:c r="R1707" t="str"/>
      <x:c r="S1707" t="str">
        <x:v>Pending genuine supplier/brand image</x:v>
      </x:c>
      <x:c r="T1707" s="54" t="n">
        <x:v>11.99</x:v>
      </x:c>
      <x:c r="U1707" s="47" t="n">
        <x:v>0.2</x:v>
      </x:c>
      <x:c r="V1707" s="54" t="n">
        <x:f>IF(ISNUMBER(T1707),T1707*(1+U1707),"")</x:f>
        <x:v>14.388</x:v>
      </x:c>
      <x:c r="W1707" s="47" t="n">
        <x:v>0.3</x:v>
      </x:c>
      <x:c r="X1707" s="54" t="n">
        <x:f>IF(ISNUMBER(V1707),V1707/(1-W1707),"")</x:f>
        <x:v>20.554285714285715</x:v>
      </x:c>
      <x:c r="Y1707" s="55" t="n">
        <x:f>IF(ISNUMBER(X1707),ROUNDUP(X1707,0),"")</x:f>
        <x:v>21</x:v>
      </x:c>
      <x:c r="Z1707" t="str">
        <x:v>Source match pending</x:v>
      </x:c>
      <x:c r="AA1707" t="str">
        <x:v>screencapture-www-activesportstrade-co-uk-qnt-trade-2026-09-09-18_50_30.png / page-001</x:v>
      </x:c>
      <x:c r="AB1707" s="36" t="n">
        <x:f>IF(ISNUMBER(Y1707),ROUND(Y1707*0.9,2),"")</x:f>
        <x:v>18.9</x:v>
      </x:c>
      <x:c r="AC1707" s="36" t="n">
        <x:f>IF(ISNUMBER(AB1707),ROUND(AB1707-(AB1707*0.015+0.2)-V1707,2),"")</x:f>
        <x:v>4.03</x:v>
      </x:c>
      <x:c r="AD1707" s="36" t="n">
        <x:f>IF(ISNUMBER(Y1707),ROUND(Y1707*0.8,2),"")</x:f>
        <x:v>16.8</x:v>
      </x:c>
      <x:c r="AE1707" s="36" t="n">
        <x:f>IF(ISNUMBER(AD1707),ROUND(AD1707*0.015+0.2,2),"")</x:f>
        <x:v>0.45</x:v>
      </x:c>
      <x:c r="AF1707" s="36" t="n">
        <x:f>IF(ISNUMBER(AD1707),ROUND(AD1707-AE1707-V1707,2),"")</x:f>
        <x:v>1.96</x:v>
      </x:c>
      <x:c r="AG1707" t="str">
        <x:f>IF(NOT(ISNUMBER(T1707)),"PENDING",IF(AF1707&gt;0,"PASS","FAIL"))</x:f>
        <x:v>PASS</x:v>
      </x:c>
      <x:c r="AH1707" t="str">
        <x:f>IF(NOT(ISNUMBER(T1707)),"Needs supplier cost",IF(K1707&lt;&gt;"In stock","Supplier unavailable",IF(AG1707&lt;&gt;"PASS","BLOCK - GT loss risk","Commercially protected")))</x:f>
        <x:v>Commercially protected</x:v>
      </x:c>
      <x:c r="AI1707" t="str">
        <x:v>2026-09-10 Active Sports trade capture</x:v>
      </x:c>
      <x:c r="AJ1707" t="str">
        <x:v>Management-only economics. Stripe stress test uses 1.5% + £0.20 standard UK online-card fee; pallet/mix-and-match pricing ignored.</x:v>
      </x:c>
    </x:row>
    <x:row r="1708">
      <x:c r="A1708" t="str">
        <x:v>Active Sports Nutrition</x:v>
      </x:c>
      <x:c r="B1708" t="str">
        <x:v>Scitec Nutrition</x:v>
      </x:c>
      <x:c r="C1708" t="str">
        <x:v>100% Casein Complex</x:v>
      </x:c>
      <x:c r="D1708" t="str">
        <x:v>Supplements</x:v>
      </x:c>
      <x:c r="E1708" t="str">
        <x:v>Casein Protein</x:v>
      </x:c>
      <x:c r="F1708" t="str"/>
      <x:c r="G1708" t="str">
        <x:v>2350g</x:v>
      </x:c>
      <x:c r="H1708" t="str">
        <x:v>Belgian Chocolate</x:v>
      </x:c>
      <x:c r="I1708" t="str"/>
      <x:c r="J1708" t="str">
        <x:v>Unit</x:v>
      </x:c>
      <x:c r="K1708" t="str">
        <x:v>In stock</x:v>
      </x:c>
      <x:c r="L1708" t="str">
        <x:v>2026-09-08</x:v>
      </x:c>
      <x:c r="M1708" t="str"/>
      <x:c r="N1708" t="str"/>
      <x:c r="O1708" t="str">
        <x:v>https://www.activesportstrade.co.uk/scitec-nutrition-trade</x:v>
      </x:c>
      <x:c r="P1708" t="str"/>
      <x:c r="Q1708" t="str"/>
      <x:c r="R1708" t="str"/>
      <x:c r="S1708" t="str">
        <x:v>Pending genuine supplier/brand image</x:v>
      </x:c>
      <x:c r="T1708" s="54" t="n">
        <x:v>51.99</x:v>
      </x:c>
      <x:c r="U1708" s="47" t="n">
        <x:v>0.2</x:v>
      </x:c>
      <x:c r="V1708" s="54" t="n">
        <x:f>IF(ISNUMBER(T1708),T1708*(1+U1708),"")</x:f>
        <x:v>62.388</x:v>
      </x:c>
      <x:c r="W1708" s="47" t="n">
        <x:v>0.3</x:v>
      </x:c>
      <x:c r="X1708" s="54" t="n">
        <x:f>IF(ISNUMBER(V1708),V1708/(1-W1708),"")</x:f>
        <x:v>89.1257142857143</x:v>
      </x:c>
      <x:c r="Y1708" s="55" t="n">
        <x:f>IF(ISNUMBER(X1708),ROUNDUP(X1708,0),"")</x:f>
        <x:v>90</x:v>
      </x:c>
      <x:c r="Z1708" t="str">
        <x:v>Source match pending</x:v>
      </x:c>
      <x:c r="AA1708" t="str">
        <x:v>screencapture-www-activesportstrade-co-uk-scitec-nutrition-trade-2026-09-10-09_07_50.pdf / page-1</x:v>
      </x:c>
      <x:c r="AB1708" s="36" t="n">
        <x:f>IF(ISNUMBER(Y1708),ROUND(Y1708*0.9,2),"")</x:f>
        <x:v>81</x:v>
      </x:c>
      <x:c r="AC1708" s="36" t="n">
        <x:f>IF(ISNUMBER(AB1708),ROUND(AB1708-(AB1708*0.015+0.2)-V1708,2),"")</x:f>
        <x:v>17.2</x:v>
      </x:c>
      <x:c r="AD1708" s="36" t="n">
        <x:f>IF(ISNUMBER(Y1708),ROUND(Y1708*0.8,2),"")</x:f>
        <x:v>72</x:v>
      </x:c>
      <x:c r="AE1708" s="36" t="n">
        <x:f>IF(ISNUMBER(AD1708),ROUND(AD1708*0.015+0.2,2),"")</x:f>
        <x:v>1.28</x:v>
      </x:c>
      <x:c r="AF1708" s="36" t="n">
        <x:f>IF(ISNUMBER(AD1708),ROUND(AD1708-AE1708-V1708,2),"")</x:f>
        <x:v>8.33</x:v>
      </x:c>
      <x:c r="AG1708" t="str">
        <x:f>IF(NOT(ISNUMBER(T1708)),"PENDING",IF(AF1708&gt;0,"PASS","FAIL"))</x:f>
        <x:v>PASS</x:v>
      </x:c>
      <x:c r="AH1708" t="str">
        <x:f>IF(NOT(ISNUMBER(T1708)),"Needs supplier cost",IF(K1708&lt;&gt;"In stock","Supplier unavailable",IF(AG1708&lt;&gt;"PASS","BLOCK - GT loss risk","Commercially protected")))</x:f>
        <x:v>Commercially protected</x:v>
      </x:c>
      <x:c r="AI1708" t="str">
        <x:v>2026-09-10 Active Sports trade capture</x:v>
      </x:c>
      <x:c r="AJ1708" t="str">
        <x:v>Management-only economics. Stripe stress test uses 1.5% + £0.20 standard UK online-card fee; pallet/mix-and-match pricing ignored.</x:v>
      </x:c>
    </x:row>
    <x:row r="1709">
      <x:c r="A1709" t="str">
        <x:v>Active Sports Nutrition</x:v>
      </x:c>
      <x:c r="B1709" t="str">
        <x:v>Scitec Nutrition</x:v>
      </x:c>
      <x:c r="C1709" t="str">
        <x:v>100% Casein Complex</x:v>
      </x:c>
      <x:c r="D1709" t="str">
        <x:v>Supplements</x:v>
      </x:c>
      <x:c r="E1709" t="str">
        <x:v>Casein Protein</x:v>
      </x:c>
      <x:c r="F1709" t="str"/>
      <x:c r="G1709" t="str">
        <x:v>2350g</x:v>
      </x:c>
      <x:c r="H1709" t="str">
        <x:v>Vanilla</x:v>
      </x:c>
      <x:c r="I1709" t="str"/>
      <x:c r="J1709" t="str">
        <x:v>Unit</x:v>
      </x:c>
      <x:c r="K1709" t="str">
        <x:v>In stock</x:v>
      </x:c>
      <x:c r="L1709" t="str">
        <x:v>2026-09-08</x:v>
      </x:c>
      <x:c r="M1709" t="str"/>
      <x:c r="N1709" t="str"/>
      <x:c r="O1709" t="str">
        <x:v>https://www.activesportstrade.co.uk/scitec-nutrition-trade</x:v>
      </x:c>
      <x:c r="P1709" t="str"/>
      <x:c r="Q1709" t="str"/>
      <x:c r="R1709" t="str"/>
      <x:c r="S1709" t="str">
        <x:v>Pending genuine supplier/brand image</x:v>
      </x:c>
      <x:c r="T1709" s="54" t="n">
        <x:v>51.99</x:v>
      </x:c>
      <x:c r="U1709" s="47" t="n">
        <x:v>0.2</x:v>
      </x:c>
      <x:c r="V1709" s="54" t="n">
        <x:f>IF(ISNUMBER(T1709),T1709*(1+U1709),"")</x:f>
        <x:v>62.388</x:v>
      </x:c>
      <x:c r="W1709" s="47" t="n">
        <x:v>0.3</x:v>
      </x:c>
      <x:c r="X1709" s="54" t="n">
        <x:f>IF(ISNUMBER(V1709),V1709/(1-W1709),"")</x:f>
        <x:v>89.1257142857143</x:v>
      </x:c>
      <x:c r="Y1709" s="55" t="n">
        <x:f>IF(ISNUMBER(X1709),ROUNDUP(X1709,0),"")</x:f>
        <x:v>90</x:v>
      </x:c>
      <x:c r="Z1709" t="str">
        <x:v>Source match pending</x:v>
      </x:c>
      <x:c r="AA1709" t="str">
        <x:v>screencapture-www-activesportstrade-co-uk-scitec-nutrition-trade-2026-09-10-09_07_50.pdf / page-1</x:v>
      </x:c>
      <x:c r="AB1709" s="36" t="n">
        <x:f>IF(ISNUMBER(Y1709),ROUND(Y1709*0.9,2),"")</x:f>
        <x:v>81</x:v>
      </x:c>
      <x:c r="AC1709" s="36" t="n">
        <x:f>IF(ISNUMBER(AB1709),ROUND(AB1709-(AB1709*0.015+0.2)-V1709,2),"")</x:f>
        <x:v>17.2</x:v>
      </x:c>
      <x:c r="AD1709" s="36" t="n">
        <x:f>IF(ISNUMBER(Y1709),ROUND(Y1709*0.8,2),"")</x:f>
        <x:v>72</x:v>
      </x:c>
      <x:c r="AE1709" s="36" t="n">
        <x:f>IF(ISNUMBER(AD1709),ROUND(AD1709*0.015+0.2,2),"")</x:f>
        <x:v>1.28</x:v>
      </x:c>
      <x:c r="AF1709" s="36" t="n">
        <x:f>IF(ISNUMBER(AD1709),ROUND(AD1709-AE1709-V1709,2),"")</x:f>
        <x:v>8.33</x:v>
      </x:c>
      <x:c r="AG1709" t="str">
        <x:f>IF(NOT(ISNUMBER(T1709)),"PENDING",IF(AF1709&gt;0,"PASS","FAIL"))</x:f>
        <x:v>PASS</x:v>
      </x:c>
      <x:c r="AH1709" t="str">
        <x:f>IF(NOT(ISNUMBER(T1709)),"Needs supplier cost",IF(K1709&lt;&gt;"In stock","Supplier unavailable",IF(AG1709&lt;&gt;"PASS","BLOCK - GT loss risk","Commercially protected")))</x:f>
        <x:v>Commercially protected</x:v>
      </x:c>
      <x:c r="AI1709" t="str">
        <x:v>2026-09-10 Active Sports trade capture</x:v>
      </x:c>
      <x:c r="AJ1709" t="str">
        <x:v>Management-only economics. Stripe stress test uses 1.5% + £0.20 standard UK online-card fee; pallet/mix-and-match pricing ignored.</x:v>
      </x:c>
    </x:row>
    <x:row r="1710">
      <x:c r="A1710" t="str">
        <x:v>Active Sports Nutrition</x:v>
      </x:c>
      <x:c r="B1710" t="str">
        <x:v>Scitec Nutrition</x:v>
      </x:c>
      <x:c r="C1710" t="str">
        <x:v>100% Casein Complex</x:v>
      </x:c>
      <x:c r="D1710" t="str">
        <x:v>Supplements</x:v>
      </x:c>
      <x:c r="E1710" t="str">
        <x:v>Casein Protein</x:v>
      </x:c>
      <x:c r="F1710" t="str"/>
      <x:c r="G1710" t="str">
        <x:v>920g</x:v>
      </x:c>
      <x:c r="H1710" t="str">
        <x:v>Belgian Chocolate</x:v>
      </x:c>
      <x:c r="I1710" t="str"/>
      <x:c r="J1710" t="str">
        <x:v>Unit</x:v>
      </x:c>
      <x:c r="K1710" t="str">
        <x:v>In stock</x:v>
      </x:c>
      <x:c r="L1710" t="str">
        <x:v>2026-09-08</x:v>
      </x:c>
      <x:c r="M1710" t="str"/>
      <x:c r="N1710" t="str"/>
      <x:c r="O1710" t="str">
        <x:v>https://www.activesportstrade.co.uk/scitec-nutrition-trade</x:v>
      </x:c>
      <x:c r="P1710" t="str"/>
      <x:c r="Q1710" t="str"/>
      <x:c r="R1710" t="str"/>
      <x:c r="S1710" t="str">
        <x:v>Pending genuine supplier/brand image</x:v>
      </x:c>
      <x:c r="T1710" s="54" t="n">
        <x:v>23.99</x:v>
      </x:c>
      <x:c r="U1710" s="47" t="n">
        <x:v>0.2</x:v>
      </x:c>
      <x:c r="V1710" s="54" t="n">
        <x:f>IF(ISNUMBER(T1710),T1710*(1+U1710),"")</x:f>
        <x:v>28.787999999999997</x:v>
      </x:c>
      <x:c r="W1710" s="47" t="n">
        <x:v>0.3</x:v>
      </x:c>
      <x:c r="X1710" s="54" t="n">
        <x:f>IF(ISNUMBER(V1710),V1710/(1-W1710),"")</x:f>
        <x:v>41.12571428571428</x:v>
      </x:c>
      <x:c r="Y1710" s="55" t="n">
        <x:f>IF(ISNUMBER(X1710),ROUNDUP(X1710,0),"")</x:f>
        <x:v>42</x:v>
      </x:c>
      <x:c r="Z1710" t="str">
        <x:v>Source match pending</x:v>
      </x:c>
      <x:c r="AA1710" t="str">
        <x:v>screencapture-www-activesportstrade-co-uk-scitec-nutrition-trade-2026-09-10-09_07_50.pdf / page-1</x:v>
      </x:c>
      <x:c r="AB1710" s="36" t="n">
        <x:f>IF(ISNUMBER(Y1710),ROUND(Y1710*0.9,2),"")</x:f>
        <x:v>37.8</x:v>
      </x:c>
      <x:c r="AC1710" s="36" t="n">
        <x:f>IF(ISNUMBER(AB1710),ROUND(AB1710-(AB1710*0.015+0.2)-V1710,2),"")</x:f>
        <x:v>8.24</x:v>
      </x:c>
      <x:c r="AD1710" s="36" t="n">
        <x:f>IF(ISNUMBER(Y1710),ROUND(Y1710*0.8,2),"")</x:f>
        <x:v>33.6</x:v>
      </x:c>
      <x:c r="AE1710" s="36" t="n">
        <x:f>IF(ISNUMBER(AD1710),ROUND(AD1710*0.015+0.2,2),"")</x:f>
        <x:v>0.7</x:v>
      </x:c>
      <x:c r="AF1710" s="36" t="n">
        <x:f>IF(ISNUMBER(AD1710),ROUND(AD1710-AE1710-V1710,2),"")</x:f>
        <x:v>4.11</x:v>
      </x:c>
      <x:c r="AG1710" t="str">
        <x:f>IF(NOT(ISNUMBER(T1710)),"PENDING",IF(AF1710&gt;0,"PASS","FAIL"))</x:f>
        <x:v>PASS</x:v>
      </x:c>
      <x:c r="AH1710" t="str">
        <x:f>IF(NOT(ISNUMBER(T1710)),"Needs supplier cost",IF(K1710&lt;&gt;"In stock","Supplier unavailable",IF(AG1710&lt;&gt;"PASS","BLOCK - GT loss risk","Commercially protected")))</x:f>
        <x:v>Commercially protected</x:v>
      </x:c>
      <x:c r="AI1710" t="str">
        <x:v>2026-09-10 Active Sports trade capture</x:v>
      </x:c>
      <x:c r="AJ1710" t="str">
        <x:v>Management-only economics. Stripe stress test uses 1.5% + £0.20 standard UK online-card fee; pallet/mix-and-match pricing ignored.</x:v>
      </x:c>
    </x:row>
    <x:row r="1711">
      <x:c r="A1711" t="str">
        <x:v>Active Sports Nutrition</x:v>
      </x:c>
      <x:c r="B1711" t="str">
        <x:v>Scitec Nutrition</x:v>
      </x:c>
      <x:c r="C1711" t="str">
        <x:v>100% Casein Complex</x:v>
      </x:c>
      <x:c r="D1711" t="str">
        <x:v>Supplements</x:v>
      </x:c>
      <x:c r="E1711" t="str">
        <x:v>Casein Protein</x:v>
      </x:c>
      <x:c r="F1711" t="str"/>
      <x:c r="G1711" t="str">
        <x:v>920g</x:v>
      </x:c>
      <x:c r="H1711" t="str">
        <x:v>Vanilla</x:v>
      </x:c>
      <x:c r="I1711" t="str"/>
      <x:c r="J1711" t="str">
        <x:v>Unit</x:v>
      </x:c>
      <x:c r="K1711" t="str">
        <x:v>In stock</x:v>
      </x:c>
      <x:c r="L1711" t="str">
        <x:v>2026-09-08</x:v>
      </x:c>
      <x:c r="M1711" t="str"/>
      <x:c r="N1711" t="str"/>
      <x:c r="O1711" t="str">
        <x:v>https://www.activesportstrade.co.uk/scitec-nutrition-trade</x:v>
      </x:c>
      <x:c r="P1711" t="str"/>
      <x:c r="Q1711" t="str"/>
      <x:c r="R1711" t="str"/>
      <x:c r="S1711" t="str">
        <x:v>Pending genuine supplier/brand image</x:v>
      </x:c>
      <x:c r="T1711" s="54" t="n">
        <x:v>23.99</x:v>
      </x:c>
      <x:c r="U1711" s="47" t="n">
        <x:v>0.2</x:v>
      </x:c>
      <x:c r="V1711" s="54" t="n">
        <x:f>IF(ISNUMBER(T1711),T1711*(1+U1711),"")</x:f>
        <x:v>28.787999999999997</x:v>
      </x:c>
      <x:c r="W1711" s="47" t="n">
        <x:v>0.3</x:v>
      </x:c>
      <x:c r="X1711" s="54" t="n">
        <x:f>IF(ISNUMBER(V1711),V1711/(1-W1711),"")</x:f>
        <x:v>41.12571428571428</x:v>
      </x:c>
      <x:c r="Y1711" s="55" t="n">
        <x:f>IF(ISNUMBER(X1711),ROUNDUP(X1711,0),"")</x:f>
        <x:v>42</x:v>
      </x:c>
      <x:c r="Z1711" t="str">
        <x:v>Source match pending</x:v>
      </x:c>
      <x:c r="AA1711" t="str">
        <x:v>screencapture-www-activesportstrade-co-uk-scitec-nutrition-trade-2026-09-10-09_07_50.pdf / page-1</x:v>
      </x:c>
      <x:c r="AB1711" s="36" t="n">
        <x:f>IF(ISNUMBER(Y1711),ROUND(Y1711*0.9,2),"")</x:f>
        <x:v>37.8</x:v>
      </x:c>
      <x:c r="AC1711" s="36" t="n">
        <x:f>IF(ISNUMBER(AB1711),ROUND(AB1711-(AB1711*0.015+0.2)-V1711,2),"")</x:f>
        <x:v>8.24</x:v>
      </x:c>
      <x:c r="AD1711" s="36" t="n">
        <x:f>IF(ISNUMBER(Y1711),ROUND(Y1711*0.8,2),"")</x:f>
        <x:v>33.6</x:v>
      </x:c>
      <x:c r="AE1711" s="36" t="n">
        <x:f>IF(ISNUMBER(AD1711),ROUND(AD1711*0.015+0.2,2),"")</x:f>
        <x:v>0.7</x:v>
      </x:c>
      <x:c r="AF1711" s="36" t="n">
        <x:f>IF(ISNUMBER(AD1711),ROUND(AD1711-AE1711-V1711,2),"")</x:f>
        <x:v>4.11</x:v>
      </x:c>
      <x:c r="AG1711" t="str">
        <x:f>IF(NOT(ISNUMBER(T1711)),"PENDING",IF(AF1711&gt;0,"PASS","FAIL"))</x:f>
        <x:v>PASS</x:v>
      </x:c>
      <x:c r="AH1711" t="str">
        <x:f>IF(NOT(ISNUMBER(T1711)),"Needs supplier cost",IF(K1711&lt;&gt;"In stock","Supplier unavailable",IF(AG1711&lt;&gt;"PASS","BLOCK - GT loss risk","Commercially protected")))</x:f>
        <x:v>Commercially protected</x:v>
      </x:c>
      <x:c r="AI1711" t="str">
        <x:v>2026-09-10 Active Sports trade capture</x:v>
      </x:c>
      <x:c r="AJ1711" t="str">
        <x:v>Management-only economics. Stripe stress test uses 1.5% + £0.20 standard UK online-card fee; pallet/mix-and-match pricing ignored.</x:v>
      </x:c>
    </x:row>
    <x:row r="1712">
      <x:c r="A1712" t="str">
        <x:v>Active Sports Nutrition</x:v>
      </x:c>
      <x:c r="B1712" t="str">
        <x:v>Scitec Nutrition</x:v>
      </x:c>
      <x:c r="C1712" t="str">
        <x:v>100% Creatine Monohydrate</x:v>
      </x:c>
      <x:c r="D1712" t="str">
        <x:v>Supplements</x:v>
      </x:c>
      <x:c r="E1712" t="str">
        <x:v>Creatine Powders</x:v>
      </x:c>
      <x:c r="F1712" t="str"/>
      <x:c r="G1712" t="str">
        <x:v>300g</x:v>
      </x:c>
      <x:c r="H1712" t="str">
        <x:v>Unflavoured</x:v>
      </x:c>
      <x:c r="I1712" t="str"/>
      <x:c r="J1712" t="str">
        <x:v>Unit</x:v>
      </x:c>
      <x:c r="K1712" t="str">
        <x:v>Out of stock</x:v>
      </x:c>
      <x:c r="L1712" t="str">
        <x:v>2026-09-08</x:v>
      </x:c>
      <x:c r="M1712" t="str"/>
      <x:c r="N1712" t="str"/>
      <x:c r="O1712" t="str">
        <x:v>https://www.activesportstrade.co.uk/scitec-nutrition-trade</x:v>
      </x:c>
      <x:c r="P1712" t="str">
        <x:v>SPECIAL OFFER wording stripped; fresh brand page controls current stock.</x:v>
      </x:c>
      <x:c r="Q1712" t="str"/>
      <x:c r="R1712" t="str"/>
      <x:c r="S1712" t="str">
        <x:v>Pending genuine supplier/brand image</x:v>
      </x:c>
      <x:c r="T1712" s="54" t="n">
        <x:v>6.99</x:v>
      </x:c>
      <x:c r="U1712" s="47" t="n">
        <x:v>0.2</x:v>
      </x:c>
      <x:c r="V1712" s="54" t="n">
        <x:f>IF(ISNUMBER(T1712),T1712*(1+U1712),"")</x:f>
        <x:v>8.388</x:v>
      </x:c>
      <x:c r="W1712" s="47" t="n">
        <x:v>0.3</x:v>
      </x:c>
      <x:c r="X1712" s="54" t="n">
        <x:f>IF(ISNUMBER(V1712),V1712/(1-W1712),"")</x:f>
        <x:v>11.982857142857144</x:v>
      </x:c>
      <x:c r="Y1712" s="55" t="n">
        <x:f>IF(ISNUMBER(X1712),ROUNDUP(X1712,0),"")</x:f>
        <x:v>12</x:v>
      </x:c>
      <x:c r="Z1712" t="str">
        <x:v>Source match pending</x:v>
      </x:c>
      <x:c r="AA1712" t="str">
        <x:v>screencapture-www-activesportstrade-co-uk-scitec-nutrition-trade-2026-09-10-09_07_50.pdf / page-1</x:v>
      </x:c>
      <x:c r="AB1712" s="36" t="n">
        <x:f>IF(ISNUMBER(Y1712),ROUND(Y1712*0.9,2),"")</x:f>
        <x:v>10.8</x:v>
      </x:c>
      <x:c r="AC1712" s="36" t="n">
        <x:f>IF(ISNUMBER(AB1712),ROUND(AB1712-(AB1712*0.015+0.2)-V1712,2),"")</x:f>
        <x:v>2.05</x:v>
      </x:c>
      <x:c r="AD1712" s="36" t="n">
        <x:f>IF(ISNUMBER(Y1712),ROUND(Y1712*0.8,2),"")</x:f>
        <x:v>9.6</x:v>
      </x:c>
      <x:c r="AE1712" s="36" t="n">
        <x:f>IF(ISNUMBER(AD1712),ROUND(AD1712*0.015+0.2,2),"")</x:f>
        <x:v>0.34</x:v>
      </x:c>
      <x:c r="AF1712" s="36" t="n">
        <x:f>IF(ISNUMBER(AD1712),ROUND(AD1712-AE1712-V1712,2),"")</x:f>
        <x:v>0.87</x:v>
      </x:c>
      <x:c r="AG1712" t="str">
        <x:f>IF(NOT(ISNUMBER(T1712)),"PENDING",IF(AF1712&gt;0,"PASS","FAIL"))</x:f>
        <x:v>PASS</x:v>
      </x:c>
      <x:c r="AH1712" t="str">
        <x:f>IF(NOT(ISNUMBER(T1712)),"Needs supplier cost",IF(K1712&lt;&gt;"In stock","Supplier unavailable",IF(AG1712&lt;&gt;"PASS","BLOCK - GT loss risk","Commercially protected")))</x:f>
        <x:v>Supplier unavailable</x:v>
      </x:c>
      <x:c r="AI1712" t="str">
        <x:v>2026-09-10 Active Sports trade capture</x:v>
      </x:c>
      <x:c r="AJ1712" t="str">
        <x:v>Management-only economics. Stripe stress test uses 1.5% + £0.20 standard UK online-card fee; pallet/mix-and-match pricing ignored.</x:v>
      </x:c>
    </x:row>
    <x:row r="1713">
      <x:c r="A1713" t="str">
        <x:v>Active Sports Nutrition</x:v>
      </x:c>
      <x:c r="B1713" t="str">
        <x:v>Scitec Nutrition</x:v>
      </x:c>
      <x:c r="C1713" t="str">
        <x:v>100% Creatine Monohydrate</x:v>
      </x:c>
      <x:c r="D1713" t="str">
        <x:v>Supplements</x:v>
      </x:c>
      <x:c r="E1713" t="str">
        <x:v>Creatine Powders</x:v>
      </x:c>
      <x:c r="F1713" t="str"/>
      <x:c r="G1713" t="str">
        <x:v>500g</x:v>
      </x:c>
      <x:c r="H1713" t="str">
        <x:v>Unflavoured</x:v>
      </x:c>
      <x:c r="I1713" t="str"/>
      <x:c r="J1713" t="str">
        <x:v>Unit</x:v>
      </x:c>
      <x:c r="K1713" t="str">
        <x:v>Out of stock</x:v>
      </x:c>
      <x:c r="L1713" t="str">
        <x:v>2026-09-08</x:v>
      </x:c>
      <x:c r="M1713" t="str"/>
      <x:c r="N1713" t="str"/>
      <x:c r="O1713" t="str">
        <x:v>https://www.activesportstrade.co.uk/scitec-nutrition-trade</x:v>
      </x:c>
      <x:c r="P1713" t="str">
        <x:v>SPECIAL OFFER wording stripped; fresh brand page controls current stock.</x:v>
      </x:c>
      <x:c r="Q1713" t="str"/>
      <x:c r="R1713" t="str"/>
      <x:c r="S1713" t="str">
        <x:v>Pending genuine supplier/brand image</x:v>
      </x:c>
      <x:c r="T1713" s="54" t="n">
        <x:v>9.99</x:v>
      </x:c>
      <x:c r="U1713" s="47" t="n">
        <x:v>0.2</x:v>
      </x:c>
      <x:c r="V1713" s="54" t="n">
        <x:f>IF(ISNUMBER(T1713),T1713*(1+U1713),"")</x:f>
        <x:v>11.988</x:v>
      </x:c>
      <x:c r="W1713" s="47" t="n">
        <x:v>0.3</x:v>
      </x:c>
      <x:c r="X1713" s="54" t="n">
        <x:f>IF(ISNUMBER(V1713),V1713/(1-W1713),"")</x:f>
        <x:v>17.125714285714285</x:v>
      </x:c>
      <x:c r="Y1713" s="55" t="n">
        <x:f>IF(ISNUMBER(X1713),ROUNDUP(X1713,0),"")</x:f>
        <x:v>18</x:v>
      </x:c>
      <x:c r="Z1713" t="str">
        <x:v>Source match pending</x:v>
      </x:c>
      <x:c r="AA1713" t="str">
        <x:v>screencapture-www-activesportstrade-co-uk-scitec-nutrition-trade-2026-09-10-09_07_50.pdf / page-1</x:v>
      </x:c>
      <x:c r="AB1713" s="36" t="n">
        <x:f>IF(ISNUMBER(Y1713),ROUND(Y1713*0.9,2),"")</x:f>
        <x:v>16.2</x:v>
      </x:c>
      <x:c r="AC1713" s="36" t="n">
        <x:f>IF(ISNUMBER(AB1713),ROUND(AB1713-(AB1713*0.015+0.2)-V1713,2),"")</x:f>
        <x:v>3.77</x:v>
      </x:c>
      <x:c r="AD1713" s="36" t="n">
        <x:f>IF(ISNUMBER(Y1713),ROUND(Y1713*0.8,2),"")</x:f>
        <x:v>14.4</x:v>
      </x:c>
      <x:c r="AE1713" s="36" t="n">
        <x:f>IF(ISNUMBER(AD1713),ROUND(AD1713*0.015+0.2,2),"")</x:f>
        <x:v>0.42</x:v>
      </x:c>
      <x:c r="AF1713" s="36" t="n">
        <x:f>IF(ISNUMBER(AD1713),ROUND(AD1713-AE1713-V1713,2),"")</x:f>
        <x:v>1.99</x:v>
      </x:c>
      <x:c r="AG1713" t="str">
        <x:f>IF(NOT(ISNUMBER(T1713)),"PENDING",IF(AF1713&gt;0,"PASS","FAIL"))</x:f>
        <x:v>PASS</x:v>
      </x:c>
      <x:c r="AH1713" t="str">
        <x:f>IF(NOT(ISNUMBER(T1713)),"Needs supplier cost",IF(K1713&lt;&gt;"In stock","Supplier unavailable",IF(AG1713&lt;&gt;"PASS","BLOCK - GT loss risk","Commercially protected")))</x:f>
        <x:v>Supplier unavailable</x:v>
      </x:c>
      <x:c r="AI1713" t="str">
        <x:v>2026-09-10 Active Sports trade capture</x:v>
      </x:c>
      <x:c r="AJ1713" t="str">
        <x:v>Management-only economics. Stripe stress test uses 1.5% + £0.20 standard UK online-card fee; pallet/mix-and-match pricing ignored.</x:v>
      </x:c>
    </x:row>
    <x:row r="1714">
      <x:c r="A1714" t="str">
        <x:v>Active Sports Nutrition</x:v>
      </x:c>
      <x:c r="B1714" t="str">
        <x:v>Scitec Nutrition</x:v>
      </x:c>
      <x:c r="C1714" t="str">
        <x:v>100% Whey Isolate</x:v>
      </x:c>
      <x:c r="D1714" t="str">
        <x:v>Supplements</x:v>
      </x:c>
      <x:c r="E1714" t="str">
        <x:v>Whey Protein</x:v>
      </x:c>
      <x:c r="F1714" t="str"/>
      <x:c r="G1714" t="str">
        <x:v>1816g</x:v>
      </x:c>
      <x:c r="H1714" t="str">
        <x:v>Banana</x:v>
      </x:c>
      <x:c r="I1714" t="str"/>
      <x:c r="J1714" t="str">
        <x:v>Unit</x:v>
      </x:c>
      <x:c r="K1714" t="str">
        <x:v>In stock</x:v>
      </x:c>
      <x:c r="L1714" t="str">
        <x:v>2026-09-08</x:v>
      </x:c>
      <x:c r="M1714" t="str"/>
      <x:c r="N1714" t="str"/>
      <x:c r="O1714" t="str">
        <x:v>https://www.activesportstrade.co.uk/scitec-nutrition-trade</x:v>
      </x:c>
      <x:c r="P1714" t="str">
        <x:v>Fresh brand page also exposes one unnamed in-stock option; omitted rather than inventing a flavour.</x:v>
      </x:c>
      <x:c r="Q1714" t="str"/>
      <x:c r="R1714" t="str"/>
      <x:c r="S1714" t="str">
        <x:v>Pending genuine supplier/brand image</x:v>
      </x:c>
      <x:c r="T1714" s="54" t="n">
        <x:v>51.99</x:v>
      </x:c>
      <x:c r="U1714" s="47" t="n">
        <x:v>0.2</x:v>
      </x:c>
      <x:c r="V1714" s="54" t="n">
        <x:f>IF(ISNUMBER(T1714),T1714*(1+U1714),"")</x:f>
        <x:v>62.388</x:v>
      </x:c>
      <x:c r="W1714" s="47" t="n">
        <x:v>0.3</x:v>
      </x:c>
      <x:c r="X1714" s="54" t="n">
        <x:f>IF(ISNUMBER(V1714),V1714/(1-W1714),"")</x:f>
        <x:v>89.1257142857143</x:v>
      </x:c>
      <x:c r="Y1714" s="55" t="n">
        <x:f>IF(ISNUMBER(X1714),ROUNDUP(X1714,0),"")</x:f>
        <x:v>90</x:v>
      </x:c>
      <x:c r="Z1714" t="str">
        <x:v>Source match pending</x:v>
      </x:c>
      <x:c r="AA1714" t="str">
        <x:v>screencapture-www-activesportstrade-co-uk-scitec-nutrition-trade-2026-09-10-09_07_50.pdf / page-1</x:v>
      </x:c>
      <x:c r="AB1714" s="36" t="n">
        <x:f>IF(ISNUMBER(Y1714),ROUND(Y1714*0.9,2),"")</x:f>
        <x:v>81</x:v>
      </x:c>
      <x:c r="AC1714" s="36" t="n">
        <x:f>IF(ISNUMBER(AB1714),ROUND(AB1714-(AB1714*0.015+0.2)-V1714,2),"")</x:f>
        <x:v>17.2</x:v>
      </x:c>
      <x:c r="AD1714" s="36" t="n">
        <x:f>IF(ISNUMBER(Y1714),ROUND(Y1714*0.8,2),"")</x:f>
        <x:v>72</x:v>
      </x:c>
      <x:c r="AE1714" s="36" t="n">
        <x:f>IF(ISNUMBER(AD1714),ROUND(AD1714*0.015+0.2,2),"")</x:f>
        <x:v>1.28</x:v>
      </x:c>
      <x:c r="AF1714" s="36" t="n">
        <x:f>IF(ISNUMBER(AD1714),ROUND(AD1714-AE1714-V1714,2),"")</x:f>
        <x:v>8.33</x:v>
      </x:c>
      <x:c r="AG1714" t="str">
        <x:f>IF(NOT(ISNUMBER(T1714)),"PENDING",IF(AF1714&gt;0,"PASS","FAIL"))</x:f>
        <x:v>PASS</x:v>
      </x:c>
      <x:c r="AH1714" t="str">
        <x:f>IF(NOT(ISNUMBER(T1714)),"Needs supplier cost",IF(K1714&lt;&gt;"In stock","Supplier unavailable",IF(AG1714&lt;&gt;"PASS","BLOCK - GT loss risk","Commercially protected")))</x:f>
        <x:v>Commercially protected</x:v>
      </x:c>
      <x:c r="AI1714" t="str">
        <x:v>2026-09-10 Active Sports trade capture</x:v>
      </x:c>
      <x:c r="AJ1714" t="str">
        <x:v>Management-only economics. Stripe stress test uses 1.5% + £0.20 standard UK online-card fee; pallet/mix-and-match pricing ignored.</x:v>
      </x:c>
    </x:row>
    <x:row r="1715">
      <x:c r="A1715" t="str">
        <x:v>Active Sports Nutrition</x:v>
      </x:c>
      <x:c r="B1715" t="str">
        <x:v>Scitec Nutrition</x:v>
      </x:c>
      <x:c r="C1715" t="str">
        <x:v>100% Whey Isolate</x:v>
      </x:c>
      <x:c r="D1715" t="str">
        <x:v>Supplements</x:v>
      </x:c>
      <x:c r="E1715" t="str">
        <x:v>Whey Protein</x:v>
      </x:c>
      <x:c r="F1715" t="str"/>
      <x:c r="G1715" t="str">
        <x:v>1816g</x:v>
      </x:c>
      <x:c r="H1715" t="str">
        <x:v>Chocolate</x:v>
      </x:c>
      <x:c r="I1715" t="str"/>
      <x:c r="J1715" t="str">
        <x:v>Unit</x:v>
      </x:c>
      <x:c r="K1715" t="str">
        <x:v>In stock</x:v>
      </x:c>
      <x:c r="L1715" t="str">
        <x:v>2026-09-08</x:v>
      </x:c>
      <x:c r="M1715" t="str"/>
      <x:c r="N1715" t="str"/>
      <x:c r="O1715" t="str">
        <x:v>https://www.activesportstrade.co.uk/scitec-nutrition-trade</x:v>
      </x:c>
      <x:c r="P1715" t="str">
        <x:v>Fresh brand page also exposes one unnamed in-stock option; omitted rather than inventing a flavour.</x:v>
      </x:c>
      <x:c r="Q1715" t="str"/>
      <x:c r="R1715" t="str"/>
      <x:c r="S1715" t="str">
        <x:v>Pending genuine supplier/brand image</x:v>
      </x:c>
      <x:c r="T1715" s="54" t="n">
        <x:v>51.99</x:v>
      </x:c>
      <x:c r="U1715" s="47" t="n">
        <x:v>0.2</x:v>
      </x:c>
      <x:c r="V1715" s="54" t="n">
        <x:f>IF(ISNUMBER(T1715),T1715*(1+U1715),"")</x:f>
        <x:v>62.388</x:v>
      </x:c>
      <x:c r="W1715" s="47" t="n">
        <x:v>0.3</x:v>
      </x:c>
      <x:c r="X1715" s="54" t="n">
        <x:f>IF(ISNUMBER(V1715),V1715/(1-W1715),"")</x:f>
        <x:v>89.1257142857143</x:v>
      </x:c>
      <x:c r="Y1715" s="55" t="n">
        <x:f>IF(ISNUMBER(X1715),ROUNDUP(X1715,0),"")</x:f>
        <x:v>90</x:v>
      </x:c>
      <x:c r="Z1715" t="str">
        <x:v>Source match pending</x:v>
      </x:c>
      <x:c r="AA1715" t="str">
        <x:v>screencapture-www-activesportstrade-co-uk-scitec-nutrition-trade-2026-09-10-09_07_50.pdf / page-1</x:v>
      </x:c>
      <x:c r="AB1715" s="36" t="n">
        <x:f>IF(ISNUMBER(Y1715),ROUND(Y1715*0.9,2),"")</x:f>
        <x:v>81</x:v>
      </x:c>
      <x:c r="AC1715" s="36" t="n">
        <x:f>IF(ISNUMBER(AB1715),ROUND(AB1715-(AB1715*0.015+0.2)-V1715,2),"")</x:f>
        <x:v>17.2</x:v>
      </x:c>
      <x:c r="AD1715" s="36" t="n">
        <x:f>IF(ISNUMBER(Y1715),ROUND(Y1715*0.8,2),"")</x:f>
        <x:v>72</x:v>
      </x:c>
      <x:c r="AE1715" s="36" t="n">
        <x:f>IF(ISNUMBER(AD1715),ROUND(AD1715*0.015+0.2,2),"")</x:f>
        <x:v>1.28</x:v>
      </x:c>
      <x:c r="AF1715" s="36" t="n">
        <x:f>IF(ISNUMBER(AD1715),ROUND(AD1715-AE1715-V1715,2),"")</x:f>
        <x:v>8.33</x:v>
      </x:c>
      <x:c r="AG1715" t="str">
        <x:f>IF(NOT(ISNUMBER(T1715)),"PENDING",IF(AF1715&gt;0,"PASS","FAIL"))</x:f>
        <x:v>PASS</x:v>
      </x:c>
      <x:c r="AH1715" t="str">
        <x:f>IF(NOT(ISNUMBER(T1715)),"Needs supplier cost",IF(K1715&lt;&gt;"In stock","Supplier unavailable",IF(AG1715&lt;&gt;"PASS","BLOCK - GT loss risk","Commercially protected")))</x:f>
        <x:v>Commercially protected</x:v>
      </x:c>
      <x:c r="AI1715" t="str">
        <x:v>2026-09-10 Active Sports trade capture</x:v>
      </x:c>
      <x:c r="AJ1715" t="str">
        <x:v>Management-only economics. Stripe stress test uses 1.5% + £0.20 standard UK online-card fee; pallet/mix-and-match pricing ignored.</x:v>
      </x:c>
    </x:row>
    <x:row r="1716">
      <x:c r="A1716" t="str">
        <x:v>Active Sports Nutrition</x:v>
      </x:c>
      <x:c r="B1716" t="str">
        <x:v>Scitec Nutrition</x:v>
      </x:c>
      <x:c r="C1716" t="str">
        <x:v>100% Whey Isolate</x:v>
      </x:c>
      <x:c r="D1716" t="str">
        <x:v>Supplements</x:v>
      </x:c>
      <x:c r="E1716" t="str">
        <x:v>Whey Protein</x:v>
      </x:c>
      <x:c r="F1716" t="str"/>
      <x:c r="G1716" t="str">
        <x:v>1816g</x:v>
      </x:c>
      <x:c r="H1716" t="str">
        <x:v>Chocolate Hazelnut</x:v>
      </x:c>
      <x:c r="I1716" t="str"/>
      <x:c r="J1716" t="str">
        <x:v>Unit</x:v>
      </x:c>
      <x:c r="K1716" t="str">
        <x:v>In stock</x:v>
      </x:c>
      <x:c r="L1716" t="str">
        <x:v>2026-09-08</x:v>
      </x:c>
      <x:c r="M1716" t="str"/>
      <x:c r="N1716" t="str"/>
      <x:c r="O1716" t="str">
        <x:v>https://www.activesportstrade.co.uk/scitec-nutrition-trade</x:v>
      </x:c>
      <x:c r="P1716" t="str">
        <x:v>Fresh brand page also exposes one unnamed in-stock option; omitted rather than inventing a flavour.</x:v>
      </x:c>
      <x:c r="Q1716" t="str"/>
      <x:c r="R1716" t="str"/>
      <x:c r="S1716" t="str">
        <x:v>Pending genuine supplier/brand image</x:v>
      </x:c>
      <x:c r="T1716" s="54" t="n">
        <x:v>51.99</x:v>
      </x:c>
      <x:c r="U1716" s="47" t="n">
        <x:v>0.2</x:v>
      </x:c>
      <x:c r="V1716" s="54" t="n">
        <x:f>IF(ISNUMBER(T1716),T1716*(1+U1716),"")</x:f>
        <x:v>62.388</x:v>
      </x:c>
      <x:c r="W1716" s="47" t="n">
        <x:v>0.3</x:v>
      </x:c>
      <x:c r="X1716" s="54" t="n">
        <x:f>IF(ISNUMBER(V1716),V1716/(1-W1716),"")</x:f>
        <x:v>89.1257142857143</x:v>
      </x:c>
      <x:c r="Y1716" s="55" t="n">
        <x:f>IF(ISNUMBER(X1716),ROUNDUP(X1716,0),"")</x:f>
        <x:v>90</x:v>
      </x:c>
      <x:c r="Z1716" t="str">
        <x:v>Source match pending</x:v>
      </x:c>
      <x:c r="AA1716" t="str">
        <x:v>screencapture-www-activesportstrade-co-uk-scitec-nutrition-trade-2026-09-10-09_07_50.pdf / page-1</x:v>
      </x:c>
      <x:c r="AB1716" s="36" t="n">
        <x:f>IF(ISNUMBER(Y1716),ROUND(Y1716*0.9,2),"")</x:f>
        <x:v>81</x:v>
      </x:c>
      <x:c r="AC1716" s="36" t="n">
        <x:f>IF(ISNUMBER(AB1716),ROUND(AB1716-(AB1716*0.015+0.2)-V1716,2),"")</x:f>
        <x:v>17.2</x:v>
      </x:c>
      <x:c r="AD1716" s="36" t="n">
        <x:f>IF(ISNUMBER(Y1716),ROUND(Y1716*0.8,2),"")</x:f>
        <x:v>72</x:v>
      </x:c>
      <x:c r="AE1716" s="36" t="n">
        <x:f>IF(ISNUMBER(AD1716),ROUND(AD1716*0.015+0.2,2),"")</x:f>
        <x:v>1.28</x:v>
      </x:c>
      <x:c r="AF1716" s="36" t="n">
        <x:f>IF(ISNUMBER(AD1716),ROUND(AD1716-AE1716-V1716,2),"")</x:f>
        <x:v>8.33</x:v>
      </x:c>
      <x:c r="AG1716" t="str">
        <x:f>IF(NOT(ISNUMBER(T1716)),"PENDING",IF(AF1716&gt;0,"PASS","FAIL"))</x:f>
        <x:v>PASS</x:v>
      </x:c>
      <x:c r="AH1716" t="str">
        <x:f>IF(NOT(ISNUMBER(T1716)),"Needs supplier cost",IF(K1716&lt;&gt;"In stock","Supplier unavailable",IF(AG1716&lt;&gt;"PASS","BLOCK - GT loss risk","Commercially protected")))</x:f>
        <x:v>Commercially protected</x:v>
      </x:c>
      <x:c r="AI1716" t="str">
        <x:v>2026-09-10 Active Sports trade capture</x:v>
      </x:c>
      <x:c r="AJ1716" t="str">
        <x:v>Management-only economics. Stripe stress test uses 1.5% + £0.20 standard UK online-card fee; pallet/mix-and-match pricing ignored.</x:v>
      </x:c>
    </x:row>
    <x:row r="1717">
      <x:c r="A1717" t="str">
        <x:v>Active Sports Nutrition</x:v>
      </x:c>
      <x:c r="B1717" t="str">
        <x:v>Scitec Nutrition</x:v>
      </x:c>
      <x:c r="C1717" t="str">
        <x:v>100% Whey Isolate</x:v>
      </x:c>
      <x:c r="D1717" t="str">
        <x:v>Supplements</x:v>
      </x:c>
      <x:c r="E1717" t="str">
        <x:v>Whey Protein</x:v>
      </x:c>
      <x:c r="F1717" t="str"/>
      <x:c r="G1717" t="str">
        <x:v>1816g</x:v>
      </x:c>
      <x:c r="H1717" t="str">
        <x:v>Cookies &amp; Cream</x:v>
      </x:c>
      <x:c r="I1717" t="str"/>
      <x:c r="J1717" t="str">
        <x:v>Unit</x:v>
      </x:c>
      <x:c r="K1717" t="str">
        <x:v>In stock</x:v>
      </x:c>
      <x:c r="L1717" t="str">
        <x:v>2026-09-08</x:v>
      </x:c>
      <x:c r="M1717" t="str"/>
      <x:c r="N1717" t="str"/>
      <x:c r="O1717" t="str">
        <x:v>https://www.activesportstrade.co.uk/scitec-nutrition-trade</x:v>
      </x:c>
      <x:c r="P1717" t="str">
        <x:v>Fresh brand page also exposes one unnamed in-stock option; omitted rather than inventing a flavour.</x:v>
      </x:c>
      <x:c r="Q1717" t="str"/>
      <x:c r="R1717" t="str"/>
      <x:c r="S1717" t="str">
        <x:v>Pending genuine supplier/brand image</x:v>
      </x:c>
      <x:c r="T1717" s="54" t="n">
        <x:v>51.99</x:v>
      </x:c>
      <x:c r="U1717" s="47" t="n">
        <x:v>0.2</x:v>
      </x:c>
      <x:c r="V1717" s="54" t="n">
        <x:f>IF(ISNUMBER(T1717),T1717*(1+U1717),"")</x:f>
        <x:v>62.388</x:v>
      </x:c>
      <x:c r="W1717" s="47" t="n">
        <x:v>0.3</x:v>
      </x:c>
      <x:c r="X1717" s="54" t="n">
        <x:f>IF(ISNUMBER(V1717),V1717/(1-W1717),"")</x:f>
        <x:v>89.1257142857143</x:v>
      </x:c>
      <x:c r="Y1717" s="55" t="n">
        <x:f>IF(ISNUMBER(X1717),ROUNDUP(X1717,0),"")</x:f>
        <x:v>90</x:v>
      </x:c>
      <x:c r="Z1717" t="str">
        <x:v>Source match pending</x:v>
      </x:c>
      <x:c r="AA1717" t="str">
        <x:v>screencapture-www-activesportstrade-co-uk-scitec-nutrition-trade-2026-09-10-09_07_50.pdf / page-1</x:v>
      </x:c>
      <x:c r="AB1717" s="36" t="n">
        <x:f>IF(ISNUMBER(Y1717),ROUND(Y1717*0.9,2),"")</x:f>
        <x:v>81</x:v>
      </x:c>
      <x:c r="AC1717" s="36" t="n">
        <x:f>IF(ISNUMBER(AB1717),ROUND(AB1717-(AB1717*0.015+0.2)-V1717,2),"")</x:f>
        <x:v>17.2</x:v>
      </x:c>
      <x:c r="AD1717" s="36" t="n">
        <x:f>IF(ISNUMBER(Y1717),ROUND(Y1717*0.8,2),"")</x:f>
        <x:v>72</x:v>
      </x:c>
      <x:c r="AE1717" s="36" t="n">
        <x:f>IF(ISNUMBER(AD1717),ROUND(AD1717*0.015+0.2,2),"")</x:f>
        <x:v>1.28</x:v>
      </x:c>
      <x:c r="AF1717" s="36" t="n">
        <x:f>IF(ISNUMBER(AD1717),ROUND(AD1717-AE1717-V1717,2),"")</x:f>
        <x:v>8.33</x:v>
      </x:c>
      <x:c r="AG1717" t="str">
        <x:f>IF(NOT(ISNUMBER(T1717)),"PENDING",IF(AF1717&gt;0,"PASS","FAIL"))</x:f>
        <x:v>PASS</x:v>
      </x:c>
      <x:c r="AH1717" t="str">
        <x:f>IF(NOT(ISNUMBER(T1717)),"Needs supplier cost",IF(K1717&lt;&gt;"In stock","Supplier unavailable",IF(AG1717&lt;&gt;"PASS","BLOCK - GT loss risk","Commercially protected")))</x:f>
        <x:v>Commercially protected</x:v>
      </x:c>
      <x:c r="AI1717" t="str">
        <x:v>2026-09-10 Active Sports trade capture</x:v>
      </x:c>
      <x:c r="AJ1717" t="str">
        <x:v>Management-only economics. Stripe stress test uses 1.5% + £0.20 standard UK online-card fee; pallet/mix-and-match pricing ignored.</x:v>
      </x:c>
    </x:row>
    <x:row r="1718">
      <x:c r="A1718" t="str">
        <x:v>Active Sports Nutrition</x:v>
      </x:c>
      <x:c r="B1718" t="str">
        <x:v>Scitec Nutrition</x:v>
      </x:c>
      <x:c r="C1718" t="str">
        <x:v>100% Whey Isolate</x:v>
      </x:c>
      <x:c r="D1718" t="str">
        <x:v>Supplements</x:v>
      </x:c>
      <x:c r="E1718" t="str">
        <x:v>Whey Protein</x:v>
      </x:c>
      <x:c r="F1718" t="str"/>
      <x:c r="G1718" t="str">
        <x:v>1816g</x:v>
      </x:c>
      <x:c r="H1718" t="str">
        <x:v>Pistachio</x:v>
      </x:c>
      <x:c r="I1718" t="str"/>
      <x:c r="J1718" t="str">
        <x:v>Unit</x:v>
      </x:c>
      <x:c r="K1718" t="str">
        <x:v>Out of stock</x:v>
      </x:c>
      <x:c r="L1718" t="str">
        <x:v>2026-09-08</x:v>
      </x:c>
      <x:c r="M1718" t="str"/>
      <x:c r="N1718" t="str"/>
      <x:c r="O1718" t="str">
        <x:v>https://www.activesportstrade.co.uk/scitec-nutrition-trade</x:v>
      </x:c>
      <x:c r="P1718" t="str">
        <x:v>Fresh brand page also exposes one unnamed in-stock option; omitted rather than inventing a flavour.</x:v>
      </x:c>
      <x:c r="Q1718" t="str"/>
      <x:c r="R1718" t="str"/>
      <x:c r="S1718" t="str">
        <x:v>Pending genuine supplier/brand image</x:v>
      </x:c>
      <x:c r="T1718" s="54" t="n">
        <x:v>51.99</x:v>
      </x:c>
      <x:c r="U1718" s="47" t="n">
        <x:v>0.2</x:v>
      </x:c>
      <x:c r="V1718" s="54" t="n">
        <x:f>IF(ISNUMBER(T1718),T1718*(1+U1718),"")</x:f>
        <x:v>62.388</x:v>
      </x:c>
      <x:c r="W1718" s="47" t="n">
        <x:v>0.3</x:v>
      </x:c>
      <x:c r="X1718" s="54" t="n">
        <x:f>IF(ISNUMBER(V1718),V1718/(1-W1718),"")</x:f>
        <x:v>89.1257142857143</x:v>
      </x:c>
      <x:c r="Y1718" s="55" t="n">
        <x:f>IF(ISNUMBER(X1718),ROUNDUP(X1718,0),"")</x:f>
        <x:v>90</x:v>
      </x:c>
      <x:c r="Z1718" t="str">
        <x:v>Source match pending</x:v>
      </x:c>
      <x:c r="AA1718" t="str">
        <x:v>screencapture-www-activesportstrade-co-uk-scitec-nutrition-trade-2026-09-10-09_07_50.pdf / page-1</x:v>
      </x:c>
      <x:c r="AB1718" s="36" t="n">
        <x:f>IF(ISNUMBER(Y1718),ROUND(Y1718*0.9,2),"")</x:f>
        <x:v>81</x:v>
      </x:c>
      <x:c r="AC1718" s="36" t="n">
        <x:f>IF(ISNUMBER(AB1718),ROUND(AB1718-(AB1718*0.015+0.2)-V1718,2),"")</x:f>
        <x:v>17.2</x:v>
      </x:c>
      <x:c r="AD1718" s="36" t="n">
        <x:f>IF(ISNUMBER(Y1718),ROUND(Y1718*0.8,2),"")</x:f>
        <x:v>72</x:v>
      </x:c>
      <x:c r="AE1718" s="36" t="n">
        <x:f>IF(ISNUMBER(AD1718),ROUND(AD1718*0.015+0.2,2),"")</x:f>
        <x:v>1.28</x:v>
      </x:c>
      <x:c r="AF1718" s="36" t="n">
        <x:f>IF(ISNUMBER(AD1718),ROUND(AD1718-AE1718-V1718,2),"")</x:f>
        <x:v>8.33</x:v>
      </x:c>
      <x:c r="AG1718" t="str">
        <x:f>IF(NOT(ISNUMBER(T1718)),"PENDING",IF(AF1718&gt;0,"PASS","FAIL"))</x:f>
        <x:v>PASS</x:v>
      </x:c>
      <x:c r="AH1718" t="str">
        <x:f>IF(NOT(ISNUMBER(T1718)),"Needs supplier cost",IF(K1718&lt;&gt;"In stock","Supplier unavailable",IF(AG1718&lt;&gt;"PASS","BLOCK - GT loss risk","Commercially protected")))</x:f>
        <x:v>Supplier unavailable</x:v>
      </x:c>
      <x:c r="AI1718" t="str">
        <x:v>2026-09-10 Active Sports trade capture</x:v>
      </x:c>
      <x:c r="AJ1718" t="str">
        <x:v>Management-only economics. Stripe stress test uses 1.5% + £0.20 standard UK online-card fee; pallet/mix-and-match pricing ignored.</x:v>
      </x:c>
    </x:row>
    <x:row r="1719">
      <x:c r="A1719" t="str">
        <x:v>Active Sports Nutrition</x:v>
      </x:c>
      <x:c r="B1719" t="str">
        <x:v>Scitec Nutrition</x:v>
      </x:c>
      <x:c r="C1719" t="str">
        <x:v>100% Whey Isolate</x:v>
      </x:c>
      <x:c r="D1719" t="str">
        <x:v>Supplements</x:v>
      </x:c>
      <x:c r="E1719" t="str">
        <x:v>Whey Protein</x:v>
      </x:c>
      <x:c r="F1719" t="str"/>
      <x:c r="G1719" t="str">
        <x:v>1816g</x:v>
      </x:c>
      <x:c r="H1719" t="str">
        <x:v>Raspberry</x:v>
      </x:c>
      <x:c r="I1719" t="str"/>
      <x:c r="J1719" t="str">
        <x:v>Unit</x:v>
      </x:c>
      <x:c r="K1719" t="str">
        <x:v>Out of stock</x:v>
      </x:c>
      <x:c r="L1719" t="str">
        <x:v>2026-09-08</x:v>
      </x:c>
      <x:c r="M1719" t="str"/>
      <x:c r="N1719" t="str"/>
      <x:c r="O1719" t="str">
        <x:v>https://www.activesportstrade.co.uk/scitec-nutrition-trade</x:v>
      </x:c>
      <x:c r="P1719" t="str">
        <x:v>Fresh brand page also exposes one unnamed in-stock option; omitted rather than inventing a flavour.</x:v>
      </x:c>
      <x:c r="Q1719" t="str"/>
      <x:c r="R1719" t="str"/>
      <x:c r="S1719" t="str">
        <x:v>Pending genuine supplier/brand image</x:v>
      </x:c>
      <x:c r="T1719" s="54" t="n">
        <x:v>51.99</x:v>
      </x:c>
      <x:c r="U1719" s="47" t="n">
        <x:v>0.2</x:v>
      </x:c>
      <x:c r="V1719" s="54" t="n">
        <x:f>IF(ISNUMBER(T1719),T1719*(1+U1719),"")</x:f>
        <x:v>62.388</x:v>
      </x:c>
      <x:c r="W1719" s="47" t="n">
        <x:v>0.3</x:v>
      </x:c>
      <x:c r="X1719" s="54" t="n">
        <x:f>IF(ISNUMBER(V1719),V1719/(1-W1719),"")</x:f>
        <x:v>89.1257142857143</x:v>
      </x:c>
      <x:c r="Y1719" s="55" t="n">
        <x:f>IF(ISNUMBER(X1719),ROUNDUP(X1719,0),"")</x:f>
        <x:v>90</x:v>
      </x:c>
      <x:c r="Z1719" t="str">
        <x:v>Source match pending</x:v>
      </x:c>
      <x:c r="AA1719" t="str">
        <x:v>screencapture-www-activesportstrade-co-uk-scitec-nutrition-trade-2026-09-10-09_07_50.pdf / page-1</x:v>
      </x:c>
      <x:c r="AB1719" s="36" t="n">
        <x:f>IF(ISNUMBER(Y1719),ROUND(Y1719*0.9,2),"")</x:f>
        <x:v>81</x:v>
      </x:c>
      <x:c r="AC1719" s="36" t="n">
        <x:f>IF(ISNUMBER(AB1719),ROUND(AB1719-(AB1719*0.015+0.2)-V1719,2),"")</x:f>
        <x:v>17.2</x:v>
      </x:c>
      <x:c r="AD1719" s="36" t="n">
        <x:f>IF(ISNUMBER(Y1719),ROUND(Y1719*0.8,2),"")</x:f>
        <x:v>72</x:v>
      </x:c>
      <x:c r="AE1719" s="36" t="n">
        <x:f>IF(ISNUMBER(AD1719),ROUND(AD1719*0.015+0.2,2),"")</x:f>
        <x:v>1.28</x:v>
      </x:c>
      <x:c r="AF1719" s="36" t="n">
        <x:f>IF(ISNUMBER(AD1719),ROUND(AD1719-AE1719-V1719,2),"")</x:f>
        <x:v>8.33</x:v>
      </x:c>
      <x:c r="AG1719" t="str">
        <x:f>IF(NOT(ISNUMBER(T1719)),"PENDING",IF(AF1719&gt;0,"PASS","FAIL"))</x:f>
        <x:v>PASS</x:v>
      </x:c>
      <x:c r="AH1719" t="str">
        <x:f>IF(NOT(ISNUMBER(T1719)),"Needs supplier cost",IF(K1719&lt;&gt;"In stock","Supplier unavailable",IF(AG1719&lt;&gt;"PASS","BLOCK - GT loss risk","Commercially protected")))</x:f>
        <x:v>Supplier unavailable</x:v>
      </x:c>
      <x:c r="AI1719" t="str">
        <x:v>2026-09-10 Active Sports trade capture</x:v>
      </x:c>
      <x:c r="AJ1719" t="str">
        <x:v>Management-only economics. Stripe stress test uses 1.5% + £0.20 standard UK online-card fee; pallet/mix-and-match pricing ignored.</x:v>
      </x:c>
    </x:row>
    <x:row r="1720">
      <x:c r="A1720" t="str">
        <x:v>Active Sports Nutrition</x:v>
      </x:c>
      <x:c r="B1720" t="str">
        <x:v>Scitec Nutrition</x:v>
      </x:c>
      <x:c r="C1720" t="str">
        <x:v>Caffeine</x:v>
      </x:c>
      <x:c r="D1720" t="str">
        <x:v>Supplements</x:v>
      </x:c>
      <x:c r="E1720" t="str">
        <x:v>Energy</x:v>
      </x:c>
      <x:c r="F1720" t="str"/>
      <x:c r="G1720" t="str">
        <x:v>100 caps</x:v>
      </x:c>
      <x:c r="H1720" t="str">
        <x:v>Default</x:v>
      </x:c>
      <x:c r="I1720" t="str"/>
      <x:c r="J1720" t="str">
        <x:v>Unit</x:v>
      </x:c>
      <x:c r="K1720" t="str">
        <x:v>In stock</x:v>
      </x:c>
      <x:c r="L1720" t="str">
        <x:v>2026-09-08</x:v>
      </x:c>
      <x:c r="M1720" t="str"/>
      <x:c r="N1720" t="str"/>
      <x:c r="O1720" t="str">
        <x:v>https://www.activesportstrade.co.uk/scitec-nutrition-trade</x:v>
      </x:c>
      <x:c r="P1720" t="str"/>
      <x:c r="Q1720" t="str"/>
      <x:c r="R1720" t="str"/>
      <x:c r="S1720" t="str">
        <x:v>Pending genuine supplier/brand image</x:v>
      </x:c>
      <x:c r="T1720" s="54"/>
      <x:c r="U1720" s="47" t="n">
        <x:v>0.2</x:v>
      </x:c>
      <x:c r="V1720" s="54" t="str">
        <x:f>IF(ISNUMBER(T1720),T1720*(1+U1720),"")</x:f>
      </x:c>
      <x:c r="W1720" s="47" t="n">
        <x:v>0.3</x:v>
      </x:c>
      <x:c r="X1720" s="54" t="str">
        <x:f>IF(ISNUMBER(V1720),V1720/(1-W1720),"")</x:f>
      </x:c>
      <x:c r="Y1720" s="55" t="str">
        <x:f>IF(ISNUMBER(X1720),ROUNDUP(X1720,0),"")</x:f>
      </x:c>
      <x:c r="Z1720" t="str">
        <x:f>IF(ISNUMBER(T1720),"Cost captured","Awaiting trade cost")</x:f>
        <x:v>Awaiting trade cost</x:v>
      </x:c>
      <x:c r="AB1720" s="36" t="str">
        <x:f>IF(ISNUMBER(Y1720),ROUND(Y1720*0.9,2),"")</x:f>
      </x:c>
      <x:c r="AC1720" s="36" t="str">
        <x:f>IF(ISNUMBER(AB1720),ROUND(AB1720-(AB1720*0.015+0.2)-V1720,2),"")</x:f>
      </x:c>
      <x:c r="AD1720" s="36" t="str">
        <x:f>IF(ISNUMBER(Y1720),ROUND(Y1720*0.8,2),"")</x:f>
      </x:c>
      <x:c r="AE1720" s="36" t="str">
        <x:f>IF(ISNUMBER(AD1720),ROUND(AD1720*0.015+0.2,2),"")</x:f>
      </x:c>
      <x:c r="AF1720" s="36" t="str">
        <x:f>IF(ISNUMBER(AD1720),ROUND(AD1720-AE1720-V1720,2),"")</x:f>
      </x:c>
      <x:c r="AG1720" t="str">
        <x:f>IF(NOT(ISNUMBER(T1720)),"PENDING",IF(AF1720&gt;0,"PASS","FAIL"))</x:f>
        <x:v>PENDING</x:v>
      </x:c>
      <x:c r="AH1720" t="str">
        <x:f>IF(NOT(ISNUMBER(T1720)),"Needs supplier cost",IF(K1720&lt;&gt;"In stock","Supplier unavailable",IF(AG1720&lt;&gt;"PASS","BLOCK - GT loss risk","Commercially protected")))</x:f>
        <x:v>Needs supplier cost</x:v>
      </x:c>
      <x:c r="AI1720" t="str">
        <x:v>2026-09-10 Active Sports trade capture</x:v>
      </x:c>
      <x:c r="AJ1720" t="str">
        <x:v>Management-only economics. Stripe stress test uses 1.5% + £0.20 standard UK online-card fee; pallet/mix-and-match pricing ignored.</x:v>
      </x:c>
    </x:row>
    <x:row r="1721">
      <x:c r="A1721" t="str">
        <x:v>Active Sports Nutrition</x:v>
      </x:c>
      <x:c r="B1721" t="str">
        <x:v>Scitec Nutrition</x:v>
      </x:c>
      <x:c r="C1721" t="str">
        <x:v>Calcium Magnesium</x:v>
      </x:c>
      <x:c r="D1721" t="str">
        <x:v>Supplements</x:v>
      </x:c>
      <x:c r="E1721" t="str">
        <x:v>Vitamins</x:v>
      </x:c>
      <x:c r="F1721" t="str"/>
      <x:c r="G1721" t="str">
        <x:v>90 tabs</x:v>
      </x:c>
      <x:c r="H1721" t="str">
        <x:v>Default</x:v>
      </x:c>
      <x:c r="I1721" t="str"/>
      <x:c r="J1721" t="str">
        <x:v>Unit</x:v>
      </x:c>
      <x:c r="K1721" t="str">
        <x:v>In stock</x:v>
      </x:c>
      <x:c r="L1721" t="str">
        <x:v>2026-09-08</x:v>
      </x:c>
      <x:c r="M1721" t="str"/>
      <x:c r="N1721" t="str"/>
      <x:c r="O1721" t="str">
        <x:v>https://www.activesportstrade.co.uk/scitec-nutrition-trade</x:v>
      </x:c>
      <x:c r="P1721" t="str"/>
      <x:c r="Q1721" t="str"/>
      <x:c r="R1721" t="str"/>
      <x:c r="S1721" t="str">
        <x:v>Pending genuine supplier/brand image</x:v>
      </x:c>
      <x:c r="T1721" s="54" t="n">
        <x:v>6.11</x:v>
      </x:c>
      <x:c r="U1721" s="47" t="n">
        <x:v>0.2</x:v>
      </x:c>
      <x:c r="V1721" s="54" t="n">
        <x:f>IF(ISNUMBER(T1721),T1721*(1+U1721),"")</x:f>
        <x:v>7.332</x:v>
      </x:c>
      <x:c r="W1721" s="47" t="n">
        <x:v>0.3</x:v>
      </x:c>
      <x:c r="X1721" s="54" t="n">
        <x:f>IF(ISNUMBER(V1721),V1721/(1-W1721),"")</x:f>
        <x:v>10.474285714285715</x:v>
      </x:c>
      <x:c r="Y1721" s="55" t="n">
        <x:f>IF(ISNUMBER(X1721),ROUNDUP(X1721,0),"")</x:f>
        <x:v>11</x:v>
      </x:c>
      <x:c r="Z1721" t="str">
        <x:v>Source match pending</x:v>
      </x:c>
      <x:c r="AA1721" t="str">
        <x:v>screencapture-www-activesportstrade-co-uk-scitec-nutrition-trade-2026-09-10-09_07_50.pdf / page-3</x:v>
      </x:c>
      <x:c r="AB1721" s="36" t="n">
        <x:f>IF(ISNUMBER(Y1721),ROUND(Y1721*0.9,2),"")</x:f>
        <x:v>9.9</x:v>
      </x:c>
      <x:c r="AC1721" s="36" t="n">
        <x:f>IF(ISNUMBER(AB1721),ROUND(AB1721-(AB1721*0.015+0.2)-V1721,2),"")</x:f>
        <x:v>2.22</x:v>
      </x:c>
      <x:c r="AD1721" s="36" t="n">
        <x:f>IF(ISNUMBER(Y1721),ROUND(Y1721*0.8,2),"")</x:f>
        <x:v>8.8</x:v>
      </x:c>
      <x:c r="AE1721" s="36" t="n">
        <x:f>IF(ISNUMBER(AD1721),ROUND(AD1721*0.015+0.2,2),"")</x:f>
        <x:v>0.33</x:v>
      </x:c>
      <x:c r="AF1721" s="36" t="n">
        <x:f>IF(ISNUMBER(AD1721),ROUND(AD1721-AE1721-V1721,2),"")</x:f>
        <x:v>1.14</x:v>
      </x:c>
      <x:c r="AG1721" t="str">
        <x:f>IF(NOT(ISNUMBER(T1721)),"PENDING",IF(AF1721&gt;0,"PASS","FAIL"))</x:f>
        <x:v>PASS</x:v>
      </x:c>
      <x:c r="AH1721" t="str">
        <x:f>IF(NOT(ISNUMBER(T1721)),"Needs supplier cost",IF(K1721&lt;&gt;"In stock","Supplier unavailable",IF(AG1721&lt;&gt;"PASS","BLOCK - GT loss risk","Commercially protected")))</x:f>
        <x:v>Commercially protected</x:v>
      </x:c>
      <x:c r="AI1721" t="str">
        <x:v>2026-09-10 Active Sports trade capture</x:v>
      </x:c>
      <x:c r="AJ1721" t="str">
        <x:v>Management-only economics. Stripe stress test uses 1.5% + £0.20 standard UK online-card fee; pallet/mix-and-match pricing ignored.</x:v>
      </x:c>
    </x:row>
    <x:row r="1722">
      <x:c r="A1722" t="str">
        <x:v>Active Sports Nutrition</x:v>
      </x:c>
      <x:c r="B1722" t="str">
        <x:v>Scitec Nutrition</x:v>
      </x:c>
      <x:c r="C1722" t="str">
        <x:v>Citrulline Malate</x:v>
      </x:c>
      <x:c r="D1722" t="str">
        <x:v>Supplements</x:v>
      </x:c>
      <x:c r="E1722" t="str">
        <x:v>Amino Acids</x:v>
      </x:c>
      <x:c r="F1722" t="str"/>
      <x:c r="G1722" t="str">
        <x:v>90 caps</x:v>
      </x:c>
      <x:c r="H1722" t="str">
        <x:v>Default</x:v>
      </x:c>
      <x:c r="I1722" t="str"/>
      <x:c r="J1722" t="str">
        <x:v>Unit</x:v>
      </x:c>
      <x:c r="K1722" t="str">
        <x:v>In stock</x:v>
      </x:c>
      <x:c r="L1722" t="str">
        <x:v>2026-09-08</x:v>
      </x:c>
      <x:c r="M1722" t="str"/>
      <x:c r="N1722" t="str"/>
      <x:c r="O1722" t="str">
        <x:v>https://www.activesportstrade.co.uk/scitec-nutrition-trade</x:v>
      </x:c>
      <x:c r="P1722" t="str"/>
      <x:c r="Q1722" t="str"/>
      <x:c r="R1722" t="str"/>
      <x:c r="S1722" t="str">
        <x:v>Pending genuine supplier/brand image</x:v>
      </x:c>
      <x:c r="T1722" s="54" t="n">
        <x:v>7.75</x:v>
      </x:c>
      <x:c r="U1722" s="47" t="n">
        <x:v>0.2</x:v>
      </x:c>
      <x:c r="V1722" s="54" t="n">
        <x:f>IF(ISNUMBER(T1722),T1722*(1+U1722),"")</x:f>
        <x:v>9.299999999999999</x:v>
      </x:c>
      <x:c r="W1722" s="47" t="n">
        <x:v>0.3</x:v>
      </x:c>
      <x:c r="X1722" s="54" t="n">
        <x:f>IF(ISNUMBER(V1722),V1722/(1-W1722),"")</x:f>
        <x:v>13.285714285714285</x:v>
      </x:c>
      <x:c r="Y1722" s="55" t="n">
        <x:f>IF(ISNUMBER(X1722),ROUNDUP(X1722,0),"")</x:f>
        <x:v>14</x:v>
      </x:c>
      <x:c r="Z1722" t="str">
        <x:v>Source match pending</x:v>
      </x:c>
      <x:c r="AA1722" t="str">
        <x:v>screencapture-www-activesportstrade-co-uk-scitec-nutrition-trade-2026-09-10-09_07_50.pdf / page-4</x:v>
      </x:c>
      <x:c r="AB1722" s="36" t="n">
        <x:f>IF(ISNUMBER(Y1722),ROUND(Y1722*0.9,2),"")</x:f>
        <x:v>12.6</x:v>
      </x:c>
      <x:c r="AC1722" s="36" t="n">
        <x:f>IF(ISNUMBER(AB1722),ROUND(AB1722-(AB1722*0.015+0.2)-V1722,2),"")</x:f>
        <x:v>2.91</x:v>
      </x:c>
      <x:c r="AD1722" s="36" t="n">
        <x:f>IF(ISNUMBER(Y1722),ROUND(Y1722*0.8,2),"")</x:f>
        <x:v>11.2</x:v>
      </x:c>
      <x:c r="AE1722" s="36" t="n">
        <x:f>IF(ISNUMBER(AD1722),ROUND(AD1722*0.015+0.2,2),"")</x:f>
        <x:v>0.37</x:v>
      </x:c>
      <x:c r="AF1722" s="36" t="n">
        <x:f>IF(ISNUMBER(AD1722),ROUND(AD1722-AE1722-V1722,2),"")</x:f>
        <x:v>1.53</x:v>
      </x:c>
      <x:c r="AG1722" t="str">
        <x:f>IF(NOT(ISNUMBER(T1722)),"PENDING",IF(AF1722&gt;0,"PASS","FAIL"))</x:f>
        <x:v>PASS</x:v>
      </x:c>
      <x:c r="AH1722" t="str">
        <x:f>IF(NOT(ISNUMBER(T1722)),"Needs supplier cost",IF(K1722&lt;&gt;"In stock","Supplier unavailable",IF(AG1722&lt;&gt;"PASS","BLOCK - GT loss risk","Commercially protected")))</x:f>
        <x:v>Commercially protected</x:v>
      </x:c>
      <x:c r="AI1722" t="str">
        <x:v>2026-09-10 Active Sports trade capture</x:v>
      </x:c>
      <x:c r="AJ1722" t="str">
        <x:v>Management-only economics. Stripe stress test uses 1.5% + £0.20 standard UK online-card fee; pallet/mix-and-match pricing ignored.</x:v>
      </x:c>
    </x:row>
    <x:row r="1723">
      <x:c r="A1723" t="str">
        <x:v>Active Sports Nutrition</x:v>
      </x:c>
      <x:c r="B1723" t="str">
        <x:v>Scitec Nutrition</x:v>
      </x:c>
      <x:c r="C1723" t="str">
        <x:v>CO-Q10 150mg Daily Dose</x:v>
      </x:c>
      <x:c r="D1723" t="str">
        <x:v>Supplements</x:v>
      </x:c>
      <x:c r="E1723" t="str">
        <x:v>Health Foods</x:v>
      </x:c>
      <x:c r="F1723" t="str"/>
      <x:c r="G1723" t="str">
        <x:v>100 caps</x:v>
      </x:c>
      <x:c r="H1723" t="str">
        <x:v>Default</x:v>
      </x:c>
      <x:c r="I1723" t="str"/>
      <x:c r="J1723" t="str">
        <x:v>Unit</x:v>
      </x:c>
      <x:c r="K1723" t="str">
        <x:v>In stock</x:v>
      </x:c>
      <x:c r="L1723" t="str">
        <x:v>2026-09-08</x:v>
      </x:c>
      <x:c r="M1723" t="str"/>
      <x:c r="N1723" t="str"/>
      <x:c r="O1723" t="str">
        <x:v>https://www.activesportstrade.co.uk/scitec-nutrition-trade</x:v>
      </x:c>
      <x:c r="P1723" t="str"/>
      <x:c r="Q1723" t="str"/>
      <x:c r="R1723" t="str"/>
      <x:c r="S1723" t="str">
        <x:v>Pending genuine supplier/brand image</x:v>
      </x:c>
      <x:c r="T1723" s="54" t="n">
        <x:v>6.89</x:v>
      </x:c>
      <x:c r="U1723" s="47" t="n">
        <x:v>0.2</x:v>
      </x:c>
      <x:c r="V1723" s="54" t="n">
        <x:f>IF(ISNUMBER(T1723),T1723*(1+U1723),"")</x:f>
        <x:v>8.267999999999999</x:v>
      </x:c>
      <x:c r="W1723" s="47" t="n">
        <x:v>0.3</x:v>
      </x:c>
      <x:c r="X1723" s="54" t="n">
        <x:f>IF(ISNUMBER(V1723),V1723/(1-W1723),"")</x:f>
        <x:v>11.811428571428571</x:v>
      </x:c>
      <x:c r="Y1723" s="55" t="n">
        <x:f>IF(ISNUMBER(X1723),ROUNDUP(X1723,0),"")</x:f>
        <x:v>12</x:v>
      </x:c>
      <x:c r="Z1723" t="str">
        <x:v>Source match pending</x:v>
      </x:c>
      <x:c r="AA1723" t="str">
        <x:v>screencapture-www-activesportstrade-co-uk-scitec-nutrition-trade-2026-09-10-09_07_50.pdf / page-4</x:v>
      </x:c>
      <x:c r="AB1723" s="36" t="n">
        <x:f>IF(ISNUMBER(Y1723),ROUND(Y1723*0.9,2),"")</x:f>
        <x:v>10.8</x:v>
      </x:c>
      <x:c r="AC1723" s="36" t="n">
        <x:f>IF(ISNUMBER(AB1723),ROUND(AB1723-(AB1723*0.015+0.2)-V1723,2),"")</x:f>
        <x:v>2.17</x:v>
      </x:c>
      <x:c r="AD1723" s="36" t="n">
        <x:f>IF(ISNUMBER(Y1723),ROUND(Y1723*0.8,2),"")</x:f>
        <x:v>9.6</x:v>
      </x:c>
      <x:c r="AE1723" s="36" t="n">
        <x:f>IF(ISNUMBER(AD1723),ROUND(AD1723*0.015+0.2,2),"")</x:f>
        <x:v>0.34</x:v>
      </x:c>
      <x:c r="AF1723" s="36" t="n">
        <x:f>IF(ISNUMBER(AD1723),ROUND(AD1723-AE1723-V1723,2),"")</x:f>
        <x:v>0.99</x:v>
      </x:c>
      <x:c r="AG1723" t="str">
        <x:f>IF(NOT(ISNUMBER(T1723)),"PENDING",IF(AF1723&gt;0,"PASS","FAIL"))</x:f>
        <x:v>PASS</x:v>
      </x:c>
      <x:c r="AH1723" t="str">
        <x:f>IF(NOT(ISNUMBER(T1723)),"Needs supplier cost",IF(K1723&lt;&gt;"In stock","Supplier unavailable",IF(AG1723&lt;&gt;"PASS","BLOCK - GT loss risk","Commercially protected")))</x:f>
        <x:v>Commercially protected</x:v>
      </x:c>
      <x:c r="AI1723" t="str">
        <x:v>2026-09-10 Active Sports trade capture</x:v>
      </x:c>
      <x:c r="AJ1723" t="str">
        <x:v>Management-only economics. Stripe stress test uses 1.5% + £0.20 standard UK online-card fee; pallet/mix-and-match pricing ignored.</x:v>
      </x:c>
    </x:row>
    <x:row r="1724">
      <x:c r="A1724" t="str">
        <x:v>Active Sports Nutrition</x:v>
      </x:c>
      <x:c r="B1724" t="str">
        <x:v>Scitec Nutrition</x:v>
      </x:c>
      <x:c r="C1724" t="str">
        <x:v>Crea Caps - Creatine Monohydrate</x:v>
      </x:c>
      <x:c r="D1724" t="str">
        <x:v>Supplements</x:v>
      </x:c>
      <x:c r="E1724" t="str">
        <x:v>Creatine Pills</x:v>
      </x:c>
      <x:c r="F1724" t="str"/>
      <x:c r="G1724" t="str">
        <x:v>250 caps</x:v>
      </x:c>
      <x:c r="H1724" t="str">
        <x:v>Default</x:v>
      </x:c>
      <x:c r="I1724" t="str"/>
      <x:c r="J1724" t="str">
        <x:v>Unit</x:v>
      </x:c>
      <x:c r="K1724" t="str">
        <x:v>In stock</x:v>
      </x:c>
      <x:c r="L1724" t="str">
        <x:v>2026-09-08</x:v>
      </x:c>
      <x:c r="M1724" t="str"/>
      <x:c r="N1724" t="str"/>
      <x:c r="O1724" t="str">
        <x:v>https://www.activesportstrade.co.uk/scitec-nutrition-trade</x:v>
      </x:c>
      <x:c r="P1724" t="str"/>
      <x:c r="Q1724" t="str"/>
      <x:c r="R1724" t="str"/>
      <x:c r="S1724" t="str">
        <x:v>Pending genuine supplier/brand image</x:v>
      </x:c>
      <x:c r="T1724" s="54" t="n">
        <x:v>11.67</x:v>
      </x:c>
      <x:c r="U1724" s="47" t="n">
        <x:v>0.2</x:v>
      </x:c>
      <x:c r="V1724" s="54" t="n">
        <x:f>IF(ISNUMBER(T1724),T1724*(1+U1724),"")</x:f>
        <x:v>14.004</x:v>
      </x:c>
      <x:c r="W1724" s="47" t="n">
        <x:v>0.3</x:v>
      </x:c>
      <x:c r="X1724" s="54" t="n">
        <x:f>IF(ISNUMBER(V1724),V1724/(1-W1724),"")</x:f>
        <x:v>20.005714285714287</x:v>
      </x:c>
      <x:c r="Y1724" s="55" t="n">
        <x:f>IF(ISNUMBER(X1724),ROUNDUP(X1724,0),"")</x:f>
        <x:v>21</x:v>
      </x:c>
      <x:c r="Z1724" t="str">
        <x:v>Source match pending</x:v>
      </x:c>
      <x:c r="AA1724" t="str">
        <x:v>screencapture-www-activesportstrade-co-uk-scitec-nutrition-trade-2026-09-10-09_07_50.pdf / page-4</x:v>
      </x:c>
      <x:c r="AB1724" s="36" t="n">
        <x:f>IF(ISNUMBER(Y1724),ROUND(Y1724*0.9,2),"")</x:f>
        <x:v>18.9</x:v>
      </x:c>
      <x:c r="AC1724" s="36" t="n">
        <x:f>IF(ISNUMBER(AB1724),ROUND(AB1724-(AB1724*0.015+0.2)-V1724,2),"")</x:f>
        <x:v>4.41</x:v>
      </x:c>
      <x:c r="AD1724" s="36" t="n">
        <x:f>IF(ISNUMBER(Y1724),ROUND(Y1724*0.8,2),"")</x:f>
        <x:v>16.8</x:v>
      </x:c>
      <x:c r="AE1724" s="36" t="n">
        <x:f>IF(ISNUMBER(AD1724),ROUND(AD1724*0.015+0.2,2),"")</x:f>
        <x:v>0.45</x:v>
      </x:c>
      <x:c r="AF1724" s="36" t="n">
        <x:f>IF(ISNUMBER(AD1724),ROUND(AD1724-AE1724-V1724,2),"")</x:f>
        <x:v>2.35</x:v>
      </x:c>
      <x:c r="AG1724" t="str">
        <x:f>IF(NOT(ISNUMBER(T1724)),"PENDING",IF(AF1724&gt;0,"PASS","FAIL"))</x:f>
        <x:v>PASS</x:v>
      </x:c>
      <x:c r="AH1724" t="str">
        <x:f>IF(NOT(ISNUMBER(T1724)),"Needs supplier cost",IF(K1724&lt;&gt;"In stock","Supplier unavailable",IF(AG1724&lt;&gt;"PASS","BLOCK - GT loss risk","Commercially protected")))</x:f>
        <x:v>Commercially protected</x:v>
      </x:c>
      <x:c r="AI1724" t="str">
        <x:v>2026-09-10 Active Sports trade capture</x:v>
      </x:c>
      <x:c r="AJ1724" t="str">
        <x:v>Management-only economics. Stripe stress test uses 1.5% + £0.20 standard UK online-card fee; pallet/mix-and-match pricing ignored.</x:v>
      </x:c>
    </x:row>
    <x:row r="1725">
      <x:c r="A1725" t="str">
        <x:v>Active Sports Nutrition</x:v>
      </x:c>
      <x:c r="B1725" t="str">
        <x:v>Scitec Nutrition</x:v>
      </x:c>
      <x:c r="C1725" t="str">
        <x:v>DAA Pro</x:v>
      </x:c>
      <x:c r="D1725" t="str">
        <x:v>Supplements</x:v>
      </x:c>
      <x:c r="E1725" t="str">
        <x:v>Testosterone Boosters</x:v>
      </x:c>
      <x:c r="F1725" t="str"/>
      <x:c r="G1725" t="str">
        <x:v>100 caps</x:v>
      </x:c>
      <x:c r="H1725" t="str">
        <x:v>Default</x:v>
      </x:c>
      <x:c r="I1725" t="str"/>
      <x:c r="J1725" t="str">
        <x:v>Unit</x:v>
      </x:c>
      <x:c r="K1725" t="str">
        <x:v>In stock</x:v>
      </x:c>
      <x:c r="L1725" t="str">
        <x:v>2026-09-08</x:v>
      </x:c>
      <x:c r="M1725" t="str"/>
      <x:c r="N1725" t="str"/>
      <x:c r="O1725" t="str">
        <x:v>https://www.activesportstrade.co.uk/scitec-nutrition-trade</x:v>
      </x:c>
      <x:c r="P1725" t="str"/>
      <x:c r="Q1725" t="str"/>
      <x:c r="R1725" t="str"/>
      <x:c r="S1725" t="str">
        <x:v>Pending genuine supplier/brand image</x:v>
      </x:c>
      <x:c r="T1725" s="54" t="n">
        <x:v>9.34</x:v>
      </x:c>
      <x:c r="U1725" s="47" t="n">
        <x:v>0.2</x:v>
      </x:c>
      <x:c r="V1725" s="54" t="n">
        <x:f>IF(ISNUMBER(T1725),T1725*(1+U1725),"")</x:f>
        <x:v>11.208</x:v>
      </x:c>
      <x:c r="W1725" s="47" t="n">
        <x:v>0.3</x:v>
      </x:c>
      <x:c r="X1725" s="54" t="n">
        <x:f>IF(ISNUMBER(V1725),V1725/(1-W1725),"")</x:f>
        <x:v>16.011428571428574</x:v>
      </x:c>
      <x:c r="Y1725" s="55" t="n">
        <x:f>IF(ISNUMBER(X1725),ROUNDUP(X1725,0),"")</x:f>
        <x:v>17</x:v>
      </x:c>
      <x:c r="Z1725" t="str">
        <x:v>Source match pending</x:v>
      </x:c>
      <x:c r="AA1725" t="str">
        <x:v>screencapture-www-activesportstrade-co-uk-scitec-nutrition-trade-2026-09-10-09_07_50.pdf / page-4</x:v>
      </x:c>
      <x:c r="AB1725" s="36" t="n">
        <x:f>IF(ISNUMBER(Y1725),ROUND(Y1725*0.9,2),"")</x:f>
        <x:v>15.3</x:v>
      </x:c>
      <x:c r="AC1725" s="36" t="n">
        <x:f>IF(ISNUMBER(AB1725),ROUND(AB1725-(AB1725*0.015+0.2)-V1725,2),"")</x:f>
        <x:v>3.66</x:v>
      </x:c>
      <x:c r="AD1725" s="36" t="n">
        <x:f>IF(ISNUMBER(Y1725),ROUND(Y1725*0.8,2),"")</x:f>
        <x:v>13.6</x:v>
      </x:c>
      <x:c r="AE1725" s="36" t="n">
        <x:f>IF(ISNUMBER(AD1725),ROUND(AD1725*0.015+0.2,2),"")</x:f>
        <x:v>0.4</x:v>
      </x:c>
      <x:c r="AF1725" s="36" t="n">
        <x:f>IF(ISNUMBER(AD1725),ROUND(AD1725-AE1725-V1725,2),"")</x:f>
        <x:v>1.99</x:v>
      </x:c>
      <x:c r="AG1725" t="str">
        <x:f>IF(NOT(ISNUMBER(T1725)),"PENDING",IF(AF1725&gt;0,"PASS","FAIL"))</x:f>
        <x:v>PASS</x:v>
      </x:c>
      <x:c r="AH1725" t="str">
        <x:f>IF(NOT(ISNUMBER(T1725)),"Needs supplier cost",IF(K1725&lt;&gt;"In stock","Supplier unavailable",IF(AG1725&lt;&gt;"PASS","BLOCK - GT loss risk","Commercially protected")))</x:f>
        <x:v>Commercially protected</x:v>
      </x:c>
      <x:c r="AI1725" t="str">
        <x:v>2026-09-10 Active Sports trade capture</x:v>
      </x:c>
      <x:c r="AJ1725" t="str">
        <x:v>Management-only economics. Stripe stress test uses 1.5% + £0.20 standard UK online-card fee; pallet/mix-and-match pricing ignored.</x:v>
      </x:c>
    </x:row>
    <x:row r="1726">
      <x:c r="A1726" t="str">
        <x:v>Active Sports Nutrition</x:v>
      </x:c>
      <x:c r="B1726" t="str">
        <x:v>Scitec Nutrition</x:v>
      </x:c>
      <x:c r="C1726" t="str">
        <x:v>Daily Vita-min</x:v>
      </x:c>
      <x:c r="D1726" t="str">
        <x:v>Supplements</x:v>
      </x:c>
      <x:c r="E1726" t="str">
        <x:v>Vitamins</x:v>
      </x:c>
      <x:c r="F1726" t="str"/>
      <x:c r="G1726" t="str">
        <x:v>90 caps</x:v>
      </x:c>
      <x:c r="H1726" t="str">
        <x:v>Default</x:v>
      </x:c>
      <x:c r="I1726" t="str"/>
      <x:c r="J1726" t="str">
        <x:v>Unit</x:v>
      </x:c>
      <x:c r="K1726" t="str">
        <x:v>In stock</x:v>
      </x:c>
      <x:c r="L1726" t="str">
        <x:v>2026-09-08</x:v>
      </x:c>
      <x:c r="M1726" t="str"/>
      <x:c r="N1726" t="str"/>
      <x:c r="O1726" t="str">
        <x:v>https://www.activesportstrade.co.uk/scitec-nutrition-trade</x:v>
      </x:c>
      <x:c r="P1726" t="str"/>
      <x:c r="Q1726" t="str"/>
      <x:c r="R1726" t="str"/>
      <x:c r="S1726" t="str">
        <x:v>Pending genuine supplier/brand image</x:v>
      </x:c>
      <x:c r="T1726" s="54" t="n">
        <x:v>7.75</x:v>
      </x:c>
      <x:c r="U1726" s="47" t="n">
        <x:v>0.2</x:v>
      </x:c>
      <x:c r="V1726" s="54" t="n">
        <x:f>IF(ISNUMBER(T1726),T1726*(1+U1726),"")</x:f>
        <x:v>9.299999999999999</x:v>
      </x:c>
      <x:c r="W1726" s="47" t="n">
        <x:v>0.3</x:v>
      </x:c>
      <x:c r="X1726" s="54" t="n">
        <x:f>IF(ISNUMBER(V1726),V1726/(1-W1726),"")</x:f>
        <x:v>13.285714285714285</x:v>
      </x:c>
      <x:c r="Y1726" s="55" t="n">
        <x:f>IF(ISNUMBER(X1726),ROUNDUP(X1726,0),"")</x:f>
        <x:v>14</x:v>
      </x:c>
      <x:c r="Z1726" t="str">
        <x:v>Source match pending</x:v>
      </x:c>
      <x:c r="AA1726" t="str">
        <x:v>screencapture-www-activesportstrade-co-uk-scitec-nutrition-trade-2026-09-10-09_07_50.pdf / page-4</x:v>
      </x:c>
      <x:c r="AB1726" s="36" t="n">
        <x:f>IF(ISNUMBER(Y1726),ROUND(Y1726*0.9,2),"")</x:f>
        <x:v>12.6</x:v>
      </x:c>
      <x:c r="AC1726" s="36" t="n">
        <x:f>IF(ISNUMBER(AB1726),ROUND(AB1726-(AB1726*0.015+0.2)-V1726,2),"")</x:f>
        <x:v>2.91</x:v>
      </x:c>
      <x:c r="AD1726" s="36" t="n">
        <x:f>IF(ISNUMBER(Y1726),ROUND(Y1726*0.8,2),"")</x:f>
        <x:v>11.2</x:v>
      </x:c>
      <x:c r="AE1726" s="36" t="n">
        <x:f>IF(ISNUMBER(AD1726),ROUND(AD1726*0.015+0.2,2),"")</x:f>
        <x:v>0.37</x:v>
      </x:c>
      <x:c r="AF1726" s="36" t="n">
        <x:f>IF(ISNUMBER(AD1726),ROUND(AD1726-AE1726-V1726,2),"")</x:f>
        <x:v>1.53</x:v>
      </x:c>
      <x:c r="AG1726" t="str">
        <x:f>IF(NOT(ISNUMBER(T1726)),"PENDING",IF(AF1726&gt;0,"PASS","FAIL"))</x:f>
        <x:v>PASS</x:v>
      </x:c>
      <x:c r="AH1726" t="str">
        <x:f>IF(NOT(ISNUMBER(T1726)),"Needs supplier cost",IF(K1726&lt;&gt;"In stock","Supplier unavailable",IF(AG1726&lt;&gt;"PASS","BLOCK - GT loss risk","Commercially protected")))</x:f>
        <x:v>Commercially protected</x:v>
      </x:c>
      <x:c r="AI1726" t="str">
        <x:v>2026-09-10 Active Sports trade capture</x:v>
      </x:c>
      <x:c r="AJ1726" t="str">
        <x:v>Management-only economics. Stripe stress test uses 1.5% + £0.20 standard UK online-card fee; pallet/mix-and-match pricing ignored.</x:v>
      </x:c>
    </x:row>
    <x:row r="1727">
      <x:c r="A1727" t="str">
        <x:v>Active Sports Nutrition</x:v>
      </x:c>
      <x:c r="B1727" t="str">
        <x:v>Scitec Nutrition</x:v>
      </x:c>
      <x:c r="C1727" t="str">
        <x:v>GH Surge</x:v>
      </x:c>
      <x:c r="D1727" t="str">
        <x:v>Supplements</x:v>
      </x:c>
      <x:c r="E1727" t="str">
        <x:v>Amino Acids</x:v>
      </x:c>
      <x:c r="F1727" t="str"/>
      <x:c r="G1727" t="str">
        <x:v>90 caps</x:v>
      </x:c>
      <x:c r="H1727" t="str">
        <x:v>Default</x:v>
      </x:c>
      <x:c r="I1727" t="str"/>
      <x:c r="J1727" t="str">
        <x:v>Unit</x:v>
      </x:c>
      <x:c r="K1727" t="str">
        <x:v>In stock</x:v>
      </x:c>
      <x:c r="L1727" t="str">
        <x:v>2026-09-08</x:v>
      </x:c>
      <x:c r="M1727" t="str"/>
      <x:c r="N1727" t="str"/>
      <x:c r="O1727" t="str">
        <x:v>https://www.activesportstrade.co.uk/scitec-nutrition-trade</x:v>
      </x:c>
      <x:c r="P1727" t="str"/>
      <x:c r="Q1727" t="str"/>
      <x:c r="R1727" t="str"/>
      <x:c r="S1727" t="str">
        <x:v>Pending genuine supplier/brand image</x:v>
      </x:c>
      <x:c r="T1727" s="54" t="n">
        <x:v>5.99</x:v>
      </x:c>
      <x:c r="U1727" s="47" t="n">
        <x:v>0.2</x:v>
      </x:c>
      <x:c r="V1727" s="54" t="n">
        <x:f>IF(ISNUMBER(T1727),T1727*(1+U1727),"")</x:f>
        <x:v>7.188</x:v>
      </x:c>
      <x:c r="W1727" s="47" t="n">
        <x:v>0.3</x:v>
      </x:c>
      <x:c r="X1727" s="54" t="n">
        <x:f>IF(ISNUMBER(V1727),V1727/(1-W1727),"")</x:f>
        <x:v>10.268571428571429</x:v>
      </x:c>
      <x:c r="Y1727" s="55" t="n">
        <x:f>IF(ISNUMBER(X1727),ROUNDUP(X1727,0),"")</x:f>
        <x:v>11</x:v>
      </x:c>
      <x:c r="Z1727" t="str">
        <x:v>Source match pending</x:v>
      </x:c>
      <x:c r="AA1727" t="str">
        <x:v>screencapture-www-activesportstrade-co-uk-scitec-nutrition-trade-2026-09-10-09_07_50.pdf / page-5</x:v>
      </x:c>
      <x:c r="AB1727" s="36" t="n">
        <x:f>IF(ISNUMBER(Y1727),ROUND(Y1727*0.9,2),"")</x:f>
        <x:v>9.9</x:v>
      </x:c>
      <x:c r="AC1727" s="36" t="n">
        <x:f>IF(ISNUMBER(AB1727),ROUND(AB1727-(AB1727*0.015+0.2)-V1727,2),"")</x:f>
        <x:v>2.36</x:v>
      </x:c>
      <x:c r="AD1727" s="36" t="n">
        <x:f>IF(ISNUMBER(Y1727),ROUND(Y1727*0.8,2),"")</x:f>
        <x:v>8.8</x:v>
      </x:c>
      <x:c r="AE1727" s="36" t="n">
        <x:f>IF(ISNUMBER(AD1727),ROUND(AD1727*0.015+0.2,2),"")</x:f>
        <x:v>0.33</x:v>
      </x:c>
      <x:c r="AF1727" s="36" t="n">
        <x:f>IF(ISNUMBER(AD1727),ROUND(AD1727-AE1727-V1727,2),"")</x:f>
        <x:v>1.28</x:v>
      </x:c>
      <x:c r="AG1727" t="str">
        <x:f>IF(NOT(ISNUMBER(T1727)),"PENDING",IF(AF1727&gt;0,"PASS","FAIL"))</x:f>
        <x:v>PASS</x:v>
      </x:c>
      <x:c r="AH1727" t="str">
        <x:f>IF(NOT(ISNUMBER(T1727)),"Needs supplier cost",IF(K1727&lt;&gt;"In stock","Supplier unavailable",IF(AG1727&lt;&gt;"PASS","BLOCK - GT loss risk","Commercially protected")))</x:f>
        <x:v>Commercially protected</x:v>
      </x:c>
      <x:c r="AI1727" t="str">
        <x:v>2026-09-10 Active Sports trade capture</x:v>
      </x:c>
      <x:c r="AJ1727" t="str">
        <x:v>Management-only economics. Stripe stress test uses 1.5% + £0.20 standard UK online-card fee; pallet/mix-and-match pricing ignored.</x:v>
      </x:c>
    </x:row>
    <x:row r="1728">
      <x:c r="A1728" t="str">
        <x:v>Active Sports Nutrition</x:v>
      </x:c>
      <x:c r="B1728" t="str">
        <x:v>Scitec Nutrition</x:v>
      </x:c>
      <x:c r="C1728" t="str">
        <x:v>Greens &amp; Fruits</x:v>
      </x:c>
      <x:c r="D1728" t="str">
        <x:v>Supplements</x:v>
      </x:c>
      <x:c r="E1728" t="str">
        <x:v>Health Foods</x:v>
      </x:c>
      <x:c r="F1728" t="str"/>
      <x:c r="G1728" t="str">
        <x:v>600g</x:v>
      </x:c>
      <x:c r="H1728" t="str">
        <x:v>Default</x:v>
      </x:c>
      <x:c r="I1728" t="str"/>
      <x:c r="J1728" t="str">
        <x:v>Unit</x:v>
      </x:c>
      <x:c r="K1728" t="str">
        <x:v>In stock</x:v>
      </x:c>
      <x:c r="L1728" t="str">
        <x:v>2026-09-08</x:v>
      </x:c>
      <x:c r="M1728" t="str"/>
      <x:c r="N1728" t="str"/>
      <x:c r="O1728" t="str">
        <x:v>https://www.activesportstrade.co.uk/scitec-nutrition-trade</x:v>
      </x:c>
      <x:c r="P1728" t="str"/>
      <x:c r="Q1728" t="str"/>
      <x:c r="R1728" t="str"/>
      <x:c r="S1728" t="str">
        <x:v>Pending genuine supplier/brand image</x:v>
      </x:c>
      <x:c r="T1728" s="54"/>
      <x:c r="U1728" s="47" t="n">
        <x:v>0.2</x:v>
      </x:c>
      <x:c r="V1728" s="54" t="str">
        <x:f>IF(ISNUMBER(T1728),T1728*(1+U1728),"")</x:f>
      </x:c>
      <x:c r="W1728" s="47" t="n">
        <x:v>0.3</x:v>
      </x:c>
      <x:c r="X1728" s="54" t="str">
        <x:f>IF(ISNUMBER(V1728),V1728/(1-W1728),"")</x:f>
      </x:c>
      <x:c r="Y1728" s="55" t="str">
        <x:f>IF(ISNUMBER(X1728),ROUNDUP(X1728,0),"")</x:f>
      </x:c>
      <x:c r="Z1728" t="str">
        <x:f>IF(ISNUMBER(T1728),"Cost captured","Awaiting trade cost")</x:f>
        <x:v>Awaiting trade cost</x:v>
      </x:c>
      <x:c r="AB1728" s="36" t="str">
        <x:f>IF(ISNUMBER(Y1728),ROUND(Y1728*0.9,2),"")</x:f>
      </x:c>
      <x:c r="AC1728" s="36" t="str">
        <x:f>IF(ISNUMBER(AB1728),ROUND(AB1728-(AB1728*0.015+0.2)-V1728,2),"")</x:f>
      </x:c>
      <x:c r="AD1728" s="36" t="str">
        <x:f>IF(ISNUMBER(Y1728),ROUND(Y1728*0.8,2),"")</x:f>
      </x:c>
      <x:c r="AE1728" s="36" t="str">
        <x:f>IF(ISNUMBER(AD1728),ROUND(AD1728*0.015+0.2,2),"")</x:f>
      </x:c>
      <x:c r="AF1728" s="36" t="str">
        <x:f>IF(ISNUMBER(AD1728),ROUND(AD1728-AE1728-V1728,2),"")</x:f>
      </x:c>
      <x:c r="AG1728" t="str">
        <x:f>IF(NOT(ISNUMBER(T1728)),"PENDING",IF(AF1728&gt;0,"PASS","FAIL"))</x:f>
        <x:v>PENDING</x:v>
      </x:c>
      <x:c r="AH1728" t="str">
        <x:f>IF(NOT(ISNUMBER(T1728)),"Needs supplier cost",IF(K1728&lt;&gt;"In stock","Supplier unavailable",IF(AG1728&lt;&gt;"PASS","BLOCK - GT loss risk","Commercially protected")))</x:f>
        <x:v>Needs supplier cost</x:v>
      </x:c>
      <x:c r="AI1728" t="str">
        <x:v>2026-09-10 Active Sports trade capture</x:v>
      </x:c>
      <x:c r="AJ1728" t="str">
        <x:v>Management-only economics. Stripe stress test uses 1.5% + £0.20 standard UK online-card fee; pallet/mix-and-match pricing ignored.</x:v>
      </x:c>
    </x:row>
    <x:row r="1729">
      <x:c r="A1729" t="str">
        <x:v>Active Sports Nutrition</x:v>
      </x:c>
      <x:c r="B1729" t="str">
        <x:v>Scitec Nutrition</x:v>
      </x:c>
      <x:c r="C1729" t="str">
        <x:v>Monster Pak - Mega Vitamin and Mineral Pak</x:v>
      </x:c>
      <x:c r="D1729" t="str">
        <x:v>Supplements</x:v>
      </x:c>
      <x:c r="E1729" t="str">
        <x:v>Vitamins</x:v>
      </x:c>
      <x:c r="F1729" t="str"/>
      <x:c r="G1729" t="str">
        <x:v>40 packs</x:v>
      </x:c>
      <x:c r="H1729" t="str">
        <x:v>Default</x:v>
      </x:c>
      <x:c r="I1729" t="str"/>
      <x:c r="J1729" t="str">
        <x:v>Unit</x:v>
      </x:c>
      <x:c r="K1729" t="str">
        <x:v>In stock</x:v>
      </x:c>
      <x:c r="L1729" t="str">
        <x:v>2026-09-08</x:v>
      </x:c>
      <x:c r="M1729" t="str"/>
      <x:c r="N1729" t="str"/>
      <x:c r="O1729" t="str">
        <x:v>https://www.activesportstrade.co.uk/scitec-nutrition-trade</x:v>
      </x:c>
      <x:c r="P1729" t="str"/>
      <x:c r="Q1729" t="str"/>
      <x:c r="R1729" t="str"/>
      <x:c r="S1729" t="str">
        <x:v>Pending genuine supplier/brand image</x:v>
      </x:c>
      <x:c r="T1729" s="54" t="n">
        <x:v>17.72</x:v>
      </x:c>
      <x:c r="U1729" s="47" t="n">
        <x:v>0.2</x:v>
      </x:c>
      <x:c r="V1729" s="54" t="n">
        <x:f>IF(ISNUMBER(T1729),T1729*(1+U1729),"")</x:f>
        <x:v>21.264</x:v>
      </x:c>
      <x:c r="W1729" s="47" t="n">
        <x:v>0.3</x:v>
      </x:c>
      <x:c r="X1729" s="54" t="n">
        <x:f>IF(ISNUMBER(V1729),V1729/(1-W1729),"")</x:f>
        <x:v>30.377142857142857</x:v>
      </x:c>
      <x:c r="Y1729" s="55" t="n">
        <x:f>IF(ISNUMBER(X1729),ROUNDUP(X1729,0),"")</x:f>
        <x:v>31</x:v>
      </x:c>
      <x:c r="Z1729" t="str">
        <x:v>Source match pending</x:v>
      </x:c>
      <x:c r="AA1729" t="str">
        <x:v>screencapture-www-activesportstrade-co-uk-scitec-nutrition-trade-2026-09-10-09_07_50.pdf / page-7</x:v>
      </x:c>
      <x:c r="AB1729" s="36" t="n">
        <x:f>IF(ISNUMBER(Y1729),ROUND(Y1729*0.9,2),"")</x:f>
        <x:v>27.9</x:v>
      </x:c>
      <x:c r="AC1729" s="36" t="n">
        <x:f>IF(ISNUMBER(AB1729),ROUND(AB1729-(AB1729*0.015+0.2)-V1729,2),"")</x:f>
        <x:v>6.02</x:v>
      </x:c>
      <x:c r="AD1729" s="36" t="n">
        <x:f>IF(ISNUMBER(Y1729),ROUND(Y1729*0.8,2),"")</x:f>
        <x:v>24.8</x:v>
      </x:c>
      <x:c r="AE1729" s="36" t="n">
        <x:f>IF(ISNUMBER(AD1729),ROUND(AD1729*0.015+0.2,2),"")</x:f>
        <x:v>0.57</x:v>
      </x:c>
      <x:c r="AF1729" s="36" t="n">
        <x:f>IF(ISNUMBER(AD1729),ROUND(AD1729-AE1729-V1729,2),"")</x:f>
        <x:v>2.97</x:v>
      </x:c>
      <x:c r="AG1729" t="str">
        <x:f>IF(NOT(ISNUMBER(T1729)),"PENDING",IF(AF1729&gt;0,"PASS","FAIL"))</x:f>
        <x:v>PASS</x:v>
      </x:c>
      <x:c r="AH1729" t="str">
        <x:f>IF(NOT(ISNUMBER(T1729)),"Needs supplier cost",IF(K1729&lt;&gt;"In stock","Supplier unavailable",IF(AG1729&lt;&gt;"PASS","BLOCK - GT loss risk","Commercially protected")))</x:f>
        <x:v>Commercially protected</x:v>
      </x:c>
      <x:c r="AI1729" t="str">
        <x:v>2026-09-10 Active Sports trade capture</x:v>
      </x:c>
      <x:c r="AJ1729" t="str">
        <x:v>Management-only economics. Stripe stress test uses 1.5% + £0.20 standard UK online-card fee; pallet/mix-and-match pricing ignored.</x:v>
      </x:c>
    </x:row>
    <x:row r="1730">
      <x:c r="A1730" t="str">
        <x:v>Active Sports Nutrition</x:v>
      </x:c>
      <x:c r="B1730" t="str">
        <x:v>Scitec Nutrition</x:v>
      </x:c>
      <x:c r="C1730" t="str">
        <x:v>Multi Pro Plus</x:v>
      </x:c>
      <x:c r="D1730" t="str">
        <x:v>Supplements</x:v>
      </x:c>
      <x:c r="E1730" t="str">
        <x:v>Vitamins</x:v>
      </x:c>
      <x:c r="F1730" t="str"/>
      <x:c r="G1730" t="str">
        <x:v>30 packets</x:v>
      </x:c>
      <x:c r="H1730" t="str">
        <x:v>Default</x:v>
      </x:c>
      <x:c r="I1730" t="str"/>
      <x:c r="J1730" t="str">
        <x:v>Unit</x:v>
      </x:c>
      <x:c r="K1730" t="str">
        <x:v>In stock</x:v>
      </x:c>
      <x:c r="L1730" t="str">
        <x:v>2026-09-08</x:v>
      </x:c>
      <x:c r="M1730" t="str"/>
      <x:c r="N1730" t="str"/>
      <x:c r="O1730" t="str">
        <x:v>https://www.activesportstrade.co.uk/scitec-nutrition-trade</x:v>
      </x:c>
      <x:c r="P1730" t="str"/>
      <x:c r="Q1730" t="str"/>
      <x:c r="R1730" t="str"/>
      <x:c r="S1730" t="str">
        <x:v>Pending genuine supplier/brand image</x:v>
      </x:c>
      <x:c r="T1730" s="54" t="n">
        <x:v>15.22</x:v>
      </x:c>
      <x:c r="U1730" s="47" t="n">
        <x:v>0.2</x:v>
      </x:c>
      <x:c r="V1730" s="54" t="n">
        <x:f>IF(ISNUMBER(T1730),T1730*(1+U1730),"")</x:f>
        <x:v>18.264</x:v>
      </x:c>
      <x:c r="W1730" s="47" t="n">
        <x:v>0.3</x:v>
      </x:c>
      <x:c r="X1730" s="54" t="n">
        <x:f>IF(ISNUMBER(V1730),V1730/(1-W1730),"")</x:f>
        <x:v>26.091428571428573</x:v>
      </x:c>
      <x:c r="Y1730" s="55" t="n">
        <x:f>IF(ISNUMBER(X1730),ROUNDUP(X1730,0),"")</x:f>
        <x:v>27</x:v>
      </x:c>
      <x:c r="Z1730" t="str">
        <x:v>Source match pending</x:v>
      </x:c>
      <x:c r="AA1730" t="str">
        <x:v>screencapture-www-activesportstrade-co-uk-scitec-nutrition-trade-2026-09-10-09_07_50.pdf / page-7</x:v>
      </x:c>
      <x:c r="AB1730" s="36" t="n">
        <x:f>IF(ISNUMBER(Y1730),ROUND(Y1730*0.9,2),"")</x:f>
        <x:v>24.3</x:v>
      </x:c>
      <x:c r="AC1730" s="36" t="n">
        <x:f>IF(ISNUMBER(AB1730),ROUND(AB1730-(AB1730*0.015+0.2)-V1730,2),"")</x:f>
        <x:v>5.47</x:v>
      </x:c>
      <x:c r="AD1730" s="36" t="n">
        <x:f>IF(ISNUMBER(Y1730),ROUND(Y1730*0.8,2),"")</x:f>
        <x:v>21.6</x:v>
      </x:c>
      <x:c r="AE1730" s="36" t="n">
        <x:f>IF(ISNUMBER(AD1730),ROUND(AD1730*0.015+0.2,2),"")</x:f>
        <x:v>0.52</x:v>
      </x:c>
      <x:c r="AF1730" s="36" t="n">
        <x:f>IF(ISNUMBER(AD1730),ROUND(AD1730-AE1730-V1730,2),"")</x:f>
        <x:v>2.82</x:v>
      </x:c>
      <x:c r="AG1730" t="str">
        <x:f>IF(NOT(ISNUMBER(T1730)),"PENDING",IF(AF1730&gt;0,"PASS","FAIL"))</x:f>
        <x:v>PASS</x:v>
      </x:c>
      <x:c r="AH1730" t="str">
        <x:f>IF(NOT(ISNUMBER(T1730)),"Needs supplier cost",IF(K1730&lt;&gt;"In stock","Supplier unavailable",IF(AG1730&lt;&gt;"PASS","BLOCK - GT loss risk","Commercially protected")))</x:f>
        <x:v>Commercially protected</x:v>
      </x:c>
      <x:c r="AI1730" t="str">
        <x:v>2026-09-10 Active Sports trade capture</x:v>
      </x:c>
      <x:c r="AJ1730" t="str">
        <x:v>Management-only economics. Stripe stress test uses 1.5% + £0.20 standard UK online-card fee; pallet/mix-and-match pricing ignored.</x:v>
      </x:c>
    </x:row>
    <x:row r="1731">
      <x:c r="A1731" t="str">
        <x:v>Active Sports Nutrition</x:v>
      </x:c>
      <x:c r="B1731" t="str">
        <x:v>Scitec Nutrition</x:v>
      </x:c>
      <x:c r="C1731" t="str">
        <x:v>NAC</x:v>
      </x:c>
      <x:c r="D1731" t="str">
        <x:v>Supplements</x:v>
      </x:c>
      <x:c r="E1731" t="str">
        <x:v>Health Foods</x:v>
      </x:c>
      <x:c r="F1731" t="str"/>
      <x:c r="G1731" t="str">
        <x:v>60 tabs</x:v>
      </x:c>
      <x:c r="H1731" t="str">
        <x:v>Default</x:v>
      </x:c>
      <x:c r="I1731" t="str"/>
      <x:c r="J1731" t="str">
        <x:v>Unit</x:v>
      </x:c>
      <x:c r="K1731" t="str">
        <x:v>In stock</x:v>
      </x:c>
      <x:c r="L1731" t="str">
        <x:v>2026-09-08</x:v>
      </x:c>
      <x:c r="M1731" t="str"/>
      <x:c r="N1731" t="str"/>
      <x:c r="O1731" t="str">
        <x:v>https://www.activesportstrade.co.uk/scitec-nutrition-trade</x:v>
      </x:c>
      <x:c r="P1731" t="str"/>
      <x:c r="Q1731" t="str"/>
      <x:c r="R1731" t="str"/>
      <x:c r="S1731" t="str">
        <x:v>Pending genuine supplier/brand image</x:v>
      </x:c>
      <x:c r="T1731" s="54" t="n">
        <x:v>8.54</x:v>
      </x:c>
      <x:c r="U1731" s="47" t="n">
        <x:v>0.2</x:v>
      </x:c>
      <x:c r="V1731" s="54" t="n">
        <x:f>IF(ISNUMBER(T1731),T1731*(1+U1731),"")</x:f>
        <x:v>10.248</x:v>
      </x:c>
      <x:c r="W1731" s="47" t="n">
        <x:v>0.3</x:v>
      </x:c>
      <x:c r="X1731" s="54" t="n">
        <x:f>IF(ISNUMBER(V1731),V1731/(1-W1731),"")</x:f>
        <x:v>14.64</x:v>
      </x:c>
      <x:c r="Y1731" s="55" t="n">
        <x:f>IF(ISNUMBER(X1731),ROUNDUP(X1731,0),"")</x:f>
        <x:v>15</x:v>
      </x:c>
      <x:c r="Z1731" t="str">
        <x:v>Source match pending</x:v>
      </x:c>
      <x:c r="AA1731" t="str">
        <x:v>screencapture-www-activesportstrade-co-uk-scitec-nutrition-trade-2026-09-10-09_07_50.pdf / page-7</x:v>
      </x:c>
      <x:c r="AB1731" s="36" t="n">
        <x:f>IF(ISNUMBER(Y1731),ROUND(Y1731*0.9,2),"")</x:f>
        <x:v>13.5</x:v>
      </x:c>
      <x:c r="AC1731" s="36" t="n">
        <x:f>IF(ISNUMBER(AB1731),ROUND(AB1731-(AB1731*0.015+0.2)-V1731,2),"")</x:f>
        <x:v>2.85</x:v>
      </x:c>
      <x:c r="AD1731" s="36" t="n">
        <x:f>IF(ISNUMBER(Y1731),ROUND(Y1731*0.8,2),"")</x:f>
        <x:v>12</x:v>
      </x:c>
      <x:c r="AE1731" s="36" t="n">
        <x:f>IF(ISNUMBER(AD1731),ROUND(AD1731*0.015+0.2,2),"")</x:f>
        <x:v>0.38</x:v>
      </x:c>
      <x:c r="AF1731" s="36" t="n">
        <x:f>IF(ISNUMBER(AD1731),ROUND(AD1731-AE1731-V1731,2),"")</x:f>
        <x:v>1.37</x:v>
      </x:c>
      <x:c r="AG1731" t="str">
        <x:f>IF(NOT(ISNUMBER(T1731)),"PENDING",IF(AF1731&gt;0,"PASS","FAIL"))</x:f>
        <x:v>PASS</x:v>
      </x:c>
      <x:c r="AH1731" t="str">
        <x:f>IF(NOT(ISNUMBER(T1731)),"Needs supplier cost",IF(K1731&lt;&gt;"In stock","Supplier unavailable",IF(AG1731&lt;&gt;"PASS","BLOCK - GT loss risk","Commercially protected")))</x:f>
        <x:v>Commercially protected</x:v>
      </x:c>
      <x:c r="AI1731" t="str">
        <x:v>2026-09-10 Active Sports trade capture</x:v>
      </x:c>
      <x:c r="AJ1731" t="str">
        <x:v>Management-only economics. Stripe stress test uses 1.5% + £0.20 standard UK online-card fee; pallet/mix-and-match pricing ignored.</x:v>
      </x:c>
    </x:row>
    <x:row r="1732">
      <x:c r="A1732" t="str">
        <x:v>Active Sports Nutrition</x:v>
      </x:c>
      <x:c r="B1732" t="str">
        <x:v>Scitec Nutrition</x:v>
      </x:c>
      <x:c r="C1732" t="str">
        <x:v>Omega 3</x:v>
      </x:c>
      <x:c r="D1732" t="str">
        <x:v>Supplements</x:v>
      </x:c>
      <x:c r="E1732" t="str">
        <x:v>Omega and EFA</x:v>
      </x:c>
      <x:c r="F1732" t="str"/>
      <x:c r="G1732" t="str">
        <x:v>100 caps</x:v>
      </x:c>
      <x:c r="H1732" t="str">
        <x:v>Default</x:v>
      </x:c>
      <x:c r="I1732" t="str"/>
      <x:c r="J1732" t="str">
        <x:v>Unit</x:v>
      </x:c>
      <x:c r="K1732" t="str">
        <x:v>In stock</x:v>
      </x:c>
      <x:c r="L1732" t="str">
        <x:v>2026-09-08</x:v>
      </x:c>
      <x:c r="M1732" t="str"/>
      <x:c r="N1732" t="str"/>
      <x:c r="O1732" t="str">
        <x:v>https://www.activesportstrade.co.uk/scitec-nutrition-trade</x:v>
      </x:c>
      <x:c r="P1732" t="str"/>
      <x:c r="Q1732" t="str"/>
      <x:c r="R1732" t="str"/>
      <x:c r="S1732" t="str">
        <x:v>Pending genuine supplier/brand image</x:v>
      </x:c>
      <x:c r="T1732" s="54" t="n">
        <x:v>8.5</x:v>
      </x:c>
      <x:c r="U1732" s="47" t="n">
        <x:v>0.2</x:v>
      </x:c>
      <x:c r="V1732" s="54" t="n">
        <x:f>IF(ISNUMBER(T1732),T1732*(1+U1732),"")</x:f>
        <x:v>10.2</x:v>
      </x:c>
      <x:c r="W1732" s="47" t="n">
        <x:v>0.3</x:v>
      </x:c>
      <x:c r="X1732" s="54" t="n">
        <x:f>IF(ISNUMBER(V1732),V1732/(1-W1732),"")</x:f>
        <x:v>14.571428571428571</x:v>
      </x:c>
      <x:c r="Y1732" s="55" t="n">
        <x:f>IF(ISNUMBER(X1732),ROUNDUP(X1732,0),"")</x:f>
        <x:v>15</x:v>
      </x:c>
      <x:c r="Z1732" t="str">
        <x:v>Source match pending</x:v>
      </x:c>
      <x:c r="AA1732" t="str">
        <x:v>screencapture-www-activesportstrade-co-uk-scitec-nutrition-trade-2026-09-10-09_07_50.pdf / page-7</x:v>
      </x:c>
      <x:c r="AB1732" s="36" t="n">
        <x:f>IF(ISNUMBER(Y1732),ROUND(Y1732*0.9,2),"")</x:f>
        <x:v>13.5</x:v>
      </x:c>
      <x:c r="AC1732" s="36" t="n">
        <x:f>IF(ISNUMBER(AB1732),ROUND(AB1732-(AB1732*0.015+0.2)-V1732,2),"")</x:f>
        <x:v>2.9</x:v>
      </x:c>
      <x:c r="AD1732" s="36" t="n">
        <x:f>IF(ISNUMBER(Y1732),ROUND(Y1732*0.8,2),"")</x:f>
        <x:v>12</x:v>
      </x:c>
      <x:c r="AE1732" s="36" t="n">
        <x:f>IF(ISNUMBER(AD1732),ROUND(AD1732*0.015+0.2,2),"")</x:f>
        <x:v>0.38</x:v>
      </x:c>
      <x:c r="AF1732" s="36" t="n">
        <x:f>IF(ISNUMBER(AD1732),ROUND(AD1732-AE1732-V1732,2),"")</x:f>
        <x:v>1.42</x:v>
      </x:c>
      <x:c r="AG1732" t="str">
        <x:f>IF(NOT(ISNUMBER(T1732)),"PENDING",IF(AF1732&gt;0,"PASS","FAIL"))</x:f>
        <x:v>PASS</x:v>
      </x:c>
      <x:c r="AH1732" t="str">
        <x:f>IF(NOT(ISNUMBER(T1732)),"Needs supplier cost",IF(K1732&lt;&gt;"In stock","Supplier unavailable",IF(AG1732&lt;&gt;"PASS","BLOCK - GT loss risk","Commercially protected")))</x:f>
        <x:v>Commercially protected</x:v>
      </x:c>
      <x:c r="AI1732" t="str">
        <x:v>2026-09-10 Active Sports trade capture</x:v>
      </x:c>
      <x:c r="AJ1732" t="str">
        <x:v>Management-only economics. Stripe stress test uses 1.5% + £0.20 standard UK online-card fee; pallet/mix-and-match pricing ignored.</x:v>
      </x:c>
    </x:row>
    <x:row r="1733">
      <x:c r="A1733" t="str">
        <x:v>Active Sports Nutrition</x:v>
      </x:c>
      <x:c r="B1733" t="str">
        <x:v>Scitec Nutrition</x:v>
      </x:c>
      <x:c r="C1733" t="str">
        <x:v>Vitamin E</x:v>
      </x:c>
      <x:c r="D1733" t="str">
        <x:v>Supplements</x:v>
      </x:c>
      <x:c r="E1733" t="str">
        <x:v>Vitamins</x:v>
      </x:c>
      <x:c r="F1733" t="str"/>
      <x:c r="G1733" t="str">
        <x:v>100 caps</x:v>
      </x:c>
      <x:c r="H1733" t="str">
        <x:v>Default</x:v>
      </x:c>
      <x:c r="I1733" t="str"/>
      <x:c r="J1733" t="str">
        <x:v>Unit</x:v>
      </x:c>
      <x:c r="K1733" t="str">
        <x:v>In stock</x:v>
      </x:c>
      <x:c r="L1733" t="str">
        <x:v>2026-09-08</x:v>
      </x:c>
      <x:c r="M1733" t="str"/>
      <x:c r="N1733" t="str"/>
      <x:c r="O1733" t="str">
        <x:v>https://www.activesportstrade.co.uk/scitec-nutrition-trade</x:v>
      </x:c>
      <x:c r="P1733" t="str"/>
      <x:c r="Q1733" t="str"/>
      <x:c r="R1733" t="str"/>
      <x:c r="S1733" t="str">
        <x:v>Pending genuine supplier/brand image</x:v>
      </x:c>
      <x:c r="T1733" s="54" t="n">
        <x:v>6.99</x:v>
      </x:c>
      <x:c r="U1733" s="47" t="n">
        <x:v>0.2</x:v>
      </x:c>
      <x:c r="V1733" s="54" t="n">
        <x:f>IF(ISNUMBER(T1733),T1733*(1+U1733),"")</x:f>
        <x:v>8.388</x:v>
      </x:c>
      <x:c r="W1733" s="47" t="n">
        <x:v>0.3</x:v>
      </x:c>
      <x:c r="X1733" s="54" t="n">
        <x:f>IF(ISNUMBER(V1733),V1733/(1-W1733),"")</x:f>
        <x:v>11.982857142857144</x:v>
      </x:c>
      <x:c r="Y1733" s="55" t="n">
        <x:f>IF(ISNUMBER(X1733),ROUNDUP(X1733,0),"")</x:f>
        <x:v>12</x:v>
      </x:c>
      <x:c r="Z1733" t="str">
        <x:v>Source match pending</x:v>
      </x:c>
      <x:c r="AA1733" t="str">
        <x:v>screencapture-www-activesportstrade-co-uk-scitec-nutrition-trade-2026-09-10-09_07_50.pdf / page-8</x:v>
      </x:c>
      <x:c r="AB1733" s="36" t="n">
        <x:f>IF(ISNUMBER(Y1733),ROUND(Y1733*0.9,2),"")</x:f>
        <x:v>10.8</x:v>
      </x:c>
      <x:c r="AC1733" s="36" t="n">
        <x:f>IF(ISNUMBER(AB1733),ROUND(AB1733-(AB1733*0.015+0.2)-V1733,2),"")</x:f>
        <x:v>2.05</x:v>
      </x:c>
      <x:c r="AD1733" s="36" t="n">
        <x:f>IF(ISNUMBER(Y1733),ROUND(Y1733*0.8,2),"")</x:f>
        <x:v>9.6</x:v>
      </x:c>
      <x:c r="AE1733" s="36" t="n">
        <x:f>IF(ISNUMBER(AD1733),ROUND(AD1733*0.015+0.2,2),"")</x:f>
        <x:v>0.34</x:v>
      </x:c>
      <x:c r="AF1733" s="36" t="n">
        <x:f>IF(ISNUMBER(AD1733),ROUND(AD1733-AE1733-V1733,2),"")</x:f>
        <x:v>0.87</x:v>
      </x:c>
      <x:c r="AG1733" t="str">
        <x:f>IF(NOT(ISNUMBER(T1733)),"PENDING",IF(AF1733&gt;0,"PASS","FAIL"))</x:f>
        <x:v>PASS</x:v>
      </x:c>
      <x:c r="AH1733" t="str">
        <x:f>IF(NOT(ISNUMBER(T1733)),"Needs supplier cost",IF(K1733&lt;&gt;"In stock","Supplier unavailable",IF(AG1733&lt;&gt;"PASS","BLOCK - GT loss risk","Commercially protected")))</x:f>
        <x:v>Commercially protected</x:v>
      </x:c>
      <x:c r="AI1733" t="str">
        <x:v>2026-09-10 Active Sports trade capture</x:v>
      </x:c>
      <x:c r="AJ1733" t="str">
        <x:v>Management-only economics. Stripe stress test uses 1.5% + £0.20 standard UK online-card fee; pallet/mix-and-match pricing ignored.</x:v>
      </x:c>
    </x:row>
    <x:row r="1734">
      <x:c r="A1734" t="str">
        <x:v>Active Sports Nutrition</x:v>
      </x:c>
      <x:c r="B1734" t="str">
        <x:v>Scitec Nutrition</x:v>
      </x:c>
      <x:c r="C1734" t="str">
        <x:v>Water Cut</x:v>
      </x:c>
      <x:c r="D1734" t="str">
        <x:v>Supplements</x:v>
      </x:c>
      <x:c r="E1734" t="str">
        <x:v>Water Management</x:v>
      </x:c>
      <x:c r="F1734" t="str"/>
      <x:c r="G1734" t="str">
        <x:v>100 caps</x:v>
      </x:c>
      <x:c r="H1734" t="str">
        <x:v>Default</x:v>
      </x:c>
      <x:c r="I1734" t="str"/>
      <x:c r="J1734" t="str">
        <x:v>Unit</x:v>
      </x:c>
      <x:c r="K1734" t="str">
        <x:v>In stock</x:v>
      </x:c>
      <x:c r="L1734" t="str">
        <x:v>2026-09-08</x:v>
      </x:c>
      <x:c r="M1734" t="str"/>
      <x:c r="N1734" t="str"/>
      <x:c r="O1734" t="str">
        <x:v>https://www.activesportstrade.co.uk/scitec-nutrition-trade</x:v>
      </x:c>
      <x:c r="P1734" t="str"/>
      <x:c r="Q1734" t="str"/>
      <x:c r="R1734" t="str"/>
      <x:c r="S1734" t="str">
        <x:v>Pending genuine supplier/brand image</x:v>
      </x:c>
      <x:c r="T1734" s="54" t="n">
        <x:v>9.2</x:v>
      </x:c>
      <x:c r="U1734" s="47" t="n">
        <x:v>0.2</x:v>
      </x:c>
      <x:c r="V1734" s="54" t="n">
        <x:f>IF(ISNUMBER(T1734),T1734*(1+U1734),"")</x:f>
        <x:v>11.04</x:v>
      </x:c>
      <x:c r="W1734" s="47" t="n">
        <x:v>0.3</x:v>
      </x:c>
      <x:c r="X1734" s="54" t="n">
        <x:f>IF(ISNUMBER(V1734),V1734/(1-W1734),"")</x:f>
        <x:v>15.77142857142857</x:v>
      </x:c>
      <x:c r="Y1734" s="55" t="n">
        <x:f>IF(ISNUMBER(X1734),ROUNDUP(X1734,0),"")</x:f>
        <x:v>16</x:v>
      </x:c>
      <x:c r="Z1734" t="str">
        <x:v>Source match pending</x:v>
      </x:c>
      <x:c r="AA1734" t="str">
        <x:v>screencapture-www-activesportstrade-co-uk-scitec-nutrition-trade-2026-09-10-09_07_50.pdf / page-8</x:v>
      </x:c>
      <x:c r="AB1734" s="36" t="n">
        <x:f>IF(ISNUMBER(Y1734),ROUND(Y1734*0.9,2),"")</x:f>
        <x:v>14.4</x:v>
      </x:c>
      <x:c r="AC1734" s="36" t="n">
        <x:f>IF(ISNUMBER(AB1734),ROUND(AB1734-(AB1734*0.015+0.2)-V1734,2),"")</x:f>
        <x:v>2.94</x:v>
      </x:c>
      <x:c r="AD1734" s="36" t="n">
        <x:f>IF(ISNUMBER(Y1734),ROUND(Y1734*0.8,2),"")</x:f>
        <x:v>12.8</x:v>
      </x:c>
      <x:c r="AE1734" s="36" t="n">
        <x:f>IF(ISNUMBER(AD1734),ROUND(AD1734*0.015+0.2,2),"")</x:f>
        <x:v>0.39</x:v>
      </x:c>
      <x:c r="AF1734" s="36" t="n">
        <x:f>IF(ISNUMBER(AD1734),ROUND(AD1734-AE1734-V1734,2),"")</x:f>
        <x:v>1.37</x:v>
      </x:c>
      <x:c r="AG1734" t="str">
        <x:f>IF(NOT(ISNUMBER(T1734)),"PENDING",IF(AF1734&gt;0,"PASS","FAIL"))</x:f>
        <x:v>PASS</x:v>
      </x:c>
      <x:c r="AH1734" t="str">
        <x:f>IF(NOT(ISNUMBER(T1734)),"Needs supplier cost",IF(K1734&lt;&gt;"In stock","Supplier unavailable",IF(AG1734&lt;&gt;"PASS","BLOCK - GT loss risk","Commercially protected")))</x:f>
        <x:v>Commercially protected</x:v>
      </x:c>
      <x:c r="AI1734" t="str">
        <x:v>2026-09-10 Active Sports trade capture</x:v>
      </x:c>
      <x:c r="AJ1734" t="str">
        <x:v>Management-only economics. Stripe stress test uses 1.5% + £0.20 standard UK online-card fee; pallet/mix-and-match pricing ignored.</x:v>
      </x:c>
    </x:row>
    <x:row r="1735">
      <x:c r="A1735" t="str">
        <x:v>Active Sports Nutrition</x:v>
      </x:c>
      <x:c r="B1735" t="str">
        <x:v>Scitec Nutrition</x:v>
      </x:c>
      <x:c r="C1735" t="str">
        <x:v>Zinc</x:v>
      </x:c>
      <x:c r="D1735" t="str">
        <x:v>Supplements</x:v>
      </x:c>
      <x:c r="E1735" t="str">
        <x:v>Vitamins</x:v>
      </x:c>
      <x:c r="F1735" t="str"/>
      <x:c r="G1735" t="str">
        <x:v>100 tablets</x:v>
      </x:c>
      <x:c r="H1735" t="str">
        <x:v>Default</x:v>
      </x:c>
      <x:c r="I1735" t="str"/>
      <x:c r="J1735" t="str">
        <x:v>Unit</x:v>
      </x:c>
      <x:c r="K1735" t="str">
        <x:v>In stock</x:v>
      </x:c>
      <x:c r="L1735" t="str">
        <x:v>2026-09-08</x:v>
      </x:c>
      <x:c r="M1735" t="str"/>
      <x:c r="N1735" t="str"/>
      <x:c r="O1735" t="str">
        <x:v>https://www.activesportstrade.co.uk/scitec-nutrition-trade</x:v>
      </x:c>
      <x:c r="P1735" t="str"/>
      <x:c r="Q1735" t="str"/>
      <x:c r="R1735" t="str"/>
      <x:c r="S1735" t="str">
        <x:v>Pending genuine supplier/brand image</x:v>
      </x:c>
      <x:c r="T1735" s="54" t="n">
        <x:v>4.75</x:v>
      </x:c>
      <x:c r="U1735" s="47" t="n">
        <x:v>0.2</x:v>
      </x:c>
      <x:c r="V1735" s="54" t="n">
        <x:f>IF(ISNUMBER(T1735),T1735*(1+U1735),"")</x:f>
        <x:v>5.7</x:v>
      </x:c>
      <x:c r="W1735" s="47" t="n">
        <x:v>0.3</x:v>
      </x:c>
      <x:c r="X1735" s="54" t="n">
        <x:f>IF(ISNUMBER(V1735),V1735/(1-W1735),"")</x:f>
        <x:v>8.142857142857144</x:v>
      </x:c>
      <x:c r="Y1735" s="55" t="n">
        <x:f>IF(ISNUMBER(X1735),ROUNDUP(X1735,0),"")</x:f>
        <x:v>9</x:v>
      </x:c>
      <x:c r="Z1735" t="str">
        <x:v>Source match pending</x:v>
      </x:c>
      <x:c r="AA1735" t="str">
        <x:v>screencapture-www-activesportstrade-co-uk-scitec-nutrition-trade-2026-09-10-09_07_50.pdf / page-8</x:v>
      </x:c>
      <x:c r="AB1735" s="36" t="n">
        <x:f>IF(ISNUMBER(Y1735),ROUND(Y1735*0.9,2),"")</x:f>
        <x:v>8.1</x:v>
      </x:c>
      <x:c r="AC1735" s="36" t="n">
        <x:f>IF(ISNUMBER(AB1735),ROUND(AB1735-(AB1735*0.015+0.2)-V1735,2),"")</x:f>
        <x:v>2.08</x:v>
      </x:c>
      <x:c r="AD1735" s="36" t="n">
        <x:f>IF(ISNUMBER(Y1735),ROUND(Y1735*0.8,2),"")</x:f>
        <x:v>7.2</x:v>
      </x:c>
      <x:c r="AE1735" s="36" t="n">
        <x:f>IF(ISNUMBER(AD1735),ROUND(AD1735*0.015+0.2,2),"")</x:f>
        <x:v>0.31</x:v>
      </x:c>
      <x:c r="AF1735" s="36" t="n">
        <x:f>IF(ISNUMBER(AD1735),ROUND(AD1735-AE1735-V1735,2),"")</x:f>
        <x:v>1.19</x:v>
      </x:c>
      <x:c r="AG1735" t="str">
        <x:f>IF(NOT(ISNUMBER(T1735)),"PENDING",IF(AF1735&gt;0,"PASS","FAIL"))</x:f>
        <x:v>PASS</x:v>
      </x:c>
      <x:c r="AH1735" t="str">
        <x:f>IF(NOT(ISNUMBER(T1735)),"Needs supplier cost",IF(K1735&lt;&gt;"In stock","Supplier unavailable",IF(AG1735&lt;&gt;"PASS","BLOCK - GT loss risk","Commercially protected")))</x:f>
        <x:v>Commercially protected</x:v>
      </x:c>
      <x:c r="AI1735" t="str">
        <x:v>2026-09-10 Active Sports trade capture</x:v>
      </x:c>
      <x:c r="AJ1735" t="str">
        <x:v>Management-only economics. Stripe stress test uses 1.5% + £0.20 standard UK online-card fee; pallet/mix-and-match pricing ignored.</x:v>
      </x:c>
    </x:row>
    <x:row r="1736">
      <x:c r="A1736" t="str">
        <x:v>Active Sports Nutrition</x:v>
      </x:c>
      <x:c r="B1736" t="str">
        <x:v>Scitec Nutrition</x:v>
      </x:c>
      <x:c r="C1736" t="str">
        <x:v>ZMB</x:v>
      </x:c>
      <x:c r="D1736" t="str">
        <x:v>Supplements</x:v>
      </x:c>
      <x:c r="E1736" t="str">
        <x:v>Vitamins</x:v>
      </x:c>
      <x:c r="F1736" t="str"/>
      <x:c r="G1736" t="str">
        <x:v>60 caps</x:v>
      </x:c>
      <x:c r="H1736" t="str">
        <x:v>Default</x:v>
      </x:c>
      <x:c r="I1736" t="str"/>
      <x:c r="J1736" t="str">
        <x:v>Unit</x:v>
      </x:c>
      <x:c r="K1736" t="str">
        <x:v>In stock</x:v>
      </x:c>
      <x:c r="L1736" t="str">
        <x:v>2026-09-08</x:v>
      </x:c>
      <x:c r="M1736" t="str"/>
      <x:c r="N1736" t="str"/>
      <x:c r="O1736" t="str">
        <x:v>https://www.activesportstrade.co.uk/scitec-nutrition-trade</x:v>
      </x:c>
      <x:c r="P1736" t="str"/>
      <x:c r="Q1736" t="str"/>
      <x:c r="R1736" t="str"/>
      <x:c r="S1736" t="str">
        <x:v>Pending genuine supplier/brand image</x:v>
      </x:c>
      <x:c r="T1736" s="54" t="n">
        <x:v>5.94</x:v>
      </x:c>
      <x:c r="U1736" s="47" t="n">
        <x:v>0.2</x:v>
      </x:c>
      <x:c r="V1736" s="54" t="n">
        <x:f>IF(ISNUMBER(T1736),T1736*(1+U1736),"")</x:f>
        <x:v>7.128</x:v>
      </x:c>
      <x:c r="W1736" s="47" t="n">
        <x:v>0.3</x:v>
      </x:c>
      <x:c r="X1736" s="54" t="n">
        <x:f>IF(ISNUMBER(V1736),V1736/(1-W1736),"")</x:f>
        <x:v>10.182857142857143</x:v>
      </x:c>
      <x:c r="Y1736" s="55" t="n">
        <x:f>IF(ISNUMBER(X1736),ROUNDUP(X1736,0),"")</x:f>
        <x:v>11</x:v>
      </x:c>
      <x:c r="Z1736" t="str">
        <x:v>Source match pending</x:v>
      </x:c>
      <x:c r="AA1736" t="str">
        <x:v>screencapture-www-activesportstrade-co-uk-scitec-nutrition-trade-2026-09-10-09_07_50.pdf / page-9</x:v>
      </x:c>
      <x:c r="AB1736" s="36" t="n">
        <x:f>IF(ISNUMBER(Y1736),ROUND(Y1736*0.9,2),"")</x:f>
        <x:v>9.9</x:v>
      </x:c>
      <x:c r="AC1736" s="36" t="n">
        <x:f>IF(ISNUMBER(AB1736),ROUND(AB1736-(AB1736*0.015+0.2)-V1736,2),"")</x:f>
        <x:v>2.42</x:v>
      </x:c>
      <x:c r="AD1736" s="36" t="n">
        <x:f>IF(ISNUMBER(Y1736),ROUND(Y1736*0.8,2),"")</x:f>
        <x:v>8.8</x:v>
      </x:c>
      <x:c r="AE1736" s="36" t="n">
        <x:f>IF(ISNUMBER(AD1736),ROUND(AD1736*0.015+0.2,2),"")</x:f>
        <x:v>0.33</x:v>
      </x:c>
      <x:c r="AF1736" s="36" t="n">
        <x:f>IF(ISNUMBER(AD1736),ROUND(AD1736-AE1736-V1736,2),"")</x:f>
        <x:v>1.34</x:v>
      </x:c>
      <x:c r="AG1736" t="str">
        <x:f>IF(NOT(ISNUMBER(T1736)),"PENDING",IF(AF1736&gt;0,"PASS","FAIL"))</x:f>
        <x:v>PASS</x:v>
      </x:c>
      <x:c r="AH1736" t="str">
        <x:f>IF(NOT(ISNUMBER(T1736)),"Needs supplier cost",IF(K1736&lt;&gt;"In stock","Supplier unavailable",IF(AG1736&lt;&gt;"PASS","BLOCK - GT loss risk","Commercially protected")))</x:f>
        <x:v>Commercially protected</x:v>
      </x:c>
      <x:c r="AI1736" t="str">
        <x:v>2026-09-10 Active Sports trade capture</x:v>
      </x:c>
      <x:c r="AJ1736" t="str">
        <x:v>Management-only economics. Stripe stress test uses 1.5% + £0.20 standard UK online-card fee; pallet/mix-and-match pricing ignored.</x:v>
      </x:c>
    </x:row>
    <x:row r="1737">
      <x:c r="A1737" t="str">
        <x:v>Active Sports Nutrition</x:v>
      </x:c>
      <x:c r="B1737" t="str">
        <x:v>Scitec Nutrition</x:v>
      </x:c>
      <x:c r="C1737" t="str">
        <x:v>Collagen Liquid</x:v>
      </x:c>
      <x:c r="D1737" t="str">
        <x:v>Supplements</x:v>
      </x:c>
      <x:c r="E1737" t="str">
        <x:v>Joint Repair</x:v>
      </x:c>
      <x:c r="F1737" t="str"/>
      <x:c r="G1737" t="str">
        <x:v>1000ml</x:v>
      </x:c>
      <x:c r="H1737" t="str">
        <x:v>Wild Berry</x:v>
      </x:c>
      <x:c r="I1737" t="str"/>
      <x:c r="J1737" t="str">
        <x:v>Unit</x:v>
      </x:c>
      <x:c r="K1737" t="str">
        <x:v>In stock</x:v>
      </x:c>
      <x:c r="L1737" t="str">
        <x:v>2026-09-08</x:v>
      </x:c>
      <x:c r="M1737" t="str"/>
      <x:c r="N1737" t="str"/>
      <x:c r="O1737" t="str">
        <x:v>https://www.activesportstrade.co.uk/scitec-nutrition-trade</x:v>
      </x:c>
      <x:c r="P1737" t="str"/>
      <x:c r="Q1737" t="str"/>
      <x:c r="R1737" t="str"/>
      <x:c r="S1737" t="str">
        <x:v>Pending genuine supplier/brand image</x:v>
      </x:c>
      <x:c r="T1737" s="54"/>
      <x:c r="U1737" s="47" t="n">
        <x:v>0.2</x:v>
      </x:c>
      <x:c r="V1737" s="54" t="str">
        <x:f>IF(ISNUMBER(T1737),T1737*(1+U1737),"")</x:f>
      </x:c>
      <x:c r="W1737" s="47" t="n">
        <x:v>0.3</x:v>
      </x:c>
      <x:c r="X1737" s="54" t="str">
        <x:f>IF(ISNUMBER(V1737),V1737/(1-W1737),"")</x:f>
      </x:c>
      <x:c r="Y1737" s="55" t="str">
        <x:f>IF(ISNUMBER(X1737),ROUNDUP(X1737,0),"")</x:f>
      </x:c>
      <x:c r="Z1737" t="str">
        <x:f>IF(ISNUMBER(T1737),"Cost captured","Awaiting trade cost")</x:f>
        <x:v>Awaiting trade cost</x:v>
      </x:c>
      <x:c r="AB1737" s="36" t="str">
        <x:f>IF(ISNUMBER(Y1737),ROUND(Y1737*0.9,2),"")</x:f>
      </x:c>
      <x:c r="AC1737" s="36" t="str">
        <x:f>IF(ISNUMBER(AB1737),ROUND(AB1737-(AB1737*0.015+0.2)-V1737,2),"")</x:f>
      </x:c>
      <x:c r="AD1737" s="36" t="str">
        <x:f>IF(ISNUMBER(Y1737),ROUND(Y1737*0.8,2),"")</x:f>
      </x:c>
      <x:c r="AE1737" s="36" t="str">
        <x:f>IF(ISNUMBER(AD1737),ROUND(AD1737*0.015+0.2,2),"")</x:f>
      </x:c>
      <x:c r="AF1737" s="36" t="str">
        <x:f>IF(ISNUMBER(AD1737),ROUND(AD1737-AE1737-V1737,2),"")</x:f>
      </x:c>
      <x:c r="AG1737" t="str">
        <x:f>IF(NOT(ISNUMBER(T1737)),"PENDING",IF(AF1737&gt;0,"PASS","FAIL"))</x:f>
        <x:v>PENDING</x:v>
      </x:c>
      <x:c r="AH1737" t="str">
        <x:f>IF(NOT(ISNUMBER(T1737)),"Needs supplier cost",IF(K1737&lt;&gt;"In stock","Supplier unavailable",IF(AG1737&lt;&gt;"PASS","BLOCK - GT loss risk","Commercially protected")))</x:f>
        <x:v>Needs supplier cost</x:v>
      </x:c>
      <x:c r="AI1737" t="str">
        <x:v>2026-09-10 Active Sports trade capture</x:v>
      </x:c>
      <x:c r="AJ1737" t="str">
        <x:v>Management-only economics. Stripe stress test uses 1.5% + £0.20 standard UK online-card fee; pallet/mix-and-match pricing ignored.</x:v>
      </x:c>
    </x:row>
    <x:row r="1738">
      <x:c r="A1738" t="str">
        <x:v>Active Sports Nutrition</x:v>
      </x:c>
      <x:c r="B1738" t="str">
        <x:v>Scitec Nutrition</x:v>
      </x:c>
      <x:c r="C1738" t="str">
        <x:v>Collagen Xpress</x:v>
      </x:c>
      <x:c r="D1738" t="str">
        <x:v>Supplements</x:v>
      </x:c>
      <x:c r="E1738" t="str">
        <x:v>Joint Repair</x:v>
      </x:c>
      <x:c r="F1738" t="str"/>
      <x:c r="G1738" t="str">
        <x:v>475g</x:v>
      </x:c>
      <x:c r="H1738" t="str">
        <x:v>Fruit Punch</x:v>
      </x:c>
      <x:c r="I1738" t="str"/>
      <x:c r="J1738" t="str">
        <x:v>Unit</x:v>
      </x:c>
      <x:c r="K1738" t="str">
        <x:v>Out of stock</x:v>
      </x:c>
      <x:c r="L1738" t="str">
        <x:v>2026-09-08</x:v>
      </x:c>
      <x:c r="M1738" t="str"/>
      <x:c r="N1738" t="str"/>
      <x:c r="O1738" t="str">
        <x:v>https://www.activesportstrade.co.uk/scitec-nutrition-trade</x:v>
      </x:c>
      <x:c r="P1738" t="str"/>
      <x:c r="Q1738" t="str"/>
      <x:c r="R1738" t="str"/>
      <x:c r="S1738" t="str">
        <x:v>Pending genuine supplier/brand image</x:v>
      </x:c>
      <x:c r="T1738" s="54"/>
      <x:c r="U1738" s="47" t="n">
        <x:v>0.2</x:v>
      </x:c>
      <x:c r="V1738" s="54" t="str">
        <x:f>IF(ISNUMBER(T1738),T1738*(1+U1738),"")</x:f>
      </x:c>
      <x:c r="W1738" s="47" t="n">
        <x:v>0.3</x:v>
      </x:c>
      <x:c r="X1738" s="54" t="str">
        <x:f>IF(ISNUMBER(V1738),V1738/(1-W1738),"")</x:f>
      </x:c>
      <x:c r="Y1738" s="55" t="str">
        <x:f>IF(ISNUMBER(X1738),ROUNDUP(X1738,0),"")</x:f>
      </x:c>
      <x:c r="Z1738" t="str">
        <x:f>IF(ISNUMBER(T1738),"Cost captured","Awaiting trade cost")</x:f>
        <x:v>Awaiting trade cost</x:v>
      </x:c>
      <x:c r="AB1738" s="36" t="str">
        <x:f>IF(ISNUMBER(Y1738),ROUND(Y1738*0.9,2),"")</x:f>
      </x:c>
      <x:c r="AC1738" s="36" t="str">
        <x:f>IF(ISNUMBER(AB1738),ROUND(AB1738-(AB1738*0.015+0.2)-V1738,2),"")</x:f>
      </x:c>
      <x:c r="AD1738" s="36" t="str">
        <x:f>IF(ISNUMBER(Y1738),ROUND(Y1738*0.8,2),"")</x:f>
      </x:c>
      <x:c r="AE1738" s="36" t="str">
        <x:f>IF(ISNUMBER(AD1738),ROUND(AD1738*0.015+0.2,2),"")</x:f>
      </x:c>
      <x:c r="AF1738" s="36" t="str">
        <x:f>IF(ISNUMBER(AD1738),ROUND(AD1738-AE1738-V1738,2),"")</x:f>
      </x:c>
      <x:c r="AG1738" t="str">
        <x:f>IF(NOT(ISNUMBER(T1738)),"PENDING",IF(AF1738&gt;0,"PASS","FAIL"))</x:f>
        <x:v>PENDING</x:v>
      </x:c>
      <x:c r="AH1738" t="str">
        <x:f>IF(NOT(ISNUMBER(T1738)),"Needs supplier cost",IF(K1738&lt;&gt;"In stock","Supplier unavailable",IF(AG1738&lt;&gt;"PASS","BLOCK - GT loss risk","Commercially protected")))</x:f>
        <x:v>Needs supplier cost</x:v>
      </x:c>
      <x:c r="AI1738" t="str">
        <x:v>2026-09-10 Active Sports trade capture</x:v>
      </x:c>
      <x:c r="AJ1738" t="str">
        <x:v>Management-only economics. Stripe stress test uses 1.5% + £0.20 standard UK online-card fee; pallet/mix-and-match pricing ignored.</x:v>
      </x:c>
    </x:row>
    <x:row r="1739">
      <x:c r="A1739" t="str">
        <x:v>Active Sports Nutrition</x:v>
      </x:c>
      <x:c r="B1739" t="str">
        <x:v>Scitec Nutrition</x:v>
      </x:c>
      <x:c r="C1739" t="str">
        <x:v>Collagen Xpress</x:v>
      </x:c>
      <x:c r="D1739" t="str">
        <x:v>Supplements</x:v>
      </x:c>
      <x:c r="E1739" t="str">
        <x:v>Joint Repair</x:v>
      </x:c>
      <x:c r="F1739" t="str"/>
      <x:c r="G1739" t="str">
        <x:v>475g</x:v>
      </x:c>
      <x:c r="H1739" t="str">
        <x:v>Pineapple</x:v>
      </x:c>
      <x:c r="I1739" t="str"/>
      <x:c r="J1739" t="str">
        <x:v>Unit</x:v>
      </x:c>
      <x:c r="K1739" t="str">
        <x:v>In stock</x:v>
      </x:c>
      <x:c r="L1739" t="str">
        <x:v>2026-09-08</x:v>
      </x:c>
      <x:c r="M1739" t="str"/>
      <x:c r="N1739" t="str"/>
      <x:c r="O1739" t="str">
        <x:v>https://www.activesportstrade.co.uk/scitec-nutrition-trade</x:v>
      </x:c>
      <x:c r="P1739" t="str"/>
      <x:c r="Q1739" t="str"/>
      <x:c r="R1739" t="str"/>
      <x:c r="S1739" t="str">
        <x:v>Pending genuine supplier/brand image</x:v>
      </x:c>
      <x:c r="T1739" s="54"/>
      <x:c r="U1739" s="47" t="n">
        <x:v>0.2</x:v>
      </x:c>
      <x:c r="V1739" s="54" t="str">
        <x:f>IF(ISNUMBER(T1739),T1739*(1+U1739),"")</x:f>
      </x:c>
      <x:c r="W1739" s="47" t="n">
        <x:v>0.3</x:v>
      </x:c>
      <x:c r="X1739" s="54" t="str">
        <x:f>IF(ISNUMBER(V1739),V1739/(1-W1739),"")</x:f>
      </x:c>
      <x:c r="Y1739" s="55" t="str">
        <x:f>IF(ISNUMBER(X1739),ROUNDUP(X1739,0),"")</x:f>
      </x:c>
      <x:c r="Z1739" t="str">
        <x:f>IF(ISNUMBER(T1739),"Cost captured","Awaiting trade cost")</x:f>
        <x:v>Awaiting trade cost</x:v>
      </x:c>
      <x:c r="AB1739" s="36" t="str">
        <x:f>IF(ISNUMBER(Y1739),ROUND(Y1739*0.9,2),"")</x:f>
      </x:c>
      <x:c r="AC1739" s="36" t="str">
        <x:f>IF(ISNUMBER(AB1739),ROUND(AB1739-(AB1739*0.015+0.2)-V1739,2),"")</x:f>
      </x:c>
      <x:c r="AD1739" s="36" t="str">
        <x:f>IF(ISNUMBER(Y1739),ROUND(Y1739*0.8,2),"")</x:f>
      </x:c>
      <x:c r="AE1739" s="36" t="str">
        <x:f>IF(ISNUMBER(AD1739),ROUND(AD1739*0.015+0.2,2),"")</x:f>
      </x:c>
      <x:c r="AF1739" s="36" t="str">
        <x:f>IF(ISNUMBER(AD1739),ROUND(AD1739-AE1739-V1739,2),"")</x:f>
      </x:c>
      <x:c r="AG1739" t="str">
        <x:f>IF(NOT(ISNUMBER(T1739)),"PENDING",IF(AF1739&gt;0,"PASS","FAIL"))</x:f>
        <x:v>PENDING</x:v>
      </x:c>
      <x:c r="AH1739" t="str">
        <x:f>IF(NOT(ISNUMBER(T1739)),"Needs supplier cost",IF(K1739&lt;&gt;"In stock","Supplier unavailable",IF(AG1739&lt;&gt;"PASS","BLOCK - GT loss risk","Commercially protected")))</x:f>
        <x:v>Needs supplier cost</x:v>
      </x:c>
      <x:c r="AI1739" t="str">
        <x:v>2026-09-10 Active Sports trade capture</x:v>
      </x:c>
      <x:c r="AJ1739" t="str">
        <x:v>Management-only economics. Stripe stress test uses 1.5% + £0.20 standard UK online-card fee; pallet/mix-and-match pricing ignored.</x:v>
      </x:c>
    </x:row>
    <x:row r="1740">
      <x:c r="A1740" t="str">
        <x:v>Active Sports Nutrition</x:v>
      </x:c>
      <x:c r="B1740" t="str">
        <x:v>Scitec Nutrition</x:v>
      </x:c>
      <x:c r="C1740" t="str">
        <x:v>EAA + Glutamine</x:v>
      </x:c>
      <x:c r="D1740" t="str">
        <x:v>Supplements</x:v>
      </x:c>
      <x:c r="E1740" t="str">
        <x:v>Amino Acids</x:v>
      </x:c>
      <x:c r="F1740" t="str"/>
      <x:c r="G1740" t="str">
        <x:v>33 servings</x:v>
      </x:c>
      <x:c r="H1740" t="str">
        <x:v>Cherry Lime</x:v>
      </x:c>
      <x:c r="I1740" t="str"/>
      <x:c r="J1740" t="str">
        <x:v>Unit</x:v>
      </x:c>
      <x:c r="K1740" t="str">
        <x:v>In stock</x:v>
      </x:c>
      <x:c r="L1740" t="str">
        <x:v>2026-09-08</x:v>
      </x:c>
      <x:c r="M1740" t="str"/>
      <x:c r="N1740" t="str"/>
      <x:c r="O1740" t="str">
        <x:v>https://www.activesportstrade.co.uk/scitec-nutrition-trade</x:v>
      </x:c>
      <x:c r="P1740" t="str"/>
      <x:c r="Q1740" t="str"/>
      <x:c r="R1740" t="str"/>
      <x:c r="S1740" t="str">
        <x:v>Pending genuine supplier/brand image</x:v>
      </x:c>
      <x:c r="T1740" s="54" t="n">
        <x:v>12.99</x:v>
      </x:c>
      <x:c r="U1740" s="47" t="n">
        <x:v>0.2</x:v>
      </x:c>
      <x:c r="V1740" s="54" t="n">
        <x:f>IF(ISNUMBER(T1740),T1740*(1+U1740),"")</x:f>
        <x:v>15.588</x:v>
      </x:c>
      <x:c r="W1740" s="47" t="n">
        <x:v>0.3</x:v>
      </x:c>
      <x:c r="X1740" s="54" t="n">
        <x:f>IF(ISNUMBER(V1740),V1740/(1-W1740),"")</x:f>
        <x:v>22.26857142857143</x:v>
      </x:c>
      <x:c r="Y1740" s="55" t="n">
        <x:f>IF(ISNUMBER(X1740),ROUNDUP(X1740,0),"")</x:f>
        <x:v>23</x:v>
      </x:c>
      <x:c r="Z1740" t="str">
        <x:v>Source match pending</x:v>
      </x:c>
      <x:c r="AA1740" t="str">
        <x:v>screencapture-www-activesportstrade-co-uk-scitec-nutrition-trade-2026-09-10-09_07_50.pdf / page-4</x:v>
      </x:c>
      <x:c r="AB1740" s="36" t="n">
        <x:f>IF(ISNUMBER(Y1740),ROUND(Y1740*0.9,2),"")</x:f>
        <x:v>20.7</x:v>
      </x:c>
      <x:c r="AC1740" s="36" t="n">
        <x:f>IF(ISNUMBER(AB1740),ROUND(AB1740-(AB1740*0.015+0.2)-V1740,2),"")</x:f>
        <x:v>4.6</x:v>
      </x:c>
      <x:c r="AD1740" s="36" t="n">
        <x:f>IF(ISNUMBER(Y1740),ROUND(Y1740*0.8,2),"")</x:f>
        <x:v>18.4</x:v>
      </x:c>
      <x:c r="AE1740" s="36" t="n">
        <x:f>IF(ISNUMBER(AD1740),ROUND(AD1740*0.015+0.2,2),"")</x:f>
        <x:v>0.48</x:v>
      </x:c>
      <x:c r="AF1740" s="36" t="n">
        <x:f>IF(ISNUMBER(AD1740),ROUND(AD1740-AE1740-V1740,2),"")</x:f>
        <x:v>2.33</x:v>
      </x:c>
      <x:c r="AG1740" t="str">
        <x:f>IF(NOT(ISNUMBER(T1740)),"PENDING",IF(AF1740&gt;0,"PASS","FAIL"))</x:f>
        <x:v>PASS</x:v>
      </x:c>
      <x:c r="AH1740" t="str">
        <x:f>IF(NOT(ISNUMBER(T1740)),"Needs supplier cost",IF(K1740&lt;&gt;"In stock","Supplier unavailable",IF(AG1740&lt;&gt;"PASS","BLOCK - GT loss risk","Commercially protected")))</x:f>
        <x:v>Commercially protected</x:v>
      </x:c>
      <x:c r="AI1740" t="str">
        <x:v>2026-09-10 Active Sports trade capture</x:v>
      </x:c>
      <x:c r="AJ1740" t="str">
        <x:v>Management-only economics. Stripe stress test uses 1.5% + £0.20 standard UK online-card fee; pallet/mix-and-match pricing ignored.</x:v>
      </x:c>
    </x:row>
    <x:row r="1741">
      <x:c r="A1741" t="str">
        <x:v>Active Sports Nutrition</x:v>
      </x:c>
      <x:c r="B1741" t="str">
        <x:v>Scitec Nutrition</x:v>
      </x:c>
      <x:c r="C1741" t="str">
        <x:v>EAA + Glutamine</x:v>
      </x:c>
      <x:c r="D1741" t="str">
        <x:v>Supplements</x:v>
      </x:c>
      <x:c r="E1741" t="str">
        <x:v>Amino Acids</x:v>
      </x:c>
      <x:c r="F1741" t="str"/>
      <x:c r="G1741" t="str">
        <x:v>33 servings</x:v>
      </x:c>
      <x:c r="H1741" t="str">
        <x:v>Mango</x:v>
      </x:c>
      <x:c r="I1741" t="str"/>
      <x:c r="J1741" t="str">
        <x:v>Unit</x:v>
      </x:c>
      <x:c r="K1741" t="str">
        <x:v>In stock</x:v>
      </x:c>
      <x:c r="L1741" t="str">
        <x:v>2026-09-08</x:v>
      </x:c>
      <x:c r="M1741" t="str"/>
      <x:c r="N1741" t="str"/>
      <x:c r="O1741" t="str">
        <x:v>https://www.activesportstrade.co.uk/scitec-nutrition-trade</x:v>
      </x:c>
      <x:c r="P1741" t="str"/>
      <x:c r="Q1741" t="str"/>
      <x:c r="R1741" t="str"/>
      <x:c r="S1741" t="str">
        <x:v>Pending genuine supplier/brand image</x:v>
      </x:c>
      <x:c r="T1741" s="54" t="n">
        <x:v>12.99</x:v>
      </x:c>
      <x:c r="U1741" s="47" t="n">
        <x:v>0.2</x:v>
      </x:c>
      <x:c r="V1741" s="54" t="n">
        <x:f>IF(ISNUMBER(T1741),T1741*(1+U1741),"")</x:f>
        <x:v>15.588</x:v>
      </x:c>
      <x:c r="W1741" s="47" t="n">
        <x:v>0.3</x:v>
      </x:c>
      <x:c r="X1741" s="54" t="n">
        <x:f>IF(ISNUMBER(V1741),V1741/(1-W1741),"")</x:f>
        <x:v>22.26857142857143</x:v>
      </x:c>
      <x:c r="Y1741" s="55" t="n">
        <x:f>IF(ISNUMBER(X1741),ROUNDUP(X1741,0),"")</x:f>
        <x:v>23</x:v>
      </x:c>
      <x:c r="Z1741" t="str">
        <x:v>Source match pending</x:v>
      </x:c>
      <x:c r="AA1741" t="str">
        <x:v>screencapture-www-activesportstrade-co-uk-scitec-nutrition-trade-2026-09-10-09_07_50.pdf / page-4</x:v>
      </x:c>
      <x:c r="AB1741" s="36" t="n">
        <x:f>IF(ISNUMBER(Y1741),ROUND(Y1741*0.9,2),"")</x:f>
        <x:v>20.7</x:v>
      </x:c>
      <x:c r="AC1741" s="36" t="n">
        <x:f>IF(ISNUMBER(AB1741),ROUND(AB1741-(AB1741*0.015+0.2)-V1741,2),"")</x:f>
        <x:v>4.6</x:v>
      </x:c>
      <x:c r="AD1741" s="36" t="n">
        <x:f>IF(ISNUMBER(Y1741),ROUND(Y1741*0.8,2),"")</x:f>
        <x:v>18.4</x:v>
      </x:c>
      <x:c r="AE1741" s="36" t="n">
        <x:f>IF(ISNUMBER(AD1741),ROUND(AD1741*0.015+0.2,2),"")</x:f>
        <x:v>0.48</x:v>
      </x:c>
      <x:c r="AF1741" s="36" t="n">
        <x:f>IF(ISNUMBER(AD1741),ROUND(AD1741-AE1741-V1741,2),"")</x:f>
        <x:v>2.33</x:v>
      </x:c>
      <x:c r="AG1741" t="str">
        <x:f>IF(NOT(ISNUMBER(T1741)),"PENDING",IF(AF1741&gt;0,"PASS","FAIL"))</x:f>
        <x:v>PASS</x:v>
      </x:c>
      <x:c r="AH1741" t="str">
        <x:f>IF(NOT(ISNUMBER(T1741)),"Needs supplier cost",IF(K1741&lt;&gt;"In stock","Supplier unavailable",IF(AG1741&lt;&gt;"PASS","BLOCK - GT loss risk","Commercially protected")))</x:f>
        <x:v>Commercially protected</x:v>
      </x:c>
      <x:c r="AI1741" t="str">
        <x:v>2026-09-10 Active Sports trade capture</x:v>
      </x:c>
      <x:c r="AJ1741" t="str">
        <x:v>Management-only economics. Stripe stress test uses 1.5% + £0.20 standard UK online-card fee; pallet/mix-and-match pricing ignored.</x:v>
      </x:c>
    </x:row>
    <x:row r="1742">
      <x:c r="A1742" t="str">
        <x:v>Active Sports Nutrition</x:v>
      </x:c>
      <x:c r="B1742" t="str">
        <x:v>Scitec Nutrition</x:v>
      </x:c>
      <x:c r="C1742" t="str">
        <x:v>EAA + Glutamine</x:v>
      </x:c>
      <x:c r="D1742" t="str">
        <x:v>Supplements</x:v>
      </x:c>
      <x:c r="E1742" t="str">
        <x:v>Amino Acids</x:v>
      </x:c>
      <x:c r="F1742" t="str"/>
      <x:c r="G1742" t="str">
        <x:v>33 servings</x:v>
      </x:c>
      <x:c r="H1742" t="str">
        <x:v>Melon Cola</x:v>
      </x:c>
      <x:c r="I1742" t="str"/>
      <x:c r="J1742" t="str">
        <x:v>Unit</x:v>
      </x:c>
      <x:c r="K1742" t="str">
        <x:v>In stock</x:v>
      </x:c>
      <x:c r="L1742" t="str">
        <x:v>2026-09-08</x:v>
      </x:c>
      <x:c r="M1742" t="str"/>
      <x:c r="N1742" t="str"/>
      <x:c r="O1742" t="str">
        <x:v>https://www.activesportstrade.co.uk/scitec-nutrition-trade</x:v>
      </x:c>
      <x:c r="P1742" t="str"/>
      <x:c r="Q1742" t="str"/>
      <x:c r="R1742" t="str"/>
      <x:c r="S1742" t="str">
        <x:v>Pending genuine supplier/brand image</x:v>
      </x:c>
      <x:c r="T1742" s="54" t="n">
        <x:v>12.99</x:v>
      </x:c>
      <x:c r="U1742" s="47" t="n">
        <x:v>0.2</x:v>
      </x:c>
      <x:c r="V1742" s="54" t="n">
        <x:f>IF(ISNUMBER(T1742),T1742*(1+U1742),"")</x:f>
        <x:v>15.588</x:v>
      </x:c>
      <x:c r="W1742" s="47" t="n">
        <x:v>0.3</x:v>
      </x:c>
      <x:c r="X1742" s="54" t="n">
        <x:f>IF(ISNUMBER(V1742),V1742/(1-W1742),"")</x:f>
        <x:v>22.26857142857143</x:v>
      </x:c>
      <x:c r="Y1742" s="55" t="n">
        <x:f>IF(ISNUMBER(X1742),ROUNDUP(X1742,0),"")</x:f>
        <x:v>23</x:v>
      </x:c>
      <x:c r="Z1742" t="str">
        <x:v>Source match pending</x:v>
      </x:c>
      <x:c r="AA1742" t="str">
        <x:v>screencapture-www-activesportstrade-co-uk-scitec-nutrition-trade-2026-09-10-09_07_50.pdf / page-4</x:v>
      </x:c>
      <x:c r="AB1742" s="36" t="n">
        <x:f>IF(ISNUMBER(Y1742),ROUND(Y1742*0.9,2),"")</x:f>
        <x:v>20.7</x:v>
      </x:c>
      <x:c r="AC1742" s="36" t="n">
        <x:f>IF(ISNUMBER(AB1742),ROUND(AB1742-(AB1742*0.015+0.2)-V1742,2),"")</x:f>
        <x:v>4.6</x:v>
      </x:c>
      <x:c r="AD1742" s="36" t="n">
        <x:f>IF(ISNUMBER(Y1742),ROUND(Y1742*0.8,2),"")</x:f>
        <x:v>18.4</x:v>
      </x:c>
      <x:c r="AE1742" s="36" t="n">
        <x:f>IF(ISNUMBER(AD1742),ROUND(AD1742*0.015+0.2,2),"")</x:f>
        <x:v>0.48</x:v>
      </x:c>
      <x:c r="AF1742" s="36" t="n">
        <x:f>IF(ISNUMBER(AD1742),ROUND(AD1742-AE1742-V1742,2),"")</x:f>
        <x:v>2.33</x:v>
      </x:c>
      <x:c r="AG1742" t="str">
        <x:f>IF(NOT(ISNUMBER(T1742)),"PENDING",IF(AF1742&gt;0,"PASS","FAIL"))</x:f>
        <x:v>PASS</x:v>
      </x:c>
      <x:c r="AH1742" t="str">
        <x:f>IF(NOT(ISNUMBER(T1742)),"Needs supplier cost",IF(K1742&lt;&gt;"In stock","Supplier unavailable",IF(AG1742&lt;&gt;"PASS","BLOCK - GT loss risk","Commercially protected")))</x:f>
        <x:v>Commercially protected</x:v>
      </x:c>
      <x:c r="AI1742" t="str">
        <x:v>2026-09-10 Active Sports trade capture</x:v>
      </x:c>
      <x:c r="AJ1742" t="str">
        <x:v>Management-only economics. Stripe stress test uses 1.5% + £0.20 standard UK online-card fee; pallet/mix-and-match pricing ignored.</x:v>
      </x:c>
    </x:row>
    <x:row r="1743">
      <x:c r="A1743" t="str">
        <x:v>Active Sports Nutrition</x:v>
      </x:c>
      <x:c r="B1743" t="str">
        <x:v>Scitec Nutrition</x:v>
      </x:c>
      <x:c r="C1743" t="str">
        <x:v>EAA + Glutamine</x:v>
      </x:c>
      <x:c r="D1743" t="str">
        <x:v>Supplements</x:v>
      </x:c>
      <x:c r="E1743" t="str">
        <x:v>Amino Acids</x:v>
      </x:c>
      <x:c r="F1743" t="str"/>
      <x:c r="G1743" t="str">
        <x:v>33 servings</x:v>
      </x:c>
      <x:c r="H1743" t="str">
        <x:v>Pink Lemonade</x:v>
      </x:c>
      <x:c r="I1743" t="str"/>
      <x:c r="J1743" t="str">
        <x:v>Unit</x:v>
      </x:c>
      <x:c r="K1743" t="str">
        <x:v>In stock</x:v>
      </x:c>
      <x:c r="L1743" t="str">
        <x:v>2026-09-08</x:v>
      </x:c>
      <x:c r="M1743" t="str"/>
      <x:c r="N1743" t="str"/>
      <x:c r="O1743" t="str">
        <x:v>https://www.activesportstrade.co.uk/scitec-nutrition-trade</x:v>
      </x:c>
      <x:c r="P1743" t="str"/>
      <x:c r="Q1743" t="str"/>
      <x:c r="R1743" t="str"/>
      <x:c r="S1743" t="str">
        <x:v>Pending genuine supplier/brand image</x:v>
      </x:c>
      <x:c r="T1743" s="54" t="n">
        <x:v>12.99</x:v>
      </x:c>
      <x:c r="U1743" s="47" t="n">
        <x:v>0.2</x:v>
      </x:c>
      <x:c r="V1743" s="54" t="n">
        <x:f>IF(ISNUMBER(T1743),T1743*(1+U1743),"")</x:f>
        <x:v>15.588</x:v>
      </x:c>
      <x:c r="W1743" s="47" t="n">
        <x:v>0.3</x:v>
      </x:c>
      <x:c r="X1743" s="54" t="n">
        <x:f>IF(ISNUMBER(V1743),V1743/(1-W1743),"")</x:f>
        <x:v>22.26857142857143</x:v>
      </x:c>
      <x:c r="Y1743" s="55" t="n">
        <x:f>IF(ISNUMBER(X1743),ROUNDUP(X1743,0),"")</x:f>
        <x:v>23</x:v>
      </x:c>
      <x:c r="Z1743" t="str">
        <x:v>Source match pending</x:v>
      </x:c>
      <x:c r="AA1743" t="str">
        <x:v>screencapture-www-activesportstrade-co-uk-scitec-nutrition-trade-2026-09-10-09_07_50.pdf / page-4</x:v>
      </x:c>
      <x:c r="AB1743" s="36" t="n">
        <x:f>IF(ISNUMBER(Y1743),ROUND(Y1743*0.9,2),"")</x:f>
        <x:v>20.7</x:v>
      </x:c>
      <x:c r="AC1743" s="36" t="n">
        <x:f>IF(ISNUMBER(AB1743),ROUND(AB1743-(AB1743*0.015+0.2)-V1743,2),"")</x:f>
        <x:v>4.6</x:v>
      </x:c>
      <x:c r="AD1743" s="36" t="n">
        <x:f>IF(ISNUMBER(Y1743),ROUND(Y1743*0.8,2),"")</x:f>
        <x:v>18.4</x:v>
      </x:c>
      <x:c r="AE1743" s="36" t="n">
        <x:f>IF(ISNUMBER(AD1743),ROUND(AD1743*0.015+0.2,2),"")</x:f>
        <x:v>0.48</x:v>
      </x:c>
      <x:c r="AF1743" s="36" t="n">
        <x:f>IF(ISNUMBER(AD1743),ROUND(AD1743-AE1743-V1743,2),"")</x:f>
        <x:v>2.33</x:v>
      </x:c>
      <x:c r="AG1743" t="str">
        <x:f>IF(NOT(ISNUMBER(T1743)),"PENDING",IF(AF1743&gt;0,"PASS","FAIL"))</x:f>
        <x:v>PASS</x:v>
      </x:c>
      <x:c r="AH1743" t="str">
        <x:f>IF(NOT(ISNUMBER(T1743)),"Needs supplier cost",IF(K1743&lt;&gt;"In stock","Supplier unavailable",IF(AG1743&lt;&gt;"PASS","BLOCK - GT loss risk","Commercially protected")))</x:f>
        <x:v>Commercially protected</x:v>
      </x:c>
      <x:c r="AI1743" t="str">
        <x:v>2026-09-10 Active Sports trade capture</x:v>
      </x:c>
      <x:c r="AJ1743" t="str">
        <x:v>Management-only economics. Stripe stress test uses 1.5% + £0.20 standard UK online-card fee; pallet/mix-and-match pricing ignored.</x:v>
      </x:c>
    </x:row>
    <x:row r="1744">
      <x:c r="A1744" t="str">
        <x:v>Active Sports Nutrition</x:v>
      </x:c>
      <x:c r="B1744" t="str">
        <x:v>Scitec Nutrition</x:v>
      </x:c>
      <x:c r="C1744" t="str">
        <x:v>EAA Xpress</x:v>
      </x:c>
      <x:c r="D1744" t="str">
        <x:v>Supplements</x:v>
      </x:c>
      <x:c r="E1744" t="str">
        <x:v>Amino Acids</x:v>
      </x:c>
      <x:c r="F1744" t="str"/>
      <x:c r="G1744" t="str">
        <x:v>400g</x:v>
      </x:c>
      <x:c r="H1744" t="str">
        <x:v>Kiwi Lime</x:v>
      </x:c>
      <x:c r="I1744" t="str"/>
      <x:c r="J1744" t="str">
        <x:v>Unit</x:v>
      </x:c>
      <x:c r="K1744" t="str">
        <x:v>Out of stock</x:v>
      </x:c>
      <x:c r="L1744" t="str">
        <x:v>2026-09-08</x:v>
      </x:c>
      <x:c r="M1744" t="str"/>
      <x:c r="N1744" t="str"/>
      <x:c r="O1744" t="str">
        <x:v>https://www.activesportstrade.co.uk/scitec-nutrition-trade</x:v>
      </x:c>
      <x:c r="P1744" t="str">
        <x:v>Separate dated SPECIAL OFFER EAA Xpress rows exist; normal canonical listing retained and dated promo stock does not override it.</x:v>
      </x:c>
      <x:c r="Q1744" t="str"/>
      <x:c r="R1744" t="str"/>
      <x:c r="S1744" t="str">
        <x:v>Pending genuine supplier/brand image</x:v>
      </x:c>
      <x:c r="T1744" s="54" t="n">
        <x:v>7.99</x:v>
      </x:c>
      <x:c r="U1744" s="47" t="n">
        <x:v>0.2</x:v>
      </x:c>
      <x:c r="V1744" s="54" t="n">
        <x:f>IF(ISNUMBER(T1744),T1744*(1+U1744),"")</x:f>
        <x:v>9.588</x:v>
      </x:c>
      <x:c r="W1744" s="47" t="n">
        <x:v>0.3</x:v>
      </x:c>
      <x:c r="X1744" s="54" t="n">
        <x:f>IF(ISNUMBER(V1744),V1744/(1-W1744),"")</x:f>
        <x:v>13.697142857142858</x:v>
      </x:c>
      <x:c r="Y1744" s="55" t="n">
        <x:f>IF(ISNUMBER(X1744),ROUNDUP(X1744,0),"")</x:f>
        <x:v>14</x:v>
      </x:c>
      <x:c r="Z1744" t="str">
        <x:v>Source match pending</x:v>
      </x:c>
      <x:c r="AA1744" t="str">
        <x:v>screencapture-www-activesportstrade-co-uk-scitec-nutrition-trade-2026-09-10-09_07_50.pdf / page-4</x:v>
      </x:c>
      <x:c r="AB1744" s="36" t="n">
        <x:f>IF(ISNUMBER(Y1744),ROUND(Y1744*0.9,2),"")</x:f>
        <x:v>12.6</x:v>
      </x:c>
      <x:c r="AC1744" s="36" t="n">
        <x:f>IF(ISNUMBER(AB1744),ROUND(AB1744-(AB1744*0.015+0.2)-V1744,2),"")</x:f>
        <x:v>2.62</x:v>
      </x:c>
      <x:c r="AD1744" s="36" t="n">
        <x:f>IF(ISNUMBER(Y1744),ROUND(Y1744*0.8,2),"")</x:f>
        <x:v>11.2</x:v>
      </x:c>
      <x:c r="AE1744" s="36" t="n">
        <x:f>IF(ISNUMBER(AD1744),ROUND(AD1744*0.015+0.2,2),"")</x:f>
        <x:v>0.37</x:v>
      </x:c>
      <x:c r="AF1744" s="36" t="n">
        <x:f>IF(ISNUMBER(AD1744),ROUND(AD1744-AE1744-V1744,2),"")</x:f>
        <x:v>1.24</x:v>
      </x:c>
      <x:c r="AG1744" t="str">
        <x:f>IF(NOT(ISNUMBER(T1744)),"PENDING",IF(AF1744&gt;0,"PASS","FAIL"))</x:f>
        <x:v>PASS</x:v>
      </x:c>
      <x:c r="AH1744" t="str">
        <x:f>IF(NOT(ISNUMBER(T1744)),"Needs supplier cost",IF(K1744&lt;&gt;"In stock","Supplier unavailable",IF(AG1744&lt;&gt;"PASS","BLOCK - GT loss risk","Commercially protected")))</x:f>
        <x:v>Supplier unavailable</x:v>
      </x:c>
      <x:c r="AI1744" t="str">
        <x:v>2026-09-10 Active Sports trade capture</x:v>
      </x:c>
      <x:c r="AJ1744" t="str">
        <x:v>Management-only economics. Stripe stress test uses 1.5% + £0.20 standard UK online-card fee; pallet/mix-and-match pricing ignored.</x:v>
      </x:c>
    </x:row>
    <x:row r="1745">
      <x:c r="A1745" t="str">
        <x:v>Active Sports Nutrition</x:v>
      </x:c>
      <x:c r="B1745" t="str">
        <x:v>Scitec Nutrition</x:v>
      </x:c>
      <x:c r="C1745" t="str">
        <x:v>EAA Xpress</x:v>
      </x:c>
      <x:c r="D1745" t="str">
        <x:v>Supplements</x:v>
      </x:c>
      <x:c r="E1745" t="str">
        <x:v>Amino Acids</x:v>
      </x:c>
      <x:c r="F1745" t="str"/>
      <x:c r="G1745" t="str">
        <x:v>400g</x:v>
      </x:c>
      <x:c r="H1745" t="str">
        <x:v>Peach Ice Tea</x:v>
      </x:c>
      <x:c r="I1745" t="str"/>
      <x:c r="J1745" t="str">
        <x:v>Unit</x:v>
      </x:c>
      <x:c r="K1745" t="str">
        <x:v>Out of stock</x:v>
      </x:c>
      <x:c r="L1745" t="str">
        <x:v>2026-09-08</x:v>
      </x:c>
      <x:c r="M1745" t="str"/>
      <x:c r="N1745" t="str"/>
      <x:c r="O1745" t="str">
        <x:v>https://www.activesportstrade.co.uk/scitec-nutrition-trade</x:v>
      </x:c>
      <x:c r="P1745" t="str">
        <x:v>Separate dated SPECIAL OFFER EAA Xpress rows exist; normal canonical listing retained and dated promo stock does not override it.</x:v>
      </x:c>
      <x:c r="Q1745" t="str"/>
      <x:c r="R1745" t="str"/>
      <x:c r="S1745" t="str">
        <x:v>Pending genuine supplier/brand image</x:v>
      </x:c>
      <x:c r="T1745" s="54" t="n">
        <x:v>7.99</x:v>
      </x:c>
      <x:c r="U1745" s="47" t="n">
        <x:v>0.2</x:v>
      </x:c>
      <x:c r="V1745" s="54" t="n">
        <x:f>IF(ISNUMBER(T1745),T1745*(1+U1745),"")</x:f>
        <x:v>9.588</x:v>
      </x:c>
      <x:c r="W1745" s="47" t="n">
        <x:v>0.3</x:v>
      </x:c>
      <x:c r="X1745" s="54" t="n">
        <x:f>IF(ISNUMBER(V1745),V1745/(1-W1745),"")</x:f>
        <x:v>13.697142857142858</x:v>
      </x:c>
      <x:c r="Y1745" s="55" t="n">
        <x:f>IF(ISNUMBER(X1745),ROUNDUP(X1745,0),"")</x:f>
        <x:v>14</x:v>
      </x:c>
      <x:c r="Z1745" t="str">
        <x:v>Source match pending</x:v>
      </x:c>
      <x:c r="AA1745" t="str">
        <x:v>screencapture-www-activesportstrade-co-uk-scitec-nutrition-trade-2026-09-10-09_07_50.pdf / page-4</x:v>
      </x:c>
      <x:c r="AB1745" s="36" t="n">
        <x:f>IF(ISNUMBER(Y1745),ROUND(Y1745*0.9,2),"")</x:f>
        <x:v>12.6</x:v>
      </x:c>
      <x:c r="AC1745" s="36" t="n">
        <x:f>IF(ISNUMBER(AB1745),ROUND(AB1745-(AB1745*0.015+0.2)-V1745,2),"")</x:f>
        <x:v>2.62</x:v>
      </x:c>
      <x:c r="AD1745" s="36" t="n">
        <x:f>IF(ISNUMBER(Y1745),ROUND(Y1745*0.8,2),"")</x:f>
        <x:v>11.2</x:v>
      </x:c>
      <x:c r="AE1745" s="36" t="n">
        <x:f>IF(ISNUMBER(AD1745),ROUND(AD1745*0.015+0.2,2),"")</x:f>
        <x:v>0.37</x:v>
      </x:c>
      <x:c r="AF1745" s="36" t="n">
        <x:f>IF(ISNUMBER(AD1745),ROUND(AD1745-AE1745-V1745,2),"")</x:f>
        <x:v>1.24</x:v>
      </x:c>
      <x:c r="AG1745" t="str">
        <x:f>IF(NOT(ISNUMBER(T1745)),"PENDING",IF(AF1745&gt;0,"PASS","FAIL"))</x:f>
        <x:v>PASS</x:v>
      </x:c>
      <x:c r="AH1745" t="str">
        <x:f>IF(NOT(ISNUMBER(T1745)),"Needs supplier cost",IF(K1745&lt;&gt;"In stock","Supplier unavailable",IF(AG1745&lt;&gt;"PASS","BLOCK - GT loss risk","Commercially protected")))</x:f>
        <x:v>Supplier unavailable</x:v>
      </x:c>
      <x:c r="AI1745" t="str">
        <x:v>2026-09-10 Active Sports trade capture</x:v>
      </x:c>
      <x:c r="AJ1745" t="str">
        <x:v>Management-only economics. Stripe stress test uses 1.5% + £0.20 standard UK online-card fee; pallet/mix-and-match pricing ignored.</x:v>
      </x:c>
    </x:row>
    <x:row r="1746">
      <x:c r="A1746" t="str">
        <x:v>Active Sports Nutrition</x:v>
      </x:c>
      <x:c r="B1746" t="str">
        <x:v>Scitec Nutrition</x:v>
      </x:c>
      <x:c r="C1746" t="str">
        <x:v>EAA Xpress</x:v>
      </x:c>
      <x:c r="D1746" t="str">
        <x:v>Supplements</x:v>
      </x:c>
      <x:c r="E1746" t="str">
        <x:v>Amino Acids</x:v>
      </x:c>
      <x:c r="F1746" t="str"/>
      <x:c r="G1746" t="str">
        <x:v>400g</x:v>
      </x:c>
      <x:c r="H1746" t="str">
        <x:v>Pink Lemonade</x:v>
      </x:c>
      <x:c r="I1746" t="str"/>
      <x:c r="J1746" t="str">
        <x:v>Unit</x:v>
      </x:c>
      <x:c r="K1746" t="str">
        <x:v>Out of stock</x:v>
      </x:c>
      <x:c r="L1746" t="str">
        <x:v>2026-09-08</x:v>
      </x:c>
      <x:c r="M1746" t="str"/>
      <x:c r="N1746" t="str"/>
      <x:c r="O1746" t="str">
        <x:v>https://www.activesportstrade.co.uk/scitec-nutrition-trade</x:v>
      </x:c>
      <x:c r="P1746" t="str">
        <x:v>Separate dated SPECIAL OFFER EAA Xpress rows exist; normal canonical listing retained and dated promo stock does not override it.</x:v>
      </x:c>
      <x:c r="Q1746" t="str"/>
      <x:c r="R1746" t="str"/>
      <x:c r="S1746" t="str">
        <x:v>Pending genuine supplier/brand image</x:v>
      </x:c>
      <x:c r="T1746" s="54" t="n">
        <x:v>7.99</x:v>
      </x:c>
      <x:c r="U1746" s="47" t="n">
        <x:v>0.2</x:v>
      </x:c>
      <x:c r="V1746" s="54" t="n">
        <x:f>IF(ISNUMBER(T1746),T1746*(1+U1746),"")</x:f>
        <x:v>9.588</x:v>
      </x:c>
      <x:c r="W1746" s="47" t="n">
        <x:v>0.3</x:v>
      </x:c>
      <x:c r="X1746" s="54" t="n">
        <x:f>IF(ISNUMBER(V1746),V1746/(1-W1746),"")</x:f>
        <x:v>13.697142857142858</x:v>
      </x:c>
      <x:c r="Y1746" s="55" t="n">
        <x:f>IF(ISNUMBER(X1746),ROUNDUP(X1746,0),"")</x:f>
        <x:v>14</x:v>
      </x:c>
      <x:c r="Z1746" t="str">
        <x:v>Source match pending</x:v>
      </x:c>
      <x:c r="AA1746" t="str">
        <x:v>screencapture-www-activesportstrade-co-uk-scitec-nutrition-trade-2026-09-10-09_07_50.pdf / page-4</x:v>
      </x:c>
      <x:c r="AB1746" s="36" t="n">
        <x:f>IF(ISNUMBER(Y1746),ROUND(Y1746*0.9,2),"")</x:f>
        <x:v>12.6</x:v>
      </x:c>
      <x:c r="AC1746" s="36" t="n">
        <x:f>IF(ISNUMBER(AB1746),ROUND(AB1746-(AB1746*0.015+0.2)-V1746,2),"")</x:f>
        <x:v>2.62</x:v>
      </x:c>
      <x:c r="AD1746" s="36" t="n">
        <x:f>IF(ISNUMBER(Y1746),ROUND(Y1746*0.8,2),"")</x:f>
        <x:v>11.2</x:v>
      </x:c>
      <x:c r="AE1746" s="36" t="n">
        <x:f>IF(ISNUMBER(AD1746),ROUND(AD1746*0.015+0.2,2),"")</x:f>
        <x:v>0.37</x:v>
      </x:c>
      <x:c r="AF1746" s="36" t="n">
        <x:f>IF(ISNUMBER(AD1746),ROUND(AD1746-AE1746-V1746,2),"")</x:f>
        <x:v>1.24</x:v>
      </x:c>
      <x:c r="AG1746" t="str">
        <x:f>IF(NOT(ISNUMBER(T1746)),"PENDING",IF(AF1746&gt;0,"PASS","FAIL"))</x:f>
        <x:v>PASS</x:v>
      </x:c>
      <x:c r="AH1746" t="str">
        <x:f>IF(NOT(ISNUMBER(T1746)),"Needs supplier cost",IF(K1746&lt;&gt;"In stock","Supplier unavailable",IF(AG1746&lt;&gt;"PASS","BLOCK - GT loss risk","Commercially protected")))</x:f>
        <x:v>Supplier unavailable</x:v>
      </x:c>
      <x:c r="AI1746" t="str">
        <x:v>2026-09-10 Active Sports trade capture</x:v>
      </x:c>
      <x:c r="AJ1746" t="str">
        <x:v>Management-only economics. Stripe stress test uses 1.5% + £0.20 standard UK online-card fee; pallet/mix-and-match pricing ignored.</x:v>
      </x:c>
    </x:row>
    <x:row r="1747">
      <x:c r="A1747" t="str">
        <x:v>Active Sports Nutrition</x:v>
      </x:c>
      <x:c r="B1747" t="str">
        <x:v>Scitec Nutrition</x:v>
      </x:c>
      <x:c r="C1747" t="str">
        <x:v>EAA Xpress</x:v>
      </x:c>
      <x:c r="D1747" t="str">
        <x:v>Supplements</x:v>
      </x:c>
      <x:c r="E1747" t="str">
        <x:v>Amino Acids</x:v>
      </x:c>
      <x:c r="F1747" t="str"/>
      <x:c r="G1747" t="str">
        <x:v>400g</x:v>
      </x:c>
      <x:c r="H1747" t="str">
        <x:v>Watermelon Strawberry</x:v>
      </x:c>
      <x:c r="I1747" t="str"/>
      <x:c r="J1747" t="str">
        <x:v>Unit</x:v>
      </x:c>
      <x:c r="K1747" t="str">
        <x:v>Out of stock</x:v>
      </x:c>
      <x:c r="L1747" t="str">
        <x:v>2026-09-08</x:v>
      </x:c>
      <x:c r="M1747" t="str"/>
      <x:c r="N1747" t="str"/>
      <x:c r="O1747" t="str">
        <x:v>https://www.activesportstrade.co.uk/scitec-nutrition-trade</x:v>
      </x:c>
      <x:c r="P1747" t="str">
        <x:v>Separate dated SPECIAL OFFER EAA Xpress rows exist; normal canonical listing retained and dated promo stock does not override it.</x:v>
      </x:c>
      <x:c r="Q1747" t="str"/>
      <x:c r="R1747" t="str"/>
      <x:c r="S1747" t="str">
        <x:v>Pending genuine supplier/brand image</x:v>
      </x:c>
      <x:c r="T1747" s="54" t="n">
        <x:v>7.99</x:v>
      </x:c>
      <x:c r="U1747" s="47" t="n">
        <x:v>0.2</x:v>
      </x:c>
      <x:c r="V1747" s="54" t="n">
        <x:f>IF(ISNUMBER(T1747),T1747*(1+U1747),"")</x:f>
        <x:v>9.588</x:v>
      </x:c>
      <x:c r="W1747" s="47" t="n">
        <x:v>0.3</x:v>
      </x:c>
      <x:c r="X1747" s="54" t="n">
        <x:f>IF(ISNUMBER(V1747),V1747/(1-W1747),"")</x:f>
        <x:v>13.697142857142858</x:v>
      </x:c>
      <x:c r="Y1747" s="55" t="n">
        <x:f>IF(ISNUMBER(X1747),ROUNDUP(X1747,0),"")</x:f>
        <x:v>14</x:v>
      </x:c>
      <x:c r="Z1747" t="str">
        <x:v>Source match pending</x:v>
      </x:c>
      <x:c r="AA1747" t="str">
        <x:v>screencapture-www-activesportstrade-co-uk-scitec-nutrition-trade-2026-09-10-09_07_50.pdf / page-4</x:v>
      </x:c>
      <x:c r="AB1747" s="36" t="n">
        <x:f>IF(ISNUMBER(Y1747),ROUND(Y1747*0.9,2),"")</x:f>
        <x:v>12.6</x:v>
      </x:c>
      <x:c r="AC1747" s="36" t="n">
        <x:f>IF(ISNUMBER(AB1747),ROUND(AB1747-(AB1747*0.015+0.2)-V1747,2),"")</x:f>
        <x:v>2.62</x:v>
      </x:c>
      <x:c r="AD1747" s="36" t="n">
        <x:f>IF(ISNUMBER(Y1747),ROUND(Y1747*0.8,2),"")</x:f>
        <x:v>11.2</x:v>
      </x:c>
      <x:c r="AE1747" s="36" t="n">
        <x:f>IF(ISNUMBER(AD1747),ROUND(AD1747*0.015+0.2,2),"")</x:f>
        <x:v>0.37</x:v>
      </x:c>
      <x:c r="AF1747" s="36" t="n">
        <x:f>IF(ISNUMBER(AD1747),ROUND(AD1747-AE1747-V1747,2),"")</x:f>
        <x:v>1.24</x:v>
      </x:c>
      <x:c r="AG1747" t="str">
        <x:f>IF(NOT(ISNUMBER(T1747)),"PENDING",IF(AF1747&gt;0,"PASS","FAIL"))</x:f>
        <x:v>PASS</x:v>
      </x:c>
      <x:c r="AH1747" t="str">
        <x:f>IF(NOT(ISNUMBER(T1747)),"Needs supplier cost",IF(K1747&lt;&gt;"In stock","Supplier unavailable",IF(AG1747&lt;&gt;"PASS","BLOCK - GT loss risk","Commercially protected")))</x:f>
        <x:v>Supplier unavailable</x:v>
      </x:c>
      <x:c r="AI1747" t="str">
        <x:v>2026-09-10 Active Sports trade capture</x:v>
      </x:c>
      <x:c r="AJ1747" t="str">
        <x:v>Management-only economics. Stripe stress test uses 1.5% + £0.20 standard UK online-card fee; pallet/mix-and-match pricing ignored.</x:v>
      </x:c>
    </x:row>
    <x:row r="1748">
      <x:c r="A1748" t="str">
        <x:v>Active Sports Nutrition</x:v>
      </x:c>
      <x:c r="B1748" t="str">
        <x:v>Scitec Nutrition</x:v>
      </x:c>
      <x:c r="C1748" t="str">
        <x:v>Vitargo</x:v>
      </x:c>
      <x:c r="D1748" t="str">
        <x:v>Supplements</x:v>
      </x:c>
      <x:c r="E1748" t="str">
        <x:v>Carbohydrates</x:v>
      </x:c>
      <x:c r="F1748" t="str"/>
      <x:c r="G1748" t="str">
        <x:v>900g</x:v>
      </x:c>
      <x:c r="H1748" t="str">
        <x:v>Orange</x:v>
      </x:c>
      <x:c r="I1748" t="str"/>
      <x:c r="J1748" t="str">
        <x:v>Unit</x:v>
      </x:c>
      <x:c r="K1748" t="str">
        <x:v>Out of stock</x:v>
      </x:c>
      <x:c r="L1748" t="str">
        <x:v>2026-09-08</x:v>
      </x:c>
      <x:c r="M1748" t="str"/>
      <x:c r="N1748" t="str"/>
      <x:c r="O1748" t="str">
        <x:v>https://www.activesportstrade.co.uk/scitec-nutrition-trade</x:v>
      </x:c>
      <x:c r="P1748" t="str"/>
      <x:c r="Q1748" t="str"/>
      <x:c r="R1748" t="str"/>
      <x:c r="S1748" t="str">
        <x:v>Pending genuine supplier/brand image</x:v>
      </x:c>
      <x:c r="T1748" s="54" t="n">
        <x:v>16.18</x:v>
      </x:c>
      <x:c r="U1748" s="47" t="n">
        <x:v>0.2</x:v>
      </x:c>
      <x:c r="V1748" s="54" t="n">
        <x:f>IF(ISNUMBER(T1748),T1748*(1+U1748),"")</x:f>
        <x:v>19.416</x:v>
      </x:c>
      <x:c r="W1748" s="47" t="n">
        <x:v>0.3</x:v>
      </x:c>
      <x:c r="X1748" s="54" t="n">
        <x:f>IF(ISNUMBER(V1748),V1748/(1-W1748),"")</x:f>
        <x:v>27.73714285714286</x:v>
      </x:c>
      <x:c r="Y1748" s="55" t="n">
        <x:f>IF(ISNUMBER(X1748),ROUNDUP(X1748,0),"")</x:f>
        <x:v>28</x:v>
      </x:c>
      <x:c r="Z1748" t="str">
        <x:v>Source match pending</x:v>
      </x:c>
      <x:c r="AA1748" t="str">
        <x:v>screencapture-www-activesportstrade-co-uk-scitec-nutrition-trade-2026-09-10-09_07_50.pdf / page-8</x:v>
      </x:c>
      <x:c r="AB1748" s="36" t="n">
        <x:f>IF(ISNUMBER(Y1748),ROUND(Y1748*0.9,2),"")</x:f>
        <x:v>25.2</x:v>
      </x:c>
      <x:c r="AC1748" s="36" t="n">
        <x:f>IF(ISNUMBER(AB1748),ROUND(AB1748-(AB1748*0.015+0.2)-V1748,2),"")</x:f>
        <x:v>5.21</x:v>
      </x:c>
      <x:c r="AD1748" s="36" t="n">
        <x:f>IF(ISNUMBER(Y1748),ROUND(Y1748*0.8,2),"")</x:f>
        <x:v>22.4</x:v>
      </x:c>
      <x:c r="AE1748" s="36" t="n">
        <x:f>IF(ISNUMBER(AD1748),ROUND(AD1748*0.015+0.2,2),"")</x:f>
        <x:v>0.54</x:v>
      </x:c>
      <x:c r="AF1748" s="36" t="n">
        <x:f>IF(ISNUMBER(AD1748),ROUND(AD1748-AE1748-V1748,2),"")</x:f>
        <x:v>2.44</x:v>
      </x:c>
      <x:c r="AG1748" t="str">
        <x:f>IF(NOT(ISNUMBER(T1748)),"PENDING",IF(AF1748&gt;0,"PASS","FAIL"))</x:f>
        <x:v>PASS</x:v>
      </x:c>
      <x:c r="AH1748" t="str">
        <x:f>IF(NOT(ISNUMBER(T1748)),"Needs supplier cost",IF(K1748&lt;&gt;"In stock","Supplier unavailable",IF(AG1748&lt;&gt;"PASS","BLOCK - GT loss risk","Commercially protected")))</x:f>
        <x:v>Supplier unavailable</x:v>
      </x:c>
      <x:c r="AI1748" t="str">
        <x:v>2026-09-10 Active Sports trade capture</x:v>
      </x:c>
      <x:c r="AJ1748" t="str">
        <x:v>Management-only economics. Stripe stress test uses 1.5% + £0.20 standard UK online-card fee; pallet/mix-and-match pricing ignored.</x:v>
      </x:c>
    </x:row>
    <x:row r="1749">
      <x:c r="A1749" t="str">
        <x:v>Active Sports Nutrition</x:v>
      </x:c>
      <x:c r="B1749" t="str">
        <x:v>Scitec Nutrition</x:v>
      </x:c>
      <x:c r="C1749" t="str">
        <x:v>Vitargo</x:v>
      </x:c>
      <x:c r="D1749" t="str">
        <x:v>Supplements</x:v>
      </x:c>
      <x:c r="E1749" t="str">
        <x:v>Carbohydrates</x:v>
      </x:c>
      <x:c r="F1749" t="str"/>
      <x:c r="G1749" t="str">
        <x:v>900g</x:v>
      </x:c>
      <x:c r="H1749" t="str">
        <x:v>Unflavoured</x:v>
      </x:c>
      <x:c r="I1749" t="str"/>
      <x:c r="J1749" t="str">
        <x:v>Unit</x:v>
      </x:c>
      <x:c r="K1749" t="str">
        <x:v>In stock</x:v>
      </x:c>
      <x:c r="L1749" t="str">
        <x:v>2026-09-08</x:v>
      </x:c>
      <x:c r="M1749" t="str"/>
      <x:c r="N1749" t="str"/>
      <x:c r="O1749" t="str">
        <x:v>https://www.activesportstrade.co.uk/scitec-nutrition-trade</x:v>
      </x:c>
      <x:c r="P1749" t="str"/>
      <x:c r="Q1749" t="str"/>
      <x:c r="R1749" t="str"/>
      <x:c r="S1749" t="str">
        <x:v>Pending genuine supplier/brand image</x:v>
      </x:c>
      <x:c r="T1749" s="54" t="n">
        <x:v>16.18</x:v>
      </x:c>
      <x:c r="U1749" s="47" t="n">
        <x:v>0.2</x:v>
      </x:c>
      <x:c r="V1749" s="54" t="n">
        <x:f>IF(ISNUMBER(T1749),T1749*(1+U1749),"")</x:f>
        <x:v>19.416</x:v>
      </x:c>
      <x:c r="W1749" s="47" t="n">
        <x:v>0.3</x:v>
      </x:c>
      <x:c r="X1749" s="54" t="n">
        <x:f>IF(ISNUMBER(V1749),V1749/(1-W1749),"")</x:f>
        <x:v>27.73714285714286</x:v>
      </x:c>
      <x:c r="Y1749" s="55" t="n">
        <x:f>IF(ISNUMBER(X1749),ROUNDUP(X1749,0),"")</x:f>
        <x:v>28</x:v>
      </x:c>
      <x:c r="Z1749" t="str">
        <x:v>Source match pending</x:v>
      </x:c>
      <x:c r="AA1749" t="str">
        <x:v>screencapture-www-activesportstrade-co-uk-scitec-nutrition-trade-2026-09-10-09_07_50.pdf / page-8</x:v>
      </x:c>
      <x:c r="AB1749" s="36" t="n">
        <x:f>IF(ISNUMBER(Y1749),ROUND(Y1749*0.9,2),"")</x:f>
        <x:v>25.2</x:v>
      </x:c>
      <x:c r="AC1749" s="36" t="n">
        <x:f>IF(ISNUMBER(AB1749),ROUND(AB1749-(AB1749*0.015+0.2)-V1749,2),"")</x:f>
        <x:v>5.21</x:v>
      </x:c>
      <x:c r="AD1749" s="36" t="n">
        <x:f>IF(ISNUMBER(Y1749),ROUND(Y1749*0.8,2),"")</x:f>
        <x:v>22.4</x:v>
      </x:c>
      <x:c r="AE1749" s="36" t="n">
        <x:f>IF(ISNUMBER(AD1749),ROUND(AD1749*0.015+0.2,2),"")</x:f>
        <x:v>0.54</x:v>
      </x:c>
      <x:c r="AF1749" s="36" t="n">
        <x:f>IF(ISNUMBER(AD1749),ROUND(AD1749-AE1749-V1749,2),"")</x:f>
        <x:v>2.44</x:v>
      </x:c>
      <x:c r="AG1749" t="str">
        <x:f>IF(NOT(ISNUMBER(T1749)),"PENDING",IF(AF1749&gt;0,"PASS","FAIL"))</x:f>
        <x:v>PASS</x:v>
      </x:c>
      <x:c r="AH1749" t="str">
        <x:f>IF(NOT(ISNUMBER(T1749)),"Needs supplier cost",IF(K1749&lt;&gt;"In stock","Supplier unavailable",IF(AG1749&lt;&gt;"PASS","BLOCK - GT loss risk","Commercially protected")))</x:f>
        <x:v>Commercially protected</x:v>
      </x:c>
      <x:c r="AI1749" t="str">
        <x:v>2026-09-10 Active Sports trade capture</x:v>
      </x:c>
      <x:c r="AJ1749" t="str">
        <x:v>Management-only economics. Stripe stress test uses 1.5% + £0.20 standard UK online-card fee; pallet/mix-and-match pricing ignored.</x:v>
      </x:c>
    </x:row>
    <x:row r="1750">
      <x:c r="A1750" t="str">
        <x:v>Active Sports Nutrition</x:v>
      </x:c>
      <x:c r="B1750" t="str">
        <x:v>Strom Sports Nutrition</x:v>
      </x:c>
      <x:c r="C1750" t="str">
        <x:v>Abg10+ - Aged Black Garlic</x:v>
      </x:c>
      <x:c r="D1750" t="str">
        <x:v>Supplements</x:v>
      </x:c>
      <x:c r="E1750" t="str">
        <x:v>Health Foods</x:v>
      </x:c>
      <x:c r="F1750" t="str"/>
      <x:c r="G1750" t="str">
        <x:v>120 caps</x:v>
      </x:c>
      <x:c r="H1750" t="str">
        <x:v>Default</x:v>
      </x:c>
      <x:c r="I1750" t="str"/>
      <x:c r="J1750" t="str">
        <x:v>Unit</x:v>
      </x:c>
      <x:c r="K1750" t="str">
        <x:v>Out of stock</x:v>
      </x:c>
      <x:c r="L1750" t="str">
        <x:v>2026-09-08</x:v>
      </x:c>
      <x:c r="M1750" t="str"/>
      <x:c r="N1750" t="str"/>
      <x:c r="O1750" t="str">
        <x:v>https://www.activesportstrade.co.uk/strom-sports-nutrition-trade</x:v>
      </x:c>
      <x:c r="P1750" t="str"/>
      <x:c r="Q1750" t="str"/>
      <x:c r="R1750" t="str"/>
      <x:c r="S1750" t="str">
        <x:v>Pending genuine supplier/brand image</x:v>
      </x:c>
      <x:c r="T1750" s="54" t="n">
        <x:v>22.99</x:v>
      </x:c>
      <x:c r="U1750" s="47" t="n">
        <x:v>0.2</x:v>
      </x:c>
      <x:c r="V1750" s="54" t="n">
        <x:f>IF(ISNUMBER(T1750),T1750*(1+U1750),"")</x:f>
        <x:v>27.587999999999997</x:v>
      </x:c>
      <x:c r="W1750" s="47" t="n">
        <x:v>0.3</x:v>
      </x:c>
      <x:c r="X1750" s="54" t="n">
        <x:f>IF(ISNUMBER(V1750),V1750/(1-W1750),"")</x:f>
        <x:v>39.41142857142857</x:v>
      </x:c>
      <x:c r="Y1750" s="55" t="n">
        <x:f>IF(ISNUMBER(X1750),ROUNDUP(X1750,0),"")</x:f>
        <x:v>40</x:v>
      </x:c>
      <x:c r="Z1750" t="str">
        <x:v>Source match pending</x:v>
      </x:c>
      <x:c r="AA1750" t="str">
        <x:v>screencapture-www-activesportstrade-co-uk-strom-sports-nutrition-trade-2026-09-10-09_08_39.pdf / page-1</x:v>
      </x:c>
      <x:c r="AB1750" s="36" t="n">
        <x:f>IF(ISNUMBER(Y1750),ROUND(Y1750*0.9,2),"")</x:f>
        <x:v>36</x:v>
      </x:c>
      <x:c r="AC1750" s="36" t="n">
        <x:f>IF(ISNUMBER(AB1750),ROUND(AB1750-(AB1750*0.015+0.2)-V1750,2),"")</x:f>
        <x:v>7.67</x:v>
      </x:c>
      <x:c r="AD1750" s="36" t="n">
        <x:f>IF(ISNUMBER(Y1750),ROUND(Y1750*0.8,2),"")</x:f>
        <x:v>32</x:v>
      </x:c>
      <x:c r="AE1750" s="36" t="n">
        <x:f>IF(ISNUMBER(AD1750),ROUND(AD1750*0.015+0.2,2),"")</x:f>
        <x:v>0.68</x:v>
      </x:c>
      <x:c r="AF1750" s="36" t="n">
        <x:f>IF(ISNUMBER(AD1750),ROUND(AD1750-AE1750-V1750,2),"")</x:f>
        <x:v>3.73</x:v>
      </x:c>
      <x:c r="AG1750" t="str">
        <x:f>IF(NOT(ISNUMBER(T1750)),"PENDING",IF(AF1750&gt;0,"PASS","FAIL"))</x:f>
        <x:v>PASS</x:v>
      </x:c>
      <x:c r="AH1750" t="str">
        <x:f>IF(NOT(ISNUMBER(T1750)),"Needs supplier cost",IF(K1750&lt;&gt;"In stock","Supplier unavailable",IF(AG1750&lt;&gt;"PASS","BLOCK - GT loss risk","Commercially protected")))</x:f>
        <x:v>Supplier unavailable</x:v>
      </x:c>
      <x:c r="AI1750" t="str">
        <x:v>2026-09-10 Active Sports trade capture</x:v>
      </x:c>
      <x:c r="AJ1750" t="str">
        <x:v>Management-only economics. Stripe stress test uses 1.5% + £0.20 standard UK online-card fee; pallet/mix-and-match pricing ignored.</x:v>
      </x:c>
    </x:row>
    <x:row r="1751">
      <x:c r="A1751" t="str">
        <x:v>Active Sports Nutrition</x:v>
      </x:c>
      <x:c r="B1751" t="str">
        <x:v>Strom Sports Nutrition</x:v>
      </x:c>
      <x:c r="C1751" t="str">
        <x:v>Artichoke Extract</x:v>
      </x:c>
      <x:c r="D1751" t="str">
        <x:v>Supplements</x:v>
      </x:c>
      <x:c r="E1751" t="str">
        <x:v>Health Foods</x:v>
      </x:c>
      <x:c r="F1751" t="str"/>
      <x:c r="G1751" t="str">
        <x:v>120 caps</x:v>
      </x:c>
      <x:c r="H1751" t="str">
        <x:v>Default</x:v>
      </x:c>
      <x:c r="I1751" t="str"/>
      <x:c r="J1751" t="str">
        <x:v>Unit</x:v>
      </x:c>
      <x:c r="K1751" t="str">
        <x:v>In stock</x:v>
      </x:c>
      <x:c r="L1751" t="str">
        <x:v>2026-09-08</x:v>
      </x:c>
      <x:c r="M1751" t="str"/>
      <x:c r="N1751" t="str"/>
      <x:c r="O1751" t="str">
        <x:v>https://www.activesportstrade.co.uk/strom-sports-nutrition-trade</x:v>
      </x:c>
      <x:c r="P1751" t="str"/>
      <x:c r="Q1751" t="str"/>
      <x:c r="R1751" t="str"/>
      <x:c r="S1751" t="str">
        <x:v>Pending genuine supplier/brand image</x:v>
      </x:c>
      <x:c r="T1751" s="54" t="n">
        <x:v>18.99</x:v>
      </x:c>
      <x:c r="U1751" s="47" t="n">
        <x:v>0.2</x:v>
      </x:c>
      <x:c r="V1751" s="54" t="n">
        <x:f>IF(ISNUMBER(T1751),T1751*(1+U1751),"")</x:f>
        <x:v>22.787999999999997</x:v>
      </x:c>
      <x:c r="W1751" s="47" t="n">
        <x:v>0.3</x:v>
      </x:c>
      <x:c r="X1751" s="54" t="n">
        <x:f>IF(ISNUMBER(V1751),V1751/(1-W1751),"")</x:f>
        <x:v>32.55428571428571</x:v>
      </x:c>
      <x:c r="Y1751" s="55" t="n">
        <x:f>IF(ISNUMBER(X1751),ROUNDUP(X1751,0),"")</x:f>
        <x:v>33</x:v>
      </x:c>
      <x:c r="Z1751" t="str">
        <x:v>Source match pending</x:v>
      </x:c>
      <x:c r="AA1751" t="str">
        <x:v>screencapture-www-activesportstrade-co-uk-strom-sports-nutrition-trade-2026-09-10-09_08_39.pdf / page-1</x:v>
      </x:c>
      <x:c r="AB1751" s="36" t="n">
        <x:f>IF(ISNUMBER(Y1751),ROUND(Y1751*0.9,2),"")</x:f>
        <x:v>29.7</x:v>
      </x:c>
      <x:c r="AC1751" s="36" t="n">
        <x:f>IF(ISNUMBER(AB1751),ROUND(AB1751-(AB1751*0.015+0.2)-V1751,2),"")</x:f>
        <x:v>6.27</x:v>
      </x:c>
      <x:c r="AD1751" s="36" t="n">
        <x:f>IF(ISNUMBER(Y1751),ROUND(Y1751*0.8,2),"")</x:f>
        <x:v>26.4</x:v>
      </x:c>
      <x:c r="AE1751" s="36" t="n">
        <x:f>IF(ISNUMBER(AD1751),ROUND(AD1751*0.015+0.2,2),"")</x:f>
        <x:v>0.6</x:v>
      </x:c>
      <x:c r="AF1751" s="36" t="n">
        <x:f>IF(ISNUMBER(AD1751),ROUND(AD1751-AE1751-V1751,2),"")</x:f>
        <x:v>3.01</x:v>
      </x:c>
      <x:c r="AG1751" t="str">
        <x:f>IF(NOT(ISNUMBER(T1751)),"PENDING",IF(AF1751&gt;0,"PASS","FAIL"))</x:f>
        <x:v>PASS</x:v>
      </x:c>
      <x:c r="AH1751" t="str">
        <x:f>IF(NOT(ISNUMBER(T1751)),"Needs supplier cost",IF(K1751&lt;&gt;"In stock","Supplier unavailable",IF(AG1751&lt;&gt;"PASS","BLOCK - GT loss risk","Commercially protected")))</x:f>
        <x:v>Commercially protected</x:v>
      </x:c>
      <x:c r="AI1751" t="str">
        <x:v>2026-09-10 Active Sports trade capture</x:v>
      </x:c>
      <x:c r="AJ1751" t="str">
        <x:v>Management-only economics. Stripe stress test uses 1.5% + £0.20 standard UK online-card fee; pallet/mix-and-match pricing ignored.</x:v>
      </x:c>
    </x:row>
    <x:row r="1752">
      <x:c r="A1752" t="str">
        <x:v>Active Sports Nutrition</x:v>
      </x:c>
      <x:c r="B1752" t="str">
        <x:v>Strom Sports Nutrition</x:v>
      </x:c>
      <x:c r="C1752" t="str">
        <x:v>Ashwagandha KSM66</x:v>
      </x:c>
      <x:c r="D1752" t="str">
        <x:v>Supplements</x:v>
      </x:c>
      <x:c r="E1752" t="str">
        <x:v>Health Foods</x:v>
      </x:c>
      <x:c r="F1752" t="str"/>
      <x:c r="G1752" t="str">
        <x:v>120 caps</x:v>
      </x:c>
      <x:c r="H1752" t="str">
        <x:v>Default</x:v>
      </x:c>
      <x:c r="I1752" t="str"/>
      <x:c r="J1752" t="str">
        <x:v>Unit</x:v>
      </x:c>
      <x:c r="K1752" t="str">
        <x:v>In stock</x:v>
      </x:c>
      <x:c r="L1752" t="str">
        <x:v>2026-09-08</x:v>
      </x:c>
      <x:c r="M1752" t="str"/>
      <x:c r="N1752" t="str"/>
      <x:c r="O1752" t="str">
        <x:v>https://www.activesportstrade.co.uk/strom-sports-nutrition-trade</x:v>
      </x:c>
      <x:c r="P1752" t="str"/>
      <x:c r="Q1752" t="str"/>
      <x:c r="R1752" t="str"/>
      <x:c r="S1752" t="str">
        <x:v>Pending genuine supplier/brand image</x:v>
      </x:c>
      <x:c r="T1752" s="54" t="n">
        <x:v>11.99</x:v>
      </x:c>
      <x:c r="U1752" s="47" t="n">
        <x:v>0.2</x:v>
      </x:c>
      <x:c r="V1752" s="54" t="n">
        <x:f>IF(ISNUMBER(T1752),T1752*(1+U1752),"")</x:f>
        <x:v>14.388</x:v>
      </x:c>
      <x:c r="W1752" s="47" t="n">
        <x:v>0.3</x:v>
      </x:c>
      <x:c r="X1752" s="54" t="n">
        <x:f>IF(ISNUMBER(V1752),V1752/(1-W1752),"")</x:f>
        <x:v>20.554285714285715</x:v>
      </x:c>
      <x:c r="Y1752" s="55" t="n">
        <x:f>IF(ISNUMBER(X1752),ROUNDUP(X1752,0),"")</x:f>
        <x:v>21</x:v>
      </x:c>
      <x:c r="Z1752" t="str">
        <x:v>Source match pending</x:v>
      </x:c>
      <x:c r="AA1752" t="str">
        <x:v>screencapture-www-activesportstrade-co-uk-strom-sports-nutrition-trade-2026-09-10-09_08_39.pdf / page-1</x:v>
      </x:c>
      <x:c r="AB1752" s="36" t="n">
        <x:f>IF(ISNUMBER(Y1752),ROUND(Y1752*0.9,2),"")</x:f>
        <x:v>18.9</x:v>
      </x:c>
      <x:c r="AC1752" s="36" t="n">
        <x:f>IF(ISNUMBER(AB1752),ROUND(AB1752-(AB1752*0.015+0.2)-V1752,2),"")</x:f>
        <x:v>4.03</x:v>
      </x:c>
      <x:c r="AD1752" s="36" t="n">
        <x:f>IF(ISNUMBER(Y1752),ROUND(Y1752*0.8,2),"")</x:f>
        <x:v>16.8</x:v>
      </x:c>
      <x:c r="AE1752" s="36" t="n">
        <x:f>IF(ISNUMBER(AD1752),ROUND(AD1752*0.015+0.2,2),"")</x:f>
        <x:v>0.45</x:v>
      </x:c>
      <x:c r="AF1752" s="36" t="n">
        <x:f>IF(ISNUMBER(AD1752),ROUND(AD1752-AE1752-V1752,2),"")</x:f>
        <x:v>1.96</x:v>
      </x:c>
      <x:c r="AG1752" t="str">
        <x:f>IF(NOT(ISNUMBER(T1752)),"PENDING",IF(AF1752&gt;0,"PASS","FAIL"))</x:f>
        <x:v>PASS</x:v>
      </x:c>
      <x:c r="AH1752" t="str">
        <x:f>IF(NOT(ISNUMBER(T1752)),"Needs supplier cost",IF(K1752&lt;&gt;"In stock","Supplier unavailable",IF(AG1752&lt;&gt;"PASS","BLOCK - GT loss risk","Commercially protected")))</x:f>
        <x:v>Commercially protected</x:v>
      </x:c>
      <x:c r="AI1752" t="str">
        <x:v>2026-09-10 Active Sports trade capture</x:v>
      </x:c>
      <x:c r="AJ1752" t="str">
        <x:v>Management-only economics. Stripe stress test uses 1.5% + £0.20 standard UK online-card fee; pallet/mix-and-match pricing ignored.</x:v>
      </x:c>
    </x:row>
    <x:row r="1753">
      <x:c r="A1753" t="str">
        <x:v>Active Sports Nutrition</x:v>
      </x:c>
      <x:c r="B1753" t="str">
        <x:v>Strom Sports Nutrition</x:v>
      </x:c>
      <x:c r="C1753" t="str">
        <x:v>Bilberry Anthocyanins</x:v>
      </x:c>
      <x:c r="D1753" t="str">
        <x:v>Supplements</x:v>
      </x:c>
      <x:c r="E1753" t="str">
        <x:v>Health Foods</x:v>
      </x:c>
      <x:c r="F1753" t="str"/>
      <x:c r="G1753" t="str">
        <x:v>60 caps</x:v>
      </x:c>
      <x:c r="H1753" t="str">
        <x:v>Default</x:v>
      </x:c>
      <x:c r="I1753" t="str"/>
      <x:c r="J1753" t="str">
        <x:v>Unit</x:v>
      </x:c>
      <x:c r="K1753" t="str">
        <x:v>In stock</x:v>
      </x:c>
      <x:c r="L1753" t="str">
        <x:v>2026-09-08</x:v>
      </x:c>
      <x:c r="M1753" t="str"/>
      <x:c r="N1753" t="str"/>
      <x:c r="O1753" t="str">
        <x:v>https://www.activesportstrade.co.uk/strom-sports-nutrition-trade</x:v>
      </x:c>
      <x:c r="P1753" t="str"/>
      <x:c r="Q1753" t="str"/>
      <x:c r="R1753" t="str"/>
      <x:c r="S1753" t="str">
        <x:v>Pending genuine supplier/brand image</x:v>
      </x:c>
      <x:c r="T1753" s="54" t="n">
        <x:v>12.75</x:v>
      </x:c>
      <x:c r="U1753" s="47" t="n">
        <x:v>0.2</x:v>
      </x:c>
      <x:c r="V1753" s="54" t="n">
        <x:f>IF(ISNUMBER(T1753),T1753*(1+U1753),"")</x:f>
        <x:v>15.299999999999999</x:v>
      </x:c>
      <x:c r="W1753" s="47" t="n">
        <x:v>0.3</x:v>
      </x:c>
      <x:c r="X1753" s="54" t="n">
        <x:f>IF(ISNUMBER(V1753),V1753/(1-W1753),"")</x:f>
        <x:v>21.857142857142858</x:v>
      </x:c>
      <x:c r="Y1753" s="55" t="n">
        <x:f>IF(ISNUMBER(X1753),ROUNDUP(X1753,0),"")</x:f>
        <x:v>22</x:v>
      </x:c>
      <x:c r="Z1753" t="str">
        <x:v>Source match pending</x:v>
      </x:c>
      <x:c r="AA1753" t="str">
        <x:v>screencapture-www-activesportstrade-co-uk-strom-sports-nutrition-trade-2026-09-10-09_08_39.pdf / page-1</x:v>
      </x:c>
      <x:c r="AB1753" s="36" t="n">
        <x:f>IF(ISNUMBER(Y1753),ROUND(Y1753*0.9,2),"")</x:f>
        <x:v>19.8</x:v>
      </x:c>
      <x:c r="AC1753" s="36" t="n">
        <x:f>IF(ISNUMBER(AB1753),ROUND(AB1753-(AB1753*0.015+0.2)-V1753,2),"")</x:f>
        <x:v>4</x:v>
      </x:c>
      <x:c r="AD1753" s="36" t="n">
        <x:f>IF(ISNUMBER(Y1753),ROUND(Y1753*0.8,2),"")</x:f>
        <x:v>17.6</x:v>
      </x:c>
      <x:c r="AE1753" s="36" t="n">
        <x:f>IF(ISNUMBER(AD1753),ROUND(AD1753*0.015+0.2,2),"")</x:f>
        <x:v>0.46</x:v>
      </x:c>
      <x:c r="AF1753" s="36" t="n">
        <x:f>IF(ISNUMBER(AD1753),ROUND(AD1753-AE1753-V1753,2),"")</x:f>
        <x:v>1.84</x:v>
      </x:c>
      <x:c r="AG1753" t="str">
        <x:f>IF(NOT(ISNUMBER(T1753)),"PENDING",IF(AF1753&gt;0,"PASS","FAIL"))</x:f>
        <x:v>PASS</x:v>
      </x:c>
      <x:c r="AH1753" t="str">
        <x:f>IF(NOT(ISNUMBER(T1753)),"Needs supplier cost",IF(K1753&lt;&gt;"In stock","Supplier unavailable",IF(AG1753&lt;&gt;"PASS","BLOCK - GT loss risk","Commercially protected")))</x:f>
        <x:v>Commercially protected</x:v>
      </x:c>
      <x:c r="AI1753" t="str">
        <x:v>2026-09-10 Active Sports trade capture</x:v>
      </x:c>
      <x:c r="AJ1753" t="str">
        <x:v>Management-only economics. Stripe stress test uses 1.5% + £0.20 standard UK online-card fee; pallet/mix-and-match pricing ignored.</x:v>
      </x:c>
    </x:row>
    <x:row r="1754">
      <x:c r="A1754" t="str">
        <x:v>Active Sports Nutrition</x:v>
      </x:c>
      <x:c r="B1754" t="str">
        <x:v>Strom Sports Nutrition</x:v>
      </x:c>
      <x:c r="C1754" t="str">
        <x:v>Cocrystal Curcumin</x:v>
      </x:c>
      <x:c r="D1754" t="str">
        <x:v>Supplements</x:v>
      </x:c>
      <x:c r="E1754" t="str">
        <x:v>Health Foods</x:v>
      </x:c>
      <x:c r="F1754" t="str"/>
      <x:c r="G1754" t="str">
        <x:v>60 caps</x:v>
      </x:c>
      <x:c r="H1754" t="str">
        <x:v>Default</x:v>
      </x:c>
      <x:c r="I1754" t="str"/>
      <x:c r="J1754" t="str">
        <x:v>Unit</x:v>
      </x:c>
      <x:c r="K1754" t="str">
        <x:v>In stock</x:v>
      </x:c>
      <x:c r="L1754" t="str">
        <x:v>2026-09-08</x:v>
      </x:c>
      <x:c r="M1754" t="str"/>
      <x:c r="N1754" t="str"/>
      <x:c r="O1754" t="str">
        <x:v>https://www.activesportstrade.co.uk/strom-sports-nutrition-trade</x:v>
      </x:c>
      <x:c r="P1754" t="str"/>
      <x:c r="Q1754" t="str"/>
      <x:c r="R1754" t="str"/>
      <x:c r="S1754" t="str">
        <x:v>Pending genuine supplier/brand image</x:v>
      </x:c>
      <x:c r="T1754" s="54" t="n">
        <x:v>20.88</x:v>
      </x:c>
      <x:c r="U1754" s="47" t="n">
        <x:v>0.2</x:v>
      </x:c>
      <x:c r="V1754" s="54" t="n">
        <x:f>IF(ISNUMBER(T1754),T1754*(1+U1754),"")</x:f>
        <x:v>25.055999999999997</x:v>
      </x:c>
      <x:c r="W1754" s="47" t="n">
        <x:v>0.3</x:v>
      </x:c>
      <x:c r="X1754" s="54" t="n">
        <x:f>IF(ISNUMBER(V1754),V1754/(1-W1754),"")</x:f>
        <x:v>35.794285714285714</x:v>
      </x:c>
      <x:c r="Y1754" s="55" t="n">
        <x:f>IF(ISNUMBER(X1754),ROUNDUP(X1754,0),"")</x:f>
        <x:v>36</x:v>
      </x:c>
      <x:c r="Z1754" t="str">
        <x:v>Source match pending</x:v>
      </x:c>
      <x:c r="AA1754" t="str">
        <x:v>screencapture-www-activesportstrade-co-uk-strom-sports-nutrition-trade-2026-09-10-09_08_39.pdf / page-1</x:v>
      </x:c>
      <x:c r="AB1754" s="36" t="n">
        <x:f>IF(ISNUMBER(Y1754),ROUND(Y1754*0.9,2),"")</x:f>
        <x:v>32.4</x:v>
      </x:c>
      <x:c r="AC1754" s="36" t="n">
        <x:f>IF(ISNUMBER(AB1754),ROUND(AB1754-(AB1754*0.015+0.2)-V1754,2),"")</x:f>
        <x:v>6.66</x:v>
      </x:c>
      <x:c r="AD1754" s="36" t="n">
        <x:f>IF(ISNUMBER(Y1754),ROUND(Y1754*0.8,2),"")</x:f>
        <x:v>28.8</x:v>
      </x:c>
      <x:c r="AE1754" s="36" t="n">
        <x:f>IF(ISNUMBER(AD1754),ROUND(AD1754*0.015+0.2,2),"")</x:f>
        <x:v>0.63</x:v>
      </x:c>
      <x:c r="AF1754" s="36" t="n">
        <x:f>IF(ISNUMBER(AD1754),ROUND(AD1754-AE1754-V1754,2),"")</x:f>
        <x:v>3.11</x:v>
      </x:c>
      <x:c r="AG1754" t="str">
        <x:f>IF(NOT(ISNUMBER(T1754)),"PENDING",IF(AF1754&gt;0,"PASS","FAIL"))</x:f>
        <x:v>PASS</x:v>
      </x:c>
      <x:c r="AH1754" t="str">
        <x:f>IF(NOT(ISNUMBER(T1754)),"Needs supplier cost",IF(K1754&lt;&gt;"In stock","Supplier unavailable",IF(AG1754&lt;&gt;"PASS","BLOCK - GT loss risk","Commercially protected")))</x:f>
        <x:v>Commercially protected</x:v>
      </x:c>
      <x:c r="AI1754" t="str">
        <x:v>2026-09-10 Active Sports trade capture</x:v>
      </x:c>
      <x:c r="AJ1754" t="str">
        <x:v>Management-only economics. Stripe stress test uses 1.5% + £0.20 standard UK online-card fee; pallet/mix-and-match pricing ignored.</x:v>
      </x:c>
    </x:row>
    <x:row r="1755">
      <x:c r="A1755" t="str">
        <x:v>Active Sports Nutrition</x:v>
      </x:c>
      <x:c r="B1755" t="str">
        <x:v>Strom Sports Nutrition</x:v>
      </x:c>
      <x:c r="C1755" t="str">
        <x:v>CarbMAX</x:v>
      </x:c>
      <x:c r="D1755" t="str">
        <x:v>Supplements</x:v>
      </x:c>
      <x:c r="E1755" t="str">
        <x:v>Intra Workout</x:v>
      </x:c>
      <x:c r="F1755" t="str"/>
      <x:c r="G1755" t="str">
        <x:v>1.5kg / 50 servings</x:v>
      </x:c>
      <x:c r="H1755" t="str">
        <x:v>Cherry</x:v>
      </x:c>
      <x:c r="I1755" t="str"/>
      <x:c r="J1755" t="str">
        <x:v>Unit</x:v>
      </x:c>
      <x:c r="K1755" t="str">
        <x:v>In stock</x:v>
      </x:c>
      <x:c r="L1755" t="str">
        <x:v>2026-09-08</x:v>
      </x:c>
      <x:c r="M1755" t="str"/>
      <x:c r="N1755" t="str"/>
      <x:c r="O1755" t="str">
        <x:v>https://www.activesportstrade.co.uk/strom-sports-nutrition-trade</x:v>
      </x:c>
      <x:c r="P1755" t="str"/>
      <x:c r="Q1755" t="str"/>
      <x:c r="R1755" t="str"/>
      <x:c r="S1755" t="str">
        <x:v>Pending genuine supplier/brand image</x:v>
      </x:c>
      <x:c r="T1755" s="54" t="n">
        <x:v>25.99</x:v>
      </x:c>
      <x:c r="U1755" s="47" t="n">
        <x:v>0.2</x:v>
      </x:c>
      <x:c r="V1755" s="54" t="n">
        <x:f>IF(ISNUMBER(T1755),T1755*(1+U1755),"")</x:f>
        <x:v>31.187999999999995</x:v>
      </x:c>
      <x:c r="W1755" s="47" t="n">
        <x:v>0.3</x:v>
      </x:c>
      <x:c r="X1755" s="54" t="n">
        <x:f>IF(ISNUMBER(V1755),V1755/(1-W1755),"")</x:f>
        <x:v>44.55428571428571</x:v>
      </x:c>
      <x:c r="Y1755" s="55" t="n">
        <x:f>IF(ISNUMBER(X1755),ROUNDUP(X1755,0),"")</x:f>
        <x:v>45</x:v>
      </x:c>
      <x:c r="Z1755" t="str">
        <x:v>Source match pending</x:v>
      </x:c>
      <x:c r="AA1755" t="str">
        <x:v>screencapture-www-activesportstrade-co-uk-strom-sports-nutrition-trade-2026-09-10-09_08_39.pdf / page-1</x:v>
      </x:c>
      <x:c r="AB1755" s="36" t="n">
        <x:f>IF(ISNUMBER(Y1755),ROUND(Y1755*0.9,2),"")</x:f>
        <x:v>40.5</x:v>
      </x:c>
      <x:c r="AC1755" s="36" t="n">
        <x:f>IF(ISNUMBER(AB1755),ROUND(AB1755-(AB1755*0.015+0.2)-V1755,2),"")</x:f>
        <x:v>8.5</x:v>
      </x:c>
      <x:c r="AD1755" s="36" t="n">
        <x:f>IF(ISNUMBER(Y1755),ROUND(Y1755*0.8,2),"")</x:f>
        <x:v>36</x:v>
      </x:c>
      <x:c r="AE1755" s="36" t="n">
        <x:f>IF(ISNUMBER(AD1755),ROUND(AD1755*0.015+0.2,2),"")</x:f>
        <x:v>0.74</x:v>
      </x:c>
      <x:c r="AF1755" s="36" t="n">
        <x:f>IF(ISNUMBER(AD1755),ROUND(AD1755-AE1755-V1755,2),"")</x:f>
        <x:v>4.07</x:v>
      </x:c>
      <x:c r="AG1755" t="str">
        <x:f>IF(NOT(ISNUMBER(T1755)),"PENDING",IF(AF1755&gt;0,"PASS","FAIL"))</x:f>
        <x:v>PASS</x:v>
      </x:c>
      <x:c r="AH1755" t="str">
        <x:f>IF(NOT(ISNUMBER(T1755)),"Needs supplier cost",IF(K1755&lt;&gt;"In stock","Supplier unavailable",IF(AG1755&lt;&gt;"PASS","BLOCK - GT loss risk","Commercially protected")))</x:f>
        <x:v>Commercially protected</x:v>
      </x:c>
      <x:c r="AI1755" t="str">
        <x:v>2026-09-10 Active Sports trade capture</x:v>
      </x:c>
      <x:c r="AJ1755" t="str">
        <x:v>Management-only economics. Stripe stress test uses 1.5% + £0.20 standard UK online-card fee; pallet/mix-and-match pricing ignored.</x:v>
      </x:c>
    </x:row>
    <x:row r="1756">
      <x:c r="A1756" t="str">
        <x:v>Active Sports Nutrition</x:v>
      </x:c>
      <x:c r="B1756" t="str">
        <x:v>Strom Sports Nutrition</x:v>
      </x:c>
      <x:c r="C1756" t="str">
        <x:v>CarbMAX</x:v>
      </x:c>
      <x:c r="D1756" t="str">
        <x:v>Supplements</x:v>
      </x:c>
      <x:c r="E1756" t="str">
        <x:v>Intra Workout</x:v>
      </x:c>
      <x:c r="F1756" t="str"/>
      <x:c r="G1756" t="str">
        <x:v>1.5kg / 50 servings</x:v>
      </x:c>
      <x:c r="H1756" t="str">
        <x:v>Cotton Candy</x:v>
      </x:c>
      <x:c r="I1756" t="str"/>
      <x:c r="J1756" t="str">
        <x:v>Unit</x:v>
      </x:c>
      <x:c r="K1756" t="str">
        <x:v>In stock</x:v>
      </x:c>
      <x:c r="L1756" t="str">
        <x:v>2026-09-08</x:v>
      </x:c>
      <x:c r="M1756" t="str"/>
      <x:c r="N1756" t="str"/>
      <x:c r="O1756" t="str">
        <x:v>https://www.activesportstrade.co.uk/strom-sports-nutrition-trade</x:v>
      </x:c>
      <x:c r="P1756" t="str"/>
      <x:c r="Q1756" t="str"/>
      <x:c r="R1756" t="str"/>
      <x:c r="S1756" t="str">
        <x:v>Pending genuine supplier/brand image</x:v>
      </x:c>
      <x:c r="T1756" s="54" t="n">
        <x:v>25.99</x:v>
      </x:c>
      <x:c r="U1756" s="47" t="n">
        <x:v>0.2</x:v>
      </x:c>
      <x:c r="V1756" s="54" t="n">
        <x:f>IF(ISNUMBER(T1756),T1756*(1+U1756),"")</x:f>
        <x:v>31.187999999999995</x:v>
      </x:c>
      <x:c r="W1756" s="47" t="n">
        <x:v>0.3</x:v>
      </x:c>
      <x:c r="X1756" s="54" t="n">
        <x:f>IF(ISNUMBER(V1756),V1756/(1-W1756),"")</x:f>
        <x:v>44.55428571428571</x:v>
      </x:c>
      <x:c r="Y1756" s="55" t="n">
        <x:f>IF(ISNUMBER(X1756),ROUNDUP(X1756,0),"")</x:f>
        <x:v>45</x:v>
      </x:c>
      <x:c r="Z1756" t="str">
        <x:v>Source match pending</x:v>
      </x:c>
      <x:c r="AA1756" t="str">
        <x:v>screencapture-www-activesportstrade-co-uk-strom-sports-nutrition-trade-2026-09-10-09_08_39.pdf / page-1</x:v>
      </x:c>
      <x:c r="AB1756" s="36" t="n">
        <x:f>IF(ISNUMBER(Y1756),ROUND(Y1756*0.9,2),"")</x:f>
        <x:v>40.5</x:v>
      </x:c>
      <x:c r="AC1756" s="36" t="n">
        <x:f>IF(ISNUMBER(AB1756),ROUND(AB1756-(AB1756*0.015+0.2)-V1756,2),"")</x:f>
        <x:v>8.5</x:v>
      </x:c>
      <x:c r="AD1756" s="36" t="n">
        <x:f>IF(ISNUMBER(Y1756),ROUND(Y1756*0.8,2),"")</x:f>
        <x:v>36</x:v>
      </x:c>
      <x:c r="AE1756" s="36" t="n">
        <x:f>IF(ISNUMBER(AD1756),ROUND(AD1756*0.015+0.2,2),"")</x:f>
        <x:v>0.74</x:v>
      </x:c>
      <x:c r="AF1756" s="36" t="n">
        <x:f>IF(ISNUMBER(AD1756),ROUND(AD1756-AE1756-V1756,2),"")</x:f>
        <x:v>4.07</x:v>
      </x:c>
      <x:c r="AG1756" t="str">
        <x:f>IF(NOT(ISNUMBER(T1756)),"PENDING",IF(AF1756&gt;0,"PASS","FAIL"))</x:f>
        <x:v>PASS</x:v>
      </x:c>
      <x:c r="AH1756" t="str">
        <x:f>IF(NOT(ISNUMBER(T1756)),"Needs supplier cost",IF(K1756&lt;&gt;"In stock","Supplier unavailable",IF(AG1756&lt;&gt;"PASS","BLOCK - GT loss risk","Commercially protected")))</x:f>
        <x:v>Commercially protected</x:v>
      </x:c>
      <x:c r="AI1756" t="str">
        <x:v>2026-09-10 Active Sports trade capture</x:v>
      </x:c>
      <x:c r="AJ1756" t="str">
        <x:v>Management-only economics. Stripe stress test uses 1.5% + £0.20 standard UK online-card fee; pallet/mix-and-match pricing ignored.</x:v>
      </x:c>
    </x:row>
    <x:row r="1757">
      <x:c r="A1757" t="str">
        <x:v>Active Sports Nutrition</x:v>
      </x:c>
      <x:c r="B1757" t="str">
        <x:v>Strom Sports Nutrition</x:v>
      </x:c>
      <x:c r="C1757" t="str">
        <x:v>CarbMAX</x:v>
      </x:c>
      <x:c r="D1757" t="str">
        <x:v>Supplements</x:v>
      </x:c>
      <x:c r="E1757" t="str">
        <x:v>Intra Workout</x:v>
      </x:c>
      <x:c r="F1757" t="str"/>
      <x:c r="G1757" t="str">
        <x:v>1.5kg / 50 servings</x:v>
      </x:c>
      <x:c r="H1757" t="str">
        <x:v>Lime Citrus</x:v>
      </x:c>
      <x:c r="I1757" t="str"/>
      <x:c r="J1757" t="str">
        <x:v>Unit</x:v>
      </x:c>
      <x:c r="K1757" t="str">
        <x:v>In stock</x:v>
      </x:c>
      <x:c r="L1757" t="str">
        <x:v>2026-09-08</x:v>
      </x:c>
      <x:c r="M1757" t="str"/>
      <x:c r="N1757" t="str"/>
      <x:c r="O1757" t="str">
        <x:v>https://www.activesportstrade.co.uk/strom-sports-nutrition-trade</x:v>
      </x:c>
      <x:c r="P1757" t="str"/>
      <x:c r="Q1757" t="str"/>
      <x:c r="R1757" t="str"/>
      <x:c r="S1757" t="str">
        <x:v>Pending genuine supplier/brand image</x:v>
      </x:c>
      <x:c r="T1757" s="54" t="n">
        <x:v>25.99</x:v>
      </x:c>
      <x:c r="U1757" s="47" t="n">
        <x:v>0.2</x:v>
      </x:c>
      <x:c r="V1757" s="54" t="n">
        <x:f>IF(ISNUMBER(T1757),T1757*(1+U1757),"")</x:f>
        <x:v>31.187999999999995</x:v>
      </x:c>
      <x:c r="W1757" s="47" t="n">
        <x:v>0.3</x:v>
      </x:c>
      <x:c r="X1757" s="54" t="n">
        <x:f>IF(ISNUMBER(V1757),V1757/(1-W1757),"")</x:f>
        <x:v>44.55428571428571</x:v>
      </x:c>
      <x:c r="Y1757" s="55" t="n">
        <x:f>IF(ISNUMBER(X1757),ROUNDUP(X1757,0),"")</x:f>
        <x:v>45</x:v>
      </x:c>
      <x:c r="Z1757" t="str">
        <x:v>Source match pending</x:v>
      </x:c>
      <x:c r="AA1757" t="str">
        <x:v>screencapture-www-activesportstrade-co-uk-strom-sports-nutrition-trade-2026-09-10-09_08_39.pdf / page-1</x:v>
      </x:c>
      <x:c r="AB1757" s="36" t="n">
        <x:f>IF(ISNUMBER(Y1757),ROUND(Y1757*0.9,2),"")</x:f>
        <x:v>40.5</x:v>
      </x:c>
      <x:c r="AC1757" s="36" t="n">
        <x:f>IF(ISNUMBER(AB1757),ROUND(AB1757-(AB1757*0.015+0.2)-V1757,2),"")</x:f>
        <x:v>8.5</x:v>
      </x:c>
      <x:c r="AD1757" s="36" t="n">
        <x:f>IF(ISNUMBER(Y1757),ROUND(Y1757*0.8,2),"")</x:f>
        <x:v>36</x:v>
      </x:c>
      <x:c r="AE1757" s="36" t="n">
        <x:f>IF(ISNUMBER(AD1757),ROUND(AD1757*0.015+0.2,2),"")</x:f>
        <x:v>0.74</x:v>
      </x:c>
      <x:c r="AF1757" s="36" t="n">
        <x:f>IF(ISNUMBER(AD1757),ROUND(AD1757-AE1757-V1757,2),"")</x:f>
        <x:v>4.07</x:v>
      </x:c>
      <x:c r="AG1757" t="str">
        <x:f>IF(NOT(ISNUMBER(T1757)),"PENDING",IF(AF1757&gt;0,"PASS","FAIL"))</x:f>
        <x:v>PASS</x:v>
      </x:c>
      <x:c r="AH1757" t="str">
        <x:f>IF(NOT(ISNUMBER(T1757)),"Needs supplier cost",IF(K1757&lt;&gt;"In stock","Supplier unavailable",IF(AG1757&lt;&gt;"PASS","BLOCK - GT loss risk","Commercially protected")))</x:f>
        <x:v>Commercially protected</x:v>
      </x:c>
      <x:c r="AI1757" t="str">
        <x:v>2026-09-10 Active Sports trade capture</x:v>
      </x:c>
      <x:c r="AJ1757" t="str">
        <x:v>Management-only economics. Stripe stress test uses 1.5% + £0.20 standard UK online-card fee; pallet/mix-and-match pricing ignored.</x:v>
      </x:c>
    </x:row>
    <x:row r="1758">
      <x:c r="A1758" t="str">
        <x:v>Active Sports Nutrition</x:v>
      </x:c>
      <x:c r="B1758" t="str">
        <x:v>Strom Sports Nutrition</x:v>
      </x:c>
      <x:c r="C1758" t="str">
        <x:v>CarbMAX</x:v>
      </x:c>
      <x:c r="D1758" t="str">
        <x:v>Supplements</x:v>
      </x:c>
      <x:c r="E1758" t="str">
        <x:v>Intra Workout</x:v>
      </x:c>
      <x:c r="F1758" t="str"/>
      <x:c r="G1758" t="str">
        <x:v>1.5kg / 50 servings</x:v>
      </x:c>
      <x:c r="H1758" t="str">
        <x:v>RAW - Unflavoured</x:v>
      </x:c>
      <x:c r="I1758" t="str"/>
      <x:c r="J1758" t="str">
        <x:v>Unit</x:v>
      </x:c>
      <x:c r="K1758" t="str">
        <x:v>Out of stock</x:v>
      </x:c>
      <x:c r="L1758" t="str">
        <x:v>2026-09-08</x:v>
      </x:c>
      <x:c r="M1758" t="str"/>
      <x:c r="N1758" t="str"/>
      <x:c r="O1758" t="str">
        <x:v>https://www.activesportstrade.co.uk/strom-sports-nutrition-trade</x:v>
      </x:c>
      <x:c r="P1758" t="str"/>
      <x:c r="Q1758" t="str"/>
      <x:c r="R1758" t="str"/>
      <x:c r="S1758" t="str">
        <x:v>Pending genuine supplier/brand image</x:v>
      </x:c>
      <x:c r="T1758" s="54" t="n">
        <x:v>25.99</x:v>
      </x:c>
      <x:c r="U1758" s="47" t="n">
        <x:v>0.2</x:v>
      </x:c>
      <x:c r="V1758" s="54" t="n">
        <x:f>IF(ISNUMBER(T1758),T1758*(1+U1758),"")</x:f>
        <x:v>31.187999999999995</x:v>
      </x:c>
      <x:c r="W1758" s="47" t="n">
        <x:v>0.3</x:v>
      </x:c>
      <x:c r="X1758" s="54" t="n">
        <x:f>IF(ISNUMBER(V1758),V1758/(1-W1758),"")</x:f>
        <x:v>44.55428571428571</x:v>
      </x:c>
      <x:c r="Y1758" s="55" t="n">
        <x:f>IF(ISNUMBER(X1758),ROUNDUP(X1758,0),"")</x:f>
        <x:v>45</x:v>
      </x:c>
      <x:c r="Z1758" t="str">
        <x:v>Source match pending</x:v>
      </x:c>
      <x:c r="AA1758" t="str">
        <x:v>screencapture-www-activesportstrade-co-uk-strom-sports-nutrition-trade-2026-09-10-09_08_39.pdf / page-1</x:v>
      </x:c>
      <x:c r="AB1758" s="36" t="n">
        <x:f>IF(ISNUMBER(Y1758),ROUND(Y1758*0.9,2),"")</x:f>
        <x:v>40.5</x:v>
      </x:c>
      <x:c r="AC1758" s="36" t="n">
        <x:f>IF(ISNUMBER(AB1758),ROUND(AB1758-(AB1758*0.015+0.2)-V1758,2),"")</x:f>
        <x:v>8.5</x:v>
      </x:c>
      <x:c r="AD1758" s="36" t="n">
        <x:f>IF(ISNUMBER(Y1758),ROUND(Y1758*0.8,2),"")</x:f>
        <x:v>36</x:v>
      </x:c>
      <x:c r="AE1758" s="36" t="n">
        <x:f>IF(ISNUMBER(AD1758),ROUND(AD1758*0.015+0.2,2),"")</x:f>
        <x:v>0.74</x:v>
      </x:c>
      <x:c r="AF1758" s="36" t="n">
        <x:f>IF(ISNUMBER(AD1758),ROUND(AD1758-AE1758-V1758,2),"")</x:f>
        <x:v>4.07</x:v>
      </x:c>
      <x:c r="AG1758" t="str">
        <x:f>IF(NOT(ISNUMBER(T1758)),"PENDING",IF(AF1758&gt;0,"PASS","FAIL"))</x:f>
        <x:v>PASS</x:v>
      </x:c>
      <x:c r="AH1758" t="str">
        <x:f>IF(NOT(ISNUMBER(T1758)),"Needs supplier cost",IF(K1758&lt;&gt;"In stock","Supplier unavailable",IF(AG1758&lt;&gt;"PASS","BLOCK - GT loss risk","Commercially protected")))</x:f>
        <x:v>Supplier unavailable</x:v>
      </x:c>
      <x:c r="AI1758" t="str">
        <x:v>2026-09-10 Active Sports trade capture</x:v>
      </x:c>
      <x:c r="AJ1758" t="str">
        <x:v>Management-only economics. Stripe stress test uses 1.5% + £0.20 standard UK online-card fee; pallet/mix-and-match pricing ignored.</x:v>
      </x:c>
    </x:row>
    <x:row r="1759">
      <x:c r="A1759" t="str">
        <x:v>Active Sports Nutrition</x:v>
      </x:c>
      <x:c r="B1759" t="str">
        <x:v>Strom Sports Nutrition</x:v>
      </x:c>
      <x:c r="C1759" t="str">
        <x:v>Cream Of Rice</x:v>
      </x:c>
      <x:c r="D1759" t="str">
        <x:v>Supplements</x:v>
      </x:c>
      <x:c r="E1759" t="str">
        <x:v>Carbohydrates</x:v>
      </x:c>
      <x:c r="F1759" t="str"/>
      <x:c r="G1759" t="str">
        <x:v>2kg</x:v>
      </x:c>
      <x:c r="H1759" t="str">
        <x:v>Buttered Pancake</x:v>
      </x:c>
      <x:c r="I1759" t="str"/>
      <x:c r="J1759" t="str">
        <x:v>Unit</x:v>
      </x:c>
      <x:c r="K1759" t="str">
        <x:v>Out of stock</x:v>
      </x:c>
      <x:c r="L1759" t="str">
        <x:v>2026-09-08</x:v>
      </x:c>
      <x:c r="M1759" t="str"/>
      <x:c r="N1759" t="str"/>
      <x:c r="O1759" t="str">
        <x:v>https://www.activesportstrade.co.uk/Protein-Meal-Replacements/norec</x:v>
      </x:c>
      <x:c r="P1759" t="str"/>
      <x:c r="Q1759" t="str"/>
      <x:c r="R1759" t="str"/>
      <x:c r="S1759" t="str">
        <x:v>Pending genuine supplier/brand image</x:v>
      </x:c>
      <x:c r="T1759" s="54" t="n">
        <x:v>10.99</x:v>
      </x:c>
      <x:c r="U1759" s="47" t="n">
        <x:v>0.2</x:v>
      </x:c>
      <x:c r="V1759" s="54" t="n">
        <x:f>IF(ISNUMBER(T1759),T1759*(1+U1759),"")</x:f>
        <x:v>13.188</x:v>
      </x:c>
      <x:c r="W1759" s="47" t="n">
        <x:v>0.3</x:v>
      </x:c>
      <x:c r="X1759" s="54" t="n">
        <x:f>IF(ISNUMBER(V1759),V1759/(1-W1759),"")</x:f>
        <x:v>18.840000000000003</x:v>
      </x:c>
      <x:c r="Y1759" s="55" t="n">
        <x:f>IF(ISNUMBER(X1759),ROUNDUP(X1759,0),"")</x:f>
        <x:v>19</x:v>
      </x:c>
      <x:c r="Z1759" t="str">
        <x:v>Source match pending</x:v>
      </x:c>
      <x:c r="AA1759" t="str">
        <x:v>screencapture-www-activesportstrade-co-uk-strom-sports-nutrition-trade-2026-09-10-09_08_39.pdf / page-1</x:v>
      </x:c>
      <x:c r="AB1759" s="36" t="n">
        <x:f>IF(ISNUMBER(Y1759),ROUND(Y1759*0.9,2),"")</x:f>
        <x:v>17.1</x:v>
      </x:c>
      <x:c r="AC1759" s="36" t="n">
        <x:f>IF(ISNUMBER(AB1759),ROUND(AB1759-(AB1759*0.015+0.2)-V1759,2),"")</x:f>
        <x:v>3.46</x:v>
      </x:c>
      <x:c r="AD1759" s="36" t="n">
        <x:f>IF(ISNUMBER(Y1759),ROUND(Y1759*0.8,2),"")</x:f>
        <x:v>15.2</x:v>
      </x:c>
      <x:c r="AE1759" s="36" t="n">
        <x:f>IF(ISNUMBER(AD1759),ROUND(AD1759*0.015+0.2,2),"")</x:f>
        <x:v>0.43</x:v>
      </x:c>
      <x:c r="AF1759" s="36" t="n">
        <x:f>IF(ISNUMBER(AD1759),ROUND(AD1759-AE1759-V1759,2),"")</x:f>
        <x:v>1.58</x:v>
      </x:c>
      <x:c r="AG1759" t="str">
        <x:f>IF(NOT(ISNUMBER(T1759)),"PENDING",IF(AF1759&gt;0,"PASS","FAIL"))</x:f>
        <x:v>PASS</x:v>
      </x:c>
      <x:c r="AH1759" t="str">
        <x:f>IF(NOT(ISNUMBER(T1759)),"Needs supplier cost",IF(K1759&lt;&gt;"In stock","Supplier unavailable",IF(AG1759&lt;&gt;"PASS","BLOCK - GT loss risk","Commercially protected")))</x:f>
        <x:v>Supplier unavailable</x:v>
      </x:c>
      <x:c r="AI1759" t="str">
        <x:v>2026-09-10 Active Sports trade capture</x:v>
      </x:c>
      <x:c r="AJ1759" t="str">
        <x:v>Management-only economics. Stripe stress test uses 1.5% + £0.20 standard UK online-card fee; pallet/mix-and-match pricing ignored.</x:v>
      </x:c>
    </x:row>
    <x:row r="1760">
      <x:c r="A1760" t="str">
        <x:v>Active Sports Nutrition</x:v>
      </x:c>
      <x:c r="B1760" t="str">
        <x:v>Strom Sports Nutrition</x:v>
      </x:c>
      <x:c r="C1760" t="str">
        <x:v>Cream Of Rice</x:v>
      </x:c>
      <x:c r="D1760" t="str">
        <x:v>Supplements</x:v>
      </x:c>
      <x:c r="E1760" t="str">
        <x:v>Carbohydrates</x:v>
      </x:c>
      <x:c r="F1760" t="str"/>
      <x:c r="G1760" t="str">
        <x:v>2kg</x:v>
      </x:c>
      <x:c r="H1760" t="str">
        <x:v>Carrot Cake</x:v>
      </x:c>
      <x:c r="I1760" t="str"/>
      <x:c r="J1760" t="str">
        <x:v>Unit</x:v>
      </x:c>
      <x:c r="K1760" t="str">
        <x:v>In stock</x:v>
      </x:c>
      <x:c r="L1760" t="str">
        <x:v>2026-09-08</x:v>
      </x:c>
      <x:c r="M1760" t="str"/>
      <x:c r="N1760" t="str"/>
      <x:c r="O1760" t="str">
        <x:v>https://www.activesportstrade.co.uk/Protein-Meal-Replacements/norec</x:v>
      </x:c>
      <x:c r="P1760" t="str"/>
      <x:c r="Q1760" t="str"/>
      <x:c r="R1760" t="str"/>
      <x:c r="S1760" t="str">
        <x:v>Pending genuine supplier/brand image</x:v>
      </x:c>
      <x:c r="T1760" s="54" t="n">
        <x:v>10.99</x:v>
      </x:c>
      <x:c r="U1760" s="47" t="n">
        <x:v>0.2</x:v>
      </x:c>
      <x:c r="V1760" s="54" t="n">
        <x:f>IF(ISNUMBER(T1760),T1760*(1+U1760),"")</x:f>
        <x:v>13.188</x:v>
      </x:c>
      <x:c r="W1760" s="47" t="n">
        <x:v>0.3</x:v>
      </x:c>
      <x:c r="X1760" s="54" t="n">
        <x:f>IF(ISNUMBER(V1760),V1760/(1-W1760),"")</x:f>
        <x:v>18.840000000000003</x:v>
      </x:c>
      <x:c r="Y1760" s="55" t="n">
        <x:f>IF(ISNUMBER(X1760),ROUNDUP(X1760,0),"")</x:f>
        <x:v>19</x:v>
      </x:c>
      <x:c r="Z1760" t="str">
        <x:v>Source match pending</x:v>
      </x:c>
      <x:c r="AA1760" t="str">
        <x:v>screencapture-www-activesportstrade-co-uk-strom-sports-nutrition-trade-2026-09-10-09_08_39.pdf / page-1</x:v>
      </x:c>
      <x:c r="AB1760" s="36" t="n">
        <x:f>IF(ISNUMBER(Y1760),ROUND(Y1760*0.9,2),"")</x:f>
        <x:v>17.1</x:v>
      </x:c>
      <x:c r="AC1760" s="36" t="n">
        <x:f>IF(ISNUMBER(AB1760),ROUND(AB1760-(AB1760*0.015+0.2)-V1760,2),"")</x:f>
        <x:v>3.46</x:v>
      </x:c>
      <x:c r="AD1760" s="36" t="n">
        <x:f>IF(ISNUMBER(Y1760),ROUND(Y1760*0.8,2),"")</x:f>
        <x:v>15.2</x:v>
      </x:c>
      <x:c r="AE1760" s="36" t="n">
        <x:f>IF(ISNUMBER(AD1760),ROUND(AD1760*0.015+0.2,2),"")</x:f>
        <x:v>0.43</x:v>
      </x:c>
      <x:c r="AF1760" s="36" t="n">
        <x:f>IF(ISNUMBER(AD1760),ROUND(AD1760-AE1760-V1760,2),"")</x:f>
        <x:v>1.58</x:v>
      </x:c>
      <x:c r="AG1760" t="str">
        <x:f>IF(NOT(ISNUMBER(T1760)),"PENDING",IF(AF1760&gt;0,"PASS","FAIL"))</x:f>
        <x:v>PASS</x:v>
      </x:c>
      <x:c r="AH1760" t="str">
        <x:f>IF(NOT(ISNUMBER(T1760)),"Needs supplier cost",IF(K1760&lt;&gt;"In stock","Supplier unavailable",IF(AG1760&lt;&gt;"PASS","BLOCK - GT loss risk","Commercially protected")))</x:f>
        <x:v>Commercially protected</x:v>
      </x:c>
      <x:c r="AI1760" t="str">
        <x:v>2026-09-10 Active Sports trade capture</x:v>
      </x:c>
      <x:c r="AJ1760" t="str">
        <x:v>Management-only economics. Stripe stress test uses 1.5% + £0.20 standard UK online-card fee; pallet/mix-and-match pricing ignored.</x:v>
      </x:c>
    </x:row>
    <x:row r="1761">
      <x:c r="A1761" t="str">
        <x:v>Active Sports Nutrition</x:v>
      </x:c>
      <x:c r="B1761" t="str">
        <x:v>Strom Sports Nutrition</x:v>
      </x:c>
      <x:c r="C1761" t="str">
        <x:v>Cream Of Rice</x:v>
      </x:c>
      <x:c r="D1761" t="str">
        <x:v>Supplements</x:v>
      </x:c>
      <x:c r="E1761" t="str">
        <x:v>Carbohydrates</x:v>
      </x:c>
      <x:c r="F1761" t="str"/>
      <x:c r="G1761" t="str">
        <x:v>2kg</x:v>
      </x:c>
      <x:c r="H1761" t="str">
        <x:v>Cherry Bakewell</x:v>
      </x:c>
      <x:c r="I1761" t="str"/>
      <x:c r="J1761" t="str">
        <x:v>Unit</x:v>
      </x:c>
      <x:c r="K1761" t="str">
        <x:v>In stock</x:v>
      </x:c>
      <x:c r="L1761" t="str">
        <x:v>2026-09-08</x:v>
      </x:c>
      <x:c r="M1761" t="str"/>
      <x:c r="N1761" t="str"/>
      <x:c r="O1761" t="str">
        <x:v>https://www.activesportstrade.co.uk/Protein-Meal-Replacements/norec</x:v>
      </x:c>
      <x:c r="P1761" t="str"/>
      <x:c r="Q1761" t="str"/>
      <x:c r="R1761" t="str"/>
      <x:c r="S1761" t="str">
        <x:v>Pending genuine supplier/brand image</x:v>
      </x:c>
      <x:c r="T1761" s="54" t="n">
        <x:v>10.99</x:v>
      </x:c>
      <x:c r="U1761" s="47" t="n">
        <x:v>0.2</x:v>
      </x:c>
      <x:c r="V1761" s="54" t="n">
        <x:f>IF(ISNUMBER(T1761),T1761*(1+U1761),"")</x:f>
        <x:v>13.188</x:v>
      </x:c>
      <x:c r="W1761" s="47" t="n">
        <x:v>0.3</x:v>
      </x:c>
      <x:c r="X1761" s="54" t="n">
        <x:f>IF(ISNUMBER(V1761),V1761/(1-W1761),"")</x:f>
        <x:v>18.840000000000003</x:v>
      </x:c>
      <x:c r="Y1761" s="55" t="n">
        <x:f>IF(ISNUMBER(X1761),ROUNDUP(X1761,0),"")</x:f>
        <x:v>19</x:v>
      </x:c>
      <x:c r="Z1761" t="str">
        <x:v>Source match pending</x:v>
      </x:c>
      <x:c r="AA1761" t="str">
        <x:v>screencapture-www-activesportstrade-co-uk-strom-sports-nutrition-trade-2026-09-10-09_08_39.pdf / page-1</x:v>
      </x:c>
      <x:c r="AB1761" s="36" t="n">
        <x:f>IF(ISNUMBER(Y1761),ROUND(Y1761*0.9,2),"")</x:f>
        <x:v>17.1</x:v>
      </x:c>
      <x:c r="AC1761" s="36" t="n">
        <x:f>IF(ISNUMBER(AB1761),ROUND(AB1761-(AB1761*0.015+0.2)-V1761,2),"")</x:f>
        <x:v>3.46</x:v>
      </x:c>
      <x:c r="AD1761" s="36" t="n">
        <x:f>IF(ISNUMBER(Y1761),ROUND(Y1761*0.8,2),"")</x:f>
        <x:v>15.2</x:v>
      </x:c>
      <x:c r="AE1761" s="36" t="n">
        <x:f>IF(ISNUMBER(AD1761),ROUND(AD1761*0.015+0.2,2),"")</x:f>
        <x:v>0.43</x:v>
      </x:c>
      <x:c r="AF1761" s="36" t="n">
        <x:f>IF(ISNUMBER(AD1761),ROUND(AD1761-AE1761-V1761,2),"")</x:f>
        <x:v>1.58</x:v>
      </x:c>
      <x:c r="AG1761" t="str">
        <x:f>IF(NOT(ISNUMBER(T1761)),"PENDING",IF(AF1761&gt;0,"PASS","FAIL"))</x:f>
        <x:v>PASS</x:v>
      </x:c>
      <x:c r="AH1761" t="str">
        <x:f>IF(NOT(ISNUMBER(T1761)),"Needs supplier cost",IF(K1761&lt;&gt;"In stock","Supplier unavailable",IF(AG1761&lt;&gt;"PASS","BLOCK - GT loss risk","Commercially protected")))</x:f>
        <x:v>Commercially protected</x:v>
      </x:c>
      <x:c r="AI1761" t="str">
        <x:v>2026-09-10 Active Sports trade capture</x:v>
      </x:c>
      <x:c r="AJ1761" t="str">
        <x:v>Management-only economics. Stripe stress test uses 1.5% + £0.20 standard UK online-card fee; pallet/mix-and-match pricing ignored.</x:v>
      </x:c>
    </x:row>
    <x:row r="1762">
      <x:c r="A1762" t="str">
        <x:v>Active Sports Nutrition</x:v>
      </x:c>
      <x:c r="B1762" t="str">
        <x:v>Strom Sports Nutrition</x:v>
      </x:c>
      <x:c r="C1762" t="str">
        <x:v>Cream Of Rice</x:v>
      </x:c>
      <x:c r="D1762" t="str">
        <x:v>Supplements</x:v>
      </x:c>
      <x:c r="E1762" t="str">
        <x:v>Carbohydrates</x:v>
      </x:c>
      <x:c r="F1762" t="str"/>
      <x:c r="G1762" t="str">
        <x:v>2kg</x:v>
      </x:c>
      <x:c r="H1762" t="str">
        <x:v>Chocolate Pistachio</x:v>
      </x:c>
      <x:c r="I1762" t="str"/>
      <x:c r="J1762" t="str">
        <x:v>Unit</x:v>
      </x:c>
      <x:c r="K1762" t="str">
        <x:v>In stock</x:v>
      </x:c>
      <x:c r="L1762" t="str">
        <x:v>2026-09-08</x:v>
      </x:c>
      <x:c r="M1762" t="str"/>
      <x:c r="N1762" t="str"/>
      <x:c r="O1762" t="str">
        <x:v>https://www.activesportstrade.co.uk/Protein-Meal-Replacements/norec</x:v>
      </x:c>
      <x:c r="P1762" t="str"/>
      <x:c r="Q1762" t="str"/>
      <x:c r="R1762" t="str"/>
      <x:c r="S1762" t="str">
        <x:v>Pending genuine supplier/brand image</x:v>
      </x:c>
      <x:c r="T1762" s="54" t="n">
        <x:v>10.99</x:v>
      </x:c>
      <x:c r="U1762" s="47" t="n">
        <x:v>0.2</x:v>
      </x:c>
      <x:c r="V1762" s="54" t="n">
        <x:f>IF(ISNUMBER(T1762),T1762*(1+U1762),"")</x:f>
        <x:v>13.188</x:v>
      </x:c>
      <x:c r="W1762" s="47" t="n">
        <x:v>0.3</x:v>
      </x:c>
      <x:c r="X1762" s="54" t="n">
        <x:f>IF(ISNUMBER(V1762),V1762/(1-W1762),"")</x:f>
        <x:v>18.840000000000003</x:v>
      </x:c>
      <x:c r="Y1762" s="55" t="n">
        <x:f>IF(ISNUMBER(X1762),ROUNDUP(X1762,0),"")</x:f>
        <x:v>19</x:v>
      </x:c>
      <x:c r="Z1762" t="str">
        <x:v>Source match pending</x:v>
      </x:c>
      <x:c r="AA1762" t="str">
        <x:v>screencapture-www-activesportstrade-co-uk-strom-sports-nutrition-trade-2026-09-10-09_08_39.pdf / page-1</x:v>
      </x:c>
      <x:c r="AB1762" s="36" t="n">
        <x:f>IF(ISNUMBER(Y1762),ROUND(Y1762*0.9,2),"")</x:f>
        <x:v>17.1</x:v>
      </x:c>
      <x:c r="AC1762" s="36" t="n">
        <x:f>IF(ISNUMBER(AB1762),ROUND(AB1762-(AB1762*0.015+0.2)-V1762,2),"")</x:f>
        <x:v>3.46</x:v>
      </x:c>
      <x:c r="AD1762" s="36" t="n">
        <x:f>IF(ISNUMBER(Y1762),ROUND(Y1762*0.8,2),"")</x:f>
        <x:v>15.2</x:v>
      </x:c>
      <x:c r="AE1762" s="36" t="n">
        <x:f>IF(ISNUMBER(AD1762),ROUND(AD1762*0.015+0.2,2),"")</x:f>
        <x:v>0.43</x:v>
      </x:c>
      <x:c r="AF1762" s="36" t="n">
        <x:f>IF(ISNUMBER(AD1762),ROUND(AD1762-AE1762-V1762,2),"")</x:f>
        <x:v>1.58</x:v>
      </x:c>
      <x:c r="AG1762" t="str">
        <x:f>IF(NOT(ISNUMBER(T1762)),"PENDING",IF(AF1762&gt;0,"PASS","FAIL"))</x:f>
        <x:v>PASS</x:v>
      </x:c>
      <x:c r="AH1762" t="str">
        <x:f>IF(NOT(ISNUMBER(T1762)),"Needs supplier cost",IF(K1762&lt;&gt;"In stock","Supplier unavailable",IF(AG1762&lt;&gt;"PASS","BLOCK - GT loss risk","Commercially protected")))</x:f>
        <x:v>Commercially protected</x:v>
      </x:c>
      <x:c r="AI1762" t="str">
        <x:v>2026-09-10 Active Sports trade capture</x:v>
      </x:c>
      <x:c r="AJ1762" t="str">
        <x:v>Management-only economics. Stripe stress test uses 1.5% + £0.20 standard UK online-card fee; pallet/mix-and-match pricing ignored.</x:v>
      </x:c>
    </x:row>
    <x:row r="1763">
      <x:c r="A1763" t="str">
        <x:v>Active Sports Nutrition</x:v>
      </x:c>
      <x:c r="B1763" t="str">
        <x:v>Strom Sports Nutrition</x:v>
      </x:c>
      <x:c r="C1763" t="str">
        <x:v>Cream Of Rice</x:v>
      </x:c>
      <x:c r="D1763" t="str">
        <x:v>Supplements</x:v>
      </x:c>
      <x:c r="E1763" t="str">
        <x:v>Carbohydrates</x:v>
      </x:c>
      <x:c r="F1763" t="str"/>
      <x:c r="G1763" t="str">
        <x:v>2kg</x:v>
      </x:c>
      <x:c r="H1763" t="str">
        <x:v>Chocolate Sponge Cake</x:v>
      </x:c>
      <x:c r="I1763" t="str"/>
      <x:c r="J1763" t="str">
        <x:v>Unit</x:v>
      </x:c>
      <x:c r="K1763" t="str">
        <x:v>In stock</x:v>
      </x:c>
      <x:c r="L1763" t="str">
        <x:v>2026-09-08</x:v>
      </x:c>
      <x:c r="M1763" t="str"/>
      <x:c r="N1763" t="str"/>
      <x:c r="O1763" t="str">
        <x:v>https://www.activesportstrade.co.uk/Protein-Meal-Replacements/norec</x:v>
      </x:c>
      <x:c r="P1763" t="str"/>
      <x:c r="Q1763" t="str"/>
      <x:c r="R1763" t="str"/>
      <x:c r="S1763" t="str">
        <x:v>Pending genuine supplier/brand image</x:v>
      </x:c>
      <x:c r="T1763" s="54" t="n">
        <x:v>10.99</x:v>
      </x:c>
      <x:c r="U1763" s="47" t="n">
        <x:v>0.2</x:v>
      </x:c>
      <x:c r="V1763" s="54" t="n">
        <x:f>IF(ISNUMBER(T1763),T1763*(1+U1763),"")</x:f>
        <x:v>13.188</x:v>
      </x:c>
      <x:c r="W1763" s="47" t="n">
        <x:v>0.3</x:v>
      </x:c>
      <x:c r="X1763" s="54" t="n">
        <x:f>IF(ISNUMBER(V1763),V1763/(1-W1763),"")</x:f>
        <x:v>18.840000000000003</x:v>
      </x:c>
      <x:c r="Y1763" s="55" t="n">
        <x:f>IF(ISNUMBER(X1763),ROUNDUP(X1763,0),"")</x:f>
        <x:v>19</x:v>
      </x:c>
      <x:c r="Z1763" t="str">
        <x:v>Source match pending</x:v>
      </x:c>
      <x:c r="AA1763" t="str">
        <x:v>screencapture-www-activesportstrade-co-uk-strom-sports-nutrition-trade-2026-09-10-09_08_39.pdf / page-1</x:v>
      </x:c>
      <x:c r="AB1763" s="36" t="n">
        <x:f>IF(ISNUMBER(Y1763),ROUND(Y1763*0.9,2),"")</x:f>
        <x:v>17.1</x:v>
      </x:c>
      <x:c r="AC1763" s="36" t="n">
        <x:f>IF(ISNUMBER(AB1763),ROUND(AB1763-(AB1763*0.015+0.2)-V1763,2),"")</x:f>
        <x:v>3.46</x:v>
      </x:c>
      <x:c r="AD1763" s="36" t="n">
        <x:f>IF(ISNUMBER(Y1763),ROUND(Y1763*0.8,2),"")</x:f>
        <x:v>15.2</x:v>
      </x:c>
      <x:c r="AE1763" s="36" t="n">
        <x:f>IF(ISNUMBER(AD1763),ROUND(AD1763*0.015+0.2,2),"")</x:f>
        <x:v>0.43</x:v>
      </x:c>
      <x:c r="AF1763" s="36" t="n">
        <x:f>IF(ISNUMBER(AD1763),ROUND(AD1763-AE1763-V1763,2),"")</x:f>
        <x:v>1.58</x:v>
      </x:c>
      <x:c r="AG1763" t="str">
        <x:f>IF(NOT(ISNUMBER(T1763)),"PENDING",IF(AF1763&gt;0,"PASS","FAIL"))</x:f>
        <x:v>PASS</x:v>
      </x:c>
      <x:c r="AH1763" t="str">
        <x:f>IF(NOT(ISNUMBER(T1763)),"Needs supplier cost",IF(K1763&lt;&gt;"In stock","Supplier unavailable",IF(AG1763&lt;&gt;"PASS","BLOCK - GT loss risk","Commercially protected")))</x:f>
        <x:v>Commercially protected</x:v>
      </x:c>
      <x:c r="AI1763" t="str">
        <x:v>2026-09-10 Active Sports trade capture</x:v>
      </x:c>
      <x:c r="AJ1763" t="str">
        <x:v>Management-only economics. Stripe stress test uses 1.5% + £0.20 standard UK online-card fee; pallet/mix-and-match pricing ignored.</x:v>
      </x:c>
    </x:row>
    <x:row r="1764">
      <x:c r="A1764" t="str">
        <x:v>Active Sports Nutrition</x:v>
      </x:c>
      <x:c r="B1764" t="str">
        <x:v>Strom Sports Nutrition</x:v>
      </x:c>
      <x:c r="C1764" t="str">
        <x:v>Cream Of Rice</x:v>
      </x:c>
      <x:c r="D1764" t="str">
        <x:v>Supplements</x:v>
      </x:c>
      <x:c r="E1764" t="str">
        <x:v>Carbohydrates</x:v>
      </x:c>
      <x:c r="F1764" t="str"/>
      <x:c r="G1764" t="str">
        <x:v>2kg</x:v>
      </x:c>
      <x:c r="H1764" t="str">
        <x:v>NY Cheesecake</x:v>
      </x:c>
      <x:c r="I1764" t="str"/>
      <x:c r="J1764" t="str">
        <x:v>Unit</x:v>
      </x:c>
      <x:c r="K1764" t="str">
        <x:v>In stock</x:v>
      </x:c>
      <x:c r="L1764" t="str">
        <x:v>2026-09-08</x:v>
      </x:c>
      <x:c r="M1764" t="str"/>
      <x:c r="N1764" t="str"/>
      <x:c r="O1764" t="str">
        <x:v>https://www.activesportstrade.co.uk/Protein-Meal-Replacements/norec</x:v>
      </x:c>
      <x:c r="P1764" t="str"/>
      <x:c r="Q1764" t="str"/>
      <x:c r="R1764" t="str"/>
      <x:c r="S1764" t="str">
        <x:v>Pending genuine supplier/brand image</x:v>
      </x:c>
      <x:c r="T1764" s="54" t="n">
        <x:v>10.99</x:v>
      </x:c>
      <x:c r="U1764" s="47" t="n">
        <x:v>0.2</x:v>
      </x:c>
      <x:c r="V1764" s="54" t="n">
        <x:f>IF(ISNUMBER(T1764),T1764*(1+U1764),"")</x:f>
        <x:v>13.188</x:v>
      </x:c>
      <x:c r="W1764" s="47" t="n">
        <x:v>0.3</x:v>
      </x:c>
      <x:c r="X1764" s="54" t="n">
        <x:f>IF(ISNUMBER(V1764),V1764/(1-W1764),"")</x:f>
        <x:v>18.840000000000003</x:v>
      </x:c>
      <x:c r="Y1764" s="55" t="n">
        <x:f>IF(ISNUMBER(X1764),ROUNDUP(X1764,0),"")</x:f>
        <x:v>19</x:v>
      </x:c>
      <x:c r="Z1764" t="str">
        <x:v>Source match pending</x:v>
      </x:c>
      <x:c r="AA1764" t="str">
        <x:v>screencapture-www-activesportstrade-co-uk-strom-sports-nutrition-trade-2026-09-10-09_08_39.pdf / page-1</x:v>
      </x:c>
      <x:c r="AB1764" s="36" t="n">
        <x:f>IF(ISNUMBER(Y1764),ROUND(Y1764*0.9,2),"")</x:f>
        <x:v>17.1</x:v>
      </x:c>
      <x:c r="AC1764" s="36" t="n">
        <x:f>IF(ISNUMBER(AB1764),ROUND(AB1764-(AB1764*0.015+0.2)-V1764,2),"")</x:f>
        <x:v>3.46</x:v>
      </x:c>
      <x:c r="AD1764" s="36" t="n">
        <x:f>IF(ISNUMBER(Y1764),ROUND(Y1764*0.8,2),"")</x:f>
        <x:v>15.2</x:v>
      </x:c>
      <x:c r="AE1764" s="36" t="n">
        <x:f>IF(ISNUMBER(AD1764),ROUND(AD1764*0.015+0.2,2),"")</x:f>
        <x:v>0.43</x:v>
      </x:c>
      <x:c r="AF1764" s="36" t="n">
        <x:f>IF(ISNUMBER(AD1764),ROUND(AD1764-AE1764-V1764,2),"")</x:f>
        <x:v>1.58</x:v>
      </x:c>
      <x:c r="AG1764" t="str">
        <x:f>IF(NOT(ISNUMBER(T1764)),"PENDING",IF(AF1764&gt;0,"PASS","FAIL"))</x:f>
        <x:v>PASS</x:v>
      </x:c>
      <x:c r="AH1764" t="str">
        <x:f>IF(NOT(ISNUMBER(T1764)),"Needs supplier cost",IF(K1764&lt;&gt;"In stock","Supplier unavailable",IF(AG1764&lt;&gt;"PASS","BLOCK - GT loss risk","Commercially protected")))</x:f>
        <x:v>Commercially protected</x:v>
      </x:c>
      <x:c r="AI1764" t="str">
        <x:v>2026-09-10 Active Sports trade capture</x:v>
      </x:c>
      <x:c r="AJ1764" t="str">
        <x:v>Management-only economics. Stripe stress test uses 1.5% + £0.20 standard UK online-card fee; pallet/mix-and-match pricing ignored.</x:v>
      </x:c>
    </x:row>
    <x:row r="1765">
      <x:c r="A1765" t="str">
        <x:v>Active Sports Nutrition</x:v>
      </x:c>
      <x:c r="B1765" t="str">
        <x:v>Strom Sports Nutrition</x:v>
      </x:c>
      <x:c r="C1765" t="str">
        <x:v>Cream Of Rice</x:v>
      </x:c>
      <x:c r="D1765" t="str">
        <x:v>Supplements</x:v>
      </x:c>
      <x:c r="E1765" t="str">
        <x:v>Carbohydrates</x:v>
      </x:c>
      <x:c r="F1765" t="str"/>
      <x:c r="G1765" t="str">
        <x:v>2kg</x:v>
      </x:c>
      <x:c r="H1765" t="str">
        <x:v>Raspberry Ripple</x:v>
      </x:c>
      <x:c r="I1765" t="str"/>
      <x:c r="J1765" t="str">
        <x:v>Unit</x:v>
      </x:c>
      <x:c r="K1765" t="str">
        <x:v>In stock</x:v>
      </x:c>
      <x:c r="L1765" t="str">
        <x:v>2026-09-08</x:v>
      </x:c>
      <x:c r="M1765" t="str"/>
      <x:c r="N1765" t="str"/>
      <x:c r="O1765" t="str">
        <x:v>https://www.activesportstrade.co.uk/Protein-Meal-Replacements/norec</x:v>
      </x:c>
      <x:c r="P1765" t="str"/>
      <x:c r="Q1765" t="str"/>
      <x:c r="R1765" t="str"/>
      <x:c r="S1765" t="str">
        <x:v>Pending genuine supplier/brand image</x:v>
      </x:c>
      <x:c r="T1765" s="54" t="n">
        <x:v>10.99</x:v>
      </x:c>
      <x:c r="U1765" s="47" t="n">
        <x:v>0.2</x:v>
      </x:c>
      <x:c r="V1765" s="54" t="n">
        <x:f>IF(ISNUMBER(T1765),T1765*(1+U1765),"")</x:f>
        <x:v>13.188</x:v>
      </x:c>
      <x:c r="W1765" s="47" t="n">
        <x:v>0.3</x:v>
      </x:c>
      <x:c r="X1765" s="54" t="n">
        <x:f>IF(ISNUMBER(V1765),V1765/(1-W1765),"")</x:f>
        <x:v>18.840000000000003</x:v>
      </x:c>
      <x:c r="Y1765" s="55" t="n">
        <x:f>IF(ISNUMBER(X1765),ROUNDUP(X1765,0),"")</x:f>
        <x:v>19</x:v>
      </x:c>
      <x:c r="Z1765" t="str">
        <x:v>Source match pending</x:v>
      </x:c>
      <x:c r="AA1765" t="str">
        <x:v>screencapture-www-activesportstrade-co-uk-strom-sports-nutrition-trade-2026-09-10-09_08_39.pdf / page-1</x:v>
      </x:c>
      <x:c r="AB1765" s="36" t="n">
        <x:f>IF(ISNUMBER(Y1765),ROUND(Y1765*0.9,2),"")</x:f>
        <x:v>17.1</x:v>
      </x:c>
      <x:c r="AC1765" s="36" t="n">
        <x:f>IF(ISNUMBER(AB1765),ROUND(AB1765-(AB1765*0.015+0.2)-V1765,2),"")</x:f>
        <x:v>3.46</x:v>
      </x:c>
      <x:c r="AD1765" s="36" t="n">
        <x:f>IF(ISNUMBER(Y1765),ROUND(Y1765*0.8,2),"")</x:f>
        <x:v>15.2</x:v>
      </x:c>
      <x:c r="AE1765" s="36" t="n">
        <x:f>IF(ISNUMBER(AD1765),ROUND(AD1765*0.015+0.2,2),"")</x:f>
        <x:v>0.43</x:v>
      </x:c>
      <x:c r="AF1765" s="36" t="n">
        <x:f>IF(ISNUMBER(AD1765),ROUND(AD1765-AE1765-V1765,2),"")</x:f>
        <x:v>1.58</x:v>
      </x:c>
      <x:c r="AG1765" t="str">
        <x:f>IF(NOT(ISNUMBER(T1765)),"PENDING",IF(AF1765&gt;0,"PASS","FAIL"))</x:f>
        <x:v>PASS</x:v>
      </x:c>
      <x:c r="AH1765" t="str">
        <x:f>IF(NOT(ISNUMBER(T1765)),"Needs supplier cost",IF(K1765&lt;&gt;"In stock","Supplier unavailable",IF(AG1765&lt;&gt;"PASS","BLOCK - GT loss risk","Commercially protected")))</x:f>
        <x:v>Commercially protected</x:v>
      </x:c>
      <x:c r="AI1765" t="str">
        <x:v>2026-09-10 Active Sports trade capture</x:v>
      </x:c>
      <x:c r="AJ1765" t="str">
        <x:v>Management-only economics. Stripe stress test uses 1.5% + £0.20 standard UK online-card fee; pallet/mix-and-match pricing ignored.</x:v>
      </x:c>
    </x:row>
    <x:row r="1766">
      <x:c r="A1766" t="str">
        <x:v>Active Sports Nutrition</x:v>
      </x:c>
      <x:c r="B1766" t="str">
        <x:v>Strom Sports Nutrition</x:v>
      </x:c>
      <x:c r="C1766" t="str">
        <x:v>Cream Of Rice</x:v>
      </x:c>
      <x:c r="D1766" t="str">
        <x:v>Supplements</x:v>
      </x:c>
      <x:c r="E1766" t="str">
        <x:v>Carbohydrates</x:v>
      </x:c>
      <x:c r="F1766" t="str"/>
      <x:c r="G1766" t="str">
        <x:v>2kg</x:v>
      </x:c>
      <x:c r="H1766" t="str">
        <x:v>Vanilla Sugar Cookie</x:v>
      </x:c>
      <x:c r="I1766" t="str"/>
      <x:c r="J1766" t="str">
        <x:v>Unit</x:v>
      </x:c>
      <x:c r="K1766" t="str">
        <x:v>In stock</x:v>
      </x:c>
      <x:c r="L1766" t="str">
        <x:v>2026-09-08</x:v>
      </x:c>
      <x:c r="M1766" t="str"/>
      <x:c r="N1766" t="str"/>
      <x:c r="O1766" t="str">
        <x:v>https://www.activesportstrade.co.uk/Protein-Meal-Replacements/norec</x:v>
      </x:c>
      <x:c r="P1766" t="str"/>
      <x:c r="Q1766" t="str"/>
      <x:c r="R1766" t="str"/>
      <x:c r="S1766" t="str">
        <x:v>Pending genuine supplier/brand image</x:v>
      </x:c>
      <x:c r="T1766" s="54" t="n">
        <x:v>10.99</x:v>
      </x:c>
      <x:c r="U1766" s="47" t="n">
        <x:v>0.2</x:v>
      </x:c>
      <x:c r="V1766" s="54" t="n">
        <x:f>IF(ISNUMBER(T1766),T1766*(1+U1766),"")</x:f>
        <x:v>13.188</x:v>
      </x:c>
      <x:c r="W1766" s="47" t="n">
        <x:v>0.3</x:v>
      </x:c>
      <x:c r="X1766" s="54" t="n">
        <x:f>IF(ISNUMBER(V1766),V1766/(1-W1766),"")</x:f>
        <x:v>18.840000000000003</x:v>
      </x:c>
      <x:c r="Y1766" s="55" t="n">
        <x:f>IF(ISNUMBER(X1766),ROUNDUP(X1766,0),"")</x:f>
        <x:v>19</x:v>
      </x:c>
      <x:c r="Z1766" t="str">
        <x:v>Source match pending</x:v>
      </x:c>
      <x:c r="AA1766" t="str">
        <x:v>screencapture-www-activesportstrade-co-uk-strom-sports-nutrition-trade-2026-09-10-09_08_39.pdf / page-1</x:v>
      </x:c>
      <x:c r="AB1766" s="36" t="n">
        <x:f>IF(ISNUMBER(Y1766),ROUND(Y1766*0.9,2),"")</x:f>
        <x:v>17.1</x:v>
      </x:c>
      <x:c r="AC1766" s="36" t="n">
        <x:f>IF(ISNUMBER(AB1766),ROUND(AB1766-(AB1766*0.015+0.2)-V1766,2),"")</x:f>
        <x:v>3.46</x:v>
      </x:c>
      <x:c r="AD1766" s="36" t="n">
        <x:f>IF(ISNUMBER(Y1766),ROUND(Y1766*0.8,2),"")</x:f>
        <x:v>15.2</x:v>
      </x:c>
      <x:c r="AE1766" s="36" t="n">
        <x:f>IF(ISNUMBER(AD1766),ROUND(AD1766*0.015+0.2,2),"")</x:f>
        <x:v>0.43</x:v>
      </x:c>
      <x:c r="AF1766" s="36" t="n">
        <x:f>IF(ISNUMBER(AD1766),ROUND(AD1766-AE1766-V1766,2),"")</x:f>
        <x:v>1.58</x:v>
      </x:c>
      <x:c r="AG1766" t="str">
        <x:f>IF(NOT(ISNUMBER(T1766)),"PENDING",IF(AF1766&gt;0,"PASS","FAIL"))</x:f>
        <x:v>PASS</x:v>
      </x:c>
      <x:c r="AH1766" t="str">
        <x:f>IF(NOT(ISNUMBER(T1766)),"Needs supplier cost",IF(K1766&lt;&gt;"In stock","Supplier unavailable",IF(AG1766&lt;&gt;"PASS","BLOCK - GT loss risk","Commercially protected")))</x:f>
        <x:v>Commercially protected</x:v>
      </x:c>
      <x:c r="AI1766" t="str">
        <x:v>2026-09-10 Active Sports trade capture</x:v>
      </x:c>
      <x:c r="AJ1766" t="str">
        <x:v>Management-only economics. Stripe stress test uses 1.5% + £0.20 standard UK online-card fee; pallet/mix-and-match pricing ignored.</x:v>
      </x:c>
    </x:row>
    <x:row r="1767">
      <x:c r="A1767" t="str">
        <x:v>Active Sports Nutrition</x:v>
      </x:c>
      <x:c r="B1767" t="str">
        <x:v>Strom Sports Nutrition</x:v>
      </x:c>
      <x:c r="C1767" t="str">
        <x:v>Cream Of Rice</x:v>
      </x:c>
      <x:c r="D1767" t="str">
        <x:v>Supplements</x:v>
      </x:c>
      <x:c r="E1767" t="str">
        <x:v>Carbohydrates</x:v>
      </x:c>
      <x:c r="F1767" t="str"/>
      <x:c r="G1767" t="str">
        <x:v>2kg</x:v>
      </x:c>
      <x:c r="H1767" t="str">
        <x:v>White Chocolate Caramel</x:v>
      </x:c>
      <x:c r="I1767" t="str"/>
      <x:c r="J1767" t="str">
        <x:v>Unit</x:v>
      </x:c>
      <x:c r="K1767" t="str">
        <x:v>In stock</x:v>
      </x:c>
      <x:c r="L1767" t="str">
        <x:v>2026-09-08</x:v>
      </x:c>
      <x:c r="M1767" t="str"/>
      <x:c r="N1767" t="str"/>
      <x:c r="O1767" t="str">
        <x:v>https://www.activesportstrade.co.uk/Protein-Meal-Replacements/norec</x:v>
      </x:c>
      <x:c r="P1767" t="str"/>
      <x:c r="Q1767" t="str"/>
      <x:c r="R1767" t="str"/>
      <x:c r="S1767" t="str">
        <x:v>Pending genuine supplier/brand image</x:v>
      </x:c>
      <x:c r="T1767" s="54" t="n">
        <x:v>10.99</x:v>
      </x:c>
      <x:c r="U1767" s="47" t="n">
        <x:v>0.2</x:v>
      </x:c>
      <x:c r="V1767" s="54" t="n">
        <x:f>IF(ISNUMBER(T1767),T1767*(1+U1767),"")</x:f>
        <x:v>13.188</x:v>
      </x:c>
      <x:c r="W1767" s="47" t="n">
        <x:v>0.3</x:v>
      </x:c>
      <x:c r="X1767" s="54" t="n">
        <x:f>IF(ISNUMBER(V1767),V1767/(1-W1767),"")</x:f>
        <x:v>18.840000000000003</x:v>
      </x:c>
      <x:c r="Y1767" s="55" t="n">
        <x:f>IF(ISNUMBER(X1767),ROUNDUP(X1767,0),"")</x:f>
        <x:v>19</x:v>
      </x:c>
      <x:c r="Z1767" t="str">
        <x:v>Source match pending</x:v>
      </x:c>
      <x:c r="AA1767" t="str">
        <x:v>screencapture-www-activesportstrade-co-uk-strom-sports-nutrition-trade-2026-09-10-09_08_39.pdf / page-1</x:v>
      </x:c>
      <x:c r="AB1767" s="36" t="n">
        <x:f>IF(ISNUMBER(Y1767),ROUND(Y1767*0.9,2),"")</x:f>
        <x:v>17.1</x:v>
      </x:c>
      <x:c r="AC1767" s="36" t="n">
        <x:f>IF(ISNUMBER(AB1767),ROUND(AB1767-(AB1767*0.015+0.2)-V1767,2),"")</x:f>
        <x:v>3.46</x:v>
      </x:c>
      <x:c r="AD1767" s="36" t="n">
        <x:f>IF(ISNUMBER(Y1767),ROUND(Y1767*0.8,2),"")</x:f>
        <x:v>15.2</x:v>
      </x:c>
      <x:c r="AE1767" s="36" t="n">
        <x:f>IF(ISNUMBER(AD1767),ROUND(AD1767*0.015+0.2,2),"")</x:f>
        <x:v>0.43</x:v>
      </x:c>
      <x:c r="AF1767" s="36" t="n">
        <x:f>IF(ISNUMBER(AD1767),ROUND(AD1767-AE1767-V1767,2),"")</x:f>
        <x:v>1.58</x:v>
      </x:c>
      <x:c r="AG1767" t="str">
        <x:f>IF(NOT(ISNUMBER(T1767)),"PENDING",IF(AF1767&gt;0,"PASS","FAIL"))</x:f>
        <x:v>PASS</x:v>
      </x:c>
      <x:c r="AH1767" t="str">
        <x:f>IF(NOT(ISNUMBER(T1767)),"Needs supplier cost",IF(K1767&lt;&gt;"In stock","Supplier unavailable",IF(AG1767&lt;&gt;"PASS","BLOCK - GT loss risk","Commercially protected")))</x:f>
        <x:v>Commercially protected</x:v>
      </x:c>
      <x:c r="AI1767" t="str">
        <x:v>2026-09-10 Active Sports trade capture</x:v>
      </x:c>
      <x:c r="AJ1767" t="str">
        <x:v>Management-only economics. Stripe stress test uses 1.5% + £0.20 standard UK online-card fee; pallet/mix-and-match pricing ignored.</x:v>
      </x:c>
    </x:row>
    <x:row r="1768">
      <x:c r="A1768" t="str">
        <x:v>Active Sports Nutrition</x:v>
      </x:c>
      <x:c r="B1768" t="str">
        <x:v>Strom Sports Nutrition</x:v>
      </x:c>
      <x:c r="C1768" t="str">
        <x:v>Max Meal</x:v>
      </x:c>
      <x:c r="D1768" t="str">
        <x:v>Supplements</x:v>
      </x:c>
      <x:c r="E1768" t="str">
        <x:v>Meal Replacements</x:v>
      </x:c>
      <x:c r="F1768" t="str"/>
      <x:c r="G1768" t="str">
        <x:v>20 servings</x:v>
      </x:c>
      <x:c r="H1768" t="str">
        <x:v>Chocolate</x:v>
      </x:c>
      <x:c r="I1768" t="str"/>
      <x:c r="J1768" t="str">
        <x:v>Unit</x:v>
      </x:c>
      <x:c r="K1768" t="str">
        <x:v>In stock</x:v>
      </x:c>
      <x:c r="L1768" t="str">
        <x:v>2026-09-08</x:v>
      </x:c>
      <x:c r="M1768" t="str"/>
      <x:c r="N1768" t="str"/>
      <x:c r="O1768" t="str">
        <x:v>https://www.activesportstrade.co.uk/Protein-Meal-Replacements/norec</x:v>
      </x:c>
      <x:c r="P1768" t="str">
        <x:v>Fresh no-record page used; another older category crawl disagreed on Vanilla.</x:v>
      </x:c>
      <x:c r="Q1768" t="str"/>
      <x:c r="R1768" t="str"/>
      <x:c r="S1768" t="str">
        <x:v>Pending genuine supplier/brand image</x:v>
      </x:c>
      <x:c r="T1768" s="54" t="n">
        <x:v>23.04</x:v>
      </x:c>
      <x:c r="U1768" s="47" t="n">
        <x:v>0.2</x:v>
      </x:c>
      <x:c r="V1768" s="54" t="n">
        <x:f>IF(ISNUMBER(T1768),T1768*(1+U1768),"")</x:f>
        <x:v>27.648</x:v>
      </x:c>
      <x:c r="W1768" s="47" t="n">
        <x:v>0.3</x:v>
      </x:c>
      <x:c r="X1768" s="54" t="n">
        <x:f>IF(ISNUMBER(V1768),V1768/(1-W1768),"")</x:f>
        <x:v>39.49714285714286</x:v>
      </x:c>
      <x:c r="Y1768" s="55" t="n">
        <x:f>IF(ISNUMBER(X1768),ROUNDUP(X1768,0),"")</x:f>
        <x:v>40</x:v>
      </x:c>
      <x:c r="Z1768" t="str">
        <x:v>Source match pending</x:v>
      </x:c>
      <x:c r="AA1768" t="str">
        <x:v>screencapture-www-activesportstrade-co-uk-strom-sports-nutrition-trade-2026-09-10-09_08_39.pdf / page-3</x:v>
      </x:c>
      <x:c r="AB1768" s="36" t="n">
        <x:f>IF(ISNUMBER(Y1768),ROUND(Y1768*0.9,2),"")</x:f>
        <x:v>36</x:v>
      </x:c>
      <x:c r="AC1768" s="36" t="n">
        <x:f>IF(ISNUMBER(AB1768),ROUND(AB1768-(AB1768*0.015+0.2)-V1768,2),"")</x:f>
        <x:v>7.61</x:v>
      </x:c>
      <x:c r="AD1768" s="36" t="n">
        <x:f>IF(ISNUMBER(Y1768),ROUND(Y1768*0.8,2),"")</x:f>
        <x:v>32</x:v>
      </x:c>
      <x:c r="AE1768" s="36" t="n">
        <x:f>IF(ISNUMBER(AD1768),ROUND(AD1768*0.015+0.2,2),"")</x:f>
        <x:v>0.68</x:v>
      </x:c>
      <x:c r="AF1768" s="36" t="n">
        <x:f>IF(ISNUMBER(AD1768),ROUND(AD1768-AE1768-V1768,2),"")</x:f>
        <x:v>3.67</x:v>
      </x:c>
      <x:c r="AG1768" t="str">
        <x:f>IF(NOT(ISNUMBER(T1768)),"PENDING",IF(AF1768&gt;0,"PASS","FAIL"))</x:f>
        <x:v>PASS</x:v>
      </x:c>
      <x:c r="AH1768" t="str">
        <x:f>IF(NOT(ISNUMBER(T1768)),"Needs supplier cost",IF(K1768&lt;&gt;"In stock","Supplier unavailable",IF(AG1768&lt;&gt;"PASS","BLOCK - GT loss risk","Commercially protected")))</x:f>
        <x:v>Commercially protected</x:v>
      </x:c>
      <x:c r="AI1768" t="str">
        <x:v>2026-09-10 Active Sports trade capture</x:v>
      </x:c>
      <x:c r="AJ1768" t="str">
        <x:v>Management-only economics. Stripe stress test uses 1.5% + £0.20 standard UK online-card fee; pallet/mix-and-match pricing ignored.</x:v>
      </x:c>
    </x:row>
    <x:row r="1769">
      <x:c r="A1769" t="str">
        <x:v>Active Sports Nutrition</x:v>
      </x:c>
      <x:c r="B1769" t="str">
        <x:v>Strom Sports Nutrition</x:v>
      </x:c>
      <x:c r="C1769" t="str">
        <x:v>Max Meal</x:v>
      </x:c>
      <x:c r="D1769" t="str">
        <x:v>Supplements</x:v>
      </x:c>
      <x:c r="E1769" t="str">
        <x:v>Meal Replacements</x:v>
      </x:c>
      <x:c r="F1769" t="str"/>
      <x:c r="G1769" t="str">
        <x:v>20 servings</x:v>
      </x:c>
      <x:c r="H1769" t="str">
        <x:v>Strawberry</x:v>
      </x:c>
      <x:c r="I1769" t="str"/>
      <x:c r="J1769" t="str">
        <x:v>Unit</x:v>
      </x:c>
      <x:c r="K1769" t="str">
        <x:v>Out of stock</x:v>
      </x:c>
      <x:c r="L1769" t="str">
        <x:v>2026-09-08</x:v>
      </x:c>
      <x:c r="M1769" t="str"/>
      <x:c r="N1769" t="str"/>
      <x:c r="O1769" t="str">
        <x:v>https://www.activesportstrade.co.uk/Protein-Meal-Replacements/norec</x:v>
      </x:c>
      <x:c r="P1769" t="str">
        <x:v>Fresh no-record page used; another older category crawl disagreed on Vanilla.</x:v>
      </x:c>
      <x:c r="Q1769" t="str"/>
      <x:c r="R1769" t="str"/>
      <x:c r="S1769" t="str">
        <x:v>Pending genuine supplier/brand image</x:v>
      </x:c>
      <x:c r="T1769" s="54" t="n">
        <x:v>23.04</x:v>
      </x:c>
      <x:c r="U1769" s="47" t="n">
        <x:v>0.2</x:v>
      </x:c>
      <x:c r="V1769" s="54" t="n">
        <x:f>IF(ISNUMBER(T1769),T1769*(1+U1769),"")</x:f>
        <x:v>27.648</x:v>
      </x:c>
      <x:c r="W1769" s="47" t="n">
        <x:v>0.3</x:v>
      </x:c>
      <x:c r="X1769" s="54" t="n">
        <x:f>IF(ISNUMBER(V1769),V1769/(1-W1769),"")</x:f>
        <x:v>39.49714285714286</x:v>
      </x:c>
      <x:c r="Y1769" s="55" t="n">
        <x:f>IF(ISNUMBER(X1769),ROUNDUP(X1769,0),"")</x:f>
        <x:v>40</x:v>
      </x:c>
      <x:c r="Z1769" t="str">
        <x:v>Source match pending</x:v>
      </x:c>
      <x:c r="AA1769" t="str">
        <x:v>screencapture-www-activesportstrade-co-uk-strom-sports-nutrition-trade-2026-09-10-09_08_39.pdf / page-3</x:v>
      </x:c>
      <x:c r="AB1769" s="36" t="n">
        <x:f>IF(ISNUMBER(Y1769),ROUND(Y1769*0.9,2),"")</x:f>
        <x:v>36</x:v>
      </x:c>
      <x:c r="AC1769" s="36" t="n">
        <x:f>IF(ISNUMBER(AB1769),ROUND(AB1769-(AB1769*0.015+0.2)-V1769,2),"")</x:f>
        <x:v>7.61</x:v>
      </x:c>
      <x:c r="AD1769" s="36" t="n">
        <x:f>IF(ISNUMBER(Y1769),ROUND(Y1769*0.8,2),"")</x:f>
        <x:v>32</x:v>
      </x:c>
      <x:c r="AE1769" s="36" t="n">
        <x:f>IF(ISNUMBER(AD1769),ROUND(AD1769*0.015+0.2,2),"")</x:f>
        <x:v>0.68</x:v>
      </x:c>
      <x:c r="AF1769" s="36" t="n">
        <x:f>IF(ISNUMBER(AD1769),ROUND(AD1769-AE1769-V1769,2),"")</x:f>
        <x:v>3.67</x:v>
      </x:c>
      <x:c r="AG1769" t="str">
        <x:f>IF(NOT(ISNUMBER(T1769)),"PENDING",IF(AF1769&gt;0,"PASS","FAIL"))</x:f>
        <x:v>PASS</x:v>
      </x:c>
      <x:c r="AH1769" t="str">
        <x:f>IF(NOT(ISNUMBER(T1769)),"Needs supplier cost",IF(K1769&lt;&gt;"In stock","Supplier unavailable",IF(AG1769&lt;&gt;"PASS","BLOCK - GT loss risk","Commercially protected")))</x:f>
        <x:v>Supplier unavailable</x:v>
      </x:c>
      <x:c r="AI1769" t="str">
        <x:v>2026-09-10 Active Sports trade capture</x:v>
      </x:c>
      <x:c r="AJ1769" t="str">
        <x:v>Management-only economics. Stripe stress test uses 1.5% + £0.20 standard UK online-card fee; pallet/mix-and-match pricing ignored.</x:v>
      </x:c>
    </x:row>
    <x:row r="1770">
      <x:c r="A1770" t="str">
        <x:v>Active Sports Nutrition</x:v>
      </x:c>
      <x:c r="B1770" t="str">
        <x:v>Strom Sports Nutrition</x:v>
      </x:c>
      <x:c r="C1770" t="str">
        <x:v>Max Meal</x:v>
      </x:c>
      <x:c r="D1770" t="str">
        <x:v>Supplements</x:v>
      </x:c>
      <x:c r="E1770" t="str">
        <x:v>Meal Replacements</x:v>
      </x:c>
      <x:c r="F1770" t="str"/>
      <x:c r="G1770" t="str">
        <x:v>20 servings</x:v>
      </x:c>
      <x:c r="H1770" t="str">
        <x:v>Vanilla</x:v>
      </x:c>
      <x:c r="I1770" t="str"/>
      <x:c r="J1770" t="str">
        <x:v>Unit</x:v>
      </x:c>
      <x:c r="K1770" t="str">
        <x:v>In stock</x:v>
      </x:c>
      <x:c r="L1770" t="str">
        <x:v>2026-09-08</x:v>
      </x:c>
      <x:c r="M1770" t="str"/>
      <x:c r="N1770" t="str"/>
      <x:c r="O1770" t="str">
        <x:v>https://www.activesportstrade.co.uk/Protein-Meal-Replacements/norec</x:v>
      </x:c>
      <x:c r="P1770" t="str">
        <x:v>Fresh no-record page used; another older category crawl disagreed on Vanilla.</x:v>
      </x:c>
      <x:c r="Q1770" t="str"/>
      <x:c r="R1770" t="str"/>
      <x:c r="S1770" t="str">
        <x:v>Pending genuine supplier/brand image</x:v>
      </x:c>
      <x:c r="T1770" s="54" t="n">
        <x:v>23.04</x:v>
      </x:c>
      <x:c r="U1770" s="47" t="n">
        <x:v>0.2</x:v>
      </x:c>
      <x:c r="V1770" s="54" t="n">
        <x:f>IF(ISNUMBER(T1770),T1770*(1+U1770),"")</x:f>
        <x:v>27.648</x:v>
      </x:c>
      <x:c r="W1770" s="47" t="n">
        <x:v>0.3</x:v>
      </x:c>
      <x:c r="X1770" s="54" t="n">
        <x:f>IF(ISNUMBER(V1770),V1770/(1-W1770),"")</x:f>
        <x:v>39.49714285714286</x:v>
      </x:c>
      <x:c r="Y1770" s="55" t="n">
        <x:f>IF(ISNUMBER(X1770),ROUNDUP(X1770,0),"")</x:f>
        <x:v>40</x:v>
      </x:c>
      <x:c r="Z1770" t="str">
        <x:v>Source match pending</x:v>
      </x:c>
      <x:c r="AA1770" t="str">
        <x:v>screencapture-www-activesportstrade-co-uk-strom-sports-nutrition-trade-2026-09-10-09_08_39.pdf / page-3</x:v>
      </x:c>
      <x:c r="AB1770" s="36" t="n">
        <x:f>IF(ISNUMBER(Y1770),ROUND(Y1770*0.9,2),"")</x:f>
        <x:v>36</x:v>
      </x:c>
      <x:c r="AC1770" s="36" t="n">
        <x:f>IF(ISNUMBER(AB1770),ROUND(AB1770-(AB1770*0.015+0.2)-V1770,2),"")</x:f>
        <x:v>7.61</x:v>
      </x:c>
      <x:c r="AD1770" s="36" t="n">
        <x:f>IF(ISNUMBER(Y1770),ROUND(Y1770*0.8,2),"")</x:f>
        <x:v>32</x:v>
      </x:c>
      <x:c r="AE1770" s="36" t="n">
        <x:f>IF(ISNUMBER(AD1770),ROUND(AD1770*0.015+0.2,2),"")</x:f>
        <x:v>0.68</x:v>
      </x:c>
      <x:c r="AF1770" s="36" t="n">
        <x:f>IF(ISNUMBER(AD1770),ROUND(AD1770-AE1770-V1770,2),"")</x:f>
        <x:v>3.67</x:v>
      </x:c>
      <x:c r="AG1770" t="str">
        <x:f>IF(NOT(ISNUMBER(T1770)),"PENDING",IF(AF1770&gt;0,"PASS","FAIL"))</x:f>
        <x:v>PASS</x:v>
      </x:c>
      <x:c r="AH1770" t="str">
        <x:f>IF(NOT(ISNUMBER(T1770)),"Needs supplier cost",IF(K1770&lt;&gt;"In stock","Supplier unavailable",IF(AG1770&lt;&gt;"PASS","BLOCK - GT loss risk","Commercially protected")))</x:f>
        <x:v>Commercially protected</x:v>
      </x:c>
      <x:c r="AI1770" t="str">
        <x:v>2026-09-10 Active Sports trade capture</x:v>
      </x:c>
      <x:c r="AJ1770" t="str">
        <x:v>Management-only economics. Stripe stress test uses 1.5% + £0.20 standard UK online-card fee; pallet/mix-and-match pricing ignored.</x:v>
      </x:c>
    </x:row>
    <x:row r="1771">
      <x:c r="A1771" t="str">
        <x:v>Active Sports Nutrition</x:v>
      </x:c>
      <x:c r="B1771" t="str">
        <x:v>Strom Sports Nutrition</x:v>
      </x:c>
      <x:c r="C1771" t="str">
        <x:v>VelosiWHEY</x:v>
      </x:c>
      <x:c r="D1771" t="str">
        <x:v>Supplements</x:v>
      </x:c>
      <x:c r="E1771" t="str">
        <x:v>Whey Protein</x:v>
      </x:c>
      <x:c r="F1771" t="str"/>
      <x:c r="G1771" t="str">
        <x:v>1.2kg</x:v>
      </x:c>
      <x:c r="H1771" t="str">
        <x:v>Battenberg</x:v>
      </x:c>
      <x:c r="I1771" t="str"/>
      <x:c r="J1771" t="str">
        <x:v>Unit</x:v>
      </x:c>
      <x:c r="K1771" t="str">
        <x:v>Out of stock</x:v>
      </x:c>
      <x:c r="L1771" t="str">
        <x:v>2026-09-08</x:v>
      </x:c>
      <x:c r="M1771" t="str"/>
      <x:c r="N1771" t="str"/>
      <x:c r="O1771" t="str">
        <x:v>https://www.activesportstrade.co.uk/Whey-Protein-Supplements-Trade</x:v>
      </x:c>
      <x:c r="P1771" t="str">
        <x:v>Fresh general whey page used; older Strom-specific whey page had Custard Cream out of stock.</x:v>
      </x:c>
      <x:c r="Q1771" t="str"/>
      <x:c r="R1771" t="str"/>
      <x:c r="S1771" t="str">
        <x:v>Pending genuine supplier/brand image</x:v>
      </x:c>
      <x:c r="T1771" s="54" t="n">
        <x:v>29.89</x:v>
      </x:c>
      <x:c r="U1771" s="47" t="n">
        <x:v>0.2</x:v>
      </x:c>
      <x:c r="V1771" s="54" t="n">
        <x:f>IF(ISNUMBER(T1771),T1771*(1+U1771),"")</x:f>
        <x:v>35.868</x:v>
      </x:c>
      <x:c r="W1771" s="47" t="n">
        <x:v>0.3</x:v>
      </x:c>
      <x:c r="X1771" s="54" t="n">
        <x:f>IF(ISNUMBER(V1771),V1771/(1-W1771),"")</x:f>
        <x:v>51.24000000000001</x:v>
      </x:c>
      <x:c r="Y1771" s="55" t="n">
        <x:f>IF(ISNUMBER(X1771),ROUNDUP(X1771,0),"")</x:f>
        <x:v>52</x:v>
      </x:c>
      <x:c r="Z1771" t="str">
        <x:v>Source match pending</x:v>
      </x:c>
      <x:c r="AA1771" t="str">
        <x:v>screencapture-www-activesportstrade-co-uk-strom-sports-nutrition-trade-2026-09-10-09_08_39.pdf / page-6</x:v>
      </x:c>
      <x:c r="AB1771" s="36" t="n">
        <x:f>IF(ISNUMBER(Y1771),ROUND(Y1771*0.9,2),"")</x:f>
        <x:v>46.8</x:v>
      </x:c>
      <x:c r="AC1771" s="36" t="n">
        <x:f>IF(ISNUMBER(AB1771),ROUND(AB1771-(AB1771*0.015+0.2)-V1771,2),"")</x:f>
        <x:v>10.03</x:v>
      </x:c>
      <x:c r="AD1771" s="36" t="n">
        <x:f>IF(ISNUMBER(Y1771),ROUND(Y1771*0.8,2),"")</x:f>
        <x:v>41.6</x:v>
      </x:c>
      <x:c r="AE1771" s="36" t="n">
        <x:f>IF(ISNUMBER(AD1771),ROUND(AD1771*0.015+0.2,2),"")</x:f>
        <x:v>0.82</x:v>
      </x:c>
      <x:c r="AF1771" s="36" t="n">
        <x:f>IF(ISNUMBER(AD1771),ROUND(AD1771-AE1771-V1771,2),"")</x:f>
        <x:v>4.91</x:v>
      </x:c>
      <x:c r="AG1771" t="str">
        <x:f>IF(NOT(ISNUMBER(T1771)),"PENDING",IF(AF1771&gt;0,"PASS","FAIL"))</x:f>
        <x:v>PASS</x:v>
      </x:c>
      <x:c r="AH1771" t="str">
        <x:f>IF(NOT(ISNUMBER(T1771)),"Needs supplier cost",IF(K1771&lt;&gt;"In stock","Supplier unavailable",IF(AG1771&lt;&gt;"PASS","BLOCK - GT loss risk","Commercially protected")))</x:f>
        <x:v>Supplier unavailable</x:v>
      </x:c>
      <x:c r="AI1771" t="str">
        <x:v>2026-09-10 Active Sports trade capture</x:v>
      </x:c>
      <x:c r="AJ1771" t="str">
        <x:v>Management-only economics. Stripe stress test uses 1.5% + £0.20 standard UK online-card fee; pallet/mix-and-match pricing ignored.</x:v>
      </x:c>
    </x:row>
    <x:row r="1772">
      <x:c r="A1772" t="str">
        <x:v>Active Sports Nutrition</x:v>
      </x:c>
      <x:c r="B1772" t="str">
        <x:v>Strom Sports Nutrition</x:v>
      </x:c>
      <x:c r="C1772" t="str">
        <x:v>VelosiWHEY</x:v>
      </x:c>
      <x:c r="D1772" t="str">
        <x:v>Supplements</x:v>
      </x:c>
      <x:c r="E1772" t="str">
        <x:v>Whey Protein</x:v>
      </x:c>
      <x:c r="F1772" t="str"/>
      <x:c r="G1772" t="str">
        <x:v>1.2kg</x:v>
      </x:c>
      <x:c r="H1772" t="str">
        <x:v>Buttered Pancake</x:v>
      </x:c>
      <x:c r="I1772" t="str"/>
      <x:c r="J1772" t="str">
        <x:v>Unit</x:v>
      </x:c>
      <x:c r="K1772" t="str">
        <x:v>Out of stock</x:v>
      </x:c>
      <x:c r="L1772" t="str">
        <x:v>2026-09-08</x:v>
      </x:c>
      <x:c r="M1772" t="str"/>
      <x:c r="N1772" t="str"/>
      <x:c r="O1772" t="str">
        <x:v>https://www.activesportstrade.co.uk/Whey-Protein-Supplements-Trade</x:v>
      </x:c>
      <x:c r="P1772" t="str">
        <x:v>Fresh general whey page used; older Strom-specific whey page had Custard Cream out of stock.</x:v>
      </x:c>
      <x:c r="Q1772" t="str"/>
      <x:c r="R1772" t="str"/>
      <x:c r="S1772" t="str">
        <x:v>Pending genuine supplier/brand image</x:v>
      </x:c>
      <x:c r="T1772" s="54" t="n">
        <x:v>29.89</x:v>
      </x:c>
      <x:c r="U1772" s="47" t="n">
        <x:v>0.2</x:v>
      </x:c>
      <x:c r="V1772" s="54" t="n">
        <x:f>IF(ISNUMBER(T1772),T1772*(1+U1772),"")</x:f>
        <x:v>35.868</x:v>
      </x:c>
      <x:c r="W1772" s="47" t="n">
        <x:v>0.3</x:v>
      </x:c>
      <x:c r="X1772" s="54" t="n">
        <x:f>IF(ISNUMBER(V1772),V1772/(1-W1772),"")</x:f>
        <x:v>51.24000000000001</x:v>
      </x:c>
      <x:c r="Y1772" s="55" t="n">
        <x:f>IF(ISNUMBER(X1772),ROUNDUP(X1772,0),"")</x:f>
        <x:v>52</x:v>
      </x:c>
      <x:c r="Z1772" t="str">
        <x:v>Source match pending</x:v>
      </x:c>
      <x:c r="AA1772" t="str">
        <x:v>screencapture-www-activesportstrade-co-uk-strom-sports-nutrition-trade-2026-09-10-09_08_39.pdf / page-6</x:v>
      </x:c>
      <x:c r="AB1772" s="36" t="n">
        <x:f>IF(ISNUMBER(Y1772),ROUND(Y1772*0.9,2),"")</x:f>
        <x:v>46.8</x:v>
      </x:c>
      <x:c r="AC1772" s="36" t="n">
        <x:f>IF(ISNUMBER(AB1772),ROUND(AB1772-(AB1772*0.015+0.2)-V1772,2),"")</x:f>
        <x:v>10.03</x:v>
      </x:c>
      <x:c r="AD1772" s="36" t="n">
        <x:f>IF(ISNUMBER(Y1772),ROUND(Y1772*0.8,2),"")</x:f>
        <x:v>41.6</x:v>
      </x:c>
      <x:c r="AE1772" s="36" t="n">
        <x:f>IF(ISNUMBER(AD1772),ROUND(AD1772*0.015+0.2,2),"")</x:f>
        <x:v>0.82</x:v>
      </x:c>
      <x:c r="AF1772" s="36" t="n">
        <x:f>IF(ISNUMBER(AD1772),ROUND(AD1772-AE1772-V1772,2),"")</x:f>
        <x:v>4.91</x:v>
      </x:c>
      <x:c r="AG1772" t="str">
        <x:f>IF(NOT(ISNUMBER(T1772)),"PENDING",IF(AF1772&gt;0,"PASS","FAIL"))</x:f>
        <x:v>PASS</x:v>
      </x:c>
      <x:c r="AH1772" t="str">
        <x:f>IF(NOT(ISNUMBER(T1772)),"Needs supplier cost",IF(K1772&lt;&gt;"In stock","Supplier unavailable",IF(AG1772&lt;&gt;"PASS","BLOCK - GT loss risk","Commercially protected")))</x:f>
        <x:v>Supplier unavailable</x:v>
      </x:c>
      <x:c r="AI1772" t="str">
        <x:v>2026-09-10 Active Sports trade capture</x:v>
      </x:c>
      <x:c r="AJ1772" t="str">
        <x:v>Management-only economics. Stripe stress test uses 1.5% + £0.20 standard UK online-card fee; pallet/mix-and-match pricing ignored.</x:v>
      </x:c>
    </x:row>
    <x:row r="1773">
      <x:c r="A1773" t="str">
        <x:v>Active Sports Nutrition</x:v>
      </x:c>
      <x:c r="B1773" t="str">
        <x:v>Strom Sports Nutrition</x:v>
      </x:c>
      <x:c r="C1773" t="str">
        <x:v>VelosiWHEY</x:v>
      </x:c>
      <x:c r="D1773" t="str">
        <x:v>Supplements</x:v>
      </x:c>
      <x:c r="E1773" t="str">
        <x:v>Whey Protein</x:v>
      </x:c>
      <x:c r="F1773" t="str"/>
      <x:c r="G1773" t="str">
        <x:v>1.2kg</x:v>
      </x:c>
      <x:c r="H1773" t="str">
        <x:v>Chocolate Mint</x:v>
      </x:c>
      <x:c r="I1773" t="str"/>
      <x:c r="J1773" t="str">
        <x:v>Unit</x:v>
      </x:c>
      <x:c r="K1773" t="str">
        <x:v>Out of stock</x:v>
      </x:c>
      <x:c r="L1773" t="str">
        <x:v>2026-09-08</x:v>
      </x:c>
      <x:c r="M1773" t="str"/>
      <x:c r="N1773" t="str"/>
      <x:c r="O1773" t="str">
        <x:v>https://www.activesportstrade.co.uk/Whey-Protein-Supplements-Trade</x:v>
      </x:c>
      <x:c r="P1773" t="str">
        <x:v>Fresh general whey page used; older Strom-specific whey page had Custard Cream out of stock.</x:v>
      </x:c>
      <x:c r="Q1773" t="str"/>
      <x:c r="R1773" t="str"/>
      <x:c r="S1773" t="str">
        <x:v>Pending genuine supplier/brand image</x:v>
      </x:c>
      <x:c r="T1773" s="54" t="n">
        <x:v>29.89</x:v>
      </x:c>
      <x:c r="U1773" s="47" t="n">
        <x:v>0.2</x:v>
      </x:c>
      <x:c r="V1773" s="54" t="n">
        <x:f>IF(ISNUMBER(T1773),T1773*(1+U1773),"")</x:f>
        <x:v>35.868</x:v>
      </x:c>
      <x:c r="W1773" s="47" t="n">
        <x:v>0.3</x:v>
      </x:c>
      <x:c r="X1773" s="54" t="n">
        <x:f>IF(ISNUMBER(V1773),V1773/(1-W1773),"")</x:f>
        <x:v>51.24000000000001</x:v>
      </x:c>
      <x:c r="Y1773" s="55" t="n">
        <x:f>IF(ISNUMBER(X1773),ROUNDUP(X1773,0),"")</x:f>
        <x:v>52</x:v>
      </x:c>
      <x:c r="Z1773" t="str">
        <x:v>Source match pending</x:v>
      </x:c>
      <x:c r="AA1773" t="str">
        <x:v>screencapture-www-activesportstrade-co-uk-strom-sports-nutrition-trade-2026-09-10-09_08_39.pdf / page-6</x:v>
      </x:c>
      <x:c r="AB1773" s="36" t="n">
        <x:f>IF(ISNUMBER(Y1773),ROUND(Y1773*0.9,2),"")</x:f>
        <x:v>46.8</x:v>
      </x:c>
      <x:c r="AC1773" s="36" t="n">
        <x:f>IF(ISNUMBER(AB1773),ROUND(AB1773-(AB1773*0.015+0.2)-V1773,2),"")</x:f>
        <x:v>10.03</x:v>
      </x:c>
      <x:c r="AD1773" s="36" t="n">
        <x:f>IF(ISNUMBER(Y1773),ROUND(Y1773*0.8,2),"")</x:f>
        <x:v>41.6</x:v>
      </x:c>
      <x:c r="AE1773" s="36" t="n">
        <x:f>IF(ISNUMBER(AD1773),ROUND(AD1773*0.015+0.2,2),"")</x:f>
        <x:v>0.82</x:v>
      </x:c>
      <x:c r="AF1773" s="36" t="n">
        <x:f>IF(ISNUMBER(AD1773),ROUND(AD1773-AE1773-V1773,2),"")</x:f>
        <x:v>4.91</x:v>
      </x:c>
      <x:c r="AG1773" t="str">
        <x:f>IF(NOT(ISNUMBER(T1773)),"PENDING",IF(AF1773&gt;0,"PASS","FAIL"))</x:f>
        <x:v>PASS</x:v>
      </x:c>
      <x:c r="AH1773" t="str">
        <x:f>IF(NOT(ISNUMBER(T1773)),"Needs supplier cost",IF(K1773&lt;&gt;"In stock","Supplier unavailable",IF(AG1773&lt;&gt;"PASS","BLOCK - GT loss risk","Commercially protected")))</x:f>
        <x:v>Supplier unavailable</x:v>
      </x:c>
      <x:c r="AI1773" t="str">
        <x:v>2026-09-10 Active Sports trade capture</x:v>
      </x:c>
      <x:c r="AJ1773" t="str">
        <x:v>Management-only economics. Stripe stress test uses 1.5% + £0.20 standard UK online-card fee; pallet/mix-and-match pricing ignored.</x:v>
      </x:c>
    </x:row>
    <x:row r="1774">
      <x:c r="A1774" t="str">
        <x:v>Active Sports Nutrition</x:v>
      </x:c>
      <x:c r="B1774" t="str">
        <x:v>Strom Sports Nutrition</x:v>
      </x:c>
      <x:c r="C1774" t="str">
        <x:v>VelosiWHEY</x:v>
      </x:c>
      <x:c r="D1774" t="str">
        <x:v>Supplements</x:v>
      </x:c>
      <x:c r="E1774" t="str">
        <x:v>Whey Protein</x:v>
      </x:c>
      <x:c r="F1774" t="str"/>
      <x:c r="G1774" t="str">
        <x:v>1.2kg</x:v>
      </x:c>
      <x:c r="H1774" t="str">
        <x:v>Chocolate Sponge Cake</x:v>
      </x:c>
      <x:c r="I1774" t="str"/>
      <x:c r="J1774" t="str">
        <x:v>Unit</x:v>
      </x:c>
      <x:c r="K1774" t="str">
        <x:v>In stock</x:v>
      </x:c>
      <x:c r="L1774" t="str">
        <x:v>2026-09-08</x:v>
      </x:c>
      <x:c r="M1774" t="str"/>
      <x:c r="N1774" t="str"/>
      <x:c r="O1774" t="str">
        <x:v>https://www.activesportstrade.co.uk/Whey-Protein-Supplements-Trade</x:v>
      </x:c>
      <x:c r="P1774" t="str">
        <x:v>Fresh general whey page used; older Strom-specific whey page had Custard Cream out of stock.</x:v>
      </x:c>
      <x:c r="Q1774" t="str"/>
      <x:c r="R1774" t="str"/>
      <x:c r="S1774" t="str">
        <x:v>Pending genuine supplier/brand image</x:v>
      </x:c>
      <x:c r="T1774" s="54" t="n">
        <x:v>29.89</x:v>
      </x:c>
      <x:c r="U1774" s="47" t="n">
        <x:v>0.2</x:v>
      </x:c>
      <x:c r="V1774" s="54" t="n">
        <x:f>IF(ISNUMBER(T1774),T1774*(1+U1774),"")</x:f>
        <x:v>35.868</x:v>
      </x:c>
      <x:c r="W1774" s="47" t="n">
        <x:v>0.3</x:v>
      </x:c>
      <x:c r="X1774" s="54" t="n">
        <x:f>IF(ISNUMBER(V1774),V1774/(1-W1774),"")</x:f>
        <x:v>51.24000000000001</x:v>
      </x:c>
      <x:c r="Y1774" s="55" t="n">
        <x:f>IF(ISNUMBER(X1774),ROUNDUP(X1774,0),"")</x:f>
        <x:v>52</x:v>
      </x:c>
      <x:c r="Z1774" t="str">
        <x:v>Source match pending</x:v>
      </x:c>
      <x:c r="AA1774" t="str">
        <x:v>screencapture-www-activesportstrade-co-uk-strom-sports-nutrition-trade-2026-09-10-09_08_39.pdf / page-6</x:v>
      </x:c>
      <x:c r="AB1774" s="36" t="n">
        <x:f>IF(ISNUMBER(Y1774),ROUND(Y1774*0.9,2),"")</x:f>
        <x:v>46.8</x:v>
      </x:c>
      <x:c r="AC1774" s="36" t="n">
        <x:f>IF(ISNUMBER(AB1774),ROUND(AB1774-(AB1774*0.015+0.2)-V1774,2),"")</x:f>
        <x:v>10.03</x:v>
      </x:c>
      <x:c r="AD1774" s="36" t="n">
        <x:f>IF(ISNUMBER(Y1774),ROUND(Y1774*0.8,2),"")</x:f>
        <x:v>41.6</x:v>
      </x:c>
      <x:c r="AE1774" s="36" t="n">
        <x:f>IF(ISNUMBER(AD1774),ROUND(AD1774*0.015+0.2,2),"")</x:f>
        <x:v>0.82</x:v>
      </x:c>
      <x:c r="AF1774" s="36" t="n">
        <x:f>IF(ISNUMBER(AD1774),ROUND(AD1774-AE1774-V1774,2),"")</x:f>
        <x:v>4.91</x:v>
      </x:c>
      <x:c r="AG1774" t="str">
        <x:f>IF(NOT(ISNUMBER(T1774)),"PENDING",IF(AF1774&gt;0,"PASS","FAIL"))</x:f>
        <x:v>PASS</x:v>
      </x:c>
      <x:c r="AH1774" t="str">
        <x:f>IF(NOT(ISNUMBER(T1774)),"Needs supplier cost",IF(K1774&lt;&gt;"In stock","Supplier unavailable",IF(AG1774&lt;&gt;"PASS","BLOCK - GT loss risk","Commercially protected")))</x:f>
        <x:v>Commercially protected</x:v>
      </x:c>
      <x:c r="AI1774" t="str">
        <x:v>2026-09-10 Active Sports trade capture</x:v>
      </x:c>
      <x:c r="AJ1774" t="str">
        <x:v>Management-only economics. Stripe stress test uses 1.5% + £0.20 standard UK online-card fee; pallet/mix-and-match pricing ignored.</x:v>
      </x:c>
    </x:row>
    <x:row r="1775">
      <x:c r="A1775" t="str">
        <x:v>Active Sports Nutrition</x:v>
      </x:c>
      <x:c r="B1775" t="str">
        <x:v>Strom Sports Nutrition</x:v>
      </x:c>
      <x:c r="C1775" t="str">
        <x:v>VelosiWHEY</x:v>
      </x:c>
      <x:c r="D1775" t="str">
        <x:v>Supplements</x:v>
      </x:c>
      <x:c r="E1775" t="str">
        <x:v>Whey Protein</x:v>
      </x:c>
      <x:c r="F1775" t="str"/>
      <x:c r="G1775" t="str">
        <x:v>1.2kg</x:v>
      </x:c>
      <x:c r="H1775" t="str">
        <x:v>Custard Cream</x:v>
      </x:c>
      <x:c r="I1775" t="str"/>
      <x:c r="J1775" t="str">
        <x:v>Unit</x:v>
      </x:c>
      <x:c r="K1775" t="str">
        <x:v>In stock</x:v>
      </x:c>
      <x:c r="L1775" t="str">
        <x:v>2026-09-08</x:v>
      </x:c>
      <x:c r="M1775" t="str"/>
      <x:c r="N1775" t="str"/>
      <x:c r="O1775" t="str">
        <x:v>https://www.activesportstrade.co.uk/Whey-Protein-Supplements-Trade</x:v>
      </x:c>
      <x:c r="P1775" t="str">
        <x:v>Fresh general whey page used; older Strom-specific whey page had Custard Cream out of stock.</x:v>
      </x:c>
      <x:c r="Q1775" t="str"/>
      <x:c r="R1775" t="str"/>
      <x:c r="S1775" t="str">
        <x:v>Pending genuine supplier/brand image</x:v>
      </x:c>
      <x:c r="T1775" s="54" t="n">
        <x:v>29.89</x:v>
      </x:c>
      <x:c r="U1775" s="47" t="n">
        <x:v>0.2</x:v>
      </x:c>
      <x:c r="V1775" s="54" t="n">
        <x:f>IF(ISNUMBER(T1775),T1775*(1+U1775),"")</x:f>
        <x:v>35.868</x:v>
      </x:c>
      <x:c r="W1775" s="47" t="n">
        <x:v>0.3</x:v>
      </x:c>
      <x:c r="X1775" s="54" t="n">
        <x:f>IF(ISNUMBER(V1775),V1775/(1-W1775),"")</x:f>
        <x:v>51.24000000000001</x:v>
      </x:c>
      <x:c r="Y1775" s="55" t="n">
        <x:f>IF(ISNUMBER(X1775),ROUNDUP(X1775,0),"")</x:f>
        <x:v>52</x:v>
      </x:c>
      <x:c r="Z1775" t="str">
        <x:v>Source match pending</x:v>
      </x:c>
      <x:c r="AA1775" t="str">
        <x:v>screencapture-www-activesportstrade-co-uk-strom-sports-nutrition-trade-2026-09-10-09_08_39.pdf / page-6</x:v>
      </x:c>
      <x:c r="AB1775" s="36" t="n">
        <x:f>IF(ISNUMBER(Y1775),ROUND(Y1775*0.9,2),"")</x:f>
        <x:v>46.8</x:v>
      </x:c>
      <x:c r="AC1775" s="36" t="n">
        <x:f>IF(ISNUMBER(AB1775),ROUND(AB1775-(AB1775*0.015+0.2)-V1775,2),"")</x:f>
        <x:v>10.03</x:v>
      </x:c>
      <x:c r="AD1775" s="36" t="n">
        <x:f>IF(ISNUMBER(Y1775),ROUND(Y1775*0.8,2),"")</x:f>
        <x:v>41.6</x:v>
      </x:c>
      <x:c r="AE1775" s="36" t="n">
        <x:f>IF(ISNUMBER(AD1775),ROUND(AD1775*0.015+0.2,2),"")</x:f>
        <x:v>0.82</x:v>
      </x:c>
      <x:c r="AF1775" s="36" t="n">
        <x:f>IF(ISNUMBER(AD1775),ROUND(AD1775-AE1775-V1775,2),"")</x:f>
        <x:v>4.91</x:v>
      </x:c>
      <x:c r="AG1775" t="str">
        <x:f>IF(NOT(ISNUMBER(T1775)),"PENDING",IF(AF1775&gt;0,"PASS","FAIL"))</x:f>
        <x:v>PASS</x:v>
      </x:c>
      <x:c r="AH1775" t="str">
        <x:f>IF(NOT(ISNUMBER(T1775)),"Needs supplier cost",IF(K1775&lt;&gt;"In stock","Supplier unavailable",IF(AG1775&lt;&gt;"PASS","BLOCK - GT loss risk","Commercially protected")))</x:f>
        <x:v>Commercially protected</x:v>
      </x:c>
      <x:c r="AI1775" t="str">
        <x:v>2026-09-10 Active Sports trade capture</x:v>
      </x:c>
      <x:c r="AJ1775" t="str">
        <x:v>Management-only economics. Stripe stress test uses 1.5% + £0.20 standard UK online-card fee; pallet/mix-and-match pricing ignored.</x:v>
      </x:c>
    </x:row>
    <x:row r="1776">
      <x:c r="A1776" t="str">
        <x:v>Active Sports Nutrition</x:v>
      </x:c>
      <x:c r="B1776" t="str">
        <x:v>Strom Sports Nutrition</x:v>
      </x:c>
      <x:c r="C1776" t="str">
        <x:v>VelosiWHEY</x:v>
      </x:c>
      <x:c r="D1776" t="str">
        <x:v>Supplements</x:v>
      </x:c>
      <x:c r="E1776" t="str">
        <x:v>Whey Protein</x:v>
      </x:c>
      <x:c r="F1776" t="str"/>
      <x:c r="G1776" t="str">
        <x:v>1.2kg</x:v>
      </x:c>
      <x:c r="H1776" t="str">
        <x:v>Raspberry Ripple</x:v>
      </x:c>
      <x:c r="I1776" t="str"/>
      <x:c r="J1776" t="str">
        <x:v>Unit</x:v>
      </x:c>
      <x:c r="K1776" t="str">
        <x:v>Out of stock</x:v>
      </x:c>
      <x:c r="L1776" t="str">
        <x:v>2026-09-08</x:v>
      </x:c>
      <x:c r="M1776" t="str"/>
      <x:c r="N1776" t="str"/>
      <x:c r="O1776" t="str">
        <x:v>https://www.activesportstrade.co.uk/Whey-Protein-Supplements-Trade</x:v>
      </x:c>
      <x:c r="P1776" t="str">
        <x:v>Fresh general whey page used; older Strom-specific whey page had Custard Cream out of stock.</x:v>
      </x:c>
      <x:c r="Q1776" t="str"/>
      <x:c r="R1776" t="str"/>
      <x:c r="S1776" t="str">
        <x:v>Pending genuine supplier/brand image</x:v>
      </x:c>
      <x:c r="T1776" s="54" t="n">
        <x:v>29.89</x:v>
      </x:c>
      <x:c r="U1776" s="47" t="n">
        <x:v>0.2</x:v>
      </x:c>
      <x:c r="V1776" s="54" t="n">
        <x:f>IF(ISNUMBER(T1776),T1776*(1+U1776),"")</x:f>
        <x:v>35.868</x:v>
      </x:c>
      <x:c r="W1776" s="47" t="n">
        <x:v>0.3</x:v>
      </x:c>
      <x:c r="X1776" s="54" t="n">
        <x:f>IF(ISNUMBER(V1776),V1776/(1-W1776),"")</x:f>
        <x:v>51.24000000000001</x:v>
      </x:c>
      <x:c r="Y1776" s="55" t="n">
        <x:f>IF(ISNUMBER(X1776),ROUNDUP(X1776,0),"")</x:f>
        <x:v>52</x:v>
      </x:c>
      <x:c r="Z1776" t="str">
        <x:v>Source match pending</x:v>
      </x:c>
      <x:c r="AA1776" t="str">
        <x:v>screencapture-www-activesportstrade-co-uk-strom-sports-nutrition-trade-2026-09-10-09_08_39.pdf / page-6</x:v>
      </x:c>
      <x:c r="AB1776" s="36" t="n">
        <x:f>IF(ISNUMBER(Y1776),ROUND(Y1776*0.9,2),"")</x:f>
        <x:v>46.8</x:v>
      </x:c>
      <x:c r="AC1776" s="36" t="n">
        <x:f>IF(ISNUMBER(AB1776),ROUND(AB1776-(AB1776*0.015+0.2)-V1776,2),"")</x:f>
        <x:v>10.03</x:v>
      </x:c>
      <x:c r="AD1776" s="36" t="n">
        <x:f>IF(ISNUMBER(Y1776),ROUND(Y1776*0.8,2),"")</x:f>
        <x:v>41.6</x:v>
      </x:c>
      <x:c r="AE1776" s="36" t="n">
        <x:f>IF(ISNUMBER(AD1776),ROUND(AD1776*0.015+0.2,2),"")</x:f>
        <x:v>0.82</x:v>
      </x:c>
      <x:c r="AF1776" s="36" t="n">
        <x:f>IF(ISNUMBER(AD1776),ROUND(AD1776-AE1776-V1776,2),"")</x:f>
        <x:v>4.91</x:v>
      </x:c>
      <x:c r="AG1776" t="str">
        <x:f>IF(NOT(ISNUMBER(T1776)),"PENDING",IF(AF1776&gt;0,"PASS","FAIL"))</x:f>
        <x:v>PASS</x:v>
      </x:c>
      <x:c r="AH1776" t="str">
        <x:f>IF(NOT(ISNUMBER(T1776)),"Needs supplier cost",IF(K1776&lt;&gt;"In stock","Supplier unavailable",IF(AG1776&lt;&gt;"PASS","BLOCK - GT loss risk","Commercially protected")))</x:f>
        <x:v>Supplier unavailable</x:v>
      </x:c>
      <x:c r="AI1776" t="str">
        <x:v>2026-09-10 Active Sports trade capture</x:v>
      </x:c>
      <x:c r="AJ1776" t="str">
        <x:v>Management-only economics. Stripe stress test uses 1.5% + £0.20 standard UK online-card fee; pallet/mix-and-match pricing ignored.</x:v>
      </x:c>
    </x:row>
    <x:row r="1777">
      <x:c r="A1777" t="str">
        <x:v>Active Sports Nutrition</x:v>
      </x:c>
      <x:c r="B1777" t="str">
        <x:v>Strom Sports Nutrition</x:v>
      </x:c>
      <x:c r="C1777" t="str">
        <x:v>VelosiWHEY</x:v>
      </x:c>
      <x:c r="D1777" t="str">
        <x:v>Supplements</x:v>
      </x:c>
      <x:c r="E1777" t="str">
        <x:v>Whey Protein</x:v>
      </x:c>
      <x:c r="F1777" t="str"/>
      <x:c r="G1777" t="str">
        <x:v>1.2kg</x:v>
      </x:c>
      <x:c r="H1777" t="str">
        <x:v>White Chocolate Caramel</x:v>
      </x:c>
      <x:c r="I1777" t="str"/>
      <x:c r="J1777" t="str">
        <x:v>Unit</x:v>
      </x:c>
      <x:c r="K1777" t="str">
        <x:v>In stock</x:v>
      </x:c>
      <x:c r="L1777" t="str">
        <x:v>2026-09-08</x:v>
      </x:c>
      <x:c r="M1777" t="str"/>
      <x:c r="N1777" t="str"/>
      <x:c r="O1777" t="str">
        <x:v>https://www.activesportstrade.co.uk/Whey-Protein-Supplements-Trade</x:v>
      </x:c>
      <x:c r="P1777" t="str">
        <x:v>Fresh general whey page used; older Strom-specific whey page had Custard Cream out of stock.</x:v>
      </x:c>
      <x:c r="Q1777" t="str"/>
      <x:c r="R1777" t="str"/>
      <x:c r="S1777" t="str">
        <x:v>Pending genuine supplier/brand image</x:v>
      </x:c>
      <x:c r="T1777" s="54" t="n">
        <x:v>29.89</x:v>
      </x:c>
      <x:c r="U1777" s="47" t="n">
        <x:v>0.2</x:v>
      </x:c>
      <x:c r="V1777" s="54" t="n">
        <x:f>IF(ISNUMBER(T1777),T1777*(1+U1777),"")</x:f>
        <x:v>35.868</x:v>
      </x:c>
      <x:c r="W1777" s="47" t="n">
        <x:v>0.3</x:v>
      </x:c>
      <x:c r="X1777" s="54" t="n">
        <x:f>IF(ISNUMBER(V1777),V1777/(1-W1777),"")</x:f>
        <x:v>51.24000000000001</x:v>
      </x:c>
      <x:c r="Y1777" s="55" t="n">
        <x:f>IF(ISNUMBER(X1777),ROUNDUP(X1777,0),"")</x:f>
        <x:v>52</x:v>
      </x:c>
      <x:c r="Z1777" t="str">
        <x:v>Source match pending</x:v>
      </x:c>
      <x:c r="AA1777" t="str">
        <x:v>screencapture-www-activesportstrade-co-uk-strom-sports-nutrition-trade-2026-09-10-09_08_39.pdf / page-6</x:v>
      </x:c>
      <x:c r="AB1777" s="36" t="n">
        <x:f>IF(ISNUMBER(Y1777),ROUND(Y1777*0.9,2),"")</x:f>
        <x:v>46.8</x:v>
      </x:c>
      <x:c r="AC1777" s="36" t="n">
        <x:f>IF(ISNUMBER(AB1777),ROUND(AB1777-(AB1777*0.015+0.2)-V1777,2),"")</x:f>
        <x:v>10.03</x:v>
      </x:c>
      <x:c r="AD1777" s="36" t="n">
        <x:f>IF(ISNUMBER(Y1777),ROUND(Y1777*0.8,2),"")</x:f>
        <x:v>41.6</x:v>
      </x:c>
      <x:c r="AE1777" s="36" t="n">
        <x:f>IF(ISNUMBER(AD1777),ROUND(AD1777*0.015+0.2,2),"")</x:f>
        <x:v>0.82</x:v>
      </x:c>
      <x:c r="AF1777" s="36" t="n">
        <x:f>IF(ISNUMBER(AD1777),ROUND(AD1777-AE1777-V1777,2),"")</x:f>
        <x:v>4.91</x:v>
      </x:c>
      <x:c r="AG1777" t="str">
        <x:f>IF(NOT(ISNUMBER(T1777)),"PENDING",IF(AF1777&gt;0,"PASS","FAIL"))</x:f>
        <x:v>PASS</x:v>
      </x:c>
      <x:c r="AH1777" t="str">
        <x:f>IF(NOT(ISNUMBER(T1777)),"Needs supplier cost",IF(K1777&lt;&gt;"In stock","Supplier unavailable",IF(AG1777&lt;&gt;"PASS","BLOCK - GT loss risk","Commercially protected")))</x:f>
        <x:v>Commercially protected</x:v>
      </x:c>
      <x:c r="AI1777" t="str">
        <x:v>2026-09-10 Active Sports trade capture</x:v>
      </x:c>
      <x:c r="AJ1777" t="str">
        <x:v>Management-only economics. Stripe stress test uses 1.5% + £0.20 standard UK online-card fee; pallet/mix-and-match pricing ignored.</x:v>
      </x:c>
    </x:row>
    <x:row r="1778">
      <x:c r="A1778" t="str">
        <x:v>Active Sports Nutrition</x:v>
      </x:c>
      <x:c r="B1778" t="str">
        <x:v>Strom Sports Nutrition</x:v>
      </x:c>
      <x:c r="C1778" t="str">
        <x:v>FocusMAX Cans</x:v>
      </x:c>
      <x:c r="D1778" t="str">
        <x:v>Drinks and Bars</x:v>
      </x:c>
      <x:c r="E1778" t="str">
        <x:v>Ready to Drink Energy</x:v>
      </x:c>
      <x:c r="F1778" t="str"/>
      <x:c r="G1778" t="str">
        <x:v>12 x 330ml cans</x:v>
      </x:c>
      <x:c r="H1778" t="str">
        <x:v>Citrus Burst</x:v>
      </x:c>
      <x:c r="I1778" t="str">
        <x:v>12</x:v>
      </x:c>
      <x:c r="J1778" t="str">
        <x:v>Case</x:v>
      </x:c>
      <x:c r="K1778" t="str">
        <x:v>In stock</x:v>
      </x:c>
      <x:c r="L1778" t="str">
        <x:v>2026-09-08</x:v>
      </x:c>
      <x:c r="M1778" t="str"/>
      <x:c r="N1778" t="str"/>
      <x:c r="O1778" t="str">
        <x:v>https://www.activesportstrade.co.uk/ready-to-drink-pre-workout-trade</x:v>
      </x:c>
      <x:c r="P1778" t="str">
        <x:v>Case-only member order.</x:v>
      </x:c>
      <x:c r="Q1778" t="str"/>
      <x:c r="R1778" t="str"/>
      <x:c r="S1778" t="str">
        <x:v>Pending genuine supplier/brand image</x:v>
      </x:c>
      <x:c r="T1778" s="54" t="n">
        <x:v>18.99</x:v>
      </x:c>
      <x:c r="U1778" s="47" t="n">
        <x:v>0.2</x:v>
      </x:c>
      <x:c r="V1778" s="54" t="n">
        <x:f>IF(ISNUMBER(T1778),T1778*(1+U1778),"")</x:f>
        <x:v>22.787999999999997</x:v>
      </x:c>
      <x:c r="W1778" s="47" t="n">
        <x:v>0.3</x:v>
      </x:c>
      <x:c r="X1778" s="54" t="n">
        <x:f>IF(ISNUMBER(V1778),V1778/(1-W1778),"")</x:f>
        <x:v>32.55428571428571</x:v>
      </x:c>
      <x:c r="Y1778" s="55" t="n">
        <x:f>IF(ISNUMBER(X1778),ROUNDUP(X1778,0),"")</x:f>
        <x:v>33</x:v>
      </x:c>
      <x:c r="Z1778" t="str">
        <x:v>Source match pending</x:v>
      </x:c>
      <x:c r="AA1778" t="str">
        <x:v>screencapture-www-activesportstrade-co-uk-strom-sports-nutrition-trade-2026-09-10-09_08_39.pdf / page-2</x:v>
      </x:c>
      <x:c r="AB1778" s="36" t="n">
        <x:f>IF(ISNUMBER(Y1778),ROUND(Y1778*0.9,2),"")</x:f>
        <x:v>29.7</x:v>
      </x:c>
      <x:c r="AC1778" s="36" t="n">
        <x:f>IF(ISNUMBER(AB1778),ROUND(AB1778-(AB1778*0.015+0.2)-V1778,2),"")</x:f>
        <x:v>6.27</x:v>
      </x:c>
      <x:c r="AD1778" s="36" t="n">
        <x:f>IF(ISNUMBER(Y1778),ROUND(Y1778*0.8,2),"")</x:f>
        <x:v>26.4</x:v>
      </x:c>
      <x:c r="AE1778" s="36" t="n">
        <x:f>IF(ISNUMBER(AD1778),ROUND(AD1778*0.015+0.2,2),"")</x:f>
        <x:v>0.6</x:v>
      </x:c>
      <x:c r="AF1778" s="36" t="n">
        <x:f>IF(ISNUMBER(AD1778),ROUND(AD1778-AE1778-V1778,2),"")</x:f>
        <x:v>3.01</x:v>
      </x:c>
      <x:c r="AG1778" t="str">
        <x:f>IF(NOT(ISNUMBER(T1778)),"PENDING",IF(AF1778&gt;0,"PASS","FAIL"))</x:f>
        <x:v>PASS</x:v>
      </x:c>
      <x:c r="AH1778" t="str">
        <x:f>IF(NOT(ISNUMBER(T1778)),"Needs supplier cost",IF(K1778&lt;&gt;"In stock","Supplier unavailable",IF(AG1778&lt;&gt;"PASS","BLOCK - GT loss risk","Commercially protected")))</x:f>
        <x:v>Commercially protected</x:v>
      </x:c>
      <x:c r="AI1778" t="str">
        <x:v>2026-09-10 Active Sports trade capture</x:v>
      </x:c>
      <x:c r="AJ1778" t="str">
        <x:v>Management-only economics. Stripe stress test uses 1.5% + £0.20 standard UK online-card fee; pallet/mix-and-match pricing ignored.</x:v>
      </x:c>
    </x:row>
    <x:row r="1779">
      <x:c r="A1779" t="str">
        <x:v>Active Sports Nutrition</x:v>
      </x:c>
      <x:c r="B1779" t="str">
        <x:v>Strom Sports Nutrition</x:v>
      </x:c>
      <x:c r="C1779" t="str">
        <x:v>FocusMAX Cans</x:v>
      </x:c>
      <x:c r="D1779" t="str">
        <x:v>Drinks and Bars</x:v>
      </x:c>
      <x:c r="E1779" t="str">
        <x:v>Ready to Drink Energy</x:v>
      </x:c>
      <x:c r="F1779" t="str"/>
      <x:c r="G1779" t="str">
        <x:v>12 x 330ml cans</x:v>
      </x:c>
      <x:c r="H1779" t="str">
        <x:v>Pineapple Coconut</x:v>
      </x:c>
      <x:c r="I1779" t="str">
        <x:v>12</x:v>
      </x:c>
      <x:c r="J1779" t="str">
        <x:v>Case</x:v>
      </x:c>
      <x:c r="K1779" t="str">
        <x:v>In stock</x:v>
      </x:c>
      <x:c r="L1779" t="str">
        <x:v>2026-09-08</x:v>
      </x:c>
      <x:c r="M1779" t="str"/>
      <x:c r="N1779" t="str"/>
      <x:c r="O1779" t="str">
        <x:v>https://www.activesportstrade.co.uk/ready-to-drink-pre-workout-trade</x:v>
      </x:c>
      <x:c r="P1779" t="str">
        <x:v>Case-only member order.</x:v>
      </x:c>
      <x:c r="Q1779" t="str"/>
      <x:c r="R1779" t="str"/>
      <x:c r="S1779" t="str">
        <x:v>Pending genuine supplier/brand image</x:v>
      </x:c>
      <x:c r="T1779" s="54" t="n">
        <x:v>18.99</x:v>
      </x:c>
      <x:c r="U1779" s="47" t="n">
        <x:v>0.2</x:v>
      </x:c>
      <x:c r="V1779" s="54" t="n">
        <x:f>IF(ISNUMBER(T1779),T1779*(1+U1779),"")</x:f>
        <x:v>22.787999999999997</x:v>
      </x:c>
      <x:c r="W1779" s="47" t="n">
        <x:v>0.3</x:v>
      </x:c>
      <x:c r="X1779" s="54" t="n">
        <x:f>IF(ISNUMBER(V1779),V1779/(1-W1779),"")</x:f>
        <x:v>32.55428571428571</x:v>
      </x:c>
      <x:c r="Y1779" s="55" t="n">
        <x:f>IF(ISNUMBER(X1779),ROUNDUP(X1779,0),"")</x:f>
        <x:v>33</x:v>
      </x:c>
      <x:c r="Z1779" t="str">
        <x:v>Source match pending</x:v>
      </x:c>
      <x:c r="AA1779" t="str">
        <x:v>screencapture-www-activesportstrade-co-uk-strom-sports-nutrition-trade-2026-09-10-09_08_39.pdf / page-2</x:v>
      </x:c>
      <x:c r="AB1779" s="36" t="n">
        <x:f>IF(ISNUMBER(Y1779),ROUND(Y1779*0.9,2),"")</x:f>
        <x:v>29.7</x:v>
      </x:c>
      <x:c r="AC1779" s="36" t="n">
        <x:f>IF(ISNUMBER(AB1779),ROUND(AB1779-(AB1779*0.015+0.2)-V1779,2),"")</x:f>
        <x:v>6.27</x:v>
      </x:c>
      <x:c r="AD1779" s="36" t="n">
        <x:f>IF(ISNUMBER(Y1779),ROUND(Y1779*0.8,2),"")</x:f>
        <x:v>26.4</x:v>
      </x:c>
      <x:c r="AE1779" s="36" t="n">
        <x:f>IF(ISNUMBER(AD1779),ROUND(AD1779*0.015+0.2,2),"")</x:f>
        <x:v>0.6</x:v>
      </x:c>
      <x:c r="AF1779" s="36" t="n">
        <x:f>IF(ISNUMBER(AD1779),ROUND(AD1779-AE1779-V1779,2),"")</x:f>
        <x:v>3.01</x:v>
      </x:c>
      <x:c r="AG1779" t="str">
        <x:f>IF(NOT(ISNUMBER(T1779)),"PENDING",IF(AF1779&gt;0,"PASS","FAIL"))</x:f>
        <x:v>PASS</x:v>
      </x:c>
      <x:c r="AH1779" t="str">
        <x:f>IF(NOT(ISNUMBER(T1779)),"Needs supplier cost",IF(K1779&lt;&gt;"In stock","Supplier unavailable",IF(AG1779&lt;&gt;"PASS","BLOCK - GT loss risk","Commercially protected")))</x:f>
        <x:v>Commercially protected</x:v>
      </x:c>
      <x:c r="AI1779" t="str">
        <x:v>2026-09-10 Active Sports trade capture</x:v>
      </x:c>
      <x:c r="AJ1779" t="str">
        <x:v>Management-only economics. Stripe stress test uses 1.5% + £0.20 standard UK online-card fee; pallet/mix-and-match pricing ignored.</x:v>
      </x:c>
    </x:row>
    <x:row r="1780">
      <x:c r="A1780" t="str">
        <x:v>Active Sports Nutrition</x:v>
      </x:c>
      <x:c r="B1780" t="str">
        <x:v>Strom Sports Nutrition</x:v>
      </x:c>
      <x:c r="C1780" t="str">
        <x:v>FocusMAX Cans</x:v>
      </x:c>
      <x:c r="D1780" t="str">
        <x:v>Drinks and Bars</x:v>
      </x:c>
      <x:c r="E1780" t="str">
        <x:v>Ready to Drink Energy</x:v>
      </x:c>
      <x:c r="F1780" t="str"/>
      <x:c r="G1780" t="str">
        <x:v>12 x 330ml cans</x:v>
      </x:c>
      <x:c r="H1780" t="str">
        <x:v>Unicorn Pi55</x:v>
      </x:c>
      <x:c r="I1780" t="str">
        <x:v>12</x:v>
      </x:c>
      <x:c r="J1780" t="str">
        <x:v>Case</x:v>
      </x:c>
      <x:c r="K1780" t="str">
        <x:v>In stock</x:v>
      </x:c>
      <x:c r="L1780" t="str">
        <x:v>2026-09-08</x:v>
      </x:c>
      <x:c r="M1780" t="str"/>
      <x:c r="N1780" t="str"/>
      <x:c r="O1780" t="str">
        <x:v>https://www.activesportstrade.co.uk/ready-to-drink-pre-workout-trade</x:v>
      </x:c>
      <x:c r="P1780" t="str">
        <x:v>Case-only member order.</x:v>
      </x:c>
      <x:c r="Q1780" t="str"/>
      <x:c r="R1780" t="str"/>
      <x:c r="S1780" t="str">
        <x:v>Pending genuine supplier/brand image</x:v>
      </x:c>
      <x:c r="T1780" s="54" t="n">
        <x:v>18.99</x:v>
      </x:c>
      <x:c r="U1780" s="47" t="n">
        <x:v>0.2</x:v>
      </x:c>
      <x:c r="V1780" s="54" t="n">
        <x:f>IF(ISNUMBER(T1780),T1780*(1+U1780),"")</x:f>
        <x:v>22.787999999999997</x:v>
      </x:c>
      <x:c r="W1780" s="47" t="n">
        <x:v>0.3</x:v>
      </x:c>
      <x:c r="X1780" s="54" t="n">
        <x:f>IF(ISNUMBER(V1780),V1780/(1-W1780),"")</x:f>
        <x:v>32.55428571428571</x:v>
      </x:c>
      <x:c r="Y1780" s="55" t="n">
        <x:f>IF(ISNUMBER(X1780),ROUNDUP(X1780,0),"")</x:f>
        <x:v>33</x:v>
      </x:c>
      <x:c r="Z1780" t="str">
        <x:v>Source match pending</x:v>
      </x:c>
      <x:c r="AA1780" t="str">
        <x:v>screencapture-www-activesportstrade-co-uk-strom-sports-nutrition-trade-2026-09-10-09_08_39.pdf / page-2</x:v>
      </x:c>
      <x:c r="AB1780" s="36" t="n">
        <x:f>IF(ISNUMBER(Y1780),ROUND(Y1780*0.9,2),"")</x:f>
        <x:v>29.7</x:v>
      </x:c>
      <x:c r="AC1780" s="36" t="n">
        <x:f>IF(ISNUMBER(AB1780),ROUND(AB1780-(AB1780*0.015+0.2)-V1780,2),"")</x:f>
        <x:v>6.27</x:v>
      </x:c>
      <x:c r="AD1780" s="36" t="n">
        <x:f>IF(ISNUMBER(Y1780),ROUND(Y1780*0.8,2),"")</x:f>
        <x:v>26.4</x:v>
      </x:c>
      <x:c r="AE1780" s="36" t="n">
        <x:f>IF(ISNUMBER(AD1780),ROUND(AD1780*0.015+0.2,2),"")</x:f>
        <x:v>0.6</x:v>
      </x:c>
      <x:c r="AF1780" s="36" t="n">
        <x:f>IF(ISNUMBER(AD1780),ROUND(AD1780-AE1780-V1780,2),"")</x:f>
        <x:v>3.01</x:v>
      </x:c>
      <x:c r="AG1780" t="str">
        <x:f>IF(NOT(ISNUMBER(T1780)),"PENDING",IF(AF1780&gt;0,"PASS","FAIL"))</x:f>
        <x:v>PASS</x:v>
      </x:c>
      <x:c r="AH1780" t="str">
        <x:f>IF(NOT(ISNUMBER(T1780)),"Needs supplier cost",IF(K1780&lt;&gt;"In stock","Supplier unavailable",IF(AG1780&lt;&gt;"PASS","BLOCK - GT loss risk","Commercially protected")))</x:f>
        <x:v>Commercially protected</x:v>
      </x:c>
      <x:c r="AI1780" t="str">
        <x:v>2026-09-10 Active Sports trade capture</x:v>
      </x:c>
      <x:c r="AJ1780" t="str">
        <x:v>Management-only economics. Stripe stress test uses 1.5% + £0.20 standard UK online-card fee; pallet/mix-and-match pricing ignored.</x:v>
      </x:c>
    </x:row>
    <x:row r="1781">
      <x:c r="A1781" t="str">
        <x:v>Active Sports Nutrition</x:v>
      </x:c>
      <x:c r="B1781" t="str">
        <x:v>Strom Sports Nutrition</x:v>
      </x:c>
      <x:c r="C1781" t="str">
        <x:v>StimuMAX Black Edition</x:v>
      </x:c>
      <x:c r="D1781" t="str">
        <x:v>Pre Workouts</x:v>
      </x:c>
      <x:c r="E1781" t="str">
        <x:v>High Stim</x:v>
      </x:c>
      <x:c r="F1781" t="str"/>
      <x:c r="G1781" t="str">
        <x:v>30 servings</x:v>
      </x:c>
      <x:c r="H1781" t="str">
        <x:v>Grap3d</x:v>
      </x:c>
      <x:c r="I1781" t="str"/>
      <x:c r="J1781" t="str">
        <x:v>Unit</x:v>
      </x:c>
      <x:c r="K1781" t="str">
        <x:v>In stock</x:v>
      </x:c>
      <x:c r="L1781" t="str">
        <x:v>2026-09-08</x:v>
      </x:c>
      <x:c r="M1781" t="str"/>
      <x:c r="N1781" t="str"/>
      <x:c r="O1781" t="str">
        <x:v>https://www.activesportstrade.co.uk/high-stim-pre-workouts/strom-sports-nutrition-trade</x:v>
      </x:c>
      <x:c r="P1781" t="str">
        <x:v>More recent high-stim page used where older pre-workout page disagreed on Green Apple.</x:v>
      </x:c>
      <x:c r="Q1781" t="str"/>
      <x:c r="R1781" t="str"/>
      <x:c r="S1781" t="str">
        <x:v>Pending genuine supplier/brand image</x:v>
      </x:c>
      <x:c r="T1781" s="54" t="n">
        <x:v>19.99</x:v>
      </x:c>
      <x:c r="U1781" s="47" t="n">
        <x:v>0.2</x:v>
      </x:c>
      <x:c r="V1781" s="54" t="n">
        <x:f>IF(ISNUMBER(T1781),T1781*(1+U1781),"")</x:f>
        <x:v>23.987999999999996</x:v>
      </x:c>
      <x:c r="W1781" s="47" t="n">
        <x:v>0.3</x:v>
      </x:c>
      <x:c r="X1781" s="54" t="n">
        <x:f>IF(ISNUMBER(V1781),V1781/(1-W1781),"")</x:f>
        <x:v>34.26857142857143</x:v>
      </x:c>
      <x:c r="Y1781" s="55" t="n">
        <x:f>IF(ISNUMBER(X1781),ROUNDUP(X1781,0),"")</x:f>
        <x:v>35</x:v>
      </x:c>
      <x:c r="Z1781" t="str">
        <x:v>Source match pending</x:v>
      </x:c>
      <x:c r="AA1781" t="str">
        <x:v>screencapture-www-activesportstrade-co-uk-strom-sports-nutrition-trade-2026-09-10-09_08_39.pdf / page-4</x:v>
      </x:c>
      <x:c r="AB1781" s="36" t="n">
        <x:f>IF(ISNUMBER(Y1781),ROUND(Y1781*0.9,2),"")</x:f>
        <x:v>31.5</x:v>
      </x:c>
      <x:c r="AC1781" s="36" t="n">
        <x:f>IF(ISNUMBER(AB1781),ROUND(AB1781-(AB1781*0.015+0.2)-V1781,2),"")</x:f>
        <x:v>6.84</x:v>
      </x:c>
      <x:c r="AD1781" s="36" t="n">
        <x:f>IF(ISNUMBER(Y1781),ROUND(Y1781*0.8,2),"")</x:f>
        <x:v>28</x:v>
      </x:c>
      <x:c r="AE1781" s="36" t="n">
        <x:f>IF(ISNUMBER(AD1781),ROUND(AD1781*0.015+0.2,2),"")</x:f>
        <x:v>0.62</x:v>
      </x:c>
      <x:c r="AF1781" s="36" t="n">
        <x:f>IF(ISNUMBER(AD1781),ROUND(AD1781-AE1781-V1781,2),"")</x:f>
        <x:v>3.39</x:v>
      </x:c>
      <x:c r="AG1781" t="str">
        <x:f>IF(NOT(ISNUMBER(T1781)),"PENDING",IF(AF1781&gt;0,"PASS","FAIL"))</x:f>
        <x:v>PASS</x:v>
      </x:c>
      <x:c r="AH1781" t="str">
        <x:f>IF(NOT(ISNUMBER(T1781)),"Needs supplier cost",IF(K1781&lt;&gt;"In stock","Supplier unavailable",IF(AG1781&lt;&gt;"PASS","BLOCK - GT loss risk","Commercially protected")))</x:f>
        <x:v>Commercially protected</x:v>
      </x:c>
      <x:c r="AI1781" t="str">
        <x:v>2026-09-10 Active Sports trade capture</x:v>
      </x:c>
      <x:c r="AJ1781" t="str">
        <x:v>Management-only economics. Stripe stress test uses 1.5% + £0.20 standard UK online-card fee; pallet/mix-and-match pricing ignored.</x:v>
      </x:c>
    </x:row>
    <x:row r="1782">
      <x:c r="A1782" t="str">
        <x:v>Active Sports Nutrition</x:v>
      </x:c>
      <x:c r="B1782" t="str">
        <x:v>Strom Sports Nutrition</x:v>
      </x:c>
      <x:c r="C1782" t="str">
        <x:v>StimuMAX Black Edition</x:v>
      </x:c>
      <x:c r="D1782" t="str">
        <x:v>Pre Workouts</x:v>
      </x:c>
      <x:c r="E1782" t="str">
        <x:v>High Stim</x:v>
      </x:c>
      <x:c r="F1782" t="str"/>
      <x:c r="G1782" t="str">
        <x:v>30 servings</x:v>
      </x:c>
      <x:c r="H1782" t="str">
        <x:v>Green Apple</x:v>
      </x:c>
      <x:c r="I1782" t="str"/>
      <x:c r="J1782" t="str">
        <x:v>Unit</x:v>
      </x:c>
      <x:c r="K1782" t="str">
        <x:v>Out of stock</x:v>
      </x:c>
      <x:c r="L1782" t="str">
        <x:v>2026-09-08</x:v>
      </x:c>
      <x:c r="M1782" t="str"/>
      <x:c r="N1782" t="str"/>
      <x:c r="O1782" t="str">
        <x:v>https://www.activesportstrade.co.uk/high-stim-pre-workouts/strom-sports-nutrition-trade</x:v>
      </x:c>
      <x:c r="P1782" t="str">
        <x:v>More recent high-stim page used where older pre-workout page disagreed on Green Apple.</x:v>
      </x:c>
      <x:c r="Q1782" t="str"/>
      <x:c r="R1782" t="str"/>
      <x:c r="S1782" t="str">
        <x:v>Pending genuine supplier/brand image</x:v>
      </x:c>
      <x:c r="T1782" s="54" t="n">
        <x:v>19.99</x:v>
      </x:c>
      <x:c r="U1782" s="47" t="n">
        <x:v>0.2</x:v>
      </x:c>
      <x:c r="V1782" s="54" t="n">
        <x:f>IF(ISNUMBER(T1782),T1782*(1+U1782),"")</x:f>
        <x:v>23.987999999999996</x:v>
      </x:c>
      <x:c r="W1782" s="47" t="n">
        <x:v>0.3</x:v>
      </x:c>
      <x:c r="X1782" s="54" t="n">
        <x:f>IF(ISNUMBER(V1782),V1782/(1-W1782),"")</x:f>
        <x:v>34.26857142857143</x:v>
      </x:c>
      <x:c r="Y1782" s="55" t="n">
        <x:f>IF(ISNUMBER(X1782),ROUNDUP(X1782,0),"")</x:f>
        <x:v>35</x:v>
      </x:c>
      <x:c r="Z1782" t="str">
        <x:v>Source match pending</x:v>
      </x:c>
      <x:c r="AA1782" t="str">
        <x:v>screencapture-www-activesportstrade-co-uk-strom-sports-nutrition-trade-2026-09-10-09_08_39.pdf / page-4</x:v>
      </x:c>
      <x:c r="AB1782" s="36" t="n">
        <x:f>IF(ISNUMBER(Y1782),ROUND(Y1782*0.9,2),"")</x:f>
        <x:v>31.5</x:v>
      </x:c>
      <x:c r="AC1782" s="36" t="n">
        <x:f>IF(ISNUMBER(AB1782),ROUND(AB1782-(AB1782*0.015+0.2)-V1782,2),"")</x:f>
        <x:v>6.84</x:v>
      </x:c>
      <x:c r="AD1782" s="36" t="n">
        <x:f>IF(ISNUMBER(Y1782),ROUND(Y1782*0.8,2),"")</x:f>
        <x:v>28</x:v>
      </x:c>
      <x:c r="AE1782" s="36" t="n">
        <x:f>IF(ISNUMBER(AD1782),ROUND(AD1782*0.015+0.2,2),"")</x:f>
        <x:v>0.62</x:v>
      </x:c>
      <x:c r="AF1782" s="36" t="n">
        <x:f>IF(ISNUMBER(AD1782),ROUND(AD1782-AE1782-V1782,2),"")</x:f>
        <x:v>3.39</x:v>
      </x:c>
      <x:c r="AG1782" t="str">
        <x:f>IF(NOT(ISNUMBER(T1782)),"PENDING",IF(AF1782&gt;0,"PASS","FAIL"))</x:f>
        <x:v>PASS</x:v>
      </x:c>
      <x:c r="AH1782" t="str">
        <x:f>IF(NOT(ISNUMBER(T1782)),"Needs supplier cost",IF(K1782&lt;&gt;"In stock","Supplier unavailable",IF(AG1782&lt;&gt;"PASS","BLOCK - GT loss risk","Commercially protected")))</x:f>
        <x:v>Supplier unavailable</x:v>
      </x:c>
      <x:c r="AI1782" t="str">
        <x:v>2026-09-10 Active Sports trade capture</x:v>
      </x:c>
      <x:c r="AJ1782" t="str">
        <x:v>Management-only economics. Stripe stress test uses 1.5% + £0.20 standard UK online-card fee; pallet/mix-and-match pricing ignored.</x:v>
      </x:c>
    </x:row>
    <x:row r="1783">
      <x:c r="A1783" t="str">
        <x:v>Active Sports Nutrition</x:v>
      </x:c>
      <x:c r="B1783" t="str">
        <x:v>Strom Sports Nutrition</x:v>
      </x:c>
      <x:c r="C1783" t="str">
        <x:v>StimuMAX Black Edition</x:v>
      </x:c>
      <x:c r="D1783" t="str">
        <x:v>Pre Workouts</x:v>
      </x:c>
      <x:c r="E1783" t="str">
        <x:v>High Stim</x:v>
      </x:c>
      <x:c r="F1783" t="str"/>
      <x:c r="G1783" t="str">
        <x:v>30 servings</x:v>
      </x:c>
      <x:c r="H1783" t="str">
        <x:v>Lemon Pineapple</x:v>
      </x:c>
      <x:c r="I1783" t="str"/>
      <x:c r="J1783" t="str">
        <x:v>Unit</x:v>
      </x:c>
      <x:c r="K1783" t="str">
        <x:v>In stock</x:v>
      </x:c>
      <x:c r="L1783" t="str">
        <x:v>2026-09-08</x:v>
      </x:c>
      <x:c r="M1783" t="str"/>
      <x:c r="N1783" t="str"/>
      <x:c r="O1783" t="str">
        <x:v>https://www.activesportstrade.co.uk/high-stim-pre-workouts/strom-sports-nutrition-trade</x:v>
      </x:c>
      <x:c r="P1783" t="str">
        <x:v>More recent high-stim page used where older pre-workout page disagreed on Green Apple.</x:v>
      </x:c>
      <x:c r="Q1783" t="str"/>
      <x:c r="R1783" t="str"/>
      <x:c r="S1783" t="str">
        <x:v>Pending genuine supplier/brand image</x:v>
      </x:c>
      <x:c r="T1783" s="54" t="n">
        <x:v>19.99</x:v>
      </x:c>
      <x:c r="U1783" s="47" t="n">
        <x:v>0.2</x:v>
      </x:c>
      <x:c r="V1783" s="54" t="n">
        <x:f>IF(ISNUMBER(T1783),T1783*(1+U1783),"")</x:f>
        <x:v>23.987999999999996</x:v>
      </x:c>
      <x:c r="W1783" s="47" t="n">
        <x:v>0.3</x:v>
      </x:c>
      <x:c r="X1783" s="54" t="n">
        <x:f>IF(ISNUMBER(V1783),V1783/(1-W1783),"")</x:f>
        <x:v>34.26857142857143</x:v>
      </x:c>
      <x:c r="Y1783" s="55" t="n">
        <x:f>IF(ISNUMBER(X1783),ROUNDUP(X1783,0),"")</x:f>
        <x:v>35</x:v>
      </x:c>
      <x:c r="Z1783" t="str">
        <x:v>Source match pending</x:v>
      </x:c>
      <x:c r="AA1783" t="str">
        <x:v>screencapture-www-activesportstrade-co-uk-strom-sports-nutrition-trade-2026-09-10-09_08_39.pdf / page-4</x:v>
      </x:c>
      <x:c r="AB1783" s="36" t="n">
        <x:f>IF(ISNUMBER(Y1783),ROUND(Y1783*0.9,2),"")</x:f>
        <x:v>31.5</x:v>
      </x:c>
      <x:c r="AC1783" s="36" t="n">
        <x:f>IF(ISNUMBER(AB1783),ROUND(AB1783-(AB1783*0.015+0.2)-V1783,2),"")</x:f>
        <x:v>6.84</x:v>
      </x:c>
      <x:c r="AD1783" s="36" t="n">
        <x:f>IF(ISNUMBER(Y1783),ROUND(Y1783*0.8,2),"")</x:f>
        <x:v>28</x:v>
      </x:c>
      <x:c r="AE1783" s="36" t="n">
        <x:f>IF(ISNUMBER(AD1783),ROUND(AD1783*0.015+0.2,2),"")</x:f>
        <x:v>0.62</x:v>
      </x:c>
      <x:c r="AF1783" s="36" t="n">
        <x:f>IF(ISNUMBER(AD1783),ROUND(AD1783-AE1783-V1783,2),"")</x:f>
        <x:v>3.39</x:v>
      </x:c>
      <x:c r="AG1783" t="str">
        <x:f>IF(NOT(ISNUMBER(T1783)),"PENDING",IF(AF1783&gt;0,"PASS","FAIL"))</x:f>
        <x:v>PASS</x:v>
      </x:c>
      <x:c r="AH1783" t="str">
        <x:f>IF(NOT(ISNUMBER(T1783)),"Needs supplier cost",IF(K1783&lt;&gt;"In stock","Supplier unavailable",IF(AG1783&lt;&gt;"PASS","BLOCK - GT loss risk","Commercially protected")))</x:f>
        <x:v>Commercially protected</x:v>
      </x:c>
      <x:c r="AI1783" t="str">
        <x:v>2026-09-10 Active Sports trade capture</x:v>
      </x:c>
      <x:c r="AJ1783" t="str">
        <x:v>Management-only economics. Stripe stress test uses 1.5% + £0.20 standard UK online-card fee; pallet/mix-and-match pricing ignored.</x:v>
      </x:c>
    </x:row>
    <x:row r="1784">
      <x:c r="A1784" t="str">
        <x:v>Active Sports Nutrition</x:v>
      </x:c>
      <x:c r="B1784" t="str">
        <x:v>Strom Sports Nutrition</x:v>
      </x:c>
      <x:c r="C1784" t="str">
        <x:v>GlycoMAX</x:v>
      </x:c>
      <x:c r="D1784" t="str">
        <x:v>Supplements</x:v>
      </x:c>
      <x:c r="E1784" t="str">
        <x:v>Insulin Drivers</x:v>
      </x:c>
      <x:c r="F1784" t="str"/>
      <x:c r="G1784" t="str">
        <x:v>300 caps</x:v>
      </x:c>
      <x:c r="H1784" t="str">
        <x:v>Default</x:v>
      </x:c>
      <x:c r="I1784" t="str"/>
      <x:c r="J1784" t="str">
        <x:v>Unit</x:v>
      </x:c>
      <x:c r="K1784" t="str">
        <x:v>In stock</x:v>
      </x:c>
      <x:c r="L1784" t="str">
        <x:v>2026-09-08</x:v>
      </x:c>
      <x:c r="M1784" t="str"/>
      <x:c r="N1784" t="str"/>
      <x:c r="O1784" t="str">
        <x:v>https://www.activesportstrade.co.uk/testosterone-boosters-trade/strom-sports-nutrition-trade</x:v>
      </x:c>
      <x:c r="P1784" t="str"/>
      <x:c r="Q1784" t="str"/>
      <x:c r="R1784" t="str"/>
      <x:c r="S1784" t="str">
        <x:v>Pending genuine supplier/brand image</x:v>
      </x:c>
      <x:c r="T1784" s="54" t="n">
        <x:v>22.99</x:v>
      </x:c>
      <x:c r="U1784" s="47" t="n">
        <x:v>0.2</x:v>
      </x:c>
      <x:c r="V1784" s="54" t="n">
        <x:f>IF(ISNUMBER(T1784),T1784*(1+U1784),"")</x:f>
        <x:v>27.587999999999997</x:v>
      </x:c>
      <x:c r="W1784" s="47" t="n">
        <x:v>0.3</x:v>
      </x:c>
      <x:c r="X1784" s="54" t="n">
        <x:f>IF(ISNUMBER(V1784),V1784/(1-W1784),"")</x:f>
        <x:v>39.41142857142857</x:v>
      </x:c>
      <x:c r="Y1784" s="55" t="n">
        <x:f>IF(ISNUMBER(X1784),ROUNDUP(X1784,0),"")</x:f>
        <x:v>40</x:v>
      </x:c>
      <x:c r="Z1784" t="str">
        <x:v>Source match pending</x:v>
      </x:c>
      <x:c r="AA1784" t="str">
        <x:v>screencapture-www-activesportstrade-co-uk-strom-sports-nutrition-trade-2026-09-10-09_08_39.pdf / page-3</x:v>
      </x:c>
      <x:c r="AB1784" s="36" t="n">
        <x:f>IF(ISNUMBER(Y1784),ROUND(Y1784*0.9,2),"")</x:f>
        <x:v>36</x:v>
      </x:c>
      <x:c r="AC1784" s="36" t="n">
        <x:f>IF(ISNUMBER(AB1784),ROUND(AB1784-(AB1784*0.015+0.2)-V1784,2),"")</x:f>
        <x:v>7.67</x:v>
      </x:c>
      <x:c r="AD1784" s="36" t="n">
        <x:f>IF(ISNUMBER(Y1784),ROUND(Y1784*0.8,2),"")</x:f>
        <x:v>32</x:v>
      </x:c>
      <x:c r="AE1784" s="36" t="n">
        <x:f>IF(ISNUMBER(AD1784),ROUND(AD1784*0.015+0.2,2),"")</x:f>
        <x:v>0.68</x:v>
      </x:c>
      <x:c r="AF1784" s="36" t="n">
        <x:f>IF(ISNUMBER(AD1784),ROUND(AD1784-AE1784-V1784,2),"")</x:f>
        <x:v>3.73</x:v>
      </x:c>
      <x:c r="AG1784" t="str">
        <x:f>IF(NOT(ISNUMBER(T1784)),"PENDING",IF(AF1784&gt;0,"PASS","FAIL"))</x:f>
        <x:v>PASS</x:v>
      </x:c>
      <x:c r="AH1784" t="str">
        <x:f>IF(NOT(ISNUMBER(T1784)),"Needs supplier cost",IF(K1784&lt;&gt;"In stock","Supplier unavailable",IF(AG1784&lt;&gt;"PASS","BLOCK - GT loss risk","Commercially protected")))</x:f>
        <x:v>Commercially protected</x:v>
      </x:c>
      <x:c r="AI1784" t="str">
        <x:v>2026-09-10 Active Sports trade capture</x:v>
      </x:c>
      <x:c r="AJ1784" t="str">
        <x:v>Management-only economics. Stripe stress test uses 1.5% + £0.20 standard UK online-card fee; pallet/mix-and-match pricing ignored.</x:v>
      </x:c>
    </x:row>
    <x:row r="1785">
      <x:c r="A1785" t="str">
        <x:v>Active Sports Nutrition</x:v>
      </x:c>
      <x:c r="B1785" t="str">
        <x:v>Strom Sports Nutrition</x:v>
      </x:c>
      <x:c r="C1785" t="str">
        <x:v>Support Max (OCS Supplement)</x:v>
      </x:c>
      <x:c r="D1785" t="str">
        <x:v>Supplements</x:v>
      </x:c>
      <x:c r="E1785" t="str">
        <x:v>Health Foods</x:v>
      </x:c>
      <x:c r="F1785" t="str"/>
      <x:c r="G1785" t="str">
        <x:v>120 caps</x:v>
      </x:c>
      <x:c r="H1785" t="str">
        <x:v>Default</x:v>
      </x:c>
      <x:c r="I1785" t="str"/>
      <x:c r="J1785" t="str">
        <x:v>Unit</x:v>
      </x:c>
      <x:c r="K1785" t="str">
        <x:v>Out of stock</x:v>
      </x:c>
      <x:c r="L1785" t="str">
        <x:v>2026-09-08</x:v>
      </x:c>
      <x:c r="M1785" t="str"/>
      <x:c r="N1785" t="str"/>
      <x:c r="O1785" t="str">
        <x:v>https://www.activesportstrade.co.uk/testosterone-boosters-trade/strom-sports-nutrition-trade</x:v>
      </x:c>
      <x:c r="P1785" t="str"/>
      <x:c r="Q1785" t="str"/>
      <x:c r="R1785" t="str"/>
      <x:c r="S1785" t="str">
        <x:v>Pending genuine supplier/brand image</x:v>
      </x:c>
      <x:c r="T1785" s="54" t="n">
        <x:v>27.99</x:v>
      </x:c>
      <x:c r="U1785" s="47" t="n">
        <x:v>0.2</x:v>
      </x:c>
      <x:c r="V1785" s="54" t="n">
        <x:f>IF(ISNUMBER(T1785),T1785*(1+U1785),"")</x:f>
        <x:v>33.587999999999994</x:v>
      </x:c>
      <x:c r="W1785" s="47" t="n">
        <x:v>0.3</x:v>
      </x:c>
      <x:c r="X1785" s="54" t="n">
        <x:f>IF(ISNUMBER(V1785),V1785/(1-W1785),"")</x:f>
        <x:v>47.982857142857135</x:v>
      </x:c>
      <x:c r="Y1785" s="55" t="n">
        <x:f>IF(ISNUMBER(X1785),ROUNDUP(X1785,0),"")</x:f>
        <x:v>48</x:v>
      </x:c>
      <x:c r="Z1785" t="str">
        <x:v>Source match pending</x:v>
      </x:c>
      <x:c r="AA1785" t="str">
        <x:v>screencapture-www-activesportstrade-co-uk-strom-sports-nutrition-trade-2026-09-10-09_08_39.pdf / page-5</x:v>
      </x:c>
      <x:c r="AB1785" s="36" t="n">
        <x:f>IF(ISNUMBER(Y1785),ROUND(Y1785*0.9,2),"")</x:f>
        <x:v>43.2</x:v>
      </x:c>
      <x:c r="AC1785" s="36" t="n">
        <x:f>IF(ISNUMBER(AB1785),ROUND(AB1785-(AB1785*0.015+0.2)-V1785,2),"")</x:f>
        <x:v>8.76</x:v>
      </x:c>
      <x:c r="AD1785" s="36" t="n">
        <x:f>IF(ISNUMBER(Y1785),ROUND(Y1785*0.8,2),"")</x:f>
        <x:v>38.4</x:v>
      </x:c>
      <x:c r="AE1785" s="36" t="n">
        <x:f>IF(ISNUMBER(AD1785),ROUND(AD1785*0.015+0.2,2),"")</x:f>
        <x:v>0.78</x:v>
      </x:c>
      <x:c r="AF1785" s="36" t="n">
        <x:f>IF(ISNUMBER(AD1785),ROUND(AD1785-AE1785-V1785,2),"")</x:f>
        <x:v>4.03</x:v>
      </x:c>
      <x:c r="AG1785" t="str">
        <x:f>IF(NOT(ISNUMBER(T1785)),"PENDING",IF(AF1785&gt;0,"PASS","FAIL"))</x:f>
        <x:v>PASS</x:v>
      </x:c>
      <x:c r="AH1785" t="str">
        <x:f>IF(NOT(ISNUMBER(T1785)),"Needs supplier cost",IF(K1785&lt;&gt;"In stock","Supplier unavailable",IF(AG1785&lt;&gt;"PASS","BLOCK - GT loss risk","Commercially protected")))</x:f>
        <x:v>Supplier unavailable</x:v>
      </x:c>
      <x:c r="AI1785" t="str">
        <x:v>2026-09-10 Active Sports trade capture</x:v>
      </x:c>
      <x:c r="AJ1785" t="str">
        <x:v>Management-only economics. Stripe stress test uses 1.5% + £0.20 standard UK online-card fee; pallet/mix-and-match pricing ignored.</x:v>
      </x:c>
    </x:row>
    <x:row r="1786">
      <x:c r="A1786" t="str">
        <x:v>Active Sports Nutrition</x:v>
      </x:c>
      <x:c r="B1786" t="str">
        <x:v>Strom Sports Nutrition</x:v>
      </x:c>
      <x:c r="C1786" t="str">
        <x:v>HydraMAX</x:v>
      </x:c>
      <x:c r="D1786" t="str">
        <x:v>Supplements</x:v>
      </x:c>
      <x:c r="E1786" t="str">
        <x:v>Hydration</x:v>
      </x:c>
      <x:c r="F1786" t="str"/>
      <x:c r="G1786" t="str">
        <x:v>40 servings</x:v>
      </x:c>
      <x:c r="H1786" t="str">
        <x:v>Blue Raspberry</x:v>
      </x:c>
      <x:c r="I1786" t="str"/>
      <x:c r="J1786" t="str">
        <x:v>Unit</x:v>
      </x:c>
      <x:c r="K1786" t="str">
        <x:v>In stock</x:v>
      </x:c>
      <x:c r="L1786" t="str">
        <x:v>2026-09-08</x:v>
      </x:c>
      <x:c r="M1786" t="str"/>
      <x:c r="N1786" t="str"/>
      <x:c r="O1786" t="str">
        <x:v>https://www.activesportstrade.co.uk/strom-sports-nutrition-trade</x:v>
      </x:c>
      <x:c r="P1786" t="str"/>
      <x:c r="Q1786" t="str"/>
      <x:c r="R1786" t="str"/>
      <x:c r="S1786" t="str">
        <x:v>Pending genuine supplier/brand image</x:v>
      </x:c>
      <x:c r="T1786" s="54"/>
      <x:c r="U1786" s="47" t="n">
        <x:v>0.2</x:v>
      </x:c>
      <x:c r="V1786" s="54" t="str">
        <x:f>IF(ISNUMBER(T1786),T1786*(1+U1786),"")</x:f>
      </x:c>
      <x:c r="W1786" s="47" t="n">
        <x:v>0.3</x:v>
      </x:c>
      <x:c r="X1786" s="54" t="str">
        <x:f>IF(ISNUMBER(V1786),V1786/(1-W1786),"")</x:f>
      </x:c>
      <x:c r="Y1786" s="55" t="str">
        <x:f>IF(ISNUMBER(X1786),ROUNDUP(X1786,0),"")</x:f>
      </x:c>
      <x:c r="Z1786" t="str">
        <x:f>IF(ISNUMBER(T1786),"Cost captured","Awaiting trade cost")</x:f>
        <x:v>Awaiting trade cost</x:v>
      </x:c>
      <x:c r="AB1786" s="36" t="str">
        <x:f>IF(ISNUMBER(Y1786),ROUND(Y1786*0.9,2),"")</x:f>
      </x:c>
      <x:c r="AC1786" s="36" t="str">
        <x:f>IF(ISNUMBER(AB1786),ROUND(AB1786-(AB1786*0.015+0.2)-V1786,2),"")</x:f>
      </x:c>
      <x:c r="AD1786" s="36" t="str">
        <x:f>IF(ISNUMBER(Y1786),ROUND(Y1786*0.8,2),"")</x:f>
      </x:c>
      <x:c r="AE1786" s="36" t="str">
        <x:f>IF(ISNUMBER(AD1786),ROUND(AD1786*0.015+0.2,2),"")</x:f>
      </x:c>
      <x:c r="AF1786" s="36" t="str">
        <x:f>IF(ISNUMBER(AD1786),ROUND(AD1786-AE1786-V1786,2),"")</x:f>
      </x:c>
      <x:c r="AG1786" t="str">
        <x:f>IF(NOT(ISNUMBER(T1786)),"PENDING",IF(AF1786&gt;0,"PASS","FAIL"))</x:f>
        <x:v>PENDING</x:v>
      </x:c>
      <x:c r="AH1786" t="str">
        <x:f>IF(NOT(ISNUMBER(T1786)),"Needs supplier cost",IF(K1786&lt;&gt;"In stock","Supplier unavailable",IF(AG1786&lt;&gt;"PASS","BLOCK - GT loss risk","Commercially protected")))</x:f>
        <x:v>Needs supplier cost</x:v>
      </x:c>
      <x:c r="AI1786" t="str">
        <x:v>2026-09-10 Active Sports trade capture</x:v>
      </x:c>
      <x:c r="AJ1786" t="str">
        <x:v>Management-only economics. Stripe stress test uses 1.5% + £0.20 standard UK online-card fee; pallet/mix-and-match pricing ignored.</x:v>
      </x:c>
    </x:row>
    <x:row r="1787">
      <x:c r="A1787" t="str">
        <x:v>Active Sports Nutrition</x:v>
      </x:c>
      <x:c r="B1787" t="str">
        <x:v>Strom Sports Nutrition</x:v>
      </x:c>
      <x:c r="C1787" t="str">
        <x:v>HydraMAX</x:v>
      </x:c>
      <x:c r="D1787" t="str">
        <x:v>Supplements</x:v>
      </x:c>
      <x:c r="E1787" t="str">
        <x:v>Hydration</x:v>
      </x:c>
      <x:c r="F1787" t="str"/>
      <x:c r="G1787" t="str">
        <x:v>40 servings</x:v>
      </x:c>
      <x:c r="H1787" t="str">
        <x:v>Cherry</x:v>
      </x:c>
      <x:c r="I1787" t="str"/>
      <x:c r="J1787" t="str">
        <x:v>Unit</x:v>
      </x:c>
      <x:c r="K1787" t="str">
        <x:v>In stock</x:v>
      </x:c>
      <x:c r="L1787" t="str">
        <x:v>2026-09-08</x:v>
      </x:c>
      <x:c r="M1787" t="str"/>
      <x:c r="N1787" t="str"/>
      <x:c r="O1787" t="str">
        <x:v>https://www.activesportstrade.co.uk/strom-sports-nutrition-trade</x:v>
      </x:c>
      <x:c r="P1787" t="str"/>
      <x:c r="Q1787" t="str"/>
      <x:c r="R1787" t="str"/>
      <x:c r="S1787" t="str">
        <x:v>Pending genuine supplier/brand image</x:v>
      </x:c>
      <x:c r="T1787" s="54"/>
      <x:c r="U1787" s="47" t="n">
        <x:v>0.2</x:v>
      </x:c>
      <x:c r="V1787" s="54" t="str">
        <x:f>IF(ISNUMBER(T1787),T1787*(1+U1787),"")</x:f>
      </x:c>
      <x:c r="W1787" s="47" t="n">
        <x:v>0.3</x:v>
      </x:c>
      <x:c r="X1787" s="54" t="str">
        <x:f>IF(ISNUMBER(V1787),V1787/(1-W1787),"")</x:f>
      </x:c>
      <x:c r="Y1787" s="55" t="str">
        <x:f>IF(ISNUMBER(X1787),ROUNDUP(X1787,0),"")</x:f>
      </x:c>
      <x:c r="Z1787" t="str">
        <x:f>IF(ISNUMBER(T1787),"Cost captured","Awaiting trade cost")</x:f>
        <x:v>Awaiting trade cost</x:v>
      </x:c>
      <x:c r="AB1787" s="36" t="str">
        <x:f>IF(ISNUMBER(Y1787),ROUND(Y1787*0.9,2),"")</x:f>
      </x:c>
      <x:c r="AC1787" s="36" t="str">
        <x:f>IF(ISNUMBER(AB1787),ROUND(AB1787-(AB1787*0.015+0.2)-V1787,2),"")</x:f>
      </x:c>
      <x:c r="AD1787" s="36" t="str">
        <x:f>IF(ISNUMBER(Y1787),ROUND(Y1787*0.8,2),"")</x:f>
      </x:c>
      <x:c r="AE1787" s="36" t="str">
        <x:f>IF(ISNUMBER(AD1787),ROUND(AD1787*0.015+0.2,2),"")</x:f>
      </x:c>
      <x:c r="AF1787" s="36" t="str">
        <x:f>IF(ISNUMBER(AD1787),ROUND(AD1787-AE1787-V1787,2),"")</x:f>
      </x:c>
      <x:c r="AG1787" t="str">
        <x:f>IF(NOT(ISNUMBER(T1787)),"PENDING",IF(AF1787&gt;0,"PASS","FAIL"))</x:f>
        <x:v>PENDING</x:v>
      </x:c>
      <x:c r="AH1787" t="str">
        <x:f>IF(NOT(ISNUMBER(T1787)),"Needs supplier cost",IF(K1787&lt;&gt;"In stock","Supplier unavailable",IF(AG1787&lt;&gt;"PASS","BLOCK - GT loss risk","Commercially protected")))</x:f>
        <x:v>Needs supplier cost</x:v>
      </x:c>
      <x:c r="AI1787" t="str">
        <x:v>2026-09-10 Active Sports trade capture</x:v>
      </x:c>
      <x:c r="AJ1787" t="str">
        <x:v>Management-only economics. Stripe stress test uses 1.5% + £0.20 standard UK online-card fee; pallet/mix-and-match pricing ignored.</x:v>
      </x:c>
    </x:row>
    <x:row r="1788">
      <x:c r="A1788" t="str">
        <x:v>Active Sports Nutrition</x:v>
      </x:c>
      <x:c r="B1788" t="str">
        <x:v>Strom Sports Nutrition</x:v>
      </x:c>
      <x:c r="C1788" t="str">
        <x:v>HydraMAX</x:v>
      </x:c>
      <x:c r="D1788" t="str">
        <x:v>Supplements</x:v>
      </x:c>
      <x:c r="E1788" t="str">
        <x:v>Hydration</x:v>
      </x:c>
      <x:c r="F1788" t="str"/>
      <x:c r="G1788" t="str">
        <x:v>40 servings</x:v>
      </x:c>
      <x:c r="H1788" t="str">
        <x:v>Lemon Lime</x:v>
      </x:c>
      <x:c r="I1788" t="str"/>
      <x:c r="J1788" t="str">
        <x:v>Unit</x:v>
      </x:c>
      <x:c r="K1788" t="str">
        <x:v>In stock</x:v>
      </x:c>
      <x:c r="L1788" t="str">
        <x:v>2026-09-08</x:v>
      </x:c>
      <x:c r="M1788" t="str"/>
      <x:c r="N1788" t="str"/>
      <x:c r="O1788" t="str">
        <x:v>https://www.activesportstrade.co.uk/strom-sports-nutrition-trade</x:v>
      </x:c>
      <x:c r="P1788" t="str"/>
      <x:c r="Q1788" t="str"/>
      <x:c r="R1788" t="str"/>
      <x:c r="S1788" t="str">
        <x:v>Pending genuine supplier/brand image</x:v>
      </x:c>
      <x:c r="T1788" s="54"/>
      <x:c r="U1788" s="47" t="n">
        <x:v>0.2</x:v>
      </x:c>
      <x:c r="V1788" s="54" t="str">
        <x:f>IF(ISNUMBER(T1788),T1788*(1+U1788),"")</x:f>
      </x:c>
      <x:c r="W1788" s="47" t="n">
        <x:v>0.3</x:v>
      </x:c>
      <x:c r="X1788" s="54" t="str">
        <x:f>IF(ISNUMBER(V1788),V1788/(1-W1788),"")</x:f>
      </x:c>
      <x:c r="Y1788" s="55" t="str">
        <x:f>IF(ISNUMBER(X1788),ROUNDUP(X1788,0),"")</x:f>
      </x:c>
      <x:c r="Z1788" t="str">
        <x:f>IF(ISNUMBER(T1788),"Cost captured","Awaiting trade cost")</x:f>
        <x:v>Awaiting trade cost</x:v>
      </x:c>
      <x:c r="AB1788" s="36" t="str">
        <x:f>IF(ISNUMBER(Y1788),ROUND(Y1788*0.9,2),"")</x:f>
      </x:c>
      <x:c r="AC1788" s="36" t="str">
        <x:f>IF(ISNUMBER(AB1788),ROUND(AB1788-(AB1788*0.015+0.2)-V1788,2),"")</x:f>
      </x:c>
      <x:c r="AD1788" s="36" t="str">
        <x:f>IF(ISNUMBER(Y1788),ROUND(Y1788*0.8,2),"")</x:f>
      </x:c>
      <x:c r="AE1788" s="36" t="str">
        <x:f>IF(ISNUMBER(AD1788),ROUND(AD1788*0.015+0.2,2),"")</x:f>
      </x:c>
      <x:c r="AF1788" s="36" t="str">
        <x:f>IF(ISNUMBER(AD1788),ROUND(AD1788-AE1788-V1788,2),"")</x:f>
      </x:c>
      <x:c r="AG1788" t="str">
        <x:f>IF(NOT(ISNUMBER(T1788)),"PENDING",IF(AF1788&gt;0,"PASS","FAIL"))</x:f>
        <x:v>PENDING</x:v>
      </x:c>
      <x:c r="AH1788" t="str">
        <x:f>IF(NOT(ISNUMBER(T1788)),"Needs supplier cost",IF(K1788&lt;&gt;"In stock","Supplier unavailable",IF(AG1788&lt;&gt;"PASS","BLOCK - GT loss risk","Commercially protected")))</x:f>
        <x:v>Needs supplier cost</x:v>
      </x:c>
      <x:c r="AI1788" t="str">
        <x:v>2026-09-10 Active Sports trade capture</x:v>
      </x:c>
      <x:c r="AJ1788" t="str">
        <x:v>Management-only economics. Stripe stress test uses 1.5% + £0.20 standard UK online-card fee; pallet/mix-and-match pricing ignored.</x:v>
      </x:c>
    </x:row>
    <x:row r="1789">
      <x:c r="A1789" t="str">
        <x:v>Active Sports Nutrition</x:v>
      </x:c>
      <x:c r="B1789" t="str">
        <x:v>Strom Sports Nutrition</x:v>
      </x:c>
      <x:c r="C1789" t="str">
        <x:v>HydraMAX</x:v>
      </x:c>
      <x:c r="D1789" t="str">
        <x:v>Supplements</x:v>
      </x:c>
      <x:c r="E1789" t="str">
        <x:v>Hydration</x:v>
      </x:c>
      <x:c r="F1789" t="str"/>
      <x:c r="G1789" t="str">
        <x:v>40 servings</x:v>
      </x:c>
      <x:c r="H1789" t="str">
        <x:v>Orange Mango</x:v>
      </x:c>
      <x:c r="I1789" t="str"/>
      <x:c r="J1789" t="str">
        <x:v>Unit</x:v>
      </x:c>
      <x:c r="K1789" t="str">
        <x:v>In stock</x:v>
      </x:c>
      <x:c r="L1789" t="str">
        <x:v>2026-09-08</x:v>
      </x:c>
      <x:c r="M1789" t="str"/>
      <x:c r="N1789" t="str"/>
      <x:c r="O1789" t="str">
        <x:v>https://www.activesportstrade.co.uk/strom-sports-nutrition-trade</x:v>
      </x:c>
      <x:c r="P1789" t="str"/>
      <x:c r="Q1789" t="str"/>
      <x:c r="R1789" t="str"/>
      <x:c r="S1789" t="str">
        <x:v>Pending genuine supplier/brand image</x:v>
      </x:c>
      <x:c r="T1789" s="54"/>
      <x:c r="U1789" s="47" t="n">
        <x:v>0.2</x:v>
      </x:c>
      <x:c r="V1789" s="54" t="str">
        <x:f>IF(ISNUMBER(T1789),T1789*(1+U1789),"")</x:f>
      </x:c>
      <x:c r="W1789" s="47" t="n">
        <x:v>0.3</x:v>
      </x:c>
      <x:c r="X1789" s="54" t="str">
        <x:f>IF(ISNUMBER(V1789),V1789/(1-W1789),"")</x:f>
      </x:c>
      <x:c r="Y1789" s="55" t="str">
        <x:f>IF(ISNUMBER(X1789),ROUNDUP(X1789,0),"")</x:f>
      </x:c>
      <x:c r="Z1789" t="str">
        <x:f>IF(ISNUMBER(T1789),"Cost captured","Awaiting trade cost")</x:f>
        <x:v>Awaiting trade cost</x:v>
      </x:c>
      <x:c r="AB1789" s="36" t="str">
        <x:f>IF(ISNUMBER(Y1789),ROUND(Y1789*0.9,2),"")</x:f>
      </x:c>
      <x:c r="AC1789" s="36" t="str">
        <x:f>IF(ISNUMBER(AB1789),ROUND(AB1789-(AB1789*0.015+0.2)-V1789,2),"")</x:f>
      </x:c>
      <x:c r="AD1789" s="36" t="str">
        <x:f>IF(ISNUMBER(Y1789),ROUND(Y1789*0.8,2),"")</x:f>
      </x:c>
      <x:c r="AE1789" s="36" t="str">
        <x:f>IF(ISNUMBER(AD1789),ROUND(AD1789*0.015+0.2,2),"")</x:f>
      </x:c>
      <x:c r="AF1789" s="36" t="str">
        <x:f>IF(ISNUMBER(AD1789),ROUND(AD1789-AE1789-V1789,2),"")</x:f>
      </x:c>
      <x:c r="AG1789" t="str">
        <x:f>IF(NOT(ISNUMBER(T1789)),"PENDING",IF(AF1789&gt;0,"PASS","FAIL"))</x:f>
        <x:v>PENDING</x:v>
      </x:c>
      <x:c r="AH1789" t="str">
        <x:f>IF(NOT(ISNUMBER(T1789)),"Needs supplier cost",IF(K1789&lt;&gt;"In stock","Supplier unavailable",IF(AG1789&lt;&gt;"PASS","BLOCK - GT loss risk","Commercially protected")))</x:f>
        <x:v>Needs supplier cost</x:v>
      </x:c>
      <x:c r="AI1789" t="str">
        <x:v>2026-09-10 Active Sports trade capture</x:v>
      </x:c>
      <x:c r="AJ1789" t="str">
        <x:v>Management-only economics. Stripe stress test uses 1.5% + £0.20 standard UK online-card fee; pallet/mix-and-match pricing ignored.</x:v>
      </x:c>
    </x:row>
    <x:row r="1790">
      <x:c r="A1790" t="str">
        <x:v>Active Sports Nutrition</x:v>
      </x:c>
      <x:c r="B1790" t="str">
        <x:v>Strom Sports Nutrition</x:v>
      </x:c>
      <x:c r="C1790" t="str">
        <x:v>HydraMAX</x:v>
      </x:c>
      <x:c r="D1790" t="str">
        <x:v>Supplements</x:v>
      </x:c>
      <x:c r="E1790" t="str">
        <x:v>Hydration</x:v>
      </x:c>
      <x:c r="F1790" t="str"/>
      <x:c r="G1790" t="str">
        <x:v>40 servings</x:v>
      </x:c>
      <x:c r="H1790" t="str">
        <x:v>Pineapple</x:v>
      </x:c>
      <x:c r="I1790" t="str"/>
      <x:c r="J1790" t="str">
        <x:v>Unit</x:v>
      </x:c>
      <x:c r="K1790" t="str">
        <x:v>Out of stock</x:v>
      </x:c>
      <x:c r="L1790" t="str">
        <x:v>2026-09-08</x:v>
      </x:c>
      <x:c r="M1790" t="str"/>
      <x:c r="N1790" t="str"/>
      <x:c r="O1790" t="str">
        <x:v>https://www.activesportstrade.co.uk/strom-sports-nutrition-trade</x:v>
      </x:c>
      <x:c r="P1790" t="str"/>
      <x:c r="Q1790" t="str"/>
      <x:c r="R1790" t="str"/>
      <x:c r="S1790" t="str">
        <x:v>Pending genuine supplier/brand image</x:v>
      </x:c>
      <x:c r="T1790" s="54"/>
      <x:c r="U1790" s="47" t="n">
        <x:v>0.2</x:v>
      </x:c>
      <x:c r="V1790" s="54" t="str">
        <x:f>IF(ISNUMBER(T1790),T1790*(1+U1790),"")</x:f>
      </x:c>
      <x:c r="W1790" s="47" t="n">
        <x:v>0.3</x:v>
      </x:c>
      <x:c r="X1790" s="54" t="str">
        <x:f>IF(ISNUMBER(V1790),V1790/(1-W1790),"")</x:f>
      </x:c>
      <x:c r="Y1790" s="55" t="str">
        <x:f>IF(ISNUMBER(X1790),ROUNDUP(X1790,0),"")</x:f>
      </x:c>
      <x:c r="Z1790" t="str">
        <x:f>IF(ISNUMBER(T1790),"Cost captured","Awaiting trade cost")</x:f>
        <x:v>Awaiting trade cost</x:v>
      </x:c>
      <x:c r="AB1790" s="36" t="str">
        <x:f>IF(ISNUMBER(Y1790),ROUND(Y1790*0.9,2),"")</x:f>
      </x:c>
      <x:c r="AC1790" s="36" t="str">
        <x:f>IF(ISNUMBER(AB1790),ROUND(AB1790-(AB1790*0.015+0.2)-V1790,2),"")</x:f>
      </x:c>
      <x:c r="AD1790" s="36" t="str">
        <x:f>IF(ISNUMBER(Y1790),ROUND(Y1790*0.8,2),"")</x:f>
      </x:c>
      <x:c r="AE1790" s="36" t="str">
        <x:f>IF(ISNUMBER(AD1790),ROUND(AD1790*0.015+0.2,2),"")</x:f>
      </x:c>
      <x:c r="AF1790" s="36" t="str">
        <x:f>IF(ISNUMBER(AD1790),ROUND(AD1790-AE1790-V1790,2),"")</x:f>
      </x:c>
      <x:c r="AG1790" t="str">
        <x:f>IF(NOT(ISNUMBER(T1790)),"PENDING",IF(AF1790&gt;0,"PASS","FAIL"))</x:f>
        <x:v>PENDING</x:v>
      </x:c>
      <x:c r="AH1790" t="str">
        <x:f>IF(NOT(ISNUMBER(T1790)),"Needs supplier cost",IF(K1790&lt;&gt;"In stock","Supplier unavailable",IF(AG1790&lt;&gt;"PASS","BLOCK - GT loss risk","Commercially protected")))</x:f>
        <x:v>Needs supplier cost</x:v>
      </x:c>
      <x:c r="AI1790" t="str">
        <x:v>2026-09-10 Active Sports trade capture</x:v>
      </x:c>
      <x:c r="AJ1790" t="str">
        <x:v>Management-only economics. Stripe stress test uses 1.5% + £0.20 standard UK online-card fee; pallet/mix-and-match pricing ignored.</x:v>
      </x:c>
    </x:row>
    <x:row r="1791">
      <x:c r="A1791" t="str">
        <x:v>Active Sports Nutrition</x:v>
      </x:c>
      <x:c r="B1791" t="str">
        <x:v>Strom Sports Nutrition</x:v>
      </x:c>
      <x:c r="C1791" t="str">
        <x:v>IntraMAX</x:v>
      </x:c>
      <x:c r="D1791" t="str">
        <x:v>Supplements</x:v>
      </x:c>
      <x:c r="E1791" t="str">
        <x:v>Intra Workout</x:v>
      </x:c>
      <x:c r="F1791" t="str"/>
      <x:c r="G1791" t="str">
        <x:v>40 servings</x:v>
      </x:c>
      <x:c r="H1791" t="str">
        <x:v>Cherry</x:v>
      </x:c>
      <x:c r="I1791" t="str"/>
      <x:c r="J1791" t="str">
        <x:v>Unit</x:v>
      </x:c>
      <x:c r="K1791" t="str">
        <x:v>In stock</x:v>
      </x:c>
      <x:c r="L1791" t="str">
        <x:v>2026-09-08</x:v>
      </x:c>
      <x:c r="M1791" t="str"/>
      <x:c r="N1791" t="str"/>
      <x:c r="O1791" t="str">
        <x:v>https://www.activesportstrade.co.uk/strom-sports-nutrition-trade</x:v>
      </x:c>
      <x:c r="P1791" t="str"/>
      <x:c r="Q1791" t="str"/>
      <x:c r="R1791" t="str"/>
      <x:c r="S1791" t="str">
        <x:v>Pending genuine supplier/brand image</x:v>
      </x:c>
      <x:c r="T1791" s="54"/>
      <x:c r="U1791" s="47" t="n">
        <x:v>0.2</x:v>
      </x:c>
      <x:c r="V1791" s="54" t="str">
        <x:f>IF(ISNUMBER(T1791),T1791*(1+U1791),"")</x:f>
      </x:c>
      <x:c r="W1791" s="47" t="n">
        <x:v>0.3</x:v>
      </x:c>
      <x:c r="X1791" s="54" t="str">
        <x:f>IF(ISNUMBER(V1791),V1791/(1-W1791),"")</x:f>
      </x:c>
      <x:c r="Y1791" s="55" t="str">
        <x:f>IF(ISNUMBER(X1791),ROUNDUP(X1791,0),"")</x:f>
      </x:c>
      <x:c r="Z1791" t="str">
        <x:f>IF(ISNUMBER(T1791),"Cost captured","Awaiting trade cost")</x:f>
        <x:v>Awaiting trade cost</x:v>
      </x:c>
      <x:c r="AB1791" s="36" t="str">
        <x:f>IF(ISNUMBER(Y1791),ROUND(Y1791*0.9,2),"")</x:f>
      </x:c>
      <x:c r="AC1791" s="36" t="str">
        <x:f>IF(ISNUMBER(AB1791),ROUND(AB1791-(AB1791*0.015+0.2)-V1791,2),"")</x:f>
      </x:c>
      <x:c r="AD1791" s="36" t="str">
        <x:f>IF(ISNUMBER(Y1791),ROUND(Y1791*0.8,2),"")</x:f>
      </x:c>
      <x:c r="AE1791" s="36" t="str">
        <x:f>IF(ISNUMBER(AD1791),ROUND(AD1791*0.015+0.2,2),"")</x:f>
      </x:c>
      <x:c r="AF1791" s="36" t="str">
        <x:f>IF(ISNUMBER(AD1791),ROUND(AD1791-AE1791-V1791,2),"")</x:f>
      </x:c>
      <x:c r="AG1791" t="str">
        <x:f>IF(NOT(ISNUMBER(T1791)),"PENDING",IF(AF1791&gt;0,"PASS","FAIL"))</x:f>
        <x:v>PENDING</x:v>
      </x:c>
      <x:c r="AH1791" t="str">
        <x:f>IF(NOT(ISNUMBER(T1791)),"Needs supplier cost",IF(K1791&lt;&gt;"In stock","Supplier unavailable",IF(AG1791&lt;&gt;"PASS","BLOCK - GT loss risk","Commercially protected")))</x:f>
        <x:v>Needs supplier cost</x:v>
      </x:c>
      <x:c r="AI1791" t="str">
        <x:v>2026-09-10 Active Sports trade capture</x:v>
      </x:c>
      <x:c r="AJ1791" t="str">
        <x:v>Management-only economics. Stripe stress test uses 1.5% + £0.20 standard UK online-card fee; pallet/mix-and-match pricing ignored.</x:v>
      </x:c>
    </x:row>
    <x:row r="1792">
      <x:c r="A1792" t="str">
        <x:v>Active Sports Nutrition</x:v>
      </x:c>
      <x:c r="B1792" t="str">
        <x:v>Strom Sports Nutrition</x:v>
      </x:c>
      <x:c r="C1792" t="str">
        <x:v>IntraMAX</x:v>
      </x:c>
      <x:c r="D1792" t="str">
        <x:v>Supplements</x:v>
      </x:c>
      <x:c r="E1792" t="str">
        <x:v>Intra Workout</x:v>
      </x:c>
      <x:c r="F1792" t="str"/>
      <x:c r="G1792" t="str">
        <x:v>40 servings</x:v>
      </x:c>
      <x:c r="H1792" t="str">
        <x:v>Lemon Lime</x:v>
      </x:c>
      <x:c r="I1792" t="str"/>
      <x:c r="J1792" t="str">
        <x:v>Unit</x:v>
      </x:c>
      <x:c r="K1792" t="str">
        <x:v>In stock</x:v>
      </x:c>
      <x:c r="L1792" t="str">
        <x:v>2026-09-08</x:v>
      </x:c>
      <x:c r="M1792" t="str"/>
      <x:c r="N1792" t="str"/>
      <x:c r="O1792" t="str">
        <x:v>https://www.activesportstrade.co.uk/strom-sports-nutrition-trade</x:v>
      </x:c>
      <x:c r="P1792" t="str"/>
      <x:c r="Q1792" t="str"/>
      <x:c r="R1792" t="str"/>
      <x:c r="S1792" t="str">
        <x:v>Pending genuine supplier/brand image</x:v>
      </x:c>
      <x:c r="T1792" s="54"/>
      <x:c r="U1792" s="47" t="n">
        <x:v>0.2</x:v>
      </x:c>
      <x:c r="V1792" s="54" t="str">
        <x:f>IF(ISNUMBER(T1792),T1792*(1+U1792),"")</x:f>
      </x:c>
      <x:c r="W1792" s="47" t="n">
        <x:v>0.3</x:v>
      </x:c>
      <x:c r="X1792" s="54" t="str">
        <x:f>IF(ISNUMBER(V1792),V1792/(1-W1792),"")</x:f>
      </x:c>
      <x:c r="Y1792" s="55" t="str">
        <x:f>IF(ISNUMBER(X1792),ROUNDUP(X1792,0),"")</x:f>
      </x:c>
      <x:c r="Z1792" t="str">
        <x:f>IF(ISNUMBER(T1792),"Cost captured","Awaiting trade cost")</x:f>
        <x:v>Awaiting trade cost</x:v>
      </x:c>
      <x:c r="AB1792" s="36" t="str">
        <x:f>IF(ISNUMBER(Y1792),ROUND(Y1792*0.9,2),"")</x:f>
      </x:c>
      <x:c r="AC1792" s="36" t="str">
        <x:f>IF(ISNUMBER(AB1792),ROUND(AB1792-(AB1792*0.015+0.2)-V1792,2),"")</x:f>
      </x:c>
      <x:c r="AD1792" s="36" t="str">
        <x:f>IF(ISNUMBER(Y1792),ROUND(Y1792*0.8,2),"")</x:f>
      </x:c>
      <x:c r="AE1792" s="36" t="str">
        <x:f>IF(ISNUMBER(AD1792),ROUND(AD1792*0.015+0.2,2),"")</x:f>
      </x:c>
      <x:c r="AF1792" s="36" t="str">
        <x:f>IF(ISNUMBER(AD1792),ROUND(AD1792-AE1792-V1792,2),"")</x:f>
      </x:c>
      <x:c r="AG1792" t="str">
        <x:f>IF(NOT(ISNUMBER(T1792)),"PENDING",IF(AF1792&gt;0,"PASS","FAIL"))</x:f>
        <x:v>PENDING</x:v>
      </x:c>
      <x:c r="AH1792" t="str">
        <x:f>IF(NOT(ISNUMBER(T1792)),"Needs supplier cost",IF(K1792&lt;&gt;"In stock","Supplier unavailable",IF(AG1792&lt;&gt;"PASS","BLOCK - GT loss risk","Commercially protected")))</x:f>
        <x:v>Needs supplier cost</x:v>
      </x:c>
      <x:c r="AI1792" t="str">
        <x:v>2026-09-10 Active Sports trade capture</x:v>
      </x:c>
      <x:c r="AJ1792" t="str">
        <x:v>Management-only economics. Stripe stress test uses 1.5% + £0.20 standard UK online-card fee; pallet/mix-and-match pricing ignored.</x:v>
      </x:c>
    </x:row>
    <x:row r="1793">
      <x:c r="A1793" t="str">
        <x:v>Active Sports Nutrition</x:v>
      </x:c>
      <x:c r="B1793" t="str">
        <x:v>Strom Sports Nutrition</x:v>
      </x:c>
      <x:c r="C1793" t="str">
        <x:v>IntraMAX</x:v>
      </x:c>
      <x:c r="D1793" t="str">
        <x:v>Supplements</x:v>
      </x:c>
      <x:c r="E1793" t="str">
        <x:v>Intra Workout</x:v>
      </x:c>
      <x:c r="F1793" t="str"/>
      <x:c r="G1793" t="str">
        <x:v>40 servings</x:v>
      </x:c>
      <x:c r="H1793" t="str">
        <x:v>Orange Mango</x:v>
      </x:c>
      <x:c r="I1793" t="str"/>
      <x:c r="J1793" t="str">
        <x:v>Unit</x:v>
      </x:c>
      <x:c r="K1793" t="str">
        <x:v>In stock</x:v>
      </x:c>
      <x:c r="L1793" t="str">
        <x:v>2026-09-08</x:v>
      </x:c>
      <x:c r="M1793" t="str"/>
      <x:c r="N1793" t="str"/>
      <x:c r="O1793" t="str">
        <x:v>https://www.activesportstrade.co.uk/strom-sports-nutrition-trade</x:v>
      </x:c>
      <x:c r="P1793" t="str"/>
      <x:c r="Q1793" t="str"/>
      <x:c r="R1793" t="str"/>
      <x:c r="S1793" t="str">
        <x:v>Pending genuine supplier/brand image</x:v>
      </x:c>
      <x:c r="T1793" s="54"/>
      <x:c r="U1793" s="47" t="n">
        <x:v>0.2</x:v>
      </x:c>
      <x:c r="V1793" s="54" t="str">
        <x:f>IF(ISNUMBER(T1793),T1793*(1+U1793),"")</x:f>
      </x:c>
      <x:c r="W1793" s="47" t="n">
        <x:v>0.3</x:v>
      </x:c>
      <x:c r="X1793" s="54" t="str">
        <x:f>IF(ISNUMBER(V1793),V1793/(1-W1793),"")</x:f>
      </x:c>
      <x:c r="Y1793" s="55" t="str">
        <x:f>IF(ISNUMBER(X1793),ROUNDUP(X1793,0),"")</x:f>
      </x:c>
      <x:c r="Z1793" t="str">
        <x:f>IF(ISNUMBER(T1793),"Cost captured","Awaiting trade cost")</x:f>
        <x:v>Awaiting trade cost</x:v>
      </x:c>
      <x:c r="AB1793" s="36" t="str">
        <x:f>IF(ISNUMBER(Y1793),ROUND(Y1793*0.9,2),"")</x:f>
      </x:c>
      <x:c r="AC1793" s="36" t="str">
        <x:f>IF(ISNUMBER(AB1793),ROUND(AB1793-(AB1793*0.015+0.2)-V1793,2),"")</x:f>
      </x:c>
      <x:c r="AD1793" s="36" t="str">
        <x:f>IF(ISNUMBER(Y1793),ROUND(Y1793*0.8,2),"")</x:f>
      </x:c>
      <x:c r="AE1793" s="36" t="str">
        <x:f>IF(ISNUMBER(AD1793),ROUND(AD1793*0.015+0.2,2),"")</x:f>
      </x:c>
      <x:c r="AF1793" s="36" t="str">
        <x:f>IF(ISNUMBER(AD1793),ROUND(AD1793-AE1793-V1793,2),"")</x:f>
      </x:c>
      <x:c r="AG1793" t="str">
        <x:f>IF(NOT(ISNUMBER(T1793)),"PENDING",IF(AF1793&gt;0,"PASS","FAIL"))</x:f>
        <x:v>PENDING</x:v>
      </x:c>
      <x:c r="AH1793" t="str">
        <x:f>IF(NOT(ISNUMBER(T1793)),"Needs supplier cost",IF(K1793&lt;&gt;"In stock","Supplier unavailable",IF(AG1793&lt;&gt;"PASS","BLOCK - GT loss risk","Commercially protected")))</x:f>
        <x:v>Needs supplier cost</x:v>
      </x:c>
      <x:c r="AI1793" t="str">
        <x:v>2026-09-10 Active Sports trade capture</x:v>
      </x:c>
      <x:c r="AJ1793" t="str">
        <x:v>Management-only economics. Stripe stress test uses 1.5% + £0.20 standard UK online-card fee; pallet/mix-and-match pricing ignored.</x:v>
      </x:c>
    </x:row>
    <x:row r="1794">
      <x:c r="A1794" t="str">
        <x:v>Active Sports Nutrition</x:v>
      </x:c>
      <x:c r="B1794" t="str">
        <x:v>Strom Sports Nutrition</x:v>
      </x:c>
      <x:c r="C1794" t="str">
        <x:v>IntraMAX</x:v>
      </x:c>
      <x:c r="D1794" t="str">
        <x:v>Supplements</x:v>
      </x:c>
      <x:c r="E1794" t="str">
        <x:v>Intra Workout</x:v>
      </x:c>
      <x:c r="F1794" t="str"/>
      <x:c r="G1794" t="str">
        <x:v>40 servings</x:v>
      </x:c>
      <x:c r="H1794" t="str">
        <x:v>Pineapple</x:v>
      </x:c>
      <x:c r="I1794" t="str"/>
      <x:c r="J1794" t="str">
        <x:v>Unit</x:v>
      </x:c>
      <x:c r="K1794" t="str">
        <x:v>In stock</x:v>
      </x:c>
      <x:c r="L1794" t="str">
        <x:v>2026-09-08</x:v>
      </x:c>
      <x:c r="M1794" t="str"/>
      <x:c r="N1794" t="str"/>
      <x:c r="O1794" t="str">
        <x:v>https://www.activesportstrade.co.uk/strom-sports-nutrition-trade</x:v>
      </x:c>
      <x:c r="P1794" t="str"/>
      <x:c r="Q1794" t="str"/>
      <x:c r="R1794" t="str"/>
      <x:c r="S1794" t="str">
        <x:v>Pending genuine supplier/brand image</x:v>
      </x:c>
      <x:c r="T1794" s="54"/>
      <x:c r="U1794" s="47" t="n">
        <x:v>0.2</x:v>
      </x:c>
      <x:c r="V1794" s="54" t="str">
        <x:f>IF(ISNUMBER(T1794),T1794*(1+U1794),"")</x:f>
      </x:c>
      <x:c r="W1794" s="47" t="n">
        <x:v>0.3</x:v>
      </x:c>
      <x:c r="X1794" s="54" t="str">
        <x:f>IF(ISNUMBER(V1794),V1794/(1-W1794),"")</x:f>
      </x:c>
      <x:c r="Y1794" s="55" t="str">
        <x:f>IF(ISNUMBER(X1794),ROUNDUP(X1794,0),"")</x:f>
      </x:c>
      <x:c r="Z1794" t="str">
        <x:f>IF(ISNUMBER(T1794),"Cost captured","Awaiting trade cost")</x:f>
        <x:v>Awaiting trade cost</x:v>
      </x:c>
      <x:c r="AB1794" s="36" t="str">
        <x:f>IF(ISNUMBER(Y1794),ROUND(Y1794*0.9,2),"")</x:f>
      </x:c>
      <x:c r="AC1794" s="36" t="str">
        <x:f>IF(ISNUMBER(AB1794),ROUND(AB1794-(AB1794*0.015+0.2)-V1794,2),"")</x:f>
      </x:c>
      <x:c r="AD1794" s="36" t="str">
        <x:f>IF(ISNUMBER(Y1794),ROUND(Y1794*0.8,2),"")</x:f>
      </x:c>
      <x:c r="AE1794" s="36" t="str">
        <x:f>IF(ISNUMBER(AD1794),ROUND(AD1794*0.015+0.2,2),"")</x:f>
      </x:c>
      <x:c r="AF1794" s="36" t="str">
        <x:f>IF(ISNUMBER(AD1794),ROUND(AD1794-AE1794-V1794,2),"")</x:f>
      </x:c>
      <x:c r="AG1794" t="str">
        <x:f>IF(NOT(ISNUMBER(T1794)),"PENDING",IF(AF1794&gt;0,"PASS","FAIL"))</x:f>
        <x:v>PENDING</x:v>
      </x:c>
      <x:c r="AH1794" t="str">
        <x:f>IF(NOT(ISNUMBER(T1794)),"Needs supplier cost",IF(K1794&lt;&gt;"In stock","Supplier unavailable",IF(AG1794&lt;&gt;"PASS","BLOCK - GT loss risk","Commercially protected")))</x:f>
        <x:v>Needs supplier cost</x:v>
      </x:c>
      <x:c r="AI1794" t="str">
        <x:v>2026-09-10 Active Sports trade capture</x:v>
      </x:c>
      <x:c r="AJ1794" t="str">
        <x:v>Management-only economics. Stripe stress test uses 1.5% + £0.20 standard UK online-card fee; pallet/mix-and-match pricing ignored.</x:v>
      </x:c>
    </x:row>
    <x:row r="1795">
      <x:c r="A1795" t="str">
        <x:v>Active Sports Nutrition</x:v>
      </x:c>
      <x:c r="B1795" t="str">
        <x:v>Strom Sports Nutrition</x:v>
      </x:c>
      <x:c r="C1795" t="str">
        <x:v>IntraMAX</x:v>
      </x:c>
      <x:c r="D1795" t="str">
        <x:v>Supplements</x:v>
      </x:c>
      <x:c r="E1795" t="str">
        <x:v>Intra Workout</x:v>
      </x:c>
      <x:c r="F1795" t="str"/>
      <x:c r="G1795" t="str">
        <x:v>40 servings</x:v>
      </x:c>
      <x:c r="H1795" t="str">
        <x:v>Strawberry Lime</x:v>
      </x:c>
      <x:c r="I1795" t="str"/>
      <x:c r="J1795" t="str">
        <x:v>Unit</x:v>
      </x:c>
      <x:c r="K1795" t="str">
        <x:v>Out of stock</x:v>
      </x:c>
      <x:c r="L1795" t="str">
        <x:v>2026-09-08</x:v>
      </x:c>
      <x:c r="M1795" t="str"/>
      <x:c r="N1795" t="str"/>
      <x:c r="O1795" t="str">
        <x:v>https://www.activesportstrade.co.uk/strom-sports-nutrition-trade</x:v>
      </x:c>
      <x:c r="P1795" t="str"/>
      <x:c r="Q1795" t="str"/>
      <x:c r="R1795" t="str"/>
      <x:c r="S1795" t="str">
        <x:v>Pending genuine supplier/brand image</x:v>
      </x:c>
      <x:c r="T1795" s="54"/>
      <x:c r="U1795" s="47" t="n">
        <x:v>0.2</x:v>
      </x:c>
      <x:c r="V1795" s="54" t="str">
        <x:f>IF(ISNUMBER(T1795),T1795*(1+U1795),"")</x:f>
      </x:c>
      <x:c r="W1795" s="47" t="n">
        <x:v>0.3</x:v>
      </x:c>
      <x:c r="X1795" s="54" t="str">
        <x:f>IF(ISNUMBER(V1795),V1795/(1-W1795),"")</x:f>
      </x:c>
      <x:c r="Y1795" s="55" t="str">
        <x:f>IF(ISNUMBER(X1795),ROUNDUP(X1795,0),"")</x:f>
      </x:c>
      <x:c r="Z1795" t="str">
        <x:f>IF(ISNUMBER(T1795),"Cost captured","Awaiting trade cost")</x:f>
        <x:v>Awaiting trade cost</x:v>
      </x:c>
      <x:c r="AB1795" s="36" t="str">
        <x:f>IF(ISNUMBER(Y1795),ROUND(Y1795*0.9,2),"")</x:f>
      </x:c>
      <x:c r="AC1795" s="36" t="str">
        <x:f>IF(ISNUMBER(AB1795),ROUND(AB1795-(AB1795*0.015+0.2)-V1795,2),"")</x:f>
      </x:c>
      <x:c r="AD1795" s="36" t="str">
        <x:f>IF(ISNUMBER(Y1795),ROUND(Y1795*0.8,2),"")</x:f>
      </x:c>
      <x:c r="AE1795" s="36" t="str">
        <x:f>IF(ISNUMBER(AD1795),ROUND(AD1795*0.015+0.2,2),"")</x:f>
      </x:c>
      <x:c r="AF1795" s="36" t="str">
        <x:f>IF(ISNUMBER(AD1795),ROUND(AD1795-AE1795-V1795,2),"")</x:f>
      </x:c>
      <x:c r="AG1795" t="str">
        <x:f>IF(NOT(ISNUMBER(T1795)),"PENDING",IF(AF1795&gt;0,"PASS","FAIL"))</x:f>
        <x:v>PENDING</x:v>
      </x:c>
      <x:c r="AH1795" t="str">
        <x:f>IF(NOT(ISNUMBER(T1795)),"Needs supplier cost",IF(K1795&lt;&gt;"In stock","Supplier unavailable",IF(AG1795&lt;&gt;"PASS","BLOCK - GT loss risk","Commercially protected")))</x:f>
        <x:v>Needs supplier cost</x:v>
      </x:c>
      <x:c r="AI1795" t="str">
        <x:v>2026-09-10 Active Sports trade capture</x:v>
      </x:c>
      <x:c r="AJ1795" t="str">
        <x:v>Management-only economics. Stripe stress test uses 1.5% + £0.20 standard UK online-card fee; pallet/mix-and-match pricing ignored.</x:v>
      </x:c>
    </x:row>
    <x:row r="1796">
      <x:c r="A1796" t="str">
        <x:v>Active Sports Nutrition</x:v>
      </x:c>
      <x:c r="B1796" t="str">
        <x:v>Strom Sports Nutrition</x:v>
      </x:c>
      <x:c r="C1796" t="str">
        <x:v>NitroMAX</x:v>
      </x:c>
      <x:c r="D1796" t="str">
        <x:v>Pre Workouts</x:v>
      </x:c>
      <x:c r="E1796" t="str">
        <x:v>Stim FREE</x:v>
      </x:c>
      <x:c r="F1796" t="str"/>
      <x:c r="G1796" t="str">
        <x:v>40 servings</x:v>
      </x:c>
      <x:c r="H1796" t="str">
        <x:v>Cherry</x:v>
      </x:c>
      <x:c r="I1796" t="str"/>
      <x:c r="J1796" t="str">
        <x:v>Unit</x:v>
      </x:c>
      <x:c r="K1796" t="str">
        <x:v>In stock</x:v>
      </x:c>
      <x:c r="L1796" t="str">
        <x:v>2026-09-08</x:v>
      </x:c>
      <x:c r="M1796" t="str"/>
      <x:c r="N1796" t="str"/>
      <x:c r="O1796" t="str">
        <x:v>https://www.activesportstrade.co.uk/strom-sports-nutrition-trade</x:v>
      </x:c>
      <x:c r="P1796" t="str"/>
      <x:c r="Q1796" t="str"/>
      <x:c r="R1796" t="str"/>
      <x:c r="S1796" t="str">
        <x:v>Pending genuine supplier/brand image</x:v>
      </x:c>
      <x:c r="T1796" s="54"/>
      <x:c r="U1796" s="47" t="n">
        <x:v>0.2</x:v>
      </x:c>
      <x:c r="V1796" s="54" t="str">
        <x:f>IF(ISNUMBER(T1796),T1796*(1+U1796),"")</x:f>
      </x:c>
      <x:c r="W1796" s="47" t="n">
        <x:v>0.3</x:v>
      </x:c>
      <x:c r="X1796" s="54" t="str">
        <x:f>IF(ISNUMBER(V1796),V1796/(1-W1796),"")</x:f>
      </x:c>
      <x:c r="Y1796" s="55" t="str">
        <x:f>IF(ISNUMBER(X1796),ROUNDUP(X1796,0),"")</x:f>
      </x:c>
      <x:c r="Z1796" t="str">
        <x:f>IF(ISNUMBER(T1796),"Cost captured","Awaiting trade cost")</x:f>
        <x:v>Awaiting trade cost</x:v>
      </x:c>
      <x:c r="AB1796" s="36" t="str">
        <x:f>IF(ISNUMBER(Y1796),ROUND(Y1796*0.9,2),"")</x:f>
      </x:c>
      <x:c r="AC1796" s="36" t="str">
        <x:f>IF(ISNUMBER(AB1796),ROUND(AB1796-(AB1796*0.015+0.2)-V1796,2),"")</x:f>
      </x:c>
      <x:c r="AD1796" s="36" t="str">
        <x:f>IF(ISNUMBER(Y1796),ROUND(Y1796*0.8,2),"")</x:f>
      </x:c>
      <x:c r="AE1796" s="36" t="str">
        <x:f>IF(ISNUMBER(AD1796),ROUND(AD1796*0.015+0.2,2),"")</x:f>
      </x:c>
      <x:c r="AF1796" s="36" t="str">
        <x:f>IF(ISNUMBER(AD1796),ROUND(AD1796-AE1796-V1796,2),"")</x:f>
      </x:c>
      <x:c r="AG1796" t="str">
        <x:f>IF(NOT(ISNUMBER(T1796)),"PENDING",IF(AF1796&gt;0,"PASS","FAIL"))</x:f>
        <x:v>PENDING</x:v>
      </x:c>
      <x:c r="AH1796" t="str">
        <x:f>IF(NOT(ISNUMBER(T1796)),"Needs supplier cost",IF(K1796&lt;&gt;"In stock","Supplier unavailable",IF(AG1796&lt;&gt;"PASS","BLOCK - GT loss risk","Commercially protected")))</x:f>
        <x:v>Needs supplier cost</x:v>
      </x:c>
      <x:c r="AI1796" t="str">
        <x:v>2026-09-10 Active Sports trade capture</x:v>
      </x:c>
      <x:c r="AJ1796" t="str">
        <x:v>Management-only economics. Stripe stress test uses 1.5% + £0.20 standard UK online-card fee; pallet/mix-and-match pricing ignored.</x:v>
      </x:c>
    </x:row>
    <x:row r="1797">
      <x:c r="A1797" t="str">
        <x:v>Active Sports Nutrition</x:v>
      </x:c>
      <x:c r="B1797" t="str">
        <x:v>Strom Sports Nutrition</x:v>
      </x:c>
      <x:c r="C1797" t="str">
        <x:v>NitroMAX</x:v>
      </x:c>
      <x:c r="D1797" t="str">
        <x:v>Pre Workouts</x:v>
      </x:c>
      <x:c r="E1797" t="str">
        <x:v>Stim FREE</x:v>
      </x:c>
      <x:c r="F1797" t="str"/>
      <x:c r="G1797" t="str">
        <x:v>40 servings</x:v>
      </x:c>
      <x:c r="H1797" t="str">
        <x:v>Lemon Lime</x:v>
      </x:c>
      <x:c r="I1797" t="str"/>
      <x:c r="J1797" t="str">
        <x:v>Unit</x:v>
      </x:c>
      <x:c r="K1797" t="str">
        <x:v>In stock</x:v>
      </x:c>
      <x:c r="L1797" t="str">
        <x:v>2026-09-08</x:v>
      </x:c>
      <x:c r="M1797" t="str"/>
      <x:c r="N1797" t="str"/>
      <x:c r="O1797" t="str">
        <x:v>https://www.activesportstrade.co.uk/strom-sports-nutrition-trade</x:v>
      </x:c>
      <x:c r="P1797" t="str"/>
      <x:c r="Q1797" t="str"/>
      <x:c r="R1797" t="str"/>
      <x:c r="S1797" t="str">
        <x:v>Pending genuine supplier/brand image</x:v>
      </x:c>
      <x:c r="T1797" s="54"/>
      <x:c r="U1797" s="47" t="n">
        <x:v>0.2</x:v>
      </x:c>
      <x:c r="V1797" s="54" t="str">
        <x:f>IF(ISNUMBER(T1797),T1797*(1+U1797),"")</x:f>
      </x:c>
      <x:c r="W1797" s="47" t="n">
        <x:v>0.3</x:v>
      </x:c>
      <x:c r="X1797" s="54" t="str">
        <x:f>IF(ISNUMBER(V1797),V1797/(1-W1797),"")</x:f>
      </x:c>
      <x:c r="Y1797" s="55" t="str">
        <x:f>IF(ISNUMBER(X1797),ROUNDUP(X1797,0),"")</x:f>
      </x:c>
      <x:c r="Z1797" t="str">
        <x:f>IF(ISNUMBER(T1797),"Cost captured","Awaiting trade cost")</x:f>
        <x:v>Awaiting trade cost</x:v>
      </x:c>
      <x:c r="AB1797" s="36" t="str">
        <x:f>IF(ISNUMBER(Y1797),ROUND(Y1797*0.9,2),"")</x:f>
      </x:c>
      <x:c r="AC1797" s="36" t="str">
        <x:f>IF(ISNUMBER(AB1797),ROUND(AB1797-(AB1797*0.015+0.2)-V1797,2),"")</x:f>
      </x:c>
      <x:c r="AD1797" s="36" t="str">
        <x:f>IF(ISNUMBER(Y1797),ROUND(Y1797*0.8,2),"")</x:f>
      </x:c>
      <x:c r="AE1797" s="36" t="str">
        <x:f>IF(ISNUMBER(AD1797),ROUND(AD1797*0.015+0.2,2),"")</x:f>
      </x:c>
      <x:c r="AF1797" s="36" t="str">
        <x:f>IF(ISNUMBER(AD1797),ROUND(AD1797-AE1797-V1797,2),"")</x:f>
      </x:c>
      <x:c r="AG1797" t="str">
        <x:f>IF(NOT(ISNUMBER(T1797)),"PENDING",IF(AF1797&gt;0,"PASS","FAIL"))</x:f>
        <x:v>PENDING</x:v>
      </x:c>
      <x:c r="AH1797" t="str">
        <x:f>IF(NOT(ISNUMBER(T1797)),"Needs supplier cost",IF(K1797&lt;&gt;"In stock","Supplier unavailable",IF(AG1797&lt;&gt;"PASS","BLOCK - GT loss risk","Commercially protected")))</x:f>
        <x:v>Needs supplier cost</x:v>
      </x:c>
      <x:c r="AI1797" t="str">
        <x:v>2026-09-10 Active Sports trade capture</x:v>
      </x:c>
      <x:c r="AJ1797" t="str">
        <x:v>Management-only economics. Stripe stress test uses 1.5% + £0.20 standard UK online-card fee; pallet/mix-and-match pricing ignored.</x:v>
      </x:c>
    </x:row>
    <x:row r="1798">
      <x:c r="A1798" t="str">
        <x:v>Active Sports Nutrition</x:v>
      </x:c>
      <x:c r="B1798" t="str">
        <x:v>Strom Sports Nutrition</x:v>
      </x:c>
      <x:c r="C1798" t="str">
        <x:v>NitroMAX</x:v>
      </x:c>
      <x:c r="D1798" t="str">
        <x:v>Pre Workouts</x:v>
      </x:c>
      <x:c r="E1798" t="str">
        <x:v>Stim FREE</x:v>
      </x:c>
      <x:c r="F1798" t="str"/>
      <x:c r="G1798" t="str">
        <x:v>40 servings</x:v>
      </x:c>
      <x:c r="H1798" t="str">
        <x:v>Pineapple</x:v>
      </x:c>
      <x:c r="I1798" t="str"/>
      <x:c r="J1798" t="str">
        <x:v>Unit</x:v>
      </x:c>
      <x:c r="K1798" t="str">
        <x:v>In stock</x:v>
      </x:c>
      <x:c r="L1798" t="str">
        <x:v>2026-09-08</x:v>
      </x:c>
      <x:c r="M1798" t="str"/>
      <x:c r="N1798" t="str"/>
      <x:c r="O1798" t="str">
        <x:v>https://www.activesportstrade.co.uk/strom-sports-nutrition-trade</x:v>
      </x:c>
      <x:c r="P1798" t="str"/>
      <x:c r="Q1798" t="str"/>
      <x:c r="R1798" t="str"/>
      <x:c r="S1798" t="str">
        <x:v>Pending genuine supplier/brand image</x:v>
      </x:c>
      <x:c r="T1798" s="54"/>
      <x:c r="U1798" s="47" t="n">
        <x:v>0.2</x:v>
      </x:c>
      <x:c r="V1798" s="54" t="str">
        <x:f>IF(ISNUMBER(T1798),T1798*(1+U1798),"")</x:f>
      </x:c>
      <x:c r="W1798" s="47" t="n">
        <x:v>0.3</x:v>
      </x:c>
      <x:c r="X1798" s="54" t="str">
        <x:f>IF(ISNUMBER(V1798),V1798/(1-W1798),"")</x:f>
      </x:c>
      <x:c r="Y1798" s="55" t="str">
        <x:f>IF(ISNUMBER(X1798),ROUNDUP(X1798,0),"")</x:f>
      </x:c>
      <x:c r="Z1798" t="str">
        <x:f>IF(ISNUMBER(T1798),"Cost captured","Awaiting trade cost")</x:f>
        <x:v>Awaiting trade cost</x:v>
      </x:c>
      <x:c r="AB1798" s="36" t="str">
        <x:f>IF(ISNUMBER(Y1798),ROUND(Y1798*0.9,2),"")</x:f>
      </x:c>
      <x:c r="AC1798" s="36" t="str">
        <x:f>IF(ISNUMBER(AB1798),ROUND(AB1798-(AB1798*0.015+0.2)-V1798,2),"")</x:f>
      </x:c>
      <x:c r="AD1798" s="36" t="str">
        <x:f>IF(ISNUMBER(Y1798),ROUND(Y1798*0.8,2),"")</x:f>
      </x:c>
      <x:c r="AE1798" s="36" t="str">
        <x:f>IF(ISNUMBER(AD1798),ROUND(AD1798*0.015+0.2,2),"")</x:f>
      </x:c>
      <x:c r="AF1798" s="36" t="str">
        <x:f>IF(ISNUMBER(AD1798),ROUND(AD1798-AE1798-V1798,2),"")</x:f>
      </x:c>
      <x:c r="AG1798" t="str">
        <x:f>IF(NOT(ISNUMBER(T1798)),"PENDING",IF(AF1798&gt;0,"PASS","FAIL"))</x:f>
        <x:v>PENDING</x:v>
      </x:c>
      <x:c r="AH1798" t="str">
        <x:f>IF(NOT(ISNUMBER(T1798)),"Needs supplier cost",IF(K1798&lt;&gt;"In stock","Supplier unavailable",IF(AG1798&lt;&gt;"PASS","BLOCK - GT loss risk","Commercially protected")))</x:f>
        <x:v>Needs supplier cost</x:v>
      </x:c>
      <x:c r="AI1798" t="str">
        <x:v>2026-09-10 Active Sports trade capture</x:v>
      </x:c>
      <x:c r="AJ1798" t="str">
        <x:v>Management-only economics. Stripe stress test uses 1.5% + £0.20 standard UK online-card fee; pallet/mix-and-match pricing ignored.</x:v>
      </x:c>
    </x:row>
    <x:row r="1799">
      <x:c r="A1799" t="str">
        <x:v>Active Sports Nutrition</x:v>
      </x:c>
      <x:c r="B1799" t="str">
        <x:v>Strom Sports Nutrition</x:v>
      </x:c>
      <x:c r="C1799" t="str">
        <x:v>StimuMAX</x:v>
      </x:c>
      <x:c r="D1799" t="str">
        <x:v>Pre Workouts</x:v>
      </x:c>
      <x:c r="E1799" t="str">
        <x:v>High Stim</x:v>
      </x:c>
      <x:c r="F1799" t="str"/>
      <x:c r="G1799" t="str">
        <x:v>40 servings</x:v>
      </x:c>
      <x:c r="H1799" t="str">
        <x:v>Cherry</x:v>
      </x:c>
      <x:c r="I1799" t="str"/>
      <x:c r="J1799" t="str">
        <x:v>Unit</x:v>
      </x:c>
      <x:c r="K1799" t="str">
        <x:v>In stock</x:v>
      </x:c>
      <x:c r="L1799" t="str">
        <x:v>2026-09-08</x:v>
      </x:c>
      <x:c r="M1799" t="str"/>
      <x:c r="N1799" t="str"/>
      <x:c r="O1799" t="str">
        <x:v>https://www.activesportstrade.co.uk/strom-sports-nutrition-trade</x:v>
      </x:c>
      <x:c r="P1799" t="str">
        <x:v>Separate from StimuMAX Black Edition; retained as distinct supplier family.</x:v>
      </x:c>
      <x:c r="Q1799" t="str"/>
      <x:c r="R1799" t="str"/>
      <x:c r="S1799" t="str">
        <x:v>Pending genuine supplier/brand image</x:v>
      </x:c>
      <x:c r="T1799" s="54"/>
      <x:c r="U1799" s="47" t="n">
        <x:v>0.2</x:v>
      </x:c>
      <x:c r="V1799" s="54" t="str">
        <x:f>IF(ISNUMBER(T1799),T1799*(1+U1799),"")</x:f>
      </x:c>
      <x:c r="W1799" s="47" t="n">
        <x:v>0.3</x:v>
      </x:c>
      <x:c r="X1799" s="54" t="str">
        <x:f>IF(ISNUMBER(V1799),V1799/(1-W1799),"")</x:f>
      </x:c>
      <x:c r="Y1799" s="55" t="str">
        <x:f>IF(ISNUMBER(X1799),ROUNDUP(X1799,0),"")</x:f>
      </x:c>
      <x:c r="Z1799" t="str">
        <x:f>IF(ISNUMBER(T1799),"Cost captured","Awaiting trade cost")</x:f>
        <x:v>Awaiting trade cost</x:v>
      </x:c>
      <x:c r="AB1799" s="36" t="str">
        <x:f>IF(ISNUMBER(Y1799),ROUND(Y1799*0.9,2),"")</x:f>
      </x:c>
      <x:c r="AC1799" s="36" t="str">
        <x:f>IF(ISNUMBER(AB1799),ROUND(AB1799-(AB1799*0.015+0.2)-V1799,2),"")</x:f>
      </x:c>
      <x:c r="AD1799" s="36" t="str">
        <x:f>IF(ISNUMBER(Y1799),ROUND(Y1799*0.8,2),"")</x:f>
      </x:c>
      <x:c r="AE1799" s="36" t="str">
        <x:f>IF(ISNUMBER(AD1799),ROUND(AD1799*0.015+0.2,2),"")</x:f>
      </x:c>
      <x:c r="AF1799" s="36" t="str">
        <x:f>IF(ISNUMBER(AD1799),ROUND(AD1799-AE1799-V1799,2),"")</x:f>
      </x:c>
      <x:c r="AG1799" t="str">
        <x:f>IF(NOT(ISNUMBER(T1799)),"PENDING",IF(AF1799&gt;0,"PASS","FAIL"))</x:f>
        <x:v>PENDING</x:v>
      </x:c>
      <x:c r="AH1799" t="str">
        <x:f>IF(NOT(ISNUMBER(T1799)),"Needs supplier cost",IF(K1799&lt;&gt;"In stock","Supplier unavailable",IF(AG1799&lt;&gt;"PASS","BLOCK - GT loss risk","Commercially protected")))</x:f>
        <x:v>Needs supplier cost</x:v>
      </x:c>
      <x:c r="AI1799" t="str">
        <x:v>2026-09-10 Active Sports trade capture</x:v>
      </x:c>
      <x:c r="AJ1799" t="str">
        <x:v>Management-only economics. Stripe stress test uses 1.5% + £0.20 standard UK online-card fee; pallet/mix-and-match pricing ignored.</x:v>
      </x:c>
    </x:row>
    <x:row r="1800">
      <x:c r="A1800" t="str">
        <x:v>Active Sports Nutrition</x:v>
      </x:c>
      <x:c r="B1800" t="str">
        <x:v>Strom Sports Nutrition</x:v>
      </x:c>
      <x:c r="C1800" t="str">
        <x:v>StimuMAX</x:v>
      </x:c>
      <x:c r="D1800" t="str">
        <x:v>Pre Workouts</x:v>
      </x:c>
      <x:c r="E1800" t="str">
        <x:v>High Stim</x:v>
      </x:c>
      <x:c r="F1800" t="str"/>
      <x:c r="G1800" t="str">
        <x:v>40 servings</x:v>
      </x:c>
      <x:c r="H1800" t="str">
        <x:v>Lemon Lime</x:v>
      </x:c>
      <x:c r="I1800" t="str"/>
      <x:c r="J1800" t="str">
        <x:v>Unit</x:v>
      </x:c>
      <x:c r="K1800" t="str">
        <x:v>In stock</x:v>
      </x:c>
      <x:c r="L1800" t="str">
        <x:v>2026-09-08</x:v>
      </x:c>
      <x:c r="M1800" t="str"/>
      <x:c r="N1800" t="str"/>
      <x:c r="O1800" t="str">
        <x:v>https://www.activesportstrade.co.uk/strom-sports-nutrition-trade</x:v>
      </x:c>
      <x:c r="P1800" t="str">
        <x:v>Separate from StimuMAX Black Edition; retained as distinct supplier family.</x:v>
      </x:c>
      <x:c r="Q1800" t="str"/>
      <x:c r="R1800" t="str"/>
      <x:c r="S1800" t="str">
        <x:v>Pending genuine supplier/brand image</x:v>
      </x:c>
      <x:c r="T1800" s="54"/>
      <x:c r="U1800" s="47" t="n">
        <x:v>0.2</x:v>
      </x:c>
      <x:c r="V1800" s="54" t="str">
        <x:f>IF(ISNUMBER(T1800),T1800*(1+U1800),"")</x:f>
      </x:c>
      <x:c r="W1800" s="47" t="n">
        <x:v>0.3</x:v>
      </x:c>
      <x:c r="X1800" s="54" t="str">
        <x:f>IF(ISNUMBER(V1800),V1800/(1-W1800),"")</x:f>
      </x:c>
      <x:c r="Y1800" s="55" t="str">
        <x:f>IF(ISNUMBER(X1800),ROUNDUP(X1800,0),"")</x:f>
      </x:c>
      <x:c r="Z1800" t="str">
        <x:f>IF(ISNUMBER(T1800),"Cost captured","Awaiting trade cost")</x:f>
        <x:v>Awaiting trade cost</x:v>
      </x:c>
      <x:c r="AB1800" s="36" t="str">
        <x:f>IF(ISNUMBER(Y1800),ROUND(Y1800*0.9,2),"")</x:f>
      </x:c>
      <x:c r="AC1800" s="36" t="str">
        <x:f>IF(ISNUMBER(AB1800),ROUND(AB1800-(AB1800*0.015+0.2)-V1800,2),"")</x:f>
      </x:c>
      <x:c r="AD1800" s="36" t="str">
        <x:f>IF(ISNUMBER(Y1800),ROUND(Y1800*0.8,2),"")</x:f>
      </x:c>
      <x:c r="AE1800" s="36" t="str">
        <x:f>IF(ISNUMBER(AD1800),ROUND(AD1800*0.015+0.2,2),"")</x:f>
      </x:c>
      <x:c r="AF1800" s="36" t="str">
        <x:f>IF(ISNUMBER(AD1800),ROUND(AD1800-AE1800-V1800,2),"")</x:f>
      </x:c>
      <x:c r="AG1800" t="str">
        <x:f>IF(NOT(ISNUMBER(T1800)),"PENDING",IF(AF1800&gt;0,"PASS","FAIL"))</x:f>
        <x:v>PENDING</x:v>
      </x:c>
      <x:c r="AH1800" t="str">
        <x:f>IF(NOT(ISNUMBER(T1800)),"Needs supplier cost",IF(K1800&lt;&gt;"In stock","Supplier unavailable",IF(AG1800&lt;&gt;"PASS","BLOCK - GT loss risk","Commercially protected")))</x:f>
        <x:v>Needs supplier cost</x:v>
      </x:c>
      <x:c r="AI1800" t="str">
        <x:v>2026-09-10 Active Sports trade capture</x:v>
      </x:c>
      <x:c r="AJ1800" t="str">
        <x:v>Management-only economics. Stripe stress test uses 1.5% + £0.20 standard UK online-card fee; pallet/mix-and-match pricing ignored.</x:v>
      </x:c>
    </x:row>
    <x:row r="1801">
      <x:c r="A1801" t="str">
        <x:v>Active Sports Nutrition</x:v>
      </x:c>
      <x:c r="B1801" t="str">
        <x:v>Strom Sports Nutrition</x:v>
      </x:c>
      <x:c r="C1801" t="str">
        <x:v>StimuMAX</x:v>
      </x:c>
      <x:c r="D1801" t="str">
        <x:v>Pre Workouts</x:v>
      </x:c>
      <x:c r="E1801" t="str">
        <x:v>High Stim</x:v>
      </x:c>
      <x:c r="F1801" t="str"/>
      <x:c r="G1801" t="str">
        <x:v>40 servings</x:v>
      </x:c>
      <x:c r="H1801" t="str">
        <x:v>Orange Mango</x:v>
      </x:c>
      <x:c r="I1801" t="str"/>
      <x:c r="J1801" t="str">
        <x:v>Unit</x:v>
      </x:c>
      <x:c r="K1801" t="str">
        <x:v>Out of stock</x:v>
      </x:c>
      <x:c r="L1801" t="str">
        <x:v>2026-09-08</x:v>
      </x:c>
      <x:c r="M1801" t="str"/>
      <x:c r="N1801" t="str"/>
      <x:c r="O1801" t="str">
        <x:v>https://www.activesportstrade.co.uk/strom-sports-nutrition-trade</x:v>
      </x:c>
      <x:c r="P1801" t="str">
        <x:v>Separate from StimuMAX Black Edition; retained as distinct supplier family.</x:v>
      </x:c>
      <x:c r="Q1801" t="str"/>
      <x:c r="R1801" t="str"/>
      <x:c r="S1801" t="str">
        <x:v>Pending genuine supplier/brand image</x:v>
      </x:c>
      <x:c r="T1801" s="54"/>
      <x:c r="U1801" s="47" t="n">
        <x:v>0.2</x:v>
      </x:c>
      <x:c r="V1801" s="54" t="str">
        <x:f>IF(ISNUMBER(T1801),T1801*(1+U1801),"")</x:f>
      </x:c>
      <x:c r="W1801" s="47" t="n">
        <x:v>0.3</x:v>
      </x:c>
      <x:c r="X1801" s="54" t="str">
        <x:f>IF(ISNUMBER(V1801),V1801/(1-W1801),"")</x:f>
      </x:c>
      <x:c r="Y1801" s="55" t="str">
        <x:f>IF(ISNUMBER(X1801),ROUNDUP(X1801,0),"")</x:f>
      </x:c>
      <x:c r="Z1801" t="str">
        <x:f>IF(ISNUMBER(T1801),"Cost captured","Awaiting trade cost")</x:f>
        <x:v>Awaiting trade cost</x:v>
      </x:c>
      <x:c r="AB1801" s="36" t="str">
        <x:f>IF(ISNUMBER(Y1801),ROUND(Y1801*0.9,2),"")</x:f>
      </x:c>
      <x:c r="AC1801" s="36" t="str">
        <x:f>IF(ISNUMBER(AB1801),ROUND(AB1801-(AB1801*0.015+0.2)-V1801,2),"")</x:f>
      </x:c>
      <x:c r="AD1801" s="36" t="str">
        <x:f>IF(ISNUMBER(Y1801),ROUND(Y1801*0.8,2),"")</x:f>
      </x:c>
      <x:c r="AE1801" s="36" t="str">
        <x:f>IF(ISNUMBER(AD1801),ROUND(AD1801*0.015+0.2,2),"")</x:f>
      </x:c>
      <x:c r="AF1801" s="36" t="str">
        <x:f>IF(ISNUMBER(AD1801),ROUND(AD1801-AE1801-V1801,2),"")</x:f>
      </x:c>
      <x:c r="AG1801" t="str">
        <x:f>IF(NOT(ISNUMBER(T1801)),"PENDING",IF(AF1801&gt;0,"PASS","FAIL"))</x:f>
        <x:v>PENDING</x:v>
      </x:c>
      <x:c r="AH1801" t="str">
        <x:f>IF(NOT(ISNUMBER(T1801)),"Needs supplier cost",IF(K1801&lt;&gt;"In stock","Supplier unavailable",IF(AG1801&lt;&gt;"PASS","BLOCK - GT loss risk","Commercially protected")))</x:f>
        <x:v>Needs supplier cost</x:v>
      </x:c>
      <x:c r="AI1801" t="str">
        <x:v>2026-09-10 Active Sports trade capture</x:v>
      </x:c>
      <x:c r="AJ1801" t="str">
        <x:v>Management-only economics. Stripe stress test uses 1.5% + £0.20 standard UK online-card fee; pallet/mix-and-match pricing ignored.</x:v>
      </x:c>
    </x:row>
    <x:row r="1802">
      <x:c r="A1802" t="str">
        <x:v>Active Sports Nutrition</x:v>
      </x:c>
      <x:c r="B1802" t="str">
        <x:v>Strom Sports Nutrition</x:v>
      </x:c>
      <x:c r="C1802" t="str">
        <x:v>StimuMAX</x:v>
      </x:c>
      <x:c r="D1802" t="str">
        <x:v>Pre Workouts</x:v>
      </x:c>
      <x:c r="E1802" t="str">
        <x:v>High Stim</x:v>
      </x:c>
      <x:c r="F1802" t="str"/>
      <x:c r="G1802" t="str">
        <x:v>40 servings</x:v>
      </x:c>
      <x:c r="H1802" t="str">
        <x:v>Pineapple</x:v>
      </x:c>
      <x:c r="I1802" t="str"/>
      <x:c r="J1802" t="str">
        <x:v>Unit</x:v>
      </x:c>
      <x:c r="K1802" t="str">
        <x:v>In stock</x:v>
      </x:c>
      <x:c r="L1802" t="str">
        <x:v>2026-09-08</x:v>
      </x:c>
      <x:c r="M1802" t="str"/>
      <x:c r="N1802" t="str"/>
      <x:c r="O1802" t="str">
        <x:v>https://www.activesportstrade.co.uk/strom-sports-nutrition-trade</x:v>
      </x:c>
      <x:c r="P1802" t="str">
        <x:v>Separate from StimuMAX Black Edition; retained as distinct supplier family.</x:v>
      </x:c>
      <x:c r="Q1802" t="str"/>
      <x:c r="R1802" t="str"/>
      <x:c r="S1802" t="str">
        <x:v>Pending genuine supplier/brand image</x:v>
      </x:c>
      <x:c r="T1802" s="54"/>
      <x:c r="U1802" s="47" t="n">
        <x:v>0.2</x:v>
      </x:c>
      <x:c r="V1802" s="54" t="str">
        <x:f>IF(ISNUMBER(T1802),T1802*(1+U1802),"")</x:f>
      </x:c>
      <x:c r="W1802" s="47" t="n">
        <x:v>0.3</x:v>
      </x:c>
      <x:c r="X1802" s="54" t="str">
        <x:f>IF(ISNUMBER(V1802),V1802/(1-W1802),"")</x:f>
      </x:c>
      <x:c r="Y1802" s="55" t="str">
        <x:f>IF(ISNUMBER(X1802),ROUNDUP(X1802,0),"")</x:f>
      </x:c>
      <x:c r="Z1802" t="str">
        <x:f>IF(ISNUMBER(T1802),"Cost captured","Awaiting trade cost")</x:f>
        <x:v>Awaiting trade cost</x:v>
      </x:c>
      <x:c r="AB1802" s="36" t="str">
        <x:f>IF(ISNUMBER(Y1802),ROUND(Y1802*0.9,2),"")</x:f>
      </x:c>
      <x:c r="AC1802" s="36" t="str">
        <x:f>IF(ISNUMBER(AB1802),ROUND(AB1802-(AB1802*0.015+0.2)-V1802,2),"")</x:f>
      </x:c>
      <x:c r="AD1802" s="36" t="str">
        <x:f>IF(ISNUMBER(Y1802),ROUND(Y1802*0.8,2),"")</x:f>
      </x:c>
      <x:c r="AE1802" s="36" t="str">
        <x:f>IF(ISNUMBER(AD1802),ROUND(AD1802*0.015+0.2,2),"")</x:f>
      </x:c>
      <x:c r="AF1802" s="36" t="str">
        <x:f>IF(ISNUMBER(AD1802),ROUND(AD1802-AE1802-V1802,2),"")</x:f>
      </x:c>
      <x:c r="AG1802" t="str">
        <x:f>IF(NOT(ISNUMBER(T1802)),"PENDING",IF(AF1802&gt;0,"PASS","FAIL"))</x:f>
        <x:v>PENDING</x:v>
      </x:c>
      <x:c r="AH1802" t="str">
        <x:f>IF(NOT(ISNUMBER(T1802)),"Needs supplier cost",IF(K1802&lt;&gt;"In stock","Supplier unavailable",IF(AG1802&lt;&gt;"PASS","BLOCK - GT loss risk","Commercially protected")))</x:f>
        <x:v>Needs supplier cost</x:v>
      </x:c>
      <x:c r="AI1802" t="str">
        <x:v>2026-09-10 Active Sports trade capture</x:v>
      </x:c>
      <x:c r="AJ1802" t="str">
        <x:v>Management-only economics. Stripe stress test uses 1.5% + £0.20 standard UK online-card fee; pallet/mix-and-match pricing ignored.</x:v>
      </x:c>
    </x:row>
    <x:row r="1803">
      <x:c r="A1803" t="str">
        <x:v>Active Sports Nutrition</x:v>
      </x:c>
      <x:c r="B1803" t="str">
        <x:v>Strom Sports Nutrition</x:v>
      </x:c>
      <x:c r="C1803" t="str">
        <x:v>Creatine Monohydrate</x:v>
      </x:c>
      <x:c r="D1803" t="str">
        <x:v>Supplements</x:v>
      </x:c>
      <x:c r="E1803" t="str">
        <x:v>Creatine Powders</x:v>
      </x:c>
      <x:c r="F1803" t="str"/>
      <x:c r="G1803" t="str">
        <x:v>500g</x:v>
      </x:c>
      <x:c r="H1803" t="str">
        <x:v>Unflavoured</x:v>
      </x:c>
      <x:c r="I1803" t="str"/>
      <x:c r="J1803" t="str">
        <x:v>Unit</x:v>
      </x:c>
      <x:c r="K1803" t="str">
        <x:v>In stock</x:v>
      </x:c>
      <x:c r="L1803" t="str">
        <x:v>2026-09-08</x:v>
      </x:c>
      <x:c r="M1803" t="str"/>
      <x:c r="N1803" t="str"/>
      <x:c r="O1803" t="str">
        <x:v>https://www.activesportstrade.co.uk/strom-sports-nutrition-trade</x:v>
      </x:c>
      <x:c r="P1803" t="str"/>
      <x:c r="Q1803" t="str"/>
      <x:c r="R1803" t="str"/>
      <x:c r="S1803" t="str">
        <x:v>Pending genuine supplier/brand image</x:v>
      </x:c>
      <x:c r="T1803" s="54"/>
      <x:c r="U1803" s="47" t="n">
        <x:v>0.2</x:v>
      </x:c>
      <x:c r="V1803" s="54" t="str">
        <x:f>IF(ISNUMBER(T1803),T1803*(1+U1803),"")</x:f>
      </x:c>
      <x:c r="W1803" s="47" t="n">
        <x:v>0.3</x:v>
      </x:c>
      <x:c r="X1803" s="54" t="str">
        <x:f>IF(ISNUMBER(V1803),V1803/(1-W1803),"")</x:f>
      </x:c>
      <x:c r="Y1803" s="55" t="str">
        <x:f>IF(ISNUMBER(X1803),ROUNDUP(X1803,0),"")</x:f>
      </x:c>
      <x:c r="Z1803" t="str">
        <x:f>IF(ISNUMBER(T1803),"Cost captured","Awaiting trade cost")</x:f>
        <x:v>Awaiting trade cost</x:v>
      </x:c>
      <x:c r="AB1803" s="36" t="str">
        <x:f>IF(ISNUMBER(Y1803),ROUND(Y1803*0.9,2),"")</x:f>
      </x:c>
      <x:c r="AC1803" s="36" t="str">
        <x:f>IF(ISNUMBER(AB1803),ROUND(AB1803-(AB1803*0.015+0.2)-V1803,2),"")</x:f>
      </x:c>
      <x:c r="AD1803" s="36" t="str">
        <x:f>IF(ISNUMBER(Y1803),ROUND(Y1803*0.8,2),"")</x:f>
      </x:c>
      <x:c r="AE1803" s="36" t="str">
        <x:f>IF(ISNUMBER(AD1803),ROUND(AD1803*0.015+0.2,2),"")</x:f>
      </x:c>
      <x:c r="AF1803" s="36" t="str">
        <x:f>IF(ISNUMBER(AD1803),ROUND(AD1803-AE1803-V1803,2),"")</x:f>
      </x:c>
      <x:c r="AG1803" t="str">
        <x:f>IF(NOT(ISNUMBER(T1803)),"PENDING",IF(AF1803&gt;0,"PASS","FAIL"))</x:f>
        <x:v>PENDING</x:v>
      </x:c>
      <x:c r="AH1803" t="str">
        <x:f>IF(NOT(ISNUMBER(T1803)),"Needs supplier cost",IF(K1803&lt;&gt;"In stock","Supplier unavailable",IF(AG1803&lt;&gt;"PASS","BLOCK - GT loss risk","Commercially protected")))</x:f>
        <x:v>Needs supplier cost</x:v>
      </x:c>
      <x:c r="AI1803" t="str">
        <x:v>2026-09-10 Active Sports trade capture</x:v>
      </x:c>
      <x:c r="AJ1803" t="str">
        <x:v>Management-only economics. Stripe stress test uses 1.5% + £0.20 standard UK online-card fee; pallet/mix-and-match pricing ignored.</x:v>
      </x:c>
    </x:row>
    <x:row r="1804">
      <x:c r="A1804" t="str">
        <x:v>Active Sports Nutrition</x:v>
      </x:c>
      <x:c r="B1804" t="str">
        <x:v>Strom Sports Nutrition</x:v>
      </x:c>
      <x:c r="C1804" t="str">
        <x:v>Glutamine</x:v>
      </x:c>
      <x:c r="D1804" t="str">
        <x:v>Supplements</x:v>
      </x:c>
      <x:c r="E1804" t="str">
        <x:v>L-Glutamine</x:v>
      </x:c>
      <x:c r="F1804" t="str"/>
      <x:c r="G1804" t="str">
        <x:v>500g</x:v>
      </x:c>
      <x:c r="H1804" t="str">
        <x:v>Unflavoured</x:v>
      </x:c>
      <x:c r="I1804" t="str"/>
      <x:c r="J1804" t="str">
        <x:v>Unit</x:v>
      </x:c>
      <x:c r="K1804" t="str">
        <x:v>In stock</x:v>
      </x:c>
      <x:c r="L1804" t="str">
        <x:v>2026-09-08</x:v>
      </x:c>
      <x:c r="M1804" t="str"/>
      <x:c r="N1804" t="str"/>
      <x:c r="O1804" t="str">
        <x:v>https://www.activesportstrade.co.uk/strom-sports-nutrition-trade</x:v>
      </x:c>
      <x:c r="P1804" t="str"/>
      <x:c r="Q1804" t="str"/>
      <x:c r="R1804" t="str"/>
      <x:c r="S1804" t="str">
        <x:v>Pending genuine supplier/brand image</x:v>
      </x:c>
      <x:c r="T1804" s="54"/>
      <x:c r="U1804" s="47" t="n">
        <x:v>0.2</x:v>
      </x:c>
      <x:c r="V1804" s="54" t="str">
        <x:f>IF(ISNUMBER(T1804),T1804*(1+U1804),"")</x:f>
      </x:c>
      <x:c r="W1804" s="47" t="n">
        <x:v>0.3</x:v>
      </x:c>
      <x:c r="X1804" s="54" t="str">
        <x:f>IF(ISNUMBER(V1804),V1804/(1-W1804),"")</x:f>
      </x:c>
      <x:c r="Y1804" s="55" t="str">
        <x:f>IF(ISNUMBER(X1804),ROUNDUP(X1804,0),"")</x:f>
      </x:c>
      <x:c r="Z1804" t="str">
        <x:f>IF(ISNUMBER(T1804),"Cost captured","Awaiting trade cost")</x:f>
        <x:v>Awaiting trade cost</x:v>
      </x:c>
      <x:c r="AB1804" s="36" t="str">
        <x:f>IF(ISNUMBER(Y1804),ROUND(Y1804*0.9,2),"")</x:f>
      </x:c>
      <x:c r="AC1804" s="36" t="str">
        <x:f>IF(ISNUMBER(AB1804),ROUND(AB1804-(AB1804*0.015+0.2)-V1804,2),"")</x:f>
      </x:c>
      <x:c r="AD1804" s="36" t="str">
        <x:f>IF(ISNUMBER(Y1804),ROUND(Y1804*0.8,2),"")</x:f>
      </x:c>
      <x:c r="AE1804" s="36" t="str">
        <x:f>IF(ISNUMBER(AD1804),ROUND(AD1804*0.015+0.2,2),"")</x:f>
      </x:c>
      <x:c r="AF1804" s="36" t="str">
        <x:f>IF(ISNUMBER(AD1804),ROUND(AD1804-AE1804-V1804,2),"")</x:f>
      </x:c>
      <x:c r="AG1804" t="str">
        <x:f>IF(NOT(ISNUMBER(T1804)),"PENDING",IF(AF1804&gt;0,"PASS","FAIL"))</x:f>
        <x:v>PENDING</x:v>
      </x:c>
      <x:c r="AH1804" t="str">
        <x:f>IF(NOT(ISNUMBER(T1804)),"Needs supplier cost",IF(K1804&lt;&gt;"In stock","Supplier unavailable",IF(AG1804&lt;&gt;"PASS","BLOCK - GT loss risk","Commercially protected")))</x:f>
        <x:v>Needs supplier cost</x:v>
      </x:c>
      <x:c r="AI1804" t="str">
        <x:v>2026-09-10 Active Sports trade capture</x:v>
      </x:c>
      <x:c r="AJ1804" t="str">
        <x:v>Management-only economics. Stripe stress test uses 1.5% + £0.20 standard UK online-card fee; pallet/mix-and-match pricing ignored.</x:v>
      </x:c>
    </x:row>
    <x:row r="1805">
      <x:c r="A1805" t="str">
        <x:v>Active Sports Nutrition</x:v>
      </x:c>
      <x:c r="B1805" t="str">
        <x:v>Strom Sports Nutrition</x:v>
      </x:c>
      <x:c r="C1805" t="str">
        <x:v>EssentialMAX</x:v>
      </x:c>
      <x:c r="D1805" t="str">
        <x:v>Supplements</x:v>
      </x:c>
      <x:c r="E1805" t="str">
        <x:v>Amino Acids</x:v>
      </x:c>
      <x:c r="F1805" t="str"/>
      <x:c r="G1805" t="str">
        <x:v>40 servings</x:v>
      </x:c>
      <x:c r="H1805" t="str">
        <x:v>Cherry</x:v>
      </x:c>
      <x:c r="I1805" t="str"/>
      <x:c r="J1805" t="str">
        <x:v>Unit</x:v>
      </x:c>
      <x:c r="K1805" t="str">
        <x:v>In stock</x:v>
      </x:c>
      <x:c r="L1805" t="str">
        <x:v>2026-09-08</x:v>
      </x:c>
      <x:c r="M1805" t="str"/>
      <x:c r="N1805" t="str"/>
      <x:c r="O1805" t="str">
        <x:v>https://www.activesportstrade.co.uk/strom-sports-nutrition-trade</x:v>
      </x:c>
      <x:c r="P1805" t="str"/>
      <x:c r="Q1805" t="str"/>
      <x:c r="R1805" t="str"/>
      <x:c r="S1805" t="str">
        <x:v>Pending genuine supplier/brand image</x:v>
      </x:c>
      <x:c r="T1805" s="54"/>
      <x:c r="U1805" s="47" t="n">
        <x:v>0.2</x:v>
      </x:c>
      <x:c r="V1805" s="54" t="str">
        <x:f>IF(ISNUMBER(T1805),T1805*(1+U1805),"")</x:f>
      </x:c>
      <x:c r="W1805" s="47" t="n">
        <x:v>0.3</x:v>
      </x:c>
      <x:c r="X1805" s="54" t="str">
        <x:f>IF(ISNUMBER(V1805),V1805/(1-W1805),"")</x:f>
      </x:c>
      <x:c r="Y1805" s="55" t="str">
        <x:f>IF(ISNUMBER(X1805),ROUNDUP(X1805,0),"")</x:f>
      </x:c>
      <x:c r="Z1805" t="str">
        <x:f>IF(ISNUMBER(T1805),"Cost captured","Awaiting trade cost")</x:f>
        <x:v>Awaiting trade cost</x:v>
      </x:c>
      <x:c r="AB1805" s="36" t="str">
        <x:f>IF(ISNUMBER(Y1805),ROUND(Y1805*0.9,2),"")</x:f>
      </x:c>
      <x:c r="AC1805" s="36" t="str">
        <x:f>IF(ISNUMBER(AB1805),ROUND(AB1805-(AB1805*0.015+0.2)-V1805,2),"")</x:f>
      </x:c>
      <x:c r="AD1805" s="36" t="str">
        <x:f>IF(ISNUMBER(Y1805),ROUND(Y1805*0.8,2),"")</x:f>
      </x:c>
      <x:c r="AE1805" s="36" t="str">
        <x:f>IF(ISNUMBER(AD1805),ROUND(AD1805*0.015+0.2,2),"")</x:f>
      </x:c>
      <x:c r="AF1805" s="36" t="str">
        <x:f>IF(ISNUMBER(AD1805),ROUND(AD1805-AE1805-V1805,2),"")</x:f>
      </x:c>
      <x:c r="AG1805" t="str">
        <x:f>IF(NOT(ISNUMBER(T1805)),"PENDING",IF(AF1805&gt;0,"PASS","FAIL"))</x:f>
        <x:v>PENDING</x:v>
      </x:c>
      <x:c r="AH1805" t="str">
        <x:f>IF(NOT(ISNUMBER(T1805)),"Needs supplier cost",IF(K1805&lt;&gt;"In stock","Supplier unavailable",IF(AG1805&lt;&gt;"PASS","BLOCK - GT loss risk","Commercially protected")))</x:f>
        <x:v>Needs supplier cost</x:v>
      </x:c>
      <x:c r="AI1805" t="str">
        <x:v>2026-09-10 Active Sports trade capture</x:v>
      </x:c>
      <x:c r="AJ1805" t="str">
        <x:v>Management-only economics. Stripe stress test uses 1.5% + £0.20 standard UK online-card fee; pallet/mix-and-match pricing ignored.</x:v>
      </x:c>
    </x:row>
    <x:row r="1806">
      <x:c r="A1806" t="str">
        <x:v>Active Sports Nutrition</x:v>
      </x:c>
      <x:c r="B1806" t="str">
        <x:v>Strom Sports Nutrition</x:v>
      </x:c>
      <x:c r="C1806" t="str">
        <x:v>EssentialMAX</x:v>
      </x:c>
      <x:c r="D1806" t="str">
        <x:v>Supplements</x:v>
      </x:c>
      <x:c r="E1806" t="str">
        <x:v>Amino Acids</x:v>
      </x:c>
      <x:c r="F1806" t="str"/>
      <x:c r="G1806" t="str">
        <x:v>40 servings</x:v>
      </x:c>
      <x:c r="H1806" t="str">
        <x:v>Lemon Lime</x:v>
      </x:c>
      <x:c r="I1806" t="str"/>
      <x:c r="J1806" t="str">
        <x:v>Unit</x:v>
      </x:c>
      <x:c r="K1806" t="str">
        <x:v>Out of stock</x:v>
      </x:c>
      <x:c r="L1806" t="str">
        <x:v>2026-09-08</x:v>
      </x:c>
      <x:c r="M1806" t="str"/>
      <x:c r="N1806" t="str"/>
      <x:c r="O1806" t="str">
        <x:v>https://www.activesportstrade.co.uk/strom-sports-nutrition-trade</x:v>
      </x:c>
      <x:c r="P1806" t="str"/>
      <x:c r="Q1806" t="str"/>
      <x:c r="R1806" t="str"/>
      <x:c r="S1806" t="str">
        <x:v>Pending genuine supplier/brand image</x:v>
      </x:c>
      <x:c r="T1806" s="54"/>
      <x:c r="U1806" s="47" t="n">
        <x:v>0.2</x:v>
      </x:c>
      <x:c r="V1806" s="54" t="str">
        <x:f>IF(ISNUMBER(T1806),T1806*(1+U1806),"")</x:f>
      </x:c>
      <x:c r="W1806" s="47" t="n">
        <x:v>0.3</x:v>
      </x:c>
      <x:c r="X1806" s="54" t="str">
        <x:f>IF(ISNUMBER(V1806),V1806/(1-W1806),"")</x:f>
      </x:c>
      <x:c r="Y1806" s="55" t="str">
        <x:f>IF(ISNUMBER(X1806),ROUNDUP(X1806,0),"")</x:f>
      </x:c>
      <x:c r="Z1806" t="str">
        <x:f>IF(ISNUMBER(T1806),"Cost captured","Awaiting trade cost")</x:f>
        <x:v>Awaiting trade cost</x:v>
      </x:c>
      <x:c r="AB1806" s="36" t="str">
        <x:f>IF(ISNUMBER(Y1806),ROUND(Y1806*0.9,2),"")</x:f>
      </x:c>
      <x:c r="AC1806" s="36" t="str">
        <x:f>IF(ISNUMBER(AB1806),ROUND(AB1806-(AB1806*0.015+0.2)-V1806,2),"")</x:f>
      </x:c>
      <x:c r="AD1806" s="36" t="str">
        <x:f>IF(ISNUMBER(Y1806),ROUND(Y1806*0.8,2),"")</x:f>
      </x:c>
      <x:c r="AE1806" s="36" t="str">
        <x:f>IF(ISNUMBER(AD1806),ROUND(AD1806*0.015+0.2,2),"")</x:f>
      </x:c>
      <x:c r="AF1806" s="36" t="str">
        <x:f>IF(ISNUMBER(AD1806),ROUND(AD1806-AE1806-V1806,2),"")</x:f>
      </x:c>
      <x:c r="AG1806" t="str">
        <x:f>IF(NOT(ISNUMBER(T1806)),"PENDING",IF(AF1806&gt;0,"PASS","FAIL"))</x:f>
        <x:v>PENDING</x:v>
      </x:c>
      <x:c r="AH1806" t="str">
        <x:f>IF(NOT(ISNUMBER(T1806)),"Needs supplier cost",IF(K1806&lt;&gt;"In stock","Supplier unavailable",IF(AG1806&lt;&gt;"PASS","BLOCK - GT loss risk","Commercially protected")))</x:f>
        <x:v>Needs supplier cost</x:v>
      </x:c>
      <x:c r="AI1806" t="str">
        <x:v>2026-09-10 Active Sports trade capture</x:v>
      </x:c>
      <x:c r="AJ1806" t="str">
        <x:v>Management-only economics. Stripe stress test uses 1.5% + £0.20 standard UK online-card fee; pallet/mix-and-match pricing ignored.</x:v>
      </x:c>
    </x:row>
    <x:row r="1807">
      <x:c r="A1807" t="str">
        <x:v>Active Sports Nutrition</x:v>
      </x:c>
      <x:c r="B1807" t="str">
        <x:v>Strom Sports Nutrition</x:v>
      </x:c>
      <x:c r="C1807" t="str">
        <x:v>EssentialMAX</x:v>
      </x:c>
      <x:c r="D1807" t="str">
        <x:v>Supplements</x:v>
      </x:c>
      <x:c r="E1807" t="str">
        <x:v>Amino Acids</x:v>
      </x:c>
      <x:c r="F1807" t="str"/>
      <x:c r="G1807" t="str">
        <x:v>40 servings</x:v>
      </x:c>
      <x:c r="H1807" t="str">
        <x:v>Orange Mango</x:v>
      </x:c>
      <x:c r="I1807" t="str"/>
      <x:c r="J1807" t="str">
        <x:v>Unit</x:v>
      </x:c>
      <x:c r="K1807" t="str">
        <x:v>In stock</x:v>
      </x:c>
      <x:c r="L1807" t="str">
        <x:v>2026-09-08</x:v>
      </x:c>
      <x:c r="M1807" t="str"/>
      <x:c r="N1807" t="str"/>
      <x:c r="O1807" t="str">
        <x:v>https://www.activesportstrade.co.uk/strom-sports-nutrition-trade</x:v>
      </x:c>
      <x:c r="P1807" t="str"/>
      <x:c r="Q1807" t="str"/>
      <x:c r="R1807" t="str"/>
      <x:c r="S1807" t="str">
        <x:v>Pending genuine supplier/brand image</x:v>
      </x:c>
      <x:c r="T1807" s="54"/>
      <x:c r="U1807" s="47" t="n">
        <x:v>0.2</x:v>
      </x:c>
      <x:c r="V1807" s="54" t="str">
        <x:f>IF(ISNUMBER(T1807),T1807*(1+U1807),"")</x:f>
      </x:c>
      <x:c r="W1807" s="47" t="n">
        <x:v>0.3</x:v>
      </x:c>
      <x:c r="X1807" s="54" t="str">
        <x:f>IF(ISNUMBER(V1807),V1807/(1-W1807),"")</x:f>
      </x:c>
      <x:c r="Y1807" s="55" t="str">
        <x:f>IF(ISNUMBER(X1807),ROUNDUP(X1807,0),"")</x:f>
      </x:c>
      <x:c r="Z1807" t="str">
        <x:f>IF(ISNUMBER(T1807),"Cost captured","Awaiting trade cost")</x:f>
        <x:v>Awaiting trade cost</x:v>
      </x:c>
      <x:c r="AB1807" s="36" t="str">
        <x:f>IF(ISNUMBER(Y1807),ROUND(Y1807*0.9,2),"")</x:f>
      </x:c>
      <x:c r="AC1807" s="36" t="str">
        <x:f>IF(ISNUMBER(AB1807),ROUND(AB1807-(AB1807*0.015+0.2)-V1807,2),"")</x:f>
      </x:c>
      <x:c r="AD1807" s="36" t="str">
        <x:f>IF(ISNUMBER(Y1807),ROUND(Y1807*0.8,2),"")</x:f>
      </x:c>
      <x:c r="AE1807" s="36" t="str">
        <x:f>IF(ISNUMBER(AD1807),ROUND(AD1807*0.015+0.2,2),"")</x:f>
      </x:c>
      <x:c r="AF1807" s="36" t="str">
        <x:f>IF(ISNUMBER(AD1807),ROUND(AD1807-AE1807-V1807,2),"")</x:f>
      </x:c>
      <x:c r="AG1807" t="str">
        <x:f>IF(NOT(ISNUMBER(T1807)),"PENDING",IF(AF1807&gt;0,"PASS","FAIL"))</x:f>
        <x:v>PENDING</x:v>
      </x:c>
      <x:c r="AH1807" t="str">
        <x:f>IF(NOT(ISNUMBER(T1807)),"Needs supplier cost",IF(K1807&lt;&gt;"In stock","Supplier unavailable",IF(AG1807&lt;&gt;"PASS","BLOCK - GT loss risk","Commercially protected")))</x:f>
        <x:v>Needs supplier cost</x:v>
      </x:c>
      <x:c r="AI1807" t="str">
        <x:v>2026-09-10 Active Sports trade capture</x:v>
      </x:c>
      <x:c r="AJ1807" t="str">
        <x:v>Management-only economics. Stripe stress test uses 1.5% + £0.20 standard UK online-card fee; pallet/mix-and-match pricing ignored.</x:v>
      </x:c>
    </x:row>
    <x:row r="1808">
      <x:c r="A1808" t="str">
        <x:v>Active Sports Nutrition</x:v>
      </x:c>
      <x:c r="B1808" t="str">
        <x:v>Strom Sports Nutrition</x:v>
      </x:c>
      <x:c r="C1808" t="str">
        <x:v>EssentialMAX</x:v>
      </x:c>
      <x:c r="D1808" t="str">
        <x:v>Supplements</x:v>
      </x:c>
      <x:c r="E1808" t="str">
        <x:v>Amino Acids</x:v>
      </x:c>
      <x:c r="F1808" t="str"/>
      <x:c r="G1808" t="str">
        <x:v>40 servings</x:v>
      </x:c>
      <x:c r="H1808" t="str">
        <x:v>Pineapple</x:v>
      </x:c>
      <x:c r="I1808" t="str"/>
      <x:c r="J1808" t="str">
        <x:v>Unit</x:v>
      </x:c>
      <x:c r="K1808" t="str">
        <x:v>In stock</x:v>
      </x:c>
      <x:c r="L1808" t="str">
        <x:v>2026-09-08</x:v>
      </x:c>
      <x:c r="M1808" t="str"/>
      <x:c r="N1808" t="str"/>
      <x:c r="O1808" t="str">
        <x:v>https://www.activesportstrade.co.uk/strom-sports-nutrition-trade</x:v>
      </x:c>
      <x:c r="P1808" t="str"/>
      <x:c r="Q1808" t="str"/>
      <x:c r="R1808" t="str"/>
      <x:c r="S1808" t="str">
        <x:v>Pending genuine supplier/brand image</x:v>
      </x:c>
      <x:c r="T1808" s="54"/>
      <x:c r="U1808" s="47" t="n">
        <x:v>0.2</x:v>
      </x:c>
      <x:c r="V1808" s="54" t="str">
        <x:f>IF(ISNUMBER(T1808),T1808*(1+U1808),"")</x:f>
      </x:c>
      <x:c r="W1808" s="47" t="n">
        <x:v>0.3</x:v>
      </x:c>
      <x:c r="X1808" s="54" t="str">
        <x:f>IF(ISNUMBER(V1808),V1808/(1-W1808),"")</x:f>
      </x:c>
      <x:c r="Y1808" s="55" t="str">
        <x:f>IF(ISNUMBER(X1808),ROUNDUP(X1808,0),"")</x:f>
      </x:c>
      <x:c r="Z1808" t="str">
        <x:f>IF(ISNUMBER(T1808),"Cost captured","Awaiting trade cost")</x:f>
        <x:v>Awaiting trade cost</x:v>
      </x:c>
      <x:c r="AB1808" s="36" t="str">
        <x:f>IF(ISNUMBER(Y1808),ROUND(Y1808*0.9,2),"")</x:f>
      </x:c>
      <x:c r="AC1808" s="36" t="str">
        <x:f>IF(ISNUMBER(AB1808),ROUND(AB1808-(AB1808*0.015+0.2)-V1808,2),"")</x:f>
      </x:c>
      <x:c r="AD1808" s="36" t="str">
        <x:f>IF(ISNUMBER(Y1808),ROUND(Y1808*0.8,2),"")</x:f>
      </x:c>
      <x:c r="AE1808" s="36" t="str">
        <x:f>IF(ISNUMBER(AD1808),ROUND(AD1808*0.015+0.2,2),"")</x:f>
      </x:c>
      <x:c r="AF1808" s="36" t="str">
        <x:f>IF(ISNUMBER(AD1808),ROUND(AD1808-AE1808-V1808,2),"")</x:f>
      </x:c>
      <x:c r="AG1808" t="str">
        <x:f>IF(NOT(ISNUMBER(T1808)),"PENDING",IF(AF1808&gt;0,"PASS","FAIL"))</x:f>
        <x:v>PENDING</x:v>
      </x:c>
      <x:c r="AH1808" t="str">
        <x:f>IF(NOT(ISNUMBER(T1808)),"Needs supplier cost",IF(K1808&lt;&gt;"In stock","Supplier unavailable",IF(AG1808&lt;&gt;"PASS","BLOCK - GT loss risk","Commercially protected")))</x:f>
        <x:v>Needs supplier cost</x:v>
      </x:c>
      <x:c r="AI1808" t="str">
        <x:v>2026-09-10 Active Sports trade capture</x:v>
      </x:c>
      <x:c r="AJ1808" t="str">
        <x:v>Management-only economics. Stripe stress test uses 1.5% + £0.20 standard UK online-card fee; pallet/mix-and-match pricing ignored.</x:v>
      </x:c>
    </x:row>
    <x:row r="1809">
      <x:c r="A1809" t="str">
        <x:v>Active Sports Nutrition</x:v>
      </x:c>
      <x:c r="B1809" t="str">
        <x:v>Strom Sports Nutrition</x:v>
      </x:c>
      <x:c r="C1809" t="str">
        <x:v>VasculMAX</x:v>
      </x:c>
      <x:c r="D1809" t="str">
        <x:v>Pre Workouts</x:v>
      </x:c>
      <x:c r="E1809" t="str">
        <x:v>Stim FREE</x:v>
      </x:c>
      <x:c r="F1809" t="str"/>
      <x:c r="G1809" t="str">
        <x:v>40 servings</x:v>
      </x:c>
      <x:c r="H1809" t="str">
        <x:v>Cherry</x:v>
      </x:c>
      <x:c r="I1809" t="str"/>
      <x:c r="J1809" t="str">
        <x:v>Unit</x:v>
      </x:c>
      <x:c r="K1809" t="str">
        <x:v>In stock</x:v>
      </x:c>
      <x:c r="L1809" t="str">
        <x:v>2026-09-08</x:v>
      </x:c>
      <x:c r="M1809" t="str"/>
      <x:c r="N1809" t="str"/>
      <x:c r="O1809" t="str">
        <x:v>https://www.activesportstrade.co.uk/strom-sports-nutrition-trade</x:v>
      </x:c>
      <x:c r="P1809" t="str"/>
      <x:c r="Q1809" t="str"/>
      <x:c r="R1809" t="str"/>
      <x:c r="S1809" t="str">
        <x:v>Pending genuine supplier/brand image</x:v>
      </x:c>
      <x:c r="T1809" s="54"/>
      <x:c r="U1809" s="47" t="n">
        <x:v>0.2</x:v>
      </x:c>
      <x:c r="V1809" s="54" t="str">
        <x:f>IF(ISNUMBER(T1809),T1809*(1+U1809),"")</x:f>
      </x:c>
      <x:c r="W1809" s="47" t="n">
        <x:v>0.3</x:v>
      </x:c>
      <x:c r="X1809" s="54" t="str">
        <x:f>IF(ISNUMBER(V1809),V1809/(1-W1809),"")</x:f>
      </x:c>
      <x:c r="Y1809" s="55" t="str">
        <x:f>IF(ISNUMBER(X1809),ROUNDUP(X1809,0),"")</x:f>
      </x:c>
      <x:c r="Z1809" t="str">
        <x:f>IF(ISNUMBER(T1809),"Cost captured","Awaiting trade cost")</x:f>
        <x:v>Awaiting trade cost</x:v>
      </x:c>
      <x:c r="AB1809" s="36" t="str">
        <x:f>IF(ISNUMBER(Y1809),ROUND(Y1809*0.9,2),"")</x:f>
      </x:c>
      <x:c r="AC1809" s="36" t="str">
        <x:f>IF(ISNUMBER(AB1809),ROUND(AB1809-(AB1809*0.015+0.2)-V1809,2),"")</x:f>
      </x:c>
      <x:c r="AD1809" s="36" t="str">
        <x:f>IF(ISNUMBER(Y1809),ROUND(Y1809*0.8,2),"")</x:f>
      </x:c>
      <x:c r="AE1809" s="36" t="str">
        <x:f>IF(ISNUMBER(AD1809),ROUND(AD1809*0.015+0.2,2),"")</x:f>
      </x:c>
      <x:c r="AF1809" s="36" t="str">
        <x:f>IF(ISNUMBER(AD1809),ROUND(AD1809-AE1809-V1809,2),"")</x:f>
      </x:c>
      <x:c r="AG1809" t="str">
        <x:f>IF(NOT(ISNUMBER(T1809)),"PENDING",IF(AF1809&gt;0,"PASS","FAIL"))</x:f>
        <x:v>PENDING</x:v>
      </x:c>
      <x:c r="AH1809" t="str">
        <x:f>IF(NOT(ISNUMBER(T1809)),"Needs supplier cost",IF(K1809&lt;&gt;"In stock","Supplier unavailable",IF(AG1809&lt;&gt;"PASS","BLOCK - GT loss risk","Commercially protected")))</x:f>
        <x:v>Needs supplier cost</x:v>
      </x:c>
      <x:c r="AI1809" t="str">
        <x:v>2026-09-10 Active Sports trade capture</x:v>
      </x:c>
      <x:c r="AJ1809" t="str">
        <x:v>Management-only economics. Stripe stress test uses 1.5% + £0.20 standard UK online-card fee; pallet/mix-and-match pricing ignored.</x:v>
      </x:c>
    </x:row>
    <x:row r="1810">
      <x:c r="A1810" t="str">
        <x:v>Active Sports Nutrition</x:v>
      </x:c>
      <x:c r="B1810" t="str">
        <x:v>Strom Sports Nutrition</x:v>
      </x:c>
      <x:c r="C1810" t="str">
        <x:v>VasculMAX</x:v>
      </x:c>
      <x:c r="D1810" t="str">
        <x:v>Pre Workouts</x:v>
      </x:c>
      <x:c r="E1810" t="str">
        <x:v>Stim FREE</x:v>
      </x:c>
      <x:c r="F1810" t="str"/>
      <x:c r="G1810" t="str">
        <x:v>40 servings</x:v>
      </x:c>
      <x:c r="H1810" t="str">
        <x:v>Lemon Lime</x:v>
      </x:c>
      <x:c r="I1810" t="str"/>
      <x:c r="J1810" t="str">
        <x:v>Unit</x:v>
      </x:c>
      <x:c r="K1810" t="str">
        <x:v>In stock</x:v>
      </x:c>
      <x:c r="L1810" t="str">
        <x:v>2026-09-08</x:v>
      </x:c>
      <x:c r="M1810" t="str"/>
      <x:c r="N1810" t="str"/>
      <x:c r="O1810" t="str">
        <x:v>https://www.activesportstrade.co.uk/strom-sports-nutrition-trade</x:v>
      </x:c>
      <x:c r="P1810" t="str"/>
      <x:c r="Q1810" t="str"/>
      <x:c r="R1810" t="str"/>
      <x:c r="S1810" t="str">
        <x:v>Pending genuine supplier/brand image</x:v>
      </x:c>
      <x:c r="T1810" s="54"/>
      <x:c r="U1810" s="47" t="n">
        <x:v>0.2</x:v>
      </x:c>
      <x:c r="V1810" s="54" t="str">
        <x:f>IF(ISNUMBER(T1810),T1810*(1+U1810),"")</x:f>
      </x:c>
      <x:c r="W1810" s="47" t="n">
        <x:v>0.3</x:v>
      </x:c>
      <x:c r="X1810" s="54" t="str">
        <x:f>IF(ISNUMBER(V1810),V1810/(1-W1810),"")</x:f>
      </x:c>
      <x:c r="Y1810" s="55" t="str">
        <x:f>IF(ISNUMBER(X1810),ROUNDUP(X1810,0),"")</x:f>
      </x:c>
      <x:c r="Z1810" t="str">
        <x:f>IF(ISNUMBER(T1810),"Cost captured","Awaiting trade cost")</x:f>
        <x:v>Awaiting trade cost</x:v>
      </x:c>
      <x:c r="AB1810" s="36" t="str">
        <x:f>IF(ISNUMBER(Y1810),ROUND(Y1810*0.9,2),"")</x:f>
      </x:c>
      <x:c r="AC1810" s="36" t="str">
        <x:f>IF(ISNUMBER(AB1810),ROUND(AB1810-(AB1810*0.015+0.2)-V1810,2),"")</x:f>
      </x:c>
      <x:c r="AD1810" s="36" t="str">
        <x:f>IF(ISNUMBER(Y1810),ROUND(Y1810*0.8,2),"")</x:f>
      </x:c>
      <x:c r="AE1810" s="36" t="str">
        <x:f>IF(ISNUMBER(AD1810),ROUND(AD1810*0.015+0.2,2),"")</x:f>
      </x:c>
      <x:c r="AF1810" s="36" t="str">
        <x:f>IF(ISNUMBER(AD1810),ROUND(AD1810-AE1810-V1810,2),"")</x:f>
      </x:c>
      <x:c r="AG1810" t="str">
        <x:f>IF(NOT(ISNUMBER(T1810)),"PENDING",IF(AF1810&gt;0,"PASS","FAIL"))</x:f>
        <x:v>PENDING</x:v>
      </x:c>
      <x:c r="AH1810" t="str">
        <x:f>IF(NOT(ISNUMBER(T1810)),"Needs supplier cost",IF(K1810&lt;&gt;"In stock","Supplier unavailable",IF(AG1810&lt;&gt;"PASS","BLOCK - GT loss risk","Commercially protected")))</x:f>
        <x:v>Needs supplier cost</x:v>
      </x:c>
      <x:c r="AI1810" t="str">
        <x:v>2026-09-10 Active Sports trade capture</x:v>
      </x:c>
      <x:c r="AJ1810" t="str">
        <x:v>Management-only economics. Stripe stress test uses 1.5% + £0.20 standard UK online-card fee; pallet/mix-and-match pricing ignored.</x:v>
      </x:c>
    </x:row>
    <x:row r="1811">
      <x:c r="A1811" t="str">
        <x:v>Active Sports Nutrition</x:v>
      </x:c>
      <x:c r="B1811" t="str">
        <x:v>Strom Sports Nutrition</x:v>
      </x:c>
      <x:c r="C1811" t="str">
        <x:v>VasculMAX</x:v>
      </x:c>
      <x:c r="D1811" t="str">
        <x:v>Pre Workouts</x:v>
      </x:c>
      <x:c r="E1811" t="str">
        <x:v>Stim FREE</x:v>
      </x:c>
      <x:c r="F1811" t="str"/>
      <x:c r="G1811" t="str">
        <x:v>40 servings</x:v>
      </x:c>
      <x:c r="H1811" t="str">
        <x:v>Pineapple</x:v>
      </x:c>
      <x:c r="I1811" t="str"/>
      <x:c r="J1811" t="str">
        <x:v>Unit</x:v>
      </x:c>
      <x:c r="K1811" t="str">
        <x:v>Out of stock</x:v>
      </x:c>
      <x:c r="L1811" t="str">
        <x:v>2026-09-08</x:v>
      </x:c>
      <x:c r="M1811" t="str"/>
      <x:c r="N1811" t="str"/>
      <x:c r="O1811" t="str">
        <x:v>https://www.activesportstrade.co.uk/strom-sports-nutrition-trade</x:v>
      </x:c>
      <x:c r="P1811" t="str"/>
      <x:c r="Q1811" t="str"/>
      <x:c r="R1811" t="str"/>
      <x:c r="S1811" t="str">
        <x:v>Pending genuine supplier/brand image</x:v>
      </x:c>
      <x:c r="T1811" s="54"/>
      <x:c r="U1811" s="47" t="n">
        <x:v>0.2</x:v>
      </x:c>
      <x:c r="V1811" s="54" t="str">
        <x:f>IF(ISNUMBER(T1811),T1811*(1+U1811),"")</x:f>
      </x:c>
      <x:c r="W1811" s="47" t="n">
        <x:v>0.3</x:v>
      </x:c>
      <x:c r="X1811" s="54" t="str">
        <x:f>IF(ISNUMBER(V1811),V1811/(1-W1811),"")</x:f>
      </x:c>
      <x:c r="Y1811" s="55" t="str">
        <x:f>IF(ISNUMBER(X1811),ROUNDUP(X1811,0),"")</x:f>
      </x:c>
      <x:c r="Z1811" t="str">
        <x:f>IF(ISNUMBER(T1811),"Cost captured","Awaiting trade cost")</x:f>
        <x:v>Awaiting trade cost</x:v>
      </x:c>
      <x:c r="AB1811" s="36" t="str">
        <x:f>IF(ISNUMBER(Y1811),ROUND(Y1811*0.9,2),"")</x:f>
      </x:c>
      <x:c r="AC1811" s="36" t="str">
        <x:f>IF(ISNUMBER(AB1811),ROUND(AB1811-(AB1811*0.015+0.2)-V1811,2),"")</x:f>
      </x:c>
      <x:c r="AD1811" s="36" t="str">
        <x:f>IF(ISNUMBER(Y1811),ROUND(Y1811*0.8,2),"")</x:f>
      </x:c>
      <x:c r="AE1811" s="36" t="str">
        <x:f>IF(ISNUMBER(AD1811),ROUND(AD1811*0.015+0.2,2),"")</x:f>
      </x:c>
      <x:c r="AF1811" s="36" t="str">
        <x:f>IF(ISNUMBER(AD1811),ROUND(AD1811-AE1811-V1811,2),"")</x:f>
      </x:c>
      <x:c r="AG1811" t="str">
        <x:f>IF(NOT(ISNUMBER(T1811)),"PENDING",IF(AF1811&gt;0,"PASS","FAIL"))</x:f>
        <x:v>PENDING</x:v>
      </x:c>
      <x:c r="AH1811" t="str">
        <x:f>IF(NOT(ISNUMBER(T1811)),"Needs supplier cost",IF(K1811&lt;&gt;"In stock","Supplier unavailable",IF(AG1811&lt;&gt;"PASS","BLOCK - GT loss risk","Commercially protected")))</x:f>
        <x:v>Needs supplier cost</x:v>
      </x:c>
      <x:c r="AI1811" t="str">
        <x:v>2026-09-10 Active Sports trade capture</x:v>
      </x:c>
      <x:c r="AJ1811" t="str">
        <x:v>Management-only economics. Stripe stress test uses 1.5% + £0.20 standard UK online-card fee; pallet/mix-and-match pricing ignored.</x:v>
      </x:c>
    </x:row>
    <x:row r="1812">
      <x:c r="A1812" t="str">
        <x:v>Active Sports Nutrition</x:v>
      </x:c>
      <x:c r="B1812" t="str">
        <x:v>Trained By JP</x:v>
      </x:c>
      <x:c r="C1812" t="str">
        <x:v>Cream of Rice</x:v>
      </x:c>
      <x:c r="D1812" t="str">
        <x:v>Supplements</x:v>
      </x:c>
      <x:c r="E1812" t="str">
        <x:v>Carbohydrates</x:v>
      </x:c>
      <x:c r="F1812" t="str"/>
      <x:c r="G1812" t="str">
        <x:v>2kg</x:v>
      </x:c>
      <x:c r="H1812" t="str">
        <x:v>Apple Crumble</x:v>
      </x:c>
      <x:c r="I1812" t="str"/>
      <x:c r="J1812" t="str">
        <x:v>Unit</x:v>
      </x:c>
      <x:c r="K1812" t="str">
        <x:v>In stock</x:v>
      </x:c>
      <x:c r="L1812" t="str">
        <x:v>2026-09-08</x:v>
      </x:c>
      <x:c r="M1812" t="str"/>
      <x:c r="N1812" t="str"/>
      <x:c r="O1812" t="str">
        <x:v>https://www.activesportstrade.co.uk/trained-by-jp-trade</x:v>
      </x:c>
      <x:c r="P1812" t="str"/>
      <x:c r="Q1812" t="str"/>
      <x:c r="R1812" t="str"/>
      <x:c r="S1812" t="str">
        <x:v>Pending genuine supplier/brand image</x:v>
      </x:c>
      <x:c r="T1812" s="54" t="n">
        <x:v>10.99</x:v>
      </x:c>
      <x:c r="U1812" s="47" t="n">
        <x:v>0.2</x:v>
      </x:c>
      <x:c r="V1812" s="54" t="n">
        <x:f>IF(ISNUMBER(T1812),T1812*(1+U1812),"")</x:f>
        <x:v>13.188</x:v>
      </x:c>
      <x:c r="W1812" s="47" t="n">
        <x:v>0.3</x:v>
      </x:c>
      <x:c r="X1812" s="54" t="n">
        <x:f>IF(ISNUMBER(V1812),V1812/(1-W1812),"")</x:f>
        <x:v>18.840000000000003</x:v>
      </x:c>
      <x:c r="Y1812" s="55" t="n">
        <x:f>IF(ISNUMBER(X1812),ROUNDUP(X1812,0),"")</x:f>
        <x:v>19</x:v>
      </x:c>
      <x:c r="Z1812" t="str">
        <x:v>Source match pending</x:v>
      </x:c>
      <x:c r="AA1812" t="str">
        <x:v>screencapture-www-activesportstrade-co-uk-trained-by-jp-trade-2026-09-10-09_10_55.pdf / page-1</x:v>
      </x:c>
      <x:c r="AB1812" s="36" t="n">
        <x:f>IF(ISNUMBER(Y1812),ROUND(Y1812*0.9,2),"")</x:f>
        <x:v>17.1</x:v>
      </x:c>
      <x:c r="AC1812" s="36" t="n">
        <x:f>IF(ISNUMBER(AB1812),ROUND(AB1812-(AB1812*0.015+0.2)-V1812,2),"")</x:f>
        <x:v>3.46</x:v>
      </x:c>
      <x:c r="AD1812" s="36" t="n">
        <x:f>IF(ISNUMBER(Y1812),ROUND(Y1812*0.8,2),"")</x:f>
        <x:v>15.2</x:v>
      </x:c>
      <x:c r="AE1812" s="36" t="n">
        <x:f>IF(ISNUMBER(AD1812),ROUND(AD1812*0.015+0.2,2),"")</x:f>
        <x:v>0.43</x:v>
      </x:c>
      <x:c r="AF1812" s="36" t="n">
        <x:f>IF(ISNUMBER(AD1812),ROUND(AD1812-AE1812-V1812,2),"")</x:f>
        <x:v>1.58</x:v>
      </x:c>
      <x:c r="AG1812" t="str">
        <x:f>IF(NOT(ISNUMBER(T1812)),"PENDING",IF(AF1812&gt;0,"PASS","FAIL"))</x:f>
        <x:v>PASS</x:v>
      </x:c>
      <x:c r="AH1812" t="str">
        <x:f>IF(NOT(ISNUMBER(T1812)),"Needs supplier cost",IF(K1812&lt;&gt;"In stock","Supplier unavailable",IF(AG1812&lt;&gt;"PASS","BLOCK - GT loss risk","Commercially protected")))</x:f>
        <x:v>Commercially protected</x:v>
      </x:c>
      <x:c r="AI1812" t="str">
        <x:v>2026-09-10 Active Sports trade capture</x:v>
      </x:c>
      <x:c r="AJ1812" t="str">
        <x:v>Management-only economics. Stripe stress test uses 1.5% + £0.20 standard UK online-card fee; pallet/mix-and-match pricing ignored.</x:v>
      </x:c>
    </x:row>
    <x:row r="1813">
      <x:c r="A1813" t="str">
        <x:v>Active Sports Nutrition</x:v>
      </x:c>
      <x:c r="B1813" t="str">
        <x:v>Trained By JP</x:v>
      </x:c>
      <x:c r="C1813" t="str">
        <x:v>Cream of Rice</x:v>
      </x:c>
      <x:c r="D1813" t="str">
        <x:v>Supplements</x:v>
      </x:c>
      <x:c r="E1813" t="str">
        <x:v>Carbohydrates</x:v>
      </x:c>
      <x:c r="F1813" t="str"/>
      <x:c r="G1813" t="str">
        <x:v>2kg</x:v>
      </x:c>
      <x:c r="H1813" t="str">
        <x:v>Banoffee Pie</x:v>
      </x:c>
      <x:c r="I1813" t="str"/>
      <x:c r="J1813" t="str">
        <x:v>Unit</x:v>
      </x:c>
      <x:c r="K1813" t="str">
        <x:v>In stock</x:v>
      </x:c>
      <x:c r="L1813" t="str">
        <x:v>2026-09-08</x:v>
      </x:c>
      <x:c r="M1813" t="str"/>
      <x:c r="N1813" t="str"/>
      <x:c r="O1813" t="str">
        <x:v>https://www.activesportstrade.co.uk/trained-by-jp-trade</x:v>
      </x:c>
      <x:c r="P1813" t="str"/>
      <x:c r="Q1813" t="str"/>
      <x:c r="R1813" t="str"/>
      <x:c r="S1813" t="str">
        <x:v>Pending genuine supplier/brand image</x:v>
      </x:c>
      <x:c r="T1813" s="54" t="n">
        <x:v>10.99</x:v>
      </x:c>
      <x:c r="U1813" s="47" t="n">
        <x:v>0.2</x:v>
      </x:c>
      <x:c r="V1813" s="54" t="n">
        <x:f>IF(ISNUMBER(T1813),T1813*(1+U1813),"")</x:f>
        <x:v>13.188</x:v>
      </x:c>
      <x:c r="W1813" s="47" t="n">
        <x:v>0.3</x:v>
      </x:c>
      <x:c r="X1813" s="54" t="n">
        <x:f>IF(ISNUMBER(V1813),V1813/(1-W1813),"")</x:f>
        <x:v>18.840000000000003</x:v>
      </x:c>
      <x:c r="Y1813" s="55" t="n">
        <x:f>IF(ISNUMBER(X1813),ROUNDUP(X1813,0),"")</x:f>
        <x:v>19</x:v>
      </x:c>
      <x:c r="Z1813" t="str">
        <x:v>Source match pending</x:v>
      </x:c>
      <x:c r="AA1813" t="str">
        <x:v>screencapture-www-activesportstrade-co-uk-trained-by-jp-trade-2026-09-10-09_10_55.pdf / page-1</x:v>
      </x:c>
      <x:c r="AB1813" s="36" t="n">
        <x:f>IF(ISNUMBER(Y1813),ROUND(Y1813*0.9,2),"")</x:f>
        <x:v>17.1</x:v>
      </x:c>
      <x:c r="AC1813" s="36" t="n">
        <x:f>IF(ISNUMBER(AB1813),ROUND(AB1813-(AB1813*0.015+0.2)-V1813,2),"")</x:f>
        <x:v>3.46</x:v>
      </x:c>
      <x:c r="AD1813" s="36" t="n">
        <x:f>IF(ISNUMBER(Y1813),ROUND(Y1813*0.8,2),"")</x:f>
        <x:v>15.2</x:v>
      </x:c>
      <x:c r="AE1813" s="36" t="n">
        <x:f>IF(ISNUMBER(AD1813),ROUND(AD1813*0.015+0.2,2),"")</x:f>
        <x:v>0.43</x:v>
      </x:c>
      <x:c r="AF1813" s="36" t="n">
        <x:f>IF(ISNUMBER(AD1813),ROUND(AD1813-AE1813-V1813,2),"")</x:f>
        <x:v>1.58</x:v>
      </x:c>
      <x:c r="AG1813" t="str">
        <x:f>IF(NOT(ISNUMBER(T1813)),"PENDING",IF(AF1813&gt;0,"PASS","FAIL"))</x:f>
        <x:v>PASS</x:v>
      </x:c>
      <x:c r="AH1813" t="str">
        <x:f>IF(NOT(ISNUMBER(T1813)),"Needs supplier cost",IF(K1813&lt;&gt;"In stock","Supplier unavailable",IF(AG1813&lt;&gt;"PASS","BLOCK - GT loss risk","Commercially protected")))</x:f>
        <x:v>Commercially protected</x:v>
      </x:c>
      <x:c r="AI1813" t="str">
        <x:v>2026-09-10 Active Sports trade capture</x:v>
      </x:c>
      <x:c r="AJ1813" t="str">
        <x:v>Management-only economics. Stripe stress test uses 1.5% + £0.20 standard UK online-card fee; pallet/mix-and-match pricing ignored.</x:v>
      </x:c>
    </x:row>
    <x:row r="1814">
      <x:c r="A1814" t="str">
        <x:v>Active Sports Nutrition</x:v>
      </x:c>
      <x:c r="B1814" t="str">
        <x:v>Trained By JP</x:v>
      </x:c>
      <x:c r="C1814" t="str">
        <x:v>Cream of Rice</x:v>
      </x:c>
      <x:c r="D1814" t="str">
        <x:v>Supplements</x:v>
      </x:c>
      <x:c r="E1814" t="str">
        <x:v>Carbohydrates</x:v>
      </x:c>
      <x:c r="F1814" t="str"/>
      <x:c r="G1814" t="str">
        <x:v>2kg</x:v>
      </x:c>
      <x:c r="H1814" t="str">
        <x:v>Blueberry Muffin</x:v>
      </x:c>
      <x:c r="I1814" t="str"/>
      <x:c r="J1814" t="str">
        <x:v>Unit</x:v>
      </x:c>
      <x:c r="K1814" t="str">
        <x:v>In stock</x:v>
      </x:c>
      <x:c r="L1814" t="str">
        <x:v>2026-09-08</x:v>
      </x:c>
      <x:c r="M1814" t="str"/>
      <x:c r="N1814" t="str"/>
      <x:c r="O1814" t="str">
        <x:v>https://www.activesportstrade.co.uk/trained-by-jp-trade</x:v>
      </x:c>
      <x:c r="P1814" t="str"/>
      <x:c r="Q1814" t="str"/>
      <x:c r="R1814" t="str"/>
      <x:c r="S1814" t="str">
        <x:v>Pending genuine supplier/brand image</x:v>
      </x:c>
      <x:c r="T1814" s="54" t="n">
        <x:v>10.99</x:v>
      </x:c>
      <x:c r="U1814" s="47" t="n">
        <x:v>0.2</x:v>
      </x:c>
      <x:c r="V1814" s="54" t="n">
        <x:f>IF(ISNUMBER(T1814),T1814*(1+U1814),"")</x:f>
        <x:v>13.188</x:v>
      </x:c>
      <x:c r="W1814" s="47" t="n">
        <x:v>0.3</x:v>
      </x:c>
      <x:c r="X1814" s="54" t="n">
        <x:f>IF(ISNUMBER(V1814),V1814/(1-W1814),"")</x:f>
        <x:v>18.840000000000003</x:v>
      </x:c>
      <x:c r="Y1814" s="55" t="n">
        <x:f>IF(ISNUMBER(X1814),ROUNDUP(X1814,0),"")</x:f>
        <x:v>19</x:v>
      </x:c>
      <x:c r="Z1814" t="str">
        <x:v>Source match pending</x:v>
      </x:c>
      <x:c r="AA1814" t="str">
        <x:v>screencapture-www-activesportstrade-co-uk-trained-by-jp-trade-2026-09-10-09_10_55.pdf / page-1</x:v>
      </x:c>
      <x:c r="AB1814" s="36" t="n">
        <x:f>IF(ISNUMBER(Y1814),ROUND(Y1814*0.9,2),"")</x:f>
        <x:v>17.1</x:v>
      </x:c>
      <x:c r="AC1814" s="36" t="n">
        <x:f>IF(ISNUMBER(AB1814),ROUND(AB1814-(AB1814*0.015+0.2)-V1814,2),"")</x:f>
        <x:v>3.46</x:v>
      </x:c>
      <x:c r="AD1814" s="36" t="n">
        <x:f>IF(ISNUMBER(Y1814),ROUND(Y1814*0.8,2),"")</x:f>
        <x:v>15.2</x:v>
      </x:c>
      <x:c r="AE1814" s="36" t="n">
        <x:f>IF(ISNUMBER(AD1814),ROUND(AD1814*0.015+0.2,2),"")</x:f>
        <x:v>0.43</x:v>
      </x:c>
      <x:c r="AF1814" s="36" t="n">
        <x:f>IF(ISNUMBER(AD1814),ROUND(AD1814-AE1814-V1814,2),"")</x:f>
        <x:v>1.58</x:v>
      </x:c>
      <x:c r="AG1814" t="str">
        <x:f>IF(NOT(ISNUMBER(T1814)),"PENDING",IF(AF1814&gt;0,"PASS","FAIL"))</x:f>
        <x:v>PASS</x:v>
      </x:c>
      <x:c r="AH1814" t="str">
        <x:f>IF(NOT(ISNUMBER(T1814)),"Needs supplier cost",IF(K1814&lt;&gt;"In stock","Supplier unavailable",IF(AG1814&lt;&gt;"PASS","BLOCK - GT loss risk","Commercially protected")))</x:f>
        <x:v>Commercially protected</x:v>
      </x:c>
      <x:c r="AI1814" t="str">
        <x:v>2026-09-10 Active Sports trade capture</x:v>
      </x:c>
      <x:c r="AJ1814" t="str">
        <x:v>Management-only economics. Stripe stress test uses 1.5% + £0.20 standard UK online-card fee; pallet/mix-and-match pricing ignored.</x:v>
      </x:c>
    </x:row>
    <x:row r="1815">
      <x:c r="A1815" t="str">
        <x:v>Active Sports Nutrition</x:v>
      </x:c>
      <x:c r="B1815" t="str">
        <x:v>Trained By JP</x:v>
      </x:c>
      <x:c r="C1815" t="str">
        <x:v>Cream of Rice</x:v>
      </x:c>
      <x:c r="D1815" t="str">
        <x:v>Supplements</x:v>
      </x:c>
      <x:c r="E1815" t="str">
        <x:v>Carbohydrates</x:v>
      </x:c>
      <x:c r="F1815" t="str"/>
      <x:c r="G1815" t="str">
        <x:v>2kg</x:v>
      </x:c>
      <x:c r="H1815" t="str">
        <x:v>Caramel Biscuit</x:v>
      </x:c>
      <x:c r="I1815" t="str"/>
      <x:c r="J1815" t="str">
        <x:v>Unit</x:v>
      </x:c>
      <x:c r="K1815" t="str">
        <x:v>In stock</x:v>
      </x:c>
      <x:c r="L1815" t="str">
        <x:v>2026-09-08</x:v>
      </x:c>
      <x:c r="M1815" t="str"/>
      <x:c r="N1815" t="str"/>
      <x:c r="O1815" t="str">
        <x:v>https://www.activesportstrade.co.uk/trained-by-jp-trade</x:v>
      </x:c>
      <x:c r="P1815" t="str"/>
      <x:c r="Q1815" t="str"/>
      <x:c r="R1815" t="str"/>
      <x:c r="S1815" t="str">
        <x:v>Pending genuine supplier/brand image</x:v>
      </x:c>
      <x:c r="T1815" s="54" t="n">
        <x:v>10.99</x:v>
      </x:c>
      <x:c r="U1815" s="47" t="n">
        <x:v>0.2</x:v>
      </x:c>
      <x:c r="V1815" s="54" t="n">
        <x:f>IF(ISNUMBER(T1815),T1815*(1+U1815),"")</x:f>
        <x:v>13.188</x:v>
      </x:c>
      <x:c r="W1815" s="47" t="n">
        <x:v>0.3</x:v>
      </x:c>
      <x:c r="X1815" s="54" t="n">
        <x:f>IF(ISNUMBER(V1815),V1815/(1-W1815),"")</x:f>
        <x:v>18.840000000000003</x:v>
      </x:c>
      <x:c r="Y1815" s="55" t="n">
        <x:f>IF(ISNUMBER(X1815),ROUNDUP(X1815,0),"")</x:f>
        <x:v>19</x:v>
      </x:c>
      <x:c r="Z1815" t="str">
        <x:v>Source match pending</x:v>
      </x:c>
      <x:c r="AA1815" t="str">
        <x:v>screencapture-www-activesportstrade-co-uk-trained-by-jp-trade-2026-09-10-09_10_55.pdf / page-1</x:v>
      </x:c>
      <x:c r="AB1815" s="36" t="n">
        <x:f>IF(ISNUMBER(Y1815),ROUND(Y1815*0.9,2),"")</x:f>
        <x:v>17.1</x:v>
      </x:c>
      <x:c r="AC1815" s="36" t="n">
        <x:f>IF(ISNUMBER(AB1815),ROUND(AB1815-(AB1815*0.015+0.2)-V1815,2),"")</x:f>
        <x:v>3.46</x:v>
      </x:c>
      <x:c r="AD1815" s="36" t="n">
        <x:f>IF(ISNUMBER(Y1815),ROUND(Y1815*0.8,2),"")</x:f>
        <x:v>15.2</x:v>
      </x:c>
      <x:c r="AE1815" s="36" t="n">
        <x:f>IF(ISNUMBER(AD1815),ROUND(AD1815*0.015+0.2,2),"")</x:f>
        <x:v>0.43</x:v>
      </x:c>
      <x:c r="AF1815" s="36" t="n">
        <x:f>IF(ISNUMBER(AD1815),ROUND(AD1815-AE1815-V1815,2),"")</x:f>
        <x:v>1.58</x:v>
      </x:c>
      <x:c r="AG1815" t="str">
        <x:f>IF(NOT(ISNUMBER(T1815)),"PENDING",IF(AF1815&gt;0,"PASS","FAIL"))</x:f>
        <x:v>PASS</x:v>
      </x:c>
      <x:c r="AH1815" t="str">
        <x:f>IF(NOT(ISNUMBER(T1815)),"Needs supplier cost",IF(K1815&lt;&gt;"In stock","Supplier unavailable",IF(AG1815&lt;&gt;"PASS","BLOCK - GT loss risk","Commercially protected")))</x:f>
        <x:v>Commercially protected</x:v>
      </x:c>
      <x:c r="AI1815" t="str">
        <x:v>2026-09-10 Active Sports trade capture</x:v>
      </x:c>
      <x:c r="AJ1815" t="str">
        <x:v>Management-only economics. Stripe stress test uses 1.5% + £0.20 standard UK online-card fee; pallet/mix-and-match pricing ignored.</x:v>
      </x:c>
    </x:row>
    <x:row r="1816">
      <x:c r="A1816" t="str">
        <x:v>Active Sports Nutrition</x:v>
      </x:c>
      <x:c r="B1816" t="str">
        <x:v>Trained By JP</x:v>
      </x:c>
      <x:c r="C1816" t="str">
        <x:v>Cream of Rice</x:v>
      </x:c>
      <x:c r="D1816" t="str">
        <x:v>Supplements</x:v>
      </x:c>
      <x:c r="E1816" t="str">
        <x:v>Carbohydrates</x:v>
      </x:c>
      <x:c r="F1816" t="str"/>
      <x:c r="G1816" t="str">
        <x:v>2kg</x:v>
      </x:c>
      <x:c r="H1816" t="str">
        <x:v>Chocolate Brownie</x:v>
      </x:c>
      <x:c r="I1816" t="str"/>
      <x:c r="J1816" t="str">
        <x:v>Unit</x:v>
      </x:c>
      <x:c r="K1816" t="str">
        <x:v>In stock</x:v>
      </x:c>
      <x:c r="L1816" t="str">
        <x:v>2026-09-08</x:v>
      </x:c>
      <x:c r="M1816" t="str"/>
      <x:c r="N1816" t="str"/>
      <x:c r="O1816" t="str">
        <x:v>https://www.activesportstrade.co.uk/trained-by-jp-trade</x:v>
      </x:c>
      <x:c r="P1816" t="str"/>
      <x:c r="Q1816" t="str"/>
      <x:c r="R1816" t="str"/>
      <x:c r="S1816" t="str">
        <x:v>Pending genuine supplier/brand image</x:v>
      </x:c>
      <x:c r="T1816" s="54" t="n">
        <x:v>10.99</x:v>
      </x:c>
      <x:c r="U1816" s="47" t="n">
        <x:v>0.2</x:v>
      </x:c>
      <x:c r="V1816" s="54" t="n">
        <x:f>IF(ISNUMBER(T1816),T1816*(1+U1816),"")</x:f>
        <x:v>13.188</x:v>
      </x:c>
      <x:c r="W1816" s="47" t="n">
        <x:v>0.3</x:v>
      </x:c>
      <x:c r="X1816" s="54" t="n">
        <x:f>IF(ISNUMBER(V1816),V1816/(1-W1816),"")</x:f>
        <x:v>18.840000000000003</x:v>
      </x:c>
      <x:c r="Y1816" s="55" t="n">
        <x:f>IF(ISNUMBER(X1816),ROUNDUP(X1816,0),"")</x:f>
        <x:v>19</x:v>
      </x:c>
      <x:c r="Z1816" t="str">
        <x:v>Source match pending</x:v>
      </x:c>
      <x:c r="AA1816" t="str">
        <x:v>screencapture-www-activesportstrade-co-uk-trained-by-jp-trade-2026-09-10-09_10_55.pdf / page-1</x:v>
      </x:c>
      <x:c r="AB1816" s="36" t="n">
        <x:f>IF(ISNUMBER(Y1816),ROUND(Y1816*0.9,2),"")</x:f>
        <x:v>17.1</x:v>
      </x:c>
      <x:c r="AC1816" s="36" t="n">
        <x:f>IF(ISNUMBER(AB1816),ROUND(AB1816-(AB1816*0.015+0.2)-V1816,2),"")</x:f>
        <x:v>3.46</x:v>
      </x:c>
      <x:c r="AD1816" s="36" t="n">
        <x:f>IF(ISNUMBER(Y1816),ROUND(Y1816*0.8,2),"")</x:f>
        <x:v>15.2</x:v>
      </x:c>
      <x:c r="AE1816" s="36" t="n">
        <x:f>IF(ISNUMBER(AD1816),ROUND(AD1816*0.015+0.2,2),"")</x:f>
        <x:v>0.43</x:v>
      </x:c>
      <x:c r="AF1816" s="36" t="n">
        <x:f>IF(ISNUMBER(AD1816),ROUND(AD1816-AE1816-V1816,2),"")</x:f>
        <x:v>1.58</x:v>
      </x:c>
      <x:c r="AG1816" t="str">
        <x:f>IF(NOT(ISNUMBER(T1816)),"PENDING",IF(AF1816&gt;0,"PASS","FAIL"))</x:f>
        <x:v>PASS</x:v>
      </x:c>
      <x:c r="AH1816" t="str">
        <x:f>IF(NOT(ISNUMBER(T1816)),"Needs supplier cost",IF(K1816&lt;&gt;"In stock","Supplier unavailable",IF(AG1816&lt;&gt;"PASS","BLOCK - GT loss risk","Commercially protected")))</x:f>
        <x:v>Commercially protected</x:v>
      </x:c>
      <x:c r="AI1816" t="str">
        <x:v>2026-09-10 Active Sports trade capture</x:v>
      </x:c>
      <x:c r="AJ1816" t="str">
        <x:v>Management-only economics. Stripe stress test uses 1.5% + £0.20 standard UK online-card fee; pallet/mix-and-match pricing ignored.</x:v>
      </x:c>
    </x:row>
    <x:row r="1817">
      <x:c r="A1817" t="str">
        <x:v>Active Sports Nutrition</x:v>
      </x:c>
      <x:c r="B1817" t="str">
        <x:v>Trained By JP</x:v>
      </x:c>
      <x:c r="C1817" t="str">
        <x:v>Cream of Rice</x:v>
      </x:c>
      <x:c r="D1817" t="str">
        <x:v>Supplements</x:v>
      </x:c>
      <x:c r="E1817" t="str">
        <x:v>Carbohydrates</x:v>
      </x:c>
      <x:c r="F1817" t="str"/>
      <x:c r="G1817" t="str">
        <x:v>2kg</x:v>
      </x:c>
      <x:c r="H1817" t="str">
        <x:v>Chocolate Hazelnut</x:v>
      </x:c>
      <x:c r="I1817" t="str"/>
      <x:c r="J1817" t="str">
        <x:v>Unit</x:v>
      </x:c>
      <x:c r="K1817" t="str">
        <x:v>In stock</x:v>
      </x:c>
      <x:c r="L1817" t="str">
        <x:v>2026-09-08</x:v>
      </x:c>
      <x:c r="M1817" t="str"/>
      <x:c r="N1817" t="str"/>
      <x:c r="O1817" t="str">
        <x:v>https://www.activesportstrade.co.uk/trained-by-jp-trade</x:v>
      </x:c>
      <x:c r="P1817" t="str"/>
      <x:c r="Q1817" t="str"/>
      <x:c r="R1817" t="str"/>
      <x:c r="S1817" t="str">
        <x:v>Pending genuine supplier/brand image</x:v>
      </x:c>
      <x:c r="T1817" s="54" t="n">
        <x:v>10.99</x:v>
      </x:c>
      <x:c r="U1817" s="47" t="n">
        <x:v>0.2</x:v>
      </x:c>
      <x:c r="V1817" s="54" t="n">
        <x:f>IF(ISNUMBER(T1817),T1817*(1+U1817),"")</x:f>
        <x:v>13.188</x:v>
      </x:c>
      <x:c r="W1817" s="47" t="n">
        <x:v>0.3</x:v>
      </x:c>
      <x:c r="X1817" s="54" t="n">
        <x:f>IF(ISNUMBER(V1817),V1817/(1-W1817),"")</x:f>
        <x:v>18.840000000000003</x:v>
      </x:c>
      <x:c r="Y1817" s="55" t="n">
        <x:f>IF(ISNUMBER(X1817),ROUNDUP(X1817,0),"")</x:f>
        <x:v>19</x:v>
      </x:c>
      <x:c r="Z1817" t="str">
        <x:v>Source match pending</x:v>
      </x:c>
      <x:c r="AA1817" t="str">
        <x:v>screencapture-www-activesportstrade-co-uk-trained-by-jp-trade-2026-09-10-09_10_55.pdf / page-1</x:v>
      </x:c>
      <x:c r="AB1817" s="36" t="n">
        <x:f>IF(ISNUMBER(Y1817),ROUND(Y1817*0.9,2),"")</x:f>
        <x:v>17.1</x:v>
      </x:c>
      <x:c r="AC1817" s="36" t="n">
        <x:f>IF(ISNUMBER(AB1817),ROUND(AB1817-(AB1817*0.015+0.2)-V1817,2),"")</x:f>
        <x:v>3.46</x:v>
      </x:c>
      <x:c r="AD1817" s="36" t="n">
        <x:f>IF(ISNUMBER(Y1817),ROUND(Y1817*0.8,2),"")</x:f>
        <x:v>15.2</x:v>
      </x:c>
      <x:c r="AE1817" s="36" t="n">
        <x:f>IF(ISNUMBER(AD1817),ROUND(AD1817*0.015+0.2,2),"")</x:f>
        <x:v>0.43</x:v>
      </x:c>
      <x:c r="AF1817" s="36" t="n">
        <x:f>IF(ISNUMBER(AD1817),ROUND(AD1817-AE1817-V1817,2),"")</x:f>
        <x:v>1.58</x:v>
      </x:c>
      <x:c r="AG1817" t="str">
        <x:f>IF(NOT(ISNUMBER(T1817)),"PENDING",IF(AF1817&gt;0,"PASS","FAIL"))</x:f>
        <x:v>PASS</x:v>
      </x:c>
      <x:c r="AH1817" t="str">
        <x:f>IF(NOT(ISNUMBER(T1817)),"Needs supplier cost",IF(K1817&lt;&gt;"In stock","Supplier unavailable",IF(AG1817&lt;&gt;"PASS","BLOCK - GT loss risk","Commercially protected")))</x:f>
        <x:v>Commercially protected</x:v>
      </x:c>
      <x:c r="AI1817" t="str">
        <x:v>2026-09-10 Active Sports trade capture</x:v>
      </x:c>
      <x:c r="AJ1817" t="str">
        <x:v>Management-only economics. Stripe stress test uses 1.5% + £0.20 standard UK online-card fee; pallet/mix-and-match pricing ignored.</x:v>
      </x:c>
    </x:row>
    <x:row r="1818">
      <x:c r="A1818" t="str">
        <x:v>Active Sports Nutrition</x:v>
      </x:c>
      <x:c r="B1818" t="str">
        <x:v>Trained By JP</x:v>
      </x:c>
      <x:c r="C1818" t="str">
        <x:v>Cream of Rice</x:v>
      </x:c>
      <x:c r="D1818" t="str">
        <x:v>Supplements</x:v>
      </x:c>
      <x:c r="E1818" t="str">
        <x:v>Carbohydrates</x:v>
      </x:c>
      <x:c r="F1818" t="str"/>
      <x:c r="G1818" t="str">
        <x:v>2kg</x:v>
      </x:c>
      <x:c r="H1818" t="str">
        <x:v>Cinnamon Bun</x:v>
      </x:c>
      <x:c r="I1818" t="str"/>
      <x:c r="J1818" t="str">
        <x:v>Unit</x:v>
      </x:c>
      <x:c r="K1818" t="str">
        <x:v>In stock</x:v>
      </x:c>
      <x:c r="L1818" t="str">
        <x:v>2026-09-08</x:v>
      </x:c>
      <x:c r="M1818" t="str"/>
      <x:c r="N1818" t="str"/>
      <x:c r="O1818" t="str">
        <x:v>https://www.activesportstrade.co.uk/trained-by-jp-trade</x:v>
      </x:c>
      <x:c r="P1818" t="str"/>
      <x:c r="Q1818" t="str"/>
      <x:c r="R1818" t="str"/>
      <x:c r="S1818" t="str">
        <x:v>Pending genuine supplier/brand image</x:v>
      </x:c>
      <x:c r="T1818" s="54" t="n">
        <x:v>10.99</x:v>
      </x:c>
      <x:c r="U1818" s="47" t="n">
        <x:v>0.2</x:v>
      </x:c>
      <x:c r="V1818" s="54" t="n">
        <x:f>IF(ISNUMBER(T1818),T1818*(1+U1818),"")</x:f>
        <x:v>13.188</x:v>
      </x:c>
      <x:c r="W1818" s="47" t="n">
        <x:v>0.3</x:v>
      </x:c>
      <x:c r="X1818" s="54" t="n">
        <x:f>IF(ISNUMBER(V1818),V1818/(1-W1818),"")</x:f>
        <x:v>18.840000000000003</x:v>
      </x:c>
      <x:c r="Y1818" s="55" t="n">
        <x:f>IF(ISNUMBER(X1818),ROUNDUP(X1818,0),"")</x:f>
        <x:v>19</x:v>
      </x:c>
      <x:c r="Z1818" t="str">
        <x:v>Source match pending</x:v>
      </x:c>
      <x:c r="AA1818" t="str">
        <x:v>screencapture-www-activesportstrade-co-uk-trained-by-jp-trade-2026-09-10-09_10_55.pdf / page-1</x:v>
      </x:c>
      <x:c r="AB1818" s="36" t="n">
        <x:f>IF(ISNUMBER(Y1818),ROUND(Y1818*0.9,2),"")</x:f>
        <x:v>17.1</x:v>
      </x:c>
      <x:c r="AC1818" s="36" t="n">
        <x:f>IF(ISNUMBER(AB1818),ROUND(AB1818-(AB1818*0.015+0.2)-V1818,2),"")</x:f>
        <x:v>3.46</x:v>
      </x:c>
      <x:c r="AD1818" s="36" t="n">
        <x:f>IF(ISNUMBER(Y1818),ROUND(Y1818*0.8,2),"")</x:f>
        <x:v>15.2</x:v>
      </x:c>
      <x:c r="AE1818" s="36" t="n">
        <x:f>IF(ISNUMBER(AD1818),ROUND(AD1818*0.015+0.2,2),"")</x:f>
        <x:v>0.43</x:v>
      </x:c>
      <x:c r="AF1818" s="36" t="n">
        <x:f>IF(ISNUMBER(AD1818),ROUND(AD1818-AE1818-V1818,2),"")</x:f>
        <x:v>1.58</x:v>
      </x:c>
      <x:c r="AG1818" t="str">
        <x:f>IF(NOT(ISNUMBER(T1818)),"PENDING",IF(AF1818&gt;0,"PASS","FAIL"))</x:f>
        <x:v>PASS</x:v>
      </x:c>
      <x:c r="AH1818" t="str">
        <x:f>IF(NOT(ISNUMBER(T1818)),"Needs supplier cost",IF(K1818&lt;&gt;"In stock","Supplier unavailable",IF(AG1818&lt;&gt;"PASS","BLOCK - GT loss risk","Commercially protected")))</x:f>
        <x:v>Commercially protected</x:v>
      </x:c>
      <x:c r="AI1818" t="str">
        <x:v>2026-09-10 Active Sports trade capture</x:v>
      </x:c>
      <x:c r="AJ1818" t="str">
        <x:v>Management-only economics. Stripe stress test uses 1.5% + £0.20 standard UK online-card fee; pallet/mix-and-match pricing ignored.</x:v>
      </x:c>
    </x:row>
    <x:row r="1819">
      <x:c r="A1819" t="str">
        <x:v>Active Sports Nutrition</x:v>
      </x:c>
      <x:c r="B1819" t="str">
        <x:v>Trained By JP</x:v>
      </x:c>
      <x:c r="C1819" t="str">
        <x:v>Cream of Rice</x:v>
      </x:c>
      <x:c r="D1819" t="str">
        <x:v>Supplements</x:v>
      </x:c>
      <x:c r="E1819" t="str">
        <x:v>Carbohydrates</x:v>
      </x:c>
      <x:c r="F1819" t="str"/>
      <x:c r="G1819" t="str">
        <x:v>2kg</x:v>
      </x:c>
      <x:c r="H1819" t="str">
        <x:v>Golden Syrup</x:v>
      </x:c>
      <x:c r="I1819" t="str"/>
      <x:c r="J1819" t="str">
        <x:v>Unit</x:v>
      </x:c>
      <x:c r="K1819" t="str">
        <x:v>In stock</x:v>
      </x:c>
      <x:c r="L1819" t="str">
        <x:v>2026-09-08</x:v>
      </x:c>
      <x:c r="M1819" t="str"/>
      <x:c r="N1819" t="str"/>
      <x:c r="O1819" t="str">
        <x:v>https://www.activesportstrade.co.uk/trained-by-jp-trade</x:v>
      </x:c>
      <x:c r="P1819" t="str"/>
      <x:c r="Q1819" t="str"/>
      <x:c r="R1819" t="str"/>
      <x:c r="S1819" t="str">
        <x:v>Pending genuine supplier/brand image</x:v>
      </x:c>
      <x:c r="T1819" s="54" t="n">
        <x:v>10.99</x:v>
      </x:c>
      <x:c r="U1819" s="47" t="n">
        <x:v>0.2</x:v>
      </x:c>
      <x:c r="V1819" s="54" t="n">
        <x:f>IF(ISNUMBER(T1819),T1819*(1+U1819),"")</x:f>
        <x:v>13.188</x:v>
      </x:c>
      <x:c r="W1819" s="47" t="n">
        <x:v>0.3</x:v>
      </x:c>
      <x:c r="X1819" s="54" t="n">
        <x:f>IF(ISNUMBER(V1819),V1819/(1-W1819),"")</x:f>
        <x:v>18.840000000000003</x:v>
      </x:c>
      <x:c r="Y1819" s="55" t="n">
        <x:f>IF(ISNUMBER(X1819),ROUNDUP(X1819,0),"")</x:f>
        <x:v>19</x:v>
      </x:c>
      <x:c r="Z1819" t="str">
        <x:v>Source match pending</x:v>
      </x:c>
      <x:c r="AA1819" t="str">
        <x:v>screencapture-www-activesportstrade-co-uk-trained-by-jp-trade-2026-09-10-09_10_55.pdf / page-1</x:v>
      </x:c>
      <x:c r="AB1819" s="36" t="n">
        <x:f>IF(ISNUMBER(Y1819),ROUND(Y1819*0.9,2),"")</x:f>
        <x:v>17.1</x:v>
      </x:c>
      <x:c r="AC1819" s="36" t="n">
        <x:f>IF(ISNUMBER(AB1819),ROUND(AB1819-(AB1819*0.015+0.2)-V1819,2),"")</x:f>
        <x:v>3.46</x:v>
      </x:c>
      <x:c r="AD1819" s="36" t="n">
        <x:f>IF(ISNUMBER(Y1819),ROUND(Y1819*0.8,2),"")</x:f>
        <x:v>15.2</x:v>
      </x:c>
      <x:c r="AE1819" s="36" t="n">
        <x:f>IF(ISNUMBER(AD1819),ROUND(AD1819*0.015+0.2,2),"")</x:f>
        <x:v>0.43</x:v>
      </x:c>
      <x:c r="AF1819" s="36" t="n">
        <x:f>IF(ISNUMBER(AD1819),ROUND(AD1819-AE1819-V1819,2),"")</x:f>
        <x:v>1.58</x:v>
      </x:c>
      <x:c r="AG1819" t="str">
        <x:f>IF(NOT(ISNUMBER(T1819)),"PENDING",IF(AF1819&gt;0,"PASS","FAIL"))</x:f>
        <x:v>PASS</x:v>
      </x:c>
      <x:c r="AH1819" t="str">
        <x:f>IF(NOT(ISNUMBER(T1819)),"Needs supplier cost",IF(K1819&lt;&gt;"In stock","Supplier unavailable",IF(AG1819&lt;&gt;"PASS","BLOCK - GT loss risk","Commercially protected")))</x:f>
        <x:v>Commercially protected</x:v>
      </x:c>
      <x:c r="AI1819" t="str">
        <x:v>2026-09-10 Active Sports trade capture</x:v>
      </x:c>
      <x:c r="AJ1819" t="str">
        <x:v>Management-only economics. Stripe stress test uses 1.5% + £0.20 standard UK online-card fee; pallet/mix-and-match pricing ignored.</x:v>
      </x:c>
    </x:row>
    <x:row r="1820">
      <x:c r="A1820" t="str">
        <x:v>Active Sports Nutrition</x:v>
      </x:c>
      <x:c r="B1820" t="str">
        <x:v>Trained By JP</x:v>
      </x:c>
      <x:c r="C1820" t="str">
        <x:v>Cream of Rice</x:v>
      </x:c>
      <x:c r="D1820" t="str">
        <x:v>Supplements</x:v>
      </x:c>
      <x:c r="E1820" t="str">
        <x:v>Carbohydrates</x:v>
      </x:c>
      <x:c r="F1820" t="str"/>
      <x:c r="G1820" t="str">
        <x:v>2kg</x:v>
      </x:c>
      <x:c r="H1820" t="str">
        <x:v>Jam Roly Poly</x:v>
      </x:c>
      <x:c r="I1820" t="str"/>
      <x:c r="J1820" t="str">
        <x:v>Unit</x:v>
      </x:c>
      <x:c r="K1820" t="str">
        <x:v>In stock</x:v>
      </x:c>
      <x:c r="L1820" t="str">
        <x:v>2026-09-08</x:v>
      </x:c>
      <x:c r="M1820" t="str"/>
      <x:c r="N1820" t="str"/>
      <x:c r="O1820" t="str">
        <x:v>https://www.activesportstrade.co.uk/trained-by-jp-trade</x:v>
      </x:c>
      <x:c r="P1820" t="str"/>
      <x:c r="Q1820" t="str"/>
      <x:c r="R1820" t="str"/>
      <x:c r="S1820" t="str">
        <x:v>Pending genuine supplier/brand image</x:v>
      </x:c>
      <x:c r="T1820" s="54" t="n">
        <x:v>10.99</x:v>
      </x:c>
      <x:c r="U1820" s="47" t="n">
        <x:v>0.2</x:v>
      </x:c>
      <x:c r="V1820" s="54" t="n">
        <x:f>IF(ISNUMBER(T1820),T1820*(1+U1820),"")</x:f>
        <x:v>13.188</x:v>
      </x:c>
      <x:c r="W1820" s="47" t="n">
        <x:v>0.3</x:v>
      </x:c>
      <x:c r="X1820" s="54" t="n">
        <x:f>IF(ISNUMBER(V1820),V1820/(1-W1820),"")</x:f>
        <x:v>18.840000000000003</x:v>
      </x:c>
      <x:c r="Y1820" s="55" t="n">
        <x:f>IF(ISNUMBER(X1820),ROUNDUP(X1820,0),"")</x:f>
        <x:v>19</x:v>
      </x:c>
      <x:c r="Z1820" t="str">
        <x:v>Source match pending</x:v>
      </x:c>
      <x:c r="AA1820" t="str">
        <x:v>screencapture-www-activesportstrade-co-uk-trained-by-jp-trade-2026-09-10-09_10_55.pdf / page-1</x:v>
      </x:c>
      <x:c r="AB1820" s="36" t="n">
        <x:f>IF(ISNUMBER(Y1820),ROUND(Y1820*0.9,2),"")</x:f>
        <x:v>17.1</x:v>
      </x:c>
      <x:c r="AC1820" s="36" t="n">
        <x:f>IF(ISNUMBER(AB1820),ROUND(AB1820-(AB1820*0.015+0.2)-V1820,2),"")</x:f>
        <x:v>3.46</x:v>
      </x:c>
      <x:c r="AD1820" s="36" t="n">
        <x:f>IF(ISNUMBER(Y1820),ROUND(Y1820*0.8,2),"")</x:f>
        <x:v>15.2</x:v>
      </x:c>
      <x:c r="AE1820" s="36" t="n">
        <x:f>IF(ISNUMBER(AD1820),ROUND(AD1820*0.015+0.2,2),"")</x:f>
        <x:v>0.43</x:v>
      </x:c>
      <x:c r="AF1820" s="36" t="n">
        <x:f>IF(ISNUMBER(AD1820),ROUND(AD1820-AE1820-V1820,2),"")</x:f>
        <x:v>1.58</x:v>
      </x:c>
      <x:c r="AG1820" t="str">
        <x:f>IF(NOT(ISNUMBER(T1820)),"PENDING",IF(AF1820&gt;0,"PASS","FAIL"))</x:f>
        <x:v>PASS</x:v>
      </x:c>
      <x:c r="AH1820" t="str">
        <x:f>IF(NOT(ISNUMBER(T1820)),"Needs supplier cost",IF(K1820&lt;&gt;"In stock","Supplier unavailable",IF(AG1820&lt;&gt;"PASS","BLOCK - GT loss risk","Commercially protected")))</x:f>
        <x:v>Commercially protected</x:v>
      </x:c>
      <x:c r="AI1820" t="str">
        <x:v>2026-09-10 Active Sports trade capture</x:v>
      </x:c>
      <x:c r="AJ1820" t="str">
        <x:v>Management-only economics. Stripe stress test uses 1.5% + £0.20 standard UK online-card fee; pallet/mix-and-match pricing ignored.</x:v>
      </x:c>
    </x:row>
    <x:row r="1821">
      <x:c r="A1821" t="str">
        <x:v>Active Sports Nutrition</x:v>
      </x:c>
      <x:c r="B1821" t="str">
        <x:v>Trained By JP</x:v>
      </x:c>
      <x:c r="C1821" t="str">
        <x:v>Cream of Rice</x:v>
      </x:c>
      <x:c r="D1821" t="str">
        <x:v>Supplements</x:v>
      </x:c>
      <x:c r="E1821" t="str">
        <x:v>Carbohydrates</x:v>
      </x:c>
      <x:c r="F1821" t="str"/>
      <x:c r="G1821" t="str">
        <x:v>2kg</x:v>
      </x:c>
      <x:c r="H1821" t="str">
        <x:v>Lemon Cheesecake</x:v>
      </x:c>
      <x:c r="I1821" t="str"/>
      <x:c r="J1821" t="str">
        <x:v>Unit</x:v>
      </x:c>
      <x:c r="K1821" t="str">
        <x:v>In stock</x:v>
      </x:c>
      <x:c r="L1821" t="str">
        <x:v>2026-09-08</x:v>
      </x:c>
      <x:c r="M1821" t="str"/>
      <x:c r="N1821" t="str"/>
      <x:c r="O1821" t="str">
        <x:v>https://www.activesportstrade.co.uk/trained-by-jp-trade</x:v>
      </x:c>
      <x:c r="P1821" t="str"/>
      <x:c r="Q1821" t="str"/>
      <x:c r="R1821" t="str"/>
      <x:c r="S1821" t="str">
        <x:v>Pending genuine supplier/brand image</x:v>
      </x:c>
      <x:c r="T1821" s="54" t="n">
        <x:v>10.99</x:v>
      </x:c>
      <x:c r="U1821" s="47" t="n">
        <x:v>0.2</x:v>
      </x:c>
      <x:c r="V1821" s="54" t="n">
        <x:f>IF(ISNUMBER(T1821),T1821*(1+U1821),"")</x:f>
        <x:v>13.188</x:v>
      </x:c>
      <x:c r="W1821" s="47" t="n">
        <x:v>0.3</x:v>
      </x:c>
      <x:c r="X1821" s="54" t="n">
        <x:f>IF(ISNUMBER(V1821),V1821/(1-W1821),"")</x:f>
        <x:v>18.840000000000003</x:v>
      </x:c>
      <x:c r="Y1821" s="55" t="n">
        <x:f>IF(ISNUMBER(X1821),ROUNDUP(X1821,0),"")</x:f>
        <x:v>19</x:v>
      </x:c>
      <x:c r="Z1821" t="str">
        <x:v>Source match pending</x:v>
      </x:c>
      <x:c r="AA1821" t="str">
        <x:v>screencapture-www-activesportstrade-co-uk-trained-by-jp-trade-2026-09-10-09_10_55.pdf / page-1</x:v>
      </x:c>
      <x:c r="AB1821" s="36" t="n">
        <x:f>IF(ISNUMBER(Y1821),ROUND(Y1821*0.9,2),"")</x:f>
        <x:v>17.1</x:v>
      </x:c>
      <x:c r="AC1821" s="36" t="n">
        <x:f>IF(ISNUMBER(AB1821),ROUND(AB1821-(AB1821*0.015+0.2)-V1821,2),"")</x:f>
        <x:v>3.46</x:v>
      </x:c>
      <x:c r="AD1821" s="36" t="n">
        <x:f>IF(ISNUMBER(Y1821),ROUND(Y1821*0.8,2),"")</x:f>
        <x:v>15.2</x:v>
      </x:c>
      <x:c r="AE1821" s="36" t="n">
        <x:f>IF(ISNUMBER(AD1821),ROUND(AD1821*0.015+0.2,2),"")</x:f>
        <x:v>0.43</x:v>
      </x:c>
      <x:c r="AF1821" s="36" t="n">
        <x:f>IF(ISNUMBER(AD1821),ROUND(AD1821-AE1821-V1821,2),"")</x:f>
        <x:v>1.58</x:v>
      </x:c>
      <x:c r="AG1821" t="str">
        <x:f>IF(NOT(ISNUMBER(T1821)),"PENDING",IF(AF1821&gt;0,"PASS","FAIL"))</x:f>
        <x:v>PASS</x:v>
      </x:c>
      <x:c r="AH1821" t="str">
        <x:f>IF(NOT(ISNUMBER(T1821)),"Needs supplier cost",IF(K1821&lt;&gt;"In stock","Supplier unavailable",IF(AG1821&lt;&gt;"PASS","BLOCK - GT loss risk","Commercially protected")))</x:f>
        <x:v>Commercially protected</x:v>
      </x:c>
      <x:c r="AI1821" t="str">
        <x:v>2026-09-10 Active Sports trade capture</x:v>
      </x:c>
      <x:c r="AJ1821" t="str">
        <x:v>Management-only economics. Stripe stress test uses 1.5% + £0.20 standard UK online-card fee; pallet/mix-and-match pricing ignored.</x:v>
      </x:c>
    </x:row>
    <x:row r="1822">
      <x:c r="A1822" t="str">
        <x:v>Active Sports Nutrition</x:v>
      </x:c>
      <x:c r="B1822" t="str">
        <x:v>Trained By JP</x:v>
      </x:c>
      <x:c r="C1822" t="str">
        <x:v>Cream of Rice</x:v>
      </x:c>
      <x:c r="D1822" t="str">
        <x:v>Supplements</x:v>
      </x:c>
      <x:c r="E1822" t="str">
        <x:v>Carbohydrates</x:v>
      </x:c>
      <x:c r="F1822" t="str"/>
      <x:c r="G1822" t="str">
        <x:v>2kg</x:v>
      </x:c>
      <x:c r="H1822" t="str">
        <x:v>Salted Caramel</x:v>
      </x:c>
      <x:c r="I1822" t="str"/>
      <x:c r="J1822" t="str">
        <x:v>Unit</x:v>
      </x:c>
      <x:c r="K1822" t="str">
        <x:v>In stock</x:v>
      </x:c>
      <x:c r="L1822" t="str">
        <x:v>2026-09-08</x:v>
      </x:c>
      <x:c r="M1822" t="str"/>
      <x:c r="N1822" t="str"/>
      <x:c r="O1822" t="str">
        <x:v>https://www.activesportstrade.co.uk/trained-by-jp-trade</x:v>
      </x:c>
      <x:c r="P1822" t="str"/>
      <x:c r="Q1822" t="str"/>
      <x:c r="R1822" t="str"/>
      <x:c r="S1822" t="str">
        <x:v>Pending genuine supplier/brand image</x:v>
      </x:c>
      <x:c r="T1822" s="54" t="n">
        <x:v>10.99</x:v>
      </x:c>
      <x:c r="U1822" s="47" t="n">
        <x:v>0.2</x:v>
      </x:c>
      <x:c r="V1822" s="54" t="n">
        <x:f>IF(ISNUMBER(T1822),T1822*(1+U1822),"")</x:f>
        <x:v>13.188</x:v>
      </x:c>
      <x:c r="W1822" s="47" t="n">
        <x:v>0.3</x:v>
      </x:c>
      <x:c r="X1822" s="54" t="n">
        <x:f>IF(ISNUMBER(V1822),V1822/(1-W1822),"")</x:f>
        <x:v>18.840000000000003</x:v>
      </x:c>
      <x:c r="Y1822" s="55" t="n">
        <x:f>IF(ISNUMBER(X1822),ROUNDUP(X1822,0),"")</x:f>
        <x:v>19</x:v>
      </x:c>
      <x:c r="Z1822" t="str">
        <x:v>Source match pending</x:v>
      </x:c>
      <x:c r="AA1822" t="str">
        <x:v>screencapture-www-activesportstrade-co-uk-trained-by-jp-trade-2026-09-10-09_10_55.pdf / page-1</x:v>
      </x:c>
      <x:c r="AB1822" s="36" t="n">
        <x:f>IF(ISNUMBER(Y1822),ROUND(Y1822*0.9,2),"")</x:f>
        <x:v>17.1</x:v>
      </x:c>
      <x:c r="AC1822" s="36" t="n">
        <x:f>IF(ISNUMBER(AB1822),ROUND(AB1822-(AB1822*0.015+0.2)-V1822,2),"")</x:f>
        <x:v>3.46</x:v>
      </x:c>
      <x:c r="AD1822" s="36" t="n">
        <x:f>IF(ISNUMBER(Y1822),ROUND(Y1822*0.8,2),"")</x:f>
        <x:v>15.2</x:v>
      </x:c>
      <x:c r="AE1822" s="36" t="n">
        <x:f>IF(ISNUMBER(AD1822),ROUND(AD1822*0.015+0.2,2),"")</x:f>
        <x:v>0.43</x:v>
      </x:c>
      <x:c r="AF1822" s="36" t="n">
        <x:f>IF(ISNUMBER(AD1822),ROUND(AD1822-AE1822-V1822,2),"")</x:f>
        <x:v>1.58</x:v>
      </x:c>
      <x:c r="AG1822" t="str">
        <x:f>IF(NOT(ISNUMBER(T1822)),"PENDING",IF(AF1822&gt;0,"PASS","FAIL"))</x:f>
        <x:v>PASS</x:v>
      </x:c>
      <x:c r="AH1822" t="str">
        <x:f>IF(NOT(ISNUMBER(T1822)),"Needs supplier cost",IF(K1822&lt;&gt;"In stock","Supplier unavailable",IF(AG1822&lt;&gt;"PASS","BLOCK - GT loss risk","Commercially protected")))</x:f>
        <x:v>Commercially protected</x:v>
      </x:c>
      <x:c r="AI1822" t="str">
        <x:v>2026-09-10 Active Sports trade capture</x:v>
      </x:c>
      <x:c r="AJ1822" t="str">
        <x:v>Management-only economics. Stripe stress test uses 1.5% + £0.20 standard UK online-card fee; pallet/mix-and-match pricing ignored.</x:v>
      </x:c>
    </x:row>
    <x:row r="1823">
      <x:c r="A1823" t="str">
        <x:v>Active Sports Nutrition</x:v>
      </x:c>
      <x:c r="B1823" t="str">
        <x:v>Trained By JP</x:v>
      </x:c>
      <x:c r="C1823" t="str">
        <x:v>Cream of Rice</x:v>
      </x:c>
      <x:c r="D1823" t="str">
        <x:v>Supplements</x:v>
      </x:c>
      <x:c r="E1823" t="str">
        <x:v>Carbohydrates</x:v>
      </x:c>
      <x:c r="F1823" t="str"/>
      <x:c r="G1823" t="str">
        <x:v>2kg</x:v>
      </x:c>
      <x:c r="H1823" t="str">
        <x:v>Sticky Toffee Pudding</x:v>
      </x:c>
      <x:c r="I1823" t="str"/>
      <x:c r="J1823" t="str">
        <x:v>Unit</x:v>
      </x:c>
      <x:c r="K1823" t="str">
        <x:v>In stock</x:v>
      </x:c>
      <x:c r="L1823" t="str">
        <x:v>2026-09-08</x:v>
      </x:c>
      <x:c r="M1823" t="str"/>
      <x:c r="N1823" t="str"/>
      <x:c r="O1823" t="str">
        <x:v>https://www.activesportstrade.co.uk/trained-by-jp-trade</x:v>
      </x:c>
      <x:c r="P1823" t="str"/>
      <x:c r="Q1823" t="str"/>
      <x:c r="R1823" t="str"/>
      <x:c r="S1823" t="str">
        <x:v>Pending genuine supplier/brand image</x:v>
      </x:c>
      <x:c r="T1823" s="54" t="n">
        <x:v>10.99</x:v>
      </x:c>
      <x:c r="U1823" s="47" t="n">
        <x:v>0.2</x:v>
      </x:c>
      <x:c r="V1823" s="54" t="n">
        <x:f>IF(ISNUMBER(T1823),T1823*(1+U1823),"")</x:f>
        <x:v>13.188</x:v>
      </x:c>
      <x:c r="W1823" s="47" t="n">
        <x:v>0.3</x:v>
      </x:c>
      <x:c r="X1823" s="54" t="n">
        <x:f>IF(ISNUMBER(V1823),V1823/(1-W1823),"")</x:f>
        <x:v>18.840000000000003</x:v>
      </x:c>
      <x:c r="Y1823" s="55" t="n">
        <x:f>IF(ISNUMBER(X1823),ROUNDUP(X1823,0),"")</x:f>
        <x:v>19</x:v>
      </x:c>
      <x:c r="Z1823" t="str">
        <x:v>Source match pending</x:v>
      </x:c>
      <x:c r="AA1823" t="str">
        <x:v>screencapture-www-activesportstrade-co-uk-trained-by-jp-trade-2026-09-10-09_10_55.pdf / page-1</x:v>
      </x:c>
      <x:c r="AB1823" s="36" t="n">
        <x:f>IF(ISNUMBER(Y1823),ROUND(Y1823*0.9,2),"")</x:f>
        <x:v>17.1</x:v>
      </x:c>
      <x:c r="AC1823" s="36" t="n">
        <x:f>IF(ISNUMBER(AB1823),ROUND(AB1823-(AB1823*0.015+0.2)-V1823,2),"")</x:f>
        <x:v>3.46</x:v>
      </x:c>
      <x:c r="AD1823" s="36" t="n">
        <x:f>IF(ISNUMBER(Y1823),ROUND(Y1823*0.8,2),"")</x:f>
        <x:v>15.2</x:v>
      </x:c>
      <x:c r="AE1823" s="36" t="n">
        <x:f>IF(ISNUMBER(AD1823),ROUND(AD1823*0.015+0.2,2),"")</x:f>
        <x:v>0.43</x:v>
      </x:c>
      <x:c r="AF1823" s="36" t="n">
        <x:f>IF(ISNUMBER(AD1823),ROUND(AD1823-AE1823-V1823,2),"")</x:f>
        <x:v>1.58</x:v>
      </x:c>
      <x:c r="AG1823" t="str">
        <x:f>IF(NOT(ISNUMBER(T1823)),"PENDING",IF(AF1823&gt;0,"PASS","FAIL"))</x:f>
        <x:v>PASS</x:v>
      </x:c>
      <x:c r="AH1823" t="str">
        <x:f>IF(NOT(ISNUMBER(T1823)),"Needs supplier cost",IF(K1823&lt;&gt;"In stock","Supplier unavailable",IF(AG1823&lt;&gt;"PASS","BLOCK - GT loss risk","Commercially protected")))</x:f>
        <x:v>Commercially protected</x:v>
      </x:c>
      <x:c r="AI1823" t="str">
        <x:v>2026-09-10 Active Sports trade capture</x:v>
      </x:c>
      <x:c r="AJ1823" t="str">
        <x:v>Management-only economics. Stripe stress test uses 1.5% + £0.20 standard UK online-card fee; pallet/mix-and-match pricing ignored.</x:v>
      </x:c>
    </x:row>
    <x:row r="1824">
      <x:c r="A1824" t="str">
        <x:v>Active Sports Nutrition</x:v>
      </x:c>
      <x:c r="B1824" t="str">
        <x:v>Trained By JP</x:v>
      </x:c>
      <x:c r="C1824" t="str">
        <x:v>Cream of Rice</x:v>
      </x:c>
      <x:c r="D1824" t="str">
        <x:v>Supplements</x:v>
      </x:c>
      <x:c r="E1824" t="str">
        <x:v>Carbohydrates</x:v>
      </x:c>
      <x:c r="F1824" t="str"/>
      <x:c r="G1824" t="str">
        <x:v>2kg</x:v>
      </x:c>
      <x:c r="H1824" t="str">
        <x:v>Strawberry Cheesecake</x:v>
      </x:c>
      <x:c r="I1824" t="str"/>
      <x:c r="J1824" t="str">
        <x:v>Unit</x:v>
      </x:c>
      <x:c r="K1824" t="str">
        <x:v>In stock</x:v>
      </x:c>
      <x:c r="L1824" t="str">
        <x:v>2026-09-08</x:v>
      </x:c>
      <x:c r="M1824" t="str"/>
      <x:c r="N1824" t="str"/>
      <x:c r="O1824" t="str">
        <x:v>https://www.activesportstrade.co.uk/trained-by-jp-trade</x:v>
      </x:c>
      <x:c r="P1824" t="str"/>
      <x:c r="Q1824" t="str"/>
      <x:c r="R1824" t="str"/>
      <x:c r="S1824" t="str">
        <x:v>Pending genuine supplier/brand image</x:v>
      </x:c>
      <x:c r="T1824" s="54" t="n">
        <x:v>10.99</x:v>
      </x:c>
      <x:c r="U1824" s="47" t="n">
        <x:v>0.2</x:v>
      </x:c>
      <x:c r="V1824" s="54" t="n">
        <x:f>IF(ISNUMBER(T1824),T1824*(1+U1824),"")</x:f>
        <x:v>13.188</x:v>
      </x:c>
      <x:c r="W1824" s="47" t="n">
        <x:v>0.3</x:v>
      </x:c>
      <x:c r="X1824" s="54" t="n">
        <x:f>IF(ISNUMBER(V1824),V1824/(1-W1824),"")</x:f>
        <x:v>18.840000000000003</x:v>
      </x:c>
      <x:c r="Y1824" s="55" t="n">
        <x:f>IF(ISNUMBER(X1824),ROUNDUP(X1824,0),"")</x:f>
        <x:v>19</x:v>
      </x:c>
      <x:c r="Z1824" t="str">
        <x:v>Source match pending</x:v>
      </x:c>
      <x:c r="AA1824" t="str">
        <x:v>screencapture-www-activesportstrade-co-uk-trained-by-jp-trade-2026-09-10-09_10_55.pdf / page-1</x:v>
      </x:c>
      <x:c r="AB1824" s="36" t="n">
        <x:f>IF(ISNUMBER(Y1824),ROUND(Y1824*0.9,2),"")</x:f>
        <x:v>17.1</x:v>
      </x:c>
      <x:c r="AC1824" s="36" t="n">
        <x:f>IF(ISNUMBER(AB1824),ROUND(AB1824-(AB1824*0.015+0.2)-V1824,2),"")</x:f>
        <x:v>3.46</x:v>
      </x:c>
      <x:c r="AD1824" s="36" t="n">
        <x:f>IF(ISNUMBER(Y1824),ROUND(Y1824*0.8,2),"")</x:f>
        <x:v>15.2</x:v>
      </x:c>
      <x:c r="AE1824" s="36" t="n">
        <x:f>IF(ISNUMBER(AD1824),ROUND(AD1824*0.015+0.2,2),"")</x:f>
        <x:v>0.43</x:v>
      </x:c>
      <x:c r="AF1824" s="36" t="n">
        <x:f>IF(ISNUMBER(AD1824),ROUND(AD1824-AE1824-V1824,2),"")</x:f>
        <x:v>1.58</x:v>
      </x:c>
      <x:c r="AG1824" t="str">
        <x:f>IF(NOT(ISNUMBER(T1824)),"PENDING",IF(AF1824&gt;0,"PASS","FAIL"))</x:f>
        <x:v>PASS</x:v>
      </x:c>
      <x:c r="AH1824" t="str">
        <x:f>IF(NOT(ISNUMBER(T1824)),"Needs supplier cost",IF(K1824&lt;&gt;"In stock","Supplier unavailable",IF(AG1824&lt;&gt;"PASS","BLOCK - GT loss risk","Commercially protected")))</x:f>
        <x:v>Commercially protected</x:v>
      </x:c>
      <x:c r="AI1824" t="str">
        <x:v>2026-09-10 Active Sports trade capture</x:v>
      </x:c>
      <x:c r="AJ1824" t="str">
        <x:v>Management-only economics. Stripe stress test uses 1.5% + £0.20 standard UK online-card fee; pallet/mix-and-match pricing ignored.</x:v>
      </x:c>
    </x:row>
    <x:row r="1825">
      <x:c r="A1825" t="str">
        <x:v>Active Sports Nutrition</x:v>
      </x:c>
      <x:c r="B1825" t="str">
        <x:v>Trained By JP</x:v>
      </x:c>
      <x:c r="C1825" t="str">
        <x:v>Cream of Rice</x:v>
      </x:c>
      <x:c r="D1825" t="str">
        <x:v>Supplements</x:v>
      </x:c>
      <x:c r="E1825" t="str">
        <x:v>Carbohydrates</x:v>
      </x:c>
      <x:c r="F1825" t="str"/>
      <x:c r="G1825" t="str">
        <x:v>2kg</x:v>
      </x:c>
      <x:c r="H1825" t="str">
        <x:v>Vanilla</x:v>
      </x:c>
      <x:c r="I1825" t="str"/>
      <x:c r="J1825" t="str">
        <x:v>Unit</x:v>
      </x:c>
      <x:c r="K1825" t="str">
        <x:v>In stock</x:v>
      </x:c>
      <x:c r="L1825" t="str">
        <x:v>2026-09-08</x:v>
      </x:c>
      <x:c r="M1825" t="str"/>
      <x:c r="N1825" t="str"/>
      <x:c r="O1825" t="str">
        <x:v>https://www.activesportstrade.co.uk/trained-by-jp-trade</x:v>
      </x:c>
      <x:c r="P1825" t="str"/>
      <x:c r="Q1825" t="str"/>
      <x:c r="R1825" t="str"/>
      <x:c r="S1825" t="str">
        <x:v>Pending genuine supplier/brand image</x:v>
      </x:c>
      <x:c r="T1825" s="54" t="n">
        <x:v>10.99</x:v>
      </x:c>
      <x:c r="U1825" s="47" t="n">
        <x:v>0.2</x:v>
      </x:c>
      <x:c r="V1825" s="54" t="n">
        <x:f>IF(ISNUMBER(T1825),T1825*(1+U1825),"")</x:f>
        <x:v>13.188</x:v>
      </x:c>
      <x:c r="W1825" s="47" t="n">
        <x:v>0.3</x:v>
      </x:c>
      <x:c r="X1825" s="54" t="n">
        <x:f>IF(ISNUMBER(V1825),V1825/(1-W1825),"")</x:f>
        <x:v>18.840000000000003</x:v>
      </x:c>
      <x:c r="Y1825" s="55" t="n">
        <x:f>IF(ISNUMBER(X1825),ROUNDUP(X1825,0),"")</x:f>
        <x:v>19</x:v>
      </x:c>
      <x:c r="Z1825" t="str">
        <x:v>Source match pending</x:v>
      </x:c>
      <x:c r="AA1825" t="str">
        <x:v>screencapture-www-activesportstrade-co-uk-trained-by-jp-trade-2026-09-10-09_10_55.pdf / page-1</x:v>
      </x:c>
      <x:c r="AB1825" s="36" t="n">
        <x:f>IF(ISNUMBER(Y1825),ROUND(Y1825*0.9,2),"")</x:f>
        <x:v>17.1</x:v>
      </x:c>
      <x:c r="AC1825" s="36" t="n">
        <x:f>IF(ISNUMBER(AB1825),ROUND(AB1825-(AB1825*0.015+0.2)-V1825,2),"")</x:f>
        <x:v>3.46</x:v>
      </x:c>
      <x:c r="AD1825" s="36" t="n">
        <x:f>IF(ISNUMBER(Y1825),ROUND(Y1825*0.8,2),"")</x:f>
        <x:v>15.2</x:v>
      </x:c>
      <x:c r="AE1825" s="36" t="n">
        <x:f>IF(ISNUMBER(AD1825),ROUND(AD1825*0.015+0.2,2),"")</x:f>
        <x:v>0.43</x:v>
      </x:c>
      <x:c r="AF1825" s="36" t="n">
        <x:f>IF(ISNUMBER(AD1825),ROUND(AD1825-AE1825-V1825,2),"")</x:f>
        <x:v>1.58</x:v>
      </x:c>
      <x:c r="AG1825" t="str">
        <x:f>IF(NOT(ISNUMBER(T1825)),"PENDING",IF(AF1825&gt;0,"PASS","FAIL"))</x:f>
        <x:v>PASS</x:v>
      </x:c>
      <x:c r="AH1825" t="str">
        <x:f>IF(NOT(ISNUMBER(T1825)),"Needs supplier cost",IF(K1825&lt;&gt;"In stock","Supplier unavailable",IF(AG1825&lt;&gt;"PASS","BLOCK - GT loss risk","Commercially protected")))</x:f>
        <x:v>Commercially protected</x:v>
      </x:c>
      <x:c r="AI1825" t="str">
        <x:v>2026-09-10 Active Sports trade capture</x:v>
      </x:c>
      <x:c r="AJ1825" t="str">
        <x:v>Management-only economics. Stripe stress test uses 1.5% + £0.20 standard UK online-card fee; pallet/mix-and-match pricing ignored.</x:v>
      </x:c>
    </x:row>
    <x:row r="1826">
      <x:c r="A1826" t="str">
        <x:v>Active Sports Nutrition</x:v>
      </x:c>
      <x:c r="B1826" t="str">
        <x:v>Trained By JP</x:v>
      </x:c>
      <x:c r="C1826" t="str">
        <x:v>Creatine Monohydrate</x:v>
      </x:c>
      <x:c r="D1826" t="str">
        <x:v>Supplements</x:v>
      </x:c>
      <x:c r="E1826" t="str">
        <x:v>Creatine Powders</x:v>
      </x:c>
      <x:c r="F1826" t="str"/>
      <x:c r="G1826" t="str">
        <x:v>500g</x:v>
      </x:c>
      <x:c r="H1826" t="str">
        <x:v>Unflavoured</x:v>
      </x:c>
      <x:c r="I1826" t="str"/>
      <x:c r="J1826" t="str">
        <x:v>Unit</x:v>
      </x:c>
      <x:c r="K1826" t="str">
        <x:v>In stock</x:v>
      </x:c>
      <x:c r="L1826" t="str">
        <x:v>2026-09-08</x:v>
      </x:c>
      <x:c r="M1826" t="str"/>
      <x:c r="N1826" t="str"/>
      <x:c r="O1826" t="str">
        <x:v>https://www.activesportstrade.co.uk/trained-by-jp-trade</x:v>
      </x:c>
      <x:c r="P1826" t="str"/>
      <x:c r="Q1826" t="str"/>
      <x:c r="R1826" t="str"/>
      <x:c r="S1826" t="str">
        <x:v>Pending genuine supplier/brand image</x:v>
      </x:c>
      <x:c r="T1826" s="54" t="n">
        <x:v>7.99</x:v>
      </x:c>
      <x:c r="U1826" s="47" t="n">
        <x:v>0.2</x:v>
      </x:c>
      <x:c r="V1826" s="54" t="n">
        <x:f>IF(ISNUMBER(T1826),T1826*(1+U1826),"")</x:f>
        <x:v>9.588</x:v>
      </x:c>
      <x:c r="W1826" s="47" t="n">
        <x:v>0.3</x:v>
      </x:c>
      <x:c r="X1826" s="54" t="n">
        <x:f>IF(ISNUMBER(V1826),V1826/(1-W1826),"")</x:f>
        <x:v>13.697142857142858</x:v>
      </x:c>
      <x:c r="Y1826" s="55" t="n">
        <x:f>IF(ISNUMBER(X1826),ROUNDUP(X1826,0),"")</x:f>
        <x:v>14</x:v>
      </x:c>
      <x:c r="Z1826" t="str">
        <x:v>Source match pending</x:v>
      </x:c>
      <x:c r="AA1826" t="str">
        <x:v>screencapture-www-activesportstrade-co-uk-trained-by-jp-trade-2026-09-10-09_10_55.pdf / page-2</x:v>
      </x:c>
      <x:c r="AB1826" s="36" t="n">
        <x:f>IF(ISNUMBER(Y1826),ROUND(Y1826*0.9,2),"")</x:f>
        <x:v>12.6</x:v>
      </x:c>
      <x:c r="AC1826" s="36" t="n">
        <x:f>IF(ISNUMBER(AB1826),ROUND(AB1826-(AB1826*0.015+0.2)-V1826,2),"")</x:f>
        <x:v>2.62</x:v>
      </x:c>
      <x:c r="AD1826" s="36" t="n">
        <x:f>IF(ISNUMBER(Y1826),ROUND(Y1826*0.8,2),"")</x:f>
        <x:v>11.2</x:v>
      </x:c>
      <x:c r="AE1826" s="36" t="n">
        <x:f>IF(ISNUMBER(AD1826),ROUND(AD1826*0.015+0.2,2),"")</x:f>
        <x:v>0.37</x:v>
      </x:c>
      <x:c r="AF1826" s="36" t="n">
        <x:f>IF(ISNUMBER(AD1826),ROUND(AD1826-AE1826-V1826,2),"")</x:f>
        <x:v>1.24</x:v>
      </x:c>
      <x:c r="AG1826" t="str">
        <x:f>IF(NOT(ISNUMBER(T1826)),"PENDING",IF(AF1826&gt;0,"PASS","FAIL"))</x:f>
        <x:v>PASS</x:v>
      </x:c>
      <x:c r="AH1826" t="str">
        <x:f>IF(NOT(ISNUMBER(T1826)),"Needs supplier cost",IF(K1826&lt;&gt;"In stock","Supplier unavailable",IF(AG1826&lt;&gt;"PASS","BLOCK - GT loss risk","Commercially protected")))</x:f>
        <x:v>Commercially protected</x:v>
      </x:c>
      <x:c r="AI1826" t="str">
        <x:v>2026-09-10 Active Sports trade capture</x:v>
      </x:c>
      <x:c r="AJ1826" t="str">
        <x:v>Management-only economics. Stripe stress test uses 1.5% + £0.20 standard UK online-card fee; pallet/mix-and-match pricing ignored.</x:v>
      </x:c>
    </x:row>
    <x:row r="1827">
      <x:c r="A1827" t="str">
        <x:v>Active Sports Nutrition</x:v>
      </x:c>
      <x:c r="B1827" t="str">
        <x:v>Trained By JP</x:v>
      </x:c>
      <x:c r="C1827" t="str">
        <x:v>EAA</x:v>
      </x:c>
      <x:c r="D1827" t="str">
        <x:v>Supplements</x:v>
      </x:c>
      <x:c r="E1827" t="str">
        <x:v>Amino Acids</x:v>
      </x:c>
      <x:c r="F1827" t="str"/>
      <x:c r="G1827" t="str">
        <x:v>30 servings</x:v>
      </x:c>
      <x:c r="H1827" t="str">
        <x:v>Apple &amp; Blackcurrant</x:v>
      </x:c>
      <x:c r="I1827" t="str"/>
      <x:c r="J1827" t="str">
        <x:v>Unit</x:v>
      </x:c>
      <x:c r="K1827" t="str">
        <x:v>In stock</x:v>
      </x:c>
      <x:c r="L1827" t="str">
        <x:v>2026-09-08</x:v>
      </x:c>
      <x:c r="M1827" t="str"/>
      <x:c r="N1827" t="str"/>
      <x:c r="O1827" t="str">
        <x:v>https://www.activesportstrade.co.uk/trained-by-jp-trade</x:v>
      </x:c>
      <x:c r="P1827" t="str"/>
      <x:c r="Q1827" t="str"/>
      <x:c r="R1827" t="str"/>
      <x:c r="S1827" t="str">
        <x:v>Pending genuine supplier/brand image</x:v>
      </x:c>
      <x:c r="T1827" s="54"/>
      <x:c r="U1827" s="47" t="n">
        <x:v>0.2</x:v>
      </x:c>
      <x:c r="V1827" s="54" t="str">
        <x:f>IF(ISNUMBER(T1827),T1827*(1+U1827),"")</x:f>
      </x:c>
      <x:c r="W1827" s="47" t="n">
        <x:v>0.3</x:v>
      </x:c>
      <x:c r="X1827" s="54" t="str">
        <x:f>IF(ISNUMBER(V1827),V1827/(1-W1827),"")</x:f>
      </x:c>
      <x:c r="Y1827" s="55" t="str">
        <x:f>IF(ISNUMBER(X1827),ROUNDUP(X1827,0),"")</x:f>
      </x:c>
      <x:c r="Z1827" t="str">
        <x:f>IF(ISNUMBER(T1827),"Cost captured","Awaiting trade cost")</x:f>
        <x:v>Awaiting trade cost</x:v>
      </x:c>
      <x:c r="AB1827" s="36" t="str">
        <x:f>IF(ISNUMBER(Y1827),ROUND(Y1827*0.9,2),"")</x:f>
      </x:c>
      <x:c r="AC1827" s="36" t="str">
        <x:f>IF(ISNUMBER(AB1827),ROUND(AB1827-(AB1827*0.015+0.2)-V1827,2),"")</x:f>
      </x:c>
      <x:c r="AD1827" s="36" t="str">
        <x:f>IF(ISNUMBER(Y1827),ROUND(Y1827*0.8,2),"")</x:f>
      </x:c>
      <x:c r="AE1827" s="36" t="str">
        <x:f>IF(ISNUMBER(AD1827),ROUND(AD1827*0.015+0.2,2),"")</x:f>
      </x:c>
      <x:c r="AF1827" s="36" t="str">
        <x:f>IF(ISNUMBER(AD1827),ROUND(AD1827-AE1827-V1827,2),"")</x:f>
      </x:c>
      <x:c r="AG1827" t="str">
        <x:f>IF(NOT(ISNUMBER(T1827)),"PENDING",IF(AF1827&gt;0,"PASS","FAIL"))</x:f>
        <x:v>PENDING</x:v>
      </x:c>
      <x:c r="AH1827" t="str">
        <x:f>IF(NOT(ISNUMBER(T1827)),"Needs supplier cost",IF(K1827&lt;&gt;"In stock","Supplier unavailable",IF(AG1827&lt;&gt;"PASS","BLOCK - GT loss risk","Commercially protected")))</x:f>
        <x:v>Needs supplier cost</x:v>
      </x:c>
      <x:c r="AI1827" t="str">
        <x:v>2026-09-10 Active Sports trade capture</x:v>
      </x:c>
      <x:c r="AJ1827" t="str">
        <x:v>Management-only economics. Stripe stress test uses 1.5% + £0.20 standard UK online-card fee; pallet/mix-and-match pricing ignored.</x:v>
      </x:c>
    </x:row>
    <x:row r="1828">
      <x:c r="A1828" t="str">
        <x:v>Active Sports Nutrition</x:v>
      </x:c>
      <x:c r="B1828" t="str">
        <x:v>Trained By JP</x:v>
      </x:c>
      <x:c r="C1828" t="str">
        <x:v>EAA</x:v>
      </x:c>
      <x:c r="D1828" t="str">
        <x:v>Supplements</x:v>
      </x:c>
      <x:c r="E1828" t="str">
        <x:v>Amino Acids</x:v>
      </x:c>
      <x:c r="F1828" t="str"/>
      <x:c r="G1828" t="str">
        <x:v>30 servings</x:v>
      </x:c>
      <x:c r="H1828" t="str">
        <x:v>Blue Raspberry</x:v>
      </x:c>
      <x:c r="I1828" t="str"/>
      <x:c r="J1828" t="str">
        <x:v>Unit</x:v>
      </x:c>
      <x:c r="K1828" t="str">
        <x:v>In stock</x:v>
      </x:c>
      <x:c r="L1828" t="str">
        <x:v>2026-09-08</x:v>
      </x:c>
      <x:c r="M1828" t="str"/>
      <x:c r="N1828" t="str"/>
      <x:c r="O1828" t="str">
        <x:v>https://www.activesportstrade.co.uk/trained-by-jp-trade</x:v>
      </x:c>
      <x:c r="P1828" t="str"/>
      <x:c r="Q1828" t="str"/>
      <x:c r="R1828" t="str"/>
      <x:c r="S1828" t="str">
        <x:v>Pending genuine supplier/brand image</x:v>
      </x:c>
      <x:c r="T1828" s="54"/>
      <x:c r="U1828" s="47" t="n">
        <x:v>0.2</x:v>
      </x:c>
      <x:c r="V1828" s="54" t="str">
        <x:f>IF(ISNUMBER(T1828),T1828*(1+U1828),"")</x:f>
      </x:c>
      <x:c r="W1828" s="47" t="n">
        <x:v>0.3</x:v>
      </x:c>
      <x:c r="X1828" s="54" t="str">
        <x:f>IF(ISNUMBER(V1828),V1828/(1-W1828),"")</x:f>
      </x:c>
      <x:c r="Y1828" s="55" t="str">
        <x:f>IF(ISNUMBER(X1828),ROUNDUP(X1828,0),"")</x:f>
      </x:c>
      <x:c r="Z1828" t="str">
        <x:f>IF(ISNUMBER(T1828),"Cost captured","Awaiting trade cost")</x:f>
        <x:v>Awaiting trade cost</x:v>
      </x:c>
      <x:c r="AB1828" s="36" t="str">
        <x:f>IF(ISNUMBER(Y1828),ROUND(Y1828*0.9,2),"")</x:f>
      </x:c>
      <x:c r="AC1828" s="36" t="str">
        <x:f>IF(ISNUMBER(AB1828),ROUND(AB1828-(AB1828*0.015+0.2)-V1828,2),"")</x:f>
      </x:c>
      <x:c r="AD1828" s="36" t="str">
        <x:f>IF(ISNUMBER(Y1828),ROUND(Y1828*0.8,2),"")</x:f>
      </x:c>
      <x:c r="AE1828" s="36" t="str">
        <x:f>IF(ISNUMBER(AD1828),ROUND(AD1828*0.015+0.2,2),"")</x:f>
      </x:c>
      <x:c r="AF1828" s="36" t="str">
        <x:f>IF(ISNUMBER(AD1828),ROUND(AD1828-AE1828-V1828,2),"")</x:f>
      </x:c>
      <x:c r="AG1828" t="str">
        <x:f>IF(NOT(ISNUMBER(T1828)),"PENDING",IF(AF1828&gt;0,"PASS","FAIL"))</x:f>
        <x:v>PENDING</x:v>
      </x:c>
      <x:c r="AH1828" t="str">
        <x:f>IF(NOT(ISNUMBER(T1828)),"Needs supplier cost",IF(K1828&lt;&gt;"In stock","Supplier unavailable",IF(AG1828&lt;&gt;"PASS","BLOCK - GT loss risk","Commercially protected")))</x:f>
        <x:v>Needs supplier cost</x:v>
      </x:c>
      <x:c r="AI1828" t="str">
        <x:v>2026-09-10 Active Sports trade capture</x:v>
      </x:c>
      <x:c r="AJ1828" t="str">
        <x:v>Management-only economics. Stripe stress test uses 1.5% + £0.20 standard UK online-card fee; pallet/mix-and-match pricing ignored.</x:v>
      </x:c>
    </x:row>
    <x:row r="1829">
      <x:c r="A1829" t="str">
        <x:v>Active Sports Nutrition</x:v>
      </x:c>
      <x:c r="B1829" t="str">
        <x:v>Trained By JP</x:v>
      </x:c>
      <x:c r="C1829" t="str">
        <x:v>EAA</x:v>
      </x:c>
      <x:c r="D1829" t="str">
        <x:v>Supplements</x:v>
      </x:c>
      <x:c r="E1829" t="str">
        <x:v>Amino Acids</x:v>
      </x:c>
      <x:c r="F1829" t="str"/>
      <x:c r="G1829" t="str">
        <x:v>30 servings</x:v>
      </x:c>
      <x:c r="H1829" t="str">
        <x:v>Cherry Cola</x:v>
      </x:c>
      <x:c r="I1829" t="str"/>
      <x:c r="J1829" t="str">
        <x:v>Unit</x:v>
      </x:c>
      <x:c r="K1829" t="str">
        <x:v>Out of stock</x:v>
      </x:c>
      <x:c r="L1829" t="str">
        <x:v>2026-09-08</x:v>
      </x:c>
      <x:c r="M1829" t="str"/>
      <x:c r="N1829" t="str"/>
      <x:c r="O1829" t="str">
        <x:v>https://www.activesportstrade.co.uk/trained-by-jp-trade</x:v>
      </x:c>
      <x:c r="P1829" t="str"/>
      <x:c r="Q1829" t="str"/>
      <x:c r="R1829" t="str"/>
      <x:c r="S1829" t="str">
        <x:v>Pending genuine supplier/brand image</x:v>
      </x:c>
      <x:c r="T1829" s="54"/>
      <x:c r="U1829" s="47" t="n">
        <x:v>0.2</x:v>
      </x:c>
      <x:c r="V1829" s="54" t="str">
        <x:f>IF(ISNUMBER(T1829),T1829*(1+U1829),"")</x:f>
      </x:c>
      <x:c r="W1829" s="47" t="n">
        <x:v>0.3</x:v>
      </x:c>
      <x:c r="X1829" s="54" t="str">
        <x:f>IF(ISNUMBER(V1829),V1829/(1-W1829),"")</x:f>
      </x:c>
      <x:c r="Y1829" s="55" t="str">
        <x:f>IF(ISNUMBER(X1829),ROUNDUP(X1829,0),"")</x:f>
      </x:c>
      <x:c r="Z1829" t="str">
        <x:f>IF(ISNUMBER(T1829),"Cost captured","Awaiting trade cost")</x:f>
        <x:v>Awaiting trade cost</x:v>
      </x:c>
      <x:c r="AB1829" s="36" t="str">
        <x:f>IF(ISNUMBER(Y1829),ROUND(Y1829*0.9,2),"")</x:f>
      </x:c>
      <x:c r="AC1829" s="36" t="str">
        <x:f>IF(ISNUMBER(AB1829),ROUND(AB1829-(AB1829*0.015+0.2)-V1829,2),"")</x:f>
      </x:c>
      <x:c r="AD1829" s="36" t="str">
        <x:f>IF(ISNUMBER(Y1829),ROUND(Y1829*0.8,2),"")</x:f>
      </x:c>
      <x:c r="AE1829" s="36" t="str">
        <x:f>IF(ISNUMBER(AD1829),ROUND(AD1829*0.015+0.2,2),"")</x:f>
      </x:c>
      <x:c r="AF1829" s="36" t="str">
        <x:f>IF(ISNUMBER(AD1829),ROUND(AD1829-AE1829-V1829,2),"")</x:f>
      </x:c>
      <x:c r="AG1829" t="str">
        <x:f>IF(NOT(ISNUMBER(T1829)),"PENDING",IF(AF1829&gt;0,"PASS","FAIL"))</x:f>
        <x:v>PENDING</x:v>
      </x:c>
      <x:c r="AH1829" t="str">
        <x:f>IF(NOT(ISNUMBER(T1829)),"Needs supplier cost",IF(K1829&lt;&gt;"In stock","Supplier unavailable",IF(AG1829&lt;&gt;"PASS","BLOCK - GT loss risk","Commercially protected")))</x:f>
        <x:v>Needs supplier cost</x:v>
      </x:c>
      <x:c r="AI1829" t="str">
        <x:v>2026-09-10 Active Sports trade capture</x:v>
      </x:c>
      <x:c r="AJ1829" t="str">
        <x:v>Management-only economics. Stripe stress test uses 1.5% + £0.20 standard UK online-card fee; pallet/mix-and-match pricing ignored.</x:v>
      </x:c>
    </x:row>
    <x:row r="1830">
      <x:c r="A1830" t="str">
        <x:v>Active Sports Nutrition</x:v>
      </x:c>
      <x:c r="B1830" t="str">
        <x:v>Trained By JP</x:v>
      </x:c>
      <x:c r="C1830" t="str">
        <x:v>EAA</x:v>
      </x:c>
      <x:c r="D1830" t="str">
        <x:v>Supplements</x:v>
      </x:c>
      <x:c r="E1830" t="str">
        <x:v>Amino Acids</x:v>
      </x:c>
      <x:c r="F1830" t="str"/>
      <x:c r="G1830" t="str">
        <x:v>30 servings</x:v>
      </x:c>
      <x:c r="H1830" t="str">
        <x:v>Fruit Punch</x:v>
      </x:c>
      <x:c r="I1830" t="str"/>
      <x:c r="J1830" t="str">
        <x:v>Unit</x:v>
      </x:c>
      <x:c r="K1830" t="str">
        <x:v>In stock</x:v>
      </x:c>
      <x:c r="L1830" t="str">
        <x:v>2026-09-08</x:v>
      </x:c>
      <x:c r="M1830" t="str"/>
      <x:c r="N1830" t="str"/>
      <x:c r="O1830" t="str">
        <x:v>https://www.activesportstrade.co.uk/trained-by-jp-trade</x:v>
      </x:c>
      <x:c r="P1830" t="str"/>
      <x:c r="Q1830" t="str"/>
      <x:c r="R1830" t="str"/>
      <x:c r="S1830" t="str">
        <x:v>Pending genuine supplier/brand image</x:v>
      </x:c>
      <x:c r="T1830" s="54"/>
      <x:c r="U1830" s="47" t="n">
        <x:v>0.2</x:v>
      </x:c>
      <x:c r="V1830" s="54" t="str">
        <x:f>IF(ISNUMBER(T1830),T1830*(1+U1830),"")</x:f>
      </x:c>
      <x:c r="W1830" s="47" t="n">
        <x:v>0.3</x:v>
      </x:c>
      <x:c r="X1830" s="54" t="str">
        <x:f>IF(ISNUMBER(V1830),V1830/(1-W1830),"")</x:f>
      </x:c>
      <x:c r="Y1830" s="55" t="str">
        <x:f>IF(ISNUMBER(X1830),ROUNDUP(X1830,0),"")</x:f>
      </x:c>
      <x:c r="Z1830" t="str">
        <x:f>IF(ISNUMBER(T1830),"Cost captured","Awaiting trade cost")</x:f>
        <x:v>Awaiting trade cost</x:v>
      </x:c>
      <x:c r="AB1830" s="36" t="str">
        <x:f>IF(ISNUMBER(Y1830),ROUND(Y1830*0.9,2),"")</x:f>
      </x:c>
      <x:c r="AC1830" s="36" t="str">
        <x:f>IF(ISNUMBER(AB1830),ROUND(AB1830-(AB1830*0.015+0.2)-V1830,2),"")</x:f>
      </x:c>
      <x:c r="AD1830" s="36" t="str">
        <x:f>IF(ISNUMBER(Y1830),ROUND(Y1830*0.8,2),"")</x:f>
      </x:c>
      <x:c r="AE1830" s="36" t="str">
        <x:f>IF(ISNUMBER(AD1830),ROUND(AD1830*0.015+0.2,2),"")</x:f>
      </x:c>
      <x:c r="AF1830" s="36" t="str">
        <x:f>IF(ISNUMBER(AD1830),ROUND(AD1830-AE1830-V1830,2),"")</x:f>
      </x:c>
      <x:c r="AG1830" t="str">
        <x:f>IF(NOT(ISNUMBER(T1830)),"PENDING",IF(AF1830&gt;0,"PASS","FAIL"))</x:f>
        <x:v>PENDING</x:v>
      </x:c>
      <x:c r="AH1830" t="str">
        <x:f>IF(NOT(ISNUMBER(T1830)),"Needs supplier cost",IF(K1830&lt;&gt;"In stock","Supplier unavailable",IF(AG1830&lt;&gt;"PASS","BLOCK - GT loss risk","Commercially protected")))</x:f>
        <x:v>Needs supplier cost</x:v>
      </x:c>
      <x:c r="AI1830" t="str">
        <x:v>2026-09-10 Active Sports trade capture</x:v>
      </x:c>
      <x:c r="AJ1830" t="str">
        <x:v>Management-only economics. Stripe stress test uses 1.5% + £0.20 standard UK online-card fee; pallet/mix-and-match pricing ignored.</x:v>
      </x:c>
    </x:row>
    <x:row r="1831">
      <x:c r="A1831" t="str">
        <x:v>Active Sports Nutrition</x:v>
      </x:c>
      <x:c r="B1831" t="str">
        <x:v>Trained By JP</x:v>
      </x:c>
      <x:c r="C1831" t="str">
        <x:v>EAA</x:v>
      </x:c>
      <x:c r="D1831" t="str">
        <x:v>Supplements</x:v>
      </x:c>
      <x:c r="E1831" t="str">
        <x:v>Amino Acids</x:v>
      </x:c>
      <x:c r="F1831" t="str"/>
      <x:c r="G1831" t="str">
        <x:v>30 servings</x:v>
      </x:c>
      <x:c r="H1831" t="str">
        <x:v>Orange Mango</x:v>
      </x:c>
      <x:c r="I1831" t="str"/>
      <x:c r="J1831" t="str">
        <x:v>Unit</x:v>
      </x:c>
      <x:c r="K1831" t="str">
        <x:v>In stock</x:v>
      </x:c>
      <x:c r="L1831" t="str">
        <x:v>2026-09-08</x:v>
      </x:c>
      <x:c r="M1831" t="str"/>
      <x:c r="N1831" t="str"/>
      <x:c r="O1831" t="str">
        <x:v>https://www.activesportstrade.co.uk/trained-by-jp-trade</x:v>
      </x:c>
      <x:c r="P1831" t="str"/>
      <x:c r="Q1831" t="str"/>
      <x:c r="R1831" t="str"/>
      <x:c r="S1831" t="str">
        <x:v>Pending genuine supplier/brand image</x:v>
      </x:c>
      <x:c r="T1831" s="54"/>
      <x:c r="U1831" s="47" t="n">
        <x:v>0.2</x:v>
      </x:c>
      <x:c r="V1831" s="54" t="str">
        <x:f>IF(ISNUMBER(T1831),T1831*(1+U1831),"")</x:f>
      </x:c>
      <x:c r="W1831" s="47" t="n">
        <x:v>0.3</x:v>
      </x:c>
      <x:c r="X1831" s="54" t="str">
        <x:f>IF(ISNUMBER(V1831),V1831/(1-W1831),"")</x:f>
      </x:c>
      <x:c r="Y1831" s="55" t="str">
        <x:f>IF(ISNUMBER(X1831),ROUNDUP(X1831,0),"")</x:f>
      </x:c>
      <x:c r="Z1831" t="str">
        <x:f>IF(ISNUMBER(T1831),"Cost captured","Awaiting trade cost")</x:f>
        <x:v>Awaiting trade cost</x:v>
      </x:c>
      <x:c r="AB1831" s="36" t="str">
        <x:f>IF(ISNUMBER(Y1831),ROUND(Y1831*0.9,2),"")</x:f>
      </x:c>
      <x:c r="AC1831" s="36" t="str">
        <x:f>IF(ISNUMBER(AB1831),ROUND(AB1831-(AB1831*0.015+0.2)-V1831,2),"")</x:f>
      </x:c>
      <x:c r="AD1831" s="36" t="str">
        <x:f>IF(ISNUMBER(Y1831),ROUND(Y1831*0.8,2),"")</x:f>
      </x:c>
      <x:c r="AE1831" s="36" t="str">
        <x:f>IF(ISNUMBER(AD1831),ROUND(AD1831*0.015+0.2,2),"")</x:f>
      </x:c>
      <x:c r="AF1831" s="36" t="str">
        <x:f>IF(ISNUMBER(AD1831),ROUND(AD1831-AE1831-V1831,2),"")</x:f>
      </x:c>
      <x:c r="AG1831" t="str">
        <x:f>IF(NOT(ISNUMBER(T1831)),"PENDING",IF(AF1831&gt;0,"PASS","FAIL"))</x:f>
        <x:v>PENDING</x:v>
      </x:c>
      <x:c r="AH1831" t="str">
        <x:f>IF(NOT(ISNUMBER(T1831)),"Needs supplier cost",IF(K1831&lt;&gt;"In stock","Supplier unavailable",IF(AG1831&lt;&gt;"PASS","BLOCK - GT loss risk","Commercially protected")))</x:f>
        <x:v>Needs supplier cost</x:v>
      </x:c>
      <x:c r="AI1831" t="str">
        <x:v>2026-09-10 Active Sports trade capture</x:v>
      </x:c>
      <x:c r="AJ1831" t="str">
        <x:v>Management-only economics. Stripe stress test uses 1.5% + £0.20 standard UK online-card fee; pallet/mix-and-match pricing ignored.</x:v>
      </x:c>
    </x:row>
    <x:row r="1832">
      <x:c r="A1832" t="str">
        <x:v>Active Sports Nutrition</x:v>
      </x:c>
      <x:c r="B1832" t="str">
        <x:v>Trained By JP</x:v>
      </x:c>
      <x:c r="C1832" t="str">
        <x:v>EAA</x:v>
      </x:c>
      <x:c r="D1832" t="str">
        <x:v>Supplements</x:v>
      </x:c>
      <x:c r="E1832" t="str">
        <x:v>Amino Acids</x:v>
      </x:c>
      <x:c r="F1832" t="str"/>
      <x:c r="G1832" t="str">
        <x:v>30 servings</x:v>
      </x:c>
      <x:c r="H1832" t="str">
        <x:v>Strawberry Lime</x:v>
      </x:c>
      <x:c r="I1832" t="str"/>
      <x:c r="J1832" t="str">
        <x:v>Unit</x:v>
      </x:c>
      <x:c r="K1832" t="str">
        <x:v>In stock</x:v>
      </x:c>
      <x:c r="L1832" t="str">
        <x:v>2026-09-08</x:v>
      </x:c>
      <x:c r="M1832" t="str"/>
      <x:c r="N1832" t="str"/>
      <x:c r="O1832" t="str">
        <x:v>https://www.activesportstrade.co.uk/trained-by-jp-trade</x:v>
      </x:c>
      <x:c r="P1832" t="str"/>
      <x:c r="Q1832" t="str"/>
      <x:c r="R1832" t="str"/>
      <x:c r="S1832" t="str">
        <x:v>Pending genuine supplier/brand image</x:v>
      </x:c>
      <x:c r="T1832" s="54"/>
      <x:c r="U1832" s="47" t="n">
        <x:v>0.2</x:v>
      </x:c>
      <x:c r="V1832" s="54" t="str">
        <x:f>IF(ISNUMBER(T1832),T1832*(1+U1832),"")</x:f>
      </x:c>
      <x:c r="W1832" s="47" t="n">
        <x:v>0.3</x:v>
      </x:c>
      <x:c r="X1832" s="54" t="str">
        <x:f>IF(ISNUMBER(V1832),V1832/(1-W1832),"")</x:f>
      </x:c>
      <x:c r="Y1832" s="55" t="str">
        <x:f>IF(ISNUMBER(X1832),ROUNDUP(X1832,0),"")</x:f>
      </x:c>
      <x:c r="Z1832" t="str">
        <x:f>IF(ISNUMBER(T1832),"Cost captured","Awaiting trade cost")</x:f>
        <x:v>Awaiting trade cost</x:v>
      </x:c>
      <x:c r="AB1832" s="36" t="str">
        <x:f>IF(ISNUMBER(Y1832),ROUND(Y1832*0.9,2),"")</x:f>
      </x:c>
      <x:c r="AC1832" s="36" t="str">
        <x:f>IF(ISNUMBER(AB1832),ROUND(AB1832-(AB1832*0.015+0.2)-V1832,2),"")</x:f>
      </x:c>
      <x:c r="AD1832" s="36" t="str">
        <x:f>IF(ISNUMBER(Y1832),ROUND(Y1832*0.8,2),"")</x:f>
      </x:c>
      <x:c r="AE1832" s="36" t="str">
        <x:f>IF(ISNUMBER(AD1832),ROUND(AD1832*0.015+0.2,2),"")</x:f>
      </x:c>
      <x:c r="AF1832" s="36" t="str">
        <x:f>IF(ISNUMBER(AD1832),ROUND(AD1832-AE1832-V1832,2),"")</x:f>
      </x:c>
      <x:c r="AG1832" t="str">
        <x:f>IF(NOT(ISNUMBER(T1832)),"PENDING",IF(AF1832&gt;0,"PASS","FAIL"))</x:f>
        <x:v>PENDING</x:v>
      </x:c>
      <x:c r="AH1832" t="str">
        <x:f>IF(NOT(ISNUMBER(T1832)),"Needs supplier cost",IF(K1832&lt;&gt;"In stock","Supplier unavailable",IF(AG1832&lt;&gt;"PASS","BLOCK - GT loss risk","Commercially protected")))</x:f>
        <x:v>Needs supplier cost</x:v>
      </x:c>
      <x:c r="AI1832" t="str">
        <x:v>2026-09-10 Active Sports trade capture</x:v>
      </x:c>
      <x:c r="AJ1832" t="str">
        <x:v>Management-only economics. Stripe stress test uses 1.5% + £0.20 standard UK online-card fee; pallet/mix-and-match pricing ignored.</x:v>
      </x:c>
    </x:row>
    <x:row r="1833">
      <x:c r="A1833" t="str">
        <x:v>Active Sports Nutrition</x:v>
      </x:c>
      <x:c r="B1833" t="str">
        <x:v>Trained By JP</x:v>
      </x:c>
      <x:c r="C1833" t="str">
        <x:v>Hydration</x:v>
      </x:c>
      <x:c r="D1833" t="str">
        <x:v>Supplements</x:v>
      </x:c>
      <x:c r="E1833" t="str">
        <x:v>Hydration</x:v>
      </x:c>
      <x:c r="F1833" t="str"/>
      <x:c r="G1833" t="str">
        <x:v>30 servings</x:v>
      </x:c>
      <x:c r="H1833" t="str">
        <x:v>Apple &amp; Blackcurrant</x:v>
      </x:c>
      <x:c r="I1833" t="str"/>
      <x:c r="J1833" t="str">
        <x:v>Unit</x:v>
      </x:c>
      <x:c r="K1833" t="str">
        <x:v>In stock</x:v>
      </x:c>
      <x:c r="L1833" t="str">
        <x:v>2026-09-08</x:v>
      </x:c>
      <x:c r="M1833" t="str"/>
      <x:c r="N1833" t="str"/>
      <x:c r="O1833" t="str">
        <x:v>https://www.activesportstrade.co.uk/trained-by-jp-trade</x:v>
      </x:c>
      <x:c r="P1833" t="str"/>
      <x:c r="Q1833" t="str"/>
      <x:c r="R1833" t="str"/>
      <x:c r="S1833" t="str">
        <x:v>Pending genuine supplier/brand image</x:v>
      </x:c>
      <x:c r="T1833" s="54" t="n">
        <x:v>11.5</x:v>
      </x:c>
      <x:c r="U1833" s="47" t="n">
        <x:v>0.2</x:v>
      </x:c>
      <x:c r="V1833" s="54" t="n">
        <x:f>IF(ISNUMBER(T1833),T1833*(1+U1833),"")</x:f>
        <x:v>13.799999999999999</x:v>
      </x:c>
      <x:c r="W1833" s="47" t="n">
        <x:v>0.3</x:v>
      </x:c>
      <x:c r="X1833" s="54" t="n">
        <x:f>IF(ISNUMBER(V1833),V1833/(1-W1833),"")</x:f>
        <x:v>19.714285714285715</x:v>
      </x:c>
      <x:c r="Y1833" s="55" t="n">
        <x:f>IF(ISNUMBER(X1833),ROUNDUP(X1833,0),"")</x:f>
        <x:v>20</x:v>
      </x:c>
      <x:c r="Z1833" t="str">
        <x:v>Source match pending</x:v>
      </x:c>
      <x:c r="AA1833" t="str">
        <x:v>screencapture-www-activesportstrade-co-uk-trained-by-jp-trade-2026-09-10-09_10_55.pdf / page-3</x:v>
      </x:c>
      <x:c r="AB1833" s="36" t="n">
        <x:f>IF(ISNUMBER(Y1833),ROUND(Y1833*0.9,2),"")</x:f>
        <x:v>18</x:v>
      </x:c>
      <x:c r="AC1833" s="36" t="n">
        <x:f>IF(ISNUMBER(AB1833),ROUND(AB1833-(AB1833*0.015+0.2)-V1833,2),"")</x:f>
        <x:v>3.73</x:v>
      </x:c>
      <x:c r="AD1833" s="36" t="n">
        <x:f>IF(ISNUMBER(Y1833),ROUND(Y1833*0.8,2),"")</x:f>
        <x:v>16</x:v>
      </x:c>
      <x:c r="AE1833" s="36" t="n">
        <x:f>IF(ISNUMBER(AD1833),ROUND(AD1833*0.015+0.2,2),"")</x:f>
        <x:v>0.44</x:v>
      </x:c>
      <x:c r="AF1833" s="36" t="n">
        <x:f>IF(ISNUMBER(AD1833),ROUND(AD1833-AE1833-V1833,2),"")</x:f>
        <x:v>1.76</x:v>
      </x:c>
      <x:c r="AG1833" t="str">
        <x:f>IF(NOT(ISNUMBER(T1833)),"PENDING",IF(AF1833&gt;0,"PASS","FAIL"))</x:f>
        <x:v>PASS</x:v>
      </x:c>
      <x:c r="AH1833" t="str">
        <x:f>IF(NOT(ISNUMBER(T1833)),"Needs supplier cost",IF(K1833&lt;&gt;"In stock","Supplier unavailable",IF(AG1833&lt;&gt;"PASS","BLOCK - GT loss risk","Commercially protected")))</x:f>
        <x:v>Commercially protected</x:v>
      </x:c>
      <x:c r="AI1833" t="str">
        <x:v>2026-09-10 Active Sports trade capture</x:v>
      </x:c>
      <x:c r="AJ1833" t="str">
        <x:v>Management-only economics. Stripe stress test uses 1.5% + £0.20 standard UK online-card fee; pallet/mix-and-match pricing ignored.</x:v>
      </x:c>
    </x:row>
    <x:row r="1834">
      <x:c r="A1834" t="str">
        <x:v>Active Sports Nutrition</x:v>
      </x:c>
      <x:c r="B1834" t="str">
        <x:v>Trained By JP</x:v>
      </x:c>
      <x:c r="C1834" t="str">
        <x:v>Hydration</x:v>
      </x:c>
      <x:c r="D1834" t="str">
        <x:v>Supplements</x:v>
      </x:c>
      <x:c r="E1834" t="str">
        <x:v>Hydration</x:v>
      </x:c>
      <x:c r="F1834" t="str"/>
      <x:c r="G1834" t="str">
        <x:v>30 servings</x:v>
      </x:c>
      <x:c r="H1834" t="str">
        <x:v>Blue Raspberry</x:v>
      </x:c>
      <x:c r="I1834" t="str"/>
      <x:c r="J1834" t="str">
        <x:v>Unit</x:v>
      </x:c>
      <x:c r="K1834" t="str">
        <x:v>In stock</x:v>
      </x:c>
      <x:c r="L1834" t="str">
        <x:v>2026-09-08</x:v>
      </x:c>
      <x:c r="M1834" t="str"/>
      <x:c r="N1834" t="str"/>
      <x:c r="O1834" t="str">
        <x:v>https://www.activesportstrade.co.uk/trained-by-jp-trade</x:v>
      </x:c>
      <x:c r="P1834" t="str"/>
      <x:c r="Q1834" t="str"/>
      <x:c r="R1834" t="str"/>
      <x:c r="S1834" t="str">
        <x:v>Pending genuine supplier/brand image</x:v>
      </x:c>
      <x:c r="T1834" s="54" t="n">
        <x:v>11.5</x:v>
      </x:c>
      <x:c r="U1834" s="47" t="n">
        <x:v>0.2</x:v>
      </x:c>
      <x:c r="V1834" s="54" t="n">
        <x:f>IF(ISNUMBER(T1834),T1834*(1+U1834),"")</x:f>
        <x:v>13.799999999999999</x:v>
      </x:c>
      <x:c r="W1834" s="47" t="n">
        <x:v>0.3</x:v>
      </x:c>
      <x:c r="X1834" s="54" t="n">
        <x:f>IF(ISNUMBER(V1834),V1834/(1-W1834),"")</x:f>
        <x:v>19.714285714285715</x:v>
      </x:c>
      <x:c r="Y1834" s="55" t="n">
        <x:f>IF(ISNUMBER(X1834),ROUNDUP(X1834,0),"")</x:f>
        <x:v>20</x:v>
      </x:c>
      <x:c r="Z1834" t="str">
        <x:v>Source match pending</x:v>
      </x:c>
      <x:c r="AA1834" t="str">
        <x:v>screencapture-www-activesportstrade-co-uk-trained-by-jp-trade-2026-09-10-09_10_55.pdf / page-3</x:v>
      </x:c>
      <x:c r="AB1834" s="36" t="n">
        <x:f>IF(ISNUMBER(Y1834),ROUND(Y1834*0.9,2),"")</x:f>
        <x:v>18</x:v>
      </x:c>
      <x:c r="AC1834" s="36" t="n">
        <x:f>IF(ISNUMBER(AB1834),ROUND(AB1834-(AB1834*0.015+0.2)-V1834,2),"")</x:f>
        <x:v>3.73</x:v>
      </x:c>
      <x:c r="AD1834" s="36" t="n">
        <x:f>IF(ISNUMBER(Y1834),ROUND(Y1834*0.8,2),"")</x:f>
        <x:v>16</x:v>
      </x:c>
      <x:c r="AE1834" s="36" t="n">
        <x:f>IF(ISNUMBER(AD1834),ROUND(AD1834*0.015+0.2,2),"")</x:f>
        <x:v>0.44</x:v>
      </x:c>
      <x:c r="AF1834" s="36" t="n">
        <x:f>IF(ISNUMBER(AD1834),ROUND(AD1834-AE1834-V1834,2),"")</x:f>
        <x:v>1.76</x:v>
      </x:c>
      <x:c r="AG1834" t="str">
        <x:f>IF(NOT(ISNUMBER(T1834)),"PENDING",IF(AF1834&gt;0,"PASS","FAIL"))</x:f>
        <x:v>PASS</x:v>
      </x:c>
      <x:c r="AH1834" t="str">
        <x:f>IF(NOT(ISNUMBER(T1834)),"Needs supplier cost",IF(K1834&lt;&gt;"In stock","Supplier unavailable",IF(AG1834&lt;&gt;"PASS","BLOCK - GT loss risk","Commercially protected")))</x:f>
        <x:v>Commercially protected</x:v>
      </x:c>
      <x:c r="AI1834" t="str">
        <x:v>2026-09-10 Active Sports trade capture</x:v>
      </x:c>
      <x:c r="AJ1834" t="str">
        <x:v>Management-only economics. Stripe stress test uses 1.5% + £0.20 standard UK online-card fee; pallet/mix-and-match pricing ignored.</x:v>
      </x:c>
    </x:row>
    <x:row r="1835">
      <x:c r="A1835" t="str">
        <x:v>Active Sports Nutrition</x:v>
      </x:c>
      <x:c r="B1835" t="str">
        <x:v>Trained By JP</x:v>
      </x:c>
      <x:c r="C1835" t="str">
        <x:v>Hydration</x:v>
      </x:c>
      <x:c r="D1835" t="str">
        <x:v>Supplements</x:v>
      </x:c>
      <x:c r="E1835" t="str">
        <x:v>Hydration</x:v>
      </x:c>
      <x:c r="F1835" t="str"/>
      <x:c r="G1835" t="str">
        <x:v>30 servings</x:v>
      </x:c>
      <x:c r="H1835" t="str">
        <x:v>Cherry Cola</x:v>
      </x:c>
      <x:c r="I1835" t="str"/>
      <x:c r="J1835" t="str">
        <x:v>Unit</x:v>
      </x:c>
      <x:c r="K1835" t="str">
        <x:v>In stock</x:v>
      </x:c>
      <x:c r="L1835" t="str">
        <x:v>2026-09-08</x:v>
      </x:c>
      <x:c r="M1835" t="str"/>
      <x:c r="N1835" t="str"/>
      <x:c r="O1835" t="str">
        <x:v>https://www.activesportstrade.co.uk/trained-by-jp-trade</x:v>
      </x:c>
      <x:c r="P1835" t="str"/>
      <x:c r="Q1835" t="str"/>
      <x:c r="R1835" t="str"/>
      <x:c r="S1835" t="str">
        <x:v>Pending genuine supplier/brand image</x:v>
      </x:c>
      <x:c r="T1835" s="54" t="n">
        <x:v>11.5</x:v>
      </x:c>
      <x:c r="U1835" s="47" t="n">
        <x:v>0.2</x:v>
      </x:c>
      <x:c r="V1835" s="54" t="n">
        <x:f>IF(ISNUMBER(T1835),T1835*(1+U1835),"")</x:f>
        <x:v>13.799999999999999</x:v>
      </x:c>
      <x:c r="W1835" s="47" t="n">
        <x:v>0.3</x:v>
      </x:c>
      <x:c r="X1835" s="54" t="n">
        <x:f>IF(ISNUMBER(V1835),V1835/(1-W1835),"")</x:f>
        <x:v>19.714285714285715</x:v>
      </x:c>
      <x:c r="Y1835" s="55" t="n">
        <x:f>IF(ISNUMBER(X1835),ROUNDUP(X1835,0),"")</x:f>
        <x:v>20</x:v>
      </x:c>
      <x:c r="Z1835" t="str">
        <x:v>Source match pending</x:v>
      </x:c>
      <x:c r="AA1835" t="str">
        <x:v>screencapture-www-activesportstrade-co-uk-trained-by-jp-trade-2026-09-10-09_10_55.pdf / page-3</x:v>
      </x:c>
      <x:c r="AB1835" s="36" t="n">
        <x:f>IF(ISNUMBER(Y1835),ROUND(Y1835*0.9,2),"")</x:f>
        <x:v>18</x:v>
      </x:c>
      <x:c r="AC1835" s="36" t="n">
        <x:f>IF(ISNUMBER(AB1835),ROUND(AB1835-(AB1835*0.015+0.2)-V1835,2),"")</x:f>
        <x:v>3.73</x:v>
      </x:c>
      <x:c r="AD1835" s="36" t="n">
        <x:f>IF(ISNUMBER(Y1835),ROUND(Y1835*0.8,2),"")</x:f>
        <x:v>16</x:v>
      </x:c>
      <x:c r="AE1835" s="36" t="n">
        <x:f>IF(ISNUMBER(AD1835),ROUND(AD1835*0.015+0.2,2),"")</x:f>
        <x:v>0.44</x:v>
      </x:c>
      <x:c r="AF1835" s="36" t="n">
        <x:f>IF(ISNUMBER(AD1835),ROUND(AD1835-AE1835-V1835,2),"")</x:f>
        <x:v>1.76</x:v>
      </x:c>
      <x:c r="AG1835" t="str">
        <x:f>IF(NOT(ISNUMBER(T1835)),"PENDING",IF(AF1835&gt;0,"PASS","FAIL"))</x:f>
        <x:v>PASS</x:v>
      </x:c>
      <x:c r="AH1835" t="str">
        <x:f>IF(NOT(ISNUMBER(T1835)),"Needs supplier cost",IF(K1835&lt;&gt;"In stock","Supplier unavailable",IF(AG1835&lt;&gt;"PASS","BLOCK - GT loss risk","Commercially protected")))</x:f>
        <x:v>Commercially protected</x:v>
      </x:c>
      <x:c r="AI1835" t="str">
        <x:v>2026-09-10 Active Sports trade capture</x:v>
      </x:c>
      <x:c r="AJ1835" t="str">
        <x:v>Management-only economics. Stripe stress test uses 1.5% + £0.20 standard UK online-card fee; pallet/mix-and-match pricing ignored.</x:v>
      </x:c>
    </x:row>
    <x:row r="1836">
      <x:c r="A1836" t="str">
        <x:v>Active Sports Nutrition</x:v>
      </x:c>
      <x:c r="B1836" t="str">
        <x:v>Trained By JP</x:v>
      </x:c>
      <x:c r="C1836" t="str">
        <x:v>Hydration</x:v>
      </x:c>
      <x:c r="D1836" t="str">
        <x:v>Supplements</x:v>
      </x:c>
      <x:c r="E1836" t="str">
        <x:v>Hydration</x:v>
      </x:c>
      <x:c r="F1836" t="str"/>
      <x:c r="G1836" t="str">
        <x:v>30 servings</x:v>
      </x:c>
      <x:c r="H1836" t="str">
        <x:v>Fruit Punch</x:v>
      </x:c>
      <x:c r="I1836" t="str"/>
      <x:c r="J1836" t="str">
        <x:v>Unit</x:v>
      </x:c>
      <x:c r="K1836" t="str">
        <x:v>In stock</x:v>
      </x:c>
      <x:c r="L1836" t="str">
        <x:v>2026-09-08</x:v>
      </x:c>
      <x:c r="M1836" t="str"/>
      <x:c r="N1836" t="str"/>
      <x:c r="O1836" t="str">
        <x:v>https://www.activesportstrade.co.uk/trained-by-jp-trade</x:v>
      </x:c>
      <x:c r="P1836" t="str"/>
      <x:c r="Q1836" t="str"/>
      <x:c r="R1836" t="str"/>
      <x:c r="S1836" t="str">
        <x:v>Pending genuine supplier/brand image</x:v>
      </x:c>
      <x:c r="T1836" s="54" t="n">
        <x:v>11.5</x:v>
      </x:c>
      <x:c r="U1836" s="47" t="n">
        <x:v>0.2</x:v>
      </x:c>
      <x:c r="V1836" s="54" t="n">
        <x:f>IF(ISNUMBER(T1836),T1836*(1+U1836),"")</x:f>
        <x:v>13.799999999999999</x:v>
      </x:c>
      <x:c r="W1836" s="47" t="n">
        <x:v>0.3</x:v>
      </x:c>
      <x:c r="X1836" s="54" t="n">
        <x:f>IF(ISNUMBER(V1836),V1836/(1-W1836),"")</x:f>
        <x:v>19.714285714285715</x:v>
      </x:c>
      <x:c r="Y1836" s="55" t="n">
        <x:f>IF(ISNUMBER(X1836),ROUNDUP(X1836,0),"")</x:f>
        <x:v>20</x:v>
      </x:c>
      <x:c r="Z1836" t="str">
        <x:v>Source match pending</x:v>
      </x:c>
      <x:c r="AA1836" t="str">
        <x:v>screencapture-www-activesportstrade-co-uk-trained-by-jp-trade-2026-09-10-09_10_55.pdf / page-3</x:v>
      </x:c>
      <x:c r="AB1836" s="36" t="n">
        <x:f>IF(ISNUMBER(Y1836),ROUND(Y1836*0.9,2),"")</x:f>
        <x:v>18</x:v>
      </x:c>
      <x:c r="AC1836" s="36" t="n">
        <x:f>IF(ISNUMBER(AB1836),ROUND(AB1836-(AB1836*0.015+0.2)-V1836,2),"")</x:f>
        <x:v>3.73</x:v>
      </x:c>
      <x:c r="AD1836" s="36" t="n">
        <x:f>IF(ISNUMBER(Y1836),ROUND(Y1836*0.8,2),"")</x:f>
        <x:v>16</x:v>
      </x:c>
      <x:c r="AE1836" s="36" t="n">
        <x:f>IF(ISNUMBER(AD1836),ROUND(AD1836*0.015+0.2,2),"")</x:f>
        <x:v>0.44</x:v>
      </x:c>
      <x:c r="AF1836" s="36" t="n">
        <x:f>IF(ISNUMBER(AD1836),ROUND(AD1836-AE1836-V1836,2),"")</x:f>
        <x:v>1.76</x:v>
      </x:c>
      <x:c r="AG1836" t="str">
        <x:f>IF(NOT(ISNUMBER(T1836)),"PENDING",IF(AF1836&gt;0,"PASS","FAIL"))</x:f>
        <x:v>PASS</x:v>
      </x:c>
      <x:c r="AH1836" t="str">
        <x:f>IF(NOT(ISNUMBER(T1836)),"Needs supplier cost",IF(K1836&lt;&gt;"In stock","Supplier unavailable",IF(AG1836&lt;&gt;"PASS","BLOCK - GT loss risk","Commercially protected")))</x:f>
        <x:v>Commercially protected</x:v>
      </x:c>
      <x:c r="AI1836" t="str">
        <x:v>2026-09-10 Active Sports trade capture</x:v>
      </x:c>
      <x:c r="AJ1836" t="str">
        <x:v>Management-only economics. Stripe stress test uses 1.5% + £0.20 standard UK online-card fee; pallet/mix-and-match pricing ignored.</x:v>
      </x:c>
    </x:row>
    <x:row r="1837">
      <x:c r="A1837" t="str">
        <x:v>Active Sports Nutrition</x:v>
      </x:c>
      <x:c r="B1837" t="str">
        <x:v>Trained By JP</x:v>
      </x:c>
      <x:c r="C1837" t="str">
        <x:v>Hydration</x:v>
      </x:c>
      <x:c r="D1837" t="str">
        <x:v>Supplements</x:v>
      </x:c>
      <x:c r="E1837" t="str">
        <x:v>Hydration</x:v>
      </x:c>
      <x:c r="F1837" t="str"/>
      <x:c r="G1837" t="str">
        <x:v>30 servings</x:v>
      </x:c>
      <x:c r="H1837" t="str">
        <x:v>Orange Mango</x:v>
      </x:c>
      <x:c r="I1837" t="str"/>
      <x:c r="J1837" t="str">
        <x:v>Unit</x:v>
      </x:c>
      <x:c r="K1837" t="str">
        <x:v>Out of stock</x:v>
      </x:c>
      <x:c r="L1837" t="str">
        <x:v>2026-09-08</x:v>
      </x:c>
      <x:c r="M1837" t="str"/>
      <x:c r="N1837" t="str"/>
      <x:c r="O1837" t="str">
        <x:v>https://www.activesportstrade.co.uk/trained-by-jp-trade</x:v>
      </x:c>
      <x:c r="P1837" t="str"/>
      <x:c r="Q1837" t="str"/>
      <x:c r="R1837" t="str"/>
      <x:c r="S1837" t="str">
        <x:v>Pending genuine supplier/brand image</x:v>
      </x:c>
      <x:c r="T1837" s="54" t="n">
        <x:v>11.5</x:v>
      </x:c>
      <x:c r="U1837" s="47" t="n">
        <x:v>0.2</x:v>
      </x:c>
      <x:c r="V1837" s="54" t="n">
        <x:f>IF(ISNUMBER(T1837),T1837*(1+U1837),"")</x:f>
        <x:v>13.799999999999999</x:v>
      </x:c>
      <x:c r="W1837" s="47" t="n">
        <x:v>0.3</x:v>
      </x:c>
      <x:c r="X1837" s="54" t="n">
        <x:f>IF(ISNUMBER(V1837),V1837/(1-W1837),"")</x:f>
        <x:v>19.714285714285715</x:v>
      </x:c>
      <x:c r="Y1837" s="55" t="n">
        <x:f>IF(ISNUMBER(X1837),ROUNDUP(X1837,0),"")</x:f>
        <x:v>20</x:v>
      </x:c>
      <x:c r="Z1837" t="str">
        <x:v>Source match pending</x:v>
      </x:c>
      <x:c r="AA1837" t="str">
        <x:v>screencapture-www-activesportstrade-co-uk-trained-by-jp-trade-2026-09-10-09_10_55.pdf / page-3</x:v>
      </x:c>
      <x:c r="AB1837" s="36" t="n">
        <x:f>IF(ISNUMBER(Y1837),ROUND(Y1837*0.9,2),"")</x:f>
        <x:v>18</x:v>
      </x:c>
      <x:c r="AC1837" s="36" t="n">
        <x:f>IF(ISNUMBER(AB1837),ROUND(AB1837-(AB1837*0.015+0.2)-V1837,2),"")</x:f>
        <x:v>3.73</x:v>
      </x:c>
      <x:c r="AD1837" s="36" t="n">
        <x:f>IF(ISNUMBER(Y1837),ROUND(Y1837*0.8,2),"")</x:f>
        <x:v>16</x:v>
      </x:c>
      <x:c r="AE1837" s="36" t="n">
        <x:f>IF(ISNUMBER(AD1837),ROUND(AD1837*0.015+0.2,2),"")</x:f>
        <x:v>0.44</x:v>
      </x:c>
      <x:c r="AF1837" s="36" t="n">
        <x:f>IF(ISNUMBER(AD1837),ROUND(AD1837-AE1837-V1837,2),"")</x:f>
        <x:v>1.76</x:v>
      </x:c>
      <x:c r="AG1837" t="str">
        <x:f>IF(NOT(ISNUMBER(T1837)),"PENDING",IF(AF1837&gt;0,"PASS","FAIL"))</x:f>
        <x:v>PASS</x:v>
      </x:c>
      <x:c r="AH1837" t="str">
        <x:f>IF(NOT(ISNUMBER(T1837)),"Needs supplier cost",IF(K1837&lt;&gt;"In stock","Supplier unavailable",IF(AG1837&lt;&gt;"PASS","BLOCK - GT loss risk","Commercially protected")))</x:f>
        <x:v>Supplier unavailable</x:v>
      </x:c>
      <x:c r="AI1837" t="str">
        <x:v>2026-09-10 Active Sports trade capture</x:v>
      </x:c>
      <x:c r="AJ1837" t="str">
        <x:v>Management-only economics. Stripe stress test uses 1.5% + £0.20 standard UK online-card fee; pallet/mix-and-match pricing ignored.</x:v>
      </x:c>
    </x:row>
    <x:row r="1838">
      <x:c r="A1838" t="str">
        <x:v>Active Sports Nutrition</x:v>
      </x:c>
      <x:c r="B1838" t="str">
        <x:v>Trained By JP</x:v>
      </x:c>
      <x:c r="C1838" t="str">
        <x:v>Hydration</x:v>
      </x:c>
      <x:c r="D1838" t="str">
        <x:v>Supplements</x:v>
      </x:c>
      <x:c r="E1838" t="str">
        <x:v>Hydration</x:v>
      </x:c>
      <x:c r="F1838" t="str"/>
      <x:c r="G1838" t="str">
        <x:v>30 servings</x:v>
      </x:c>
      <x:c r="H1838" t="str">
        <x:v>Strawberry Lime</x:v>
      </x:c>
      <x:c r="I1838" t="str"/>
      <x:c r="J1838" t="str">
        <x:v>Unit</x:v>
      </x:c>
      <x:c r="K1838" t="str">
        <x:v>In stock</x:v>
      </x:c>
      <x:c r="L1838" t="str">
        <x:v>2026-09-08</x:v>
      </x:c>
      <x:c r="M1838" t="str"/>
      <x:c r="N1838" t="str"/>
      <x:c r="O1838" t="str">
        <x:v>https://www.activesportstrade.co.uk/trained-by-jp-trade</x:v>
      </x:c>
      <x:c r="P1838" t="str"/>
      <x:c r="Q1838" t="str"/>
      <x:c r="R1838" t="str"/>
      <x:c r="S1838" t="str">
        <x:v>Pending genuine supplier/brand image</x:v>
      </x:c>
      <x:c r="T1838" s="54" t="n">
        <x:v>11.5</x:v>
      </x:c>
      <x:c r="U1838" s="47" t="n">
        <x:v>0.2</x:v>
      </x:c>
      <x:c r="V1838" s="54" t="n">
        <x:f>IF(ISNUMBER(T1838),T1838*(1+U1838),"")</x:f>
        <x:v>13.799999999999999</x:v>
      </x:c>
      <x:c r="W1838" s="47" t="n">
        <x:v>0.3</x:v>
      </x:c>
      <x:c r="X1838" s="54" t="n">
        <x:f>IF(ISNUMBER(V1838),V1838/(1-W1838),"")</x:f>
        <x:v>19.714285714285715</x:v>
      </x:c>
      <x:c r="Y1838" s="55" t="n">
        <x:f>IF(ISNUMBER(X1838),ROUNDUP(X1838,0),"")</x:f>
        <x:v>20</x:v>
      </x:c>
      <x:c r="Z1838" t="str">
        <x:v>Source match pending</x:v>
      </x:c>
      <x:c r="AA1838" t="str">
        <x:v>screencapture-www-activesportstrade-co-uk-trained-by-jp-trade-2026-09-10-09_10_55.pdf / page-3</x:v>
      </x:c>
      <x:c r="AB1838" s="36" t="n">
        <x:f>IF(ISNUMBER(Y1838),ROUND(Y1838*0.9,2),"")</x:f>
        <x:v>18</x:v>
      </x:c>
      <x:c r="AC1838" s="36" t="n">
        <x:f>IF(ISNUMBER(AB1838),ROUND(AB1838-(AB1838*0.015+0.2)-V1838,2),"")</x:f>
        <x:v>3.73</x:v>
      </x:c>
      <x:c r="AD1838" s="36" t="n">
        <x:f>IF(ISNUMBER(Y1838),ROUND(Y1838*0.8,2),"")</x:f>
        <x:v>16</x:v>
      </x:c>
      <x:c r="AE1838" s="36" t="n">
        <x:f>IF(ISNUMBER(AD1838),ROUND(AD1838*0.015+0.2,2),"")</x:f>
        <x:v>0.44</x:v>
      </x:c>
      <x:c r="AF1838" s="36" t="n">
        <x:f>IF(ISNUMBER(AD1838),ROUND(AD1838-AE1838-V1838,2),"")</x:f>
        <x:v>1.76</x:v>
      </x:c>
      <x:c r="AG1838" t="str">
        <x:f>IF(NOT(ISNUMBER(T1838)),"PENDING",IF(AF1838&gt;0,"PASS","FAIL"))</x:f>
        <x:v>PASS</x:v>
      </x:c>
      <x:c r="AH1838" t="str">
        <x:f>IF(NOT(ISNUMBER(T1838)),"Needs supplier cost",IF(K1838&lt;&gt;"In stock","Supplier unavailable",IF(AG1838&lt;&gt;"PASS","BLOCK - GT loss risk","Commercially protected")))</x:f>
        <x:v>Commercially protected</x:v>
      </x:c>
      <x:c r="AI1838" t="str">
        <x:v>2026-09-10 Active Sports trade capture</x:v>
      </x:c>
      <x:c r="AJ1838" t="str">
        <x:v>Management-only economics. Stripe stress test uses 1.5% + £0.20 standard UK online-card fee; pallet/mix-and-match pricing ignored.</x:v>
      </x:c>
    </x:row>
    <x:row r="1839">
      <x:c r="A1839" t="str">
        <x:v>Active Sports Nutrition</x:v>
      </x:c>
      <x:c r="B1839" t="str">
        <x:v>Trained By JP</x:v>
      </x:c>
      <x:c r="C1839" t="str">
        <x:v>Pre Workout</x:v>
      </x:c>
      <x:c r="D1839" t="str">
        <x:v>Pre Workouts</x:v>
      </x:c>
      <x:c r="E1839" t="str">
        <x:v>High Stim</x:v>
      </x:c>
      <x:c r="F1839" t="str"/>
      <x:c r="G1839" t="str">
        <x:v>30 servings</x:v>
      </x:c>
      <x:c r="H1839" t="str">
        <x:v>Blue Raspberry</x:v>
      </x:c>
      <x:c r="I1839" t="str"/>
      <x:c r="J1839" t="str">
        <x:v>Unit</x:v>
      </x:c>
      <x:c r="K1839" t="str">
        <x:v>In stock</x:v>
      </x:c>
      <x:c r="L1839" t="str">
        <x:v>2026-09-08</x:v>
      </x:c>
      <x:c r="M1839" t="str"/>
      <x:c r="N1839" t="str"/>
      <x:c r="O1839" t="str">
        <x:v>https://www.activesportstrade.co.uk/trained-by-jp-trade</x:v>
      </x:c>
      <x:c r="P1839" t="str"/>
      <x:c r="Q1839" t="str"/>
      <x:c r="R1839" t="str"/>
      <x:c r="S1839" t="str">
        <x:v>Pending genuine supplier/brand image</x:v>
      </x:c>
      <x:c r="T1839" s="54"/>
      <x:c r="U1839" s="47" t="n">
        <x:v>0.2</x:v>
      </x:c>
      <x:c r="V1839" s="54" t="str">
        <x:f>IF(ISNUMBER(T1839),T1839*(1+U1839),"")</x:f>
      </x:c>
      <x:c r="W1839" s="47" t="n">
        <x:v>0.3</x:v>
      </x:c>
      <x:c r="X1839" s="54" t="str">
        <x:f>IF(ISNUMBER(V1839),V1839/(1-W1839),"")</x:f>
      </x:c>
      <x:c r="Y1839" s="55" t="str">
        <x:f>IF(ISNUMBER(X1839),ROUNDUP(X1839,0),"")</x:f>
      </x:c>
      <x:c r="Z1839" t="str">
        <x:f>IF(ISNUMBER(T1839),"Cost captured","Awaiting trade cost")</x:f>
        <x:v>Awaiting trade cost</x:v>
      </x:c>
      <x:c r="AB1839" s="36" t="str">
        <x:f>IF(ISNUMBER(Y1839),ROUND(Y1839*0.9,2),"")</x:f>
      </x:c>
      <x:c r="AC1839" s="36" t="str">
        <x:f>IF(ISNUMBER(AB1839),ROUND(AB1839-(AB1839*0.015+0.2)-V1839,2),"")</x:f>
      </x:c>
      <x:c r="AD1839" s="36" t="str">
        <x:f>IF(ISNUMBER(Y1839),ROUND(Y1839*0.8,2),"")</x:f>
      </x:c>
      <x:c r="AE1839" s="36" t="str">
        <x:f>IF(ISNUMBER(AD1839),ROUND(AD1839*0.015+0.2,2),"")</x:f>
      </x:c>
      <x:c r="AF1839" s="36" t="str">
        <x:f>IF(ISNUMBER(AD1839),ROUND(AD1839-AE1839-V1839,2),"")</x:f>
      </x:c>
      <x:c r="AG1839" t="str">
        <x:f>IF(NOT(ISNUMBER(T1839)),"PENDING",IF(AF1839&gt;0,"PASS","FAIL"))</x:f>
        <x:v>PENDING</x:v>
      </x:c>
      <x:c r="AH1839" t="str">
        <x:f>IF(NOT(ISNUMBER(T1839)),"Needs supplier cost",IF(K1839&lt;&gt;"In stock","Supplier unavailable",IF(AG1839&lt;&gt;"PASS","BLOCK - GT loss risk","Commercially protected")))</x:f>
        <x:v>Needs supplier cost</x:v>
      </x:c>
      <x:c r="AI1839" t="str">
        <x:v>2026-09-10 Active Sports trade capture</x:v>
      </x:c>
      <x:c r="AJ1839" t="str">
        <x:v>Management-only economics. Stripe stress test uses 1.5% + £0.20 standard UK online-card fee; pallet/mix-and-match pricing ignored.</x:v>
      </x:c>
    </x:row>
    <x:row r="1840">
      <x:c r="A1840" t="str">
        <x:v>Active Sports Nutrition</x:v>
      </x:c>
      <x:c r="B1840" t="str">
        <x:v>Trained By JP</x:v>
      </x:c>
      <x:c r="C1840" t="str">
        <x:v>Pre Workout</x:v>
      </x:c>
      <x:c r="D1840" t="str">
        <x:v>Pre Workouts</x:v>
      </x:c>
      <x:c r="E1840" t="str">
        <x:v>High Stim</x:v>
      </x:c>
      <x:c r="F1840" t="str"/>
      <x:c r="G1840" t="str">
        <x:v>30 servings</x:v>
      </x:c>
      <x:c r="H1840" t="str">
        <x:v>Cherry Cola</x:v>
      </x:c>
      <x:c r="I1840" t="str"/>
      <x:c r="J1840" t="str">
        <x:v>Unit</x:v>
      </x:c>
      <x:c r="K1840" t="str">
        <x:v>In stock</x:v>
      </x:c>
      <x:c r="L1840" t="str">
        <x:v>2026-09-08</x:v>
      </x:c>
      <x:c r="M1840" t="str"/>
      <x:c r="N1840" t="str"/>
      <x:c r="O1840" t="str">
        <x:v>https://www.activesportstrade.co.uk/trained-by-jp-trade</x:v>
      </x:c>
      <x:c r="P1840" t="str"/>
      <x:c r="Q1840" t="str"/>
      <x:c r="R1840" t="str"/>
      <x:c r="S1840" t="str">
        <x:v>Pending genuine supplier/brand image</x:v>
      </x:c>
      <x:c r="T1840" s="54"/>
      <x:c r="U1840" s="47" t="n">
        <x:v>0.2</x:v>
      </x:c>
      <x:c r="V1840" s="54" t="str">
        <x:f>IF(ISNUMBER(T1840),T1840*(1+U1840),"")</x:f>
      </x:c>
      <x:c r="W1840" s="47" t="n">
        <x:v>0.3</x:v>
      </x:c>
      <x:c r="X1840" s="54" t="str">
        <x:f>IF(ISNUMBER(V1840),V1840/(1-W1840),"")</x:f>
      </x:c>
      <x:c r="Y1840" s="55" t="str">
        <x:f>IF(ISNUMBER(X1840),ROUNDUP(X1840,0),"")</x:f>
      </x:c>
      <x:c r="Z1840" t="str">
        <x:f>IF(ISNUMBER(T1840),"Cost captured","Awaiting trade cost")</x:f>
        <x:v>Awaiting trade cost</x:v>
      </x:c>
      <x:c r="AB1840" s="36" t="str">
        <x:f>IF(ISNUMBER(Y1840),ROUND(Y1840*0.9,2),"")</x:f>
      </x:c>
      <x:c r="AC1840" s="36" t="str">
        <x:f>IF(ISNUMBER(AB1840),ROUND(AB1840-(AB1840*0.015+0.2)-V1840,2),"")</x:f>
      </x:c>
      <x:c r="AD1840" s="36" t="str">
        <x:f>IF(ISNUMBER(Y1840),ROUND(Y1840*0.8,2),"")</x:f>
      </x:c>
      <x:c r="AE1840" s="36" t="str">
        <x:f>IF(ISNUMBER(AD1840),ROUND(AD1840*0.015+0.2,2),"")</x:f>
      </x:c>
      <x:c r="AF1840" s="36" t="str">
        <x:f>IF(ISNUMBER(AD1840),ROUND(AD1840-AE1840-V1840,2),"")</x:f>
      </x:c>
      <x:c r="AG1840" t="str">
        <x:f>IF(NOT(ISNUMBER(T1840)),"PENDING",IF(AF1840&gt;0,"PASS","FAIL"))</x:f>
        <x:v>PENDING</x:v>
      </x:c>
      <x:c r="AH1840" t="str">
        <x:f>IF(NOT(ISNUMBER(T1840)),"Needs supplier cost",IF(K1840&lt;&gt;"In stock","Supplier unavailable",IF(AG1840&lt;&gt;"PASS","BLOCK - GT loss risk","Commercially protected")))</x:f>
        <x:v>Needs supplier cost</x:v>
      </x:c>
      <x:c r="AI1840" t="str">
        <x:v>2026-09-10 Active Sports trade capture</x:v>
      </x:c>
      <x:c r="AJ1840" t="str">
        <x:v>Management-only economics. Stripe stress test uses 1.5% + £0.20 standard UK online-card fee; pallet/mix-and-match pricing ignored.</x:v>
      </x:c>
    </x:row>
    <x:row r="1841">
      <x:c r="A1841" t="str">
        <x:v>Active Sports Nutrition</x:v>
      </x:c>
      <x:c r="B1841" t="str">
        <x:v>Trained By JP</x:v>
      </x:c>
      <x:c r="C1841" t="str">
        <x:v>Pre Workout</x:v>
      </x:c>
      <x:c r="D1841" t="str">
        <x:v>Pre Workouts</x:v>
      </x:c>
      <x:c r="E1841" t="str">
        <x:v>High Stim</x:v>
      </x:c>
      <x:c r="F1841" t="str"/>
      <x:c r="G1841" t="str">
        <x:v>30 servings</x:v>
      </x:c>
      <x:c r="H1841" t="str">
        <x:v>Fruit Punch</x:v>
      </x:c>
      <x:c r="I1841" t="str"/>
      <x:c r="J1841" t="str">
        <x:v>Unit</x:v>
      </x:c>
      <x:c r="K1841" t="str">
        <x:v>In stock</x:v>
      </x:c>
      <x:c r="L1841" t="str">
        <x:v>2026-09-08</x:v>
      </x:c>
      <x:c r="M1841" t="str"/>
      <x:c r="N1841" t="str"/>
      <x:c r="O1841" t="str">
        <x:v>https://www.activesportstrade.co.uk/trained-by-jp-trade</x:v>
      </x:c>
      <x:c r="P1841" t="str"/>
      <x:c r="Q1841" t="str"/>
      <x:c r="R1841" t="str"/>
      <x:c r="S1841" t="str">
        <x:v>Pending genuine supplier/brand image</x:v>
      </x:c>
      <x:c r="T1841" s="54"/>
      <x:c r="U1841" s="47" t="n">
        <x:v>0.2</x:v>
      </x:c>
      <x:c r="V1841" s="54" t="str">
        <x:f>IF(ISNUMBER(T1841),T1841*(1+U1841),"")</x:f>
      </x:c>
      <x:c r="W1841" s="47" t="n">
        <x:v>0.3</x:v>
      </x:c>
      <x:c r="X1841" s="54" t="str">
        <x:f>IF(ISNUMBER(V1841),V1841/(1-W1841),"")</x:f>
      </x:c>
      <x:c r="Y1841" s="55" t="str">
        <x:f>IF(ISNUMBER(X1841),ROUNDUP(X1841,0),"")</x:f>
      </x:c>
      <x:c r="Z1841" t="str">
        <x:f>IF(ISNUMBER(T1841),"Cost captured","Awaiting trade cost")</x:f>
        <x:v>Awaiting trade cost</x:v>
      </x:c>
      <x:c r="AB1841" s="36" t="str">
        <x:f>IF(ISNUMBER(Y1841),ROUND(Y1841*0.9,2),"")</x:f>
      </x:c>
      <x:c r="AC1841" s="36" t="str">
        <x:f>IF(ISNUMBER(AB1841),ROUND(AB1841-(AB1841*0.015+0.2)-V1841,2),"")</x:f>
      </x:c>
      <x:c r="AD1841" s="36" t="str">
        <x:f>IF(ISNUMBER(Y1841),ROUND(Y1841*0.8,2),"")</x:f>
      </x:c>
      <x:c r="AE1841" s="36" t="str">
        <x:f>IF(ISNUMBER(AD1841),ROUND(AD1841*0.015+0.2,2),"")</x:f>
      </x:c>
      <x:c r="AF1841" s="36" t="str">
        <x:f>IF(ISNUMBER(AD1841),ROUND(AD1841-AE1841-V1841,2),"")</x:f>
      </x:c>
      <x:c r="AG1841" t="str">
        <x:f>IF(NOT(ISNUMBER(T1841)),"PENDING",IF(AF1841&gt;0,"PASS","FAIL"))</x:f>
        <x:v>PENDING</x:v>
      </x:c>
      <x:c r="AH1841" t="str">
        <x:f>IF(NOT(ISNUMBER(T1841)),"Needs supplier cost",IF(K1841&lt;&gt;"In stock","Supplier unavailable",IF(AG1841&lt;&gt;"PASS","BLOCK - GT loss risk","Commercially protected")))</x:f>
        <x:v>Needs supplier cost</x:v>
      </x:c>
      <x:c r="AI1841" t="str">
        <x:v>2026-09-10 Active Sports trade capture</x:v>
      </x:c>
      <x:c r="AJ1841" t="str">
        <x:v>Management-only economics. Stripe stress test uses 1.5% + £0.20 standard UK online-card fee; pallet/mix-and-match pricing ignored.</x:v>
      </x:c>
    </x:row>
    <x:row r="1842">
      <x:c r="A1842" t="str">
        <x:v>Active Sports Nutrition</x:v>
      </x:c>
      <x:c r="B1842" t="str">
        <x:v>Trained By JP</x:v>
      </x:c>
      <x:c r="C1842" t="str">
        <x:v>Pre Workout</x:v>
      </x:c>
      <x:c r="D1842" t="str">
        <x:v>Pre Workouts</x:v>
      </x:c>
      <x:c r="E1842" t="str">
        <x:v>High Stim</x:v>
      </x:c>
      <x:c r="F1842" t="str"/>
      <x:c r="G1842" t="str">
        <x:v>30 servings</x:v>
      </x:c>
      <x:c r="H1842" t="str">
        <x:v>Orange Mango</x:v>
      </x:c>
      <x:c r="I1842" t="str"/>
      <x:c r="J1842" t="str">
        <x:v>Unit</x:v>
      </x:c>
      <x:c r="K1842" t="str">
        <x:v>In stock</x:v>
      </x:c>
      <x:c r="L1842" t="str">
        <x:v>2026-09-08</x:v>
      </x:c>
      <x:c r="M1842" t="str"/>
      <x:c r="N1842" t="str"/>
      <x:c r="O1842" t="str">
        <x:v>https://www.activesportstrade.co.uk/trained-by-jp-trade</x:v>
      </x:c>
      <x:c r="P1842" t="str"/>
      <x:c r="Q1842" t="str"/>
      <x:c r="R1842" t="str"/>
      <x:c r="S1842" t="str">
        <x:v>Pending genuine supplier/brand image</x:v>
      </x:c>
      <x:c r="T1842" s="54"/>
      <x:c r="U1842" s="47" t="n">
        <x:v>0.2</x:v>
      </x:c>
      <x:c r="V1842" s="54" t="str">
        <x:f>IF(ISNUMBER(T1842),T1842*(1+U1842),"")</x:f>
      </x:c>
      <x:c r="W1842" s="47" t="n">
        <x:v>0.3</x:v>
      </x:c>
      <x:c r="X1842" s="54" t="str">
        <x:f>IF(ISNUMBER(V1842),V1842/(1-W1842),"")</x:f>
      </x:c>
      <x:c r="Y1842" s="55" t="str">
        <x:f>IF(ISNUMBER(X1842),ROUNDUP(X1842,0),"")</x:f>
      </x:c>
      <x:c r="Z1842" t="str">
        <x:f>IF(ISNUMBER(T1842),"Cost captured","Awaiting trade cost")</x:f>
        <x:v>Awaiting trade cost</x:v>
      </x:c>
      <x:c r="AB1842" s="36" t="str">
        <x:f>IF(ISNUMBER(Y1842),ROUND(Y1842*0.9,2),"")</x:f>
      </x:c>
      <x:c r="AC1842" s="36" t="str">
        <x:f>IF(ISNUMBER(AB1842),ROUND(AB1842-(AB1842*0.015+0.2)-V1842,2),"")</x:f>
      </x:c>
      <x:c r="AD1842" s="36" t="str">
        <x:f>IF(ISNUMBER(Y1842),ROUND(Y1842*0.8,2),"")</x:f>
      </x:c>
      <x:c r="AE1842" s="36" t="str">
        <x:f>IF(ISNUMBER(AD1842),ROUND(AD1842*0.015+0.2,2),"")</x:f>
      </x:c>
      <x:c r="AF1842" s="36" t="str">
        <x:f>IF(ISNUMBER(AD1842),ROUND(AD1842-AE1842-V1842,2),"")</x:f>
      </x:c>
      <x:c r="AG1842" t="str">
        <x:f>IF(NOT(ISNUMBER(T1842)),"PENDING",IF(AF1842&gt;0,"PASS","FAIL"))</x:f>
        <x:v>PENDING</x:v>
      </x:c>
      <x:c r="AH1842" t="str">
        <x:f>IF(NOT(ISNUMBER(T1842)),"Needs supplier cost",IF(K1842&lt;&gt;"In stock","Supplier unavailable",IF(AG1842&lt;&gt;"PASS","BLOCK - GT loss risk","Commercially protected")))</x:f>
        <x:v>Needs supplier cost</x:v>
      </x:c>
      <x:c r="AI1842" t="str">
        <x:v>2026-09-10 Active Sports trade capture</x:v>
      </x:c>
      <x:c r="AJ1842" t="str">
        <x:v>Management-only economics. Stripe stress test uses 1.5% + £0.20 standard UK online-card fee; pallet/mix-and-match pricing ignored.</x:v>
      </x:c>
    </x:row>
    <x:row r="1843">
      <x:c r="A1843" t="str">
        <x:v>Active Sports Nutrition</x:v>
      </x:c>
      <x:c r="B1843" t="str">
        <x:v>Trained By JP</x:v>
      </x:c>
      <x:c r="C1843" t="str">
        <x:v>Pre Workout</x:v>
      </x:c>
      <x:c r="D1843" t="str">
        <x:v>Pre Workouts</x:v>
      </x:c>
      <x:c r="E1843" t="str">
        <x:v>High Stim</x:v>
      </x:c>
      <x:c r="F1843" t="str"/>
      <x:c r="G1843" t="str">
        <x:v>30 servings</x:v>
      </x:c>
      <x:c r="H1843" t="str">
        <x:v>Strawberry Lime</x:v>
      </x:c>
      <x:c r="I1843" t="str"/>
      <x:c r="J1843" t="str">
        <x:v>Unit</x:v>
      </x:c>
      <x:c r="K1843" t="str">
        <x:v>Out of stock</x:v>
      </x:c>
      <x:c r="L1843" t="str">
        <x:v>2026-09-08</x:v>
      </x:c>
      <x:c r="M1843" t="str"/>
      <x:c r="N1843" t="str"/>
      <x:c r="O1843" t="str">
        <x:v>https://www.activesportstrade.co.uk/trained-by-jp-trade</x:v>
      </x:c>
      <x:c r="P1843" t="str"/>
      <x:c r="Q1843" t="str"/>
      <x:c r="R1843" t="str"/>
      <x:c r="S1843" t="str">
        <x:v>Pending genuine supplier/brand image</x:v>
      </x:c>
      <x:c r="T1843" s="54"/>
      <x:c r="U1843" s="47" t="n">
        <x:v>0.2</x:v>
      </x:c>
      <x:c r="V1843" s="54" t="str">
        <x:f>IF(ISNUMBER(T1843),T1843*(1+U1843),"")</x:f>
      </x:c>
      <x:c r="W1843" s="47" t="n">
        <x:v>0.3</x:v>
      </x:c>
      <x:c r="X1843" s="54" t="str">
        <x:f>IF(ISNUMBER(V1843),V1843/(1-W1843),"")</x:f>
      </x:c>
      <x:c r="Y1843" s="55" t="str">
        <x:f>IF(ISNUMBER(X1843),ROUNDUP(X1843,0),"")</x:f>
      </x:c>
      <x:c r="Z1843" t="str">
        <x:f>IF(ISNUMBER(T1843),"Cost captured","Awaiting trade cost")</x:f>
        <x:v>Awaiting trade cost</x:v>
      </x:c>
      <x:c r="AB1843" s="36" t="str">
        <x:f>IF(ISNUMBER(Y1843),ROUND(Y1843*0.9,2),"")</x:f>
      </x:c>
      <x:c r="AC1843" s="36" t="str">
        <x:f>IF(ISNUMBER(AB1843),ROUND(AB1843-(AB1843*0.015+0.2)-V1843,2),"")</x:f>
      </x:c>
      <x:c r="AD1843" s="36" t="str">
        <x:f>IF(ISNUMBER(Y1843),ROUND(Y1843*0.8,2),"")</x:f>
      </x:c>
      <x:c r="AE1843" s="36" t="str">
        <x:f>IF(ISNUMBER(AD1843),ROUND(AD1843*0.015+0.2,2),"")</x:f>
      </x:c>
      <x:c r="AF1843" s="36" t="str">
        <x:f>IF(ISNUMBER(AD1843),ROUND(AD1843-AE1843-V1843,2),"")</x:f>
      </x:c>
      <x:c r="AG1843" t="str">
        <x:f>IF(NOT(ISNUMBER(T1843)),"PENDING",IF(AF1843&gt;0,"PASS","FAIL"))</x:f>
        <x:v>PENDING</x:v>
      </x:c>
      <x:c r="AH1843" t="str">
        <x:f>IF(NOT(ISNUMBER(T1843)),"Needs supplier cost",IF(K1843&lt;&gt;"In stock","Supplier unavailable",IF(AG1843&lt;&gt;"PASS","BLOCK - GT loss risk","Commercially protected")))</x:f>
        <x:v>Needs supplier cost</x:v>
      </x:c>
      <x:c r="AI1843" t="str">
        <x:v>2026-09-10 Active Sports trade capture</x:v>
      </x:c>
      <x:c r="AJ1843" t="str">
        <x:v>Management-only economics. Stripe stress test uses 1.5% + £0.20 standard UK online-card fee; pallet/mix-and-match pricing ignored.</x:v>
      </x:c>
    </x:row>
    <x:row r="1844">
      <x:c r="A1844" t="str">
        <x:v>Active Sports Nutrition</x:v>
      </x:c>
      <x:c r="B1844" t="str">
        <x:v>Trained By JP</x:v>
      </x:c>
      <x:c r="C1844" t="str">
        <x:v>Pump</x:v>
      </x:c>
      <x:c r="D1844" t="str">
        <x:v>Pre Workouts</x:v>
      </x:c>
      <x:c r="E1844" t="str">
        <x:v>Stim FREE</x:v>
      </x:c>
      <x:c r="F1844" t="str"/>
      <x:c r="G1844" t="str">
        <x:v>30 servings</x:v>
      </x:c>
      <x:c r="H1844" t="str">
        <x:v>Blue Raspberry</x:v>
      </x:c>
      <x:c r="I1844" t="str"/>
      <x:c r="J1844" t="str">
        <x:v>Unit</x:v>
      </x:c>
      <x:c r="K1844" t="str">
        <x:v>In stock</x:v>
      </x:c>
      <x:c r="L1844" t="str">
        <x:v>2026-09-08</x:v>
      </x:c>
      <x:c r="M1844" t="str"/>
      <x:c r="N1844" t="str"/>
      <x:c r="O1844" t="str">
        <x:v>https://www.activesportstrade.co.uk/trained-by-jp-trade</x:v>
      </x:c>
      <x:c r="P1844" t="str"/>
      <x:c r="Q1844" t="str"/>
      <x:c r="R1844" t="str"/>
      <x:c r="S1844" t="str">
        <x:v>Pending genuine supplier/brand image</x:v>
      </x:c>
      <x:c r="T1844" s="54"/>
      <x:c r="U1844" s="47" t="n">
        <x:v>0.2</x:v>
      </x:c>
      <x:c r="V1844" s="54" t="str">
        <x:f>IF(ISNUMBER(T1844),T1844*(1+U1844),"")</x:f>
      </x:c>
      <x:c r="W1844" s="47" t="n">
        <x:v>0.3</x:v>
      </x:c>
      <x:c r="X1844" s="54" t="str">
        <x:f>IF(ISNUMBER(V1844),V1844/(1-W1844),"")</x:f>
      </x:c>
      <x:c r="Y1844" s="55" t="str">
        <x:f>IF(ISNUMBER(X1844),ROUNDUP(X1844,0),"")</x:f>
      </x:c>
      <x:c r="Z1844" t="str">
        <x:f>IF(ISNUMBER(T1844),"Cost captured","Awaiting trade cost")</x:f>
        <x:v>Awaiting trade cost</x:v>
      </x:c>
      <x:c r="AB1844" s="36" t="str">
        <x:f>IF(ISNUMBER(Y1844),ROUND(Y1844*0.9,2),"")</x:f>
      </x:c>
      <x:c r="AC1844" s="36" t="str">
        <x:f>IF(ISNUMBER(AB1844),ROUND(AB1844-(AB1844*0.015+0.2)-V1844,2),"")</x:f>
      </x:c>
      <x:c r="AD1844" s="36" t="str">
        <x:f>IF(ISNUMBER(Y1844),ROUND(Y1844*0.8,2),"")</x:f>
      </x:c>
      <x:c r="AE1844" s="36" t="str">
        <x:f>IF(ISNUMBER(AD1844),ROUND(AD1844*0.015+0.2,2),"")</x:f>
      </x:c>
      <x:c r="AF1844" s="36" t="str">
        <x:f>IF(ISNUMBER(AD1844),ROUND(AD1844-AE1844-V1844,2),"")</x:f>
      </x:c>
      <x:c r="AG1844" t="str">
        <x:f>IF(NOT(ISNUMBER(T1844)),"PENDING",IF(AF1844&gt;0,"PASS","FAIL"))</x:f>
        <x:v>PENDING</x:v>
      </x:c>
      <x:c r="AH1844" t="str">
        <x:f>IF(NOT(ISNUMBER(T1844)),"Needs supplier cost",IF(K1844&lt;&gt;"In stock","Supplier unavailable",IF(AG1844&lt;&gt;"PASS","BLOCK - GT loss risk","Commercially protected")))</x:f>
        <x:v>Needs supplier cost</x:v>
      </x:c>
      <x:c r="AI1844" t="str">
        <x:v>2026-09-10 Active Sports trade capture</x:v>
      </x:c>
      <x:c r="AJ1844" t="str">
        <x:v>Management-only economics. Stripe stress test uses 1.5% + £0.20 standard UK online-card fee; pallet/mix-and-match pricing ignored.</x:v>
      </x:c>
    </x:row>
    <x:row r="1845">
      <x:c r="A1845" t="str">
        <x:v>Active Sports Nutrition</x:v>
      </x:c>
      <x:c r="B1845" t="str">
        <x:v>Trained By JP</x:v>
      </x:c>
      <x:c r="C1845" t="str">
        <x:v>Pump</x:v>
      </x:c>
      <x:c r="D1845" t="str">
        <x:v>Pre Workouts</x:v>
      </x:c>
      <x:c r="E1845" t="str">
        <x:v>Stim FREE</x:v>
      </x:c>
      <x:c r="F1845" t="str"/>
      <x:c r="G1845" t="str">
        <x:v>30 servings</x:v>
      </x:c>
      <x:c r="H1845" t="str">
        <x:v>Cherry Cola</x:v>
      </x:c>
      <x:c r="I1845" t="str"/>
      <x:c r="J1845" t="str">
        <x:v>Unit</x:v>
      </x:c>
      <x:c r="K1845" t="str">
        <x:v>Out of stock</x:v>
      </x:c>
      <x:c r="L1845" t="str">
        <x:v>2026-09-08</x:v>
      </x:c>
      <x:c r="M1845" t="str"/>
      <x:c r="N1845" t="str"/>
      <x:c r="O1845" t="str">
        <x:v>https://www.activesportstrade.co.uk/trained-by-jp-trade</x:v>
      </x:c>
      <x:c r="P1845" t="str"/>
      <x:c r="Q1845" t="str"/>
      <x:c r="R1845" t="str"/>
      <x:c r="S1845" t="str">
        <x:v>Pending genuine supplier/brand image</x:v>
      </x:c>
      <x:c r="T1845" s="54"/>
      <x:c r="U1845" s="47" t="n">
        <x:v>0.2</x:v>
      </x:c>
      <x:c r="V1845" s="54" t="str">
        <x:f>IF(ISNUMBER(T1845),T1845*(1+U1845),"")</x:f>
      </x:c>
      <x:c r="W1845" s="47" t="n">
        <x:v>0.3</x:v>
      </x:c>
      <x:c r="X1845" s="54" t="str">
        <x:f>IF(ISNUMBER(V1845),V1845/(1-W1845),"")</x:f>
      </x:c>
      <x:c r="Y1845" s="55" t="str">
        <x:f>IF(ISNUMBER(X1845),ROUNDUP(X1845,0),"")</x:f>
      </x:c>
      <x:c r="Z1845" t="str">
        <x:f>IF(ISNUMBER(T1845),"Cost captured","Awaiting trade cost")</x:f>
        <x:v>Awaiting trade cost</x:v>
      </x:c>
      <x:c r="AB1845" s="36" t="str">
        <x:f>IF(ISNUMBER(Y1845),ROUND(Y1845*0.9,2),"")</x:f>
      </x:c>
      <x:c r="AC1845" s="36" t="str">
        <x:f>IF(ISNUMBER(AB1845),ROUND(AB1845-(AB1845*0.015+0.2)-V1845,2),"")</x:f>
      </x:c>
      <x:c r="AD1845" s="36" t="str">
        <x:f>IF(ISNUMBER(Y1845),ROUND(Y1845*0.8,2),"")</x:f>
      </x:c>
      <x:c r="AE1845" s="36" t="str">
        <x:f>IF(ISNUMBER(AD1845),ROUND(AD1845*0.015+0.2,2),"")</x:f>
      </x:c>
      <x:c r="AF1845" s="36" t="str">
        <x:f>IF(ISNUMBER(AD1845),ROUND(AD1845-AE1845-V1845,2),"")</x:f>
      </x:c>
      <x:c r="AG1845" t="str">
        <x:f>IF(NOT(ISNUMBER(T1845)),"PENDING",IF(AF1845&gt;0,"PASS","FAIL"))</x:f>
        <x:v>PENDING</x:v>
      </x:c>
      <x:c r="AH1845" t="str">
        <x:f>IF(NOT(ISNUMBER(T1845)),"Needs supplier cost",IF(K1845&lt;&gt;"In stock","Supplier unavailable",IF(AG1845&lt;&gt;"PASS","BLOCK - GT loss risk","Commercially protected")))</x:f>
        <x:v>Needs supplier cost</x:v>
      </x:c>
      <x:c r="AI1845" t="str">
        <x:v>2026-09-10 Active Sports trade capture</x:v>
      </x:c>
      <x:c r="AJ1845" t="str">
        <x:v>Management-only economics. Stripe stress test uses 1.5% + £0.20 standard UK online-card fee; pallet/mix-and-match pricing ignored.</x:v>
      </x:c>
    </x:row>
    <x:row r="1846">
      <x:c r="A1846" t="str">
        <x:v>Active Sports Nutrition</x:v>
      </x:c>
      <x:c r="B1846" t="str">
        <x:v>Trained By JP</x:v>
      </x:c>
      <x:c r="C1846" t="str">
        <x:v>Pump</x:v>
      </x:c>
      <x:c r="D1846" t="str">
        <x:v>Pre Workouts</x:v>
      </x:c>
      <x:c r="E1846" t="str">
        <x:v>Stim FREE</x:v>
      </x:c>
      <x:c r="F1846" t="str"/>
      <x:c r="G1846" t="str">
        <x:v>30 servings</x:v>
      </x:c>
      <x:c r="H1846" t="str">
        <x:v>Fruit Punch</x:v>
      </x:c>
      <x:c r="I1846" t="str"/>
      <x:c r="J1846" t="str">
        <x:v>Unit</x:v>
      </x:c>
      <x:c r="K1846" t="str">
        <x:v>In stock</x:v>
      </x:c>
      <x:c r="L1846" t="str">
        <x:v>2026-09-08</x:v>
      </x:c>
      <x:c r="M1846" t="str"/>
      <x:c r="N1846" t="str"/>
      <x:c r="O1846" t="str">
        <x:v>https://www.activesportstrade.co.uk/trained-by-jp-trade</x:v>
      </x:c>
      <x:c r="P1846" t="str"/>
      <x:c r="Q1846" t="str"/>
      <x:c r="R1846" t="str"/>
      <x:c r="S1846" t="str">
        <x:v>Pending genuine supplier/brand image</x:v>
      </x:c>
      <x:c r="T1846" s="54"/>
      <x:c r="U1846" s="47" t="n">
        <x:v>0.2</x:v>
      </x:c>
      <x:c r="V1846" s="54" t="str">
        <x:f>IF(ISNUMBER(T1846),T1846*(1+U1846),"")</x:f>
      </x:c>
      <x:c r="W1846" s="47" t="n">
        <x:v>0.3</x:v>
      </x:c>
      <x:c r="X1846" s="54" t="str">
        <x:f>IF(ISNUMBER(V1846),V1846/(1-W1846),"")</x:f>
      </x:c>
      <x:c r="Y1846" s="55" t="str">
        <x:f>IF(ISNUMBER(X1846),ROUNDUP(X1846,0),"")</x:f>
      </x:c>
      <x:c r="Z1846" t="str">
        <x:f>IF(ISNUMBER(T1846),"Cost captured","Awaiting trade cost")</x:f>
        <x:v>Awaiting trade cost</x:v>
      </x:c>
      <x:c r="AB1846" s="36" t="str">
        <x:f>IF(ISNUMBER(Y1846),ROUND(Y1846*0.9,2),"")</x:f>
      </x:c>
      <x:c r="AC1846" s="36" t="str">
        <x:f>IF(ISNUMBER(AB1846),ROUND(AB1846-(AB1846*0.015+0.2)-V1846,2),"")</x:f>
      </x:c>
      <x:c r="AD1846" s="36" t="str">
        <x:f>IF(ISNUMBER(Y1846),ROUND(Y1846*0.8,2),"")</x:f>
      </x:c>
      <x:c r="AE1846" s="36" t="str">
        <x:f>IF(ISNUMBER(AD1846),ROUND(AD1846*0.015+0.2,2),"")</x:f>
      </x:c>
      <x:c r="AF1846" s="36" t="str">
        <x:f>IF(ISNUMBER(AD1846),ROUND(AD1846-AE1846-V1846,2),"")</x:f>
      </x:c>
      <x:c r="AG1846" t="str">
        <x:f>IF(NOT(ISNUMBER(T1846)),"PENDING",IF(AF1846&gt;0,"PASS","FAIL"))</x:f>
        <x:v>PENDING</x:v>
      </x:c>
      <x:c r="AH1846" t="str">
        <x:f>IF(NOT(ISNUMBER(T1846)),"Needs supplier cost",IF(K1846&lt;&gt;"In stock","Supplier unavailable",IF(AG1846&lt;&gt;"PASS","BLOCK - GT loss risk","Commercially protected")))</x:f>
        <x:v>Needs supplier cost</x:v>
      </x:c>
      <x:c r="AI1846" t="str">
        <x:v>2026-09-10 Active Sports trade capture</x:v>
      </x:c>
      <x:c r="AJ1846" t="str">
        <x:v>Management-only economics. Stripe stress test uses 1.5% + £0.20 standard UK online-card fee; pallet/mix-and-match pricing ignored.</x:v>
      </x:c>
    </x:row>
    <x:row r="1847">
      <x:c r="A1847" t="str">
        <x:v>Active Sports Nutrition</x:v>
      </x:c>
      <x:c r="B1847" t="str">
        <x:v>Trained By JP</x:v>
      </x:c>
      <x:c r="C1847" t="str">
        <x:v>Pump</x:v>
      </x:c>
      <x:c r="D1847" t="str">
        <x:v>Pre Workouts</x:v>
      </x:c>
      <x:c r="E1847" t="str">
        <x:v>Stim FREE</x:v>
      </x:c>
      <x:c r="F1847" t="str"/>
      <x:c r="G1847" t="str">
        <x:v>30 servings</x:v>
      </x:c>
      <x:c r="H1847" t="str">
        <x:v>Orange Mango</x:v>
      </x:c>
      <x:c r="I1847" t="str"/>
      <x:c r="J1847" t="str">
        <x:v>Unit</x:v>
      </x:c>
      <x:c r="K1847" t="str">
        <x:v>In stock</x:v>
      </x:c>
      <x:c r="L1847" t="str">
        <x:v>2026-09-08</x:v>
      </x:c>
      <x:c r="M1847" t="str"/>
      <x:c r="N1847" t="str"/>
      <x:c r="O1847" t="str">
        <x:v>https://www.activesportstrade.co.uk/trained-by-jp-trade</x:v>
      </x:c>
      <x:c r="P1847" t="str"/>
      <x:c r="Q1847" t="str"/>
      <x:c r="R1847" t="str"/>
      <x:c r="S1847" t="str">
        <x:v>Pending genuine supplier/brand image</x:v>
      </x:c>
      <x:c r="T1847" s="54"/>
      <x:c r="U1847" s="47" t="n">
        <x:v>0.2</x:v>
      </x:c>
      <x:c r="V1847" s="54" t="str">
        <x:f>IF(ISNUMBER(T1847),T1847*(1+U1847),"")</x:f>
      </x:c>
      <x:c r="W1847" s="47" t="n">
        <x:v>0.3</x:v>
      </x:c>
      <x:c r="X1847" s="54" t="str">
        <x:f>IF(ISNUMBER(V1847),V1847/(1-W1847),"")</x:f>
      </x:c>
      <x:c r="Y1847" s="55" t="str">
        <x:f>IF(ISNUMBER(X1847),ROUNDUP(X1847,0),"")</x:f>
      </x:c>
      <x:c r="Z1847" t="str">
        <x:f>IF(ISNUMBER(T1847),"Cost captured","Awaiting trade cost")</x:f>
        <x:v>Awaiting trade cost</x:v>
      </x:c>
      <x:c r="AB1847" s="36" t="str">
        <x:f>IF(ISNUMBER(Y1847),ROUND(Y1847*0.9,2),"")</x:f>
      </x:c>
      <x:c r="AC1847" s="36" t="str">
        <x:f>IF(ISNUMBER(AB1847),ROUND(AB1847-(AB1847*0.015+0.2)-V1847,2),"")</x:f>
      </x:c>
      <x:c r="AD1847" s="36" t="str">
        <x:f>IF(ISNUMBER(Y1847),ROUND(Y1847*0.8,2),"")</x:f>
      </x:c>
      <x:c r="AE1847" s="36" t="str">
        <x:f>IF(ISNUMBER(AD1847),ROUND(AD1847*0.015+0.2,2),"")</x:f>
      </x:c>
      <x:c r="AF1847" s="36" t="str">
        <x:f>IF(ISNUMBER(AD1847),ROUND(AD1847-AE1847-V1847,2),"")</x:f>
      </x:c>
      <x:c r="AG1847" t="str">
        <x:f>IF(NOT(ISNUMBER(T1847)),"PENDING",IF(AF1847&gt;0,"PASS","FAIL"))</x:f>
        <x:v>PENDING</x:v>
      </x:c>
      <x:c r="AH1847" t="str">
        <x:f>IF(NOT(ISNUMBER(T1847)),"Needs supplier cost",IF(K1847&lt;&gt;"In stock","Supplier unavailable",IF(AG1847&lt;&gt;"PASS","BLOCK - GT loss risk","Commercially protected")))</x:f>
        <x:v>Needs supplier cost</x:v>
      </x:c>
      <x:c r="AI1847" t="str">
        <x:v>2026-09-10 Active Sports trade capture</x:v>
      </x:c>
      <x:c r="AJ1847" t="str">
        <x:v>Management-only economics. Stripe stress test uses 1.5% + £0.20 standard UK online-card fee; pallet/mix-and-match pricing ignored.</x:v>
      </x:c>
    </x:row>
    <x:row r="1848">
      <x:c r="A1848" t="str">
        <x:v>Active Sports Nutrition</x:v>
      </x:c>
      <x:c r="B1848" t="str">
        <x:v>Trained By JP</x:v>
      </x:c>
      <x:c r="C1848" t="str">
        <x:v>Whey Protein</x:v>
      </x:c>
      <x:c r="D1848" t="str">
        <x:v>Supplements</x:v>
      </x:c>
      <x:c r="E1848" t="str">
        <x:v>Whey Protein</x:v>
      </x:c>
      <x:c r="F1848" t="str"/>
      <x:c r="G1848" t="str">
        <x:v>2kg</x:v>
      </x:c>
      <x:c r="H1848" t="str">
        <x:v>Banana</x:v>
      </x:c>
      <x:c r="I1848" t="str"/>
      <x:c r="J1848" t="str">
        <x:v>Unit</x:v>
      </x:c>
      <x:c r="K1848" t="str">
        <x:v>In stock</x:v>
      </x:c>
      <x:c r="L1848" t="str">
        <x:v>2026-09-08</x:v>
      </x:c>
      <x:c r="M1848" t="str"/>
      <x:c r="N1848" t="str"/>
      <x:c r="O1848" t="str">
        <x:v>https://www.activesportstrade.co.uk/trained-by-jp-trade</x:v>
      </x:c>
      <x:c r="P1848" t="str"/>
      <x:c r="Q1848" t="str"/>
      <x:c r="R1848" t="str"/>
      <x:c r="S1848" t="str">
        <x:v>Pending genuine supplier/brand image</x:v>
      </x:c>
      <x:c r="T1848" s="54"/>
      <x:c r="U1848" s="47" t="n">
        <x:v>0.2</x:v>
      </x:c>
      <x:c r="V1848" s="54" t="str">
        <x:f>IF(ISNUMBER(T1848),T1848*(1+U1848),"")</x:f>
      </x:c>
      <x:c r="W1848" s="47" t="n">
        <x:v>0.3</x:v>
      </x:c>
      <x:c r="X1848" s="54" t="str">
        <x:f>IF(ISNUMBER(V1848),V1848/(1-W1848),"")</x:f>
      </x:c>
      <x:c r="Y1848" s="55" t="str">
        <x:f>IF(ISNUMBER(X1848),ROUNDUP(X1848,0),"")</x:f>
      </x:c>
      <x:c r="Z1848" t="str">
        <x:f>IF(ISNUMBER(T1848),"Cost captured","Awaiting trade cost")</x:f>
        <x:v>Awaiting trade cost</x:v>
      </x:c>
      <x:c r="AB1848" s="36" t="str">
        <x:f>IF(ISNUMBER(Y1848),ROUND(Y1848*0.9,2),"")</x:f>
      </x:c>
      <x:c r="AC1848" s="36" t="str">
        <x:f>IF(ISNUMBER(AB1848),ROUND(AB1848-(AB1848*0.015+0.2)-V1848,2),"")</x:f>
      </x:c>
      <x:c r="AD1848" s="36" t="str">
        <x:f>IF(ISNUMBER(Y1848),ROUND(Y1848*0.8,2),"")</x:f>
      </x:c>
      <x:c r="AE1848" s="36" t="str">
        <x:f>IF(ISNUMBER(AD1848),ROUND(AD1848*0.015+0.2,2),"")</x:f>
      </x:c>
      <x:c r="AF1848" s="36" t="str">
        <x:f>IF(ISNUMBER(AD1848),ROUND(AD1848-AE1848-V1848,2),"")</x:f>
      </x:c>
      <x:c r="AG1848" t="str">
        <x:f>IF(NOT(ISNUMBER(T1848)),"PENDING",IF(AF1848&gt;0,"PASS","FAIL"))</x:f>
        <x:v>PENDING</x:v>
      </x:c>
      <x:c r="AH1848" t="str">
        <x:f>IF(NOT(ISNUMBER(T1848)),"Needs supplier cost",IF(K1848&lt;&gt;"In stock","Supplier unavailable",IF(AG1848&lt;&gt;"PASS","BLOCK - GT loss risk","Commercially protected")))</x:f>
        <x:v>Needs supplier cost</x:v>
      </x:c>
      <x:c r="AI1848" t="str">
        <x:v>2026-09-10 Active Sports trade capture</x:v>
      </x:c>
      <x:c r="AJ1848" t="str">
        <x:v>Management-only economics. Stripe stress test uses 1.5% + £0.20 standard UK online-card fee; pallet/mix-and-match pricing ignored.</x:v>
      </x:c>
    </x:row>
    <x:row r="1849">
      <x:c r="A1849" t="str">
        <x:v>Active Sports Nutrition</x:v>
      </x:c>
      <x:c r="B1849" t="str">
        <x:v>Trained By JP</x:v>
      </x:c>
      <x:c r="C1849" t="str">
        <x:v>Whey Protein</x:v>
      </x:c>
      <x:c r="D1849" t="str">
        <x:v>Supplements</x:v>
      </x:c>
      <x:c r="E1849" t="str">
        <x:v>Whey Protein</x:v>
      </x:c>
      <x:c r="F1849" t="str"/>
      <x:c r="G1849" t="str">
        <x:v>2kg</x:v>
      </x:c>
      <x:c r="H1849" t="str">
        <x:v>Chocolate</x:v>
      </x:c>
      <x:c r="I1849" t="str"/>
      <x:c r="J1849" t="str">
        <x:v>Unit</x:v>
      </x:c>
      <x:c r="K1849" t="str">
        <x:v>In stock</x:v>
      </x:c>
      <x:c r="L1849" t="str">
        <x:v>2026-09-08</x:v>
      </x:c>
      <x:c r="M1849" t="str"/>
      <x:c r="N1849" t="str"/>
      <x:c r="O1849" t="str">
        <x:v>https://www.activesportstrade.co.uk/trained-by-jp-trade</x:v>
      </x:c>
      <x:c r="P1849" t="str"/>
      <x:c r="Q1849" t="str"/>
      <x:c r="R1849" t="str"/>
      <x:c r="S1849" t="str">
        <x:v>Pending genuine supplier/brand image</x:v>
      </x:c>
      <x:c r="T1849" s="54"/>
      <x:c r="U1849" s="47" t="n">
        <x:v>0.2</x:v>
      </x:c>
      <x:c r="V1849" s="54" t="str">
        <x:f>IF(ISNUMBER(T1849),T1849*(1+U1849),"")</x:f>
      </x:c>
      <x:c r="W1849" s="47" t="n">
        <x:v>0.3</x:v>
      </x:c>
      <x:c r="X1849" s="54" t="str">
        <x:f>IF(ISNUMBER(V1849),V1849/(1-W1849),"")</x:f>
      </x:c>
      <x:c r="Y1849" s="55" t="str">
        <x:f>IF(ISNUMBER(X1849),ROUNDUP(X1849,0),"")</x:f>
      </x:c>
      <x:c r="Z1849" t="str">
        <x:f>IF(ISNUMBER(T1849),"Cost captured","Awaiting trade cost")</x:f>
        <x:v>Awaiting trade cost</x:v>
      </x:c>
      <x:c r="AB1849" s="36" t="str">
        <x:f>IF(ISNUMBER(Y1849),ROUND(Y1849*0.9,2),"")</x:f>
      </x:c>
      <x:c r="AC1849" s="36" t="str">
        <x:f>IF(ISNUMBER(AB1849),ROUND(AB1849-(AB1849*0.015+0.2)-V1849,2),"")</x:f>
      </x:c>
      <x:c r="AD1849" s="36" t="str">
        <x:f>IF(ISNUMBER(Y1849),ROUND(Y1849*0.8,2),"")</x:f>
      </x:c>
      <x:c r="AE1849" s="36" t="str">
        <x:f>IF(ISNUMBER(AD1849),ROUND(AD1849*0.015+0.2,2),"")</x:f>
      </x:c>
      <x:c r="AF1849" s="36" t="str">
        <x:f>IF(ISNUMBER(AD1849),ROUND(AD1849-AE1849-V1849,2),"")</x:f>
      </x:c>
      <x:c r="AG1849" t="str">
        <x:f>IF(NOT(ISNUMBER(T1849)),"PENDING",IF(AF1849&gt;0,"PASS","FAIL"))</x:f>
        <x:v>PENDING</x:v>
      </x:c>
      <x:c r="AH1849" t="str">
        <x:f>IF(NOT(ISNUMBER(T1849)),"Needs supplier cost",IF(K1849&lt;&gt;"In stock","Supplier unavailable",IF(AG1849&lt;&gt;"PASS","BLOCK - GT loss risk","Commercially protected")))</x:f>
        <x:v>Needs supplier cost</x:v>
      </x:c>
      <x:c r="AI1849" t="str">
        <x:v>2026-09-10 Active Sports trade capture</x:v>
      </x:c>
      <x:c r="AJ1849" t="str">
        <x:v>Management-only economics. Stripe stress test uses 1.5% + £0.20 standard UK online-card fee; pallet/mix-and-match pricing ignored.</x:v>
      </x:c>
    </x:row>
    <x:row r="1850">
      <x:c r="A1850" t="str">
        <x:v>Active Sports Nutrition</x:v>
      </x:c>
      <x:c r="B1850" t="str">
        <x:v>Trained By JP</x:v>
      </x:c>
      <x:c r="C1850" t="str">
        <x:v>Whey Protein</x:v>
      </x:c>
      <x:c r="D1850" t="str">
        <x:v>Supplements</x:v>
      </x:c>
      <x:c r="E1850" t="str">
        <x:v>Whey Protein</x:v>
      </x:c>
      <x:c r="F1850" t="str"/>
      <x:c r="G1850" t="str">
        <x:v>2kg</x:v>
      </x:c>
      <x:c r="H1850" t="str">
        <x:v>Chocolate Hazelnut</x:v>
      </x:c>
      <x:c r="I1850" t="str"/>
      <x:c r="J1850" t="str">
        <x:v>Unit</x:v>
      </x:c>
      <x:c r="K1850" t="str">
        <x:v>In stock</x:v>
      </x:c>
      <x:c r="L1850" t="str">
        <x:v>2026-09-08</x:v>
      </x:c>
      <x:c r="M1850" t="str"/>
      <x:c r="N1850" t="str"/>
      <x:c r="O1850" t="str">
        <x:v>https://www.activesportstrade.co.uk/trained-by-jp-trade</x:v>
      </x:c>
      <x:c r="P1850" t="str"/>
      <x:c r="Q1850" t="str"/>
      <x:c r="R1850" t="str"/>
      <x:c r="S1850" t="str">
        <x:v>Pending genuine supplier/brand image</x:v>
      </x:c>
      <x:c r="T1850" s="54"/>
      <x:c r="U1850" s="47" t="n">
        <x:v>0.2</x:v>
      </x:c>
      <x:c r="V1850" s="54" t="str">
        <x:f>IF(ISNUMBER(T1850),T1850*(1+U1850),"")</x:f>
      </x:c>
      <x:c r="W1850" s="47" t="n">
        <x:v>0.3</x:v>
      </x:c>
      <x:c r="X1850" s="54" t="str">
        <x:f>IF(ISNUMBER(V1850),V1850/(1-W1850),"")</x:f>
      </x:c>
      <x:c r="Y1850" s="55" t="str">
        <x:f>IF(ISNUMBER(X1850),ROUNDUP(X1850,0),"")</x:f>
      </x:c>
      <x:c r="Z1850" t="str">
        <x:f>IF(ISNUMBER(T1850),"Cost captured","Awaiting trade cost")</x:f>
        <x:v>Awaiting trade cost</x:v>
      </x:c>
      <x:c r="AB1850" s="36" t="str">
        <x:f>IF(ISNUMBER(Y1850),ROUND(Y1850*0.9,2),"")</x:f>
      </x:c>
      <x:c r="AC1850" s="36" t="str">
        <x:f>IF(ISNUMBER(AB1850),ROUND(AB1850-(AB1850*0.015+0.2)-V1850,2),"")</x:f>
      </x:c>
      <x:c r="AD1850" s="36" t="str">
        <x:f>IF(ISNUMBER(Y1850),ROUND(Y1850*0.8,2),"")</x:f>
      </x:c>
      <x:c r="AE1850" s="36" t="str">
        <x:f>IF(ISNUMBER(AD1850),ROUND(AD1850*0.015+0.2,2),"")</x:f>
      </x:c>
      <x:c r="AF1850" s="36" t="str">
        <x:f>IF(ISNUMBER(AD1850),ROUND(AD1850-AE1850-V1850,2),"")</x:f>
      </x:c>
      <x:c r="AG1850" t="str">
        <x:f>IF(NOT(ISNUMBER(T1850)),"PENDING",IF(AF1850&gt;0,"PASS","FAIL"))</x:f>
        <x:v>PENDING</x:v>
      </x:c>
      <x:c r="AH1850" t="str">
        <x:f>IF(NOT(ISNUMBER(T1850)),"Needs supplier cost",IF(K1850&lt;&gt;"In stock","Supplier unavailable",IF(AG1850&lt;&gt;"PASS","BLOCK - GT loss risk","Commercially protected")))</x:f>
        <x:v>Needs supplier cost</x:v>
      </x:c>
      <x:c r="AI1850" t="str">
        <x:v>2026-09-10 Active Sports trade capture</x:v>
      </x:c>
      <x:c r="AJ1850" t="str">
        <x:v>Management-only economics. Stripe stress test uses 1.5% + £0.20 standard UK online-card fee; pallet/mix-and-match pricing ignored.</x:v>
      </x:c>
    </x:row>
    <x:row r="1851">
      <x:c r="A1851" t="str">
        <x:v>Active Sports Nutrition</x:v>
      </x:c>
      <x:c r="B1851" t="str">
        <x:v>Trained By JP</x:v>
      </x:c>
      <x:c r="C1851" t="str">
        <x:v>Whey Protein</x:v>
      </x:c>
      <x:c r="D1851" t="str">
        <x:v>Supplements</x:v>
      </x:c>
      <x:c r="E1851" t="str">
        <x:v>Whey Protein</x:v>
      </x:c>
      <x:c r="F1851" t="str"/>
      <x:c r="G1851" t="str">
        <x:v>2kg</x:v>
      </x:c>
      <x:c r="H1851" t="str">
        <x:v>Cookies &amp; Cream</x:v>
      </x:c>
      <x:c r="I1851" t="str"/>
      <x:c r="J1851" t="str">
        <x:v>Unit</x:v>
      </x:c>
      <x:c r="K1851" t="str">
        <x:v>In stock</x:v>
      </x:c>
      <x:c r="L1851" t="str">
        <x:v>2026-09-08</x:v>
      </x:c>
      <x:c r="M1851" t="str"/>
      <x:c r="N1851" t="str"/>
      <x:c r="O1851" t="str">
        <x:v>https://www.activesportstrade.co.uk/trained-by-jp-trade</x:v>
      </x:c>
      <x:c r="P1851" t="str"/>
      <x:c r="Q1851" t="str"/>
      <x:c r="R1851" t="str"/>
      <x:c r="S1851" t="str">
        <x:v>Pending genuine supplier/brand image</x:v>
      </x:c>
      <x:c r="T1851" s="54"/>
      <x:c r="U1851" s="47" t="n">
        <x:v>0.2</x:v>
      </x:c>
      <x:c r="V1851" s="54" t="str">
        <x:f>IF(ISNUMBER(T1851),T1851*(1+U1851),"")</x:f>
      </x:c>
      <x:c r="W1851" s="47" t="n">
        <x:v>0.3</x:v>
      </x:c>
      <x:c r="X1851" s="54" t="str">
        <x:f>IF(ISNUMBER(V1851),V1851/(1-W1851),"")</x:f>
      </x:c>
      <x:c r="Y1851" s="55" t="str">
        <x:f>IF(ISNUMBER(X1851),ROUNDUP(X1851,0),"")</x:f>
      </x:c>
      <x:c r="Z1851" t="str">
        <x:f>IF(ISNUMBER(T1851),"Cost captured","Awaiting trade cost")</x:f>
        <x:v>Awaiting trade cost</x:v>
      </x:c>
      <x:c r="AB1851" s="36" t="str">
        <x:f>IF(ISNUMBER(Y1851),ROUND(Y1851*0.9,2),"")</x:f>
      </x:c>
      <x:c r="AC1851" s="36" t="str">
        <x:f>IF(ISNUMBER(AB1851),ROUND(AB1851-(AB1851*0.015+0.2)-V1851,2),"")</x:f>
      </x:c>
      <x:c r="AD1851" s="36" t="str">
        <x:f>IF(ISNUMBER(Y1851),ROUND(Y1851*0.8,2),"")</x:f>
      </x:c>
      <x:c r="AE1851" s="36" t="str">
        <x:f>IF(ISNUMBER(AD1851),ROUND(AD1851*0.015+0.2,2),"")</x:f>
      </x:c>
      <x:c r="AF1851" s="36" t="str">
        <x:f>IF(ISNUMBER(AD1851),ROUND(AD1851-AE1851-V1851,2),"")</x:f>
      </x:c>
      <x:c r="AG1851" t="str">
        <x:f>IF(NOT(ISNUMBER(T1851)),"PENDING",IF(AF1851&gt;0,"PASS","FAIL"))</x:f>
        <x:v>PENDING</x:v>
      </x:c>
      <x:c r="AH1851" t="str">
        <x:f>IF(NOT(ISNUMBER(T1851)),"Needs supplier cost",IF(K1851&lt;&gt;"In stock","Supplier unavailable",IF(AG1851&lt;&gt;"PASS","BLOCK - GT loss risk","Commercially protected")))</x:f>
        <x:v>Needs supplier cost</x:v>
      </x:c>
      <x:c r="AI1851" t="str">
        <x:v>2026-09-10 Active Sports trade capture</x:v>
      </x:c>
      <x:c r="AJ1851" t="str">
        <x:v>Management-only economics. Stripe stress test uses 1.5% + £0.20 standard UK online-card fee; pallet/mix-and-match pricing ignored.</x:v>
      </x:c>
    </x:row>
    <x:row r="1852">
      <x:c r="A1852" t="str">
        <x:v>Active Sports Nutrition</x:v>
      </x:c>
      <x:c r="B1852" t="str">
        <x:v>Trained By JP</x:v>
      </x:c>
      <x:c r="C1852" t="str">
        <x:v>Whey Protein</x:v>
      </x:c>
      <x:c r="D1852" t="str">
        <x:v>Supplements</x:v>
      </x:c>
      <x:c r="E1852" t="str">
        <x:v>Whey Protein</x:v>
      </x:c>
      <x:c r="F1852" t="str"/>
      <x:c r="G1852" t="str">
        <x:v>2kg</x:v>
      </x:c>
      <x:c r="H1852" t="str">
        <x:v>Salted Caramel</x:v>
      </x:c>
      <x:c r="I1852" t="str"/>
      <x:c r="J1852" t="str">
        <x:v>Unit</x:v>
      </x:c>
      <x:c r="K1852" t="str">
        <x:v>In stock</x:v>
      </x:c>
      <x:c r="L1852" t="str">
        <x:v>2026-09-08</x:v>
      </x:c>
      <x:c r="M1852" t="str"/>
      <x:c r="N1852" t="str"/>
      <x:c r="O1852" t="str">
        <x:v>https://www.activesportstrade.co.uk/trained-by-jp-trade</x:v>
      </x:c>
      <x:c r="P1852" t="str"/>
      <x:c r="Q1852" t="str"/>
      <x:c r="R1852" t="str"/>
      <x:c r="S1852" t="str">
        <x:v>Pending genuine supplier/brand image</x:v>
      </x:c>
      <x:c r="T1852" s="54"/>
      <x:c r="U1852" s="47" t="n">
        <x:v>0.2</x:v>
      </x:c>
      <x:c r="V1852" s="54" t="str">
        <x:f>IF(ISNUMBER(T1852),T1852*(1+U1852),"")</x:f>
      </x:c>
      <x:c r="W1852" s="47" t="n">
        <x:v>0.3</x:v>
      </x:c>
      <x:c r="X1852" s="54" t="str">
        <x:f>IF(ISNUMBER(V1852),V1852/(1-W1852),"")</x:f>
      </x:c>
      <x:c r="Y1852" s="55" t="str">
        <x:f>IF(ISNUMBER(X1852),ROUNDUP(X1852,0),"")</x:f>
      </x:c>
      <x:c r="Z1852" t="str">
        <x:f>IF(ISNUMBER(T1852),"Cost captured","Awaiting trade cost")</x:f>
        <x:v>Awaiting trade cost</x:v>
      </x:c>
      <x:c r="AB1852" s="36" t="str">
        <x:f>IF(ISNUMBER(Y1852),ROUND(Y1852*0.9,2),"")</x:f>
      </x:c>
      <x:c r="AC1852" s="36" t="str">
        <x:f>IF(ISNUMBER(AB1852),ROUND(AB1852-(AB1852*0.015+0.2)-V1852,2),"")</x:f>
      </x:c>
      <x:c r="AD1852" s="36" t="str">
        <x:f>IF(ISNUMBER(Y1852),ROUND(Y1852*0.8,2),"")</x:f>
      </x:c>
      <x:c r="AE1852" s="36" t="str">
        <x:f>IF(ISNUMBER(AD1852),ROUND(AD1852*0.015+0.2,2),"")</x:f>
      </x:c>
      <x:c r="AF1852" s="36" t="str">
        <x:f>IF(ISNUMBER(AD1852),ROUND(AD1852-AE1852-V1852,2),"")</x:f>
      </x:c>
      <x:c r="AG1852" t="str">
        <x:f>IF(NOT(ISNUMBER(T1852)),"PENDING",IF(AF1852&gt;0,"PASS","FAIL"))</x:f>
        <x:v>PENDING</x:v>
      </x:c>
      <x:c r="AH1852" t="str">
        <x:f>IF(NOT(ISNUMBER(T1852)),"Needs supplier cost",IF(K1852&lt;&gt;"In stock","Supplier unavailable",IF(AG1852&lt;&gt;"PASS","BLOCK - GT loss risk","Commercially protected")))</x:f>
        <x:v>Needs supplier cost</x:v>
      </x:c>
      <x:c r="AI1852" t="str">
        <x:v>2026-09-10 Active Sports trade capture</x:v>
      </x:c>
      <x:c r="AJ1852" t="str">
        <x:v>Management-only economics. Stripe stress test uses 1.5% + £0.20 standard UK online-card fee; pallet/mix-and-match pricing ignored.</x:v>
      </x:c>
    </x:row>
    <x:row r="1853">
      <x:c r="A1853" t="str">
        <x:v>Active Sports Nutrition</x:v>
      </x:c>
      <x:c r="B1853" t="str">
        <x:v>Trained By JP</x:v>
      </x:c>
      <x:c r="C1853" t="str">
        <x:v>Whey Protein</x:v>
      </x:c>
      <x:c r="D1853" t="str">
        <x:v>Supplements</x:v>
      </x:c>
      <x:c r="E1853" t="str">
        <x:v>Whey Protein</x:v>
      </x:c>
      <x:c r="F1853" t="str"/>
      <x:c r="G1853" t="str">
        <x:v>2kg</x:v>
      </x:c>
      <x:c r="H1853" t="str">
        <x:v>Strawberry</x:v>
      </x:c>
      <x:c r="I1853" t="str"/>
      <x:c r="J1853" t="str">
        <x:v>Unit</x:v>
      </x:c>
      <x:c r="K1853" t="str">
        <x:v>In stock</x:v>
      </x:c>
      <x:c r="L1853" t="str">
        <x:v>2026-09-08</x:v>
      </x:c>
      <x:c r="M1853" t="str"/>
      <x:c r="N1853" t="str"/>
      <x:c r="O1853" t="str">
        <x:v>https://www.activesportstrade.co.uk/trained-by-jp-trade</x:v>
      </x:c>
      <x:c r="P1853" t="str"/>
      <x:c r="Q1853" t="str"/>
      <x:c r="R1853" t="str"/>
      <x:c r="S1853" t="str">
        <x:v>Pending genuine supplier/brand image</x:v>
      </x:c>
      <x:c r="T1853" s="54"/>
      <x:c r="U1853" s="47" t="n">
        <x:v>0.2</x:v>
      </x:c>
      <x:c r="V1853" s="54" t="str">
        <x:f>IF(ISNUMBER(T1853),T1853*(1+U1853),"")</x:f>
      </x:c>
      <x:c r="W1853" s="47" t="n">
        <x:v>0.3</x:v>
      </x:c>
      <x:c r="X1853" s="54" t="str">
        <x:f>IF(ISNUMBER(V1853),V1853/(1-W1853),"")</x:f>
      </x:c>
      <x:c r="Y1853" s="55" t="str">
        <x:f>IF(ISNUMBER(X1853),ROUNDUP(X1853,0),"")</x:f>
      </x:c>
      <x:c r="Z1853" t="str">
        <x:f>IF(ISNUMBER(T1853),"Cost captured","Awaiting trade cost")</x:f>
        <x:v>Awaiting trade cost</x:v>
      </x:c>
      <x:c r="AB1853" s="36" t="str">
        <x:f>IF(ISNUMBER(Y1853),ROUND(Y1853*0.9,2),"")</x:f>
      </x:c>
      <x:c r="AC1853" s="36" t="str">
        <x:f>IF(ISNUMBER(AB1853),ROUND(AB1853-(AB1853*0.015+0.2)-V1853,2),"")</x:f>
      </x:c>
      <x:c r="AD1853" s="36" t="str">
        <x:f>IF(ISNUMBER(Y1853),ROUND(Y1853*0.8,2),"")</x:f>
      </x:c>
      <x:c r="AE1853" s="36" t="str">
        <x:f>IF(ISNUMBER(AD1853),ROUND(AD1853*0.015+0.2,2),"")</x:f>
      </x:c>
      <x:c r="AF1853" s="36" t="str">
        <x:f>IF(ISNUMBER(AD1853),ROUND(AD1853-AE1853-V1853,2),"")</x:f>
      </x:c>
      <x:c r="AG1853" t="str">
        <x:f>IF(NOT(ISNUMBER(T1853)),"PENDING",IF(AF1853&gt;0,"PASS","FAIL"))</x:f>
        <x:v>PENDING</x:v>
      </x:c>
      <x:c r="AH1853" t="str">
        <x:f>IF(NOT(ISNUMBER(T1853)),"Needs supplier cost",IF(K1853&lt;&gt;"In stock","Supplier unavailable",IF(AG1853&lt;&gt;"PASS","BLOCK - GT loss risk","Commercially protected")))</x:f>
        <x:v>Needs supplier cost</x:v>
      </x:c>
      <x:c r="AI1853" t="str">
        <x:v>2026-09-10 Active Sports trade capture</x:v>
      </x:c>
      <x:c r="AJ1853" t="str">
        <x:v>Management-only economics. Stripe stress test uses 1.5% + £0.20 standard UK online-card fee; pallet/mix-and-match pricing ignored.</x:v>
      </x:c>
    </x:row>
    <x:row r="1854">
      <x:c r="A1854" t="str">
        <x:v>Active Sports Nutrition</x:v>
      </x:c>
      <x:c r="B1854" t="str">
        <x:v>Trained By JP</x:v>
      </x:c>
      <x:c r="C1854" t="str">
        <x:v>Whey Protein</x:v>
      </x:c>
      <x:c r="D1854" t="str">
        <x:v>Supplements</x:v>
      </x:c>
      <x:c r="E1854" t="str">
        <x:v>Whey Protein</x:v>
      </x:c>
      <x:c r="F1854" t="str"/>
      <x:c r="G1854" t="str">
        <x:v>2kg</x:v>
      </x:c>
      <x:c r="H1854" t="str">
        <x:v>Vanilla</x:v>
      </x:c>
      <x:c r="I1854" t="str"/>
      <x:c r="J1854" t="str">
        <x:v>Unit</x:v>
      </x:c>
      <x:c r="K1854" t="str">
        <x:v>In stock</x:v>
      </x:c>
      <x:c r="L1854" t="str">
        <x:v>2026-09-08</x:v>
      </x:c>
      <x:c r="M1854" t="str"/>
      <x:c r="N1854" t="str"/>
      <x:c r="O1854" t="str">
        <x:v>https://www.activesportstrade.co.uk/trained-by-jp-trade</x:v>
      </x:c>
      <x:c r="P1854" t="str"/>
      <x:c r="Q1854" t="str"/>
      <x:c r="R1854" t="str"/>
      <x:c r="S1854" t="str">
        <x:v>Pending genuine supplier/brand image</x:v>
      </x:c>
      <x:c r="T1854" s="54"/>
      <x:c r="U1854" s="47" t="n">
        <x:v>0.2</x:v>
      </x:c>
      <x:c r="V1854" s="54" t="str">
        <x:f>IF(ISNUMBER(T1854),T1854*(1+U1854),"")</x:f>
      </x:c>
      <x:c r="W1854" s="47" t="n">
        <x:v>0.3</x:v>
      </x:c>
      <x:c r="X1854" s="54" t="str">
        <x:f>IF(ISNUMBER(V1854),V1854/(1-W1854),"")</x:f>
      </x:c>
      <x:c r="Y1854" s="55" t="str">
        <x:f>IF(ISNUMBER(X1854),ROUNDUP(X1854,0),"")</x:f>
      </x:c>
      <x:c r="Z1854" t="str">
        <x:f>IF(ISNUMBER(T1854),"Cost captured","Awaiting trade cost")</x:f>
        <x:v>Awaiting trade cost</x:v>
      </x:c>
      <x:c r="AB1854" s="36" t="str">
        <x:f>IF(ISNUMBER(Y1854),ROUND(Y1854*0.9,2),"")</x:f>
      </x:c>
      <x:c r="AC1854" s="36" t="str">
        <x:f>IF(ISNUMBER(AB1854),ROUND(AB1854-(AB1854*0.015+0.2)-V1854,2),"")</x:f>
      </x:c>
      <x:c r="AD1854" s="36" t="str">
        <x:f>IF(ISNUMBER(Y1854),ROUND(Y1854*0.8,2),"")</x:f>
      </x:c>
      <x:c r="AE1854" s="36" t="str">
        <x:f>IF(ISNUMBER(AD1854),ROUND(AD1854*0.015+0.2,2),"")</x:f>
      </x:c>
      <x:c r="AF1854" s="36" t="str">
        <x:f>IF(ISNUMBER(AD1854),ROUND(AD1854-AE1854-V1854,2),"")</x:f>
      </x:c>
      <x:c r="AG1854" t="str">
        <x:f>IF(NOT(ISNUMBER(T1854)),"PENDING",IF(AF1854&gt;0,"PASS","FAIL"))</x:f>
        <x:v>PENDING</x:v>
      </x:c>
      <x:c r="AH1854" t="str">
        <x:f>IF(NOT(ISNUMBER(T1854)),"Needs supplier cost",IF(K1854&lt;&gt;"In stock","Supplier unavailable",IF(AG1854&lt;&gt;"PASS","BLOCK - GT loss risk","Commercially protected")))</x:f>
        <x:v>Needs supplier cost</x:v>
      </x:c>
      <x:c r="AI1854" t="str">
        <x:v>2026-09-10 Active Sports trade capture</x:v>
      </x:c>
      <x:c r="AJ1854" t="str">
        <x:v>Management-only economics. Stripe stress test uses 1.5% + £0.20 standard UK online-card fee; pallet/mix-and-match pricing ignored.</x:v>
      </x:c>
    </x:row>
    <x:row r="1855">
      <x:c r="A1855" t="str">
        <x:v>Active Sports Nutrition</x:v>
      </x:c>
      <x:c r="B1855" t="str">
        <x:v>Trained By JP</x:v>
      </x:c>
      <x:c r="C1855" t="str">
        <x:v>Whey Protein</x:v>
      </x:c>
      <x:c r="D1855" t="str">
        <x:v>Supplements</x:v>
      </x:c>
      <x:c r="E1855" t="str">
        <x:v>Whey Protein</x:v>
      </x:c>
      <x:c r="F1855" t="str"/>
      <x:c r="G1855" t="str">
        <x:v>900g</x:v>
      </x:c>
      <x:c r="H1855" t="str">
        <x:v>Banana</x:v>
      </x:c>
      <x:c r="I1855" t="str"/>
      <x:c r="J1855" t="str">
        <x:v>Unit</x:v>
      </x:c>
      <x:c r="K1855" t="str">
        <x:v>In stock</x:v>
      </x:c>
      <x:c r="L1855" t="str">
        <x:v>2026-09-08</x:v>
      </x:c>
      <x:c r="M1855" t="str"/>
      <x:c r="N1855" t="str"/>
      <x:c r="O1855" t="str">
        <x:v>https://www.activesportstrade.co.uk/trained-by-jp-trade</x:v>
      </x:c>
      <x:c r="P1855" t="str"/>
      <x:c r="Q1855" t="str"/>
      <x:c r="R1855" t="str"/>
      <x:c r="S1855" t="str">
        <x:v>Pending genuine supplier/brand image</x:v>
      </x:c>
      <x:c r="T1855" s="54"/>
      <x:c r="U1855" s="47" t="n">
        <x:v>0.2</x:v>
      </x:c>
      <x:c r="V1855" s="54" t="str">
        <x:f>IF(ISNUMBER(T1855),T1855*(1+U1855),"")</x:f>
      </x:c>
      <x:c r="W1855" s="47" t="n">
        <x:v>0.3</x:v>
      </x:c>
      <x:c r="X1855" s="54" t="str">
        <x:f>IF(ISNUMBER(V1855),V1855/(1-W1855),"")</x:f>
      </x:c>
      <x:c r="Y1855" s="55" t="str">
        <x:f>IF(ISNUMBER(X1855),ROUNDUP(X1855,0),"")</x:f>
      </x:c>
      <x:c r="Z1855" t="str">
        <x:f>IF(ISNUMBER(T1855),"Cost captured","Awaiting trade cost")</x:f>
        <x:v>Awaiting trade cost</x:v>
      </x:c>
      <x:c r="AB1855" s="36" t="str">
        <x:f>IF(ISNUMBER(Y1855),ROUND(Y1855*0.9,2),"")</x:f>
      </x:c>
      <x:c r="AC1855" s="36" t="str">
        <x:f>IF(ISNUMBER(AB1855),ROUND(AB1855-(AB1855*0.015+0.2)-V1855,2),"")</x:f>
      </x:c>
      <x:c r="AD1855" s="36" t="str">
        <x:f>IF(ISNUMBER(Y1855),ROUND(Y1855*0.8,2),"")</x:f>
      </x:c>
      <x:c r="AE1855" s="36" t="str">
        <x:f>IF(ISNUMBER(AD1855),ROUND(AD1855*0.015+0.2,2),"")</x:f>
      </x:c>
      <x:c r="AF1855" s="36" t="str">
        <x:f>IF(ISNUMBER(AD1855),ROUND(AD1855-AE1855-V1855,2),"")</x:f>
      </x:c>
      <x:c r="AG1855" t="str">
        <x:f>IF(NOT(ISNUMBER(T1855)),"PENDING",IF(AF1855&gt;0,"PASS","FAIL"))</x:f>
        <x:v>PENDING</x:v>
      </x:c>
      <x:c r="AH1855" t="str">
        <x:f>IF(NOT(ISNUMBER(T1855)),"Needs supplier cost",IF(K1855&lt;&gt;"In stock","Supplier unavailable",IF(AG1855&lt;&gt;"PASS","BLOCK - GT loss risk","Commercially protected")))</x:f>
        <x:v>Needs supplier cost</x:v>
      </x:c>
      <x:c r="AI1855" t="str">
        <x:v>2026-09-10 Active Sports trade capture</x:v>
      </x:c>
      <x:c r="AJ1855" t="str">
        <x:v>Management-only economics. Stripe stress test uses 1.5% + £0.20 standard UK online-card fee; pallet/mix-and-match pricing ignored.</x:v>
      </x:c>
    </x:row>
    <x:row r="1856">
      <x:c r="A1856" t="str">
        <x:v>Active Sports Nutrition</x:v>
      </x:c>
      <x:c r="B1856" t="str">
        <x:v>Trained By JP</x:v>
      </x:c>
      <x:c r="C1856" t="str">
        <x:v>Whey Protein</x:v>
      </x:c>
      <x:c r="D1856" t="str">
        <x:v>Supplements</x:v>
      </x:c>
      <x:c r="E1856" t="str">
        <x:v>Whey Protein</x:v>
      </x:c>
      <x:c r="F1856" t="str"/>
      <x:c r="G1856" t="str">
        <x:v>900g</x:v>
      </x:c>
      <x:c r="H1856" t="str">
        <x:v>Chocolate</x:v>
      </x:c>
      <x:c r="I1856" t="str"/>
      <x:c r="J1856" t="str">
        <x:v>Unit</x:v>
      </x:c>
      <x:c r="K1856" t="str">
        <x:v>In stock</x:v>
      </x:c>
      <x:c r="L1856" t="str">
        <x:v>2026-09-08</x:v>
      </x:c>
      <x:c r="M1856" t="str"/>
      <x:c r="N1856" t="str"/>
      <x:c r="O1856" t="str">
        <x:v>https://www.activesportstrade.co.uk/trained-by-jp-trade</x:v>
      </x:c>
      <x:c r="P1856" t="str"/>
      <x:c r="Q1856" t="str"/>
      <x:c r="R1856" t="str"/>
      <x:c r="S1856" t="str">
        <x:v>Pending genuine supplier/brand image</x:v>
      </x:c>
      <x:c r="T1856" s="54"/>
      <x:c r="U1856" s="47" t="n">
        <x:v>0.2</x:v>
      </x:c>
      <x:c r="V1856" s="54" t="str">
        <x:f>IF(ISNUMBER(T1856),T1856*(1+U1856),"")</x:f>
      </x:c>
      <x:c r="W1856" s="47" t="n">
        <x:v>0.3</x:v>
      </x:c>
      <x:c r="X1856" s="54" t="str">
        <x:f>IF(ISNUMBER(V1856),V1856/(1-W1856),"")</x:f>
      </x:c>
      <x:c r="Y1856" s="55" t="str">
        <x:f>IF(ISNUMBER(X1856),ROUNDUP(X1856,0),"")</x:f>
      </x:c>
      <x:c r="Z1856" t="str">
        <x:f>IF(ISNUMBER(T1856),"Cost captured","Awaiting trade cost")</x:f>
        <x:v>Awaiting trade cost</x:v>
      </x:c>
      <x:c r="AB1856" s="36" t="str">
        <x:f>IF(ISNUMBER(Y1856),ROUND(Y1856*0.9,2),"")</x:f>
      </x:c>
      <x:c r="AC1856" s="36" t="str">
        <x:f>IF(ISNUMBER(AB1856),ROUND(AB1856-(AB1856*0.015+0.2)-V1856,2),"")</x:f>
      </x:c>
      <x:c r="AD1856" s="36" t="str">
        <x:f>IF(ISNUMBER(Y1856),ROUND(Y1856*0.8,2),"")</x:f>
      </x:c>
      <x:c r="AE1856" s="36" t="str">
        <x:f>IF(ISNUMBER(AD1856),ROUND(AD1856*0.015+0.2,2),"")</x:f>
      </x:c>
      <x:c r="AF1856" s="36" t="str">
        <x:f>IF(ISNUMBER(AD1856),ROUND(AD1856-AE1856-V1856,2),"")</x:f>
      </x:c>
      <x:c r="AG1856" t="str">
        <x:f>IF(NOT(ISNUMBER(T1856)),"PENDING",IF(AF1856&gt;0,"PASS","FAIL"))</x:f>
        <x:v>PENDING</x:v>
      </x:c>
      <x:c r="AH1856" t="str">
        <x:f>IF(NOT(ISNUMBER(T1856)),"Needs supplier cost",IF(K1856&lt;&gt;"In stock","Supplier unavailable",IF(AG1856&lt;&gt;"PASS","BLOCK - GT loss risk","Commercially protected")))</x:f>
        <x:v>Needs supplier cost</x:v>
      </x:c>
      <x:c r="AI1856" t="str">
        <x:v>2026-09-10 Active Sports trade capture</x:v>
      </x:c>
      <x:c r="AJ1856" t="str">
        <x:v>Management-only economics. Stripe stress test uses 1.5% + £0.20 standard UK online-card fee; pallet/mix-and-match pricing ignored.</x:v>
      </x:c>
    </x:row>
    <x:row r="1857">
      <x:c r="A1857" t="str">
        <x:v>Active Sports Nutrition</x:v>
      </x:c>
      <x:c r="B1857" t="str">
        <x:v>Trained By JP</x:v>
      </x:c>
      <x:c r="C1857" t="str">
        <x:v>Whey Protein</x:v>
      </x:c>
      <x:c r="D1857" t="str">
        <x:v>Supplements</x:v>
      </x:c>
      <x:c r="E1857" t="str">
        <x:v>Whey Protein</x:v>
      </x:c>
      <x:c r="F1857" t="str"/>
      <x:c r="G1857" t="str">
        <x:v>900g</x:v>
      </x:c>
      <x:c r="H1857" t="str">
        <x:v>Cookies &amp; Cream</x:v>
      </x:c>
      <x:c r="I1857" t="str"/>
      <x:c r="J1857" t="str">
        <x:v>Unit</x:v>
      </x:c>
      <x:c r="K1857" t="str">
        <x:v>In stock</x:v>
      </x:c>
      <x:c r="L1857" t="str">
        <x:v>2026-09-08</x:v>
      </x:c>
      <x:c r="M1857" t="str"/>
      <x:c r="N1857" t="str"/>
      <x:c r="O1857" t="str">
        <x:v>https://www.activesportstrade.co.uk/trained-by-jp-trade</x:v>
      </x:c>
      <x:c r="P1857" t="str"/>
      <x:c r="Q1857" t="str"/>
      <x:c r="R1857" t="str"/>
      <x:c r="S1857" t="str">
        <x:v>Pending genuine supplier/brand image</x:v>
      </x:c>
      <x:c r="T1857" s="54"/>
      <x:c r="U1857" s="47" t="n">
        <x:v>0.2</x:v>
      </x:c>
      <x:c r="V1857" s="54" t="str">
        <x:f>IF(ISNUMBER(T1857),T1857*(1+U1857),"")</x:f>
      </x:c>
      <x:c r="W1857" s="47" t="n">
        <x:v>0.3</x:v>
      </x:c>
      <x:c r="X1857" s="54" t="str">
        <x:f>IF(ISNUMBER(V1857),V1857/(1-W1857),"")</x:f>
      </x:c>
      <x:c r="Y1857" s="55" t="str">
        <x:f>IF(ISNUMBER(X1857),ROUNDUP(X1857,0),"")</x:f>
      </x:c>
      <x:c r="Z1857" t="str">
        <x:f>IF(ISNUMBER(T1857),"Cost captured","Awaiting trade cost")</x:f>
        <x:v>Awaiting trade cost</x:v>
      </x:c>
      <x:c r="AB1857" s="36" t="str">
        <x:f>IF(ISNUMBER(Y1857),ROUND(Y1857*0.9,2),"")</x:f>
      </x:c>
      <x:c r="AC1857" s="36" t="str">
        <x:f>IF(ISNUMBER(AB1857),ROUND(AB1857-(AB1857*0.015+0.2)-V1857,2),"")</x:f>
      </x:c>
      <x:c r="AD1857" s="36" t="str">
        <x:f>IF(ISNUMBER(Y1857),ROUND(Y1857*0.8,2),"")</x:f>
      </x:c>
      <x:c r="AE1857" s="36" t="str">
        <x:f>IF(ISNUMBER(AD1857),ROUND(AD1857*0.015+0.2,2),"")</x:f>
      </x:c>
      <x:c r="AF1857" s="36" t="str">
        <x:f>IF(ISNUMBER(AD1857),ROUND(AD1857-AE1857-V1857,2),"")</x:f>
      </x:c>
      <x:c r="AG1857" t="str">
        <x:f>IF(NOT(ISNUMBER(T1857)),"PENDING",IF(AF1857&gt;0,"PASS","FAIL"))</x:f>
        <x:v>PENDING</x:v>
      </x:c>
      <x:c r="AH1857" t="str">
        <x:f>IF(NOT(ISNUMBER(T1857)),"Needs supplier cost",IF(K1857&lt;&gt;"In stock","Supplier unavailable",IF(AG1857&lt;&gt;"PASS","BLOCK - GT loss risk","Commercially protected")))</x:f>
        <x:v>Needs supplier cost</x:v>
      </x:c>
      <x:c r="AI1857" t="str">
        <x:v>2026-09-10 Active Sports trade capture</x:v>
      </x:c>
      <x:c r="AJ1857" t="str">
        <x:v>Management-only economics. Stripe stress test uses 1.5% + £0.20 standard UK online-card fee; pallet/mix-and-match pricing ignored.</x:v>
      </x:c>
    </x:row>
    <x:row r="1858">
      <x:c r="A1858" t="str">
        <x:v>Active Sports Nutrition</x:v>
      </x:c>
      <x:c r="B1858" t="str">
        <x:v>Trained By JP</x:v>
      </x:c>
      <x:c r="C1858" t="str">
        <x:v>Whey Protein</x:v>
      </x:c>
      <x:c r="D1858" t="str">
        <x:v>Supplements</x:v>
      </x:c>
      <x:c r="E1858" t="str">
        <x:v>Whey Protein</x:v>
      </x:c>
      <x:c r="F1858" t="str"/>
      <x:c r="G1858" t="str">
        <x:v>900g</x:v>
      </x:c>
      <x:c r="H1858" t="str">
        <x:v>Salted Caramel</x:v>
      </x:c>
      <x:c r="I1858" t="str"/>
      <x:c r="J1858" t="str">
        <x:v>Unit</x:v>
      </x:c>
      <x:c r="K1858" t="str">
        <x:v>Out of stock</x:v>
      </x:c>
      <x:c r="L1858" t="str">
        <x:v>2026-09-08</x:v>
      </x:c>
      <x:c r="M1858" t="str"/>
      <x:c r="N1858" t="str"/>
      <x:c r="O1858" t="str">
        <x:v>https://www.activesportstrade.co.uk/trained-by-jp-trade</x:v>
      </x:c>
      <x:c r="P1858" t="str"/>
      <x:c r="Q1858" t="str"/>
      <x:c r="R1858" t="str"/>
      <x:c r="S1858" t="str">
        <x:v>Pending genuine supplier/brand image</x:v>
      </x:c>
      <x:c r="T1858" s="54"/>
      <x:c r="U1858" s="47" t="n">
        <x:v>0.2</x:v>
      </x:c>
      <x:c r="V1858" s="54" t="str">
        <x:f>IF(ISNUMBER(T1858),T1858*(1+U1858),"")</x:f>
      </x:c>
      <x:c r="W1858" s="47" t="n">
        <x:v>0.3</x:v>
      </x:c>
      <x:c r="X1858" s="54" t="str">
        <x:f>IF(ISNUMBER(V1858),V1858/(1-W1858),"")</x:f>
      </x:c>
      <x:c r="Y1858" s="55" t="str">
        <x:f>IF(ISNUMBER(X1858),ROUNDUP(X1858,0),"")</x:f>
      </x:c>
      <x:c r="Z1858" t="str">
        <x:f>IF(ISNUMBER(T1858),"Cost captured","Awaiting trade cost")</x:f>
        <x:v>Awaiting trade cost</x:v>
      </x:c>
      <x:c r="AB1858" s="36" t="str">
        <x:f>IF(ISNUMBER(Y1858),ROUND(Y1858*0.9,2),"")</x:f>
      </x:c>
      <x:c r="AC1858" s="36" t="str">
        <x:f>IF(ISNUMBER(AB1858),ROUND(AB1858-(AB1858*0.015+0.2)-V1858,2),"")</x:f>
      </x:c>
      <x:c r="AD1858" s="36" t="str">
        <x:f>IF(ISNUMBER(Y1858),ROUND(Y1858*0.8,2),"")</x:f>
      </x:c>
      <x:c r="AE1858" s="36" t="str">
        <x:f>IF(ISNUMBER(AD1858),ROUND(AD1858*0.015+0.2,2),"")</x:f>
      </x:c>
      <x:c r="AF1858" s="36" t="str">
        <x:f>IF(ISNUMBER(AD1858),ROUND(AD1858-AE1858-V1858,2),"")</x:f>
      </x:c>
      <x:c r="AG1858" t="str">
        <x:f>IF(NOT(ISNUMBER(T1858)),"PENDING",IF(AF1858&gt;0,"PASS","FAIL"))</x:f>
        <x:v>PENDING</x:v>
      </x:c>
      <x:c r="AH1858" t="str">
        <x:f>IF(NOT(ISNUMBER(T1858)),"Needs supplier cost",IF(K1858&lt;&gt;"In stock","Supplier unavailable",IF(AG1858&lt;&gt;"PASS","BLOCK - GT loss risk","Commercially protected")))</x:f>
        <x:v>Needs supplier cost</x:v>
      </x:c>
      <x:c r="AI1858" t="str">
        <x:v>2026-09-10 Active Sports trade capture</x:v>
      </x:c>
      <x:c r="AJ1858" t="str">
        <x:v>Management-only economics. Stripe stress test uses 1.5% + £0.20 standard UK online-card fee; pallet/mix-and-match pricing ignored.</x:v>
      </x:c>
    </x:row>
    <x:row r="1859">
      <x:c r="A1859" t="str">
        <x:v>Active Sports Nutrition</x:v>
      </x:c>
      <x:c r="B1859" t="str">
        <x:v>Trained By JP</x:v>
      </x:c>
      <x:c r="C1859" t="str">
        <x:v>Whey Protein</x:v>
      </x:c>
      <x:c r="D1859" t="str">
        <x:v>Supplements</x:v>
      </x:c>
      <x:c r="E1859" t="str">
        <x:v>Whey Protein</x:v>
      </x:c>
      <x:c r="F1859" t="str"/>
      <x:c r="G1859" t="str">
        <x:v>900g</x:v>
      </x:c>
      <x:c r="H1859" t="str">
        <x:v>Strawberry</x:v>
      </x:c>
      <x:c r="I1859" t="str"/>
      <x:c r="J1859" t="str">
        <x:v>Unit</x:v>
      </x:c>
      <x:c r="K1859" t="str">
        <x:v>In stock</x:v>
      </x:c>
      <x:c r="L1859" t="str">
        <x:v>2026-09-08</x:v>
      </x:c>
      <x:c r="M1859" t="str"/>
      <x:c r="N1859" t="str"/>
      <x:c r="O1859" t="str">
        <x:v>https://www.activesportstrade.co.uk/trained-by-jp-trade</x:v>
      </x:c>
      <x:c r="P1859" t="str"/>
      <x:c r="Q1859" t="str"/>
      <x:c r="R1859" t="str"/>
      <x:c r="S1859" t="str">
        <x:v>Pending genuine supplier/brand image</x:v>
      </x:c>
      <x:c r="T1859" s="54"/>
      <x:c r="U1859" s="47" t="n">
        <x:v>0.2</x:v>
      </x:c>
      <x:c r="V1859" s="54" t="str">
        <x:f>IF(ISNUMBER(T1859),T1859*(1+U1859),"")</x:f>
      </x:c>
      <x:c r="W1859" s="47" t="n">
        <x:v>0.3</x:v>
      </x:c>
      <x:c r="X1859" s="54" t="str">
        <x:f>IF(ISNUMBER(V1859),V1859/(1-W1859),"")</x:f>
      </x:c>
      <x:c r="Y1859" s="55" t="str">
        <x:f>IF(ISNUMBER(X1859),ROUNDUP(X1859,0),"")</x:f>
      </x:c>
      <x:c r="Z1859" t="str">
        <x:f>IF(ISNUMBER(T1859),"Cost captured","Awaiting trade cost")</x:f>
        <x:v>Awaiting trade cost</x:v>
      </x:c>
      <x:c r="AB1859" s="36" t="str">
        <x:f>IF(ISNUMBER(Y1859),ROUND(Y1859*0.9,2),"")</x:f>
      </x:c>
      <x:c r="AC1859" s="36" t="str">
        <x:f>IF(ISNUMBER(AB1859),ROUND(AB1859-(AB1859*0.015+0.2)-V1859,2),"")</x:f>
      </x:c>
      <x:c r="AD1859" s="36" t="str">
        <x:f>IF(ISNUMBER(Y1859),ROUND(Y1859*0.8,2),"")</x:f>
      </x:c>
      <x:c r="AE1859" s="36" t="str">
        <x:f>IF(ISNUMBER(AD1859),ROUND(AD1859*0.015+0.2,2),"")</x:f>
      </x:c>
      <x:c r="AF1859" s="36" t="str">
        <x:f>IF(ISNUMBER(AD1859),ROUND(AD1859-AE1859-V1859,2),"")</x:f>
      </x:c>
      <x:c r="AG1859" t="str">
        <x:f>IF(NOT(ISNUMBER(T1859)),"PENDING",IF(AF1859&gt;0,"PASS","FAIL"))</x:f>
        <x:v>PENDING</x:v>
      </x:c>
      <x:c r="AH1859" t="str">
        <x:f>IF(NOT(ISNUMBER(T1859)),"Needs supplier cost",IF(K1859&lt;&gt;"In stock","Supplier unavailable",IF(AG1859&lt;&gt;"PASS","BLOCK - GT loss risk","Commercially protected")))</x:f>
        <x:v>Needs supplier cost</x:v>
      </x:c>
      <x:c r="AI1859" t="str">
        <x:v>2026-09-10 Active Sports trade capture</x:v>
      </x:c>
      <x:c r="AJ1859" t="str">
        <x:v>Management-only economics. Stripe stress test uses 1.5% + £0.20 standard UK online-card fee; pallet/mix-and-match pricing ignored.</x:v>
      </x:c>
    </x:row>
    <x:row r="1860">
      <x:c r="A1860" t="str">
        <x:v>Active Sports Nutrition</x:v>
      </x:c>
      <x:c r="B1860" t="str">
        <x:v>Trained By JP</x:v>
      </x:c>
      <x:c r="C1860" t="str">
        <x:v>Whey Protein</x:v>
      </x:c>
      <x:c r="D1860" t="str">
        <x:v>Supplements</x:v>
      </x:c>
      <x:c r="E1860" t="str">
        <x:v>Whey Protein</x:v>
      </x:c>
      <x:c r="F1860" t="str"/>
      <x:c r="G1860" t="str">
        <x:v>900g</x:v>
      </x:c>
      <x:c r="H1860" t="str">
        <x:v>Vanilla</x:v>
      </x:c>
      <x:c r="I1860" t="str"/>
      <x:c r="J1860" t="str">
        <x:v>Unit</x:v>
      </x:c>
      <x:c r="K1860" t="str">
        <x:v>In stock</x:v>
      </x:c>
      <x:c r="L1860" t="str">
        <x:v>2026-09-08</x:v>
      </x:c>
      <x:c r="M1860" t="str"/>
      <x:c r="N1860" t="str"/>
      <x:c r="O1860" t="str">
        <x:v>https://www.activesportstrade.co.uk/trained-by-jp-trade</x:v>
      </x:c>
      <x:c r="P1860" t="str"/>
      <x:c r="Q1860" t="str"/>
      <x:c r="R1860" t="str"/>
      <x:c r="S1860" t="str">
        <x:v>Pending genuine supplier/brand image</x:v>
      </x:c>
      <x:c r="T1860" s="54"/>
      <x:c r="U1860" s="47" t="n">
        <x:v>0.2</x:v>
      </x:c>
      <x:c r="V1860" s="54" t="str">
        <x:f>IF(ISNUMBER(T1860),T1860*(1+U1860),"")</x:f>
      </x:c>
      <x:c r="W1860" s="47" t="n">
        <x:v>0.3</x:v>
      </x:c>
      <x:c r="X1860" s="54" t="str">
        <x:f>IF(ISNUMBER(V1860),V1860/(1-W1860),"")</x:f>
      </x:c>
      <x:c r="Y1860" s="55" t="str">
        <x:f>IF(ISNUMBER(X1860),ROUNDUP(X1860,0),"")</x:f>
      </x:c>
      <x:c r="Z1860" t="str">
        <x:f>IF(ISNUMBER(T1860),"Cost captured","Awaiting trade cost")</x:f>
        <x:v>Awaiting trade cost</x:v>
      </x:c>
      <x:c r="AB1860" s="36" t="str">
        <x:f>IF(ISNUMBER(Y1860),ROUND(Y1860*0.9,2),"")</x:f>
      </x:c>
      <x:c r="AC1860" s="36" t="str">
        <x:f>IF(ISNUMBER(AB1860),ROUND(AB1860-(AB1860*0.015+0.2)-V1860,2),"")</x:f>
      </x:c>
      <x:c r="AD1860" s="36" t="str">
        <x:f>IF(ISNUMBER(Y1860),ROUND(Y1860*0.8,2),"")</x:f>
      </x:c>
      <x:c r="AE1860" s="36" t="str">
        <x:f>IF(ISNUMBER(AD1860),ROUND(AD1860*0.015+0.2,2),"")</x:f>
      </x:c>
      <x:c r="AF1860" s="36" t="str">
        <x:f>IF(ISNUMBER(AD1860),ROUND(AD1860-AE1860-V1860,2),"")</x:f>
      </x:c>
      <x:c r="AG1860" t="str">
        <x:f>IF(NOT(ISNUMBER(T1860)),"PENDING",IF(AF1860&gt;0,"PASS","FAIL"))</x:f>
        <x:v>PENDING</x:v>
      </x:c>
      <x:c r="AH1860" t="str">
        <x:f>IF(NOT(ISNUMBER(T1860)),"Needs supplier cost",IF(K1860&lt;&gt;"In stock","Supplier unavailable",IF(AG1860&lt;&gt;"PASS","BLOCK - GT loss risk","Commercially protected")))</x:f>
        <x:v>Needs supplier cost</x:v>
      </x:c>
      <x:c r="AI1860" t="str">
        <x:v>2026-09-10 Active Sports trade capture</x:v>
      </x:c>
      <x:c r="AJ1860" t="str">
        <x:v>Management-only economics. Stripe stress test uses 1.5% + £0.20 standard UK online-card fee; pallet/mix-and-match pricing ignored.</x:v>
      </x:c>
    </x:row>
    <x:row r="1861">
      <x:c r="A1861" t="str">
        <x:v>Active Sports Nutrition</x:v>
      </x:c>
      <x:c r="B1861" t="str">
        <x:v>Per4m</x:v>
      </x:c>
      <x:c r="C1861" t="str">
        <x:v>Advanced Whey Protein</x:v>
      </x:c>
      <x:c r="D1861" t="str">
        <x:v>Supplements</x:v>
      </x:c>
      <x:c r="E1861" t="str">
        <x:v>Whey Protein</x:v>
      </x:c>
      <x:c r="F1861" t="str"/>
      <x:c r="G1861" t="str">
        <x:v>2.01kg</x:v>
      </x:c>
      <x:c r="H1861" t="str">
        <x:v>Banana</x:v>
      </x:c>
      <x:c r="I1861" t="str"/>
      <x:c r="J1861" t="str">
        <x:v>Unit</x:v>
      </x:c>
      <x:c r="K1861" t="str">
        <x:v>In stock</x:v>
      </x:c>
      <x:c r="L1861" t="str">
        <x:v>2026-09-08</x:v>
      </x:c>
      <x:c r="M1861" t="str"/>
      <x:c r="N1861" t="str"/>
      <x:c r="O1861" t="str">
        <x:v>https://www.activesportstrade.co.uk/per4m-trade</x:v>
      </x:c>
      <x:c r="P1861" t="str"/>
      <x:c r="Q1861" t="str"/>
      <x:c r="R1861" t="str"/>
      <x:c r="S1861" t="str">
        <x:v>Pending genuine supplier/brand image</x:v>
      </x:c>
      <x:c r="T1861" s="54"/>
      <x:c r="U1861" s="47" t="n">
        <x:v>0.2</x:v>
      </x:c>
      <x:c r="V1861" s="54" t="str">
        <x:f>IF(ISNUMBER(T1861),T1861*(1+U1861),"")</x:f>
      </x:c>
      <x:c r="W1861" s="47" t="n">
        <x:v>0.3</x:v>
      </x:c>
      <x:c r="X1861" s="54" t="str">
        <x:f>IF(ISNUMBER(V1861),V1861/(1-W1861),"")</x:f>
      </x:c>
      <x:c r="Y1861" s="55" t="str">
        <x:f>IF(ISNUMBER(X1861),ROUNDUP(X1861,0),"")</x:f>
      </x:c>
      <x:c r="Z1861" t="str">
        <x:f>IF(ISNUMBER(T1861),"Cost captured","Awaiting trade cost")</x:f>
        <x:v>Awaiting trade cost</x:v>
      </x:c>
      <x:c r="AB1861" s="36" t="str">
        <x:f>IF(ISNUMBER(Y1861),ROUND(Y1861*0.9,2),"")</x:f>
      </x:c>
      <x:c r="AC1861" s="36" t="str">
        <x:f>IF(ISNUMBER(AB1861),ROUND(AB1861-(AB1861*0.015+0.2)-V1861,2),"")</x:f>
      </x:c>
      <x:c r="AD1861" s="36" t="str">
        <x:f>IF(ISNUMBER(Y1861),ROUND(Y1861*0.8,2),"")</x:f>
      </x:c>
      <x:c r="AE1861" s="36" t="str">
        <x:f>IF(ISNUMBER(AD1861),ROUND(AD1861*0.015+0.2,2),"")</x:f>
      </x:c>
      <x:c r="AF1861" s="36" t="str">
        <x:f>IF(ISNUMBER(AD1861),ROUND(AD1861-AE1861-V1861,2),"")</x:f>
      </x:c>
      <x:c r="AG1861" t="str">
        <x:f>IF(NOT(ISNUMBER(T1861)),"PENDING",IF(AF1861&gt;0,"PASS","FAIL"))</x:f>
        <x:v>PENDING</x:v>
      </x:c>
      <x:c r="AH1861" t="str">
        <x:f>IF(NOT(ISNUMBER(T1861)),"Needs supplier cost",IF(K1861&lt;&gt;"In stock","Supplier unavailable",IF(AG1861&lt;&gt;"PASS","BLOCK - GT loss risk","Commercially protected")))</x:f>
        <x:v>Needs supplier cost</x:v>
      </x:c>
      <x:c r="AI1861" t="str">
        <x:v>2026-09-10 Active Sports trade capture</x:v>
      </x:c>
      <x:c r="AJ1861" t="str">
        <x:v>Management-only economics. Stripe stress test uses 1.5% + £0.20 standard UK online-card fee; pallet/mix-and-match pricing ignored.</x:v>
      </x:c>
    </x:row>
    <x:row r="1862">
      <x:c r="A1862" t="str">
        <x:v>Active Sports Nutrition</x:v>
      </x:c>
      <x:c r="B1862" t="str">
        <x:v>Per4m</x:v>
      </x:c>
      <x:c r="C1862" t="str">
        <x:v>Advanced Whey Protein</x:v>
      </x:c>
      <x:c r="D1862" t="str">
        <x:v>Supplements</x:v>
      </x:c>
      <x:c r="E1862" t="str">
        <x:v>Whey Protein</x:v>
      </x:c>
      <x:c r="F1862" t="str"/>
      <x:c r="G1862" t="str">
        <x:v>2.01kg</x:v>
      </x:c>
      <x:c r="H1862" t="str">
        <x:v>Caramel Biscuit</x:v>
      </x:c>
      <x:c r="I1862" t="str"/>
      <x:c r="J1862" t="str">
        <x:v>Unit</x:v>
      </x:c>
      <x:c r="K1862" t="str">
        <x:v>In stock</x:v>
      </x:c>
      <x:c r="L1862" t="str">
        <x:v>2026-09-08</x:v>
      </x:c>
      <x:c r="M1862" t="str"/>
      <x:c r="N1862" t="str"/>
      <x:c r="O1862" t="str">
        <x:v>https://www.activesportstrade.co.uk/per4m-trade</x:v>
      </x:c>
      <x:c r="P1862" t="str"/>
      <x:c r="Q1862" t="str"/>
      <x:c r="R1862" t="str"/>
      <x:c r="S1862" t="str">
        <x:v>Pending genuine supplier/brand image</x:v>
      </x:c>
      <x:c r="T1862" s="54"/>
      <x:c r="U1862" s="47" t="n">
        <x:v>0.2</x:v>
      </x:c>
      <x:c r="V1862" s="54" t="str">
        <x:f>IF(ISNUMBER(T1862),T1862*(1+U1862),"")</x:f>
      </x:c>
      <x:c r="W1862" s="47" t="n">
        <x:v>0.3</x:v>
      </x:c>
      <x:c r="X1862" s="54" t="str">
        <x:f>IF(ISNUMBER(V1862),V1862/(1-W1862),"")</x:f>
      </x:c>
      <x:c r="Y1862" s="55" t="str">
        <x:f>IF(ISNUMBER(X1862),ROUNDUP(X1862,0),"")</x:f>
      </x:c>
      <x:c r="Z1862" t="str">
        <x:f>IF(ISNUMBER(T1862),"Cost captured","Awaiting trade cost")</x:f>
        <x:v>Awaiting trade cost</x:v>
      </x:c>
      <x:c r="AB1862" s="36" t="str">
        <x:f>IF(ISNUMBER(Y1862),ROUND(Y1862*0.9,2),"")</x:f>
      </x:c>
      <x:c r="AC1862" s="36" t="str">
        <x:f>IF(ISNUMBER(AB1862),ROUND(AB1862-(AB1862*0.015+0.2)-V1862,2),"")</x:f>
      </x:c>
      <x:c r="AD1862" s="36" t="str">
        <x:f>IF(ISNUMBER(Y1862),ROUND(Y1862*0.8,2),"")</x:f>
      </x:c>
      <x:c r="AE1862" s="36" t="str">
        <x:f>IF(ISNUMBER(AD1862),ROUND(AD1862*0.015+0.2,2),"")</x:f>
      </x:c>
      <x:c r="AF1862" s="36" t="str">
        <x:f>IF(ISNUMBER(AD1862),ROUND(AD1862-AE1862-V1862,2),"")</x:f>
      </x:c>
      <x:c r="AG1862" t="str">
        <x:f>IF(NOT(ISNUMBER(T1862)),"PENDING",IF(AF1862&gt;0,"PASS","FAIL"))</x:f>
        <x:v>PENDING</x:v>
      </x:c>
      <x:c r="AH1862" t="str">
        <x:f>IF(NOT(ISNUMBER(T1862)),"Needs supplier cost",IF(K1862&lt;&gt;"In stock","Supplier unavailable",IF(AG1862&lt;&gt;"PASS","BLOCK - GT loss risk","Commercially protected")))</x:f>
        <x:v>Needs supplier cost</x:v>
      </x:c>
      <x:c r="AI1862" t="str">
        <x:v>2026-09-10 Active Sports trade capture</x:v>
      </x:c>
      <x:c r="AJ1862" t="str">
        <x:v>Management-only economics. Stripe stress test uses 1.5% + £0.20 standard UK online-card fee; pallet/mix-and-match pricing ignored.</x:v>
      </x:c>
    </x:row>
    <x:row r="1863">
      <x:c r="A1863" t="str">
        <x:v>Active Sports Nutrition</x:v>
      </x:c>
      <x:c r="B1863" t="str">
        <x:v>Per4m</x:v>
      </x:c>
      <x:c r="C1863" t="str">
        <x:v>Advanced Whey Protein</x:v>
      </x:c>
      <x:c r="D1863" t="str">
        <x:v>Supplements</x:v>
      </x:c>
      <x:c r="E1863" t="str">
        <x:v>Whey Protein</x:v>
      </x:c>
      <x:c r="F1863" t="str"/>
      <x:c r="G1863" t="str">
        <x:v>2.01kg</x:v>
      </x:c>
      <x:c r="H1863" t="str">
        <x:v>Chocolate Brownie</x:v>
      </x:c>
      <x:c r="I1863" t="str"/>
      <x:c r="J1863" t="str">
        <x:v>Unit</x:v>
      </x:c>
      <x:c r="K1863" t="str">
        <x:v>In stock</x:v>
      </x:c>
      <x:c r="L1863" t="str">
        <x:v>2026-09-08</x:v>
      </x:c>
      <x:c r="M1863" t="str"/>
      <x:c r="N1863" t="str"/>
      <x:c r="O1863" t="str">
        <x:v>https://www.activesportstrade.co.uk/per4m-trade</x:v>
      </x:c>
      <x:c r="P1863" t="str"/>
      <x:c r="Q1863" t="str"/>
      <x:c r="R1863" t="str"/>
      <x:c r="S1863" t="str">
        <x:v>Pending genuine supplier/brand image</x:v>
      </x:c>
      <x:c r="T1863" s="54"/>
      <x:c r="U1863" s="47" t="n">
        <x:v>0.2</x:v>
      </x:c>
      <x:c r="V1863" s="54" t="str">
        <x:f>IF(ISNUMBER(T1863),T1863*(1+U1863),"")</x:f>
      </x:c>
      <x:c r="W1863" s="47" t="n">
        <x:v>0.3</x:v>
      </x:c>
      <x:c r="X1863" s="54" t="str">
        <x:f>IF(ISNUMBER(V1863),V1863/(1-W1863),"")</x:f>
      </x:c>
      <x:c r="Y1863" s="55" t="str">
        <x:f>IF(ISNUMBER(X1863),ROUNDUP(X1863,0),"")</x:f>
      </x:c>
      <x:c r="Z1863" t="str">
        <x:f>IF(ISNUMBER(T1863),"Cost captured","Awaiting trade cost")</x:f>
        <x:v>Awaiting trade cost</x:v>
      </x:c>
      <x:c r="AB1863" s="36" t="str">
        <x:f>IF(ISNUMBER(Y1863),ROUND(Y1863*0.9,2),"")</x:f>
      </x:c>
      <x:c r="AC1863" s="36" t="str">
        <x:f>IF(ISNUMBER(AB1863),ROUND(AB1863-(AB1863*0.015+0.2)-V1863,2),"")</x:f>
      </x:c>
      <x:c r="AD1863" s="36" t="str">
        <x:f>IF(ISNUMBER(Y1863),ROUND(Y1863*0.8,2),"")</x:f>
      </x:c>
      <x:c r="AE1863" s="36" t="str">
        <x:f>IF(ISNUMBER(AD1863),ROUND(AD1863*0.015+0.2,2),"")</x:f>
      </x:c>
      <x:c r="AF1863" s="36" t="str">
        <x:f>IF(ISNUMBER(AD1863),ROUND(AD1863-AE1863-V1863,2),"")</x:f>
      </x:c>
      <x:c r="AG1863" t="str">
        <x:f>IF(NOT(ISNUMBER(T1863)),"PENDING",IF(AF1863&gt;0,"PASS","FAIL"))</x:f>
        <x:v>PENDING</x:v>
      </x:c>
      <x:c r="AH1863" t="str">
        <x:f>IF(NOT(ISNUMBER(T1863)),"Needs supplier cost",IF(K1863&lt;&gt;"In stock","Supplier unavailable",IF(AG1863&lt;&gt;"PASS","BLOCK - GT loss risk","Commercially protected")))</x:f>
        <x:v>Needs supplier cost</x:v>
      </x:c>
      <x:c r="AI1863" t="str">
        <x:v>2026-09-10 Active Sports trade capture</x:v>
      </x:c>
      <x:c r="AJ1863" t="str">
        <x:v>Management-only economics. Stripe stress test uses 1.5% + £0.20 standard UK online-card fee; pallet/mix-and-match pricing ignored.</x:v>
      </x:c>
    </x:row>
    <x:row r="1864">
      <x:c r="A1864" t="str">
        <x:v>Active Sports Nutrition</x:v>
      </x:c>
      <x:c r="B1864" t="str">
        <x:v>Per4m</x:v>
      </x:c>
      <x:c r="C1864" t="str">
        <x:v>Advanced Whey Protein</x:v>
      </x:c>
      <x:c r="D1864" t="str">
        <x:v>Supplements</x:v>
      </x:c>
      <x:c r="E1864" t="str">
        <x:v>Whey Protein</x:v>
      </x:c>
      <x:c r="F1864" t="str"/>
      <x:c r="G1864" t="str">
        <x:v>2.01kg</x:v>
      </x:c>
      <x:c r="H1864" t="str">
        <x:v>Chocolate Hazelnut</x:v>
      </x:c>
      <x:c r="I1864" t="str"/>
      <x:c r="J1864" t="str">
        <x:v>Unit</x:v>
      </x:c>
      <x:c r="K1864" t="str">
        <x:v>In stock</x:v>
      </x:c>
      <x:c r="L1864" t="str">
        <x:v>2026-09-08</x:v>
      </x:c>
      <x:c r="M1864" t="str"/>
      <x:c r="N1864" t="str"/>
      <x:c r="O1864" t="str">
        <x:v>https://www.activesportstrade.co.uk/per4m-trade</x:v>
      </x:c>
      <x:c r="P1864" t="str"/>
      <x:c r="Q1864" t="str"/>
      <x:c r="R1864" t="str"/>
      <x:c r="S1864" t="str">
        <x:v>Pending genuine supplier/brand image</x:v>
      </x:c>
      <x:c r="T1864" s="54"/>
      <x:c r="U1864" s="47" t="n">
        <x:v>0.2</x:v>
      </x:c>
      <x:c r="V1864" s="54" t="str">
        <x:f>IF(ISNUMBER(T1864),T1864*(1+U1864),"")</x:f>
      </x:c>
      <x:c r="W1864" s="47" t="n">
        <x:v>0.3</x:v>
      </x:c>
      <x:c r="X1864" s="54" t="str">
        <x:f>IF(ISNUMBER(V1864),V1864/(1-W1864),"")</x:f>
      </x:c>
      <x:c r="Y1864" s="55" t="str">
        <x:f>IF(ISNUMBER(X1864),ROUNDUP(X1864,0),"")</x:f>
      </x:c>
      <x:c r="Z1864" t="str">
        <x:f>IF(ISNUMBER(T1864),"Cost captured","Awaiting trade cost")</x:f>
        <x:v>Awaiting trade cost</x:v>
      </x:c>
      <x:c r="AB1864" s="36" t="str">
        <x:f>IF(ISNUMBER(Y1864),ROUND(Y1864*0.9,2),"")</x:f>
      </x:c>
      <x:c r="AC1864" s="36" t="str">
        <x:f>IF(ISNUMBER(AB1864),ROUND(AB1864-(AB1864*0.015+0.2)-V1864,2),"")</x:f>
      </x:c>
      <x:c r="AD1864" s="36" t="str">
        <x:f>IF(ISNUMBER(Y1864),ROUND(Y1864*0.8,2),"")</x:f>
      </x:c>
      <x:c r="AE1864" s="36" t="str">
        <x:f>IF(ISNUMBER(AD1864),ROUND(AD1864*0.015+0.2,2),"")</x:f>
      </x:c>
      <x:c r="AF1864" s="36" t="str">
        <x:f>IF(ISNUMBER(AD1864),ROUND(AD1864-AE1864-V1864,2),"")</x:f>
      </x:c>
      <x:c r="AG1864" t="str">
        <x:f>IF(NOT(ISNUMBER(T1864)),"PENDING",IF(AF1864&gt;0,"PASS","FAIL"))</x:f>
        <x:v>PENDING</x:v>
      </x:c>
      <x:c r="AH1864" t="str">
        <x:f>IF(NOT(ISNUMBER(T1864)),"Needs supplier cost",IF(K1864&lt;&gt;"In stock","Supplier unavailable",IF(AG1864&lt;&gt;"PASS","BLOCK - GT loss risk","Commercially protected")))</x:f>
        <x:v>Needs supplier cost</x:v>
      </x:c>
      <x:c r="AI1864" t="str">
        <x:v>2026-09-10 Active Sports trade capture</x:v>
      </x:c>
      <x:c r="AJ1864" t="str">
        <x:v>Management-only economics. Stripe stress test uses 1.5% + £0.20 standard UK online-card fee; pallet/mix-and-match pricing ignored.</x:v>
      </x:c>
    </x:row>
    <x:row r="1865">
      <x:c r="A1865" t="str">
        <x:v>Active Sports Nutrition</x:v>
      </x:c>
      <x:c r="B1865" t="str">
        <x:v>Per4m</x:v>
      </x:c>
      <x:c r="C1865" t="str">
        <x:v>Advanced Whey Protein</x:v>
      </x:c>
      <x:c r="D1865" t="str">
        <x:v>Supplements</x:v>
      </x:c>
      <x:c r="E1865" t="str">
        <x:v>Whey Protein</x:v>
      </x:c>
      <x:c r="F1865" t="str"/>
      <x:c r="G1865" t="str">
        <x:v>2.01kg</x:v>
      </x:c>
      <x:c r="H1865" t="str">
        <x:v>Chocolate Orange</x:v>
      </x:c>
      <x:c r="I1865" t="str"/>
      <x:c r="J1865" t="str">
        <x:v>Unit</x:v>
      </x:c>
      <x:c r="K1865" t="str">
        <x:v>In stock</x:v>
      </x:c>
      <x:c r="L1865" t="str">
        <x:v>2026-09-08</x:v>
      </x:c>
      <x:c r="M1865" t="str"/>
      <x:c r="N1865" t="str"/>
      <x:c r="O1865" t="str">
        <x:v>https://www.activesportstrade.co.uk/per4m-trade</x:v>
      </x:c>
      <x:c r="P1865" t="str"/>
      <x:c r="Q1865" t="str"/>
      <x:c r="R1865" t="str"/>
      <x:c r="S1865" t="str">
        <x:v>Pending genuine supplier/brand image</x:v>
      </x:c>
      <x:c r="T1865" s="54"/>
      <x:c r="U1865" s="47" t="n">
        <x:v>0.2</x:v>
      </x:c>
      <x:c r="V1865" s="54" t="str">
        <x:f>IF(ISNUMBER(T1865),T1865*(1+U1865),"")</x:f>
      </x:c>
      <x:c r="W1865" s="47" t="n">
        <x:v>0.3</x:v>
      </x:c>
      <x:c r="X1865" s="54" t="str">
        <x:f>IF(ISNUMBER(V1865),V1865/(1-W1865),"")</x:f>
      </x:c>
      <x:c r="Y1865" s="55" t="str">
        <x:f>IF(ISNUMBER(X1865),ROUNDUP(X1865,0),"")</x:f>
      </x:c>
      <x:c r="Z1865" t="str">
        <x:f>IF(ISNUMBER(T1865),"Cost captured","Awaiting trade cost")</x:f>
        <x:v>Awaiting trade cost</x:v>
      </x:c>
      <x:c r="AB1865" s="36" t="str">
        <x:f>IF(ISNUMBER(Y1865),ROUND(Y1865*0.9,2),"")</x:f>
      </x:c>
      <x:c r="AC1865" s="36" t="str">
        <x:f>IF(ISNUMBER(AB1865),ROUND(AB1865-(AB1865*0.015+0.2)-V1865,2),"")</x:f>
      </x:c>
      <x:c r="AD1865" s="36" t="str">
        <x:f>IF(ISNUMBER(Y1865),ROUND(Y1865*0.8,2),"")</x:f>
      </x:c>
      <x:c r="AE1865" s="36" t="str">
        <x:f>IF(ISNUMBER(AD1865),ROUND(AD1865*0.015+0.2,2),"")</x:f>
      </x:c>
      <x:c r="AF1865" s="36" t="str">
        <x:f>IF(ISNUMBER(AD1865),ROUND(AD1865-AE1865-V1865,2),"")</x:f>
      </x:c>
      <x:c r="AG1865" t="str">
        <x:f>IF(NOT(ISNUMBER(T1865)),"PENDING",IF(AF1865&gt;0,"PASS","FAIL"))</x:f>
        <x:v>PENDING</x:v>
      </x:c>
      <x:c r="AH1865" t="str">
        <x:f>IF(NOT(ISNUMBER(T1865)),"Needs supplier cost",IF(K1865&lt;&gt;"In stock","Supplier unavailable",IF(AG1865&lt;&gt;"PASS","BLOCK - GT loss risk","Commercially protected")))</x:f>
        <x:v>Needs supplier cost</x:v>
      </x:c>
      <x:c r="AI1865" t="str">
        <x:v>2026-09-10 Active Sports trade capture</x:v>
      </x:c>
      <x:c r="AJ1865" t="str">
        <x:v>Management-only economics. Stripe stress test uses 1.5% + £0.20 standard UK online-card fee; pallet/mix-and-match pricing ignored.</x:v>
      </x:c>
    </x:row>
    <x:row r="1866">
      <x:c r="A1866" t="str">
        <x:v>Active Sports Nutrition</x:v>
      </x:c>
      <x:c r="B1866" t="str">
        <x:v>Per4m</x:v>
      </x:c>
      <x:c r="C1866" t="str">
        <x:v>Advanced Whey Protein</x:v>
      </x:c>
      <x:c r="D1866" t="str">
        <x:v>Supplements</x:v>
      </x:c>
      <x:c r="E1866" t="str">
        <x:v>Whey Protein</x:v>
      </x:c>
      <x:c r="F1866" t="str"/>
      <x:c r="G1866" t="str">
        <x:v>2.01kg</x:v>
      </x:c>
      <x:c r="H1866" t="str">
        <x:v>Cookies &amp; Cream</x:v>
      </x:c>
      <x:c r="I1866" t="str"/>
      <x:c r="J1866" t="str">
        <x:v>Unit</x:v>
      </x:c>
      <x:c r="K1866" t="str">
        <x:v>In stock</x:v>
      </x:c>
      <x:c r="L1866" t="str">
        <x:v>2026-09-08</x:v>
      </x:c>
      <x:c r="M1866" t="str"/>
      <x:c r="N1866" t="str"/>
      <x:c r="O1866" t="str">
        <x:v>https://www.activesportstrade.co.uk/per4m-trade</x:v>
      </x:c>
      <x:c r="P1866" t="str"/>
      <x:c r="Q1866" t="str"/>
      <x:c r="R1866" t="str"/>
      <x:c r="S1866" t="str">
        <x:v>Pending genuine supplier/brand image</x:v>
      </x:c>
      <x:c r="T1866" s="54"/>
      <x:c r="U1866" s="47" t="n">
        <x:v>0.2</x:v>
      </x:c>
      <x:c r="V1866" s="54" t="str">
        <x:f>IF(ISNUMBER(T1866),T1866*(1+U1866),"")</x:f>
      </x:c>
      <x:c r="W1866" s="47" t="n">
        <x:v>0.3</x:v>
      </x:c>
      <x:c r="X1866" s="54" t="str">
        <x:f>IF(ISNUMBER(V1866),V1866/(1-W1866),"")</x:f>
      </x:c>
      <x:c r="Y1866" s="55" t="str">
        <x:f>IF(ISNUMBER(X1866),ROUNDUP(X1866,0),"")</x:f>
      </x:c>
      <x:c r="Z1866" t="str">
        <x:f>IF(ISNUMBER(T1866),"Cost captured","Awaiting trade cost")</x:f>
        <x:v>Awaiting trade cost</x:v>
      </x:c>
      <x:c r="AB1866" s="36" t="str">
        <x:f>IF(ISNUMBER(Y1866),ROUND(Y1866*0.9,2),"")</x:f>
      </x:c>
      <x:c r="AC1866" s="36" t="str">
        <x:f>IF(ISNUMBER(AB1866),ROUND(AB1866-(AB1866*0.015+0.2)-V1866,2),"")</x:f>
      </x:c>
      <x:c r="AD1866" s="36" t="str">
        <x:f>IF(ISNUMBER(Y1866),ROUND(Y1866*0.8,2),"")</x:f>
      </x:c>
      <x:c r="AE1866" s="36" t="str">
        <x:f>IF(ISNUMBER(AD1866),ROUND(AD1866*0.015+0.2,2),"")</x:f>
      </x:c>
      <x:c r="AF1866" s="36" t="str">
        <x:f>IF(ISNUMBER(AD1866),ROUND(AD1866-AE1866-V1866,2),"")</x:f>
      </x:c>
      <x:c r="AG1866" t="str">
        <x:f>IF(NOT(ISNUMBER(T1866)),"PENDING",IF(AF1866&gt;0,"PASS","FAIL"))</x:f>
        <x:v>PENDING</x:v>
      </x:c>
      <x:c r="AH1866" t="str">
        <x:f>IF(NOT(ISNUMBER(T1866)),"Needs supplier cost",IF(K1866&lt;&gt;"In stock","Supplier unavailable",IF(AG1866&lt;&gt;"PASS","BLOCK - GT loss risk","Commercially protected")))</x:f>
        <x:v>Needs supplier cost</x:v>
      </x:c>
      <x:c r="AI1866" t="str">
        <x:v>2026-09-10 Active Sports trade capture</x:v>
      </x:c>
      <x:c r="AJ1866" t="str">
        <x:v>Management-only economics. Stripe stress test uses 1.5% + £0.20 standard UK online-card fee; pallet/mix-and-match pricing ignored.</x:v>
      </x:c>
    </x:row>
    <x:row r="1867">
      <x:c r="A1867" t="str">
        <x:v>Active Sports Nutrition</x:v>
      </x:c>
      <x:c r="B1867" t="str">
        <x:v>Per4m</x:v>
      </x:c>
      <x:c r="C1867" t="str">
        <x:v>Advanced Whey Protein</x:v>
      </x:c>
      <x:c r="D1867" t="str">
        <x:v>Supplements</x:v>
      </x:c>
      <x:c r="E1867" t="str">
        <x:v>Whey Protein</x:v>
      </x:c>
      <x:c r="F1867" t="str"/>
      <x:c r="G1867" t="str">
        <x:v>2.01kg</x:v>
      </x:c>
      <x:c r="H1867" t="str">
        <x:v>Cinnamon Donut</x:v>
      </x:c>
      <x:c r="I1867" t="str"/>
      <x:c r="J1867" t="str">
        <x:v>Unit</x:v>
      </x:c>
      <x:c r="K1867" t="str">
        <x:v>In stock</x:v>
      </x:c>
      <x:c r="L1867" t="str">
        <x:v>2026-09-08</x:v>
      </x:c>
      <x:c r="M1867" t="str"/>
      <x:c r="N1867" t="str"/>
      <x:c r="O1867" t="str">
        <x:v>https://www.activesportstrade.co.uk/per4m-trade</x:v>
      </x:c>
      <x:c r="P1867" t="str"/>
      <x:c r="Q1867" t="str"/>
      <x:c r="R1867" t="str"/>
      <x:c r="S1867" t="str">
        <x:v>Pending genuine supplier/brand image</x:v>
      </x:c>
      <x:c r="T1867" s="54"/>
      <x:c r="U1867" s="47" t="n">
        <x:v>0.2</x:v>
      </x:c>
      <x:c r="V1867" s="54" t="str">
        <x:f>IF(ISNUMBER(T1867),T1867*(1+U1867),"")</x:f>
      </x:c>
      <x:c r="W1867" s="47" t="n">
        <x:v>0.3</x:v>
      </x:c>
      <x:c r="X1867" s="54" t="str">
        <x:f>IF(ISNUMBER(V1867),V1867/(1-W1867),"")</x:f>
      </x:c>
      <x:c r="Y1867" s="55" t="str">
        <x:f>IF(ISNUMBER(X1867),ROUNDUP(X1867,0),"")</x:f>
      </x:c>
      <x:c r="Z1867" t="str">
        <x:f>IF(ISNUMBER(T1867),"Cost captured","Awaiting trade cost")</x:f>
        <x:v>Awaiting trade cost</x:v>
      </x:c>
      <x:c r="AB1867" s="36" t="str">
        <x:f>IF(ISNUMBER(Y1867),ROUND(Y1867*0.9,2),"")</x:f>
      </x:c>
      <x:c r="AC1867" s="36" t="str">
        <x:f>IF(ISNUMBER(AB1867),ROUND(AB1867-(AB1867*0.015+0.2)-V1867,2),"")</x:f>
      </x:c>
      <x:c r="AD1867" s="36" t="str">
        <x:f>IF(ISNUMBER(Y1867),ROUND(Y1867*0.8,2),"")</x:f>
      </x:c>
      <x:c r="AE1867" s="36" t="str">
        <x:f>IF(ISNUMBER(AD1867),ROUND(AD1867*0.015+0.2,2),"")</x:f>
      </x:c>
      <x:c r="AF1867" s="36" t="str">
        <x:f>IF(ISNUMBER(AD1867),ROUND(AD1867-AE1867-V1867,2),"")</x:f>
      </x:c>
      <x:c r="AG1867" t="str">
        <x:f>IF(NOT(ISNUMBER(T1867)),"PENDING",IF(AF1867&gt;0,"PASS","FAIL"))</x:f>
        <x:v>PENDING</x:v>
      </x:c>
      <x:c r="AH1867" t="str">
        <x:f>IF(NOT(ISNUMBER(T1867)),"Needs supplier cost",IF(K1867&lt;&gt;"In stock","Supplier unavailable",IF(AG1867&lt;&gt;"PASS","BLOCK - GT loss risk","Commercially protected")))</x:f>
        <x:v>Needs supplier cost</x:v>
      </x:c>
      <x:c r="AI1867" t="str">
        <x:v>2026-09-10 Active Sports trade capture</x:v>
      </x:c>
      <x:c r="AJ1867" t="str">
        <x:v>Management-only economics. Stripe stress test uses 1.5% + £0.20 standard UK online-card fee; pallet/mix-and-match pricing ignored.</x:v>
      </x:c>
    </x:row>
    <x:row r="1868">
      <x:c r="A1868" t="str">
        <x:v>Active Sports Nutrition</x:v>
      </x:c>
      <x:c r="B1868" t="str">
        <x:v>Per4m</x:v>
      </x:c>
      <x:c r="C1868" t="str">
        <x:v>Advanced Whey Protein</x:v>
      </x:c>
      <x:c r="D1868" t="str">
        <x:v>Supplements</x:v>
      </x:c>
      <x:c r="E1868" t="str">
        <x:v>Whey Protein</x:v>
      </x:c>
      <x:c r="F1868" t="str"/>
      <x:c r="G1868" t="str">
        <x:v>2.01kg</x:v>
      </x:c>
      <x:c r="H1868" t="str">
        <x:v>Double Chocolate</x:v>
      </x:c>
      <x:c r="I1868" t="str"/>
      <x:c r="J1868" t="str">
        <x:v>Unit</x:v>
      </x:c>
      <x:c r="K1868" t="str">
        <x:v>In stock</x:v>
      </x:c>
      <x:c r="L1868" t="str">
        <x:v>2026-09-08</x:v>
      </x:c>
      <x:c r="M1868" t="str"/>
      <x:c r="N1868" t="str"/>
      <x:c r="O1868" t="str">
        <x:v>https://www.activesportstrade.co.uk/per4m-trade</x:v>
      </x:c>
      <x:c r="P1868" t="str"/>
      <x:c r="Q1868" t="str"/>
      <x:c r="R1868" t="str"/>
      <x:c r="S1868" t="str">
        <x:v>Pending genuine supplier/brand image</x:v>
      </x:c>
      <x:c r="T1868" s="54"/>
      <x:c r="U1868" s="47" t="n">
        <x:v>0.2</x:v>
      </x:c>
      <x:c r="V1868" s="54" t="str">
        <x:f>IF(ISNUMBER(T1868),T1868*(1+U1868),"")</x:f>
      </x:c>
      <x:c r="W1868" s="47" t="n">
        <x:v>0.3</x:v>
      </x:c>
      <x:c r="X1868" s="54" t="str">
        <x:f>IF(ISNUMBER(V1868),V1868/(1-W1868),"")</x:f>
      </x:c>
      <x:c r="Y1868" s="55" t="str">
        <x:f>IF(ISNUMBER(X1868),ROUNDUP(X1868,0),"")</x:f>
      </x:c>
      <x:c r="Z1868" t="str">
        <x:f>IF(ISNUMBER(T1868),"Cost captured","Awaiting trade cost")</x:f>
        <x:v>Awaiting trade cost</x:v>
      </x:c>
      <x:c r="AB1868" s="36" t="str">
        <x:f>IF(ISNUMBER(Y1868),ROUND(Y1868*0.9,2),"")</x:f>
      </x:c>
      <x:c r="AC1868" s="36" t="str">
        <x:f>IF(ISNUMBER(AB1868),ROUND(AB1868-(AB1868*0.015+0.2)-V1868,2),"")</x:f>
      </x:c>
      <x:c r="AD1868" s="36" t="str">
        <x:f>IF(ISNUMBER(Y1868),ROUND(Y1868*0.8,2),"")</x:f>
      </x:c>
      <x:c r="AE1868" s="36" t="str">
        <x:f>IF(ISNUMBER(AD1868),ROUND(AD1868*0.015+0.2,2),"")</x:f>
      </x:c>
      <x:c r="AF1868" s="36" t="str">
        <x:f>IF(ISNUMBER(AD1868),ROUND(AD1868-AE1868-V1868,2),"")</x:f>
      </x:c>
      <x:c r="AG1868" t="str">
        <x:f>IF(NOT(ISNUMBER(T1868)),"PENDING",IF(AF1868&gt;0,"PASS","FAIL"))</x:f>
        <x:v>PENDING</x:v>
      </x:c>
      <x:c r="AH1868" t="str">
        <x:f>IF(NOT(ISNUMBER(T1868)),"Needs supplier cost",IF(K1868&lt;&gt;"In stock","Supplier unavailable",IF(AG1868&lt;&gt;"PASS","BLOCK - GT loss risk","Commercially protected")))</x:f>
        <x:v>Needs supplier cost</x:v>
      </x:c>
      <x:c r="AI1868" t="str">
        <x:v>2026-09-10 Active Sports trade capture</x:v>
      </x:c>
      <x:c r="AJ1868" t="str">
        <x:v>Management-only economics. Stripe stress test uses 1.5% + £0.20 standard UK online-card fee; pallet/mix-and-match pricing ignored.</x:v>
      </x:c>
    </x:row>
    <x:row r="1869">
      <x:c r="A1869" t="str">
        <x:v>Active Sports Nutrition</x:v>
      </x:c>
      <x:c r="B1869" t="str">
        <x:v>Per4m</x:v>
      </x:c>
      <x:c r="C1869" t="str">
        <x:v>Advanced Whey Protein</x:v>
      </x:c>
      <x:c r="D1869" t="str">
        <x:v>Supplements</x:v>
      </x:c>
      <x:c r="E1869" t="str">
        <x:v>Whey Protein</x:v>
      </x:c>
      <x:c r="F1869" t="str"/>
      <x:c r="G1869" t="str">
        <x:v>2.01kg</x:v>
      </x:c>
      <x:c r="H1869" t="str">
        <x:v>Salted Caramel</x:v>
      </x:c>
      <x:c r="I1869" t="str"/>
      <x:c r="J1869" t="str">
        <x:v>Unit</x:v>
      </x:c>
      <x:c r="K1869" t="str">
        <x:v>In stock</x:v>
      </x:c>
      <x:c r="L1869" t="str">
        <x:v>2026-09-08</x:v>
      </x:c>
      <x:c r="M1869" t="str"/>
      <x:c r="N1869" t="str"/>
      <x:c r="O1869" t="str">
        <x:v>https://www.activesportstrade.co.uk/per4m-trade</x:v>
      </x:c>
      <x:c r="P1869" t="str"/>
      <x:c r="Q1869" t="str"/>
      <x:c r="R1869" t="str"/>
      <x:c r="S1869" t="str">
        <x:v>Pending genuine supplier/brand image</x:v>
      </x:c>
      <x:c r="T1869" s="54"/>
      <x:c r="U1869" s="47" t="n">
        <x:v>0.2</x:v>
      </x:c>
      <x:c r="V1869" s="54" t="str">
        <x:f>IF(ISNUMBER(T1869),T1869*(1+U1869),"")</x:f>
      </x:c>
      <x:c r="W1869" s="47" t="n">
        <x:v>0.3</x:v>
      </x:c>
      <x:c r="X1869" s="54" t="str">
        <x:f>IF(ISNUMBER(V1869),V1869/(1-W1869),"")</x:f>
      </x:c>
      <x:c r="Y1869" s="55" t="str">
        <x:f>IF(ISNUMBER(X1869),ROUNDUP(X1869,0),"")</x:f>
      </x:c>
      <x:c r="Z1869" t="str">
        <x:f>IF(ISNUMBER(T1869),"Cost captured","Awaiting trade cost")</x:f>
        <x:v>Awaiting trade cost</x:v>
      </x:c>
      <x:c r="AB1869" s="36" t="str">
        <x:f>IF(ISNUMBER(Y1869),ROUND(Y1869*0.9,2),"")</x:f>
      </x:c>
      <x:c r="AC1869" s="36" t="str">
        <x:f>IF(ISNUMBER(AB1869),ROUND(AB1869-(AB1869*0.015+0.2)-V1869,2),"")</x:f>
      </x:c>
      <x:c r="AD1869" s="36" t="str">
        <x:f>IF(ISNUMBER(Y1869),ROUND(Y1869*0.8,2),"")</x:f>
      </x:c>
      <x:c r="AE1869" s="36" t="str">
        <x:f>IF(ISNUMBER(AD1869),ROUND(AD1869*0.015+0.2,2),"")</x:f>
      </x:c>
      <x:c r="AF1869" s="36" t="str">
        <x:f>IF(ISNUMBER(AD1869),ROUND(AD1869-AE1869-V1869,2),"")</x:f>
      </x:c>
      <x:c r="AG1869" t="str">
        <x:f>IF(NOT(ISNUMBER(T1869)),"PENDING",IF(AF1869&gt;0,"PASS","FAIL"))</x:f>
        <x:v>PENDING</x:v>
      </x:c>
      <x:c r="AH1869" t="str">
        <x:f>IF(NOT(ISNUMBER(T1869)),"Needs supplier cost",IF(K1869&lt;&gt;"In stock","Supplier unavailable",IF(AG1869&lt;&gt;"PASS","BLOCK - GT loss risk","Commercially protected")))</x:f>
        <x:v>Needs supplier cost</x:v>
      </x:c>
      <x:c r="AI1869" t="str">
        <x:v>2026-09-10 Active Sports trade capture</x:v>
      </x:c>
      <x:c r="AJ1869" t="str">
        <x:v>Management-only economics. Stripe stress test uses 1.5% + £0.20 standard UK online-card fee; pallet/mix-and-match pricing ignored.</x:v>
      </x:c>
    </x:row>
    <x:row r="1870">
      <x:c r="A1870" t="str">
        <x:v>Active Sports Nutrition</x:v>
      </x:c>
      <x:c r="B1870" t="str">
        <x:v>Per4m</x:v>
      </x:c>
      <x:c r="C1870" t="str">
        <x:v>Advanced Whey Protein</x:v>
      </x:c>
      <x:c r="D1870" t="str">
        <x:v>Supplements</x:v>
      </x:c>
      <x:c r="E1870" t="str">
        <x:v>Whey Protein</x:v>
      </x:c>
      <x:c r="F1870" t="str"/>
      <x:c r="G1870" t="str">
        <x:v>2.01kg</x:v>
      </x:c>
      <x:c r="H1870" t="str">
        <x:v>Strawberry Creme</x:v>
      </x:c>
      <x:c r="I1870" t="str"/>
      <x:c r="J1870" t="str">
        <x:v>Unit</x:v>
      </x:c>
      <x:c r="K1870" t="str">
        <x:v>In stock</x:v>
      </x:c>
      <x:c r="L1870" t="str">
        <x:v>2026-09-08</x:v>
      </x:c>
      <x:c r="M1870" t="str"/>
      <x:c r="N1870" t="str"/>
      <x:c r="O1870" t="str">
        <x:v>https://www.activesportstrade.co.uk/per4m-trade</x:v>
      </x:c>
      <x:c r="P1870" t="str"/>
      <x:c r="Q1870" t="str"/>
      <x:c r="R1870" t="str"/>
      <x:c r="S1870" t="str">
        <x:v>Pending genuine supplier/brand image</x:v>
      </x:c>
      <x:c r="T1870" s="54"/>
      <x:c r="U1870" s="47" t="n">
        <x:v>0.2</x:v>
      </x:c>
      <x:c r="V1870" s="54" t="str">
        <x:f>IF(ISNUMBER(T1870),T1870*(1+U1870),"")</x:f>
      </x:c>
      <x:c r="W1870" s="47" t="n">
        <x:v>0.3</x:v>
      </x:c>
      <x:c r="X1870" s="54" t="str">
        <x:f>IF(ISNUMBER(V1870),V1870/(1-W1870),"")</x:f>
      </x:c>
      <x:c r="Y1870" s="55" t="str">
        <x:f>IF(ISNUMBER(X1870),ROUNDUP(X1870,0),"")</x:f>
      </x:c>
      <x:c r="Z1870" t="str">
        <x:f>IF(ISNUMBER(T1870),"Cost captured","Awaiting trade cost")</x:f>
        <x:v>Awaiting trade cost</x:v>
      </x:c>
      <x:c r="AB1870" s="36" t="str">
        <x:f>IF(ISNUMBER(Y1870),ROUND(Y1870*0.9,2),"")</x:f>
      </x:c>
      <x:c r="AC1870" s="36" t="str">
        <x:f>IF(ISNUMBER(AB1870),ROUND(AB1870-(AB1870*0.015+0.2)-V1870,2),"")</x:f>
      </x:c>
      <x:c r="AD1870" s="36" t="str">
        <x:f>IF(ISNUMBER(Y1870),ROUND(Y1870*0.8,2),"")</x:f>
      </x:c>
      <x:c r="AE1870" s="36" t="str">
        <x:f>IF(ISNUMBER(AD1870),ROUND(AD1870*0.015+0.2,2),"")</x:f>
      </x:c>
      <x:c r="AF1870" s="36" t="str">
        <x:f>IF(ISNUMBER(AD1870),ROUND(AD1870-AE1870-V1870,2),"")</x:f>
      </x:c>
      <x:c r="AG1870" t="str">
        <x:f>IF(NOT(ISNUMBER(T1870)),"PENDING",IF(AF1870&gt;0,"PASS","FAIL"))</x:f>
        <x:v>PENDING</x:v>
      </x:c>
      <x:c r="AH1870" t="str">
        <x:f>IF(NOT(ISNUMBER(T1870)),"Needs supplier cost",IF(K1870&lt;&gt;"In stock","Supplier unavailable",IF(AG1870&lt;&gt;"PASS","BLOCK - GT loss risk","Commercially protected")))</x:f>
        <x:v>Needs supplier cost</x:v>
      </x:c>
      <x:c r="AI1870" t="str">
        <x:v>2026-09-10 Active Sports trade capture</x:v>
      </x:c>
      <x:c r="AJ1870" t="str">
        <x:v>Management-only economics. Stripe stress test uses 1.5% + £0.20 standard UK online-card fee; pallet/mix-and-match pricing ignored.</x:v>
      </x:c>
    </x:row>
    <x:row r="1871">
      <x:c r="A1871" t="str">
        <x:v>Active Sports Nutrition</x:v>
      </x:c>
      <x:c r="B1871" t="str">
        <x:v>Per4m</x:v>
      </x:c>
      <x:c r="C1871" t="str">
        <x:v>Advanced Whey Protein</x:v>
      </x:c>
      <x:c r="D1871" t="str">
        <x:v>Supplements</x:v>
      </x:c>
      <x:c r="E1871" t="str">
        <x:v>Whey Protein</x:v>
      </x:c>
      <x:c r="F1871" t="str"/>
      <x:c r="G1871" t="str">
        <x:v>2.01kg</x:v>
      </x:c>
      <x:c r="H1871" t="str">
        <x:v>Vanilla Creme</x:v>
      </x:c>
      <x:c r="I1871" t="str"/>
      <x:c r="J1871" t="str">
        <x:v>Unit</x:v>
      </x:c>
      <x:c r="K1871" t="str">
        <x:v>In stock</x:v>
      </x:c>
      <x:c r="L1871" t="str">
        <x:v>2026-09-08</x:v>
      </x:c>
      <x:c r="M1871" t="str"/>
      <x:c r="N1871" t="str"/>
      <x:c r="O1871" t="str">
        <x:v>https://www.activesportstrade.co.uk/per4m-trade</x:v>
      </x:c>
      <x:c r="P1871" t="str"/>
      <x:c r="Q1871" t="str"/>
      <x:c r="R1871" t="str"/>
      <x:c r="S1871" t="str">
        <x:v>Pending genuine supplier/brand image</x:v>
      </x:c>
      <x:c r="T1871" s="54"/>
      <x:c r="U1871" s="47" t="n">
        <x:v>0.2</x:v>
      </x:c>
      <x:c r="V1871" s="54" t="str">
        <x:f>IF(ISNUMBER(T1871),T1871*(1+U1871),"")</x:f>
      </x:c>
      <x:c r="W1871" s="47" t="n">
        <x:v>0.3</x:v>
      </x:c>
      <x:c r="X1871" s="54" t="str">
        <x:f>IF(ISNUMBER(V1871),V1871/(1-W1871),"")</x:f>
      </x:c>
      <x:c r="Y1871" s="55" t="str">
        <x:f>IF(ISNUMBER(X1871),ROUNDUP(X1871,0),"")</x:f>
      </x:c>
      <x:c r="Z1871" t="str">
        <x:f>IF(ISNUMBER(T1871),"Cost captured","Awaiting trade cost")</x:f>
        <x:v>Awaiting trade cost</x:v>
      </x:c>
      <x:c r="AB1871" s="36" t="str">
        <x:f>IF(ISNUMBER(Y1871),ROUND(Y1871*0.9,2),"")</x:f>
      </x:c>
      <x:c r="AC1871" s="36" t="str">
        <x:f>IF(ISNUMBER(AB1871),ROUND(AB1871-(AB1871*0.015+0.2)-V1871,2),"")</x:f>
      </x:c>
      <x:c r="AD1871" s="36" t="str">
        <x:f>IF(ISNUMBER(Y1871),ROUND(Y1871*0.8,2),"")</x:f>
      </x:c>
      <x:c r="AE1871" s="36" t="str">
        <x:f>IF(ISNUMBER(AD1871),ROUND(AD1871*0.015+0.2,2),"")</x:f>
      </x:c>
      <x:c r="AF1871" s="36" t="str">
        <x:f>IF(ISNUMBER(AD1871),ROUND(AD1871-AE1871-V1871,2),"")</x:f>
      </x:c>
      <x:c r="AG1871" t="str">
        <x:f>IF(NOT(ISNUMBER(T1871)),"PENDING",IF(AF1871&gt;0,"PASS","FAIL"))</x:f>
        <x:v>PENDING</x:v>
      </x:c>
      <x:c r="AH1871" t="str">
        <x:f>IF(NOT(ISNUMBER(T1871)),"Needs supplier cost",IF(K1871&lt;&gt;"In stock","Supplier unavailable",IF(AG1871&lt;&gt;"PASS","BLOCK - GT loss risk","Commercially protected")))</x:f>
        <x:v>Needs supplier cost</x:v>
      </x:c>
      <x:c r="AI1871" t="str">
        <x:v>2026-09-10 Active Sports trade capture</x:v>
      </x:c>
      <x:c r="AJ1871" t="str">
        <x:v>Management-only economics. Stripe stress test uses 1.5% + £0.20 standard UK online-card fee; pallet/mix-and-match pricing ignored.</x:v>
      </x:c>
    </x:row>
    <x:row r="1872">
      <x:c r="A1872" t="str">
        <x:v>Active Sports Nutrition</x:v>
      </x:c>
      <x:c r="B1872" t="str">
        <x:v>Per4m</x:v>
      </x:c>
      <x:c r="C1872" t="str">
        <x:v>Advanced Whey Protein</x:v>
      </x:c>
      <x:c r="D1872" t="str">
        <x:v>Supplements</x:v>
      </x:c>
      <x:c r="E1872" t="str">
        <x:v>Whey Protein</x:v>
      </x:c>
      <x:c r="F1872" t="str"/>
      <x:c r="G1872" t="str">
        <x:v>2.01kg</x:v>
      </x:c>
      <x:c r="H1872" t="str">
        <x:v>White Chocolate</x:v>
      </x:c>
      <x:c r="I1872" t="str"/>
      <x:c r="J1872" t="str">
        <x:v>Unit</x:v>
      </x:c>
      <x:c r="K1872" t="str">
        <x:v>In stock</x:v>
      </x:c>
      <x:c r="L1872" t="str">
        <x:v>2026-09-08</x:v>
      </x:c>
      <x:c r="M1872" t="str"/>
      <x:c r="N1872" t="str"/>
      <x:c r="O1872" t="str">
        <x:v>https://www.activesportstrade.co.uk/per4m-trade</x:v>
      </x:c>
      <x:c r="P1872" t="str"/>
      <x:c r="Q1872" t="str"/>
      <x:c r="R1872" t="str"/>
      <x:c r="S1872" t="str">
        <x:v>Pending genuine supplier/brand image</x:v>
      </x:c>
      <x:c r="T1872" s="54"/>
      <x:c r="U1872" s="47" t="n">
        <x:v>0.2</x:v>
      </x:c>
      <x:c r="V1872" s="54" t="str">
        <x:f>IF(ISNUMBER(T1872),T1872*(1+U1872),"")</x:f>
      </x:c>
      <x:c r="W1872" s="47" t="n">
        <x:v>0.3</x:v>
      </x:c>
      <x:c r="X1872" s="54" t="str">
        <x:f>IF(ISNUMBER(V1872),V1872/(1-W1872),"")</x:f>
      </x:c>
      <x:c r="Y1872" s="55" t="str">
        <x:f>IF(ISNUMBER(X1872),ROUNDUP(X1872,0),"")</x:f>
      </x:c>
      <x:c r="Z1872" t="str">
        <x:f>IF(ISNUMBER(T1872),"Cost captured","Awaiting trade cost")</x:f>
        <x:v>Awaiting trade cost</x:v>
      </x:c>
      <x:c r="AB1872" s="36" t="str">
        <x:f>IF(ISNUMBER(Y1872),ROUND(Y1872*0.9,2),"")</x:f>
      </x:c>
      <x:c r="AC1872" s="36" t="str">
        <x:f>IF(ISNUMBER(AB1872),ROUND(AB1872-(AB1872*0.015+0.2)-V1872,2),"")</x:f>
      </x:c>
      <x:c r="AD1872" s="36" t="str">
        <x:f>IF(ISNUMBER(Y1872),ROUND(Y1872*0.8,2),"")</x:f>
      </x:c>
      <x:c r="AE1872" s="36" t="str">
        <x:f>IF(ISNUMBER(AD1872),ROUND(AD1872*0.015+0.2,2),"")</x:f>
      </x:c>
      <x:c r="AF1872" s="36" t="str">
        <x:f>IF(ISNUMBER(AD1872),ROUND(AD1872-AE1872-V1872,2),"")</x:f>
      </x:c>
      <x:c r="AG1872" t="str">
        <x:f>IF(NOT(ISNUMBER(T1872)),"PENDING",IF(AF1872&gt;0,"PASS","FAIL"))</x:f>
        <x:v>PENDING</x:v>
      </x:c>
      <x:c r="AH1872" t="str">
        <x:f>IF(NOT(ISNUMBER(T1872)),"Needs supplier cost",IF(K1872&lt;&gt;"In stock","Supplier unavailable",IF(AG1872&lt;&gt;"PASS","BLOCK - GT loss risk","Commercially protected")))</x:f>
        <x:v>Needs supplier cost</x:v>
      </x:c>
      <x:c r="AI1872" t="str">
        <x:v>2026-09-10 Active Sports trade capture</x:v>
      </x:c>
      <x:c r="AJ1872" t="str">
        <x:v>Management-only economics. Stripe stress test uses 1.5% + £0.20 standard UK online-card fee; pallet/mix-and-match pricing ignored.</x:v>
      </x:c>
    </x:row>
    <x:row r="1873">
      <x:c r="A1873" t="str">
        <x:v>Active Sports Nutrition</x:v>
      </x:c>
      <x:c r="B1873" t="str">
        <x:v>Per4m</x:v>
      </x:c>
      <x:c r="C1873" t="str">
        <x:v>Advanced Whey Protein</x:v>
      </x:c>
      <x:c r="D1873" t="str">
        <x:v>Supplements</x:v>
      </x:c>
      <x:c r="E1873" t="str">
        <x:v>Whey Protein</x:v>
      </x:c>
      <x:c r="F1873" t="str"/>
      <x:c r="G1873" t="str">
        <x:v>900g</x:v>
      </x:c>
      <x:c r="H1873" t="str">
        <x:v>Banana</x:v>
      </x:c>
      <x:c r="I1873" t="str"/>
      <x:c r="J1873" t="str">
        <x:v>Unit</x:v>
      </x:c>
      <x:c r="K1873" t="str">
        <x:v>In stock</x:v>
      </x:c>
      <x:c r="L1873" t="str">
        <x:v>2026-09-08</x:v>
      </x:c>
      <x:c r="M1873" t="str"/>
      <x:c r="N1873" t="str"/>
      <x:c r="O1873" t="str">
        <x:v>https://www.activesportstrade.co.uk/per4m-trade</x:v>
      </x:c>
      <x:c r="P1873" t="str"/>
      <x:c r="Q1873" t="str"/>
      <x:c r="R1873" t="str"/>
      <x:c r="S1873" t="str">
        <x:v>Pending genuine supplier/brand image</x:v>
      </x:c>
      <x:c r="T1873" s="54"/>
      <x:c r="U1873" s="47" t="n">
        <x:v>0.2</x:v>
      </x:c>
      <x:c r="V1873" s="54" t="str">
        <x:f>IF(ISNUMBER(T1873),T1873*(1+U1873),"")</x:f>
      </x:c>
      <x:c r="W1873" s="47" t="n">
        <x:v>0.3</x:v>
      </x:c>
      <x:c r="X1873" s="54" t="str">
        <x:f>IF(ISNUMBER(V1873),V1873/(1-W1873),"")</x:f>
      </x:c>
      <x:c r="Y1873" s="55" t="str">
        <x:f>IF(ISNUMBER(X1873),ROUNDUP(X1873,0),"")</x:f>
      </x:c>
      <x:c r="Z1873" t="str">
        <x:f>IF(ISNUMBER(T1873),"Cost captured","Awaiting trade cost")</x:f>
        <x:v>Awaiting trade cost</x:v>
      </x:c>
      <x:c r="AB1873" s="36" t="str">
        <x:f>IF(ISNUMBER(Y1873),ROUND(Y1873*0.9,2),"")</x:f>
      </x:c>
      <x:c r="AC1873" s="36" t="str">
        <x:f>IF(ISNUMBER(AB1873),ROUND(AB1873-(AB1873*0.015+0.2)-V1873,2),"")</x:f>
      </x:c>
      <x:c r="AD1873" s="36" t="str">
        <x:f>IF(ISNUMBER(Y1873),ROUND(Y1873*0.8,2),"")</x:f>
      </x:c>
      <x:c r="AE1873" s="36" t="str">
        <x:f>IF(ISNUMBER(AD1873),ROUND(AD1873*0.015+0.2,2),"")</x:f>
      </x:c>
      <x:c r="AF1873" s="36" t="str">
        <x:f>IF(ISNUMBER(AD1873),ROUND(AD1873-AE1873-V1873,2),"")</x:f>
      </x:c>
      <x:c r="AG1873" t="str">
        <x:f>IF(NOT(ISNUMBER(T1873)),"PENDING",IF(AF1873&gt;0,"PASS","FAIL"))</x:f>
        <x:v>PENDING</x:v>
      </x:c>
      <x:c r="AH1873" t="str">
        <x:f>IF(NOT(ISNUMBER(T1873)),"Needs supplier cost",IF(K1873&lt;&gt;"In stock","Supplier unavailable",IF(AG1873&lt;&gt;"PASS","BLOCK - GT loss risk","Commercially protected")))</x:f>
        <x:v>Needs supplier cost</x:v>
      </x:c>
      <x:c r="AI1873" t="str">
        <x:v>2026-09-10 Active Sports trade capture</x:v>
      </x:c>
      <x:c r="AJ1873" t="str">
        <x:v>Management-only economics. Stripe stress test uses 1.5% + £0.20 standard UK online-card fee; pallet/mix-and-match pricing ignored.</x:v>
      </x:c>
    </x:row>
    <x:row r="1874">
      <x:c r="A1874" t="str">
        <x:v>Active Sports Nutrition</x:v>
      </x:c>
      <x:c r="B1874" t="str">
        <x:v>Per4m</x:v>
      </x:c>
      <x:c r="C1874" t="str">
        <x:v>Advanced Whey Protein</x:v>
      </x:c>
      <x:c r="D1874" t="str">
        <x:v>Supplements</x:v>
      </x:c>
      <x:c r="E1874" t="str">
        <x:v>Whey Protein</x:v>
      </x:c>
      <x:c r="F1874" t="str"/>
      <x:c r="G1874" t="str">
        <x:v>900g</x:v>
      </x:c>
      <x:c r="H1874" t="str">
        <x:v>Caramel Biscuit</x:v>
      </x:c>
      <x:c r="I1874" t="str"/>
      <x:c r="J1874" t="str">
        <x:v>Unit</x:v>
      </x:c>
      <x:c r="K1874" t="str">
        <x:v>In stock</x:v>
      </x:c>
      <x:c r="L1874" t="str">
        <x:v>2026-09-08</x:v>
      </x:c>
      <x:c r="M1874" t="str"/>
      <x:c r="N1874" t="str"/>
      <x:c r="O1874" t="str">
        <x:v>https://www.activesportstrade.co.uk/per4m-trade</x:v>
      </x:c>
      <x:c r="P1874" t="str"/>
      <x:c r="Q1874" t="str"/>
      <x:c r="R1874" t="str"/>
      <x:c r="S1874" t="str">
        <x:v>Pending genuine supplier/brand image</x:v>
      </x:c>
      <x:c r="T1874" s="54"/>
      <x:c r="U1874" s="47" t="n">
        <x:v>0.2</x:v>
      </x:c>
      <x:c r="V1874" s="54" t="str">
        <x:f>IF(ISNUMBER(T1874),T1874*(1+U1874),"")</x:f>
      </x:c>
      <x:c r="W1874" s="47" t="n">
        <x:v>0.3</x:v>
      </x:c>
      <x:c r="X1874" s="54" t="str">
        <x:f>IF(ISNUMBER(V1874),V1874/(1-W1874),"")</x:f>
      </x:c>
      <x:c r="Y1874" s="55" t="str">
        <x:f>IF(ISNUMBER(X1874),ROUNDUP(X1874,0),"")</x:f>
      </x:c>
      <x:c r="Z1874" t="str">
        <x:f>IF(ISNUMBER(T1874),"Cost captured","Awaiting trade cost")</x:f>
        <x:v>Awaiting trade cost</x:v>
      </x:c>
      <x:c r="AB1874" s="36" t="str">
        <x:f>IF(ISNUMBER(Y1874),ROUND(Y1874*0.9,2),"")</x:f>
      </x:c>
      <x:c r="AC1874" s="36" t="str">
        <x:f>IF(ISNUMBER(AB1874),ROUND(AB1874-(AB1874*0.015+0.2)-V1874,2),"")</x:f>
      </x:c>
      <x:c r="AD1874" s="36" t="str">
        <x:f>IF(ISNUMBER(Y1874),ROUND(Y1874*0.8,2),"")</x:f>
      </x:c>
      <x:c r="AE1874" s="36" t="str">
        <x:f>IF(ISNUMBER(AD1874),ROUND(AD1874*0.015+0.2,2),"")</x:f>
      </x:c>
      <x:c r="AF1874" s="36" t="str">
        <x:f>IF(ISNUMBER(AD1874),ROUND(AD1874-AE1874-V1874,2),"")</x:f>
      </x:c>
      <x:c r="AG1874" t="str">
        <x:f>IF(NOT(ISNUMBER(T1874)),"PENDING",IF(AF1874&gt;0,"PASS","FAIL"))</x:f>
        <x:v>PENDING</x:v>
      </x:c>
      <x:c r="AH1874" t="str">
        <x:f>IF(NOT(ISNUMBER(T1874)),"Needs supplier cost",IF(K1874&lt;&gt;"In stock","Supplier unavailable",IF(AG1874&lt;&gt;"PASS","BLOCK - GT loss risk","Commercially protected")))</x:f>
        <x:v>Needs supplier cost</x:v>
      </x:c>
      <x:c r="AI1874" t="str">
        <x:v>2026-09-10 Active Sports trade capture</x:v>
      </x:c>
      <x:c r="AJ1874" t="str">
        <x:v>Management-only economics. Stripe stress test uses 1.5% + £0.20 standard UK online-card fee; pallet/mix-and-match pricing ignored.</x:v>
      </x:c>
    </x:row>
    <x:row r="1875">
      <x:c r="A1875" t="str">
        <x:v>Active Sports Nutrition</x:v>
      </x:c>
      <x:c r="B1875" t="str">
        <x:v>Per4m</x:v>
      </x:c>
      <x:c r="C1875" t="str">
        <x:v>Advanced Whey Protein</x:v>
      </x:c>
      <x:c r="D1875" t="str">
        <x:v>Supplements</x:v>
      </x:c>
      <x:c r="E1875" t="str">
        <x:v>Whey Protein</x:v>
      </x:c>
      <x:c r="F1875" t="str"/>
      <x:c r="G1875" t="str">
        <x:v>900g</x:v>
      </x:c>
      <x:c r="H1875" t="str">
        <x:v>Chocolate Brownie</x:v>
      </x:c>
      <x:c r="I1875" t="str"/>
      <x:c r="J1875" t="str">
        <x:v>Unit</x:v>
      </x:c>
      <x:c r="K1875" t="str">
        <x:v>In stock</x:v>
      </x:c>
      <x:c r="L1875" t="str">
        <x:v>2026-09-08</x:v>
      </x:c>
      <x:c r="M1875" t="str"/>
      <x:c r="N1875" t="str"/>
      <x:c r="O1875" t="str">
        <x:v>https://www.activesportstrade.co.uk/per4m-trade</x:v>
      </x:c>
      <x:c r="P1875" t="str"/>
      <x:c r="Q1875" t="str"/>
      <x:c r="R1875" t="str"/>
      <x:c r="S1875" t="str">
        <x:v>Pending genuine supplier/brand image</x:v>
      </x:c>
      <x:c r="T1875" s="54"/>
      <x:c r="U1875" s="47" t="n">
        <x:v>0.2</x:v>
      </x:c>
      <x:c r="V1875" s="54" t="str">
        <x:f>IF(ISNUMBER(T1875),T1875*(1+U1875),"")</x:f>
      </x:c>
      <x:c r="W1875" s="47" t="n">
        <x:v>0.3</x:v>
      </x:c>
      <x:c r="X1875" s="54" t="str">
        <x:f>IF(ISNUMBER(V1875),V1875/(1-W1875),"")</x:f>
      </x:c>
      <x:c r="Y1875" s="55" t="str">
        <x:f>IF(ISNUMBER(X1875),ROUNDUP(X1875,0),"")</x:f>
      </x:c>
      <x:c r="Z1875" t="str">
        <x:f>IF(ISNUMBER(T1875),"Cost captured","Awaiting trade cost")</x:f>
        <x:v>Awaiting trade cost</x:v>
      </x:c>
      <x:c r="AB1875" s="36" t="str">
        <x:f>IF(ISNUMBER(Y1875),ROUND(Y1875*0.9,2),"")</x:f>
      </x:c>
      <x:c r="AC1875" s="36" t="str">
        <x:f>IF(ISNUMBER(AB1875),ROUND(AB1875-(AB1875*0.015+0.2)-V1875,2),"")</x:f>
      </x:c>
      <x:c r="AD1875" s="36" t="str">
        <x:f>IF(ISNUMBER(Y1875),ROUND(Y1875*0.8,2),"")</x:f>
      </x:c>
      <x:c r="AE1875" s="36" t="str">
        <x:f>IF(ISNUMBER(AD1875),ROUND(AD1875*0.015+0.2,2),"")</x:f>
      </x:c>
      <x:c r="AF1875" s="36" t="str">
        <x:f>IF(ISNUMBER(AD1875),ROUND(AD1875-AE1875-V1875,2),"")</x:f>
      </x:c>
      <x:c r="AG1875" t="str">
        <x:f>IF(NOT(ISNUMBER(T1875)),"PENDING",IF(AF1875&gt;0,"PASS","FAIL"))</x:f>
        <x:v>PENDING</x:v>
      </x:c>
      <x:c r="AH1875" t="str">
        <x:f>IF(NOT(ISNUMBER(T1875)),"Needs supplier cost",IF(K1875&lt;&gt;"In stock","Supplier unavailable",IF(AG1875&lt;&gt;"PASS","BLOCK - GT loss risk","Commercially protected")))</x:f>
        <x:v>Needs supplier cost</x:v>
      </x:c>
      <x:c r="AI1875" t="str">
        <x:v>2026-09-10 Active Sports trade capture</x:v>
      </x:c>
      <x:c r="AJ1875" t="str">
        <x:v>Management-only economics. Stripe stress test uses 1.5% + £0.20 standard UK online-card fee; pallet/mix-and-match pricing ignored.</x:v>
      </x:c>
    </x:row>
    <x:row r="1876">
      <x:c r="A1876" t="str">
        <x:v>Active Sports Nutrition</x:v>
      </x:c>
      <x:c r="B1876" t="str">
        <x:v>Per4m</x:v>
      </x:c>
      <x:c r="C1876" t="str">
        <x:v>Advanced Whey Protein</x:v>
      </x:c>
      <x:c r="D1876" t="str">
        <x:v>Supplements</x:v>
      </x:c>
      <x:c r="E1876" t="str">
        <x:v>Whey Protein</x:v>
      </x:c>
      <x:c r="F1876" t="str"/>
      <x:c r="G1876" t="str">
        <x:v>900g</x:v>
      </x:c>
      <x:c r="H1876" t="str">
        <x:v>Chocolate Hazelnut</x:v>
      </x:c>
      <x:c r="I1876" t="str"/>
      <x:c r="J1876" t="str">
        <x:v>Unit</x:v>
      </x:c>
      <x:c r="K1876" t="str">
        <x:v>Out of stock</x:v>
      </x:c>
      <x:c r="L1876" t="str">
        <x:v>2026-09-08</x:v>
      </x:c>
      <x:c r="M1876" t="str"/>
      <x:c r="N1876" t="str"/>
      <x:c r="O1876" t="str">
        <x:v>https://www.activesportstrade.co.uk/per4m-trade</x:v>
      </x:c>
      <x:c r="P1876" t="str"/>
      <x:c r="Q1876" t="str"/>
      <x:c r="R1876" t="str"/>
      <x:c r="S1876" t="str">
        <x:v>Pending genuine supplier/brand image</x:v>
      </x:c>
      <x:c r="T1876" s="54"/>
      <x:c r="U1876" s="47" t="n">
        <x:v>0.2</x:v>
      </x:c>
      <x:c r="V1876" s="54" t="str">
        <x:f>IF(ISNUMBER(T1876),T1876*(1+U1876),"")</x:f>
      </x:c>
      <x:c r="W1876" s="47" t="n">
        <x:v>0.3</x:v>
      </x:c>
      <x:c r="X1876" s="54" t="str">
        <x:f>IF(ISNUMBER(V1876),V1876/(1-W1876),"")</x:f>
      </x:c>
      <x:c r="Y1876" s="55" t="str">
        <x:f>IF(ISNUMBER(X1876),ROUNDUP(X1876,0),"")</x:f>
      </x:c>
      <x:c r="Z1876" t="str">
        <x:f>IF(ISNUMBER(T1876),"Cost captured","Awaiting trade cost")</x:f>
        <x:v>Awaiting trade cost</x:v>
      </x:c>
      <x:c r="AB1876" s="36" t="str">
        <x:f>IF(ISNUMBER(Y1876),ROUND(Y1876*0.9,2),"")</x:f>
      </x:c>
      <x:c r="AC1876" s="36" t="str">
        <x:f>IF(ISNUMBER(AB1876),ROUND(AB1876-(AB1876*0.015+0.2)-V1876,2),"")</x:f>
      </x:c>
      <x:c r="AD1876" s="36" t="str">
        <x:f>IF(ISNUMBER(Y1876),ROUND(Y1876*0.8,2),"")</x:f>
      </x:c>
      <x:c r="AE1876" s="36" t="str">
        <x:f>IF(ISNUMBER(AD1876),ROUND(AD1876*0.015+0.2,2),"")</x:f>
      </x:c>
      <x:c r="AF1876" s="36" t="str">
        <x:f>IF(ISNUMBER(AD1876),ROUND(AD1876-AE1876-V1876,2),"")</x:f>
      </x:c>
      <x:c r="AG1876" t="str">
        <x:f>IF(NOT(ISNUMBER(T1876)),"PENDING",IF(AF1876&gt;0,"PASS","FAIL"))</x:f>
        <x:v>PENDING</x:v>
      </x:c>
      <x:c r="AH1876" t="str">
        <x:f>IF(NOT(ISNUMBER(T1876)),"Needs supplier cost",IF(K1876&lt;&gt;"In stock","Supplier unavailable",IF(AG1876&lt;&gt;"PASS","BLOCK - GT loss risk","Commercially protected")))</x:f>
        <x:v>Needs supplier cost</x:v>
      </x:c>
      <x:c r="AI1876" t="str">
        <x:v>2026-09-10 Active Sports trade capture</x:v>
      </x:c>
      <x:c r="AJ1876" t="str">
        <x:v>Management-only economics. Stripe stress test uses 1.5% + £0.20 standard UK online-card fee; pallet/mix-and-match pricing ignored.</x:v>
      </x:c>
    </x:row>
    <x:row r="1877">
      <x:c r="A1877" t="str">
        <x:v>Active Sports Nutrition</x:v>
      </x:c>
      <x:c r="B1877" t="str">
        <x:v>Per4m</x:v>
      </x:c>
      <x:c r="C1877" t="str">
        <x:v>Advanced Whey Protein</x:v>
      </x:c>
      <x:c r="D1877" t="str">
        <x:v>Supplements</x:v>
      </x:c>
      <x:c r="E1877" t="str">
        <x:v>Whey Protein</x:v>
      </x:c>
      <x:c r="F1877" t="str"/>
      <x:c r="G1877" t="str">
        <x:v>900g</x:v>
      </x:c>
      <x:c r="H1877" t="str">
        <x:v>Cookies &amp; Cream</x:v>
      </x:c>
      <x:c r="I1877" t="str"/>
      <x:c r="J1877" t="str">
        <x:v>Unit</x:v>
      </x:c>
      <x:c r="K1877" t="str">
        <x:v>In stock</x:v>
      </x:c>
      <x:c r="L1877" t="str">
        <x:v>2026-09-08</x:v>
      </x:c>
      <x:c r="M1877" t="str"/>
      <x:c r="N1877" t="str"/>
      <x:c r="O1877" t="str">
        <x:v>https://www.activesportstrade.co.uk/per4m-trade</x:v>
      </x:c>
      <x:c r="P1877" t="str"/>
      <x:c r="Q1877" t="str"/>
      <x:c r="R1877" t="str"/>
      <x:c r="S1877" t="str">
        <x:v>Pending genuine supplier/brand image</x:v>
      </x:c>
      <x:c r="T1877" s="54"/>
      <x:c r="U1877" s="47" t="n">
        <x:v>0.2</x:v>
      </x:c>
      <x:c r="V1877" s="54" t="str">
        <x:f>IF(ISNUMBER(T1877),T1877*(1+U1877),"")</x:f>
      </x:c>
      <x:c r="W1877" s="47" t="n">
        <x:v>0.3</x:v>
      </x:c>
      <x:c r="X1877" s="54" t="str">
        <x:f>IF(ISNUMBER(V1877),V1877/(1-W1877),"")</x:f>
      </x:c>
      <x:c r="Y1877" s="55" t="str">
        <x:f>IF(ISNUMBER(X1877),ROUNDUP(X1877,0),"")</x:f>
      </x:c>
      <x:c r="Z1877" t="str">
        <x:f>IF(ISNUMBER(T1877),"Cost captured","Awaiting trade cost")</x:f>
        <x:v>Awaiting trade cost</x:v>
      </x:c>
      <x:c r="AB1877" s="36" t="str">
        <x:f>IF(ISNUMBER(Y1877),ROUND(Y1877*0.9,2),"")</x:f>
      </x:c>
      <x:c r="AC1877" s="36" t="str">
        <x:f>IF(ISNUMBER(AB1877),ROUND(AB1877-(AB1877*0.015+0.2)-V1877,2),"")</x:f>
      </x:c>
      <x:c r="AD1877" s="36" t="str">
        <x:f>IF(ISNUMBER(Y1877),ROUND(Y1877*0.8,2),"")</x:f>
      </x:c>
      <x:c r="AE1877" s="36" t="str">
        <x:f>IF(ISNUMBER(AD1877),ROUND(AD1877*0.015+0.2,2),"")</x:f>
      </x:c>
      <x:c r="AF1877" s="36" t="str">
        <x:f>IF(ISNUMBER(AD1877),ROUND(AD1877-AE1877-V1877,2),"")</x:f>
      </x:c>
      <x:c r="AG1877" t="str">
        <x:f>IF(NOT(ISNUMBER(T1877)),"PENDING",IF(AF1877&gt;0,"PASS","FAIL"))</x:f>
        <x:v>PENDING</x:v>
      </x:c>
      <x:c r="AH1877" t="str">
        <x:f>IF(NOT(ISNUMBER(T1877)),"Needs supplier cost",IF(K1877&lt;&gt;"In stock","Supplier unavailable",IF(AG1877&lt;&gt;"PASS","BLOCK - GT loss risk","Commercially protected")))</x:f>
        <x:v>Needs supplier cost</x:v>
      </x:c>
      <x:c r="AI1877" t="str">
        <x:v>2026-09-10 Active Sports trade capture</x:v>
      </x:c>
      <x:c r="AJ1877" t="str">
        <x:v>Management-only economics. Stripe stress test uses 1.5% + £0.20 standard UK online-card fee; pallet/mix-and-match pricing ignored.</x:v>
      </x:c>
    </x:row>
    <x:row r="1878">
      <x:c r="A1878" t="str">
        <x:v>Active Sports Nutrition</x:v>
      </x:c>
      <x:c r="B1878" t="str">
        <x:v>Per4m</x:v>
      </x:c>
      <x:c r="C1878" t="str">
        <x:v>Advanced Whey Protein</x:v>
      </x:c>
      <x:c r="D1878" t="str">
        <x:v>Supplements</x:v>
      </x:c>
      <x:c r="E1878" t="str">
        <x:v>Whey Protein</x:v>
      </x:c>
      <x:c r="F1878" t="str"/>
      <x:c r="G1878" t="str">
        <x:v>900g</x:v>
      </x:c>
      <x:c r="H1878" t="str">
        <x:v>Salted Caramel</x:v>
      </x:c>
      <x:c r="I1878" t="str"/>
      <x:c r="J1878" t="str">
        <x:v>Unit</x:v>
      </x:c>
      <x:c r="K1878" t="str">
        <x:v>In stock</x:v>
      </x:c>
      <x:c r="L1878" t="str">
        <x:v>2026-09-08</x:v>
      </x:c>
      <x:c r="M1878" t="str"/>
      <x:c r="N1878" t="str"/>
      <x:c r="O1878" t="str">
        <x:v>https://www.activesportstrade.co.uk/per4m-trade</x:v>
      </x:c>
      <x:c r="P1878" t="str"/>
      <x:c r="Q1878" t="str"/>
      <x:c r="R1878" t="str"/>
      <x:c r="S1878" t="str">
        <x:v>Pending genuine supplier/brand image</x:v>
      </x:c>
      <x:c r="T1878" s="54"/>
      <x:c r="U1878" s="47" t="n">
        <x:v>0.2</x:v>
      </x:c>
      <x:c r="V1878" s="54" t="str">
        <x:f>IF(ISNUMBER(T1878),T1878*(1+U1878),"")</x:f>
      </x:c>
      <x:c r="W1878" s="47" t="n">
        <x:v>0.3</x:v>
      </x:c>
      <x:c r="X1878" s="54" t="str">
        <x:f>IF(ISNUMBER(V1878),V1878/(1-W1878),"")</x:f>
      </x:c>
      <x:c r="Y1878" s="55" t="str">
        <x:f>IF(ISNUMBER(X1878),ROUNDUP(X1878,0),"")</x:f>
      </x:c>
      <x:c r="Z1878" t="str">
        <x:f>IF(ISNUMBER(T1878),"Cost captured","Awaiting trade cost")</x:f>
        <x:v>Awaiting trade cost</x:v>
      </x:c>
      <x:c r="AB1878" s="36" t="str">
        <x:f>IF(ISNUMBER(Y1878),ROUND(Y1878*0.9,2),"")</x:f>
      </x:c>
      <x:c r="AC1878" s="36" t="str">
        <x:f>IF(ISNUMBER(AB1878),ROUND(AB1878-(AB1878*0.015+0.2)-V1878,2),"")</x:f>
      </x:c>
      <x:c r="AD1878" s="36" t="str">
        <x:f>IF(ISNUMBER(Y1878),ROUND(Y1878*0.8,2),"")</x:f>
      </x:c>
      <x:c r="AE1878" s="36" t="str">
        <x:f>IF(ISNUMBER(AD1878),ROUND(AD1878*0.015+0.2,2),"")</x:f>
      </x:c>
      <x:c r="AF1878" s="36" t="str">
        <x:f>IF(ISNUMBER(AD1878),ROUND(AD1878-AE1878-V1878,2),"")</x:f>
      </x:c>
      <x:c r="AG1878" t="str">
        <x:f>IF(NOT(ISNUMBER(T1878)),"PENDING",IF(AF1878&gt;0,"PASS","FAIL"))</x:f>
        <x:v>PENDING</x:v>
      </x:c>
      <x:c r="AH1878" t="str">
        <x:f>IF(NOT(ISNUMBER(T1878)),"Needs supplier cost",IF(K1878&lt;&gt;"In stock","Supplier unavailable",IF(AG1878&lt;&gt;"PASS","BLOCK - GT loss risk","Commercially protected")))</x:f>
        <x:v>Needs supplier cost</x:v>
      </x:c>
      <x:c r="AI1878" t="str">
        <x:v>2026-09-10 Active Sports trade capture</x:v>
      </x:c>
      <x:c r="AJ1878" t="str">
        <x:v>Management-only economics. Stripe stress test uses 1.5% + £0.20 standard UK online-card fee; pallet/mix-and-match pricing ignored.</x:v>
      </x:c>
    </x:row>
    <x:row r="1879">
      <x:c r="A1879" t="str">
        <x:v>Active Sports Nutrition</x:v>
      </x:c>
      <x:c r="B1879" t="str">
        <x:v>Per4m</x:v>
      </x:c>
      <x:c r="C1879" t="str">
        <x:v>Advanced Whey Protein</x:v>
      </x:c>
      <x:c r="D1879" t="str">
        <x:v>Supplements</x:v>
      </x:c>
      <x:c r="E1879" t="str">
        <x:v>Whey Protein</x:v>
      </x:c>
      <x:c r="F1879" t="str"/>
      <x:c r="G1879" t="str">
        <x:v>900g</x:v>
      </x:c>
      <x:c r="H1879" t="str">
        <x:v>Strawberry Creme</x:v>
      </x:c>
      <x:c r="I1879" t="str"/>
      <x:c r="J1879" t="str">
        <x:v>Unit</x:v>
      </x:c>
      <x:c r="K1879" t="str">
        <x:v>In stock</x:v>
      </x:c>
      <x:c r="L1879" t="str">
        <x:v>2026-09-08</x:v>
      </x:c>
      <x:c r="M1879" t="str"/>
      <x:c r="N1879" t="str"/>
      <x:c r="O1879" t="str">
        <x:v>https://www.activesportstrade.co.uk/per4m-trade</x:v>
      </x:c>
      <x:c r="P1879" t="str"/>
      <x:c r="Q1879" t="str"/>
      <x:c r="R1879" t="str"/>
      <x:c r="S1879" t="str">
        <x:v>Pending genuine supplier/brand image</x:v>
      </x:c>
      <x:c r="T1879" s="54"/>
      <x:c r="U1879" s="47" t="n">
        <x:v>0.2</x:v>
      </x:c>
      <x:c r="V1879" s="54" t="str">
        <x:f>IF(ISNUMBER(T1879),T1879*(1+U1879),"")</x:f>
      </x:c>
      <x:c r="W1879" s="47" t="n">
        <x:v>0.3</x:v>
      </x:c>
      <x:c r="X1879" s="54" t="str">
        <x:f>IF(ISNUMBER(V1879),V1879/(1-W1879),"")</x:f>
      </x:c>
      <x:c r="Y1879" s="55" t="str">
        <x:f>IF(ISNUMBER(X1879),ROUNDUP(X1879,0),"")</x:f>
      </x:c>
      <x:c r="Z1879" t="str">
        <x:f>IF(ISNUMBER(T1879),"Cost captured","Awaiting trade cost")</x:f>
        <x:v>Awaiting trade cost</x:v>
      </x:c>
      <x:c r="AB1879" s="36" t="str">
        <x:f>IF(ISNUMBER(Y1879),ROUND(Y1879*0.9,2),"")</x:f>
      </x:c>
      <x:c r="AC1879" s="36" t="str">
        <x:f>IF(ISNUMBER(AB1879),ROUND(AB1879-(AB1879*0.015+0.2)-V1879,2),"")</x:f>
      </x:c>
      <x:c r="AD1879" s="36" t="str">
        <x:f>IF(ISNUMBER(Y1879),ROUND(Y1879*0.8,2),"")</x:f>
      </x:c>
      <x:c r="AE1879" s="36" t="str">
        <x:f>IF(ISNUMBER(AD1879),ROUND(AD1879*0.015+0.2,2),"")</x:f>
      </x:c>
      <x:c r="AF1879" s="36" t="str">
        <x:f>IF(ISNUMBER(AD1879),ROUND(AD1879-AE1879-V1879,2),"")</x:f>
      </x:c>
      <x:c r="AG1879" t="str">
        <x:f>IF(NOT(ISNUMBER(T1879)),"PENDING",IF(AF1879&gt;0,"PASS","FAIL"))</x:f>
        <x:v>PENDING</x:v>
      </x:c>
      <x:c r="AH1879" t="str">
        <x:f>IF(NOT(ISNUMBER(T1879)),"Needs supplier cost",IF(K1879&lt;&gt;"In stock","Supplier unavailable",IF(AG1879&lt;&gt;"PASS","BLOCK - GT loss risk","Commercially protected")))</x:f>
        <x:v>Needs supplier cost</x:v>
      </x:c>
      <x:c r="AI1879" t="str">
        <x:v>2026-09-10 Active Sports trade capture</x:v>
      </x:c>
      <x:c r="AJ1879" t="str">
        <x:v>Management-only economics. Stripe stress test uses 1.5% + £0.20 standard UK online-card fee; pallet/mix-and-match pricing ignored.</x:v>
      </x:c>
    </x:row>
    <x:row r="1880">
      <x:c r="A1880" t="str">
        <x:v>Active Sports Nutrition</x:v>
      </x:c>
      <x:c r="B1880" t="str">
        <x:v>Per4m</x:v>
      </x:c>
      <x:c r="C1880" t="str">
        <x:v>Advanced Whey Protein</x:v>
      </x:c>
      <x:c r="D1880" t="str">
        <x:v>Supplements</x:v>
      </x:c>
      <x:c r="E1880" t="str">
        <x:v>Whey Protein</x:v>
      </x:c>
      <x:c r="F1880" t="str"/>
      <x:c r="G1880" t="str">
        <x:v>900g</x:v>
      </x:c>
      <x:c r="H1880" t="str">
        <x:v>Vanilla Creme</x:v>
      </x:c>
      <x:c r="I1880" t="str"/>
      <x:c r="J1880" t="str">
        <x:v>Unit</x:v>
      </x:c>
      <x:c r="K1880" t="str">
        <x:v>In stock</x:v>
      </x:c>
      <x:c r="L1880" t="str">
        <x:v>2026-09-08</x:v>
      </x:c>
      <x:c r="M1880" t="str"/>
      <x:c r="N1880" t="str"/>
      <x:c r="O1880" t="str">
        <x:v>https://www.activesportstrade.co.uk/per4m-trade</x:v>
      </x:c>
      <x:c r="P1880" t="str"/>
      <x:c r="Q1880" t="str"/>
      <x:c r="R1880" t="str"/>
      <x:c r="S1880" t="str">
        <x:v>Pending genuine supplier/brand image</x:v>
      </x:c>
      <x:c r="T1880" s="54"/>
      <x:c r="U1880" s="47" t="n">
        <x:v>0.2</x:v>
      </x:c>
      <x:c r="V1880" s="54" t="str">
        <x:f>IF(ISNUMBER(T1880),T1880*(1+U1880),"")</x:f>
      </x:c>
      <x:c r="W1880" s="47" t="n">
        <x:v>0.3</x:v>
      </x:c>
      <x:c r="X1880" s="54" t="str">
        <x:f>IF(ISNUMBER(V1880),V1880/(1-W1880),"")</x:f>
      </x:c>
      <x:c r="Y1880" s="55" t="str">
        <x:f>IF(ISNUMBER(X1880),ROUNDUP(X1880,0),"")</x:f>
      </x:c>
      <x:c r="Z1880" t="str">
        <x:f>IF(ISNUMBER(T1880),"Cost captured","Awaiting trade cost")</x:f>
        <x:v>Awaiting trade cost</x:v>
      </x:c>
      <x:c r="AB1880" s="36" t="str">
        <x:f>IF(ISNUMBER(Y1880),ROUND(Y1880*0.9,2),"")</x:f>
      </x:c>
      <x:c r="AC1880" s="36" t="str">
        <x:f>IF(ISNUMBER(AB1880),ROUND(AB1880-(AB1880*0.015+0.2)-V1880,2),"")</x:f>
      </x:c>
      <x:c r="AD1880" s="36" t="str">
        <x:f>IF(ISNUMBER(Y1880),ROUND(Y1880*0.8,2),"")</x:f>
      </x:c>
      <x:c r="AE1880" s="36" t="str">
        <x:f>IF(ISNUMBER(AD1880),ROUND(AD1880*0.015+0.2,2),"")</x:f>
      </x:c>
      <x:c r="AF1880" s="36" t="str">
        <x:f>IF(ISNUMBER(AD1880),ROUND(AD1880-AE1880-V1880,2),"")</x:f>
      </x:c>
      <x:c r="AG1880" t="str">
        <x:f>IF(NOT(ISNUMBER(T1880)),"PENDING",IF(AF1880&gt;0,"PASS","FAIL"))</x:f>
        <x:v>PENDING</x:v>
      </x:c>
      <x:c r="AH1880" t="str">
        <x:f>IF(NOT(ISNUMBER(T1880)),"Needs supplier cost",IF(K1880&lt;&gt;"In stock","Supplier unavailable",IF(AG1880&lt;&gt;"PASS","BLOCK - GT loss risk","Commercially protected")))</x:f>
        <x:v>Needs supplier cost</x:v>
      </x:c>
      <x:c r="AI1880" t="str">
        <x:v>2026-09-10 Active Sports trade capture</x:v>
      </x:c>
      <x:c r="AJ1880" t="str">
        <x:v>Management-only economics. Stripe stress test uses 1.5% + £0.20 standard UK online-card fee; pallet/mix-and-match pricing ignored.</x:v>
      </x:c>
    </x:row>
    <x:row r="1881">
      <x:c r="A1881" t="str">
        <x:v>Active Sports Nutrition</x:v>
      </x:c>
      <x:c r="B1881" t="str">
        <x:v>Per4m</x:v>
      </x:c>
      <x:c r="C1881" t="str">
        <x:v>Advanced Whey Protein</x:v>
      </x:c>
      <x:c r="D1881" t="str">
        <x:v>Supplements</x:v>
      </x:c>
      <x:c r="E1881" t="str">
        <x:v>Whey Protein</x:v>
      </x:c>
      <x:c r="F1881" t="str"/>
      <x:c r="G1881" t="str">
        <x:v>900g</x:v>
      </x:c>
      <x:c r="H1881" t="str">
        <x:v>White Chocolate</x:v>
      </x:c>
      <x:c r="I1881" t="str"/>
      <x:c r="J1881" t="str">
        <x:v>Unit</x:v>
      </x:c>
      <x:c r="K1881" t="str">
        <x:v>Out of stock</x:v>
      </x:c>
      <x:c r="L1881" t="str">
        <x:v>2026-09-08</x:v>
      </x:c>
      <x:c r="M1881" t="str"/>
      <x:c r="N1881" t="str"/>
      <x:c r="O1881" t="str">
        <x:v>https://www.activesportstrade.co.uk/per4m-trade</x:v>
      </x:c>
      <x:c r="P1881" t="str"/>
      <x:c r="Q1881" t="str"/>
      <x:c r="R1881" t="str"/>
      <x:c r="S1881" t="str">
        <x:v>Pending genuine supplier/brand image</x:v>
      </x:c>
      <x:c r="T1881" s="54"/>
      <x:c r="U1881" s="47" t="n">
        <x:v>0.2</x:v>
      </x:c>
      <x:c r="V1881" s="54" t="str">
        <x:f>IF(ISNUMBER(T1881),T1881*(1+U1881),"")</x:f>
      </x:c>
      <x:c r="W1881" s="47" t="n">
        <x:v>0.3</x:v>
      </x:c>
      <x:c r="X1881" s="54" t="str">
        <x:f>IF(ISNUMBER(V1881),V1881/(1-W1881),"")</x:f>
      </x:c>
      <x:c r="Y1881" s="55" t="str">
        <x:f>IF(ISNUMBER(X1881),ROUNDUP(X1881,0),"")</x:f>
      </x:c>
      <x:c r="Z1881" t="str">
        <x:f>IF(ISNUMBER(T1881),"Cost captured","Awaiting trade cost")</x:f>
        <x:v>Awaiting trade cost</x:v>
      </x:c>
      <x:c r="AB1881" s="36" t="str">
        <x:f>IF(ISNUMBER(Y1881),ROUND(Y1881*0.9,2),"")</x:f>
      </x:c>
      <x:c r="AC1881" s="36" t="str">
        <x:f>IF(ISNUMBER(AB1881),ROUND(AB1881-(AB1881*0.015+0.2)-V1881,2),"")</x:f>
      </x:c>
      <x:c r="AD1881" s="36" t="str">
        <x:f>IF(ISNUMBER(Y1881),ROUND(Y1881*0.8,2),"")</x:f>
      </x:c>
      <x:c r="AE1881" s="36" t="str">
        <x:f>IF(ISNUMBER(AD1881),ROUND(AD1881*0.015+0.2,2),"")</x:f>
      </x:c>
      <x:c r="AF1881" s="36" t="str">
        <x:f>IF(ISNUMBER(AD1881),ROUND(AD1881-AE1881-V1881,2),"")</x:f>
      </x:c>
      <x:c r="AG1881" t="str">
        <x:f>IF(NOT(ISNUMBER(T1881)),"PENDING",IF(AF1881&gt;0,"PASS","FAIL"))</x:f>
        <x:v>PENDING</x:v>
      </x:c>
      <x:c r="AH1881" t="str">
        <x:f>IF(NOT(ISNUMBER(T1881)),"Needs supplier cost",IF(K1881&lt;&gt;"In stock","Supplier unavailable",IF(AG1881&lt;&gt;"PASS","BLOCK - GT loss risk","Commercially protected")))</x:f>
        <x:v>Needs supplier cost</x:v>
      </x:c>
      <x:c r="AI1881" t="str">
        <x:v>2026-09-10 Active Sports trade capture</x:v>
      </x:c>
      <x:c r="AJ1881" t="str">
        <x:v>Management-only economics. Stripe stress test uses 1.5% + £0.20 standard UK online-card fee; pallet/mix-and-match pricing ignored.</x:v>
      </x:c>
    </x:row>
    <x:row r="1882">
      <x:c r="A1882" t="str">
        <x:v>Active Sports Nutrition</x:v>
      </x:c>
      <x:c r="B1882" t="str">
        <x:v>Per4m</x:v>
      </x:c>
      <x:c r="C1882" t="str">
        <x:v>Cream of Rice</x:v>
      </x:c>
      <x:c r="D1882" t="str">
        <x:v>Supplements</x:v>
      </x:c>
      <x:c r="E1882" t="str">
        <x:v>Carbohydrates</x:v>
      </x:c>
      <x:c r="F1882" t="str"/>
      <x:c r="G1882" t="str">
        <x:v>2kg</x:v>
      </x:c>
      <x:c r="H1882" t="str">
        <x:v>Banoffee Pie</x:v>
      </x:c>
      <x:c r="I1882" t="str"/>
      <x:c r="J1882" t="str">
        <x:v>Unit</x:v>
      </x:c>
      <x:c r="K1882" t="str">
        <x:v>In stock</x:v>
      </x:c>
      <x:c r="L1882" t="str">
        <x:v>2026-09-08</x:v>
      </x:c>
      <x:c r="M1882" t="str"/>
      <x:c r="N1882" t="str"/>
      <x:c r="O1882" t="str">
        <x:v>https://www.activesportstrade.co.uk/per4m-trade</x:v>
      </x:c>
      <x:c r="P1882" t="str"/>
      <x:c r="Q1882" t="str"/>
      <x:c r="R1882" t="str"/>
      <x:c r="S1882" t="str">
        <x:v>Pending genuine supplier/brand image</x:v>
      </x:c>
      <x:c r="T1882" s="54" t="n">
        <x:v>10.97</x:v>
      </x:c>
      <x:c r="U1882" s="47" t="n">
        <x:v>0.2</x:v>
      </x:c>
      <x:c r="V1882" s="54" t="n">
        <x:f>IF(ISNUMBER(T1882),T1882*(1+U1882),"")</x:f>
        <x:v>13.164</x:v>
      </x:c>
      <x:c r="W1882" s="47" t="n">
        <x:v>0.3</x:v>
      </x:c>
      <x:c r="X1882" s="54" t="n">
        <x:f>IF(ISNUMBER(V1882),V1882/(1-W1882),"")</x:f>
        <x:v>18.805714285714288</x:v>
      </x:c>
      <x:c r="Y1882" s="55" t="n">
        <x:f>IF(ISNUMBER(X1882),ROUNDUP(X1882,0),"")</x:f>
        <x:v>19</x:v>
      </x:c>
      <x:c r="Z1882" t="str">
        <x:v>Source match pending</x:v>
      </x:c>
      <x:c r="AA1882" t="str">
        <x:v>screencapture-www-activesportstrade-co-uk-per4m-nutrition-trade-2026-09-10-09_06_42.pdf / page-02</x:v>
      </x:c>
      <x:c r="AB1882" s="36" t="n">
        <x:f>IF(ISNUMBER(Y1882),ROUND(Y1882*0.9,2),"")</x:f>
        <x:v>17.1</x:v>
      </x:c>
      <x:c r="AC1882" s="36" t="n">
        <x:f>IF(ISNUMBER(AB1882),ROUND(AB1882-(AB1882*0.015+0.2)-V1882,2),"")</x:f>
        <x:v>3.48</x:v>
      </x:c>
      <x:c r="AD1882" s="36" t="n">
        <x:f>IF(ISNUMBER(Y1882),ROUND(Y1882*0.8,2),"")</x:f>
        <x:v>15.2</x:v>
      </x:c>
      <x:c r="AE1882" s="36" t="n">
        <x:f>IF(ISNUMBER(AD1882),ROUND(AD1882*0.015+0.2,2),"")</x:f>
        <x:v>0.43</x:v>
      </x:c>
      <x:c r="AF1882" s="36" t="n">
        <x:f>IF(ISNUMBER(AD1882),ROUND(AD1882-AE1882-V1882,2),"")</x:f>
        <x:v>1.61</x:v>
      </x:c>
      <x:c r="AG1882" t="str">
        <x:f>IF(NOT(ISNUMBER(T1882)),"PENDING",IF(AF1882&gt;0,"PASS","FAIL"))</x:f>
        <x:v>PASS</x:v>
      </x:c>
      <x:c r="AH1882" t="str">
        <x:f>IF(NOT(ISNUMBER(T1882)),"Needs supplier cost",IF(K1882&lt;&gt;"In stock","Supplier unavailable",IF(AG1882&lt;&gt;"PASS","BLOCK - GT loss risk","Commercially protected")))</x:f>
        <x:v>Commercially protected</x:v>
      </x:c>
      <x:c r="AI1882" t="str">
        <x:v>2026-09-10 Active Sports trade capture</x:v>
      </x:c>
      <x:c r="AJ1882" t="str">
        <x:v>Management-only economics. Stripe stress test uses 1.5% + £0.20 standard UK online-card fee; pallet/mix-and-match pricing ignored.</x:v>
      </x:c>
    </x:row>
    <x:row r="1883">
      <x:c r="A1883" t="str">
        <x:v>Active Sports Nutrition</x:v>
      </x:c>
      <x:c r="B1883" t="str">
        <x:v>Per4m</x:v>
      </x:c>
      <x:c r="C1883" t="str">
        <x:v>Cream of Rice</x:v>
      </x:c>
      <x:c r="D1883" t="str">
        <x:v>Supplements</x:v>
      </x:c>
      <x:c r="E1883" t="str">
        <x:v>Carbohydrates</x:v>
      </x:c>
      <x:c r="F1883" t="str"/>
      <x:c r="G1883" t="str">
        <x:v>2kg</x:v>
      </x:c>
      <x:c r="H1883" t="str">
        <x:v>Caramel Biscuit</x:v>
      </x:c>
      <x:c r="I1883" t="str"/>
      <x:c r="J1883" t="str">
        <x:v>Unit</x:v>
      </x:c>
      <x:c r="K1883" t="str">
        <x:v>In stock</x:v>
      </x:c>
      <x:c r="L1883" t="str">
        <x:v>2026-09-08</x:v>
      </x:c>
      <x:c r="M1883" t="str"/>
      <x:c r="N1883" t="str"/>
      <x:c r="O1883" t="str">
        <x:v>https://www.activesportstrade.co.uk/per4m-trade</x:v>
      </x:c>
      <x:c r="P1883" t="str"/>
      <x:c r="Q1883" t="str"/>
      <x:c r="R1883" t="str"/>
      <x:c r="S1883" t="str">
        <x:v>Pending genuine supplier/brand image</x:v>
      </x:c>
      <x:c r="T1883" s="54" t="n">
        <x:v>10.97</x:v>
      </x:c>
      <x:c r="U1883" s="47" t="n">
        <x:v>0.2</x:v>
      </x:c>
      <x:c r="V1883" s="54" t="n">
        <x:f>IF(ISNUMBER(T1883),T1883*(1+U1883),"")</x:f>
        <x:v>13.164</x:v>
      </x:c>
      <x:c r="W1883" s="47" t="n">
        <x:v>0.3</x:v>
      </x:c>
      <x:c r="X1883" s="54" t="n">
        <x:f>IF(ISNUMBER(V1883),V1883/(1-W1883),"")</x:f>
        <x:v>18.805714285714288</x:v>
      </x:c>
      <x:c r="Y1883" s="55" t="n">
        <x:f>IF(ISNUMBER(X1883),ROUNDUP(X1883,0),"")</x:f>
        <x:v>19</x:v>
      </x:c>
      <x:c r="Z1883" t="str">
        <x:v>Source match pending</x:v>
      </x:c>
      <x:c r="AA1883" t="str">
        <x:v>screencapture-www-activesportstrade-co-uk-per4m-nutrition-trade-2026-09-10-09_06_42.pdf / page-02</x:v>
      </x:c>
      <x:c r="AB1883" s="36" t="n">
        <x:f>IF(ISNUMBER(Y1883),ROUND(Y1883*0.9,2),"")</x:f>
        <x:v>17.1</x:v>
      </x:c>
      <x:c r="AC1883" s="36" t="n">
        <x:f>IF(ISNUMBER(AB1883),ROUND(AB1883-(AB1883*0.015+0.2)-V1883,2),"")</x:f>
        <x:v>3.48</x:v>
      </x:c>
      <x:c r="AD1883" s="36" t="n">
        <x:f>IF(ISNUMBER(Y1883),ROUND(Y1883*0.8,2),"")</x:f>
        <x:v>15.2</x:v>
      </x:c>
      <x:c r="AE1883" s="36" t="n">
        <x:f>IF(ISNUMBER(AD1883),ROUND(AD1883*0.015+0.2,2),"")</x:f>
        <x:v>0.43</x:v>
      </x:c>
      <x:c r="AF1883" s="36" t="n">
        <x:f>IF(ISNUMBER(AD1883),ROUND(AD1883-AE1883-V1883,2),"")</x:f>
        <x:v>1.61</x:v>
      </x:c>
      <x:c r="AG1883" t="str">
        <x:f>IF(NOT(ISNUMBER(T1883)),"PENDING",IF(AF1883&gt;0,"PASS","FAIL"))</x:f>
        <x:v>PASS</x:v>
      </x:c>
      <x:c r="AH1883" t="str">
        <x:f>IF(NOT(ISNUMBER(T1883)),"Needs supplier cost",IF(K1883&lt;&gt;"In stock","Supplier unavailable",IF(AG1883&lt;&gt;"PASS","BLOCK - GT loss risk","Commercially protected")))</x:f>
        <x:v>Commercially protected</x:v>
      </x:c>
      <x:c r="AI1883" t="str">
        <x:v>2026-09-10 Active Sports trade capture</x:v>
      </x:c>
      <x:c r="AJ1883" t="str">
        <x:v>Management-only economics. Stripe stress test uses 1.5% + £0.20 standard UK online-card fee; pallet/mix-and-match pricing ignored.</x:v>
      </x:c>
    </x:row>
    <x:row r="1884">
      <x:c r="A1884" t="str">
        <x:v>Active Sports Nutrition</x:v>
      </x:c>
      <x:c r="B1884" t="str">
        <x:v>Per4m</x:v>
      </x:c>
      <x:c r="C1884" t="str">
        <x:v>Cream of Rice</x:v>
      </x:c>
      <x:c r="D1884" t="str">
        <x:v>Supplements</x:v>
      </x:c>
      <x:c r="E1884" t="str">
        <x:v>Carbohydrates</x:v>
      </x:c>
      <x:c r="F1884" t="str"/>
      <x:c r="G1884" t="str">
        <x:v>2kg</x:v>
      </x:c>
      <x:c r="H1884" t="str">
        <x:v>Chocolate Brownie</x:v>
      </x:c>
      <x:c r="I1884" t="str"/>
      <x:c r="J1884" t="str">
        <x:v>Unit</x:v>
      </x:c>
      <x:c r="K1884" t="str">
        <x:v>In stock</x:v>
      </x:c>
      <x:c r="L1884" t="str">
        <x:v>2026-09-08</x:v>
      </x:c>
      <x:c r="M1884" t="str"/>
      <x:c r="N1884" t="str"/>
      <x:c r="O1884" t="str">
        <x:v>https://www.activesportstrade.co.uk/per4m-trade</x:v>
      </x:c>
      <x:c r="P1884" t="str"/>
      <x:c r="Q1884" t="str"/>
      <x:c r="R1884" t="str"/>
      <x:c r="S1884" t="str">
        <x:v>Pending genuine supplier/brand image</x:v>
      </x:c>
      <x:c r="T1884" s="54" t="n">
        <x:v>10.97</x:v>
      </x:c>
      <x:c r="U1884" s="47" t="n">
        <x:v>0.2</x:v>
      </x:c>
      <x:c r="V1884" s="54" t="n">
        <x:f>IF(ISNUMBER(T1884),T1884*(1+U1884),"")</x:f>
        <x:v>13.164</x:v>
      </x:c>
      <x:c r="W1884" s="47" t="n">
        <x:v>0.3</x:v>
      </x:c>
      <x:c r="X1884" s="54" t="n">
        <x:f>IF(ISNUMBER(V1884),V1884/(1-W1884),"")</x:f>
        <x:v>18.805714285714288</x:v>
      </x:c>
      <x:c r="Y1884" s="55" t="n">
        <x:f>IF(ISNUMBER(X1884),ROUNDUP(X1884,0),"")</x:f>
        <x:v>19</x:v>
      </x:c>
      <x:c r="Z1884" t="str">
        <x:v>Source match pending</x:v>
      </x:c>
      <x:c r="AA1884" t="str">
        <x:v>screencapture-www-activesportstrade-co-uk-per4m-nutrition-trade-2026-09-10-09_06_42.pdf / page-02</x:v>
      </x:c>
      <x:c r="AB1884" s="36" t="n">
        <x:f>IF(ISNUMBER(Y1884),ROUND(Y1884*0.9,2),"")</x:f>
        <x:v>17.1</x:v>
      </x:c>
      <x:c r="AC1884" s="36" t="n">
        <x:f>IF(ISNUMBER(AB1884),ROUND(AB1884-(AB1884*0.015+0.2)-V1884,2),"")</x:f>
        <x:v>3.48</x:v>
      </x:c>
      <x:c r="AD1884" s="36" t="n">
        <x:f>IF(ISNUMBER(Y1884),ROUND(Y1884*0.8,2),"")</x:f>
        <x:v>15.2</x:v>
      </x:c>
      <x:c r="AE1884" s="36" t="n">
        <x:f>IF(ISNUMBER(AD1884),ROUND(AD1884*0.015+0.2,2),"")</x:f>
        <x:v>0.43</x:v>
      </x:c>
      <x:c r="AF1884" s="36" t="n">
        <x:f>IF(ISNUMBER(AD1884),ROUND(AD1884-AE1884-V1884,2),"")</x:f>
        <x:v>1.61</x:v>
      </x:c>
      <x:c r="AG1884" t="str">
        <x:f>IF(NOT(ISNUMBER(T1884)),"PENDING",IF(AF1884&gt;0,"PASS","FAIL"))</x:f>
        <x:v>PASS</x:v>
      </x:c>
      <x:c r="AH1884" t="str">
        <x:f>IF(NOT(ISNUMBER(T1884)),"Needs supplier cost",IF(K1884&lt;&gt;"In stock","Supplier unavailable",IF(AG1884&lt;&gt;"PASS","BLOCK - GT loss risk","Commercially protected")))</x:f>
        <x:v>Commercially protected</x:v>
      </x:c>
      <x:c r="AI1884" t="str">
        <x:v>2026-09-10 Active Sports trade capture</x:v>
      </x:c>
      <x:c r="AJ1884" t="str">
        <x:v>Management-only economics. Stripe stress test uses 1.5% + £0.20 standard UK online-card fee; pallet/mix-and-match pricing ignored.</x:v>
      </x:c>
    </x:row>
    <x:row r="1885">
      <x:c r="A1885" t="str">
        <x:v>Active Sports Nutrition</x:v>
      </x:c>
      <x:c r="B1885" t="str">
        <x:v>Per4m</x:v>
      </x:c>
      <x:c r="C1885" t="str">
        <x:v>Cream of Rice</x:v>
      </x:c>
      <x:c r="D1885" t="str">
        <x:v>Supplements</x:v>
      </x:c>
      <x:c r="E1885" t="str">
        <x:v>Carbohydrates</x:v>
      </x:c>
      <x:c r="F1885" t="str"/>
      <x:c r="G1885" t="str">
        <x:v>2kg</x:v>
      </x:c>
      <x:c r="H1885" t="str">
        <x:v>Chocolate Hazelnut</x:v>
      </x:c>
      <x:c r="I1885" t="str"/>
      <x:c r="J1885" t="str">
        <x:v>Unit</x:v>
      </x:c>
      <x:c r="K1885" t="str">
        <x:v>In stock</x:v>
      </x:c>
      <x:c r="L1885" t="str">
        <x:v>2026-09-08</x:v>
      </x:c>
      <x:c r="M1885" t="str"/>
      <x:c r="N1885" t="str"/>
      <x:c r="O1885" t="str">
        <x:v>https://www.activesportstrade.co.uk/per4m-trade</x:v>
      </x:c>
      <x:c r="P1885" t="str"/>
      <x:c r="Q1885" t="str"/>
      <x:c r="R1885" t="str"/>
      <x:c r="S1885" t="str">
        <x:v>Pending genuine supplier/brand image</x:v>
      </x:c>
      <x:c r="T1885" s="54" t="n">
        <x:v>10.97</x:v>
      </x:c>
      <x:c r="U1885" s="47" t="n">
        <x:v>0.2</x:v>
      </x:c>
      <x:c r="V1885" s="54" t="n">
        <x:f>IF(ISNUMBER(T1885),T1885*(1+U1885),"")</x:f>
        <x:v>13.164</x:v>
      </x:c>
      <x:c r="W1885" s="47" t="n">
        <x:v>0.3</x:v>
      </x:c>
      <x:c r="X1885" s="54" t="n">
        <x:f>IF(ISNUMBER(V1885),V1885/(1-W1885),"")</x:f>
        <x:v>18.805714285714288</x:v>
      </x:c>
      <x:c r="Y1885" s="55" t="n">
        <x:f>IF(ISNUMBER(X1885),ROUNDUP(X1885,0),"")</x:f>
        <x:v>19</x:v>
      </x:c>
      <x:c r="Z1885" t="str">
        <x:v>Source match pending</x:v>
      </x:c>
      <x:c r="AA1885" t="str">
        <x:v>screencapture-www-activesportstrade-co-uk-per4m-nutrition-trade-2026-09-10-09_06_42.pdf / page-02</x:v>
      </x:c>
      <x:c r="AB1885" s="36" t="n">
        <x:f>IF(ISNUMBER(Y1885),ROUND(Y1885*0.9,2),"")</x:f>
        <x:v>17.1</x:v>
      </x:c>
      <x:c r="AC1885" s="36" t="n">
        <x:f>IF(ISNUMBER(AB1885),ROUND(AB1885-(AB1885*0.015+0.2)-V1885,2),"")</x:f>
        <x:v>3.48</x:v>
      </x:c>
      <x:c r="AD1885" s="36" t="n">
        <x:f>IF(ISNUMBER(Y1885),ROUND(Y1885*0.8,2),"")</x:f>
        <x:v>15.2</x:v>
      </x:c>
      <x:c r="AE1885" s="36" t="n">
        <x:f>IF(ISNUMBER(AD1885),ROUND(AD1885*0.015+0.2,2),"")</x:f>
        <x:v>0.43</x:v>
      </x:c>
      <x:c r="AF1885" s="36" t="n">
        <x:f>IF(ISNUMBER(AD1885),ROUND(AD1885-AE1885-V1885,2),"")</x:f>
        <x:v>1.61</x:v>
      </x:c>
      <x:c r="AG1885" t="str">
        <x:f>IF(NOT(ISNUMBER(T1885)),"PENDING",IF(AF1885&gt;0,"PASS","FAIL"))</x:f>
        <x:v>PASS</x:v>
      </x:c>
      <x:c r="AH1885" t="str">
        <x:f>IF(NOT(ISNUMBER(T1885)),"Needs supplier cost",IF(K1885&lt;&gt;"In stock","Supplier unavailable",IF(AG1885&lt;&gt;"PASS","BLOCK - GT loss risk","Commercially protected")))</x:f>
        <x:v>Commercially protected</x:v>
      </x:c>
      <x:c r="AI1885" t="str">
        <x:v>2026-09-10 Active Sports trade capture</x:v>
      </x:c>
      <x:c r="AJ1885" t="str">
        <x:v>Management-only economics. Stripe stress test uses 1.5% + £0.20 standard UK online-card fee; pallet/mix-and-match pricing ignored.</x:v>
      </x:c>
    </x:row>
    <x:row r="1886">
      <x:c r="A1886" t="str">
        <x:v>Active Sports Nutrition</x:v>
      </x:c>
      <x:c r="B1886" t="str">
        <x:v>Per4m</x:v>
      </x:c>
      <x:c r="C1886" t="str">
        <x:v>Cream of Rice</x:v>
      </x:c>
      <x:c r="D1886" t="str">
        <x:v>Supplements</x:v>
      </x:c>
      <x:c r="E1886" t="str">
        <x:v>Carbohydrates</x:v>
      </x:c>
      <x:c r="F1886" t="str"/>
      <x:c r="G1886" t="str">
        <x:v>2kg</x:v>
      </x:c>
      <x:c r="H1886" t="str">
        <x:v>Cinnamon Donut</x:v>
      </x:c>
      <x:c r="I1886" t="str"/>
      <x:c r="J1886" t="str">
        <x:v>Unit</x:v>
      </x:c>
      <x:c r="K1886" t="str">
        <x:v>In stock</x:v>
      </x:c>
      <x:c r="L1886" t="str">
        <x:v>2026-09-08</x:v>
      </x:c>
      <x:c r="M1886" t="str"/>
      <x:c r="N1886" t="str"/>
      <x:c r="O1886" t="str">
        <x:v>https://www.activesportstrade.co.uk/per4m-trade</x:v>
      </x:c>
      <x:c r="P1886" t="str"/>
      <x:c r="Q1886" t="str"/>
      <x:c r="R1886" t="str"/>
      <x:c r="S1886" t="str">
        <x:v>Pending genuine supplier/brand image</x:v>
      </x:c>
      <x:c r="T1886" s="54" t="n">
        <x:v>10.97</x:v>
      </x:c>
      <x:c r="U1886" s="47" t="n">
        <x:v>0.2</x:v>
      </x:c>
      <x:c r="V1886" s="54" t="n">
        <x:f>IF(ISNUMBER(T1886),T1886*(1+U1886),"")</x:f>
        <x:v>13.164</x:v>
      </x:c>
      <x:c r="W1886" s="47" t="n">
        <x:v>0.3</x:v>
      </x:c>
      <x:c r="X1886" s="54" t="n">
        <x:f>IF(ISNUMBER(V1886),V1886/(1-W1886),"")</x:f>
        <x:v>18.805714285714288</x:v>
      </x:c>
      <x:c r="Y1886" s="55" t="n">
        <x:f>IF(ISNUMBER(X1886),ROUNDUP(X1886,0),"")</x:f>
        <x:v>19</x:v>
      </x:c>
      <x:c r="Z1886" t="str">
        <x:v>Source match pending</x:v>
      </x:c>
      <x:c r="AA1886" t="str">
        <x:v>screencapture-www-activesportstrade-co-uk-per4m-nutrition-trade-2026-09-10-09_06_42.pdf / page-02</x:v>
      </x:c>
      <x:c r="AB1886" s="36" t="n">
        <x:f>IF(ISNUMBER(Y1886),ROUND(Y1886*0.9,2),"")</x:f>
        <x:v>17.1</x:v>
      </x:c>
      <x:c r="AC1886" s="36" t="n">
        <x:f>IF(ISNUMBER(AB1886),ROUND(AB1886-(AB1886*0.015+0.2)-V1886,2),"")</x:f>
        <x:v>3.48</x:v>
      </x:c>
      <x:c r="AD1886" s="36" t="n">
        <x:f>IF(ISNUMBER(Y1886),ROUND(Y1886*0.8,2),"")</x:f>
        <x:v>15.2</x:v>
      </x:c>
      <x:c r="AE1886" s="36" t="n">
        <x:f>IF(ISNUMBER(AD1886),ROUND(AD1886*0.015+0.2,2),"")</x:f>
        <x:v>0.43</x:v>
      </x:c>
      <x:c r="AF1886" s="36" t="n">
        <x:f>IF(ISNUMBER(AD1886),ROUND(AD1886-AE1886-V1886,2),"")</x:f>
        <x:v>1.61</x:v>
      </x:c>
      <x:c r="AG1886" t="str">
        <x:f>IF(NOT(ISNUMBER(T1886)),"PENDING",IF(AF1886&gt;0,"PASS","FAIL"))</x:f>
        <x:v>PASS</x:v>
      </x:c>
      <x:c r="AH1886" t="str">
        <x:f>IF(NOT(ISNUMBER(T1886)),"Needs supplier cost",IF(K1886&lt;&gt;"In stock","Supplier unavailable",IF(AG1886&lt;&gt;"PASS","BLOCK - GT loss risk","Commercially protected")))</x:f>
        <x:v>Commercially protected</x:v>
      </x:c>
      <x:c r="AI1886" t="str">
        <x:v>2026-09-10 Active Sports trade capture</x:v>
      </x:c>
      <x:c r="AJ1886" t="str">
        <x:v>Management-only economics. Stripe stress test uses 1.5% + £0.20 standard UK online-card fee; pallet/mix-and-match pricing ignored.</x:v>
      </x:c>
    </x:row>
    <x:row r="1887">
      <x:c r="A1887" t="str">
        <x:v>Active Sports Nutrition</x:v>
      </x:c>
      <x:c r="B1887" t="str">
        <x:v>Per4m</x:v>
      </x:c>
      <x:c r="C1887" t="str">
        <x:v>Cream of Rice</x:v>
      </x:c>
      <x:c r="D1887" t="str">
        <x:v>Supplements</x:v>
      </x:c>
      <x:c r="E1887" t="str">
        <x:v>Carbohydrates</x:v>
      </x:c>
      <x:c r="F1887" t="str"/>
      <x:c r="G1887" t="str">
        <x:v>2kg</x:v>
      </x:c>
      <x:c r="H1887" t="str">
        <x:v>Golden Syrup</x:v>
      </x:c>
      <x:c r="I1887" t="str"/>
      <x:c r="J1887" t="str">
        <x:v>Unit</x:v>
      </x:c>
      <x:c r="K1887" t="str">
        <x:v>In stock</x:v>
      </x:c>
      <x:c r="L1887" t="str">
        <x:v>2026-09-08</x:v>
      </x:c>
      <x:c r="M1887" t="str"/>
      <x:c r="N1887" t="str"/>
      <x:c r="O1887" t="str">
        <x:v>https://www.activesportstrade.co.uk/per4m-trade</x:v>
      </x:c>
      <x:c r="P1887" t="str"/>
      <x:c r="Q1887" t="str"/>
      <x:c r="R1887" t="str"/>
      <x:c r="S1887" t="str">
        <x:v>Pending genuine supplier/brand image</x:v>
      </x:c>
      <x:c r="T1887" s="54" t="n">
        <x:v>10.97</x:v>
      </x:c>
      <x:c r="U1887" s="47" t="n">
        <x:v>0.2</x:v>
      </x:c>
      <x:c r="V1887" s="54" t="n">
        <x:f>IF(ISNUMBER(T1887),T1887*(1+U1887),"")</x:f>
        <x:v>13.164</x:v>
      </x:c>
      <x:c r="W1887" s="47" t="n">
        <x:v>0.3</x:v>
      </x:c>
      <x:c r="X1887" s="54" t="n">
        <x:f>IF(ISNUMBER(V1887),V1887/(1-W1887),"")</x:f>
        <x:v>18.805714285714288</x:v>
      </x:c>
      <x:c r="Y1887" s="55" t="n">
        <x:f>IF(ISNUMBER(X1887),ROUNDUP(X1887,0),"")</x:f>
        <x:v>19</x:v>
      </x:c>
      <x:c r="Z1887" t="str">
        <x:v>Source match pending</x:v>
      </x:c>
      <x:c r="AA1887" t="str">
        <x:v>screencapture-www-activesportstrade-co-uk-per4m-nutrition-trade-2026-09-10-09_06_42.pdf / page-02</x:v>
      </x:c>
      <x:c r="AB1887" s="36" t="n">
        <x:f>IF(ISNUMBER(Y1887),ROUND(Y1887*0.9,2),"")</x:f>
        <x:v>17.1</x:v>
      </x:c>
      <x:c r="AC1887" s="36" t="n">
        <x:f>IF(ISNUMBER(AB1887),ROUND(AB1887-(AB1887*0.015+0.2)-V1887,2),"")</x:f>
        <x:v>3.48</x:v>
      </x:c>
      <x:c r="AD1887" s="36" t="n">
        <x:f>IF(ISNUMBER(Y1887),ROUND(Y1887*0.8,2),"")</x:f>
        <x:v>15.2</x:v>
      </x:c>
      <x:c r="AE1887" s="36" t="n">
        <x:f>IF(ISNUMBER(AD1887),ROUND(AD1887*0.015+0.2,2),"")</x:f>
        <x:v>0.43</x:v>
      </x:c>
      <x:c r="AF1887" s="36" t="n">
        <x:f>IF(ISNUMBER(AD1887),ROUND(AD1887-AE1887-V1887,2),"")</x:f>
        <x:v>1.61</x:v>
      </x:c>
      <x:c r="AG1887" t="str">
        <x:f>IF(NOT(ISNUMBER(T1887)),"PENDING",IF(AF1887&gt;0,"PASS","FAIL"))</x:f>
        <x:v>PASS</x:v>
      </x:c>
      <x:c r="AH1887" t="str">
        <x:f>IF(NOT(ISNUMBER(T1887)),"Needs supplier cost",IF(K1887&lt;&gt;"In stock","Supplier unavailable",IF(AG1887&lt;&gt;"PASS","BLOCK - GT loss risk","Commercially protected")))</x:f>
        <x:v>Commercially protected</x:v>
      </x:c>
      <x:c r="AI1887" t="str">
        <x:v>2026-09-10 Active Sports trade capture</x:v>
      </x:c>
      <x:c r="AJ1887" t="str">
        <x:v>Management-only economics. Stripe stress test uses 1.5% + £0.20 standard UK online-card fee; pallet/mix-and-match pricing ignored.</x:v>
      </x:c>
    </x:row>
    <x:row r="1888">
      <x:c r="A1888" t="str">
        <x:v>Active Sports Nutrition</x:v>
      </x:c>
      <x:c r="B1888" t="str">
        <x:v>Per4m</x:v>
      </x:c>
      <x:c r="C1888" t="str">
        <x:v>Cream of Rice</x:v>
      </x:c>
      <x:c r="D1888" t="str">
        <x:v>Supplements</x:v>
      </x:c>
      <x:c r="E1888" t="str">
        <x:v>Carbohydrates</x:v>
      </x:c>
      <x:c r="F1888" t="str"/>
      <x:c r="G1888" t="str">
        <x:v>2kg</x:v>
      </x:c>
      <x:c r="H1888" t="str">
        <x:v>Jammy Biscuit</x:v>
      </x:c>
      <x:c r="I1888" t="str"/>
      <x:c r="J1888" t="str">
        <x:v>Unit</x:v>
      </x:c>
      <x:c r="K1888" t="str">
        <x:v>In stock</x:v>
      </x:c>
      <x:c r="L1888" t="str">
        <x:v>2026-09-08</x:v>
      </x:c>
      <x:c r="M1888" t="str"/>
      <x:c r="N1888" t="str"/>
      <x:c r="O1888" t="str">
        <x:v>https://www.activesportstrade.co.uk/per4m-trade</x:v>
      </x:c>
      <x:c r="P1888" t="str"/>
      <x:c r="Q1888" t="str"/>
      <x:c r="R1888" t="str"/>
      <x:c r="S1888" t="str">
        <x:v>Pending genuine supplier/brand image</x:v>
      </x:c>
      <x:c r="T1888" s="54" t="n">
        <x:v>10.97</x:v>
      </x:c>
      <x:c r="U1888" s="47" t="n">
        <x:v>0.2</x:v>
      </x:c>
      <x:c r="V1888" s="54" t="n">
        <x:f>IF(ISNUMBER(T1888),T1888*(1+U1888),"")</x:f>
        <x:v>13.164</x:v>
      </x:c>
      <x:c r="W1888" s="47" t="n">
        <x:v>0.3</x:v>
      </x:c>
      <x:c r="X1888" s="54" t="n">
        <x:f>IF(ISNUMBER(V1888),V1888/(1-W1888),"")</x:f>
        <x:v>18.805714285714288</x:v>
      </x:c>
      <x:c r="Y1888" s="55" t="n">
        <x:f>IF(ISNUMBER(X1888),ROUNDUP(X1888,0),"")</x:f>
        <x:v>19</x:v>
      </x:c>
      <x:c r="Z1888" t="str">
        <x:v>Source match pending</x:v>
      </x:c>
      <x:c r="AA1888" t="str">
        <x:v>screencapture-www-activesportstrade-co-uk-per4m-nutrition-trade-2026-09-10-09_06_42.pdf / page-02</x:v>
      </x:c>
      <x:c r="AB1888" s="36" t="n">
        <x:f>IF(ISNUMBER(Y1888),ROUND(Y1888*0.9,2),"")</x:f>
        <x:v>17.1</x:v>
      </x:c>
      <x:c r="AC1888" s="36" t="n">
        <x:f>IF(ISNUMBER(AB1888),ROUND(AB1888-(AB1888*0.015+0.2)-V1888,2),"")</x:f>
        <x:v>3.48</x:v>
      </x:c>
      <x:c r="AD1888" s="36" t="n">
        <x:f>IF(ISNUMBER(Y1888),ROUND(Y1888*0.8,2),"")</x:f>
        <x:v>15.2</x:v>
      </x:c>
      <x:c r="AE1888" s="36" t="n">
        <x:f>IF(ISNUMBER(AD1888),ROUND(AD1888*0.015+0.2,2),"")</x:f>
        <x:v>0.43</x:v>
      </x:c>
      <x:c r="AF1888" s="36" t="n">
        <x:f>IF(ISNUMBER(AD1888),ROUND(AD1888-AE1888-V1888,2),"")</x:f>
        <x:v>1.61</x:v>
      </x:c>
      <x:c r="AG1888" t="str">
        <x:f>IF(NOT(ISNUMBER(T1888)),"PENDING",IF(AF1888&gt;0,"PASS","FAIL"))</x:f>
        <x:v>PASS</x:v>
      </x:c>
      <x:c r="AH1888" t="str">
        <x:f>IF(NOT(ISNUMBER(T1888)),"Needs supplier cost",IF(K1888&lt;&gt;"In stock","Supplier unavailable",IF(AG1888&lt;&gt;"PASS","BLOCK - GT loss risk","Commercially protected")))</x:f>
        <x:v>Commercially protected</x:v>
      </x:c>
      <x:c r="AI1888" t="str">
        <x:v>2026-09-10 Active Sports trade capture</x:v>
      </x:c>
      <x:c r="AJ1888" t="str">
        <x:v>Management-only economics. Stripe stress test uses 1.5% + £0.20 standard UK online-card fee; pallet/mix-and-match pricing ignored.</x:v>
      </x:c>
    </x:row>
    <x:row r="1889">
      <x:c r="A1889" t="str">
        <x:v>Active Sports Nutrition</x:v>
      </x:c>
      <x:c r="B1889" t="str">
        <x:v>Per4m</x:v>
      </x:c>
      <x:c r="C1889" t="str">
        <x:v>Cream of Rice</x:v>
      </x:c>
      <x:c r="D1889" t="str">
        <x:v>Supplements</x:v>
      </x:c>
      <x:c r="E1889" t="str">
        <x:v>Carbohydrates</x:v>
      </x:c>
      <x:c r="F1889" t="str"/>
      <x:c r="G1889" t="str">
        <x:v>2kg</x:v>
      </x:c>
      <x:c r="H1889" t="str">
        <x:v>Salted Caramel</x:v>
      </x:c>
      <x:c r="I1889" t="str"/>
      <x:c r="J1889" t="str">
        <x:v>Unit</x:v>
      </x:c>
      <x:c r="K1889" t="str">
        <x:v>In stock</x:v>
      </x:c>
      <x:c r="L1889" t="str">
        <x:v>2026-09-08</x:v>
      </x:c>
      <x:c r="M1889" t="str"/>
      <x:c r="N1889" t="str"/>
      <x:c r="O1889" t="str">
        <x:v>https://www.activesportstrade.co.uk/per4m-trade</x:v>
      </x:c>
      <x:c r="P1889" t="str"/>
      <x:c r="Q1889" t="str"/>
      <x:c r="R1889" t="str"/>
      <x:c r="S1889" t="str">
        <x:v>Pending genuine supplier/brand image</x:v>
      </x:c>
      <x:c r="T1889" s="54" t="n">
        <x:v>10.97</x:v>
      </x:c>
      <x:c r="U1889" s="47" t="n">
        <x:v>0.2</x:v>
      </x:c>
      <x:c r="V1889" s="54" t="n">
        <x:f>IF(ISNUMBER(T1889),T1889*(1+U1889),"")</x:f>
        <x:v>13.164</x:v>
      </x:c>
      <x:c r="W1889" s="47" t="n">
        <x:v>0.3</x:v>
      </x:c>
      <x:c r="X1889" s="54" t="n">
        <x:f>IF(ISNUMBER(V1889),V1889/(1-W1889),"")</x:f>
        <x:v>18.805714285714288</x:v>
      </x:c>
      <x:c r="Y1889" s="55" t="n">
        <x:f>IF(ISNUMBER(X1889),ROUNDUP(X1889,0),"")</x:f>
        <x:v>19</x:v>
      </x:c>
      <x:c r="Z1889" t="str">
        <x:v>Source match pending</x:v>
      </x:c>
      <x:c r="AA1889" t="str">
        <x:v>screencapture-www-activesportstrade-co-uk-per4m-nutrition-trade-2026-09-10-09_06_42.pdf / page-02</x:v>
      </x:c>
      <x:c r="AB1889" s="36" t="n">
        <x:f>IF(ISNUMBER(Y1889),ROUND(Y1889*0.9,2),"")</x:f>
        <x:v>17.1</x:v>
      </x:c>
      <x:c r="AC1889" s="36" t="n">
        <x:f>IF(ISNUMBER(AB1889),ROUND(AB1889-(AB1889*0.015+0.2)-V1889,2),"")</x:f>
        <x:v>3.48</x:v>
      </x:c>
      <x:c r="AD1889" s="36" t="n">
        <x:f>IF(ISNUMBER(Y1889),ROUND(Y1889*0.8,2),"")</x:f>
        <x:v>15.2</x:v>
      </x:c>
      <x:c r="AE1889" s="36" t="n">
        <x:f>IF(ISNUMBER(AD1889),ROUND(AD1889*0.015+0.2,2),"")</x:f>
        <x:v>0.43</x:v>
      </x:c>
      <x:c r="AF1889" s="36" t="n">
        <x:f>IF(ISNUMBER(AD1889),ROUND(AD1889-AE1889-V1889,2),"")</x:f>
        <x:v>1.61</x:v>
      </x:c>
      <x:c r="AG1889" t="str">
        <x:f>IF(NOT(ISNUMBER(T1889)),"PENDING",IF(AF1889&gt;0,"PASS","FAIL"))</x:f>
        <x:v>PASS</x:v>
      </x:c>
      <x:c r="AH1889" t="str">
        <x:f>IF(NOT(ISNUMBER(T1889)),"Needs supplier cost",IF(K1889&lt;&gt;"In stock","Supplier unavailable",IF(AG1889&lt;&gt;"PASS","BLOCK - GT loss risk","Commercially protected")))</x:f>
        <x:v>Commercially protected</x:v>
      </x:c>
      <x:c r="AI1889" t="str">
        <x:v>2026-09-10 Active Sports trade capture</x:v>
      </x:c>
      <x:c r="AJ1889" t="str">
        <x:v>Management-only economics. Stripe stress test uses 1.5% + £0.20 standard UK online-card fee; pallet/mix-and-match pricing ignored.</x:v>
      </x:c>
    </x:row>
    <x:row r="1890">
      <x:c r="A1890" t="str">
        <x:v>Active Sports Nutrition</x:v>
      </x:c>
      <x:c r="B1890" t="str">
        <x:v>Per4m</x:v>
      </x:c>
      <x:c r="C1890" t="str">
        <x:v>Cream of Rice</x:v>
      </x:c>
      <x:c r="D1890" t="str">
        <x:v>Supplements</x:v>
      </x:c>
      <x:c r="E1890" t="str">
        <x:v>Carbohydrates</x:v>
      </x:c>
      <x:c r="F1890" t="str"/>
      <x:c r="G1890" t="str">
        <x:v>2kg</x:v>
      </x:c>
      <x:c r="H1890" t="str">
        <x:v>Sticky Toffee Pudding</x:v>
      </x:c>
      <x:c r="I1890" t="str"/>
      <x:c r="J1890" t="str">
        <x:v>Unit</x:v>
      </x:c>
      <x:c r="K1890" t="str">
        <x:v>In stock</x:v>
      </x:c>
      <x:c r="L1890" t="str">
        <x:v>2026-09-08</x:v>
      </x:c>
      <x:c r="M1890" t="str"/>
      <x:c r="N1890" t="str"/>
      <x:c r="O1890" t="str">
        <x:v>https://www.activesportstrade.co.uk/per4m-trade</x:v>
      </x:c>
      <x:c r="P1890" t="str"/>
      <x:c r="Q1890" t="str"/>
      <x:c r="R1890" t="str"/>
      <x:c r="S1890" t="str">
        <x:v>Pending genuine supplier/brand image</x:v>
      </x:c>
      <x:c r="T1890" s="54" t="n">
        <x:v>10.97</x:v>
      </x:c>
      <x:c r="U1890" s="47" t="n">
        <x:v>0.2</x:v>
      </x:c>
      <x:c r="V1890" s="54" t="n">
        <x:f>IF(ISNUMBER(T1890),T1890*(1+U1890),"")</x:f>
        <x:v>13.164</x:v>
      </x:c>
      <x:c r="W1890" s="47" t="n">
        <x:v>0.3</x:v>
      </x:c>
      <x:c r="X1890" s="54" t="n">
        <x:f>IF(ISNUMBER(V1890),V1890/(1-W1890),"")</x:f>
        <x:v>18.805714285714288</x:v>
      </x:c>
      <x:c r="Y1890" s="55" t="n">
        <x:f>IF(ISNUMBER(X1890),ROUNDUP(X1890,0),"")</x:f>
        <x:v>19</x:v>
      </x:c>
      <x:c r="Z1890" t="str">
        <x:v>Source match pending</x:v>
      </x:c>
      <x:c r="AA1890" t="str">
        <x:v>screencapture-www-activesportstrade-co-uk-per4m-nutrition-trade-2026-09-10-09_06_42.pdf / page-02</x:v>
      </x:c>
      <x:c r="AB1890" s="36" t="n">
        <x:f>IF(ISNUMBER(Y1890),ROUND(Y1890*0.9,2),"")</x:f>
        <x:v>17.1</x:v>
      </x:c>
      <x:c r="AC1890" s="36" t="n">
        <x:f>IF(ISNUMBER(AB1890),ROUND(AB1890-(AB1890*0.015+0.2)-V1890,2),"")</x:f>
        <x:v>3.48</x:v>
      </x:c>
      <x:c r="AD1890" s="36" t="n">
        <x:f>IF(ISNUMBER(Y1890),ROUND(Y1890*0.8,2),"")</x:f>
        <x:v>15.2</x:v>
      </x:c>
      <x:c r="AE1890" s="36" t="n">
        <x:f>IF(ISNUMBER(AD1890),ROUND(AD1890*0.015+0.2,2),"")</x:f>
        <x:v>0.43</x:v>
      </x:c>
      <x:c r="AF1890" s="36" t="n">
        <x:f>IF(ISNUMBER(AD1890),ROUND(AD1890-AE1890-V1890,2),"")</x:f>
        <x:v>1.61</x:v>
      </x:c>
      <x:c r="AG1890" t="str">
        <x:f>IF(NOT(ISNUMBER(T1890)),"PENDING",IF(AF1890&gt;0,"PASS","FAIL"))</x:f>
        <x:v>PASS</x:v>
      </x:c>
      <x:c r="AH1890" t="str">
        <x:f>IF(NOT(ISNUMBER(T1890)),"Needs supplier cost",IF(K1890&lt;&gt;"In stock","Supplier unavailable",IF(AG1890&lt;&gt;"PASS","BLOCK - GT loss risk","Commercially protected")))</x:f>
        <x:v>Commercially protected</x:v>
      </x:c>
      <x:c r="AI1890" t="str">
        <x:v>2026-09-10 Active Sports trade capture</x:v>
      </x:c>
      <x:c r="AJ1890" t="str">
        <x:v>Management-only economics. Stripe stress test uses 1.5% + £0.20 standard UK online-card fee; pallet/mix-and-match pricing ignored.</x:v>
      </x:c>
    </x:row>
    <x:row r="1891">
      <x:c r="A1891" t="str">
        <x:v>Active Sports Nutrition</x:v>
      </x:c>
      <x:c r="B1891" t="str">
        <x:v>Per4m</x:v>
      </x:c>
      <x:c r="C1891" t="str">
        <x:v>Cream of Rice</x:v>
      </x:c>
      <x:c r="D1891" t="str">
        <x:v>Supplements</x:v>
      </x:c>
      <x:c r="E1891" t="str">
        <x:v>Carbohydrates</x:v>
      </x:c>
      <x:c r="F1891" t="str"/>
      <x:c r="G1891" t="str">
        <x:v>2kg</x:v>
      </x:c>
      <x:c r="H1891" t="str">
        <x:v>Vanilla Creme</x:v>
      </x:c>
      <x:c r="I1891" t="str"/>
      <x:c r="J1891" t="str">
        <x:v>Unit</x:v>
      </x:c>
      <x:c r="K1891" t="str">
        <x:v>In stock</x:v>
      </x:c>
      <x:c r="L1891" t="str">
        <x:v>2026-09-08</x:v>
      </x:c>
      <x:c r="M1891" t="str"/>
      <x:c r="N1891" t="str"/>
      <x:c r="O1891" t="str">
        <x:v>https://www.activesportstrade.co.uk/per4m-trade</x:v>
      </x:c>
      <x:c r="P1891" t="str"/>
      <x:c r="Q1891" t="str"/>
      <x:c r="R1891" t="str"/>
      <x:c r="S1891" t="str">
        <x:v>Pending genuine supplier/brand image</x:v>
      </x:c>
      <x:c r="T1891" s="54" t="n">
        <x:v>10.97</x:v>
      </x:c>
      <x:c r="U1891" s="47" t="n">
        <x:v>0.2</x:v>
      </x:c>
      <x:c r="V1891" s="54" t="n">
        <x:f>IF(ISNUMBER(T1891),T1891*(1+U1891),"")</x:f>
        <x:v>13.164</x:v>
      </x:c>
      <x:c r="W1891" s="47" t="n">
        <x:v>0.3</x:v>
      </x:c>
      <x:c r="X1891" s="54" t="n">
        <x:f>IF(ISNUMBER(V1891),V1891/(1-W1891),"")</x:f>
        <x:v>18.805714285714288</x:v>
      </x:c>
      <x:c r="Y1891" s="55" t="n">
        <x:f>IF(ISNUMBER(X1891),ROUNDUP(X1891,0),"")</x:f>
        <x:v>19</x:v>
      </x:c>
      <x:c r="Z1891" t="str">
        <x:v>Source match pending</x:v>
      </x:c>
      <x:c r="AA1891" t="str">
        <x:v>screencapture-www-activesportstrade-co-uk-per4m-nutrition-trade-2026-09-10-09_06_42.pdf / page-02</x:v>
      </x:c>
      <x:c r="AB1891" s="36" t="n">
        <x:f>IF(ISNUMBER(Y1891),ROUND(Y1891*0.9,2),"")</x:f>
        <x:v>17.1</x:v>
      </x:c>
      <x:c r="AC1891" s="36" t="n">
        <x:f>IF(ISNUMBER(AB1891),ROUND(AB1891-(AB1891*0.015+0.2)-V1891,2),"")</x:f>
        <x:v>3.48</x:v>
      </x:c>
      <x:c r="AD1891" s="36" t="n">
        <x:f>IF(ISNUMBER(Y1891),ROUND(Y1891*0.8,2),"")</x:f>
        <x:v>15.2</x:v>
      </x:c>
      <x:c r="AE1891" s="36" t="n">
        <x:f>IF(ISNUMBER(AD1891),ROUND(AD1891*0.015+0.2,2),"")</x:f>
        <x:v>0.43</x:v>
      </x:c>
      <x:c r="AF1891" s="36" t="n">
        <x:f>IF(ISNUMBER(AD1891),ROUND(AD1891-AE1891-V1891,2),"")</x:f>
        <x:v>1.61</x:v>
      </x:c>
      <x:c r="AG1891" t="str">
        <x:f>IF(NOT(ISNUMBER(T1891)),"PENDING",IF(AF1891&gt;0,"PASS","FAIL"))</x:f>
        <x:v>PASS</x:v>
      </x:c>
      <x:c r="AH1891" t="str">
        <x:f>IF(NOT(ISNUMBER(T1891)),"Needs supplier cost",IF(K1891&lt;&gt;"In stock","Supplier unavailable",IF(AG1891&lt;&gt;"PASS","BLOCK - GT loss risk","Commercially protected")))</x:f>
        <x:v>Commercially protected</x:v>
      </x:c>
      <x:c r="AI1891" t="str">
        <x:v>2026-09-10 Active Sports trade capture</x:v>
      </x:c>
      <x:c r="AJ1891" t="str">
        <x:v>Management-only economics. Stripe stress test uses 1.5% + £0.20 standard UK online-card fee; pallet/mix-and-match pricing ignored.</x:v>
      </x:c>
    </x:row>
    <x:row r="1892">
      <x:c r="A1892" t="str">
        <x:v>Active Sports Nutrition</x:v>
      </x:c>
      <x:c r="B1892" t="str">
        <x:v>Per4m</x:v>
      </x:c>
      <x:c r="C1892" t="str">
        <x:v>Pre Workout</x:v>
      </x:c>
      <x:c r="D1892" t="str">
        <x:v>Pre Workouts</x:v>
      </x:c>
      <x:c r="E1892" t="str">
        <x:v>High Stim</x:v>
      </x:c>
      <x:c r="F1892" t="str"/>
      <x:c r="G1892" t="str">
        <x:v>30 servings</x:v>
      </x:c>
      <x:c r="H1892" t="str">
        <x:v>Blue Raspberry</x:v>
      </x:c>
      <x:c r="I1892" t="str"/>
      <x:c r="J1892" t="str">
        <x:v>Unit</x:v>
      </x:c>
      <x:c r="K1892" t="str">
        <x:v>In stock</x:v>
      </x:c>
      <x:c r="L1892" t="str">
        <x:v>2026-09-08</x:v>
      </x:c>
      <x:c r="M1892" t="str"/>
      <x:c r="N1892" t="str"/>
      <x:c r="O1892" t="str">
        <x:v>https://www.activesportstrade.co.uk/per4m-trade</x:v>
      </x:c>
      <x:c r="P1892" t="str"/>
      <x:c r="Q1892" t="str"/>
      <x:c r="R1892" t="str"/>
      <x:c r="S1892" t="str">
        <x:v>Pending genuine supplier/brand image</x:v>
      </x:c>
      <x:c r="T1892" s="54"/>
      <x:c r="U1892" s="47" t="n">
        <x:v>0.2</x:v>
      </x:c>
      <x:c r="V1892" s="54" t="str">
        <x:f>IF(ISNUMBER(T1892),T1892*(1+U1892),"")</x:f>
      </x:c>
      <x:c r="W1892" s="47" t="n">
        <x:v>0.3</x:v>
      </x:c>
      <x:c r="X1892" s="54" t="str">
        <x:f>IF(ISNUMBER(V1892),V1892/(1-W1892),"")</x:f>
      </x:c>
      <x:c r="Y1892" s="55" t="str">
        <x:f>IF(ISNUMBER(X1892),ROUNDUP(X1892,0),"")</x:f>
      </x:c>
      <x:c r="Z1892" t="str">
        <x:f>IF(ISNUMBER(T1892),"Cost captured","Awaiting trade cost")</x:f>
        <x:v>Awaiting trade cost</x:v>
      </x:c>
      <x:c r="AB1892" s="36" t="str">
        <x:f>IF(ISNUMBER(Y1892),ROUND(Y1892*0.9,2),"")</x:f>
      </x:c>
      <x:c r="AC1892" s="36" t="str">
        <x:f>IF(ISNUMBER(AB1892),ROUND(AB1892-(AB1892*0.015+0.2)-V1892,2),"")</x:f>
      </x:c>
      <x:c r="AD1892" s="36" t="str">
        <x:f>IF(ISNUMBER(Y1892),ROUND(Y1892*0.8,2),"")</x:f>
      </x:c>
      <x:c r="AE1892" s="36" t="str">
        <x:f>IF(ISNUMBER(AD1892),ROUND(AD1892*0.015+0.2,2),"")</x:f>
      </x:c>
      <x:c r="AF1892" s="36" t="str">
        <x:f>IF(ISNUMBER(AD1892),ROUND(AD1892-AE1892-V1892,2),"")</x:f>
      </x:c>
      <x:c r="AG1892" t="str">
        <x:f>IF(NOT(ISNUMBER(T1892)),"PENDING",IF(AF1892&gt;0,"PASS","FAIL"))</x:f>
        <x:v>PENDING</x:v>
      </x:c>
      <x:c r="AH1892" t="str">
        <x:f>IF(NOT(ISNUMBER(T1892)),"Needs supplier cost",IF(K1892&lt;&gt;"In stock","Supplier unavailable",IF(AG1892&lt;&gt;"PASS","BLOCK - GT loss risk","Commercially protected")))</x:f>
        <x:v>Needs supplier cost</x:v>
      </x:c>
      <x:c r="AI1892" t="str">
        <x:v>2026-09-10 Active Sports trade capture</x:v>
      </x:c>
      <x:c r="AJ1892" t="str">
        <x:v>Management-only economics. Stripe stress test uses 1.5% + £0.20 standard UK online-card fee; pallet/mix-and-match pricing ignored.</x:v>
      </x:c>
    </x:row>
    <x:row r="1893">
      <x:c r="A1893" t="str">
        <x:v>Active Sports Nutrition</x:v>
      </x:c>
      <x:c r="B1893" t="str">
        <x:v>Per4m</x:v>
      </x:c>
      <x:c r="C1893" t="str">
        <x:v>Pre Workout</x:v>
      </x:c>
      <x:c r="D1893" t="str">
        <x:v>Pre Workouts</x:v>
      </x:c>
      <x:c r="E1893" t="str">
        <x:v>High Stim</x:v>
      </x:c>
      <x:c r="F1893" t="str"/>
      <x:c r="G1893" t="str">
        <x:v>30 servings</x:v>
      </x:c>
      <x:c r="H1893" t="str">
        <x:v>Cherry Cola</x:v>
      </x:c>
      <x:c r="I1893" t="str"/>
      <x:c r="J1893" t="str">
        <x:v>Unit</x:v>
      </x:c>
      <x:c r="K1893" t="str">
        <x:v>In stock</x:v>
      </x:c>
      <x:c r="L1893" t="str">
        <x:v>2026-09-08</x:v>
      </x:c>
      <x:c r="M1893" t="str"/>
      <x:c r="N1893" t="str"/>
      <x:c r="O1893" t="str">
        <x:v>https://www.activesportstrade.co.uk/per4m-trade</x:v>
      </x:c>
      <x:c r="P1893" t="str"/>
      <x:c r="Q1893" t="str"/>
      <x:c r="R1893" t="str"/>
      <x:c r="S1893" t="str">
        <x:v>Pending genuine supplier/brand image</x:v>
      </x:c>
      <x:c r="T1893" s="54"/>
      <x:c r="U1893" s="47" t="n">
        <x:v>0.2</x:v>
      </x:c>
      <x:c r="V1893" s="54" t="str">
        <x:f>IF(ISNUMBER(T1893),T1893*(1+U1893),"")</x:f>
      </x:c>
      <x:c r="W1893" s="47" t="n">
        <x:v>0.3</x:v>
      </x:c>
      <x:c r="X1893" s="54" t="str">
        <x:f>IF(ISNUMBER(V1893),V1893/(1-W1893),"")</x:f>
      </x:c>
      <x:c r="Y1893" s="55" t="str">
        <x:f>IF(ISNUMBER(X1893),ROUNDUP(X1893,0),"")</x:f>
      </x:c>
      <x:c r="Z1893" t="str">
        <x:f>IF(ISNUMBER(T1893),"Cost captured","Awaiting trade cost")</x:f>
        <x:v>Awaiting trade cost</x:v>
      </x:c>
      <x:c r="AB1893" s="36" t="str">
        <x:f>IF(ISNUMBER(Y1893),ROUND(Y1893*0.9,2),"")</x:f>
      </x:c>
      <x:c r="AC1893" s="36" t="str">
        <x:f>IF(ISNUMBER(AB1893),ROUND(AB1893-(AB1893*0.015+0.2)-V1893,2),"")</x:f>
      </x:c>
      <x:c r="AD1893" s="36" t="str">
        <x:f>IF(ISNUMBER(Y1893),ROUND(Y1893*0.8,2),"")</x:f>
      </x:c>
      <x:c r="AE1893" s="36" t="str">
        <x:f>IF(ISNUMBER(AD1893),ROUND(AD1893*0.015+0.2,2),"")</x:f>
      </x:c>
      <x:c r="AF1893" s="36" t="str">
        <x:f>IF(ISNUMBER(AD1893),ROUND(AD1893-AE1893-V1893,2),"")</x:f>
      </x:c>
      <x:c r="AG1893" t="str">
        <x:f>IF(NOT(ISNUMBER(T1893)),"PENDING",IF(AF1893&gt;0,"PASS","FAIL"))</x:f>
        <x:v>PENDING</x:v>
      </x:c>
      <x:c r="AH1893" t="str">
        <x:f>IF(NOT(ISNUMBER(T1893)),"Needs supplier cost",IF(K1893&lt;&gt;"In stock","Supplier unavailable",IF(AG1893&lt;&gt;"PASS","BLOCK - GT loss risk","Commercially protected")))</x:f>
        <x:v>Needs supplier cost</x:v>
      </x:c>
      <x:c r="AI1893" t="str">
        <x:v>2026-09-10 Active Sports trade capture</x:v>
      </x:c>
      <x:c r="AJ1893" t="str">
        <x:v>Management-only economics. Stripe stress test uses 1.5% + £0.20 standard UK online-card fee; pallet/mix-and-match pricing ignored.</x:v>
      </x:c>
    </x:row>
    <x:row r="1894">
      <x:c r="A1894" t="str">
        <x:v>Active Sports Nutrition</x:v>
      </x:c>
      <x:c r="B1894" t="str">
        <x:v>Per4m</x:v>
      </x:c>
      <x:c r="C1894" t="str">
        <x:v>Pre Workout</x:v>
      </x:c>
      <x:c r="D1894" t="str">
        <x:v>Pre Workouts</x:v>
      </x:c>
      <x:c r="E1894" t="str">
        <x:v>High Stim</x:v>
      </x:c>
      <x:c r="F1894" t="str"/>
      <x:c r="G1894" t="str">
        <x:v>30 servings</x:v>
      </x:c>
      <x:c r="H1894" t="str">
        <x:v>Fruit Punch</x:v>
      </x:c>
      <x:c r="I1894" t="str"/>
      <x:c r="J1894" t="str">
        <x:v>Unit</x:v>
      </x:c>
      <x:c r="K1894" t="str">
        <x:v>In stock</x:v>
      </x:c>
      <x:c r="L1894" t="str">
        <x:v>2026-09-08</x:v>
      </x:c>
      <x:c r="M1894" t="str"/>
      <x:c r="N1894" t="str"/>
      <x:c r="O1894" t="str">
        <x:v>https://www.activesportstrade.co.uk/per4m-trade</x:v>
      </x:c>
      <x:c r="P1894" t="str"/>
      <x:c r="Q1894" t="str"/>
      <x:c r="R1894" t="str"/>
      <x:c r="S1894" t="str">
        <x:v>Pending genuine supplier/brand image</x:v>
      </x:c>
      <x:c r="T1894" s="54"/>
      <x:c r="U1894" s="47" t="n">
        <x:v>0.2</x:v>
      </x:c>
      <x:c r="V1894" s="54" t="str">
        <x:f>IF(ISNUMBER(T1894),T1894*(1+U1894),"")</x:f>
      </x:c>
      <x:c r="W1894" s="47" t="n">
        <x:v>0.3</x:v>
      </x:c>
      <x:c r="X1894" s="54" t="str">
        <x:f>IF(ISNUMBER(V1894),V1894/(1-W1894),"")</x:f>
      </x:c>
      <x:c r="Y1894" s="55" t="str">
        <x:f>IF(ISNUMBER(X1894),ROUNDUP(X1894,0),"")</x:f>
      </x:c>
      <x:c r="Z1894" t="str">
        <x:f>IF(ISNUMBER(T1894),"Cost captured","Awaiting trade cost")</x:f>
        <x:v>Awaiting trade cost</x:v>
      </x:c>
      <x:c r="AB1894" s="36" t="str">
        <x:f>IF(ISNUMBER(Y1894),ROUND(Y1894*0.9,2),"")</x:f>
      </x:c>
      <x:c r="AC1894" s="36" t="str">
        <x:f>IF(ISNUMBER(AB1894),ROUND(AB1894-(AB1894*0.015+0.2)-V1894,2),"")</x:f>
      </x:c>
      <x:c r="AD1894" s="36" t="str">
        <x:f>IF(ISNUMBER(Y1894),ROUND(Y1894*0.8,2),"")</x:f>
      </x:c>
      <x:c r="AE1894" s="36" t="str">
        <x:f>IF(ISNUMBER(AD1894),ROUND(AD1894*0.015+0.2,2),"")</x:f>
      </x:c>
      <x:c r="AF1894" s="36" t="str">
        <x:f>IF(ISNUMBER(AD1894),ROUND(AD1894-AE1894-V1894,2),"")</x:f>
      </x:c>
      <x:c r="AG1894" t="str">
        <x:f>IF(NOT(ISNUMBER(T1894)),"PENDING",IF(AF1894&gt;0,"PASS","FAIL"))</x:f>
        <x:v>PENDING</x:v>
      </x:c>
      <x:c r="AH1894" t="str">
        <x:f>IF(NOT(ISNUMBER(T1894)),"Needs supplier cost",IF(K1894&lt;&gt;"In stock","Supplier unavailable",IF(AG1894&lt;&gt;"PASS","BLOCK - GT loss risk","Commercially protected")))</x:f>
        <x:v>Needs supplier cost</x:v>
      </x:c>
      <x:c r="AI1894" t="str">
        <x:v>2026-09-10 Active Sports trade capture</x:v>
      </x:c>
      <x:c r="AJ1894" t="str">
        <x:v>Management-only economics. Stripe stress test uses 1.5% + £0.20 standard UK online-card fee; pallet/mix-and-match pricing ignored.</x:v>
      </x:c>
    </x:row>
    <x:row r="1895">
      <x:c r="A1895" t="str">
        <x:v>Active Sports Nutrition</x:v>
      </x:c>
      <x:c r="B1895" t="str">
        <x:v>Per4m</x:v>
      </x:c>
      <x:c r="C1895" t="str">
        <x:v>Pre Workout</x:v>
      </x:c>
      <x:c r="D1895" t="str">
        <x:v>Pre Workouts</x:v>
      </x:c>
      <x:c r="E1895" t="str">
        <x:v>High Stim</x:v>
      </x:c>
      <x:c r="F1895" t="str"/>
      <x:c r="G1895" t="str">
        <x:v>30 servings</x:v>
      </x:c>
      <x:c r="H1895" t="str">
        <x:v>Orange Mango</x:v>
      </x:c>
      <x:c r="I1895" t="str"/>
      <x:c r="J1895" t="str">
        <x:v>Unit</x:v>
      </x:c>
      <x:c r="K1895" t="str">
        <x:v>In stock</x:v>
      </x:c>
      <x:c r="L1895" t="str">
        <x:v>2026-09-08</x:v>
      </x:c>
      <x:c r="M1895" t="str"/>
      <x:c r="N1895" t="str"/>
      <x:c r="O1895" t="str">
        <x:v>https://www.activesportstrade.co.uk/per4m-trade</x:v>
      </x:c>
      <x:c r="P1895" t="str"/>
      <x:c r="Q1895" t="str"/>
      <x:c r="R1895" t="str"/>
      <x:c r="S1895" t="str">
        <x:v>Pending genuine supplier/brand image</x:v>
      </x:c>
      <x:c r="T1895" s="54"/>
      <x:c r="U1895" s="47" t="n">
        <x:v>0.2</x:v>
      </x:c>
      <x:c r="V1895" s="54" t="str">
        <x:f>IF(ISNUMBER(T1895),T1895*(1+U1895),"")</x:f>
      </x:c>
      <x:c r="W1895" s="47" t="n">
        <x:v>0.3</x:v>
      </x:c>
      <x:c r="X1895" s="54" t="str">
        <x:f>IF(ISNUMBER(V1895),V1895/(1-W1895),"")</x:f>
      </x:c>
      <x:c r="Y1895" s="55" t="str">
        <x:f>IF(ISNUMBER(X1895),ROUNDUP(X1895,0),"")</x:f>
      </x:c>
      <x:c r="Z1895" t="str">
        <x:f>IF(ISNUMBER(T1895),"Cost captured","Awaiting trade cost")</x:f>
        <x:v>Awaiting trade cost</x:v>
      </x:c>
      <x:c r="AB1895" s="36" t="str">
        <x:f>IF(ISNUMBER(Y1895),ROUND(Y1895*0.9,2),"")</x:f>
      </x:c>
      <x:c r="AC1895" s="36" t="str">
        <x:f>IF(ISNUMBER(AB1895),ROUND(AB1895-(AB1895*0.015+0.2)-V1895,2),"")</x:f>
      </x:c>
      <x:c r="AD1895" s="36" t="str">
        <x:f>IF(ISNUMBER(Y1895),ROUND(Y1895*0.8,2),"")</x:f>
      </x:c>
      <x:c r="AE1895" s="36" t="str">
        <x:f>IF(ISNUMBER(AD1895),ROUND(AD1895*0.015+0.2,2),"")</x:f>
      </x:c>
      <x:c r="AF1895" s="36" t="str">
        <x:f>IF(ISNUMBER(AD1895),ROUND(AD1895-AE1895-V1895,2),"")</x:f>
      </x:c>
      <x:c r="AG1895" t="str">
        <x:f>IF(NOT(ISNUMBER(T1895)),"PENDING",IF(AF1895&gt;0,"PASS","FAIL"))</x:f>
        <x:v>PENDING</x:v>
      </x:c>
      <x:c r="AH1895" t="str">
        <x:f>IF(NOT(ISNUMBER(T1895)),"Needs supplier cost",IF(K1895&lt;&gt;"In stock","Supplier unavailable",IF(AG1895&lt;&gt;"PASS","BLOCK - GT loss risk","Commercially protected")))</x:f>
        <x:v>Needs supplier cost</x:v>
      </x:c>
      <x:c r="AI1895" t="str">
        <x:v>2026-09-10 Active Sports trade capture</x:v>
      </x:c>
      <x:c r="AJ1895" t="str">
        <x:v>Management-only economics. Stripe stress test uses 1.5% + £0.20 standard UK online-card fee; pallet/mix-and-match pricing ignored.</x:v>
      </x:c>
    </x:row>
    <x:row r="1896">
      <x:c r="A1896" t="str">
        <x:v>Active Sports Nutrition</x:v>
      </x:c>
      <x:c r="B1896" t="str">
        <x:v>Per4m</x:v>
      </x:c>
      <x:c r="C1896" t="str">
        <x:v>Pre Workout</x:v>
      </x:c>
      <x:c r="D1896" t="str">
        <x:v>Pre Workouts</x:v>
      </x:c>
      <x:c r="E1896" t="str">
        <x:v>High Stim</x:v>
      </x:c>
      <x:c r="F1896" t="str"/>
      <x:c r="G1896" t="str">
        <x:v>30 servings</x:v>
      </x:c>
      <x:c r="H1896" t="str">
        <x:v>Sour Apple</x:v>
      </x:c>
      <x:c r="I1896" t="str"/>
      <x:c r="J1896" t="str">
        <x:v>Unit</x:v>
      </x:c>
      <x:c r="K1896" t="str">
        <x:v>Out of stock</x:v>
      </x:c>
      <x:c r="L1896" t="str">
        <x:v>2026-09-08</x:v>
      </x:c>
      <x:c r="M1896" t="str"/>
      <x:c r="N1896" t="str"/>
      <x:c r="O1896" t="str">
        <x:v>https://www.activesportstrade.co.uk/per4m-trade</x:v>
      </x:c>
      <x:c r="P1896" t="str"/>
      <x:c r="Q1896" t="str"/>
      <x:c r="R1896" t="str"/>
      <x:c r="S1896" t="str">
        <x:v>Pending genuine supplier/brand image</x:v>
      </x:c>
      <x:c r="T1896" s="54"/>
      <x:c r="U1896" s="47" t="n">
        <x:v>0.2</x:v>
      </x:c>
      <x:c r="V1896" s="54" t="str">
        <x:f>IF(ISNUMBER(T1896),T1896*(1+U1896),"")</x:f>
      </x:c>
      <x:c r="W1896" s="47" t="n">
        <x:v>0.3</x:v>
      </x:c>
      <x:c r="X1896" s="54" t="str">
        <x:f>IF(ISNUMBER(V1896),V1896/(1-W1896),"")</x:f>
      </x:c>
      <x:c r="Y1896" s="55" t="str">
        <x:f>IF(ISNUMBER(X1896),ROUNDUP(X1896,0),"")</x:f>
      </x:c>
      <x:c r="Z1896" t="str">
        <x:f>IF(ISNUMBER(T1896),"Cost captured","Awaiting trade cost")</x:f>
        <x:v>Awaiting trade cost</x:v>
      </x:c>
      <x:c r="AB1896" s="36" t="str">
        <x:f>IF(ISNUMBER(Y1896),ROUND(Y1896*0.9,2),"")</x:f>
      </x:c>
      <x:c r="AC1896" s="36" t="str">
        <x:f>IF(ISNUMBER(AB1896),ROUND(AB1896-(AB1896*0.015+0.2)-V1896,2),"")</x:f>
      </x:c>
      <x:c r="AD1896" s="36" t="str">
        <x:f>IF(ISNUMBER(Y1896),ROUND(Y1896*0.8,2),"")</x:f>
      </x:c>
      <x:c r="AE1896" s="36" t="str">
        <x:f>IF(ISNUMBER(AD1896),ROUND(AD1896*0.015+0.2,2),"")</x:f>
      </x:c>
      <x:c r="AF1896" s="36" t="str">
        <x:f>IF(ISNUMBER(AD1896),ROUND(AD1896-AE1896-V1896,2),"")</x:f>
      </x:c>
      <x:c r="AG1896" t="str">
        <x:f>IF(NOT(ISNUMBER(T1896)),"PENDING",IF(AF1896&gt;0,"PASS","FAIL"))</x:f>
        <x:v>PENDING</x:v>
      </x:c>
      <x:c r="AH1896" t="str">
        <x:f>IF(NOT(ISNUMBER(T1896)),"Needs supplier cost",IF(K1896&lt;&gt;"In stock","Supplier unavailable",IF(AG1896&lt;&gt;"PASS","BLOCK - GT loss risk","Commercially protected")))</x:f>
        <x:v>Needs supplier cost</x:v>
      </x:c>
      <x:c r="AI1896" t="str">
        <x:v>2026-09-10 Active Sports trade capture</x:v>
      </x:c>
      <x:c r="AJ1896" t="str">
        <x:v>Management-only economics. Stripe stress test uses 1.5% + £0.20 standard UK online-card fee; pallet/mix-and-match pricing ignored.</x:v>
      </x:c>
    </x:row>
    <x:row r="1897">
      <x:c r="A1897" t="str">
        <x:v>Active Sports Nutrition</x:v>
      </x:c>
      <x:c r="B1897" t="str">
        <x:v>Trained By JP</x:v>
      </x:c>
      <x:c r="C1897" t="str">
        <x:v>Ashwagandha</x:v>
      </x:c>
      <x:c r="D1897" t="str">
        <x:v>Supplements</x:v>
      </x:c>
      <x:c r="E1897" t="str">
        <x:v>Health Foods</x:v>
      </x:c>
      <x:c r="F1897" t="str"/>
      <x:c r="G1897" t="str">
        <x:v>60 caps</x:v>
      </x:c>
      <x:c r="H1897" t="str">
        <x:v>Default</x:v>
      </x:c>
      <x:c r="I1897" t="str"/>
      <x:c r="J1897" t="str">
        <x:v>Unit</x:v>
      </x:c>
      <x:c r="K1897" t="str">
        <x:v>In stock</x:v>
      </x:c>
      <x:c r="L1897" t="str">
        <x:v>2026-09-08</x:v>
      </x:c>
      <x:c r="M1897" t="str"/>
      <x:c r="N1897" t="str"/>
      <x:c r="O1897" t="str">
        <x:v>https://www.activesportstrade.co.uk/trained-by-jp-trade</x:v>
      </x:c>
      <x:c r="P1897" t="str"/>
      <x:c r="Q1897" t="str"/>
      <x:c r="R1897" t="str"/>
      <x:c r="S1897" t="str">
        <x:v>Pending genuine supplier/brand image</x:v>
      </x:c>
      <x:c r="T1897" s="54" t="n">
        <x:v>7.99</x:v>
      </x:c>
      <x:c r="U1897" s="47" t="n">
        <x:v>0.2</x:v>
      </x:c>
      <x:c r="V1897" s="54" t="n">
        <x:f>IF(ISNUMBER(T1897),T1897*(1+U1897),"")</x:f>
        <x:v>9.588</x:v>
      </x:c>
      <x:c r="W1897" s="47" t="n">
        <x:v>0.3</x:v>
      </x:c>
      <x:c r="X1897" s="54" t="n">
        <x:f>IF(ISNUMBER(V1897),V1897/(1-W1897),"")</x:f>
        <x:v>13.697142857142858</x:v>
      </x:c>
      <x:c r="Y1897" s="55" t="n">
        <x:f>IF(ISNUMBER(X1897),ROUNDUP(X1897,0),"")</x:f>
        <x:v>14</x:v>
      </x:c>
      <x:c r="Z1897" t="str">
        <x:v>Source match pending</x:v>
      </x:c>
      <x:c r="AA1897" t="str">
        <x:v>screencapture-www-activesportstrade-co-uk-trained-by-jp-trade-2026-09-10-09_10_55.pdf / page-1</x:v>
      </x:c>
      <x:c r="AB1897" s="36" t="n">
        <x:f>IF(ISNUMBER(Y1897),ROUND(Y1897*0.9,2),"")</x:f>
        <x:v>12.6</x:v>
      </x:c>
      <x:c r="AC1897" s="36" t="n">
        <x:f>IF(ISNUMBER(AB1897),ROUND(AB1897-(AB1897*0.015+0.2)-V1897,2),"")</x:f>
        <x:v>2.62</x:v>
      </x:c>
      <x:c r="AD1897" s="36" t="n">
        <x:f>IF(ISNUMBER(Y1897),ROUND(Y1897*0.8,2),"")</x:f>
        <x:v>11.2</x:v>
      </x:c>
      <x:c r="AE1897" s="36" t="n">
        <x:f>IF(ISNUMBER(AD1897),ROUND(AD1897*0.015+0.2,2),"")</x:f>
        <x:v>0.37</x:v>
      </x:c>
      <x:c r="AF1897" s="36" t="n">
        <x:f>IF(ISNUMBER(AD1897),ROUND(AD1897-AE1897-V1897,2),"")</x:f>
        <x:v>1.24</x:v>
      </x:c>
      <x:c r="AG1897" t="str">
        <x:f>IF(NOT(ISNUMBER(T1897)),"PENDING",IF(AF1897&gt;0,"PASS","FAIL"))</x:f>
        <x:v>PASS</x:v>
      </x:c>
      <x:c r="AH1897" t="str">
        <x:f>IF(NOT(ISNUMBER(T1897)),"Needs supplier cost",IF(K1897&lt;&gt;"In stock","Supplier unavailable",IF(AG1897&lt;&gt;"PASS","BLOCK - GT loss risk","Commercially protected")))</x:f>
        <x:v>Commercially protected</x:v>
      </x:c>
      <x:c r="AI1897" t="str">
        <x:v>2026-09-10 Active Sports trade capture</x:v>
      </x:c>
      <x:c r="AJ1897" t="str">
        <x:v>Management-only economics. Stripe stress test uses 1.5% + £0.20 standard UK online-card fee; pallet/mix-and-match pricing ignored.</x:v>
      </x:c>
    </x:row>
    <x:row r="1898">
      <x:c r="A1898" t="str">
        <x:v>Active Sports Nutrition</x:v>
      </x:c>
      <x:c r="B1898" t="str">
        <x:v>Trained By JP</x:v>
      </x:c>
      <x:c r="C1898" t="str">
        <x:v>Berberine</x:v>
      </x:c>
      <x:c r="D1898" t="str">
        <x:v>Supplements</x:v>
      </x:c>
      <x:c r="E1898" t="str">
        <x:v>Insulin Drivers</x:v>
      </x:c>
      <x:c r="F1898" t="str"/>
      <x:c r="G1898" t="str">
        <x:v>60 caps</x:v>
      </x:c>
      <x:c r="H1898" t="str">
        <x:v>Default</x:v>
      </x:c>
      <x:c r="I1898" t="str"/>
      <x:c r="J1898" t="str">
        <x:v>Unit</x:v>
      </x:c>
      <x:c r="K1898" t="str">
        <x:v>In stock</x:v>
      </x:c>
      <x:c r="L1898" t="str">
        <x:v>2026-09-08</x:v>
      </x:c>
      <x:c r="M1898" t="str"/>
      <x:c r="N1898" t="str"/>
      <x:c r="O1898" t="str">
        <x:v>https://www.activesportstrade.co.uk/trained-by-jp-trade</x:v>
      </x:c>
      <x:c r="P1898" t="str"/>
      <x:c r="Q1898" t="str"/>
      <x:c r="R1898" t="str"/>
      <x:c r="S1898" t="str">
        <x:v>Pending genuine supplier/brand image</x:v>
      </x:c>
      <x:c r="T1898" s="54" t="n">
        <x:v>7.99</x:v>
      </x:c>
      <x:c r="U1898" s="47" t="n">
        <x:v>0.2</x:v>
      </x:c>
      <x:c r="V1898" s="54" t="n">
        <x:f>IF(ISNUMBER(T1898),T1898*(1+U1898),"")</x:f>
        <x:v>9.588</x:v>
      </x:c>
      <x:c r="W1898" s="47" t="n">
        <x:v>0.3</x:v>
      </x:c>
      <x:c r="X1898" s="54" t="n">
        <x:f>IF(ISNUMBER(V1898),V1898/(1-W1898),"")</x:f>
        <x:v>13.697142857142858</x:v>
      </x:c>
      <x:c r="Y1898" s="55" t="n">
        <x:f>IF(ISNUMBER(X1898),ROUNDUP(X1898,0),"")</x:f>
        <x:v>14</x:v>
      </x:c>
      <x:c r="Z1898" t="str">
        <x:v>Source match pending</x:v>
      </x:c>
      <x:c r="AA1898" t="str">
        <x:v>screencapture-www-activesportstrade-co-uk-trained-by-jp-trade-2026-09-10-09_10_55.pdf / page-1</x:v>
      </x:c>
      <x:c r="AB1898" s="36" t="n">
        <x:f>IF(ISNUMBER(Y1898),ROUND(Y1898*0.9,2),"")</x:f>
        <x:v>12.6</x:v>
      </x:c>
      <x:c r="AC1898" s="36" t="n">
        <x:f>IF(ISNUMBER(AB1898),ROUND(AB1898-(AB1898*0.015+0.2)-V1898,2),"")</x:f>
        <x:v>2.62</x:v>
      </x:c>
      <x:c r="AD1898" s="36" t="n">
        <x:f>IF(ISNUMBER(Y1898),ROUND(Y1898*0.8,2),"")</x:f>
        <x:v>11.2</x:v>
      </x:c>
      <x:c r="AE1898" s="36" t="n">
        <x:f>IF(ISNUMBER(AD1898),ROUND(AD1898*0.015+0.2,2),"")</x:f>
        <x:v>0.37</x:v>
      </x:c>
      <x:c r="AF1898" s="36" t="n">
        <x:f>IF(ISNUMBER(AD1898),ROUND(AD1898-AE1898-V1898,2),"")</x:f>
        <x:v>1.24</x:v>
      </x:c>
      <x:c r="AG1898" t="str">
        <x:f>IF(NOT(ISNUMBER(T1898)),"PENDING",IF(AF1898&gt;0,"PASS","FAIL"))</x:f>
        <x:v>PASS</x:v>
      </x:c>
      <x:c r="AH1898" t="str">
        <x:f>IF(NOT(ISNUMBER(T1898)),"Needs supplier cost",IF(K1898&lt;&gt;"In stock","Supplier unavailable",IF(AG1898&lt;&gt;"PASS","BLOCK - GT loss risk","Commercially protected")))</x:f>
        <x:v>Commercially protected</x:v>
      </x:c>
      <x:c r="AI1898" t="str">
        <x:v>2026-09-10 Active Sports trade capture</x:v>
      </x:c>
      <x:c r="AJ1898" t="str">
        <x:v>Management-only economics. Stripe stress test uses 1.5% + £0.20 standard UK online-card fee; pallet/mix-and-match pricing ignored.</x:v>
      </x:c>
    </x:row>
    <x:row r="1899">
      <x:c r="A1899" t="str">
        <x:v>Active Sports Nutrition</x:v>
      </x:c>
      <x:c r="B1899" t="str">
        <x:v>Trained By JP</x:v>
      </x:c>
      <x:c r="C1899" t="str">
        <x:v>Clear ISO</x:v>
      </x:c>
      <x:c r="D1899" t="str">
        <x:v>Supplements</x:v>
      </x:c>
      <x:c r="E1899" t="str">
        <x:v>Whey Protein</x:v>
      </x:c>
      <x:c r="F1899" t="str"/>
      <x:c r="G1899" t="str">
        <x:v>900g</x:v>
      </x:c>
      <x:c r="H1899" t="str">
        <x:v>Lemonade</x:v>
      </x:c>
      <x:c r="I1899" t="str"/>
      <x:c r="J1899" t="str">
        <x:v>Unit</x:v>
      </x:c>
      <x:c r="K1899" t="str">
        <x:v>Out of stock</x:v>
      </x:c>
      <x:c r="L1899" t="str">
        <x:v>2026-09-08</x:v>
      </x:c>
      <x:c r="M1899" t="str"/>
      <x:c r="N1899" t="str"/>
      <x:c r="O1899" t="str">
        <x:v>https://www.activesportstrade.co.uk/trained-by-jp-trade</x:v>
      </x:c>
      <x:c r="P1899" t="str"/>
      <x:c r="Q1899" t="str"/>
      <x:c r="R1899" t="str"/>
      <x:c r="S1899" t="str">
        <x:v>Pending genuine supplier/brand image</x:v>
      </x:c>
      <x:c r="T1899" s="54" t="n">
        <x:v>26.99</x:v>
      </x:c>
      <x:c r="U1899" s="47" t="n">
        <x:v>0.2</x:v>
      </x:c>
      <x:c r="V1899" s="54" t="n">
        <x:f>IF(ISNUMBER(T1899),T1899*(1+U1899),"")</x:f>
        <x:v>32.388</x:v>
      </x:c>
      <x:c r="W1899" s="47" t="n">
        <x:v>0.3</x:v>
      </x:c>
      <x:c r="X1899" s="54" t="n">
        <x:f>IF(ISNUMBER(V1899),V1899/(1-W1899),"")</x:f>
        <x:v>46.26857142857143</x:v>
      </x:c>
      <x:c r="Y1899" s="55" t="n">
        <x:f>IF(ISNUMBER(X1899),ROUNDUP(X1899,0),"")</x:f>
        <x:v>47</x:v>
      </x:c>
      <x:c r="Z1899" t="str">
        <x:v>Source match pending</x:v>
      </x:c>
      <x:c r="AA1899" t="str">
        <x:v>screencapture-www-activesportstrade-co-uk-trained-by-jp-trade-2026-09-10-09_10_55.pdf / page-1</x:v>
      </x:c>
      <x:c r="AB1899" s="36" t="n">
        <x:f>IF(ISNUMBER(Y1899),ROUND(Y1899*0.9,2),"")</x:f>
        <x:v>42.3</x:v>
      </x:c>
      <x:c r="AC1899" s="36" t="n">
        <x:f>IF(ISNUMBER(AB1899),ROUND(AB1899-(AB1899*0.015+0.2)-V1899,2),"")</x:f>
        <x:v>9.08</x:v>
      </x:c>
      <x:c r="AD1899" s="36" t="n">
        <x:f>IF(ISNUMBER(Y1899),ROUND(Y1899*0.8,2),"")</x:f>
        <x:v>37.6</x:v>
      </x:c>
      <x:c r="AE1899" s="36" t="n">
        <x:f>IF(ISNUMBER(AD1899),ROUND(AD1899*0.015+0.2,2),"")</x:f>
        <x:v>0.76</x:v>
      </x:c>
      <x:c r="AF1899" s="36" t="n">
        <x:f>IF(ISNUMBER(AD1899),ROUND(AD1899-AE1899-V1899,2),"")</x:f>
        <x:v>4.45</x:v>
      </x:c>
      <x:c r="AG1899" t="str">
        <x:f>IF(NOT(ISNUMBER(T1899)),"PENDING",IF(AF1899&gt;0,"PASS","FAIL"))</x:f>
        <x:v>PASS</x:v>
      </x:c>
      <x:c r="AH1899" t="str">
        <x:f>IF(NOT(ISNUMBER(T1899)),"Needs supplier cost",IF(K1899&lt;&gt;"In stock","Supplier unavailable",IF(AG1899&lt;&gt;"PASS","BLOCK - GT loss risk","Commercially protected")))</x:f>
        <x:v>Supplier unavailable</x:v>
      </x:c>
      <x:c r="AI1899" t="str">
        <x:v>2026-09-10 Active Sports trade capture</x:v>
      </x:c>
      <x:c r="AJ1899" t="str">
        <x:v>Management-only economics. Stripe stress test uses 1.5% + £0.20 standard UK online-card fee; pallet/mix-and-match pricing ignored.</x:v>
      </x:c>
    </x:row>
    <x:row r="1900">
      <x:c r="A1900" t="str">
        <x:v>Active Sports Nutrition</x:v>
      </x:c>
      <x:c r="B1900" t="str">
        <x:v>Trained By JP</x:v>
      </x:c>
      <x:c r="C1900" t="str">
        <x:v>Clear ISO</x:v>
      </x:c>
      <x:c r="D1900" t="str">
        <x:v>Supplements</x:v>
      </x:c>
      <x:c r="E1900" t="str">
        <x:v>Whey Protein</x:v>
      </x:c>
      <x:c r="F1900" t="str"/>
      <x:c r="G1900" t="str">
        <x:v>900g</x:v>
      </x:c>
      <x:c r="H1900" t="str">
        <x:v>Peach</x:v>
      </x:c>
      <x:c r="I1900" t="str"/>
      <x:c r="J1900" t="str">
        <x:v>Unit</x:v>
      </x:c>
      <x:c r="K1900" t="str">
        <x:v>Out of stock</x:v>
      </x:c>
      <x:c r="L1900" t="str">
        <x:v>2026-09-08</x:v>
      </x:c>
      <x:c r="M1900" t="str"/>
      <x:c r="N1900" t="str"/>
      <x:c r="O1900" t="str">
        <x:v>https://www.activesportstrade.co.uk/trained-by-jp-trade</x:v>
      </x:c>
      <x:c r="P1900" t="str"/>
      <x:c r="Q1900" t="str"/>
      <x:c r="R1900" t="str"/>
      <x:c r="S1900" t="str">
        <x:v>Pending genuine supplier/brand image</x:v>
      </x:c>
      <x:c r="T1900" s="54" t="n">
        <x:v>26.99</x:v>
      </x:c>
      <x:c r="U1900" s="47" t="n">
        <x:v>0.2</x:v>
      </x:c>
      <x:c r="V1900" s="54" t="n">
        <x:f>IF(ISNUMBER(T1900),T1900*(1+U1900),"")</x:f>
        <x:v>32.388</x:v>
      </x:c>
      <x:c r="W1900" s="47" t="n">
        <x:v>0.3</x:v>
      </x:c>
      <x:c r="X1900" s="54" t="n">
        <x:f>IF(ISNUMBER(V1900),V1900/(1-W1900),"")</x:f>
        <x:v>46.26857142857143</x:v>
      </x:c>
      <x:c r="Y1900" s="55" t="n">
        <x:f>IF(ISNUMBER(X1900),ROUNDUP(X1900,0),"")</x:f>
        <x:v>47</x:v>
      </x:c>
      <x:c r="Z1900" t="str">
        <x:v>Source match pending</x:v>
      </x:c>
      <x:c r="AA1900" t="str">
        <x:v>screencapture-www-activesportstrade-co-uk-trained-by-jp-trade-2026-09-10-09_10_55.pdf / page-1</x:v>
      </x:c>
      <x:c r="AB1900" s="36" t="n">
        <x:f>IF(ISNUMBER(Y1900),ROUND(Y1900*0.9,2),"")</x:f>
        <x:v>42.3</x:v>
      </x:c>
      <x:c r="AC1900" s="36" t="n">
        <x:f>IF(ISNUMBER(AB1900),ROUND(AB1900-(AB1900*0.015+0.2)-V1900,2),"")</x:f>
        <x:v>9.08</x:v>
      </x:c>
      <x:c r="AD1900" s="36" t="n">
        <x:f>IF(ISNUMBER(Y1900),ROUND(Y1900*0.8,2),"")</x:f>
        <x:v>37.6</x:v>
      </x:c>
      <x:c r="AE1900" s="36" t="n">
        <x:f>IF(ISNUMBER(AD1900),ROUND(AD1900*0.015+0.2,2),"")</x:f>
        <x:v>0.76</x:v>
      </x:c>
      <x:c r="AF1900" s="36" t="n">
        <x:f>IF(ISNUMBER(AD1900),ROUND(AD1900-AE1900-V1900,2),"")</x:f>
        <x:v>4.45</x:v>
      </x:c>
      <x:c r="AG1900" t="str">
        <x:f>IF(NOT(ISNUMBER(T1900)),"PENDING",IF(AF1900&gt;0,"PASS","FAIL"))</x:f>
        <x:v>PASS</x:v>
      </x:c>
      <x:c r="AH1900" t="str">
        <x:f>IF(NOT(ISNUMBER(T1900)),"Needs supplier cost",IF(K1900&lt;&gt;"In stock","Supplier unavailable",IF(AG1900&lt;&gt;"PASS","BLOCK - GT loss risk","Commercially protected")))</x:f>
        <x:v>Supplier unavailable</x:v>
      </x:c>
      <x:c r="AI1900" t="str">
        <x:v>2026-09-10 Active Sports trade capture</x:v>
      </x:c>
      <x:c r="AJ1900" t="str">
        <x:v>Management-only economics. Stripe stress test uses 1.5% + £0.20 standard UK online-card fee; pallet/mix-and-match pricing ignored.</x:v>
      </x:c>
    </x:row>
    <x:row r="1901">
      <x:c r="A1901" t="str">
        <x:v>Active Sports Nutrition</x:v>
      </x:c>
      <x:c r="B1901" t="str">
        <x:v>Trained By JP</x:v>
      </x:c>
      <x:c r="C1901" t="str">
        <x:v>Clear ISO</x:v>
      </x:c>
      <x:c r="D1901" t="str">
        <x:v>Supplements</x:v>
      </x:c>
      <x:c r="E1901" t="str">
        <x:v>Whey Protein</x:v>
      </x:c>
      <x:c r="F1901" t="str"/>
      <x:c r="G1901" t="str">
        <x:v>900g</x:v>
      </x:c>
      <x:c r="H1901" t="str">
        <x:v>Pineapple Coconut</x:v>
      </x:c>
      <x:c r="I1901" t="str"/>
      <x:c r="J1901" t="str">
        <x:v>Unit</x:v>
      </x:c>
      <x:c r="K1901" t="str">
        <x:v>Out of stock</x:v>
      </x:c>
      <x:c r="L1901" t="str">
        <x:v>2026-09-08</x:v>
      </x:c>
      <x:c r="M1901" t="str"/>
      <x:c r="N1901" t="str"/>
      <x:c r="O1901" t="str">
        <x:v>https://www.activesportstrade.co.uk/trained-by-jp-trade</x:v>
      </x:c>
      <x:c r="P1901" t="str"/>
      <x:c r="Q1901" t="str"/>
      <x:c r="R1901" t="str"/>
      <x:c r="S1901" t="str">
        <x:v>Pending genuine supplier/brand image</x:v>
      </x:c>
      <x:c r="T1901" s="54" t="n">
        <x:v>26.99</x:v>
      </x:c>
      <x:c r="U1901" s="47" t="n">
        <x:v>0.2</x:v>
      </x:c>
      <x:c r="V1901" s="54" t="n">
        <x:f>IF(ISNUMBER(T1901),T1901*(1+U1901),"")</x:f>
        <x:v>32.388</x:v>
      </x:c>
      <x:c r="W1901" s="47" t="n">
        <x:v>0.3</x:v>
      </x:c>
      <x:c r="X1901" s="54" t="n">
        <x:f>IF(ISNUMBER(V1901),V1901/(1-W1901),"")</x:f>
        <x:v>46.26857142857143</x:v>
      </x:c>
      <x:c r="Y1901" s="55" t="n">
        <x:f>IF(ISNUMBER(X1901),ROUNDUP(X1901,0),"")</x:f>
        <x:v>47</x:v>
      </x:c>
      <x:c r="Z1901" t="str">
        <x:v>Source match pending</x:v>
      </x:c>
      <x:c r="AA1901" t="str">
        <x:v>screencapture-www-activesportstrade-co-uk-trained-by-jp-trade-2026-09-10-09_10_55.pdf / page-1</x:v>
      </x:c>
      <x:c r="AB1901" s="36" t="n">
        <x:f>IF(ISNUMBER(Y1901),ROUND(Y1901*0.9,2),"")</x:f>
        <x:v>42.3</x:v>
      </x:c>
      <x:c r="AC1901" s="36" t="n">
        <x:f>IF(ISNUMBER(AB1901),ROUND(AB1901-(AB1901*0.015+0.2)-V1901,2),"")</x:f>
        <x:v>9.08</x:v>
      </x:c>
      <x:c r="AD1901" s="36" t="n">
        <x:f>IF(ISNUMBER(Y1901),ROUND(Y1901*0.8,2),"")</x:f>
        <x:v>37.6</x:v>
      </x:c>
      <x:c r="AE1901" s="36" t="n">
        <x:f>IF(ISNUMBER(AD1901),ROUND(AD1901*0.015+0.2,2),"")</x:f>
        <x:v>0.76</x:v>
      </x:c>
      <x:c r="AF1901" s="36" t="n">
        <x:f>IF(ISNUMBER(AD1901),ROUND(AD1901-AE1901-V1901,2),"")</x:f>
        <x:v>4.45</x:v>
      </x:c>
      <x:c r="AG1901" t="str">
        <x:f>IF(NOT(ISNUMBER(T1901)),"PENDING",IF(AF1901&gt;0,"PASS","FAIL"))</x:f>
        <x:v>PASS</x:v>
      </x:c>
      <x:c r="AH1901" t="str">
        <x:f>IF(NOT(ISNUMBER(T1901)),"Needs supplier cost",IF(K1901&lt;&gt;"In stock","Supplier unavailable",IF(AG1901&lt;&gt;"PASS","BLOCK - GT loss risk","Commercially protected")))</x:f>
        <x:v>Supplier unavailable</x:v>
      </x:c>
      <x:c r="AI1901" t="str">
        <x:v>2026-09-10 Active Sports trade capture</x:v>
      </x:c>
      <x:c r="AJ1901" t="str">
        <x:v>Management-only economics. Stripe stress test uses 1.5% + £0.20 standard UK online-card fee; pallet/mix-and-match pricing ignored.</x:v>
      </x:c>
    </x:row>
    <x:row r="1902">
      <x:c r="A1902" t="str">
        <x:v>Active Sports Nutrition</x:v>
      </x:c>
      <x:c r="B1902" t="str">
        <x:v>Trained By JP</x:v>
      </x:c>
      <x:c r="C1902" t="str">
        <x:v>Clear ISO</x:v>
      </x:c>
      <x:c r="D1902" t="str">
        <x:v>Supplements</x:v>
      </x:c>
      <x:c r="E1902" t="str">
        <x:v>Whey Protein</x:v>
      </x:c>
      <x:c r="F1902" t="str"/>
      <x:c r="G1902" t="str">
        <x:v>900g</x:v>
      </x:c>
      <x:c r="H1902" t="str">
        <x:v>Strawberry</x:v>
      </x:c>
      <x:c r="I1902" t="str"/>
      <x:c r="J1902" t="str">
        <x:v>Unit</x:v>
      </x:c>
      <x:c r="K1902" t="str">
        <x:v>Out of stock</x:v>
      </x:c>
      <x:c r="L1902" t="str">
        <x:v>2026-09-08</x:v>
      </x:c>
      <x:c r="M1902" t="str"/>
      <x:c r="N1902" t="str"/>
      <x:c r="O1902" t="str">
        <x:v>https://www.activesportstrade.co.uk/trained-by-jp-trade</x:v>
      </x:c>
      <x:c r="P1902" t="str"/>
      <x:c r="Q1902" t="str"/>
      <x:c r="R1902" t="str"/>
      <x:c r="S1902" t="str">
        <x:v>Pending genuine supplier/brand image</x:v>
      </x:c>
      <x:c r="T1902" s="54" t="n">
        <x:v>26.99</x:v>
      </x:c>
      <x:c r="U1902" s="47" t="n">
        <x:v>0.2</x:v>
      </x:c>
      <x:c r="V1902" s="54" t="n">
        <x:f>IF(ISNUMBER(T1902),T1902*(1+U1902),"")</x:f>
        <x:v>32.388</x:v>
      </x:c>
      <x:c r="W1902" s="47" t="n">
        <x:v>0.3</x:v>
      </x:c>
      <x:c r="X1902" s="54" t="n">
        <x:f>IF(ISNUMBER(V1902),V1902/(1-W1902),"")</x:f>
        <x:v>46.26857142857143</x:v>
      </x:c>
      <x:c r="Y1902" s="55" t="n">
        <x:f>IF(ISNUMBER(X1902),ROUNDUP(X1902,0),"")</x:f>
        <x:v>47</x:v>
      </x:c>
      <x:c r="Z1902" t="str">
        <x:v>Source match pending</x:v>
      </x:c>
      <x:c r="AA1902" t="str">
        <x:v>screencapture-www-activesportstrade-co-uk-trained-by-jp-trade-2026-09-10-09_10_55.pdf / page-1</x:v>
      </x:c>
      <x:c r="AB1902" s="36" t="n">
        <x:f>IF(ISNUMBER(Y1902),ROUND(Y1902*0.9,2),"")</x:f>
        <x:v>42.3</x:v>
      </x:c>
      <x:c r="AC1902" s="36" t="n">
        <x:f>IF(ISNUMBER(AB1902),ROUND(AB1902-(AB1902*0.015+0.2)-V1902,2),"")</x:f>
        <x:v>9.08</x:v>
      </x:c>
      <x:c r="AD1902" s="36" t="n">
        <x:f>IF(ISNUMBER(Y1902),ROUND(Y1902*0.8,2),"")</x:f>
        <x:v>37.6</x:v>
      </x:c>
      <x:c r="AE1902" s="36" t="n">
        <x:f>IF(ISNUMBER(AD1902),ROUND(AD1902*0.015+0.2,2),"")</x:f>
        <x:v>0.76</x:v>
      </x:c>
      <x:c r="AF1902" s="36" t="n">
        <x:f>IF(ISNUMBER(AD1902),ROUND(AD1902-AE1902-V1902,2),"")</x:f>
        <x:v>4.45</x:v>
      </x:c>
      <x:c r="AG1902" t="str">
        <x:f>IF(NOT(ISNUMBER(T1902)),"PENDING",IF(AF1902&gt;0,"PASS","FAIL"))</x:f>
        <x:v>PASS</x:v>
      </x:c>
      <x:c r="AH1902" t="str">
        <x:f>IF(NOT(ISNUMBER(T1902)),"Needs supplier cost",IF(K1902&lt;&gt;"In stock","Supplier unavailable",IF(AG1902&lt;&gt;"PASS","BLOCK - GT loss risk","Commercially protected")))</x:f>
        <x:v>Supplier unavailable</x:v>
      </x:c>
      <x:c r="AI1902" t="str">
        <x:v>2026-09-10 Active Sports trade capture</x:v>
      </x:c>
      <x:c r="AJ1902" t="str">
        <x:v>Management-only economics. Stripe stress test uses 1.5% + £0.20 standard UK online-card fee; pallet/mix-and-match pricing ignored.</x:v>
      </x:c>
    </x:row>
    <x:row r="1903">
      <x:c r="A1903" t="str">
        <x:v>Active Sports Nutrition</x:v>
      </x:c>
      <x:c r="B1903" t="str">
        <x:v>Trained By JP</x:v>
      </x:c>
      <x:c r="C1903" t="str">
        <x:v>Collagen</x:v>
      </x:c>
      <x:c r="D1903" t="str">
        <x:v>Supplements</x:v>
      </x:c>
      <x:c r="E1903" t="str">
        <x:v>Collagen</x:v>
      </x:c>
      <x:c r="F1903" t="str"/>
      <x:c r="G1903" t="str">
        <x:v>300g</x:v>
      </x:c>
      <x:c r="H1903" t="str">
        <x:v>Peach</x:v>
      </x:c>
      <x:c r="I1903" t="str"/>
      <x:c r="J1903" t="str">
        <x:v>Unit</x:v>
      </x:c>
      <x:c r="K1903" t="str">
        <x:v>In stock</x:v>
      </x:c>
      <x:c r="L1903" t="str">
        <x:v>2026-09-08</x:v>
      </x:c>
      <x:c r="M1903" t="str"/>
      <x:c r="N1903" t="str"/>
      <x:c r="O1903" t="str">
        <x:v>https://www.activesportstrade.co.uk/trained-by-jp-trade</x:v>
      </x:c>
      <x:c r="P1903" t="str"/>
      <x:c r="Q1903" t="str"/>
      <x:c r="R1903" t="str"/>
      <x:c r="S1903" t="str">
        <x:v>Pending genuine supplier/brand image</x:v>
      </x:c>
      <x:c r="T1903" s="54" t="n">
        <x:v>13.99</x:v>
      </x:c>
      <x:c r="U1903" s="47" t="n">
        <x:v>0.2</x:v>
      </x:c>
      <x:c r="V1903" s="54" t="n">
        <x:f>IF(ISNUMBER(T1903),T1903*(1+U1903),"")</x:f>
        <x:v>16.788</x:v>
      </x:c>
      <x:c r="W1903" s="47" t="n">
        <x:v>0.3</x:v>
      </x:c>
      <x:c r="X1903" s="54" t="n">
        <x:f>IF(ISNUMBER(V1903),V1903/(1-W1903),"")</x:f>
        <x:v>23.982857142857146</x:v>
      </x:c>
      <x:c r="Y1903" s="55" t="n">
        <x:f>IF(ISNUMBER(X1903),ROUNDUP(X1903,0),"")</x:f>
        <x:v>24</x:v>
      </x:c>
      <x:c r="Z1903" t="str">
        <x:v>Source match pending</x:v>
      </x:c>
      <x:c r="AA1903" t="str">
        <x:v>screencapture-www-activesportstrade-co-uk-trained-by-jp-trade-2026-09-10-09_10_55.pdf / page-1</x:v>
      </x:c>
      <x:c r="AB1903" s="36" t="n">
        <x:f>IF(ISNUMBER(Y1903),ROUND(Y1903*0.9,2),"")</x:f>
        <x:v>21.6</x:v>
      </x:c>
      <x:c r="AC1903" s="36" t="n">
        <x:f>IF(ISNUMBER(AB1903),ROUND(AB1903-(AB1903*0.015+0.2)-V1903,2),"")</x:f>
        <x:v>4.29</x:v>
      </x:c>
      <x:c r="AD1903" s="36" t="n">
        <x:f>IF(ISNUMBER(Y1903),ROUND(Y1903*0.8,2),"")</x:f>
        <x:v>19.2</x:v>
      </x:c>
      <x:c r="AE1903" s="36" t="n">
        <x:f>IF(ISNUMBER(AD1903),ROUND(AD1903*0.015+0.2,2),"")</x:f>
        <x:v>0.49</x:v>
      </x:c>
      <x:c r="AF1903" s="36" t="n">
        <x:f>IF(ISNUMBER(AD1903),ROUND(AD1903-AE1903-V1903,2),"")</x:f>
        <x:v>1.92</x:v>
      </x:c>
      <x:c r="AG1903" t="str">
        <x:f>IF(NOT(ISNUMBER(T1903)),"PENDING",IF(AF1903&gt;0,"PASS","FAIL"))</x:f>
        <x:v>PASS</x:v>
      </x:c>
      <x:c r="AH1903" t="str">
        <x:f>IF(NOT(ISNUMBER(T1903)),"Needs supplier cost",IF(K1903&lt;&gt;"In stock","Supplier unavailable",IF(AG1903&lt;&gt;"PASS","BLOCK - GT loss risk","Commercially protected")))</x:f>
        <x:v>Commercially protected</x:v>
      </x:c>
      <x:c r="AI1903" t="str">
        <x:v>2026-09-10 Active Sports trade capture</x:v>
      </x:c>
      <x:c r="AJ1903" t="str">
        <x:v>Management-only economics. Stripe stress test uses 1.5% + £0.20 standard UK online-card fee; pallet/mix-and-match pricing ignored.</x:v>
      </x:c>
    </x:row>
    <x:row r="1904">
      <x:c r="A1904" t="str">
        <x:v>Active Sports Nutrition</x:v>
      </x:c>
      <x:c r="B1904" t="str">
        <x:v>Trained By JP</x:v>
      </x:c>
      <x:c r="C1904" t="str">
        <x:v>Collagen</x:v>
      </x:c>
      <x:c r="D1904" t="str">
        <x:v>Supplements</x:v>
      </x:c>
      <x:c r="E1904" t="str">
        <x:v>Collagen</x:v>
      </x:c>
      <x:c r="F1904" t="str"/>
      <x:c r="G1904" t="str">
        <x:v>300g</x:v>
      </x:c>
      <x:c r="H1904" t="str">
        <x:v>Pineapple Strawberry</x:v>
      </x:c>
      <x:c r="I1904" t="str"/>
      <x:c r="J1904" t="str">
        <x:v>Unit</x:v>
      </x:c>
      <x:c r="K1904" t="str">
        <x:v>In stock</x:v>
      </x:c>
      <x:c r="L1904" t="str">
        <x:v>2026-09-08</x:v>
      </x:c>
      <x:c r="M1904" t="str"/>
      <x:c r="N1904" t="str"/>
      <x:c r="O1904" t="str">
        <x:v>https://www.activesportstrade.co.uk/trained-by-jp-trade</x:v>
      </x:c>
      <x:c r="P1904" t="str"/>
      <x:c r="Q1904" t="str"/>
      <x:c r="R1904" t="str"/>
      <x:c r="S1904" t="str">
        <x:v>Pending genuine supplier/brand image</x:v>
      </x:c>
      <x:c r="T1904" s="54" t="n">
        <x:v>13.99</x:v>
      </x:c>
      <x:c r="U1904" s="47" t="n">
        <x:v>0.2</x:v>
      </x:c>
      <x:c r="V1904" s="54" t="n">
        <x:f>IF(ISNUMBER(T1904),T1904*(1+U1904),"")</x:f>
        <x:v>16.788</x:v>
      </x:c>
      <x:c r="W1904" s="47" t="n">
        <x:v>0.3</x:v>
      </x:c>
      <x:c r="X1904" s="54" t="n">
        <x:f>IF(ISNUMBER(V1904),V1904/(1-W1904),"")</x:f>
        <x:v>23.982857142857146</x:v>
      </x:c>
      <x:c r="Y1904" s="55" t="n">
        <x:f>IF(ISNUMBER(X1904),ROUNDUP(X1904,0),"")</x:f>
        <x:v>24</x:v>
      </x:c>
      <x:c r="Z1904" t="str">
        <x:v>Source match pending</x:v>
      </x:c>
      <x:c r="AA1904" t="str">
        <x:v>screencapture-www-activesportstrade-co-uk-trained-by-jp-trade-2026-09-10-09_10_55.pdf / page-1</x:v>
      </x:c>
      <x:c r="AB1904" s="36" t="n">
        <x:f>IF(ISNUMBER(Y1904),ROUND(Y1904*0.9,2),"")</x:f>
        <x:v>21.6</x:v>
      </x:c>
      <x:c r="AC1904" s="36" t="n">
        <x:f>IF(ISNUMBER(AB1904),ROUND(AB1904-(AB1904*0.015+0.2)-V1904,2),"")</x:f>
        <x:v>4.29</x:v>
      </x:c>
      <x:c r="AD1904" s="36" t="n">
        <x:f>IF(ISNUMBER(Y1904),ROUND(Y1904*0.8,2),"")</x:f>
        <x:v>19.2</x:v>
      </x:c>
      <x:c r="AE1904" s="36" t="n">
        <x:f>IF(ISNUMBER(AD1904),ROUND(AD1904*0.015+0.2,2),"")</x:f>
        <x:v>0.49</x:v>
      </x:c>
      <x:c r="AF1904" s="36" t="n">
        <x:f>IF(ISNUMBER(AD1904),ROUND(AD1904-AE1904-V1904,2),"")</x:f>
        <x:v>1.92</x:v>
      </x:c>
      <x:c r="AG1904" t="str">
        <x:f>IF(NOT(ISNUMBER(T1904)),"PENDING",IF(AF1904&gt;0,"PASS","FAIL"))</x:f>
        <x:v>PASS</x:v>
      </x:c>
      <x:c r="AH1904" t="str">
        <x:f>IF(NOT(ISNUMBER(T1904)),"Needs supplier cost",IF(K1904&lt;&gt;"In stock","Supplier unavailable",IF(AG1904&lt;&gt;"PASS","BLOCK - GT loss risk","Commercially protected")))</x:f>
        <x:v>Commercially protected</x:v>
      </x:c>
      <x:c r="AI1904" t="str">
        <x:v>2026-09-10 Active Sports trade capture</x:v>
      </x:c>
      <x:c r="AJ1904" t="str">
        <x:v>Management-only economics. Stripe stress test uses 1.5% + £0.20 standard UK online-card fee; pallet/mix-and-match pricing ignored.</x:v>
      </x:c>
    </x:row>
    <x:row r="1905">
      <x:c r="A1905" t="str">
        <x:v>Active Sports Nutrition</x:v>
      </x:c>
      <x:c r="B1905" t="str">
        <x:v>Trained By JP</x:v>
      </x:c>
      <x:c r="C1905" t="str">
        <x:v>Heart Care</x:v>
      </x:c>
      <x:c r="D1905" t="str">
        <x:v>Supplements</x:v>
      </x:c>
      <x:c r="E1905" t="str">
        <x:v>Health Foods</x:v>
      </x:c>
      <x:c r="F1905" t="str"/>
      <x:c r="G1905" t="str">
        <x:v>90 caps</x:v>
      </x:c>
      <x:c r="H1905" t="str">
        <x:v>Default</x:v>
      </x:c>
      <x:c r="I1905" t="str"/>
      <x:c r="J1905" t="str">
        <x:v>Unit</x:v>
      </x:c>
      <x:c r="K1905" t="str">
        <x:v>In stock</x:v>
      </x:c>
      <x:c r="L1905" t="str">
        <x:v>2026-09-08</x:v>
      </x:c>
      <x:c r="M1905" t="str"/>
      <x:c r="N1905" t="str"/>
      <x:c r="O1905" t="str">
        <x:v>https://www.activesportstrade.co.uk/trained-by-jp-trade</x:v>
      </x:c>
      <x:c r="P1905" t="str"/>
      <x:c r="Q1905" t="str"/>
      <x:c r="R1905" t="str"/>
      <x:c r="S1905" t="str">
        <x:v>Pending genuine supplier/brand image</x:v>
      </x:c>
      <x:c r="T1905" s="54" t="n">
        <x:v>19.5</x:v>
      </x:c>
      <x:c r="U1905" s="47" t="n">
        <x:v>0.2</x:v>
      </x:c>
      <x:c r="V1905" s="54" t="n">
        <x:f>IF(ISNUMBER(T1905),T1905*(1+U1905),"")</x:f>
        <x:v>23.4</x:v>
      </x:c>
      <x:c r="W1905" s="47" t="n">
        <x:v>0.3</x:v>
      </x:c>
      <x:c r="X1905" s="54" t="n">
        <x:f>IF(ISNUMBER(V1905),V1905/(1-W1905),"")</x:f>
        <x:v>33.42857142857143</x:v>
      </x:c>
      <x:c r="Y1905" s="55" t="n">
        <x:f>IF(ISNUMBER(X1905),ROUNDUP(X1905,0),"")</x:f>
        <x:v>34</x:v>
      </x:c>
      <x:c r="Z1905" t="str">
        <x:v>Source match pending</x:v>
      </x:c>
      <x:c r="AA1905" t="str">
        <x:v>screencapture-www-activesportstrade-co-uk-trained-by-jp-trade-2026-09-10-09_10_55.pdf / page-3</x:v>
      </x:c>
      <x:c r="AB1905" s="36" t="n">
        <x:f>IF(ISNUMBER(Y1905),ROUND(Y1905*0.9,2),"")</x:f>
        <x:v>30.6</x:v>
      </x:c>
      <x:c r="AC1905" s="36" t="n">
        <x:f>IF(ISNUMBER(AB1905),ROUND(AB1905-(AB1905*0.015+0.2)-V1905,2),"")</x:f>
        <x:v>6.54</x:v>
      </x:c>
      <x:c r="AD1905" s="36" t="n">
        <x:f>IF(ISNUMBER(Y1905),ROUND(Y1905*0.8,2),"")</x:f>
        <x:v>27.2</x:v>
      </x:c>
      <x:c r="AE1905" s="36" t="n">
        <x:f>IF(ISNUMBER(AD1905),ROUND(AD1905*0.015+0.2,2),"")</x:f>
        <x:v>0.61</x:v>
      </x:c>
      <x:c r="AF1905" s="36" t="n">
        <x:f>IF(ISNUMBER(AD1905),ROUND(AD1905-AE1905-V1905,2),"")</x:f>
        <x:v>3.19</x:v>
      </x:c>
      <x:c r="AG1905" t="str">
        <x:f>IF(NOT(ISNUMBER(T1905)),"PENDING",IF(AF1905&gt;0,"PASS","FAIL"))</x:f>
        <x:v>PASS</x:v>
      </x:c>
      <x:c r="AH1905" t="str">
        <x:f>IF(NOT(ISNUMBER(T1905)),"Needs supplier cost",IF(K1905&lt;&gt;"In stock","Supplier unavailable",IF(AG1905&lt;&gt;"PASS","BLOCK - GT loss risk","Commercially protected")))</x:f>
        <x:v>Commercially protected</x:v>
      </x:c>
      <x:c r="AI1905" t="str">
        <x:v>2026-09-10 Active Sports trade capture</x:v>
      </x:c>
      <x:c r="AJ1905" t="str">
        <x:v>Management-only economics. Stripe stress test uses 1.5% + £0.20 standard UK online-card fee; pallet/mix-and-match pricing ignored.</x:v>
      </x:c>
    </x:row>
    <x:row r="1906">
      <x:c r="A1906" t="str">
        <x:v>Active Sports Nutrition</x:v>
      </x:c>
      <x:c r="B1906" t="str">
        <x:v>Trained By JP</x:v>
      </x:c>
      <x:c r="C1906" t="str">
        <x:v>In Sure</x:v>
      </x:c>
      <x:c r="D1906" t="str">
        <x:v>Supplements</x:v>
      </x:c>
      <x:c r="E1906" t="str">
        <x:v>Insulin Drivers</x:v>
      </x:c>
      <x:c r="F1906" t="str"/>
      <x:c r="G1906" t="str">
        <x:v>180 caps</x:v>
      </x:c>
      <x:c r="H1906" t="str">
        <x:v>Default</x:v>
      </x:c>
      <x:c r="I1906" t="str"/>
      <x:c r="J1906" t="str">
        <x:v>Unit</x:v>
      </x:c>
      <x:c r="K1906" t="str">
        <x:v>In stock</x:v>
      </x:c>
      <x:c r="L1906" t="str">
        <x:v>2026-09-08</x:v>
      </x:c>
      <x:c r="M1906" t="str"/>
      <x:c r="N1906" t="str"/>
      <x:c r="O1906" t="str">
        <x:v>https://www.activesportstrade.co.uk/trained-by-jp-trade</x:v>
      </x:c>
      <x:c r="P1906" t="str"/>
      <x:c r="Q1906" t="str"/>
      <x:c r="R1906" t="str"/>
      <x:c r="S1906" t="str">
        <x:v>Pending genuine supplier/brand image</x:v>
      </x:c>
      <x:c r="T1906" s="54" t="n">
        <x:v>22.99</x:v>
      </x:c>
      <x:c r="U1906" s="47" t="n">
        <x:v>0.2</x:v>
      </x:c>
      <x:c r="V1906" s="54" t="n">
        <x:f>IF(ISNUMBER(T1906),T1906*(1+U1906),"")</x:f>
        <x:v>27.587999999999997</x:v>
      </x:c>
      <x:c r="W1906" s="47" t="n">
        <x:v>0.3</x:v>
      </x:c>
      <x:c r="X1906" s="54" t="n">
        <x:f>IF(ISNUMBER(V1906),V1906/(1-W1906),"")</x:f>
        <x:v>39.41142857142857</x:v>
      </x:c>
      <x:c r="Y1906" s="55" t="n">
        <x:f>IF(ISNUMBER(X1906),ROUNDUP(X1906,0),"")</x:f>
        <x:v>40</x:v>
      </x:c>
      <x:c r="Z1906" t="str">
        <x:v>Source match pending</x:v>
      </x:c>
      <x:c r="AA1906" t="str">
        <x:v>screencapture-www-activesportstrade-co-uk-trained-by-jp-trade-2026-09-10-09_10_55.pdf / page-3</x:v>
      </x:c>
      <x:c r="AB1906" s="36" t="n">
        <x:f>IF(ISNUMBER(Y1906),ROUND(Y1906*0.9,2),"")</x:f>
        <x:v>36</x:v>
      </x:c>
      <x:c r="AC1906" s="36" t="n">
        <x:f>IF(ISNUMBER(AB1906),ROUND(AB1906-(AB1906*0.015+0.2)-V1906,2),"")</x:f>
        <x:v>7.67</x:v>
      </x:c>
      <x:c r="AD1906" s="36" t="n">
        <x:f>IF(ISNUMBER(Y1906),ROUND(Y1906*0.8,2),"")</x:f>
        <x:v>32</x:v>
      </x:c>
      <x:c r="AE1906" s="36" t="n">
        <x:f>IF(ISNUMBER(AD1906),ROUND(AD1906*0.015+0.2,2),"")</x:f>
        <x:v>0.68</x:v>
      </x:c>
      <x:c r="AF1906" s="36" t="n">
        <x:f>IF(ISNUMBER(AD1906),ROUND(AD1906-AE1906-V1906,2),"")</x:f>
        <x:v>3.73</x:v>
      </x:c>
      <x:c r="AG1906" t="str">
        <x:f>IF(NOT(ISNUMBER(T1906)),"PENDING",IF(AF1906&gt;0,"PASS","FAIL"))</x:f>
        <x:v>PASS</x:v>
      </x:c>
      <x:c r="AH1906" t="str">
        <x:f>IF(NOT(ISNUMBER(T1906)),"Needs supplier cost",IF(K1906&lt;&gt;"In stock","Supplier unavailable",IF(AG1906&lt;&gt;"PASS","BLOCK - GT loss risk","Commercially protected")))</x:f>
        <x:v>Commercially protected</x:v>
      </x:c>
      <x:c r="AI1906" t="str">
        <x:v>2026-09-10 Active Sports trade capture</x:v>
      </x:c>
      <x:c r="AJ1906" t="str">
        <x:v>Management-only economics. Stripe stress test uses 1.5% + £0.20 standard UK online-card fee; pallet/mix-and-match pricing ignored.</x:v>
      </x:c>
    </x:row>
    <x:row r="1907">
      <x:c r="A1907" t="str">
        <x:v>Active Sports Nutrition</x:v>
      </x:c>
      <x:c r="B1907" t="str">
        <x:v>Trained By JP</x:v>
      </x:c>
      <x:c r="C1907" t="str">
        <x:v>Iron</x:v>
      </x:c>
      <x:c r="D1907" t="str">
        <x:v>Supplements</x:v>
      </x:c>
      <x:c r="E1907" t="str">
        <x:v>Vitamins</x:v>
      </x:c>
      <x:c r="F1907" t="str"/>
      <x:c r="G1907" t="str">
        <x:v>60 caps</x:v>
      </x:c>
      <x:c r="H1907" t="str">
        <x:v>Default</x:v>
      </x:c>
      <x:c r="I1907" t="str"/>
      <x:c r="J1907" t="str">
        <x:v>Unit</x:v>
      </x:c>
      <x:c r="K1907" t="str">
        <x:v>In stock</x:v>
      </x:c>
      <x:c r="L1907" t="str">
        <x:v>2026-09-08</x:v>
      </x:c>
      <x:c r="M1907" t="str"/>
      <x:c r="N1907" t="str"/>
      <x:c r="O1907" t="str">
        <x:v>https://www.activesportstrade.co.uk/trained-by-jp-trade</x:v>
      </x:c>
      <x:c r="P1907" t="str"/>
      <x:c r="Q1907" t="str"/>
      <x:c r="R1907" t="str"/>
      <x:c r="S1907" t="str">
        <x:v>Pending genuine supplier/brand image</x:v>
      </x:c>
      <x:c r="T1907" s="54" t="n">
        <x:v>5.99</x:v>
      </x:c>
      <x:c r="U1907" s="47" t="n">
        <x:v>0.2</x:v>
      </x:c>
      <x:c r="V1907" s="54" t="n">
        <x:f>IF(ISNUMBER(T1907),T1907*(1+U1907),"")</x:f>
        <x:v>7.188</x:v>
      </x:c>
      <x:c r="W1907" s="47" t="n">
        <x:v>0.3</x:v>
      </x:c>
      <x:c r="X1907" s="54" t="n">
        <x:f>IF(ISNUMBER(V1907),V1907/(1-W1907),"")</x:f>
        <x:v>10.268571428571429</x:v>
      </x:c>
      <x:c r="Y1907" s="55" t="n">
        <x:f>IF(ISNUMBER(X1907),ROUNDUP(X1907,0),"")</x:f>
        <x:v>11</x:v>
      </x:c>
      <x:c r="Z1907" t="str">
        <x:v>Source match pending</x:v>
      </x:c>
      <x:c r="AA1907" t="str">
        <x:v>screencapture-www-activesportstrade-co-uk-trained-by-jp-trade-2026-09-10-09_10_55.pdf / page-4</x:v>
      </x:c>
      <x:c r="AB1907" s="36" t="n">
        <x:f>IF(ISNUMBER(Y1907),ROUND(Y1907*0.9,2),"")</x:f>
        <x:v>9.9</x:v>
      </x:c>
      <x:c r="AC1907" s="36" t="n">
        <x:f>IF(ISNUMBER(AB1907),ROUND(AB1907-(AB1907*0.015+0.2)-V1907,2),"")</x:f>
        <x:v>2.36</x:v>
      </x:c>
      <x:c r="AD1907" s="36" t="n">
        <x:f>IF(ISNUMBER(Y1907),ROUND(Y1907*0.8,2),"")</x:f>
        <x:v>8.8</x:v>
      </x:c>
      <x:c r="AE1907" s="36" t="n">
        <x:f>IF(ISNUMBER(AD1907),ROUND(AD1907*0.015+0.2,2),"")</x:f>
        <x:v>0.33</x:v>
      </x:c>
      <x:c r="AF1907" s="36" t="n">
        <x:f>IF(ISNUMBER(AD1907),ROUND(AD1907-AE1907-V1907,2),"")</x:f>
        <x:v>1.28</x:v>
      </x:c>
      <x:c r="AG1907" t="str">
        <x:f>IF(NOT(ISNUMBER(T1907)),"PENDING",IF(AF1907&gt;0,"PASS","FAIL"))</x:f>
        <x:v>PASS</x:v>
      </x:c>
      <x:c r="AH1907" t="str">
        <x:f>IF(NOT(ISNUMBER(T1907)),"Needs supplier cost",IF(K1907&lt;&gt;"In stock","Supplier unavailable",IF(AG1907&lt;&gt;"PASS","BLOCK - GT loss risk","Commercially protected")))</x:f>
        <x:v>Commercially protected</x:v>
      </x:c>
      <x:c r="AI1907" t="str">
        <x:v>2026-09-10 Active Sports trade capture</x:v>
      </x:c>
      <x:c r="AJ1907" t="str">
        <x:v>Management-only economics. Stripe stress test uses 1.5% + £0.20 standard UK online-card fee; pallet/mix-and-match pricing ignored.</x:v>
      </x:c>
    </x:row>
    <x:row r="1908">
      <x:c r="A1908" t="str">
        <x:v>Active Sports Nutrition</x:v>
      </x:c>
      <x:c r="B1908" t="str">
        <x:v>Trained By JP</x:v>
      </x:c>
      <x:c r="C1908" t="str">
        <x:v>IsoPro 100% Whey Protein Isolate</x:v>
      </x:c>
      <x:c r="D1908" t="str">
        <x:v>Supplements</x:v>
      </x:c>
      <x:c r="E1908" t="str">
        <x:v>Whey Protein</x:v>
      </x:c>
      <x:c r="F1908" t="str"/>
      <x:c r="G1908" t="str">
        <x:v>1.8kg</x:v>
      </x:c>
      <x:c r="H1908" t="str">
        <x:v>Banoffee</x:v>
      </x:c>
      <x:c r="I1908" t="str"/>
      <x:c r="J1908" t="str">
        <x:v>Unit</x:v>
      </x:c>
      <x:c r="K1908" t="str">
        <x:v>In stock</x:v>
      </x:c>
      <x:c r="L1908" t="str">
        <x:v>2026-09-08</x:v>
      </x:c>
      <x:c r="M1908" t="str"/>
      <x:c r="N1908" t="str"/>
      <x:c r="O1908" t="str">
        <x:v>https://www.activesportstrade.co.uk/trained-by-jp-trade</x:v>
      </x:c>
      <x:c r="P1908" t="str"/>
      <x:c r="Q1908" t="str"/>
      <x:c r="R1908" t="str"/>
      <x:c r="S1908" t="str">
        <x:v>Pending genuine supplier/brand image</x:v>
      </x:c>
      <x:c r="T1908" s="54" t="n">
        <x:v>57.99</x:v>
      </x:c>
      <x:c r="U1908" s="47" t="n">
        <x:v>0.2</x:v>
      </x:c>
      <x:c r="V1908" s="54" t="n">
        <x:f>IF(ISNUMBER(T1908),T1908*(1+U1908),"")</x:f>
        <x:v>69.588</x:v>
      </x:c>
      <x:c r="W1908" s="47" t="n">
        <x:v>0.3</x:v>
      </x:c>
      <x:c r="X1908" s="54" t="n">
        <x:f>IF(ISNUMBER(V1908),V1908/(1-W1908),"")</x:f>
        <x:v>99.41142857142857</x:v>
      </x:c>
      <x:c r="Y1908" s="55" t="n">
        <x:f>IF(ISNUMBER(X1908),ROUNDUP(X1908,0),"")</x:f>
        <x:v>100</x:v>
      </x:c>
      <x:c r="Z1908" t="str">
        <x:v>Source match pending</x:v>
      </x:c>
      <x:c r="AA1908" t="str">
        <x:v>screencapture-www-activesportstrade-co-uk-trained-by-jp-trade-2026-09-10-09_10_55.pdf / page-4</x:v>
      </x:c>
      <x:c r="AB1908" s="36" t="n">
        <x:f>IF(ISNUMBER(Y1908),ROUND(Y1908*0.9,2),"")</x:f>
        <x:v>90</x:v>
      </x:c>
      <x:c r="AC1908" s="36" t="n">
        <x:f>IF(ISNUMBER(AB1908),ROUND(AB1908-(AB1908*0.015+0.2)-V1908,2),"")</x:f>
        <x:v>18.86</x:v>
      </x:c>
      <x:c r="AD1908" s="36" t="n">
        <x:f>IF(ISNUMBER(Y1908),ROUND(Y1908*0.8,2),"")</x:f>
        <x:v>80</x:v>
      </x:c>
      <x:c r="AE1908" s="36" t="n">
        <x:f>IF(ISNUMBER(AD1908),ROUND(AD1908*0.015+0.2,2),"")</x:f>
        <x:v>1.4</x:v>
      </x:c>
      <x:c r="AF1908" s="36" t="n">
        <x:f>IF(ISNUMBER(AD1908),ROUND(AD1908-AE1908-V1908,2),"")</x:f>
        <x:v>9.01</x:v>
      </x:c>
      <x:c r="AG1908" t="str">
        <x:f>IF(NOT(ISNUMBER(T1908)),"PENDING",IF(AF1908&gt;0,"PASS","FAIL"))</x:f>
        <x:v>PASS</x:v>
      </x:c>
      <x:c r="AH1908" t="str">
        <x:f>IF(NOT(ISNUMBER(T1908)),"Needs supplier cost",IF(K1908&lt;&gt;"In stock","Supplier unavailable",IF(AG1908&lt;&gt;"PASS","BLOCK - GT loss risk","Commercially protected")))</x:f>
        <x:v>Commercially protected</x:v>
      </x:c>
      <x:c r="AI1908" t="str">
        <x:v>2026-09-10 Active Sports trade capture</x:v>
      </x:c>
      <x:c r="AJ1908" t="str">
        <x:v>Management-only economics. Stripe stress test uses 1.5% + £0.20 standard UK online-card fee; pallet/mix-and-match pricing ignored.</x:v>
      </x:c>
    </x:row>
    <x:row r="1909">
      <x:c r="A1909" t="str">
        <x:v>Active Sports Nutrition</x:v>
      </x:c>
      <x:c r="B1909" t="str">
        <x:v>Trained By JP</x:v>
      </x:c>
      <x:c r="C1909" t="str">
        <x:v>IsoPro 100% Whey Protein Isolate</x:v>
      </x:c>
      <x:c r="D1909" t="str">
        <x:v>Supplements</x:v>
      </x:c>
      <x:c r="E1909" t="str">
        <x:v>Whey Protein</x:v>
      </x:c>
      <x:c r="F1909" t="str"/>
      <x:c r="G1909" t="str">
        <x:v>1.8kg</x:v>
      </x:c>
      <x:c r="H1909" t="str">
        <x:v>Caramel Biscuit</x:v>
      </x:c>
      <x:c r="I1909" t="str"/>
      <x:c r="J1909" t="str">
        <x:v>Unit</x:v>
      </x:c>
      <x:c r="K1909" t="str">
        <x:v>Out of stock</x:v>
      </x:c>
      <x:c r="L1909" t="str">
        <x:v>2026-09-08</x:v>
      </x:c>
      <x:c r="M1909" t="str"/>
      <x:c r="N1909" t="str"/>
      <x:c r="O1909" t="str">
        <x:v>https://www.activesportstrade.co.uk/trained-by-jp-trade</x:v>
      </x:c>
      <x:c r="P1909" t="str"/>
      <x:c r="Q1909" t="str"/>
      <x:c r="R1909" t="str"/>
      <x:c r="S1909" t="str">
        <x:v>Pending genuine supplier/brand image</x:v>
      </x:c>
      <x:c r="T1909" s="54" t="n">
        <x:v>57.99</x:v>
      </x:c>
      <x:c r="U1909" s="47" t="n">
        <x:v>0.2</x:v>
      </x:c>
      <x:c r="V1909" s="54" t="n">
        <x:f>IF(ISNUMBER(T1909),T1909*(1+U1909),"")</x:f>
        <x:v>69.588</x:v>
      </x:c>
      <x:c r="W1909" s="47" t="n">
        <x:v>0.3</x:v>
      </x:c>
      <x:c r="X1909" s="54" t="n">
        <x:f>IF(ISNUMBER(V1909),V1909/(1-W1909),"")</x:f>
        <x:v>99.41142857142857</x:v>
      </x:c>
      <x:c r="Y1909" s="55" t="n">
        <x:f>IF(ISNUMBER(X1909),ROUNDUP(X1909,0),"")</x:f>
        <x:v>100</x:v>
      </x:c>
      <x:c r="Z1909" t="str">
        <x:v>Source match pending</x:v>
      </x:c>
      <x:c r="AA1909" t="str">
        <x:v>screencapture-www-activesportstrade-co-uk-trained-by-jp-trade-2026-09-10-09_10_55.pdf / page-4</x:v>
      </x:c>
      <x:c r="AB1909" s="36" t="n">
        <x:f>IF(ISNUMBER(Y1909),ROUND(Y1909*0.9,2),"")</x:f>
        <x:v>90</x:v>
      </x:c>
      <x:c r="AC1909" s="36" t="n">
        <x:f>IF(ISNUMBER(AB1909),ROUND(AB1909-(AB1909*0.015+0.2)-V1909,2),"")</x:f>
        <x:v>18.86</x:v>
      </x:c>
      <x:c r="AD1909" s="36" t="n">
        <x:f>IF(ISNUMBER(Y1909),ROUND(Y1909*0.8,2),"")</x:f>
        <x:v>80</x:v>
      </x:c>
      <x:c r="AE1909" s="36" t="n">
        <x:f>IF(ISNUMBER(AD1909),ROUND(AD1909*0.015+0.2,2),"")</x:f>
        <x:v>1.4</x:v>
      </x:c>
      <x:c r="AF1909" s="36" t="n">
        <x:f>IF(ISNUMBER(AD1909),ROUND(AD1909-AE1909-V1909,2),"")</x:f>
        <x:v>9.01</x:v>
      </x:c>
      <x:c r="AG1909" t="str">
        <x:f>IF(NOT(ISNUMBER(T1909)),"PENDING",IF(AF1909&gt;0,"PASS","FAIL"))</x:f>
        <x:v>PASS</x:v>
      </x:c>
      <x:c r="AH1909" t="str">
        <x:f>IF(NOT(ISNUMBER(T1909)),"Needs supplier cost",IF(K1909&lt;&gt;"In stock","Supplier unavailable",IF(AG1909&lt;&gt;"PASS","BLOCK - GT loss risk","Commercially protected")))</x:f>
        <x:v>Supplier unavailable</x:v>
      </x:c>
      <x:c r="AI1909" t="str">
        <x:v>2026-09-10 Active Sports trade capture</x:v>
      </x:c>
      <x:c r="AJ1909" t="str">
        <x:v>Management-only economics. Stripe stress test uses 1.5% + £0.20 standard UK online-card fee; pallet/mix-and-match pricing ignored.</x:v>
      </x:c>
    </x:row>
    <x:row r="1910">
      <x:c r="A1910" t="str">
        <x:v>Active Sports Nutrition</x:v>
      </x:c>
      <x:c r="B1910" t="str">
        <x:v>Trained By JP</x:v>
      </x:c>
      <x:c r="C1910" t="str">
        <x:v>IsoPro 100% Whey Protein Isolate</x:v>
      </x:c>
      <x:c r="D1910" t="str">
        <x:v>Supplements</x:v>
      </x:c>
      <x:c r="E1910" t="str">
        <x:v>Whey Protein</x:v>
      </x:c>
      <x:c r="F1910" t="str"/>
      <x:c r="G1910" t="str">
        <x:v>1.8kg</x:v>
      </x:c>
      <x:c r="H1910" t="str">
        <x:v>Chocolate Fudge</x:v>
      </x:c>
      <x:c r="I1910" t="str"/>
      <x:c r="J1910" t="str">
        <x:v>Unit</x:v>
      </x:c>
      <x:c r="K1910" t="str">
        <x:v>In stock</x:v>
      </x:c>
      <x:c r="L1910" t="str">
        <x:v>2026-09-08</x:v>
      </x:c>
      <x:c r="M1910" t="str"/>
      <x:c r="N1910" t="str"/>
      <x:c r="O1910" t="str">
        <x:v>https://www.activesportstrade.co.uk/trained-by-jp-trade</x:v>
      </x:c>
      <x:c r="P1910" t="str"/>
      <x:c r="Q1910" t="str"/>
      <x:c r="R1910" t="str"/>
      <x:c r="S1910" t="str">
        <x:v>Pending genuine supplier/brand image</x:v>
      </x:c>
      <x:c r="T1910" s="54" t="n">
        <x:v>57.99</x:v>
      </x:c>
      <x:c r="U1910" s="47" t="n">
        <x:v>0.2</x:v>
      </x:c>
      <x:c r="V1910" s="54" t="n">
        <x:f>IF(ISNUMBER(T1910),T1910*(1+U1910),"")</x:f>
        <x:v>69.588</x:v>
      </x:c>
      <x:c r="W1910" s="47" t="n">
        <x:v>0.3</x:v>
      </x:c>
      <x:c r="X1910" s="54" t="n">
        <x:f>IF(ISNUMBER(V1910),V1910/(1-W1910),"")</x:f>
        <x:v>99.41142857142857</x:v>
      </x:c>
      <x:c r="Y1910" s="55" t="n">
        <x:f>IF(ISNUMBER(X1910),ROUNDUP(X1910,0),"")</x:f>
        <x:v>100</x:v>
      </x:c>
      <x:c r="Z1910" t="str">
        <x:v>Source match pending</x:v>
      </x:c>
      <x:c r="AA1910" t="str">
        <x:v>screencapture-www-activesportstrade-co-uk-trained-by-jp-trade-2026-09-10-09_10_55.pdf / page-4</x:v>
      </x:c>
      <x:c r="AB1910" s="36" t="n">
        <x:f>IF(ISNUMBER(Y1910),ROUND(Y1910*0.9,2),"")</x:f>
        <x:v>90</x:v>
      </x:c>
      <x:c r="AC1910" s="36" t="n">
        <x:f>IF(ISNUMBER(AB1910),ROUND(AB1910-(AB1910*0.015+0.2)-V1910,2),"")</x:f>
        <x:v>18.86</x:v>
      </x:c>
      <x:c r="AD1910" s="36" t="n">
        <x:f>IF(ISNUMBER(Y1910),ROUND(Y1910*0.8,2),"")</x:f>
        <x:v>80</x:v>
      </x:c>
      <x:c r="AE1910" s="36" t="n">
        <x:f>IF(ISNUMBER(AD1910),ROUND(AD1910*0.015+0.2,2),"")</x:f>
        <x:v>1.4</x:v>
      </x:c>
      <x:c r="AF1910" s="36" t="n">
        <x:f>IF(ISNUMBER(AD1910),ROUND(AD1910-AE1910-V1910,2),"")</x:f>
        <x:v>9.01</x:v>
      </x:c>
      <x:c r="AG1910" t="str">
        <x:f>IF(NOT(ISNUMBER(T1910)),"PENDING",IF(AF1910&gt;0,"PASS","FAIL"))</x:f>
        <x:v>PASS</x:v>
      </x:c>
      <x:c r="AH1910" t="str">
        <x:f>IF(NOT(ISNUMBER(T1910)),"Needs supplier cost",IF(K1910&lt;&gt;"In stock","Supplier unavailable",IF(AG1910&lt;&gt;"PASS","BLOCK - GT loss risk","Commercially protected")))</x:f>
        <x:v>Commercially protected</x:v>
      </x:c>
      <x:c r="AI1910" t="str">
        <x:v>2026-09-10 Active Sports trade capture</x:v>
      </x:c>
      <x:c r="AJ1910" t="str">
        <x:v>Management-only economics. Stripe stress test uses 1.5% + £0.20 standard UK online-card fee; pallet/mix-and-match pricing ignored.</x:v>
      </x:c>
    </x:row>
    <x:row r="1911">
      <x:c r="A1911" t="str">
        <x:v>Active Sports Nutrition</x:v>
      </x:c>
      <x:c r="B1911" t="str">
        <x:v>Trained By JP</x:v>
      </x:c>
      <x:c r="C1911" t="str">
        <x:v>IsoPro 100% Whey Protein Isolate</x:v>
      </x:c>
      <x:c r="D1911" t="str">
        <x:v>Supplements</x:v>
      </x:c>
      <x:c r="E1911" t="str">
        <x:v>Whey Protein</x:v>
      </x:c>
      <x:c r="F1911" t="str"/>
      <x:c r="G1911" t="str">
        <x:v>1.8kg</x:v>
      </x:c>
      <x:c r="H1911" t="str">
        <x:v>Chocolate Honeycomb</x:v>
      </x:c>
      <x:c r="I1911" t="str"/>
      <x:c r="J1911" t="str">
        <x:v>Unit</x:v>
      </x:c>
      <x:c r="K1911" t="str">
        <x:v>Out of stock</x:v>
      </x:c>
      <x:c r="L1911" t="str">
        <x:v>2026-09-08</x:v>
      </x:c>
      <x:c r="M1911" t="str"/>
      <x:c r="N1911" t="str"/>
      <x:c r="O1911" t="str">
        <x:v>https://www.activesportstrade.co.uk/trained-by-jp-trade</x:v>
      </x:c>
      <x:c r="P1911" t="str"/>
      <x:c r="Q1911" t="str"/>
      <x:c r="R1911" t="str"/>
      <x:c r="S1911" t="str">
        <x:v>Pending genuine supplier/brand image</x:v>
      </x:c>
      <x:c r="T1911" s="54" t="n">
        <x:v>57.99</x:v>
      </x:c>
      <x:c r="U1911" s="47" t="n">
        <x:v>0.2</x:v>
      </x:c>
      <x:c r="V1911" s="54" t="n">
        <x:f>IF(ISNUMBER(T1911),T1911*(1+U1911),"")</x:f>
        <x:v>69.588</x:v>
      </x:c>
      <x:c r="W1911" s="47" t="n">
        <x:v>0.3</x:v>
      </x:c>
      <x:c r="X1911" s="54" t="n">
        <x:f>IF(ISNUMBER(V1911),V1911/(1-W1911),"")</x:f>
        <x:v>99.41142857142857</x:v>
      </x:c>
      <x:c r="Y1911" s="55" t="n">
        <x:f>IF(ISNUMBER(X1911),ROUNDUP(X1911,0),"")</x:f>
        <x:v>100</x:v>
      </x:c>
      <x:c r="Z1911" t="str">
        <x:v>Source match pending</x:v>
      </x:c>
      <x:c r="AA1911" t="str">
        <x:v>screencapture-www-activesportstrade-co-uk-trained-by-jp-trade-2026-09-10-09_10_55.pdf / page-4</x:v>
      </x:c>
      <x:c r="AB1911" s="36" t="n">
        <x:f>IF(ISNUMBER(Y1911),ROUND(Y1911*0.9,2),"")</x:f>
        <x:v>90</x:v>
      </x:c>
      <x:c r="AC1911" s="36" t="n">
        <x:f>IF(ISNUMBER(AB1911),ROUND(AB1911-(AB1911*0.015+0.2)-V1911,2),"")</x:f>
        <x:v>18.86</x:v>
      </x:c>
      <x:c r="AD1911" s="36" t="n">
        <x:f>IF(ISNUMBER(Y1911),ROUND(Y1911*0.8,2),"")</x:f>
        <x:v>80</x:v>
      </x:c>
      <x:c r="AE1911" s="36" t="n">
        <x:f>IF(ISNUMBER(AD1911),ROUND(AD1911*0.015+0.2,2),"")</x:f>
        <x:v>1.4</x:v>
      </x:c>
      <x:c r="AF1911" s="36" t="n">
        <x:f>IF(ISNUMBER(AD1911),ROUND(AD1911-AE1911-V1911,2),"")</x:f>
        <x:v>9.01</x:v>
      </x:c>
      <x:c r="AG1911" t="str">
        <x:f>IF(NOT(ISNUMBER(T1911)),"PENDING",IF(AF1911&gt;0,"PASS","FAIL"))</x:f>
        <x:v>PASS</x:v>
      </x:c>
      <x:c r="AH1911" t="str">
        <x:f>IF(NOT(ISNUMBER(T1911)),"Needs supplier cost",IF(K1911&lt;&gt;"In stock","Supplier unavailable",IF(AG1911&lt;&gt;"PASS","BLOCK - GT loss risk","Commercially protected")))</x:f>
        <x:v>Supplier unavailable</x:v>
      </x:c>
      <x:c r="AI1911" t="str">
        <x:v>2026-09-10 Active Sports trade capture</x:v>
      </x:c>
      <x:c r="AJ1911" t="str">
        <x:v>Management-only economics. Stripe stress test uses 1.5% + £0.20 standard UK online-card fee; pallet/mix-and-match pricing ignored.</x:v>
      </x:c>
    </x:row>
    <x:row r="1912">
      <x:c r="A1912" t="str">
        <x:v>Active Sports Nutrition</x:v>
      </x:c>
      <x:c r="B1912" t="str">
        <x:v>Trained By JP</x:v>
      </x:c>
      <x:c r="C1912" t="str">
        <x:v>IsoPro 100% Whey Protein Isolate</x:v>
      </x:c>
      <x:c r="D1912" t="str">
        <x:v>Supplements</x:v>
      </x:c>
      <x:c r="E1912" t="str">
        <x:v>Whey Protein</x:v>
      </x:c>
      <x:c r="F1912" t="str"/>
      <x:c r="G1912" t="str">
        <x:v>1.8kg</x:v>
      </x:c>
      <x:c r="H1912" t="str">
        <x:v>Chocolate Mint</x:v>
      </x:c>
      <x:c r="I1912" t="str"/>
      <x:c r="J1912" t="str">
        <x:v>Unit</x:v>
      </x:c>
      <x:c r="K1912" t="str">
        <x:v>Out of stock</x:v>
      </x:c>
      <x:c r="L1912" t="str">
        <x:v>2026-09-08</x:v>
      </x:c>
      <x:c r="M1912" t="str"/>
      <x:c r="N1912" t="str"/>
      <x:c r="O1912" t="str">
        <x:v>https://www.activesportstrade.co.uk/trained-by-jp-trade</x:v>
      </x:c>
      <x:c r="P1912" t="str"/>
      <x:c r="Q1912" t="str"/>
      <x:c r="R1912" t="str"/>
      <x:c r="S1912" t="str">
        <x:v>Pending genuine supplier/brand image</x:v>
      </x:c>
      <x:c r="T1912" s="54" t="n">
        <x:v>57.99</x:v>
      </x:c>
      <x:c r="U1912" s="47" t="n">
        <x:v>0.2</x:v>
      </x:c>
      <x:c r="V1912" s="54" t="n">
        <x:f>IF(ISNUMBER(T1912),T1912*(1+U1912),"")</x:f>
        <x:v>69.588</x:v>
      </x:c>
      <x:c r="W1912" s="47" t="n">
        <x:v>0.3</x:v>
      </x:c>
      <x:c r="X1912" s="54" t="n">
        <x:f>IF(ISNUMBER(V1912),V1912/(1-W1912),"")</x:f>
        <x:v>99.41142857142857</x:v>
      </x:c>
      <x:c r="Y1912" s="55" t="n">
        <x:f>IF(ISNUMBER(X1912),ROUNDUP(X1912,0),"")</x:f>
        <x:v>100</x:v>
      </x:c>
      <x:c r="Z1912" t="str">
        <x:v>Source match pending</x:v>
      </x:c>
      <x:c r="AA1912" t="str">
        <x:v>screencapture-www-activesportstrade-co-uk-trained-by-jp-trade-2026-09-10-09_10_55.pdf / page-4</x:v>
      </x:c>
      <x:c r="AB1912" s="36" t="n">
        <x:f>IF(ISNUMBER(Y1912),ROUND(Y1912*0.9,2),"")</x:f>
        <x:v>90</x:v>
      </x:c>
      <x:c r="AC1912" s="36" t="n">
        <x:f>IF(ISNUMBER(AB1912),ROUND(AB1912-(AB1912*0.015+0.2)-V1912,2),"")</x:f>
        <x:v>18.86</x:v>
      </x:c>
      <x:c r="AD1912" s="36" t="n">
        <x:f>IF(ISNUMBER(Y1912),ROUND(Y1912*0.8,2),"")</x:f>
        <x:v>80</x:v>
      </x:c>
      <x:c r="AE1912" s="36" t="n">
        <x:f>IF(ISNUMBER(AD1912),ROUND(AD1912*0.015+0.2,2),"")</x:f>
        <x:v>1.4</x:v>
      </x:c>
      <x:c r="AF1912" s="36" t="n">
        <x:f>IF(ISNUMBER(AD1912),ROUND(AD1912-AE1912-V1912,2),"")</x:f>
        <x:v>9.01</x:v>
      </x:c>
      <x:c r="AG1912" t="str">
        <x:f>IF(NOT(ISNUMBER(T1912)),"PENDING",IF(AF1912&gt;0,"PASS","FAIL"))</x:f>
        <x:v>PASS</x:v>
      </x:c>
      <x:c r="AH1912" t="str">
        <x:f>IF(NOT(ISNUMBER(T1912)),"Needs supplier cost",IF(K1912&lt;&gt;"In stock","Supplier unavailable",IF(AG1912&lt;&gt;"PASS","BLOCK - GT loss risk","Commercially protected")))</x:f>
        <x:v>Supplier unavailable</x:v>
      </x:c>
      <x:c r="AI1912" t="str">
        <x:v>2026-09-10 Active Sports trade capture</x:v>
      </x:c>
      <x:c r="AJ1912" t="str">
        <x:v>Management-only economics. Stripe stress test uses 1.5% + £0.20 standard UK online-card fee; pallet/mix-and-match pricing ignored.</x:v>
      </x:c>
    </x:row>
    <x:row r="1913">
      <x:c r="A1913" t="str">
        <x:v>Active Sports Nutrition</x:v>
      </x:c>
      <x:c r="B1913" t="str">
        <x:v>Trained By JP</x:v>
      </x:c>
      <x:c r="C1913" t="str">
        <x:v>IsoPro 100% Whey Protein Isolate</x:v>
      </x:c>
      <x:c r="D1913" t="str">
        <x:v>Supplements</x:v>
      </x:c>
      <x:c r="E1913" t="str">
        <x:v>Whey Protein</x:v>
      </x:c>
      <x:c r="F1913" t="str"/>
      <x:c r="G1913" t="str">
        <x:v>1.8kg</x:v>
      </x:c>
      <x:c r="H1913" t="str">
        <x:v>Chocolate Pistachio</x:v>
      </x:c>
      <x:c r="I1913" t="str"/>
      <x:c r="J1913" t="str">
        <x:v>Unit</x:v>
      </x:c>
      <x:c r="K1913" t="str">
        <x:v>In stock</x:v>
      </x:c>
      <x:c r="L1913" t="str">
        <x:v>2026-09-08</x:v>
      </x:c>
      <x:c r="M1913" t="str"/>
      <x:c r="N1913" t="str"/>
      <x:c r="O1913" t="str">
        <x:v>https://www.activesportstrade.co.uk/trained-by-jp-trade</x:v>
      </x:c>
      <x:c r="P1913" t="str"/>
      <x:c r="Q1913" t="str"/>
      <x:c r="R1913" t="str"/>
      <x:c r="S1913" t="str">
        <x:v>Pending genuine supplier/brand image</x:v>
      </x:c>
      <x:c r="T1913" s="54" t="n">
        <x:v>57.99</x:v>
      </x:c>
      <x:c r="U1913" s="47" t="n">
        <x:v>0.2</x:v>
      </x:c>
      <x:c r="V1913" s="54" t="n">
        <x:f>IF(ISNUMBER(T1913),T1913*(1+U1913),"")</x:f>
        <x:v>69.588</x:v>
      </x:c>
      <x:c r="W1913" s="47" t="n">
        <x:v>0.3</x:v>
      </x:c>
      <x:c r="X1913" s="54" t="n">
        <x:f>IF(ISNUMBER(V1913),V1913/(1-W1913),"")</x:f>
        <x:v>99.41142857142857</x:v>
      </x:c>
      <x:c r="Y1913" s="55" t="n">
        <x:f>IF(ISNUMBER(X1913),ROUNDUP(X1913,0),"")</x:f>
        <x:v>100</x:v>
      </x:c>
      <x:c r="Z1913" t="str">
        <x:v>Source match pending</x:v>
      </x:c>
      <x:c r="AA1913" t="str">
        <x:v>screencapture-www-activesportstrade-co-uk-trained-by-jp-trade-2026-09-10-09_10_55.pdf / page-4</x:v>
      </x:c>
      <x:c r="AB1913" s="36" t="n">
        <x:f>IF(ISNUMBER(Y1913),ROUND(Y1913*0.9,2),"")</x:f>
        <x:v>90</x:v>
      </x:c>
      <x:c r="AC1913" s="36" t="n">
        <x:f>IF(ISNUMBER(AB1913),ROUND(AB1913-(AB1913*0.015+0.2)-V1913,2),"")</x:f>
        <x:v>18.86</x:v>
      </x:c>
      <x:c r="AD1913" s="36" t="n">
        <x:f>IF(ISNUMBER(Y1913),ROUND(Y1913*0.8,2),"")</x:f>
        <x:v>80</x:v>
      </x:c>
      <x:c r="AE1913" s="36" t="n">
        <x:f>IF(ISNUMBER(AD1913),ROUND(AD1913*0.015+0.2,2),"")</x:f>
        <x:v>1.4</x:v>
      </x:c>
      <x:c r="AF1913" s="36" t="n">
        <x:f>IF(ISNUMBER(AD1913),ROUND(AD1913-AE1913-V1913,2),"")</x:f>
        <x:v>9.01</x:v>
      </x:c>
      <x:c r="AG1913" t="str">
        <x:f>IF(NOT(ISNUMBER(T1913)),"PENDING",IF(AF1913&gt;0,"PASS","FAIL"))</x:f>
        <x:v>PASS</x:v>
      </x:c>
      <x:c r="AH1913" t="str">
        <x:f>IF(NOT(ISNUMBER(T1913)),"Needs supplier cost",IF(K1913&lt;&gt;"In stock","Supplier unavailable",IF(AG1913&lt;&gt;"PASS","BLOCK - GT loss risk","Commercially protected")))</x:f>
        <x:v>Commercially protected</x:v>
      </x:c>
      <x:c r="AI1913" t="str">
        <x:v>2026-09-10 Active Sports trade capture</x:v>
      </x:c>
      <x:c r="AJ1913" t="str">
        <x:v>Management-only economics. Stripe stress test uses 1.5% + £0.20 standard UK online-card fee; pallet/mix-and-match pricing ignored.</x:v>
      </x:c>
    </x:row>
    <x:row r="1914">
      <x:c r="A1914" t="str">
        <x:v>Active Sports Nutrition</x:v>
      </x:c>
      <x:c r="B1914" t="str">
        <x:v>Trained By JP</x:v>
      </x:c>
      <x:c r="C1914" t="str">
        <x:v>IsoPro 100% Whey Protein Isolate</x:v>
      </x:c>
      <x:c r="D1914" t="str">
        <x:v>Supplements</x:v>
      </x:c>
      <x:c r="E1914" t="str">
        <x:v>Whey Protein</x:v>
      </x:c>
      <x:c r="F1914" t="str"/>
      <x:c r="G1914" t="str">
        <x:v>1.8kg</x:v>
      </x:c>
      <x:c r="H1914" t="str">
        <x:v>Custard Cream</x:v>
      </x:c>
      <x:c r="I1914" t="str"/>
      <x:c r="J1914" t="str">
        <x:v>Unit</x:v>
      </x:c>
      <x:c r="K1914" t="str">
        <x:v>In stock</x:v>
      </x:c>
      <x:c r="L1914" t="str">
        <x:v>2026-09-08</x:v>
      </x:c>
      <x:c r="M1914" t="str"/>
      <x:c r="N1914" t="str"/>
      <x:c r="O1914" t="str">
        <x:v>https://www.activesportstrade.co.uk/trained-by-jp-trade</x:v>
      </x:c>
      <x:c r="P1914" t="str"/>
      <x:c r="Q1914" t="str"/>
      <x:c r="R1914" t="str"/>
      <x:c r="S1914" t="str">
        <x:v>Pending genuine supplier/brand image</x:v>
      </x:c>
      <x:c r="T1914" s="54" t="n">
        <x:v>57.99</x:v>
      </x:c>
      <x:c r="U1914" s="47" t="n">
        <x:v>0.2</x:v>
      </x:c>
      <x:c r="V1914" s="54" t="n">
        <x:f>IF(ISNUMBER(T1914),T1914*(1+U1914),"")</x:f>
        <x:v>69.588</x:v>
      </x:c>
      <x:c r="W1914" s="47" t="n">
        <x:v>0.3</x:v>
      </x:c>
      <x:c r="X1914" s="54" t="n">
        <x:f>IF(ISNUMBER(V1914),V1914/(1-W1914),"")</x:f>
        <x:v>99.41142857142857</x:v>
      </x:c>
      <x:c r="Y1914" s="55" t="n">
        <x:f>IF(ISNUMBER(X1914),ROUNDUP(X1914,0),"")</x:f>
        <x:v>100</x:v>
      </x:c>
      <x:c r="Z1914" t="str">
        <x:v>Source match pending</x:v>
      </x:c>
      <x:c r="AA1914" t="str">
        <x:v>screencapture-www-activesportstrade-co-uk-trained-by-jp-trade-2026-09-10-09_10_55.pdf / page-4</x:v>
      </x:c>
      <x:c r="AB1914" s="36" t="n">
        <x:f>IF(ISNUMBER(Y1914),ROUND(Y1914*0.9,2),"")</x:f>
        <x:v>90</x:v>
      </x:c>
      <x:c r="AC1914" s="36" t="n">
        <x:f>IF(ISNUMBER(AB1914),ROUND(AB1914-(AB1914*0.015+0.2)-V1914,2),"")</x:f>
        <x:v>18.86</x:v>
      </x:c>
      <x:c r="AD1914" s="36" t="n">
        <x:f>IF(ISNUMBER(Y1914),ROUND(Y1914*0.8,2),"")</x:f>
        <x:v>80</x:v>
      </x:c>
      <x:c r="AE1914" s="36" t="n">
        <x:f>IF(ISNUMBER(AD1914),ROUND(AD1914*0.015+0.2,2),"")</x:f>
        <x:v>1.4</x:v>
      </x:c>
      <x:c r="AF1914" s="36" t="n">
        <x:f>IF(ISNUMBER(AD1914),ROUND(AD1914-AE1914-V1914,2),"")</x:f>
        <x:v>9.01</x:v>
      </x:c>
      <x:c r="AG1914" t="str">
        <x:f>IF(NOT(ISNUMBER(T1914)),"PENDING",IF(AF1914&gt;0,"PASS","FAIL"))</x:f>
        <x:v>PASS</x:v>
      </x:c>
      <x:c r="AH1914" t="str">
        <x:f>IF(NOT(ISNUMBER(T1914)),"Needs supplier cost",IF(K1914&lt;&gt;"In stock","Supplier unavailable",IF(AG1914&lt;&gt;"PASS","BLOCK - GT loss risk","Commercially protected")))</x:f>
        <x:v>Commercially protected</x:v>
      </x:c>
      <x:c r="AI1914" t="str">
        <x:v>2026-09-10 Active Sports trade capture</x:v>
      </x:c>
      <x:c r="AJ1914" t="str">
        <x:v>Management-only economics. Stripe stress test uses 1.5% + £0.20 standard UK online-card fee; pallet/mix-and-match pricing ignored.</x:v>
      </x:c>
    </x:row>
    <x:row r="1915">
      <x:c r="A1915" t="str">
        <x:v>Active Sports Nutrition</x:v>
      </x:c>
      <x:c r="B1915" t="str">
        <x:v>Trained By JP</x:v>
      </x:c>
      <x:c r="C1915" t="str">
        <x:v>IsoPro 100% Whey Protein Isolate</x:v>
      </x:c>
      <x:c r="D1915" t="str">
        <x:v>Supplements</x:v>
      </x:c>
      <x:c r="E1915" t="str">
        <x:v>Whey Protein</x:v>
      </x:c>
      <x:c r="F1915" t="str"/>
      <x:c r="G1915" t="str">
        <x:v>1.8kg</x:v>
      </x:c>
      <x:c r="H1915" t="str">
        <x:v>Malted Chocolate</x:v>
      </x:c>
      <x:c r="I1915" t="str"/>
      <x:c r="J1915" t="str">
        <x:v>Unit</x:v>
      </x:c>
      <x:c r="K1915" t="str">
        <x:v>In stock</x:v>
      </x:c>
      <x:c r="L1915" t="str">
        <x:v>2026-09-08</x:v>
      </x:c>
      <x:c r="M1915" t="str"/>
      <x:c r="N1915" t="str"/>
      <x:c r="O1915" t="str">
        <x:v>https://www.activesportstrade.co.uk/trained-by-jp-trade</x:v>
      </x:c>
      <x:c r="P1915" t="str"/>
      <x:c r="Q1915" t="str"/>
      <x:c r="R1915" t="str"/>
      <x:c r="S1915" t="str">
        <x:v>Pending genuine supplier/brand image</x:v>
      </x:c>
      <x:c r="T1915" s="54" t="n">
        <x:v>57.99</x:v>
      </x:c>
      <x:c r="U1915" s="47" t="n">
        <x:v>0.2</x:v>
      </x:c>
      <x:c r="V1915" s="54" t="n">
        <x:f>IF(ISNUMBER(T1915),T1915*(1+U1915),"")</x:f>
        <x:v>69.588</x:v>
      </x:c>
      <x:c r="W1915" s="47" t="n">
        <x:v>0.3</x:v>
      </x:c>
      <x:c r="X1915" s="54" t="n">
        <x:f>IF(ISNUMBER(V1915),V1915/(1-W1915),"")</x:f>
        <x:v>99.41142857142857</x:v>
      </x:c>
      <x:c r="Y1915" s="55" t="n">
        <x:f>IF(ISNUMBER(X1915),ROUNDUP(X1915,0),"")</x:f>
        <x:v>100</x:v>
      </x:c>
      <x:c r="Z1915" t="str">
        <x:v>Source match pending</x:v>
      </x:c>
      <x:c r="AA1915" t="str">
        <x:v>screencapture-www-activesportstrade-co-uk-trained-by-jp-trade-2026-09-10-09_10_55.pdf / page-4</x:v>
      </x:c>
      <x:c r="AB1915" s="36" t="n">
        <x:f>IF(ISNUMBER(Y1915),ROUND(Y1915*0.9,2),"")</x:f>
        <x:v>90</x:v>
      </x:c>
      <x:c r="AC1915" s="36" t="n">
        <x:f>IF(ISNUMBER(AB1915),ROUND(AB1915-(AB1915*0.015+0.2)-V1915,2),"")</x:f>
        <x:v>18.86</x:v>
      </x:c>
      <x:c r="AD1915" s="36" t="n">
        <x:f>IF(ISNUMBER(Y1915),ROUND(Y1915*0.8,2),"")</x:f>
        <x:v>80</x:v>
      </x:c>
      <x:c r="AE1915" s="36" t="n">
        <x:f>IF(ISNUMBER(AD1915),ROUND(AD1915*0.015+0.2,2),"")</x:f>
        <x:v>1.4</x:v>
      </x:c>
      <x:c r="AF1915" s="36" t="n">
        <x:f>IF(ISNUMBER(AD1915),ROUND(AD1915-AE1915-V1915,2),"")</x:f>
        <x:v>9.01</x:v>
      </x:c>
      <x:c r="AG1915" t="str">
        <x:f>IF(NOT(ISNUMBER(T1915)),"PENDING",IF(AF1915&gt;0,"PASS","FAIL"))</x:f>
        <x:v>PASS</x:v>
      </x:c>
      <x:c r="AH1915" t="str">
        <x:f>IF(NOT(ISNUMBER(T1915)),"Needs supplier cost",IF(K1915&lt;&gt;"In stock","Supplier unavailable",IF(AG1915&lt;&gt;"PASS","BLOCK - GT loss risk","Commercially protected")))</x:f>
        <x:v>Commercially protected</x:v>
      </x:c>
      <x:c r="AI1915" t="str">
        <x:v>2026-09-10 Active Sports trade capture</x:v>
      </x:c>
      <x:c r="AJ1915" t="str">
        <x:v>Management-only economics. Stripe stress test uses 1.5% + £0.20 standard UK online-card fee; pallet/mix-and-match pricing ignored.</x:v>
      </x:c>
    </x:row>
    <x:row r="1916">
      <x:c r="A1916" t="str">
        <x:v>Active Sports Nutrition</x:v>
      </x:c>
      <x:c r="B1916" t="str">
        <x:v>Trained By JP</x:v>
      </x:c>
      <x:c r="C1916" t="str">
        <x:v>IsoPro 100% Whey Protein Isolate</x:v>
      </x:c>
      <x:c r="D1916" t="str">
        <x:v>Supplements</x:v>
      </x:c>
      <x:c r="E1916" t="str">
        <x:v>Whey Protein</x:v>
      </x:c>
      <x:c r="F1916" t="str"/>
      <x:c r="G1916" t="str">
        <x:v>1.8kg</x:v>
      </x:c>
      <x:c r="H1916" t="str">
        <x:v>Strawberry Cheesecake</x:v>
      </x:c>
      <x:c r="I1916" t="str"/>
      <x:c r="J1916" t="str">
        <x:v>Unit</x:v>
      </x:c>
      <x:c r="K1916" t="str">
        <x:v>In stock</x:v>
      </x:c>
      <x:c r="L1916" t="str">
        <x:v>2026-09-08</x:v>
      </x:c>
      <x:c r="M1916" t="str"/>
      <x:c r="N1916" t="str"/>
      <x:c r="O1916" t="str">
        <x:v>https://www.activesportstrade.co.uk/trained-by-jp-trade</x:v>
      </x:c>
      <x:c r="P1916" t="str"/>
      <x:c r="Q1916" t="str"/>
      <x:c r="R1916" t="str"/>
      <x:c r="S1916" t="str">
        <x:v>Pending genuine supplier/brand image</x:v>
      </x:c>
      <x:c r="T1916" s="54" t="n">
        <x:v>57.99</x:v>
      </x:c>
      <x:c r="U1916" s="47" t="n">
        <x:v>0.2</x:v>
      </x:c>
      <x:c r="V1916" s="54" t="n">
        <x:f>IF(ISNUMBER(T1916),T1916*(1+U1916),"")</x:f>
        <x:v>69.588</x:v>
      </x:c>
      <x:c r="W1916" s="47" t="n">
        <x:v>0.3</x:v>
      </x:c>
      <x:c r="X1916" s="54" t="n">
        <x:f>IF(ISNUMBER(V1916),V1916/(1-W1916),"")</x:f>
        <x:v>99.41142857142857</x:v>
      </x:c>
      <x:c r="Y1916" s="55" t="n">
        <x:f>IF(ISNUMBER(X1916),ROUNDUP(X1916,0),"")</x:f>
        <x:v>100</x:v>
      </x:c>
      <x:c r="Z1916" t="str">
        <x:v>Source match pending</x:v>
      </x:c>
      <x:c r="AA1916" t="str">
        <x:v>screencapture-www-activesportstrade-co-uk-trained-by-jp-trade-2026-09-10-09_10_55.pdf / page-4</x:v>
      </x:c>
      <x:c r="AB1916" s="36" t="n">
        <x:f>IF(ISNUMBER(Y1916),ROUND(Y1916*0.9,2),"")</x:f>
        <x:v>90</x:v>
      </x:c>
      <x:c r="AC1916" s="36" t="n">
        <x:f>IF(ISNUMBER(AB1916),ROUND(AB1916-(AB1916*0.015+0.2)-V1916,2),"")</x:f>
        <x:v>18.86</x:v>
      </x:c>
      <x:c r="AD1916" s="36" t="n">
        <x:f>IF(ISNUMBER(Y1916),ROUND(Y1916*0.8,2),"")</x:f>
        <x:v>80</x:v>
      </x:c>
      <x:c r="AE1916" s="36" t="n">
        <x:f>IF(ISNUMBER(AD1916),ROUND(AD1916*0.015+0.2,2),"")</x:f>
        <x:v>1.4</x:v>
      </x:c>
      <x:c r="AF1916" s="36" t="n">
        <x:f>IF(ISNUMBER(AD1916),ROUND(AD1916-AE1916-V1916,2),"")</x:f>
        <x:v>9.01</x:v>
      </x:c>
      <x:c r="AG1916" t="str">
        <x:f>IF(NOT(ISNUMBER(T1916)),"PENDING",IF(AF1916&gt;0,"PASS","FAIL"))</x:f>
        <x:v>PASS</x:v>
      </x:c>
      <x:c r="AH1916" t="str">
        <x:f>IF(NOT(ISNUMBER(T1916)),"Needs supplier cost",IF(K1916&lt;&gt;"In stock","Supplier unavailable",IF(AG1916&lt;&gt;"PASS","BLOCK - GT loss risk","Commercially protected")))</x:f>
        <x:v>Commercially protected</x:v>
      </x:c>
      <x:c r="AI1916" t="str">
        <x:v>2026-09-10 Active Sports trade capture</x:v>
      </x:c>
      <x:c r="AJ1916" t="str">
        <x:v>Management-only economics. Stripe stress test uses 1.5% + £0.20 standard UK online-card fee; pallet/mix-and-match pricing ignored.</x:v>
      </x:c>
    </x:row>
    <x:row r="1917">
      <x:c r="A1917" t="str">
        <x:v>Active Sports Nutrition</x:v>
      </x:c>
      <x:c r="B1917" t="str">
        <x:v>Trained By JP</x:v>
      </x:c>
      <x:c r="C1917" t="str">
        <x:v>IsoPro 100% Whey Protein Isolate</x:v>
      </x:c>
      <x:c r="D1917" t="str">
        <x:v>Supplements</x:v>
      </x:c>
      <x:c r="E1917" t="str">
        <x:v>Whey Protein</x:v>
      </x:c>
      <x:c r="F1917" t="str"/>
      <x:c r="G1917" t="str">
        <x:v>1.8kg</x:v>
      </x:c>
      <x:c r="H1917" t="str">
        <x:v>Triple Chocolate</x:v>
      </x:c>
      <x:c r="I1917" t="str"/>
      <x:c r="J1917" t="str">
        <x:v>Unit</x:v>
      </x:c>
      <x:c r="K1917" t="str">
        <x:v>Out of stock</x:v>
      </x:c>
      <x:c r="L1917" t="str">
        <x:v>2026-09-08</x:v>
      </x:c>
      <x:c r="M1917" t="str"/>
      <x:c r="N1917" t="str"/>
      <x:c r="O1917" t="str">
        <x:v>https://www.activesportstrade.co.uk/trained-by-jp-trade</x:v>
      </x:c>
      <x:c r="P1917" t="str"/>
      <x:c r="Q1917" t="str"/>
      <x:c r="R1917" t="str"/>
      <x:c r="S1917" t="str">
        <x:v>Pending genuine supplier/brand image</x:v>
      </x:c>
      <x:c r="T1917" s="54" t="n">
        <x:v>57.99</x:v>
      </x:c>
      <x:c r="U1917" s="47" t="n">
        <x:v>0.2</x:v>
      </x:c>
      <x:c r="V1917" s="54" t="n">
        <x:f>IF(ISNUMBER(T1917),T1917*(1+U1917),"")</x:f>
        <x:v>69.588</x:v>
      </x:c>
      <x:c r="W1917" s="47" t="n">
        <x:v>0.3</x:v>
      </x:c>
      <x:c r="X1917" s="54" t="n">
        <x:f>IF(ISNUMBER(V1917),V1917/(1-W1917),"")</x:f>
        <x:v>99.41142857142857</x:v>
      </x:c>
      <x:c r="Y1917" s="55" t="n">
        <x:f>IF(ISNUMBER(X1917),ROUNDUP(X1917,0),"")</x:f>
        <x:v>100</x:v>
      </x:c>
      <x:c r="Z1917" t="str">
        <x:v>Source match pending</x:v>
      </x:c>
      <x:c r="AA1917" t="str">
        <x:v>screencapture-www-activesportstrade-co-uk-trained-by-jp-trade-2026-09-10-09_10_55.pdf / page-4</x:v>
      </x:c>
      <x:c r="AB1917" s="36" t="n">
        <x:f>IF(ISNUMBER(Y1917),ROUND(Y1917*0.9,2),"")</x:f>
        <x:v>90</x:v>
      </x:c>
      <x:c r="AC1917" s="36" t="n">
        <x:f>IF(ISNUMBER(AB1917),ROUND(AB1917-(AB1917*0.015+0.2)-V1917,2),"")</x:f>
        <x:v>18.86</x:v>
      </x:c>
      <x:c r="AD1917" s="36" t="n">
        <x:f>IF(ISNUMBER(Y1917),ROUND(Y1917*0.8,2),"")</x:f>
        <x:v>80</x:v>
      </x:c>
      <x:c r="AE1917" s="36" t="n">
        <x:f>IF(ISNUMBER(AD1917),ROUND(AD1917*0.015+0.2,2),"")</x:f>
        <x:v>1.4</x:v>
      </x:c>
      <x:c r="AF1917" s="36" t="n">
        <x:f>IF(ISNUMBER(AD1917),ROUND(AD1917-AE1917-V1917,2),"")</x:f>
        <x:v>9.01</x:v>
      </x:c>
      <x:c r="AG1917" t="str">
        <x:f>IF(NOT(ISNUMBER(T1917)),"PENDING",IF(AF1917&gt;0,"PASS","FAIL"))</x:f>
        <x:v>PASS</x:v>
      </x:c>
      <x:c r="AH1917" t="str">
        <x:f>IF(NOT(ISNUMBER(T1917)),"Needs supplier cost",IF(K1917&lt;&gt;"In stock","Supplier unavailable",IF(AG1917&lt;&gt;"PASS","BLOCK - GT loss risk","Commercially protected")))</x:f>
        <x:v>Supplier unavailable</x:v>
      </x:c>
      <x:c r="AI1917" t="str">
        <x:v>2026-09-10 Active Sports trade capture</x:v>
      </x:c>
      <x:c r="AJ1917" t="str">
        <x:v>Management-only economics. Stripe stress test uses 1.5% + £0.20 standard UK online-card fee; pallet/mix-and-match pricing ignored.</x:v>
      </x:c>
    </x:row>
    <x:row r="1918">
      <x:c r="A1918" t="str">
        <x:v>Active Sports Nutrition</x:v>
      </x:c>
      <x:c r="B1918" t="str">
        <x:v>Trained By JP</x:v>
      </x:c>
      <x:c r="C1918" t="str">
        <x:v>IsoPro 100% Whey Protein Isolate</x:v>
      </x:c>
      <x:c r="D1918" t="str">
        <x:v>Supplements</x:v>
      </x:c>
      <x:c r="E1918" t="str">
        <x:v>Whey Protein</x:v>
      </x:c>
      <x:c r="F1918" t="str"/>
      <x:c r="G1918" t="str">
        <x:v>1.8kg</x:v>
      </x:c>
      <x:c r="H1918" t="str">
        <x:v>Vanilla</x:v>
      </x:c>
      <x:c r="I1918" t="str"/>
      <x:c r="J1918" t="str">
        <x:v>Unit</x:v>
      </x:c>
      <x:c r="K1918" t="str">
        <x:v>Out of stock</x:v>
      </x:c>
      <x:c r="L1918" t="str">
        <x:v>2026-09-08</x:v>
      </x:c>
      <x:c r="M1918" t="str"/>
      <x:c r="N1918" t="str"/>
      <x:c r="O1918" t="str">
        <x:v>https://www.activesportstrade.co.uk/trained-by-jp-trade</x:v>
      </x:c>
      <x:c r="P1918" t="str"/>
      <x:c r="Q1918" t="str"/>
      <x:c r="R1918" t="str"/>
      <x:c r="S1918" t="str">
        <x:v>Pending genuine supplier/brand image</x:v>
      </x:c>
      <x:c r="T1918" s="54" t="n">
        <x:v>57.99</x:v>
      </x:c>
      <x:c r="U1918" s="47" t="n">
        <x:v>0.2</x:v>
      </x:c>
      <x:c r="V1918" s="54" t="n">
        <x:f>IF(ISNUMBER(T1918),T1918*(1+U1918),"")</x:f>
        <x:v>69.588</x:v>
      </x:c>
      <x:c r="W1918" s="47" t="n">
        <x:v>0.3</x:v>
      </x:c>
      <x:c r="X1918" s="54" t="n">
        <x:f>IF(ISNUMBER(V1918),V1918/(1-W1918),"")</x:f>
        <x:v>99.41142857142857</x:v>
      </x:c>
      <x:c r="Y1918" s="55" t="n">
        <x:f>IF(ISNUMBER(X1918),ROUNDUP(X1918,0),"")</x:f>
        <x:v>100</x:v>
      </x:c>
      <x:c r="Z1918" t="str">
        <x:v>Source match pending</x:v>
      </x:c>
      <x:c r="AA1918" t="str">
        <x:v>screencapture-www-activesportstrade-co-uk-trained-by-jp-trade-2026-09-10-09_10_55.pdf / page-4</x:v>
      </x:c>
      <x:c r="AB1918" s="36" t="n">
        <x:f>IF(ISNUMBER(Y1918),ROUND(Y1918*0.9,2),"")</x:f>
        <x:v>90</x:v>
      </x:c>
      <x:c r="AC1918" s="36" t="n">
        <x:f>IF(ISNUMBER(AB1918),ROUND(AB1918-(AB1918*0.015+0.2)-V1918,2),"")</x:f>
        <x:v>18.86</x:v>
      </x:c>
      <x:c r="AD1918" s="36" t="n">
        <x:f>IF(ISNUMBER(Y1918),ROUND(Y1918*0.8,2),"")</x:f>
        <x:v>80</x:v>
      </x:c>
      <x:c r="AE1918" s="36" t="n">
        <x:f>IF(ISNUMBER(AD1918),ROUND(AD1918*0.015+0.2,2),"")</x:f>
        <x:v>1.4</x:v>
      </x:c>
      <x:c r="AF1918" s="36" t="n">
        <x:f>IF(ISNUMBER(AD1918),ROUND(AD1918-AE1918-V1918,2),"")</x:f>
        <x:v>9.01</x:v>
      </x:c>
      <x:c r="AG1918" t="str">
        <x:f>IF(NOT(ISNUMBER(T1918)),"PENDING",IF(AF1918&gt;0,"PASS","FAIL"))</x:f>
        <x:v>PASS</x:v>
      </x:c>
      <x:c r="AH1918" t="str">
        <x:f>IF(NOT(ISNUMBER(T1918)),"Needs supplier cost",IF(K1918&lt;&gt;"In stock","Supplier unavailable",IF(AG1918&lt;&gt;"PASS","BLOCK - GT loss risk","Commercially protected")))</x:f>
        <x:v>Supplier unavailable</x:v>
      </x:c>
      <x:c r="AI1918" t="str">
        <x:v>2026-09-10 Active Sports trade capture</x:v>
      </x:c>
      <x:c r="AJ1918" t="str">
        <x:v>Management-only economics. Stripe stress test uses 1.5% + £0.20 standard UK online-card fee; pallet/mix-and-match pricing ignored.</x:v>
      </x:c>
    </x:row>
    <x:row r="1919">
      <x:c r="A1919" t="str">
        <x:v>Active Sports Nutrition</x:v>
      </x:c>
      <x:c r="B1919" t="str">
        <x:v>Trained By JP</x:v>
      </x:c>
      <x:c r="C1919" t="str">
        <x:v>IsoPro 100% Whey Protein Isolate</x:v>
      </x:c>
      <x:c r="D1919" t="str">
        <x:v>Supplements</x:v>
      </x:c>
      <x:c r="E1919" t="str">
        <x:v>Whey Protein</x:v>
      </x:c>
      <x:c r="F1919" t="str"/>
      <x:c r="G1919" t="str">
        <x:v>1.8kg</x:v>
      </x:c>
      <x:c r="H1919" t="str">
        <x:v>White Chocolate Hazelnut</x:v>
      </x:c>
      <x:c r="I1919" t="str"/>
      <x:c r="J1919" t="str">
        <x:v>Unit</x:v>
      </x:c>
      <x:c r="K1919" t="str">
        <x:v>Out of stock</x:v>
      </x:c>
      <x:c r="L1919" t="str">
        <x:v>2026-09-08</x:v>
      </x:c>
      <x:c r="M1919" t="str"/>
      <x:c r="N1919" t="str"/>
      <x:c r="O1919" t="str">
        <x:v>https://www.activesportstrade.co.uk/trained-by-jp-trade</x:v>
      </x:c>
      <x:c r="P1919" t="str"/>
      <x:c r="Q1919" t="str"/>
      <x:c r="R1919" t="str"/>
      <x:c r="S1919" t="str">
        <x:v>Pending genuine supplier/brand image</x:v>
      </x:c>
      <x:c r="T1919" s="54" t="n">
        <x:v>57.99</x:v>
      </x:c>
      <x:c r="U1919" s="47" t="n">
        <x:v>0.2</x:v>
      </x:c>
      <x:c r="V1919" s="54" t="n">
        <x:f>IF(ISNUMBER(T1919),T1919*(1+U1919),"")</x:f>
        <x:v>69.588</x:v>
      </x:c>
      <x:c r="W1919" s="47" t="n">
        <x:v>0.3</x:v>
      </x:c>
      <x:c r="X1919" s="54" t="n">
        <x:f>IF(ISNUMBER(V1919),V1919/(1-W1919),"")</x:f>
        <x:v>99.41142857142857</x:v>
      </x:c>
      <x:c r="Y1919" s="55" t="n">
        <x:f>IF(ISNUMBER(X1919),ROUNDUP(X1919,0),"")</x:f>
        <x:v>100</x:v>
      </x:c>
      <x:c r="Z1919" t="str">
        <x:v>Source match pending</x:v>
      </x:c>
      <x:c r="AA1919" t="str">
        <x:v>screencapture-www-activesportstrade-co-uk-trained-by-jp-trade-2026-09-10-09_10_55.pdf / page-4</x:v>
      </x:c>
      <x:c r="AB1919" s="36" t="n">
        <x:f>IF(ISNUMBER(Y1919),ROUND(Y1919*0.9,2),"")</x:f>
        <x:v>90</x:v>
      </x:c>
      <x:c r="AC1919" s="36" t="n">
        <x:f>IF(ISNUMBER(AB1919),ROUND(AB1919-(AB1919*0.015+0.2)-V1919,2),"")</x:f>
        <x:v>18.86</x:v>
      </x:c>
      <x:c r="AD1919" s="36" t="n">
        <x:f>IF(ISNUMBER(Y1919),ROUND(Y1919*0.8,2),"")</x:f>
        <x:v>80</x:v>
      </x:c>
      <x:c r="AE1919" s="36" t="n">
        <x:f>IF(ISNUMBER(AD1919),ROUND(AD1919*0.015+0.2,2),"")</x:f>
        <x:v>1.4</x:v>
      </x:c>
      <x:c r="AF1919" s="36" t="n">
        <x:f>IF(ISNUMBER(AD1919),ROUND(AD1919-AE1919-V1919,2),"")</x:f>
        <x:v>9.01</x:v>
      </x:c>
      <x:c r="AG1919" t="str">
        <x:f>IF(NOT(ISNUMBER(T1919)),"PENDING",IF(AF1919&gt;0,"PASS","FAIL"))</x:f>
        <x:v>PASS</x:v>
      </x:c>
      <x:c r="AH1919" t="str">
        <x:f>IF(NOT(ISNUMBER(T1919)),"Needs supplier cost",IF(K1919&lt;&gt;"In stock","Supplier unavailable",IF(AG1919&lt;&gt;"PASS","BLOCK - GT loss risk","Commercially protected")))</x:f>
        <x:v>Supplier unavailable</x:v>
      </x:c>
      <x:c r="AI1919" t="str">
        <x:v>2026-09-10 Active Sports trade capture</x:v>
      </x:c>
      <x:c r="AJ1919" t="str">
        <x:v>Management-only economics. Stripe stress test uses 1.5% + £0.20 standard UK online-card fee; pallet/mix-and-match pricing ignored.</x:v>
      </x:c>
    </x:row>
    <x:row r="1920">
      <x:c r="A1920" t="str">
        <x:v>Active Sports Nutrition</x:v>
      </x:c>
      <x:c r="B1920" t="str">
        <x:v>Trained By JP</x:v>
      </x:c>
      <x:c r="C1920" t="str">
        <x:v>Peak Hydration</x:v>
      </x:c>
      <x:c r="D1920" t="str">
        <x:v>Supplements</x:v>
      </x:c>
      <x:c r="E1920" t="str">
        <x:v>Hydration</x:v>
      </x:c>
      <x:c r="F1920" t="str"/>
      <x:c r="G1920" t="str">
        <x:v>180 caps</x:v>
      </x:c>
      <x:c r="H1920" t="str">
        <x:v>Default</x:v>
      </x:c>
      <x:c r="I1920" t="str"/>
      <x:c r="J1920" t="str">
        <x:v>Unit</x:v>
      </x:c>
      <x:c r="K1920" t="str">
        <x:v>Out of stock</x:v>
      </x:c>
      <x:c r="L1920" t="str">
        <x:v>2026-09-08</x:v>
      </x:c>
      <x:c r="M1920" t="str"/>
      <x:c r="N1920" t="str"/>
      <x:c r="O1920" t="str">
        <x:v>https://www.activesportstrade.co.uk/hydration-supplements-trade</x:v>
      </x:c>
      <x:c r="P1920" t="str">
        <x:v>Fresh hydration page used; older norec crawl showed in stock.</x:v>
      </x:c>
      <x:c r="Q1920" t="str"/>
      <x:c r="R1920" t="str"/>
      <x:c r="S1920" t="str">
        <x:v>Pending genuine supplier/brand image</x:v>
      </x:c>
      <x:c r="T1920" s="54" t="n">
        <x:v>13.75</x:v>
      </x:c>
      <x:c r="U1920" s="47" t="n">
        <x:v>0.2</x:v>
      </x:c>
      <x:c r="V1920" s="54" t="n">
        <x:f>IF(ISNUMBER(T1920),T1920*(1+U1920),"")</x:f>
        <x:v>16.5</x:v>
      </x:c>
      <x:c r="W1920" s="47" t="n">
        <x:v>0.3</x:v>
      </x:c>
      <x:c r="X1920" s="54" t="n">
        <x:f>IF(ISNUMBER(V1920),V1920/(1-W1920),"")</x:f>
        <x:v>23.571428571428573</x:v>
      </x:c>
      <x:c r="Y1920" s="55" t="n">
        <x:f>IF(ISNUMBER(X1920),ROUNDUP(X1920,0),"")</x:f>
        <x:v>24</x:v>
      </x:c>
      <x:c r="Z1920" t="str">
        <x:v>Source match pending</x:v>
      </x:c>
      <x:c r="AA1920" t="str">
        <x:v>screencapture-www-activesportstrade-co-uk-trained-by-jp-trade-2026-09-10-09_10_55.pdf / page-5</x:v>
      </x:c>
      <x:c r="AB1920" s="36" t="n">
        <x:f>IF(ISNUMBER(Y1920),ROUND(Y1920*0.9,2),"")</x:f>
        <x:v>21.6</x:v>
      </x:c>
      <x:c r="AC1920" s="36" t="n">
        <x:f>IF(ISNUMBER(AB1920),ROUND(AB1920-(AB1920*0.015+0.2)-V1920,2),"")</x:f>
        <x:v>4.58</x:v>
      </x:c>
      <x:c r="AD1920" s="36" t="n">
        <x:f>IF(ISNUMBER(Y1920),ROUND(Y1920*0.8,2),"")</x:f>
        <x:v>19.2</x:v>
      </x:c>
      <x:c r="AE1920" s="36" t="n">
        <x:f>IF(ISNUMBER(AD1920),ROUND(AD1920*0.015+0.2,2),"")</x:f>
        <x:v>0.49</x:v>
      </x:c>
      <x:c r="AF1920" s="36" t="n">
        <x:f>IF(ISNUMBER(AD1920),ROUND(AD1920-AE1920-V1920,2),"")</x:f>
        <x:v>2.21</x:v>
      </x:c>
      <x:c r="AG1920" t="str">
        <x:f>IF(NOT(ISNUMBER(T1920)),"PENDING",IF(AF1920&gt;0,"PASS","FAIL"))</x:f>
        <x:v>PASS</x:v>
      </x:c>
      <x:c r="AH1920" t="str">
        <x:f>IF(NOT(ISNUMBER(T1920)),"Needs supplier cost",IF(K1920&lt;&gt;"In stock","Supplier unavailable",IF(AG1920&lt;&gt;"PASS","BLOCK - GT loss risk","Commercially protected")))</x:f>
        <x:v>Supplier unavailable</x:v>
      </x:c>
      <x:c r="AI1920" t="str">
        <x:v>2026-09-10 Active Sports trade capture</x:v>
      </x:c>
      <x:c r="AJ1920" t="str">
        <x:v>Management-only economics. Stripe stress test uses 1.5% + £0.20 standard UK online-card fee; pallet/mix-and-match pricing ignored.</x:v>
      </x:c>
    </x:row>
    <x:row r="1921">
      <x:c r="A1921" t="str">
        <x:v>Active Sports Nutrition</x:v>
      </x:c>
      <x:c r="B1921" t="str">
        <x:v>Trained By JP</x:v>
      </x:c>
      <x:c r="C1921" t="str">
        <x:v>EAA</x:v>
      </x:c>
      <x:c r="D1921" t="str">
        <x:v>Supplements</x:v>
      </x:c>
      <x:c r="E1921" t="str">
        <x:v>Amino Acids</x:v>
      </x:c>
      <x:c r="F1921" t="str"/>
      <x:c r="G1921" t="str">
        <x:v>1kg / 66 servings</x:v>
      </x:c>
      <x:c r="H1921" t="str">
        <x:v>Berry Burst</x:v>
      </x:c>
      <x:c r="I1921" t="str"/>
      <x:c r="J1921" t="str">
        <x:v>Unit</x:v>
      </x:c>
      <x:c r="K1921" t="str">
        <x:v>In stock</x:v>
      </x:c>
      <x:c r="L1921" t="str">
        <x:v>2026-09-08</x:v>
      </x:c>
      <x:c r="M1921" t="str"/>
      <x:c r="N1921" t="str"/>
      <x:c r="O1921" t="str">
        <x:v>https://www.activesportstrade.co.uk/BCAAS</x:v>
      </x:c>
      <x:c r="P1921" t="str"/>
      <x:c r="Q1921" t="str"/>
      <x:c r="R1921" t="str"/>
      <x:c r="S1921" t="str">
        <x:v>Pending genuine supplier/brand image</x:v>
      </x:c>
      <x:c r="T1921" s="54"/>
      <x:c r="U1921" s="47" t="n">
        <x:v>0.2</x:v>
      </x:c>
      <x:c r="V1921" s="54" t="str">
        <x:f>IF(ISNUMBER(T1921),T1921*(1+U1921),"")</x:f>
      </x:c>
      <x:c r="W1921" s="47" t="n">
        <x:v>0.3</x:v>
      </x:c>
      <x:c r="X1921" s="54" t="str">
        <x:f>IF(ISNUMBER(V1921),V1921/(1-W1921),"")</x:f>
      </x:c>
      <x:c r="Y1921" s="55" t="str">
        <x:f>IF(ISNUMBER(X1921),ROUNDUP(X1921,0),"")</x:f>
      </x:c>
      <x:c r="Z1921" t="str">
        <x:f>IF(ISNUMBER(T1921),"Cost captured","Awaiting trade cost")</x:f>
        <x:v>Awaiting trade cost</x:v>
      </x:c>
      <x:c r="AB1921" s="36" t="str">
        <x:f>IF(ISNUMBER(Y1921),ROUND(Y1921*0.9,2),"")</x:f>
      </x:c>
      <x:c r="AC1921" s="36" t="str">
        <x:f>IF(ISNUMBER(AB1921),ROUND(AB1921-(AB1921*0.015+0.2)-V1921,2),"")</x:f>
      </x:c>
      <x:c r="AD1921" s="36" t="str">
        <x:f>IF(ISNUMBER(Y1921),ROUND(Y1921*0.8,2),"")</x:f>
      </x:c>
      <x:c r="AE1921" s="36" t="str">
        <x:f>IF(ISNUMBER(AD1921),ROUND(AD1921*0.015+0.2,2),"")</x:f>
      </x:c>
      <x:c r="AF1921" s="36" t="str">
        <x:f>IF(ISNUMBER(AD1921),ROUND(AD1921-AE1921-V1921,2),"")</x:f>
      </x:c>
      <x:c r="AG1921" t="str">
        <x:f>IF(NOT(ISNUMBER(T1921)),"PENDING",IF(AF1921&gt;0,"PASS","FAIL"))</x:f>
        <x:v>PENDING</x:v>
      </x:c>
      <x:c r="AH1921" t="str">
        <x:f>IF(NOT(ISNUMBER(T1921)),"Needs supplier cost",IF(K1921&lt;&gt;"In stock","Supplier unavailable",IF(AG1921&lt;&gt;"PASS","BLOCK - GT loss risk","Commercially protected")))</x:f>
        <x:v>Needs supplier cost</x:v>
      </x:c>
      <x:c r="AI1921" t="str">
        <x:v>2026-09-10 Active Sports trade capture</x:v>
      </x:c>
      <x:c r="AJ1921" t="str">
        <x:v>Management-only economics. Stripe stress test uses 1.5% + £0.20 standard UK online-card fee; pallet/mix-and-match pricing ignored.</x:v>
      </x:c>
    </x:row>
    <x:row r="1922">
      <x:c r="A1922" t="str">
        <x:v>Active Sports Nutrition</x:v>
      </x:c>
      <x:c r="B1922" t="str">
        <x:v>Trained By JP</x:v>
      </x:c>
      <x:c r="C1922" t="str">
        <x:v>EAA</x:v>
      </x:c>
      <x:c r="D1922" t="str">
        <x:v>Supplements</x:v>
      </x:c>
      <x:c r="E1922" t="str">
        <x:v>Amino Acids</x:v>
      </x:c>
      <x:c r="F1922" t="str"/>
      <x:c r="G1922" t="str">
        <x:v>1kg / 66 servings</x:v>
      </x:c>
      <x:c r="H1922" t="str">
        <x:v>Cherry Lime</x:v>
      </x:c>
      <x:c r="I1922" t="str"/>
      <x:c r="J1922" t="str">
        <x:v>Unit</x:v>
      </x:c>
      <x:c r="K1922" t="str">
        <x:v>In stock</x:v>
      </x:c>
      <x:c r="L1922" t="str">
        <x:v>2026-09-08</x:v>
      </x:c>
      <x:c r="M1922" t="str"/>
      <x:c r="N1922" t="str"/>
      <x:c r="O1922" t="str">
        <x:v>https://www.activesportstrade.co.uk/BCAAS</x:v>
      </x:c>
      <x:c r="P1922" t="str"/>
      <x:c r="Q1922" t="str"/>
      <x:c r="R1922" t="str"/>
      <x:c r="S1922" t="str">
        <x:v>Pending genuine supplier/brand image</x:v>
      </x:c>
      <x:c r="T1922" s="54"/>
      <x:c r="U1922" s="47" t="n">
        <x:v>0.2</x:v>
      </x:c>
      <x:c r="V1922" s="54" t="str">
        <x:f>IF(ISNUMBER(T1922),T1922*(1+U1922),"")</x:f>
      </x:c>
      <x:c r="W1922" s="47" t="n">
        <x:v>0.3</x:v>
      </x:c>
      <x:c r="X1922" s="54" t="str">
        <x:f>IF(ISNUMBER(V1922),V1922/(1-W1922),"")</x:f>
      </x:c>
      <x:c r="Y1922" s="55" t="str">
        <x:f>IF(ISNUMBER(X1922),ROUNDUP(X1922,0),"")</x:f>
      </x:c>
      <x:c r="Z1922" t="str">
        <x:f>IF(ISNUMBER(T1922),"Cost captured","Awaiting trade cost")</x:f>
        <x:v>Awaiting trade cost</x:v>
      </x:c>
      <x:c r="AB1922" s="36" t="str">
        <x:f>IF(ISNUMBER(Y1922),ROUND(Y1922*0.9,2),"")</x:f>
      </x:c>
      <x:c r="AC1922" s="36" t="str">
        <x:f>IF(ISNUMBER(AB1922),ROUND(AB1922-(AB1922*0.015+0.2)-V1922,2),"")</x:f>
      </x:c>
      <x:c r="AD1922" s="36" t="str">
        <x:f>IF(ISNUMBER(Y1922),ROUND(Y1922*0.8,2),"")</x:f>
      </x:c>
      <x:c r="AE1922" s="36" t="str">
        <x:f>IF(ISNUMBER(AD1922),ROUND(AD1922*0.015+0.2,2),"")</x:f>
      </x:c>
      <x:c r="AF1922" s="36" t="str">
        <x:f>IF(ISNUMBER(AD1922),ROUND(AD1922-AE1922-V1922,2),"")</x:f>
      </x:c>
      <x:c r="AG1922" t="str">
        <x:f>IF(NOT(ISNUMBER(T1922)),"PENDING",IF(AF1922&gt;0,"PASS","FAIL"))</x:f>
        <x:v>PENDING</x:v>
      </x:c>
      <x:c r="AH1922" t="str">
        <x:f>IF(NOT(ISNUMBER(T1922)),"Needs supplier cost",IF(K1922&lt;&gt;"In stock","Supplier unavailable",IF(AG1922&lt;&gt;"PASS","BLOCK - GT loss risk","Commercially protected")))</x:f>
        <x:v>Needs supplier cost</x:v>
      </x:c>
      <x:c r="AI1922" t="str">
        <x:v>2026-09-10 Active Sports trade capture</x:v>
      </x:c>
      <x:c r="AJ1922" t="str">
        <x:v>Management-only economics. Stripe stress test uses 1.5% + £0.20 standard UK online-card fee; pallet/mix-and-match pricing ignored.</x:v>
      </x:c>
    </x:row>
    <x:row r="1923">
      <x:c r="A1923" t="str">
        <x:v>Active Sports Nutrition</x:v>
      </x:c>
      <x:c r="B1923" t="str">
        <x:v>Trained By JP</x:v>
      </x:c>
      <x:c r="C1923" t="str">
        <x:v>EAA</x:v>
      </x:c>
      <x:c r="D1923" t="str">
        <x:v>Supplements</x:v>
      </x:c>
      <x:c r="E1923" t="str">
        <x:v>Amino Acids</x:v>
      </x:c>
      <x:c r="F1923" t="str"/>
      <x:c r="G1923" t="str">
        <x:v>1kg / 66 servings</x:v>
      </x:c>
      <x:c r="H1923" t="str">
        <x:v>Fizzy Blue Bottles (+ Hydration)</x:v>
      </x:c>
      <x:c r="I1923" t="str"/>
      <x:c r="J1923" t="str">
        <x:v>Unit</x:v>
      </x:c>
      <x:c r="K1923" t="str">
        <x:v>In stock</x:v>
      </x:c>
      <x:c r="L1923" t="str">
        <x:v>2026-09-08</x:v>
      </x:c>
      <x:c r="M1923" t="str"/>
      <x:c r="N1923" t="str"/>
      <x:c r="O1923" t="str">
        <x:v>https://www.activesportstrade.co.uk/BCAAS</x:v>
      </x:c>
      <x:c r="P1923" t="str"/>
      <x:c r="Q1923" t="str"/>
      <x:c r="R1923" t="str"/>
      <x:c r="S1923" t="str">
        <x:v>Pending genuine supplier/brand image</x:v>
      </x:c>
      <x:c r="T1923" s="54"/>
      <x:c r="U1923" s="47" t="n">
        <x:v>0.2</x:v>
      </x:c>
      <x:c r="V1923" s="54" t="str">
        <x:f>IF(ISNUMBER(T1923),T1923*(1+U1923),"")</x:f>
      </x:c>
      <x:c r="W1923" s="47" t="n">
        <x:v>0.3</x:v>
      </x:c>
      <x:c r="X1923" s="54" t="str">
        <x:f>IF(ISNUMBER(V1923),V1923/(1-W1923),"")</x:f>
      </x:c>
      <x:c r="Y1923" s="55" t="str">
        <x:f>IF(ISNUMBER(X1923),ROUNDUP(X1923,0),"")</x:f>
      </x:c>
      <x:c r="Z1923" t="str">
        <x:f>IF(ISNUMBER(T1923),"Cost captured","Awaiting trade cost")</x:f>
        <x:v>Awaiting trade cost</x:v>
      </x:c>
      <x:c r="AB1923" s="36" t="str">
        <x:f>IF(ISNUMBER(Y1923),ROUND(Y1923*0.9,2),"")</x:f>
      </x:c>
      <x:c r="AC1923" s="36" t="str">
        <x:f>IF(ISNUMBER(AB1923),ROUND(AB1923-(AB1923*0.015+0.2)-V1923,2),"")</x:f>
      </x:c>
      <x:c r="AD1923" s="36" t="str">
        <x:f>IF(ISNUMBER(Y1923),ROUND(Y1923*0.8,2),"")</x:f>
      </x:c>
      <x:c r="AE1923" s="36" t="str">
        <x:f>IF(ISNUMBER(AD1923),ROUND(AD1923*0.015+0.2,2),"")</x:f>
      </x:c>
      <x:c r="AF1923" s="36" t="str">
        <x:f>IF(ISNUMBER(AD1923),ROUND(AD1923-AE1923-V1923,2),"")</x:f>
      </x:c>
      <x:c r="AG1923" t="str">
        <x:f>IF(NOT(ISNUMBER(T1923)),"PENDING",IF(AF1923&gt;0,"PASS","FAIL"))</x:f>
        <x:v>PENDING</x:v>
      </x:c>
      <x:c r="AH1923" t="str">
        <x:f>IF(NOT(ISNUMBER(T1923)),"Needs supplier cost",IF(K1923&lt;&gt;"In stock","Supplier unavailable",IF(AG1923&lt;&gt;"PASS","BLOCK - GT loss risk","Commercially protected")))</x:f>
        <x:v>Needs supplier cost</x:v>
      </x:c>
      <x:c r="AI1923" t="str">
        <x:v>2026-09-10 Active Sports trade capture</x:v>
      </x:c>
      <x:c r="AJ1923" t="str">
        <x:v>Management-only economics. Stripe stress test uses 1.5% + £0.20 standard UK online-card fee; pallet/mix-and-match pricing ignored.</x:v>
      </x:c>
    </x:row>
    <x:row r="1924">
      <x:c r="A1924" t="str">
        <x:v>Active Sports Nutrition</x:v>
      </x:c>
      <x:c r="B1924" t="str">
        <x:v>Trained By JP</x:v>
      </x:c>
      <x:c r="C1924" t="str">
        <x:v>EAA</x:v>
      </x:c>
      <x:c r="D1924" t="str">
        <x:v>Supplements</x:v>
      </x:c>
      <x:c r="E1924" t="str">
        <x:v>Amino Acids</x:v>
      </x:c>
      <x:c r="F1924" t="str"/>
      <x:c r="G1924" t="str">
        <x:v>1kg / 66 servings</x:v>
      </x:c>
      <x:c r="H1924" t="str">
        <x:v>Fizzy Cola Bottles (+ Hydration)</x:v>
      </x:c>
      <x:c r="I1924" t="str"/>
      <x:c r="J1924" t="str">
        <x:v>Unit</x:v>
      </x:c>
      <x:c r="K1924" t="str">
        <x:v>In stock</x:v>
      </x:c>
      <x:c r="L1924" t="str">
        <x:v>2026-09-08</x:v>
      </x:c>
      <x:c r="M1924" t="str"/>
      <x:c r="N1924" t="str"/>
      <x:c r="O1924" t="str">
        <x:v>https://www.activesportstrade.co.uk/BCAAS</x:v>
      </x:c>
      <x:c r="P1924" t="str"/>
      <x:c r="Q1924" t="str"/>
      <x:c r="R1924" t="str"/>
      <x:c r="S1924" t="str">
        <x:v>Pending genuine supplier/brand image</x:v>
      </x:c>
      <x:c r="T1924" s="54"/>
      <x:c r="U1924" s="47" t="n">
        <x:v>0.2</x:v>
      </x:c>
      <x:c r="V1924" s="54" t="str">
        <x:f>IF(ISNUMBER(T1924),T1924*(1+U1924),"")</x:f>
      </x:c>
      <x:c r="W1924" s="47" t="n">
        <x:v>0.3</x:v>
      </x:c>
      <x:c r="X1924" s="54" t="str">
        <x:f>IF(ISNUMBER(V1924),V1924/(1-W1924),"")</x:f>
      </x:c>
      <x:c r="Y1924" s="55" t="str">
        <x:f>IF(ISNUMBER(X1924),ROUNDUP(X1924,0),"")</x:f>
      </x:c>
      <x:c r="Z1924" t="str">
        <x:f>IF(ISNUMBER(T1924),"Cost captured","Awaiting trade cost")</x:f>
        <x:v>Awaiting trade cost</x:v>
      </x:c>
      <x:c r="AB1924" s="36" t="str">
        <x:f>IF(ISNUMBER(Y1924),ROUND(Y1924*0.9,2),"")</x:f>
      </x:c>
      <x:c r="AC1924" s="36" t="str">
        <x:f>IF(ISNUMBER(AB1924),ROUND(AB1924-(AB1924*0.015+0.2)-V1924,2),"")</x:f>
      </x:c>
      <x:c r="AD1924" s="36" t="str">
        <x:f>IF(ISNUMBER(Y1924),ROUND(Y1924*0.8,2),"")</x:f>
      </x:c>
      <x:c r="AE1924" s="36" t="str">
        <x:f>IF(ISNUMBER(AD1924),ROUND(AD1924*0.015+0.2,2),"")</x:f>
      </x:c>
      <x:c r="AF1924" s="36" t="str">
        <x:f>IF(ISNUMBER(AD1924),ROUND(AD1924-AE1924-V1924,2),"")</x:f>
      </x:c>
      <x:c r="AG1924" t="str">
        <x:f>IF(NOT(ISNUMBER(T1924)),"PENDING",IF(AF1924&gt;0,"PASS","FAIL"))</x:f>
        <x:v>PENDING</x:v>
      </x:c>
      <x:c r="AH1924" t="str">
        <x:f>IF(NOT(ISNUMBER(T1924)),"Needs supplier cost",IF(K1924&lt;&gt;"In stock","Supplier unavailable",IF(AG1924&lt;&gt;"PASS","BLOCK - GT loss risk","Commercially protected")))</x:f>
        <x:v>Needs supplier cost</x:v>
      </x:c>
      <x:c r="AI1924" t="str">
        <x:v>2026-09-10 Active Sports trade capture</x:v>
      </x:c>
      <x:c r="AJ1924" t="str">
        <x:v>Management-only economics. Stripe stress test uses 1.5% + £0.20 standard UK online-card fee; pallet/mix-and-match pricing ignored.</x:v>
      </x:c>
    </x:row>
    <x:row r="1925">
      <x:c r="A1925" t="str">
        <x:v>Active Sports Nutrition</x:v>
      </x:c>
      <x:c r="B1925" t="str">
        <x:v>Trained By JP</x:v>
      </x:c>
      <x:c r="C1925" t="str">
        <x:v>EAA</x:v>
      </x:c>
      <x:c r="D1925" t="str">
        <x:v>Supplements</x:v>
      </x:c>
      <x:c r="E1925" t="str">
        <x:v>Amino Acids</x:v>
      </x:c>
      <x:c r="F1925" t="str"/>
      <x:c r="G1925" t="str">
        <x:v>1kg / 66 servings</x:v>
      </x:c>
      <x:c r="H1925" t="str">
        <x:v>Orange Mango</x:v>
      </x:c>
      <x:c r="I1925" t="str"/>
      <x:c r="J1925" t="str">
        <x:v>Unit</x:v>
      </x:c>
      <x:c r="K1925" t="str">
        <x:v>In stock</x:v>
      </x:c>
      <x:c r="L1925" t="str">
        <x:v>2026-09-08</x:v>
      </x:c>
      <x:c r="M1925" t="str"/>
      <x:c r="N1925" t="str"/>
      <x:c r="O1925" t="str">
        <x:v>https://www.activesportstrade.co.uk/BCAAS</x:v>
      </x:c>
      <x:c r="P1925" t="str"/>
      <x:c r="Q1925" t="str"/>
      <x:c r="R1925" t="str"/>
      <x:c r="S1925" t="str">
        <x:v>Pending genuine supplier/brand image</x:v>
      </x:c>
      <x:c r="T1925" s="54"/>
      <x:c r="U1925" s="47" t="n">
        <x:v>0.2</x:v>
      </x:c>
      <x:c r="V1925" s="54" t="str">
        <x:f>IF(ISNUMBER(T1925),T1925*(1+U1925),"")</x:f>
      </x:c>
      <x:c r="W1925" s="47" t="n">
        <x:v>0.3</x:v>
      </x:c>
      <x:c r="X1925" s="54" t="str">
        <x:f>IF(ISNUMBER(V1925),V1925/(1-W1925),"")</x:f>
      </x:c>
      <x:c r="Y1925" s="55" t="str">
        <x:f>IF(ISNUMBER(X1925),ROUNDUP(X1925,0),"")</x:f>
      </x:c>
      <x:c r="Z1925" t="str">
        <x:f>IF(ISNUMBER(T1925),"Cost captured","Awaiting trade cost")</x:f>
        <x:v>Awaiting trade cost</x:v>
      </x:c>
      <x:c r="AB1925" s="36" t="str">
        <x:f>IF(ISNUMBER(Y1925),ROUND(Y1925*0.9,2),"")</x:f>
      </x:c>
      <x:c r="AC1925" s="36" t="str">
        <x:f>IF(ISNUMBER(AB1925),ROUND(AB1925-(AB1925*0.015+0.2)-V1925,2),"")</x:f>
      </x:c>
      <x:c r="AD1925" s="36" t="str">
        <x:f>IF(ISNUMBER(Y1925),ROUND(Y1925*0.8,2),"")</x:f>
      </x:c>
      <x:c r="AE1925" s="36" t="str">
        <x:f>IF(ISNUMBER(AD1925),ROUND(AD1925*0.015+0.2,2),"")</x:f>
      </x:c>
      <x:c r="AF1925" s="36" t="str">
        <x:f>IF(ISNUMBER(AD1925),ROUND(AD1925-AE1925-V1925,2),"")</x:f>
      </x:c>
      <x:c r="AG1925" t="str">
        <x:f>IF(NOT(ISNUMBER(T1925)),"PENDING",IF(AF1925&gt;0,"PASS","FAIL"))</x:f>
        <x:v>PENDING</x:v>
      </x:c>
      <x:c r="AH1925" t="str">
        <x:f>IF(NOT(ISNUMBER(T1925)),"Needs supplier cost",IF(K1925&lt;&gt;"In stock","Supplier unavailable",IF(AG1925&lt;&gt;"PASS","BLOCK - GT loss risk","Commercially protected")))</x:f>
        <x:v>Needs supplier cost</x:v>
      </x:c>
      <x:c r="AI1925" t="str">
        <x:v>2026-09-10 Active Sports trade capture</x:v>
      </x:c>
      <x:c r="AJ1925" t="str">
        <x:v>Management-only economics. Stripe stress test uses 1.5% + £0.20 standard UK online-card fee; pallet/mix-and-match pricing ignored.</x:v>
      </x:c>
    </x:row>
    <x:row r="1926">
      <x:c r="A1926" t="str">
        <x:v>Active Sports Nutrition</x:v>
      </x:c>
      <x:c r="B1926" t="str">
        <x:v>Trained By JP</x:v>
      </x:c>
      <x:c r="C1926" t="str">
        <x:v>EAA</x:v>
      </x:c>
      <x:c r="D1926" t="str">
        <x:v>Supplements</x:v>
      </x:c>
      <x:c r="E1926" t="str">
        <x:v>Amino Acids</x:v>
      </x:c>
      <x:c r="F1926" t="str"/>
      <x:c r="G1926" t="str">
        <x:v>1kg / 66 servings</x:v>
      </x:c>
      <x:c r="H1926" t="str">
        <x:v>Pina Colada</x:v>
      </x:c>
      <x:c r="I1926" t="str"/>
      <x:c r="J1926" t="str">
        <x:v>Unit</x:v>
      </x:c>
      <x:c r="K1926" t="str">
        <x:v>In stock</x:v>
      </x:c>
      <x:c r="L1926" t="str">
        <x:v>2026-09-08</x:v>
      </x:c>
      <x:c r="M1926" t="str"/>
      <x:c r="N1926" t="str"/>
      <x:c r="O1926" t="str">
        <x:v>https://www.activesportstrade.co.uk/BCAAS</x:v>
      </x:c>
      <x:c r="P1926" t="str"/>
      <x:c r="Q1926" t="str"/>
      <x:c r="R1926" t="str"/>
      <x:c r="S1926" t="str">
        <x:v>Pending genuine supplier/brand image</x:v>
      </x:c>
      <x:c r="T1926" s="54"/>
      <x:c r="U1926" s="47" t="n">
        <x:v>0.2</x:v>
      </x:c>
      <x:c r="V1926" s="54" t="str">
        <x:f>IF(ISNUMBER(T1926),T1926*(1+U1926),"")</x:f>
      </x:c>
      <x:c r="W1926" s="47" t="n">
        <x:v>0.3</x:v>
      </x:c>
      <x:c r="X1926" s="54" t="str">
        <x:f>IF(ISNUMBER(V1926),V1926/(1-W1926),"")</x:f>
      </x:c>
      <x:c r="Y1926" s="55" t="str">
        <x:f>IF(ISNUMBER(X1926),ROUNDUP(X1926,0),"")</x:f>
      </x:c>
      <x:c r="Z1926" t="str">
        <x:f>IF(ISNUMBER(T1926),"Cost captured","Awaiting trade cost")</x:f>
        <x:v>Awaiting trade cost</x:v>
      </x:c>
      <x:c r="AB1926" s="36" t="str">
        <x:f>IF(ISNUMBER(Y1926),ROUND(Y1926*0.9,2),"")</x:f>
      </x:c>
      <x:c r="AC1926" s="36" t="str">
        <x:f>IF(ISNUMBER(AB1926),ROUND(AB1926-(AB1926*0.015+0.2)-V1926,2),"")</x:f>
      </x:c>
      <x:c r="AD1926" s="36" t="str">
        <x:f>IF(ISNUMBER(Y1926),ROUND(Y1926*0.8,2),"")</x:f>
      </x:c>
      <x:c r="AE1926" s="36" t="str">
        <x:f>IF(ISNUMBER(AD1926),ROUND(AD1926*0.015+0.2,2),"")</x:f>
      </x:c>
      <x:c r="AF1926" s="36" t="str">
        <x:f>IF(ISNUMBER(AD1926),ROUND(AD1926-AE1926-V1926,2),"")</x:f>
      </x:c>
      <x:c r="AG1926" t="str">
        <x:f>IF(NOT(ISNUMBER(T1926)),"PENDING",IF(AF1926&gt;0,"PASS","FAIL"))</x:f>
        <x:v>PENDING</x:v>
      </x:c>
      <x:c r="AH1926" t="str">
        <x:f>IF(NOT(ISNUMBER(T1926)),"Needs supplier cost",IF(K1926&lt;&gt;"In stock","Supplier unavailable",IF(AG1926&lt;&gt;"PASS","BLOCK - GT loss risk","Commercially protected")))</x:f>
        <x:v>Needs supplier cost</x:v>
      </x:c>
      <x:c r="AI1926" t="str">
        <x:v>2026-09-10 Active Sports trade capture</x:v>
      </x:c>
      <x:c r="AJ1926" t="str">
        <x:v>Management-only economics. Stripe stress test uses 1.5% + £0.20 standard UK online-card fee; pallet/mix-and-match pricing ignored.</x:v>
      </x:c>
    </x:row>
    <x:row r="1927">
      <x:c r="A1927" t="str">
        <x:v>Active Sports Nutrition</x:v>
      </x:c>
      <x:c r="B1927" t="str">
        <x:v>Trained By JP</x:v>
      </x:c>
      <x:c r="C1927" t="str">
        <x:v>EAA</x:v>
      </x:c>
      <x:c r="D1927" t="str">
        <x:v>Supplements</x:v>
      </x:c>
      <x:c r="E1927" t="str">
        <x:v>Amino Acids</x:v>
      </x:c>
      <x:c r="F1927" t="str"/>
      <x:c r="G1927" t="str">
        <x:v>1kg / 66 servings</x:v>
      </x:c>
      <x:c r="H1927" t="str">
        <x:v>Sour Cherry</x:v>
      </x:c>
      <x:c r="I1927" t="str"/>
      <x:c r="J1927" t="str">
        <x:v>Unit</x:v>
      </x:c>
      <x:c r="K1927" t="str">
        <x:v>In stock</x:v>
      </x:c>
      <x:c r="L1927" t="str">
        <x:v>2026-09-08</x:v>
      </x:c>
      <x:c r="M1927" t="str"/>
      <x:c r="N1927" t="str"/>
      <x:c r="O1927" t="str">
        <x:v>https://www.activesportstrade.co.uk/BCAAS</x:v>
      </x:c>
      <x:c r="P1927" t="str"/>
      <x:c r="Q1927" t="str"/>
      <x:c r="R1927" t="str"/>
      <x:c r="S1927" t="str">
        <x:v>Pending genuine supplier/brand image</x:v>
      </x:c>
      <x:c r="T1927" s="54"/>
      <x:c r="U1927" s="47" t="n">
        <x:v>0.2</x:v>
      </x:c>
      <x:c r="V1927" s="54" t="str">
        <x:f>IF(ISNUMBER(T1927),T1927*(1+U1927),"")</x:f>
      </x:c>
      <x:c r="W1927" s="47" t="n">
        <x:v>0.3</x:v>
      </x:c>
      <x:c r="X1927" s="54" t="str">
        <x:f>IF(ISNUMBER(V1927),V1927/(1-W1927),"")</x:f>
      </x:c>
      <x:c r="Y1927" s="55" t="str">
        <x:f>IF(ISNUMBER(X1927),ROUNDUP(X1927,0),"")</x:f>
      </x:c>
      <x:c r="Z1927" t="str">
        <x:f>IF(ISNUMBER(T1927),"Cost captured","Awaiting trade cost")</x:f>
        <x:v>Awaiting trade cost</x:v>
      </x:c>
      <x:c r="AB1927" s="36" t="str">
        <x:f>IF(ISNUMBER(Y1927),ROUND(Y1927*0.9,2),"")</x:f>
      </x:c>
      <x:c r="AC1927" s="36" t="str">
        <x:f>IF(ISNUMBER(AB1927),ROUND(AB1927-(AB1927*0.015+0.2)-V1927,2),"")</x:f>
      </x:c>
      <x:c r="AD1927" s="36" t="str">
        <x:f>IF(ISNUMBER(Y1927),ROUND(Y1927*0.8,2),"")</x:f>
      </x:c>
      <x:c r="AE1927" s="36" t="str">
        <x:f>IF(ISNUMBER(AD1927),ROUND(AD1927*0.015+0.2,2),"")</x:f>
      </x:c>
      <x:c r="AF1927" s="36" t="str">
        <x:f>IF(ISNUMBER(AD1927),ROUND(AD1927-AE1927-V1927,2),"")</x:f>
      </x:c>
      <x:c r="AG1927" t="str">
        <x:f>IF(NOT(ISNUMBER(T1927)),"PENDING",IF(AF1927&gt;0,"PASS","FAIL"))</x:f>
        <x:v>PENDING</x:v>
      </x:c>
      <x:c r="AH1927" t="str">
        <x:f>IF(NOT(ISNUMBER(T1927)),"Needs supplier cost",IF(K1927&lt;&gt;"In stock","Supplier unavailable",IF(AG1927&lt;&gt;"PASS","BLOCK - GT loss risk","Commercially protected")))</x:f>
        <x:v>Needs supplier cost</x:v>
      </x:c>
      <x:c r="AI1927" t="str">
        <x:v>2026-09-10 Active Sports trade capture</x:v>
      </x:c>
      <x:c r="AJ1927" t="str">
        <x:v>Management-only economics. Stripe stress test uses 1.5% + £0.20 standard UK online-card fee; pallet/mix-and-match pricing ignored.</x:v>
      </x:c>
    </x:row>
    <x:row r="1928">
      <x:c r="A1928" t="str">
        <x:v>Active Sports Nutrition</x:v>
      </x:c>
      <x:c r="B1928" t="str">
        <x:v>Trained By JP</x:v>
      </x:c>
      <x:c r="C1928" t="str">
        <x:v>EAA</x:v>
      </x:c>
      <x:c r="D1928" t="str">
        <x:v>Supplements</x:v>
      </x:c>
      <x:c r="E1928" t="str">
        <x:v>Amino Acids</x:v>
      </x:c>
      <x:c r="F1928" t="str"/>
      <x:c r="G1928" t="str">
        <x:v>1kg / 66 servings</x:v>
      </x:c>
      <x:c r="H1928" t="str">
        <x:v>Sour Peach Ring</x:v>
      </x:c>
      <x:c r="I1928" t="str"/>
      <x:c r="J1928" t="str">
        <x:v>Unit</x:v>
      </x:c>
      <x:c r="K1928" t="str">
        <x:v>In stock</x:v>
      </x:c>
      <x:c r="L1928" t="str">
        <x:v>2026-09-08</x:v>
      </x:c>
      <x:c r="M1928" t="str"/>
      <x:c r="N1928" t="str"/>
      <x:c r="O1928" t="str">
        <x:v>https://www.activesportstrade.co.uk/BCAAS</x:v>
      </x:c>
      <x:c r="P1928" t="str"/>
      <x:c r="Q1928" t="str"/>
      <x:c r="R1928" t="str"/>
      <x:c r="S1928" t="str">
        <x:v>Pending genuine supplier/brand image</x:v>
      </x:c>
      <x:c r="T1928" s="54"/>
      <x:c r="U1928" s="47" t="n">
        <x:v>0.2</x:v>
      </x:c>
      <x:c r="V1928" s="54" t="str">
        <x:f>IF(ISNUMBER(T1928),T1928*(1+U1928),"")</x:f>
      </x:c>
      <x:c r="W1928" s="47" t="n">
        <x:v>0.3</x:v>
      </x:c>
      <x:c r="X1928" s="54" t="str">
        <x:f>IF(ISNUMBER(V1928),V1928/(1-W1928),"")</x:f>
      </x:c>
      <x:c r="Y1928" s="55" t="str">
        <x:f>IF(ISNUMBER(X1928),ROUNDUP(X1928,0),"")</x:f>
      </x:c>
      <x:c r="Z1928" t="str">
        <x:f>IF(ISNUMBER(T1928),"Cost captured","Awaiting trade cost")</x:f>
        <x:v>Awaiting trade cost</x:v>
      </x:c>
      <x:c r="AB1928" s="36" t="str">
        <x:f>IF(ISNUMBER(Y1928),ROUND(Y1928*0.9,2),"")</x:f>
      </x:c>
      <x:c r="AC1928" s="36" t="str">
        <x:f>IF(ISNUMBER(AB1928),ROUND(AB1928-(AB1928*0.015+0.2)-V1928,2),"")</x:f>
      </x:c>
      <x:c r="AD1928" s="36" t="str">
        <x:f>IF(ISNUMBER(Y1928),ROUND(Y1928*0.8,2),"")</x:f>
      </x:c>
      <x:c r="AE1928" s="36" t="str">
        <x:f>IF(ISNUMBER(AD1928),ROUND(AD1928*0.015+0.2,2),"")</x:f>
      </x:c>
      <x:c r="AF1928" s="36" t="str">
        <x:f>IF(ISNUMBER(AD1928),ROUND(AD1928-AE1928-V1928,2),"")</x:f>
      </x:c>
      <x:c r="AG1928" t="str">
        <x:f>IF(NOT(ISNUMBER(T1928)),"PENDING",IF(AF1928&gt;0,"PASS","FAIL"))</x:f>
        <x:v>PENDING</x:v>
      </x:c>
      <x:c r="AH1928" t="str">
        <x:f>IF(NOT(ISNUMBER(T1928)),"Needs supplier cost",IF(K1928&lt;&gt;"In stock","Supplier unavailable",IF(AG1928&lt;&gt;"PASS","BLOCK - GT loss risk","Commercially protected")))</x:f>
        <x:v>Needs supplier cost</x:v>
      </x:c>
      <x:c r="AI1928" t="str">
        <x:v>2026-09-10 Active Sports trade capture</x:v>
      </x:c>
      <x:c r="AJ1928" t="str">
        <x:v>Management-only economics. Stripe stress test uses 1.5% + £0.20 standard UK online-card fee; pallet/mix-and-match pricing ignored.</x:v>
      </x:c>
    </x:row>
    <x:row r="1929">
      <x:c r="A1929" t="str">
        <x:v>Active Sports Nutrition</x:v>
      </x:c>
      <x:c r="B1929" t="str">
        <x:v>Trained By JP</x:v>
      </x:c>
      <x:c r="C1929" t="str">
        <x:v>EAA</x:v>
      </x:c>
      <x:c r="D1929" t="str">
        <x:v>Supplements</x:v>
      </x:c>
      <x:c r="E1929" t="str">
        <x:v>Amino Acids</x:v>
      </x:c>
      <x:c r="F1929" t="str"/>
      <x:c r="G1929" t="str">
        <x:v>1kg / 66 servings</x:v>
      </x:c>
      <x:c r="H1929" t="str">
        <x:v>Strawberry Kiwi</x:v>
      </x:c>
      <x:c r="I1929" t="str"/>
      <x:c r="J1929" t="str">
        <x:v>Unit</x:v>
      </x:c>
      <x:c r="K1929" t="str">
        <x:v>In stock</x:v>
      </x:c>
      <x:c r="L1929" t="str">
        <x:v>2026-09-08</x:v>
      </x:c>
      <x:c r="M1929" t="str"/>
      <x:c r="N1929" t="str"/>
      <x:c r="O1929" t="str">
        <x:v>https://www.activesportstrade.co.uk/BCAAS</x:v>
      </x:c>
      <x:c r="P1929" t="str"/>
      <x:c r="Q1929" t="str"/>
      <x:c r="R1929" t="str"/>
      <x:c r="S1929" t="str">
        <x:v>Pending genuine supplier/brand image</x:v>
      </x:c>
      <x:c r="T1929" s="54"/>
      <x:c r="U1929" s="47" t="n">
        <x:v>0.2</x:v>
      </x:c>
      <x:c r="V1929" s="54" t="str">
        <x:f>IF(ISNUMBER(T1929),T1929*(1+U1929),"")</x:f>
      </x:c>
      <x:c r="W1929" s="47" t="n">
        <x:v>0.3</x:v>
      </x:c>
      <x:c r="X1929" s="54" t="str">
        <x:f>IF(ISNUMBER(V1929),V1929/(1-W1929),"")</x:f>
      </x:c>
      <x:c r="Y1929" s="55" t="str">
        <x:f>IF(ISNUMBER(X1929),ROUNDUP(X1929,0),"")</x:f>
      </x:c>
      <x:c r="Z1929" t="str">
        <x:f>IF(ISNUMBER(T1929),"Cost captured","Awaiting trade cost")</x:f>
        <x:v>Awaiting trade cost</x:v>
      </x:c>
      <x:c r="AB1929" s="36" t="str">
        <x:f>IF(ISNUMBER(Y1929),ROUND(Y1929*0.9,2),"")</x:f>
      </x:c>
      <x:c r="AC1929" s="36" t="str">
        <x:f>IF(ISNUMBER(AB1929),ROUND(AB1929-(AB1929*0.015+0.2)-V1929,2),"")</x:f>
      </x:c>
      <x:c r="AD1929" s="36" t="str">
        <x:f>IF(ISNUMBER(Y1929),ROUND(Y1929*0.8,2),"")</x:f>
      </x:c>
      <x:c r="AE1929" s="36" t="str">
        <x:f>IF(ISNUMBER(AD1929),ROUND(AD1929*0.015+0.2,2),"")</x:f>
      </x:c>
      <x:c r="AF1929" s="36" t="str">
        <x:f>IF(ISNUMBER(AD1929),ROUND(AD1929-AE1929-V1929,2),"")</x:f>
      </x:c>
      <x:c r="AG1929" t="str">
        <x:f>IF(NOT(ISNUMBER(T1929)),"PENDING",IF(AF1929&gt;0,"PASS","FAIL"))</x:f>
        <x:v>PENDING</x:v>
      </x:c>
      <x:c r="AH1929" t="str">
        <x:f>IF(NOT(ISNUMBER(T1929)),"Needs supplier cost",IF(K1929&lt;&gt;"In stock","Supplier unavailable",IF(AG1929&lt;&gt;"PASS","BLOCK - GT loss risk","Commercially protected")))</x:f>
        <x:v>Needs supplier cost</x:v>
      </x:c>
      <x:c r="AI1929" t="str">
        <x:v>2026-09-10 Active Sports trade capture</x:v>
      </x:c>
      <x:c r="AJ1929" t="str">
        <x:v>Management-only economics. Stripe stress test uses 1.5% + £0.20 standard UK online-card fee; pallet/mix-and-match pricing ignored.</x:v>
      </x:c>
    </x:row>
    <x:row r="1930">
      <x:c r="A1930" t="str">
        <x:v>Active Sports Nutrition</x:v>
      </x:c>
      <x:c r="B1930" t="str">
        <x:v>Trained By JP</x:v>
      </x:c>
      <x:c r="C1930" t="str">
        <x:v>EAA</x:v>
      </x:c>
      <x:c r="D1930" t="str">
        <x:v>Supplements</x:v>
      </x:c>
      <x:c r="E1930" t="str">
        <x:v>Amino Acids</x:v>
      </x:c>
      <x:c r="F1930" t="str"/>
      <x:c r="G1930" t="str">
        <x:v>1kg / 66 servings</x:v>
      </x:c>
      <x:c r="H1930" t="str">
        <x:v>Tropical</x:v>
      </x:c>
      <x:c r="I1930" t="str"/>
      <x:c r="J1930" t="str">
        <x:v>Unit</x:v>
      </x:c>
      <x:c r="K1930" t="str">
        <x:v>In stock</x:v>
      </x:c>
      <x:c r="L1930" t="str">
        <x:v>2026-09-08</x:v>
      </x:c>
      <x:c r="M1930" t="str"/>
      <x:c r="N1930" t="str"/>
      <x:c r="O1930" t="str">
        <x:v>https://www.activesportstrade.co.uk/BCAAS</x:v>
      </x:c>
      <x:c r="P1930" t="str"/>
      <x:c r="Q1930" t="str"/>
      <x:c r="R1930" t="str"/>
      <x:c r="S1930" t="str">
        <x:v>Pending genuine supplier/brand image</x:v>
      </x:c>
      <x:c r="T1930" s="54"/>
      <x:c r="U1930" s="47" t="n">
        <x:v>0.2</x:v>
      </x:c>
      <x:c r="V1930" s="54" t="str">
        <x:f>IF(ISNUMBER(T1930),T1930*(1+U1930),"")</x:f>
      </x:c>
      <x:c r="W1930" s="47" t="n">
        <x:v>0.3</x:v>
      </x:c>
      <x:c r="X1930" s="54" t="str">
        <x:f>IF(ISNUMBER(V1930),V1930/(1-W1930),"")</x:f>
      </x:c>
      <x:c r="Y1930" s="55" t="str">
        <x:f>IF(ISNUMBER(X1930),ROUNDUP(X1930,0),"")</x:f>
      </x:c>
      <x:c r="Z1930" t="str">
        <x:f>IF(ISNUMBER(T1930),"Cost captured","Awaiting trade cost")</x:f>
        <x:v>Awaiting trade cost</x:v>
      </x:c>
      <x:c r="AB1930" s="36" t="str">
        <x:f>IF(ISNUMBER(Y1930),ROUND(Y1930*0.9,2),"")</x:f>
      </x:c>
      <x:c r="AC1930" s="36" t="str">
        <x:f>IF(ISNUMBER(AB1930),ROUND(AB1930-(AB1930*0.015+0.2)-V1930,2),"")</x:f>
      </x:c>
      <x:c r="AD1930" s="36" t="str">
        <x:f>IF(ISNUMBER(Y1930),ROUND(Y1930*0.8,2),"")</x:f>
      </x:c>
      <x:c r="AE1930" s="36" t="str">
        <x:f>IF(ISNUMBER(AD1930),ROUND(AD1930*0.015+0.2,2),"")</x:f>
      </x:c>
      <x:c r="AF1930" s="36" t="str">
        <x:f>IF(ISNUMBER(AD1930),ROUND(AD1930-AE1930-V1930,2),"")</x:f>
      </x:c>
      <x:c r="AG1930" t="str">
        <x:f>IF(NOT(ISNUMBER(T1930)),"PENDING",IF(AF1930&gt;0,"PASS","FAIL"))</x:f>
        <x:v>PENDING</x:v>
      </x:c>
      <x:c r="AH1930" t="str">
        <x:f>IF(NOT(ISNUMBER(T1930)),"Needs supplier cost",IF(K1930&lt;&gt;"In stock","Supplier unavailable",IF(AG1930&lt;&gt;"PASS","BLOCK - GT loss risk","Commercially protected")))</x:f>
        <x:v>Needs supplier cost</x:v>
      </x:c>
      <x:c r="AI1930" t="str">
        <x:v>2026-09-10 Active Sports trade capture</x:v>
      </x:c>
      <x:c r="AJ1930" t="str">
        <x:v>Management-only economics. Stripe stress test uses 1.5% + £0.20 standard UK online-card fee; pallet/mix-and-match pricing ignored.</x:v>
      </x:c>
    </x:row>
    <x:row r="1931">
      <x:c r="A1931" t="str">
        <x:v>Active Sports Nutrition</x:v>
      </x:c>
      <x:c r="B1931" t="str">
        <x:v>Trained By JP</x:v>
      </x:c>
      <x:c r="C1931" t="str">
        <x:v>EAA + Hydration</x:v>
      </x:c>
      <x:c r="D1931" t="str">
        <x:v>Supplements</x:v>
      </x:c>
      <x:c r="E1931" t="str">
        <x:v>Amino Acids</x:v>
      </x:c>
      <x:c r="F1931" t="str"/>
      <x:c r="G1931" t="str">
        <x:v>300g / 30 servings</x:v>
      </x:c>
      <x:c r="H1931" t="str">
        <x:v>Fizzy Blue Bottles</x:v>
      </x:c>
      <x:c r="I1931" t="str"/>
      <x:c r="J1931" t="str">
        <x:v>Unit</x:v>
      </x:c>
      <x:c r="K1931" t="str">
        <x:v>In stock</x:v>
      </x:c>
      <x:c r="L1931" t="str">
        <x:v>2026-09-08</x:v>
      </x:c>
      <x:c r="M1931" t="str"/>
      <x:c r="N1931" t="str"/>
      <x:c r="O1931" t="str">
        <x:v>https://www.activesportstrade.co.uk/Amino-Acids</x:v>
      </x:c>
      <x:c r="P1931" t="str"/>
      <x:c r="Q1931" t="str"/>
      <x:c r="R1931" t="str"/>
      <x:c r="S1931" t="str">
        <x:v>Pending genuine supplier/brand image</x:v>
      </x:c>
      <x:c r="T1931" s="54" t="n">
        <x:v>9.99</x:v>
      </x:c>
      <x:c r="U1931" s="47" t="n">
        <x:v>0.2</x:v>
      </x:c>
      <x:c r="V1931" s="54" t="n">
        <x:f>IF(ISNUMBER(T1931),T1931*(1+U1931),"")</x:f>
        <x:v>11.988</x:v>
      </x:c>
      <x:c r="W1931" s="47" t="n">
        <x:v>0.3</x:v>
      </x:c>
      <x:c r="X1931" s="54" t="n">
        <x:f>IF(ISNUMBER(V1931),V1931/(1-W1931),"")</x:f>
        <x:v>17.125714285714285</x:v>
      </x:c>
      <x:c r="Y1931" s="55" t="n">
        <x:f>IF(ISNUMBER(X1931),ROUNDUP(X1931,0),"")</x:f>
        <x:v>18</x:v>
      </x:c>
      <x:c r="Z1931" t="str">
        <x:v>Source match pending</x:v>
      </x:c>
      <x:c r="AA1931" t="str">
        <x:v>screencapture-www-activesportstrade-co-uk-trained-by-jp-trade-2026-09-10-09_10_55.pdf / page-3</x:v>
      </x:c>
      <x:c r="AB1931" s="36" t="n">
        <x:f>IF(ISNUMBER(Y1931),ROUND(Y1931*0.9,2),"")</x:f>
        <x:v>16.2</x:v>
      </x:c>
      <x:c r="AC1931" s="36" t="n">
        <x:f>IF(ISNUMBER(AB1931),ROUND(AB1931-(AB1931*0.015+0.2)-V1931,2),"")</x:f>
        <x:v>3.77</x:v>
      </x:c>
      <x:c r="AD1931" s="36" t="n">
        <x:f>IF(ISNUMBER(Y1931),ROUND(Y1931*0.8,2),"")</x:f>
        <x:v>14.4</x:v>
      </x:c>
      <x:c r="AE1931" s="36" t="n">
        <x:f>IF(ISNUMBER(AD1931),ROUND(AD1931*0.015+0.2,2),"")</x:f>
        <x:v>0.42</x:v>
      </x:c>
      <x:c r="AF1931" s="36" t="n">
        <x:f>IF(ISNUMBER(AD1931),ROUND(AD1931-AE1931-V1931,2),"")</x:f>
        <x:v>1.99</x:v>
      </x:c>
      <x:c r="AG1931" t="str">
        <x:f>IF(NOT(ISNUMBER(T1931)),"PENDING",IF(AF1931&gt;0,"PASS","FAIL"))</x:f>
        <x:v>PASS</x:v>
      </x:c>
      <x:c r="AH1931" t="str">
        <x:f>IF(NOT(ISNUMBER(T1931)),"Needs supplier cost",IF(K1931&lt;&gt;"In stock","Supplier unavailable",IF(AG1931&lt;&gt;"PASS","BLOCK - GT loss risk","Commercially protected")))</x:f>
        <x:v>Commercially protected</x:v>
      </x:c>
      <x:c r="AI1931" t="str">
        <x:v>2026-09-10 Active Sports trade capture</x:v>
      </x:c>
      <x:c r="AJ1931" t="str">
        <x:v>Management-only economics. Stripe stress test uses 1.5% + £0.20 standard UK online-card fee; pallet/mix-and-match pricing ignored.</x:v>
      </x:c>
    </x:row>
    <x:row r="1932">
      <x:c r="A1932" t="str">
        <x:v>Active Sports Nutrition</x:v>
      </x:c>
      <x:c r="B1932" t="str">
        <x:v>Trained By JP</x:v>
      </x:c>
      <x:c r="C1932" t="str">
        <x:v>EAA + Hydration</x:v>
      </x:c>
      <x:c r="D1932" t="str">
        <x:v>Supplements</x:v>
      </x:c>
      <x:c r="E1932" t="str">
        <x:v>Amino Acids</x:v>
      </x:c>
      <x:c r="F1932" t="str"/>
      <x:c r="G1932" t="str">
        <x:v>300g / 30 servings</x:v>
      </x:c>
      <x:c r="H1932" t="str">
        <x:v>Fizzy Cola Bottles</x:v>
      </x:c>
      <x:c r="I1932" t="str"/>
      <x:c r="J1932" t="str">
        <x:v>Unit</x:v>
      </x:c>
      <x:c r="K1932" t="str">
        <x:v>Out of stock</x:v>
      </x:c>
      <x:c r="L1932" t="str">
        <x:v>2026-09-08</x:v>
      </x:c>
      <x:c r="M1932" t="str"/>
      <x:c r="N1932" t="str"/>
      <x:c r="O1932" t="str">
        <x:v>https://www.activesportstrade.co.uk/Amino-Acids</x:v>
      </x:c>
      <x:c r="P1932" t="str"/>
      <x:c r="Q1932" t="str"/>
      <x:c r="R1932" t="str"/>
      <x:c r="S1932" t="str">
        <x:v>Pending genuine supplier/brand image</x:v>
      </x:c>
      <x:c r="T1932" s="54" t="n">
        <x:v>9.99</x:v>
      </x:c>
      <x:c r="U1932" s="47" t="n">
        <x:v>0.2</x:v>
      </x:c>
      <x:c r="V1932" s="54" t="n">
        <x:f>IF(ISNUMBER(T1932),T1932*(1+U1932),"")</x:f>
        <x:v>11.988</x:v>
      </x:c>
      <x:c r="W1932" s="47" t="n">
        <x:v>0.3</x:v>
      </x:c>
      <x:c r="X1932" s="54" t="n">
        <x:f>IF(ISNUMBER(V1932),V1932/(1-W1932),"")</x:f>
        <x:v>17.125714285714285</x:v>
      </x:c>
      <x:c r="Y1932" s="55" t="n">
        <x:f>IF(ISNUMBER(X1932),ROUNDUP(X1932,0),"")</x:f>
        <x:v>18</x:v>
      </x:c>
      <x:c r="Z1932" t="str">
        <x:v>Source match pending</x:v>
      </x:c>
      <x:c r="AA1932" t="str">
        <x:v>screencapture-www-activesportstrade-co-uk-trained-by-jp-trade-2026-09-10-09_10_55.pdf / page-3</x:v>
      </x:c>
      <x:c r="AB1932" s="36" t="n">
        <x:f>IF(ISNUMBER(Y1932),ROUND(Y1932*0.9,2),"")</x:f>
        <x:v>16.2</x:v>
      </x:c>
      <x:c r="AC1932" s="36" t="n">
        <x:f>IF(ISNUMBER(AB1932),ROUND(AB1932-(AB1932*0.015+0.2)-V1932,2),"")</x:f>
        <x:v>3.77</x:v>
      </x:c>
      <x:c r="AD1932" s="36" t="n">
        <x:f>IF(ISNUMBER(Y1932),ROUND(Y1932*0.8,2),"")</x:f>
        <x:v>14.4</x:v>
      </x:c>
      <x:c r="AE1932" s="36" t="n">
        <x:f>IF(ISNUMBER(AD1932),ROUND(AD1932*0.015+0.2,2),"")</x:f>
        <x:v>0.42</x:v>
      </x:c>
      <x:c r="AF1932" s="36" t="n">
        <x:f>IF(ISNUMBER(AD1932),ROUND(AD1932-AE1932-V1932,2),"")</x:f>
        <x:v>1.99</x:v>
      </x:c>
      <x:c r="AG1932" t="str">
        <x:f>IF(NOT(ISNUMBER(T1932)),"PENDING",IF(AF1932&gt;0,"PASS","FAIL"))</x:f>
        <x:v>PASS</x:v>
      </x:c>
      <x:c r="AH1932" t="str">
        <x:f>IF(NOT(ISNUMBER(T1932)),"Needs supplier cost",IF(K1932&lt;&gt;"In stock","Supplier unavailable",IF(AG1932&lt;&gt;"PASS","BLOCK - GT loss risk","Commercially protected")))</x:f>
        <x:v>Supplier unavailable</x:v>
      </x:c>
      <x:c r="AI1932" t="str">
        <x:v>2026-09-10 Active Sports trade capture</x:v>
      </x:c>
      <x:c r="AJ1932" t="str">
        <x:v>Management-only economics. Stripe stress test uses 1.5% + £0.20 standard UK online-card fee; pallet/mix-and-match pricing ignored.</x:v>
      </x:c>
    </x:row>
    <x:row r="1933">
      <x:c r="A1933" t="str">
        <x:v>Active Sports Nutrition</x:v>
      </x:c>
      <x:c r="B1933" t="str">
        <x:v>Trained By JP</x:v>
      </x:c>
      <x:c r="C1933" t="str">
        <x:v>EAA + Hydration</x:v>
      </x:c>
      <x:c r="D1933" t="str">
        <x:v>Supplements</x:v>
      </x:c>
      <x:c r="E1933" t="str">
        <x:v>Amino Acids</x:v>
      </x:c>
      <x:c r="F1933" t="str"/>
      <x:c r="G1933" t="str">
        <x:v>300g / 30 servings</x:v>
      </x:c>
      <x:c r="H1933" t="str">
        <x:v>Sour Cherry</x:v>
      </x:c>
      <x:c r="I1933" t="str"/>
      <x:c r="J1933" t="str">
        <x:v>Unit</x:v>
      </x:c>
      <x:c r="K1933" t="str">
        <x:v>Out of stock</x:v>
      </x:c>
      <x:c r="L1933" t="str">
        <x:v>2026-09-08</x:v>
      </x:c>
      <x:c r="M1933" t="str"/>
      <x:c r="N1933" t="str"/>
      <x:c r="O1933" t="str">
        <x:v>https://www.activesportstrade.co.uk/Amino-Acids</x:v>
      </x:c>
      <x:c r="P1933" t="str"/>
      <x:c r="Q1933" t="str"/>
      <x:c r="R1933" t="str"/>
      <x:c r="S1933" t="str">
        <x:v>Pending genuine supplier/brand image</x:v>
      </x:c>
      <x:c r="T1933" s="54" t="n">
        <x:v>9.99</x:v>
      </x:c>
      <x:c r="U1933" s="47" t="n">
        <x:v>0.2</x:v>
      </x:c>
      <x:c r="V1933" s="54" t="n">
        <x:f>IF(ISNUMBER(T1933),T1933*(1+U1933),"")</x:f>
        <x:v>11.988</x:v>
      </x:c>
      <x:c r="W1933" s="47" t="n">
        <x:v>0.3</x:v>
      </x:c>
      <x:c r="X1933" s="54" t="n">
        <x:f>IF(ISNUMBER(V1933),V1933/(1-W1933),"")</x:f>
        <x:v>17.125714285714285</x:v>
      </x:c>
      <x:c r="Y1933" s="55" t="n">
        <x:f>IF(ISNUMBER(X1933),ROUNDUP(X1933,0),"")</x:f>
        <x:v>18</x:v>
      </x:c>
      <x:c r="Z1933" t="str">
        <x:v>Source match pending</x:v>
      </x:c>
      <x:c r="AA1933" t="str">
        <x:v>screencapture-www-activesportstrade-co-uk-trained-by-jp-trade-2026-09-10-09_10_55.pdf / page-3</x:v>
      </x:c>
      <x:c r="AB1933" s="36" t="n">
        <x:f>IF(ISNUMBER(Y1933),ROUND(Y1933*0.9,2),"")</x:f>
        <x:v>16.2</x:v>
      </x:c>
      <x:c r="AC1933" s="36" t="n">
        <x:f>IF(ISNUMBER(AB1933),ROUND(AB1933-(AB1933*0.015+0.2)-V1933,2),"")</x:f>
        <x:v>3.77</x:v>
      </x:c>
      <x:c r="AD1933" s="36" t="n">
        <x:f>IF(ISNUMBER(Y1933),ROUND(Y1933*0.8,2),"")</x:f>
        <x:v>14.4</x:v>
      </x:c>
      <x:c r="AE1933" s="36" t="n">
        <x:f>IF(ISNUMBER(AD1933),ROUND(AD1933*0.015+0.2,2),"")</x:f>
        <x:v>0.42</x:v>
      </x:c>
      <x:c r="AF1933" s="36" t="n">
        <x:f>IF(ISNUMBER(AD1933),ROUND(AD1933-AE1933-V1933,2),"")</x:f>
        <x:v>1.99</x:v>
      </x:c>
      <x:c r="AG1933" t="str">
        <x:f>IF(NOT(ISNUMBER(T1933)),"PENDING",IF(AF1933&gt;0,"PASS","FAIL"))</x:f>
        <x:v>PASS</x:v>
      </x:c>
      <x:c r="AH1933" t="str">
        <x:f>IF(NOT(ISNUMBER(T1933)),"Needs supplier cost",IF(K1933&lt;&gt;"In stock","Supplier unavailable",IF(AG1933&lt;&gt;"PASS","BLOCK - GT loss risk","Commercially protected")))</x:f>
        <x:v>Supplier unavailable</x:v>
      </x:c>
      <x:c r="AI1933" t="str">
        <x:v>2026-09-10 Active Sports trade capture</x:v>
      </x:c>
      <x:c r="AJ1933" t="str">
        <x:v>Management-only economics. Stripe stress test uses 1.5% + £0.20 standard UK online-card fee; pallet/mix-and-match pricing ignored.</x:v>
      </x:c>
    </x:row>
    <x:row r="1934">
      <x:c r="A1934" t="str">
        <x:v>Active Sports Nutrition</x:v>
      </x:c>
      <x:c r="B1934" t="str">
        <x:v>Trained By JP</x:v>
      </x:c>
      <x:c r="C1934" t="str">
        <x:v>EAA + Hydration</x:v>
      </x:c>
      <x:c r="D1934" t="str">
        <x:v>Supplements</x:v>
      </x:c>
      <x:c r="E1934" t="str">
        <x:v>Amino Acids</x:v>
      </x:c>
      <x:c r="F1934" t="str"/>
      <x:c r="G1934" t="str">
        <x:v>300g / 30 servings</x:v>
      </x:c>
      <x:c r="H1934" t="str">
        <x:v>Sour Peach Rings</x:v>
      </x:c>
      <x:c r="I1934" t="str"/>
      <x:c r="J1934" t="str">
        <x:v>Unit</x:v>
      </x:c>
      <x:c r="K1934" t="str">
        <x:v>Out of stock</x:v>
      </x:c>
      <x:c r="L1934" t="str">
        <x:v>2026-09-08</x:v>
      </x:c>
      <x:c r="M1934" t="str"/>
      <x:c r="N1934" t="str"/>
      <x:c r="O1934" t="str">
        <x:v>https://www.activesportstrade.co.uk/Amino-Acids</x:v>
      </x:c>
      <x:c r="P1934" t="str"/>
      <x:c r="Q1934" t="str"/>
      <x:c r="R1934" t="str"/>
      <x:c r="S1934" t="str">
        <x:v>Pending genuine supplier/brand image</x:v>
      </x:c>
      <x:c r="T1934" s="54" t="n">
        <x:v>9.99</x:v>
      </x:c>
      <x:c r="U1934" s="47" t="n">
        <x:v>0.2</x:v>
      </x:c>
      <x:c r="V1934" s="54" t="n">
        <x:f>IF(ISNUMBER(T1934),T1934*(1+U1934),"")</x:f>
        <x:v>11.988</x:v>
      </x:c>
      <x:c r="W1934" s="47" t="n">
        <x:v>0.3</x:v>
      </x:c>
      <x:c r="X1934" s="54" t="n">
        <x:f>IF(ISNUMBER(V1934),V1934/(1-W1934),"")</x:f>
        <x:v>17.125714285714285</x:v>
      </x:c>
      <x:c r="Y1934" s="55" t="n">
        <x:f>IF(ISNUMBER(X1934),ROUNDUP(X1934,0),"")</x:f>
        <x:v>18</x:v>
      </x:c>
      <x:c r="Z1934" t="str">
        <x:v>Source match pending</x:v>
      </x:c>
      <x:c r="AA1934" t="str">
        <x:v>screencapture-www-activesportstrade-co-uk-trained-by-jp-trade-2026-09-10-09_10_55.pdf / page-3</x:v>
      </x:c>
      <x:c r="AB1934" s="36" t="n">
        <x:f>IF(ISNUMBER(Y1934),ROUND(Y1934*0.9,2),"")</x:f>
        <x:v>16.2</x:v>
      </x:c>
      <x:c r="AC1934" s="36" t="n">
        <x:f>IF(ISNUMBER(AB1934),ROUND(AB1934-(AB1934*0.015+0.2)-V1934,2),"")</x:f>
        <x:v>3.77</x:v>
      </x:c>
      <x:c r="AD1934" s="36" t="n">
        <x:f>IF(ISNUMBER(Y1934),ROUND(Y1934*0.8,2),"")</x:f>
        <x:v>14.4</x:v>
      </x:c>
      <x:c r="AE1934" s="36" t="n">
        <x:f>IF(ISNUMBER(AD1934),ROUND(AD1934*0.015+0.2,2),"")</x:f>
        <x:v>0.42</x:v>
      </x:c>
      <x:c r="AF1934" s="36" t="n">
        <x:f>IF(ISNUMBER(AD1934),ROUND(AD1934-AE1934-V1934,2),"")</x:f>
        <x:v>1.99</x:v>
      </x:c>
      <x:c r="AG1934" t="str">
        <x:f>IF(NOT(ISNUMBER(T1934)),"PENDING",IF(AF1934&gt;0,"PASS","FAIL"))</x:f>
        <x:v>PASS</x:v>
      </x:c>
      <x:c r="AH1934" t="str">
        <x:f>IF(NOT(ISNUMBER(T1934)),"Needs supplier cost",IF(K1934&lt;&gt;"In stock","Supplier unavailable",IF(AG1934&lt;&gt;"PASS","BLOCK - GT loss risk","Commercially protected")))</x:f>
        <x:v>Supplier unavailable</x:v>
      </x:c>
      <x:c r="AI1934" t="str">
        <x:v>2026-09-10 Active Sports trade capture</x:v>
      </x:c>
      <x:c r="AJ1934" t="str">
        <x:v>Management-only economics. Stripe stress test uses 1.5% + £0.20 standard UK online-card fee; pallet/mix-and-match pricing ignored.</x:v>
      </x:c>
    </x:row>
    <x:row r="1935">
      <x:c r="A1935" t="str">
        <x:v>Active Sports Nutrition</x:v>
      </x:c>
      <x:c r="B1935" t="str">
        <x:v>Trained By JP</x:v>
      </x:c>
      <x:c r="C1935" t="str">
        <x:v>Vegan Protein</x:v>
      </x:c>
      <x:c r="D1935" t="str">
        <x:v>Supplements</x:v>
      </x:c>
      <x:c r="E1935" t="str">
        <x:v>Protein Blends</x:v>
      </x:c>
      <x:c r="F1935" t="str"/>
      <x:c r="G1935" t="str">
        <x:v>2kg</x:v>
      </x:c>
      <x:c r="H1935" t="str">
        <x:v>Banoffee Sundae</x:v>
      </x:c>
      <x:c r="I1935" t="str"/>
      <x:c r="J1935" t="str">
        <x:v>Unit</x:v>
      </x:c>
      <x:c r="K1935" t="str">
        <x:v>In stock</x:v>
      </x:c>
      <x:c r="L1935" t="str">
        <x:v>2026-09-08</x:v>
      </x:c>
      <x:c r="M1935" t="str"/>
      <x:c r="N1935" t="str"/>
      <x:c r="O1935" t="str">
        <x:v>https://www.activesportstrade.co.uk/Protein-Blends-Trade</x:v>
      </x:c>
      <x:c r="P1935" t="str"/>
      <x:c r="Q1935" t="str"/>
      <x:c r="R1935" t="str"/>
      <x:c r="S1935" t="str">
        <x:v>Pending genuine supplier/brand image</x:v>
      </x:c>
      <x:c r="T1935" s="54" t="n">
        <x:v>22.99</x:v>
      </x:c>
      <x:c r="U1935" s="47" t="n">
        <x:v>0.2</x:v>
      </x:c>
      <x:c r="V1935" s="54" t="n">
        <x:f>IF(ISNUMBER(T1935),T1935*(1+U1935),"")</x:f>
        <x:v>27.587999999999997</x:v>
      </x:c>
      <x:c r="W1935" s="47" t="n">
        <x:v>0.3</x:v>
      </x:c>
      <x:c r="X1935" s="54" t="n">
        <x:f>IF(ISNUMBER(V1935),V1935/(1-W1935),"")</x:f>
        <x:v>39.41142857142857</x:v>
      </x:c>
      <x:c r="Y1935" s="55" t="n">
        <x:f>IF(ISNUMBER(X1935),ROUNDUP(X1935,0),"")</x:f>
        <x:v>40</x:v>
      </x:c>
      <x:c r="Z1935" t="str">
        <x:v>Source match pending</x:v>
      </x:c>
      <x:c r="AA1935" t="str">
        <x:v>screencapture-www-activesportstrade-co-uk-trained-by-jp-trade-2026-09-10-09_10_55.pdf / page-8</x:v>
      </x:c>
      <x:c r="AB1935" s="36" t="n">
        <x:f>IF(ISNUMBER(Y1935),ROUND(Y1935*0.9,2),"")</x:f>
        <x:v>36</x:v>
      </x:c>
      <x:c r="AC1935" s="36" t="n">
        <x:f>IF(ISNUMBER(AB1935),ROUND(AB1935-(AB1935*0.015+0.2)-V1935,2),"")</x:f>
        <x:v>7.67</x:v>
      </x:c>
      <x:c r="AD1935" s="36" t="n">
        <x:f>IF(ISNUMBER(Y1935),ROUND(Y1935*0.8,2),"")</x:f>
        <x:v>32</x:v>
      </x:c>
      <x:c r="AE1935" s="36" t="n">
        <x:f>IF(ISNUMBER(AD1935),ROUND(AD1935*0.015+0.2,2),"")</x:f>
        <x:v>0.68</x:v>
      </x:c>
      <x:c r="AF1935" s="36" t="n">
        <x:f>IF(ISNUMBER(AD1935),ROUND(AD1935-AE1935-V1935,2),"")</x:f>
        <x:v>3.73</x:v>
      </x:c>
      <x:c r="AG1935" t="str">
        <x:f>IF(NOT(ISNUMBER(T1935)),"PENDING",IF(AF1935&gt;0,"PASS","FAIL"))</x:f>
        <x:v>PASS</x:v>
      </x:c>
      <x:c r="AH1935" t="str">
        <x:f>IF(NOT(ISNUMBER(T1935)),"Needs supplier cost",IF(K1935&lt;&gt;"In stock","Supplier unavailable",IF(AG1935&lt;&gt;"PASS","BLOCK - GT loss risk","Commercially protected")))</x:f>
        <x:v>Commercially protected</x:v>
      </x:c>
      <x:c r="AI1935" t="str">
        <x:v>2026-09-10 Active Sports trade capture</x:v>
      </x:c>
      <x:c r="AJ1935" t="str">
        <x:v>Management-only economics. Stripe stress test uses 1.5% + £0.20 standard UK online-card fee; pallet/mix-and-match pricing ignored.</x:v>
      </x:c>
    </x:row>
    <x:row r="1936">
      <x:c r="A1936" t="str">
        <x:v>Active Sports Nutrition</x:v>
      </x:c>
      <x:c r="B1936" t="str">
        <x:v>Trained By JP</x:v>
      </x:c>
      <x:c r="C1936" t="str">
        <x:v>Vegan Protein</x:v>
      </x:c>
      <x:c r="D1936" t="str">
        <x:v>Supplements</x:v>
      </x:c>
      <x:c r="E1936" t="str">
        <x:v>Protein Blends</x:v>
      </x:c>
      <x:c r="F1936" t="str"/>
      <x:c r="G1936" t="str">
        <x:v>2kg</x:v>
      </x:c>
      <x:c r="H1936" t="str">
        <x:v>Blueberry Muffin</x:v>
      </x:c>
      <x:c r="I1936" t="str"/>
      <x:c r="J1936" t="str">
        <x:v>Unit</x:v>
      </x:c>
      <x:c r="K1936" t="str">
        <x:v>Out of stock</x:v>
      </x:c>
      <x:c r="L1936" t="str">
        <x:v>2026-09-08</x:v>
      </x:c>
      <x:c r="M1936" t="str"/>
      <x:c r="N1936" t="str"/>
      <x:c r="O1936" t="str">
        <x:v>https://www.activesportstrade.co.uk/Protein-Blends-Trade</x:v>
      </x:c>
      <x:c r="P1936" t="str"/>
      <x:c r="Q1936" t="str"/>
      <x:c r="R1936" t="str"/>
      <x:c r="S1936" t="str">
        <x:v>Pending genuine supplier/brand image</x:v>
      </x:c>
      <x:c r="T1936" s="54" t="n">
        <x:v>22.99</x:v>
      </x:c>
      <x:c r="U1936" s="47" t="n">
        <x:v>0.2</x:v>
      </x:c>
      <x:c r="V1936" s="54" t="n">
        <x:f>IF(ISNUMBER(T1936),T1936*(1+U1936),"")</x:f>
        <x:v>27.587999999999997</x:v>
      </x:c>
      <x:c r="W1936" s="47" t="n">
        <x:v>0.3</x:v>
      </x:c>
      <x:c r="X1936" s="54" t="n">
        <x:f>IF(ISNUMBER(V1936),V1936/(1-W1936),"")</x:f>
        <x:v>39.41142857142857</x:v>
      </x:c>
      <x:c r="Y1936" s="55" t="n">
        <x:f>IF(ISNUMBER(X1936),ROUNDUP(X1936,0),"")</x:f>
        <x:v>40</x:v>
      </x:c>
      <x:c r="Z1936" t="str">
        <x:v>Source match pending</x:v>
      </x:c>
      <x:c r="AA1936" t="str">
        <x:v>screencapture-www-activesportstrade-co-uk-trained-by-jp-trade-2026-09-10-09_10_55.pdf / page-8</x:v>
      </x:c>
      <x:c r="AB1936" s="36" t="n">
        <x:f>IF(ISNUMBER(Y1936),ROUND(Y1936*0.9,2),"")</x:f>
        <x:v>36</x:v>
      </x:c>
      <x:c r="AC1936" s="36" t="n">
        <x:f>IF(ISNUMBER(AB1936),ROUND(AB1936-(AB1936*0.015+0.2)-V1936,2),"")</x:f>
        <x:v>7.67</x:v>
      </x:c>
      <x:c r="AD1936" s="36" t="n">
        <x:f>IF(ISNUMBER(Y1936),ROUND(Y1936*0.8,2),"")</x:f>
        <x:v>32</x:v>
      </x:c>
      <x:c r="AE1936" s="36" t="n">
        <x:f>IF(ISNUMBER(AD1936),ROUND(AD1936*0.015+0.2,2),"")</x:f>
        <x:v>0.68</x:v>
      </x:c>
      <x:c r="AF1936" s="36" t="n">
        <x:f>IF(ISNUMBER(AD1936),ROUND(AD1936-AE1936-V1936,2),"")</x:f>
        <x:v>3.73</x:v>
      </x:c>
      <x:c r="AG1936" t="str">
        <x:f>IF(NOT(ISNUMBER(T1936)),"PENDING",IF(AF1936&gt;0,"PASS","FAIL"))</x:f>
        <x:v>PASS</x:v>
      </x:c>
      <x:c r="AH1936" t="str">
        <x:f>IF(NOT(ISNUMBER(T1936)),"Needs supplier cost",IF(K1936&lt;&gt;"In stock","Supplier unavailable",IF(AG1936&lt;&gt;"PASS","BLOCK - GT loss risk","Commercially protected")))</x:f>
        <x:v>Supplier unavailable</x:v>
      </x:c>
      <x:c r="AI1936" t="str">
        <x:v>2026-09-10 Active Sports trade capture</x:v>
      </x:c>
      <x:c r="AJ1936" t="str">
        <x:v>Management-only economics. Stripe stress test uses 1.5% + £0.20 standard UK online-card fee; pallet/mix-and-match pricing ignored.</x:v>
      </x:c>
    </x:row>
    <x:row r="1937">
      <x:c r="A1937" t="str">
        <x:v>Active Sports Nutrition</x:v>
      </x:c>
      <x:c r="B1937" t="str">
        <x:v>Trained By JP</x:v>
      </x:c>
      <x:c r="C1937" t="str">
        <x:v>Vegan Protein</x:v>
      </x:c>
      <x:c r="D1937" t="str">
        <x:v>Supplements</x:v>
      </x:c>
      <x:c r="E1937" t="str">
        <x:v>Protein Blends</x:v>
      </x:c>
      <x:c r="F1937" t="str"/>
      <x:c r="G1937" t="str">
        <x:v>2kg</x:v>
      </x:c>
      <x:c r="H1937" t="str">
        <x:v>Choc Pistachio</x:v>
      </x:c>
      <x:c r="I1937" t="str"/>
      <x:c r="J1937" t="str">
        <x:v>Unit</x:v>
      </x:c>
      <x:c r="K1937" t="str">
        <x:v>Out of stock</x:v>
      </x:c>
      <x:c r="L1937" t="str">
        <x:v>2026-09-08</x:v>
      </x:c>
      <x:c r="M1937" t="str"/>
      <x:c r="N1937" t="str"/>
      <x:c r="O1937" t="str">
        <x:v>https://www.activesportstrade.co.uk/Protein-Blends-Trade</x:v>
      </x:c>
      <x:c r="P1937" t="str"/>
      <x:c r="Q1937" t="str"/>
      <x:c r="R1937" t="str"/>
      <x:c r="S1937" t="str">
        <x:v>Pending genuine supplier/brand image</x:v>
      </x:c>
      <x:c r="T1937" s="54" t="n">
        <x:v>22.99</x:v>
      </x:c>
      <x:c r="U1937" s="47" t="n">
        <x:v>0.2</x:v>
      </x:c>
      <x:c r="V1937" s="54" t="n">
        <x:f>IF(ISNUMBER(T1937),T1937*(1+U1937),"")</x:f>
        <x:v>27.587999999999997</x:v>
      </x:c>
      <x:c r="W1937" s="47" t="n">
        <x:v>0.3</x:v>
      </x:c>
      <x:c r="X1937" s="54" t="n">
        <x:f>IF(ISNUMBER(V1937),V1937/(1-W1937),"")</x:f>
        <x:v>39.41142857142857</x:v>
      </x:c>
      <x:c r="Y1937" s="55" t="n">
        <x:f>IF(ISNUMBER(X1937),ROUNDUP(X1937,0),"")</x:f>
        <x:v>40</x:v>
      </x:c>
      <x:c r="Z1937" t="str">
        <x:v>Source match pending</x:v>
      </x:c>
      <x:c r="AA1937" t="str">
        <x:v>screencapture-www-activesportstrade-co-uk-trained-by-jp-trade-2026-09-10-09_10_55.pdf / page-8</x:v>
      </x:c>
      <x:c r="AB1937" s="36" t="n">
        <x:f>IF(ISNUMBER(Y1937),ROUND(Y1937*0.9,2),"")</x:f>
        <x:v>36</x:v>
      </x:c>
      <x:c r="AC1937" s="36" t="n">
        <x:f>IF(ISNUMBER(AB1937),ROUND(AB1937-(AB1937*0.015+0.2)-V1937,2),"")</x:f>
        <x:v>7.67</x:v>
      </x:c>
      <x:c r="AD1937" s="36" t="n">
        <x:f>IF(ISNUMBER(Y1937),ROUND(Y1937*0.8,2),"")</x:f>
        <x:v>32</x:v>
      </x:c>
      <x:c r="AE1937" s="36" t="n">
        <x:f>IF(ISNUMBER(AD1937),ROUND(AD1937*0.015+0.2,2),"")</x:f>
        <x:v>0.68</x:v>
      </x:c>
      <x:c r="AF1937" s="36" t="n">
        <x:f>IF(ISNUMBER(AD1937),ROUND(AD1937-AE1937-V1937,2),"")</x:f>
        <x:v>3.73</x:v>
      </x:c>
      <x:c r="AG1937" t="str">
        <x:f>IF(NOT(ISNUMBER(T1937)),"PENDING",IF(AF1937&gt;0,"PASS","FAIL"))</x:f>
        <x:v>PASS</x:v>
      </x:c>
      <x:c r="AH1937" t="str">
        <x:f>IF(NOT(ISNUMBER(T1937)),"Needs supplier cost",IF(K1937&lt;&gt;"In stock","Supplier unavailable",IF(AG1937&lt;&gt;"PASS","BLOCK - GT loss risk","Commercially protected")))</x:f>
        <x:v>Supplier unavailable</x:v>
      </x:c>
      <x:c r="AI1937" t="str">
        <x:v>2026-09-10 Active Sports trade capture</x:v>
      </x:c>
      <x:c r="AJ1937" t="str">
        <x:v>Management-only economics. Stripe stress test uses 1.5% + £0.20 standard UK online-card fee; pallet/mix-and-match pricing ignored.</x:v>
      </x:c>
    </x:row>
    <x:row r="1938">
      <x:c r="A1938" t="str">
        <x:v>Active Sports Nutrition</x:v>
      </x:c>
      <x:c r="B1938" t="str">
        <x:v>Trained By JP</x:v>
      </x:c>
      <x:c r="C1938" t="str">
        <x:v>Vegan Protein</x:v>
      </x:c>
      <x:c r="D1938" t="str">
        <x:v>Supplements</x:v>
      </x:c>
      <x:c r="E1938" t="str">
        <x:v>Protein Blends</x:v>
      </x:c>
      <x:c r="F1938" t="str"/>
      <x:c r="G1938" t="str">
        <x:v>2kg</x:v>
      </x:c>
      <x:c r="H1938" t="str">
        <x:v>Chocolate Caramel Nut</x:v>
      </x:c>
      <x:c r="I1938" t="str"/>
      <x:c r="J1938" t="str">
        <x:v>Unit</x:v>
      </x:c>
      <x:c r="K1938" t="str">
        <x:v>Out of stock</x:v>
      </x:c>
      <x:c r="L1938" t="str">
        <x:v>2026-09-08</x:v>
      </x:c>
      <x:c r="M1938" t="str"/>
      <x:c r="N1938" t="str"/>
      <x:c r="O1938" t="str">
        <x:v>https://www.activesportstrade.co.uk/Protein-Blends-Trade</x:v>
      </x:c>
      <x:c r="P1938" t="str"/>
      <x:c r="Q1938" t="str"/>
      <x:c r="R1938" t="str"/>
      <x:c r="S1938" t="str">
        <x:v>Pending genuine supplier/brand image</x:v>
      </x:c>
      <x:c r="T1938" s="54" t="n">
        <x:v>22.99</x:v>
      </x:c>
      <x:c r="U1938" s="47" t="n">
        <x:v>0.2</x:v>
      </x:c>
      <x:c r="V1938" s="54" t="n">
        <x:f>IF(ISNUMBER(T1938),T1938*(1+U1938),"")</x:f>
        <x:v>27.587999999999997</x:v>
      </x:c>
      <x:c r="W1938" s="47" t="n">
        <x:v>0.3</x:v>
      </x:c>
      <x:c r="X1938" s="54" t="n">
        <x:f>IF(ISNUMBER(V1938),V1938/(1-W1938),"")</x:f>
        <x:v>39.41142857142857</x:v>
      </x:c>
      <x:c r="Y1938" s="55" t="n">
        <x:f>IF(ISNUMBER(X1938),ROUNDUP(X1938,0),"")</x:f>
        <x:v>40</x:v>
      </x:c>
      <x:c r="Z1938" t="str">
        <x:v>Source match pending</x:v>
      </x:c>
      <x:c r="AA1938" t="str">
        <x:v>screencapture-www-activesportstrade-co-uk-trained-by-jp-trade-2026-09-10-09_10_55.pdf / page-8</x:v>
      </x:c>
      <x:c r="AB1938" s="36" t="n">
        <x:f>IF(ISNUMBER(Y1938),ROUND(Y1938*0.9,2),"")</x:f>
        <x:v>36</x:v>
      </x:c>
      <x:c r="AC1938" s="36" t="n">
        <x:f>IF(ISNUMBER(AB1938),ROUND(AB1938-(AB1938*0.015+0.2)-V1938,2),"")</x:f>
        <x:v>7.67</x:v>
      </x:c>
      <x:c r="AD1938" s="36" t="n">
        <x:f>IF(ISNUMBER(Y1938),ROUND(Y1938*0.8,2),"")</x:f>
        <x:v>32</x:v>
      </x:c>
      <x:c r="AE1938" s="36" t="n">
        <x:f>IF(ISNUMBER(AD1938),ROUND(AD1938*0.015+0.2,2),"")</x:f>
        <x:v>0.68</x:v>
      </x:c>
      <x:c r="AF1938" s="36" t="n">
        <x:f>IF(ISNUMBER(AD1938),ROUND(AD1938-AE1938-V1938,2),"")</x:f>
        <x:v>3.73</x:v>
      </x:c>
      <x:c r="AG1938" t="str">
        <x:f>IF(NOT(ISNUMBER(T1938)),"PENDING",IF(AF1938&gt;0,"PASS","FAIL"))</x:f>
        <x:v>PASS</x:v>
      </x:c>
      <x:c r="AH1938" t="str">
        <x:f>IF(NOT(ISNUMBER(T1938)),"Needs supplier cost",IF(K1938&lt;&gt;"In stock","Supplier unavailable",IF(AG1938&lt;&gt;"PASS","BLOCK - GT loss risk","Commercially protected")))</x:f>
        <x:v>Supplier unavailable</x:v>
      </x:c>
      <x:c r="AI1938" t="str">
        <x:v>2026-09-10 Active Sports trade capture</x:v>
      </x:c>
      <x:c r="AJ1938" t="str">
        <x:v>Management-only economics. Stripe stress test uses 1.5% + £0.20 standard UK online-card fee; pallet/mix-and-match pricing ignored.</x:v>
      </x:c>
    </x:row>
    <x:row r="1939">
      <x:c r="A1939" t="str">
        <x:v>Active Sports Nutrition</x:v>
      </x:c>
      <x:c r="B1939" t="str">
        <x:v>Trained By JP</x:v>
      </x:c>
      <x:c r="C1939" t="str">
        <x:v>Vegan Protein</x:v>
      </x:c>
      <x:c r="D1939" t="str">
        <x:v>Supplements</x:v>
      </x:c>
      <x:c r="E1939" t="str">
        <x:v>Protein Blends</x:v>
      </x:c>
      <x:c r="F1939" t="str"/>
      <x:c r="G1939" t="str">
        <x:v>2kg</x:v>
      </x:c>
      <x:c r="H1939" t="str">
        <x:v>Vanilla Almond Chai</x:v>
      </x:c>
      <x:c r="I1939" t="str"/>
      <x:c r="J1939" t="str">
        <x:v>Unit</x:v>
      </x:c>
      <x:c r="K1939" t="str">
        <x:v>Out of stock</x:v>
      </x:c>
      <x:c r="L1939" t="str">
        <x:v>2026-09-08</x:v>
      </x:c>
      <x:c r="M1939" t="str"/>
      <x:c r="N1939" t="str"/>
      <x:c r="O1939" t="str">
        <x:v>https://www.activesportstrade.co.uk/Protein-Blends-Trade</x:v>
      </x:c>
      <x:c r="P1939" t="str"/>
      <x:c r="Q1939" t="str"/>
      <x:c r="R1939" t="str"/>
      <x:c r="S1939" t="str">
        <x:v>Pending genuine supplier/brand image</x:v>
      </x:c>
      <x:c r="T1939" s="54" t="n">
        <x:v>22.99</x:v>
      </x:c>
      <x:c r="U1939" s="47" t="n">
        <x:v>0.2</x:v>
      </x:c>
      <x:c r="V1939" s="54" t="n">
        <x:f>IF(ISNUMBER(T1939),T1939*(1+U1939),"")</x:f>
        <x:v>27.587999999999997</x:v>
      </x:c>
      <x:c r="W1939" s="47" t="n">
        <x:v>0.3</x:v>
      </x:c>
      <x:c r="X1939" s="54" t="n">
        <x:f>IF(ISNUMBER(V1939),V1939/(1-W1939),"")</x:f>
        <x:v>39.41142857142857</x:v>
      </x:c>
      <x:c r="Y1939" s="55" t="n">
        <x:f>IF(ISNUMBER(X1939),ROUNDUP(X1939,0),"")</x:f>
        <x:v>40</x:v>
      </x:c>
      <x:c r="Z1939" t="str">
        <x:v>Source match pending</x:v>
      </x:c>
      <x:c r="AA1939" t="str">
        <x:v>screencapture-www-activesportstrade-co-uk-trained-by-jp-trade-2026-09-10-09_10_55.pdf / page-8</x:v>
      </x:c>
      <x:c r="AB1939" s="36" t="n">
        <x:f>IF(ISNUMBER(Y1939),ROUND(Y1939*0.9,2),"")</x:f>
        <x:v>36</x:v>
      </x:c>
      <x:c r="AC1939" s="36" t="n">
        <x:f>IF(ISNUMBER(AB1939),ROUND(AB1939-(AB1939*0.015+0.2)-V1939,2),"")</x:f>
        <x:v>7.67</x:v>
      </x:c>
      <x:c r="AD1939" s="36" t="n">
        <x:f>IF(ISNUMBER(Y1939),ROUND(Y1939*0.8,2),"")</x:f>
        <x:v>32</x:v>
      </x:c>
      <x:c r="AE1939" s="36" t="n">
        <x:f>IF(ISNUMBER(AD1939),ROUND(AD1939*0.015+0.2,2),"")</x:f>
        <x:v>0.68</x:v>
      </x:c>
      <x:c r="AF1939" s="36" t="n">
        <x:f>IF(ISNUMBER(AD1939),ROUND(AD1939-AE1939-V1939,2),"")</x:f>
        <x:v>3.73</x:v>
      </x:c>
      <x:c r="AG1939" t="str">
        <x:f>IF(NOT(ISNUMBER(T1939)),"PENDING",IF(AF1939&gt;0,"PASS","FAIL"))</x:f>
        <x:v>PASS</x:v>
      </x:c>
      <x:c r="AH1939" t="str">
        <x:f>IF(NOT(ISNUMBER(T1939)),"Needs supplier cost",IF(K1939&lt;&gt;"In stock","Supplier unavailable",IF(AG1939&lt;&gt;"PASS","BLOCK - GT loss risk","Commercially protected")))</x:f>
        <x:v>Supplier unavailable</x:v>
      </x:c>
      <x:c r="AI1939" t="str">
        <x:v>2026-09-10 Active Sports trade capture</x:v>
      </x:c>
      <x:c r="AJ1939" t="str">
        <x:v>Management-only economics. Stripe stress test uses 1.5% + £0.20 standard UK online-card fee; pallet/mix-and-match pricing ignored.</x:v>
      </x:c>
    </x:row>
    <x:row r="1940">
      <x:c r="A1940" t="str">
        <x:v>Active Sports Nutrition</x:v>
      </x:c>
      <x:c r="B1940" t="str">
        <x:v>Trained By JP</x:v>
      </x:c>
      <x:c r="C1940" t="str">
        <x:v>MPS Max</x:v>
      </x:c>
      <x:c r="D1940" t="str">
        <x:v>Supplements</x:v>
      </x:c>
      <x:c r="E1940" t="str">
        <x:v>Intra Workout</x:v>
      </x:c>
      <x:c r="F1940" t="str"/>
      <x:c r="G1940" t="str">
        <x:v>20 servings</x:v>
      </x:c>
      <x:c r="H1940" t="str">
        <x:v>Blackcurrant</x:v>
      </x:c>
      <x:c r="I1940" t="str"/>
      <x:c r="J1940" t="str">
        <x:v>Unit</x:v>
      </x:c>
      <x:c r="K1940" t="str">
        <x:v>In stock</x:v>
      </x:c>
      <x:c r="L1940" t="str">
        <x:v>2026-09-08</x:v>
      </x:c>
      <x:c r="M1940" t="str"/>
      <x:c r="N1940" t="str"/>
      <x:c r="O1940" t="str">
        <x:v>https://www.activesportstrade.co.uk/Intra-Workout</x:v>
      </x:c>
      <x:c r="P1940" t="str"/>
      <x:c r="Q1940" t="str"/>
      <x:c r="R1940" t="str"/>
      <x:c r="S1940" t="str">
        <x:v>Pending genuine supplier/brand image</x:v>
      </x:c>
      <x:c r="T1940" s="54" t="n">
        <x:v>19.99</x:v>
      </x:c>
      <x:c r="U1940" s="47" t="n">
        <x:v>0.2</x:v>
      </x:c>
      <x:c r="V1940" s="54" t="n">
        <x:f>IF(ISNUMBER(T1940),T1940*(1+U1940),"")</x:f>
        <x:v>23.987999999999996</x:v>
      </x:c>
      <x:c r="W1940" s="47" t="n">
        <x:v>0.3</x:v>
      </x:c>
      <x:c r="X1940" s="54" t="n">
        <x:f>IF(ISNUMBER(V1940),V1940/(1-W1940),"")</x:f>
        <x:v>34.26857142857143</x:v>
      </x:c>
      <x:c r="Y1940" s="55" t="n">
        <x:f>IF(ISNUMBER(X1940),ROUNDUP(X1940,0),"")</x:f>
        <x:v>35</x:v>
      </x:c>
      <x:c r="Z1940" t="str">
        <x:v>Source match pending</x:v>
      </x:c>
      <x:c r="AA1940" t="str">
        <x:v>screencapture-www-activesportstrade-co-uk-trained-by-jp-trade-2026-09-10-09_10_55.pdf / page-4</x:v>
      </x:c>
      <x:c r="AB1940" s="36" t="n">
        <x:f>IF(ISNUMBER(Y1940),ROUND(Y1940*0.9,2),"")</x:f>
        <x:v>31.5</x:v>
      </x:c>
      <x:c r="AC1940" s="36" t="n">
        <x:f>IF(ISNUMBER(AB1940),ROUND(AB1940-(AB1940*0.015+0.2)-V1940,2),"")</x:f>
        <x:v>6.84</x:v>
      </x:c>
      <x:c r="AD1940" s="36" t="n">
        <x:f>IF(ISNUMBER(Y1940),ROUND(Y1940*0.8,2),"")</x:f>
        <x:v>28</x:v>
      </x:c>
      <x:c r="AE1940" s="36" t="n">
        <x:f>IF(ISNUMBER(AD1940),ROUND(AD1940*0.015+0.2,2),"")</x:f>
        <x:v>0.62</x:v>
      </x:c>
      <x:c r="AF1940" s="36" t="n">
        <x:f>IF(ISNUMBER(AD1940),ROUND(AD1940-AE1940-V1940,2),"")</x:f>
        <x:v>3.39</x:v>
      </x:c>
      <x:c r="AG1940" t="str">
        <x:f>IF(NOT(ISNUMBER(T1940)),"PENDING",IF(AF1940&gt;0,"PASS","FAIL"))</x:f>
        <x:v>PASS</x:v>
      </x:c>
      <x:c r="AH1940" t="str">
        <x:f>IF(NOT(ISNUMBER(T1940)),"Needs supplier cost",IF(K1940&lt;&gt;"In stock","Supplier unavailable",IF(AG1940&lt;&gt;"PASS","BLOCK - GT loss risk","Commercially protected")))</x:f>
        <x:v>Commercially protected</x:v>
      </x:c>
      <x:c r="AI1940" t="str">
        <x:v>2026-09-10 Active Sports trade capture</x:v>
      </x:c>
      <x:c r="AJ1940" t="str">
        <x:v>Management-only economics. Stripe stress test uses 1.5% + £0.20 standard UK online-card fee; pallet/mix-and-match pricing ignored.</x:v>
      </x:c>
    </x:row>
    <x:row r="1941">
      <x:c r="A1941" t="str">
        <x:v>Active Sports Nutrition</x:v>
      </x:c>
      <x:c r="B1941" t="str">
        <x:v>Trained By JP</x:v>
      </x:c>
      <x:c r="C1941" t="str">
        <x:v>MPS Max</x:v>
      </x:c>
      <x:c r="D1941" t="str">
        <x:v>Supplements</x:v>
      </x:c>
      <x:c r="E1941" t="str">
        <x:v>Intra Workout</x:v>
      </x:c>
      <x:c r="F1941" t="str"/>
      <x:c r="G1941" t="str">
        <x:v>20 servings</x:v>
      </x:c>
      <x:c r="H1941" t="str">
        <x:v>Peach Ice Tea</x:v>
      </x:c>
      <x:c r="I1941" t="str"/>
      <x:c r="J1941" t="str">
        <x:v>Unit</x:v>
      </x:c>
      <x:c r="K1941" t="str">
        <x:v>In stock</x:v>
      </x:c>
      <x:c r="L1941" t="str">
        <x:v>2026-09-08</x:v>
      </x:c>
      <x:c r="M1941" t="str"/>
      <x:c r="N1941" t="str"/>
      <x:c r="O1941" t="str">
        <x:v>https://www.activesportstrade.co.uk/Intra-Workout</x:v>
      </x:c>
      <x:c r="P1941" t="str"/>
      <x:c r="Q1941" t="str"/>
      <x:c r="R1941" t="str"/>
      <x:c r="S1941" t="str">
        <x:v>Pending genuine supplier/brand image</x:v>
      </x:c>
      <x:c r="T1941" s="54" t="n">
        <x:v>19.99</x:v>
      </x:c>
      <x:c r="U1941" s="47" t="n">
        <x:v>0.2</x:v>
      </x:c>
      <x:c r="V1941" s="54" t="n">
        <x:f>IF(ISNUMBER(T1941),T1941*(1+U1941),"")</x:f>
        <x:v>23.987999999999996</x:v>
      </x:c>
      <x:c r="W1941" s="47" t="n">
        <x:v>0.3</x:v>
      </x:c>
      <x:c r="X1941" s="54" t="n">
        <x:f>IF(ISNUMBER(V1941),V1941/(1-W1941),"")</x:f>
        <x:v>34.26857142857143</x:v>
      </x:c>
      <x:c r="Y1941" s="55" t="n">
        <x:f>IF(ISNUMBER(X1941),ROUNDUP(X1941,0),"")</x:f>
        <x:v>35</x:v>
      </x:c>
      <x:c r="Z1941" t="str">
        <x:v>Source match pending</x:v>
      </x:c>
      <x:c r="AA1941" t="str">
        <x:v>screencapture-www-activesportstrade-co-uk-trained-by-jp-trade-2026-09-10-09_10_55.pdf / page-4</x:v>
      </x:c>
      <x:c r="AB1941" s="36" t="n">
        <x:f>IF(ISNUMBER(Y1941),ROUND(Y1941*0.9,2),"")</x:f>
        <x:v>31.5</x:v>
      </x:c>
      <x:c r="AC1941" s="36" t="n">
        <x:f>IF(ISNUMBER(AB1941),ROUND(AB1941-(AB1941*0.015+0.2)-V1941,2),"")</x:f>
        <x:v>6.84</x:v>
      </x:c>
      <x:c r="AD1941" s="36" t="n">
        <x:f>IF(ISNUMBER(Y1941),ROUND(Y1941*0.8,2),"")</x:f>
        <x:v>28</x:v>
      </x:c>
      <x:c r="AE1941" s="36" t="n">
        <x:f>IF(ISNUMBER(AD1941),ROUND(AD1941*0.015+0.2,2),"")</x:f>
        <x:v>0.62</x:v>
      </x:c>
      <x:c r="AF1941" s="36" t="n">
        <x:f>IF(ISNUMBER(AD1941),ROUND(AD1941-AE1941-V1941,2),"")</x:f>
        <x:v>3.39</x:v>
      </x:c>
      <x:c r="AG1941" t="str">
        <x:f>IF(NOT(ISNUMBER(T1941)),"PENDING",IF(AF1941&gt;0,"PASS","FAIL"))</x:f>
        <x:v>PASS</x:v>
      </x:c>
      <x:c r="AH1941" t="str">
        <x:f>IF(NOT(ISNUMBER(T1941)),"Needs supplier cost",IF(K1941&lt;&gt;"In stock","Supplier unavailable",IF(AG1941&lt;&gt;"PASS","BLOCK - GT loss risk","Commercially protected")))</x:f>
        <x:v>Commercially protected</x:v>
      </x:c>
      <x:c r="AI1941" t="str">
        <x:v>2026-09-10 Active Sports trade capture</x:v>
      </x:c>
      <x:c r="AJ1941" t="str">
        <x:v>Management-only economics. Stripe stress test uses 1.5% + £0.20 standard UK online-card fee; pallet/mix-and-match pricing ignored.</x:v>
      </x:c>
    </x:row>
    <x:row r="1942">
      <x:c r="A1942" t="str">
        <x:v>Active Sports Nutrition</x:v>
      </x:c>
      <x:c r="B1942" t="str">
        <x:v>Trained By JP</x:v>
      </x:c>
      <x:c r="C1942" t="str">
        <x:v>MPS Max</x:v>
      </x:c>
      <x:c r="D1942" t="str">
        <x:v>Supplements</x:v>
      </x:c>
      <x:c r="E1942" t="str">
        <x:v>Intra Workout</x:v>
      </x:c>
      <x:c r="F1942" t="str"/>
      <x:c r="G1942" t="str">
        <x:v>20 servings</x:v>
      </x:c>
      <x:c r="H1942" t="str">
        <x:v>Strawberry &amp; Pineapple</x:v>
      </x:c>
      <x:c r="I1942" t="str"/>
      <x:c r="J1942" t="str">
        <x:v>Unit</x:v>
      </x:c>
      <x:c r="K1942" t="str">
        <x:v>In stock</x:v>
      </x:c>
      <x:c r="L1942" t="str">
        <x:v>2026-09-08</x:v>
      </x:c>
      <x:c r="M1942" t="str"/>
      <x:c r="N1942" t="str"/>
      <x:c r="O1942" t="str">
        <x:v>https://www.activesportstrade.co.uk/Intra-Workout</x:v>
      </x:c>
      <x:c r="P1942" t="str"/>
      <x:c r="Q1942" t="str"/>
      <x:c r="R1942" t="str"/>
      <x:c r="S1942" t="str">
        <x:v>Pending genuine supplier/brand image</x:v>
      </x:c>
      <x:c r="T1942" s="54" t="n">
        <x:v>19.99</x:v>
      </x:c>
      <x:c r="U1942" s="47" t="n">
        <x:v>0.2</x:v>
      </x:c>
      <x:c r="V1942" s="54" t="n">
        <x:f>IF(ISNUMBER(T1942),T1942*(1+U1942),"")</x:f>
        <x:v>23.987999999999996</x:v>
      </x:c>
      <x:c r="W1942" s="47" t="n">
        <x:v>0.3</x:v>
      </x:c>
      <x:c r="X1942" s="54" t="n">
        <x:f>IF(ISNUMBER(V1942),V1942/(1-W1942),"")</x:f>
        <x:v>34.26857142857143</x:v>
      </x:c>
      <x:c r="Y1942" s="55" t="n">
        <x:f>IF(ISNUMBER(X1942),ROUNDUP(X1942,0),"")</x:f>
        <x:v>35</x:v>
      </x:c>
      <x:c r="Z1942" t="str">
        <x:v>Source match pending</x:v>
      </x:c>
      <x:c r="AA1942" t="str">
        <x:v>screencapture-www-activesportstrade-co-uk-trained-by-jp-trade-2026-09-10-09_10_55.pdf / page-4</x:v>
      </x:c>
      <x:c r="AB1942" s="36" t="n">
        <x:f>IF(ISNUMBER(Y1942),ROUND(Y1942*0.9,2),"")</x:f>
        <x:v>31.5</x:v>
      </x:c>
      <x:c r="AC1942" s="36" t="n">
        <x:f>IF(ISNUMBER(AB1942),ROUND(AB1942-(AB1942*0.015+0.2)-V1942,2),"")</x:f>
        <x:v>6.84</x:v>
      </x:c>
      <x:c r="AD1942" s="36" t="n">
        <x:f>IF(ISNUMBER(Y1942),ROUND(Y1942*0.8,2),"")</x:f>
        <x:v>28</x:v>
      </x:c>
      <x:c r="AE1942" s="36" t="n">
        <x:f>IF(ISNUMBER(AD1942),ROUND(AD1942*0.015+0.2,2),"")</x:f>
        <x:v>0.62</x:v>
      </x:c>
      <x:c r="AF1942" s="36" t="n">
        <x:f>IF(ISNUMBER(AD1942),ROUND(AD1942-AE1942-V1942,2),"")</x:f>
        <x:v>3.39</x:v>
      </x:c>
      <x:c r="AG1942" t="str">
        <x:f>IF(NOT(ISNUMBER(T1942)),"PENDING",IF(AF1942&gt;0,"PASS","FAIL"))</x:f>
        <x:v>PASS</x:v>
      </x:c>
      <x:c r="AH1942" t="str">
        <x:f>IF(NOT(ISNUMBER(T1942)),"Needs supplier cost",IF(K1942&lt;&gt;"In stock","Supplier unavailable",IF(AG1942&lt;&gt;"PASS","BLOCK - GT loss risk","Commercially protected")))</x:f>
        <x:v>Commercially protected</x:v>
      </x:c>
      <x:c r="AI1942" t="str">
        <x:v>2026-09-10 Active Sports trade capture</x:v>
      </x:c>
      <x:c r="AJ1942" t="str">
        <x:v>Management-only economics. Stripe stress test uses 1.5% + £0.20 standard UK online-card fee; pallet/mix-and-match pricing ignored.</x:v>
      </x:c>
    </x:row>
    <x:row r="1943">
      <x:c r="A1943" t="str">
        <x:v>Active Sports Nutrition</x:v>
      </x:c>
      <x:c r="B1943" t="str">
        <x:v>Trained By JP</x:v>
      </x:c>
      <x:c r="C1943" t="str">
        <x:v>MPS Max</x:v>
      </x:c>
      <x:c r="D1943" t="str">
        <x:v>Supplements</x:v>
      </x:c>
      <x:c r="E1943" t="str">
        <x:v>Intra Workout</x:v>
      </x:c>
      <x:c r="F1943" t="str"/>
      <x:c r="G1943" t="str">
        <x:v>20 servings</x:v>
      </x:c>
      <x:c r="H1943" t="str">
        <x:v>Sunny Orange</x:v>
      </x:c>
      <x:c r="I1943" t="str"/>
      <x:c r="J1943" t="str">
        <x:v>Unit</x:v>
      </x:c>
      <x:c r="K1943" t="str">
        <x:v>In stock</x:v>
      </x:c>
      <x:c r="L1943" t="str">
        <x:v>2026-09-08</x:v>
      </x:c>
      <x:c r="M1943" t="str"/>
      <x:c r="N1943" t="str"/>
      <x:c r="O1943" t="str">
        <x:v>https://www.activesportstrade.co.uk/Intra-Workout</x:v>
      </x:c>
      <x:c r="P1943" t="str"/>
      <x:c r="Q1943" t="str"/>
      <x:c r="R1943" t="str"/>
      <x:c r="S1943" t="str">
        <x:v>Pending genuine supplier/brand image</x:v>
      </x:c>
      <x:c r="T1943" s="54" t="n">
        <x:v>19.99</x:v>
      </x:c>
      <x:c r="U1943" s="47" t="n">
        <x:v>0.2</x:v>
      </x:c>
      <x:c r="V1943" s="54" t="n">
        <x:f>IF(ISNUMBER(T1943),T1943*(1+U1943),"")</x:f>
        <x:v>23.987999999999996</x:v>
      </x:c>
      <x:c r="W1943" s="47" t="n">
        <x:v>0.3</x:v>
      </x:c>
      <x:c r="X1943" s="54" t="n">
        <x:f>IF(ISNUMBER(V1943),V1943/(1-W1943),"")</x:f>
        <x:v>34.26857142857143</x:v>
      </x:c>
      <x:c r="Y1943" s="55" t="n">
        <x:f>IF(ISNUMBER(X1943),ROUNDUP(X1943,0),"")</x:f>
        <x:v>35</x:v>
      </x:c>
      <x:c r="Z1943" t="str">
        <x:v>Source match pending</x:v>
      </x:c>
      <x:c r="AA1943" t="str">
        <x:v>screencapture-www-activesportstrade-co-uk-trained-by-jp-trade-2026-09-10-09_10_55.pdf / page-4</x:v>
      </x:c>
      <x:c r="AB1943" s="36" t="n">
        <x:f>IF(ISNUMBER(Y1943),ROUND(Y1943*0.9,2),"")</x:f>
        <x:v>31.5</x:v>
      </x:c>
      <x:c r="AC1943" s="36" t="n">
        <x:f>IF(ISNUMBER(AB1943),ROUND(AB1943-(AB1943*0.015+0.2)-V1943,2),"")</x:f>
        <x:v>6.84</x:v>
      </x:c>
      <x:c r="AD1943" s="36" t="n">
        <x:f>IF(ISNUMBER(Y1943),ROUND(Y1943*0.8,2),"")</x:f>
        <x:v>28</x:v>
      </x:c>
      <x:c r="AE1943" s="36" t="n">
        <x:f>IF(ISNUMBER(AD1943),ROUND(AD1943*0.015+0.2,2),"")</x:f>
        <x:v>0.62</x:v>
      </x:c>
      <x:c r="AF1943" s="36" t="n">
        <x:f>IF(ISNUMBER(AD1943),ROUND(AD1943-AE1943-V1943,2),"")</x:f>
        <x:v>3.39</x:v>
      </x:c>
      <x:c r="AG1943" t="str">
        <x:f>IF(NOT(ISNUMBER(T1943)),"PENDING",IF(AF1943&gt;0,"PASS","FAIL"))</x:f>
        <x:v>PASS</x:v>
      </x:c>
      <x:c r="AH1943" t="str">
        <x:f>IF(NOT(ISNUMBER(T1943)),"Needs supplier cost",IF(K1943&lt;&gt;"In stock","Supplier unavailable",IF(AG1943&lt;&gt;"PASS","BLOCK - GT loss risk","Commercially protected")))</x:f>
        <x:v>Commercially protected</x:v>
      </x:c>
      <x:c r="AI1943" t="str">
        <x:v>2026-09-10 Active Sports trade capture</x:v>
      </x:c>
      <x:c r="AJ1943" t="str">
        <x:v>Management-only economics. Stripe stress test uses 1.5% + £0.20 standard UK online-card fee; pallet/mix-and-match pricing ignored.</x:v>
      </x:c>
    </x:row>
    <x:row r="1944">
      <x:c r="A1944" t="str">
        <x:v>Active Sports Nutrition</x:v>
      </x:c>
      <x:c r="B1944" t="str">
        <x:v>Trained By JP</x:v>
      </x:c>
      <x:c r="C1944" t="str">
        <x:v>Performance Fuel</x:v>
      </x:c>
      <x:c r="D1944" t="str">
        <x:v>Supplements</x:v>
      </x:c>
      <x:c r="E1944" t="str">
        <x:v>Intra Workout</x:v>
      </x:c>
      <x:c r="F1944" t="str"/>
      <x:c r="G1944" t="str">
        <x:v>1kg / 40 servings</x:v>
      </x:c>
      <x:c r="H1944" t="str">
        <x:v>Berry Burst</x:v>
      </x:c>
      <x:c r="I1944" t="str"/>
      <x:c r="J1944" t="str">
        <x:v>Unit</x:v>
      </x:c>
      <x:c r="K1944" t="str">
        <x:v>In stock</x:v>
      </x:c>
      <x:c r="L1944" t="str">
        <x:v>2026-09-08</x:v>
      </x:c>
      <x:c r="M1944" t="str"/>
      <x:c r="N1944" t="str"/>
      <x:c r="O1944" t="str">
        <x:v>https://www.activesportstrade.co.uk/Intra-Workout</x:v>
      </x:c>
      <x:c r="P1944" t="str">
        <x:v>SPECIAL OFFER 10% OFF wording stripped from canonical title.</x:v>
      </x:c>
      <x:c r="Q1944" t="str"/>
      <x:c r="R1944" t="str"/>
      <x:c r="S1944" t="str">
        <x:v>Pending genuine supplier/brand image</x:v>
      </x:c>
      <x:c r="T1944" s="54" t="n">
        <x:v>18.45</x:v>
      </x:c>
      <x:c r="U1944" s="47" t="n">
        <x:v>0.2</x:v>
      </x:c>
      <x:c r="V1944" s="54" t="n">
        <x:f>IF(ISNUMBER(T1944),T1944*(1+U1944),"")</x:f>
        <x:v>22.139999999999997</x:v>
      </x:c>
      <x:c r="W1944" s="47" t="n">
        <x:v>0.3</x:v>
      </x:c>
      <x:c r="X1944" s="54" t="n">
        <x:f>IF(ISNUMBER(V1944),V1944/(1-W1944),"")</x:f>
        <x:v>31.628571428571426</x:v>
      </x:c>
      <x:c r="Y1944" s="55" t="n">
        <x:f>IF(ISNUMBER(X1944),ROUNDUP(X1944,0),"")</x:f>
        <x:v>32</x:v>
      </x:c>
      <x:c r="Z1944" t="str">
        <x:v>Source match pending</x:v>
      </x:c>
      <x:c r="AA1944" t="str">
        <x:v>screencapture-www-activesportstrade-co-uk-trained-by-jp-trade-2026-09-10-09_10_55.pdf / page-5</x:v>
      </x:c>
      <x:c r="AB1944" s="36" t="n">
        <x:f>IF(ISNUMBER(Y1944),ROUND(Y1944*0.9,2),"")</x:f>
        <x:v>28.8</x:v>
      </x:c>
      <x:c r="AC1944" s="36" t="n">
        <x:f>IF(ISNUMBER(AB1944),ROUND(AB1944-(AB1944*0.015+0.2)-V1944,2),"")</x:f>
        <x:v>6.03</x:v>
      </x:c>
      <x:c r="AD1944" s="36" t="n">
        <x:f>IF(ISNUMBER(Y1944),ROUND(Y1944*0.8,2),"")</x:f>
        <x:v>25.6</x:v>
      </x:c>
      <x:c r="AE1944" s="36" t="n">
        <x:f>IF(ISNUMBER(AD1944),ROUND(AD1944*0.015+0.2,2),"")</x:f>
        <x:v>0.58</x:v>
      </x:c>
      <x:c r="AF1944" s="36" t="n">
        <x:f>IF(ISNUMBER(AD1944),ROUND(AD1944-AE1944-V1944,2),"")</x:f>
        <x:v>2.88</x:v>
      </x:c>
      <x:c r="AG1944" t="str">
        <x:f>IF(NOT(ISNUMBER(T1944)),"PENDING",IF(AF1944&gt;0,"PASS","FAIL"))</x:f>
        <x:v>PASS</x:v>
      </x:c>
      <x:c r="AH1944" t="str">
        <x:f>IF(NOT(ISNUMBER(T1944)),"Needs supplier cost",IF(K1944&lt;&gt;"In stock","Supplier unavailable",IF(AG1944&lt;&gt;"PASS","BLOCK - GT loss risk","Commercially protected")))</x:f>
        <x:v>Commercially protected</x:v>
      </x:c>
      <x:c r="AI1944" t="str">
        <x:v>2026-09-10 Active Sports trade capture</x:v>
      </x:c>
      <x:c r="AJ1944" t="str">
        <x:v>Management-only economics. Stripe stress test uses 1.5% + £0.20 standard UK online-card fee; pallet/mix-and-match pricing ignored.</x:v>
      </x:c>
    </x:row>
    <x:row r="1945">
      <x:c r="A1945" t="str">
        <x:v>Active Sports Nutrition</x:v>
      </x:c>
      <x:c r="B1945" t="str">
        <x:v>Trained By JP</x:v>
      </x:c>
      <x:c r="C1945" t="str">
        <x:v>Performance Fuel</x:v>
      </x:c>
      <x:c r="D1945" t="str">
        <x:v>Supplements</x:v>
      </x:c>
      <x:c r="E1945" t="str">
        <x:v>Intra Workout</x:v>
      </x:c>
      <x:c r="F1945" t="str"/>
      <x:c r="G1945" t="str">
        <x:v>1kg / 40 servings</x:v>
      </x:c>
      <x:c r="H1945" t="str">
        <x:v>Orange &amp; Mango</x:v>
      </x:c>
      <x:c r="I1945" t="str"/>
      <x:c r="J1945" t="str">
        <x:v>Unit</x:v>
      </x:c>
      <x:c r="K1945" t="str">
        <x:v>In stock</x:v>
      </x:c>
      <x:c r="L1945" t="str">
        <x:v>2026-09-08</x:v>
      </x:c>
      <x:c r="M1945" t="str"/>
      <x:c r="N1945" t="str"/>
      <x:c r="O1945" t="str">
        <x:v>https://www.activesportstrade.co.uk/Intra-Workout</x:v>
      </x:c>
      <x:c r="P1945" t="str">
        <x:v>SPECIAL OFFER 10% OFF wording stripped from canonical title.</x:v>
      </x:c>
      <x:c r="Q1945" t="str"/>
      <x:c r="R1945" t="str"/>
      <x:c r="S1945" t="str">
        <x:v>Pending genuine supplier/brand image</x:v>
      </x:c>
      <x:c r="T1945" s="54" t="n">
        <x:v>18.45</x:v>
      </x:c>
      <x:c r="U1945" s="47" t="n">
        <x:v>0.2</x:v>
      </x:c>
      <x:c r="V1945" s="54" t="n">
        <x:f>IF(ISNUMBER(T1945),T1945*(1+U1945),"")</x:f>
        <x:v>22.139999999999997</x:v>
      </x:c>
      <x:c r="W1945" s="47" t="n">
        <x:v>0.3</x:v>
      </x:c>
      <x:c r="X1945" s="54" t="n">
        <x:f>IF(ISNUMBER(V1945),V1945/(1-W1945),"")</x:f>
        <x:v>31.628571428571426</x:v>
      </x:c>
      <x:c r="Y1945" s="55" t="n">
        <x:f>IF(ISNUMBER(X1945),ROUNDUP(X1945,0),"")</x:f>
        <x:v>32</x:v>
      </x:c>
      <x:c r="Z1945" t="str">
        <x:v>Source match pending</x:v>
      </x:c>
      <x:c r="AA1945" t="str">
        <x:v>screencapture-www-activesportstrade-co-uk-trained-by-jp-trade-2026-09-10-09_10_55.pdf / page-5</x:v>
      </x:c>
      <x:c r="AB1945" s="36" t="n">
        <x:f>IF(ISNUMBER(Y1945),ROUND(Y1945*0.9,2),"")</x:f>
        <x:v>28.8</x:v>
      </x:c>
      <x:c r="AC1945" s="36" t="n">
        <x:f>IF(ISNUMBER(AB1945),ROUND(AB1945-(AB1945*0.015+0.2)-V1945,2),"")</x:f>
        <x:v>6.03</x:v>
      </x:c>
      <x:c r="AD1945" s="36" t="n">
        <x:f>IF(ISNUMBER(Y1945),ROUND(Y1945*0.8,2),"")</x:f>
        <x:v>25.6</x:v>
      </x:c>
      <x:c r="AE1945" s="36" t="n">
        <x:f>IF(ISNUMBER(AD1945),ROUND(AD1945*0.015+0.2,2),"")</x:f>
        <x:v>0.58</x:v>
      </x:c>
      <x:c r="AF1945" s="36" t="n">
        <x:f>IF(ISNUMBER(AD1945),ROUND(AD1945-AE1945-V1945,2),"")</x:f>
        <x:v>2.88</x:v>
      </x:c>
      <x:c r="AG1945" t="str">
        <x:f>IF(NOT(ISNUMBER(T1945)),"PENDING",IF(AF1945&gt;0,"PASS","FAIL"))</x:f>
        <x:v>PASS</x:v>
      </x:c>
      <x:c r="AH1945" t="str">
        <x:f>IF(NOT(ISNUMBER(T1945)),"Needs supplier cost",IF(K1945&lt;&gt;"In stock","Supplier unavailable",IF(AG1945&lt;&gt;"PASS","BLOCK - GT loss risk","Commercially protected")))</x:f>
        <x:v>Commercially protected</x:v>
      </x:c>
      <x:c r="AI1945" t="str">
        <x:v>2026-09-10 Active Sports trade capture</x:v>
      </x:c>
      <x:c r="AJ1945" t="str">
        <x:v>Management-only economics. Stripe stress test uses 1.5% + £0.20 standard UK online-card fee; pallet/mix-and-match pricing ignored.</x:v>
      </x:c>
    </x:row>
    <x:row r="1946">
      <x:c r="A1946" t="str">
        <x:v>Active Sports Nutrition</x:v>
      </x:c>
      <x:c r="B1946" t="str">
        <x:v>Trained By JP</x:v>
      </x:c>
      <x:c r="C1946" t="str">
        <x:v>Performance Fuel</x:v>
      </x:c>
      <x:c r="D1946" t="str">
        <x:v>Supplements</x:v>
      </x:c>
      <x:c r="E1946" t="str">
        <x:v>Intra Workout</x:v>
      </x:c>
      <x:c r="F1946" t="str"/>
      <x:c r="G1946" t="str">
        <x:v>1kg / 40 servings</x:v>
      </x:c>
      <x:c r="H1946" t="str">
        <x:v>Pina Colada - Stevia</x:v>
      </x:c>
      <x:c r="I1946" t="str"/>
      <x:c r="J1946" t="str">
        <x:v>Unit</x:v>
      </x:c>
      <x:c r="K1946" t="str">
        <x:v>Out of stock</x:v>
      </x:c>
      <x:c r="L1946" t="str">
        <x:v>2026-09-08</x:v>
      </x:c>
      <x:c r="M1946" t="str"/>
      <x:c r="N1946" t="str"/>
      <x:c r="O1946" t="str">
        <x:v>https://www.activesportstrade.co.uk/Intra-Workout</x:v>
      </x:c>
      <x:c r="P1946" t="str">
        <x:v>SPECIAL OFFER 10% OFF wording stripped from canonical title.</x:v>
      </x:c>
      <x:c r="Q1946" t="str"/>
      <x:c r="R1946" t="str"/>
      <x:c r="S1946" t="str">
        <x:v>Pending genuine supplier/brand image</x:v>
      </x:c>
      <x:c r="T1946" s="54" t="n">
        <x:v>18.45</x:v>
      </x:c>
      <x:c r="U1946" s="47" t="n">
        <x:v>0.2</x:v>
      </x:c>
      <x:c r="V1946" s="54" t="n">
        <x:f>IF(ISNUMBER(T1946),T1946*(1+U1946),"")</x:f>
        <x:v>22.139999999999997</x:v>
      </x:c>
      <x:c r="W1946" s="47" t="n">
        <x:v>0.3</x:v>
      </x:c>
      <x:c r="X1946" s="54" t="n">
        <x:f>IF(ISNUMBER(V1946),V1946/(1-W1946),"")</x:f>
        <x:v>31.628571428571426</x:v>
      </x:c>
      <x:c r="Y1946" s="55" t="n">
        <x:f>IF(ISNUMBER(X1946),ROUNDUP(X1946,0),"")</x:f>
        <x:v>32</x:v>
      </x:c>
      <x:c r="Z1946" t="str">
        <x:v>Source match pending</x:v>
      </x:c>
      <x:c r="AA1946" t="str">
        <x:v>screencapture-www-activesportstrade-co-uk-trained-by-jp-trade-2026-09-10-09_10_55.pdf / page-5</x:v>
      </x:c>
      <x:c r="AB1946" s="36" t="n">
        <x:f>IF(ISNUMBER(Y1946),ROUND(Y1946*0.9,2),"")</x:f>
        <x:v>28.8</x:v>
      </x:c>
      <x:c r="AC1946" s="36" t="n">
        <x:f>IF(ISNUMBER(AB1946),ROUND(AB1946-(AB1946*0.015+0.2)-V1946,2),"")</x:f>
        <x:v>6.03</x:v>
      </x:c>
      <x:c r="AD1946" s="36" t="n">
        <x:f>IF(ISNUMBER(Y1946),ROUND(Y1946*0.8,2),"")</x:f>
        <x:v>25.6</x:v>
      </x:c>
      <x:c r="AE1946" s="36" t="n">
        <x:f>IF(ISNUMBER(AD1946),ROUND(AD1946*0.015+0.2,2),"")</x:f>
        <x:v>0.58</x:v>
      </x:c>
      <x:c r="AF1946" s="36" t="n">
        <x:f>IF(ISNUMBER(AD1946),ROUND(AD1946-AE1946-V1946,2),"")</x:f>
        <x:v>2.88</x:v>
      </x:c>
      <x:c r="AG1946" t="str">
        <x:f>IF(NOT(ISNUMBER(T1946)),"PENDING",IF(AF1946&gt;0,"PASS","FAIL"))</x:f>
        <x:v>PASS</x:v>
      </x:c>
      <x:c r="AH1946" t="str">
        <x:f>IF(NOT(ISNUMBER(T1946)),"Needs supplier cost",IF(K1946&lt;&gt;"In stock","Supplier unavailable",IF(AG1946&lt;&gt;"PASS","BLOCK - GT loss risk","Commercially protected")))</x:f>
        <x:v>Supplier unavailable</x:v>
      </x:c>
      <x:c r="AI1946" t="str">
        <x:v>2026-09-10 Active Sports trade capture</x:v>
      </x:c>
      <x:c r="AJ1946" t="str">
        <x:v>Management-only economics. Stripe stress test uses 1.5% + £0.20 standard UK online-card fee; pallet/mix-and-match pricing ignored.</x:v>
      </x:c>
    </x:row>
    <x:row r="1947">
      <x:c r="A1947" t="str">
        <x:v>Active Sports Nutrition</x:v>
      </x:c>
      <x:c r="B1947" t="str">
        <x:v>Trained By JP</x:v>
      </x:c>
      <x:c r="C1947" t="str">
        <x:v>Sustain</x:v>
      </x:c>
      <x:c r="D1947" t="str">
        <x:v>Supplements</x:v>
      </x:c>
      <x:c r="E1947" t="str">
        <x:v>Carbohydrates</x:v>
      </x:c>
      <x:c r="F1947" t="str"/>
      <x:c r="G1947" t="str">
        <x:v>50 servings</x:v>
      </x:c>
      <x:c r="H1947" t="str">
        <x:v>Berry Burst</x:v>
      </x:c>
      <x:c r="I1947" t="str"/>
      <x:c r="J1947" t="str">
        <x:v>Unit</x:v>
      </x:c>
      <x:c r="K1947" t="str">
        <x:v>In stock</x:v>
      </x:c>
      <x:c r="L1947" t="str">
        <x:v>2026-09-08</x:v>
      </x:c>
      <x:c r="M1947" t="str"/>
      <x:c r="N1947" t="str"/>
      <x:c r="O1947" t="str">
        <x:v>https://www.activesportstrade.co.uk/Intra-Workout</x:v>
      </x:c>
      <x:c r="P1947" t="str">
        <x:v>Supplier title says +10 servings FREE; promotional free-serving wording stripped from canonical title.</x:v>
      </x:c>
      <x:c r="Q1947" t="str"/>
      <x:c r="R1947" t="str"/>
      <x:c r="S1947" t="str">
        <x:v>Pending genuine supplier/brand image</x:v>
      </x:c>
      <x:c r="T1947" s="54" t="n">
        <x:v>25.5</x:v>
      </x:c>
      <x:c r="U1947" s="47" t="n">
        <x:v>0.2</x:v>
      </x:c>
      <x:c r="V1947" s="54" t="n">
        <x:f>IF(ISNUMBER(T1947),T1947*(1+U1947),"")</x:f>
        <x:v>30.599999999999998</x:v>
      </x:c>
      <x:c r="W1947" s="47" t="n">
        <x:v>0.3</x:v>
      </x:c>
      <x:c r="X1947" s="54" t="n">
        <x:f>IF(ISNUMBER(V1947),V1947/(1-W1947),"")</x:f>
        <x:v>43.714285714285715</x:v>
      </x:c>
      <x:c r="Y1947" s="55" t="n">
        <x:f>IF(ISNUMBER(X1947),ROUNDUP(X1947,0),"")</x:f>
        <x:v>44</x:v>
      </x:c>
      <x:c r="Z1947" t="str">
        <x:v>Source match pending</x:v>
      </x:c>
      <x:c r="AA1947" t="str">
        <x:v>screencapture-www-activesportstrade-co-uk-trained-by-jp-trade-2026-09-10-09_10_55.pdf / page-8</x:v>
      </x:c>
      <x:c r="AB1947" s="36" t="n">
        <x:f>IF(ISNUMBER(Y1947),ROUND(Y1947*0.9,2),"")</x:f>
        <x:v>39.6</x:v>
      </x:c>
      <x:c r="AC1947" s="36" t="n">
        <x:f>IF(ISNUMBER(AB1947),ROUND(AB1947-(AB1947*0.015+0.2)-V1947,2),"")</x:f>
        <x:v>8.21</x:v>
      </x:c>
      <x:c r="AD1947" s="36" t="n">
        <x:f>IF(ISNUMBER(Y1947),ROUND(Y1947*0.8,2),"")</x:f>
        <x:v>35.2</x:v>
      </x:c>
      <x:c r="AE1947" s="36" t="n">
        <x:f>IF(ISNUMBER(AD1947),ROUND(AD1947*0.015+0.2,2),"")</x:f>
        <x:v>0.73</x:v>
      </x:c>
      <x:c r="AF1947" s="36" t="n">
        <x:f>IF(ISNUMBER(AD1947),ROUND(AD1947-AE1947-V1947,2),"")</x:f>
        <x:v>3.87</x:v>
      </x:c>
      <x:c r="AG1947" t="str">
        <x:f>IF(NOT(ISNUMBER(T1947)),"PENDING",IF(AF1947&gt;0,"PASS","FAIL"))</x:f>
        <x:v>PASS</x:v>
      </x:c>
      <x:c r="AH1947" t="str">
        <x:f>IF(NOT(ISNUMBER(T1947)),"Needs supplier cost",IF(K1947&lt;&gt;"In stock","Supplier unavailable",IF(AG1947&lt;&gt;"PASS","BLOCK - GT loss risk","Commercially protected")))</x:f>
        <x:v>Commercially protected</x:v>
      </x:c>
      <x:c r="AI1947" t="str">
        <x:v>2026-09-10 Active Sports trade capture</x:v>
      </x:c>
      <x:c r="AJ1947" t="str">
        <x:v>Management-only economics. Stripe stress test uses 1.5% + £0.20 standard UK online-card fee; pallet/mix-and-match pricing ignored.</x:v>
      </x:c>
    </x:row>
    <x:row r="1948">
      <x:c r="A1948" t="str">
        <x:v>Active Sports Nutrition</x:v>
      </x:c>
      <x:c r="B1948" t="str">
        <x:v>Trained By JP</x:v>
      </x:c>
      <x:c r="C1948" t="str">
        <x:v>Sustain</x:v>
      </x:c>
      <x:c r="D1948" t="str">
        <x:v>Supplements</x:v>
      </x:c>
      <x:c r="E1948" t="str">
        <x:v>Carbohydrates</x:v>
      </x:c>
      <x:c r="F1948" t="str"/>
      <x:c r="G1948" t="str">
        <x:v>50 servings</x:v>
      </x:c>
      <x:c r="H1948" t="str">
        <x:v>Orange &amp; Mango</x:v>
      </x:c>
      <x:c r="I1948" t="str"/>
      <x:c r="J1948" t="str">
        <x:v>Unit</x:v>
      </x:c>
      <x:c r="K1948" t="str">
        <x:v>In stock</x:v>
      </x:c>
      <x:c r="L1948" t="str">
        <x:v>2026-09-08</x:v>
      </x:c>
      <x:c r="M1948" t="str"/>
      <x:c r="N1948" t="str"/>
      <x:c r="O1948" t="str">
        <x:v>https://www.activesportstrade.co.uk/Intra-Workout</x:v>
      </x:c>
      <x:c r="P1948" t="str">
        <x:v>Supplier title says +10 servings FREE; promotional free-serving wording stripped from canonical title.</x:v>
      </x:c>
      <x:c r="Q1948" t="str"/>
      <x:c r="R1948" t="str"/>
      <x:c r="S1948" t="str">
        <x:v>Pending genuine supplier/brand image</x:v>
      </x:c>
      <x:c r="T1948" s="54" t="n">
        <x:v>25.5</x:v>
      </x:c>
      <x:c r="U1948" s="47" t="n">
        <x:v>0.2</x:v>
      </x:c>
      <x:c r="V1948" s="54" t="n">
        <x:f>IF(ISNUMBER(T1948),T1948*(1+U1948),"")</x:f>
        <x:v>30.599999999999998</x:v>
      </x:c>
      <x:c r="W1948" s="47" t="n">
        <x:v>0.3</x:v>
      </x:c>
      <x:c r="X1948" s="54" t="n">
        <x:f>IF(ISNUMBER(V1948),V1948/(1-W1948),"")</x:f>
        <x:v>43.714285714285715</x:v>
      </x:c>
      <x:c r="Y1948" s="55" t="n">
        <x:f>IF(ISNUMBER(X1948),ROUNDUP(X1948,0),"")</x:f>
        <x:v>44</x:v>
      </x:c>
      <x:c r="Z1948" t="str">
        <x:v>Source match pending</x:v>
      </x:c>
      <x:c r="AA1948" t="str">
        <x:v>screencapture-www-activesportstrade-co-uk-trained-by-jp-trade-2026-09-10-09_10_55.pdf / page-8</x:v>
      </x:c>
      <x:c r="AB1948" s="36" t="n">
        <x:f>IF(ISNUMBER(Y1948),ROUND(Y1948*0.9,2),"")</x:f>
        <x:v>39.6</x:v>
      </x:c>
      <x:c r="AC1948" s="36" t="n">
        <x:f>IF(ISNUMBER(AB1948),ROUND(AB1948-(AB1948*0.015+0.2)-V1948,2),"")</x:f>
        <x:v>8.21</x:v>
      </x:c>
      <x:c r="AD1948" s="36" t="n">
        <x:f>IF(ISNUMBER(Y1948),ROUND(Y1948*0.8,2),"")</x:f>
        <x:v>35.2</x:v>
      </x:c>
      <x:c r="AE1948" s="36" t="n">
        <x:f>IF(ISNUMBER(AD1948),ROUND(AD1948*0.015+0.2,2),"")</x:f>
        <x:v>0.73</x:v>
      </x:c>
      <x:c r="AF1948" s="36" t="n">
        <x:f>IF(ISNUMBER(AD1948),ROUND(AD1948-AE1948-V1948,2),"")</x:f>
        <x:v>3.87</x:v>
      </x:c>
      <x:c r="AG1948" t="str">
        <x:f>IF(NOT(ISNUMBER(T1948)),"PENDING",IF(AF1948&gt;0,"PASS","FAIL"))</x:f>
        <x:v>PASS</x:v>
      </x:c>
      <x:c r="AH1948" t="str">
        <x:f>IF(NOT(ISNUMBER(T1948)),"Needs supplier cost",IF(K1948&lt;&gt;"In stock","Supplier unavailable",IF(AG1948&lt;&gt;"PASS","BLOCK - GT loss risk","Commercially protected")))</x:f>
        <x:v>Commercially protected</x:v>
      </x:c>
      <x:c r="AI1948" t="str">
        <x:v>2026-09-10 Active Sports trade capture</x:v>
      </x:c>
      <x:c r="AJ1948" t="str">
        <x:v>Management-only economics. Stripe stress test uses 1.5% + £0.20 standard UK online-card fee; pallet/mix-and-match pricing ignored.</x:v>
      </x:c>
    </x:row>
    <x:row r="1949">
      <x:c r="A1949" t="str">
        <x:v>Active Sports Nutrition</x:v>
      </x:c>
      <x:c r="B1949" t="str">
        <x:v>Strom Sports Nutrition</x:v>
      </x:c>
      <x:c r="C1949" t="str">
        <x:v>HydraMAX Cans</x:v>
      </x:c>
      <x:c r="D1949" t="str">
        <x:v>Drinks and Bars</x:v>
      </x:c>
      <x:c r="E1949" t="str">
        <x:v>Ready to Drink Hydration</x:v>
      </x:c>
      <x:c r="F1949" t="str"/>
      <x:c r="G1949" t="str">
        <x:v>12 x 500ml cans</x:v>
      </x:c>
      <x:c r="H1949" t="str">
        <x:v>Berrylicious</x:v>
      </x:c>
      <x:c r="I1949" t="str">
        <x:v>12</x:v>
      </x:c>
      <x:c r="J1949" t="str">
        <x:v>Case</x:v>
      </x:c>
      <x:c r="K1949" t="str">
        <x:v>In stock</x:v>
      </x:c>
      <x:c r="L1949" t="str">
        <x:v>2026-09-08</x:v>
      </x:c>
      <x:c r="M1949" t="str"/>
      <x:c r="N1949" t="str"/>
      <x:c r="O1949" t="str">
        <x:v>https://www.activesportstrade.co.uk/hydration-supplements-trade/norec</x:v>
      </x:c>
      <x:c r="P1949" t="str">
        <x:v>Case-only member order.</x:v>
      </x:c>
      <x:c r="Q1949" t="str"/>
      <x:c r="R1949" t="str"/>
      <x:c r="S1949" t="str">
        <x:v>Pending genuine supplier/brand image</x:v>
      </x:c>
      <x:c r="T1949" s="54"/>
      <x:c r="U1949" s="47" t="n">
        <x:v>0.2</x:v>
      </x:c>
      <x:c r="V1949" s="54" t="str">
        <x:f>IF(ISNUMBER(T1949),T1949*(1+U1949),"")</x:f>
      </x:c>
      <x:c r="W1949" s="47" t="n">
        <x:v>0.3</x:v>
      </x:c>
      <x:c r="X1949" s="54" t="str">
        <x:f>IF(ISNUMBER(V1949),V1949/(1-W1949),"")</x:f>
      </x:c>
      <x:c r="Y1949" s="55" t="str">
        <x:f>IF(ISNUMBER(X1949),ROUNDUP(X1949,0),"")</x:f>
      </x:c>
      <x:c r="Z1949" t="str">
        <x:f>IF(ISNUMBER(T1949),"Cost captured","Awaiting trade cost")</x:f>
        <x:v>Awaiting trade cost</x:v>
      </x:c>
      <x:c r="AB1949" s="36" t="str">
        <x:f>IF(ISNUMBER(Y1949),ROUND(Y1949*0.9,2),"")</x:f>
      </x:c>
      <x:c r="AC1949" s="36" t="str">
        <x:f>IF(ISNUMBER(AB1949),ROUND(AB1949-(AB1949*0.015+0.2)-V1949,2),"")</x:f>
      </x:c>
      <x:c r="AD1949" s="36" t="str">
        <x:f>IF(ISNUMBER(Y1949),ROUND(Y1949*0.8,2),"")</x:f>
      </x:c>
      <x:c r="AE1949" s="36" t="str">
        <x:f>IF(ISNUMBER(AD1949),ROUND(AD1949*0.015+0.2,2),"")</x:f>
      </x:c>
      <x:c r="AF1949" s="36" t="str">
        <x:f>IF(ISNUMBER(AD1949),ROUND(AD1949-AE1949-V1949,2),"")</x:f>
      </x:c>
      <x:c r="AG1949" t="str">
        <x:f>IF(NOT(ISNUMBER(T1949)),"PENDING",IF(AF1949&gt;0,"PASS","FAIL"))</x:f>
        <x:v>PENDING</x:v>
      </x:c>
      <x:c r="AH1949" t="str">
        <x:f>IF(NOT(ISNUMBER(T1949)),"Needs supplier cost",IF(K1949&lt;&gt;"In stock","Supplier unavailable",IF(AG1949&lt;&gt;"PASS","BLOCK - GT loss risk","Commercially protected")))</x:f>
        <x:v>Needs supplier cost</x:v>
      </x:c>
      <x:c r="AI1949" t="str">
        <x:v>2026-09-10 Active Sports trade capture</x:v>
      </x:c>
      <x:c r="AJ1949" t="str">
        <x:v>Management-only economics. Stripe stress test uses 1.5% + £0.20 standard UK online-card fee; pallet/mix-and-match pricing ignored.</x:v>
      </x:c>
    </x:row>
    <x:row r="1950">
      <x:c r="A1950" t="str">
        <x:v>Active Sports Nutrition</x:v>
      </x:c>
      <x:c r="B1950" t="str">
        <x:v>Strom Sports Nutrition</x:v>
      </x:c>
      <x:c r="C1950" t="str">
        <x:v>HydraMAX Cans</x:v>
      </x:c>
      <x:c r="D1950" t="str">
        <x:v>Drinks and Bars</x:v>
      </x:c>
      <x:c r="E1950" t="str">
        <x:v>Ready to Drink Hydration</x:v>
      </x:c>
      <x:c r="F1950" t="str"/>
      <x:c r="G1950" t="str">
        <x:v>12 x 500ml cans</x:v>
      </x:c>
      <x:c r="H1950" t="str">
        <x:v>Pineapple Coconut</x:v>
      </x:c>
      <x:c r="I1950" t="str">
        <x:v>12</x:v>
      </x:c>
      <x:c r="J1950" t="str">
        <x:v>Case</x:v>
      </x:c>
      <x:c r="K1950" t="str">
        <x:v>Out of stock</x:v>
      </x:c>
      <x:c r="L1950" t="str">
        <x:v>2026-09-08</x:v>
      </x:c>
      <x:c r="M1950" t="str"/>
      <x:c r="N1950" t="str"/>
      <x:c r="O1950" t="str">
        <x:v>https://www.activesportstrade.co.uk/hydration-supplements-trade/norec</x:v>
      </x:c>
      <x:c r="P1950" t="str">
        <x:v>Case-only member order.</x:v>
      </x:c>
      <x:c r="Q1950" t="str"/>
      <x:c r="R1950" t="str"/>
      <x:c r="S1950" t="str">
        <x:v>Pending genuine supplier/brand image</x:v>
      </x:c>
      <x:c r="T1950" s="54"/>
      <x:c r="U1950" s="47" t="n">
        <x:v>0.2</x:v>
      </x:c>
      <x:c r="V1950" s="54" t="str">
        <x:f>IF(ISNUMBER(T1950),T1950*(1+U1950),"")</x:f>
      </x:c>
      <x:c r="W1950" s="47" t="n">
        <x:v>0.3</x:v>
      </x:c>
      <x:c r="X1950" s="54" t="str">
        <x:f>IF(ISNUMBER(V1950),V1950/(1-W1950),"")</x:f>
      </x:c>
      <x:c r="Y1950" s="55" t="str">
        <x:f>IF(ISNUMBER(X1950),ROUNDUP(X1950,0),"")</x:f>
      </x:c>
      <x:c r="Z1950" t="str">
        <x:f>IF(ISNUMBER(T1950),"Cost captured","Awaiting trade cost")</x:f>
        <x:v>Awaiting trade cost</x:v>
      </x:c>
      <x:c r="AB1950" s="36" t="str">
        <x:f>IF(ISNUMBER(Y1950),ROUND(Y1950*0.9,2),"")</x:f>
      </x:c>
      <x:c r="AC1950" s="36" t="str">
        <x:f>IF(ISNUMBER(AB1950),ROUND(AB1950-(AB1950*0.015+0.2)-V1950,2),"")</x:f>
      </x:c>
      <x:c r="AD1950" s="36" t="str">
        <x:f>IF(ISNUMBER(Y1950),ROUND(Y1950*0.8,2),"")</x:f>
      </x:c>
      <x:c r="AE1950" s="36" t="str">
        <x:f>IF(ISNUMBER(AD1950),ROUND(AD1950*0.015+0.2,2),"")</x:f>
      </x:c>
      <x:c r="AF1950" s="36" t="str">
        <x:f>IF(ISNUMBER(AD1950),ROUND(AD1950-AE1950-V1950,2),"")</x:f>
      </x:c>
      <x:c r="AG1950" t="str">
        <x:f>IF(NOT(ISNUMBER(T1950)),"PENDING",IF(AF1950&gt;0,"PASS","FAIL"))</x:f>
        <x:v>PENDING</x:v>
      </x:c>
      <x:c r="AH1950" t="str">
        <x:f>IF(NOT(ISNUMBER(T1950)),"Needs supplier cost",IF(K1950&lt;&gt;"In stock","Supplier unavailable",IF(AG1950&lt;&gt;"PASS","BLOCK - GT loss risk","Commercially protected")))</x:f>
        <x:v>Needs supplier cost</x:v>
      </x:c>
      <x:c r="AI1950" t="str">
        <x:v>2026-09-10 Active Sports trade capture</x:v>
      </x:c>
      <x:c r="AJ1950" t="str">
        <x:v>Management-only economics. Stripe stress test uses 1.5% + £0.20 standard UK online-card fee; pallet/mix-and-match pricing ignored.</x:v>
      </x:c>
    </x:row>
    <x:row r="1951">
      <x:c r="A1951" t="str">
        <x:v>Active Sports Nutrition</x:v>
      </x:c>
      <x:c r="B1951" t="str">
        <x:v>Strom Sports Nutrition</x:v>
      </x:c>
      <x:c r="C1951" t="str">
        <x:v>HydraMAX Cans</x:v>
      </x:c>
      <x:c r="D1951" t="str">
        <x:v>Drinks and Bars</x:v>
      </x:c>
      <x:c r="E1951" t="str">
        <x:v>Ready to Drink Hydration</x:v>
      </x:c>
      <x:c r="F1951" t="str"/>
      <x:c r="G1951" t="str">
        <x:v>12 x 500ml cans</x:v>
      </x:c>
      <x:c r="H1951" t="str">
        <x:v>Pink Lemonade</x:v>
      </x:c>
      <x:c r="I1951" t="str">
        <x:v>12</x:v>
      </x:c>
      <x:c r="J1951" t="str">
        <x:v>Case</x:v>
      </x:c>
      <x:c r="K1951" t="str">
        <x:v>In stock</x:v>
      </x:c>
      <x:c r="L1951" t="str">
        <x:v>2026-09-08</x:v>
      </x:c>
      <x:c r="M1951" t="str"/>
      <x:c r="N1951" t="str"/>
      <x:c r="O1951" t="str">
        <x:v>https://www.activesportstrade.co.uk/hydration-supplements-trade/norec</x:v>
      </x:c>
      <x:c r="P1951" t="str">
        <x:v>Case-only member order.</x:v>
      </x:c>
      <x:c r="Q1951" t="str"/>
      <x:c r="R1951" t="str"/>
      <x:c r="S1951" t="str">
        <x:v>Pending genuine supplier/brand image</x:v>
      </x:c>
      <x:c r="T1951" s="54"/>
      <x:c r="U1951" s="47" t="n">
        <x:v>0.2</x:v>
      </x:c>
      <x:c r="V1951" s="54" t="str">
        <x:f>IF(ISNUMBER(T1951),T1951*(1+U1951),"")</x:f>
      </x:c>
      <x:c r="W1951" s="47" t="n">
        <x:v>0.3</x:v>
      </x:c>
      <x:c r="X1951" s="54" t="str">
        <x:f>IF(ISNUMBER(V1951),V1951/(1-W1951),"")</x:f>
      </x:c>
      <x:c r="Y1951" s="55" t="str">
        <x:f>IF(ISNUMBER(X1951),ROUNDUP(X1951,0),"")</x:f>
      </x:c>
      <x:c r="Z1951" t="str">
        <x:f>IF(ISNUMBER(T1951),"Cost captured","Awaiting trade cost")</x:f>
        <x:v>Awaiting trade cost</x:v>
      </x:c>
      <x:c r="AB1951" s="36" t="str">
        <x:f>IF(ISNUMBER(Y1951),ROUND(Y1951*0.9,2),"")</x:f>
      </x:c>
      <x:c r="AC1951" s="36" t="str">
        <x:f>IF(ISNUMBER(AB1951),ROUND(AB1951-(AB1951*0.015+0.2)-V1951,2),"")</x:f>
      </x:c>
      <x:c r="AD1951" s="36" t="str">
        <x:f>IF(ISNUMBER(Y1951),ROUND(Y1951*0.8,2),"")</x:f>
      </x:c>
      <x:c r="AE1951" s="36" t="str">
        <x:f>IF(ISNUMBER(AD1951),ROUND(AD1951*0.015+0.2,2),"")</x:f>
      </x:c>
      <x:c r="AF1951" s="36" t="str">
        <x:f>IF(ISNUMBER(AD1951),ROUND(AD1951-AE1951-V1951,2),"")</x:f>
      </x:c>
      <x:c r="AG1951" t="str">
        <x:f>IF(NOT(ISNUMBER(T1951)),"PENDING",IF(AF1951&gt;0,"PASS","FAIL"))</x:f>
        <x:v>PENDING</x:v>
      </x:c>
      <x:c r="AH1951" t="str">
        <x:f>IF(NOT(ISNUMBER(T1951)),"Needs supplier cost",IF(K1951&lt;&gt;"In stock","Supplier unavailable",IF(AG1951&lt;&gt;"PASS","BLOCK - GT loss risk","Commercially protected")))</x:f>
        <x:v>Needs supplier cost</x:v>
      </x:c>
      <x:c r="AI1951" t="str">
        <x:v>2026-09-10 Active Sports trade capture</x:v>
      </x:c>
      <x:c r="AJ1951" t="str">
        <x:v>Management-only economics. Stripe stress test uses 1.5% + £0.20 standard UK online-card fee; pallet/mix-and-match pricing ignored.</x:v>
      </x:c>
    </x:row>
    <x:row r="1952">
      <x:c r="A1952" t="str">
        <x:v>Active Sports Nutrition</x:v>
      </x:c>
      <x:c r="B1952" t="str">
        <x:v>Strom Sports Nutrition</x:v>
      </x:c>
      <x:c r="C1952" t="str">
        <x:v>HydraMAX Cans</x:v>
      </x:c>
      <x:c r="D1952" t="str">
        <x:v>Drinks and Bars</x:v>
      </x:c>
      <x:c r="E1952" t="str">
        <x:v>Ready to Drink Hydration</x:v>
      </x:c>
      <x:c r="F1952" t="str"/>
      <x:c r="G1952" t="str">
        <x:v>12 x 500ml cans</x:v>
      </x:c>
      <x:c r="H1952" t="str">
        <x:v>Sour Apple</x:v>
      </x:c>
      <x:c r="I1952" t="str">
        <x:v>12</x:v>
      </x:c>
      <x:c r="J1952" t="str">
        <x:v>Case</x:v>
      </x:c>
      <x:c r="K1952" t="str">
        <x:v>In stock</x:v>
      </x:c>
      <x:c r="L1952" t="str">
        <x:v>2026-09-08</x:v>
      </x:c>
      <x:c r="M1952" t="str"/>
      <x:c r="N1952" t="str"/>
      <x:c r="O1952" t="str">
        <x:v>https://www.activesportstrade.co.uk/hydration-supplements-trade/norec</x:v>
      </x:c>
      <x:c r="P1952" t="str">
        <x:v>Case-only member order.</x:v>
      </x:c>
      <x:c r="Q1952" t="str"/>
      <x:c r="R1952" t="str"/>
      <x:c r="S1952" t="str">
        <x:v>Pending genuine supplier/brand image</x:v>
      </x:c>
      <x:c r="T1952" s="54"/>
      <x:c r="U1952" s="47" t="n">
        <x:v>0.2</x:v>
      </x:c>
      <x:c r="V1952" s="54" t="str">
        <x:f>IF(ISNUMBER(T1952),T1952*(1+U1952),"")</x:f>
      </x:c>
      <x:c r="W1952" s="47" t="n">
        <x:v>0.3</x:v>
      </x:c>
      <x:c r="X1952" s="54" t="str">
        <x:f>IF(ISNUMBER(V1952),V1952/(1-W1952),"")</x:f>
      </x:c>
      <x:c r="Y1952" s="55" t="str">
        <x:f>IF(ISNUMBER(X1952),ROUNDUP(X1952,0),"")</x:f>
      </x:c>
      <x:c r="Z1952" t="str">
        <x:f>IF(ISNUMBER(T1952),"Cost captured","Awaiting trade cost")</x:f>
        <x:v>Awaiting trade cost</x:v>
      </x:c>
      <x:c r="AB1952" s="36" t="str">
        <x:f>IF(ISNUMBER(Y1952),ROUND(Y1952*0.9,2),"")</x:f>
      </x:c>
      <x:c r="AC1952" s="36" t="str">
        <x:f>IF(ISNUMBER(AB1952),ROUND(AB1952-(AB1952*0.015+0.2)-V1952,2),"")</x:f>
      </x:c>
      <x:c r="AD1952" s="36" t="str">
        <x:f>IF(ISNUMBER(Y1952),ROUND(Y1952*0.8,2),"")</x:f>
      </x:c>
      <x:c r="AE1952" s="36" t="str">
        <x:f>IF(ISNUMBER(AD1952),ROUND(AD1952*0.015+0.2,2),"")</x:f>
      </x:c>
      <x:c r="AF1952" s="36" t="str">
        <x:f>IF(ISNUMBER(AD1952),ROUND(AD1952-AE1952-V1952,2),"")</x:f>
      </x:c>
      <x:c r="AG1952" t="str">
        <x:f>IF(NOT(ISNUMBER(T1952)),"PENDING",IF(AF1952&gt;0,"PASS","FAIL"))</x:f>
        <x:v>PENDING</x:v>
      </x:c>
      <x:c r="AH1952" t="str">
        <x:f>IF(NOT(ISNUMBER(T1952)),"Needs supplier cost",IF(K1952&lt;&gt;"In stock","Supplier unavailable",IF(AG1952&lt;&gt;"PASS","BLOCK - GT loss risk","Commercially protected")))</x:f>
        <x:v>Needs supplier cost</x:v>
      </x:c>
      <x:c r="AI1952" t="str">
        <x:v>2026-09-10 Active Sports trade capture</x:v>
      </x:c>
      <x:c r="AJ1952" t="str">
        <x:v>Management-only economics. Stripe stress test uses 1.5% + £0.20 standard UK online-card fee; pallet/mix-and-match pricing ignored.</x:v>
      </x:c>
    </x:row>
    <x:row r="1953">
      <x:c r="A1953" t="str">
        <x:v>Active Sports Nutrition</x:v>
      </x:c>
      <x:c r="B1953" t="str">
        <x:v>Strom Sports Nutrition</x:v>
      </x:c>
      <x:c r="C1953" t="str">
        <x:v>HydraMAX Cans</x:v>
      </x:c>
      <x:c r="D1953" t="str">
        <x:v>Drinks and Bars</x:v>
      </x:c>
      <x:c r="E1953" t="str">
        <x:v>Ready to Drink Hydration</x:v>
      </x:c>
      <x:c r="F1953" t="str"/>
      <x:c r="G1953" t="str">
        <x:v>12 x 500ml cans</x:v>
      </x:c>
      <x:c r="H1953" t="str">
        <x:v>USA Cherry</x:v>
      </x:c>
      <x:c r="I1953" t="str">
        <x:v>12</x:v>
      </x:c>
      <x:c r="J1953" t="str">
        <x:v>Case</x:v>
      </x:c>
      <x:c r="K1953" t="str">
        <x:v>In stock</x:v>
      </x:c>
      <x:c r="L1953" t="str">
        <x:v>2026-09-08</x:v>
      </x:c>
      <x:c r="M1953" t="str"/>
      <x:c r="N1953" t="str"/>
      <x:c r="O1953" t="str">
        <x:v>https://www.activesportstrade.co.uk/hydration-supplements-trade/norec</x:v>
      </x:c>
      <x:c r="P1953" t="str">
        <x:v>Case-only member order.</x:v>
      </x:c>
      <x:c r="Q1953" t="str"/>
      <x:c r="R1953" t="str"/>
      <x:c r="S1953" t="str">
        <x:v>Pending genuine supplier/brand image</x:v>
      </x:c>
      <x:c r="T1953" s="54"/>
      <x:c r="U1953" s="47" t="n">
        <x:v>0.2</x:v>
      </x:c>
      <x:c r="V1953" s="54" t="str">
        <x:f>IF(ISNUMBER(T1953),T1953*(1+U1953),"")</x:f>
      </x:c>
      <x:c r="W1953" s="47" t="n">
        <x:v>0.3</x:v>
      </x:c>
      <x:c r="X1953" s="54" t="str">
        <x:f>IF(ISNUMBER(V1953),V1953/(1-W1953),"")</x:f>
      </x:c>
      <x:c r="Y1953" s="55" t="str">
        <x:f>IF(ISNUMBER(X1953),ROUNDUP(X1953,0),"")</x:f>
      </x:c>
      <x:c r="Z1953" t="str">
        <x:f>IF(ISNUMBER(T1953),"Cost captured","Awaiting trade cost")</x:f>
        <x:v>Awaiting trade cost</x:v>
      </x:c>
      <x:c r="AB1953" s="36" t="str">
        <x:f>IF(ISNUMBER(Y1953),ROUND(Y1953*0.9,2),"")</x:f>
      </x:c>
      <x:c r="AC1953" s="36" t="str">
        <x:f>IF(ISNUMBER(AB1953),ROUND(AB1953-(AB1953*0.015+0.2)-V1953,2),"")</x:f>
      </x:c>
      <x:c r="AD1953" s="36" t="str">
        <x:f>IF(ISNUMBER(Y1953),ROUND(Y1953*0.8,2),"")</x:f>
      </x:c>
      <x:c r="AE1953" s="36" t="str">
        <x:f>IF(ISNUMBER(AD1953),ROUND(AD1953*0.015+0.2,2),"")</x:f>
      </x:c>
      <x:c r="AF1953" s="36" t="str">
        <x:f>IF(ISNUMBER(AD1953),ROUND(AD1953-AE1953-V1953,2),"")</x:f>
      </x:c>
      <x:c r="AG1953" t="str">
        <x:f>IF(NOT(ISNUMBER(T1953)),"PENDING",IF(AF1953&gt;0,"PASS","FAIL"))</x:f>
        <x:v>PENDING</x:v>
      </x:c>
      <x:c r="AH1953" t="str">
        <x:f>IF(NOT(ISNUMBER(T1953)),"Needs supplier cost",IF(K1953&lt;&gt;"In stock","Supplier unavailable",IF(AG1953&lt;&gt;"PASS","BLOCK - GT loss risk","Commercially protected")))</x:f>
        <x:v>Needs supplier cost</x:v>
      </x:c>
      <x:c r="AI1953" t="str">
        <x:v>2026-09-10 Active Sports trade capture</x:v>
      </x:c>
      <x:c r="AJ1953" t="str">
        <x:v>Management-only economics. Stripe stress test uses 1.5% + £0.20 standard UK online-card fee; pallet/mix-and-match pricing ignored.</x:v>
      </x:c>
    </x:row>
    <x:row r="1954">
      <x:c r="A1954" t="str">
        <x:v>Active Sports Nutrition</x:v>
      </x:c>
      <x:c r="B1954" t="str">
        <x:v>Strom Sports Nutrition</x:v>
      </x:c>
      <x:c r="C1954" t="str">
        <x:v>NiPRO Hydrolysed Protein Isolate</x:v>
      </x:c>
      <x:c r="D1954" t="str">
        <x:v>Supplements</x:v>
      </x:c>
      <x:c r="E1954" t="str">
        <x:v>Protein Blends</x:v>
      </x:c>
      <x:c r="F1954" t="str"/>
      <x:c r="G1954" t="str">
        <x:v>40 servings</x:v>
      </x:c>
      <x:c r="H1954" t="str">
        <x:v>Chocolate Cake Batter</x:v>
      </x:c>
      <x:c r="I1954" t="str"/>
      <x:c r="J1954" t="str">
        <x:v>Unit</x:v>
      </x:c>
      <x:c r="K1954" t="str">
        <x:v>In stock</x:v>
      </x:c>
      <x:c r="L1954" t="str">
        <x:v>2026-09-08</x:v>
      </x:c>
      <x:c r="M1954" t="str"/>
      <x:c r="N1954" t="str"/>
      <x:c r="O1954" t="str">
        <x:v>https://www.activesportstrade.co.uk/Protein-Blends-Trade</x:v>
      </x:c>
      <x:c r="P1954" t="str"/>
      <x:c r="Q1954" t="str"/>
      <x:c r="R1954" t="str"/>
      <x:c r="S1954" t="str">
        <x:v>Pending genuine supplier/brand image</x:v>
      </x:c>
      <x:c r="T1954" s="54" t="n">
        <x:v>29.49</x:v>
      </x:c>
      <x:c r="U1954" s="47" t="n">
        <x:v>0.2</x:v>
      </x:c>
      <x:c r="V1954" s="54" t="n">
        <x:f>IF(ISNUMBER(T1954),T1954*(1+U1954),"")</x:f>
        <x:v>35.388</x:v>
      </x:c>
      <x:c r="W1954" s="47" t="n">
        <x:v>0.3</x:v>
      </x:c>
      <x:c r="X1954" s="54" t="n">
        <x:f>IF(ISNUMBER(V1954),V1954/(1-W1954),"")</x:f>
        <x:v>50.55428571428571</x:v>
      </x:c>
      <x:c r="Y1954" s="55" t="n">
        <x:f>IF(ISNUMBER(X1954),ROUNDUP(X1954,0),"")</x:f>
        <x:v>51</x:v>
      </x:c>
      <x:c r="Z1954" t="str">
        <x:v>Source match pending</x:v>
      </x:c>
      <x:c r="AA1954" t="str">
        <x:v>screencapture-www-activesportstrade-co-uk-strom-sports-nutrition-trade-2026-09-10-09_08_39.pdf / page-4</x:v>
      </x:c>
      <x:c r="AB1954" s="36" t="n">
        <x:f>IF(ISNUMBER(Y1954),ROUND(Y1954*0.9,2),"")</x:f>
        <x:v>45.9</x:v>
      </x:c>
      <x:c r="AC1954" s="36" t="n">
        <x:f>IF(ISNUMBER(AB1954),ROUND(AB1954-(AB1954*0.015+0.2)-V1954,2),"")</x:f>
        <x:v>9.62</x:v>
      </x:c>
      <x:c r="AD1954" s="36" t="n">
        <x:f>IF(ISNUMBER(Y1954),ROUND(Y1954*0.8,2),"")</x:f>
        <x:v>40.8</x:v>
      </x:c>
      <x:c r="AE1954" s="36" t="n">
        <x:f>IF(ISNUMBER(AD1954),ROUND(AD1954*0.015+0.2,2),"")</x:f>
        <x:v>0.81</x:v>
      </x:c>
      <x:c r="AF1954" s="36" t="n">
        <x:f>IF(ISNUMBER(AD1954),ROUND(AD1954-AE1954-V1954,2),"")</x:f>
        <x:v>4.6</x:v>
      </x:c>
      <x:c r="AG1954" t="str">
        <x:f>IF(NOT(ISNUMBER(T1954)),"PENDING",IF(AF1954&gt;0,"PASS","FAIL"))</x:f>
        <x:v>PASS</x:v>
      </x:c>
      <x:c r="AH1954" t="str">
        <x:f>IF(NOT(ISNUMBER(T1954)),"Needs supplier cost",IF(K1954&lt;&gt;"In stock","Supplier unavailable",IF(AG1954&lt;&gt;"PASS","BLOCK - GT loss risk","Commercially protected")))</x:f>
        <x:v>Commercially protected</x:v>
      </x:c>
      <x:c r="AI1954" t="str">
        <x:v>2026-09-10 Active Sports trade capture</x:v>
      </x:c>
      <x:c r="AJ1954" t="str">
        <x:v>Management-only economics. Stripe stress test uses 1.5% + £0.20 standard UK online-card fee; pallet/mix-and-match pricing ignored.</x:v>
      </x:c>
    </x:row>
    <x:row r="1955">
      <x:c r="A1955" t="str">
        <x:v>Active Sports Nutrition</x:v>
      </x:c>
      <x:c r="B1955" t="str">
        <x:v>Strom Sports Nutrition</x:v>
      </x:c>
      <x:c r="C1955" t="str">
        <x:v>NiPRO Hydrolysed Protein Isolate</x:v>
      </x:c>
      <x:c r="D1955" t="str">
        <x:v>Supplements</x:v>
      </x:c>
      <x:c r="E1955" t="str">
        <x:v>Protein Blends</x:v>
      </x:c>
      <x:c r="F1955" t="str"/>
      <x:c r="G1955" t="str">
        <x:v>40 servings</x:v>
      </x:c>
      <x:c r="H1955" t="str">
        <x:v>Vanilla Cookie</x:v>
      </x:c>
      <x:c r="I1955" t="str"/>
      <x:c r="J1955" t="str">
        <x:v>Unit</x:v>
      </x:c>
      <x:c r="K1955" t="str">
        <x:v>In stock</x:v>
      </x:c>
      <x:c r="L1955" t="str">
        <x:v>2026-09-08</x:v>
      </x:c>
      <x:c r="M1955" t="str"/>
      <x:c r="N1955" t="str"/>
      <x:c r="O1955" t="str">
        <x:v>https://www.activesportstrade.co.uk/Protein-Blends-Trade</x:v>
      </x:c>
      <x:c r="P1955" t="str"/>
      <x:c r="Q1955" t="str"/>
      <x:c r="R1955" t="str"/>
      <x:c r="S1955" t="str">
        <x:v>Pending genuine supplier/brand image</x:v>
      </x:c>
      <x:c r="T1955" s="54" t="n">
        <x:v>29.49</x:v>
      </x:c>
      <x:c r="U1955" s="47" t="n">
        <x:v>0.2</x:v>
      </x:c>
      <x:c r="V1955" s="54" t="n">
        <x:f>IF(ISNUMBER(T1955),T1955*(1+U1955),"")</x:f>
        <x:v>35.388</x:v>
      </x:c>
      <x:c r="W1955" s="47" t="n">
        <x:v>0.3</x:v>
      </x:c>
      <x:c r="X1955" s="54" t="n">
        <x:f>IF(ISNUMBER(V1955),V1955/(1-W1955),"")</x:f>
        <x:v>50.55428571428571</x:v>
      </x:c>
      <x:c r="Y1955" s="55" t="n">
        <x:f>IF(ISNUMBER(X1955),ROUNDUP(X1955,0),"")</x:f>
        <x:v>51</x:v>
      </x:c>
      <x:c r="Z1955" t="str">
        <x:v>Source match pending</x:v>
      </x:c>
      <x:c r="AA1955" t="str">
        <x:v>screencapture-www-activesportstrade-co-uk-strom-sports-nutrition-trade-2026-09-10-09_08_39.pdf / page-4</x:v>
      </x:c>
      <x:c r="AB1955" s="36" t="n">
        <x:f>IF(ISNUMBER(Y1955),ROUND(Y1955*0.9,2),"")</x:f>
        <x:v>45.9</x:v>
      </x:c>
      <x:c r="AC1955" s="36" t="n">
        <x:f>IF(ISNUMBER(AB1955),ROUND(AB1955-(AB1955*0.015+0.2)-V1955,2),"")</x:f>
        <x:v>9.62</x:v>
      </x:c>
      <x:c r="AD1955" s="36" t="n">
        <x:f>IF(ISNUMBER(Y1955),ROUND(Y1955*0.8,2),"")</x:f>
        <x:v>40.8</x:v>
      </x:c>
      <x:c r="AE1955" s="36" t="n">
        <x:f>IF(ISNUMBER(AD1955),ROUND(AD1955*0.015+0.2,2),"")</x:f>
        <x:v>0.81</x:v>
      </x:c>
      <x:c r="AF1955" s="36" t="n">
        <x:f>IF(ISNUMBER(AD1955),ROUND(AD1955-AE1955-V1955,2),"")</x:f>
        <x:v>4.6</x:v>
      </x:c>
      <x:c r="AG1955" t="str">
        <x:f>IF(NOT(ISNUMBER(T1955)),"PENDING",IF(AF1955&gt;0,"PASS","FAIL"))</x:f>
        <x:v>PASS</x:v>
      </x:c>
      <x:c r="AH1955" t="str">
        <x:f>IF(NOT(ISNUMBER(T1955)),"Needs supplier cost",IF(K1955&lt;&gt;"In stock","Supplier unavailable",IF(AG1955&lt;&gt;"PASS","BLOCK - GT loss risk","Commercially protected")))</x:f>
        <x:v>Commercially protected</x:v>
      </x:c>
      <x:c r="AI1955" t="str">
        <x:v>2026-09-10 Active Sports trade capture</x:v>
      </x:c>
      <x:c r="AJ1955" t="str">
        <x:v>Management-only economics. Stripe stress test uses 1.5% + £0.20 standard UK online-card fee; pallet/mix-and-match pricing ignored.</x:v>
      </x:c>
    </x:row>
    <x:row r="1956">
      <x:c r="A1956" t="str">
        <x:v>Active Sports Nutrition</x:v>
      </x:c>
      <x:c r="B1956" t="str">
        <x:v>Supplement Needs</x:v>
      </x:c>
      <x:c r="C1956" t="str">
        <x:v>Electrolyte +</x:v>
      </x:c>
      <x:c r="D1956" t="str">
        <x:v>Supplements</x:v>
      </x:c>
      <x:c r="E1956" t="str">
        <x:v>Hydration</x:v>
      </x:c>
      <x:c r="F1956" t="str"/>
      <x:c r="G1956" t="str">
        <x:v>30 servings</x:v>
      </x:c>
      <x:c r="H1956" t="str">
        <x:v>Blackcurrant Burst</x:v>
      </x:c>
      <x:c r="I1956" t="str"/>
      <x:c r="J1956" t="str">
        <x:v>Unit</x:v>
      </x:c>
      <x:c r="K1956" t="str">
        <x:v>Out of stock</x:v>
      </x:c>
      <x:c r="L1956" t="str">
        <x:v>2026-09-08</x:v>
      </x:c>
      <x:c r="M1956" t="str"/>
      <x:c r="N1956" t="str"/>
      <x:c r="O1956" t="str">
        <x:v>https://www.activesportstrade.co.uk/hydration-supplements-trade</x:v>
      </x:c>
      <x:c r="P1956" t="str">
        <x:v>Fresh hydration page supersedes older stock crawl.</x:v>
      </x:c>
      <x:c r="Q1956" t="str"/>
      <x:c r="R1956" t="str"/>
      <x:c r="S1956" t="str">
        <x:v>Pending genuine supplier/brand image</x:v>
      </x:c>
      <x:c r="T1956" s="54" t="n">
        <x:v>12</x:v>
      </x:c>
      <x:c r="U1956" s="47" t="n">
        <x:v>0.2</x:v>
      </x:c>
      <x:c r="V1956" s="54" t="n">
        <x:f>IF(ISNUMBER(T1956),T1956*(1+U1956),"")</x:f>
        <x:v>14.399999999999999</x:v>
      </x:c>
      <x:c r="W1956" s="47" t="n">
        <x:v>0.3</x:v>
      </x:c>
      <x:c r="X1956" s="54" t="n">
        <x:f>IF(ISNUMBER(V1956),V1956/(1-W1956),"")</x:f>
        <x:v>20.57142857142857</x:v>
      </x:c>
      <x:c r="Y1956" s="55" t="n">
        <x:f>IF(ISNUMBER(X1956),ROUNDUP(X1956,0),"")</x:f>
        <x:v>21</x:v>
      </x:c>
      <x:c r="Z1956" t="str">
        <x:v>Source match pending</x:v>
      </x:c>
      <x:c r="AA1956" t="str">
        <x:v>screencapture-www-activesportstrade-co-uk-supplement-needs-trade-2026-09-10-09_10_12.pdf / page-2</x:v>
      </x:c>
      <x:c r="AB1956" s="36" t="n">
        <x:f>IF(ISNUMBER(Y1956),ROUND(Y1956*0.9,2),"")</x:f>
        <x:v>18.9</x:v>
      </x:c>
      <x:c r="AC1956" s="36" t="n">
        <x:f>IF(ISNUMBER(AB1956),ROUND(AB1956-(AB1956*0.015+0.2)-V1956,2),"")</x:f>
        <x:v>4.02</x:v>
      </x:c>
      <x:c r="AD1956" s="36" t="n">
        <x:f>IF(ISNUMBER(Y1956),ROUND(Y1956*0.8,2),"")</x:f>
        <x:v>16.8</x:v>
      </x:c>
      <x:c r="AE1956" s="36" t="n">
        <x:f>IF(ISNUMBER(AD1956),ROUND(AD1956*0.015+0.2,2),"")</x:f>
        <x:v>0.45</x:v>
      </x:c>
      <x:c r="AF1956" s="36" t="n">
        <x:f>IF(ISNUMBER(AD1956),ROUND(AD1956-AE1956-V1956,2),"")</x:f>
        <x:v>1.95</x:v>
      </x:c>
      <x:c r="AG1956" t="str">
        <x:f>IF(NOT(ISNUMBER(T1956)),"PENDING",IF(AF1956&gt;0,"PASS","FAIL"))</x:f>
        <x:v>PASS</x:v>
      </x:c>
      <x:c r="AH1956" t="str">
        <x:f>IF(NOT(ISNUMBER(T1956)),"Needs supplier cost",IF(K1956&lt;&gt;"In stock","Supplier unavailable",IF(AG1956&lt;&gt;"PASS","BLOCK - GT loss risk","Commercially protected")))</x:f>
        <x:v>Supplier unavailable</x:v>
      </x:c>
      <x:c r="AI1956" t="str">
        <x:v>2026-09-10 Active Sports trade capture</x:v>
      </x:c>
      <x:c r="AJ1956" t="str">
        <x:v>Management-only economics. Stripe stress test uses 1.5% + £0.20 standard UK online-card fee; pallet/mix-and-match pricing ignored.</x:v>
      </x:c>
    </x:row>
    <x:row r="1957">
      <x:c r="A1957" t="str">
        <x:v>Active Sports Nutrition</x:v>
      </x:c>
      <x:c r="B1957" t="str">
        <x:v>Supplement Needs</x:v>
      </x:c>
      <x:c r="C1957" t="str">
        <x:v>Electrolyte +</x:v>
      </x:c>
      <x:c r="D1957" t="str">
        <x:v>Supplements</x:v>
      </x:c>
      <x:c r="E1957" t="str">
        <x:v>Hydration</x:v>
      </x:c>
      <x:c r="F1957" t="str"/>
      <x:c r="G1957" t="str">
        <x:v>30 servings</x:v>
      </x:c>
      <x:c r="H1957" t="str">
        <x:v>Citrus Twist</x:v>
      </x:c>
      <x:c r="I1957" t="str"/>
      <x:c r="J1957" t="str">
        <x:v>Unit</x:v>
      </x:c>
      <x:c r="K1957" t="str">
        <x:v>In stock</x:v>
      </x:c>
      <x:c r="L1957" t="str">
        <x:v>2026-09-08</x:v>
      </x:c>
      <x:c r="M1957" t="str"/>
      <x:c r="N1957" t="str"/>
      <x:c r="O1957" t="str">
        <x:v>https://www.activesportstrade.co.uk/hydration-supplements-trade</x:v>
      </x:c>
      <x:c r="P1957" t="str">
        <x:v>Fresh hydration page used; older norec crawl showed Blackcurrant Burst in stock.</x:v>
      </x:c>
      <x:c r="Q1957" t="str"/>
      <x:c r="R1957" t="str"/>
      <x:c r="S1957" t="str">
        <x:v>Pending genuine supplier/brand image</x:v>
      </x:c>
      <x:c r="T1957" s="54" t="n">
        <x:v>12</x:v>
      </x:c>
      <x:c r="U1957" s="47" t="n">
        <x:v>0.2</x:v>
      </x:c>
      <x:c r="V1957" s="54" t="n">
        <x:f>IF(ISNUMBER(T1957),T1957*(1+U1957),"")</x:f>
        <x:v>14.399999999999999</x:v>
      </x:c>
      <x:c r="W1957" s="47" t="n">
        <x:v>0.3</x:v>
      </x:c>
      <x:c r="X1957" s="54" t="n">
        <x:f>IF(ISNUMBER(V1957),V1957/(1-W1957),"")</x:f>
        <x:v>20.57142857142857</x:v>
      </x:c>
      <x:c r="Y1957" s="55" t="n">
        <x:f>IF(ISNUMBER(X1957),ROUNDUP(X1957,0),"")</x:f>
        <x:v>21</x:v>
      </x:c>
      <x:c r="Z1957" t="str">
        <x:v>Source match pending</x:v>
      </x:c>
      <x:c r="AA1957" t="str">
        <x:v>screencapture-www-activesportstrade-co-uk-supplement-needs-trade-2026-09-10-09_10_12.pdf / page-2</x:v>
      </x:c>
      <x:c r="AB1957" s="36" t="n">
        <x:f>IF(ISNUMBER(Y1957),ROUND(Y1957*0.9,2),"")</x:f>
        <x:v>18.9</x:v>
      </x:c>
      <x:c r="AC1957" s="36" t="n">
        <x:f>IF(ISNUMBER(AB1957),ROUND(AB1957-(AB1957*0.015+0.2)-V1957,2),"")</x:f>
        <x:v>4.02</x:v>
      </x:c>
      <x:c r="AD1957" s="36" t="n">
        <x:f>IF(ISNUMBER(Y1957),ROUND(Y1957*0.8,2),"")</x:f>
        <x:v>16.8</x:v>
      </x:c>
      <x:c r="AE1957" s="36" t="n">
        <x:f>IF(ISNUMBER(AD1957),ROUND(AD1957*0.015+0.2,2),"")</x:f>
        <x:v>0.45</x:v>
      </x:c>
      <x:c r="AF1957" s="36" t="n">
        <x:f>IF(ISNUMBER(AD1957),ROUND(AD1957-AE1957-V1957,2),"")</x:f>
        <x:v>1.95</x:v>
      </x:c>
      <x:c r="AG1957" t="str">
        <x:f>IF(NOT(ISNUMBER(T1957)),"PENDING",IF(AF1957&gt;0,"PASS","FAIL"))</x:f>
        <x:v>PASS</x:v>
      </x:c>
      <x:c r="AH1957" t="str">
        <x:f>IF(NOT(ISNUMBER(T1957)),"Needs supplier cost",IF(K1957&lt;&gt;"In stock","Supplier unavailable",IF(AG1957&lt;&gt;"PASS","BLOCK - GT loss risk","Commercially protected")))</x:f>
        <x:v>Commercially protected</x:v>
      </x:c>
      <x:c r="AI1957" t="str">
        <x:v>2026-09-10 Active Sports trade capture</x:v>
      </x:c>
      <x:c r="AJ1957" t="str">
        <x:v>Management-only economics. Stripe stress test uses 1.5% + £0.20 standard UK online-card fee; pallet/mix-and-match pricing ignored.</x:v>
      </x:c>
    </x:row>
    <x:row r="1958">
      <x:c r="A1958" t="str">
        <x:v>Active Sports Nutrition</x:v>
      </x:c>
      <x:c r="B1958" t="str">
        <x:v>Supplement Needs</x:v>
      </x:c>
      <x:c r="C1958" t="str">
        <x:v>Electrolyte +</x:v>
      </x:c>
      <x:c r="D1958" t="str">
        <x:v>Supplements</x:v>
      </x:c>
      <x:c r="E1958" t="str">
        <x:v>Hydration</x:v>
      </x:c>
      <x:c r="F1958" t="str"/>
      <x:c r="G1958" t="str">
        <x:v>30 servings</x:v>
      </x:c>
      <x:c r="H1958" t="str">
        <x:v>Cola</x:v>
      </x:c>
      <x:c r="I1958" t="str"/>
      <x:c r="J1958" t="str">
        <x:v>Unit</x:v>
      </x:c>
      <x:c r="K1958" t="str">
        <x:v>In stock</x:v>
      </x:c>
      <x:c r="L1958" t="str">
        <x:v>2026-09-08</x:v>
      </x:c>
      <x:c r="M1958" t="str"/>
      <x:c r="N1958" t="str"/>
      <x:c r="O1958" t="str">
        <x:v>https://www.activesportstrade.co.uk/hydration-supplements-trade</x:v>
      </x:c>
      <x:c r="P1958" t="str">
        <x:v>Fresh hydration page used; older norec crawl showed Blackcurrant Burst in stock.</x:v>
      </x:c>
      <x:c r="Q1958" t="str"/>
      <x:c r="R1958" t="str"/>
      <x:c r="S1958" t="str">
        <x:v>Pending genuine supplier/brand image</x:v>
      </x:c>
      <x:c r="T1958" s="54" t="n">
        <x:v>12</x:v>
      </x:c>
      <x:c r="U1958" s="47" t="n">
        <x:v>0.2</x:v>
      </x:c>
      <x:c r="V1958" s="54" t="n">
        <x:f>IF(ISNUMBER(T1958),T1958*(1+U1958),"")</x:f>
        <x:v>14.399999999999999</x:v>
      </x:c>
      <x:c r="W1958" s="47" t="n">
        <x:v>0.3</x:v>
      </x:c>
      <x:c r="X1958" s="54" t="n">
        <x:f>IF(ISNUMBER(V1958),V1958/(1-W1958),"")</x:f>
        <x:v>20.57142857142857</x:v>
      </x:c>
      <x:c r="Y1958" s="55" t="n">
        <x:f>IF(ISNUMBER(X1958),ROUNDUP(X1958,0),"")</x:f>
        <x:v>21</x:v>
      </x:c>
      <x:c r="Z1958" t="str">
        <x:v>Source match pending</x:v>
      </x:c>
      <x:c r="AA1958" t="str">
        <x:v>screencapture-www-activesportstrade-co-uk-supplement-needs-trade-2026-09-10-09_10_12.pdf / page-2</x:v>
      </x:c>
      <x:c r="AB1958" s="36" t="n">
        <x:f>IF(ISNUMBER(Y1958),ROUND(Y1958*0.9,2),"")</x:f>
        <x:v>18.9</x:v>
      </x:c>
      <x:c r="AC1958" s="36" t="n">
        <x:f>IF(ISNUMBER(AB1958),ROUND(AB1958-(AB1958*0.015+0.2)-V1958,2),"")</x:f>
        <x:v>4.02</x:v>
      </x:c>
      <x:c r="AD1958" s="36" t="n">
        <x:f>IF(ISNUMBER(Y1958),ROUND(Y1958*0.8,2),"")</x:f>
        <x:v>16.8</x:v>
      </x:c>
      <x:c r="AE1958" s="36" t="n">
        <x:f>IF(ISNUMBER(AD1958),ROUND(AD1958*0.015+0.2,2),"")</x:f>
        <x:v>0.45</x:v>
      </x:c>
      <x:c r="AF1958" s="36" t="n">
        <x:f>IF(ISNUMBER(AD1958),ROUND(AD1958-AE1958-V1958,2),"")</x:f>
        <x:v>1.95</x:v>
      </x:c>
      <x:c r="AG1958" t="str">
        <x:f>IF(NOT(ISNUMBER(T1958)),"PENDING",IF(AF1958&gt;0,"PASS","FAIL"))</x:f>
        <x:v>PASS</x:v>
      </x:c>
      <x:c r="AH1958" t="str">
        <x:f>IF(NOT(ISNUMBER(T1958)),"Needs supplier cost",IF(K1958&lt;&gt;"In stock","Supplier unavailable",IF(AG1958&lt;&gt;"PASS","BLOCK - GT loss risk","Commercially protected")))</x:f>
        <x:v>Commercially protected</x:v>
      </x:c>
      <x:c r="AI1958" t="str">
        <x:v>2026-09-10 Active Sports trade capture</x:v>
      </x:c>
      <x:c r="AJ1958" t="str">
        <x:v>Management-only economics. Stripe stress test uses 1.5% + £0.20 standard UK online-card fee; pallet/mix-and-match pricing ignored.</x:v>
      </x:c>
    </x:row>
    <x:row r="1959">
      <x:c r="A1959" t="str">
        <x:v>Active Sports Nutrition</x:v>
      </x:c>
      <x:c r="B1959" t="str">
        <x:v>Supplement Needs</x:v>
      </x:c>
      <x:c r="C1959" t="str">
        <x:v>Electrolyte +</x:v>
      </x:c>
      <x:c r="D1959" t="str">
        <x:v>Supplements</x:v>
      </x:c>
      <x:c r="E1959" t="str">
        <x:v>Hydration</x:v>
      </x:c>
      <x:c r="F1959" t="str"/>
      <x:c r="G1959" t="str">
        <x:v>30 servings</x:v>
      </x:c>
      <x:c r="H1959" t="str">
        <x:v>Pineapple</x:v>
      </x:c>
      <x:c r="I1959" t="str"/>
      <x:c r="J1959" t="str">
        <x:v>Unit</x:v>
      </x:c>
      <x:c r="K1959" t="str">
        <x:v>In stock</x:v>
      </x:c>
      <x:c r="L1959" t="str">
        <x:v>2026-09-08</x:v>
      </x:c>
      <x:c r="M1959" t="str"/>
      <x:c r="N1959" t="str"/>
      <x:c r="O1959" t="str">
        <x:v>https://www.activesportstrade.co.uk/hydration-supplements-trade</x:v>
      </x:c>
      <x:c r="P1959" t="str">
        <x:v>Fresh hydration page used; older norec crawl showed Blackcurrant Burst in stock.</x:v>
      </x:c>
      <x:c r="Q1959" t="str"/>
      <x:c r="R1959" t="str"/>
      <x:c r="S1959" t="str">
        <x:v>Pending genuine supplier/brand image</x:v>
      </x:c>
      <x:c r="T1959" s="54" t="n">
        <x:v>12</x:v>
      </x:c>
      <x:c r="U1959" s="47" t="n">
        <x:v>0.2</x:v>
      </x:c>
      <x:c r="V1959" s="54" t="n">
        <x:f>IF(ISNUMBER(T1959),T1959*(1+U1959),"")</x:f>
        <x:v>14.399999999999999</x:v>
      </x:c>
      <x:c r="W1959" s="47" t="n">
        <x:v>0.3</x:v>
      </x:c>
      <x:c r="X1959" s="54" t="n">
        <x:f>IF(ISNUMBER(V1959),V1959/(1-W1959),"")</x:f>
        <x:v>20.57142857142857</x:v>
      </x:c>
      <x:c r="Y1959" s="55" t="n">
        <x:f>IF(ISNUMBER(X1959),ROUNDUP(X1959,0),"")</x:f>
        <x:v>21</x:v>
      </x:c>
      <x:c r="Z1959" t="str">
        <x:v>Source match pending</x:v>
      </x:c>
      <x:c r="AA1959" t="str">
        <x:v>screencapture-www-activesportstrade-co-uk-supplement-needs-trade-2026-09-10-09_10_12.pdf / page-2</x:v>
      </x:c>
      <x:c r="AB1959" s="36" t="n">
        <x:f>IF(ISNUMBER(Y1959),ROUND(Y1959*0.9,2),"")</x:f>
        <x:v>18.9</x:v>
      </x:c>
      <x:c r="AC1959" s="36" t="n">
        <x:f>IF(ISNUMBER(AB1959),ROUND(AB1959-(AB1959*0.015+0.2)-V1959,2),"")</x:f>
        <x:v>4.02</x:v>
      </x:c>
      <x:c r="AD1959" s="36" t="n">
        <x:f>IF(ISNUMBER(Y1959),ROUND(Y1959*0.8,2),"")</x:f>
        <x:v>16.8</x:v>
      </x:c>
      <x:c r="AE1959" s="36" t="n">
        <x:f>IF(ISNUMBER(AD1959),ROUND(AD1959*0.015+0.2,2),"")</x:f>
        <x:v>0.45</x:v>
      </x:c>
      <x:c r="AF1959" s="36" t="n">
        <x:f>IF(ISNUMBER(AD1959),ROUND(AD1959-AE1959-V1959,2),"")</x:f>
        <x:v>1.95</x:v>
      </x:c>
      <x:c r="AG1959" t="str">
        <x:f>IF(NOT(ISNUMBER(T1959)),"PENDING",IF(AF1959&gt;0,"PASS","FAIL"))</x:f>
        <x:v>PASS</x:v>
      </x:c>
      <x:c r="AH1959" t="str">
        <x:f>IF(NOT(ISNUMBER(T1959)),"Needs supplier cost",IF(K1959&lt;&gt;"In stock","Supplier unavailable",IF(AG1959&lt;&gt;"PASS","BLOCK - GT loss risk","Commercially protected")))</x:f>
        <x:v>Commercially protected</x:v>
      </x:c>
      <x:c r="AI1959" t="str">
        <x:v>2026-09-10 Active Sports trade capture</x:v>
      </x:c>
      <x:c r="AJ1959" t="str">
        <x:v>Management-only economics. Stripe stress test uses 1.5% + £0.20 standard UK online-card fee; pallet/mix-and-match pricing ignored.</x:v>
      </x:c>
    </x:row>
    <x:row r="1960">
      <x:c r="A1960" t="str">
        <x:v>Active Sports Nutrition</x:v>
      </x:c>
      <x:c r="B1960" t="str">
        <x:v>Supplement Needs</x:v>
      </x:c>
      <x:c r="C1960" t="str">
        <x:v>Intra EAA +</x:v>
      </x:c>
      <x:c r="D1960" t="str">
        <x:v>Supplements</x:v>
      </x:c>
      <x:c r="E1960" t="str">
        <x:v>Amino Acids</x:v>
      </x:c>
      <x:c r="F1960" t="str"/>
      <x:c r="G1960" t="str">
        <x:v>30 servings</x:v>
      </x:c>
      <x:c r="H1960" t="str">
        <x:v>Fruit Splash</x:v>
      </x:c>
      <x:c r="I1960" t="str"/>
      <x:c r="J1960" t="str">
        <x:v>Unit</x:v>
      </x:c>
      <x:c r="K1960" t="str">
        <x:v>In stock</x:v>
      </x:c>
      <x:c r="L1960" t="str">
        <x:v>2026-09-08</x:v>
      </x:c>
      <x:c r="M1960" t="str"/>
      <x:c r="N1960" t="str"/>
      <x:c r="O1960" t="str">
        <x:v>https://www.activesportstrade.co.uk/BCAAS</x:v>
      </x:c>
      <x:c r="P1960" t="str"/>
      <x:c r="Q1960" t="str"/>
      <x:c r="R1960" t="str"/>
      <x:c r="S1960" t="str">
        <x:v>Pending genuine supplier/brand image</x:v>
      </x:c>
      <x:c r="T1960" s="54" t="n">
        <x:v>26</x:v>
      </x:c>
      <x:c r="U1960" s="47" t="n">
        <x:v>0.2</x:v>
      </x:c>
      <x:c r="V1960" s="54" t="n">
        <x:f>IF(ISNUMBER(T1960),T1960*(1+U1960),"")</x:f>
        <x:v>31.2</x:v>
      </x:c>
      <x:c r="W1960" s="47" t="n">
        <x:v>0.3</x:v>
      </x:c>
      <x:c r="X1960" s="54" t="n">
        <x:f>IF(ISNUMBER(V1960),V1960/(1-W1960),"")</x:f>
        <x:v>44.57142857142858</x:v>
      </x:c>
      <x:c r="Y1960" s="55" t="n">
        <x:f>IF(ISNUMBER(X1960),ROUNDUP(X1960,0),"")</x:f>
        <x:v>45</x:v>
      </x:c>
      <x:c r="Z1960" t="str">
        <x:v>Source match pending</x:v>
      </x:c>
      <x:c r="AA1960" t="str">
        <x:v>screencapture-www-activesportstrade-co-uk-supplement-needs-trade-2026-09-10-09_10_12.pdf / page-3</x:v>
      </x:c>
      <x:c r="AB1960" s="36" t="n">
        <x:f>IF(ISNUMBER(Y1960),ROUND(Y1960*0.9,2),"")</x:f>
        <x:v>40.5</x:v>
      </x:c>
      <x:c r="AC1960" s="36" t="n">
        <x:f>IF(ISNUMBER(AB1960),ROUND(AB1960-(AB1960*0.015+0.2)-V1960,2),"")</x:f>
        <x:v>8.49</x:v>
      </x:c>
      <x:c r="AD1960" s="36" t="n">
        <x:f>IF(ISNUMBER(Y1960),ROUND(Y1960*0.8,2),"")</x:f>
        <x:v>36</x:v>
      </x:c>
      <x:c r="AE1960" s="36" t="n">
        <x:f>IF(ISNUMBER(AD1960),ROUND(AD1960*0.015+0.2,2),"")</x:f>
        <x:v>0.74</x:v>
      </x:c>
      <x:c r="AF1960" s="36" t="n">
        <x:f>IF(ISNUMBER(AD1960),ROUND(AD1960-AE1960-V1960,2),"")</x:f>
        <x:v>4.06</x:v>
      </x:c>
      <x:c r="AG1960" t="str">
        <x:f>IF(NOT(ISNUMBER(T1960)),"PENDING",IF(AF1960&gt;0,"PASS","FAIL"))</x:f>
        <x:v>PASS</x:v>
      </x:c>
      <x:c r="AH1960" t="str">
        <x:f>IF(NOT(ISNUMBER(T1960)),"Needs supplier cost",IF(K1960&lt;&gt;"In stock","Supplier unavailable",IF(AG1960&lt;&gt;"PASS","BLOCK - GT loss risk","Commercially protected")))</x:f>
        <x:v>Commercially protected</x:v>
      </x:c>
      <x:c r="AI1960" t="str">
        <x:v>2026-09-10 Active Sports trade capture</x:v>
      </x:c>
      <x:c r="AJ1960" t="str">
        <x:v>Management-only economics. Stripe stress test uses 1.5% + £0.20 standard UK online-card fee; pallet/mix-and-match pricing ignored.</x:v>
      </x:c>
    </x:row>
    <x:row r="1961">
      <x:c r="A1961" t="str">
        <x:v>Active Sports Nutrition</x:v>
      </x:c>
      <x:c r="B1961" t="str">
        <x:v>Supplement Needs</x:v>
      </x:c>
      <x:c r="C1961" t="str">
        <x:v>Intra EAA +</x:v>
      </x:c>
      <x:c r="D1961" t="str">
        <x:v>Supplements</x:v>
      </x:c>
      <x:c r="E1961" t="str">
        <x:v>Amino Acids</x:v>
      </x:c>
      <x:c r="F1961" t="str"/>
      <x:c r="G1961" t="str">
        <x:v>30 servings</x:v>
      </x:c>
      <x:c r="H1961" t="str">
        <x:v>Peach Ice Tea</x:v>
      </x:c>
      <x:c r="I1961" t="str"/>
      <x:c r="J1961" t="str">
        <x:v>Unit</x:v>
      </x:c>
      <x:c r="K1961" t="str">
        <x:v>Out of stock</x:v>
      </x:c>
      <x:c r="L1961" t="str">
        <x:v>2026-09-08</x:v>
      </x:c>
      <x:c r="M1961" t="str"/>
      <x:c r="N1961" t="str"/>
      <x:c r="O1961" t="str">
        <x:v>https://www.activesportstrade.co.uk/BCAAS</x:v>
      </x:c>
      <x:c r="P1961" t="str"/>
      <x:c r="Q1961" t="str"/>
      <x:c r="R1961" t="str"/>
      <x:c r="S1961" t="str">
        <x:v>Pending genuine supplier/brand image</x:v>
      </x:c>
      <x:c r="T1961" s="54" t="n">
        <x:v>26</x:v>
      </x:c>
      <x:c r="U1961" s="47" t="n">
        <x:v>0.2</x:v>
      </x:c>
      <x:c r="V1961" s="54" t="n">
        <x:f>IF(ISNUMBER(T1961),T1961*(1+U1961),"")</x:f>
        <x:v>31.2</x:v>
      </x:c>
      <x:c r="W1961" s="47" t="n">
        <x:v>0.3</x:v>
      </x:c>
      <x:c r="X1961" s="54" t="n">
        <x:f>IF(ISNUMBER(V1961),V1961/(1-W1961),"")</x:f>
        <x:v>44.57142857142858</x:v>
      </x:c>
      <x:c r="Y1961" s="55" t="n">
        <x:f>IF(ISNUMBER(X1961),ROUNDUP(X1961,0),"")</x:f>
        <x:v>45</x:v>
      </x:c>
      <x:c r="Z1961" t="str">
        <x:v>Source match pending</x:v>
      </x:c>
      <x:c r="AA1961" t="str">
        <x:v>screencapture-www-activesportstrade-co-uk-supplement-needs-trade-2026-09-10-09_10_12.pdf / page-3</x:v>
      </x:c>
      <x:c r="AB1961" s="36" t="n">
        <x:f>IF(ISNUMBER(Y1961),ROUND(Y1961*0.9,2),"")</x:f>
        <x:v>40.5</x:v>
      </x:c>
      <x:c r="AC1961" s="36" t="n">
        <x:f>IF(ISNUMBER(AB1961),ROUND(AB1961-(AB1961*0.015+0.2)-V1961,2),"")</x:f>
        <x:v>8.49</x:v>
      </x:c>
      <x:c r="AD1961" s="36" t="n">
        <x:f>IF(ISNUMBER(Y1961),ROUND(Y1961*0.8,2),"")</x:f>
        <x:v>36</x:v>
      </x:c>
      <x:c r="AE1961" s="36" t="n">
        <x:f>IF(ISNUMBER(AD1961),ROUND(AD1961*0.015+0.2,2),"")</x:f>
        <x:v>0.74</x:v>
      </x:c>
      <x:c r="AF1961" s="36" t="n">
        <x:f>IF(ISNUMBER(AD1961),ROUND(AD1961-AE1961-V1961,2),"")</x:f>
        <x:v>4.06</x:v>
      </x:c>
      <x:c r="AG1961" t="str">
        <x:f>IF(NOT(ISNUMBER(T1961)),"PENDING",IF(AF1961&gt;0,"PASS","FAIL"))</x:f>
        <x:v>PASS</x:v>
      </x:c>
      <x:c r="AH1961" t="str">
        <x:f>IF(NOT(ISNUMBER(T1961)),"Needs supplier cost",IF(K1961&lt;&gt;"In stock","Supplier unavailable",IF(AG1961&lt;&gt;"PASS","BLOCK - GT loss risk","Commercially protected")))</x:f>
        <x:v>Supplier unavailable</x:v>
      </x:c>
      <x:c r="AI1961" t="str">
        <x:v>2026-09-10 Active Sports trade capture</x:v>
      </x:c>
      <x:c r="AJ1961" t="str">
        <x:v>Management-only economics. Stripe stress test uses 1.5% + £0.20 standard UK online-card fee; pallet/mix-and-match pricing ignored.</x:v>
      </x:c>
    </x:row>
    <x:row r="1962">
      <x:c r="A1962" t="str">
        <x:v>Active Sports Nutrition</x:v>
      </x:c>
      <x:c r="B1962" t="str">
        <x:v>Supplement Needs</x:v>
      </x:c>
      <x:c r="C1962" t="str">
        <x:v>Intra EAA +</x:v>
      </x:c>
      <x:c r="D1962" t="str">
        <x:v>Supplements</x:v>
      </x:c>
      <x:c r="E1962" t="str">
        <x:v>Amino Acids</x:v>
      </x:c>
      <x:c r="F1962" t="str"/>
      <x:c r="G1962" t="str">
        <x:v>30 servings</x:v>
      </x:c>
      <x:c r="H1962" t="str">
        <x:v>Pick N Mix</x:v>
      </x:c>
      <x:c r="I1962" t="str"/>
      <x:c r="J1962" t="str">
        <x:v>Unit</x:v>
      </x:c>
      <x:c r="K1962" t="str">
        <x:v>In stock</x:v>
      </x:c>
      <x:c r="L1962" t="str">
        <x:v>2026-09-08</x:v>
      </x:c>
      <x:c r="M1962" t="str"/>
      <x:c r="N1962" t="str"/>
      <x:c r="O1962" t="str">
        <x:v>https://www.activesportstrade.co.uk/BCAAS</x:v>
      </x:c>
      <x:c r="P1962" t="str"/>
      <x:c r="Q1962" t="str"/>
      <x:c r="R1962" t="str"/>
      <x:c r="S1962" t="str">
        <x:v>Pending genuine supplier/brand image</x:v>
      </x:c>
      <x:c r="T1962" s="54" t="n">
        <x:v>26</x:v>
      </x:c>
      <x:c r="U1962" s="47" t="n">
        <x:v>0.2</x:v>
      </x:c>
      <x:c r="V1962" s="54" t="n">
        <x:f>IF(ISNUMBER(T1962),T1962*(1+U1962),"")</x:f>
        <x:v>31.2</x:v>
      </x:c>
      <x:c r="W1962" s="47" t="n">
        <x:v>0.3</x:v>
      </x:c>
      <x:c r="X1962" s="54" t="n">
        <x:f>IF(ISNUMBER(V1962),V1962/(1-W1962),"")</x:f>
        <x:v>44.57142857142858</x:v>
      </x:c>
      <x:c r="Y1962" s="55" t="n">
        <x:f>IF(ISNUMBER(X1962),ROUNDUP(X1962,0),"")</x:f>
        <x:v>45</x:v>
      </x:c>
      <x:c r="Z1962" t="str">
        <x:v>Source match pending</x:v>
      </x:c>
      <x:c r="AA1962" t="str">
        <x:v>screencapture-www-activesportstrade-co-uk-supplement-needs-trade-2026-09-10-09_10_12.pdf / page-3</x:v>
      </x:c>
      <x:c r="AB1962" s="36" t="n">
        <x:f>IF(ISNUMBER(Y1962),ROUND(Y1962*0.9,2),"")</x:f>
        <x:v>40.5</x:v>
      </x:c>
      <x:c r="AC1962" s="36" t="n">
        <x:f>IF(ISNUMBER(AB1962),ROUND(AB1962-(AB1962*0.015+0.2)-V1962,2),"")</x:f>
        <x:v>8.49</x:v>
      </x:c>
      <x:c r="AD1962" s="36" t="n">
        <x:f>IF(ISNUMBER(Y1962),ROUND(Y1962*0.8,2),"")</x:f>
        <x:v>36</x:v>
      </x:c>
      <x:c r="AE1962" s="36" t="n">
        <x:f>IF(ISNUMBER(AD1962),ROUND(AD1962*0.015+0.2,2),"")</x:f>
        <x:v>0.74</x:v>
      </x:c>
      <x:c r="AF1962" s="36" t="n">
        <x:f>IF(ISNUMBER(AD1962),ROUND(AD1962-AE1962-V1962,2),"")</x:f>
        <x:v>4.06</x:v>
      </x:c>
      <x:c r="AG1962" t="str">
        <x:f>IF(NOT(ISNUMBER(T1962)),"PENDING",IF(AF1962&gt;0,"PASS","FAIL"))</x:f>
        <x:v>PASS</x:v>
      </x:c>
      <x:c r="AH1962" t="str">
        <x:f>IF(NOT(ISNUMBER(T1962)),"Needs supplier cost",IF(K1962&lt;&gt;"In stock","Supplier unavailable",IF(AG1962&lt;&gt;"PASS","BLOCK - GT loss risk","Commercially protected")))</x:f>
        <x:v>Commercially protected</x:v>
      </x:c>
      <x:c r="AI1962" t="str">
        <x:v>2026-09-10 Active Sports trade capture</x:v>
      </x:c>
      <x:c r="AJ1962" t="str">
        <x:v>Management-only economics. Stripe stress test uses 1.5% + £0.20 standard UK online-card fee; pallet/mix-and-match pricing ignored.</x:v>
      </x:c>
    </x:row>
    <x:row r="1963">
      <x:c r="A1963" t="str">
        <x:v>Active Sports Nutrition</x:v>
      </x:c>
      <x:c r="B1963" t="str">
        <x:v>Supplement Needs</x:v>
      </x:c>
      <x:c r="C1963" t="str">
        <x:v>Intra EAA +</x:v>
      </x:c>
      <x:c r="D1963" t="str">
        <x:v>Supplements</x:v>
      </x:c>
      <x:c r="E1963" t="str">
        <x:v>Amino Acids</x:v>
      </x:c>
      <x:c r="F1963" t="str"/>
      <x:c r="G1963" t="str">
        <x:v>30 servings</x:v>
      </x:c>
      <x:c r="H1963" t="str">
        <x:v>Rainbow Gummy Bear</x:v>
      </x:c>
      <x:c r="I1963" t="str"/>
      <x:c r="J1963" t="str">
        <x:v>Unit</x:v>
      </x:c>
      <x:c r="K1963" t="str">
        <x:v>In stock</x:v>
      </x:c>
      <x:c r="L1963" t="str">
        <x:v>2026-09-08</x:v>
      </x:c>
      <x:c r="M1963" t="str"/>
      <x:c r="N1963" t="str"/>
      <x:c r="O1963" t="str">
        <x:v>https://www.activesportstrade.co.uk/BCAAS</x:v>
      </x:c>
      <x:c r="P1963" t="str"/>
      <x:c r="Q1963" t="str"/>
      <x:c r="R1963" t="str"/>
      <x:c r="S1963" t="str">
        <x:v>Pending genuine supplier/brand image</x:v>
      </x:c>
      <x:c r="T1963" s="54" t="n">
        <x:v>26</x:v>
      </x:c>
      <x:c r="U1963" s="47" t="n">
        <x:v>0.2</x:v>
      </x:c>
      <x:c r="V1963" s="54" t="n">
        <x:f>IF(ISNUMBER(T1963),T1963*(1+U1963),"")</x:f>
        <x:v>31.2</x:v>
      </x:c>
      <x:c r="W1963" s="47" t="n">
        <x:v>0.3</x:v>
      </x:c>
      <x:c r="X1963" s="54" t="n">
        <x:f>IF(ISNUMBER(V1963),V1963/(1-W1963),"")</x:f>
        <x:v>44.57142857142858</x:v>
      </x:c>
      <x:c r="Y1963" s="55" t="n">
        <x:f>IF(ISNUMBER(X1963),ROUNDUP(X1963,0),"")</x:f>
        <x:v>45</x:v>
      </x:c>
      <x:c r="Z1963" t="str">
        <x:v>Source match pending</x:v>
      </x:c>
      <x:c r="AA1963" t="str">
        <x:v>screencapture-www-activesportstrade-co-uk-supplement-needs-trade-2026-09-10-09_10_12.pdf / page-3</x:v>
      </x:c>
      <x:c r="AB1963" s="36" t="n">
        <x:f>IF(ISNUMBER(Y1963),ROUND(Y1963*0.9,2),"")</x:f>
        <x:v>40.5</x:v>
      </x:c>
      <x:c r="AC1963" s="36" t="n">
        <x:f>IF(ISNUMBER(AB1963),ROUND(AB1963-(AB1963*0.015+0.2)-V1963,2),"")</x:f>
        <x:v>8.49</x:v>
      </x:c>
      <x:c r="AD1963" s="36" t="n">
        <x:f>IF(ISNUMBER(Y1963),ROUND(Y1963*0.8,2),"")</x:f>
        <x:v>36</x:v>
      </x:c>
      <x:c r="AE1963" s="36" t="n">
        <x:f>IF(ISNUMBER(AD1963),ROUND(AD1963*0.015+0.2,2),"")</x:f>
        <x:v>0.74</x:v>
      </x:c>
      <x:c r="AF1963" s="36" t="n">
        <x:f>IF(ISNUMBER(AD1963),ROUND(AD1963-AE1963-V1963,2),"")</x:f>
        <x:v>4.06</x:v>
      </x:c>
      <x:c r="AG1963" t="str">
        <x:f>IF(NOT(ISNUMBER(T1963)),"PENDING",IF(AF1963&gt;0,"PASS","FAIL"))</x:f>
        <x:v>PASS</x:v>
      </x:c>
      <x:c r="AH1963" t="str">
        <x:f>IF(NOT(ISNUMBER(T1963)),"Needs supplier cost",IF(K1963&lt;&gt;"In stock","Supplier unavailable",IF(AG1963&lt;&gt;"PASS","BLOCK - GT loss risk","Commercially protected")))</x:f>
        <x:v>Commercially protected</x:v>
      </x:c>
      <x:c r="AI1963" t="str">
        <x:v>2026-09-10 Active Sports trade capture</x:v>
      </x:c>
      <x:c r="AJ1963" t="str">
        <x:v>Management-only economics. Stripe stress test uses 1.5% + £0.20 standard UK online-card fee; pallet/mix-and-match pricing ignored.</x:v>
      </x:c>
    </x:row>
    <x:row r="1964">
      <x:c r="A1964" t="str">
        <x:v>Active Sports Nutrition</x:v>
      </x:c>
      <x:c r="B1964" t="str">
        <x:v>Supplement Needs</x:v>
      </x:c>
      <x:c r="C1964" t="str">
        <x:v>Cream of Rice</x:v>
      </x:c>
      <x:c r="D1964" t="str">
        <x:v>Supplements</x:v>
      </x:c>
      <x:c r="E1964" t="str">
        <x:v>Carbohydrates</x:v>
      </x:c>
      <x:c r="F1964" t="str"/>
      <x:c r="G1964" t="str">
        <x:v>2kg</x:v>
      </x:c>
      <x:c r="H1964" t="str">
        <x:v>Birthday Cake</x:v>
      </x:c>
      <x:c r="I1964" t="str"/>
      <x:c r="J1964" t="str">
        <x:v>Unit</x:v>
      </x:c>
      <x:c r="K1964" t="str">
        <x:v>In stock</x:v>
      </x:c>
      <x:c r="L1964" t="str">
        <x:v>2026-09-08</x:v>
      </x:c>
      <x:c r="M1964" t="str"/>
      <x:c r="N1964" t="str"/>
      <x:c r="O1964" t="str">
        <x:v>https://www.activesportstrade.co.uk/Carb-Powders</x:v>
      </x:c>
      <x:c r="P1964" t="str"/>
      <x:c r="Q1964" t="str"/>
      <x:c r="R1964" t="str"/>
      <x:c r="S1964" t="str">
        <x:v>Pending genuine supplier/brand image</x:v>
      </x:c>
      <x:c r="T1964" s="54" t="n">
        <x:v>12</x:v>
      </x:c>
      <x:c r="U1964" s="47" t="n">
        <x:v>0.2</x:v>
      </x:c>
      <x:c r="V1964" s="54" t="n">
        <x:f>IF(ISNUMBER(T1964),T1964*(1+U1964),"")</x:f>
        <x:v>14.399999999999999</x:v>
      </x:c>
      <x:c r="W1964" s="47" t="n">
        <x:v>0.3</x:v>
      </x:c>
      <x:c r="X1964" s="54" t="n">
        <x:f>IF(ISNUMBER(V1964),V1964/(1-W1964),"")</x:f>
        <x:v>20.57142857142857</x:v>
      </x:c>
      <x:c r="Y1964" s="55" t="n">
        <x:f>IF(ISNUMBER(X1964),ROUNDUP(X1964,0),"")</x:f>
        <x:v>21</x:v>
      </x:c>
      <x:c r="Z1964" t="str">
        <x:v>Source match pending</x:v>
      </x:c>
      <x:c r="AA1964" t="str">
        <x:v>screencapture-www-activesportstrade-co-uk-supplement-needs-trade-2026-09-10-09_10_12.pdf / page-1</x:v>
      </x:c>
      <x:c r="AB1964" s="36" t="n">
        <x:f>IF(ISNUMBER(Y1964),ROUND(Y1964*0.9,2),"")</x:f>
        <x:v>18.9</x:v>
      </x:c>
      <x:c r="AC1964" s="36" t="n">
        <x:f>IF(ISNUMBER(AB1964),ROUND(AB1964-(AB1964*0.015+0.2)-V1964,2),"")</x:f>
        <x:v>4.02</x:v>
      </x:c>
      <x:c r="AD1964" s="36" t="n">
        <x:f>IF(ISNUMBER(Y1964),ROUND(Y1964*0.8,2),"")</x:f>
        <x:v>16.8</x:v>
      </x:c>
      <x:c r="AE1964" s="36" t="n">
        <x:f>IF(ISNUMBER(AD1964),ROUND(AD1964*0.015+0.2,2),"")</x:f>
        <x:v>0.45</x:v>
      </x:c>
      <x:c r="AF1964" s="36" t="n">
        <x:f>IF(ISNUMBER(AD1964),ROUND(AD1964-AE1964-V1964,2),"")</x:f>
        <x:v>1.95</x:v>
      </x:c>
      <x:c r="AG1964" t="str">
        <x:f>IF(NOT(ISNUMBER(T1964)),"PENDING",IF(AF1964&gt;0,"PASS","FAIL"))</x:f>
        <x:v>PASS</x:v>
      </x:c>
      <x:c r="AH1964" t="str">
        <x:f>IF(NOT(ISNUMBER(T1964)),"Needs supplier cost",IF(K1964&lt;&gt;"In stock","Supplier unavailable",IF(AG1964&lt;&gt;"PASS","BLOCK - GT loss risk","Commercially protected")))</x:f>
        <x:v>Commercially protected</x:v>
      </x:c>
      <x:c r="AI1964" t="str">
        <x:v>2026-09-10 Active Sports trade capture</x:v>
      </x:c>
      <x:c r="AJ1964" t="str">
        <x:v>Management-only economics. Stripe stress test uses 1.5% + £0.20 standard UK online-card fee; pallet/mix-and-match pricing ignored.</x:v>
      </x:c>
    </x:row>
    <x:row r="1965">
      <x:c r="A1965" t="str">
        <x:v>Active Sports Nutrition</x:v>
      </x:c>
      <x:c r="B1965" t="str">
        <x:v>Supplement Needs</x:v>
      </x:c>
      <x:c r="C1965" t="str">
        <x:v>Cream of Rice</x:v>
      </x:c>
      <x:c r="D1965" t="str">
        <x:v>Supplements</x:v>
      </x:c>
      <x:c r="E1965" t="str">
        <x:v>Carbohydrates</x:v>
      </x:c>
      <x:c r="F1965" t="str"/>
      <x:c r="G1965" t="str">
        <x:v>2kg</x:v>
      </x:c>
      <x:c r="H1965" t="str">
        <x:v>Cookie Dough</x:v>
      </x:c>
      <x:c r="I1965" t="str"/>
      <x:c r="J1965" t="str">
        <x:v>Unit</x:v>
      </x:c>
      <x:c r="K1965" t="str">
        <x:v>In stock</x:v>
      </x:c>
      <x:c r="L1965" t="str">
        <x:v>2026-09-08</x:v>
      </x:c>
      <x:c r="M1965" t="str"/>
      <x:c r="N1965" t="str"/>
      <x:c r="O1965" t="str">
        <x:v>https://www.activesportstrade.co.uk/Carb-Powders</x:v>
      </x:c>
      <x:c r="P1965" t="str"/>
      <x:c r="Q1965" t="str"/>
      <x:c r="R1965" t="str"/>
      <x:c r="S1965" t="str">
        <x:v>Pending genuine supplier/brand image</x:v>
      </x:c>
      <x:c r="T1965" s="54" t="n">
        <x:v>12</x:v>
      </x:c>
      <x:c r="U1965" s="47" t="n">
        <x:v>0.2</x:v>
      </x:c>
      <x:c r="V1965" s="54" t="n">
        <x:f>IF(ISNUMBER(T1965),T1965*(1+U1965),"")</x:f>
        <x:v>14.399999999999999</x:v>
      </x:c>
      <x:c r="W1965" s="47" t="n">
        <x:v>0.3</x:v>
      </x:c>
      <x:c r="X1965" s="54" t="n">
        <x:f>IF(ISNUMBER(V1965),V1965/(1-W1965),"")</x:f>
        <x:v>20.57142857142857</x:v>
      </x:c>
      <x:c r="Y1965" s="55" t="n">
        <x:f>IF(ISNUMBER(X1965),ROUNDUP(X1965,0),"")</x:f>
        <x:v>21</x:v>
      </x:c>
      <x:c r="Z1965" t="str">
        <x:v>Source match pending</x:v>
      </x:c>
      <x:c r="AA1965" t="str">
        <x:v>screencapture-www-activesportstrade-co-uk-supplement-needs-trade-2026-09-10-09_10_12.pdf / page-1</x:v>
      </x:c>
      <x:c r="AB1965" s="36" t="n">
        <x:f>IF(ISNUMBER(Y1965),ROUND(Y1965*0.9,2),"")</x:f>
        <x:v>18.9</x:v>
      </x:c>
      <x:c r="AC1965" s="36" t="n">
        <x:f>IF(ISNUMBER(AB1965),ROUND(AB1965-(AB1965*0.015+0.2)-V1965,2),"")</x:f>
        <x:v>4.02</x:v>
      </x:c>
      <x:c r="AD1965" s="36" t="n">
        <x:f>IF(ISNUMBER(Y1965),ROUND(Y1965*0.8,2),"")</x:f>
        <x:v>16.8</x:v>
      </x:c>
      <x:c r="AE1965" s="36" t="n">
        <x:f>IF(ISNUMBER(AD1965),ROUND(AD1965*0.015+0.2,2),"")</x:f>
        <x:v>0.45</x:v>
      </x:c>
      <x:c r="AF1965" s="36" t="n">
        <x:f>IF(ISNUMBER(AD1965),ROUND(AD1965-AE1965-V1965,2),"")</x:f>
        <x:v>1.95</x:v>
      </x:c>
      <x:c r="AG1965" t="str">
        <x:f>IF(NOT(ISNUMBER(T1965)),"PENDING",IF(AF1965&gt;0,"PASS","FAIL"))</x:f>
        <x:v>PASS</x:v>
      </x:c>
      <x:c r="AH1965" t="str">
        <x:f>IF(NOT(ISNUMBER(T1965)),"Needs supplier cost",IF(K1965&lt;&gt;"In stock","Supplier unavailable",IF(AG1965&lt;&gt;"PASS","BLOCK - GT loss risk","Commercially protected")))</x:f>
        <x:v>Commercially protected</x:v>
      </x:c>
      <x:c r="AI1965" t="str">
        <x:v>2026-09-10 Active Sports trade capture</x:v>
      </x:c>
      <x:c r="AJ1965" t="str">
        <x:v>Management-only economics. Stripe stress test uses 1.5% + £0.20 standard UK online-card fee; pallet/mix-and-match pricing ignored.</x:v>
      </x:c>
    </x:row>
    <x:row r="1966">
      <x:c r="A1966" t="str">
        <x:v>Active Sports Nutrition</x:v>
      </x:c>
      <x:c r="B1966" t="str">
        <x:v>Supplement Needs</x:v>
      </x:c>
      <x:c r="C1966" t="str">
        <x:v>Cream of Rice</x:v>
      </x:c>
      <x:c r="D1966" t="str">
        <x:v>Supplements</x:v>
      </x:c>
      <x:c r="E1966" t="str">
        <x:v>Carbohydrates</x:v>
      </x:c>
      <x:c r="F1966" t="str"/>
      <x:c r="G1966" t="str">
        <x:v>2kg</x:v>
      </x:c>
      <x:c r="H1966" t="str">
        <x:v>Salted Caramel</x:v>
      </x:c>
      <x:c r="I1966" t="str"/>
      <x:c r="J1966" t="str">
        <x:v>Unit</x:v>
      </x:c>
      <x:c r="K1966" t="str">
        <x:v>In stock</x:v>
      </x:c>
      <x:c r="L1966" t="str">
        <x:v>2026-09-08</x:v>
      </x:c>
      <x:c r="M1966" t="str"/>
      <x:c r="N1966" t="str"/>
      <x:c r="O1966" t="str">
        <x:v>https://www.activesportstrade.co.uk/Carb-Powders</x:v>
      </x:c>
      <x:c r="P1966" t="str"/>
      <x:c r="Q1966" t="str"/>
      <x:c r="R1966" t="str"/>
      <x:c r="S1966" t="str">
        <x:v>Pending genuine supplier/brand image</x:v>
      </x:c>
      <x:c r="T1966" s="54" t="n">
        <x:v>12</x:v>
      </x:c>
      <x:c r="U1966" s="47" t="n">
        <x:v>0.2</x:v>
      </x:c>
      <x:c r="V1966" s="54" t="n">
        <x:f>IF(ISNUMBER(T1966),T1966*(1+U1966),"")</x:f>
        <x:v>14.399999999999999</x:v>
      </x:c>
      <x:c r="W1966" s="47" t="n">
        <x:v>0.3</x:v>
      </x:c>
      <x:c r="X1966" s="54" t="n">
        <x:f>IF(ISNUMBER(V1966),V1966/(1-W1966),"")</x:f>
        <x:v>20.57142857142857</x:v>
      </x:c>
      <x:c r="Y1966" s="55" t="n">
        <x:f>IF(ISNUMBER(X1966),ROUNDUP(X1966,0),"")</x:f>
        <x:v>21</x:v>
      </x:c>
      <x:c r="Z1966" t="str">
        <x:v>Source match pending</x:v>
      </x:c>
      <x:c r="AA1966" t="str">
        <x:v>screencapture-www-activesportstrade-co-uk-supplement-needs-trade-2026-09-10-09_10_12.pdf / page-1</x:v>
      </x:c>
      <x:c r="AB1966" s="36" t="n">
        <x:f>IF(ISNUMBER(Y1966),ROUND(Y1966*0.9,2),"")</x:f>
        <x:v>18.9</x:v>
      </x:c>
      <x:c r="AC1966" s="36" t="n">
        <x:f>IF(ISNUMBER(AB1966),ROUND(AB1966-(AB1966*0.015+0.2)-V1966,2),"")</x:f>
        <x:v>4.02</x:v>
      </x:c>
      <x:c r="AD1966" s="36" t="n">
        <x:f>IF(ISNUMBER(Y1966),ROUND(Y1966*0.8,2),"")</x:f>
        <x:v>16.8</x:v>
      </x:c>
      <x:c r="AE1966" s="36" t="n">
        <x:f>IF(ISNUMBER(AD1966),ROUND(AD1966*0.015+0.2,2),"")</x:f>
        <x:v>0.45</x:v>
      </x:c>
      <x:c r="AF1966" s="36" t="n">
        <x:f>IF(ISNUMBER(AD1966),ROUND(AD1966-AE1966-V1966,2),"")</x:f>
        <x:v>1.95</x:v>
      </x:c>
      <x:c r="AG1966" t="str">
        <x:f>IF(NOT(ISNUMBER(T1966)),"PENDING",IF(AF1966&gt;0,"PASS","FAIL"))</x:f>
        <x:v>PASS</x:v>
      </x:c>
      <x:c r="AH1966" t="str">
        <x:f>IF(NOT(ISNUMBER(T1966)),"Needs supplier cost",IF(K1966&lt;&gt;"In stock","Supplier unavailable",IF(AG1966&lt;&gt;"PASS","BLOCK - GT loss risk","Commercially protected")))</x:f>
        <x:v>Commercially protected</x:v>
      </x:c>
      <x:c r="AI1966" t="str">
        <x:v>2026-09-10 Active Sports trade capture</x:v>
      </x:c>
      <x:c r="AJ1966" t="str">
        <x:v>Management-only economics. Stripe stress test uses 1.5% + £0.20 standard UK online-card fee; pallet/mix-and-match pricing ignored.</x:v>
      </x:c>
    </x:row>
    <x:row r="1967">
      <x:c r="A1967" t="str">
        <x:v>Active Sports Nutrition</x:v>
      </x:c>
      <x:c r="B1967" t="str">
        <x:v>Supplement Needs</x:v>
      </x:c>
      <x:c r="C1967" t="str">
        <x:v>Intra Carb</x:v>
      </x:c>
      <x:c r="D1967" t="str">
        <x:v>Supplements</x:v>
      </x:c>
      <x:c r="E1967" t="str">
        <x:v>Carbohydrates</x:v>
      </x:c>
      <x:c r="F1967" t="str"/>
      <x:c r="G1967" t="str">
        <x:v>924g / 30 servings</x:v>
      </x:c>
      <x:c r="H1967" t="str">
        <x:v>Unflavoured</x:v>
      </x:c>
      <x:c r="I1967" t="str"/>
      <x:c r="J1967" t="str">
        <x:v>Unit</x:v>
      </x:c>
      <x:c r="K1967" t="str">
        <x:v>In stock</x:v>
      </x:c>
      <x:c r="L1967" t="str">
        <x:v>2026-09-08</x:v>
      </x:c>
      <x:c r="M1967" t="str"/>
      <x:c r="N1967" t="str"/>
      <x:c r="O1967" t="str">
        <x:v>https://www.activesportstrade.co.uk/Carb-Powders</x:v>
      </x:c>
      <x:c r="P1967" t="str"/>
      <x:c r="Q1967" t="str"/>
      <x:c r="R1967" t="str"/>
      <x:c r="S1967" t="str">
        <x:v>Pending genuine supplier/brand image</x:v>
      </x:c>
      <x:c r="T1967" s="54"/>
      <x:c r="U1967" s="47" t="n">
        <x:v>0.2</x:v>
      </x:c>
      <x:c r="V1967" s="54" t="str">
        <x:f>IF(ISNUMBER(T1967),T1967*(1+U1967),"")</x:f>
      </x:c>
      <x:c r="W1967" s="47" t="n">
        <x:v>0.3</x:v>
      </x:c>
      <x:c r="X1967" s="54" t="str">
        <x:f>IF(ISNUMBER(V1967),V1967/(1-W1967),"")</x:f>
      </x:c>
      <x:c r="Y1967" s="55" t="str">
        <x:f>IF(ISNUMBER(X1967),ROUNDUP(X1967,0),"")</x:f>
      </x:c>
      <x:c r="Z1967" t="str">
        <x:f>IF(ISNUMBER(T1967),"Cost captured","Awaiting trade cost")</x:f>
        <x:v>Awaiting trade cost</x:v>
      </x:c>
      <x:c r="AB1967" s="36" t="str">
        <x:f>IF(ISNUMBER(Y1967),ROUND(Y1967*0.9,2),"")</x:f>
      </x:c>
      <x:c r="AC1967" s="36" t="str">
        <x:f>IF(ISNUMBER(AB1967),ROUND(AB1967-(AB1967*0.015+0.2)-V1967,2),"")</x:f>
      </x:c>
      <x:c r="AD1967" s="36" t="str">
        <x:f>IF(ISNUMBER(Y1967),ROUND(Y1967*0.8,2),"")</x:f>
      </x:c>
      <x:c r="AE1967" s="36" t="str">
        <x:f>IF(ISNUMBER(AD1967),ROUND(AD1967*0.015+0.2,2),"")</x:f>
      </x:c>
      <x:c r="AF1967" s="36" t="str">
        <x:f>IF(ISNUMBER(AD1967),ROUND(AD1967-AE1967-V1967,2),"")</x:f>
      </x:c>
      <x:c r="AG1967" t="str">
        <x:f>IF(NOT(ISNUMBER(T1967)),"PENDING",IF(AF1967&gt;0,"PASS","FAIL"))</x:f>
        <x:v>PENDING</x:v>
      </x:c>
      <x:c r="AH1967" t="str">
        <x:f>IF(NOT(ISNUMBER(T1967)),"Needs supplier cost",IF(K1967&lt;&gt;"In stock","Supplier unavailable",IF(AG1967&lt;&gt;"PASS","BLOCK - GT loss risk","Commercially protected")))</x:f>
        <x:v>Needs supplier cost</x:v>
      </x:c>
      <x:c r="AI1967" t="str">
        <x:v>2026-09-10 Active Sports trade capture</x:v>
      </x:c>
      <x:c r="AJ1967" t="str">
        <x:v>Management-only economics. Stripe stress test uses 1.5% + £0.20 standard UK online-card fee; pallet/mix-and-match pricing ignored.</x:v>
      </x:c>
    </x:row>
    <x:row r="1968">
      <x:c r="A1968" t="str">
        <x:v>Active Sports Nutrition</x:v>
      </x:c>
      <x:c r="B1968" t="str">
        <x:v>Supplement Needs</x:v>
      </x:c>
      <x:c r="C1968" t="str">
        <x:v>Prot3in Fusion</x:v>
      </x:c>
      <x:c r="D1968" t="str">
        <x:v>Supplements</x:v>
      </x:c>
      <x:c r="E1968" t="str">
        <x:v>Protein Blends</x:v>
      </x:c>
      <x:c r="F1968" t="str"/>
      <x:c r="G1968" t="str">
        <x:v>1kg</x:v>
      </x:c>
      <x:c r="H1968" t="str">
        <x:v>Milk Chocolate</x:v>
      </x:c>
      <x:c r="I1968" t="str"/>
      <x:c r="J1968" t="str">
        <x:v>Unit</x:v>
      </x:c>
      <x:c r="K1968" t="str">
        <x:v>In stock</x:v>
      </x:c>
      <x:c r="L1968" t="str">
        <x:v>2026-09-08</x:v>
      </x:c>
      <x:c r="M1968" t="str"/>
      <x:c r="N1968" t="str"/>
      <x:c r="O1968" t="str">
        <x:v>https://www.activesportstrade.co.uk/Protein-Blends-Trade</x:v>
      </x:c>
      <x:c r="P1968" t="str"/>
      <x:c r="Q1968" t="str"/>
      <x:c r="R1968" t="str"/>
      <x:c r="S1968" t="str">
        <x:v>Pending genuine supplier/brand image</x:v>
      </x:c>
      <x:c r="T1968" s="54" t="n">
        <x:v>24</x:v>
      </x:c>
      <x:c r="U1968" s="47" t="n">
        <x:v>0.2</x:v>
      </x:c>
      <x:c r="V1968" s="54" t="n">
        <x:f>IF(ISNUMBER(T1968),T1968*(1+U1968),"")</x:f>
        <x:v>28.799999999999997</x:v>
      </x:c>
      <x:c r="W1968" s="47" t="n">
        <x:v>0.3</x:v>
      </x:c>
      <x:c r="X1968" s="54" t="n">
        <x:f>IF(ISNUMBER(V1968),V1968/(1-W1968),"")</x:f>
        <x:v>41.14285714285714</x:v>
      </x:c>
      <x:c r="Y1968" s="55" t="n">
        <x:f>IF(ISNUMBER(X1968),ROUNDUP(X1968,0),"")</x:f>
        <x:v>42</x:v>
      </x:c>
      <x:c r="Z1968" t="str">
        <x:v>Source match pending</x:v>
      </x:c>
      <x:c r="AA1968" t="str">
        <x:v>screencapture-www-activesportstrade-co-uk-supplement-needs-trade-2026-09-10-09_10_12.pdf / page-5</x:v>
      </x:c>
      <x:c r="AB1968" s="36" t="n">
        <x:f>IF(ISNUMBER(Y1968),ROUND(Y1968*0.9,2),"")</x:f>
        <x:v>37.8</x:v>
      </x:c>
      <x:c r="AC1968" s="36" t="n">
        <x:f>IF(ISNUMBER(AB1968),ROUND(AB1968-(AB1968*0.015+0.2)-V1968,2),"")</x:f>
        <x:v>8.23</x:v>
      </x:c>
      <x:c r="AD1968" s="36" t="n">
        <x:f>IF(ISNUMBER(Y1968),ROUND(Y1968*0.8,2),"")</x:f>
        <x:v>33.6</x:v>
      </x:c>
      <x:c r="AE1968" s="36" t="n">
        <x:f>IF(ISNUMBER(AD1968),ROUND(AD1968*0.015+0.2,2),"")</x:f>
        <x:v>0.7</x:v>
      </x:c>
      <x:c r="AF1968" s="36" t="n">
        <x:f>IF(ISNUMBER(AD1968),ROUND(AD1968-AE1968-V1968,2),"")</x:f>
        <x:v>4.1</x:v>
      </x:c>
      <x:c r="AG1968" t="str">
        <x:f>IF(NOT(ISNUMBER(T1968)),"PENDING",IF(AF1968&gt;0,"PASS","FAIL"))</x:f>
        <x:v>PASS</x:v>
      </x:c>
      <x:c r="AH1968" t="str">
        <x:f>IF(NOT(ISNUMBER(T1968)),"Needs supplier cost",IF(K1968&lt;&gt;"In stock","Supplier unavailable",IF(AG1968&lt;&gt;"PASS","BLOCK - GT loss risk","Commercially protected")))</x:f>
        <x:v>Commercially protected</x:v>
      </x:c>
      <x:c r="AI1968" t="str">
        <x:v>2026-09-10 Active Sports trade capture</x:v>
      </x:c>
      <x:c r="AJ1968" t="str">
        <x:v>Management-only economics. Stripe stress test uses 1.5% + £0.20 standard UK online-card fee; pallet/mix-and-match pricing ignored.</x:v>
      </x:c>
    </x:row>
    <x:row r="1969">
      <x:c r="A1969" t="str">
        <x:v>Active Sports Nutrition</x:v>
      </x:c>
      <x:c r="B1969" t="str">
        <x:v>Supplement Needs</x:v>
      </x:c>
      <x:c r="C1969" t="str">
        <x:v>Prot3in Fusion</x:v>
      </x:c>
      <x:c r="D1969" t="str">
        <x:v>Supplements</x:v>
      </x:c>
      <x:c r="E1969" t="str">
        <x:v>Protein Blends</x:v>
      </x:c>
      <x:c r="F1969" t="str"/>
      <x:c r="G1969" t="str">
        <x:v>1kg</x:v>
      </x:c>
      <x:c r="H1969" t="str">
        <x:v>Salted Caramel</x:v>
      </x:c>
      <x:c r="I1969" t="str"/>
      <x:c r="J1969" t="str">
        <x:v>Unit</x:v>
      </x:c>
      <x:c r="K1969" t="str">
        <x:v>In stock</x:v>
      </x:c>
      <x:c r="L1969" t="str">
        <x:v>2026-09-08</x:v>
      </x:c>
      <x:c r="M1969" t="str"/>
      <x:c r="N1969" t="str"/>
      <x:c r="O1969" t="str">
        <x:v>https://www.activesportstrade.co.uk/Protein-Blends-Trade</x:v>
      </x:c>
      <x:c r="P1969" t="str"/>
      <x:c r="Q1969" t="str"/>
      <x:c r="R1969" t="str"/>
      <x:c r="S1969" t="str">
        <x:v>Pending genuine supplier/brand image</x:v>
      </x:c>
      <x:c r="T1969" s="54" t="n">
        <x:v>24</x:v>
      </x:c>
      <x:c r="U1969" s="47" t="n">
        <x:v>0.2</x:v>
      </x:c>
      <x:c r="V1969" s="54" t="n">
        <x:f>IF(ISNUMBER(T1969),T1969*(1+U1969),"")</x:f>
        <x:v>28.799999999999997</x:v>
      </x:c>
      <x:c r="W1969" s="47" t="n">
        <x:v>0.3</x:v>
      </x:c>
      <x:c r="X1969" s="54" t="n">
        <x:f>IF(ISNUMBER(V1969),V1969/(1-W1969),"")</x:f>
        <x:v>41.14285714285714</x:v>
      </x:c>
      <x:c r="Y1969" s="55" t="n">
        <x:f>IF(ISNUMBER(X1969),ROUNDUP(X1969,0),"")</x:f>
        <x:v>42</x:v>
      </x:c>
      <x:c r="Z1969" t="str">
        <x:v>Source match pending</x:v>
      </x:c>
      <x:c r="AA1969" t="str">
        <x:v>screencapture-www-activesportstrade-co-uk-supplement-needs-trade-2026-09-10-09_10_12.pdf / page-5</x:v>
      </x:c>
      <x:c r="AB1969" s="36" t="n">
        <x:f>IF(ISNUMBER(Y1969),ROUND(Y1969*0.9,2),"")</x:f>
        <x:v>37.8</x:v>
      </x:c>
      <x:c r="AC1969" s="36" t="n">
        <x:f>IF(ISNUMBER(AB1969),ROUND(AB1969-(AB1969*0.015+0.2)-V1969,2),"")</x:f>
        <x:v>8.23</x:v>
      </x:c>
      <x:c r="AD1969" s="36" t="n">
        <x:f>IF(ISNUMBER(Y1969),ROUND(Y1969*0.8,2),"")</x:f>
        <x:v>33.6</x:v>
      </x:c>
      <x:c r="AE1969" s="36" t="n">
        <x:f>IF(ISNUMBER(AD1969),ROUND(AD1969*0.015+0.2,2),"")</x:f>
        <x:v>0.7</x:v>
      </x:c>
      <x:c r="AF1969" s="36" t="n">
        <x:f>IF(ISNUMBER(AD1969),ROUND(AD1969-AE1969-V1969,2),"")</x:f>
        <x:v>4.1</x:v>
      </x:c>
      <x:c r="AG1969" t="str">
        <x:f>IF(NOT(ISNUMBER(T1969)),"PENDING",IF(AF1969&gt;0,"PASS","FAIL"))</x:f>
        <x:v>PASS</x:v>
      </x:c>
      <x:c r="AH1969" t="str">
        <x:f>IF(NOT(ISNUMBER(T1969)),"Needs supplier cost",IF(K1969&lt;&gt;"In stock","Supplier unavailable",IF(AG1969&lt;&gt;"PASS","BLOCK - GT loss risk","Commercially protected")))</x:f>
        <x:v>Commercially protected</x:v>
      </x:c>
      <x:c r="AI1969" t="str">
        <x:v>2026-09-10 Active Sports trade capture</x:v>
      </x:c>
      <x:c r="AJ1969" t="str">
        <x:v>Management-only economics. Stripe stress test uses 1.5% + £0.20 standard UK online-card fee; pallet/mix-and-match pricing ignored.</x:v>
      </x:c>
    </x:row>
    <x:row r="1970">
      <x:c r="A1970" t="str">
        <x:v>Active Sports Nutrition</x:v>
      </x:c>
      <x:c r="B1970" t="str">
        <x:v>Supplement Needs</x:v>
      </x:c>
      <x:c r="C1970" t="str">
        <x:v>Prot3in Fusion</x:v>
      </x:c>
      <x:c r="D1970" t="str">
        <x:v>Supplements</x:v>
      </x:c>
      <x:c r="E1970" t="str">
        <x:v>Protein Blends</x:v>
      </x:c>
      <x:c r="F1970" t="str"/>
      <x:c r="G1970" t="str">
        <x:v>1kg</x:v>
      </x:c>
      <x:c r="H1970" t="str">
        <x:v>Strawberry Cheesecake</x:v>
      </x:c>
      <x:c r="I1970" t="str"/>
      <x:c r="J1970" t="str">
        <x:v>Unit</x:v>
      </x:c>
      <x:c r="K1970" t="str">
        <x:v>In stock</x:v>
      </x:c>
      <x:c r="L1970" t="str">
        <x:v>2026-09-08</x:v>
      </x:c>
      <x:c r="M1970" t="str"/>
      <x:c r="N1970" t="str"/>
      <x:c r="O1970" t="str">
        <x:v>https://www.activesportstrade.co.uk/Protein-Blends-Trade</x:v>
      </x:c>
      <x:c r="P1970" t="str"/>
      <x:c r="Q1970" t="str"/>
      <x:c r="R1970" t="str"/>
      <x:c r="S1970" t="str">
        <x:v>Pending genuine supplier/brand image</x:v>
      </x:c>
      <x:c r="T1970" s="54" t="n">
        <x:v>24</x:v>
      </x:c>
      <x:c r="U1970" s="47" t="n">
        <x:v>0.2</x:v>
      </x:c>
      <x:c r="V1970" s="54" t="n">
        <x:f>IF(ISNUMBER(T1970),T1970*(1+U1970),"")</x:f>
        <x:v>28.799999999999997</x:v>
      </x:c>
      <x:c r="W1970" s="47" t="n">
        <x:v>0.3</x:v>
      </x:c>
      <x:c r="X1970" s="54" t="n">
        <x:f>IF(ISNUMBER(V1970),V1970/(1-W1970),"")</x:f>
        <x:v>41.14285714285714</x:v>
      </x:c>
      <x:c r="Y1970" s="55" t="n">
        <x:f>IF(ISNUMBER(X1970),ROUNDUP(X1970,0),"")</x:f>
        <x:v>42</x:v>
      </x:c>
      <x:c r="Z1970" t="str">
        <x:v>Source match pending</x:v>
      </x:c>
      <x:c r="AA1970" t="str">
        <x:v>screencapture-www-activesportstrade-co-uk-supplement-needs-trade-2026-09-10-09_10_12.pdf / page-5</x:v>
      </x:c>
      <x:c r="AB1970" s="36" t="n">
        <x:f>IF(ISNUMBER(Y1970),ROUND(Y1970*0.9,2),"")</x:f>
        <x:v>37.8</x:v>
      </x:c>
      <x:c r="AC1970" s="36" t="n">
        <x:f>IF(ISNUMBER(AB1970),ROUND(AB1970-(AB1970*0.015+0.2)-V1970,2),"")</x:f>
        <x:v>8.23</x:v>
      </x:c>
      <x:c r="AD1970" s="36" t="n">
        <x:f>IF(ISNUMBER(Y1970),ROUND(Y1970*0.8,2),"")</x:f>
        <x:v>33.6</x:v>
      </x:c>
      <x:c r="AE1970" s="36" t="n">
        <x:f>IF(ISNUMBER(AD1970),ROUND(AD1970*0.015+0.2,2),"")</x:f>
        <x:v>0.7</x:v>
      </x:c>
      <x:c r="AF1970" s="36" t="n">
        <x:f>IF(ISNUMBER(AD1970),ROUND(AD1970-AE1970-V1970,2),"")</x:f>
        <x:v>4.1</x:v>
      </x:c>
      <x:c r="AG1970" t="str">
        <x:f>IF(NOT(ISNUMBER(T1970)),"PENDING",IF(AF1970&gt;0,"PASS","FAIL"))</x:f>
        <x:v>PASS</x:v>
      </x:c>
      <x:c r="AH1970" t="str">
        <x:f>IF(NOT(ISNUMBER(T1970)),"Needs supplier cost",IF(K1970&lt;&gt;"In stock","Supplier unavailable",IF(AG1970&lt;&gt;"PASS","BLOCK - GT loss risk","Commercially protected")))</x:f>
        <x:v>Commercially protected</x:v>
      </x:c>
      <x:c r="AI1970" t="str">
        <x:v>2026-09-10 Active Sports trade capture</x:v>
      </x:c>
      <x:c r="AJ1970" t="str">
        <x:v>Management-only economics. Stripe stress test uses 1.5% + £0.20 standard UK online-card fee; pallet/mix-and-match pricing ignored.</x:v>
      </x:c>
    </x:row>
    <x:row r="1971">
      <x:c r="A1971" t="str">
        <x:v>Active Sports Nutrition</x:v>
      </x:c>
      <x:c r="B1971" t="str">
        <x:v>Supplement Needs</x:v>
      </x:c>
      <x:c r="C1971" t="str">
        <x:v>Vegan Iso+</x:v>
      </x:c>
      <x:c r="D1971" t="str">
        <x:v>Supplements</x:v>
      </x:c>
      <x:c r="E1971" t="str">
        <x:v>Protein Blends</x:v>
      </x:c>
      <x:c r="F1971" t="str"/>
      <x:c r="G1971" t="str">
        <x:v>1kg</x:v>
      </x:c>
      <x:c r="H1971" t="str">
        <x:v>Chocolate Hazelnut Crisp</x:v>
      </x:c>
      <x:c r="I1971" t="str"/>
      <x:c r="J1971" t="str">
        <x:v>Unit</x:v>
      </x:c>
      <x:c r="K1971" t="str">
        <x:v>In stock</x:v>
      </x:c>
      <x:c r="L1971" t="str">
        <x:v>2026-09-08</x:v>
      </x:c>
      <x:c r="M1971" t="str"/>
      <x:c r="N1971" t="str"/>
      <x:c r="O1971" t="str">
        <x:v>https://www.activesportstrade.co.uk/Protein-Blends-Trade</x:v>
      </x:c>
      <x:c r="P1971" t="str"/>
      <x:c r="Q1971" t="str"/>
      <x:c r="R1971" t="str"/>
      <x:c r="S1971" t="str">
        <x:v>Pending genuine supplier/brand image</x:v>
      </x:c>
      <x:c r="T1971" s="54"/>
      <x:c r="U1971" s="47" t="n">
        <x:v>0.2</x:v>
      </x:c>
      <x:c r="V1971" s="54" t="str">
        <x:f>IF(ISNUMBER(T1971),T1971*(1+U1971),"")</x:f>
      </x:c>
      <x:c r="W1971" s="47" t="n">
        <x:v>0.3</x:v>
      </x:c>
      <x:c r="X1971" s="54" t="str">
        <x:f>IF(ISNUMBER(V1971),V1971/(1-W1971),"")</x:f>
      </x:c>
      <x:c r="Y1971" s="55" t="str">
        <x:f>IF(ISNUMBER(X1971),ROUNDUP(X1971,0),"")</x:f>
      </x:c>
      <x:c r="Z1971" t="str">
        <x:f>IF(ISNUMBER(T1971),"Cost captured","Awaiting trade cost")</x:f>
        <x:v>Awaiting trade cost</x:v>
      </x:c>
      <x:c r="AB1971" s="36" t="str">
        <x:f>IF(ISNUMBER(Y1971),ROUND(Y1971*0.9,2),"")</x:f>
      </x:c>
      <x:c r="AC1971" s="36" t="str">
        <x:f>IF(ISNUMBER(AB1971),ROUND(AB1971-(AB1971*0.015+0.2)-V1971,2),"")</x:f>
      </x:c>
      <x:c r="AD1971" s="36" t="str">
        <x:f>IF(ISNUMBER(Y1971),ROUND(Y1971*0.8,2),"")</x:f>
      </x:c>
      <x:c r="AE1971" s="36" t="str">
        <x:f>IF(ISNUMBER(AD1971),ROUND(AD1971*0.015+0.2,2),"")</x:f>
      </x:c>
      <x:c r="AF1971" s="36" t="str">
        <x:f>IF(ISNUMBER(AD1971),ROUND(AD1971-AE1971-V1971,2),"")</x:f>
      </x:c>
      <x:c r="AG1971" t="str">
        <x:f>IF(NOT(ISNUMBER(T1971)),"PENDING",IF(AF1971&gt;0,"PASS","FAIL"))</x:f>
        <x:v>PENDING</x:v>
      </x:c>
      <x:c r="AH1971" t="str">
        <x:f>IF(NOT(ISNUMBER(T1971)),"Needs supplier cost",IF(K1971&lt;&gt;"In stock","Supplier unavailable",IF(AG1971&lt;&gt;"PASS","BLOCK - GT loss risk","Commercially protected")))</x:f>
        <x:v>Needs supplier cost</x:v>
      </x:c>
      <x:c r="AI1971" t="str">
        <x:v>2026-09-10 Active Sports trade capture</x:v>
      </x:c>
      <x:c r="AJ1971" t="str">
        <x:v>Management-only economics. Stripe stress test uses 1.5% + £0.20 standard UK online-card fee; pallet/mix-and-match pricing ignored.</x:v>
      </x:c>
    </x:row>
    <x:row r="1972">
      <x:c r="A1972" t="str">
        <x:v>Active Sports Nutrition</x:v>
      </x:c>
      <x:c r="B1972" t="str">
        <x:v>Supplement Needs</x:v>
      </x:c>
      <x:c r="C1972" t="str">
        <x:v>Vegan Iso+</x:v>
      </x:c>
      <x:c r="D1972" t="str">
        <x:v>Supplements</x:v>
      </x:c>
      <x:c r="E1972" t="str">
        <x:v>Protein Blends</x:v>
      </x:c>
      <x:c r="F1972" t="str"/>
      <x:c r="G1972" t="str">
        <x:v>1kg</x:v>
      </x:c>
      <x:c r="H1972" t="str">
        <x:v>Golden Wheaties</x:v>
      </x:c>
      <x:c r="I1972" t="str"/>
      <x:c r="J1972" t="str">
        <x:v>Unit</x:v>
      </x:c>
      <x:c r="K1972" t="str">
        <x:v>In stock</x:v>
      </x:c>
      <x:c r="L1972" t="str">
        <x:v>2026-09-08</x:v>
      </x:c>
      <x:c r="M1972" t="str"/>
      <x:c r="N1972" t="str"/>
      <x:c r="O1972" t="str">
        <x:v>https://www.activesportstrade.co.uk/Protein-Blends-Trade</x:v>
      </x:c>
      <x:c r="P1972" t="str"/>
      <x:c r="Q1972" t="str"/>
      <x:c r="R1972" t="str"/>
      <x:c r="S1972" t="str">
        <x:v>Pending genuine supplier/brand image</x:v>
      </x:c>
      <x:c r="T1972" s="54"/>
      <x:c r="U1972" s="47" t="n">
        <x:v>0.2</x:v>
      </x:c>
      <x:c r="V1972" s="54" t="str">
        <x:f>IF(ISNUMBER(T1972),T1972*(1+U1972),"")</x:f>
      </x:c>
      <x:c r="W1972" s="47" t="n">
        <x:v>0.3</x:v>
      </x:c>
      <x:c r="X1972" s="54" t="str">
        <x:f>IF(ISNUMBER(V1972),V1972/(1-W1972),"")</x:f>
      </x:c>
      <x:c r="Y1972" s="55" t="str">
        <x:f>IF(ISNUMBER(X1972),ROUNDUP(X1972,0),"")</x:f>
      </x:c>
      <x:c r="Z1972" t="str">
        <x:f>IF(ISNUMBER(T1972),"Cost captured","Awaiting trade cost")</x:f>
        <x:v>Awaiting trade cost</x:v>
      </x:c>
      <x:c r="AB1972" s="36" t="str">
        <x:f>IF(ISNUMBER(Y1972),ROUND(Y1972*0.9,2),"")</x:f>
      </x:c>
      <x:c r="AC1972" s="36" t="str">
        <x:f>IF(ISNUMBER(AB1972),ROUND(AB1972-(AB1972*0.015+0.2)-V1972,2),"")</x:f>
      </x:c>
      <x:c r="AD1972" s="36" t="str">
        <x:f>IF(ISNUMBER(Y1972),ROUND(Y1972*0.8,2),"")</x:f>
      </x:c>
      <x:c r="AE1972" s="36" t="str">
        <x:f>IF(ISNUMBER(AD1972),ROUND(AD1972*0.015+0.2,2),"")</x:f>
      </x:c>
      <x:c r="AF1972" s="36" t="str">
        <x:f>IF(ISNUMBER(AD1972),ROUND(AD1972-AE1972-V1972,2),"")</x:f>
      </x:c>
      <x:c r="AG1972" t="str">
        <x:f>IF(NOT(ISNUMBER(T1972)),"PENDING",IF(AF1972&gt;0,"PASS","FAIL"))</x:f>
        <x:v>PENDING</x:v>
      </x:c>
      <x:c r="AH1972" t="str">
        <x:f>IF(NOT(ISNUMBER(T1972)),"Needs supplier cost",IF(K1972&lt;&gt;"In stock","Supplier unavailable",IF(AG1972&lt;&gt;"PASS","BLOCK - GT loss risk","Commercially protected")))</x:f>
        <x:v>Needs supplier cost</x:v>
      </x:c>
      <x:c r="AI1972" t="str">
        <x:v>2026-09-10 Active Sports trade capture</x:v>
      </x:c>
      <x:c r="AJ1972" t="str">
        <x:v>Management-only economics. Stripe stress test uses 1.5% + £0.20 standard UK online-card fee; pallet/mix-and-match pricing ignored.</x:v>
      </x:c>
    </x:row>
    <x:row r="1973">
      <x:c r="A1973" t="str">
        <x:v>Active Sports Nutrition</x:v>
      </x:c>
      <x:c r="B1973" t="str">
        <x:v>Supplement Needs</x:v>
      </x:c>
      <x:c r="C1973" t="str">
        <x:v>Vegan Iso+</x:v>
      </x:c>
      <x:c r="D1973" t="str">
        <x:v>Supplements</x:v>
      </x:c>
      <x:c r="E1973" t="str">
        <x:v>Protein Blends</x:v>
      </x:c>
      <x:c r="F1973" t="str"/>
      <x:c r="G1973" t="str">
        <x:v>1kg</x:v>
      </x:c>
      <x:c r="H1973" t="str">
        <x:v>Pancake Stack</x:v>
      </x:c>
      <x:c r="I1973" t="str"/>
      <x:c r="J1973" t="str">
        <x:v>Unit</x:v>
      </x:c>
      <x:c r="K1973" t="str">
        <x:v>In stock</x:v>
      </x:c>
      <x:c r="L1973" t="str">
        <x:v>2026-09-08</x:v>
      </x:c>
      <x:c r="M1973" t="str"/>
      <x:c r="N1973" t="str"/>
      <x:c r="O1973" t="str">
        <x:v>https://www.activesportstrade.co.uk/Protein-Blends-Trade</x:v>
      </x:c>
      <x:c r="P1973" t="str"/>
      <x:c r="Q1973" t="str"/>
      <x:c r="R1973" t="str"/>
      <x:c r="S1973" t="str">
        <x:v>Pending genuine supplier/brand image</x:v>
      </x:c>
      <x:c r="T1973" s="54"/>
      <x:c r="U1973" s="47" t="n">
        <x:v>0.2</x:v>
      </x:c>
      <x:c r="V1973" s="54" t="str">
        <x:f>IF(ISNUMBER(T1973),T1973*(1+U1973),"")</x:f>
      </x:c>
      <x:c r="W1973" s="47" t="n">
        <x:v>0.3</x:v>
      </x:c>
      <x:c r="X1973" s="54" t="str">
        <x:f>IF(ISNUMBER(V1973),V1973/(1-W1973),"")</x:f>
      </x:c>
      <x:c r="Y1973" s="55" t="str">
        <x:f>IF(ISNUMBER(X1973),ROUNDUP(X1973,0),"")</x:f>
      </x:c>
      <x:c r="Z1973" t="str">
        <x:f>IF(ISNUMBER(T1973),"Cost captured","Awaiting trade cost")</x:f>
        <x:v>Awaiting trade cost</x:v>
      </x:c>
      <x:c r="AB1973" s="36" t="str">
        <x:f>IF(ISNUMBER(Y1973),ROUND(Y1973*0.9,2),"")</x:f>
      </x:c>
      <x:c r="AC1973" s="36" t="str">
        <x:f>IF(ISNUMBER(AB1973),ROUND(AB1973-(AB1973*0.015+0.2)-V1973,2),"")</x:f>
      </x:c>
      <x:c r="AD1973" s="36" t="str">
        <x:f>IF(ISNUMBER(Y1973),ROUND(Y1973*0.8,2),"")</x:f>
      </x:c>
      <x:c r="AE1973" s="36" t="str">
        <x:f>IF(ISNUMBER(AD1973),ROUND(AD1973*0.015+0.2,2),"")</x:f>
      </x:c>
      <x:c r="AF1973" s="36" t="str">
        <x:f>IF(ISNUMBER(AD1973),ROUND(AD1973-AE1973-V1973,2),"")</x:f>
      </x:c>
      <x:c r="AG1973" t="str">
        <x:f>IF(NOT(ISNUMBER(T1973)),"PENDING",IF(AF1973&gt;0,"PASS","FAIL"))</x:f>
        <x:v>PENDING</x:v>
      </x:c>
      <x:c r="AH1973" t="str">
        <x:f>IF(NOT(ISNUMBER(T1973)),"Needs supplier cost",IF(K1973&lt;&gt;"In stock","Supplier unavailable",IF(AG1973&lt;&gt;"PASS","BLOCK - GT loss risk","Commercially protected")))</x:f>
        <x:v>Needs supplier cost</x:v>
      </x:c>
      <x:c r="AI1973" t="str">
        <x:v>2026-09-10 Active Sports trade capture</x:v>
      </x:c>
      <x:c r="AJ1973" t="str">
        <x:v>Management-only economics. Stripe stress test uses 1.5% + £0.20 standard UK online-card fee; pallet/mix-and-match pricing ignored.</x:v>
      </x:c>
    </x:row>
    <x:row r="1974">
      <x:c r="A1974" t="str">
        <x:v>Active Sports Nutrition</x:v>
      </x:c>
      <x:c r="B1974" t="str">
        <x:v>Olimp</x:v>
      </x:c>
      <x:c r="C1974" t="str">
        <x:v>AAKG 1250 Mega Caps</x:v>
      </x:c>
      <x:c r="D1974" t="str">
        <x:v>Supplements</x:v>
      </x:c>
      <x:c r="E1974" t="str">
        <x:v>Amino Acids</x:v>
      </x:c>
      <x:c r="F1974" t="str"/>
      <x:c r="G1974" t="str">
        <x:v>120 caps</x:v>
      </x:c>
      <x:c r="H1974" t="str">
        <x:v>Default</x:v>
      </x:c>
      <x:c r="I1974" t="str"/>
      <x:c r="J1974" t="str">
        <x:v>Unit</x:v>
      </x:c>
      <x:c r="K1974" t="str">
        <x:v>In stock</x:v>
      </x:c>
      <x:c r="L1974" t="str">
        <x:v>2026-09-08</x:v>
      </x:c>
      <x:c r="M1974" t="str"/>
      <x:c r="N1974" t="str"/>
      <x:c r="O1974" t="str">
        <x:v>https://www.activesportstrade.co.uk/olimp-trade</x:v>
      </x:c>
      <x:c r="P1974" t="str"/>
      <x:c r="Q1974" t="str"/>
      <x:c r="R1974" t="str"/>
      <x:c r="S1974" t="str">
        <x:v>Pending genuine supplier/brand image</x:v>
      </x:c>
      <x:c r="T1974" s="54" t="n">
        <x:v>11.72</x:v>
      </x:c>
      <x:c r="U1974" s="47" t="n">
        <x:v>0.2</x:v>
      </x:c>
      <x:c r="V1974" s="54" t="n">
        <x:f>IF(ISNUMBER(T1974),T1974*(1+U1974),"")</x:f>
        <x:v>14.064</x:v>
      </x:c>
      <x:c r="W1974" s="47" t="n">
        <x:v>0.3</x:v>
      </x:c>
      <x:c r="X1974" s="54" t="n">
        <x:f>IF(ISNUMBER(V1974),V1974/(1-W1974),"")</x:f>
        <x:v>20.091428571428573</x:v>
      </x:c>
      <x:c r="Y1974" s="55" t="n">
        <x:f>IF(ISNUMBER(X1974),ROUNDUP(X1974,0),"")</x:f>
        <x:v>21</x:v>
      </x:c>
      <x:c r="Z1974" t="str">
        <x:v>Source match pending</x:v>
      </x:c>
      <x:c r="AA1974" t="str">
        <x:v>screencapture-www-activesportstrade-co-uk-olimp-trade-2026-09-10-09_05_33.pdf / page-01</x:v>
      </x:c>
      <x:c r="AB1974" s="36" t="n">
        <x:f>IF(ISNUMBER(Y1974),ROUND(Y1974*0.9,2),"")</x:f>
        <x:v>18.9</x:v>
      </x:c>
      <x:c r="AC1974" s="36" t="n">
        <x:f>IF(ISNUMBER(AB1974),ROUND(AB1974-(AB1974*0.015+0.2)-V1974,2),"")</x:f>
        <x:v>4.35</x:v>
      </x:c>
      <x:c r="AD1974" s="36" t="n">
        <x:f>IF(ISNUMBER(Y1974),ROUND(Y1974*0.8,2),"")</x:f>
        <x:v>16.8</x:v>
      </x:c>
      <x:c r="AE1974" s="36" t="n">
        <x:f>IF(ISNUMBER(AD1974),ROUND(AD1974*0.015+0.2,2),"")</x:f>
        <x:v>0.45</x:v>
      </x:c>
      <x:c r="AF1974" s="36" t="n">
        <x:f>IF(ISNUMBER(AD1974),ROUND(AD1974-AE1974-V1974,2),"")</x:f>
        <x:v>2.29</x:v>
      </x:c>
      <x:c r="AG1974" t="str">
        <x:f>IF(NOT(ISNUMBER(T1974)),"PENDING",IF(AF1974&gt;0,"PASS","FAIL"))</x:f>
        <x:v>PASS</x:v>
      </x:c>
      <x:c r="AH1974" t="str">
        <x:f>IF(NOT(ISNUMBER(T1974)),"Needs supplier cost",IF(K1974&lt;&gt;"In stock","Supplier unavailable",IF(AG1974&lt;&gt;"PASS","BLOCK - GT loss risk","Commercially protected")))</x:f>
        <x:v>Commercially protected</x:v>
      </x:c>
      <x:c r="AI1974" t="str">
        <x:v>2026-09-10 Active Sports trade capture</x:v>
      </x:c>
      <x:c r="AJ1974" t="str">
        <x:v>Management-only economics. Stripe stress test uses 1.5% + £0.20 standard UK online-card fee; pallet/mix-and-match pricing ignored.</x:v>
      </x:c>
    </x:row>
    <x:row r="1975">
      <x:c r="A1975" t="str">
        <x:v>Active Sports Nutrition</x:v>
      </x:c>
      <x:c r="B1975" t="str">
        <x:v>Olimp</x:v>
      </x:c>
      <x:c r="C1975" t="str">
        <x:v>AAKG 1250 Mega Caps</x:v>
      </x:c>
      <x:c r="D1975" t="str">
        <x:v>Supplements</x:v>
      </x:c>
      <x:c r="E1975" t="str">
        <x:v>Amino Acids</x:v>
      </x:c>
      <x:c r="F1975" t="str"/>
      <x:c r="G1975" t="str">
        <x:v>300 caps</x:v>
      </x:c>
      <x:c r="H1975" t="str">
        <x:v>Default</x:v>
      </x:c>
      <x:c r="I1975" t="str"/>
      <x:c r="J1975" t="str">
        <x:v>Unit</x:v>
      </x:c>
      <x:c r="K1975" t="str">
        <x:v>In stock</x:v>
      </x:c>
      <x:c r="L1975" t="str">
        <x:v>2026-09-08</x:v>
      </x:c>
      <x:c r="M1975" t="str"/>
      <x:c r="N1975" t="str"/>
      <x:c r="O1975" t="str">
        <x:v>https://www.activesportstrade.co.uk/olimp-trade</x:v>
      </x:c>
      <x:c r="P1975" t="str"/>
      <x:c r="Q1975" t="str"/>
      <x:c r="R1975" t="str"/>
      <x:c r="S1975" t="str">
        <x:v>Pending genuine supplier/brand image</x:v>
      </x:c>
      <x:c r="T1975" s="54" t="n">
        <x:v>32.57</x:v>
      </x:c>
      <x:c r="U1975" s="47" t="n">
        <x:v>0.2</x:v>
      </x:c>
      <x:c r="V1975" s="54" t="n">
        <x:f>IF(ISNUMBER(T1975),T1975*(1+U1975),"")</x:f>
        <x:v>39.083999999999996</x:v>
      </x:c>
      <x:c r="W1975" s="47" t="n">
        <x:v>0.3</x:v>
      </x:c>
      <x:c r="X1975" s="54" t="n">
        <x:f>IF(ISNUMBER(V1975),V1975/(1-W1975),"")</x:f>
        <x:v>55.83428571428571</x:v>
      </x:c>
      <x:c r="Y1975" s="55" t="n">
        <x:f>IF(ISNUMBER(X1975),ROUNDUP(X1975,0),"")</x:f>
        <x:v>56</x:v>
      </x:c>
      <x:c r="Z1975" t="str">
        <x:v>Source match pending</x:v>
      </x:c>
      <x:c r="AA1975" t="str">
        <x:v>screencapture-www-activesportstrade-co-uk-olimp-trade-2026-09-10-09_05_33.pdf / page-01</x:v>
      </x:c>
      <x:c r="AB1975" s="36" t="n">
        <x:f>IF(ISNUMBER(Y1975),ROUND(Y1975*0.9,2),"")</x:f>
        <x:v>50.4</x:v>
      </x:c>
      <x:c r="AC1975" s="36" t="n">
        <x:f>IF(ISNUMBER(AB1975),ROUND(AB1975-(AB1975*0.015+0.2)-V1975,2),"")</x:f>
        <x:v>10.36</x:v>
      </x:c>
      <x:c r="AD1975" s="36" t="n">
        <x:f>IF(ISNUMBER(Y1975),ROUND(Y1975*0.8,2),"")</x:f>
        <x:v>44.8</x:v>
      </x:c>
      <x:c r="AE1975" s="36" t="n">
        <x:f>IF(ISNUMBER(AD1975),ROUND(AD1975*0.015+0.2,2),"")</x:f>
        <x:v>0.87</x:v>
      </x:c>
      <x:c r="AF1975" s="36" t="n">
        <x:f>IF(ISNUMBER(AD1975),ROUND(AD1975-AE1975-V1975,2),"")</x:f>
        <x:v>4.85</x:v>
      </x:c>
      <x:c r="AG1975" t="str">
        <x:f>IF(NOT(ISNUMBER(T1975)),"PENDING",IF(AF1975&gt;0,"PASS","FAIL"))</x:f>
        <x:v>PASS</x:v>
      </x:c>
      <x:c r="AH1975" t="str">
        <x:f>IF(NOT(ISNUMBER(T1975)),"Needs supplier cost",IF(K1975&lt;&gt;"In stock","Supplier unavailable",IF(AG1975&lt;&gt;"PASS","BLOCK - GT loss risk","Commercially protected")))</x:f>
        <x:v>Commercially protected</x:v>
      </x:c>
      <x:c r="AI1975" t="str">
        <x:v>2026-09-10 Active Sports trade capture</x:v>
      </x:c>
      <x:c r="AJ1975" t="str">
        <x:v>Management-only economics. Stripe stress test uses 1.5% + £0.20 standard UK online-card fee; pallet/mix-and-match pricing ignored.</x:v>
      </x:c>
    </x:row>
    <x:row r="1976">
      <x:c r="A1976" t="str">
        <x:v>Active Sports Nutrition</x:v>
      </x:c>
      <x:c r="B1976" t="str">
        <x:v>Olimp</x:v>
      </x:c>
      <x:c r="C1976" t="str">
        <x:v>AAKG 7500 Extreme Shot</x:v>
      </x:c>
      <x:c r="D1976" t="str">
        <x:v>Pre Workouts</x:v>
      </x:c>
      <x:c r="E1976" t="str">
        <x:v>Shots and Ready To Drink</x:v>
      </x:c>
      <x:c r="F1976" t="str"/>
      <x:c r="G1976" t="str">
        <x:v>9 x 25ml vials</x:v>
      </x:c>
      <x:c r="H1976" t="str">
        <x:v>Cherry</x:v>
      </x:c>
      <x:c r="I1976" t="str">
        <x:v>9</x:v>
      </x:c>
      <x:c r="J1976" t="str">
        <x:v>Case</x:v>
      </x:c>
      <x:c r="K1976" t="str">
        <x:v>In stock</x:v>
      </x:c>
      <x:c r="L1976" t="str">
        <x:v>2026-09-08</x:v>
      </x:c>
      <x:c r="M1976" t="str"/>
      <x:c r="N1976" t="str"/>
      <x:c r="O1976" t="str">
        <x:v>https://www.activesportstrade.co.uk/olimp-trade</x:v>
      </x:c>
      <x:c r="P1976" t="str"/>
      <x:c r="Q1976" t="str"/>
      <x:c r="R1976" t="str"/>
      <x:c r="S1976" t="str">
        <x:v>Pending genuine supplier/brand image</x:v>
      </x:c>
      <x:c r="T1976" s="54" t="n">
        <x:v>10.99</x:v>
      </x:c>
      <x:c r="U1976" s="47" t="n">
        <x:v>0.2</x:v>
      </x:c>
      <x:c r="V1976" s="54" t="n">
        <x:f>IF(ISNUMBER(T1976),T1976*(1+U1976),"")</x:f>
        <x:v>13.188</x:v>
      </x:c>
      <x:c r="W1976" s="47" t="n">
        <x:v>0.3</x:v>
      </x:c>
      <x:c r="X1976" s="54" t="n">
        <x:f>IF(ISNUMBER(V1976),V1976/(1-W1976),"")</x:f>
        <x:v>18.840000000000003</x:v>
      </x:c>
      <x:c r="Y1976" s="55" t="n">
        <x:f>IF(ISNUMBER(X1976),ROUNDUP(X1976,0),"")</x:f>
        <x:v>19</x:v>
      </x:c>
      <x:c r="Z1976" t="str">
        <x:v>Source match pending</x:v>
      </x:c>
      <x:c r="AA1976" t="str">
        <x:v>screencapture-www-activesportstrade-co-uk-olimp-trade-2026-09-10-09_05_33.pdf / page-01</x:v>
      </x:c>
      <x:c r="AB1976" s="36" t="n">
        <x:f>IF(ISNUMBER(Y1976),ROUND(Y1976*0.9,2),"")</x:f>
        <x:v>17.1</x:v>
      </x:c>
      <x:c r="AC1976" s="36" t="n">
        <x:f>IF(ISNUMBER(AB1976),ROUND(AB1976-(AB1976*0.015+0.2)-V1976,2),"")</x:f>
        <x:v>3.46</x:v>
      </x:c>
      <x:c r="AD1976" s="36" t="n">
        <x:f>IF(ISNUMBER(Y1976),ROUND(Y1976*0.8,2),"")</x:f>
        <x:v>15.2</x:v>
      </x:c>
      <x:c r="AE1976" s="36" t="n">
        <x:f>IF(ISNUMBER(AD1976),ROUND(AD1976*0.015+0.2,2),"")</x:f>
        <x:v>0.43</x:v>
      </x:c>
      <x:c r="AF1976" s="36" t="n">
        <x:f>IF(ISNUMBER(AD1976),ROUND(AD1976-AE1976-V1976,2),"")</x:f>
        <x:v>1.58</x:v>
      </x:c>
      <x:c r="AG1976" t="str">
        <x:f>IF(NOT(ISNUMBER(T1976)),"PENDING",IF(AF1976&gt;0,"PASS","FAIL"))</x:f>
        <x:v>PASS</x:v>
      </x:c>
      <x:c r="AH1976" t="str">
        <x:f>IF(NOT(ISNUMBER(T1976)),"Needs supplier cost",IF(K1976&lt;&gt;"In stock","Supplier unavailable",IF(AG1976&lt;&gt;"PASS","BLOCK - GT loss risk","Commercially protected")))</x:f>
        <x:v>Commercially protected</x:v>
      </x:c>
      <x:c r="AI1976" t="str">
        <x:v>2026-09-10 Active Sports trade capture</x:v>
      </x:c>
      <x:c r="AJ1976" t="str">
        <x:v>Management-only economics. Stripe stress test uses 1.5% + £0.20 standard UK online-card fee; pallet/mix-and-match pricing ignored.</x:v>
      </x:c>
    </x:row>
    <x:row r="1977">
      <x:c r="A1977" t="str">
        <x:v>Active Sports Nutrition</x:v>
      </x:c>
      <x:c r="B1977" t="str">
        <x:v>Olimp</x:v>
      </x:c>
      <x:c r="C1977" t="str">
        <x:v>AAKG 7500 Extreme Shot</x:v>
      </x:c>
      <x:c r="D1977" t="str">
        <x:v>Pre Workouts</x:v>
      </x:c>
      <x:c r="E1977" t="str">
        <x:v>Shots and Ready To Drink</x:v>
      </x:c>
      <x:c r="F1977" t="str"/>
      <x:c r="G1977" t="str">
        <x:v>9 x 25ml vials</x:v>
      </x:c>
      <x:c r="H1977" t="str">
        <x:v>Grapefruit</x:v>
      </x:c>
      <x:c r="I1977" t="str">
        <x:v>9</x:v>
      </x:c>
      <x:c r="J1977" t="str">
        <x:v>Case</x:v>
      </x:c>
      <x:c r="K1977" t="str">
        <x:v>Out of stock</x:v>
      </x:c>
      <x:c r="L1977" t="str">
        <x:v>2026-09-08</x:v>
      </x:c>
      <x:c r="M1977" t="str"/>
      <x:c r="N1977" t="str"/>
      <x:c r="O1977" t="str">
        <x:v>https://www.activesportstrade.co.uk/olimp-trade</x:v>
      </x:c>
      <x:c r="P1977" t="str"/>
      <x:c r="Q1977" t="str"/>
      <x:c r="R1977" t="str"/>
      <x:c r="S1977" t="str">
        <x:v>Pending genuine supplier/brand image</x:v>
      </x:c>
      <x:c r="T1977" s="54" t="n">
        <x:v>10.99</x:v>
      </x:c>
      <x:c r="U1977" s="47" t="n">
        <x:v>0.2</x:v>
      </x:c>
      <x:c r="V1977" s="54" t="n">
        <x:f>IF(ISNUMBER(T1977),T1977*(1+U1977),"")</x:f>
        <x:v>13.188</x:v>
      </x:c>
      <x:c r="W1977" s="47" t="n">
        <x:v>0.3</x:v>
      </x:c>
      <x:c r="X1977" s="54" t="n">
        <x:f>IF(ISNUMBER(V1977),V1977/(1-W1977),"")</x:f>
        <x:v>18.840000000000003</x:v>
      </x:c>
      <x:c r="Y1977" s="55" t="n">
        <x:f>IF(ISNUMBER(X1977),ROUNDUP(X1977,0),"")</x:f>
        <x:v>19</x:v>
      </x:c>
      <x:c r="Z1977" t="str">
        <x:v>Source match pending</x:v>
      </x:c>
      <x:c r="AA1977" t="str">
        <x:v>screencapture-www-activesportstrade-co-uk-olimp-trade-2026-09-10-09_05_33.pdf / page-01</x:v>
      </x:c>
      <x:c r="AB1977" s="36" t="n">
        <x:f>IF(ISNUMBER(Y1977),ROUND(Y1977*0.9,2),"")</x:f>
        <x:v>17.1</x:v>
      </x:c>
      <x:c r="AC1977" s="36" t="n">
        <x:f>IF(ISNUMBER(AB1977),ROUND(AB1977-(AB1977*0.015+0.2)-V1977,2),"")</x:f>
        <x:v>3.46</x:v>
      </x:c>
      <x:c r="AD1977" s="36" t="n">
        <x:f>IF(ISNUMBER(Y1977),ROUND(Y1977*0.8,2),"")</x:f>
        <x:v>15.2</x:v>
      </x:c>
      <x:c r="AE1977" s="36" t="n">
        <x:f>IF(ISNUMBER(AD1977),ROUND(AD1977*0.015+0.2,2),"")</x:f>
        <x:v>0.43</x:v>
      </x:c>
      <x:c r="AF1977" s="36" t="n">
        <x:f>IF(ISNUMBER(AD1977),ROUND(AD1977-AE1977-V1977,2),"")</x:f>
        <x:v>1.58</x:v>
      </x:c>
      <x:c r="AG1977" t="str">
        <x:f>IF(NOT(ISNUMBER(T1977)),"PENDING",IF(AF1977&gt;0,"PASS","FAIL"))</x:f>
        <x:v>PASS</x:v>
      </x:c>
      <x:c r="AH1977" t="str">
        <x:f>IF(NOT(ISNUMBER(T1977)),"Needs supplier cost",IF(K1977&lt;&gt;"In stock","Supplier unavailable",IF(AG1977&lt;&gt;"PASS","BLOCK - GT loss risk","Commercially protected")))</x:f>
        <x:v>Supplier unavailable</x:v>
      </x:c>
      <x:c r="AI1977" t="str">
        <x:v>2026-09-10 Active Sports trade capture</x:v>
      </x:c>
      <x:c r="AJ1977" t="str">
        <x:v>Management-only economics. Stripe stress test uses 1.5% + £0.20 standard UK online-card fee; pallet/mix-and-match pricing ignored.</x:v>
      </x:c>
    </x:row>
    <x:row r="1978">
      <x:c r="A1978" t="str">
        <x:v>Active Sports Nutrition</x:v>
      </x:c>
      <x:c r="B1978" t="str">
        <x:v>Olimp</x:v>
      </x:c>
      <x:c r="C1978" t="str">
        <x:v>L-Carnitine + Caffeine Extreme Shots</x:v>
      </x:c>
      <x:c r="D1978" t="str">
        <x:v>Supplements</x:v>
      </x:c>
      <x:c r="E1978" t="str">
        <x:v>L-Carnitine</x:v>
      </x:c>
      <x:c r="F1978" t="str"/>
      <x:c r="G1978" t="str">
        <x:v>10 x 25ml shots</x:v>
      </x:c>
      <x:c r="H1978" t="str">
        <x:v>Cherry</x:v>
      </x:c>
      <x:c r="I1978" t="str">
        <x:v>10</x:v>
      </x:c>
      <x:c r="J1978" t="str">
        <x:v>Case</x:v>
      </x:c>
      <x:c r="K1978" t="str">
        <x:v>In stock</x:v>
      </x:c>
      <x:c r="L1978" t="str">
        <x:v>2026-09-08</x:v>
      </x:c>
      <x:c r="M1978" t="str"/>
      <x:c r="N1978" t="str"/>
      <x:c r="O1978" t="str">
        <x:v>https://www.activesportstrade.co.uk/olimp-trade</x:v>
      </x:c>
      <x:c r="P1978" t="str"/>
      <x:c r="Q1978" t="str"/>
      <x:c r="R1978" t="str"/>
      <x:c r="S1978" t="str">
        <x:v>Pending genuine supplier/brand image</x:v>
      </x:c>
      <x:c r="T1978" s="54" t="n">
        <x:v>9.99</x:v>
      </x:c>
      <x:c r="U1978" s="47" t="n">
        <x:v>0.2</x:v>
      </x:c>
      <x:c r="V1978" s="54" t="n">
        <x:f>IF(ISNUMBER(T1978),T1978*(1+U1978),"")</x:f>
        <x:v>11.988</x:v>
      </x:c>
      <x:c r="W1978" s="47" t="n">
        <x:v>0.3</x:v>
      </x:c>
      <x:c r="X1978" s="54" t="n">
        <x:f>IF(ISNUMBER(V1978),V1978/(1-W1978),"")</x:f>
        <x:v>17.125714285714285</x:v>
      </x:c>
      <x:c r="Y1978" s="55" t="n">
        <x:f>IF(ISNUMBER(X1978),ROUNDUP(X1978,0),"")</x:f>
        <x:v>18</x:v>
      </x:c>
      <x:c r="Z1978" t="str">
        <x:v>Source match pending</x:v>
      </x:c>
      <x:c r="AA1978" t="str">
        <x:v>screencapture-www-activesportstrade-co-uk-olimp-trade-2026-09-10-09_05_33.pdf / page-10</x:v>
      </x:c>
      <x:c r="AB1978" s="36" t="n">
        <x:f>IF(ISNUMBER(Y1978),ROUND(Y1978*0.9,2),"")</x:f>
        <x:v>16.2</x:v>
      </x:c>
      <x:c r="AC1978" s="36" t="n">
        <x:f>IF(ISNUMBER(AB1978),ROUND(AB1978-(AB1978*0.015+0.2)-V1978,2),"")</x:f>
        <x:v>3.77</x:v>
      </x:c>
      <x:c r="AD1978" s="36" t="n">
        <x:f>IF(ISNUMBER(Y1978),ROUND(Y1978*0.8,2),"")</x:f>
        <x:v>14.4</x:v>
      </x:c>
      <x:c r="AE1978" s="36" t="n">
        <x:f>IF(ISNUMBER(AD1978),ROUND(AD1978*0.015+0.2,2),"")</x:f>
        <x:v>0.42</x:v>
      </x:c>
      <x:c r="AF1978" s="36" t="n">
        <x:f>IF(ISNUMBER(AD1978),ROUND(AD1978-AE1978-V1978,2),"")</x:f>
        <x:v>1.99</x:v>
      </x:c>
      <x:c r="AG1978" t="str">
        <x:f>IF(NOT(ISNUMBER(T1978)),"PENDING",IF(AF1978&gt;0,"PASS","FAIL"))</x:f>
        <x:v>PASS</x:v>
      </x:c>
      <x:c r="AH1978" t="str">
        <x:f>IF(NOT(ISNUMBER(T1978)),"Needs supplier cost",IF(K1978&lt;&gt;"In stock","Supplier unavailable",IF(AG1978&lt;&gt;"PASS","BLOCK - GT loss risk","Commercially protected")))</x:f>
        <x:v>Commercially protected</x:v>
      </x:c>
      <x:c r="AI1978" t="str">
        <x:v>2026-09-10 Active Sports trade capture</x:v>
      </x:c>
      <x:c r="AJ1978" t="str">
        <x:v>Management-only economics. Stripe stress test uses 1.5% + £0.20 standard UK online-card fee; pallet/mix-and-match pricing ignored.</x:v>
      </x:c>
    </x:row>
    <x:row r="1979">
      <x:c r="A1979" t="str">
        <x:v>Active Sports Nutrition</x:v>
      </x:c>
      <x:c r="B1979" t="str">
        <x:v>Olimp</x:v>
      </x:c>
      <x:c r="C1979" t="str">
        <x:v>L-Carnitine + Caffeine Extreme Shots</x:v>
      </x:c>
      <x:c r="D1979" t="str">
        <x:v>Supplements</x:v>
      </x:c>
      <x:c r="E1979" t="str">
        <x:v>L-Carnitine</x:v>
      </x:c>
      <x:c r="F1979" t="str"/>
      <x:c r="G1979" t="str">
        <x:v>10 x 25ml shots</x:v>
      </x:c>
      <x:c r="H1979" t="str">
        <x:v>Orange</x:v>
      </x:c>
      <x:c r="I1979" t="str">
        <x:v>10</x:v>
      </x:c>
      <x:c r="J1979" t="str">
        <x:v>Case</x:v>
      </x:c>
      <x:c r="K1979" t="str">
        <x:v>In stock</x:v>
      </x:c>
      <x:c r="L1979" t="str">
        <x:v>2026-09-08</x:v>
      </x:c>
      <x:c r="M1979" t="str"/>
      <x:c r="N1979" t="str"/>
      <x:c r="O1979" t="str">
        <x:v>https://www.activesportstrade.co.uk/olimp-trade</x:v>
      </x:c>
      <x:c r="P1979" t="str"/>
      <x:c r="Q1979" t="str"/>
      <x:c r="R1979" t="str"/>
      <x:c r="S1979" t="str">
        <x:v>Pending genuine supplier/brand image</x:v>
      </x:c>
      <x:c r="T1979" s="54" t="n">
        <x:v>9.99</x:v>
      </x:c>
      <x:c r="U1979" s="47" t="n">
        <x:v>0.2</x:v>
      </x:c>
      <x:c r="V1979" s="54" t="n">
        <x:f>IF(ISNUMBER(T1979),T1979*(1+U1979),"")</x:f>
        <x:v>11.988</x:v>
      </x:c>
      <x:c r="W1979" s="47" t="n">
        <x:v>0.3</x:v>
      </x:c>
      <x:c r="X1979" s="54" t="n">
        <x:f>IF(ISNUMBER(V1979),V1979/(1-W1979),"")</x:f>
        <x:v>17.125714285714285</x:v>
      </x:c>
      <x:c r="Y1979" s="55" t="n">
        <x:f>IF(ISNUMBER(X1979),ROUNDUP(X1979,0),"")</x:f>
        <x:v>18</x:v>
      </x:c>
      <x:c r="Z1979" t="str">
        <x:v>Source match pending</x:v>
      </x:c>
      <x:c r="AA1979" t="str">
        <x:v>screencapture-www-activesportstrade-co-uk-olimp-trade-2026-09-10-09_05_33.pdf / page-10</x:v>
      </x:c>
      <x:c r="AB1979" s="36" t="n">
        <x:f>IF(ISNUMBER(Y1979),ROUND(Y1979*0.9,2),"")</x:f>
        <x:v>16.2</x:v>
      </x:c>
      <x:c r="AC1979" s="36" t="n">
        <x:f>IF(ISNUMBER(AB1979),ROUND(AB1979-(AB1979*0.015+0.2)-V1979,2),"")</x:f>
        <x:v>3.77</x:v>
      </x:c>
      <x:c r="AD1979" s="36" t="n">
        <x:f>IF(ISNUMBER(Y1979),ROUND(Y1979*0.8,2),"")</x:f>
        <x:v>14.4</x:v>
      </x:c>
      <x:c r="AE1979" s="36" t="n">
        <x:f>IF(ISNUMBER(AD1979),ROUND(AD1979*0.015+0.2,2),"")</x:f>
        <x:v>0.42</x:v>
      </x:c>
      <x:c r="AF1979" s="36" t="n">
        <x:f>IF(ISNUMBER(AD1979),ROUND(AD1979-AE1979-V1979,2),"")</x:f>
        <x:v>1.99</x:v>
      </x:c>
      <x:c r="AG1979" t="str">
        <x:f>IF(NOT(ISNUMBER(T1979)),"PENDING",IF(AF1979&gt;0,"PASS","FAIL"))</x:f>
        <x:v>PASS</x:v>
      </x:c>
      <x:c r="AH1979" t="str">
        <x:f>IF(NOT(ISNUMBER(T1979)),"Needs supplier cost",IF(K1979&lt;&gt;"In stock","Supplier unavailable",IF(AG1979&lt;&gt;"PASS","BLOCK - GT loss risk","Commercially protected")))</x:f>
        <x:v>Commercially protected</x:v>
      </x:c>
      <x:c r="AI1979" t="str">
        <x:v>2026-09-10 Active Sports trade capture</x:v>
      </x:c>
      <x:c r="AJ1979" t="str">
        <x:v>Management-only economics. Stripe stress test uses 1.5% + £0.20 standard UK online-card fee; pallet/mix-and-match pricing ignored.</x:v>
      </x:c>
    </x:row>
    <x:row r="1980">
      <x:c r="A1980" t="str">
        <x:v>Active Sports Nutrition</x:v>
      </x:c>
      <x:c r="B1980" t="str">
        <x:v>Olimp</x:v>
      </x:c>
      <x:c r="C1980" t="str">
        <x:v>L-Carnitine 1500 Extreme Mega Caps</x:v>
      </x:c>
      <x:c r="D1980" t="str">
        <x:v>Supplements</x:v>
      </x:c>
      <x:c r="E1980" t="str">
        <x:v>L-Carnitine</x:v>
      </x:c>
      <x:c r="F1980" t="str"/>
      <x:c r="G1980" t="str">
        <x:v>120 caps</x:v>
      </x:c>
      <x:c r="H1980" t="str">
        <x:v>Default</x:v>
      </x:c>
      <x:c r="I1980" t="str"/>
      <x:c r="J1980" t="str">
        <x:v>Unit</x:v>
      </x:c>
      <x:c r="K1980" t="str">
        <x:v>In stock</x:v>
      </x:c>
      <x:c r="L1980" t="str">
        <x:v>2026-09-08</x:v>
      </x:c>
      <x:c r="M1980" t="str"/>
      <x:c r="N1980" t="str"/>
      <x:c r="O1980" t="str">
        <x:v>https://www.activesportstrade.co.uk/olimp-trade</x:v>
      </x:c>
      <x:c r="P1980" t="str"/>
      <x:c r="Q1980" t="str"/>
      <x:c r="R1980" t="str"/>
      <x:c r="S1980" t="str">
        <x:v>Pending genuine supplier/brand image</x:v>
      </x:c>
      <x:c r="T1980" s="54" t="n">
        <x:v>20.18</x:v>
      </x:c>
      <x:c r="U1980" s="47" t="n">
        <x:v>0.2</x:v>
      </x:c>
      <x:c r="V1980" s="54" t="n">
        <x:f>IF(ISNUMBER(T1980),T1980*(1+U1980),"")</x:f>
        <x:v>24.215999999999998</x:v>
      </x:c>
      <x:c r="W1980" s="47" t="n">
        <x:v>0.3</x:v>
      </x:c>
      <x:c r="X1980" s="54" t="n">
        <x:f>IF(ISNUMBER(V1980),V1980/(1-W1980),"")</x:f>
        <x:v>34.59428571428571</x:v>
      </x:c>
      <x:c r="Y1980" s="55" t="n">
        <x:f>IF(ISNUMBER(X1980),ROUNDUP(X1980,0),"")</x:f>
        <x:v>35</x:v>
      </x:c>
      <x:c r="Z1980" t="str">
        <x:v>Source match pending</x:v>
      </x:c>
      <x:c r="AA1980" t="str">
        <x:v>screencapture-www-activesportstrade-co-uk-olimp-trade-2026-09-10-09_05_33.pdf / page-10</x:v>
      </x:c>
      <x:c r="AB1980" s="36" t="n">
        <x:f>IF(ISNUMBER(Y1980),ROUND(Y1980*0.9,2),"")</x:f>
        <x:v>31.5</x:v>
      </x:c>
      <x:c r="AC1980" s="36" t="n">
        <x:f>IF(ISNUMBER(AB1980),ROUND(AB1980-(AB1980*0.015+0.2)-V1980,2),"")</x:f>
        <x:v>6.61</x:v>
      </x:c>
      <x:c r="AD1980" s="36" t="n">
        <x:f>IF(ISNUMBER(Y1980),ROUND(Y1980*0.8,2),"")</x:f>
        <x:v>28</x:v>
      </x:c>
      <x:c r="AE1980" s="36" t="n">
        <x:f>IF(ISNUMBER(AD1980),ROUND(AD1980*0.015+0.2,2),"")</x:f>
        <x:v>0.62</x:v>
      </x:c>
      <x:c r="AF1980" s="36" t="n">
        <x:f>IF(ISNUMBER(AD1980),ROUND(AD1980-AE1980-V1980,2),"")</x:f>
        <x:v>3.16</x:v>
      </x:c>
      <x:c r="AG1980" t="str">
        <x:f>IF(NOT(ISNUMBER(T1980)),"PENDING",IF(AF1980&gt;0,"PASS","FAIL"))</x:f>
        <x:v>PASS</x:v>
      </x:c>
      <x:c r="AH1980" t="str">
        <x:f>IF(NOT(ISNUMBER(T1980)),"Needs supplier cost",IF(K1980&lt;&gt;"In stock","Supplier unavailable",IF(AG1980&lt;&gt;"PASS","BLOCK - GT loss risk","Commercially protected")))</x:f>
        <x:v>Commercially protected</x:v>
      </x:c>
      <x:c r="AI1980" t="str">
        <x:v>2026-09-10 Active Sports trade capture</x:v>
      </x:c>
      <x:c r="AJ1980" t="str">
        <x:v>Management-only economics. Stripe stress test uses 1.5% + £0.20 standard UK online-card fee; pallet/mix-and-match pricing ignored.</x:v>
      </x:c>
    </x:row>
    <x:row r="1981">
      <x:c r="A1981" t="str">
        <x:v>Active Sports Nutrition</x:v>
      </x:c>
      <x:c r="B1981" t="str">
        <x:v>Olimp</x:v>
      </x:c>
      <x:c r="C1981" t="str">
        <x:v>L-Carnitine 3000 Extreme Shots</x:v>
      </x:c>
      <x:c r="D1981" t="str">
        <x:v>Supplements</x:v>
      </x:c>
      <x:c r="E1981" t="str">
        <x:v>L-Carnitine</x:v>
      </x:c>
      <x:c r="F1981" t="str"/>
      <x:c r="G1981" t="str">
        <x:v>9 x 25ml shots</x:v>
      </x:c>
      <x:c r="H1981" t="str">
        <x:v>Cherry</x:v>
      </x:c>
      <x:c r="I1981" t="str">
        <x:v>9</x:v>
      </x:c>
      <x:c r="J1981" t="str">
        <x:v>Case</x:v>
      </x:c>
      <x:c r="K1981" t="str">
        <x:v>In stock</x:v>
      </x:c>
      <x:c r="L1981" t="str">
        <x:v>2026-09-08</x:v>
      </x:c>
      <x:c r="M1981" t="str"/>
      <x:c r="N1981" t="str"/>
      <x:c r="O1981" t="str">
        <x:v>https://www.activesportstrade.co.uk/olimp-trade</x:v>
      </x:c>
      <x:c r="P1981" t="str"/>
      <x:c r="Q1981" t="str"/>
      <x:c r="R1981" t="str"/>
      <x:c r="S1981" t="str">
        <x:v>Pending genuine supplier/brand image</x:v>
      </x:c>
      <x:c r="T1981" s="54" t="n">
        <x:v>9.68</x:v>
      </x:c>
      <x:c r="U1981" s="47" t="n">
        <x:v>0.2</x:v>
      </x:c>
      <x:c r="V1981" s="54" t="n">
        <x:f>IF(ISNUMBER(T1981),T1981*(1+U1981),"")</x:f>
        <x:v>11.616</x:v>
      </x:c>
      <x:c r="W1981" s="47" t="n">
        <x:v>0.3</x:v>
      </x:c>
      <x:c r="X1981" s="54" t="n">
        <x:f>IF(ISNUMBER(V1981),V1981/(1-W1981),"")</x:f>
        <x:v>16.594285714285714</x:v>
      </x:c>
      <x:c r="Y1981" s="55" t="n">
        <x:f>IF(ISNUMBER(X1981),ROUNDUP(X1981,0),"")</x:f>
        <x:v>17</x:v>
      </x:c>
      <x:c r="Z1981" t="str">
        <x:v>Source match pending</x:v>
      </x:c>
      <x:c r="AA1981" t="str">
        <x:v>screencapture-www-activesportstrade-co-uk-olimp-trade-2026-09-10-09_05_33.pdf / page-10</x:v>
      </x:c>
      <x:c r="AB1981" s="36" t="n">
        <x:f>IF(ISNUMBER(Y1981),ROUND(Y1981*0.9,2),"")</x:f>
        <x:v>15.3</x:v>
      </x:c>
      <x:c r="AC1981" s="36" t="n">
        <x:f>IF(ISNUMBER(AB1981),ROUND(AB1981-(AB1981*0.015+0.2)-V1981,2),"")</x:f>
        <x:v>3.25</x:v>
      </x:c>
      <x:c r="AD1981" s="36" t="n">
        <x:f>IF(ISNUMBER(Y1981),ROUND(Y1981*0.8,2),"")</x:f>
        <x:v>13.6</x:v>
      </x:c>
      <x:c r="AE1981" s="36" t="n">
        <x:f>IF(ISNUMBER(AD1981),ROUND(AD1981*0.015+0.2,2),"")</x:f>
        <x:v>0.4</x:v>
      </x:c>
      <x:c r="AF1981" s="36" t="n">
        <x:f>IF(ISNUMBER(AD1981),ROUND(AD1981-AE1981-V1981,2),"")</x:f>
        <x:v>1.58</x:v>
      </x:c>
      <x:c r="AG1981" t="str">
        <x:f>IF(NOT(ISNUMBER(T1981)),"PENDING",IF(AF1981&gt;0,"PASS","FAIL"))</x:f>
        <x:v>PASS</x:v>
      </x:c>
      <x:c r="AH1981" t="str">
        <x:f>IF(NOT(ISNUMBER(T1981)),"Needs supplier cost",IF(K1981&lt;&gt;"In stock","Supplier unavailable",IF(AG1981&lt;&gt;"PASS","BLOCK - GT loss risk","Commercially protected")))</x:f>
        <x:v>Commercially protected</x:v>
      </x:c>
      <x:c r="AI1981" t="str">
        <x:v>2026-09-10 Active Sports trade capture</x:v>
      </x:c>
      <x:c r="AJ1981" t="str">
        <x:v>Management-only economics. Stripe stress test uses 1.5% + £0.20 standard UK online-card fee; pallet/mix-and-match pricing ignored.</x:v>
      </x:c>
    </x:row>
    <x:row r="1982">
      <x:c r="A1982" t="str">
        <x:v>Active Sports Nutrition</x:v>
      </x:c>
      <x:c r="B1982" t="str">
        <x:v>Olimp</x:v>
      </x:c>
      <x:c r="C1982" t="str">
        <x:v>L-Carnitine 3000 Extreme Shots</x:v>
      </x:c>
      <x:c r="D1982" t="str">
        <x:v>Supplements</x:v>
      </x:c>
      <x:c r="E1982" t="str">
        <x:v>L-Carnitine</x:v>
      </x:c>
      <x:c r="F1982" t="str"/>
      <x:c r="G1982" t="str">
        <x:v>9 x 25ml shots</x:v>
      </x:c>
      <x:c r="H1982" t="str">
        <x:v>Orange</x:v>
      </x:c>
      <x:c r="I1982" t="str">
        <x:v>9</x:v>
      </x:c>
      <x:c r="J1982" t="str">
        <x:v>Case</x:v>
      </x:c>
      <x:c r="K1982" t="str">
        <x:v>In stock</x:v>
      </x:c>
      <x:c r="L1982" t="str">
        <x:v>2026-09-08</x:v>
      </x:c>
      <x:c r="M1982" t="str"/>
      <x:c r="N1982" t="str"/>
      <x:c r="O1982" t="str">
        <x:v>https://www.activesportstrade.co.uk/olimp-trade</x:v>
      </x:c>
      <x:c r="P1982" t="str"/>
      <x:c r="Q1982" t="str"/>
      <x:c r="R1982" t="str"/>
      <x:c r="S1982" t="str">
        <x:v>Pending genuine supplier/brand image</x:v>
      </x:c>
      <x:c r="T1982" s="54" t="n">
        <x:v>9.68</x:v>
      </x:c>
      <x:c r="U1982" s="47" t="n">
        <x:v>0.2</x:v>
      </x:c>
      <x:c r="V1982" s="54" t="n">
        <x:f>IF(ISNUMBER(T1982),T1982*(1+U1982),"")</x:f>
        <x:v>11.616</x:v>
      </x:c>
      <x:c r="W1982" s="47" t="n">
        <x:v>0.3</x:v>
      </x:c>
      <x:c r="X1982" s="54" t="n">
        <x:f>IF(ISNUMBER(V1982),V1982/(1-W1982),"")</x:f>
        <x:v>16.594285714285714</x:v>
      </x:c>
      <x:c r="Y1982" s="55" t="n">
        <x:f>IF(ISNUMBER(X1982),ROUNDUP(X1982,0),"")</x:f>
        <x:v>17</x:v>
      </x:c>
      <x:c r="Z1982" t="str">
        <x:v>Source match pending</x:v>
      </x:c>
      <x:c r="AA1982" t="str">
        <x:v>screencapture-www-activesportstrade-co-uk-olimp-trade-2026-09-10-09_05_33.pdf / page-10</x:v>
      </x:c>
      <x:c r="AB1982" s="36" t="n">
        <x:f>IF(ISNUMBER(Y1982),ROUND(Y1982*0.9,2),"")</x:f>
        <x:v>15.3</x:v>
      </x:c>
      <x:c r="AC1982" s="36" t="n">
        <x:f>IF(ISNUMBER(AB1982),ROUND(AB1982-(AB1982*0.015+0.2)-V1982,2),"")</x:f>
        <x:v>3.25</x:v>
      </x:c>
      <x:c r="AD1982" s="36" t="n">
        <x:f>IF(ISNUMBER(Y1982),ROUND(Y1982*0.8,2),"")</x:f>
        <x:v>13.6</x:v>
      </x:c>
      <x:c r="AE1982" s="36" t="n">
        <x:f>IF(ISNUMBER(AD1982),ROUND(AD1982*0.015+0.2,2),"")</x:f>
        <x:v>0.4</x:v>
      </x:c>
      <x:c r="AF1982" s="36" t="n">
        <x:f>IF(ISNUMBER(AD1982),ROUND(AD1982-AE1982-V1982,2),"")</x:f>
        <x:v>1.58</x:v>
      </x:c>
      <x:c r="AG1982" t="str">
        <x:f>IF(NOT(ISNUMBER(T1982)),"PENDING",IF(AF1982&gt;0,"PASS","FAIL"))</x:f>
        <x:v>PASS</x:v>
      </x:c>
      <x:c r="AH1982" t="str">
        <x:f>IF(NOT(ISNUMBER(T1982)),"Needs supplier cost",IF(K1982&lt;&gt;"In stock","Supplier unavailable",IF(AG1982&lt;&gt;"PASS","BLOCK - GT loss risk","Commercially protected")))</x:f>
        <x:v>Commercially protected</x:v>
      </x:c>
      <x:c r="AI1982" t="str">
        <x:v>2026-09-10 Active Sports trade capture</x:v>
      </x:c>
      <x:c r="AJ1982" t="str">
        <x:v>Management-only economics. Stripe stress test uses 1.5% + £0.20 standard UK online-card fee; pallet/mix-and-match pricing ignored.</x:v>
      </x:c>
    </x:row>
    <x:row r="1983">
      <x:c r="A1983" t="str">
        <x:v>Active Sports Nutrition</x:v>
      </x:c>
      <x:c r="B1983" t="str">
        <x:v>Olimp</x:v>
      </x:c>
      <x:c r="C1983" t="str">
        <x:v>Creatine Monohydrate Powder</x:v>
      </x:c>
      <x:c r="D1983" t="str">
        <x:v>Supplements</x:v>
      </x:c>
      <x:c r="E1983" t="str">
        <x:v>Creatine Powders</x:v>
      </x:c>
      <x:c r="F1983" t="str"/>
      <x:c r="G1983" t="str">
        <x:v>250g</x:v>
      </x:c>
      <x:c r="H1983" t="str">
        <x:v>Unflavoured</x:v>
      </x:c>
      <x:c r="I1983" t="str"/>
      <x:c r="J1983" t="str">
        <x:v>Unit</x:v>
      </x:c>
      <x:c r="K1983" t="str">
        <x:v>In stock</x:v>
      </x:c>
      <x:c r="L1983" t="str">
        <x:v>2026-09-08</x:v>
      </x:c>
      <x:c r="M1983" t="str"/>
      <x:c r="N1983" t="str"/>
      <x:c r="O1983" t="str">
        <x:v>https://www.activesportstrade.co.uk/Creatine-Powders-Trade</x:v>
      </x:c>
      <x:c r="P1983" t="str">
        <x:v>SPECIAL OFFER wording stripped from canonical title.</x:v>
      </x:c>
      <x:c r="Q1983" t="str"/>
      <x:c r="R1983" t="str"/>
      <x:c r="S1983" t="str">
        <x:v>Pending genuine supplier/brand image</x:v>
      </x:c>
      <x:c r="T1983" s="54" t="n">
        <x:v>5.99</x:v>
      </x:c>
      <x:c r="U1983" s="47" t="n">
        <x:v>0.2</x:v>
      </x:c>
      <x:c r="V1983" s="54" t="n">
        <x:f>IF(ISNUMBER(T1983),T1983*(1+U1983),"")</x:f>
        <x:v>7.188</x:v>
      </x:c>
      <x:c r="W1983" s="47" t="n">
        <x:v>0.3</x:v>
      </x:c>
      <x:c r="X1983" s="54" t="n">
        <x:f>IF(ISNUMBER(V1983),V1983/(1-W1983),"")</x:f>
        <x:v>10.268571428571429</x:v>
      </x:c>
      <x:c r="Y1983" s="55" t="n">
        <x:f>IF(ISNUMBER(X1983),ROUNDUP(X1983,0),"")</x:f>
        <x:v>11</x:v>
      </x:c>
      <x:c r="Z1983" t="str">
        <x:v>Source match pending</x:v>
      </x:c>
      <x:c r="AA1983" t="str">
        <x:v>screencapture-www-activesportstrade-co-uk-olimp-trade-2026-09-10-09_05_33.pdf / page-06</x:v>
      </x:c>
      <x:c r="AB1983" s="36" t="n">
        <x:f>IF(ISNUMBER(Y1983),ROUND(Y1983*0.9,2),"")</x:f>
        <x:v>9.9</x:v>
      </x:c>
      <x:c r="AC1983" s="36" t="n">
        <x:f>IF(ISNUMBER(AB1983),ROUND(AB1983-(AB1983*0.015+0.2)-V1983,2),"")</x:f>
        <x:v>2.36</x:v>
      </x:c>
      <x:c r="AD1983" s="36" t="n">
        <x:f>IF(ISNUMBER(Y1983),ROUND(Y1983*0.8,2),"")</x:f>
        <x:v>8.8</x:v>
      </x:c>
      <x:c r="AE1983" s="36" t="n">
        <x:f>IF(ISNUMBER(AD1983),ROUND(AD1983*0.015+0.2,2),"")</x:f>
        <x:v>0.33</x:v>
      </x:c>
      <x:c r="AF1983" s="36" t="n">
        <x:f>IF(ISNUMBER(AD1983),ROUND(AD1983-AE1983-V1983,2),"")</x:f>
        <x:v>1.28</x:v>
      </x:c>
      <x:c r="AG1983" t="str">
        <x:f>IF(NOT(ISNUMBER(T1983)),"PENDING",IF(AF1983&gt;0,"PASS","FAIL"))</x:f>
        <x:v>PASS</x:v>
      </x:c>
      <x:c r="AH1983" t="str">
        <x:f>IF(NOT(ISNUMBER(T1983)),"Needs supplier cost",IF(K1983&lt;&gt;"In stock","Supplier unavailable",IF(AG1983&lt;&gt;"PASS","BLOCK - GT loss risk","Commercially protected")))</x:f>
        <x:v>Commercially protected</x:v>
      </x:c>
      <x:c r="AI1983" t="str">
        <x:v>2026-09-10 Active Sports trade capture</x:v>
      </x:c>
      <x:c r="AJ1983" t="str">
        <x:v>Management-only economics. Stripe stress test uses 1.5% + £0.20 standard UK online-card fee; pallet/mix-and-match pricing ignored.</x:v>
      </x:c>
    </x:row>
    <x:row r="1984">
      <x:c r="A1984" t="str">
        <x:v>Active Sports Nutrition</x:v>
      </x:c>
      <x:c r="B1984" t="str">
        <x:v>Olimp</x:v>
      </x:c>
      <x:c r="C1984" t="str">
        <x:v>Creatine Monohydrate Powder</x:v>
      </x:c>
      <x:c r="D1984" t="str">
        <x:v>Supplements</x:v>
      </x:c>
      <x:c r="E1984" t="str">
        <x:v>Creatine Powders</x:v>
      </x:c>
      <x:c r="F1984" t="str"/>
      <x:c r="G1984" t="str">
        <x:v>550g</x:v>
      </x:c>
      <x:c r="H1984" t="str">
        <x:v>Unflavoured</x:v>
      </x:c>
      <x:c r="I1984" t="str"/>
      <x:c r="J1984" t="str">
        <x:v>Unit</x:v>
      </x:c>
      <x:c r="K1984" t="str">
        <x:v>In stock</x:v>
      </x:c>
      <x:c r="L1984" t="str">
        <x:v>2026-09-08</x:v>
      </x:c>
      <x:c r="M1984" t="str"/>
      <x:c r="N1984" t="str"/>
      <x:c r="O1984" t="str">
        <x:v>https://www.activesportstrade.co.uk/Creatine-Powders-Trade</x:v>
      </x:c>
      <x:c r="P1984" t="str">
        <x:v>SPECIAL OFFER wording stripped from canonical title.</x:v>
      </x:c>
      <x:c r="Q1984" t="str"/>
      <x:c r="R1984" t="str"/>
      <x:c r="S1984" t="str">
        <x:v>Pending genuine supplier/brand image</x:v>
      </x:c>
      <x:c r="T1984" s="54" t="n">
        <x:v>11.5</x:v>
      </x:c>
      <x:c r="U1984" s="47" t="n">
        <x:v>0.2</x:v>
      </x:c>
      <x:c r="V1984" s="54" t="n">
        <x:f>IF(ISNUMBER(T1984),T1984*(1+U1984),"")</x:f>
        <x:v>13.799999999999999</x:v>
      </x:c>
      <x:c r="W1984" s="47" t="n">
        <x:v>0.3</x:v>
      </x:c>
      <x:c r="X1984" s="54" t="n">
        <x:f>IF(ISNUMBER(V1984),V1984/(1-W1984),"")</x:f>
        <x:v>19.714285714285715</x:v>
      </x:c>
      <x:c r="Y1984" s="55" t="n">
        <x:f>IF(ISNUMBER(X1984),ROUNDUP(X1984,0),"")</x:f>
        <x:v>20</x:v>
      </x:c>
      <x:c r="Z1984" t="str">
        <x:v>Source match pending</x:v>
      </x:c>
      <x:c r="AA1984" t="str">
        <x:v>screencapture-www-activesportstrade-co-uk-olimp-trade-2026-09-10-09_05_33.pdf / page-06</x:v>
      </x:c>
      <x:c r="AB1984" s="36" t="n">
        <x:f>IF(ISNUMBER(Y1984),ROUND(Y1984*0.9,2),"")</x:f>
        <x:v>18</x:v>
      </x:c>
      <x:c r="AC1984" s="36" t="n">
        <x:f>IF(ISNUMBER(AB1984),ROUND(AB1984-(AB1984*0.015+0.2)-V1984,2),"")</x:f>
        <x:v>3.73</x:v>
      </x:c>
      <x:c r="AD1984" s="36" t="n">
        <x:f>IF(ISNUMBER(Y1984),ROUND(Y1984*0.8,2),"")</x:f>
        <x:v>16</x:v>
      </x:c>
      <x:c r="AE1984" s="36" t="n">
        <x:f>IF(ISNUMBER(AD1984),ROUND(AD1984*0.015+0.2,2),"")</x:f>
        <x:v>0.44</x:v>
      </x:c>
      <x:c r="AF1984" s="36" t="n">
        <x:f>IF(ISNUMBER(AD1984),ROUND(AD1984-AE1984-V1984,2),"")</x:f>
        <x:v>1.76</x:v>
      </x:c>
      <x:c r="AG1984" t="str">
        <x:f>IF(NOT(ISNUMBER(T1984)),"PENDING",IF(AF1984&gt;0,"PASS","FAIL"))</x:f>
        <x:v>PASS</x:v>
      </x:c>
      <x:c r="AH1984" t="str">
        <x:f>IF(NOT(ISNUMBER(T1984)),"Needs supplier cost",IF(K1984&lt;&gt;"In stock","Supplier unavailable",IF(AG1984&lt;&gt;"PASS","BLOCK - GT loss risk","Commercially protected")))</x:f>
        <x:v>Commercially protected</x:v>
      </x:c>
      <x:c r="AI1984" t="str">
        <x:v>2026-09-10 Active Sports trade capture</x:v>
      </x:c>
      <x:c r="AJ1984" t="str">
        <x:v>Management-only economics. Stripe stress test uses 1.5% + £0.20 standard UK online-card fee; pallet/mix-and-match pricing ignored.</x:v>
      </x:c>
    </x:row>
    <x:row r="1985">
      <x:c r="A1985" t="str">
        <x:v>Active Sports Nutrition</x:v>
      </x:c>
      <x:c r="B1985" t="str">
        <x:v>Olimp</x:v>
      </x:c>
      <x:c r="C1985" t="str">
        <x:v>Creatine Monohydrate Xplode Powder</x:v>
      </x:c>
      <x:c r="D1985" t="str">
        <x:v>Supplements</x:v>
      </x:c>
      <x:c r="E1985" t="str">
        <x:v>Creatine Powders</x:v>
      </x:c>
      <x:c r="F1985" t="str"/>
      <x:c r="G1985" t="str">
        <x:v>500g bag</x:v>
      </x:c>
      <x:c r="H1985" t="str">
        <x:v>Lemon</x:v>
      </x:c>
      <x:c r="I1985" t="str"/>
      <x:c r="J1985" t="str">
        <x:v>Unit</x:v>
      </x:c>
      <x:c r="K1985" t="str">
        <x:v>In stock</x:v>
      </x:c>
      <x:c r="L1985" t="str">
        <x:v>2026-09-08</x:v>
      </x:c>
      <x:c r="M1985" t="str"/>
      <x:c r="N1985" t="str"/>
      <x:c r="O1985" t="str">
        <x:v>https://www.activesportstrade.co.uk/Creatine-Powders-Trade</x:v>
      </x:c>
      <x:c r="P1985" t="str">
        <x:v>SPECIAL OFFER wording stripped from canonical title.</x:v>
      </x:c>
      <x:c r="Q1985" t="str"/>
      <x:c r="R1985" t="str"/>
      <x:c r="S1985" t="str">
        <x:v>Pending genuine supplier/brand image</x:v>
      </x:c>
      <x:c r="T1985" s="54" t="n">
        <x:v>8.99</x:v>
      </x:c>
      <x:c r="U1985" s="47" t="n">
        <x:v>0.2</x:v>
      </x:c>
      <x:c r="V1985" s="54" t="n">
        <x:f>IF(ISNUMBER(T1985),T1985*(1+U1985),"")</x:f>
        <x:v>10.788</x:v>
      </x:c>
      <x:c r="W1985" s="47" t="n">
        <x:v>0.3</x:v>
      </x:c>
      <x:c r="X1985" s="54" t="n">
        <x:f>IF(ISNUMBER(V1985),V1985/(1-W1985),"")</x:f>
        <x:v>15.411428571428573</x:v>
      </x:c>
      <x:c r="Y1985" s="55" t="n">
        <x:f>IF(ISNUMBER(X1985),ROUNDUP(X1985,0),"")</x:f>
        <x:v>16</x:v>
      </x:c>
      <x:c r="Z1985" t="str">
        <x:v>Source match pending</x:v>
      </x:c>
      <x:c r="AA1985" t="str">
        <x:v>screencapture-www-activesportstrade-co-uk-olimp-trade-2026-09-10-09_05_33.pdf / page-06</x:v>
      </x:c>
      <x:c r="AB1985" s="36" t="n">
        <x:f>IF(ISNUMBER(Y1985),ROUND(Y1985*0.9,2),"")</x:f>
        <x:v>14.4</x:v>
      </x:c>
      <x:c r="AC1985" s="36" t="n">
        <x:f>IF(ISNUMBER(AB1985),ROUND(AB1985-(AB1985*0.015+0.2)-V1985,2),"")</x:f>
        <x:v>3.2</x:v>
      </x:c>
      <x:c r="AD1985" s="36" t="n">
        <x:f>IF(ISNUMBER(Y1985),ROUND(Y1985*0.8,2),"")</x:f>
        <x:v>12.8</x:v>
      </x:c>
      <x:c r="AE1985" s="36" t="n">
        <x:f>IF(ISNUMBER(AD1985),ROUND(AD1985*0.015+0.2,2),"")</x:f>
        <x:v>0.39</x:v>
      </x:c>
      <x:c r="AF1985" s="36" t="n">
        <x:f>IF(ISNUMBER(AD1985),ROUND(AD1985-AE1985-V1985,2),"")</x:f>
        <x:v>1.62</x:v>
      </x:c>
      <x:c r="AG1985" t="str">
        <x:f>IF(NOT(ISNUMBER(T1985)),"PENDING",IF(AF1985&gt;0,"PASS","FAIL"))</x:f>
        <x:v>PASS</x:v>
      </x:c>
      <x:c r="AH1985" t="str">
        <x:f>IF(NOT(ISNUMBER(T1985)),"Needs supplier cost",IF(K1985&lt;&gt;"In stock","Supplier unavailable",IF(AG1985&lt;&gt;"PASS","BLOCK - GT loss risk","Commercially protected")))</x:f>
        <x:v>Commercially protected</x:v>
      </x:c>
      <x:c r="AI1985" t="str">
        <x:v>2026-09-10 Active Sports trade capture</x:v>
      </x:c>
      <x:c r="AJ1985" t="str">
        <x:v>Management-only economics. Stripe stress test uses 1.5% + £0.20 standard UK online-card fee; pallet/mix-and-match pricing ignored.</x:v>
      </x:c>
    </x:row>
    <x:row r="1986">
      <x:c r="A1986" t="str">
        <x:v>Active Sports Nutrition</x:v>
      </x:c>
      <x:c r="B1986" t="str">
        <x:v>Olimp</x:v>
      </x:c>
      <x:c r="C1986" t="str">
        <x:v>Creatine Monohydrate Xplode Powder</x:v>
      </x:c>
      <x:c r="D1986" t="str">
        <x:v>Supplements</x:v>
      </x:c>
      <x:c r="E1986" t="str">
        <x:v>Creatine Powders</x:v>
      </x:c>
      <x:c r="F1986" t="str"/>
      <x:c r="G1986" t="str">
        <x:v>500g bag</x:v>
      </x:c>
      <x:c r="H1986" t="str">
        <x:v>Orange</x:v>
      </x:c>
      <x:c r="I1986" t="str"/>
      <x:c r="J1986" t="str">
        <x:v>Unit</x:v>
      </x:c>
      <x:c r="K1986" t="str">
        <x:v>Out of stock</x:v>
      </x:c>
      <x:c r="L1986" t="str">
        <x:v>2026-09-08</x:v>
      </x:c>
      <x:c r="M1986" t="str"/>
      <x:c r="N1986" t="str"/>
      <x:c r="O1986" t="str">
        <x:v>https://www.activesportstrade.co.uk/Creatine-Powders-Trade</x:v>
      </x:c>
      <x:c r="P1986" t="str">
        <x:v>SPECIAL OFFER wording stripped from canonical title.</x:v>
      </x:c>
      <x:c r="Q1986" t="str"/>
      <x:c r="R1986" t="str"/>
      <x:c r="S1986" t="str">
        <x:v>Pending genuine supplier/brand image</x:v>
      </x:c>
      <x:c r="T1986" s="54" t="n">
        <x:v>8.99</x:v>
      </x:c>
      <x:c r="U1986" s="47" t="n">
        <x:v>0.2</x:v>
      </x:c>
      <x:c r="V1986" s="54" t="n">
        <x:f>IF(ISNUMBER(T1986),T1986*(1+U1986),"")</x:f>
        <x:v>10.788</x:v>
      </x:c>
      <x:c r="W1986" s="47" t="n">
        <x:v>0.3</x:v>
      </x:c>
      <x:c r="X1986" s="54" t="n">
        <x:f>IF(ISNUMBER(V1986),V1986/(1-W1986),"")</x:f>
        <x:v>15.411428571428573</x:v>
      </x:c>
      <x:c r="Y1986" s="55" t="n">
        <x:f>IF(ISNUMBER(X1986),ROUNDUP(X1986,0),"")</x:f>
        <x:v>16</x:v>
      </x:c>
      <x:c r="Z1986" t="str">
        <x:v>Source match pending</x:v>
      </x:c>
      <x:c r="AA1986" t="str">
        <x:v>screencapture-www-activesportstrade-co-uk-olimp-trade-2026-09-10-09_05_33.pdf / page-06</x:v>
      </x:c>
      <x:c r="AB1986" s="36" t="n">
        <x:f>IF(ISNUMBER(Y1986),ROUND(Y1986*0.9,2),"")</x:f>
        <x:v>14.4</x:v>
      </x:c>
      <x:c r="AC1986" s="36" t="n">
        <x:f>IF(ISNUMBER(AB1986),ROUND(AB1986-(AB1986*0.015+0.2)-V1986,2),"")</x:f>
        <x:v>3.2</x:v>
      </x:c>
      <x:c r="AD1986" s="36" t="n">
        <x:f>IF(ISNUMBER(Y1986),ROUND(Y1986*0.8,2),"")</x:f>
        <x:v>12.8</x:v>
      </x:c>
      <x:c r="AE1986" s="36" t="n">
        <x:f>IF(ISNUMBER(AD1986),ROUND(AD1986*0.015+0.2,2),"")</x:f>
        <x:v>0.39</x:v>
      </x:c>
      <x:c r="AF1986" s="36" t="n">
        <x:f>IF(ISNUMBER(AD1986),ROUND(AD1986-AE1986-V1986,2),"")</x:f>
        <x:v>1.62</x:v>
      </x:c>
      <x:c r="AG1986" t="str">
        <x:f>IF(NOT(ISNUMBER(T1986)),"PENDING",IF(AF1986&gt;0,"PASS","FAIL"))</x:f>
        <x:v>PASS</x:v>
      </x:c>
      <x:c r="AH1986" t="str">
        <x:f>IF(NOT(ISNUMBER(T1986)),"Needs supplier cost",IF(K1986&lt;&gt;"In stock","Supplier unavailable",IF(AG1986&lt;&gt;"PASS","BLOCK - GT loss risk","Commercially protected")))</x:f>
        <x:v>Supplier unavailable</x:v>
      </x:c>
      <x:c r="AI1986" t="str">
        <x:v>2026-09-10 Active Sports trade capture</x:v>
      </x:c>
      <x:c r="AJ1986" t="str">
        <x:v>Management-only economics. Stripe stress test uses 1.5% + £0.20 standard UK online-card fee; pallet/mix-and-match pricing ignored.</x:v>
      </x:c>
    </x:row>
    <x:row r="1987">
      <x:c r="A1987" t="str">
        <x:v>Active Sports Nutrition</x:v>
      </x:c>
      <x:c r="B1987" t="str">
        <x:v>Olimp</x:v>
      </x:c>
      <x:c r="C1987" t="str">
        <x:v>Carbo Nox</x:v>
      </x:c>
      <x:c r="D1987" t="str">
        <x:v>Supplements</x:v>
      </x:c>
      <x:c r="E1987" t="str">
        <x:v>Carbohydrates</x:v>
      </x:c>
      <x:c r="F1987" t="str"/>
      <x:c r="G1987" t="str">
        <x:v>3.5kg</x:v>
      </x:c>
      <x:c r="H1987" t="str">
        <x:v>Blue Raspberry</x:v>
      </x:c>
      <x:c r="I1987" t="str"/>
      <x:c r="J1987" t="str">
        <x:v>Unit</x:v>
      </x:c>
      <x:c r="K1987" t="str">
        <x:v>In stock</x:v>
      </x:c>
      <x:c r="L1987" t="str">
        <x:v>2026-09-08</x:v>
      </x:c>
      <x:c r="M1987" t="str"/>
      <x:c r="N1987" t="str"/>
      <x:c r="O1987" t="str">
        <x:v>https://www.activesportstrade.co.uk/Carb-Powders</x:v>
      </x:c>
      <x:c r="P1987" t="str"/>
      <x:c r="Q1987" t="str"/>
      <x:c r="R1987" t="str"/>
      <x:c r="S1987" t="str">
        <x:v>Pending genuine supplier/brand image</x:v>
      </x:c>
      <x:c r="T1987" s="54" t="n">
        <x:v>23.99</x:v>
      </x:c>
      <x:c r="U1987" s="47" t="n">
        <x:v>0.2</x:v>
      </x:c>
      <x:c r="V1987" s="54" t="n">
        <x:f>IF(ISNUMBER(T1987),T1987*(1+U1987),"")</x:f>
        <x:v>28.787999999999997</x:v>
      </x:c>
      <x:c r="W1987" s="47" t="n">
        <x:v>0.3</x:v>
      </x:c>
      <x:c r="X1987" s="54" t="n">
        <x:f>IF(ISNUMBER(V1987),V1987/(1-W1987),"")</x:f>
        <x:v>41.12571428571428</x:v>
      </x:c>
      <x:c r="Y1987" s="55" t="n">
        <x:f>IF(ISNUMBER(X1987),ROUNDUP(X1987,0),"")</x:f>
        <x:v>42</x:v>
      </x:c>
      <x:c r="Z1987" t="str">
        <x:v>Source match pending</x:v>
      </x:c>
      <x:c r="AA1987" t="str">
        <x:v>screencapture-www-activesportstrade-co-uk-olimp-trade-2026-09-10-09_05_33.pdf / page-04</x:v>
      </x:c>
      <x:c r="AB1987" s="36" t="n">
        <x:f>IF(ISNUMBER(Y1987),ROUND(Y1987*0.9,2),"")</x:f>
        <x:v>37.8</x:v>
      </x:c>
      <x:c r="AC1987" s="36" t="n">
        <x:f>IF(ISNUMBER(AB1987),ROUND(AB1987-(AB1987*0.015+0.2)-V1987,2),"")</x:f>
        <x:v>8.24</x:v>
      </x:c>
      <x:c r="AD1987" s="36" t="n">
        <x:f>IF(ISNUMBER(Y1987),ROUND(Y1987*0.8,2),"")</x:f>
        <x:v>33.6</x:v>
      </x:c>
      <x:c r="AE1987" s="36" t="n">
        <x:f>IF(ISNUMBER(AD1987),ROUND(AD1987*0.015+0.2,2),"")</x:f>
        <x:v>0.7</x:v>
      </x:c>
      <x:c r="AF1987" s="36" t="n">
        <x:f>IF(ISNUMBER(AD1987),ROUND(AD1987-AE1987-V1987,2),"")</x:f>
        <x:v>4.11</x:v>
      </x:c>
      <x:c r="AG1987" t="str">
        <x:f>IF(NOT(ISNUMBER(T1987)),"PENDING",IF(AF1987&gt;0,"PASS","FAIL"))</x:f>
        <x:v>PASS</x:v>
      </x:c>
      <x:c r="AH1987" t="str">
        <x:f>IF(NOT(ISNUMBER(T1987)),"Needs supplier cost",IF(K1987&lt;&gt;"In stock","Supplier unavailable",IF(AG1987&lt;&gt;"PASS","BLOCK - GT loss risk","Commercially protected")))</x:f>
        <x:v>Commercially protected</x:v>
      </x:c>
      <x:c r="AI1987" t="str">
        <x:v>2026-09-10 Active Sports trade capture</x:v>
      </x:c>
      <x:c r="AJ1987" t="str">
        <x:v>Management-only economics. Stripe stress test uses 1.5% + £0.20 standard UK online-card fee; pallet/mix-and-match pricing ignored.</x:v>
      </x:c>
    </x:row>
    <x:row r="1988">
      <x:c r="A1988" t="str">
        <x:v>Active Sports Nutrition</x:v>
      </x:c>
      <x:c r="B1988" t="str">
        <x:v>Olimp</x:v>
      </x:c>
      <x:c r="C1988" t="str">
        <x:v>Carbo Nox</x:v>
      </x:c>
      <x:c r="D1988" t="str">
        <x:v>Supplements</x:v>
      </x:c>
      <x:c r="E1988" t="str">
        <x:v>Carbohydrates</x:v>
      </x:c>
      <x:c r="F1988" t="str"/>
      <x:c r="G1988" t="str">
        <x:v>3.5kg</x:v>
      </x:c>
      <x:c r="H1988" t="str">
        <x:v>Cherry Cola</x:v>
      </x:c>
      <x:c r="I1988" t="str"/>
      <x:c r="J1988" t="str">
        <x:v>Unit</x:v>
      </x:c>
      <x:c r="K1988" t="str">
        <x:v>In stock</x:v>
      </x:c>
      <x:c r="L1988" t="str">
        <x:v>2026-09-08</x:v>
      </x:c>
      <x:c r="M1988" t="str"/>
      <x:c r="N1988" t="str"/>
      <x:c r="O1988" t="str">
        <x:v>https://www.activesportstrade.co.uk/Carb-Powders</x:v>
      </x:c>
      <x:c r="P1988" t="str"/>
      <x:c r="Q1988" t="str"/>
      <x:c r="R1988" t="str"/>
      <x:c r="S1988" t="str">
        <x:v>Pending genuine supplier/brand image</x:v>
      </x:c>
      <x:c r="T1988" s="54" t="n">
        <x:v>23.99</x:v>
      </x:c>
      <x:c r="U1988" s="47" t="n">
        <x:v>0.2</x:v>
      </x:c>
      <x:c r="V1988" s="54" t="n">
        <x:f>IF(ISNUMBER(T1988),T1988*(1+U1988),"")</x:f>
        <x:v>28.787999999999997</x:v>
      </x:c>
      <x:c r="W1988" s="47" t="n">
        <x:v>0.3</x:v>
      </x:c>
      <x:c r="X1988" s="54" t="n">
        <x:f>IF(ISNUMBER(V1988),V1988/(1-W1988),"")</x:f>
        <x:v>41.12571428571428</x:v>
      </x:c>
      <x:c r="Y1988" s="55" t="n">
        <x:f>IF(ISNUMBER(X1988),ROUNDUP(X1988,0),"")</x:f>
        <x:v>42</x:v>
      </x:c>
      <x:c r="Z1988" t="str">
        <x:v>Source match pending</x:v>
      </x:c>
      <x:c r="AA1988" t="str">
        <x:v>screencapture-www-activesportstrade-co-uk-olimp-trade-2026-09-10-09_05_33.pdf / page-04</x:v>
      </x:c>
      <x:c r="AB1988" s="36" t="n">
        <x:f>IF(ISNUMBER(Y1988),ROUND(Y1988*0.9,2),"")</x:f>
        <x:v>37.8</x:v>
      </x:c>
      <x:c r="AC1988" s="36" t="n">
        <x:f>IF(ISNUMBER(AB1988),ROUND(AB1988-(AB1988*0.015+0.2)-V1988,2),"")</x:f>
        <x:v>8.24</x:v>
      </x:c>
      <x:c r="AD1988" s="36" t="n">
        <x:f>IF(ISNUMBER(Y1988),ROUND(Y1988*0.8,2),"")</x:f>
        <x:v>33.6</x:v>
      </x:c>
      <x:c r="AE1988" s="36" t="n">
        <x:f>IF(ISNUMBER(AD1988),ROUND(AD1988*0.015+0.2,2),"")</x:f>
        <x:v>0.7</x:v>
      </x:c>
      <x:c r="AF1988" s="36" t="n">
        <x:f>IF(ISNUMBER(AD1988),ROUND(AD1988-AE1988-V1988,2),"")</x:f>
        <x:v>4.11</x:v>
      </x:c>
      <x:c r="AG1988" t="str">
        <x:f>IF(NOT(ISNUMBER(T1988)),"PENDING",IF(AF1988&gt;0,"PASS","FAIL"))</x:f>
        <x:v>PASS</x:v>
      </x:c>
      <x:c r="AH1988" t="str">
        <x:f>IF(NOT(ISNUMBER(T1988)),"Needs supplier cost",IF(K1988&lt;&gt;"In stock","Supplier unavailable",IF(AG1988&lt;&gt;"PASS","BLOCK - GT loss risk","Commercially protected")))</x:f>
        <x:v>Commercially protected</x:v>
      </x:c>
      <x:c r="AI1988" t="str">
        <x:v>2026-09-10 Active Sports trade capture</x:v>
      </x:c>
      <x:c r="AJ1988" t="str">
        <x:v>Management-only economics. Stripe stress test uses 1.5% + £0.20 standard UK online-card fee; pallet/mix-and-match pricing ignored.</x:v>
      </x:c>
    </x:row>
    <x:row r="1989">
      <x:c r="A1989" t="str">
        <x:v>Active Sports Nutrition</x:v>
      </x:c>
      <x:c r="B1989" t="str">
        <x:v>Olimp</x:v>
      </x:c>
      <x:c r="C1989" t="str">
        <x:v>Carbo Nox</x:v>
      </x:c>
      <x:c r="D1989" t="str">
        <x:v>Supplements</x:v>
      </x:c>
      <x:c r="E1989" t="str">
        <x:v>Carbohydrates</x:v>
      </x:c>
      <x:c r="F1989" t="str"/>
      <x:c r="G1989" t="str">
        <x:v>3.5kg</x:v>
      </x:c>
      <x:c r="H1989" t="str">
        <x:v>Grapefruit</x:v>
      </x:c>
      <x:c r="I1989" t="str"/>
      <x:c r="J1989" t="str">
        <x:v>Unit</x:v>
      </x:c>
      <x:c r="K1989" t="str">
        <x:v>In stock</x:v>
      </x:c>
      <x:c r="L1989" t="str">
        <x:v>2026-09-08</x:v>
      </x:c>
      <x:c r="M1989" t="str"/>
      <x:c r="N1989" t="str"/>
      <x:c r="O1989" t="str">
        <x:v>https://www.activesportstrade.co.uk/Carb-Powders</x:v>
      </x:c>
      <x:c r="P1989" t="str"/>
      <x:c r="Q1989" t="str"/>
      <x:c r="R1989" t="str"/>
      <x:c r="S1989" t="str">
        <x:v>Pending genuine supplier/brand image</x:v>
      </x:c>
      <x:c r="T1989" s="54" t="n">
        <x:v>23.99</x:v>
      </x:c>
      <x:c r="U1989" s="47" t="n">
        <x:v>0.2</x:v>
      </x:c>
      <x:c r="V1989" s="54" t="n">
        <x:f>IF(ISNUMBER(T1989),T1989*(1+U1989),"")</x:f>
        <x:v>28.787999999999997</x:v>
      </x:c>
      <x:c r="W1989" s="47" t="n">
        <x:v>0.3</x:v>
      </x:c>
      <x:c r="X1989" s="54" t="n">
        <x:f>IF(ISNUMBER(V1989),V1989/(1-W1989),"")</x:f>
        <x:v>41.12571428571428</x:v>
      </x:c>
      <x:c r="Y1989" s="55" t="n">
        <x:f>IF(ISNUMBER(X1989),ROUNDUP(X1989,0),"")</x:f>
        <x:v>42</x:v>
      </x:c>
      <x:c r="Z1989" t="str">
        <x:v>Source match pending</x:v>
      </x:c>
      <x:c r="AA1989" t="str">
        <x:v>screencapture-www-activesportstrade-co-uk-olimp-trade-2026-09-10-09_05_33.pdf / page-04</x:v>
      </x:c>
      <x:c r="AB1989" s="36" t="n">
        <x:f>IF(ISNUMBER(Y1989),ROUND(Y1989*0.9,2),"")</x:f>
        <x:v>37.8</x:v>
      </x:c>
      <x:c r="AC1989" s="36" t="n">
        <x:f>IF(ISNUMBER(AB1989),ROUND(AB1989-(AB1989*0.015+0.2)-V1989,2),"")</x:f>
        <x:v>8.24</x:v>
      </x:c>
      <x:c r="AD1989" s="36" t="n">
        <x:f>IF(ISNUMBER(Y1989),ROUND(Y1989*0.8,2),"")</x:f>
        <x:v>33.6</x:v>
      </x:c>
      <x:c r="AE1989" s="36" t="n">
        <x:f>IF(ISNUMBER(AD1989),ROUND(AD1989*0.015+0.2,2),"")</x:f>
        <x:v>0.7</x:v>
      </x:c>
      <x:c r="AF1989" s="36" t="n">
        <x:f>IF(ISNUMBER(AD1989),ROUND(AD1989-AE1989-V1989,2),"")</x:f>
        <x:v>4.11</x:v>
      </x:c>
      <x:c r="AG1989" t="str">
        <x:f>IF(NOT(ISNUMBER(T1989)),"PENDING",IF(AF1989&gt;0,"PASS","FAIL"))</x:f>
        <x:v>PASS</x:v>
      </x:c>
      <x:c r="AH1989" t="str">
        <x:f>IF(NOT(ISNUMBER(T1989)),"Needs supplier cost",IF(K1989&lt;&gt;"In stock","Supplier unavailable",IF(AG1989&lt;&gt;"PASS","BLOCK - GT loss risk","Commercially protected")))</x:f>
        <x:v>Commercially protected</x:v>
      </x:c>
      <x:c r="AI1989" t="str">
        <x:v>2026-09-10 Active Sports trade capture</x:v>
      </x:c>
      <x:c r="AJ1989" t="str">
        <x:v>Management-only economics. Stripe stress test uses 1.5% + £0.20 standard UK online-card fee; pallet/mix-and-match pricing ignored.</x:v>
      </x:c>
    </x:row>
    <x:row r="1990">
      <x:c r="A1990" t="str">
        <x:v>Active Sports Nutrition</x:v>
      </x:c>
      <x:c r="B1990" t="str">
        <x:v>Olimp</x:v>
      </x:c>
      <x:c r="C1990" t="str">
        <x:v>Carbo Nox</x:v>
      </x:c>
      <x:c r="D1990" t="str">
        <x:v>Supplements</x:v>
      </x:c>
      <x:c r="E1990" t="str">
        <x:v>Carbohydrates</x:v>
      </x:c>
      <x:c r="F1990" t="str"/>
      <x:c r="G1990" t="str">
        <x:v>3.5kg</x:v>
      </x:c>
      <x:c r="H1990" t="str">
        <x:v>Lemon</x:v>
      </x:c>
      <x:c r="I1990" t="str"/>
      <x:c r="J1990" t="str">
        <x:v>Unit</x:v>
      </x:c>
      <x:c r="K1990" t="str">
        <x:v>In stock</x:v>
      </x:c>
      <x:c r="L1990" t="str">
        <x:v>2026-09-08</x:v>
      </x:c>
      <x:c r="M1990" t="str"/>
      <x:c r="N1990" t="str"/>
      <x:c r="O1990" t="str">
        <x:v>https://www.activesportstrade.co.uk/Carb-Powders</x:v>
      </x:c>
      <x:c r="P1990" t="str"/>
      <x:c r="Q1990" t="str"/>
      <x:c r="R1990" t="str"/>
      <x:c r="S1990" t="str">
        <x:v>Pending genuine supplier/brand image</x:v>
      </x:c>
      <x:c r="T1990" s="54" t="n">
        <x:v>23.99</x:v>
      </x:c>
      <x:c r="U1990" s="47" t="n">
        <x:v>0.2</x:v>
      </x:c>
      <x:c r="V1990" s="54" t="n">
        <x:f>IF(ISNUMBER(T1990),T1990*(1+U1990),"")</x:f>
        <x:v>28.787999999999997</x:v>
      </x:c>
      <x:c r="W1990" s="47" t="n">
        <x:v>0.3</x:v>
      </x:c>
      <x:c r="X1990" s="54" t="n">
        <x:f>IF(ISNUMBER(V1990),V1990/(1-W1990),"")</x:f>
        <x:v>41.12571428571428</x:v>
      </x:c>
      <x:c r="Y1990" s="55" t="n">
        <x:f>IF(ISNUMBER(X1990),ROUNDUP(X1990,0),"")</x:f>
        <x:v>42</x:v>
      </x:c>
      <x:c r="Z1990" t="str">
        <x:v>Source match pending</x:v>
      </x:c>
      <x:c r="AA1990" t="str">
        <x:v>screencapture-www-activesportstrade-co-uk-olimp-trade-2026-09-10-09_05_33.pdf / page-04</x:v>
      </x:c>
      <x:c r="AB1990" s="36" t="n">
        <x:f>IF(ISNUMBER(Y1990),ROUND(Y1990*0.9,2),"")</x:f>
        <x:v>37.8</x:v>
      </x:c>
      <x:c r="AC1990" s="36" t="n">
        <x:f>IF(ISNUMBER(AB1990),ROUND(AB1990-(AB1990*0.015+0.2)-V1990,2),"")</x:f>
        <x:v>8.24</x:v>
      </x:c>
      <x:c r="AD1990" s="36" t="n">
        <x:f>IF(ISNUMBER(Y1990),ROUND(Y1990*0.8,2),"")</x:f>
        <x:v>33.6</x:v>
      </x:c>
      <x:c r="AE1990" s="36" t="n">
        <x:f>IF(ISNUMBER(AD1990),ROUND(AD1990*0.015+0.2,2),"")</x:f>
        <x:v>0.7</x:v>
      </x:c>
      <x:c r="AF1990" s="36" t="n">
        <x:f>IF(ISNUMBER(AD1990),ROUND(AD1990-AE1990-V1990,2),"")</x:f>
        <x:v>4.11</x:v>
      </x:c>
      <x:c r="AG1990" t="str">
        <x:f>IF(NOT(ISNUMBER(T1990)),"PENDING",IF(AF1990&gt;0,"PASS","FAIL"))</x:f>
        <x:v>PASS</x:v>
      </x:c>
      <x:c r="AH1990" t="str">
        <x:f>IF(NOT(ISNUMBER(T1990)),"Needs supplier cost",IF(K1990&lt;&gt;"In stock","Supplier unavailable",IF(AG1990&lt;&gt;"PASS","BLOCK - GT loss risk","Commercially protected")))</x:f>
        <x:v>Commercially protected</x:v>
      </x:c>
      <x:c r="AI1990" t="str">
        <x:v>2026-09-10 Active Sports trade capture</x:v>
      </x:c>
      <x:c r="AJ1990" t="str">
        <x:v>Management-only economics. Stripe stress test uses 1.5% + £0.20 standard UK online-card fee; pallet/mix-and-match pricing ignored.</x:v>
      </x:c>
    </x:row>
    <x:row r="1991">
      <x:c r="A1991" t="str">
        <x:v>Active Sports Nutrition</x:v>
      </x:c>
      <x:c r="B1991" t="str">
        <x:v>Olimp</x:v>
      </x:c>
      <x:c r="C1991" t="str">
        <x:v>Carbo Nox</x:v>
      </x:c>
      <x:c r="D1991" t="str">
        <x:v>Supplements</x:v>
      </x:c>
      <x:c r="E1991" t="str">
        <x:v>Carbohydrates</x:v>
      </x:c>
      <x:c r="F1991" t="str"/>
      <x:c r="G1991" t="str">
        <x:v>3.5kg</x:v>
      </x:c>
      <x:c r="H1991" t="str">
        <x:v>Orange</x:v>
      </x:c>
      <x:c r="I1991" t="str"/>
      <x:c r="J1991" t="str">
        <x:v>Unit</x:v>
      </x:c>
      <x:c r="K1991" t="str">
        <x:v>In stock</x:v>
      </x:c>
      <x:c r="L1991" t="str">
        <x:v>2026-09-08</x:v>
      </x:c>
      <x:c r="M1991" t="str"/>
      <x:c r="N1991" t="str"/>
      <x:c r="O1991" t="str">
        <x:v>https://www.activesportstrade.co.uk/Carb-Powders</x:v>
      </x:c>
      <x:c r="P1991" t="str"/>
      <x:c r="Q1991" t="str"/>
      <x:c r="R1991" t="str"/>
      <x:c r="S1991" t="str">
        <x:v>Pending genuine supplier/brand image</x:v>
      </x:c>
      <x:c r="T1991" s="54" t="n">
        <x:v>23.99</x:v>
      </x:c>
      <x:c r="U1991" s="47" t="n">
        <x:v>0.2</x:v>
      </x:c>
      <x:c r="V1991" s="54" t="n">
        <x:f>IF(ISNUMBER(T1991),T1991*(1+U1991),"")</x:f>
        <x:v>28.787999999999997</x:v>
      </x:c>
      <x:c r="W1991" s="47" t="n">
        <x:v>0.3</x:v>
      </x:c>
      <x:c r="X1991" s="54" t="n">
        <x:f>IF(ISNUMBER(V1991),V1991/(1-W1991),"")</x:f>
        <x:v>41.12571428571428</x:v>
      </x:c>
      <x:c r="Y1991" s="55" t="n">
        <x:f>IF(ISNUMBER(X1991),ROUNDUP(X1991,0),"")</x:f>
        <x:v>42</x:v>
      </x:c>
      <x:c r="Z1991" t="str">
        <x:v>Source match pending</x:v>
      </x:c>
      <x:c r="AA1991" t="str">
        <x:v>screencapture-www-activesportstrade-co-uk-olimp-trade-2026-09-10-09_05_33.pdf / page-04</x:v>
      </x:c>
      <x:c r="AB1991" s="36" t="n">
        <x:f>IF(ISNUMBER(Y1991),ROUND(Y1991*0.9,2),"")</x:f>
        <x:v>37.8</x:v>
      </x:c>
      <x:c r="AC1991" s="36" t="n">
        <x:f>IF(ISNUMBER(AB1991),ROUND(AB1991-(AB1991*0.015+0.2)-V1991,2),"")</x:f>
        <x:v>8.24</x:v>
      </x:c>
      <x:c r="AD1991" s="36" t="n">
        <x:f>IF(ISNUMBER(Y1991),ROUND(Y1991*0.8,2),"")</x:f>
        <x:v>33.6</x:v>
      </x:c>
      <x:c r="AE1991" s="36" t="n">
        <x:f>IF(ISNUMBER(AD1991),ROUND(AD1991*0.015+0.2,2),"")</x:f>
        <x:v>0.7</x:v>
      </x:c>
      <x:c r="AF1991" s="36" t="n">
        <x:f>IF(ISNUMBER(AD1991),ROUND(AD1991-AE1991-V1991,2),"")</x:f>
        <x:v>4.11</x:v>
      </x:c>
      <x:c r="AG1991" t="str">
        <x:f>IF(NOT(ISNUMBER(T1991)),"PENDING",IF(AF1991&gt;0,"PASS","FAIL"))</x:f>
        <x:v>PASS</x:v>
      </x:c>
      <x:c r="AH1991" t="str">
        <x:f>IF(NOT(ISNUMBER(T1991)),"Needs supplier cost",IF(K1991&lt;&gt;"In stock","Supplier unavailable",IF(AG1991&lt;&gt;"PASS","BLOCK - GT loss risk","Commercially protected")))</x:f>
        <x:v>Commercially protected</x:v>
      </x:c>
      <x:c r="AI1991" t="str">
        <x:v>2026-09-10 Active Sports trade capture</x:v>
      </x:c>
      <x:c r="AJ1991" t="str">
        <x:v>Management-only economics. Stripe stress test uses 1.5% + £0.20 standard UK online-card fee; pallet/mix-and-match pricing ignored.</x:v>
      </x:c>
    </x:row>
    <x:row r="1992">
      <x:c r="A1992" t="str">
        <x:v>Active Sports Nutrition</x:v>
      </x:c>
      <x:c r="B1992" t="str">
        <x:v>Olimp</x:v>
      </x:c>
      <x:c r="C1992" t="str">
        <x:v>Carbo Nox</x:v>
      </x:c>
      <x:c r="D1992" t="str">
        <x:v>Supplements</x:v>
      </x:c>
      <x:c r="E1992" t="str">
        <x:v>Carbohydrates</x:v>
      </x:c>
      <x:c r="F1992" t="str"/>
      <x:c r="G1992" t="str">
        <x:v>3.5kg</x:v>
      </x:c>
      <x:c r="H1992" t="str">
        <x:v>Pineapple</x:v>
      </x:c>
      <x:c r="I1992" t="str"/>
      <x:c r="J1992" t="str">
        <x:v>Unit</x:v>
      </x:c>
      <x:c r="K1992" t="str">
        <x:v>In stock</x:v>
      </x:c>
      <x:c r="L1992" t="str">
        <x:v>2026-09-08</x:v>
      </x:c>
      <x:c r="M1992" t="str"/>
      <x:c r="N1992" t="str"/>
      <x:c r="O1992" t="str">
        <x:v>https://www.activesportstrade.co.uk/Carb-Powders</x:v>
      </x:c>
      <x:c r="P1992" t="str"/>
      <x:c r="Q1992" t="str"/>
      <x:c r="R1992" t="str"/>
      <x:c r="S1992" t="str">
        <x:v>Pending genuine supplier/brand image</x:v>
      </x:c>
      <x:c r="T1992" s="54" t="n">
        <x:v>23.99</x:v>
      </x:c>
      <x:c r="U1992" s="47" t="n">
        <x:v>0.2</x:v>
      </x:c>
      <x:c r="V1992" s="54" t="n">
        <x:f>IF(ISNUMBER(T1992),T1992*(1+U1992),"")</x:f>
        <x:v>28.787999999999997</x:v>
      </x:c>
      <x:c r="W1992" s="47" t="n">
        <x:v>0.3</x:v>
      </x:c>
      <x:c r="X1992" s="54" t="n">
        <x:f>IF(ISNUMBER(V1992),V1992/(1-W1992),"")</x:f>
        <x:v>41.12571428571428</x:v>
      </x:c>
      <x:c r="Y1992" s="55" t="n">
        <x:f>IF(ISNUMBER(X1992),ROUNDUP(X1992,0),"")</x:f>
        <x:v>42</x:v>
      </x:c>
      <x:c r="Z1992" t="str">
        <x:v>Source match pending</x:v>
      </x:c>
      <x:c r="AA1992" t="str">
        <x:v>screencapture-www-activesportstrade-co-uk-olimp-trade-2026-09-10-09_05_33.pdf / page-04</x:v>
      </x:c>
      <x:c r="AB1992" s="36" t="n">
        <x:f>IF(ISNUMBER(Y1992),ROUND(Y1992*0.9,2),"")</x:f>
        <x:v>37.8</x:v>
      </x:c>
      <x:c r="AC1992" s="36" t="n">
        <x:f>IF(ISNUMBER(AB1992),ROUND(AB1992-(AB1992*0.015+0.2)-V1992,2),"")</x:f>
        <x:v>8.24</x:v>
      </x:c>
      <x:c r="AD1992" s="36" t="n">
        <x:f>IF(ISNUMBER(Y1992),ROUND(Y1992*0.8,2),"")</x:f>
        <x:v>33.6</x:v>
      </x:c>
      <x:c r="AE1992" s="36" t="n">
        <x:f>IF(ISNUMBER(AD1992),ROUND(AD1992*0.015+0.2,2),"")</x:f>
        <x:v>0.7</x:v>
      </x:c>
      <x:c r="AF1992" s="36" t="n">
        <x:f>IF(ISNUMBER(AD1992),ROUND(AD1992-AE1992-V1992,2),"")</x:f>
        <x:v>4.11</x:v>
      </x:c>
      <x:c r="AG1992" t="str">
        <x:f>IF(NOT(ISNUMBER(T1992)),"PENDING",IF(AF1992&gt;0,"PASS","FAIL"))</x:f>
        <x:v>PASS</x:v>
      </x:c>
      <x:c r="AH1992" t="str">
        <x:f>IF(NOT(ISNUMBER(T1992)),"Needs supplier cost",IF(K1992&lt;&gt;"In stock","Supplier unavailable",IF(AG1992&lt;&gt;"PASS","BLOCK - GT loss risk","Commercially protected")))</x:f>
        <x:v>Commercially protected</x:v>
      </x:c>
      <x:c r="AI1992" t="str">
        <x:v>2026-09-10 Active Sports trade capture</x:v>
      </x:c>
      <x:c r="AJ1992" t="str">
        <x:v>Management-only economics. Stripe stress test uses 1.5% + £0.20 standard UK online-card fee; pallet/mix-and-match pricing ignored.</x:v>
      </x:c>
    </x:row>
    <x:row r="1993">
      <x:c r="A1993" t="str">
        <x:v>Active Sports Nutrition</x:v>
      </x:c>
      <x:c r="B1993" t="str">
        <x:v>Olimp</x:v>
      </x:c>
      <x:c r="C1993" t="str">
        <x:v>Carbo Nox</x:v>
      </x:c>
      <x:c r="D1993" t="str">
        <x:v>Supplements</x:v>
      </x:c>
      <x:c r="E1993" t="str">
        <x:v>Carbohydrates</x:v>
      </x:c>
      <x:c r="F1993" t="str"/>
      <x:c r="G1993" t="str">
        <x:v>3.5kg</x:v>
      </x:c>
      <x:c r="H1993" t="str">
        <x:v>Strawberry</x:v>
      </x:c>
      <x:c r="I1993" t="str"/>
      <x:c r="J1993" t="str">
        <x:v>Unit</x:v>
      </x:c>
      <x:c r="K1993" t="str">
        <x:v>In stock</x:v>
      </x:c>
      <x:c r="L1993" t="str">
        <x:v>2026-09-08</x:v>
      </x:c>
      <x:c r="M1993" t="str"/>
      <x:c r="N1993" t="str"/>
      <x:c r="O1993" t="str">
        <x:v>https://www.activesportstrade.co.uk/Carb-Powders</x:v>
      </x:c>
      <x:c r="P1993" t="str"/>
      <x:c r="Q1993" t="str"/>
      <x:c r="R1993" t="str"/>
      <x:c r="S1993" t="str">
        <x:v>Pending genuine supplier/brand image</x:v>
      </x:c>
      <x:c r="T1993" s="54" t="n">
        <x:v>23.99</x:v>
      </x:c>
      <x:c r="U1993" s="47" t="n">
        <x:v>0.2</x:v>
      </x:c>
      <x:c r="V1993" s="54" t="n">
        <x:f>IF(ISNUMBER(T1993),T1993*(1+U1993),"")</x:f>
        <x:v>28.787999999999997</x:v>
      </x:c>
      <x:c r="W1993" s="47" t="n">
        <x:v>0.3</x:v>
      </x:c>
      <x:c r="X1993" s="54" t="n">
        <x:f>IF(ISNUMBER(V1993),V1993/(1-W1993),"")</x:f>
        <x:v>41.12571428571428</x:v>
      </x:c>
      <x:c r="Y1993" s="55" t="n">
        <x:f>IF(ISNUMBER(X1993),ROUNDUP(X1993,0),"")</x:f>
        <x:v>42</x:v>
      </x:c>
      <x:c r="Z1993" t="str">
        <x:v>Source match pending</x:v>
      </x:c>
      <x:c r="AA1993" t="str">
        <x:v>screencapture-www-activesportstrade-co-uk-olimp-trade-2026-09-10-09_05_33.pdf / page-04</x:v>
      </x:c>
      <x:c r="AB1993" s="36" t="n">
        <x:f>IF(ISNUMBER(Y1993),ROUND(Y1993*0.9,2),"")</x:f>
        <x:v>37.8</x:v>
      </x:c>
      <x:c r="AC1993" s="36" t="n">
        <x:f>IF(ISNUMBER(AB1993),ROUND(AB1993-(AB1993*0.015+0.2)-V1993,2),"")</x:f>
        <x:v>8.24</x:v>
      </x:c>
      <x:c r="AD1993" s="36" t="n">
        <x:f>IF(ISNUMBER(Y1993),ROUND(Y1993*0.8,2),"")</x:f>
        <x:v>33.6</x:v>
      </x:c>
      <x:c r="AE1993" s="36" t="n">
        <x:f>IF(ISNUMBER(AD1993),ROUND(AD1993*0.015+0.2,2),"")</x:f>
        <x:v>0.7</x:v>
      </x:c>
      <x:c r="AF1993" s="36" t="n">
        <x:f>IF(ISNUMBER(AD1993),ROUND(AD1993-AE1993-V1993,2),"")</x:f>
        <x:v>4.11</x:v>
      </x:c>
      <x:c r="AG1993" t="str">
        <x:f>IF(NOT(ISNUMBER(T1993)),"PENDING",IF(AF1993&gt;0,"PASS","FAIL"))</x:f>
        <x:v>PASS</x:v>
      </x:c>
      <x:c r="AH1993" t="str">
        <x:f>IF(NOT(ISNUMBER(T1993)),"Needs supplier cost",IF(K1993&lt;&gt;"In stock","Supplier unavailable",IF(AG1993&lt;&gt;"PASS","BLOCK - GT loss risk","Commercially protected")))</x:f>
        <x:v>Commercially protected</x:v>
      </x:c>
      <x:c r="AI1993" t="str">
        <x:v>2026-09-10 Active Sports trade capture</x:v>
      </x:c>
      <x:c r="AJ1993" t="str">
        <x:v>Management-only economics. Stripe stress test uses 1.5% + £0.20 standard UK online-card fee; pallet/mix-and-match pricing ignored.</x:v>
      </x:c>
    </x:row>
    <x:row r="1994">
      <x:c r="A1994" t="str">
        <x:v>Active Sports Nutrition</x:v>
      </x:c>
      <x:c r="B1994" t="str">
        <x:v>Olimp</x:v>
      </x:c>
      <x:c r="C1994" t="str">
        <x:v>Carbo Nox</x:v>
      </x:c>
      <x:c r="D1994" t="str">
        <x:v>Supplements</x:v>
      </x:c>
      <x:c r="E1994" t="str">
        <x:v>Carbohydrates</x:v>
      </x:c>
      <x:c r="F1994" t="str"/>
      <x:c r="G1994" t="str">
        <x:v>3.5kg</x:v>
      </x:c>
      <x:c r="H1994" t="str">
        <x:v>Watermelon</x:v>
      </x:c>
      <x:c r="I1994" t="str"/>
      <x:c r="J1994" t="str">
        <x:v>Unit</x:v>
      </x:c>
      <x:c r="K1994" t="str">
        <x:v>In stock</x:v>
      </x:c>
      <x:c r="L1994" t="str">
        <x:v>2026-09-08</x:v>
      </x:c>
      <x:c r="M1994" t="str"/>
      <x:c r="N1994" t="str"/>
      <x:c r="O1994" t="str">
        <x:v>https://www.activesportstrade.co.uk/Carb-Powders</x:v>
      </x:c>
      <x:c r="P1994" t="str"/>
      <x:c r="Q1994" t="str"/>
      <x:c r="R1994" t="str"/>
      <x:c r="S1994" t="str">
        <x:v>Pending genuine supplier/brand image</x:v>
      </x:c>
      <x:c r="T1994" s="54" t="n">
        <x:v>23.99</x:v>
      </x:c>
      <x:c r="U1994" s="47" t="n">
        <x:v>0.2</x:v>
      </x:c>
      <x:c r="V1994" s="54" t="n">
        <x:f>IF(ISNUMBER(T1994),T1994*(1+U1994),"")</x:f>
        <x:v>28.787999999999997</x:v>
      </x:c>
      <x:c r="W1994" s="47" t="n">
        <x:v>0.3</x:v>
      </x:c>
      <x:c r="X1994" s="54" t="n">
        <x:f>IF(ISNUMBER(V1994),V1994/(1-W1994),"")</x:f>
        <x:v>41.12571428571428</x:v>
      </x:c>
      <x:c r="Y1994" s="55" t="n">
        <x:f>IF(ISNUMBER(X1994),ROUNDUP(X1994,0),"")</x:f>
        <x:v>42</x:v>
      </x:c>
      <x:c r="Z1994" t="str">
        <x:v>Source match pending</x:v>
      </x:c>
      <x:c r="AA1994" t="str">
        <x:v>screencapture-www-activesportstrade-co-uk-olimp-trade-2026-09-10-09_05_33.pdf / page-04</x:v>
      </x:c>
      <x:c r="AB1994" s="36" t="n">
        <x:f>IF(ISNUMBER(Y1994),ROUND(Y1994*0.9,2),"")</x:f>
        <x:v>37.8</x:v>
      </x:c>
      <x:c r="AC1994" s="36" t="n">
        <x:f>IF(ISNUMBER(AB1994),ROUND(AB1994-(AB1994*0.015+0.2)-V1994,2),"")</x:f>
        <x:v>8.24</x:v>
      </x:c>
      <x:c r="AD1994" s="36" t="n">
        <x:f>IF(ISNUMBER(Y1994),ROUND(Y1994*0.8,2),"")</x:f>
        <x:v>33.6</x:v>
      </x:c>
      <x:c r="AE1994" s="36" t="n">
        <x:f>IF(ISNUMBER(AD1994),ROUND(AD1994*0.015+0.2,2),"")</x:f>
        <x:v>0.7</x:v>
      </x:c>
      <x:c r="AF1994" s="36" t="n">
        <x:f>IF(ISNUMBER(AD1994),ROUND(AD1994-AE1994-V1994,2),"")</x:f>
        <x:v>4.11</x:v>
      </x:c>
      <x:c r="AG1994" t="str">
        <x:f>IF(NOT(ISNUMBER(T1994)),"PENDING",IF(AF1994&gt;0,"PASS","FAIL"))</x:f>
        <x:v>PASS</x:v>
      </x:c>
      <x:c r="AH1994" t="str">
        <x:f>IF(NOT(ISNUMBER(T1994)),"Needs supplier cost",IF(K1994&lt;&gt;"In stock","Supplier unavailable",IF(AG1994&lt;&gt;"PASS","BLOCK - GT loss risk","Commercially protected")))</x:f>
        <x:v>Commercially protected</x:v>
      </x:c>
      <x:c r="AI1994" t="str">
        <x:v>2026-09-10 Active Sports trade capture</x:v>
      </x:c>
      <x:c r="AJ1994" t="str">
        <x:v>Management-only economics. Stripe stress test uses 1.5% + £0.20 standard UK online-card fee; pallet/mix-and-match pricing ignored.</x:v>
      </x:c>
    </x:row>
    <x:row r="1995">
      <x:c r="A1995" t="str">
        <x:v>Active Sports Nutrition</x:v>
      </x:c>
      <x:c r="B1995" t="str">
        <x:v>Olimp</x:v>
      </x:c>
      <x:c r="C1995" t="str">
        <x:v>Cream of Rice</x:v>
      </x:c>
      <x:c r="D1995" t="str">
        <x:v>Supplements</x:v>
      </x:c>
      <x:c r="E1995" t="str">
        <x:v>Carbohydrates</x:v>
      </x:c>
      <x:c r="F1995" t="str"/>
      <x:c r="G1995" t="str">
        <x:v>1kg</x:v>
      </x:c>
      <x:c r="H1995" t="str">
        <x:v>Creamy Chocolate</x:v>
      </x:c>
      <x:c r="I1995" t="str"/>
      <x:c r="J1995" t="str">
        <x:v>Unit</x:v>
      </x:c>
      <x:c r="K1995" t="str">
        <x:v>Out of stock</x:v>
      </x:c>
      <x:c r="L1995" t="str">
        <x:v>2026-09-08</x:v>
      </x:c>
      <x:c r="M1995" t="str"/>
      <x:c r="N1995" t="str"/>
      <x:c r="O1995" t="str">
        <x:v>https://www.activesportstrade.co.uk/Carb-Powders</x:v>
      </x:c>
      <x:c r="P1995" t="str">
        <x:v>Refreshed from current Active Sports Olimp category page; both 1kg flavours currently out of stock.</x:v>
      </x:c>
      <x:c r="Q1995" t="str"/>
      <x:c r="R1995" t="str"/>
      <x:c r="S1995" t="str">
        <x:v>Pending genuine supplier/brand image</x:v>
      </x:c>
      <x:c r="T1995" s="54" t="n">
        <x:v>9.99</x:v>
      </x:c>
      <x:c r="U1995" s="47" t="n">
        <x:v>0.2</x:v>
      </x:c>
      <x:c r="V1995" s="54" t="n">
        <x:f>IF(ISNUMBER(T1995),T1995*(1+U1995),"")</x:f>
        <x:v>11.988</x:v>
      </x:c>
      <x:c r="W1995" s="47" t="n">
        <x:v>0.3</x:v>
      </x:c>
      <x:c r="X1995" s="54" t="n">
        <x:f>IF(ISNUMBER(V1995),V1995/(1-W1995),"")</x:f>
        <x:v>17.125714285714285</x:v>
      </x:c>
      <x:c r="Y1995" s="55" t="n">
        <x:f>IF(ISNUMBER(X1995),ROUNDUP(X1995,0),"")</x:f>
        <x:v>18</x:v>
      </x:c>
      <x:c r="Z1995" t="str">
        <x:v>Source match pending</x:v>
      </x:c>
      <x:c r="AA1995" t="str">
        <x:v>screencapture-www-activesportstrade-co-uk-olimp-trade-2026-09-10-09_05_33.pdf / page-05</x:v>
      </x:c>
      <x:c r="AB1995" s="36" t="n">
        <x:f>IF(ISNUMBER(Y1995),ROUND(Y1995*0.9,2),"")</x:f>
        <x:v>16.2</x:v>
      </x:c>
      <x:c r="AC1995" s="36" t="n">
        <x:f>IF(ISNUMBER(AB1995),ROUND(AB1995-(AB1995*0.015+0.2)-V1995,2),"")</x:f>
        <x:v>3.77</x:v>
      </x:c>
      <x:c r="AD1995" s="36" t="n">
        <x:f>IF(ISNUMBER(Y1995),ROUND(Y1995*0.8,2),"")</x:f>
        <x:v>14.4</x:v>
      </x:c>
      <x:c r="AE1995" s="36" t="n">
        <x:f>IF(ISNUMBER(AD1995),ROUND(AD1995*0.015+0.2,2),"")</x:f>
        <x:v>0.42</x:v>
      </x:c>
      <x:c r="AF1995" s="36" t="n">
        <x:f>IF(ISNUMBER(AD1995),ROUND(AD1995-AE1995-V1995,2),"")</x:f>
        <x:v>1.99</x:v>
      </x:c>
      <x:c r="AG1995" t="str">
        <x:f>IF(NOT(ISNUMBER(T1995)),"PENDING",IF(AF1995&gt;0,"PASS","FAIL"))</x:f>
        <x:v>PASS</x:v>
      </x:c>
      <x:c r="AH1995" t="str">
        <x:f>IF(NOT(ISNUMBER(T1995)),"Needs supplier cost",IF(K1995&lt;&gt;"In stock","Supplier unavailable",IF(AG1995&lt;&gt;"PASS","BLOCK - GT loss risk","Commercially protected")))</x:f>
        <x:v>Supplier unavailable</x:v>
      </x:c>
      <x:c r="AI1995" t="str">
        <x:v>2026-09-10 Active Sports trade capture</x:v>
      </x:c>
      <x:c r="AJ1995" t="str">
        <x:v>Management-only economics. Stripe stress test uses 1.5% + £0.20 standard UK online-card fee; pallet/mix-and-match pricing ignored.</x:v>
      </x:c>
    </x:row>
    <x:row r="1996">
      <x:c r="A1996" t="str">
        <x:v>Active Sports Nutrition</x:v>
      </x:c>
      <x:c r="B1996" t="str">
        <x:v>Olimp</x:v>
      </x:c>
      <x:c r="C1996" t="str">
        <x:v>Cream of Rice</x:v>
      </x:c>
      <x:c r="D1996" t="str">
        <x:v>Supplements</x:v>
      </x:c>
      <x:c r="E1996" t="str">
        <x:v>Carbohydrates</x:v>
      </x:c>
      <x:c r="F1996" t="str"/>
      <x:c r="G1996" t="str">
        <x:v>1kg</x:v>
      </x:c>
      <x:c r="H1996" t="str">
        <x:v>Vanilla Dessert</x:v>
      </x:c>
      <x:c r="I1996" t="str"/>
      <x:c r="J1996" t="str">
        <x:v>Unit</x:v>
      </x:c>
      <x:c r="K1996" t="str">
        <x:v>Out of stock</x:v>
      </x:c>
      <x:c r="L1996" t="str">
        <x:v>2026-09-08</x:v>
      </x:c>
      <x:c r="M1996" t="str"/>
      <x:c r="N1996" t="str"/>
      <x:c r="O1996" t="str">
        <x:v>https://www.activesportstrade.co.uk/Carb-Powders</x:v>
      </x:c>
      <x:c r="P1996" t="str">
        <x:v>Refreshed from current Active Sports Olimp category page; both 1kg flavours currently out of stock.</x:v>
      </x:c>
      <x:c r="Q1996" t="str"/>
      <x:c r="R1996" t="str"/>
      <x:c r="S1996" t="str">
        <x:v>Pending genuine supplier/brand image</x:v>
      </x:c>
      <x:c r="T1996" s="54" t="n">
        <x:v>9.99</x:v>
      </x:c>
      <x:c r="U1996" s="47" t="n">
        <x:v>0.2</x:v>
      </x:c>
      <x:c r="V1996" s="54" t="n">
        <x:f>IF(ISNUMBER(T1996),T1996*(1+U1996),"")</x:f>
        <x:v>11.988</x:v>
      </x:c>
      <x:c r="W1996" s="47" t="n">
        <x:v>0.3</x:v>
      </x:c>
      <x:c r="X1996" s="54" t="n">
        <x:f>IF(ISNUMBER(V1996),V1996/(1-W1996),"")</x:f>
        <x:v>17.125714285714285</x:v>
      </x:c>
      <x:c r="Y1996" s="55" t="n">
        <x:f>IF(ISNUMBER(X1996),ROUNDUP(X1996,0),"")</x:f>
        <x:v>18</x:v>
      </x:c>
      <x:c r="Z1996" t="str">
        <x:v>Source match pending</x:v>
      </x:c>
      <x:c r="AA1996" t="str">
        <x:v>screencapture-www-activesportstrade-co-uk-olimp-trade-2026-09-10-09_05_33.pdf / page-05</x:v>
      </x:c>
      <x:c r="AB1996" s="36" t="n">
        <x:f>IF(ISNUMBER(Y1996),ROUND(Y1996*0.9,2),"")</x:f>
        <x:v>16.2</x:v>
      </x:c>
      <x:c r="AC1996" s="36" t="n">
        <x:f>IF(ISNUMBER(AB1996),ROUND(AB1996-(AB1996*0.015+0.2)-V1996,2),"")</x:f>
        <x:v>3.77</x:v>
      </x:c>
      <x:c r="AD1996" s="36" t="n">
        <x:f>IF(ISNUMBER(Y1996),ROUND(Y1996*0.8,2),"")</x:f>
        <x:v>14.4</x:v>
      </x:c>
      <x:c r="AE1996" s="36" t="n">
        <x:f>IF(ISNUMBER(AD1996),ROUND(AD1996*0.015+0.2,2),"")</x:f>
        <x:v>0.42</x:v>
      </x:c>
      <x:c r="AF1996" s="36" t="n">
        <x:f>IF(ISNUMBER(AD1996),ROUND(AD1996-AE1996-V1996,2),"")</x:f>
        <x:v>1.99</x:v>
      </x:c>
      <x:c r="AG1996" t="str">
        <x:f>IF(NOT(ISNUMBER(T1996)),"PENDING",IF(AF1996&gt;0,"PASS","FAIL"))</x:f>
        <x:v>PASS</x:v>
      </x:c>
      <x:c r="AH1996" t="str">
        <x:f>IF(NOT(ISNUMBER(T1996)),"Needs supplier cost",IF(K1996&lt;&gt;"In stock","Supplier unavailable",IF(AG1996&lt;&gt;"PASS","BLOCK - GT loss risk","Commercially protected")))</x:f>
        <x:v>Supplier unavailable</x:v>
      </x:c>
      <x:c r="AI1996" t="str">
        <x:v>2026-09-10 Active Sports trade capture</x:v>
      </x:c>
      <x:c r="AJ1996" t="str">
        <x:v>Management-only economics. Stripe stress test uses 1.5% + £0.20 standard UK online-card fee; pallet/mix-and-match pricing ignored.</x:v>
      </x:c>
    </x:row>
    <x:row r="1997">
      <x:c r="A1997" t="str">
        <x:v>Active Sports Nutrition</x:v>
      </x:c>
      <x:c r="B1997" t="str">
        <x:v>Olimp</x:v>
      </x:c>
      <x:c r="C1997" t="str">
        <x:v>Dextrex Juice</x:v>
      </x:c>
      <x:c r="D1997" t="str">
        <x:v>Supplements</x:v>
      </x:c>
      <x:c r="E1997" t="str">
        <x:v>Carbohydrates</x:v>
      </x:c>
      <x:c r="F1997" t="str"/>
      <x:c r="G1997" t="str">
        <x:v>1kg</x:v>
      </x:c>
      <x:c r="H1997" t="str">
        <x:v>Lemon</x:v>
      </x:c>
      <x:c r="I1997" t="str"/>
      <x:c r="J1997" t="str">
        <x:v>Unit</x:v>
      </x:c>
      <x:c r="K1997" t="str">
        <x:v>In stock</x:v>
      </x:c>
      <x:c r="L1997" t="str">
        <x:v>2026-09-08</x:v>
      </x:c>
      <x:c r="M1997" t="str"/>
      <x:c r="N1997" t="str"/>
      <x:c r="O1997" t="str">
        <x:v>https://www.activesportstrade.co.uk/Carb-Powders</x:v>
      </x:c>
      <x:c r="P1997" t="str">
        <x:v>Fresh Olimp brand page now shows Lemon in stock; stock state refreshed from older crawl.</x:v>
      </x:c>
      <x:c r="Q1997" t="str"/>
      <x:c r="R1997" t="str"/>
      <x:c r="S1997" t="str">
        <x:v>Pending genuine supplier/brand image</x:v>
      </x:c>
      <x:c r="T1997" s="54" t="n">
        <x:v>7.31</x:v>
      </x:c>
      <x:c r="U1997" s="47" t="n">
        <x:v>0.2</x:v>
      </x:c>
      <x:c r="V1997" s="54" t="n">
        <x:f>IF(ISNUMBER(T1997),T1997*(1+U1997),"")</x:f>
        <x:v>8.771999999999998</x:v>
      </x:c>
      <x:c r="W1997" s="47" t="n">
        <x:v>0.3</x:v>
      </x:c>
      <x:c r="X1997" s="54" t="n">
        <x:f>IF(ISNUMBER(V1997),V1997/(1-W1997),"")</x:f>
        <x:v>12.53142857142857</x:v>
      </x:c>
      <x:c r="Y1997" s="55" t="n">
        <x:f>IF(ISNUMBER(X1997),ROUNDUP(X1997,0),"")</x:f>
        <x:v>13</x:v>
      </x:c>
      <x:c r="Z1997" t="str">
        <x:v>Source match pending</x:v>
      </x:c>
      <x:c r="AA1997" t="str">
        <x:v>screencapture-www-activesportstrade-co-uk-olimp-trade-2026-09-10-09_05_33.pdf / page-06</x:v>
      </x:c>
      <x:c r="AB1997" s="36" t="n">
        <x:f>IF(ISNUMBER(Y1997),ROUND(Y1997*0.9,2),"")</x:f>
        <x:v>11.7</x:v>
      </x:c>
      <x:c r="AC1997" s="36" t="n">
        <x:f>IF(ISNUMBER(AB1997),ROUND(AB1997-(AB1997*0.015+0.2)-V1997,2),"")</x:f>
        <x:v>2.55</x:v>
      </x:c>
      <x:c r="AD1997" s="36" t="n">
        <x:f>IF(ISNUMBER(Y1997),ROUND(Y1997*0.8,2),"")</x:f>
        <x:v>10.4</x:v>
      </x:c>
      <x:c r="AE1997" s="36" t="n">
        <x:f>IF(ISNUMBER(AD1997),ROUND(AD1997*0.015+0.2,2),"")</x:f>
        <x:v>0.36</x:v>
      </x:c>
      <x:c r="AF1997" s="36" t="n">
        <x:f>IF(ISNUMBER(AD1997),ROUND(AD1997-AE1997-V1997,2),"")</x:f>
        <x:v>1.27</x:v>
      </x:c>
      <x:c r="AG1997" t="str">
        <x:f>IF(NOT(ISNUMBER(T1997)),"PENDING",IF(AF1997&gt;0,"PASS","FAIL"))</x:f>
        <x:v>PASS</x:v>
      </x:c>
      <x:c r="AH1997" t="str">
        <x:f>IF(NOT(ISNUMBER(T1997)),"Needs supplier cost",IF(K1997&lt;&gt;"In stock","Supplier unavailable",IF(AG1997&lt;&gt;"PASS","BLOCK - GT loss risk","Commercially protected")))</x:f>
        <x:v>Commercially protected</x:v>
      </x:c>
      <x:c r="AI1997" t="str">
        <x:v>2026-09-10 Active Sports trade capture</x:v>
      </x:c>
      <x:c r="AJ1997" t="str">
        <x:v>Management-only economics. Stripe stress test uses 1.5% + £0.20 standard UK online-card fee; pallet/mix-and-match pricing ignored.</x:v>
      </x:c>
    </x:row>
    <x:row r="1998">
      <x:c r="A1998" t="str">
        <x:v>Active Sports Nutrition</x:v>
      </x:c>
      <x:c r="B1998" t="str">
        <x:v>Olimp</x:v>
      </x:c>
      <x:c r="C1998" t="str">
        <x:v>Dextrex Juice</x:v>
      </x:c>
      <x:c r="D1998" t="str">
        <x:v>Supplements</x:v>
      </x:c>
      <x:c r="E1998" t="str">
        <x:v>Carbohydrates</x:v>
      </x:c>
      <x:c r="F1998" t="str"/>
      <x:c r="G1998" t="str">
        <x:v>1kg</x:v>
      </x:c>
      <x:c r="H1998" t="str">
        <x:v>Orange</x:v>
      </x:c>
      <x:c r="I1998" t="str"/>
      <x:c r="J1998" t="str">
        <x:v>Unit</x:v>
      </x:c>
      <x:c r="K1998" t="str">
        <x:v>In stock</x:v>
      </x:c>
      <x:c r="L1998" t="str">
        <x:v>2026-09-08</x:v>
      </x:c>
      <x:c r="M1998" t="str"/>
      <x:c r="N1998" t="str"/>
      <x:c r="O1998" t="str">
        <x:v>https://www.activesportstrade.co.uk/Carb-Powders</x:v>
      </x:c>
      <x:c r="P1998" t="str"/>
      <x:c r="Q1998" t="str"/>
      <x:c r="R1998" t="str"/>
      <x:c r="S1998" t="str">
        <x:v>Pending genuine supplier/brand image</x:v>
      </x:c>
      <x:c r="T1998" s="54" t="n">
        <x:v>7.31</x:v>
      </x:c>
      <x:c r="U1998" s="47" t="n">
        <x:v>0.2</x:v>
      </x:c>
      <x:c r="V1998" s="54" t="n">
        <x:f>IF(ISNUMBER(T1998),T1998*(1+U1998),"")</x:f>
        <x:v>8.771999999999998</x:v>
      </x:c>
      <x:c r="W1998" s="47" t="n">
        <x:v>0.3</x:v>
      </x:c>
      <x:c r="X1998" s="54" t="n">
        <x:f>IF(ISNUMBER(V1998),V1998/(1-W1998),"")</x:f>
        <x:v>12.53142857142857</x:v>
      </x:c>
      <x:c r="Y1998" s="55" t="n">
        <x:f>IF(ISNUMBER(X1998),ROUNDUP(X1998,0),"")</x:f>
        <x:v>13</x:v>
      </x:c>
      <x:c r="Z1998" t="str">
        <x:v>Source match pending</x:v>
      </x:c>
      <x:c r="AA1998" t="str">
        <x:v>screencapture-www-activesportstrade-co-uk-olimp-trade-2026-09-10-09_05_33.pdf / page-06</x:v>
      </x:c>
      <x:c r="AB1998" s="36" t="n">
        <x:f>IF(ISNUMBER(Y1998),ROUND(Y1998*0.9,2),"")</x:f>
        <x:v>11.7</x:v>
      </x:c>
      <x:c r="AC1998" s="36" t="n">
        <x:f>IF(ISNUMBER(AB1998),ROUND(AB1998-(AB1998*0.015+0.2)-V1998,2),"")</x:f>
        <x:v>2.55</x:v>
      </x:c>
      <x:c r="AD1998" s="36" t="n">
        <x:f>IF(ISNUMBER(Y1998),ROUND(Y1998*0.8,2),"")</x:f>
        <x:v>10.4</x:v>
      </x:c>
      <x:c r="AE1998" s="36" t="n">
        <x:f>IF(ISNUMBER(AD1998),ROUND(AD1998*0.015+0.2,2),"")</x:f>
        <x:v>0.36</x:v>
      </x:c>
      <x:c r="AF1998" s="36" t="n">
        <x:f>IF(ISNUMBER(AD1998),ROUND(AD1998-AE1998-V1998,2),"")</x:f>
        <x:v>1.27</x:v>
      </x:c>
      <x:c r="AG1998" t="str">
        <x:f>IF(NOT(ISNUMBER(T1998)),"PENDING",IF(AF1998&gt;0,"PASS","FAIL"))</x:f>
        <x:v>PASS</x:v>
      </x:c>
      <x:c r="AH1998" t="str">
        <x:f>IF(NOT(ISNUMBER(T1998)),"Needs supplier cost",IF(K1998&lt;&gt;"In stock","Supplier unavailable",IF(AG1998&lt;&gt;"PASS","BLOCK - GT loss risk","Commercially protected")))</x:f>
        <x:v>Commercially protected</x:v>
      </x:c>
      <x:c r="AI1998" t="str">
        <x:v>2026-09-10 Active Sports trade capture</x:v>
      </x:c>
      <x:c r="AJ1998" t="str">
        <x:v>Management-only economics. Stripe stress test uses 1.5% + £0.20 standard UK online-card fee; pallet/mix-and-match pricing ignored.</x:v>
      </x:c>
    </x:row>
    <x:row r="1999">
      <x:c r="A1999" t="str">
        <x:v>Active Sports Nutrition</x:v>
      </x:c>
      <x:c r="B1999" t="str">
        <x:v>Olimp</x:v>
      </x:c>
      <x:c r="C1999" t="str">
        <x:v>Iso Plus - Isotonic and Electrolyte + L-Carnitine</x:v>
      </x:c>
      <x:c r="D1999" t="str">
        <x:v>Supplements</x:v>
      </x:c>
      <x:c r="E1999" t="str">
        <x:v>Hydration</x:v>
      </x:c>
      <x:c r="F1999" t="str"/>
      <x:c r="G1999" t="str">
        <x:v>1505g</x:v>
      </x:c>
      <x:c r="H1999" t="str">
        <x:v>Cola</x:v>
      </x:c>
      <x:c r="I1999" t="str"/>
      <x:c r="J1999" t="str">
        <x:v>Unit</x:v>
      </x:c>
      <x:c r="K1999" t="str">
        <x:v>In stock</x:v>
      </x:c>
      <x:c r="L1999" t="str">
        <x:v>2026-09-08</x:v>
      </x:c>
      <x:c r="M1999" t="str"/>
      <x:c r="N1999" t="str"/>
      <x:c r="O1999" t="str">
        <x:v>https://www.activesportstrade.co.uk/Carb-Powders</x:v>
      </x:c>
      <x:c r="P1999" t="str"/>
      <x:c r="Q1999" t="str"/>
      <x:c r="R1999" t="str"/>
      <x:c r="S1999" t="str">
        <x:v>Pending genuine supplier/brand image</x:v>
      </x:c>
      <x:c r="T1999" s="54"/>
      <x:c r="U1999" s="47" t="n">
        <x:v>0.2</x:v>
      </x:c>
      <x:c r="V1999" s="54" t="str">
        <x:f>IF(ISNUMBER(T1999),T1999*(1+U1999),"")</x:f>
      </x:c>
      <x:c r="W1999" s="47" t="n">
        <x:v>0.3</x:v>
      </x:c>
      <x:c r="X1999" s="54" t="str">
        <x:f>IF(ISNUMBER(V1999),V1999/(1-W1999),"")</x:f>
      </x:c>
      <x:c r="Y1999" s="55" t="str">
        <x:f>IF(ISNUMBER(X1999),ROUNDUP(X1999,0),"")</x:f>
      </x:c>
      <x:c r="Z1999" t="str">
        <x:f>IF(ISNUMBER(T1999),"Cost captured","Awaiting trade cost")</x:f>
        <x:v>Awaiting trade cost</x:v>
      </x:c>
      <x:c r="AB1999" s="36" t="str">
        <x:f>IF(ISNUMBER(Y1999),ROUND(Y1999*0.9,2),"")</x:f>
      </x:c>
      <x:c r="AC1999" s="36" t="str">
        <x:f>IF(ISNUMBER(AB1999),ROUND(AB1999-(AB1999*0.015+0.2)-V1999,2),"")</x:f>
      </x:c>
      <x:c r="AD1999" s="36" t="str">
        <x:f>IF(ISNUMBER(Y1999),ROUND(Y1999*0.8,2),"")</x:f>
      </x:c>
      <x:c r="AE1999" s="36" t="str">
        <x:f>IF(ISNUMBER(AD1999),ROUND(AD1999*0.015+0.2,2),"")</x:f>
      </x:c>
      <x:c r="AF1999" s="36" t="str">
        <x:f>IF(ISNUMBER(AD1999),ROUND(AD1999-AE1999-V1999,2),"")</x:f>
      </x:c>
      <x:c r="AG1999" t="str">
        <x:f>IF(NOT(ISNUMBER(T1999)),"PENDING",IF(AF1999&gt;0,"PASS","FAIL"))</x:f>
        <x:v>PENDING</x:v>
      </x:c>
      <x:c r="AH1999" t="str">
        <x:f>IF(NOT(ISNUMBER(T1999)),"Needs supplier cost",IF(K1999&lt;&gt;"In stock","Supplier unavailable",IF(AG1999&lt;&gt;"PASS","BLOCK - GT loss risk","Commercially protected")))</x:f>
        <x:v>Needs supplier cost</x:v>
      </x:c>
      <x:c r="AI1999" t="str">
        <x:v>2026-09-10 Active Sports trade capture</x:v>
      </x:c>
      <x:c r="AJ1999" t="str">
        <x:v>Management-only economics. Stripe stress test uses 1.5% + £0.20 standard UK online-card fee; pallet/mix-and-match pricing ignored.</x:v>
      </x:c>
    </x:row>
    <x:row r="2000">
      <x:c r="A2000" t="str">
        <x:v>Active Sports Nutrition</x:v>
      </x:c>
      <x:c r="B2000" t="str">
        <x:v>Olimp</x:v>
      </x:c>
      <x:c r="C2000" t="str">
        <x:v>Iso Plus - Isotonic and Electrolyte + L-Carnitine</x:v>
      </x:c>
      <x:c r="D2000" t="str">
        <x:v>Supplements</x:v>
      </x:c>
      <x:c r="E2000" t="str">
        <x:v>Hydration</x:v>
      </x:c>
      <x:c r="F2000" t="str"/>
      <x:c r="G2000" t="str">
        <x:v>1505g</x:v>
      </x:c>
      <x:c r="H2000" t="str">
        <x:v>Lemon</x:v>
      </x:c>
      <x:c r="I2000" t="str"/>
      <x:c r="J2000" t="str">
        <x:v>Unit</x:v>
      </x:c>
      <x:c r="K2000" t="str">
        <x:v>In stock</x:v>
      </x:c>
      <x:c r="L2000" t="str">
        <x:v>2026-09-08</x:v>
      </x:c>
      <x:c r="M2000" t="str"/>
      <x:c r="N2000" t="str"/>
      <x:c r="O2000" t="str">
        <x:v>https://www.activesportstrade.co.uk/Carb-Powders</x:v>
      </x:c>
      <x:c r="P2000" t="str"/>
      <x:c r="Q2000" t="str"/>
      <x:c r="R2000" t="str"/>
      <x:c r="S2000" t="str">
        <x:v>Pending genuine supplier/brand image</x:v>
      </x:c>
      <x:c r="T2000" s="54"/>
      <x:c r="U2000" s="47" t="n">
        <x:v>0.2</x:v>
      </x:c>
      <x:c r="V2000" s="54" t="str">
        <x:f>IF(ISNUMBER(T2000),T2000*(1+U2000),"")</x:f>
      </x:c>
      <x:c r="W2000" s="47" t="n">
        <x:v>0.3</x:v>
      </x:c>
      <x:c r="X2000" s="54" t="str">
        <x:f>IF(ISNUMBER(V2000),V2000/(1-W2000),"")</x:f>
      </x:c>
      <x:c r="Y2000" s="55" t="str">
        <x:f>IF(ISNUMBER(X2000),ROUNDUP(X2000,0),"")</x:f>
      </x:c>
      <x:c r="Z2000" t="str">
        <x:f>IF(ISNUMBER(T2000),"Cost captured","Awaiting trade cost")</x:f>
        <x:v>Awaiting trade cost</x:v>
      </x:c>
      <x:c r="AB2000" s="36" t="str">
        <x:f>IF(ISNUMBER(Y2000),ROUND(Y2000*0.9,2),"")</x:f>
      </x:c>
      <x:c r="AC2000" s="36" t="str">
        <x:f>IF(ISNUMBER(AB2000),ROUND(AB2000-(AB2000*0.015+0.2)-V2000,2),"")</x:f>
      </x:c>
      <x:c r="AD2000" s="36" t="str">
        <x:f>IF(ISNUMBER(Y2000),ROUND(Y2000*0.8,2),"")</x:f>
      </x:c>
      <x:c r="AE2000" s="36" t="str">
        <x:f>IF(ISNUMBER(AD2000),ROUND(AD2000*0.015+0.2,2),"")</x:f>
      </x:c>
      <x:c r="AF2000" s="36" t="str">
        <x:f>IF(ISNUMBER(AD2000),ROUND(AD2000-AE2000-V2000,2),"")</x:f>
      </x:c>
      <x:c r="AG2000" t="str">
        <x:f>IF(NOT(ISNUMBER(T2000)),"PENDING",IF(AF2000&gt;0,"PASS","FAIL"))</x:f>
        <x:v>PENDING</x:v>
      </x:c>
      <x:c r="AH2000" t="str">
        <x:f>IF(NOT(ISNUMBER(T2000)),"Needs supplier cost",IF(K2000&lt;&gt;"In stock","Supplier unavailable",IF(AG2000&lt;&gt;"PASS","BLOCK - GT loss risk","Commercially protected")))</x:f>
        <x:v>Needs supplier cost</x:v>
      </x:c>
      <x:c r="AI2000" t="str">
        <x:v>2026-09-10 Active Sports trade capture</x:v>
      </x:c>
      <x:c r="AJ2000" t="str">
        <x:v>Management-only economics. Stripe stress test uses 1.5% + £0.20 standard UK online-card fee; pallet/mix-and-match pricing ignored.</x:v>
      </x:c>
    </x:row>
    <x:row r="2001">
      <x:c r="A2001" t="str">
        <x:v>Active Sports Nutrition</x:v>
      </x:c>
      <x:c r="B2001" t="str">
        <x:v>Olimp</x:v>
      </x:c>
      <x:c r="C2001" t="str">
        <x:v>Iso Plus - Isotonic and Electrolyte + L-Carnitine</x:v>
      </x:c>
      <x:c r="D2001" t="str">
        <x:v>Supplements</x:v>
      </x:c>
      <x:c r="E2001" t="str">
        <x:v>Hydration</x:v>
      </x:c>
      <x:c r="F2001" t="str"/>
      <x:c r="G2001" t="str">
        <x:v>1505g</x:v>
      </x:c>
      <x:c r="H2001" t="str">
        <x:v>Orange</x:v>
      </x:c>
      <x:c r="I2001" t="str"/>
      <x:c r="J2001" t="str">
        <x:v>Unit</x:v>
      </x:c>
      <x:c r="K2001" t="str">
        <x:v>In stock</x:v>
      </x:c>
      <x:c r="L2001" t="str">
        <x:v>2026-09-08</x:v>
      </x:c>
      <x:c r="M2001" t="str"/>
      <x:c r="N2001" t="str"/>
      <x:c r="O2001" t="str">
        <x:v>https://www.activesportstrade.co.uk/Carb-Powders</x:v>
      </x:c>
      <x:c r="P2001" t="str"/>
      <x:c r="Q2001" t="str"/>
      <x:c r="R2001" t="str"/>
      <x:c r="S2001" t="str">
        <x:v>Pending genuine supplier/brand image</x:v>
      </x:c>
      <x:c r="T2001" s="54"/>
      <x:c r="U2001" s="47" t="n">
        <x:v>0.2</x:v>
      </x:c>
      <x:c r="V2001" s="54" t="str">
        <x:f>IF(ISNUMBER(T2001),T2001*(1+U2001),"")</x:f>
      </x:c>
      <x:c r="W2001" s="47" t="n">
        <x:v>0.3</x:v>
      </x:c>
      <x:c r="X2001" s="54" t="str">
        <x:f>IF(ISNUMBER(V2001),V2001/(1-W2001),"")</x:f>
      </x:c>
      <x:c r="Y2001" s="55" t="str">
        <x:f>IF(ISNUMBER(X2001),ROUNDUP(X2001,0),"")</x:f>
      </x:c>
      <x:c r="Z2001" t="str">
        <x:f>IF(ISNUMBER(T2001),"Cost captured","Awaiting trade cost")</x:f>
        <x:v>Awaiting trade cost</x:v>
      </x:c>
      <x:c r="AB2001" s="36" t="str">
        <x:f>IF(ISNUMBER(Y2001),ROUND(Y2001*0.9,2),"")</x:f>
      </x:c>
      <x:c r="AC2001" s="36" t="str">
        <x:f>IF(ISNUMBER(AB2001),ROUND(AB2001-(AB2001*0.015+0.2)-V2001,2),"")</x:f>
      </x:c>
      <x:c r="AD2001" s="36" t="str">
        <x:f>IF(ISNUMBER(Y2001),ROUND(Y2001*0.8,2),"")</x:f>
      </x:c>
      <x:c r="AE2001" s="36" t="str">
        <x:f>IF(ISNUMBER(AD2001),ROUND(AD2001*0.015+0.2,2),"")</x:f>
      </x:c>
      <x:c r="AF2001" s="36" t="str">
        <x:f>IF(ISNUMBER(AD2001),ROUND(AD2001-AE2001-V2001,2),"")</x:f>
      </x:c>
      <x:c r="AG2001" t="str">
        <x:f>IF(NOT(ISNUMBER(T2001)),"PENDING",IF(AF2001&gt;0,"PASS","FAIL"))</x:f>
        <x:v>PENDING</x:v>
      </x:c>
      <x:c r="AH2001" t="str">
        <x:f>IF(NOT(ISNUMBER(T2001)),"Needs supplier cost",IF(K2001&lt;&gt;"In stock","Supplier unavailable",IF(AG2001&lt;&gt;"PASS","BLOCK - GT loss risk","Commercially protected")))</x:f>
        <x:v>Needs supplier cost</x:v>
      </x:c>
      <x:c r="AI2001" t="str">
        <x:v>2026-09-10 Active Sports trade capture</x:v>
      </x:c>
      <x:c r="AJ2001" t="str">
        <x:v>Management-only economics. Stripe stress test uses 1.5% + £0.20 standard UK online-card fee; pallet/mix-and-match pricing ignored.</x:v>
      </x:c>
    </x:row>
    <x:row r="2002">
      <x:c r="A2002" t="str">
        <x:v>Active Sports Nutrition</x:v>
      </x:c>
      <x:c r="B2002" t="str">
        <x:v>Olimp</x:v>
      </x:c>
      <x:c r="C2002" t="str">
        <x:v>Iso Plus - Isotonic and Electrolyte + L-Carnitine</x:v>
      </x:c>
      <x:c r="D2002" t="str">
        <x:v>Supplements</x:v>
      </x:c>
      <x:c r="E2002" t="str">
        <x:v>Hydration</x:v>
      </x:c>
      <x:c r="F2002" t="str"/>
      <x:c r="G2002" t="str">
        <x:v>1505g</x:v>
      </x:c>
      <x:c r="H2002" t="str">
        <x:v>Tropic Blue</x:v>
      </x:c>
      <x:c r="I2002" t="str"/>
      <x:c r="J2002" t="str">
        <x:v>Unit</x:v>
      </x:c>
      <x:c r="K2002" t="str">
        <x:v>In stock</x:v>
      </x:c>
      <x:c r="L2002" t="str">
        <x:v>2026-09-08</x:v>
      </x:c>
      <x:c r="M2002" t="str"/>
      <x:c r="N2002" t="str"/>
      <x:c r="O2002" t="str">
        <x:v>https://www.activesportstrade.co.uk/Carb-Powders</x:v>
      </x:c>
      <x:c r="P2002" t="str"/>
      <x:c r="Q2002" t="str"/>
      <x:c r="R2002" t="str"/>
      <x:c r="S2002" t="str">
        <x:v>Pending genuine supplier/brand image</x:v>
      </x:c>
      <x:c r="T2002" s="54"/>
      <x:c r="U2002" s="47" t="n">
        <x:v>0.2</x:v>
      </x:c>
      <x:c r="V2002" s="54" t="str">
        <x:f>IF(ISNUMBER(T2002),T2002*(1+U2002),"")</x:f>
      </x:c>
      <x:c r="W2002" s="47" t="n">
        <x:v>0.3</x:v>
      </x:c>
      <x:c r="X2002" s="54" t="str">
        <x:f>IF(ISNUMBER(V2002),V2002/(1-W2002),"")</x:f>
      </x:c>
      <x:c r="Y2002" s="55" t="str">
        <x:f>IF(ISNUMBER(X2002),ROUNDUP(X2002,0),"")</x:f>
      </x:c>
      <x:c r="Z2002" t="str">
        <x:f>IF(ISNUMBER(T2002),"Cost captured","Awaiting trade cost")</x:f>
        <x:v>Awaiting trade cost</x:v>
      </x:c>
      <x:c r="AB2002" s="36" t="str">
        <x:f>IF(ISNUMBER(Y2002),ROUND(Y2002*0.9,2),"")</x:f>
      </x:c>
      <x:c r="AC2002" s="36" t="str">
        <x:f>IF(ISNUMBER(AB2002),ROUND(AB2002-(AB2002*0.015+0.2)-V2002,2),"")</x:f>
      </x:c>
      <x:c r="AD2002" s="36" t="str">
        <x:f>IF(ISNUMBER(Y2002),ROUND(Y2002*0.8,2),"")</x:f>
      </x:c>
      <x:c r="AE2002" s="36" t="str">
        <x:f>IF(ISNUMBER(AD2002),ROUND(AD2002*0.015+0.2,2),"")</x:f>
      </x:c>
      <x:c r="AF2002" s="36" t="str">
        <x:f>IF(ISNUMBER(AD2002),ROUND(AD2002-AE2002-V2002,2),"")</x:f>
      </x:c>
      <x:c r="AG2002" t="str">
        <x:f>IF(NOT(ISNUMBER(T2002)),"PENDING",IF(AF2002&gt;0,"PASS","FAIL"))</x:f>
        <x:v>PENDING</x:v>
      </x:c>
      <x:c r="AH2002" t="str">
        <x:f>IF(NOT(ISNUMBER(T2002)),"Needs supplier cost",IF(K2002&lt;&gt;"In stock","Supplier unavailable",IF(AG2002&lt;&gt;"PASS","BLOCK - GT loss risk","Commercially protected")))</x:f>
        <x:v>Needs supplier cost</x:v>
      </x:c>
      <x:c r="AI2002" t="str">
        <x:v>2026-09-10 Active Sports trade capture</x:v>
      </x:c>
      <x:c r="AJ2002" t="str">
        <x:v>Management-only economics. Stripe stress test uses 1.5% + £0.20 standard UK online-card fee; pallet/mix-and-match pricing ignored.</x:v>
      </x:c>
    </x:row>
    <x:row r="2003">
      <x:c r="A2003" t="str">
        <x:v>Active Sports Nutrition</x:v>
      </x:c>
      <x:c r="B2003" t="str">
        <x:v>Olimp</x:v>
      </x:c>
      <x:c r="C2003" t="str">
        <x:v>Clear Whey Isolate</x:v>
      </x:c>
      <x:c r="D2003" t="str">
        <x:v>Supplements</x:v>
      </x:c>
      <x:c r="E2003" t="str">
        <x:v>Whey Protein</x:v>
      </x:c>
      <x:c r="F2003" t="str"/>
      <x:c r="G2003" t="str">
        <x:v>350g</x:v>
      </x:c>
      <x:c r="H2003" t="str">
        <x:v>Tropical Fruits</x:v>
      </x:c>
      <x:c r="I2003" t="str"/>
      <x:c r="J2003" t="str">
        <x:v>Unit</x:v>
      </x:c>
      <x:c r="K2003" t="str">
        <x:v>In stock</x:v>
      </x:c>
      <x:c r="L2003" t="str">
        <x:v>2026-09-08</x:v>
      </x:c>
      <x:c r="M2003" t="str"/>
      <x:c r="N2003" t="str"/>
      <x:c r="O2003" t="str">
        <x:v>https://www.activesportstrade.co.uk/Whey-Protein-Supplements-Trade</x:v>
      </x:c>
      <x:c r="P2003" t="str">
        <x:v>Fresh general whey page used; SPECIAL OFFER wording stripped.</x:v>
      </x:c>
      <x:c r="Q2003" t="str"/>
      <x:c r="R2003" t="str"/>
      <x:c r="S2003" t="str">
        <x:v>Pending genuine supplier/brand image</x:v>
      </x:c>
      <x:c r="T2003" s="54" t="n">
        <x:v>12.99</x:v>
      </x:c>
      <x:c r="U2003" s="47" t="n">
        <x:v>0.2</x:v>
      </x:c>
      <x:c r="V2003" s="54" t="n">
        <x:f>IF(ISNUMBER(T2003),T2003*(1+U2003),"")</x:f>
        <x:v>15.588</x:v>
      </x:c>
      <x:c r="W2003" s="47" t="n">
        <x:v>0.3</x:v>
      </x:c>
      <x:c r="X2003" s="54" t="n">
        <x:f>IF(ISNUMBER(V2003),V2003/(1-W2003),"")</x:f>
        <x:v>22.26857142857143</x:v>
      </x:c>
      <x:c r="Y2003" s="55" t="n">
        <x:f>IF(ISNUMBER(X2003),ROUNDUP(X2003,0),"")</x:f>
        <x:v>23</x:v>
      </x:c>
      <x:c r="Z2003" t="str">
        <x:v>Source match pending</x:v>
      </x:c>
      <x:c r="AA2003" t="str">
        <x:v>screencapture-www-activesportstrade-co-uk-olimp-trade-2026-09-10-09_05_33.pdf / page-05</x:v>
      </x:c>
      <x:c r="AB2003" s="36" t="n">
        <x:f>IF(ISNUMBER(Y2003),ROUND(Y2003*0.9,2),"")</x:f>
        <x:v>20.7</x:v>
      </x:c>
      <x:c r="AC2003" s="36" t="n">
        <x:f>IF(ISNUMBER(AB2003),ROUND(AB2003-(AB2003*0.015+0.2)-V2003,2),"")</x:f>
        <x:v>4.6</x:v>
      </x:c>
      <x:c r="AD2003" s="36" t="n">
        <x:f>IF(ISNUMBER(Y2003),ROUND(Y2003*0.8,2),"")</x:f>
        <x:v>18.4</x:v>
      </x:c>
      <x:c r="AE2003" s="36" t="n">
        <x:f>IF(ISNUMBER(AD2003),ROUND(AD2003*0.015+0.2,2),"")</x:f>
        <x:v>0.48</x:v>
      </x:c>
      <x:c r="AF2003" s="36" t="n">
        <x:f>IF(ISNUMBER(AD2003),ROUND(AD2003-AE2003-V2003,2),"")</x:f>
        <x:v>2.33</x:v>
      </x:c>
      <x:c r="AG2003" t="str">
        <x:f>IF(NOT(ISNUMBER(T2003)),"PENDING",IF(AF2003&gt;0,"PASS","FAIL"))</x:f>
        <x:v>PASS</x:v>
      </x:c>
      <x:c r="AH2003" t="str">
        <x:f>IF(NOT(ISNUMBER(T2003)),"Needs supplier cost",IF(K2003&lt;&gt;"In stock","Supplier unavailable",IF(AG2003&lt;&gt;"PASS","BLOCK - GT loss risk","Commercially protected")))</x:f>
        <x:v>Commercially protected</x:v>
      </x:c>
      <x:c r="AI2003" t="str">
        <x:v>2026-09-10 Active Sports trade capture</x:v>
      </x:c>
      <x:c r="AJ2003" t="str">
        <x:v>Management-only economics. Stripe stress test uses 1.5% + £0.20 standard UK online-card fee; pallet/mix-and-match pricing ignored.</x:v>
      </x:c>
    </x:row>
    <x:row r="2004">
      <x:c r="A2004" t="str">
        <x:v>Active Sports Nutrition</x:v>
      </x:c>
      <x:c r="B2004" t="str">
        <x:v>Olimp</x:v>
      </x:c>
      <x:c r="C2004" t="str">
        <x:v>Clear Whey Isolate</x:v>
      </x:c>
      <x:c r="D2004" t="str">
        <x:v>Supplements</x:v>
      </x:c>
      <x:c r="E2004" t="str">
        <x:v>Whey Protein</x:v>
      </x:c>
      <x:c r="F2004" t="str"/>
      <x:c r="G2004" t="str">
        <x:v>350g</x:v>
      </x:c>
      <x:c r="H2004" t="str">
        <x:v>Wild Fruits</x:v>
      </x:c>
      <x:c r="I2004" t="str"/>
      <x:c r="J2004" t="str">
        <x:v>Unit</x:v>
      </x:c>
      <x:c r="K2004" t="str">
        <x:v>Out of stock</x:v>
      </x:c>
      <x:c r="L2004" t="str">
        <x:v>2026-09-08</x:v>
      </x:c>
      <x:c r="M2004" t="str"/>
      <x:c r="N2004" t="str"/>
      <x:c r="O2004" t="str">
        <x:v>https://www.activesportstrade.co.uk/Whey-Protein-Supplements-Trade</x:v>
      </x:c>
      <x:c r="P2004" t="str">
        <x:v>Fresh general whey page used; SPECIAL OFFER wording stripped.</x:v>
      </x:c>
      <x:c r="Q2004" t="str"/>
      <x:c r="R2004" t="str"/>
      <x:c r="S2004" t="str">
        <x:v>Pending genuine supplier/brand image</x:v>
      </x:c>
      <x:c r="T2004" s="54" t="n">
        <x:v>12.99</x:v>
      </x:c>
      <x:c r="U2004" s="47" t="n">
        <x:v>0.2</x:v>
      </x:c>
      <x:c r="V2004" s="54" t="n">
        <x:f>IF(ISNUMBER(T2004),T2004*(1+U2004),"")</x:f>
        <x:v>15.588</x:v>
      </x:c>
      <x:c r="W2004" s="47" t="n">
        <x:v>0.3</x:v>
      </x:c>
      <x:c r="X2004" s="54" t="n">
        <x:f>IF(ISNUMBER(V2004),V2004/(1-W2004),"")</x:f>
        <x:v>22.26857142857143</x:v>
      </x:c>
      <x:c r="Y2004" s="55" t="n">
        <x:f>IF(ISNUMBER(X2004),ROUNDUP(X2004,0),"")</x:f>
        <x:v>23</x:v>
      </x:c>
      <x:c r="Z2004" t="str">
        <x:v>Source match pending</x:v>
      </x:c>
      <x:c r="AA2004" t="str">
        <x:v>screencapture-www-activesportstrade-co-uk-olimp-trade-2026-09-10-09_05_33.pdf / page-05</x:v>
      </x:c>
      <x:c r="AB2004" s="36" t="n">
        <x:f>IF(ISNUMBER(Y2004),ROUND(Y2004*0.9,2),"")</x:f>
        <x:v>20.7</x:v>
      </x:c>
      <x:c r="AC2004" s="36" t="n">
        <x:f>IF(ISNUMBER(AB2004),ROUND(AB2004-(AB2004*0.015+0.2)-V2004,2),"")</x:f>
        <x:v>4.6</x:v>
      </x:c>
      <x:c r="AD2004" s="36" t="n">
        <x:f>IF(ISNUMBER(Y2004),ROUND(Y2004*0.8,2),"")</x:f>
        <x:v>18.4</x:v>
      </x:c>
      <x:c r="AE2004" s="36" t="n">
        <x:f>IF(ISNUMBER(AD2004),ROUND(AD2004*0.015+0.2,2),"")</x:f>
        <x:v>0.48</x:v>
      </x:c>
      <x:c r="AF2004" s="36" t="n">
        <x:f>IF(ISNUMBER(AD2004),ROUND(AD2004-AE2004-V2004,2),"")</x:f>
        <x:v>2.33</x:v>
      </x:c>
      <x:c r="AG2004" t="str">
        <x:f>IF(NOT(ISNUMBER(T2004)),"PENDING",IF(AF2004&gt;0,"PASS","FAIL"))</x:f>
        <x:v>PASS</x:v>
      </x:c>
      <x:c r="AH2004" t="str">
        <x:f>IF(NOT(ISNUMBER(T2004)),"Needs supplier cost",IF(K2004&lt;&gt;"In stock","Supplier unavailable",IF(AG2004&lt;&gt;"PASS","BLOCK - GT loss risk","Commercially protected")))</x:f>
        <x:v>Supplier unavailable</x:v>
      </x:c>
      <x:c r="AI2004" t="str">
        <x:v>2026-09-10 Active Sports trade capture</x:v>
      </x:c>
      <x:c r="AJ2004" t="str">
        <x:v>Management-only economics. Stripe stress test uses 1.5% + £0.20 standard UK online-card fee; pallet/mix-and-match pricing ignored.</x:v>
      </x:c>
    </x:row>
    <x:row r="2005">
      <x:c r="A2005" t="str">
        <x:v>Active Sports Nutrition</x:v>
      </x:c>
      <x:c r="B2005" t="str">
        <x:v>Olimp</x:v>
      </x:c>
      <x:c r="C2005" t="str">
        <x:v>Pro Whey Shake</x:v>
      </x:c>
      <x:c r="D2005" t="str">
        <x:v>Supplements</x:v>
      </x:c>
      <x:c r="E2005" t="str">
        <x:v>Whey Protein</x:v>
      </x:c>
      <x:c r="F2005" t="str"/>
      <x:c r="G2005" t="str">
        <x:v>700g</x:v>
      </x:c>
      <x:c r="H2005" t="str">
        <x:v>Chocolate</x:v>
      </x:c>
      <x:c r="I2005" t="str"/>
      <x:c r="J2005" t="str">
        <x:v>Unit</x:v>
      </x:c>
      <x:c r="K2005" t="str">
        <x:v>Out of stock</x:v>
      </x:c>
      <x:c r="L2005" t="str">
        <x:v>2026-09-08</x:v>
      </x:c>
      <x:c r="M2005" t="str"/>
      <x:c r="N2005" t="str"/>
      <x:c r="O2005" t="str">
        <x:v>https://www.activesportstrade.co.uk/Whey-Protein-Supplements-Trade</x:v>
      </x:c>
      <x:c r="P2005" t="str">
        <x:v>Fresh general whey page used; older Olimp-specific crawl disagreed on Chocolate/Cookies &amp; Cream.</x:v>
      </x:c>
      <x:c r="Q2005" t="str"/>
      <x:c r="R2005" t="str"/>
      <x:c r="S2005" t="str">
        <x:v>Pending genuine supplier/brand image</x:v>
      </x:c>
      <x:c r="T2005" s="54" t="n">
        <x:v>12.49</x:v>
      </x:c>
      <x:c r="U2005" s="47" t="n">
        <x:v>0.2</x:v>
      </x:c>
      <x:c r="V2005" s="54" t="n">
        <x:f>IF(ISNUMBER(T2005),T2005*(1+U2005),"")</x:f>
        <x:v>14.988</x:v>
      </x:c>
      <x:c r="W2005" s="47" t="n">
        <x:v>0.3</x:v>
      </x:c>
      <x:c r="X2005" s="54" t="n">
        <x:f>IF(ISNUMBER(V2005),V2005/(1-W2005),"")</x:f>
        <x:v>21.411428571428573</x:v>
      </x:c>
      <x:c r="Y2005" s="55" t="n">
        <x:f>IF(ISNUMBER(X2005),ROUNDUP(X2005,0),"")</x:f>
        <x:v>22</x:v>
      </x:c>
      <x:c r="Z2005" t="str">
        <x:v>Source match pending</x:v>
      </x:c>
      <x:c r="AA2005" t="str">
        <x:v>screencapture-www-activesportstrade-co-uk-olimp-trade-2026-09-10-09_05_33.pdf / page-11</x:v>
      </x:c>
      <x:c r="AB2005" s="36" t="n">
        <x:f>IF(ISNUMBER(Y2005),ROUND(Y2005*0.9,2),"")</x:f>
        <x:v>19.8</x:v>
      </x:c>
      <x:c r="AC2005" s="36" t="n">
        <x:f>IF(ISNUMBER(AB2005),ROUND(AB2005-(AB2005*0.015+0.2)-V2005,2),"")</x:f>
        <x:v>4.32</x:v>
      </x:c>
      <x:c r="AD2005" s="36" t="n">
        <x:f>IF(ISNUMBER(Y2005),ROUND(Y2005*0.8,2),"")</x:f>
        <x:v>17.6</x:v>
      </x:c>
      <x:c r="AE2005" s="36" t="n">
        <x:f>IF(ISNUMBER(AD2005),ROUND(AD2005*0.015+0.2,2),"")</x:f>
        <x:v>0.46</x:v>
      </x:c>
      <x:c r="AF2005" s="36" t="n">
        <x:f>IF(ISNUMBER(AD2005),ROUND(AD2005-AE2005-V2005,2),"")</x:f>
        <x:v>2.15</x:v>
      </x:c>
      <x:c r="AG2005" t="str">
        <x:f>IF(NOT(ISNUMBER(T2005)),"PENDING",IF(AF2005&gt;0,"PASS","FAIL"))</x:f>
        <x:v>PASS</x:v>
      </x:c>
      <x:c r="AH2005" t="str">
        <x:f>IF(NOT(ISNUMBER(T2005)),"Needs supplier cost",IF(K2005&lt;&gt;"In stock","Supplier unavailable",IF(AG2005&lt;&gt;"PASS","BLOCK - GT loss risk","Commercially protected")))</x:f>
        <x:v>Supplier unavailable</x:v>
      </x:c>
      <x:c r="AI2005" t="str">
        <x:v>2026-09-10 Active Sports trade capture</x:v>
      </x:c>
      <x:c r="AJ2005" t="str">
        <x:v>Management-only economics. Stripe stress test uses 1.5% + £0.20 standard UK online-card fee; pallet/mix-and-match pricing ignored.</x:v>
      </x:c>
    </x:row>
    <x:row r="2006">
      <x:c r="A2006" t="str">
        <x:v>Active Sports Nutrition</x:v>
      </x:c>
      <x:c r="B2006" t="str">
        <x:v>Olimp</x:v>
      </x:c>
      <x:c r="C2006" t="str">
        <x:v>Pro Whey Shake</x:v>
      </x:c>
      <x:c r="D2006" t="str">
        <x:v>Supplements</x:v>
      </x:c>
      <x:c r="E2006" t="str">
        <x:v>Whey Protein</x:v>
      </x:c>
      <x:c r="F2006" t="str"/>
      <x:c r="G2006" t="str">
        <x:v>700g</x:v>
      </x:c>
      <x:c r="H2006" t="str">
        <x:v>Cookies &amp; Cream</x:v>
      </x:c>
      <x:c r="I2006" t="str"/>
      <x:c r="J2006" t="str">
        <x:v>Unit</x:v>
      </x:c>
      <x:c r="K2006" t="str">
        <x:v>Out of stock</x:v>
      </x:c>
      <x:c r="L2006" t="str">
        <x:v>2026-09-08</x:v>
      </x:c>
      <x:c r="M2006" t="str"/>
      <x:c r="N2006" t="str"/>
      <x:c r="O2006" t="str">
        <x:v>https://www.activesportstrade.co.uk/Whey-Protein-Supplements-Trade</x:v>
      </x:c>
      <x:c r="P2006" t="str">
        <x:v>Fresh general whey page used; older Olimp-specific crawl disagreed on Chocolate/Cookies &amp; Cream.</x:v>
      </x:c>
      <x:c r="Q2006" t="str"/>
      <x:c r="R2006" t="str"/>
      <x:c r="S2006" t="str">
        <x:v>Pending genuine supplier/brand image</x:v>
      </x:c>
      <x:c r="T2006" s="54" t="n">
        <x:v>12.49</x:v>
      </x:c>
      <x:c r="U2006" s="47" t="n">
        <x:v>0.2</x:v>
      </x:c>
      <x:c r="V2006" s="54" t="n">
        <x:f>IF(ISNUMBER(T2006),T2006*(1+U2006),"")</x:f>
        <x:v>14.988</x:v>
      </x:c>
      <x:c r="W2006" s="47" t="n">
        <x:v>0.3</x:v>
      </x:c>
      <x:c r="X2006" s="54" t="n">
        <x:f>IF(ISNUMBER(V2006),V2006/(1-W2006),"")</x:f>
        <x:v>21.411428571428573</x:v>
      </x:c>
      <x:c r="Y2006" s="55" t="n">
        <x:f>IF(ISNUMBER(X2006),ROUNDUP(X2006,0),"")</x:f>
        <x:v>22</x:v>
      </x:c>
      <x:c r="Z2006" t="str">
        <x:v>Source match pending</x:v>
      </x:c>
      <x:c r="AA2006" t="str">
        <x:v>screencapture-www-activesportstrade-co-uk-olimp-trade-2026-09-10-09_05_33.pdf / page-11</x:v>
      </x:c>
      <x:c r="AB2006" s="36" t="n">
        <x:f>IF(ISNUMBER(Y2006),ROUND(Y2006*0.9,2),"")</x:f>
        <x:v>19.8</x:v>
      </x:c>
      <x:c r="AC2006" s="36" t="n">
        <x:f>IF(ISNUMBER(AB2006),ROUND(AB2006-(AB2006*0.015+0.2)-V2006,2),"")</x:f>
        <x:v>4.32</x:v>
      </x:c>
      <x:c r="AD2006" s="36" t="n">
        <x:f>IF(ISNUMBER(Y2006),ROUND(Y2006*0.8,2),"")</x:f>
        <x:v>17.6</x:v>
      </x:c>
      <x:c r="AE2006" s="36" t="n">
        <x:f>IF(ISNUMBER(AD2006),ROUND(AD2006*0.015+0.2,2),"")</x:f>
        <x:v>0.46</x:v>
      </x:c>
      <x:c r="AF2006" s="36" t="n">
        <x:f>IF(ISNUMBER(AD2006),ROUND(AD2006-AE2006-V2006,2),"")</x:f>
        <x:v>2.15</x:v>
      </x:c>
      <x:c r="AG2006" t="str">
        <x:f>IF(NOT(ISNUMBER(T2006)),"PENDING",IF(AF2006&gt;0,"PASS","FAIL"))</x:f>
        <x:v>PASS</x:v>
      </x:c>
      <x:c r="AH2006" t="str">
        <x:f>IF(NOT(ISNUMBER(T2006)),"Needs supplier cost",IF(K2006&lt;&gt;"In stock","Supplier unavailable",IF(AG2006&lt;&gt;"PASS","BLOCK - GT loss risk","Commercially protected")))</x:f>
        <x:v>Supplier unavailable</x:v>
      </x:c>
      <x:c r="AI2006" t="str">
        <x:v>2026-09-10 Active Sports trade capture</x:v>
      </x:c>
      <x:c r="AJ2006" t="str">
        <x:v>Management-only economics. Stripe stress test uses 1.5% + £0.20 standard UK online-card fee; pallet/mix-and-match pricing ignored.</x:v>
      </x:c>
    </x:row>
    <x:row r="2007">
      <x:c r="A2007" t="str">
        <x:v>Active Sports Nutrition</x:v>
      </x:c>
      <x:c r="B2007" t="str">
        <x:v>Olimp</x:v>
      </x:c>
      <x:c r="C2007" t="str">
        <x:v>Pro Whey Shake</x:v>
      </x:c>
      <x:c r="D2007" t="str">
        <x:v>Supplements</x:v>
      </x:c>
      <x:c r="E2007" t="str">
        <x:v>Whey Protein</x:v>
      </x:c>
      <x:c r="F2007" t="str"/>
      <x:c r="G2007" t="str">
        <x:v>700g</x:v>
      </x:c>
      <x:c r="H2007" t="str">
        <x:v>Strawberry</x:v>
      </x:c>
      <x:c r="I2007" t="str"/>
      <x:c r="J2007" t="str">
        <x:v>Unit</x:v>
      </x:c>
      <x:c r="K2007" t="str">
        <x:v>In stock</x:v>
      </x:c>
      <x:c r="L2007" t="str">
        <x:v>2026-09-08</x:v>
      </x:c>
      <x:c r="M2007" t="str"/>
      <x:c r="N2007" t="str"/>
      <x:c r="O2007" t="str">
        <x:v>https://www.activesportstrade.co.uk/Whey-Protein-Supplements-Trade</x:v>
      </x:c>
      <x:c r="P2007" t="str">
        <x:v>Fresh general whey page used; older Olimp-specific crawl disagreed on Chocolate/Cookies &amp; Cream.</x:v>
      </x:c>
      <x:c r="Q2007" t="str"/>
      <x:c r="R2007" t="str"/>
      <x:c r="S2007" t="str">
        <x:v>Pending genuine supplier/brand image</x:v>
      </x:c>
      <x:c r="T2007" s="54" t="n">
        <x:v>12.49</x:v>
      </x:c>
      <x:c r="U2007" s="47" t="n">
        <x:v>0.2</x:v>
      </x:c>
      <x:c r="V2007" s="54" t="n">
        <x:f>IF(ISNUMBER(T2007),T2007*(1+U2007),"")</x:f>
        <x:v>14.988</x:v>
      </x:c>
      <x:c r="W2007" s="47" t="n">
        <x:v>0.3</x:v>
      </x:c>
      <x:c r="X2007" s="54" t="n">
        <x:f>IF(ISNUMBER(V2007),V2007/(1-W2007),"")</x:f>
        <x:v>21.411428571428573</x:v>
      </x:c>
      <x:c r="Y2007" s="55" t="n">
        <x:f>IF(ISNUMBER(X2007),ROUNDUP(X2007,0),"")</x:f>
        <x:v>22</x:v>
      </x:c>
      <x:c r="Z2007" t="str">
        <x:v>Source match pending</x:v>
      </x:c>
      <x:c r="AA2007" t="str">
        <x:v>screencapture-www-activesportstrade-co-uk-olimp-trade-2026-09-10-09_05_33.pdf / page-11</x:v>
      </x:c>
      <x:c r="AB2007" s="36" t="n">
        <x:f>IF(ISNUMBER(Y2007),ROUND(Y2007*0.9,2),"")</x:f>
        <x:v>19.8</x:v>
      </x:c>
      <x:c r="AC2007" s="36" t="n">
        <x:f>IF(ISNUMBER(AB2007),ROUND(AB2007-(AB2007*0.015+0.2)-V2007,2),"")</x:f>
        <x:v>4.32</x:v>
      </x:c>
      <x:c r="AD2007" s="36" t="n">
        <x:f>IF(ISNUMBER(Y2007),ROUND(Y2007*0.8,2),"")</x:f>
        <x:v>17.6</x:v>
      </x:c>
      <x:c r="AE2007" s="36" t="n">
        <x:f>IF(ISNUMBER(AD2007),ROUND(AD2007*0.015+0.2,2),"")</x:f>
        <x:v>0.46</x:v>
      </x:c>
      <x:c r="AF2007" s="36" t="n">
        <x:f>IF(ISNUMBER(AD2007),ROUND(AD2007-AE2007-V2007,2),"")</x:f>
        <x:v>2.15</x:v>
      </x:c>
      <x:c r="AG2007" t="str">
        <x:f>IF(NOT(ISNUMBER(T2007)),"PENDING",IF(AF2007&gt;0,"PASS","FAIL"))</x:f>
        <x:v>PASS</x:v>
      </x:c>
      <x:c r="AH2007" t="str">
        <x:f>IF(NOT(ISNUMBER(T2007)),"Needs supplier cost",IF(K2007&lt;&gt;"In stock","Supplier unavailable",IF(AG2007&lt;&gt;"PASS","BLOCK - GT loss risk","Commercially protected")))</x:f>
        <x:v>Commercially protected</x:v>
      </x:c>
      <x:c r="AI2007" t="str">
        <x:v>2026-09-10 Active Sports trade capture</x:v>
      </x:c>
      <x:c r="AJ2007" t="str">
        <x:v>Management-only economics. Stripe stress test uses 1.5% + £0.20 standard UK online-card fee; pallet/mix-and-match pricing ignored.</x:v>
      </x:c>
    </x:row>
    <x:row r="2008">
      <x:c r="A2008" t="str">
        <x:v>Active Sports Nutrition</x:v>
      </x:c>
      <x:c r="B2008" t="str">
        <x:v>Olimp</x:v>
      </x:c>
      <x:c r="C2008" t="str">
        <x:v>Pro Whey Shake</x:v>
      </x:c>
      <x:c r="D2008" t="str">
        <x:v>Supplements</x:v>
      </x:c>
      <x:c r="E2008" t="str">
        <x:v>Whey Protein</x:v>
      </x:c>
      <x:c r="F2008" t="str"/>
      <x:c r="G2008" t="str">
        <x:v>700g</x:v>
      </x:c>
      <x:c r="H2008" t="str">
        <x:v>Vanilla</x:v>
      </x:c>
      <x:c r="I2008" t="str"/>
      <x:c r="J2008" t="str">
        <x:v>Unit</x:v>
      </x:c>
      <x:c r="K2008" t="str">
        <x:v>In stock</x:v>
      </x:c>
      <x:c r="L2008" t="str">
        <x:v>2026-09-08</x:v>
      </x:c>
      <x:c r="M2008" t="str"/>
      <x:c r="N2008" t="str"/>
      <x:c r="O2008" t="str">
        <x:v>https://www.activesportstrade.co.uk/Whey-Protein-Supplements-Trade</x:v>
      </x:c>
      <x:c r="P2008" t="str">
        <x:v>Fresh general whey page used; older Olimp-specific crawl disagreed on Chocolate/Cookies &amp; Cream.</x:v>
      </x:c>
      <x:c r="Q2008" t="str"/>
      <x:c r="R2008" t="str"/>
      <x:c r="S2008" t="str">
        <x:v>Pending genuine supplier/brand image</x:v>
      </x:c>
      <x:c r="T2008" s="54" t="n">
        <x:v>12.49</x:v>
      </x:c>
      <x:c r="U2008" s="47" t="n">
        <x:v>0.2</x:v>
      </x:c>
      <x:c r="V2008" s="54" t="n">
        <x:f>IF(ISNUMBER(T2008),T2008*(1+U2008),"")</x:f>
        <x:v>14.988</x:v>
      </x:c>
      <x:c r="W2008" s="47" t="n">
        <x:v>0.3</x:v>
      </x:c>
      <x:c r="X2008" s="54" t="n">
        <x:f>IF(ISNUMBER(V2008),V2008/(1-W2008),"")</x:f>
        <x:v>21.411428571428573</x:v>
      </x:c>
      <x:c r="Y2008" s="55" t="n">
        <x:f>IF(ISNUMBER(X2008),ROUNDUP(X2008,0),"")</x:f>
        <x:v>22</x:v>
      </x:c>
      <x:c r="Z2008" t="str">
        <x:v>Source match pending</x:v>
      </x:c>
      <x:c r="AA2008" t="str">
        <x:v>screencapture-www-activesportstrade-co-uk-olimp-trade-2026-09-10-09_05_33.pdf / page-11</x:v>
      </x:c>
      <x:c r="AB2008" s="36" t="n">
        <x:f>IF(ISNUMBER(Y2008),ROUND(Y2008*0.9,2),"")</x:f>
        <x:v>19.8</x:v>
      </x:c>
      <x:c r="AC2008" s="36" t="n">
        <x:f>IF(ISNUMBER(AB2008),ROUND(AB2008-(AB2008*0.015+0.2)-V2008,2),"")</x:f>
        <x:v>4.32</x:v>
      </x:c>
      <x:c r="AD2008" s="36" t="n">
        <x:f>IF(ISNUMBER(Y2008),ROUND(Y2008*0.8,2),"")</x:f>
        <x:v>17.6</x:v>
      </x:c>
      <x:c r="AE2008" s="36" t="n">
        <x:f>IF(ISNUMBER(AD2008),ROUND(AD2008*0.015+0.2,2),"")</x:f>
        <x:v>0.46</x:v>
      </x:c>
      <x:c r="AF2008" s="36" t="n">
        <x:f>IF(ISNUMBER(AD2008),ROUND(AD2008-AE2008-V2008,2),"")</x:f>
        <x:v>2.15</x:v>
      </x:c>
      <x:c r="AG2008" t="str">
        <x:f>IF(NOT(ISNUMBER(T2008)),"PENDING",IF(AF2008&gt;0,"PASS","FAIL"))</x:f>
        <x:v>PASS</x:v>
      </x:c>
      <x:c r="AH2008" t="str">
        <x:f>IF(NOT(ISNUMBER(T2008)),"Needs supplier cost",IF(K2008&lt;&gt;"In stock","Supplier unavailable",IF(AG2008&lt;&gt;"PASS","BLOCK - GT loss risk","Commercially protected")))</x:f>
        <x:v>Commercially protected</x:v>
      </x:c>
      <x:c r="AI2008" t="str">
        <x:v>2026-09-10 Active Sports trade capture</x:v>
      </x:c>
      <x:c r="AJ2008" t="str">
        <x:v>Management-only economics. Stripe stress test uses 1.5% + £0.20 standard UK online-card fee; pallet/mix-and-match pricing ignored.</x:v>
      </x:c>
    </x:row>
    <x:row r="2009">
      <x:c r="A2009" t="str">
        <x:v>Active Sports Nutrition</x:v>
      </x:c>
      <x:c r="B2009" t="str">
        <x:v>Olimp</x:v>
      </x:c>
      <x:c r="C2009" t="str">
        <x:v>Pure Whey Isolate 95</x:v>
      </x:c>
      <x:c r="D2009" t="str">
        <x:v>Supplements</x:v>
      </x:c>
      <x:c r="E2009" t="str">
        <x:v>Whey Protein</x:v>
      </x:c>
      <x:c r="F2009" t="str"/>
      <x:c r="G2009" t="str">
        <x:v>600g</x:v>
      </x:c>
      <x:c r="H2009" t="str">
        <x:v>Chocolate</x:v>
      </x:c>
      <x:c r="I2009" t="str"/>
      <x:c r="J2009" t="str">
        <x:v>Unit</x:v>
      </x:c>
      <x:c r="K2009" t="str">
        <x:v>In stock</x:v>
      </x:c>
      <x:c r="L2009" t="str">
        <x:v>2026-09-08</x:v>
      </x:c>
      <x:c r="M2009" t="str"/>
      <x:c r="N2009" t="str"/>
      <x:c r="O2009" t="str">
        <x:v>https://www.activesportstrade.co.uk/Whey-Protein-Supplements-Trade</x:v>
      </x:c>
      <x:c r="P2009" t="str"/>
      <x:c r="Q2009" t="str"/>
      <x:c r="R2009" t="str"/>
      <x:c r="S2009" t="str">
        <x:v>Pending genuine supplier/brand image</x:v>
      </x:c>
      <x:c r="T2009" s="54" t="n">
        <x:v>30.94</x:v>
      </x:c>
      <x:c r="U2009" s="47" t="n">
        <x:v>0.2</x:v>
      </x:c>
      <x:c r="V2009" s="54" t="n">
        <x:f>IF(ISNUMBER(T2009),T2009*(1+U2009),"")</x:f>
        <x:v>37.128</x:v>
      </x:c>
      <x:c r="W2009" s="47" t="n">
        <x:v>0.3</x:v>
      </x:c>
      <x:c r="X2009" s="54" t="n">
        <x:f>IF(ISNUMBER(V2009),V2009/(1-W2009),"")</x:f>
        <x:v>53.040000000000006</x:v>
      </x:c>
      <x:c r="Y2009" s="55" t="n">
        <x:f>IF(ISNUMBER(X2009),ROUNDUP(X2009,0),"")</x:f>
        <x:v>54</x:v>
      </x:c>
      <x:c r="Z2009" t="str">
        <x:v>Source match pending</x:v>
      </x:c>
      <x:c r="AA2009" t="str">
        <x:v>screencapture-www-activesportstrade-co-uk-olimp-trade-2026-09-10-09_05_33.pdf / page-11</x:v>
      </x:c>
      <x:c r="AB2009" s="36" t="n">
        <x:f>IF(ISNUMBER(Y2009),ROUND(Y2009*0.9,2),"")</x:f>
        <x:v>48.6</x:v>
      </x:c>
      <x:c r="AC2009" s="36" t="n">
        <x:f>IF(ISNUMBER(AB2009),ROUND(AB2009-(AB2009*0.015+0.2)-V2009,2),"")</x:f>
        <x:v>10.54</x:v>
      </x:c>
      <x:c r="AD2009" s="36" t="n">
        <x:f>IF(ISNUMBER(Y2009),ROUND(Y2009*0.8,2),"")</x:f>
        <x:v>43.2</x:v>
      </x:c>
      <x:c r="AE2009" s="36" t="n">
        <x:f>IF(ISNUMBER(AD2009),ROUND(AD2009*0.015+0.2,2),"")</x:f>
        <x:v>0.85</x:v>
      </x:c>
      <x:c r="AF2009" s="36" t="n">
        <x:f>IF(ISNUMBER(AD2009),ROUND(AD2009-AE2009-V2009,2),"")</x:f>
        <x:v>5.22</x:v>
      </x:c>
      <x:c r="AG2009" t="str">
        <x:f>IF(NOT(ISNUMBER(T2009)),"PENDING",IF(AF2009&gt;0,"PASS","FAIL"))</x:f>
        <x:v>PASS</x:v>
      </x:c>
      <x:c r="AH2009" t="str">
        <x:f>IF(NOT(ISNUMBER(T2009)),"Needs supplier cost",IF(K2009&lt;&gt;"In stock","Supplier unavailable",IF(AG2009&lt;&gt;"PASS","BLOCK - GT loss risk","Commercially protected")))</x:f>
        <x:v>Commercially protected</x:v>
      </x:c>
      <x:c r="AI2009" t="str">
        <x:v>2026-09-10 Active Sports trade capture</x:v>
      </x:c>
      <x:c r="AJ2009" t="str">
        <x:v>Management-only economics. Stripe stress test uses 1.5% + £0.20 standard UK online-card fee; pallet/mix-and-match pricing ignored.</x:v>
      </x:c>
    </x:row>
    <x:row r="2010">
      <x:c r="A2010" t="str">
        <x:v>Active Sports Nutrition</x:v>
      </x:c>
      <x:c r="B2010" t="str">
        <x:v>Olimp</x:v>
      </x:c>
      <x:c r="C2010" t="str">
        <x:v>Pure Whey Isolate 95</x:v>
      </x:c>
      <x:c r="D2010" t="str">
        <x:v>Supplements</x:v>
      </x:c>
      <x:c r="E2010" t="str">
        <x:v>Whey Protein</x:v>
      </x:c>
      <x:c r="F2010" t="str"/>
      <x:c r="G2010" t="str">
        <x:v>600g</x:v>
      </x:c>
      <x:c r="H2010" t="str">
        <x:v>Strawberry</x:v>
      </x:c>
      <x:c r="I2010" t="str"/>
      <x:c r="J2010" t="str">
        <x:v>Unit</x:v>
      </x:c>
      <x:c r="K2010" t="str">
        <x:v>In stock</x:v>
      </x:c>
      <x:c r="L2010" t="str">
        <x:v>2026-09-08</x:v>
      </x:c>
      <x:c r="M2010" t="str"/>
      <x:c r="N2010" t="str"/>
      <x:c r="O2010" t="str">
        <x:v>https://www.activesportstrade.co.uk/Whey-Protein-Supplements-Trade</x:v>
      </x:c>
      <x:c r="P2010" t="str"/>
      <x:c r="Q2010" t="str"/>
      <x:c r="R2010" t="str"/>
      <x:c r="S2010" t="str">
        <x:v>Pending genuine supplier/brand image</x:v>
      </x:c>
      <x:c r="T2010" s="54" t="n">
        <x:v>30.94</x:v>
      </x:c>
      <x:c r="U2010" s="47" t="n">
        <x:v>0.2</x:v>
      </x:c>
      <x:c r="V2010" s="54" t="n">
        <x:f>IF(ISNUMBER(T2010),T2010*(1+U2010),"")</x:f>
        <x:v>37.128</x:v>
      </x:c>
      <x:c r="W2010" s="47" t="n">
        <x:v>0.3</x:v>
      </x:c>
      <x:c r="X2010" s="54" t="n">
        <x:f>IF(ISNUMBER(V2010),V2010/(1-W2010),"")</x:f>
        <x:v>53.040000000000006</x:v>
      </x:c>
      <x:c r="Y2010" s="55" t="n">
        <x:f>IF(ISNUMBER(X2010),ROUNDUP(X2010,0),"")</x:f>
        <x:v>54</x:v>
      </x:c>
      <x:c r="Z2010" t="str">
        <x:v>Source match pending</x:v>
      </x:c>
      <x:c r="AA2010" t="str">
        <x:v>screencapture-www-activesportstrade-co-uk-olimp-trade-2026-09-10-09_05_33.pdf / page-11</x:v>
      </x:c>
      <x:c r="AB2010" s="36" t="n">
        <x:f>IF(ISNUMBER(Y2010),ROUND(Y2010*0.9,2),"")</x:f>
        <x:v>48.6</x:v>
      </x:c>
      <x:c r="AC2010" s="36" t="n">
        <x:f>IF(ISNUMBER(AB2010),ROUND(AB2010-(AB2010*0.015+0.2)-V2010,2),"")</x:f>
        <x:v>10.54</x:v>
      </x:c>
      <x:c r="AD2010" s="36" t="n">
        <x:f>IF(ISNUMBER(Y2010),ROUND(Y2010*0.8,2),"")</x:f>
        <x:v>43.2</x:v>
      </x:c>
      <x:c r="AE2010" s="36" t="n">
        <x:f>IF(ISNUMBER(AD2010),ROUND(AD2010*0.015+0.2,2),"")</x:f>
        <x:v>0.85</x:v>
      </x:c>
      <x:c r="AF2010" s="36" t="n">
        <x:f>IF(ISNUMBER(AD2010),ROUND(AD2010-AE2010-V2010,2),"")</x:f>
        <x:v>5.22</x:v>
      </x:c>
      <x:c r="AG2010" t="str">
        <x:f>IF(NOT(ISNUMBER(T2010)),"PENDING",IF(AF2010&gt;0,"PASS","FAIL"))</x:f>
        <x:v>PASS</x:v>
      </x:c>
      <x:c r="AH2010" t="str">
        <x:f>IF(NOT(ISNUMBER(T2010)),"Needs supplier cost",IF(K2010&lt;&gt;"In stock","Supplier unavailable",IF(AG2010&lt;&gt;"PASS","BLOCK - GT loss risk","Commercially protected")))</x:f>
        <x:v>Commercially protected</x:v>
      </x:c>
      <x:c r="AI2010" t="str">
        <x:v>2026-09-10 Active Sports trade capture</x:v>
      </x:c>
      <x:c r="AJ2010" t="str">
        <x:v>Management-only economics. Stripe stress test uses 1.5% + £0.20 standard UK online-card fee; pallet/mix-and-match pricing ignored.</x:v>
      </x:c>
    </x:row>
    <x:row r="2011">
      <x:c r="A2011" t="str">
        <x:v>Active Sports Nutrition</x:v>
      </x:c>
      <x:c r="B2011" t="str">
        <x:v>Olimp</x:v>
      </x:c>
      <x:c r="C2011" t="str">
        <x:v>Pure Whey Isolate 95</x:v>
      </x:c>
      <x:c r="D2011" t="str">
        <x:v>Supplements</x:v>
      </x:c>
      <x:c r="E2011" t="str">
        <x:v>Whey Protein</x:v>
      </x:c>
      <x:c r="F2011" t="str"/>
      <x:c r="G2011" t="str">
        <x:v>600g</x:v>
      </x:c>
      <x:c r="H2011" t="str">
        <x:v>Vanilla</x:v>
      </x:c>
      <x:c r="I2011" t="str"/>
      <x:c r="J2011" t="str">
        <x:v>Unit</x:v>
      </x:c>
      <x:c r="K2011" t="str">
        <x:v>In stock</x:v>
      </x:c>
      <x:c r="L2011" t="str">
        <x:v>2026-09-08</x:v>
      </x:c>
      <x:c r="M2011" t="str"/>
      <x:c r="N2011" t="str"/>
      <x:c r="O2011" t="str">
        <x:v>https://www.activesportstrade.co.uk/Whey-Protein-Supplements-Trade</x:v>
      </x:c>
      <x:c r="P2011" t="str"/>
      <x:c r="Q2011" t="str"/>
      <x:c r="R2011" t="str"/>
      <x:c r="S2011" t="str">
        <x:v>Pending genuine supplier/brand image</x:v>
      </x:c>
      <x:c r="T2011" s="54" t="n">
        <x:v>30.94</x:v>
      </x:c>
      <x:c r="U2011" s="47" t="n">
        <x:v>0.2</x:v>
      </x:c>
      <x:c r="V2011" s="54" t="n">
        <x:f>IF(ISNUMBER(T2011),T2011*(1+U2011),"")</x:f>
        <x:v>37.128</x:v>
      </x:c>
      <x:c r="W2011" s="47" t="n">
        <x:v>0.3</x:v>
      </x:c>
      <x:c r="X2011" s="54" t="n">
        <x:f>IF(ISNUMBER(V2011),V2011/(1-W2011),"")</x:f>
        <x:v>53.040000000000006</x:v>
      </x:c>
      <x:c r="Y2011" s="55" t="n">
        <x:f>IF(ISNUMBER(X2011),ROUNDUP(X2011,0),"")</x:f>
        <x:v>54</x:v>
      </x:c>
      <x:c r="Z2011" t="str">
        <x:v>Source match pending</x:v>
      </x:c>
      <x:c r="AA2011" t="str">
        <x:v>screencapture-www-activesportstrade-co-uk-olimp-trade-2026-09-10-09_05_33.pdf / page-11</x:v>
      </x:c>
      <x:c r="AB2011" s="36" t="n">
        <x:f>IF(ISNUMBER(Y2011),ROUND(Y2011*0.9,2),"")</x:f>
        <x:v>48.6</x:v>
      </x:c>
      <x:c r="AC2011" s="36" t="n">
        <x:f>IF(ISNUMBER(AB2011),ROUND(AB2011-(AB2011*0.015+0.2)-V2011,2),"")</x:f>
        <x:v>10.54</x:v>
      </x:c>
      <x:c r="AD2011" s="36" t="n">
        <x:f>IF(ISNUMBER(Y2011),ROUND(Y2011*0.8,2),"")</x:f>
        <x:v>43.2</x:v>
      </x:c>
      <x:c r="AE2011" s="36" t="n">
        <x:f>IF(ISNUMBER(AD2011),ROUND(AD2011*0.015+0.2,2),"")</x:f>
        <x:v>0.85</x:v>
      </x:c>
      <x:c r="AF2011" s="36" t="n">
        <x:f>IF(ISNUMBER(AD2011),ROUND(AD2011-AE2011-V2011,2),"")</x:f>
        <x:v>5.22</x:v>
      </x:c>
      <x:c r="AG2011" t="str">
        <x:f>IF(NOT(ISNUMBER(T2011)),"PENDING",IF(AF2011&gt;0,"PASS","FAIL"))</x:f>
        <x:v>PASS</x:v>
      </x:c>
      <x:c r="AH2011" t="str">
        <x:f>IF(NOT(ISNUMBER(T2011)),"Needs supplier cost",IF(K2011&lt;&gt;"In stock","Supplier unavailable",IF(AG2011&lt;&gt;"PASS","BLOCK - GT loss risk","Commercially protected")))</x:f>
        <x:v>Commercially protected</x:v>
      </x:c>
      <x:c r="AI2011" t="str">
        <x:v>2026-09-10 Active Sports trade capture</x:v>
      </x:c>
      <x:c r="AJ2011" t="str">
        <x:v>Management-only economics. Stripe stress test uses 1.5% + £0.20 standard UK online-card fee; pallet/mix-and-match pricing ignored.</x:v>
      </x:c>
    </x:row>
    <x:row r="2012">
      <x:c r="A2012" t="str">
        <x:v>Active Sports Nutrition</x:v>
      </x:c>
      <x:c r="B2012" t="str">
        <x:v>Olimp</x:v>
      </x:c>
      <x:c r="C2012" t="str">
        <x:v>Whey Protein Xplode</x:v>
      </x:c>
      <x:c r="D2012" t="str">
        <x:v>Supplements</x:v>
      </x:c>
      <x:c r="E2012" t="str">
        <x:v>Whey Protein</x:v>
      </x:c>
      <x:c r="F2012" t="str"/>
      <x:c r="G2012" t="str">
        <x:v>700g</x:v>
      </x:c>
      <x:c r="H2012" t="str">
        <x:v>Chocolate Dream</x:v>
      </x:c>
      <x:c r="I2012" t="str"/>
      <x:c r="J2012" t="str">
        <x:v>Unit</x:v>
      </x:c>
      <x:c r="K2012" t="str">
        <x:v>In stock</x:v>
      </x:c>
      <x:c r="L2012" t="str">
        <x:v>2026-09-08</x:v>
      </x:c>
      <x:c r="M2012" t="str"/>
      <x:c r="N2012" t="str"/>
      <x:c r="O2012" t="str">
        <x:v>https://www.activesportstrade.co.uk/trade-sports-supplements/olimp-trade</x:v>
      </x:c>
      <x:c r="P2012" t="str"/>
      <x:c r="Q2012" t="str"/>
      <x:c r="R2012" t="str"/>
      <x:c r="S2012" t="str">
        <x:v>Pending genuine supplier/brand image</x:v>
      </x:c>
      <x:c r="T2012" s="54" t="n">
        <x:v>14.86</x:v>
      </x:c>
      <x:c r="U2012" s="47" t="n">
        <x:v>0.2</x:v>
      </x:c>
      <x:c r="V2012" s="54" t="n">
        <x:f>IF(ISNUMBER(T2012),T2012*(1+U2012),"")</x:f>
        <x:v>17.831999999999997</x:v>
      </x:c>
      <x:c r="W2012" s="47" t="n">
        <x:v>0.3</x:v>
      </x:c>
      <x:c r="X2012" s="54" t="n">
        <x:f>IF(ISNUMBER(V2012),V2012/(1-W2012),"")</x:f>
        <x:v>25.474285714285713</x:v>
      </x:c>
      <x:c r="Y2012" s="55" t="n">
        <x:f>IF(ISNUMBER(X2012),ROUNDUP(X2012,0),"")</x:f>
        <x:v>26</x:v>
      </x:c>
      <x:c r="Z2012" t="str">
        <x:v>Source match pending</x:v>
      </x:c>
      <x:c r="AA2012" t="str">
        <x:v>screencapture-www-activesportstrade-co-uk-olimp-trade-2026-09-10-09_05_33.pdf / page-14</x:v>
      </x:c>
      <x:c r="AB2012" s="36" t="n">
        <x:f>IF(ISNUMBER(Y2012),ROUND(Y2012*0.9,2),"")</x:f>
        <x:v>23.4</x:v>
      </x:c>
      <x:c r="AC2012" s="36" t="n">
        <x:f>IF(ISNUMBER(AB2012),ROUND(AB2012-(AB2012*0.015+0.2)-V2012,2),"")</x:f>
        <x:v>5.02</x:v>
      </x:c>
      <x:c r="AD2012" s="36" t="n">
        <x:f>IF(ISNUMBER(Y2012),ROUND(Y2012*0.8,2),"")</x:f>
        <x:v>20.8</x:v>
      </x:c>
      <x:c r="AE2012" s="36" t="n">
        <x:f>IF(ISNUMBER(AD2012),ROUND(AD2012*0.015+0.2,2),"")</x:f>
        <x:v>0.51</x:v>
      </x:c>
      <x:c r="AF2012" s="36" t="n">
        <x:f>IF(ISNUMBER(AD2012),ROUND(AD2012-AE2012-V2012,2),"")</x:f>
        <x:v>2.46</x:v>
      </x:c>
      <x:c r="AG2012" t="str">
        <x:f>IF(NOT(ISNUMBER(T2012)),"PENDING",IF(AF2012&gt;0,"PASS","FAIL"))</x:f>
        <x:v>PASS</x:v>
      </x:c>
      <x:c r="AH2012" t="str">
        <x:f>IF(NOT(ISNUMBER(T2012)),"Needs supplier cost",IF(K2012&lt;&gt;"In stock","Supplier unavailable",IF(AG2012&lt;&gt;"PASS","BLOCK - GT loss risk","Commercially protected")))</x:f>
        <x:v>Commercially protected</x:v>
      </x:c>
      <x:c r="AI2012" t="str">
        <x:v>2026-09-10 Active Sports trade capture</x:v>
      </x:c>
      <x:c r="AJ2012" t="str">
        <x:v>Management-only economics. Stripe stress test uses 1.5% + £0.20 standard UK online-card fee; pallet/mix-and-match pricing ignored.</x:v>
      </x:c>
    </x:row>
    <x:row r="2013">
      <x:c r="A2013" t="str">
        <x:v>Active Sports Nutrition</x:v>
      </x:c>
      <x:c r="B2013" t="str">
        <x:v>Olimp</x:v>
      </x:c>
      <x:c r="C2013" t="str">
        <x:v>Whey Protein Xplode</x:v>
      </x:c>
      <x:c r="D2013" t="str">
        <x:v>Supplements</x:v>
      </x:c>
      <x:c r="E2013" t="str">
        <x:v>Whey Protein</x:v>
      </x:c>
      <x:c r="F2013" t="str"/>
      <x:c r="G2013" t="str">
        <x:v>700g</x:v>
      </x:c>
      <x:c r="H2013" t="str">
        <x:v>Strawberry Dream</x:v>
      </x:c>
      <x:c r="I2013" t="str"/>
      <x:c r="J2013" t="str">
        <x:v>Unit</x:v>
      </x:c>
      <x:c r="K2013" t="str">
        <x:v>In stock</x:v>
      </x:c>
      <x:c r="L2013" t="str">
        <x:v>2026-09-08</x:v>
      </x:c>
      <x:c r="M2013" t="str"/>
      <x:c r="N2013" t="str"/>
      <x:c r="O2013" t="str">
        <x:v>https://www.activesportstrade.co.uk/trade-sports-supplements/olimp-trade</x:v>
      </x:c>
      <x:c r="P2013" t="str"/>
      <x:c r="Q2013" t="str"/>
      <x:c r="R2013" t="str"/>
      <x:c r="S2013" t="str">
        <x:v>Pending genuine supplier/brand image</x:v>
      </x:c>
      <x:c r="T2013" s="54" t="n">
        <x:v>14.86</x:v>
      </x:c>
      <x:c r="U2013" s="47" t="n">
        <x:v>0.2</x:v>
      </x:c>
      <x:c r="V2013" s="54" t="n">
        <x:f>IF(ISNUMBER(T2013),T2013*(1+U2013),"")</x:f>
        <x:v>17.831999999999997</x:v>
      </x:c>
      <x:c r="W2013" s="47" t="n">
        <x:v>0.3</x:v>
      </x:c>
      <x:c r="X2013" s="54" t="n">
        <x:f>IF(ISNUMBER(V2013),V2013/(1-W2013),"")</x:f>
        <x:v>25.474285714285713</x:v>
      </x:c>
      <x:c r="Y2013" s="55" t="n">
        <x:f>IF(ISNUMBER(X2013),ROUNDUP(X2013,0),"")</x:f>
        <x:v>26</x:v>
      </x:c>
      <x:c r="Z2013" t="str">
        <x:v>Source match pending</x:v>
      </x:c>
      <x:c r="AA2013" t="str">
        <x:v>screencapture-www-activesportstrade-co-uk-olimp-trade-2026-09-10-09_05_33.pdf / page-14</x:v>
      </x:c>
      <x:c r="AB2013" s="36" t="n">
        <x:f>IF(ISNUMBER(Y2013),ROUND(Y2013*0.9,2),"")</x:f>
        <x:v>23.4</x:v>
      </x:c>
      <x:c r="AC2013" s="36" t="n">
        <x:f>IF(ISNUMBER(AB2013),ROUND(AB2013-(AB2013*0.015+0.2)-V2013,2),"")</x:f>
        <x:v>5.02</x:v>
      </x:c>
      <x:c r="AD2013" s="36" t="n">
        <x:f>IF(ISNUMBER(Y2013),ROUND(Y2013*0.8,2),"")</x:f>
        <x:v>20.8</x:v>
      </x:c>
      <x:c r="AE2013" s="36" t="n">
        <x:f>IF(ISNUMBER(AD2013),ROUND(AD2013*0.015+0.2,2),"")</x:f>
        <x:v>0.51</x:v>
      </x:c>
      <x:c r="AF2013" s="36" t="n">
        <x:f>IF(ISNUMBER(AD2013),ROUND(AD2013-AE2013-V2013,2),"")</x:f>
        <x:v>2.46</x:v>
      </x:c>
      <x:c r="AG2013" t="str">
        <x:f>IF(NOT(ISNUMBER(T2013)),"PENDING",IF(AF2013&gt;0,"PASS","FAIL"))</x:f>
        <x:v>PASS</x:v>
      </x:c>
      <x:c r="AH2013" t="str">
        <x:f>IF(NOT(ISNUMBER(T2013)),"Needs supplier cost",IF(K2013&lt;&gt;"In stock","Supplier unavailable",IF(AG2013&lt;&gt;"PASS","BLOCK - GT loss risk","Commercially protected")))</x:f>
        <x:v>Commercially protected</x:v>
      </x:c>
      <x:c r="AI2013" t="str">
        <x:v>2026-09-10 Active Sports trade capture</x:v>
      </x:c>
      <x:c r="AJ2013" t="str">
        <x:v>Management-only economics. Stripe stress test uses 1.5% + £0.20 standard UK online-card fee; pallet/mix-and-match pricing ignored.</x:v>
      </x:c>
    </x:row>
    <x:row r="2014">
      <x:c r="A2014" t="str">
        <x:v>Active Sports Nutrition</x:v>
      </x:c>
      <x:c r="B2014" t="str">
        <x:v>Olimp</x:v>
      </x:c>
      <x:c r="C2014" t="str">
        <x:v>Whey Protein Xplode</x:v>
      </x:c>
      <x:c r="D2014" t="str">
        <x:v>Supplements</x:v>
      </x:c>
      <x:c r="E2014" t="str">
        <x:v>Whey Protein</x:v>
      </x:c>
      <x:c r="F2014" t="str"/>
      <x:c r="G2014" t="str">
        <x:v>700g</x:v>
      </x:c>
      <x:c r="H2014" t="str">
        <x:v>Vanilla Dream</x:v>
      </x:c>
      <x:c r="I2014" t="str"/>
      <x:c r="J2014" t="str">
        <x:v>Unit</x:v>
      </x:c>
      <x:c r="K2014" t="str">
        <x:v>In stock</x:v>
      </x:c>
      <x:c r="L2014" t="str">
        <x:v>2026-09-08</x:v>
      </x:c>
      <x:c r="M2014" t="str"/>
      <x:c r="N2014" t="str"/>
      <x:c r="O2014" t="str">
        <x:v>https://www.activesportstrade.co.uk/trade-sports-supplements/olimp-trade</x:v>
      </x:c>
      <x:c r="P2014" t="str"/>
      <x:c r="Q2014" t="str"/>
      <x:c r="R2014" t="str"/>
      <x:c r="S2014" t="str">
        <x:v>Pending genuine supplier/brand image</x:v>
      </x:c>
      <x:c r="T2014" s="54" t="n">
        <x:v>14.86</x:v>
      </x:c>
      <x:c r="U2014" s="47" t="n">
        <x:v>0.2</x:v>
      </x:c>
      <x:c r="V2014" s="54" t="n">
        <x:f>IF(ISNUMBER(T2014),T2014*(1+U2014),"")</x:f>
        <x:v>17.831999999999997</x:v>
      </x:c>
      <x:c r="W2014" s="47" t="n">
        <x:v>0.3</x:v>
      </x:c>
      <x:c r="X2014" s="54" t="n">
        <x:f>IF(ISNUMBER(V2014),V2014/(1-W2014),"")</x:f>
        <x:v>25.474285714285713</x:v>
      </x:c>
      <x:c r="Y2014" s="55" t="n">
        <x:f>IF(ISNUMBER(X2014),ROUNDUP(X2014,0),"")</x:f>
        <x:v>26</x:v>
      </x:c>
      <x:c r="Z2014" t="str">
        <x:v>Source match pending</x:v>
      </x:c>
      <x:c r="AA2014" t="str">
        <x:v>screencapture-www-activesportstrade-co-uk-olimp-trade-2026-09-10-09_05_33.pdf / page-14</x:v>
      </x:c>
      <x:c r="AB2014" s="36" t="n">
        <x:f>IF(ISNUMBER(Y2014),ROUND(Y2014*0.9,2),"")</x:f>
        <x:v>23.4</x:v>
      </x:c>
      <x:c r="AC2014" s="36" t="n">
        <x:f>IF(ISNUMBER(AB2014),ROUND(AB2014-(AB2014*0.015+0.2)-V2014,2),"")</x:f>
        <x:v>5.02</x:v>
      </x:c>
      <x:c r="AD2014" s="36" t="n">
        <x:f>IF(ISNUMBER(Y2014),ROUND(Y2014*0.8,2),"")</x:f>
        <x:v>20.8</x:v>
      </x:c>
      <x:c r="AE2014" s="36" t="n">
        <x:f>IF(ISNUMBER(AD2014),ROUND(AD2014*0.015+0.2,2),"")</x:f>
        <x:v>0.51</x:v>
      </x:c>
      <x:c r="AF2014" s="36" t="n">
        <x:f>IF(ISNUMBER(AD2014),ROUND(AD2014-AE2014-V2014,2),"")</x:f>
        <x:v>2.46</x:v>
      </x:c>
      <x:c r="AG2014" t="str">
        <x:f>IF(NOT(ISNUMBER(T2014)),"PENDING",IF(AF2014&gt;0,"PASS","FAIL"))</x:f>
        <x:v>PASS</x:v>
      </x:c>
      <x:c r="AH2014" t="str">
        <x:f>IF(NOT(ISNUMBER(T2014)),"Needs supplier cost",IF(K2014&lt;&gt;"In stock","Supplier unavailable",IF(AG2014&lt;&gt;"PASS","BLOCK - GT loss risk","Commercially protected")))</x:f>
        <x:v>Commercially protected</x:v>
      </x:c>
      <x:c r="AI2014" t="str">
        <x:v>2026-09-10 Active Sports trade capture</x:v>
      </x:c>
      <x:c r="AJ2014" t="str">
        <x:v>Management-only economics. Stripe stress test uses 1.5% + £0.20 standard UK online-card fee; pallet/mix-and-match pricing ignored.</x:v>
      </x:c>
    </x:row>
    <x:row r="2015">
      <x:c r="A2015" t="str">
        <x:v>Active Sports Nutrition</x:v>
      </x:c>
      <x:c r="B2015" t="str">
        <x:v>Olimp</x:v>
      </x:c>
      <x:c r="C2015" t="str">
        <x:v>Whey Protein Xplode</x:v>
      </x:c>
      <x:c r="D2015" t="str">
        <x:v>Supplements</x:v>
      </x:c>
      <x:c r="E2015" t="str">
        <x:v>Whey Protein</x:v>
      </x:c>
      <x:c r="F2015" t="str"/>
      <x:c r="G2015" t="str">
        <x:v>2.25kg</x:v>
      </x:c>
      <x:c r="H2015" t="str">
        <x:v>Chocolate Dream</x:v>
      </x:c>
      <x:c r="I2015" t="str"/>
      <x:c r="J2015" t="str">
        <x:v>Unit</x:v>
      </x:c>
      <x:c r="K2015" t="str">
        <x:v>Out of stock</x:v>
      </x:c>
      <x:c r="L2015" t="str">
        <x:v>2026-09-08</x:v>
      </x:c>
      <x:c r="M2015" t="str"/>
      <x:c r="N2015" t="str"/>
      <x:c r="O2015" t="str">
        <x:v>https://www.activesportstrade.co.uk/trade-sports-supplements/olimp-trade</x:v>
      </x:c>
      <x:c r="P2015" t="str">
        <x:v>SPECIAL OFFER wording stripped; exact 2.25kg matrix retained separately from 700g.</x:v>
      </x:c>
      <x:c r="Q2015" t="str"/>
      <x:c r="R2015" t="str"/>
      <x:c r="S2015" t="str">
        <x:v>Pending genuine supplier/brand image</x:v>
      </x:c>
      <x:c r="T2015" s="54" t="n">
        <x:v>27.99</x:v>
      </x:c>
      <x:c r="U2015" s="47" t="n">
        <x:v>0.2</x:v>
      </x:c>
      <x:c r="V2015" s="54" t="n">
        <x:f>IF(ISNUMBER(T2015),T2015*(1+U2015),"")</x:f>
        <x:v>33.587999999999994</x:v>
      </x:c>
      <x:c r="W2015" s="47" t="n">
        <x:v>0.3</x:v>
      </x:c>
      <x:c r="X2015" s="54" t="n">
        <x:f>IF(ISNUMBER(V2015),V2015/(1-W2015),"")</x:f>
        <x:v>47.982857142857135</x:v>
      </x:c>
      <x:c r="Y2015" s="55" t="n">
        <x:f>IF(ISNUMBER(X2015),ROUNDUP(X2015,0),"")</x:f>
        <x:v>48</x:v>
      </x:c>
      <x:c r="Z2015" t="str">
        <x:v>Source match pending</x:v>
      </x:c>
      <x:c r="AA2015" t="str">
        <x:v>screencapture-www-activesportstrade-co-uk-olimp-trade-2026-09-10-09_05_33.pdf / page-14</x:v>
      </x:c>
      <x:c r="AB2015" s="36" t="n">
        <x:f>IF(ISNUMBER(Y2015),ROUND(Y2015*0.9,2),"")</x:f>
        <x:v>43.2</x:v>
      </x:c>
      <x:c r="AC2015" s="36" t="n">
        <x:f>IF(ISNUMBER(AB2015),ROUND(AB2015-(AB2015*0.015+0.2)-V2015,2),"")</x:f>
        <x:v>8.76</x:v>
      </x:c>
      <x:c r="AD2015" s="36" t="n">
        <x:f>IF(ISNUMBER(Y2015),ROUND(Y2015*0.8,2),"")</x:f>
        <x:v>38.4</x:v>
      </x:c>
      <x:c r="AE2015" s="36" t="n">
        <x:f>IF(ISNUMBER(AD2015),ROUND(AD2015*0.015+0.2,2),"")</x:f>
        <x:v>0.78</x:v>
      </x:c>
      <x:c r="AF2015" s="36" t="n">
        <x:f>IF(ISNUMBER(AD2015),ROUND(AD2015-AE2015-V2015,2),"")</x:f>
        <x:v>4.03</x:v>
      </x:c>
      <x:c r="AG2015" t="str">
        <x:f>IF(NOT(ISNUMBER(T2015)),"PENDING",IF(AF2015&gt;0,"PASS","FAIL"))</x:f>
        <x:v>PASS</x:v>
      </x:c>
      <x:c r="AH2015" t="str">
        <x:f>IF(NOT(ISNUMBER(T2015)),"Needs supplier cost",IF(K2015&lt;&gt;"In stock","Supplier unavailable",IF(AG2015&lt;&gt;"PASS","BLOCK - GT loss risk","Commercially protected")))</x:f>
        <x:v>Supplier unavailable</x:v>
      </x:c>
      <x:c r="AI2015" t="str">
        <x:v>2026-09-10 Active Sports trade capture</x:v>
      </x:c>
      <x:c r="AJ2015" t="str">
        <x:v>Management-only economics. Stripe stress test uses 1.5% + £0.20 standard UK online-card fee; pallet/mix-and-match pricing ignored.</x:v>
      </x:c>
    </x:row>
    <x:row r="2016">
      <x:c r="A2016" t="str">
        <x:v>Active Sports Nutrition</x:v>
      </x:c>
      <x:c r="B2016" t="str">
        <x:v>Olimp</x:v>
      </x:c>
      <x:c r="C2016" t="str">
        <x:v>Whey Protein Xplode</x:v>
      </x:c>
      <x:c r="D2016" t="str">
        <x:v>Supplements</x:v>
      </x:c>
      <x:c r="E2016" t="str">
        <x:v>Whey Protein</x:v>
      </x:c>
      <x:c r="F2016" t="str"/>
      <x:c r="G2016" t="str">
        <x:v>2.25kg</x:v>
      </x:c>
      <x:c r="H2016" t="str">
        <x:v>Strawberry Dream</x:v>
      </x:c>
      <x:c r="I2016" t="str"/>
      <x:c r="J2016" t="str">
        <x:v>Unit</x:v>
      </x:c>
      <x:c r="K2016" t="str">
        <x:v>Out of stock</x:v>
      </x:c>
      <x:c r="L2016" t="str">
        <x:v>2026-09-08</x:v>
      </x:c>
      <x:c r="M2016" t="str"/>
      <x:c r="N2016" t="str"/>
      <x:c r="O2016" t="str">
        <x:v>https://www.activesportstrade.co.uk/trade-sports-supplements/olimp-trade</x:v>
      </x:c>
      <x:c r="P2016" t="str">
        <x:v>SPECIAL OFFER wording stripped; exact 2.25kg matrix retained separately from 700g.</x:v>
      </x:c>
      <x:c r="Q2016" t="str"/>
      <x:c r="R2016" t="str"/>
      <x:c r="S2016" t="str">
        <x:v>Pending genuine supplier/brand image</x:v>
      </x:c>
      <x:c r="T2016" s="54" t="n">
        <x:v>27.99</x:v>
      </x:c>
      <x:c r="U2016" s="47" t="n">
        <x:v>0.2</x:v>
      </x:c>
      <x:c r="V2016" s="54" t="n">
        <x:f>IF(ISNUMBER(T2016),T2016*(1+U2016),"")</x:f>
        <x:v>33.587999999999994</x:v>
      </x:c>
      <x:c r="W2016" s="47" t="n">
        <x:v>0.3</x:v>
      </x:c>
      <x:c r="X2016" s="54" t="n">
        <x:f>IF(ISNUMBER(V2016),V2016/(1-W2016),"")</x:f>
        <x:v>47.982857142857135</x:v>
      </x:c>
      <x:c r="Y2016" s="55" t="n">
        <x:f>IF(ISNUMBER(X2016),ROUNDUP(X2016,0),"")</x:f>
        <x:v>48</x:v>
      </x:c>
      <x:c r="Z2016" t="str">
        <x:v>Source match pending</x:v>
      </x:c>
      <x:c r="AA2016" t="str">
        <x:v>screencapture-www-activesportstrade-co-uk-olimp-trade-2026-09-10-09_05_33.pdf / page-14</x:v>
      </x:c>
      <x:c r="AB2016" s="36" t="n">
        <x:f>IF(ISNUMBER(Y2016),ROUND(Y2016*0.9,2),"")</x:f>
        <x:v>43.2</x:v>
      </x:c>
      <x:c r="AC2016" s="36" t="n">
        <x:f>IF(ISNUMBER(AB2016),ROUND(AB2016-(AB2016*0.015+0.2)-V2016,2),"")</x:f>
        <x:v>8.76</x:v>
      </x:c>
      <x:c r="AD2016" s="36" t="n">
        <x:f>IF(ISNUMBER(Y2016),ROUND(Y2016*0.8,2),"")</x:f>
        <x:v>38.4</x:v>
      </x:c>
      <x:c r="AE2016" s="36" t="n">
        <x:f>IF(ISNUMBER(AD2016),ROUND(AD2016*0.015+0.2,2),"")</x:f>
        <x:v>0.78</x:v>
      </x:c>
      <x:c r="AF2016" s="36" t="n">
        <x:f>IF(ISNUMBER(AD2016),ROUND(AD2016-AE2016-V2016,2),"")</x:f>
        <x:v>4.03</x:v>
      </x:c>
      <x:c r="AG2016" t="str">
        <x:f>IF(NOT(ISNUMBER(T2016)),"PENDING",IF(AF2016&gt;0,"PASS","FAIL"))</x:f>
        <x:v>PASS</x:v>
      </x:c>
      <x:c r="AH2016" t="str">
        <x:f>IF(NOT(ISNUMBER(T2016)),"Needs supplier cost",IF(K2016&lt;&gt;"In stock","Supplier unavailable",IF(AG2016&lt;&gt;"PASS","BLOCK - GT loss risk","Commercially protected")))</x:f>
        <x:v>Supplier unavailable</x:v>
      </x:c>
      <x:c r="AI2016" t="str">
        <x:v>2026-09-10 Active Sports trade capture</x:v>
      </x:c>
      <x:c r="AJ2016" t="str">
        <x:v>Management-only economics. Stripe stress test uses 1.5% + £0.20 standard UK online-card fee; pallet/mix-and-match pricing ignored.</x:v>
      </x:c>
    </x:row>
    <x:row r="2017">
      <x:c r="A2017" t="str">
        <x:v>Active Sports Nutrition</x:v>
      </x:c>
      <x:c r="B2017" t="str">
        <x:v>Olimp</x:v>
      </x:c>
      <x:c r="C2017" t="str">
        <x:v>Whey Protein Xplode</x:v>
      </x:c>
      <x:c r="D2017" t="str">
        <x:v>Supplements</x:v>
      </x:c>
      <x:c r="E2017" t="str">
        <x:v>Whey Protein</x:v>
      </x:c>
      <x:c r="F2017" t="str"/>
      <x:c r="G2017" t="str">
        <x:v>2.25kg</x:v>
      </x:c>
      <x:c r="H2017" t="str">
        <x:v>Vanilla Dream</x:v>
      </x:c>
      <x:c r="I2017" t="str"/>
      <x:c r="J2017" t="str">
        <x:v>Unit</x:v>
      </x:c>
      <x:c r="K2017" t="str">
        <x:v>Out of stock</x:v>
      </x:c>
      <x:c r="L2017" t="str">
        <x:v>2026-09-08</x:v>
      </x:c>
      <x:c r="M2017" t="str"/>
      <x:c r="N2017" t="str"/>
      <x:c r="O2017" t="str">
        <x:v>https://www.activesportstrade.co.uk/trade-sports-supplements/olimp-trade</x:v>
      </x:c>
      <x:c r="P2017" t="str">
        <x:v>SPECIAL OFFER wording stripped; exact 2.25kg matrix retained separately from 700g.</x:v>
      </x:c>
      <x:c r="Q2017" t="str"/>
      <x:c r="R2017" t="str"/>
      <x:c r="S2017" t="str">
        <x:v>Pending genuine supplier/brand image</x:v>
      </x:c>
      <x:c r="T2017" s="54" t="n">
        <x:v>27.99</x:v>
      </x:c>
      <x:c r="U2017" s="47" t="n">
        <x:v>0.2</x:v>
      </x:c>
      <x:c r="V2017" s="54" t="n">
        <x:f>IF(ISNUMBER(T2017),T2017*(1+U2017),"")</x:f>
        <x:v>33.587999999999994</x:v>
      </x:c>
      <x:c r="W2017" s="47" t="n">
        <x:v>0.3</x:v>
      </x:c>
      <x:c r="X2017" s="54" t="n">
        <x:f>IF(ISNUMBER(V2017),V2017/(1-W2017),"")</x:f>
        <x:v>47.982857142857135</x:v>
      </x:c>
      <x:c r="Y2017" s="55" t="n">
        <x:f>IF(ISNUMBER(X2017),ROUNDUP(X2017,0),"")</x:f>
        <x:v>48</x:v>
      </x:c>
      <x:c r="Z2017" t="str">
        <x:v>Source match pending</x:v>
      </x:c>
      <x:c r="AA2017" t="str">
        <x:v>screencapture-www-activesportstrade-co-uk-olimp-trade-2026-09-10-09_05_33.pdf / page-14</x:v>
      </x:c>
      <x:c r="AB2017" s="36" t="n">
        <x:f>IF(ISNUMBER(Y2017),ROUND(Y2017*0.9,2),"")</x:f>
        <x:v>43.2</x:v>
      </x:c>
      <x:c r="AC2017" s="36" t="n">
        <x:f>IF(ISNUMBER(AB2017),ROUND(AB2017-(AB2017*0.015+0.2)-V2017,2),"")</x:f>
        <x:v>8.76</x:v>
      </x:c>
      <x:c r="AD2017" s="36" t="n">
        <x:f>IF(ISNUMBER(Y2017),ROUND(Y2017*0.8,2),"")</x:f>
        <x:v>38.4</x:v>
      </x:c>
      <x:c r="AE2017" s="36" t="n">
        <x:f>IF(ISNUMBER(AD2017),ROUND(AD2017*0.015+0.2,2),"")</x:f>
        <x:v>0.78</x:v>
      </x:c>
      <x:c r="AF2017" s="36" t="n">
        <x:f>IF(ISNUMBER(AD2017),ROUND(AD2017-AE2017-V2017,2),"")</x:f>
        <x:v>4.03</x:v>
      </x:c>
      <x:c r="AG2017" t="str">
        <x:f>IF(NOT(ISNUMBER(T2017)),"PENDING",IF(AF2017&gt;0,"PASS","FAIL"))</x:f>
        <x:v>PASS</x:v>
      </x:c>
      <x:c r="AH2017" t="str">
        <x:f>IF(NOT(ISNUMBER(T2017)),"Needs supplier cost",IF(K2017&lt;&gt;"In stock","Supplier unavailable",IF(AG2017&lt;&gt;"PASS","BLOCK - GT loss risk","Commercially protected")))</x:f>
        <x:v>Supplier unavailable</x:v>
      </x:c>
      <x:c r="AI2017" t="str">
        <x:v>2026-09-10 Active Sports trade capture</x:v>
      </x:c>
      <x:c r="AJ2017" t="str">
        <x:v>Management-only economics. Stripe stress test uses 1.5% + £0.20 standard UK online-card fee; pallet/mix-and-match pricing ignored.</x:v>
      </x:c>
    </x:row>
    <x:row r="2018">
      <x:c r="A2018" t="str">
        <x:v>Active Sports Nutrition</x:v>
      </x:c>
      <x:c r="B2018" t="str">
        <x:v>Olimp</x:v>
      </x:c>
      <x:c r="C2018" t="str">
        <x:v>Anabolic Amino 5500 Mega Caps</x:v>
      </x:c>
      <x:c r="D2018" t="str">
        <x:v>Supplements</x:v>
      </x:c>
      <x:c r="E2018" t="str">
        <x:v>Amino Acids</x:v>
      </x:c>
      <x:c r="F2018" t="str"/>
      <x:c r="G2018" t="str">
        <x:v>180 caps</x:v>
      </x:c>
      <x:c r="H2018" t="str">
        <x:v>Default</x:v>
      </x:c>
      <x:c r="I2018" t="str"/>
      <x:c r="J2018" t="str">
        <x:v>Unit</x:v>
      </x:c>
      <x:c r="K2018" t="str">
        <x:v>In stock</x:v>
      </x:c>
      <x:c r="L2018" t="str">
        <x:v>2026-09-08</x:v>
      </x:c>
      <x:c r="M2018" t="str"/>
      <x:c r="N2018" t="str"/>
      <x:c r="O2018" t="str">
        <x:v>https://www.activesportstrade.co.uk/Amino-Acids</x:v>
      </x:c>
      <x:c r="P2018" t="str"/>
      <x:c r="Q2018" t="str"/>
      <x:c r="R2018" t="str"/>
      <x:c r="S2018" t="str">
        <x:v>Pending genuine supplier/brand image</x:v>
      </x:c>
      <x:c r="T2018" s="54" t="n">
        <x:v>15.52</x:v>
      </x:c>
      <x:c r="U2018" s="47" t="n">
        <x:v>0.2</x:v>
      </x:c>
      <x:c r="V2018" s="54" t="n">
        <x:f>IF(ISNUMBER(T2018),T2018*(1+U2018),"")</x:f>
        <x:v>18.624</x:v>
      </x:c>
      <x:c r="W2018" s="47" t="n">
        <x:v>0.3</x:v>
      </x:c>
      <x:c r="X2018" s="54" t="n">
        <x:f>IF(ISNUMBER(V2018),V2018/(1-W2018),"")</x:f>
        <x:v>26.605714285714285</x:v>
      </x:c>
      <x:c r="Y2018" s="55" t="n">
        <x:f>IF(ISNUMBER(X2018),ROUNDUP(X2018,0),"")</x:f>
        <x:v>27</x:v>
      </x:c>
      <x:c r="Z2018" t="str">
        <x:v>Source match pending</x:v>
      </x:c>
      <x:c r="AA2018" t="str">
        <x:v>screencapture-www-activesportstrade-co-uk-olimp-trade-2026-09-10-09_05_33.pdf / page-01</x:v>
      </x:c>
      <x:c r="AB2018" s="36" t="n">
        <x:f>IF(ISNUMBER(Y2018),ROUND(Y2018*0.9,2),"")</x:f>
        <x:v>24.3</x:v>
      </x:c>
      <x:c r="AC2018" s="36" t="n">
        <x:f>IF(ISNUMBER(AB2018),ROUND(AB2018-(AB2018*0.015+0.2)-V2018,2),"")</x:f>
        <x:v>5.11</x:v>
      </x:c>
      <x:c r="AD2018" s="36" t="n">
        <x:f>IF(ISNUMBER(Y2018),ROUND(Y2018*0.8,2),"")</x:f>
        <x:v>21.6</x:v>
      </x:c>
      <x:c r="AE2018" s="36" t="n">
        <x:f>IF(ISNUMBER(AD2018),ROUND(AD2018*0.015+0.2,2),"")</x:f>
        <x:v>0.52</x:v>
      </x:c>
      <x:c r="AF2018" s="36" t="n">
        <x:f>IF(ISNUMBER(AD2018),ROUND(AD2018-AE2018-V2018,2),"")</x:f>
        <x:v>2.46</x:v>
      </x:c>
      <x:c r="AG2018" t="str">
        <x:f>IF(NOT(ISNUMBER(T2018)),"PENDING",IF(AF2018&gt;0,"PASS","FAIL"))</x:f>
        <x:v>PASS</x:v>
      </x:c>
      <x:c r="AH2018" t="str">
        <x:f>IF(NOT(ISNUMBER(T2018)),"Needs supplier cost",IF(K2018&lt;&gt;"In stock","Supplier unavailable",IF(AG2018&lt;&gt;"PASS","BLOCK - GT loss risk","Commercially protected")))</x:f>
        <x:v>Commercially protected</x:v>
      </x:c>
      <x:c r="AI2018" t="str">
        <x:v>2026-09-10 Active Sports trade capture</x:v>
      </x:c>
      <x:c r="AJ2018" t="str">
        <x:v>Management-only economics. Stripe stress test uses 1.5% + £0.20 standard UK online-card fee; pallet/mix-and-match pricing ignored.</x:v>
      </x:c>
    </x:row>
    <x:row r="2019">
      <x:c r="A2019" t="str">
        <x:v>Active Sports Nutrition</x:v>
      </x:c>
      <x:c r="B2019" t="str">
        <x:v>Olimp</x:v>
      </x:c>
      <x:c r="C2019" t="str">
        <x:v>Anabolic Amino 5500 Mega Caps</x:v>
      </x:c>
      <x:c r="D2019" t="str">
        <x:v>Supplements</x:v>
      </x:c>
      <x:c r="E2019" t="str">
        <x:v>Amino Acids</x:v>
      </x:c>
      <x:c r="F2019" t="str"/>
      <x:c r="G2019" t="str">
        <x:v>400 caps</x:v>
      </x:c>
      <x:c r="H2019" t="str">
        <x:v>Default</x:v>
      </x:c>
      <x:c r="I2019" t="str"/>
      <x:c r="J2019" t="str">
        <x:v>Unit</x:v>
      </x:c>
      <x:c r="K2019" t="str">
        <x:v>In stock</x:v>
      </x:c>
      <x:c r="L2019" t="str">
        <x:v>2026-09-08</x:v>
      </x:c>
      <x:c r="M2019" t="str"/>
      <x:c r="N2019" t="str"/>
      <x:c r="O2019" t="str">
        <x:v>https://www.activesportstrade.co.uk/Amino-Acids</x:v>
      </x:c>
      <x:c r="P2019" t="str"/>
      <x:c r="Q2019" t="str"/>
      <x:c r="R2019" t="str"/>
      <x:c r="S2019" t="str">
        <x:v>Pending genuine supplier/brand image</x:v>
      </x:c>
      <x:c r="T2019" s="54" t="n">
        <x:v>29.99</x:v>
      </x:c>
      <x:c r="U2019" s="47" t="n">
        <x:v>0.2</x:v>
      </x:c>
      <x:c r="V2019" s="54" t="n">
        <x:f>IF(ISNUMBER(T2019),T2019*(1+U2019),"")</x:f>
        <x:v>35.988</x:v>
      </x:c>
      <x:c r="W2019" s="47" t="n">
        <x:v>0.3</x:v>
      </x:c>
      <x:c r="X2019" s="54" t="n">
        <x:f>IF(ISNUMBER(V2019),V2019/(1-W2019),"")</x:f>
        <x:v>51.41142857142857</x:v>
      </x:c>
      <x:c r="Y2019" s="55" t="n">
        <x:f>IF(ISNUMBER(X2019),ROUNDUP(X2019,0),"")</x:f>
        <x:v>52</x:v>
      </x:c>
      <x:c r="Z2019" t="str">
        <x:v>Source match pending</x:v>
      </x:c>
      <x:c r="AA2019" t="str">
        <x:v>screencapture-www-activesportstrade-co-uk-olimp-trade-2026-09-10-09_05_33.pdf / page-02</x:v>
      </x:c>
      <x:c r="AB2019" s="36" t="n">
        <x:f>IF(ISNUMBER(Y2019),ROUND(Y2019*0.9,2),"")</x:f>
        <x:v>46.8</x:v>
      </x:c>
      <x:c r="AC2019" s="36" t="n">
        <x:f>IF(ISNUMBER(AB2019),ROUND(AB2019-(AB2019*0.015+0.2)-V2019,2),"")</x:f>
        <x:v>9.91</x:v>
      </x:c>
      <x:c r="AD2019" s="36" t="n">
        <x:f>IF(ISNUMBER(Y2019),ROUND(Y2019*0.8,2),"")</x:f>
        <x:v>41.6</x:v>
      </x:c>
      <x:c r="AE2019" s="36" t="n">
        <x:f>IF(ISNUMBER(AD2019),ROUND(AD2019*0.015+0.2,2),"")</x:f>
        <x:v>0.82</x:v>
      </x:c>
      <x:c r="AF2019" s="36" t="n">
        <x:f>IF(ISNUMBER(AD2019),ROUND(AD2019-AE2019-V2019,2),"")</x:f>
        <x:v>4.79</x:v>
      </x:c>
      <x:c r="AG2019" t="str">
        <x:f>IF(NOT(ISNUMBER(T2019)),"PENDING",IF(AF2019&gt;0,"PASS","FAIL"))</x:f>
        <x:v>PASS</x:v>
      </x:c>
      <x:c r="AH2019" t="str">
        <x:f>IF(NOT(ISNUMBER(T2019)),"Needs supplier cost",IF(K2019&lt;&gt;"In stock","Supplier unavailable",IF(AG2019&lt;&gt;"PASS","BLOCK - GT loss risk","Commercially protected")))</x:f>
        <x:v>Commercially protected</x:v>
      </x:c>
      <x:c r="AI2019" t="str">
        <x:v>2026-09-10 Active Sports trade capture</x:v>
      </x:c>
      <x:c r="AJ2019" t="str">
        <x:v>Management-only economics. Stripe stress test uses 1.5% + £0.20 standard UK online-card fee; pallet/mix-and-match pricing ignored.</x:v>
      </x:c>
    </x:row>
    <x:row r="2020">
      <x:c r="A2020" t="str">
        <x:v>Active Sports Nutrition</x:v>
      </x:c>
      <x:c r="B2020" t="str">
        <x:v>Olimp</x:v>
      </x:c>
      <x:c r="C2020" t="str">
        <x:v>Anabolic Amino 9000 Mega Tabs</x:v>
      </x:c>
      <x:c r="D2020" t="str">
        <x:v>Supplements</x:v>
      </x:c>
      <x:c r="E2020" t="str">
        <x:v>Amino Acids</x:v>
      </x:c>
      <x:c r="F2020" t="str"/>
      <x:c r="G2020" t="str">
        <x:v>150 tabs</x:v>
      </x:c>
      <x:c r="H2020" t="str">
        <x:v>Default</x:v>
      </x:c>
      <x:c r="I2020" t="str"/>
      <x:c r="J2020" t="str">
        <x:v>Unit</x:v>
      </x:c>
      <x:c r="K2020" t="str">
        <x:v>In stock</x:v>
      </x:c>
      <x:c r="L2020" t="str">
        <x:v>2026-09-08</x:v>
      </x:c>
      <x:c r="M2020" t="str"/>
      <x:c r="N2020" t="str"/>
      <x:c r="O2020" t="str">
        <x:v>https://www.activesportstrade.co.uk/Amino-Acids</x:v>
      </x:c>
      <x:c r="P2020" t="str"/>
      <x:c r="Q2020" t="str"/>
      <x:c r="R2020" t="str"/>
      <x:c r="S2020" t="str">
        <x:v>Pending genuine supplier/brand image</x:v>
      </x:c>
      <x:c r="T2020" s="54" t="n">
        <x:v>18.12</x:v>
      </x:c>
      <x:c r="U2020" s="47" t="n">
        <x:v>0.2</x:v>
      </x:c>
      <x:c r="V2020" s="54" t="n">
        <x:f>IF(ISNUMBER(T2020),T2020*(1+U2020),"")</x:f>
        <x:v>21.744</x:v>
      </x:c>
      <x:c r="W2020" s="47" t="n">
        <x:v>0.3</x:v>
      </x:c>
      <x:c r="X2020" s="54" t="n">
        <x:f>IF(ISNUMBER(V2020),V2020/(1-W2020),"")</x:f>
        <x:v>31.062857142857144</x:v>
      </x:c>
      <x:c r="Y2020" s="55" t="n">
        <x:f>IF(ISNUMBER(X2020),ROUNDUP(X2020,0),"")</x:f>
        <x:v>32</x:v>
      </x:c>
      <x:c r="Z2020" t="str">
        <x:v>Source match pending</x:v>
      </x:c>
      <x:c r="AA2020" t="str">
        <x:v>screencapture-www-activesportstrade-co-uk-olimp-trade-2026-09-10-09_05_33.pdf / page-02</x:v>
      </x:c>
      <x:c r="AB2020" s="36" t="n">
        <x:f>IF(ISNUMBER(Y2020),ROUND(Y2020*0.9,2),"")</x:f>
        <x:v>28.8</x:v>
      </x:c>
      <x:c r="AC2020" s="36" t="n">
        <x:f>IF(ISNUMBER(AB2020),ROUND(AB2020-(AB2020*0.015+0.2)-V2020,2),"")</x:f>
        <x:v>6.42</x:v>
      </x:c>
      <x:c r="AD2020" s="36" t="n">
        <x:f>IF(ISNUMBER(Y2020),ROUND(Y2020*0.8,2),"")</x:f>
        <x:v>25.6</x:v>
      </x:c>
      <x:c r="AE2020" s="36" t="n">
        <x:f>IF(ISNUMBER(AD2020),ROUND(AD2020*0.015+0.2,2),"")</x:f>
        <x:v>0.58</x:v>
      </x:c>
      <x:c r="AF2020" s="36" t="n">
        <x:f>IF(ISNUMBER(AD2020),ROUND(AD2020-AE2020-V2020,2),"")</x:f>
        <x:v>3.28</x:v>
      </x:c>
      <x:c r="AG2020" t="str">
        <x:f>IF(NOT(ISNUMBER(T2020)),"PENDING",IF(AF2020&gt;0,"PASS","FAIL"))</x:f>
        <x:v>PASS</x:v>
      </x:c>
      <x:c r="AH2020" t="str">
        <x:f>IF(NOT(ISNUMBER(T2020)),"Needs supplier cost",IF(K2020&lt;&gt;"In stock","Supplier unavailable",IF(AG2020&lt;&gt;"PASS","BLOCK - GT loss risk","Commercially protected")))</x:f>
        <x:v>Commercially protected</x:v>
      </x:c>
      <x:c r="AI2020" t="str">
        <x:v>2026-09-10 Active Sports trade capture</x:v>
      </x:c>
      <x:c r="AJ2020" t="str">
        <x:v>Management-only economics. Stripe stress test uses 1.5% + £0.20 standard UK online-card fee; pallet/mix-and-match pricing ignored.</x:v>
      </x:c>
    </x:row>
    <x:row r="2021">
      <x:c r="A2021" t="str">
        <x:v>Active Sports Nutrition</x:v>
      </x:c>
      <x:c r="B2021" t="str">
        <x:v>Olimp</x:v>
      </x:c>
      <x:c r="C2021" t="str">
        <x:v>Anabolic Amino 9000 Mega Tabs</x:v>
      </x:c>
      <x:c r="D2021" t="str">
        <x:v>Supplements</x:v>
      </x:c>
      <x:c r="E2021" t="str">
        <x:v>Amino Acids</x:v>
      </x:c>
      <x:c r="F2021" t="str"/>
      <x:c r="G2021" t="str">
        <x:v>300 tabs</x:v>
      </x:c>
      <x:c r="H2021" t="str">
        <x:v>Default</x:v>
      </x:c>
      <x:c r="I2021" t="str"/>
      <x:c r="J2021" t="str">
        <x:v>Unit</x:v>
      </x:c>
      <x:c r="K2021" t="str">
        <x:v>In stock</x:v>
      </x:c>
      <x:c r="L2021" t="str">
        <x:v>2026-09-08</x:v>
      </x:c>
      <x:c r="M2021" t="str"/>
      <x:c r="N2021" t="str"/>
      <x:c r="O2021" t="str">
        <x:v>https://www.activesportstrade.co.uk/Amino-Acids</x:v>
      </x:c>
      <x:c r="P2021" t="str"/>
      <x:c r="Q2021" t="str"/>
      <x:c r="R2021" t="str"/>
      <x:c r="S2021" t="str">
        <x:v>Pending genuine supplier/brand image</x:v>
      </x:c>
      <x:c r="T2021" s="54" t="n">
        <x:v>34.22</x:v>
      </x:c>
      <x:c r="U2021" s="47" t="n">
        <x:v>0.2</x:v>
      </x:c>
      <x:c r="V2021" s="54" t="n">
        <x:f>IF(ISNUMBER(T2021),T2021*(1+U2021),"")</x:f>
        <x:v>41.064</x:v>
      </x:c>
      <x:c r="W2021" s="47" t="n">
        <x:v>0.3</x:v>
      </x:c>
      <x:c r="X2021" s="54" t="n">
        <x:f>IF(ISNUMBER(V2021),V2021/(1-W2021),"")</x:f>
        <x:v>58.66285714285715</x:v>
      </x:c>
      <x:c r="Y2021" s="55" t="n">
        <x:f>IF(ISNUMBER(X2021),ROUNDUP(X2021,0),"")</x:f>
        <x:v>59</x:v>
      </x:c>
      <x:c r="Z2021" t="str">
        <x:v>Source match pending</x:v>
      </x:c>
      <x:c r="AA2021" t="str">
        <x:v>screencapture-www-activesportstrade-co-uk-olimp-trade-2026-09-10-09_05_33.pdf / page-02</x:v>
      </x:c>
      <x:c r="AB2021" s="36" t="n">
        <x:f>IF(ISNUMBER(Y2021),ROUND(Y2021*0.9,2),"")</x:f>
        <x:v>53.1</x:v>
      </x:c>
      <x:c r="AC2021" s="36" t="n">
        <x:f>IF(ISNUMBER(AB2021),ROUND(AB2021-(AB2021*0.015+0.2)-V2021,2),"")</x:f>
        <x:v>11.04</x:v>
      </x:c>
      <x:c r="AD2021" s="36" t="n">
        <x:f>IF(ISNUMBER(Y2021),ROUND(Y2021*0.8,2),"")</x:f>
        <x:v>47.2</x:v>
      </x:c>
      <x:c r="AE2021" s="36" t="n">
        <x:f>IF(ISNUMBER(AD2021),ROUND(AD2021*0.015+0.2,2),"")</x:f>
        <x:v>0.91</x:v>
      </x:c>
      <x:c r="AF2021" s="36" t="n">
        <x:f>IF(ISNUMBER(AD2021),ROUND(AD2021-AE2021-V2021,2),"")</x:f>
        <x:v>5.23</x:v>
      </x:c>
      <x:c r="AG2021" t="str">
        <x:f>IF(NOT(ISNUMBER(T2021)),"PENDING",IF(AF2021&gt;0,"PASS","FAIL"))</x:f>
        <x:v>PASS</x:v>
      </x:c>
      <x:c r="AH2021" t="str">
        <x:f>IF(NOT(ISNUMBER(T2021)),"Needs supplier cost",IF(K2021&lt;&gt;"In stock","Supplier unavailable",IF(AG2021&lt;&gt;"PASS","BLOCK - GT loss risk","Commercially protected")))</x:f>
        <x:v>Commercially protected</x:v>
      </x:c>
      <x:c r="AI2021" t="str">
        <x:v>2026-09-10 Active Sports trade capture</x:v>
      </x:c>
      <x:c r="AJ2021" t="str">
        <x:v>Management-only economics. Stripe stress test uses 1.5% + £0.20 standard UK online-card fee; pallet/mix-and-match pricing ignored.</x:v>
      </x:c>
    </x:row>
    <x:row r="2022">
      <x:c r="A2022" t="str">
        <x:v>Active Sports Nutrition</x:v>
      </x:c>
      <x:c r="B2022" t="str">
        <x:v>Olimp</x:v>
      </x:c>
      <x:c r="C2022" t="str">
        <x:v>BCAA 1100 Mega Caps</x:v>
      </x:c>
      <x:c r="D2022" t="str">
        <x:v>Supplements</x:v>
      </x:c>
      <x:c r="E2022" t="str">
        <x:v>Amino Acids</x:v>
      </x:c>
      <x:c r="F2022" t="str"/>
      <x:c r="G2022" t="str">
        <x:v>120 caps</x:v>
      </x:c>
      <x:c r="H2022" t="str">
        <x:v>Default</x:v>
      </x:c>
      <x:c r="I2022" t="str"/>
      <x:c r="J2022" t="str">
        <x:v>Unit</x:v>
      </x:c>
      <x:c r="K2022" t="str">
        <x:v>In stock</x:v>
      </x:c>
      <x:c r="L2022" t="str">
        <x:v>2026-09-08</x:v>
      </x:c>
      <x:c r="M2022" t="str"/>
      <x:c r="N2022" t="str"/>
      <x:c r="O2022" t="str">
        <x:v>https://www.activesportstrade.co.uk/Amino-Acids</x:v>
      </x:c>
      <x:c r="P2022" t="str"/>
      <x:c r="Q2022" t="str"/>
      <x:c r="R2022" t="str"/>
      <x:c r="S2022" t="str">
        <x:v>Pending genuine supplier/brand image</x:v>
      </x:c>
      <x:c r="T2022" s="54" t="n">
        <x:v>8.66</x:v>
      </x:c>
      <x:c r="U2022" s="47" t="n">
        <x:v>0.2</x:v>
      </x:c>
      <x:c r="V2022" s="54" t="n">
        <x:f>IF(ISNUMBER(T2022),T2022*(1+U2022),"")</x:f>
        <x:v>10.392</x:v>
      </x:c>
      <x:c r="W2022" s="47" t="n">
        <x:v>0.3</x:v>
      </x:c>
      <x:c r="X2022" s="54" t="n">
        <x:f>IF(ISNUMBER(V2022),V2022/(1-W2022),"")</x:f>
        <x:v>14.845714285714285</x:v>
      </x:c>
      <x:c r="Y2022" s="55" t="n">
        <x:f>IF(ISNUMBER(X2022),ROUNDUP(X2022,0),"")</x:f>
        <x:v>15</x:v>
      </x:c>
      <x:c r="Z2022" t="str">
        <x:v>Source match pending</x:v>
      </x:c>
      <x:c r="AA2022" t="str">
        <x:v>screencapture-www-activesportstrade-co-uk-olimp-trade-2026-09-10-09_05_33.pdf / page-02</x:v>
      </x:c>
      <x:c r="AB2022" s="36" t="n">
        <x:f>IF(ISNUMBER(Y2022),ROUND(Y2022*0.9,2),"")</x:f>
        <x:v>13.5</x:v>
      </x:c>
      <x:c r="AC2022" s="36" t="n">
        <x:f>IF(ISNUMBER(AB2022),ROUND(AB2022-(AB2022*0.015+0.2)-V2022,2),"")</x:f>
        <x:v>2.71</x:v>
      </x:c>
      <x:c r="AD2022" s="36" t="n">
        <x:f>IF(ISNUMBER(Y2022),ROUND(Y2022*0.8,2),"")</x:f>
        <x:v>12</x:v>
      </x:c>
      <x:c r="AE2022" s="36" t="n">
        <x:f>IF(ISNUMBER(AD2022),ROUND(AD2022*0.015+0.2,2),"")</x:f>
        <x:v>0.38</x:v>
      </x:c>
      <x:c r="AF2022" s="36" t="n">
        <x:f>IF(ISNUMBER(AD2022),ROUND(AD2022-AE2022-V2022,2),"")</x:f>
        <x:v>1.23</x:v>
      </x:c>
      <x:c r="AG2022" t="str">
        <x:f>IF(NOT(ISNUMBER(T2022)),"PENDING",IF(AF2022&gt;0,"PASS","FAIL"))</x:f>
        <x:v>PASS</x:v>
      </x:c>
      <x:c r="AH2022" t="str">
        <x:f>IF(NOT(ISNUMBER(T2022)),"Needs supplier cost",IF(K2022&lt;&gt;"In stock","Supplier unavailable",IF(AG2022&lt;&gt;"PASS","BLOCK - GT loss risk","Commercially protected")))</x:f>
        <x:v>Commercially protected</x:v>
      </x:c>
      <x:c r="AI2022" t="str">
        <x:v>2026-09-10 Active Sports trade capture</x:v>
      </x:c>
      <x:c r="AJ2022" t="str">
        <x:v>Management-only economics. Stripe stress test uses 1.5% + £0.20 standard UK online-card fee; pallet/mix-and-match pricing ignored.</x:v>
      </x:c>
    </x:row>
    <x:row r="2023">
      <x:c r="A2023" t="str">
        <x:v>Active Sports Nutrition</x:v>
      </x:c>
      <x:c r="B2023" t="str">
        <x:v>Olimp</x:v>
      </x:c>
      <x:c r="C2023" t="str">
        <x:v>BCAA 1100 Mega Caps</x:v>
      </x:c>
      <x:c r="D2023" t="str">
        <x:v>Supplements</x:v>
      </x:c>
      <x:c r="E2023" t="str">
        <x:v>Amino Acids</x:v>
      </x:c>
      <x:c r="F2023" t="str"/>
      <x:c r="G2023" t="str">
        <x:v>300 caps</x:v>
      </x:c>
      <x:c r="H2023" t="str">
        <x:v>Default</x:v>
      </x:c>
      <x:c r="I2023" t="str"/>
      <x:c r="J2023" t="str">
        <x:v>Unit</x:v>
      </x:c>
      <x:c r="K2023" t="str">
        <x:v>In stock</x:v>
      </x:c>
      <x:c r="L2023" t="str">
        <x:v>2026-09-08</x:v>
      </x:c>
      <x:c r="M2023" t="str"/>
      <x:c r="N2023" t="str"/>
      <x:c r="O2023" t="str">
        <x:v>https://www.activesportstrade.co.uk/Amino-Acids</x:v>
      </x:c>
      <x:c r="P2023" t="str"/>
      <x:c r="Q2023" t="str"/>
      <x:c r="R2023" t="str"/>
      <x:c r="S2023" t="str">
        <x:v>Pending genuine supplier/brand image</x:v>
      </x:c>
      <x:c r="T2023" s="54" t="n">
        <x:v>19.58</x:v>
      </x:c>
      <x:c r="U2023" s="47" t="n">
        <x:v>0.2</x:v>
      </x:c>
      <x:c r="V2023" s="54" t="n">
        <x:f>IF(ISNUMBER(T2023),T2023*(1+U2023),"")</x:f>
        <x:v>23.496</x:v>
      </x:c>
      <x:c r="W2023" s="47" t="n">
        <x:v>0.3</x:v>
      </x:c>
      <x:c r="X2023" s="54" t="n">
        <x:f>IF(ISNUMBER(V2023),V2023/(1-W2023),"")</x:f>
        <x:v>33.565714285714286</x:v>
      </x:c>
      <x:c r="Y2023" s="55" t="n">
        <x:f>IF(ISNUMBER(X2023),ROUNDUP(X2023,0),"")</x:f>
        <x:v>34</x:v>
      </x:c>
      <x:c r="Z2023" t="str">
        <x:v>Source match pending</x:v>
      </x:c>
      <x:c r="AA2023" t="str">
        <x:v>screencapture-www-activesportstrade-co-uk-olimp-trade-2026-09-10-09_05_33.pdf / page-03</x:v>
      </x:c>
      <x:c r="AB2023" s="36" t="n">
        <x:f>IF(ISNUMBER(Y2023),ROUND(Y2023*0.9,2),"")</x:f>
        <x:v>30.6</x:v>
      </x:c>
      <x:c r="AC2023" s="36" t="n">
        <x:f>IF(ISNUMBER(AB2023),ROUND(AB2023-(AB2023*0.015+0.2)-V2023,2),"")</x:f>
        <x:v>6.45</x:v>
      </x:c>
      <x:c r="AD2023" s="36" t="n">
        <x:f>IF(ISNUMBER(Y2023),ROUND(Y2023*0.8,2),"")</x:f>
        <x:v>27.2</x:v>
      </x:c>
      <x:c r="AE2023" s="36" t="n">
        <x:f>IF(ISNUMBER(AD2023),ROUND(AD2023*0.015+0.2,2),"")</x:f>
        <x:v>0.61</x:v>
      </x:c>
      <x:c r="AF2023" s="36" t="n">
        <x:f>IF(ISNUMBER(AD2023),ROUND(AD2023-AE2023-V2023,2),"")</x:f>
        <x:v>3.09</x:v>
      </x:c>
      <x:c r="AG2023" t="str">
        <x:f>IF(NOT(ISNUMBER(T2023)),"PENDING",IF(AF2023&gt;0,"PASS","FAIL"))</x:f>
        <x:v>PASS</x:v>
      </x:c>
      <x:c r="AH2023" t="str">
        <x:f>IF(NOT(ISNUMBER(T2023)),"Needs supplier cost",IF(K2023&lt;&gt;"In stock","Supplier unavailable",IF(AG2023&lt;&gt;"PASS","BLOCK - GT loss risk","Commercially protected")))</x:f>
        <x:v>Commercially protected</x:v>
      </x:c>
      <x:c r="AI2023" t="str">
        <x:v>2026-09-10 Active Sports trade capture</x:v>
      </x:c>
      <x:c r="AJ2023" t="str">
        <x:v>Management-only economics. Stripe stress test uses 1.5% + £0.20 standard UK online-card fee; pallet/mix-and-match pricing ignored.</x:v>
      </x:c>
    </x:row>
    <x:row r="2024">
      <x:c r="A2024" t="str">
        <x:v>Active Sports Nutrition</x:v>
      </x:c>
      <x:c r="B2024" t="str">
        <x:v>Olimp</x:v>
      </x:c>
      <x:c r="C2024" t="str">
        <x:v>Collagen Bar</x:v>
      </x:c>
      <x:c r="D2024" t="str">
        <x:v>Drinks and Bars</x:v>
      </x:c>
      <x:c r="E2024" t="str">
        <x:v>Bars and Snacks</x:v>
      </x:c>
      <x:c r="F2024" t="str"/>
      <x:c r="G2024" t="str">
        <x:v>25 x 44g bars</x:v>
      </x:c>
      <x:c r="H2024" t="str">
        <x:v>Chocolate</x:v>
      </x:c>
      <x:c r="I2024" t="str">
        <x:v>25</x:v>
      </x:c>
      <x:c r="J2024" t="str">
        <x:v>Case</x:v>
      </x:c>
      <x:c r="K2024" t="str">
        <x:v>Out of stock</x:v>
      </x:c>
      <x:c r="L2024" t="str">
        <x:v>2026-09-08</x:v>
      </x:c>
      <x:c r="M2024" t="str"/>
      <x:c r="N2024" t="str"/>
      <x:c r="O2024" t="str">
        <x:v>https://www.activesportstrade.co.uk/Protein-Bars</x:v>
      </x:c>
      <x:c r="P2024" t="str"/>
      <x:c r="Q2024" t="str"/>
      <x:c r="R2024" t="str"/>
      <x:c r="S2024" t="str">
        <x:v>Pending genuine supplier/brand image</x:v>
      </x:c>
      <x:c r="T2024" s="54" t="n">
        <x:v>28.99</x:v>
      </x:c>
      <x:c r="U2024" s="47" t="n">
        <x:v>0.2</x:v>
      </x:c>
      <x:c r="V2024" s="54" t="n">
        <x:f>IF(ISNUMBER(T2024),T2024*(1+U2024),"")</x:f>
        <x:v>34.788</x:v>
      </x:c>
      <x:c r="W2024" s="47" t="n">
        <x:v>0.3</x:v>
      </x:c>
      <x:c r="X2024" s="54" t="n">
        <x:f>IF(ISNUMBER(V2024),V2024/(1-W2024),"")</x:f>
        <x:v>49.69714285714286</x:v>
      </x:c>
      <x:c r="Y2024" s="55" t="n">
        <x:f>IF(ISNUMBER(X2024),ROUNDUP(X2024,0),"")</x:f>
        <x:v>50</x:v>
      </x:c>
      <x:c r="Z2024" t="str">
        <x:v>Source match pending</x:v>
      </x:c>
      <x:c r="AA2024" t="str">
        <x:v>screencapture-www-activesportstrade-co-uk-olimp-trade-2026-09-10-09_05_33.pdf / page-05</x:v>
      </x:c>
      <x:c r="AB2024" s="36" t="n">
        <x:f>IF(ISNUMBER(Y2024),ROUND(Y2024*0.9,2),"")</x:f>
        <x:v>45</x:v>
      </x:c>
      <x:c r="AC2024" s="36" t="n">
        <x:f>IF(ISNUMBER(AB2024),ROUND(AB2024-(AB2024*0.015+0.2)-V2024,2),"")</x:f>
        <x:v>9.34</x:v>
      </x:c>
      <x:c r="AD2024" s="36" t="n">
        <x:f>IF(ISNUMBER(Y2024),ROUND(Y2024*0.8,2),"")</x:f>
        <x:v>40</x:v>
      </x:c>
      <x:c r="AE2024" s="36" t="n">
        <x:f>IF(ISNUMBER(AD2024),ROUND(AD2024*0.015+0.2,2),"")</x:f>
        <x:v>0.8</x:v>
      </x:c>
      <x:c r="AF2024" s="36" t="n">
        <x:f>IF(ISNUMBER(AD2024),ROUND(AD2024-AE2024-V2024,2),"")</x:f>
        <x:v>4.41</x:v>
      </x:c>
      <x:c r="AG2024" t="str">
        <x:f>IF(NOT(ISNUMBER(T2024)),"PENDING",IF(AF2024&gt;0,"PASS","FAIL"))</x:f>
        <x:v>PASS</x:v>
      </x:c>
      <x:c r="AH2024" t="str">
        <x:f>IF(NOT(ISNUMBER(T2024)),"Needs supplier cost",IF(K2024&lt;&gt;"In stock","Supplier unavailable",IF(AG2024&lt;&gt;"PASS","BLOCK - GT loss risk","Commercially protected")))</x:f>
        <x:v>Supplier unavailable</x:v>
      </x:c>
      <x:c r="AI2024" t="str">
        <x:v>2026-09-10 Active Sports trade capture</x:v>
      </x:c>
      <x:c r="AJ2024" t="str">
        <x:v>Management-only economics. Stripe stress test uses 1.5% + £0.20 standard UK online-card fee; pallet/mix-and-match pricing ignored.</x:v>
      </x:c>
    </x:row>
    <x:row r="2025">
      <x:c r="A2025" t="str">
        <x:v>Active Sports Nutrition</x:v>
      </x:c>
      <x:c r="B2025" t="str">
        <x:v>Olimp</x:v>
      </x:c>
      <x:c r="C2025" t="str">
        <x:v>Energy + Bars</x:v>
      </x:c>
      <x:c r="D2025" t="str">
        <x:v>Drinks and Bars</x:v>
      </x:c>
      <x:c r="E2025" t="str">
        <x:v>Bars and Snacks</x:v>
      </x:c>
      <x:c r="F2025" t="str"/>
      <x:c r="G2025" t="str">
        <x:v>20 x 45g bars</x:v>
      </x:c>
      <x:c r="H2025" t="str">
        <x:v>Peanut &amp; Caramel</x:v>
      </x:c>
      <x:c r="I2025" t="str">
        <x:v>20</x:v>
      </x:c>
      <x:c r="J2025" t="str">
        <x:v>Case</x:v>
      </x:c>
      <x:c r="K2025" t="str">
        <x:v>In stock</x:v>
      </x:c>
      <x:c r="L2025" t="str">
        <x:v>2026-09-08</x:v>
      </x:c>
      <x:c r="M2025" t="str"/>
      <x:c r="N2025" t="str"/>
      <x:c r="O2025" t="str">
        <x:v>https://www.activesportstrade.co.uk/Protein-Bars</x:v>
      </x:c>
      <x:c r="P2025" t="str"/>
      <x:c r="Q2025" t="str"/>
      <x:c r="R2025" t="str"/>
      <x:c r="S2025" t="str">
        <x:v>Pending genuine supplier/brand image</x:v>
      </x:c>
      <x:c r="T2025" s="54" t="n">
        <x:v>9.99</x:v>
      </x:c>
      <x:c r="U2025" s="47" t="n">
        <x:v>0.2</x:v>
      </x:c>
      <x:c r="V2025" s="54" t="n">
        <x:f>IF(ISNUMBER(T2025),T2025*(1+U2025),"")</x:f>
        <x:v>11.988</x:v>
      </x:c>
      <x:c r="W2025" s="47" t="n">
        <x:v>0.3</x:v>
      </x:c>
      <x:c r="X2025" s="54" t="n">
        <x:f>IF(ISNUMBER(V2025),V2025/(1-W2025),"")</x:f>
        <x:v>17.125714285714285</x:v>
      </x:c>
      <x:c r="Y2025" s="55" t="n">
        <x:f>IF(ISNUMBER(X2025),ROUNDUP(X2025,0),"")</x:f>
        <x:v>18</x:v>
      </x:c>
      <x:c r="Z2025" t="str">
        <x:v>Source match pending</x:v>
      </x:c>
      <x:c r="AA2025" t="str">
        <x:v>screencapture-www-activesportstrade-co-uk-olimp-trade-2026-09-10-09_05_33.pdf / page-07</x:v>
      </x:c>
      <x:c r="AB2025" s="36" t="n">
        <x:f>IF(ISNUMBER(Y2025),ROUND(Y2025*0.9,2),"")</x:f>
        <x:v>16.2</x:v>
      </x:c>
      <x:c r="AC2025" s="36" t="n">
        <x:f>IF(ISNUMBER(AB2025),ROUND(AB2025-(AB2025*0.015+0.2)-V2025,2),"")</x:f>
        <x:v>3.77</x:v>
      </x:c>
      <x:c r="AD2025" s="36" t="n">
        <x:f>IF(ISNUMBER(Y2025),ROUND(Y2025*0.8,2),"")</x:f>
        <x:v>14.4</x:v>
      </x:c>
      <x:c r="AE2025" s="36" t="n">
        <x:f>IF(ISNUMBER(AD2025),ROUND(AD2025*0.015+0.2,2),"")</x:f>
        <x:v>0.42</x:v>
      </x:c>
      <x:c r="AF2025" s="36" t="n">
        <x:f>IF(ISNUMBER(AD2025),ROUND(AD2025-AE2025-V2025,2),"")</x:f>
        <x:v>1.99</x:v>
      </x:c>
      <x:c r="AG2025" t="str">
        <x:f>IF(NOT(ISNUMBER(T2025)),"PENDING",IF(AF2025&gt;0,"PASS","FAIL"))</x:f>
        <x:v>PASS</x:v>
      </x:c>
      <x:c r="AH2025" t="str">
        <x:f>IF(NOT(ISNUMBER(T2025)),"Needs supplier cost",IF(K2025&lt;&gt;"In stock","Supplier unavailable",IF(AG2025&lt;&gt;"PASS","BLOCK - GT loss risk","Commercially protected")))</x:f>
        <x:v>Commercially protected</x:v>
      </x:c>
      <x:c r="AI2025" t="str">
        <x:v>2026-09-10 Active Sports trade capture</x:v>
      </x:c>
      <x:c r="AJ2025" t="str">
        <x:v>Management-only economics. Stripe stress test uses 1.5% + £0.20 standard UK online-card fee; pallet/mix-and-match pricing ignored.</x:v>
      </x:c>
    </x:row>
    <x:row r="2026">
      <x:c r="A2026" t="str">
        <x:v>Active Sports Nutrition</x:v>
      </x:c>
      <x:c r="B2026" t="str">
        <x:v>Olimp</x:v>
      </x:c>
      <x:c r="C2026" t="str">
        <x:v>Im Pro Protein Bar</x:v>
      </x:c>
      <x:c r="D2026" t="str">
        <x:v>Drinks and Bars</x:v>
      </x:c>
      <x:c r="E2026" t="str">
        <x:v>Bars and Snacks</x:v>
      </x:c>
      <x:c r="F2026" t="str"/>
      <x:c r="G2026" t="str">
        <x:v>15 x 40g bars</x:v>
      </x:c>
      <x:c r="H2026" t="str">
        <x:v>Peanut Butter - BB 21/09/26</x:v>
      </x:c>
      <x:c r="I2026" t="str">
        <x:v>15</x:v>
      </x:c>
      <x:c r="J2026" t="str">
        <x:v>Case</x:v>
      </x:c>
      <x:c r="K2026" t="str">
        <x:v>Unavailable - dated clearance</x:v>
      </x:c>
      <x:c r="L2026" t="str">
        <x:v>2026-09-08</x:v>
      </x:c>
      <x:c r="M2026" t="str"/>
      <x:c r="N2026" t="str"/>
      <x:c r="O2026" t="str">
        <x:v>https://www.activesportstrade.co.uk/Protein-Bars</x:v>
      </x:c>
      <x:c r="P2026" t="str">
        <x:v>Current listing is dated BB 21/09/26; recorded as dated clearance, not normal member-orderable.</x:v>
      </x:c>
      <x:c r="Q2026" t="str"/>
      <x:c r="R2026" t="str"/>
      <x:c r="S2026" t="str">
        <x:v>Pending genuine supplier/brand image</x:v>
      </x:c>
      <x:c r="T2026" s="54" t="n">
        <x:v>14.99</x:v>
      </x:c>
      <x:c r="U2026" s="47" t="n">
        <x:v>0.2</x:v>
      </x:c>
      <x:c r="V2026" s="54" t="n">
        <x:f>IF(ISNUMBER(T2026),T2026*(1+U2026),"")</x:f>
        <x:v>17.988</x:v>
      </x:c>
      <x:c r="W2026" s="47" t="n">
        <x:v>0.3</x:v>
      </x:c>
      <x:c r="X2026" s="54" t="n">
        <x:f>IF(ISNUMBER(V2026),V2026/(1-W2026),"")</x:f>
        <x:v>25.697142857142858</x:v>
      </x:c>
      <x:c r="Y2026" s="55" t="n">
        <x:f>IF(ISNUMBER(X2026),ROUNDUP(X2026,0),"")</x:f>
        <x:v>26</x:v>
      </x:c>
      <x:c r="Z2026" t="str">
        <x:v>Source match pending</x:v>
      </x:c>
      <x:c r="AA2026" t="str">
        <x:v>screencapture-www-activesportstrade-co-uk-olimp-trade-2026-09-10-09_05_33.pdf / page-09</x:v>
      </x:c>
      <x:c r="AB2026" s="36" t="n">
        <x:f>IF(ISNUMBER(Y2026),ROUND(Y2026*0.9,2),"")</x:f>
        <x:v>23.4</x:v>
      </x:c>
      <x:c r="AC2026" s="36" t="n">
        <x:f>IF(ISNUMBER(AB2026),ROUND(AB2026-(AB2026*0.015+0.2)-V2026,2),"")</x:f>
        <x:v>4.86</x:v>
      </x:c>
      <x:c r="AD2026" s="36" t="n">
        <x:f>IF(ISNUMBER(Y2026),ROUND(Y2026*0.8,2),"")</x:f>
        <x:v>20.8</x:v>
      </x:c>
      <x:c r="AE2026" s="36" t="n">
        <x:f>IF(ISNUMBER(AD2026),ROUND(AD2026*0.015+0.2,2),"")</x:f>
        <x:v>0.51</x:v>
      </x:c>
      <x:c r="AF2026" s="36" t="n">
        <x:f>IF(ISNUMBER(AD2026),ROUND(AD2026-AE2026-V2026,2),"")</x:f>
        <x:v>2.3</x:v>
      </x:c>
      <x:c r="AG2026" t="str">
        <x:f>IF(NOT(ISNUMBER(T2026)),"PENDING",IF(AF2026&gt;0,"PASS","FAIL"))</x:f>
        <x:v>PASS</x:v>
      </x:c>
      <x:c r="AH2026" t="str">
        <x:f>IF(NOT(ISNUMBER(T2026)),"Needs supplier cost",IF(K2026&lt;&gt;"In stock","Supplier unavailable",IF(AG2026&lt;&gt;"PASS","BLOCK - GT loss risk","Commercially protected")))</x:f>
        <x:v>Supplier unavailable</x:v>
      </x:c>
      <x:c r="AI2026" t="str">
        <x:v>2026-09-10 Active Sports trade capture</x:v>
      </x:c>
      <x:c r="AJ2026" t="str">
        <x:v>Management-only economics. Stripe stress test uses 1.5% + £0.20 standard UK online-card fee; pallet/mix-and-match pricing ignored.</x:v>
      </x:c>
    </x:row>
    <x:row r="2027">
      <x:c r="A2027" t="str">
        <x:v>Active Sports Nutrition</x:v>
      </x:c>
      <x:c r="B2027" t="str">
        <x:v>Olimp</x:v>
      </x:c>
      <x:c r="C2027" t="str">
        <x:v>Im Pro Protein Bar</x:v>
      </x:c>
      <x:c r="D2027" t="str">
        <x:v>Drinks and Bars</x:v>
      </x:c>
      <x:c r="E2027" t="str">
        <x:v>Bars and Snacks</x:v>
      </x:c>
      <x:c r="F2027" t="str"/>
      <x:c r="G2027" t="str">
        <x:v>15 x 40g bars</x:v>
      </x:c>
      <x:c r="H2027" t="str">
        <x:v>Yummy Cookie - BB 21/09/26</x:v>
      </x:c>
      <x:c r="I2027" t="str">
        <x:v>15</x:v>
      </x:c>
      <x:c r="J2027" t="str">
        <x:v>Case</x:v>
      </x:c>
      <x:c r="K2027" t="str">
        <x:v>Unavailable - dated clearance</x:v>
      </x:c>
      <x:c r="L2027" t="str">
        <x:v>2026-09-08</x:v>
      </x:c>
      <x:c r="M2027" t="str"/>
      <x:c r="N2027" t="str"/>
      <x:c r="O2027" t="str">
        <x:v>https://www.activesportstrade.co.uk/Protein-Bars</x:v>
      </x:c>
      <x:c r="P2027" t="str">
        <x:v>Current listing is dated BB 21/09/26; recorded as dated clearance, not normal member-orderable.</x:v>
      </x:c>
      <x:c r="Q2027" t="str"/>
      <x:c r="R2027" t="str"/>
      <x:c r="S2027" t="str">
        <x:v>Pending genuine supplier/brand image</x:v>
      </x:c>
      <x:c r="T2027" s="54" t="n">
        <x:v>14.99</x:v>
      </x:c>
      <x:c r="U2027" s="47" t="n">
        <x:v>0.2</x:v>
      </x:c>
      <x:c r="V2027" s="54" t="n">
        <x:f>IF(ISNUMBER(T2027),T2027*(1+U2027),"")</x:f>
        <x:v>17.988</x:v>
      </x:c>
      <x:c r="W2027" s="47" t="n">
        <x:v>0.3</x:v>
      </x:c>
      <x:c r="X2027" s="54" t="n">
        <x:f>IF(ISNUMBER(V2027),V2027/(1-W2027),"")</x:f>
        <x:v>25.697142857142858</x:v>
      </x:c>
      <x:c r="Y2027" s="55" t="n">
        <x:f>IF(ISNUMBER(X2027),ROUNDUP(X2027,0),"")</x:f>
        <x:v>26</x:v>
      </x:c>
      <x:c r="Z2027" t="str">
        <x:v>Source match pending</x:v>
      </x:c>
      <x:c r="AA2027" t="str">
        <x:v>screencapture-www-activesportstrade-co-uk-olimp-trade-2026-09-10-09_05_33.pdf / page-09</x:v>
      </x:c>
      <x:c r="AB2027" s="36" t="n">
        <x:f>IF(ISNUMBER(Y2027),ROUND(Y2027*0.9,2),"")</x:f>
        <x:v>23.4</x:v>
      </x:c>
      <x:c r="AC2027" s="36" t="n">
        <x:f>IF(ISNUMBER(AB2027),ROUND(AB2027-(AB2027*0.015+0.2)-V2027,2),"")</x:f>
        <x:v>4.86</x:v>
      </x:c>
      <x:c r="AD2027" s="36" t="n">
        <x:f>IF(ISNUMBER(Y2027),ROUND(Y2027*0.8,2),"")</x:f>
        <x:v>20.8</x:v>
      </x:c>
      <x:c r="AE2027" s="36" t="n">
        <x:f>IF(ISNUMBER(AD2027),ROUND(AD2027*0.015+0.2,2),"")</x:f>
        <x:v>0.51</x:v>
      </x:c>
      <x:c r="AF2027" s="36" t="n">
        <x:f>IF(ISNUMBER(AD2027),ROUND(AD2027-AE2027-V2027,2),"")</x:f>
        <x:v>2.3</x:v>
      </x:c>
      <x:c r="AG2027" t="str">
        <x:f>IF(NOT(ISNUMBER(T2027)),"PENDING",IF(AF2027&gt;0,"PASS","FAIL"))</x:f>
        <x:v>PASS</x:v>
      </x:c>
      <x:c r="AH2027" t="str">
        <x:f>IF(NOT(ISNUMBER(T2027)),"Needs supplier cost",IF(K2027&lt;&gt;"In stock","Supplier unavailable",IF(AG2027&lt;&gt;"PASS","BLOCK - GT loss risk","Commercially protected")))</x:f>
        <x:v>Supplier unavailable</x:v>
      </x:c>
      <x:c r="AI2027" t="str">
        <x:v>2026-09-10 Active Sports trade capture</x:v>
      </x:c>
      <x:c r="AJ2027" t="str">
        <x:v>Management-only economics. Stripe stress test uses 1.5% + £0.20 standard UK online-card fee; pallet/mix-and-match pricing ignored.</x:v>
      </x:c>
    </x:row>
    <x:row r="2028">
      <x:c r="A2028" t="str">
        <x:v>Active Sports Nutrition</x:v>
      </x:c>
      <x:c r="B2028" t="str">
        <x:v>Olimp</x:v>
      </x:c>
      <x:c r="C2028" t="str">
        <x:v>Im Veggie Protein Bar</x:v>
      </x:c>
      <x:c r="D2028" t="str">
        <x:v>Drinks and Bars</x:v>
      </x:c>
      <x:c r="E2028" t="str">
        <x:v>Bars and Snacks</x:v>
      </x:c>
      <x:c r="F2028" t="str"/>
      <x:c r="G2028" t="str">
        <x:v>25 x 50g bars</x:v>
      </x:c>
      <x:c r="H2028" t="str">
        <x:v>Chocolate Peanut</x:v>
      </x:c>
      <x:c r="I2028" t="str">
        <x:v>25</x:v>
      </x:c>
      <x:c r="J2028" t="str">
        <x:v>Case</x:v>
      </x:c>
      <x:c r="K2028" t="str">
        <x:v>Out of stock</x:v>
      </x:c>
      <x:c r="L2028" t="str">
        <x:v>2026-09-08</x:v>
      </x:c>
      <x:c r="M2028" t="str"/>
      <x:c r="N2028" t="str"/>
      <x:c r="O2028" t="str">
        <x:v>https://www.activesportstrade.co.uk/Protein-Bars</x:v>
      </x:c>
      <x:c r="P2028" t="str">
        <x:v>Dated Cookie Dough listing blocked as normal member-orderable clearance.</x:v>
      </x:c>
      <x:c r="Q2028" t="str"/>
      <x:c r="R2028" t="str"/>
      <x:c r="S2028" t="str">
        <x:v>Pending genuine supplier/brand image</x:v>
      </x:c>
      <x:c r="T2028" s="54"/>
      <x:c r="U2028" s="47" t="n">
        <x:v>0.2</x:v>
      </x:c>
      <x:c r="V2028" s="54" t="str">
        <x:f>IF(ISNUMBER(T2028),T2028*(1+U2028),"")</x:f>
      </x:c>
      <x:c r="W2028" s="47" t="n">
        <x:v>0.3</x:v>
      </x:c>
      <x:c r="X2028" s="54" t="str">
        <x:f>IF(ISNUMBER(V2028),V2028/(1-W2028),"")</x:f>
      </x:c>
      <x:c r="Y2028" s="55" t="str">
        <x:f>IF(ISNUMBER(X2028),ROUNDUP(X2028,0),"")</x:f>
      </x:c>
      <x:c r="Z2028" t="str">
        <x:f>IF(ISNUMBER(T2028),"Cost captured","Awaiting trade cost")</x:f>
        <x:v>Awaiting trade cost</x:v>
      </x:c>
      <x:c r="AB2028" s="36" t="str">
        <x:f>IF(ISNUMBER(Y2028),ROUND(Y2028*0.9,2),"")</x:f>
      </x:c>
      <x:c r="AC2028" s="36" t="str">
        <x:f>IF(ISNUMBER(AB2028),ROUND(AB2028-(AB2028*0.015+0.2)-V2028,2),"")</x:f>
      </x:c>
      <x:c r="AD2028" s="36" t="str">
        <x:f>IF(ISNUMBER(Y2028),ROUND(Y2028*0.8,2),"")</x:f>
      </x:c>
      <x:c r="AE2028" s="36" t="str">
        <x:f>IF(ISNUMBER(AD2028),ROUND(AD2028*0.015+0.2,2),"")</x:f>
      </x:c>
      <x:c r="AF2028" s="36" t="str">
        <x:f>IF(ISNUMBER(AD2028),ROUND(AD2028-AE2028-V2028,2),"")</x:f>
      </x:c>
      <x:c r="AG2028" t="str">
        <x:f>IF(NOT(ISNUMBER(T2028)),"PENDING",IF(AF2028&gt;0,"PASS","FAIL"))</x:f>
        <x:v>PENDING</x:v>
      </x:c>
      <x:c r="AH2028" t="str">
        <x:f>IF(NOT(ISNUMBER(T2028)),"Needs supplier cost",IF(K2028&lt;&gt;"In stock","Supplier unavailable",IF(AG2028&lt;&gt;"PASS","BLOCK - GT loss risk","Commercially protected")))</x:f>
        <x:v>Needs supplier cost</x:v>
      </x:c>
      <x:c r="AI2028" t="str">
        <x:v>2026-09-10 Active Sports trade capture</x:v>
      </x:c>
      <x:c r="AJ2028" t="str">
        <x:v>Management-only economics. Stripe stress test uses 1.5% + £0.20 standard UK online-card fee; pallet/mix-and-match pricing ignored.</x:v>
      </x:c>
    </x:row>
    <x:row r="2029">
      <x:c r="A2029" t="str">
        <x:v>Active Sports Nutrition</x:v>
      </x:c>
      <x:c r="B2029" t="str">
        <x:v>Olimp</x:v>
      </x:c>
      <x:c r="C2029" t="str">
        <x:v>Im Veggie Protein Bar</x:v>
      </x:c>
      <x:c r="D2029" t="str">
        <x:v>Drinks and Bars</x:v>
      </x:c>
      <x:c r="E2029" t="str">
        <x:v>Bars and Snacks</x:v>
      </x:c>
      <x:c r="F2029" t="str"/>
      <x:c r="G2029" t="str">
        <x:v>25 x 50g bars</x:v>
      </x:c>
      <x:c r="H2029" t="str">
        <x:v>Cookie Dough - BB 17/09/26</x:v>
      </x:c>
      <x:c r="I2029" t="str">
        <x:v>25</x:v>
      </x:c>
      <x:c r="J2029" t="str">
        <x:v>Case</x:v>
      </x:c>
      <x:c r="K2029" t="str">
        <x:v>Unavailable - dated clearance</x:v>
      </x:c>
      <x:c r="L2029" t="str">
        <x:v>2026-09-08</x:v>
      </x:c>
      <x:c r="M2029" t="str"/>
      <x:c r="N2029" t="str"/>
      <x:c r="O2029" t="str">
        <x:v>https://www.activesportstrade.co.uk/Protein-Bars</x:v>
      </x:c>
      <x:c r="P2029" t="str">
        <x:v>Dated Cookie Dough listing blocked as normal member-orderable clearance.</x:v>
      </x:c>
      <x:c r="Q2029" t="str"/>
      <x:c r="R2029" t="str"/>
      <x:c r="S2029" t="str">
        <x:v>Pending genuine supplier/brand image</x:v>
      </x:c>
      <x:c r="T2029" s="54"/>
      <x:c r="U2029" s="47" t="n">
        <x:v>0.2</x:v>
      </x:c>
      <x:c r="V2029" s="54" t="str">
        <x:f>IF(ISNUMBER(T2029),T2029*(1+U2029),"")</x:f>
      </x:c>
      <x:c r="W2029" s="47" t="n">
        <x:v>0.3</x:v>
      </x:c>
      <x:c r="X2029" s="54" t="str">
        <x:f>IF(ISNUMBER(V2029),V2029/(1-W2029),"")</x:f>
      </x:c>
      <x:c r="Y2029" s="55" t="str">
        <x:f>IF(ISNUMBER(X2029),ROUNDUP(X2029,0),"")</x:f>
      </x:c>
      <x:c r="Z2029" t="str">
        <x:f>IF(ISNUMBER(T2029),"Cost captured","Awaiting trade cost")</x:f>
        <x:v>Awaiting trade cost</x:v>
      </x:c>
      <x:c r="AB2029" s="36" t="str">
        <x:f>IF(ISNUMBER(Y2029),ROUND(Y2029*0.9,2),"")</x:f>
      </x:c>
      <x:c r="AC2029" s="36" t="str">
        <x:f>IF(ISNUMBER(AB2029),ROUND(AB2029-(AB2029*0.015+0.2)-V2029,2),"")</x:f>
      </x:c>
      <x:c r="AD2029" s="36" t="str">
        <x:f>IF(ISNUMBER(Y2029),ROUND(Y2029*0.8,2),"")</x:f>
      </x:c>
      <x:c r="AE2029" s="36" t="str">
        <x:f>IF(ISNUMBER(AD2029),ROUND(AD2029*0.015+0.2,2),"")</x:f>
      </x:c>
      <x:c r="AF2029" s="36" t="str">
        <x:f>IF(ISNUMBER(AD2029),ROUND(AD2029-AE2029-V2029,2),"")</x:f>
      </x:c>
      <x:c r="AG2029" t="str">
        <x:f>IF(NOT(ISNUMBER(T2029)),"PENDING",IF(AF2029&gt;0,"PASS","FAIL"))</x:f>
        <x:v>PENDING</x:v>
      </x:c>
      <x:c r="AH2029" t="str">
        <x:f>IF(NOT(ISNUMBER(T2029)),"Needs supplier cost",IF(K2029&lt;&gt;"In stock","Supplier unavailable",IF(AG2029&lt;&gt;"PASS","BLOCK - GT loss risk","Commercially protected")))</x:f>
        <x:v>Needs supplier cost</x:v>
      </x:c>
      <x:c r="AI2029" t="str">
        <x:v>2026-09-10 Active Sports trade capture</x:v>
      </x:c>
      <x:c r="AJ2029" t="str">
        <x:v>Management-only economics. Stripe stress test uses 1.5% + £0.20 standard UK online-card fee; pallet/mix-and-match pricing ignored.</x:v>
      </x:c>
    </x:row>
    <x:row r="2030">
      <x:c r="A2030" t="str">
        <x:v>Active Sports Nutrition</x:v>
      </x:c>
      <x:c r="B2030" t="str">
        <x:v>Olimp</x:v>
      </x:c>
      <x:c r="C2030" t="str">
        <x:v>Protein Crisp Bars</x:v>
      </x:c>
      <x:c r="D2030" t="str">
        <x:v>Drinks and Bars</x:v>
      </x:c>
      <x:c r="E2030" t="str">
        <x:v>Bars and Snacks</x:v>
      </x:c>
      <x:c r="F2030" t="str"/>
      <x:c r="G2030" t="str">
        <x:v>20 x 40g bars</x:v>
      </x:c>
      <x:c r="H2030" t="str">
        <x:v>Cookie Caramel</x:v>
      </x:c>
      <x:c r="I2030" t="str">
        <x:v>20</x:v>
      </x:c>
      <x:c r="J2030" t="str">
        <x:v>Case</x:v>
      </x:c>
      <x:c r="K2030" t="str">
        <x:v>In stock</x:v>
      </x:c>
      <x:c r="L2030" t="str">
        <x:v>2026-09-08</x:v>
      </x:c>
      <x:c r="M2030" t="str"/>
      <x:c r="N2030" t="str"/>
      <x:c r="O2030" t="str">
        <x:v>https://www.activesportstrade.co.uk/Protein-Bars</x:v>
      </x:c>
      <x:c r="P2030" t="str"/>
      <x:c r="Q2030" t="str"/>
      <x:c r="R2030" t="str"/>
      <x:c r="S2030" t="str">
        <x:v>Pending genuine supplier/brand image</x:v>
      </x:c>
      <x:c r="T2030" s="54" t="n">
        <x:v>14.4</x:v>
      </x:c>
      <x:c r="U2030" s="47" t="n">
        <x:v>0.2</x:v>
      </x:c>
      <x:c r="V2030" s="54" t="n">
        <x:f>IF(ISNUMBER(T2030),T2030*(1+U2030),"")</x:f>
        <x:v>17.28</x:v>
      </x:c>
      <x:c r="W2030" s="47" t="n">
        <x:v>0.3</x:v>
      </x:c>
      <x:c r="X2030" s="54" t="n">
        <x:f>IF(ISNUMBER(V2030),V2030/(1-W2030),"")</x:f>
        <x:v>24.68571428571429</x:v>
      </x:c>
      <x:c r="Y2030" s="55" t="n">
        <x:f>IF(ISNUMBER(X2030),ROUNDUP(X2030,0),"")</x:f>
        <x:v>25</x:v>
      </x:c>
      <x:c r="Z2030" t="str">
        <x:v>Source match pending</x:v>
      </x:c>
      <x:c r="AA2030" t="str">
        <x:v>screencapture-www-activesportstrade-co-uk-olimp-trade-2026-09-10-09_05_33.pdf / page-11</x:v>
      </x:c>
      <x:c r="AB2030" s="36" t="n">
        <x:f>IF(ISNUMBER(Y2030),ROUND(Y2030*0.9,2),"")</x:f>
        <x:v>22.5</x:v>
      </x:c>
      <x:c r="AC2030" s="36" t="n">
        <x:f>IF(ISNUMBER(AB2030),ROUND(AB2030-(AB2030*0.015+0.2)-V2030,2),"")</x:f>
        <x:v>4.68</x:v>
      </x:c>
      <x:c r="AD2030" s="36" t="n">
        <x:f>IF(ISNUMBER(Y2030),ROUND(Y2030*0.8,2),"")</x:f>
        <x:v>20</x:v>
      </x:c>
      <x:c r="AE2030" s="36" t="n">
        <x:f>IF(ISNUMBER(AD2030),ROUND(AD2030*0.015+0.2,2),"")</x:f>
        <x:v>0.5</x:v>
      </x:c>
      <x:c r="AF2030" s="36" t="n">
        <x:f>IF(ISNUMBER(AD2030),ROUND(AD2030-AE2030-V2030,2),"")</x:f>
        <x:v>2.22</x:v>
      </x:c>
      <x:c r="AG2030" t="str">
        <x:f>IF(NOT(ISNUMBER(T2030)),"PENDING",IF(AF2030&gt;0,"PASS","FAIL"))</x:f>
        <x:v>PASS</x:v>
      </x:c>
      <x:c r="AH2030" t="str">
        <x:f>IF(NOT(ISNUMBER(T2030)),"Needs supplier cost",IF(K2030&lt;&gt;"In stock","Supplier unavailable",IF(AG2030&lt;&gt;"PASS","BLOCK - GT loss risk","Commercially protected")))</x:f>
        <x:v>Commercially protected</x:v>
      </x:c>
      <x:c r="AI2030" t="str">
        <x:v>2026-09-10 Active Sports trade capture</x:v>
      </x:c>
      <x:c r="AJ2030" t="str">
        <x:v>Management-only economics. Stripe stress test uses 1.5% + £0.20 standard UK online-card fee; pallet/mix-and-match pricing ignored.</x:v>
      </x:c>
    </x:row>
    <x:row r="2031">
      <x:c r="A2031" t="str">
        <x:v>Active Sports Nutrition</x:v>
      </x:c>
      <x:c r="B2031" t="str">
        <x:v>Olimp</x:v>
      </x:c>
      <x:c r="C2031" t="str">
        <x:v>R-Weiler Focus</x:v>
      </x:c>
      <x:c r="D2031" t="str">
        <x:v>Pre Workouts</x:v>
      </x:c>
      <x:c r="E2031" t="str">
        <x:v>High Stim</x:v>
      </x:c>
      <x:c r="F2031" t="str"/>
      <x:c r="G2031" t="str">
        <x:v>300g</x:v>
      </x:c>
      <x:c r="H2031" t="str">
        <x:v>Cola</x:v>
      </x:c>
      <x:c r="I2031" t="str"/>
      <x:c r="J2031" t="str">
        <x:v>Unit</x:v>
      </x:c>
      <x:c r="K2031" t="str">
        <x:v>In stock</x:v>
      </x:c>
      <x:c r="L2031" t="str">
        <x:v>2026-09-08</x:v>
      </x:c>
      <x:c r="M2031" t="str"/>
      <x:c r="N2031" t="str"/>
      <x:c r="O2031" t="str">
        <x:v>https://www.activesportstrade.co.uk/trade-pre-workout-supplements</x:v>
      </x:c>
      <x:c r="P2031" t="str"/>
      <x:c r="Q2031" t="str"/>
      <x:c r="R2031" t="str"/>
      <x:c r="S2031" t="str">
        <x:v>Pending genuine supplier/brand image</x:v>
      </x:c>
      <x:c r="T2031" s="54" t="n">
        <x:v>14.65</x:v>
      </x:c>
      <x:c r="U2031" s="47" t="n">
        <x:v>0.2</x:v>
      </x:c>
      <x:c r="V2031" s="54" t="n">
        <x:f>IF(ISNUMBER(T2031),T2031*(1+U2031),"")</x:f>
        <x:v>17.58</x:v>
      </x:c>
      <x:c r="W2031" s="47" t="n">
        <x:v>0.3</x:v>
      </x:c>
      <x:c r="X2031" s="54" t="n">
        <x:f>IF(ISNUMBER(V2031),V2031/(1-W2031),"")</x:f>
        <x:v>25.114285714285714</x:v>
      </x:c>
      <x:c r="Y2031" s="55" t="n">
        <x:f>IF(ISNUMBER(X2031),ROUNDUP(X2031,0),"")</x:f>
        <x:v>26</x:v>
      </x:c>
      <x:c r="Z2031" t="str">
        <x:v>Source match pending</x:v>
      </x:c>
      <x:c r="AA2031" t="str">
        <x:v>screencapture-www-activesportstrade-co-uk-olimp-trade-2026-09-10-09_05_33.pdf / page-12</x:v>
      </x:c>
      <x:c r="AB2031" s="36" t="n">
        <x:f>IF(ISNUMBER(Y2031),ROUND(Y2031*0.9,2),"")</x:f>
        <x:v>23.4</x:v>
      </x:c>
      <x:c r="AC2031" s="36" t="n">
        <x:f>IF(ISNUMBER(AB2031),ROUND(AB2031-(AB2031*0.015+0.2)-V2031,2),"")</x:f>
        <x:v>5.27</x:v>
      </x:c>
      <x:c r="AD2031" s="36" t="n">
        <x:f>IF(ISNUMBER(Y2031),ROUND(Y2031*0.8,2),"")</x:f>
        <x:v>20.8</x:v>
      </x:c>
      <x:c r="AE2031" s="36" t="n">
        <x:f>IF(ISNUMBER(AD2031),ROUND(AD2031*0.015+0.2,2),"")</x:f>
        <x:v>0.51</x:v>
      </x:c>
      <x:c r="AF2031" s="36" t="n">
        <x:f>IF(ISNUMBER(AD2031),ROUND(AD2031-AE2031-V2031,2),"")</x:f>
        <x:v>2.71</x:v>
      </x:c>
      <x:c r="AG2031" t="str">
        <x:f>IF(NOT(ISNUMBER(T2031)),"PENDING",IF(AF2031&gt;0,"PASS","FAIL"))</x:f>
        <x:v>PASS</x:v>
      </x:c>
      <x:c r="AH2031" t="str">
        <x:f>IF(NOT(ISNUMBER(T2031)),"Needs supplier cost",IF(K2031&lt;&gt;"In stock","Supplier unavailable",IF(AG2031&lt;&gt;"PASS","BLOCK - GT loss risk","Commercially protected")))</x:f>
        <x:v>Commercially protected</x:v>
      </x:c>
      <x:c r="AI2031" t="str">
        <x:v>2026-09-10 Active Sports trade capture</x:v>
      </x:c>
      <x:c r="AJ2031" t="str">
        <x:v>Management-only economics. Stripe stress test uses 1.5% + £0.20 standard UK online-card fee; pallet/mix-and-match pricing ignored.</x:v>
      </x:c>
    </x:row>
    <x:row r="2032">
      <x:c r="A2032" t="str">
        <x:v>Active Sports Nutrition</x:v>
      </x:c>
      <x:c r="B2032" t="str">
        <x:v>Olimp</x:v>
      </x:c>
      <x:c r="C2032" t="str">
        <x:v>R-Weiler Focus</x:v>
      </x:c>
      <x:c r="D2032" t="str">
        <x:v>Pre Workouts</x:v>
      </x:c>
      <x:c r="E2032" t="str">
        <x:v>High Stim</x:v>
      </x:c>
      <x:c r="F2032" t="str"/>
      <x:c r="G2032" t="str">
        <x:v>300g</x:v>
      </x:c>
      <x:c r="H2032" t="str">
        <x:v>Cranberry Juice</x:v>
      </x:c>
      <x:c r="I2032" t="str"/>
      <x:c r="J2032" t="str">
        <x:v>Unit</x:v>
      </x:c>
      <x:c r="K2032" t="str">
        <x:v>In stock</x:v>
      </x:c>
      <x:c r="L2032" t="str">
        <x:v>2026-09-08</x:v>
      </x:c>
      <x:c r="M2032" t="str"/>
      <x:c r="N2032" t="str"/>
      <x:c r="O2032" t="str">
        <x:v>https://www.activesportstrade.co.uk/trade-pre-workout-supplements</x:v>
      </x:c>
      <x:c r="P2032" t="str"/>
      <x:c r="Q2032" t="str"/>
      <x:c r="R2032" t="str"/>
      <x:c r="S2032" t="str">
        <x:v>Pending genuine supplier/brand image</x:v>
      </x:c>
      <x:c r="T2032" s="54" t="n">
        <x:v>14.65</x:v>
      </x:c>
      <x:c r="U2032" s="47" t="n">
        <x:v>0.2</x:v>
      </x:c>
      <x:c r="V2032" s="54" t="n">
        <x:f>IF(ISNUMBER(T2032),T2032*(1+U2032),"")</x:f>
        <x:v>17.58</x:v>
      </x:c>
      <x:c r="W2032" s="47" t="n">
        <x:v>0.3</x:v>
      </x:c>
      <x:c r="X2032" s="54" t="n">
        <x:f>IF(ISNUMBER(V2032),V2032/(1-W2032),"")</x:f>
        <x:v>25.114285714285714</x:v>
      </x:c>
      <x:c r="Y2032" s="55" t="n">
        <x:f>IF(ISNUMBER(X2032),ROUNDUP(X2032,0),"")</x:f>
        <x:v>26</x:v>
      </x:c>
      <x:c r="Z2032" t="str">
        <x:v>Source match pending</x:v>
      </x:c>
      <x:c r="AA2032" t="str">
        <x:v>screencapture-www-activesportstrade-co-uk-olimp-trade-2026-09-10-09_05_33.pdf / page-12</x:v>
      </x:c>
      <x:c r="AB2032" s="36" t="n">
        <x:f>IF(ISNUMBER(Y2032),ROUND(Y2032*0.9,2),"")</x:f>
        <x:v>23.4</x:v>
      </x:c>
      <x:c r="AC2032" s="36" t="n">
        <x:f>IF(ISNUMBER(AB2032),ROUND(AB2032-(AB2032*0.015+0.2)-V2032,2),"")</x:f>
        <x:v>5.27</x:v>
      </x:c>
      <x:c r="AD2032" s="36" t="n">
        <x:f>IF(ISNUMBER(Y2032),ROUND(Y2032*0.8,2),"")</x:f>
        <x:v>20.8</x:v>
      </x:c>
      <x:c r="AE2032" s="36" t="n">
        <x:f>IF(ISNUMBER(AD2032),ROUND(AD2032*0.015+0.2,2),"")</x:f>
        <x:v>0.51</x:v>
      </x:c>
      <x:c r="AF2032" s="36" t="n">
        <x:f>IF(ISNUMBER(AD2032),ROUND(AD2032-AE2032-V2032,2),"")</x:f>
        <x:v>2.71</x:v>
      </x:c>
      <x:c r="AG2032" t="str">
        <x:f>IF(NOT(ISNUMBER(T2032)),"PENDING",IF(AF2032&gt;0,"PASS","FAIL"))</x:f>
        <x:v>PASS</x:v>
      </x:c>
      <x:c r="AH2032" t="str">
        <x:f>IF(NOT(ISNUMBER(T2032)),"Needs supplier cost",IF(K2032&lt;&gt;"In stock","Supplier unavailable",IF(AG2032&lt;&gt;"PASS","BLOCK - GT loss risk","Commercially protected")))</x:f>
        <x:v>Commercially protected</x:v>
      </x:c>
      <x:c r="AI2032" t="str">
        <x:v>2026-09-10 Active Sports trade capture</x:v>
      </x:c>
      <x:c r="AJ2032" t="str">
        <x:v>Management-only economics. Stripe stress test uses 1.5% + £0.20 standard UK online-card fee; pallet/mix-and-match pricing ignored.</x:v>
      </x:c>
    </x:row>
    <x:row r="2033">
      <x:c r="A2033" t="str">
        <x:v>Active Sports Nutrition</x:v>
      </x:c>
      <x:c r="B2033" t="str">
        <x:v>Olimp</x:v>
      </x:c>
      <x:c r="C2033" t="str">
        <x:v>R-Weiler Focus &amp; Energy Drink Zero</x:v>
      </x:c>
      <x:c r="D2033" t="str">
        <x:v>Drinks and Bars</x:v>
      </x:c>
      <x:c r="E2033" t="str">
        <x:v>Ready to Drink Energy</x:v>
      </x:c>
      <x:c r="F2033" t="str"/>
      <x:c r="G2033" t="str">
        <x:v>24 x 330ml cans</x:v>
      </x:c>
      <x:c r="H2033" t="str">
        <x:v>Energy Flavour</x:v>
      </x:c>
      <x:c r="I2033" t="str">
        <x:v>24</x:v>
      </x:c>
      <x:c r="J2033" t="str">
        <x:v>Case</x:v>
      </x:c>
      <x:c r="K2033" t="str">
        <x:v>In stock</x:v>
      </x:c>
      <x:c r="L2033" t="str">
        <x:v>2026-09-08</x:v>
      </x:c>
      <x:c r="M2033" t="str"/>
      <x:c r="N2033" t="str"/>
      <x:c r="O2033" t="str">
        <x:v>https://www.activesportstrade.co.uk/trade-pre-workout-supplements</x:v>
      </x:c>
      <x:c r="P2033" t="str">
        <x:v>PALLET PROMO pricing/minimum-order boilerplate excluded.</x:v>
      </x:c>
      <x:c r="Q2033" t="str"/>
      <x:c r="R2033" t="str"/>
      <x:c r="S2033" t="str">
        <x:v>Pending genuine supplier/brand image</x:v>
      </x:c>
      <x:c r="T2033" s="54" t="n">
        <x:v>17.99</x:v>
      </x:c>
      <x:c r="U2033" s="47" t="n">
        <x:v>0.2</x:v>
      </x:c>
      <x:c r="V2033" s="54" t="n">
        <x:f>IF(ISNUMBER(T2033),T2033*(1+U2033),"")</x:f>
        <x:v>21.587999999999997</x:v>
      </x:c>
      <x:c r="W2033" s="47" t="n">
        <x:v>0.3</x:v>
      </x:c>
      <x:c r="X2033" s="54" t="n">
        <x:f>IF(ISNUMBER(V2033),V2033/(1-W2033),"")</x:f>
        <x:v>30.84</x:v>
      </x:c>
      <x:c r="Y2033" s="55" t="n">
        <x:f>IF(ISNUMBER(X2033),ROUNDUP(X2033,0),"")</x:f>
        <x:v>31</x:v>
      </x:c>
      <x:c r="Z2033" t="str">
        <x:v>Source match pending</x:v>
      </x:c>
      <x:c r="AA2033" t="str">
        <x:v>screencapture-www-activesportstrade-co-uk-olimp-trade-2026-09-10-09_05_33.pdf / page-12</x:v>
      </x:c>
      <x:c r="AB2033" s="36" t="n">
        <x:f>IF(ISNUMBER(Y2033),ROUND(Y2033*0.9,2),"")</x:f>
        <x:v>27.9</x:v>
      </x:c>
      <x:c r="AC2033" s="36" t="n">
        <x:f>IF(ISNUMBER(AB2033),ROUND(AB2033-(AB2033*0.015+0.2)-V2033,2),"")</x:f>
        <x:v>5.69</x:v>
      </x:c>
      <x:c r="AD2033" s="36" t="n">
        <x:f>IF(ISNUMBER(Y2033),ROUND(Y2033*0.8,2),"")</x:f>
        <x:v>24.8</x:v>
      </x:c>
      <x:c r="AE2033" s="36" t="n">
        <x:f>IF(ISNUMBER(AD2033),ROUND(AD2033*0.015+0.2,2),"")</x:f>
        <x:v>0.57</x:v>
      </x:c>
      <x:c r="AF2033" s="36" t="n">
        <x:f>IF(ISNUMBER(AD2033),ROUND(AD2033-AE2033-V2033,2),"")</x:f>
        <x:v>2.64</x:v>
      </x:c>
      <x:c r="AG2033" t="str">
        <x:f>IF(NOT(ISNUMBER(T2033)),"PENDING",IF(AF2033&gt;0,"PASS","FAIL"))</x:f>
        <x:v>PASS</x:v>
      </x:c>
      <x:c r="AH2033" t="str">
        <x:f>IF(NOT(ISNUMBER(T2033)),"Needs supplier cost",IF(K2033&lt;&gt;"In stock","Supplier unavailable",IF(AG2033&lt;&gt;"PASS","BLOCK - GT loss risk","Commercially protected")))</x:f>
        <x:v>Commercially protected</x:v>
      </x:c>
      <x:c r="AI2033" t="str">
        <x:v>2026-09-10 Active Sports trade capture</x:v>
      </x:c>
      <x:c r="AJ2033" t="str">
        <x:v>Management-only economics. Stripe stress test uses 1.5% + £0.20 standard UK online-card fee; pallet/mix-and-match pricing ignored.</x:v>
      </x:c>
    </x:row>
    <x:row r="2034">
      <x:c r="A2034" t="str">
        <x:v>Active Sports Nutrition</x:v>
      </x:c>
      <x:c r="B2034" t="str">
        <x:v>Olimp</x:v>
      </x:c>
      <x:c r="C2034" t="str">
        <x:v>BCAA 20:1:1 Xplode</x:v>
      </x:c>
      <x:c r="D2034" t="str">
        <x:v>Supplements</x:v>
      </x:c>
      <x:c r="E2034" t="str">
        <x:v>BCAAs</x:v>
      </x:c>
      <x:c r="F2034" t="str"/>
      <x:c r="G2034" t="str">
        <x:v>500g</x:v>
      </x:c>
      <x:c r="H2034" t="str">
        <x:v>Cola</x:v>
      </x:c>
      <x:c r="I2034" t="str"/>
      <x:c r="J2034" t="str">
        <x:v>Unit</x:v>
      </x:c>
      <x:c r="K2034" t="str">
        <x:v>In stock</x:v>
      </x:c>
      <x:c r="L2034" t="str">
        <x:v>2026-09-08</x:v>
      </x:c>
      <x:c r="M2034" t="str"/>
      <x:c r="N2034" t="str"/>
      <x:c r="O2034" t="str">
        <x:v>https://www.activesportstrade.co.uk/olimp-trade</x:v>
      </x:c>
      <x:c r="P2034" t="str"/>
      <x:c r="Q2034" t="str"/>
      <x:c r="R2034" t="str"/>
      <x:c r="S2034" t="str">
        <x:v>Pending genuine supplier/brand image</x:v>
      </x:c>
      <x:c r="T2034" s="54" t="n">
        <x:v>19.31</x:v>
      </x:c>
      <x:c r="U2034" s="47" t="n">
        <x:v>0.2</x:v>
      </x:c>
      <x:c r="V2034" s="54" t="n">
        <x:f>IF(ISNUMBER(T2034),T2034*(1+U2034),"")</x:f>
        <x:v>23.171999999999997</x:v>
      </x:c>
      <x:c r="W2034" s="47" t="n">
        <x:v>0.3</x:v>
      </x:c>
      <x:c r="X2034" s="54" t="n">
        <x:f>IF(ISNUMBER(V2034),V2034/(1-W2034),"")</x:f>
        <x:v>33.10285714285714</x:v>
      </x:c>
      <x:c r="Y2034" s="55" t="n">
        <x:f>IF(ISNUMBER(X2034),ROUNDUP(X2034,0),"")</x:f>
        <x:v>34</x:v>
      </x:c>
      <x:c r="Z2034" t="str">
        <x:v>Source match pending</x:v>
      </x:c>
      <x:c r="AA2034" t="str">
        <x:v>screencapture-www-activesportstrade-co-uk-olimp-trade-2026-09-10-09_05_33.pdf / page-03</x:v>
      </x:c>
      <x:c r="AB2034" s="36" t="n">
        <x:f>IF(ISNUMBER(Y2034),ROUND(Y2034*0.9,2),"")</x:f>
        <x:v>30.6</x:v>
      </x:c>
      <x:c r="AC2034" s="36" t="n">
        <x:f>IF(ISNUMBER(AB2034),ROUND(AB2034-(AB2034*0.015+0.2)-V2034,2),"")</x:f>
        <x:v>6.77</x:v>
      </x:c>
      <x:c r="AD2034" s="36" t="n">
        <x:f>IF(ISNUMBER(Y2034),ROUND(Y2034*0.8,2),"")</x:f>
        <x:v>27.2</x:v>
      </x:c>
      <x:c r="AE2034" s="36" t="n">
        <x:f>IF(ISNUMBER(AD2034),ROUND(AD2034*0.015+0.2,2),"")</x:f>
        <x:v>0.61</x:v>
      </x:c>
      <x:c r="AF2034" s="36" t="n">
        <x:f>IF(ISNUMBER(AD2034),ROUND(AD2034-AE2034-V2034,2),"")</x:f>
        <x:v>3.42</x:v>
      </x:c>
      <x:c r="AG2034" t="str">
        <x:f>IF(NOT(ISNUMBER(T2034)),"PENDING",IF(AF2034&gt;0,"PASS","FAIL"))</x:f>
        <x:v>PASS</x:v>
      </x:c>
      <x:c r="AH2034" t="str">
        <x:f>IF(NOT(ISNUMBER(T2034)),"Needs supplier cost",IF(K2034&lt;&gt;"In stock","Supplier unavailable",IF(AG2034&lt;&gt;"PASS","BLOCK - GT loss risk","Commercially protected")))</x:f>
        <x:v>Commercially protected</x:v>
      </x:c>
      <x:c r="AI2034" t="str">
        <x:v>2026-09-10 Active Sports trade capture</x:v>
      </x:c>
      <x:c r="AJ2034" t="str">
        <x:v>Management-only economics. Stripe stress test uses 1.5% + £0.20 standard UK online-card fee; pallet/mix-and-match pricing ignored.</x:v>
      </x:c>
    </x:row>
    <x:row r="2035">
      <x:c r="A2035" t="str">
        <x:v>Active Sports Nutrition</x:v>
      </x:c>
      <x:c r="B2035" t="str">
        <x:v>Olimp</x:v>
      </x:c>
      <x:c r="C2035" t="str">
        <x:v>BCAA 20:1:1 Xplode</x:v>
      </x:c>
      <x:c r="D2035" t="str">
        <x:v>Supplements</x:v>
      </x:c>
      <x:c r="E2035" t="str">
        <x:v>BCAAs</x:v>
      </x:c>
      <x:c r="F2035" t="str"/>
      <x:c r="G2035" t="str">
        <x:v>500g</x:v>
      </x:c>
      <x:c r="H2035" t="str">
        <x:v>Pear</x:v>
      </x:c>
      <x:c r="I2035" t="str"/>
      <x:c r="J2035" t="str">
        <x:v>Unit</x:v>
      </x:c>
      <x:c r="K2035" t="str">
        <x:v>In stock</x:v>
      </x:c>
      <x:c r="L2035" t="str">
        <x:v>2026-09-08</x:v>
      </x:c>
      <x:c r="M2035" t="str"/>
      <x:c r="N2035" t="str"/>
      <x:c r="O2035" t="str">
        <x:v>https://www.activesportstrade.co.uk/olimp-trade</x:v>
      </x:c>
      <x:c r="P2035" t="str"/>
      <x:c r="Q2035" t="str"/>
      <x:c r="R2035" t="str"/>
      <x:c r="S2035" t="str">
        <x:v>Pending genuine supplier/brand image</x:v>
      </x:c>
      <x:c r="T2035" s="54" t="n">
        <x:v>19.31</x:v>
      </x:c>
      <x:c r="U2035" s="47" t="n">
        <x:v>0.2</x:v>
      </x:c>
      <x:c r="V2035" s="54" t="n">
        <x:f>IF(ISNUMBER(T2035),T2035*(1+U2035),"")</x:f>
        <x:v>23.171999999999997</x:v>
      </x:c>
      <x:c r="W2035" s="47" t="n">
        <x:v>0.3</x:v>
      </x:c>
      <x:c r="X2035" s="54" t="n">
        <x:f>IF(ISNUMBER(V2035),V2035/(1-W2035),"")</x:f>
        <x:v>33.10285714285714</x:v>
      </x:c>
      <x:c r="Y2035" s="55" t="n">
        <x:f>IF(ISNUMBER(X2035),ROUNDUP(X2035,0),"")</x:f>
        <x:v>34</x:v>
      </x:c>
      <x:c r="Z2035" t="str">
        <x:v>Source match pending</x:v>
      </x:c>
      <x:c r="AA2035" t="str">
        <x:v>screencapture-www-activesportstrade-co-uk-olimp-trade-2026-09-10-09_05_33.pdf / page-03</x:v>
      </x:c>
      <x:c r="AB2035" s="36" t="n">
        <x:f>IF(ISNUMBER(Y2035),ROUND(Y2035*0.9,2),"")</x:f>
        <x:v>30.6</x:v>
      </x:c>
      <x:c r="AC2035" s="36" t="n">
        <x:f>IF(ISNUMBER(AB2035),ROUND(AB2035-(AB2035*0.015+0.2)-V2035,2),"")</x:f>
        <x:v>6.77</x:v>
      </x:c>
      <x:c r="AD2035" s="36" t="n">
        <x:f>IF(ISNUMBER(Y2035),ROUND(Y2035*0.8,2),"")</x:f>
        <x:v>27.2</x:v>
      </x:c>
      <x:c r="AE2035" s="36" t="n">
        <x:f>IF(ISNUMBER(AD2035),ROUND(AD2035*0.015+0.2,2),"")</x:f>
        <x:v>0.61</x:v>
      </x:c>
      <x:c r="AF2035" s="36" t="n">
        <x:f>IF(ISNUMBER(AD2035),ROUND(AD2035-AE2035-V2035,2),"")</x:f>
        <x:v>3.42</x:v>
      </x:c>
      <x:c r="AG2035" t="str">
        <x:f>IF(NOT(ISNUMBER(T2035)),"PENDING",IF(AF2035&gt;0,"PASS","FAIL"))</x:f>
        <x:v>PASS</x:v>
      </x:c>
      <x:c r="AH2035" t="str">
        <x:f>IF(NOT(ISNUMBER(T2035)),"Needs supplier cost",IF(K2035&lt;&gt;"In stock","Supplier unavailable",IF(AG2035&lt;&gt;"PASS","BLOCK - GT loss risk","Commercially protected")))</x:f>
        <x:v>Commercially protected</x:v>
      </x:c>
      <x:c r="AI2035" t="str">
        <x:v>2026-09-10 Active Sports trade capture</x:v>
      </x:c>
      <x:c r="AJ2035" t="str">
        <x:v>Management-only economics. Stripe stress test uses 1.5% + £0.20 standard UK online-card fee; pallet/mix-and-match pricing ignored.</x:v>
      </x:c>
    </x:row>
    <x:row r="2036">
      <x:c r="A2036" t="str">
        <x:v>Active Sports Nutrition</x:v>
      </x:c>
      <x:c r="B2036" t="str">
        <x:v>Olimp</x:v>
      </x:c>
      <x:c r="C2036" t="str">
        <x:v>BCAA Xplode</x:v>
      </x:c>
      <x:c r="D2036" t="str">
        <x:v>Supplements</x:v>
      </x:c>
      <x:c r="E2036" t="str">
        <x:v>BCAAs</x:v>
      </x:c>
      <x:c r="F2036" t="str"/>
      <x:c r="G2036" t="str">
        <x:v>1kg / 100 servings</x:v>
      </x:c>
      <x:c r="H2036" t="str">
        <x:v>Cola</x:v>
      </x:c>
      <x:c r="I2036" t="str"/>
      <x:c r="J2036" t="str">
        <x:v>Unit</x:v>
      </x:c>
      <x:c r="K2036" t="str">
        <x:v>Out of stock</x:v>
      </x:c>
      <x:c r="L2036" t="str">
        <x:v>2026-09-08</x:v>
      </x:c>
      <x:c r="M2036" t="str"/>
      <x:c r="N2036" t="str"/>
      <x:c r="O2036" t="str">
        <x:v>https://www.activesportstrade.co.uk/olimp-trade</x:v>
      </x:c>
      <x:c r="P2036" t="str">
        <x:v>SPECIAL OFFER wording stripped from canonical title.</x:v>
      </x:c>
      <x:c r="Q2036" t="str"/>
      <x:c r="R2036" t="str"/>
      <x:c r="S2036" t="str">
        <x:v>Pending genuine supplier/brand image</x:v>
      </x:c>
      <x:c r="T2036" s="54" t="n">
        <x:v>27.99</x:v>
      </x:c>
      <x:c r="U2036" s="47" t="n">
        <x:v>0.2</x:v>
      </x:c>
      <x:c r="V2036" s="54" t="n">
        <x:f>IF(ISNUMBER(T2036),T2036*(1+U2036),"")</x:f>
        <x:v>33.587999999999994</x:v>
      </x:c>
      <x:c r="W2036" s="47" t="n">
        <x:v>0.3</x:v>
      </x:c>
      <x:c r="X2036" s="54" t="n">
        <x:f>IF(ISNUMBER(V2036),V2036/(1-W2036),"")</x:f>
        <x:v>47.982857142857135</x:v>
      </x:c>
      <x:c r="Y2036" s="55" t="n">
        <x:f>IF(ISNUMBER(X2036),ROUNDUP(X2036,0),"")</x:f>
        <x:v>48</x:v>
      </x:c>
      <x:c r="Z2036" t="str">
        <x:v>Source match pending</x:v>
      </x:c>
      <x:c r="AA2036" t="str">
        <x:v>screencapture-www-activesportstrade-co-uk-olimp-trade-2026-09-10-09_05_33.pdf / page-03</x:v>
      </x:c>
      <x:c r="AB2036" s="36" t="n">
        <x:f>IF(ISNUMBER(Y2036),ROUND(Y2036*0.9,2),"")</x:f>
        <x:v>43.2</x:v>
      </x:c>
      <x:c r="AC2036" s="36" t="n">
        <x:f>IF(ISNUMBER(AB2036),ROUND(AB2036-(AB2036*0.015+0.2)-V2036,2),"")</x:f>
        <x:v>8.76</x:v>
      </x:c>
      <x:c r="AD2036" s="36" t="n">
        <x:f>IF(ISNUMBER(Y2036),ROUND(Y2036*0.8,2),"")</x:f>
        <x:v>38.4</x:v>
      </x:c>
      <x:c r="AE2036" s="36" t="n">
        <x:f>IF(ISNUMBER(AD2036),ROUND(AD2036*0.015+0.2,2),"")</x:f>
        <x:v>0.78</x:v>
      </x:c>
      <x:c r="AF2036" s="36" t="n">
        <x:f>IF(ISNUMBER(AD2036),ROUND(AD2036-AE2036-V2036,2),"")</x:f>
        <x:v>4.03</x:v>
      </x:c>
      <x:c r="AG2036" t="str">
        <x:f>IF(NOT(ISNUMBER(T2036)),"PENDING",IF(AF2036&gt;0,"PASS","FAIL"))</x:f>
        <x:v>PASS</x:v>
      </x:c>
      <x:c r="AH2036" t="str">
        <x:f>IF(NOT(ISNUMBER(T2036)),"Needs supplier cost",IF(K2036&lt;&gt;"In stock","Supplier unavailable",IF(AG2036&lt;&gt;"PASS","BLOCK - GT loss risk","Commercially protected")))</x:f>
        <x:v>Supplier unavailable</x:v>
      </x:c>
      <x:c r="AI2036" t="str">
        <x:v>2026-09-10 Active Sports trade capture</x:v>
      </x:c>
      <x:c r="AJ2036" t="str">
        <x:v>Management-only economics. Stripe stress test uses 1.5% + £0.20 standard UK online-card fee; pallet/mix-and-match pricing ignored.</x:v>
      </x:c>
    </x:row>
    <x:row r="2037">
      <x:c r="A2037" t="str">
        <x:v>Active Sports Nutrition</x:v>
      </x:c>
      <x:c r="B2037" t="str">
        <x:v>Olimp</x:v>
      </x:c>
      <x:c r="C2037" t="str">
        <x:v>BCAA Xplode</x:v>
      </x:c>
      <x:c r="D2037" t="str">
        <x:v>Supplements</x:v>
      </x:c>
      <x:c r="E2037" t="str">
        <x:v>BCAAs</x:v>
      </x:c>
      <x:c r="F2037" t="str"/>
      <x:c r="G2037" t="str">
        <x:v>1kg / 100 servings</x:v>
      </x:c>
      <x:c r="H2037" t="str">
        <x:v>Fruit Punch</x:v>
      </x:c>
      <x:c r="I2037" t="str"/>
      <x:c r="J2037" t="str">
        <x:v>Unit</x:v>
      </x:c>
      <x:c r="K2037" t="str">
        <x:v>In stock</x:v>
      </x:c>
      <x:c r="L2037" t="str">
        <x:v>2026-09-08</x:v>
      </x:c>
      <x:c r="M2037" t="str"/>
      <x:c r="N2037" t="str"/>
      <x:c r="O2037" t="str">
        <x:v>https://www.activesportstrade.co.uk/olimp-trade</x:v>
      </x:c>
      <x:c r="P2037" t="str">
        <x:v>SPECIAL OFFER wording stripped from canonical title.</x:v>
      </x:c>
      <x:c r="Q2037" t="str"/>
      <x:c r="R2037" t="str"/>
      <x:c r="S2037" t="str">
        <x:v>Pending genuine supplier/brand image</x:v>
      </x:c>
      <x:c r="T2037" s="54" t="n">
        <x:v>27.99</x:v>
      </x:c>
      <x:c r="U2037" s="47" t="n">
        <x:v>0.2</x:v>
      </x:c>
      <x:c r="V2037" s="54" t="n">
        <x:f>IF(ISNUMBER(T2037),T2037*(1+U2037),"")</x:f>
        <x:v>33.587999999999994</x:v>
      </x:c>
      <x:c r="W2037" s="47" t="n">
        <x:v>0.3</x:v>
      </x:c>
      <x:c r="X2037" s="54" t="n">
        <x:f>IF(ISNUMBER(V2037),V2037/(1-W2037),"")</x:f>
        <x:v>47.982857142857135</x:v>
      </x:c>
      <x:c r="Y2037" s="55" t="n">
        <x:f>IF(ISNUMBER(X2037),ROUNDUP(X2037,0),"")</x:f>
        <x:v>48</x:v>
      </x:c>
      <x:c r="Z2037" t="str">
        <x:v>Source match pending</x:v>
      </x:c>
      <x:c r="AA2037" t="str">
        <x:v>screencapture-www-activesportstrade-co-uk-olimp-trade-2026-09-10-09_05_33.pdf / page-03</x:v>
      </x:c>
      <x:c r="AB2037" s="36" t="n">
        <x:f>IF(ISNUMBER(Y2037),ROUND(Y2037*0.9,2),"")</x:f>
        <x:v>43.2</x:v>
      </x:c>
      <x:c r="AC2037" s="36" t="n">
        <x:f>IF(ISNUMBER(AB2037),ROUND(AB2037-(AB2037*0.015+0.2)-V2037,2),"")</x:f>
        <x:v>8.76</x:v>
      </x:c>
      <x:c r="AD2037" s="36" t="n">
        <x:f>IF(ISNUMBER(Y2037),ROUND(Y2037*0.8,2),"")</x:f>
        <x:v>38.4</x:v>
      </x:c>
      <x:c r="AE2037" s="36" t="n">
        <x:f>IF(ISNUMBER(AD2037),ROUND(AD2037*0.015+0.2,2),"")</x:f>
        <x:v>0.78</x:v>
      </x:c>
      <x:c r="AF2037" s="36" t="n">
        <x:f>IF(ISNUMBER(AD2037),ROUND(AD2037-AE2037-V2037,2),"")</x:f>
        <x:v>4.03</x:v>
      </x:c>
      <x:c r="AG2037" t="str">
        <x:f>IF(NOT(ISNUMBER(T2037)),"PENDING",IF(AF2037&gt;0,"PASS","FAIL"))</x:f>
        <x:v>PASS</x:v>
      </x:c>
      <x:c r="AH2037" t="str">
        <x:f>IF(NOT(ISNUMBER(T2037)),"Needs supplier cost",IF(K2037&lt;&gt;"In stock","Supplier unavailable",IF(AG2037&lt;&gt;"PASS","BLOCK - GT loss risk","Commercially protected")))</x:f>
        <x:v>Commercially protected</x:v>
      </x:c>
      <x:c r="AI2037" t="str">
        <x:v>2026-09-10 Active Sports trade capture</x:v>
      </x:c>
      <x:c r="AJ2037" t="str">
        <x:v>Management-only economics. Stripe stress test uses 1.5% + £0.20 standard UK online-card fee; pallet/mix-and-match pricing ignored.</x:v>
      </x:c>
    </x:row>
    <x:row r="2038">
      <x:c r="A2038" t="str">
        <x:v>Active Sports Nutrition</x:v>
      </x:c>
      <x:c r="B2038" t="str">
        <x:v>Olimp</x:v>
      </x:c>
      <x:c r="C2038" t="str">
        <x:v>BCAA Xplode</x:v>
      </x:c>
      <x:c r="D2038" t="str">
        <x:v>Supplements</x:v>
      </x:c>
      <x:c r="E2038" t="str">
        <x:v>BCAAs</x:v>
      </x:c>
      <x:c r="F2038" t="str"/>
      <x:c r="G2038" t="str">
        <x:v>1kg / 100 servings</x:v>
      </x:c>
      <x:c r="H2038" t="str">
        <x:v>Lemon</x:v>
      </x:c>
      <x:c r="I2038" t="str"/>
      <x:c r="J2038" t="str">
        <x:v>Unit</x:v>
      </x:c>
      <x:c r="K2038" t="str">
        <x:v>In stock</x:v>
      </x:c>
      <x:c r="L2038" t="str">
        <x:v>2026-09-08</x:v>
      </x:c>
      <x:c r="M2038" t="str"/>
      <x:c r="N2038" t="str"/>
      <x:c r="O2038" t="str">
        <x:v>https://www.activesportstrade.co.uk/olimp-trade</x:v>
      </x:c>
      <x:c r="P2038" t="str">
        <x:v>SPECIAL OFFER wording stripped from canonical title.</x:v>
      </x:c>
      <x:c r="Q2038" t="str"/>
      <x:c r="R2038" t="str"/>
      <x:c r="S2038" t="str">
        <x:v>Pending genuine supplier/brand image</x:v>
      </x:c>
      <x:c r="T2038" s="54" t="n">
        <x:v>27.99</x:v>
      </x:c>
      <x:c r="U2038" s="47" t="n">
        <x:v>0.2</x:v>
      </x:c>
      <x:c r="V2038" s="54" t="n">
        <x:f>IF(ISNUMBER(T2038),T2038*(1+U2038),"")</x:f>
        <x:v>33.587999999999994</x:v>
      </x:c>
      <x:c r="W2038" s="47" t="n">
        <x:v>0.3</x:v>
      </x:c>
      <x:c r="X2038" s="54" t="n">
        <x:f>IF(ISNUMBER(V2038),V2038/(1-W2038),"")</x:f>
        <x:v>47.982857142857135</x:v>
      </x:c>
      <x:c r="Y2038" s="55" t="n">
        <x:f>IF(ISNUMBER(X2038),ROUNDUP(X2038,0),"")</x:f>
        <x:v>48</x:v>
      </x:c>
      <x:c r="Z2038" t="str">
        <x:v>Source match pending</x:v>
      </x:c>
      <x:c r="AA2038" t="str">
        <x:v>screencapture-www-activesportstrade-co-uk-olimp-trade-2026-09-10-09_05_33.pdf / page-03</x:v>
      </x:c>
      <x:c r="AB2038" s="36" t="n">
        <x:f>IF(ISNUMBER(Y2038),ROUND(Y2038*0.9,2),"")</x:f>
        <x:v>43.2</x:v>
      </x:c>
      <x:c r="AC2038" s="36" t="n">
        <x:f>IF(ISNUMBER(AB2038),ROUND(AB2038-(AB2038*0.015+0.2)-V2038,2),"")</x:f>
        <x:v>8.76</x:v>
      </x:c>
      <x:c r="AD2038" s="36" t="n">
        <x:f>IF(ISNUMBER(Y2038),ROUND(Y2038*0.8,2),"")</x:f>
        <x:v>38.4</x:v>
      </x:c>
      <x:c r="AE2038" s="36" t="n">
        <x:f>IF(ISNUMBER(AD2038),ROUND(AD2038*0.015+0.2,2),"")</x:f>
        <x:v>0.78</x:v>
      </x:c>
      <x:c r="AF2038" s="36" t="n">
        <x:f>IF(ISNUMBER(AD2038),ROUND(AD2038-AE2038-V2038,2),"")</x:f>
        <x:v>4.03</x:v>
      </x:c>
      <x:c r="AG2038" t="str">
        <x:f>IF(NOT(ISNUMBER(T2038)),"PENDING",IF(AF2038&gt;0,"PASS","FAIL"))</x:f>
        <x:v>PASS</x:v>
      </x:c>
      <x:c r="AH2038" t="str">
        <x:f>IF(NOT(ISNUMBER(T2038)),"Needs supplier cost",IF(K2038&lt;&gt;"In stock","Supplier unavailable",IF(AG2038&lt;&gt;"PASS","BLOCK - GT loss risk","Commercially protected")))</x:f>
        <x:v>Commercially protected</x:v>
      </x:c>
      <x:c r="AI2038" t="str">
        <x:v>2026-09-10 Active Sports trade capture</x:v>
      </x:c>
      <x:c r="AJ2038" t="str">
        <x:v>Management-only economics. Stripe stress test uses 1.5% + £0.20 standard UK online-card fee; pallet/mix-and-match pricing ignored.</x:v>
      </x:c>
    </x:row>
    <x:row r="2039">
      <x:c r="A2039" t="str">
        <x:v>Active Sports Nutrition</x:v>
      </x:c>
      <x:c r="B2039" t="str">
        <x:v>Olimp</x:v>
      </x:c>
      <x:c r="C2039" t="str">
        <x:v>BCAA Xplode</x:v>
      </x:c>
      <x:c r="D2039" t="str">
        <x:v>Supplements</x:v>
      </x:c>
      <x:c r="E2039" t="str">
        <x:v>BCAAs</x:v>
      </x:c>
      <x:c r="F2039" t="str"/>
      <x:c r="G2039" t="str">
        <x:v>1kg / 100 servings</x:v>
      </x:c>
      <x:c r="H2039" t="str">
        <x:v>Orange</x:v>
      </x:c>
      <x:c r="I2039" t="str"/>
      <x:c r="J2039" t="str">
        <x:v>Unit</x:v>
      </x:c>
      <x:c r="K2039" t="str">
        <x:v>In stock</x:v>
      </x:c>
      <x:c r="L2039" t="str">
        <x:v>2026-09-08</x:v>
      </x:c>
      <x:c r="M2039" t="str"/>
      <x:c r="N2039" t="str"/>
      <x:c r="O2039" t="str">
        <x:v>https://www.activesportstrade.co.uk/olimp-trade</x:v>
      </x:c>
      <x:c r="P2039" t="str">
        <x:v>SPECIAL OFFER wording stripped from canonical title.</x:v>
      </x:c>
      <x:c r="Q2039" t="str"/>
      <x:c r="R2039" t="str"/>
      <x:c r="S2039" t="str">
        <x:v>Pending genuine supplier/brand image</x:v>
      </x:c>
      <x:c r="T2039" s="54" t="n">
        <x:v>27.99</x:v>
      </x:c>
      <x:c r="U2039" s="47" t="n">
        <x:v>0.2</x:v>
      </x:c>
      <x:c r="V2039" s="54" t="n">
        <x:f>IF(ISNUMBER(T2039),T2039*(1+U2039),"")</x:f>
        <x:v>33.587999999999994</x:v>
      </x:c>
      <x:c r="W2039" s="47" t="n">
        <x:v>0.3</x:v>
      </x:c>
      <x:c r="X2039" s="54" t="n">
        <x:f>IF(ISNUMBER(V2039),V2039/(1-W2039),"")</x:f>
        <x:v>47.982857142857135</x:v>
      </x:c>
      <x:c r="Y2039" s="55" t="n">
        <x:f>IF(ISNUMBER(X2039),ROUNDUP(X2039,0),"")</x:f>
        <x:v>48</x:v>
      </x:c>
      <x:c r="Z2039" t="str">
        <x:v>Source match pending</x:v>
      </x:c>
      <x:c r="AA2039" t="str">
        <x:v>screencapture-www-activesportstrade-co-uk-olimp-trade-2026-09-10-09_05_33.pdf / page-03</x:v>
      </x:c>
      <x:c r="AB2039" s="36" t="n">
        <x:f>IF(ISNUMBER(Y2039),ROUND(Y2039*0.9,2),"")</x:f>
        <x:v>43.2</x:v>
      </x:c>
      <x:c r="AC2039" s="36" t="n">
        <x:f>IF(ISNUMBER(AB2039),ROUND(AB2039-(AB2039*0.015+0.2)-V2039,2),"")</x:f>
        <x:v>8.76</x:v>
      </x:c>
      <x:c r="AD2039" s="36" t="n">
        <x:f>IF(ISNUMBER(Y2039),ROUND(Y2039*0.8,2),"")</x:f>
        <x:v>38.4</x:v>
      </x:c>
      <x:c r="AE2039" s="36" t="n">
        <x:f>IF(ISNUMBER(AD2039),ROUND(AD2039*0.015+0.2,2),"")</x:f>
        <x:v>0.78</x:v>
      </x:c>
      <x:c r="AF2039" s="36" t="n">
        <x:f>IF(ISNUMBER(AD2039),ROUND(AD2039-AE2039-V2039,2),"")</x:f>
        <x:v>4.03</x:v>
      </x:c>
      <x:c r="AG2039" t="str">
        <x:f>IF(NOT(ISNUMBER(T2039)),"PENDING",IF(AF2039&gt;0,"PASS","FAIL"))</x:f>
        <x:v>PASS</x:v>
      </x:c>
      <x:c r="AH2039" t="str">
        <x:f>IF(NOT(ISNUMBER(T2039)),"Needs supplier cost",IF(K2039&lt;&gt;"In stock","Supplier unavailable",IF(AG2039&lt;&gt;"PASS","BLOCK - GT loss risk","Commercially protected")))</x:f>
        <x:v>Commercially protected</x:v>
      </x:c>
      <x:c r="AI2039" t="str">
        <x:v>2026-09-10 Active Sports trade capture</x:v>
      </x:c>
      <x:c r="AJ2039" t="str">
        <x:v>Management-only economics. Stripe stress test uses 1.5% + £0.20 standard UK online-card fee; pallet/mix-and-match pricing ignored.</x:v>
      </x:c>
    </x:row>
    <x:row r="2040">
      <x:c r="A2040" t="str">
        <x:v>Active Sports Nutrition</x:v>
      </x:c>
      <x:c r="B2040" t="str">
        <x:v>Olimp</x:v>
      </x:c>
      <x:c r="C2040" t="str">
        <x:v>BCAA Xplode</x:v>
      </x:c>
      <x:c r="D2040" t="str">
        <x:v>Supplements</x:v>
      </x:c>
      <x:c r="E2040" t="str">
        <x:v>BCAAs</x:v>
      </x:c>
      <x:c r="F2040" t="str"/>
      <x:c r="G2040" t="str">
        <x:v>1kg / 100 servings</x:v>
      </x:c>
      <x:c r="H2040" t="str">
        <x:v>Pineapple</x:v>
      </x:c>
      <x:c r="I2040" t="str"/>
      <x:c r="J2040" t="str">
        <x:v>Unit</x:v>
      </x:c>
      <x:c r="K2040" t="str">
        <x:v>In stock</x:v>
      </x:c>
      <x:c r="L2040" t="str">
        <x:v>2026-09-08</x:v>
      </x:c>
      <x:c r="M2040" t="str"/>
      <x:c r="N2040" t="str"/>
      <x:c r="O2040" t="str">
        <x:v>https://www.activesportstrade.co.uk/olimp-trade</x:v>
      </x:c>
      <x:c r="P2040" t="str">
        <x:v>SPECIAL OFFER wording stripped from canonical title.</x:v>
      </x:c>
      <x:c r="Q2040" t="str"/>
      <x:c r="R2040" t="str"/>
      <x:c r="S2040" t="str">
        <x:v>Pending genuine supplier/brand image</x:v>
      </x:c>
      <x:c r="T2040" s="54" t="n">
        <x:v>27.99</x:v>
      </x:c>
      <x:c r="U2040" s="47" t="n">
        <x:v>0.2</x:v>
      </x:c>
      <x:c r="V2040" s="54" t="n">
        <x:f>IF(ISNUMBER(T2040),T2040*(1+U2040),"")</x:f>
        <x:v>33.587999999999994</x:v>
      </x:c>
      <x:c r="W2040" s="47" t="n">
        <x:v>0.3</x:v>
      </x:c>
      <x:c r="X2040" s="54" t="n">
        <x:f>IF(ISNUMBER(V2040),V2040/(1-W2040),"")</x:f>
        <x:v>47.982857142857135</x:v>
      </x:c>
      <x:c r="Y2040" s="55" t="n">
        <x:f>IF(ISNUMBER(X2040),ROUNDUP(X2040,0),"")</x:f>
        <x:v>48</x:v>
      </x:c>
      <x:c r="Z2040" t="str">
        <x:v>Source match pending</x:v>
      </x:c>
      <x:c r="AA2040" t="str">
        <x:v>screencapture-www-activesportstrade-co-uk-olimp-trade-2026-09-10-09_05_33.pdf / page-03</x:v>
      </x:c>
      <x:c r="AB2040" s="36" t="n">
        <x:f>IF(ISNUMBER(Y2040),ROUND(Y2040*0.9,2),"")</x:f>
        <x:v>43.2</x:v>
      </x:c>
      <x:c r="AC2040" s="36" t="n">
        <x:f>IF(ISNUMBER(AB2040),ROUND(AB2040-(AB2040*0.015+0.2)-V2040,2),"")</x:f>
        <x:v>8.76</x:v>
      </x:c>
      <x:c r="AD2040" s="36" t="n">
        <x:f>IF(ISNUMBER(Y2040),ROUND(Y2040*0.8,2),"")</x:f>
        <x:v>38.4</x:v>
      </x:c>
      <x:c r="AE2040" s="36" t="n">
        <x:f>IF(ISNUMBER(AD2040),ROUND(AD2040*0.015+0.2,2),"")</x:f>
        <x:v>0.78</x:v>
      </x:c>
      <x:c r="AF2040" s="36" t="n">
        <x:f>IF(ISNUMBER(AD2040),ROUND(AD2040-AE2040-V2040,2),"")</x:f>
        <x:v>4.03</x:v>
      </x:c>
      <x:c r="AG2040" t="str">
        <x:f>IF(NOT(ISNUMBER(T2040)),"PENDING",IF(AF2040&gt;0,"PASS","FAIL"))</x:f>
        <x:v>PASS</x:v>
      </x:c>
      <x:c r="AH2040" t="str">
        <x:f>IF(NOT(ISNUMBER(T2040)),"Needs supplier cost",IF(K2040&lt;&gt;"In stock","Supplier unavailable",IF(AG2040&lt;&gt;"PASS","BLOCK - GT loss risk","Commercially protected")))</x:f>
        <x:v>Commercially protected</x:v>
      </x:c>
      <x:c r="AI2040" t="str">
        <x:v>2026-09-10 Active Sports trade capture</x:v>
      </x:c>
      <x:c r="AJ2040" t="str">
        <x:v>Management-only economics. Stripe stress test uses 1.5% + £0.20 standard UK online-card fee; pallet/mix-and-match pricing ignored.</x:v>
      </x:c>
    </x:row>
    <x:row r="2041">
      <x:c r="A2041" t="str">
        <x:v>Active Sports Nutrition</x:v>
      </x:c>
      <x:c r="B2041" t="str">
        <x:v>Olimp</x:v>
      </x:c>
      <x:c r="C2041" t="str">
        <x:v>Chela Mag B6 Forte</x:v>
      </x:c>
      <x:c r="D2041" t="str">
        <x:v>Supplements</x:v>
      </x:c>
      <x:c r="E2041" t="str">
        <x:v>Vitamins and Minerals</x:v>
      </x:c>
      <x:c r="F2041" t="str"/>
      <x:c r="G2041" t="str">
        <x:v>60 caps</x:v>
      </x:c>
      <x:c r="H2041" t="str">
        <x:v>Default</x:v>
      </x:c>
      <x:c r="I2041" t="str"/>
      <x:c r="J2041" t="str">
        <x:v>Unit</x:v>
      </x:c>
      <x:c r="K2041" t="str">
        <x:v>Out of stock</x:v>
      </x:c>
      <x:c r="L2041" t="str">
        <x:v>2026-09-08</x:v>
      </x:c>
      <x:c r="M2041" t="str"/>
      <x:c r="N2041" t="str"/>
      <x:c r="O2041" t="str">
        <x:v>https://www.activesportstrade.co.uk/olimp-trade</x:v>
      </x:c>
      <x:c r="P2041" t="str"/>
      <x:c r="Q2041" t="str"/>
      <x:c r="R2041" t="str"/>
      <x:c r="S2041" t="str">
        <x:v>Pending genuine supplier/brand image</x:v>
      </x:c>
      <x:c r="T2041" s="54" t="n">
        <x:v>7.99</x:v>
      </x:c>
      <x:c r="U2041" s="47" t="n">
        <x:v>0.2</x:v>
      </x:c>
      <x:c r="V2041" s="54" t="n">
        <x:f>IF(ISNUMBER(T2041),T2041*(1+U2041),"")</x:f>
        <x:v>9.588</x:v>
      </x:c>
      <x:c r="W2041" s="47" t="n">
        <x:v>0.3</x:v>
      </x:c>
      <x:c r="X2041" s="54" t="n">
        <x:f>IF(ISNUMBER(V2041),V2041/(1-W2041),"")</x:f>
        <x:v>13.697142857142858</x:v>
      </x:c>
      <x:c r="Y2041" s="55" t="n">
        <x:f>IF(ISNUMBER(X2041),ROUNDUP(X2041,0),"")</x:f>
        <x:v>14</x:v>
      </x:c>
      <x:c r="Z2041" t="str">
        <x:v>Source match pending</x:v>
      </x:c>
      <x:c r="AA2041" t="str">
        <x:v>screencapture-www-activesportstrade-co-uk-olimp-trade-2026-09-10-09_05_33.pdf / page-04</x:v>
      </x:c>
      <x:c r="AB2041" s="36" t="n">
        <x:f>IF(ISNUMBER(Y2041),ROUND(Y2041*0.9,2),"")</x:f>
        <x:v>12.6</x:v>
      </x:c>
      <x:c r="AC2041" s="36" t="n">
        <x:f>IF(ISNUMBER(AB2041),ROUND(AB2041-(AB2041*0.015+0.2)-V2041,2),"")</x:f>
        <x:v>2.62</x:v>
      </x:c>
      <x:c r="AD2041" s="36" t="n">
        <x:f>IF(ISNUMBER(Y2041),ROUND(Y2041*0.8,2),"")</x:f>
        <x:v>11.2</x:v>
      </x:c>
      <x:c r="AE2041" s="36" t="n">
        <x:f>IF(ISNUMBER(AD2041),ROUND(AD2041*0.015+0.2,2),"")</x:f>
        <x:v>0.37</x:v>
      </x:c>
      <x:c r="AF2041" s="36" t="n">
        <x:f>IF(ISNUMBER(AD2041),ROUND(AD2041-AE2041-V2041,2),"")</x:f>
        <x:v>1.24</x:v>
      </x:c>
      <x:c r="AG2041" t="str">
        <x:f>IF(NOT(ISNUMBER(T2041)),"PENDING",IF(AF2041&gt;0,"PASS","FAIL"))</x:f>
        <x:v>PASS</x:v>
      </x:c>
      <x:c r="AH2041" t="str">
        <x:f>IF(NOT(ISNUMBER(T2041)),"Needs supplier cost",IF(K2041&lt;&gt;"In stock","Supplier unavailable",IF(AG2041&lt;&gt;"PASS","BLOCK - GT loss risk","Commercially protected")))</x:f>
        <x:v>Supplier unavailable</x:v>
      </x:c>
      <x:c r="AI2041" t="str">
        <x:v>2026-09-10 Active Sports trade capture</x:v>
      </x:c>
      <x:c r="AJ2041" t="str">
        <x:v>Management-only economics. Stripe stress test uses 1.5% + £0.20 standard UK online-card fee; pallet/mix-and-match pricing ignored.</x:v>
      </x:c>
    </x:row>
    <x:row r="2042">
      <x:c r="A2042" t="str">
        <x:v>Active Sports Nutrition</x:v>
      </x:c>
      <x:c r="B2042" t="str">
        <x:v>Olimp</x:v>
      </x:c>
      <x:c r="C2042" t="str">
        <x:v>Chela MZB Sports Formula</x:v>
      </x:c>
      <x:c r="D2042" t="str">
        <x:v>Supplements</x:v>
      </x:c>
      <x:c r="E2042" t="str">
        <x:v>Vitamins and Minerals</x:v>
      </x:c>
      <x:c r="F2042" t="str"/>
      <x:c r="G2042" t="str">
        <x:v>60 caps</x:v>
      </x:c>
      <x:c r="H2042" t="str">
        <x:v>Default</x:v>
      </x:c>
      <x:c r="I2042" t="str"/>
      <x:c r="J2042" t="str">
        <x:v>Unit</x:v>
      </x:c>
      <x:c r="K2042" t="str">
        <x:v>In stock</x:v>
      </x:c>
      <x:c r="L2042" t="str">
        <x:v>2026-09-08</x:v>
      </x:c>
      <x:c r="M2042" t="str"/>
      <x:c r="N2042" t="str"/>
      <x:c r="O2042" t="str">
        <x:v>https://www.activesportstrade.co.uk/olimp-trade</x:v>
      </x:c>
      <x:c r="P2042" t="str">
        <x:v>SPECIAL OFFER wording stripped from canonical title.</x:v>
      </x:c>
      <x:c r="Q2042" t="str"/>
      <x:c r="R2042" t="str"/>
      <x:c r="S2042" t="str">
        <x:v>Pending genuine supplier/brand image</x:v>
      </x:c>
      <x:c r="T2042" s="54" t="n">
        <x:v>7.64</x:v>
      </x:c>
      <x:c r="U2042" s="47" t="n">
        <x:v>0.2</x:v>
      </x:c>
      <x:c r="V2042" s="54" t="n">
        <x:f>IF(ISNUMBER(T2042),T2042*(1+U2042),"")</x:f>
        <x:v>9.168</x:v>
      </x:c>
      <x:c r="W2042" s="47" t="n">
        <x:v>0.3</x:v>
      </x:c>
      <x:c r="X2042" s="54" t="n">
        <x:f>IF(ISNUMBER(V2042),V2042/(1-W2042),"")</x:f>
        <x:v>13.097142857142856</x:v>
      </x:c>
      <x:c r="Y2042" s="55" t="n">
        <x:f>IF(ISNUMBER(X2042),ROUNDUP(X2042,0),"")</x:f>
        <x:v>14</x:v>
      </x:c>
      <x:c r="Z2042" t="str">
        <x:v>Source match pending</x:v>
      </x:c>
      <x:c r="AA2042" t="str">
        <x:v>screencapture-www-activesportstrade-co-uk-olimp-trade-2026-09-10-09_05_33.pdf / page-04</x:v>
      </x:c>
      <x:c r="AB2042" s="36" t="n">
        <x:f>IF(ISNUMBER(Y2042),ROUND(Y2042*0.9,2),"")</x:f>
        <x:v>12.6</x:v>
      </x:c>
      <x:c r="AC2042" s="36" t="n">
        <x:f>IF(ISNUMBER(AB2042),ROUND(AB2042-(AB2042*0.015+0.2)-V2042,2),"")</x:f>
        <x:v>3.04</x:v>
      </x:c>
      <x:c r="AD2042" s="36" t="n">
        <x:f>IF(ISNUMBER(Y2042),ROUND(Y2042*0.8,2),"")</x:f>
        <x:v>11.2</x:v>
      </x:c>
      <x:c r="AE2042" s="36" t="n">
        <x:f>IF(ISNUMBER(AD2042),ROUND(AD2042*0.015+0.2,2),"")</x:f>
        <x:v>0.37</x:v>
      </x:c>
      <x:c r="AF2042" s="36" t="n">
        <x:f>IF(ISNUMBER(AD2042),ROUND(AD2042-AE2042-V2042,2),"")</x:f>
        <x:v>1.66</x:v>
      </x:c>
      <x:c r="AG2042" t="str">
        <x:f>IF(NOT(ISNUMBER(T2042)),"PENDING",IF(AF2042&gt;0,"PASS","FAIL"))</x:f>
        <x:v>PASS</x:v>
      </x:c>
      <x:c r="AH2042" t="str">
        <x:f>IF(NOT(ISNUMBER(T2042)),"Needs supplier cost",IF(K2042&lt;&gt;"In stock","Supplier unavailable",IF(AG2042&lt;&gt;"PASS","BLOCK - GT loss risk","Commercially protected")))</x:f>
        <x:v>Commercially protected</x:v>
      </x:c>
      <x:c r="AI2042" t="str">
        <x:v>2026-09-10 Active Sports trade capture</x:v>
      </x:c>
      <x:c r="AJ2042" t="str">
        <x:v>Management-only economics. Stripe stress test uses 1.5% + £0.20 standard UK online-card fee; pallet/mix-and-match pricing ignored.</x:v>
      </x:c>
    </x:row>
    <x:row r="2043">
      <x:c r="A2043" t="str">
        <x:v>Active Sports Nutrition</x:v>
      </x:c>
      <x:c r="B2043" t="str">
        <x:v>Olimp</x:v>
      </x:c>
      <x:c r="C2043" t="str">
        <x:v>Chela-Mag Cramp Shots</x:v>
      </x:c>
      <x:c r="D2043" t="str">
        <x:v>Supplements</x:v>
      </x:c>
      <x:c r="E2043" t="str">
        <x:v>Hydration</x:v>
      </x:c>
      <x:c r="F2043" t="str"/>
      <x:c r="G2043" t="str">
        <x:v>9 x 25ml shots</x:v>
      </x:c>
      <x:c r="H2043" t="str">
        <x:v>Tropical Punch</x:v>
      </x:c>
      <x:c r="I2043" t="str">
        <x:v>9</x:v>
      </x:c>
      <x:c r="J2043" t="str">
        <x:v>Case</x:v>
      </x:c>
      <x:c r="K2043" t="str">
        <x:v>In stock</x:v>
      </x:c>
      <x:c r="L2043" t="str">
        <x:v>2026-09-08</x:v>
      </x:c>
      <x:c r="M2043" t="str"/>
      <x:c r="N2043" t="str"/>
      <x:c r="O2043" t="str">
        <x:v>https://www.activesportstrade.co.uk/olimp-trade</x:v>
      </x:c>
      <x:c r="P2043" t="str"/>
      <x:c r="Q2043" t="str"/>
      <x:c r="R2043" t="str"/>
      <x:c r="S2043" t="str">
        <x:v>Pending genuine supplier/brand image</x:v>
      </x:c>
      <x:c r="T2043" s="54"/>
      <x:c r="U2043" s="47" t="n">
        <x:v>0.2</x:v>
      </x:c>
      <x:c r="V2043" s="54" t="str">
        <x:f>IF(ISNUMBER(T2043),T2043*(1+U2043),"")</x:f>
      </x:c>
      <x:c r="W2043" s="47" t="n">
        <x:v>0.3</x:v>
      </x:c>
      <x:c r="X2043" s="54" t="str">
        <x:f>IF(ISNUMBER(V2043),V2043/(1-W2043),"")</x:f>
      </x:c>
      <x:c r="Y2043" s="55" t="str">
        <x:f>IF(ISNUMBER(X2043),ROUNDUP(X2043,0),"")</x:f>
      </x:c>
      <x:c r="Z2043" t="str">
        <x:f>IF(ISNUMBER(T2043),"Cost captured","Awaiting trade cost")</x:f>
        <x:v>Awaiting trade cost</x:v>
      </x:c>
      <x:c r="AB2043" s="36" t="str">
        <x:f>IF(ISNUMBER(Y2043),ROUND(Y2043*0.9,2),"")</x:f>
      </x:c>
      <x:c r="AC2043" s="36" t="str">
        <x:f>IF(ISNUMBER(AB2043),ROUND(AB2043-(AB2043*0.015+0.2)-V2043,2),"")</x:f>
      </x:c>
      <x:c r="AD2043" s="36" t="str">
        <x:f>IF(ISNUMBER(Y2043),ROUND(Y2043*0.8,2),"")</x:f>
      </x:c>
      <x:c r="AE2043" s="36" t="str">
        <x:f>IF(ISNUMBER(AD2043),ROUND(AD2043*0.015+0.2,2),"")</x:f>
      </x:c>
      <x:c r="AF2043" s="36" t="str">
        <x:f>IF(ISNUMBER(AD2043),ROUND(AD2043-AE2043-V2043,2),"")</x:f>
      </x:c>
      <x:c r="AG2043" t="str">
        <x:f>IF(NOT(ISNUMBER(T2043)),"PENDING",IF(AF2043&gt;0,"PASS","FAIL"))</x:f>
        <x:v>PENDING</x:v>
      </x:c>
      <x:c r="AH2043" t="str">
        <x:f>IF(NOT(ISNUMBER(T2043)),"Needs supplier cost",IF(K2043&lt;&gt;"In stock","Supplier unavailable",IF(AG2043&lt;&gt;"PASS","BLOCK - GT loss risk","Commercially protected")))</x:f>
        <x:v>Needs supplier cost</x:v>
      </x:c>
      <x:c r="AI2043" t="str">
        <x:v>2026-09-10 Active Sports trade capture</x:v>
      </x:c>
      <x:c r="AJ2043" t="str">
        <x:v>Management-only economics. Stripe stress test uses 1.5% + £0.20 standard UK online-card fee; pallet/mix-and-match pricing ignored.</x:v>
      </x:c>
    </x:row>
    <x:row r="2044">
      <x:c r="A2044" t="str">
        <x:v>Active Sports Nutrition</x:v>
      </x:c>
      <x:c r="B2044" t="str">
        <x:v>Olimp</x:v>
      </x:c>
      <x:c r="C2044" t="str">
        <x:v>Collaregen - Joint Formula</x:v>
      </x:c>
      <x:c r="D2044" t="str">
        <x:v>Supplements</x:v>
      </x:c>
      <x:c r="E2044" t="str">
        <x:v>Joint Repair</x:v>
      </x:c>
      <x:c r="F2044" t="str"/>
      <x:c r="G2044" t="str">
        <x:v>72 servings</x:v>
      </x:c>
      <x:c r="H2044" t="str">
        <x:v>Lemon</x:v>
      </x:c>
      <x:c r="I2044" t="str"/>
      <x:c r="J2044" t="str">
        <x:v>Unit</x:v>
      </x:c>
      <x:c r="K2044" t="str">
        <x:v>In stock</x:v>
      </x:c>
      <x:c r="L2044" t="str">
        <x:v>2026-09-08</x:v>
      </x:c>
      <x:c r="M2044" t="str"/>
      <x:c r="N2044" t="str"/>
      <x:c r="O2044" t="str">
        <x:v>https://www.activesportstrade.co.uk/olimp-trade</x:v>
      </x:c>
      <x:c r="P2044" t="str"/>
      <x:c r="Q2044" t="str"/>
      <x:c r="R2044" t="str"/>
      <x:c r="S2044" t="str">
        <x:v>Pending genuine supplier/brand image</x:v>
      </x:c>
      <x:c r="T2044" s="54" t="n">
        <x:v>16.99</x:v>
      </x:c>
      <x:c r="U2044" s="47" t="n">
        <x:v>0.2</x:v>
      </x:c>
      <x:c r="V2044" s="54" t="n">
        <x:f>IF(ISNUMBER(T2044),T2044*(1+U2044),"")</x:f>
        <x:v>20.387999999999998</x:v>
      </x:c>
      <x:c r="W2044" s="47" t="n">
        <x:v>0.3</x:v>
      </x:c>
      <x:c r="X2044" s="54" t="n">
        <x:f>IF(ISNUMBER(V2044),V2044/(1-W2044),"")</x:f>
        <x:v>29.125714285714285</x:v>
      </x:c>
      <x:c r="Y2044" s="55" t="n">
        <x:f>IF(ISNUMBER(X2044),ROUNDUP(X2044,0),"")</x:f>
        <x:v>30</x:v>
      </x:c>
      <x:c r="Z2044" t="str">
        <x:v>Source match pending</x:v>
      </x:c>
      <x:c r="AA2044" t="str">
        <x:v>screencapture-www-activesportstrade-co-uk-olimp-trade-2026-09-10-09_05_33.pdf / page-05</x:v>
      </x:c>
      <x:c r="AB2044" s="36" t="n">
        <x:f>IF(ISNUMBER(Y2044),ROUND(Y2044*0.9,2),"")</x:f>
        <x:v>27</x:v>
      </x:c>
      <x:c r="AC2044" s="36" t="n">
        <x:f>IF(ISNUMBER(AB2044),ROUND(AB2044-(AB2044*0.015+0.2)-V2044,2),"")</x:f>
        <x:v>6.01</x:v>
      </x:c>
      <x:c r="AD2044" s="36" t="n">
        <x:f>IF(ISNUMBER(Y2044),ROUND(Y2044*0.8,2),"")</x:f>
        <x:v>24</x:v>
      </x:c>
      <x:c r="AE2044" s="36" t="n">
        <x:f>IF(ISNUMBER(AD2044),ROUND(AD2044*0.015+0.2,2),"")</x:f>
        <x:v>0.56</x:v>
      </x:c>
      <x:c r="AF2044" s="36" t="n">
        <x:f>IF(ISNUMBER(AD2044),ROUND(AD2044-AE2044-V2044,2),"")</x:f>
        <x:v>3.05</x:v>
      </x:c>
      <x:c r="AG2044" t="str">
        <x:f>IF(NOT(ISNUMBER(T2044)),"PENDING",IF(AF2044&gt;0,"PASS","FAIL"))</x:f>
        <x:v>PASS</x:v>
      </x:c>
      <x:c r="AH2044" t="str">
        <x:f>IF(NOT(ISNUMBER(T2044)),"Needs supplier cost",IF(K2044&lt;&gt;"In stock","Supplier unavailable",IF(AG2044&lt;&gt;"PASS","BLOCK - GT loss risk","Commercially protected")))</x:f>
        <x:v>Commercially protected</x:v>
      </x:c>
      <x:c r="AI2044" t="str">
        <x:v>2026-09-10 Active Sports trade capture</x:v>
      </x:c>
      <x:c r="AJ2044" t="str">
        <x:v>Management-only economics. Stripe stress test uses 1.5% + £0.20 standard UK online-card fee; pallet/mix-and-match pricing ignored.</x:v>
      </x:c>
    </x:row>
    <x:row r="2045">
      <x:c r="A2045" t="str">
        <x:v>Active Sports Nutrition</x:v>
      </x:c>
      <x:c r="B2045" t="str">
        <x:v>Olimp</x:v>
      </x:c>
      <x:c r="C2045" t="str">
        <x:v>Collaregen - Joint Formula</x:v>
      </x:c>
      <x:c r="D2045" t="str">
        <x:v>Supplements</x:v>
      </x:c>
      <x:c r="E2045" t="str">
        <x:v>Joint Repair</x:v>
      </x:c>
      <x:c r="F2045" t="str"/>
      <x:c r="G2045" t="str">
        <x:v>72 servings</x:v>
      </x:c>
      <x:c r="H2045" t="str">
        <x:v>Orange</x:v>
      </x:c>
      <x:c r="I2045" t="str"/>
      <x:c r="J2045" t="str">
        <x:v>Unit</x:v>
      </x:c>
      <x:c r="K2045" t="str">
        <x:v>In stock</x:v>
      </x:c>
      <x:c r="L2045" t="str">
        <x:v>2026-09-08</x:v>
      </x:c>
      <x:c r="M2045" t="str"/>
      <x:c r="N2045" t="str"/>
      <x:c r="O2045" t="str">
        <x:v>https://www.activesportstrade.co.uk/olimp-trade</x:v>
      </x:c>
      <x:c r="P2045" t="str"/>
      <x:c r="Q2045" t="str"/>
      <x:c r="R2045" t="str"/>
      <x:c r="S2045" t="str">
        <x:v>Pending genuine supplier/brand image</x:v>
      </x:c>
      <x:c r="T2045" s="54" t="n">
        <x:v>16.99</x:v>
      </x:c>
      <x:c r="U2045" s="47" t="n">
        <x:v>0.2</x:v>
      </x:c>
      <x:c r="V2045" s="54" t="n">
        <x:f>IF(ISNUMBER(T2045),T2045*(1+U2045),"")</x:f>
        <x:v>20.387999999999998</x:v>
      </x:c>
      <x:c r="W2045" s="47" t="n">
        <x:v>0.3</x:v>
      </x:c>
      <x:c r="X2045" s="54" t="n">
        <x:f>IF(ISNUMBER(V2045),V2045/(1-W2045),"")</x:f>
        <x:v>29.125714285714285</x:v>
      </x:c>
      <x:c r="Y2045" s="55" t="n">
        <x:f>IF(ISNUMBER(X2045),ROUNDUP(X2045,0),"")</x:f>
        <x:v>30</x:v>
      </x:c>
      <x:c r="Z2045" t="str">
        <x:v>Source match pending</x:v>
      </x:c>
      <x:c r="AA2045" t="str">
        <x:v>screencapture-www-activesportstrade-co-uk-olimp-trade-2026-09-10-09_05_33.pdf / page-05</x:v>
      </x:c>
      <x:c r="AB2045" s="36" t="n">
        <x:f>IF(ISNUMBER(Y2045),ROUND(Y2045*0.9,2),"")</x:f>
        <x:v>27</x:v>
      </x:c>
      <x:c r="AC2045" s="36" t="n">
        <x:f>IF(ISNUMBER(AB2045),ROUND(AB2045-(AB2045*0.015+0.2)-V2045,2),"")</x:f>
        <x:v>6.01</x:v>
      </x:c>
      <x:c r="AD2045" s="36" t="n">
        <x:f>IF(ISNUMBER(Y2045),ROUND(Y2045*0.8,2),"")</x:f>
        <x:v>24</x:v>
      </x:c>
      <x:c r="AE2045" s="36" t="n">
        <x:f>IF(ISNUMBER(AD2045),ROUND(AD2045*0.015+0.2,2),"")</x:f>
        <x:v>0.56</x:v>
      </x:c>
      <x:c r="AF2045" s="36" t="n">
        <x:f>IF(ISNUMBER(AD2045),ROUND(AD2045-AE2045-V2045,2),"")</x:f>
        <x:v>3.05</x:v>
      </x:c>
      <x:c r="AG2045" t="str">
        <x:f>IF(NOT(ISNUMBER(T2045)),"PENDING",IF(AF2045&gt;0,"PASS","FAIL"))</x:f>
        <x:v>PASS</x:v>
      </x:c>
      <x:c r="AH2045" t="str">
        <x:f>IF(NOT(ISNUMBER(T2045)),"Needs supplier cost",IF(K2045&lt;&gt;"In stock","Supplier unavailable",IF(AG2045&lt;&gt;"PASS","BLOCK - GT loss risk","Commercially protected")))</x:f>
        <x:v>Commercially protected</x:v>
      </x:c>
      <x:c r="AI2045" t="str">
        <x:v>2026-09-10 Active Sports trade capture</x:v>
      </x:c>
      <x:c r="AJ2045" t="str">
        <x:v>Management-only economics. Stripe stress test uses 1.5% + £0.20 standard UK online-card fee; pallet/mix-and-match pricing ignored.</x:v>
      </x:c>
    </x:row>
    <x:row r="2046">
      <x:c r="A2046" t="str">
        <x:v>Active Sports Nutrition</x:v>
      </x:c>
      <x:c r="B2046" t="str">
        <x:v>Olimp</x:v>
      </x:c>
      <x:c r="C2046" t="str">
        <x:v>Colonbiotic 7GG Sports Edition</x:v>
      </x:c>
      <x:c r="D2046" t="str">
        <x:v>Supplements</x:v>
      </x:c>
      <x:c r="E2046" t="str">
        <x:v>Health Foods</x:v>
      </x:c>
      <x:c r="F2046" t="str"/>
      <x:c r="G2046" t="str">
        <x:v>30 caps</x:v>
      </x:c>
      <x:c r="H2046" t="str">
        <x:v>Default</x:v>
      </x:c>
      <x:c r="I2046" t="str"/>
      <x:c r="J2046" t="str">
        <x:v>Unit</x:v>
      </x:c>
      <x:c r="K2046" t="str">
        <x:v>In stock</x:v>
      </x:c>
      <x:c r="L2046" t="str">
        <x:v>2026-09-08</x:v>
      </x:c>
      <x:c r="M2046" t="str"/>
      <x:c r="N2046" t="str"/>
      <x:c r="O2046" t="str">
        <x:v>https://www.activesportstrade.co.uk/olimp-trade</x:v>
      </x:c>
      <x:c r="P2046" t="str"/>
      <x:c r="Q2046" t="str"/>
      <x:c r="R2046" t="str"/>
      <x:c r="S2046" t="str">
        <x:v>Pending genuine supplier/brand image</x:v>
      </x:c>
      <x:c r="T2046" s="54" t="n">
        <x:v>7.08</x:v>
      </x:c>
      <x:c r="U2046" s="47" t="n">
        <x:v>0.2</x:v>
      </x:c>
      <x:c r="V2046" s="54" t="n">
        <x:f>IF(ISNUMBER(T2046),T2046*(1+U2046),"")</x:f>
        <x:v>8.496</x:v>
      </x:c>
      <x:c r="W2046" s="47" t="n">
        <x:v>0.3</x:v>
      </x:c>
      <x:c r="X2046" s="54" t="n">
        <x:f>IF(ISNUMBER(V2046),V2046/(1-W2046),"")</x:f>
        <x:v>12.137142857142859</x:v>
      </x:c>
      <x:c r="Y2046" s="55" t="n">
        <x:f>IF(ISNUMBER(X2046),ROUNDUP(X2046,0),"")</x:f>
        <x:v>13</x:v>
      </x:c>
      <x:c r="Z2046" t="str">
        <x:v>Source match pending</x:v>
      </x:c>
      <x:c r="AA2046" t="str">
        <x:v>screencapture-www-activesportstrade-co-uk-olimp-trade-2026-09-10-09_05_33.pdf / page-05</x:v>
      </x:c>
      <x:c r="AB2046" s="36" t="n">
        <x:f>IF(ISNUMBER(Y2046),ROUND(Y2046*0.9,2),"")</x:f>
        <x:v>11.7</x:v>
      </x:c>
      <x:c r="AC2046" s="36" t="n">
        <x:f>IF(ISNUMBER(AB2046),ROUND(AB2046-(AB2046*0.015+0.2)-V2046,2),"")</x:f>
        <x:v>2.83</x:v>
      </x:c>
      <x:c r="AD2046" s="36" t="n">
        <x:f>IF(ISNUMBER(Y2046),ROUND(Y2046*0.8,2),"")</x:f>
        <x:v>10.4</x:v>
      </x:c>
      <x:c r="AE2046" s="36" t="n">
        <x:f>IF(ISNUMBER(AD2046),ROUND(AD2046*0.015+0.2,2),"")</x:f>
        <x:v>0.36</x:v>
      </x:c>
      <x:c r="AF2046" s="36" t="n">
        <x:f>IF(ISNUMBER(AD2046),ROUND(AD2046-AE2046-V2046,2),"")</x:f>
        <x:v>1.54</x:v>
      </x:c>
      <x:c r="AG2046" t="str">
        <x:f>IF(NOT(ISNUMBER(T2046)),"PENDING",IF(AF2046&gt;0,"PASS","FAIL"))</x:f>
        <x:v>PASS</x:v>
      </x:c>
      <x:c r="AH2046" t="str">
        <x:f>IF(NOT(ISNUMBER(T2046)),"Needs supplier cost",IF(K2046&lt;&gt;"In stock","Supplier unavailable",IF(AG2046&lt;&gt;"PASS","BLOCK - GT loss risk","Commercially protected")))</x:f>
        <x:v>Commercially protected</x:v>
      </x:c>
      <x:c r="AI2046" t="str">
        <x:v>2026-09-10 Active Sports trade capture</x:v>
      </x:c>
      <x:c r="AJ2046" t="str">
        <x:v>Management-only economics. Stripe stress test uses 1.5% + £0.20 standard UK online-card fee; pallet/mix-and-match pricing ignored.</x:v>
      </x:c>
    </x:row>
    <x:row r="2047">
      <x:c r="A2047" t="str">
        <x:v>Active Sports Nutrition</x:v>
      </x:c>
      <x:c r="B2047" t="str">
        <x:v>Olimp</x:v>
      </x:c>
      <x:c r="C2047" t="str">
        <x:v>Glutamine 1400 Mega Caps</x:v>
      </x:c>
      <x:c r="D2047" t="str">
        <x:v>Supplements</x:v>
      </x:c>
      <x:c r="E2047" t="str">
        <x:v>L-Glutamine</x:v>
      </x:c>
      <x:c r="F2047" t="str"/>
      <x:c r="G2047" t="str">
        <x:v>120 caps</x:v>
      </x:c>
      <x:c r="H2047" t="str">
        <x:v>Default</x:v>
      </x:c>
      <x:c r="I2047" t="str"/>
      <x:c r="J2047" t="str">
        <x:v>Unit</x:v>
      </x:c>
      <x:c r="K2047" t="str">
        <x:v>In stock</x:v>
      </x:c>
      <x:c r="L2047" t="str">
        <x:v>2026-09-08</x:v>
      </x:c>
      <x:c r="M2047" t="str"/>
      <x:c r="N2047" t="str"/>
      <x:c r="O2047" t="str">
        <x:v>https://www.activesportstrade.co.uk/olimp-trade</x:v>
      </x:c>
      <x:c r="P2047" t="str"/>
      <x:c r="Q2047" t="str"/>
      <x:c r="R2047" t="str"/>
      <x:c r="S2047" t="str">
        <x:v>Pending genuine supplier/brand image</x:v>
      </x:c>
      <x:c r="T2047" s="54" t="n">
        <x:v>8.99</x:v>
      </x:c>
      <x:c r="U2047" s="47" t="n">
        <x:v>0.2</x:v>
      </x:c>
      <x:c r="V2047" s="54" t="n">
        <x:f>IF(ISNUMBER(T2047),T2047*(1+U2047),"")</x:f>
        <x:v>10.788</x:v>
      </x:c>
      <x:c r="W2047" s="47" t="n">
        <x:v>0.3</x:v>
      </x:c>
      <x:c r="X2047" s="54" t="n">
        <x:f>IF(ISNUMBER(V2047),V2047/(1-W2047),"")</x:f>
        <x:v>15.411428571428573</x:v>
      </x:c>
      <x:c r="Y2047" s="55" t="n">
        <x:f>IF(ISNUMBER(X2047),ROUNDUP(X2047,0),"")</x:f>
        <x:v>16</x:v>
      </x:c>
      <x:c r="Z2047" t="str">
        <x:v>Source match pending</x:v>
      </x:c>
      <x:c r="AA2047" t="str">
        <x:v>screencapture-www-activesportstrade-co-uk-olimp-trade-2026-09-10-09_05_33.pdf / page-07</x:v>
      </x:c>
      <x:c r="AB2047" s="36" t="n">
        <x:f>IF(ISNUMBER(Y2047),ROUND(Y2047*0.9,2),"")</x:f>
        <x:v>14.4</x:v>
      </x:c>
      <x:c r="AC2047" s="36" t="n">
        <x:f>IF(ISNUMBER(AB2047),ROUND(AB2047-(AB2047*0.015+0.2)-V2047,2),"")</x:f>
        <x:v>3.2</x:v>
      </x:c>
      <x:c r="AD2047" s="36" t="n">
        <x:f>IF(ISNUMBER(Y2047),ROUND(Y2047*0.8,2),"")</x:f>
        <x:v>12.8</x:v>
      </x:c>
      <x:c r="AE2047" s="36" t="n">
        <x:f>IF(ISNUMBER(AD2047),ROUND(AD2047*0.015+0.2,2),"")</x:f>
        <x:v>0.39</x:v>
      </x:c>
      <x:c r="AF2047" s="36" t="n">
        <x:f>IF(ISNUMBER(AD2047),ROUND(AD2047-AE2047-V2047,2),"")</x:f>
        <x:v>1.62</x:v>
      </x:c>
      <x:c r="AG2047" t="str">
        <x:f>IF(NOT(ISNUMBER(T2047)),"PENDING",IF(AF2047&gt;0,"PASS","FAIL"))</x:f>
        <x:v>PASS</x:v>
      </x:c>
      <x:c r="AH2047" t="str">
        <x:f>IF(NOT(ISNUMBER(T2047)),"Needs supplier cost",IF(K2047&lt;&gt;"In stock","Supplier unavailable",IF(AG2047&lt;&gt;"PASS","BLOCK - GT loss risk","Commercially protected")))</x:f>
        <x:v>Commercially protected</x:v>
      </x:c>
      <x:c r="AI2047" t="str">
        <x:v>2026-09-10 Active Sports trade capture</x:v>
      </x:c>
      <x:c r="AJ2047" t="str">
        <x:v>Management-only economics. Stripe stress test uses 1.5% + £0.20 standard UK online-card fee; pallet/mix-and-match pricing ignored.</x:v>
      </x:c>
    </x:row>
    <x:row r="2048">
      <x:c r="A2048" t="str">
        <x:v>Active Sports Nutrition</x:v>
      </x:c>
      <x:c r="B2048" t="str">
        <x:v>Olimp</x:v>
      </x:c>
      <x:c r="C2048" t="str">
        <x:v>Glutamine 1400 Mega Caps</x:v>
      </x:c>
      <x:c r="D2048" t="str">
        <x:v>Supplements</x:v>
      </x:c>
      <x:c r="E2048" t="str">
        <x:v>L-Glutamine</x:v>
      </x:c>
      <x:c r="F2048" t="str"/>
      <x:c r="G2048" t="str">
        <x:v>300 caps</x:v>
      </x:c>
      <x:c r="H2048" t="str">
        <x:v>Default</x:v>
      </x:c>
      <x:c r="I2048" t="str"/>
      <x:c r="J2048" t="str">
        <x:v>Unit</x:v>
      </x:c>
      <x:c r="K2048" t="str">
        <x:v>In stock</x:v>
      </x:c>
      <x:c r="L2048" t="str">
        <x:v>2026-09-08</x:v>
      </x:c>
      <x:c r="M2048" t="str"/>
      <x:c r="N2048" t="str"/>
      <x:c r="O2048" t="str">
        <x:v>https://www.activesportstrade.co.uk/olimp-trade</x:v>
      </x:c>
      <x:c r="P2048" t="str"/>
      <x:c r="Q2048" t="str"/>
      <x:c r="R2048" t="str"/>
      <x:c r="S2048" t="str">
        <x:v>Pending genuine supplier/brand image</x:v>
      </x:c>
      <x:c r="T2048" s="54" t="n">
        <x:v>18.67</x:v>
      </x:c>
      <x:c r="U2048" s="47" t="n">
        <x:v>0.2</x:v>
      </x:c>
      <x:c r="V2048" s="54" t="n">
        <x:f>IF(ISNUMBER(T2048),T2048*(1+U2048),"")</x:f>
        <x:v>22.404</x:v>
      </x:c>
      <x:c r="W2048" s="47" t="n">
        <x:v>0.3</x:v>
      </x:c>
      <x:c r="X2048" s="54" t="n">
        <x:f>IF(ISNUMBER(V2048),V2048/(1-W2048),"")</x:f>
        <x:v>32.00571428571429</x:v>
      </x:c>
      <x:c r="Y2048" s="55" t="n">
        <x:f>IF(ISNUMBER(X2048),ROUNDUP(X2048,0),"")</x:f>
        <x:v>33</x:v>
      </x:c>
      <x:c r="Z2048" t="str">
        <x:v>Source match pending</x:v>
      </x:c>
      <x:c r="AA2048" t="str">
        <x:v>screencapture-www-activesportstrade-co-uk-olimp-trade-2026-09-10-09_05_33.pdf / page-08</x:v>
      </x:c>
      <x:c r="AB2048" s="36" t="n">
        <x:f>IF(ISNUMBER(Y2048),ROUND(Y2048*0.9,2),"")</x:f>
        <x:v>29.7</x:v>
      </x:c>
      <x:c r="AC2048" s="36" t="n">
        <x:f>IF(ISNUMBER(AB2048),ROUND(AB2048-(AB2048*0.015+0.2)-V2048,2),"")</x:f>
        <x:v>6.65</x:v>
      </x:c>
      <x:c r="AD2048" s="36" t="n">
        <x:f>IF(ISNUMBER(Y2048),ROUND(Y2048*0.8,2),"")</x:f>
        <x:v>26.4</x:v>
      </x:c>
      <x:c r="AE2048" s="36" t="n">
        <x:f>IF(ISNUMBER(AD2048),ROUND(AD2048*0.015+0.2,2),"")</x:f>
        <x:v>0.6</x:v>
      </x:c>
      <x:c r="AF2048" s="36" t="n">
        <x:f>IF(ISNUMBER(AD2048),ROUND(AD2048-AE2048-V2048,2),"")</x:f>
        <x:v>3.4</x:v>
      </x:c>
      <x:c r="AG2048" t="str">
        <x:f>IF(NOT(ISNUMBER(T2048)),"PENDING",IF(AF2048&gt;0,"PASS","FAIL"))</x:f>
        <x:v>PASS</x:v>
      </x:c>
      <x:c r="AH2048" t="str">
        <x:f>IF(NOT(ISNUMBER(T2048)),"Needs supplier cost",IF(K2048&lt;&gt;"In stock","Supplier unavailable",IF(AG2048&lt;&gt;"PASS","BLOCK - GT loss risk","Commercially protected")))</x:f>
        <x:v>Commercially protected</x:v>
      </x:c>
      <x:c r="AI2048" t="str">
        <x:v>2026-09-10 Active Sports trade capture</x:v>
      </x:c>
      <x:c r="AJ2048" t="str">
        <x:v>Management-only economics. Stripe stress test uses 1.5% + £0.20 standard UK online-card fee; pallet/mix-and-match pricing ignored.</x:v>
      </x:c>
    </x:row>
    <x:row r="2049">
      <x:c r="A2049" t="str">
        <x:v>Active Sports Nutrition</x:v>
      </x:c>
      <x:c r="B2049" t="str">
        <x:v>Olimp</x:v>
      </x:c>
      <x:c r="C2049" t="str">
        <x:v>Glutamine Xplode</x:v>
      </x:c>
      <x:c r="D2049" t="str">
        <x:v>Supplements</x:v>
      </x:c>
      <x:c r="E2049" t="str">
        <x:v>L-Glutamine</x:v>
      </x:c>
      <x:c r="F2049" t="str"/>
      <x:c r="G2049" t="str">
        <x:v>50 servings</x:v>
      </x:c>
      <x:c r="H2049" t="str">
        <x:v>Lemon</x:v>
      </x:c>
      <x:c r="I2049" t="str"/>
      <x:c r="J2049" t="str">
        <x:v>Unit</x:v>
      </x:c>
      <x:c r="K2049" t="str">
        <x:v>Out of stock</x:v>
      </x:c>
      <x:c r="L2049" t="str">
        <x:v>2026-09-08</x:v>
      </x:c>
      <x:c r="M2049" t="str"/>
      <x:c r="N2049" t="str"/>
      <x:c r="O2049" t="str">
        <x:v>https://www.activesportstrade.co.uk/olimp-trade</x:v>
      </x:c>
      <x:c r="P2049" t="str"/>
      <x:c r="Q2049" t="str"/>
      <x:c r="R2049" t="str"/>
      <x:c r="S2049" t="str">
        <x:v>Pending genuine supplier/brand image</x:v>
      </x:c>
      <x:c r="T2049" s="54" t="n">
        <x:v>15.99</x:v>
      </x:c>
      <x:c r="U2049" s="47" t="n">
        <x:v>0.2</x:v>
      </x:c>
      <x:c r="V2049" s="54" t="n">
        <x:f>IF(ISNUMBER(T2049),T2049*(1+U2049),"")</x:f>
        <x:v>19.188</x:v>
      </x:c>
      <x:c r="W2049" s="47" t="n">
        <x:v>0.3</x:v>
      </x:c>
      <x:c r="X2049" s="54" t="n">
        <x:f>IF(ISNUMBER(V2049),V2049/(1-W2049),"")</x:f>
        <x:v>27.411428571428573</x:v>
      </x:c>
      <x:c r="Y2049" s="55" t="n">
        <x:f>IF(ISNUMBER(X2049),ROUNDUP(X2049,0),"")</x:f>
        <x:v>28</x:v>
      </x:c>
      <x:c r="Z2049" t="str">
        <x:v>Source match pending</x:v>
      </x:c>
      <x:c r="AA2049" t="str">
        <x:v>screencapture-www-activesportstrade-co-uk-olimp-trade-2026-09-10-09_05_33.pdf / page-08</x:v>
      </x:c>
      <x:c r="AB2049" s="36" t="n">
        <x:f>IF(ISNUMBER(Y2049),ROUND(Y2049*0.9,2),"")</x:f>
        <x:v>25.2</x:v>
      </x:c>
      <x:c r="AC2049" s="36" t="n">
        <x:f>IF(ISNUMBER(AB2049),ROUND(AB2049-(AB2049*0.015+0.2)-V2049,2),"")</x:f>
        <x:v>5.43</x:v>
      </x:c>
      <x:c r="AD2049" s="36" t="n">
        <x:f>IF(ISNUMBER(Y2049),ROUND(Y2049*0.8,2),"")</x:f>
        <x:v>22.4</x:v>
      </x:c>
      <x:c r="AE2049" s="36" t="n">
        <x:f>IF(ISNUMBER(AD2049),ROUND(AD2049*0.015+0.2,2),"")</x:f>
        <x:v>0.54</x:v>
      </x:c>
      <x:c r="AF2049" s="36" t="n">
        <x:f>IF(ISNUMBER(AD2049),ROUND(AD2049-AE2049-V2049,2),"")</x:f>
        <x:v>2.67</x:v>
      </x:c>
      <x:c r="AG2049" t="str">
        <x:f>IF(NOT(ISNUMBER(T2049)),"PENDING",IF(AF2049&gt;0,"PASS","FAIL"))</x:f>
        <x:v>PASS</x:v>
      </x:c>
      <x:c r="AH2049" t="str">
        <x:f>IF(NOT(ISNUMBER(T2049)),"Needs supplier cost",IF(K2049&lt;&gt;"In stock","Supplier unavailable",IF(AG2049&lt;&gt;"PASS","BLOCK - GT loss risk","Commercially protected")))</x:f>
        <x:v>Supplier unavailable</x:v>
      </x:c>
      <x:c r="AI2049" t="str">
        <x:v>2026-09-10 Active Sports trade capture</x:v>
      </x:c>
      <x:c r="AJ2049" t="str">
        <x:v>Management-only economics. Stripe stress test uses 1.5% + £0.20 standard UK online-card fee; pallet/mix-and-match pricing ignored.</x:v>
      </x:c>
    </x:row>
    <x:row r="2050">
      <x:c r="A2050" t="str">
        <x:v>Active Sports Nutrition</x:v>
      </x:c>
      <x:c r="B2050" t="str">
        <x:v>Olimp</x:v>
      </x:c>
      <x:c r="C2050" t="str">
        <x:v>Glutamine Xplode</x:v>
      </x:c>
      <x:c r="D2050" t="str">
        <x:v>Supplements</x:v>
      </x:c>
      <x:c r="E2050" t="str">
        <x:v>L-Glutamine</x:v>
      </x:c>
      <x:c r="F2050" t="str"/>
      <x:c r="G2050" t="str">
        <x:v>50 servings</x:v>
      </x:c>
      <x:c r="H2050" t="str">
        <x:v>Orange</x:v>
      </x:c>
      <x:c r="I2050" t="str"/>
      <x:c r="J2050" t="str">
        <x:v>Unit</x:v>
      </x:c>
      <x:c r="K2050" t="str">
        <x:v>In stock</x:v>
      </x:c>
      <x:c r="L2050" t="str">
        <x:v>2026-09-08</x:v>
      </x:c>
      <x:c r="M2050" t="str"/>
      <x:c r="N2050" t="str"/>
      <x:c r="O2050" t="str">
        <x:v>https://www.activesportstrade.co.uk/olimp-trade</x:v>
      </x:c>
      <x:c r="P2050" t="str"/>
      <x:c r="Q2050" t="str"/>
      <x:c r="R2050" t="str"/>
      <x:c r="S2050" t="str">
        <x:v>Pending genuine supplier/brand image</x:v>
      </x:c>
      <x:c r="T2050" s="54" t="n">
        <x:v>15.99</x:v>
      </x:c>
      <x:c r="U2050" s="47" t="n">
        <x:v>0.2</x:v>
      </x:c>
      <x:c r="V2050" s="54" t="n">
        <x:f>IF(ISNUMBER(T2050),T2050*(1+U2050),"")</x:f>
        <x:v>19.188</x:v>
      </x:c>
      <x:c r="W2050" s="47" t="n">
        <x:v>0.3</x:v>
      </x:c>
      <x:c r="X2050" s="54" t="n">
        <x:f>IF(ISNUMBER(V2050),V2050/(1-W2050),"")</x:f>
        <x:v>27.411428571428573</x:v>
      </x:c>
      <x:c r="Y2050" s="55" t="n">
        <x:f>IF(ISNUMBER(X2050),ROUNDUP(X2050,0),"")</x:f>
        <x:v>28</x:v>
      </x:c>
      <x:c r="Z2050" t="str">
        <x:v>Source match pending</x:v>
      </x:c>
      <x:c r="AA2050" t="str">
        <x:v>screencapture-www-activesportstrade-co-uk-olimp-trade-2026-09-10-09_05_33.pdf / page-08</x:v>
      </x:c>
      <x:c r="AB2050" s="36" t="n">
        <x:f>IF(ISNUMBER(Y2050),ROUND(Y2050*0.9,2),"")</x:f>
        <x:v>25.2</x:v>
      </x:c>
      <x:c r="AC2050" s="36" t="n">
        <x:f>IF(ISNUMBER(AB2050),ROUND(AB2050-(AB2050*0.015+0.2)-V2050,2),"")</x:f>
        <x:v>5.43</x:v>
      </x:c>
      <x:c r="AD2050" s="36" t="n">
        <x:f>IF(ISNUMBER(Y2050),ROUND(Y2050*0.8,2),"")</x:f>
        <x:v>22.4</x:v>
      </x:c>
      <x:c r="AE2050" s="36" t="n">
        <x:f>IF(ISNUMBER(AD2050),ROUND(AD2050*0.015+0.2,2),"")</x:f>
        <x:v>0.54</x:v>
      </x:c>
      <x:c r="AF2050" s="36" t="n">
        <x:f>IF(ISNUMBER(AD2050),ROUND(AD2050-AE2050-V2050,2),"")</x:f>
        <x:v>2.67</x:v>
      </x:c>
      <x:c r="AG2050" t="str">
        <x:f>IF(NOT(ISNUMBER(T2050)),"PENDING",IF(AF2050&gt;0,"PASS","FAIL"))</x:f>
        <x:v>PASS</x:v>
      </x:c>
      <x:c r="AH2050" t="str">
        <x:f>IF(NOT(ISNUMBER(T2050)),"Needs supplier cost",IF(K2050&lt;&gt;"In stock","Supplier unavailable",IF(AG2050&lt;&gt;"PASS","BLOCK - GT loss risk","Commercially protected")))</x:f>
        <x:v>Commercially protected</x:v>
      </x:c>
      <x:c r="AI2050" t="str">
        <x:v>2026-09-10 Active Sports trade capture</x:v>
      </x:c>
      <x:c r="AJ2050" t="str">
        <x:v>Management-only economics. Stripe stress test uses 1.5% + £0.20 standard UK online-card fee; pallet/mix-and-match pricing ignored.</x:v>
      </x:c>
    </x:row>
    <x:row r="2051">
      <x:c r="A2051" t="str">
        <x:v>Active Sports Nutrition</x:v>
      </x:c>
      <x:c r="B2051" t="str">
        <x:v>Olimp</x:v>
      </x:c>
      <x:c r="C2051" t="str">
        <x:v>Glutamine Xplode</x:v>
      </x:c>
      <x:c r="D2051" t="str">
        <x:v>Supplements</x:v>
      </x:c>
      <x:c r="E2051" t="str">
        <x:v>L-Glutamine</x:v>
      </x:c>
      <x:c r="F2051" t="str"/>
      <x:c r="G2051" t="str">
        <x:v>50 servings</x:v>
      </x:c>
      <x:c r="H2051" t="str">
        <x:v>Pineapple</x:v>
      </x:c>
      <x:c r="I2051" t="str"/>
      <x:c r="J2051" t="str">
        <x:v>Unit</x:v>
      </x:c>
      <x:c r="K2051" t="str">
        <x:v>In stock</x:v>
      </x:c>
      <x:c r="L2051" t="str">
        <x:v>2026-09-08</x:v>
      </x:c>
      <x:c r="M2051" t="str"/>
      <x:c r="N2051" t="str"/>
      <x:c r="O2051" t="str">
        <x:v>https://www.activesportstrade.co.uk/olimp-trade</x:v>
      </x:c>
      <x:c r="P2051" t="str"/>
      <x:c r="Q2051" t="str"/>
      <x:c r="R2051" t="str"/>
      <x:c r="S2051" t="str">
        <x:v>Pending genuine supplier/brand image</x:v>
      </x:c>
      <x:c r="T2051" s="54" t="n">
        <x:v>15.99</x:v>
      </x:c>
      <x:c r="U2051" s="47" t="n">
        <x:v>0.2</x:v>
      </x:c>
      <x:c r="V2051" s="54" t="n">
        <x:f>IF(ISNUMBER(T2051),T2051*(1+U2051),"")</x:f>
        <x:v>19.188</x:v>
      </x:c>
      <x:c r="W2051" s="47" t="n">
        <x:v>0.3</x:v>
      </x:c>
      <x:c r="X2051" s="54" t="n">
        <x:f>IF(ISNUMBER(V2051),V2051/(1-W2051),"")</x:f>
        <x:v>27.411428571428573</x:v>
      </x:c>
      <x:c r="Y2051" s="55" t="n">
        <x:f>IF(ISNUMBER(X2051),ROUNDUP(X2051,0),"")</x:f>
        <x:v>28</x:v>
      </x:c>
      <x:c r="Z2051" t="str">
        <x:v>Source match pending</x:v>
      </x:c>
      <x:c r="AA2051" t="str">
        <x:v>screencapture-www-activesportstrade-co-uk-olimp-trade-2026-09-10-09_05_33.pdf / page-08</x:v>
      </x:c>
      <x:c r="AB2051" s="36" t="n">
        <x:f>IF(ISNUMBER(Y2051),ROUND(Y2051*0.9,2),"")</x:f>
        <x:v>25.2</x:v>
      </x:c>
      <x:c r="AC2051" s="36" t="n">
        <x:f>IF(ISNUMBER(AB2051),ROUND(AB2051-(AB2051*0.015+0.2)-V2051,2),"")</x:f>
        <x:v>5.43</x:v>
      </x:c>
      <x:c r="AD2051" s="36" t="n">
        <x:f>IF(ISNUMBER(Y2051),ROUND(Y2051*0.8,2),"")</x:f>
        <x:v>22.4</x:v>
      </x:c>
      <x:c r="AE2051" s="36" t="n">
        <x:f>IF(ISNUMBER(AD2051),ROUND(AD2051*0.015+0.2,2),"")</x:f>
        <x:v>0.54</x:v>
      </x:c>
      <x:c r="AF2051" s="36" t="n">
        <x:f>IF(ISNUMBER(AD2051),ROUND(AD2051-AE2051-V2051,2),"")</x:f>
        <x:v>2.67</x:v>
      </x:c>
      <x:c r="AG2051" t="str">
        <x:f>IF(NOT(ISNUMBER(T2051)),"PENDING",IF(AF2051&gt;0,"PASS","FAIL"))</x:f>
        <x:v>PASS</x:v>
      </x:c>
      <x:c r="AH2051" t="str">
        <x:f>IF(NOT(ISNUMBER(T2051)),"Needs supplier cost",IF(K2051&lt;&gt;"In stock","Supplier unavailable",IF(AG2051&lt;&gt;"PASS","BLOCK - GT loss risk","Commercially protected")))</x:f>
        <x:v>Commercially protected</x:v>
      </x:c>
      <x:c r="AI2051" t="str">
        <x:v>2026-09-10 Active Sports trade capture</x:v>
      </x:c>
      <x:c r="AJ2051" t="str">
        <x:v>Management-only economics. Stripe stress test uses 1.5% + £0.20 standard UK online-card fee; pallet/mix-and-match pricing ignored.</x:v>
      </x:c>
    </x:row>
    <x:row r="2052">
      <x:c r="A2052" t="str">
        <x:v>Active Sports Nutrition</x:v>
      </x:c>
      <x:c r="B2052" t="str">
        <x:v>Olimp</x:v>
      </x:c>
      <x:c r="C2052" t="str">
        <x:v>Gold Beef Pro Amino Mega Tabs</x:v>
      </x:c>
      <x:c r="D2052" t="str">
        <x:v>Supplements</x:v>
      </x:c>
      <x:c r="E2052" t="str">
        <x:v>Amino Acids</x:v>
      </x:c>
      <x:c r="F2052" t="str"/>
      <x:c r="G2052" t="str">
        <x:v>300 tabs</x:v>
      </x:c>
      <x:c r="H2052" t="str">
        <x:v>Default</x:v>
      </x:c>
      <x:c r="I2052" t="str"/>
      <x:c r="J2052" t="str">
        <x:v>Unit</x:v>
      </x:c>
      <x:c r="K2052" t="str">
        <x:v>In stock</x:v>
      </x:c>
      <x:c r="L2052" t="str">
        <x:v>2026-09-08</x:v>
      </x:c>
      <x:c r="M2052" t="str"/>
      <x:c r="N2052" t="str"/>
      <x:c r="O2052" t="str">
        <x:v>https://www.activesportstrade.co.uk/olimp-trade</x:v>
      </x:c>
      <x:c r="P2052" t="str"/>
      <x:c r="Q2052" t="str"/>
      <x:c r="R2052" t="str"/>
      <x:c r="S2052" t="str">
        <x:v>Pending genuine supplier/brand image</x:v>
      </x:c>
      <x:c r="T2052" s="54" t="n">
        <x:v>29.99</x:v>
      </x:c>
      <x:c r="U2052" s="47" t="n">
        <x:v>0.2</x:v>
      </x:c>
      <x:c r="V2052" s="54" t="n">
        <x:f>IF(ISNUMBER(T2052),T2052*(1+U2052),"")</x:f>
        <x:v>35.988</x:v>
      </x:c>
      <x:c r="W2052" s="47" t="n">
        <x:v>0.3</x:v>
      </x:c>
      <x:c r="X2052" s="54" t="n">
        <x:f>IF(ISNUMBER(V2052),V2052/(1-W2052),"")</x:f>
        <x:v>51.41142857142857</x:v>
      </x:c>
      <x:c r="Y2052" s="55" t="n">
        <x:f>IF(ISNUMBER(X2052),ROUNDUP(X2052,0),"")</x:f>
        <x:v>52</x:v>
      </x:c>
      <x:c r="Z2052" t="str">
        <x:v>Source match pending</x:v>
      </x:c>
      <x:c r="AA2052" t="str">
        <x:v>screencapture-www-activesportstrade-co-uk-olimp-trade-2026-09-10-09_05_33.pdf / page-08</x:v>
      </x:c>
      <x:c r="AB2052" s="36" t="n">
        <x:f>IF(ISNUMBER(Y2052),ROUND(Y2052*0.9,2),"")</x:f>
        <x:v>46.8</x:v>
      </x:c>
      <x:c r="AC2052" s="36" t="n">
        <x:f>IF(ISNUMBER(AB2052),ROUND(AB2052-(AB2052*0.015+0.2)-V2052,2),"")</x:f>
        <x:v>9.91</x:v>
      </x:c>
      <x:c r="AD2052" s="36" t="n">
        <x:f>IF(ISNUMBER(Y2052),ROUND(Y2052*0.8,2),"")</x:f>
        <x:v>41.6</x:v>
      </x:c>
      <x:c r="AE2052" s="36" t="n">
        <x:f>IF(ISNUMBER(AD2052),ROUND(AD2052*0.015+0.2,2),"")</x:f>
        <x:v>0.82</x:v>
      </x:c>
      <x:c r="AF2052" s="36" t="n">
        <x:f>IF(ISNUMBER(AD2052),ROUND(AD2052-AE2052-V2052,2),"")</x:f>
        <x:v>4.79</x:v>
      </x:c>
      <x:c r="AG2052" t="str">
        <x:f>IF(NOT(ISNUMBER(T2052)),"PENDING",IF(AF2052&gt;0,"PASS","FAIL"))</x:f>
        <x:v>PASS</x:v>
      </x:c>
      <x:c r="AH2052" t="str">
        <x:f>IF(NOT(ISNUMBER(T2052)),"Needs supplier cost",IF(K2052&lt;&gt;"In stock","Supplier unavailable",IF(AG2052&lt;&gt;"PASS","BLOCK - GT loss risk","Commercially protected")))</x:f>
        <x:v>Commercially protected</x:v>
      </x:c>
      <x:c r="AI2052" t="str">
        <x:v>2026-09-10 Active Sports trade capture</x:v>
      </x:c>
      <x:c r="AJ2052" t="str">
        <x:v>Management-only economics. Stripe stress test uses 1.5% + £0.20 standard UK online-card fee; pallet/mix-and-match pricing ignored.</x:v>
      </x:c>
    </x:row>
    <x:row r="2053">
      <x:c r="A2053" t="str">
        <x:v>Active Sports Nutrition</x:v>
      </x:c>
      <x:c r="B2053" t="str">
        <x:v>Olimp</x:v>
      </x:c>
      <x:c r="C2053" t="str">
        <x:v>Protein Shots</x:v>
      </x:c>
      <x:c r="D2053" t="str">
        <x:v>Drinks and Bars</x:v>
      </x:c>
      <x:c r="E2053" t="str">
        <x:v>Ready to Drink Protein</x:v>
      </x:c>
      <x:c r="F2053" t="str"/>
      <x:c r="G2053" t="str">
        <x:v>9 x 60ml shots</x:v>
      </x:c>
      <x:c r="H2053" t="str">
        <x:v>Orange</x:v>
      </x:c>
      <x:c r="I2053" t="str">
        <x:v>9</x:v>
      </x:c>
      <x:c r="J2053" t="str">
        <x:v>Case</x:v>
      </x:c>
      <x:c r="K2053" t="str">
        <x:v>In stock</x:v>
      </x:c>
      <x:c r="L2053" t="str">
        <x:v>2026-09-08</x:v>
      </x:c>
      <x:c r="M2053" t="str"/>
      <x:c r="N2053" t="str"/>
      <x:c r="O2053" t="str">
        <x:v>https://www.activesportstrade.co.uk/olimp-trade</x:v>
      </x:c>
      <x:c r="P2053" t="str">
        <x:v>PALLET PROMO pricing/minimum-order boilerplate excluded; case-only.</x:v>
      </x:c>
      <x:c r="Q2053" t="str"/>
      <x:c r="R2053" t="str"/>
      <x:c r="S2053" t="str">
        <x:v>Pending genuine supplier/brand image</x:v>
      </x:c>
      <x:c r="T2053" s="54" t="n">
        <x:v>13.99</x:v>
      </x:c>
      <x:c r="U2053" s="47" t="n">
        <x:v>0.2</x:v>
      </x:c>
      <x:c r="V2053" s="54" t="n">
        <x:f>IF(ISNUMBER(T2053),T2053*(1+U2053),"")</x:f>
        <x:v>16.788</x:v>
      </x:c>
      <x:c r="W2053" s="47" t="n">
        <x:v>0.3</x:v>
      </x:c>
      <x:c r="X2053" s="54" t="n">
        <x:f>IF(ISNUMBER(V2053),V2053/(1-W2053),"")</x:f>
        <x:v>23.982857142857146</x:v>
      </x:c>
      <x:c r="Y2053" s="55" t="n">
        <x:f>IF(ISNUMBER(X2053),ROUNDUP(X2053,0),"")</x:f>
        <x:v>24</x:v>
      </x:c>
      <x:c r="Z2053" t="str">
        <x:v>Source match pending</x:v>
      </x:c>
      <x:c r="AA2053" t="str">
        <x:v>screencapture-www-activesportstrade-co-uk-olimp-trade-2026-09-10-09_05_33.pdf / page-11</x:v>
      </x:c>
      <x:c r="AB2053" s="36" t="n">
        <x:f>IF(ISNUMBER(Y2053),ROUND(Y2053*0.9,2),"")</x:f>
        <x:v>21.6</x:v>
      </x:c>
      <x:c r="AC2053" s="36" t="n">
        <x:f>IF(ISNUMBER(AB2053),ROUND(AB2053-(AB2053*0.015+0.2)-V2053,2),"")</x:f>
        <x:v>4.29</x:v>
      </x:c>
      <x:c r="AD2053" s="36" t="n">
        <x:f>IF(ISNUMBER(Y2053),ROUND(Y2053*0.8,2),"")</x:f>
        <x:v>19.2</x:v>
      </x:c>
      <x:c r="AE2053" s="36" t="n">
        <x:f>IF(ISNUMBER(AD2053),ROUND(AD2053*0.015+0.2,2),"")</x:f>
        <x:v>0.49</x:v>
      </x:c>
      <x:c r="AF2053" s="36" t="n">
        <x:f>IF(ISNUMBER(AD2053),ROUND(AD2053-AE2053-V2053,2),"")</x:f>
        <x:v>1.92</x:v>
      </x:c>
      <x:c r="AG2053" t="str">
        <x:f>IF(NOT(ISNUMBER(T2053)),"PENDING",IF(AF2053&gt;0,"PASS","FAIL"))</x:f>
        <x:v>PASS</x:v>
      </x:c>
      <x:c r="AH2053" t="str">
        <x:f>IF(NOT(ISNUMBER(T2053)),"Needs supplier cost",IF(K2053&lt;&gt;"In stock","Supplier unavailable",IF(AG2053&lt;&gt;"PASS","BLOCK - GT loss risk","Commercially protected")))</x:f>
        <x:v>Commercially protected</x:v>
      </x:c>
      <x:c r="AI2053" t="str">
        <x:v>2026-09-10 Active Sports trade capture</x:v>
      </x:c>
      <x:c r="AJ2053" t="str">
        <x:v>Management-only economics. Stripe stress test uses 1.5% + £0.20 standard UK online-card fee; pallet/mix-and-match pricing ignored.</x:v>
      </x:c>
    </x:row>
    <x:row r="2054">
      <x:c r="A2054" t="str">
        <x:v>Active Sports Nutrition</x:v>
      </x:c>
      <x:c r="B2054" t="str">
        <x:v>Olimp</x:v>
      </x:c>
      <x:c r="C2054" t="str">
        <x:v>Protein Snack</x:v>
      </x:c>
      <x:c r="D2054" t="str">
        <x:v>Drinks and Bars</x:v>
      </x:c>
      <x:c r="E2054" t="str">
        <x:v>Bars and Snacks</x:v>
      </x:c>
      <x:c r="F2054" t="str"/>
      <x:c r="G2054" t="str">
        <x:v>12 x 60g bars</x:v>
      </x:c>
      <x:c r="H2054" t="str">
        <x:v>Cookie</x:v>
      </x:c>
      <x:c r="I2054" t="str">
        <x:v>12</x:v>
      </x:c>
      <x:c r="J2054" t="str">
        <x:v>Case</x:v>
      </x:c>
      <x:c r="K2054" t="str">
        <x:v>In stock</x:v>
      </x:c>
      <x:c r="L2054" t="str">
        <x:v>2026-09-08</x:v>
      </x:c>
      <x:c r="M2054" t="str"/>
      <x:c r="N2054" t="str"/>
      <x:c r="O2054" t="str">
        <x:v>https://www.activesportstrade.co.uk/olimp-trade</x:v>
      </x:c>
      <x:c r="P2054" t="str"/>
      <x:c r="Q2054" t="str"/>
      <x:c r="R2054" t="str"/>
      <x:c r="S2054" t="str">
        <x:v>Pending genuine supplier/brand image</x:v>
      </x:c>
      <x:c r="T2054" s="54" t="n">
        <x:v>15.99</x:v>
      </x:c>
      <x:c r="U2054" s="47" t="n">
        <x:v>0.2</x:v>
      </x:c>
      <x:c r="V2054" s="54" t="n">
        <x:f>IF(ISNUMBER(T2054),T2054*(1+U2054),"")</x:f>
        <x:v>19.188</x:v>
      </x:c>
      <x:c r="W2054" s="47" t="n">
        <x:v>0.3</x:v>
      </x:c>
      <x:c r="X2054" s="54" t="n">
        <x:f>IF(ISNUMBER(V2054),V2054/(1-W2054),"")</x:f>
        <x:v>27.411428571428573</x:v>
      </x:c>
      <x:c r="Y2054" s="55" t="n">
        <x:f>IF(ISNUMBER(X2054),ROUNDUP(X2054,0),"")</x:f>
        <x:v>28</x:v>
      </x:c>
      <x:c r="Z2054" t="str">
        <x:v>Source match pending</x:v>
      </x:c>
      <x:c r="AA2054" t="str">
        <x:v>screencapture-www-activesportstrade-co-uk-olimp-trade-2026-09-10-09_05_33.pdf / page-11</x:v>
      </x:c>
      <x:c r="AB2054" s="36" t="n">
        <x:f>IF(ISNUMBER(Y2054),ROUND(Y2054*0.9,2),"")</x:f>
        <x:v>25.2</x:v>
      </x:c>
      <x:c r="AC2054" s="36" t="n">
        <x:f>IF(ISNUMBER(AB2054),ROUND(AB2054-(AB2054*0.015+0.2)-V2054,2),"")</x:f>
        <x:v>5.43</x:v>
      </x:c>
      <x:c r="AD2054" s="36" t="n">
        <x:f>IF(ISNUMBER(Y2054),ROUND(Y2054*0.8,2),"")</x:f>
        <x:v>22.4</x:v>
      </x:c>
      <x:c r="AE2054" s="36" t="n">
        <x:f>IF(ISNUMBER(AD2054),ROUND(AD2054*0.015+0.2,2),"")</x:f>
        <x:v>0.54</x:v>
      </x:c>
      <x:c r="AF2054" s="36" t="n">
        <x:f>IF(ISNUMBER(AD2054),ROUND(AD2054-AE2054-V2054,2),"")</x:f>
        <x:v>2.67</x:v>
      </x:c>
      <x:c r="AG2054" t="str">
        <x:f>IF(NOT(ISNUMBER(T2054)),"PENDING",IF(AF2054&gt;0,"PASS","FAIL"))</x:f>
        <x:v>PASS</x:v>
      </x:c>
      <x:c r="AH2054" t="str">
        <x:f>IF(NOT(ISNUMBER(T2054)),"Needs supplier cost",IF(K2054&lt;&gt;"In stock","Supplier unavailable",IF(AG2054&lt;&gt;"PASS","BLOCK - GT loss risk","Commercially protected")))</x:f>
        <x:v>Commercially protected</x:v>
      </x:c>
      <x:c r="AI2054" t="str">
        <x:v>2026-09-10 Active Sports trade capture</x:v>
      </x:c>
      <x:c r="AJ2054" t="str">
        <x:v>Management-only economics. Stripe stress test uses 1.5% + £0.20 standard UK online-card fee; pallet/mix-and-match pricing ignored.</x:v>
      </x:c>
    </x:row>
    <x:row r="2055">
      <x:c r="A2055" t="str">
        <x:v>Active Sports Nutrition</x:v>
      </x:c>
      <x:c r="B2055" t="str">
        <x:v>Olimp</x:v>
      </x:c>
      <x:c r="C2055" t="str">
        <x:v>Protein Snack</x:v>
      </x:c>
      <x:c r="D2055" t="str">
        <x:v>Drinks and Bars</x:v>
      </x:c>
      <x:c r="E2055" t="str">
        <x:v>Bars and Snacks</x:v>
      </x:c>
      <x:c r="F2055" t="str"/>
      <x:c r="G2055" t="str">
        <x:v>12 x 60g bars</x:v>
      </x:c>
      <x:c r="H2055" t="str">
        <x:v>Double Chocolate</x:v>
      </x:c>
      <x:c r="I2055" t="str">
        <x:v>12</x:v>
      </x:c>
      <x:c r="J2055" t="str">
        <x:v>Case</x:v>
      </x:c>
      <x:c r="K2055" t="str">
        <x:v>Out of stock</x:v>
      </x:c>
      <x:c r="L2055" t="str">
        <x:v>2026-09-08</x:v>
      </x:c>
      <x:c r="M2055" t="str"/>
      <x:c r="N2055" t="str"/>
      <x:c r="O2055" t="str">
        <x:v>https://www.activesportstrade.co.uk/olimp-trade</x:v>
      </x:c>
      <x:c r="P2055" t="str"/>
      <x:c r="Q2055" t="str"/>
      <x:c r="R2055" t="str"/>
      <x:c r="S2055" t="str">
        <x:v>Pending genuine supplier/brand image</x:v>
      </x:c>
      <x:c r="T2055" s="54" t="n">
        <x:v>15.99</x:v>
      </x:c>
      <x:c r="U2055" s="47" t="n">
        <x:v>0.2</x:v>
      </x:c>
      <x:c r="V2055" s="54" t="n">
        <x:f>IF(ISNUMBER(T2055),T2055*(1+U2055),"")</x:f>
        <x:v>19.188</x:v>
      </x:c>
      <x:c r="W2055" s="47" t="n">
        <x:v>0.3</x:v>
      </x:c>
      <x:c r="X2055" s="54" t="n">
        <x:f>IF(ISNUMBER(V2055),V2055/(1-W2055),"")</x:f>
        <x:v>27.411428571428573</x:v>
      </x:c>
      <x:c r="Y2055" s="55" t="n">
        <x:f>IF(ISNUMBER(X2055),ROUNDUP(X2055,0),"")</x:f>
        <x:v>28</x:v>
      </x:c>
      <x:c r="Z2055" t="str">
        <x:v>Source match pending</x:v>
      </x:c>
      <x:c r="AA2055" t="str">
        <x:v>screencapture-www-activesportstrade-co-uk-olimp-trade-2026-09-10-09_05_33.pdf / page-11</x:v>
      </x:c>
      <x:c r="AB2055" s="36" t="n">
        <x:f>IF(ISNUMBER(Y2055),ROUND(Y2055*0.9,2),"")</x:f>
        <x:v>25.2</x:v>
      </x:c>
      <x:c r="AC2055" s="36" t="n">
        <x:f>IF(ISNUMBER(AB2055),ROUND(AB2055-(AB2055*0.015+0.2)-V2055,2),"")</x:f>
        <x:v>5.43</x:v>
      </x:c>
      <x:c r="AD2055" s="36" t="n">
        <x:f>IF(ISNUMBER(Y2055),ROUND(Y2055*0.8,2),"")</x:f>
        <x:v>22.4</x:v>
      </x:c>
      <x:c r="AE2055" s="36" t="n">
        <x:f>IF(ISNUMBER(AD2055),ROUND(AD2055*0.015+0.2,2),"")</x:f>
        <x:v>0.54</x:v>
      </x:c>
      <x:c r="AF2055" s="36" t="n">
        <x:f>IF(ISNUMBER(AD2055),ROUND(AD2055-AE2055-V2055,2),"")</x:f>
        <x:v>2.67</x:v>
      </x:c>
      <x:c r="AG2055" t="str">
        <x:f>IF(NOT(ISNUMBER(T2055)),"PENDING",IF(AF2055&gt;0,"PASS","FAIL"))</x:f>
        <x:v>PASS</x:v>
      </x:c>
      <x:c r="AH2055" t="str">
        <x:f>IF(NOT(ISNUMBER(T2055)),"Needs supplier cost",IF(K2055&lt;&gt;"In stock","Supplier unavailable",IF(AG2055&lt;&gt;"PASS","BLOCK - GT loss risk","Commercially protected")))</x:f>
        <x:v>Supplier unavailable</x:v>
      </x:c>
      <x:c r="AI2055" t="str">
        <x:v>2026-09-10 Active Sports trade capture</x:v>
      </x:c>
      <x:c r="AJ2055" t="str">
        <x:v>Management-only economics. Stripe stress test uses 1.5% + £0.20 standard UK online-card fee; pallet/mix-and-match pricing ignored.</x:v>
      </x:c>
    </x:row>
    <x:row r="2056">
      <x:c r="A2056" t="str">
        <x:v>Active Sports Nutrition</x:v>
      </x:c>
      <x:c r="B2056" t="str">
        <x:v>Olimp</x:v>
      </x:c>
      <x:c r="C2056" t="str">
        <x:v>Protein Snack</x:v>
      </x:c>
      <x:c r="D2056" t="str">
        <x:v>Drinks and Bars</x:v>
      </x:c>
      <x:c r="E2056" t="str">
        <x:v>Bars and Snacks</x:v>
      </x:c>
      <x:c r="F2056" t="str"/>
      <x:c r="G2056" t="str">
        <x:v>12 x 60g bars</x:v>
      </x:c>
      <x:c r="H2056" t="str">
        <x:v>Hazelnut Cream</x:v>
      </x:c>
      <x:c r="I2056" t="str">
        <x:v>12</x:v>
      </x:c>
      <x:c r="J2056" t="str">
        <x:v>Case</x:v>
      </x:c>
      <x:c r="K2056" t="str">
        <x:v>Out of stock</x:v>
      </x:c>
      <x:c r="L2056" t="str">
        <x:v>2026-09-08</x:v>
      </x:c>
      <x:c r="M2056" t="str"/>
      <x:c r="N2056" t="str"/>
      <x:c r="O2056" t="str">
        <x:v>https://www.activesportstrade.co.uk/olimp-trade</x:v>
      </x:c>
      <x:c r="P2056" t="str"/>
      <x:c r="Q2056" t="str"/>
      <x:c r="R2056" t="str"/>
      <x:c r="S2056" t="str">
        <x:v>Pending genuine supplier/brand image</x:v>
      </x:c>
      <x:c r="T2056" s="54" t="n">
        <x:v>15.99</x:v>
      </x:c>
      <x:c r="U2056" s="47" t="n">
        <x:v>0.2</x:v>
      </x:c>
      <x:c r="V2056" s="54" t="n">
        <x:f>IF(ISNUMBER(T2056),T2056*(1+U2056),"")</x:f>
        <x:v>19.188</x:v>
      </x:c>
      <x:c r="W2056" s="47" t="n">
        <x:v>0.3</x:v>
      </x:c>
      <x:c r="X2056" s="54" t="n">
        <x:f>IF(ISNUMBER(V2056),V2056/(1-W2056),"")</x:f>
        <x:v>27.411428571428573</x:v>
      </x:c>
      <x:c r="Y2056" s="55" t="n">
        <x:f>IF(ISNUMBER(X2056),ROUNDUP(X2056,0),"")</x:f>
        <x:v>28</x:v>
      </x:c>
      <x:c r="Z2056" t="str">
        <x:v>Source match pending</x:v>
      </x:c>
      <x:c r="AA2056" t="str">
        <x:v>screencapture-www-activesportstrade-co-uk-olimp-trade-2026-09-10-09_05_33.pdf / page-11</x:v>
      </x:c>
      <x:c r="AB2056" s="36" t="n">
        <x:f>IF(ISNUMBER(Y2056),ROUND(Y2056*0.9,2),"")</x:f>
        <x:v>25.2</x:v>
      </x:c>
      <x:c r="AC2056" s="36" t="n">
        <x:f>IF(ISNUMBER(AB2056),ROUND(AB2056-(AB2056*0.015+0.2)-V2056,2),"")</x:f>
        <x:v>5.43</x:v>
      </x:c>
      <x:c r="AD2056" s="36" t="n">
        <x:f>IF(ISNUMBER(Y2056),ROUND(Y2056*0.8,2),"")</x:f>
        <x:v>22.4</x:v>
      </x:c>
      <x:c r="AE2056" s="36" t="n">
        <x:f>IF(ISNUMBER(AD2056),ROUND(AD2056*0.015+0.2,2),"")</x:f>
        <x:v>0.54</x:v>
      </x:c>
      <x:c r="AF2056" s="36" t="n">
        <x:f>IF(ISNUMBER(AD2056),ROUND(AD2056-AE2056-V2056,2),"")</x:f>
        <x:v>2.67</x:v>
      </x:c>
      <x:c r="AG2056" t="str">
        <x:f>IF(NOT(ISNUMBER(T2056)),"PENDING",IF(AF2056&gt;0,"PASS","FAIL"))</x:f>
        <x:v>PASS</x:v>
      </x:c>
      <x:c r="AH2056" t="str">
        <x:f>IF(NOT(ISNUMBER(T2056)),"Needs supplier cost",IF(K2056&lt;&gt;"In stock","Supplier unavailable",IF(AG2056&lt;&gt;"PASS","BLOCK - GT loss risk","Commercially protected")))</x:f>
        <x:v>Supplier unavailable</x:v>
      </x:c>
      <x:c r="AI2056" t="str">
        <x:v>2026-09-10 Active Sports trade capture</x:v>
      </x:c>
      <x:c r="AJ2056" t="str">
        <x:v>Management-only economics. Stripe stress test uses 1.5% + £0.20 standard UK online-card fee; pallet/mix-and-match pricing ignored.</x:v>
      </x:c>
    </x:row>
    <x:row r="2057">
      <x:c r="A2057" t="str">
        <x:v>Active Sports Nutrition</x:v>
      </x:c>
      <x:c r="B2057" t="str">
        <x:v>Olimp</x:v>
      </x:c>
      <x:c r="C2057" t="str">
        <x:v>Protein Snack</x:v>
      </x:c>
      <x:c r="D2057" t="str">
        <x:v>Drinks and Bars</x:v>
      </x:c>
      <x:c r="E2057" t="str">
        <x:v>Bars and Snacks</x:v>
      </x:c>
      <x:c r="F2057" t="str"/>
      <x:c r="G2057" t="str">
        <x:v>12 x 60g bars</x:v>
      </x:c>
      <x:c r="H2057" t="str">
        <x:v>Salted Caramel</x:v>
      </x:c>
      <x:c r="I2057" t="str">
        <x:v>12</x:v>
      </x:c>
      <x:c r="J2057" t="str">
        <x:v>Case</x:v>
      </x:c>
      <x:c r="K2057" t="str">
        <x:v>Out of stock</x:v>
      </x:c>
      <x:c r="L2057" t="str">
        <x:v>2026-09-08</x:v>
      </x:c>
      <x:c r="M2057" t="str"/>
      <x:c r="N2057" t="str"/>
      <x:c r="O2057" t="str">
        <x:v>https://www.activesportstrade.co.uk/olimp-trade</x:v>
      </x:c>
      <x:c r="P2057" t="str"/>
      <x:c r="Q2057" t="str"/>
      <x:c r="R2057" t="str"/>
      <x:c r="S2057" t="str">
        <x:v>Pending genuine supplier/brand image</x:v>
      </x:c>
      <x:c r="T2057" s="54" t="n">
        <x:v>15.99</x:v>
      </x:c>
      <x:c r="U2057" s="47" t="n">
        <x:v>0.2</x:v>
      </x:c>
      <x:c r="V2057" s="54" t="n">
        <x:f>IF(ISNUMBER(T2057),T2057*(1+U2057),"")</x:f>
        <x:v>19.188</x:v>
      </x:c>
      <x:c r="W2057" s="47" t="n">
        <x:v>0.3</x:v>
      </x:c>
      <x:c r="X2057" s="54" t="n">
        <x:f>IF(ISNUMBER(V2057),V2057/(1-W2057),"")</x:f>
        <x:v>27.411428571428573</x:v>
      </x:c>
      <x:c r="Y2057" s="55" t="n">
        <x:f>IF(ISNUMBER(X2057),ROUNDUP(X2057,0),"")</x:f>
        <x:v>28</x:v>
      </x:c>
      <x:c r="Z2057" t="str">
        <x:v>Source match pending</x:v>
      </x:c>
      <x:c r="AA2057" t="str">
        <x:v>screencapture-www-activesportstrade-co-uk-olimp-trade-2026-09-10-09_05_33.pdf / page-11</x:v>
      </x:c>
      <x:c r="AB2057" s="36" t="n">
        <x:f>IF(ISNUMBER(Y2057),ROUND(Y2057*0.9,2),"")</x:f>
        <x:v>25.2</x:v>
      </x:c>
      <x:c r="AC2057" s="36" t="n">
        <x:f>IF(ISNUMBER(AB2057),ROUND(AB2057-(AB2057*0.015+0.2)-V2057,2),"")</x:f>
        <x:v>5.43</x:v>
      </x:c>
      <x:c r="AD2057" s="36" t="n">
        <x:f>IF(ISNUMBER(Y2057),ROUND(Y2057*0.8,2),"")</x:f>
        <x:v>22.4</x:v>
      </x:c>
      <x:c r="AE2057" s="36" t="n">
        <x:f>IF(ISNUMBER(AD2057),ROUND(AD2057*0.015+0.2,2),"")</x:f>
        <x:v>0.54</x:v>
      </x:c>
      <x:c r="AF2057" s="36" t="n">
        <x:f>IF(ISNUMBER(AD2057),ROUND(AD2057-AE2057-V2057,2),"")</x:f>
        <x:v>2.67</x:v>
      </x:c>
      <x:c r="AG2057" t="str">
        <x:f>IF(NOT(ISNUMBER(T2057)),"PENDING",IF(AF2057&gt;0,"PASS","FAIL"))</x:f>
        <x:v>PASS</x:v>
      </x:c>
      <x:c r="AH2057" t="str">
        <x:f>IF(NOT(ISNUMBER(T2057)),"Needs supplier cost",IF(K2057&lt;&gt;"In stock","Supplier unavailable",IF(AG2057&lt;&gt;"PASS","BLOCK - GT loss risk","Commercially protected")))</x:f>
        <x:v>Supplier unavailable</x:v>
      </x:c>
      <x:c r="AI2057" t="str">
        <x:v>2026-09-10 Active Sports trade capture</x:v>
      </x:c>
      <x:c r="AJ2057" t="str">
        <x:v>Management-only economics. Stripe stress test uses 1.5% + £0.20 standard UK online-card fee; pallet/mix-and-match pricing ignored.</x:v>
      </x:c>
    </x:row>
    <x:row r="2058">
      <x:c r="A2058" t="str">
        <x:v>Active Sports Nutrition</x:v>
      </x:c>
      <x:c r="B2058" t="str">
        <x:v>Olimp</x:v>
      </x:c>
      <x:c r="C2058" t="str">
        <x:v>Pump Xplode</x:v>
      </x:c>
      <x:c r="D2058" t="str">
        <x:v>Pre Workouts</x:v>
      </x:c>
      <x:c r="E2058" t="str">
        <x:v>Stim FREE</x:v>
      </x:c>
      <x:c r="F2058" t="str"/>
      <x:c r="G2058" t="str">
        <x:v>300g</x:v>
      </x:c>
      <x:c r="H2058" t="str">
        <x:v>Cola</x:v>
      </x:c>
      <x:c r="I2058" t="str"/>
      <x:c r="J2058" t="str">
        <x:v>Unit</x:v>
      </x:c>
      <x:c r="K2058" t="str">
        <x:v>In stock</x:v>
      </x:c>
      <x:c r="L2058" t="str">
        <x:v>2026-09-08</x:v>
      </x:c>
      <x:c r="M2058" t="str"/>
      <x:c r="N2058" t="str"/>
      <x:c r="O2058" t="str">
        <x:v>https://www.activesportstrade.co.uk/olimp-trade</x:v>
      </x:c>
      <x:c r="P2058" t="str"/>
      <x:c r="Q2058" t="str"/>
      <x:c r="R2058" t="str"/>
      <x:c r="S2058" t="str">
        <x:v>Pending genuine supplier/brand image</x:v>
      </x:c>
      <x:c r="T2058" s="54" t="n">
        <x:v>12.64</x:v>
      </x:c>
      <x:c r="U2058" s="47" t="n">
        <x:v>0.2</x:v>
      </x:c>
      <x:c r="V2058" s="54" t="n">
        <x:f>IF(ISNUMBER(T2058),T2058*(1+U2058),"")</x:f>
        <x:v>15.168</x:v>
      </x:c>
      <x:c r="W2058" s="47" t="n">
        <x:v>0.3</x:v>
      </x:c>
      <x:c r="X2058" s="54" t="n">
        <x:f>IF(ISNUMBER(V2058),V2058/(1-W2058),"")</x:f>
        <x:v>21.66857142857143</x:v>
      </x:c>
      <x:c r="Y2058" s="55" t="n">
        <x:f>IF(ISNUMBER(X2058),ROUNDUP(X2058,0),"")</x:f>
        <x:v>22</x:v>
      </x:c>
      <x:c r="Z2058" t="str">
        <x:v>Source match pending</x:v>
      </x:c>
      <x:c r="AA2058" t="str">
        <x:v>screencapture-www-activesportstrade-co-uk-olimp-trade-2026-09-10-09_05_33.pdf / page-11</x:v>
      </x:c>
      <x:c r="AB2058" s="36" t="n">
        <x:f>IF(ISNUMBER(Y2058),ROUND(Y2058*0.9,2),"")</x:f>
        <x:v>19.8</x:v>
      </x:c>
      <x:c r="AC2058" s="36" t="n">
        <x:f>IF(ISNUMBER(AB2058),ROUND(AB2058-(AB2058*0.015+0.2)-V2058,2),"")</x:f>
        <x:v>4.14</x:v>
      </x:c>
      <x:c r="AD2058" s="36" t="n">
        <x:f>IF(ISNUMBER(Y2058),ROUND(Y2058*0.8,2),"")</x:f>
        <x:v>17.6</x:v>
      </x:c>
      <x:c r="AE2058" s="36" t="n">
        <x:f>IF(ISNUMBER(AD2058),ROUND(AD2058*0.015+0.2,2),"")</x:f>
        <x:v>0.46</x:v>
      </x:c>
      <x:c r="AF2058" s="36" t="n">
        <x:f>IF(ISNUMBER(AD2058),ROUND(AD2058-AE2058-V2058,2),"")</x:f>
        <x:v>1.97</x:v>
      </x:c>
      <x:c r="AG2058" t="str">
        <x:f>IF(NOT(ISNUMBER(T2058)),"PENDING",IF(AF2058&gt;0,"PASS","FAIL"))</x:f>
        <x:v>PASS</x:v>
      </x:c>
      <x:c r="AH2058" t="str">
        <x:f>IF(NOT(ISNUMBER(T2058)),"Needs supplier cost",IF(K2058&lt;&gt;"In stock","Supplier unavailable",IF(AG2058&lt;&gt;"PASS","BLOCK - GT loss risk","Commercially protected")))</x:f>
        <x:v>Commercially protected</x:v>
      </x:c>
      <x:c r="AI2058" t="str">
        <x:v>2026-09-10 Active Sports trade capture</x:v>
      </x:c>
      <x:c r="AJ2058" t="str">
        <x:v>Management-only economics. Stripe stress test uses 1.5% + £0.20 standard UK online-card fee; pallet/mix-and-match pricing ignored.</x:v>
      </x:c>
    </x:row>
    <x:row r="2059">
      <x:c r="A2059" t="str">
        <x:v>Active Sports Nutrition</x:v>
      </x:c>
      <x:c r="B2059" t="str">
        <x:v>Olimp</x:v>
      </x:c>
      <x:c r="C2059" t="str">
        <x:v>Pump Xplode</x:v>
      </x:c>
      <x:c r="D2059" t="str">
        <x:v>Pre Workouts</x:v>
      </x:c>
      <x:c r="E2059" t="str">
        <x:v>Stim FREE</x:v>
      </x:c>
      <x:c r="F2059" t="str"/>
      <x:c r="G2059" t="str">
        <x:v>300g</x:v>
      </x:c>
      <x:c r="H2059" t="str">
        <x:v>Fruit Punch</x:v>
      </x:c>
      <x:c r="I2059" t="str"/>
      <x:c r="J2059" t="str">
        <x:v>Unit</x:v>
      </x:c>
      <x:c r="K2059" t="str">
        <x:v>In stock</x:v>
      </x:c>
      <x:c r="L2059" t="str">
        <x:v>2026-09-08</x:v>
      </x:c>
      <x:c r="M2059" t="str"/>
      <x:c r="N2059" t="str"/>
      <x:c r="O2059" t="str">
        <x:v>https://www.activesportstrade.co.uk/olimp-trade</x:v>
      </x:c>
      <x:c r="P2059" t="str"/>
      <x:c r="Q2059" t="str"/>
      <x:c r="R2059" t="str"/>
      <x:c r="S2059" t="str">
        <x:v>Pending genuine supplier/brand image</x:v>
      </x:c>
      <x:c r="T2059" s="54" t="n">
        <x:v>12.64</x:v>
      </x:c>
      <x:c r="U2059" s="47" t="n">
        <x:v>0.2</x:v>
      </x:c>
      <x:c r="V2059" s="54" t="n">
        <x:f>IF(ISNUMBER(T2059),T2059*(1+U2059),"")</x:f>
        <x:v>15.168</x:v>
      </x:c>
      <x:c r="W2059" s="47" t="n">
        <x:v>0.3</x:v>
      </x:c>
      <x:c r="X2059" s="54" t="n">
        <x:f>IF(ISNUMBER(V2059),V2059/(1-W2059),"")</x:f>
        <x:v>21.66857142857143</x:v>
      </x:c>
      <x:c r="Y2059" s="55" t="n">
        <x:f>IF(ISNUMBER(X2059),ROUNDUP(X2059,0),"")</x:f>
        <x:v>22</x:v>
      </x:c>
      <x:c r="Z2059" t="str">
        <x:v>Source match pending</x:v>
      </x:c>
      <x:c r="AA2059" t="str">
        <x:v>screencapture-www-activesportstrade-co-uk-olimp-trade-2026-09-10-09_05_33.pdf / page-11</x:v>
      </x:c>
      <x:c r="AB2059" s="36" t="n">
        <x:f>IF(ISNUMBER(Y2059),ROUND(Y2059*0.9,2),"")</x:f>
        <x:v>19.8</x:v>
      </x:c>
      <x:c r="AC2059" s="36" t="n">
        <x:f>IF(ISNUMBER(AB2059),ROUND(AB2059-(AB2059*0.015+0.2)-V2059,2),"")</x:f>
        <x:v>4.14</x:v>
      </x:c>
      <x:c r="AD2059" s="36" t="n">
        <x:f>IF(ISNUMBER(Y2059),ROUND(Y2059*0.8,2),"")</x:f>
        <x:v>17.6</x:v>
      </x:c>
      <x:c r="AE2059" s="36" t="n">
        <x:f>IF(ISNUMBER(AD2059),ROUND(AD2059*0.015+0.2,2),"")</x:f>
        <x:v>0.46</x:v>
      </x:c>
      <x:c r="AF2059" s="36" t="n">
        <x:f>IF(ISNUMBER(AD2059),ROUND(AD2059-AE2059-V2059,2),"")</x:f>
        <x:v>1.97</x:v>
      </x:c>
      <x:c r="AG2059" t="str">
        <x:f>IF(NOT(ISNUMBER(T2059)),"PENDING",IF(AF2059&gt;0,"PASS","FAIL"))</x:f>
        <x:v>PASS</x:v>
      </x:c>
      <x:c r="AH2059" t="str">
        <x:f>IF(NOT(ISNUMBER(T2059)),"Needs supplier cost",IF(K2059&lt;&gt;"In stock","Supplier unavailable",IF(AG2059&lt;&gt;"PASS","BLOCK - GT loss risk","Commercially protected")))</x:f>
        <x:v>Commercially protected</x:v>
      </x:c>
      <x:c r="AI2059" t="str">
        <x:v>2026-09-10 Active Sports trade capture</x:v>
      </x:c>
      <x:c r="AJ2059" t="str">
        <x:v>Management-only economics. Stripe stress test uses 1.5% + £0.20 standard UK online-card fee; pallet/mix-and-match pricing ignored.</x:v>
      </x:c>
    </x:row>
    <x:row r="2060">
      <x:c r="A2060" t="str">
        <x:v>Active Sports Nutrition</x:v>
      </x:c>
      <x:c r="B2060" t="str">
        <x:v>Olimp</x:v>
      </x:c>
      <x:c r="C2060" t="str">
        <x:v>Pump Xplode Shots</x:v>
      </x:c>
      <x:c r="D2060" t="str">
        <x:v>Pre Workouts</x:v>
      </x:c>
      <x:c r="E2060" t="str">
        <x:v>Shots and Ready To Drink</x:v>
      </x:c>
      <x:c r="F2060" t="str"/>
      <x:c r="G2060" t="str">
        <x:v>9 shots</x:v>
      </x:c>
      <x:c r="H2060" t="str">
        <x:v>Fruit Punch</x:v>
      </x:c>
      <x:c r="I2060" t="str">
        <x:v>9</x:v>
      </x:c>
      <x:c r="J2060" t="str">
        <x:v>Case</x:v>
      </x:c>
      <x:c r="K2060" t="str">
        <x:v>In stock</x:v>
      </x:c>
      <x:c r="L2060" t="str">
        <x:v>2026-09-08</x:v>
      </x:c>
      <x:c r="M2060" t="str"/>
      <x:c r="N2060" t="str"/>
      <x:c r="O2060" t="str">
        <x:v>https://www.activesportstrade.co.uk/olimp-trade</x:v>
      </x:c>
      <x:c r="P2060" t="str">
        <x:v>PALLET PROMO pricing/minimum-order boilerplate excluded; case-only.</x:v>
      </x:c>
      <x:c r="Q2060" t="str"/>
      <x:c r="R2060" t="str"/>
      <x:c r="S2060" t="str">
        <x:v>Pending genuine supplier/brand image</x:v>
      </x:c>
      <x:c r="T2060" s="54" t="n">
        <x:v>10.99</x:v>
      </x:c>
      <x:c r="U2060" s="47" t="n">
        <x:v>0.2</x:v>
      </x:c>
      <x:c r="V2060" s="54" t="n">
        <x:f>IF(ISNUMBER(T2060),T2060*(1+U2060),"")</x:f>
        <x:v>13.188</x:v>
      </x:c>
      <x:c r="W2060" s="47" t="n">
        <x:v>0.3</x:v>
      </x:c>
      <x:c r="X2060" s="54" t="n">
        <x:f>IF(ISNUMBER(V2060),V2060/(1-W2060),"")</x:f>
        <x:v>18.840000000000003</x:v>
      </x:c>
      <x:c r="Y2060" s="55" t="n">
        <x:f>IF(ISNUMBER(X2060),ROUNDUP(X2060,0),"")</x:f>
        <x:v>19</x:v>
      </x:c>
      <x:c r="Z2060" t="str">
        <x:v>Source match pending</x:v>
      </x:c>
      <x:c r="AA2060" t="str">
        <x:v>screencapture-www-activesportstrade-co-uk-olimp-trade-2026-09-10-09_05_33.pdf / page-11</x:v>
      </x:c>
      <x:c r="AB2060" s="36" t="n">
        <x:f>IF(ISNUMBER(Y2060),ROUND(Y2060*0.9,2),"")</x:f>
        <x:v>17.1</x:v>
      </x:c>
      <x:c r="AC2060" s="36" t="n">
        <x:f>IF(ISNUMBER(AB2060),ROUND(AB2060-(AB2060*0.015+0.2)-V2060,2),"")</x:f>
        <x:v>3.46</x:v>
      </x:c>
      <x:c r="AD2060" s="36" t="n">
        <x:f>IF(ISNUMBER(Y2060),ROUND(Y2060*0.8,2),"")</x:f>
        <x:v>15.2</x:v>
      </x:c>
      <x:c r="AE2060" s="36" t="n">
        <x:f>IF(ISNUMBER(AD2060),ROUND(AD2060*0.015+0.2,2),"")</x:f>
        <x:v>0.43</x:v>
      </x:c>
      <x:c r="AF2060" s="36" t="n">
        <x:f>IF(ISNUMBER(AD2060),ROUND(AD2060-AE2060-V2060,2),"")</x:f>
        <x:v>1.58</x:v>
      </x:c>
      <x:c r="AG2060" t="str">
        <x:f>IF(NOT(ISNUMBER(T2060)),"PENDING",IF(AF2060&gt;0,"PASS","FAIL"))</x:f>
        <x:v>PASS</x:v>
      </x:c>
      <x:c r="AH2060" t="str">
        <x:f>IF(NOT(ISNUMBER(T2060)),"Needs supplier cost",IF(K2060&lt;&gt;"In stock","Supplier unavailable",IF(AG2060&lt;&gt;"PASS","BLOCK - GT loss risk","Commercially protected")))</x:f>
        <x:v>Commercially protected</x:v>
      </x:c>
      <x:c r="AI2060" t="str">
        <x:v>2026-09-10 Active Sports trade capture</x:v>
      </x:c>
      <x:c r="AJ2060" t="str">
        <x:v>Management-only economics. Stripe stress test uses 1.5% + £0.20 standard UK online-card fee; pallet/mix-and-match pricing ignored.</x:v>
      </x:c>
    </x:row>
    <x:row r="2061">
      <x:c r="A2061" t="str">
        <x:v>Active Sports Nutrition</x:v>
      </x:c>
      <x:c r="B2061" t="str">
        <x:v>Olimp</x:v>
      </x:c>
      <x:c r="C2061" t="str">
        <x:v>Pump Xplode Shots</x:v>
      </x:c>
      <x:c r="D2061" t="str">
        <x:v>Pre Workouts</x:v>
      </x:c>
      <x:c r="E2061" t="str">
        <x:v>Shots and Ready To Drink</x:v>
      </x:c>
      <x:c r="F2061" t="str"/>
      <x:c r="G2061" t="str">
        <x:v>9 shots</x:v>
      </x:c>
      <x:c r="H2061" t="str">
        <x:v>Orange</x:v>
      </x:c>
      <x:c r="I2061" t="str">
        <x:v>9</x:v>
      </x:c>
      <x:c r="J2061" t="str">
        <x:v>Case</x:v>
      </x:c>
      <x:c r="K2061" t="str">
        <x:v>In stock</x:v>
      </x:c>
      <x:c r="L2061" t="str">
        <x:v>2026-09-08</x:v>
      </x:c>
      <x:c r="M2061" t="str"/>
      <x:c r="N2061" t="str"/>
      <x:c r="O2061" t="str">
        <x:v>https://www.activesportstrade.co.uk/olimp-trade</x:v>
      </x:c>
      <x:c r="P2061" t="str">
        <x:v>PALLET PROMO pricing/minimum-order boilerplate excluded; case-only.</x:v>
      </x:c>
      <x:c r="Q2061" t="str"/>
      <x:c r="R2061" t="str"/>
      <x:c r="S2061" t="str">
        <x:v>Pending genuine supplier/brand image</x:v>
      </x:c>
      <x:c r="T2061" s="54" t="n">
        <x:v>10.99</x:v>
      </x:c>
      <x:c r="U2061" s="47" t="n">
        <x:v>0.2</x:v>
      </x:c>
      <x:c r="V2061" s="54" t="n">
        <x:f>IF(ISNUMBER(T2061),T2061*(1+U2061),"")</x:f>
        <x:v>13.188</x:v>
      </x:c>
      <x:c r="W2061" s="47" t="n">
        <x:v>0.3</x:v>
      </x:c>
      <x:c r="X2061" s="54" t="n">
        <x:f>IF(ISNUMBER(V2061),V2061/(1-W2061),"")</x:f>
        <x:v>18.840000000000003</x:v>
      </x:c>
      <x:c r="Y2061" s="55" t="n">
        <x:f>IF(ISNUMBER(X2061),ROUNDUP(X2061,0),"")</x:f>
        <x:v>19</x:v>
      </x:c>
      <x:c r="Z2061" t="str">
        <x:v>Source match pending</x:v>
      </x:c>
      <x:c r="AA2061" t="str">
        <x:v>screencapture-www-activesportstrade-co-uk-olimp-trade-2026-09-10-09_05_33.pdf / page-11</x:v>
      </x:c>
      <x:c r="AB2061" s="36" t="n">
        <x:f>IF(ISNUMBER(Y2061),ROUND(Y2061*0.9,2),"")</x:f>
        <x:v>17.1</x:v>
      </x:c>
      <x:c r="AC2061" s="36" t="n">
        <x:f>IF(ISNUMBER(AB2061),ROUND(AB2061-(AB2061*0.015+0.2)-V2061,2),"")</x:f>
        <x:v>3.46</x:v>
      </x:c>
      <x:c r="AD2061" s="36" t="n">
        <x:f>IF(ISNUMBER(Y2061),ROUND(Y2061*0.8,2),"")</x:f>
        <x:v>15.2</x:v>
      </x:c>
      <x:c r="AE2061" s="36" t="n">
        <x:f>IF(ISNUMBER(AD2061),ROUND(AD2061*0.015+0.2,2),"")</x:f>
        <x:v>0.43</x:v>
      </x:c>
      <x:c r="AF2061" s="36" t="n">
        <x:f>IF(ISNUMBER(AD2061),ROUND(AD2061-AE2061-V2061,2),"")</x:f>
        <x:v>1.58</x:v>
      </x:c>
      <x:c r="AG2061" t="str">
        <x:f>IF(NOT(ISNUMBER(T2061)),"PENDING",IF(AF2061&gt;0,"PASS","FAIL"))</x:f>
        <x:v>PASS</x:v>
      </x:c>
      <x:c r="AH2061" t="str">
        <x:f>IF(NOT(ISNUMBER(T2061)),"Needs supplier cost",IF(K2061&lt;&gt;"In stock","Supplier unavailable",IF(AG2061&lt;&gt;"PASS","BLOCK - GT loss risk","Commercially protected")))</x:f>
        <x:v>Commercially protected</x:v>
      </x:c>
      <x:c r="AI2061" t="str">
        <x:v>2026-09-10 Active Sports trade capture</x:v>
      </x:c>
      <x:c r="AJ2061" t="str">
        <x:v>Management-only economics. Stripe stress test uses 1.5% + £0.20 standard UK online-card fee; pallet/mix-and-match pricing ignored.</x:v>
      </x:c>
    </x:row>
    <x:row r="2062">
      <x:c r="A2062" t="str">
        <x:v>Active Sports Nutrition</x:v>
      </x:c>
      <x:c r="B2062" t="str">
        <x:v>Olimp</x:v>
      </x:c>
      <x:c r="C2062" t="str">
        <x:v>Rocky Athletes Creatine</x:v>
      </x:c>
      <x:c r="D2062" t="str">
        <x:v>Supplements</x:v>
      </x:c>
      <x:c r="E2062" t="str">
        <x:v>Creatine Powders</x:v>
      </x:c>
      <x:c r="F2062" t="str"/>
      <x:c r="G2062" t="str">
        <x:v>500g</x:v>
      </x:c>
      <x:c r="H2062" t="str">
        <x:v>Bubblegum</x:v>
      </x:c>
      <x:c r="I2062" t="str"/>
      <x:c r="J2062" t="str">
        <x:v>Unit</x:v>
      </x:c>
      <x:c r="K2062" t="str">
        <x:v>In stock</x:v>
      </x:c>
      <x:c r="L2062" t="str">
        <x:v>2026-09-08</x:v>
      </x:c>
      <x:c r="M2062" t="str"/>
      <x:c r="N2062" t="str"/>
      <x:c r="O2062" t="str">
        <x:v>https://www.activesportstrade.co.uk/olimp-trade</x:v>
      </x:c>
      <x:c r="P2062" t="str"/>
      <x:c r="Q2062" t="str"/>
      <x:c r="R2062" t="str"/>
      <x:c r="S2062" t="str">
        <x:v>Pending genuine supplier/brand image</x:v>
      </x:c>
      <x:c r="T2062" s="54" t="n">
        <x:v>8.99</x:v>
      </x:c>
      <x:c r="U2062" s="47" t="n">
        <x:v>0.2</x:v>
      </x:c>
      <x:c r="V2062" s="54" t="n">
        <x:f>IF(ISNUMBER(T2062),T2062*(1+U2062),"")</x:f>
        <x:v>10.788</x:v>
      </x:c>
      <x:c r="W2062" s="47" t="n">
        <x:v>0.3</x:v>
      </x:c>
      <x:c r="X2062" s="54" t="n">
        <x:f>IF(ISNUMBER(V2062),V2062/(1-W2062),"")</x:f>
        <x:v>15.411428571428573</x:v>
      </x:c>
      <x:c r="Y2062" s="55" t="n">
        <x:f>IF(ISNUMBER(X2062),ROUNDUP(X2062,0),"")</x:f>
        <x:v>16</x:v>
      </x:c>
      <x:c r="Z2062" t="str">
        <x:v>Source match pending</x:v>
      </x:c>
      <x:c r="AA2062" t="str">
        <x:v>screencapture-www-activesportstrade-co-uk-olimp-trade-2026-09-10-09_05_33.pdf / page-12</x:v>
      </x:c>
      <x:c r="AB2062" s="36" t="n">
        <x:f>IF(ISNUMBER(Y2062),ROUND(Y2062*0.9,2),"")</x:f>
        <x:v>14.4</x:v>
      </x:c>
      <x:c r="AC2062" s="36" t="n">
        <x:f>IF(ISNUMBER(AB2062),ROUND(AB2062-(AB2062*0.015+0.2)-V2062,2),"")</x:f>
        <x:v>3.2</x:v>
      </x:c>
      <x:c r="AD2062" s="36" t="n">
        <x:f>IF(ISNUMBER(Y2062),ROUND(Y2062*0.8,2),"")</x:f>
        <x:v>12.8</x:v>
      </x:c>
      <x:c r="AE2062" s="36" t="n">
        <x:f>IF(ISNUMBER(AD2062),ROUND(AD2062*0.015+0.2,2),"")</x:f>
        <x:v>0.39</x:v>
      </x:c>
      <x:c r="AF2062" s="36" t="n">
        <x:f>IF(ISNUMBER(AD2062),ROUND(AD2062-AE2062-V2062,2),"")</x:f>
        <x:v>1.62</x:v>
      </x:c>
      <x:c r="AG2062" t="str">
        <x:f>IF(NOT(ISNUMBER(T2062)),"PENDING",IF(AF2062&gt;0,"PASS","FAIL"))</x:f>
        <x:v>PASS</x:v>
      </x:c>
      <x:c r="AH2062" t="str">
        <x:f>IF(NOT(ISNUMBER(T2062)),"Needs supplier cost",IF(K2062&lt;&gt;"In stock","Supplier unavailable",IF(AG2062&lt;&gt;"PASS","BLOCK - GT loss risk","Commercially protected")))</x:f>
        <x:v>Commercially protected</x:v>
      </x:c>
      <x:c r="AI2062" t="str">
        <x:v>2026-09-10 Active Sports trade capture</x:v>
      </x:c>
      <x:c r="AJ2062" t="str">
        <x:v>Management-only economics. Stripe stress test uses 1.5% + £0.20 standard UK online-card fee; pallet/mix-and-match pricing ignored.</x:v>
      </x:c>
    </x:row>
    <x:row r="2063">
      <x:c r="A2063" t="str">
        <x:v>Active Sports Nutrition</x:v>
      </x:c>
      <x:c r="B2063" t="str">
        <x:v>Olimp</x:v>
      </x:c>
      <x:c r="C2063" t="str">
        <x:v>Rocky Athletes Creatine</x:v>
      </x:c>
      <x:c r="D2063" t="str">
        <x:v>Supplements</x:v>
      </x:c>
      <x:c r="E2063" t="str">
        <x:v>Creatine Powders</x:v>
      </x:c>
      <x:c r="F2063" t="str"/>
      <x:c r="G2063" t="str">
        <x:v>500g</x:v>
      </x:c>
      <x:c r="H2063" t="str">
        <x:v>Citrus Lemonade</x:v>
      </x:c>
      <x:c r="I2063" t="str"/>
      <x:c r="J2063" t="str">
        <x:v>Unit</x:v>
      </x:c>
      <x:c r="K2063" t="str">
        <x:v>In stock</x:v>
      </x:c>
      <x:c r="L2063" t="str">
        <x:v>2026-09-08</x:v>
      </x:c>
      <x:c r="M2063" t="str"/>
      <x:c r="N2063" t="str"/>
      <x:c r="O2063" t="str">
        <x:v>https://www.activesportstrade.co.uk/olimp-trade</x:v>
      </x:c>
      <x:c r="P2063" t="str"/>
      <x:c r="Q2063" t="str"/>
      <x:c r="R2063" t="str"/>
      <x:c r="S2063" t="str">
        <x:v>Pending genuine supplier/brand image</x:v>
      </x:c>
      <x:c r="T2063" s="54" t="n">
        <x:v>8.99</x:v>
      </x:c>
      <x:c r="U2063" s="47" t="n">
        <x:v>0.2</x:v>
      </x:c>
      <x:c r="V2063" s="54" t="n">
        <x:f>IF(ISNUMBER(T2063),T2063*(1+U2063),"")</x:f>
        <x:v>10.788</x:v>
      </x:c>
      <x:c r="W2063" s="47" t="n">
        <x:v>0.3</x:v>
      </x:c>
      <x:c r="X2063" s="54" t="n">
        <x:f>IF(ISNUMBER(V2063),V2063/(1-W2063),"")</x:f>
        <x:v>15.411428571428573</x:v>
      </x:c>
      <x:c r="Y2063" s="55" t="n">
        <x:f>IF(ISNUMBER(X2063),ROUNDUP(X2063,0),"")</x:f>
        <x:v>16</x:v>
      </x:c>
      <x:c r="Z2063" t="str">
        <x:v>Source match pending</x:v>
      </x:c>
      <x:c r="AA2063" t="str">
        <x:v>screencapture-www-activesportstrade-co-uk-olimp-trade-2026-09-10-09_05_33.pdf / page-12</x:v>
      </x:c>
      <x:c r="AB2063" s="36" t="n">
        <x:f>IF(ISNUMBER(Y2063),ROUND(Y2063*0.9,2),"")</x:f>
        <x:v>14.4</x:v>
      </x:c>
      <x:c r="AC2063" s="36" t="n">
        <x:f>IF(ISNUMBER(AB2063),ROUND(AB2063-(AB2063*0.015+0.2)-V2063,2),"")</x:f>
        <x:v>3.2</x:v>
      </x:c>
      <x:c r="AD2063" s="36" t="n">
        <x:f>IF(ISNUMBER(Y2063),ROUND(Y2063*0.8,2),"")</x:f>
        <x:v>12.8</x:v>
      </x:c>
      <x:c r="AE2063" s="36" t="n">
        <x:f>IF(ISNUMBER(AD2063),ROUND(AD2063*0.015+0.2,2),"")</x:f>
        <x:v>0.39</x:v>
      </x:c>
      <x:c r="AF2063" s="36" t="n">
        <x:f>IF(ISNUMBER(AD2063),ROUND(AD2063-AE2063-V2063,2),"")</x:f>
        <x:v>1.62</x:v>
      </x:c>
      <x:c r="AG2063" t="str">
        <x:f>IF(NOT(ISNUMBER(T2063)),"PENDING",IF(AF2063&gt;0,"PASS","FAIL"))</x:f>
        <x:v>PASS</x:v>
      </x:c>
      <x:c r="AH2063" t="str">
        <x:f>IF(NOT(ISNUMBER(T2063)),"Needs supplier cost",IF(K2063&lt;&gt;"In stock","Supplier unavailable",IF(AG2063&lt;&gt;"PASS","BLOCK - GT loss risk","Commercially protected")))</x:f>
        <x:v>Commercially protected</x:v>
      </x:c>
      <x:c r="AI2063" t="str">
        <x:v>2026-09-10 Active Sports trade capture</x:v>
      </x:c>
      <x:c r="AJ2063" t="str">
        <x:v>Management-only economics. Stripe stress test uses 1.5% + £0.20 standard UK online-card fee; pallet/mix-and-match pricing ignored.</x:v>
      </x:c>
    </x:row>
    <x:row r="2064">
      <x:c r="A2064" t="str">
        <x:v>Active Sports Nutrition</x:v>
      </x:c>
      <x:c r="B2064" t="str">
        <x:v>Olimp</x:v>
      </x:c>
      <x:c r="C2064" t="str">
        <x:v>Rocky Athletes Creatine</x:v>
      </x:c>
      <x:c r="D2064" t="str">
        <x:v>Supplements</x:v>
      </x:c>
      <x:c r="E2064" t="str">
        <x:v>Creatine Powders</x:v>
      </x:c>
      <x:c r="F2064" t="str"/>
      <x:c r="G2064" t="str">
        <x:v>500g</x:v>
      </x:c>
      <x:c r="H2064" t="str">
        <x:v>Sour Apple Punch</x:v>
      </x:c>
      <x:c r="I2064" t="str"/>
      <x:c r="J2064" t="str">
        <x:v>Unit</x:v>
      </x:c>
      <x:c r="K2064" t="str">
        <x:v>In stock</x:v>
      </x:c>
      <x:c r="L2064" t="str">
        <x:v>2026-09-08</x:v>
      </x:c>
      <x:c r="M2064" t="str"/>
      <x:c r="N2064" t="str"/>
      <x:c r="O2064" t="str">
        <x:v>https://www.activesportstrade.co.uk/olimp-trade</x:v>
      </x:c>
      <x:c r="P2064" t="str"/>
      <x:c r="Q2064" t="str"/>
      <x:c r="R2064" t="str"/>
      <x:c r="S2064" t="str">
        <x:v>Pending genuine supplier/brand image</x:v>
      </x:c>
      <x:c r="T2064" s="54" t="n">
        <x:v>8.99</x:v>
      </x:c>
      <x:c r="U2064" s="47" t="n">
        <x:v>0.2</x:v>
      </x:c>
      <x:c r="V2064" s="54" t="n">
        <x:f>IF(ISNUMBER(T2064),T2064*(1+U2064),"")</x:f>
        <x:v>10.788</x:v>
      </x:c>
      <x:c r="W2064" s="47" t="n">
        <x:v>0.3</x:v>
      </x:c>
      <x:c r="X2064" s="54" t="n">
        <x:f>IF(ISNUMBER(V2064),V2064/(1-W2064),"")</x:f>
        <x:v>15.411428571428573</x:v>
      </x:c>
      <x:c r="Y2064" s="55" t="n">
        <x:f>IF(ISNUMBER(X2064),ROUNDUP(X2064,0),"")</x:f>
        <x:v>16</x:v>
      </x:c>
      <x:c r="Z2064" t="str">
        <x:v>Source match pending</x:v>
      </x:c>
      <x:c r="AA2064" t="str">
        <x:v>screencapture-www-activesportstrade-co-uk-olimp-trade-2026-09-10-09_05_33.pdf / page-12</x:v>
      </x:c>
      <x:c r="AB2064" s="36" t="n">
        <x:f>IF(ISNUMBER(Y2064),ROUND(Y2064*0.9,2),"")</x:f>
        <x:v>14.4</x:v>
      </x:c>
      <x:c r="AC2064" s="36" t="n">
        <x:f>IF(ISNUMBER(AB2064),ROUND(AB2064-(AB2064*0.015+0.2)-V2064,2),"")</x:f>
        <x:v>3.2</x:v>
      </x:c>
      <x:c r="AD2064" s="36" t="n">
        <x:f>IF(ISNUMBER(Y2064),ROUND(Y2064*0.8,2),"")</x:f>
        <x:v>12.8</x:v>
      </x:c>
      <x:c r="AE2064" s="36" t="n">
        <x:f>IF(ISNUMBER(AD2064),ROUND(AD2064*0.015+0.2,2),"")</x:f>
        <x:v>0.39</x:v>
      </x:c>
      <x:c r="AF2064" s="36" t="n">
        <x:f>IF(ISNUMBER(AD2064),ROUND(AD2064-AE2064-V2064,2),"")</x:f>
        <x:v>1.62</x:v>
      </x:c>
      <x:c r="AG2064" t="str">
        <x:f>IF(NOT(ISNUMBER(T2064)),"PENDING",IF(AF2064&gt;0,"PASS","FAIL"))</x:f>
        <x:v>PASS</x:v>
      </x:c>
      <x:c r="AH2064" t="str">
        <x:f>IF(NOT(ISNUMBER(T2064)),"Needs supplier cost",IF(K2064&lt;&gt;"In stock","Supplier unavailable",IF(AG2064&lt;&gt;"PASS","BLOCK - GT loss risk","Commercially protected")))</x:f>
        <x:v>Commercially protected</x:v>
      </x:c>
      <x:c r="AI2064" t="str">
        <x:v>2026-09-10 Active Sports trade capture</x:v>
      </x:c>
      <x:c r="AJ2064" t="str">
        <x:v>Management-only economics. Stripe stress test uses 1.5% + £0.20 standard UK online-card fee; pallet/mix-and-match pricing ignored.</x:v>
      </x:c>
    </x:row>
    <x:row r="2065">
      <x:c r="A2065" t="str">
        <x:v>Active Sports Nutrition</x:v>
      </x:c>
      <x:c r="B2065" t="str">
        <x:v>Olimp</x:v>
      </x:c>
      <x:c r="C2065" t="str">
        <x:v>Rocky Athletes Creatine</x:v>
      </x:c>
      <x:c r="D2065" t="str">
        <x:v>Supplements</x:v>
      </x:c>
      <x:c r="E2065" t="str">
        <x:v>Creatine Powders</x:v>
      </x:c>
      <x:c r="F2065" t="str"/>
      <x:c r="G2065" t="str">
        <x:v>500g</x:v>
      </x:c>
      <x:c r="H2065" t="str">
        <x:v>Watermelon Ice</x:v>
      </x:c>
      <x:c r="I2065" t="str"/>
      <x:c r="J2065" t="str">
        <x:v>Unit</x:v>
      </x:c>
      <x:c r="K2065" t="str">
        <x:v>In stock</x:v>
      </x:c>
      <x:c r="L2065" t="str">
        <x:v>2026-09-08</x:v>
      </x:c>
      <x:c r="M2065" t="str"/>
      <x:c r="N2065" t="str"/>
      <x:c r="O2065" t="str">
        <x:v>https://www.activesportstrade.co.uk/olimp-trade</x:v>
      </x:c>
      <x:c r="P2065" t="str"/>
      <x:c r="Q2065" t="str"/>
      <x:c r="R2065" t="str"/>
      <x:c r="S2065" t="str">
        <x:v>Pending genuine supplier/brand image</x:v>
      </x:c>
      <x:c r="T2065" s="54" t="n">
        <x:v>8.99</x:v>
      </x:c>
      <x:c r="U2065" s="47" t="n">
        <x:v>0.2</x:v>
      </x:c>
      <x:c r="V2065" s="54" t="n">
        <x:f>IF(ISNUMBER(T2065),T2065*(1+U2065),"")</x:f>
        <x:v>10.788</x:v>
      </x:c>
      <x:c r="W2065" s="47" t="n">
        <x:v>0.3</x:v>
      </x:c>
      <x:c r="X2065" s="54" t="n">
        <x:f>IF(ISNUMBER(V2065),V2065/(1-W2065),"")</x:f>
        <x:v>15.411428571428573</x:v>
      </x:c>
      <x:c r="Y2065" s="55" t="n">
        <x:f>IF(ISNUMBER(X2065),ROUNDUP(X2065,0),"")</x:f>
        <x:v>16</x:v>
      </x:c>
      <x:c r="Z2065" t="str">
        <x:v>Source match pending</x:v>
      </x:c>
      <x:c r="AA2065" t="str">
        <x:v>screencapture-www-activesportstrade-co-uk-olimp-trade-2026-09-10-09_05_33.pdf / page-12</x:v>
      </x:c>
      <x:c r="AB2065" s="36" t="n">
        <x:f>IF(ISNUMBER(Y2065),ROUND(Y2065*0.9,2),"")</x:f>
        <x:v>14.4</x:v>
      </x:c>
      <x:c r="AC2065" s="36" t="n">
        <x:f>IF(ISNUMBER(AB2065),ROUND(AB2065-(AB2065*0.015+0.2)-V2065,2),"")</x:f>
        <x:v>3.2</x:v>
      </x:c>
      <x:c r="AD2065" s="36" t="n">
        <x:f>IF(ISNUMBER(Y2065),ROUND(Y2065*0.8,2),"")</x:f>
        <x:v>12.8</x:v>
      </x:c>
      <x:c r="AE2065" s="36" t="n">
        <x:f>IF(ISNUMBER(AD2065),ROUND(AD2065*0.015+0.2,2),"")</x:f>
        <x:v>0.39</x:v>
      </x:c>
      <x:c r="AF2065" s="36" t="n">
        <x:f>IF(ISNUMBER(AD2065),ROUND(AD2065-AE2065-V2065,2),"")</x:f>
        <x:v>1.62</x:v>
      </x:c>
      <x:c r="AG2065" t="str">
        <x:f>IF(NOT(ISNUMBER(T2065)),"PENDING",IF(AF2065&gt;0,"PASS","FAIL"))</x:f>
        <x:v>PASS</x:v>
      </x:c>
      <x:c r="AH2065" t="str">
        <x:f>IF(NOT(ISNUMBER(T2065)),"Needs supplier cost",IF(K2065&lt;&gt;"In stock","Supplier unavailable",IF(AG2065&lt;&gt;"PASS","BLOCK - GT loss risk","Commercially protected")))</x:f>
        <x:v>Commercially protected</x:v>
      </x:c>
      <x:c r="AI2065" t="str">
        <x:v>2026-09-10 Active Sports trade capture</x:v>
      </x:c>
      <x:c r="AJ2065" t="str">
        <x:v>Management-only economics. Stripe stress test uses 1.5% + £0.20 standard UK online-card fee; pallet/mix-and-match pricing ignored.</x:v>
      </x:c>
    </x:row>
    <x:row r="2066">
      <x:c r="A2066" t="str">
        <x:v>Active Sports Nutrition</x:v>
      </x:c>
      <x:c r="B2066" t="str">
        <x:v>Olimp</x:v>
      </x:c>
      <x:c r="C2066" t="str">
        <x:v>Rocky Athletes Glutamine</x:v>
      </x:c>
      <x:c r="D2066" t="str">
        <x:v>Supplements</x:v>
      </x:c>
      <x:c r="E2066" t="str">
        <x:v>L-Glutamine</x:v>
      </x:c>
      <x:c r="F2066" t="str"/>
      <x:c r="G2066" t="str">
        <x:v>250g</x:v>
      </x:c>
      <x:c r="H2066" t="str">
        <x:v>Unflavoured</x:v>
      </x:c>
      <x:c r="I2066" t="str"/>
      <x:c r="J2066" t="str">
        <x:v>Unit</x:v>
      </x:c>
      <x:c r="K2066" t="str">
        <x:v>In stock</x:v>
      </x:c>
      <x:c r="L2066" t="str">
        <x:v>2026-09-08</x:v>
      </x:c>
      <x:c r="M2066" t="str"/>
      <x:c r="N2066" t="str"/>
      <x:c r="O2066" t="str">
        <x:v>https://www.activesportstrade.co.uk/olimp-trade</x:v>
      </x:c>
      <x:c r="P2066" t="str"/>
      <x:c r="Q2066" t="str"/>
      <x:c r="R2066" t="str"/>
      <x:c r="S2066" t="str">
        <x:v>Pending genuine supplier/brand image</x:v>
      </x:c>
      <x:c r="T2066" s="54" t="n">
        <x:v>8.2</x:v>
      </x:c>
      <x:c r="U2066" s="47" t="n">
        <x:v>0.2</x:v>
      </x:c>
      <x:c r="V2066" s="54" t="n">
        <x:f>IF(ISNUMBER(T2066),T2066*(1+U2066),"")</x:f>
        <x:v>9.839999999999998</x:v>
      </x:c>
      <x:c r="W2066" s="47" t="n">
        <x:v>0.3</x:v>
      </x:c>
      <x:c r="X2066" s="54" t="n">
        <x:f>IF(ISNUMBER(V2066),V2066/(1-W2066),"")</x:f>
        <x:v>14.057142857142855</x:v>
      </x:c>
      <x:c r="Y2066" s="55" t="n">
        <x:f>IF(ISNUMBER(X2066),ROUNDUP(X2066,0),"")</x:f>
        <x:v>15</x:v>
      </x:c>
      <x:c r="Z2066" t="str">
        <x:v>Source match pending</x:v>
      </x:c>
      <x:c r="AA2066" t="str">
        <x:v>screencapture-www-activesportstrade-co-uk-olimp-trade-2026-09-10-09_05_33.pdf / page-12</x:v>
      </x:c>
      <x:c r="AB2066" s="36" t="n">
        <x:f>IF(ISNUMBER(Y2066),ROUND(Y2066*0.9,2),"")</x:f>
        <x:v>13.5</x:v>
      </x:c>
      <x:c r="AC2066" s="36" t="n">
        <x:f>IF(ISNUMBER(AB2066),ROUND(AB2066-(AB2066*0.015+0.2)-V2066,2),"")</x:f>
        <x:v>3.26</x:v>
      </x:c>
      <x:c r="AD2066" s="36" t="n">
        <x:f>IF(ISNUMBER(Y2066),ROUND(Y2066*0.8,2),"")</x:f>
        <x:v>12</x:v>
      </x:c>
      <x:c r="AE2066" s="36" t="n">
        <x:f>IF(ISNUMBER(AD2066),ROUND(AD2066*0.015+0.2,2),"")</x:f>
        <x:v>0.38</x:v>
      </x:c>
      <x:c r="AF2066" s="36" t="n">
        <x:f>IF(ISNUMBER(AD2066),ROUND(AD2066-AE2066-V2066,2),"")</x:f>
        <x:v>1.78</x:v>
      </x:c>
      <x:c r="AG2066" t="str">
        <x:f>IF(NOT(ISNUMBER(T2066)),"PENDING",IF(AF2066&gt;0,"PASS","FAIL"))</x:f>
        <x:v>PASS</x:v>
      </x:c>
      <x:c r="AH2066" t="str">
        <x:f>IF(NOT(ISNUMBER(T2066)),"Needs supplier cost",IF(K2066&lt;&gt;"In stock","Supplier unavailable",IF(AG2066&lt;&gt;"PASS","BLOCK - GT loss risk","Commercially protected")))</x:f>
        <x:v>Commercially protected</x:v>
      </x:c>
      <x:c r="AI2066" t="str">
        <x:v>2026-09-10 Active Sports trade capture</x:v>
      </x:c>
      <x:c r="AJ2066" t="str">
        <x:v>Management-only economics. Stripe stress test uses 1.5% + £0.20 standard UK online-card fee; pallet/mix-and-match pricing ignored.</x:v>
      </x:c>
    </x:row>
    <x:row r="2067">
      <x:c r="A2067" t="str">
        <x:v>Active Sports Nutrition</x:v>
      </x:c>
      <x:c r="B2067" t="str">
        <x:v>Olimp</x:v>
      </x:c>
      <x:c r="C2067" t="str">
        <x:v>Tribusteron 90</x:v>
      </x:c>
      <x:c r="D2067" t="str">
        <x:v>Supplements</x:v>
      </x:c>
      <x:c r="E2067" t="str">
        <x:v>Testosterone Support</x:v>
      </x:c>
      <x:c r="F2067" t="str"/>
      <x:c r="G2067" t="str">
        <x:v>120 caps</x:v>
      </x:c>
      <x:c r="H2067" t="str">
        <x:v>Default</x:v>
      </x:c>
      <x:c r="I2067" t="str"/>
      <x:c r="J2067" t="str">
        <x:v>Unit</x:v>
      </x:c>
      <x:c r="K2067" t="str">
        <x:v>In stock</x:v>
      </x:c>
      <x:c r="L2067" t="str">
        <x:v>2026-09-08</x:v>
      </x:c>
      <x:c r="M2067" t="str"/>
      <x:c r="N2067" t="str"/>
      <x:c r="O2067" t="str">
        <x:v>https://www.activesportstrade.co.uk/olimp-trade</x:v>
      </x:c>
      <x:c r="P2067" t="str">
        <x:v>SPECIAL OFFER wording stripped from canonical title.</x:v>
      </x:c>
      <x:c r="Q2067" t="str"/>
      <x:c r="R2067" t="str"/>
      <x:c r="S2067" t="str">
        <x:v>Pending genuine supplier/brand image</x:v>
      </x:c>
      <x:c r="T2067" s="54" t="n">
        <x:v>9.99</x:v>
      </x:c>
      <x:c r="U2067" s="47" t="n">
        <x:v>0.2</x:v>
      </x:c>
      <x:c r="V2067" s="54" t="n">
        <x:f>IF(ISNUMBER(T2067),T2067*(1+U2067),"")</x:f>
        <x:v>11.988</x:v>
      </x:c>
      <x:c r="W2067" s="47" t="n">
        <x:v>0.3</x:v>
      </x:c>
      <x:c r="X2067" s="54" t="n">
        <x:f>IF(ISNUMBER(V2067),V2067/(1-W2067),"")</x:f>
        <x:v>17.125714285714285</x:v>
      </x:c>
      <x:c r="Y2067" s="55" t="n">
        <x:f>IF(ISNUMBER(X2067),ROUNDUP(X2067,0),"")</x:f>
        <x:v>18</x:v>
      </x:c>
      <x:c r="Z2067" t="str">
        <x:v>Source match pending</x:v>
      </x:c>
      <x:c r="AA2067" t="str">
        <x:v>screencapture-www-activesportstrade-co-uk-olimp-trade-2026-09-10-09_05_33.pdf / page-13</x:v>
      </x:c>
      <x:c r="AB2067" s="36" t="n">
        <x:f>IF(ISNUMBER(Y2067),ROUND(Y2067*0.9,2),"")</x:f>
        <x:v>16.2</x:v>
      </x:c>
      <x:c r="AC2067" s="36" t="n">
        <x:f>IF(ISNUMBER(AB2067),ROUND(AB2067-(AB2067*0.015+0.2)-V2067,2),"")</x:f>
        <x:v>3.77</x:v>
      </x:c>
      <x:c r="AD2067" s="36" t="n">
        <x:f>IF(ISNUMBER(Y2067),ROUND(Y2067*0.8,2),"")</x:f>
        <x:v>14.4</x:v>
      </x:c>
      <x:c r="AE2067" s="36" t="n">
        <x:f>IF(ISNUMBER(AD2067),ROUND(AD2067*0.015+0.2,2),"")</x:f>
        <x:v>0.42</x:v>
      </x:c>
      <x:c r="AF2067" s="36" t="n">
        <x:f>IF(ISNUMBER(AD2067),ROUND(AD2067-AE2067-V2067,2),"")</x:f>
        <x:v>1.99</x:v>
      </x:c>
      <x:c r="AG2067" t="str">
        <x:f>IF(NOT(ISNUMBER(T2067)),"PENDING",IF(AF2067&gt;0,"PASS","FAIL"))</x:f>
        <x:v>PASS</x:v>
      </x:c>
      <x:c r="AH2067" t="str">
        <x:f>IF(NOT(ISNUMBER(T2067)),"Needs supplier cost",IF(K2067&lt;&gt;"In stock","Supplier unavailable",IF(AG2067&lt;&gt;"PASS","BLOCK - GT loss risk","Commercially protected")))</x:f>
        <x:v>Commercially protected</x:v>
      </x:c>
      <x:c r="AI2067" t="str">
        <x:v>2026-09-10 Active Sports trade capture</x:v>
      </x:c>
      <x:c r="AJ2067" t="str">
        <x:v>Management-only economics. Stripe stress test uses 1.5% + £0.20 standard UK online-card fee; pallet/mix-and-match pricing ignored.</x:v>
      </x:c>
    </x:row>
    <x:row r="2068">
      <x:c r="A2068" t="str">
        <x:v>Active Sports Nutrition</x:v>
      </x:c>
      <x:c r="B2068" t="str">
        <x:v>Olimp</x:v>
      </x:c>
      <x:c r="C2068" t="str">
        <x:v>Veggie Protein Complex</x:v>
      </x:c>
      <x:c r="D2068" t="str">
        <x:v>Supplements</x:v>
      </x:c>
      <x:c r="E2068" t="str">
        <x:v>Protein Blends</x:v>
      </x:c>
      <x:c r="F2068" t="str"/>
      <x:c r="G2068" t="str">
        <x:v>500g</x:v>
      </x:c>
      <x:c r="H2068" t="str">
        <x:v>Chocolate</x:v>
      </x:c>
      <x:c r="I2068" t="str"/>
      <x:c r="J2068" t="str">
        <x:v>Unit</x:v>
      </x:c>
      <x:c r="K2068" t="str">
        <x:v>In stock</x:v>
      </x:c>
      <x:c r="L2068" t="str">
        <x:v>2026-09-08</x:v>
      </x:c>
      <x:c r="M2068" t="str"/>
      <x:c r="N2068" t="str"/>
      <x:c r="O2068" t="str">
        <x:v>https://www.activesportstrade.co.uk/olimp-trade</x:v>
      </x:c>
      <x:c r="P2068" t="str"/>
      <x:c r="Q2068" t="str"/>
      <x:c r="R2068" t="str"/>
      <x:c r="S2068" t="str">
        <x:v>Pending genuine supplier/brand image</x:v>
      </x:c>
      <x:c r="T2068" s="54" t="n">
        <x:v>12.25</x:v>
      </x:c>
      <x:c r="U2068" s="47" t="n">
        <x:v>0.2</x:v>
      </x:c>
      <x:c r="V2068" s="54" t="n">
        <x:f>IF(ISNUMBER(T2068),T2068*(1+U2068),"")</x:f>
        <x:v>14.7</x:v>
      </x:c>
      <x:c r="W2068" s="47" t="n">
        <x:v>0.3</x:v>
      </x:c>
      <x:c r="X2068" s="54" t="n">
        <x:f>IF(ISNUMBER(V2068),V2068/(1-W2068),"")</x:f>
        <x:v>21</x:v>
      </x:c>
      <x:c r="Y2068" s="55" t="n">
        <x:f>IF(ISNUMBER(X2068),ROUNDUP(X2068,0),"")</x:f>
        <x:v>21</x:v>
      </x:c>
      <x:c r="Z2068" t="str">
        <x:v>Source match pending</x:v>
      </x:c>
      <x:c r="AA2068" t="str">
        <x:v>screencapture-www-activesportstrade-co-uk-olimp-trade-2026-09-10-09_05_33.pdf / page-13</x:v>
      </x:c>
      <x:c r="AB2068" s="36" t="n">
        <x:f>IF(ISNUMBER(Y2068),ROUND(Y2068*0.9,2),"")</x:f>
        <x:v>18.9</x:v>
      </x:c>
      <x:c r="AC2068" s="36" t="n">
        <x:f>IF(ISNUMBER(AB2068),ROUND(AB2068-(AB2068*0.015+0.2)-V2068,2),"")</x:f>
        <x:v>3.72</x:v>
      </x:c>
      <x:c r="AD2068" s="36" t="n">
        <x:f>IF(ISNUMBER(Y2068),ROUND(Y2068*0.8,2),"")</x:f>
        <x:v>16.8</x:v>
      </x:c>
      <x:c r="AE2068" s="36" t="n">
        <x:f>IF(ISNUMBER(AD2068),ROUND(AD2068*0.015+0.2,2),"")</x:f>
        <x:v>0.45</x:v>
      </x:c>
      <x:c r="AF2068" s="36" t="n">
        <x:f>IF(ISNUMBER(AD2068),ROUND(AD2068-AE2068-V2068,2),"")</x:f>
        <x:v>1.65</x:v>
      </x:c>
      <x:c r="AG2068" t="str">
        <x:f>IF(NOT(ISNUMBER(T2068)),"PENDING",IF(AF2068&gt;0,"PASS","FAIL"))</x:f>
        <x:v>PASS</x:v>
      </x:c>
      <x:c r="AH2068" t="str">
        <x:f>IF(NOT(ISNUMBER(T2068)),"Needs supplier cost",IF(K2068&lt;&gt;"In stock","Supplier unavailable",IF(AG2068&lt;&gt;"PASS","BLOCK - GT loss risk","Commercially protected")))</x:f>
        <x:v>Commercially protected</x:v>
      </x:c>
      <x:c r="AI2068" t="str">
        <x:v>2026-09-10 Active Sports trade capture</x:v>
      </x:c>
      <x:c r="AJ2068" t="str">
        <x:v>Management-only economics. Stripe stress test uses 1.5% + £0.20 standard UK online-card fee; pallet/mix-and-match pricing ignored.</x:v>
      </x:c>
    </x:row>
    <x:row r="2069">
      <x:c r="A2069" t="str">
        <x:v>Active Sports Nutrition</x:v>
      </x:c>
      <x:c r="B2069" t="str">
        <x:v>Olimp</x:v>
      </x:c>
      <x:c r="C2069" t="str">
        <x:v>Veggie Protein Complex</x:v>
      </x:c>
      <x:c r="D2069" t="str">
        <x:v>Supplements</x:v>
      </x:c>
      <x:c r="E2069" t="str">
        <x:v>Protein Blends</x:v>
      </x:c>
      <x:c r="F2069" t="str"/>
      <x:c r="G2069" t="str">
        <x:v>500g</x:v>
      </x:c>
      <x:c r="H2069" t="str">
        <x:v>Natural</x:v>
      </x:c>
      <x:c r="I2069" t="str"/>
      <x:c r="J2069" t="str">
        <x:v>Unit</x:v>
      </x:c>
      <x:c r="K2069" t="str">
        <x:v>In stock</x:v>
      </x:c>
      <x:c r="L2069" t="str">
        <x:v>2026-09-08</x:v>
      </x:c>
      <x:c r="M2069" t="str"/>
      <x:c r="N2069" t="str"/>
      <x:c r="O2069" t="str">
        <x:v>https://www.activesportstrade.co.uk/olimp-trade</x:v>
      </x:c>
      <x:c r="P2069" t="str"/>
      <x:c r="Q2069" t="str"/>
      <x:c r="R2069" t="str"/>
      <x:c r="S2069" t="str">
        <x:v>Pending genuine supplier/brand image</x:v>
      </x:c>
      <x:c r="T2069" s="54" t="n">
        <x:v>12.25</x:v>
      </x:c>
      <x:c r="U2069" s="47" t="n">
        <x:v>0.2</x:v>
      </x:c>
      <x:c r="V2069" s="54" t="n">
        <x:f>IF(ISNUMBER(T2069),T2069*(1+U2069),"")</x:f>
        <x:v>14.7</x:v>
      </x:c>
      <x:c r="W2069" s="47" t="n">
        <x:v>0.3</x:v>
      </x:c>
      <x:c r="X2069" s="54" t="n">
        <x:f>IF(ISNUMBER(V2069),V2069/(1-W2069),"")</x:f>
        <x:v>21</x:v>
      </x:c>
      <x:c r="Y2069" s="55" t="n">
        <x:f>IF(ISNUMBER(X2069),ROUNDUP(X2069,0),"")</x:f>
        <x:v>21</x:v>
      </x:c>
      <x:c r="Z2069" t="str">
        <x:v>Source match pending</x:v>
      </x:c>
      <x:c r="AA2069" t="str">
        <x:v>screencapture-www-activesportstrade-co-uk-olimp-trade-2026-09-10-09_05_33.pdf / page-13</x:v>
      </x:c>
      <x:c r="AB2069" s="36" t="n">
        <x:f>IF(ISNUMBER(Y2069),ROUND(Y2069*0.9,2),"")</x:f>
        <x:v>18.9</x:v>
      </x:c>
      <x:c r="AC2069" s="36" t="n">
        <x:f>IF(ISNUMBER(AB2069),ROUND(AB2069-(AB2069*0.015+0.2)-V2069,2),"")</x:f>
        <x:v>3.72</x:v>
      </x:c>
      <x:c r="AD2069" s="36" t="n">
        <x:f>IF(ISNUMBER(Y2069),ROUND(Y2069*0.8,2),"")</x:f>
        <x:v>16.8</x:v>
      </x:c>
      <x:c r="AE2069" s="36" t="n">
        <x:f>IF(ISNUMBER(AD2069),ROUND(AD2069*0.015+0.2,2),"")</x:f>
        <x:v>0.45</x:v>
      </x:c>
      <x:c r="AF2069" s="36" t="n">
        <x:f>IF(ISNUMBER(AD2069),ROUND(AD2069-AE2069-V2069,2),"")</x:f>
        <x:v>1.65</x:v>
      </x:c>
      <x:c r="AG2069" t="str">
        <x:f>IF(NOT(ISNUMBER(T2069)),"PENDING",IF(AF2069&gt;0,"PASS","FAIL"))</x:f>
        <x:v>PASS</x:v>
      </x:c>
      <x:c r="AH2069" t="str">
        <x:f>IF(NOT(ISNUMBER(T2069)),"Needs supplier cost",IF(K2069&lt;&gt;"In stock","Supplier unavailable",IF(AG2069&lt;&gt;"PASS","BLOCK - GT loss risk","Commercially protected")))</x:f>
        <x:v>Commercially protected</x:v>
      </x:c>
      <x:c r="AI2069" t="str">
        <x:v>2026-09-10 Active Sports trade capture</x:v>
      </x:c>
      <x:c r="AJ2069" t="str">
        <x:v>Management-only economics. Stripe stress test uses 1.5% + £0.20 standard UK online-card fee; pallet/mix-and-match pricing ignored.</x:v>
      </x:c>
    </x:row>
    <x:row r="2070">
      <x:c r="A2070" t="str">
        <x:v>Active Sports Nutrition</x:v>
      </x:c>
      <x:c r="B2070" t="str">
        <x:v>Olimp</x:v>
      </x:c>
      <x:c r="C2070" t="str">
        <x:v>Vita Min One</x:v>
      </x:c>
      <x:c r="D2070" t="str">
        <x:v>Supplements</x:v>
      </x:c>
      <x:c r="E2070" t="str">
        <x:v>Vitamins and Minerals</x:v>
      </x:c>
      <x:c r="F2070" t="str"/>
      <x:c r="G2070" t="str">
        <x:v>60 caps</x:v>
      </x:c>
      <x:c r="H2070" t="str">
        <x:v>Default</x:v>
      </x:c>
      <x:c r="I2070" t="str"/>
      <x:c r="J2070" t="str">
        <x:v>Unit</x:v>
      </x:c>
      <x:c r="K2070" t="str">
        <x:v>In stock</x:v>
      </x:c>
      <x:c r="L2070" t="str">
        <x:v>2026-09-08</x:v>
      </x:c>
      <x:c r="M2070" t="str"/>
      <x:c r="N2070" t="str"/>
      <x:c r="O2070" t="str">
        <x:v>https://www.activesportstrade.co.uk/olimp-trade</x:v>
      </x:c>
      <x:c r="P2070" t="str"/>
      <x:c r="Q2070" t="str"/>
      <x:c r="R2070" t="str"/>
      <x:c r="S2070" t="str">
        <x:v>Pending genuine supplier/brand image</x:v>
      </x:c>
      <x:c r="T2070" s="54" t="n">
        <x:v>3.74</x:v>
      </x:c>
      <x:c r="U2070" s="47" t="n">
        <x:v>0.2</x:v>
      </x:c>
      <x:c r="V2070" s="54" t="n">
        <x:f>IF(ISNUMBER(T2070),T2070*(1+U2070),"")</x:f>
        <x:v>4.488</x:v>
      </x:c>
      <x:c r="W2070" s="47" t="n">
        <x:v>0.3</x:v>
      </x:c>
      <x:c r="X2070" s="54" t="n">
        <x:f>IF(ISNUMBER(V2070),V2070/(1-W2070),"")</x:f>
        <x:v>6.411428571428573</x:v>
      </x:c>
      <x:c r="Y2070" s="55" t="n">
        <x:f>IF(ISNUMBER(X2070),ROUNDUP(X2070,0),"")</x:f>
        <x:v>7</x:v>
      </x:c>
      <x:c r="Z2070" t="str">
        <x:v>Source match pending</x:v>
      </x:c>
      <x:c r="AA2070" t="str">
        <x:v>screencapture-www-activesportstrade-co-uk-olimp-trade-2026-09-10-09_05_33.pdf / page-13</x:v>
      </x:c>
      <x:c r="AB2070" s="36" t="n">
        <x:f>IF(ISNUMBER(Y2070),ROUND(Y2070*0.9,2),"")</x:f>
        <x:v>6.3</x:v>
      </x:c>
      <x:c r="AC2070" s="36" t="n">
        <x:f>IF(ISNUMBER(AB2070),ROUND(AB2070-(AB2070*0.015+0.2)-V2070,2),"")</x:f>
        <x:v>1.52</x:v>
      </x:c>
      <x:c r="AD2070" s="36" t="n">
        <x:f>IF(ISNUMBER(Y2070),ROUND(Y2070*0.8,2),"")</x:f>
        <x:v>5.6</x:v>
      </x:c>
      <x:c r="AE2070" s="36" t="n">
        <x:f>IF(ISNUMBER(AD2070),ROUND(AD2070*0.015+0.2,2),"")</x:f>
        <x:v>0.28</x:v>
      </x:c>
      <x:c r="AF2070" s="36" t="n">
        <x:f>IF(ISNUMBER(AD2070),ROUND(AD2070-AE2070-V2070,2),"")</x:f>
        <x:v>0.83</x:v>
      </x:c>
      <x:c r="AG2070" t="str">
        <x:f>IF(NOT(ISNUMBER(T2070)),"PENDING",IF(AF2070&gt;0,"PASS","FAIL"))</x:f>
        <x:v>PASS</x:v>
      </x:c>
      <x:c r="AH2070" t="str">
        <x:f>IF(NOT(ISNUMBER(T2070)),"Needs supplier cost",IF(K2070&lt;&gt;"In stock","Supplier unavailable",IF(AG2070&lt;&gt;"PASS","BLOCK - GT loss risk","Commercially protected")))</x:f>
        <x:v>Commercially protected</x:v>
      </x:c>
      <x:c r="AI2070" t="str">
        <x:v>2026-09-10 Active Sports trade capture</x:v>
      </x:c>
      <x:c r="AJ2070" t="str">
        <x:v>Management-only economics. Stripe stress test uses 1.5% + £0.20 standard UK online-card fee; pallet/mix-and-match pricing ignored.</x:v>
      </x:c>
    </x:row>
    <x:row r="2071">
      <x:c r="A2071" t="str">
        <x:v>Active Sports Nutrition</x:v>
      </x:c>
      <x:c r="B2071" t="str">
        <x:v>Olimp</x:v>
      </x:c>
      <x:c r="C2071" t="str">
        <x:v>Vita-Min Multiple Sport Tabs</x:v>
      </x:c>
      <x:c r="D2071" t="str">
        <x:v>Supplements</x:v>
      </x:c>
      <x:c r="E2071" t="str">
        <x:v>Vitamins and Minerals</x:v>
      </x:c>
      <x:c r="F2071" t="str"/>
      <x:c r="G2071" t="str">
        <x:v>20 effervescent tabs</x:v>
      </x:c>
      <x:c r="H2071" t="str">
        <x:v>Citrus</x:v>
      </x:c>
      <x:c r="I2071" t="str"/>
      <x:c r="J2071" t="str">
        <x:v>Unit</x:v>
      </x:c>
      <x:c r="K2071" t="str">
        <x:v>In stock</x:v>
      </x:c>
      <x:c r="L2071" t="str">
        <x:v>2026-09-08</x:v>
      </x:c>
      <x:c r="M2071" t="str"/>
      <x:c r="N2071" t="str"/>
      <x:c r="O2071" t="str">
        <x:v>https://www.activesportstrade.co.uk/olimp-trade</x:v>
      </x:c>
      <x:c r="P2071" t="str"/>
      <x:c r="Q2071" t="str"/>
      <x:c r="R2071" t="str"/>
      <x:c r="S2071" t="str">
        <x:v>Pending genuine supplier/brand image</x:v>
      </x:c>
      <x:c r="T2071" s="54" t="n">
        <x:v>2.56</x:v>
      </x:c>
      <x:c r="U2071" s="47" t="n">
        <x:v>0.2</x:v>
      </x:c>
      <x:c r="V2071" s="54" t="n">
        <x:f>IF(ISNUMBER(T2071),T2071*(1+U2071),"")</x:f>
        <x:v>3.072</x:v>
      </x:c>
      <x:c r="W2071" s="47" t="n">
        <x:v>0.3</x:v>
      </x:c>
      <x:c r="X2071" s="54" t="n">
        <x:f>IF(ISNUMBER(V2071),V2071/(1-W2071),"")</x:f>
        <x:v>4.388571428571429</x:v>
      </x:c>
      <x:c r="Y2071" s="55" t="n">
        <x:f>IF(ISNUMBER(X2071),ROUNDUP(X2071,0),"")</x:f>
        <x:v>5</x:v>
      </x:c>
      <x:c r="Z2071" t="str">
        <x:v>Source match pending</x:v>
      </x:c>
      <x:c r="AA2071" t="str">
        <x:v>screencapture-www-activesportstrade-co-uk-olimp-trade-2026-09-10-09_05_33.pdf / page-14</x:v>
      </x:c>
      <x:c r="AB2071" s="36" t="n">
        <x:f>IF(ISNUMBER(Y2071),ROUND(Y2071*0.9,2),"")</x:f>
        <x:v>4.5</x:v>
      </x:c>
      <x:c r="AC2071" s="36" t="n">
        <x:f>IF(ISNUMBER(AB2071),ROUND(AB2071-(AB2071*0.015+0.2)-V2071,2),"")</x:f>
        <x:v>1.16</x:v>
      </x:c>
      <x:c r="AD2071" s="36" t="n">
        <x:f>IF(ISNUMBER(Y2071),ROUND(Y2071*0.8,2),"")</x:f>
        <x:v>4</x:v>
      </x:c>
      <x:c r="AE2071" s="36" t="n">
        <x:f>IF(ISNUMBER(AD2071),ROUND(AD2071*0.015+0.2,2),"")</x:f>
        <x:v>0.26</x:v>
      </x:c>
      <x:c r="AF2071" s="36" t="n">
        <x:f>IF(ISNUMBER(AD2071),ROUND(AD2071-AE2071-V2071,2),"")</x:f>
        <x:v>0.67</x:v>
      </x:c>
      <x:c r="AG2071" t="str">
        <x:f>IF(NOT(ISNUMBER(T2071)),"PENDING",IF(AF2071&gt;0,"PASS","FAIL"))</x:f>
        <x:v>PASS</x:v>
      </x:c>
      <x:c r="AH2071" t="str">
        <x:f>IF(NOT(ISNUMBER(T2071)),"Needs supplier cost",IF(K2071&lt;&gt;"In stock","Supplier unavailable",IF(AG2071&lt;&gt;"PASS","BLOCK - GT loss risk","Commercially protected")))</x:f>
        <x:v>Commercially protected</x:v>
      </x:c>
      <x:c r="AI2071" t="str">
        <x:v>2026-09-10 Active Sports trade capture</x:v>
      </x:c>
      <x:c r="AJ2071" t="str">
        <x:v>Management-only economics. Stripe stress test uses 1.5% + £0.20 standard UK online-card fee; pallet/mix-and-match pricing ignored.</x:v>
      </x:c>
    </x:row>
    <x:row r="2072">
      <x:c r="A2072" t="str">
        <x:v>Active Sports Nutrition</x:v>
      </x:c>
      <x:c r="B2072" t="str">
        <x:v>Olimp</x:v>
      </x:c>
      <x:c r="C2072" t="str">
        <x:v>Vita-min Multiple Sports 40+</x:v>
      </x:c>
      <x:c r="D2072" t="str">
        <x:v>Supplements</x:v>
      </x:c>
      <x:c r="E2072" t="str">
        <x:v>Vitamins and Minerals</x:v>
      </x:c>
      <x:c r="F2072" t="str"/>
      <x:c r="G2072" t="str">
        <x:v>60 Mega Caps</x:v>
      </x:c>
      <x:c r="H2072" t="str">
        <x:v>Default</x:v>
      </x:c>
      <x:c r="I2072" t="str"/>
      <x:c r="J2072" t="str">
        <x:v>Unit</x:v>
      </x:c>
      <x:c r="K2072" t="str">
        <x:v>Out of stock</x:v>
      </x:c>
      <x:c r="L2072" t="str">
        <x:v>2026-09-08</x:v>
      </x:c>
      <x:c r="M2072" t="str"/>
      <x:c r="N2072" t="str"/>
      <x:c r="O2072" t="str">
        <x:v>https://www.activesportstrade.co.uk/olimp-trade</x:v>
      </x:c>
      <x:c r="P2072" t="str"/>
      <x:c r="Q2072" t="str"/>
      <x:c r="R2072" t="str"/>
      <x:c r="S2072" t="str">
        <x:v>Pending genuine supplier/brand image</x:v>
      </x:c>
      <x:c r="T2072" s="54" t="n">
        <x:v>7.45</x:v>
      </x:c>
      <x:c r="U2072" s="47" t="n">
        <x:v>0.2</x:v>
      </x:c>
      <x:c r="V2072" s="54" t="n">
        <x:f>IF(ISNUMBER(T2072),T2072*(1+U2072),"")</x:f>
        <x:v>8.94</x:v>
      </x:c>
      <x:c r="W2072" s="47" t="n">
        <x:v>0.3</x:v>
      </x:c>
      <x:c r="X2072" s="54" t="n">
        <x:f>IF(ISNUMBER(V2072),V2072/(1-W2072),"")</x:f>
        <x:v>12.771428571428572</x:v>
      </x:c>
      <x:c r="Y2072" s="55" t="n">
        <x:f>IF(ISNUMBER(X2072),ROUNDUP(X2072,0),"")</x:f>
        <x:v>13</x:v>
      </x:c>
      <x:c r="Z2072" t="str">
        <x:v>Source match pending</x:v>
      </x:c>
      <x:c r="AA2072" t="str">
        <x:v>screencapture-www-activesportstrade-co-uk-olimp-trade-2026-09-10-09_05_33.pdf / page-14</x:v>
      </x:c>
      <x:c r="AB2072" s="36" t="n">
        <x:f>IF(ISNUMBER(Y2072),ROUND(Y2072*0.9,2),"")</x:f>
        <x:v>11.7</x:v>
      </x:c>
      <x:c r="AC2072" s="36" t="n">
        <x:f>IF(ISNUMBER(AB2072),ROUND(AB2072-(AB2072*0.015+0.2)-V2072,2),"")</x:f>
        <x:v>2.38</x:v>
      </x:c>
      <x:c r="AD2072" s="36" t="n">
        <x:f>IF(ISNUMBER(Y2072),ROUND(Y2072*0.8,2),"")</x:f>
        <x:v>10.4</x:v>
      </x:c>
      <x:c r="AE2072" s="36" t="n">
        <x:f>IF(ISNUMBER(AD2072),ROUND(AD2072*0.015+0.2,2),"")</x:f>
        <x:v>0.36</x:v>
      </x:c>
      <x:c r="AF2072" s="36" t="n">
        <x:f>IF(ISNUMBER(AD2072),ROUND(AD2072-AE2072-V2072,2),"")</x:f>
        <x:v>1.1</x:v>
      </x:c>
      <x:c r="AG2072" t="str">
        <x:f>IF(NOT(ISNUMBER(T2072)),"PENDING",IF(AF2072&gt;0,"PASS","FAIL"))</x:f>
        <x:v>PASS</x:v>
      </x:c>
      <x:c r="AH2072" t="str">
        <x:f>IF(NOT(ISNUMBER(T2072)),"Needs supplier cost",IF(K2072&lt;&gt;"In stock","Supplier unavailable",IF(AG2072&lt;&gt;"PASS","BLOCK - GT loss risk","Commercially protected")))</x:f>
        <x:v>Supplier unavailable</x:v>
      </x:c>
      <x:c r="AI2072" t="str">
        <x:v>2026-09-10 Active Sports trade capture</x:v>
      </x:c>
      <x:c r="AJ2072" t="str">
        <x:v>Management-only economics. Stripe stress test uses 1.5% + £0.20 standard UK online-card fee; pallet/mix-and-match pricing ignored.</x:v>
      </x:c>
    </x:row>
    <x:row r="2073">
      <x:c r="A2073" t="str">
        <x:v>Active Sports Nutrition</x:v>
      </x:c>
      <x:c r="B2073" t="str">
        <x:v>Olimp</x:v>
      </x:c>
      <x:c r="C2073" t="str">
        <x:v>Vita-min Multiple Sports Shots</x:v>
      </x:c>
      <x:c r="D2073" t="str">
        <x:v>Supplements</x:v>
      </x:c>
      <x:c r="E2073" t="str">
        <x:v>Vitamins and Minerals</x:v>
      </x:c>
      <x:c r="F2073" t="str"/>
      <x:c r="G2073" t="str">
        <x:v>9 x 25ml shots</x:v>
      </x:c>
      <x:c r="H2073" t="str">
        <x:v>Citrus Punch</x:v>
      </x:c>
      <x:c r="I2073" t="str">
        <x:v>9</x:v>
      </x:c>
      <x:c r="J2073" t="str">
        <x:v>Case</x:v>
      </x:c>
      <x:c r="K2073" t="str">
        <x:v>In stock</x:v>
      </x:c>
      <x:c r="L2073" t="str">
        <x:v>2026-09-08</x:v>
      </x:c>
      <x:c r="M2073" t="str"/>
      <x:c r="N2073" t="str"/>
      <x:c r="O2073" t="str">
        <x:v>https://www.activesportstrade.co.uk/olimp-trade</x:v>
      </x:c>
      <x:c r="P2073" t="str">
        <x:v>PALLET PROMO pricing/minimum-order boilerplate excluded; case-only.</x:v>
      </x:c>
      <x:c r="Q2073" t="str"/>
      <x:c r="R2073" t="str"/>
      <x:c r="S2073" t="str">
        <x:v>Pending genuine supplier/brand image</x:v>
      </x:c>
      <x:c r="T2073" s="54" t="n">
        <x:v>8.2</x:v>
      </x:c>
      <x:c r="U2073" s="47" t="n">
        <x:v>0.2</x:v>
      </x:c>
      <x:c r="V2073" s="54" t="n">
        <x:f>IF(ISNUMBER(T2073),T2073*(1+U2073),"")</x:f>
        <x:v>9.839999999999998</x:v>
      </x:c>
      <x:c r="W2073" s="47" t="n">
        <x:v>0.3</x:v>
      </x:c>
      <x:c r="X2073" s="54" t="n">
        <x:f>IF(ISNUMBER(V2073),V2073/(1-W2073),"")</x:f>
        <x:v>14.057142857142855</x:v>
      </x:c>
      <x:c r="Y2073" s="55" t="n">
        <x:f>IF(ISNUMBER(X2073),ROUNDUP(X2073,0),"")</x:f>
        <x:v>15</x:v>
      </x:c>
      <x:c r="Z2073" t="str">
        <x:v>Source match pending</x:v>
      </x:c>
      <x:c r="AA2073" t="str">
        <x:v>screencapture-www-activesportstrade-co-uk-olimp-trade-2026-09-10-09_05_33.pdf / page-14</x:v>
      </x:c>
      <x:c r="AB2073" s="36" t="n">
        <x:f>IF(ISNUMBER(Y2073),ROUND(Y2073*0.9,2),"")</x:f>
        <x:v>13.5</x:v>
      </x:c>
      <x:c r="AC2073" s="36" t="n">
        <x:f>IF(ISNUMBER(AB2073),ROUND(AB2073-(AB2073*0.015+0.2)-V2073,2),"")</x:f>
        <x:v>3.26</x:v>
      </x:c>
      <x:c r="AD2073" s="36" t="n">
        <x:f>IF(ISNUMBER(Y2073),ROUND(Y2073*0.8,2),"")</x:f>
        <x:v>12</x:v>
      </x:c>
      <x:c r="AE2073" s="36" t="n">
        <x:f>IF(ISNUMBER(AD2073),ROUND(AD2073*0.015+0.2,2),"")</x:f>
        <x:v>0.38</x:v>
      </x:c>
      <x:c r="AF2073" s="36" t="n">
        <x:f>IF(ISNUMBER(AD2073),ROUND(AD2073-AE2073-V2073,2),"")</x:f>
        <x:v>1.78</x:v>
      </x:c>
      <x:c r="AG2073" t="str">
        <x:f>IF(NOT(ISNUMBER(T2073)),"PENDING",IF(AF2073&gt;0,"PASS","FAIL"))</x:f>
        <x:v>PASS</x:v>
      </x:c>
      <x:c r="AH2073" t="str">
        <x:f>IF(NOT(ISNUMBER(T2073)),"Needs supplier cost",IF(K2073&lt;&gt;"In stock","Supplier unavailable",IF(AG2073&lt;&gt;"PASS","BLOCK - GT loss risk","Commercially protected")))</x:f>
        <x:v>Commercially protected</x:v>
      </x:c>
      <x:c r="AI2073" t="str">
        <x:v>2026-09-10 Active Sports trade capture</x:v>
      </x:c>
      <x:c r="AJ2073" t="str">
        <x:v>Management-only economics. Stripe stress test uses 1.5% + £0.20 standard UK online-card fee; pallet/mix-and-match pricing ignored.</x:v>
      </x:c>
    </x:row>
    <x:row r="2074">
      <x:c r="A2074" t="str">
        <x:v>Active Sports Nutrition</x:v>
      </x:c>
      <x:c r="B2074" t="str">
        <x:v>Olimp</x:v>
      </x:c>
      <x:c r="C2074" t="str">
        <x:v>Vita-min Multiple Sports</x:v>
      </x:c>
      <x:c r="D2074" t="str">
        <x:v>Supplements</x:v>
      </x:c>
      <x:c r="E2074" t="str">
        <x:v>Vitamins and Minerals</x:v>
      </x:c>
      <x:c r="F2074" t="str"/>
      <x:c r="G2074" t="str">
        <x:v>60 Mega Caps</x:v>
      </x:c>
      <x:c r="H2074" t="str">
        <x:v>Default</x:v>
      </x:c>
      <x:c r="I2074" t="str"/>
      <x:c r="J2074" t="str">
        <x:v>Unit</x:v>
      </x:c>
      <x:c r="K2074" t="str">
        <x:v>Out of stock</x:v>
      </x:c>
      <x:c r="L2074" t="str">
        <x:v>2026-09-08</x:v>
      </x:c>
      <x:c r="M2074" t="str"/>
      <x:c r="N2074" t="str"/>
      <x:c r="O2074" t="str">
        <x:v>https://www.activesportstrade.co.uk/olimp-trade</x:v>
      </x:c>
      <x:c r="P2074" t="str"/>
      <x:c r="Q2074" t="str"/>
      <x:c r="R2074" t="str"/>
      <x:c r="S2074" t="str">
        <x:v>Pending genuine supplier/brand image</x:v>
      </x:c>
      <x:c r="T2074" s="54" t="n">
        <x:v>7.19</x:v>
      </x:c>
      <x:c r="U2074" s="47" t="n">
        <x:v>0.2</x:v>
      </x:c>
      <x:c r="V2074" s="54" t="n">
        <x:f>IF(ISNUMBER(T2074),T2074*(1+U2074),"")</x:f>
        <x:v>8.628</x:v>
      </x:c>
      <x:c r="W2074" s="47" t="n">
        <x:v>0.3</x:v>
      </x:c>
      <x:c r="X2074" s="54" t="n">
        <x:f>IF(ISNUMBER(V2074),V2074/(1-W2074),"")</x:f>
        <x:v>12.325714285714287</x:v>
      </x:c>
      <x:c r="Y2074" s="55" t="n">
        <x:f>IF(ISNUMBER(X2074),ROUNDUP(X2074,0),"")</x:f>
        <x:v>13</x:v>
      </x:c>
      <x:c r="Z2074" t="str">
        <x:v>Source match pending</x:v>
      </x:c>
      <x:c r="AA2074" t="str">
        <x:v>screencapture-www-activesportstrade-co-uk-olimp-trade-2026-09-10-09_05_33.pdf / page-14</x:v>
      </x:c>
      <x:c r="AB2074" s="36" t="n">
        <x:f>IF(ISNUMBER(Y2074),ROUND(Y2074*0.9,2),"")</x:f>
        <x:v>11.7</x:v>
      </x:c>
      <x:c r="AC2074" s="36" t="n">
        <x:f>IF(ISNUMBER(AB2074),ROUND(AB2074-(AB2074*0.015+0.2)-V2074,2),"")</x:f>
        <x:v>2.7</x:v>
      </x:c>
      <x:c r="AD2074" s="36" t="n">
        <x:f>IF(ISNUMBER(Y2074),ROUND(Y2074*0.8,2),"")</x:f>
        <x:v>10.4</x:v>
      </x:c>
      <x:c r="AE2074" s="36" t="n">
        <x:f>IF(ISNUMBER(AD2074),ROUND(AD2074*0.015+0.2,2),"")</x:f>
        <x:v>0.36</x:v>
      </x:c>
      <x:c r="AF2074" s="36" t="n">
        <x:f>IF(ISNUMBER(AD2074),ROUND(AD2074-AE2074-V2074,2),"")</x:f>
        <x:v>1.41</x:v>
      </x:c>
      <x:c r="AG2074" t="str">
        <x:f>IF(NOT(ISNUMBER(T2074)),"PENDING",IF(AF2074&gt;0,"PASS","FAIL"))</x:f>
        <x:v>PASS</x:v>
      </x:c>
      <x:c r="AH2074" t="str">
        <x:f>IF(NOT(ISNUMBER(T2074)),"Needs supplier cost",IF(K2074&lt;&gt;"In stock","Supplier unavailable",IF(AG2074&lt;&gt;"PASS","BLOCK - GT loss risk","Commercially protected")))</x:f>
        <x:v>Supplier unavailable</x:v>
      </x:c>
      <x:c r="AI2074" t="str">
        <x:v>2026-09-10 Active Sports trade capture</x:v>
      </x:c>
      <x:c r="AJ2074" t="str">
        <x:v>Management-only economics. Stripe stress test uses 1.5% + £0.20 standard UK online-card fee; pallet/mix-and-match pricing ignored.</x:v>
      </x:c>
    </x:row>
    <x:row r="2075">
      <x:c r="A2075" t="str">
        <x:v>Active Sports Nutrition</x:v>
      </x:c>
      <x:c r="B2075" t="str">
        <x:v>Olimp</x:v>
      </x:c>
      <x:c r="C2075" t="str">
        <x:v>Whey Protein Complex 100%</x:v>
      </x:c>
      <x:c r="D2075" t="str">
        <x:v>Supplements</x:v>
      </x:c>
      <x:c r="E2075" t="str">
        <x:v>Whey Protein</x:v>
      </x:c>
      <x:c r="F2075" t="str"/>
      <x:c r="G2075" t="str">
        <x:v>1.8kg</x:v>
      </x:c>
      <x:c r="H2075" t="str">
        <x:v>Chocolate</x:v>
      </x:c>
      <x:c r="I2075" t="str"/>
      <x:c r="J2075" t="str">
        <x:v>Unit</x:v>
      </x:c>
      <x:c r="K2075" t="str">
        <x:v>Out of stock</x:v>
      </x:c>
      <x:c r="L2075" t="str">
        <x:v>2026-09-08</x:v>
      </x:c>
      <x:c r="M2075" t="str"/>
      <x:c r="N2075" t="str"/>
      <x:c r="O2075" t="str">
        <x:v>https://www.activesportstrade.co.uk/olimp-trade</x:v>
      </x:c>
      <x:c r="P2075" t="str"/>
      <x:c r="Q2075" t="str"/>
      <x:c r="R2075" t="str"/>
      <x:c r="S2075" t="str">
        <x:v>Pending genuine supplier/brand image</x:v>
      </x:c>
      <x:c r="T2075" s="54" t="n">
        <x:v>39.99</x:v>
      </x:c>
      <x:c r="U2075" s="47" t="n">
        <x:v>0.2</x:v>
      </x:c>
      <x:c r="V2075" s="54" t="n">
        <x:f>IF(ISNUMBER(T2075),T2075*(1+U2075),"")</x:f>
        <x:v>47.988</x:v>
      </x:c>
      <x:c r="W2075" s="47" t="n">
        <x:v>0.3</x:v>
      </x:c>
      <x:c r="X2075" s="54" t="n">
        <x:f>IF(ISNUMBER(V2075),V2075/(1-W2075),"")</x:f>
        <x:v>68.55428571428571</x:v>
      </x:c>
      <x:c r="Y2075" s="55" t="n">
        <x:f>IF(ISNUMBER(X2075),ROUNDUP(X2075,0),"")</x:f>
        <x:v>69</x:v>
      </x:c>
      <x:c r="Z2075" t="str">
        <x:v>Source match pending</x:v>
      </x:c>
      <x:c r="AA2075" t="str">
        <x:v>screencapture-www-activesportstrade-co-uk-olimp-trade-2026-09-10-09_05_33.pdf / page-14</x:v>
      </x:c>
      <x:c r="AB2075" s="36" t="n">
        <x:f>IF(ISNUMBER(Y2075),ROUND(Y2075*0.9,2),"")</x:f>
        <x:v>62.1</x:v>
      </x:c>
      <x:c r="AC2075" s="36" t="n">
        <x:f>IF(ISNUMBER(AB2075),ROUND(AB2075-(AB2075*0.015+0.2)-V2075,2),"")</x:f>
        <x:v>12.98</x:v>
      </x:c>
      <x:c r="AD2075" s="36" t="n">
        <x:f>IF(ISNUMBER(Y2075),ROUND(Y2075*0.8,2),"")</x:f>
        <x:v>55.2</x:v>
      </x:c>
      <x:c r="AE2075" s="36" t="n">
        <x:f>IF(ISNUMBER(AD2075),ROUND(AD2075*0.015+0.2,2),"")</x:f>
        <x:v>1.03</x:v>
      </x:c>
      <x:c r="AF2075" s="36" t="n">
        <x:f>IF(ISNUMBER(AD2075),ROUND(AD2075-AE2075-V2075,2),"")</x:f>
        <x:v>6.18</x:v>
      </x:c>
      <x:c r="AG2075" t="str">
        <x:f>IF(NOT(ISNUMBER(T2075)),"PENDING",IF(AF2075&gt;0,"PASS","FAIL"))</x:f>
        <x:v>PASS</x:v>
      </x:c>
      <x:c r="AH2075" t="str">
        <x:f>IF(NOT(ISNUMBER(T2075)),"Needs supplier cost",IF(K2075&lt;&gt;"In stock","Supplier unavailable",IF(AG2075&lt;&gt;"PASS","BLOCK - GT loss risk","Commercially protected")))</x:f>
        <x:v>Supplier unavailable</x:v>
      </x:c>
      <x:c r="AI2075" t="str">
        <x:v>2026-09-10 Active Sports trade capture</x:v>
      </x:c>
      <x:c r="AJ2075" t="str">
        <x:v>Management-only economics. Stripe stress test uses 1.5% + £0.20 standard UK online-card fee; pallet/mix-and-match pricing ignored.</x:v>
      </x:c>
    </x:row>
    <x:row r="2076">
      <x:c r="A2076" t="str">
        <x:v>Active Sports Nutrition</x:v>
      </x:c>
      <x:c r="B2076" t="str">
        <x:v>Olimp</x:v>
      </x:c>
      <x:c r="C2076" t="str">
        <x:v>Whey Protein Complex 100%</x:v>
      </x:c>
      <x:c r="D2076" t="str">
        <x:v>Supplements</x:v>
      </x:c>
      <x:c r="E2076" t="str">
        <x:v>Whey Protein</x:v>
      </x:c>
      <x:c r="F2076" t="str"/>
      <x:c r="G2076" t="str">
        <x:v>1.8kg</x:v>
      </x:c>
      <x:c r="H2076" t="str">
        <x:v>Cookies and Cream</x:v>
      </x:c>
      <x:c r="I2076" t="str"/>
      <x:c r="J2076" t="str">
        <x:v>Unit</x:v>
      </x:c>
      <x:c r="K2076" t="str">
        <x:v>Out of stock</x:v>
      </x:c>
      <x:c r="L2076" t="str">
        <x:v>2026-09-08</x:v>
      </x:c>
      <x:c r="M2076" t="str"/>
      <x:c r="N2076" t="str"/>
      <x:c r="O2076" t="str">
        <x:v>https://www.activesportstrade.co.uk/olimp-trade</x:v>
      </x:c>
      <x:c r="P2076" t="str"/>
      <x:c r="Q2076" t="str"/>
      <x:c r="R2076" t="str"/>
      <x:c r="S2076" t="str">
        <x:v>Pending genuine supplier/brand image</x:v>
      </x:c>
      <x:c r="T2076" s="54" t="n">
        <x:v>39.99</x:v>
      </x:c>
      <x:c r="U2076" s="47" t="n">
        <x:v>0.2</x:v>
      </x:c>
      <x:c r="V2076" s="54" t="n">
        <x:f>IF(ISNUMBER(T2076),T2076*(1+U2076),"")</x:f>
        <x:v>47.988</x:v>
      </x:c>
      <x:c r="W2076" s="47" t="n">
        <x:v>0.3</x:v>
      </x:c>
      <x:c r="X2076" s="54" t="n">
        <x:f>IF(ISNUMBER(V2076),V2076/(1-W2076),"")</x:f>
        <x:v>68.55428571428571</x:v>
      </x:c>
      <x:c r="Y2076" s="55" t="n">
        <x:f>IF(ISNUMBER(X2076),ROUNDUP(X2076,0),"")</x:f>
        <x:v>69</x:v>
      </x:c>
      <x:c r="Z2076" t="str">
        <x:v>Source match pending</x:v>
      </x:c>
      <x:c r="AA2076" t="str">
        <x:v>screencapture-www-activesportstrade-co-uk-olimp-trade-2026-09-10-09_05_33.pdf / page-14</x:v>
      </x:c>
      <x:c r="AB2076" s="36" t="n">
        <x:f>IF(ISNUMBER(Y2076),ROUND(Y2076*0.9,2),"")</x:f>
        <x:v>62.1</x:v>
      </x:c>
      <x:c r="AC2076" s="36" t="n">
        <x:f>IF(ISNUMBER(AB2076),ROUND(AB2076-(AB2076*0.015+0.2)-V2076,2),"")</x:f>
        <x:v>12.98</x:v>
      </x:c>
      <x:c r="AD2076" s="36" t="n">
        <x:f>IF(ISNUMBER(Y2076),ROUND(Y2076*0.8,2),"")</x:f>
        <x:v>55.2</x:v>
      </x:c>
      <x:c r="AE2076" s="36" t="n">
        <x:f>IF(ISNUMBER(AD2076),ROUND(AD2076*0.015+0.2,2),"")</x:f>
        <x:v>1.03</x:v>
      </x:c>
      <x:c r="AF2076" s="36" t="n">
        <x:f>IF(ISNUMBER(AD2076),ROUND(AD2076-AE2076-V2076,2),"")</x:f>
        <x:v>6.18</x:v>
      </x:c>
      <x:c r="AG2076" t="str">
        <x:f>IF(NOT(ISNUMBER(T2076)),"PENDING",IF(AF2076&gt;0,"PASS","FAIL"))</x:f>
        <x:v>PASS</x:v>
      </x:c>
      <x:c r="AH2076" t="str">
        <x:f>IF(NOT(ISNUMBER(T2076)),"Needs supplier cost",IF(K2076&lt;&gt;"In stock","Supplier unavailable",IF(AG2076&lt;&gt;"PASS","BLOCK - GT loss risk","Commercially protected")))</x:f>
        <x:v>Supplier unavailable</x:v>
      </x:c>
      <x:c r="AI2076" t="str">
        <x:v>2026-09-10 Active Sports trade capture</x:v>
      </x:c>
      <x:c r="AJ2076" t="str">
        <x:v>Management-only economics. Stripe stress test uses 1.5% + £0.20 standard UK online-card fee; pallet/mix-and-match pricing ignored.</x:v>
      </x:c>
    </x:row>
    <x:row r="2077">
      <x:c r="A2077" t="str">
        <x:v>Active Sports Nutrition</x:v>
      </x:c>
      <x:c r="B2077" t="str">
        <x:v>Olimp</x:v>
      </x:c>
      <x:c r="C2077" t="str">
        <x:v>Whey Protein Complex 100%</x:v>
      </x:c>
      <x:c r="D2077" t="str">
        <x:v>Supplements</x:v>
      </x:c>
      <x:c r="E2077" t="str">
        <x:v>Whey Protein</x:v>
      </x:c>
      <x:c r="F2077" t="str"/>
      <x:c r="G2077" t="str">
        <x:v>1.8kg</x:v>
      </x:c>
      <x:c r="H2077" t="str">
        <x:v>Double Chocolate</x:v>
      </x:c>
      <x:c r="I2077" t="str"/>
      <x:c r="J2077" t="str">
        <x:v>Unit</x:v>
      </x:c>
      <x:c r="K2077" t="str">
        <x:v>In stock</x:v>
      </x:c>
      <x:c r="L2077" t="str">
        <x:v>2026-09-08</x:v>
      </x:c>
      <x:c r="M2077" t="str"/>
      <x:c r="N2077" t="str"/>
      <x:c r="O2077" t="str">
        <x:v>https://www.activesportstrade.co.uk/olimp-trade</x:v>
      </x:c>
      <x:c r="P2077" t="str"/>
      <x:c r="Q2077" t="str"/>
      <x:c r="R2077" t="str"/>
      <x:c r="S2077" t="str">
        <x:v>Pending genuine supplier/brand image</x:v>
      </x:c>
      <x:c r="T2077" s="54" t="n">
        <x:v>39.99</x:v>
      </x:c>
      <x:c r="U2077" s="47" t="n">
        <x:v>0.2</x:v>
      </x:c>
      <x:c r="V2077" s="54" t="n">
        <x:f>IF(ISNUMBER(T2077),T2077*(1+U2077),"")</x:f>
        <x:v>47.988</x:v>
      </x:c>
      <x:c r="W2077" s="47" t="n">
        <x:v>0.3</x:v>
      </x:c>
      <x:c r="X2077" s="54" t="n">
        <x:f>IF(ISNUMBER(V2077),V2077/(1-W2077),"")</x:f>
        <x:v>68.55428571428571</x:v>
      </x:c>
      <x:c r="Y2077" s="55" t="n">
        <x:f>IF(ISNUMBER(X2077),ROUNDUP(X2077,0),"")</x:f>
        <x:v>69</x:v>
      </x:c>
      <x:c r="Z2077" t="str">
        <x:v>Source match pending</x:v>
      </x:c>
      <x:c r="AA2077" t="str">
        <x:v>screencapture-www-activesportstrade-co-uk-olimp-trade-2026-09-10-09_05_33.pdf / page-14</x:v>
      </x:c>
      <x:c r="AB2077" s="36" t="n">
        <x:f>IF(ISNUMBER(Y2077),ROUND(Y2077*0.9,2),"")</x:f>
        <x:v>62.1</x:v>
      </x:c>
      <x:c r="AC2077" s="36" t="n">
        <x:f>IF(ISNUMBER(AB2077),ROUND(AB2077-(AB2077*0.015+0.2)-V2077,2),"")</x:f>
        <x:v>12.98</x:v>
      </x:c>
      <x:c r="AD2077" s="36" t="n">
        <x:f>IF(ISNUMBER(Y2077),ROUND(Y2077*0.8,2),"")</x:f>
        <x:v>55.2</x:v>
      </x:c>
      <x:c r="AE2077" s="36" t="n">
        <x:f>IF(ISNUMBER(AD2077),ROUND(AD2077*0.015+0.2,2),"")</x:f>
        <x:v>1.03</x:v>
      </x:c>
      <x:c r="AF2077" s="36" t="n">
        <x:f>IF(ISNUMBER(AD2077),ROUND(AD2077-AE2077-V2077,2),"")</x:f>
        <x:v>6.18</x:v>
      </x:c>
      <x:c r="AG2077" t="str">
        <x:f>IF(NOT(ISNUMBER(T2077)),"PENDING",IF(AF2077&gt;0,"PASS","FAIL"))</x:f>
        <x:v>PASS</x:v>
      </x:c>
      <x:c r="AH2077" t="str">
        <x:f>IF(NOT(ISNUMBER(T2077)),"Needs supplier cost",IF(K2077&lt;&gt;"In stock","Supplier unavailable",IF(AG2077&lt;&gt;"PASS","BLOCK - GT loss risk","Commercially protected")))</x:f>
        <x:v>Commercially protected</x:v>
      </x:c>
      <x:c r="AI2077" t="str">
        <x:v>2026-09-10 Active Sports trade capture</x:v>
      </x:c>
      <x:c r="AJ2077" t="str">
        <x:v>Management-only economics. Stripe stress test uses 1.5% + £0.20 standard UK online-card fee; pallet/mix-and-match pricing ignored.</x:v>
      </x:c>
    </x:row>
    <x:row r="2078">
      <x:c r="A2078" t="str">
        <x:v>Active Sports Nutrition</x:v>
      </x:c>
      <x:c r="B2078" t="str">
        <x:v>Olimp</x:v>
      </x:c>
      <x:c r="C2078" t="str">
        <x:v>Whey Protein Complex 100%</x:v>
      </x:c>
      <x:c r="D2078" t="str">
        <x:v>Supplements</x:v>
      </x:c>
      <x:c r="E2078" t="str">
        <x:v>Whey Protein</x:v>
      </x:c>
      <x:c r="F2078" t="str"/>
      <x:c r="G2078" t="str">
        <x:v>1.8kg</x:v>
      </x:c>
      <x:c r="H2078" t="str">
        <x:v>Strawberry</x:v>
      </x:c>
      <x:c r="I2078" t="str"/>
      <x:c r="J2078" t="str">
        <x:v>Unit</x:v>
      </x:c>
      <x:c r="K2078" t="str">
        <x:v>In stock</x:v>
      </x:c>
      <x:c r="L2078" t="str">
        <x:v>2026-09-08</x:v>
      </x:c>
      <x:c r="M2078" t="str"/>
      <x:c r="N2078" t="str"/>
      <x:c r="O2078" t="str">
        <x:v>https://www.activesportstrade.co.uk/olimp-trade</x:v>
      </x:c>
      <x:c r="P2078" t="str"/>
      <x:c r="Q2078" t="str"/>
      <x:c r="R2078" t="str"/>
      <x:c r="S2078" t="str">
        <x:v>Pending genuine supplier/brand image</x:v>
      </x:c>
      <x:c r="T2078" s="54" t="n">
        <x:v>39.99</x:v>
      </x:c>
      <x:c r="U2078" s="47" t="n">
        <x:v>0.2</x:v>
      </x:c>
      <x:c r="V2078" s="54" t="n">
        <x:f>IF(ISNUMBER(T2078),T2078*(1+U2078),"")</x:f>
        <x:v>47.988</x:v>
      </x:c>
      <x:c r="W2078" s="47" t="n">
        <x:v>0.3</x:v>
      </x:c>
      <x:c r="X2078" s="54" t="n">
        <x:f>IF(ISNUMBER(V2078),V2078/(1-W2078),"")</x:f>
        <x:v>68.55428571428571</x:v>
      </x:c>
      <x:c r="Y2078" s="55" t="n">
        <x:f>IF(ISNUMBER(X2078),ROUNDUP(X2078,0),"")</x:f>
        <x:v>69</x:v>
      </x:c>
      <x:c r="Z2078" t="str">
        <x:v>Source match pending</x:v>
      </x:c>
      <x:c r="AA2078" t="str">
        <x:v>screencapture-www-activesportstrade-co-uk-olimp-trade-2026-09-10-09_05_33.pdf / page-14</x:v>
      </x:c>
      <x:c r="AB2078" s="36" t="n">
        <x:f>IF(ISNUMBER(Y2078),ROUND(Y2078*0.9,2),"")</x:f>
        <x:v>62.1</x:v>
      </x:c>
      <x:c r="AC2078" s="36" t="n">
        <x:f>IF(ISNUMBER(AB2078),ROUND(AB2078-(AB2078*0.015+0.2)-V2078,2),"")</x:f>
        <x:v>12.98</x:v>
      </x:c>
      <x:c r="AD2078" s="36" t="n">
        <x:f>IF(ISNUMBER(Y2078),ROUND(Y2078*0.8,2),"")</x:f>
        <x:v>55.2</x:v>
      </x:c>
      <x:c r="AE2078" s="36" t="n">
        <x:f>IF(ISNUMBER(AD2078),ROUND(AD2078*0.015+0.2,2),"")</x:f>
        <x:v>1.03</x:v>
      </x:c>
      <x:c r="AF2078" s="36" t="n">
        <x:f>IF(ISNUMBER(AD2078),ROUND(AD2078-AE2078-V2078,2),"")</x:f>
        <x:v>6.18</x:v>
      </x:c>
      <x:c r="AG2078" t="str">
        <x:f>IF(NOT(ISNUMBER(T2078)),"PENDING",IF(AF2078&gt;0,"PASS","FAIL"))</x:f>
        <x:v>PASS</x:v>
      </x:c>
      <x:c r="AH2078" t="str">
        <x:f>IF(NOT(ISNUMBER(T2078)),"Needs supplier cost",IF(K2078&lt;&gt;"In stock","Supplier unavailable",IF(AG2078&lt;&gt;"PASS","BLOCK - GT loss risk","Commercially protected")))</x:f>
        <x:v>Commercially protected</x:v>
      </x:c>
      <x:c r="AI2078" t="str">
        <x:v>2026-09-10 Active Sports trade capture</x:v>
      </x:c>
      <x:c r="AJ2078" t="str">
        <x:v>Management-only economics. Stripe stress test uses 1.5% + £0.20 standard UK online-card fee; pallet/mix-and-match pricing ignored.</x:v>
      </x:c>
    </x:row>
    <x:row r="2079">
      <x:c r="A2079" t="str">
        <x:v>Active Sports Nutrition</x:v>
      </x:c>
      <x:c r="B2079" t="str">
        <x:v>Olimp</x:v>
      </x:c>
      <x:c r="C2079" t="str">
        <x:v>Whey Protein Complex 100%</x:v>
      </x:c>
      <x:c r="D2079" t="str">
        <x:v>Supplements</x:v>
      </x:c>
      <x:c r="E2079" t="str">
        <x:v>Whey Protein</x:v>
      </x:c>
      <x:c r="F2079" t="str"/>
      <x:c r="G2079" t="str">
        <x:v>1.8kg</x:v>
      </x:c>
      <x:c r="H2079" t="str">
        <x:v>Vanilla</x:v>
      </x:c>
      <x:c r="I2079" t="str"/>
      <x:c r="J2079" t="str">
        <x:v>Unit</x:v>
      </x:c>
      <x:c r="K2079" t="str">
        <x:v>In stock</x:v>
      </x:c>
      <x:c r="L2079" t="str">
        <x:v>2026-09-08</x:v>
      </x:c>
      <x:c r="M2079" t="str"/>
      <x:c r="N2079" t="str"/>
      <x:c r="O2079" t="str">
        <x:v>https://www.activesportstrade.co.uk/olimp-trade</x:v>
      </x:c>
      <x:c r="P2079" t="str"/>
      <x:c r="Q2079" t="str"/>
      <x:c r="R2079" t="str"/>
      <x:c r="S2079" t="str">
        <x:v>Pending genuine supplier/brand image</x:v>
      </x:c>
      <x:c r="T2079" s="54" t="n">
        <x:v>39.99</x:v>
      </x:c>
      <x:c r="U2079" s="47" t="n">
        <x:v>0.2</x:v>
      </x:c>
      <x:c r="V2079" s="54" t="n">
        <x:f>IF(ISNUMBER(T2079),T2079*(1+U2079),"")</x:f>
        <x:v>47.988</x:v>
      </x:c>
      <x:c r="W2079" s="47" t="n">
        <x:v>0.3</x:v>
      </x:c>
      <x:c r="X2079" s="54" t="n">
        <x:f>IF(ISNUMBER(V2079),V2079/(1-W2079),"")</x:f>
        <x:v>68.55428571428571</x:v>
      </x:c>
      <x:c r="Y2079" s="55" t="n">
        <x:f>IF(ISNUMBER(X2079),ROUNDUP(X2079,0),"")</x:f>
        <x:v>69</x:v>
      </x:c>
      <x:c r="Z2079" t="str">
        <x:v>Source match pending</x:v>
      </x:c>
      <x:c r="AA2079" t="str">
        <x:v>screencapture-www-activesportstrade-co-uk-olimp-trade-2026-09-10-09_05_33.pdf / page-14</x:v>
      </x:c>
      <x:c r="AB2079" s="36" t="n">
        <x:f>IF(ISNUMBER(Y2079),ROUND(Y2079*0.9,2),"")</x:f>
        <x:v>62.1</x:v>
      </x:c>
      <x:c r="AC2079" s="36" t="n">
        <x:f>IF(ISNUMBER(AB2079),ROUND(AB2079-(AB2079*0.015+0.2)-V2079,2),"")</x:f>
        <x:v>12.98</x:v>
      </x:c>
      <x:c r="AD2079" s="36" t="n">
        <x:f>IF(ISNUMBER(Y2079),ROUND(Y2079*0.8,2),"")</x:f>
        <x:v>55.2</x:v>
      </x:c>
      <x:c r="AE2079" s="36" t="n">
        <x:f>IF(ISNUMBER(AD2079),ROUND(AD2079*0.015+0.2,2),"")</x:f>
        <x:v>1.03</x:v>
      </x:c>
      <x:c r="AF2079" s="36" t="n">
        <x:f>IF(ISNUMBER(AD2079),ROUND(AD2079-AE2079-V2079,2),"")</x:f>
        <x:v>6.18</x:v>
      </x:c>
      <x:c r="AG2079" t="str">
        <x:f>IF(NOT(ISNUMBER(T2079)),"PENDING",IF(AF2079&gt;0,"PASS","FAIL"))</x:f>
        <x:v>PASS</x:v>
      </x:c>
      <x:c r="AH2079" t="str">
        <x:f>IF(NOT(ISNUMBER(T2079)),"Needs supplier cost",IF(K2079&lt;&gt;"In stock","Supplier unavailable",IF(AG2079&lt;&gt;"PASS","BLOCK - GT loss risk","Commercially protected")))</x:f>
        <x:v>Commercially protected</x:v>
      </x:c>
      <x:c r="AI2079" t="str">
        <x:v>2026-09-10 Active Sports trade capture</x:v>
      </x:c>
      <x:c r="AJ2079" t="str">
        <x:v>Management-only economics. Stripe stress test uses 1.5% + £0.20 standard UK online-card fee; pallet/mix-and-match pricing ignored.</x:v>
      </x:c>
    </x:row>
    <x:row r="2080">
      <x:c r="A2080" t="str">
        <x:v>Active Sports Nutrition</x:v>
      </x:c>
      <x:c r="B2080" t="str">
        <x:v>Olimp</x:v>
      </x:c>
      <x:c r="C2080" t="str">
        <x:v>Whey Protein Complex 100%</x:v>
      </x:c>
      <x:c r="D2080" t="str">
        <x:v>Supplements</x:v>
      </x:c>
      <x:c r="E2080" t="str">
        <x:v>Whey Protein</x:v>
      </x:c>
      <x:c r="F2080" t="str"/>
      <x:c r="G2080" t="str">
        <x:v>2.27kg</x:v>
      </x:c>
      <x:c r="H2080" t="str">
        <x:v>Chocolate</x:v>
      </x:c>
      <x:c r="I2080" t="str"/>
      <x:c r="J2080" t="str">
        <x:v>Unit</x:v>
      </x:c>
      <x:c r="K2080" t="str">
        <x:v>Out of stock</x:v>
      </x:c>
      <x:c r="L2080" t="str">
        <x:v>2026-09-08</x:v>
      </x:c>
      <x:c r="M2080" t="str"/>
      <x:c r="N2080" t="str"/>
      <x:c r="O2080" t="str">
        <x:v>https://www.activesportstrade.co.uk/olimp-trade</x:v>
      </x:c>
      <x:c r="P2080" t="str"/>
      <x:c r="Q2080" t="str"/>
      <x:c r="R2080" t="str"/>
      <x:c r="S2080" t="str">
        <x:v>Pending genuine supplier/brand image</x:v>
      </x:c>
      <x:c r="T2080" s="54" t="n">
        <x:v>44.99</x:v>
      </x:c>
      <x:c r="U2080" s="47" t="n">
        <x:v>0.2</x:v>
      </x:c>
      <x:c r="V2080" s="54" t="n">
        <x:f>IF(ISNUMBER(T2080),T2080*(1+U2080),"")</x:f>
        <x:v>53.988</x:v>
      </x:c>
      <x:c r="W2080" s="47" t="n">
        <x:v>0.3</x:v>
      </x:c>
      <x:c r="X2080" s="54" t="n">
        <x:f>IF(ISNUMBER(V2080),V2080/(1-W2080),"")</x:f>
        <x:v>77.1257142857143</x:v>
      </x:c>
      <x:c r="Y2080" s="55" t="n">
        <x:f>IF(ISNUMBER(X2080),ROUNDUP(X2080,0),"")</x:f>
        <x:v>78</x:v>
      </x:c>
      <x:c r="Z2080" t="str">
        <x:v>Source match pending</x:v>
      </x:c>
      <x:c r="AA2080" t="str">
        <x:v>screencapture-www-activesportstrade-co-uk-olimp-trade-2026-09-10-09_05_33.pdf / page-14</x:v>
      </x:c>
      <x:c r="AB2080" s="36" t="n">
        <x:f>IF(ISNUMBER(Y2080),ROUND(Y2080*0.9,2),"")</x:f>
        <x:v>70.2</x:v>
      </x:c>
      <x:c r="AC2080" s="36" t="n">
        <x:f>IF(ISNUMBER(AB2080),ROUND(AB2080-(AB2080*0.015+0.2)-V2080,2),"")</x:f>
        <x:v>14.96</x:v>
      </x:c>
      <x:c r="AD2080" s="36" t="n">
        <x:f>IF(ISNUMBER(Y2080),ROUND(Y2080*0.8,2),"")</x:f>
        <x:v>62.4</x:v>
      </x:c>
      <x:c r="AE2080" s="36" t="n">
        <x:f>IF(ISNUMBER(AD2080),ROUND(AD2080*0.015+0.2,2),"")</x:f>
        <x:v>1.14</x:v>
      </x:c>
      <x:c r="AF2080" s="36" t="n">
        <x:f>IF(ISNUMBER(AD2080),ROUND(AD2080-AE2080-V2080,2),"")</x:f>
        <x:v>7.27</x:v>
      </x:c>
      <x:c r="AG2080" t="str">
        <x:f>IF(NOT(ISNUMBER(T2080)),"PENDING",IF(AF2080&gt;0,"PASS","FAIL"))</x:f>
        <x:v>PASS</x:v>
      </x:c>
      <x:c r="AH2080" t="str">
        <x:f>IF(NOT(ISNUMBER(T2080)),"Needs supplier cost",IF(K2080&lt;&gt;"In stock","Supplier unavailable",IF(AG2080&lt;&gt;"PASS","BLOCK - GT loss risk","Commercially protected")))</x:f>
        <x:v>Supplier unavailable</x:v>
      </x:c>
      <x:c r="AI2080" t="str">
        <x:v>2026-09-10 Active Sports trade capture</x:v>
      </x:c>
      <x:c r="AJ2080" t="str">
        <x:v>Management-only economics. Stripe stress test uses 1.5% + £0.20 standard UK online-card fee; pallet/mix-and-match pricing ignored.</x:v>
      </x:c>
    </x:row>
    <x:row r="2081">
      <x:c r="A2081" t="str">
        <x:v>Active Sports Nutrition</x:v>
      </x:c>
      <x:c r="B2081" t="str">
        <x:v>Olimp</x:v>
      </x:c>
      <x:c r="C2081" t="str">
        <x:v>Whey Protein Complex 100%</x:v>
      </x:c>
      <x:c r="D2081" t="str">
        <x:v>Supplements</x:v>
      </x:c>
      <x:c r="E2081" t="str">
        <x:v>Whey Protein</x:v>
      </x:c>
      <x:c r="F2081" t="str"/>
      <x:c r="G2081" t="str">
        <x:v>2.27kg</x:v>
      </x:c>
      <x:c r="H2081" t="str">
        <x:v>Cookies and Cream</x:v>
      </x:c>
      <x:c r="I2081" t="str"/>
      <x:c r="J2081" t="str">
        <x:v>Unit</x:v>
      </x:c>
      <x:c r="K2081" t="str">
        <x:v>In stock</x:v>
      </x:c>
      <x:c r="L2081" t="str">
        <x:v>2026-09-08</x:v>
      </x:c>
      <x:c r="M2081" t="str"/>
      <x:c r="N2081" t="str"/>
      <x:c r="O2081" t="str">
        <x:v>https://www.activesportstrade.co.uk/olimp-trade</x:v>
      </x:c>
      <x:c r="P2081" t="str"/>
      <x:c r="Q2081" t="str"/>
      <x:c r="R2081" t="str"/>
      <x:c r="S2081" t="str">
        <x:v>Pending genuine supplier/brand image</x:v>
      </x:c>
      <x:c r="T2081" s="54" t="n">
        <x:v>44.99</x:v>
      </x:c>
      <x:c r="U2081" s="47" t="n">
        <x:v>0.2</x:v>
      </x:c>
      <x:c r="V2081" s="54" t="n">
        <x:f>IF(ISNUMBER(T2081),T2081*(1+U2081),"")</x:f>
        <x:v>53.988</x:v>
      </x:c>
      <x:c r="W2081" s="47" t="n">
        <x:v>0.3</x:v>
      </x:c>
      <x:c r="X2081" s="54" t="n">
        <x:f>IF(ISNUMBER(V2081),V2081/(1-W2081),"")</x:f>
        <x:v>77.1257142857143</x:v>
      </x:c>
      <x:c r="Y2081" s="55" t="n">
        <x:f>IF(ISNUMBER(X2081),ROUNDUP(X2081,0),"")</x:f>
        <x:v>78</x:v>
      </x:c>
      <x:c r="Z2081" t="str">
        <x:v>Source match pending</x:v>
      </x:c>
      <x:c r="AA2081" t="str">
        <x:v>screencapture-www-activesportstrade-co-uk-olimp-trade-2026-09-10-09_05_33.pdf / page-14</x:v>
      </x:c>
      <x:c r="AB2081" s="36" t="n">
        <x:f>IF(ISNUMBER(Y2081),ROUND(Y2081*0.9,2),"")</x:f>
        <x:v>70.2</x:v>
      </x:c>
      <x:c r="AC2081" s="36" t="n">
        <x:f>IF(ISNUMBER(AB2081),ROUND(AB2081-(AB2081*0.015+0.2)-V2081,2),"")</x:f>
        <x:v>14.96</x:v>
      </x:c>
      <x:c r="AD2081" s="36" t="n">
        <x:f>IF(ISNUMBER(Y2081),ROUND(Y2081*0.8,2),"")</x:f>
        <x:v>62.4</x:v>
      </x:c>
      <x:c r="AE2081" s="36" t="n">
        <x:f>IF(ISNUMBER(AD2081),ROUND(AD2081*0.015+0.2,2),"")</x:f>
        <x:v>1.14</x:v>
      </x:c>
      <x:c r="AF2081" s="36" t="n">
        <x:f>IF(ISNUMBER(AD2081),ROUND(AD2081-AE2081-V2081,2),"")</x:f>
        <x:v>7.27</x:v>
      </x:c>
      <x:c r="AG2081" t="str">
        <x:f>IF(NOT(ISNUMBER(T2081)),"PENDING",IF(AF2081&gt;0,"PASS","FAIL"))</x:f>
        <x:v>PASS</x:v>
      </x:c>
      <x:c r="AH2081" t="str">
        <x:f>IF(NOT(ISNUMBER(T2081)),"Needs supplier cost",IF(K2081&lt;&gt;"In stock","Supplier unavailable",IF(AG2081&lt;&gt;"PASS","BLOCK - GT loss risk","Commercially protected")))</x:f>
        <x:v>Commercially protected</x:v>
      </x:c>
      <x:c r="AI2081" t="str">
        <x:v>2026-09-10 Active Sports trade capture</x:v>
      </x:c>
      <x:c r="AJ2081" t="str">
        <x:v>Management-only economics. Stripe stress test uses 1.5% + £0.20 standard UK online-card fee; pallet/mix-and-match pricing ignored.</x:v>
      </x:c>
    </x:row>
    <x:row r="2082">
      <x:c r="A2082" t="str">
        <x:v>Active Sports Nutrition</x:v>
      </x:c>
      <x:c r="B2082" t="str">
        <x:v>Olimp</x:v>
      </x:c>
      <x:c r="C2082" t="str">
        <x:v>Whey Protein Complex 100%</x:v>
      </x:c>
      <x:c r="D2082" t="str">
        <x:v>Supplements</x:v>
      </x:c>
      <x:c r="E2082" t="str">
        <x:v>Whey Protein</x:v>
      </x:c>
      <x:c r="F2082" t="str"/>
      <x:c r="G2082" t="str">
        <x:v>2.27kg</x:v>
      </x:c>
      <x:c r="H2082" t="str">
        <x:v>Double Chocolate</x:v>
      </x:c>
      <x:c r="I2082" t="str"/>
      <x:c r="J2082" t="str">
        <x:v>Unit</x:v>
      </x:c>
      <x:c r="K2082" t="str">
        <x:v>Out of stock</x:v>
      </x:c>
      <x:c r="L2082" t="str">
        <x:v>2026-09-08</x:v>
      </x:c>
      <x:c r="M2082" t="str"/>
      <x:c r="N2082" t="str"/>
      <x:c r="O2082" t="str">
        <x:v>https://www.activesportstrade.co.uk/olimp-trade</x:v>
      </x:c>
      <x:c r="P2082" t="str"/>
      <x:c r="Q2082" t="str"/>
      <x:c r="R2082" t="str"/>
      <x:c r="S2082" t="str">
        <x:v>Pending genuine supplier/brand image</x:v>
      </x:c>
      <x:c r="T2082" s="54" t="n">
        <x:v>44.99</x:v>
      </x:c>
      <x:c r="U2082" s="47" t="n">
        <x:v>0.2</x:v>
      </x:c>
      <x:c r="V2082" s="54" t="n">
        <x:f>IF(ISNUMBER(T2082),T2082*(1+U2082),"")</x:f>
        <x:v>53.988</x:v>
      </x:c>
      <x:c r="W2082" s="47" t="n">
        <x:v>0.3</x:v>
      </x:c>
      <x:c r="X2082" s="54" t="n">
        <x:f>IF(ISNUMBER(V2082),V2082/(1-W2082),"")</x:f>
        <x:v>77.1257142857143</x:v>
      </x:c>
      <x:c r="Y2082" s="55" t="n">
        <x:f>IF(ISNUMBER(X2082),ROUNDUP(X2082,0),"")</x:f>
        <x:v>78</x:v>
      </x:c>
      <x:c r="Z2082" t="str">
        <x:v>Source match pending</x:v>
      </x:c>
      <x:c r="AA2082" t="str">
        <x:v>screencapture-www-activesportstrade-co-uk-olimp-trade-2026-09-10-09_05_33.pdf / page-14</x:v>
      </x:c>
      <x:c r="AB2082" s="36" t="n">
        <x:f>IF(ISNUMBER(Y2082),ROUND(Y2082*0.9,2),"")</x:f>
        <x:v>70.2</x:v>
      </x:c>
      <x:c r="AC2082" s="36" t="n">
        <x:f>IF(ISNUMBER(AB2082),ROUND(AB2082-(AB2082*0.015+0.2)-V2082,2),"")</x:f>
        <x:v>14.96</x:v>
      </x:c>
      <x:c r="AD2082" s="36" t="n">
        <x:f>IF(ISNUMBER(Y2082),ROUND(Y2082*0.8,2),"")</x:f>
        <x:v>62.4</x:v>
      </x:c>
      <x:c r="AE2082" s="36" t="n">
        <x:f>IF(ISNUMBER(AD2082),ROUND(AD2082*0.015+0.2,2),"")</x:f>
        <x:v>1.14</x:v>
      </x:c>
      <x:c r="AF2082" s="36" t="n">
        <x:f>IF(ISNUMBER(AD2082),ROUND(AD2082-AE2082-V2082,2),"")</x:f>
        <x:v>7.27</x:v>
      </x:c>
      <x:c r="AG2082" t="str">
        <x:f>IF(NOT(ISNUMBER(T2082)),"PENDING",IF(AF2082&gt;0,"PASS","FAIL"))</x:f>
        <x:v>PASS</x:v>
      </x:c>
      <x:c r="AH2082" t="str">
        <x:f>IF(NOT(ISNUMBER(T2082)),"Needs supplier cost",IF(K2082&lt;&gt;"In stock","Supplier unavailable",IF(AG2082&lt;&gt;"PASS","BLOCK - GT loss risk","Commercially protected")))</x:f>
        <x:v>Supplier unavailable</x:v>
      </x:c>
      <x:c r="AI2082" t="str">
        <x:v>2026-09-10 Active Sports trade capture</x:v>
      </x:c>
      <x:c r="AJ2082" t="str">
        <x:v>Management-only economics. Stripe stress test uses 1.5% + £0.20 standard UK online-card fee; pallet/mix-and-match pricing ignored.</x:v>
      </x:c>
    </x:row>
    <x:row r="2083">
      <x:c r="A2083" t="str">
        <x:v>Active Sports Nutrition</x:v>
      </x:c>
      <x:c r="B2083" t="str">
        <x:v>Olimp</x:v>
      </x:c>
      <x:c r="C2083" t="str">
        <x:v>Whey Protein Complex 100%</x:v>
      </x:c>
      <x:c r="D2083" t="str">
        <x:v>Supplements</x:v>
      </x:c>
      <x:c r="E2083" t="str">
        <x:v>Whey Protein</x:v>
      </x:c>
      <x:c r="F2083" t="str"/>
      <x:c r="G2083" t="str">
        <x:v>2.27kg</x:v>
      </x:c>
      <x:c r="H2083" t="str">
        <x:v>Strawberry</x:v>
      </x:c>
      <x:c r="I2083" t="str"/>
      <x:c r="J2083" t="str">
        <x:v>Unit</x:v>
      </x:c>
      <x:c r="K2083" t="str">
        <x:v>In stock</x:v>
      </x:c>
      <x:c r="L2083" t="str">
        <x:v>2026-09-08</x:v>
      </x:c>
      <x:c r="M2083" t="str"/>
      <x:c r="N2083" t="str"/>
      <x:c r="O2083" t="str">
        <x:v>https://www.activesportstrade.co.uk/olimp-trade</x:v>
      </x:c>
      <x:c r="P2083" t="str"/>
      <x:c r="Q2083" t="str"/>
      <x:c r="R2083" t="str"/>
      <x:c r="S2083" t="str">
        <x:v>Pending genuine supplier/brand image</x:v>
      </x:c>
      <x:c r="T2083" s="54" t="n">
        <x:v>44.99</x:v>
      </x:c>
      <x:c r="U2083" s="47" t="n">
        <x:v>0.2</x:v>
      </x:c>
      <x:c r="V2083" s="54" t="n">
        <x:f>IF(ISNUMBER(T2083),T2083*(1+U2083),"")</x:f>
        <x:v>53.988</x:v>
      </x:c>
      <x:c r="W2083" s="47" t="n">
        <x:v>0.3</x:v>
      </x:c>
      <x:c r="X2083" s="54" t="n">
        <x:f>IF(ISNUMBER(V2083),V2083/(1-W2083),"")</x:f>
        <x:v>77.1257142857143</x:v>
      </x:c>
      <x:c r="Y2083" s="55" t="n">
        <x:f>IF(ISNUMBER(X2083),ROUNDUP(X2083,0),"")</x:f>
        <x:v>78</x:v>
      </x:c>
      <x:c r="Z2083" t="str">
        <x:v>Source match pending</x:v>
      </x:c>
      <x:c r="AA2083" t="str">
        <x:v>screencapture-www-activesportstrade-co-uk-olimp-trade-2026-09-10-09_05_33.pdf / page-14</x:v>
      </x:c>
      <x:c r="AB2083" s="36" t="n">
        <x:f>IF(ISNUMBER(Y2083),ROUND(Y2083*0.9,2),"")</x:f>
        <x:v>70.2</x:v>
      </x:c>
      <x:c r="AC2083" s="36" t="n">
        <x:f>IF(ISNUMBER(AB2083),ROUND(AB2083-(AB2083*0.015+0.2)-V2083,2),"")</x:f>
        <x:v>14.96</x:v>
      </x:c>
      <x:c r="AD2083" s="36" t="n">
        <x:f>IF(ISNUMBER(Y2083),ROUND(Y2083*0.8,2),"")</x:f>
        <x:v>62.4</x:v>
      </x:c>
      <x:c r="AE2083" s="36" t="n">
        <x:f>IF(ISNUMBER(AD2083),ROUND(AD2083*0.015+0.2,2),"")</x:f>
        <x:v>1.14</x:v>
      </x:c>
      <x:c r="AF2083" s="36" t="n">
        <x:f>IF(ISNUMBER(AD2083),ROUND(AD2083-AE2083-V2083,2),"")</x:f>
        <x:v>7.27</x:v>
      </x:c>
      <x:c r="AG2083" t="str">
        <x:f>IF(NOT(ISNUMBER(T2083)),"PENDING",IF(AF2083&gt;0,"PASS","FAIL"))</x:f>
        <x:v>PASS</x:v>
      </x:c>
      <x:c r="AH2083" t="str">
        <x:f>IF(NOT(ISNUMBER(T2083)),"Needs supplier cost",IF(K2083&lt;&gt;"In stock","Supplier unavailable",IF(AG2083&lt;&gt;"PASS","BLOCK - GT loss risk","Commercially protected")))</x:f>
        <x:v>Commercially protected</x:v>
      </x:c>
      <x:c r="AI2083" t="str">
        <x:v>2026-09-10 Active Sports trade capture</x:v>
      </x:c>
      <x:c r="AJ2083" t="str">
        <x:v>Management-only economics. Stripe stress test uses 1.5% + £0.20 standard UK online-card fee; pallet/mix-and-match pricing ignored.</x:v>
      </x:c>
    </x:row>
    <x:row r="2084">
      <x:c r="A2084" t="str">
        <x:v>Active Sports Nutrition</x:v>
      </x:c>
      <x:c r="B2084" t="str">
        <x:v>Olimp</x:v>
      </x:c>
      <x:c r="C2084" t="str">
        <x:v>Whey Protein Complex 100%</x:v>
      </x:c>
      <x:c r="D2084" t="str">
        <x:v>Supplements</x:v>
      </x:c>
      <x:c r="E2084" t="str">
        <x:v>Whey Protein</x:v>
      </x:c>
      <x:c r="F2084" t="str"/>
      <x:c r="G2084" t="str">
        <x:v>2.27kg</x:v>
      </x:c>
      <x:c r="H2084" t="str">
        <x:v>Vanilla</x:v>
      </x:c>
      <x:c r="I2084" t="str"/>
      <x:c r="J2084" t="str">
        <x:v>Unit</x:v>
      </x:c>
      <x:c r="K2084" t="str">
        <x:v>Out of stock</x:v>
      </x:c>
      <x:c r="L2084" t="str">
        <x:v>2026-09-08</x:v>
      </x:c>
      <x:c r="M2084" t="str"/>
      <x:c r="N2084" t="str"/>
      <x:c r="O2084" t="str">
        <x:v>https://www.activesportstrade.co.uk/olimp-trade</x:v>
      </x:c>
      <x:c r="P2084" t="str"/>
      <x:c r="Q2084" t="str"/>
      <x:c r="R2084" t="str"/>
      <x:c r="S2084" t="str">
        <x:v>Pending genuine supplier/brand image</x:v>
      </x:c>
      <x:c r="T2084" s="54" t="n">
        <x:v>44.99</x:v>
      </x:c>
      <x:c r="U2084" s="47" t="n">
        <x:v>0.2</x:v>
      </x:c>
      <x:c r="V2084" s="54" t="n">
        <x:f>IF(ISNUMBER(T2084),T2084*(1+U2084),"")</x:f>
        <x:v>53.988</x:v>
      </x:c>
      <x:c r="W2084" s="47" t="n">
        <x:v>0.3</x:v>
      </x:c>
      <x:c r="X2084" s="54" t="n">
        <x:f>IF(ISNUMBER(V2084),V2084/(1-W2084),"")</x:f>
        <x:v>77.1257142857143</x:v>
      </x:c>
      <x:c r="Y2084" s="55" t="n">
        <x:f>IF(ISNUMBER(X2084),ROUNDUP(X2084,0),"")</x:f>
        <x:v>78</x:v>
      </x:c>
      <x:c r="Z2084" t="str">
        <x:v>Source match pending</x:v>
      </x:c>
      <x:c r="AA2084" t="str">
        <x:v>screencapture-www-activesportstrade-co-uk-olimp-trade-2026-09-10-09_05_33.pdf / page-14</x:v>
      </x:c>
      <x:c r="AB2084" s="36" t="n">
        <x:f>IF(ISNUMBER(Y2084),ROUND(Y2084*0.9,2),"")</x:f>
        <x:v>70.2</x:v>
      </x:c>
      <x:c r="AC2084" s="36" t="n">
        <x:f>IF(ISNUMBER(AB2084),ROUND(AB2084-(AB2084*0.015+0.2)-V2084,2),"")</x:f>
        <x:v>14.96</x:v>
      </x:c>
      <x:c r="AD2084" s="36" t="n">
        <x:f>IF(ISNUMBER(Y2084),ROUND(Y2084*0.8,2),"")</x:f>
        <x:v>62.4</x:v>
      </x:c>
      <x:c r="AE2084" s="36" t="n">
        <x:f>IF(ISNUMBER(AD2084),ROUND(AD2084*0.015+0.2,2),"")</x:f>
        <x:v>1.14</x:v>
      </x:c>
      <x:c r="AF2084" s="36" t="n">
        <x:f>IF(ISNUMBER(AD2084),ROUND(AD2084-AE2084-V2084,2),"")</x:f>
        <x:v>7.27</x:v>
      </x:c>
      <x:c r="AG2084" t="str">
        <x:f>IF(NOT(ISNUMBER(T2084)),"PENDING",IF(AF2084&gt;0,"PASS","FAIL"))</x:f>
        <x:v>PASS</x:v>
      </x:c>
      <x:c r="AH2084" t="str">
        <x:f>IF(NOT(ISNUMBER(T2084)),"Needs supplier cost",IF(K2084&lt;&gt;"In stock","Supplier unavailable",IF(AG2084&lt;&gt;"PASS","BLOCK - GT loss risk","Commercially protected")))</x:f>
        <x:v>Supplier unavailable</x:v>
      </x:c>
      <x:c r="AI2084" t="str">
        <x:v>2026-09-10 Active Sports trade capture</x:v>
      </x:c>
      <x:c r="AJ2084" t="str">
        <x:v>Management-only economics. Stripe stress test uses 1.5% + £0.20 standard UK online-card fee; pallet/mix-and-match pricing ignored.</x:v>
      </x:c>
    </x:row>
    <x:row r="2085">
      <x:c r="A2085" t="str">
        <x:v>Active Sports Nutrition</x:v>
      </x:c>
      <x:c r="B2085" t="str">
        <x:v>Olimp</x:v>
      </x:c>
      <x:c r="C2085" t="str">
        <x:v>Whey Protein Complex 100%</x:v>
      </x:c>
      <x:c r="D2085" t="str">
        <x:v>Supplements</x:v>
      </x:c>
      <x:c r="E2085" t="str">
        <x:v>Whey Protein</x:v>
      </x:c>
      <x:c r="F2085" t="str"/>
      <x:c r="G2085" t="str">
        <x:v>700g</x:v>
      </x:c>
      <x:c r="H2085" t="str">
        <x:v>Blueberry</x:v>
      </x:c>
      <x:c r="I2085" t="str"/>
      <x:c r="J2085" t="str">
        <x:v>Unit</x:v>
      </x:c>
      <x:c r="K2085" t="str">
        <x:v>In stock</x:v>
      </x:c>
      <x:c r="L2085" t="str">
        <x:v>2026-09-08</x:v>
      </x:c>
      <x:c r="M2085" t="str"/>
      <x:c r="N2085" t="str"/>
      <x:c r="O2085" t="str">
        <x:v>https://www.activesportstrade.co.uk/olimp-trade</x:v>
      </x:c>
      <x:c r="P2085" t="str">
        <x:v>Supplier 'NEW' promo word stripped from Dubai Chocolate variant label.</x:v>
      </x:c>
      <x:c r="Q2085" t="str"/>
      <x:c r="R2085" t="str"/>
      <x:c r="S2085" t="str">
        <x:v>Pending genuine supplier/brand image</x:v>
      </x:c>
      <x:c r="T2085" s="54" t="n">
        <x:v>18.44</x:v>
      </x:c>
      <x:c r="U2085" s="47" t="n">
        <x:v>0.2</x:v>
      </x:c>
      <x:c r="V2085" s="54" t="n">
        <x:f>IF(ISNUMBER(T2085),T2085*(1+U2085),"")</x:f>
        <x:v>22.128</x:v>
      </x:c>
      <x:c r="W2085" s="47" t="n">
        <x:v>0.3</x:v>
      </x:c>
      <x:c r="X2085" s="54" t="n">
        <x:f>IF(ISNUMBER(V2085),V2085/(1-W2085),"")</x:f>
        <x:v>31.611428571428572</x:v>
      </x:c>
      <x:c r="Y2085" s="55" t="n">
        <x:f>IF(ISNUMBER(X2085),ROUNDUP(X2085,0),"")</x:f>
        <x:v>32</x:v>
      </x:c>
      <x:c r="Z2085" t="str">
        <x:v>Source match pending</x:v>
      </x:c>
      <x:c r="AA2085" t="str">
        <x:v>screencapture-www-activesportstrade-co-uk-olimp-trade-2026-09-10-09_05_33.pdf / page-14</x:v>
      </x:c>
      <x:c r="AB2085" s="36" t="n">
        <x:f>IF(ISNUMBER(Y2085),ROUND(Y2085*0.9,2),"")</x:f>
        <x:v>28.8</x:v>
      </x:c>
      <x:c r="AC2085" s="36" t="n">
        <x:f>IF(ISNUMBER(AB2085),ROUND(AB2085-(AB2085*0.015+0.2)-V2085,2),"")</x:f>
        <x:v>6.04</x:v>
      </x:c>
      <x:c r="AD2085" s="36" t="n">
        <x:f>IF(ISNUMBER(Y2085),ROUND(Y2085*0.8,2),"")</x:f>
        <x:v>25.6</x:v>
      </x:c>
      <x:c r="AE2085" s="36" t="n">
        <x:f>IF(ISNUMBER(AD2085),ROUND(AD2085*0.015+0.2,2),"")</x:f>
        <x:v>0.58</x:v>
      </x:c>
      <x:c r="AF2085" s="36" t="n">
        <x:f>IF(ISNUMBER(AD2085),ROUND(AD2085-AE2085-V2085,2),"")</x:f>
        <x:v>2.89</x:v>
      </x:c>
      <x:c r="AG2085" t="str">
        <x:f>IF(NOT(ISNUMBER(T2085)),"PENDING",IF(AF2085&gt;0,"PASS","FAIL"))</x:f>
        <x:v>PASS</x:v>
      </x:c>
      <x:c r="AH2085" t="str">
        <x:f>IF(NOT(ISNUMBER(T2085)),"Needs supplier cost",IF(K2085&lt;&gt;"In stock","Supplier unavailable",IF(AG2085&lt;&gt;"PASS","BLOCK - GT loss risk","Commercially protected")))</x:f>
        <x:v>Commercially protected</x:v>
      </x:c>
      <x:c r="AI2085" t="str">
        <x:v>2026-09-10 Active Sports trade capture</x:v>
      </x:c>
      <x:c r="AJ2085" t="str">
        <x:v>Management-only economics. Stripe stress test uses 1.5% + £0.20 standard UK online-card fee; pallet/mix-and-match pricing ignored.</x:v>
      </x:c>
    </x:row>
    <x:row r="2086">
      <x:c r="A2086" t="str">
        <x:v>Active Sports Nutrition</x:v>
      </x:c>
      <x:c r="B2086" t="str">
        <x:v>Olimp</x:v>
      </x:c>
      <x:c r="C2086" t="str">
        <x:v>Whey Protein Complex 100%</x:v>
      </x:c>
      <x:c r="D2086" t="str">
        <x:v>Supplements</x:v>
      </x:c>
      <x:c r="E2086" t="str">
        <x:v>Whey Protein</x:v>
      </x:c>
      <x:c r="F2086" t="str"/>
      <x:c r="G2086" t="str">
        <x:v>700g</x:v>
      </x:c>
      <x:c r="H2086" t="str">
        <x:v>Chocolate</x:v>
      </x:c>
      <x:c r="I2086" t="str"/>
      <x:c r="J2086" t="str">
        <x:v>Unit</x:v>
      </x:c>
      <x:c r="K2086" t="str">
        <x:v>Out of stock</x:v>
      </x:c>
      <x:c r="L2086" t="str">
        <x:v>2026-09-08</x:v>
      </x:c>
      <x:c r="M2086" t="str"/>
      <x:c r="N2086" t="str"/>
      <x:c r="O2086" t="str">
        <x:v>https://www.activesportstrade.co.uk/olimp-trade</x:v>
      </x:c>
      <x:c r="P2086" t="str">
        <x:v>Supplier 'NEW' promo word stripped from Dubai Chocolate variant label.</x:v>
      </x:c>
      <x:c r="Q2086" t="str"/>
      <x:c r="R2086" t="str"/>
      <x:c r="S2086" t="str">
        <x:v>Pending genuine supplier/brand image</x:v>
      </x:c>
      <x:c r="T2086" s="54" t="n">
        <x:v>18.44</x:v>
      </x:c>
      <x:c r="U2086" s="47" t="n">
        <x:v>0.2</x:v>
      </x:c>
      <x:c r="V2086" s="54" t="n">
        <x:f>IF(ISNUMBER(T2086),T2086*(1+U2086),"")</x:f>
        <x:v>22.128</x:v>
      </x:c>
      <x:c r="W2086" s="47" t="n">
        <x:v>0.3</x:v>
      </x:c>
      <x:c r="X2086" s="54" t="n">
        <x:f>IF(ISNUMBER(V2086),V2086/(1-W2086),"")</x:f>
        <x:v>31.611428571428572</x:v>
      </x:c>
      <x:c r="Y2086" s="55" t="n">
        <x:f>IF(ISNUMBER(X2086),ROUNDUP(X2086,0),"")</x:f>
        <x:v>32</x:v>
      </x:c>
      <x:c r="Z2086" t="str">
        <x:v>Source match pending</x:v>
      </x:c>
      <x:c r="AA2086" t="str">
        <x:v>screencapture-www-activesportstrade-co-uk-olimp-trade-2026-09-10-09_05_33.pdf / page-14</x:v>
      </x:c>
      <x:c r="AB2086" s="36" t="n">
        <x:f>IF(ISNUMBER(Y2086),ROUND(Y2086*0.9,2),"")</x:f>
        <x:v>28.8</x:v>
      </x:c>
      <x:c r="AC2086" s="36" t="n">
        <x:f>IF(ISNUMBER(AB2086),ROUND(AB2086-(AB2086*0.015+0.2)-V2086,2),"")</x:f>
        <x:v>6.04</x:v>
      </x:c>
      <x:c r="AD2086" s="36" t="n">
        <x:f>IF(ISNUMBER(Y2086),ROUND(Y2086*0.8,2),"")</x:f>
        <x:v>25.6</x:v>
      </x:c>
      <x:c r="AE2086" s="36" t="n">
        <x:f>IF(ISNUMBER(AD2086),ROUND(AD2086*0.015+0.2,2),"")</x:f>
        <x:v>0.58</x:v>
      </x:c>
      <x:c r="AF2086" s="36" t="n">
        <x:f>IF(ISNUMBER(AD2086),ROUND(AD2086-AE2086-V2086,2),"")</x:f>
        <x:v>2.89</x:v>
      </x:c>
      <x:c r="AG2086" t="str">
        <x:f>IF(NOT(ISNUMBER(T2086)),"PENDING",IF(AF2086&gt;0,"PASS","FAIL"))</x:f>
        <x:v>PASS</x:v>
      </x:c>
      <x:c r="AH2086" t="str">
        <x:f>IF(NOT(ISNUMBER(T2086)),"Needs supplier cost",IF(K2086&lt;&gt;"In stock","Supplier unavailable",IF(AG2086&lt;&gt;"PASS","BLOCK - GT loss risk","Commercially protected")))</x:f>
        <x:v>Supplier unavailable</x:v>
      </x:c>
      <x:c r="AI2086" t="str">
        <x:v>2026-09-10 Active Sports trade capture</x:v>
      </x:c>
      <x:c r="AJ2086" t="str">
        <x:v>Management-only economics. Stripe stress test uses 1.5% + £0.20 standard UK online-card fee; pallet/mix-and-match pricing ignored.</x:v>
      </x:c>
    </x:row>
    <x:row r="2087">
      <x:c r="A2087" t="str">
        <x:v>Active Sports Nutrition</x:v>
      </x:c>
      <x:c r="B2087" t="str">
        <x:v>Olimp</x:v>
      </x:c>
      <x:c r="C2087" t="str">
        <x:v>Whey Protein Complex 100%</x:v>
      </x:c>
      <x:c r="D2087" t="str">
        <x:v>Supplements</x:v>
      </x:c>
      <x:c r="E2087" t="str">
        <x:v>Whey Protein</x:v>
      </x:c>
      <x:c r="F2087" t="str"/>
      <x:c r="G2087" t="str">
        <x:v>700g</x:v>
      </x:c>
      <x:c r="H2087" t="str">
        <x:v>Dubai Chocolate</x:v>
      </x:c>
      <x:c r="I2087" t="str"/>
      <x:c r="J2087" t="str">
        <x:v>Unit</x:v>
      </x:c>
      <x:c r="K2087" t="str">
        <x:v>In stock</x:v>
      </x:c>
      <x:c r="L2087" t="str">
        <x:v>2026-09-08</x:v>
      </x:c>
      <x:c r="M2087" t="str"/>
      <x:c r="N2087" t="str"/>
      <x:c r="O2087" t="str">
        <x:v>https://www.activesportstrade.co.uk/olimp-trade</x:v>
      </x:c>
      <x:c r="P2087" t="str">
        <x:v>Supplier 'NEW' promo word stripped from Dubai Chocolate variant label.</x:v>
      </x:c>
      <x:c r="Q2087" t="str"/>
      <x:c r="R2087" t="str"/>
      <x:c r="S2087" t="str">
        <x:v>Pending genuine supplier/brand image</x:v>
      </x:c>
      <x:c r="T2087" s="54" t="n">
        <x:v>18.44</x:v>
      </x:c>
      <x:c r="U2087" s="47" t="n">
        <x:v>0.2</x:v>
      </x:c>
      <x:c r="V2087" s="54" t="n">
        <x:f>IF(ISNUMBER(T2087),T2087*(1+U2087),"")</x:f>
        <x:v>22.128</x:v>
      </x:c>
      <x:c r="W2087" s="47" t="n">
        <x:v>0.3</x:v>
      </x:c>
      <x:c r="X2087" s="54" t="n">
        <x:f>IF(ISNUMBER(V2087),V2087/(1-W2087),"")</x:f>
        <x:v>31.611428571428572</x:v>
      </x:c>
      <x:c r="Y2087" s="55" t="n">
        <x:f>IF(ISNUMBER(X2087),ROUNDUP(X2087,0),"")</x:f>
        <x:v>32</x:v>
      </x:c>
      <x:c r="Z2087" t="str">
        <x:v>Source match pending</x:v>
      </x:c>
      <x:c r="AA2087" t="str">
        <x:v>screencapture-www-activesportstrade-co-uk-olimp-trade-2026-09-10-09_05_33.pdf / page-14</x:v>
      </x:c>
      <x:c r="AB2087" s="36" t="n">
        <x:f>IF(ISNUMBER(Y2087),ROUND(Y2087*0.9,2),"")</x:f>
        <x:v>28.8</x:v>
      </x:c>
      <x:c r="AC2087" s="36" t="n">
        <x:f>IF(ISNUMBER(AB2087),ROUND(AB2087-(AB2087*0.015+0.2)-V2087,2),"")</x:f>
        <x:v>6.04</x:v>
      </x:c>
      <x:c r="AD2087" s="36" t="n">
        <x:f>IF(ISNUMBER(Y2087),ROUND(Y2087*0.8,2),"")</x:f>
        <x:v>25.6</x:v>
      </x:c>
      <x:c r="AE2087" s="36" t="n">
        <x:f>IF(ISNUMBER(AD2087),ROUND(AD2087*0.015+0.2,2),"")</x:f>
        <x:v>0.58</x:v>
      </x:c>
      <x:c r="AF2087" s="36" t="n">
        <x:f>IF(ISNUMBER(AD2087),ROUND(AD2087-AE2087-V2087,2),"")</x:f>
        <x:v>2.89</x:v>
      </x:c>
      <x:c r="AG2087" t="str">
        <x:f>IF(NOT(ISNUMBER(T2087)),"PENDING",IF(AF2087&gt;0,"PASS","FAIL"))</x:f>
        <x:v>PASS</x:v>
      </x:c>
      <x:c r="AH2087" t="str">
        <x:f>IF(NOT(ISNUMBER(T2087)),"Needs supplier cost",IF(K2087&lt;&gt;"In stock","Supplier unavailable",IF(AG2087&lt;&gt;"PASS","BLOCK - GT loss risk","Commercially protected")))</x:f>
        <x:v>Commercially protected</x:v>
      </x:c>
      <x:c r="AI2087" t="str">
        <x:v>2026-09-10 Active Sports trade capture</x:v>
      </x:c>
      <x:c r="AJ2087" t="str">
        <x:v>Management-only economics. Stripe stress test uses 1.5% + £0.20 standard UK online-card fee; pallet/mix-and-match pricing ignored.</x:v>
      </x:c>
    </x:row>
    <x:row r="2088">
      <x:c r="A2088" t="str">
        <x:v>Active Sports Nutrition</x:v>
      </x:c>
      <x:c r="B2088" t="str">
        <x:v>Olimp</x:v>
      </x:c>
      <x:c r="C2088" t="str">
        <x:v>Whey Protein Complex 100%</x:v>
      </x:c>
      <x:c r="D2088" t="str">
        <x:v>Supplements</x:v>
      </x:c>
      <x:c r="E2088" t="str">
        <x:v>Whey Protein</x:v>
      </x:c>
      <x:c r="F2088" t="str"/>
      <x:c r="G2088" t="str">
        <x:v>700g</x:v>
      </x:c>
      <x:c r="H2088" t="str">
        <x:v>Strawberry</x:v>
      </x:c>
      <x:c r="I2088" t="str"/>
      <x:c r="J2088" t="str">
        <x:v>Unit</x:v>
      </x:c>
      <x:c r="K2088" t="str">
        <x:v>In stock</x:v>
      </x:c>
      <x:c r="L2088" t="str">
        <x:v>2026-09-08</x:v>
      </x:c>
      <x:c r="M2088" t="str"/>
      <x:c r="N2088" t="str"/>
      <x:c r="O2088" t="str">
        <x:v>https://www.activesportstrade.co.uk/olimp-trade</x:v>
      </x:c>
      <x:c r="P2088" t="str">
        <x:v>Supplier 'NEW' promo word stripped from Dubai Chocolate variant label.</x:v>
      </x:c>
      <x:c r="Q2088" t="str"/>
      <x:c r="R2088" t="str"/>
      <x:c r="S2088" t="str">
        <x:v>Pending genuine supplier/brand image</x:v>
      </x:c>
      <x:c r="T2088" s="54" t="n">
        <x:v>18.44</x:v>
      </x:c>
      <x:c r="U2088" s="47" t="n">
        <x:v>0.2</x:v>
      </x:c>
      <x:c r="V2088" s="54" t="n">
        <x:f>IF(ISNUMBER(T2088),T2088*(1+U2088),"")</x:f>
        <x:v>22.128</x:v>
      </x:c>
      <x:c r="W2088" s="47" t="n">
        <x:v>0.3</x:v>
      </x:c>
      <x:c r="X2088" s="54" t="n">
        <x:f>IF(ISNUMBER(V2088),V2088/(1-W2088),"")</x:f>
        <x:v>31.611428571428572</x:v>
      </x:c>
      <x:c r="Y2088" s="55" t="n">
        <x:f>IF(ISNUMBER(X2088),ROUNDUP(X2088,0),"")</x:f>
        <x:v>32</x:v>
      </x:c>
      <x:c r="Z2088" t="str">
        <x:v>Source match pending</x:v>
      </x:c>
      <x:c r="AA2088" t="str">
        <x:v>screencapture-www-activesportstrade-co-uk-olimp-trade-2026-09-10-09_05_33.pdf / page-14</x:v>
      </x:c>
      <x:c r="AB2088" s="36" t="n">
        <x:f>IF(ISNUMBER(Y2088),ROUND(Y2088*0.9,2),"")</x:f>
        <x:v>28.8</x:v>
      </x:c>
      <x:c r="AC2088" s="36" t="n">
        <x:f>IF(ISNUMBER(AB2088),ROUND(AB2088-(AB2088*0.015+0.2)-V2088,2),"")</x:f>
        <x:v>6.04</x:v>
      </x:c>
      <x:c r="AD2088" s="36" t="n">
        <x:f>IF(ISNUMBER(Y2088),ROUND(Y2088*0.8,2),"")</x:f>
        <x:v>25.6</x:v>
      </x:c>
      <x:c r="AE2088" s="36" t="n">
        <x:f>IF(ISNUMBER(AD2088),ROUND(AD2088*0.015+0.2,2),"")</x:f>
        <x:v>0.58</x:v>
      </x:c>
      <x:c r="AF2088" s="36" t="n">
        <x:f>IF(ISNUMBER(AD2088),ROUND(AD2088-AE2088-V2088,2),"")</x:f>
        <x:v>2.89</x:v>
      </x:c>
      <x:c r="AG2088" t="str">
        <x:f>IF(NOT(ISNUMBER(T2088)),"PENDING",IF(AF2088&gt;0,"PASS","FAIL"))</x:f>
        <x:v>PASS</x:v>
      </x:c>
      <x:c r="AH2088" t="str">
        <x:f>IF(NOT(ISNUMBER(T2088)),"Needs supplier cost",IF(K2088&lt;&gt;"In stock","Supplier unavailable",IF(AG2088&lt;&gt;"PASS","BLOCK - GT loss risk","Commercially protected")))</x:f>
        <x:v>Commercially protected</x:v>
      </x:c>
      <x:c r="AI2088" t="str">
        <x:v>2026-09-10 Active Sports trade capture</x:v>
      </x:c>
      <x:c r="AJ2088" t="str">
        <x:v>Management-only economics. Stripe stress test uses 1.5% + £0.20 standard UK online-card fee; pallet/mix-and-match pricing ignored.</x:v>
      </x:c>
    </x:row>
    <x:row r="2089">
      <x:c r="A2089" t="str">
        <x:v>Active Sports Nutrition</x:v>
      </x:c>
      <x:c r="B2089" t="str">
        <x:v>Olimp</x:v>
      </x:c>
      <x:c r="C2089" t="str">
        <x:v>Whey Protein Complex 100%</x:v>
      </x:c>
      <x:c r="D2089" t="str">
        <x:v>Supplements</x:v>
      </x:c>
      <x:c r="E2089" t="str">
        <x:v>Whey Protein</x:v>
      </x:c>
      <x:c r="F2089" t="str"/>
      <x:c r="G2089" t="str">
        <x:v>700g</x:v>
      </x:c>
      <x:c r="H2089" t="str">
        <x:v>Vanilla Ice Cream</x:v>
      </x:c>
      <x:c r="I2089" t="str"/>
      <x:c r="J2089" t="str">
        <x:v>Unit</x:v>
      </x:c>
      <x:c r="K2089" t="str">
        <x:v>In stock</x:v>
      </x:c>
      <x:c r="L2089" t="str">
        <x:v>2026-09-08</x:v>
      </x:c>
      <x:c r="M2089" t="str"/>
      <x:c r="N2089" t="str"/>
      <x:c r="O2089" t="str">
        <x:v>https://www.activesportstrade.co.uk/olimp-trade</x:v>
      </x:c>
      <x:c r="P2089" t="str">
        <x:v>Supplier 'NEW' promo word stripped from Dubai Chocolate variant label.</x:v>
      </x:c>
      <x:c r="Q2089" t="str"/>
      <x:c r="R2089" t="str"/>
      <x:c r="S2089" t="str">
        <x:v>Pending genuine supplier/brand image</x:v>
      </x:c>
      <x:c r="T2089" s="54" t="n">
        <x:v>18.44</x:v>
      </x:c>
      <x:c r="U2089" s="47" t="n">
        <x:v>0.2</x:v>
      </x:c>
      <x:c r="V2089" s="54" t="n">
        <x:f>IF(ISNUMBER(T2089),T2089*(1+U2089),"")</x:f>
        <x:v>22.128</x:v>
      </x:c>
      <x:c r="W2089" s="47" t="n">
        <x:v>0.3</x:v>
      </x:c>
      <x:c r="X2089" s="54" t="n">
        <x:f>IF(ISNUMBER(V2089),V2089/(1-W2089),"")</x:f>
        <x:v>31.611428571428572</x:v>
      </x:c>
      <x:c r="Y2089" s="55" t="n">
        <x:f>IF(ISNUMBER(X2089),ROUNDUP(X2089,0),"")</x:f>
        <x:v>32</x:v>
      </x:c>
      <x:c r="Z2089" t="str">
        <x:v>Source match pending</x:v>
      </x:c>
      <x:c r="AA2089" t="str">
        <x:v>screencapture-www-activesportstrade-co-uk-olimp-trade-2026-09-10-09_05_33.pdf / page-14</x:v>
      </x:c>
      <x:c r="AB2089" s="36" t="n">
        <x:f>IF(ISNUMBER(Y2089),ROUND(Y2089*0.9,2),"")</x:f>
        <x:v>28.8</x:v>
      </x:c>
      <x:c r="AC2089" s="36" t="n">
        <x:f>IF(ISNUMBER(AB2089),ROUND(AB2089-(AB2089*0.015+0.2)-V2089,2),"")</x:f>
        <x:v>6.04</x:v>
      </x:c>
      <x:c r="AD2089" s="36" t="n">
        <x:f>IF(ISNUMBER(Y2089),ROUND(Y2089*0.8,2),"")</x:f>
        <x:v>25.6</x:v>
      </x:c>
      <x:c r="AE2089" s="36" t="n">
        <x:f>IF(ISNUMBER(AD2089),ROUND(AD2089*0.015+0.2,2),"")</x:f>
        <x:v>0.58</x:v>
      </x:c>
      <x:c r="AF2089" s="36" t="n">
        <x:f>IF(ISNUMBER(AD2089),ROUND(AD2089-AE2089-V2089,2),"")</x:f>
        <x:v>2.89</x:v>
      </x:c>
      <x:c r="AG2089" t="str">
        <x:f>IF(NOT(ISNUMBER(T2089)),"PENDING",IF(AF2089&gt;0,"PASS","FAIL"))</x:f>
        <x:v>PASS</x:v>
      </x:c>
      <x:c r="AH2089" t="str">
        <x:f>IF(NOT(ISNUMBER(T2089)),"Needs supplier cost",IF(K2089&lt;&gt;"In stock","Supplier unavailable",IF(AG2089&lt;&gt;"PASS","BLOCK - GT loss risk","Commercially protected")))</x:f>
        <x:v>Commercially protected</x:v>
      </x:c>
      <x:c r="AI2089" t="str">
        <x:v>2026-09-10 Active Sports trade capture</x:v>
      </x:c>
      <x:c r="AJ2089" t="str">
        <x:v>Management-only economics. Stripe stress test uses 1.5% + £0.20 standard UK online-card fee; pallet/mix-and-match pricing ignored.</x:v>
      </x:c>
    </x:row>
    <x:row r="2090">
      <x:c r="A2090" t="str">
        <x:v>Active Sports Nutrition</x:v>
      </x:c>
      <x:c r="B2090" t="str">
        <x:v>Olimp</x:v>
      </x:c>
      <x:c r="C2090" t="str">
        <x:v>Whey Protein Complex 100% Sachets</x:v>
      </x:c>
      <x:c r="D2090" t="str">
        <x:v>Supplements</x:v>
      </x:c>
      <x:c r="E2090" t="str">
        <x:v>Whey Protein</x:v>
      </x:c>
      <x:c r="F2090" t="str"/>
      <x:c r="G2090" t="str">
        <x:v>20 x 35g sachets</x:v>
      </x:c>
      <x:c r="H2090" t="str">
        <x:v>Banana</x:v>
      </x:c>
      <x:c r="I2090" t="str">
        <x:v>20</x:v>
      </x:c>
      <x:c r="J2090" t="str">
        <x:v>Case</x:v>
      </x:c>
      <x:c r="K2090" t="str">
        <x:v>In stock</x:v>
      </x:c>
      <x:c r="L2090" t="str">
        <x:v>2026-09-08</x:v>
      </x:c>
      <x:c r="M2090" t="str"/>
      <x:c r="N2090" t="str"/>
      <x:c r="O2090" t="str">
        <x:v>https://www.activesportstrade.co.uk/olimp-trade</x:v>
      </x:c>
      <x:c r="P2090" t="str"/>
      <x:c r="Q2090" t="str"/>
      <x:c r="R2090" t="str"/>
      <x:c r="S2090" t="str">
        <x:v>Pending genuine supplier/brand image</x:v>
      </x:c>
      <x:c r="T2090" s="54" t="n">
        <x:v>17.52</x:v>
      </x:c>
      <x:c r="U2090" s="47" t="n">
        <x:v>0.2</x:v>
      </x:c>
      <x:c r="V2090" s="54" t="n">
        <x:f>IF(ISNUMBER(T2090),T2090*(1+U2090),"")</x:f>
        <x:v>21.023999999999997</x:v>
      </x:c>
      <x:c r="W2090" s="47" t="n">
        <x:v>0.3</x:v>
      </x:c>
      <x:c r="X2090" s="54" t="n">
        <x:f>IF(ISNUMBER(V2090),V2090/(1-W2090),"")</x:f>
        <x:v>30.034285714285712</x:v>
      </x:c>
      <x:c r="Y2090" s="55" t="n">
        <x:f>IF(ISNUMBER(X2090),ROUNDUP(X2090,0),"")</x:f>
        <x:v>31</x:v>
      </x:c>
      <x:c r="Z2090" t="str">
        <x:v>Source match pending</x:v>
      </x:c>
      <x:c r="AA2090" t="str">
        <x:v>screencapture-www-activesportstrade-co-uk-olimp-trade-2026-09-10-09_05_33.pdf / page-14</x:v>
      </x:c>
      <x:c r="AB2090" s="36" t="n">
        <x:f>IF(ISNUMBER(Y2090),ROUND(Y2090*0.9,2),"")</x:f>
        <x:v>27.9</x:v>
      </x:c>
      <x:c r="AC2090" s="36" t="n">
        <x:f>IF(ISNUMBER(AB2090),ROUND(AB2090-(AB2090*0.015+0.2)-V2090,2),"")</x:f>
        <x:v>6.26</x:v>
      </x:c>
      <x:c r="AD2090" s="36" t="n">
        <x:f>IF(ISNUMBER(Y2090),ROUND(Y2090*0.8,2),"")</x:f>
        <x:v>24.8</x:v>
      </x:c>
      <x:c r="AE2090" s="36" t="n">
        <x:f>IF(ISNUMBER(AD2090),ROUND(AD2090*0.015+0.2,2),"")</x:f>
        <x:v>0.57</x:v>
      </x:c>
      <x:c r="AF2090" s="36" t="n">
        <x:f>IF(ISNUMBER(AD2090),ROUND(AD2090-AE2090-V2090,2),"")</x:f>
        <x:v>3.21</x:v>
      </x:c>
      <x:c r="AG2090" t="str">
        <x:f>IF(NOT(ISNUMBER(T2090)),"PENDING",IF(AF2090&gt;0,"PASS","FAIL"))</x:f>
        <x:v>PASS</x:v>
      </x:c>
      <x:c r="AH2090" t="str">
        <x:f>IF(NOT(ISNUMBER(T2090)),"Needs supplier cost",IF(K2090&lt;&gt;"In stock","Supplier unavailable",IF(AG2090&lt;&gt;"PASS","BLOCK - GT loss risk","Commercially protected")))</x:f>
        <x:v>Commercially protected</x:v>
      </x:c>
      <x:c r="AI2090" t="str">
        <x:v>2026-09-10 Active Sports trade capture</x:v>
      </x:c>
      <x:c r="AJ2090" t="str">
        <x:v>Management-only economics. Stripe stress test uses 1.5% + £0.20 standard UK online-card fee; pallet/mix-and-match pricing ignored.</x:v>
      </x:c>
    </x:row>
    <x:row r="2091">
      <x:c r="A2091" t="str">
        <x:v>Active Sports Nutrition</x:v>
      </x:c>
      <x:c r="B2091" t="str">
        <x:v>Olimp</x:v>
      </x:c>
      <x:c r="C2091" t="str">
        <x:v>Whey Protein Complex 100% Sachets</x:v>
      </x:c>
      <x:c r="D2091" t="str">
        <x:v>Supplements</x:v>
      </x:c>
      <x:c r="E2091" t="str">
        <x:v>Whey Protein</x:v>
      </x:c>
      <x:c r="F2091" t="str"/>
      <x:c r="G2091" t="str">
        <x:v>20 x 35g sachets</x:v>
      </x:c>
      <x:c r="H2091" t="str">
        <x:v>Chocolate</x:v>
      </x:c>
      <x:c r="I2091" t="str">
        <x:v>20</x:v>
      </x:c>
      <x:c r="J2091" t="str">
        <x:v>Case</x:v>
      </x:c>
      <x:c r="K2091" t="str">
        <x:v>Out of stock</x:v>
      </x:c>
      <x:c r="L2091" t="str">
        <x:v>2026-09-08</x:v>
      </x:c>
      <x:c r="M2091" t="str"/>
      <x:c r="N2091" t="str"/>
      <x:c r="O2091" t="str">
        <x:v>https://www.activesportstrade.co.uk/olimp-trade</x:v>
      </x:c>
      <x:c r="P2091" t="str"/>
      <x:c r="Q2091" t="str"/>
      <x:c r="R2091" t="str"/>
      <x:c r="S2091" t="str">
        <x:v>Pending genuine supplier/brand image</x:v>
      </x:c>
      <x:c r="T2091" s="54" t="n">
        <x:v>17.52</x:v>
      </x:c>
      <x:c r="U2091" s="47" t="n">
        <x:v>0.2</x:v>
      </x:c>
      <x:c r="V2091" s="54" t="n">
        <x:f>IF(ISNUMBER(T2091),T2091*(1+U2091),"")</x:f>
        <x:v>21.023999999999997</x:v>
      </x:c>
      <x:c r="W2091" s="47" t="n">
        <x:v>0.3</x:v>
      </x:c>
      <x:c r="X2091" s="54" t="n">
        <x:f>IF(ISNUMBER(V2091),V2091/(1-W2091),"")</x:f>
        <x:v>30.034285714285712</x:v>
      </x:c>
      <x:c r="Y2091" s="55" t="n">
        <x:f>IF(ISNUMBER(X2091),ROUNDUP(X2091,0),"")</x:f>
        <x:v>31</x:v>
      </x:c>
      <x:c r="Z2091" t="str">
        <x:v>Source match pending</x:v>
      </x:c>
      <x:c r="AA2091" t="str">
        <x:v>screencapture-www-activesportstrade-co-uk-olimp-trade-2026-09-10-09_05_33.pdf / page-14</x:v>
      </x:c>
      <x:c r="AB2091" s="36" t="n">
        <x:f>IF(ISNUMBER(Y2091),ROUND(Y2091*0.9,2),"")</x:f>
        <x:v>27.9</x:v>
      </x:c>
      <x:c r="AC2091" s="36" t="n">
        <x:f>IF(ISNUMBER(AB2091),ROUND(AB2091-(AB2091*0.015+0.2)-V2091,2),"")</x:f>
        <x:v>6.26</x:v>
      </x:c>
      <x:c r="AD2091" s="36" t="n">
        <x:f>IF(ISNUMBER(Y2091),ROUND(Y2091*0.8,2),"")</x:f>
        <x:v>24.8</x:v>
      </x:c>
      <x:c r="AE2091" s="36" t="n">
        <x:f>IF(ISNUMBER(AD2091),ROUND(AD2091*0.015+0.2,2),"")</x:f>
        <x:v>0.57</x:v>
      </x:c>
      <x:c r="AF2091" s="36" t="n">
        <x:f>IF(ISNUMBER(AD2091),ROUND(AD2091-AE2091-V2091,2),"")</x:f>
        <x:v>3.21</x:v>
      </x:c>
      <x:c r="AG2091" t="str">
        <x:f>IF(NOT(ISNUMBER(T2091)),"PENDING",IF(AF2091&gt;0,"PASS","FAIL"))</x:f>
        <x:v>PASS</x:v>
      </x:c>
      <x:c r="AH2091" t="str">
        <x:f>IF(NOT(ISNUMBER(T2091)),"Needs supplier cost",IF(K2091&lt;&gt;"In stock","Supplier unavailable",IF(AG2091&lt;&gt;"PASS","BLOCK - GT loss risk","Commercially protected")))</x:f>
        <x:v>Supplier unavailable</x:v>
      </x:c>
      <x:c r="AI2091" t="str">
        <x:v>2026-09-10 Active Sports trade capture</x:v>
      </x:c>
      <x:c r="AJ2091" t="str">
        <x:v>Management-only economics. Stripe stress test uses 1.5% + £0.20 standard UK online-card fee; pallet/mix-and-match pricing ignored.</x:v>
      </x:c>
    </x:row>
    <x:row r="2092">
      <x:c r="A2092" t="str">
        <x:v>Active Sports Nutrition</x:v>
      </x:c>
      <x:c r="B2092" t="str">
        <x:v>Olimp</x:v>
      </x:c>
      <x:c r="C2092" t="str">
        <x:v>Whey Protein Complex 100% Sachets</x:v>
      </x:c>
      <x:c r="D2092" t="str">
        <x:v>Supplements</x:v>
      </x:c>
      <x:c r="E2092" t="str">
        <x:v>Whey Protein</x:v>
      </x:c>
      <x:c r="F2092" t="str"/>
      <x:c r="G2092" t="str">
        <x:v>20 x 35g sachets</x:v>
      </x:c>
      <x:c r="H2092" t="str">
        <x:v>Cookies &amp; Cream</x:v>
      </x:c>
      <x:c r="I2092" t="str">
        <x:v>20</x:v>
      </x:c>
      <x:c r="J2092" t="str">
        <x:v>Case</x:v>
      </x:c>
      <x:c r="K2092" t="str">
        <x:v>In stock</x:v>
      </x:c>
      <x:c r="L2092" t="str">
        <x:v>2026-09-08</x:v>
      </x:c>
      <x:c r="M2092" t="str"/>
      <x:c r="N2092" t="str"/>
      <x:c r="O2092" t="str">
        <x:v>https://www.activesportstrade.co.uk/olimp-trade</x:v>
      </x:c>
      <x:c r="P2092" t="str"/>
      <x:c r="Q2092" t="str"/>
      <x:c r="R2092" t="str"/>
      <x:c r="S2092" t="str">
        <x:v>Pending genuine supplier/brand image</x:v>
      </x:c>
      <x:c r="T2092" s="54" t="n">
        <x:v>17.52</x:v>
      </x:c>
      <x:c r="U2092" s="47" t="n">
        <x:v>0.2</x:v>
      </x:c>
      <x:c r="V2092" s="54" t="n">
        <x:f>IF(ISNUMBER(T2092),T2092*(1+U2092),"")</x:f>
        <x:v>21.023999999999997</x:v>
      </x:c>
      <x:c r="W2092" s="47" t="n">
        <x:v>0.3</x:v>
      </x:c>
      <x:c r="X2092" s="54" t="n">
        <x:f>IF(ISNUMBER(V2092),V2092/(1-W2092),"")</x:f>
        <x:v>30.034285714285712</x:v>
      </x:c>
      <x:c r="Y2092" s="55" t="n">
        <x:f>IF(ISNUMBER(X2092),ROUNDUP(X2092,0),"")</x:f>
        <x:v>31</x:v>
      </x:c>
      <x:c r="Z2092" t="str">
        <x:v>Source match pending</x:v>
      </x:c>
      <x:c r="AA2092" t="str">
        <x:v>screencapture-www-activesportstrade-co-uk-olimp-trade-2026-09-10-09_05_33.pdf / page-14</x:v>
      </x:c>
      <x:c r="AB2092" s="36" t="n">
        <x:f>IF(ISNUMBER(Y2092),ROUND(Y2092*0.9,2),"")</x:f>
        <x:v>27.9</x:v>
      </x:c>
      <x:c r="AC2092" s="36" t="n">
        <x:f>IF(ISNUMBER(AB2092),ROUND(AB2092-(AB2092*0.015+0.2)-V2092,2),"")</x:f>
        <x:v>6.26</x:v>
      </x:c>
      <x:c r="AD2092" s="36" t="n">
        <x:f>IF(ISNUMBER(Y2092),ROUND(Y2092*0.8,2),"")</x:f>
        <x:v>24.8</x:v>
      </x:c>
      <x:c r="AE2092" s="36" t="n">
        <x:f>IF(ISNUMBER(AD2092),ROUND(AD2092*0.015+0.2,2),"")</x:f>
        <x:v>0.57</x:v>
      </x:c>
      <x:c r="AF2092" s="36" t="n">
        <x:f>IF(ISNUMBER(AD2092),ROUND(AD2092-AE2092-V2092,2),"")</x:f>
        <x:v>3.21</x:v>
      </x:c>
      <x:c r="AG2092" t="str">
        <x:f>IF(NOT(ISNUMBER(T2092)),"PENDING",IF(AF2092&gt;0,"PASS","FAIL"))</x:f>
        <x:v>PASS</x:v>
      </x:c>
      <x:c r="AH2092" t="str">
        <x:f>IF(NOT(ISNUMBER(T2092)),"Needs supplier cost",IF(K2092&lt;&gt;"In stock","Supplier unavailable",IF(AG2092&lt;&gt;"PASS","BLOCK - GT loss risk","Commercially protected")))</x:f>
        <x:v>Commercially protected</x:v>
      </x:c>
      <x:c r="AI2092" t="str">
        <x:v>2026-09-10 Active Sports trade capture</x:v>
      </x:c>
      <x:c r="AJ2092" t="str">
        <x:v>Management-only economics. Stripe stress test uses 1.5% + £0.20 standard UK online-card fee; pallet/mix-and-match pricing ignored.</x:v>
      </x:c>
    </x:row>
    <x:row r="2093">
      <x:c r="A2093" t="str">
        <x:v>Active Sports Nutrition</x:v>
      </x:c>
      <x:c r="B2093" t="str">
        <x:v>Olimp</x:v>
      </x:c>
      <x:c r="C2093" t="str">
        <x:v>Whey Protein Complex 100% Sachets</x:v>
      </x:c>
      <x:c r="D2093" t="str">
        <x:v>Supplements</x:v>
      </x:c>
      <x:c r="E2093" t="str">
        <x:v>Whey Protein</x:v>
      </x:c>
      <x:c r="F2093" t="str"/>
      <x:c r="G2093" t="str">
        <x:v>20 x 35g sachets</x:v>
      </x:c>
      <x:c r="H2093" t="str">
        <x:v>Salty Caramel</x:v>
      </x:c>
      <x:c r="I2093" t="str">
        <x:v>20</x:v>
      </x:c>
      <x:c r="J2093" t="str">
        <x:v>Case</x:v>
      </x:c>
      <x:c r="K2093" t="str">
        <x:v>In stock</x:v>
      </x:c>
      <x:c r="L2093" t="str">
        <x:v>2026-09-08</x:v>
      </x:c>
      <x:c r="M2093" t="str"/>
      <x:c r="N2093" t="str"/>
      <x:c r="O2093" t="str">
        <x:v>https://www.activesportstrade.co.uk/olimp-trade</x:v>
      </x:c>
      <x:c r="P2093" t="str"/>
      <x:c r="Q2093" t="str"/>
      <x:c r="R2093" t="str"/>
      <x:c r="S2093" t="str">
        <x:v>Pending genuine supplier/brand image</x:v>
      </x:c>
      <x:c r="T2093" s="54" t="n">
        <x:v>17.52</x:v>
      </x:c>
      <x:c r="U2093" s="47" t="n">
        <x:v>0.2</x:v>
      </x:c>
      <x:c r="V2093" s="54" t="n">
        <x:f>IF(ISNUMBER(T2093),T2093*(1+U2093),"")</x:f>
        <x:v>21.023999999999997</x:v>
      </x:c>
      <x:c r="W2093" s="47" t="n">
        <x:v>0.3</x:v>
      </x:c>
      <x:c r="X2093" s="54" t="n">
        <x:f>IF(ISNUMBER(V2093),V2093/(1-W2093),"")</x:f>
        <x:v>30.034285714285712</x:v>
      </x:c>
      <x:c r="Y2093" s="55" t="n">
        <x:f>IF(ISNUMBER(X2093),ROUNDUP(X2093,0),"")</x:f>
        <x:v>31</x:v>
      </x:c>
      <x:c r="Z2093" t="str">
        <x:v>Source match pending</x:v>
      </x:c>
      <x:c r="AA2093" t="str">
        <x:v>screencapture-www-activesportstrade-co-uk-olimp-trade-2026-09-10-09_05_33.pdf / page-14</x:v>
      </x:c>
      <x:c r="AB2093" s="36" t="n">
        <x:f>IF(ISNUMBER(Y2093),ROUND(Y2093*0.9,2),"")</x:f>
        <x:v>27.9</x:v>
      </x:c>
      <x:c r="AC2093" s="36" t="n">
        <x:f>IF(ISNUMBER(AB2093),ROUND(AB2093-(AB2093*0.015+0.2)-V2093,2),"")</x:f>
        <x:v>6.26</x:v>
      </x:c>
      <x:c r="AD2093" s="36" t="n">
        <x:f>IF(ISNUMBER(Y2093),ROUND(Y2093*0.8,2),"")</x:f>
        <x:v>24.8</x:v>
      </x:c>
      <x:c r="AE2093" s="36" t="n">
        <x:f>IF(ISNUMBER(AD2093),ROUND(AD2093*0.015+0.2,2),"")</x:f>
        <x:v>0.57</x:v>
      </x:c>
      <x:c r="AF2093" s="36" t="n">
        <x:f>IF(ISNUMBER(AD2093),ROUND(AD2093-AE2093-V2093,2),"")</x:f>
        <x:v>3.21</x:v>
      </x:c>
      <x:c r="AG2093" t="str">
        <x:f>IF(NOT(ISNUMBER(T2093)),"PENDING",IF(AF2093&gt;0,"PASS","FAIL"))</x:f>
        <x:v>PASS</x:v>
      </x:c>
      <x:c r="AH2093" t="str">
        <x:f>IF(NOT(ISNUMBER(T2093)),"Needs supplier cost",IF(K2093&lt;&gt;"In stock","Supplier unavailable",IF(AG2093&lt;&gt;"PASS","BLOCK - GT loss risk","Commercially protected")))</x:f>
        <x:v>Commercially protected</x:v>
      </x:c>
      <x:c r="AI2093" t="str">
        <x:v>2026-09-10 Active Sports trade capture</x:v>
      </x:c>
      <x:c r="AJ2093" t="str">
        <x:v>Management-only economics. Stripe stress test uses 1.5% + £0.20 standard UK online-card fee; pallet/mix-and-match pricing ignored.</x:v>
      </x:c>
    </x:row>
    <x:row r="2094">
      <x:c r="A2094" t="str">
        <x:v>Active Sports Nutrition</x:v>
      </x:c>
      <x:c r="B2094" t="str">
        <x:v>Olimp</x:v>
      </x:c>
      <x:c r="C2094" t="str">
        <x:v>Whey Protein Complex 100% Sachets</x:v>
      </x:c>
      <x:c r="D2094" t="str">
        <x:v>Supplements</x:v>
      </x:c>
      <x:c r="E2094" t="str">
        <x:v>Whey Protein</x:v>
      </x:c>
      <x:c r="F2094" t="str"/>
      <x:c r="G2094" t="str">
        <x:v>20 x 35g sachets</x:v>
      </x:c>
      <x:c r="H2094" t="str">
        <x:v>Strawberry</x:v>
      </x:c>
      <x:c r="I2094" t="str">
        <x:v>20</x:v>
      </x:c>
      <x:c r="J2094" t="str">
        <x:v>Case</x:v>
      </x:c>
      <x:c r="K2094" t="str">
        <x:v>In stock</x:v>
      </x:c>
      <x:c r="L2094" t="str">
        <x:v>2026-09-08</x:v>
      </x:c>
      <x:c r="M2094" t="str"/>
      <x:c r="N2094" t="str"/>
      <x:c r="O2094" t="str">
        <x:v>https://www.activesportstrade.co.uk/olimp-trade</x:v>
      </x:c>
      <x:c r="P2094" t="str"/>
      <x:c r="Q2094" t="str"/>
      <x:c r="R2094" t="str"/>
      <x:c r="S2094" t="str">
        <x:v>Pending genuine supplier/brand image</x:v>
      </x:c>
      <x:c r="T2094" s="54" t="n">
        <x:v>17.52</x:v>
      </x:c>
      <x:c r="U2094" s="47" t="n">
        <x:v>0.2</x:v>
      </x:c>
      <x:c r="V2094" s="54" t="n">
        <x:f>IF(ISNUMBER(T2094),T2094*(1+U2094),"")</x:f>
        <x:v>21.023999999999997</x:v>
      </x:c>
      <x:c r="W2094" s="47" t="n">
        <x:v>0.3</x:v>
      </x:c>
      <x:c r="X2094" s="54" t="n">
        <x:f>IF(ISNUMBER(V2094),V2094/(1-W2094),"")</x:f>
        <x:v>30.034285714285712</x:v>
      </x:c>
      <x:c r="Y2094" s="55" t="n">
        <x:f>IF(ISNUMBER(X2094),ROUNDUP(X2094,0),"")</x:f>
        <x:v>31</x:v>
      </x:c>
      <x:c r="Z2094" t="str">
        <x:v>Source match pending</x:v>
      </x:c>
      <x:c r="AA2094" t="str">
        <x:v>screencapture-www-activesportstrade-co-uk-olimp-trade-2026-09-10-09_05_33.pdf / page-14</x:v>
      </x:c>
      <x:c r="AB2094" s="36" t="n">
        <x:f>IF(ISNUMBER(Y2094),ROUND(Y2094*0.9,2),"")</x:f>
        <x:v>27.9</x:v>
      </x:c>
      <x:c r="AC2094" s="36" t="n">
        <x:f>IF(ISNUMBER(AB2094),ROUND(AB2094-(AB2094*0.015+0.2)-V2094,2),"")</x:f>
        <x:v>6.26</x:v>
      </x:c>
      <x:c r="AD2094" s="36" t="n">
        <x:f>IF(ISNUMBER(Y2094),ROUND(Y2094*0.8,2),"")</x:f>
        <x:v>24.8</x:v>
      </x:c>
      <x:c r="AE2094" s="36" t="n">
        <x:f>IF(ISNUMBER(AD2094),ROUND(AD2094*0.015+0.2,2),"")</x:f>
        <x:v>0.57</x:v>
      </x:c>
      <x:c r="AF2094" s="36" t="n">
        <x:f>IF(ISNUMBER(AD2094),ROUND(AD2094-AE2094-V2094,2),"")</x:f>
        <x:v>3.21</x:v>
      </x:c>
      <x:c r="AG2094" t="str">
        <x:f>IF(NOT(ISNUMBER(T2094)),"PENDING",IF(AF2094&gt;0,"PASS","FAIL"))</x:f>
        <x:v>PASS</x:v>
      </x:c>
      <x:c r="AH2094" t="str">
        <x:f>IF(NOT(ISNUMBER(T2094)),"Needs supplier cost",IF(K2094&lt;&gt;"In stock","Supplier unavailable",IF(AG2094&lt;&gt;"PASS","BLOCK - GT loss risk","Commercially protected")))</x:f>
        <x:v>Commercially protected</x:v>
      </x:c>
      <x:c r="AI2094" t="str">
        <x:v>2026-09-10 Active Sports trade capture</x:v>
      </x:c>
      <x:c r="AJ2094" t="str">
        <x:v>Management-only economics. Stripe stress test uses 1.5% + £0.20 standard UK online-card fee; pallet/mix-and-match pricing ignored.</x:v>
      </x:c>
    </x:row>
    <x:row r="2095">
      <x:c r="A2095" t="str">
        <x:v>Active Sports Nutrition</x:v>
      </x:c>
      <x:c r="B2095" t="str">
        <x:v>Olimp</x:v>
      </x:c>
      <x:c r="C2095" t="str">
        <x:v>Whey Protein Complex 100% Sachets</x:v>
      </x:c>
      <x:c r="D2095" t="str">
        <x:v>Supplements</x:v>
      </x:c>
      <x:c r="E2095" t="str">
        <x:v>Whey Protein</x:v>
      </x:c>
      <x:c r="F2095" t="str"/>
      <x:c r="G2095" t="str">
        <x:v>20 x 35g sachets</x:v>
      </x:c>
      <x:c r="H2095" t="str">
        <x:v>Vanilla Ice Cream</x:v>
      </x:c>
      <x:c r="I2095" t="str">
        <x:v>20</x:v>
      </x:c>
      <x:c r="J2095" t="str">
        <x:v>Case</x:v>
      </x:c>
      <x:c r="K2095" t="str">
        <x:v>Out of stock</x:v>
      </x:c>
      <x:c r="L2095" t="str">
        <x:v>2026-09-08</x:v>
      </x:c>
      <x:c r="M2095" t="str"/>
      <x:c r="N2095" t="str"/>
      <x:c r="O2095" t="str">
        <x:v>https://www.activesportstrade.co.uk/olimp-trade</x:v>
      </x:c>
      <x:c r="P2095" t="str"/>
      <x:c r="Q2095" t="str"/>
      <x:c r="R2095" t="str"/>
      <x:c r="S2095" t="str">
        <x:v>Pending genuine supplier/brand image</x:v>
      </x:c>
      <x:c r="T2095" s="54" t="n">
        <x:v>17.52</x:v>
      </x:c>
      <x:c r="U2095" s="47" t="n">
        <x:v>0.2</x:v>
      </x:c>
      <x:c r="V2095" s="54" t="n">
        <x:f>IF(ISNUMBER(T2095),T2095*(1+U2095),"")</x:f>
        <x:v>21.023999999999997</x:v>
      </x:c>
      <x:c r="W2095" s="47" t="n">
        <x:v>0.3</x:v>
      </x:c>
      <x:c r="X2095" s="54" t="n">
        <x:f>IF(ISNUMBER(V2095),V2095/(1-W2095),"")</x:f>
        <x:v>30.034285714285712</x:v>
      </x:c>
      <x:c r="Y2095" s="55" t="n">
        <x:f>IF(ISNUMBER(X2095),ROUNDUP(X2095,0),"")</x:f>
        <x:v>31</x:v>
      </x:c>
      <x:c r="Z2095" t="str">
        <x:v>Source match pending</x:v>
      </x:c>
      <x:c r="AA2095" t="str">
        <x:v>screencapture-www-activesportstrade-co-uk-olimp-trade-2026-09-10-09_05_33.pdf / page-14</x:v>
      </x:c>
      <x:c r="AB2095" s="36" t="n">
        <x:f>IF(ISNUMBER(Y2095),ROUND(Y2095*0.9,2),"")</x:f>
        <x:v>27.9</x:v>
      </x:c>
      <x:c r="AC2095" s="36" t="n">
        <x:f>IF(ISNUMBER(AB2095),ROUND(AB2095-(AB2095*0.015+0.2)-V2095,2),"")</x:f>
        <x:v>6.26</x:v>
      </x:c>
      <x:c r="AD2095" s="36" t="n">
        <x:f>IF(ISNUMBER(Y2095),ROUND(Y2095*0.8,2),"")</x:f>
        <x:v>24.8</x:v>
      </x:c>
      <x:c r="AE2095" s="36" t="n">
        <x:f>IF(ISNUMBER(AD2095),ROUND(AD2095*0.015+0.2,2),"")</x:f>
        <x:v>0.57</x:v>
      </x:c>
      <x:c r="AF2095" s="36" t="n">
        <x:f>IF(ISNUMBER(AD2095),ROUND(AD2095-AE2095-V2095,2),"")</x:f>
        <x:v>3.21</x:v>
      </x:c>
      <x:c r="AG2095" t="str">
        <x:f>IF(NOT(ISNUMBER(T2095)),"PENDING",IF(AF2095&gt;0,"PASS","FAIL"))</x:f>
        <x:v>PASS</x:v>
      </x:c>
      <x:c r="AH2095" t="str">
        <x:f>IF(NOT(ISNUMBER(T2095)),"Needs supplier cost",IF(K2095&lt;&gt;"In stock","Supplier unavailable",IF(AG2095&lt;&gt;"PASS","BLOCK - GT loss risk","Commercially protected")))</x:f>
        <x:v>Supplier unavailable</x:v>
      </x:c>
      <x:c r="AI2095" t="str">
        <x:v>2026-09-10 Active Sports trade capture</x:v>
      </x:c>
      <x:c r="AJ2095" t="str">
        <x:v>Management-only economics. Stripe stress test uses 1.5% + £0.20 standard UK online-card fee; pallet/mix-and-match pricing ignored.</x:v>
      </x:c>
    </x:row>
    <x:row r="2096">
      <x:c r="A2096" t="str">
        <x:v>Active Sports Nutrition</x:v>
      </x:c>
      <x:c r="B2096" t="str">
        <x:v>Olimp</x:v>
      </x:c>
      <x:c r="C2096" t="str">
        <x:v>Gold Vit D3 + K2 Sport Edition</x:v>
      </x:c>
      <x:c r="D2096" t="str">
        <x:v>Supplements</x:v>
      </x:c>
      <x:c r="E2096" t="str">
        <x:v>Vitamins and Minerals</x:v>
      </x:c>
      <x:c r="F2096" t="str"/>
      <x:c r="G2096" t="str">
        <x:v>60 caps</x:v>
      </x:c>
      <x:c r="H2096" t="str">
        <x:v>Default</x:v>
      </x:c>
      <x:c r="I2096" t="str"/>
      <x:c r="J2096" t="str">
        <x:v>Unit</x:v>
      </x:c>
      <x:c r="K2096" t="str">
        <x:v>In stock</x:v>
      </x:c>
      <x:c r="L2096" t="str">
        <x:v>2026-09-08</x:v>
      </x:c>
      <x:c r="M2096" t="str"/>
      <x:c r="N2096" t="str"/>
      <x:c r="O2096" t="str">
        <x:v>https://www.activesportstrade.co.uk/trade-sports-supplements/olimp-trade</x:v>
      </x:c>
      <x:c r="P2096" t="str"/>
      <x:c r="Q2096" t="str"/>
      <x:c r="R2096" t="str"/>
      <x:c r="S2096" t="str">
        <x:v>Pending genuine supplier/brand image</x:v>
      </x:c>
      <x:c r="T2096" s="54" t="n">
        <x:v>7.06</x:v>
      </x:c>
      <x:c r="U2096" s="47" t="n">
        <x:v>0.2</x:v>
      </x:c>
      <x:c r="V2096" s="54" t="n">
        <x:f>IF(ISNUMBER(T2096),T2096*(1+U2096),"")</x:f>
        <x:v>8.472</x:v>
      </x:c>
      <x:c r="W2096" s="47" t="n">
        <x:v>0.3</x:v>
      </x:c>
      <x:c r="X2096" s="54" t="n">
        <x:f>IF(ISNUMBER(V2096),V2096/(1-W2096),"")</x:f>
        <x:v>12.102857142857143</x:v>
      </x:c>
      <x:c r="Y2096" s="55" t="n">
        <x:f>IF(ISNUMBER(X2096),ROUNDUP(X2096,0),"")</x:f>
        <x:v>13</x:v>
      </x:c>
      <x:c r="Z2096" t="str">
        <x:v>Source match pending</x:v>
      </x:c>
      <x:c r="AA2096" t="str">
        <x:v>screencapture-www-activesportstrade-co-uk-olimp-trade-2026-09-10-09_05_33.pdf / page-08</x:v>
      </x:c>
      <x:c r="AB2096" s="36" t="n">
        <x:f>IF(ISNUMBER(Y2096),ROUND(Y2096*0.9,2),"")</x:f>
        <x:v>11.7</x:v>
      </x:c>
      <x:c r="AC2096" s="36" t="n">
        <x:f>IF(ISNUMBER(AB2096),ROUND(AB2096-(AB2096*0.015+0.2)-V2096,2),"")</x:f>
        <x:v>2.85</x:v>
      </x:c>
      <x:c r="AD2096" s="36" t="n">
        <x:f>IF(ISNUMBER(Y2096),ROUND(Y2096*0.8,2),"")</x:f>
        <x:v>10.4</x:v>
      </x:c>
      <x:c r="AE2096" s="36" t="n">
        <x:f>IF(ISNUMBER(AD2096),ROUND(AD2096*0.015+0.2,2),"")</x:f>
        <x:v>0.36</x:v>
      </x:c>
      <x:c r="AF2096" s="36" t="n">
        <x:f>IF(ISNUMBER(AD2096),ROUND(AD2096-AE2096-V2096,2),"")</x:f>
        <x:v>1.57</x:v>
      </x:c>
      <x:c r="AG2096" t="str">
        <x:f>IF(NOT(ISNUMBER(T2096)),"PENDING",IF(AF2096&gt;0,"PASS","FAIL"))</x:f>
        <x:v>PASS</x:v>
      </x:c>
      <x:c r="AH2096" t="str">
        <x:f>IF(NOT(ISNUMBER(T2096)),"Needs supplier cost",IF(K2096&lt;&gt;"In stock","Supplier unavailable",IF(AG2096&lt;&gt;"PASS","BLOCK - GT loss risk","Commercially protected")))</x:f>
        <x:v>Commercially protected</x:v>
      </x:c>
      <x:c r="AI2096" t="str">
        <x:v>2026-09-10 Active Sports trade capture</x:v>
      </x:c>
      <x:c r="AJ2096" t="str">
        <x:v>Management-only economics. Stripe stress test uses 1.5% + £0.20 standard UK online-card fee; pallet/mix-and-match pricing ignored.</x:v>
      </x:c>
    </x:row>
    <x:row r="2097">
      <x:c r="A2097" t="str">
        <x:v>Active Sports Nutrition</x:v>
      </x:c>
      <x:c r="B2097" t="str">
        <x:v>Olimp</x:v>
      </x:c>
      <x:c r="C2097" t="str">
        <x:v>Gold VITA-MIN Anti OX Super Sport</x:v>
      </x:c>
      <x:c r="D2097" t="str">
        <x:v>Supplements</x:v>
      </x:c>
      <x:c r="E2097" t="str">
        <x:v>Vitamins and Minerals</x:v>
      </x:c>
      <x:c r="F2097" t="str"/>
      <x:c r="G2097" t="str">
        <x:v>60 Mega Caps</x:v>
      </x:c>
      <x:c r="H2097" t="str">
        <x:v>Default</x:v>
      </x:c>
      <x:c r="I2097" t="str"/>
      <x:c r="J2097" t="str">
        <x:v>Unit</x:v>
      </x:c>
      <x:c r="K2097" t="str">
        <x:v>In stock</x:v>
      </x:c>
      <x:c r="L2097" t="str">
        <x:v>2026-09-08</x:v>
      </x:c>
      <x:c r="M2097" t="str"/>
      <x:c r="N2097" t="str"/>
      <x:c r="O2097" t="str">
        <x:v>https://www.activesportstrade.co.uk/trade-sports-supplements/olimp-trade</x:v>
      </x:c>
      <x:c r="P2097" t="str"/>
      <x:c r="Q2097" t="str"/>
      <x:c r="R2097" t="str"/>
      <x:c r="S2097" t="str">
        <x:v>Pending genuine supplier/brand image</x:v>
      </x:c>
      <x:c r="T2097" s="54" t="n">
        <x:v>13.26</x:v>
      </x:c>
      <x:c r="U2097" s="47" t="n">
        <x:v>0.2</x:v>
      </x:c>
      <x:c r="V2097" s="54" t="n">
        <x:f>IF(ISNUMBER(T2097),T2097*(1+U2097),"")</x:f>
        <x:v>15.911999999999999</x:v>
      </x:c>
      <x:c r="W2097" s="47" t="n">
        <x:v>0.3</x:v>
      </x:c>
      <x:c r="X2097" s="54" t="n">
        <x:f>IF(ISNUMBER(V2097),V2097/(1-W2097),"")</x:f>
        <x:v>22.731428571428573</x:v>
      </x:c>
      <x:c r="Y2097" s="55" t="n">
        <x:f>IF(ISNUMBER(X2097),ROUNDUP(X2097,0),"")</x:f>
        <x:v>23</x:v>
      </x:c>
      <x:c r="Z2097" t="str">
        <x:v>Source match pending</x:v>
      </x:c>
      <x:c r="AA2097" t="str">
        <x:v>screencapture-www-activesportstrade-co-uk-olimp-trade-2026-09-10-09_05_33.pdf / page-08</x:v>
      </x:c>
      <x:c r="AB2097" s="36" t="n">
        <x:f>IF(ISNUMBER(Y2097),ROUND(Y2097*0.9,2),"")</x:f>
        <x:v>20.7</x:v>
      </x:c>
      <x:c r="AC2097" s="36" t="n">
        <x:f>IF(ISNUMBER(AB2097),ROUND(AB2097-(AB2097*0.015+0.2)-V2097,2),"")</x:f>
        <x:v>4.28</x:v>
      </x:c>
      <x:c r="AD2097" s="36" t="n">
        <x:f>IF(ISNUMBER(Y2097),ROUND(Y2097*0.8,2),"")</x:f>
        <x:v>18.4</x:v>
      </x:c>
      <x:c r="AE2097" s="36" t="n">
        <x:f>IF(ISNUMBER(AD2097),ROUND(AD2097*0.015+0.2,2),"")</x:f>
        <x:v>0.48</x:v>
      </x:c>
      <x:c r="AF2097" s="36" t="n">
        <x:f>IF(ISNUMBER(AD2097),ROUND(AD2097-AE2097-V2097,2),"")</x:f>
        <x:v>2.01</x:v>
      </x:c>
      <x:c r="AG2097" t="str">
        <x:f>IF(NOT(ISNUMBER(T2097)),"PENDING",IF(AF2097&gt;0,"PASS","FAIL"))</x:f>
        <x:v>PASS</x:v>
      </x:c>
      <x:c r="AH2097" t="str">
        <x:f>IF(NOT(ISNUMBER(T2097)),"Needs supplier cost",IF(K2097&lt;&gt;"In stock","Supplier unavailable",IF(AG2097&lt;&gt;"PASS","BLOCK - GT loss risk","Commercially protected")))</x:f>
        <x:v>Commercially protected</x:v>
      </x:c>
      <x:c r="AI2097" t="str">
        <x:v>2026-09-10 Active Sports trade capture</x:v>
      </x:c>
      <x:c r="AJ2097" t="str">
        <x:v>Management-only economics. Stripe stress test uses 1.5% + £0.20 standard UK online-card fee; pallet/mix-and-match pricing ignored.</x:v>
      </x:c>
    </x:row>
    <x:row r="2098">
      <x:c r="A2098" t="str">
        <x:v>Active Sports Nutrition</x:v>
      </x:c>
      <x:c r="B2098" t="str">
        <x:v>Olimp</x:v>
      </x:c>
      <x:c r="C2098" t="str">
        <x:v>HMB Mega Caps</x:v>
      </x:c>
      <x:c r="D2098" t="str">
        <x:v>Supplements</x:v>
      </x:c>
      <x:c r="E2098" t="str">
        <x:v>HMB Supplements</x:v>
      </x:c>
      <x:c r="F2098" t="str"/>
      <x:c r="G2098" t="str">
        <x:v>120 caps</x:v>
      </x:c>
      <x:c r="H2098" t="str">
        <x:v>Default</x:v>
      </x:c>
      <x:c r="I2098" t="str"/>
      <x:c r="J2098" t="str">
        <x:v>Unit</x:v>
      </x:c>
      <x:c r="K2098" t="str">
        <x:v>In stock</x:v>
      </x:c>
      <x:c r="L2098" t="str">
        <x:v>2026-09-08</x:v>
      </x:c>
      <x:c r="M2098" t="str"/>
      <x:c r="N2098" t="str"/>
      <x:c r="O2098" t="str">
        <x:v>https://www.activesportstrade.co.uk/trade-sports-supplements/olimp-trade</x:v>
      </x:c>
      <x:c r="P2098" t="str"/>
      <x:c r="Q2098" t="str"/>
      <x:c r="R2098" t="str"/>
      <x:c r="S2098" t="str">
        <x:v>Pending genuine supplier/brand image</x:v>
      </x:c>
      <x:c r="T2098" s="54" t="n">
        <x:v>14.28</x:v>
      </x:c>
      <x:c r="U2098" s="47" t="n">
        <x:v>0.2</x:v>
      </x:c>
      <x:c r="V2098" s="54" t="n">
        <x:f>IF(ISNUMBER(T2098),T2098*(1+U2098),"")</x:f>
        <x:v>17.136</x:v>
      </x:c>
      <x:c r="W2098" s="47" t="n">
        <x:v>0.3</x:v>
      </x:c>
      <x:c r="X2098" s="54" t="n">
        <x:f>IF(ISNUMBER(V2098),V2098/(1-W2098),"")</x:f>
        <x:v>24.48</x:v>
      </x:c>
      <x:c r="Y2098" s="55" t="n">
        <x:f>IF(ISNUMBER(X2098),ROUNDUP(X2098,0),"")</x:f>
        <x:v>25</x:v>
      </x:c>
      <x:c r="Z2098" t="str">
        <x:v>Source match pending</x:v>
      </x:c>
      <x:c r="AA2098" t="str">
        <x:v>screencapture-www-activesportstrade-co-uk-olimp-trade-2026-09-10-09_05_33.pdf / page-09</x:v>
      </x:c>
      <x:c r="AB2098" s="36" t="n">
        <x:f>IF(ISNUMBER(Y2098),ROUND(Y2098*0.9,2),"")</x:f>
        <x:v>22.5</x:v>
      </x:c>
      <x:c r="AC2098" s="36" t="n">
        <x:f>IF(ISNUMBER(AB2098),ROUND(AB2098-(AB2098*0.015+0.2)-V2098,2),"")</x:f>
        <x:v>4.83</x:v>
      </x:c>
      <x:c r="AD2098" s="36" t="n">
        <x:f>IF(ISNUMBER(Y2098),ROUND(Y2098*0.8,2),"")</x:f>
        <x:v>20</x:v>
      </x:c>
      <x:c r="AE2098" s="36" t="n">
        <x:f>IF(ISNUMBER(AD2098),ROUND(AD2098*0.015+0.2,2),"")</x:f>
        <x:v>0.5</x:v>
      </x:c>
      <x:c r="AF2098" s="36" t="n">
        <x:f>IF(ISNUMBER(AD2098),ROUND(AD2098-AE2098-V2098,2),"")</x:f>
        <x:v>2.36</x:v>
      </x:c>
      <x:c r="AG2098" t="str">
        <x:f>IF(NOT(ISNUMBER(T2098)),"PENDING",IF(AF2098&gt;0,"PASS","FAIL"))</x:f>
        <x:v>PASS</x:v>
      </x:c>
      <x:c r="AH2098" t="str">
        <x:f>IF(NOT(ISNUMBER(T2098)),"Needs supplier cost",IF(K2098&lt;&gt;"In stock","Supplier unavailable",IF(AG2098&lt;&gt;"PASS","BLOCK - GT loss risk","Commercially protected")))</x:f>
        <x:v>Commercially protected</x:v>
      </x:c>
      <x:c r="AI2098" t="str">
        <x:v>2026-09-10 Active Sports trade capture</x:v>
      </x:c>
      <x:c r="AJ2098" t="str">
        <x:v>Management-only economics. Stripe stress test uses 1.5% + £0.20 standard UK online-card fee; pallet/mix-and-match pricing ignored.</x:v>
      </x:c>
    </x:row>
    <x:row r="2099">
      <x:c r="A2099" t="str">
        <x:v>Active Sports Nutrition</x:v>
      </x:c>
      <x:c r="B2099" t="str">
        <x:v>Olimp</x:v>
      </x:c>
      <x:c r="C2099" t="str">
        <x:v>HMB Mega Caps</x:v>
      </x:c>
      <x:c r="D2099" t="str">
        <x:v>Supplements</x:v>
      </x:c>
      <x:c r="E2099" t="str">
        <x:v>HMB Supplements</x:v>
      </x:c>
      <x:c r="F2099" t="str"/>
      <x:c r="G2099" t="str">
        <x:v>300 caps</x:v>
      </x:c>
      <x:c r="H2099" t="str">
        <x:v>Default</x:v>
      </x:c>
      <x:c r="I2099" t="str"/>
      <x:c r="J2099" t="str">
        <x:v>Unit</x:v>
      </x:c>
      <x:c r="K2099" t="str">
        <x:v>In stock</x:v>
      </x:c>
      <x:c r="L2099" t="str">
        <x:v>2026-09-08</x:v>
      </x:c>
      <x:c r="M2099" t="str"/>
      <x:c r="N2099" t="str"/>
      <x:c r="O2099" t="str">
        <x:v>https://www.activesportstrade.co.uk/trade-sports-supplements/olimp-trade</x:v>
      </x:c>
      <x:c r="P2099" t="str"/>
      <x:c r="Q2099" t="str"/>
      <x:c r="R2099" t="str"/>
      <x:c r="S2099" t="str">
        <x:v>Pending genuine supplier/brand image</x:v>
      </x:c>
      <x:c r="T2099" s="54" t="n">
        <x:v>31.99</x:v>
      </x:c>
      <x:c r="U2099" s="47" t="n">
        <x:v>0.2</x:v>
      </x:c>
      <x:c r="V2099" s="54" t="n">
        <x:f>IF(ISNUMBER(T2099),T2099*(1+U2099),"")</x:f>
        <x:v>38.388</x:v>
      </x:c>
      <x:c r="W2099" s="47" t="n">
        <x:v>0.3</x:v>
      </x:c>
      <x:c r="X2099" s="54" t="n">
        <x:f>IF(ISNUMBER(V2099),V2099/(1-W2099),"")</x:f>
        <x:v>54.84</x:v>
      </x:c>
      <x:c r="Y2099" s="55" t="n">
        <x:f>IF(ISNUMBER(X2099),ROUNDUP(X2099,0),"")</x:f>
        <x:v>55</x:v>
      </x:c>
      <x:c r="Z2099" t="str">
        <x:v>Source match pending</x:v>
      </x:c>
      <x:c r="AA2099" t="str">
        <x:v>screencapture-www-activesportstrade-co-uk-olimp-trade-2026-09-10-09_05_33.pdf / page-09</x:v>
      </x:c>
      <x:c r="AB2099" s="36" t="n">
        <x:f>IF(ISNUMBER(Y2099),ROUND(Y2099*0.9,2),"")</x:f>
        <x:v>49.5</x:v>
      </x:c>
      <x:c r="AC2099" s="36" t="n">
        <x:f>IF(ISNUMBER(AB2099),ROUND(AB2099-(AB2099*0.015+0.2)-V2099,2),"")</x:f>
        <x:v>10.17</x:v>
      </x:c>
      <x:c r="AD2099" s="36" t="n">
        <x:f>IF(ISNUMBER(Y2099),ROUND(Y2099*0.8,2),"")</x:f>
        <x:v>44</x:v>
      </x:c>
      <x:c r="AE2099" s="36" t="n">
        <x:f>IF(ISNUMBER(AD2099),ROUND(AD2099*0.015+0.2,2),"")</x:f>
        <x:v>0.86</x:v>
      </x:c>
      <x:c r="AF2099" s="36" t="n">
        <x:f>IF(ISNUMBER(AD2099),ROUND(AD2099-AE2099-V2099,2),"")</x:f>
        <x:v>4.75</x:v>
      </x:c>
      <x:c r="AG2099" t="str">
        <x:f>IF(NOT(ISNUMBER(T2099)),"PENDING",IF(AF2099&gt;0,"PASS","FAIL"))</x:f>
        <x:v>PASS</x:v>
      </x:c>
      <x:c r="AH2099" t="str">
        <x:f>IF(NOT(ISNUMBER(T2099)),"Needs supplier cost",IF(K2099&lt;&gt;"In stock","Supplier unavailable",IF(AG2099&lt;&gt;"PASS","BLOCK - GT loss risk","Commercially protected")))</x:f>
        <x:v>Commercially protected</x:v>
      </x:c>
      <x:c r="AI2099" t="str">
        <x:v>2026-09-10 Active Sports trade capture</x:v>
      </x:c>
      <x:c r="AJ2099" t="str">
        <x:v>Management-only economics. Stripe stress test uses 1.5% + £0.20 standard UK online-card fee; pallet/mix-and-match pricing ignored.</x:v>
      </x:c>
    </x:row>
    <x:row r="2100">
      <x:c r="A2100" t="str">
        <x:v>Active Sports Nutrition</x:v>
      </x:c>
      <x:c r="B2100" t="str">
        <x:v>Olimp</x:v>
      </x:c>
      <x:c r="C2100" t="str">
        <x:v>Argi Power 1500 Mega Caps</x:v>
      </x:c>
      <x:c r="D2100" t="str">
        <x:v>Supplements</x:v>
      </x:c>
      <x:c r="E2100" t="str">
        <x:v>Amino Acids</x:v>
      </x:c>
      <x:c r="F2100" t="str"/>
      <x:c r="G2100" t="str">
        <x:v>120 caps</x:v>
      </x:c>
      <x:c r="H2100" t="str">
        <x:v>Default</x:v>
      </x:c>
      <x:c r="I2100" t="str"/>
      <x:c r="J2100" t="str">
        <x:v>Unit</x:v>
      </x:c>
      <x:c r="K2100" t="str">
        <x:v>In stock</x:v>
      </x:c>
      <x:c r="L2100" t="str">
        <x:v>2026-09-08</x:v>
      </x:c>
      <x:c r="M2100" t="str"/>
      <x:c r="N2100" t="str"/>
      <x:c r="O2100" t="str">
        <x:v>https://www.activesportstrade.co.uk/olimp-trade</x:v>
      </x:c>
      <x:c r="P2100" t="str">
        <x:v>SPECIAL OFFER wording stripped from canonical title.</x:v>
      </x:c>
      <x:c r="Q2100" t="str"/>
      <x:c r="R2100" t="str"/>
      <x:c r="S2100" t="str">
        <x:v>Pending genuine supplier/brand image</x:v>
      </x:c>
      <x:c r="T2100" s="54" t="n">
        <x:v>9.99</x:v>
      </x:c>
      <x:c r="U2100" s="47" t="n">
        <x:v>0.2</x:v>
      </x:c>
      <x:c r="V2100" s="54" t="n">
        <x:f>IF(ISNUMBER(T2100),T2100*(1+U2100),"")</x:f>
        <x:v>11.988</x:v>
      </x:c>
      <x:c r="W2100" s="47" t="n">
        <x:v>0.3</x:v>
      </x:c>
      <x:c r="X2100" s="54" t="n">
        <x:f>IF(ISNUMBER(V2100),V2100/(1-W2100),"")</x:f>
        <x:v>17.125714285714285</x:v>
      </x:c>
      <x:c r="Y2100" s="55" t="n">
        <x:f>IF(ISNUMBER(X2100),ROUNDUP(X2100,0),"")</x:f>
        <x:v>18</x:v>
      </x:c>
      <x:c r="Z2100" t="str">
        <x:v>Source match pending</x:v>
      </x:c>
      <x:c r="AA2100" t="str">
        <x:v>screencapture-www-activesportstrade-co-uk-olimp-trade-2026-09-10-09_05_33.pdf / page-02</x:v>
      </x:c>
      <x:c r="AB2100" s="36" t="n">
        <x:f>IF(ISNUMBER(Y2100),ROUND(Y2100*0.9,2),"")</x:f>
        <x:v>16.2</x:v>
      </x:c>
      <x:c r="AC2100" s="36" t="n">
        <x:f>IF(ISNUMBER(AB2100),ROUND(AB2100-(AB2100*0.015+0.2)-V2100,2),"")</x:f>
        <x:v>3.77</x:v>
      </x:c>
      <x:c r="AD2100" s="36" t="n">
        <x:f>IF(ISNUMBER(Y2100),ROUND(Y2100*0.8,2),"")</x:f>
        <x:v>14.4</x:v>
      </x:c>
      <x:c r="AE2100" s="36" t="n">
        <x:f>IF(ISNUMBER(AD2100),ROUND(AD2100*0.015+0.2,2),"")</x:f>
        <x:v>0.42</x:v>
      </x:c>
      <x:c r="AF2100" s="36" t="n">
        <x:f>IF(ISNUMBER(AD2100),ROUND(AD2100-AE2100-V2100,2),"")</x:f>
        <x:v>1.99</x:v>
      </x:c>
      <x:c r="AG2100" t="str">
        <x:f>IF(NOT(ISNUMBER(T2100)),"PENDING",IF(AF2100&gt;0,"PASS","FAIL"))</x:f>
        <x:v>PASS</x:v>
      </x:c>
      <x:c r="AH2100" t="str">
        <x:f>IF(NOT(ISNUMBER(T2100)),"Needs supplier cost",IF(K2100&lt;&gt;"In stock","Supplier unavailable",IF(AG2100&lt;&gt;"PASS","BLOCK - GT loss risk","Commercially protected")))</x:f>
        <x:v>Commercially protected</x:v>
      </x:c>
      <x:c r="AI2100" t="str">
        <x:v>2026-09-10 Active Sports trade capture</x:v>
      </x:c>
      <x:c r="AJ2100" t="str">
        <x:v>Management-only economics. Stripe stress test uses 1.5% + £0.20 standard UK online-card fee; pallet/mix-and-match pricing ignored.</x:v>
      </x:c>
    </x:row>
    <x:row r="2101">
      <x:c r="A2101" t="str">
        <x:v>Active Sports Nutrition</x:v>
      </x:c>
      <x:c r="B2101" t="str">
        <x:v>Olimp</x:v>
      </x:c>
      <x:c r="C2101" t="str">
        <x:v>Arthroblock Forte Joint Support</x:v>
      </x:c>
      <x:c r="D2101" t="str">
        <x:v>Supplements</x:v>
      </x:c>
      <x:c r="E2101" t="str">
        <x:v>Joint Repair</x:v>
      </x:c>
      <x:c r="F2101" t="str"/>
      <x:c r="G2101" t="str">
        <x:v>60 caps</x:v>
      </x:c>
      <x:c r="H2101" t="str">
        <x:v>Default</x:v>
      </x:c>
      <x:c r="I2101" t="str"/>
      <x:c r="J2101" t="str">
        <x:v>Unit</x:v>
      </x:c>
      <x:c r="K2101" t="str">
        <x:v>In stock</x:v>
      </x:c>
      <x:c r="L2101" t="str">
        <x:v>2026-09-08</x:v>
      </x:c>
      <x:c r="M2101" t="str"/>
      <x:c r="N2101" t="str"/>
      <x:c r="O2101" t="str">
        <x:v>https://www.activesportstrade.co.uk/olimp-trade</x:v>
      </x:c>
      <x:c r="P2101" t="str"/>
      <x:c r="Q2101" t="str"/>
      <x:c r="R2101" t="str"/>
      <x:c r="S2101" t="str">
        <x:v>Pending genuine supplier/brand image</x:v>
      </x:c>
      <x:c r="T2101" s="54" t="n">
        <x:v>6.99</x:v>
      </x:c>
      <x:c r="U2101" s="47" t="n">
        <x:v>0.2</x:v>
      </x:c>
      <x:c r="V2101" s="54" t="n">
        <x:f>IF(ISNUMBER(T2101),T2101*(1+U2101),"")</x:f>
        <x:v>8.388</x:v>
      </x:c>
      <x:c r="W2101" s="47" t="n">
        <x:v>0.3</x:v>
      </x:c>
      <x:c r="X2101" s="54" t="n">
        <x:f>IF(ISNUMBER(V2101),V2101/(1-W2101),"")</x:f>
        <x:v>11.982857142857144</x:v>
      </x:c>
      <x:c r="Y2101" s="55" t="n">
        <x:f>IF(ISNUMBER(X2101),ROUNDUP(X2101,0),"")</x:f>
        <x:v>12</x:v>
      </x:c>
      <x:c r="Z2101" t="str">
        <x:v>Source match pending</x:v>
      </x:c>
      <x:c r="AA2101" t="str">
        <x:v>screencapture-www-activesportstrade-co-uk-olimp-trade-2026-09-10-09_05_33.pdf / page-02</x:v>
      </x:c>
      <x:c r="AB2101" s="36" t="n">
        <x:f>IF(ISNUMBER(Y2101),ROUND(Y2101*0.9,2),"")</x:f>
        <x:v>10.8</x:v>
      </x:c>
      <x:c r="AC2101" s="36" t="n">
        <x:f>IF(ISNUMBER(AB2101),ROUND(AB2101-(AB2101*0.015+0.2)-V2101,2),"")</x:f>
        <x:v>2.05</x:v>
      </x:c>
      <x:c r="AD2101" s="36" t="n">
        <x:f>IF(ISNUMBER(Y2101),ROUND(Y2101*0.8,2),"")</x:f>
        <x:v>9.6</x:v>
      </x:c>
      <x:c r="AE2101" s="36" t="n">
        <x:f>IF(ISNUMBER(AD2101),ROUND(AD2101*0.015+0.2,2),"")</x:f>
        <x:v>0.34</x:v>
      </x:c>
      <x:c r="AF2101" s="36" t="n">
        <x:f>IF(ISNUMBER(AD2101),ROUND(AD2101-AE2101-V2101,2),"")</x:f>
        <x:v>0.87</x:v>
      </x:c>
      <x:c r="AG2101" t="str">
        <x:f>IF(NOT(ISNUMBER(T2101)),"PENDING",IF(AF2101&gt;0,"PASS","FAIL"))</x:f>
        <x:v>PASS</x:v>
      </x:c>
      <x:c r="AH2101" t="str">
        <x:f>IF(NOT(ISNUMBER(T2101)),"Needs supplier cost",IF(K2101&lt;&gt;"In stock","Supplier unavailable",IF(AG2101&lt;&gt;"PASS","BLOCK - GT loss risk","Commercially protected")))</x:f>
        <x:v>Commercially protected</x:v>
      </x:c>
      <x:c r="AI2101" t="str">
        <x:v>2026-09-10 Active Sports trade capture</x:v>
      </x:c>
      <x:c r="AJ2101" t="str">
        <x:v>Management-only economics. Stripe stress test uses 1.5% + £0.20 standard UK online-card fee; pallet/mix-and-match pricing ignored.</x:v>
      </x:c>
    </x:row>
    <x:row r="2102">
      <x:c r="A2102" t="str">
        <x:v>Active Sports Nutrition</x:v>
      </x:c>
      <x:c r="B2102" t="str">
        <x:v>Olimp</x:v>
      </x:c>
      <x:c r="C2102" t="str">
        <x:v>Ashwagandha 600 Sports</x:v>
      </x:c>
      <x:c r="D2102" t="str">
        <x:v>Supplements</x:v>
      </x:c>
      <x:c r="E2102" t="str">
        <x:v>Health Foods</x:v>
      </x:c>
      <x:c r="F2102" t="str"/>
      <x:c r="G2102" t="str">
        <x:v>130 caps</x:v>
      </x:c>
      <x:c r="H2102" t="str">
        <x:v>Default</x:v>
      </x:c>
      <x:c r="I2102" t="str"/>
      <x:c r="J2102" t="str">
        <x:v>Unit</x:v>
      </x:c>
      <x:c r="K2102" t="str">
        <x:v>Out of stock</x:v>
      </x:c>
      <x:c r="L2102" t="str">
        <x:v>2026-09-08</x:v>
      </x:c>
      <x:c r="M2102" t="str"/>
      <x:c r="N2102" t="str"/>
      <x:c r="O2102" t="str">
        <x:v>https://www.activesportstrade.co.uk/olimp-trade</x:v>
      </x:c>
      <x:c r="P2102" t="str"/>
      <x:c r="Q2102" t="str"/>
      <x:c r="R2102" t="str"/>
      <x:c r="S2102" t="str">
        <x:v>Pending genuine supplier/brand image</x:v>
      </x:c>
      <x:c r="T2102" s="54" t="n">
        <x:v>7.57</x:v>
      </x:c>
      <x:c r="U2102" s="47" t="n">
        <x:v>0.2</x:v>
      </x:c>
      <x:c r="V2102" s="54" t="n">
        <x:f>IF(ISNUMBER(T2102),T2102*(1+U2102),"")</x:f>
        <x:v>9.084</x:v>
      </x:c>
      <x:c r="W2102" s="47" t="n">
        <x:v>0.3</x:v>
      </x:c>
      <x:c r="X2102" s="54" t="n">
        <x:f>IF(ISNUMBER(V2102),V2102/(1-W2102),"")</x:f>
        <x:v>12.977142857142857</x:v>
      </x:c>
      <x:c r="Y2102" s="55" t="n">
        <x:f>IF(ISNUMBER(X2102),ROUNDUP(X2102,0),"")</x:f>
        <x:v>13</x:v>
      </x:c>
      <x:c r="Z2102" t="str">
        <x:v>Source match pending</x:v>
      </x:c>
      <x:c r="AA2102" t="str">
        <x:v>screencapture-www-activesportstrade-co-uk-olimp-trade-2026-09-10-09_05_33.pdf / page-02</x:v>
      </x:c>
      <x:c r="AB2102" s="36" t="n">
        <x:f>IF(ISNUMBER(Y2102),ROUND(Y2102*0.9,2),"")</x:f>
        <x:v>11.7</x:v>
      </x:c>
      <x:c r="AC2102" s="36" t="n">
        <x:f>IF(ISNUMBER(AB2102),ROUND(AB2102-(AB2102*0.015+0.2)-V2102,2),"")</x:f>
        <x:v>2.24</x:v>
      </x:c>
      <x:c r="AD2102" s="36" t="n">
        <x:f>IF(ISNUMBER(Y2102),ROUND(Y2102*0.8,2),"")</x:f>
        <x:v>10.4</x:v>
      </x:c>
      <x:c r="AE2102" s="36" t="n">
        <x:f>IF(ISNUMBER(AD2102),ROUND(AD2102*0.015+0.2,2),"")</x:f>
        <x:v>0.36</x:v>
      </x:c>
      <x:c r="AF2102" s="36" t="n">
        <x:f>IF(ISNUMBER(AD2102),ROUND(AD2102-AE2102-V2102,2),"")</x:f>
        <x:v>0.96</x:v>
      </x:c>
      <x:c r="AG2102" t="str">
        <x:f>IF(NOT(ISNUMBER(T2102)),"PENDING",IF(AF2102&gt;0,"PASS","FAIL"))</x:f>
        <x:v>PASS</x:v>
      </x:c>
      <x:c r="AH2102" t="str">
        <x:f>IF(NOT(ISNUMBER(T2102)),"Needs supplier cost",IF(K2102&lt;&gt;"In stock","Supplier unavailable",IF(AG2102&lt;&gt;"PASS","BLOCK - GT loss risk","Commercially protected")))</x:f>
        <x:v>Supplier unavailable</x:v>
      </x:c>
      <x:c r="AI2102" t="str">
        <x:v>2026-09-10 Active Sports trade capture</x:v>
      </x:c>
      <x:c r="AJ2102" t="str">
        <x:v>Management-only economics. Stripe stress test uses 1.5% + £0.20 standard UK online-card fee; pallet/mix-and-match pricing ignored.</x:v>
      </x:c>
    </x:row>
    <x:row r="2103">
      <x:c r="A2103" t="str">
        <x:v>Active Sports Nutrition</x:v>
      </x:c>
      <x:c r="B2103" t="str">
        <x:v>Olimp</x:v>
      </x:c>
      <x:c r="C2103" t="str">
        <x:v>Ashwagandha 600 Sports</x:v>
      </x:c>
      <x:c r="D2103" t="str">
        <x:v>Supplements</x:v>
      </x:c>
      <x:c r="E2103" t="str">
        <x:v>Health Foods</x:v>
      </x:c>
      <x:c r="F2103" t="str"/>
      <x:c r="G2103" t="str">
        <x:v>60 caps</x:v>
      </x:c>
      <x:c r="H2103" t="str">
        <x:v>Default</x:v>
      </x:c>
      <x:c r="I2103" t="str"/>
      <x:c r="J2103" t="str">
        <x:v>Unit</x:v>
      </x:c>
      <x:c r="K2103" t="str">
        <x:v>In stock</x:v>
      </x:c>
      <x:c r="L2103" t="str">
        <x:v>2026-09-08</x:v>
      </x:c>
      <x:c r="M2103" t="str"/>
      <x:c r="N2103" t="str"/>
      <x:c r="O2103" t="str">
        <x:v>https://www.activesportstrade.co.uk/olimp-trade</x:v>
      </x:c>
      <x:c r="P2103" t="str"/>
      <x:c r="Q2103" t="str"/>
      <x:c r="R2103" t="str"/>
      <x:c r="S2103" t="str">
        <x:v>Pending genuine supplier/brand image</x:v>
      </x:c>
      <x:c r="T2103" s="54" t="n">
        <x:v>5.52</x:v>
      </x:c>
      <x:c r="U2103" s="47" t="n">
        <x:v>0.2</x:v>
      </x:c>
      <x:c r="V2103" s="54" t="n">
        <x:f>IF(ISNUMBER(T2103),T2103*(1+U2103),"")</x:f>
        <x:v>6.624</x:v>
      </x:c>
      <x:c r="W2103" s="47" t="n">
        <x:v>0.3</x:v>
      </x:c>
      <x:c r="X2103" s="54" t="n">
        <x:f>IF(ISNUMBER(V2103),V2103/(1-W2103),"")</x:f>
        <x:v>9.462857142857143</x:v>
      </x:c>
      <x:c r="Y2103" s="55" t="n">
        <x:f>IF(ISNUMBER(X2103),ROUNDUP(X2103,0),"")</x:f>
        <x:v>10</x:v>
      </x:c>
      <x:c r="Z2103" t="str">
        <x:v>Source match pending</x:v>
      </x:c>
      <x:c r="AA2103" t="str">
        <x:v>screencapture-www-activesportstrade-co-uk-olimp-trade-2026-09-10-09_05_33.pdf / page-02</x:v>
      </x:c>
      <x:c r="AB2103" s="36" t="n">
        <x:f>IF(ISNUMBER(Y2103),ROUND(Y2103*0.9,2),"")</x:f>
        <x:v>9</x:v>
      </x:c>
      <x:c r="AC2103" s="36" t="n">
        <x:f>IF(ISNUMBER(AB2103),ROUND(AB2103-(AB2103*0.015+0.2)-V2103,2),"")</x:f>
        <x:v>2.04</x:v>
      </x:c>
      <x:c r="AD2103" s="36" t="n">
        <x:f>IF(ISNUMBER(Y2103),ROUND(Y2103*0.8,2),"")</x:f>
        <x:v>8</x:v>
      </x:c>
      <x:c r="AE2103" s="36" t="n">
        <x:f>IF(ISNUMBER(AD2103),ROUND(AD2103*0.015+0.2,2),"")</x:f>
        <x:v>0.32</x:v>
      </x:c>
      <x:c r="AF2103" s="36" t="n">
        <x:f>IF(ISNUMBER(AD2103),ROUND(AD2103-AE2103-V2103,2),"")</x:f>
        <x:v>1.06</x:v>
      </x:c>
      <x:c r="AG2103" t="str">
        <x:f>IF(NOT(ISNUMBER(T2103)),"PENDING",IF(AF2103&gt;0,"PASS","FAIL"))</x:f>
        <x:v>PASS</x:v>
      </x:c>
      <x:c r="AH2103" t="str">
        <x:f>IF(NOT(ISNUMBER(T2103)),"Needs supplier cost",IF(K2103&lt;&gt;"In stock","Supplier unavailable",IF(AG2103&lt;&gt;"PASS","BLOCK - GT loss risk","Commercially protected")))</x:f>
        <x:v>Commercially protected</x:v>
      </x:c>
      <x:c r="AI2103" t="str">
        <x:v>2026-09-10 Active Sports trade capture</x:v>
      </x:c>
      <x:c r="AJ2103" t="str">
        <x:v>Management-only economics. Stripe stress test uses 1.5% + £0.20 standard UK online-card fee; pallet/mix-and-match pricing ignored.</x:v>
      </x:c>
    </x:row>
    <x:row r="2104">
      <x:c r="A2104" t="str">
        <x:v>Active Sports Nutrition</x:v>
      </x:c>
      <x:c r="B2104" t="str">
        <x:v>Olimp</x:v>
      </x:c>
      <x:c r="C2104" t="str">
        <x:v>BCAA 20:1:1 Xplode</x:v>
      </x:c>
      <x:c r="D2104" t="str">
        <x:v>Supplements</x:v>
      </x:c>
      <x:c r="E2104" t="str">
        <x:v>BCAAs</x:v>
      </x:c>
      <x:c r="F2104" t="str"/>
      <x:c r="G2104" t="str">
        <x:v>200g</x:v>
      </x:c>
      <x:c r="H2104" t="str">
        <x:v>Cola</x:v>
      </x:c>
      <x:c r="I2104" t="str"/>
      <x:c r="J2104" t="str">
        <x:v>Unit</x:v>
      </x:c>
      <x:c r="K2104" t="str">
        <x:v>In stock</x:v>
      </x:c>
      <x:c r="L2104" t="str">
        <x:v>2026-09-08</x:v>
      </x:c>
      <x:c r="M2104" t="str"/>
      <x:c r="N2104" t="str"/>
      <x:c r="O2104" t="str">
        <x:v>https://www.activesportstrade.co.uk/olimp-trade</x:v>
      </x:c>
      <x:c r="P2104" t="str"/>
      <x:c r="Q2104" t="str"/>
      <x:c r="R2104" t="str"/>
      <x:c r="S2104" t="str">
        <x:v>Pending genuine supplier/brand image</x:v>
      </x:c>
      <x:c r="T2104" s="54" t="n">
        <x:v>8.12</x:v>
      </x:c>
      <x:c r="U2104" s="47" t="n">
        <x:v>0.2</x:v>
      </x:c>
      <x:c r="V2104" s="54" t="n">
        <x:f>IF(ISNUMBER(T2104),T2104*(1+U2104),"")</x:f>
        <x:v>9.743999999999998</x:v>
      </x:c>
      <x:c r="W2104" s="47" t="n">
        <x:v>0.3</x:v>
      </x:c>
      <x:c r="X2104" s="54" t="n">
        <x:f>IF(ISNUMBER(V2104),V2104/(1-W2104),"")</x:f>
        <x:v>13.919999999999998</x:v>
      </x:c>
      <x:c r="Y2104" s="55" t="n">
        <x:f>IF(ISNUMBER(X2104),ROUNDUP(X2104,0),"")</x:f>
        <x:v>14</x:v>
      </x:c>
      <x:c r="Z2104" t="str">
        <x:v>Source match pending</x:v>
      </x:c>
      <x:c r="AA2104" t="str">
        <x:v>screencapture-www-activesportstrade-co-uk-olimp-trade-2026-09-10-09_05_33.pdf / page-03</x:v>
      </x:c>
      <x:c r="AB2104" s="36" t="n">
        <x:f>IF(ISNUMBER(Y2104),ROUND(Y2104*0.9,2),"")</x:f>
        <x:v>12.6</x:v>
      </x:c>
      <x:c r="AC2104" s="36" t="n">
        <x:f>IF(ISNUMBER(AB2104),ROUND(AB2104-(AB2104*0.015+0.2)-V2104,2),"")</x:f>
        <x:v>2.47</x:v>
      </x:c>
      <x:c r="AD2104" s="36" t="n">
        <x:f>IF(ISNUMBER(Y2104),ROUND(Y2104*0.8,2),"")</x:f>
        <x:v>11.2</x:v>
      </x:c>
      <x:c r="AE2104" s="36" t="n">
        <x:f>IF(ISNUMBER(AD2104),ROUND(AD2104*0.015+0.2,2),"")</x:f>
        <x:v>0.37</x:v>
      </x:c>
      <x:c r="AF2104" s="36" t="n">
        <x:f>IF(ISNUMBER(AD2104),ROUND(AD2104-AE2104-V2104,2),"")</x:f>
        <x:v>1.09</x:v>
      </x:c>
      <x:c r="AG2104" t="str">
        <x:f>IF(NOT(ISNUMBER(T2104)),"PENDING",IF(AF2104&gt;0,"PASS","FAIL"))</x:f>
        <x:v>PASS</x:v>
      </x:c>
      <x:c r="AH2104" t="str">
        <x:f>IF(NOT(ISNUMBER(T2104)),"Needs supplier cost",IF(K2104&lt;&gt;"In stock","Supplier unavailable",IF(AG2104&lt;&gt;"PASS","BLOCK - GT loss risk","Commercially protected")))</x:f>
        <x:v>Commercially protected</x:v>
      </x:c>
      <x:c r="AI2104" t="str">
        <x:v>2026-09-10 Active Sports trade capture</x:v>
      </x:c>
      <x:c r="AJ2104" t="str">
        <x:v>Management-only economics. Stripe stress test uses 1.5% + £0.20 standard UK online-card fee; pallet/mix-and-match pricing ignored.</x:v>
      </x:c>
    </x:row>
    <x:row r="2105">
      <x:c r="A2105" t="str">
        <x:v>Active Sports Nutrition</x:v>
      </x:c>
      <x:c r="B2105" t="str">
        <x:v>Olimp</x:v>
      </x:c>
      <x:c r="C2105" t="str">
        <x:v>BCAA 20:1:1 Xplode</x:v>
      </x:c>
      <x:c r="D2105" t="str">
        <x:v>Supplements</x:v>
      </x:c>
      <x:c r="E2105" t="str">
        <x:v>BCAAs</x:v>
      </x:c>
      <x:c r="F2105" t="str"/>
      <x:c r="G2105" t="str">
        <x:v>200g</x:v>
      </x:c>
      <x:c r="H2105" t="str">
        <x:v>Pear</x:v>
      </x:c>
      <x:c r="I2105" t="str"/>
      <x:c r="J2105" t="str">
        <x:v>Unit</x:v>
      </x:c>
      <x:c r="K2105" t="str">
        <x:v>In stock</x:v>
      </x:c>
      <x:c r="L2105" t="str">
        <x:v>2026-09-08</x:v>
      </x:c>
      <x:c r="M2105" t="str"/>
      <x:c r="N2105" t="str"/>
      <x:c r="O2105" t="str">
        <x:v>https://www.activesportstrade.co.uk/olimp-trade</x:v>
      </x:c>
      <x:c r="P2105" t="str"/>
      <x:c r="Q2105" t="str"/>
      <x:c r="R2105" t="str"/>
      <x:c r="S2105" t="str">
        <x:v>Pending genuine supplier/brand image</x:v>
      </x:c>
      <x:c r="T2105" s="54" t="n">
        <x:v>8.12</x:v>
      </x:c>
      <x:c r="U2105" s="47" t="n">
        <x:v>0.2</x:v>
      </x:c>
      <x:c r="V2105" s="54" t="n">
        <x:f>IF(ISNUMBER(T2105),T2105*(1+U2105),"")</x:f>
        <x:v>9.743999999999998</x:v>
      </x:c>
      <x:c r="W2105" s="47" t="n">
        <x:v>0.3</x:v>
      </x:c>
      <x:c r="X2105" s="54" t="n">
        <x:f>IF(ISNUMBER(V2105),V2105/(1-W2105),"")</x:f>
        <x:v>13.919999999999998</x:v>
      </x:c>
      <x:c r="Y2105" s="55" t="n">
        <x:f>IF(ISNUMBER(X2105),ROUNDUP(X2105,0),"")</x:f>
        <x:v>14</x:v>
      </x:c>
      <x:c r="Z2105" t="str">
        <x:v>Source match pending</x:v>
      </x:c>
      <x:c r="AA2105" t="str">
        <x:v>screencapture-www-activesportstrade-co-uk-olimp-trade-2026-09-10-09_05_33.pdf / page-03</x:v>
      </x:c>
      <x:c r="AB2105" s="36" t="n">
        <x:f>IF(ISNUMBER(Y2105),ROUND(Y2105*0.9,2),"")</x:f>
        <x:v>12.6</x:v>
      </x:c>
      <x:c r="AC2105" s="36" t="n">
        <x:f>IF(ISNUMBER(AB2105),ROUND(AB2105-(AB2105*0.015+0.2)-V2105,2),"")</x:f>
        <x:v>2.47</x:v>
      </x:c>
      <x:c r="AD2105" s="36" t="n">
        <x:f>IF(ISNUMBER(Y2105),ROUND(Y2105*0.8,2),"")</x:f>
        <x:v>11.2</x:v>
      </x:c>
      <x:c r="AE2105" s="36" t="n">
        <x:f>IF(ISNUMBER(AD2105),ROUND(AD2105*0.015+0.2,2),"")</x:f>
        <x:v>0.37</x:v>
      </x:c>
      <x:c r="AF2105" s="36" t="n">
        <x:f>IF(ISNUMBER(AD2105),ROUND(AD2105-AE2105-V2105,2),"")</x:f>
        <x:v>1.09</x:v>
      </x:c>
      <x:c r="AG2105" t="str">
        <x:f>IF(NOT(ISNUMBER(T2105)),"PENDING",IF(AF2105&gt;0,"PASS","FAIL"))</x:f>
        <x:v>PASS</x:v>
      </x:c>
      <x:c r="AH2105" t="str">
        <x:f>IF(NOT(ISNUMBER(T2105)),"Needs supplier cost",IF(K2105&lt;&gt;"In stock","Supplier unavailable",IF(AG2105&lt;&gt;"PASS","BLOCK - GT loss risk","Commercially protected")))</x:f>
        <x:v>Commercially protected</x:v>
      </x:c>
      <x:c r="AI2105" t="str">
        <x:v>2026-09-10 Active Sports trade capture</x:v>
      </x:c>
      <x:c r="AJ2105" t="str">
        <x:v>Management-only economics. Stripe stress test uses 1.5% + £0.20 standard UK online-card fee; pallet/mix-and-match pricing ignored.</x:v>
      </x:c>
    </x:row>
    <x:row r="2106">
      <x:c r="A2106" t="str">
        <x:v>Active Sports Nutrition</x:v>
      </x:c>
      <x:c r="B2106" t="str">
        <x:v>Olimp</x:v>
      </x:c>
      <x:c r="C2106" t="str">
        <x:v>Flex Xplode</x:v>
      </x:c>
      <x:c r="D2106" t="str">
        <x:v>Supplements</x:v>
      </x:c>
      <x:c r="E2106" t="str">
        <x:v>Joint Repair</x:v>
      </x:c>
      <x:c r="F2106" t="str"/>
      <x:c r="G2106" t="str">
        <x:v>360g / 25 servings</x:v>
      </x:c>
      <x:c r="H2106" t="str">
        <x:v>Grapefruit</x:v>
      </x:c>
      <x:c r="I2106" t="str"/>
      <x:c r="J2106" t="str">
        <x:v>Unit</x:v>
      </x:c>
      <x:c r="K2106" t="str">
        <x:v>In stock</x:v>
      </x:c>
      <x:c r="L2106" t="str">
        <x:v>2026-09-08</x:v>
      </x:c>
      <x:c r="M2106" t="str"/>
      <x:c r="N2106" t="str"/>
      <x:c r="O2106" t="str">
        <x:v>https://www.activesportstrade.co.uk/olimp-trade</x:v>
      </x:c>
      <x:c r="P2106" t="str"/>
      <x:c r="Q2106" t="str"/>
      <x:c r="R2106" t="str"/>
      <x:c r="S2106" t="str">
        <x:v>Pending genuine supplier/brand image</x:v>
      </x:c>
      <x:c r="T2106" s="54" t="n">
        <x:v>15.91</x:v>
      </x:c>
      <x:c r="U2106" s="47" t="n">
        <x:v>0.2</x:v>
      </x:c>
      <x:c r="V2106" s="54" t="n">
        <x:f>IF(ISNUMBER(T2106),T2106*(1+U2106),"")</x:f>
        <x:v>19.092</x:v>
      </x:c>
      <x:c r="W2106" s="47" t="n">
        <x:v>0.3</x:v>
      </x:c>
      <x:c r="X2106" s="54" t="n">
        <x:f>IF(ISNUMBER(V2106),V2106/(1-W2106),"")</x:f>
        <x:v>27.274285714285714</x:v>
      </x:c>
      <x:c r="Y2106" s="55" t="n">
        <x:f>IF(ISNUMBER(X2106),ROUNDUP(X2106,0),"")</x:f>
        <x:v>28</x:v>
      </x:c>
      <x:c r="Z2106" t="str">
        <x:v>Source match pending</x:v>
      </x:c>
      <x:c r="AA2106" t="str">
        <x:v>screencapture-www-activesportstrade-co-uk-olimp-trade-2026-09-10-09_05_33.pdf / page-07</x:v>
      </x:c>
      <x:c r="AB2106" s="36" t="n">
        <x:f>IF(ISNUMBER(Y2106),ROUND(Y2106*0.9,2),"")</x:f>
        <x:v>25.2</x:v>
      </x:c>
      <x:c r="AC2106" s="36" t="n">
        <x:f>IF(ISNUMBER(AB2106),ROUND(AB2106-(AB2106*0.015+0.2)-V2106,2),"")</x:f>
        <x:v>5.53</x:v>
      </x:c>
      <x:c r="AD2106" s="36" t="n">
        <x:f>IF(ISNUMBER(Y2106),ROUND(Y2106*0.8,2),"")</x:f>
        <x:v>22.4</x:v>
      </x:c>
      <x:c r="AE2106" s="36" t="n">
        <x:f>IF(ISNUMBER(AD2106),ROUND(AD2106*0.015+0.2,2),"")</x:f>
        <x:v>0.54</x:v>
      </x:c>
      <x:c r="AF2106" s="36" t="n">
        <x:f>IF(ISNUMBER(AD2106),ROUND(AD2106-AE2106-V2106,2),"")</x:f>
        <x:v>2.77</x:v>
      </x:c>
      <x:c r="AG2106" t="str">
        <x:f>IF(NOT(ISNUMBER(T2106)),"PENDING",IF(AF2106&gt;0,"PASS","FAIL"))</x:f>
        <x:v>PASS</x:v>
      </x:c>
      <x:c r="AH2106" t="str">
        <x:f>IF(NOT(ISNUMBER(T2106)),"Needs supplier cost",IF(K2106&lt;&gt;"In stock","Supplier unavailable",IF(AG2106&lt;&gt;"PASS","BLOCK - GT loss risk","Commercially protected")))</x:f>
        <x:v>Commercially protected</x:v>
      </x:c>
      <x:c r="AI2106" t="str">
        <x:v>2026-09-10 Active Sports trade capture</x:v>
      </x:c>
      <x:c r="AJ2106" t="str">
        <x:v>Management-only economics. Stripe stress test uses 1.5% + £0.20 standard UK online-card fee; pallet/mix-and-match pricing ignored.</x:v>
      </x:c>
    </x:row>
    <x:row r="2107">
      <x:c r="A2107" t="str">
        <x:v>Active Sports Nutrition</x:v>
      </x:c>
      <x:c r="B2107" t="str">
        <x:v>Olimp</x:v>
      </x:c>
      <x:c r="C2107" t="str">
        <x:v>Flex Xplode</x:v>
      </x:c>
      <x:c r="D2107" t="str">
        <x:v>Supplements</x:v>
      </x:c>
      <x:c r="E2107" t="str">
        <x:v>Joint Repair</x:v>
      </x:c>
      <x:c r="F2107" t="str"/>
      <x:c r="G2107" t="str">
        <x:v>360g / 25 servings</x:v>
      </x:c>
      <x:c r="H2107" t="str">
        <x:v>Orange</x:v>
      </x:c>
      <x:c r="I2107" t="str"/>
      <x:c r="J2107" t="str">
        <x:v>Unit</x:v>
      </x:c>
      <x:c r="K2107" t="str">
        <x:v>In stock</x:v>
      </x:c>
      <x:c r="L2107" t="str">
        <x:v>2026-09-08</x:v>
      </x:c>
      <x:c r="M2107" t="str"/>
      <x:c r="N2107" t="str"/>
      <x:c r="O2107" t="str">
        <x:v>https://www.activesportstrade.co.uk/olimp-trade</x:v>
      </x:c>
      <x:c r="P2107" t="str"/>
      <x:c r="Q2107" t="str"/>
      <x:c r="R2107" t="str"/>
      <x:c r="S2107" t="str">
        <x:v>Pending genuine supplier/brand image</x:v>
      </x:c>
      <x:c r="T2107" s="54" t="n">
        <x:v>15.91</x:v>
      </x:c>
      <x:c r="U2107" s="47" t="n">
        <x:v>0.2</x:v>
      </x:c>
      <x:c r="V2107" s="54" t="n">
        <x:f>IF(ISNUMBER(T2107),T2107*(1+U2107),"")</x:f>
        <x:v>19.092</x:v>
      </x:c>
      <x:c r="W2107" s="47" t="n">
        <x:v>0.3</x:v>
      </x:c>
      <x:c r="X2107" s="54" t="n">
        <x:f>IF(ISNUMBER(V2107),V2107/(1-W2107),"")</x:f>
        <x:v>27.274285714285714</x:v>
      </x:c>
      <x:c r="Y2107" s="55" t="n">
        <x:f>IF(ISNUMBER(X2107),ROUNDUP(X2107,0),"")</x:f>
        <x:v>28</x:v>
      </x:c>
      <x:c r="Z2107" t="str">
        <x:v>Source match pending</x:v>
      </x:c>
      <x:c r="AA2107" t="str">
        <x:v>screencapture-www-activesportstrade-co-uk-olimp-trade-2026-09-10-09_05_33.pdf / page-07</x:v>
      </x:c>
      <x:c r="AB2107" s="36" t="n">
        <x:f>IF(ISNUMBER(Y2107),ROUND(Y2107*0.9,2),"")</x:f>
        <x:v>25.2</x:v>
      </x:c>
      <x:c r="AC2107" s="36" t="n">
        <x:f>IF(ISNUMBER(AB2107),ROUND(AB2107-(AB2107*0.015+0.2)-V2107,2),"")</x:f>
        <x:v>5.53</x:v>
      </x:c>
      <x:c r="AD2107" s="36" t="n">
        <x:f>IF(ISNUMBER(Y2107),ROUND(Y2107*0.8,2),"")</x:f>
        <x:v>22.4</x:v>
      </x:c>
      <x:c r="AE2107" s="36" t="n">
        <x:f>IF(ISNUMBER(AD2107),ROUND(AD2107*0.015+0.2,2),"")</x:f>
        <x:v>0.54</x:v>
      </x:c>
      <x:c r="AF2107" s="36" t="n">
        <x:f>IF(ISNUMBER(AD2107),ROUND(AD2107-AE2107-V2107,2),"")</x:f>
        <x:v>2.77</x:v>
      </x:c>
      <x:c r="AG2107" t="str">
        <x:f>IF(NOT(ISNUMBER(T2107)),"PENDING",IF(AF2107&gt;0,"PASS","FAIL"))</x:f>
        <x:v>PASS</x:v>
      </x:c>
      <x:c r="AH2107" t="str">
        <x:f>IF(NOT(ISNUMBER(T2107)),"Needs supplier cost",IF(K2107&lt;&gt;"In stock","Supplier unavailable",IF(AG2107&lt;&gt;"PASS","BLOCK - GT loss risk","Commercially protected")))</x:f>
        <x:v>Commercially protected</x:v>
      </x:c>
      <x:c r="AI2107" t="str">
        <x:v>2026-09-10 Active Sports trade capture</x:v>
      </x:c>
      <x:c r="AJ2107" t="str">
        <x:v>Management-only economics. Stripe stress test uses 1.5% + £0.20 standard UK online-card fee; pallet/mix-and-match pricing ignored.</x:v>
      </x:c>
    </x:row>
    <x:row r="2108">
      <x:c r="A2108" t="str">
        <x:v>Active Sports Nutrition</x:v>
      </x:c>
      <x:c r="B2108" t="str">
        <x:v>Olimp</x:v>
      </x:c>
      <x:c r="C2108" t="str">
        <x:v>Flex Xplode</x:v>
      </x:c>
      <x:c r="D2108" t="str">
        <x:v>Supplements</x:v>
      </x:c>
      <x:c r="E2108" t="str">
        <x:v>Joint Repair</x:v>
      </x:c>
      <x:c r="F2108" t="str"/>
      <x:c r="G2108" t="str">
        <x:v>504g / 35 servings</x:v>
      </x:c>
      <x:c r="H2108" t="str">
        <x:v>Grapefruit</x:v>
      </x:c>
      <x:c r="I2108" t="str"/>
      <x:c r="J2108" t="str">
        <x:v>Unit</x:v>
      </x:c>
      <x:c r="K2108" t="str">
        <x:v>In stock</x:v>
      </x:c>
      <x:c r="L2108" t="str">
        <x:v>2026-09-08</x:v>
      </x:c>
      <x:c r="M2108" t="str"/>
      <x:c r="N2108" t="str"/>
      <x:c r="O2108" t="str">
        <x:v>https://www.activesportstrade.co.uk/olimp-trade</x:v>
      </x:c>
      <x:c r="P2108" t="str"/>
      <x:c r="Q2108" t="str"/>
      <x:c r="R2108" t="str"/>
      <x:c r="S2108" t="str">
        <x:v>Pending genuine supplier/brand image</x:v>
      </x:c>
      <x:c r="T2108" s="54" t="n">
        <x:v>20.18</x:v>
      </x:c>
      <x:c r="U2108" s="47" t="n">
        <x:v>0.2</x:v>
      </x:c>
      <x:c r="V2108" s="54" t="n">
        <x:f>IF(ISNUMBER(T2108),T2108*(1+U2108),"")</x:f>
        <x:v>24.215999999999998</x:v>
      </x:c>
      <x:c r="W2108" s="47" t="n">
        <x:v>0.3</x:v>
      </x:c>
      <x:c r="X2108" s="54" t="n">
        <x:f>IF(ISNUMBER(V2108),V2108/(1-W2108),"")</x:f>
        <x:v>34.59428571428571</x:v>
      </x:c>
      <x:c r="Y2108" s="55" t="n">
        <x:f>IF(ISNUMBER(X2108),ROUNDUP(X2108,0),"")</x:f>
        <x:v>35</x:v>
      </x:c>
      <x:c r="Z2108" t="str">
        <x:v>Source match pending</x:v>
      </x:c>
      <x:c r="AA2108" t="str">
        <x:v>screencapture-www-activesportstrade-co-uk-olimp-trade-2026-09-10-09_05_33.pdf / page-07</x:v>
      </x:c>
      <x:c r="AB2108" s="36" t="n">
        <x:f>IF(ISNUMBER(Y2108),ROUND(Y2108*0.9,2),"")</x:f>
        <x:v>31.5</x:v>
      </x:c>
      <x:c r="AC2108" s="36" t="n">
        <x:f>IF(ISNUMBER(AB2108),ROUND(AB2108-(AB2108*0.015+0.2)-V2108,2),"")</x:f>
        <x:v>6.61</x:v>
      </x:c>
      <x:c r="AD2108" s="36" t="n">
        <x:f>IF(ISNUMBER(Y2108),ROUND(Y2108*0.8,2),"")</x:f>
        <x:v>28</x:v>
      </x:c>
      <x:c r="AE2108" s="36" t="n">
        <x:f>IF(ISNUMBER(AD2108),ROUND(AD2108*0.015+0.2,2),"")</x:f>
        <x:v>0.62</x:v>
      </x:c>
      <x:c r="AF2108" s="36" t="n">
        <x:f>IF(ISNUMBER(AD2108),ROUND(AD2108-AE2108-V2108,2),"")</x:f>
        <x:v>3.16</x:v>
      </x:c>
      <x:c r="AG2108" t="str">
        <x:f>IF(NOT(ISNUMBER(T2108)),"PENDING",IF(AF2108&gt;0,"PASS","FAIL"))</x:f>
        <x:v>PASS</x:v>
      </x:c>
      <x:c r="AH2108" t="str">
        <x:f>IF(NOT(ISNUMBER(T2108)),"Needs supplier cost",IF(K2108&lt;&gt;"In stock","Supplier unavailable",IF(AG2108&lt;&gt;"PASS","BLOCK - GT loss risk","Commercially protected")))</x:f>
        <x:v>Commercially protected</x:v>
      </x:c>
      <x:c r="AI2108" t="str">
        <x:v>2026-09-10 Active Sports trade capture</x:v>
      </x:c>
      <x:c r="AJ2108" t="str">
        <x:v>Management-only economics. Stripe stress test uses 1.5% + £0.20 standard UK online-card fee; pallet/mix-and-match pricing ignored.</x:v>
      </x:c>
    </x:row>
    <x:row r="2109">
      <x:c r="A2109" t="str">
        <x:v>Active Sports Nutrition</x:v>
      </x:c>
      <x:c r="B2109" t="str">
        <x:v>Olimp</x:v>
      </x:c>
      <x:c r="C2109" t="str">
        <x:v>Flex Xplode</x:v>
      </x:c>
      <x:c r="D2109" t="str">
        <x:v>Supplements</x:v>
      </x:c>
      <x:c r="E2109" t="str">
        <x:v>Joint Repair</x:v>
      </x:c>
      <x:c r="F2109" t="str"/>
      <x:c r="G2109" t="str">
        <x:v>504g / 35 servings</x:v>
      </x:c>
      <x:c r="H2109" t="str">
        <x:v>Orange</x:v>
      </x:c>
      <x:c r="I2109" t="str"/>
      <x:c r="J2109" t="str">
        <x:v>Unit</x:v>
      </x:c>
      <x:c r="K2109" t="str">
        <x:v>In stock</x:v>
      </x:c>
      <x:c r="L2109" t="str">
        <x:v>2026-09-08</x:v>
      </x:c>
      <x:c r="M2109" t="str"/>
      <x:c r="N2109" t="str"/>
      <x:c r="O2109" t="str">
        <x:v>https://www.activesportstrade.co.uk/olimp-trade</x:v>
      </x:c>
      <x:c r="P2109" t="str"/>
      <x:c r="Q2109" t="str"/>
      <x:c r="R2109" t="str"/>
      <x:c r="S2109" t="str">
        <x:v>Pending genuine supplier/brand image</x:v>
      </x:c>
      <x:c r="T2109" s="54" t="n">
        <x:v>20.18</x:v>
      </x:c>
      <x:c r="U2109" s="47" t="n">
        <x:v>0.2</x:v>
      </x:c>
      <x:c r="V2109" s="54" t="n">
        <x:f>IF(ISNUMBER(T2109),T2109*(1+U2109),"")</x:f>
        <x:v>24.215999999999998</x:v>
      </x:c>
      <x:c r="W2109" s="47" t="n">
        <x:v>0.3</x:v>
      </x:c>
      <x:c r="X2109" s="54" t="n">
        <x:f>IF(ISNUMBER(V2109),V2109/(1-W2109),"")</x:f>
        <x:v>34.59428571428571</x:v>
      </x:c>
      <x:c r="Y2109" s="55" t="n">
        <x:f>IF(ISNUMBER(X2109),ROUNDUP(X2109,0),"")</x:f>
        <x:v>35</x:v>
      </x:c>
      <x:c r="Z2109" t="str">
        <x:v>Source match pending</x:v>
      </x:c>
      <x:c r="AA2109" t="str">
        <x:v>screencapture-www-activesportstrade-co-uk-olimp-trade-2026-09-10-09_05_33.pdf / page-07</x:v>
      </x:c>
      <x:c r="AB2109" s="36" t="n">
        <x:f>IF(ISNUMBER(Y2109),ROUND(Y2109*0.9,2),"")</x:f>
        <x:v>31.5</x:v>
      </x:c>
      <x:c r="AC2109" s="36" t="n">
        <x:f>IF(ISNUMBER(AB2109),ROUND(AB2109-(AB2109*0.015+0.2)-V2109,2),"")</x:f>
        <x:v>6.61</x:v>
      </x:c>
      <x:c r="AD2109" s="36" t="n">
        <x:f>IF(ISNUMBER(Y2109),ROUND(Y2109*0.8,2),"")</x:f>
        <x:v>28</x:v>
      </x:c>
      <x:c r="AE2109" s="36" t="n">
        <x:f>IF(ISNUMBER(AD2109),ROUND(AD2109*0.015+0.2,2),"")</x:f>
        <x:v>0.62</x:v>
      </x:c>
      <x:c r="AF2109" s="36" t="n">
        <x:f>IF(ISNUMBER(AD2109),ROUND(AD2109-AE2109-V2109,2),"")</x:f>
        <x:v>3.16</x:v>
      </x:c>
      <x:c r="AG2109" t="str">
        <x:f>IF(NOT(ISNUMBER(T2109)),"PENDING",IF(AF2109&gt;0,"PASS","FAIL"))</x:f>
        <x:v>PASS</x:v>
      </x:c>
      <x:c r="AH2109" t="str">
        <x:f>IF(NOT(ISNUMBER(T2109)),"Needs supplier cost",IF(K2109&lt;&gt;"In stock","Supplier unavailable",IF(AG2109&lt;&gt;"PASS","BLOCK - GT loss risk","Commercially protected")))</x:f>
        <x:v>Commercially protected</x:v>
      </x:c>
      <x:c r="AI2109" t="str">
        <x:v>2026-09-10 Active Sports trade capture</x:v>
      </x:c>
      <x:c r="AJ2109" t="str">
        <x:v>Management-only economics. Stripe stress test uses 1.5% + £0.20 standard UK online-card fee; pallet/mix-and-match pricing ignored.</x:v>
      </x:c>
    </x:row>
    <x:row r="2110">
      <x:c r="A2110" t="str">
        <x:v>Active Sports Nutrition</x:v>
      </x:c>
      <x:c r="B2110" t="str">
        <x:v>Olimp</x:v>
      </x:c>
      <x:c r="C2110" t="str">
        <x:v>Fortest</x:v>
      </x:c>
      <x:c r="D2110" t="str">
        <x:v>Supplements</x:v>
      </x:c>
      <x:c r="E2110" t="str">
        <x:v>Testosterone Support</x:v>
      </x:c>
      <x:c r="F2110" t="str"/>
      <x:c r="G2110" t="str">
        <x:v>120 caps</x:v>
      </x:c>
      <x:c r="H2110" t="str">
        <x:v>Default</x:v>
      </x:c>
      <x:c r="I2110" t="str"/>
      <x:c r="J2110" t="str">
        <x:v>Unit</x:v>
      </x:c>
      <x:c r="K2110" t="str">
        <x:v>In stock</x:v>
      </x:c>
      <x:c r="L2110" t="str">
        <x:v>2026-09-08</x:v>
      </x:c>
      <x:c r="M2110" t="str"/>
      <x:c r="N2110" t="str"/>
      <x:c r="O2110" t="str">
        <x:v>https://www.activesportstrade.co.uk/olimp-trade</x:v>
      </x:c>
      <x:c r="P2110" t="str"/>
      <x:c r="Q2110" t="str"/>
      <x:c r="R2110" t="str"/>
      <x:c r="S2110" t="str">
        <x:v>Pending genuine supplier/brand image</x:v>
      </x:c>
      <x:c r="T2110" s="54" t="n">
        <x:v>13.99</x:v>
      </x:c>
      <x:c r="U2110" s="47" t="n">
        <x:v>0.2</x:v>
      </x:c>
      <x:c r="V2110" s="54" t="n">
        <x:f>IF(ISNUMBER(T2110),T2110*(1+U2110),"")</x:f>
        <x:v>16.788</x:v>
      </x:c>
      <x:c r="W2110" s="47" t="n">
        <x:v>0.3</x:v>
      </x:c>
      <x:c r="X2110" s="54" t="n">
        <x:f>IF(ISNUMBER(V2110),V2110/(1-W2110),"")</x:f>
        <x:v>23.982857142857146</x:v>
      </x:c>
      <x:c r="Y2110" s="55" t="n">
        <x:f>IF(ISNUMBER(X2110),ROUNDUP(X2110,0),"")</x:f>
        <x:v>24</x:v>
      </x:c>
      <x:c r="Z2110" t="str">
        <x:v>Source match pending</x:v>
      </x:c>
      <x:c r="AA2110" t="str">
        <x:v>screencapture-www-activesportstrade-co-uk-olimp-trade-2026-09-10-09_05_33.pdf / page-07</x:v>
      </x:c>
      <x:c r="AB2110" s="36" t="n">
        <x:f>IF(ISNUMBER(Y2110),ROUND(Y2110*0.9,2),"")</x:f>
        <x:v>21.6</x:v>
      </x:c>
      <x:c r="AC2110" s="36" t="n">
        <x:f>IF(ISNUMBER(AB2110),ROUND(AB2110-(AB2110*0.015+0.2)-V2110,2),"")</x:f>
        <x:v>4.29</x:v>
      </x:c>
      <x:c r="AD2110" s="36" t="n">
        <x:f>IF(ISNUMBER(Y2110),ROUND(Y2110*0.8,2),"")</x:f>
        <x:v>19.2</x:v>
      </x:c>
      <x:c r="AE2110" s="36" t="n">
        <x:f>IF(ISNUMBER(AD2110),ROUND(AD2110*0.015+0.2,2),"")</x:f>
        <x:v>0.49</x:v>
      </x:c>
      <x:c r="AF2110" s="36" t="n">
        <x:f>IF(ISNUMBER(AD2110),ROUND(AD2110-AE2110-V2110,2),"")</x:f>
        <x:v>1.92</x:v>
      </x:c>
      <x:c r="AG2110" t="str">
        <x:f>IF(NOT(ISNUMBER(T2110)),"PENDING",IF(AF2110&gt;0,"PASS","FAIL"))</x:f>
        <x:v>PASS</x:v>
      </x:c>
      <x:c r="AH2110" t="str">
        <x:f>IF(NOT(ISNUMBER(T2110)),"Needs supplier cost",IF(K2110&lt;&gt;"In stock","Supplier unavailable",IF(AG2110&lt;&gt;"PASS","BLOCK - GT loss risk","Commercially protected")))</x:f>
        <x:v>Commercially protected</x:v>
      </x:c>
      <x:c r="AI2110" t="str">
        <x:v>2026-09-10 Active Sports trade capture</x:v>
      </x:c>
      <x:c r="AJ2110" t="str">
        <x:v>Management-only economics. Stripe stress test uses 1.5% + £0.20 standard UK online-card fee; pallet/mix-and-match pricing ignored.</x:v>
      </x:c>
    </x:row>
    <x:row r="2111">
      <x:c r="A2111" t="str">
        <x:v>Active Sports Nutrition</x:v>
      </x:c>
      <x:c r="B2111" t="str">
        <x:v>Olimp</x:v>
      </x:c>
      <x:c r="C2111" t="str">
        <x:v>Gain Bolic 6000</x:v>
      </x:c>
      <x:c r="D2111" t="str">
        <x:v>Supplements</x:v>
      </x:c>
      <x:c r="E2111" t="str">
        <x:v>Mass Gainers</x:v>
      </x:c>
      <x:c r="F2111" t="str"/>
      <x:c r="G2111" t="str">
        <x:v>1kg</x:v>
      </x:c>
      <x:c r="H2111" t="str">
        <x:v>Banana</x:v>
      </x:c>
      <x:c r="I2111" t="str"/>
      <x:c r="J2111" t="str">
        <x:v>Unit</x:v>
      </x:c>
      <x:c r="K2111" t="str">
        <x:v>In stock</x:v>
      </x:c>
      <x:c r="L2111" t="str">
        <x:v>2026-09-08</x:v>
      </x:c>
      <x:c r="M2111" t="str"/>
      <x:c r="N2111" t="str"/>
      <x:c r="O2111" t="str">
        <x:v>https://www.activesportstrade.co.uk/olimp-trade</x:v>
      </x:c>
      <x:c r="P2111" t="str"/>
      <x:c r="Q2111" t="str"/>
      <x:c r="R2111" t="str"/>
      <x:c r="S2111" t="str">
        <x:v>Pending genuine supplier/brand image</x:v>
      </x:c>
      <x:c r="T2111" s="54" t="n">
        <x:v>8.75</x:v>
      </x:c>
      <x:c r="U2111" s="47" t="n">
        <x:v>0.2</x:v>
      </x:c>
      <x:c r="V2111" s="54" t="n">
        <x:f>IF(ISNUMBER(T2111),T2111*(1+U2111),"")</x:f>
        <x:v>10.5</x:v>
      </x:c>
      <x:c r="W2111" s="47" t="n">
        <x:v>0.3</x:v>
      </x:c>
      <x:c r="X2111" s="54" t="n">
        <x:f>IF(ISNUMBER(V2111),V2111/(1-W2111),"")</x:f>
        <x:v>15.000000000000002</x:v>
      </x:c>
      <x:c r="Y2111" s="55" t="n">
        <x:f>IF(ISNUMBER(X2111),ROUNDUP(X2111,0),"")</x:f>
        <x:v>16</x:v>
      </x:c>
      <x:c r="Z2111" t="str">
        <x:v>Source match pending</x:v>
      </x:c>
      <x:c r="AA2111" t="str">
        <x:v>screencapture-www-activesportstrade-co-uk-olimp-trade-2026-09-10-09_05_33.pdf / page-07</x:v>
      </x:c>
      <x:c r="AB2111" s="36" t="n">
        <x:f>IF(ISNUMBER(Y2111),ROUND(Y2111*0.9,2),"")</x:f>
        <x:v>14.4</x:v>
      </x:c>
      <x:c r="AC2111" s="36" t="n">
        <x:f>IF(ISNUMBER(AB2111),ROUND(AB2111-(AB2111*0.015+0.2)-V2111,2),"")</x:f>
        <x:v>3.48</x:v>
      </x:c>
      <x:c r="AD2111" s="36" t="n">
        <x:f>IF(ISNUMBER(Y2111),ROUND(Y2111*0.8,2),"")</x:f>
        <x:v>12.8</x:v>
      </x:c>
      <x:c r="AE2111" s="36" t="n">
        <x:f>IF(ISNUMBER(AD2111),ROUND(AD2111*0.015+0.2,2),"")</x:f>
        <x:v>0.39</x:v>
      </x:c>
      <x:c r="AF2111" s="36" t="n">
        <x:f>IF(ISNUMBER(AD2111),ROUND(AD2111-AE2111-V2111,2),"")</x:f>
        <x:v>1.91</x:v>
      </x:c>
      <x:c r="AG2111" t="str">
        <x:f>IF(NOT(ISNUMBER(T2111)),"PENDING",IF(AF2111&gt;0,"PASS","FAIL"))</x:f>
        <x:v>PASS</x:v>
      </x:c>
      <x:c r="AH2111" t="str">
        <x:f>IF(NOT(ISNUMBER(T2111)),"Needs supplier cost",IF(K2111&lt;&gt;"In stock","Supplier unavailable",IF(AG2111&lt;&gt;"PASS","BLOCK - GT loss risk","Commercially protected")))</x:f>
        <x:v>Commercially protected</x:v>
      </x:c>
      <x:c r="AI2111" t="str">
        <x:v>2026-09-10 Active Sports trade capture</x:v>
      </x:c>
      <x:c r="AJ2111" t="str">
        <x:v>Management-only economics. Stripe stress test uses 1.5% + £0.20 standard UK online-card fee; pallet/mix-and-match pricing ignored.</x:v>
      </x:c>
    </x:row>
    <x:row r="2112">
      <x:c r="A2112" t="str">
        <x:v>Active Sports Nutrition</x:v>
      </x:c>
      <x:c r="B2112" t="str">
        <x:v>Olimp</x:v>
      </x:c>
      <x:c r="C2112" t="str">
        <x:v>Gain Bolic 6000</x:v>
      </x:c>
      <x:c r="D2112" t="str">
        <x:v>Supplements</x:v>
      </x:c>
      <x:c r="E2112" t="str">
        <x:v>Mass Gainers</x:v>
      </x:c>
      <x:c r="F2112" t="str"/>
      <x:c r="G2112" t="str">
        <x:v>1kg</x:v>
      </x:c>
      <x:c r="H2112" t="str">
        <x:v>Chocolate</x:v>
      </x:c>
      <x:c r="I2112" t="str"/>
      <x:c r="J2112" t="str">
        <x:v>Unit</x:v>
      </x:c>
      <x:c r="K2112" t="str">
        <x:v>In stock</x:v>
      </x:c>
      <x:c r="L2112" t="str">
        <x:v>2026-09-08</x:v>
      </x:c>
      <x:c r="M2112" t="str"/>
      <x:c r="N2112" t="str"/>
      <x:c r="O2112" t="str">
        <x:v>https://www.activesportstrade.co.uk/olimp-trade</x:v>
      </x:c>
      <x:c r="P2112" t="str"/>
      <x:c r="Q2112" t="str"/>
      <x:c r="R2112" t="str"/>
      <x:c r="S2112" t="str">
        <x:v>Pending genuine supplier/brand image</x:v>
      </x:c>
      <x:c r="T2112" s="54" t="n">
        <x:v>8.75</x:v>
      </x:c>
      <x:c r="U2112" s="47" t="n">
        <x:v>0.2</x:v>
      </x:c>
      <x:c r="V2112" s="54" t="n">
        <x:f>IF(ISNUMBER(T2112),T2112*(1+U2112),"")</x:f>
        <x:v>10.5</x:v>
      </x:c>
      <x:c r="W2112" s="47" t="n">
        <x:v>0.3</x:v>
      </x:c>
      <x:c r="X2112" s="54" t="n">
        <x:f>IF(ISNUMBER(V2112),V2112/(1-W2112),"")</x:f>
        <x:v>15.000000000000002</x:v>
      </x:c>
      <x:c r="Y2112" s="55" t="n">
        <x:f>IF(ISNUMBER(X2112),ROUNDUP(X2112,0),"")</x:f>
        <x:v>16</x:v>
      </x:c>
      <x:c r="Z2112" t="str">
        <x:v>Source match pending</x:v>
      </x:c>
      <x:c r="AA2112" t="str">
        <x:v>screencapture-www-activesportstrade-co-uk-olimp-trade-2026-09-10-09_05_33.pdf / page-07</x:v>
      </x:c>
      <x:c r="AB2112" s="36" t="n">
        <x:f>IF(ISNUMBER(Y2112),ROUND(Y2112*0.9,2),"")</x:f>
        <x:v>14.4</x:v>
      </x:c>
      <x:c r="AC2112" s="36" t="n">
        <x:f>IF(ISNUMBER(AB2112),ROUND(AB2112-(AB2112*0.015+0.2)-V2112,2),"")</x:f>
        <x:v>3.48</x:v>
      </x:c>
      <x:c r="AD2112" s="36" t="n">
        <x:f>IF(ISNUMBER(Y2112),ROUND(Y2112*0.8,2),"")</x:f>
        <x:v>12.8</x:v>
      </x:c>
      <x:c r="AE2112" s="36" t="n">
        <x:f>IF(ISNUMBER(AD2112),ROUND(AD2112*0.015+0.2,2),"")</x:f>
        <x:v>0.39</x:v>
      </x:c>
      <x:c r="AF2112" s="36" t="n">
        <x:f>IF(ISNUMBER(AD2112),ROUND(AD2112-AE2112-V2112,2),"")</x:f>
        <x:v>1.91</x:v>
      </x:c>
      <x:c r="AG2112" t="str">
        <x:f>IF(NOT(ISNUMBER(T2112)),"PENDING",IF(AF2112&gt;0,"PASS","FAIL"))</x:f>
        <x:v>PASS</x:v>
      </x:c>
      <x:c r="AH2112" t="str">
        <x:f>IF(NOT(ISNUMBER(T2112)),"Needs supplier cost",IF(K2112&lt;&gt;"In stock","Supplier unavailable",IF(AG2112&lt;&gt;"PASS","BLOCK - GT loss risk","Commercially protected")))</x:f>
        <x:v>Commercially protected</x:v>
      </x:c>
      <x:c r="AI2112" t="str">
        <x:v>2026-09-10 Active Sports trade capture</x:v>
      </x:c>
      <x:c r="AJ2112" t="str">
        <x:v>Management-only economics. Stripe stress test uses 1.5% + £0.20 standard UK online-card fee; pallet/mix-and-match pricing ignored.</x:v>
      </x:c>
    </x:row>
    <x:row r="2113">
      <x:c r="A2113" t="str">
        <x:v>Active Sports Nutrition</x:v>
      </x:c>
      <x:c r="B2113" t="str">
        <x:v>Olimp</x:v>
      </x:c>
      <x:c r="C2113" t="str">
        <x:v>Gain Bolic 6000</x:v>
      </x:c>
      <x:c r="D2113" t="str">
        <x:v>Supplements</x:v>
      </x:c>
      <x:c r="E2113" t="str">
        <x:v>Mass Gainers</x:v>
      </x:c>
      <x:c r="F2113" t="str"/>
      <x:c r="G2113" t="str">
        <x:v>1kg</x:v>
      </x:c>
      <x:c r="H2113" t="str">
        <x:v>Cookies &amp; Cream</x:v>
      </x:c>
      <x:c r="I2113" t="str"/>
      <x:c r="J2113" t="str">
        <x:v>Unit</x:v>
      </x:c>
      <x:c r="K2113" t="str">
        <x:v>Out of stock</x:v>
      </x:c>
      <x:c r="L2113" t="str">
        <x:v>2026-09-08</x:v>
      </x:c>
      <x:c r="M2113" t="str"/>
      <x:c r="N2113" t="str"/>
      <x:c r="O2113" t="str">
        <x:v>https://www.activesportstrade.co.uk/olimp-trade</x:v>
      </x:c>
      <x:c r="P2113" t="str"/>
      <x:c r="Q2113" t="str"/>
      <x:c r="R2113" t="str"/>
      <x:c r="S2113" t="str">
        <x:v>Pending genuine supplier/brand image</x:v>
      </x:c>
      <x:c r="T2113" s="54" t="n">
        <x:v>8.75</x:v>
      </x:c>
      <x:c r="U2113" s="47" t="n">
        <x:v>0.2</x:v>
      </x:c>
      <x:c r="V2113" s="54" t="n">
        <x:f>IF(ISNUMBER(T2113),T2113*(1+U2113),"")</x:f>
        <x:v>10.5</x:v>
      </x:c>
      <x:c r="W2113" s="47" t="n">
        <x:v>0.3</x:v>
      </x:c>
      <x:c r="X2113" s="54" t="n">
        <x:f>IF(ISNUMBER(V2113),V2113/(1-W2113),"")</x:f>
        <x:v>15.000000000000002</x:v>
      </x:c>
      <x:c r="Y2113" s="55" t="n">
        <x:f>IF(ISNUMBER(X2113),ROUNDUP(X2113,0),"")</x:f>
        <x:v>16</x:v>
      </x:c>
      <x:c r="Z2113" t="str">
        <x:v>Source match pending</x:v>
      </x:c>
      <x:c r="AA2113" t="str">
        <x:v>screencapture-www-activesportstrade-co-uk-olimp-trade-2026-09-10-09_05_33.pdf / page-07</x:v>
      </x:c>
      <x:c r="AB2113" s="36" t="n">
        <x:f>IF(ISNUMBER(Y2113),ROUND(Y2113*0.9,2),"")</x:f>
        <x:v>14.4</x:v>
      </x:c>
      <x:c r="AC2113" s="36" t="n">
        <x:f>IF(ISNUMBER(AB2113),ROUND(AB2113-(AB2113*0.015+0.2)-V2113,2),"")</x:f>
        <x:v>3.48</x:v>
      </x:c>
      <x:c r="AD2113" s="36" t="n">
        <x:f>IF(ISNUMBER(Y2113),ROUND(Y2113*0.8,2),"")</x:f>
        <x:v>12.8</x:v>
      </x:c>
      <x:c r="AE2113" s="36" t="n">
        <x:f>IF(ISNUMBER(AD2113),ROUND(AD2113*0.015+0.2,2),"")</x:f>
        <x:v>0.39</x:v>
      </x:c>
      <x:c r="AF2113" s="36" t="n">
        <x:f>IF(ISNUMBER(AD2113),ROUND(AD2113-AE2113-V2113,2),"")</x:f>
        <x:v>1.91</x:v>
      </x:c>
      <x:c r="AG2113" t="str">
        <x:f>IF(NOT(ISNUMBER(T2113)),"PENDING",IF(AF2113&gt;0,"PASS","FAIL"))</x:f>
        <x:v>PASS</x:v>
      </x:c>
      <x:c r="AH2113" t="str">
        <x:f>IF(NOT(ISNUMBER(T2113)),"Needs supplier cost",IF(K2113&lt;&gt;"In stock","Supplier unavailable",IF(AG2113&lt;&gt;"PASS","BLOCK - GT loss risk","Commercially protected")))</x:f>
        <x:v>Supplier unavailable</x:v>
      </x:c>
      <x:c r="AI2113" t="str">
        <x:v>2026-09-10 Active Sports trade capture</x:v>
      </x:c>
      <x:c r="AJ2113" t="str">
        <x:v>Management-only economics. Stripe stress test uses 1.5% + £0.20 standard UK online-card fee; pallet/mix-and-match pricing ignored.</x:v>
      </x:c>
    </x:row>
    <x:row r="2114">
      <x:c r="A2114" t="str">
        <x:v>Active Sports Nutrition</x:v>
      </x:c>
      <x:c r="B2114" t="str">
        <x:v>Olimp</x:v>
      </x:c>
      <x:c r="C2114" t="str">
        <x:v>Gain Bolic 6000</x:v>
      </x:c>
      <x:c r="D2114" t="str">
        <x:v>Supplements</x:v>
      </x:c>
      <x:c r="E2114" t="str">
        <x:v>Mass Gainers</x:v>
      </x:c>
      <x:c r="F2114" t="str"/>
      <x:c r="G2114" t="str">
        <x:v>1kg</x:v>
      </x:c>
      <x:c r="H2114" t="str">
        <x:v>Strawberry</x:v>
      </x:c>
      <x:c r="I2114" t="str"/>
      <x:c r="J2114" t="str">
        <x:v>Unit</x:v>
      </x:c>
      <x:c r="K2114" t="str">
        <x:v>In stock</x:v>
      </x:c>
      <x:c r="L2114" t="str">
        <x:v>2026-09-08</x:v>
      </x:c>
      <x:c r="M2114" t="str"/>
      <x:c r="N2114" t="str"/>
      <x:c r="O2114" t="str">
        <x:v>https://www.activesportstrade.co.uk/olimp-trade</x:v>
      </x:c>
      <x:c r="P2114" t="str"/>
      <x:c r="Q2114" t="str"/>
      <x:c r="R2114" t="str"/>
      <x:c r="S2114" t="str">
        <x:v>Pending genuine supplier/brand image</x:v>
      </x:c>
      <x:c r="T2114" s="54" t="n">
        <x:v>8.75</x:v>
      </x:c>
      <x:c r="U2114" s="47" t="n">
        <x:v>0.2</x:v>
      </x:c>
      <x:c r="V2114" s="54" t="n">
        <x:f>IF(ISNUMBER(T2114),T2114*(1+U2114),"")</x:f>
        <x:v>10.5</x:v>
      </x:c>
      <x:c r="W2114" s="47" t="n">
        <x:v>0.3</x:v>
      </x:c>
      <x:c r="X2114" s="54" t="n">
        <x:f>IF(ISNUMBER(V2114),V2114/(1-W2114),"")</x:f>
        <x:v>15.000000000000002</x:v>
      </x:c>
      <x:c r="Y2114" s="55" t="n">
        <x:f>IF(ISNUMBER(X2114),ROUNDUP(X2114,0),"")</x:f>
        <x:v>16</x:v>
      </x:c>
      <x:c r="Z2114" t="str">
        <x:v>Source match pending</x:v>
      </x:c>
      <x:c r="AA2114" t="str">
        <x:v>screencapture-www-activesportstrade-co-uk-olimp-trade-2026-09-10-09_05_33.pdf / page-07</x:v>
      </x:c>
      <x:c r="AB2114" s="36" t="n">
        <x:f>IF(ISNUMBER(Y2114),ROUND(Y2114*0.9,2),"")</x:f>
        <x:v>14.4</x:v>
      </x:c>
      <x:c r="AC2114" s="36" t="n">
        <x:f>IF(ISNUMBER(AB2114),ROUND(AB2114-(AB2114*0.015+0.2)-V2114,2),"")</x:f>
        <x:v>3.48</x:v>
      </x:c>
      <x:c r="AD2114" s="36" t="n">
        <x:f>IF(ISNUMBER(Y2114),ROUND(Y2114*0.8,2),"")</x:f>
        <x:v>12.8</x:v>
      </x:c>
      <x:c r="AE2114" s="36" t="n">
        <x:f>IF(ISNUMBER(AD2114),ROUND(AD2114*0.015+0.2,2),"")</x:f>
        <x:v>0.39</x:v>
      </x:c>
      <x:c r="AF2114" s="36" t="n">
        <x:f>IF(ISNUMBER(AD2114),ROUND(AD2114-AE2114-V2114,2),"")</x:f>
        <x:v>1.91</x:v>
      </x:c>
      <x:c r="AG2114" t="str">
        <x:f>IF(NOT(ISNUMBER(T2114)),"PENDING",IF(AF2114&gt;0,"PASS","FAIL"))</x:f>
        <x:v>PASS</x:v>
      </x:c>
      <x:c r="AH2114" t="str">
        <x:f>IF(NOT(ISNUMBER(T2114)),"Needs supplier cost",IF(K2114&lt;&gt;"In stock","Supplier unavailable",IF(AG2114&lt;&gt;"PASS","BLOCK - GT loss risk","Commercially protected")))</x:f>
        <x:v>Commercially protected</x:v>
      </x:c>
      <x:c r="AI2114" t="str">
        <x:v>2026-09-10 Active Sports trade capture</x:v>
      </x:c>
      <x:c r="AJ2114" t="str">
        <x:v>Management-only economics. Stripe stress test uses 1.5% + £0.20 standard UK online-card fee; pallet/mix-and-match pricing ignored.</x:v>
      </x:c>
    </x:row>
    <x:row r="2115">
      <x:c r="A2115" t="str">
        <x:v>Active Sports Nutrition</x:v>
      </x:c>
      <x:c r="B2115" t="str">
        <x:v>Olimp</x:v>
      </x:c>
      <x:c r="C2115" t="str">
        <x:v>Gain Bolic 6000</x:v>
      </x:c>
      <x:c r="D2115" t="str">
        <x:v>Supplements</x:v>
      </x:c>
      <x:c r="E2115" t="str">
        <x:v>Mass Gainers</x:v>
      </x:c>
      <x:c r="F2115" t="str"/>
      <x:c r="G2115" t="str">
        <x:v>1kg</x:v>
      </x:c>
      <x:c r="H2115" t="str">
        <x:v>Vanilla</x:v>
      </x:c>
      <x:c r="I2115" t="str"/>
      <x:c r="J2115" t="str">
        <x:v>Unit</x:v>
      </x:c>
      <x:c r="K2115" t="str">
        <x:v>In stock</x:v>
      </x:c>
      <x:c r="L2115" t="str">
        <x:v>2026-09-08</x:v>
      </x:c>
      <x:c r="M2115" t="str"/>
      <x:c r="N2115" t="str"/>
      <x:c r="O2115" t="str">
        <x:v>https://www.activesportstrade.co.uk/olimp-trade</x:v>
      </x:c>
      <x:c r="P2115" t="str"/>
      <x:c r="Q2115" t="str"/>
      <x:c r="R2115" t="str"/>
      <x:c r="S2115" t="str">
        <x:v>Pending genuine supplier/brand image</x:v>
      </x:c>
      <x:c r="T2115" s="54" t="n">
        <x:v>8.75</x:v>
      </x:c>
      <x:c r="U2115" s="47" t="n">
        <x:v>0.2</x:v>
      </x:c>
      <x:c r="V2115" s="54" t="n">
        <x:f>IF(ISNUMBER(T2115),T2115*(1+U2115),"")</x:f>
        <x:v>10.5</x:v>
      </x:c>
      <x:c r="W2115" s="47" t="n">
        <x:v>0.3</x:v>
      </x:c>
      <x:c r="X2115" s="54" t="n">
        <x:f>IF(ISNUMBER(V2115),V2115/(1-W2115),"")</x:f>
        <x:v>15.000000000000002</x:v>
      </x:c>
      <x:c r="Y2115" s="55" t="n">
        <x:f>IF(ISNUMBER(X2115),ROUNDUP(X2115,0),"")</x:f>
        <x:v>16</x:v>
      </x:c>
      <x:c r="Z2115" t="str">
        <x:v>Source match pending</x:v>
      </x:c>
      <x:c r="AA2115" t="str">
        <x:v>screencapture-www-activesportstrade-co-uk-olimp-trade-2026-09-10-09_05_33.pdf / page-07</x:v>
      </x:c>
      <x:c r="AB2115" s="36" t="n">
        <x:f>IF(ISNUMBER(Y2115),ROUND(Y2115*0.9,2),"")</x:f>
        <x:v>14.4</x:v>
      </x:c>
      <x:c r="AC2115" s="36" t="n">
        <x:f>IF(ISNUMBER(AB2115),ROUND(AB2115-(AB2115*0.015+0.2)-V2115,2),"")</x:f>
        <x:v>3.48</x:v>
      </x:c>
      <x:c r="AD2115" s="36" t="n">
        <x:f>IF(ISNUMBER(Y2115),ROUND(Y2115*0.8,2),"")</x:f>
        <x:v>12.8</x:v>
      </x:c>
      <x:c r="AE2115" s="36" t="n">
        <x:f>IF(ISNUMBER(AD2115),ROUND(AD2115*0.015+0.2,2),"")</x:f>
        <x:v>0.39</x:v>
      </x:c>
      <x:c r="AF2115" s="36" t="n">
        <x:f>IF(ISNUMBER(AD2115),ROUND(AD2115-AE2115-V2115,2),"")</x:f>
        <x:v>1.91</x:v>
      </x:c>
      <x:c r="AG2115" t="str">
        <x:f>IF(NOT(ISNUMBER(T2115)),"PENDING",IF(AF2115&gt;0,"PASS","FAIL"))</x:f>
        <x:v>PASS</x:v>
      </x:c>
      <x:c r="AH2115" t="str">
        <x:f>IF(NOT(ISNUMBER(T2115)),"Needs supplier cost",IF(K2115&lt;&gt;"In stock","Supplier unavailable",IF(AG2115&lt;&gt;"PASS","BLOCK - GT loss risk","Commercially protected")))</x:f>
        <x:v>Commercially protected</x:v>
      </x:c>
      <x:c r="AI2115" t="str">
        <x:v>2026-09-10 Active Sports trade capture</x:v>
      </x:c>
      <x:c r="AJ2115" t="str">
        <x:v>Management-only economics. Stripe stress test uses 1.5% + £0.20 standard UK online-card fee; pallet/mix-and-match pricing ignored.</x:v>
      </x:c>
    </x:row>
    <x:row r="2116">
      <x:c r="A2116" t="str">
        <x:v>Active Sports Nutrition</x:v>
      </x:c>
      <x:c r="B2116" t="str">
        <x:v>Olimp</x:v>
      </x:c>
      <x:c r="C2116" t="str">
        <x:v>Gain Bolic 6000</x:v>
      </x:c>
      <x:c r="D2116" t="str">
        <x:v>Supplements</x:v>
      </x:c>
      <x:c r="E2116" t="str">
        <x:v>Mass Gainers</x:v>
      </x:c>
      <x:c r="F2116" t="str"/>
      <x:c r="G2116" t="str">
        <x:v>3.5kg</x:v>
      </x:c>
      <x:c r="H2116" t="str">
        <x:v>Chocolate</x:v>
      </x:c>
      <x:c r="I2116" t="str"/>
      <x:c r="J2116" t="str">
        <x:v>Unit</x:v>
      </x:c>
      <x:c r="K2116" t="str">
        <x:v>In stock</x:v>
      </x:c>
      <x:c r="L2116" t="str">
        <x:v>2026-09-08</x:v>
      </x:c>
      <x:c r="M2116" t="str"/>
      <x:c r="N2116" t="str"/>
      <x:c r="O2116" t="str">
        <x:v>https://www.activesportstrade.co.uk/olimp-trade</x:v>
      </x:c>
      <x:c r="P2116" t="str"/>
      <x:c r="Q2116" t="str"/>
      <x:c r="R2116" t="str"/>
      <x:c r="S2116" t="str">
        <x:v>Pending genuine supplier/brand image</x:v>
      </x:c>
      <x:c r="T2116" s="54" t="n">
        <x:v>29.99</x:v>
      </x:c>
      <x:c r="U2116" s="47" t="n">
        <x:v>0.2</x:v>
      </x:c>
      <x:c r="V2116" s="54" t="n">
        <x:f>IF(ISNUMBER(T2116),T2116*(1+U2116),"")</x:f>
        <x:v>35.988</x:v>
      </x:c>
      <x:c r="W2116" s="47" t="n">
        <x:v>0.3</x:v>
      </x:c>
      <x:c r="X2116" s="54" t="n">
        <x:f>IF(ISNUMBER(V2116),V2116/(1-W2116),"")</x:f>
        <x:v>51.41142857142857</x:v>
      </x:c>
      <x:c r="Y2116" s="55" t="n">
        <x:f>IF(ISNUMBER(X2116),ROUNDUP(X2116,0),"")</x:f>
        <x:v>52</x:v>
      </x:c>
      <x:c r="Z2116" t="str">
        <x:v>Source match pending</x:v>
      </x:c>
      <x:c r="AA2116" t="str">
        <x:v>screencapture-www-activesportstrade-co-uk-olimp-trade-2026-09-10-09_05_33.pdf / page-07</x:v>
      </x:c>
      <x:c r="AB2116" s="36" t="n">
        <x:f>IF(ISNUMBER(Y2116),ROUND(Y2116*0.9,2),"")</x:f>
        <x:v>46.8</x:v>
      </x:c>
      <x:c r="AC2116" s="36" t="n">
        <x:f>IF(ISNUMBER(AB2116),ROUND(AB2116-(AB2116*0.015+0.2)-V2116,2),"")</x:f>
        <x:v>9.91</x:v>
      </x:c>
      <x:c r="AD2116" s="36" t="n">
        <x:f>IF(ISNUMBER(Y2116),ROUND(Y2116*0.8,2),"")</x:f>
        <x:v>41.6</x:v>
      </x:c>
      <x:c r="AE2116" s="36" t="n">
        <x:f>IF(ISNUMBER(AD2116),ROUND(AD2116*0.015+0.2,2),"")</x:f>
        <x:v>0.82</x:v>
      </x:c>
      <x:c r="AF2116" s="36" t="n">
        <x:f>IF(ISNUMBER(AD2116),ROUND(AD2116-AE2116-V2116,2),"")</x:f>
        <x:v>4.79</x:v>
      </x:c>
      <x:c r="AG2116" t="str">
        <x:f>IF(NOT(ISNUMBER(T2116)),"PENDING",IF(AF2116&gt;0,"PASS","FAIL"))</x:f>
        <x:v>PASS</x:v>
      </x:c>
      <x:c r="AH2116" t="str">
        <x:f>IF(NOT(ISNUMBER(T2116)),"Needs supplier cost",IF(K2116&lt;&gt;"In stock","Supplier unavailable",IF(AG2116&lt;&gt;"PASS","BLOCK - GT loss risk","Commercially protected")))</x:f>
        <x:v>Commercially protected</x:v>
      </x:c>
      <x:c r="AI2116" t="str">
        <x:v>2026-09-10 Active Sports trade capture</x:v>
      </x:c>
      <x:c r="AJ2116" t="str">
        <x:v>Management-only economics. Stripe stress test uses 1.5% + £0.20 standard UK online-card fee; pallet/mix-and-match pricing ignored.</x:v>
      </x:c>
    </x:row>
    <x:row r="2117">
      <x:c r="A2117" t="str">
        <x:v>Active Sports Nutrition</x:v>
      </x:c>
      <x:c r="B2117" t="str">
        <x:v>Olimp</x:v>
      </x:c>
      <x:c r="C2117" t="str">
        <x:v>Gain Bolic 6000</x:v>
      </x:c>
      <x:c r="D2117" t="str">
        <x:v>Supplements</x:v>
      </x:c>
      <x:c r="E2117" t="str">
        <x:v>Mass Gainers</x:v>
      </x:c>
      <x:c r="F2117" t="str"/>
      <x:c r="G2117" t="str">
        <x:v>3.5kg</x:v>
      </x:c>
      <x:c r="H2117" t="str">
        <x:v>Strawberry</x:v>
      </x:c>
      <x:c r="I2117" t="str"/>
      <x:c r="J2117" t="str">
        <x:v>Unit</x:v>
      </x:c>
      <x:c r="K2117" t="str">
        <x:v>In stock</x:v>
      </x:c>
      <x:c r="L2117" t="str">
        <x:v>2026-09-08</x:v>
      </x:c>
      <x:c r="M2117" t="str"/>
      <x:c r="N2117" t="str"/>
      <x:c r="O2117" t="str">
        <x:v>https://www.activesportstrade.co.uk/olimp-trade</x:v>
      </x:c>
      <x:c r="P2117" t="str"/>
      <x:c r="Q2117" t="str"/>
      <x:c r="R2117" t="str"/>
      <x:c r="S2117" t="str">
        <x:v>Pending genuine supplier/brand image</x:v>
      </x:c>
      <x:c r="T2117" s="54" t="n">
        <x:v>29.99</x:v>
      </x:c>
      <x:c r="U2117" s="47" t="n">
        <x:v>0.2</x:v>
      </x:c>
      <x:c r="V2117" s="54" t="n">
        <x:f>IF(ISNUMBER(T2117),T2117*(1+U2117),"")</x:f>
        <x:v>35.988</x:v>
      </x:c>
      <x:c r="W2117" s="47" t="n">
        <x:v>0.3</x:v>
      </x:c>
      <x:c r="X2117" s="54" t="n">
        <x:f>IF(ISNUMBER(V2117),V2117/(1-W2117),"")</x:f>
        <x:v>51.41142857142857</x:v>
      </x:c>
      <x:c r="Y2117" s="55" t="n">
        <x:f>IF(ISNUMBER(X2117),ROUNDUP(X2117,0),"")</x:f>
        <x:v>52</x:v>
      </x:c>
      <x:c r="Z2117" t="str">
        <x:v>Source match pending</x:v>
      </x:c>
      <x:c r="AA2117" t="str">
        <x:v>screencapture-www-activesportstrade-co-uk-olimp-trade-2026-09-10-09_05_33.pdf / page-07</x:v>
      </x:c>
      <x:c r="AB2117" s="36" t="n">
        <x:f>IF(ISNUMBER(Y2117),ROUND(Y2117*0.9,2),"")</x:f>
        <x:v>46.8</x:v>
      </x:c>
      <x:c r="AC2117" s="36" t="n">
        <x:f>IF(ISNUMBER(AB2117),ROUND(AB2117-(AB2117*0.015+0.2)-V2117,2),"")</x:f>
        <x:v>9.91</x:v>
      </x:c>
      <x:c r="AD2117" s="36" t="n">
        <x:f>IF(ISNUMBER(Y2117),ROUND(Y2117*0.8,2),"")</x:f>
        <x:v>41.6</x:v>
      </x:c>
      <x:c r="AE2117" s="36" t="n">
        <x:f>IF(ISNUMBER(AD2117),ROUND(AD2117*0.015+0.2,2),"")</x:f>
        <x:v>0.82</x:v>
      </x:c>
      <x:c r="AF2117" s="36" t="n">
        <x:f>IF(ISNUMBER(AD2117),ROUND(AD2117-AE2117-V2117,2),"")</x:f>
        <x:v>4.79</x:v>
      </x:c>
      <x:c r="AG2117" t="str">
        <x:f>IF(NOT(ISNUMBER(T2117)),"PENDING",IF(AF2117&gt;0,"PASS","FAIL"))</x:f>
        <x:v>PASS</x:v>
      </x:c>
      <x:c r="AH2117" t="str">
        <x:f>IF(NOT(ISNUMBER(T2117)),"Needs supplier cost",IF(K2117&lt;&gt;"In stock","Supplier unavailable",IF(AG2117&lt;&gt;"PASS","BLOCK - GT loss risk","Commercially protected")))</x:f>
        <x:v>Commercially protected</x:v>
      </x:c>
      <x:c r="AI2117" t="str">
        <x:v>2026-09-10 Active Sports trade capture</x:v>
      </x:c>
      <x:c r="AJ2117" t="str">
        <x:v>Management-only economics. Stripe stress test uses 1.5% + £0.20 standard UK online-card fee; pallet/mix-and-match pricing ignored.</x:v>
      </x:c>
    </x:row>
    <x:row r="2118">
      <x:c r="A2118" t="str">
        <x:v>Active Sports Nutrition</x:v>
      </x:c>
      <x:c r="B2118" t="str">
        <x:v>Olimp</x:v>
      </x:c>
      <x:c r="C2118" t="str">
        <x:v>Gain Bolic 6000</x:v>
      </x:c>
      <x:c r="D2118" t="str">
        <x:v>Supplements</x:v>
      </x:c>
      <x:c r="E2118" t="str">
        <x:v>Mass Gainers</x:v>
      </x:c>
      <x:c r="F2118" t="str"/>
      <x:c r="G2118" t="str">
        <x:v>3.5kg</x:v>
      </x:c>
      <x:c r="H2118" t="str">
        <x:v>Vanilla</x:v>
      </x:c>
      <x:c r="I2118" t="str"/>
      <x:c r="J2118" t="str">
        <x:v>Unit</x:v>
      </x:c>
      <x:c r="K2118" t="str">
        <x:v>In stock</x:v>
      </x:c>
      <x:c r="L2118" t="str">
        <x:v>2026-09-08</x:v>
      </x:c>
      <x:c r="M2118" t="str"/>
      <x:c r="N2118" t="str"/>
      <x:c r="O2118" t="str">
        <x:v>https://www.activesportstrade.co.uk/olimp-trade</x:v>
      </x:c>
      <x:c r="P2118" t="str"/>
      <x:c r="Q2118" t="str"/>
      <x:c r="R2118" t="str"/>
      <x:c r="S2118" t="str">
        <x:v>Pending genuine supplier/brand image</x:v>
      </x:c>
      <x:c r="T2118" s="54" t="n">
        <x:v>29.99</x:v>
      </x:c>
      <x:c r="U2118" s="47" t="n">
        <x:v>0.2</x:v>
      </x:c>
      <x:c r="V2118" s="54" t="n">
        <x:f>IF(ISNUMBER(T2118),T2118*(1+U2118),"")</x:f>
        <x:v>35.988</x:v>
      </x:c>
      <x:c r="W2118" s="47" t="n">
        <x:v>0.3</x:v>
      </x:c>
      <x:c r="X2118" s="54" t="n">
        <x:f>IF(ISNUMBER(V2118),V2118/(1-W2118),"")</x:f>
        <x:v>51.41142857142857</x:v>
      </x:c>
      <x:c r="Y2118" s="55" t="n">
        <x:f>IF(ISNUMBER(X2118),ROUNDUP(X2118,0),"")</x:f>
        <x:v>52</x:v>
      </x:c>
      <x:c r="Z2118" t="str">
        <x:v>Source match pending</x:v>
      </x:c>
      <x:c r="AA2118" t="str">
        <x:v>screencapture-www-activesportstrade-co-uk-olimp-trade-2026-09-10-09_05_33.pdf / page-07</x:v>
      </x:c>
      <x:c r="AB2118" s="36" t="n">
        <x:f>IF(ISNUMBER(Y2118),ROUND(Y2118*0.9,2),"")</x:f>
        <x:v>46.8</x:v>
      </x:c>
      <x:c r="AC2118" s="36" t="n">
        <x:f>IF(ISNUMBER(AB2118),ROUND(AB2118-(AB2118*0.015+0.2)-V2118,2),"")</x:f>
        <x:v>9.91</x:v>
      </x:c>
      <x:c r="AD2118" s="36" t="n">
        <x:f>IF(ISNUMBER(Y2118),ROUND(Y2118*0.8,2),"")</x:f>
        <x:v>41.6</x:v>
      </x:c>
      <x:c r="AE2118" s="36" t="n">
        <x:f>IF(ISNUMBER(AD2118),ROUND(AD2118*0.015+0.2,2),"")</x:f>
        <x:v>0.82</x:v>
      </x:c>
      <x:c r="AF2118" s="36" t="n">
        <x:f>IF(ISNUMBER(AD2118),ROUND(AD2118-AE2118-V2118,2),"")</x:f>
        <x:v>4.79</x:v>
      </x:c>
      <x:c r="AG2118" t="str">
        <x:f>IF(NOT(ISNUMBER(T2118)),"PENDING",IF(AF2118&gt;0,"PASS","FAIL"))</x:f>
        <x:v>PASS</x:v>
      </x:c>
      <x:c r="AH2118" t="str">
        <x:f>IF(NOT(ISNUMBER(T2118)),"Needs supplier cost",IF(K2118&lt;&gt;"In stock","Supplier unavailable",IF(AG2118&lt;&gt;"PASS","BLOCK - GT loss risk","Commercially protected")))</x:f>
        <x:v>Commercially protected</x:v>
      </x:c>
      <x:c r="AI2118" t="str">
        <x:v>2026-09-10 Active Sports trade capture</x:v>
      </x:c>
      <x:c r="AJ2118" t="str">
        <x:v>Management-only economics. Stripe stress test uses 1.5% + £0.20 standard UK online-card fee; pallet/mix-and-match pricing ignored.</x:v>
      </x:c>
    </x:row>
    <x:row r="2119">
      <x:c r="A2119" t="str">
        <x:v>Active Sports Nutrition</x:v>
      </x:c>
      <x:c r="B2119" t="str">
        <x:v>Olimp</x:v>
      </x:c>
      <x:c r="C2119" t="str">
        <x:v>HMB Xplode Powder</x:v>
      </x:c>
      <x:c r="D2119" t="str">
        <x:v>Supplements</x:v>
      </x:c>
      <x:c r="E2119" t="str">
        <x:v>HMB Supplements</x:v>
      </x:c>
      <x:c r="F2119" t="str"/>
      <x:c r="G2119" t="str">
        <x:v>250g</x:v>
      </x:c>
      <x:c r="H2119" t="str">
        <x:v>Orange</x:v>
      </x:c>
      <x:c r="I2119" t="str"/>
      <x:c r="J2119" t="str">
        <x:v>Unit</x:v>
      </x:c>
      <x:c r="K2119" t="str">
        <x:v>Out of stock</x:v>
      </x:c>
      <x:c r="L2119" t="str">
        <x:v>2026-09-08</x:v>
      </x:c>
      <x:c r="M2119" t="str"/>
      <x:c r="N2119" t="str"/>
      <x:c r="O2119" t="str">
        <x:v>https://www.activesportstrade.co.uk/olimp-trade</x:v>
      </x:c>
      <x:c r="P2119" t="str"/>
      <x:c r="Q2119" t="str"/>
      <x:c r="R2119" t="str"/>
      <x:c r="S2119" t="str">
        <x:v>Pending genuine supplier/brand image</x:v>
      </x:c>
      <x:c r="T2119" s="54" t="n">
        <x:v>13.5</x:v>
      </x:c>
      <x:c r="U2119" s="47" t="n">
        <x:v>0.2</x:v>
      </x:c>
      <x:c r="V2119" s="54" t="n">
        <x:f>IF(ISNUMBER(T2119),T2119*(1+U2119),"")</x:f>
        <x:v>16.2</x:v>
      </x:c>
      <x:c r="W2119" s="47" t="n">
        <x:v>0.3</x:v>
      </x:c>
      <x:c r="X2119" s="54" t="n">
        <x:f>IF(ISNUMBER(V2119),V2119/(1-W2119),"")</x:f>
        <x:v>23.142857142857142</x:v>
      </x:c>
      <x:c r="Y2119" s="55" t="n">
        <x:f>IF(ISNUMBER(X2119),ROUNDUP(X2119,0),"")</x:f>
        <x:v>24</x:v>
      </x:c>
      <x:c r="Z2119" t="str">
        <x:v>Source match pending</x:v>
      </x:c>
      <x:c r="AA2119" t="str">
        <x:v>screencapture-www-activesportstrade-co-uk-olimp-trade-2026-09-10-09_05_33.pdf / page-09</x:v>
      </x:c>
      <x:c r="AB2119" s="36" t="n">
        <x:f>IF(ISNUMBER(Y2119),ROUND(Y2119*0.9,2),"")</x:f>
        <x:v>21.6</x:v>
      </x:c>
      <x:c r="AC2119" s="36" t="n">
        <x:f>IF(ISNUMBER(AB2119),ROUND(AB2119-(AB2119*0.015+0.2)-V2119,2),"")</x:f>
        <x:v>4.88</x:v>
      </x:c>
      <x:c r="AD2119" s="36" t="n">
        <x:f>IF(ISNUMBER(Y2119),ROUND(Y2119*0.8,2),"")</x:f>
        <x:v>19.2</x:v>
      </x:c>
      <x:c r="AE2119" s="36" t="n">
        <x:f>IF(ISNUMBER(AD2119),ROUND(AD2119*0.015+0.2,2),"")</x:f>
        <x:v>0.49</x:v>
      </x:c>
      <x:c r="AF2119" s="36" t="n">
        <x:f>IF(ISNUMBER(AD2119),ROUND(AD2119-AE2119-V2119,2),"")</x:f>
        <x:v>2.51</x:v>
      </x:c>
      <x:c r="AG2119" t="str">
        <x:f>IF(NOT(ISNUMBER(T2119)),"PENDING",IF(AF2119&gt;0,"PASS","FAIL"))</x:f>
        <x:v>PASS</x:v>
      </x:c>
      <x:c r="AH2119" t="str">
        <x:f>IF(NOT(ISNUMBER(T2119)),"Needs supplier cost",IF(K2119&lt;&gt;"In stock","Supplier unavailable",IF(AG2119&lt;&gt;"PASS","BLOCK - GT loss risk","Commercially protected")))</x:f>
        <x:v>Supplier unavailable</x:v>
      </x:c>
      <x:c r="AI2119" t="str">
        <x:v>2026-09-10 Active Sports trade capture</x:v>
      </x:c>
      <x:c r="AJ2119" t="str">
        <x:v>Management-only economics. Stripe stress test uses 1.5% + £0.20 standard UK online-card fee; pallet/mix-and-match pricing ignored.</x:v>
      </x:c>
    </x:row>
    <x:row r="2120">
      <x:c r="A2120" t="str">
        <x:v>Active Sports Nutrition</x:v>
      </x:c>
      <x:c r="B2120" t="str">
        <x:v>Olimp</x:v>
      </x:c>
      <x:c r="C2120" t="str">
        <x:v>HMB Xplode Powder</x:v>
      </x:c>
      <x:c r="D2120" t="str">
        <x:v>Supplements</x:v>
      </x:c>
      <x:c r="E2120" t="str">
        <x:v>HMB Supplements</x:v>
      </x:c>
      <x:c r="F2120" t="str"/>
      <x:c r="G2120" t="str">
        <x:v>250g</x:v>
      </x:c>
      <x:c r="H2120" t="str">
        <x:v>Pineapple</x:v>
      </x:c>
      <x:c r="I2120" t="str"/>
      <x:c r="J2120" t="str">
        <x:v>Unit</x:v>
      </x:c>
      <x:c r="K2120" t="str">
        <x:v>In stock</x:v>
      </x:c>
      <x:c r="L2120" t="str">
        <x:v>2026-09-08</x:v>
      </x:c>
      <x:c r="M2120" t="str"/>
      <x:c r="N2120" t="str"/>
      <x:c r="O2120" t="str">
        <x:v>https://www.activesportstrade.co.uk/olimp-trade</x:v>
      </x:c>
      <x:c r="P2120" t="str"/>
      <x:c r="Q2120" t="str"/>
      <x:c r="R2120" t="str"/>
      <x:c r="S2120" t="str">
        <x:v>Pending genuine supplier/brand image</x:v>
      </x:c>
      <x:c r="T2120" s="54" t="n">
        <x:v>13.5</x:v>
      </x:c>
      <x:c r="U2120" s="47" t="n">
        <x:v>0.2</x:v>
      </x:c>
      <x:c r="V2120" s="54" t="n">
        <x:f>IF(ISNUMBER(T2120),T2120*(1+U2120),"")</x:f>
        <x:v>16.2</x:v>
      </x:c>
      <x:c r="W2120" s="47" t="n">
        <x:v>0.3</x:v>
      </x:c>
      <x:c r="X2120" s="54" t="n">
        <x:f>IF(ISNUMBER(V2120),V2120/(1-W2120),"")</x:f>
        <x:v>23.142857142857142</x:v>
      </x:c>
      <x:c r="Y2120" s="55" t="n">
        <x:f>IF(ISNUMBER(X2120),ROUNDUP(X2120,0),"")</x:f>
        <x:v>24</x:v>
      </x:c>
      <x:c r="Z2120" t="str">
        <x:v>Source match pending</x:v>
      </x:c>
      <x:c r="AA2120" t="str">
        <x:v>screencapture-www-activesportstrade-co-uk-olimp-trade-2026-09-10-09_05_33.pdf / page-09</x:v>
      </x:c>
      <x:c r="AB2120" s="36" t="n">
        <x:f>IF(ISNUMBER(Y2120),ROUND(Y2120*0.9,2),"")</x:f>
        <x:v>21.6</x:v>
      </x:c>
      <x:c r="AC2120" s="36" t="n">
        <x:f>IF(ISNUMBER(AB2120),ROUND(AB2120-(AB2120*0.015+0.2)-V2120,2),"")</x:f>
        <x:v>4.88</x:v>
      </x:c>
      <x:c r="AD2120" s="36" t="n">
        <x:f>IF(ISNUMBER(Y2120),ROUND(Y2120*0.8,2),"")</x:f>
        <x:v>19.2</x:v>
      </x:c>
      <x:c r="AE2120" s="36" t="n">
        <x:f>IF(ISNUMBER(AD2120),ROUND(AD2120*0.015+0.2,2),"")</x:f>
        <x:v>0.49</x:v>
      </x:c>
      <x:c r="AF2120" s="36" t="n">
        <x:f>IF(ISNUMBER(AD2120),ROUND(AD2120-AE2120-V2120,2),"")</x:f>
        <x:v>2.51</x:v>
      </x:c>
      <x:c r="AG2120" t="str">
        <x:f>IF(NOT(ISNUMBER(T2120)),"PENDING",IF(AF2120&gt;0,"PASS","FAIL"))</x:f>
        <x:v>PASS</x:v>
      </x:c>
      <x:c r="AH2120" t="str">
        <x:f>IF(NOT(ISNUMBER(T2120)),"Needs supplier cost",IF(K2120&lt;&gt;"In stock","Supplier unavailable",IF(AG2120&lt;&gt;"PASS","BLOCK - GT loss risk","Commercially protected")))</x:f>
        <x:v>Commercially protected</x:v>
      </x:c>
      <x:c r="AI2120" t="str">
        <x:v>2026-09-10 Active Sports trade capture</x:v>
      </x:c>
      <x:c r="AJ2120" t="str">
        <x:v>Management-only economics. Stripe stress test uses 1.5% + £0.20 standard UK online-card fee; pallet/mix-and-match pricing ignored.</x:v>
      </x:c>
    </x:row>
    <x:row r="2121">
      <x:c r="A2121" t="str">
        <x:v>Active Sports Nutrition</x:v>
      </x:c>
      <x:c r="B2121" t="str">
        <x:v>Olimp</x:v>
      </x:c>
      <x:c r="C2121" t="str">
        <x:v>HMBolon NX</x:v>
      </x:c>
      <x:c r="D2121" t="str">
        <x:v>Supplements</x:v>
      </x:c>
      <x:c r="E2121" t="str">
        <x:v>HMB Supplements</x:v>
      </x:c>
      <x:c r="F2121" t="str"/>
      <x:c r="G2121" t="str">
        <x:v>300 Mega Caps</x:v>
      </x:c>
      <x:c r="H2121" t="str">
        <x:v>Default</x:v>
      </x:c>
      <x:c r="I2121" t="str"/>
      <x:c r="J2121" t="str">
        <x:v>Unit</x:v>
      </x:c>
      <x:c r="K2121" t="str">
        <x:v>In stock</x:v>
      </x:c>
      <x:c r="L2121" t="str">
        <x:v>2026-09-08</x:v>
      </x:c>
      <x:c r="M2121" t="str"/>
      <x:c r="N2121" t="str"/>
      <x:c r="O2121" t="str">
        <x:v>https://www.activesportstrade.co.uk/olimp-trade</x:v>
      </x:c>
      <x:c r="P2121" t="str"/>
      <x:c r="Q2121" t="str"/>
      <x:c r="R2121" t="str"/>
      <x:c r="S2121" t="str">
        <x:v>Pending genuine supplier/brand image</x:v>
      </x:c>
      <x:c r="T2121" s="54" t="n">
        <x:v>37.99</x:v>
      </x:c>
      <x:c r="U2121" s="47" t="n">
        <x:v>0.2</x:v>
      </x:c>
      <x:c r="V2121" s="54" t="n">
        <x:f>IF(ISNUMBER(T2121),T2121*(1+U2121),"")</x:f>
        <x:v>45.588</x:v>
      </x:c>
      <x:c r="W2121" s="47" t="n">
        <x:v>0.3</x:v>
      </x:c>
      <x:c r="X2121" s="54" t="n">
        <x:f>IF(ISNUMBER(V2121),V2121/(1-W2121),"")</x:f>
        <x:v>65.1257142857143</x:v>
      </x:c>
      <x:c r="Y2121" s="55" t="n">
        <x:f>IF(ISNUMBER(X2121),ROUNDUP(X2121,0),"")</x:f>
        <x:v>66</x:v>
      </x:c>
      <x:c r="Z2121" t="str">
        <x:v>Source match pending</x:v>
      </x:c>
      <x:c r="AA2121" t="str">
        <x:v>screencapture-www-activesportstrade-co-uk-olimp-trade-2026-09-10-09_05_33.pdf / page-09</x:v>
      </x:c>
      <x:c r="AB2121" s="36" t="n">
        <x:f>IF(ISNUMBER(Y2121),ROUND(Y2121*0.9,2),"")</x:f>
        <x:v>59.4</x:v>
      </x:c>
      <x:c r="AC2121" s="36" t="n">
        <x:f>IF(ISNUMBER(AB2121),ROUND(AB2121-(AB2121*0.015+0.2)-V2121,2),"")</x:f>
        <x:v>12.72</x:v>
      </x:c>
      <x:c r="AD2121" s="36" t="n">
        <x:f>IF(ISNUMBER(Y2121),ROUND(Y2121*0.8,2),"")</x:f>
        <x:v>52.8</x:v>
      </x:c>
      <x:c r="AE2121" s="36" t="n">
        <x:f>IF(ISNUMBER(AD2121),ROUND(AD2121*0.015+0.2,2),"")</x:f>
        <x:v>0.99</x:v>
      </x:c>
      <x:c r="AF2121" s="36" t="n">
        <x:f>IF(ISNUMBER(AD2121),ROUND(AD2121-AE2121-V2121,2),"")</x:f>
        <x:v>6.22</x:v>
      </x:c>
      <x:c r="AG2121" t="str">
        <x:f>IF(NOT(ISNUMBER(T2121)),"PENDING",IF(AF2121&gt;0,"PASS","FAIL"))</x:f>
        <x:v>PASS</x:v>
      </x:c>
      <x:c r="AH2121" t="str">
        <x:f>IF(NOT(ISNUMBER(T2121)),"Needs supplier cost",IF(K2121&lt;&gt;"In stock","Supplier unavailable",IF(AG2121&lt;&gt;"PASS","BLOCK - GT loss risk","Commercially protected")))</x:f>
        <x:v>Commercially protected</x:v>
      </x:c>
      <x:c r="AI2121" t="str">
        <x:v>2026-09-10 Active Sports trade capture</x:v>
      </x:c>
      <x:c r="AJ2121" t="str">
        <x:v>Management-only economics. Stripe stress test uses 1.5% + £0.20 standard UK online-card fee; pallet/mix-and-match pricing ignored.</x:v>
      </x:c>
    </x:row>
    <x:row r="2122">
      <x:c r="A2122" t="str">
        <x:v>Active Sports Nutrition</x:v>
      </x:c>
      <x:c r="B2122" t="str">
        <x:v>Olimp</x:v>
      </x:c>
      <x:c r="C2122" t="str">
        <x:v>Redweiler / R-Weiler Pre Workout</x:v>
      </x:c>
      <x:c r="D2122" t="str">
        <x:v>Pre Workouts</x:v>
      </x:c>
      <x:c r="E2122" t="str">
        <x:v>High Stim</x:v>
      </x:c>
      <x:c r="F2122" t="str"/>
      <x:c r="G2122" t="str">
        <x:v>480g / 80 servings</x:v>
      </x:c>
      <x:c r="H2122" t="str">
        <x:v>Blueberry Madness</x:v>
      </x:c>
      <x:c r="I2122" t="str"/>
      <x:c r="J2122" t="str">
        <x:v>Unit</x:v>
      </x:c>
      <x:c r="K2122" t="str">
        <x:v>In stock</x:v>
      </x:c>
      <x:c r="L2122" t="str">
        <x:v>2026-09-08</x:v>
      </x:c>
      <x:c r="M2122" t="str"/>
      <x:c r="N2122" t="str"/>
      <x:c r="O2122" t="str">
        <x:v>https://www.activesportstrade.co.uk/olimp-trade</x:v>
      </x:c>
      <x:c r="P2122" t="str"/>
      <x:c r="Q2122" t="str"/>
      <x:c r="R2122" t="str"/>
      <x:c r="S2122" t="str">
        <x:v>Pending genuine supplier/brand image</x:v>
      </x:c>
      <x:c r="T2122" s="54" t="n">
        <x:v>22.99</x:v>
      </x:c>
      <x:c r="U2122" s="47" t="n">
        <x:v>0.2</x:v>
      </x:c>
      <x:c r="V2122" s="54" t="n">
        <x:f>IF(ISNUMBER(T2122),T2122*(1+U2122),"")</x:f>
        <x:v>27.587999999999997</x:v>
      </x:c>
      <x:c r="W2122" s="47" t="n">
        <x:v>0.3</x:v>
      </x:c>
      <x:c r="X2122" s="54" t="n">
        <x:f>IF(ISNUMBER(V2122),V2122/(1-W2122),"")</x:f>
        <x:v>39.41142857142857</x:v>
      </x:c>
      <x:c r="Y2122" s="55" t="n">
        <x:f>IF(ISNUMBER(X2122),ROUNDUP(X2122,0),"")</x:f>
        <x:v>40</x:v>
      </x:c>
      <x:c r="Z2122" t="str">
        <x:v>Source match pending</x:v>
      </x:c>
      <x:c r="AA2122" t="str">
        <x:v>screencapture-www-activesportstrade-co-uk-olimp-trade-2026-09-10-09_05_33.pdf / page-11</x:v>
      </x:c>
      <x:c r="AB2122" s="36" t="n">
        <x:f>IF(ISNUMBER(Y2122),ROUND(Y2122*0.9,2),"")</x:f>
        <x:v>36</x:v>
      </x:c>
      <x:c r="AC2122" s="36" t="n">
        <x:f>IF(ISNUMBER(AB2122),ROUND(AB2122-(AB2122*0.015+0.2)-V2122,2),"")</x:f>
        <x:v>7.67</x:v>
      </x:c>
      <x:c r="AD2122" s="36" t="n">
        <x:f>IF(ISNUMBER(Y2122),ROUND(Y2122*0.8,2),"")</x:f>
        <x:v>32</x:v>
      </x:c>
      <x:c r="AE2122" s="36" t="n">
        <x:f>IF(ISNUMBER(AD2122),ROUND(AD2122*0.015+0.2,2),"")</x:f>
        <x:v>0.68</x:v>
      </x:c>
      <x:c r="AF2122" s="36" t="n">
        <x:f>IF(ISNUMBER(AD2122),ROUND(AD2122-AE2122-V2122,2),"")</x:f>
        <x:v>3.73</x:v>
      </x:c>
      <x:c r="AG2122" t="str">
        <x:f>IF(NOT(ISNUMBER(T2122)),"PENDING",IF(AF2122&gt;0,"PASS","FAIL"))</x:f>
        <x:v>PASS</x:v>
      </x:c>
      <x:c r="AH2122" t="str">
        <x:f>IF(NOT(ISNUMBER(T2122)),"Needs supplier cost",IF(K2122&lt;&gt;"In stock","Supplier unavailable",IF(AG2122&lt;&gt;"PASS","BLOCK - GT loss risk","Commercially protected")))</x:f>
        <x:v>Commercially protected</x:v>
      </x:c>
      <x:c r="AI2122" t="str">
        <x:v>2026-09-10 Active Sports trade capture</x:v>
      </x:c>
      <x:c r="AJ2122" t="str">
        <x:v>Management-only economics. Stripe stress test uses 1.5% + £0.20 standard UK online-card fee; pallet/mix-and-match pricing ignored.</x:v>
      </x:c>
    </x:row>
    <x:row r="2123">
      <x:c r="A2123" t="str">
        <x:v>Active Sports Nutrition</x:v>
      </x:c>
      <x:c r="B2123" t="str">
        <x:v>Olimp</x:v>
      </x:c>
      <x:c r="C2123" t="str">
        <x:v>Redweiler / R-Weiler Pre Workout</x:v>
      </x:c>
      <x:c r="D2123" t="str">
        <x:v>Pre Workouts</x:v>
      </x:c>
      <x:c r="E2123" t="str">
        <x:v>High Stim</x:v>
      </x:c>
      <x:c r="F2123" t="str"/>
      <x:c r="G2123" t="str">
        <x:v>480g / 80 servings</x:v>
      </x:c>
      <x:c r="H2123" t="str">
        <x:v>Cola</x:v>
      </x:c>
      <x:c r="I2123" t="str"/>
      <x:c r="J2123" t="str">
        <x:v>Unit</x:v>
      </x:c>
      <x:c r="K2123" t="str">
        <x:v>In stock</x:v>
      </x:c>
      <x:c r="L2123" t="str">
        <x:v>2026-09-08</x:v>
      </x:c>
      <x:c r="M2123" t="str"/>
      <x:c r="N2123" t="str"/>
      <x:c r="O2123" t="str">
        <x:v>https://www.activesportstrade.co.uk/olimp-trade</x:v>
      </x:c>
      <x:c r="P2123" t="str"/>
      <x:c r="Q2123" t="str"/>
      <x:c r="R2123" t="str"/>
      <x:c r="S2123" t="str">
        <x:v>Pending genuine supplier/brand image</x:v>
      </x:c>
      <x:c r="T2123" s="54" t="n">
        <x:v>22.99</x:v>
      </x:c>
      <x:c r="U2123" s="47" t="n">
        <x:v>0.2</x:v>
      </x:c>
      <x:c r="V2123" s="54" t="n">
        <x:f>IF(ISNUMBER(T2123),T2123*(1+U2123),"")</x:f>
        <x:v>27.587999999999997</x:v>
      </x:c>
      <x:c r="W2123" s="47" t="n">
        <x:v>0.3</x:v>
      </x:c>
      <x:c r="X2123" s="54" t="n">
        <x:f>IF(ISNUMBER(V2123),V2123/(1-W2123),"")</x:f>
        <x:v>39.41142857142857</x:v>
      </x:c>
      <x:c r="Y2123" s="55" t="n">
        <x:f>IF(ISNUMBER(X2123),ROUNDUP(X2123,0),"")</x:f>
        <x:v>40</x:v>
      </x:c>
      <x:c r="Z2123" t="str">
        <x:v>Source match pending</x:v>
      </x:c>
      <x:c r="AA2123" t="str">
        <x:v>screencapture-www-activesportstrade-co-uk-olimp-trade-2026-09-10-09_05_33.pdf / page-11</x:v>
      </x:c>
      <x:c r="AB2123" s="36" t="n">
        <x:f>IF(ISNUMBER(Y2123),ROUND(Y2123*0.9,2),"")</x:f>
        <x:v>36</x:v>
      </x:c>
      <x:c r="AC2123" s="36" t="n">
        <x:f>IF(ISNUMBER(AB2123),ROUND(AB2123-(AB2123*0.015+0.2)-V2123,2),"")</x:f>
        <x:v>7.67</x:v>
      </x:c>
      <x:c r="AD2123" s="36" t="n">
        <x:f>IF(ISNUMBER(Y2123),ROUND(Y2123*0.8,2),"")</x:f>
        <x:v>32</x:v>
      </x:c>
      <x:c r="AE2123" s="36" t="n">
        <x:f>IF(ISNUMBER(AD2123),ROUND(AD2123*0.015+0.2,2),"")</x:f>
        <x:v>0.68</x:v>
      </x:c>
      <x:c r="AF2123" s="36" t="n">
        <x:f>IF(ISNUMBER(AD2123),ROUND(AD2123-AE2123-V2123,2),"")</x:f>
        <x:v>3.73</x:v>
      </x:c>
      <x:c r="AG2123" t="str">
        <x:f>IF(NOT(ISNUMBER(T2123)),"PENDING",IF(AF2123&gt;0,"PASS","FAIL"))</x:f>
        <x:v>PASS</x:v>
      </x:c>
      <x:c r="AH2123" t="str">
        <x:f>IF(NOT(ISNUMBER(T2123)),"Needs supplier cost",IF(K2123&lt;&gt;"In stock","Supplier unavailable",IF(AG2123&lt;&gt;"PASS","BLOCK - GT loss risk","Commercially protected")))</x:f>
        <x:v>Commercially protected</x:v>
      </x:c>
      <x:c r="AI2123" t="str">
        <x:v>2026-09-10 Active Sports trade capture</x:v>
      </x:c>
      <x:c r="AJ2123" t="str">
        <x:v>Management-only economics. Stripe stress test uses 1.5% + £0.20 standard UK online-card fee; pallet/mix-and-match pricing ignored.</x:v>
      </x:c>
    </x:row>
    <x:row r="2124">
      <x:c r="A2124" t="str">
        <x:v>Active Sports Nutrition</x:v>
      </x:c>
      <x:c r="B2124" t="str">
        <x:v>Olimp</x:v>
      </x:c>
      <x:c r="C2124" t="str">
        <x:v>Redweiler / R-Weiler Pre Workout</x:v>
      </x:c>
      <x:c r="D2124" t="str">
        <x:v>Pre Workouts</x:v>
      </x:c>
      <x:c r="E2124" t="str">
        <x:v>High Stim</x:v>
      </x:c>
      <x:c r="F2124" t="str"/>
      <x:c r="G2124" t="str">
        <x:v>480g / 80 servings</x:v>
      </x:c>
      <x:c r="H2124" t="str">
        <x:v>Lime Crime Mint</x:v>
      </x:c>
      <x:c r="I2124" t="str"/>
      <x:c r="J2124" t="str">
        <x:v>Unit</x:v>
      </x:c>
      <x:c r="K2124" t="str">
        <x:v>Out of stock</x:v>
      </x:c>
      <x:c r="L2124" t="str">
        <x:v>2026-09-08</x:v>
      </x:c>
      <x:c r="M2124" t="str"/>
      <x:c r="N2124" t="str"/>
      <x:c r="O2124" t="str">
        <x:v>https://www.activesportstrade.co.uk/olimp-trade</x:v>
      </x:c>
      <x:c r="P2124" t="str"/>
      <x:c r="Q2124" t="str"/>
      <x:c r="R2124" t="str"/>
      <x:c r="S2124" t="str">
        <x:v>Pending genuine supplier/brand image</x:v>
      </x:c>
      <x:c r="T2124" s="54" t="n">
        <x:v>22.99</x:v>
      </x:c>
      <x:c r="U2124" s="47" t="n">
        <x:v>0.2</x:v>
      </x:c>
      <x:c r="V2124" s="54" t="n">
        <x:f>IF(ISNUMBER(T2124),T2124*(1+U2124),"")</x:f>
        <x:v>27.587999999999997</x:v>
      </x:c>
      <x:c r="W2124" s="47" t="n">
        <x:v>0.3</x:v>
      </x:c>
      <x:c r="X2124" s="54" t="n">
        <x:f>IF(ISNUMBER(V2124),V2124/(1-W2124),"")</x:f>
        <x:v>39.41142857142857</x:v>
      </x:c>
      <x:c r="Y2124" s="55" t="n">
        <x:f>IF(ISNUMBER(X2124),ROUNDUP(X2124,0),"")</x:f>
        <x:v>40</x:v>
      </x:c>
      <x:c r="Z2124" t="str">
        <x:v>Source match pending</x:v>
      </x:c>
      <x:c r="AA2124" t="str">
        <x:v>screencapture-www-activesportstrade-co-uk-olimp-trade-2026-09-10-09_05_33.pdf / page-11</x:v>
      </x:c>
      <x:c r="AB2124" s="36" t="n">
        <x:f>IF(ISNUMBER(Y2124),ROUND(Y2124*0.9,2),"")</x:f>
        <x:v>36</x:v>
      </x:c>
      <x:c r="AC2124" s="36" t="n">
        <x:f>IF(ISNUMBER(AB2124),ROUND(AB2124-(AB2124*0.015+0.2)-V2124,2),"")</x:f>
        <x:v>7.67</x:v>
      </x:c>
      <x:c r="AD2124" s="36" t="n">
        <x:f>IF(ISNUMBER(Y2124),ROUND(Y2124*0.8,2),"")</x:f>
        <x:v>32</x:v>
      </x:c>
      <x:c r="AE2124" s="36" t="n">
        <x:f>IF(ISNUMBER(AD2124),ROUND(AD2124*0.015+0.2,2),"")</x:f>
        <x:v>0.68</x:v>
      </x:c>
      <x:c r="AF2124" s="36" t="n">
        <x:f>IF(ISNUMBER(AD2124),ROUND(AD2124-AE2124-V2124,2),"")</x:f>
        <x:v>3.73</x:v>
      </x:c>
      <x:c r="AG2124" t="str">
        <x:f>IF(NOT(ISNUMBER(T2124)),"PENDING",IF(AF2124&gt;0,"PASS","FAIL"))</x:f>
        <x:v>PASS</x:v>
      </x:c>
      <x:c r="AH2124" t="str">
        <x:f>IF(NOT(ISNUMBER(T2124)),"Needs supplier cost",IF(K2124&lt;&gt;"In stock","Supplier unavailable",IF(AG2124&lt;&gt;"PASS","BLOCK - GT loss risk","Commercially protected")))</x:f>
        <x:v>Supplier unavailable</x:v>
      </x:c>
      <x:c r="AI2124" t="str">
        <x:v>2026-09-10 Active Sports trade capture</x:v>
      </x:c>
      <x:c r="AJ2124" t="str">
        <x:v>Management-only economics. Stripe stress test uses 1.5% + £0.20 standard UK online-card fee; pallet/mix-and-match pricing ignored.</x:v>
      </x:c>
    </x:row>
    <x:row r="2125">
      <x:c r="A2125" t="str">
        <x:v>Active Sports Nutrition</x:v>
      </x:c>
      <x:c r="B2125" t="str">
        <x:v>Olimp</x:v>
      </x:c>
      <x:c r="C2125" t="str">
        <x:v>R-Weiler Shots</x:v>
      </x:c>
      <x:c r="D2125" t="str">
        <x:v>Pre Workouts</x:v>
      </x:c>
      <x:c r="E2125" t="str">
        <x:v>Shots and Ready To Drink</x:v>
      </x:c>
      <x:c r="F2125" t="str"/>
      <x:c r="G2125" t="str">
        <x:v>9 x 60ml shots</x:v>
      </x:c>
      <x:c r="H2125" t="str">
        <x:v>Cola</x:v>
      </x:c>
      <x:c r="I2125" t="str">
        <x:v>9</x:v>
      </x:c>
      <x:c r="J2125" t="str">
        <x:v>Case</x:v>
      </x:c>
      <x:c r="K2125" t="str">
        <x:v>In stock</x:v>
      </x:c>
      <x:c r="L2125" t="str">
        <x:v>2026-09-08</x:v>
      </x:c>
      <x:c r="M2125" t="str"/>
      <x:c r="N2125" t="str"/>
      <x:c r="O2125" t="str">
        <x:v>https://www.activesportstrade.co.uk/olimp-trade</x:v>
      </x:c>
      <x:c r="P2125" t="str">
        <x:v>PALLET PROMO pricing/minimum-order boilerplate excluded; case-only.</x:v>
      </x:c>
      <x:c r="Q2125" t="str"/>
      <x:c r="R2125" t="str"/>
      <x:c r="S2125" t="str">
        <x:v>Pending genuine supplier/brand image</x:v>
      </x:c>
      <x:c r="T2125" s="54"/>
      <x:c r="U2125" s="47" t="n">
        <x:v>0.2</x:v>
      </x:c>
      <x:c r="V2125" s="54" t="str">
        <x:f>IF(ISNUMBER(T2125),T2125*(1+U2125),"")</x:f>
      </x:c>
      <x:c r="W2125" s="47" t="n">
        <x:v>0.3</x:v>
      </x:c>
      <x:c r="X2125" s="54" t="str">
        <x:f>IF(ISNUMBER(V2125),V2125/(1-W2125),"")</x:f>
      </x:c>
      <x:c r="Y2125" s="55" t="str">
        <x:f>IF(ISNUMBER(X2125),ROUNDUP(X2125,0),"")</x:f>
      </x:c>
      <x:c r="Z2125" t="str">
        <x:f>IF(ISNUMBER(T2125),"Cost captured","Awaiting trade cost")</x:f>
        <x:v>Awaiting trade cost</x:v>
      </x:c>
      <x:c r="AB2125" s="36" t="str">
        <x:f>IF(ISNUMBER(Y2125),ROUND(Y2125*0.9,2),"")</x:f>
      </x:c>
      <x:c r="AC2125" s="36" t="str">
        <x:f>IF(ISNUMBER(AB2125),ROUND(AB2125-(AB2125*0.015+0.2)-V2125,2),"")</x:f>
      </x:c>
      <x:c r="AD2125" s="36" t="str">
        <x:f>IF(ISNUMBER(Y2125),ROUND(Y2125*0.8,2),"")</x:f>
      </x:c>
      <x:c r="AE2125" s="36" t="str">
        <x:f>IF(ISNUMBER(AD2125),ROUND(AD2125*0.015+0.2,2),"")</x:f>
      </x:c>
      <x:c r="AF2125" s="36" t="str">
        <x:f>IF(ISNUMBER(AD2125),ROUND(AD2125-AE2125-V2125,2),"")</x:f>
      </x:c>
      <x:c r="AG2125" t="str">
        <x:f>IF(NOT(ISNUMBER(T2125)),"PENDING",IF(AF2125&gt;0,"PASS","FAIL"))</x:f>
        <x:v>PENDING</x:v>
      </x:c>
      <x:c r="AH2125" t="str">
        <x:f>IF(NOT(ISNUMBER(T2125)),"Needs supplier cost",IF(K2125&lt;&gt;"In stock","Supplier unavailable",IF(AG2125&lt;&gt;"PASS","BLOCK - GT loss risk","Commercially protected")))</x:f>
        <x:v>Needs supplier cost</x:v>
      </x:c>
      <x:c r="AI2125" t="str">
        <x:v>2026-09-10 Active Sports trade capture</x:v>
      </x:c>
      <x:c r="AJ2125" t="str">
        <x:v>Management-only economics. Stripe stress test uses 1.5% + £0.20 standard UK online-card fee; pallet/mix-and-match pricing ignored.</x:v>
      </x:c>
    </x:row>
    <x:row r="2126">
      <x:c r="A2126" t="str">
        <x:v>Active Sports Nutrition</x:v>
      </x:c>
      <x:c r="B2126" t="str">
        <x:v>Olimp</x:v>
      </x:c>
      <x:c r="C2126" t="str">
        <x:v>R-Weiler Shots</x:v>
      </x:c>
      <x:c r="D2126" t="str">
        <x:v>Pre Workouts</x:v>
      </x:c>
      <x:c r="E2126" t="str">
        <x:v>Shots and Ready To Drink</x:v>
      </x:c>
      <x:c r="F2126" t="str"/>
      <x:c r="G2126" t="str">
        <x:v>9 x 60ml shots</x:v>
      </x:c>
      <x:c r="H2126" t="str">
        <x:v>Orange</x:v>
      </x:c>
      <x:c r="I2126" t="str">
        <x:v>9</x:v>
      </x:c>
      <x:c r="J2126" t="str">
        <x:v>Case</x:v>
      </x:c>
      <x:c r="K2126" t="str">
        <x:v>In stock</x:v>
      </x:c>
      <x:c r="L2126" t="str">
        <x:v>2026-09-08</x:v>
      </x:c>
      <x:c r="M2126" t="str"/>
      <x:c r="N2126" t="str"/>
      <x:c r="O2126" t="str">
        <x:v>https://www.activesportstrade.co.uk/olimp-trade</x:v>
      </x:c>
      <x:c r="P2126" t="str">
        <x:v>PALLET PROMO pricing/minimum-order boilerplate excluded; case-only.</x:v>
      </x:c>
      <x:c r="Q2126" t="str"/>
      <x:c r="R2126" t="str"/>
      <x:c r="S2126" t="str">
        <x:v>Pending genuine supplier/brand image</x:v>
      </x:c>
      <x:c r="T2126" s="54"/>
      <x:c r="U2126" s="47" t="n">
        <x:v>0.2</x:v>
      </x:c>
      <x:c r="V2126" s="54" t="str">
        <x:f>IF(ISNUMBER(T2126),T2126*(1+U2126),"")</x:f>
      </x:c>
      <x:c r="W2126" s="47" t="n">
        <x:v>0.3</x:v>
      </x:c>
      <x:c r="X2126" s="54" t="str">
        <x:f>IF(ISNUMBER(V2126),V2126/(1-W2126),"")</x:f>
      </x:c>
      <x:c r="Y2126" s="55" t="str">
        <x:f>IF(ISNUMBER(X2126),ROUNDUP(X2126,0),"")</x:f>
      </x:c>
      <x:c r="Z2126" t="str">
        <x:f>IF(ISNUMBER(T2126),"Cost captured","Awaiting trade cost")</x:f>
        <x:v>Awaiting trade cost</x:v>
      </x:c>
      <x:c r="AB2126" s="36" t="str">
        <x:f>IF(ISNUMBER(Y2126),ROUND(Y2126*0.9,2),"")</x:f>
      </x:c>
      <x:c r="AC2126" s="36" t="str">
        <x:f>IF(ISNUMBER(AB2126),ROUND(AB2126-(AB2126*0.015+0.2)-V2126,2),"")</x:f>
      </x:c>
      <x:c r="AD2126" s="36" t="str">
        <x:f>IF(ISNUMBER(Y2126),ROUND(Y2126*0.8,2),"")</x:f>
      </x:c>
      <x:c r="AE2126" s="36" t="str">
        <x:f>IF(ISNUMBER(AD2126),ROUND(AD2126*0.015+0.2,2),"")</x:f>
      </x:c>
      <x:c r="AF2126" s="36" t="str">
        <x:f>IF(ISNUMBER(AD2126),ROUND(AD2126-AE2126-V2126,2),"")</x:f>
      </x:c>
      <x:c r="AG2126" t="str">
        <x:f>IF(NOT(ISNUMBER(T2126)),"PENDING",IF(AF2126&gt;0,"PASS","FAIL"))</x:f>
        <x:v>PENDING</x:v>
      </x:c>
      <x:c r="AH2126" t="str">
        <x:f>IF(NOT(ISNUMBER(T2126)),"Needs supplier cost",IF(K2126&lt;&gt;"In stock","Supplier unavailable",IF(AG2126&lt;&gt;"PASS","BLOCK - GT loss risk","Commercially protected")))</x:f>
        <x:v>Needs supplier cost</x:v>
      </x:c>
      <x:c r="AI2126" t="str">
        <x:v>2026-09-10 Active Sports trade capture</x:v>
      </x:c>
      <x:c r="AJ2126" t="str">
        <x:v>Management-only economics. Stripe stress test uses 1.5% + £0.20 standard UK online-card fee; pallet/mix-and-match pricing ignored.</x:v>
      </x:c>
    </x:row>
    <x:row r="2127">
      <x:c r="A2127" t="str">
        <x:v>Active Sports Nutrition</x:v>
      </x:c>
      <x:c r="B2127" t="str">
        <x:v>Olimp</x:v>
      </x:c>
      <x:c r="C2127" t="str">
        <x:v>T-100 Hardcore</x:v>
      </x:c>
      <x:c r="D2127" t="str">
        <x:v>Supplements</x:v>
      </x:c>
      <x:c r="E2127" t="str">
        <x:v>Testosterone Support</x:v>
      </x:c>
      <x:c r="F2127" t="str"/>
      <x:c r="G2127" t="str">
        <x:v>120 caps</x:v>
      </x:c>
      <x:c r="H2127" t="str">
        <x:v>Default</x:v>
      </x:c>
      <x:c r="I2127" t="str"/>
      <x:c r="J2127" t="str">
        <x:v>Unit</x:v>
      </x:c>
      <x:c r="K2127" t="str">
        <x:v>In stock</x:v>
      </x:c>
      <x:c r="L2127" t="str">
        <x:v>2026-09-08</x:v>
      </x:c>
      <x:c r="M2127" t="str"/>
      <x:c r="N2127" t="str"/>
      <x:c r="O2127" t="str">
        <x:v>https://www.activesportstrade.co.uk/olimp-trade</x:v>
      </x:c>
      <x:c r="P2127" t="str">
        <x:v>Supplier identifies this as Blue Box; retained as canonical product distinction.</x:v>
      </x:c>
      <x:c r="Q2127" t="str"/>
      <x:c r="R2127" t="str"/>
      <x:c r="S2127" t="str">
        <x:v>Pending genuine supplier/brand image</x:v>
      </x:c>
      <x:c r="T2127" s="54" t="n">
        <x:v>17.99</x:v>
      </x:c>
      <x:c r="U2127" s="47" t="n">
        <x:v>0.2</x:v>
      </x:c>
      <x:c r="V2127" s="54" t="n">
        <x:f>IF(ISNUMBER(T2127),T2127*(1+U2127),"")</x:f>
        <x:v>21.587999999999997</x:v>
      </x:c>
      <x:c r="W2127" s="47" t="n">
        <x:v>0.3</x:v>
      </x:c>
      <x:c r="X2127" s="54" t="n">
        <x:f>IF(ISNUMBER(V2127),V2127/(1-W2127),"")</x:f>
        <x:v>30.84</x:v>
      </x:c>
      <x:c r="Y2127" s="55" t="n">
        <x:f>IF(ISNUMBER(X2127),ROUNDUP(X2127,0),"")</x:f>
        <x:v>31</x:v>
      </x:c>
      <x:c r="Z2127" t="str">
        <x:v>Source match pending</x:v>
      </x:c>
      <x:c r="AA2127" t="str">
        <x:v>screencapture-www-activesportstrade-co-uk-olimp-trade-2026-09-10-09_05_33.pdf / page-12</x:v>
      </x:c>
      <x:c r="AB2127" s="36" t="n">
        <x:f>IF(ISNUMBER(Y2127),ROUND(Y2127*0.9,2),"")</x:f>
        <x:v>27.9</x:v>
      </x:c>
      <x:c r="AC2127" s="36" t="n">
        <x:f>IF(ISNUMBER(AB2127),ROUND(AB2127-(AB2127*0.015+0.2)-V2127,2),"")</x:f>
        <x:v>5.69</x:v>
      </x:c>
      <x:c r="AD2127" s="36" t="n">
        <x:f>IF(ISNUMBER(Y2127),ROUND(Y2127*0.8,2),"")</x:f>
        <x:v>24.8</x:v>
      </x:c>
      <x:c r="AE2127" s="36" t="n">
        <x:f>IF(ISNUMBER(AD2127),ROUND(AD2127*0.015+0.2,2),"")</x:f>
        <x:v>0.57</x:v>
      </x:c>
      <x:c r="AF2127" s="36" t="n">
        <x:f>IF(ISNUMBER(AD2127),ROUND(AD2127-AE2127-V2127,2),"")</x:f>
        <x:v>2.64</x:v>
      </x:c>
      <x:c r="AG2127" t="str">
        <x:f>IF(NOT(ISNUMBER(T2127)),"PENDING",IF(AF2127&gt;0,"PASS","FAIL"))</x:f>
        <x:v>PASS</x:v>
      </x:c>
      <x:c r="AH2127" t="str">
        <x:f>IF(NOT(ISNUMBER(T2127)),"Needs supplier cost",IF(K2127&lt;&gt;"In stock","Supplier unavailable",IF(AG2127&lt;&gt;"PASS","BLOCK - GT loss risk","Commercially protected")))</x:f>
        <x:v>Commercially protected</x:v>
      </x:c>
      <x:c r="AI2127" t="str">
        <x:v>2026-09-10 Active Sports trade capture</x:v>
      </x:c>
      <x:c r="AJ2127" t="str">
        <x:v>Management-only economics. Stripe stress test uses 1.5% + £0.20 standard UK online-card fee; pallet/mix-and-match pricing ignored.</x:v>
      </x:c>
    </x:row>
    <x:row r="2128">
      <x:c r="A2128" t="str">
        <x:v>Active Sports Nutrition</x:v>
      </x:c>
      <x:c r="B2128" t="str">
        <x:v>Olimp</x:v>
      </x:c>
      <x:c r="C2128" t="str">
        <x:v>T-100</x:v>
      </x:c>
      <x:c r="D2128" t="str">
        <x:v>Supplements</x:v>
      </x:c>
      <x:c r="E2128" t="str">
        <x:v>Testosterone Support</x:v>
      </x:c>
      <x:c r="F2128" t="str"/>
      <x:c r="G2128" t="str">
        <x:v>120 caps</x:v>
      </x:c>
      <x:c r="H2128" t="str">
        <x:v>Default</x:v>
      </x:c>
      <x:c r="I2128" t="str"/>
      <x:c r="J2128" t="str">
        <x:v>Unit</x:v>
      </x:c>
      <x:c r="K2128" t="str">
        <x:v>Out of stock</x:v>
      </x:c>
      <x:c r="L2128" t="str">
        <x:v>2026-09-08</x:v>
      </x:c>
      <x:c r="M2128" t="str"/>
      <x:c r="N2128" t="str"/>
      <x:c r="O2128" t="str">
        <x:v>https://www.activesportstrade.co.uk/olimp-trade</x:v>
      </x:c>
      <x:c r="P2128" t="str">
        <x:v>Supplier identifies this as Pink Box; retained separately from T-100 Hardcore.</x:v>
      </x:c>
      <x:c r="Q2128" t="str"/>
      <x:c r="R2128" t="str"/>
      <x:c r="S2128" t="str">
        <x:v>Pending genuine supplier/brand image</x:v>
      </x:c>
      <x:c r="T2128" s="54" t="n">
        <x:v>16.99</x:v>
      </x:c>
      <x:c r="U2128" s="47" t="n">
        <x:v>0.2</x:v>
      </x:c>
      <x:c r="V2128" s="54" t="n">
        <x:f>IF(ISNUMBER(T2128),T2128*(1+U2128),"")</x:f>
        <x:v>20.387999999999998</x:v>
      </x:c>
      <x:c r="W2128" s="47" t="n">
        <x:v>0.3</x:v>
      </x:c>
      <x:c r="X2128" s="54" t="n">
        <x:f>IF(ISNUMBER(V2128),V2128/(1-W2128),"")</x:f>
        <x:v>29.125714285714285</x:v>
      </x:c>
      <x:c r="Y2128" s="55" t="n">
        <x:f>IF(ISNUMBER(X2128),ROUNDUP(X2128,0),"")</x:f>
        <x:v>30</x:v>
      </x:c>
      <x:c r="Z2128" t="str">
        <x:v>Source match pending</x:v>
      </x:c>
      <x:c r="AA2128" t="str">
        <x:v>screencapture-www-activesportstrade-co-uk-olimp-trade-2026-09-10-09_05_33.pdf / page-12</x:v>
      </x:c>
      <x:c r="AB2128" s="36" t="n">
        <x:f>IF(ISNUMBER(Y2128),ROUND(Y2128*0.9,2),"")</x:f>
        <x:v>27</x:v>
      </x:c>
      <x:c r="AC2128" s="36" t="n">
        <x:f>IF(ISNUMBER(AB2128),ROUND(AB2128-(AB2128*0.015+0.2)-V2128,2),"")</x:f>
        <x:v>6.01</x:v>
      </x:c>
      <x:c r="AD2128" s="36" t="n">
        <x:f>IF(ISNUMBER(Y2128),ROUND(Y2128*0.8,2),"")</x:f>
        <x:v>24</x:v>
      </x:c>
      <x:c r="AE2128" s="36" t="n">
        <x:f>IF(ISNUMBER(AD2128),ROUND(AD2128*0.015+0.2,2),"")</x:f>
        <x:v>0.56</x:v>
      </x:c>
      <x:c r="AF2128" s="36" t="n">
        <x:f>IF(ISNUMBER(AD2128),ROUND(AD2128-AE2128-V2128,2),"")</x:f>
        <x:v>3.05</x:v>
      </x:c>
      <x:c r="AG2128" t="str">
        <x:f>IF(NOT(ISNUMBER(T2128)),"PENDING",IF(AF2128&gt;0,"PASS","FAIL"))</x:f>
        <x:v>PASS</x:v>
      </x:c>
      <x:c r="AH2128" t="str">
        <x:f>IF(NOT(ISNUMBER(T2128)),"Needs supplier cost",IF(K2128&lt;&gt;"In stock","Supplier unavailable",IF(AG2128&lt;&gt;"PASS","BLOCK - GT loss risk","Commercially protected")))</x:f>
        <x:v>Supplier unavailable</x:v>
      </x:c>
      <x:c r="AI2128" t="str">
        <x:v>2026-09-10 Active Sports trade capture</x:v>
      </x:c>
      <x:c r="AJ2128" t="str">
        <x:v>Management-only economics. Stripe stress test uses 1.5% + £0.20 standard UK online-card fee; pallet/mix-and-match pricing ignored.</x:v>
      </x:c>
    </x:row>
    <x:row r="2129">
      <x:c r="A2129" t="str">
        <x:v>Active Sports Nutrition</x:v>
      </x:c>
      <x:c r="B2129" t="str">
        <x:v>Olimp</x:v>
      </x:c>
      <x:c r="C2129" t="str">
        <x:v>Taurine Mega Caps</x:v>
      </x:c>
      <x:c r="D2129" t="str">
        <x:v>Supplements</x:v>
      </x:c>
      <x:c r="E2129" t="str">
        <x:v>Amino Acids</x:v>
      </x:c>
      <x:c r="F2129" t="str"/>
      <x:c r="G2129" t="str">
        <x:v>120 caps</x:v>
      </x:c>
      <x:c r="H2129" t="str">
        <x:v>Default</x:v>
      </x:c>
      <x:c r="I2129" t="str"/>
      <x:c r="J2129" t="str">
        <x:v>Unit</x:v>
      </x:c>
      <x:c r="K2129" t="str">
        <x:v>In stock</x:v>
      </x:c>
      <x:c r="L2129" t="str">
        <x:v>2026-09-08</x:v>
      </x:c>
      <x:c r="M2129" t="str"/>
      <x:c r="N2129" t="str"/>
      <x:c r="O2129" t="str">
        <x:v>https://www.activesportstrade.co.uk/olimp-trade</x:v>
      </x:c>
      <x:c r="P2129" t="str"/>
      <x:c r="Q2129" t="str"/>
      <x:c r="R2129" t="str"/>
      <x:c r="S2129" t="str">
        <x:v>Pending genuine supplier/brand image</x:v>
      </x:c>
      <x:c r="T2129" s="54" t="n">
        <x:v>5.88</x:v>
      </x:c>
      <x:c r="U2129" s="47" t="n">
        <x:v>0.2</x:v>
      </x:c>
      <x:c r="V2129" s="54" t="n">
        <x:f>IF(ISNUMBER(T2129),T2129*(1+U2129),"")</x:f>
        <x:v>7.056</x:v>
      </x:c>
      <x:c r="W2129" s="47" t="n">
        <x:v>0.3</x:v>
      </x:c>
      <x:c r="X2129" s="54" t="n">
        <x:f>IF(ISNUMBER(V2129),V2129/(1-W2129),"")</x:f>
        <x:v>10.08</x:v>
      </x:c>
      <x:c r="Y2129" s="55" t="n">
        <x:f>IF(ISNUMBER(X2129),ROUNDUP(X2129,0),"")</x:f>
        <x:v>11</x:v>
      </x:c>
      <x:c r="Z2129" t="str">
        <x:v>Source match pending</x:v>
      </x:c>
      <x:c r="AA2129" t="str">
        <x:v>screencapture-www-activesportstrade-co-uk-olimp-trade-2026-09-10-09_05_33.pdf / page-12</x:v>
      </x:c>
      <x:c r="AB2129" s="36" t="n">
        <x:f>IF(ISNUMBER(Y2129),ROUND(Y2129*0.9,2),"")</x:f>
        <x:v>9.9</x:v>
      </x:c>
      <x:c r="AC2129" s="36" t="n">
        <x:f>IF(ISNUMBER(AB2129),ROUND(AB2129-(AB2129*0.015+0.2)-V2129,2),"")</x:f>
        <x:v>2.5</x:v>
      </x:c>
      <x:c r="AD2129" s="36" t="n">
        <x:f>IF(ISNUMBER(Y2129),ROUND(Y2129*0.8,2),"")</x:f>
        <x:v>8.8</x:v>
      </x:c>
      <x:c r="AE2129" s="36" t="n">
        <x:f>IF(ISNUMBER(AD2129),ROUND(AD2129*0.015+0.2,2),"")</x:f>
        <x:v>0.33</x:v>
      </x:c>
      <x:c r="AF2129" s="36" t="n">
        <x:f>IF(ISNUMBER(AD2129),ROUND(AD2129-AE2129-V2129,2),"")</x:f>
        <x:v>1.41</x:v>
      </x:c>
      <x:c r="AG2129" t="str">
        <x:f>IF(NOT(ISNUMBER(T2129)),"PENDING",IF(AF2129&gt;0,"PASS","FAIL"))</x:f>
        <x:v>PASS</x:v>
      </x:c>
      <x:c r="AH2129" t="str">
        <x:f>IF(NOT(ISNUMBER(T2129)),"Needs supplier cost",IF(K2129&lt;&gt;"In stock","Supplier unavailable",IF(AG2129&lt;&gt;"PASS","BLOCK - GT loss risk","Commercially protected")))</x:f>
        <x:v>Commercially protected</x:v>
      </x:c>
      <x:c r="AI2129" t="str">
        <x:v>2026-09-10 Active Sports trade capture</x:v>
      </x:c>
      <x:c r="AJ2129" t="str">
        <x:v>Management-only economics. Stripe stress test uses 1.5% + £0.20 standard UK online-card fee; pallet/mix-and-match pricing ignored.</x:v>
      </x:c>
    </x:row>
    <x:row r="2130">
      <x:c r="A2130" t="str">
        <x:v>Active Sports Nutrition</x:v>
      </x:c>
      <x:c r="B2130" t="str">
        <x:v>Olimp</x:v>
      </x:c>
      <x:c r="C2130" t="str">
        <x:v>TCM 1100 Tri Creatine Malate</x:v>
      </x:c>
      <x:c r="D2130" t="str">
        <x:v>Supplements</x:v>
      </x:c>
      <x:c r="E2130" t="str">
        <x:v>Creatine Capsules</x:v>
      </x:c>
      <x:c r="F2130" t="str"/>
      <x:c r="G2130" t="str">
        <x:v>120 Mega Caps</x:v>
      </x:c>
      <x:c r="H2130" t="str">
        <x:v>Default</x:v>
      </x:c>
      <x:c r="I2130" t="str"/>
      <x:c r="J2130" t="str">
        <x:v>Unit</x:v>
      </x:c>
      <x:c r="K2130" t="str">
        <x:v>Out of stock</x:v>
      </x:c>
      <x:c r="L2130" t="str">
        <x:v>2026-09-08</x:v>
      </x:c>
      <x:c r="M2130" t="str"/>
      <x:c r="N2130" t="str"/>
      <x:c r="O2130" t="str">
        <x:v>https://www.activesportstrade.co.uk/olimp-trade</x:v>
      </x:c>
      <x:c r="P2130" t="str"/>
      <x:c r="Q2130" t="str"/>
      <x:c r="R2130" t="str"/>
      <x:c r="S2130" t="str">
        <x:v>Pending genuine supplier/brand image</x:v>
      </x:c>
      <x:c r="T2130" s="54" t="n">
        <x:v>8.15</x:v>
      </x:c>
      <x:c r="U2130" s="47" t="n">
        <x:v>0.2</x:v>
      </x:c>
      <x:c r="V2130" s="54" t="n">
        <x:f>IF(ISNUMBER(T2130),T2130*(1+U2130),"")</x:f>
        <x:v>9.78</x:v>
      </x:c>
      <x:c r="W2130" s="47" t="n">
        <x:v>0.3</x:v>
      </x:c>
      <x:c r="X2130" s="54" t="n">
        <x:f>IF(ISNUMBER(V2130),V2130/(1-W2130),"")</x:f>
        <x:v>13.971428571428572</x:v>
      </x:c>
      <x:c r="Y2130" s="55" t="n">
        <x:f>IF(ISNUMBER(X2130),ROUNDUP(X2130,0),"")</x:f>
        <x:v>14</x:v>
      </x:c>
      <x:c r="Z2130" t="str">
        <x:v>Source match pending</x:v>
      </x:c>
      <x:c r="AA2130" t="str">
        <x:v>screencapture-www-activesportstrade-co-uk-olimp-trade-2026-09-10-09_05_33.pdf / page-13</x:v>
      </x:c>
      <x:c r="AB2130" s="36" t="n">
        <x:f>IF(ISNUMBER(Y2130),ROUND(Y2130*0.9,2),"")</x:f>
        <x:v>12.6</x:v>
      </x:c>
      <x:c r="AC2130" s="36" t="n">
        <x:f>IF(ISNUMBER(AB2130),ROUND(AB2130-(AB2130*0.015+0.2)-V2130,2),"")</x:f>
        <x:v>2.43</x:v>
      </x:c>
      <x:c r="AD2130" s="36" t="n">
        <x:f>IF(ISNUMBER(Y2130),ROUND(Y2130*0.8,2),"")</x:f>
        <x:v>11.2</x:v>
      </x:c>
      <x:c r="AE2130" s="36" t="n">
        <x:f>IF(ISNUMBER(AD2130),ROUND(AD2130*0.015+0.2,2),"")</x:f>
        <x:v>0.37</x:v>
      </x:c>
      <x:c r="AF2130" s="36" t="n">
        <x:f>IF(ISNUMBER(AD2130),ROUND(AD2130-AE2130-V2130,2),"")</x:f>
        <x:v>1.05</x:v>
      </x:c>
      <x:c r="AG2130" t="str">
        <x:f>IF(NOT(ISNUMBER(T2130)),"PENDING",IF(AF2130&gt;0,"PASS","FAIL"))</x:f>
        <x:v>PASS</x:v>
      </x:c>
      <x:c r="AH2130" t="str">
        <x:f>IF(NOT(ISNUMBER(T2130)),"Needs supplier cost",IF(K2130&lt;&gt;"In stock","Supplier unavailable",IF(AG2130&lt;&gt;"PASS","BLOCK - GT loss risk","Commercially protected")))</x:f>
        <x:v>Supplier unavailable</x:v>
      </x:c>
      <x:c r="AI2130" t="str">
        <x:v>2026-09-10 Active Sports trade capture</x:v>
      </x:c>
      <x:c r="AJ2130" t="str">
        <x:v>Management-only economics. Stripe stress test uses 1.5% + £0.20 standard UK online-card fee; pallet/mix-and-match pricing ignored.</x:v>
      </x:c>
    </x:row>
    <x:row r="2131">
      <x:c r="A2131" t="str">
        <x:v>Active Sports Nutrition</x:v>
      </x:c>
      <x:c r="B2131" t="str">
        <x:v>Olimp</x:v>
      </x:c>
      <x:c r="C2131" t="str">
        <x:v>Testoxeed</x:v>
      </x:c>
      <x:c r="D2131" t="str">
        <x:v>Supplements</x:v>
      </x:c>
      <x:c r="E2131" t="str">
        <x:v>Testosterone Support</x:v>
      </x:c>
      <x:c r="F2131" t="str"/>
      <x:c r="G2131" t="str">
        <x:v>120 caps</x:v>
      </x:c>
      <x:c r="H2131" t="str">
        <x:v>Default</x:v>
      </x:c>
      <x:c r="I2131" t="str"/>
      <x:c r="J2131" t="str">
        <x:v>Unit</x:v>
      </x:c>
      <x:c r="K2131" t="str">
        <x:v>In stock</x:v>
      </x:c>
      <x:c r="L2131" t="str">
        <x:v>2026-09-08</x:v>
      </x:c>
      <x:c r="M2131" t="str"/>
      <x:c r="N2131" t="str"/>
      <x:c r="O2131" t="str">
        <x:v>https://www.activesportstrade.co.uk/olimp-trade</x:v>
      </x:c>
      <x:c r="P2131" t="str"/>
      <x:c r="Q2131" t="str"/>
      <x:c r="R2131" t="str"/>
      <x:c r="S2131" t="str">
        <x:v>Pending genuine supplier/brand image</x:v>
      </x:c>
      <x:c r="T2131" s="54" t="n">
        <x:v>17.99</x:v>
      </x:c>
      <x:c r="U2131" s="47" t="n">
        <x:v>0.2</x:v>
      </x:c>
      <x:c r="V2131" s="54" t="n">
        <x:f>IF(ISNUMBER(T2131),T2131*(1+U2131),"")</x:f>
        <x:v>21.587999999999997</x:v>
      </x:c>
      <x:c r="W2131" s="47" t="n">
        <x:v>0.3</x:v>
      </x:c>
      <x:c r="X2131" s="54" t="n">
        <x:f>IF(ISNUMBER(V2131),V2131/(1-W2131),"")</x:f>
        <x:v>30.84</x:v>
      </x:c>
      <x:c r="Y2131" s="55" t="n">
        <x:f>IF(ISNUMBER(X2131),ROUNDUP(X2131,0),"")</x:f>
        <x:v>31</x:v>
      </x:c>
      <x:c r="Z2131" t="str">
        <x:v>Source match pending</x:v>
      </x:c>
      <x:c r="AA2131" t="str">
        <x:v>screencapture-www-activesportstrade-co-uk-olimp-trade-2026-09-10-09_05_33.pdf / page-13</x:v>
      </x:c>
      <x:c r="AB2131" s="36" t="n">
        <x:f>IF(ISNUMBER(Y2131),ROUND(Y2131*0.9,2),"")</x:f>
        <x:v>27.9</x:v>
      </x:c>
      <x:c r="AC2131" s="36" t="n">
        <x:f>IF(ISNUMBER(AB2131),ROUND(AB2131-(AB2131*0.015+0.2)-V2131,2),"")</x:f>
        <x:v>5.69</x:v>
      </x:c>
      <x:c r="AD2131" s="36" t="n">
        <x:f>IF(ISNUMBER(Y2131),ROUND(Y2131*0.8,2),"")</x:f>
        <x:v>24.8</x:v>
      </x:c>
      <x:c r="AE2131" s="36" t="n">
        <x:f>IF(ISNUMBER(AD2131),ROUND(AD2131*0.015+0.2,2),"")</x:f>
        <x:v>0.57</x:v>
      </x:c>
      <x:c r="AF2131" s="36" t="n">
        <x:f>IF(ISNUMBER(AD2131),ROUND(AD2131-AE2131-V2131,2),"")</x:f>
        <x:v>2.64</x:v>
      </x:c>
      <x:c r="AG2131" t="str">
        <x:f>IF(NOT(ISNUMBER(T2131)),"PENDING",IF(AF2131&gt;0,"PASS","FAIL"))</x:f>
        <x:v>PASS</x:v>
      </x:c>
      <x:c r="AH2131" t="str">
        <x:f>IF(NOT(ISNUMBER(T2131)),"Needs supplier cost",IF(K2131&lt;&gt;"In stock","Supplier unavailable",IF(AG2131&lt;&gt;"PASS","BLOCK - GT loss risk","Commercially protected")))</x:f>
        <x:v>Commercially protected</x:v>
      </x:c>
      <x:c r="AI2131" t="str">
        <x:v>2026-09-10 Active Sports trade capture</x:v>
      </x:c>
      <x:c r="AJ2131" t="str">
        <x:v>Management-only economics. Stripe stress test uses 1.5% + £0.20 standard UK online-card fee; pallet/mix-and-match pricing ignored.</x:v>
      </x:c>
    </x:row>
    <x:row r="2132">
      <x:c r="A2132" t="str">
        <x:v>Active Sports Nutrition</x:v>
      </x:c>
      <x:c r="B2132" t="str">
        <x:v>Olimp</x:v>
      </x:c>
      <x:c r="C2132" t="str">
        <x:v>AAKG Xplode Powder</x:v>
      </x:c>
      <x:c r="D2132" t="str">
        <x:v>Pre Workouts</x:v>
      </x:c>
      <x:c r="E2132" t="str">
        <x:v>Stim FREE</x:v>
      </x:c>
      <x:c r="F2132" t="str"/>
      <x:c r="G2132" t="str">
        <x:v>60 servings</x:v>
      </x:c>
      <x:c r="H2132" t="str">
        <x:v>Orange</x:v>
      </x:c>
      <x:c r="I2132" t="str"/>
      <x:c r="J2132" t="str">
        <x:v>Unit</x:v>
      </x:c>
      <x:c r="K2132" t="str">
        <x:v>In stock</x:v>
      </x:c>
      <x:c r="L2132" t="str">
        <x:v>2026-09-08</x:v>
      </x:c>
      <x:c r="M2132" t="str"/>
      <x:c r="N2132" t="str"/>
      <x:c r="O2132" t="str">
        <x:v>https://www.activesportstrade.co.uk/trade-sports-supplements/olimp-trade</x:v>
      </x:c>
      <x:c r="P2132" t="str"/>
      <x:c r="Q2132" t="str"/>
      <x:c r="R2132" t="str"/>
      <x:c r="S2132" t="str">
        <x:v>Pending genuine supplier/brand image</x:v>
      </x:c>
      <x:c r="T2132" s="54" t="n">
        <x:v>15.99</x:v>
      </x:c>
      <x:c r="U2132" s="47" t="n">
        <x:v>0.2</x:v>
      </x:c>
      <x:c r="V2132" s="54" t="n">
        <x:f>IF(ISNUMBER(T2132),T2132*(1+U2132),"")</x:f>
        <x:v>19.188</x:v>
      </x:c>
      <x:c r="W2132" s="47" t="n">
        <x:v>0.3</x:v>
      </x:c>
      <x:c r="X2132" s="54" t="n">
        <x:f>IF(ISNUMBER(V2132),V2132/(1-W2132),"")</x:f>
        <x:v>27.411428571428573</x:v>
      </x:c>
      <x:c r="Y2132" s="55" t="n">
        <x:f>IF(ISNUMBER(X2132),ROUNDUP(X2132,0),"")</x:f>
        <x:v>28</x:v>
      </x:c>
      <x:c r="Z2132" t="str">
        <x:v>Source match pending</x:v>
      </x:c>
      <x:c r="AA2132" t="str">
        <x:v>screencapture-www-activesportstrade-co-uk-olimp-trade-2026-09-10-09_05_33.pdf / page-01</x:v>
      </x:c>
      <x:c r="AB2132" s="36" t="n">
        <x:f>IF(ISNUMBER(Y2132),ROUND(Y2132*0.9,2),"")</x:f>
        <x:v>25.2</x:v>
      </x:c>
      <x:c r="AC2132" s="36" t="n">
        <x:f>IF(ISNUMBER(AB2132),ROUND(AB2132-(AB2132*0.015+0.2)-V2132,2),"")</x:f>
        <x:v>5.43</x:v>
      </x:c>
      <x:c r="AD2132" s="36" t="n">
        <x:f>IF(ISNUMBER(Y2132),ROUND(Y2132*0.8,2),"")</x:f>
        <x:v>22.4</x:v>
      </x:c>
      <x:c r="AE2132" s="36" t="n">
        <x:f>IF(ISNUMBER(AD2132),ROUND(AD2132*0.015+0.2,2),"")</x:f>
        <x:v>0.54</x:v>
      </x:c>
      <x:c r="AF2132" s="36" t="n">
        <x:f>IF(ISNUMBER(AD2132),ROUND(AD2132-AE2132-V2132,2),"")</x:f>
        <x:v>2.67</x:v>
      </x:c>
      <x:c r="AG2132" t="str">
        <x:f>IF(NOT(ISNUMBER(T2132)),"PENDING",IF(AF2132&gt;0,"PASS","FAIL"))</x:f>
        <x:v>PASS</x:v>
      </x:c>
      <x:c r="AH2132" t="str">
        <x:f>IF(NOT(ISNUMBER(T2132)),"Needs supplier cost",IF(K2132&lt;&gt;"In stock","Supplier unavailable",IF(AG2132&lt;&gt;"PASS","BLOCK - GT loss risk","Commercially protected")))</x:f>
        <x:v>Commercially protected</x:v>
      </x:c>
      <x:c r="AI2132" t="str">
        <x:v>2026-09-10 Active Sports trade capture</x:v>
      </x:c>
      <x:c r="AJ2132" t="str">
        <x:v>Management-only economics. Stripe stress test uses 1.5% + £0.20 standard UK online-card fee; pallet/mix-and-match pricing ignored.</x:v>
      </x:c>
    </x:row>
    <x:row r="2133">
      <x:c r="A2133" t="str">
        <x:v>Active Sports Nutrition</x:v>
      </x:c>
      <x:c r="B2133" t="str">
        <x:v>Olimp</x:v>
      </x:c>
      <x:c r="C2133" t="str">
        <x:v>Alkagen</x:v>
      </x:c>
      <x:c r="D2133" t="str">
        <x:v>Supplements</x:v>
      </x:c>
      <x:c r="E2133" t="str">
        <x:v>Recovery Support</x:v>
      </x:c>
      <x:c r="F2133" t="str"/>
      <x:c r="G2133" t="str">
        <x:v>120 caps</x:v>
      </x:c>
      <x:c r="H2133" t="str">
        <x:v>Default</x:v>
      </x:c>
      <x:c r="I2133" t="str"/>
      <x:c r="J2133" t="str">
        <x:v>Unit</x:v>
      </x:c>
      <x:c r="K2133" t="str">
        <x:v>In stock</x:v>
      </x:c>
      <x:c r="L2133" t="str">
        <x:v>2026-09-08</x:v>
      </x:c>
      <x:c r="M2133" t="str"/>
      <x:c r="N2133" t="str"/>
      <x:c r="O2133" t="str">
        <x:v>https://www.activesportstrade.co.uk/trade-sports-supplements/olimp-trade</x:v>
      </x:c>
      <x:c r="P2133" t="str"/>
      <x:c r="Q2133" t="str"/>
      <x:c r="R2133" t="str"/>
      <x:c r="S2133" t="str">
        <x:v>Pending genuine supplier/brand image</x:v>
      </x:c>
      <x:c r="T2133" s="54" t="n">
        <x:v>7.03</x:v>
      </x:c>
      <x:c r="U2133" s="47" t="n">
        <x:v>0.2</x:v>
      </x:c>
      <x:c r="V2133" s="54" t="n">
        <x:f>IF(ISNUMBER(T2133),T2133*(1+U2133),"")</x:f>
        <x:v>8.436</x:v>
      </x:c>
      <x:c r="W2133" s="47" t="n">
        <x:v>0.3</x:v>
      </x:c>
      <x:c r="X2133" s="54" t="n">
        <x:f>IF(ISNUMBER(V2133),V2133/(1-W2133),"")</x:f>
        <x:v>12.051428571428572</x:v>
      </x:c>
      <x:c r="Y2133" s="55" t="n">
        <x:f>IF(ISNUMBER(X2133),ROUNDUP(X2133,0),"")</x:f>
        <x:v>13</x:v>
      </x:c>
      <x:c r="Z2133" t="str">
        <x:v>Source match pending</x:v>
      </x:c>
      <x:c r="AA2133" t="str">
        <x:v>screencapture-www-activesportstrade-co-uk-olimp-trade-2026-09-10-09_05_33.pdf / page-01</x:v>
      </x:c>
      <x:c r="AB2133" s="36" t="n">
        <x:f>IF(ISNUMBER(Y2133),ROUND(Y2133*0.9,2),"")</x:f>
        <x:v>11.7</x:v>
      </x:c>
      <x:c r="AC2133" s="36" t="n">
        <x:f>IF(ISNUMBER(AB2133),ROUND(AB2133-(AB2133*0.015+0.2)-V2133,2),"")</x:f>
        <x:v>2.89</x:v>
      </x:c>
      <x:c r="AD2133" s="36" t="n">
        <x:f>IF(ISNUMBER(Y2133),ROUND(Y2133*0.8,2),"")</x:f>
        <x:v>10.4</x:v>
      </x:c>
      <x:c r="AE2133" s="36" t="n">
        <x:f>IF(ISNUMBER(AD2133),ROUND(AD2133*0.015+0.2,2),"")</x:f>
        <x:v>0.36</x:v>
      </x:c>
      <x:c r="AF2133" s="36" t="n">
        <x:f>IF(ISNUMBER(AD2133),ROUND(AD2133-AE2133-V2133,2),"")</x:f>
        <x:v>1.6</x:v>
      </x:c>
      <x:c r="AG2133" t="str">
        <x:f>IF(NOT(ISNUMBER(T2133)),"PENDING",IF(AF2133&gt;0,"PASS","FAIL"))</x:f>
        <x:v>PASS</x:v>
      </x:c>
      <x:c r="AH2133" t="str">
        <x:f>IF(NOT(ISNUMBER(T2133)),"Needs supplier cost",IF(K2133&lt;&gt;"In stock","Supplier unavailable",IF(AG2133&lt;&gt;"PASS","BLOCK - GT loss risk","Commercially protected")))</x:f>
        <x:v>Commercially protected</x:v>
      </x:c>
      <x:c r="AI2133" t="str">
        <x:v>2026-09-10 Active Sports trade capture</x:v>
      </x:c>
      <x:c r="AJ2133" t="str">
        <x:v>Management-only economics. Stripe stress test uses 1.5% + £0.20 standard UK online-card fee; pallet/mix-and-match pricing ignored.</x:v>
      </x:c>
    </x:row>
    <x:row r="2134">
      <x:c r="A2134" t="str">
        <x:v>Active Sports Nutrition</x:v>
      </x:c>
      <x:c r="B2134" t="str">
        <x:v>Olimp</x:v>
      </x:c>
      <x:c r="C2134" t="str">
        <x:v>Amino EAA Xplode</x:v>
      </x:c>
      <x:c r="D2134" t="str">
        <x:v>Supplements</x:v>
      </x:c>
      <x:c r="E2134" t="str">
        <x:v>Amino Acids</x:v>
      </x:c>
      <x:c r="F2134" t="str"/>
      <x:c r="G2134" t="str">
        <x:v>520g</x:v>
      </x:c>
      <x:c r="H2134" t="str">
        <x:v>Fruit Punch</x:v>
      </x:c>
      <x:c r="I2134" t="str"/>
      <x:c r="J2134" t="str">
        <x:v>Unit</x:v>
      </x:c>
      <x:c r="K2134" t="str">
        <x:v>In stock</x:v>
      </x:c>
      <x:c r="L2134" t="str">
        <x:v>2026-09-08</x:v>
      </x:c>
      <x:c r="M2134" t="str"/>
      <x:c r="N2134" t="str"/>
      <x:c r="O2134" t="str">
        <x:v>https://www.activesportstrade.co.uk/trade-sports-supplements/olimp-trade</x:v>
      </x:c>
      <x:c r="P2134" t="str"/>
      <x:c r="Q2134" t="str"/>
      <x:c r="R2134" t="str"/>
      <x:c r="S2134" t="str">
        <x:v>Pending genuine supplier/brand image</x:v>
      </x:c>
      <x:c r="T2134" s="54" t="n">
        <x:v>15.73</x:v>
      </x:c>
      <x:c r="U2134" s="47" t="n">
        <x:v>0.2</x:v>
      </x:c>
      <x:c r="V2134" s="54" t="n">
        <x:f>IF(ISNUMBER(T2134),T2134*(1+U2134),"")</x:f>
        <x:v>18.876</x:v>
      </x:c>
      <x:c r="W2134" s="47" t="n">
        <x:v>0.3</x:v>
      </x:c>
      <x:c r="X2134" s="54" t="n">
        <x:f>IF(ISNUMBER(V2134),V2134/(1-W2134),"")</x:f>
        <x:v>26.965714285714288</x:v>
      </x:c>
      <x:c r="Y2134" s="55" t="n">
        <x:f>IF(ISNUMBER(X2134),ROUNDUP(X2134,0),"")</x:f>
        <x:v>27</x:v>
      </x:c>
      <x:c r="Z2134" t="str">
        <x:v>Source match pending</x:v>
      </x:c>
      <x:c r="AA2134" t="str">
        <x:v>screencapture-www-activesportstrade-co-uk-olimp-trade-2026-09-10-09_05_33.pdf / page-01</x:v>
      </x:c>
      <x:c r="AB2134" s="36" t="n">
        <x:f>IF(ISNUMBER(Y2134),ROUND(Y2134*0.9,2),"")</x:f>
        <x:v>24.3</x:v>
      </x:c>
      <x:c r="AC2134" s="36" t="n">
        <x:f>IF(ISNUMBER(AB2134),ROUND(AB2134-(AB2134*0.015+0.2)-V2134,2),"")</x:f>
        <x:v>4.86</x:v>
      </x:c>
      <x:c r="AD2134" s="36" t="n">
        <x:f>IF(ISNUMBER(Y2134),ROUND(Y2134*0.8,2),"")</x:f>
        <x:v>21.6</x:v>
      </x:c>
      <x:c r="AE2134" s="36" t="n">
        <x:f>IF(ISNUMBER(AD2134),ROUND(AD2134*0.015+0.2,2),"")</x:f>
        <x:v>0.52</x:v>
      </x:c>
      <x:c r="AF2134" s="36" t="n">
        <x:f>IF(ISNUMBER(AD2134),ROUND(AD2134-AE2134-V2134,2),"")</x:f>
        <x:v>2.2</x:v>
      </x:c>
      <x:c r="AG2134" t="str">
        <x:f>IF(NOT(ISNUMBER(T2134)),"PENDING",IF(AF2134&gt;0,"PASS","FAIL"))</x:f>
        <x:v>PASS</x:v>
      </x:c>
      <x:c r="AH2134" t="str">
        <x:f>IF(NOT(ISNUMBER(T2134)),"Needs supplier cost",IF(K2134&lt;&gt;"In stock","Supplier unavailable",IF(AG2134&lt;&gt;"PASS","BLOCK - GT loss risk","Commercially protected")))</x:f>
        <x:v>Commercially protected</x:v>
      </x:c>
      <x:c r="AI2134" t="str">
        <x:v>2026-09-10 Active Sports trade capture</x:v>
      </x:c>
      <x:c r="AJ2134" t="str">
        <x:v>Management-only economics. Stripe stress test uses 1.5% + £0.20 standard UK online-card fee; pallet/mix-and-match pricing ignored.</x:v>
      </x:c>
    </x:row>
    <x:row r="2135">
      <x:c r="A2135" t="str">
        <x:v>Active Sports Nutrition</x:v>
      </x:c>
      <x:c r="B2135" t="str">
        <x:v>Olimp</x:v>
      </x:c>
      <x:c r="C2135" t="str">
        <x:v>Amino EAA Xplode</x:v>
      </x:c>
      <x:c r="D2135" t="str">
        <x:v>Supplements</x:v>
      </x:c>
      <x:c r="E2135" t="str">
        <x:v>Amino Acids</x:v>
      </x:c>
      <x:c r="F2135" t="str"/>
      <x:c r="G2135" t="str">
        <x:v>520g</x:v>
      </x:c>
      <x:c r="H2135" t="str">
        <x:v>Orange</x:v>
      </x:c>
      <x:c r="I2135" t="str"/>
      <x:c r="J2135" t="str">
        <x:v>Unit</x:v>
      </x:c>
      <x:c r="K2135" t="str">
        <x:v>In stock</x:v>
      </x:c>
      <x:c r="L2135" t="str">
        <x:v>2026-09-08</x:v>
      </x:c>
      <x:c r="M2135" t="str"/>
      <x:c r="N2135" t="str"/>
      <x:c r="O2135" t="str">
        <x:v>https://www.activesportstrade.co.uk/trade-sports-supplements/olimp-trade</x:v>
      </x:c>
      <x:c r="P2135" t="str"/>
      <x:c r="Q2135" t="str"/>
      <x:c r="R2135" t="str"/>
      <x:c r="S2135" t="str">
        <x:v>Pending genuine supplier/brand image</x:v>
      </x:c>
      <x:c r="T2135" s="54" t="n">
        <x:v>15.73</x:v>
      </x:c>
      <x:c r="U2135" s="47" t="n">
        <x:v>0.2</x:v>
      </x:c>
      <x:c r="V2135" s="54" t="n">
        <x:f>IF(ISNUMBER(T2135),T2135*(1+U2135),"")</x:f>
        <x:v>18.876</x:v>
      </x:c>
      <x:c r="W2135" s="47" t="n">
        <x:v>0.3</x:v>
      </x:c>
      <x:c r="X2135" s="54" t="n">
        <x:f>IF(ISNUMBER(V2135),V2135/(1-W2135),"")</x:f>
        <x:v>26.965714285714288</x:v>
      </x:c>
      <x:c r="Y2135" s="55" t="n">
        <x:f>IF(ISNUMBER(X2135),ROUNDUP(X2135,0),"")</x:f>
        <x:v>27</x:v>
      </x:c>
      <x:c r="Z2135" t="str">
        <x:v>Source match pending</x:v>
      </x:c>
      <x:c r="AA2135" t="str">
        <x:v>screencapture-www-activesportstrade-co-uk-olimp-trade-2026-09-10-09_05_33.pdf / page-01</x:v>
      </x:c>
      <x:c r="AB2135" s="36" t="n">
        <x:f>IF(ISNUMBER(Y2135),ROUND(Y2135*0.9,2),"")</x:f>
        <x:v>24.3</x:v>
      </x:c>
      <x:c r="AC2135" s="36" t="n">
        <x:f>IF(ISNUMBER(AB2135),ROUND(AB2135-(AB2135*0.015+0.2)-V2135,2),"")</x:f>
        <x:v>4.86</x:v>
      </x:c>
      <x:c r="AD2135" s="36" t="n">
        <x:f>IF(ISNUMBER(Y2135),ROUND(Y2135*0.8,2),"")</x:f>
        <x:v>21.6</x:v>
      </x:c>
      <x:c r="AE2135" s="36" t="n">
        <x:f>IF(ISNUMBER(AD2135),ROUND(AD2135*0.015+0.2,2),"")</x:f>
        <x:v>0.52</x:v>
      </x:c>
      <x:c r="AF2135" s="36" t="n">
        <x:f>IF(ISNUMBER(AD2135),ROUND(AD2135-AE2135-V2135,2),"")</x:f>
        <x:v>2.2</x:v>
      </x:c>
      <x:c r="AG2135" t="str">
        <x:f>IF(NOT(ISNUMBER(T2135)),"PENDING",IF(AF2135&gt;0,"PASS","FAIL"))</x:f>
        <x:v>PASS</x:v>
      </x:c>
      <x:c r="AH2135" t="str">
        <x:f>IF(NOT(ISNUMBER(T2135)),"Needs supplier cost",IF(K2135&lt;&gt;"In stock","Supplier unavailable",IF(AG2135&lt;&gt;"PASS","BLOCK - GT loss risk","Commercially protected")))</x:f>
        <x:v>Commercially protected</x:v>
      </x:c>
      <x:c r="AI2135" t="str">
        <x:v>2026-09-10 Active Sports trade capture</x:v>
      </x:c>
      <x:c r="AJ2135" t="str">
        <x:v>Management-only economics. Stripe stress test uses 1.5% + £0.20 standard UK online-card fee; pallet/mix-and-match pricing ignored.</x:v>
      </x:c>
    </x:row>
    <x:row r="2136">
      <x:c r="A2136" t="str">
        <x:v>Active Sports Nutrition</x:v>
      </x:c>
      <x:c r="B2136" t="str">
        <x:v>Olimp</x:v>
      </x:c>
      <x:c r="C2136" t="str">
        <x:v>Amino EAA Xplode</x:v>
      </x:c>
      <x:c r="D2136" t="str">
        <x:v>Supplements</x:v>
      </x:c>
      <x:c r="E2136" t="str">
        <x:v>Amino Acids</x:v>
      </x:c>
      <x:c r="F2136" t="str"/>
      <x:c r="G2136" t="str">
        <x:v>520g</x:v>
      </x:c>
      <x:c r="H2136" t="str">
        <x:v>Peach Ice Tea</x:v>
      </x:c>
      <x:c r="I2136" t="str"/>
      <x:c r="J2136" t="str">
        <x:v>Unit</x:v>
      </x:c>
      <x:c r="K2136" t="str">
        <x:v>In stock</x:v>
      </x:c>
      <x:c r="L2136" t="str">
        <x:v>2026-09-08</x:v>
      </x:c>
      <x:c r="M2136" t="str"/>
      <x:c r="N2136" t="str"/>
      <x:c r="O2136" t="str">
        <x:v>https://www.activesportstrade.co.uk/trade-sports-supplements/olimp-trade</x:v>
      </x:c>
      <x:c r="P2136" t="str"/>
      <x:c r="Q2136" t="str"/>
      <x:c r="R2136" t="str"/>
      <x:c r="S2136" t="str">
        <x:v>Pending genuine supplier/brand image</x:v>
      </x:c>
      <x:c r="T2136" s="54" t="n">
        <x:v>15.73</x:v>
      </x:c>
      <x:c r="U2136" s="47" t="n">
        <x:v>0.2</x:v>
      </x:c>
      <x:c r="V2136" s="54" t="n">
        <x:f>IF(ISNUMBER(T2136),T2136*(1+U2136),"")</x:f>
        <x:v>18.876</x:v>
      </x:c>
      <x:c r="W2136" s="47" t="n">
        <x:v>0.3</x:v>
      </x:c>
      <x:c r="X2136" s="54" t="n">
        <x:f>IF(ISNUMBER(V2136),V2136/(1-W2136),"")</x:f>
        <x:v>26.965714285714288</x:v>
      </x:c>
      <x:c r="Y2136" s="55" t="n">
        <x:f>IF(ISNUMBER(X2136),ROUNDUP(X2136,0),"")</x:f>
        <x:v>27</x:v>
      </x:c>
      <x:c r="Z2136" t="str">
        <x:v>Source match pending</x:v>
      </x:c>
      <x:c r="AA2136" t="str">
        <x:v>screencapture-www-activesportstrade-co-uk-olimp-trade-2026-09-10-09_05_33.pdf / page-01</x:v>
      </x:c>
      <x:c r="AB2136" s="36" t="n">
        <x:f>IF(ISNUMBER(Y2136),ROUND(Y2136*0.9,2),"")</x:f>
        <x:v>24.3</x:v>
      </x:c>
      <x:c r="AC2136" s="36" t="n">
        <x:f>IF(ISNUMBER(AB2136),ROUND(AB2136-(AB2136*0.015+0.2)-V2136,2),"")</x:f>
        <x:v>4.86</x:v>
      </x:c>
      <x:c r="AD2136" s="36" t="n">
        <x:f>IF(ISNUMBER(Y2136),ROUND(Y2136*0.8,2),"")</x:f>
        <x:v>21.6</x:v>
      </x:c>
      <x:c r="AE2136" s="36" t="n">
        <x:f>IF(ISNUMBER(AD2136),ROUND(AD2136*0.015+0.2,2),"")</x:f>
        <x:v>0.52</x:v>
      </x:c>
      <x:c r="AF2136" s="36" t="n">
        <x:f>IF(ISNUMBER(AD2136),ROUND(AD2136-AE2136-V2136,2),"")</x:f>
        <x:v>2.2</x:v>
      </x:c>
      <x:c r="AG2136" t="str">
        <x:f>IF(NOT(ISNUMBER(T2136)),"PENDING",IF(AF2136&gt;0,"PASS","FAIL"))</x:f>
        <x:v>PASS</x:v>
      </x:c>
      <x:c r="AH2136" t="str">
        <x:f>IF(NOT(ISNUMBER(T2136)),"Needs supplier cost",IF(K2136&lt;&gt;"In stock","Supplier unavailable",IF(AG2136&lt;&gt;"PASS","BLOCK - GT loss risk","Commercially protected")))</x:f>
        <x:v>Commercially protected</x:v>
      </x:c>
      <x:c r="AI2136" t="str">
        <x:v>2026-09-10 Active Sports trade capture</x:v>
      </x:c>
      <x:c r="AJ2136" t="str">
        <x:v>Management-only economics. Stripe stress test uses 1.5% + £0.20 standard UK online-card fee; pallet/mix-and-match pricing ignored.</x:v>
      </x:c>
    </x:row>
    <x:row r="2137">
      <x:c r="A2137" t="str">
        <x:v>Active Sports Nutrition</x:v>
      </x:c>
      <x:c r="B2137" t="str">
        <x:v>Olimp</x:v>
      </x:c>
      <x:c r="C2137" t="str">
        <x:v>Amino EAA Xplode</x:v>
      </x:c>
      <x:c r="D2137" t="str">
        <x:v>Supplements</x:v>
      </x:c>
      <x:c r="E2137" t="str">
        <x:v>Amino Acids</x:v>
      </x:c>
      <x:c r="F2137" t="str"/>
      <x:c r="G2137" t="str">
        <x:v>520g</x:v>
      </x:c>
      <x:c r="H2137" t="str">
        <x:v>Pineapple</x:v>
      </x:c>
      <x:c r="I2137" t="str"/>
      <x:c r="J2137" t="str">
        <x:v>Unit</x:v>
      </x:c>
      <x:c r="K2137" t="str">
        <x:v>In stock</x:v>
      </x:c>
      <x:c r="L2137" t="str">
        <x:v>2026-09-08</x:v>
      </x:c>
      <x:c r="M2137" t="str"/>
      <x:c r="N2137" t="str"/>
      <x:c r="O2137" t="str">
        <x:v>https://www.activesportstrade.co.uk/trade-sports-supplements/olimp-trade</x:v>
      </x:c>
      <x:c r="P2137" t="str"/>
      <x:c r="Q2137" t="str"/>
      <x:c r="R2137" t="str"/>
      <x:c r="S2137" t="str">
        <x:v>Pending genuine supplier/brand image</x:v>
      </x:c>
      <x:c r="T2137" s="54" t="n">
        <x:v>15.73</x:v>
      </x:c>
      <x:c r="U2137" s="47" t="n">
        <x:v>0.2</x:v>
      </x:c>
      <x:c r="V2137" s="54" t="n">
        <x:f>IF(ISNUMBER(T2137),T2137*(1+U2137),"")</x:f>
        <x:v>18.876</x:v>
      </x:c>
      <x:c r="W2137" s="47" t="n">
        <x:v>0.3</x:v>
      </x:c>
      <x:c r="X2137" s="54" t="n">
        <x:f>IF(ISNUMBER(V2137),V2137/(1-W2137),"")</x:f>
        <x:v>26.965714285714288</x:v>
      </x:c>
      <x:c r="Y2137" s="55" t="n">
        <x:f>IF(ISNUMBER(X2137),ROUNDUP(X2137,0),"")</x:f>
        <x:v>27</x:v>
      </x:c>
      <x:c r="Z2137" t="str">
        <x:v>Source match pending</x:v>
      </x:c>
      <x:c r="AA2137" t="str">
        <x:v>screencapture-www-activesportstrade-co-uk-olimp-trade-2026-09-10-09_05_33.pdf / page-01</x:v>
      </x:c>
      <x:c r="AB2137" s="36" t="n">
        <x:f>IF(ISNUMBER(Y2137),ROUND(Y2137*0.9,2),"")</x:f>
        <x:v>24.3</x:v>
      </x:c>
      <x:c r="AC2137" s="36" t="n">
        <x:f>IF(ISNUMBER(AB2137),ROUND(AB2137-(AB2137*0.015+0.2)-V2137,2),"")</x:f>
        <x:v>4.86</x:v>
      </x:c>
      <x:c r="AD2137" s="36" t="n">
        <x:f>IF(ISNUMBER(Y2137),ROUND(Y2137*0.8,2),"")</x:f>
        <x:v>21.6</x:v>
      </x:c>
      <x:c r="AE2137" s="36" t="n">
        <x:f>IF(ISNUMBER(AD2137),ROUND(AD2137*0.015+0.2,2),"")</x:f>
        <x:v>0.52</x:v>
      </x:c>
      <x:c r="AF2137" s="36" t="n">
        <x:f>IF(ISNUMBER(AD2137),ROUND(AD2137-AE2137-V2137,2),"")</x:f>
        <x:v>2.2</x:v>
      </x:c>
      <x:c r="AG2137" t="str">
        <x:f>IF(NOT(ISNUMBER(T2137)),"PENDING",IF(AF2137&gt;0,"PASS","FAIL"))</x:f>
        <x:v>PASS</x:v>
      </x:c>
      <x:c r="AH2137" t="str">
        <x:f>IF(NOT(ISNUMBER(T2137)),"Needs supplier cost",IF(K2137&lt;&gt;"In stock","Supplier unavailable",IF(AG2137&lt;&gt;"PASS","BLOCK - GT loss risk","Commercially protected")))</x:f>
        <x:v>Commercially protected</x:v>
      </x:c>
      <x:c r="AI2137" t="str">
        <x:v>2026-09-10 Active Sports trade capture</x:v>
      </x:c>
      <x:c r="AJ2137" t="str">
        <x:v>Management-only economics. Stripe stress test uses 1.5% + £0.20 standard UK online-card fee; pallet/mix-and-match pricing ignored.</x:v>
      </x:c>
    </x:row>
    <x:row r="2138">
      <x:c r="A2138" t="str">
        <x:v>Active Sports Nutrition</x:v>
      </x:c>
      <x:c r="B2138" t="str">
        <x:v>Olimp</x:v>
      </x:c>
      <x:c r="C2138" t="str">
        <x:v>Amino Target Xplode</x:v>
      </x:c>
      <x:c r="D2138" t="str">
        <x:v>Supplements</x:v>
      </x:c>
      <x:c r="E2138" t="str">
        <x:v>Amino Acids</x:v>
      </x:c>
      <x:c r="F2138" t="str"/>
      <x:c r="G2138" t="str">
        <x:v>275g</x:v>
      </x:c>
      <x:c r="H2138" t="str">
        <x:v>Lemon</x:v>
      </x:c>
      <x:c r="I2138" t="str"/>
      <x:c r="J2138" t="str">
        <x:v>Unit</x:v>
      </x:c>
      <x:c r="K2138" t="str">
        <x:v>In stock</x:v>
      </x:c>
      <x:c r="L2138" t="str">
        <x:v>2026-09-08</x:v>
      </x:c>
      <x:c r="M2138" t="str"/>
      <x:c r="N2138" t="str"/>
      <x:c r="O2138" t="str">
        <x:v>https://www.activesportstrade.co.uk/trade-sports-supplements/olimp-trade</x:v>
      </x:c>
      <x:c r="P2138" t="str"/>
      <x:c r="Q2138" t="str"/>
      <x:c r="R2138" t="str"/>
      <x:c r="S2138" t="str">
        <x:v>Pending genuine supplier/brand image</x:v>
      </x:c>
      <x:c r="T2138" s="54" t="n">
        <x:v>10.74</x:v>
      </x:c>
      <x:c r="U2138" s="47" t="n">
        <x:v>0.2</x:v>
      </x:c>
      <x:c r="V2138" s="54" t="n">
        <x:f>IF(ISNUMBER(T2138),T2138*(1+U2138),"")</x:f>
        <x:v>12.888</x:v>
      </x:c>
      <x:c r="W2138" s="47" t="n">
        <x:v>0.3</x:v>
      </x:c>
      <x:c r="X2138" s="54" t="n">
        <x:f>IF(ISNUMBER(V2138),V2138/(1-W2138),"")</x:f>
        <x:v>18.411428571428573</x:v>
      </x:c>
      <x:c r="Y2138" s="55" t="n">
        <x:f>IF(ISNUMBER(X2138),ROUNDUP(X2138,0),"")</x:f>
        <x:v>19</x:v>
      </x:c>
      <x:c r="Z2138" t="str">
        <x:v>Source match pending</x:v>
      </x:c>
      <x:c r="AA2138" t="str">
        <x:v>screencapture-www-activesportstrade-co-uk-olimp-trade-2026-09-10-09_05_33.pdf / page-01</x:v>
      </x:c>
      <x:c r="AB2138" s="36" t="n">
        <x:f>IF(ISNUMBER(Y2138),ROUND(Y2138*0.9,2),"")</x:f>
        <x:v>17.1</x:v>
      </x:c>
      <x:c r="AC2138" s="36" t="n">
        <x:f>IF(ISNUMBER(AB2138),ROUND(AB2138-(AB2138*0.015+0.2)-V2138,2),"")</x:f>
        <x:v>3.76</x:v>
      </x:c>
      <x:c r="AD2138" s="36" t="n">
        <x:f>IF(ISNUMBER(Y2138),ROUND(Y2138*0.8,2),"")</x:f>
        <x:v>15.2</x:v>
      </x:c>
      <x:c r="AE2138" s="36" t="n">
        <x:f>IF(ISNUMBER(AD2138),ROUND(AD2138*0.015+0.2,2),"")</x:f>
        <x:v>0.43</x:v>
      </x:c>
      <x:c r="AF2138" s="36" t="n">
        <x:f>IF(ISNUMBER(AD2138),ROUND(AD2138-AE2138-V2138,2),"")</x:f>
        <x:v>1.88</x:v>
      </x:c>
      <x:c r="AG2138" t="str">
        <x:f>IF(NOT(ISNUMBER(T2138)),"PENDING",IF(AF2138&gt;0,"PASS","FAIL"))</x:f>
        <x:v>PASS</x:v>
      </x:c>
      <x:c r="AH2138" t="str">
        <x:f>IF(NOT(ISNUMBER(T2138)),"Needs supplier cost",IF(K2138&lt;&gt;"In stock","Supplier unavailable",IF(AG2138&lt;&gt;"PASS","BLOCK - GT loss risk","Commercially protected")))</x:f>
        <x:v>Commercially protected</x:v>
      </x:c>
      <x:c r="AI2138" t="str">
        <x:v>2026-09-10 Active Sports trade capture</x:v>
      </x:c>
      <x:c r="AJ2138" t="str">
        <x:v>Management-only economics. Stripe stress test uses 1.5% + £0.20 standard UK online-card fee; pallet/mix-and-match pricing ignored.</x:v>
      </x:c>
    </x:row>
    <x:row r="2139">
      <x:c r="A2139" t="str">
        <x:v>Active Sports Nutrition</x:v>
      </x:c>
      <x:c r="B2139" t="str">
        <x:v>Olimp</x:v>
      </x:c>
      <x:c r="C2139" t="str">
        <x:v>BCAA Xplode</x:v>
      </x:c>
      <x:c r="D2139" t="str">
        <x:v>Supplements</x:v>
      </x:c>
      <x:c r="E2139" t="str">
        <x:v>BCAAs</x:v>
      </x:c>
      <x:c r="F2139" t="str"/>
      <x:c r="G2139" t="str">
        <x:v>280g / 28 servings</x:v>
      </x:c>
      <x:c r="H2139" t="str">
        <x:v>Cola</x:v>
      </x:c>
      <x:c r="I2139" t="str"/>
      <x:c r="J2139" t="str">
        <x:v>Unit</x:v>
      </x:c>
      <x:c r="K2139" t="str">
        <x:v>In stock</x:v>
      </x:c>
      <x:c r="L2139" t="str">
        <x:v>2026-09-08</x:v>
      </x:c>
      <x:c r="M2139" t="str"/>
      <x:c r="N2139" t="str"/>
      <x:c r="O2139" t="str">
        <x:v>https://www.activesportstrade.co.uk/trade-sports-supplements/olimp-trade</x:v>
      </x:c>
      <x:c r="P2139" t="str"/>
      <x:c r="Q2139" t="str"/>
      <x:c r="R2139" t="str"/>
      <x:c r="S2139" t="str">
        <x:v>Pending genuine supplier/brand image</x:v>
      </x:c>
      <x:c r="T2139" s="54" t="n">
        <x:v>10.5</x:v>
      </x:c>
      <x:c r="U2139" s="47" t="n">
        <x:v>0.2</x:v>
      </x:c>
      <x:c r="V2139" s="54" t="n">
        <x:f>IF(ISNUMBER(T2139),T2139*(1+U2139),"")</x:f>
        <x:v>12.6</x:v>
      </x:c>
      <x:c r="W2139" s="47" t="n">
        <x:v>0.3</x:v>
      </x:c>
      <x:c r="X2139" s="54" t="n">
        <x:f>IF(ISNUMBER(V2139),V2139/(1-W2139),"")</x:f>
        <x:v>18</x:v>
      </x:c>
      <x:c r="Y2139" s="55" t="n">
        <x:f>IF(ISNUMBER(X2139),ROUNDUP(X2139,0),"")</x:f>
        <x:v>18</x:v>
      </x:c>
      <x:c r="Z2139" t="str">
        <x:v>Source match pending</x:v>
      </x:c>
      <x:c r="AA2139" t="str">
        <x:v>screencapture-www-activesportstrade-co-uk-olimp-trade-2026-09-10-09_05_33.pdf / page-03</x:v>
      </x:c>
      <x:c r="AB2139" s="36" t="n">
        <x:f>IF(ISNUMBER(Y2139),ROUND(Y2139*0.9,2),"")</x:f>
        <x:v>16.2</x:v>
      </x:c>
      <x:c r="AC2139" s="36" t="n">
        <x:f>IF(ISNUMBER(AB2139),ROUND(AB2139-(AB2139*0.015+0.2)-V2139,2),"")</x:f>
        <x:v>3.16</x:v>
      </x:c>
      <x:c r="AD2139" s="36" t="n">
        <x:f>IF(ISNUMBER(Y2139),ROUND(Y2139*0.8,2),"")</x:f>
        <x:v>14.4</x:v>
      </x:c>
      <x:c r="AE2139" s="36" t="n">
        <x:f>IF(ISNUMBER(AD2139),ROUND(AD2139*0.015+0.2,2),"")</x:f>
        <x:v>0.42</x:v>
      </x:c>
      <x:c r="AF2139" s="36" t="n">
        <x:f>IF(ISNUMBER(AD2139),ROUND(AD2139-AE2139-V2139,2),"")</x:f>
        <x:v>1.38</x:v>
      </x:c>
      <x:c r="AG2139" t="str">
        <x:f>IF(NOT(ISNUMBER(T2139)),"PENDING",IF(AF2139&gt;0,"PASS","FAIL"))</x:f>
        <x:v>PASS</x:v>
      </x:c>
      <x:c r="AH2139" t="str">
        <x:f>IF(NOT(ISNUMBER(T2139)),"Needs supplier cost",IF(K2139&lt;&gt;"In stock","Supplier unavailable",IF(AG2139&lt;&gt;"PASS","BLOCK - GT loss risk","Commercially protected")))</x:f>
        <x:v>Commercially protected</x:v>
      </x:c>
      <x:c r="AI2139" t="str">
        <x:v>2026-09-10 Active Sports trade capture</x:v>
      </x:c>
      <x:c r="AJ2139" t="str">
        <x:v>Management-only economics. Stripe stress test uses 1.5% + £0.20 standard UK online-card fee; pallet/mix-and-match pricing ignored.</x:v>
      </x:c>
    </x:row>
    <x:row r="2140">
      <x:c r="A2140" t="str">
        <x:v>Active Sports Nutrition</x:v>
      </x:c>
      <x:c r="B2140" t="str">
        <x:v>Olimp</x:v>
      </x:c>
      <x:c r="C2140" t="str">
        <x:v>BCAA Xplode</x:v>
      </x:c>
      <x:c r="D2140" t="str">
        <x:v>Supplements</x:v>
      </x:c>
      <x:c r="E2140" t="str">
        <x:v>BCAAs</x:v>
      </x:c>
      <x:c r="F2140" t="str"/>
      <x:c r="G2140" t="str">
        <x:v>280g / 28 servings</x:v>
      </x:c>
      <x:c r="H2140" t="str">
        <x:v>Fruit Punch</x:v>
      </x:c>
      <x:c r="I2140" t="str"/>
      <x:c r="J2140" t="str">
        <x:v>Unit</x:v>
      </x:c>
      <x:c r="K2140" t="str">
        <x:v>In stock</x:v>
      </x:c>
      <x:c r="L2140" t="str">
        <x:v>2026-09-08</x:v>
      </x:c>
      <x:c r="M2140" t="str"/>
      <x:c r="N2140" t="str"/>
      <x:c r="O2140" t="str">
        <x:v>https://www.activesportstrade.co.uk/trade-sports-supplements/olimp-trade</x:v>
      </x:c>
      <x:c r="P2140" t="str"/>
      <x:c r="Q2140" t="str"/>
      <x:c r="R2140" t="str"/>
      <x:c r="S2140" t="str">
        <x:v>Pending genuine supplier/brand image</x:v>
      </x:c>
      <x:c r="T2140" s="54" t="n">
        <x:v>10.5</x:v>
      </x:c>
      <x:c r="U2140" s="47" t="n">
        <x:v>0.2</x:v>
      </x:c>
      <x:c r="V2140" s="54" t="n">
        <x:f>IF(ISNUMBER(T2140),T2140*(1+U2140),"")</x:f>
        <x:v>12.6</x:v>
      </x:c>
      <x:c r="W2140" s="47" t="n">
        <x:v>0.3</x:v>
      </x:c>
      <x:c r="X2140" s="54" t="n">
        <x:f>IF(ISNUMBER(V2140),V2140/(1-W2140),"")</x:f>
        <x:v>18</x:v>
      </x:c>
      <x:c r="Y2140" s="55" t="n">
        <x:f>IF(ISNUMBER(X2140),ROUNDUP(X2140,0),"")</x:f>
        <x:v>18</x:v>
      </x:c>
      <x:c r="Z2140" t="str">
        <x:v>Source match pending</x:v>
      </x:c>
      <x:c r="AA2140" t="str">
        <x:v>screencapture-www-activesportstrade-co-uk-olimp-trade-2026-09-10-09_05_33.pdf / page-03</x:v>
      </x:c>
      <x:c r="AB2140" s="36" t="n">
        <x:f>IF(ISNUMBER(Y2140),ROUND(Y2140*0.9,2),"")</x:f>
        <x:v>16.2</x:v>
      </x:c>
      <x:c r="AC2140" s="36" t="n">
        <x:f>IF(ISNUMBER(AB2140),ROUND(AB2140-(AB2140*0.015+0.2)-V2140,2),"")</x:f>
        <x:v>3.16</x:v>
      </x:c>
      <x:c r="AD2140" s="36" t="n">
        <x:f>IF(ISNUMBER(Y2140),ROUND(Y2140*0.8,2),"")</x:f>
        <x:v>14.4</x:v>
      </x:c>
      <x:c r="AE2140" s="36" t="n">
        <x:f>IF(ISNUMBER(AD2140),ROUND(AD2140*0.015+0.2,2),"")</x:f>
        <x:v>0.42</x:v>
      </x:c>
      <x:c r="AF2140" s="36" t="n">
        <x:f>IF(ISNUMBER(AD2140),ROUND(AD2140-AE2140-V2140,2),"")</x:f>
        <x:v>1.38</x:v>
      </x:c>
      <x:c r="AG2140" t="str">
        <x:f>IF(NOT(ISNUMBER(T2140)),"PENDING",IF(AF2140&gt;0,"PASS","FAIL"))</x:f>
        <x:v>PASS</x:v>
      </x:c>
      <x:c r="AH2140" t="str">
        <x:f>IF(NOT(ISNUMBER(T2140)),"Needs supplier cost",IF(K2140&lt;&gt;"In stock","Supplier unavailable",IF(AG2140&lt;&gt;"PASS","BLOCK - GT loss risk","Commercially protected")))</x:f>
        <x:v>Commercially protected</x:v>
      </x:c>
      <x:c r="AI2140" t="str">
        <x:v>2026-09-10 Active Sports trade capture</x:v>
      </x:c>
      <x:c r="AJ2140" t="str">
        <x:v>Management-only economics. Stripe stress test uses 1.5% + £0.20 standard UK online-card fee; pallet/mix-and-match pricing ignored.</x:v>
      </x:c>
    </x:row>
    <x:row r="2141">
      <x:c r="A2141" t="str">
        <x:v>Active Sports Nutrition</x:v>
      </x:c>
      <x:c r="B2141" t="str">
        <x:v>Olimp</x:v>
      </x:c>
      <x:c r="C2141" t="str">
        <x:v>BCAA Xplode</x:v>
      </x:c>
      <x:c r="D2141" t="str">
        <x:v>Supplements</x:v>
      </x:c>
      <x:c r="E2141" t="str">
        <x:v>BCAAs</x:v>
      </x:c>
      <x:c r="F2141" t="str"/>
      <x:c r="G2141" t="str">
        <x:v>280g / 28 servings</x:v>
      </x:c>
      <x:c r="H2141" t="str">
        <x:v>Lemon</x:v>
      </x:c>
      <x:c r="I2141" t="str"/>
      <x:c r="J2141" t="str">
        <x:v>Unit</x:v>
      </x:c>
      <x:c r="K2141" t="str">
        <x:v>In stock</x:v>
      </x:c>
      <x:c r="L2141" t="str">
        <x:v>2026-09-08</x:v>
      </x:c>
      <x:c r="M2141" t="str"/>
      <x:c r="N2141" t="str"/>
      <x:c r="O2141" t="str">
        <x:v>https://www.activesportstrade.co.uk/trade-sports-supplements/olimp-trade</x:v>
      </x:c>
      <x:c r="P2141" t="str"/>
      <x:c r="Q2141" t="str"/>
      <x:c r="R2141" t="str"/>
      <x:c r="S2141" t="str">
        <x:v>Pending genuine supplier/brand image</x:v>
      </x:c>
      <x:c r="T2141" s="54" t="n">
        <x:v>10.5</x:v>
      </x:c>
      <x:c r="U2141" s="47" t="n">
        <x:v>0.2</x:v>
      </x:c>
      <x:c r="V2141" s="54" t="n">
        <x:f>IF(ISNUMBER(T2141),T2141*(1+U2141),"")</x:f>
        <x:v>12.6</x:v>
      </x:c>
      <x:c r="W2141" s="47" t="n">
        <x:v>0.3</x:v>
      </x:c>
      <x:c r="X2141" s="54" t="n">
        <x:f>IF(ISNUMBER(V2141),V2141/(1-W2141),"")</x:f>
        <x:v>18</x:v>
      </x:c>
      <x:c r="Y2141" s="55" t="n">
        <x:f>IF(ISNUMBER(X2141),ROUNDUP(X2141,0),"")</x:f>
        <x:v>18</x:v>
      </x:c>
      <x:c r="Z2141" t="str">
        <x:v>Source match pending</x:v>
      </x:c>
      <x:c r="AA2141" t="str">
        <x:v>screencapture-www-activesportstrade-co-uk-olimp-trade-2026-09-10-09_05_33.pdf / page-03</x:v>
      </x:c>
      <x:c r="AB2141" s="36" t="n">
        <x:f>IF(ISNUMBER(Y2141),ROUND(Y2141*0.9,2),"")</x:f>
        <x:v>16.2</x:v>
      </x:c>
      <x:c r="AC2141" s="36" t="n">
        <x:f>IF(ISNUMBER(AB2141),ROUND(AB2141-(AB2141*0.015+0.2)-V2141,2),"")</x:f>
        <x:v>3.16</x:v>
      </x:c>
      <x:c r="AD2141" s="36" t="n">
        <x:f>IF(ISNUMBER(Y2141),ROUND(Y2141*0.8,2),"")</x:f>
        <x:v>14.4</x:v>
      </x:c>
      <x:c r="AE2141" s="36" t="n">
        <x:f>IF(ISNUMBER(AD2141),ROUND(AD2141*0.015+0.2,2),"")</x:f>
        <x:v>0.42</x:v>
      </x:c>
      <x:c r="AF2141" s="36" t="n">
        <x:f>IF(ISNUMBER(AD2141),ROUND(AD2141-AE2141-V2141,2),"")</x:f>
        <x:v>1.38</x:v>
      </x:c>
      <x:c r="AG2141" t="str">
        <x:f>IF(NOT(ISNUMBER(T2141)),"PENDING",IF(AF2141&gt;0,"PASS","FAIL"))</x:f>
        <x:v>PASS</x:v>
      </x:c>
      <x:c r="AH2141" t="str">
        <x:f>IF(NOT(ISNUMBER(T2141)),"Needs supplier cost",IF(K2141&lt;&gt;"In stock","Supplier unavailable",IF(AG2141&lt;&gt;"PASS","BLOCK - GT loss risk","Commercially protected")))</x:f>
        <x:v>Commercially protected</x:v>
      </x:c>
      <x:c r="AI2141" t="str">
        <x:v>2026-09-10 Active Sports trade capture</x:v>
      </x:c>
      <x:c r="AJ2141" t="str">
        <x:v>Management-only economics. Stripe stress test uses 1.5% + £0.20 standard UK online-card fee; pallet/mix-and-match pricing ignored.</x:v>
      </x:c>
    </x:row>
    <x:row r="2142">
      <x:c r="A2142" t="str">
        <x:v>Active Sports Nutrition</x:v>
      </x:c>
      <x:c r="B2142" t="str">
        <x:v>Olimp</x:v>
      </x:c>
      <x:c r="C2142" t="str">
        <x:v>BCAA Xplode</x:v>
      </x:c>
      <x:c r="D2142" t="str">
        <x:v>Supplements</x:v>
      </x:c>
      <x:c r="E2142" t="str">
        <x:v>BCAAs</x:v>
      </x:c>
      <x:c r="F2142" t="str"/>
      <x:c r="G2142" t="str">
        <x:v>280g / 28 servings</x:v>
      </x:c>
      <x:c r="H2142" t="str">
        <x:v>Orange</x:v>
      </x:c>
      <x:c r="I2142" t="str"/>
      <x:c r="J2142" t="str">
        <x:v>Unit</x:v>
      </x:c>
      <x:c r="K2142" t="str">
        <x:v>In stock</x:v>
      </x:c>
      <x:c r="L2142" t="str">
        <x:v>2026-09-08</x:v>
      </x:c>
      <x:c r="M2142" t="str"/>
      <x:c r="N2142" t="str"/>
      <x:c r="O2142" t="str">
        <x:v>https://www.activesportstrade.co.uk/trade-sports-supplements/olimp-trade</x:v>
      </x:c>
      <x:c r="P2142" t="str"/>
      <x:c r="Q2142" t="str"/>
      <x:c r="R2142" t="str"/>
      <x:c r="S2142" t="str">
        <x:v>Pending genuine supplier/brand image</x:v>
      </x:c>
      <x:c r="T2142" s="54" t="n">
        <x:v>10.5</x:v>
      </x:c>
      <x:c r="U2142" s="47" t="n">
        <x:v>0.2</x:v>
      </x:c>
      <x:c r="V2142" s="54" t="n">
        <x:f>IF(ISNUMBER(T2142),T2142*(1+U2142),"")</x:f>
        <x:v>12.6</x:v>
      </x:c>
      <x:c r="W2142" s="47" t="n">
        <x:v>0.3</x:v>
      </x:c>
      <x:c r="X2142" s="54" t="n">
        <x:f>IF(ISNUMBER(V2142),V2142/(1-W2142),"")</x:f>
        <x:v>18</x:v>
      </x:c>
      <x:c r="Y2142" s="55" t="n">
        <x:f>IF(ISNUMBER(X2142),ROUNDUP(X2142,0),"")</x:f>
        <x:v>18</x:v>
      </x:c>
      <x:c r="Z2142" t="str">
        <x:v>Source match pending</x:v>
      </x:c>
      <x:c r="AA2142" t="str">
        <x:v>screencapture-www-activesportstrade-co-uk-olimp-trade-2026-09-10-09_05_33.pdf / page-03</x:v>
      </x:c>
      <x:c r="AB2142" s="36" t="n">
        <x:f>IF(ISNUMBER(Y2142),ROUND(Y2142*0.9,2),"")</x:f>
        <x:v>16.2</x:v>
      </x:c>
      <x:c r="AC2142" s="36" t="n">
        <x:f>IF(ISNUMBER(AB2142),ROUND(AB2142-(AB2142*0.015+0.2)-V2142,2),"")</x:f>
        <x:v>3.16</x:v>
      </x:c>
      <x:c r="AD2142" s="36" t="n">
        <x:f>IF(ISNUMBER(Y2142),ROUND(Y2142*0.8,2),"")</x:f>
        <x:v>14.4</x:v>
      </x:c>
      <x:c r="AE2142" s="36" t="n">
        <x:f>IF(ISNUMBER(AD2142),ROUND(AD2142*0.015+0.2,2),"")</x:f>
        <x:v>0.42</x:v>
      </x:c>
      <x:c r="AF2142" s="36" t="n">
        <x:f>IF(ISNUMBER(AD2142),ROUND(AD2142-AE2142-V2142,2),"")</x:f>
        <x:v>1.38</x:v>
      </x:c>
      <x:c r="AG2142" t="str">
        <x:f>IF(NOT(ISNUMBER(T2142)),"PENDING",IF(AF2142&gt;0,"PASS","FAIL"))</x:f>
        <x:v>PASS</x:v>
      </x:c>
      <x:c r="AH2142" t="str">
        <x:f>IF(NOT(ISNUMBER(T2142)),"Needs supplier cost",IF(K2142&lt;&gt;"In stock","Supplier unavailable",IF(AG2142&lt;&gt;"PASS","BLOCK - GT loss risk","Commercially protected")))</x:f>
        <x:v>Commercially protected</x:v>
      </x:c>
      <x:c r="AI2142" t="str">
        <x:v>2026-09-10 Active Sports trade capture</x:v>
      </x:c>
      <x:c r="AJ2142" t="str">
        <x:v>Management-only economics. Stripe stress test uses 1.5% + £0.20 standard UK online-card fee; pallet/mix-and-match pricing ignored.</x:v>
      </x:c>
    </x:row>
    <x:row r="2143">
      <x:c r="A2143" t="str">
        <x:v>Active Sports Nutrition</x:v>
      </x:c>
      <x:c r="B2143" t="str">
        <x:v>Olimp</x:v>
      </x:c>
      <x:c r="C2143" t="str">
        <x:v>BCAA Xplode</x:v>
      </x:c>
      <x:c r="D2143" t="str">
        <x:v>Supplements</x:v>
      </x:c>
      <x:c r="E2143" t="str">
        <x:v>BCAAs</x:v>
      </x:c>
      <x:c r="F2143" t="str"/>
      <x:c r="G2143" t="str">
        <x:v>280g / 28 servings</x:v>
      </x:c>
      <x:c r="H2143" t="str">
        <x:v>Pineapple</x:v>
      </x:c>
      <x:c r="I2143" t="str"/>
      <x:c r="J2143" t="str">
        <x:v>Unit</x:v>
      </x:c>
      <x:c r="K2143" t="str">
        <x:v>In stock</x:v>
      </x:c>
      <x:c r="L2143" t="str">
        <x:v>2026-09-08</x:v>
      </x:c>
      <x:c r="M2143" t="str"/>
      <x:c r="N2143" t="str"/>
      <x:c r="O2143" t="str">
        <x:v>https://www.activesportstrade.co.uk/trade-sports-supplements/olimp-trade</x:v>
      </x:c>
      <x:c r="P2143" t="str"/>
      <x:c r="Q2143" t="str"/>
      <x:c r="R2143" t="str"/>
      <x:c r="S2143" t="str">
        <x:v>Pending genuine supplier/brand image</x:v>
      </x:c>
      <x:c r="T2143" s="54" t="n">
        <x:v>10.5</x:v>
      </x:c>
      <x:c r="U2143" s="47" t="n">
        <x:v>0.2</x:v>
      </x:c>
      <x:c r="V2143" s="54" t="n">
        <x:f>IF(ISNUMBER(T2143),T2143*(1+U2143),"")</x:f>
        <x:v>12.6</x:v>
      </x:c>
      <x:c r="W2143" s="47" t="n">
        <x:v>0.3</x:v>
      </x:c>
      <x:c r="X2143" s="54" t="n">
        <x:f>IF(ISNUMBER(V2143),V2143/(1-W2143),"")</x:f>
        <x:v>18</x:v>
      </x:c>
      <x:c r="Y2143" s="55" t="n">
        <x:f>IF(ISNUMBER(X2143),ROUNDUP(X2143,0),"")</x:f>
        <x:v>18</x:v>
      </x:c>
      <x:c r="Z2143" t="str">
        <x:v>Source match pending</x:v>
      </x:c>
      <x:c r="AA2143" t="str">
        <x:v>screencapture-www-activesportstrade-co-uk-olimp-trade-2026-09-10-09_05_33.pdf / page-03</x:v>
      </x:c>
      <x:c r="AB2143" s="36" t="n">
        <x:f>IF(ISNUMBER(Y2143),ROUND(Y2143*0.9,2),"")</x:f>
        <x:v>16.2</x:v>
      </x:c>
      <x:c r="AC2143" s="36" t="n">
        <x:f>IF(ISNUMBER(AB2143),ROUND(AB2143-(AB2143*0.015+0.2)-V2143,2),"")</x:f>
        <x:v>3.16</x:v>
      </x:c>
      <x:c r="AD2143" s="36" t="n">
        <x:f>IF(ISNUMBER(Y2143),ROUND(Y2143*0.8,2),"")</x:f>
        <x:v>14.4</x:v>
      </x:c>
      <x:c r="AE2143" s="36" t="n">
        <x:f>IF(ISNUMBER(AD2143),ROUND(AD2143*0.015+0.2,2),"")</x:f>
        <x:v>0.42</x:v>
      </x:c>
      <x:c r="AF2143" s="36" t="n">
        <x:f>IF(ISNUMBER(AD2143),ROUND(AD2143-AE2143-V2143,2),"")</x:f>
        <x:v>1.38</x:v>
      </x:c>
      <x:c r="AG2143" t="str">
        <x:f>IF(NOT(ISNUMBER(T2143)),"PENDING",IF(AF2143&gt;0,"PASS","FAIL"))</x:f>
        <x:v>PASS</x:v>
      </x:c>
      <x:c r="AH2143" t="str">
        <x:f>IF(NOT(ISNUMBER(T2143)),"Needs supplier cost",IF(K2143&lt;&gt;"In stock","Supplier unavailable",IF(AG2143&lt;&gt;"PASS","BLOCK - GT loss risk","Commercially protected")))</x:f>
        <x:v>Commercially protected</x:v>
      </x:c>
      <x:c r="AI2143" t="str">
        <x:v>2026-09-10 Active Sports trade capture</x:v>
      </x:c>
      <x:c r="AJ2143" t="str">
        <x:v>Management-only economics. Stripe stress test uses 1.5% + £0.20 standard UK online-card fee; pallet/mix-and-match pricing ignored.</x:v>
      </x:c>
    </x:row>
    <x:row r="2144">
      <x:c r="A2144" t="str">
        <x:v>Active Sports Nutrition</x:v>
      </x:c>
      <x:c r="B2144" t="str">
        <x:v>Olimp</x:v>
      </x:c>
      <x:c r="C2144" t="str">
        <x:v>BCAA Xplode</x:v>
      </x:c>
      <x:c r="D2144" t="str">
        <x:v>Supplements</x:v>
      </x:c>
      <x:c r="E2144" t="str">
        <x:v>BCAAs</x:v>
      </x:c>
      <x:c r="F2144" t="str"/>
      <x:c r="G2144" t="str">
        <x:v>500g / 50 servings</x:v>
      </x:c>
      <x:c r="H2144" t="str">
        <x:v>Cola</x:v>
      </x:c>
      <x:c r="I2144" t="str"/>
      <x:c r="J2144" t="str">
        <x:v>Unit</x:v>
      </x:c>
      <x:c r="K2144" t="str">
        <x:v>In stock</x:v>
      </x:c>
      <x:c r="L2144" t="str">
        <x:v>2026-09-08</x:v>
      </x:c>
      <x:c r="M2144" t="str"/>
      <x:c r="N2144" t="str"/>
      <x:c r="O2144" t="str">
        <x:v>https://www.activesportstrade.co.uk/trade-sports-supplements/olimp-trade</x:v>
      </x:c>
      <x:c r="P2144" t="str">
        <x:v>Supplier NEW wording stripped from Mango variant.</x:v>
      </x:c>
      <x:c r="Q2144" t="str"/>
      <x:c r="R2144" t="str"/>
      <x:c r="S2144" t="str">
        <x:v>Pending genuine supplier/brand image</x:v>
      </x:c>
      <x:c r="T2144" s="54" t="n">
        <x:v>16.63</x:v>
      </x:c>
      <x:c r="U2144" s="47" t="n">
        <x:v>0.2</x:v>
      </x:c>
      <x:c r="V2144" s="54" t="n">
        <x:f>IF(ISNUMBER(T2144),T2144*(1+U2144),"")</x:f>
        <x:v>19.956</x:v>
      </x:c>
      <x:c r="W2144" s="47" t="n">
        <x:v>0.3</x:v>
      </x:c>
      <x:c r="X2144" s="54" t="n">
        <x:f>IF(ISNUMBER(V2144),V2144/(1-W2144),"")</x:f>
        <x:v>28.50857142857143</x:v>
      </x:c>
      <x:c r="Y2144" s="55" t="n">
        <x:f>IF(ISNUMBER(X2144),ROUNDUP(X2144,0),"")</x:f>
        <x:v>29</x:v>
      </x:c>
      <x:c r="Z2144" t="str">
        <x:v>Source match pending</x:v>
      </x:c>
      <x:c r="AA2144" t="str">
        <x:v>screencapture-www-activesportstrade-co-uk-olimp-trade-2026-09-10-09_05_33.pdf / page-03</x:v>
      </x:c>
      <x:c r="AB2144" s="36" t="n">
        <x:f>IF(ISNUMBER(Y2144),ROUND(Y2144*0.9,2),"")</x:f>
        <x:v>26.1</x:v>
      </x:c>
      <x:c r="AC2144" s="36" t="n">
        <x:f>IF(ISNUMBER(AB2144),ROUND(AB2144-(AB2144*0.015+0.2)-V2144,2),"")</x:f>
        <x:v>5.55</x:v>
      </x:c>
      <x:c r="AD2144" s="36" t="n">
        <x:f>IF(ISNUMBER(Y2144),ROUND(Y2144*0.8,2),"")</x:f>
        <x:v>23.2</x:v>
      </x:c>
      <x:c r="AE2144" s="36" t="n">
        <x:f>IF(ISNUMBER(AD2144),ROUND(AD2144*0.015+0.2,2),"")</x:f>
        <x:v>0.55</x:v>
      </x:c>
      <x:c r="AF2144" s="36" t="n">
        <x:f>IF(ISNUMBER(AD2144),ROUND(AD2144-AE2144-V2144,2),"")</x:f>
        <x:v>2.69</x:v>
      </x:c>
      <x:c r="AG2144" t="str">
        <x:f>IF(NOT(ISNUMBER(T2144)),"PENDING",IF(AF2144&gt;0,"PASS","FAIL"))</x:f>
        <x:v>PASS</x:v>
      </x:c>
      <x:c r="AH2144" t="str">
        <x:f>IF(NOT(ISNUMBER(T2144)),"Needs supplier cost",IF(K2144&lt;&gt;"In stock","Supplier unavailable",IF(AG2144&lt;&gt;"PASS","BLOCK - GT loss risk","Commercially protected")))</x:f>
        <x:v>Commercially protected</x:v>
      </x:c>
      <x:c r="AI2144" t="str">
        <x:v>2026-09-10 Active Sports trade capture</x:v>
      </x:c>
      <x:c r="AJ2144" t="str">
        <x:v>Management-only economics. Stripe stress test uses 1.5% + £0.20 standard UK online-card fee; pallet/mix-and-match pricing ignored.</x:v>
      </x:c>
    </x:row>
    <x:row r="2145">
      <x:c r="A2145" t="str">
        <x:v>Active Sports Nutrition</x:v>
      </x:c>
      <x:c r="B2145" t="str">
        <x:v>Olimp</x:v>
      </x:c>
      <x:c r="C2145" t="str">
        <x:v>BCAA Xplode</x:v>
      </x:c>
      <x:c r="D2145" t="str">
        <x:v>Supplements</x:v>
      </x:c>
      <x:c r="E2145" t="str">
        <x:v>BCAAs</x:v>
      </x:c>
      <x:c r="F2145" t="str"/>
      <x:c r="G2145" t="str">
        <x:v>500g / 50 servings</x:v>
      </x:c>
      <x:c r="H2145" t="str">
        <x:v>Fruit Punch</x:v>
      </x:c>
      <x:c r="I2145" t="str"/>
      <x:c r="J2145" t="str">
        <x:v>Unit</x:v>
      </x:c>
      <x:c r="K2145" t="str">
        <x:v>In stock</x:v>
      </x:c>
      <x:c r="L2145" t="str">
        <x:v>2026-09-08</x:v>
      </x:c>
      <x:c r="M2145" t="str"/>
      <x:c r="N2145" t="str"/>
      <x:c r="O2145" t="str">
        <x:v>https://www.activesportstrade.co.uk/trade-sports-supplements/olimp-trade</x:v>
      </x:c>
      <x:c r="P2145" t="str">
        <x:v>Supplier NEW wording stripped from Mango variant.</x:v>
      </x:c>
      <x:c r="Q2145" t="str"/>
      <x:c r="R2145" t="str"/>
      <x:c r="S2145" t="str">
        <x:v>Pending genuine supplier/brand image</x:v>
      </x:c>
      <x:c r="T2145" s="54" t="n">
        <x:v>16.63</x:v>
      </x:c>
      <x:c r="U2145" s="47" t="n">
        <x:v>0.2</x:v>
      </x:c>
      <x:c r="V2145" s="54" t="n">
        <x:f>IF(ISNUMBER(T2145),T2145*(1+U2145),"")</x:f>
        <x:v>19.956</x:v>
      </x:c>
      <x:c r="W2145" s="47" t="n">
        <x:v>0.3</x:v>
      </x:c>
      <x:c r="X2145" s="54" t="n">
        <x:f>IF(ISNUMBER(V2145),V2145/(1-W2145),"")</x:f>
        <x:v>28.50857142857143</x:v>
      </x:c>
      <x:c r="Y2145" s="55" t="n">
        <x:f>IF(ISNUMBER(X2145),ROUNDUP(X2145,0),"")</x:f>
        <x:v>29</x:v>
      </x:c>
      <x:c r="Z2145" t="str">
        <x:v>Source match pending</x:v>
      </x:c>
      <x:c r="AA2145" t="str">
        <x:v>screencapture-www-activesportstrade-co-uk-olimp-trade-2026-09-10-09_05_33.pdf / page-03</x:v>
      </x:c>
      <x:c r="AB2145" s="36" t="n">
        <x:f>IF(ISNUMBER(Y2145),ROUND(Y2145*0.9,2),"")</x:f>
        <x:v>26.1</x:v>
      </x:c>
      <x:c r="AC2145" s="36" t="n">
        <x:f>IF(ISNUMBER(AB2145),ROUND(AB2145-(AB2145*0.015+0.2)-V2145,2),"")</x:f>
        <x:v>5.55</x:v>
      </x:c>
      <x:c r="AD2145" s="36" t="n">
        <x:f>IF(ISNUMBER(Y2145),ROUND(Y2145*0.8,2),"")</x:f>
        <x:v>23.2</x:v>
      </x:c>
      <x:c r="AE2145" s="36" t="n">
        <x:f>IF(ISNUMBER(AD2145),ROUND(AD2145*0.015+0.2,2),"")</x:f>
        <x:v>0.55</x:v>
      </x:c>
      <x:c r="AF2145" s="36" t="n">
        <x:f>IF(ISNUMBER(AD2145),ROUND(AD2145-AE2145-V2145,2),"")</x:f>
        <x:v>2.69</x:v>
      </x:c>
      <x:c r="AG2145" t="str">
        <x:f>IF(NOT(ISNUMBER(T2145)),"PENDING",IF(AF2145&gt;0,"PASS","FAIL"))</x:f>
        <x:v>PASS</x:v>
      </x:c>
      <x:c r="AH2145" t="str">
        <x:f>IF(NOT(ISNUMBER(T2145)),"Needs supplier cost",IF(K2145&lt;&gt;"In stock","Supplier unavailable",IF(AG2145&lt;&gt;"PASS","BLOCK - GT loss risk","Commercially protected")))</x:f>
        <x:v>Commercially protected</x:v>
      </x:c>
      <x:c r="AI2145" t="str">
        <x:v>2026-09-10 Active Sports trade capture</x:v>
      </x:c>
      <x:c r="AJ2145" t="str">
        <x:v>Management-only economics. Stripe stress test uses 1.5% + £0.20 standard UK online-card fee; pallet/mix-and-match pricing ignored.</x:v>
      </x:c>
    </x:row>
    <x:row r="2146">
      <x:c r="A2146" t="str">
        <x:v>Active Sports Nutrition</x:v>
      </x:c>
      <x:c r="B2146" t="str">
        <x:v>Olimp</x:v>
      </x:c>
      <x:c r="C2146" t="str">
        <x:v>BCAA Xplode</x:v>
      </x:c>
      <x:c r="D2146" t="str">
        <x:v>Supplements</x:v>
      </x:c>
      <x:c r="E2146" t="str">
        <x:v>BCAAs</x:v>
      </x:c>
      <x:c r="F2146" t="str"/>
      <x:c r="G2146" t="str">
        <x:v>500g / 50 servings</x:v>
      </x:c>
      <x:c r="H2146" t="str">
        <x:v>Lemon</x:v>
      </x:c>
      <x:c r="I2146" t="str"/>
      <x:c r="J2146" t="str">
        <x:v>Unit</x:v>
      </x:c>
      <x:c r="K2146" t="str">
        <x:v>In stock</x:v>
      </x:c>
      <x:c r="L2146" t="str">
        <x:v>2026-09-08</x:v>
      </x:c>
      <x:c r="M2146" t="str"/>
      <x:c r="N2146" t="str"/>
      <x:c r="O2146" t="str">
        <x:v>https://www.activesportstrade.co.uk/trade-sports-supplements/olimp-trade</x:v>
      </x:c>
      <x:c r="P2146" t="str">
        <x:v>Supplier NEW wording stripped from Mango variant.</x:v>
      </x:c>
      <x:c r="Q2146" t="str"/>
      <x:c r="R2146" t="str"/>
      <x:c r="S2146" t="str">
        <x:v>Pending genuine supplier/brand image</x:v>
      </x:c>
      <x:c r="T2146" s="54" t="n">
        <x:v>16.63</x:v>
      </x:c>
      <x:c r="U2146" s="47" t="n">
        <x:v>0.2</x:v>
      </x:c>
      <x:c r="V2146" s="54" t="n">
        <x:f>IF(ISNUMBER(T2146),T2146*(1+U2146),"")</x:f>
        <x:v>19.956</x:v>
      </x:c>
      <x:c r="W2146" s="47" t="n">
        <x:v>0.3</x:v>
      </x:c>
      <x:c r="X2146" s="54" t="n">
        <x:f>IF(ISNUMBER(V2146),V2146/(1-W2146),"")</x:f>
        <x:v>28.50857142857143</x:v>
      </x:c>
      <x:c r="Y2146" s="55" t="n">
        <x:f>IF(ISNUMBER(X2146),ROUNDUP(X2146,0),"")</x:f>
        <x:v>29</x:v>
      </x:c>
      <x:c r="Z2146" t="str">
        <x:v>Source match pending</x:v>
      </x:c>
      <x:c r="AA2146" t="str">
        <x:v>screencapture-www-activesportstrade-co-uk-olimp-trade-2026-09-10-09_05_33.pdf / page-03</x:v>
      </x:c>
      <x:c r="AB2146" s="36" t="n">
        <x:f>IF(ISNUMBER(Y2146),ROUND(Y2146*0.9,2),"")</x:f>
        <x:v>26.1</x:v>
      </x:c>
      <x:c r="AC2146" s="36" t="n">
        <x:f>IF(ISNUMBER(AB2146),ROUND(AB2146-(AB2146*0.015+0.2)-V2146,2),"")</x:f>
        <x:v>5.55</x:v>
      </x:c>
      <x:c r="AD2146" s="36" t="n">
        <x:f>IF(ISNUMBER(Y2146),ROUND(Y2146*0.8,2),"")</x:f>
        <x:v>23.2</x:v>
      </x:c>
      <x:c r="AE2146" s="36" t="n">
        <x:f>IF(ISNUMBER(AD2146),ROUND(AD2146*0.015+0.2,2),"")</x:f>
        <x:v>0.55</x:v>
      </x:c>
      <x:c r="AF2146" s="36" t="n">
        <x:f>IF(ISNUMBER(AD2146),ROUND(AD2146-AE2146-V2146,2),"")</x:f>
        <x:v>2.69</x:v>
      </x:c>
      <x:c r="AG2146" t="str">
        <x:f>IF(NOT(ISNUMBER(T2146)),"PENDING",IF(AF2146&gt;0,"PASS","FAIL"))</x:f>
        <x:v>PASS</x:v>
      </x:c>
      <x:c r="AH2146" t="str">
        <x:f>IF(NOT(ISNUMBER(T2146)),"Needs supplier cost",IF(K2146&lt;&gt;"In stock","Supplier unavailable",IF(AG2146&lt;&gt;"PASS","BLOCK - GT loss risk","Commercially protected")))</x:f>
        <x:v>Commercially protected</x:v>
      </x:c>
      <x:c r="AI2146" t="str">
        <x:v>2026-09-10 Active Sports trade capture</x:v>
      </x:c>
      <x:c r="AJ2146" t="str">
        <x:v>Management-only economics. Stripe stress test uses 1.5% + £0.20 standard UK online-card fee; pallet/mix-and-match pricing ignored.</x:v>
      </x:c>
    </x:row>
    <x:row r="2147">
      <x:c r="A2147" t="str">
        <x:v>Active Sports Nutrition</x:v>
      </x:c>
      <x:c r="B2147" t="str">
        <x:v>Olimp</x:v>
      </x:c>
      <x:c r="C2147" t="str">
        <x:v>BCAA Xplode</x:v>
      </x:c>
      <x:c r="D2147" t="str">
        <x:v>Supplements</x:v>
      </x:c>
      <x:c r="E2147" t="str">
        <x:v>BCAAs</x:v>
      </x:c>
      <x:c r="F2147" t="str"/>
      <x:c r="G2147" t="str">
        <x:v>500g / 50 servings</x:v>
      </x:c>
      <x:c r="H2147" t="str">
        <x:v>Mojito</x:v>
      </x:c>
      <x:c r="I2147" t="str"/>
      <x:c r="J2147" t="str">
        <x:v>Unit</x:v>
      </x:c>
      <x:c r="K2147" t="str">
        <x:v>In stock</x:v>
      </x:c>
      <x:c r="L2147" t="str">
        <x:v>2026-09-08</x:v>
      </x:c>
      <x:c r="M2147" t="str"/>
      <x:c r="N2147" t="str"/>
      <x:c r="O2147" t="str">
        <x:v>https://www.activesportstrade.co.uk/trade-sports-supplements/olimp-trade</x:v>
      </x:c>
      <x:c r="P2147" t="str">
        <x:v>Supplier NEW wording stripped from Mango variant.</x:v>
      </x:c>
      <x:c r="Q2147" t="str"/>
      <x:c r="R2147" t="str"/>
      <x:c r="S2147" t="str">
        <x:v>Pending genuine supplier/brand image</x:v>
      </x:c>
      <x:c r="T2147" s="54" t="n">
        <x:v>16.63</x:v>
      </x:c>
      <x:c r="U2147" s="47" t="n">
        <x:v>0.2</x:v>
      </x:c>
      <x:c r="V2147" s="54" t="n">
        <x:f>IF(ISNUMBER(T2147),T2147*(1+U2147),"")</x:f>
        <x:v>19.956</x:v>
      </x:c>
      <x:c r="W2147" s="47" t="n">
        <x:v>0.3</x:v>
      </x:c>
      <x:c r="X2147" s="54" t="n">
        <x:f>IF(ISNUMBER(V2147),V2147/(1-W2147),"")</x:f>
        <x:v>28.50857142857143</x:v>
      </x:c>
      <x:c r="Y2147" s="55" t="n">
        <x:f>IF(ISNUMBER(X2147),ROUNDUP(X2147,0),"")</x:f>
        <x:v>29</x:v>
      </x:c>
      <x:c r="Z2147" t="str">
        <x:v>Source match pending</x:v>
      </x:c>
      <x:c r="AA2147" t="str">
        <x:v>screencapture-www-activesportstrade-co-uk-olimp-trade-2026-09-10-09_05_33.pdf / page-03</x:v>
      </x:c>
      <x:c r="AB2147" s="36" t="n">
        <x:f>IF(ISNUMBER(Y2147),ROUND(Y2147*0.9,2),"")</x:f>
        <x:v>26.1</x:v>
      </x:c>
      <x:c r="AC2147" s="36" t="n">
        <x:f>IF(ISNUMBER(AB2147),ROUND(AB2147-(AB2147*0.015+0.2)-V2147,2),"")</x:f>
        <x:v>5.55</x:v>
      </x:c>
      <x:c r="AD2147" s="36" t="n">
        <x:f>IF(ISNUMBER(Y2147),ROUND(Y2147*0.8,2),"")</x:f>
        <x:v>23.2</x:v>
      </x:c>
      <x:c r="AE2147" s="36" t="n">
        <x:f>IF(ISNUMBER(AD2147),ROUND(AD2147*0.015+0.2,2),"")</x:f>
        <x:v>0.55</x:v>
      </x:c>
      <x:c r="AF2147" s="36" t="n">
        <x:f>IF(ISNUMBER(AD2147),ROUND(AD2147-AE2147-V2147,2),"")</x:f>
        <x:v>2.69</x:v>
      </x:c>
      <x:c r="AG2147" t="str">
        <x:f>IF(NOT(ISNUMBER(T2147)),"PENDING",IF(AF2147&gt;0,"PASS","FAIL"))</x:f>
        <x:v>PASS</x:v>
      </x:c>
      <x:c r="AH2147" t="str">
        <x:f>IF(NOT(ISNUMBER(T2147)),"Needs supplier cost",IF(K2147&lt;&gt;"In stock","Supplier unavailable",IF(AG2147&lt;&gt;"PASS","BLOCK - GT loss risk","Commercially protected")))</x:f>
        <x:v>Commercially protected</x:v>
      </x:c>
      <x:c r="AI2147" t="str">
        <x:v>2026-09-10 Active Sports trade capture</x:v>
      </x:c>
      <x:c r="AJ2147" t="str">
        <x:v>Management-only economics. Stripe stress test uses 1.5% + £0.20 standard UK online-card fee; pallet/mix-and-match pricing ignored.</x:v>
      </x:c>
    </x:row>
    <x:row r="2148">
      <x:c r="A2148" t="str">
        <x:v>Active Sports Nutrition</x:v>
      </x:c>
      <x:c r="B2148" t="str">
        <x:v>Olimp</x:v>
      </x:c>
      <x:c r="C2148" t="str">
        <x:v>BCAA Xplode</x:v>
      </x:c>
      <x:c r="D2148" t="str">
        <x:v>Supplements</x:v>
      </x:c>
      <x:c r="E2148" t="str">
        <x:v>BCAAs</x:v>
      </x:c>
      <x:c r="F2148" t="str"/>
      <x:c r="G2148" t="str">
        <x:v>500g / 50 servings</x:v>
      </x:c>
      <x:c r="H2148" t="str">
        <x:v>Mango</x:v>
      </x:c>
      <x:c r="I2148" t="str"/>
      <x:c r="J2148" t="str">
        <x:v>Unit</x:v>
      </x:c>
      <x:c r="K2148" t="str">
        <x:v>In stock</x:v>
      </x:c>
      <x:c r="L2148" t="str">
        <x:v>2026-09-08</x:v>
      </x:c>
      <x:c r="M2148" t="str"/>
      <x:c r="N2148" t="str"/>
      <x:c r="O2148" t="str">
        <x:v>https://www.activesportstrade.co.uk/trade-sports-supplements/olimp-trade</x:v>
      </x:c>
      <x:c r="P2148" t="str">
        <x:v>Supplier NEW wording stripped from Mango variant.</x:v>
      </x:c>
      <x:c r="Q2148" t="str"/>
      <x:c r="R2148" t="str"/>
      <x:c r="S2148" t="str">
        <x:v>Pending genuine supplier/brand image</x:v>
      </x:c>
      <x:c r="T2148" s="54" t="n">
        <x:v>16.63</x:v>
      </x:c>
      <x:c r="U2148" s="47" t="n">
        <x:v>0.2</x:v>
      </x:c>
      <x:c r="V2148" s="54" t="n">
        <x:f>IF(ISNUMBER(T2148),T2148*(1+U2148),"")</x:f>
        <x:v>19.956</x:v>
      </x:c>
      <x:c r="W2148" s="47" t="n">
        <x:v>0.3</x:v>
      </x:c>
      <x:c r="X2148" s="54" t="n">
        <x:f>IF(ISNUMBER(V2148),V2148/(1-W2148),"")</x:f>
        <x:v>28.50857142857143</x:v>
      </x:c>
      <x:c r="Y2148" s="55" t="n">
        <x:f>IF(ISNUMBER(X2148),ROUNDUP(X2148,0),"")</x:f>
        <x:v>29</x:v>
      </x:c>
      <x:c r="Z2148" t="str">
        <x:v>Source match pending</x:v>
      </x:c>
      <x:c r="AA2148" t="str">
        <x:v>screencapture-www-activesportstrade-co-uk-olimp-trade-2026-09-10-09_05_33.pdf / page-03</x:v>
      </x:c>
      <x:c r="AB2148" s="36" t="n">
        <x:f>IF(ISNUMBER(Y2148),ROUND(Y2148*0.9,2),"")</x:f>
        <x:v>26.1</x:v>
      </x:c>
      <x:c r="AC2148" s="36" t="n">
        <x:f>IF(ISNUMBER(AB2148),ROUND(AB2148-(AB2148*0.015+0.2)-V2148,2),"")</x:f>
        <x:v>5.55</x:v>
      </x:c>
      <x:c r="AD2148" s="36" t="n">
        <x:f>IF(ISNUMBER(Y2148),ROUND(Y2148*0.8,2),"")</x:f>
        <x:v>23.2</x:v>
      </x:c>
      <x:c r="AE2148" s="36" t="n">
        <x:f>IF(ISNUMBER(AD2148),ROUND(AD2148*0.015+0.2,2),"")</x:f>
        <x:v>0.55</x:v>
      </x:c>
      <x:c r="AF2148" s="36" t="n">
        <x:f>IF(ISNUMBER(AD2148),ROUND(AD2148-AE2148-V2148,2),"")</x:f>
        <x:v>2.69</x:v>
      </x:c>
      <x:c r="AG2148" t="str">
        <x:f>IF(NOT(ISNUMBER(T2148)),"PENDING",IF(AF2148&gt;0,"PASS","FAIL"))</x:f>
        <x:v>PASS</x:v>
      </x:c>
      <x:c r="AH2148" t="str">
        <x:f>IF(NOT(ISNUMBER(T2148)),"Needs supplier cost",IF(K2148&lt;&gt;"In stock","Supplier unavailable",IF(AG2148&lt;&gt;"PASS","BLOCK - GT loss risk","Commercially protected")))</x:f>
        <x:v>Commercially protected</x:v>
      </x:c>
      <x:c r="AI2148" t="str">
        <x:v>2026-09-10 Active Sports trade capture</x:v>
      </x:c>
      <x:c r="AJ2148" t="str">
        <x:v>Management-only economics. Stripe stress test uses 1.5% + £0.20 standard UK online-card fee; pallet/mix-and-match pricing ignored.</x:v>
      </x:c>
    </x:row>
    <x:row r="2149">
      <x:c r="A2149" t="str">
        <x:v>Active Sports Nutrition</x:v>
      </x:c>
      <x:c r="B2149" t="str">
        <x:v>Olimp</x:v>
      </x:c>
      <x:c r="C2149" t="str">
        <x:v>BCAA Xplode</x:v>
      </x:c>
      <x:c r="D2149" t="str">
        <x:v>Supplements</x:v>
      </x:c>
      <x:c r="E2149" t="str">
        <x:v>BCAAs</x:v>
      </x:c>
      <x:c r="F2149" t="str"/>
      <x:c r="G2149" t="str">
        <x:v>500g / 50 servings</x:v>
      </x:c>
      <x:c r="H2149" t="str">
        <x:v>Orange</x:v>
      </x:c>
      <x:c r="I2149" t="str"/>
      <x:c r="J2149" t="str">
        <x:v>Unit</x:v>
      </x:c>
      <x:c r="K2149" t="str">
        <x:v>In stock</x:v>
      </x:c>
      <x:c r="L2149" t="str">
        <x:v>2026-09-08</x:v>
      </x:c>
      <x:c r="M2149" t="str"/>
      <x:c r="N2149" t="str"/>
      <x:c r="O2149" t="str">
        <x:v>https://www.activesportstrade.co.uk/trade-sports-supplements/olimp-trade</x:v>
      </x:c>
      <x:c r="P2149" t="str">
        <x:v>Supplier NEW wording stripped from Mango variant.</x:v>
      </x:c>
      <x:c r="Q2149" t="str"/>
      <x:c r="R2149" t="str"/>
      <x:c r="S2149" t="str">
        <x:v>Pending genuine supplier/brand image</x:v>
      </x:c>
      <x:c r="T2149" s="54" t="n">
        <x:v>16.63</x:v>
      </x:c>
      <x:c r="U2149" s="47" t="n">
        <x:v>0.2</x:v>
      </x:c>
      <x:c r="V2149" s="54" t="n">
        <x:f>IF(ISNUMBER(T2149),T2149*(1+U2149),"")</x:f>
        <x:v>19.956</x:v>
      </x:c>
      <x:c r="W2149" s="47" t="n">
        <x:v>0.3</x:v>
      </x:c>
      <x:c r="X2149" s="54" t="n">
        <x:f>IF(ISNUMBER(V2149),V2149/(1-W2149),"")</x:f>
        <x:v>28.50857142857143</x:v>
      </x:c>
      <x:c r="Y2149" s="55" t="n">
        <x:f>IF(ISNUMBER(X2149),ROUNDUP(X2149,0),"")</x:f>
        <x:v>29</x:v>
      </x:c>
      <x:c r="Z2149" t="str">
        <x:v>Source match pending</x:v>
      </x:c>
      <x:c r="AA2149" t="str">
        <x:v>screencapture-www-activesportstrade-co-uk-olimp-trade-2026-09-10-09_05_33.pdf / page-03</x:v>
      </x:c>
      <x:c r="AB2149" s="36" t="n">
        <x:f>IF(ISNUMBER(Y2149),ROUND(Y2149*0.9,2),"")</x:f>
        <x:v>26.1</x:v>
      </x:c>
      <x:c r="AC2149" s="36" t="n">
        <x:f>IF(ISNUMBER(AB2149),ROUND(AB2149-(AB2149*0.015+0.2)-V2149,2),"")</x:f>
        <x:v>5.55</x:v>
      </x:c>
      <x:c r="AD2149" s="36" t="n">
        <x:f>IF(ISNUMBER(Y2149),ROUND(Y2149*0.8,2),"")</x:f>
        <x:v>23.2</x:v>
      </x:c>
      <x:c r="AE2149" s="36" t="n">
        <x:f>IF(ISNUMBER(AD2149),ROUND(AD2149*0.015+0.2,2),"")</x:f>
        <x:v>0.55</x:v>
      </x:c>
      <x:c r="AF2149" s="36" t="n">
        <x:f>IF(ISNUMBER(AD2149),ROUND(AD2149-AE2149-V2149,2),"")</x:f>
        <x:v>2.69</x:v>
      </x:c>
      <x:c r="AG2149" t="str">
        <x:f>IF(NOT(ISNUMBER(T2149)),"PENDING",IF(AF2149&gt;0,"PASS","FAIL"))</x:f>
        <x:v>PASS</x:v>
      </x:c>
      <x:c r="AH2149" t="str">
        <x:f>IF(NOT(ISNUMBER(T2149)),"Needs supplier cost",IF(K2149&lt;&gt;"In stock","Supplier unavailable",IF(AG2149&lt;&gt;"PASS","BLOCK - GT loss risk","Commercially protected")))</x:f>
        <x:v>Commercially protected</x:v>
      </x:c>
      <x:c r="AI2149" t="str">
        <x:v>2026-09-10 Active Sports trade capture</x:v>
      </x:c>
      <x:c r="AJ2149" t="str">
        <x:v>Management-only economics. Stripe stress test uses 1.5% + £0.20 standard UK online-card fee; pallet/mix-and-match pricing ignored.</x:v>
      </x:c>
    </x:row>
    <x:row r="2150">
      <x:c r="A2150" t="str">
        <x:v>Active Sports Nutrition</x:v>
      </x:c>
      <x:c r="B2150" t="str">
        <x:v>Olimp</x:v>
      </x:c>
      <x:c r="C2150" t="str">
        <x:v>BCAA Xplode</x:v>
      </x:c>
      <x:c r="D2150" t="str">
        <x:v>Supplements</x:v>
      </x:c>
      <x:c r="E2150" t="str">
        <x:v>BCAAs</x:v>
      </x:c>
      <x:c r="F2150" t="str"/>
      <x:c r="G2150" t="str">
        <x:v>500g / 50 servings</x:v>
      </x:c>
      <x:c r="H2150" t="str">
        <x:v>Pineapple</x:v>
      </x:c>
      <x:c r="I2150" t="str"/>
      <x:c r="J2150" t="str">
        <x:v>Unit</x:v>
      </x:c>
      <x:c r="K2150" t="str">
        <x:v>In stock</x:v>
      </x:c>
      <x:c r="L2150" t="str">
        <x:v>2026-09-08</x:v>
      </x:c>
      <x:c r="M2150" t="str"/>
      <x:c r="N2150" t="str"/>
      <x:c r="O2150" t="str">
        <x:v>https://www.activesportstrade.co.uk/trade-sports-supplements/olimp-trade</x:v>
      </x:c>
      <x:c r="P2150" t="str">
        <x:v>Supplier NEW wording stripped from Mango variant.</x:v>
      </x:c>
      <x:c r="Q2150" t="str"/>
      <x:c r="R2150" t="str"/>
      <x:c r="S2150" t="str">
        <x:v>Pending genuine supplier/brand image</x:v>
      </x:c>
      <x:c r="T2150" s="54" t="n">
        <x:v>16.63</x:v>
      </x:c>
      <x:c r="U2150" s="47" t="n">
        <x:v>0.2</x:v>
      </x:c>
      <x:c r="V2150" s="54" t="n">
        <x:f>IF(ISNUMBER(T2150),T2150*(1+U2150),"")</x:f>
        <x:v>19.956</x:v>
      </x:c>
      <x:c r="W2150" s="47" t="n">
        <x:v>0.3</x:v>
      </x:c>
      <x:c r="X2150" s="54" t="n">
        <x:f>IF(ISNUMBER(V2150),V2150/(1-W2150),"")</x:f>
        <x:v>28.50857142857143</x:v>
      </x:c>
      <x:c r="Y2150" s="55" t="n">
        <x:f>IF(ISNUMBER(X2150),ROUNDUP(X2150,0),"")</x:f>
        <x:v>29</x:v>
      </x:c>
      <x:c r="Z2150" t="str">
        <x:v>Source match pending</x:v>
      </x:c>
      <x:c r="AA2150" t="str">
        <x:v>screencapture-www-activesportstrade-co-uk-olimp-trade-2026-09-10-09_05_33.pdf / page-03</x:v>
      </x:c>
      <x:c r="AB2150" s="36" t="n">
        <x:f>IF(ISNUMBER(Y2150),ROUND(Y2150*0.9,2),"")</x:f>
        <x:v>26.1</x:v>
      </x:c>
      <x:c r="AC2150" s="36" t="n">
        <x:f>IF(ISNUMBER(AB2150),ROUND(AB2150-(AB2150*0.015+0.2)-V2150,2),"")</x:f>
        <x:v>5.55</x:v>
      </x:c>
      <x:c r="AD2150" s="36" t="n">
        <x:f>IF(ISNUMBER(Y2150),ROUND(Y2150*0.8,2),"")</x:f>
        <x:v>23.2</x:v>
      </x:c>
      <x:c r="AE2150" s="36" t="n">
        <x:f>IF(ISNUMBER(AD2150),ROUND(AD2150*0.015+0.2,2),"")</x:f>
        <x:v>0.55</x:v>
      </x:c>
      <x:c r="AF2150" s="36" t="n">
        <x:f>IF(ISNUMBER(AD2150),ROUND(AD2150-AE2150-V2150,2),"")</x:f>
        <x:v>2.69</x:v>
      </x:c>
      <x:c r="AG2150" t="str">
        <x:f>IF(NOT(ISNUMBER(T2150)),"PENDING",IF(AF2150&gt;0,"PASS","FAIL"))</x:f>
        <x:v>PASS</x:v>
      </x:c>
      <x:c r="AH2150" t="str">
        <x:f>IF(NOT(ISNUMBER(T2150)),"Needs supplier cost",IF(K2150&lt;&gt;"In stock","Supplier unavailable",IF(AG2150&lt;&gt;"PASS","BLOCK - GT loss risk","Commercially protected")))</x:f>
        <x:v>Commercially protected</x:v>
      </x:c>
      <x:c r="AI2150" t="str">
        <x:v>2026-09-10 Active Sports trade capture</x:v>
      </x:c>
      <x:c r="AJ2150" t="str">
        <x:v>Management-only economics. Stripe stress test uses 1.5% + £0.20 standard UK online-card fee; pallet/mix-and-match pricing ignored.</x:v>
      </x:c>
    </x:row>
    <x:row r="2151">
      <x:c r="A2151" t="str">
        <x:v>Active Sports Nutrition</x:v>
      </x:c>
      <x:c r="B2151" t="str">
        <x:v>Olimp</x:v>
      </x:c>
      <x:c r="C2151" t="str">
        <x:v>BCAA Xplode</x:v>
      </x:c>
      <x:c r="D2151" t="str">
        <x:v>Supplements</x:v>
      </x:c>
      <x:c r="E2151" t="str">
        <x:v>BCAAs</x:v>
      </x:c>
      <x:c r="F2151" t="str"/>
      <x:c r="G2151" t="str">
        <x:v>500g / 50 servings</x:v>
      </x:c>
      <x:c r="H2151" t="str">
        <x:v>Strawberry</x:v>
      </x:c>
      <x:c r="I2151" t="str"/>
      <x:c r="J2151" t="str">
        <x:v>Unit</x:v>
      </x:c>
      <x:c r="K2151" t="str">
        <x:v>In stock</x:v>
      </x:c>
      <x:c r="L2151" t="str">
        <x:v>2026-09-08</x:v>
      </x:c>
      <x:c r="M2151" t="str"/>
      <x:c r="N2151" t="str"/>
      <x:c r="O2151" t="str">
        <x:v>https://www.activesportstrade.co.uk/trade-sports-supplements/olimp-trade</x:v>
      </x:c>
      <x:c r="P2151" t="str">
        <x:v>Supplier NEW wording stripped from Mango variant.</x:v>
      </x:c>
      <x:c r="Q2151" t="str"/>
      <x:c r="R2151" t="str"/>
      <x:c r="S2151" t="str">
        <x:v>Pending genuine supplier/brand image</x:v>
      </x:c>
      <x:c r="T2151" s="54" t="n">
        <x:v>16.63</x:v>
      </x:c>
      <x:c r="U2151" s="47" t="n">
        <x:v>0.2</x:v>
      </x:c>
      <x:c r="V2151" s="54" t="n">
        <x:f>IF(ISNUMBER(T2151),T2151*(1+U2151),"")</x:f>
        <x:v>19.956</x:v>
      </x:c>
      <x:c r="W2151" s="47" t="n">
        <x:v>0.3</x:v>
      </x:c>
      <x:c r="X2151" s="54" t="n">
        <x:f>IF(ISNUMBER(V2151),V2151/(1-W2151),"")</x:f>
        <x:v>28.50857142857143</x:v>
      </x:c>
      <x:c r="Y2151" s="55" t="n">
        <x:f>IF(ISNUMBER(X2151),ROUNDUP(X2151,0),"")</x:f>
        <x:v>29</x:v>
      </x:c>
      <x:c r="Z2151" t="str">
        <x:v>Source match pending</x:v>
      </x:c>
      <x:c r="AA2151" t="str">
        <x:v>screencapture-www-activesportstrade-co-uk-olimp-trade-2026-09-10-09_05_33.pdf / page-03</x:v>
      </x:c>
      <x:c r="AB2151" s="36" t="n">
        <x:f>IF(ISNUMBER(Y2151),ROUND(Y2151*0.9,2),"")</x:f>
        <x:v>26.1</x:v>
      </x:c>
      <x:c r="AC2151" s="36" t="n">
        <x:f>IF(ISNUMBER(AB2151),ROUND(AB2151-(AB2151*0.015+0.2)-V2151,2),"")</x:f>
        <x:v>5.55</x:v>
      </x:c>
      <x:c r="AD2151" s="36" t="n">
        <x:f>IF(ISNUMBER(Y2151),ROUND(Y2151*0.8,2),"")</x:f>
        <x:v>23.2</x:v>
      </x:c>
      <x:c r="AE2151" s="36" t="n">
        <x:f>IF(ISNUMBER(AD2151),ROUND(AD2151*0.015+0.2,2),"")</x:f>
        <x:v>0.55</x:v>
      </x:c>
      <x:c r="AF2151" s="36" t="n">
        <x:f>IF(ISNUMBER(AD2151),ROUND(AD2151-AE2151-V2151,2),"")</x:f>
        <x:v>2.69</x:v>
      </x:c>
      <x:c r="AG2151" t="str">
        <x:f>IF(NOT(ISNUMBER(T2151)),"PENDING",IF(AF2151&gt;0,"PASS","FAIL"))</x:f>
        <x:v>PASS</x:v>
      </x:c>
      <x:c r="AH2151" t="str">
        <x:f>IF(NOT(ISNUMBER(T2151)),"Needs supplier cost",IF(K2151&lt;&gt;"In stock","Supplier unavailable",IF(AG2151&lt;&gt;"PASS","BLOCK - GT loss risk","Commercially protected")))</x:f>
        <x:v>Commercially protected</x:v>
      </x:c>
      <x:c r="AI2151" t="str">
        <x:v>2026-09-10 Active Sports trade capture</x:v>
      </x:c>
      <x:c r="AJ2151" t="str">
        <x:v>Management-only economics. Stripe stress test uses 1.5% + £0.20 standard UK online-card fee; pallet/mix-and-match pricing ignored.</x:v>
      </x:c>
    </x:row>
    <x:row r="2152">
      <x:c r="A2152" t="str">
        <x:v>Active Sports Nutrition</x:v>
      </x:c>
      <x:c r="B2152" t="str">
        <x:v>Olimp</x:v>
      </x:c>
      <x:c r="C2152" t="str">
        <x:v>Beta Alanine Carno Rush Mega Tabs</x:v>
      </x:c>
      <x:c r="D2152" t="str">
        <x:v>Supplements</x:v>
      </x:c>
      <x:c r="E2152" t="str">
        <x:v>Beta Alanine</x:v>
      </x:c>
      <x:c r="F2152" t="str"/>
      <x:c r="G2152" t="str">
        <x:v>80 tabs</x:v>
      </x:c>
      <x:c r="H2152" t="str">
        <x:v>Default</x:v>
      </x:c>
      <x:c r="I2152" t="str"/>
      <x:c r="J2152" t="str">
        <x:v>Unit</x:v>
      </x:c>
      <x:c r="K2152" t="str">
        <x:v>In stock</x:v>
      </x:c>
      <x:c r="L2152" t="str">
        <x:v>2026-09-08</x:v>
      </x:c>
      <x:c r="M2152" t="str"/>
      <x:c r="N2152" t="str"/>
      <x:c r="O2152" t="str">
        <x:v>https://www.activesportstrade.co.uk/trade-sports-supplements/olimp-trade</x:v>
      </x:c>
      <x:c r="P2152" t="str">
        <x:v>SPECIAL OFFER wording stripped from canonical title.</x:v>
      </x:c>
      <x:c r="Q2152" t="str"/>
      <x:c r="R2152" t="str"/>
      <x:c r="S2152" t="str">
        <x:v>Pending genuine supplier/brand image</x:v>
      </x:c>
      <x:c r="T2152" s="54" t="n">
        <x:v>5.71</x:v>
      </x:c>
      <x:c r="U2152" s="47" t="n">
        <x:v>0.2</x:v>
      </x:c>
      <x:c r="V2152" s="54" t="n">
        <x:f>IF(ISNUMBER(T2152),T2152*(1+U2152),"")</x:f>
        <x:v>6.851999999999999</x:v>
      </x:c>
      <x:c r="W2152" s="47" t="n">
        <x:v>0.3</x:v>
      </x:c>
      <x:c r="X2152" s="54" t="n">
        <x:f>IF(ISNUMBER(V2152),V2152/(1-W2152),"")</x:f>
        <x:v>9.788571428571428</x:v>
      </x:c>
      <x:c r="Y2152" s="55" t="n">
        <x:f>IF(ISNUMBER(X2152),ROUNDUP(X2152,0),"")</x:f>
        <x:v>10</x:v>
      </x:c>
      <x:c r="Z2152" t="str">
        <x:v>Source match pending</x:v>
      </x:c>
      <x:c r="AA2152" t="str">
        <x:v>screencapture-www-activesportstrade-co-uk-olimp-trade-2026-09-10-09_05_33.pdf / page-03</x:v>
      </x:c>
      <x:c r="AB2152" s="36" t="n">
        <x:f>IF(ISNUMBER(Y2152),ROUND(Y2152*0.9,2),"")</x:f>
        <x:v>9</x:v>
      </x:c>
      <x:c r="AC2152" s="36" t="n">
        <x:f>IF(ISNUMBER(AB2152),ROUND(AB2152-(AB2152*0.015+0.2)-V2152,2),"")</x:f>
        <x:v>1.81</x:v>
      </x:c>
      <x:c r="AD2152" s="36" t="n">
        <x:f>IF(ISNUMBER(Y2152),ROUND(Y2152*0.8,2),"")</x:f>
        <x:v>8</x:v>
      </x:c>
      <x:c r="AE2152" s="36" t="n">
        <x:f>IF(ISNUMBER(AD2152),ROUND(AD2152*0.015+0.2,2),"")</x:f>
        <x:v>0.32</x:v>
      </x:c>
      <x:c r="AF2152" s="36" t="n">
        <x:f>IF(ISNUMBER(AD2152),ROUND(AD2152-AE2152-V2152,2),"")</x:f>
        <x:v>0.83</x:v>
      </x:c>
      <x:c r="AG2152" t="str">
        <x:f>IF(NOT(ISNUMBER(T2152)),"PENDING",IF(AF2152&gt;0,"PASS","FAIL"))</x:f>
        <x:v>PASS</x:v>
      </x:c>
      <x:c r="AH2152" t="str">
        <x:f>IF(NOT(ISNUMBER(T2152)),"Needs supplier cost",IF(K2152&lt;&gt;"In stock","Supplier unavailable",IF(AG2152&lt;&gt;"PASS","BLOCK - GT loss risk","Commercially protected")))</x:f>
        <x:v>Commercially protected</x:v>
      </x:c>
      <x:c r="AI2152" t="str">
        <x:v>2026-09-10 Active Sports trade capture</x:v>
      </x:c>
      <x:c r="AJ2152" t="str">
        <x:v>Management-only economics. Stripe stress test uses 1.5% + £0.20 standard UK online-card fee; pallet/mix-and-match pricing ignored.</x:v>
      </x:c>
    </x:row>
    <x:row r="2153">
      <x:c r="A2153" t="str">
        <x:v>Active Sports Nutrition</x:v>
      </x:c>
      <x:c r="B2153" t="str">
        <x:v>Olimp</x:v>
      </x:c>
      <x:c r="C2153" t="str">
        <x:v>Beta Alanine Xplode</x:v>
      </x:c>
      <x:c r="D2153" t="str">
        <x:v>Supplements</x:v>
      </x:c>
      <x:c r="E2153" t="str">
        <x:v>Beta Alanine</x:v>
      </x:c>
      <x:c r="F2153" t="str"/>
      <x:c r="G2153" t="str">
        <x:v>250g</x:v>
      </x:c>
      <x:c r="H2153" t="str">
        <x:v>Orange</x:v>
      </x:c>
      <x:c r="I2153" t="str"/>
      <x:c r="J2153" t="str">
        <x:v>Unit</x:v>
      </x:c>
      <x:c r="K2153" t="str">
        <x:v>In stock</x:v>
      </x:c>
      <x:c r="L2153" t="str">
        <x:v>2026-09-08</x:v>
      </x:c>
      <x:c r="M2153" t="str"/>
      <x:c r="N2153" t="str"/>
      <x:c r="O2153" t="str">
        <x:v>https://www.activesportstrade.co.uk/trade-sports-supplements/olimp-trade</x:v>
      </x:c>
      <x:c r="P2153" t="str"/>
      <x:c r="Q2153" t="str"/>
      <x:c r="R2153" t="str"/>
      <x:c r="S2153" t="str">
        <x:v>Pending genuine supplier/brand image</x:v>
      </x:c>
      <x:c r="T2153" s="54" t="n">
        <x:v>10.09</x:v>
      </x:c>
      <x:c r="U2153" s="47" t="n">
        <x:v>0.2</x:v>
      </x:c>
      <x:c r="V2153" s="54" t="n">
        <x:f>IF(ISNUMBER(T2153),T2153*(1+U2153),"")</x:f>
        <x:v>12.107999999999999</x:v>
      </x:c>
      <x:c r="W2153" s="47" t="n">
        <x:v>0.3</x:v>
      </x:c>
      <x:c r="X2153" s="54" t="n">
        <x:f>IF(ISNUMBER(V2153),V2153/(1-W2153),"")</x:f>
        <x:v>17.297142857142855</x:v>
      </x:c>
      <x:c r="Y2153" s="55" t="n">
        <x:f>IF(ISNUMBER(X2153),ROUNDUP(X2153,0),"")</x:f>
        <x:v>18</x:v>
      </x:c>
      <x:c r="Z2153" t="str">
        <x:v>Source match pending</x:v>
      </x:c>
      <x:c r="AA2153" t="str">
        <x:v>screencapture-www-activesportstrade-co-uk-olimp-trade-2026-09-10-09_05_33.pdf / page-03</x:v>
      </x:c>
      <x:c r="AB2153" s="36" t="n">
        <x:f>IF(ISNUMBER(Y2153),ROUND(Y2153*0.9,2),"")</x:f>
        <x:v>16.2</x:v>
      </x:c>
      <x:c r="AC2153" s="36" t="n">
        <x:f>IF(ISNUMBER(AB2153),ROUND(AB2153-(AB2153*0.015+0.2)-V2153,2),"")</x:f>
        <x:v>3.65</x:v>
      </x:c>
      <x:c r="AD2153" s="36" t="n">
        <x:f>IF(ISNUMBER(Y2153),ROUND(Y2153*0.8,2),"")</x:f>
        <x:v>14.4</x:v>
      </x:c>
      <x:c r="AE2153" s="36" t="n">
        <x:f>IF(ISNUMBER(AD2153),ROUND(AD2153*0.015+0.2,2),"")</x:f>
        <x:v>0.42</x:v>
      </x:c>
      <x:c r="AF2153" s="36" t="n">
        <x:f>IF(ISNUMBER(AD2153),ROUND(AD2153-AE2153-V2153,2),"")</x:f>
        <x:v>1.87</x:v>
      </x:c>
      <x:c r="AG2153" t="str">
        <x:f>IF(NOT(ISNUMBER(T2153)),"PENDING",IF(AF2153&gt;0,"PASS","FAIL"))</x:f>
        <x:v>PASS</x:v>
      </x:c>
      <x:c r="AH2153" t="str">
        <x:f>IF(NOT(ISNUMBER(T2153)),"Needs supplier cost",IF(K2153&lt;&gt;"In stock","Supplier unavailable",IF(AG2153&lt;&gt;"PASS","BLOCK - GT loss risk","Commercially protected")))</x:f>
        <x:v>Commercially protected</x:v>
      </x:c>
      <x:c r="AI2153" t="str">
        <x:v>2026-09-10 Active Sports trade capture</x:v>
      </x:c>
      <x:c r="AJ2153" t="str">
        <x:v>Management-only economics. Stripe stress test uses 1.5% + £0.20 standard UK online-card fee; pallet/mix-and-match pricing ignored.</x:v>
      </x:c>
    </x:row>
    <x:row r="2154">
      <x:c r="A2154" t="str">
        <x:v>Active Sports Nutrition</x:v>
      </x:c>
      <x:c r="B2154" t="str">
        <x:v>Olimp</x:v>
      </x:c>
      <x:c r="C2154" t="str">
        <x:v>Beta Solar Sports Edition</x:v>
      </x:c>
      <x:c r="D2154" t="str">
        <x:v>Supplements</x:v>
      </x:c>
      <x:c r="E2154" t="str">
        <x:v>Vitamins and Minerals</x:v>
      </x:c>
      <x:c r="F2154" t="str"/>
      <x:c r="G2154" t="str">
        <x:v>30 caps</x:v>
      </x:c>
      <x:c r="H2154" t="str">
        <x:v>Default</x:v>
      </x:c>
      <x:c r="I2154" t="str"/>
      <x:c r="J2154" t="str">
        <x:v>Unit</x:v>
      </x:c>
      <x:c r="K2154" t="str">
        <x:v>In stock</x:v>
      </x:c>
      <x:c r="L2154" t="str">
        <x:v>2026-09-08</x:v>
      </x:c>
      <x:c r="M2154" t="str"/>
      <x:c r="N2154" t="str"/>
      <x:c r="O2154" t="str">
        <x:v>https://www.activesportstrade.co.uk/trade-sports-supplements/olimp-trade</x:v>
      </x:c>
      <x:c r="P2154" t="str"/>
      <x:c r="Q2154" t="str"/>
      <x:c r="R2154" t="str"/>
      <x:c r="S2154" t="str">
        <x:v>Pending genuine supplier/brand image</x:v>
      </x:c>
      <x:c r="T2154" s="54" t="n">
        <x:v>4.3</x:v>
      </x:c>
      <x:c r="U2154" s="47" t="n">
        <x:v>0.2</x:v>
      </x:c>
      <x:c r="V2154" s="54" t="n">
        <x:f>IF(ISNUMBER(T2154),T2154*(1+U2154),"")</x:f>
        <x:v>5.159999999999999</x:v>
      </x:c>
      <x:c r="W2154" s="47" t="n">
        <x:v>0.3</x:v>
      </x:c>
      <x:c r="X2154" s="54" t="n">
        <x:f>IF(ISNUMBER(V2154),V2154/(1-W2154),"")</x:f>
        <x:v>7.371428571428571</x:v>
      </x:c>
      <x:c r="Y2154" s="55" t="n">
        <x:f>IF(ISNUMBER(X2154),ROUNDUP(X2154,0),"")</x:f>
        <x:v>8</x:v>
      </x:c>
      <x:c r="Z2154" t="str">
        <x:v>Source match pending</x:v>
      </x:c>
      <x:c r="AA2154" t="str">
        <x:v>screencapture-www-activesportstrade-co-uk-olimp-trade-2026-09-10-09_05_33.pdf / page-03</x:v>
      </x:c>
      <x:c r="AB2154" s="36" t="n">
        <x:f>IF(ISNUMBER(Y2154),ROUND(Y2154*0.9,2),"")</x:f>
        <x:v>7.2</x:v>
      </x:c>
      <x:c r="AC2154" s="36" t="n">
        <x:f>IF(ISNUMBER(AB2154),ROUND(AB2154-(AB2154*0.015+0.2)-V2154,2),"")</x:f>
        <x:v>1.73</x:v>
      </x:c>
      <x:c r="AD2154" s="36" t="n">
        <x:f>IF(ISNUMBER(Y2154),ROUND(Y2154*0.8,2),"")</x:f>
        <x:v>6.4</x:v>
      </x:c>
      <x:c r="AE2154" s="36" t="n">
        <x:f>IF(ISNUMBER(AD2154),ROUND(AD2154*0.015+0.2,2),"")</x:f>
        <x:v>0.3</x:v>
      </x:c>
      <x:c r="AF2154" s="36" t="n">
        <x:f>IF(ISNUMBER(AD2154),ROUND(AD2154-AE2154-V2154,2),"")</x:f>
        <x:v>0.94</x:v>
      </x:c>
      <x:c r="AG2154" t="str">
        <x:f>IF(NOT(ISNUMBER(T2154)),"PENDING",IF(AF2154&gt;0,"PASS","FAIL"))</x:f>
        <x:v>PASS</x:v>
      </x:c>
      <x:c r="AH2154" t="str">
        <x:f>IF(NOT(ISNUMBER(T2154)),"Needs supplier cost",IF(K2154&lt;&gt;"In stock","Supplier unavailable",IF(AG2154&lt;&gt;"PASS","BLOCK - GT loss risk","Commercially protected")))</x:f>
        <x:v>Commercially protected</x:v>
      </x:c>
      <x:c r="AI2154" t="str">
        <x:v>2026-09-10 Active Sports trade capture</x:v>
      </x:c>
      <x:c r="AJ2154" t="str">
        <x:v>Management-only economics. Stripe stress test uses 1.5% + £0.20 standard UK online-card fee; pallet/mix-and-match pricing ignored.</x:v>
      </x:c>
    </x:row>
    <x:row r="2155">
      <x:c r="A2155" t="str">
        <x:v>Active Sports Nutrition</x:v>
      </x:c>
      <x:c r="B2155" t="str">
        <x:v>Olimp</x:v>
      </x:c>
      <x:c r="C2155" t="str">
        <x:v>Blackweiler Shred Pre Workout</x:v>
      </x:c>
      <x:c r="D2155" t="str">
        <x:v>Pre Workouts</x:v>
      </x:c>
      <x:c r="E2155" t="str">
        <x:v>High Stim</x:v>
      </x:c>
      <x:c r="F2155" t="str"/>
      <x:c r="G2155" t="str">
        <x:v>480g</x:v>
      </x:c>
      <x:c r="H2155" t="str">
        <x:v>Exotic Orange</x:v>
      </x:c>
      <x:c r="I2155" t="str"/>
      <x:c r="J2155" t="str">
        <x:v>Unit</x:v>
      </x:c>
      <x:c r="K2155" t="str">
        <x:v>In stock</x:v>
      </x:c>
      <x:c r="L2155" t="str">
        <x:v>2026-09-08</x:v>
      </x:c>
      <x:c r="M2155" t="str"/>
      <x:c r="N2155" t="str"/>
      <x:c r="O2155" t="str">
        <x:v>https://www.activesportstrade.co.uk/trade-sports-supplements/olimp-trade</x:v>
      </x:c>
      <x:c r="P2155" t="str"/>
      <x:c r="Q2155" t="str"/>
      <x:c r="R2155" t="str"/>
      <x:c r="S2155" t="str">
        <x:v>Pending genuine supplier/brand image</x:v>
      </x:c>
      <x:c r="T2155" s="54" t="n">
        <x:v>23.21</x:v>
      </x:c>
      <x:c r="U2155" s="47" t="n">
        <x:v>0.2</x:v>
      </x:c>
      <x:c r="V2155" s="54" t="n">
        <x:f>IF(ISNUMBER(T2155),T2155*(1+U2155),"")</x:f>
        <x:v>27.852</x:v>
      </x:c>
      <x:c r="W2155" s="47" t="n">
        <x:v>0.3</x:v>
      </x:c>
      <x:c r="X2155" s="54" t="n">
        <x:f>IF(ISNUMBER(V2155),V2155/(1-W2155),"")</x:f>
        <x:v>39.78857142857143</x:v>
      </x:c>
      <x:c r="Y2155" s="55" t="n">
        <x:f>IF(ISNUMBER(X2155),ROUNDUP(X2155,0),"")</x:f>
        <x:v>40</x:v>
      </x:c>
      <x:c r="Z2155" t="str">
        <x:v>Source match pending</x:v>
      </x:c>
      <x:c r="AA2155" t="str">
        <x:v>screencapture-www-activesportstrade-co-uk-olimp-trade-2026-09-10-09_05_33.pdf / page-04</x:v>
      </x:c>
      <x:c r="AB2155" s="36" t="n">
        <x:f>IF(ISNUMBER(Y2155),ROUND(Y2155*0.9,2),"")</x:f>
        <x:v>36</x:v>
      </x:c>
      <x:c r="AC2155" s="36" t="n">
        <x:f>IF(ISNUMBER(AB2155),ROUND(AB2155-(AB2155*0.015+0.2)-V2155,2),"")</x:f>
        <x:v>7.41</x:v>
      </x:c>
      <x:c r="AD2155" s="36" t="n">
        <x:f>IF(ISNUMBER(Y2155),ROUND(Y2155*0.8,2),"")</x:f>
        <x:v>32</x:v>
      </x:c>
      <x:c r="AE2155" s="36" t="n">
        <x:f>IF(ISNUMBER(AD2155),ROUND(AD2155*0.015+0.2,2),"")</x:f>
        <x:v>0.68</x:v>
      </x:c>
      <x:c r="AF2155" s="36" t="n">
        <x:f>IF(ISNUMBER(AD2155),ROUND(AD2155-AE2155-V2155,2),"")</x:f>
        <x:v>3.47</x:v>
      </x:c>
      <x:c r="AG2155" t="str">
        <x:f>IF(NOT(ISNUMBER(T2155)),"PENDING",IF(AF2155&gt;0,"PASS","FAIL"))</x:f>
        <x:v>PASS</x:v>
      </x:c>
      <x:c r="AH2155" t="str">
        <x:f>IF(NOT(ISNUMBER(T2155)),"Needs supplier cost",IF(K2155&lt;&gt;"In stock","Supplier unavailable",IF(AG2155&lt;&gt;"PASS","BLOCK - GT loss risk","Commercially protected")))</x:f>
        <x:v>Commercially protected</x:v>
      </x:c>
      <x:c r="AI2155" t="str">
        <x:v>2026-09-10 Active Sports trade capture</x:v>
      </x:c>
      <x:c r="AJ2155" t="str">
        <x:v>Management-only economics. Stripe stress test uses 1.5% + £0.20 standard UK online-card fee; pallet/mix-and-match pricing ignored.</x:v>
      </x:c>
    </x:row>
    <x:row r="2156">
      <x:c r="A2156" t="str">
        <x:v>Active Sports Nutrition</x:v>
      </x:c>
      <x:c r="B2156" t="str">
        <x:v>Olimp</x:v>
      </x:c>
      <x:c r="C2156" t="str">
        <x:v>Blackweiler Shred Shots</x:v>
      </x:c>
      <x:c r="D2156" t="str">
        <x:v>Pre Workouts</x:v>
      </x:c>
      <x:c r="E2156" t="str">
        <x:v>Shots and Ready To Drink</x:v>
      </x:c>
      <x:c r="F2156" t="str"/>
      <x:c r="G2156" t="str">
        <x:v>9 shots</x:v>
      </x:c>
      <x:c r="H2156" t="str">
        <x:v>Citrus Punch</x:v>
      </x:c>
      <x:c r="I2156" t="str">
        <x:v>9</x:v>
      </x:c>
      <x:c r="J2156" t="str">
        <x:v>Case</x:v>
      </x:c>
      <x:c r="K2156" t="str">
        <x:v>In stock</x:v>
      </x:c>
      <x:c r="L2156" t="str">
        <x:v>2026-09-08</x:v>
      </x:c>
      <x:c r="M2156" t="str"/>
      <x:c r="N2156" t="str"/>
      <x:c r="O2156" t="str">
        <x:v>https://www.activesportstrade.co.uk/ready-to-drink-pre-workout-trade</x:v>
      </x:c>
      <x:c r="P2156" t="str">
        <x:v>Fresh RTD pre-workout page confirms Citrus Punch; earlier Cherry transcription corrected. Case-only.</x:v>
      </x:c>
      <x:c r="Q2156" t="str"/>
      <x:c r="R2156" t="str"/>
      <x:c r="S2156" t="str">
        <x:v>Pending genuine supplier/brand image</x:v>
      </x:c>
      <x:c r="T2156" s="54" t="n">
        <x:v>10.99</x:v>
      </x:c>
      <x:c r="U2156" s="47" t="n">
        <x:v>0.2</x:v>
      </x:c>
      <x:c r="V2156" s="54" t="n">
        <x:f>IF(ISNUMBER(T2156),T2156*(1+U2156),"")</x:f>
        <x:v>13.188</x:v>
      </x:c>
      <x:c r="W2156" s="47" t="n">
        <x:v>0.3</x:v>
      </x:c>
      <x:c r="X2156" s="54" t="n">
        <x:f>IF(ISNUMBER(V2156),V2156/(1-W2156),"")</x:f>
        <x:v>18.840000000000003</x:v>
      </x:c>
      <x:c r="Y2156" s="55" t="n">
        <x:f>IF(ISNUMBER(X2156),ROUNDUP(X2156,0),"")</x:f>
        <x:v>19</x:v>
      </x:c>
      <x:c r="Z2156" t="str">
        <x:v>Source match pending</x:v>
      </x:c>
      <x:c r="AA2156" t="str">
        <x:v>screencapture-www-activesportstrade-co-uk-olimp-trade-2026-09-10-09_05_33.pdf / page-04</x:v>
      </x:c>
      <x:c r="AB2156" s="36" t="n">
        <x:f>IF(ISNUMBER(Y2156),ROUND(Y2156*0.9,2),"")</x:f>
        <x:v>17.1</x:v>
      </x:c>
      <x:c r="AC2156" s="36" t="n">
        <x:f>IF(ISNUMBER(AB2156),ROUND(AB2156-(AB2156*0.015+0.2)-V2156,2),"")</x:f>
        <x:v>3.46</x:v>
      </x:c>
      <x:c r="AD2156" s="36" t="n">
        <x:f>IF(ISNUMBER(Y2156),ROUND(Y2156*0.8,2),"")</x:f>
        <x:v>15.2</x:v>
      </x:c>
      <x:c r="AE2156" s="36" t="n">
        <x:f>IF(ISNUMBER(AD2156),ROUND(AD2156*0.015+0.2,2),"")</x:f>
        <x:v>0.43</x:v>
      </x:c>
      <x:c r="AF2156" s="36" t="n">
        <x:f>IF(ISNUMBER(AD2156),ROUND(AD2156-AE2156-V2156,2),"")</x:f>
        <x:v>1.58</x:v>
      </x:c>
      <x:c r="AG2156" t="str">
        <x:f>IF(NOT(ISNUMBER(T2156)),"PENDING",IF(AF2156&gt;0,"PASS","FAIL"))</x:f>
        <x:v>PASS</x:v>
      </x:c>
      <x:c r="AH2156" t="str">
        <x:f>IF(NOT(ISNUMBER(T2156)),"Needs supplier cost",IF(K2156&lt;&gt;"In stock","Supplier unavailable",IF(AG2156&lt;&gt;"PASS","BLOCK - GT loss risk","Commercially protected")))</x:f>
        <x:v>Commercially protected</x:v>
      </x:c>
      <x:c r="AI2156" t="str">
        <x:v>2026-09-10 Active Sports trade capture</x:v>
      </x:c>
      <x:c r="AJ2156" t="str">
        <x:v>Management-only economics. Stripe stress test uses 1.5% + £0.20 standard UK online-card fee; pallet/mix-and-match pricing ignored.</x:v>
      </x:c>
    </x:row>
    <x:row r="2157">
      <x:c r="A2157" t="str">
        <x:v>Active Sports Nutrition</x:v>
      </x:c>
      <x:c r="B2157" t="str">
        <x:v>Olimp</x:v>
      </x:c>
      <x:c r="C2157" t="str">
        <x:v>Creatine 1000 Mega Caps</x:v>
      </x:c>
      <x:c r="D2157" t="str">
        <x:v>Supplements</x:v>
      </x:c>
      <x:c r="E2157" t="str">
        <x:v>Creatine Capsules</x:v>
      </x:c>
      <x:c r="F2157" t="str"/>
      <x:c r="G2157" t="str">
        <x:v>180 caps</x:v>
      </x:c>
      <x:c r="H2157" t="str">
        <x:v>Default</x:v>
      </x:c>
      <x:c r="I2157" t="str"/>
      <x:c r="J2157" t="str">
        <x:v>Unit</x:v>
      </x:c>
      <x:c r="K2157" t="str">
        <x:v>In stock</x:v>
      </x:c>
      <x:c r="L2157" t="str">
        <x:v>2026-09-08</x:v>
      </x:c>
      <x:c r="M2157" t="str"/>
      <x:c r="N2157" t="str"/>
      <x:c r="O2157" t="str">
        <x:v>https://www.activesportstrade.co.uk/trade-sports-supplements/olimp-trade</x:v>
      </x:c>
      <x:c r="P2157" t="str">
        <x:v>SPECIAL OFFER wording stripped from canonical title.</x:v>
      </x:c>
      <x:c r="Q2157" t="str"/>
      <x:c r="R2157" t="str"/>
      <x:c r="S2157" t="str">
        <x:v>Pending genuine supplier/brand image</x:v>
      </x:c>
      <x:c r="T2157" s="54" t="n">
        <x:v>8.99</x:v>
      </x:c>
      <x:c r="U2157" s="47" t="n">
        <x:v>0.2</x:v>
      </x:c>
      <x:c r="V2157" s="54" t="n">
        <x:f>IF(ISNUMBER(T2157),T2157*(1+U2157),"")</x:f>
        <x:v>10.788</x:v>
      </x:c>
      <x:c r="W2157" s="47" t="n">
        <x:v>0.3</x:v>
      </x:c>
      <x:c r="X2157" s="54" t="n">
        <x:f>IF(ISNUMBER(V2157),V2157/(1-W2157),"")</x:f>
        <x:v>15.411428571428573</x:v>
      </x:c>
      <x:c r="Y2157" s="55" t="n">
        <x:f>IF(ISNUMBER(X2157),ROUNDUP(X2157,0),"")</x:f>
        <x:v>16</x:v>
      </x:c>
      <x:c r="Z2157" t="str">
        <x:v>Source match pending</x:v>
      </x:c>
      <x:c r="AA2157" t="str">
        <x:v>screencapture-www-activesportstrade-co-uk-olimp-trade-2026-09-10-09_05_33.pdf / page-06</x:v>
      </x:c>
      <x:c r="AB2157" s="36" t="n">
        <x:f>IF(ISNUMBER(Y2157),ROUND(Y2157*0.9,2),"")</x:f>
        <x:v>14.4</x:v>
      </x:c>
      <x:c r="AC2157" s="36" t="n">
        <x:f>IF(ISNUMBER(AB2157),ROUND(AB2157-(AB2157*0.015+0.2)-V2157,2),"")</x:f>
        <x:v>3.2</x:v>
      </x:c>
      <x:c r="AD2157" s="36" t="n">
        <x:f>IF(ISNUMBER(Y2157),ROUND(Y2157*0.8,2),"")</x:f>
        <x:v>12.8</x:v>
      </x:c>
      <x:c r="AE2157" s="36" t="n">
        <x:f>IF(ISNUMBER(AD2157),ROUND(AD2157*0.015+0.2,2),"")</x:f>
        <x:v>0.39</x:v>
      </x:c>
      <x:c r="AF2157" s="36" t="n">
        <x:f>IF(ISNUMBER(AD2157),ROUND(AD2157-AE2157-V2157,2),"")</x:f>
        <x:v>1.62</x:v>
      </x:c>
      <x:c r="AG2157" t="str">
        <x:f>IF(NOT(ISNUMBER(T2157)),"PENDING",IF(AF2157&gt;0,"PASS","FAIL"))</x:f>
        <x:v>PASS</x:v>
      </x:c>
      <x:c r="AH2157" t="str">
        <x:f>IF(NOT(ISNUMBER(T2157)),"Needs supplier cost",IF(K2157&lt;&gt;"In stock","Supplier unavailable",IF(AG2157&lt;&gt;"PASS","BLOCK - GT loss risk","Commercially protected")))</x:f>
        <x:v>Commercially protected</x:v>
      </x:c>
      <x:c r="AI2157" t="str">
        <x:v>2026-09-10 Active Sports trade capture</x:v>
      </x:c>
      <x:c r="AJ2157" t="str">
        <x:v>Management-only economics. Stripe stress test uses 1.5% + £0.20 standard UK online-card fee; pallet/mix-and-match pricing ignored.</x:v>
      </x:c>
    </x:row>
    <x:row r="2158">
      <x:c r="A2158" t="str">
        <x:v>Active Sports Nutrition</x:v>
      </x:c>
      <x:c r="B2158" t="str">
        <x:v>Olimp</x:v>
      </x:c>
      <x:c r="C2158" t="str">
        <x:v>Creatine 1250 Mega Caps</x:v>
      </x:c>
      <x:c r="D2158" t="str">
        <x:v>Supplements</x:v>
      </x:c>
      <x:c r="E2158" t="str">
        <x:v>Creatine Capsules</x:v>
      </x:c>
      <x:c r="F2158" t="str"/>
      <x:c r="G2158" t="str">
        <x:v>120 caps</x:v>
      </x:c>
      <x:c r="H2158" t="str">
        <x:v>Default</x:v>
      </x:c>
      <x:c r="I2158" t="str"/>
      <x:c r="J2158" t="str">
        <x:v>Unit</x:v>
      </x:c>
      <x:c r="K2158" t="str">
        <x:v>Out of stock</x:v>
      </x:c>
      <x:c r="L2158" t="str">
        <x:v>2026-09-08</x:v>
      </x:c>
      <x:c r="M2158" t="str"/>
      <x:c r="N2158" t="str"/>
      <x:c r="O2158" t="str">
        <x:v>https://www.activesportstrade.co.uk/trade-sports-supplements/olimp-trade</x:v>
      </x:c>
      <x:c r="P2158" t="str">
        <x:v>SPECIAL OFFER wording stripped from canonical title.</x:v>
      </x:c>
      <x:c r="Q2158" t="str"/>
      <x:c r="R2158" t="str"/>
      <x:c r="S2158" t="str">
        <x:v>Pending genuine supplier/brand image</x:v>
      </x:c>
      <x:c r="T2158" s="54" t="n">
        <x:v>5.99</x:v>
      </x:c>
      <x:c r="U2158" s="47" t="n">
        <x:v>0.2</x:v>
      </x:c>
      <x:c r="V2158" s="54" t="n">
        <x:f>IF(ISNUMBER(T2158),T2158*(1+U2158),"")</x:f>
        <x:v>7.188</x:v>
      </x:c>
      <x:c r="W2158" s="47" t="n">
        <x:v>0.3</x:v>
      </x:c>
      <x:c r="X2158" s="54" t="n">
        <x:f>IF(ISNUMBER(V2158),V2158/(1-W2158),"")</x:f>
        <x:v>10.268571428571429</x:v>
      </x:c>
      <x:c r="Y2158" s="55" t="n">
        <x:f>IF(ISNUMBER(X2158),ROUNDUP(X2158,0),"")</x:f>
        <x:v>11</x:v>
      </x:c>
      <x:c r="Z2158" t="str">
        <x:v>Source match pending</x:v>
      </x:c>
      <x:c r="AA2158" t="str">
        <x:v>screencapture-www-activesportstrade-co-uk-olimp-trade-2026-09-10-09_05_33.pdf / page-06</x:v>
      </x:c>
      <x:c r="AB2158" s="36" t="n">
        <x:f>IF(ISNUMBER(Y2158),ROUND(Y2158*0.9,2),"")</x:f>
        <x:v>9.9</x:v>
      </x:c>
      <x:c r="AC2158" s="36" t="n">
        <x:f>IF(ISNUMBER(AB2158),ROUND(AB2158-(AB2158*0.015+0.2)-V2158,2),"")</x:f>
        <x:v>2.36</x:v>
      </x:c>
      <x:c r="AD2158" s="36" t="n">
        <x:f>IF(ISNUMBER(Y2158),ROUND(Y2158*0.8,2),"")</x:f>
        <x:v>8.8</x:v>
      </x:c>
      <x:c r="AE2158" s="36" t="n">
        <x:f>IF(ISNUMBER(AD2158),ROUND(AD2158*0.015+0.2,2),"")</x:f>
        <x:v>0.33</x:v>
      </x:c>
      <x:c r="AF2158" s="36" t="n">
        <x:f>IF(ISNUMBER(AD2158),ROUND(AD2158-AE2158-V2158,2),"")</x:f>
        <x:v>1.28</x:v>
      </x:c>
      <x:c r="AG2158" t="str">
        <x:f>IF(NOT(ISNUMBER(T2158)),"PENDING",IF(AF2158&gt;0,"PASS","FAIL"))</x:f>
        <x:v>PASS</x:v>
      </x:c>
      <x:c r="AH2158" t="str">
        <x:f>IF(NOT(ISNUMBER(T2158)),"Needs supplier cost",IF(K2158&lt;&gt;"In stock","Supplier unavailable",IF(AG2158&lt;&gt;"PASS","BLOCK - GT loss risk","Commercially protected")))</x:f>
        <x:v>Supplier unavailable</x:v>
      </x:c>
      <x:c r="AI2158" t="str">
        <x:v>2026-09-10 Active Sports trade capture</x:v>
      </x:c>
      <x:c r="AJ2158" t="str">
        <x:v>Management-only economics. Stripe stress test uses 1.5% + £0.20 standard UK online-card fee; pallet/mix-and-match pricing ignored.</x:v>
      </x:c>
    </x:row>
    <x:row r="2159">
      <x:c r="A2159" t="str">
        <x:v>Active Sports Nutrition</x:v>
      </x:c>
      <x:c r="B2159" t="str">
        <x:v>Olimp</x:v>
      </x:c>
      <x:c r="C2159" t="str">
        <x:v>Creatine 1250 Mega Caps</x:v>
      </x:c>
      <x:c r="D2159" t="str">
        <x:v>Supplements</x:v>
      </x:c>
      <x:c r="E2159" t="str">
        <x:v>Creatine Capsules</x:v>
      </x:c>
      <x:c r="F2159" t="str"/>
      <x:c r="G2159" t="str">
        <x:v>400 caps</x:v>
      </x:c>
      <x:c r="H2159" t="str">
        <x:v>Default</x:v>
      </x:c>
      <x:c r="I2159" t="str"/>
      <x:c r="J2159" t="str">
        <x:v>Unit</x:v>
      </x:c>
      <x:c r="K2159" t="str">
        <x:v>Out of stock</x:v>
      </x:c>
      <x:c r="L2159" t="str">
        <x:v>2026-09-08</x:v>
      </x:c>
      <x:c r="M2159" t="str"/>
      <x:c r="N2159" t="str"/>
      <x:c r="O2159" t="str">
        <x:v>https://www.activesportstrade.co.uk/trade-sports-supplements/olimp-trade</x:v>
      </x:c>
      <x:c r="P2159" t="str">
        <x:v>SPECIAL OFFER wording stripped from canonical title.</x:v>
      </x:c>
      <x:c r="Q2159" t="str"/>
      <x:c r="R2159" t="str"/>
      <x:c r="S2159" t="str">
        <x:v>Pending genuine supplier/brand image</x:v>
      </x:c>
      <x:c r="T2159" s="54" t="n">
        <x:v>17.99</x:v>
      </x:c>
      <x:c r="U2159" s="47" t="n">
        <x:v>0.2</x:v>
      </x:c>
      <x:c r="V2159" s="54" t="n">
        <x:f>IF(ISNUMBER(T2159),T2159*(1+U2159),"")</x:f>
        <x:v>21.587999999999997</x:v>
      </x:c>
      <x:c r="W2159" s="47" t="n">
        <x:v>0.3</x:v>
      </x:c>
      <x:c r="X2159" s="54" t="n">
        <x:f>IF(ISNUMBER(V2159),V2159/(1-W2159),"")</x:f>
        <x:v>30.84</x:v>
      </x:c>
      <x:c r="Y2159" s="55" t="n">
        <x:f>IF(ISNUMBER(X2159),ROUNDUP(X2159,0),"")</x:f>
        <x:v>31</x:v>
      </x:c>
      <x:c r="Z2159" t="str">
        <x:v>Source match pending</x:v>
      </x:c>
      <x:c r="AA2159" t="str">
        <x:v>screencapture-www-activesportstrade-co-uk-olimp-trade-2026-09-10-09_05_33.pdf / page-06</x:v>
      </x:c>
      <x:c r="AB2159" s="36" t="n">
        <x:f>IF(ISNUMBER(Y2159),ROUND(Y2159*0.9,2),"")</x:f>
        <x:v>27.9</x:v>
      </x:c>
      <x:c r="AC2159" s="36" t="n">
        <x:f>IF(ISNUMBER(AB2159),ROUND(AB2159-(AB2159*0.015+0.2)-V2159,2),"")</x:f>
        <x:v>5.69</x:v>
      </x:c>
      <x:c r="AD2159" s="36" t="n">
        <x:f>IF(ISNUMBER(Y2159),ROUND(Y2159*0.8,2),"")</x:f>
        <x:v>24.8</x:v>
      </x:c>
      <x:c r="AE2159" s="36" t="n">
        <x:f>IF(ISNUMBER(AD2159),ROUND(AD2159*0.015+0.2,2),"")</x:f>
        <x:v>0.57</x:v>
      </x:c>
      <x:c r="AF2159" s="36" t="n">
        <x:f>IF(ISNUMBER(AD2159),ROUND(AD2159-AE2159-V2159,2),"")</x:f>
        <x:v>2.64</x:v>
      </x:c>
      <x:c r="AG2159" t="str">
        <x:f>IF(NOT(ISNUMBER(T2159)),"PENDING",IF(AF2159&gt;0,"PASS","FAIL"))</x:f>
        <x:v>PASS</x:v>
      </x:c>
      <x:c r="AH2159" t="str">
        <x:f>IF(NOT(ISNUMBER(T2159)),"Needs supplier cost",IF(K2159&lt;&gt;"In stock","Supplier unavailable",IF(AG2159&lt;&gt;"PASS","BLOCK - GT loss risk","Commercially protected")))</x:f>
        <x:v>Supplier unavailable</x:v>
      </x:c>
      <x:c r="AI2159" t="str">
        <x:v>2026-09-10 Active Sports trade capture</x:v>
      </x:c>
      <x:c r="AJ2159" t="str">
        <x:v>Management-only economics. Stripe stress test uses 1.5% + £0.20 standard UK online-card fee; pallet/mix-and-match pricing ignored.</x:v>
      </x:c>
    </x:row>
    <x:row r="2160">
      <x:c r="A2160" t="str">
        <x:v>Active Sports Nutrition</x:v>
      </x:c>
      <x:c r="B2160" t="str">
        <x:v>Olimp</x:v>
      </x:c>
      <x:c r="C2160" t="str">
        <x:v>Creatine Xplode</x:v>
      </x:c>
      <x:c r="D2160" t="str">
        <x:v>Supplements</x:v>
      </x:c>
      <x:c r="E2160" t="str">
        <x:v>Creatine Powders</x:v>
      </x:c>
      <x:c r="F2160" t="str"/>
      <x:c r="G2160" t="str">
        <x:v>500g tub</x:v>
      </x:c>
      <x:c r="H2160" t="str">
        <x:v>Grapefruit</x:v>
      </x:c>
      <x:c r="I2160" t="str"/>
      <x:c r="J2160" t="str">
        <x:v>Unit</x:v>
      </x:c>
      <x:c r="K2160" t="str">
        <x:v>In stock</x:v>
      </x:c>
      <x:c r="L2160" t="str">
        <x:v>2026-09-08</x:v>
      </x:c>
      <x:c r="M2160" t="str"/>
      <x:c r="N2160" t="str"/>
      <x:c r="O2160" t="str">
        <x:v>https://www.activesportstrade.co.uk/trade-sports-supplements/olimp-trade</x:v>
      </x:c>
      <x:c r="P2160" t="str">
        <x:v>Separate from Creatine Monohydrate Xplode 500g Bag; SPECIAL OFFER wording stripped.</x:v>
      </x:c>
      <x:c r="Q2160" t="str"/>
      <x:c r="R2160" t="str"/>
      <x:c r="S2160" t="str">
        <x:v>Pending genuine supplier/brand image</x:v>
      </x:c>
      <x:c r="T2160" s="54" t="n">
        <x:v>14.89</x:v>
      </x:c>
      <x:c r="U2160" s="47" t="n">
        <x:v>0.2</x:v>
      </x:c>
      <x:c r="V2160" s="54" t="n">
        <x:f>IF(ISNUMBER(T2160),T2160*(1+U2160),"")</x:f>
        <x:v>17.868</x:v>
      </x:c>
      <x:c r="W2160" s="47" t="n">
        <x:v>0.3</x:v>
      </x:c>
      <x:c r="X2160" s="54" t="n">
        <x:f>IF(ISNUMBER(V2160),V2160/(1-W2160),"")</x:f>
        <x:v>25.525714285714287</x:v>
      </x:c>
      <x:c r="Y2160" s="55" t="n">
        <x:f>IF(ISNUMBER(X2160),ROUNDUP(X2160,0),"")</x:f>
        <x:v>26</x:v>
      </x:c>
      <x:c r="Z2160" t="str">
        <x:v>Source match pending</x:v>
      </x:c>
      <x:c r="AA2160" t="str">
        <x:v>screencapture-www-activesportstrade-co-uk-olimp-trade-2026-09-10-09_05_33.pdf / page-06</x:v>
      </x:c>
      <x:c r="AB2160" s="36" t="n">
        <x:f>IF(ISNUMBER(Y2160),ROUND(Y2160*0.9,2),"")</x:f>
        <x:v>23.4</x:v>
      </x:c>
      <x:c r="AC2160" s="36" t="n">
        <x:f>IF(ISNUMBER(AB2160),ROUND(AB2160-(AB2160*0.015+0.2)-V2160,2),"")</x:f>
        <x:v>4.98</x:v>
      </x:c>
      <x:c r="AD2160" s="36" t="n">
        <x:f>IF(ISNUMBER(Y2160),ROUND(Y2160*0.8,2),"")</x:f>
        <x:v>20.8</x:v>
      </x:c>
      <x:c r="AE2160" s="36" t="n">
        <x:f>IF(ISNUMBER(AD2160),ROUND(AD2160*0.015+0.2,2),"")</x:f>
        <x:v>0.51</x:v>
      </x:c>
      <x:c r="AF2160" s="36" t="n">
        <x:f>IF(ISNUMBER(AD2160),ROUND(AD2160-AE2160-V2160,2),"")</x:f>
        <x:v>2.42</x:v>
      </x:c>
      <x:c r="AG2160" t="str">
        <x:f>IF(NOT(ISNUMBER(T2160)),"PENDING",IF(AF2160&gt;0,"PASS","FAIL"))</x:f>
        <x:v>PASS</x:v>
      </x:c>
      <x:c r="AH2160" t="str">
        <x:f>IF(NOT(ISNUMBER(T2160)),"Needs supplier cost",IF(K2160&lt;&gt;"In stock","Supplier unavailable",IF(AG2160&lt;&gt;"PASS","BLOCK - GT loss risk","Commercially protected")))</x:f>
        <x:v>Commercially protected</x:v>
      </x:c>
      <x:c r="AI2160" t="str">
        <x:v>2026-09-10 Active Sports trade capture</x:v>
      </x:c>
      <x:c r="AJ2160" t="str">
        <x:v>Management-only economics. Stripe stress test uses 1.5% + £0.20 standard UK online-card fee; pallet/mix-and-match pricing ignored.</x:v>
      </x:c>
    </x:row>
    <x:row r="2161">
      <x:c r="A2161" t="str">
        <x:v>Active Sports Nutrition</x:v>
      </x:c>
      <x:c r="B2161" t="str">
        <x:v>Olimp</x:v>
      </x:c>
      <x:c r="C2161" t="str">
        <x:v>Creatine Xplode</x:v>
      </x:c>
      <x:c r="D2161" t="str">
        <x:v>Supplements</x:v>
      </x:c>
      <x:c r="E2161" t="str">
        <x:v>Creatine Powders</x:v>
      </x:c>
      <x:c r="F2161" t="str"/>
      <x:c r="G2161" t="str">
        <x:v>500g tub</x:v>
      </x:c>
      <x:c r="H2161" t="str">
        <x:v>Orange</x:v>
      </x:c>
      <x:c r="I2161" t="str"/>
      <x:c r="J2161" t="str">
        <x:v>Unit</x:v>
      </x:c>
      <x:c r="K2161" t="str">
        <x:v>In stock</x:v>
      </x:c>
      <x:c r="L2161" t="str">
        <x:v>2026-09-08</x:v>
      </x:c>
      <x:c r="M2161" t="str"/>
      <x:c r="N2161" t="str"/>
      <x:c r="O2161" t="str">
        <x:v>https://www.activesportstrade.co.uk/trade-sports-supplements/olimp-trade</x:v>
      </x:c>
      <x:c r="P2161" t="str">
        <x:v>Separate from Creatine Monohydrate Xplode 500g Bag; SPECIAL OFFER wording stripped.</x:v>
      </x:c>
      <x:c r="Q2161" t="str"/>
      <x:c r="R2161" t="str"/>
      <x:c r="S2161" t="str">
        <x:v>Pending genuine supplier/brand image</x:v>
      </x:c>
      <x:c r="T2161" s="54" t="n">
        <x:v>14.89</x:v>
      </x:c>
      <x:c r="U2161" s="47" t="n">
        <x:v>0.2</x:v>
      </x:c>
      <x:c r="V2161" s="54" t="n">
        <x:f>IF(ISNUMBER(T2161),T2161*(1+U2161),"")</x:f>
        <x:v>17.868</x:v>
      </x:c>
      <x:c r="W2161" s="47" t="n">
        <x:v>0.3</x:v>
      </x:c>
      <x:c r="X2161" s="54" t="n">
        <x:f>IF(ISNUMBER(V2161),V2161/(1-W2161),"")</x:f>
        <x:v>25.525714285714287</x:v>
      </x:c>
      <x:c r="Y2161" s="55" t="n">
        <x:f>IF(ISNUMBER(X2161),ROUNDUP(X2161,0),"")</x:f>
        <x:v>26</x:v>
      </x:c>
      <x:c r="Z2161" t="str">
        <x:v>Source match pending</x:v>
      </x:c>
      <x:c r="AA2161" t="str">
        <x:v>screencapture-www-activesportstrade-co-uk-olimp-trade-2026-09-10-09_05_33.pdf / page-06</x:v>
      </x:c>
      <x:c r="AB2161" s="36" t="n">
        <x:f>IF(ISNUMBER(Y2161),ROUND(Y2161*0.9,2),"")</x:f>
        <x:v>23.4</x:v>
      </x:c>
      <x:c r="AC2161" s="36" t="n">
        <x:f>IF(ISNUMBER(AB2161),ROUND(AB2161-(AB2161*0.015+0.2)-V2161,2),"")</x:f>
        <x:v>4.98</x:v>
      </x:c>
      <x:c r="AD2161" s="36" t="n">
        <x:f>IF(ISNUMBER(Y2161),ROUND(Y2161*0.8,2),"")</x:f>
        <x:v>20.8</x:v>
      </x:c>
      <x:c r="AE2161" s="36" t="n">
        <x:f>IF(ISNUMBER(AD2161),ROUND(AD2161*0.015+0.2,2),"")</x:f>
        <x:v>0.51</x:v>
      </x:c>
      <x:c r="AF2161" s="36" t="n">
        <x:f>IF(ISNUMBER(AD2161),ROUND(AD2161-AE2161-V2161,2),"")</x:f>
        <x:v>2.42</x:v>
      </x:c>
      <x:c r="AG2161" t="str">
        <x:f>IF(NOT(ISNUMBER(T2161)),"PENDING",IF(AF2161&gt;0,"PASS","FAIL"))</x:f>
        <x:v>PASS</x:v>
      </x:c>
      <x:c r="AH2161" t="str">
        <x:f>IF(NOT(ISNUMBER(T2161)),"Needs supplier cost",IF(K2161&lt;&gt;"In stock","Supplier unavailable",IF(AG2161&lt;&gt;"PASS","BLOCK - GT loss risk","Commercially protected")))</x:f>
        <x:v>Commercially protected</x:v>
      </x:c>
      <x:c r="AI2161" t="str">
        <x:v>2026-09-10 Active Sports trade capture</x:v>
      </x:c>
      <x:c r="AJ2161" t="str">
        <x:v>Management-only economics. Stripe stress test uses 1.5% + £0.20 standard UK online-card fee; pallet/mix-and-match pricing ignored.</x:v>
      </x:c>
    </x:row>
    <x:row r="2162">
      <x:c r="A2162" t="str">
        <x:v>Active Sports Nutrition</x:v>
      </x:c>
      <x:c r="B2162" t="str">
        <x:v>Olimp</x:v>
      </x:c>
      <x:c r="C2162" t="str">
        <x:v>Creatine Xplode</x:v>
      </x:c>
      <x:c r="D2162" t="str">
        <x:v>Supplements</x:v>
      </x:c>
      <x:c r="E2162" t="str">
        <x:v>Creatine Powders</x:v>
      </x:c>
      <x:c r="F2162" t="str"/>
      <x:c r="G2162" t="str">
        <x:v>500g tub</x:v>
      </x:c>
      <x:c r="H2162" t="str">
        <x:v>Pineapple</x:v>
      </x:c>
      <x:c r="I2162" t="str"/>
      <x:c r="J2162" t="str">
        <x:v>Unit</x:v>
      </x:c>
      <x:c r="K2162" t="str">
        <x:v>In stock</x:v>
      </x:c>
      <x:c r="L2162" t="str">
        <x:v>2026-09-08</x:v>
      </x:c>
      <x:c r="M2162" t="str"/>
      <x:c r="N2162" t="str"/>
      <x:c r="O2162" t="str">
        <x:v>https://www.activesportstrade.co.uk/trade-sports-supplements/olimp-trade</x:v>
      </x:c>
      <x:c r="P2162" t="str">
        <x:v>Separate from Creatine Monohydrate Xplode 500g Bag; SPECIAL OFFER wording stripped.</x:v>
      </x:c>
      <x:c r="Q2162" t="str"/>
      <x:c r="R2162" t="str"/>
      <x:c r="S2162" t="str">
        <x:v>Pending genuine supplier/brand image</x:v>
      </x:c>
      <x:c r="T2162" s="54" t="n">
        <x:v>14.89</x:v>
      </x:c>
      <x:c r="U2162" s="47" t="n">
        <x:v>0.2</x:v>
      </x:c>
      <x:c r="V2162" s="54" t="n">
        <x:f>IF(ISNUMBER(T2162),T2162*(1+U2162),"")</x:f>
        <x:v>17.868</x:v>
      </x:c>
      <x:c r="W2162" s="47" t="n">
        <x:v>0.3</x:v>
      </x:c>
      <x:c r="X2162" s="54" t="n">
        <x:f>IF(ISNUMBER(V2162),V2162/(1-W2162),"")</x:f>
        <x:v>25.525714285714287</x:v>
      </x:c>
      <x:c r="Y2162" s="55" t="n">
        <x:f>IF(ISNUMBER(X2162),ROUNDUP(X2162,0),"")</x:f>
        <x:v>26</x:v>
      </x:c>
      <x:c r="Z2162" t="str">
        <x:v>Source match pending</x:v>
      </x:c>
      <x:c r="AA2162" t="str">
        <x:v>screencapture-www-activesportstrade-co-uk-olimp-trade-2026-09-10-09_05_33.pdf / page-06</x:v>
      </x:c>
      <x:c r="AB2162" s="36" t="n">
        <x:f>IF(ISNUMBER(Y2162),ROUND(Y2162*0.9,2),"")</x:f>
        <x:v>23.4</x:v>
      </x:c>
      <x:c r="AC2162" s="36" t="n">
        <x:f>IF(ISNUMBER(AB2162),ROUND(AB2162-(AB2162*0.015+0.2)-V2162,2),"")</x:f>
        <x:v>4.98</x:v>
      </x:c>
      <x:c r="AD2162" s="36" t="n">
        <x:f>IF(ISNUMBER(Y2162),ROUND(Y2162*0.8,2),"")</x:f>
        <x:v>20.8</x:v>
      </x:c>
      <x:c r="AE2162" s="36" t="n">
        <x:f>IF(ISNUMBER(AD2162),ROUND(AD2162*0.015+0.2,2),"")</x:f>
        <x:v>0.51</x:v>
      </x:c>
      <x:c r="AF2162" s="36" t="n">
        <x:f>IF(ISNUMBER(AD2162),ROUND(AD2162-AE2162-V2162,2),"")</x:f>
        <x:v>2.42</x:v>
      </x:c>
      <x:c r="AG2162" t="str">
        <x:f>IF(NOT(ISNUMBER(T2162)),"PENDING",IF(AF2162&gt;0,"PASS","FAIL"))</x:f>
        <x:v>PASS</x:v>
      </x:c>
      <x:c r="AH2162" t="str">
        <x:f>IF(NOT(ISNUMBER(T2162)),"Needs supplier cost",IF(K2162&lt;&gt;"In stock","Supplier unavailable",IF(AG2162&lt;&gt;"PASS","BLOCK - GT loss risk","Commercially protected")))</x:f>
        <x:v>Commercially protected</x:v>
      </x:c>
      <x:c r="AI2162" t="str">
        <x:v>2026-09-10 Active Sports trade capture</x:v>
      </x:c>
      <x:c r="AJ2162" t="str">
        <x:v>Management-only economics. Stripe stress test uses 1.5% + £0.20 standard UK online-card fee; pallet/mix-and-match pricing ignored.</x:v>
      </x:c>
    </x:row>
    <x:row r="2163">
      <x:c r="A2163" t="str">
        <x:v>Active Sports Nutrition</x:v>
      </x:c>
      <x:c r="B2163" t="str">
        <x:v>Olimp</x:v>
      </x:c>
      <x:c r="C2163" t="str">
        <x:v>DAA Xtreme Prolact Block</x:v>
      </x:c>
      <x:c r="D2163" t="str">
        <x:v>Supplements</x:v>
      </x:c>
      <x:c r="E2163" t="str">
        <x:v>Testosterone Support</x:v>
      </x:c>
      <x:c r="F2163" t="str"/>
      <x:c r="G2163" t="str">
        <x:v>60 tabs</x:v>
      </x:c>
      <x:c r="H2163" t="str">
        <x:v>Default</x:v>
      </x:c>
      <x:c r="I2163" t="str"/>
      <x:c r="J2163" t="str">
        <x:v>Unit</x:v>
      </x:c>
      <x:c r="K2163" t="str">
        <x:v>In stock</x:v>
      </x:c>
      <x:c r="L2163" t="str">
        <x:v>2026-09-08</x:v>
      </x:c>
      <x:c r="M2163" t="str"/>
      <x:c r="N2163" t="str"/>
      <x:c r="O2163" t="str">
        <x:v>https://www.activesportstrade.co.uk/trade-sports-supplements/olimp-trade</x:v>
      </x:c>
      <x:c r="P2163" t="str"/>
      <x:c r="Q2163" t="str"/>
      <x:c r="R2163" t="str"/>
      <x:c r="S2163" t="str">
        <x:v>Pending genuine supplier/brand image</x:v>
      </x:c>
      <x:c r="T2163" s="54" t="n">
        <x:v>8.2</x:v>
      </x:c>
      <x:c r="U2163" s="47" t="n">
        <x:v>0.2</x:v>
      </x:c>
      <x:c r="V2163" s="54" t="n">
        <x:f>IF(ISNUMBER(T2163),T2163*(1+U2163),"")</x:f>
        <x:v>9.839999999999998</x:v>
      </x:c>
      <x:c r="W2163" s="47" t="n">
        <x:v>0.3</x:v>
      </x:c>
      <x:c r="X2163" s="54" t="n">
        <x:f>IF(ISNUMBER(V2163),V2163/(1-W2163),"")</x:f>
        <x:v>14.057142857142855</x:v>
      </x:c>
      <x:c r="Y2163" s="55" t="n">
        <x:f>IF(ISNUMBER(X2163),ROUNDUP(X2163,0),"")</x:f>
        <x:v>15</x:v>
      </x:c>
      <x:c r="Z2163" t="str">
        <x:v>Source match pending</x:v>
      </x:c>
      <x:c r="AA2163" t="str">
        <x:v>screencapture-www-activesportstrade-co-uk-olimp-trade-2026-09-10-09_05_33.pdf / page-06</x:v>
      </x:c>
      <x:c r="AB2163" s="36" t="n">
        <x:f>IF(ISNUMBER(Y2163),ROUND(Y2163*0.9,2),"")</x:f>
        <x:v>13.5</x:v>
      </x:c>
      <x:c r="AC2163" s="36" t="n">
        <x:f>IF(ISNUMBER(AB2163),ROUND(AB2163-(AB2163*0.015+0.2)-V2163,2),"")</x:f>
        <x:v>3.26</x:v>
      </x:c>
      <x:c r="AD2163" s="36" t="n">
        <x:f>IF(ISNUMBER(Y2163),ROUND(Y2163*0.8,2),"")</x:f>
        <x:v>12</x:v>
      </x:c>
      <x:c r="AE2163" s="36" t="n">
        <x:f>IF(ISNUMBER(AD2163),ROUND(AD2163*0.015+0.2,2),"")</x:f>
        <x:v>0.38</x:v>
      </x:c>
      <x:c r="AF2163" s="36" t="n">
        <x:f>IF(ISNUMBER(AD2163),ROUND(AD2163-AE2163-V2163,2),"")</x:f>
        <x:v>1.78</x:v>
      </x:c>
      <x:c r="AG2163" t="str">
        <x:f>IF(NOT(ISNUMBER(T2163)),"PENDING",IF(AF2163&gt;0,"PASS","FAIL"))</x:f>
        <x:v>PASS</x:v>
      </x:c>
      <x:c r="AH2163" t="str">
        <x:f>IF(NOT(ISNUMBER(T2163)),"Needs supplier cost",IF(K2163&lt;&gt;"In stock","Supplier unavailable",IF(AG2163&lt;&gt;"PASS","BLOCK - GT loss risk","Commercially protected")))</x:f>
        <x:v>Commercially protected</x:v>
      </x:c>
      <x:c r="AI2163" t="str">
        <x:v>2026-09-10 Active Sports trade capture</x:v>
      </x:c>
      <x:c r="AJ2163" t="str">
        <x:v>Management-only economics. Stripe stress test uses 1.5% + £0.20 standard UK online-card fee; pallet/mix-and-match pricing ignored.</x:v>
      </x:c>
    </x:row>
    <x:row r="2164">
      <x:c r="A2164" t="str">
        <x:v>Active Sports Nutrition</x:v>
      </x:c>
      <x:c r="B2164" t="str">
        <x:v>Olimp</x:v>
      </x:c>
      <x:c r="C2164" t="str">
        <x:v>Detoxeed Pro</x:v>
      </x:c>
      <x:c r="D2164" t="str">
        <x:v>Supplements</x:v>
      </x:c>
      <x:c r="E2164" t="str">
        <x:v>Health Foods</x:v>
      </x:c>
      <x:c r="F2164" t="str"/>
      <x:c r="G2164" t="str">
        <x:v>60 caps</x:v>
      </x:c>
      <x:c r="H2164" t="str">
        <x:v>Default</x:v>
      </x:c>
      <x:c r="I2164" t="str"/>
      <x:c r="J2164" t="str">
        <x:v>Unit</x:v>
      </x:c>
      <x:c r="K2164" t="str">
        <x:v>In stock</x:v>
      </x:c>
      <x:c r="L2164" t="str">
        <x:v>2026-09-08</x:v>
      </x:c>
      <x:c r="M2164" t="str"/>
      <x:c r="N2164" t="str"/>
      <x:c r="O2164" t="str">
        <x:v>https://www.activesportstrade.co.uk/trade-sports-supplements/olimp-trade</x:v>
      </x:c>
      <x:c r="P2164" t="str"/>
      <x:c r="Q2164" t="str"/>
      <x:c r="R2164" t="str"/>
      <x:c r="S2164" t="str">
        <x:v>Pending genuine supplier/brand image</x:v>
      </x:c>
      <x:c r="T2164" s="54" t="n">
        <x:v>5.71</x:v>
      </x:c>
      <x:c r="U2164" s="47" t="n">
        <x:v>0.2</x:v>
      </x:c>
      <x:c r="V2164" s="54" t="n">
        <x:f>IF(ISNUMBER(T2164),T2164*(1+U2164),"")</x:f>
        <x:v>6.851999999999999</x:v>
      </x:c>
      <x:c r="W2164" s="47" t="n">
        <x:v>0.3</x:v>
      </x:c>
      <x:c r="X2164" s="54" t="n">
        <x:f>IF(ISNUMBER(V2164),V2164/(1-W2164),"")</x:f>
        <x:v>9.788571428571428</x:v>
      </x:c>
      <x:c r="Y2164" s="55" t="n">
        <x:f>IF(ISNUMBER(X2164),ROUNDUP(X2164,0),"")</x:f>
        <x:v>10</x:v>
      </x:c>
      <x:c r="Z2164" t="str">
        <x:v>Source match pending</x:v>
      </x:c>
      <x:c r="AA2164" t="str">
        <x:v>screencapture-www-activesportstrade-co-uk-olimp-trade-2026-09-10-09_05_33.pdf / page-06</x:v>
      </x:c>
      <x:c r="AB2164" s="36" t="n">
        <x:f>IF(ISNUMBER(Y2164),ROUND(Y2164*0.9,2),"")</x:f>
        <x:v>9</x:v>
      </x:c>
      <x:c r="AC2164" s="36" t="n">
        <x:f>IF(ISNUMBER(AB2164),ROUND(AB2164-(AB2164*0.015+0.2)-V2164,2),"")</x:f>
        <x:v>1.81</x:v>
      </x:c>
      <x:c r="AD2164" s="36" t="n">
        <x:f>IF(ISNUMBER(Y2164),ROUND(Y2164*0.8,2),"")</x:f>
        <x:v>8</x:v>
      </x:c>
      <x:c r="AE2164" s="36" t="n">
        <x:f>IF(ISNUMBER(AD2164),ROUND(AD2164*0.015+0.2,2),"")</x:f>
        <x:v>0.32</x:v>
      </x:c>
      <x:c r="AF2164" s="36" t="n">
        <x:f>IF(ISNUMBER(AD2164),ROUND(AD2164-AE2164-V2164,2),"")</x:f>
        <x:v>0.83</x:v>
      </x:c>
      <x:c r="AG2164" t="str">
        <x:f>IF(NOT(ISNUMBER(T2164)),"PENDING",IF(AF2164&gt;0,"PASS","FAIL"))</x:f>
        <x:v>PASS</x:v>
      </x:c>
      <x:c r="AH2164" t="str">
        <x:f>IF(NOT(ISNUMBER(T2164)),"Needs supplier cost",IF(K2164&lt;&gt;"In stock","Supplier unavailable",IF(AG2164&lt;&gt;"PASS","BLOCK - GT loss risk","Commercially protected")))</x:f>
        <x:v>Commercially protected</x:v>
      </x:c>
      <x:c r="AI2164" t="str">
        <x:v>2026-09-10 Active Sports trade capture</x:v>
      </x:c>
      <x:c r="AJ2164" t="str">
        <x:v>Management-only economics. Stripe stress test uses 1.5% + £0.20 standard UK online-card fee; pallet/mix-and-match pricing ignored.</x:v>
      </x:c>
    </x:row>
    <x:row r="2165">
      <x:c r="A2165" t="str">
        <x:v>Active Sports Nutrition</x:v>
      </x:c>
      <x:c r="B2165" t="str">
        <x:v>Olimp</x:v>
      </x:c>
      <x:c r="C2165" t="str">
        <x:v>Endugen</x:v>
      </x:c>
      <x:c r="D2165" t="str">
        <x:v>Supplements</x:v>
      </x:c>
      <x:c r="E2165" t="str">
        <x:v>Recovery Support</x:v>
      </x:c>
      <x:c r="F2165" t="str"/>
      <x:c r="G2165" t="str">
        <x:v>60 caps</x:v>
      </x:c>
      <x:c r="H2165" t="str">
        <x:v>Default</x:v>
      </x:c>
      <x:c r="I2165" t="str"/>
      <x:c r="J2165" t="str">
        <x:v>Unit</x:v>
      </x:c>
      <x:c r="K2165" t="str">
        <x:v>In stock</x:v>
      </x:c>
      <x:c r="L2165" t="str">
        <x:v>2026-09-08</x:v>
      </x:c>
      <x:c r="M2165" t="str"/>
      <x:c r="N2165" t="str"/>
      <x:c r="O2165" t="str">
        <x:v>https://www.activesportstrade.co.uk/trade-sports-supplements/olimp-trade</x:v>
      </x:c>
      <x:c r="P2165" t="str"/>
      <x:c r="Q2165" t="str"/>
      <x:c r="R2165" t="str"/>
      <x:c r="S2165" t="str">
        <x:v>Pending genuine supplier/brand image</x:v>
      </x:c>
      <x:c r="T2165" s="54" t="n">
        <x:v>6.53</x:v>
      </x:c>
      <x:c r="U2165" s="47" t="n">
        <x:v>0.2</x:v>
      </x:c>
      <x:c r="V2165" s="54" t="n">
        <x:f>IF(ISNUMBER(T2165),T2165*(1+U2165),"")</x:f>
        <x:v>7.836</x:v>
      </x:c>
      <x:c r="W2165" s="47" t="n">
        <x:v>0.3</x:v>
      </x:c>
      <x:c r="X2165" s="54" t="n">
        <x:f>IF(ISNUMBER(V2165),V2165/(1-W2165),"")</x:f>
        <x:v>11.194285714285716</x:v>
      </x:c>
      <x:c r="Y2165" s="55" t="n">
        <x:f>IF(ISNUMBER(X2165),ROUNDUP(X2165,0),"")</x:f>
        <x:v>12</x:v>
      </x:c>
      <x:c r="Z2165" t="str">
        <x:v>Source match pending</x:v>
      </x:c>
      <x:c r="AA2165" t="str">
        <x:v>screencapture-www-activesportstrade-co-uk-olimp-trade-2026-09-10-09_05_33.pdf / page-07</x:v>
      </x:c>
      <x:c r="AB2165" s="36" t="n">
        <x:f>IF(ISNUMBER(Y2165),ROUND(Y2165*0.9,2),"")</x:f>
        <x:v>10.8</x:v>
      </x:c>
      <x:c r="AC2165" s="36" t="n">
        <x:f>IF(ISNUMBER(AB2165),ROUND(AB2165-(AB2165*0.015+0.2)-V2165,2),"")</x:f>
        <x:v>2.6</x:v>
      </x:c>
      <x:c r="AD2165" s="36" t="n">
        <x:f>IF(ISNUMBER(Y2165),ROUND(Y2165*0.8,2),"")</x:f>
        <x:v>9.6</x:v>
      </x:c>
      <x:c r="AE2165" s="36" t="n">
        <x:f>IF(ISNUMBER(AD2165),ROUND(AD2165*0.015+0.2,2),"")</x:f>
        <x:v>0.34</x:v>
      </x:c>
      <x:c r="AF2165" s="36" t="n">
        <x:f>IF(ISNUMBER(AD2165),ROUND(AD2165-AE2165-V2165,2),"")</x:f>
        <x:v>1.42</x:v>
      </x:c>
      <x:c r="AG2165" t="str">
        <x:f>IF(NOT(ISNUMBER(T2165)),"PENDING",IF(AF2165&gt;0,"PASS","FAIL"))</x:f>
        <x:v>PASS</x:v>
      </x:c>
      <x:c r="AH2165" t="str">
        <x:f>IF(NOT(ISNUMBER(T2165)),"Needs supplier cost",IF(K2165&lt;&gt;"In stock","Supplier unavailable",IF(AG2165&lt;&gt;"PASS","BLOCK - GT loss risk","Commercially protected")))</x:f>
        <x:v>Commercially protected</x:v>
      </x:c>
      <x:c r="AI2165" t="str">
        <x:v>2026-09-10 Active Sports trade capture</x:v>
      </x:c>
      <x:c r="AJ2165" t="str">
        <x:v>Management-only economics. Stripe stress test uses 1.5% + £0.20 standard UK online-card fee; pallet/mix-and-match pricing ignored.</x:v>
      </x:c>
    </x:row>
    <x:row r="2166">
      <x:c r="A2166" t="str">
        <x:v>Active Sports Nutrition</x:v>
      </x:c>
      <x:c r="B2166" t="str">
        <x:v>Olimp</x:v>
      </x:c>
      <x:c r="C2166" t="str">
        <x:v>Extreme Speed Shots</x:v>
      </x:c>
      <x:c r="D2166" t="str">
        <x:v>Drinks and Bars</x:v>
      </x:c>
      <x:c r="E2166" t="str">
        <x:v>Ready to Drink Energy</x:v>
      </x:c>
      <x:c r="F2166" t="str"/>
      <x:c r="G2166" t="str">
        <x:v>9 x 25ml shots</x:v>
      </x:c>
      <x:c r="H2166" t="str">
        <x:v>Default</x:v>
      </x:c>
      <x:c r="I2166" t="str">
        <x:v>9</x:v>
      </x:c>
      <x:c r="J2166" t="str">
        <x:v>Case</x:v>
      </x:c>
      <x:c r="K2166" t="str">
        <x:v>In stock</x:v>
      </x:c>
      <x:c r="L2166" t="str">
        <x:v>2026-09-08</x:v>
      </x:c>
      <x:c r="M2166" t="str"/>
      <x:c r="N2166" t="str"/>
      <x:c r="O2166" t="str">
        <x:v>https://www.activesportstrade.co.uk/trade-sports-supplements/olimp-trade</x:v>
      </x:c>
      <x:c r="P2166" t="str"/>
      <x:c r="Q2166" t="str"/>
      <x:c r="R2166" t="str"/>
      <x:c r="S2166" t="str">
        <x:v>Pending genuine supplier/brand image</x:v>
      </x:c>
      <x:c r="T2166" s="54"/>
      <x:c r="U2166" s="47" t="n">
        <x:v>0.2</x:v>
      </x:c>
      <x:c r="V2166" s="54" t="str">
        <x:f>IF(ISNUMBER(T2166),T2166*(1+U2166),"")</x:f>
      </x:c>
      <x:c r="W2166" s="47" t="n">
        <x:v>0.3</x:v>
      </x:c>
      <x:c r="X2166" s="54" t="str">
        <x:f>IF(ISNUMBER(V2166),V2166/(1-W2166),"")</x:f>
      </x:c>
      <x:c r="Y2166" s="55" t="str">
        <x:f>IF(ISNUMBER(X2166),ROUNDUP(X2166,0),"")</x:f>
      </x:c>
      <x:c r="Z2166" t="str">
        <x:f>IF(ISNUMBER(T2166),"Cost captured","Awaiting trade cost")</x:f>
        <x:v>Awaiting trade cost</x:v>
      </x:c>
      <x:c r="AB2166" s="36" t="str">
        <x:f>IF(ISNUMBER(Y2166),ROUND(Y2166*0.9,2),"")</x:f>
      </x:c>
      <x:c r="AC2166" s="36" t="str">
        <x:f>IF(ISNUMBER(AB2166),ROUND(AB2166-(AB2166*0.015+0.2)-V2166,2),"")</x:f>
      </x:c>
      <x:c r="AD2166" s="36" t="str">
        <x:f>IF(ISNUMBER(Y2166),ROUND(Y2166*0.8,2),"")</x:f>
      </x:c>
      <x:c r="AE2166" s="36" t="str">
        <x:f>IF(ISNUMBER(AD2166),ROUND(AD2166*0.015+0.2,2),"")</x:f>
      </x:c>
      <x:c r="AF2166" s="36" t="str">
        <x:f>IF(ISNUMBER(AD2166),ROUND(AD2166-AE2166-V2166,2),"")</x:f>
      </x:c>
      <x:c r="AG2166" t="str">
        <x:f>IF(NOT(ISNUMBER(T2166)),"PENDING",IF(AF2166&gt;0,"PASS","FAIL"))</x:f>
        <x:v>PENDING</x:v>
      </x:c>
      <x:c r="AH2166" t="str">
        <x:f>IF(NOT(ISNUMBER(T2166)),"Needs supplier cost",IF(K2166&lt;&gt;"In stock","Supplier unavailable",IF(AG2166&lt;&gt;"PASS","BLOCK - GT loss risk","Commercially protected")))</x:f>
        <x:v>Needs supplier cost</x:v>
      </x:c>
      <x:c r="AI2166" t="str">
        <x:v>2026-09-10 Active Sports trade capture</x:v>
      </x:c>
      <x:c r="AJ2166" t="str">
        <x:v>Management-only economics. Stripe stress test uses 1.5% + £0.20 standard UK online-card fee; pallet/mix-and-match pricing ignored.</x:v>
      </x:c>
    </x:row>
    <x:row r="2167">
      <x:c r="A2167" t="str">
        <x:v>Active Sports Nutrition</x:v>
      </x:c>
      <x:c r="B2167" t="str">
        <x:v>Olimp</x:v>
      </x:c>
      <x:c r="C2167" t="str">
        <x:v>L-Carnitine Xplode Powder</x:v>
      </x:c>
      <x:c r="D2167" t="str">
        <x:v>Supplements</x:v>
      </x:c>
      <x:c r="E2167" t="str">
        <x:v>L-Carnitine</x:v>
      </x:c>
      <x:c r="F2167" t="str"/>
      <x:c r="G2167" t="str">
        <x:v>300g / 100 servings</x:v>
      </x:c>
      <x:c r="H2167" t="str">
        <x:v>Cherry</x:v>
      </x:c>
      <x:c r="I2167" t="str"/>
      <x:c r="J2167" t="str">
        <x:v>Unit</x:v>
      </x:c>
      <x:c r="K2167" t="str">
        <x:v>Out of stock</x:v>
      </x:c>
      <x:c r="L2167" t="str">
        <x:v>2026-09-08</x:v>
      </x:c>
      <x:c r="M2167" t="str"/>
      <x:c r="N2167" t="str"/>
      <x:c r="O2167" t="str">
        <x:v>https://www.activesportstrade.co.uk/trade-sports-supplements/olimp-trade</x:v>
      </x:c>
      <x:c r="P2167" t="str">
        <x:v>SPECIAL OFFER wording stripped from canonical title.</x:v>
      </x:c>
      <x:c r="Q2167" t="str"/>
      <x:c r="R2167" t="str"/>
      <x:c r="S2167" t="str">
        <x:v>Pending genuine supplier/brand image</x:v>
      </x:c>
      <x:c r="T2167" s="54"/>
      <x:c r="U2167" s="47" t="n">
        <x:v>0.2</x:v>
      </x:c>
      <x:c r="V2167" s="54" t="str">
        <x:f>IF(ISNUMBER(T2167),T2167*(1+U2167),"")</x:f>
      </x:c>
      <x:c r="W2167" s="47" t="n">
        <x:v>0.3</x:v>
      </x:c>
      <x:c r="X2167" s="54" t="str">
        <x:f>IF(ISNUMBER(V2167),V2167/(1-W2167),"")</x:f>
      </x:c>
      <x:c r="Y2167" s="55" t="str">
        <x:f>IF(ISNUMBER(X2167),ROUNDUP(X2167,0),"")</x:f>
      </x:c>
      <x:c r="Z2167" t="str">
        <x:f>IF(ISNUMBER(T2167),"Cost captured","Awaiting trade cost")</x:f>
        <x:v>Awaiting trade cost</x:v>
      </x:c>
      <x:c r="AB2167" s="36" t="str">
        <x:f>IF(ISNUMBER(Y2167),ROUND(Y2167*0.9,2),"")</x:f>
      </x:c>
      <x:c r="AC2167" s="36" t="str">
        <x:f>IF(ISNUMBER(AB2167),ROUND(AB2167-(AB2167*0.015+0.2)-V2167,2),"")</x:f>
      </x:c>
      <x:c r="AD2167" s="36" t="str">
        <x:f>IF(ISNUMBER(Y2167),ROUND(Y2167*0.8,2),"")</x:f>
      </x:c>
      <x:c r="AE2167" s="36" t="str">
        <x:f>IF(ISNUMBER(AD2167),ROUND(AD2167*0.015+0.2,2),"")</x:f>
      </x:c>
      <x:c r="AF2167" s="36" t="str">
        <x:f>IF(ISNUMBER(AD2167),ROUND(AD2167-AE2167-V2167,2),"")</x:f>
      </x:c>
      <x:c r="AG2167" t="str">
        <x:f>IF(NOT(ISNUMBER(T2167)),"PENDING",IF(AF2167&gt;0,"PASS","FAIL"))</x:f>
        <x:v>PENDING</x:v>
      </x:c>
      <x:c r="AH2167" t="str">
        <x:f>IF(NOT(ISNUMBER(T2167)),"Needs supplier cost",IF(K2167&lt;&gt;"In stock","Supplier unavailable",IF(AG2167&lt;&gt;"PASS","BLOCK - GT loss risk","Commercially protected")))</x:f>
        <x:v>Needs supplier cost</x:v>
      </x:c>
      <x:c r="AI2167" t="str">
        <x:v>2026-09-10 Active Sports trade capture</x:v>
      </x:c>
      <x:c r="AJ2167" t="str">
        <x:v>Management-only economics. Stripe stress test uses 1.5% + £0.20 standard UK online-card fee; pallet/mix-and-match pricing ignored.</x:v>
      </x:c>
    </x:row>
    <x:row r="2168">
      <x:c r="A2168" t="str">
        <x:v>Active Sports Nutrition</x:v>
      </x:c>
      <x:c r="B2168" t="str">
        <x:v>Olimp</x:v>
      </x:c>
      <x:c r="C2168" t="str">
        <x:v>L-Carnitine Xplode Powder</x:v>
      </x:c>
      <x:c r="D2168" t="str">
        <x:v>Supplements</x:v>
      </x:c>
      <x:c r="E2168" t="str">
        <x:v>L-Carnitine</x:v>
      </x:c>
      <x:c r="F2168" t="str"/>
      <x:c r="G2168" t="str">
        <x:v>300g / 100 servings</x:v>
      </x:c>
      <x:c r="H2168" t="str">
        <x:v>Orange</x:v>
      </x:c>
      <x:c r="I2168" t="str"/>
      <x:c r="J2168" t="str">
        <x:v>Unit</x:v>
      </x:c>
      <x:c r="K2168" t="str">
        <x:v>Out of stock</x:v>
      </x:c>
      <x:c r="L2168" t="str">
        <x:v>2026-09-08</x:v>
      </x:c>
      <x:c r="M2168" t="str"/>
      <x:c r="N2168" t="str"/>
      <x:c r="O2168" t="str">
        <x:v>https://www.activesportstrade.co.uk/trade-sports-supplements/olimp-trade</x:v>
      </x:c>
      <x:c r="P2168" t="str">
        <x:v>SPECIAL OFFER wording stripped from canonical title.</x:v>
      </x:c>
      <x:c r="Q2168" t="str"/>
      <x:c r="R2168" t="str"/>
      <x:c r="S2168" t="str">
        <x:v>Pending genuine supplier/brand image</x:v>
      </x:c>
      <x:c r="T2168" s="54"/>
      <x:c r="U2168" s="47" t="n">
        <x:v>0.2</x:v>
      </x:c>
      <x:c r="V2168" s="54" t="str">
        <x:f>IF(ISNUMBER(T2168),T2168*(1+U2168),"")</x:f>
      </x:c>
      <x:c r="W2168" s="47" t="n">
        <x:v>0.3</x:v>
      </x:c>
      <x:c r="X2168" s="54" t="str">
        <x:f>IF(ISNUMBER(V2168),V2168/(1-W2168),"")</x:f>
      </x:c>
      <x:c r="Y2168" s="55" t="str">
        <x:f>IF(ISNUMBER(X2168),ROUNDUP(X2168,0),"")</x:f>
      </x:c>
      <x:c r="Z2168" t="str">
        <x:f>IF(ISNUMBER(T2168),"Cost captured","Awaiting trade cost")</x:f>
        <x:v>Awaiting trade cost</x:v>
      </x:c>
      <x:c r="AB2168" s="36" t="str">
        <x:f>IF(ISNUMBER(Y2168),ROUND(Y2168*0.9,2),"")</x:f>
      </x:c>
      <x:c r="AC2168" s="36" t="str">
        <x:f>IF(ISNUMBER(AB2168),ROUND(AB2168-(AB2168*0.015+0.2)-V2168,2),"")</x:f>
      </x:c>
      <x:c r="AD2168" s="36" t="str">
        <x:f>IF(ISNUMBER(Y2168),ROUND(Y2168*0.8,2),"")</x:f>
      </x:c>
      <x:c r="AE2168" s="36" t="str">
        <x:f>IF(ISNUMBER(AD2168),ROUND(AD2168*0.015+0.2,2),"")</x:f>
      </x:c>
      <x:c r="AF2168" s="36" t="str">
        <x:f>IF(ISNUMBER(AD2168),ROUND(AD2168-AE2168-V2168,2),"")</x:f>
      </x:c>
      <x:c r="AG2168" t="str">
        <x:f>IF(NOT(ISNUMBER(T2168)),"PENDING",IF(AF2168&gt;0,"PASS","FAIL"))</x:f>
        <x:v>PENDING</x:v>
      </x:c>
      <x:c r="AH2168" t="str">
        <x:f>IF(NOT(ISNUMBER(T2168)),"Needs supplier cost",IF(K2168&lt;&gt;"In stock","Supplier unavailable",IF(AG2168&lt;&gt;"PASS","BLOCK - GT loss risk","Commercially protected")))</x:f>
        <x:v>Needs supplier cost</x:v>
      </x:c>
      <x:c r="AI2168" t="str">
        <x:v>2026-09-10 Active Sports trade capture</x:v>
      </x:c>
      <x:c r="AJ2168" t="str">
        <x:v>Management-only economics. Stripe stress test uses 1.5% + £0.20 standard UK online-card fee; pallet/mix-and-match pricing ignored.</x:v>
      </x:c>
    </x:row>
    <x:row r="2169">
      <x:c r="A2169" t="str">
        <x:v>Active Sports Nutrition</x:v>
      </x:c>
      <x:c r="B2169" t="str">
        <x:v>Olimp</x:v>
      </x:c>
      <x:c r="C2169" t="str">
        <x:v>L-Glutamine Powder</x:v>
      </x:c>
      <x:c r="D2169" t="str">
        <x:v>Supplements</x:v>
      </x:c>
      <x:c r="E2169" t="str">
        <x:v>L-Glutamine</x:v>
      </x:c>
      <x:c r="F2169" t="str"/>
      <x:c r="G2169" t="str">
        <x:v>250g</x:v>
      </x:c>
      <x:c r="H2169" t="str">
        <x:v>Unflavoured</x:v>
      </x:c>
      <x:c r="I2169" t="str"/>
      <x:c r="J2169" t="str">
        <x:v>Unit</x:v>
      </x:c>
      <x:c r="K2169" t="str">
        <x:v>In stock</x:v>
      </x:c>
      <x:c r="L2169" t="str">
        <x:v>2026-09-08</x:v>
      </x:c>
      <x:c r="M2169" t="str"/>
      <x:c r="N2169" t="str"/>
      <x:c r="O2169" t="str">
        <x:v>https://www.activesportstrade.co.uk/trade-sports-supplements/olimp-trade</x:v>
      </x:c>
      <x:c r="P2169" t="str"/>
      <x:c r="Q2169" t="str"/>
      <x:c r="R2169" t="str"/>
      <x:c r="S2169" t="str">
        <x:v>Pending genuine supplier/brand image</x:v>
      </x:c>
      <x:c r="T2169" s="54" t="n">
        <x:v>8.75</x:v>
      </x:c>
      <x:c r="U2169" s="47" t="n">
        <x:v>0.2</x:v>
      </x:c>
      <x:c r="V2169" s="54" t="n">
        <x:f>IF(ISNUMBER(T2169),T2169*(1+U2169),"")</x:f>
        <x:v>10.5</x:v>
      </x:c>
      <x:c r="W2169" s="47" t="n">
        <x:v>0.3</x:v>
      </x:c>
      <x:c r="X2169" s="54" t="n">
        <x:f>IF(ISNUMBER(V2169),V2169/(1-W2169),"")</x:f>
        <x:v>15.000000000000002</x:v>
      </x:c>
      <x:c r="Y2169" s="55" t="n">
        <x:f>IF(ISNUMBER(X2169),ROUNDUP(X2169,0),"")</x:f>
        <x:v>16</x:v>
      </x:c>
      <x:c r="Z2169" t="str">
        <x:v>Source match pending</x:v>
      </x:c>
      <x:c r="AA2169" t="str">
        <x:v>screencapture-www-activesportstrade-co-uk-olimp-trade-2026-09-10-09_05_33.pdf / page-10</x:v>
      </x:c>
      <x:c r="AB2169" s="36" t="n">
        <x:f>IF(ISNUMBER(Y2169),ROUND(Y2169*0.9,2),"")</x:f>
        <x:v>14.4</x:v>
      </x:c>
      <x:c r="AC2169" s="36" t="n">
        <x:f>IF(ISNUMBER(AB2169),ROUND(AB2169-(AB2169*0.015+0.2)-V2169,2),"")</x:f>
        <x:v>3.48</x:v>
      </x:c>
      <x:c r="AD2169" s="36" t="n">
        <x:f>IF(ISNUMBER(Y2169),ROUND(Y2169*0.8,2),"")</x:f>
        <x:v>12.8</x:v>
      </x:c>
      <x:c r="AE2169" s="36" t="n">
        <x:f>IF(ISNUMBER(AD2169),ROUND(AD2169*0.015+0.2,2),"")</x:f>
        <x:v>0.39</x:v>
      </x:c>
      <x:c r="AF2169" s="36" t="n">
        <x:f>IF(ISNUMBER(AD2169),ROUND(AD2169-AE2169-V2169,2),"")</x:f>
        <x:v>1.91</x:v>
      </x:c>
      <x:c r="AG2169" t="str">
        <x:f>IF(NOT(ISNUMBER(T2169)),"PENDING",IF(AF2169&gt;0,"PASS","FAIL"))</x:f>
        <x:v>PASS</x:v>
      </x:c>
      <x:c r="AH2169" t="str">
        <x:f>IF(NOT(ISNUMBER(T2169)),"Needs supplier cost",IF(K2169&lt;&gt;"In stock","Supplier unavailable",IF(AG2169&lt;&gt;"PASS","BLOCK - GT loss risk","Commercially protected")))</x:f>
        <x:v>Commercially protected</x:v>
      </x:c>
      <x:c r="AI2169" t="str">
        <x:v>2026-09-10 Active Sports trade capture</x:v>
      </x:c>
      <x:c r="AJ2169" t="str">
        <x:v>Management-only economics. Stripe stress test uses 1.5% + £0.20 standard UK online-card fee; pallet/mix-and-match pricing ignored.</x:v>
      </x:c>
    </x:row>
    <x:row r="2170">
      <x:c r="A2170" t="str">
        <x:v>Active Sports Nutrition</x:v>
      </x:c>
      <x:c r="B2170" t="str">
        <x:v>Olimp</x:v>
      </x:c>
      <x:c r="C2170" t="str">
        <x:v>Lions Mane Mushroom</x:v>
      </x:c>
      <x:c r="D2170" t="str">
        <x:v>Supplements</x:v>
      </x:c>
      <x:c r="E2170" t="str">
        <x:v>Health Foods</x:v>
      </x:c>
      <x:c r="F2170" t="str"/>
      <x:c r="G2170" t="str">
        <x:v>60 caps</x:v>
      </x:c>
      <x:c r="H2170" t="str">
        <x:v>Default</x:v>
      </x:c>
      <x:c r="I2170" t="str"/>
      <x:c r="J2170" t="str">
        <x:v>Unit</x:v>
      </x:c>
      <x:c r="K2170" t="str">
        <x:v>Out of stock</x:v>
      </x:c>
      <x:c r="L2170" t="str">
        <x:v>2026-09-08</x:v>
      </x:c>
      <x:c r="M2170" t="str"/>
      <x:c r="N2170" t="str"/>
      <x:c r="O2170" t="str">
        <x:v>https://www.activesportstrade.co.uk/trade-sports-supplements/olimp-trade</x:v>
      </x:c>
      <x:c r="P2170" t="str"/>
      <x:c r="Q2170" t="str"/>
      <x:c r="R2170" t="str"/>
      <x:c r="S2170" t="str">
        <x:v>Pending genuine supplier/brand image</x:v>
      </x:c>
      <x:c r="T2170" s="54" t="n">
        <x:v>9.44</x:v>
      </x:c>
      <x:c r="U2170" s="47" t="n">
        <x:v>0.2</x:v>
      </x:c>
      <x:c r="V2170" s="54" t="n">
        <x:f>IF(ISNUMBER(T2170),T2170*(1+U2170),"")</x:f>
        <x:v>11.328</x:v>
      </x:c>
      <x:c r="W2170" s="47" t="n">
        <x:v>0.3</x:v>
      </x:c>
      <x:c r="X2170" s="54" t="n">
        <x:f>IF(ISNUMBER(V2170),V2170/(1-W2170),"")</x:f>
        <x:v>16.18285714285714</x:v>
      </x:c>
      <x:c r="Y2170" s="55" t="n">
        <x:f>IF(ISNUMBER(X2170),ROUNDUP(X2170,0),"")</x:f>
        <x:v>17</x:v>
      </x:c>
      <x:c r="Z2170" t="str">
        <x:v>Source match pending</x:v>
      </x:c>
      <x:c r="AA2170" t="str">
        <x:v>screencapture-www-activesportstrade-co-uk-olimp-trade-2026-09-10-09_05_33.pdf / page-10</x:v>
      </x:c>
      <x:c r="AB2170" s="36" t="n">
        <x:f>IF(ISNUMBER(Y2170),ROUND(Y2170*0.9,2),"")</x:f>
        <x:v>15.3</x:v>
      </x:c>
      <x:c r="AC2170" s="36" t="n">
        <x:f>IF(ISNUMBER(AB2170),ROUND(AB2170-(AB2170*0.015+0.2)-V2170,2),"")</x:f>
        <x:v>3.54</x:v>
      </x:c>
      <x:c r="AD2170" s="36" t="n">
        <x:f>IF(ISNUMBER(Y2170),ROUND(Y2170*0.8,2),"")</x:f>
        <x:v>13.6</x:v>
      </x:c>
      <x:c r="AE2170" s="36" t="n">
        <x:f>IF(ISNUMBER(AD2170),ROUND(AD2170*0.015+0.2,2),"")</x:f>
        <x:v>0.4</x:v>
      </x:c>
      <x:c r="AF2170" s="36" t="n">
        <x:f>IF(ISNUMBER(AD2170),ROUND(AD2170-AE2170-V2170,2),"")</x:f>
        <x:v>1.87</x:v>
      </x:c>
      <x:c r="AG2170" t="str">
        <x:f>IF(NOT(ISNUMBER(T2170)),"PENDING",IF(AF2170&gt;0,"PASS","FAIL"))</x:f>
        <x:v>PASS</x:v>
      </x:c>
      <x:c r="AH2170" t="str">
        <x:f>IF(NOT(ISNUMBER(T2170)),"Needs supplier cost",IF(K2170&lt;&gt;"In stock","Supplier unavailable",IF(AG2170&lt;&gt;"PASS","BLOCK - GT loss risk","Commercially protected")))</x:f>
        <x:v>Supplier unavailable</x:v>
      </x:c>
      <x:c r="AI2170" t="str">
        <x:v>2026-09-10 Active Sports trade capture</x:v>
      </x:c>
      <x:c r="AJ2170" t="str">
        <x:v>Management-only economics. Stripe stress test uses 1.5% + £0.20 standard UK online-card fee; pallet/mix-and-match pricing ignored.</x:v>
      </x:c>
    </x:row>
    <x:row r="2171">
      <x:c r="A2171" t="str">
        <x:v>Active Sports Nutrition</x:v>
      </x:c>
      <x:c r="B2171" t="str">
        <x:v>Olimp</x:v>
      </x:c>
      <x:c r="C2171" t="str">
        <x:v>LipoRazor</x:v>
      </x:c>
      <x:c r="D2171" t="str">
        <x:v>Supplements</x:v>
      </x:c>
      <x:c r="E2171" t="str">
        <x:v>Weight Management</x:v>
      </x:c>
      <x:c r="F2171" t="str"/>
      <x:c r="G2171" t="str">
        <x:v>90 caps</x:v>
      </x:c>
      <x:c r="H2171" t="str">
        <x:v>Default</x:v>
      </x:c>
      <x:c r="I2171" t="str"/>
      <x:c r="J2171" t="str">
        <x:v>Unit</x:v>
      </x:c>
      <x:c r="K2171" t="str">
        <x:v>In stock</x:v>
      </x:c>
      <x:c r="L2171" t="str">
        <x:v>2026-09-08</x:v>
      </x:c>
      <x:c r="M2171" t="str"/>
      <x:c r="N2171" t="str"/>
      <x:c r="O2171" t="str">
        <x:v>https://www.activesportstrade.co.uk/trade-sports-supplements/olimp-trade</x:v>
      </x:c>
      <x:c r="P2171" t="str"/>
      <x:c r="Q2171" t="str"/>
      <x:c r="R2171" t="str"/>
      <x:c r="S2171" t="str">
        <x:v>Pending genuine supplier/brand image</x:v>
      </x:c>
      <x:c r="T2171" s="54"/>
      <x:c r="U2171" s="47" t="n">
        <x:v>0.2</x:v>
      </x:c>
      <x:c r="V2171" s="54" t="str">
        <x:f>IF(ISNUMBER(T2171),T2171*(1+U2171),"")</x:f>
      </x:c>
      <x:c r="W2171" s="47" t="n">
        <x:v>0.3</x:v>
      </x:c>
      <x:c r="X2171" s="54" t="str">
        <x:f>IF(ISNUMBER(V2171),V2171/(1-W2171),"")</x:f>
      </x:c>
      <x:c r="Y2171" s="55" t="str">
        <x:f>IF(ISNUMBER(X2171),ROUNDUP(X2171,0),"")</x:f>
      </x:c>
      <x:c r="Z2171" t="str">
        <x:f>IF(ISNUMBER(T2171),"Cost captured","Awaiting trade cost")</x:f>
        <x:v>Awaiting trade cost</x:v>
      </x:c>
      <x:c r="AB2171" s="36" t="str">
        <x:f>IF(ISNUMBER(Y2171),ROUND(Y2171*0.9,2),"")</x:f>
      </x:c>
      <x:c r="AC2171" s="36" t="str">
        <x:f>IF(ISNUMBER(AB2171),ROUND(AB2171-(AB2171*0.015+0.2)-V2171,2),"")</x:f>
      </x:c>
      <x:c r="AD2171" s="36" t="str">
        <x:f>IF(ISNUMBER(Y2171),ROUND(Y2171*0.8,2),"")</x:f>
      </x:c>
      <x:c r="AE2171" s="36" t="str">
        <x:f>IF(ISNUMBER(AD2171),ROUND(AD2171*0.015+0.2,2),"")</x:f>
      </x:c>
      <x:c r="AF2171" s="36" t="str">
        <x:f>IF(ISNUMBER(AD2171),ROUND(AD2171-AE2171-V2171,2),"")</x:f>
      </x:c>
      <x:c r="AG2171" t="str">
        <x:f>IF(NOT(ISNUMBER(T2171)),"PENDING",IF(AF2171&gt;0,"PASS","FAIL"))</x:f>
        <x:v>PENDING</x:v>
      </x:c>
      <x:c r="AH2171" t="str">
        <x:f>IF(NOT(ISNUMBER(T2171)),"Needs supplier cost",IF(K2171&lt;&gt;"In stock","Supplier unavailable",IF(AG2171&lt;&gt;"PASS","BLOCK - GT loss risk","Commercially protected")))</x:f>
        <x:v>Needs supplier cost</x:v>
      </x:c>
      <x:c r="AI2171" t="str">
        <x:v>2026-09-10 Active Sports trade capture</x:v>
      </x:c>
      <x:c r="AJ2171" t="str">
        <x:v>Management-only economics. Stripe stress test uses 1.5% + £0.20 standard UK online-card fee; pallet/mix-and-match pricing ignored.</x:v>
      </x:c>
    </x:row>
    <x:row r="2172">
      <x:c r="A2172" t="str">
        <x:v>Active Sports Nutrition</x:v>
      </x:c>
      <x:c r="B2172" t="str">
        <x:v>Olimp</x:v>
      </x:c>
      <x:c r="C2172" t="str">
        <x:v>MCT Oil</x:v>
      </x:c>
      <x:c r="D2172" t="str">
        <x:v>Supplements</x:v>
      </x:c>
      <x:c r="E2172" t="str">
        <x:v>Health Foods</x:v>
      </x:c>
      <x:c r="F2172" t="str"/>
      <x:c r="G2172" t="str">
        <x:v>400ml</x:v>
      </x:c>
      <x:c r="H2172" t="str">
        <x:v>Default</x:v>
      </x:c>
      <x:c r="I2172" t="str"/>
      <x:c r="J2172" t="str">
        <x:v>Unit</x:v>
      </x:c>
      <x:c r="K2172" t="str">
        <x:v>In stock</x:v>
      </x:c>
      <x:c r="L2172" t="str">
        <x:v>2026-09-08</x:v>
      </x:c>
      <x:c r="M2172" t="str"/>
      <x:c r="N2172" t="str"/>
      <x:c r="O2172" t="str">
        <x:v>https://www.activesportstrade.co.uk/trade-sports-supplements/olimp-trade</x:v>
      </x:c>
      <x:c r="P2172" t="str"/>
      <x:c r="Q2172" t="str"/>
      <x:c r="R2172" t="str"/>
      <x:c r="S2172" t="str">
        <x:v>Pending genuine supplier/brand image</x:v>
      </x:c>
      <x:c r="T2172" s="54"/>
      <x:c r="U2172" s="47" t="n">
        <x:v>0.2</x:v>
      </x:c>
      <x:c r="V2172" s="54" t="str">
        <x:f>IF(ISNUMBER(T2172),T2172*(1+U2172),"")</x:f>
      </x:c>
      <x:c r="W2172" s="47" t="n">
        <x:v>0.3</x:v>
      </x:c>
      <x:c r="X2172" s="54" t="str">
        <x:f>IF(ISNUMBER(V2172),V2172/(1-W2172),"")</x:f>
      </x:c>
      <x:c r="Y2172" s="55" t="str">
        <x:f>IF(ISNUMBER(X2172),ROUNDUP(X2172,0),"")</x:f>
      </x:c>
      <x:c r="Z2172" t="str">
        <x:f>IF(ISNUMBER(T2172),"Cost captured","Awaiting trade cost")</x:f>
        <x:v>Awaiting trade cost</x:v>
      </x:c>
      <x:c r="AB2172" s="36" t="str">
        <x:f>IF(ISNUMBER(Y2172),ROUND(Y2172*0.9,2),"")</x:f>
      </x:c>
      <x:c r="AC2172" s="36" t="str">
        <x:f>IF(ISNUMBER(AB2172),ROUND(AB2172-(AB2172*0.015+0.2)-V2172,2),"")</x:f>
      </x:c>
      <x:c r="AD2172" s="36" t="str">
        <x:f>IF(ISNUMBER(Y2172),ROUND(Y2172*0.8,2),"")</x:f>
      </x:c>
      <x:c r="AE2172" s="36" t="str">
        <x:f>IF(ISNUMBER(AD2172),ROUND(AD2172*0.015+0.2,2),"")</x:f>
      </x:c>
      <x:c r="AF2172" s="36" t="str">
        <x:f>IF(ISNUMBER(AD2172),ROUND(AD2172-AE2172-V2172,2),"")</x:f>
      </x:c>
      <x:c r="AG2172" t="str">
        <x:f>IF(NOT(ISNUMBER(T2172)),"PENDING",IF(AF2172&gt;0,"PASS","FAIL"))</x:f>
        <x:v>PENDING</x:v>
      </x:c>
      <x:c r="AH2172" t="str">
        <x:f>IF(NOT(ISNUMBER(T2172)),"Needs supplier cost",IF(K2172&lt;&gt;"In stock","Supplier unavailable",IF(AG2172&lt;&gt;"PASS","BLOCK - GT loss risk","Commercially protected")))</x:f>
        <x:v>Needs supplier cost</x:v>
      </x:c>
      <x:c r="AI2172" t="str">
        <x:v>2026-09-10 Active Sports trade capture</x:v>
      </x:c>
      <x:c r="AJ2172" t="str">
        <x:v>Management-only economics. Stripe stress test uses 1.5% + £0.20 standard UK online-card fee; pallet/mix-and-match pricing ignored.</x:v>
      </x:c>
    </x:row>
    <x:row r="2173">
      <x:c r="A2173" t="str">
        <x:v>Active Sports Nutrition</x:v>
      </x:c>
      <x:c r="B2173" t="str">
        <x:v>Olimp</x:v>
      </x:c>
      <x:c r="C2173" t="str">
        <x:v>Platinum Ginseng Sports Edition</x:v>
      </x:c>
      <x:c r="D2173" t="str">
        <x:v>Supplements</x:v>
      </x:c>
      <x:c r="E2173" t="str">
        <x:v>Health Foods</x:v>
      </x:c>
      <x:c r="F2173" t="str"/>
      <x:c r="G2173" t="str">
        <x:v>60 caps</x:v>
      </x:c>
      <x:c r="H2173" t="str">
        <x:v>Default</x:v>
      </x:c>
      <x:c r="I2173" t="str"/>
      <x:c r="J2173" t="str">
        <x:v>Unit</x:v>
      </x:c>
      <x:c r="K2173" t="str">
        <x:v>In stock</x:v>
      </x:c>
      <x:c r="L2173" t="str">
        <x:v>2026-09-08</x:v>
      </x:c>
      <x:c r="M2173" t="str"/>
      <x:c r="N2173" t="str"/>
      <x:c r="O2173" t="str">
        <x:v>https://www.activesportstrade.co.uk/trade-pre-workout-supplements</x:v>
      </x:c>
      <x:c r="P2173" t="str"/>
      <x:c r="Q2173" t="str"/>
      <x:c r="R2173" t="str"/>
      <x:c r="S2173" t="str">
        <x:v>Pending genuine supplier/brand image</x:v>
      </x:c>
      <x:c r="T2173" s="54"/>
      <x:c r="U2173" s="47" t="n">
        <x:v>0.2</x:v>
      </x:c>
      <x:c r="V2173" s="54" t="str">
        <x:f>IF(ISNUMBER(T2173),T2173*(1+U2173),"")</x:f>
      </x:c>
      <x:c r="W2173" s="47" t="n">
        <x:v>0.3</x:v>
      </x:c>
      <x:c r="X2173" s="54" t="str">
        <x:f>IF(ISNUMBER(V2173),V2173/(1-W2173),"")</x:f>
      </x:c>
      <x:c r="Y2173" s="55" t="str">
        <x:f>IF(ISNUMBER(X2173),ROUNDUP(X2173,0),"")</x:f>
      </x:c>
      <x:c r="Z2173" t="str">
        <x:f>IF(ISNUMBER(T2173),"Cost captured","Awaiting trade cost")</x:f>
        <x:v>Awaiting trade cost</x:v>
      </x:c>
      <x:c r="AB2173" s="36" t="str">
        <x:f>IF(ISNUMBER(Y2173),ROUND(Y2173*0.9,2),"")</x:f>
      </x:c>
      <x:c r="AC2173" s="36" t="str">
        <x:f>IF(ISNUMBER(AB2173),ROUND(AB2173-(AB2173*0.015+0.2)-V2173,2),"")</x:f>
      </x:c>
      <x:c r="AD2173" s="36" t="str">
        <x:f>IF(ISNUMBER(Y2173),ROUND(Y2173*0.8,2),"")</x:f>
      </x:c>
      <x:c r="AE2173" s="36" t="str">
        <x:f>IF(ISNUMBER(AD2173),ROUND(AD2173*0.015+0.2,2),"")</x:f>
      </x:c>
      <x:c r="AF2173" s="36" t="str">
        <x:f>IF(ISNUMBER(AD2173),ROUND(AD2173-AE2173-V2173,2),"")</x:f>
      </x:c>
      <x:c r="AG2173" t="str">
        <x:f>IF(NOT(ISNUMBER(T2173)),"PENDING",IF(AF2173&gt;0,"PASS","FAIL"))</x:f>
        <x:v>PENDING</x:v>
      </x:c>
      <x:c r="AH2173" t="str">
        <x:f>IF(NOT(ISNUMBER(T2173)),"Needs supplier cost",IF(K2173&lt;&gt;"In stock","Supplier unavailable",IF(AG2173&lt;&gt;"PASS","BLOCK - GT loss risk","Commercially protected")))</x:f>
        <x:v>Needs supplier cost</x:v>
      </x:c>
      <x:c r="AI2173" t="str">
        <x:v>2026-09-10 Active Sports trade capture</x:v>
      </x:c>
      <x:c r="AJ2173" t="str">
        <x:v>Management-only economics. Stripe stress test uses 1.5% + £0.20 standard UK online-card fee; pallet/mix-and-match pricing ignored.</x:v>
      </x:c>
    </x:row>
    <x:row r="2174">
      <x:c r="A2174" t="str">
        <x:v>Active Sports Nutrition</x:v>
      </x:c>
      <x:c r="B2174" t="str">
        <x:v>Olimp</x:v>
      </x:c>
      <x:c r="C2174" t="str">
        <x:v>Collagen Sports Edition Shots</x:v>
      </x:c>
      <x:c r="D2174" t="str">
        <x:v>Supplements</x:v>
      </x:c>
      <x:c r="E2174" t="str">
        <x:v>Collagen</x:v>
      </x:c>
      <x:c r="F2174" t="str"/>
      <x:c r="G2174" t="str">
        <x:v>9 x 25ml shots</x:v>
      </x:c>
      <x:c r="H2174" t="str">
        <x:v>Tropical Punch</x:v>
      </x:c>
      <x:c r="I2174" t="str">
        <x:v>9</x:v>
      </x:c>
      <x:c r="J2174" t="str">
        <x:v>Case</x:v>
      </x:c>
      <x:c r="K2174" t="str">
        <x:v>In stock</x:v>
      </x:c>
      <x:c r="L2174" t="str">
        <x:v>2026-09-08</x:v>
      </x:c>
      <x:c r="M2174" t="str"/>
      <x:c r="N2174" t="str"/>
      <x:c r="O2174" t="str">
        <x:v>https://www.activesportstrade.co.uk/trade-convienience</x:v>
      </x:c>
      <x:c r="P2174" t="str">
        <x:v>PALLET PROMO commercial terms excluded; case-only.</x:v>
      </x:c>
      <x:c r="Q2174" t="str"/>
      <x:c r="R2174" t="str"/>
      <x:c r="S2174" t="str">
        <x:v>Pending genuine supplier/brand image</x:v>
      </x:c>
      <x:c r="T2174" s="54" t="n">
        <x:v>10.99</x:v>
      </x:c>
      <x:c r="U2174" s="47" t="n">
        <x:v>0.2</x:v>
      </x:c>
      <x:c r="V2174" s="54" t="n">
        <x:f>IF(ISNUMBER(T2174),T2174*(1+U2174),"")</x:f>
        <x:v>13.188</x:v>
      </x:c>
      <x:c r="W2174" s="47" t="n">
        <x:v>0.3</x:v>
      </x:c>
      <x:c r="X2174" s="54" t="n">
        <x:f>IF(ISNUMBER(V2174),V2174/(1-W2174),"")</x:f>
        <x:v>18.840000000000003</x:v>
      </x:c>
      <x:c r="Y2174" s="55" t="n">
        <x:f>IF(ISNUMBER(X2174),ROUNDUP(X2174,0),"")</x:f>
        <x:v>19</x:v>
      </x:c>
      <x:c r="Z2174" t="str">
        <x:v>Source match pending</x:v>
      </x:c>
      <x:c r="AA2174" t="str">
        <x:v>screencapture-www-activesportstrade-co-uk-olimp-trade-2026-09-10-09_05_33.pdf / page-05</x:v>
      </x:c>
      <x:c r="AB2174" s="36" t="n">
        <x:f>IF(ISNUMBER(Y2174),ROUND(Y2174*0.9,2),"")</x:f>
        <x:v>17.1</x:v>
      </x:c>
      <x:c r="AC2174" s="36" t="n">
        <x:f>IF(ISNUMBER(AB2174),ROUND(AB2174-(AB2174*0.015+0.2)-V2174,2),"")</x:f>
        <x:v>3.46</x:v>
      </x:c>
      <x:c r="AD2174" s="36" t="n">
        <x:f>IF(ISNUMBER(Y2174),ROUND(Y2174*0.8,2),"")</x:f>
        <x:v>15.2</x:v>
      </x:c>
      <x:c r="AE2174" s="36" t="n">
        <x:f>IF(ISNUMBER(AD2174),ROUND(AD2174*0.015+0.2,2),"")</x:f>
        <x:v>0.43</x:v>
      </x:c>
      <x:c r="AF2174" s="36" t="n">
        <x:f>IF(ISNUMBER(AD2174),ROUND(AD2174-AE2174-V2174,2),"")</x:f>
        <x:v>1.58</x:v>
      </x:c>
      <x:c r="AG2174" t="str">
        <x:f>IF(NOT(ISNUMBER(T2174)),"PENDING",IF(AF2174&gt;0,"PASS","FAIL"))</x:f>
        <x:v>PASS</x:v>
      </x:c>
      <x:c r="AH2174" t="str">
        <x:f>IF(NOT(ISNUMBER(T2174)),"Needs supplier cost",IF(K2174&lt;&gt;"In stock","Supplier unavailable",IF(AG2174&lt;&gt;"PASS","BLOCK - GT loss risk","Commercially protected")))</x:f>
        <x:v>Commercially protected</x:v>
      </x:c>
      <x:c r="AI2174" t="str">
        <x:v>2026-09-10 Active Sports trade capture</x:v>
      </x:c>
      <x:c r="AJ2174" t="str">
        <x:v>Management-only economics. Stripe stress test uses 1.5% + £0.20 standard UK online-card fee; pallet/mix-and-match pricing ignored.</x:v>
      </x:c>
    </x:row>
    <x:row r="2175">
      <x:c r="A2175" t="str">
        <x:v>Active Sports Nutrition</x:v>
      </x:c>
      <x:c r="B2175" t="str">
        <x:v>Olimp</x:v>
      </x:c>
      <x:c r="C2175" t="str">
        <x:v>ZMA</x:v>
      </x:c>
      <x:c r="D2175" t="str">
        <x:v>Supplements</x:v>
      </x:c>
      <x:c r="E2175" t="str">
        <x:v>Vitamins and Minerals</x:v>
      </x:c>
      <x:c r="F2175" t="str"/>
      <x:c r="G2175" t="str">
        <x:v>120 caps</x:v>
      </x:c>
      <x:c r="H2175" t="str">
        <x:v>Default</x:v>
      </x:c>
      <x:c r="I2175" t="str"/>
      <x:c r="J2175" t="str">
        <x:v>Unit</x:v>
      </x:c>
      <x:c r="K2175" t="str">
        <x:v>In stock</x:v>
      </x:c>
      <x:c r="L2175" t="str">
        <x:v>2026-09-08</x:v>
      </x:c>
      <x:c r="M2175" t="str"/>
      <x:c r="N2175" t="str"/>
      <x:c r="O2175" t="str">
        <x:v>https://www.activesportstrade.co.uk/trade-sports-supplements/olimp-trade</x:v>
      </x:c>
      <x:c r="P2175" t="str"/>
      <x:c r="Q2175" t="str"/>
      <x:c r="R2175" t="str"/>
      <x:c r="S2175" t="str">
        <x:v>Pending genuine supplier/brand image</x:v>
      </x:c>
      <x:c r="T2175" s="54"/>
      <x:c r="U2175" s="47" t="n">
        <x:v>0.2</x:v>
      </x:c>
      <x:c r="V2175" s="54" t="str">
        <x:f>IF(ISNUMBER(T2175),T2175*(1+U2175),"")</x:f>
      </x:c>
      <x:c r="W2175" s="47" t="n">
        <x:v>0.3</x:v>
      </x:c>
      <x:c r="X2175" s="54" t="str">
        <x:f>IF(ISNUMBER(V2175),V2175/(1-W2175),"")</x:f>
      </x:c>
      <x:c r="Y2175" s="55" t="str">
        <x:f>IF(ISNUMBER(X2175),ROUNDUP(X2175,0),"")</x:f>
      </x:c>
      <x:c r="Z2175" t="str">
        <x:f>IF(ISNUMBER(T2175),"Cost captured","Awaiting trade cost")</x:f>
        <x:v>Awaiting trade cost</x:v>
      </x:c>
      <x:c r="AB2175" s="36" t="str">
        <x:f>IF(ISNUMBER(Y2175),ROUND(Y2175*0.9,2),"")</x:f>
      </x:c>
      <x:c r="AC2175" s="36" t="str">
        <x:f>IF(ISNUMBER(AB2175),ROUND(AB2175-(AB2175*0.015+0.2)-V2175,2),"")</x:f>
      </x:c>
      <x:c r="AD2175" s="36" t="str">
        <x:f>IF(ISNUMBER(Y2175),ROUND(Y2175*0.8,2),"")</x:f>
      </x:c>
      <x:c r="AE2175" s="36" t="str">
        <x:f>IF(ISNUMBER(AD2175),ROUND(AD2175*0.015+0.2,2),"")</x:f>
      </x:c>
      <x:c r="AF2175" s="36" t="str">
        <x:f>IF(ISNUMBER(AD2175),ROUND(AD2175-AE2175-V2175,2),"")</x:f>
      </x:c>
      <x:c r="AG2175" t="str">
        <x:f>IF(NOT(ISNUMBER(T2175)),"PENDING",IF(AF2175&gt;0,"PASS","FAIL"))</x:f>
        <x:v>PENDING</x:v>
      </x:c>
      <x:c r="AH2175" t="str">
        <x:f>IF(NOT(ISNUMBER(T2175)),"Needs supplier cost",IF(K2175&lt;&gt;"In stock","Supplier unavailable",IF(AG2175&lt;&gt;"PASS","BLOCK - GT loss risk","Commercially protected")))</x:f>
        <x:v>Needs supplier cost</x:v>
      </x:c>
      <x:c r="AI2175" t="str">
        <x:v>2026-09-10 Active Sports trade capture</x:v>
      </x:c>
      <x:c r="AJ2175" t="str">
        <x:v>Management-only economics. Stripe stress test uses 1.5% + £0.20 standard UK online-card fee; pallet/mix-and-match pricing ignored.</x:v>
      </x:c>
    </x:row>
    <x:row r="2176">
      <x:c r="A2176" t="str">
        <x:v>Active Sports Nutrition</x:v>
      </x:c>
      <x:c r="B2176" t="str">
        <x:v>Olimp</x:v>
      </x:c>
      <x:c r="C2176" t="str">
        <x:v>ANTI-OX Power Blend</x:v>
      </x:c>
      <x:c r="D2176" t="str">
        <x:v>Supplements</x:v>
      </x:c>
      <x:c r="E2176" t="str">
        <x:v>Antioxidants</x:v>
      </x:c>
      <x:c r="F2176" t="str"/>
      <x:c r="G2176" t="str">
        <x:v>60 caps</x:v>
      </x:c>
      <x:c r="H2176" t="str">
        <x:v>Default</x:v>
      </x:c>
      <x:c r="I2176" t="str"/>
      <x:c r="J2176" t="str">
        <x:v>Unit</x:v>
      </x:c>
      <x:c r="K2176" t="str">
        <x:v>In stock</x:v>
      </x:c>
      <x:c r="L2176" t="str">
        <x:v>2026-09-08</x:v>
      </x:c>
      <x:c r="M2176" t="str"/>
      <x:c r="N2176" t="str"/>
      <x:c r="O2176" t="str">
        <x:v>https://www.activesportstrade.co.uk/olimp-trade</x:v>
      </x:c>
      <x:c r="P2176" t="str"/>
      <x:c r="Q2176" t="str"/>
      <x:c r="R2176" t="str"/>
      <x:c r="S2176" t="str">
        <x:v>Pending genuine supplier/brand image</x:v>
      </x:c>
      <x:c r="T2176" s="54" t="n">
        <x:v>17.66</x:v>
      </x:c>
      <x:c r="U2176" s="47" t="n">
        <x:v>0.2</x:v>
      </x:c>
      <x:c r="V2176" s="54" t="n">
        <x:f>IF(ISNUMBER(T2176),T2176*(1+U2176),"")</x:f>
        <x:v>21.192</x:v>
      </x:c>
      <x:c r="W2176" s="47" t="n">
        <x:v>0.3</x:v>
      </x:c>
      <x:c r="X2176" s="54" t="n">
        <x:f>IF(ISNUMBER(V2176),V2176/(1-W2176),"")</x:f>
        <x:v>30.274285714285718</x:v>
      </x:c>
      <x:c r="Y2176" s="55" t="n">
        <x:f>IF(ISNUMBER(X2176),ROUNDUP(X2176,0),"")</x:f>
        <x:v>31</x:v>
      </x:c>
      <x:c r="Z2176" t="str">
        <x:v>Source match pending</x:v>
      </x:c>
      <x:c r="AA2176" t="str">
        <x:v>screencapture-www-activesportstrade-co-uk-olimp-trade-2026-09-10-09_05_33.pdf / page-02</x:v>
      </x:c>
      <x:c r="AB2176" s="36" t="n">
        <x:f>IF(ISNUMBER(Y2176),ROUND(Y2176*0.9,2),"")</x:f>
        <x:v>27.9</x:v>
      </x:c>
      <x:c r="AC2176" s="36" t="n">
        <x:f>IF(ISNUMBER(AB2176),ROUND(AB2176-(AB2176*0.015+0.2)-V2176,2),"")</x:f>
        <x:v>6.09</x:v>
      </x:c>
      <x:c r="AD2176" s="36" t="n">
        <x:f>IF(ISNUMBER(Y2176),ROUND(Y2176*0.8,2),"")</x:f>
        <x:v>24.8</x:v>
      </x:c>
      <x:c r="AE2176" s="36" t="n">
        <x:f>IF(ISNUMBER(AD2176),ROUND(AD2176*0.015+0.2,2),"")</x:f>
        <x:v>0.57</x:v>
      </x:c>
      <x:c r="AF2176" s="36" t="n">
        <x:f>IF(ISNUMBER(AD2176),ROUND(AD2176-AE2176-V2176,2),"")</x:f>
        <x:v>3.04</x:v>
      </x:c>
      <x:c r="AG2176" t="str">
        <x:f>IF(NOT(ISNUMBER(T2176)),"PENDING",IF(AF2176&gt;0,"PASS","FAIL"))</x:f>
        <x:v>PASS</x:v>
      </x:c>
      <x:c r="AH2176" t="str">
        <x:f>IF(NOT(ISNUMBER(T2176)),"Needs supplier cost",IF(K2176&lt;&gt;"In stock","Supplier unavailable",IF(AG2176&lt;&gt;"PASS","BLOCK - GT loss risk","Commercially protected")))</x:f>
        <x:v>Commercially protected</x:v>
      </x:c>
      <x:c r="AI2176" t="str">
        <x:v>2026-09-10 Active Sports trade capture</x:v>
      </x:c>
      <x:c r="AJ2176" t="str">
        <x:v>Management-only economics. Stripe stress test uses 1.5% + £0.20 standard UK online-card fee; pallet/mix-and-match pricing ignored.</x:v>
      </x:c>
    </x:row>
    <x:row r="2177">
      <x:c r="A2177" t="str">
        <x:v>Active Sports Nutrition</x:v>
      </x:c>
      <x:c r="B2177" t="str">
        <x:v>Olimp</x:v>
      </x:c>
      <x:c r="C2177" t="str">
        <x:v>Chela-Min Sports Formula</x:v>
      </x:c>
      <x:c r="D2177" t="str">
        <x:v>Supplements</x:v>
      </x:c>
      <x:c r="E2177" t="str">
        <x:v>Vitamins and Minerals</x:v>
      </x:c>
      <x:c r="F2177" t="str"/>
      <x:c r="G2177" t="str">
        <x:v>60 Mega Caps</x:v>
      </x:c>
      <x:c r="H2177" t="str">
        <x:v>Default</x:v>
      </x:c>
      <x:c r="I2177" t="str"/>
      <x:c r="J2177" t="str">
        <x:v>Unit</x:v>
      </x:c>
      <x:c r="K2177" t="str">
        <x:v>In stock</x:v>
      </x:c>
      <x:c r="L2177" t="str">
        <x:v>2026-09-08</x:v>
      </x:c>
      <x:c r="M2177" t="str"/>
      <x:c r="N2177" t="str"/>
      <x:c r="O2177" t="str">
        <x:v>https://www.activesportstrade.co.uk/trade-sports-supplements/olimp-trade</x:v>
      </x:c>
      <x:c r="P2177" t="str">
        <x:v>SPECIAL OFFER wording stripped from canonical title.</x:v>
      </x:c>
      <x:c r="Q2177" t="str"/>
      <x:c r="R2177" t="str"/>
      <x:c r="S2177" t="str">
        <x:v>Pending genuine supplier/brand image</x:v>
      </x:c>
      <x:c r="T2177" s="54" t="n">
        <x:v>5.92</x:v>
      </x:c>
      <x:c r="U2177" s="47" t="n">
        <x:v>0.2</x:v>
      </x:c>
      <x:c r="V2177" s="54" t="n">
        <x:f>IF(ISNUMBER(T2177),T2177*(1+U2177),"")</x:f>
        <x:v>7.104</x:v>
      </x:c>
      <x:c r="W2177" s="47" t="n">
        <x:v>0.3</x:v>
      </x:c>
      <x:c r="X2177" s="54" t="n">
        <x:f>IF(ISNUMBER(V2177),V2177/(1-W2177),"")</x:f>
        <x:v>10.14857142857143</x:v>
      </x:c>
      <x:c r="Y2177" s="55" t="n">
        <x:f>IF(ISNUMBER(X2177),ROUNDUP(X2177,0),"")</x:f>
        <x:v>11</x:v>
      </x:c>
      <x:c r="Z2177" t="str">
        <x:v>Source match pending</x:v>
      </x:c>
      <x:c r="AA2177" t="str">
        <x:v>screencapture-www-activesportstrade-co-uk-olimp-trade-2026-09-10-09_05_33.pdf / page-05</x:v>
      </x:c>
      <x:c r="AB2177" s="36" t="n">
        <x:f>IF(ISNUMBER(Y2177),ROUND(Y2177*0.9,2),"")</x:f>
        <x:v>9.9</x:v>
      </x:c>
      <x:c r="AC2177" s="36" t="n">
        <x:f>IF(ISNUMBER(AB2177),ROUND(AB2177-(AB2177*0.015+0.2)-V2177,2),"")</x:f>
        <x:v>2.45</x:v>
      </x:c>
      <x:c r="AD2177" s="36" t="n">
        <x:f>IF(ISNUMBER(Y2177),ROUND(Y2177*0.8,2),"")</x:f>
        <x:v>8.8</x:v>
      </x:c>
      <x:c r="AE2177" s="36" t="n">
        <x:f>IF(ISNUMBER(AD2177),ROUND(AD2177*0.015+0.2,2),"")</x:f>
        <x:v>0.33</x:v>
      </x:c>
      <x:c r="AF2177" s="36" t="n">
        <x:f>IF(ISNUMBER(AD2177),ROUND(AD2177-AE2177-V2177,2),"")</x:f>
        <x:v>1.37</x:v>
      </x:c>
      <x:c r="AG2177" t="str">
        <x:f>IF(NOT(ISNUMBER(T2177)),"PENDING",IF(AF2177&gt;0,"PASS","FAIL"))</x:f>
        <x:v>PASS</x:v>
      </x:c>
      <x:c r="AH2177" t="str">
        <x:f>IF(NOT(ISNUMBER(T2177)),"Needs supplier cost",IF(K2177&lt;&gt;"In stock","Supplier unavailable",IF(AG2177&lt;&gt;"PASS","BLOCK - GT loss risk","Commercially protected")))</x:f>
        <x:v>Commercially protected</x:v>
      </x:c>
      <x:c r="AI2177" t="str">
        <x:v>2026-09-10 Active Sports trade capture</x:v>
      </x:c>
      <x:c r="AJ2177" t="str">
        <x:v>Management-only economics. Stripe stress test uses 1.5% + £0.20 standard UK online-card fee; pallet/mix-and-match pricing ignored.</x:v>
      </x:c>
    </x:row>
    <x:row r="2178">
      <x:c r="A2178" t="str">
        <x:v>Active Sports Nutrition</x:v>
      </x:c>
      <x:c r="B2178" t="str">
        <x:v>Olimp</x:v>
      </x:c>
      <x:c r="C2178" t="str">
        <x:v>Citrulline Malate</x:v>
      </x:c>
      <x:c r="D2178" t="str">
        <x:v>Pre Workouts</x:v>
      </x:c>
      <x:c r="E2178" t="str">
        <x:v>Pump / Citrulline</x:v>
      </x:c>
      <x:c r="F2178" t="str"/>
      <x:c r="G2178" t="str">
        <x:v>200g</x:v>
      </x:c>
      <x:c r="H2178" t="str">
        <x:v>Cooling Sour Lemonade</x:v>
      </x:c>
      <x:c r="I2178" t="str"/>
      <x:c r="J2178" t="str">
        <x:v>Unit</x:v>
      </x:c>
      <x:c r="K2178" t="str">
        <x:v>In stock</x:v>
      </x:c>
      <x:c r="L2178" t="str">
        <x:v>2026-09-08</x:v>
      </x:c>
      <x:c r="M2178" t="str"/>
      <x:c r="N2178" t="str"/>
      <x:c r="O2178" t="str">
        <x:v>https://www.activesportstrade.co.uk/trade-pre-workout-supplements</x:v>
      </x:c>
      <x:c r="P2178" t="str"/>
      <x:c r="Q2178" t="str"/>
      <x:c r="R2178" t="str"/>
      <x:c r="S2178" t="str">
        <x:v>Pending genuine supplier/brand image</x:v>
      </x:c>
      <x:c r="T2178" s="54" t="n">
        <x:v>10.1</x:v>
      </x:c>
      <x:c r="U2178" s="47" t="n">
        <x:v>0.2</x:v>
      </x:c>
      <x:c r="V2178" s="54" t="n">
        <x:f>IF(ISNUMBER(T2178),T2178*(1+U2178),"")</x:f>
        <x:v>12.12</x:v>
      </x:c>
      <x:c r="W2178" s="47" t="n">
        <x:v>0.3</x:v>
      </x:c>
      <x:c r="X2178" s="54" t="n">
        <x:f>IF(ISNUMBER(V2178),V2178/(1-W2178),"")</x:f>
        <x:v>17.314285714285713</x:v>
      </x:c>
      <x:c r="Y2178" s="55" t="n">
        <x:f>IF(ISNUMBER(X2178),ROUNDUP(X2178,0),"")</x:f>
        <x:v>18</x:v>
      </x:c>
      <x:c r="Z2178" t="str">
        <x:v>Source match pending</x:v>
      </x:c>
      <x:c r="AA2178" t="str">
        <x:v>screencapture-www-activesportstrade-co-uk-olimp-trade-2026-09-10-09_05_33.pdf / page-05</x:v>
      </x:c>
      <x:c r="AB2178" s="36" t="n">
        <x:f>IF(ISNUMBER(Y2178),ROUND(Y2178*0.9,2),"")</x:f>
        <x:v>16.2</x:v>
      </x:c>
      <x:c r="AC2178" s="36" t="n">
        <x:f>IF(ISNUMBER(AB2178),ROUND(AB2178-(AB2178*0.015+0.2)-V2178,2),"")</x:f>
        <x:v>3.64</x:v>
      </x:c>
      <x:c r="AD2178" s="36" t="n">
        <x:f>IF(ISNUMBER(Y2178),ROUND(Y2178*0.8,2),"")</x:f>
        <x:v>14.4</x:v>
      </x:c>
      <x:c r="AE2178" s="36" t="n">
        <x:f>IF(ISNUMBER(AD2178),ROUND(AD2178*0.015+0.2,2),"")</x:f>
        <x:v>0.42</x:v>
      </x:c>
      <x:c r="AF2178" s="36" t="n">
        <x:f>IF(ISNUMBER(AD2178),ROUND(AD2178-AE2178-V2178,2),"")</x:f>
        <x:v>1.86</x:v>
      </x:c>
      <x:c r="AG2178" t="str">
        <x:f>IF(NOT(ISNUMBER(T2178)),"PENDING",IF(AF2178&gt;0,"PASS","FAIL"))</x:f>
        <x:v>PASS</x:v>
      </x:c>
      <x:c r="AH2178" t="str">
        <x:f>IF(NOT(ISNUMBER(T2178)),"Needs supplier cost",IF(K2178&lt;&gt;"In stock","Supplier unavailable",IF(AG2178&lt;&gt;"PASS","BLOCK - GT loss risk","Commercially protected")))</x:f>
        <x:v>Commercially protected</x:v>
      </x:c>
      <x:c r="AI2178" t="str">
        <x:v>2026-09-10 Active Sports trade capture</x:v>
      </x:c>
      <x:c r="AJ2178" t="str">
        <x:v>Management-only economics. Stripe stress test uses 1.5% + £0.20 standard UK online-card fee; pallet/mix-and-match pricing ignored.</x:v>
      </x:c>
    </x:row>
    <x:row r="2179">
      <x:c r="A2179" t="str">
        <x:v>Active Sports Nutrition</x:v>
      </x:c>
      <x:c r="B2179" t="str">
        <x:v>Olimp</x:v>
      </x:c>
      <x:c r="C2179" t="str">
        <x:v>Citrulline Malate</x:v>
      </x:c>
      <x:c r="D2179" t="str">
        <x:v>Pre Workouts</x:v>
      </x:c>
      <x:c r="E2179" t="str">
        <x:v>Pump / Citrulline</x:v>
      </x:c>
      <x:c r="F2179" t="str"/>
      <x:c r="G2179" t="str">
        <x:v>200g</x:v>
      </x:c>
      <x:c r="H2179" t="str">
        <x:v>Sour Jellies</x:v>
      </x:c>
      <x:c r="I2179" t="str"/>
      <x:c r="J2179" t="str">
        <x:v>Unit</x:v>
      </x:c>
      <x:c r="K2179" t="str">
        <x:v>In stock</x:v>
      </x:c>
      <x:c r="L2179" t="str">
        <x:v>2026-09-08</x:v>
      </x:c>
      <x:c r="M2179" t="str"/>
      <x:c r="N2179" t="str"/>
      <x:c r="O2179" t="str">
        <x:v>https://www.activesportstrade.co.uk/trade-pre-workout-supplements</x:v>
      </x:c>
      <x:c r="P2179" t="str"/>
      <x:c r="Q2179" t="str"/>
      <x:c r="R2179" t="str"/>
      <x:c r="S2179" t="str">
        <x:v>Pending genuine supplier/brand image</x:v>
      </x:c>
      <x:c r="T2179" s="54" t="n">
        <x:v>10.1</x:v>
      </x:c>
      <x:c r="U2179" s="47" t="n">
        <x:v>0.2</x:v>
      </x:c>
      <x:c r="V2179" s="54" t="n">
        <x:f>IF(ISNUMBER(T2179),T2179*(1+U2179),"")</x:f>
        <x:v>12.12</x:v>
      </x:c>
      <x:c r="W2179" s="47" t="n">
        <x:v>0.3</x:v>
      </x:c>
      <x:c r="X2179" s="54" t="n">
        <x:f>IF(ISNUMBER(V2179),V2179/(1-W2179),"")</x:f>
        <x:v>17.314285714285713</x:v>
      </x:c>
      <x:c r="Y2179" s="55" t="n">
        <x:f>IF(ISNUMBER(X2179),ROUNDUP(X2179,0),"")</x:f>
        <x:v>18</x:v>
      </x:c>
      <x:c r="Z2179" t="str">
        <x:v>Source match pending</x:v>
      </x:c>
      <x:c r="AA2179" t="str">
        <x:v>screencapture-www-activesportstrade-co-uk-olimp-trade-2026-09-10-09_05_33.pdf / page-05</x:v>
      </x:c>
      <x:c r="AB2179" s="36" t="n">
        <x:f>IF(ISNUMBER(Y2179),ROUND(Y2179*0.9,2),"")</x:f>
        <x:v>16.2</x:v>
      </x:c>
      <x:c r="AC2179" s="36" t="n">
        <x:f>IF(ISNUMBER(AB2179),ROUND(AB2179-(AB2179*0.015+0.2)-V2179,2),"")</x:f>
        <x:v>3.64</x:v>
      </x:c>
      <x:c r="AD2179" s="36" t="n">
        <x:f>IF(ISNUMBER(Y2179),ROUND(Y2179*0.8,2),"")</x:f>
        <x:v>14.4</x:v>
      </x:c>
      <x:c r="AE2179" s="36" t="n">
        <x:f>IF(ISNUMBER(AD2179),ROUND(AD2179*0.015+0.2,2),"")</x:f>
        <x:v>0.42</x:v>
      </x:c>
      <x:c r="AF2179" s="36" t="n">
        <x:f>IF(ISNUMBER(AD2179),ROUND(AD2179-AE2179-V2179,2),"")</x:f>
        <x:v>1.86</x:v>
      </x:c>
      <x:c r="AG2179" t="str">
        <x:f>IF(NOT(ISNUMBER(T2179)),"PENDING",IF(AF2179&gt;0,"PASS","FAIL"))</x:f>
        <x:v>PASS</x:v>
      </x:c>
      <x:c r="AH2179" t="str">
        <x:f>IF(NOT(ISNUMBER(T2179)),"Needs supplier cost",IF(K2179&lt;&gt;"In stock","Supplier unavailable",IF(AG2179&lt;&gt;"PASS","BLOCK - GT loss risk","Commercially protected")))</x:f>
        <x:v>Commercially protected</x:v>
      </x:c>
      <x:c r="AI2179" t="str">
        <x:v>2026-09-10 Active Sports trade capture</x:v>
      </x:c>
      <x:c r="AJ2179" t="str">
        <x:v>Management-only economics. Stripe stress test uses 1.5% + £0.20 standard UK online-card fee; pallet/mix-and-match pricing ignored.</x:v>
      </x:c>
    </x:row>
    <x:row r="2180">
      <x:c r="A2180" t="str">
        <x:v>Active Sports Nutrition</x:v>
      </x:c>
      <x:c r="B2180" t="str">
        <x:v>Olimp</x:v>
      </x:c>
      <x:c r="C2180" t="str">
        <x:v>CLA with Green Tea plus L-Carnitine</x:v>
      </x:c>
      <x:c r="D2180" t="str">
        <x:v>Supplements</x:v>
      </x:c>
      <x:c r="E2180" t="str">
        <x:v>Weight Management</x:v>
      </x:c>
      <x:c r="F2180" t="str"/>
      <x:c r="G2180" t="str">
        <x:v>60 caps</x:v>
      </x:c>
      <x:c r="H2180" t="str">
        <x:v>Default</x:v>
      </x:c>
      <x:c r="I2180" t="str"/>
      <x:c r="J2180" t="str">
        <x:v>Unit</x:v>
      </x:c>
      <x:c r="K2180" t="str">
        <x:v>In stock</x:v>
      </x:c>
      <x:c r="L2180" t="str">
        <x:v>2026-09-08</x:v>
      </x:c>
      <x:c r="M2180" t="str"/>
      <x:c r="N2180" t="str"/>
      <x:c r="O2180" t="str">
        <x:v>https://www.activesportstrade.co.uk/Fat-Burners</x:v>
      </x:c>
      <x:c r="P2180" t="str"/>
      <x:c r="Q2180" t="str"/>
      <x:c r="R2180" t="str"/>
      <x:c r="S2180" t="str">
        <x:v>Pending genuine supplier/brand image</x:v>
      </x:c>
      <x:c r="T2180" s="54" t="n">
        <x:v>8.83</x:v>
      </x:c>
      <x:c r="U2180" s="47" t="n">
        <x:v>0.2</x:v>
      </x:c>
      <x:c r="V2180" s="54" t="n">
        <x:f>IF(ISNUMBER(T2180),T2180*(1+U2180),"")</x:f>
        <x:v>10.596</x:v>
      </x:c>
      <x:c r="W2180" s="47" t="n">
        <x:v>0.3</x:v>
      </x:c>
      <x:c r="X2180" s="54" t="n">
        <x:f>IF(ISNUMBER(V2180),V2180/(1-W2180),"")</x:f>
        <x:v>15.137142857142859</x:v>
      </x:c>
      <x:c r="Y2180" s="55" t="n">
        <x:f>IF(ISNUMBER(X2180),ROUNDUP(X2180,0),"")</x:f>
        <x:v>16</x:v>
      </x:c>
      <x:c r="Z2180" t="str">
        <x:v>Source match pending</x:v>
      </x:c>
      <x:c r="AA2180" t="str">
        <x:v>screencapture-www-activesportstrade-co-uk-olimp-trade-2026-09-10-09_05_33.pdf / page-05</x:v>
      </x:c>
      <x:c r="AB2180" s="36" t="n">
        <x:f>IF(ISNUMBER(Y2180),ROUND(Y2180*0.9,2),"")</x:f>
        <x:v>14.4</x:v>
      </x:c>
      <x:c r="AC2180" s="36" t="n">
        <x:f>IF(ISNUMBER(AB2180),ROUND(AB2180-(AB2180*0.015+0.2)-V2180,2),"")</x:f>
        <x:v>3.39</x:v>
      </x:c>
      <x:c r="AD2180" s="36" t="n">
        <x:f>IF(ISNUMBER(Y2180),ROUND(Y2180*0.8,2),"")</x:f>
        <x:v>12.8</x:v>
      </x:c>
      <x:c r="AE2180" s="36" t="n">
        <x:f>IF(ISNUMBER(AD2180),ROUND(AD2180*0.015+0.2,2),"")</x:f>
        <x:v>0.39</x:v>
      </x:c>
      <x:c r="AF2180" s="36" t="n">
        <x:f>IF(ISNUMBER(AD2180),ROUND(AD2180-AE2180-V2180,2),"")</x:f>
        <x:v>1.81</x:v>
      </x:c>
      <x:c r="AG2180" t="str">
        <x:f>IF(NOT(ISNUMBER(T2180)),"PENDING",IF(AF2180&gt;0,"PASS","FAIL"))</x:f>
        <x:v>PASS</x:v>
      </x:c>
      <x:c r="AH2180" t="str">
        <x:f>IF(NOT(ISNUMBER(T2180)),"Needs supplier cost",IF(K2180&lt;&gt;"In stock","Supplier unavailable",IF(AG2180&lt;&gt;"PASS","BLOCK - GT loss risk","Commercially protected")))</x:f>
        <x:v>Commercially protected</x:v>
      </x:c>
      <x:c r="AI2180" t="str">
        <x:v>2026-09-10 Active Sports trade capture</x:v>
      </x:c>
      <x:c r="AJ2180" t="str">
        <x:v>Management-only economics. Stripe stress test uses 1.5% + £0.20 standard UK online-card fee; pallet/mix-and-match pricing ignored.</x:v>
      </x:c>
    </x:row>
    <x:row r="2181">
      <x:c r="A2181" t="str">
        <x:v>Active Sports Nutrition</x:v>
      </x:c>
      <x:c r="B2181" t="str">
        <x:v>Olimp</x:v>
      </x:c>
      <x:c r="C2181" t="str">
        <x:v>Gold Vit C 1000</x:v>
      </x:c>
      <x:c r="D2181" t="str">
        <x:v>Supplements</x:v>
      </x:c>
      <x:c r="E2181" t="str">
        <x:v>Vitamins and Minerals</x:v>
      </x:c>
      <x:c r="F2181" t="str"/>
      <x:c r="G2181" t="str">
        <x:v>60 caps</x:v>
      </x:c>
      <x:c r="H2181" t="str">
        <x:v>Default</x:v>
      </x:c>
      <x:c r="I2181" t="str"/>
      <x:c r="J2181" t="str">
        <x:v>Unit</x:v>
      </x:c>
      <x:c r="K2181" t="str">
        <x:v>In stock</x:v>
      </x:c>
      <x:c r="L2181" t="str">
        <x:v>2026-09-08</x:v>
      </x:c>
      <x:c r="M2181" t="str"/>
      <x:c r="N2181" t="str"/>
      <x:c r="O2181" t="str">
        <x:v>https://www.activesportstrade.co.uk/trade-sports-supplements/olimp-trade</x:v>
      </x:c>
      <x:c r="P2181" t="str">
        <x:v>Current Active Sports Olimp listing confirms 60 caps; corrected previous 30-cap transcription.</x:v>
      </x:c>
      <x:c r="Q2181" t="str"/>
      <x:c r="R2181" t="str"/>
      <x:c r="S2181" t="str">
        <x:v>Pending genuine supplier/brand image</x:v>
      </x:c>
      <x:c r="T2181" s="54" t="n">
        <x:v>6.8</x:v>
      </x:c>
      <x:c r="U2181" s="47" t="n">
        <x:v>0.2</x:v>
      </x:c>
      <x:c r="V2181" s="54" t="n">
        <x:f>IF(ISNUMBER(T2181),T2181*(1+U2181),"")</x:f>
        <x:v>8.16</x:v>
      </x:c>
      <x:c r="W2181" s="47" t="n">
        <x:v>0.3</x:v>
      </x:c>
      <x:c r="X2181" s="54" t="n">
        <x:f>IF(ISNUMBER(V2181),V2181/(1-W2181),"")</x:f>
        <x:v>11.657142857142858</x:v>
      </x:c>
      <x:c r="Y2181" s="55" t="n">
        <x:f>IF(ISNUMBER(X2181),ROUNDUP(X2181,0),"")</x:f>
        <x:v>12</x:v>
      </x:c>
      <x:c r="Z2181" t="str">
        <x:v>Source match pending</x:v>
      </x:c>
      <x:c r="AA2181" t="str">
        <x:v>screencapture-www-activesportstrade-co-uk-olimp-trade-2026-09-10-09_05_33.pdf / page-08</x:v>
      </x:c>
      <x:c r="AB2181" s="36" t="n">
        <x:f>IF(ISNUMBER(Y2181),ROUND(Y2181*0.9,2),"")</x:f>
        <x:v>10.8</x:v>
      </x:c>
      <x:c r="AC2181" s="36" t="n">
        <x:f>IF(ISNUMBER(AB2181),ROUND(AB2181-(AB2181*0.015+0.2)-V2181,2),"")</x:f>
        <x:v>2.28</x:v>
      </x:c>
      <x:c r="AD2181" s="36" t="n">
        <x:f>IF(ISNUMBER(Y2181),ROUND(Y2181*0.8,2),"")</x:f>
        <x:v>9.6</x:v>
      </x:c>
      <x:c r="AE2181" s="36" t="n">
        <x:f>IF(ISNUMBER(AD2181),ROUND(AD2181*0.015+0.2,2),"")</x:f>
        <x:v>0.34</x:v>
      </x:c>
      <x:c r="AF2181" s="36" t="n">
        <x:f>IF(ISNUMBER(AD2181),ROUND(AD2181-AE2181-V2181,2),"")</x:f>
        <x:v>1.1</x:v>
      </x:c>
      <x:c r="AG2181" t="str">
        <x:f>IF(NOT(ISNUMBER(T2181)),"PENDING",IF(AF2181&gt;0,"PASS","FAIL"))</x:f>
        <x:v>PASS</x:v>
      </x:c>
      <x:c r="AH2181" t="str">
        <x:f>IF(NOT(ISNUMBER(T2181)),"Needs supplier cost",IF(K2181&lt;&gt;"In stock","Supplier unavailable",IF(AG2181&lt;&gt;"PASS","BLOCK - GT loss risk","Commercially protected")))</x:f>
        <x:v>Commercially protected</x:v>
      </x:c>
      <x:c r="AI2181" t="str">
        <x:v>2026-09-10 Active Sports trade capture</x:v>
      </x:c>
      <x:c r="AJ2181" t="str">
        <x:v>Management-only economics. Stripe stress test uses 1.5% + £0.20 standard UK online-card fee; pallet/mix-and-match pricing ignored.</x:v>
      </x:c>
    </x:row>
    <x:row r="2182">
      <x:c r="A2182" t="str">
        <x:v>Active Sports Nutrition</x:v>
      </x:c>
      <x:c r="B2182" t="str">
        <x:v>Olimp</x:v>
      </x:c>
      <x:c r="C2182" t="str">
        <x:v>Kolagen Activ Plus</x:v>
      </x:c>
      <x:c r="D2182" t="str">
        <x:v>Supplements</x:v>
      </x:c>
      <x:c r="E2182" t="str">
        <x:v>Collagen</x:v>
      </x:c>
      <x:c r="F2182" t="str"/>
      <x:c r="G2182" t="str">
        <x:v>80 chewable tablets</x:v>
      </x:c>
      <x:c r="H2182" t="str">
        <x:v>Default</x:v>
      </x:c>
      <x:c r="I2182" t="str"/>
      <x:c r="J2182" t="str">
        <x:v>Unit</x:v>
      </x:c>
      <x:c r="K2182" t="str">
        <x:v>In stock</x:v>
      </x:c>
      <x:c r="L2182" t="str">
        <x:v>2026-09-08</x:v>
      </x:c>
      <x:c r="M2182" t="str"/>
      <x:c r="N2182" t="str"/>
      <x:c r="O2182" t="str">
        <x:v>https://www.activesportstrade.co.uk/Joint-Repair/norec</x:v>
      </x:c>
      <x:c r="P2182" t="str"/>
      <x:c r="Q2182" t="str"/>
      <x:c r="R2182" t="str"/>
      <x:c r="S2182" t="str">
        <x:v>Pending genuine supplier/brand image</x:v>
      </x:c>
      <x:c r="T2182" s="54" t="n">
        <x:v>6.17</x:v>
      </x:c>
      <x:c r="U2182" s="47" t="n">
        <x:v>0.2</x:v>
      </x:c>
      <x:c r="V2182" s="54" t="n">
        <x:f>IF(ISNUMBER(T2182),T2182*(1+U2182),"")</x:f>
        <x:v>7.404</x:v>
      </x:c>
      <x:c r="W2182" s="47" t="n">
        <x:v>0.3</x:v>
      </x:c>
      <x:c r="X2182" s="54" t="n">
        <x:f>IF(ISNUMBER(V2182),V2182/(1-W2182),"")</x:f>
        <x:v>10.577142857142858</x:v>
      </x:c>
      <x:c r="Y2182" s="55" t="n">
        <x:f>IF(ISNUMBER(X2182),ROUNDUP(X2182,0),"")</x:f>
        <x:v>11</x:v>
      </x:c>
      <x:c r="Z2182" t="str">
        <x:v>Source match pending</x:v>
      </x:c>
      <x:c r="AA2182" t="str">
        <x:v>screencapture-www-activesportstrade-co-uk-olimp-trade-2026-09-10-09_05_33.pdf / page-09</x:v>
      </x:c>
      <x:c r="AB2182" s="36" t="n">
        <x:f>IF(ISNUMBER(Y2182),ROUND(Y2182*0.9,2),"")</x:f>
        <x:v>9.9</x:v>
      </x:c>
      <x:c r="AC2182" s="36" t="n">
        <x:f>IF(ISNUMBER(AB2182),ROUND(AB2182-(AB2182*0.015+0.2)-V2182,2),"")</x:f>
        <x:v>2.15</x:v>
      </x:c>
      <x:c r="AD2182" s="36" t="n">
        <x:f>IF(ISNUMBER(Y2182),ROUND(Y2182*0.8,2),"")</x:f>
        <x:v>8.8</x:v>
      </x:c>
      <x:c r="AE2182" s="36" t="n">
        <x:f>IF(ISNUMBER(AD2182),ROUND(AD2182*0.015+0.2,2),"")</x:f>
        <x:v>0.33</x:v>
      </x:c>
      <x:c r="AF2182" s="36" t="n">
        <x:f>IF(ISNUMBER(AD2182),ROUND(AD2182-AE2182-V2182,2),"")</x:f>
        <x:v>1.07</x:v>
      </x:c>
      <x:c r="AG2182" t="str">
        <x:f>IF(NOT(ISNUMBER(T2182)),"PENDING",IF(AF2182&gt;0,"PASS","FAIL"))</x:f>
        <x:v>PASS</x:v>
      </x:c>
      <x:c r="AH2182" t="str">
        <x:f>IF(NOT(ISNUMBER(T2182)),"Needs supplier cost",IF(K2182&lt;&gt;"In stock","Supplier unavailable",IF(AG2182&lt;&gt;"PASS","BLOCK - GT loss risk","Commercially protected")))</x:f>
        <x:v>Commercially protected</x:v>
      </x:c>
      <x:c r="AI2182" t="str">
        <x:v>2026-09-10 Active Sports trade capture</x:v>
      </x:c>
      <x:c r="AJ2182" t="str">
        <x:v>Management-only economics. Stripe stress test uses 1.5% + £0.20 standard UK online-card fee; pallet/mix-and-match pricing ignored.</x:v>
      </x:c>
    </x:row>
    <x:row r="2183">
      <x:c r="A2183" t="str">
        <x:v>Active Sports Nutrition</x:v>
      </x:c>
      <x:c r="B2183" t="str">
        <x:v>Olimp</x:v>
      </x:c>
      <x:c r="C2183" t="str">
        <x:v>Kre-Alkalyn 2500 Mega Caps</x:v>
      </x:c>
      <x:c r="D2183" t="str">
        <x:v>Supplements</x:v>
      </x:c>
      <x:c r="E2183" t="str">
        <x:v>Creatine Capsules</x:v>
      </x:c>
      <x:c r="F2183" t="str"/>
      <x:c r="G2183" t="str">
        <x:v>120 caps</x:v>
      </x:c>
      <x:c r="H2183" t="str">
        <x:v>Default</x:v>
      </x:c>
      <x:c r="I2183" t="str"/>
      <x:c r="J2183" t="str">
        <x:v>Unit</x:v>
      </x:c>
      <x:c r="K2183" t="str">
        <x:v>In stock</x:v>
      </x:c>
      <x:c r="L2183" t="str">
        <x:v>2026-09-08</x:v>
      </x:c>
      <x:c r="M2183" t="str"/>
      <x:c r="N2183" t="str"/>
      <x:c r="O2183" t="str">
        <x:v>https://www.activesportstrade.co.uk/trade-pre-workout-supplements</x:v>
      </x:c>
      <x:c r="P2183" t="str"/>
      <x:c r="Q2183" t="str"/>
      <x:c r="R2183" t="str"/>
      <x:c r="S2183" t="str">
        <x:v>Pending genuine supplier/brand image</x:v>
      </x:c>
      <x:c r="T2183" s="54" t="n">
        <x:v>25.99</x:v>
      </x:c>
      <x:c r="U2183" s="47" t="n">
        <x:v>0.2</x:v>
      </x:c>
      <x:c r="V2183" s="54" t="n">
        <x:f>IF(ISNUMBER(T2183),T2183*(1+U2183),"")</x:f>
        <x:v>31.187999999999995</x:v>
      </x:c>
      <x:c r="W2183" s="47" t="n">
        <x:v>0.3</x:v>
      </x:c>
      <x:c r="X2183" s="54" t="n">
        <x:f>IF(ISNUMBER(V2183),V2183/(1-W2183),"")</x:f>
        <x:v>44.55428571428571</x:v>
      </x:c>
      <x:c r="Y2183" s="55" t="n">
        <x:f>IF(ISNUMBER(X2183),ROUNDUP(X2183,0),"")</x:f>
        <x:v>45</x:v>
      </x:c>
      <x:c r="Z2183" t="str">
        <x:v>Source match pending</x:v>
      </x:c>
      <x:c r="AA2183" t="str">
        <x:v>screencapture-www-activesportstrade-co-uk-olimp-trade-2026-09-10-09_05_33.pdf / page-10</x:v>
      </x:c>
      <x:c r="AB2183" s="36" t="n">
        <x:f>IF(ISNUMBER(Y2183),ROUND(Y2183*0.9,2),"")</x:f>
        <x:v>40.5</x:v>
      </x:c>
      <x:c r="AC2183" s="36" t="n">
        <x:f>IF(ISNUMBER(AB2183),ROUND(AB2183-(AB2183*0.015+0.2)-V2183,2),"")</x:f>
        <x:v>8.5</x:v>
      </x:c>
      <x:c r="AD2183" s="36" t="n">
        <x:f>IF(ISNUMBER(Y2183),ROUND(Y2183*0.8,2),"")</x:f>
        <x:v>36</x:v>
      </x:c>
      <x:c r="AE2183" s="36" t="n">
        <x:f>IF(ISNUMBER(AD2183),ROUND(AD2183*0.015+0.2,2),"")</x:f>
        <x:v>0.74</x:v>
      </x:c>
      <x:c r="AF2183" s="36" t="n">
        <x:f>IF(ISNUMBER(AD2183),ROUND(AD2183-AE2183-V2183,2),"")</x:f>
        <x:v>4.07</x:v>
      </x:c>
      <x:c r="AG2183" t="str">
        <x:f>IF(NOT(ISNUMBER(T2183)),"PENDING",IF(AF2183&gt;0,"PASS","FAIL"))</x:f>
        <x:v>PASS</x:v>
      </x:c>
      <x:c r="AH2183" t="str">
        <x:f>IF(NOT(ISNUMBER(T2183)),"Needs supplier cost",IF(K2183&lt;&gt;"In stock","Supplier unavailable",IF(AG2183&lt;&gt;"PASS","BLOCK - GT loss risk","Commercially protected")))</x:f>
        <x:v>Commercially protected</x:v>
      </x:c>
      <x:c r="AI2183" t="str">
        <x:v>2026-09-10 Active Sports trade capture</x:v>
      </x:c>
      <x:c r="AJ2183" t="str">
        <x:v>Management-only economics. Stripe stress test uses 1.5% + £0.20 standard UK online-card fee; pallet/mix-and-match pricing ignored.</x:v>
      </x:c>
    </x:row>
    <x:row r="2184">
      <x:c r="A2184" t="str">
        <x:v>Active Sports Nutrition</x:v>
      </x:c>
      <x:c r="B2184" t="str">
        <x:v>Olimp</x:v>
      </x:c>
      <x:c r="C2184" t="str">
        <x:v>Thermo Speed Extreme 2.0</x:v>
      </x:c>
      <x:c r="D2184" t="str">
        <x:v>Supplements</x:v>
      </x:c>
      <x:c r="E2184" t="str">
        <x:v>Weight Management</x:v>
      </x:c>
      <x:c r="F2184" t="str"/>
      <x:c r="G2184" t="str">
        <x:v>120 Mega Caps</x:v>
      </x:c>
      <x:c r="H2184" t="str">
        <x:v>Default</x:v>
      </x:c>
      <x:c r="I2184" t="str"/>
      <x:c r="J2184" t="str">
        <x:v>Unit</x:v>
      </x:c>
      <x:c r="K2184" t="str">
        <x:v>In stock</x:v>
      </x:c>
      <x:c r="L2184" t="str">
        <x:v>2026-09-08</x:v>
      </x:c>
      <x:c r="M2184" t="str"/>
      <x:c r="N2184" t="str"/>
      <x:c r="O2184" t="str">
        <x:v>https://www.activesportstrade.co.uk/Fat-Burners</x:v>
      </x:c>
      <x:c r="P2184" t="str"/>
      <x:c r="Q2184" t="str"/>
      <x:c r="R2184" t="str"/>
      <x:c r="S2184" t="str">
        <x:v>Pending genuine supplier/brand image</x:v>
      </x:c>
      <x:c r="T2184" s="54" t="n">
        <x:v>12.61</x:v>
      </x:c>
      <x:c r="U2184" s="47" t="n">
        <x:v>0.2</x:v>
      </x:c>
      <x:c r="V2184" s="54" t="n">
        <x:f>IF(ISNUMBER(T2184),T2184*(1+U2184),"")</x:f>
        <x:v>15.131999999999998</x:v>
      </x:c>
      <x:c r="W2184" s="47" t="n">
        <x:v>0.3</x:v>
      </x:c>
      <x:c r="X2184" s="54" t="n">
        <x:f>IF(ISNUMBER(V2184),V2184/(1-W2184),"")</x:f>
        <x:v>21.617142857142856</x:v>
      </x:c>
      <x:c r="Y2184" s="55" t="n">
        <x:f>IF(ISNUMBER(X2184),ROUNDUP(X2184,0),"")</x:f>
        <x:v>22</x:v>
      </x:c>
      <x:c r="Z2184" t="str">
        <x:v>Source match pending</x:v>
      </x:c>
      <x:c r="AA2184" t="str">
        <x:v>screencapture-www-activesportstrade-co-uk-olimp-trade-2026-09-10-09_05_33.pdf / page-13</x:v>
      </x:c>
      <x:c r="AB2184" s="36" t="n">
        <x:f>IF(ISNUMBER(Y2184),ROUND(Y2184*0.9,2),"")</x:f>
        <x:v>19.8</x:v>
      </x:c>
      <x:c r="AC2184" s="36" t="n">
        <x:f>IF(ISNUMBER(AB2184),ROUND(AB2184-(AB2184*0.015+0.2)-V2184,2),"")</x:f>
        <x:v>4.17</x:v>
      </x:c>
      <x:c r="AD2184" s="36" t="n">
        <x:f>IF(ISNUMBER(Y2184),ROUND(Y2184*0.8,2),"")</x:f>
        <x:v>17.6</x:v>
      </x:c>
      <x:c r="AE2184" s="36" t="n">
        <x:f>IF(ISNUMBER(AD2184),ROUND(AD2184*0.015+0.2,2),"")</x:f>
        <x:v>0.46</x:v>
      </x:c>
      <x:c r="AF2184" s="36" t="n">
        <x:f>IF(ISNUMBER(AD2184),ROUND(AD2184-AE2184-V2184,2),"")</x:f>
        <x:v>2.01</x:v>
      </x:c>
      <x:c r="AG2184" t="str">
        <x:f>IF(NOT(ISNUMBER(T2184)),"PENDING",IF(AF2184&gt;0,"PASS","FAIL"))</x:f>
        <x:v>PASS</x:v>
      </x:c>
      <x:c r="AH2184" t="str">
        <x:f>IF(NOT(ISNUMBER(T2184)),"Needs supplier cost",IF(K2184&lt;&gt;"In stock","Supplier unavailable",IF(AG2184&lt;&gt;"PASS","BLOCK - GT loss risk","Commercially protected")))</x:f>
        <x:v>Commercially protected</x:v>
      </x:c>
      <x:c r="AI2184" t="str">
        <x:v>2026-09-10 Active Sports trade capture</x:v>
      </x:c>
      <x:c r="AJ2184" t="str">
        <x:v>Management-only economics. Stripe stress test uses 1.5% + £0.20 standard UK online-card fee; pallet/mix-and-match pricing ignored.</x:v>
      </x:c>
    </x:row>
    <x:row r="2185">
      <x:c r="A2185" t="str">
        <x:v>Active Sports Nutrition</x:v>
      </x:c>
      <x:c r="B2185" t="str">
        <x:v>Olimp</x:v>
      </x:c>
      <x:c r="C2185" t="str">
        <x:v>Thermo Speed Hardcore Mega Caps</x:v>
      </x:c>
      <x:c r="D2185" t="str">
        <x:v>Supplements</x:v>
      </x:c>
      <x:c r="E2185" t="str">
        <x:v>Weight Management</x:v>
      </x:c>
      <x:c r="F2185" t="str"/>
      <x:c r="G2185" t="str">
        <x:v>120 caps</x:v>
      </x:c>
      <x:c r="H2185" t="str">
        <x:v>Default</x:v>
      </x:c>
      <x:c r="I2185" t="str"/>
      <x:c r="J2185" t="str">
        <x:v>Unit</x:v>
      </x:c>
      <x:c r="K2185" t="str">
        <x:v>In stock</x:v>
      </x:c>
      <x:c r="L2185" t="str">
        <x:v>2026-09-08</x:v>
      </x:c>
      <x:c r="M2185" t="str"/>
      <x:c r="N2185" t="str"/>
      <x:c r="O2185" t="str">
        <x:v>https://www.activesportstrade.co.uk/Fat-Burners</x:v>
      </x:c>
      <x:c r="P2185" t="str"/>
      <x:c r="Q2185" t="str"/>
      <x:c r="R2185" t="str"/>
      <x:c r="S2185" t="str">
        <x:v>Pending genuine supplier/brand image</x:v>
      </x:c>
      <x:c r="T2185" s="54" t="n">
        <x:v>14.62</x:v>
      </x:c>
      <x:c r="U2185" s="47" t="n">
        <x:v>0.2</x:v>
      </x:c>
      <x:c r="V2185" s="54" t="n">
        <x:f>IF(ISNUMBER(T2185),T2185*(1+U2185),"")</x:f>
        <x:v>17.543999999999997</x:v>
      </x:c>
      <x:c r="W2185" s="47" t="n">
        <x:v>0.3</x:v>
      </x:c>
      <x:c r="X2185" s="54" t="n">
        <x:f>IF(ISNUMBER(V2185),V2185/(1-W2185),"")</x:f>
        <x:v>25.06285714285714</x:v>
      </x:c>
      <x:c r="Y2185" s="55" t="n">
        <x:f>IF(ISNUMBER(X2185),ROUNDUP(X2185,0),"")</x:f>
        <x:v>26</x:v>
      </x:c>
      <x:c r="Z2185" t="str">
        <x:v>Source match pending</x:v>
      </x:c>
      <x:c r="AA2185" t="str">
        <x:v>screencapture-www-activesportstrade-co-uk-olimp-trade-2026-09-10-09_05_33.pdf / page-13</x:v>
      </x:c>
      <x:c r="AB2185" s="36" t="n">
        <x:f>IF(ISNUMBER(Y2185),ROUND(Y2185*0.9,2),"")</x:f>
        <x:v>23.4</x:v>
      </x:c>
      <x:c r="AC2185" s="36" t="n">
        <x:f>IF(ISNUMBER(AB2185),ROUND(AB2185-(AB2185*0.015+0.2)-V2185,2),"")</x:f>
        <x:v>5.31</x:v>
      </x:c>
      <x:c r="AD2185" s="36" t="n">
        <x:f>IF(ISNUMBER(Y2185),ROUND(Y2185*0.8,2),"")</x:f>
        <x:v>20.8</x:v>
      </x:c>
      <x:c r="AE2185" s="36" t="n">
        <x:f>IF(ISNUMBER(AD2185),ROUND(AD2185*0.015+0.2,2),"")</x:f>
        <x:v>0.51</x:v>
      </x:c>
      <x:c r="AF2185" s="36" t="n">
        <x:f>IF(ISNUMBER(AD2185),ROUND(AD2185-AE2185-V2185,2),"")</x:f>
        <x:v>2.75</x:v>
      </x:c>
      <x:c r="AG2185" t="str">
        <x:f>IF(NOT(ISNUMBER(T2185)),"PENDING",IF(AF2185&gt;0,"PASS","FAIL"))</x:f>
        <x:v>PASS</x:v>
      </x:c>
      <x:c r="AH2185" t="str">
        <x:f>IF(NOT(ISNUMBER(T2185)),"Needs supplier cost",IF(K2185&lt;&gt;"In stock","Supplier unavailable",IF(AG2185&lt;&gt;"PASS","BLOCK - GT loss risk","Commercially protected")))</x:f>
        <x:v>Commercially protected</x:v>
      </x:c>
      <x:c r="AI2185" t="str">
        <x:v>2026-09-10 Active Sports trade capture</x:v>
      </x:c>
      <x:c r="AJ2185" t="str">
        <x:v>Management-only economics. Stripe stress test uses 1.5% + £0.20 standard UK online-card fee; pallet/mix-and-match pricing ignored.</x:v>
      </x:c>
    </x:row>
    <x:row r="2186">
      <x:c r="A2186" t="str">
        <x:v>Active Sports Nutrition</x:v>
      </x:c>
      <x:c r="B2186" t="str">
        <x:v>Olimp</x:v>
      </x:c>
      <x:c r="C2186" t="str">
        <x:v>Thermo Stim Hardcore</x:v>
      </x:c>
      <x:c r="D2186" t="str">
        <x:v>Supplements</x:v>
      </x:c>
      <x:c r="E2186" t="str">
        <x:v>Weight Management</x:v>
      </x:c>
      <x:c r="F2186" t="str"/>
      <x:c r="G2186" t="str">
        <x:v>60 Mega Caps</x:v>
      </x:c>
      <x:c r="H2186" t="str">
        <x:v>Default</x:v>
      </x:c>
      <x:c r="I2186" t="str"/>
      <x:c r="J2186" t="str">
        <x:v>Unit</x:v>
      </x:c>
      <x:c r="K2186" t="str">
        <x:v>In stock</x:v>
      </x:c>
      <x:c r="L2186" t="str">
        <x:v>2026-09-08</x:v>
      </x:c>
      <x:c r="M2186" t="str"/>
      <x:c r="N2186" t="str"/>
      <x:c r="O2186" t="str">
        <x:v>https://www.activesportstrade.co.uk/Fat-Burners</x:v>
      </x:c>
      <x:c r="P2186" t="str"/>
      <x:c r="Q2186" t="str"/>
      <x:c r="R2186" t="str"/>
      <x:c r="S2186" t="str">
        <x:v>Pending genuine supplier/brand image</x:v>
      </x:c>
      <x:c r="T2186" s="54" t="n">
        <x:v>7.19</x:v>
      </x:c>
      <x:c r="U2186" s="47" t="n">
        <x:v>0.2</x:v>
      </x:c>
      <x:c r="V2186" s="54" t="n">
        <x:f>IF(ISNUMBER(T2186),T2186*(1+U2186),"")</x:f>
        <x:v>8.628</x:v>
      </x:c>
      <x:c r="W2186" s="47" t="n">
        <x:v>0.3</x:v>
      </x:c>
      <x:c r="X2186" s="54" t="n">
        <x:f>IF(ISNUMBER(V2186),V2186/(1-W2186),"")</x:f>
        <x:v>12.325714285714287</x:v>
      </x:c>
      <x:c r="Y2186" s="55" t="n">
        <x:f>IF(ISNUMBER(X2186),ROUNDUP(X2186,0),"")</x:f>
        <x:v>13</x:v>
      </x:c>
      <x:c r="Z2186" t="str">
        <x:v>Source match pending</x:v>
      </x:c>
      <x:c r="AA2186" t="str">
        <x:v>screencapture-www-activesportstrade-co-uk-olimp-trade-2026-09-10-09_05_33.pdf / page-13</x:v>
      </x:c>
      <x:c r="AB2186" s="36" t="n">
        <x:f>IF(ISNUMBER(Y2186),ROUND(Y2186*0.9,2),"")</x:f>
        <x:v>11.7</x:v>
      </x:c>
      <x:c r="AC2186" s="36" t="n">
        <x:f>IF(ISNUMBER(AB2186),ROUND(AB2186-(AB2186*0.015+0.2)-V2186,2),"")</x:f>
        <x:v>2.7</x:v>
      </x:c>
      <x:c r="AD2186" s="36" t="n">
        <x:f>IF(ISNUMBER(Y2186),ROUND(Y2186*0.8,2),"")</x:f>
        <x:v>10.4</x:v>
      </x:c>
      <x:c r="AE2186" s="36" t="n">
        <x:f>IF(ISNUMBER(AD2186),ROUND(AD2186*0.015+0.2,2),"")</x:f>
        <x:v>0.36</x:v>
      </x:c>
      <x:c r="AF2186" s="36" t="n">
        <x:f>IF(ISNUMBER(AD2186),ROUND(AD2186-AE2186-V2186,2),"")</x:f>
        <x:v>1.41</x:v>
      </x:c>
      <x:c r="AG2186" t="str">
        <x:f>IF(NOT(ISNUMBER(T2186)),"PENDING",IF(AF2186&gt;0,"PASS","FAIL"))</x:f>
        <x:v>PASS</x:v>
      </x:c>
      <x:c r="AH2186" t="str">
        <x:f>IF(NOT(ISNUMBER(T2186)),"Needs supplier cost",IF(K2186&lt;&gt;"In stock","Supplier unavailable",IF(AG2186&lt;&gt;"PASS","BLOCK - GT loss risk","Commercially protected")))</x:f>
        <x:v>Commercially protected</x:v>
      </x:c>
      <x:c r="AI2186" t="str">
        <x:v>2026-09-10 Active Sports trade capture</x:v>
      </x:c>
      <x:c r="AJ2186" t="str">
        <x:v>Management-only economics. Stripe stress test uses 1.5% + £0.20 standard UK online-card fee; pallet/mix-and-match pricing ignored.</x:v>
      </x:c>
    </x:row>
    <x:row r="2187">
      <x:c r="A2187" t="str">
        <x:v>Active Sports Nutrition</x:v>
      </x:c>
      <x:c r="B2187" t="str">
        <x:v>Olimp</x:v>
      </x:c>
      <x:c r="C2187" t="str">
        <x:v>Tribusteron 60</x:v>
      </x:c>
      <x:c r="D2187" t="str">
        <x:v>Supplements</x:v>
      </x:c>
      <x:c r="E2187" t="str">
        <x:v>Testosterone Support</x:v>
      </x:c>
      <x:c r="F2187" t="str"/>
      <x:c r="G2187" t="str">
        <x:v>120 caps</x:v>
      </x:c>
      <x:c r="H2187" t="str">
        <x:v>Default</x:v>
      </x:c>
      <x:c r="I2187" t="str"/>
      <x:c r="J2187" t="str">
        <x:v>Unit</x:v>
      </x:c>
      <x:c r="K2187" t="str">
        <x:v>In stock</x:v>
      </x:c>
      <x:c r="L2187" t="str">
        <x:v>2026-09-08</x:v>
      </x:c>
      <x:c r="M2187" t="str"/>
      <x:c r="N2187" t="str"/>
      <x:c r="O2187" t="str">
        <x:v>https://www.activesportstrade.co.uk/testosterone-boosters-trade</x:v>
      </x:c>
      <x:c r="P2187" t="str">
        <x:v>SPECIAL OFFER wording stripped from canonical title.</x:v>
      </x:c>
      <x:c r="Q2187" t="str"/>
      <x:c r="R2187" t="str"/>
      <x:c r="S2187" t="str">
        <x:v>Pending genuine supplier/brand image</x:v>
      </x:c>
      <x:c r="T2187" s="54" t="n">
        <x:v>6.99</x:v>
      </x:c>
      <x:c r="U2187" s="47" t="n">
        <x:v>0.2</x:v>
      </x:c>
      <x:c r="V2187" s="54" t="n">
        <x:f>IF(ISNUMBER(T2187),T2187*(1+U2187),"")</x:f>
        <x:v>8.388</x:v>
      </x:c>
      <x:c r="W2187" s="47" t="n">
        <x:v>0.3</x:v>
      </x:c>
      <x:c r="X2187" s="54" t="n">
        <x:f>IF(ISNUMBER(V2187),V2187/(1-W2187),"")</x:f>
        <x:v>11.982857142857144</x:v>
      </x:c>
      <x:c r="Y2187" s="55" t="n">
        <x:f>IF(ISNUMBER(X2187),ROUNDUP(X2187,0),"")</x:f>
        <x:v>12</x:v>
      </x:c>
      <x:c r="Z2187" t="str">
        <x:v>Source match pending</x:v>
      </x:c>
      <x:c r="AA2187" t="str">
        <x:v>screencapture-www-activesportstrade-co-uk-olimp-trade-2026-09-10-09_05_33.pdf / page-13</x:v>
      </x:c>
      <x:c r="AB2187" s="36" t="n">
        <x:f>IF(ISNUMBER(Y2187),ROUND(Y2187*0.9,2),"")</x:f>
        <x:v>10.8</x:v>
      </x:c>
      <x:c r="AC2187" s="36" t="n">
        <x:f>IF(ISNUMBER(AB2187),ROUND(AB2187-(AB2187*0.015+0.2)-V2187,2),"")</x:f>
        <x:v>2.05</x:v>
      </x:c>
      <x:c r="AD2187" s="36" t="n">
        <x:f>IF(ISNUMBER(Y2187),ROUND(Y2187*0.8,2),"")</x:f>
        <x:v>9.6</x:v>
      </x:c>
      <x:c r="AE2187" s="36" t="n">
        <x:f>IF(ISNUMBER(AD2187),ROUND(AD2187*0.015+0.2,2),"")</x:f>
        <x:v>0.34</x:v>
      </x:c>
      <x:c r="AF2187" s="36" t="n">
        <x:f>IF(ISNUMBER(AD2187),ROUND(AD2187-AE2187-V2187,2),"")</x:f>
        <x:v>0.87</x:v>
      </x:c>
      <x:c r="AG2187" t="str">
        <x:f>IF(NOT(ISNUMBER(T2187)),"PENDING",IF(AF2187&gt;0,"PASS","FAIL"))</x:f>
        <x:v>PASS</x:v>
      </x:c>
      <x:c r="AH2187" t="str">
        <x:f>IF(NOT(ISNUMBER(T2187)),"Needs supplier cost",IF(K2187&lt;&gt;"In stock","Supplier unavailable",IF(AG2187&lt;&gt;"PASS","BLOCK - GT loss risk","Commercially protected")))</x:f>
        <x:v>Commercially protected</x:v>
      </x:c>
      <x:c r="AI2187" t="str">
        <x:v>2026-09-10 Active Sports trade capture</x:v>
      </x:c>
      <x:c r="AJ2187" t="str">
        <x:v>Management-only economics. Stripe stress test uses 1.5% + £0.20 standard UK online-card fee; pallet/mix-and-match pricing ignored.</x:v>
      </x:c>
    </x:row>
    <x:row r="2188">
      <x:c r="A2188" t="str">
        <x:v>Active Sports Nutrition</x:v>
      </x:c>
      <x:c r="B2188" t="str">
        <x:v>Olimp</x:v>
      </x:c>
      <x:c r="C2188" t="str">
        <x:v>Caffeine Kick</x:v>
      </x:c>
      <x:c r="D2188" t="str">
        <x:v>Pre Workouts</x:v>
      </x:c>
      <x:c r="E2188" t="str">
        <x:v>Stimulants</x:v>
      </x:c>
      <x:c r="F2188" t="str"/>
      <x:c r="G2188" t="str">
        <x:v>60 caps</x:v>
      </x:c>
      <x:c r="H2188" t="str">
        <x:v>Default</x:v>
      </x:c>
      <x:c r="I2188" t="str"/>
      <x:c r="J2188" t="str">
        <x:v>Unit</x:v>
      </x:c>
      <x:c r="K2188" t="str">
        <x:v>In stock</x:v>
      </x:c>
      <x:c r="L2188" t="str">
        <x:v>2026-09-08</x:v>
      </x:c>
      <x:c r="M2188" t="str"/>
      <x:c r="N2188" t="str"/>
      <x:c r="O2188" t="str">
        <x:v>https://www.activesportstrade.co.uk/trade-pre-workout-supplements</x:v>
      </x:c>
      <x:c r="P2188" t="str"/>
      <x:c r="Q2188" t="str"/>
      <x:c r="R2188" t="str"/>
      <x:c r="S2188" t="str">
        <x:v>Pending genuine supplier/brand image</x:v>
      </x:c>
      <x:c r="T2188" s="54" t="n">
        <x:v>3.13</x:v>
      </x:c>
      <x:c r="U2188" s="47" t="n">
        <x:v>0.2</x:v>
      </x:c>
      <x:c r="V2188" s="54" t="n">
        <x:f>IF(ISNUMBER(T2188),T2188*(1+U2188),"")</x:f>
        <x:v>3.756</x:v>
      </x:c>
      <x:c r="W2188" s="47" t="n">
        <x:v>0.3</x:v>
      </x:c>
      <x:c r="X2188" s="54" t="n">
        <x:f>IF(ISNUMBER(V2188),V2188/(1-W2188),"")</x:f>
        <x:v>5.365714285714286</x:v>
      </x:c>
      <x:c r="Y2188" s="55" t="n">
        <x:f>IF(ISNUMBER(X2188),ROUNDUP(X2188,0),"")</x:f>
        <x:v>6</x:v>
      </x:c>
      <x:c r="Z2188" t="str">
        <x:v>Source match pending</x:v>
      </x:c>
      <x:c r="AA2188" t="str">
        <x:v>screencapture-www-activesportstrade-co-uk-olimp-trade-2026-09-10-09_05_33.pdf / page-04</x:v>
      </x:c>
      <x:c r="AB2188" s="36" t="n">
        <x:f>IF(ISNUMBER(Y2188),ROUND(Y2188*0.9,2),"")</x:f>
        <x:v>5.4</x:v>
      </x:c>
      <x:c r="AC2188" s="36" t="n">
        <x:f>IF(ISNUMBER(AB2188),ROUND(AB2188-(AB2188*0.015+0.2)-V2188,2),"")</x:f>
        <x:v>1.36</x:v>
      </x:c>
      <x:c r="AD2188" s="36" t="n">
        <x:f>IF(ISNUMBER(Y2188),ROUND(Y2188*0.8,2),"")</x:f>
        <x:v>4.8</x:v>
      </x:c>
      <x:c r="AE2188" s="36" t="n">
        <x:f>IF(ISNUMBER(AD2188),ROUND(AD2188*0.015+0.2,2),"")</x:f>
        <x:v>0.27</x:v>
      </x:c>
      <x:c r="AF2188" s="36" t="n">
        <x:f>IF(ISNUMBER(AD2188),ROUND(AD2188-AE2188-V2188,2),"")</x:f>
        <x:v>0.77</x:v>
      </x:c>
      <x:c r="AG2188" t="str">
        <x:f>IF(NOT(ISNUMBER(T2188)),"PENDING",IF(AF2188&gt;0,"PASS","FAIL"))</x:f>
        <x:v>PASS</x:v>
      </x:c>
      <x:c r="AH2188" t="str">
        <x:f>IF(NOT(ISNUMBER(T2188)),"Needs supplier cost",IF(K2188&lt;&gt;"In stock","Supplier unavailable",IF(AG2188&lt;&gt;"PASS","BLOCK - GT loss risk","Commercially protected")))</x:f>
        <x:v>Commercially protected</x:v>
      </x:c>
      <x:c r="AI2188" t="str">
        <x:v>2026-09-10 Active Sports trade capture</x:v>
      </x:c>
      <x:c r="AJ2188" t="str">
        <x:v>Management-only economics. Stripe stress test uses 1.5% + £0.20 standard UK online-card fee; pallet/mix-and-match pricing ignored.</x:v>
      </x:c>
    </x:row>
    <x:row r="2189">
      <x:c r="A2189" t="str">
        <x:v>Active Sports Nutrition</x:v>
      </x:c>
      <x:c r="B2189" t="str">
        <x:v>Olimp</x:v>
      </x:c>
      <x:c r="C2189" t="str">
        <x:v>Knockout 2.0 Pre Workout</x:v>
      </x:c>
      <x:c r="D2189" t="str">
        <x:v>Pre Workouts</x:v>
      </x:c>
      <x:c r="E2189" t="str">
        <x:v>High Stim</x:v>
      </x:c>
      <x:c r="F2189" t="str"/>
      <x:c r="G2189" t="str">
        <x:v>50 servings</x:v>
      </x:c>
      <x:c r="H2189" t="str">
        <x:v>Bubble Blow</x:v>
      </x:c>
      <x:c r="I2189" t="str"/>
      <x:c r="J2189" t="str">
        <x:v>Unit</x:v>
      </x:c>
      <x:c r="K2189" t="str">
        <x:v>Out of stock</x:v>
      </x:c>
      <x:c r="L2189" t="str">
        <x:v>2026-09-08</x:v>
      </x:c>
      <x:c r="M2189" t="str"/>
      <x:c r="N2189" t="str"/>
      <x:c r="O2189" t="str">
        <x:v>https://www.activesportstrade.co.uk/trade-pre-workout-supplements</x:v>
      </x:c>
      <x:c r="P2189" t="str"/>
      <x:c r="Q2189" t="str"/>
      <x:c r="R2189" t="str"/>
      <x:c r="S2189" t="str">
        <x:v>Pending genuine supplier/brand image</x:v>
      </x:c>
      <x:c r="T2189" s="54" t="n">
        <x:v>12.66</x:v>
      </x:c>
      <x:c r="U2189" s="47" t="n">
        <x:v>0.2</x:v>
      </x:c>
      <x:c r="V2189" s="54" t="n">
        <x:f>IF(ISNUMBER(T2189),T2189*(1+U2189),"")</x:f>
        <x:v>15.192</x:v>
      </x:c>
      <x:c r="W2189" s="47" t="n">
        <x:v>0.3</x:v>
      </x:c>
      <x:c r="X2189" s="54" t="n">
        <x:f>IF(ISNUMBER(V2189),V2189/(1-W2189),"")</x:f>
        <x:v>21.702857142857145</x:v>
      </x:c>
      <x:c r="Y2189" s="55" t="n">
        <x:f>IF(ISNUMBER(X2189),ROUNDUP(X2189,0),"")</x:f>
        <x:v>22</x:v>
      </x:c>
      <x:c r="Z2189" t="str">
        <x:v>Source match pending</x:v>
      </x:c>
      <x:c r="AA2189" t="str">
        <x:v>screencapture-www-activesportstrade-co-uk-olimp-trade-2026-09-10-09_05_33.pdf / page-09</x:v>
      </x:c>
      <x:c r="AB2189" s="36" t="n">
        <x:f>IF(ISNUMBER(Y2189),ROUND(Y2189*0.9,2),"")</x:f>
        <x:v>19.8</x:v>
      </x:c>
      <x:c r="AC2189" s="36" t="n">
        <x:f>IF(ISNUMBER(AB2189),ROUND(AB2189-(AB2189*0.015+0.2)-V2189,2),"")</x:f>
        <x:v>4.11</x:v>
      </x:c>
      <x:c r="AD2189" s="36" t="n">
        <x:f>IF(ISNUMBER(Y2189),ROUND(Y2189*0.8,2),"")</x:f>
        <x:v>17.6</x:v>
      </x:c>
      <x:c r="AE2189" s="36" t="n">
        <x:f>IF(ISNUMBER(AD2189),ROUND(AD2189*0.015+0.2,2),"")</x:f>
        <x:v>0.46</x:v>
      </x:c>
      <x:c r="AF2189" s="36" t="n">
        <x:f>IF(ISNUMBER(AD2189),ROUND(AD2189-AE2189-V2189,2),"")</x:f>
        <x:v>1.95</x:v>
      </x:c>
      <x:c r="AG2189" t="str">
        <x:f>IF(NOT(ISNUMBER(T2189)),"PENDING",IF(AF2189&gt;0,"PASS","FAIL"))</x:f>
        <x:v>PASS</x:v>
      </x:c>
      <x:c r="AH2189" t="str">
        <x:f>IF(NOT(ISNUMBER(T2189)),"Needs supplier cost",IF(K2189&lt;&gt;"In stock","Supplier unavailable",IF(AG2189&lt;&gt;"PASS","BLOCK - GT loss risk","Commercially protected")))</x:f>
        <x:v>Supplier unavailable</x:v>
      </x:c>
      <x:c r="AI2189" t="str">
        <x:v>2026-09-10 Active Sports trade capture</x:v>
      </x:c>
      <x:c r="AJ2189" t="str">
        <x:v>Management-only economics. Stripe stress test uses 1.5% + £0.20 standard UK online-card fee; pallet/mix-and-match pricing ignored.</x:v>
      </x:c>
    </x:row>
    <x:row r="2190">
      <x:c r="A2190" t="str">
        <x:v>Active Sports Nutrition</x:v>
      </x:c>
      <x:c r="B2190" t="str">
        <x:v>Olimp</x:v>
      </x:c>
      <x:c r="C2190" t="str">
        <x:v>Knockout 2.0 Pre Workout</x:v>
      </x:c>
      <x:c r="D2190" t="str">
        <x:v>Pre Workouts</x:v>
      </x:c>
      <x:c r="E2190" t="str">
        <x:v>High Stim</x:v>
      </x:c>
      <x:c r="F2190" t="str"/>
      <x:c r="G2190" t="str">
        <x:v>50 servings</x:v>
      </x:c>
      <x:c r="H2190" t="str">
        <x:v>Citrus Punch</x:v>
      </x:c>
      <x:c r="I2190" t="str"/>
      <x:c r="J2190" t="str">
        <x:v>Unit</x:v>
      </x:c>
      <x:c r="K2190" t="str">
        <x:v>In stock</x:v>
      </x:c>
      <x:c r="L2190" t="str">
        <x:v>2026-09-08</x:v>
      </x:c>
      <x:c r="M2190" t="str"/>
      <x:c r="N2190" t="str"/>
      <x:c r="O2190" t="str">
        <x:v>https://www.activesportstrade.co.uk/trade-pre-workout-supplements</x:v>
      </x:c>
      <x:c r="P2190" t="str"/>
      <x:c r="Q2190" t="str"/>
      <x:c r="R2190" t="str"/>
      <x:c r="S2190" t="str">
        <x:v>Pending genuine supplier/brand image</x:v>
      </x:c>
      <x:c r="T2190" s="54" t="n">
        <x:v>12.66</x:v>
      </x:c>
      <x:c r="U2190" s="47" t="n">
        <x:v>0.2</x:v>
      </x:c>
      <x:c r="V2190" s="54" t="n">
        <x:f>IF(ISNUMBER(T2190),T2190*(1+U2190),"")</x:f>
        <x:v>15.192</x:v>
      </x:c>
      <x:c r="W2190" s="47" t="n">
        <x:v>0.3</x:v>
      </x:c>
      <x:c r="X2190" s="54" t="n">
        <x:f>IF(ISNUMBER(V2190),V2190/(1-W2190),"")</x:f>
        <x:v>21.702857142857145</x:v>
      </x:c>
      <x:c r="Y2190" s="55" t="n">
        <x:f>IF(ISNUMBER(X2190),ROUNDUP(X2190,0),"")</x:f>
        <x:v>22</x:v>
      </x:c>
      <x:c r="Z2190" t="str">
        <x:v>Source match pending</x:v>
      </x:c>
      <x:c r="AA2190" t="str">
        <x:v>screencapture-www-activesportstrade-co-uk-olimp-trade-2026-09-10-09_05_33.pdf / page-09</x:v>
      </x:c>
      <x:c r="AB2190" s="36" t="n">
        <x:f>IF(ISNUMBER(Y2190),ROUND(Y2190*0.9,2),"")</x:f>
        <x:v>19.8</x:v>
      </x:c>
      <x:c r="AC2190" s="36" t="n">
        <x:f>IF(ISNUMBER(AB2190),ROUND(AB2190-(AB2190*0.015+0.2)-V2190,2),"")</x:f>
        <x:v>4.11</x:v>
      </x:c>
      <x:c r="AD2190" s="36" t="n">
        <x:f>IF(ISNUMBER(Y2190),ROUND(Y2190*0.8,2),"")</x:f>
        <x:v>17.6</x:v>
      </x:c>
      <x:c r="AE2190" s="36" t="n">
        <x:f>IF(ISNUMBER(AD2190),ROUND(AD2190*0.015+0.2,2),"")</x:f>
        <x:v>0.46</x:v>
      </x:c>
      <x:c r="AF2190" s="36" t="n">
        <x:f>IF(ISNUMBER(AD2190),ROUND(AD2190-AE2190-V2190,2),"")</x:f>
        <x:v>1.95</x:v>
      </x:c>
      <x:c r="AG2190" t="str">
        <x:f>IF(NOT(ISNUMBER(T2190)),"PENDING",IF(AF2190&gt;0,"PASS","FAIL"))</x:f>
        <x:v>PASS</x:v>
      </x:c>
      <x:c r="AH2190" t="str">
        <x:f>IF(NOT(ISNUMBER(T2190)),"Needs supplier cost",IF(K2190&lt;&gt;"In stock","Supplier unavailable",IF(AG2190&lt;&gt;"PASS","BLOCK - GT loss risk","Commercially protected")))</x:f>
        <x:v>Commercially protected</x:v>
      </x:c>
      <x:c r="AI2190" t="str">
        <x:v>2026-09-10 Active Sports trade capture</x:v>
      </x:c>
      <x:c r="AJ2190" t="str">
        <x:v>Management-only economics. Stripe stress test uses 1.5% + £0.20 standard UK online-card fee; pallet/mix-and-match pricing ignored.</x:v>
      </x:c>
    </x:row>
    <x:row r="2191">
      <x:c r="A2191" t="str">
        <x:v>Active Sports Nutrition</x:v>
      </x:c>
      <x:c r="B2191" t="str">
        <x:v>Olimp</x:v>
      </x:c>
      <x:c r="C2191" t="str">
        <x:v>Knockout 2.0 Pre Workout</x:v>
      </x:c>
      <x:c r="D2191" t="str">
        <x:v>Pre Workouts</x:v>
      </x:c>
      <x:c r="E2191" t="str">
        <x:v>High Stim</x:v>
      </x:c>
      <x:c r="F2191" t="str"/>
      <x:c r="G2191" t="str">
        <x:v>50 servings</x:v>
      </x:c>
      <x:c r="H2191" t="str">
        <x:v>Cola Blast</x:v>
      </x:c>
      <x:c r="I2191" t="str"/>
      <x:c r="J2191" t="str">
        <x:v>Unit</x:v>
      </x:c>
      <x:c r="K2191" t="str">
        <x:v>Out of stock</x:v>
      </x:c>
      <x:c r="L2191" t="str">
        <x:v>2026-09-08</x:v>
      </x:c>
      <x:c r="M2191" t="str"/>
      <x:c r="N2191" t="str"/>
      <x:c r="O2191" t="str">
        <x:v>https://www.activesportstrade.co.uk/trade-pre-workout-supplements</x:v>
      </x:c>
      <x:c r="P2191" t="str"/>
      <x:c r="Q2191" t="str"/>
      <x:c r="R2191" t="str"/>
      <x:c r="S2191" t="str">
        <x:v>Pending genuine supplier/brand image</x:v>
      </x:c>
      <x:c r="T2191" s="54" t="n">
        <x:v>12.66</x:v>
      </x:c>
      <x:c r="U2191" s="47" t="n">
        <x:v>0.2</x:v>
      </x:c>
      <x:c r="V2191" s="54" t="n">
        <x:f>IF(ISNUMBER(T2191),T2191*(1+U2191),"")</x:f>
        <x:v>15.192</x:v>
      </x:c>
      <x:c r="W2191" s="47" t="n">
        <x:v>0.3</x:v>
      </x:c>
      <x:c r="X2191" s="54" t="n">
        <x:f>IF(ISNUMBER(V2191),V2191/(1-W2191),"")</x:f>
        <x:v>21.702857142857145</x:v>
      </x:c>
      <x:c r="Y2191" s="55" t="n">
        <x:f>IF(ISNUMBER(X2191),ROUNDUP(X2191,0),"")</x:f>
        <x:v>22</x:v>
      </x:c>
      <x:c r="Z2191" t="str">
        <x:v>Source match pending</x:v>
      </x:c>
      <x:c r="AA2191" t="str">
        <x:v>screencapture-www-activesportstrade-co-uk-olimp-trade-2026-09-10-09_05_33.pdf / page-09</x:v>
      </x:c>
      <x:c r="AB2191" s="36" t="n">
        <x:f>IF(ISNUMBER(Y2191),ROUND(Y2191*0.9,2),"")</x:f>
        <x:v>19.8</x:v>
      </x:c>
      <x:c r="AC2191" s="36" t="n">
        <x:f>IF(ISNUMBER(AB2191),ROUND(AB2191-(AB2191*0.015+0.2)-V2191,2),"")</x:f>
        <x:v>4.11</x:v>
      </x:c>
      <x:c r="AD2191" s="36" t="n">
        <x:f>IF(ISNUMBER(Y2191),ROUND(Y2191*0.8,2),"")</x:f>
        <x:v>17.6</x:v>
      </x:c>
      <x:c r="AE2191" s="36" t="n">
        <x:f>IF(ISNUMBER(AD2191),ROUND(AD2191*0.015+0.2,2),"")</x:f>
        <x:v>0.46</x:v>
      </x:c>
      <x:c r="AF2191" s="36" t="n">
        <x:f>IF(ISNUMBER(AD2191),ROUND(AD2191-AE2191-V2191,2),"")</x:f>
        <x:v>1.95</x:v>
      </x:c>
      <x:c r="AG2191" t="str">
        <x:f>IF(NOT(ISNUMBER(T2191)),"PENDING",IF(AF2191&gt;0,"PASS","FAIL"))</x:f>
        <x:v>PASS</x:v>
      </x:c>
      <x:c r="AH2191" t="str">
        <x:f>IF(NOT(ISNUMBER(T2191)),"Needs supplier cost",IF(K2191&lt;&gt;"In stock","Supplier unavailable",IF(AG2191&lt;&gt;"PASS","BLOCK - GT loss risk","Commercially protected")))</x:f>
        <x:v>Supplier unavailable</x:v>
      </x:c>
      <x:c r="AI2191" t="str">
        <x:v>2026-09-10 Active Sports trade capture</x:v>
      </x:c>
      <x:c r="AJ2191" t="str">
        <x:v>Management-only economics. Stripe stress test uses 1.5% + £0.20 standard UK online-card fee; pallet/mix-and-match pricing ignored.</x:v>
      </x:c>
    </x:row>
    <x:row r="2192">
      <x:c r="A2192" t="str">
        <x:v>Active Sports Nutrition</x:v>
      </x:c>
      <x:c r="B2192" t="str">
        <x:v>Olimp</x:v>
      </x:c>
      <x:c r="C2192" t="str">
        <x:v>Knockout 2.0 Pre Workout</x:v>
      </x:c>
      <x:c r="D2192" t="str">
        <x:v>Pre Workouts</x:v>
      </x:c>
      <x:c r="E2192" t="str">
        <x:v>High Stim</x:v>
      </x:c>
      <x:c r="F2192" t="str"/>
      <x:c r="G2192" t="str">
        <x:v>50 servings</x:v>
      </x:c>
      <x:c r="H2192" t="str">
        <x:v>Pear Attack</x:v>
      </x:c>
      <x:c r="I2192" t="str"/>
      <x:c r="J2192" t="str">
        <x:v>Unit</x:v>
      </x:c>
      <x:c r="K2192" t="str">
        <x:v>In stock</x:v>
      </x:c>
      <x:c r="L2192" t="str">
        <x:v>2026-09-08</x:v>
      </x:c>
      <x:c r="M2192" t="str"/>
      <x:c r="N2192" t="str"/>
      <x:c r="O2192" t="str">
        <x:v>https://www.activesportstrade.co.uk/trade-pre-workout-supplements</x:v>
      </x:c>
      <x:c r="P2192" t="str"/>
      <x:c r="Q2192" t="str"/>
      <x:c r="R2192" t="str"/>
      <x:c r="S2192" t="str">
        <x:v>Pending genuine supplier/brand image</x:v>
      </x:c>
      <x:c r="T2192" s="54" t="n">
        <x:v>12.66</x:v>
      </x:c>
      <x:c r="U2192" s="47" t="n">
        <x:v>0.2</x:v>
      </x:c>
      <x:c r="V2192" s="54" t="n">
        <x:f>IF(ISNUMBER(T2192),T2192*(1+U2192),"")</x:f>
        <x:v>15.192</x:v>
      </x:c>
      <x:c r="W2192" s="47" t="n">
        <x:v>0.3</x:v>
      </x:c>
      <x:c r="X2192" s="54" t="n">
        <x:f>IF(ISNUMBER(V2192),V2192/(1-W2192),"")</x:f>
        <x:v>21.702857142857145</x:v>
      </x:c>
      <x:c r="Y2192" s="55" t="n">
        <x:f>IF(ISNUMBER(X2192),ROUNDUP(X2192,0),"")</x:f>
        <x:v>22</x:v>
      </x:c>
      <x:c r="Z2192" t="str">
        <x:v>Source match pending</x:v>
      </x:c>
      <x:c r="AA2192" t="str">
        <x:v>screencapture-www-activesportstrade-co-uk-olimp-trade-2026-09-10-09_05_33.pdf / page-09</x:v>
      </x:c>
      <x:c r="AB2192" s="36" t="n">
        <x:f>IF(ISNUMBER(Y2192),ROUND(Y2192*0.9,2),"")</x:f>
        <x:v>19.8</x:v>
      </x:c>
      <x:c r="AC2192" s="36" t="n">
        <x:f>IF(ISNUMBER(AB2192),ROUND(AB2192-(AB2192*0.015+0.2)-V2192,2),"")</x:f>
        <x:v>4.11</x:v>
      </x:c>
      <x:c r="AD2192" s="36" t="n">
        <x:f>IF(ISNUMBER(Y2192),ROUND(Y2192*0.8,2),"")</x:f>
        <x:v>17.6</x:v>
      </x:c>
      <x:c r="AE2192" s="36" t="n">
        <x:f>IF(ISNUMBER(AD2192),ROUND(AD2192*0.015+0.2,2),"")</x:f>
        <x:v>0.46</x:v>
      </x:c>
      <x:c r="AF2192" s="36" t="n">
        <x:f>IF(ISNUMBER(AD2192),ROUND(AD2192-AE2192-V2192,2),"")</x:f>
        <x:v>1.95</x:v>
      </x:c>
      <x:c r="AG2192" t="str">
        <x:f>IF(NOT(ISNUMBER(T2192)),"PENDING",IF(AF2192&gt;0,"PASS","FAIL"))</x:f>
        <x:v>PASS</x:v>
      </x:c>
      <x:c r="AH2192" t="str">
        <x:f>IF(NOT(ISNUMBER(T2192)),"Needs supplier cost",IF(K2192&lt;&gt;"In stock","Supplier unavailable",IF(AG2192&lt;&gt;"PASS","BLOCK - GT loss risk","Commercially protected")))</x:f>
        <x:v>Commercially protected</x:v>
      </x:c>
      <x:c r="AI2192" t="str">
        <x:v>2026-09-10 Active Sports trade capture</x:v>
      </x:c>
      <x:c r="AJ2192" t="str">
        <x:v>Management-only economics. Stripe stress test uses 1.5% + £0.20 standard UK online-card fee; pallet/mix-and-match pricing ignored.</x:v>
      </x:c>
    </x:row>
    <x:row r="2193">
      <x:c r="A2193" t="str">
        <x:v>Active Sports Nutrition</x:v>
      </x:c>
      <x:c r="B2193" t="str">
        <x:v>Olimp</x:v>
      </x:c>
      <x:c r="C2193" t="str">
        <x:v>Carni Tea Xplode Zero</x:v>
      </x:c>
      <x:c r="D2193" t="str">
        <x:v>Drinks and Bars</x:v>
      </x:c>
      <x:c r="E2193" t="str">
        <x:v>Ready to Drink Energy</x:v>
      </x:c>
      <x:c r="F2193" t="str"/>
      <x:c r="G2193" t="str">
        <x:v>24 x 330ml cans</x:v>
      </x:c>
      <x:c r="H2193" t="str">
        <x:v>Cherry</x:v>
      </x:c>
      <x:c r="I2193" t="str">
        <x:v>24</x:v>
      </x:c>
      <x:c r="J2193" t="str">
        <x:v>Case</x:v>
      </x:c>
      <x:c r="K2193" t="str">
        <x:v>In stock</x:v>
      </x:c>
      <x:c r="L2193" t="str">
        <x:v>2026-09-08</x:v>
      </x:c>
      <x:c r="M2193" t="str"/>
      <x:c r="N2193" t="str"/>
      <x:c r="O2193" t="str">
        <x:v>https://www.activesportstrade.co.uk/Diet-Weight-Loss</x:v>
      </x:c>
      <x:c r="P2193" t="str">
        <x:v>PALLET PROMO commercial terms excluded; case-only.</x:v>
      </x:c>
      <x:c r="Q2193" t="str"/>
      <x:c r="R2193" t="str"/>
      <x:c r="S2193" t="str">
        <x:v>Pending genuine supplier/brand image</x:v>
      </x:c>
      <x:c r="T2193" s="54" t="n">
        <x:v>19.99</x:v>
      </x:c>
      <x:c r="U2193" s="47" t="n">
        <x:v>0.2</x:v>
      </x:c>
      <x:c r="V2193" s="54" t="n">
        <x:f>IF(ISNUMBER(T2193),T2193*(1+U2193),"")</x:f>
        <x:v>23.987999999999996</x:v>
      </x:c>
      <x:c r="W2193" s="47" t="n">
        <x:v>0.3</x:v>
      </x:c>
      <x:c r="X2193" s="54" t="n">
        <x:f>IF(ISNUMBER(V2193),V2193/(1-W2193),"")</x:f>
        <x:v>34.26857142857143</x:v>
      </x:c>
      <x:c r="Y2193" s="55" t="n">
        <x:f>IF(ISNUMBER(X2193),ROUNDUP(X2193,0),"")</x:f>
        <x:v>35</x:v>
      </x:c>
      <x:c r="Z2193" t="str">
        <x:v>Source match pending</x:v>
      </x:c>
      <x:c r="AA2193" t="str">
        <x:v>screencapture-www-activesportstrade-co-uk-olimp-trade-2026-09-10-09_05_33.pdf / page-04</x:v>
      </x:c>
      <x:c r="AB2193" s="36" t="n">
        <x:f>IF(ISNUMBER(Y2193),ROUND(Y2193*0.9,2),"")</x:f>
        <x:v>31.5</x:v>
      </x:c>
      <x:c r="AC2193" s="36" t="n">
        <x:f>IF(ISNUMBER(AB2193),ROUND(AB2193-(AB2193*0.015+0.2)-V2193,2),"")</x:f>
        <x:v>6.84</x:v>
      </x:c>
      <x:c r="AD2193" s="36" t="n">
        <x:f>IF(ISNUMBER(Y2193),ROUND(Y2193*0.8,2),"")</x:f>
        <x:v>28</x:v>
      </x:c>
      <x:c r="AE2193" s="36" t="n">
        <x:f>IF(ISNUMBER(AD2193),ROUND(AD2193*0.015+0.2,2),"")</x:f>
        <x:v>0.62</x:v>
      </x:c>
      <x:c r="AF2193" s="36" t="n">
        <x:f>IF(ISNUMBER(AD2193),ROUND(AD2193-AE2193-V2193,2),"")</x:f>
        <x:v>3.39</x:v>
      </x:c>
      <x:c r="AG2193" t="str">
        <x:f>IF(NOT(ISNUMBER(T2193)),"PENDING",IF(AF2193&gt;0,"PASS","FAIL"))</x:f>
        <x:v>PASS</x:v>
      </x:c>
      <x:c r="AH2193" t="str">
        <x:f>IF(NOT(ISNUMBER(T2193)),"Needs supplier cost",IF(K2193&lt;&gt;"In stock","Supplier unavailable",IF(AG2193&lt;&gt;"PASS","BLOCK - GT loss risk","Commercially protected")))</x:f>
        <x:v>Commercially protected</x:v>
      </x:c>
      <x:c r="AI2193" t="str">
        <x:v>2026-09-10 Active Sports trade capture</x:v>
      </x:c>
      <x:c r="AJ2193" t="str">
        <x:v>Management-only economics. Stripe stress test uses 1.5% + £0.20 standard UK online-card fee; pallet/mix-and-match pricing ignored.</x:v>
      </x:c>
    </x:row>
    <x:row r="2194">
      <x:c r="A2194" t="str">
        <x:v>Active Sports Nutrition</x:v>
      </x:c>
      <x:c r="B2194" t="str">
        <x:v>Olimp</x:v>
      </x:c>
      <x:c r="C2194" t="str">
        <x:v>Gold Omega 3 Sport Edition</x:v>
      </x:c>
      <x:c r="D2194" t="str">
        <x:v>Supplements</x:v>
      </x:c>
      <x:c r="E2194" t="str">
        <x:v>Essential Fats</x:v>
      </x:c>
      <x:c r="F2194" t="str"/>
      <x:c r="G2194" t="str">
        <x:v>120 caps</x:v>
      </x:c>
      <x:c r="H2194" t="str">
        <x:v>Default</x:v>
      </x:c>
      <x:c r="I2194" t="str"/>
      <x:c r="J2194" t="str">
        <x:v>Unit</x:v>
      </x:c>
      <x:c r="K2194" t="str">
        <x:v>In stock</x:v>
      </x:c>
      <x:c r="L2194" t="str">
        <x:v>2026-09-08</x:v>
      </x:c>
      <x:c r="M2194" t="str"/>
      <x:c r="N2194" t="str"/>
      <x:c r="O2194" t="str">
        <x:v>https://www.activesportstrade.co.uk/Joint-Repair/norec</x:v>
      </x:c>
      <x:c r="P2194" t="str"/>
      <x:c r="Q2194" t="str"/>
      <x:c r="R2194" t="str"/>
      <x:c r="S2194" t="str">
        <x:v>Pending genuine supplier/brand image</x:v>
      </x:c>
      <x:c r="T2194" s="54" t="n">
        <x:v>12.25</x:v>
      </x:c>
      <x:c r="U2194" s="47" t="n">
        <x:v>0.2</x:v>
      </x:c>
      <x:c r="V2194" s="54" t="n">
        <x:f>IF(ISNUMBER(T2194),T2194*(1+U2194),"")</x:f>
        <x:v>14.7</x:v>
      </x:c>
      <x:c r="W2194" s="47" t="n">
        <x:v>0.3</x:v>
      </x:c>
      <x:c r="X2194" s="54" t="n">
        <x:f>IF(ISNUMBER(V2194),V2194/(1-W2194),"")</x:f>
        <x:v>21</x:v>
      </x:c>
      <x:c r="Y2194" s="55" t="n">
        <x:f>IF(ISNUMBER(X2194),ROUNDUP(X2194,0),"")</x:f>
        <x:v>21</x:v>
      </x:c>
      <x:c r="Z2194" t="str">
        <x:v>Source match pending</x:v>
      </x:c>
      <x:c r="AA2194" t="str">
        <x:v>screencapture-www-activesportstrade-co-uk-olimp-trade-2026-09-10-09_05_33.pdf / page-08</x:v>
      </x:c>
      <x:c r="AB2194" s="36" t="n">
        <x:f>IF(ISNUMBER(Y2194),ROUND(Y2194*0.9,2),"")</x:f>
        <x:v>18.9</x:v>
      </x:c>
      <x:c r="AC2194" s="36" t="n">
        <x:f>IF(ISNUMBER(AB2194),ROUND(AB2194-(AB2194*0.015+0.2)-V2194,2),"")</x:f>
        <x:v>3.72</x:v>
      </x:c>
      <x:c r="AD2194" s="36" t="n">
        <x:f>IF(ISNUMBER(Y2194),ROUND(Y2194*0.8,2),"")</x:f>
        <x:v>16.8</x:v>
      </x:c>
      <x:c r="AE2194" s="36" t="n">
        <x:f>IF(ISNUMBER(AD2194),ROUND(AD2194*0.015+0.2,2),"")</x:f>
        <x:v>0.45</x:v>
      </x:c>
      <x:c r="AF2194" s="36" t="n">
        <x:f>IF(ISNUMBER(AD2194),ROUND(AD2194-AE2194-V2194,2),"")</x:f>
        <x:v>1.65</x:v>
      </x:c>
      <x:c r="AG2194" t="str">
        <x:f>IF(NOT(ISNUMBER(T2194)),"PENDING",IF(AF2194&gt;0,"PASS","FAIL"))</x:f>
        <x:v>PASS</x:v>
      </x:c>
      <x:c r="AH2194" t="str">
        <x:f>IF(NOT(ISNUMBER(T2194)),"Needs supplier cost",IF(K2194&lt;&gt;"In stock","Supplier unavailable",IF(AG2194&lt;&gt;"PASS","BLOCK - GT loss risk","Commercially protected")))</x:f>
        <x:v>Commercially protected</x:v>
      </x:c>
      <x:c r="AI2194" t="str">
        <x:v>2026-09-10 Active Sports trade capture</x:v>
      </x:c>
      <x:c r="AJ2194" t="str">
        <x:v>Management-only economics. Stripe stress test uses 1.5% + £0.20 standard UK online-card fee; pallet/mix-and-match pricing ignored.</x:v>
      </x:c>
    </x:row>
    <x:row r="2195">
      <x:c r="A2195" t="str">
        <x:v>Active Sports Nutrition</x:v>
      </x:c>
      <x:c r="B2195" t="str">
        <x:v>Olimp</x:v>
      </x:c>
      <x:c r="C2195" t="str">
        <x:v>Gold Omega 3 D3 + K2 Sports Edition</x:v>
      </x:c>
      <x:c r="D2195" t="str">
        <x:v>Supplements</x:v>
      </x:c>
      <x:c r="E2195" t="str">
        <x:v>Essential Fats</x:v>
      </x:c>
      <x:c r="F2195" t="str"/>
      <x:c r="G2195" t="str">
        <x:v>60 caps</x:v>
      </x:c>
      <x:c r="H2195" t="str">
        <x:v>Default</x:v>
      </x:c>
      <x:c r="I2195" t="str"/>
      <x:c r="J2195" t="str">
        <x:v>Unit</x:v>
      </x:c>
      <x:c r="K2195" t="str">
        <x:v>In stock</x:v>
      </x:c>
      <x:c r="L2195" t="str">
        <x:v>2026-09-08</x:v>
      </x:c>
      <x:c r="M2195" t="str"/>
      <x:c r="N2195" t="str"/>
      <x:c r="O2195" t="str">
        <x:v>https://www.activesportstrade.co.uk/Joint-Repair/norec</x:v>
      </x:c>
      <x:c r="P2195" t="str"/>
      <x:c r="Q2195" t="str"/>
      <x:c r="R2195" t="str"/>
      <x:c r="S2195" t="str">
        <x:v>Pending genuine supplier/brand image</x:v>
      </x:c>
      <x:c r="T2195" s="54" t="n">
        <x:v>9.48</x:v>
      </x:c>
      <x:c r="U2195" s="47" t="n">
        <x:v>0.2</x:v>
      </x:c>
      <x:c r="V2195" s="54" t="n">
        <x:f>IF(ISNUMBER(T2195),T2195*(1+U2195),"")</x:f>
        <x:v>11.376</x:v>
      </x:c>
      <x:c r="W2195" s="47" t="n">
        <x:v>0.3</x:v>
      </x:c>
      <x:c r="X2195" s="54" t="n">
        <x:f>IF(ISNUMBER(V2195),V2195/(1-W2195),"")</x:f>
        <x:v>16.251428571428573</x:v>
      </x:c>
      <x:c r="Y2195" s="55" t="n">
        <x:f>IF(ISNUMBER(X2195),ROUNDUP(X2195,0),"")</x:f>
        <x:v>17</x:v>
      </x:c>
      <x:c r="Z2195" t="str">
        <x:v>Source match pending</x:v>
      </x:c>
      <x:c r="AA2195" t="str">
        <x:v>screencapture-www-activesportstrade-co-uk-olimp-trade-2026-09-10-09_05_33.pdf / page-08</x:v>
      </x:c>
      <x:c r="AB2195" s="36" t="n">
        <x:f>IF(ISNUMBER(Y2195),ROUND(Y2195*0.9,2),"")</x:f>
        <x:v>15.3</x:v>
      </x:c>
      <x:c r="AC2195" s="36" t="n">
        <x:f>IF(ISNUMBER(AB2195),ROUND(AB2195-(AB2195*0.015+0.2)-V2195,2),"")</x:f>
        <x:v>3.49</x:v>
      </x:c>
      <x:c r="AD2195" s="36" t="n">
        <x:f>IF(ISNUMBER(Y2195),ROUND(Y2195*0.8,2),"")</x:f>
        <x:v>13.6</x:v>
      </x:c>
      <x:c r="AE2195" s="36" t="n">
        <x:f>IF(ISNUMBER(AD2195),ROUND(AD2195*0.015+0.2,2),"")</x:f>
        <x:v>0.4</x:v>
      </x:c>
      <x:c r="AF2195" s="36" t="n">
        <x:f>IF(ISNUMBER(AD2195),ROUND(AD2195-AE2195-V2195,2),"")</x:f>
        <x:v>1.82</x:v>
      </x:c>
      <x:c r="AG2195" t="str">
        <x:f>IF(NOT(ISNUMBER(T2195)),"PENDING",IF(AF2195&gt;0,"PASS","FAIL"))</x:f>
        <x:v>PASS</x:v>
      </x:c>
      <x:c r="AH2195" t="str">
        <x:f>IF(NOT(ISNUMBER(T2195)),"Needs supplier cost",IF(K2195&lt;&gt;"In stock","Supplier unavailable",IF(AG2195&lt;&gt;"PASS","BLOCK - GT loss risk","Commercially protected")))</x:f>
        <x:v>Commercially protected</x:v>
      </x:c>
      <x:c r="AI2195" t="str">
        <x:v>2026-09-10 Active Sports trade capture</x:v>
      </x:c>
      <x:c r="AJ2195" t="str">
        <x:v>Management-only economics. Stripe stress test uses 1.5% + £0.20 standard UK online-card fee; pallet/mix-and-match pricing ignored.</x:v>
      </x:c>
    </x:row>
    <x:row r="2196">
      <x:c r="A2196" t="str">
        <x:v>Active Sports Nutrition</x:v>
      </x:c>
      <x:c r="B2196" t="str">
        <x:v>Olimp</x:v>
      </x:c>
      <x:c r="C2196" t="str">
        <x:v>Gold Beef Protein</x:v>
      </x:c>
      <x:c r="D2196" t="str">
        <x:v>Supplements</x:v>
      </x:c>
      <x:c r="E2196" t="str">
        <x:v>Protein Blends</x:v>
      </x:c>
      <x:c r="F2196" t="str"/>
      <x:c r="G2196" t="str">
        <x:v>700g</x:v>
      </x:c>
      <x:c r="H2196" t="str">
        <x:v>Blueberry</x:v>
      </x:c>
      <x:c r="I2196" t="str"/>
      <x:c r="J2196" t="str">
        <x:v>Unit</x:v>
      </x:c>
      <x:c r="K2196" t="str">
        <x:v>Out of stock</x:v>
      </x:c>
      <x:c r="L2196" t="str">
        <x:v>2026-09-08</x:v>
      </x:c>
      <x:c r="M2196" t="str"/>
      <x:c r="N2196" t="str"/>
      <x:c r="O2196" t="str">
        <x:v>https://www.activesportstrade.co.uk/Protein-Blends-Trade</x:v>
      </x:c>
      <x:c r="P2196" t="str"/>
      <x:c r="Q2196" t="str"/>
      <x:c r="R2196" t="str"/>
      <x:c r="S2196" t="str">
        <x:v>Pending genuine supplier/brand image</x:v>
      </x:c>
      <x:c r="T2196" s="54" t="n">
        <x:v>18.99</x:v>
      </x:c>
      <x:c r="U2196" s="47" t="n">
        <x:v>0.2</x:v>
      </x:c>
      <x:c r="V2196" s="54" t="n">
        <x:f>IF(ISNUMBER(T2196),T2196*(1+U2196),"")</x:f>
        <x:v>22.787999999999997</x:v>
      </x:c>
      <x:c r="W2196" s="47" t="n">
        <x:v>0.3</x:v>
      </x:c>
      <x:c r="X2196" s="54" t="n">
        <x:f>IF(ISNUMBER(V2196),V2196/(1-W2196),"")</x:f>
        <x:v>32.55428571428571</x:v>
      </x:c>
      <x:c r="Y2196" s="55" t="n">
        <x:f>IF(ISNUMBER(X2196),ROUNDUP(X2196,0),"")</x:f>
        <x:v>33</x:v>
      </x:c>
      <x:c r="Z2196" t="str">
        <x:v>Source match pending</x:v>
      </x:c>
      <x:c r="AA2196" t="str">
        <x:v>screencapture-www-activesportstrade-co-uk-olimp-trade-2026-09-10-09_05_33.pdf / page-08</x:v>
      </x:c>
      <x:c r="AB2196" s="36" t="n">
        <x:f>IF(ISNUMBER(Y2196),ROUND(Y2196*0.9,2),"")</x:f>
        <x:v>29.7</x:v>
      </x:c>
      <x:c r="AC2196" s="36" t="n">
        <x:f>IF(ISNUMBER(AB2196),ROUND(AB2196-(AB2196*0.015+0.2)-V2196,2),"")</x:f>
        <x:v>6.27</x:v>
      </x:c>
      <x:c r="AD2196" s="36" t="n">
        <x:f>IF(ISNUMBER(Y2196),ROUND(Y2196*0.8,2),"")</x:f>
        <x:v>26.4</x:v>
      </x:c>
      <x:c r="AE2196" s="36" t="n">
        <x:f>IF(ISNUMBER(AD2196),ROUND(AD2196*0.015+0.2,2),"")</x:f>
        <x:v>0.6</x:v>
      </x:c>
      <x:c r="AF2196" s="36" t="n">
        <x:f>IF(ISNUMBER(AD2196),ROUND(AD2196-AE2196-V2196,2),"")</x:f>
        <x:v>3.01</x:v>
      </x:c>
      <x:c r="AG2196" t="str">
        <x:f>IF(NOT(ISNUMBER(T2196)),"PENDING",IF(AF2196&gt;0,"PASS","FAIL"))</x:f>
        <x:v>PASS</x:v>
      </x:c>
      <x:c r="AH2196" t="str">
        <x:f>IF(NOT(ISNUMBER(T2196)),"Needs supplier cost",IF(K2196&lt;&gt;"In stock","Supplier unavailable",IF(AG2196&lt;&gt;"PASS","BLOCK - GT loss risk","Commercially protected")))</x:f>
        <x:v>Supplier unavailable</x:v>
      </x:c>
      <x:c r="AI2196" t="str">
        <x:v>2026-09-10 Active Sports trade capture</x:v>
      </x:c>
      <x:c r="AJ2196" t="str">
        <x:v>Management-only economics. Stripe stress test uses 1.5% + £0.20 standard UK online-card fee; pallet/mix-and-match pricing ignored.</x:v>
      </x:c>
    </x:row>
    <x:row r="2197">
      <x:c r="A2197" t="str">
        <x:v>Active Sports Nutrition</x:v>
      </x:c>
      <x:c r="B2197" t="str">
        <x:v>Olimp</x:v>
      </x:c>
      <x:c r="C2197" t="str">
        <x:v>Gold Beef Protein</x:v>
      </x:c>
      <x:c r="D2197" t="str">
        <x:v>Supplements</x:v>
      </x:c>
      <x:c r="E2197" t="str">
        <x:v>Protein Blends</x:v>
      </x:c>
      <x:c r="F2197" t="str"/>
      <x:c r="G2197" t="str">
        <x:v>700g</x:v>
      </x:c>
      <x:c r="H2197" t="str">
        <x:v>Cookies and Cream</x:v>
      </x:c>
      <x:c r="I2197" t="str"/>
      <x:c r="J2197" t="str">
        <x:v>Unit</x:v>
      </x:c>
      <x:c r="K2197" t="str">
        <x:v>Out of stock</x:v>
      </x:c>
      <x:c r="L2197" t="str">
        <x:v>2026-09-08</x:v>
      </x:c>
      <x:c r="M2197" t="str"/>
      <x:c r="N2197" t="str"/>
      <x:c r="O2197" t="str">
        <x:v>https://www.activesportstrade.co.uk/Protein-Blends-Trade</x:v>
      </x:c>
      <x:c r="P2197" t="str"/>
      <x:c r="Q2197" t="str"/>
      <x:c r="R2197" t="str"/>
      <x:c r="S2197" t="str">
        <x:v>Pending genuine supplier/brand image</x:v>
      </x:c>
      <x:c r="T2197" s="54" t="n">
        <x:v>18.99</x:v>
      </x:c>
      <x:c r="U2197" s="47" t="n">
        <x:v>0.2</x:v>
      </x:c>
      <x:c r="V2197" s="54" t="n">
        <x:f>IF(ISNUMBER(T2197),T2197*(1+U2197),"")</x:f>
        <x:v>22.787999999999997</x:v>
      </x:c>
      <x:c r="W2197" s="47" t="n">
        <x:v>0.3</x:v>
      </x:c>
      <x:c r="X2197" s="54" t="n">
        <x:f>IF(ISNUMBER(V2197),V2197/(1-W2197),"")</x:f>
        <x:v>32.55428571428571</x:v>
      </x:c>
      <x:c r="Y2197" s="55" t="n">
        <x:f>IF(ISNUMBER(X2197),ROUNDUP(X2197,0),"")</x:f>
        <x:v>33</x:v>
      </x:c>
      <x:c r="Z2197" t="str">
        <x:v>Source match pending</x:v>
      </x:c>
      <x:c r="AA2197" t="str">
        <x:v>screencapture-www-activesportstrade-co-uk-olimp-trade-2026-09-10-09_05_33.pdf / page-08</x:v>
      </x:c>
      <x:c r="AB2197" s="36" t="n">
        <x:f>IF(ISNUMBER(Y2197),ROUND(Y2197*0.9,2),"")</x:f>
        <x:v>29.7</x:v>
      </x:c>
      <x:c r="AC2197" s="36" t="n">
        <x:f>IF(ISNUMBER(AB2197),ROUND(AB2197-(AB2197*0.015+0.2)-V2197,2),"")</x:f>
        <x:v>6.27</x:v>
      </x:c>
      <x:c r="AD2197" s="36" t="n">
        <x:f>IF(ISNUMBER(Y2197),ROUND(Y2197*0.8,2),"")</x:f>
        <x:v>26.4</x:v>
      </x:c>
      <x:c r="AE2197" s="36" t="n">
        <x:f>IF(ISNUMBER(AD2197),ROUND(AD2197*0.015+0.2,2),"")</x:f>
        <x:v>0.6</x:v>
      </x:c>
      <x:c r="AF2197" s="36" t="n">
        <x:f>IF(ISNUMBER(AD2197),ROUND(AD2197-AE2197-V2197,2),"")</x:f>
        <x:v>3.01</x:v>
      </x:c>
      <x:c r="AG2197" t="str">
        <x:f>IF(NOT(ISNUMBER(T2197)),"PENDING",IF(AF2197&gt;0,"PASS","FAIL"))</x:f>
        <x:v>PASS</x:v>
      </x:c>
      <x:c r="AH2197" t="str">
        <x:f>IF(NOT(ISNUMBER(T2197)),"Needs supplier cost",IF(K2197&lt;&gt;"In stock","Supplier unavailable",IF(AG2197&lt;&gt;"PASS","BLOCK - GT loss risk","Commercially protected")))</x:f>
        <x:v>Supplier unavailable</x:v>
      </x:c>
      <x:c r="AI2197" t="str">
        <x:v>2026-09-10 Active Sports trade capture</x:v>
      </x:c>
      <x:c r="AJ2197" t="str">
        <x:v>Management-only economics. Stripe stress test uses 1.5% + £0.20 standard UK online-card fee; pallet/mix-and-match pricing ignored.</x:v>
      </x:c>
    </x:row>
    <x:row r="2198">
      <x:c r="A2198" t="str">
        <x:v>Active Sports Nutrition</x:v>
      </x:c>
      <x:c r="B2198" t="str">
        <x:v>Olimp</x:v>
      </x:c>
      <x:c r="C2198" t="str">
        <x:v>Gold Beef Protein</x:v>
      </x:c>
      <x:c r="D2198" t="str">
        <x:v>Supplements</x:v>
      </x:c>
      <x:c r="E2198" t="str">
        <x:v>Protein Blends</x:v>
      </x:c>
      <x:c r="F2198" t="str"/>
      <x:c r="G2198" t="str">
        <x:v>700g</x:v>
      </x:c>
      <x:c r="H2198" t="str">
        <x:v>Strawberry</x:v>
      </x:c>
      <x:c r="I2198" t="str"/>
      <x:c r="J2198" t="str">
        <x:v>Unit</x:v>
      </x:c>
      <x:c r="K2198" t="str">
        <x:v>Out of stock</x:v>
      </x:c>
      <x:c r="L2198" t="str">
        <x:v>2026-09-08</x:v>
      </x:c>
      <x:c r="M2198" t="str"/>
      <x:c r="N2198" t="str"/>
      <x:c r="O2198" t="str">
        <x:v>https://www.activesportstrade.co.uk/Protein-Blends-Trade</x:v>
      </x:c>
      <x:c r="P2198" t="str"/>
      <x:c r="Q2198" t="str"/>
      <x:c r="R2198" t="str"/>
      <x:c r="S2198" t="str">
        <x:v>Pending genuine supplier/brand image</x:v>
      </x:c>
      <x:c r="T2198" s="54" t="n">
        <x:v>18.99</x:v>
      </x:c>
      <x:c r="U2198" s="47" t="n">
        <x:v>0.2</x:v>
      </x:c>
      <x:c r="V2198" s="54" t="n">
        <x:f>IF(ISNUMBER(T2198),T2198*(1+U2198),"")</x:f>
        <x:v>22.787999999999997</x:v>
      </x:c>
      <x:c r="W2198" s="47" t="n">
        <x:v>0.3</x:v>
      </x:c>
      <x:c r="X2198" s="54" t="n">
        <x:f>IF(ISNUMBER(V2198),V2198/(1-W2198),"")</x:f>
        <x:v>32.55428571428571</x:v>
      </x:c>
      <x:c r="Y2198" s="55" t="n">
        <x:f>IF(ISNUMBER(X2198),ROUNDUP(X2198,0),"")</x:f>
        <x:v>33</x:v>
      </x:c>
      <x:c r="Z2198" t="str">
        <x:v>Source match pending</x:v>
      </x:c>
      <x:c r="AA2198" t="str">
        <x:v>screencapture-www-activesportstrade-co-uk-olimp-trade-2026-09-10-09_05_33.pdf / page-08</x:v>
      </x:c>
      <x:c r="AB2198" s="36" t="n">
        <x:f>IF(ISNUMBER(Y2198),ROUND(Y2198*0.9,2),"")</x:f>
        <x:v>29.7</x:v>
      </x:c>
      <x:c r="AC2198" s="36" t="n">
        <x:f>IF(ISNUMBER(AB2198),ROUND(AB2198-(AB2198*0.015+0.2)-V2198,2),"")</x:f>
        <x:v>6.27</x:v>
      </x:c>
      <x:c r="AD2198" s="36" t="n">
        <x:f>IF(ISNUMBER(Y2198),ROUND(Y2198*0.8,2),"")</x:f>
        <x:v>26.4</x:v>
      </x:c>
      <x:c r="AE2198" s="36" t="n">
        <x:f>IF(ISNUMBER(AD2198),ROUND(AD2198*0.015+0.2,2),"")</x:f>
        <x:v>0.6</x:v>
      </x:c>
      <x:c r="AF2198" s="36" t="n">
        <x:f>IF(ISNUMBER(AD2198),ROUND(AD2198-AE2198-V2198,2),"")</x:f>
        <x:v>3.01</x:v>
      </x:c>
      <x:c r="AG2198" t="str">
        <x:f>IF(NOT(ISNUMBER(T2198)),"PENDING",IF(AF2198&gt;0,"PASS","FAIL"))</x:f>
        <x:v>PASS</x:v>
      </x:c>
      <x:c r="AH2198" t="str">
        <x:f>IF(NOT(ISNUMBER(T2198)),"Needs supplier cost",IF(K2198&lt;&gt;"In stock","Supplier unavailable",IF(AG2198&lt;&gt;"PASS","BLOCK - GT loss risk","Commercially protected")))</x:f>
        <x:v>Supplier unavailable</x:v>
      </x:c>
      <x:c r="AI2198" t="str">
        <x:v>2026-09-10 Active Sports trade capture</x:v>
      </x:c>
      <x:c r="AJ2198" t="str">
        <x:v>Management-only economics. Stripe stress test uses 1.5% + £0.20 standard UK online-card fee; pallet/mix-and-match pricing ignored.</x:v>
      </x:c>
    </x:row>
    <x:row r="2199">
      <x:c r="A2199" t="str">
        <x:v>Active Sports Nutrition</x:v>
      </x:c>
      <x:c r="B2199" t="str">
        <x:v>Olimp</x:v>
      </x:c>
      <x:c r="C2199" t="str">
        <x:v>Whey Protein Complex 100%</x:v>
      </x:c>
      <x:c r="D2199" t="str">
        <x:v>Supplements</x:v>
      </x:c>
      <x:c r="E2199" t="str">
        <x:v>Whey Protein</x:v>
      </x:c>
      <x:c r="F2199" t="str"/>
      <x:c r="G2199" t="str">
        <x:v>1.8kg</x:v>
      </x:c>
      <x:c r="H2199" t="str">
        <x:v>Blueberry</x:v>
      </x:c>
      <x:c r="I2199" t="str"/>
      <x:c r="J2199" t="str">
        <x:v>Unit</x:v>
      </x:c>
      <x:c r="K2199" t="str">
        <x:v>Out of stock</x:v>
      </x:c>
      <x:c r="L2199" t="str">
        <x:v>2026-09-08</x:v>
      </x:c>
      <x:c r="M2199" t="str"/>
      <x:c r="N2199" t="str"/>
      <x:c r="O2199" t="str">
        <x:v>https://www.activesportstrade.co.uk/Whey-Protein-Supplements-Trade/olimp-trade</x:v>
      </x:c>
      <x:c r="P2199" t="str">
        <x:v>Fresh whey-category page extends the 1.8kg exact flavour matrix; existing flavours retained separately.</x:v>
      </x:c>
      <x:c r="Q2199" t="str"/>
      <x:c r="R2199" t="str"/>
      <x:c r="S2199" t="str">
        <x:v>Pending genuine supplier/brand image</x:v>
      </x:c>
      <x:c r="T2199" s="54" t="n">
        <x:v>39.99</x:v>
      </x:c>
      <x:c r="U2199" s="47" t="n">
        <x:v>0.2</x:v>
      </x:c>
      <x:c r="V2199" s="54" t="n">
        <x:f>IF(ISNUMBER(T2199),T2199*(1+U2199),"")</x:f>
        <x:v>47.988</x:v>
      </x:c>
      <x:c r="W2199" s="47" t="n">
        <x:v>0.3</x:v>
      </x:c>
      <x:c r="X2199" s="54" t="n">
        <x:f>IF(ISNUMBER(V2199),V2199/(1-W2199),"")</x:f>
        <x:v>68.55428571428571</x:v>
      </x:c>
      <x:c r="Y2199" s="55" t="n">
        <x:f>IF(ISNUMBER(X2199),ROUNDUP(X2199,0),"")</x:f>
        <x:v>69</x:v>
      </x:c>
      <x:c r="Z2199" t="str">
        <x:v>Source match pending</x:v>
      </x:c>
      <x:c r="AA2199" t="str">
        <x:v>screencapture-www-activesportstrade-co-uk-olimp-trade-2026-09-10-09_05_33.pdf / page-14</x:v>
      </x:c>
      <x:c r="AB2199" s="36" t="n">
        <x:f>IF(ISNUMBER(Y2199),ROUND(Y2199*0.9,2),"")</x:f>
        <x:v>62.1</x:v>
      </x:c>
      <x:c r="AC2199" s="36" t="n">
        <x:f>IF(ISNUMBER(AB2199),ROUND(AB2199-(AB2199*0.015+0.2)-V2199,2),"")</x:f>
        <x:v>12.98</x:v>
      </x:c>
      <x:c r="AD2199" s="36" t="n">
        <x:f>IF(ISNUMBER(Y2199),ROUND(Y2199*0.8,2),"")</x:f>
        <x:v>55.2</x:v>
      </x:c>
      <x:c r="AE2199" s="36" t="n">
        <x:f>IF(ISNUMBER(AD2199),ROUND(AD2199*0.015+0.2,2),"")</x:f>
        <x:v>1.03</x:v>
      </x:c>
      <x:c r="AF2199" s="36" t="n">
        <x:f>IF(ISNUMBER(AD2199),ROUND(AD2199-AE2199-V2199,2),"")</x:f>
        <x:v>6.18</x:v>
      </x:c>
      <x:c r="AG2199" t="str">
        <x:f>IF(NOT(ISNUMBER(T2199)),"PENDING",IF(AF2199&gt;0,"PASS","FAIL"))</x:f>
        <x:v>PASS</x:v>
      </x:c>
      <x:c r="AH2199" t="str">
        <x:f>IF(NOT(ISNUMBER(T2199)),"Needs supplier cost",IF(K2199&lt;&gt;"In stock","Supplier unavailable",IF(AG2199&lt;&gt;"PASS","BLOCK - GT loss risk","Commercially protected")))</x:f>
        <x:v>Supplier unavailable</x:v>
      </x:c>
      <x:c r="AI2199" t="str">
        <x:v>2026-09-10 Active Sports trade capture</x:v>
      </x:c>
      <x:c r="AJ2199" t="str">
        <x:v>Management-only economics. Stripe stress test uses 1.5% + £0.20 standard UK online-card fee; pallet/mix-and-match pricing ignored.</x:v>
      </x:c>
    </x:row>
    <x:row r="2200">
      <x:c r="A2200" t="str">
        <x:v>Active Sports Nutrition</x:v>
      </x:c>
      <x:c r="B2200" t="str">
        <x:v>Olimp</x:v>
      </x:c>
      <x:c r="C2200" t="str">
        <x:v>Whey Protein Complex 100%</x:v>
      </x:c>
      <x:c r="D2200" t="str">
        <x:v>Supplements</x:v>
      </x:c>
      <x:c r="E2200" t="str">
        <x:v>Whey Protein</x:v>
      </x:c>
      <x:c r="F2200" t="str"/>
      <x:c r="G2200" t="str">
        <x:v>1.8kg</x:v>
      </x:c>
      <x:c r="H2200" t="str">
        <x:v>Ice Coffee</x:v>
      </x:c>
      <x:c r="I2200" t="str"/>
      <x:c r="J2200" t="str">
        <x:v>Unit</x:v>
      </x:c>
      <x:c r="K2200" t="str">
        <x:v>In stock</x:v>
      </x:c>
      <x:c r="L2200" t="str">
        <x:v>2026-09-08</x:v>
      </x:c>
      <x:c r="M2200" t="str"/>
      <x:c r="N2200" t="str"/>
      <x:c r="O2200" t="str">
        <x:v>https://www.activesportstrade.co.uk/Whey-Protein-Supplements-Trade/olimp-trade</x:v>
      </x:c>
      <x:c r="P2200" t="str">
        <x:v>Fresh whey-category page extends the 1.8kg exact flavour matrix; existing flavours retained separately.</x:v>
      </x:c>
      <x:c r="Q2200" t="str"/>
      <x:c r="R2200" t="str"/>
      <x:c r="S2200" t="str">
        <x:v>Pending genuine supplier/brand image</x:v>
      </x:c>
      <x:c r="T2200" s="54" t="n">
        <x:v>39.99</x:v>
      </x:c>
      <x:c r="U2200" s="47" t="n">
        <x:v>0.2</x:v>
      </x:c>
      <x:c r="V2200" s="54" t="n">
        <x:f>IF(ISNUMBER(T2200),T2200*(1+U2200),"")</x:f>
        <x:v>47.988</x:v>
      </x:c>
      <x:c r="W2200" s="47" t="n">
        <x:v>0.3</x:v>
      </x:c>
      <x:c r="X2200" s="54" t="n">
        <x:f>IF(ISNUMBER(V2200),V2200/(1-W2200),"")</x:f>
        <x:v>68.55428571428571</x:v>
      </x:c>
      <x:c r="Y2200" s="55" t="n">
        <x:f>IF(ISNUMBER(X2200),ROUNDUP(X2200,0),"")</x:f>
        <x:v>69</x:v>
      </x:c>
      <x:c r="Z2200" t="str">
        <x:v>Source match pending</x:v>
      </x:c>
      <x:c r="AA2200" t="str">
        <x:v>screencapture-www-activesportstrade-co-uk-olimp-trade-2026-09-10-09_05_33.pdf / page-14</x:v>
      </x:c>
      <x:c r="AB2200" s="36" t="n">
        <x:f>IF(ISNUMBER(Y2200),ROUND(Y2200*0.9,2),"")</x:f>
        <x:v>62.1</x:v>
      </x:c>
      <x:c r="AC2200" s="36" t="n">
        <x:f>IF(ISNUMBER(AB2200),ROUND(AB2200-(AB2200*0.015+0.2)-V2200,2),"")</x:f>
        <x:v>12.98</x:v>
      </x:c>
      <x:c r="AD2200" s="36" t="n">
        <x:f>IF(ISNUMBER(Y2200),ROUND(Y2200*0.8,2),"")</x:f>
        <x:v>55.2</x:v>
      </x:c>
      <x:c r="AE2200" s="36" t="n">
        <x:f>IF(ISNUMBER(AD2200),ROUND(AD2200*0.015+0.2,2),"")</x:f>
        <x:v>1.03</x:v>
      </x:c>
      <x:c r="AF2200" s="36" t="n">
        <x:f>IF(ISNUMBER(AD2200),ROUND(AD2200-AE2200-V2200,2),"")</x:f>
        <x:v>6.18</x:v>
      </x:c>
      <x:c r="AG2200" t="str">
        <x:f>IF(NOT(ISNUMBER(T2200)),"PENDING",IF(AF2200&gt;0,"PASS","FAIL"))</x:f>
        <x:v>PASS</x:v>
      </x:c>
      <x:c r="AH2200" t="str">
        <x:f>IF(NOT(ISNUMBER(T2200)),"Needs supplier cost",IF(K2200&lt;&gt;"In stock","Supplier unavailable",IF(AG2200&lt;&gt;"PASS","BLOCK - GT loss risk","Commercially protected")))</x:f>
        <x:v>Commercially protected</x:v>
      </x:c>
      <x:c r="AI2200" t="str">
        <x:v>2026-09-10 Active Sports trade capture</x:v>
      </x:c>
      <x:c r="AJ2200" t="str">
        <x:v>Management-only economics. Stripe stress test uses 1.5% + £0.20 standard UK online-card fee; pallet/mix-and-match pricing ignored.</x:v>
      </x:c>
    </x:row>
    <x:row r="2201">
      <x:c r="A2201" t="str">
        <x:v>Active Sports Nutrition</x:v>
      </x:c>
      <x:c r="B2201" t="str">
        <x:v>Olimp</x:v>
      </x:c>
      <x:c r="C2201" t="str">
        <x:v>Whey Protein Complex 100%</x:v>
      </x:c>
      <x:c r="D2201" t="str">
        <x:v>Supplements</x:v>
      </x:c>
      <x:c r="E2201" t="str">
        <x:v>Whey Protein</x:v>
      </x:c>
      <x:c r="F2201" t="str"/>
      <x:c r="G2201" t="str">
        <x:v>1.8kg</x:v>
      </x:c>
      <x:c r="H2201" t="str">
        <x:v>Lemon Cheesecake</x:v>
      </x:c>
      <x:c r="I2201" t="str"/>
      <x:c r="J2201" t="str">
        <x:v>Unit</x:v>
      </x:c>
      <x:c r="K2201" t="str">
        <x:v>In stock</x:v>
      </x:c>
      <x:c r="L2201" t="str">
        <x:v>2026-09-08</x:v>
      </x:c>
      <x:c r="M2201" t="str"/>
      <x:c r="N2201" t="str"/>
      <x:c r="O2201" t="str">
        <x:v>https://www.activesportstrade.co.uk/Whey-Protein-Supplements-Trade/olimp-trade</x:v>
      </x:c>
      <x:c r="P2201" t="str">
        <x:v>Fresh whey-category page extends the 1.8kg exact flavour matrix; existing flavours retained separately.</x:v>
      </x:c>
      <x:c r="Q2201" t="str"/>
      <x:c r="R2201" t="str"/>
      <x:c r="S2201" t="str">
        <x:v>Pending genuine supplier/brand image</x:v>
      </x:c>
      <x:c r="T2201" s="54" t="n">
        <x:v>39.99</x:v>
      </x:c>
      <x:c r="U2201" s="47" t="n">
        <x:v>0.2</x:v>
      </x:c>
      <x:c r="V2201" s="54" t="n">
        <x:f>IF(ISNUMBER(T2201),T2201*(1+U2201),"")</x:f>
        <x:v>47.988</x:v>
      </x:c>
      <x:c r="W2201" s="47" t="n">
        <x:v>0.3</x:v>
      </x:c>
      <x:c r="X2201" s="54" t="n">
        <x:f>IF(ISNUMBER(V2201),V2201/(1-W2201),"")</x:f>
        <x:v>68.55428571428571</x:v>
      </x:c>
      <x:c r="Y2201" s="55" t="n">
        <x:f>IF(ISNUMBER(X2201),ROUNDUP(X2201,0),"")</x:f>
        <x:v>69</x:v>
      </x:c>
      <x:c r="Z2201" t="str">
        <x:v>Source match pending</x:v>
      </x:c>
      <x:c r="AA2201" t="str">
        <x:v>screencapture-www-activesportstrade-co-uk-olimp-trade-2026-09-10-09_05_33.pdf / page-14</x:v>
      </x:c>
      <x:c r="AB2201" s="36" t="n">
        <x:f>IF(ISNUMBER(Y2201),ROUND(Y2201*0.9,2),"")</x:f>
        <x:v>62.1</x:v>
      </x:c>
      <x:c r="AC2201" s="36" t="n">
        <x:f>IF(ISNUMBER(AB2201),ROUND(AB2201-(AB2201*0.015+0.2)-V2201,2),"")</x:f>
        <x:v>12.98</x:v>
      </x:c>
      <x:c r="AD2201" s="36" t="n">
        <x:f>IF(ISNUMBER(Y2201),ROUND(Y2201*0.8,2),"")</x:f>
        <x:v>55.2</x:v>
      </x:c>
      <x:c r="AE2201" s="36" t="n">
        <x:f>IF(ISNUMBER(AD2201),ROUND(AD2201*0.015+0.2,2),"")</x:f>
        <x:v>1.03</x:v>
      </x:c>
      <x:c r="AF2201" s="36" t="n">
        <x:f>IF(ISNUMBER(AD2201),ROUND(AD2201-AE2201-V2201,2),"")</x:f>
        <x:v>6.18</x:v>
      </x:c>
      <x:c r="AG2201" t="str">
        <x:f>IF(NOT(ISNUMBER(T2201)),"PENDING",IF(AF2201&gt;0,"PASS","FAIL"))</x:f>
        <x:v>PASS</x:v>
      </x:c>
      <x:c r="AH2201" t="str">
        <x:f>IF(NOT(ISNUMBER(T2201)),"Needs supplier cost",IF(K2201&lt;&gt;"In stock","Supplier unavailable",IF(AG2201&lt;&gt;"PASS","BLOCK - GT loss risk","Commercially protected")))</x:f>
        <x:v>Commercially protected</x:v>
      </x:c>
      <x:c r="AI2201" t="str">
        <x:v>2026-09-10 Active Sports trade capture</x:v>
      </x:c>
      <x:c r="AJ2201" t="str">
        <x:v>Management-only economics. Stripe stress test uses 1.5% + £0.20 standard UK online-card fee; pallet/mix-and-match pricing ignored.</x:v>
      </x:c>
    </x:row>
    <x:row r="2202">
      <x:c r="A2202" t="str">
        <x:v>Active Sports Nutrition</x:v>
      </x:c>
      <x:c r="B2202" t="str">
        <x:v>Olimp</x:v>
      </x:c>
      <x:c r="C2202" t="str">
        <x:v>Whey Protein Complex 100%</x:v>
      </x:c>
      <x:c r="D2202" t="str">
        <x:v>Supplements</x:v>
      </x:c>
      <x:c r="E2202" t="str">
        <x:v>Whey Protein</x:v>
      </x:c>
      <x:c r="F2202" t="str"/>
      <x:c r="G2202" t="str">
        <x:v>1.8kg</x:v>
      </x:c>
      <x:c r="H2202" t="str">
        <x:v>Peanut Butter</x:v>
      </x:c>
      <x:c r="I2202" t="str"/>
      <x:c r="J2202" t="str">
        <x:v>Unit</x:v>
      </x:c>
      <x:c r="K2202" t="str">
        <x:v>Out of stock</x:v>
      </x:c>
      <x:c r="L2202" t="str">
        <x:v>2026-09-08</x:v>
      </x:c>
      <x:c r="M2202" t="str"/>
      <x:c r="N2202" t="str"/>
      <x:c r="O2202" t="str">
        <x:v>https://www.activesportstrade.co.uk/Whey-Protein-Supplements-Trade/olimp-trade</x:v>
      </x:c>
      <x:c r="P2202" t="str">
        <x:v>Fresh whey-category page extends the 1.8kg exact flavour matrix; existing flavours retained separately.</x:v>
      </x:c>
      <x:c r="Q2202" t="str"/>
      <x:c r="R2202" t="str"/>
      <x:c r="S2202" t="str">
        <x:v>Pending genuine supplier/brand image</x:v>
      </x:c>
      <x:c r="T2202" s="54" t="n">
        <x:v>39.99</x:v>
      </x:c>
      <x:c r="U2202" s="47" t="n">
        <x:v>0.2</x:v>
      </x:c>
      <x:c r="V2202" s="54" t="n">
        <x:f>IF(ISNUMBER(T2202),T2202*(1+U2202),"")</x:f>
        <x:v>47.988</x:v>
      </x:c>
      <x:c r="W2202" s="47" t="n">
        <x:v>0.3</x:v>
      </x:c>
      <x:c r="X2202" s="54" t="n">
        <x:f>IF(ISNUMBER(V2202),V2202/(1-W2202),"")</x:f>
        <x:v>68.55428571428571</x:v>
      </x:c>
      <x:c r="Y2202" s="55" t="n">
        <x:f>IF(ISNUMBER(X2202),ROUNDUP(X2202,0),"")</x:f>
        <x:v>69</x:v>
      </x:c>
      <x:c r="Z2202" t="str">
        <x:v>Source match pending</x:v>
      </x:c>
      <x:c r="AA2202" t="str">
        <x:v>screencapture-www-activesportstrade-co-uk-olimp-trade-2026-09-10-09_05_33.pdf / page-14</x:v>
      </x:c>
      <x:c r="AB2202" s="36" t="n">
        <x:f>IF(ISNUMBER(Y2202),ROUND(Y2202*0.9,2),"")</x:f>
        <x:v>62.1</x:v>
      </x:c>
      <x:c r="AC2202" s="36" t="n">
        <x:f>IF(ISNUMBER(AB2202),ROUND(AB2202-(AB2202*0.015+0.2)-V2202,2),"")</x:f>
        <x:v>12.98</x:v>
      </x:c>
      <x:c r="AD2202" s="36" t="n">
        <x:f>IF(ISNUMBER(Y2202),ROUND(Y2202*0.8,2),"")</x:f>
        <x:v>55.2</x:v>
      </x:c>
      <x:c r="AE2202" s="36" t="n">
        <x:f>IF(ISNUMBER(AD2202),ROUND(AD2202*0.015+0.2,2),"")</x:f>
        <x:v>1.03</x:v>
      </x:c>
      <x:c r="AF2202" s="36" t="n">
        <x:f>IF(ISNUMBER(AD2202),ROUND(AD2202-AE2202-V2202,2),"")</x:f>
        <x:v>6.18</x:v>
      </x:c>
      <x:c r="AG2202" t="str">
        <x:f>IF(NOT(ISNUMBER(T2202)),"PENDING",IF(AF2202&gt;0,"PASS","FAIL"))</x:f>
        <x:v>PASS</x:v>
      </x:c>
      <x:c r="AH2202" t="str">
        <x:f>IF(NOT(ISNUMBER(T2202)),"Needs supplier cost",IF(K2202&lt;&gt;"In stock","Supplier unavailable",IF(AG2202&lt;&gt;"PASS","BLOCK - GT loss risk","Commercially protected")))</x:f>
        <x:v>Supplier unavailable</x:v>
      </x:c>
      <x:c r="AI2202" t="str">
        <x:v>2026-09-10 Active Sports trade capture</x:v>
      </x:c>
      <x:c r="AJ2202" t="str">
        <x:v>Management-only economics. Stripe stress test uses 1.5% + £0.20 standard UK online-card fee; pallet/mix-and-match pricing ignored.</x:v>
      </x:c>
    </x:row>
    <x:row r="2203">
      <x:c r="A2203" t="str">
        <x:v>Active Sports Nutrition</x:v>
      </x:c>
      <x:c r="B2203" t="str">
        <x:v>Olimp</x:v>
      </x:c>
      <x:c r="C2203" t="str">
        <x:v>Whey Protein Complex 100%</x:v>
      </x:c>
      <x:c r="D2203" t="str">
        <x:v>Supplements</x:v>
      </x:c>
      <x:c r="E2203" t="str">
        <x:v>Whey Protein</x:v>
      </x:c>
      <x:c r="F2203" t="str"/>
      <x:c r="G2203" t="str">
        <x:v>1.8kg</x:v>
      </x:c>
      <x:c r="H2203" t="str">
        <x:v>Salty Caramel</x:v>
      </x:c>
      <x:c r="I2203" t="str"/>
      <x:c r="J2203" t="str">
        <x:v>Unit</x:v>
      </x:c>
      <x:c r="K2203" t="str">
        <x:v>In stock</x:v>
      </x:c>
      <x:c r="L2203" t="str">
        <x:v>2026-09-08</x:v>
      </x:c>
      <x:c r="M2203" t="str"/>
      <x:c r="N2203" t="str"/>
      <x:c r="O2203" t="str">
        <x:v>https://www.activesportstrade.co.uk/Whey-Protein-Supplements-Trade/olimp-trade</x:v>
      </x:c>
      <x:c r="P2203" t="str">
        <x:v>Fresh whey-category page extends the 1.8kg exact flavour matrix; existing flavours retained separately.</x:v>
      </x:c>
      <x:c r="Q2203" t="str"/>
      <x:c r="R2203" t="str"/>
      <x:c r="S2203" t="str">
        <x:v>Pending genuine supplier/brand image</x:v>
      </x:c>
      <x:c r="T2203" s="54" t="n">
        <x:v>39.99</x:v>
      </x:c>
      <x:c r="U2203" s="47" t="n">
        <x:v>0.2</x:v>
      </x:c>
      <x:c r="V2203" s="54" t="n">
        <x:f>IF(ISNUMBER(T2203),T2203*(1+U2203),"")</x:f>
        <x:v>47.988</x:v>
      </x:c>
      <x:c r="W2203" s="47" t="n">
        <x:v>0.3</x:v>
      </x:c>
      <x:c r="X2203" s="54" t="n">
        <x:f>IF(ISNUMBER(V2203),V2203/(1-W2203),"")</x:f>
        <x:v>68.55428571428571</x:v>
      </x:c>
      <x:c r="Y2203" s="55" t="n">
        <x:f>IF(ISNUMBER(X2203),ROUNDUP(X2203,0),"")</x:f>
        <x:v>69</x:v>
      </x:c>
      <x:c r="Z2203" t="str">
        <x:v>Source match pending</x:v>
      </x:c>
      <x:c r="AA2203" t="str">
        <x:v>screencapture-www-activesportstrade-co-uk-olimp-trade-2026-09-10-09_05_33.pdf / page-14</x:v>
      </x:c>
      <x:c r="AB2203" s="36" t="n">
        <x:f>IF(ISNUMBER(Y2203),ROUND(Y2203*0.9,2),"")</x:f>
        <x:v>62.1</x:v>
      </x:c>
      <x:c r="AC2203" s="36" t="n">
        <x:f>IF(ISNUMBER(AB2203),ROUND(AB2203-(AB2203*0.015+0.2)-V2203,2),"")</x:f>
        <x:v>12.98</x:v>
      </x:c>
      <x:c r="AD2203" s="36" t="n">
        <x:f>IF(ISNUMBER(Y2203),ROUND(Y2203*0.8,2),"")</x:f>
        <x:v>55.2</x:v>
      </x:c>
      <x:c r="AE2203" s="36" t="n">
        <x:f>IF(ISNUMBER(AD2203),ROUND(AD2203*0.015+0.2,2),"")</x:f>
        <x:v>1.03</x:v>
      </x:c>
      <x:c r="AF2203" s="36" t="n">
        <x:f>IF(ISNUMBER(AD2203),ROUND(AD2203-AE2203-V2203,2),"")</x:f>
        <x:v>6.18</x:v>
      </x:c>
      <x:c r="AG2203" t="str">
        <x:f>IF(NOT(ISNUMBER(T2203)),"PENDING",IF(AF2203&gt;0,"PASS","FAIL"))</x:f>
        <x:v>PASS</x:v>
      </x:c>
      <x:c r="AH2203" t="str">
        <x:f>IF(NOT(ISNUMBER(T2203)),"Needs supplier cost",IF(K2203&lt;&gt;"In stock","Supplier unavailable",IF(AG2203&lt;&gt;"PASS","BLOCK - GT loss risk","Commercially protected")))</x:f>
        <x:v>Commercially protected</x:v>
      </x:c>
      <x:c r="AI2203" t="str">
        <x:v>2026-09-10 Active Sports trade capture</x:v>
      </x:c>
      <x:c r="AJ2203" t="str">
        <x:v>Management-only economics. Stripe stress test uses 1.5% + £0.20 standard UK online-card fee; pallet/mix-and-match pricing ignored.</x:v>
      </x:c>
    </x:row>
    <x:row r="2204">
      <x:c r="A2204" t="str">
        <x:v>Active Sports Nutrition</x:v>
      </x:c>
      <x:c r="B2204" t="str">
        <x:v>Olimp</x:v>
      </x:c>
      <x:c r="C2204" t="str">
        <x:v>Whey Protein Complex 100%</x:v>
      </x:c>
      <x:c r="D2204" t="str">
        <x:v>Supplements</x:v>
      </x:c>
      <x:c r="E2204" t="str">
        <x:v>Whey Protein</x:v>
      </x:c>
      <x:c r="F2204" t="str"/>
      <x:c r="G2204" t="str">
        <x:v>700g</x:v>
      </x:c>
      <x:c r="H2204" t="str">
        <x:v>Banana</x:v>
      </x:c>
      <x:c r="I2204" t="str"/>
      <x:c r="J2204" t="str">
        <x:v>Unit</x:v>
      </x:c>
      <x:c r="K2204" t="str">
        <x:v>Out of stock</x:v>
      </x:c>
      <x:c r="L2204" t="str">
        <x:v>2026-09-08</x:v>
      </x:c>
      <x:c r="M2204" t="str"/>
      <x:c r="N2204" t="str"/>
      <x:c r="O2204" t="str">
        <x:v>https://www.activesportstrade.co.uk/Whey-Protein-Supplements-Trade/olimp-trade</x:v>
      </x:c>
      <x:c r="P2204" t="str">
        <x:v>Fresh whey-category page extends the 700g exact flavour matrix; NEW wording stripped where present.</x:v>
      </x:c>
      <x:c r="Q2204" t="str"/>
      <x:c r="R2204" t="str"/>
      <x:c r="S2204" t="str">
        <x:v>Pending genuine supplier/brand image</x:v>
      </x:c>
      <x:c r="T2204" s="54" t="n">
        <x:v>18.44</x:v>
      </x:c>
      <x:c r="U2204" s="47" t="n">
        <x:v>0.2</x:v>
      </x:c>
      <x:c r="V2204" s="54" t="n">
        <x:f>IF(ISNUMBER(T2204),T2204*(1+U2204),"")</x:f>
        <x:v>22.128</x:v>
      </x:c>
      <x:c r="W2204" s="47" t="n">
        <x:v>0.3</x:v>
      </x:c>
      <x:c r="X2204" s="54" t="n">
        <x:f>IF(ISNUMBER(V2204),V2204/(1-W2204),"")</x:f>
        <x:v>31.611428571428572</x:v>
      </x:c>
      <x:c r="Y2204" s="55" t="n">
        <x:f>IF(ISNUMBER(X2204),ROUNDUP(X2204,0),"")</x:f>
        <x:v>32</x:v>
      </x:c>
      <x:c r="Z2204" t="str">
        <x:v>Source match pending</x:v>
      </x:c>
      <x:c r="AA2204" t="str">
        <x:v>screencapture-www-activesportstrade-co-uk-olimp-trade-2026-09-10-09_05_33.pdf / page-14</x:v>
      </x:c>
      <x:c r="AB2204" s="36" t="n">
        <x:f>IF(ISNUMBER(Y2204),ROUND(Y2204*0.9,2),"")</x:f>
        <x:v>28.8</x:v>
      </x:c>
      <x:c r="AC2204" s="36" t="n">
        <x:f>IF(ISNUMBER(AB2204),ROUND(AB2204-(AB2204*0.015+0.2)-V2204,2),"")</x:f>
        <x:v>6.04</x:v>
      </x:c>
      <x:c r="AD2204" s="36" t="n">
        <x:f>IF(ISNUMBER(Y2204),ROUND(Y2204*0.8,2),"")</x:f>
        <x:v>25.6</x:v>
      </x:c>
      <x:c r="AE2204" s="36" t="n">
        <x:f>IF(ISNUMBER(AD2204),ROUND(AD2204*0.015+0.2,2),"")</x:f>
        <x:v>0.58</x:v>
      </x:c>
      <x:c r="AF2204" s="36" t="n">
        <x:f>IF(ISNUMBER(AD2204),ROUND(AD2204-AE2204-V2204,2),"")</x:f>
        <x:v>2.89</x:v>
      </x:c>
      <x:c r="AG2204" t="str">
        <x:f>IF(NOT(ISNUMBER(T2204)),"PENDING",IF(AF2204&gt;0,"PASS","FAIL"))</x:f>
        <x:v>PASS</x:v>
      </x:c>
      <x:c r="AH2204" t="str">
        <x:f>IF(NOT(ISNUMBER(T2204)),"Needs supplier cost",IF(K2204&lt;&gt;"In stock","Supplier unavailable",IF(AG2204&lt;&gt;"PASS","BLOCK - GT loss risk","Commercially protected")))</x:f>
        <x:v>Supplier unavailable</x:v>
      </x:c>
      <x:c r="AI2204" t="str">
        <x:v>2026-09-10 Active Sports trade capture</x:v>
      </x:c>
      <x:c r="AJ2204" t="str">
        <x:v>Management-only economics. Stripe stress test uses 1.5% + £0.20 standard UK online-card fee; pallet/mix-and-match pricing ignored.</x:v>
      </x:c>
    </x:row>
    <x:row r="2205">
      <x:c r="A2205" t="str">
        <x:v>Active Sports Nutrition</x:v>
      </x:c>
      <x:c r="B2205" t="str">
        <x:v>Olimp</x:v>
      </x:c>
      <x:c r="C2205" t="str">
        <x:v>Whey Protein Complex 100%</x:v>
      </x:c>
      <x:c r="D2205" t="str">
        <x:v>Supplements</x:v>
      </x:c>
      <x:c r="E2205" t="str">
        <x:v>Whey Protein</x:v>
      </x:c>
      <x:c r="F2205" t="str"/>
      <x:c r="G2205" t="str">
        <x:v>700g</x:v>
      </x:c>
      <x:c r="H2205" t="str">
        <x:v>Cherry Yoghurt</x:v>
      </x:c>
      <x:c r="I2205" t="str"/>
      <x:c r="J2205" t="str">
        <x:v>Unit</x:v>
      </x:c>
      <x:c r="K2205" t="str">
        <x:v>Out of stock</x:v>
      </x:c>
      <x:c r="L2205" t="str">
        <x:v>2026-09-08</x:v>
      </x:c>
      <x:c r="M2205" t="str"/>
      <x:c r="N2205" t="str"/>
      <x:c r="O2205" t="str">
        <x:v>https://www.activesportstrade.co.uk/Whey-Protein-Supplements-Trade/olimp-trade</x:v>
      </x:c>
      <x:c r="P2205" t="str">
        <x:v>Fresh whey-category page extends the 700g exact flavour matrix; NEW wording stripped where present.</x:v>
      </x:c>
      <x:c r="Q2205" t="str"/>
      <x:c r="R2205" t="str"/>
      <x:c r="S2205" t="str">
        <x:v>Pending genuine supplier/brand image</x:v>
      </x:c>
      <x:c r="T2205" s="54" t="n">
        <x:v>18.44</x:v>
      </x:c>
      <x:c r="U2205" s="47" t="n">
        <x:v>0.2</x:v>
      </x:c>
      <x:c r="V2205" s="54" t="n">
        <x:f>IF(ISNUMBER(T2205),T2205*(1+U2205),"")</x:f>
        <x:v>22.128</x:v>
      </x:c>
      <x:c r="W2205" s="47" t="n">
        <x:v>0.3</x:v>
      </x:c>
      <x:c r="X2205" s="54" t="n">
        <x:f>IF(ISNUMBER(V2205),V2205/(1-W2205),"")</x:f>
        <x:v>31.611428571428572</x:v>
      </x:c>
      <x:c r="Y2205" s="55" t="n">
        <x:f>IF(ISNUMBER(X2205),ROUNDUP(X2205,0),"")</x:f>
        <x:v>32</x:v>
      </x:c>
      <x:c r="Z2205" t="str">
        <x:v>Source match pending</x:v>
      </x:c>
      <x:c r="AA2205" t="str">
        <x:v>screencapture-www-activesportstrade-co-uk-olimp-trade-2026-09-10-09_05_33.pdf / page-14</x:v>
      </x:c>
      <x:c r="AB2205" s="36" t="n">
        <x:f>IF(ISNUMBER(Y2205),ROUND(Y2205*0.9,2),"")</x:f>
        <x:v>28.8</x:v>
      </x:c>
      <x:c r="AC2205" s="36" t="n">
        <x:f>IF(ISNUMBER(AB2205),ROUND(AB2205-(AB2205*0.015+0.2)-V2205,2),"")</x:f>
        <x:v>6.04</x:v>
      </x:c>
      <x:c r="AD2205" s="36" t="n">
        <x:f>IF(ISNUMBER(Y2205),ROUND(Y2205*0.8,2),"")</x:f>
        <x:v>25.6</x:v>
      </x:c>
      <x:c r="AE2205" s="36" t="n">
        <x:f>IF(ISNUMBER(AD2205),ROUND(AD2205*0.015+0.2,2),"")</x:f>
        <x:v>0.58</x:v>
      </x:c>
      <x:c r="AF2205" s="36" t="n">
        <x:f>IF(ISNUMBER(AD2205),ROUND(AD2205-AE2205-V2205,2),"")</x:f>
        <x:v>2.89</x:v>
      </x:c>
      <x:c r="AG2205" t="str">
        <x:f>IF(NOT(ISNUMBER(T2205)),"PENDING",IF(AF2205&gt;0,"PASS","FAIL"))</x:f>
        <x:v>PASS</x:v>
      </x:c>
      <x:c r="AH2205" t="str">
        <x:f>IF(NOT(ISNUMBER(T2205)),"Needs supplier cost",IF(K2205&lt;&gt;"In stock","Supplier unavailable",IF(AG2205&lt;&gt;"PASS","BLOCK - GT loss risk","Commercially protected")))</x:f>
        <x:v>Supplier unavailable</x:v>
      </x:c>
      <x:c r="AI2205" t="str">
        <x:v>2026-09-10 Active Sports trade capture</x:v>
      </x:c>
      <x:c r="AJ2205" t="str">
        <x:v>Management-only economics. Stripe stress test uses 1.5% + £0.20 standard UK online-card fee; pallet/mix-and-match pricing ignored.</x:v>
      </x:c>
    </x:row>
    <x:row r="2206">
      <x:c r="A2206" t="str">
        <x:v>Active Sports Nutrition</x:v>
      </x:c>
      <x:c r="B2206" t="str">
        <x:v>Olimp</x:v>
      </x:c>
      <x:c r="C2206" t="str">
        <x:v>Whey Protein Complex 100%</x:v>
      </x:c>
      <x:c r="D2206" t="str">
        <x:v>Supplements</x:v>
      </x:c>
      <x:c r="E2206" t="str">
        <x:v>Whey Protein</x:v>
      </x:c>
      <x:c r="F2206" t="str"/>
      <x:c r="G2206" t="str">
        <x:v>700g</x:v>
      </x:c>
      <x:c r="H2206" t="str">
        <x:v>Chocolate Caramel</x:v>
      </x:c>
      <x:c r="I2206" t="str"/>
      <x:c r="J2206" t="str">
        <x:v>Unit</x:v>
      </x:c>
      <x:c r="K2206" t="str">
        <x:v>In stock</x:v>
      </x:c>
      <x:c r="L2206" t="str">
        <x:v>2026-09-08</x:v>
      </x:c>
      <x:c r="M2206" t="str"/>
      <x:c r="N2206" t="str"/>
      <x:c r="O2206" t="str">
        <x:v>https://www.activesportstrade.co.uk/Whey-Protein-Supplements-Trade/olimp-trade</x:v>
      </x:c>
      <x:c r="P2206" t="str">
        <x:v>Fresh whey-category page extends the 700g exact flavour matrix; NEW wording stripped where present.</x:v>
      </x:c>
      <x:c r="Q2206" t="str"/>
      <x:c r="R2206" t="str"/>
      <x:c r="S2206" t="str">
        <x:v>Pending genuine supplier/brand image</x:v>
      </x:c>
      <x:c r="T2206" s="54" t="n">
        <x:v>18.44</x:v>
      </x:c>
      <x:c r="U2206" s="47" t="n">
        <x:v>0.2</x:v>
      </x:c>
      <x:c r="V2206" s="54" t="n">
        <x:f>IF(ISNUMBER(T2206),T2206*(1+U2206),"")</x:f>
        <x:v>22.128</x:v>
      </x:c>
      <x:c r="W2206" s="47" t="n">
        <x:v>0.3</x:v>
      </x:c>
      <x:c r="X2206" s="54" t="n">
        <x:f>IF(ISNUMBER(V2206),V2206/(1-W2206),"")</x:f>
        <x:v>31.611428571428572</x:v>
      </x:c>
      <x:c r="Y2206" s="55" t="n">
        <x:f>IF(ISNUMBER(X2206),ROUNDUP(X2206,0),"")</x:f>
        <x:v>32</x:v>
      </x:c>
      <x:c r="Z2206" t="str">
        <x:v>Source match pending</x:v>
      </x:c>
      <x:c r="AA2206" t="str">
        <x:v>screencapture-www-activesportstrade-co-uk-olimp-trade-2026-09-10-09_05_33.pdf / page-14</x:v>
      </x:c>
      <x:c r="AB2206" s="36" t="n">
        <x:f>IF(ISNUMBER(Y2206),ROUND(Y2206*0.9,2),"")</x:f>
        <x:v>28.8</x:v>
      </x:c>
      <x:c r="AC2206" s="36" t="n">
        <x:f>IF(ISNUMBER(AB2206),ROUND(AB2206-(AB2206*0.015+0.2)-V2206,2),"")</x:f>
        <x:v>6.04</x:v>
      </x:c>
      <x:c r="AD2206" s="36" t="n">
        <x:f>IF(ISNUMBER(Y2206),ROUND(Y2206*0.8,2),"")</x:f>
        <x:v>25.6</x:v>
      </x:c>
      <x:c r="AE2206" s="36" t="n">
        <x:f>IF(ISNUMBER(AD2206),ROUND(AD2206*0.015+0.2,2),"")</x:f>
        <x:v>0.58</x:v>
      </x:c>
      <x:c r="AF2206" s="36" t="n">
        <x:f>IF(ISNUMBER(AD2206),ROUND(AD2206-AE2206-V2206,2),"")</x:f>
        <x:v>2.89</x:v>
      </x:c>
      <x:c r="AG2206" t="str">
        <x:f>IF(NOT(ISNUMBER(T2206)),"PENDING",IF(AF2206&gt;0,"PASS","FAIL"))</x:f>
        <x:v>PASS</x:v>
      </x:c>
      <x:c r="AH2206" t="str">
        <x:f>IF(NOT(ISNUMBER(T2206)),"Needs supplier cost",IF(K2206&lt;&gt;"In stock","Supplier unavailable",IF(AG2206&lt;&gt;"PASS","BLOCK - GT loss risk","Commercially protected")))</x:f>
        <x:v>Commercially protected</x:v>
      </x:c>
      <x:c r="AI2206" t="str">
        <x:v>2026-09-10 Active Sports trade capture</x:v>
      </x:c>
      <x:c r="AJ2206" t="str">
        <x:v>Management-only economics. Stripe stress test uses 1.5% + £0.20 standard UK online-card fee; pallet/mix-and-match pricing ignored.</x:v>
      </x:c>
    </x:row>
    <x:row r="2207">
      <x:c r="A2207" t="str">
        <x:v>Active Sports Nutrition</x:v>
      </x:c>
      <x:c r="B2207" t="str">
        <x:v>Olimp</x:v>
      </x:c>
      <x:c r="C2207" t="str">
        <x:v>Whey Protein Complex 100%</x:v>
      </x:c>
      <x:c r="D2207" t="str">
        <x:v>Supplements</x:v>
      </x:c>
      <x:c r="E2207" t="str">
        <x:v>Whey Protein</x:v>
      </x:c>
      <x:c r="F2207" t="str"/>
      <x:c r="G2207" t="str">
        <x:v>700g</x:v>
      </x:c>
      <x:c r="H2207" t="str">
        <x:v>Chocolate Cherry</x:v>
      </x:c>
      <x:c r="I2207" t="str"/>
      <x:c r="J2207" t="str">
        <x:v>Unit</x:v>
      </x:c>
      <x:c r="K2207" t="str">
        <x:v>In stock</x:v>
      </x:c>
      <x:c r="L2207" t="str">
        <x:v>2026-09-08</x:v>
      </x:c>
      <x:c r="M2207" t="str"/>
      <x:c r="N2207" t="str"/>
      <x:c r="O2207" t="str">
        <x:v>https://www.activesportstrade.co.uk/Whey-Protein-Supplements-Trade/olimp-trade</x:v>
      </x:c>
      <x:c r="P2207" t="str">
        <x:v>Fresh whey-category page extends the 700g exact flavour matrix; NEW wording stripped where present.</x:v>
      </x:c>
      <x:c r="Q2207" t="str"/>
      <x:c r="R2207" t="str"/>
      <x:c r="S2207" t="str">
        <x:v>Pending genuine supplier/brand image</x:v>
      </x:c>
      <x:c r="T2207" s="54" t="n">
        <x:v>18.44</x:v>
      </x:c>
      <x:c r="U2207" s="47" t="n">
        <x:v>0.2</x:v>
      </x:c>
      <x:c r="V2207" s="54" t="n">
        <x:f>IF(ISNUMBER(T2207),T2207*(1+U2207),"")</x:f>
        <x:v>22.128</x:v>
      </x:c>
      <x:c r="W2207" s="47" t="n">
        <x:v>0.3</x:v>
      </x:c>
      <x:c r="X2207" s="54" t="n">
        <x:f>IF(ISNUMBER(V2207),V2207/(1-W2207),"")</x:f>
        <x:v>31.611428571428572</x:v>
      </x:c>
      <x:c r="Y2207" s="55" t="n">
        <x:f>IF(ISNUMBER(X2207),ROUNDUP(X2207,0),"")</x:f>
        <x:v>32</x:v>
      </x:c>
      <x:c r="Z2207" t="str">
        <x:v>Source match pending</x:v>
      </x:c>
      <x:c r="AA2207" t="str">
        <x:v>screencapture-www-activesportstrade-co-uk-olimp-trade-2026-09-10-09_05_33.pdf / page-14</x:v>
      </x:c>
      <x:c r="AB2207" s="36" t="n">
        <x:f>IF(ISNUMBER(Y2207),ROUND(Y2207*0.9,2),"")</x:f>
        <x:v>28.8</x:v>
      </x:c>
      <x:c r="AC2207" s="36" t="n">
        <x:f>IF(ISNUMBER(AB2207),ROUND(AB2207-(AB2207*0.015+0.2)-V2207,2),"")</x:f>
        <x:v>6.04</x:v>
      </x:c>
      <x:c r="AD2207" s="36" t="n">
        <x:f>IF(ISNUMBER(Y2207),ROUND(Y2207*0.8,2),"")</x:f>
        <x:v>25.6</x:v>
      </x:c>
      <x:c r="AE2207" s="36" t="n">
        <x:f>IF(ISNUMBER(AD2207),ROUND(AD2207*0.015+0.2,2),"")</x:f>
        <x:v>0.58</x:v>
      </x:c>
      <x:c r="AF2207" s="36" t="n">
        <x:f>IF(ISNUMBER(AD2207),ROUND(AD2207-AE2207-V2207,2),"")</x:f>
        <x:v>2.89</x:v>
      </x:c>
      <x:c r="AG2207" t="str">
        <x:f>IF(NOT(ISNUMBER(T2207)),"PENDING",IF(AF2207&gt;0,"PASS","FAIL"))</x:f>
        <x:v>PASS</x:v>
      </x:c>
      <x:c r="AH2207" t="str">
        <x:f>IF(NOT(ISNUMBER(T2207)),"Needs supplier cost",IF(K2207&lt;&gt;"In stock","Supplier unavailable",IF(AG2207&lt;&gt;"PASS","BLOCK - GT loss risk","Commercially protected")))</x:f>
        <x:v>Commercially protected</x:v>
      </x:c>
      <x:c r="AI2207" t="str">
        <x:v>2026-09-10 Active Sports trade capture</x:v>
      </x:c>
      <x:c r="AJ2207" t="str">
        <x:v>Management-only economics. Stripe stress test uses 1.5% + £0.20 standard UK online-card fee; pallet/mix-and-match pricing ignored.</x:v>
      </x:c>
    </x:row>
    <x:row r="2208">
      <x:c r="A2208" t="str">
        <x:v>Active Sports Nutrition</x:v>
      </x:c>
      <x:c r="B2208" t="str">
        <x:v>Olimp</x:v>
      </x:c>
      <x:c r="C2208" t="str">
        <x:v>Whey Protein Complex 100%</x:v>
      </x:c>
      <x:c r="D2208" t="str">
        <x:v>Supplements</x:v>
      </x:c>
      <x:c r="E2208" t="str">
        <x:v>Whey Protein</x:v>
      </x:c>
      <x:c r="F2208" t="str"/>
      <x:c r="G2208" t="str">
        <x:v>700g</x:v>
      </x:c>
      <x:c r="H2208" t="str">
        <x:v>Cookies and Cream</x:v>
      </x:c>
      <x:c r="I2208" t="str"/>
      <x:c r="J2208" t="str">
        <x:v>Unit</x:v>
      </x:c>
      <x:c r="K2208" t="str">
        <x:v>In stock</x:v>
      </x:c>
      <x:c r="L2208" t="str">
        <x:v>2026-09-08</x:v>
      </x:c>
      <x:c r="M2208" t="str"/>
      <x:c r="N2208" t="str"/>
      <x:c r="O2208" t="str">
        <x:v>https://www.activesportstrade.co.uk/Whey-Protein-Supplements-Trade/olimp-trade</x:v>
      </x:c>
      <x:c r="P2208" t="str">
        <x:v>Fresh whey-category page extends the 700g exact flavour matrix; NEW wording stripped where present.</x:v>
      </x:c>
      <x:c r="Q2208" t="str"/>
      <x:c r="R2208" t="str"/>
      <x:c r="S2208" t="str">
        <x:v>Pending genuine supplier/brand image</x:v>
      </x:c>
      <x:c r="T2208" s="54" t="n">
        <x:v>18.44</x:v>
      </x:c>
      <x:c r="U2208" s="47" t="n">
        <x:v>0.2</x:v>
      </x:c>
      <x:c r="V2208" s="54" t="n">
        <x:f>IF(ISNUMBER(T2208),T2208*(1+U2208),"")</x:f>
        <x:v>22.128</x:v>
      </x:c>
      <x:c r="W2208" s="47" t="n">
        <x:v>0.3</x:v>
      </x:c>
      <x:c r="X2208" s="54" t="n">
        <x:f>IF(ISNUMBER(V2208),V2208/(1-W2208),"")</x:f>
        <x:v>31.611428571428572</x:v>
      </x:c>
      <x:c r="Y2208" s="55" t="n">
        <x:f>IF(ISNUMBER(X2208),ROUNDUP(X2208,0),"")</x:f>
        <x:v>32</x:v>
      </x:c>
      <x:c r="Z2208" t="str">
        <x:v>Source match pending</x:v>
      </x:c>
      <x:c r="AA2208" t="str">
        <x:v>screencapture-www-activesportstrade-co-uk-olimp-trade-2026-09-10-09_05_33.pdf / page-14</x:v>
      </x:c>
      <x:c r="AB2208" s="36" t="n">
        <x:f>IF(ISNUMBER(Y2208),ROUND(Y2208*0.9,2),"")</x:f>
        <x:v>28.8</x:v>
      </x:c>
      <x:c r="AC2208" s="36" t="n">
        <x:f>IF(ISNUMBER(AB2208),ROUND(AB2208-(AB2208*0.015+0.2)-V2208,2),"")</x:f>
        <x:v>6.04</x:v>
      </x:c>
      <x:c r="AD2208" s="36" t="n">
        <x:f>IF(ISNUMBER(Y2208),ROUND(Y2208*0.8,2),"")</x:f>
        <x:v>25.6</x:v>
      </x:c>
      <x:c r="AE2208" s="36" t="n">
        <x:f>IF(ISNUMBER(AD2208),ROUND(AD2208*0.015+0.2,2),"")</x:f>
        <x:v>0.58</x:v>
      </x:c>
      <x:c r="AF2208" s="36" t="n">
        <x:f>IF(ISNUMBER(AD2208),ROUND(AD2208-AE2208-V2208,2),"")</x:f>
        <x:v>2.89</x:v>
      </x:c>
      <x:c r="AG2208" t="str">
        <x:f>IF(NOT(ISNUMBER(T2208)),"PENDING",IF(AF2208&gt;0,"PASS","FAIL"))</x:f>
        <x:v>PASS</x:v>
      </x:c>
      <x:c r="AH2208" t="str">
        <x:f>IF(NOT(ISNUMBER(T2208)),"Needs supplier cost",IF(K2208&lt;&gt;"In stock","Supplier unavailable",IF(AG2208&lt;&gt;"PASS","BLOCK - GT loss risk","Commercially protected")))</x:f>
        <x:v>Commercially protected</x:v>
      </x:c>
      <x:c r="AI2208" t="str">
        <x:v>2026-09-10 Active Sports trade capture</x:v>
      </x:c>
      <x:c r="AJ2208" t="str">
        <x:v>Management-only economics. Stripe stress test uses 1.5% + £0.20 standard UK online-card fee; pallet/mix-and-match pricing ignored.</x:v>
      </x:c>
    </x:row>
    <x:row r="2209">
      <x:c r="A2209" t="str">
        <x:v>Active Sports Nutrition</x:v>
      </x:c>
      <x:c r="B2209" t="str">
        <x:v>Olimp</x:v>
      </x:c>
      <x:c r="C2209" t="str">
        <x:v>Whey Protein Complex 100%</x:v>
      </x:c>
      <x:c r="D2209" t="str">
        <x:v>Supplements</x:v>
      </x:c>
      <x:c r="E2209" t="str">
        <x:v>Whey Protein</x:v>
      </x:c>
      <x:c r="F2209" t="str"/>
      <x:c r="G2209" t="str">
        <x:v>700g</x:v>
      </x:c>
      <x:c r="H2209" t="str">
        <x:v>Lemon Cheesecake</x:v>
      </x:c>
      <x:c r="I2209" t="str"/>
      <x:c r="J2209" t="str">
        <x:v>Unit</x:v>
      </x:c>
      <x:c r="K2209" t="str">
        <x:v>In stock</x:v>
      </x:c>
      <x:c r="L2209" t="str">
        <x:v>2026-09-08</x:v>
      </x:c>
      <x:c r="M2209" t="str"/>
      <x:c r="N2209" t="str"/>
      <x:c r="O2209" t="str">
        <x:v>https://www.activesportstrade.co.uk/Whey-Protein-Supplements-Trade/olimp-trade</x:v>
      </x:c>
      <x:c r="P2209" t="str">
        <x:v>Fresh whey-category page extends the 700g exact flavour matrix; NEW wording stripped where present.</x:v>
      </x:c>
      <x:c r="Q2209" t="str"/>
      <x:c r="R2209" t="str"/>
      <x:c r="S2209" t="str">
        <x:v>Pending genuine supplier/brand image</x:v>
      </x:c>
      <x:c r="T2209" s="54" t="n">
        <x:v>18.44</x:v>
      </x:c>
      <x:c r="U2209" s="47" t="n">
        <x:v>0.2</x:v>
      </x:c>
      <x:c r="V2209" s="54" t="n">
        <x:f>IF(ISNUMBER(T2209),T2209*(1+U2209),"")</x:f>
        <x:v>22.128</x:v>
      </x:c>
      <x:c r="W2209" s="47" t="n">
        <x:v>0.3</x:v>
      </x:c>
      <x:c r="X2209" s="54" t="n">
        <x:f>IF(ISNUMBER(V2209),V2209/(1-W2209),"")</x:f>
        <x:v>31.611428571428572</x:v>
      </x:c>
      <x:c r="Y2209" s="55" t="n">
        <x:f>IF(ISNUMBER(X2209),ROUNDUP(X2209,0),"")</x:f>
        <x:v>32</x:v>
      </x:c>
      <x:c r="Z2209" t="str">
        <x:v>Source match pending</x:v>
      </x:c>
      <x:c r="AA2209" t="str">
        <x:v>screencapture-www-activesportstrade-co-uk-olimp-trade-2026-09-10-09_05_33.pdf / page-14</x:v>
      </x:c>
      <x:c r="AB2209" s="36" t="n">
        <x:f>IF(ISNUMBER(Y2209),ROUND(Y2209*0.9,2),"")</x:f>
        <x:v>28.8</x:v>
      </x:c>
      <x:c r="AC2209" s="36" t="n">
        <x:f>IF(ISNUMBER(AB2209),ROUND(AB2209-(AB2209*0.015+0.2)-V2209,2),"")</x:f>
        <x:v>6.04</x:v>
      </x:c>
      <x:c r="AD2209" s="36" t="n">
        <x:f>IF(ISNUMBER(Y2209),ROUND(Y2209*0.8,2),"")</x:f>
        <x:v>25.6</x:v>
      </x:c>
      <x:c r="AE2209" s="36" t="n">
        <x:f>IF(ISNUMBER(AD2209),ROUND(AD2209*0.015+0.2,2),"")</x:f>
        <x:v>0.58</x:v>
      </x:c>
      <x:c r="AF2209" s="36" t="n">
        <x:f>IF(ISNUMBER(AD2209),ROUND(AD2209-AE2209-V2209,2),"")</x:f>
        <x:v>2.89</x:v>
      </x:c>
      <x:c r="AG2209" t="str">
        <x:f>IF(NOT(ISNUMBER(T2209)),"PENDING",IF(AF2209&gt;0,"PASS","FAIL"))</x:f>
        <x:v>PASS</x:v>
      </x:c>
      <x:c r="AH2209" t="str">
        <x:f>IF(NOT(ISNUMBER(T2209)),"Needs supplier cost",IF(K2209&lt;&gt;"In stock","Supplier unavailable",IF(AG2209&lt;&gt;"PASS","BLOCK - GT loss risk","Commercially protected")))</x:f>
        <x:v>Commercially protected</x:v>
      </x:c>
      <x:c r="AI2209" t="str">
        <x:v>2026-09-10 Active Sports trade capture</x:v>
      </x:c>
      <x:c r="AJ2209" t="str">
        <x:v>Management-only economics. Stripe stress test uses 1.5% + £0.20 standard UK online-card fee; pallet/mix-and-match pricing ignored.</x:v>
      </x:c>
    </x:row>
    <x:row r="2210">
      <x:c r="A2210" t="str">
        <x:v>Active Sports Nutrition</x:v>
      </x:c>
      <x:c r="B2210" t="str">
        <x:v>Olimp</x:v>
      </x:c>
      <x:c r="C2210" t="str">
        <x:v>BCAA Xplode</x:v>
      </x:c>
      <x:c r="D2210" t="str">
        <x:v>Supplements</x:v>
      </x:c>
      <x:c r="E2210" t="str">
        <x:v>BCAAs</x:v>
      </x:c>
      <x:c r="F2210" t="str"/>
      <x:c r="G2210" t="str">
        <x:v>1kg / 100 servings</x:v>
      </x:c>
      <x:c r="H2210" t="str">
        <x:v>Strawberry</x:v>
      </x:c>
      <x:c r="I2210" t="str"/>
      <x:c r="J2210" t="str">
        <x:v>Unit</x:v>
      </x:c>
      <x:c r="K2210" t="str">
        <x:v>Out of stock</x:v>
      </x:c>
      <x:c r="L2210" t="str">
        <x:v>2026-09-08</x:v>
      </x:c>
      <x:c r="M2210" t="str"/>
      <x:c r="N2210" t="str"/>
      <x:c r="O2210" t="str">
        <x:v>https://www.activesportstrade.co.uk/BCAAS</x:v>
      </x:c>
      <x:c r="P2210" t="str">
        <x:v>Fresh BCAA page confirms Strawberry as an exact 1kg flavour; currently out of stock.</x:v>
      </x:c>
      <x:c r="Q2210" t="str"/>
      <x:c r="R2210" t="str"/>
      <x:c r="S2210" t="str">
        <x:v>Pending genuine supplier/brand image</x:v>
      </x:c>
      <x:c r="T2210" s="54" t="n">
        <x:v>27.99</x:v>
      </x:c>
      <x:c r="U2210" s="47" t="n">
        <x:v>0.2</x:v>
      </x:c>
      <x:c r="V2210" s="54" t="n">
        <x:f>IF(ISNUMBER(T2210),T2210*(1+U2210),"")</x:f>
        <x:v>33.587999999999994</x:v>
      </x:c>
      <x:c r="W2210" s="47" t="n">
        <x:v>0.3</x:v>
      </x:c>
      <x:c r="X2210" s="54" t="n">
        <x:f>IF(ISNUMBER(V2210),V2210/(1-W2210),"")</x:f>
        <x:v>47.982857142857135</x:v>
      </x:c>
      <x:c r="Y2210" s="55" t="n">
        <x:f>IF(ISNUMBER(X2210),ROUNDUP(X2210,0),"")</x:f>
        <x:v>48</x:v>
      </x:c>
      <x:c r="Z2210" t="str">
        <x:v>Source match pending</x:v>
      </x:c>
      <x:c r="AA2210" t="str">
        <x:v>screencapture-www-activesportstrade-co-uk-olimp-trade-2026-09-10-09_05_33.pdf / page-03</x:v>
      </x:c>
      <x:c r="AB2210" s="36" t="n">
        <x:f>IF(ISNUMBER(Y2210),ROUND(Y2210*0.9,2),"")</x:f>
        <x:v>43.2</x:v>
      </x:c>
      <x:c r="AC2210" s="36" t="n">
        <x:f>IF(ISNUMBER(AB2210),ROUND(AB2210-(AB2210*0.015+0.2)-V2210,2),"")</x:f>
        <x:v>8.76</x:v>
      </x:c>
      <x:c r="AD2210" s="36" t="n">
        <x:f>IF(ISNUMBER(Y2210),ROUND(Y2210*0.8,2),"")</x:f>
        <x:v>38.4</x:v>
      </x:c>
      <x:c r="AE2210" s="36" t="n">
        <x:f>IF(ISNUMBER(AD2210),ROUND(AD2210*0.015+0.2,2),"")</x:f>
        <x:v>0.78</x:v>
      </x:c>
      <x:c r="AF2210" s="36" t="n">
        <x:f>IF(ISNUMBER(AD2210),ROUND(AD2210-AE2210-V2210,2),"")</x:f>
        <x:v>4.03</x:v>
      </x:c>
      <x:c r="AG2210" t="str">
        <x:f>IF(NOT(ISNUMBER(T2210)),"PENDING",IF(AF2210&gt;0,"PASS","FAIL"))</x:f>
        <x:v>PASS</x:v>
      </x:c>
      <x:c r="AH2210" t="str">
        <x:f>IF(NOT(ISNUMBER(T2210)),"Needs supplier cost",IF(K2210&lt;&gt;"In stock","Supplier unavailable",IF(AG2210&lt;&gt;"PASS","BLOCK - GT loss risk","Commercially protected")))</x:f>
        <x:v>Supplier unavailable</x:v>
      </x:c>
      <x:c r="AI2210" t="str">
        <x:v>2026-09-10 Active Sports trade capture</x:v>
      </x:c>
      <x:c r="AJ2210" t="str">
        <x:v>Management-only economics. Stripe stress test uses 1.5% + £0.20 standard UK online-card fee; pallet/mix-and-match pricing ignored.</x:v>
      </x:c>
    </x:row>
    <x:row r="2211">
      <x:c r="A2211" t="str">
        <x:v>Active Sports Nutrition</x:v>
      </x:c>
      <x:c r="B2211" t="str">
        <x:v>Olimp</x:v>
      </x:c>
      <x:c r="C2211" t="str">
        <x:v>Blackweiler Shred Shots</x:v>
      </x:c>
      <x:c r="D2211" t="str">
        <x:v>Pre Workouts</x:v>
      </x:c>
      <x:c r="E2211" t="str">
        <x:v>Shots and Ready To Drink</x:v>
      </x:c>
      <x:c r="F2211" t="str"/>
      <x:c r="G2211" t="str">
        <x:v>9 shots</x:v>
      </x:c>
      <x:c r="H2211" t="str">
        <x:v>Lemon Apple</x:v>
      </x:c>
      <x:c r="I2211" t="str">
        <x:v>9</x:v>
      </x:c>
      <x:c r="J2211" t="str">
        <x:v>Case</x:v>
      </x:c>
      <x:c r="K2211" t="str">
        <x:v>In stock</x:v>
      </x:c>
      <x:c r="L2211" t="str">
        <x:v>2026-09-08</x:v>
      </x:c>
      <x:c r="M2211" t="str"/>
      <x:c r="N2211" t="str"/>
      <x:c r="O2211" t="str">
        <x:v>https://www.activesportstrade.co.uk/ready-to-drink-pre-workout-trade</x:v>
      </x:c>
      <x:c r="P2211" t="str">
        <x:v>Fresh RTD pre-workout page confirms Lemon Apple; case-only.</x:v>
      </x:c>
      <x:c r="Q2211" t="str"/>
      <x:c r="R2211" t="str"/>
      <x:c r="S2211" t="str">
        <x:v>Pending genuine supplier/brand image</x:v>
      </x:c>
      <x:c r="T2211" s="54" t="n">
        <x:v>10.99</x:v>
      </x:c>
      <x:c r="U2211" s="47" t="n">
        <x:v>0.2</x:v>
      </x:c>
      <x:c r="V2211" s="54" t="n">
        <x:f>IF(ISNUMBER(T2211),T2211*(1+U2211),"")</x:f>
        <x:v>13.188</x:v>
      </x:c>
      <x:c r="W2211" s="47" t="n">
        <x:v>0.3</x:v>
      </x:c>
      <x:c r="X2211" s="54" t="n">
        <x:f>IF(ISNUMBER(V2211),V2211/(1-W2211),"")</x:f>
        <x:v>18.840000000000003</x:v>
      </x:c>
      <x:c r="Y2211" s="55" t="n">
        <x:f>IF(ISNUMBER(X2211),ROUNDUP(X2211,0),"")</x:f>
        <x:v>19</x:v>
      </x:c>
      <x:c r="Z2211" t="str">
        <x:v>Source match pending</x:v>
      </x:c>
      <x:c r="AA2211" t="str">
        <x:v>screencapture-www-activesportstrade-co-uk-olimp-trade-2026-09-10-09_05_33.pdf / page-04</x:v>
      </x:c>
      <x:c r="AB2211" s="36" t="n">
        <x:f>IF(ISNUMBER(Y2211),ROUND(Y2211*0.9,2),"")</x:f>
        <x:v>17.1</x:v>
      </x:c>
      <x:c r="AC2211" s="36" t="n">
        <x:f>IF(ISNUMBER(AB2211),ROUND(AB2211-(AB2211*0.015+0.2)-V2211,2),"")</x:f>
        <x:v>3.46</x:v>
      </x:c>
      <x:c r="AD2211" s="36" t="n">
        <x:f>IF(ISNUMBER(Y2211),ROUND(Y2211*0.8,2),"")</x:f>
        <x:v>15.2</x:v>
      </x:c>
      <x:c r="AE2211" s="36" t="n">
        <x:f>IF(ISNUMBER(AD2211),ROUND(AD2211*0.015+0.2,2),"")</x:f>
        <x:v>0.43</x:v>
      </x:c>
      <x:c r="AF2211" s="36" t="n">
        <x:f>IF(ISNUMBER(AD2211),ROUND(AD2211-AE2211-V2211,2),"")</x:f>
        <x:v>1.58</x:v>
      </x:c>
      <x:c r="AG2211" t="str">
        <x:f>IF(NOT(ISNUMBER(T2211)),"PENDING",IF(AF2211&gt;0,"PASS","FAIL"))</x:f>
        <x:v>PASS</x:v>
      </x:c>
      <x:c r="AH2211" t="str">
        <x:f>IF(NOT(ISNUMBER(T2211)),"Needs supplier cost",IF(K2211&lt;&gt;"In stock","Supplier unavailable",IF(AG2211&lt;&gt;"PASS","BLOCK - GT loss risk","Commercially protected")))</x:f>
        <x:v>Commercially protected</x:v>
      </x:c>
      <x:c r="AI2211" t="str">
        <x:v>2026-09-10 Active Sports trade capture</x:v>
      </x:c>
      <x:c r="AJ2211" t="str">
        <x:v>Management-only economics. Stripe stress test uses 1.5% + £0.20 standard UK online-card fee; pallet/mix-and-match pricing ignored.</x:v>
      </x:c>
    </x:row>
    <x:row r="2212">
      <x:c r="A2212" t="str">
        <x:v>Active Sports Nutrition</x:v>
      </x:c>
      <x:c r="B2212" t="str">
        <x:v>Olimp</x:v>
      </x:c>
      <x:c r="C2212" t="str">
        <x:v>Blackweiler Shred Pre Workout</x:v>
      </x:c>
      <x:c r="D2212" t="str">
        <x:v>Pre Workouts</x:v>
      </x:c>
      <x:c r="E2212" t="str">
        <x:v>High Stim</x:v>
      </x:c>
      <x:c r="F2212" t="str"/>
      <x:c r="G2212" t="str">
        <x:v>480g</x:v>
      </x:c>
      <x:c r="H2212" t="str">
        <x:v>Pineapple</x:v>
      </x:c>
      <x:c r="I2212" t="str"/>
      <x:c r="J2212" t="str">
        <x:v>Unit</x:v>
      </x:c>
      <x:c r="K2212" t="str">
        <x:v>In stock</x:v>
      </x:c>
      <x:c r="L2212" t="str">
        <x:v>2026-09-08</x:v>
      </x:c>
      <x:c r="M2212" t="str"/>
      <x:c r="N2212" t="str"/>
      <x:c r="O2212" t="str">
        <x:v>https://www.activesportstrade.co.uk/trade-sports-supplements/olimp-trade</x:v>
      </x:c>
      <x:c r="P2212" t="str">
        <x:v>Current general Olimp listing exposes these additional exact flavours; existing Exotic Orange retained because it is also surfaced by Active Sports.</x:v>
      </x:c>
      <x:c r="Q2212" t="str"/>
      <x:c r="R2212" t="str"/>
      <x:c r="S2212" t="str">
        <x:v>Pending genuine supplier/brand image</x:v>
      </x:c>
      <x:c r="T2212" s="54" t="n">
        <x:v>23.21</x:v>
      </x:c>
      <x:c r="U2212" s="47" t="n">
        <x:v>0.2</x:v>
      </x:c>
      <x:c r="V2212" s="54" t="n">
        <x:f>IF(ISNUMBER(T2212),T2212*(1+U2212),"")</x:f>
        <x:v>27.852</x:v>
      </x:c>
      <x:c r="W2212" s="47" t="n">
        <x:v>0.3</x:v>
      </x:c>
      <x:c r="X2212" s="54" t="n">
        <x:f>IF(ISNUMBER(V2212),V2212/(1-W2212),"")</x:f>
        <x:v>39.78857142857143</x:v>
      </x:c>
      <x:c r="Y2212" s="55" t="n">
        <x:f>IF(ISNUMBER(X2212),ROUNDUP(X2212,0),"")</x:f>
        <x:v>40</x:v>
      </x:c>
      <x:c r="Z2212" t="str">
        <x:v>Source match pending</x:v>
      </x:c>
      <x:c r="AA2212" t="str">
        <x:v>screencapture-www-activesportstrade-co-uk-olimp-trade-2026-09-10-09_05_33.pdf / page-04</x:v>
      </x:c>
      <x:c r="AB2212" s="36" t="n">
        <x:f>IF(ISNUMBER(Y2212),ROUND(Y2212*0.9,2),"")</x:f>
        <x:v>36</x:v>
      </x:c>
      <x:c r="AC2212" s="36" t="n">
        <x:f>IF(ISNUMBER(AB2212),ROUND(AB2212-(AB2212*0.015+0.2)-V2212,2),"")</x:f>
        <x:v>7.41</x:v>
      </x:c>
      <x:c r="AD2212" s="36" t="n">
        <x:f>IF(ISNUMBER(Y2212),ROUND(Y2212*0.8,2),"")</x:f>
        <x:v>32</x:v>
      </x:c>
      <x:c r="AE2212" s="36" t="n">
        <x:f>IF(ISNUMBER(AD2212),ROUND(AD2212*0.015+0.2,2),"")</x:f>
        <x:v>0.68</x:v>
      </x:c>
      <x:c r="AF2212" s="36" t="n">
        <x:f>IF(ISNUMBER(AD2212),ROUND(AD2212-AE2212-V2212,2),"")</x:f>
        <x:v>3.47</x:v>
      </x:c>
      <x:c r="AG2212" t="str">
        <x:f>IF(NOT(ISNUMBER(T2212)),"PENDING",IF(AF2212&gt;0,"PASS","FAIL"))</x:f>
        <x:v>PASS</x:v>
      </x:c>
      <x:c r="AH2212" t="str">
        <x:f>IF(NOT(ISNUMBER(T2212)),"Needs supplier cost",IF(K2212&lt;&gt;"In stock","Supplier unavailable",IF(AG2212&lt;&gt;"PASS","BLOCK - GT loss risk","Commercially protected")))</x:f>
        <x:v>Commercially protected</x:v>
      </x:c>
      <x:c r="AI2212" t="str">
        <x:v>2026-09-10 Active Sports trade capture</x:v>
      </x:c>
      <x:c r="AJ2212" t="str">
        <x:v>Management-only economics. Stripe stress test uses 1.5% + £0.20 standard UK online-card fee; pallet/mix-and-match pricing ignored.</x:v>
      </x:c>
    </x:row>
    <x:row r="2213">
      <x:c r="A2213" t="str">
        <x:v>Active Sports Nutrition</x:v>
      </x:c>
      <x:c r="B2213" t="str">
        <x:v>Olimp</x:v>
      </x:c>
      <x:c r="C2213" t="str">
        <x:v>Blackweiler Shred Pre Workout</x:v>
      </x:c>
      <x:c r="D2213" t="str">
        <x:v>Pre Workouts</x:v>
      </x:c>
      <x:c r="E2213" t="str">
        <x:v>High Stim</x:v>
      </x:c>
      <x:c r="F2213" t="str"/>
      <x:c r="G2213" t="str">
        <x:v>480g</x:v>
      </x:c>
      <x:c r="H2213" t="str">
        <x:v>Strawberry</x:v>
      </x:c>
      <x:c r="I2213" t="str"/>
      <x:c r="J2213" t="str">
        <x:v>Unit</x:v>
      </x:c>
      <x:c r="K2213" t="str">
        <x:v>In stock</x:v>
      </x:c>
      <x:c r="L2213" t="str">
        <x:v>2026-09-08</x:v>
      </x:c>
      <x:c r="M2213" t="str"/>
      <x:c r="N2213" t="str"/>
      <x:c r="O2213" t="str">
        <x:v>https://www.activesportstrade.co.uk/trade-sports-supplements/olimp-trade</x:v>
      </x:c>
      <x:c r="P2213" t="str">
        <x:v>Current general Olimp listing exposes these additional exact flavours; existing Exotic Orange retained because it is also surfaced by Active Sports.</x:v>
      </x:c>
      <x:c r="Q2213" t="str"/>
      <x:c r="R2213" t="str"/>
      <x:c r="S2213" t="str">
        <x:v>Pending genuine supplier/brand image</x:v>
      </x:c>
      <x:c r="T2213" s="54" t="n">
        <x:v>23.21</x:v>
      </x:c>
      <x:c r="U2213" s="47" t="n">
        <x:v>0.2</x:v>
      </x:c>
      <x:c r="V2213" s="54" t="n">
        <x:f>IF(ISNUMBER(T2213),T2213*(1+U2213),"")</x:f>
        <x:v>27.852</x:v>
      </x:c>
      <x:c r="W2213" s="47" t="n">
        <x:v>0.3</x:v>
      </x:c>
      <x:c r="X2213" s="54" t="n">
        <x:f>IF(ISNUMBER(V2213),V2213/(1-W2213),"")</x:f>
        <x:v>39.78857142857143</x:v>
      </x:c>
      <x:c r="Y2213" s="55" t="n">
        <x:f>IF(ISNUMBER(X2213),ROUNDUP(X2213,0),"")</x:f>
        <x:v>40</x:v>
      </x:c>
      <x:c r="Z2213" t="str">
        <x:v>Source match pending</x:v>
      </x:c>
      <x:c r="AA2213" t="str">
        <x:v>screencapture-www-activesportstrade-co-uk-olimp-trade-2026-09-10-09_05_33.pdf / page-04</x:v>
      </x:c>
      <x:c r="AB2213" s="36" t="n">
        <x:f>IF(ISNUMBER(Y2213),ROUND(Y2213*0.9,2),"")</x:f>
        <x:v>36</x:v>
      </x:c>
      <x:c r="AC2213" s="36" t="n">
        <x:f>IF(ISNUMBER(AB2213),ROUND(AB2213-(AB2213*0.015+0.2)-V2213,2),"")</x:f>
        <x:v>7.41</x:v>
      </x:c>
      <x:c r="AD2213" s="36" t="n">
        <x:f>IF(ISNUMBER(Y2213),ROUND(Y2213*0.8,2),"")</x:f>
        <x:v>32</x:v>
      </x:c>
      <x:c r="AE2213" s="36" t="n">
        <x:f>IF(ISNUMBER(AD2213),ROUND(AD2213*0.015+0.2,2),"")</x:f>
        <x:v>0.68</x:v>
      </x:c>
      <x:c r="AF2213" s="36" t="n">
        <x:f>IF(ISNUMBER(AD2213),ROUND(AD2213-AE2213-V2213,2),"")</x:f>
        <x:v>3.47</x:v>
      </x:c>
      <x:c r="AG2213" t="str">
        <x:f>IF(NOT(ISNUMBER(T2213)),"PENDING",IF(AF2213&gt;0,"PASS","FAIL"))</x:f>
        <x:v>PASS</x:v>
      </x:c>
      <x:c r="AH2213" t="str">
        <x:f>IF(NOT(ISNUMBER(T2213)),"Needs supplier cost",IF(K2213&lt;&gt;"In stock","Supplier unavailable",IF(AG2213&lt;&gt;"PASS","BLOCK - GT loss risk","Commercially protected")))</x:f>
        <x:v>Commercially protected</x:v>
      </x:c>
      <x:c r="AI2213" t="str">
        <x:v>2026-09-10 Active Sports trade capture</x:v>
      </x:c>
      <x:c r="AJ2213" t="str">
        <x:v>Management-only economics. Stripe stress test uses 1.5% + £0.20 standard UK online-card fee; pallet/mix-and-match pricing ignored.</x:v>
      </x:c>
    </x:row>
    <x:row r="2214">
      <x:c r="A2214" t="str">
        <x:v>Active Sports Nutrition</x:v>
      </x:c>
      <x:c r="B2214" t="str">
        <x:v>Olimp</x:v>
      </x:c>
      <x:c r="C2214" t="str">
        <x:v>Blackweiler Shred Pre Workout</x:v>
      </x:c>
      <x:c r="D2214" t="str">
        <x:v>Pre Workouts</x:v>
      </x:c>
      <x:c r="E2214" t="str">
        <x:v>High Stim</x:v>
      </x:c>
      <x:c r="F2214" t="str"/>
      <x:c r="G2214" t="str">
        <x:v>480g</x:v>
      </x:c>
      <x:c r="H2214" t="str">
        <x:v>Watermelon</x:v>
      </x:c>
      <x:c r="I2214" t="str"/>
      <x:c r="J2214" t="str">
        <x:v>Unit</x:v>
      </x:c>
      <x:c r="K2214" t="str">
        <x:v>In stock</x:v>
      </x:c>
      <x:c r="L2214" t="str">
        <x:v>2026-09-08</x:v>
      </x:c>
      <x:c r="M2214" t="str"/>
      <x:c r="N2214" t="str"/>
      <x:c r="O2214" t="str">
        <x:v>https://www.activesportstrade.co.uk/trade-sports-supplements/olimp-trade</x:v>
      </x:c>
      <x:c r="P2214" t="str">
        <x:v>Current general Olimp listing exposes these additional exact flavours; existing Exotic Orange retained because it is also surfaced by Active Sports.</x:v>
      </x:c>
      <x:c r="Q2214" t="str"/>
      <x:c r="R2214" t="str"/>
      <x:c r="S2214" t="str">
        <x:v>Pending genuine supplier/brand image</x:v>
      </x:c>
      <x:c r="T2214" s="54" t="n">
        <x:v>23.21</x:v>
      </x:c>
      <x:c r="U2214" s="47" t="n">
        <x:v>0.2</x:v>
      </x:c>
      <x:c r="V2214" s="54" t="n">
        <x:f>IF(ISNUMBER(T2214),T2214*(1+U2214),"")</x:f>
        <x:v>27.852</x:v>
      </x:c>
      <x:c r="W2214" s="47" t="n">
        <x:v>0.3</x:v>
      </x:c>
      <x:c r="X2214" s="54" t="n">
        <x:f>IF(ISNUMBER(V2214),V2214/(1-W2214),"")</x:f>
        <x:v>39.78857142857143</x:v>
      </x:c>
      <x:c r="Y2214" s="55" t="n">
        <x:f>IF(ISNUMBER(X2214),ROUNDUP(X2214,0),"")</x:f>
        <x:v>40</x:v>
      </x:c>
      <x:c r="Z2214" t="str">
        <x:v>Source match pending</x:v>
      </x:c>
      <x:c r="AA2214" t="str">
        <x:v>screencapture-www-activesportstrade-co-uk-olimp-trade-2026-09-10-09_05_33.pdf / page-04</x:v>
      </x:c>
      <x:c r="AB2214" s="36" t="n">
        <x:f>IF(ISNUMBER(Y2214),ROUND(Y2214*0.9,2),"")</x:f>
        <x:v>36</x:v>
      </x:c>
      <x:c r="AC2214" s="36" t="n">
        <x:f>IF(ISNUMBER(AB2214),ROUND(AB2214-(AB2214*0.015+0.2)-V2214,2),"")</x:f>
        <x:v>7.41</x:v>
      </x:c>
      <x:c r="AD2214" s="36" t="n">
        <x:f>IF(ISNUMBER(Y2214),ROUND(Y2214*0.8,2),"")</x:f>
        <x:v>32</x:v>
      </x:c>
      <x:c r="AE2214" s="36" t="n">
        <x:f>IF(ISNUMBER(AD2214),ROUND(AD2214*0.015+0.2,2),"")</x:f>
        <x:v>0.68</x:v>
      </x:c>
      <x:c r="AF2214" s="36" t="n">
        <x:f>IF(ISNUMBER(AD2214),ROUND(AD2214-AE2214-V2214,2),"")</x:f>
        <x:v>3.47</x:v>
      </x:c>
      <x:c r="AG2214" t="str">
        <x:f>IF(NOT(ISNUMBER(T2214)),"PENDING",IF(AF2214&gt;0,"PASS","FAIL"))</x:f>
        <x:v>PASS</x:v>
      </x:c>
      <x:c r="AH2214" t="str">
        <x:f>IF(NOT(ISNUMBER(T2214)),"Needs supplier cost",IF(K2214&lt;&gt;"In stock","Supplier unavailable",IF(AG2214&lt;&gt;"PASS","BLOCK - GT loss risk","Commercially protected")))</x:f>
        <x:v>Commercially protected</x:v>
      </x:c>
      <x:c r="AI2214" t="str">
        <x:v>2026-09-10 Active Sports trade capture</x:v>
      </x:c>
      <x:c r="AJ2214" t="str">
        <x:v>Management-only economics. Stripe stress test uses 1.5% + £0.20 standard UK online-card fee; pallet/mix-and-match pricing ignored.</x:v>
      </x:c>
    </x:row>
    <x:row r="2215">
      <x:c r="A2215" t="str">
        <x:v>Active Sports Nutrition</x:v>
      </x:c>
      <x:c r="B2215" t="str">
        <x:v>Olimp</x:v>
      </x:c>
      <x:c r="C2215" t="str">
        <x:v>Whey Protein Complex 100%</x:v>
      </x:c>
      <x:c r="D2215" t="str">
        <x:v>Supplements</x:v>
      </x:c>
      <x:c r="E2215" t="str">
        <x:v>Whey Protein</x:v>
      </x:c>
      <x:c r="F2215" t="str"/>
      <x:c r="G2215" t="str">
        <x:v>2.27kg</x:v>
      </x:c>
      <x:c r="H2215" t="str">
        <x:v>Banana</x:v>
      </x:c>
      <x:c r="I2215" t="str"/>
      <x:c r="J2215" t="str">
        <x:v>Unit</x:v>
      </x:c>
      <x:c r="K2215" t="str">
        <x:v>In stock</x:v>
      </x:c>
      <x:c r="L2215" t="str">
        <x:v>2026-09-08</x:v>
      </x:c>
      <x:c r="M2215" t="str"/>
      <x:c r="N2215" t="str"/>
      <x:c r="O2215" t="str">
        <x:v>https://www.activesportstrade.co.uk/olimp-trade</x:v>
      </x:c>
      <x:c r="P2215" t="str">
        <x:v>Fresh general Olimp page extends the 2.27kg exact flavour matrix.</x:v>
      </x:c>
      <x:c r="Q2215" t="str"/>
      <x:c r="R2215" t="str"/>
      <x:c r="S2215" t="str">
        <x:v>Pending genuine supplier/brand image</x:v>
      </x:c>
      <x:c r="T2215" s="54" t="n">
        <x:v>44.99</x:v>
      </x:c>
      <x:c r="U2215" s="47" t="n">
        <x:v>0.2</x:v>
      </x:c>
      <x:c r="V2215" s="54" t="n">
        <x:f>IF(ISNUMBER(T2215),T2215*(1+U2215),"")</x:f>
        <x:v>53.988</x:v>
      </x:c>
      <x:c r="W2215" s="47" t="n">
        <x:v>0.3</x:v>
      </x:c>
      <x:c r="X2215" s="54" t="n">
        <x:f>IF(ISNUMBER(V2215),V2215/(1-W2215),"")</x:f>
        <x:v>77.1257142857143</x:v>
      </x:c>
      <x:c r="Y2215" s="55" t="n">
        <x:f>IF(ISNUMBER(X2215),ROUNDUP(X2215,0),"")</x:f>
        <x:v>78</x:v>
      </x:c>
      <x:c r="Z2215" t="str">
        <x:v>Source match pending</x:v>
      </x:c>
      <x:c r="AA2215" t="str">
        <x:v>screencapture-www-activesportstrade-co-uk-olimp-trade-2026-09-10-09_05_33.pdf / page-14</x:v>
      </x:c>
      <x:c r="AB2215" s="36" t="n">
        <x:f>IF(ISNUMBER(Y2215),ROUND(Y2215*0.9,2),"")</x:f>
        <x:v>70.2</x:v>
      </x:c>
      <x:c r="AC2215" s="36" t="n">
        <x:f>IF(ISNUMBER(AB2215),ROUND(AB2215-(AB2215*0.015+0.2)-V2215,2),"")</x:f>
        <x:v>14.96</x:v>
      </x:c>
      <x:c r="AD2215" s="36" t="n">
        <x:f>IF(ISNUMBER(Y2215),ROUND(Y2215*0.8,2),"")</x:f>
        <x:v>62.4</x:v>
      </x:c>
      <x:c r="AE2215" s="36" t="n">
        <x:f>IF(ISNUMBER(AD2215),ROUND(AD2215*0.015+0.2,2),"")</x:f>
        <x:v>1.14</x:v>
      </x:c>
      <x:c r="AF2215" s="36" t="n">
        <x:f>IF(ISNUMBER(AD2215),ROUND(AD2215-AE2215-V2215,2),"")</x:f>
        <x:v>7.27</x:v>
      </x:c>
      <x:c r="AG2215" t="str">
        <x:f>IF(NOT(ISNUMBER(T2215)),"PENDING",IF(AF2215&gt;0,"PASS","FAIL"))</x:f>
        <x:v>PASS</x:v>
      </x:c>
      <x:c r="AH2215" t="str">
        <x:f>IF(NOT(ISNUMBER(T2215)),"Needs supplier cost",IF(K2215&lt;&gt;"In stock","Supplier unavailable",IF(AG2215&lt;&gt;"PASS","BLOCK - GT loss risk","Commercially protected")))</x:f>
        <x:v>Commercially protected</x:v>
      </x:c>
      <x:c r="AI2215" t="str">
        <x:v>2026-09-10 Active Sports trade capture</x:v>
      </x:c>
      <x:c r="AJ2215" t="str">
        <x:v>Management-only economics. Stripe stress test uses 1.5% + £0.20 standard UK online-card fee; pallet/mix-and-match pricing ignored.</x:v>
      </x:c>
    </x:row>
    <x:row r="2216">
      <x:c r="A2216" t="str">
        <x:v>Active Sports Nutrition</x:v>
      </x:c>
      <x:c r="B2216" t="str">
        <x:v>Olimp</x:v>
      </x:c>
      <x:c r="C2216" t="str">
        <x:v>Whey Protein Complex 100%</x:v>
      </x:c>
      <x:c r="D2216" t="str">
        <x:v>Supplements</x:v>
      </x:c>
      <x:c r="E2216" t="str">
        <x:v>Whey Protein</x:v>
      </x:c>
      <x:c r="F2216" t="str"/>
      <x:c r="G2216" t="str">
        <x:v>2.27kg</x:v>
      </x:c>
      <x:c r="H2216" t="str">
        <x:v>Salty Caramel</x:v>
      </x:c>
      <x:c r="I2216" t="str"/>
      <x:c r="J2216" t="str">
        <x:v>Unit</x:v>
      </x:c>
      <x:c r="K2216" t="str">
        <x:v>In stock</x:v>
      </x:c>
      <x:c r="L2216" t="str">
        <x:v>2026-09-08</x:v>
      </x:c>
      <x:c r="M2216" t="str"/>
      <x:c r="N2216" t="str"/>
      <x:c r="O2216" t="str">
        <x:v>https://www.activesportstrade.co.uk/olimp-trade</x:v>
      </x:c>
      <x:c r="P2216" t="str">
        <x:v>Fresh general Olimp page extends the 2.27kg exact flavour matrix.</x:v>
      </x:c>
      <x:c r="Q2216" t="str"/>
      <x:c r="R2216" t="str"/>
      <x:c r="S2216" t="str">
        <x:v>Pending genuine supplier/brand image</x:v>
      </x:c>
      <x:c r="T2216" s="54" t="n">
        <x:v>44.99</x:v>
      </x:c>
      <x:c r="U2216" s="47" t="n">
        <x:v>0.2</x:v>
      </x:c>
      <x:c r="V2216" s="54" t="n">
        <x:f>IF(ISNUMBER(T2216),T2216*(1+U2216),"")</x:f>
        <x:v>53.988</x:v>
      </x:c>
      <x:c r="W2216" s="47" t="n">
        <x:v>0.3</x:v>
      </x:c>
      <x:c r="X2216" s="54" t="n">
        <x:f>IF(ISNUMBER(V2216),V2216/(1-W2216),"")</x:f>
        <x:v>77.1257142857143</x:v>
      </x:c>
      <x:c r="Y2216" s="55" t="n">
        <x:f>IF(ISNUMBER(X2216),ROUNDUP(X2216,0),"")</x:f>
        <x:v>78</x:v>
      </x:c>
      <x:c r="Z2216" t="str">
        <x:v>Source match pending</x:v>
      </x:c>
      <x:c r="AA2216" t="str">
        <x:v>screencapture-www-activesportstrade-co-uk-olimp-trade-2026-09-10-09_05_33.pdf / page-14</x:v>
      </x:c>
      <x:c r="AB2216" s="36" t="n">
        <x:f>IF(ISNUMBER(Y2216),ROUND(Y2216*0.9,2),"")</x:f>
        <x:v>70.2</x:v>
      </x:c>
      <x:c r="AC2216" s="36" t="n">
        <x:f>IF(ISNUMBER(AB2216),ROUND(AB2216-(AB2216*0.015+0.2)-V2216,2),"")</x:f>
        <x:v>14.96</x:v>
      </x:c>
      <x:c r="AD2216" s="36" t="n">
        <x:f>IF(ISNUMBER(Y2216),ROUND(Y2216*0.8,2),"")</x:f>
        <x:v>62.4</x:v>
      </x:c>
      <x:c r="AE2216" s="36" t="n">
        <x:f>IF(ISNUMBER(AD2216),ROUND(AD2216*0.015+0.2,2),"")</x:f>
        <x:v>1.14</x:v>
      </x:c>
      <x:c r="AF2216" s="36" t="n">
        <x:f>IF(ISNUMBER(AD2216),ROUND(AD2216-AE2216-V2216,2),"")</x:f>
        <x:v>7.27</x:v>
      </x:c>
      <x:c r="AG2216" t="str">
        <x:f>IF(NOT(ISNUMBER(T2216)),"PENDING",IF(AF2216&gt;0,"PASS","FAIL"))</x:f>
        <x:v>PASS</x:v>
      </x:c>
      <x:c r="AH2216" t="str">
        <x:f>IF(NOT(ISNUMBER(T2216)),"Needs supplier cost",IF(K2216&lt;&gt;"In stock","Supplier unavailable",IF(AG2216&lt;&gt;"PASS","BLOCK - GT loss risk","Commercially protected")))</x:f>
        <x:v>Commercially protected</x:v>
      </x:c>
      <x:c r="AI2216" t="str">
        <x:v>2026-09-10 Active Sports trade capture</x:v>
      </x:c>
      <x:c r="AJ2216" t="str">
        <x:v>Management-only economics. Stripe stress test uses 1.5% + £0.20 standard UK online-card fee; pallet/mix-and-match pricing ignored.</x:v>
      </x:c>
    </x:row>
    <x:row r="2217">
      <x:c r="A2217" t="str">
        <x:v>Active Sports Nutrition</x:v>
      </x:c>
      <x:c r="B2217" t="str">
        <x:v>Olimp</x:v>
      </x:c>
      <x:c r="C2217" t="str">
        <x:v>Gloves - Profi</x:v>
      </x:c>
      <x:c r="D2217" t="str">
        <x:v>Merch &amp; Apparel</x:v>
      </x:c>
      <x:c r="E2217" t="str">
        <x:v>Training Accessories</x:v>
      </x:c>
      <x:c r="F2217" t="str"/>
      <x:c r="G2217" t="str">
        <x:v>Size</x:v>
      </x:c>
      <x:c r="H2217" t="str">
        <x:v>Small</x:v>
      </x:c>
      <x:c r="I2217" t="str"/>
      <x:c r="J2217" t="str">
        <x:v>Unit</x:v>
      </x:c>
      <x:c r="K2217" t="str">
        <x:v>Out of stock</x:v>
      </x:c>
      <x:c r="L2217" t="str">
        <x:v>2026-09-08</x:v>
      </x:c>
      <x:c r="M2217" t="str"/>
      <x:c r="N2217" t="str"/>
      <x:c r="O2217" t="str">
        <x:v>https://www.activesportstrade.co.uk/Trade-Body-Building-Accessories</x:v>
      </x:c>
      <x:c r="P2217" t="str">
        <x:v>Genuine Active Sports Olimp accessory; exact size stock preserved.</x:v>
      </x:c>
      <x:c r="Q2217" t="str"/>
      <x:c r="R2217" t="str"/>
      <x:c r="S2217" t="str">
        <x:v>Pending genuine supplier/brand image</x:v>
      </x:c>
      <x:c r="T2217" s="54"/>
      <x:c r="U2217" s="47" t="n">
        <x:v>0.2</x:v>
      </x:c>
      <x:c r="V2217" s="54" t="str">
        <x:f>IF(ISNUMBER(T2217),T2217*(1+U2217),"")</x:f>
      </x:c>
      <x:c r="W2217" s="47" t="n">
        <x:v>0.3</x:v>
      </x:c>
      <x:c r="X2217" s="54" t="str">
        <x:f>IF(ISNUMBER(V2217),V2217/(1-W2217),"")</x:f>
      </x:c>
      <x:c r="Y2217" s="55" t="str">
        <x:f>IF(ISNUMBER(X2217),ROUNDUP(X2217,0),"")</x:f>
      </x:c>
      <x:c r="Z2217" t="str">
        <x:f>IF(ISNUMBER(T2217),"Cost captured","Awaiting trade cost")</x:f>
        <x:v>Awaiting trade cost</x:v>
      </x:c>
      <x:c r="AB2217" s="36" t="str">
        <x:f>IF(ISNUMBER(Y2217),ROUND(Y2217*0.9,2),"")</x:f>
      </x:c>
      <x:c r="AC2217" s="36" t="str">
        <x:f>IF(ISNUMBER(AB2217),ROUND(AB2217-(AB2217*0.015+0.2)-V2217,2),"")</x:f>
      </x:c>
      <x:c r="AD2217" s="36" t="str">
        <x:f>IF(ISNUMBER(Y2217),ROUND(Y2217*0.8,2),"")</x:f>
      </x:c>
      <x:c r="AE2217" s="36" t="str">
        <x:f>IF(ISNUMBER(AD2217),ROUND(AD2217*0.015+0.2,2),"")</x:f>
      </x:c>
      <x:c r="AF2217" s="36" t="str">
        <x:f>IF(ISNUMBER(AD2217),ROUND(AD2217-AE2217-V2217,2),"")</x:f>
      </x:c>
      <x:c r="AG2217" t="str">
        <x:f>IF(NOT(ISNUMBER(T2217)),"PENDING",IF(AF2217&gt;0,"PASS","FAIL"))</x:f>
        <x:v>PENDING</x:v>
      </x:c>
      <x:c r="AH2217" t="str">
        <x:f>IF(NOT(ISNUMBER(T2217)),"Needs supplier cost",IF(K2217&lt;&gt;"In stock","Supplier unavailable",IF(AG2217&lt;&gt;"PASS","BLOCK - GT loss risk","Commercially protected")))</x:f>
        <x:v>Needs supplier cost</x:v>
      </x:c>
      <x:c r="AI2217" t="str">
        <x:v>2026-09-10 Active Sports trade capture</x:v>
      </x:c>
      <x:c r="AJ2217" t="str">
        <x:v>Management-only economics. Stripe stress test uses 1.5% + £0.20 standard UK online-card fee; pallet/mix-and-match pricing ignored.</x:v>
      </x:c>
    </x:row>
    <x:row r="2218">
      <x:c r="A2218" t="str">
        <x:v>Active Sports Nutrition</x:v>
      </x:c>
      <x:c r="B2218" t="str">
        <x:v>Olimp</x:v>
      </x:c>
      <x:c r="C2218" t="str">
        <x:v>Gloves - Profi</x:v>
      </x:c>
      <x:c r="D2218" t="str">
        <x:v>Merch &amp; Apparel</x:v>
      </x:c>
      <x:c r="E2218" t="str">
        <x:v>Training Accessories</x:v>
      </x:c>
      <x:c r="F2218" t="str"/>
      <x:c r="G2218" t="str">
        <x:v>Size</x:v>
      </x:c>
      <x:c r="H2218" t="str">
        <x:v>Medium</x:v>
      </x:c>
      <x:c r="I2218" t="str"/>
      <x:c r="J2218" t="str">
        <x:v>Unit</x:v>
      </x:c>
      <x:c r="K2218" t="str">
        <x:v>Out of stock</x:v>
      </x:c>
      <x:c r="L2218" t="str">
        <x:v>2026-09-08</x:v>
      </x:c>
      <x:c r="M2218" t="str"/>
      <x:c r="N2218" t="str"/>
      <x:c r="O2218" t="str">
        <x:v>https://www.activesportstrade.co.uk/Trade-Body-Building-Accessories</x:v>
      </x:c>
      <x:c r="P2218" t="str">
        <x:v>Genuine Active Sports Olimp accessory; exact size stock preserved.</x:v>
      </x:c>
      <x:c r="Q2218" t="str"/>
      <x:c r="R2218" t="str"/>
      <x:c r="S2218" t="str">
        <x:v>Pending genuine supplier/brand image</x:v>
      </x:c>
      <x:c r="T2218" s="54"/>
      <x:c r="U2218" s="47" t="n">
        <x:v>0.2</x:v>
      </x:c>
      <x:c r="V2218" s="54" t="str">
        <x:f>IF(ISNUMBER(T2218),T2218*(1+U2218),"")</x:f>
      </x:c>
      <x:c r="W2218" s="47" t="n">
        <x:v>0.3</x:v>
      </x:c>
      <x:c r="X2218" s="54" t="str">
        <x:f>IF(ISNUMBER(V2218),V2218/(1-W2218),"")</x:f>
      </x:c>
      <x:c r="Y2218" s="55" t="str">
        <x:f>IF(ISNUMBER(X2218),ROUNDUP(X2218,0),"")</x:f>
      </x:c>
      <x:c r="Z2218" t="str">
        <x:f>IF(ISNUMBER(T2218),"Cost captured","Awaiting trade cost")</x:f>
        <x:v>Awaiting trade cost</x:v>
      </x:c>
      <x:c r="AB2218" s="36" t="str">
        <x:f>IF(ISNUMBER(Y2218),ROUND(Y2218*0.9,2),"")</x:f>
      </x:c>
      <x:c r="AC2218" s="36" t="str">
        <x:f>IF(ISNUMBER(AB2218),ROUND(AB2218-(AB2218*0.015+0.2)-V2218,2),"")</x:f>
      </x:c>
      <x:c r="AD2218" s="36" t="str">
        <x:f>IF(ISNUMBER(Y2218),ROUND(Y2218*0.8,2),"")</x:f>
      </x:c>
      <x:c r="AE2218" s="36" t="str">
        <x:f>IF(ISNUMBER(AD2218),ROUND(AD2218*0.015+0.2,2),"")</x:f>
      </x:c>
      <x:c r="AF2218" s="36" t="str">
        <x:f>IF(ISNUMBER(AD2218),ROUND(AD2218-AE2218-V2218,2),"")</x:f>
      </x:c>
      <x:c r="AG2218" t="str">
        <x:f>IF(NOT(ISNUMBER(T2218)),"PENDING",IF(AF2218&gt;0,"PASS","FAIL"))</x:f>
        <x:v>PENDING</x:v>
      </x:c>
      <x:c r="AH2218" t="str">
        <x:f>IF(NOT(ISNUMBER(T2218)),"Needs supplier cost",IF(K2218&lt;&gt;"In stock","Supplier unavailable",IF(AG2218&lt;&gt;"PASS","BLOCK - GT loss risk","Commercially protected")))</x:f>
        <x:v>Needs supplier cost</x:v>
      </x:c>
      <x:c r="AI2218" t="str">
        <x:v>2026-09-10 Active Sports trade capture</x:v>
      </x:c>
      <x:c r="AJ2218" t="str">
        <x:v>Management-only economics. Stripe stress test uses 1.5% + £0.20 standard UK online-card fee; pallet/mix-and-match pricing ignored.</x:v>
      </x:c>
    </x:row>
    <x:row r="2219">
      <x:c r="A2219" t="str">
        <x:v>Active Sports Nutrition</x:v>
      </x:c>
      <x:c r="B2219" t="str">
        <x:v>Olimp</x:v>
      </x:c>
      <x:c r="C2219" t="str">
        <x:v>Gloves - Profi</x:v>
      </x:c>
      <x:c r="D2219" t="str">
        <x:v>Merch &amp; Apparel</x:v>
      </x:c>
      <x:c r="E2219" t="str">
        <x:v>Training Accessories</x:v>
      </x:c>
      <x:c r="F2219" t="str"/>
      <x:c r="G2219" t="str">
        <x:v>Size</x:v>
      </x:c>
      <x:c r="H2219" t="str">
        <x:v>Large</x:v>
      </x:c>
      <x:c r="I2219" t="str"/>
      <x:c r="J2219" t="str">
        <x:v>Unit</x:v>
      </x:c>
      <x:c r="K2219" t="str">
        <x:v>Out of stock</x:v>
      </x:c>
      <x:c r="L2219" t="str">
        <x:v>2026-09-08</x:v>
      </x:c>
      <x:c r="M2219" t="str"/>
      <x:c r="N2219" t="str"/>
      <x:c r="O2219" t="str">
        <x:v>https://www.activesportstrade.co.uk/Trade-Body-Building-Accessories</x:v>
      </x:c>
      <x:c r="P2219" t="str">
        <x:v>Genuine Active Sports Olimp accessory; exact size stock preserved.</x:v>
      </x:c>
      <x:c r="Q2219" t="str"/>
      <x:c r="R2219" t="str"/>
      <x:c r="S2219" t="str">
        <x:v>Pending genuine supplier/brand image</x:v>
      </x:c>
      <x:c r="T2219" s="54"/>
      <x:c r="U2219" s="47" t="n">
        <x:v>0.2</x:v>
      </x:c>
      <x:c r="V2219" s="54" t="str">
        <x:f>IF(ISNUMBER(T2219),T2219*(1+U2219),"")</x:f>
      </x:c>
      <x:c r="W2219" s="47" t="n">
        <x:v>0.3</x:v>
      </x:c>
      <x:c r="X2219" s="54" t="str">
        <x:f>IF(ISNUMBER(V2219),V2219/(1-W2219),"")</x:f>
      </x:c>
      <x:c r="Y2219" s="55" t="str">
        <x:f>IF(ISNUMBER(X2219),ROUNDUP(X2219,0),"")</x:f>
      </x:c>
      <x:c r="Z2219" t="str">
        <x:f>IF(ISNUMBER(T2219),"Cost captured","Awaiting trade cost")</x:f>
        <x:v>Awaiting trade cost</x:v>
      </x:c>
      <x:c r="AB2219" s="36" t="str">
        <x:f>IF(ISNUMBER(Y2219),ROUND(Y2219*0.9,2),"")</x:f>
      </x:c>
      <x:c r="AC2219" s="36" t="str">
        <x:f>IF(ISNUMBER(AB2219),ROUND(AB2219-(AB2219*0.015+0.2)-V2219,2),"")</x:f>
      </x:c>
      <x:c r="AD2219" s="36" t="str">
        <x:f>IF(ISNUMBER(Y2219),ROUND(Y2219*0.8,2),"")</x:f>
      </x:c>
      <x:c r="AE2219" s="36" t="str">
        <x:f>IF(ISNUMBER(AD2219),ROUND(AD2219*0.015+0.2,2),"")</x:f>
      </x:c>
      <x:c r="AF2219" s="36" t="str">
        <x:f>IF(ISNUMBER(AD2219),ROUND(AD2219-AE2219-V2219,2),"")</x:f>
      </x:c>
      <x:c r="AG2219" t="str">
        <x:f>IF(NOT(ISNUMBER(T2219)),"PENDING",IF(AF2219&gt;0,"PASS","FAIL"))</x:f>
        <x:v>PENDING</x:v>
      </x:c>
      <x:c r="AH2219" t="str">
        <x:f>IF(NOT(ISNUMBER(T2219)),"Needs supplier cost",IF(K2219&lt;&gt;"In stock","Supplier unavailable",IF(AG2219&lt;&gt;"PASS","BLOCK - GT loss risk","Commercially protected")))</x:f>
        <x:v>Needs supplier cost</x:v>
      </x:c>
      <x:c r="AI2219" t="str">
        <x:v>2026-09-10 Active Sports trade capture</x:v>
      </x:c>
      <x:c r="AJ2219" t="str">
        <x:v>Management-only economics. Stripe stress test uses 1.5% + £0.20 standard UK online-card fee; pallet/mix-and-match pricing ignored.</x:v>
      </x:c>
    </x:row>
    <x:row r="2220">
      <x:c r="A2220" t="str">
        <x:v>Active Sports Nutrition</x:v>
      </x:c>
      <x:c r="B2220" t="str">
        <x:v>Olimp</x:v>
      </x:c>
      <x:c r="C2220" t="str">
        <x:v>Gloves - Profi</x:v>
      </x:c>
      <x:c r="D2220" t="str">
        <x:v>Merch &amp; Apparel</x:v>
      </x:c>
      <x:c r="E2220" t="str">
        <x:v>Training Accessories</x:v>
      </x:c>
      <x:c r="F2220" t="str"/>
      <x:c r="G2220" t="str">
        <x:v>Size</x:v>
      </x:c>
      <x:c r="H2220" t="str">
        <x:v>X Large</x:v>
      </x:c>
      <x:c r="I2220" t="str"/>
      <x:c r="J2220" t="str">
        <x:v>Unit</x:v>
      </x:c>
      <x:c r="K2220" t="str">
        <x:v>Out of stock</x:v>
      </x:c>
      <x:c r="L2220" t="str">
        <x:v>2026-09-08</x:v>
      </x:c>
      <x:c r="M2220" t="str"/>
      <x:c r="N2220" t="str"/>
      <x:c r="O2220" t="str">
        <x:v>https://www.activesportstrade.co.uk/Trade-Body-Building-Accessories</x:v>
      </x:c>
      <x:c r="P2220" t="str">
        <x:v>Genuine Active Sports Olimp accessory; exact size stock preserved.</x:v>
      </x:c>
      <x:c r="Q2220" t="str"/>
      <x:c r="R2220" t="str"/>
      <x:c r="S2220" t="str">
        <x:v>Pending genuine supplier/brand image</x:v>
      </x:c>
      <x:c r="T2220" s="54"/>
      <x:c r="U2220" s="47" t="n">
        <x:v>0.2</x:v>
      </x:c>
      <x:c r="V2220" s="54" t="str">
        <x:f>IF(ISNUMBER(T2220),T2220*(1+U2220),"")</x:f>
      </x:c>
      <x:c r="W2220" s="47" t="n">
        <x:v>0.3</x:v>
      </x:c>
      <x:c r="X2220" s="54" t="str">
        <x:f>IF(ISNUMBER(V2220),V2220/(1-W2220),"")</x:f>
      </x:c>
      <x:c r="Y2220" s="55" t="str">
        <x:f>IF(ISNUMBER(X2220),ROUNDUP(X2220,0),"")</x:f>
      </x:c>
      <x:c r="Z2220" t="str">
        <x:f>IF(ISNUMBER(T2220),"Cost captured","Awaiting trade cost")</x:f>
        <x:v>Awaiting trade cost</x:v>
      </x:c>
      <x:c r="AB2220" s="36" t="str">
        <x:f>IF(ISNUMBER(Y2220),ROUND(Y2220*0.9,2),"")</x:f>
      </x:c>
      <x:c r="AC2220" s="36" t="str">
        <x:f>IF(ISNUMBER(AB2220),ROUND(AB2220-(AB2220*0.015+0.2)-V2220,2),"")</x:f>
      </x:c>
      <x:c r="AD2220" s="36" t="str">
        <x:f>IF(ISNUMBER(Y2220),ROUND(Y2220*0.8,2),"")</x:f>
      </x:c>
      <x:c r="AE2220" s="36" t="str">
        <x:f>IF(ISNUMBER(AD2220),ROUND(AD2220*0.015+0.2,2),"")</x:f>
      </x:c>
      <x:c r="AF2220" s="36" t="str">
        <x:f>IF(ISNUMBER(AD2220),ROUND(AD2220-AE2220-V2220,2),"")</x:f>
      </x:c>
      <x:c r="AG2220" t="str">
        <x:f>IF(NOT(ISNUMBER(T2220)),"PENDING",IF(AF2220&gt;0,"PASS","FAIL"))</x:f>
        <x:v>PENDING</x:v>
      </x:c>
      <x:c r="AH2220" t="str">
        <x:f>IF(NOT(ISNUMBER(T2220)),"Needs supplier cost",IF(K2220&lt;&gt;"In stock","Supplier unavailable",IF(AG2220&lt;&gt;"PASS","BLOCK - GT loss risk","Commercially protected")))</x:f>
        <x:v>Needs supplier cost</x:v>
      </x:c>
      <x:c r="AI2220" t="str">
        <x:v>2026-09-10 Active Sports trade capture</x:v>
      </x:c>
      <x:c r="AJ2220" t="str">
        <x:v>Management-only economics. Stripe stress test uses 1.5% + £0.20 standard UK online-card fee; pallet/mix-and-match pricing ignored.</x:v>
      </x:c>
    </x:row>
    <x:row r="2221">
      <x:c r="A2221" t="str">
        <x:v>Active Sports Nutrition</x:v>
      </x:c>
      <x:c r="B2221" t="str">
        <x:v>Olimp</x:v>
      </x:c>
      <x:c r="C2221" t="str">
        <x:v>Gloves - Profi</x:v>
      </x:c>
      <x:c r="D2221" t="str">
        <x:v>Merch &amp; Apparel</x:v>
      </x:c>
      <x:c r="E2221" t="str">
        <x:v>Training Accessories</x:v>
      </x:c>
      <x:c r="F2221" t="str"/>
      <x:c r="G2221" t="str">
        <x:v>Size</x:v>
      </x:c>
      <x:c r="H2221" t="str">
        <x:v>XX Large</x:v>
      </x:c>
      <x:c r="I2221" t="str"/>
      <x:c r="J2221" t="str">
        <x:v>Unit</x:v>
      </x:c>
      <x:c r="K2221" t="str">
        <x:v>Out of stock</x:v>
      </x:c>
      <x:c r="L2221" t="str">
        <x:v>2026-09-08</x:v>
      </x:c>
      <x:c r="M2221" t="str"/>
      <x:c r="N2221" t="str"/>
      <x:c r="O2221" t="str">
        <x:v>https://www.activesportstrade.co.uk/Trade-Body-Building-Accessories</x:v>
      </x:c>
      <x:c r="P2221" t="str">
        <x:v>Genuine Active Sports Olimp accessory; exact size stock preserved.</x:v>
      </x:c>
      <x:c r="Q2221" t="str"/>
      <x:c r="R2221" t="str"/>
      <x:c r="S2221" t="str">
        <x:v>Pending genuine supplier/brand image</x:v>
      </x:c>
      <x:c r="T2221" s="54"/>
      <x:c r="U2221" s="47" t="n">
        <x:v>0.2</x:v>
      </x:c>
      <x:c r="V2221" s="54" t="str">
        <x:f>IF(ISNUMBER(T2221),T2221*(1+U2221),"")</x:f>
      </x:c>
      <x:c r="W2221" s="47" t="n">
        <x:v>0.3</x:v>
      </x:c>
      <x:c r="X2221" s="54" t="str">
        <x:f>IF(ISNUMBER(V2221),V2221/(1-W2221),"")</x:f>
      </x:c>
      <x:c r="Y2221" s="55" t="str">
        <x:f>IF(ISNUMBER(X2221),ROUNDUP(X2221,0),"")</x:f>
      </x:c>
      <x:c r="Z2221" t="str">
        <x:f>IF(ISNUMBER(T2221),"Cost captured","Awaiting trade cost")</x:f>
        <x:v>Awaiting trade cost</x:v>
      </x:c>
      <x:c r="AB2221" s="36" t="str">
        <x:f>IF(ISNUMBER(Y2221),ROUND(Y2221*0.9,2),"")</x:f>
      </x:c>
      <x:c r="AC2221" s="36" t="str">
        <x:f>IF(ISNUMBER(AB2221),ROUND(AB2221-(AB2221*0.015+0.2)-V2221,2),"")</x:f>
      </x:c>
      <x:c r="AD2221" s="36" t="str">
        <x:f>IF(ISNUMBER(Y2221),ROUND(Y2221*0.8,2),"")</x:f>
      </x:c>
      <x:c r="AE2221" s="36" t="str">
        <x:f>IF(ISNUMBER(AD2221),ROUND(AD2221*0.015+0.2,2),"")</x:f>
      </x:c>
      <x:c r="AF2221" s="36" t="str">
        <x:f>IF(ISNUMBER(AD2221),ROUND(AD2221-AE2221-V2221,2),"")</x:f>
      </x:c>
      <x:c r="AG2221" t="str">
        <x:f>IF(NOT(ISNUMBER(T2221)),"PENDING",IF(AF2221&gt;0,"PASS","FAIL"))</x:f>
        <x:v>PENDING</x:v>
      </x:c>
      <x:c r="AH2221" t="str">
        <x:f>IF(NOT(ISNUMBER(T2221)),"Needs supplier cost",IF(K2221&lt;&gt;"In stock","Supplier unavailable",IF(AG2221&lt;&gt;"PASS","BLOCK - GT loss risk","Commercially protected")))</x:f>
        <x:v>Needs supplier cost</x:v>
      </x:c>
      <x:c r="AI2221" t="str">
        <x:v>2026-09-10 Active Sports trade capture</x:v>
      </x:c>
      <x:c r="AJ2221" t="str">
        <x:v>Management-only economics. Stripe stress test uses 1.5% + £0.20 standard UK online-card fee; pallet/mix-and-match pricing ignored.</x:v>
      </x:c>
    </x:row>
    <x:row r="2222">
      <x:c r="A2222" t="str">
        <x:v>Active Sports Nutrition</x:v>
      </x:c>
      <x:c r="B2222" t="str">
        <x:v>Olimp</x:v>
      </x:c>
      <x:c r="C2222" t="str">
        <x:v>Profi Training Belt 6 Inch</x:v>
      </x:c>
      <x:c r="D2222" t="str">
        <x:v>Merch &amp; Apparel</x:v>
      </x:c>
      <x:c r="E2222" t="str">
        <x:v>Training Accessories</x:v>
      </x:c>
      <x:c r="F2222" t="str"/>
      <x:c r="G2222" t="str">
        <x:v>Size</x:v>
      </x:c>
      <x:c r="H2222" t="str">
        <x:v>Small</x:v>
      </x:c>
      <x:c r="I2222" t="str"/>
      <x:c r="J2222" t="str">
        <x:v>Unit</x:v>
      </x:c>
      <x:c r="K2222" t="str">
        <x:v>Out of stock</x:v>
      </x:c>
      <x:c r="L2222" t="str">
        <x:v>2026-09-08</x:v>
      </x:c>
      <x:c r="M2222" t="str"/>
      <x:c r="N2222" t="str"/>
      <x:c r="O2222" t="str">
        <x:v>https://www.activesportstrade.co.uk/Trade-Body-Building-Accessories</x:v>
      </x:c>
      <x:c r="P2222" t="str">
        <x:v>Genuine Active Sports Olimp accessory; exact size stock preserved.</x:v>
      </x:c>
      <x:c r="Q2222" t="str"/>
      <x:c r="R2222" t="str"/>
      <x:c r="S2222" t="str">
        <x:v>Pending genuine supplier/brand image</x:v>
      </x:c>
      <x:c r="T2222" s="54"/>
      <x:c r="U2222" s="47" t="n">
        <x:v>0.2</x:v>
      </x:c>
      <x:c r="V2222" s="54" t="str">
        <x:f>IF(ISNUMBER(T2222),T2222*(1+U2222),"")</x:f>
      </x:c>
      <x:c r="W2222" s="47" t="n">
        <x:v>0.3</x:v>
      </x:c>
      <x:c r="X2222" s="54" t="str">
        <x:f>IF(ISNUMBER(V2222),V2222/(1-W2222),"")</x:f>
      </x:c>
      <x:c r="Y2222" s="55" t="str">
        <x:f>IF(ISNUMBER(X2222),ROUNDUP(X2222,0),"")</x:f>
      </x:c>
      <x:c r="Z2222" t="str">
        <x:f>IF(ISNUMBER(T2222),"Cost captured","Awaiting trade cost")</x:f>
        <x:v>Awaiting trade cost</x:v>
      </x:c>
      <x:c r="AB2222" s="36" t="str">
        <x:f>IF(ISNUMBER(Y2222),ROUND(Y2222*0.9,2),"")</x:f>
      </x:c>
      <x:c r="AC2222" s="36" t="str">
        <x:f>IF(ISNUMBER(AB2222),ROUND(AB2222-(AB2222*0.015+0.2)-V2222,2),"")</x:f>
      </x:c>
      <x:c r="AD2222" s="36" t="str">
        <x:f>IF(ISNUMBER(Y2222),ROUND(Y2222*0.8,2),"")</x:f>
      </x:c>
      <x:c r="AE2222" s="36" t="str">
        <x:f>IF(ISNUMBER(AD2222),ROUND(AD2222*0.015+0.2,2),"")</x:f>
      </x:c>
      <x:c r="AF2222" s="36" t="str">
        <x:f>IF(ISNUMBER(AD2222),ROUND(AD2222-AE2222-V2222,2),"")</x:f>
      </x:c>
      <x:c r="AG2222" t="str">
        <x:f>IF(NOT(ISNUMBER(T2222)),"PENDING",IF(AF2222&gt;0,"PASS","FAIL"))</x:f>
        <x:v>PENDING</x:v>
      </x:c>
      <x:c r="AH2222" t="str">
        <x:f>IF(NOT(ISNUMBER(T2222)),"Needs supplier cost",IF(K2222&lt;&gt;"In stock","Supplier unavailable",IF(AG2222&lt;&gt;"PASS","BLOCK - GT loss risk","Commercially protected")))</x:f>
        <x:v>Needs supplier cost</x:v>
      </x:c>
      <x:c r="AI2222" t="str">
        <x:v>2026-09-10 Active Sports trade capture</x:v>
      </x:c>
      <x:c r="AJ2222" t="str">
        <x:v>Management-only economics. Stripe stress test uses 1.5% + £0.20 standard UK online-card fee; pallet/mix-and-match pricing ignored.</x:v>
      </x:c>
    </x:row>
    <x:row r="2223">
      <x:c r="A2223" t="str">
        <x:v>Active Sports Nutrition</x:v>
      </x:c>
      <x:c r="B2223" t="str">
        <x:v>Olimp</x:v>
      </x:c>
      <x:c r="C2223" t="str">
        <x:v>Profi Training Belt 6 Inch</x:v>
      </x:c>
      <x:c r="D2223" t="str">
        <x:v>Merch &amp; Apparel</x:v>
      </x:c>
      <x:c r="E2223" t="str">
        <x:v>Training Accessories</x:v>
      </x:c>
      <x:c r="F2223" t="str"/>
      <x:c r="G2223" t="str">
        <x:v>Size</x:v>
      </x:c>
      <x:c r="H2223" t="str">
        <x:v>Medium</x:v>
      </x:c>
      <x:c r="I2223" t="str"/>
      <x:c r="J2223" t="str">
        <x:v>Unit</x:v>
      </x:c>
      <x:c r="K2223" t="str">
        <x:v>Out of stock</x:v>
      </x:c>
      <x:c r="L2223" t="str">
        <x:v>2026-09-08</x:v>
      </x:c>
      <x:c r="M2223" t="str"/>
      <x:c r="N2223" t="str"/>
      <x:c r="O2223" t="str">
        <x:v>https://www.activesportstrade.co.uk/Trade-Body-Building-Accessories</x:v>
      </x:c>
      <x:c r="P2223" t="str">
        <x:v>Genuine Active Sports Olimp accessory; exact size stock preserved.</x:v>
      </x:c>
      <x:c r="Q2223" t="str"/>
      <x:c r="R2223" t="str"/>
      <x:c r="S2223" t="str">
        <x:v>Pending genuine supplier/brand image</x:v>
      </x:c>
      <x:c r="T2223" s="54"/>
      <x:c r="U2223" s="47" t="n">
        <x:v>0.2</x:v>
      </x:c>
      <x:c r="V2223" s="54" t="str">
        <x:f>IF(ISNUMBER(T2223),T2223*(1+U2223),"")</x:f>
      </x:c>
      <x:c r="W2223" s="47" t="n">
        <x:v>0.3</x:v>
      </x:c>
      <x:c r="X2223" s="54" t="str">
        <x:f>IF(ISNUMBER(V2223),V2223/(1-W2223),"")</x:f>
      </x:c>
      <x:c r="Y2223" s="55" t="str">
        <x:f>IF(ISNUMBER(X2223),ROUNDUP(X2223,0),"")</x:f>
      </x:c>
      <x:c r="Z2223" t="str">
        <x:f>IF(ISNUMBER(T2223),"Cost captured","Awaiting trade cost")</x:f>
        <x:v>Awaiting trade cost</x:v>
      </x:c>
      <x:c r="AB2223" s="36" t="str">
        <x:f>IF(ISNUMBER(Y2223),ROUND(Y2223*0.9,2),"")</x:f>
      </x:c>
      <x:c r="AC2223" s="36" t="str">
        <x:f>IF(ISNUMBER(AB2223),ROUND(AB2223-(AB2223*0.015+0.2)-V2223,2),"")</x:f>
      </x:c>
      <x:c r="AD2223" s="36" t="str">
        <x:f>IF(ISNUMBER(Y2223),ROUND(Y2223*0.8,2),"")</x:f>
      </x:c>
      <x:c r="AE2223" s="36" t="str">
        <x:f>IF(ISNUMBER(AD2223),ROUND(AD2223*0.015+0.2,2),"")</x:f>
      </x:c>
      <x:c r="AF2223" s="36" t="str">
        <x:f>IF(ISNUMBER(AD2223),ROUND(AD2223-AE2223-V2223,2),"")</x:f>
      </x:c>
      <x:c r="AG2223" t="str">
        <x:f>IF(NOT(ISNUMBER(T2223)),"PENDING",IF(AF2223&gt;0,"PASS","FAIL"))</x:f>
        <x:v>PENDING</x:v>
      </x:c>
      <x:c r="AH2223" t="str">
        <x:f>IF(NOT(ISNUMBER(T2223)),"Needs supplier cost",IF(K2223&lt;&gt;"In stock","Supplier unavailable",IF(AG2223&lt;&gt;"PASS","BLOCK - GT loss risk","Commercially protected")))</x:f>
        <x:v>Needs supplier cost</x:v>
      </x:c>
      <x:c r="AI2223" t="str">
        <x:v>2026-09-10 Active Sports trade capture</x:v>
      </x:c>
      <x:c r="AJ2223" t="str">
        <x:v>Management-only economics. Stripe stress test uses 1.5% + £0.20 standard UK online-card fee; pallet/mix-and-match pricing ignored.</x:v>
      </x:c>
    </x:row>
    <x:row r="2224">
      <x:c r="A2224" t="str">
        <x:v>Active Sports Nutrition</x:v>
      </x:c>
      <x:c r="B2224" t="str">
        <x:v>Olimp</x:v>
      </x:c>
      <x:c r="C2224" t="str">
        <x:v>Profi Training Belt 6 Inch</x:v>
      </x:c>
      <x:c r="D2224" t="str">
        <x:v>Merch &amp; Apparel</x:v>
      </x:c>
      <x:c r="E2224" t="str">
        <x:v>Training Accessories</x:v>
      </x:c>
      <x:c r="F2224" t="str"/>
      <x:c r="G2224" t="str">
        <x:v>Size</x:v>
      </x:c>
      <x:c r="H2224" t="str">
        <x:v>X Large</x:v>
      </x:c>
      <x:c r="I2224" t="str"/>
      <x:c r="J2224" t="str">
        <x:v>Unit</x:v>
      </x:c>
      <x:c r="K2224" t="str">
        <x:v>In stock</x:v>
      </x:c>
      <x:c r="L2224" t="str">
        <x:v>2026-09-08</x:v>
      </x:c>
      <x:c r="M2224" t="str"/>
      <x:c r="N2224" t="str"/>
      <x:c r="O2224" t="str">
        <x:v>https://www.activesportstrade.co.uk/Trade-Body-Building-Accessories</x:v>
      </x:c>
      <x:c r="P2224" t="str">
        <x:v>Genuine Active Sports Olimp accessory; exact size stock preserved.</x:v>
      </x:c>
      <x:c r="Q2224" t="str"/>
      <x:c r="R2224" t="str"/>
      <x:c r="S2224" t="str">
        <x:v>Pending genuine supplier/brand image</x:v>
      </x:c>
      <x:c r="T2224" s="54"/>
      <x:c r="U2224" s="47" t="n">
        <x:v>0.2</x:v>
      </x:c>
      <x:c r="V2224" s="54" t="str">
        <x:f>IF(ISNUMBER(T2224),T2224*(1+U2224),"")</x:f>
      </x:c>
      <x:c r="W2224" s="47" t="n">
        <x:v>0.3</x:v>
      </x:c>
      <x:c r="X2224" s="54" t="str">
        <x:f>IF(ISNUMBER(V2224),V2224/(1-W2224),"")</x:f>
      </x:c>
      <x:c r="Y2224" s="55" t="str">
        <x:f>IF(ISNUMBER(X2224),ROUNDUP(X2224,0),"")</x:f>
      </x:c>
      <x:c r="Z2224" t="str">
        <x:f>IF(ISNUMBER(T2224),"Cost captured","Awaiting trade cost")</x:f>
        <x:v>Awaiting trade cost</x:v>
      </x:c>
      <x:c r="AB2224" s="36" t="str">
        <x:f>IF(ISNUMBER(Y2224),ROUND(Y2224*0.9,2),"")</x:f>
      </x:c>
      <x:c r="AC2224" s="36" t="str">
        <x:f>IF(ISNUMBER(AB2224),ROUND(AB2224-(AB2224*0.015+0.2)-V2224,2),"")</x:f>
      </x:c>
      <x:c r="AD2224" s="36" t="str">
        <x:f>IF(ISNUMBER(Y2224),ROUND(Y2224*0.8,2),"")</x:f>
      </x:c>
      <x:c r="AE2224" s="36" t="str">
        <x:f>IF(ISNUMBER(AD2224),ROUND(AD2224*0.015+0.2,2),"")</x:f>
      </x:c>
      <x:c r="AF2224" s="36" t="str">
        <x:f>IF(ISNUMBER(AD2224),ROUND(AD2224-AE2224-V2224,2),"")</x:f>
      </x:c>
      <x:c r="AG2224" t="str">
        <x:f>IF(NOT(ISNUMBER(T2224)),"PENDING",IF(AF2224&gt;0,"PASS","FAIL"))</x:f>
        <x:v>PENDING</x:v>
      </x:c>
      <x:c r="AH2224" t="str">
        <x:f>IF(NOT(ISNUMBER(T2224)),"Needs supplier cost",IF(K2224&lt;&gt;"In stock","Supplier unavailable",IF(AG2224&lt;&gt;"PASS","BLOCK - GT loss risk","Commercially protected")))</x:f>
        <x:v>Needs supplier cost</x:v>
      </x:c>
      <x:c r="AI2224" t="str">
        <x:v>2026-09-10 Active Sports trade capture</x:v>
      </x:c>
      <x:c r="AJ2224" t="str">
        <x:v>Management-only economics. Stripe stress test uses 1.5% + £0.20 standard UK online-card fee; pallet/mix-and-match pricing ignored.</x:v>
      </x:c>
    </x:row>
    <x:row r="2225">
      <x:c r="A2225" t="str">
        <x:v>Active Sports Nutrition</x:v>
      </x:c>
      <x:c r="B2225" t="str">
        <x:v>Olimp</x:v>
      </x:c>
      <x:c r="C2225" t="str">
        <x:v>Universal Competition Training Belt 4</x:v>
      </x:c>
      <x:c r="D2225" t="str">
        <x:v>Merch &amp; Apparel</x:v>
      </x:c>
      <x:c r="E2225" t="str">
        <x:v>Training Accessories</x:v>
      </x:c>
      <x:c r="F2225" t="str"/>
      <x:c r="G2225" t="str">
        <x:v>Size</x:v>
      </x:c>
      <x:c r="H2225" t="str">
        <x:v>Medium</x:v>
      </x:c>
      <x:c r="I2225" t="str"/>
      <x:c r="J2225" t="str">
        <x:v>Unit</x:v>
      </x:c>
      <x:c r="K2225" t="str">
        <x:v>Out of stock</x:v>
      </x:c>
      <x:c r="L2225" t="str">
        <x:v>2026-09-08</x:v>
      </x:c>
      <x:c r="M2225" t="str"/>
      <x:c r="N2225" t="str"/>
      <x:c r="O2225" t="str">
        <x:v>https://www.activesportstrade.co.uk/Trade-Body-Building-Accessories</x:v>
      </x:c>
      <x:c r="P2225" t="str">
        <x:v>Genuine Active Sports Olimp accessory; exact size stock preserved.</x:v>
      </x:c>
      <x:c r="Q2225" t="str"/>
      <x:c r="R2225" t="str"/>
      <x:c r="S2225" t="str">
        <x:v>Pending genuine supplier/brand image</x:v>
      </x:c>
      <x:c r="T2225" s="54"/>
      <x:c r="U2225" s="47" t="n">
        <x:v>0.2</x:v>
      </x:c>
      <x:c r="V2225" s="54" t="str">
        <x:f>IF(ISNUMBER(T2225),T2225*(1+U2225),"")</x:f>
      </x:c>
      <x:c r="W2225" s="47" t="n">
        <x:v>0.3</x:v>
      </x:c>
      <x:c r="X2225" s="54" t="str">
        <x:f>IF(ISNUMBER(V2225),V2225/(1-W2225),"")</x:f>
      </x:c>
      <x:c r="Y2225" s="55" t="str">
        <x:f>IF(ISNUMBER(X2225),ROUNDUP(X2225,0),"")</x:f>
      </x:c>
      <x:c r="Z2225" t="str">
        <x:f>IF(ISNUMBER(T2225),"Cost captured","Awaiting trade cost")</x:f>
        <x:v>Awaiting trade cost</x:v>
      </x:c>
      <x:c r="AB2225" s="36" t="str">
        <x:f>IF(ISNUMBER(Y2225),ROUND(Y2225*0.9,2),"")</x:f>
      </x:c>
      <x:c r="AC2225" s="36" t="str">
        <x:f>IF(ISNUMBER(AB2225),ROUND(AB2225-(AB2225*0.015+0.2)-V2225,2),"")</x:f>
      </x:c>
      <x:c r="AD2225" s="36" t="str">
        <x:f>IF(ISNUMBER(Y2225),ROUND(Y2225*0.8,2),"")</x:f>
      </x:c>
      <x:c r="AE2225" s="36" t="str">
        <x:f>IF(ISNUMBER(AD2225),ROUND(AD2225*0.015+0.2,2),"")</x:f>
      </x:c>
      <x:c r="AF2225" s="36" t="str">
        <x:f>IF(ISNUMBER(AD2225),ROUND(AD2225-AE2225-V2225,2),"")</x:f>
      </x:c>
      <x:c r="AG2225" t="str">
        <x:f>IF(NOT(ISNUMBER(T2225)),"PENDING",IF(AF2225&gt;0,"PASS","FAIL"))</x:f>
        <x:v>PENDING</x:v>
      </x:c>
      <x:c r="AH2225" t="str">
        <x:f>IF(NOT(ISNUMBER(T2225)),"Needs supplier cost",IF(K2225&lt;&gt;"In stock","Supplier unavailable",IF(AG2225&lt;&gt;"PASS","BLOCK - GT loss risk","Commercially protected")))</x:f>
        <x:v>Needs supplier cost</x:v>
      </x:c>
      <x:c r="AI2225" t="str">
        <x:v>2026-09-10 Active Sports trade capture</x:v>
      </x:c>
      <x:c r="AJ2225" t="str">
        <x:v>Management-only economics. Stripe stress test uses 1.5% + £0.20 standard UK online-card fee; pallet/mix-and-match pricing ignored.</x:v>
      </x:c>
    </x:row>
    <x:row r="2226">
      <x:c r="A2226" t="str">
        <x:v>Active Sports Nutrition</x:v>
      </x:c>
      <x:c r="B2226" t="str">
        <x:v>Olimp</x:v>
      </x:c>
      <x:c r="C2226" t="str">
        <x:v>Universal Competition Training Belt 4</x:v>
      </x:c>
      <x:c r="D2226" t="str">
        <x:v>Merch &amp; Apparel</x:v>
      </x:c>
      <x:c r="E2226" t="str">
        <x:v>Training Accessories</x:v>
      </x:c>
      <x:c r="F2226" t="str"/>
      <x:c r="G2226" t="str">
        <x:v>Size</x:v>
      </x:c>
      <x:c r="H2226" t="str">
        <x:v>X-Large</x:v>
      </x:c>
      <x:c r="I2226" t="str"/>
      <x:c r="J2226" t="str">
        <x:v>Unit</x:v>
      </x:c>
      <x:c r="K2226" t="str">
        <x:v>Out of stock</x:v>
      </x:c>
      <x:c r="L2226" t="str">
        <x:v>2026-09-08</x:v>
      </x:c>
      <x:c r="M2226" t="str"/>
      <x:c r="N2226" t="str"/>
      <x:c r="O2226" t="str">
        <x:v>https://www.activesportstrade.co.uk/Trade-Body-Building-Accessories</x:v>
      </x:c>
      <x:c r="P2226" t="str">
        <x:v>Genuine Active Sports Olimp accessory; exact size stock preserved.</x:v>
      </x:c>
      <x:c r="Q2226" t="str"/>
      <x:c r="R2226" t="str"/>
      <x:c r="S2226" t="str">
        <x:v>Pending genuine supplier/brand image</x:v>
      </x:c>
      <x:c r="T2226" s="54"/>
      <x:c r="U2226" s="47" t="n">
        <x:v>0.2</x:v>
      </x:c>
      <x:c r="V2226" s="54" t="str">
        <x:f>IF(ISNUMBER(T2226),T2226*(1+U2226),"")</x:f>
      </x:c>
      <x:c r="W2226" s="47" t="n">
        <x:v>0.3</x:v>
      </x:c>
      <x:c r="X2226" s="54" t="str">
        <x:f>IF(ISNUMBER(V2226),V2226/(1-W2226),"")</x:f>
      </x:c>
      <x:c r="Y2226" s="55" t="str">
        <x:f>IF(ISNUMBER(X2226),ROUNDUP(X2226,0),"")</x:f>
      </x:c>
      <x:c r="Z2226" t="str">
        <x:f>IF(ISNUMBER(T2226),"Cost captured","Awaiting trade cost")</x:f>
        <x:v>Awaiting trade cost</x:v>
      </x:c>
      <x:c r="AB2226" s="36" t="str">
        <x:f>IF(ISNUMBER(Y2226),ROUND(Y2226*0.9,2),"")</x:f>
      </x:c>
      <x:c r="AC2226" s="36" t="str">
        <x:f>IF(ISNUMBER(AB2226),ROUND(AB2226-(AB2226*0.015+0.2)-V2226,2),"")</x:f>
      </x:c>
      <x:c r="AD2226" s="36" t="str">
        <x:f>IF(ISNUMBER(Y2226),ROUND(Y2226*0.8,2),"")</x:f>
      </x:c>
      <x:c r="AE2226" s="36" t="str">
        <x:f>IF(ISNUMBER(AD2226),ROUND(AD2226*0.015+0.2,2),"")</x:f>
      </x:c>
      <x:c r="AF2226" s="36" t="str">
        <x:f>IF(ISNUMBER(AD2226),ROUND(AD2226-AE2226-V2226,2),"")</x:f>
      </x:c>
      <x:c r="AG2226" t="str">
        <x:f>IF(NOT(ISNUMBER(T2226)),"PENDING",IF(AF2226&gt;0,"PASS","FAIL"))</x:f>
        <x:v>PENDING</x:v>
      </x:c>
      <x:c r="AH2226" t="str">
        <x:f>IF(NOT(ISNUMBER(T2226)),"Needs supplier cost",IF(K2226&lt;&gt;"In stock","Supplier unavailable",IF(AG2226&lt;&gt;"PASS","BLOCK - GT loss risk","Commercially protected")))</x:f>
        <x:v>Needs supplier cost</x:v>
      </x:c>
      <x:c r="AI2226" t="str">
        <x:v>2026-09-10 Active Sports trade capture</x:v>
      </x:c>
      <x:c r="AJ2226" t="str">
        <x:v>Management-only economics. Stripe stress test uses 1.5% + £0.20 standard UK online-card fee; pallet/mix-and-match pricing ignored.</x:v>
      </x:c>
    </x:row>
    <x:row r="2227">
      <x:c r="A2227" t="str">
        <x:v>Active Sports Nutrition</x:v>
      </x:c>
      <x:c r="B2227" t="str">
        <x:v>Supplement Needs</x:v>
      </x:c>
      <x:c r="C2227" t="str">
        <x:v>100% Creatine Monohydrate</x:v>
      </x:c>
      <x:c r="D2227" t="str">
        <x:v>Supplements</x:v>
      </x:c>
      <x:c r="E2227" t="str">
        <x:v>Creatine Powders</x:v>
      </x:c>
      <x:c r="F2227" t="str"/>
      <x:c r="G2227" t="str">
        <x:v>500g</x:v>
      </x:c>
      <x:c r="H2227" t="str">
        <x:v>Unflavoured</x:v>
      </x:c>
      <x:c r="I2227" t="str"/>
      <x:c r="J2227" t="str">
        <x:v>Unit</x:v>
      </x:c>
      <x:c r="K2227" t="str">
        <x:v>In stock</x:v>
      </x:c>
      <x:c r="L2227" t="str">
        <x:v>2026-09-08</x:v>
      </x:c>
      <x:c r="M2227" t="str"/>
      <x:c r="N2227" t="str"/>
      <x:c r="O2227" t="str">
        <x:v>https://www.activesportstrade.co.uk/supplement-needs-trade</x:v>
      </x:c>
      <x:c r="P2227" t="str"/>
      <x:c r="Q2227" t="str"/>
      <x:c r="R2227" t="str"/>
      <x:c r="S2227" t="str">
        <x:v>Pending genuine supplier/brand image</x:v>
      </x:c>
      <x:c r="T2227" s="54" t="n">
        <x:v>13</x:v>
      </x:c>
      <x:c r="U2227" s="47" t="n">
        <x:v>0.2</x:v>
      </x:c>
      <x:c r="V2227" s="54" t="n">
        <x:f>IF(ISNUMBER(T2227),T2227*(1+U2227),"")</x:f>
        <x:v>15.6</x:v>
      </x:c>
      <x:c r="W2227" s="47" t="n">
        <x:v>0.3</x:v>
      </x:c>
      <x:c r="X2227" s="54" t="n">
        <x:f>IF(ISNUMBER(V2227),V2227/(1-W2227),"")</x:f>
        <x:v>22.28571428571429</x:v>
      </x:c>
      <x:c r="Y2227" s="55" t="n">
        <x:f>IF(ISNUMBER(X2227),ROUNDUP(X2227,0),"")</x:f>
        <x:v>23</x:v>
      </x:c>
      <x:c r="Z2227" t="str">
        <x:v>Source match pending</x:v>
      </x:c>
      <x:c r="AA2227" t="str">
        <x:v>screencapture-www-activesportstrade-co-uk-supplement-needs-trade-2026-09-10-09_10_12.pdf / page-1</x:v>
      </x:c>
      <x:c r="AB2227" s="36" t="n">
        <x:f>IF(ISNUMBER(Y2227),ROUND(Y2227*0.9,2),"")</x:f>
        <x:v>20.7</x:v>
      </x:c>
      <x:c r="AC2227" s="36" t="n">
        <x:f>IF(ISNUMBER(AB2227),ROUND(AB2227-(AB2227*0.015+0.2)-V2227,2),"")</x:f>
        <x:v>4.59</x:v>
      </x:c>
      <x:c r="AD2227" s="36" t="n">
        <x:f>IF(ISNUMBER(Y2227),ROUND(Y2227*0.8,2),"")</x:f>
        <x:v>18.4</x:v>
      </x:c>
      <x:c r="AE2227" s="36" t="n">
        <x:f>IF(ISNUMBER(AD2227),ROUND(AD2227*0.015+0.2,2),"")</x:f>
        <x:v>0.48</x:v>
      </x:c>
      <x:c r="AF2227" s="36" t="n">
        <x:f>IF(ISNUMBER(AD2227),ROUND(AD2227-AE2227-V2227,2),"")</x:f>
        <x:v>2.32</x:v>
      </x:c>
      <x:c r="AG2227" t="str">
        <x:f>IF(NOT(ISNUMBER(T2227)),"PENDING",IF(AF2227&gt;0,"PASS","FAIL"))</x:f>
        <x:v>PASS</x:v>
      </x:c>
      <x:c r="AH2227" t="str">
        <x:f>IF(NOT(ISNUMBER(T2227)),"Needs supplier cost",IF(K2227&lt;&gt;"In stock","Supplier unavailable",IF(AG2227&lt;&gt;"PASS","BLOCK - GT loss risk","Commercially protected")))</x:f>
        <x:v>Commercially protected</x:v>
      </x:c>
      <x:c r="AI2227" t="str">
        <x:v>2026-09-10 Active Sports trade capture</x:v>
      </x:c>
      <x:c r="AJ2227" t="str">
        <x:v>Management-only economics. Stripe stress test uses 1.5% + £0.20 standard UK online-card fee; pallet/mix-and-match pricing ignored.</x:v>
      </x:c>
    </x:row>
    <x:row r="2228">
      <x:c r="A2228" t="str">
        <x:v>Active Sports Nutrition</x:v>
      </x:c>
      <x:c r="B2228" t="str">
        <x:v>Supplement Needs</x:v>
      </x:c>
      <x:c r="C2228" t="str">
        <x:v>100% Glutamine Powder</x:v>
      </x:c>
      <x:c r="D2228" t="str">
        <x:v>Supplements</x:v>
      </x:c>
      <x:c r="E2228" t="str">
        <x:v>L-Glutamine</x:v>
      </x:c>
      <x:c r="F2228" t="str"/>
      <x:c r="G2228" t="str">
        <x:v>500g</x:v>
      </x:c>
      <x:c r="H2228" t="str">
        <x:v>Unflavoured</x:v>
      </x:c>
      <x:c r="I2228" t="str"/>
      <x:c r="J2228" t="str">
        <x:v>Unit</x:v>
      </x:c>
      <x:c r="K2228" t="str">
        <x:v>Out of stock</x:v>
      </x:c>
      <x:c r="L2228" t="str">
        <x:v>2026-09-08</x:v>
      </x:c>
      <x:c r="M2228" t="str"/>
      <x:c r="N2228" t="str"/>
      <x:c r="O2228" t="str">
        <x:v>https://www.activesportstrade.co.uk/supplement-needs-trade</x:v>
      </x:c>
      <x:c r="P2228" t="str"/>
      <x:c r="Q2228" t="str"/>
      <x:c r="R2228" t="str"/>
      <x:c r="S2228" t="str">
        <x:v>Pending genuine supplier/brand image</x:v>
      </x:c>
      <x:c r="T2228" s="54" t="n">
        <x:v>10</x:v>
      </x:c>
      <x:c r="U2228" s="47" t="n">
        <x:v>0.2</x:v>
      </x:c>
      <x:c r="V2228" s="54" t="n">
        <x:f>IF(ISNUMBER(T2228),T2228*(1+U2228),"")</x:f>
        <x:v>12</x:v>
      </x:c>
      <x:c r="W2228" s="47" t="n">
        <x:v>0.3</x:v>
      </x:c>
      <x:c r="X2228" s="54" t="n">
        <x:f>IF(ISNUMBER(V2228),V2228/(1-W2228),"")</x:f>
        <x:v>17.142857142857142</x:v>
      </x:c>
      <x:c r="Y2228" s="55" t="n">
        <x:f>IF(ISNUMBER(X2228),ROUNDUP(X2228,0),"")</x:f>
        <x:v>18</x:v>
      </x:c>
      <x:c r="Z2228" t="str">
        <x:v>Source match pending</x:v>
      </x:c>
      <x:c r="AA2228" t="str">
        <x:v>screencapture-www-activesportstrade-co-uk-supplement-needs-trade-2026-09-10-09_10_12.pdf / page-1</x:v>
      </x:c>
      <x:c r="AB2228" s="36" t="n">
        <x:f>IF(ISNUMBER(Y2228),ROUND(Y2228*0.9,2),"")</x:f>
        <x:v>16.2</x:v>
      </x:c>
      <x:c r="AC2228" s="36" t="n">
        <x:f>IF(ISNUMBER(AB2228),ROUND(AB2228-(AB2228*0.015+0.2)-V2228,2),"")</x:f>
        <x:v>3.76</x:v>
      </x:c>
      <x:c r="AD2228" s="36" t="n">
        <x:f>IF(ISNUMBER(Y2228),ROUND(Y2228*0.8,2),"")</x:f>
        <x:v>14.4</x:v>
      </x:c>
      <x:c r="AE2228" s="36" t="n">
        <x:f>IF(ISNUMBER(AD2228),ROUND(AD2228*0.015+0.2,2),"")</x:f>
        <x:v>0.42</x:v>
      </x:c>
      <x:c r="AF2228" s="36" t="n">
        <x:f>IF(ISNUMBER(AD2228),ROUND(AD2228-AE2228-V2228,2),"")</x:f>
        <x:v>1.98</x:v>
      </x:c>
      <x:c r="AG2228" t="str">
        <x:f>IF(NOT(ISNUMBER(T2228)),"PENDING",IF(AF2228&gt;0,"PASS","FAIL"))</x:f>
        <x:v>PASS</x:v>
      </x:c>
      <x:c r="AH2228" t="str">
        <x:f>IF(NOT(ISNUMBER(T2228)),"Needs supplier cost",IF(K2228&lt;&gt;"In stock","Supplier unavailable",IF(AG2228&lt;&gt;"PASS","BLOCK - GT loss risk","Commercially protected")))</x:f>
        <x:v>Supplier unavailable</x:v>
      </x:c>
      <x:c r="AI2228" t="str">
        <x:v>2026-09-10 Active Sports trade capture</x:v>
      </x:c>
      <x:c r="AJ2228" t="str">
        <x:v>Management-only economics. Stripe stress test uses 1.5% + £0.20 standard UK online-card fee; pallet/mix-and-match pricing ignored.</x:v>
      </x:c>
    </x:row>
    <x:row r="2229">
      <x:c r="A2229" t="str">
        <x:v>Active Sports Nutrition</x:v>
      </x:c>
      <x:c r="B2229" t="str">
        <x:v>Supplement Needs</x:v>
      </x:c>
      <x:c r="C2229" t="str">
        <x:v>AM Priming Stack</x:v>
      </x:c>
      <x:c r="D2229" t="str">
        <x:v>Supplements</x:v>
      </x:c>
      <x:c r="E2229" t="str">
        <x:v>Health Foods</x:v>
      </x:c>
      <x:c r="F2229" t="str"/>
      <x:c r="G2229" t="str">
        <x:v>120 caps</x:v>
      </x:c>
      <x:c r="H2229" t="str">
        <x:v>Default</x:v>
      </x:c>
      <x:c r="I2229" t="str"/>
      <x:c r="J2229" t="str">
        <x:v>Unit</x:v>
      </x:c>
      <x:c r="K2229" t="str">
        <x:v>In stock</x:v>
      </x:c>
      <x:c r="L2229" t="str">
        <x:v>2026-09-08</x:v>
      </x:c>
      <x:c r="M2229" t="str"/>
      <x:c r="N2229" t="str"/>
      <x:c r="O2229" t="str">
        <x:v>https://www.activesportstrade.co.uk/supplement-needs-trade</x:v>
      </x:c>
      <x:c r="P2229" t="str"/>
      <x:c r="Q2229" t="str"/>
      <x:c r="R2229" t="str"/>
      <x:c r="S2229" t="str">
        <x:v>Pending genuine supplier/brand image</x:v>
      </x:c>
      <x:c r="T2229" s="54" t="n">
        <x:v>16.5</x:v>
      </x:c>
      <x:c r="U2229" s="47" t="n">
        <x:v>0.2</x:v>
      </x:c>
      <x:c r="V2229" s="54" t="n">
        <x:f>IF(ISNUMBER(T2229),T2229*(1+U2229),"")</x:f>
        <x:v>19.8</x:v>
      </x:c>
      <x:c r="W2229" s="47" t="n">
        <x:v>0.3</x:v>
      </x:c>
      <x:c r="X2229" s="54" t="n">
        <x:f>IF(ISNUMBER(V2229),V2229/(1-W2229),"")</x:f>
        <x:v>28.28571428571429</x:v>
      </x:c>
      <x:c r="Y2229" s="55" t="n">
        <x:f>IF(ISNUMBER(X2229),ROUNDUP(X2229,0),"")</x:f>
        <x:v>29</x:v>
      </x:c>
      <x:c r="Z2229" t="str">
        <x:v>Source match pending</x:v>
      </x:c>
      <x:c r="AA2229" t="str">
        <x:v>screencapture-www-activesportstrade-co-uk-supplement-needs-trade-2026-09-10-09_10_12.pdf / page-1</x:v>
      </x:c>
      <x:c r="AB2229" s="36" t="n">
        <x:f>IF(ISNUMBER(Y2229),ROUND(Y2229*0.9,2),"")</x:f>
        <x:v>26.1</x:v>
      </x:c>
      <x:c r="AC2229" s="36" t="n">
        <x:f>IF(ISNUMBER(AB2229),ROUND(AB2229-(AB2229*0.015+0.2)-V2229,2),"")</x:f>
        <x:v>5.71</x:v>
      </x:c>
      <x:c r="AD2229" s="36" t="n">
        <x:f>IF(ISNUMBER(Y2229),ROUND(Y2229*0.8,2),"")</x:f>
        <x:v>23.2</x:v>
      </x:c>
      <x:c r="AE2229" s="36" t="n">
        <x:f>IF(ISNUMBER(AD2229),ROUND(AD2229*0.015+0.2,2),"")</x:f>
        <x:v>0.55</x:v>
      </x:c>
      <x:c r="AF2229" s="36" t="n">
        <x:f>IF(ISNUMBER(AD2229),ROUND(AD2229-AE2229-V2229,2),"")</x:f>
        <x:v>2.85</x:v>
      </x:c>
      <x:c r="AG2229" t="str">
        <x:f>IF(NOT(ISNUMBER(T2229)),"PENDING",IF(AF2229&gt;0,"PASS","FAIL"))</x:f>
        <x:v>PASS</x:v>
      </x:c>
      <x:c r="AH2229" t="str">
        <x:f>IF(NOT(ISNUMBER(T2229)),"Needs supplier cost",IF(K2229&lt;&gt;"In stock","Supplier unavailable",IF(AG2229&lt;&gt;"PASS","BLOCK - GT loss risk","Commercially protected")))</x:f>
        <x:v>Commercially protected</x:v>
      </x:c>
      <x:c r="AI2229" t="str">
        <x:v>2026-09-10 Active Sports trade capture</x:v>
      </x:c>
      <x:c r="AJ2229" t="str">
        <x:v>Management-only economics. Stripe stress test uses 1.5% + £0.20 standard UK online-card fee; pallet/mix-and-match pricing ignored.</x:v>
      </x:c>
    </x:row>
    <x:row r="2230">
      <x:c r="A2230" t="str">
        <x:v>Active Sports Nutrition</x:v>
      </x:c>
      <x:c r="B2230" t="str">
        <x:v>Supplement Needs</x:v>
      </x:c>
      <x:c r="C2230" t="str">
        <x:v>Ashwagandha KSM-66</x:v>
      </x:c>
      <x:c r="D2230" t="str">
        <x:v>Supplements</x:v>
      </x:c>
      <x:c r="E2230" t="str">
        <x:v>Health Foods</x:v>
      </x:c>
      <x:c r="F2230" t="str"/>
      <x:c r="G2230" t="str">
        <x:v>60 caps</x:v>
      </x:c>
      <x:c r="H2230" t="str">
        <x:v>Default</x:v>
      </x:c>
      <x:c r="I2230" t="str"/>
      <x:c r="J2230" t="str">
        <x:v>Unit</x:v>
      </x:c>
      <x:c r="K2230" t="str">
        <x:v>In stock</x:v>
      </x:c>
      <x:c r="L2230" t="str">
        <x:v>2026-09-08</x:v>
      </x:c>
      <x:c r="M2230" t="str"/>
      <x:c r="N2230" t="str"/>
      <x:c r="O2230" t="str">
        <x:v>https://www.activesportstrade.co.uk/supplement-needs-trade</x:v>
      </x:c>
      <x:c r="P2230" t="str"/>
      <x:c r="Q2230" t="str"/>
      <x:c r="R2230" t="str"/>
      <x:c r="S2230" t="str">
        <x:v>Pending genuine supplier/brand image</x:v>
      </x:c>
      <x:c r="T2230" s="54" t="n">
        <x:v>10</x:v>
      </x:c>
      <x:c r="U2230" s="47" t="n">
        <x:v>0.2</x:v>
      </x:c>
      <x:c r="V2230" s="54" t="n">
        <x:f>IF(ISNUMBER(T2230),T2230*(1+U2230),"")</x:f>
        <x:v>12</x:v>
      </x:c>
      <x:c r="W2230" s="47" t="n">
        <x:v>0.3</x:v>
      </x:c>
      <x:c r="X2230" s="54" t="n">
        <x:f>IF(ISNUMBER(V2230),V2230/(1-W2230),"")</x:f>
        <x:v>17.142857142857142</x:v>
      </x:c>
      <x:c r="Y2230" s="55" t="n">
        <x:f>IF(ISNUMBER(X2230),ROUNDUP(X2230,0),"")</x:f>
        <x:v>18</x:v>
      </x:c>
      <x:c r="Z2230" t="str">
        <x:v>Source match pending</x:v>
      </x:c>
      <x:c r="AA2230" t="str">
        <x:v>screencapture-www-activesportstrade-co-uk-supplement-needs-trade-2026-09-10-09_10_12.pdf / page-1</x:v>
      </x:c>
      <x:c r="AB2230" s="36" t="n">
        <x:f>IF(ISNUMBER(Y2230),ROUND(Y2230*0.9,2),"")</x:f>
        <x:v>16.2</x:v>
      </x:c>
      <x:c r="AC2230" s="36" t="n">
        <x:f>IF(ISNUMBER(AB2230),ROUND(AB2230-(AB2230*0.015+0.2)-V2230,2),"")</x:f>
        <x:v>3.76</x:v>
      </x:c>
      <x:c r="AD2230" s="36" t="n">
        <x:f>IF(ISNUMBER(Y2230),ROUND(Y2230*0.8,2),"")</x:f>
        <x:v>14.4</x:v>
      </x:c>
      <x:c r="AE2230" s="36" t="n">
        <x:f>IF(ISNUMBER(AD2230),ROUND(AD2230*0.015+0.2,2),"")</x:f>
        <x:v>0.42</x:v>
      </x:c>
      <x:c r="AF2230" s="36" t="n">
        <x:f>IF(ISNUMBER(AD2230),ROUND(AD2230-AE2230-V2230,2),"")</x:f>
        <x:v>1.98</x:v>
      </x:c>
      <x:c r="AG2230" t="str">
        <x:f>IF(NOT(ISNUMBER(T2230)),"PENDING",IF(AF2230&gt;0,"PASS","FAIL"))</x:f>
        <x:v>PASS</x:v>
      </x:c>
      <x:c r="AH2230" t="str">
        <x:f>IF(NOT(ISNUMBER(T2230)),"Needs supplier cost",IF(K2230&lt;&gt;"In stock","Supplier unavailable",IF(AG2230&lt;&gt;"PASS","BLOCK - GT loss risk","Commercially protected")))</x:f>
        <x:v>Commercially protected</x:v>
      </x:c>
      <x:c r="AI2230" t="str">
        <x:v>2026-09-10 Active Sports trade capture</x:v>
      </x:c>
      <x:c r="AJ2230" t="str">
        <x:v>Management-only economics. Stripe stress test uses 1.5% + £0.20 standard UK online-card fee; pallet/mix-and-match pricing ignored.</x:v>
      </x:c>
    </x:row>
    <x:row r="2231">
      <x:c r="A2231" t="str">
        <x:v>Active Sports Nutrition</x:v>
      </x:c>
      <x:c r="B2231" t="str">
        <x:v>Supplement Needs</x:v>
      </x:c>
      <x:c r="C2231" t="str">
        <x:v>Beauty Essence</x:v>
      </x:c>
      <x:c r="D2231" t="str">
        <x:v>Supplements</x:v>
      </x:c>
      <x:c r="E2231" t="str">
        <x:v>Health Foods</x:v>
      </x:c>
      <x:c r="F2231" t="str"/>
      <x:c r="G2231" t="str">
        <x:v>150ml</x:v>
      </x:c>
      <x:c r="H2231" t="str">
        <x:v>Strawberry &amp; Lemon</x:v>
      </x:c>
      <x:c r="I2231" t="str"/>
      <x:c r="J2231" t="str">
        <x:v>Unit</x:v>
      </x:c>
      <x:c r="K2231" t="str">
        <x:v>In stock</x:v>
      </x:c>
      <x:c r="L2231" t="str">
        <x:v>2026-09-08</x:v>
      </x:c>
      <x:c r="M2231" t="str"/>
      <x:c r="N2231" t="str"/>
      <x:c r="O2231" t="str">
        <x:v>https://www.activesportstrade.co.uk/supplement-needs-trade</x:v>
      </x:c>
      <x:c r="P2231" t="str"/>
      <x:c r="Q2231" t="str"/>
      <x:c r="R2231" t="str"/>
      <x:c r="S2231" t="str">
        <x:v>Pending genuine supplier/brand image</x:v>
      </x:c>
      <x:c r="T2231" s="54" t="n">
        <x:v>22</x:v>
      </x:c>
      <x:c r="U2231" s="47" t="n">
        <x:v>0.2</x:v>
      </x:c>
      <x:c r="V2231" s="54" t="n">
        <x:f>IF(ISNUMBER(T2231),T2231*(1+U2231),"")</x:f>
        <x:v>26.4</x:v>
      </x:c>
      <x:c r="W2231" s="47" t="n">
        <x:v>0.3</x:v>
      </x:c>
      <x:c r="X2231" s="54" t="n">
        <x:f>IF(ISNUMBER(V2231),V2231/(1-W2231),"")</x:f>
        <x:v>37.714285714285715</x:v>
      </x:c>
      <x:c r="Y2231" s="55" t="n">
        <x:f>IF(ISNUMBER(X2231),ROUNDUP(X2231,0),"")</x:f>
        <x:v>38</x:v>
      </x:c>
      <x:c r="Z2231" t="str">
        <x:v>Source match pending</x:v>
      </x:c>
      <x:c r="AA2231" t="str">
        <x:v>screencapture-www-activesportstrade-co-uk-supplement-needs-trade-2026-09-10-09_10_12.pdf / page-1</x:v>
      </x:c>
      <x:c r="AB2231" s="36" t="n">
        <x:f>IF(ISNUMBER(Y2231),ROUND(Y2231*0.9,2),"")</x:f>
        <x:v>34.2</x:v>
      </x:c>
      <x:c r="AC2231" s="36" t="n">
        <x:f>IF(ISNUMBER(AB2231),ROUND(AB2231-(AB2231*0.015+0.2)-V2231,2),"")</x:f>
        <x:v>7.09</x:v>
      </x:c>
      <x:c r="AD2231" s="36" t="n">
        <x:f>IF(ISNUMBER(Y2231),ROUND(Y2231*0.8,2),"")</x:f>
        <x:v>30.4</x:v>
      </x:c>
      <x:c r="AE2231" s="36" t="n">
        <x:f>IF(ISNUMBER(AD2231),ROUND(AD2231*0.015+0.2,2),"")</x:f>
        <x:v>0.66</x:v>
      </x:c>
      <x:c r="AF2231" s="36" t="n">
        <x:f>IF(ISNUMBER(AD2231),ROUND(AD2231-AE2231-V2231,2),"")</x:f>
        <x:v>3.34</x:v>
      </x:c>
      <x:c r="AG2231" t="str">
        <x:f>IF(NOT(ISNUMBER(T2231)),"PENDING",IF(AF2231&gt;0,"PASS","FAIL"))</x:f>
        <x:v>PASS</x:v>
      </x:c>
      <x:c r="AH2231" t="str">
        <x:f>IF(NOT(ISNUMBER(T2231)),"Needs supplier cost",IF(K2231&lt;&gt;"In stock","Supplier unavailable",IF(AG2231&lt;&gt;"PASS","BLOCK - GT loss risk","Commercially protected")))</x:f>
        <x:v>Commercially protected</x:v>
      </x:c>
      <x:c r="AI2231" t="str">
        <x:v>2026-09-10 Active Sports trade capture</x:v>
      </x:c>
      <x:c r="AJ2231" t="str">
        <x:v>Management-only economics. Stripe stress test uses 1.5% + £0.20 standard UK online-card fee; pallet/mix-and-match pricing ignored.</x:v>
      </x:c>
    </x:row>
    <x:row r="2232">
      <x:c r="A2232" t="str">
        <x:v>Active Sports Nutrition</x:v>
      </x:c>
      <x:c r="B2232" t="str">
        <x:v>Supplement Needs</x:v>
      </x:c>
      <x:c r="C2232" t="str">
        <x:v>Berberine HCL</x:v>
      </x:c>
      <x:c r="D2232" t="str">
        <x:v>Supplements</x:v>
      </x:c>
      <x:c r="E2232" t="str">
        <x:v>Health Foods</x:v>
      </x:c>
      <x:c r="F2232" t="str"/>
      <x:c r="G2232" t="str">
        <x:v>60 caps</x:v>
      </x:c>
      <x:c r="H2232" t="str">
        <x:v>Default</x:v>
      </x:c>
      <x:c r="I2232" t="str"/>
      <x:c r="J2232" t="str">
        <x:v>Unit</x:v>
      </x:c>
      <x:c r="K2232" t="str">
        <x:v>In stock</x:v>
      </x:c>
      <x:c r="L2232" t="str">
        <x:v>2026-09-08</x:v>
      </x:c>
      <x:c r="M2232" t="str"/>
      <x:c r="N2232" t="str"/>
      <x:c r="O2232" t="str">
        <x:v>https://www.activesportstrade.co.uk/supplement-needs-trade</x:v>
      </x:c>
      <x:c r="P2232" t="str"/>
      <x:c r="Q2232" t="str"/>
      <x:c r="R2232" t="str"/>
      <x:c r="S2232" t="str">
        <x:v>Pending genuine supplier/brand image</x:v>
      </x:c>
      <x:c r="T2232" s="54" t="n">
        <x:v>11</x:v>
      </x:c>
      <x:c r="U2232" s="47" t="n">
        <x:v>0.2</x:v>
      </x:c>
      <x:c r="V2232" s="54" t="n">
        <x:f>IF(ISNUMBER(T2232),T2232*(1+U2232),"")</x:f>
        <x:v>13.2</x:v>
      </x:c>
      <x:c r="W2232" s="47" t="n">
        <x:v>0.3</x:v>
      </x:c>
      <x:c r="X2232" s="54" t="n">
        <x:f>IF(ISNUMBER(V2232),V2232/(1-W2232),"")</x:f>
        <x:v>18.857142857142858</x:v>
      </x:c>
      <x:c r="Y2232" s="55" t="n">
        <x:f>IF(ISNUMBER(X2232),ROUNDUP(X2232,0),"")</x:f>
        <x:v>19</x:v>
      </x:c>
      <x:c r="Z2232" t="str">
        <x:v>Source match pending</x:v>
      </x:c>
      <x:c r="AA2232" t="str">
        <x:v>screencapture-www-activesportstrade-co-uk-supplement-needs-trade-2026-09-10-09_10_12.pdf / page-1</x:v>
      </x:c>
      <x:c r="AB2232" s="36" t="n">
        <x:f>IF(ISNUMBER(Y2232),ROUND(Y2232*0.9,2),"")</x:f>
        <x:v>17.1</x:v>
      </x:c>
      <x:c r="AC2232" s="36" t="n">
        <x:f>IF(ISNUMBER(AB2232),ROUND(AB2232-(AB2232*0.015+0.2)-V2232,2),"")</x:f>
        <x:v>3.44</x:v>
      </x:c>
      <x:c r="AD2232" s="36" t="n">
        <x:f>IF(ISNUMBER(Y2232),ROUND(Y2232*0.8,2),"")</x:f>
        <x:v>15.2</x:v>
      </x:c>
      <x:c r="AE2232" s="36" t="n">
        <x:f>IF(ISNUMBER(AD2232),ROUND(AD2232*0.015+0.2,2),"")</x:f>
        <x:v>0.43</x:v>
      </x:c>
      <x:c r="AF2232" s="36" t="n">
        <x:f>IF(ISNUMBER(AD2232),ROUND(AD2232-AE2232-V2232,2),"")</x:f>
        <x:v>1.57</x:v>
      </x:c>
      <x:c r="AG2232" t="str">
        <x:f>IF(NOT(ISNUMBER(T2232)),"PENDING",IF(AF2232&gt;0,"PASS","FAIL"))</x:f>
        <x:v>PASS</x:v>
      </x:c>
      <x:c r="AH2232" t="str">
        <x:f>IF(NOT(ISNUMBER(T2232)),"Needs supplier cost",IF(K2232&lt;&gt;"In stock","Supplier unavailable",IF(AG2232&lt;&gt;"PASS","BLOCK - GT loss risk","Commercially protected")))</x:f>
        <x:v>Commercially protected</x:v>
      </x:c>
      <x:c r="AI2232" t="str">
        <x:v>2026-09-10 Active Sports trade capture</x:v>
      </x:c>
      <x:c r="AJ2232" t="str">
        <x:v>Management-only economics. Stripe stress test uses 1.5% + £0.20 standard UK online-card fee; pallet/mix-and-match pricing ignored.</x:v>
      </x:c>
    </x:row>
    <x:row r="2233">
      <x:c r="A2233" t="str">
        <x:v>Active Sports Nutrition</x:v>
      </x:c>
      <x:c r="B2233" t="str">
        <x:v>Supplement Needs</x:v>
      </x:c>
      <x:c r="C2233" t="str">
        <x:v>Curcumin with Black Pepper Extract</x:v>
      </x:c>
      <x:c r="D2233" t="str">
        <x:v>Supplements</x:v>
      </x:c>
      <x:c r="E2233" t="str">
        <x:v>Health Foods</x:v>
      </x:c>
      <x:c r="F2233" t="str"/>
      <x:c r="G2233" t="str">
        <x:v>120 caps</x:v>
      </x:c>
      <x:c r="H2233" t="str">
        <x:v>Default</x:v>
      </x:c>
      <x:c r="I2233" t="str"/>
      <x:c r="J2233" t="str">
        <x:v>Unit</x:v>
      </x:c>
      <x:c r="K2233" t="str">
        <x:v>In stock</x:v>
      </x:c>
      <x:c r="L2233" t="str">
        <x:v>2026-09-08</x:v>
      </x:c>
      <x:c r="M2233" t="str"/>
      <x:c r="N2233" t="str"/>
      <x:c r="O2233" t="str">
        <x:v>https://www.activesportstrade.co.uk/supplement-needs-trade</x:v>
      </x:c>
      <x:c r="P2233" t="str"/>
      <x:c r="Q2233" t="str"/>
      <x:c r="R2233" t="str"/>
      <x:c r="S2233" t="str">
        <x:v>Pending genuine supplier/brand image</x:v>
      </x:c>
      <x:c r="T2233" s="54"/>
      <x:c r="U2233" s="47" t="n">
        <x:v>0.2</x:v>
      </x:c>
      <x:c r="V2233" s="54" t="str">
        <x:f>IF(ISNUMBER(T2233),T2233*(1+U2233),"")</x:f>
      </x:c>
      <x:c r="W2233" s="47" t="n">
        <x:v>0.3</x:v>
      </x:c>
      <x:c r="X2233" s="54" t="str">
        <x:f>IF(ISNUMBER(V2233),V2233/(1-W2233),"")</x:f>
      </x:c>
      <x:c r="Y2233" s="55" t="str">
        <x:f>IF(ISNUMBER(X2233),ROUNDUP(X2233,0),"")</x:f>
      </x:c>
      <x:c r="Z2233" t="str">
        <x:f>IF(ISNUMBER(T2233),"Cost captured","Awaiting trade cost")</x:f>
        <x:v>Awaiting trade cost</x:v>
      </x:c>
      <x:c r="AB2233" s="36" t="str">
        <x:f>IF(ISNUMBER(Y2233),ROUND(Y2233*0.9,2),"")</x:f>
      </x:c>
      <x:c r="AC2233" s="36" t="str">
        <x:f>IF(ISNUMBER(AB2233),ROUND(AB2233-(AB2233*0.015+0.2)-V2233,2),"")</x:f>
      </x:c>
      <x:c r="AD2233" s="36" t="str">
        <x:f>IF(ISNUMBER(Y2233),ROUND(Y2233*0.8,2),"")</x:f>
      </x:c>
      <x:c r="AE2233" s="36" t="str">
        <x:f>IF(ISNUMBER(AD2233),ROUND(AD2233*0.015+0.2,2),"")</x:f>
      </x:c>
      <x:c r="AF2233" s="36" t="str">
        <x:f>IF(ISNUMBER(AD2233),ROUND(AD2233-AE2233-V2233,2),"")</x:f>
      </x:c>
      <x:c r="AG2233" t="str">
        <x:f>IF(NOT(ISNUMBER(T2233)),"PENDING",IF(AF2233&gt;0,"PASS","FAIL"))</x:f>
        <x:v>PENDING</x:v>
      </x:c>
      <x:c r="AH2233" t="str">
        <x:f>IF(NOT(ISNUMBER(T2233)),"Needs supplier cost",IF(K2233&lt;&gt;"In stock","Supplier unavailable",IF(AG2233&lt;&gt;"PASS","BLOCK - GT loss risk","Commercially protected")))</x:f>
        <x:v>Needs supplier cost</x:v>
      </x:c>
      <x:c r="AI2233" t="str">
        <x:v>2026-09-10 Active Sports trade capture</x:v>
      </x:c>
      <x:c r="AJ2233" t="str">
        <x:v>Management-only economics. Stripe stress test uses 1.5% + £0.20 standard UK online-card fee; pallet/mix-and-match pricing ignored.</x:v>
      </x:c>
    </x:row>
    <x:row r="2234">
      <x:c r="A2234" t="str">
        <x:v>Active Sports Nutrition</x:v>
      </x:c>
      <x:c r="B2234" t="str">
        <x:v>Supplement Needs</x:v>
      </x:c>
      <x:c r="C2234" t="str">
        <x:v>Curcumin with Black Pepper Extract</x:v>
      </x:c>
      <x:c r="D2234" t="str">
        <x:v>Supplements</x:v>
      </x:c>
      <x:c r="E2234" t="str">
        <x:v>Health Foods</x:v>
      </x:c>
      <x:c r="F2234" t="str"/>
      <x:c r="G2234" t="str">
        <x:v>240 caps</x:v>
      </x:c>
      <x:c r="H2234" t="str">
        <x:v>Default</x:v>
      </x:c>
      <x:c r="I2234" t="str"/>
      <x:c r="J2234" t="str">
        <x:v>Unit</x:v>
      </x:c>
      <x:c r="K2234" t="str">
        <x:v>Out of stock</x:v>
      </x:c>
      <x:c r="L2234" t="str">
        <x:v>2026-09-08</x:v>
      </x:c>
      <x:c r="M2234" t="str"/>
      <x:c r="N2234" t="str"/>
      <x:c r="O2234" t="str">
        <x:v>https://www.activesportstrade.co.uk/supplement-needs-trade</x:v>
      </x:c>
      <x:c r="P2234" t="str"/>
      <x:c r="Q2234" t="str"/>
      <x:c r="R2234" t="str"/>
      <x:c r="S2234" t="str">
        <x:v>Pending genuine supplier/brand image</x:v>
      </x:c>
      <x:c r="T2234" s="54" t="n">
        <x:v>22</x:v>
      </x:c>
      <x:c r="U2234" s="47" t="n">
        <x:v>0.2</x:v>
      </x:c>
      <x:c r="V2234" s="54" t="n">
        <x:f>IF(ISNUMBER(T2234),T2234*(1+U2234),"")</x:f>
        <x:v>26.4</x:v>
      </x:c>
      <x:c r="W2234" s="47" t="n">
        <x:v>0.3</x:v>
      </x:c>
      <x:c r="X2234" s="54" t="n">
        <x:f>IF(ISNUMBER(V2234),V2234/(1-W2234),"")</x:f>
        <x:v>37.714285714285715</x:v>
      </x:c>
      <x:c r="Y2234" s="55" t="n">
        <x:f>IF(ISNUMBER(X2234),ROUNDUP(X2234,0),"")</x:f>
        <x:v>38</x:v>
      </x:c>
      <x:c r="Z2234" t="str">
        <x:v>Source match pending</x:v>
      </x:c>
      <x:c r="AA2234" t="str">
        <x:v>screencapture-www-activesportstrade-co-uk-supplement-needs-trade-2026-09-10-09_10_12.pdf / page-2</x:v>
      </x:c>
      <x:c r="AB2234" s="36" t="n">
        <x:f>IF(ISNUMBER(Y2234),ROUND(Y2234*0.9,2),"")</x:f>
        <x:v>34.2</x:v>
      </x:c>
      <x:c r="AC2234" s="36" t="n">
        <x:f>IF(ISNUMBER(AB2234),ROUND(AB2234-(AB2234*0.015+0.2)-V2234,2),"")</x:f>
        <x:v>7.09</x:v>
      </x:c>
      <x:c r="AD2234" s="36" t="n">
        <x:f>IF(ISNUMBER(Y2234),ROUND(Y2234*0.8,2),"")</x:f>
        <x:v>30.4</x:v>
      </x:c>
      <x:c r="AE2234" s="36" t="n">
        <x:f>IF(ISNUMBER(AD2234),ROUND(AD2234*0.015+0.2,2),"")</x:f>
        <x:v>0.66</x:v>
      </x:c>
      <x:c r="AF2234" s="36" t="n">
        <x:f>IF(ISNUMBER(AD2234),ROUND(AD2234-AE2234-V2234,2),"")</x:f>
        <x:v>3.34</x:v>
      </x:c>
      <x:c r="AG2234" t="str">
        <x:f>IF(NOT(ISNUMBER(T2234)),"PENDING",IF(AF2234&gt;0,"PASS","FAIL"))</x:f>
        <x:v>PASS</x:v>
      </x:c>
      <x:c r="AH2234" t="str">
        <x:f>IF(NOT(ISNUMBER(T2234)),"Needs supplier cost",IF(K2234&lt;&gt;"In stock","Supplier unavailable",IF(AG2234&lt;&gt;"PASS","BLOCK - GT loss risk","Commercially protected")))</x:f>
        <x:v>Supplier unavailable</x:v>
      </x:c>
      <x:c r="AI2234" t="str">
        <x:v>2026-09-10 Active Sports trade capture</x:v>
      </x:c>
      <x:c r="AJ2234" t="str">
        <x:v>Management-only economics. Stripe stress test uses 1.5% + £0.20 standard UK online-card fee; pallet/mix-and-match pricing ignored.</x:v>
      </x:c>
    </x:row>
    <x:row r="2235">
      <x:c r="A2235" t="str">
        <x:v>Active Sports Nutrition</x:v>
      </x:c>
      <x:c r="B2235" t="str">
        <x:v>Supplement Needs</x:v>
      </x:c>
      <x:c r="C2235" t="str">
        <x:v>Digestive Stack</x:v>
      </x:c>
      <x:c r="D2235" t="str">
        <x:v>Supplements</x:v>
      </x:c>
      <x:c r="E2235" t="str">
        <x:v>Digestive Health</x:v>
      </x:c>
      <x:c r="F2235" t="str"/>
      <x:c r="G2235" t="str">
        <x:v>120 caps</x:v>
      </x:c>
      <x:c r="H2235" t="str">
        <x:v>Default</x:v>
      </x:c>
      <x:c r="I2235" t="str"/>
      <x:c r="J2235" t="str">
        <x:v>Unit</x:v>
      </x:c>
      <x:c r="K2235" t="str">
        <x:v>In stock</x:v>
      </x:c>
      <x:c r="L2235" t="str">
        <x:v>2026-09-08</x:v>
      </x:c>
      <x:c r="M2235" t="str"/>
      <x:c r="N2235" t="str"/>
      <x:c r="O2235" t="str">
        <x:v>https://www.activesportstrade.co.uk/supplement-needs-trade</x:v>
      </x:c>
      <x:c r="P2235" t="str"/>
      <x:c r="Q2235" t="str"/>
      <x:c r="R2235" t="str"/>
      <x:c r="S2235" t="str">
        <x:v>Pending genuine supplier/brand image</x:v>
      </x:c>
      <x:c r="T2235" s="54" t="n">
        <x:v>20.5</x:v>
      </x:c>
      <x:c r="U2235" s="47" t="n">
        <x:v>0.2</x:v>
      </x:c>
      <x:c r="V2235" s="54" t="n">
        <x:f>IF(ISNUMBER(T2235),T2235*(1+U2235),"")</x:f>
        <x:v>24.599999999999998</x:v>
      </x:c>
      <x:c r="W2235" s="47" t="n">
        <x:v>0.3</x:v>
      </x:c>
      <x:c r="X2235" s="54" t="n">
        <x:f>IF(ISNUMBER(V2235),V2235/(1-W2235),"")</x:f>
        <x:v>35.14285714285714</x:v>
      </x:c>
      <x:c r="Y2235" s="55" t="n">
        <x:f>IF(ISNUMBER(X2235),ROUNDUP(X2235,0),"")</x:f>
        <x:v>36</x:v>
      </x:c>
      <x:c r="Z2235" t="str">
        <x:v>Source match pending</x:v>
      </x:c>
      <x:c r="AA2235" t="str">
        <x:v>screencapture-www-activesportstrade-co-uk-supplement-needs-trade-2026-09-10-09_10_12.pdf / page-2</x:v>
      </x:c>
      <x:c r="AB2235" s="36" t="n">
        <x:f>IF(ISNUMBER(Y2235),ROUND(Y2235*0.9,2),"")</x:f>
        <x:v>32.4</x:v>
      </x:c>
      <x:c r="AC2235" s="36" t="n">
        <x:f>IF(ISNUMBER(AB2235),ROUND(AB2235-(AB2235*0.015+0.2)-V2235,2),"")</x:f>
        <x:v>7.11</x:v>
      </x:c>
      <x:c r="AD2235" s="36" t="n">
        <x:f>IF(ISNUMBER(Y2235),ROUND(Y2235*0.8,2),"")</x:f>
        <x:v>28.8</x:v>
      </x:c>
      <x:c r="AE2235" s="36" t="n">
        <x:f>IF(ISNUMBER(AD2235),ROUND(AD2235*0.015+0.2,2),"")</x:f>
        <x:v>0.63</x:v>
      </x:c>
      <x:c r="AF2235" s="36" t="n">
        <x:f>IF(ISNUMBER(AD2235),ROUND(AD2235-AE2235-V2235,2),"")</x:f>
        <x:v>3.57</x:v>
      </x:c>
      <x:c r="AG2235" t="str">
        <x:f>IF(NOT(ISNUMBER(T2235)),"PENDING",IF(AF2235&gt;0,"PASS","FAIL"))</x:f>
        <x:v>PASS</x:v>
      </x:c>
      <x:c r="AH2235" t="str">
        <x:f>IF(NOT(ISNUMBER(T2235)),"Needs supplier cost",IF(K2235&lt;&gt;"In stock","Supplier unavailable",IF(AG2235&lt;&gt;"PASS","BLOCK - GT loss risk","Commercially protected")))</x:f>
        <x:v>Commercially protected</x:v>
      </x:c>
      <x:c r="AI2235" t="str">
        <x:v>2026-09-10 Active Sports trade capture</x:v>
      </x:c>
      <x:c r="AJ2235" t="str">
        <x:v>Management-only economics. Stripe stress test uses 1.5% + £0.20 standard UK online-card fee; pallet/mix-and-match pricing ignored.</x:v>
      </x:c>
    </x:row>
    <x:row r="2236">
      <x:c r="A2236" t="str">
        <x:v>Active Sports Nutrition</x:v>
      </x:c>
      <x:c r="B2236" t="str">
        <x:v>Supplement Needs</x:v>
      </x:c>
      <x:c r="C2236" t="str">
        <x:v>Fertility+</x:v>
      </x:c>
      <x:c r="D2236" t="str">
        <x:v>Supplements</x:v>
      </x:c>
      <x:c r="E2236" t="str">
        <x:v>Health Foods</x:v>
      </x:c>
      <x:c r="F2236" t="str"/>
      <x:c r="G2236" t="str">
        <x:v>90 caps</x:v>
      </x:c>
      <x:c r="H2236" t="str">
        <x:v>Default</x:v>
      </x:c>
      <x:c r="I2236" t="str"/>
      <x:c r="J2236" t="str">
        <x:v>Unit</x:v>
      </x:c>
      <x:c r="K2236" t="str">
        <x:v>In stock</x:v>
      </x:c>
      <x:c r="L2236" t="str">
        <x:v>2026-09-08</x:v>
      </x:c>
      <x:c r="M2236" t="str"/>
      <x:c r="N2236" t="str"/>
      <x:c r="O2236" t="str">
        <x:v>https://www.activesportstrade.co.uk/supplement-needs-trade</x:v>
      </x:c>
      <x:c r="P2236" t="str"/>
      <x:c r="Q2236" t="str"/>
      <x:c r="R2236" t="str"/>
      <x:c r="S2236" t="str">
        <x:v>Pending genuine supplier/brand image</x:v>
      </x:c>
      <x:c r="T2236" s="54" t="n">
        <x:v>23.5</x:v>
      </x:c>
      <x:c r="U2236" s="47" t="n">
        <x:v>0.2</x:v>
      </x:c>
      <x:c r="V2236" s="54" t="n">
        <x:f>IF(ISNUMBER(T2236),T2236*(1+U2236),"")</x:f>
        <x:v>28.2</x:v>
      </x:c>
      <x:c r="W2236" s="47" t="n">
        <x:v>0.3</x:v>
      </x:c>
      <x:c r="X2236" s="54" t="n">
        <x:f>IF(ISNUMBER(V2236),V2236/(1-W2236),"")</x:f>
        <x:v>40.285714285714285</x:v>
      </x:c>
      <x:c r="Y2236" s="55" t="n">
        <x:f>IF(ISNUMBER(X2236),ROUNDUP(X2236,0),"")</x:f>
        <x:v>41</x:v>
      </x:c>
      <x:c r="Z2236" t="str">
        <x:v>Source match pending</x:v>
      </x:c>
      <x:c r="AA2236" t="str">
        <x:v>screencapture-www-activesportstrade-co-uk-supplement-needs-trade-2026-09-10-09_10_12.pdf / page-2</x:v>
      </x:c>
      <x:c r="AB2236" s="36" t="n">
        <x:f>IF(ISNUMBER(Y2236),ROUND(Y2236*0.9,2),"")</x:f>
        <x:v>36.9</x:v>
      </x:c>
      <x:c r="AC2236" s="36" t="n">
        <x:f>IF(ISNUMBER(AB2236),ROUND(AB2236-(AB2236*0.015+0.2)-V2236,2),"")</x:f>
        <x:v>7.95</x:v>
      </x:c>
      <x:c r="AD2236" s="36" t="n">
        <x:f>IF(ISNUMBER(Y2236),ROUND(Y2236*0.8,2),"")</x:f>
        <x:v>32.8</x:v>
      </x:c>
      <x:c r="AE2236" s="36" t="n">
        <x:f>IF(ISNUMBER(AD2236),ROUND(AD2236*0.015+0.2,2),"")</x:f>
        <x:v>0.69</x:v>
      </x:c>
      <x:c r="AF2236" s="36" t="n">
        <x:f>IF(ISNUMBER(AD2236),ROUND(AD2236-AE2236-V2236,2),"")</x:f>
        <x:v>3.91</x:v>
      </x:c>
      <x:c r="AG2236" t="str">
        <x:f>IF(NOT(ISNUMBER(T2236)),"PENDING",IF(AF2236&gt;0,"PASS","FAIL"))</x:f>
        <x:v>PASS</x:v>
      </x:c>
      <x:c r="AH2236" t="str">
        <x:f>IF(NOT(ISNUMBER(T2236)),"Needs supplier cost",IF(K2236&lt;&gt;"In stock","Supplier unavailable",IF(AG2236&lt;&gt;"PASS","BLOCK - GT loss risk","Commercially protected")))</x:f>
        <x:v>Commercially protected</x:v>
      </x:c>
      <x:c r="AI2236" t="str">
        <x:v>2026-09-10 Active Sports trade capture</x:v>
      </x:c>
      <x:c r="AJ2236" t="str">
        <x:v>Management-only economics. Stripe stress test uses 1.5% + £0.20 standard UK online-card fee; pallet/mix-and-match pricing ignored.</x:v>
      </x:c>
    </x:row>
    <x:row r="2237">
      <x:c r="A2237" t="str">
        <x:v>Active Sports Nutrition</x:v>
      </x:c>
      <x:c r="B2237" t="str">
        <x:v>Supplement Needs</x:v>
      </x:c>
      <x:c r="C2237" t="str">
        <x:v>Focus +</x:v>
      </x:c>
      <x:c r="D2237" t="str">
        <x:v>Supplements</x:v>
      </x:c>
      <x:c r="E2237" t="str">
        <x:v>Nootropics</x:v>
      </x:c>
      <x:c r="F2237" t="str"/>
      <x:c r="G2237" t="str">
        <x:v>30 servings</x:v>
      </x:c>
      <x:c r="H2237" t="str">
        <x:v>Cola Lime Twist</x:v>
      </x:c>
      <x:c r="I2237" t="str"/>
      <x:c r="J2237" t="str">
        <x:v>Unit</x:v>
      </x:c>
      <x:c r="K2237" t="str">
        <x:v>In stock</x:v>
      </x:c>
      <x:c r="L2237" t="str">
        <x:v>2026-09-08</x:v>
      </x:c>
      <x:c r="M2237" t="str"/>
      <x:c r="N2237" t="str"/>
      <x:c r="O2237" t="str">
        <x:v>https://www.activesportstrade.co.uk/supplement-needs-trade</x:v>
      </x:c>
      <x:c r="P2237" t="str"/>
      <x:c r="Q2237" t="str"/>
      <x:c r="R2237" t="str"/>
      <x:c r="S2237" t="str">
        <x:v>Pending genuine supplier/brand image</x:v>
      </x:c>
      <x:c r="T2237" s="54" t="n">
        <x:v>20.5</x:v>
      </x:c>
      <x:c r="U2237" s="47" t="n">
        <x:v>0.2</x:v>
      </x:c>
      <x:c r="V2237" s="54" t="n">
        <x:f>IF(ISNUMBER(T2237),T2237*(1+U2237),"")</x:f>
        <x:v>24.599999999999998</x:v>
      </x:c>
      <x:c r="W2237" s="47" t="n">
        <x:v>0.3</x:v>
      </x:c>
      <x:c r="X2237" s="54" t="n">
        <x:f>IF(ISNUMBER(V2237),V2237/(1-W2237),"")</x:f>
        <x:v>35.14285714285714</x:v>
      </x:c>
      <x:c r="Y2237" s="55" t="n">
        <x:f>IF(ISNUMBER(X2237),ROUNDUP(X2237,0),"")</x:f>
        <x:v>36</x:v>
      </x:c>
      <x:c r="Z2237" t="str">
        <x:v>Source match pending</x:v>
      </x:c>
      <x:c r="AA2237" t="str">
        <x:v>screencapture-www-activesportstrade-co-uk-supplement-needs-trade-2026-09-10-09_10_12.pdf / page-2</x:v>
      </x:c>
      <x:c r="AB2237" s="36" t="n">
        <x:f>IF(ISNUMBER(Y2237),ROUND(Y2237*0.9,2),"")</x:f>
        <x:v>32.4</x:v>
      </x:c>
      <x:c r="AC2237" s="36" t="n">
        <x:f>IF(ISNUMBER(AB2237),ROUND(AB2237-(AB2237*0.015+0.2)-V2237,2),"")</x:f>
        <x:v>7.11</x:v>
      </x:c>
      <x:c r="AD2237" s="36" t="n">
        <x:f>IF(ISNUMBER(Y2237),ROUND(Y2237*0.8,2),"")</x:f>
        <x:v>28.8</x:v>
      </x:c>
      <x:c r="AE2237" s="36" t="n">
        <x:f>IF(ISNUMBER(AD2237),ROUND(AD2237*0.015+0.2,2),"")</x:f>
        <x:v>0.63</x:v>
      </x:c>
      <x:c r="AF2237" s="36" t="n">
        <x:f>IF(ISNUMBER(AD2237),ROUND(AD2237-AE2237-V2237,2),"")</x:f>
        <x:v>3.57</x:v>
      </x:c>
      <x:c r="AG2237" t="str">
        <x:f>IF(NOT(ISNUMBER(T2237)),"PENDING",IF(AF2237&gt;0,"PASS","FAIL"))</x:f>
        <x:v>PASS</x:v>
      </x:c>
      <x:c r="AH2237" t="str">
        <x:f>IF(NOT(ISNUMBER(T2237)),"Needs supplier cost",IF(K2237&lt;&gt;"In stock","Supplier unavailable",IF(AG2237&lt;&gt;"PASS","BLOCK - GT loss risk","Commercially protected")))</x:f>
        <x:v>Commercially protected</x:v>
      </x:c>
      <x:c r="AI2237" t="str">
        <x:v>2026-09-10 Active Sports trade capture</x:v>
      </x:c>
      <x:c r="AJ2237" t="str">
        <x:v>Management-only economics. Stripe stress test uses 1.5% + £0.20 standard UK online-card fee; pallet/mix-and-match pricing ignored.</x:v>
      </x:c>
    </x:row>
    <x:row r="2238">
      <x:c r="A2238" t="str">
        <x:v>Active Sports Nutrition</x:v>
      </x:c>
      <x:c r="B2238" t="str">
        <x:v>Supplement Needs</x:v>
      </x:c>
      <x:c r="C2238" t="str">
        <x:v>Focus +</x:v>
      </x:c>
      <x:c r="D2238" t="str">
        <x:v>Supplements</x:v>
      </x:c>
      <x:c r="E2238" t="str">
        <x:v>Nootropics</x:v>
      </x:c>
      <x:c r="F2238" t="str"/>
      <x:c r="G2238" t="str">
        <x:v>30 servings</x:v>
      </x:c>
      <x:c r="H2238" t="str">
        <x:v>Strawberry Surge</x:v>
      </x:c>
      <x:c r="I2238" t="str"/>
      <x:c r="J2238" t="str">
        <x:v>Unit</x:v>
      </x:c>
      <x:c r="K2238" t="str">
        <x:v>In stock</x:v>
      </x:c>
      <x:c r="L2238" t="str">
        <x:v>2026-09-08</x:v>
      </x:c>
      <x:c r="M2238" t="str"/>
      <x:c r="N2238" t="str"/>
      <x:c r="O2238" t="str">
        <x:v>https://www.activesportstrade.co.uk/supplement-needs-trade</x:v>
      </x:c>
      <x:c r="P2238" t="str"/>
      <x:c r="Q2238" t="str"/>
      <x:c r="R2238" t="str"/>
      <x:c r="S2238" t="str">
        <x:v>Pending genuine supplier/brand image</x:v>
      </x:c>
      <x:c r="T2238" s="54" t="n">
        <x:v>20.5</x:v>
      </x:c>
      <x:c r="U2238" s="47" t="n">
        <x:v>0.2</x:v>
      </x:c>
      <x:c r="V2238" s="54" t="n">
        <x:f>IF(ISNUMBER(T2238),T2238*(1+U2238),"")</x:f>
        <x:v>24.599999999999998</x:v>
      </x:c>
      <x:c r="W2238" s="47" t="n">
        <x:v>0.3</x:v>
      </x:c>
      <x:c r="X2238" s="54" t="n">
        <x:f>IF(ISNUMBER(V2238),V2238/(1-W2238),"")</x:f>
        <x:v>35.14285714285714</x:v>
      </x:c>
      <x:c r="Y2238" s="55" t="n">
        <x:f>IF(ISNUMBER(X2238),ROUNDUP(X2238,0),"")</x:f>
        <x:v>36</x:v>
      </x:c>
      <x:c r="Z2238" t="str">
        <x:v>Source match pending</x:v>
      </x:c>
      <x:c r="AA2238" t="str">
        <x:v>screencapture-www-activesportstrade-co-uk-supplement-needs-trade-2026-09-10-09_10_12.pdf / page-2</x:v>
      </x:c>
      <x:c r="AB2238" s="36" t="n">
        <x:f>IF(ISNUMBER(Y2238),ROUND(Y2238*0.9,2),"")</x:f>
        <x:v>32.4</x:v>
      </x:c>
      <x:c r="AC2238" s="36" t="n">
        <x:f>IF(ISNUMBER(AB2238),ROUND(AB2238-(AB2238*0.015+0.2)-V2238,2),"")</x:f>
        <x:v>7.11</x:v>
      </x:c>
      <x:c r="AD2238" s="36" t="n">
        <x:f>IF(ISNUMBER(Y2238),ROUND(Y2238*0.8,2),"")</x:f>
        <x:v>28.8</x:v>
      </x:c>
      <x:c r="AE2238" s="36" t="n">
        <x:f>IF(ISNUMBER(AD2238),ROUND(AD2238*0.015+0.2,2),"")</x:f>
        <x:v>0.63</x:v>
      </x:c>
      <x:c r="AF2238" s="36" t="n">
        <x:f>IF(ISNUMBER(AD2238),ROUND(AD2238-AE2238-V2238,2),"")</x:f>
        <x:v>3.57</x:v>
      </x:c>
      <x:c r="AG2238" t="str">
        <x:f>IF(NOT(ISNUMBER(T2238)),"PENDING",IF(AF2238&gt;0,"PASS","FAIL"))</x:f>
        <x:v>PASS</x:v>
      </x:c>
      <x:c r="AH2238" t="str">
        <x:f>IF(NOT(ISNUMBER(T2238)),"Needs supplier cost",IF(K2238&lt;&gt;"In stock","Supplier unavailable",IF(AG2238&lt;&gt;"PASS","BLOCK - GT loss risk","Commercially protected")))</x:f>
        <x:v>Commercially protected</x:v>
      </x:c>
      <x:c r="AI2238" t="str">
        <x:v>2026-09-10 Active Sports trade capture</x:v>
      </x:c>
      <x:c r="AJ2238" t="str">
        <x:v>Management-only economics. Stripe stress test uses 1.5% + £0.20 standard UK online-card fee; pallet/mix-and-match pricing ignored.</x:v>
      </x:c>
    </x:row>
    <x:row r="2239">
      <x:c r="A2239" t="str">
        <x:v>Active Sports Nutrition</x:v>
      </x:c>
      <x:c r="B2239" t="str">
        <x:v>Supplement Needs</x:v>
      </x:c>
      <x:c r="C2239" t="str">
        <x:v>Glucosamine &amp; Chondroitin</x:v>
      </x:c>
      <x:c r="D2239" t="str">
        <x:v>Supplements</x:v>
      </x:c>
      <x:c r="E2239" t="str">
        <x:v>Joint Support</x:v>
      </x:c>
      <x:c r="F2239" t="str"/>
      <x:c r="G2239" t="str">
        <x:v>90 caps</x:v>
      </x:c>
      <x:c r="H2239" t="str">
        <x:v>Default</x:v>
      </x:c>
      <x:c r="I2239" t="str"/>
      <x:c r="J2239" t="str">
        <x:v>Unit</x:v>
      </x:c>
      <x:c r="K2239" t="str">
        <x:v>In stock</x:v>
      </x:c>
      <x:c r="L2239" t="str">
        <x:v>2026-09-08</x:v>
      </x:c>
      <x:c r="M2239" t="str"/>
      <x:c r="N2239" t="str"/>
      <x:c r="O2239" t="str">
        <x:v>https://www.activesportstrade.co.uk/supplement-needs-trade</x:v>
      </x:c>
      <x:c r="P2239" t="str"/>
      <x:c r="Q2239" t="str"/>
      <x:c r="R2239" t="str"/>
      <x:c r="S2239" t="str">
        <x:v>Pending genuine supplier/brand image</x:v>
      </x:c>
      <x:c r="T2239" s="54" t="n">
        <x:v>8.5</x:v>
      </x:c>
      <x:c r="U2239" s="47" t="n">
        <x:v>0.2</x:v>
      </x:c>
      <x:c r="V2239" s="54" t="n">
        <x:f>IF(ISNUMBER(T2239),T2239*(1+U2239),"")</x:f>
        <x:v>10.2</x:v>
      </x:c>
      <x:c r="W2239" s="47" t="n">
        <x:v>0.3</x:v>
      </x:c>
      <x:c r="X2239" s="54" t="n">
        <x:f>IF(ISNUMBER(V2239),V2239/(1-W2239),"")</x:f>
        <x:v>14.571428571428571</x:v>
      </x:c>
      <x:c r="Y2239" s="55" t="n">
        <x:f>IF(ISNUMBER(X2239),ROUNDUP(X2239,0),"")</x:f>
        <x:v>15</x:v>
      </x:c>
      <x:c r="Z2239" t="str">
        <x:v>Source match pending</x:v>
      </x:c>
      <x:c r="AA2239" t="str">
        <x:v>screencapture-www-activesportstrade-co-uk-supplement-needs-trade-2026-09-10-09_10_12.pdf / page-2</x:v>
      </x:c>
      <x:c r="AB2239" s="36" t="n">
        <x:f>IF(ISNUMBER(Y2239),ROUND(Y2239*0.9,2),"")</x:f>
        <x:v>13.5</x:v>
      </x:c>
      <x:c r="AC2239" s="36" t="n">
        <x:f>IF(ISNUMBER(AB2239),ROUND(AB2239-(AB2239*0.015+0.2)-V2239,2),"")</x:f>
        <x:v>2.9</x:v>
      </x:c>
      <x:c r="AD2239" s="36" t="n">
        <x:f>IF(ISNUMBER(Y2239),ROUND(Y2239*0.8,2),"")</x:f>
        <x:v>12</x:v>
      </x:c>
      <x:c r="AE2239" s="36" t="n">
        <x:f>IF(ISNUMBER(AD2239),ROUND(AD2239*0.015+0.2,2),"")</x:f>
        <x:v>0.38</x:v>
      </x:c>
      <x:c r="AF2239" s="36" t="n">
        <x:f>IF(ISNUMBER(AD2239),ROUND(AD2239-AE2239-V2239,2),"")</x:f>
        <x:v>1.42</x:v>
      </x:c>
      <x:c r="AG2239" t="str">
        <x:f>IF(NOT(ISNUMBER(T2239)),"PENDING",IF(AF2239&gt;0,"PASS","FAIL"))</x:f>
        <x:v>PASS</x:v>
      </x:c>
      <x:c r="AH2239" t="str">
        <x:f>IF(NOT(ISNUMBER(T2239)),"Needs supplier cost",IF(K2239&lt;&gt;"In stock","Supplier unavailable",IF(AG2239&lt;&gt;"PASS","BLOCK - GT loss risk","Commercially protected")))</x:f>
        <x:v>Commercially protected</x:v>
      </x:c>
      <x:c r="AI2239" t="str">
        <x:v>2026-09-10 Active Sports trade capture</x:v>
      </x:c>
      <x:c r="AJ2239" t="str">
        <x:v>Management-only economics. Stripe stress test uses 1.5% + £0.20 standard UK online-card fee; pallet/mix-and-match pricing ignored.</x:v>
      </x:c>
    </x:row>
    <x:row r="2240">
      <x:c r="A2240" t="str">
        <x:v>Active Sports Nutrition</x:v>
      </x:c>
      <x:c r="B2240" t="str">
        <x:v>Supplement Needs</x:v>
      </x:c>
      <x:c r="C2240" t="str">
        <x:v>GlucOX</x:v>
      </x:c>
      <x:c r="D2240" t="str">
        <x:v>Supplements</x:v>
      </x:c>
      <x:c r="E2240" t="str">
        <x:v>Health Foods</x:v>
      </x:c>
      <x:c r="F2240" t="str"/>
      <x:c r="G2240" t="str">
        <x:v>180 caps</x:v>
      </x:c>
      <x:c r="H2240" t="str">
        <x:v>Default</x:v>
      </x:c>
      <x:c r="I2240" t="str"/>
      <x:c r="J2240" t="str">
        <x:v>Unit</x:v>
      </x:c>
      <x:c r="K2240" t="str">
        <x:v>In stock</x:v>
      </x:c>
      <x:c r="L2240" t="str">
        <x:v>2026-09-08</x:v>
      </x:c>
      <x:c r="M2240" t="str"/>
      <x:c r="N2240" t="str"/>
      <x:c r="O2240" t="str">
        <x:v>https://www.activesportstrade.co.uk/supplement-needs-trade</x:v>
      </x:c>
      <x:c r="P2240" t="str"/>
      <x:c r="Q2240" t="str"/>
      <x:c r="R2240" t="str"/>
      <x:c r="S2240" t="str">
        <x:v>Pending genuine supplier/brand image</x:v>
      </x:c>
      <x:c r="T2240" s="54" t="n">
        <x:v>24</x:v>
      </x:c>
      <x:c r="U2240" s="47" t="n">
        <x:v>0.2</x:v>
      </x:c>
      <x:c r="V2240" s="54" t="n">
        <x:f>IF(ISNUMBER(T2240),T2240*(1+U2240),"")</x:f>
        <x:v>28.799999999999997</x:v>
      </x:c>
      <x:c r="W2240" s="47" t="n">
        <x:v>0.3</x:v>
      </x:c>
      <x:c r="X2240" s="54" t="n">
        <x:f>IF(ISNUMBER(V2240),V2240/(1-W2240),"")</x:f>
        <x:v>41.14285714285714</x:v>
      </x:c>
      <x:c r="Y2240" s="55" t="n">
        <x:f>IF(ISNUMBER(X2240),ROUNDUP(X2240,0),"")</x:f>
        <x:v>42</x:v>
      </x:c>
      <x:c r="Z2240" t="str">
        <x:v>Source match pending</x:v>
      </x:c>
      <x:c r="AA2240" t="str">
        <x:v>screencapture-www-activesportstrade-co-uk-supplement-needs-trade-2026-09-10-09_10_12.pdf / page-2</x:v>
      </x:c>
      <x:c r="AB2240" s="36" t="n">
        <x:f>IF(ISNUMBER(Y2240),ROUND(Y2240*0.9,2),"")</x:f>
        <x:v>37.8</x:v>
      </x:c>
      <x:c r="AC2240" s="36" t="n">
        <x:f>IF(ISNUMBER(AB2240),ROUND(AB2240-(AB2240*0.015+0.2)-V2240,2),"")</x:f>
        <x:v>8.23</x:v>
      </x:c>
      <x:c r="AD2240" s="36" t="n">
        <x:f>IF(ISNUMBER(Y2240),ROUND(Y2240*0.8,2),"")</x:f>
        <x:v>33.6</x:v>
      </x:c>
      <x:c r="AE2240" s="36" t="n">
        <x:f>IF(ISNUMBER(AD2240),ROUND(AD2240*0.015+0.2,2),"")</x:f>
        <x:v>0.7</x:v>
      </x:c>
      <x:c r="AF2240" s="36" t="n">
        <x:f>IF(ISNUMBER(AD2240),ROUND(AD2240-AE2240-V2240,2),"")</x:f>
        <x:v>4.1</x:v>
      </x:c>
      <x:c r="AG2240" t="str">
        <x:f>IF(NOT(ISNUMBER(T2240)),"PENDING",IF(AF2240&gt;0,"PASS","FAIL"))</x:f>
        <x:v>PASS</x:v>
      </x:c>
      <x:c r="AH2240" t="str">
        <x:f>IF(NOT(ISNUMBER(T2240)),"Needs supplier cost",IF(K2240&lt;&gt;"In stock","Supplier unavailable",IF(AG2240&lt;&gt;"PASS","BLOCK - GT loss risk","Commercially protected")))</x:f>
        <x:v>Commercially protected</x:v>
      </x:c>
      <x:c r="AI2240" t="str">
        <x:v>2026-09-10 Active Sports trade capture</x:v>
      </x:c>
      <x:c r="AJ2240" t="str">
        <x:v>Management-only economics. Stripe stress test uses 1.5% + £0.20 standard UK online-card fee; pallet/mix-and-match pricing ignored.</x:v>
      </x:c>
    </x:row>
    <x:row r="2241">
      <x:c r="A2241" t="str">
        <x:v>Active Sports Nutrition</x:v>
      </x:c>
      <x:c r="B2241" t="str">
        <x:v>Supplement Needs</x:v>
      </x:c>
      <x:c r="C2241" t="str">
        <x:v>Greens</x:v>
      </x:c>
      <x:c r="D2241" t="str">
        <x:v>Supplements</x:v>
      </x:c>
      <x:c r="E2241" t="str">
        <x:v>Greens</x:v>
      </x:c>
      <x:c r="F2241" t="str"/>
      <x:c r="G2241" t="str">
        <x:v>330g</x:v>
      </x:c>
      <x:c r="H2241" t="str">
        <x:v>Cherry</x:v>
      </x:c>
      <x:c r="I2241" t="str"/>
      <x:c r="J2241" t="str">
        <x:v>Unit</x:v>
      </x:c>
      <x:c r="K2241" t="str">
        <x:v>In stock</x:v>
      </x:c>
      <x:c r="L2241" t="str">
        <x:v>2026-09-08</x:v>
      </x:c>
      <x:c r="M2241" t="str"/>
      <x:c r="N2241" t="str"/>
      <x:c r="O2241" t="str">
        <x:v>https://www.activesportstrade.co.uk/supplement-needs-trade</x:v>
      </x:c>
      <x:c r="P2241" t="str"/>
      <x:c r="Q2241" t="str"/>
      <x:c r="R2241" t="str"/>
      <x:c r="S2241" t="str">
        <x:v>Pending genuine supplier/brand image</x:v>
      </x:c>
      <x:c r="T2241" s="54" t="n">
        <x:v>20.59</x:v>
      </x:c>
      <x:c r="U2241" s="47" t="n">
        <x:v>0.2</x:v>
      </x:c>
      <x:c r="V2241" s="54" t="n">
        <x:f>IF(ISNUMBER(T2241),T2241*(1+U2241),"")</x:f>
        <x:v>24.708</x:v>
      </x:c>
      <x:c r="W2241" s="47" t="n">
        <x:v>0.3</x:v>
      </x:c>
      <x:c r="X2241" s="54" t="n">
        <x:f>IF(ISNUMBER(V2241),V2241/(1-W2241),"")</x:f>
        <x:v>35.29714285714286</x:v>
      </x:c>
      <x:c r="Y2241" s="55" t="n">
        <x:f>IF(ISNUMBER(X2241),ROUNDUP(X2241,0),"")</x:f>
        <x:v>36</x:v>
      </x:c>
      <x:c r="Z2241" t="str">
        <x:v>Source match pending</x:v>
      </x:c>
      <x:c r="AA2241" t="str">
        <x:v>screencapture-www-activesportstrade-co-uk-supplement-needs-trade-2026-09-10-09_10_12.pdf / page-2</x:v>
      </x:c>
      <x:c r="AB2241" s="36" t="n">
        <x:f>IF(ISNUMBER(Y2241),ROUND(Y2241*0.9,2),"")</x:f>
        <x:v>32.4</x:v>
      </x:c>
      <x:c r="AC2241" s="36" t="n">
        <x:f>IF(ISNUMBER(AB2241),ROUND(AB2241-(AB2241*0.015+0.2)-V2241,2),"")</x:f>
        <x:v>7.01</x:v>
      </x:c>
      <x:c r="AD2241" s="36" t="n">
        <x:f>IF(ISNUMBER(Y2241),ROUND(Y2241*0.8,2),"")</x:f>
        <x:v>28.8</x:v>
      </x:c>
      <x:c r="AE2241" s="36" t="n">
        <x:f>IF(ISNUMBER(AD2241),ROUND(AD2241*0.015+0.2,2),"")</x:f>
        <x:v>0.63</x:v>
      </x:c>
      <x:c r="AF2241" s="36" t="n">
        <x:f>IF(ISNUMBER(AD2241),ROUND(AD2241-AE2241-V2241,2),"")</x:f>
        <x:v>3.46</x:v>
      </x:c>
      <x:c r="AG2241" t="str">
        <x:f>IF(NOT(ISNUMBER(T2241)),"PENDING",IF(AF2241&gt;0,"PASS","FAIL"))</x:f>
        <x:v>PASS</x:v>
      </x:c>
      <x:c r="AH2241" t="str">
        <x:f>IF(NOT(ISNUMBER(T2241)),"Needs supplier cost",IF(K2241&lt;&gt;"In stock","Supplier unavailable",IF(AG2241&lt;&gt;"PASS","BLOCK - GT loss risk","Commercially protected")))</x:f>
        <x:v>Commercially protected</x:v>
      </x:c>
      <x:c r="AI2241" t="str">
        <x:v>2026-09-10 Active Sports trade capture</x:v>
      </x:c>
      <x:c r="AJ2241" t="str">
        <x:v>Management-only economics. Stripe stress test uses 1.5% + £0.20 standard UK online-card fee; pallet/mix-and-match pricing ignored.</x:v>
      </x:c>
    </x:row>
    <x:row r="2242">
      <x:c r="A2242" t="str">
        <x:v>Active Sports Nutrition</x:v>
      </x:c>
      <x:c r="B2242" t="str">
        <x:v>Supplement Needs</x:v>
      </x:c>
      <x:c r="C2242" t="str">
        <x:v>Greens</x:v>
      </x:c>
      <x:c r="D2242" t="str">
        <x:v>Supplements</x:v>
      </x:c>
      <x:c r="E2242" t="str">
        <x:v>Greens</x:v>
      </x:c>
      <x:c r="F2242" t="str"/>
      <x:c r="G2242" t="str">
        <x:v>330g</x:v>
      </x:c>
      <x:c r="H2242" t="str">
        <x:v>Mango Pineapple</x:v>
      </x:c>
      <x:c r="I2242" t="str"/>
      <x:c r="J2242" t="str">
        <x:v>Unit</x:v>
      </x:c>
      <x:c r="K2242" t="str">
        <x:v>In stock</x:v>
      </x:c>
      <x:c r="L2242" t="str">
        <x:v>2026-09-08</x:v>
      </x:c>
      <x:c r="M2242" t="str"/>
      <x:c r="N2242" t="str"/>
      <x:c r="O2242" t="str">
        <x:v>https://www.activesportstrade.co.uk/supplement-needs-trade</x:v>
      </x:c>
      <x:c r="P2242" t="str"/>
      <x:c r="Q2242" t="str"/>
      <x:c r="R2242" t="str"/>
      <x:c r="S2242" t="str">
        <x:v>Pending genuine supplier/brand image</x:v>
      </x:c>
      <x:c r="T2242" s="54" t="n">
        <x:v>20.59</x:v>
      </x:c>
      <x:c r="U2242" s="47" t="n">
        <x:v>0.2</x:v>
      </x:c>
      <x:c r="V2242" s="54" t="n">
        <x:f>IF(ISNUMBER(T2242),T2242*(1+U2242),"")</x:f>
        <x:v>24.708</x:v>
      </x:c>
      <x:c r="W2242" s="47" t="n">
        <x:v>0.3</x:v>
      </x:c>
      <x:c r="X2242" s="54" t="n">
        <x:f>IF(ISNUMBER(V2242),V2242/(1-W2242),"")</x:f>
        <x:v>35.29714285714286</x:v>
      </x:c>
      <x:c r="Y2242" s="55" t="n">
        <x:f>IF(ISNUMBER(X2242),ROUNDUP(X2242,0),"")</x:f>
        <x:v>36</x:v>
      </x:c>
      <x:c r="Z2242" t="str">
        <x:v>Source match pending</x:v>
      </x:c>
      <x:c r="AA2242" t="str">
        <x:v>screencapture-www-activesportstrade-co-uk-supplement-needs-trade-2026-09-10-09_10_12.pdf / page-2</x:v>
      </x:c>
      <x:c r="AB2242" s="36" t="n">
        <x:f>IF(ISNUMBER(Y2242),ROUND(Y2242*0.9,2),"")</x:f>
        <x:v>32.4</x:v>
      </x:c>
      <x:c r="AC2242" s="36" t="n">
        <x:f>IF(ISNUMBER(AB2242),ROUND(AB2242-(AB2242*0.015+0.2)-V2242,2),"")</x:f>
        <x:v>7.01</x:v>
      </x:c>
      <x:c r="AD2242" s="36" t="n">
        <x:f>IF(ISNUMBER(Y2242),ROUND(Y2242*0.8,2),"")</x:f>
        <x:v>28.8</x:v>
      </x:c>
      <x:c r="AE2242" s="36" t="n">
        <x:f>IF(ISNUMBER(AD2242),ROUND(AD2242*0.015+0.2,2),"")</x:f>
        <x:v>0.63</x:v>
      </x:c>
      <x:c r="AF2242" s="36" t="n">
        <x:f>IF(ISNUMBER(AD2242),ROUND(AD2242-AE2242-V2242,2),"")</x:f>
        <x:v>3.46</x:v>
      </x:c>
      <x:c r="AG2242" t="str">
        <x:f>IF(NOT(ISNUMBER(T2242)),"PENDING",IF(AF2242&gt;0,"PASS","FAIL"))</x:f>
        <x:v>PASS</x:v>
      </x:c>
      <x:c r="AH2242" t="str">
        <x:f>IF(NOT(ISNUMBER(T2242)),"Needs supplier cost",IF(K2242&lt;&gt;"In stock","Supplier unavailable",IF(AG2242&lt;&gt;"PASS","BLOCK - GT loss risk","Commercially protected")))</x:f>
        <x:v>Commercially protected</x:v>
      </x:c>
      <x:c r="AI2242" t="str">
        <x:v>2026-09-10 Active Sports trade capture</x:v>
      </x:c>
      <x:c r="AJ2242" t="str">
        <x:v>Management-only economics. Stripe stress test uses 1.5% + £0.20 standard UK online-card fee; pallet/mix-and-match pricing ignored.</x:v>
      </x:c>
    </x:row>
    <x:row r="2243">
      <x:c r="A2243" t="str">
        <x:v>Active Sports Nutrition</x:v>
      </x:c>
      <x:c r="B2243" t="str">
        <x:v>Supplement Needs</x:v>
      </x:c>
      <x:c r="C2243" t="str">
        <x:v>Gut Guard+</x:v>
      </x:c>
      <x:c r="D2243" t="str">
        <x:v>Supplements</x:v>
      </x:c>
      <x:c r="E2243" t="str">
        <x:v>Digestive Health</x:v>
      </x:c>
      <x:c r="F2243" t="str"/>
      <x:c r="G2243" t="str">
        <x:v>240 caps</x:v>
      </x:c>
      <x:c r="H2243" t="str">
        <x:v>Default</x:v>
      </x:c>
      <x:c r="I2243" t="str"/>
      <x:c r="J2243" t="str">
        <x:v>Unit</x:v>
      </x:c>
      <x:c r="K2243" t="str">
        <x:v>In stock</x:v>
      </x:c>
      <x:c r="L2243" t="str">
        <x:v>2026-09-08</x:v>
      </x:c>
      <x:c r="M2243" t="str"/>
      <x:c r="N2243" t="str"/>
      <x:c r="O2243" t="str">
        <x:v>https://www.activesportstrade.co.uk/supplement-needs-trade</x:v>
      </x:c>
      <x:c r="P2243" t="str"/>
      <x:c r="Q2243" t="str"/>
      <x:c r="R2243" t="str"/>
      <x:c r="S2243" t="str">
        <x:v>Pending genuine supplier/brand image</x:v>
      </x:c>
      <x:c r="T2243" s="54" t="n">
        <x:v>26</x:v>
      </x:c>
      <x:c r="U2243" s="47" t="n">
        <x:v>0.2</x:v>
      </x:c>
      <x:c r="V2243" s="54" t="n">
        <x:f>IF(ISNUMBER(T2243),T2243*(1+U2243),"")</x:f>
        <x:v>31.2</x:v>
      </x:c>
      <x:c r="W2243" s="47" t="n">
        <x:v>0.3</x:v>
      </x:c>
      <x:c r="X2243" s="54" t="n">
        <x:f>IF(ISNUMBER(V2243),V2243/(1-W2243),"")</x:f>
        <x:v>44.57142857142858</x:v>
      </x:c>
      <x:c r="Y2243" s="55" t="n">
        <x:f>IF(ISNUMBER(X2243),ROUNDUP(X2243,0),"")</x:f>
        <x:v>45</x:v>
      </x:c>
      <x:c r="Z2243" t="str">
        <x:v>Source match pending</x:v>
      </x:c>
      <x:c r="AA2243" t="str">
        <x:v>screencapture-www-activesportstrade-co-uk-supplement-needs-trade-2026-09-10-09_10_12.pdf / page-2</x:v>
      </x:c>
      <x:c r="AB2243" s="36" t="n">
        <x:f>IF(ISNUMBER(Y2243),ROUND(Y2243*0.9,2),"")</x:f>
        <x:v>40.5</x:v>
      </x:c>
      <x:c r="AC2243" s="36" t="n">
        <x:f>IF(ISNUMBER(AB2243),ROUND(AB2243-(AB2243*0.015+0.2)-V2243,2),"")</x:f>
        <x:v>8.49</x:v>
      </x:c>
      <x:c r="AD2243" s="36" t="n">
        <x:f>IF(ISNUMBER(Y2243),ROUND(Y2243*0.8,2),"")</x:f>
        <x:v>36</x:v>
      </x:c>
      <x:c r="AE2243" s="36" t="n">
        <x:f>IF(ISNUMBER(AD2243),ROUND(AD2243*0.015+0.2,2),"")</x:f>
        <x:v>0.74</x:v>
      </x:c>
      <x:c r="AF2243" s="36" t="n">
        <x:f>IF(ISNUMBER(AD2243),ROUND(AD2243-AE2243-V2243,2),"")</x:f>
        <x:v>4.06</x:v>
      </x:c>
      <x:c r="AG2243" t="str">
        <x:f>IF(NOT(ISNUMBER(T2243)),"PENDING",IF(AF2243&gt;0,"PASS","FAIL"))</x:f>
        <x:v>PASS</x:v>
      </x:c>
      <x:c r="AH2243" t="str">
        <x:f>IF(NOT(ISNUMBER(T2243)),"Needs supplier cost",IF(K2243&lt;&gt;"In stock","Supplier unavailable",IF(AG2243&lt;&gt;"PASS","BLOCK - GT loss risk","Commercially protected")))</x:f>
        <x:v>Commercially protected</x:v>
      </x:c>
      <x:c r="AI2243" t="str">
        <x:v>2026-09-10 Active Sports trade capture</x:v>
      </x:c>
      <x:c r="AJ2243" t="str">
        <x:v>Management-only economics. Stripe stress test uses 1.5% + £0.20 standard UK online-card fee; pallet/mix-and-match pricing ignored.</x:v>
      </x:c>
    </x:row>
    <x:row r="2244">
      <x:c r="A2244" t="str">
        <x:v>Active Sports Nutrition</x:v>
      </x:c>
      <x:c r="B2244" t="str">
        <x:v>Supplement Needs</x:v>
      </x:c>
      <x:c r="C2244" t="str">
        <x:v>H2OUT Caps</x:v>
      </x:c>
      <x:c r="D2244" t="str">
        <x:v>Supplements</x:v>
      </x:c>
      <x:c r="E2244" t="str">
        <x:v>Water Balance</x:v>
      </x:c>
      <x:c r="F2244" t="str"/>
      <x:c r="G2244" t="str">
        <x:v>150 caps</x:v>
      </x:c>
      <x:c r="H2244" t="str">
        <x:v>Default</x:v>
      </x:c>
      <x:c r="I2244" t="str"/>
      <x:c r="J2244" t="str">
        <x:v>Unit</x:v>
      </x:c>
      <x:c r="K2244" t="str">
        <x:v>In stock</x:v>
      </x:c>
      <x:c r="L2244" t="str">
        <x:v>2026-09-08</x:v>
      </x:c>
      <x:c r="M2244" t="str"/>
      <x:c r="N2244" t="str"/>
      <x:c r="O2244" t="str">
        <x:v>https://www.activesportstrade.co.uk/supplement-needs-trade</x:v>
      </x:c>
      <x:c r="P2244" t="str"/>
      <x:c r="Q2244" t="str"/>
      <x:c r="R2244" t="str"/>
      <x:c r="S2244" t="str">
        <x:v>Pending genuine supplier/brand image</x:v>
      </x:c>
      <x:c r="T2244" s="54"/>
      <x:c r="U2244" s="47" t="n">
        <x:v>0.2</x:v>
      </x:c>
      <x:c r="V2244" s="54" t="str">
        <x:f>IF(ISNUMBER(T2244),T2244*(1+U2244),"")</x:f>
      </x:c>
      <x:c r="W2244" s="47" t="n">
        <x:v>0.3</x:v>
      </x:c>
      <x:c r="X2244" s="54" t="str">
        <x:f>IF(ISNUMBER(V2244),V2244/(1-W2244),"")</x:f>
      </x:c>
      <x:c r="Y2244" s="55" t="str">
        <x:f>IF(ISNUMBER(X2244),ROUNDUP(X2244,0),"")</x:f>
      </x:c>
      <x:c r="Z2244" t="str">
        <x:f>IF(ISNUMBER(T2244),"Cost captured","Awaiting trade cost")</x:f>
        <x:v>Awaiting trade cost</x:v>
      </x:c>
      <x:c r="AB2244" s="36" t="str">
        <x:f>IF(ISNUMBER(Y2244),ROUND(Y2244*0.9,2),"")</x:f>
      </x:c>
      <x:c r="AC2244" s="36" t="str">
        <x:f>IF(ISNUMBER(AB2244),ROUND(AB2244-(AB2244*0.015+0.2)-V2244,2),"")</x:f>
      </x:c>
      <x:c r="AD2244" s="36" t="str">
        <x:f>IF(ISNUMBER(Y2244),ROUND(Y2244*0.8,2),"")</x:f>
      </x:c>
      <x:c r="AE2244" s="36" t="str">
        <x:f>IF(ISNUMBER(AD2244),ROUND(AD2244*0.015+0.2,2),"")</x:f>
      </x:c>
      <x:c r="AF2244" s="36" t="str">
        <x:f>IF(ISNUMBER(AD2244),ROUND(AD2244-AE2244-V2244,2),"")</x:f>
      </x:c>
      <x:c r="AG2244" t="str">
        <x:f>IF(NOT(ISNUMBER(T2244)),"PENDING",IF(AF2244&gt;0,"PASS","FAIL"))</x:f>
        <x:v>PENDING</x:v>
      </x:c>
      <x:c r="AH2244" t="str">
        <x:f>IF(NOT(ISNUMBER(T2244)),"Needs supplier cost",IF(K2244&lt;&gt;"In stock","Supplier unavailable",IF(AG2244&lt;&gt;"PASS","BLOCK - GT loss risk","Commercially protected")))</x:f>
        <x:v>Needs supplier cost</x:v>
      </x:c>
      <x:c r="AI2244" t="str">
        <x:v>2026-09-10 Active Sports trade capture</x:v>
      </x:c>
      <x:c r="AJ2244" t="str">
        <x:v>Management-only economics. Stripe stress test uses 1.5% + £0.20 standard UK online-card fee; pallet/mix-and-match pricing ignored.</x:v>
      </x:c>
    </x:row>
    <x:row r="2245">
      <x:c r="A2245" t="str">
        <x:v>Active Sports Nutrition</x:v>
      </x:c>
      <x:c r="B2245" t="str">
        <x:v>Supplement Needs</x:v>
      </x:c>
      <x:c r="C2245" t="str">
        <x:v>Heart Stack</x:v>
      </x:c>
      <x:c r="D2245" t="str">
        <x:v>Supplements</x:v>
      </x:c>
      <x:c r="E2245" t="str">
        <x:v>Heart Health</x:v>
      </x:c>
      <x:c r="F2245" t="str"/>
      <x:c r="G2245" t="str">
        <x:v>180 caps</x:v>
      </x:c>
      <x:c r="H2245" t="str">
        <x:v>Default</x:v>
      </x:c>
      <x:c r="I2245" t="str"/>
      <x:c r="J2245" t="str">
        <x:v>Unit</x:v>
      </x:c>
      <x:c r="K2245" t="str">
        <x:v>In stock</x:v>
      </x:c>
      <x:c r="L2245" t="str">
        <x:v>2026-09-08</x:v>
      </x:c>
      <x:c r="M2245" t="str"/>
      <x:c r="N2245" t="str"/>
      <x:c r="O2245" t="str">
        <x:v>https://www.activesportstrade.co.uk/supplement-needs-trade</x:v>
      </x:c>
      <x:c r="P2245" t="str">
        <x:v>Supplier currently labels this Formerly C-V Stack; canonical title kept as Heart Stack.</x:v>
      </x:c>
      <x:c r="Q2245" t="str"/>
      <x:c r="R2245" t="str"/>
      <x:c r="S2245" t="str">
        <x:v>Pending genuine supplier/brand image</x:v>
      </x:c>
      <x:c r="T2245" s="54" t="n">
        <x:v>32.5</x:v>
      </x:c>
      <x:c r="U2245" s="47" t="n">
        <x:v>0.2</x:v>
      </x:c>
      <x:c r="V2245" s="54" t="n">
        <x:f>IF(ISNUMBER(T2245),T2245*(1+U2245),"")</x:f>
        <x:v>39</x:v>
      </x:c>
      <x:c r="W2245" s="47" t="n">
        <x:v>0.3</x:v>
      </x:c>
      <x:c r="X2245" s="54" t="n">
        <x:f>IF(ISNUMBER(V2245),V2245/(1-W2245),"")</x:f>
        <x:v>55.714285714285715</x:v>
      </x:c>
      <x:c r="Y2245" s="55" t="n">
        <x:f>IF(ISNUMBER(X2245),ROUNDUP(X2245,0),"")</x:f>
        <x:v>56</x:v>
      </x:c>
      <x:c r="Z2245" t="str">
        <x:v>Source match pending</x:v>
      </x:c>
      <x:c r="AA2245" t="str">
        <x:v>screencapture-www-activesportstrade-co-uk-supplement-needs-trade-2026-09-10-09_10_12.pdf / page-3</x:v>
      </x:c>
      <x:c r="AB2245" s="36" t="n">
        <x:f>IF(ISNUMBER(Y2245),ROUND(Y2245*0.9,2),"")</x:f>
        <x:v>50.4</x:v>
      </x:c>
      <x:c r="AC2245" s="36" t="n">
        <x:f>IF(ISNUMBER(AB2245),ROUND(AB2245-(AB2245*0.015+0.2)-V2245,2),"")</x:f>
        <x:v>10.44</x:v>
      </x:c>
      <x:c r="AD2245" s="36" t="n">
        <x:f>IF(ISNUMBER(Y2245),ROUND(Y2245*0.8,2),"")</x:f>
        <x:v>44.8</x:v>
      </x:c>
      <x:c r="AE2245" s="36" t="n">
        <x:f>IF(ISNUMBER(AD2245),ROUND(AD2245*0.015+0.2,2),"")</x:f>
        <x:v>0.87</x:v>
      </x:c>
      <x:c r="AF2245" s="36" t="n">
        <x:f>IF(ISNUMBER(AD2245),ROUND(AD2245-AE2245-V2245,2),"")</x:f>
        <x:v>4.93</x:v>
      </x:c>
      <x:c r="AG2245" t="str">
        <x:f>IF(NOT(ISNUMBER(T2245)),"PENDING",IF(AF2245&gt;0,"PASS","FAIL"))</x:f>
        <x:v>PASS</x:v>
      </x:c>
      <x:c r="AH2245" t="str">
        <x:f>IF(NOT(ISNUMBER(T2245)),"Needs supplier cost",IF(K2245&lt;&gt;"In stock","Supplier unavailable",IF(AG2245&lt;&gt;"PASS","BLOCK - GT loss risk","Commercially protected")))</x:f>
        <x:v>Commercially protected</x:v>
      </x:c>
      <x:c r="AI2245" t="str">
        <x:v>2026-09-10 Active Sports trade capture</x:v>
      </x:c>
      <x:c r="AJ2245" t="str">
        <x:v>Management-only economics. Stripe stress test uses 1.5% + £0.20 standard UK online-card fee; pallet/mix-and-match pricing ignored.</x:v>
      </x:c>
    </x:row>
    <x:row r="2246">
      <x:c r="A2246" t="str">
        <x:v>Active Sports Nutrition</x:v>
      </x:c>
      <x:c r="B2246" t="str">
        <x:v>Supplement Needs</x:v>
      </x:c>
      <x:c r="C2246" t="str">
        <x:v>High Strength Omega 3</x:v>
      </x:c>
      <x:c r="D2246" t="str">
        <x:v>Supplements</x:v>
      </x:c>
      <x:c r="E2246" t="str">
        <x:v>Essential Fats</x:v>
      </x:c>
      <x:c r="F2246" t="str"/>
      <x:c r="G2246" t="str">
        <x:v>90 softgels</x:v>
      </x:c>
      <x:c r="H2246" t="str">
        <x:v>Default</x:v>
      </x:c>
      <x:c r="I2246" t="str"/>
      <x:c r="J2246" t="str">
        <x:v>Unit</x:v>
      </x:c>
      <x:c r="K2246" t="str">
        <x:v>In stock</x:v>
      </x:c>
      <x:c r="L2246" t="str">
        <x:v>2026-09-08</x:v>
      </x:c>
      <x:c r="M2246" t="str"/>
      <x:c r="N2246" t="str"/>
      <x:c r="O2246" t="str">
        <x:v>https://www.activesportstrade.co.uk/supplement-needs-trade</x:v>
      </x:c>
      <x:c r="P2246" t="str"/>
      <x:c r="Q2246" t="str"/>
      <x:c r="R2246" t="str"/>
      <x:c r="S2246" t="str">
        <x:v>Pending genuine supplier/brand image</x:v>
      </x:c>
      <x:c r="T2246" s="54" t="n">
        <x:v>9.5</x:v>
      </x:c>
      <x:c r="U2246" s="47" t="n">
        <x:v>0.2</x:v>
      </x:c>
      <x:c r="V2246" s="54" t="n">
        <x:f>IF(ISNUMBER(T2246),T2246*(1+U2246),"")</x:f>
        <x:v>11.4</x:v>
      </x:c>
      <x:c r="W2246" s="47" t="n">
        <x:v>0.3</x:v>
      </x:c>
      <x:c r="X2246" s="54" t="n">
        <x:f>IF(ISNUMBER(V2246),V2246/(1-W2246),"")</x:f>
        <x:v>16.28571428571429</x:v>
      </x:c>
      <x:c r="Y2246" s="55" t="n">
        <x:f>IF(ISNUMBER(X2246),ROUNDUP(X2246,0),"")</x:f>
        <x:v>17</x:v>
      </x:c>
      <x:c r="Z2246" t="str">
        <x:v>Source match pending</x:v>
      </x:c>
      <x:c r="AA2246" t="str">
        <x:v>screencapture-www-activesportstrade-co-uk-supplement-needs-trade-2026-09-10-09_10_12.pdf / page-3</x:v>
      </x:c>
      <x:c r="AB2246" s="36" t="n">
        <x:f>IF(ISNUMBER(Y2246),ROUND(Y2246*0.9,2),"")</x:f>
        <x:v>15.3</x:v>
      </x:c>
      <x:c r="AC2246" s="36" t="n">
        <x:f>IF(ISNUMBER(AB2246),ROUND(AB2246-(AB2246*0.015+0.2)-V2246,2),"")</x:f>
        <x:v>3.47</x:v>
      </x:c>
      <x:c r="AD2246" s="36" t="n">
        <x:f>IF(ISNUMBER(Y2246),ROUND(Y2246*0.8,2),"")</x:f>
        <x:v>13.6</x:v>
      </x:c>
      <x:c r="AE2246" s="36" t="n">
        <x:f>IF(ISNUMBER(AD2246),ROUND(AD2246*0.015+0.2,2),"")</x:f>
        <x:v>0.4</x:v>
      </x:c>
      <x:c r="AF2246" s="36" t="n">
        <x:f>IF(ISNUMBER(AD2246),ROUND(AD2246-AE2246-V2246,2),"")</x:f>
        <x:v>1.8</x:v>
      </x:c>
      <x:c r="AG2246" t="str">
        <x:f>IF(NOT(ISNUMBER(T2246)),"PENDING",IF(AF2246&gt;0,"PASS","FAIL"))</x:f>
        <x:v>PASS</x:v>
      </x:c>
      <x:c r="AH2246" t="str">
        <x:f>IF(NOT(ISNUMBER(T2246)),"Needs supplier cost",IF(K2246&lt;&gt;"In stock","Supplier unavailable",IF(AG2246&lt;&gt;"PASS","BLOCK - GT loss risk","Commercially protected")))</x:f>
        <x:v>Commercially protected</x:v>
      </x:c>
      <x:c r="AI2246" t="str">
        <x:v>2026-09-10 Active Sports trade capture</x:v>
      </x:c>
      <x:c r="AJ2246" t="str">
        <x:v>Management-only economics. Stripe stress test uses 1.5% + £0.20 standard UK online-card fee; pallet/mix-and-match pricing ignored.</x:v>
      </x:c>
    </x:row>
    <x:row r="2247">
      <x:c r="A2247" t="str">
        <x:v>Active Sports Nutrition</x:v>
      </x:c>
      <x:c r="B2247" t="str">
        <x:v>Supplement Needs</x:v>
      </x:c>
      <x:c r="C2247" t="str">
        <x:v>ImmunoPro+</x:v>
      </x:c>
      <x:c r="D2247" t="str">
        <x:v>Supplements</x:v>
      </x:c>
      <x:c r="E2247" t="str">
        <x:v>Health Foods</x:v>
      </x:c>
      <x:c r="F2247" t="str"/>
      <x:c r="G2247" t="str">
        <x:v>270 caps</x:v>
      </x:c>
      <x:c r="H2247" t="str">
        <x:v>Default</x:v>
      </x:c>
      <x:c r="I2247" t="str"/>
      <x:c r="J2247" t="str">
        <x:v>Unit</x:v>
      </x:c>
      <x:c r="K2247" t="str">
        <x:v>In stock</x:v>
      </x:c>
      <x:c r="L2247" t="str">
        <x:v>2026-09-08</x:v>
      </x:c>
      <x:c r="M2247" t="str"/>
      <x:c r="N2247" t="str"/>
      <x:c r="O2247" t="str">
        <x:v>https://www.activesportstrade.co.uk/supplement-needs-trade</x:v>
      </x:c>
      <x:c r="P2247" t="str"/>
      <x:c r="Q2247" t="str"/>
      <x:c r="R2247" t="str"/>
      <x:c r="S2247" t="str">
        <x:v>Pending genuine supplier/brand image</x:v>
      </x:c>
      <x:c r="T2247" s="54" t="n">
        <x:v>20.5</x:v>
      </x:c>
      <x:c r="U2247" s="47" t="n">
        <x:v>0.2</x:v>
      </x:c>
      <x:c r="V2247" s="54" t="n">
        <x:f>IF(ISNUMBER(T2247),T2247*(1+U2247),"")</x:f>
        <x:v>24.599999999999998</x:v>
      </x:c>
      <x:c r="W2247" s="47" t="n">
        <x:v>0.3</x:v>
      </x:c>
      <x:c r="X2247" s="54" t="n">
        <x:f>IF(ISNUMBER(V2247),V2247/(1-W2247),"")</x:f>
        <x:v>35.14285714285714</x:v>
      </x:c>
      <x:c r="Y2247" s="55" t="n">
        <x:f>IF(ISNUMBER(X2247),ROUNDUP(X2247,0),"")</x:f>
        <x:v>36</x:v>
      </x:c>
      <x:c r="Z2247" t="str">
        <x:v>Source match pending</x:v>
      </x:c>
      <x:c r="AA2247" t="str">
        <x:v>screencapture-www-activesportstrade-co-uk-supplement-needs-trade-2026-09-10-09_10_12.pdf / page-3</x:v>
      </x:c>
      <x:c r="AB2247" s="36" t="n">
        <x:f>IF(ISNUMBER(Y2247),ROUND(Y2247*0.9,2),"")</x:f>
        <x:v>32.4</x:v>
      </x:c>
      <x:c r="AC2247" s="36" t="n">
        <x:f>IF(ISNUMBER(AB2247),ROUND(AB2247-(AB2247*0.015+0.2)-V2247,2),"")</x:f>
        <x:v>7.11</x:v>
      </x:c>
      <x:c r="AD2247" s="36" t="n">
        <x:f>IF(ISNUMBER(Y2247),ROUND(Y2247*0.8,2),"")</x:f>
        <x:v>28.8</x:v>
      </x:c>
      <x:c r="AE2247" s="36" t="n">
        <x:f>IF(ISNUMBER(AD2247),ROUND(AD2247*0.015+0.2,2),"")</x:f>
        <x:v>0.63</x:v>
      </x:c>
      <x:c r="AF2247" s="36" t="n">
        <x:f>IF(ISNUMBER(AD2247),ROUND(AD2247-AE2247-V2247,2),"")</x:f>
        <x:v>3.57</x:v>
      </x:c>
      <x:c r="AG2247" t="str">
        <x:f>IF(NOT(ISNUMBER(T2247)),"PENDING",IF(AF2247&gt;0,"PASS","FAIL"))</x:f>
        <x:v>PASS</x:v>
      </x:c>
      <x:c r="AH2247" t="str">
        <x:f>IF(NOT(ISNUMBER(T2247)),"Needs supplier cost",IF(K2247&lt;&gt;"In stock","Supplier unavailable",IF(AG2247&lt;&gt;"PASS","BLOCK - GT loss risk","Commercially protected")))</x:f>
        <x:v>Commercially protected</x:v>
      </x:c>
      <x:c r="AI2247" t="str">
        <x:v>2026-09-10 Active Sports trade capture</x:v>
      </x:c>
      <x:c r="AJ2247" t="str">
        <x:v>Management-only economics. Stripe stress test uses 1.5% + £0.20 standard UK online-card fee; pallet/mix-and-match pricing ignored.</x:v>
      </x:c>
    </x:row>
    <x:row r="2248">
      <x:c r="A2248" t="str">
        <x:v>Active Sports Nutrition</x:v>
      </x:c>
      <x:c r="B2248" t="str">
        <x:v>Supplement Needs</x:v>
      </x:c>
      <x:c r="C2248" t="str">
        <x:v>Joint Stack Caps</x:v>
      </x:c>
      <x:c r="D2248" t="str">
        <x:v>Supplements</x:v>
      </x:c>
      <x:c r="E2248" t="str">
        <x:v>Joint Support</x:v>
      </x:c>
      <x:c r="F2248" t="str"/>
      <x:c r="G2248" t="str">
        <x:v>252 caps</x:v>
      </x:c>
      <x:c r="H2248" t="str">
        <x:v>Default</x:v>
      </x:c>
      <x:c r="I2248" t="str"/>
      <x:c r="J2248" t="str">
        <x:v>Unit</x:v>
      </x:c>
      <x:c r="K2248" t="str">
        <x:v>In stock</x:v>
      </x:c>
      <x:c r="L2248" t="str">
        <x:v>2026-09-08</x:v>
      </x:c>
      <x:c r="M2248" t="str"/>
      <x:c r="N2248" t="str"/>
      <x:c r="O2248" t="str">
        <x:v>https://www.activesportstrade.co.uk/supplement-needs-trade</x:v>
      </x:c>
      <x:c r="P2248" t="str"/>
      <x:c r="Q2248" t="str"/>
      <x:c r="R2248" t="str"/>
      <x:c r="S2248" t="str">
        <x:v>Pending genuine supplier/brand image</x:v>
      </x:c>
      <x:c r="T2248" s="54" t="n">
        <x:v>29</x:v>
      </x:c>
      <x:c r="U2248" s="47" t="n">
        <x:v>0.2</x:v>
      </x:c>
      <x:c r="V2248" s="54" t="n">
        <x:f>IF(ISNUMBER(T2248),T2248*(1+U2248),"")</x:f>
        <x:v>34.8</x:v>
      </x:c>
      <x:c r="W2248" s="47" t="n">
        <x:v>0.3</x:v>
      </x:c>
      <x:c r="X2248" s="54" t="n">
        <x:f>IF(ISNUMBER(V2248),V2248/(1-W2248),"")</x:f>
        <x:v>49.714285714285715</x:v>
      </x:c>
      <x:c r="Y2248" s="55" t="n">
        <x:f>IF(ISNUMBER(X2248),ROUNDUP(X2248,0),"")</x:f>
        <x:v>50</x:v>
      </x:c>
      <x:c r="Z2248" t="str">
        <x:v>Source match pending</x:v>
      </x:c>
      <x:c r="AA2248" t="str">
        <x:v>screencapture-www-activesportstrade-co-uk-supplement-needs-trade-2026-09-10-09_10_12.pdf / page-3</x:v>
      </x:c>
      <x:c r="AB2248" s="36" t="n">
        <x:f>IF(ISNUMBER(Y2248),ROUND(Y2248*0.9,2),"")</x:f>
        <x:v>45</x:v>
      </x:c>
      <x:c r="AC2248" s="36" t="n">
        <x:f>IF(ISNUMBER(AB2248),ROUND(AB2248-(AB2248*0.015+0.2)-V2248,2),"")</x:f>
        <x:v>9.33</x:v>
      </x:c>
      <x:c r="AD2248" s="36" t="n">
        <x:f>IF(ISNUMBER(Y2248),ROUND(Y2248*0.8,2),"")</x:f>
        <x:v>40</x:v>
      </x:c>
      <x:c r="AE2248" s="36" t="n">
        <x:f>IF(ISNUMBER(AD2248),ROUND(AD2248*0.015+0.2,2),"")</x:f>
        <x:v>0.8</x:v>
      </x:c>
      <x:c r="AF2248" s="36" t="n">
        <x:f>IF(ISNUMBER(AD2248),ROUND(AD2248-AE2248-V2248,2),"")</x:f>
        <x:v>4.4</x:v>
      </x:c>
      <x:c r="AG2248" t="str">
        <x:f>IF(NOT(ISNUMBER(T2248)),"PENDING",IF(AF2248&gt;0,"PASS","FAIL"))</x:f>
        <x:v>PASS</x:v>
      </x:c>
      <x:c r="AH2248" t="str">
        <x:f>IF(NOT(ISNUMBER(T2248)),"Needs supplier cost",IF(K2248&lt;&gt;"In stock","Supplier unavailable",IF(AG2248&lt;&gt;"PASS","BLOCK - GT loss risk","Commercially protected")))</x:f>
        <x:v>Commercially protected</x:v>
      </x:c>
      <x:c r="AI2248" t="str">
        <x:v>2026-09-10 Active Sports trade capture</x:v>
      </x:c>
      <x:c r="AJ2248" t="str">
        <x:v>Management-only economics. Stripe stress test uses 1.5% + £0.20 standard UK online-card fee; pallet/mix-and-match pricing ignored.</x:v>
      </x:c>
    </x:row>
    <x:row r="2249">
      <x:c r="A2249" t="str">
        <x:v>Active Sports Nutrition</x:v>
      </x:c>
      <x:c r="B2249" t="str">
        <x:v>Supplement Needs</x:v>
      </x:c>
      <x:c r="C2249" t="str">
        <x:v>Kidney &amp; Blood Pressure Stack</x:v>
      </x:c>
      <x:c r="D2249" t="str">
        <x:v>Supplements</x:v>
      </x:c>
      <x:c r="E2249" t="str">
        <x:v>Health Foods</x:v>
      </x:c>
      <x:c r="F2249" t="str"/>
      <x:c r="G2249" t="str">
        <x:v>30 servings</x:v>
      </x:c>
      <x:c r="H2249" t="str">
        <x:v>Berry</x:v>
      </x:c>
      <x:c r="I2249" t="str"/>
      <x:c r="J2249" t="str">
        <x:v>Unit</x:v>
      </x:c>
      <x:c r="K2249" t="str">
        <x:v>In stock</x:v>
      </x:c>
      <x:c r="L2249" t="str">
        <x:v>2026-09-08</x:v>
      </x:c>
      <x:c r="M2249" t="str"/>
      <x:c r="N2249" t="str"/>
      <x:c r="O2249" t="str">
        <x:v>https://www.activesportstrade.co.uk/supplement-needs-trade</x:v>
      </x:c>
      <x:c r="P2249" t="str">
        <x:v>Supplier currently labels this Formerly Astrag-Flow.</x:v>
      </x:c>
      <x:c r="Q2249" t="str"/>
      <x:c r="R2249" t="str"/>
      <x:c r="S2249" t="str">
        <x:v>Pending genuine supplier/brand image</x:v>
      </x:c>
      <x:c r="T2249" s="54" t="n">
        <x:v>20.5</x:v>
      </x:c>
      <x:c r="U2249" s="47" t="n">
        <x:v>0.2</x:v>
      </x:c>
      <x:c r="V2249" s="54" t="n">
        <x:f>IF(ISNUMBER(T2249),T2249*(1+U2249),"")</x:f>
        <x:v>24.599999999999998</x:v>
      </x:c>
      <x:c r="W2249" s="47" t="n">
        <x:v>0.3</x:v>
      </x:c>
      <x:c r="X2249" s="54" t="n">
        <x:f>IF(ISNUMBER(V2249),V2249/(1-W2249),"")</x:f>
        <x:v>35.14285714285714</x:v>
      </x:c>
      <x:c r="Y2249" s="55" t="n">
        <x:f>IF(ISNUMBER(X2249),ROUNDUP(X2249,0),"")</x:f>
        <x:v>36</x:v>
      </x:c>
      <x:c r="Z2249" t="str">
        <x:v>Source match pending</x:v>
      </x:c>
      <x:c r="AA2249" t="str">
        <x:v>screencapture-www-activesportstrade-co-uk-supplement-needs-trade-2026-09-10-09_10_12.pdf / page-3</x:v>
      </x:c>
      <x:c r="AB2249" s="36" t="n">
        <x:f>IF(ISNUMBER(Y2249),ROUND(Y2249*0.9,2),"")</x:f>
        <x:v>32.4</x:v>
      </x:c>
      <x:c r="AC2249" s="36" t="n">
        <x:f>IF(ISNUMBER(AB2249),ROUND(AB2249-(AB2249*0.015+0.2)-V2249,2),"")</x:f>
        <x:v>7.11</x:v>
      </x:c>
      <x:c r="AD2249" s="36" t="n">
        <x:f>IF(ISNUMBER(Y2249),ROUND(Y2249*0.8,2),"")</x:f>
        <x:v>28.8</x:v>
      </x:c>
      <x:c r="AE2249" s="36" t="n">
        <x:f>IF(ISNUMBER(AD2249),ROUND(AD2249*0.015+0.2,2),"")</x:f>
        <x:v>0.63</x:v>
      </x:c>
      <x:c r="AF2249" s="36" t="n">
        <x:f>IF(ISNUMBER(AD2249),ROUND(AD2249-AE2249-V2249,2),"")</x:f>
        <x:v>3.57</x:v>
      </x:c>
      <x:c r="AG2249" t="str">
        <x:f>IF(NOT(ISNUMBER(T2249)),"PENDING",IF(AF2249&gt;0,"PASS","FAIL"))</x:f>
        <x:v>PASS</x:v>
      </x:c>
      <x:c r="AH2249" t="str">
        <x:f>IF(NOT(ISNUMBER(T2249)),"Needs supplier cost",IF(K2249&lt;&gt;"In stock","Supplier unavailable",IF(AG2249&lt;&gt;"PASS","BLOCK - GT loss risk","Commercially protected")))</x:f>
        <x:v>Commercially protected</x:v>
      </x:c>
      <x:c r="AI2249" t="str">
        <x:v>2026-09-10 Active Sports trade capture</x:v>
      </x:c>
      <x:c r="AJ2249" t="str">
        <x:v>Management-only economics. Stripe stress test uses 1.5% + £0.20 standard UK online-card fee; pallet/mix-and-match pricing ignored.</x:v>
      </x:c>
    </x:row>
    <x:row r="2250">
      <x:c r="A2250" t="str">
        <x:v>Active Sports Nutrition</x:v>
      </x:c>
      <x:c r="B2250" t="str">
        <x:v>Supplement Needs</x:v>
      </x:c>
      <x:c r="C2250" t="str">
        <x:v>Kidney &amp; Blood Pressure Stack</x:v>
      </x:c>
      <x:c r="D2250" t="str">
        <x:v>Supplements</x:v>
      </x:c>
      <x:c r="E2250" t="str">
        <x:v>Health Foods</x:v>
      </x:c>
      <x:c r="F2250" t="str"/>
      <x:c r="G2250" t="str">
        <x:v>240 caps</x:v>
      </x:c>
      <x:c r="H2250" t="str">
        <x:v>Default</x:v>
      </x:c>
      <x:c r="I2250" t="str"/>
      <x:c r="J2250" t="str">
        <x:v>Unit</x:v>
      </x:c>
      <x:c r="K2250" t="str">
        <x:v>In stock</x:v>
      </x:c>
      <x:c r="L2250" t="str">
        <x:v>2026-09-08</x:v>
      </x:c>
      <x:c r="M2250" t="str"/>
      <x:c r="N2250" t="str"/>
      <x:c r="O2250" t="str">
        <x:v>https://www.activesportstrade.co.uk/supplement-needs-trade</x:v>
      </x:c>
      <x:c r="P2250" t="str">
        <x:v>Supplier currently labels this Formerly Astrag-Flow.</x:v>
      </x:c>
      <x:c r="Q2250" t="str"/>
      <x:c r="R2250" t="str"/>
      <x:c r="S2250" t="str">
        <x:v>Pending genuine supplier/brand image</x:v>
      </x:c>
      <x:c r="T2250" s="54" t="n">
        <x:v>20.5</x:v>
      </x:c>
      <x:c r="U2250" s="47" t="n">
        <x:v>0.2</x:v>
      </x:c>
      <x:c r="V2250" s="54" t="n">
        <x:f>IF(ISNUMBER(T2250),T2250*(1+U2250),"")</x:f>
        <x:v>24.599999999999998</x:v>
      </x:c>
      <x:c r="W2250" s="47" t="n">
        <x:v>0.3</x:v>
      </x:c>
      <x:c r="X2250" s="54" t="n">
        <x:f>IF(ISNUMBER(V2250),V2250/(1-W2250),"")</x:f>
        <x:v>35.14285714285714</x:v>
      </x:c>
      <x:c r="Y2250" s="55" t="n">
        <x:f>IF(ISNUMBER(X2250),ROUNDUP(X2250,0),"")</x:f>
        <x:v>36</x:v>
      </x:c>
      <x:c r="Z2250" t="str">
        <x:v>Source match pending</x:v>
      </x:c>
      <x:c r="AA2250" t="str">
        <x:v>screencapture-www-activesportstrade-co-uk-supplement-needs-trade-2026-09-10-09_10_12.pdf / page-3</x:v>
      </x:c>
      <x:c r="AB2250" s="36" t="n">
        <x:f>IF(ISNUMBER(Y2250),ROUND(Y2250*0.9,2),"")</x:f>
        <x:v>32.4</x:v>
      </x:c>
      <x:c r="AC2250" s="36" t="n">
        <x:f>IF(ISNUMBER(AB2250),ROUND(AB2250-(AB2250*0.015+0.2)-V2250,2),"")</x:f>
        <x:v>7.11</x:v>
      </x:c>
      <x:c r="AD2250" s="36" t="n">
        <x:f>IF(ISNUMBER(Y2250),ROUND(Y2250*0.8,2),"")</x:f>
        <x:v>28.8</x:v>
      </x:c>
      <x:c r="AE2250" s="36" t="n">
        <x:f>IF(ISNUMBER(AD2250),ROUND(AD2250*0.015+0.2,2),"")</x:f>
        <x:v>0.63</x:v>
      </x:c>
      <x:c r="AF2250" s="36" t="n">
        <x:f>IF(ISNUMBER(AD2250),ROUND(AD2250-AE2250-V2250,2),"")</x:f>
        <x:v>3.57</x:v>
      </x:c>
      <x:c r="AG2250" t="str">
        <x:f>IF(NOT(ISNUMBER(T2250)),"PENDING",IF(AF2250&gt;0,"PASS","FAIL"))</x:f>
        <x:v>PASS</x:v>
      </x:c>
      <x:c r="AH2250" t="str">
        <x:f>IF(NOT(ISNUMBER(T2250)),"Needs supplier cost",IF(K2250&lt;&gt;"In stock","Supplier unavailable",IF(AG2250&lt;&gt;"PASS","BLOCK - GT loss risk","Commercially protected")))</x:f>
        <x:v>Commercially protected</x:v>
      </x:c>
      <x:c r="AI2250" t="str">
        <x:v>2026-09-10 Active Sports trade capture</x:v>
      </x:c>
      <x:c r="AJ2250" t="str">
        <x:v>Management-only economics. Stripe stress test uses 1.5% + £0.20 standard UK online-card fee; pallet/mix-and-match pricing ignored.</x:v>
      </x:c>
    </x:row>
    <x:row r="2251">
      <x:c r="A2251" t="str">
        <x:v>Active Sports Nutrition</x:v>
      </x:c>
      <x:c r="B2251" t="str">
        <x:v>Supplement Needs</x:v>
      </x:c>
      <x:c r="C2251" t="str">
        <x:v>Lipid +</x:v>
      </x:c>
      <x:c r="D2251" t="str">
        <x:v>Supplements</x:v>
      </x:c>
      <x:c r="E2251" t="str">
        <x:v>Heart Health</x:v>
      </x:c>
      <x:c r="F2251" t="str"/>
      <x:c r="G2251" t="str">
        <x:v>90 caps</x:v>
      </x:c>
      <x:c r="H2251" t="str">
        <x:v>Default</x:v>
      </x:c>
      <x:c r="I2251" t="str"/>
      <x:c r="J2251" t="str">
        <x:v>Unit</x:v>
      </x:c>
      <x:c r="K2251" t="str">
        <x:v>In stock</x:v>
      </x:c>
      <x:c r="L2251" t="str">
        <x:v>2026-09-08</x:v>
      </x:c>
      <x:c r="M2251" t="str"/>
      <x:c r="N2251" t="str"/>
      <x:c r="O2251" t="str">
        <x:v>https://www.activesportstrade.co.uk/supplement-needs-trade</x:v>
      </x:c>
      <x:c r="P2251" t="str"/>
      <x:c r="Q2251" t="str"/>
      <x:c r="R2251" t="str"/>
      <x:c r="S2251" t="str">
        <x:v>Pending genuine supplier/brand image</x:v>
      </x:c>
      <x:c r="T2251" s="54" t="n">
        <x:v>20.5</x:v>
      </x:c>
      <x:c r="U2251" s="47" t="n">
        <x:v>0.2</x:v>
      </x:c>
      <x:c r="V2251" s="54" t="n">
        <x:f>IF(ISNUMBER(T2251),T2251*(1+U2251),"")</x:f>
        <x:v>24.599999999999998</x:v>
      </x:c>
      <x:c r="W2251" s="47" t="n">
        <x:v>0.3</x:v>
      </x:c>
      <x:c r="X2251" s="54" t="n">
        <x:f>IF(ISNUMBER(V2251),V2251/(1-W2251),"")</x:f>
        <x:v>35.14285714285714</x:v>
      </x:c>
      <x:c r="Y2251" s="55" t="n">
        <x:f>IF(ISNUMBER(X2251),ROUNDUP(X2251,0),"")</x:f>
        <x:v>36</x:v>
      </x:c>
      <x:c r="Z2251" t="str">
        <x:v>Source match pending</x:v>
      </x:c>
      <x:c r="AA2251" t="str">
        <x:v>screencapture-www-activesportstrade-co-uk-supplement-needs-trade-2026-09-10-09_10_12.pdf / page-3</x:v>
      </x:c>
      <x:c r="AB2251" s="36" t="n">
        <x:f>IF(ISNUMBER(Y2251),ROUND(Y2251*0.9,2),"")</x:f>
        <x:v>32.4</x:v>
      </x:c>
      <x:c r="AC2251" s="36" t="n">
        <x:f>IF(ISNUMBER(AB2251),ROUND(AB2251-(AB2251*0.015+0.2)-V2251,2),"")</x:f>
        <x:v>7.11</x:v>
      </x:c>
      <x:c r="AD2251" s="36" t="n">
        <x:f>IF(ISNUMBER(Y2251),ROUND(Y2251*0.8,2),"")</x:f>
        <x:v>28.8</x:v>
      </x:c>
      <x:c r="AE2251" s="36" t="n">
        <x:f>IF(ISNUMBER(AD2251),ROUND(AD2251*0.015+0.2,2),"")</x:f>
        <x:v>0.63</x:v>
      </x:c>
      <x:c r="AF2251" s="36" t="n">
        <x:f>IF(ISNUMBER(AD2251),ROUND(AD2251-AE2251-V2251,2),"")</x:f>
        <x:v>3.57</x:v>
      </x:c>
      <x:c r="AG2251" t="str">
        <x:f>IF(NOT(ISNUMBER(T2251)),"PENDING",IF(AF2251&gt;0,"PASS","FAIL"))</x:f>
        <x:v>PASS</x:v>
      </x:c>
      <x:c r="AH2251" t="str">
        <x:f>IF(NOT(ISNUMBER(T2251)),"Needs supplier cost",IF(K2251&lt;&gt;"In stock","Supplier unavailable",IF(AG2251&lt;&gt;"PASS","BLOCK - GT loss risk","Commercially protected")))</x:f>
        <x:v>Commercially protected</x:v>
      </x:c>
      <x:c r="AI2251" t="str">
        <x:v>2026-09-10 Active Sports trade capture</x:v>
      </x:c>
      <x:c r="AJ2251" t="str">
        <x:v>Management-only economics. Stripe stress test uses 1.5% + £0.20 standard UK online-card fee; pallet/mix-and-match pricing ignored.</x:v>
      </x:c>
    </x:row>
    <x:row r="2252">
      <x:c r="A2252" t="str">
        <x:v>Active Sports Nutrition</x:v>
      </x:c>
      <x:c r="B2252" t="str">
        <x:v>Supplement Needs</x:v>
      </x:c>
      <x:c r="C2252" t="str">
        <x:v>Lipid Pro+</x:v>
      </x:c>
      <x:c r="D2252" t="str">
        <x:v>Supplements</x:v>
      </x:c>
      <x:c r="E2252" t="str">
        <x:v>Heart Health</x:v>
      </x:c>
      <x:c r="F2252" t="str"/>
      <x:c r="G2252" t="str">
        <x:v>150 caps</x:v>
      </x:c>
      <x:c r="H2252" t="str">
        <x:v>Default</x:v>
      </x:c>
      <x:c r="I2252" t="str"/>
      <x:c r="J2252" t="str">
        <x:v>Unit</x:v>
      </x:c>
      <x:c r="K2252" t="str">
        <x:v>In stock</x:v>
      </x:c>
      <x:c r="L2252" t="str">
        <x:v>2026-09-08</x:v>
      </x:c>
      <x:c r="M2252" t="str"/>
      <x:c r="N2252" t="str"/>
      <x:c r="O2252" t="str">
        <x:v>https://www.activesportstrade.co.uk/supplement-needs-trade</x:v>
      </x:c>
      <x:c r="P2252" t="str"/>
      <x:c r="Q2252" t="str"/>
      <x:c r="R2252" t="str"/>
      <x:c r="S2252" t="str">
        <x:v>Pending genuine supplier/brand image</x:v>
      </x:c>
      <x:c r="T2252" s="54" t="n">
        <x:v>26</x:v>
      </x:c>
      <x:c r="U2252" s="47" t="n">
        <x:v>0.2</x:v>
      </x:c>
      <x:c r="V2252" s="54" t="n">
        <x:f>IF(ISNUMBER(T2252),T2252*(1+U2252),"")</x:f>
        <x:v>31.2</x:v>
      </x:c>
      <x:c r="W2252" s="47" t="n">
        <x:v>0.3</x:v>
      </x:c>
      <x:c r="X2252" s="54" t="n">
        <x:f>IF(ISNUMBER(V2252),V2252/(1-W2252),"")</x:f>
        <x:v>44.57142857142858</x:v>
      </x:c>
      <x:c r="Y2252" s="55" t="n">
        <x:f>IF(ISNUMBER(X2252),ROUNDUP(X2252,0),"")</x:f>
        <x:v>45</x:v>
      </x:c>
      <x:c r="Z2252" t="str">
        <x:v>Source match pending</x:v>
      </x:c>
      <x:c r="AA2252" t="str">
        <x:v>screencapture-www-activesportstrade-co-uk-supplement-needs-trade-2026-09-10-09_10_12.pdf / page-4</x:v>
      </x:c>
      <x:c r="AB2252" s="36" t="n">
        <x:f>IF(ISNUMBER(Y2252),ROUND(Y2252*0.9,2),"")</x:f>
        <x:v>40.5</x:v>
      </x:c>
      <x:c r="AC2252" s="36" t="n">
        <x:f>IF(ISNUMBER(AB2252),ROUND(AB2252-(AB2252*0.015+0.2)-V2252,2),"")</x:f>
        <x:v>8.49</x:v>
      </x:c>
      <x:c r="AD2252" s="36" t="n">
        <x:f>IF(ISNUMBER(Y2252),ROUND(Y2252*0.8,2),"")</x:f>
        <x:v>36</x:v>
      </x:c>
      <x:c r="AE2252" s="36" t="n">
        <x:f>IF(ISNUMBER(AD2252),ROUND(AD2252*0.015+0.2,2),"")</x:f>
        <x:v>0.74</x:v>
      </x:c>
      <x:c r="AF2252" s="36" t="n">
        <x:f>IF(ISNUMBER(AD2252),ROUND(AD2252-AE2252-V2252,2),"")</x:f>
        <x:v>4.06</x:v>
      </x:c>
      <x:c r="AG2252" t="str">
        <x:f>IF(NOT(ISNUMBER(T2252)),"PENDING",IF(AF2252&gt;0,"PASS","FAIL"))</x:f>
        <x:v>PASS</x:v>
      </x:c>
      <x:c r="AH2252" t="str">
        <x:f>IF(NOT(ISNUMBER(T2252)),"Needs supplier cost",IF(K2252&lt;&gt;"In stock","Supplier unavailable",IF(AG2252&lt;&gt;"PASS","BLOCK - GT loss risk","Commercially protected")))</x:f>
        <x:v>Commercially protected</x:v>
      </x:c>
      <x:c r="AI2252" t="str">
        <x:v>2026-09-10 Active Sports trade capture</x:v>
      </x:c>
      <x:c r="AJ2252" t="str">
        <x:v>Management-only economics. Stripe stress test uses 1.5% + £0.20 standard UK online-card fee; pallet/mix-and-match pricing ignored.</x:v>
      </x:c>
    </x:row>
    <x:row r="2253">
      <x:c r="A2253" t="str">
        <x:v>Active Sports Nutrition</x:v>
      </x:c>
      <x:c r="B2253" t="str">
        <x:v>Supplement Needs</x:v>
      </x:c>
      <x:c r="C2253" t="str">
        <x:v>Liposomal CoQ10</x:v>
      </x:c>
      <x:c r="D2253" t="str">
        <x:v>Supplements</x:v>
      </x:c>
      <x:c r="E2253" t="str">
        <x:v>Health Foods</x:v>
      </x:c>
      <x:c r="F2253" t="str"/>
      <x:c r="G2253" t="str">
        <x:v>150ml</x:v>
      </x:c>
      <x:c r="H2253" t="str">
        <x:v>Unflavoured</x:v>
      </x:c>
      <x:c r="I2253" t="str"/>
      <x:c r="J2253" t="str">
        <x:v>Unit</x:v>
      </x:c>
      <x:c r="K2253" t="str">
        <x:v>In stock</x:v>
      </x:c>
      <x:c r="L2253" t="str">
        <x:v>2026-09-08</x:v>
      </x:c>
      <x:c r="M2253" t="str"/>
      <x:c r="N2253" t="str"/>
      <x:c r="O2253" t="str">
        <x:v>https://www.activesportstrade.co.uk/supplement-needs-trade</x:v>
      </x:c>
      <x:c r="P2253" t="str"/>
      <x:c r="Q2253" t="str"/>
      <x:c r="R2253" t="str"/>
      <x:c r="S2253" t="str">
        <x:v>Pending genuine supplier/brand image</x:v>
      </x:c>
      <x:c r="T2253" s="54"/>
      <x:c r="U2253" s="47" t="n">
        <x:v>0.2</x:v>
      </x:c>
      <x:c r="V2253" s="54" t="str">
        <x:f>IF(ISNUMBER(T2253),T2253*(1+U2253),"")</x:f>
      </x:c>
      <x:c r="W2253" s="47" t="n">
        <x:v>0.3</x:v>
      </x:c>
      <x:c r="X2253" s="54" t="str">
        <x:f>IF(ISNUMBER(V2253),V2253/(1-W2253),"")</x:f>
      </x:c>
      <x:c r="Y2253" s="55" t="str">
        <x:f>IF(ISNUMBER(X2253),ROUNDUP(X2253,0),"")</x:f>
      </x:c>
      <x:c r="Z2253" t="str">
        <x:f>IF(ISNUMBER(T2253),"Cost captured","Awaiting trade cost")</x:f>
        <x:v>Awaiting trade cost</x:v>
      </x:c>
      <x:c r="AB2253" s="36" t="str">
        <x:f>IF(ISNUMBER(Y2253),ROUND(Y2253*0.9,2),"")</x:f>
      </x:c>
      <x:c r="AC2253" s="36" t="str">
        <x:f>IF(ISNUMBER(AB2253),ROUND(AB2253-(AB2253*0.015+0.2)-V2253,2),"")</x:f>
      </x:c>
      <x:c r="AD2253" s="36" t="str">
        <x:f>IF(ISNUMBER(Y2253),ROUND(Y2253*0.8,2),"")</x:f>
      </x:c>
      <x:c r="AE2253" s="36" t="str">
        <x:f>IF(ISNUMBER(AD2253),ROUND(AD2253*0.015+0.2,2),"")</x:f>
      </x:c>
      <x:c r="AF2253" s="36" t="str">
        <x:f>IF(ISNUMBER(AD2253),ROUND(AD2253-AE2253-V2253,2),"")</x:f>
      </x:c>
      <x:c r="AG2253" t="str">
        <x:f>IF(NOT(ISNUMBER(T2253)),"PENDING",IF(AF2253&gt;0,"PASS","FAIL"))</x:f>
        <x:v>PENDING</x:v>
      </x:c>
      <x:c r="AH2253" t="str">
        <x:f>IF(NOT(ISNUMBER(T2253)),"Needs supplier cost",IF(K2253&lt;&gt;"In stock","Supplier unavailable",IF(AG2253&lt;&gt;"PASS","BLOCK - GT loss risk","Commercially protected")))</x:f>
        <x:v>Needs supplier cost</x:v>
      </x:c>
      <x:c r="AI2253" t="str">
        <x:v>2026-09-10 Active Sports trade capture</x:v>
      </x:c>
      <x:c r="AJ2253" t="str">
        <x:v>Management-only economics. Stripe stress test uses 1.5% + £0.20 standard UK online-card fee; pallet/mix-and-match pricing ignored.</x:v>
      </x:c>
    </x:row>
    <x:row r="2254">
      <x:c r="A2254" t="str">
        <x:v>Active Sports Nutrition</x:v>
      </x:c>
      <x:c r="B2254" t="str">
        <x:v>Supplement Needs</x:v>
      </x:c>
      <x:c r="C2254" t="str">
        <x:v>Magnesium Bisglycinate</x:v>
      </x:c>
      <x:c r="D2254" t="str">
        <x:v>Supplements</x:v>
      </x:c>
      <x:c r="E2254" t="str">
        <x:v>Vitamins and Minerals</x:v>
      </x:c>
      <x:c r="F2254" t="str"/>
      <x:c r="G2254" t="str">
        <x:v>120 caps</x:v>
      </x:c>
      <x:c r="H2254" t="str">
        <x:v>Default</x:v>
      </x:c>
      <x:c r="I2254" t="str"/>
      <x:c r="J2254" t="str">
        <x:v>Unit</x:v>
      </x:c>
      <x:c r="K2254" t="str">
        <x:v>In stock</x:v>
      </x:c>
      <x:c r="L2254" t="str">
        <x:v>2026-09-08</x:v>
      </x:c>
      <x:c r="M2254" t="str"/>
      <x:c r="N2254" t="str"/>
      <x:c r="O2254" t="str">
        <x:v>https://www.activesportstrade.co.uk/supplement-needs-trade</x:v>
      </x:c>
      <x:c r="P2254" t="str"/>
      <x:c r="Q2254" t="str"/>
      <x:c r="R2254" t="str"/>
      <x:c r="S2254" t="str">
        <x:v>Pending genuine supplier/brand image</x:v>
      </x:c>
      <x:c r="T2254" s="54" t="n">
        <x:v>8.5</x:v>
      </x:c>
      <x:c r="U2254" s="47" t="n">
        <x:v>0.2</x:v>
      </x:c>
      <x:c r="V2254" s="54" t="n">
        <x:f>IF(ISNUMBER(T2254),T2254*(1+U2254),"")</x:f>
        <x:v>10.2</x:v>
      </x:c>
      <x:c r="W2254" s="47" t="n">
        <x:v>0.3</x:v>
      </x:c>
      <x:c r="X2254" s="54" t="n">
        <x:f>IF(ISNUMBER(V2254),V2254/(1-W2254),"")</x:f>
        <x:v>14.571428571428571</x:v>
      </x:c>
      <x:c r="Y2254" s="55" t="n">
        <x:f>IF(ISNUMBER(X2254),ROUNDUP(X2254,0),"")</x:f>
        <x:v>15</x:v>
      </x:c>
      <x:c r="Z2254" t="str">
        <x:v>Source match pending</x:v>
      </x:c>
      <x:c r="AA2254" t="str">
        <x:v>screencapture-www-activesportstrade-co-uk-supplement-needs-trade-2026-09-10-09_10_12.pdf / page-4</x:v>
      </x:c>
      <x:c r="AB2254" s="36" t="n">
        <x:f>IF(ISNUMBER(Y2254),ROUND(Y2254*0.9,2),"")</x:f>
        <x:v>13.5</x:v>
      </x:c>
      <x:c r="AC2254" s="36" t="n">
        <x:f>IF(ISNUMBER(AB2254),ROUND(AB2254-(AB2254*0.015+0.2)-V2254,2),"")</x:f>
        <x:v>2.9</x:v>
      </x:c>
      <x:c r="AD2254" s="36" t="n">
        <x:f>IF(ISNUMBER(Y2254),ROUND(Y2254*0.8,2),"")</x:f>
        <x:v>12</x:v>
      </x:c>
      <x:c r="AE2254" s="36" t="n">
        <x:f>IF(ISNUMBER(AD2254),ROUND(AD2254*0.015+0.2,2),"")</x:f>
        <x:v>0.38</x:v>
      </x:c>
      <x:c r="AF2254" s="36" t="n">
        <x:f>IF(ISNUMBER(AD2254),ROUND(AD2254-AE2254-V2254,2),"")</x:f>
        <x:v>1.42</x:v>
      </x:c>
      <x:c r="AG2254" t="str">
        <x:f>IF(NOT(ISNUMBER(T2254)),"PENDING",IF(AF2254&gt;0,"PASS","FAIL"))</x:f>
        <x:v>PASS</x:v>
      </x:c>
      <x:c r="AH2254" t="str">
        <x:f>IF(NOT(ISNUMBER(T2254)),"Needs supplier cost",IF(K2254&lt;&gt;"In stock","Supplier unavailable",IF(AG2254&lt;&gt;"PASS","BLOCK - GT loss risk","Commercially protected")))</x:f>
        <x:v>Commercially protected</x:v>
      </x:c>
      <x:c r="AI2254" t="str">
        <x:v>2026-09-10 Active Sports trade capture</x:v>
      </x:c>
      <x:c r="AJ2254" t="str">
        <x:v>Management-only economics. Stripe stress test uses 1.5% + £0.20 standard UK online-card fee; pallet/mix-and-match pricing ignored.</x:v>
      </x:c>
    </x:row>
    <x:row r="2255">
      <x:c r="A2255" t="str">
        <x:v>Active Sports Nutrition</x:v>
      </x:c>
      <x:c r="B2255" t="str">
        <x:v>Supplement Needs</x:v>
      </x:c>
      <x:c r="C2255" t="str">
        <x:v>Multi Vitamin &amp; Mineral Pro</x:v>
      </x:c>
      <x:c r="D2255" t="str">
        <x:v>Supplements</x:v>
      </x:c>
      <x:c r="E2255" t="str">
        <x:v>Vitamins and Minerals</x:v>
      </x:c>
      <x:c r="F2255" t="str"/>
      <x:c r="G2255" t="str">
        <x:v>30 caps</x:v>
      </x:c>
      <x:c r="H2255" t="str">
        <x:v>Default</x:v>
      </x:c>
      <x:c r="I2255" t="str"/>
      <x:c r="J2255" t="str">
        <x:v>Unit</x:v>
      </x:c>
      <x:c r="K2255" t="str">
        <x:v>In stock</x:v>
      </x:c>
      <x:c r="L2255" t="str">
        <x:v>2026-09-08</x:v>
      </x:c>
      <x:c r="M2255" t="str"/>
      <x:c r="N2255" t="str"/>
      <x:c r="O2255" t="str">
        <x:v>https://www.activesportstrade.co.uk/supplement-needs-trade</x:v>
      </x:c>
      <x:c r="P2255" t="str"/>
      <x:c r="Q2255" t="str"/>
      <x:c r="R2255" t="str"/>
      <x:c r="S2255" t="str">
        <x:v>Pending genuine supplier/brand image</x:v>
      </x:c>
      <x:c r="T2255" s="54" t="n">
        <x:v>8.5</x:v>
      </x:c>
      <x:c r="U2255" s="47" t="n">
        <x:v>0.2</x:v>
      </x:c>
      <x:c r="V2255" s="54" t="n">
        <x:f>IF(ISNUMBER(T2255),T2255*(1+U2255),"")</x:f>
        <x:v>10.2</x:v>
      </x:c>
      <x:c r="W2255" s="47" t="n">
        <x:v>0.3</x:v>
      </x:c>
      <x:c r="X2255" s="54" t="n">
        <x:f>IF(ISNUMBER(V2255),V2255/(1-W2255),"")</x:f>
        <x:v>14.571428571428571</x:v>
      </x:c>
      <x:c r="Y2255" s="55" t="n">
        <x:f>IF(ISNUMBER(X2255),ROUNDUP(X2255,0),"")</x:f>
        <x:v>15</x:v>
      </x:c>
      <x:c r="Z2255" t="str">
        <x:v>Source match pending</x:v>
      </x:c>
      <x:c r="AA2255" t="str">
        <x:v>screencapture-www-activesportstrade-co-uk-supplement-needs-trade-2026-09-10-09_10_12.pdf / page-4</x:v>
      </x:c>
      <x:c r="AB2255" s="36" t="n">
        <x:f>IF(ISNUMBER(Y2255),ROUND(Y2255*0.9,2),"")</x:f>
        <x:v>13.5</x:v>
      </x:c>
      <x:c r="AC2255" s="36" t="n">
        <x:f>IF(ISNUMBER(AB2255),ROUND(AB2255-(AB2255*0.015+0.2)-V2255,2),"")</x:f>
        <x:v>2.9</x:v>
      </x:c>
      <x:c r="AD2255" s="36" t="n">
        <x:f>IF(ISNUMBER(Y2255),ROUND(Y2255*0.8,2),"")</x:f>
        <x:v>12</x:v>
      </x:c>
      <x:c r="AE2255" s="36" t="n">
        <x:f>IF(ISNUMBER(AD2255),ROUND(AD2255*0.015+0.2,2),"")</x:f>
        <x:v>0.38</x:v>
      </x:c>
      <x:c r="AF2255" s="36" t="n">
        <x:f>IF(ISNUMBER(AD2255),ROUND(AD2255-AE2255-V2255,2),"")</x:f>
        <x:v>1.42</x:v>
      </x:c>
      <x:c r="AG2255" t="str">
        <x:f>IF(NOT(ISNUMBER(T2255)),"PENDING",IF(AF2255&gt;0,"PASS","FAIL"))</x:f>
        <x:v>PASS</x:v>
      </x:c>
      <x:c r="AH2255" t="str">
        <x:f>IF(NOT(ISNUMBER(T2255)),"Needs supplier cost",IF(K2255&lt;&gt;"In stock","Supplier unavailable",IF(AG2255&lt;&gt;"PASS","BLOCK - GT loss risk","Commercially protected")))</x:f>
        <x:v>Commercially protected</x:v>
      </x:c>
      <x:c r="AI2255" t="str">
        <x:v>2026-09-10 Active Sports trade capture</x:v>
      </x:c>
      <x:c r="AJ2255" t="str">
        <x:v>Management-only economics. Stripe stress test uses 1.5% + £0.20 standard UK online-card fee; pallet/mix-and-match pricing ignored.</x:v>
      </x:c>
    </x:row>
    <x:row r="2256">
      <x:c r="A2256" t="str">
        <x:v>Active Sports Nutrition</x:v>
      </x:c>
      <x:c r="B2256" t="str">
        <x:v>Supplement Needs</x:v>
      </x:c>
      <x:c r="C2256" t="str">
        <x:v>Multi Vitamin &amp; Mineral Pro</x:v>
      </x:c>
      <x:c r="D2256" t="str">
        <x:v>Supplements</x:v>
      </x:c>
      <x:c r="E2256" t="str">
        <x:v>Vitamins and Minerals</x:v>
      </x:c>
      <x:c r="F2256" t="str"/>
      <x:c r="G2256" t="str">
        <x:v>60 caps</x:v>
      </x:c>
      <x:c r="H2256" t="str">
        <x:v>Default</x:v>
      </x:c>
      <x:c r="I2256" t="str"/>
      <x:c r="J2256" t="str">
        <x:v>Unit</x:v>
      </x:c>
      <x:c r="K2256" t="str">
        <x:v>In stock</x:v>
      </x:c>
      <x:c r="L2256" t="str">
        <x:v>2026-09-08</x:v>
      </x:c>
      <x:c r="M2256" t="str"/>
      <x:c r="N2256" t="str"/>
      <x:c r="O2256" t="str">
        <x:v>https://www.activesportstrade.co.uk/supplement-needs-trade</x:v>
      </x:c>
      <x:c r="P2256" t="str"/>
      <x:c r="Q2256" t="str"/>
      <x:c r="R2256" t="str"/>
      <x:c r="S2256" t="str">
        <x:v>Pending genuine supplier/brand image</x:v>
      </x:c>
      <x:c r="T2256" s="54" t="n">
        <x:v>14</x:v>
      </x:c>
      <x:c r="U2256" s="47" t="n">
        <x:v>0.2</x:v>
      </x:c>
      <x:c r="V2256" s="54" t="n">
        <x:f>IF(ISNUMBER(T2256),T2256*(1+U2256),"")</x:f>
        <x:v>16.8</x:v>
      </x:c>
      <x:c r="W2256" s="47" t="n">
        <x:v>0.3</x:v>
      </x:c>
      <x:c r="X2256" s="54" t="n">
        <x:f>IF(ISNUMBER(V2256),V2256/(1-W2256),"")</x:f>
        <x:v>24.000000000000004</x:v>
      </x:c>
      <x:c r="Y2256" s="55" t="n">
        <x:f>IF(ISNUMBER(X2256),ROUNDUP(X2256,0),"")</x:f>
        <x:v>25</x:v>
      </x:c>
      <x:c r="Z2256" t="str">
        <x:v>Source match pending</x:v>
      </x:c>
      <x:c r="AA2256" t="str">
        <x:v>screencapture-www-activesportstrade-co-uk-supplement-needs-trade-2026-09-10-09_10_12.pdf / page-4</x:v>
      </x:c>
      <x:c r="AB2256" s="36" t="n">
        <x:f>IF(ISNUMBER(Y2256),ROUND(Y2256*0.9,2),"")</x:f>
        <x:v>22.5</x:v>
      </x:c>
      <x:c r="AC2256" s="36" t="n">
        <x:f>IF(ISNUMBER(AB2256),ROUND(AB2256-(AB2256*0.015+0.2)-V2256,2),"")</x:f>
        <x:v>5.16</x:v>
      </x:c>
      <x:c r="AD2256" s="36" t="n">
        <x:f>IF(ISNUMBER(Y2256),ROUND(Y2256*0.8,2),"")</x:f>
        <x:v>20</x:v>
      </x:c>
      <x:c r="AE2256" s="36" t="n">
        <x:f>IF(ISNUMBER(AD2256),ROUND(AD2256*0.015+0.2,2),"")</x:f>
        <x:v>0.5</x:v>
      </x:c>
      <x:c r="AF2256" s="36" t="n">
        <x:f>IF(ISNUMBER(AD2256),ROUND(AD2256-AE2256-V2256,2),"")</x:f>
        <x:v>2.7</x:v>
      </x:c>
      <x:c r="AG2256" t="str">
        <x:f>IF(NOT(ISNUMBER(T2256)),"PENDING",IF(AF2256&gt;0,"PASS","FAIL"))</x:f>
        <x:v>PASS</x:v>
      </x:c>
      <x:c r="AH2256" t="str">
        <x:f>IF(NOT(ISNUMBER(T2256)),"Needs supplier cost",IF(K2256&lt;&gt;"In stock","Supplier unavailable",IF(AG2256&lt;&gt;"PASS","BLOCK - GT loss risk","Commercially protected")))</x:f>
        <x:v>Commercially protected</x:v>
      </x:c>
      <x:c r="AI2256" t="str">
        <x:v>2026-09-10 Active Sports trade capture</x:v>
      </x:c>
      <x:c r="AJ2256" t="str">
        <x:v>Management-only economics. Stripe stress test uses 1.5% + £0.20 standard UK online-card fee; pallet/mix-and-match pricing ignored.</x:v>
      </x:c>
    </x:row>
    <x:row r="2257">
      <x:c r="A2257" t="str">
        <x:v>Active Sports Nutrition</x:v>
      </x:c>
      <x:c r="B2257" t="str">
        <x:v>Supplement Needs</x:v>
      </x:c>
      <x:c r="C2257" t="str">
        <x:v>Omega Femme</x:v>
      </x:c>
      <x:c r="D2257" t="str">
        <x:v>Supplements</x:v>
      </x:c>
      <x:c r="E2257" t="str">
        <x:v>Essential Fats</x:v>
      </x:c>
      <x:c r="F2257" t="str"/>
      <x:c r="G2257" t="str">
        <x:v>120 caps</x:v>
      </x:c>
      <x:c r="H2257" t="str">
        <x:v>Default</x:v>
      </x:c>
      <x:c r="I2257" t="str"/>
      <x:c r="J2257" t="str">
        <x:v>Unit</x:v>
      </x:c>
      <x:c r="K2257" t="str">
        <x:v>In stock</x:v>
      </x:c>
      <x:c r="L2257" t="str">
        <x:v>2026-09-08</x:v>
      </x:c>
      <x:c r="M2257" t="str"/>
      <x:c r="N2257" t="str"/>
      <x:c r="O2257" t="str">
        <x:v>https://www.activesportstrade.co.uk/supplement-needs-trade</x:v>
      </x:c>
      <x:c r="P2257" t="str"/>
      <x:c r="Q2257" t="str"/>
      <x:c r="R2257" t="str"/>
      <x:c r="S2257" t="str">
        <x:v>Pending genuine supplier/brand image</x:v>
      </x:c>
      <x:c r="T2257" s="54" t="n">
        <x:v>13.5</x:v>
      </x:c>
      <x:c r="U2257" s="47" t="n">
        <x:v>0.2</x:v>
      </x:c>
      <x:c r="V2257" s="54" t="n">
        <x:f>IF(ISNUMBER(T2257),T2257*(1+U2257),"")</x:f>
        <x:v>16.2</x:v>
      </x:c>
      <x:c r="W2257" s="47" t="n">
        <x:v>0.3</x:v>
      </x:c>
      <x:c r="X2257" s="54" t="n">
        <x:f>IF(ISNUMBER(V2257),V2257/(1-W2257),"")</x:f>
        <x:v>23.142857142857142</x:v>
      </x:c>
      <x:c r="Y2257" s="55" t="n">
        <x:f>IF(ISNUMBER(X2257),ROUNDUP(X2257,0),"")</x:f>
        <x:v>24</x:v>
      </x:c>
      <x:c r="Z2257" t="str">
        <x:v>Source match pending</x:v>
      </x:c>
      <x:c r="AA2257" t="str">
        <x:v>screencapture-www-activesportstrade-co-uk-supplement-needs-trade-2026-09-10-09_10_12.pdf / page-4</x:v>
      </x:c>
      <x:c r="AB2257" s="36" t="n">
        <x:f>IF(ISNUMBER(Y2257),ROUND(Y2257*0.9,2),"")</x:f>
        <x:v>21.6</x:v>
      </x:c>
      <x:c r="AC2257" s="36" t="n">
        <x:f>IF(ISNUMBER(AB2257),ROUND(AB2257-(AB2257*0.015+0.2)-V2257,2),"")</x:f>
        <x:v>4.88</x:v>
      </x:c>
      <x:c r="AD2257" s="36" t="n">
        <x:f>IF(ISNUMBER(Y2257),ROUND(Y2257*0.8,2),"")</x:f>
        <x:v>19.2</x:v>
      </x:c>
      <x:c r="AE2257" s="36" t="n">
        <x:f>IF(ISNUMBER(AD2257),ROUND(AD2257*0.015+0.2,2),"")</x:f>
        <x:v>0.49</x:v>
      </x:c>
      <x:c r="AF2257" s="36" t="n">
        <x:f>IF(ISNUMBER(AD2257),ROUND(AD2257-AE2257-V2257,2),"")</x:f>
        <x:v>2.51</x:v>
      </x:c>
      <x:c r="AG2257" t="str">
        <x:f>IF(NOT(ISNUMBER(T2257)),"PENDING",IF(AF2257&gt;0,"PASS","FAIL"))</x:f>
        <x:v>PASS</x:v>
      </x:c>
      <x:c r="AH2257" t="str">
        <x:f>IF(NOT(ISNUMBER(T2257)),"Needs supplier cost",IF(K2257&lt;&gt;"In stock","Supplier unavailable",IF(AG2257&lt;&gt;"PASS","BLOCK - GT loss risk","Commercially protected")))</x:f>
        <x:v>Commercially protected</x:v>
      </x:c>
      <x:c r="AI2257" t="str">
        <x:v>2026-09-10 Active Sports trade capture</x:v>
      </x:c>
      <x:c r="AJ2257" t="str">
        <x:v>Management-only economics. Stripe stress test uses 1.5% + £0.20 standard UK online-card fee; pallet/mix-and-match pricing ignored.</x:v>
      </x:c>
    </x:row>
    <x:row r="2258">
      <x:c r="A2258" t="str">
        <x:v>Active Sports Nutrition</x:v>
      </x:c>
      <x:c r="B2258" t="str">
        <x:v>Supplement Needs</x:v>
      </x:c>
      <x:c r="C2258" t="str">
        <x:v>Omega Pro+</x:v>
      </x:c>
      <x:c r="D2258" t="str">
        <x:v>Supplements</x:v>
      </x:c>
      <x:c r="E2258" t="str">
        <x:v>Essential Fats</x:v>
      </x:c>
      <x:c r="F2258" t="str"/>
      <x:c r="G2258" t="str">
        <x:v>180 chews</x:v>
      </x:c>
      <x:c r="H2258" t="str">
        <x:v>Default</x:v>
      </x:c>
      <x:c r="I2258" t="str"/>
      <x:c r="J2258" t="str">
        <x:v>Unit</x:v>
      </x:c>
      <x:c r="K2258" t="str">
        <x:v>In stock</x:v>
      </x:c>
      <x:c r="L2258" t="str">
        <x:v>2026-09-08</x:v>
      </x:c>
      <x:c r="M2258" t="str"/>
      <x:c r="N2258" t="str"/>
      <x:c r="O2258" t="str">
        <x:v>https://www.activesportstrade.co.uk/supplement-needs-trade</x:v>
      </x:c>
      <x:c r="P2258" t="str"/>
      <x:c r="Q2258" t="str"/>
      <x:c r="R2258" t="str"/>
      <x:c r="S2258" t="str">
        <x:v>Pending genuine supplier/brand image</x:v>
      </x:c>
      <x:c r="T2258" s="54" t="n">
        <x:v>20.5</x:v>
      </x:c>
      <x:c r="U2258" s="47" t="n">
        <x:v>0.2</x:v>
      </x:c>
      <x:c r="V2258" s="54" t="n">
        <x:f>IF(ISNUMBER(T2258),T2258*(1+U2258),"")</x:f>
        <x:v>24.599999999999998</x:v>
      </x:c>
      <x:c r="W2258" s="47" t="n">
        <x:v>0.3</x:v>
      </x:c>
      <x:c r="X2258" s="54" t="n">
        <x:f>IF(ISNUMBER(V2258),V2258/(1-W2258),"")</x:f>
        <x:v>35.14285714285714</x:v>
      </x:c>
      <x:c r="Y2258" s="55" t="n">
        <x:f>IF(ISNUMBER(X2258),ROUNDUP(X2258,0),"")</x:f>
        <x:v>36</x:v>
      </x:c>
      <x:c r="Z2258" t="str">
        <x:v>Source match pending</x:v>
      </x:c>
      <x:c r="AA2258" t="str">
        <x:v>screencapture-www-activesportstrade-co-uk-supplement-needs-trade-2026-09-10-09_10_12.pdf / page-5</x:v>
      </x:c>
      <x:c r="AB2258" s="36" t="n">
        <x:f>IF(ISNUMBER(Y2258),ROUND(Y2258*0.9,2),"")</x:f>
        <x:v>32.4</x:v>
      </x:c>
      <x:c r="AC2258" s="36" t="n">
        <x:f>IF(ISNUMBER(AB2258),ROUND(AB2258-(AB2258*0.015+0.2)-V2258,2),"")</x:f>
        <x:v>7.11</x:v>
      </x:c>
      <x:c r="AD2258" s="36" t="n">
        <x:f>IF(ISNUMBER(Y2258),ROUND(Y2258*0.8,2),"")</x:f>
        <x:v>28.8</x:v>
      </x:c>
      <x:c r="AE2258" s="36" t="n">
        <x:f>IF(ISNUMBER(AD2258),ROUND(AD2258*0.015+0.2,2),"")</x:f>
        <x:v>0.63</x:v>
      </x:c>
      <x:c r="AF2258" s="36" t="n">
        <x:f>IF(ISNUMBER(AD2258),ROUND(AD2258-AE2258-V2258,2),"")</x:f>
        <x:v>3.57</x:v>
      </x:c>
      <x:c r="AG2258" t="str">
        <x:f>IF(NOT(ISNUMBER(T2258)),"PENDING",IF(AF2258&gt;0,"PASS","FAIL"))</x:f>
        <x:v>PASS</x:v>
      </x:c>
      <x:c r="AH2258" t="str">
        <x:f>IF(NOT(ISNUMBER(T2258)),"Needs supplier cost",IF(K2258&lt;&gt;"In stock","Supplier unavailable",IF(AG2258&lt;&gt;"PASS","BLOCK - GT loss risk","Commercially protected")))</x:f>
        <x:v>Commercially protected</x:v>
      </x:c>
      <x:c r="AI2258" t="str">
        <x:v>2026-09-10 Active Sports trade capture</x:v>
      </x:c>
      <x:c r="AJ2258" t="str">
        <x:v>Management-only economics. Stripe stress test uses 1.5% + £0.20 standard UK online-card fee; pallet/mix-and-match pricing ignored.</x:v>
      </x:c>
    </x:row>
    <x:row r="2259">
      <x:c r="A2259" t="str">
        <x:v>Active Sports Nutrition</x:v>
      </x:c>
      <x:c r="B2259" t="str">
        <x:v>Supplement Needs</x:v>
      </x:c>
      <x:c r="C2259" t="str">
        <x:v>PCOS+</x:v>
      </x:c>
      <x:c r="D2259" t="str">
        <x:v>Supplements</x:v>
      </x:c>
      <x:c r="E2259" t="str">
        <x:v>Health Foods</x:v>
      </x:c>
      <x:c r="F2259" t="str"/>
      <x:c r="G2259" t="str">
        <x:v>240 caps</x:v>
      </x:c>
      <x:c r="H2259" t="str">
        <x:v>Default</x:v>
      </x:c>
      <x:c r="I2259" t="str"/>
      <x:c r="J2259" t="str">
        <x:v>Unit</x:v>
      </x:c>
      <x:c r="K2259" t="str">
        <x:v>In stock</x:v>
      </x:c>
      <x:c r="L2259" t="str">
        <x:v>2026-09-08</x:v>
      </x:c>
      <x:c r="M2259" t="str"/>
      <x:c r="N2259" t="str"/>
      <x:c r="O2259" t="str">
        <x:v>https://www.activesportstrade.co.uk/supplement-needs-trade</x:v>
      </x:c>
      <x:c r="P2259" t="str"/>
      <x:c r="Q2259" t="str"/>
      <x:c r="R2259" t="str"/>
      <x:c r="S2259" t="str">
        <x:v>Pending genuine supplier/brand image</x:v>
      </x:c>
      <x:c r="T2259" s="54" t="n">
        <x:v>29</x:v>
      </x:c>
      <x:c r="U2259" s="47" t="n">
        <x:v>0.2</x:v>
      </x:c>
      <x:c r="V2259" s="54" t="n">
        <x:f>IF(ISNUMBER(T2259),T2259*(1+U2259),"")</x:f>
        <x:v>34.8</x:v>
      </x:c>
      <x:c r="W2259" s="47" t="n">
        <x:v>0.3</x:v>
      </x:c>
      <x:c r="X2259" s="54" t="n">
        <x:f>IF(ISNUMBER(V2259),V2259/(1-W2259),"")</x:f>
        <x:v>49.714285714285715</x:v>
      </x:c>
      <x:c r="Y2259" s="55" t="n">
        <x:f>IF(ISNUMBER(X2259),ROUNDUP(X2259,0),"")</x:f>
        <x:v>50</x:v>
      </x:c>
      <x:c r="Z2259" t="str">
        <x:v>Source match pending</x:v>
      </x:c>
      <x:c r="AA2259" t="str">
        <x:v>screencapture-www-activesportstrade-co-uk-supplement-needs-trade-2026-09-10-09_10_12.pdf / page-5</x:v>
      </x:c>
      <x:c r="AB2259" s="36" t="n">
        <x:f>IF(ISNUMBER(Y2259),ROUND(Y2259*0.9,2),"")</x:f>
        <x:v>45</x:v>
      </x:c>
      <x:c r="AC2259" s="36" t="n">
        <x:f>IF(ISNUMBER(AB2259),ROUND(AB2259-(AB2259*0.015+0.2)-V2259,2),"")</x:f>
        <x:v>9.33</x:v>
      </x:c>
      <x:c r="AD2259" s="36" t="n">
        <x:f>IF(ISNUMBER(Y2259),ROUND(Y2259*0.8,2),"")</x:f>
        <x:v>40</x:v>
      </x:c>
      <x:c r="AE2259" s="36" t="n">
        <x:f>IF(ISNUMBER(AD2259),ROUND(AD2259*0.015+0.2,2),"")</x:f>
        <x:v>0.8</x:v>
      </x:c>
      <x:c r="AF2259" s="36" t="n">
        <x:f>IF(ISNUMBER(AD2259),ROUND(AD2259-AE2259-V2259,2),"")</x:f>
        <x:v>4.4</x:v>
      </x:c>
      <x:c r="AG2259" t="str">
        <x:f>IF(NOT(ISNUMBER(T2259)),"PENDING",IF(AF2259&gt;0,"PASS","FAIL"))</x:f>
        <x:v>PASS</x:v>
      </x:c>
      <x:c r="AH2259" t="str">
        <x:f>IF(NOT(ISNUMBER(T2259)),"Needs supplier cost",IF(K2259&lt;&gt;"In stock","Supplier unavailable",IF(AG2259&lt;&gt;"PASS","BLOCK - GT loss risk","Commercially protected")))</x:f>
        <x:v>Commercially protected</x:v>
      </x:c>
      <x:c r="AI2259" t="str">
        <x:v>2026-09-10 Active Sports trade capture</x:v>
      </x:c>
      <x:c r="AJ2259" t="str">
        <x:v>Management-only economics. Stripe stress test uses 1.5% + £0.20 standard UK online-card fee; pallet/mix-and-match pricing ignored.</x:v>
      </x:c>
    </x:row>
    <x:row r="2260">
      <x:c r="A2260" t="str">
        <x:v>Active Sports Nutrition</x:v>
      </x:c>
      <x:c r="B2260" t="str">
        <x:v>Supplement Needs</x:v>
      </x:c>
      <x:c r="C2260" t="str">
        <x:v>PM Priming Stack</x:v>
      </x:c>
      <x:c r="D2260" t="str">
        <x:v>Supplements</x:v>
      </x:c>
      <x:c r="E2260" t="str">
        <x:v>Health Foods</x:v>
      </x:c>
      <x:c r="F2260" t="str"/>
      <x:c r="G2260" t="str">
        <x:v>30 servings</x:v>
      </x:c>
      <x:c r="H2260" t="str">
        <x:v>Strawberry Lime Chews</x:v>
      </x:c>
      <x:c r="I2260" t="str"/>
      <x:c r="J2260" t="str">
        <x:v>Unit</x:v>
      </x:c>
      <x:c r="K2260" t="str">
        <x:v>In stock</x:v>
      </x:c>
      <x:c r="L2260" t="str">
        <x:v>2026-09-08</x:v>
      </x:c>
      <x:c r="M2260" t="str"/>
      <x:c r="N2260" t="str"/>
      <x:c r="O2260" t="str">
        <x:v>https://www.activesportstrade.co.uk/supplement-needs-trade</x:v>
      </x:c>
      <x:c r="P2260" t="str"/>
      <x:c r="Q2260" t="str"/>
      <x:c r="R2260" t="str"/>
      <x:c r="S2260" t="str">
        <x:v>Pending genuine supplier/brand image</x:v>
      </x:c>
      <x:c r="T2260" s="54" t="n">
        <x:v>29</x:v>
      </x:c>
      <x:c r="U2260" s="47" t="n">
        <x:v>0.2</x:v>
      </x:c>
      <x:c r="V2260" s="54" t="n">
        <x:f>IF(ISNUMBER(T2260),T2260*(1+U2260),"")</x:f>
        <x:v>34.8</x:v>
      </x:c>
      <x:c r="W2260" s="47" t="n">
        <x:v>0.3</x:v>
      </x:c>
      <x:c r="X2260" s="54" t="n">
        <x:f>IF(ISNUMBER(V2260),V2260/(1-W2260),"")</x:f>
        <x:v>49.714285714285715</x:v>
      </x:c>
      <x:c r="Y2260" s="55" t="n">
        <x:f>IF(ISNUMBER(X2260),ROUNDUP(X2260,0),"")</x:f>
        <x:v>50</x:v>
      </x:c>
      <x:c r="Z2260" t="str">
        <x:v>Source match pending</x:v>
      </x:c>
      <x:c r="AA2260" t="str">
        <x:v>screencapture-www-activesportstrade-co-uk-supplement-needs-trade-2026-09-10-09_10_12.pdf / page-5</x:v>
      </x:c>
      <x:c r="AB2260" s="36" t="n">
        <x:f>IF(ISNUMBER(Y2260),ROUND(Y2260*0.9,2),"")</x:f>
        <x:v>45</x:v>
      </x:c>
      <x:c r="AC2260" s="36" t="n">
        <x:f>IF(ISNUMBER(AB2260),ROUND(AB2260-(AB2260*0.015+0.2)-V2260,2),"")</x:f>
        <x:v>9.33</x:v>
      </x:c>
      <x:c r="AD2260" s="36" t="n">
        <x:f>IF(ISNUMBER(Y2260),ROUND(Y2260*0.8,2),"")</x:f>
        <x:v>40</x:v>
      </x:c>
      <x:c r="AE2260" s="36" t="n">
        <x:f>IF(ISNUMBER(AD2260),ROUND(AD2260*0.015+0.2,2),"")</x:f>
        <x:v>0.8</x:v>
      </x:c>
      <x:c r="AF2260" s="36" t="n">
        <x:f>IF(ISNUMBER(AD2260),ROUND(AD2260-AE2260-V2260,2),"")</x:f>
        <x:v>4.4</x:v>
      </x:c>
      <x:c r="AG2260" t="str">
        <x:f>IF(NOT(ISNUMBER(T2260)),"PENDING",IF(AF2260&gt;0,"PASS","FAIL"))</x:f>
        <x:v>PASS</x:v>
      </x:c>
      <x:c r="AH2260" t="str">
        <x:f>IF(NOT(ISNUMBER(T2260)),"Needs supplier cost",IF(K2260&lt;&gt;"In stock","Supplier unavailable",IF(AG2260&lt;&gt;"PASS","BLOCK - GT loss risk","Commercially protected")))</x:f>
        <x:v>Commercially protected</x:v>
      </x:c>
      <x:c r="AI2260" t="str">
        <x:v>2026-09-10 Active Sports trade capture</x:v>
      </x:c>
      <x:c r="AJ2260" t="str">
        <x:v>Management-only economics. Stripe stress test uses 1.5% + £0.20 standard UK online-card fee; pallet/mix-and-match pricing ignored.</x:v>
      </x:c>
    </x:row>
    <x:row r="2261">
      <x:c r="A2261" t="str">
        <x:v>Active Sports Nutrition</x:v>
      </x:c>
      <x:c r="B2261" t="str">
        <x:v>Supplement Needs</x:v>
      </x:c>
      <x:c r="C2261" t="str">
        <x:v>PMS+</x:v>
      </x:c>
      <x:c r="D2261" t="str">
        <x:v>Supplements</x:v>
      </x:c>
      <x:c r="E2261" t="str">
        <x:v>Health Foods</x:v>
      </x:c>
      <x:c r="F2261" t="str"/>
      <x:c r="G2261" t="str">
        <x:v>150 caps</x:v>
      </x:c>
      <x:c r="H2261" t="str">
        <x:v>Default</x:v>
      </x:c>
      <x:c r="I2261" t="str"/>
      <x:c r="J2261" t="str">
        <x:v>Unit</x:v>
      </x:c>
      <x:c r="K2261" t="str">
        <x:v>In stock</x:v>
      </x:c>
      <x:c r="L2261" t="str">
        <x:v>2026-09-08</x:v>
      </x:c>
      <x:c r="M2261" t="str"/>
      <x:c r="N2261" t="str"/>
      <x:c r="O2261" t="str">
        <x:v>https://www.activesportstrade.co.uk/supplement-needs-trade</x:v>
      </x:c>
      <x:c r="P2261" t="str"/>
      <x:c r="Q2261" t="str"/>
      <x:c r="R2261" t="str"/>
      <x:c r="S2261" t="str">
        <x:v>Pending genuine supplier/brand image</x:v>
      </x:c>
      <x:c r="T2261" s="54" t="n">
        <x:v>19</x:v>
      </x:c>
      <x:c r="U2261" s="47" t="n">
        <x:v>0.2</x:v>
      </x:c>
      <x:c r="V2261" s="54" t="n">
        <x:f>IF(ISNUMBER(T2261),T2261*(1+U2261),"")</x:f>
        <x:v>22.8</x:v>
      </x:c>
      <x:c r="W2261" s="47" t="n">
        <x:v>0.3</x:v>
      </x:c>
      <x:c r="X2261" s="54" t="n">
        <x:f>IF(ISNUMBER(V2261),V2261/(1-W2261),"")</x:f>
        <x:v>32.57142857142858</x:v>
      </x:c>
      <x:c r="Y2261" s="55" t="n">
        <x:f>IF(ISNUMBER(X2261),ROUNDUP(X2261,0),"")</x:f>
        <x:v>33</x:v>
      </x:c>
      <x:c r="Z2261" t="str">
        <x:v>Source match pending</x:v>
      </x:c>
      <x:c r="AA2261" t="str">
        <x:v>screencapture-www-activesportstrade-co-uk-supplement-needs-trade-2026-09-10-09_10_12.pdf / page-5</x:v>
      </x:c>
      <x:c r="AB2261" s="36" t="n">
        <x:f>IF(ISNUMBER(Y2261),ROUND(Y2261*0.9,2),"")</x:f>
        <x:v>29.7</x:v>
      </x:c>
      <x:c r="AC2261" s="36" t="n">
        <x:f>IF(ISNUMBER(AB2261),ROUND(AB2261-(AB2261*0.015+0.2)-V2261,2),"")</x:f>
        <x:v>6.25</x:v>
      </x:c>
      <x:c r="AD2261" s="36" t="n">
        <x:f>IF(ISNUMBER(Y2261),ROUND(Y2261*0.8,2),"")</x:f>
        <x:v>26.4</x:v>
      </x:c>
      <x:c r="AE2261" s="36" t="n">
        <x:f>IF(ISNUMBER(AD2261),ROUND(AD2261*0.015+0.2,2),"")</x:f>
        <x:v>0.6</x:v>
      </x:c>
      <x:c r="AF2261" s="36" t="n">
        <x:f>IF(ISNUMBER(AD2261),ROUND(AD2261-AE2261-V2261,2),"")</x:f>
        <x:v>3</x:v>
      </x:c>
      <x:c r="AG2261" t="str">
        <x:f>IF(NOT(ISNUMBER(T2261)),"PENDING",IF(AF2261&gt;0,"PASS","FAIL"))</x:f>
        <x:v>PASS</x:v>
      </x:c>
      <x:c r="AH2261" t="str">
        <x:f>IF(NOT(ISNUMBER(T2261)),"Needs supplier cost",IF(K2261&lt;&gt;"In stock","Supplier unavailable",IF(AG2261&lt;&gt;"PASS","BLOCK - GT loss risk","Commercially protected")))</x:f>
        <x:v>Commercially protected</x:v>
      </x:c>
      <x:c r="AI2261" t="str">
        <x:v>2026-09-10 Active Sports trade capture</x:v>
      </x:c>
      <x:c r="AJ2261" t="str">
        <x:v>Management-only economics. Stripe stress test uses 1.5% + £0.20 standard UK online-card fee; pallet/mix-and-match pricing ignored.</x:v>
      </x:c>
    </x:row>
    <x:row r="2262">
      <x:c r="A2262" t="str">
        <x:v>Active Sports Nutrition</x:v>
      </x:c>
      <x:c r="B2262" t="str">
        <x:v>Supplement Needs</x:v>
      </x:c>
      <x:c r="C2262" t="str">
        <x:v>PQQ</x:v>
      </x:c>
      <x:c r="D2262" t="str">
        <x:v>Supplements</x:v>
      </x:c>
      <x:c r="E2262" t="str">
        <x:v>Health Foods</x:v>
      </x:c>
      <x:c r="F2262" t="str"/>
      <x:c r="G2262" t="str">
        <x:v>60 tabs</x:v>
      </x:c>
      <x:c r="H2262" t="str">
        <x:v>Default</x:v>
      </x:c>
      <x:c r="I2262" t="str"/>
      <x:c r="J2262" t="str">
        <x:v>Unit</x:v>
      </x:c>
      <x:c r="K2262" t="str">
        <x:v>In stock</x:v>
      </x:c>
      <x:c r="L2262" t="str">
        <x:v>2026-09-08</x:v>
      </x:c>
      <x:c r="M2262" t="str"/>
      <x:c r="N2262" t="str"/>
      <x:c r="O2262" t="str">
        <x:v>https://www.activesportstrade.co.uk/supplement-needs-trade</x:v>
      </x:c>
      <x:c r="P2262" t="str"/>
      <x:c r="Q2262" t="str"/>
      <x:c r="R2262" t="str"/>
      <x:c r="S2262" t="str">
        <x:v>Pending genuine supplier/brand image</x:v>
      </x:c>
      <x:c r="T2262" s="54" t="n">
        <x:v>14</x:v>
      </x:c>
      <x:c r="U2262" s="47" t="n">
        <x:v>0.2</x:v>
      </x:c>
      <x:c r="V2262" s="54" t="n">
        <x:f>IF(ISNUMBER(T2262),T2262*(1+U2262),"")</x:f>
        <x:v>16.8</x:v>
      </x:c>
      <x:c r="W2262" s="47" t="n">
        <x:v>0.3</x:v>
      </x:c>
      <x:c r="X2262" s="54" t="n">
        <x:f>IF(ISNUMBER(V2262),V2262/(1-W2262),"")</x:f>
        <x:v>24.000000000000004</x:v>
      </x:c>
      <x:c r="Y2262" s="55" t="n">
        <x:f>IF(ISNUMBER(X2262),ROUNDUP(X2262,0),"")</x:f>
        <x:v>25</x:v>
      </x:c>
      <x:c r="Z2262" t="str">
        <x:v>Source match pending</x:v>
      </x:c>
      <x:c r="AA2262" t="str">
        <x:v>screencapture-www-activesportstrade-co-uk-supplement-needs-trade-2026-09-10-09_10_12.pdf / page-5</x:v>
      </x:c>
      <x:c r="AB2262" s="36" t="n">
        <x:f>IF(ISNUMBER(Y2262),ROUND(Y2262*0.9,2),"")</x:f>
        <x:v>22.5</x:v>
      </x:c>
      <x:c r="AC2262" s="36" t="n">
        <x:f>IF(ISNUMBER(AB2262),ROUND(AB2262-(AB2262*0.015+0.2)-V2262,2),"")</x:f>
        <x:v>5.16</x:v>
      </x:c>
      <x:c r="AD2262" s="36" t="n">
        <x:f>IF(ISNUMBER(Y2262),ROUND(Y2262*0.8,2),"")</x:f>
        <x:v>20</x:v>
      </x:c>
      <x:c r="AE2262" s="36" t="n">
        <x:f>IF(ISNUMBER(AD2262),ROUND(AD2262*0.015+0.2,2),"")</x:f>
        <x:v>0.5</x:v>
      </x:c>
      <x:c r="AF2262" s="36" t="n">
        <x:f>IF(ISNUMBER(AD2262),ROUND(AD2262-AE2262-V2262,2),"")</x:f>
        <x:v>2.7</x:v>
      </x:c>
      <x:c r="AG2262" t="str">
        <x:f>IF(NOT(ISNUMBER(T2262)),"PENDING",IF(AF2262&gt;0,"PASS","FAIL"))</x:f>
        <x:v>PASS</x:v>
      </x:c>
      <x:c r="AH2262" t="str">
        <x:f>IF(NOT(ISNUMBER(T2262)),"Needs supplier cost",IF(K2262&lt;&gt;"In stock","Supplier unavailable",IF(AG2262&lt;&gt;"PASS","BLOCK - GT loss risk","Commercially protected")))</x:f>
        <x:v>Commercially protected</x:v>
      </x:c>
      <x:c r="AI2262" t="str">
        <x:v>2026-09-10 Active Sports trade capture</x:v>
      </x:c>
      <x:c r="AJ2262" t="str">
        <x:v>Management-only economics. Stripe stress test uses 1.5% + £0.20 standard UK online-card fee; pallet/mix-and-match pricing ignored.</x:v>
      </x:c>
    </x:row>
    <x:row r="2263">
      <x:c r="A2263" t="str">
        <x:v>Active Sports Nutrition</x:v>
      </x:c>
      <x:c r="B2263" t="str">
        <x:v>Supplement Needs</x:v>
      </x:c>
      <x:c r="C2263" t="str">
        <x:v>PRE Pump +</x:v>
      </x:c>
      <x:c r="D2263" t="str">
        <x:v>Pre Workouts</x:v>
      </x:c>
      <x:c r="E2263" t="str">
        <x:v>Pre Workout</x:v>
      </x:c>
      <x:c r="F2263" t="str"/>
      <x:c r="G2263" t="str">
        <x:v>30 servings</x:v>
      </x:c>
      <x:c r="H2263" t="str">
        <x:v>Cola Lime</x:v>
      </x:c>
      <x:c r="I2263" t="str"/>
      <x:c r="J2263" t="str">
        <x:v>Unit</x:v>
      </x:c>
      <x:c r="K2263" t="str">
        <x:v>In stock</x:v>
      </x:c>
      <x:c r="L2263" t="str">
        <x:v>2026-09-08</x:v>
      </x:c>
      <x:c r="M2263" t="str"/>
      <x:c r="N2263" t="str"/>
      <x:c r="O2263" t="str">
        <x:v>https://www.activesportstrade.co.uk/supplement-needs-trade</x:v>
      </x:c>
      <x:c r="P2263" t="str"/>
      <x:c r="Q2263" t="str"/>
      <x:c r="R2263" t="str"/>
      <x:c r="S2263" t="str">
        <x:v>Pending genuine supplier/brand image</x:v>
      </x:c>
      <x:c r="T2263" s="54" t="n">
        <x:v>22</x:v>
      </x:c>
      <x:c r="U2263" s="47" t="n">
        <x:v>0.2</x:v>
      </x:c>
      <x:c r="V2263" s="54" t="n">
        <x:f>IF(ISNUMBER(T2263),T2263*(1+U2263),"")</x:f>
        <x:v>26.4</x:v>
      </x:c>
      <x:c r="W2263" s="47" t="n">
        <x:v>0.3</x:v>
      </x:c>
      <x:c r="X2263" s="54" t="n">
        <x:f>IF(ISNUMBER(V2263),V2263/(1-W2263),"")</x:f>
        <x:v>37.714285714285715</x:v>
      </x:c>
      <x:c r="Y2263" s="55" t="n">
        <x:f>IF(ISNUMBER(X2263),ROUNDUP(X2263,0),"")</x:f>
        <x:v>38</x:v>
      </x:c>
      <x:c r="Z2263" t="str">
        <x:v>Source match pending</x:v>
      </x:c>
      <x:c r="AA2263" t="str">
        <x:v>screencapture-www-activesportstrade-co-uk-supplement-needs-trade-2026-09-10-09_10_12.pdf / page-5</x:v>
      </x:c>
      <x:c r="AB2263" s="36" t="n">
        <x:f>IF(ISNUMBER(Y2263),ROUND(Y2263*0.9,2),"")</x:f>
        <x:v>34.2</x:v>
      </x:c>
      <x:c r="AC2263" s="36" t="n">
        <x:f>IF(ISNUMBER(AB2263),ROUND(AB2263-(AB2263*0.015+0.2)-V2263,2),"")</x:f>
        <x:v>7.09</x:v>
      </x:c>
      <x:c r="AD2263" s="36" t="n">
        <x:f>IF(ISNUMBER(Y2263),ROUND(Y2263*0.8,2),"")</x:f>
        <x:v>30.4</x:v>
      </x:c>
      <x:c r="AE2263" s="36" t="n">
        <x:f>IF(ISNUMBER(AD2263),ROUND(AD2263*0.015+0.2,2),"")</x:f>
        <x:v>0.66</x:v>
      </x:c>
      <x:c r="AF2263" s="36" t="n">
        <x:f>IF(ISNUMBER(AD2263),ROUND(AD2263-AE2263-V2263,2),"")</x:f>
        <x:v>3.34</x:v>
      </x:c>
      <x:c r="AG2263" t="str">
        <x:f>IF(NOT(ISNUMBER(T2263)),"PENDING",IF(AF2263&gt;0,"PASS","FAIL"))</x:f>
        <x:v>PASS</x:v>
      </x:c>
      <x:c r="AH2263" t="str">
        <x:f>IF(NOT(ISNUMBER(T2263)),"Needs supplier cost",IF(K2263&lt;&gt;"In stock","Supplier unavailable",IF(AG2263&lt;&gt;"PASS","BLOCK - GT loss risk","Commercially protected")))</x:f>
        <x:v>Commercially protected</x:v>
      </x:c>
      <x:c r="AI2263" t="str">
        <x:v>2026-09-10 Active Sports trade capture</x:v>
      </x:c>
      <x:c r="AJ2263" t="str">
        <x:v>Management-only economics. Stripe stress test uses 1.5% + £0.20 standard UK online-card fee; pallet/mix-and-match pricing ignored.</x:v>
      </x:c>
    </x:row>
    <x:row r="2264">
      <x:c r="A2264" t="str">
        <x:v>Active Sports Nutrition</x:v>
      </x:c>
      <x:c r="B2264" t="str">
        <x:v>Supplement Needs</x:v>
      </x:c>
      <x:c r="C2264" t="str">
        <x:v>PRE Pump +</x:v>
      </x:c>
      <x:c r="D2264" t="str">
        <x:v>Pre Workouts</x:v>
      </x:c>
      <x:c r="E2264" t="str">
        <x:v>Pre Workout</x:v>
      </x:c>
      <x:c r="F2264" t="str"/>
      <x:c r="G2264" t="str">
        <x:v>30 servings</x:v>
      </x:c>
      <x:c r="H2264" t="str">
        <x:v>Lemon Sherbet</x:v>
      </x:c>
      <x:c r="I2264" t="str"/>
      <x:c r="J2264" t="str">
        <x:v>Unit</x:v>
      </x:c>
      <x:c r="K2264" t="str">
        <x:v>In stock</x:v>
      </x:c>
      <x:c r="L2264" t="str">
        <x:v>2026-09-08</x:v>
      </x:c>
      <x:c r="M2264" t="str"/>
      <x:c r="N2264" t="str"/>
      <x:c r="O2264" t="str">
        <x:v>https://www.activesportstrade.co.uk/supplement-needs-trade</x:v>
      </x:c>
      <x:c r="P2264" t="str"/>
      <x:c r="Q2264" t="str"/>
      <x:c r="R2264" t="str"/>
      <x:c r="S2264" t="str">
        <x:v>Pending genuine supplier/brand image</x:v>
      </x:c>
      <x:c r="T2264" s="54" t="n">
        <x:v>22</x:v>
      </x:c>
      <x:c r="U2264" s="47" t="n">
        <x:v>0.2</x:v>
      </x:c>
      <x:c r="V2264" s="54" t="n">
        <x:f>IF(ISNUMBER(T2264),T2264*(1+U2264),"")</x:f>
        <x:v>26.4</x:v>
      </x:c>
      <x:c r="W2264" s="47" t="n">
        <x:v>0.3</x:v>
      </x:c>
      <x:c r="X2264" s="54" t="n">
        <x:f>IF(ISNUMBER(V2264),V2264/(1-W2264),"")</x:f>
        <x:v>37.714285714285715</x:v>
      </x:c>
      <x:c r="Y2264" s="55" t="n">
        <x:f>IF(ISNUMBER(X2264),ROUNDUP(X2264,0),"")</x:f>
        <x:v>38</x:v>
      </x:c>
      <x:c r="Z2264" t="str">
        <x:v>Source match pending</x:v>
      </x:c>
      <x:c r="AA2264" t="str">
        <x:v>screencapture-www-activesportstrade-co-uk-supplement-needs-trade-2026-09-10-09_10_12.pdf / page-5</x:v>
      </x:c>
      <x:c r="AB2264" s="36" t="n">
        <x:f>IF(ISNUMBER(Y2264),ROUND(Y2264*0.9,2),"")</x:f>
        <x:v>34.2</x:v>
      </x:c>
      <x:c r="AC2264" s="36" t="n">
        <x:f>IF(ISNUMBER(AB2264),ROUND(AB2264-(AB2264*0.015+0.2)-V2264,2),"")</x:f>
        <x:v>7.09</x:v>
      </x:c>
      <x:c r="AD2264" s="36" t="n">
        <x:f>IF(ISNUMBER(Y2264),ROUND(Y2264*0.8,2),"")</x:f>
        <x:v>30.4</x:v>
      </x:c>
      <x:c r="AE2264" s="36" t="n">
        <x:f>IF(ISNUMBER(AD2264),ROUND(AD2264*0.015+0.2,2),"")</x:f>
        <x:v>0.66</x:v>
      </x:c>
      <x:c r="AF2264" s="36" t="n">
        <x:f>IF(ISNUMBER(AD2264),ROUND(AD2264-AE2264-V2264,2),"")</x:f>
        <x:v>3.34</x:v>
      </x:c>
      <x:c r="AG2264" t="str">
        <x:f>IF(NOT(ISNUMBER(T2264)),"PENDING",IF(AF2264&gt;0,"PASS","FAIL"))</x:f>
        <x:v>PASS</x:v>
      </x:c>
      <x:c r="AH2264" t="str">
        <x:f>IF(NOT(ISNUMBER(T2264)),"Needs supplier cost",IF(K2264&lt;&gt;"In stock","Supplier unavailable",IF(AG2264&lt;&gt;"PASS","BLOCK - GT loss risk","Commercially protected")))</x:f>
        <x:v>Commercially protected</x:v>
      </x:c>
      <x:c r="AI2264" t="str">
        <x:v>2026-09-10 Active Sports trade capture</x:v>
      </x:c>
      <x:c r="AJ2264" t="str">
        <x:v>Management-only economics. Stripe stress test uses 1.5% + £0.20 standard UK online-card fee; pallet/mix-and-match pricing ignored.</x:v>
      </x:c>
    </x:row>
    <x:row r="2265">
      <x:c r="A2265" t="str">
        <x:v>Active Sports Nutrition</x:v>
      </x:c>
      <x:c r="B2265" t="str">
        <x:v>Supplement Needs</x:v>
      </x:c>
      <x:c r="C2265" t="str">
        <x:v>PRE Pump +</x:v>
      </x:c>
      <x:c r="D2265" t="str">
        <x:v>Pre Workouts</x:v>
      </x:c>
      <x:c r="E2265" t="str">
        <x:v>Pre Workout</x:v>
      </x:c>
      <x:c r="F2265" t="str"/>
      <x:c r="G2265" t="str">
        <x:v>30 servings</x:v>
      </x:c>
      <x:c r="H2265" t="str">
        <x:v>Strawberry Surge</x:v>
      </x:c>
      <x:c r="I2265" t="str"/>
      <x:c r="J2265" t="str">
        <x:v>Unit</x:v>
      </x:c>
      <x:c r="K2265" t="str">
        <x:v>In stock</x:v>
      </x:c>
      <x:c r="L2265" t="str">
        <x:v>2026-09-08</x:v>
      </x:c>
      <x:c r="M2265" t="str"/>
      <x:c r="N2265" t="str"/>
      <x:c r="O2265" t="str">
        <x:v>https://www.activesportstrade.co.uk/supplement-needs-trade</x:v>
      </x:c>
      <x:c r="P2265" t="str"/>
      <x:c r="Q2265" t="str"/>
      <x:c r="R2265" t="str"/>
      <x:c r="S2265" t="str">
        <x:v>Pending genuine supplier/brand image</x:v>
      </x:c>
      <x:c r="T2265" s="54" t="n">
        <x:v>22</x:v>
      </x:c>
      <x:c r="U2265" s="47" t="n">
        <x:v>0.2</x:v>
      </x:c>
      <x:c r="V2265" s="54" t="n">
        <x:f>IF(ISNUMBER(T2265),T2265*(1+U2265),"")</x:f>
        <x:v>26.4</x:v>
      </x:c>
      <x:c r="W2265" s="47" t="n">
        <x:v>0.3</x:v>
      </x:c>
      <x:c r="X2265" s="54" t="n">
        <x:f>IF(ISNUMBER(V2265),V2265/(1-W2265),"")</x:f>
        <x:v>37.714285714285715</x:v>
      </x:c>
      <x:c r="Y2265" s="55" t="n">
        <x:f>IF(ISNUMBER(X2265),ROUNDUP(X2265,0),"")</x:f>
        <x:v>38</x:v>
      </x:c>
      <x:c r="Z2265" t="str">
        <x:v>Source match pending</x:v>
      </x:c>
      <x:c r="AA2265" t="str">
        <x:v>screencapture-www-activesportstrade-co-uk-supplement-needs-trade-2026-09-10-09_10_12.pdf / page-5</x:v>
      </x:c>
      <x:c r="AB2265" s="36" t="n">
        <x:f>IF(ISNUMBER(Y2265),ROUND(Y2265*0.9,2),"")</x:f>
        <x:v>34.2</x:v>
      </x:c>
      <x:c r="AC2265" s="36" t="n">
        <x:f>IF(ISNUMBER(AB2265),ROUND(AB2265-(AB2265*0.015+0.2)-V2265,2),"")</x:f>
        <x:v>7.09</x:v>
      </x:c>
      <x:c r="AD2265" s="36" t="n">
        <x:f>IF(ISNUMBER(Y2265),ROUND(Y2265*0.8,2),"")</x:f>
        <x:v>30.4</x:v>
      </x:c>
      <x:c r="AE2265" s="36" t="n">
        <x:f>IF(ISNUMBER(AD2265),ROUND(AD2265*0.015+0.2,2),"")</x:f>
        <x:v>0.66</x:v>
      </x:c>
      <x:c r="AF2265" s="36" t="n">
        <x:f>IF(ISNUMBER(AD2265),ROUND(AD2265-AE2265-V2265,2),"")</x:f>
        <x:v>3.34</x:v>
      </x:c>
      <x:c r="AG2265" t="str">
        <x:f>IF(NOT(ISNUMBER(T2265)),"PENDING",IF(AF2265&gt;0,"PASS","FAIL"))</x:f>
        <x:v>PASS</x:v>
      </x:c>
      <x:c r="AH2265" t="str">
        <x:f>IF(NOT(ISNUMBER(T2265)),"Needs supplier cost",IF(K2265&lt;&gt;"In stock","Supplier unavailable",IF(AG2265&lt;&gt;"PASS","BLOCK - GT loss risk","Commercially protected")))</x:f>
        <x:v>Commercially protected</x:v>
      </x:c>
      <x:c r="AI2265" t="str">
        <x:v>2026-09-10 Active Sports trade capture</x:v>
      </x:c>
      <x:c r="AJ2265" t="str">
        <x:v>Management-only economics. Stripe stress test uses 1.5% + £0.20 standard UK online-card fee; pallet/mix-and-match pricing ignored.</x:v>
      </x:c>
    </x:row>
    <x:row r="2266">
      <x:c r="A2266" t="str">
        <x:v>Active Sports Nutrition</x:v>
      </x:c>
      <x:c r="B2266" t="str">
        <x:v>Supplement Needs</x:v>
      </x:c>
      <x:c r="C2266" t="str">
        <x:v>Pre Stim +</x:v>
      </x:c>
      <x:c r="D2266" t="str">
        <x:v>Pre Workouts</x:v>
      </x:c>
      <x:c r="E2266" t="str">
        <x:v>Pre Workout</x:v>
      </x:c>
      <x:c r="F2266" t="str"/>
      <x:c r="G2266" t="str">
        <x:v>30 servings</x:v>
      </x:c>
      <x:c r="H2266" t="str">
        <x:v>Cola Lime</x:v>
      </x:c>
      <x:c r="I2266" t="str"/>
      <x:c r="J2266" t="str">
        <x:v>Unit</x:v>
      </x:c>
      <x:c r="K2266" t="str">
        <x:v>In stock</x:v>
      </x:c>
      <x:c r="L2266" t="str">
        <x:v>2026-09-08</x:v>
      </x:c>
      <x:c r="M2266" t="str"/>
      <x:c r="N2266" t="str"/>
      <x:c r="O2266" t="str">
        <x:v>https://www.activesportstrade.co.uk/supplement-needs-trade</x:v>
      </x:c>
      <x:c r="P2266" t="str"/>
      <x:c r="Q2266" t="str"/>
      <x:c r="R2266" t="str"/>
      <x:c r="S2266" t="str">
        <x:v>Pending genuine supplier/brand image</x:v>
      </x:c>
      <x:c r="T2266" s="54" t="n">
        <x:v>17.25</x:v>
      </x:c>
      <x:c r="U2266" s="47" t="n">
        <x:v>0.2</x:v>
      </x:c>
      <x:c r="V2266" s="54" t="n">
        <x:f>IF(ISNUMBER(T2266),T2266*(1+U2266),"")</x:f>
        <x:v>20.7</x:v>
      </x:c>
      <x:c r="W2266" s="47" t="n">
        <x:v>0.3</x:v>
      </x:c>
      <x:c r="X2266" s="54" t="n">
        <x:f>IF(ISNUMBER(V2266),V2266/(1-W2266),"")</x:f>
        <x:v>29.571428571428573</x:v>
      </x:c>
      <x:c r="Y2266" s="55" t="n">
        <x:f>IF(ISNUMBER(X2266),ROUNDUP(X2266,0),"")</x:f>
        <x:v>30</x:v>
      </x:c>
      <x:c r="Z2266" t="str">
        <x:v>Source match pending</x:v>
      </x:c>
      <x:c r="AA2266" t="str">
        <x:v>screencapture-www-activesportstrade-co-uk-supplement-needs-trade-2026-09-10-09_10_12.pdf / page-5</x:v>
      </x:c>
      <x:c r="AB2266" s="36" t="n">
        <x:f>IF(ISNUMBER(Y2266),ROUND(Y2266*0.9,2),"")</x:f>
        <x:v>27</x:v>
      </x:c>
      <x:c r="AC2266" s="36" t="n">
        <x:f>IF(ISNUMBER(AB2266),ROUND(AB2266-(AB2266*0.015+0.2)-V2266,2),"")</x:f>
        <x:v>5.7</x:v>
      </x:c>
      <x:c r="AD2266" s="36" t="n">
        <x:f>IF(ISNUMBER(Y2266),ROUND(Y2266*0.8,2),"")</x:f>
        <x:v>24</x:v>
      </x:c>
      <x:c r="AE2266" s="36" t="n">
        <x:f>IF(ISNUMBER(AD2266),ROUND(AD2266*0.015+0.2,2),"")</x:f>
        <x:v>0.56</x:v>
      </x:c>
      <x:c r="AF2266" s="36" t="n">
        <x:f>IF(ISNUMBER(AD2266),ROUND(AD2266-AE2266-V2266,2),"")</x:f>
        <x:v>2.74</x:v>
      </x:c>
      <x:c r="AG2266" t="str">
        <x:f>IF(NOT(ISNUMBER(T2266)),"PENDING",IF(AF2266&gt;0,"PASS","FAIL"))</x:f>
        <x:v>PASS</x:v>
      </x:c>
      <x:c r="AH2266" t="str">
        <x:f>IF(NOT(ISNUMBER(T2266)),"Needs supplier cost",IF(K2266&lt;&gt;"In stock","Supplier unavailable",IF(AG2266&lt;&gt;"PASS","BLOCK - GT loss risk","Commercially protected")))</x:f>
        <x:v>Commercially protected</x:v>
      </x:c>
      <x:c r="AI2266" t="str">
        <x:v>2026-09-10 Active Sports trade capture</x:v>
      </x:c>
      <x:c r="AJ2266" t="str">
        <x:v>Management-only economics. Stripe stress test uses 1.5% + £0.20 standard UK online-card fee; pallet/mix-and-match pricing ignored.</x:v>
      </x:c>
    </x:row>
    <x:row r="2267">
      <x:c r="A2267" t="str">
        <x:v>Active Sports Nutrition</x:v>
      </x:c>
      <x:c r="B2267" t="str">
        <x:v>Supplement Needs</x:v>
      </x:c>
      <x:c r="C2267" t="str">
        <x:v>Pre Stim +</x:v>
      </x:c>
      <x:c r="D2267" t="str">
        <x:v>Pre Workouts</x:v>
      </x:c>
      <x:c r="E2267" t="str">
        <x:v>Pre Workout</x:v>
      </x:c>
      <x:c r="F2267" t="str"/>
      <x:c r="G2267" t="str">
        <x:v>30 servings</x:v>
      </x:c>
      <x:c r="H2267" t="str">
        <x:v>Lemon Sherbet</x:v>
      </x:c>
      <x:c r="I2267" t="str"/>
      <x:c r="J2267" t="str">
        <x:v>Unit</x:v>
      </x:c>
      <x:c r="K2267" t="str">
        <x:v>In stock</x:v>
      </x:c>
      <x:c r="L2267" t="str">
        <x:v>2026-09-08</x:v>
      </x:c>
      <x:c r="M2267" t="str"/>
      <x:c r="N2267" t="str"/>
      <x:c r="O2267" t="str">
        <x:v>https://www.activesportstrade.co.uk/supplement-needs-trade</x:v>
      </x:c>
      <x:c r="P2267" t="str"/>
      <x:c r="Q2267" t="str"/>
      <x:c r="R2267" t="str"/>
      <x:c r="S2267" t="str">
        <x:v>Pending genuine supplier/brand image</x:v>
      </x:c>
      <x:c r="T2267" s="54" t="n">
        <x:v>17.25</x:v>
      </x:c>
      <x:c r="U2267" s="47" t="n">
        <x:v>0.2</x:v>
      </x:c>
      <x:c r="V2267" s="54" t="n">
        <x:f>IF(ISNUMBER(T2267),T2267*(1+U2267),"")</x:f>
        <x:v>20.7</x:v>
      </x:c>
      <x:c r="W2267" s="47" t="n">
        <x:v>0.3</x:v>
      </x:c>
      <x:c r="X2267" s="54" t="n">
        <x:f>IF(ISNUMBER(V2267),V2267/(1-W2267),"")</x:f>
        <x:v>29.571428571428573</x:v>
      </x:c>
      <x:c r="Y2267" s="55" t="n">
        <x:f>IF(ISNUMBER(X2267),ROUNDUP(X2267,0),"")</x:f>
        <x:v>30</x:v>
      </x:c>
      <x:c r="Z2267" t="str">
        <x:v>Source match pending</x:v>
      </x:c>
      <x:c r="AA2267" t="str">
        <x:v>screencapture-www-activesportstrade-co-uk-supplement-needs-trade-2026-09-10-09_10_12.pdf / page-5</x:v>
      </x:c>
      <x:c r="AB2267" s="36" t="n">
        <x:f>IF(ISNUMBER(Y2267),ROUND(Y2267*0.9,2),"")</x:f>
        <x:v>27</x:v>
      </x:c>
      <x:c r="AC2267" s="36" t="n">
        <x:f>IF(ISNUMBER(AB2267),ROUND(AB2267-(AB2267*0.015+0.2)-V2267,2),"")</x:f>
        <x:v>5.7</x:v>
      </x:c>
      <x:c r="AD2267" s="36" t="n">
        <x:f>IF(ISNUMBER(Y2267),ROUND(Y2267*0.8,2),"")</x:f>
        <x:v>24</x:v>
      </x:c>
      <x:c r="AE2267" s="36" t="n">
        <x:f>IF(ISNUMBER(AD2267),ROUND(AD2267*0.015+0.2,2),"")</x:f>
        <x:v>0.56</x:v>
      </x:c>
      <x:c r="AF2267" s="36" t="n">
        <x:f>IF(ISNUMBER(AD2267),ROUND(AD2267-AE2267-V2267,2),"")</x:f>
        <x:v>2.74</x:v>
      </x:c>
      <x:c r="AG2267" t="str">
        <x:f>IF(NOT(ISNUMBER(T2267)),"PENDING",IF(AF2267&gt;0,"PASS","FAIL"))</x:f>
        <x:v>PASS</x:v>
      </x:c>
      <x:c r="AH2267" t="str">
        <x:f>IF(NOT(ISNUMBER(T2267)),"Needs supplier cost",IF(K2267&lt;&gt;"In stock","Supplier unavailable",IF(AG2267&lt;&gt;"PASS","BLOCK - GT loss risk","Commercially protected")))</x:f>
        <x:v>Commercially protected</x:v>
      </x:c>
      <x:c r="AI2267" t="str">
        <x:v>2026-09-10 Active Sports trade capture</x:v>
      </x:c>
      <x:c r="AJ2267" t="str">
        <x:v>Management-only economics. Stripe stress test uses 1.5% + £0.20 standard UK online-card fee; pallet/mix-and-match pricing ignored.</x:v>
      </x:c>
    </x:row>
    <x:row r="2268">
      <x:c r="A2268" t="str">
        <x:v>Active Sports Nutrition</x:v>
      </x:c>
      <x:c r="B2268" t="str">
        <x:v>Supplement Needs</x:v>
      </x:c>
      <x:c r="C2268" t="str">
        <x:v>Pre Stim +</x:v>
      </x:c>
      <x:c r="D2268" t="str">
        <x:v>Pre Workouts</x:v>
      </x:c>
      <x:c r="E2268" t="str">
        <x:v>Pre Workout</x:v>
      </x:c>
      <x:c r="F2268" t="str"/>
      <x:c r="G2268" t="str">
        <x:v>30 servings</x:v>
      </x:c>
      <x:c r="H2268" t="str">
        <x:v>Strawberry Surge</x:v>
      </x:c>
      <x:c r="I2268" t="str"/>
      <x:c r="J2268" t="str">
        <x:v>Unit</x:v>
      </x:c>
      <x:c r="K2268" t="str">
        <x:v>In stock</x:v>
      </x:c>
      <x:c r="L2268" t="str">
        <x:v>2026-09-08</x:v>
      </x:c>
      <x:c r="M2268" t="str"/>
      <x:c r="N2268" t="str"/>
      <x:c r="O2268" t="str">
        <x:v>https://www.activesportstrade.co.uk/supplement-needs-trade</x:v>
      </x:c>
      <x:c r="P2268" t="str"/>
      <x:c r="Q2268" t="str"/>
      <x:c r="R2268" t="str"/>
      <x:c r="S2268" t="str">
        <x:v>Pending genuine supplier/brand image</x:v>
      </x:c>
      <x:c r="T2268" s="54" t="n">
        <x:v>17.25</x:v>
      </x:c>
      <x:c r="U2268" s="47" t="n">
        <x:v>0.2</x:v>
      </x:c>
      <x:c r="V2268" s="54" t="n">
        <x:f>IF(ISNUMBER(T2268),T2268*(1+U2268),"")</x:f>
        <x:v>20.7</x:v>
      </x:c>
      <x:c r="W2268" s="47" t="n">
        <x:v>0.3</x:v>
      </x:c>
      <x:c r="X2268" s="54" t="n">
        <x:f>IF(ISNUMBER(V2268),V2268/(1-W2268),"")</x:f>
        <x:v>29.571428571428573</x:v>
      </x:c>
      <x:c r="Y2268" s="55" t="n">
        <x:f>IF(ISNUMBER(X2268),ROUNDUP(X2268,0),"")</x:f>
        <x:v>30</x:v>
      </x:c>
      <x:c r="Z2268" t="str">
        <x:v>Source match pending</x:v>
      </x:c>
      <x:c r="AA2268" t="str">
        <x:v>screencapture-www-activesportstrade-co-uk-supplement-needs-trade-2026-09-10-09_10_12.pdf / page-5</x:v>
      </x:c>
      <x:c r="AB2268" s="36" t="n">
        <x:f>IF(ISNUMBER(Y2268),ROUND(Y2268*0.9,2),"")</x:f>
        <x:v>27</x:v>
      </x:c>
      <x:c r="AC2268" s="36" t="n">
        <x:f>IF(ISNUMBER(AB2268),ROUND(AB2268-(AB2268*0.015+0.2)-V2268,2),"")</x:f>
        <x:v>5.7</x:v>
      </x:c>
      <x:c r="AD2268" s="36" t="n">
        <x:f>IF(ISNUMBER(Y2268),ROUND(Y2268*0.8,2),"")</x:f>
        <x:v>24</x:v>
      </x:c>
      <x:c r="AE2268" s="36" t="n">
        <x:f>IF(ISNUMBER(AD2268),ROUND(AD2268*0.015+0.2,2),"")</x:f>
        <x:v>0.56</x:v>
      </x:c>
      <x:c r="AF2268" s="36" t="n">
        <x:f>IF(ISNUMBER(AD2268),ROUND(AD2268-AE2268-V2268,2),"")</x:f>
        <x:v>2.74</x:v>
      </x:c>
      <x:c r="AG2268" t="str">
        <x:f>IF(NOT(ISNUMBER(T2268)),"PENDING",IF(AF2268&gt;0,"PASS","FAIL"))</x:f>
        <x:v>PASS</x:v>
      </x:c>
      <x:c r="AH2268" t="str">
        <x:f>IF(NOT(ISNUMBER(T2268)),"Needs supplier cost",IF(K2268&lt;&gt;"In stock","Supplier unavailable",IF(AG2268&lt;&gt;"PASS","BLOCK - GT loss risk","Commercially protected")))</x:f>
        <x:v>Commercially protected</x:v>
      </x:c>
      <x:c r="AI2268" t="str">
        <x:v>2026-09-10 Active Sports trade capture</x:v>
      </x:c>
      <x:c r="AJ2268" t="str">
        <x:v>Management-only economics. Stripe stress test uses 1.5% + £0.20 standard UK online-card fee; pallet/mix-and-match pricing ignored.</x:v>
      </x:c>
    </x:row>
    <x:row r="2269">
      <x:c r="A2269" t="str">
        <x:v>Active Sports Nutrition</x:v>
      </x:c>
      <x:c r="B2269" t="str">
        <x:v>Supplement Needs</x:v>
      </x:c>
      <x:c r="C2269" t="str">
        <x:v>Thyroid Stack</x:v>
      </x:c>
      <x:c r="D2269" t="str">
        <x:v>Supplements</x:v>
      </x:c>
      <x:c r="E2269" t="str">
        <x:v>Health Foods</x:v>
      </x:c>
      <x:c r="F2269" t="str"/>
      <x:c r="G2269" t="str">
        <x:v>90 caps</x:v>
      </x:c>
      <x:c r="H2269" t="str">
        <x:v>Default</x:v>
      </x:c>
      <x:c r="I2269" t="str"/>
      <x:c r="J2269" t="str">
        <x:v>Unit</x:v>
      </x:c>
      <x:c r="K2269" t="str">
        <x:v>In stock</x:v>
      </x:c>
      <x:c r="L2269" t="str">
        <x:v>2026-09-08</x:v>
      </x:c>
      <x:c r="M2269" t="str"/>
      <x:c r="N2269" t="str"/>
      <x:c r="O2269" t="str">
        <x:v>https://www.activesportstrade.co.uk/supplement-needs-trade</x:v>
      </x:c>
      <x:c r="P2269" t="str"/>
      <x:c r="Q2269" t="str"/>
      <x:c r="R2269" t="str"/>
      <x:c r="S2269" t="str">
        <x:v>Pending genuine supplier/brand image</x:v>
      </x:c>
      <x:c r="T2269" s="54"/>
      <x:c r="U2269" s="47" t="n">
        <x:v>0.2</x:v>
      </x:c>
      <x:c r="V2269" s="54" t="str">
        <x:f>IF(ISNUMBER(T2269),T2269*(1+U2269),"")</x:f>
      </x:c>
      <x:c r="W2269" s="47" t="n">
        <x:v>0.3</x:v>
      </x:c>
      <x:c r="X2269" s="54" t="str">
        <x:f>IF(ISNUMBER(V2269),V2269/(1-W2269),"")</x:f>
      </x:c>
      <x:c r="Y2269" s="55" t="str">
        <x:f>IF(ISNUMBER(X2269),ROUNDUP(X2269,0),"")</x:f>
      </x:c>
      <x:c r="Z2269" t="str">
        <x:f>IF(ISNUMBER(T2269),"Cost captured","Awaiting trade cost")</x:f>
        <x:v>Awaiting trade cost</x:v>
      </x:c>
      <x:c r="AB2269" s="36" t="str">
        <x:f>IF(ISNUMBER(Y2269),ROUND(Y2269*0.9,2),"")</x:f>
      </x:c>
      <x:c r="AC2269" s="36" t="str">
        <x:f>IF(ISNUMBER(AB2269),ROUND(AB2269-(AB2269*0.015+0.2)-V2269,2),"")</x:f>
      </x:c>
      <x:c r="AD2269" s="36" t="str">
        <x:f>IF(ISNUMBER(Y2269),ROUND(Y2269*0.8,2),"")</x:f>
      </x:c>
      <x:c r="AE2269" s="36" t="str">
        <x:f>IF(ISNUMBER(AD2269),ROUND(AD2269*0.015+0.2,2),"")</x:f>
      </x:c>
      <x:c r="AF2269" s="36" t="str">
        <x:f>IF(ISNUMBER(AD2269),ROUND(AD2269-AE2269-V2269,2),"")</x:f>
      </x:c>
      <x:c r="AG2269" t="str">
        <x:f>IF(NOT(ISNUMBER(T2269)),"PENDING",IF(AF2269&gt;0,"PASS","FAIL"))</x:f>
        <x:v>PENDING</x:v>
      </x:c>
      <x:c r="AH2269" t="str">
        <x:f>IF(NOT(ISNUMBER(T2269)),"Needs supplier cost",IF(K2269&lt;&gt;"In stock","Supplier unavailable",IF(AG2269&lt;&gt;"PASS","BLOCK - GT loss risk","Commercially protected")))</x:f>
        <x:v>Needs supplier cost</x:v>
      </x:c>
      <x:c r="AI2269" t="str">
        <x:v>2026-09-10 Active Sports trade capture</x:v>
      </x:c>
      <x:c r="AJ2269" t="str">
        <x:v>Management-only economics. Stripe stress test uses 1.5% + £0.20 standard UK online-card fee; pallet/mix-and-match pricing ignored.</x:v>
      </x:c>
    </x:row>
    <x:row r="2270">
      <x:c r="A2270" t="str">
        <x:v>Active Sports Nutrition</x:v>
      </x:c>
      <x:c r="B2270" t="str">
        <x:v>Supplement Needs</x:v>
      </x:c>
      <x:c r="C2270" t="str">
        <x:v>Tudca + NAC</x:v>
      </x:c>
      <x:c r="D2270" t="str">
        <x:v>Supplements</x:v>
      </x:c>
      <x:c r="E2270" t="str">
        <x:v>Liver Support</x:v>
      </x:c>
      <x:c r="F2270" t="str"/>
      <x:c r="G2270" t="str">
        <x:v>90 caps</x:v>
      </x:c>
      <x:c r="H2270" t="str">
        <x:v>Default</x:v>
      </x:c>
      <x:c r="I2270" t="str"/>
      <x:c r="J2270" t="str">
        <x:v>Unit</x:v>
      </x:c>
      <x:c r="K2270" t="str">
        <x:v>In stock</x:v>
      </x:c>
      <x:c r="L2270" t="str">
        <x:v>2026-09-08</x:v>
      </x:c>
      <x:c r="M2270" t="str"/>
      <x:c r="N2270" t="str"/>
      <x:c r="O2270" t="str">
        <x:v>https://www.activesportstrade.co.uk/supplement-needs-trade</x:v>
      </x:c>
      <x:c r="P2270" t="str"/>
      <x:c r="Q2270" t="str"/>
      <x:c r="R2270" t="str"/>
      <x:c r="S2270" t="str">
        <x:v>Pending genuine supplier/brand image</x:v>
      </x:c>
      <x:c r="T2270" s="54" t="n">
        <x:v>23.5</x:v>
      </x:c>
      <x:c r="U2270" s="47" t="n">
        <x:v>0.2</x:v>
      </x:c>
      <x:c r="V2270" s="54" t="n">
        <x:f>IF(ISNUMBER(T2270),T2270*(1+U2270),"")</x:f>
        <x:v>28.2</x:v>
      </x:c>
      <x:c r="W2270" s="47" t="n">
        <x:v>0.3</x:v>
      </x:c>
      <x:c r="X2270" s="54" t="n">
        <x:f>IF(ISNUMBER(V2270),V2270/(1-W2270),"")</x:f>
        <x:v>40.285714285714285</x:v>
      </x:c>
      <x:c r="Y2270" s="55" t="n">
        <x:f>IF(ISNUMBER(X2270),ROUNDUP(X2270,0),"")</x:f>
        <x:v>41</x:v>
      </x:c>
      <x:c r="Z2270" t="str">
        <x:v>Source match pending</x:v>
      </x:c>
      <x:c r="AA2270" t="str">
        <x:v>screencapture-www-activesportstrade-co-uk-supplement-needs-trade-2026-09-10-09_10_12.pdf / page-6</x:v>
      </x:c>
      <x:c r="AB2270" s="36" t="n">
        <x:f>IF(ISNUMBER(Y2270),ROUND(Y2270*0.9,2),"")</x:f>
        <x:v>36.9</x:v>
      </x:c>
      <x:c r="AC2270" s="36" t="n">
        <x:f>IF(ISNUMBER(AB2270),ROUND(AB2270-(AB2270*0.015+0.2)-V2270,2),"")</x:f>
        <x:v>7.95</x:v>
      </x:c>
      <x:c r="AD2270" s="36" t="n">
        <x:f>IF(ISNUMBER(Y2270),ROUND(Y2270*0.8,2),"")</x:f>
        <x:v>32.8</x:v>
      </x:c>
      <x:c r="AE2270" s="36" t="n">
        <x:f>IF(ISNUMBER(AD2270),ROUND(AD2270*0.015+0.2,2),"")</x:f>
        <x:v>0.69</x:v>
      </x:c>
      <x:c r="AF2270" s="36" t="n">
        <x:f>IF(ISNUMBER(AD2270),ROUND(AD2270-AE2270-V2270,2),"")</x:f>
        <x:v>3.91</x:v>
      </x:c>
      <x:c r="AG2270" t="str">
        <x:f>IF(NOT(ISNUMBER(T2270)),"PENDING",IF(AF2270&gt;0,"PASS","FAIL"))</x:f>
        <x:v>PASS</x:v>
      </x:c>
      <x:c r="AH2270" t="str">
        <x:f>IF(NOT(ISNUMBER(T2270)),"Needs supplier cost",IF(K2270&lt;&gt;"In stock","Supplier unavailable",IF(AG2270&lt;&gt;"PASS","BLOCK - GT loss risk","Commercially protected")))</x:f>
        <x:v>Commercially protected</x:v>
      </x:c>
      <x:c r="AI2270" t="str">
        <x:v>2026-09-10 Active Sports trade capture</x:v>
      </x:c>
      <x:c r="AJ2270" t="str">
        <x:v>Management-only economics. Stripe stress test uses 1.5% + £0.20 standard UK online-card fee; pallet/mix-and-match pricing ignored.</x:v>
      </x:c>
    </x:row>
    <x:row r="2271">
      <x:c r="A2271" t="str">
        <x:v>Active Sports Nutrition</x:v>
      </x:c>
      <x:c r="B2271" t="str">
        <x:v>Supplement Needs</x:v>
      </x:c>
      <x:c r="C2271" t="str">
        <x:v>Vitamin B Complex</x:v>
      </x:c>
      <x:c r="D2271" t="str">
        <x:v>Supplements</x:v>
      </x:c>
      <x:c r="E2271" t="str">
        <x:v>Vitamins and Minerals</x:v>
      </x:c>
      <x:c r="F2271" t="str"/>
      <x:c r="G2271" t="str">
        <x:v>120 tabs</x:v>
      </x:c>
      <x:c r="H2271" t="str">
        <x:v>Default</x:v>
      </x:c>
      <x:c r="I2271" t="str"/>
      <x:c r="J2271" t="str">
        <x:v>Unit</x:v>
      </x:c>
      <x:c r="K2271" t="str">
        <x:v>In stock</x:v>
      </x:c>
      <x:c r="L2271" t="str">
        <x:v>2026-09-08</x:v>
      </x:c>
      <x:c r="M2271" t="str"/>
      <x:c r="N2271" t="str"/>
      <x:c r="O2271" t="str">
        <x:v>https://www.activesportstrade.co.uk/supplement-needs-trade</x:v>
      </x:c>
      <x:c r="P2271" t="str"/>
      <x:c r="Q2271" t="str"/>
      <x:c r="R2271" t="str"/>
      <x:c r="S2271" t="str">
        <x:v>Pending genuine supplier/brand image</x:v>
      </x:c>
      <x:c r="T2271" s="54" t="n">
        <x:v>9</x:v>
      </x:c>
      <x:c r="U2271" s="47" t="n">
        <x:v>0.2</x:v>
      </x:c>
      <x:c r="V2271" s="54" t="n">
        <x:f>IF(ISNUMBER(T2271),T2271*(1+U2271),"")</x:f>
        <x:v>10.799999999999999</x:v>
      </x:c>
      <x:c r="W2271" s="47" t="n">
        <x:v>0.3</x:v>
      </x:c>
      <x:c r="X2271" s="54" t="n">
        <x:f>IF(ISNUMBER(V2271),V2271/(1-W2271),"")</x:f>
        <x:v>15.428571428571429</x:v>
      </x:c>
      <x:c r="Y2271" s="55" t="n">
        <x:f>IF(ISNUMBER(X2271),ROUNDUP(X2271,0),"")</x:f>
        <x:v>16</x:v>
      </x:c>
      <x:c r="Z2271" t="str">
        <x:v>Source match pending</x:v>
      </x:c>
      <x:c r="AA2271" t="str">
        <x:v>screencapture-www-activesportstrade-co-uk-supplement-needs-trade-2026-09-10-09_10_12.pdf / page-6</x:v>
      </x:c>
      <x:c r="AB2271" s="36" t="n">
        <x:f>IF(ISNUMBER(Y2271),ROUND(Y2271*0.9,2),"")</x:f>
        <x:v>14.4</x:v>
      </x:c>
      <x:c r="AC2271" s="36" t="n">
        <x:f>IF(ISNUMBER(AB2271),ROUND(AB2271-(AB2271*0.015+0.2)-V2271,2),"")</x:f>
        <x:v>3.18</x:v>
      </x:c>
      <x:c r="AD2271" s="36" t="n">
        <x:f>IF(ISNUMBER(Y2271),ROUND(Y2271*0.8,2),"")</x:f>
        <x:v>12.8</x:v>
      </x:c>
      <x:c r="AE2271" s="36" t="n">
        <x:f>IF(ISNUMBER(AD2271),ROUND(AD2271*0.015+0.2,2),"")</x:f>
        <x:v>0.39</x:v>
      </x:c>
      <x:c r="AF2271" s="36" t="n">
        <x:f>IF(ISNUMBER(AD2271),ROUND(AD2271-AE2271-V2271,2),"")</x:f>
        <x:v>1.61</x:v>
      </x:c>
      <x:c r="AG2271" t="str">
        <x:f>IF(NOT(ISNUMBER(T2271)),"PENDING",IF(AF2271&gt;0,"PASS","FAIL"))</x:f>
        <x:v>PASS</x:v>
      </x:c>
      <x:c r="AH2271" t="str">
        <x:f>IF(NOT(ISNUMBER(T2271)),"Needs supplier cost",IF(K2271&lt;&gt;"In stock","Supplier unavailable",IF(AG2271&lt;&gt;"PASS","BLOCK - GT loss risk","Commercially protected")))</x:f>
        <x:v>Commercially protected</x:v>
      </x:c>
      <x:c r="AI2271" t="str">
        <x:v>2026-09-10 Active Sports trade capture</x:v>
      </x:c>
      <x:c r="AJ2271" t="str">
        <x:v>Management-only economics. Stripe stress test uses 1.5% + £0.20 standard UK online-card fee; pallet/mix-and-match pricing ignored.</x:v>
      </x:c>
    </x:row>
    <x:row r="2272">
      <x:c r="A2272" t="str">
        <x:v>Active Sports Nutrition</x:v>
      </x:c>
      <x:c r="B2272" t="str">
        <x:v>Supplement Needs</x:v>
      </x:c>
      <x:c r="C2272" t="str">
        <x:v>Vitamin C</x:v>
      </x:c>
      <x:c r="D2272" t="str">
        <x:v>Supplements</x:v>
      </x:c>
      <x:c r="E2272" t="str">
        <x:v>Vitamins and Minerals</x:v>
      </x:c>
      <x:c r="F2272" t="str"/>
      <x:c r="G2272" t="str">
        <x:v>300g</x:v>
      </x:c>
      <x:c r="H2272" t="str">
        <x:v>Unflavoured</x:v>
      </x:c>
      <x:c r="I2272" t="str"/>
      <x:c r="J2272" t="str">
        <x:v>Unit</x:v>
      </x:c>
      <x:c r="K2272" t="str">
        <x:v>In stock</x:v>
      </x:c>
      <x:c r="L2272" t="str">
        <x:v>2026-09-08</x:v>
      </x:c>
      <x:c r="M2272" t="str"/>
      <x:c r="N2272" t="str"/>
      <x:c r="O2272" t="str">
        <x:v>https://www.activesportstrade.co.uk/supplement-needs-trade</x:v>
      </x:c>
      <x:c r="P2272" t="str"/>
      <x:c r="Q2272" t="str"/>
      <x:c r="R2272" t="str"/>
      <x:c r="S2272" t="str">
        <x:v>Pending genuine supplier/brand image</x:v>
      </x:c>
      <x:c r="T2272" s="54" t="n">
        <x:v>8</x:v>
      </x:c>
      <x:c r="U2272" s="47" t="n">
        <x:v>0.2</x:v>
      </x:c>
      <x:c r="V2272" s="54" t="n">
        <x:f>IF(ISNUMBER(T2272),T2272*(1+U2272),"")</x:f>
        <x:v>9.6</x:v>
      </x:c>
      <x:c r="W2272" s="47" t="n">
        <x:v>0.3</x:v>
      </x:c>
      <x:c r="X2272" s="54" t="n">
        <x:f>IF(ISNUMBER(V2272),V2272/(1-W2272),"")</x:f>
        <x:v>13.714285714285715</x:v>
      </x:c>
      <x:c r="Y2272" s="55" t="n">
        <x:f>IF(ISNUMBER(X2272),ROUNDUP(X2272,0),"")</x:f>
        <x:v>14</x:v>
      </x:c>
      <x:c r="Z2272" t="str">
        <x:v>Source match pending</x:v>
      </x:c>
      <x:c r="AA2272" t="str">
        <x:v>screencapture-www-activesportstrade-co-uk-supplement-needs-trade-2026-09-10-09_10_12.pdf / page-6</x:v>
      </x:c>
      <x:c r="AB2272" s="36" t="n">
        <x:f>IF(ISNUMBER(Y2272),ROUND(Y2272*0.9,2),"")</x:f>
        <x:v>12.6</x:v>
      </x:c>
      <x:c r="AC2272" s="36" t="n">
        <x:f>IF(ISNUMBER(AB2272),ROUND(AB2272-(AB2272*0.015+0.2)-V2272,2),"")</x:f>
        <x:v>2.61</x:v>
      </x:c>
      <x:c r="AD2272" s="36" t="n">
        <x:f>IF(ISNUMBER(Y2272),ROUND(Y2272*0.8,2),"")</x:f>
        <x:v>11.2</x:v>
      </x:c>
      <x:c r="AE2272" s="36" t="n">
        <x:f>IF(ISNUMBER(AD2272),ROUND(AD2272*0.015+0.2,2),"")</x:f>
        <x:v>0.37</x:v>
      </x:c>
      <x:c r="AF2272" s="36" t="n">
        <x:f>IF(ISNUMBER(AD2272),ROUND(AD2272-AE2272-V2272,2),"")</x:f>
        <x:v>1.23</x:v>
      </x:c>
      <x:c r="AG2272" t="str">
        <x:f>IF(NOT(ISNUMBER(T2272)),"PENDING",IF(AF2272&gt;0,"PASS","FAIL"))</x:f>
        <x:v>PASS</x:v>
      </x:c>
      <x:c r="AH2272" t="str">
        <x:f>IF(NOT(ISNUMBER(T2272)),"Needs supplier cost",IF(K2272&lt;&gt;"In stock","Supplier unavailable",IF(AG2272&lt;&gt;"PASS","BLOCK - GT loss risk","Commercially protected")))</x:f>
        <x:v>Commercially protected</x:v>
      </x:c>
      <x:c r="AI2272" t="str">
        <x:v>2026-09-10 Active Sports trade capture</x:v>
      </x:c>
      <x:c r="AJ2272" t="str">
        <x:v>Management-only economics. Stripe stress test uses 1.5% + £0.20 standard UK online-card fee; pallet/mix-and-match pricing ignored.</x:v>
      </x:c>
    </x:row>
    <x:row r="2273">
      <x:c r="A2273" t="str">
        <x:v>Active Sports Nutrition</x:v>
      </x:c>
      <x:c r="B2273" t="str">
        <x:v>Supplement Needs</x:v>
      </x:c>
      <x:c r="C2273" t="str">
        <x:v>Vitamin D3 + K2</x:v>
      </x:c>
      <x:c r="D2273" t="str">
        <x:v>Supplements</x:v>
      </x:c>
      <x:c r="E2273" t="str">
        <x:v>Vitamins and Minerals</x:v>
      </x:c>
      <x:c r="F2273" t="str"/>
      <x:c r="G2273" t="str">
        <x:v>120 tablets</x:v>
      </x:c>
      <x:c r="H2273" t="str">
        <x:v>Default</x:v>
      </x:c>
      <x:c r="I2273" t="str"/>
      <x:c r="J2273" t="str">
        <x:v>Unit</x:v>
      </x:c>
      <x:c r="K2273" t="str">
        <x:v>In stock</x:v>
      </x:c>
      <x:c r="L2273" t="str">
        <x:v>2026-09-08</x:v>
      </x:c>
      <x:c r="M2273" t="str"/>
      <x:c r="N2273" t="str"/>
      <x:c r="O2273" t="str">
        <x:v>https://www.activesportstrade.co.uk/supplement-needs-trade</x:v>
      </x:c>
      <x:c r="P2273" t="str"/>
      <x:c r="Q2273" t="str"/>
      <x:c r="R2273" t="str"/>
      <x:c r="S2273" t="str">
        <x:v>Pending genuine supplier/brand image</x:v>
      </x:c>
      <x:c r="T2273" s="54"/>
      <x:c r="U2273" s="47" t="n">
        <x:v>0.2</x:v>
      </x:c>
      <x:c r="V2273" s="54" t="str">
        <x:f>IF(ISNUMBER(T2273),T2273*(1+U2273),"")</x:f>
      </x:c>
      <x:c r="W2273" s="47" t="n">
        <x:v>0.3</x:v>
      </x:c>
      <x:c r="X2273" s="54" t="str">
        <x:f>IF(ISNUMBER(V2273),V2273/(1-W2273),"")</x:f>
      </x:c>
      <x:c r="Y2273" s="55" t="str">
        <x:f>IF(ISNUMBER(X2273),ROUNDUP(X2273,0),"")</x:f>
      </x:c>
      <x:c r="Z2273" t="str">
        <x:f>IF(ISNUMBER(T2273),"Cost captured","Awaiting trade cost")</x:f>
        <x:v>Awaiting trade cost</x:v>
      </x:c>
      <x:c r="AB2273" s="36" t="str">
        <x:f>IF(ISNUMBER(Y2273),ROUND(Y2273*0.9,2),"")</x:f>
      </x:c>
      <x:c r="AC2273" s="36" t="str">
        <x:f>IF(ISNUMBER(AB2273),ROUND(AB2273-(AB2273*0.015+0.2)-V2273,2),"")</x:f>
      </x:c>
      <x:c r="AD2273" s="36" t="str">
        <x:f>IF(ISNUMBER(Y2273),ROUND(Y2273*0.8,2),"")</x:f>
      </x:c>
      <x:c r="AE2273" s="36" t="str">
        <x:f>IF(ISNUMBER(AD2273),ROUND(AD2273*0.015+0.2,2),"")</x:f>
      </x:c>
      <x:c r="AF2273" s="36" t="str">
        <x:f>IF(ISNUMBER(AD2273),ROUND(AD2273-AE2273-V2273,2),"")</x:f>
      </x:c>
      <x:c r="AG2273" t="str">
        <x:f>IF(NOT(ISNUMBER(T2273)),"PENDING",IF(AF2273&gt;0,"PASS","FAIL"))</x:f>
        <x:v>PENDING</x:v>
      </x:c>
      <x:c r="AH2273" t="str">
        <x:f>IF(NOT(ISNUMBER(T2273)),"Needs supplier cost",IF(K2273&lt;&gt;"In stock","Supplier unavailable",IF(AG2273&lt;&gt;"PASS","BLOCK - GT loss risk","Commercially protected")))</x:f>
        <x:v>Needs supplier cost</x:v>
      </x:c>
      <x:c r="AI2273" t="str">
        <x:v>2026-09-10 Active Sports trade capture</x:v>
      </x:c>
      <x:c r="AJ2273" t="str">
        <x:v>Management-only economics. Stripe stress test uses 1.5% + £0.20 standard UK online-card fee; pallet/mix-and-match pricing ignored.</x:v>
      </x:c>
    </x:row>
    <x:row r="2274">
      <x:c r="A2274" t="str">
        <x:v>Active Sports Nutrition</x:v>
      </x:c>
      <x:c r="B2274" t="str">
        <x:v>Supplement Needs</x:v>
      </x:c>
      <x:c r="C2274" t="str">
        <x:v>Vitamin D3</x:v>
      </x:c>
      <x:c r="D2274" t="str">
        <x:v>Supplements</x:v>
      </x:c>
      <x:c r="E2274" t="str">
        <x:v>Vitamins and Minerals</x:v>
      </x:c>
      <x:c r="F2274" t="str"/>
      <x:c r="G2274" t="str">
        <x:v>120 tablets</x:v>
      </x:c>
      <x:c r="H2274" t="str">
        <x:v>Default</x:v>
      </x:c>
      <x:c r="I2274" t="str"/>
      <x:c r="J2274" t="str">
        <x:v>Unit</x:v>
      </x:c>
      <x:c r="K2274" t="str">
        <x:v>In stock</x:v>
      </x:c>
      <x:c r="L2274" t="str">
        <x:v>2026-09-08</x:v>
      </x:c>
      <x:c r="M2274" t="str"/>
      <x:c r="N2274" t="str"/>
      <x:c r="O2274" t="str">
        <x:v>https://www.activesportstrade.co.uk/supplement-needs-trade</x:v>
      </x:c>
      <x:c r="P2274" t="str"/>
      <x:c r="Q2274" t="str"/>
      <x:c r="R2274" t="str"/>
      <x:c r="S2274" t="str">
        <x:v>Pending genuine supplier/brand image</x:v>
      </x:c>
      <x:c r="T2274" s="54" t="n">
        <x:v>5</x:v>
      </x:c>
      <x:c r="U2274" s="47" t="n">
        <x:v>0.2</x:v>
      </x:c>
      <x:c r="V2274" s="54" t="n">
        <x:f>IF(ISNUMBER(T2274),T2274*(1+U2274),"")</x:f>
        <x:v>6</x:v>
      </x:c>
      <x:c r="W2274" s="47" t="n">
        <x:v>0.3</x:v>
      </x:c>
      <x:c r="X2274" s="54" t="n">
        <x:f>IF(ISNUMBER(V2274),V2274/(1-W2274),"")</x:f>
        <x:v>8.571428571428571</x:v>
      </x:c>
      <x:c r="Y2274" s="55" t="n">
        <x:f>IF(ISNUMBER(X2274),ROUNDUP(X2274,0),"")</x:f>
        <x:v>9</x:v>
      </x:c>
      <x:c r="Z2274" t="str">
        <x:v>Source match pending</x:v>
      </x:c>
      <x:c r="AA2274" t="str">
        <x:v>screencapture-www-activesportstrade-co-uk-supplement-needs-trade-2026-09-10-09_10_12.pdf / page-7</x:v>
      </x:c>
      <x:c r="AB2274" s="36" t="n">
        <x:f>IF(ISNUMBER(Y2274),ROUND(Y2274*0.9,2),"")</x:f>
        <x:v>8.1</x:v>
      </x:c>
      <x:c r="AC2274" s="36" t="n">
        <x:f>IF(ISNUMBER(AB2274),ROUND(AB2274-(AB2274*0.015+0.2)-V2274,2),"")</x:f>
        <x:v>1.78</x:v>
      </x:c>
      <x:c r="AD2274" s="36" t="n">
        <x:f>IF(ISNUMBER(Y2274),ROUND(Y2274*0.8,2),"")</x:f>
        <x:v>7.2</x:v>
      </x:c>
      <x:c r="AE2274" s="36" t="n">
        <x:f>IF(ISNUMBER(AD2274),ROUND(AD2274*0.015+0.2,2),"")</x:f>
        <x:v>0.31</x:v>
      </x:c>
      <x:c r="AF2274" s="36" t="n">
        <x:f>IF(ISNUMBER(AD2274),ROUND(AD2274-AE2274-V2274,2),"")</x:f>
        <x:v>0.89</x:v>
      </x:c>
      <x:c r="AG2274" t="str">
        <x:f>IF(NOT(ISNUMBER(T2274)),"PENDING",IF(AF2274&gt;0,"PASS","FAIL"))</x:f>
        <x:v>PASS</x:v>
      </x:c>
      <x:c r="AH2274" t="str">
        <x:f>IF(NOT(ISNUMBER(T2274)),"Needs supplier cost",IF(K2274&lt;&gt;"In stock","Supplier unavailable",IF(AG2274&lt;&gt;"PASS","BLOCK - GT loss risk","Commercially protected")))</x:f>
        <x:v>Commercially protected</x:v>
      </x:c>
      <x:c r="AI2274" t="str">
        <x:v>2026-09-10 Active Sports trade capture</x:v>
      </x:c>
      <x:c r="AJ2274" t="str">
        <x:v>Management-only economics. Stripe stress test uses 1.5% + £0.20 standard UK online-card fee; pallet/mix-and-match pricing ignored.</x:v>
      </x:c>
    </x:row>
    <x:row r="2275">
      <x:c r="A2275" t="str">
        <x:v>Active Sports Nutrition</x:v>
      </x:c>
      <x:c r="B2275" t="str">
        <x:v>Supplement Needs</x:v>
      </x:c>
      <x:c r="C2275" t="str">
        <x:v>Vitamin K2</x:v>
      </x:c>
      <x:c r="D2275" t="str">
        <x:v>Supplements</x:v>
      </x:c>
      <x:c r="E2275" t="str">
        <x:v>Vitamins and Minerals</x:v>
      </x:c>
      <x:c r="F2275" t="str"/>
      <x:c r="G2275" t="str">
        <x:v>120 tabs</x:v>
      </x:c>
      <x:c r="H2275" t="str">
        <x:v>Default</x:v>
      </x:c>
      <x:c r="I2275" t="str"/>
      <x:c r="J2275" t="str">
        <x:v>Unit</x:v>
      </x:c>
      <x:c r="K2275" t="str">
        <x:v>In stock</x:v>
      </x:c>
      <x:c r="L2275" t="str">
        <x:v>2026-09-08</x:v>
      </x:c>
      <x:c r="M2275" t="str"/>
      <x:c r="N2275" t="str"/>
      <x:c r="O2275" t="str">
        <x:v>https://www.activesportstrade.co.uk/supplement-needs-trade</x:v>
      </x:c>
      <x:c r="P2275" t="str"/>
      <x:c r="Q2275" t="str"/>
      <x:c r="R2275" t="str"/>
      <x:c r="S2275" t="str">
        <x:v>Pending genuine supplier/brand image</x:v>
      </x:c>
      <x:c r="T2275" s="54" t="n">
        <x:v>4</x:v>
      </x:c>
      <x:c r="U2275" s="47" t="n">
        <x:v>0.2</x:v>
      </x:c>
      <x:c r="V2275" s="54" t="n">
        <x:f>IF(ISNUMBER(T2275),T2275*(1+U2275),"")</x:f>
        <x:v>4.8</x:v>
      </x:c>
      <x:c r="W2275" s="47" t="n">
        <x:v>0.3</x:v>
      </x:c>
      <x:c r="X2275" s="54" t="n">
        <x:f>IF(ISNUMBER(V2275),V2275/(1-W2275),"")</x:f>
        <x:v>6.857142857142858</x:v>
      </x:c>
      <x:c r="Y2275" s="55" t="n">
        <x:f>IF(ISNUMBER(X2275),ROUNDUP(X2275,0),"")</x:f>
        <x:v>7</x:v>
      </x:c>
      <x:c r="Z2275" t="str">
        <x:v>Source match pending</x:v>
      </x:c>
      <x:c r="AA2275" t="str">
        <x:v>screencapture-www-activesportstrade-co-uk-supplement-needs-trade-2026-09-10-09_10_12.pdf / page-7</x:v>
      </x:c>
      <x:c r="AB2275" s="36" t="n">
        <x:f>IF(ISNUMBER(Y2275),ROUND(Y2275*0.9,2),"")</x:f>
        <x:v>6.3</x:v>
      </x:c>
      <x:c r="AC2275" s="36" t="n">
        <x:f>IF(ISNUMBER(AB2275),ROUND(AB2275-(AB2275*0.015+0.2)-V2275,2),"")</x:f>
        <x:v>1.21</x:v>
      </x:c>
      <x:c r="AD2275" s="36" t="n">
        <x:f>IF(ISNUMBER(Y2275),ROUND(Y2275*0.8,2),"")</x:f>
        <x:v>5.6</x:v>
      </x:c>
      <x:c r="AE2275" s="36" t="n">
        <x:f>IF(ISNUMBER(AD2275),ROUND(AD2275*0.015+0.2,2),"")</x:f>
        <x:v>0.28</x:v>
      </x:c>
      <x:c r="AF2275" s="36" t="n">
        <x:f>IF(ISNUMBER(AD2275),ROUND(AD2275-AE2275-V2275,2),"")</x:f>
        <x:v>0.52</x:v>
      </x:c>
      <x:c r="AG2275" t="str">
        <x:f>IF(NOT(ISNUMBER(T2275)),"PENDING",IF(AF2275&gt;0,"PASS","FAIL"))</x:f>
        <x:v>PASS</x:v>
      </x:c>
      <x:c r="AH2275" t="str">
        <x:f>IF(NOT(ISNUMBER(T2275)),"Needs supplier cost",IF(K2275&lt;&gt;"In stock","Supplier unavailable",IF(AG2275&lt;&gt;"PASS","BLOCK - GT loss risk","Commercially protected")))</x:f>
        <x:v>Commercially protected</x:v>
      </x:c>
      <x:c r="AI2275" t="str">
        <x:v>2026-09-10 Active Sports trade capture</x:v>
      </x:c>
      <x:c r="AJ2275" t="str">
        <x:v>Management-only economics. Stripe stress test uses 1.5% + £0.20 standard UK online-card fee; pallet/mix-and-match pricing ignored.</x:v>
      </x:c>
    </x:row>
    <x:row r="2276">
      <x:c r="A2276" t="str">
        <x:v>Active Sports Nutrition</x:v>
      </x:c>
      <x:c r="B2276" t="str">
        <x:v>Per4m Nutrition</x:v>
      </x:c>
      <x:c r="C2276" t="str">
        <x:v>Advanced Curcumin</x:v>
      </x:c>
      <x:c r="D2276" t="str">
        <x:v>Supplements</x:v>
      </x:c>
      <x:c r="E2276" t="str">
        <x:v>Joint Support</x:v>
      </x:c>
      <x:c r="F2276" t="str"/>
      <x:c r="G2276" t="str">
        <x:v>60 caps</x:v>
      </x:c>
      <x:c r="H2276" t="str">
        <x:v>Default</x:v>
      </x:c>
      <x:c r="I2276" t="str"/>
      <x:c r="J2276" t="str">
        <x:v>Unit</x:v>
      </x:c>
      <x:c r="K2276" t="str">
        <x:v>In stock</x:v>
      </x:c>
      <x:c r="L2276" t="str">
        <x:v>2026-09-08</x:v>
      </x:c>
      <x:c r="M2276" t="str"/>
      <x:c r="N2276" t="str"/>
      <x:c r="O2276" t="str">
        <x:v>https://www.activesportstrade.co.uk/per4m-nutrition-trade</x:v>
      </x:c>
      <x:c r="P2276" t="str">
        <x:v>SPECIAL OFFER / BUY 5 GET 1 FREE wording stripped from canonical title.</x:v>
      </x:c>
      <x:c r="Q2276" t="str"/>
      <x:c r="R2276" t="str"/>
      <x:c r="S2276" t="str">
        <x:v>Pending genuine supplier/brand image</x:v>
      </x:c>
      <x:c r="T2276" s="54" t="n">
        <x:v>11.99</x:v>
      </x:c>
      <x:c r="U2276" s="47" t="n">
        <x:v>0.2</x:v>
      </x:c>
      <x:c r="V2276" s="54" t="n">
        <x:f>IF(ISNUMBER(T2276),T2276*(1+U2276),"")</x:f>
        <x:v>14.388</x:v>
      </x:c>
      <x:c r="W2276" s="47" t="n">
        <x:v>0.3</x:v>
      </x:c>
      <x:c r="X2276" s="54" t="n">
        <x:f>IF(ISNUMBER(V2276),V2276/(1-W2276),"")</x:f>
        <x:v>20.554285714285715</x:v>
      </x:c>
      <x:c r="Y2276" s="55" t="n">
        <x:f>IF(ISNUMBER(X2276),ROUNDUP(X2276,0),"")</x:f>
        <x:v>21</x:v>
      </x:c>
      <x:c r="Z2276" t="str">
        <x:v>Source match pending</x:v>
      </x:c>
      <x:c r="AA2276" t="str">
        <x:v>screencapture-www-activesportstrade-co-uk-per4m-nutrition-trade-2026-09-10-09_06_42.pdf / page-01</x:v>
      </x:c>
      <x:c r="AB2276" s="36" t="n">
        <x:f>IF(ISNUMBER(Y2276),ROUND(Y2276*0.9,2),"")</x:f>
        <x:v>18.9</x:v>
      </x:c>
      <x:c r="AC2276" s="36" t="n">
        <x:f>IF(ISNUMBER(AB2276),ROUND(AB2276-(AB2276*0.015+0.2)-V2276,2),"")</x:f>
        <x:v>4.03</x:v>
      </x:c>
      <x:c r="AD2276" s="36" t="n">
        <x:f>IF(ISNUMBER(Y2276),ROUND(Y2276*0.8,2),"")</x:f>
        <x:v>16.8</x:v>
      </x:c>
      <x:c r="AE2276" s="36" t="n">
        <x:f>IF(ISNUMBER(AD2276),ROUND(AD2276*0.015+0.2,2),"")</x:f>
        <x:v>0.45</x:v>
      </x:c>
      <x:c r="AF2276" s="36" t="n">
        <x:f>IF(ISNUMBER(AD2276),ROUND(AD2276-AE2276-V2276,2),"")</x:f>
        <x:v>1.96</x:v>
      </x:c>
      <x:c r="AG2276" t="str">
        <x:f>IF(NOT(ISNUMBER(T2276)),"PENDING",IF(AF2276&gt;0,"PASS","FAIL"))</x:f>
        <x:v>PASS</x:v>
      </x:c>
      <x:c r="AH2276" t="str">
        <x:f>IF(NOT(ISNUMBER(T2276)),"Needs supplier cost",IF(K2276&lt;&gt;"In stock","Supplier unavailable",IF(AG2276&lt;&gt;"PASS","BLOCK - GT loss risk","Commercially protected")))</x:f>
        <x:v>Commercially protected</x:v>
      </x:c>
      <x:c r="AI2276" t="str">
        <x:v>2026-09-10 Active Sports trade capture</x:v>
      </x:c>
      <x:c r="AJ2276" t="str">
        <x:v>Management-only economics. Stripe stress test uses 1.5% + £0.20 standard UK online-card fee; pallet/mix-and-match pricing ignored.</x:v>
      </x:c>
    </x:row>
    <x:row r="2277">
      <x:c r="A2277" t="str">
        <x:v>Active Sports Nutrition</x:v>
      </x:c>
      <x:c r="B2277" t="str">
        <x:v>Per4m Nutrition</x:v>
      </x:c>
      <x:c r="C2277" t="str">
        <x:v>Advanced Gut Health</x:v>
      </x:c>
      <x:c r="D2277" t="str">
        <x:v>Supplements</x:v>
      </x:c>
      <x:c r="E2277" t="str">
        <x:v>Digestive Health</x:v>
      </x:c>
      <x:c r="F2277" t="str"/>
      <x:c r="G2277" t="str">
        <x:v>30 caps</x:v>
      </x:c>
      <x:c r="H2277" t="str">
        <x:v>Default</x:v>
      </x:c>
      <x:c r="I2277" t="str"/>
      <x:c r="J2277" t="str">
        <x:v>Unit</x:v>
      </x:c>
      <x:c r="K2277" t="str">
        <x:v>In stock</x:v>
      </x:c>
      <x:c r="L2277" t="str">
        <x:v>2026-09-08</x:v>
      </x:c>
      <x:c r="M2277" t="str"/>
      <x:c r="N2277" t="str"/>
      <x:c r="O2277" t="str">
        <x:v>https://www.activesportstrade.co.uk/per4m-nutrition-trade</x:v>
      </x:c>
      <x:c r="P2277" t="str">
        <x:v>SPECIAL OFFER / BUY 5 GET 1 FREE wording stripped.</x:v>
      </x:c>
      <x:c r="Q2277" t="str"/>
      <x:c r="R2277" t="str"/>
      <x:c r="S2277" t="str">
        <x:v>Pending genuine supplier/brand image</x:v>
      </x:c>
      <x:c r="T2277" s="54" t="n">
        <x:v>9.99</x:v>
      </x:c>
      <x:c r="U2277" s="47" t="n">
        <x:v>0.2</x:v>
      </x:c>
      <x:c r="V2277" s="54" t="n">
        <x:f>IF(ISNUMBER(T2277),T2277*(1+U2277),"")</x:f>
        <x:v>11.988</x:v>
      </x:c>
      <x:c r="W2277" s="47" t="n">
        <x:v>0.3</x:v>
      </x:c>
      <x:c r="X2277" s="54" t="n">
        <x:f>IF(ISNUMBER(V2277),V2277/(1-W2277),"")</x:f>
        <x:v>17.125714285714285</x:v>
      </x:c>
      <x:c r="Y2277" s="55" t="n">
        <x:f>IF(ISNUMBER(X2277),ROUNDUP(X2277,0),"")</x:f>
        <x:v>18</x:v>
      </x:c>
      <x:c r="Z2277" t="str">
        <x:v>Source match pending</x:v>
      </x:c>
      <x:c r="AA2277" t="str">
        <x:v>screencapture-www-activesportstrade-co-uk-per4m-nutrition-trade-2026-09-10-09_06_42.pdf / page-01</x:v>
      </x:c>
      <x:c r="AB2277" s="36" t="n">
        <x:f>IF(ISNUMBER(Y2277),ROUND(Y2277*0.9,2),"")</x:f>
        <x:v>16.2</x:v>
      </x:c>
      <x:c r="AC2277" s="36" t="n">
        <x:f>IF(ISNUMBER(AB2277),ROUND(AB2277-(AB2277*0.015+0.2)-V2277,2),"")</x:f>
        <x:v>3.77</x:v>
      </x:c>
      <x:c r="AD2277" s="36" t="n">
        <x:f>IF(ISNUMBER(Y2277),ROUND(Y2277*0.8,2),"")</x:f>
        <x:v>14.4</x:v>
      </x:c>
      <x:c r="AE2277" s="36" t="n">
        <x:f>IF(ISNUMBER(AD2277),ROUND(AD2277*0.015+0.2,2),"")</x:f>
        <x:v>0.42</x:v>
      </x:c>
      <x:c r="AF2277" s="36" t="n">
        <x:f>IF(ISNUMBER(AD2277),ROUND(AD2277-AE2277-V2277,2),"")</x:f>
        <x:v>1.99</x:v>
      </x:c>
      <x:c r="AG2277" t="str">
        <x:f>IF(NOT(ISNUMBER(T2277)),"PENDING",IF(AF2277&gt;0,"PASS","FAIL"))</x:f>
        <x:v>PASS</x:v>
      </x:c>
      <x:c r="AH2277" t="str">
        <x:f>IF(NOT(ISNUMBER(T2277)),"Needs supplier cost",IF(K2277&lt;&gt;"In stock","Supplier unavailable",IF(AG2277&lt;&gt;"PASS","BLOCK - GT loss risk","Commercially protected")))</x:f>
        <x:v>Commercially protected</x:v>
      </x:c>
      <x:c r="AI2277" t="str">
        <x:v>2026-09-10 Active Sports trade capture</x:v>
      </x:c>
      <x:c r="AJ2277" t="str">
        <x:v>Management-only economics. Stripe stress test uses 1.5% + £0.20 standard UK online-card fee; pallet/mix-and-match pricing ignored.</x:v>
      </x:c>
    </x:row>
    <x:row r="2278">
      <x:c r="A2278" t="str">
        <x:v>Active Sports Nutrition</x:v>
      </x:c>
      <x:c r="B2278" t="str">
        <x:v>Per4m Nutrition</x:v>
      </x:c>
      <x:c r="C2278" t="str">
        <x:v>Advanced Magnesium Bisglycinate</x:v>
      </x:c>
      <x:c r="D2278" t="str">
        <x:v>Supplements</x:v>
      </x:c>
      <x:c r="E2278" t="str">
        <x:v>Vitamins and Minerals</x:v>
      </x:c>
      <x:c r="F2278" t="str"/>
      <x:c r="G2278" t="str">
        <x:v>120 caps</x:v>
      </x:c>
      <x:c r="H2278" t="str">
        <x:v>Default</x:v>
      </x:c>
      <x:c r="I2278" t="str"/>
      <x:c r="J2278" t="str">
        <x:v>Unit</x:v>
      </x:c>
      <x:c r="K2278" t="str">
        <x:v>In stock</x:v>
      </x:c>
      <x:c r="L2278" t="str">
        <x:v>2026-09-08</x:v>
      </x:c>
      <x:c r="M2278" t="str"/>
      <x:c r="N2278" t="str"/>
      <x:c r="O2278" t="str">
        <x:v>https://www.activesportstrade.co.uk/per4m-nutrition-trade</x:v>
      </x:c>
      <x:c r="P2278" t="str">
        <x:v>SPECIAL OFFER / BUY 5 GET 1 FREE wording stripped.</x:v>
      </x:c>
      <x:c r="Q2278" t="str"/>
      <x:c r="R2278" t="str"/>
      <x:c r="S2278" t="str">
        <x:v>Pending genuine supplier/brand image</x:v>
      </x:c>
      <x:c r="T2278" s="54" t="n">
        <x:v>7.49</x:v>
      </x:c>
      <x:c r="U2278" s="47" t="n">
        <x:v>0.2</x:v>
      </x:c>
      <x:c r="V2278" s="54" t="n">
        <x:f>IF(ISNUMBER(T2278),T2278*(1+U2278),"")</x:f>
        <x:v>8.988</x:v>
      </x:c>
      <x:c r="W2278" s="47" t="n">
        <x:v>0.3</x:v>
      </x:c>
      <x:c r="X2278" s="54" t="n">
        <x:f>IF(ISNUMBER(V2278),V2278/(1-W2278),"")</x:f>
        <x:v>12.84</x:v>
      </x:c>
      <x:c r="Y2278" s="55" t="n">
        <x:f>IF(ISNUMBER(X2278),ROUNDUP(X2278,0),"")</x:f>
        <x:v>13</x:v>
      </x:c>
      <x:c r="Z2278" t="str">
        <x:v>Source match pending</x:v>
      </x:c>
      <x:c r="AA2278" t="str">
        <x:v>screencapture-www-activesportstrade-co-uk-per4m-nutrition-trade-2026-09-10-09_06_42.pdf / page-01</x:v>
      </x:c>
      <x:c r="AB2278" s="36" t="n">
        <x:f>IF(ISNUMBER(Y2278),ROUND(Y2278*0.9,2),"")</x:f>
        <x:v>11.7</x:v>
      </x:c>
      <x:c r="AC2278" s="36" t="n">
        <x:f>IF(ISNUMBER(AB2278),ROUND(AB2278-(AB2278*0.015+0.2)-V2278,2),"")</x:f>
        <x:v>2.34</x:v>
      </x:c>
      <x:c r="AD2278" s="36" t="n">
        <x:f>IF(ISNUMBER(Y2278),ROUND(Y2278*0.8,2),"")</x:f>
        <x:v>10.4</x:v>
      </x:c>
      <x:c r="AE2278" s="36" t="n">
        <x:f>IF(ISNUMBER(AD2278),ROUND(AD2278*0.015+0.2,2),"")</x:f>
        <x:v>0.36</x:v>
      </x:c>
      <x:c r="AF2278" s="36" t="n">
        <x:f>IF(ISNUMBER(AD2278),ROUND(AD2278-AE2278-V2278,2),"")</x:f>
        <x:v>1.05</x:v>
      </x:c>
      <x:c r="AG2278" t="str">
        <x:f>IF(NOT(ISNUMBER(T2278)),"PENDING",IF(AF2278&gt;0,"PASS","FAIL"))</x:f>
        <x:v>PASS</x:v>
      </x:c>
      <x:c r="AH2278" t="str">
        <x:f>IF(NOT(ISNUMBER(T2278)),"Needs supplier cost",IF(K2278&lt;&gt;"In stock","Supplier unavailable",IF(AG2278&lt;&gt;"PASS","BLOCK - GT loss risk","Commercially protected")))</x:f>
        <x:v>Commercially protected</x:v>
      </x:c>
      <x:c r="AI2278" t="str">
        <x:v>2026-09-10 Active Sports trade capture</x:v>
      </x:c>
      <x:c r="AJ2278" t="str">
        <x:v>Management-only economics. Stripe stress test uses 1.5% + £0.20 standard UK online-card fee; pallet/mix-and-match pricing ignored.</x:v>
      </x:c>
    </x:row>
    <x:row r="2279">
      <x:c r="A2279" t="str">
        <x:v>Active Sports Nutrition</x:v>
      </x:c>
      <x:c r="B2279" t="str">
        <x:v>Per4m Nutrition</x:v>
      </x:c>
      <x:c r="C2279" t="str">
        <x:v>Advanced Omega-3</x:v>
      </x:c>
      <x:c r="D2279" t="str">
        <x:v>Supplements</x:v>
      </x:c>
      <x:c r="E2279" t="str">
        <x:v>Essential Fats</x:v>
      </x:c>
      <x:c r="F2279" t="str"/>
      <x:c r="G2279" t="str">
        <x:v>90 softgels</x:v>
      </x:c>
      <x:c r="H2279" t="str">
        <x:v>Default</x:v>
      </x:c>
      <x:c r="I2279" t="str"/>
      <x:c r="J2279" t="str">
        <x:v>Unit</x:v>
      </x:c>
      <x:c r="K2279" t="str">
        <x:v>In stock</x:v>
      </x:c>
      <x:c r="L2279" t="str">
        <x:v>2026-09-08</x:v>
      </x:c>
      <x:c r="M2279" t="str"/>
      <x:c r="N2279" t="str"/>
      <x:c r="O2279" t="str">
        <x:v>https://www.activesportstrade.co.uk/per4m-nutrition-trade</x:v>
      </x:c>
      <x:c r="P2279" t="str">
        <x:v>SPECIAL OFFER / BUY 5 GET 1 FREE wording stripped.</x:v>
      </x:c>
      <x:c r="Q2279" t="str"/>
      <x:c r="R2279" t="str"/>
      <x:c r="S2279" t="str">
        <x:v>Pending genuine supplier/brand image</x:v>
      </x:c>
      <x:c r="T2279" s="54" t="n">
        <x:v>9.99</x:v>
      </x:c>
      <x:c r="U2279" s="47" t="n">
        <x:v>0.2</x:v>
      </x:c>
      <x:c r="V2279" s="54" t="n">
        <x:f>IF(ISNUMBER(T2279),T2279*(1+U2279),"")</x:f>
        <x:v>11.988</x:v>
      </x:c>
      <x:c r="W2279" s="47" t="n">
        <x:v>0.3</x:v>
      </x:c>
      <x:c r="X2279" s="54" t="n">
        <x:f>IF(ISNUMBER(V2279),V2279/(1-W2279),"")</x:f>
        <x:v>17.125714285714285</x:v>
      </x:c>
      <x:c r="Y2279" s="55" t="n">
        <x:f>IF(ISNUMBER(X2279),ROUNDUP(X2279,0),"")</x:f>
        <x:v>18</x:v>
      </x:c>
      <x:c r="Z2279" t="str">
        <x:v>Source match pending</x:v>
      </x:c>
      <x:c r="AA2279" t="str">
        <x:v>screencapture-www-activesportstrade-co-uk-per4m-nutrition-trade-2026-09-10-09_06_42.pdf / page-01</x:v>
      </x:c>
      <x:c r="AB2279" s="36" t="n">
        <x:f>IF(ISNUMBER(Y2279),ROUND(Y2279*0.9,2),"")</x:f>
        <x:v>16.2</x:v>
      </x:c>
      <x:c r="AC2279" s="36" t="n">
        <x:f>IF(ISNUMBER(AB2279),ROUND(AB2279-(AB2279*0.015+0.2)-V2279,2),"")</x:f>
        <x:v>3.77</x:v>
      </x:c>
      <x:c r="AD2279" s="36" t="n">
        <x:f>IF(ISNUMBER(Y2279),ROUND(Y2279*0.8,2),"")</x:f>
        <x:v>14.4</x:v>
      </x:c>
      <x:c r="AE2279" s="36" t="n">
        <x:f>IF(ISNUMBER(AD2279),ROUND(AD2279*0.015+0.2,2),"")</x:f>
        <x:v>0.42</x:v>
      </x:c>
      <x:c r="AF2279" s="36" t="n">
        <x:f>IF(ISNUMBER(AD2279),ROUND(AD2279-AE2279-V2279,2),"")</x:f>
        <x:v>1.99</x:v>
      </x:c>
      <x:c r="AG2279" t="str">
        <x:f>IF(NOT(ISNUMBER(T2279)),"PENDING",IF(AF2279&gt;0,"PASS","FAIL"))</x:f>
        <x:v>PASS</x:v>
      </x:c>
      <x:c r="AH2279" t="str">
        <x:f>IF(NOT(ISNUMBER(T2279)),"Needs supplier cost",IF(K2279&lt;&gt;"In stock","Supplier unavailable",IF(AG2279&lt;&gt;"PASS","BLOCK - GT loss risk","Commercially protected")))</x:f>
        <x:v>Commercially protected</x:v>
      </x:c>
      <x:c r="AI2279" t="str">
        <x:v>2026-09-10 Active Sports trade capture</x:v>
      </x:c>
      <x:c r="AJ2279" t="str">
        <x:v>Management-only economics. Stripe stress test uses 1.5% + £0.20 standard UK online-card fee; pallet/mix-and-match pricing ignored.</x:v>
      </x:c>
    </x:row>
    <x:row r="2280">
      <x:c r="A2280" t="str">
        <x:v>Active Sports Nutrition</x:v>
      </x:c>
      <x:c r="B2280" t="str">
        <x:v>Per4m Nutrition</x:v>
      </x:c>
      <x:c r="C2280" t="str">
        <x:v>Sleep</x:v>
      </x:c>
      <x:c r="D2280" t="str">
        <x:v>Supplements</x:v>
      </x:c>
      <x:c r="E2280" t="str">
        <x:v>Sleep Support</x:v>
      </x:c>
      <x:c r="F2280" t="str"/>
      <x:c r="G2280" t="str">
        <x:v>120 caps</x:v>
      </x:c>
      <x:c r="H2280" t="str">
        <x:v>Default</x:v>
      </x:c>
      <x:c r="I2280" t="str"/>
      <x:c r="J2280" t="str">
        <x:v>Unit</x:v>
      </x:c>
      <x:c r="K2280" t="str">
        <x:v>In stock</x:v>
      </x:c>
      <x:c r="L2280" t="str">
        <x:v>2026-09-08</x:v>
      </x:c>
      <x:c r="M2280" t="str"/>
      <x:c r="N2280" t="str"/>
      <x:c r="O2280" t="str">
        <x:v>https://www.activesportstrade.co.uk/per4m-nutrition-trade</x:v>
      </x:c>
      <x:c r="P2280" t="str">
        <x:v>SPECIAL OFFER / BUY 5 GET 1 FREE wording stripped.</x:v>
      </x:c>
      <x:c r="Q2280" t="str"/>
      <x:c r="R2280" t="str"/>
      <x:c r="S2280" t="str">
        <x:v>Pending genuine supplier/brand image</x:v>
      </x:c>
      <x:c r="T2280" s="54"/>
      <x:c r="U2280" s="47" t="n">
        <x:v>0.2</x:v>
      </x:c>
      <x:c r="V2280" s="54" t="str">
        <x:f>IF(ISNUMBER(T2280),T2280*(1+U2280),"")</x:f>
      </x:c>
      <x:c r="W2280" s="47" t="n">
        <x:v>0.3</x:v>
      </x:c>
      <x:c r="X2280" s="54" t="str">
        <x:f>IF(ISNUMBER(V2280),V2280/(1-W2280),"")</x:f>
      </x:c>
      <x:c r="Y2280" s="55" t="str">
        <x:f>IF(ISNUMBER(X2280),ROUNDUP(X2280,0),"")</x:f>
      </x:c>
      <x:c r="Z2280" t="str">
        <x:f>IF(ISNUMBER(T2280),"Cost captured","Awaiting trade cost")</x:f>
        <x:v>Awaiting trade cost</x:v>
      </x:c>
      <x:c r="AB2280" s="36" t="str">
        <x:f>IF(ISNUMBER(Y2280),ROUND(Y2280*0.9,2),"")</x:f>
      </x:c>
      <x:c r="AC2280" s="36" t="str">
        <x:f>IF(ISNUMBER(AB2280),ROUND(AB2280-(AB2280*0.015+0.2)-V2280,2),"")</x:f>
      </x:c>
      <x:c r="AD2280" s="36" t="str">
        <x:f>IF(ISNUMBER(Y2280),ROUND(Y2280*0.8,2),"")</x:f>
      </x:c>
      <x:c r="AE2280" s="36" t="str">
        <x:f>IF(ISNUMBER(AD2280),ROUND(AD2280*0.015+0.2,2),"")</x:f>
      </x:c>
      <x:c r="AF2280" s="36" t="str">
        <x:f>IF(ISNUMBER(AD2280),ROUND(AD2280-AE2280-V2280,2),"")</x:f>
      </x:c>
      <x:c r="AG2280" t="str">
        <x:f>IF(NOT(ISNUMBER(T2280)),"PENDING",IF(AF2280&gt;0,"PASS","FAIL"))</x:f>
        <x:v>PENDING</x:v>
      </x:c>
      <x:c r="AH2280" t="str">
        <x:f>IF(NOT(ISNUMBER(T2280)),"Needs supplier cost",IF(K2280&lt;&gt;"In stock","Supplier unavailable",IF(AG2280&lt;&gt;"PASS","BLOCK - GT loss risk","Commercially protected")))</x:f>
        <x:v>Needs supplier cost</x:v>
      </x:c>
      <x:c r="AI2280" t="str">
        <x:v>2026-09-10 Active Sports trade capture</x:v>
      </x:c>
      <x:c r="AJ2280" t="str">
        <x:v>Management-only economics. Stripe stress test uses 1.5% + £0.20 standard UK online-card fee; pallet/mix-and-match pricing ignored.</x:v>
      </x:c>
    </x:row>
    <x:row r="2281">
      <x:c r="A2281" t="str">
        <x:v>Active Sports Nutrition</x:v>
      </x:c>
      <x:c r="B2281" t="str">
        <x:v>Per4m Nutrition</x:v>
      </x:c>
      <x:c r="C2281" t="str">
        <x:v>Relax - Stress Support</x:v>
      </x:c>
      <x:c r="D2281" t="str">
        <x:v>Supplements</x:v>
      </x:c>
      <x:c r="E2281" t="str">
        <x:v>Stress Support</x:v>
      </x:c>
      <x:c r="F2281" t="str"/>
      <x:c r="G2281" t="str">
        <x:v>357g</x:v>
      </x:c>
      <x:c r="H2281" t="str">
        <x:v>Chocolate</x:v>
      </x:c>
      <x:c r="I2281" t="str"/>
      <x:c r="J2281" t="str">
        <x:v>Unit</x:v>
      </x:c>
      <x:c r="K2281" t="str">
        <x:v>In stock</x:v>
      </x:c>
      <x:c r="L2281" t="str">
        <x:v>2026-09-08</x:v>
      </x:c>
      <x:c r="M2281" t="str"/>
      <x:c r="N2281" t="str"/>
      <x:c r="O2281" t="str">
        <x:v>https://www.activesportstrade.co.uk/per4m-nutrition-trade</x:v>
      </x:c>
      <x:c r="P2281" t="str"/>
      <x:c r="Q2281" t="str"/>
      <x:c r="R2281" t="str"/>
      <x:c r="S2281" t="str">
        <x:v>Pending genuine supplier/brand image</x:v>
      </x:c>
      <x:c r="T2281" s="54" t="n">
        <x:v>16.99</x:v>
      </x:c>
      <x:c r="U2281" s="47" t="n">
        <x:v>0.2</x:v>
      </x:c>
      <x:c r="V2281" s="54" t="n">
        <x:f>IF(ISNUMBER(T2281),T2281*(1+U2281),"")</x:f>
        <x:v>20.387999999999998</x:v>
      </x:c>
      <x:c r="W2281" s="47" t="n">
        <x:v>0.3</x:v>
      </x:c>
      <x:c r="X2281" s="54" t="n">
        <x:f>IF(ISNUMBER(V2281),V2281/(1-W2281),"")</x:f>
        <x:v>29.125714285714285</x:v>
      </x:c>
      <x:c r="Y2281" s="55" t="n">
        <x:f>IF(ISNUMBER(X2281),ROUNDUP(X2281,0),"")</x:f>
        <x:v>30</x:v>
      </x:c>
      <x:c r="Z2281" t="str">
        <x:v>Source match pending</x:v>
      </x:c>
      <x:c r="AA2281" t="str">
        <x:v>screencapture-www-activesportstrade-co-uk-per4m-nutrition-trade-2026-09-10-09_06_42.pdf / page-08</x:v>
      </x:c>
      <x:c r="AB2281" s="36" t="n">
        <x:f>IF(ISNUMBER(Y2281),ROUND(Y2281*0.9,2),"")</x:f>
        <x:v>27</x:v>
      </x:c>
      <x:c r="AC2281" s="36" t="n">
        <x:f>IF(ISNUMBER(AB2281),ROUND(AB2281-(AB2281*0.015+0.2)-V2281,2),"")</x:f>
        <x:v>6.01</x:v>
      </x:c>
      <x:c r="AD2281" s="36" t="n">
        <x:f>IF(ISNUMBER(Y2281),ROUND(Y2281*0.8,2),"")</x:f>
        <x:v>24</x:v>
      </x:c>
      <x:c r="AE2281" s="36" t="n">
        <x:f>IF(ISNUMBER(AD2281),ROUND(AD2281*0.015+0.2,2),"")</x:f>
        <x:v>0.56</x:v>
      </x:c>
      <x:c r="AF2281" s="36" t="n">
        <x:f>IF(ISNUMBER(AD2281),ROUND(AD2281-AE2281-V2281,2),"")</x:f>
        <x:v>3.05</x:v>
      </x:c>
      <x:c r="AG2281" t="str">
        <x:f>IF(NOT(ISNUMBER(T2281)),"PENDING",IF(AF2281&gt;0,"PASS","FAIL"))</x:f>
        <x:v>PASS</x:v>
      </x:c>
      <x:c r="AH2281" t="str">
        <x:f>IF(NOT(ISNUMBER(T2281)),"Needs supplier cost",IF(K2281&lt;&gt;"In stock","Supplier unavailable",IF(AG2281&lt;&gt;"PASS","BLOCK - GT loss risk","Commercially protected")))</x:f>
        <x:v>Commercially protected</x:v>
      </x:c>
      <x:c r="AI2281" t="str">
        <x:v>2026-09-10 Active Sports trade capture</x:v>
      </x:c>
      <x:c r="AJ2281" t="str">
        <x:v>Management-only economics. Stripe stress test uses 1.5% + £0.20 standard UK online-card fee; pallet/mix-and-match pricing ignored.</x:v>
      </x:c>
    </x:row>
    <x:row r="2282">
      <x:c r="A2282" t="str">
        <x:v>Active Sports Nutrition</x:v>
      </x:c>
      <x:c r="B2282" t="str">
        <x:v>Per4m Nutrition</x:v>
      </x:c>
      <x:c r="C2282" t="str">
        <x:v>Advanced Protein</x:v>
      </x:c>
      <x:c r="D2282" t="str">
        <x:v>Supplements</x:v>
      </x:c>
      <x:c r="E2282" t="str">
        <x:v>Protein Blends</x:v>
      </x:c>
      <x:c r="F2282" t="str"/>
      <x:c r="G2282" t="str">
        <x:v>1.8kg</x:v>
      </x:c>
      <x:c r="H2282" t="str">
        <x:v>Caramel Biscuit</x:v>
      </x:c>
      <x:c r="I2282" t="str"/>
      <x:c r="J2282" t="str">
        <x:v>Unit</x:v>
      </x:c>
      <x:c r="K2282" t="str">
        <x:v>In stock</x:v>
      </x:c>
      <x:c r="L2282" t="str">
        <x:v>2026-09-08</x:v>
      </x:c>
      <x:c r="M2282" t="str"/>
      <x:c r="N2282" t="str"/>
      <x:c r="O2282" t="str">
        <x:v>https://www.activesportstrade.co.uk/per4m-nutrition-trade</x:v>
      </x:c>
      <x:c r="P2282" t="str"/>
      <x:c r="Q2282" t="str"/>
      <x:c r="R2282" t="str"/>
      <x:c r="S2282" t="str">
        <x:v>Pending genuine supplier/brand image</x:v>
      </x:c>
      <x:c r="T2282" s="54" t="n">
        <x:v>32.99</x:v>
      </x:c>
      <x:c r="U2282" s="47" t="n">
        <x:v>0.2</x:v>
      </x:c>
      <x:c r="V2282" s="54" t="n">
        <x:f>IF(ISNUMBER(T2282),T2282*(1+U2282),"")</x:f>
        <x:v>39.588</x:v>
      </x:c>
      <x:c r="W2282" s="47" t="n">
        <x:v>0.3</x:v>
      </x:c>
      <x:c r="X2282" s="54" t="n">
        <x:f>IF(ISNUMBER(V2282),V2282/(1-W2282),"")</x:f>
        <x:v>56.55428571428572</x:v>
      </x:c>
      <x:c r="Y2282" s="55" t="n">
        <x:f>IF(ISNUMBER(X2282),ROUNDUP(X2282,0),"")</x:f>
        <x:v>57</x:v>
      </x:c>
      <x:c r="Z2282" t="str">
        <x:v>Source match pending</x:v>
      </x:c>
      <x:c r="AA2282" t="str">
        <x:v>screencapture-www-activesportstrade-co-uk-per4m-nutrition-trade-2026-09-10-09_06_42.pdf / page-01</x:v>
      </x:c>
      <x:c r="AB2282" s="36" t="n">
        <x:f>IF(ISNUMBER(Y2282),ROUND(Y2282*0.9,2),"")</x:f>
        <x:v>51.3</x:v>
      </x:c>
      <x:c r="AC2282" s="36" t="n">
        <x:f>IF(ISNUMBER(AB2282),ROUND(AB2282-(AB2282*0.015+0.2)-V2282,2),"")</x:f>
        <x:v>10.74</x:v>
      </x:c>
      <x:c r="AD2282" s="36" t="n">
        <x:f>IF(ISNUMBER(Y2282),ROUND(Y2282*0.8,2),"")</x:f>
        <x:v>45.6</x:v>
      </x:c>
      <x:c r="AE2282" s="36" t="n">
        <x:f>IF(ISNUMBER(AD2282),ROUND(AD2282*0.015+0.2,2),"")</x:f>
        <x:v>0.88</x:v>
      </x:c>
      <x:c r="AF2282" s="36" t="n">
        <x:f>IF(ISNUMBER(AD2282),ROUND(AD2282-AE2282-V2282,2),"")</x:f>
        <x:v>5.13</x:v>
      </x:c>
      <x:c r="AG2282" t="str">
        <x:f>IF(NOT(ISNUMBER(T2282)),"PENDING",IF(AF2282&gt;0,"PASS","FAIL"))</x:f>
        <x:v>PASS</x:v>
      </x:c>
      <x:c r="AH2282" t="str">
        <x:f>IF(NOT(ISNUMBER(T2282)),"Needs supplier cost",IF(K2282&lt;&gt;"In stock","Supplier unavailable",IF(AG2282&lt;&gt;"PASS","BLOCK - GT loss risk","Commercially protected")))</x:f>
        <x:v>Commercially protected</x:v>
      </x:c>
      <x:c r="AI2282" t="str">
        <x:v>2026-09-10 Active Sports trade capture</x:v>
      </x:c>
      <x:c r="AJ2282" t="str">
        <x:v>Management-only economics. Stripe stress test uses 1.5% + £0.20 standard UK online-card fee; pallet/mix-and-match pricing ignored.</x:v>
      </x:c>
    </x:row>
    <x:row r="2283">
      <x:c r="A2283" t="str">
        <x:v>Active Sports Nutrition</x:v>
      </x:c>
      <x:c r="B2283" t="str">
        <x:v>Per4m Nutrition</x:v>
      </x:c>
      <x:c r="C2283" t="str">
        <x:v>Advanced Protein</x:v>
      </x:c>
      <x:c r="D2283" t="str">
        <x:v>Supplements</x:v>
      </x:c>
      <x:c r="E2283" t="str">
        <x:v>Protein Blends</x:v>
      </x:c>
      <x:c r="F2283" t="str"/>
      <x:c r="G2283" t="str">
        <x:v>1.8kg</x:v>
      </x:c>
      <x:c r="H2283" t="str">
        <x:v>Carrot Cake</x:v>
      </x:c>
      <x:c r="I2283" t="str"/>
      <x:c r="J2283" t="str">
        <x:v>Unit</x:v>
      </x:c>
      <x:c r="K2283" t="str">
        <x:v>In stock</x:v>
      </x:c>
      <x:c r="L2283" t="str">
        <x:v>2026-09-08</x:v>
      </x:c>
      <x:c r="M2283" t="str"/>
      <x:c r="N2283" t="str"/>
      <x:c r="O2283" t="str">
        <x:v>https://www.activesportstrade.co.uk/per4m-nutrition-trade</x:v>
      </x:c>
      <x:c r="P2283" t="str"/>
      <x:c r="Q2283" t="str"/>
      <x:c r="R2283" t="str"/>
      <x:c r="S2283" t="str">
        <x:v>Pending genuine supplier/brand image</x:v>
      </x:c>
      <x:c r="T2283" s="54" t="n">
        <x:v>32.99</x:v>
      </x:c>
      <x:c r="U2283" s="47" t="n">
        <x:v>0.2</x:v>
      </x:c>
      <x:c r="V2283" s="54" t="n">
        <x:f>IF(ISNUMBER(T2283),T2283*(1+U2283),"")</x:f>
        <x:v>39.588</x:v>
      </x:c>
      <x:c r="W2283" s="47" t="n">
        <x:v>0.3</x:v>
      </x:c>
      <x:c r="X2283" s="54" t="n">
        <x:f>IF(ISNUMBER(V2283),V2283/(1-W2283),"")</x:f>
        <x:v>56.55428571428572</x:v>
      </x:c>
      <x:c r="Y2283" s="55" t="n">
        <x:f>IF(ISNUMBER(X2283),ROUNDUP(X2283,0),"")</x:f>
        <x:v>57</x:v>
      </x:c>
      <x:c r="Z2283" t="str">
        <x:v>Source match pending</x:v>
      </x:c>
      <x:c r="AA2283" t="str">
        <x:v>screencapture-www-activesportstrade-co-uk-per4m-nutrition-trade-2026-09-10-09_06_42.pdf / page-01</x:v>
      </x:c>
      <x:c r="AB2283" s="36" t="n">
        <x:f>IF(ISNUMBER(Y2283),ROUND(Y2283*0.9,2),"")</x:f>
        <x:v>51.3</x:v>
      </x:c>
      <x:c r="AC2283" s="36" t="n">
        <x:f>IF(ISNUMBER(AB2283),ROUND(AB2283-(AB2283*0.015+0.2)-V2283,2),"")</x:f>
        <x:v>10.74</x:v>
      </x:c>
      <x:c r="AD2283" s="36" t="n">
        <x:f>IF(ISNUMBER(Y2283),ROUND(Y2283*0.8,2),"")</x:f>
        <x:v>45.6</x:v>
      </x:c>
      <x:c r="AE2283" s="36" t="n">
        <x:f>IF(ISNUMBER(AD2283),ROUND(AD2283*0.015+0.2,2),"")</x:f>
        <x:v>0.88</x:v>
      </x:c>
      <x:c r="AF2283" s="36" t="n">
        <x:f>IF(ISNUMBER(AD2283),ROUND(AD2283-AE2283-V2283,2),"")</x:f>
        <x:v>5.13</x:v>
      </x:c>
      <x:c r="AG2283" t="str">
        <x:f>IF(NOT(ISNUMBER(T2283)),"PENDING",IF(AF2283&gt;0,"PASS","FAIL"))</x:f>
        <x:v>PASS</x:v>
      </x:c>
      <x:c r="AH2283" t="str">
        <x:f>IF(NOT(ISNUMBER(T2283)),"Needs supplier cost",IF(K2283&lt;&gt;"In stock","Supplier unavailable",IF(AG2283&lt;&gt;"PASS","BLOCK - GT loss risk","Commercially protected")))</x:f>
        <x:v>Commercially protected</x:v>
      </x:c>
      <x:c r="AI2283" t="str">
        <x:v>2026-09-10 Active Sports trade capture</x:v>
      </x:c>
      <x:c r="AJ2283" t="str">
        <x:v>Management-only economics. Stripe stress test uses 1.5% + £0.20 standard UK online-card fee; pallet/mix-and-match pricing ignored.</x:v>
      </x:c>
    </x:row>
    <x:row r="2284">
      <x:c r="A2284" t="str">
        <x:v>Active Sports Nutrition</x:v>
      </x:c>
      <x:c r="B2284" t="str">
        <x:v>Per4m Nutrition</x:v>
      </x:c>
      <x:c r="C2284" t="str">
        <x:v>Advanced Protein</x:v>
      </x:c>
      <x:c r="D2284" t="str">
        <x:v>Supplements</x:v>
      </x:c>
      <x:c r="E2284" t="str">
        <x:v>Protein Blends</x:v>
      </x:c>
      <x:c r="F2284" t="str"/>
      <x:c r="G2284" t="str">
        <x:v>1.8kg</x:v>
      </x:c>
      <x:c r="H2284" t="str">
        <x:v>Cherry Cola Float</x:v>
      </x:c>
      <x:c r="I2284" t="str"/>
      <x:c r="J2284" t="str">
        <x:v>Unit</x:v>
      </x:c>
      <x:c r="K2284" t="str">
        <x:v>In stock</x:v>
      </x:c>
      <x:c r="L2284" t="str">
        <x:v>2026-09-08</x:v>
      </x:c>
      <x:c r="M2284" t="str"/>
      <x:c r="N2284" t="str"/>
      <x:c r="O2284" t="str">
        <x:v>https://www.activesportstrade.co.uk/per4m-nutrition-trade</x:v>
      </x:c>
      <x:c r="P2284" t="str"/>
      <x:c r="Q2284" t="str"/>
      <x:c r="R2284" t="str"/>
      <x:c r="S2284" t="str">
        <x:v>Pending genuine supplier/brand image</x:v>
      </x:c>
      <x:c r="T2284" s="54" t="n">
        <x:v>32.99</x:v>
      </x:c>
      <x:c r="U2284" s="47" t="n">
        <x:v>0.2</x:v>
      </x:c>
      <x:c r="V2284" s="54" t="n">
        <x:f>IF(ISNUMBER(T2284),T2284*(1+U2284),"")</x:f>
        <x:v>39.588</x:v>
      </x:c>
      <x:c r="W2284" s="47" t="n">
        <x:v>0.3</x:v>
      </x:c>
      <x:c r="X2284" s="54" t="n">
        <x:f>IF(ISNUMBER(V2284),V2284/(1-W2284),"")</x:f>
        <x:v>56.55428571428572</x:v>
      </x:c>
      <x:c r="Y2284" s="55" t="n">
        <x:f>IF(ISNUMBER(X2284),ROUNDUP(X2284,0),"")</x:f>
        <x:v>57</x:v>
      </x:c>
      <x:c r="Z2284" t="str">
        <x:v>Source match pending</x:v>
      </x:c>
      <x:c r="AA2284" t="str">
        <x:v>screencapture-www-activesportstrade-co-uk-per4m-nutrition-trade-2026-09-10-09_06_42.pdf / page-01</x:v>
      </x:c>
      <x:c r="AB2284" s="36" t="n">
        <x:f>IF(ISNUMBER(Y2284),ROUND(Y2284*0.9,2),"")</x:f>
        <x:v>51.3</x:v>
      </x:c>
      <x:c r="AC2284" s="36" t="n">
        <x:f>IF(ISNUMBER(AB2284),ROUND(AB2284-(AB2284*0.015+0.2)-V2284,2),"")</x:f>
        <x:v>10.74</x:v>
      </x:c>
      <x:c r="AD2284" s="36" t="n">
        <x:f>IF(ISNUMBER(Y2284),ROUND(Y2284*0.8,2),"")</x:f>
        <x:v>45.6</x:v>
      </x:c>
      <x:c r="AE2284" s="36" t="n">
        <x:f>IF(ISNUMBER(AD2284),ROUND(AD2284*0.015+0.2,2),"")</x:f>
        <x:v>0.88</x:v>
      </x:c>
      <x:c r="AF2284" s="36" t="n">
        <x:f>IF(ISNUMBER(AD2284),ROUND(AD2284-AE2284-V2284,2),"")</x:f>
        <x:v>5.13</x:v>
      </x:c>
      <x:c r="AG2284" t="str">
        <x:f>IF(NOT(ISNUMBER(T2284)),"PENDING",IF(AF2284&gt;0,"PASS","FAIL"))</x:f>
        <x:v>PASS</x:v>
      </x:c>
      <x:c r="AH2284" t="str">
        <x:f>IF(NOT(ISNUMBER(T2284)),"Needs supplier cost",IF(K2284&lt;&gt;"In stock","Supplier unavailable",IF(AG2284&lt;&gt;"PASS","BLOCK - GT loss risk","Commercially protected")))</x:f>
        <x:v>Commercially protected</x:v>
      </x:c>
      <x:c r="AI2284" t="str">
        <x:v>2026-09-10 Active Sports trade capture</x:v>
      </x:c>
      <x:c r="AJ2284" t="str">
        <x:v>Management-only economics. Stripe stress test uses 1.5% + £0.20 standard UK online-card fee; pallet/mix-and-match pricing ignored.</x:v>
      </x:c>
    </x:row>
    <x:row r="2285">
      <x:c r="A2285" t="str">
        <x:v>Active Sports Nutrition</x:v>
      </x:c>
      <x:c r="B2285" t="str">
        <x:v>Per4m Nutrition</x:v>
      </x:c>
      <x:c r="C2285" t="str">
        <x:v>Advanced Protein</x:v>
      </x:c>
      <x:c r="D2285" t="str">
        <x:v>Supplements</x:v>
      </x:c>
      <x:c r="E2285" t="str">
        <x:v>Protein Blends</x:v>
      </x:c>
      <x:c r="F2285" t="str"/>
      <x:c r="G2285" t="str">
        <x:v>1.8kg</x:v>
      </x:c>
      <x:c r="H2285" t="str">
        <x:v>Chocolate Brownie Batter</x:v>
      </x:c>
      <x:c r="I2285" t="str"/>
      <x:c r="J2285" t="str">
        <x:v>Unit</x:v>
      </x:c>
      <x:c r="K2285" t="str">
        <x:v>In stock</x:v>
      </x:c>
      <x:c r="L2285" t="str">
        <x:v>2026-09-08</x:v>
      </x:c>
      <x:c r="M2285" t="str"/>
      <x:c r="N2285" t="str"/>
      <x:c r="O2285" t="str">
        <x:v>https://www.activesportstrade.co.uk/per4m-nutrition-trade</x:v>
      </x:c>
      <x:c r="P2285" t="str"/>
      <x:c r="Q2285" t="str"/>
      <x:c r="R2285" t="str"/>
      <x:c r="S2285" t="str">
        <x:v>Pending genuine supplier/brand image</x:v>
      </x:c>
      <x:c r="T2285" s="54" t="n">
        <x:v>32.99</x:v>
      </x:c>
      <x:c r="U2285" s="47" t="n">
        <x:v>0.2</x:v>
      </x:c>
      <x:c r="V2285" s="54" t="n">
        <x:f>IF(ISNUMBER(T2285),T2285*(1+U2285),"")</x:f>
        <x:v>39.588</x:v>
      </x:c>
      <x:c r="W2285" s="47" t="n">
        <x:v>0.3</x:v>
      </x:c>
      <x:c r="X2285" s="54" t="n">
        <x:f>IF(ISNUMBER(V2285),V2285/(1-W2285),"")</x:f>
        <x:v>56.55428571428572</x:v>
      </x:c>
      <x:c r="Y2285" s="55" t="n">
        <x:f>IF(ISNUMBER(X2285),ROUNDUP(X2285,0),"")</x:f>
        <x:v>57</x:v>
      </x:c>
      <x:c r="Z2285" t="str">
        <x:v>Source match pending</x:v>
      </x:c>
      <x:c r="AA2285" t="str">
        <x:v>screencapture-www-activesportstrade-co-uk-per4m-nutrition-trade-2026-09-10-09_06_42.pdf / page-01</x:v>
      </x:c>
      <x:c r="AB2285" s="36" t="n">
        <x:f>IF(ISNUMBER(Y2285),ROUND(Y2285*0.9,2),"")</x:f>
        <x:v>51.3</x:v>
      </x:c>
      <x:c r="AC2285" s="36" t="n">
        <x:f>IF(ISNUMBER(AB2285),ROUND(AB2285-(AB2285*0.015+0.2)-V2285,2),"")</x:f>
        <x:v>10.74</x:v>
      </x:c>
      <x:c r="AD2285" s="36" t="n">
        <x:f>IF(ISNUMBER(Y2285),ROUND(Y2285*0.8,2),"")</x:f>
        <x:v>45.6</x:v>
      </x:c>
      <x:c r="AE2285" s="36" t="n">
        <x:f>IF(ISNUMBER(AD2285),ROUND(AD2285*0.015+0.2,2),"")</x:f>
        <x:v>0.88</x:v>
      </x:c>
      <x:c r="AF2285" s="36" t="n">
        <x:f>IF(ISNUMBER(AD2285),ROUND(AD2285-AE2285-V2285,2),"")</x:f>
        <x:v>5.13</x:v>
      </x:c>
      <x:c r="AG2285" t="str">
        <x:f>IF(NOT(ISNUMBER(T2285)),"PENDING",IF(AF2285&gt;0,"PASS","FAIL"))</x:f>
        <x:v>PASS</x:v>
      </x:c>
      <x:c r="AH2285" t="str">
        <x:f>IF(NOT(ISNUMBER(T2285)),"Needs supplier cost",IF(K2285&lt;&gt;"In stock","Supplier unavailable",IF(AG2285&lt;&gt;"PASS","BLOCK - GT loss risk","Commercially protected")))</x:f>
        <x:v>Commercially protected</x:v>
      </x:c>
      <x:c r="AI2285" t="str">
        <x:v>2026-09-10 Active Sports trade capture</x:v>
      </x:c>
      <x:c r="AJ2285" t="str">
        <x:v>Management-only economics. Stripe stress test uses 1.5% + £0.20 standard UK online-card fee; pallet/mix-and-match pricing ignored.</x:v>
      </x:c>
    </x:row>
    <x:row r="2286">
      <x:c r="A2286" t="str">
        <x:v>Active Sports Nutrition</x:v>
      </x:c>
      <x:c r="B2286" t="str">
        <x:v>Per4m Nutrition</x:v>
      </x:c>
      <x:c r="C2286" t="str">
        <x:v>Advanced Protein</x:v>
      </x:c>
      <x:c r="D2286" t="str">
        <x:v>Supplements</x:v>
      </x:c>
      <x:c r="E2286" t="str">
        <x:v>Protein Blends</x:v>
      </x:c>
      <x:c r="F2286" t="str"/>
      <x:c r="G2286" t="str">
        <x:v>1.8kg</x:v>
      </x:c>
      <x:c r="H2286" t="str">
        <x:v>Cinnamon Donut</x:v>
      </x:c>
      <x:c r="I2286" t="str"/>
      <x:c r="J2286" t="str">
        <x:v>Unit</x:v>
      </x:c>
      <x:c r="K2286" t="str">
        <x:v>In stock</x:v>
      </x:c>
      <x:c r="L2286" t="str">
        <x:v>2026-09-08</x:v>
      </x:c>
      <x:c r="M2286" t="str"/>
      <x:c r="N2286" t="str"/>
      <x:c r="O2286" t="str">
        <x:v>https://www.activesportstrade.co.uk/per4m-nutrition-trade</x:v>
      </x:c>
      <x:c r="P2286" t="str"/>
      <x:c r="Q2286" t="str"/>
      <x:c r="R2286" t="str"/>
      <x:c r="S2286" t="str">
        <x:v>Pending genuine supplier/brand image</x:v>
      </x:c>
      <x:c r="T2286" s="54" t="n">
        <x:v>32.99</x:v>
      </x:c>
      <x:c r="U2286" s="47" t="n">
        <x:v>0.2</x:v>
      </x:c>
      <x:c r="V2286" s="54" t="n">
        <x:f>IF(ISNUMBER(T2286),T2286*(1+U2286),"")</x:f>
        <x:v>39.588</x:v>
      </x:c>
      <x:c r="W2286" s="47" t="n">
        <x:v>0.3</x:v>
      </x:c>
      <x:c r="X2286" s="54" t="n">
        <x:f>IF(ISNUMBER(V2286),V2286/(1-W2286),"")</x:f>
        <x:v>56.55428571428572</x:v>
      </x:c>
      <x:c r="Y2286" s="55" t="n">
        <x:f>IF(ISNUMBER(X2286),ROUNDUP(X2286,0),"")</x:f>
        <x:v>57</x:v>
      </x:c>
      <x:c r="Z2286" t="str">
        <x:v>Source match pending</x:v>
      </x:c>
      <x:c r="AA2286" t="str">
        <x:v>screencapture-www-activesportstrade-co-uk-per4m-nutrition-trade-2026-09-10-09_06_42.pdf / page-01</x:v>
      </x:c>
      <x:c r="AB2286" s="36" t="n">
        <x:f>IF(ISNUMBER(Y2286),ROUND(Y2286*0.9,2),"")</x:f>
        <x:v>51.3</x:v>
      </x:c>
      <x:c r="AC2286" s="36" t="n">
        <x:f>IF(ISNUMBER(AB2286),ROUND(AB2286-(AB2286*0.015+0.2)-V2286,2),"")</x:f>
        <x:v>10.74</x:v>
      </x:c>
      <x:c r="AD2286" s="36" t="n">
        <x:f>IF(ISNUMBER(Y2286),ROUND(Y2286*0.8,2),"")</x:f>
        <x:v>45.6</x:v>
      </x:c>
      <x:c r="AE2286" s="36" t="n">
        <x:f>IF(ISNUMBER(AD2286),ROUND(AD2286*0.015+0.2,2),"")</x:f>
        <x:v>0.88</x:v>
      </x:c>
      <x:c r="AF2286" s="36" t="n">
        <x:f>IF(ISNUMBER(AD2286),ROUND(AD2286-AE2286-V2286,2),"")</x:f>
        <x:v>5.13</x:v>
      </x:c>
      <x:c r="AG2286" t="str">
        <x:f>IF(NOT(ISNUMBER(T2286)),"PENDING",IF(AF2286&gt;0,"PASS","FAIL"))</x:f>
        <x:v>PASS</x:v>
      </x:c>
      <x:c r="AH2286" t="str">
        <x:f>IF(NOT(ISNUMBER(T2286)),"Needs supplier cost",IF(K2286&lt;&gt;"In stock","Supplier unavailable",IF(AG2286&lt;&gt;"PASS","BLOCK - GT loss risk","Commercially protected")))</x:f>
        <x:v>Commercially protected</x:v>
      </x:c>
      <x:c r="AI2286" t="str">
        <x:v>2026-09-10 Active Sports trade capture</x:v>
      </x:c>
      <x:c r="AJ2286" t="str">
        <x:v>Management-only economics. Stripe stress test uses 1.5% + £0.20 standard UK online-card fee; pallet/mix-and-match pricing ignored.</x:v>
      </x:c>
    </x:row>
    <x:row r="2287">
      <x:c r="A2287" t="str">
        <x:v>Active Sports Nutrition</x:v>
      </x:c>
      <x:c r="B2287" t="str">
        <x:v>Per4m Nutrition</x:v>
      </x:c>
      <x:c r="C2287" t="str">
        <x:v>Advanced Protein</x:v>
      </x:c>
      <x:c r="D2287" t="str">
        <x:v>Supplements</x:v>
      </x:c>
      <x:c r="E2287" t="str">
        <x:v>Protein Blends</x:v>
      </x:c>
      <x:c r="F2287" t="str"/>
      <x:c r="G2287" t="str">
        <x:v>1.8kg</x:v>
      </x:c>
      <x:c r="H2287" t="str">
        <x:v>Cookie Dough</x:v>
      </x:c>
      <x:c r="I2287" t="str"/>
      <x:c r="J2287" t="str">
        <x:v>Unit</x:v>
      </x:c>
      <x:c r="K2287" t="str">
        <x:v>In stock</x:v>
      </x:c>
      <x:c r="L2287" t="str">
        <x:v>2026-09-08</x:v>
      </x:c>
      <x:c r="M2287" t="str"/>
      <x:c r="N2287" t="str"/>
      <x:c r="O2287" t="str">
        <x:v>https://www.activesportstrade.co.uk/per4m-nutrition-trade</x:v>
      </x:c>
      <x:c r="P2287" t="str"/>
      <x:c r="Q2287" t="str"/>
      <x:c r="R2287" t="str"/>
      <x:c r="S2287" t="str">
        <x:v>Pending genuine supplier/brand image</x:v>
      </x:c>
      <x:c r="T2287" s="54" t="n">
        <x:v>32.99</x:v>
      </x:c>
      <x:c r="U2287" s="47" t="n">
        <x:v>0.2</x:v>
      </x:c>
      <x:c r="V2287" s="54" t="n">
        <x:f>IF(ISNUMBER(T2287),T2287*(1+U2287),"")</x:f>
        <x:v>39.588</x:v>
      </x:c>
      <x:c r="W2287" s="47" t="n">
        <x:v>0.3</x:v>
      </x:c>
      <x:c r="X2287" s="54" t="n">
        <x:f>IF(ISNUMBER(V2287),V2287/(1-W2287),"")</x:f>
        <x:v>56.55428571428572</x:v>
      </x:c>
      <x:c r="Y2287" s="55" t="n">
        <x:f>IF(ISNUMBER(X2287),ROUNDUP(X2287,0),"")</x:f>
        <x:v>57</x:v>
      </x:c>
      <x:c r="Z2287" t="str">
        <x:v>Source match pending</x:v>
      </x:c>
      <x:c r="AA2287" t="str">
        <x:v>screencapture-www-activesportstrade-co-uk-per4m-nutrition-trade-2026-09-10-09_06_42.pdf / page-01</x:v>
      </x:c>
      <x:c r="AB2287" s="36" t="n">
        <x:f>IF(ISNUMBER(Y2287),ROUND(Y2287*0.9,2),"")</x:f>
        <x:v>51.3</x:v>
      </x:c>
      <x:c r="AC2287" s="36" t="n">
        <x:f>IF(ISNUMBER(AB2287),ROUND(AB2287-(AB2287*0.015+0.2)-V2287,2),"")</x:f>
        <x:v>10.74</x:v>
      </x:c>
      <x:c r="AD2287" s="36" t="n">
        <x:f>IF(ISNUMBER(Y2287),ROUND(Y2287*0.8,2),"")</x:f>
        <x:v>45.6</x:v>
      </x:c>
      <x:c r="AE2287" s="36" t="n">
        <x:f>IF(ISNUMBER(AD2287),ROUND(AD2287*0.015+0.2,2),"")</x:f>
        <x:v>0.88</x:v>
      </x:c>
      <x:c r="AF2287" s="36" t="n">
        <x:f>IF(ISNUMBER(AD2287),ROUND(AD2287-AE2287-V2287,2),"")</x:f>
        <x:v>5.13</x:v>
      </x:c>
      <x:c r="AG2287" t="str">
        <x:f>IF(NOT(ISNUMBER(T2287)),"PENDING",IF(AF2287&gt;0,"PASS","FAIL"))</x:f>
        <x:v>PASS</x:v>
      </x:c>
      <x:c r="AH2287" t="str">
        <x:f>IF(NOT(ISNUMBER(T2287)),"Needs supplier cost",IF(K2287&lt;&gt;"In stock","Supplier unavailable",IF(AG2287&lt;&gt;"PASS","BLOCK - GT loss risk","Commercially protected")))</x:f>
        <x:v>Commercially protected</x:v>
      </x:c>
      <x:c r="AI2287" t="str">
        <x:v>2026-09-10 Active Sports trade capture</x:v>
      </x:c>
      <x:c r="AJ2287" t="str">
        <x:v>Management-only economics. Stripe stress test uses 1.5% + £0.20 standard UK online-card fee; pallet/mix-and-match pricing ignored.</x:v>
      </x:c>
    </x:row>
    <x:row r="2288">
      <x:c r="A2288" t="str">
        <x:v>Active Sports Nutrition</x:v>
      </x:c>
      <x:c r="B2288" t="str">
        <x:v>Per4m Nutrition</x:v>
      </x:c>
      <x:c r="C2288" t="str">
        <x:v>Advanced Protein</x:v>
      </x:c>
      <x:c r="D2288" t="str">
        <x:v>Supplements</x:v>
      </x:c>
      <x:c r="E2288" t="str">
        <x:v>Protein Blends</x:v>
      </x:c>
      <x:c r="F2288" t="str"/>
      <x:c r="G2288" t="str">
        <x:v>1.8kg</x:v>
      </x:c>
      <x:c r="H2288" t="str">
        <x:v>Cookies &amp; Cream</x:v>
      </x:c>
      <x:c r="I2288" t="str"/>
      <x:c r="J2288" t="str">
        <x:v>Unit</x:v>
      </x:c>
      <x:c r="K2288" t="str">
        <x:v>In stock</x:v>
      </x:c>
      <x:c r="L2288" t="str">
        <x:v>2026-09-08</x:v>
      </x:c>
      <x:c r="M2288" t="str"/>
      <x:c r="N2288" t="str"/>
      <x:c r="O2288" t="str">
        <x:v>https://www.activesportstrade.co.uk/per4m-nutrition-trade</x:v>
      </x:c>
      <x:c r="P2288" t="str"/>
      <x:c r="Q2288" t="str"/>
      <x:c r="R2288" t="str"/>
      <x:c r="S2288" t="str">
        <x:v>Pending genuine supplier/brand image</x:v>
      </x:c>
      <x:c r="T2288" s="54" t="n">
        <x:v>32.99</x:v>
      </x:c>
      <x:c r="U2288" s="47" t="n">
        <x:v>0.2</x:v>
      </x:c>
      <x:c r="V2288" s="54" t="n">
        <x:f>IF(ISNUMBER(T2288),T2288*(1+U2288),"")</x:f>
        <x:v>39.588</x:v>
      </x:c>
      <x:c r="W2288" s="47" t="n">
        <x:v>0.3</x:v>
      </x:c>
      <x:c r="X2288" s="54" t="n">
        <x:f>IF(ISNUMBER(V2288),V2288/(1-W2288),"")</x:f>
        <x:v>56.55428571428572</x:v>
      </x:c>
      <x:c r="Y2288" s="55" t="n">
        <x:f>IF(ISNUMBER(X2288),ROUNDUP(X2288,0),"")</x:f>
        <x:v>57</x:v>
      </x:c>
      <x:c r="Z2288" t="str">
        <x:v>Source match pending</x:v>
      </x:c>
      <x:c r="AA2288" t="str">
        <x:v>screencapture-www-activesportstrade-co-uk-per4m-nutrition-trade-2026-09-10-09_06_42.pdf / page-01</x:v>
      </x:c>
      <x:c r="AB2288" s="36" t="n">
        <x:f>IF(ISNUMBER(Y2288),ROUND(Y2288*0.9,2),"")</x:f>
        <x:v>51.3</x:v>
      </x:c>
      <x:c r="AC2288" s="36" t="n">
        <x:f>IF(ISNUMBER(AB2288),ROUND(AB2288-(AB2288*0.015+0.2)-V2288,2),"")</x:f>
        <x:v>10.74</x:v>
      </x:c>
      <x:c r="AD2288" s="36" t="n">
        <x:f>IF(ISNUMBER(Y2288),ROUND(Y2288*0.8,2),"")</x:f>
        <x:v>45.6</x:v>
      </x:c>
      <x:c r="AE2288" s="36" t="n">
        <x:f>IF(ISNUMBER(AD2288),ROUND(AD2288*0.015+0.2,2),"")</x:f>
        <x:v>0.88</x:v>
      </x:c>
      <x:c r="AF2288" s="36" t="n">
        <x:f>IF(ISNUMBER(AD2288),ROUND(AD2288-AE2288-V2288,2),"")</x:f>
        <x:v>5.13</x:v>
      </x:c>
      <x:c r="AG2288" t="str">
        <x:f>IF(NOT(ISNUMBER(T2288)),"PENDING",IF(AF2288&gt;0,"PASS","FAIL"))</x:f>
        <x:v>PASS</x:v>
      </x:c>
      <x:c r="AH2288" t="str">
        <x:f>IF(NOT(ISNUMBER(T2288)),"Needs supplier cost",IF(K2288&lt;&gt;"In stock","Supplier unavailable",IF(AG2288&lt;&gt;"PASS","BLOCK - GT loss risk","Commercially protected")))</x:f>
        <x:v>Commercially protected</x:v>
      </x:c>
      <x:c r="AI2288" t="str">
        <x:v>2026-09-10 Active Sports trade capture</x:v>
      </x:c>
      <x:c r="AJ2288" t="str">
        <x:v>Management-only economics. Stripe stress test uses 1.5% + £0.20 standard UK online-card fee; pallet/mix-and-match pricing ignored.</x:v>
      </x:c>
    </x:row>
    <x:row r="2289">
      <x:c r="A2289" t="str">
        <x:v>Active Sports Nutrition</x:v>
      </x:c>
      <x:c r="B2289" t="str">
        <x:v>Per4m Nutrition</x:v>
      </x:c>
      <x:c r="C2289" t="str">
        <x:v>Advanced Protein</x:v>
      </x:c>
      <x:c r="D2289" t="str">
        <x:v>Supplements</x:v>
      </x:c>
      <x:c r="E2289" t="str">
        <x:v>Protein Blends</x:v>
      </x:c>
      <x:c r="F2289" t="str"/>
      <x:c r="G2289" t="str">
        <x:v>1.8kg</x:v>
      </x:c>
      <x:c r="H2289" t="str">
        <x:v>Sticky Toffee Pudding</x:v>
      </x:c>
      <x:c r="I2289" t="str"/>
      <x:c r="J2289" t="str">
        <x:v>Unit</x:v>
      </x:c>
      <x:c r="K2289" t="str">
        <x:v>In stock</x:v>
      </x:c>
      <x:c r="L2289" t="str">
        <x:v>2026-09-08</x:v>
      </x:c>
      <x:c r="M2289" t="str"/>
      <x:c r="N2289" t="str"/>
      <x:c r="O2289" t="str">
        <x:v>https://www.activesportstrade.co.uk/per4m-nutrition-trade</x:v>
      </x:c>
      <x:c r="P2289" t="str"/>
      <x:c r="Q2289" t="str"/>
      <x:c r="R2289" t="str"/>
      <x:c r="S2289" t="str">
        <x:v>Pending genuine supplier/brand image</x:v>
      </x:c>
      <x:c r="T2289" s="54" t="n">
        <x:v>32.99</x:v>
      </x:c>
      <x:c r="U2289" s="47" t="n">
        <x:v>0.2</x:v>
      </x:c>
      <x:c r="V2289" s="54" t="n">
        <x:f>IF(ISNUMBER(T2289),T2289*(1+U2289),"")</x:f>
        <x:v>39.588</x:v>
      </x:c>
      <x:c r="W2289" s="47" t="n">
        <x:v>0.3</x:v>
      </x:c>
      <x:c r="X2289" s="54" t="n">
        <x:f>IF(ISNUMBER(V2289),V2289/(1-W2289),"")</x:f>
        <x:v>56.55428571428572</x:v>
      </x:c>
      <x:c r="Y2289" s="55" t="n">
        <x:f>IF(ISNUMBER(X2289),ROUNDUP(X2289,0),"")</x:f>
        <x:v>57</x:v>
      </x:c>
      <x:c r="Z2289" t="str">
        <x:v>Source match pending</x:v>
      </x:c>
      <x:c r="AA2289" t="str">
        <x:v>screencapture-www-activesportstrade-co-uk-per4m-nutrition-trade-2026-09-10-09_06_42.pdf / page-01</x:v>
      </x:c>
      <x:c r="AB2289" s="36" t="n">
        <x:f>IF(ISNUMBER(Y2289),ROUND(Y2289*0.9,2),"")</x:f>
        <x:v>51.3</x:v>
      </x:c>
      <x:c r="AC2289" s="36" t="n">
        <x:f>IF(ISNUMBER(AB2289),ROUND(AB2289-(AB2289*0.015+0.2)-V2289,2),"")</x:f>
        <x:v>10.74</x:v>
      </x:c>
      <x:c r="AD2289" s="36" t="n">
        <x:f>IF(ISNUMBER(Y2289),ROUND(Y2289*0.8,2),"")</x:f>
        <x:v>45.6</x:v>
      </x:c>
      <x:c r="AE2289" s="36" t="n">
        <x:f>IF(ISNUMBER(AD2289),ROUND(AD2289*0.015+0.2,2),"")</x:f>
        <x:v>0.88</x:v>
      </x:c>
      <x:c r="AF2289" s="36" t="n">
        <x:f>IF(ISNUMBER(AD2289),ROUND(AD2289-AE2289-V2289,2),"")</x:f>
        <x:v>5.13</x:v>
      </x:c>
      <x:c r="AG2289" t="str">
        <x:f>IF(NOT(ISNUMBER(T2289)),"PENDING",IF(AF2289&gt;0,"PASS","FAIL"))</x:f>
        <x:v>PASS</x:v>
      </x:c>
      <x:c r="AH2289" t="str">
        <x:f>IF(NOT(ISNUMBER(T2289)),"Needs supplier cost",IF(K2289&lt;&gt;"In stock","Supplier unavailable",IF(AG2289&lt;&gt;"PASS","BLOCK - GT loss risk","Commercially protected")))</x:f>
        <x:v>Commercially protected</x:v>
      </x:c>
      <x:c r="AI2289" t="str">
        <x:v>2026-09-10 Active Sports trade capture</x:v>
      </x:c>
      <x:c r="AJ2289" t="str">
        <x:v>Management-only economics. Stripe stress test uses 1.5% + £0.20 standard UK online-card fee; pallet/mix-and-match pricing ignored.</x:v>
      </x:c>
    </x:row>
    <x:row r="2290">
      <x:c r="A2290" t="str">
        <x:v>Active Sports Nutrition</x:v>
      </x:c>
      <x:c r="B2290" t="str">
        <x:v>Per4m Nutrition</x:v>
      </x:c>
      <x:c r="C2290" t="str">
        <x:v>Advanced Protein</x:v>
      </x:c>
      <x:c r="D2290" t="str">
        <x:v>Supplements</x:v>
      </x:c>
      <x:c r="E2290" t="str">
        <x:v>Protein Blends</x:v>
      </x:c>
      <x:c r="F2290" t="str"/>
      <x:c r="G2290" t="str">
        <x:v>1.8kg</x:v>
      </x:c>
      <x:c r="H2290" t="str">
        <x:v>Strawberry Creme</x:v>
      </x:c>
      <x:c r="I2290" t="str"/>
      <x:c r="J2290" t="str">
        <x:v>Unit</x:v>
      </x:c>
      <x:c r="K2290" t="str">
        <x:v>In stock</x:v>
      </x:c>
      <x:c r="L2290" t="str">
        <x:v>2026-09-08</x:v>
      </x:c>
      <x:c r="M2290" t="str"/>
      <x:c r="N2290" t="str"/>
      <x:c r="O2290" t="str">
        <x:v>https://www.activesportstrade.co.uk/per4m-nutrition-trade</x:v>
      </x:c>
      <x:c r="P2290" t="str"/>
      <x:c r="Q2290" t="str"/>
      <x:c r="R2290" t="str"/>
      <x:c r="S2290" t="str">
        <x:v>Pending genuine supplier/brand image</x:v>
      </x:c>
      <x:c r="T2290" s="54" t="n">
        <x:v>32.99</x:v>
      </x:c>
      <x:c r="U2290" s="47" t="n">
        <x:v>0.2</x:v>
      </x:c>
      <x:c r="V2290" s="54" t="n">
        <x:f>IF(ISNUMBER(T2290),T2290*(1+U2290),"")</x:f>
        <x:v>39.588</x:v>
      </x:c>
      <x:c r="W2290" s="47" t="n">
        <x:v>0.3</x:v>
      </x:c>
      <x:c r="X2290" s="54" t="n">
        <x:f>IF(ISNUMBER(V2290),V2290/(1-W2290),"")</x:f>
        <x:v>56.55428571428572</x:v>
      </x:c>
      <x:c r="Y2290" s="55" t="n">
        <x:f>IF(ISNUMBER(X2290),ROUNDUP(X2290,0),"")</x:f>
        <x:v>57</x:v>
      </x:c>
      <x:c r="Z2290" t="str">
        <x:v>Source match pending</x:v>
      </x:c>
      <x:c r="AA2290" t="str">
        <x:v>screencapture-www-activesportstrade-co-uk-per4m-nutrition-trade-2026-09-10-09_06_42.pdf / page-01</x:v>
      </x:c>
      <x:c r="AB2290" s="36" t="n">
        <x:f>IF(ISNUMBER(Y2290),ROUND(Y2290*0.9,2),"")</x:f>
        <x:v>51.3</x:v>
      </x:c>
      <x:c r="AC2290" s="36" t="n">
        <x:f>IF(ISNUMBER(AB2290),ROUND(AB2290-(AB2290*0.015+0.2)-V2290,2),"")</x:f>
        <x:v>10.74</x:v>
      </x:c>
      <x:c r="AD2290" s="36" t="n">
        <x:f>IF(ISNUMBER(Y2290),ROUND(Y2290*0.8,2),"")</x:f>
        <x:v>45.6</x:v>
      </x:c>
      <x:c r="AE2290" s="36" t="n">
        <x:f>IF(ISNUMBER(AD2290),ROUND(AD2290*0.015+0.2,2),"")</x:f>
        <x:v>0.88</x:v>
      </x:c>
      <x:c r="AF2290" s="36" t="n">
        <x:f>IF(ISNUMBER(AD2290),ROUND(AD2290-AE2290-V2290,2),"")</x:f>
        <x:v>5.13</x:v>
      </x:c>
      <x:c r="AG2290" t="str">
        <x:f>IF(NOT(ISNUMBER(T2290)),"PENDING",IF(AF2290&gt;0,"PASS","FAIL"))</x:f>
        <x:v>PASS</x:v>
      </x:c>
      <x:c r="AH2290" t="str">
        <x:f>IF(NOT(ISNUMBER(T2290)),"Needs supplier cost",IF(K2290&lt;&gt;"In stock","Supplier unavailable",IF(AG2290&lt;&gt;"PASS","BLOCK - GT loss risk","Commercially protected")))</x:f>
        <x:v>Commercially protected</x:v>
      </x:c>
      <x:c r="AI2290" t="str">
        <x:v>2026-09-10 Active Sports trade capture</x:v>
      </x:c>
      <x:c r="AJ2290" t="str">
        <x:v>Management-only economics. Stripe stress test uses 1.5% + £0.20 standard UK online-card fee; pallet/mix-and-match pricing ignored.</x:v>
      </x:c>
    </x:row>
    <x:row r="2291">
      <x:c r="A2291" t="str">
        <x:v>Active Sports Nutrition</x:v>
      </x:c>
      <x:c r="B2291" t="str">
        <x:v>Per4m Nutrition</x:v>
      </x:c>
      <x:c r="C2291" t="str">
        <x:v>Advanced Protein</x:v>
      </x:c>
      <x:c r="D2291" t="str">
        <x:v>Supplements</x:v>
      </x:c>
      <x:c r="E2291" t="str">
        <x:v>Protein Blends</x:v>
      </x:c>
      <x:c r="F2291" t="str"/>
      <x:c r="G2291" t="str">
        <x:v>1.8kg</x:v>
      </x:c>
      <x:c r="H2291" t="str">
        <x:v>Vanilla Cola Float</x:v>
      </x:c>
      <x:c r="I2291" t="str"/>
      <x:c r="J2291" t="str">
        <x:v>Unit</x:v>
      </x:c>
      <x:c r="K2291" t="str">
        <x:v>In stock</x:v>
      </x:c>
      <x:c r="L2291" t="str">
        <x:v>2026-09-08</x:v>
      </x:c>
      <x:c r="M2291" t="str"/>
      <x:c r="N2291" t="str"/>
      <x:c r="O2291" t="str">
        <x:v>https://www.activesportstrade.co.uk/per4m-nutrition-trade</x:v>
      </x:c>
      <x:c r="P2291" t="str"/>
      <x:c r="Q2291" t="str"/>
      <x:c r="R2291" t="str"/>
      <x:c r="S2291" t="str">
        <x:v>Pending genuine supplier/brand image</x:v>
      </x:c>
      <x:c r="T2291" s="54" t="n">
        <x:v>32.99</x:v>
      </x:c>
      <x:c r="U2291" s="47" t="n">
        <x:v>0.2</x:v>
      </x:c>
      <x:c r="V2291" s="54" t="n">
        <x:f>IF(ISNUMBER(T2291),T2291*(1+U2291),"")</x:f>
        <x:v>39.588</x:v>
      </x:c>
      <x:c r="W2291" s="47" t="n">
        <x:v>0.3</x:v>
      </x:c>
      <x:c r="X2291" s="54" t="n">
        <x:f>IF(ISNUMBER(V2291),V2291/(1-W2291),"")</x:f>
        <x:v>56.55428571428572</x:v>
      </x:c>
      <x:c r="Y2291" s="55" t="n">
        <x:f>IF(ISNUMBER(X2291),ROUNDUP(X2291,0),"")</x:f>
        <x:v>57</x:v>
      </x:c>
      <x:c r="Z2291" t="str">
        <x:v>Source match pending</x:v>
      </x:c>
      <x:c r="AA2291" t="str">
        <x:v>screencapture-www-activesportstrade-co-uk-per4m-nutrition-trade-2026-09-10-09_06_42.pdf / page-01</x:v>
      </x:c>
      <x:c r="AB2291" s="36" t="n">
        <x:f>IF(ISNUMBER(Y2291),ROUND(Y2291*0.9,2),"")</x:f>
        <x:v>51.3</x:v>
      </x:c>
      <x:c r="AC2291" s="36" t="n">
        <x:f>IF(ISNUMBER(AB2291),ROUND(AB2291-(AB2291*0.015+0.2)-V2291,2),"")</x:f>
        <x:v>10.74</x:v>
      </x:c>
      <x:c r="AD2291" s="36" t="n">
        <x:f>IF(ISNUMBER(Y2291),ROUND(Y2291*0.8,2),"")</x:f>
        <x:v>45.6</x:v>
      </x:c>
      <x:c r="AE2291" s="36" t="n">
        <x:f>IF(ISNUMBER(AD2291),ROUND(AD2291*0.015+0.2,2),"")</x:f>
        <x:v>0.88</x:v>
      </x:c>
      <x:c r="AF2291" s="36" t="n">
        <x:f>IF(ISNUMBER(AD2291),ROUND(AD2291-AE2291-V2291,2),"")</x:f>
        <x:v>5.13</x:v>
      </x:c>
      <x:c r="AG2291" t="str">
        <x:f>IF(NOT(ISNUMBER(T2291)),"PENDING",IF(AF2291&gt;0,"PASS","FAIL"))</x:f>
        <x:v>PASS</x:v>
      </x:c>
      <x:c r="AH2291" t="str">
        <x:f>IF(NOT(ISNUMBER(T2291)),"Needs supplier cost",IF(K2291&lt;&gt;"In stock","Supplier unavailable",IF(AG2291&lt;&gt;"PASS","BLOCK - GT loss risk","Commercially protected")))</x:f>
        <x:v>Commercially protected</x:v>
      </x:c>
      <x:c r="AI2291" t="str">
        <x:v>2026-09-10 Active Sports trade capture</x:v>
      </x:c>
      <x:c r="AJ2291" t="str">
        <x:v>Management-only economics. Stripe stress test uses 1.5% + £0.20 standard UK online-card fee; pallet/mix-and-match pricing ignored.</x:v>
      </x:c>
    </x:row>
    <x:row r="2292">
      <x:c r="A2292" t="str">
        <x:v>Active Sports Nutrition</x:v>
      </x:c>
      <x:c r="B2292" t="str">
        <x:v>Per4m Nutrition</x:v>
      </x:c>
      <x:c r="C2292" t="str">
        <x:v>Advanced Protein</x:v>
      </x:c>
      <x:c r="D2292" t="str">
        <x:v>Supplements</x:v>
      </x:c>
      <x:c r="E2292" t="str">
        <x:v>Protein Blends</x:v>
      </x:c>
      <x:c r="F2292" t="str"/>
      <x:c r="G2292" t="str">
        <x:v>1.8kg</x:v>
      </x:c>
      <x:c r="H2292" t="str">
        <x:v>Vanilla Creme</x:v>
      </x:c>
      <x:c r="I2292" t="str"/>
      <x:c r="J2292" t="str">
        <x:v>Unit</x:v>
      </x:c>
      <x:c r="K2292" t="str">
        <x:v>In stock</x:v>
      </x:c>
      <x:c r="L2292" t="str">
        <x:v>2026-09-08</x:v>
      </x:c>
      <x:c r="M2292" t="str"/>
      <x:c r="N2292" t="str"/>
      <x:c r="O2292" t="str">
        <x:v>https://www.activesportstrade.co.uk/per4m-nutrition-trade</x:v>
      </x:c>
      <x:c r="P2292" t="str"/>
      <x:c r="Q2292" t="str"/>
      <x:c r="R2292" t="str"/>
      <x:c r="S2292" t="str">
        <x:v>Pending genuine supplier/brand image</x:v>
      </x:c>
      <x:c r="T2292" s="54" t="n">
        <x:v>32.99</x:v>
      </x:c>
      <x:c r="U2292" s="47" t="n">
        <x:v>0.2</x:v>
      </x:c>
      <x:c r="V2292" s="54" t="n">
        <x:f>IF(ISNUMBER(T2292),T2292*(1+U2292),"")</x:f>
        <x:v>39.588</x:v>
      </x:c>
      <x:c r="W2292" s="47" t="n">
        <x:v>0.3</x:v>
      </x:c>
      <x:c r="X2292" s="54" t="n">
        <x:f>IF(ISNUMBER(V2292),V2292/(1-W2292),"")</x:f>
        <x:v>56.55428571428572</x:v>
      </x:c>
      <x:c r="Y2292" s="55" t="n">
        <x:f>IF(ISNUMBER(X2292),ROUNDUP(X2292,0),"")</x:f>
        <x:v>57</x:v>
      </x:c>
      <x:c r="Z2292" t="str">
        <x:v>Source match pending</x:v>
      </x:c>
      <x:c r="AA2292" t="str">
        <x:v>screencapture-www-activesportstrade-co-uk-per4m-nutrition-trade-2026-09-10-09_06_42.pdf / page-01</x:v>
      </x:c>
      <x:c r="AB2292" s="36" t="n">
        <x:f>IF(ISNUMBER(Y2292),ROUND(Y2292*0.9,2),"")</x:f>
        <x:v>51.3</x:v>
      </x:c>
      <x:c r="AC2292" s="36" t="n">
        <x:f>IF(ISNUMBER(AB2292),ROUND(AB2292-(AB2292*0.015+0.2)-V2292,2),"")</x:f>
        <x:v>10.74</x:v>
      </x:c>
      <x:c r="AD2292" s="36" t="n">
        <x:f>IF(ISNUMBER(Y2292),ROUND(Y2292*0.8,2),"")</x:f>
        <x:v>45.6</x:v>
      </x:c>
      <x:c r="AE2292" s="36" t="n">
        <x:f>IF(ISNUMBER(AD2292),ROUND(AD2292*0.015+0.2,2),"")</x:f>
        <x:v>0.88</x:v>
      </x:c>
      <x:c r="AF2292" s="36" t="n">
        <x:f>IF(ISNUMBER(AD2292),ROUND(AD2292-AE2292-V2292,2),"")</x:f>
        <x:v>5.13</x:v>
      </x:c>
      <x:c r="AG2292" t="str">
        <x:f>IF(NOT(ISNUMBER(T2292)),"PENDING",IF(AF2292&gt;0,"PASS","FAIL"))</x:f>
        <x:v>PASS</x:v>
      </x:c>
      <x:c r="AH2292" t="str">
        <x:f>IF(NOT(ISNUMBER(T2292)),"Needs supplier cost",IF(K2292&lt;&gt;"In stock","Supplier unavailable",IF(AG2292&lt;&gt;"PASS","BLOCK - GT loss risk","Commercially protected")))</x:f>
        <x:v>Commercially protected</x:v>
      </x:c>
      <x:c r="AI2292" t="str">
        <x:v>2026-09-10 Active Sports trade capture</x:v>
      </x:c>
      <x:c r="AJ2292" t="str">
        <x:v>Management-only economics. Stripe stress test uses 1.5% + £0.20 standard UK online-card fee; pallet/mix-and-match pricing ignored.</x:v>
      </x:c>
    </x:row>
    <x:row r="2293">
      <x:c r="A2293" t="str">
        <x:v>Active Sports Nutrition</x:v>
      </x:c>
      <x:c r="B2293" t="str">
        <x:v>Per4m Nutrition</x:v>
      </x:c>
      <x:c r="C2293" t="str">
        <x:v>Advanced Protein</x:v>
      </x:c>
      <x:c r="D2293" t="str">
        <x:v>Supplements</x:v>
      </x:c>
      <x:c r="E2293" t="str">
        <x:v>Protein Blends</x:v>
      </x:c>
      <x:c r="F2293" t="str"/>
      <x:c r="G2293" t="str">
        <x:v>1.8kg</x:v>
      </x:c>
      <x:c r="H2293" t="str">
        <x:v>White Chocolate Hazelnut</x:v>
      </x:c>
      <x:c r="I2293" t="str"/>
      <x:c r="J2293" t="str">
        <x:v>Unit</x:v>
      </x:c>
      <x:c r="K2293" t="str">
        <x:v>In stock</x:v>
      </x:c>
      <x:c r="L2293" t="str">
        <x:v>2026-09-08</x:v>
      </x:c>
      <x:c r="M2293" t="str"/>
      <x:c r="N2293" t="str"/>
      <x:c r="O2293" t="str">
        <x:v>https://www.activesportstrade.co.uk/per4m-nutrition-trade</x:v>
      </x:c>
      <x:c r="P2293" t="str"/>
      <x:c r="Q2293" t="str"/>
      <x:c r="R2293" t="str"/>
      <x:c r="S2293" t="str">
        <x:v>Pending genuine supplier/brand image</x:v>
      </x:c>
      <x:c r="T2293" s="54" t="n">
        <x:v>32.99</x:v>
      </x:c>
      <x:c r="U2293" s="47" t="n">
        <x:v>0.2</x:v>
      </x:c>
      <x:c r="V2293" s="54" t="n">
        <x:f>IF(ISNUMBER(T2293),T2293*(1+U2293),"")</x:f>
        <x:v>39.588</x:v>
      </x:c>
      <x:c r="W2293" s="47" t="n">
        <x:v>0.3</x:v>
      </x:c>
      <x:c r="X2293" s="54" t="n">
        <x:f>IF(ISNUMBER(V2293),V2293/(1-W2293),"")</x:f>
        <x:v>56.55428571428572</x:v>
      </x:c>
      <x:c r="Y2293" s="55" t="n">
        <x:f>IF(ISNUMBER(X2293),ROUNDUP(X2293,0),"")</x:f>
        <x:v>57</x:v>
      </x:c>
      <x:c r="Z2293" t="str">
        <x:v>Source match pending</x:v>
      </x:c>
      <x:c r="AA2293" t="str">
        <x:v>screencapture-www-activesportstrade-co-uk-per4m-nutrition-trade-2026-09-10-09_06_42.pdf / page-01</x:v>
      </x:c>
      <x:c r="AB2293" s="36" t="n">
        <x:f>IF(ISNUMBER(Y2293),ROUND(Y2293*0.9,2),"")</x:f>
        <x:v>51.3</x:v>
      </x:c>
      <x:c r="AC2293" s="36" t="n">
        <x:f>IF(ISNUMBER(AB2293),ROUND(AB2293-(AB2293*0.015+0.2)-V2293,2),"")</x:f>
        <x:v>10.74</x:v>
      </x:c>
      <x:c r="AD2293" s="36" t="n">
        <x:f>IF(ISNUMBER(Y2293),ROUND(Y2293*0.8,2),"")</x:f>
        <x:v>45.6</x:v>
      </x:c>
      <x:c r="AE2293" s="36" t="n">
        <x:f>IF(ISNUMBER(AD2293),ROUND(AD2293*0.015+0.2,2),"")</x:f>
        <x:v>0.88</x:v>
      </x:c>
      <x:c r="AF2293" s="36" t="n">
        <x:f>IF(ISNUMBER(AD2293),ROUND(AD2293-AE2293-V2293,2),"")</x:f>
        <x:v>5.13</x:v>
      </x:c>
      <x:c r="AG2293" t="str">
        <x:f>IF(NOT(ISNUMBER(T2293)),"PENDING",IF(AF2293&gt;0,"PASS","FAIL"))</x:f>
        <x:v>PASS</x:v>
      </x:c>
      <x:c r="AH2293" t="str">
        <x:f>IF(NOT(ISNUMBER(T2293)),"Needs supplier cost",IF(K2293&lt;&gt;"In stock","Supplier unavailable",IF(AG2293&lt;&gt;"PASS","BLOCK - GT loss risk","Commercially protected")))</x:f>
        <x:v>Commercially protected</x:v>
      </x:c>
      <x:c r="AI2293" t="str">
        <x:v>2026-09-10 Active Sports trade capture</x:v>
      </x:c>
      <x:c r="AJ2293" t="str">
        <x:v>Management-only economics. Stripe stress test uses 1.5% + £0.20 standard UK online-card fee; pallet/mix-and-match pricing ignored.</x:v>
      </x:c>
    </x:row>
    <x:row r="2294">
      <x:c r="A2294" t="str">
        <x:v>Active Sports Nutrition</x:v>
      </x:c>
      <x:c r="B2294" t="str">
        <x:v>Per4m Nutrition</x:v>
      </x:c>
      <x:c r="C2294" t="str">
        <x:v>Advanced Protein</x:v>
      </x:c>
      <x:c r="D2294" t="str">
        <x:v>Supplements</x:v>
      </x:c>
      <x:c r="E2294" t="str">
        <x:v>Protein Blends</x:v>
      </x:c>
      <x:c r="F2294" t="str"/>
      <x:c r="G2294" t="str">
        <x:v>800g</x:v>
      </x:c>
      <x:c r="H2294" t="str">
        <x:v>Caramel Biscuit</x:v>
      </x:c>
      <x:c r="I2294" t="str"/>
      <x:c r="J2294" t="str">
        <x:v>Unit</x:v>
      </x:c>
      <x:c r="K2294" t="str">
        <x:v>In stock</x:v>
      </x:c>
      <x:c r="L2294" t="str">
        <x:v>2026-09-08</x:v>
      </x:c>
      <x:c r="M2294" t="str"/>
      <x:c r="N2294" t="str"/>
      <x:c r="O2294" t="str">
        <x:v>https://www.activesportstrade.co.uk/per4m-nutrition-trade</x:v>
      </x:c>
      <x:c r="P2294" t="str"/>
      <x:c r="Q2294" t="str"/>
      <x:c r="R2294" t="str"/>
      <x:c r="S2294" t="str">
        <x:v>Pending genuine supplier/brand image</x:v>
      </x:c>
      <x:c r="T2294" s="54" t="n">
        <x:v>18.99</x:v>
      </x:c>
      <x:c r="U2294" s="47" t="n">
        <x:v>0.2</x:v>
      </x:c>
      <x:c r="V2294" s="54" t="n">
        <x:f>IF(ISNUMBER(T2294),T2294*(1+U2294),"")</x:f>
        <x:v>22.787999999999997</x:v>
      </x:c>
      <x:c r="W2294" s="47" t="n">
        <x:v>0.3</x:v>
      </x:c>
      <x:c r="X2294" s="54" t="n">
        <x:f>IF(ISNUMBER(V2294),V2294/(1-W2294),"")</x:f>
        <x:v>32.55428571428571</x:v>
      </x:c>
      <x:c r="Y2294" s="55" t="n">
        <x:f>IF(ISNUMBER(X2294),ROUNDUP(X2294,0),"")</x:f>
        <x:v>33</x:v>
      </x:c>
      <x:c r="Z2294" t="str">
        <x:v>Source match pending</x:v>
      </x:c>
      <x:c r="AA2294" t="str">
        <x:v>screencapture-www-activesportstrade-co-uk-per4m-nutrition-trade-2026-09-10-09_06_42.pdf / page-01</x:v>
      </x:c>
      <x:c r="AB2294" s="36" t="n">
        <x:f>IF(ISNUMBER(Y2294),ROUND(Y2294*0.9,2),"")</x:f>
        <x:v>29.7</x:v>
      </x:c>
      <x:c r="AC2294" s="36" t="n">
        <x:f>IF(ISNUMBER(AB2294),ROUND(AB2294-(AB2294*0.015+0.2)-V2294,2),"")</x:f>
        <x:v>6.27</x:v>
      </x:c>
      <x:c r="AD2294" s="36" t="n">
        <x:f>IF(ISNUMBER(Y2294),ROUND(Y2294*0.8,2),"")</x:f>
        <x:v>26.4</x:v>
      </x:c>
      <x:c r="AE2294" s="36" t="n">
        <x:f>IF(ISNUMBER(AD2294),ROUND(AD2294*0.015+0.2,2),"")</x:f>
        <x:v>0.6</x:v>
      </x:c>
      <x:c r="AF2294" s="36" t="n">
        <x:f>IF(ISNUMBER(AD2294),ROUND(AD2294-AE2294-V2294,2),"")</x:f>
        <x:v>3.01</x:v>
      </x:c>
      <x:c r="AG2294" t="str">
        <x:f>IF(NOT(ISNUMBER(T2294)),"PENDING",IF(AF2294&gt;0,"PASS","FAIL"))</x:f>
        <x:v>PASS</x:v>
      </x:c>
      <x:c r="AH2294" t="str">
        <x:f>IF(NOT(ISNUMBER(T2294)),"Needs supplier cost",IF(K2294&lt;&gt;"In stock","Supplier unavailable",IF(AG2294&lt;&gt;"PASS","BLOCK - GT loss risk","Commercially protected")))</x:f>
        <x:v>Commercially protected</x:v>
      </x:c>
      <x:c r="AI2294" t="str">
        <x:v>2026-09-10 Active Sports trade capture</x:v>
      </x:c>
      <x:c r="AJ2294" t="str">
        <x:v>Management-only economics. Stripe stress test uses 1.5% + £0.20 standard UK online-card fee; pallet/mix-and-match pricing ignored.</x:v>
      </x:c>
    </x:row>
    <x:row r="2295">
      <x:c r="A2295" t="str">
        <x:v>Active Sports Nutrition</x:v>
      </x:c>
      <x:c r="B2295" t="str">
        <x:v>Per4m Nutrition</x:v>
      </x:c>
      <x:c r="C2295" t="str">
        <x:v>Advanced Protein</x:v>
      </x:c>
      <x:c r="D2295" t="str">
        <x:v>Supplements</x:v>
      </x:c>
      <x:c r="E2295" t="str">
        <x:v>Protein Blends</x:v>
      </x:c>
      <x:c r="F2295" t="str"/>
      <x:c r="G2295" t="str">
        <x:v>800g</x:v>
      </x:c>
      <x:c r="H2295" t="str">
        <x:v>Carrot Cake</x:v>
      </x:c>
      <x:c r="I2295" t="str"/>
      <x:c r="J2295" t="str">
        <x:v>Unit</x:v>
      </x:c>
      <x:c r="K2295" t="str">
        <x:v>In stock</x:v>
      </x:c>
      <x:c r="L2295" t="str">
        <x:v>2026-09-08</x:v>
      </x:c>
      <x:c r="M2295" t="str"/>
      <x:c r="N2295" t="str"/>
      <x:c r="O2295" t="str">
        <x:v>https://www.activesportstrade.co.uk/per4m-nutrition-trade</x:v>
      </x:c>
      <x:c r="P2295" t="str"/>
      <x:c r="Q2295" t="str"/>
      <x:c r="R2295" t="str"/>
      <x:c r="S2295" t="str">
        <x:v>Pending genuine supplier/brand image</x:v>
      </x:c>
      <x:c r="T2295" s="54" t="n">
        <x:v>18.99</x:v>
      </x:c>
      <x:c r="U2295" s="47" t="n">
        <x:v>0.2</x:v>
      </x:c>
      <x:c r="V2295" s="54" t="n">
        <x:f>IF(ISNUMBER(T2295),T2295*(1+U2295),"")</x:f>
        <x:v>22.787999999999997</x:v>
      </x:c>
      <x:c r="W2295" s="47" t="n">
        <x:v>0.3</x:v>
      </x:c>
      <x:c r="X2295" s="54" t="n">
        <x:f>IF(ISNUMBER(V2295),V2295/(1-W2295),"")</x:f>
        <x:v>32.55428571428571</x:v>
      </x:c>
      <x:c r="Y2295" s="55" t="n">
        <x:f>IF(ISNUMBER(X2295),ROUNDUP(X2295,0),"")</x:f>
        <x:v>33</x:v>
      </x:c>
      <x:c r="Z2295" t="str">
        <x:v>Source match pending</x:v>
      </x:c>
      <x:c r="AA2295" t="str">
        <x:v>screencapture-www-activesportstrade-co-uk-per4m-nutrition-trade-2026-09-10-09_06_42.pdf / page-01</x:v>
      </x:c>
      <x:c r="AB2295" s="36" t="n">
        <x:f>IF(ISNUMBER(Y2295),ROUND(Y2295*0.9,2),"")</x:f>
        <x:v>29.7</x:v>
      </x:c>
      <x:c r="AC2295" s="36" t="n">
        <x:f>IF(ISNUMBER(AB2295),ROUND(AB2295-(AB2295*0.015+0.2)-V2295,2),"")</x:f>
        <x:v>6.27</x:v>
      </x:c>
      <x:c r="AD2295" s="36" t="n">
        <x:f>IF(ISNUMBER(Y2295),ROUND(Y2295*0.8,2),"")</x:f>
        <x:v>26.4</x:v>
      </x:c>
      <x:c r="AE2295" s="36" t="n">
        <x:f>IF(ISNUMBER(AD2295),ROUND(AD2295*0.015+0.2,2),"")</x:f>
        <x:v>0.6</x:v>
      </x:c>
      <x:c r="AF2295" s="36" t="n">
        <x:f>IF(ISNUMBER(AD2295),ROUND(AD2295-AE2295-V2295,2),"")</x:f>
        <x:v>3.01</x:v>
      </x:c>
      <x:c r="AG2295" t="str">
        <x:f>IF(NOT(ISNUMBER(T2295)),"PENDING",IF(AF2295&gt;0,"PASS","FAIL"))</x:f>
        <x:v>PASS</x:v>
      </x:c>
      <x:c r="AH2295" t="str">
        <x:f>IF(NOT(ISNUMBER(T2295)),"Needs supplier cost",IF(K2295&lt;&gt;"In stock","Supplier unavailable",IF(AG2295&lt;&gt;"PASS","BLOCK - GT loss risk","Commercially protected")))</x:f>
        <x:v>Commercially protected</x:v>
      </x:c>
      <x:c r="AI2295" t="str">
        <x:v>2026-09-10 Active Sports trade capture</x:v>
      </x:c>
      <x:c r="AJ2295" t="str">
        <x:v>Management-only economics. Stripe stress test uses 1.5% + £0.20 standard UK online-card fee; pallet/mix-and-match pricing ignored.</x:v>
      </x:c>
    </x:row>
    <x:row r="2296">
      <x:c r="A2296" t="str">
        <x:v>Active Sports Nutrition</x:v>
      </x:c>
      <x:c r="B2296" t="str">
        <x:v>Per4m Nutrition</x:v>
      </x:c>
      <x:c r="C2296" t="str">
        <x:v>Advanced Protein</x:v>
      </x:c>
      <x:c r="D2296" t="str">
        <x:v>Supplements</x:v>
      </x:c>
      <x:c r="E2296" t="str">
        <x:v>Protein Blends</x:v>
      </x:c>
      <x:c r="F2296" t="str"/>
      <x:c r="G2296" t="str">
        <x:v>800g</x:v>
      </x:c>
      <x:c r="H2296" t="str">
        <x:v>Cherry Cola Float</x:v>
      </x:c>
      <x:c r="I2296" t="str"/>
      <x:c r="J2296" t="str">
        <x:v>Unit</x:v>
      </x:c>
      <x:c r="K2296" t="str">
        <x:v>In stock</x:v>
      </x:c>
      <x:c r="L2296" t="str">
        <x:v>2026-09-08</x:v>
      </x:c>
      <x:c r="M2296" t="str"/>
      <x:c r="N2296" t="str"/>
      <x:c r="O2296" t="str">
        <x:v>https://www.activesportstrade.co.uk/per4m-nutrition-trade</x:v>
      </x:c>
      <x:c r="P2296" t="str"/>
      <x:c r="Q2296" t="str"/>
      <x:c r="R2296" t="str"/>
      <x:c r="S2296" t="str">
        <x:v>Pending genuine supplier/brand image</x:v>
      </x:c>
      <x:c r="T2296" s="54" t="n">
        <x:v>18.99</x:v>
      </x:c>
      <x:c r="U2296" s="47" t="n">
        <x:v>0.2</x:v>
      </x:c>
      <x:c r="V2296" s="54" t="n">
        <x:f>IF(ISNUMBER(T2296),T2296*(1+U2296),"")</x:f>
        <x:v>22.787999999999997</x:v>
      </x:c>
      <x:c r="W2296" s="47" t="n">
        <x:v>0.3</x:v>
      </x:c>
      <x:c r="X2296" s="54" t="n">
        <x:f>IF(ISNUMBER(V2296),V2296/(1-W2296),"")</x:f>
        <x:v>32.55428571428571</x:v>
      </x:c>
      <x:c r="Y2296" s="55" t="n">
        <x:f>IF(ISNUMBER(X2296),ROUNDUP(X2296,0),"")</x:f>
        <x:v>33</x:v>
      </x:c>
      <x:c r="Z2296" t="str">
        <x:v>Source match pending</x:v>
      </x:c>
      <x:c r="AA2296" t="str">
        <x:v>screencapture-www-activesportstrade-co-uk-per4m-nutrition-trade-2026-09-10-09_06_42.pdf / page-01</x:v>
      </x:c>
      <x:c r="AB2296" s="36" t="n">
        <x:f>IF(ISNUMBER(Y2296),ROUND(Y2296*0.9,2),"")</x:f>
        <x:v>29.7</x:v>
      </x:c>
      <x:c r="AC2296" s="36" t="n">
        <x:f>IF(ISNUMBER(AB2296),ROUND(AB2296-(AB2296*0.015+0.2)-V2296,2),"")</x:f>
        <x:v>6.27</x:v>
      </x:c>
      <x:c r="AD2296" s="36" t="n">
        <x:f>IF(ISNUMBER(Y2296),ROUND(Y2296*0.8,2),"")</x:f>
        <x:v>26.4</x:v>
      </x:c>
      <x:c r="AE2296" s="36" t="n">
        <x:f>IF(ISNUMBER(AD2296),ROUND(AD2296*0.015+0.2,2),"")</x:f>
        <x:v>0.6</x:v>
      </x:c>
      <x:c r="AF2296" s="36" t="n">
        <x:f>IF(ISNUMBER(AD2296),ROUND(AD2296-AE2296-V2296,2),"")</x:f>
        <x:v>3.01</x:v>
      </x:c>
      <x:c r="AG2296" t="str">
        <x:f>IF(NOT(ISNUMBER(T2296)),"PENDING",IF(AF2296&gt;0,"PASS","FAIL"))</x:f>
        <x:v>PASS</x:v>
      </x:c>
      <x:c r="AH2296" t="str">
        <x:f>IF(NOT(ISNUMBER(T2296)),"Needs supplier cost",IF(K2296&lt;&gt;"In stock","Supplier unavailable",IF(AG2296&lt;&gt;"PASS","BLOCK - GT loss risk","Commercially protected")))</x:f>
        <x:v>Commercially protected</x:v>
      </x:c>
      <x:c r="AI2296" t="str">
        <x:v>2026-09-10 Active Sports trade capture</x:v>
      </x:c>
      <x:c r="AJ2296" t="str">
        <x:v>Management-only economics. Stripe stress test uses 1.5% + £0.20 standard UK online-card fee; pallet/mix-and-match pricing ignored.</x:v>
      </x:c>
    </x:row>
    <x:row r="2297">
      <x:c r="A2297" t="str">
        <x:v>Active Sports Nutrition</x:v>
      </x:c>
      <x:c r="B2297" t="str">
        <x:v>Per4m Nutrition</x:v>
      </x:c>
      <x:c r="C2297" t="str">
        <x:v>Advanced Protein</x:v>
      </x:c>
      <x:c r="D2297" t="str">
        <x:v>Supplements</x:v>
      </x:c>
      <x:c r="E2297" t="str">
        <x:v>Protein Blends</x:v>
      </x:c>
      <x:c r="F2297" t="str"/>
      <x:c r="G2297" t="str">
        <x:v>800g</x:v>
      </x:c>
      <x:c r="H2297" t="str">
        <x:v>Chocolate Brownie Batter</x:v>
      </x:c>
      <x:c r="I2297" t="str"/>
      <x:c r="J2297" t="str">
        <x:v>Unit</x:v>
      </x:c>
      <x:c r="K2297" t="str">
        <x:v>In stock</x:v>
      </x:c>
      <x:c r="L2297" t="str">
        <x:v>2026-09-08</x:v>
      </x:c>
      <x:c r="M2297" t="str"/>
      <x:c r="N2297" t="str"/>
      <x:c r="O2297" t="str">
        <x:v>https://www.activesportstrade.co.uk/per4m-nutrition-trade</x:v>
      </x:c>
      <x:c r="P2297" t="str"/>
      <x:c r="Q2297" t="str"/>
      <x:c r="R2297" t="str"/>
      <x:c r="S2297" t="str">
        <x:v>Pending genuine supplier/brand image</x:v>
      </x:c>
      <x:c r="T2297" s="54" t="n">
        <x:v>18.99</x:v>
      </x:c>
      <x:c r="U2297" s="47" t="n">
        <x:v>0.2</x:v>
      </x:c>
      <x:c r="V2297" s="54" t="n">
        <x:f>IF(ISNUMBER(T2297),T2297*(1+U2297),"")</x:f>
        <x:v>22.787999999999997</x:v>
      </x:c>
      <x:c r="W2297" s="47" t="n">
        <x:v>0.3</x:v>
      </x:c>
      <x:c r="X2297" s="54" t="n">
        <x:f>IF(ISNUMBER(V2297),V2297/(1-W2297),"")</x:f>
        <x:v>32.55428571428571</x:v>
      </x:c>
      <x:c r="Y2297" s="55" t="n">
        <x:f>IF(ISNUMBER(X2297),ROUNDUP(X2297,0),"")</x:f>
        <x:v>33</x:v>
      </x:c>
      <x:c r="Z2297" t="str">
        <x:v>Source match pending</x:v>
      </x:c>
      <x:c r="AA2297" t="str">
        <x:v>screencapture-www-activesportstrade-co-uk-per4m-nutrition-trade-2026-09-10-09_06_42.pdf / page-01</x:v>
      </x:c>
      <x:c r="AB2297" s="36" t="n">
        <x:f>IF(ISNUMBER(Y2297),ROUND(Y2297*0.9,2),"")</x:f>
        <x:v>29.7</x:v>
      </x:c>
      <x:c r="AC2297" s="36" t="n">
        <x:f>IF(ISNUMBER(AB2297),ROUND(AB2297-(AB2297*0.015+0.2)-V2297,2),"")</x:f>
        <x:v>6.27</x:v>
      </x:c>
      <x:c r="AD2297" s="36" t="n">
        <x:f>IF(ISNUMBER(Y2297),ROUND(Y2297*0.8,2),"")</x:f>
        <x:v>26.4</x:v>
      </x:c>
      <x:c r="AE2297" s="36" t="n">
        <x:f>IF(ISNUMBER(AD2297),ROUND(AD2297*0.015+0.2,2),"")</x:f>
        <x:v>0.6</x:v>
      </x:c>
      <x:c r="AF2297" s="36" t="n">
        <x:f>IF(ISNUMBER(AD2297),ROUND(AD2297-AE2297-V2297,2),"")</x:f>
        <x:v>3.01</x:v>
      </x:c>
      <x:c r="AG2297" t="str">
        <x:f>IF(NOT(ISNUMBER(T2297)),"PENDING",IF(AF2297&gt;0,"PASS","FAIL"))</x:f>
        <x:v>PASS</x:v>
      </x:c>
      <x:c r="AH2297" t="str">
        <x:f>IF(NOT(ISNUMBER(T2297)),"Needs supplier cost",IF(K2297&lt;&gt;"In stock","Supplier unavailable",IF(AG2297&lt;&gt;"PASS","BLOCK - GT loss risk","Commercially protected")))</x:f>
        <x:v>Commercially protected</x:v>
      </x:c>
      <x:c r="AI2297" t="str">
        <x:v>2026-09-10 Active Sports trade capture</x:v>
      </x:c>
      <x:c r="AJ2297" t="str">
        <x:v>Management-only economics. Stripe stress test uses 1.5% + £0.20 standard UK online-card fee; pallet/mix-and-match pricing ignored.</x:v>
      </x:c>
    </x:row>
    <x:row r="2298">
      <x:c r="A2298" t="str">
        <x:v>Active Sports Nutrition</x:v>
      </x:c>
      <x:c r="B2298" t="str">
        <x:v>Per4m Nutrition</x:v>
      </x:c>
      <x:c r="C2298" t="str">
        <x:v>Advanced Protein</x:v>
      </x:c>
      <x:c r="D2298" t="str">
        <x:v>Supplements</x:v>
      </x:c>
      <x:c r="E2298" t="str">
        <x:v>Protein Blends</x:v>
      </x:c>
      <x:c r="F2298" t="str"/>
      <x:c r="G2298" t="str">
        <x:v>800g</x:v>
      </x:c>
      <x:c r="H2298" t="str">
        <x:v>Cinnamon Donut</x:v>
      </x:c>
      <x:c r="I2298" t="str"/>
      <x:c r="J2298" t="str">
        <x:v>Unit</x:v>
      </x:c>
      <x:c r="K2298" t="str">
        <x:v>In stock</x:v>
      </x:c>
      <x:c r="L2298" t="str">
        <x:v>2026-09-08</x:v>
      </x:c>
      <x:c r="M2298" t="str"/>
      <x:c r="N2298" t="str"/>
      <x:c r="O2298" t="str">
        <x:v>https://www.activesportstrade.co.uk/per4m-nutrition-trade</x:v>
      </x:c>
      <x:c r="P2298" t="str"/>
      <x:c r="Q2298" t="str"/>
      <x:c r="R2298" t="str"/>
      <x:c r="S2298" t="str">
        <x:v>Pending genuine supplier/brand image</x:v>
      </x:c>
      <x:c r="T2298" s="54" t="n">
        <x:v>18.99</x:v>
      </x:c>
      <x:c r="U2298" s="47" t="n">
        <x:v>0.2</x:v>
      </x:c>
      <x:c r="V2298" s="54" t="n">
        <x:f>IF(ISNUMBER(T2298),T2298*(1+U2298),"")</x:f>
        <x:v>22.787999999999997</x:v>
      </x:c>
      <x:c r="W2298" s="47" t="n">
        <x:v>0.3</x:v>
      </x:c>
      <x:c r="X2298" s="54" t="n">
        <x:f>IF(ISNUMBER(V2298),V2298/(1-W2298),"")</x:f>
        <x:v>32.55428571428571</x:v>
      </x:c>
      <x:c r="Y2298" s="55" t="n">
        <x:f>IF(ISNUMBER(X2298),ROUNDUP(X2298,0),"")</x:f>
        <x:v>33</x:v>
      </x:c>
      <x:c r="Z2298" t="str">
        <x:v>Source match pending</x:v>
      </x:c>
      <x:c r="AA2298" t="str">
        <x:v>screencapture-www-activesportstrade-co-uk-per4m-nutrition-trade-2026-09-10-09_06_42.pdf / page-01</x:v>
      </x:c>
      <x:c r="AB2298" s="36" t="n">
        <x:f>IF(ISNUMBER(Y2298),ROUND(Y2298*0.9,2),"")</x:f>
        <x:v>29.7</x:v>
      </x:c>
      <x:c r="AC2298" s="36" t="n">
        <x:f>IF(ISNUMBER(AB2298),ROUND(AB2298-(AB2298*0.015+0.2)-V2298,2),"")</x:f>
        <x:v>6.27</x:v>
      </x:c>
      <x:c r="AD2298" s="36" t="n">
        <x:f>IF(ISNUMBER(Y2298),ROUND(Y2298*0.8,2),"")</x:f>
        <x:v>26.4</x:v>
      </x:c>
      <x:c r="AE2298" s="36" t="n">
        <x:f>IF(ISNUMBER(AD2298),ROUND(AD2298*0.015+0.2,2),"")</x:f>
        <x:v>0.6</x:v>
      </x:c>
      <x:c r="AF2298" s="36" t="n">
        <x:f>IF(ISNUMBER(AD2298),ROUND(AD2298-AE2298-V2298,2),"")</x:f>
        <x:v>3.01</x:v>
      </x:c>
      <x:c r="AG2298" t="str">
        <x:f>IF(NOT(ISNUMBER(T2298)),"PENDING",IF(AF2298&gt;0,"PASS","FAIL"))</x:f>
        <x:v>PASS</x:v>
      </x:c>
      <x:c r="AH2298" t="str">
        <x:f>IF(NOT(ISNUMBER(T2298)),"Needs supplier cost",IF(K2298&lt;&gt;"In stock","Supplier unavailable",IF(AG2298&lt;&gt;"PASS","BLOCK - GT loss risk","Commercially protected")))</x:f>
        <x:v>Commercially protected</x:v>
      </x:c>
      <x:c r="AI2298" t="str">
        <x:v>2026-09-10 Active Sports trade capture</x:v>
      </x:c>
      <x:c r="AJ2298" t="str">
        <x:v>Management-only economics. Stripe stress test uses 1.5% + £0.20 standard UK online-card fee; pallet/mix-and-match pricing ignored.</x:v>
      </x:c>
    </x:row>
    <x:row r="2299">
      <x:c r="A2299" t="str">
        <x:v>Active Sports Nutrition</x:v>
      </x:c>
      <x:c r="B2299" t="str">
        <x:v>Per4m Nutrition</x:v>
      </x:c>
      <x:c r="C2299" t="str">
        <x:v>Advanced Protein</x:v>
      </x:c>
      <x:c r="D2299" t="str">
        <x:v>Supplements</x:v>
      </x:c>
      <x:c r="E2299" t="str">
        <x:v>Protein Blends</x:v>
      </x:c>
      <x:c r="F2299" t="str"/>
      <x:c r="G2299" t="str">
        <x:v>800g</x:v>
      </x:c>
      <x:c r="H2299" t="str">
        <x:v>Cookie Dough</x:v>
      </x:c>
      <x:c r="I2299" t="str"/>
      <x:c r="J2299" t="str">
        <x:v>Unit</x:v>
      </x:c>
      <x:c r="K2299" t="str">
        <x:v>In stock</x:v>
      </x:c>
      <x:c r="L2299" t="str">
        <x:v>2026-09-08</x:v>
      </x:c>
      <x:c r="M2299" t="str"/>
      <x:c r="N2299" t="str"/>
      <x:c r="O2299" t="str">
        <x:v>https://www.activesportstrade.co.uk/per4m-nutrition-trade</x:v>
      </x:c>
      <x:c r="P2299" t="str"/>
      <x:c r="Q2299" t="str"/>
      <x:c r="R2299" t="str"/>
      <x:c r="S2299" t="str">
        <x:v>Pending genuine supplier/brand image</x:v>
      </x:c>
      <x:c r="T2299" s="54" t="n">
        <x:v>18.99</x:v>
      </x:c>
      <x:c r="U2299" s="47" t="n">
        <x:v>0.2</x:v>
      </x:c>
      <x:c r="V2299" s="54" t="n">
        <x:f>IF(ISNUMBER(T2299),T2299*(1+U2299),"")</x:f>
        <x:v>22.787999999999997</x:v>
      </x:c>
      <x:c r="W2299" s="47" t="n">
        <x:v>0.3</x:v>
      </x:c>
      <x:c r="X2299" s="54" t="n">
        <x:f>IF(ISNUMBER(V2299),V2299/(1-W2299),"")</x:f>
        <x:v>32.55428571428571</x:v>
      </x:c>
      <x:c r="Y2299" s="55" t="n">
        <x:f>IF(ISNUMBER(X2299),ROUNDUP(X2299,0),"")</x:f>
        <x:v>33</x:v>
      </x:c>
      <x:c r="Z2299" t="str">
        <x:v>Source match pending</x:v>
      </x:c>
      <x:c r="AA2299" t="str">
        <x:v>screencapture-www-activesportstrade-co-uk-per4m-nutrition-trade-2026-09-10-09_06_42.pdf / page-01</x:v>
      </x:c>
      <x:c r="AB2299" s="36" t="n">
        <x:f>IF(ISNUMBER(Y2299),ROUND(Y2299*0.9,2),"")</x:f>
        <x:v>29.7</x:v>
      </x:c>
      <x:c r="AC2299" s="36" t="n">
        <x:f>IF(ISNUMBER(AB2299),ROUND(AB2299-(AB2299*0.015+0.2)-V2299,2),"")</x:f>
        <x:v>6.27</x:v>
      </x:c>
      <x:c r="AD2299" s="36" t="n">
        <x:f>IF(ISNUMBER(Y2299),ROUND(Y2299*0.8,2),"")</x:f>
        <x:v>26.4</x:v>
      </x:c>
      <x:c r="AE2299" s="36" t="n">
        <x:f>IF(ISNUMBER(AD2299),ROUND(AD2299*0.015+0.2,2),"")</x:f>
        <x:v>0.6</x:v>
      </x:c>
      <x:c r="AF2299" s="36" t="n">
        <x:f>IF(ISNUMBER(AD2299),ROUND(AD2299-AE2299-V2299,2),"")</x:f>
        <x:v>3.01</x:v>
      </x:c>
      <x:c r="AG2299" t="str">
        <x:f>IF(NOT(ISNUMBER(T2299)),"PENDING",IF(AF2299&gt;0,"PASS","FAIL"))</x:f>
        <x:v>PASS</x:v>
      </x:c>
      <x:c r="AH2299" t="str">
        <x:f>IF(NOT(ISNUMBER(T2299)),"Needs supplier cost",IF(K2299&lt;&gt;"In stock","Supplier unavailable",IF(AG2299&lt;&gt;"PASS","BLOCK - GT loss risk","Commercially protected")))</x:f>
        <x:v>Commercially protected</x:v>
      </x:c>
      <x:c r="AI2299" t="str">
        <x:v>2026-09-10 Active Sports trade capture</x:v>
      </x:c>
      <x:c r="AJ2299" t="str">
        <x:v>Management-only economics. Stripe stress test uses 1.5% + £0.20 standard UK online-card fee; pallet/mix-and-match pricing ignored.</x:v>
      </x:c>
    </x:row>
    <x:row r="2300">
      <x:c r="A2300" t="str">
        <x:v>Active Sports Nutrition</x:v>
      </x:c>
      <x:c r="B2300" t="str">
        <x:v>Per4m Nutrition</x:v>
      </x:c>
      <x:c r="C2300" t="str">
        <x:v>Advanced Protein</x:v>
      </x:c>
      <x:c r="D2300" t="str">
        <x:v>Supplements</x:v>
      </x:c>
      <x:c r="E2300" t="str">
        <x:v>Protein Blends</x:v>
      </x:c>
      <x:c r="F2300" t="str"/>
      <x:c r="G2300" t="str">
        <x:v>800g</x:v>
      </x:c>
      <x:c r="H2300" t="str">
        <x:v>Cookies &amp; Cream</x:v>
      </x:c>
      <x:c r="I2300" t="str"/>
      <x:c r="J2300" t="str">
        <x:v>Unit</x:v>
      </x:c>
      <x:c r="K2300" t="str">
        <x:v>In stock</x:v>
      </x:c>
      <x:c r="L2300" t="str">
        <x:v>2026-09-08</x:v>
      </x:c>
      <x:c r="M2300" t="str"/>
      <x:c r="N2300" t="str"/>
      <x:c r="O2300" t="str">
        <x:v>https://www.activesportstrade.co.uk/per4m-nutrition-trade</x:v>
      </x:c>
      <x:c r="P2300" t="str"/>
      <x:c r="Q2300" t="str"/>
      <x:c r="R2300" t="str"/>
      <x:c r="S2300" t="str">
        <x:v>Pending genuine supplier/brand image</x:v>
      </x:c>
      <x:c r="T2300" s="54" t="n">
        <x:v>18.99</x:v>
      </x:c>
      <x:c r="U2300" s="47" t="n">
        <x:v>0.2</x:v>
      </x:c>
      <x:c r="V2300" s="54" t="n">
        <x:f>IF(ISNUMBER(T2300),T2300*(1+U2300),"")</x:f>
        <x:v>22.787999999999997</x:v>
      </x:c>
      <x:c r="W2300" s="47" t="n">
        <x:v>0.3</x:v>
      </x:c>
      <x:c r="X2300" s="54" t="n">
        <x:f>IF(ISNUMBER(V2300),V2300/(1-W2300),"")</x:f>
        <x:v>32.55428571428571</x:v>
      </x:c>
      <x:c r="Y2300" s="55" t="n">
        <x:f>IF(ISNUMBER(X2300),ROUNDUP(X2300,0),"")</x:f>
        <x:v>33</x:v>
      </x:c>
      <x:c r="Z2300" t="str">
        <x:v>Source match pending</x:v>
      </x:c>
      <x:c r="AA2300" t="str">
        <x:v>screencapture-www-activesportstrade-co-uk-per4m-nutrition-trade-2026-09-10-09_06_42.pdf / page-01</x:v>
      </x:c>
      <x:c r="AB2300" s="36" t="n">
        <x:f>IF(ISNUMBER(Y2300),ROUND(Y2300*0.9,2),"")</x:f>
        <x:v>29.7</x:v>
      </x:c>
      <x:c r="AC2300" s="36" t="n">
        <x:f>IF(ISNUMBER(AB2300),ROUND(AB2300-(AB2300*0.015+0.2)-V2300,2),"")</x:f>
        <x:v>6.27</x:v>
      </x:c>
      <x:c r="AD2300" s="36" t="n">
        <x:f>IF(ISNUMBER(Y2300),ROUND(Y2300*0.8,2),"")</x:f>
        <x:v>26.4</x:v>
      </x:c>
      <x:c r="AE2300" s="36" t="n">
        <x:f>IF(ISNUMBER(AD2300),ROUND(AD2300*0.015+0.2,2),"")</x:f>
        <x:v>0.6</x:v>
      </x:c>
      <x:c r="AF2300" s="36" t="n">
        <x:f>IF(ISNUMBER(AD2300),ROUND(AD2300-AE2300-V2300,2),"")</x:f>
        <x:v>3.01</x:v>
      </x:c>
      <x:c r="AG2300" t="str">
        <x:f>IF(NOT(ISNUMBER(T2300)),"PENDING",IF(AF2300&gt;0,"PASS","FAIL"))</x:f>
        <x:v>PASS</x:v>
      </x:c>
      <x:c r="AH2300" t="str">
        <x:f>IF(NOT(ISNUMBER(T2300)),"Needs supplier cost",IF(K2300&lt;&gt;"In stock","Supplier unavailable",IF(AG2300&lt;&gt;"PASS","BLOCK - GT loss risk","Commercially protected")))</x:f>
        <x:v>Commercially protected</x:v>
      </x:c>
      <x:c r="AI2300" t="str">
        <x:v>2026-09-10 Active Sports trade capture</x:v>
      </x:c>
      <x:c r="AJ2300" t="str">
        <x:v>Management-only economics. Stripe stress test uses 1.5% + £0.20 standard UK online-card fee; pallet/mix-and-match pricing ignored.</x:v>
      </x:c>
    </x:row>
    <x:row r="2301">
      <x:c r="A2301" t="str">
        <x:v>Active Sports Nutrition</x:v>
      </x:c>
      <x:c r="B2301" t="str">
        <x:v>Per4m Nutrition</x:v>
      </x:c>
      <x:c r="C2301" t="str">
        <x:v>Advanced Protein</x:v>
      </x:c>
      <x:c r="D2301" t="str">
        <x:v>Supplements</x:v>
      </x:c>
      <x:c r="E2301" t="str">
        <x:v>Protein Blends</x:v>
      </x:c>
      <x:c r="F2301" t="str"/>
      <x:c r="G2301" t="str">
        <x:v>800g</x:v>
      </x:c>
      <x:c r="H2301" t="str">
        <x:v>Sticky Toffee Pudding</x:v>
      </x:c>
      <x:c r="I2301" t="str"/>
      <x:c r="J2301" t="str">
        <x:v>Unit</x:v>
      </x:c>
      <x:c r="K2301" t="str">
        <x:v>In stock</x:v>
      </x:c>
      <x:c r="L2301" t="str">
        <x:v>2026-09-08</x:v>
      </x:c>
      <x:c r="M2301" t="str"/>
      <x:c r="N2301" t="str"/>
      <x:c r="O2301" t="str">
        <x:v>https://www.activesportstrade.co.uk/per4m-nutrition-trade</x:v>
      </x:c>
      <x:c r="P2301" t="str"/>
      <x:c r="Q2301" t="str"/>
      <x:c r="R2301" t="str"/>
      <x:c r="S2301" t="str">
        <x:v>Pending genuine supplier/brand image</x:v>
      </x:c>
      <x:c r="T2301" s="54" t="n">
        <x:v>18.99</x:v>
      </x:c>
      <x:c r="U2301" s="47" t="n">
        <x:v>0.2</x:v>
      </x:c>
      <x:c r="V2301" s="54" t="n">
        <x:f>IF(ISNUMBER(T2301),T2301*(1+U2301),"")</x:f>
        <x:v>22.787999999999997</x:v>
      </x:c>
      <x:c r="W2301" s="47" t="n">
        <x:v>0.3</x:v>
      </x:c>
      <x:c r="X2301" s="54" t="n">
        <x:f>IF(ISNUMBER(V2301),V2301/(1-W2301),"")</x:f>
        <x:v>32.55428571428571</x:v>
      </x:c>
      <x:c r="Y2301" s="55" t="n">
        <x:f>IF(ISNUMBER(X2301),ROUNDUP(X2301,0),"")</x:f>
        <x:v>33</x:v>
      </x:c>
      <x:c r="Z2301" t="str">
        <x:v>Source match pending</x:v>
      </x:c>
      <x:c r="AA2301" t="str">
        <x:v>screencapture-www-activesportstrade-co-uk-per4m-nutrition-trade-2026-09-10-09_06_42.pdf / page-01</x:v>
      </x:c>
      <x:c r="AB2301" s="36" t="n">
        <x:f>IF(ISNUMBER(Y2301),ROUND(Y2301*0.9,2),"")</x:f>
        <x:v>29.7</x:v>
      </x:c>
      <x:c r="AC2301" s="36" t="n">
        <x:f>IF(ISNUMBER(AB2301),ROUND(AB2301-(AB2301*0.015+0.2)-V2301,2),"")</x:f>
        <x:v>6.27</x:v>
      </x:c>
      <x:c r="AD2301" s="36" t="n">
        <x:f>IF(ISNUMBER(Y2301),ROUND(Y2301*0.8,2),"")</x:f>
        <x:v>26.4</x:v>
      </x:c>
      <x:c r="AE2301" s="36" t="n">
        <x:f>IF(ISNUMBER(AD2301),ROUND(AD2301*0.015+0.2,2),"")</x:f>
        <x:v>0.6</x:v>
      </x:c>
      <x:c r="AF2301" s="36" t="n">
        <x:f>IF(ISNUMBER(AD2301),ROUND(AD2301-AE2301-V2301,2),"")</x:f>
        <x:v>3.01</x:v>
      </x:c>
      <x:c r="AG2301" t="str">
        <x:f>IF(NOT(ISNUMBER(T2301)),"PENDING",IF(AF2301&gt;0,"PASS","FAIL"))</x:f>
        <x:v>PASS</x:v>
      </x:c>
      <x:c r="AH2301" t="str">
        <x:f>IF(NOT(ISNUMBER(T2301)),"Needs supplier cost",IF(K2301&lt;&gt;"In stock","Supplier unavailable",IF(AG2301&lt;&gt;"PASS","BLOCK - GT loss risk","Commercially protected")))</x:f>
        <x:v>Commercially protected</x:v>
      </x:c>
      <x:c r="AI2301" t="str">
        <x:v>2026-09-10 Active Sports trade capture</x:v>
      </x:c>
      <x:c r="AJ2301" t="str">
        <x:v>Management-only economics. Stripe stress test uses 1.5% + £0.20 standard UK online-card fee; pallet/mix-and-match pricing ignored.</x:v>
      </x:c>
    </x:row>
    <x:row r="2302">
      <x:c r="A2302" t="str">
        <x:v>Active Sports Nutrition</x:v>
      </x:c>
      <x:c r="B2302" t="str">
        <x:v>Per4m Nutrition</x:v>
      </x:c>
      <x:c r="C2302" t="str">
        <x:v>Advanced Protein</x:v>
      </x:c>
      <x:c r="D2302" t="str">
        <x:v>Supplements</x:v>
      </x:c>
      <x:c r="E2302" t="str">
        <x:v>Protein Blends</x:v>
      </x:c>
      <x:c r="F2302" t="str"/>
      <x:c r="G2302" t="str">
        <x:v>800g</x:v>
      </x:c>
      <x:c r="H2302" t="str">
        <x:v>Strawberry Creme</x:v>
      </x:c>
      <x:c r="I2302" t="str"/>
      <x:c r="J2302" t="str">
        <x:v>Unit</x:v>
      </x:c>
      <x:c r="K2302" t="str">
        <x:v>In stock</x:v>
      </x:c>
      <x:c r="L2302" t="str">
        <x:v>2026-09-08</x:v>
      </x:c>
      <x:c r="M2302" t="str"/>
      <x:c r="N2302" t="str"/>
      <x:c r="O2302" t="str">
        <x:v>https://www.activesportstrade.co.uk/per4m-nutrition-trade</x:v>
      </x:c>
      <x:c r="P2302" t="str"/>
      <x:c r="Q2302" t="str"/>
      <x:c r="R2302" t="str"/>
      <x:c r="S2302" t="str">
        <x:v>Pending genuine supplier/brand image</x:v>
      </x:c>
      <x:c r="T2302" s="54" t="n">
        <x:v>18.99</x:v>
      </x:c>
      <x:c r="U2302" s="47" t="n">
        <x:v>0.2</x:v>
      </x:c>
      <x:c r="V2302" s="54" t="n">
        <x:f>IF(ISNUMBER(T2302),T2302*(1+U2302),"")</x:f>
        <x:v>22.787999999999997</x:v>
      </x:c>
      <x:c r="W2302" s="47" t="n">
        <x:v>0.3</x:v>
      </x:c>
      <x:c r="X2302" s="54" t="n">
        <x:f>IF(ISNUMBER(V2302),V2302/(1-W2302),"")</x:f>
        <x:v>32.55428571428571</x:v>
      </x:c>
      <x:c r="Y2302" s="55" t="n">
        <x:f>IF(ISNUMBER(X2302),ROUNDUP(X2302,0),"")</x:f>
        <x:v>33</x:v>
      </x:c>
      <x:c r="Z2302" t="str">
        <x:v>Source match pending</x:v>
      </x:c>
      <x:c r="AA2302" t="str">
        <x:v>screencapture-www-activesportstrade-co-uk-per4m-nutrition-trade-2026-09-10-09_06_42.pdf / page-01</x:v>
      </x:c>
      <x:c r="AB2302" s="36" t="n">
        <x:f>IF(ISNUMBER(Y2302),ROUND(Y2302*0.9,2),"")</x:f>
        <x:v>29.7</x:v>
      </x:c>
      <x:c r="AC2302" s="36" t="n">
        <x:f>IF(ISNUMBER(AB2302),ROUND(AB2302-(AB2302*0.015+0.2)-V2302,2),"")</x:f>
        <x:v>6.27</x:v>
      </x:c>
      <x:c r="AD2302" s="36" t="n">
        <x:f>IF(ISNUMBER(Y2302),ROUND(Y2302*0.8,2),"")</x:f>
        <x:v>26.4</x:v>
      </x:c>
      <x:c r="AE2302" s="36" t="n">
        <x:f>IF(ISNUMBER(AD2302),ROUND(AD2302*0.015+0.2,2),"")</x:f>
        <x:v>0.6</x:v>
      </x:c>
      <x:c r="AF2302" s="36" t="n">
        <x:f>IF(ISNUMBER(AD2302),ROUND(AD2302-AE2302-V2302,2),"")</x:f>
        <x:v>3.01</x:v>
      </x:c>
      <x:c r="AG2302" t="str">
        <x:f>IF(NOT(ISNUMBER(T2302)),"PENDING",IF(AF2302&gt;0,"PASS","FAIL"))</x:f>
        <x:v>PASS</x:v>
      </x:c>
      <x:c r="AH2302" t="str">
        <x:f>IF(NOT(ISNUMBER(T2302)),"Needs supplier cost",IF(K2302&lt;&gt;"In stock","Supplier unavailable",IF(AG2302&lt;&gt;"PASS","BLOCK - GT loss risk","Commercially protected")))</x:f>
        <x:v>Commercially protected</x:v>
      </x:c>
      <x:c r="AI2302" t="str">
        <x:v>2026-09-10 Active Sports trade capture</x:v>
      </x:c>
      <x:c r="AJ2302" t="str">
        <x:v>Management-only economics. Stripe stress test uses 1.5% + £0.20 standard UK online-card fee; pallet/mix-and-match pricing ignored.</x:v>
      </x:c>
    </x:row>
    <x:row r="2303">
      <x:c r="A2303" t="str">
        <x:v>Active Sports Nutrition</x:v>
      </x:c>
      <x:c r="B2303" t="str">
        <x:v>Per4m Nutrition</x:v>
      </x:c>
      <x:c r="C2303" t="str">
        <x:v>Advanced Protein</x:v>
      </x:c>
      <x:c r="D2303" t="str">
        <x:v>Supplements</x:v>
      </x:c>
      <x:c r="E2303" t="str">
        <x:v>Protein Blends</x:v>
      </x:c>
      <x:c r="F2303" t="str"/>
      <x:c r="G2303" t="str">
        <x:v>800g</x:v>
      </x:c>
      <x:c r="H2303" t="str">
        <x:v>Vanilla Cola Float</x:v>
      </x:c>
      <x:c r="I2303" t="str"/>
      <x:c r="J2303" t="str">
        <x:v>Unit</x:v>
      </x:c>
      <x:c r="K2303" t="str">
        <x:v>In stock</x:v>
      </x:c>
      <x:c r="L2303" t="str">
        <x:v>2026-09-08</x:v>
      </x:c>
      <x:c r="M2303" t="str"/>
      <x:c r="N2303" t="str"/>
      <x:c r="O2303" t="str">
        <x:v>https://www.activesportstrade.co.uk/per4m-nutrition-trade</x:v>
      </x:c>
      <x:c r="P2303" t="str"/>
      <x:c r="Q2303" t="str"/>
      <x:c r="R2303" t="str"/>
      <x:c r="S2303" t="str">
        <x:v>Pending genuine supplier/brand image</x:v>
      </x:c>
      <x:c r="T2303" s="54" t="n">
        <x:v>18.99</x:v>
      </x:c>
      <x:c r="U2303" s="47" t="n">
        <x:v>0.2</x:v>
      </x:c>
      <x:c r="V2303" s="54" t="n">
        <x:f>IF(ISNUMBER(T2303),T2303*(1+U2303),"")</x:f>
        <x:v>22.787999999999997</x:v>
      </x:c>
      <x:c r="W2303" s="47" t="n">
        <x:v>0.3</x:v>
      </x:c>
      <x:c r="X2303" s="54" t="n">
        <x:f>IF(ISNUMBER(V2303),V2303/(1-W2303),"")</x:f>
        <x:v>32.55428571428571</x:v>
      </x:c>
      <x:c r="Y2303" s="55" t="n">
        <x:f>IF(ISNUMBER(X2303),ROUNDUP(X2303,0),"")</x:f>
        <x:v>33</x:v>
      </x:c>
      <x:c r="Z2303" t="str">
        <x:v>Source match pending</x:v>
      </x:c>
      <x:c r="AA2303" t="str">
        <x:v>screencapture-www-activesportstrade-co-uk-per4m-nutrition-trade-2026-09-10-09_06_42.pdf / page-01</x:v>
      </x:c>
      <x:c r="AB2303" s="36" t="n">
        <x:f>IF(ISNUMBER(Y2303),ROUND(Y2303*0.9,2),"")</x:f>
        <x:v>29.7</x:v>
      </x:c>
      <x:c r="AC2303" s="36" t="n">
        <x:f>IF(ISNUMBER(AB2303),ROUND(AB2303-(AB2303*0.015+0.2)-V2303,2),"")</x:f>
        <x:v>6.27</x:v>
      </x:c>
      <x:c r="AD2303" s="36" t="n">
        <x:f>IF(ISNUMBER(Y2303),ROUND(Y2303*0.8,2),"")</x:f>
        <x:v>26.4</x:v>
      </x:c>
      <x:c r="AE2303" s="36" t="n">
        <x:f>IF(ISNUMBER(AD2303),ROUND(AD2303*0.015+0.2,2),"")</x:f>
        <x:v>0.6</x:v>
      </x:c>
      <x:c r="AF2303" s="36" t="n">
        <x:f>IF(ISNUMBER(AD2303),ROUND(AD2303-AE2303-V2303,2),"")</x:f>
        <x:v>3.01</x:v>
      </x:c>
      <x:c r="AG2303" t="str">
        <x:f>IF(NOT(ISNUMBER(T2303)),"PENDING",IF(AF2303&gt;0,"PASS","FAIL"))</x:f>
        <x:v>PASS</x:v>
      </x:c>
      <x:c r="AH2303" t="str">
        <x:f>IF(NOT(ISNUMBER(T2303)),"Needs supplier cost",IF(K2303&lt;&gt;"In stock","Supplier unavailable",IF(AG2303&lt;&gt;"PASS","BLOCK - GT loss risk","Commercially protected")))</x:f>
        <x:v>Commercially protected</x:v>
      </x:c>
      <x:c r="AI2303" t="str">
        <x:v>2026-09-10 Active Sports trade capture</x:v>
      </x:c>
      <x:c r="AJ2303" t="str">
        <x:v>Management-only economics. Stripe stress test uses 1.5% + £0.20 standard UK online-card fee; pallet/mix-and-match pricing ignored.</x:v>
      </x:c>
    </x:row>
    <x:row r="2304">
      <x:c r="A2304" t="str">
        <x:v>Active Sports Nutrition</x:v>
      </x:c>
      <x:c r="B2304" t="str">
        <x:v>Per4m Nutrition</x:v>
      </x:c>
      <x:c r="C2304" t="str">
        <x:v>Advanced Protein</x:v>
      </x:c>
      <x:c r="D2304" t="str">
        <x:v>Supplements</x:v>
      </x:c>
      <x:c r="E2304" t="str">
        <x:v>Protein Blends</x:v>
      </x:c>
      <x:c r="F2304" t="str"/>
      <x:c r="G2304" t="str">
        <x:v>800g</x:v>
      </x:c>
      <x:c r="H2304" t="str">
        <x:v>Vanilla Creme</x:v>
      </x:c>
      <x:c r="I2304" t="str"/>
      <x:c r="J2304" t="str">
        <x:v>Unit</x:v>
      </x:c>
      <x:c r="K2304" t="str">
        <x:v>In stock</x:v>
      </x:c>
      <x:c r="L2304" t="str">
        <x:v>2026-09-08</x:v>
      </x:c>
      <x:c r="M2304" t="str"/>
      <x:c r="N2304" t="str"/>
      <x:c r="O2304" t="str">
        <x:v>https://www.activesportstrade.co.uk/per4m-nutrition-trade</x:v>
      </x:c>
      <x:c r="P2304" t="str"/>
      <x:c r="Q2304" t="str"/>
      <x:c r="R2304" t="str"/>
      <x:c r="S2304" t="str">
        <x:v>Pending genuine supplier/brand image</x:v>
      </x:c>
      <x:c r="T2304" s="54" t="n">
        <x:v>18.99</x:v>
      </x:c>
      <x:c r="U2304" s="47" t="n">
        <x:v>0.2</x:v>
      </x:c>
      <x:c r="V2304" s="54" t="n">
        <x:f>IF(ISNUMBER(T2304),T2304*(1+U2304),"")</x:f>
        <x:v>22.787999999999997</x:v>
      </x:c>
      <x:c r="W2304" s="47" t="n">
        <x:v>0.3</x:v>
      </x:c>
      <x:c r="X2304" s="54" t="n">
        <x:f>IF(ISNUMBER(V2304),V2304/(1-W2304),"")</x:f>
        <x:v>32.55428571428571</x:v>
      </x:c>
      <x:c r="Y2304" s="55" t="n">
        <x:f>IF(ISNUMBER(X2304),ROUNDUP(X2304,0),"")</x:f>
        <x:v>33</x:v>
      </x:c>
      <x:c r="Z2304" t="str">
        <x:v>Source match pending</x:v>
      </x:c>
      <x:c r="AA2304" t="str">
        <x:v>screencapture-www-activesportstrade-co-uk-per4m-nutrition-trade-2026-09-10-09_06_42.pdf / page-01</x:v>
      </x:c>
      <x:c r="AB2304" s="36" t="n">
        <x:f>IF(ISNUMBER(Y2304),ROUND(Y2304*0.9,2),"")</x:f>
        <x:v>29.7</x:v>
      </x:c>
      <x:c r="AC2304" s="36" t="n">
        <x:f>IF(ISNUMBER(AB2304),ROUND(AB2304-(AB2304*0.015+0.2)-V2304,2),"")</x:f>
        <x:v>6.27</x:v>
      </x:c>
      <x:c r="AD2304" s="36" t="n">
        <x:f>IF(ISNUMBER(Y2304),ROUND(Y2304*0.8,2),"")</x:f>
        <x:v>26.4</x:v>
      </x:c>
      <x:c r="AE2304" s="36" t="n">
        <x:f>IF(ISNUMBER(AD2304),ROUND(AD2304*0.015+0.2,2),"")</x:f>
        <x:v>0.6</x:v>
      </x:c>
      <x:c r="AF2304" s="36" t="n">
        <x:f>IF(ISNUMBER(AD2304),ROUND(AD2304-AE2304-V2304,2),"")</x:f>
        <x:v>3.01</x:v>
      </x:c>
      <x:c r="AG2304" t="str">
        <x:f>IF(NOT(ISNUMBER(T2304)),"PENDING",IF(AF2304&gt;0,"PASS","FAIL"))</x:f>
        <x:v>PASS</x:v>
      </x:c>
      <x:c r="AH2304" t="str">
        <x:f>IF(NOT(ISNUMBER(T2304)),"Needs supplier cost",IF(K2304&lt;&gt;"In stock","Supplier unavailable",IF(AG2304&lt;&gt;"PASS","BLOCK - GT loss risk","Commercially protected")))</x:f>
        <x:v>Commercially protected</x:v>
      </x:c>
      <x:c r="AI2304" t="str">
        <x:v>2026-09-10 Active Sports trade capture</x:v>
      </x:c>
      <x:c r="AJ2304" t="str">
        <x:v>Management-only economics. Stripe stress test uses 1.5% + £0.20 standard UK online-card fee; pallet/mix-and-match pricing ignored.</x:v>
      </x:c>
    </x:row>
    <x:row r="2305">
      <x:c r="A2305" t="str">
        <x:v>Active Sports Nutrition</x:v>
      </x:c>
      <x:c r="B2305" t="str">
        <x:v>Per4m Nutrition</x:v>
      </x:c>
      <x:c r="C2305" t="str">
        <x:v>Advanced Protein</x:v>
      </x:c>
      <x:c r="D2305" t="str">
        <x:v>Supplements</x:v>
      </x:c>
      <x:c r="E2305" t="str">
        <x:v>Protein Blends</x:v>
      </x:c>
      <x:c r="F2305" t="str"/>
      <x:c r="G2305" t="str">
        <x:v>800g</x:v>
      </x:c>
      <x:c r="H2305" t="str">
        <x:v>White Chocolate Hazelnut</x:v>
      </x:c>
      <x:c r="I2305" t="str"/>
      <x:c r="J2305" t="str">
        <x:v>Unit</x:v>
      </x:c>
      <x:c r="K2305" t="str">
        <x:v>In stock</x:v>
      </x:c>
      <x:c r="L2305" t="str">
        <x:v>2026-09-08</x:v>
      </x:c>
      <x:c r="M2305" t="str"/>
      <x:c r="N2305" t="str"/>
      <x:c r="O2305" t="str">
        <x:v>https://www.activesportstrade.co.uk/per4m-nutrition-trade</x:v>
      </x:c>
      <x:c r="P2305" t="str"/>
      <x:c r="Q2305" t="str"/>
      <x:c r="R2305" t="str"/>
      <x:c r="S2305" t="str">
        <x:v>Pending genuine supplier/brand image</x:v>
      </x:c>
      <x:c r="T2305" s="54" t="n">
        <x:v>18.99</x:v>
      </x:c>
      <x:c r="U2305" s="47" t="n">
        <x:v>0.2</x:v>
      </x:c>
      <x:c r="V2305" s="54" t="n">
        <x:f>IF(ISNUMBER(T2305),T2305*(1+U2305),"")</x:f>
        <x:v>22.787999999999997</x:v>
      </x:c>
      <x:c r="W2305" s="47" t="n">
        <x:v>0.3</x:v>
      </x:c>
      <x:c r="X2305" s="54" t="n">
        <x:f>IF(ISNUMBER(V2305),V2305/(1-W2305),"")</x:f>
        <x:v>32.55428571428571</x:v>
      </x:c>
      <x:c r="Y2305" s="55" t="n">
        <x:f>IF(ISNUMBER(X2305),ROUNDUP(X2305,0),"")</x:f>
        <x:v>33</x:v>
      </x:c>
      <x:c r="Z2305" t="str">
        <x:v>Source match pending</x:v>
      </x:c>
      <x:c r="AA2305" t="str">
        <x:v>screencapture-www-activesportstrade-co-uk-per4m-nutrition-trade-2026-09-10-09_06_42.pdf / page-01</x:v>
      </x:c>
      <x:c r="AB2305" s="36" t="n">
        <x:f>IF(ISNUMBER(Y2305),ROUND(Y2305*0.9,2),"")</x:f>
        <x:v>29.7</x:v>
      </x:c>
      <x:c r="AC2305" s="36" t="n">
        <x:f>IF(ISNUMBER(AB2305),ROUND(AB2305-(AB2305*0.015+0.2)-V2305,2),"")</x:f>
        <x:v>6.27</x:v>
      </x:c>
      <x:c r="AD2305" s="36" t="n">
        <x:f>IF(ISNUMBER(Y2305),ROUND(Y2305*0.8,2),"")</x:f>
        <x:v>26.4</x:v>
      </x:c>
      <x:c r="AE2305" s="36" t="n">
        <x:f>IF(ISNUMBER(AD2305),ROUND(AD2305*0.015+0.2,2),"")</x:f>
        <x:v>0.6</x:v>
      </x:c>
      <x:c r="AF2305" s="36" t="n">
        <x:f>IF(ISNUMBER(AD2305),ROUND(AD2305-AE2305-V2305,2),"")</x:f>
        <x:v>3.01</x:v>
      </x:c>
      <x:c r="AG2305" t="str">
        <x:f>IF(NOT(ISNUMBER(T2305)),"PENDING",IF(AF2305&gt;0,"PASS","FAIL"))</x:f>
        <x:v>PASS</x:v>
      </x:c>
      <x:c r="AH2305" t="str">
        <x:f>IF(NOT(ISNUMBER(T2305)),"Needs supplier cost",IF(K2305&lt;&gt;"In stock","Supplier unavailable",IF(AG2305&lt;&gt;"PASS","BLOCK - GT loss risk","Commercially protected")))</x:f>
        <x:v>Commercially protected</x:v>
      </x:c>
      <x:c r="AI2305" t="str">
        <x:v>2026-09-10 Active Sports trade capture</x:v>
      </x:c>
      <x:c r="AJ2305" t="str">
        <x:v>Management-only economics. Stripe stress test uses 1.5% + £0.20 standard UK online-card fee; pallet/mix-and-match pricing ignored.</x:v>
      </x:c>
    </x:row>
    <x:row r="2306">
      <x:c r="A2306" t="str">
        <x:v>Active Sports Nutrition</x:v>
      </x:c>
      <x:c r="B2306" t="str">
        <x:v>Per4m Nutrition</x:v>
      </x:c>
      <x:c r="C2306" t="str">
        <x:v>Amino Burn</x:v>
      </x:c>
      <x:c r="D2306" t="str">
        <x:v>Supplements</x:v>
      </x:c>
      <x:c r="E2306" t="str">
        <x:v>Amino Acids</x:v>
      </x:c>
      <x:c r="F2306" t="str"/>
      <x:c r="G2306" t="str">
        <x:v>240g</x:v>
      </x:c>
      <x:c r="H2306" t="str">
        <x:v>Lemon Lime Popsicle</x:v>
      </x:c>
      <x:c r="I2306" t="str"/>
      <x:c r="J2306" t="str">
        <x:v>Unit</x:v>
      </x:c>
      <x:c r="K2306" t="str">
        <x:v>In stock</x:v>
      </x:c>
      <x:c r="L2306" t="str">
        <x:v>2026-09-08</x:v>
      </x:c>
      <x:c r="M2306" t="str"/>
      <x:c r="N2306" t="str"/>
      <x:c r="O2306" t="str">
        <x:v>https://www.activesportstrade.co.uk/per4m-nutrition-trade</x:v>
      </x:c>
      <x:c r="P2306" t="str"/>
      <x:c r="Q2306" t="str"/>
      <x:c r="R2306" t="str"/>
      <x:c r="S2306" t="str">
        <x:v>Pending genuine supplier/brand image</x:v>
      </x:c>
      <x:c r="T2306" s="54" t="n">
        <x:v>11</x:v>
      </x:c>
      <x:c r="U2306" s="47" t="n">
        <x:v>0.2</x:v>
      </x:c>
      <x:c r="V2306" s="54" t="n">
        <x:f>IF(ISNUMBER(T2306),T2306*(1+U2306),"")</x:f>
        <x:v>13.2</x:v>
      </x:c>
      <x:c r="W2306" s="47" t="n">
        <x:v>0.3</x:v>
      </x:c>
      <x:c r="X2306" s="54" t="n">
        <x:f>IF(ISNUMBER(V2306),V2306/(1-W2306),"")</x:f>
        <x:v>18.857142857142858</x:v>
      </x:c>
      <x:c r="Y2306" s="55" t="n">
        <x:f>IF(ISNUMBER(X2306),ROUNDUP(X2306,0),"")</x:f>
        <x:v>19</x:v>
      </x:c>
      <x:c r="Z2306" t="str">
        <x:v>Source match pending</x:v>
      </x:c>
      <x:c r="AA2306" t="str">
        <x:v>screencapture-www-activesportstrade-co-uk-per4m-nutrition-trade-2026-09-10-09_06_42.pdf / page-02</x:v>
      </x:c>
      <x:c r="AB2306" s="36" t="n">
        <x:f>IF(ISNUMBER(Y2306),ROUND(Y2306*0.9,2),"")</x:f>
        <x:v>17.1</x:v>
      </x:c>
      <x:c r="AC2306" s="36" t="n">
        <x:f>IF(ISNUMBER(AB2306),ROUND(AB2306-(AB2306*0.015+0.2)-V2306,2),"")</x:f>
        <x:v>3.44</x:v>
      </x:c>
      <x:c r="AD2306" s="36" t="n">
        <x:f>IF(ISNUMBER(Y2306),ROUND(Y2306*0.8,2),"")</x:f>
        <x:v>15.2</x:v>
      </x:c>
      <x:c r="AE2306" s="36" t="n">
        <x:f>IF(ISNUMBER(AD2306),ROUND(AD2306*0.015+0.2,2),"")</x:f>
        <x:v>0.43</x:v>
      </x:c>
      <x:c r="AF2306" s="36" t="n">
        <x:f>IF(ISNUMBER(AD2306),ROUND(AD2306-AE2306-V2306,2),"")</x:f>
        <x:v>1.57</x:v>
      </x:c>
      <x:c r="AG2306" t="str">
        <x:f>IF(NOT(ISNUMBER(T2306)),"PENDING",IF(AF2306&gt;0,"PASS","FAIL"))</x:f>
        <x:v>PASS</x:v>
      </x:c>
      <x:c r="AH2306" t="str">
        <x:f>IF(NOT(ISNUMBER(T2306)),"Needs supplier cost",IF(K2306&lt;&gt;"In stock","Supplier unavailable",IF(AG2306&lt;&gt;"PASS","BLOCK - GT loss risk","Commercially protected")))</x:f>
        <x:v>Commercially protected</x:v>
      </x:c>
      <x:c r="AI2306" t="str">
        <x:v>2026-09-10 Active Sports trade capture</x:v>
      </x:c>
      <x:c r="AJ2306" t="str">
        <x:v>Management-only economics. Stripe stress test uses 1.5% + £0.20 standard UK online-card fee; pallet/mix-and-match pricing ignored.</x:v>
      </x:c>
    </x:row>
    <x:row r="2307">
      <x:c r="A2307" t="str">
        <x:v>Active Sports Nutrition</x:v>
      </x:c>
      <x:c r="B2307" t="str">
        <x:v>Per4m Nutrition</x:v>
      </x:c>
      <x:c r="C2307" t="str">
        <x:v>Amino Burn</x:v>
      </x:c>
      <x:c r="D2307" t="str">
        <x:v>Supplements</x:v>
      </x:c>
      <x:c r="E2307" t="str">
        <x:v>Amino Acids</x:v>
      </x:c>
      <x:c r="F2307" t="str"/>
      <x:c r="G2307" t="str">
        <x:v>240g</x:v>
      </x:c>
      <x:c r="H2307" t="str">
        <x:v>Mango Orange</x:v>
      </x:c>
      <x:c r="I2307" t="str"/>
      <x:c r="J2307" t="str">
        <x:v>Unit</x:v>
      </x:c>
      <x:c r="K2307" t="str">
        <x:v>Out of stock</x:v>
      </x:c>
      <x:c r="L2307" t="str">
        <x:v>2026-09-08</x:v>
      </x:c>
      <x:c r="M2307" t="str"/>
      <x:c r="N2307" t="str"/>
      <x:c r="O2307" t="str">
        <x:v>https://www.activesportstrade.co.uk/per4m-nutrition-trade</x:v>
      </x:c>
      <x:c r="P2307" t="str"/>
      <x:c r="Q2307" t="str"/>
      <x:c r="R2307" t="str"/>
      <x:c r="S2307" t="str">
        <x:v>Pending genuine supplier/brand image</x:v>
      </x:c>
      <x:c r="T2307" s="54" t="n">
        <x:v>11</x:v>
      </x:c>
      <x:c r="U2307" s="47" t="n">
        <x:v>0.2</x:v>
      </x:c>
      <x:c r="V2307" s="54" t="n">
        <x:f>IF(ISNUMBER(T2307),T2307*(1+U2307),"")</x:f>
        <x:v>13.2</x:v>
      </x:c>
      <x:c r="W2307" s="47" t="n">
        <x:v>0.3</x:v>
      </x:c>
      <x:c r="X2307" s="54" t="n">
        <x:f>IF(ISNUMBER(V2307),V2307/(1-W2307),"")</x:f>
        <x:v>18.857142857142858</x:v>
      </x:c>
      <x:c r="Y2307" s="55" t="n">
        <x:f>IF(ISNUMBER(X2307),ROUNDUP(X2307,0),"")</x:f>
        <x:v>19</x:v>
      </x:c>
      <x:c r="Z2307" t="str">
        <x:v>Source match pending</x:v>
      </x:c>
      <x:c r="AA2307" t="str">
        <x:v>screencapture-www-activesportstrade-co-uk-per4m-nutrition-trade-2026-09-10-09_06_42.pdf / page-02</x:v>
      </x:c>
      <x:c r="AB2307" s="36" t="n">
        <x:f>IF(ISNUMBER(Y2307),ROUND(Y2307*0.9,2),"")</x:f>
        <x:v>17.1</x:v>
      </x:c>
      <x:c r="AC2307" s="36" t="n">
        <x:f>IF(ISNUMBER(AB2307),ROUND(AB2307-(AB2307*0.015+0.2)-V2307,2),"")</x:f>
        <x:v>3.44</x:v>
      </x:c>
      <x:c r="AD2307" s="36" t="n">
        <x:f>IF(ISNUMBER(Y2307),ROUND(Y2307*0.8,2),"")</x:f>
        <x:v>15.2</x:v>
      </x:c>
      <x:c r="AE2307" s="36" t="n">
        <x:f>IF(ISNUMBER(AD2307),ROUND(AD2307*0.015+0.2,2),"")</x:f>
        <x:v>0.43</x:v>
      </x:c>
      <x:c r="AF2307" s="36" t="n">
        <x:f>IF(ISNUMBER(AD2307),ROUND(AD2307-AE2307-V2307,2),"")</x:f>
        <x:v>1.57</x:v>
      </x:c>
      <x:c r="AG2307" t="str">
        <x:f>IF(NOT(ISNUMBER(T2307)),"PENDING",IF(AF2307&gt;0,"PASS","FAIL"))</x:f>
        <x:v>PASS</x:v>
      </x:c>
      <x:c r="AH2307" t="str">
        <x:f>IF(NOT(ISNUMBER(T2307)),"Needs supplier cost",IF(K2307&lt;&gt;"In stock","Supplier unavailable",IF(AG2307&lt;&gt;"PASS","BLOCK - GT loss risk","Commercially protected")))</x:f>
        <x:v>Supplier unavailable</x:v>
      </x:c>
      <x:c r="AI2307" t="str">
        <x:v>2026-09-10 Active Sports trade capture</x:v>
      </x:c>
      <x:c r="AJ2307" t="str">
        <x:v>Management-only economics. Stripe stress test uses 1.5% + £0.20 standard UK online-card fee; pallet/mix-and-match pricing ignored.</x:v>
      </x:c>
    </x:row>
    <x:row r="2308">
      <x:c r="A2308" t="str">
        <x:v>Active Sports Nutrition</x:v>
      </x:c>
      <x:c r="B2308" t="str">
        <x:v>Per4m Nutrition</x:v>
      </x:c>
      <x:c r="C2308" t="str">
        <x:v>Amino Burn</x:v>
      </x:c>
      <x:c r="D2308" t="str">
        <x:v>Supplements</x:v>
      </x:c>
      <x:c r="E2308" t="str">
        <x:v>Amino Acids</x:v>
      </x:c>
      <x:c r="F2308" t="str"/>
      <x:c r="G2308" t="str">
        <x:v>240g</x:v>
      </x:c>
      <x:c r="H2308" t="str">
        <x:v>Strawberry Lime</x:v>
      </x:c>
      <x:c r="I2308" t="str"/>
      <x:c r="J2308" t="str">
        <x:v>Unit</x:v>
      </x:c>
      <x:c r="K2308" t="str">
        <x:v>Out of stock</x:v>
      </x:c>
      <x:c r="L2308" t="str">
        <x:v>2026-09-08</x:v>
      </x:c>
      <x:c r="M2308" t="str"/>
      <x:c r="N2308" t="str"/>
      <x:c r="O2308" t="str">
        <x:v>https://www.activesportstrade.co.uk/per4m-nutrition-trade</x:v>
      </x:c>
      <x:c r="P2308" t="str"/>
      <x:c r="Q2308" t="str"/>
      <x:c r="R2308" t="str"/>
      <x:c r="S2308" t="str">
        <x:v>Pending genuine supplier/brand image</x:v>
      </x:c>
      <x:c r="T2308" s="54" t="n">
        <x:v>11</x:v>
      </x:c>
      <x:c r="U2308" s="47" t="n">
        <x:v>0.2</x:v>
      </x:c>
      <x:c r="V2308" s="54" t="n">
        <x:f>IF(ISNUMBER(T2308),T2308*(1+U2308),"")</x:f>
        <x:v>13.2</x:v>
      </x:c>
      <x:c r="W2308" s="47" t="n">
        <x:v>0.3</x:v>
      </x:c>
      <x:c r="X2308" s="54" t="n">
        <x:f>IF(ISNUMBER(V2308),V2308/(1-W2308),"")</x:f>
        <x:v>18.857142857142858</x:v>
      </x:c>
      <x:c r="Y2308" s="55" t="n">
        <x:f>IF(ISNUMBER(X2308),ROUNDUP(X2308,0),"")</x:f>
        <x:v>19</x:v>
      </x:c>
      <x:c r="Z2308" t="str">
        <x:v>Source match pending</x:v>
      </x:c>
      <x:c r="AA2308" t="str">
        <x:v>screencapture-www-activesportstrade-co-uk-per4m-nutrition-trade-2026-09-10-09_06_42.pdf / page-02</x:v>
      </x:c>
      <x:c r="AB2308" s="36" t="n">
        <x:f>IF(ISNUMBER(Y2308),ROUND(Y2308*0.9,2),"")</x:f>
        <x:v>17.1</x:v>
      </x:c>
      <x:c r="AC2308" s="36" t="n">
        <x:f>IF(ISNUMBER(AB2308),ROUND(AB2308-(AB2308*0.015+0.2)-V2308,2),"")</x:f>
        <x:v>3.44</x:v>
      </x:c>
      <x:c r="AD2308" s="36" t="n">
        <x:f>IF(ISNUMBER(Y2308),ROUND(Y2308*0.8,2),"")</x:f>
        <x:v>15.2</x:v>
      </x:c>
      <x:c r="AE2308" s="36" t="n">
        <x:f>IF(ISNUMBER(AD2308),ROUND(AD2308*0.015+0.2,2),"")</x:f>
        <x:v>0.43</x:v>
      </x:c>
      <x:c r="AF2308" s="36" t="n">
        <x:f>IF(ISNUMBER(AD2308),ROUND(AD2308-AE2308-V2308,2),"")</x:f>
        <x:v>1.57</x:v>
      </x:c>
      <x:c r="AG2308" t="str">
        <x:f>IF(NOT(ISNUMBER(T2308)),"PENDING",IF(AF2308&gt;0,"PASS","FAIL"))</x:f>
        <x:v>PASS</x:v>
      </x:c>
      <x:c r="AH2308" t="str">
        <x:f>IF(NOT(ISNUMBER(T2308)),"Needs supplier cost",IF(K2308&lt;&gt;"In stock","Supplier unavailable",IF(AG2308&lt;&gt;"PASS","BLOCK - GT loss risk","Commercially protected")))</x:f>
        <x:v>Supplier unavailable</x:v>
      </x:c>
      <x:c r="AI2308" t="str">
        <x:v>2026-09-10 Active Sports trade capture</x:v>
      </x:c>
      <x:c r="AJ2308" t="str">
        <x:v>Management-only economics. Stripe stress test uses 1.5% + £0.20 standard UK online-card fee; pallet/mix-and-match pricing ignored.</x:v>
      </x:c>
    </x:row>
    <x:row r="2309">
      <x:c r="A2309" t="str">
        <x:v>Active Sports Nutrition</x:v>
      </x:c>
      <x:c r="B2309" t="str">
        <x:v>Per4m Nutrition</x:v>
      </x:c>
      <x:c r="C2309" t="str">
        <x:v>Collagen Multi-Blend</x:v>
      </x:c>
      <x:c r="D2309" t="str">
        <x:v>Supplements</x:v>
      </x:c>
      <x:c r="E2309" t="str">
        <x:v>Collagen</x:v>
      </x:c>
      <x:c r="F2309" t="str"/>
      <x:c r="G2309" t="str">
        <x:v>360g</x:v>
      </x:c>
      <x:c r="H2309" t="str">
        <x:v>Apple &amp; Mango</x:v>
      </x:c>
      <x:c r="I2309" t="str"/>
      <x:c r="J2309" t="str">
        <x:v>Unit</x:v>
      </x:c>
      <x:c r="K2309" t="str">
        <x:v>In stock</x:v>
      </x:c>
      <x:c r="L2309" t="str">
        <x:v>2026-09-08</x:v>
      </x:c>
      <x:c r="M2309" t="str"/>
      <x:c r="N2309" t="str"/>
      <x:c r="O2309" t="str">
        <x:v>https://www.activesportstrade.co.uk/per4m-nutrition-trade</x:v>
      </x:c>
      <x:c r="P2309" t="str"/>
      <x:c r="Q2309" t="str"/>
      <x:c r="R2309" t="str"/>
      <x:c r="S2309" t="str">
        <x:v>Pending genuine supplier/brand image</x:v>
      </x:c>
      <x:c r="T2309" s="54" t="n">
        <x:v>15.99</x:v>
      </x:c>
      <x:c r="U2309" s="47" t="n">
        <x:v>0.2</x:v>
      </x:c>
      <x:c r="V2309" s="54" t="n">
        <x:f>IF(ISNUMBER(T2309),T2309*(1+U2309),"")</x:f>
        <x:v>19.188</x:v>
      </x:c>
      <x:c r="W2309" s="47" t="n">
        <x:v>0.3</x:v>
      </x:c>
      <x:c r="X2309" s="54" t="n">
        <x:f>IF(ISNUMBER(V2309),V2309/(1-W2309),"")</x:f>
        <x:v>27.411428571428573</x:v>
      </x:c>
      <x:c r="Y2309" s="55" t="n">
        <x:f>IF(ISNUMBER(X2309),ROUNDUP(X2309,0),"")</x:f>
        <x:v>28</x:v>
      </x:c>
      <x:c r="Z2309" t="str">
        <x:v>Source match pending</x:v>
      </x:c>
      <x:c r="AA2309" t="str">
        <x:v>screencapture-www-activesportstrade-co-uk-per4m-nutrition-trade-2026-09-10-09_06_42.pdf / page-02</x:v>
      </x:c>
      <x:c r="AB2309" s="36" t="n">
        <x:f>IF(ISNUMBER(Y2309),ROUND(Y2309*0.9,2),"")</x:f>
        <x:v>25.2</x:v>
      </x:c>
      <x:c r="AC2309" s="36" t="n">
        <x:f>IF(ISNUMBER(AB2309),ROUND(AB2309-(AB2309*0.015+0.2)-V2309,2),"")</x:f>
        <x:v>5.43</x:v>
      </x:c>
      <x:c r="AD2309" s="36" t="n">
        <x:f>IF(ISNUMBER(Y2309),ROUND(Y2309*0.8,2),"")</x:f>
        <x:v>22.4</x:v>
      </x:c>
      <x:c r="AE2309" s="36" t="n">
        <x:f>IF(ISNUMBER(AD2309),ROUND(AD2309*0.015+0.2,2),"")</x:f>
        <x:v>0.54</x:v>
      </x:c>
      <x:c r="AF2309" s="36" t="n">
        <x:f>IF(ISNUMBER(AD2309),ROUND(AD2309-AE2309-V2309,2),"")</x:f>
        <x:v>2.67</x:v>
      </x:c>
      <x:c r="AG2309" t="str">
        <x:f>IF(NOT(ISNUMBER(T2309)),"PENDING",IF(AF2309&gt;0,"PASS","FAIL"))</x:f>
        <x:v>PASS</x:v>
      </x:c>
      <x:c r="AH2309" t="str">
        <x:f>IF(NOT(ISNUMBER(T2309)),"Needs supplier cost",IF(K2309&lt;&gt;"In stock","Supplier unavailable",IF(AG2309&lt;&gt;"PASS","BLOCK - GT loss risk","Commercially protected")))</x:f>
        <x:v>Commercially protected</x:v>
      </x:c>
      <x:c r="AI2309" t="str">
        <x:v>2026-09-10 Active Sports trade capture</x:v>
      </x:c>
      <x:c r="AJ2309" t="str">
        <x:v>Management-only economics. Stripe stress test uses 1.5% + £0.20 standard UK online-card fee; pallet/mix-and-match pricing ignored.</x:v>
      </x:c>
    </x:row>
    <x:row r="2310">
      <x:c r="A2310" t="str">
        <x:v>Active Sports Nutrition</x:v>
      </x:c>
      <x:c r="B2310" t="str">
        <x:v>Per4m Nutrition</x:v>
      </x:c>
      <x:c r="C2310" t="str">
        <x:v>Collagen Multi-Blend</x:v>
      </x:c>
      <x:c r="D2310" t="str">
        <x:v>Supplements</x:v>
      </x:c>
      <x:c r="E2310" t="str">
        <x:v>Collagen</x:v>
      </x:c>
      <x:c r="F2310" t="str"/>
      <x:c r="G2310" t="str">
        <x:v>360g</x:v>
      </x:c>
      <x:c r="H2310" t="str">
        <x:v>Raspberry Cherry</x:v>
      </x:c>
      <x:c r="I2310" t="str"/>
      <x:c r="J2310" t="str">
        <x:v>Unit</x:v>
      </x:c>
      <x:c r="K2310" t="str">
        <x:v>In stock</x:v>
      </x:c>
      <x:c r="L2310" t="str">
        <x:v>2026-09-08</x:v>
      </x:c>
      <x:c r="M2310" t="str"/>
      <x:c r="N2310" t="str"/>
      <x:c r="O2310" t="str">
        <x:v>https://www.activesportstrade.co.uk/per4m-nutrition-trade</x:v>
      </x:c>
      <x:c r="P2310" t="str"/>
      <x:c r="Q2310" t="str"/>
      <x:c r="R2310" t="str"/>
      <x:c r="S2310" t="str">
        <x:v>Pending genuine supplier/brand image</x:v>
      </x:c>
      <x:c r="T2310" s="54" t="n">
        <x:v>15.99</x:v>
      </x:c>
      <x:c r="U2310" s="47" t="n">
        <x:v>0.2</x:v>
      </x:c>
      <x:c r="V2310" s="54" t="n">
        <x:f>IF(ISNUMBER(T2310),T2310*(1+U2310),"")</x:f>
        <x:v>19.188</x:v>
      </x:c>
      <x:c r="W2310" s="47" t="n">
        <x:v>0.3</x:v>
      </x:c>
      <x:c r="X2310" s="54" t="n">
        <x:f>IF(ISNUMBER(V2310),V2310/(1-W2310),"")</x:f>
        <x:v>27.411428571428573</x:v>
      </x:c>
      <x:c r="Y2310" s="55" t="n">
        <x:f>IF(ISNUMBER(X2310),ROUNDUP(X2310,0),"")</x:f>
        <x:v>28</x:v>
      </x:c>
      <x:c r="Z2310" t="str">
        <x:v>Source match pending</x:v>
      </x:c>
      <x:c r="AA2310" t="str">
        <x:v>screencapture-www-activesportstrade-co-uk-per4m-nutrition-trade-2026-09-10-09_06_42.pdf / page-02</x:v>
      </x:c>
      <x:c r="AB2310" s="36" t="n">
        <x:f>IF(ISNUMBER(Y2310),ROUND(Y2310*0.9,2),"")</x:f>
        <x:v>25.2</x:v>
      </x:c>
      <x:c r="AC2310" s="36" t="n">
        <x:f>IF(ISNUMBER(AB2310),ROUND(AB2310-(AB2310*0.015+0.2)-V2310,2),"")</x:f>
        <x:v>5.43</x:v>
      </x:c>
      <x:c r="AD2310" s="36" t="n">
        <x:f>IF(ISNUMBER(Y2310),ROUND(Y2310*0.8,2),"")</x:f>
        <x:v>22.4</x:v>
      </x:c>
      <x:c r="AE2310" s="36" t="n">
        <x:f>IF(ISNUMBER(AD2310),ROUND(AD2310*0.015+0.2,2),"")</x:f>
        <x:v>0.54</x:v>
      </x:c>
      <x:c r="AF2310" s="36" t="n">
        <x:f>IF(ISNUMBER(AD2310),ROUND(AD2310-AE2310-V2310,2),"")</x:f>
        <x:v>2.67</x:v>
      </x:c>
      <x:c r="AG2310" t="str">
        <x:f>IF(NOT(ISNUMBER(T2310)),"PENDING",IF(AF2310&gt;0,"PASS","FAIL"))</x:f>
        <x:v>PASS</x:v>
      </x:c>
      <x:c r="AH2310" t="str">
        <x:f>IF(NOT(ISNUMBER(T2310)),"Needs supplier cost",IF(K2310&lt;&gt;"In stock","Supplier unavailable",IF(AG2310&lt;&gt;"PASS","BLOCK - GT loss risk","Commercially protected")))</x:f>
        <x:v>Commercially protected</x:v>
      </x:c>
      <x:c r="AI2310" t="str">
        <x:v>2026-09-10 Active Sports trade capture</x:v>
      </x:c>
      <x:c r="AJ2310" t="str">
        <x:v>Management-only economics. Stripe stress test uses 1.5% + £0.20 standard UK online-card fee; pallet/mix-and-match pricing ignored.</x:v>
      </x:c>
    </x:row>
    <x:row r="2311">
      <x:c r="A2311" t="str">
        <x:v>Active Sports Nutrition</x:v>
      </x:c>
      <x:c r="B2311" t="str">
        <x:v>Per4m Nutrition</x:v>
      </x:c>
      <x:c r="C2311" t="str">
        <x:v>Collagen Multi-Blend</x:v>
      </x:c>
      <x:c r="D2311" t="str">
        <x:v>Supplements</x:v>
      </x:c>
      <x:c r="E2311" t="str">
        <x:v>Collagen</x:v>
      </x:c>
      <x:c r="F2311" t="str"/>
      <x:c r="G2311" t="str">
        <x:v>360g</x:v>
      </x:c>
      <x:c r="H2311" t="str">
        <x:v>Strawberry Blackcurrant</x:v>
      </x:c>
      <x:c r="I2311" t="str"/>
      <x:c r="J2311" t="str">
        <x:v>Unit</x:v>
      </x:c>
      <x:c r="K2311" t="str">
        <x:v>In stock</x:v>
      </x:c>
      <x:c r="L2311" t="str">
        <x:v>2026-09-08</x:v>
      </x:c>
      <x:c r="M2311" t="str"/>
      <x:c r="N2311" t="str"/>
      <x:c r="O2311" t="str">
        <x:v>https://www.activesportstrade.co.uk/per4m-nutrition-trade</x:v>
      </x:c>
      <x:c r="P2311" t="str"/>
      <x:c r="Q2311" t="str"/>
      <x:c r="R2311" t="str"/>
      <x:c r="S2311" t="str">
        <x:v>Pending genuine supplier/brand image</x:v>
      </x:c>
      <x:c r="T2311" s="54" t="n">
        <x:v>15.99</x:v>
      </x:c>
      <x:c r="U2311" s="47" t="n">
        <x:v>0.2</x:v>
      </x:c>
      <x:c r="V2311" s="54" t="n">
        <x:f>IF(ISNUMBER(T2311),T2311*(1+U2311),"")</x:f>
        <x:v>19.188</x:v>
      </x:c>
      <x:c r="W2311" s="47" t="n">
        <x:v>0.3</x:v>
      </x:c>
      <x:c r="X2311" s="54" t="n">
        <x:f>IF(ISNUMBER(V2311),V2311/(1-W2311),"")</x:f>
        <x:v>27.411428571428573</x:v>
      </x:c>
      <x:c r="Y2311" s="55" t="n">
        <x:f>IF(ISNUMBER(X2311),ROUNDUP(X2311,0),"")</x:f>
        <x:v>28</x:v>
      </x:c>
      <x:c r="Z2311" t="str">
        <x:v>Source match pending</x:v>
      </x:c>
      <x:c r="AA2311" t="str">
        <x:v>screencapture-www-activesportstrade-co-uk-per4m-nutrition-trade-2026-09-10-09_06_42.pdf / page-02</x:v>
      </x:c>
      <x:c r="AB2311" s="36" t="n">
        <x:f>IF(ISNUMBER(Y2311),ROUND(Y2311*0.9,2),"")</x:f>
        <x:v>25.2</x:v>
      </x:c>
      <x:c r="AC2311" s="36" t="n">
        <x:f>IF(ISNUMBER(AB2311),ROUND(AB2311-(AB2311*0.015+0.2)-V2311,2),"")</x:f>
        <x:v>5.43</x:v>
      </x:c>
      <x:c r="AD2311" s="36" t="n">
        <x:f>IF(ISNUMBER(Y2311),ROUND(Y2311*0.8,2),"")</x:f>
        <x:v>22.4</x:v>
      </x:c>
      <x:c r="AE2311" s="36" t="n">
        <x:f>IF(ISNUMBER(AD2311),ROUND(AD2311*0.015+0.2,2),"")</x:f>
        <x:v>0.54</x:v>
      </x:c>
      <x:c r="AF2311" s="36" t="n">
        <x:f>IF(ISNUMBER(AD2311),ROUND(AD2311-AE2311-V2311,2),"")</x:f>
        <x:v>2.67</x:v>
      </x:c>
      <x:c r="AG2311" t="str">
        <x:f>IF(NOT(ISNUMBER(T2311)),"PENDING",IF(AF2311&gt;0,"PASS","FAIL"))</x:f>
        <x:v>PASS</x:v>
      </x:c>
      <x:c r="AH2311" t="str">
        <x:f>IF(NOT(ISNUMBER(T2311)),"Needs supplier cost",IF(K2311&lt;&gt;"In stock","Supplier unavailable",IF(AG2311&lt;&gt;"PASS","BLOCK - GT loss risk","Commercially protected")))</x:f>
        <x:v>Commercially protected</x:v>
      </x:c>
      <x:c r="AI2311" t="str">
        <x:v>2026-09-10 Active Sports trade capture</x:v>
      </x:c>
      <x:c r="AJ2311" t="str">
        <x:v>Management-only economics. Stripe stress test uses 1.5% + £0.20 standard UK online-card fee; pallet/mix-and-match pricing ignored.</x:v>
      </x:c>
    </x:row>
    <x:row r="2312">
      <x:c r="A2312" t="str">
        <x:v>Active Sports Nutrition</x:v>
      </x:c>
      <x:c r="B2312" t="str">
        <x:v>Per4m Nutrition</x:v>
      </x:c>
      <x:c r="C2312" t="str">
        <x:v>Collagen Multi-Blend</x:v>
      </x:c>
      <x:c r="D2312" t="str">
        <x:v>Supplements</x:v>
      </x:c>
      <x:c r="E2312" t="str">
        <x:v>Collagen</x:v>
      </x:c>
      <x:c r="F2312" t="str"/>
      <x:c r="G2312" t="str">
        <x:v>360g</x:v>
      </x:c>
      <x:c r="H2312" t="str">
        <x:v>Unflavoured</x:v>
      </x:c>
      <x:c r="I2312" t="str"/>
      <x:c r="J2312" t="str">
        <x:v>Unit</x:v>
      </x:c>
      <x:c r="K2312" t="str">
        <x:v>In stock</x:v>
      </x:c>
      <x:c r="L2312" t="str">
        <x:v>2026-09-08</x:v>
      </x:c>
      <x:c r="M2312" t="str"/>
      <x:c r="N2312" t="str"/>
      <x:c r="O2312" t="str">
        <x:v>https://www.activesportstrade.co.uk/per4m-nutrition-trade</x:v>
      </x:c>
      <x:c r="P2312" t="str"/>
      <x:c r="Q2312" t="str"/>
      <x:c r="R2312" t="str"/>
      <x:c r="S2312" t="str">
        <x:v>Pending genuine supplier/brand image</x:v>
      </x:c>
      <x:c r="T2312" s="54" t="n">
        <x:v>15.99</x:v>
      </x:c>
      <x:c r="U2312" s="47" t="n">
        <x:v>0.2</x:v>
      </x:c>
      <x:c r="V2312" s="54" t="n">
        <x:f>IF(ISNUMBER(T2312),T2312*(1+U2312),"")</x:f>
        <x:v>19.188</x:v>
      </x:c>
      <x:c r="W2312" s="47" t="n">
        <x:v>0.3</x:v>
      </x:c>
      <x:c r="X2312" s="54" t="n">
        <x:f>IF(ISNUMBER(V2312),V2312/(1-W2312),"")</x:f>
        <x:v>27.411428571428573</x:v>
      </x:c>
      <x:c r="Y2312" s="55" t="n">
        <x:f>IF(ISNUMBER(X2312),ROUNDUP(X2312,0),"")</x:f>
        <x:v>28</x:v>
      </x:c>
      <x:c r="Z2312" t="str">
        <x:v>Source match pending</x:v>
      </x:c>
      <x:c r="AA2312" t="str">
        <x:v>screencapture-www-activesportstrade-co-uk-per4m-nutrition-trade-2026-09-10-09_06_42.pdf / page-02</x:v>
      </x:c>
      <x:c r="AB2312" s="36" t="n">
        <x:f>IF(ISNUMBER(Y2312),ROUND(Y2312*0.9,2),"")</x:f>
        <x:v>25.2</x:v>
      </x:c>
      <x:c r="AC2312" s="36" t="n">
        <x:f>IF(ISNUMBER(AB2312),ROUND(AB2312-(AB2312*0.015+0.2)-V2312,2),"")</x:f>
        <x:v>5.43</x:v>
      </x:c>
      <x:c r="AD2312" s="36" t="n">
        <x:f>IF(ISNUMBER(Y2312),ROUND(Y2312*0.8,2),"")</x:f>
        <x:v>22.4</x:v>
      </x:c>
      <x:c r="AE2312" s="36" t="n">
        <x:f>IF(ISNUMBER(AD2312),ROUND(AD2312*0.015+0.2,2),"")</x:f>
        <x:v>0.54</x:v>
      </x:c>
      <x:c r="AF2312" s="36" t="n">
        <x:f>IF(ISNUMBER(AD2312),ROUND(AD2312-AE2312-V2312,2),"")</x:f>
        <x:v>2.67</x:v>
      </x:c>
      <x:c r="AG2312" t="str">
        <x:f>IF(NOT(ISNUMBER(T2312)),"PENDING",IF(AF2312&gt;0,"PASS","FAIL"))</x:f>
        <x:v>PASS</x:v>
      </x:c>
      <x:c r="AH2312" t="str">
        <x:f>IF(NOT(ISNUMBER(T2312)),"Needs supplier cost",IF(K2312&lt;&gt;"In stock","Supplier unavailable",IF(AG2312&lt;&gt;"PASS","BLOCK - GT loss risk","Commercially protected")))</x:f>
        <x:v>Commercially protected</x:v>
      </x:c>
      <x:c r="AI2312" t="str">
        <x:v>2026-09-10 Active Sports trade capture</x:v>
      </x:c>
      <x:c r="AJ2312" t="str">
        <x:v>Management-only economics. Stripe stress test uses 1.5% + £0.20 standard UK online-card fee; pallet/mix-and-match pricing ignored.</x:v>
      </x:c>
    </x:row>
    <x:row r="2313">
      <x:c r="A2313" t="str">
        <x:v>Active Sports Nutrition</x:v>
      </x:c>
      <x:c r="B2313" t="str">
        <x:v>Per4m Nutrition</x:v>
      </x:c>
      <x:c r="C2313" t="str">
        <x:v>Cream of Rice</x:v>
      </x:c>
      <x:c r="D2313" t="str">
        <x:v>Food &amp; Drinks</x:v>
      </x:c>
      <x:c r="E2313" t="str">
        <x:v>Carbohydrate Foods</x:v>
      </x:c>
      <x:c r="F2313" t="str"/>
      <x:c r="G2313" t="str">
        <x:v>450g</x:v>
      </x:c>
      <x:c r="H2313" t="str">
        <x:v>Banana Creme</x:v>
      </x:c>
      <x:c r="I2313" t="str"/>
      <x:c r="J2313" t="str">
        <x:v>Unit</x:v>
      </x:c>
      <x:c r="K2313" t="str">
        <x:v>Out of stock</x:v>
      </x:c>
      <x:c r="L2313" t="str">
        <x:v>2026-09-08</x:v>
      </x:c>
      <x:c r="M2313" t="str"/>
      <x:c r="N2313" t="str"/>
      <x:c r="O2313" t="str">
        <x:v>https://www.activesportstrade.co.uk/per4m-nutrition-trade</x:v>
      </x:c>
      <x:c r="P2313" t="str"/>
      <x:c r="Q2313" t="str"/>
      <x:c r="R2313" t="str"/>
      <x:c r="S2313" t="str">
        <x:v>Pending genuine supplier/brand image</x:v>
      </x:c>
      <x:c r="T2313" s="54" t="n">
        <x:v>4.49</x:v>
      </x:c>
      <x:c r="U2313" s="47" t="n">
        <x:v>0.2</x:v>
      </x:c>
      <x:c r="V2313" s="54" t="n">
        <x:f>IF(ISNUMBER(T2313),T2313*(1+U2313),"")</x:f>
        <x:v>5.388</x:v>
      </x:c>
      <x:c r="W2313" s="47" t="n">
        <x:v>0.3</x:v>
      </x:c>
      <x:c r="X2313" s="54" t="n">
        <x:f>IF(ISNUMBER(V2313),V2313/(1-W2313),"")</x:f>
        <x:v>7.6971428571428575</x:v>
      </x:c>
      <x:c r="Y2313" s="55" t="n">
        <x:f>IF(ISNUMBER(X2313),ROUNDUP(X2313,0),"")</x:f>
        <x:v>8</x:v>
      </x:c>
      <x:c r="Z2313" t="str">
        <x:v>Source match pending</x:v>
      </x:c>
      <x:c r="AA2313" t="str">
        <x:v>screencapture-www-activesportstrade-co-uk-per4m-nutrition-trade-2026-09-10-09_06_42.pdf / page-02</x:v>
      </x:c>
      <x:c r="AB2313" s="36" t="n">
        <x:f>IF(ISNUMBER(Y2313),ROUND(Y2313*0.9,2),"")</x:f>
        <x:v>7.2</x:v>
      </x:c>
      <x:c r="AC2313" s="36" t="n">
        <x:f>IF(ISNUMBER(AB2313),ROUND(AB2313-(AB2313*0.015+0.2)-V2313,2),"")</x:f>
        <x:v>1.5</x:v>
      </x:c>
      <x:c r="AD2313" s="36" t="n">
        <x:f>IF(ISNUMBER(Y2313),ROUND(Y2313*0.8,2),"")</x:f>
        <x:v>6.4</x:v>
      </x:c>
      <x:c r="AE2313" s="36" t="n">
        <x:f>IF(ISNUMBER(AD2313),ROUND(AD2313*0.015+0.2,2),"")</x:f>
        <x:v>0.3</x:v>
      </x:c>
      <x:c r="AF2313" s="36" t="n">
        <x:f>IF(ISNUMBER(AD2313),ROUND(AD2313-AE2313-V2313,2),"")</x:f>
        <x:v>0.71</x:v>
      </x:c>
      <x:c r="AG2313" t="str">
        <x:f>IF(NOT(ISNUMBER(T2313)),"PENDING",IF(AF2313&gt;0,"PASS","FAIL"))</x:f>
        <x:v>PASS</x:v>
      </x:c>
      <x:c r="AH2313" t="str">
        <x:f>IF(NOT(ISNUMBER(T2313)),"Needs supplier cost",IF(K2313&lt;&gt;"In stock","Supplier unavailable",IF(AG2313&lt;&gt;"PASS","BLOCK - GT loss risk","Commercially protected")))</x:f>
        <x:v>Supplier unavailable</x:v>
      </x:c>
      <x:c r="AI2313" t="str">
        <x:v>2026-09-10 Active Sports trade capture</x:v>
      </x:c>
      <x:c r="AJ2313" t="str">
        <x:v>Management-only economics. Stripe stress test uses 1.5% + £0.20 standard UK online-card fee; pallet/mix-and-match pricing ignored.</x:v>
      </x:c>
    </x:row>
    <x:row r="2314">
      <x:c r="A2314" t="str">
        <x:v>Active Sports Nutrition</x:v>
      </x:c>
      <x:c r="B2314" t="str">
        <x:v>Per4m Nutrition</x:v>
      </x:c>
      <x:c r="C2314" t="str">
        <x:v>Cream of Rice</x:v>
      </x:c>
      <x:c r="D2314" t="str">
        <x:v>Food &amp; Drinks</x:v>
      </x:c>
      <x:c r="E2314" t="str">
        <x:v>Carbohydrate Foods</x:v>
      </x:c>
      <x:c r="F2314" t="str"/>
      <x:c r="G2314" t="str">
        <x:v>450g</x:v>
      </x:c>
      <x:c r="H2314" t="str">
        <x:v>Blueberry Muffin</x:v>
      </x:c>
      <x:c r="I2314" t="str"/>
      <x:c r="J2314" t="str">
        <x:v>Unit</x:v>
      </x:c>
      <x:c r="K2314" t="str">
        <x:v>In stock</x:v>
      </x:c>
      <x:c r="L2314" t="str">
        <x:v>2026-09-08</x:v>
      </x:c>
      <x:c r="M2314" t="str"/>
      <x:c r="N2314" t="str"/>
      <x:c r="O2314" t="str">
        <x:v>https://www.activesportstrade.co.uk/per4m-nutrition-trade</x:v>
      </x:c>
      <x:c r="P2314" t="str"/>
      <x:c r="Q2314" t="str"/>
      <x:c r="R2314" t="str"/>
      <x:c r="S2314" t="str">
        <x:v>Pending genuine supplier/brand image</x:v>
      </x:c>
      <x:c r="T2314" s="54" t="n">
        <x:v>4.49</x:v>
      </x:c>
      <x:c r="U2314" s="47" t="n">
        <x:v>0.2</x:v>
      </x:c>
      <x:c r="V2314" s="54" t="n">
        <x:f>IF(ISNUMBER(T2314),T2314*(1+U2314),"")</x:f>
        <x:v>5.388</x:v>
      </x:c>
      <x:c r="W2314" s="47" t="n">
        <x:v>0.3</x:v>
      </x:c>
      <x:c r="X2314" s="54" t="n">
        <x:f>IF(ISNUMBER(V2314),V2314/(1-W2314),"")</x:f>
        <x:v>7.6971428571428575</x:v>
      </x:c>
      <x:c r="Y2314" s="55" t="n">
        <x:f>IF(ISNUMBER(X2314),ROUNDUP(X2314,0),"")</x:f>
        <x:v>8</x:v>
      </x:c>
      <x:c r="Z2314" t="str">
        <x:v>Source match pending</x:v>
      </x:c>
      <x:c r="AA2314" t="str">
        <x:v>screencapture-www-activesportstrade-co-uk-per4m-nutrition-trade-2026-09-10-09_06_42.pdf / page-02</x:v>
      </x:c>
      <x:c r="AB2314" s="36" t="n">
        <x:f>IF(ISNUMBER(Y2314),ROUND(Y2314*0.9,2),"")</x:f>
        <x:v>7.2</x:v>
      </x:c>
      <x:c r="AC2314" s="36" t="n">
        <x:f>IF(ISNUMBER(AB2314),ROUND(AB2314-(AB2314*0.015+0.2)-V2314,2),"")</x:f>
        <x:v>1.5</x:v>
      </x:c>
      <x:c r="AD2314" s="36" t="n">
        <x:f>IF(ISNUMBER(Y2314),ROUND(Y2314*0.8,2),"")</x:f>
        <x:v>6.4</x:v>
      </x:c>
      <x:c r="AE2314" s="36" t="n">
        <x:f>IF(ISNUMBER(AD2314),ROUND(AD2314*0.015+0.2,2),"")</x:f>
        <x:v>0.3</x:v>
      </x:c>
      <x:c r="AF2314" s="36" t="n">
        <x:f>IF(ISNUMBER(AD2314),ROUND(AD2314-AE2314-V2314,2),"")</x:f>
        <x:v>0.71</x:v>
      </x:c>
      <x:c r="AG2314" t="str">
        <x:f>IF(NOT(ISNUMBER(T2314)),"PENDING",IF(AF2314&gt;0,"PASS","FAIL"))</x:f>
        <x:v>PASS</x:v>
      </x:c>
      <x:c r="AH2314" t="str">
        <x:f>IF(NOT(ISNUMBER(T2314)),"Needs supplier cost",IF(K2314&lt;&gt;"In stock","Supplier unavailable",IF(AG2314&lt;&gt;"PASS","BLOCK - GT loss risk","Commercially protected")))</x:f>
        <x:v>Commercially protected</x:v>
      </x:c>
      <x:c r="AI2314" t="str">
        <x:v>2026-09-10 Active Sports trade capture</x:v>
      </x:c>
      <x:c r="AJ2314" t="str">
        <x:v>Management-only economics. Stripe stress test uses 1.5% + £0.20 standard UK online-card fee; pallet/mix-and-match pricing ignored.</x:v>
      </x:c>
    </x:row>
    <x:row r="2315">
      <x:c r="A2315" t="str">
        <x:v>Active Sports Nutrition</x:v>
      </x:c>
      <x:c r="B2315" t="str">
        <x:v>Per4m Nutrition</x:v>
      </x:c>
      <x:c r="C2315" t="str">
        <x:v>Cream of Rice</x:v>
      </x:c>
      <x:c r="D2315" t="str">
        <x:v>Food &amp; Drinks</x:v>
      </x:c>
      <x:c r="E2315" t="str">
        <x:v>Carbohydrate Foods</x:v>
      </x:c>
      <x:c r="F2315" t="str"/>
      <x:c r="G2315" t="str">
        <x:v>450g</x:v>
      </x:c>
      <x:c r="H2315" t="str">
        <x:v>Caramel Biscuit</x:v>
      </x:c>
      <x:c r="I2315" t="str"/>
      <x:c r="J2315" t="str">
        <x:v>Unit</x:v>
      </x:c>
      <x:c r="K2315" t="str">
        <x:v>Out of stock</x:v>
      </x:c>
      <x:c r="L2315" t="str">
        <x:v>2026-09-08</x:v>
      </x:c>
      <x:c r="M2315" t="str"/>
      <x:c r="N2315" t="str"/>
      <x:c r="O2315" t="str">
        <x:v>https://www.activesportstrade.co.uk/per4m-nutrition-trade</x:v>
      </x:c>
      <x:c r="P2315" t="str"/>
      <x:c r="Q2315" t="str"/>
      <x:c r="R2315" t="str"/>
      <x:c r="S2315" t="str">
        <x:v>Pending genuine supplier/brand image</x:v>
      </x:c>
      <x:c r="T2315" s="54" t="n">
        <x:v>4.49</x:v>
      </x:c>
      <x:c r="U2315" s="47" t="n">
        <x:v>0.2</x:v>
      </x:c>
      <x:c r="V2315" s="54" t="n">
        <x:f>IF(ISNUMBER(T2315),T2315*(1+U2315),"")</x:f>
        <x:v>5.388</x:v>
      </x:c>
      <x:c r="W2315" s="47" t="n">
        <x:v>0.3</x:v>
      </x:c>
      <x:c r="X2315" s="54" t="n">
        <x:f>IF(ISNUMBER(V2315),V2315/(1-W2315),"")</x:f>
        <x:v>7.6971428571428575</x:v>
      </x:c>
      <x:c r="Y2315" s="55" t="n">
        <x:f>IF(ISNUMBER(X2315),ROUNDUP(X2315,0),"")</x:f>
        <x:v>8</x:v>
      </x:c>
      <x:c r="Z2315" t="str">
        <x:v>Source match pending</x:v>
      </x:c>
      <x:c r="AA2315" t="str">
        <x:v>screencapture-www-activesportstrade-co-uk-per4m-nutrition-trade-2026-09-10-09_06_42.pdf / page-02</x:v>
      </x:c>
      <x:c r="AB2315" s="36" t="n">
        <x:f>IF(ISNUMBER(Y2315),ROUND(Y2315*0.9,2),"")</x:f>
        <x:v>7.2</x:v>
      </x:c>
      <x:c r="AC2315" s="36" t="n">
        <x:f>IF(ISNUMBER(AB2315),ROUND(AB2315-(AB2315*0.015+0.2)-V2315,2),"")</x:f>
        <x:v>1.5</x:v>
      </x:c>
      <x:c r="AD2315" s="36" t="n">
        <x:f>IF(ISNUMBER(Y2315),ROUND(Y2315*0.8,2),"")</x:f>
        <x:v>6.4</x:v>
      </x:c>
      <x:c r="AE2315" s="36" t="n">
        <x:f>IF(ISNUMBER(AD2315),ROUND(AD2315*0.015+0.2,2),"")</x:f>
        <x:v>0.3</x:v>
      </x:c>
      <x:c r="AF2315" s="36" t="n">
        <x:f>IF(ISNUMBER(AD2315),ROUND(AD2315-AE2315-V2315,2),"")</x:f>
        <x:v>0.71</x:v>
      </x:c>
      <x:c r="AG2315" t="str">
        <x:f>IF(NOT(ISNUMBER(T2315)),"PENDING",IF(AF2315&gt;0,"PASS","FAIL"))</x:f>
        <x:v>PASS</x:v>
      </x:c>
      <x:c r="AH2315" t="str">
        <x:f>IF(NOT(ISNUMBER(T2315)),"Needs supplier cost",IF(K2315&lt;&gt;"In stock","Supplier unavailable",IF(AG2315&lt;&gt;"PASS","BLOCK - GT loss risk","Commercially protected")))</x:f>
        <x:v>Supplier unavailable</x:v>
      </x:c>
      <x:c r="AI2315" t="str">
        <x:v>2026-09-10 Active Sports trade capture</x:v>
      </x:c>
      <x:c r="AJ2315" t="str">
        <x:v>Management-only economics. Stripe stress test uses 1.5% + £0.20 standard UK online-card fee; pallet/mix-and-match pricing ignored.</x:v>
      </x:c>
    </x:row>
    <x:row r="2316">
      <x:c r="A2316" t="str">
        <x:v>Active Sports Nutrition</x:v>
      </x:c>
      <x:c r="B2316" t="str">
        <x:v>Per4m Nutrition</x:v>
      </x:c>
      <x:c r="C2316" t="str">
        <x:v>Cream of Rice</x:v>
      </x:c>
      <x:c r="D2316" t="str">
        <x:v>Food &amp; Drinks</x:v>
      </x:c>
      <x:c r="E2316" t="str">
        <x:v>Carbohydrate Foods</x:v>
      </x:c>
      <x:c r="F2316" t="str"/>
      <x:c r="G2316" t="str">
        <x:v>450g</x:v>
      </x:c>
      <x:c r="H2316" t="str">
        <x:v>Carrot Cake</x:v>
      </x:c>
      <x:c r="I2316" t="str"/>
      <x:c r="J2316" t="str">
        <x:v>Unit</x:v>
      </x:c>
      <x:c r="K2316" t="str">
        <x:v>Out of stock</x:v>
      </x:c>
      <x:c r="L2316" t="str">
        <x:v>2026-09-08</x:v>
      </x:c>
      <x:c r="M2316" t="str"/>
      <x:c r="N2316" t="str"/>
      <x:c r="O2316" t="str">
        <x:v>https://www.activesportstrade.co.uk/per4m-nutrition-trade</x:v>
      </x:c>
      <x:c r="P2316" t="str"/>
      <x:c r="Q2316" t="str"/>
      <x:c r="R2316" t="str"/>
      <x:c r="S2316" t="str">
        <x:v>Pending genuine supplier/brand image</x:v>
      </x:c>
      <x:c r="T2316" s="54" t="n">
        <x:v>4.49</x:v>
      </x:c>
      <x:c r="U2316" s="47" t="n">
        <x:v>0.2</x:v>
      </x:c>
      <x:c r="V2316" s="54" t="n">
        <x:f>IF(ISNUMBER(T2316),T2316*(1+U2316),"")</x:f>
        <x:v>5.388</x:v>
      </x:c>
      <x:c r="W2316" s="47" t="n">
        <x:v>0.3</x:v>
      </x:c>
      <x:c r="X2316" s="54" t="n">
        <x:f>IF(ISNUMBER(V2316),V2316/(1-W2316),"")</x:f>
        <x:v>7.6971428571428575</x:v>
      </x:c>
      <x:c r="Y2316" s="55" t="n">
        <x:f>IF(ISNUMBER(X2316),ROUNDUP(X2316,0),"")</x:f>
        <x:v>8</x:v>
      </x:c>
      <x:c r="Z2316" t="str">
        <x:v>Source match pending</x:v>
      </x:c>
      <x:c r="AA2316" t="str">
        <x:v>screencapture-www-activesportstrade-co-uk-per4m-nutrition-trade-2026-09-10-09_06_42.pdf / page-02</x:v>
      </x:c>
      <x:c r="AB2316" s="36" t="n">
        <x:f>IF(ISNUMBER(Y2316),ROUND(Y2316*0.9,2),"")</x:f>
        <x:v>7.2</x:v>
      </x:c>
      <x:c r="AC2316" s="36" t="n">
        <x:f>IF(ISNUMBER(AB2316),ROUND(AB2316-(AB2316*0.015+0.2)-V2316,2),"")</x:f>
        <x:v>1.5</x:v>
      </x:c>
      <x:c r="AD2316" s="36" t="n">
        <x:f>IF(ISNUMBER(Y2316),ROUND(Y2316*0.8,2),"")</x:f>
        <x:v>6.4</x:v>
      </x:c>
      <x:c r="AE2316" s="36" t="n">
        <x:f>IF(ISNUMBER(AD2316),ROUND(AD2316*0.015+0.2,2),"")</x:f>
        <x:v>0.3</x:v>
      </x:c>
      <x:c r="AF2316" s="36" t="n">
        <x:f>IF(ISNUMBER(AD2316),ROUND(AD2316-AE2316-V2316,2),"")</x:f>
        <x:v>0.71</x:v>
      </x:c>
      <x:c r="AG2316" t="str">
        <x:f>IF(NOT(ISNUMBER(T2316)),"PENDING",IF(AF2316&gt;0,"PASS","FAIL"))</x:f>
        <x:v>PASS</x:v>
      </x:c>
      <x:c r="AH2316" t="str">
        <x:f>IF(NOT(ISNUMBER(T2316)),"Needs supplier cost",IF(K2316&lt;&gt;"In stock","Supplier unavailable",IF(AG2316&lt;&gt;"PASS","BLOCK - GT loss risk","Commercially protected")))</x:f>
        <x:v>Supplier unavailable</x:v>
      </x:c>
      <x:c r="AI2316" t="str">
        <x:v>2026-09-10 Active Sports trade capture</x:v>
      </x:c>
      <x:c r="AJ2316" t="str">
        <x:v>Management-only economics. Stripe stress test uses 1.5% + £0.20 standard UK online-card fee; pallet/mix-and-match pricing ignored.</x:v>
      </x:c>
    </x:row>
    <x:row r="2317">
      <x:c r="A2317" t="str">
        <x:v>Active Sports Nutrition</x:v>
      </x:c>
      <x:c r="B2317" t="str">
        <x:v>Per4m Nutrition</x:v>
      </x:c>
      <x:c r="C2317" t="str">
        <x:v>Cream of Rice</x:v>
      </x:c>
      <x:c r="D2317" t="str">
        <x:v>Food &amp; Drinks</x:v>
      </x:c>
      <x:c r="E2317" t="str">
        <x:v>Carbohydrate Foods</x:v>
      </x:c>
      <x:c r="F2317" t="str"/>
      <x:c r="G2317" t="str">
        <x:v>450g</x:v>
      </x:c>
      <x:c r="H2317" t="str">
        <x:v>Cherry Bakewell</x:v>
      </x:c>
      <x:c r="I2317" t="str"/>
      <x:c r="J2317" t="str">
        <x:v>Unit</x:v>
      </x:c>
      <x:c r="K2317" t="str">
        <x:v>Out of stock</x:v>
      </x:c>
      <x:c r="L2317" t="str">
        <x:v>2026-09-08</x:v>
      </x:c>
      <x:c r="M2317" t="str"/>
      <x:c r="N2317" t="str"/>
      <x:c r="O2317" t="str">
        <x:v>https://www.activesportstrade.co.uk/per4m-nutrition-trade</x:v>
      </x:c>
      <x:c r="P2317" t="str"/>
      <x:c r="Q2317" t="str"/>
      <x:c r="R2317" t="str"/>
      <x:c r="S2317" t="str">
        <x:v>Pending genuine supplier/brand image</x:v>
      </x:c>
      <x:c r="T2317" s="54" t="n">
        <x:v>4.49</x:v>
      </x:c>
      <x:c r="U2317" s="47" t="n">
        <x:v>0.2</x:v>
      </x:c>
      <x:c r="V2317" s="54" t="n">
        <x:f>IF(ISNUMBER(T2317),T2317*(1+U2317),"")</x:f>
        <x:v>5.388</x:v>
      </x:c>
      <x:c r="W2317" s="47" t="n">
        <x:v>0.3</x:v>
      </x:c>
      <x:c r="X2317" s="54" t="n">
        <x:f>IF(ISNUMBER(V2317),V2317/(1-W2317),"")</x:f>
        <x:v>7.6971428571428575</x:v>
      </x:c>
      <x:c r="Y2317" s="55" t="n">
        <x:f>IF(ISNUMBER(X2317),ROUNDUP(X2317,0),"")</x:f>
        <x:v>8</x:v>
      </x:c>
      <x:c r="Z2317" t="str">
        <x:v>Source match pending</x:v>
      </x:c>
      <x:c r="AA2317" t="str">
        <x:v>screencapture-www-activesportstrade-co-uk-per4m-nutrition-trade-2026-09-10-09_06_42.pdf / page-02</x:v>
      </x:c>
      <x:c r="AB2317" s="36" t="n">
        <x:f>IF(ISNUMBER(Y2317),ROUND(Y2317*0.9,2),"")</x:f>
        <x:v>7.2</x:v>
      </x:c>
      <x:c r="AC2317" s="36" t="n">
        <x:f>IF(ISNUMBER(AB2317),ROUND(AB2317-(AB2317*0.015+0.2)-V2317,2),"")</x:f>
        <x:v>1.5</x:v>
      </x:c>
      <x:c r="AD2317" s="36" t="n">
        <x:f>IF(ISNUMBER(Y2317),ROUND(Y2317*0.8,2),"")</x:f>
        <x:v>6.4</x:v>
      </x:c>
      <x:c r="AE2317" s="36" t="n">
        <x:f>IF(ISNUMBER(AD2317),ROUND(AD2317*0.015+0.2,2),"")</x:f>
        <x:v>0.3</x:v>
      </x:c>
      <x:c r="AF2317" s="36" t="n">
        <x:f>IF(ISNUMBER(AD2317),ROUND(AD2317-AE2317-V2317,2),"")</x:f>
        <x:v>0.71</x:v>
      </x:c>
      <x:c r="AG2317" t="str">
        <x:f>IF(NOT(ISNUMBER(T2317)),"PENDING",IF(AF2317&gt;0,"PASS","FAIL"))</x:f>
        <x:v>PASS</x:v>
      </x:c>
      <x:c r="AH2317" t="str">
        <x:f>IF(NOT(ISNUMBER(T2317)),"Needs supplier cost",IF(K2317&lt;&gt;"In stock","Supplier unavailable",IF(AG2317&lt;&gt;"PASS","BLOCK - GT loss risk","Commercially protected")))</x:f>
        <x:v>Supplier unavailable</x:v>
      </x:c>
      <x:c r="AI2317" t="str">
        <x:v>2026-09-10 Active Sports trade capture</x:v>
      </x:c>
      <x:c r="AJ2317" t="str">
        <x:v>Management-only economics. Stripe stress test uses 1.5% + £0.20 standard UK online-card fee; pallet/mix-and-match pricing ignored.</x:v>
      </x:c>
    </x:row>
    <x:row r="2318">
      <x:c r="A2318" t="str">
        <x:v>Active Sports Nutrition</x:v>
      </x:c>
      <x:c r="B2318" t="str">
        <x:v>Per4m Nutrition</x:v>
      </x:c>
      <x:c r="C2318" t="str">
        <x:v>Cream of Rice</x:v>
      </x:c>
      <x:c r="D2318" t="str">
        <x:v>Food &amp; Drinks</x:v>
      </x:c>
      <x:c r="E2318" t="str">
        <x:v>Carbohydrate Foods</x:v>
      </x:c>
      <x:c r="F2318" t="str"/>
      <x:c r="G2318" t="str">
        <x:v>450g</x:v>
      </x:c>
      <x:c r="H2318" t="str">
        <x:v>Chocolate Brownie Batter</x:v>
      </x:c>
      <x:c r="I2318" t="str"/>
      <x:c r="J2318" t="str">
        <x:v>Unit</x:v>
      </x:c>
      <x:c r="K2318" t="str">
        <x:v>Out of stock</x:v>
      </x:c>
      <x:c r="L2318" t="str">
        <x:v>2026-09-08</x:v>
      </x:c>
      <x:c r="M2318" t="str"/>
      <x:c r="N2318" t="str"/>
      <x:c r="O2318" t="str">
        <x:v>https://www.activesportstrade.co.uk/per4m-nutrition-trade</x:v>
      </x:c>
      <x:c r="P2318" t="str"/>
      <x:c r="Q2318" t="str"/>
      <x:c r="R2318" t="str"/>
      <x:c r="S2318" t="str">
        <x:v>Pending genuine supplier/brand image</x:v>
      </x:c>
      <x:c r="T2318" s="54" t="n">
        <x:v>4.49</x:v>
      </x:c>
      <x:c r="U2318" s="47" t="n">
        <x:v>0.2</x:v>
      </x:c>
      <x:c r="V2318" s="54" t="n">
        <x:f>IF(ISNUMBER(T2318),T2318*(1+U2318),"")</x:f>
        <x:v>5.388</x:v>
      </x:c>
      <x:c r="W2318" s="47" t="n">
        <x:v>0.3</x:v>
      </x:c>
      <x:c r="X2318" s="54" t="n">
        <x:f>IF(ISNUMBER(V2318),V2318/(1-W2318),"")</x:f>
        <x:v>7.6971428571428575</x:v>
      </x:c>
      <x:c r="Y2318" s="55" t="n">
        <x:f>IF(ISNUMBER(X2318),ROUNDUP(X2318,0),"")</x:f>
        <x:v>8</x:v>
      </x:c>
      <x:c r="Z2318" t="str">
        <x:v>Source match pending</x:v>
      </x:c>
      <x:c r="AA2318" t="str">
        <x:v>screencapture-www-activesportstrade-co-uk-per4m-nutrition-trade-2026-09-10-09_06_42.pdf / page-02</x:v>
      </x:c>
      <x:c r="AB2318" s="36" t="n">
        <x:f>IF(ISNUMBER(Y2318),ROUND(Y2318*0.9,2),"")</x:f>
        <x:v>7.2</x:v>
      </x:c>
      <x:c r="AC2318" s="36" t="n">
        <x:f>IF(ISNUMBER(AB2318),ROUND(AB2318-(AB2318*0.015+0.2)-V2318,2),"")</x:f>
        <x:v>1.5</x:v>
      </x:c>
      <x:c r="AD2318" s="36" t="n">
        <x:f>IF(ISNUMBER(Y2318),ROUND(Y2318*0.8,2),"")</x:f>
        <x:v>6.4</x:v>
      </x:c>
      <x:c r="AE2318" s="36" t="n">
        <x:f>IF(ISNUMBER(AD2318),ROUND(AD2318*0.015+0.2,2),"")</x:f>
        <x:v>0.3</x:v>
      </x:c>
      <x:c r="AF2318" s="36" t="n">
        <x:f>IF(ISNUMBER(AD2318),ROUND(AD2318-AE2318-V2318,2),"")</x:f>
        <x:v>0.71</x:v>
      </x:c>
      <x:c r="AG2318" t="str">
        <x:f>IF(NOT(ISNUMBER(T2318)),"PENDING",IF(AF2318&gt;0,"PASS","FAIL"))</x:f>
        <x:v>PASS</x:v>
      </x:c>
      <x:c r="AH2318" t="str">
        <x:f>IF(NOT(ISNUMBER(T2318)),"Needs supplier cost",IF(K2318&lt;&gt;"In stock","Supplier unavailable",IF(AG2318&lt;&gt;"PASS","BLOCK - GT loss risk","Commercially protected")))</x:f>
        <x:v>Supplier unavailable</x:v>
      </x:c>
      <x:c r="AI2318" t="str">
        <x:v>2026-09-10 Active Sports trade capture</x:v>
      </x:c>
      <x:c r="AJ2318" t="str">
        <x:v>Management-only economics. Stripe stress test uses 1.5% + £0.20 standard UK online-card fee; pallet/mix-and-match pricing ignored.</x:v>
      </x:c>
    </x:row>
    <x:row r="2319">
      <x:c r="A2319" t="str">
        <x:v>Active Sports Nutrition</x:v>
      </x:c>
      <x:c r="B2319" t="str">
        <x:v>Per4m Nutrition</x:v>
      </x:c>
      <x:c r="C2319" t="str">
        <x:v>Cream of Rice</x:v>
      </x:c>
      <x:c r="D2319" t="str">
        <x:v>Food &amp; Drinks</x:v>
      </x:c>
      <x:c r="E2319" t="str">
        <x:v>Carbohydrate Foods</x:v>
      </x:c>
      <x:c r="F2319" t="str"/>
      <x:c r="G2319" t="str">
        <x:v>450g</x:v>
      </x:c>
      <x:c r="H2319" t="str">
        <x:v>Chocolate Orange</x:v>
      </x:c>
      <x:c r="I2319" t="str"/>
      <x:c r="J2319" t="str">
        <x:v>Unit</x:v>
      </x:c>
      <x:c r="K2319" t="str">
        <x:v>In stock</x:v>
      </x:c>
      <x:c r="L2319" t="str">
        <x:v>2026-09-08</x:v>
      </x:c>
      <x:c r="M2319" t="str"/>
      <x:c r="N2319" t="str"/>
      <x:c r="O2319" t="str">
        <x:v>https://www.activesportstrade.co.uk/per4m-nutrition-trade</x:v>
      </x:c>
      <x:c r="P2319" t="str"/>
      <x:c r="Q2319" t="str"/>
      <x:c r="R2319" t="str"/>
      <x:c r="S2319" t="str">
        <x:v>Pending genuine supplier/brand image</x:v>
      </x:c>
      <x:c r="T2319" s="54" t="n">
        <x:v>4.49</x:v>
      </x:c>
      <x:c r="U2319" s="47" t="n">
        <x:v>0.2</x:v>
      </x:c>
      <x:c r="V2319" s="54" t="n">
        <x:f>IF(ISNUMBER(T2319),T2319*(1+U2319),"")</x:f>
        <x:v>5.388</x:v>
      </x:c>
      <x:c r="W2319" s="47" t="n">
        <x:v>0.3</x:v>
      </x:c>
      <x:c r="X2319" s="54" t="n">
        <x:f>IF(ISNUMBER(V2319),V2319/(1-W2319),"")</x:f>
        <x:v>7.6971428571428575</x:v>
      </x:c>
      <x:c r="Y2319" s="55" t="n">
        <x:f>IF(ISNUMBER(X2319),ROUNDUP(X2319,0),"")</x:f>
        <x:v>8</x:v>
      </x:c>
      <x:c r="Z2319" t="str">
        <x:v>Source match pending</x:v>
      </x:c>
      <x:c r="AA2319" t="str">
        <x:v>screencapture-www-activesportstrade-co-uk-per4m-nutrition-trade-2026-09-10-09_06_42.pdf / page-02</x:v>
      </x:c>
      <x:c r="AB2319" s="36" t="n">
        <x:f>IF(ISNUMBER(Y2319),ROUND(Y2319*0.9,2),"")</x:f>
        <x:v>7.2</x:v>
      </x:c>
      <x:c r="AC2319" s="36" t="n">
        <x:f>IF(ISNUMBER(AB2319),ROUND(AB2319-(AB2319*0.015+0.2)-V2319,2),"")</x:f>
        <x:v>1.5</x:v>
      </x:c>
      <x:c r="AD2319" s="36" t="n">
        <x:f>IF(ISNUMBER(Y2319),ROUND(Y2319*0.8,2),"")</x:f>
        <x:v>6.4</x:v>
      </x:c>
      <x:c r="AE2319" s="36" t="n">
        <x:f>IF(ISNUMBER(AD2319),ROUND(AD2319*0.015+0.2,2),"")</x:f>
        <x:v>0.3</x:v>
      </x:c>
      <x:c r="AF2319" s="36" t="n">
        <x:f>IF(ISNUMBER(AD2319),ROUND(AD2319-AE2319-V2319,2),"")</x:f>
        <x:v>0.71</x:v>
      </x:c>
      <x:c r="AG2319" t="str">
        <x:f>IF(NOT(ISNUMBER(T2319)),"PENDING",IF(AF2319&gt;0,"PASS","FAIL"))</x:f>
        <x:v>PASS</x:v>
      </x:c>
      <x:c r="AH2319" t="str">
        <x:f>IF(NOT(ISNUMBER(T2319)),"Needs supplier cost",IF(K2319&lt;&gt;"In stock","Supplier unavailable",IF(AG2319&lt;&gt;"PASS","BLOCK - GT loss risk","Commercially protected")))</x:f>
        <x:v>Commercially protected</x:v>
      </x:c>
      <x:c r="AI2319" t="str">
        <x:v>2026-09-10 Active Sports trade capture</x:v>
      </x:c>
      <x:c r="AJ2319" t="str">
        <x:v>Management-only economics. Stripe stress test uses 1.5% + £0.20 standard UK online-card fee; pallet/mix-and-match pricing ignored.</x:v>
      </x:c>
    </x:row>
    <x:row r="2320">
      <x:c r="A2320" t="str">
        <x:v>Active Sports Nutrition</x:v>
      </x:c>
      <x:c r="B2320" t="str">
        <x:v>Per4m Nutrition</x:v>
      </x:c>
      <x:c r="C2320" t="str">
        <x:v>Cream of Rice</x:v>
      </x:c>
      <x:c r="D2320" t="str">
        <x:v>Food &amp; Drinks</x:v>
      </x:c>
      <x:c r="E2320" t="str">
        <x:v>Carbohydrate Foods</x:v>
      </x:c>
      <x:c r="F2320" t="str"/>
      <x:c r="G2320" t="str">
        <x:v>450g</x:v>
      </x:c>
      <x:c r="H2320" t="str">
        <x:v>Chocolate Peanut Butter</x:v>
      </x:c>
      <x:c r="I2320" t="str"/>
      <x:c r="J2320" t="str">
        <x:v>Unit</x:v>
      </x:c>
      <x:c r="K2320" t="str">
        <x:v>In stock</x:v>
      </x:c>
      <x:c r="L2320" t="str">
        <x:v>2026-09-08</x:v>
      </x:c>
      <x:c r="M2320" t="str"/>
      <x:c r="N2320" t="str"/>
      <x:c r="O2320" t="str">
        <x:v>https://www.activesportstrade.co.uk/per4m-nutrition-trade</x:v>
      </x:c>
      <x:c r="P2320" t="str"/>
      <x:c r="Q2320" t="str"/>
      <x:c r="R2320" t="str"/>
      <x:c r="S2320" t="str">
        <x:v>Pending genuine supplier/brand image</x:v>
      </x:c>
      <x:c r="T2320" s="54" t="n">
        <x:v>4.49</x:v>
      </x:c>
      <x:c r="U2320" s="47" t="n">
        <x:v>0.2</x:v>
      </x:c>
      <x:c r="V2320" s="54" t="n">
        <x:f>IF(ISNUMBER(T2320),T2320*(1+U2320),"")</x:f>
        <x:v>5.388</x:v>
      </x:c>
      <x:c r="W2320" s="47" t="n">
        <x:v>0.3</x:v>
      </x:c>
      <x:c r="X2320" s="54" t="n">
        <x:f>IF(ISNUMBER(V2320),V2320/(1-W2320),"")</x:f>
        <x:v>7.6971428571428575</x:v>
      </x:c>
      <x:c r="Y2320" s="55" t="n">
        <x:f>IF(ISNUMBER(X2320),ROUNDUP(X2320,0),"")</x:f>
        <x:v>8</x:v>
      </x:c>
      <x:c r="Z2320" t="str">
        <x:v>Source match pending</x:v>
      </x:c>
      <x:c r="AA2320" t="str">
        <x:v>screencapture-www-activesportstrade-co-uk-per4m-nutrition-trade-2026-09-10-09_06_42.pdf / page-02</x:v>
      </x:c>
      <x:c r="AB2320" s="36" t="n">
        <x:f>IF(ISNUMBER(Y2320),ROUND(Y2320*0.9,2),"")</x:f>
        <x:v>7.2</x:v>
      </x:c>
      <x:c r="AC2320" s="36" t="n">
        <x:f>IF(ISNUMBER(AB2320),ROUND(AB2320-(AB2320*0.015+0.2)-V2320,2),"")</x:f>
        <x:v>1.5</x:v>
      </x:c>
      <x:c r="AD2320" s="36" t="n">
        <x:f>IF(ISNUMBER(Y2320),ROUND(Y2320*0.8,2),"")</x:f>
        <x:v>6.4</x:v>
      </x:c>
      <x:c r="AE2320" s="36" t="n">
        <x:f>IF(ISNUMBER(AD2320),ROUND(AD2320*0.015+0.2,2),"")</x:f>
        <x:v>0.3</x:v>
      </x:c>
      <x:c r="AF2320" s="36" t="n">
        <x:f>IF(ISNUMBER(AD2320),ROUND(AD2320-AE2320-V2320,2),"")</x:f>
        <x:v>0.71</x:v>
      </x:c>
      <x:c r="AG2320" t="str">
        <x:f>IF(NOT(ISNUMBER(T2320)),"PENDING",IF(AF2320&gt;0,"PASS","FAIL"))</x:f>
        <x:v>PASS</x:v>
      </x:c>
      <x:c r="AH2320" t="str">
        <x:f>IF(NOT(ISNUMBER(T2320)),"Needs supplier cost",IF(K2320&lt;&gt;"In stock","Supplier unavailable",IF(AG2320&lt;&gt;"PASS","BLOCK - GT loss risk","Commercially protected")))</x:f>
        <x:v>Commercially protected</x:v>
      </x:c>
      <x:c r="AI2320" t="str">
        <x:v>2026-09-10 Active Sports trade capture</x:v>
      </x:c>
      <x:c r="AJ2320" t="str">
        <x:v>Management-only economics. Stripe stress test uses 1.5% + £0.20 standard UK online-card fee; pallet/mix-and-match pricing ignored.</x:v>
      </x:c>
    </x:row>
    <x:row r="2321">
      <x:c r="A2321" t="str">
        <x:v>Active Sports Nutrition</x:v>
      </x:c>
      <x:c r="B2321" t="str">
        <x:v>Per4m Nutrition</x:v>
      </x:c>
      <x:c r="C2321" t="str">
        <x:v>Cream of Rice</x:v>
      </x:c>
      <x:c r="D2321" t="str">
        <x:v>Food &amp; Drinks</x:v>
      </x:c>
      <x:c r="E2321" t="str">
        <x:v>Carbohydrate Foods</x:v>
      </x:c>
      <x:c r="F2321" t="str"/>
      <x:c r="G2321" t="str">
        <x:v>450g</x:v>
      </x:c>
      <x:c r="H2321" t="str">
        <x:v>Cinnamon Donut</x:v>
      </x:c>
      <x:c r="I2321" t="str"/>
      <x:c r="J2321" t="str">
        <x:v>Unit</x:v>
      </x:c>
      <x:c r="K2321" t="str">
        <x:v>Out of stock</x:v>
      </x:c>
      <x:c r="L2321" t="str">
        <x:v>2026-09-08</x:v>
      </x:c>
      <x:c r="M2321" t="str"/>
      <x:c r="N2321" t="str"/>
      <x:c r="O2321" t="str">
        <x:v>https://www.activesportstrade.co.uk/per4m-nutrition-trade</x:v>
      </x:c>
      <x:c r="P2321" t="str"/>
      <x:c r="Q2321" t="str"/>
      <x:c r="R2321" t="str"/>
      <x:c r="S2321" t="str">
        <x:v>Pending genuine supplier/brand image</x:v>
      </x:c>
      <x:c r="T2321" s="54" t="n">
        <x:v>4.49</x:v>
      </x:c>
      <x:c r="U2321" s="47" t="n">
        <x:v>0.2</x:v>
      </x:c>
      <x:c r="V2321" s="54" t="n">
        <x:f>IF(ISNUMBER(T2321),T2321*(1+U2321),"")</x:f>
        <x:v>5.388</x:v>
      </x:c>
      <x:c r="W2321" s="47" t="n">
        <x:v>0.3</x:v>
      </x:c>
      <x:c r="X2321" s="54" t="n">
        <x:f>IF(ISNUMBER(V2321),V2321/(1-W2321),"")</x:f>
        <x:v>7.6971428571428575</x:v>
      </x:c>
      <x:c r="Y2321" s="55" t="n">
        <x:f>IF(ISNUMBER(X2321),ROUNDUP(X2321,0),"")</x:f>
        <x:v>8</x:v>
      </x:c>
      <x:c r="Z2321" t="str">
        <x:v>Source match pending</x:v>
      </x:c>
      <x:c r="AA2321" t="str">
        <x:v>screencapture-www-activesportstrade-co-uk-per4m-nutrition-trade-2026-09-10-09_06_42.pdf / page-02</x:v>
      </x:c>
      <x:c r="AB2321" s="36" t="n">
        <x:f>IF(ISNUMBER(Y2321),ROUND(Y2321*0.9,2),"")</x:f>
        <x:v>7.2</x:v>
      </x:c>
      <x:c r="AC2321" s="36" t="n">
        <x:f>IF(ISNUMBER(AB2321),ROUND(AB2321-(AB2321*0.015+0.2)-V2321,2),"")</x:f>
        <x:v>1.5</x:v>
      </x:c>
      <x:c r="AD2321" s="36" t="n">
        <x:f>IF(ISNUMBER(Y2321),ROUND(Y2321*0.8,2),"")</x:f>
        <x:v>6.4</x:v>
      </x:c>
      <x:c r="AE2321" s="36" t="n">
        <x:f>IF(ISNUMBER(AD2321),ROUND(AD2321*0.015+0.2,2),"")</x:f>
        <x:v>0.3</x:v>
      </x:c>
      <x:c r="AF2321" s="36" t="n">
        <x:f>IF(ISNUMBER(AD2321),ROUND(AD2321-AE2321-V2321,2),"")</x:f>
        <x:v>0.71</x:v>
      </x:c>
      <x:c r="AG2321" t="str">
        <x:f>IF(NOT(ISNUMBER(T2321)),"PENDING",IF(AF2321&gt;0,"PASS","FAIL"))</x:f>
        <x:v>PASS</x:v>
      </x:c>
      <x:c r="AH2321" t="str">
        <x:f>IF(NOT(ISNUMBER(T2321)),"Needs supplier cost",IF(K2321&lt;&gt;"In stock","Supplier unavailable",IF(AG2321&lt;&gt;"PASS","BLOCK - GT loss risk","Commercially protected")))</x:f>
        <x:v>Supplier unavailable</x:v>
      </x:c>
      <x:c r="AI2321" t="str">
        <x:v>2026-09-10 Active Sports trade capture</x:v>
      </x:c>
      <x:c r="AJ2321" t="str">
        <x:v>Management-only economics. Stripe stress test uses 1.5% + £0.20 standard UK online-card fee; pallet/mix-and-match pricing ignored.</x:v>
      </x:c>
    </x:row>
    <x:row r="2322">
      <x:c r="A2322" t="str">
        <x:v>Active Sports Nutrition</x:v>
      </x:c>
      <x:c r="B2322" t="str">
        <x:v>Per4m Nutrition</x:v>
      </x:c>
      <x:c r="C2322" t="str">
        <x:v>Cream of Rice</x:v>
      </x:c>
      <x:c r="D2322" t="str">
        <x:v>Food &amp; Drinks</x:v>
      </x:c>
      <x:c r="E2322" t="str">
        <x:v>Carbohydrate Foods</x:v>
      </x:c>
      <x:c r="F2322" t="str"/>
      <x:c r="G2322" t="str">
        <x:v>450g</x:v>
      </x:c>
      <x:c r="H2322" t="str">
        <x:v>Cookies &amp; Cream</x:v>
      </x:c>
      <x:c r="I2322" t="str"/>
      <x:c r="J2322" t="str">
        <x:v>Unit</x:v>
      </x:c>
      <x:c r="K2322" t="str">
        <x:v>In stock</x:v>
      </x:c>
      <x:c r="L2322" t="str">
        <x:v>2026-09-08</x:v>
      </x:c>
      <x:c r="M2322" t="str"/>
      <x:c r="N2322" t="str"/>
      <x:c r="O2322" t="str">
        <x:v>https://www.activesportstrade.co.uk/per4m-nutrition-trade</x:v>
      </x:c>
      <x:c r="P2322" t="str"/>
      <x:c r="Q2322" t="str"/>
      <x:c r="R2322" t="str"/>
      <x:c r="S2322" t="str">
        <x:v>Pending genuine supplier/brand image</x:v>
      </x:c>
      <x:c r="T2322" s="54" t="n">
        <x:v>4.49</x:v>
      </x:c>
      <x:c r="U2322" s="47" t="n">
        <x:v>0.2</x:v>
      </x:c>
      <x:c r="V2322" s="54" t="n">
        <x:f>IF(ISNUMBER(T2322),T2322*(1+U2322),"")</x:f>
        <x:v>5.388</x:v>
      </x:c>
      <x:c r="W2322" s="47" t="n">
        <x:v>0.3</x:v>
      </x:c>
      <x:c r="X2322" s="54" t="n">
        <x:f>IF(ISNUMBER(V2322),V2322/(1-W2322),"")</x:f>
        <x:v>7.6971428571428575</x:v>
      </x:c>
      <x:c r="Y2322" s="55" t="n">
        <x:f>IF(ISNUMBER(X2322),ROUNDUP(X2322,0),"")</x:f>
        <x:v>8</x:v>
      </x:c>
      <x:c r="Z2322" t="str">
        <x:v>Source match pending</x:v>
      </x:c>
      <x:c r="AA2322" t="str">
        <x:v>screencapture-www-activesportstrade-co-uk-per4m-nutrition-trade-2026-09-10-09_06_42.pdf / page-02</x:v>
      </x:c>
      <x:c r="AB2322" s="36" t="n">
        <x:f>IF(ISNUMBER(Y2322),ROUND(Y2322*0.9,2),"")</x:f>
        <x:v>7.2</x:v>
      </x:c>
      <x:c r="AC2322" s="36" t="n">
        <x:f>IF(ISNUMBER(AB2322),ROUND(AB2322-(AB2322*0.015+0.2)-V2322,2),"")</x:f>
        <x:v>1.5</x:v>
      </x:c>
      <x:c r="AD2322" s="36" t="n">
        <x:f>IF(ISNUMBER(Y2322),ROUND(Y2322*0.8,2),"")</x:f>
        <x:v>6.4</x:v>
      </x:c>
      <x:c r="AE2322" s="36" t="n">
        <x:f>IF(ISNUMBER(AD2322),ROUND(AD2322*0.015+0.2,2),"")</x:f>
        <x:v>0.3</x:v>
      </x:c>
      <x:c r="AF2322" s="36" t="n">
        <x:f>IF(ISNUMBER(AD2322),ROUND(AD2322-AE2322-V2322,2),"")</x:f>
        <x:v>0.71</x:v>
      </x:c>
      <x:c r="AG2322" t="str">
        <x:f>IF(NOT(ISNUMBER(T2322)),"PENDING",IF(AF2322&gt;0,"PASS","FAIL"))</x:f>
        <x:v>PASS</x:v>
      </x:c>
      <x:c r="AH2322" t="str">
        <x:f>IF(NOT(ISNUMBER(T2322)),"Needs supplier cost",IF(K2322&lt;&gt;"In stock","Supplier unavailable",IF(AG2322&lt;&gt;"PASS","BLOCK - GT loss risk","Commercially protected")))</x:f>
        <x:v>Commercially protected</x:v>
      </x:c>
      <x:c r="AI2322" t="str">
        <x:v>2026-09-10 Active Sports trade capture</x:v>
      </x:c>
      <x:c r="AJ2322" t="str">
        <x:v>Management-only economics. Stripe stress test uses 1.5% + £0.20 standard UK online-card fee; pallet/mix-and-match pricing ignored.</x:v>
      </x:c>
    </x:row>
    <x:row r="2323">
      <x:c r="A2323" t="str">
        <x:v>Active Sports Nutrition</x:v>
      </x:c>
      <x:c r="B2323" t="str">
        <x:v>Per4m Nutrition</x:v>
      </x:c>
      <x:c r="C2323" t="str">
        <x:v>Cream of Rice</x:v>
      </x:c>
      <x:c r="D2323" t="str">
        <x:v>Food &amp; Drinks</x:v>
      </x:c>
      <x:c r="E2323" t="str">
        <x:v>Carbohydrate Foods</x:v>
      </x:c>
      <x:c r="F2323" t="str"/>
      <x:c r="G2323" t="str">
        <x:v>450g</x:v>
      </x:c>
      <x:c r="H2323" t="str">
        <x:v>Jammy Biscuit</x:v>
      </x:c>
      <x:c r="I2323" t="str"/>
      <x:c r="J2323" t="str">
        <x:v>Unit</x:v>
      </x:c>
      <x:c r="K2323" t="str">
        <x:v>Out of stock</x:v>
      </x:c>
      <x:c r="L2323" t="str">
        <x:v>2026-09-08</x:v>
      </x:c>
      <x:c r="M2323" t="str"/>
      <x:c r="N2323" t="str"/>
      <x:c r="O2323" t="str">
        <x:v>https://www.activesportstrade.co.uk/per4m-nutrition-trade</x:v>
      </x:c>
      <x:c r="P2323" t="str"/>
      <x:c r="Q2323" t="str"/>
      <x:c r="R2323" t="str"/>
      <x:c r="S2323" t="str">
        <x:v>Pending genuine supplier/brand image</x:v>
      </x:c>
      <x:c r="T2323" s="54" t="n">
        <x:v>4.49</x:v>
      </x:c>
      <x:c r="U2323" s="47" t="n">
        <x:v>0.2</x:v>
      </x:c>
      <x:c r="V2323" s="54" t="n">
        <x:f>IF(ISNUMBER(T2323),T2323*(1+U2323),"")</x:f>
        <x:v>5.388</x:v>
      </x:c>
      <x:c r="W2323" s="47" t="n">
        <x:v>0.3</x:v>
      </x:c>
      <x:c r="X2323" s="54" t="n">
        <x:f>IF(ISNUMBER(V2323),V2323/(1-W2323),"")</x:f>
        <x:v>7.6971428571428575</x:v>
      </x:c>
      <x:c r="Y2323" s="55" t="n">
        <x:f>IF(ISNUMBER(X2323),ROUNDUP(X2323,0),"")</x:f>
        <x:v>8</x:v>
      </x:c>
      <x:c r="Z2323" t="str">
        <x:v>Source match pending</x:v>
      </x:c>
      <x:c r="AA2323" t="str">
        <x:v>screencapture-www-activesportstrade-co-uk-per4m-nutrition-trade-2026-09-10-09_06_42.pdf / page-02</x:v>
      </x:c>
      <x:c r="AB2323" s="36" t="n">
        <x:f>IF(ISNUMBER(Y2323),ROUND(Y2323*0.9,2),"")</x:f>
        <x:v>7.2</x:v>
      </x:c>
      <x:c r="AC2323" s="36" t="n">
        <x:f>IF(ISNUMBER(AB2323),ROUND(AB2323-(AB2323*0.015+0.2)-V2323,2),"")</x:f>
        <x:v>1.5</x:v>
      </x:c>
      <x:c r="AD2323" s="36" t="n">
        <x:f>IF(ISNUMBER(Y2323),ROUND(Y2323*0.8,2),"")</x:f>
        <x:v>6.4</x:v>
      </x:c>
      <x:c r="AE2323" s="36" t="n">
        <x:f>IF(ISNUMBER(AD2323),ROUND(AD2323*0.015+0.2,2),"")</x:f>
        <x:v>0.3</x:v>
      </x:c>
      <x:c r="AF2323" s="36" t="n">
        <x:f>IF(ISNUMBER(AD2323),ROUND(AD2323-AE2323-V2323,2),"")</x:f>
        <x:v>0.71</x:v>
      </x:c>
      <x:c r="AG2323" t="str">
        <x:f>IF(NOT(ISNUMBER(T2323)),"PENDING",IF(AF2323&gt;0,"PASS","FAIL"))</x:f>
        <x:v>PASS</x:v>
      </x:c>
      <x:c r="AH2323" t="str">
        <x:f>IF(NOT(ISNUMBER(T2323)),"Needs supplier cost",IF(K2323&lt;&gt;"In stock","Supplier unavailable",IF(AG2323&lt;&gt;"PASS","BLOCK - GT loss risk","Commercially protected")))</x:f>
        <x:v>Supplier unavailable</x:v>
      </x:c>
      <x:c r="AI2323" t="str">
        <x:v>2026-09-10 Active Sports trade capture</x:v>
      </x:c>
      <x:c r="AJ2323" t="str">
        <x:v>Management-only economics. Stripe stress test uses 1.5% + £0.20 standard UK online-card fee; pallet/mix-and-match pricing ignored.</x:v>
      </x:c>
    </x:row>
    <x:row r="2324">
      <x:c r="A2324" t="str">
        <x:v>Active Sports Nutrition</x:v>
      </x:c>
      <x:c r="B2324" t="str">
        <x:v>Per4m Nutrition</x:v>
      </x:c>
      <x:c r="C2324" t="str">
        <x:v>Cream of Rice</x:v>
      </x:c>
      <x:c r="D2324" t="str">
        <x:v>Food &amp; Drinks</x:v>
      </x:c>
      <x:c r="E2324" t="str">
        <x:v>Carbohydrate Foods</x:v>
      </x:c>
      <x:c r="F2324" t="str"/>
      <x:c r="G2324" t="str">
        <x:v>450g</x:v>
      </x:c>
      <x:c r="H2324" t="str">
        <x:v>Red Velvet Cake</x:v>
      </x:c>
      <x:c r="I2324" t="str"/>
      <x:c r="J2324" t="str">
        <x:v>Unit</x:v>
      </x:c>
      <x:c r="K2324" t="str">
        <x:v>In stock</x:v>
      </x:c>
      <x:c r="L2324" t="str">
        <x:v>2026-09-08</x:v>
      </x:c>
      <x:c r="M2324" t="str"/>
      <x:c r="N2324" t="str"/>
      <x:c r="O2324" t="str">
        <x:v>https://www.activesportstrade.co.uk/per4m-nutrition-trade</x:v>
      </x:c>
      <x:c r="P2324" t="str"/>
      <x:c r="Q2324" t="str"/>
      <x:c r="R2324" t="str"/>
      <x:c r="S2324" t="str">
        <x:v>Pending genuine supplier/brand image</x:v>
      </x:c>
      <x:c r="T2324" s="54" t="n">
        <x:v>4.49</x:v>
      </x:c>
      <x:c r="U2324" s="47" t="n">
        <x:v>0.2</x:v>
      </x:c>
      <x:c r="V2324" s="54" t="n">
        <x:f>IF(ISNUMBER(T2324),T2324*(1+U2324),"")</x:f>
        <x:v>5.388</x:v>
      </x:c>
      <x:c r="W2324" s="47" t="n">
        <x:v>0.3</x:v>
      </x:c>
      <x:c r="X2324" s="54" t="n">
        <x:f>IF(ISNUMBER(V2324),V2324/(1-W2324),"")</x:f>
        <x:v>7.6971428571428575</x:v>
      </x:c>
      <x:c r="Y2324" s="55" t="n">
        <x:f>IF(ISNUMBER(X2324),ROUNDUP(X2324,0),"")</x:f>
        <x:v>8</x:v>
      </x:c>
      <x:c r="Z2324" t="str">
        <x:v>Source match pending</x:v>
      </x:c>
      <x:c r="AA2324" t="str">
        <x:v>screencapture-www-activesportstrade-co-uk-per4m-nutrition-trade-2026-09-10-09_06_42.pdf / page-02</x:v>
      </x:c>
      <x:c r="AB2324" s="36" t="n">
        <x:f>IF(ISNUMBER(Y2324),ROUND(Y2324*0.9,2),"")</x:f>
        <x:v>7.2</x:v>
      </x:c>
      <x:c r="AC2324" s="36" t="n">
        <x:f>IF(ISNUMBER(AB2324),ROUND(AB2324-(AB2324*0.015+0.2)-V2324,2),"")</x:f>
        <x:v>1.5</x:v>
      </x:c>
      <x:c r="AD2324" s="36" t="n">
        <x:f>IF(ISNUMBER(Y2324),ROUND(Y2324*0.8,2),"")</x:f>
        <x:v>6.4</x:v>
      </x:c>
      <x:c r="AE2324" s="36" t="n">
        <x:f>IF(ISNUMBER(AD2324),ROUND(AD2324*0.015+0.2,2),"")</x:f>
        <x:v>0.3</x:v>
      </x:c>
      <x:c r="AF2324" s="36" t="n">
        <x:f>IF(ISNUMBER(AD2324),ROUND(AD2324-AE2324-V2324,2),"")</x:f>
        <x:v>0.71</x:v>
      </x:c>
      <x:c r="AG2324" t="str">
        <x:f>IF(NOT(ISNUMBER(T2324)),"PENDING",IF(AF2324&gt;0,"PASS","FAIL"))</x:f>
        <x:v>PASS</x:v>
      </x:c>
      <x:c r="AH2324" t="str">
        <x:f>IF(NOT(ISNUMBER(T2324)),"Needs supplier cost",IF(K2324&lt;&gt;"In stock","Supplier unavailable",IF(AG2324&lt;&gt;"PASS","BLOCK - GT loss risk","Commercially protected")))</x:f>
        <x:v>Commercially protected</x:v>
      </x:c>
      <x:c r="AI2324" t="str">
        <x:v>2026-09-10 Active Sports trade capture</x:v>
      </x:c>
      <x:c r="AJ2324" t="str">
        <x:v>Management-only economics. Stripe stress test uses 1.5% + £0.20 standard UK online-card fee; pallet/mix-and-match pricing ignored.</x:v>
      </x:c>
    </x:row>
    <x:row r="2325">
      <x:c r="A2325" t="str">
        <x:v>Active Sports Nutrition</x:v>
      </x:c>
      <x:c r="B2325" t="str">
        <x:v>Per4m Nutrition</x:v>
      </x:c>
      <x:c r="C2325" t="str">
        <x:v>Cream of Rice</x:v>
      </x:c>
      <x:c r="D2325" t="str">
        <x:v>Food &amp; Drinks</x:v>
      </x:c>
      <x:c r="E2325" t="str">
        <x:v>Carbohydrate Foods</x:v>
      </x:c>
      <x:c r="F2325" t="str"/>
      <x:c r="G2325" t="str">
        <x:v>450g</x:v>
      </x:c>
      <x:c r="H2325" t="str">
        <x:v>Salted Caramel</x:v>
      </x:c>
      <x:c r="I2325" t="str"/>
      <x:c r="J2325" t="str">
        <x:v>Unit</x:v>
      </x:c>
      <x:c r="K2325" t="str">
        <x:v>In stock</x:v>
      </x:c>
      <x:c r="L2325" t="str">
        <x:v>2026-09-08</x:v>
      </x:c>
      <x:c r="M2325" t="str"/>
      <x:c r="N2325" t="str"/>
      <x:c r="O2325" t="str">
        <x:v>https://www.activesportstrade.co.uk/per4m-nutrition-trade</x:v>
      </x:c>
      <x:c r="P2325" t="str"/>
      <x:c r="Q2325" t="str"/>
      <x:c r="R2325" t="str"/>
      <x:c r="S2325" t="str">
        <x:v>Pending genuine supplier/brand image</x:v>
      </x:c>
      <x:c r="T2325" s="54" t="n">
        <x:v>4.49</x:v>
      </x:c>
      <x:c r="U2325" s="47" t="n">
        <x:v>0.2</x:v>
      </x:c>
      <x:c r="V2325" s="54" t="n">
        <x:f>IF(ISNUMBER(T2325),T2325*(1+U2325),"")</x:f>
        <x:v>5.388</x:v>
      </x:c>
      <x:c r="W2325" s="47" t="n">
        <x:v>0.3</x:v>
      </x:c>
      <x:c r="X2325" s="54" t="n">
        <x:f>IF(ISNUMBER(V2325),V2325/(1-W2325),"")</x:f>
        <x:v>7.6971428571428575</x:v>
      </x:c>
      <x:c r="Y2325" s="55" t="n">
        <x:f>IF(ISNUMBER(X2325),ROUNDUP(X2325,0),"")</x:f>
        <x:v>8</x:v>
      </x:c>
      <x:c r="Z2325" t="str">
        <x:v>Source match pending</x:v>
      </x:c>
      <x:c r="AA2325" t="str">
        <x:v>screencapture-www-activesportstrade-co-uk-per4m-nutrition-trade-2026-09-10-09_06_42.pdf / page-02</x:v>
      </x:c>
      <x:c r="AB2325" s="36" t="n">
        <x:f>IF(ISNUMBER(Y2325),ROUND(Y2325*0.9,2),"")</x:f>
        <x:v>7.2</x:v>
      </x:c>
      <x:c r="AC2325" s="36" t="n">
        <x:f>IF(ISNUMBER(AB2325),ROUND(AB2325-(AB2325*0.015+0.2)-V2325,2),"")</x:f>
        <x:v>1.5</x:v>
      </x:c>
      <x:c r="AD2325" s="36" t="n">
        <x:f>IF(ISNUMBER(Y2325),ROUND(Y2325*0.8,2),"")</x:f>
        <x:v>6.4</x:v>
      </x:c>
      <x:c r="AE2325" s="36" t="n">
        <x:f>IF(ISNUMBER(AD2325),ROUND(AD2325*0.015+0.2,2),"")</x:f>
        <x:v>0.3</x:v>
      </x:c>
      <x:c r="AF2325" s="36" t="n">
        <x:f>IF(ISNUMBER(AD2325),ROUND(AD2325-AE2325-V2325,2),"")</x:f>
        <x:v>0.71</x:v>
      </x:c>
      <x:c r="AG2325" t="str">
        <x:f>IF(NOT(ISNUMBER(T2325)),"PENDING",IF(AF2325&gt;0,"PASS","FAIL"))</x:f>
        <x:v>PASS</x:v>
      </x:c>
      <x:c r="AH2325" t="str">
        <x:f>IF(NOT(ISNUMBER(T2325)),"Needs supplier cost",IF(K2325&lt;&gt;"In stock","Supplier unavailable",IF(AG2325&lt;&gt;"PASS","BLOCK - GT loss risk","Commercially protected")))</x:f>
        <x:v>Commercially protected</x:v>
      </x:c>
      <x:c r="AI2325" t="str">
        <x:v>2026-09-10 Active Sports trade capture</x:v>
      </x:c>
      <x:c r="AJ2325" t="str">
        <x:v>Management-only economics. Stripe stress test uses 1.5% + £0.20 standard UK online-card fee; pallet/mix-and-match pricing ignored.</x:v>
      </x:c>
    </x:row>
    <x:row r="2326">
      <x:c r="A2326" t="str">
        <x:v>Active Sports Nutrition</x:v>
      </x:c>
      <x:c r="B2326" t="str">
        <x:v>Per4m Nutrition</x:v>
      </x:c>
      <x:c r="C2326" t="str">
        <x:v>Cream of Rice</x:v>
      </x:c>
      <x:c r="D2326" t="str">
        <x:v>Food &amp; Drinks</x:v>
      </x:c>
      <x:c r="E2326" t="str">
        <x:v>Carbohydrate Foods</x:v>
      </x:c>
      <x:c r="F2326" t="str"/>
      <x:c r="G2326" t="str">
        <x:v>450g</x:v>
      </x:c>
      <x:c r="H2326" t="str">
        <x:v>Sticky Toffee Pudding</x:v>
      </x:c>
      <x:c r="I2326" t="str"/>
      <x:c r="J2326" t="str">
        <x:v>Unit</x:v>
      </x:c>
      <x:c r="K2326" t="str">
        <x:v>Out of stock</x:v>
      </x:c>
      <x:c r="L2326" t="str">
        <x:v>2026-09-08</x:v>
      </x:c>
      <x:c r="M2326" t="str"/>
      <x:c r="N2326" t="str"/>
      <x:c r="O2326" t="str">
        <x:v>https://www.activesportstrade.co.uk/per4m-nutrition-trade</x:v>
      </x:c>
      <x:c r="P2326" t="str"/>
      <x:c r="Q2326" t="str"/>
      <x:c r="R2326" t="str"/>
      <x:c r="S2326" t="str">
        <x:v>Pending genuine supplier/brand image</x:v>
      </x:c>
      <x:c r="T2326" s="54" t="n">
        <x:v>4.49</x:v>
      </x:c>
      <x:c r="U2326" s="47" t="n">
        <x:v>0.2</x:v>
      </x:c>
      <x:c r="V2326" s="54" t="n">
        <x:f>IF(ISNUMBER(T2326),T2326*(1+U2326),"")</x:f>
        <x:v>5.388</x:v>
      </x:c>
      <x:c r="W2326" s="47" t="n">
        <x:v>0.3</x:v>
      </x:c>
      <x:c r="X2326" s="54" t="n">
        <x:f>IF(ISNUMBER(V2326),V2326/(1-W2326),"")</x:f>
        <x:v>7.6971428571428575</x:v>
      </x:c>
      <x:c r="Y2326" s="55" t="n">
        <x:f>IF(ISNUMBER(X2326),ROUNDUP(X2326,0),"")</x:f>
        <x:v>8</x:v>
      </x:c>
      <x:c r="Z2326" t="str">
        <x:v>Source match pending</x:v>
      </x:c>
      <x:c r="AA2326" t="str">
        <x:v>screencapture-www-activesportstrade-co-uk-per4m-nutrition-trade-2026-09-10-09_06_42.pdf / page-02</x:v>
      </x:c>
      <x:c r="AB2326" s="36" t="n">
        <x:f>IF(ISNUMBER(Y2326),ROUND(Y2326*0.9,2),"")</x:f>
        <x:v>7.2</x:v>
      </x:c>
      <x:c r="AC2326" s="36" t="n">
        <x:f>IF(ISNUMBER(AB2326),ROUND(AB2326-(AB2326*0.015+0.2)-V2326,2),"")</x:f>
        <x:v>1.5</x:v>
      </x:c>
      <x:c r="AD2326" s="36" t="n">
        <x:f>IF(ISNUMBER(Y2326),ROUND(Y2326*0.8,2),"")</x:f>
        <x:v>6.4</x:v>
      </x:c>
      <x:c r="AE2326" s="36" t="n">
        <x:f>IF(ISNUMBER(AD2326),ROUND(AD2326*0.015+0.2,2),"")</x:f>
        <x:v>0.3</x:v>
      </x:c>
      <x:c r="AF2326" s="36" t="n">
        <x:f>IF(ISNUMBER(AD2326),ROUND(AD2326-AE2326-V2326,2),"")</x:f>
        <x:v>0.71</x:v>
      </x:c>
      <x:c r="AG2326" t="str">
        <x:f>IF(NOT(ISNUMBER(T2326)),"PENDING",IF(AF2326&gt;0,"PASS","FAIL"))</x:f>
        <x:v>PASS</x:v>
      </x:c>
      <x:c r="AH2326" t="str">
        <x:f>IF(NOT(ISNUMBER(T2326)),"Needs supplier cost",IF(K2326&lt;&gt;"In stock","Supplier unavailable",IF(AG2326&lt;&gt;"PASS","BLOCK - GT loss risk","Commercially protected")))</x:f>
        <x:v>Supplier unavailable</x:v>
      </x:c>
      <x:c r="AI2326" t="str">
        <x:v>2026-09-10 Active Sports trade capture</x:v>
      </x:c>
      <x:c r="AJ2326" t="str">
        <x:v>Management-only economics. Stripe stress test uses 1.5% + £0.20 standard UK online-card fee; pallet/mix-and-match pricing ignored.</x:v>
      </x:c>
    </x:row>
    <x:row r="2327">
      <x:c r="A2327" t="str">
        <x:v>Active Sports Nutrition</x:v>
      </x:c>
      <x:c r="B2327" t="str">
        <x:v>Per4m Nutrition</x:v>
      </x:c>
      <x:c r="C2327" t="str">
        <x:v>Cream of Rice</x:v>
      </x:c>
      <x:c r="D2327" t="str">
        <x:v>Food &amp; Drinks</x:v>
      </x:c>
      <x:c r="E2327" t="str">
        <x:v>Carbohydrate Foods</x:v>
      </x:c>
      <x:c r="F2327" t="str"/>
      <x:c r="G2327" t="str">
        <x:v>450g</x:v>
      </x:c>
      <x:c r="H2327" t="str">
        <x:v>Vanilla Creme</x:v>
      </x:c>
      <x:c r="I2327" t="str"/>
      <x:c r="J2327" t="str">
        <x:v>Unit</x:v>
      </x:c>
      <x:c r="K2327" t="str">
        <x:v>Out of stock</x:v>
      </x:c>
      <x:c r="L2327" t="str">
        <x:v>2026-09-08</x:v>
      </x:c>
      <x:c r="M2327" t="str"/>
      <x:c r="N2327" t="str"/>
      <x:c r="O2327" t="str">
        <x:v>https://www.activesportstrade.co.uk/per4m-nutrition-trade</x:v>
      </x:c>
      <x:c r="P2327" t="str"/>
      <x:c r="Q2327" t="str"/>
      <x:c r="R2327" t="str"/>
      <x:c r="S2327" t="str">
        <x:v>Pending genuine supplier/brand image</x:v>
      </x:c>
      <x:c r="T2327" s="54" t="n">
        <x:v>4.49</x:v>
      </x:c>
      <x:c r="U2327" s="47" t="n">
        <x:v>0.2</x:v>
      </x:c>
      <x:c r="V2327" s="54" t="n">
        <x:f>IF(ISNUMBER(T2327),T2327*(1+U2327),"")</x:f>
        <x:v>5.388</x:v>
      </x:c>
      <x:c r="W2327" s="47" t="n">
        <x:v>0.3</x:v>
      </x:c>
      <x:c r="X2327" s="54" t="n">
        <x:f>IF(ISNUMBER(V2327),V2327/(1-W2327),"")</x:f>
        <x:v>7.6971428571428575</x:v>
      </x:c>
      <x:c r="Y2327" s="55" t="n">
        <x:f>IF(ISNUMBER(X2327),ROUNDUP(X2327,0),"")</x:f>
        <x:v>8</x:v>
      </x:c>
      <x:c r="Z2327" t="str">
        <x:v>Source match pending</x:v>
      </x:c>
      <x:c r="AA2327" t="str">
        <x:v>screencapture-www-activesportstrade-co-uk-per4m-nutrition-trade-2026-09-10-09_06_42.pdf / page-02</x:v>
      </x:c>
      <x:c r="AB2327" s="36" t="n">
        <x:f>IF(ISNUMBER(Y2327),ROUND(Y2327*0.9,2),"")</x:f>
        <x:v>7.2</x:v>
      </x:c>
      <x:c r="AC2327" s="36" t="n">
        <x:f>IF(ISNUMBER(AB2327),ROUND(AB2327-(AB2327*0.015+0.2)-V2327,2),"")</x:f>
        <x:v>1.5</x:v>
      </x:c>
      <x:c r="AD2327" s="36" t="n">
        <x:f>IF(ISNUMBER(Y2327),ROUND(Y2327*0.8,2),"")</x:f>
        <x:v>6.4</x:v>
      </x:c>
      <x:c r="AE2327" s="36" t="n">
        <x:f>IF(ISNUMBER(AD2327),ROUND(AD2327*0.015+0.2,2),"")</x:f>
        <x:v>0.3</x:v>
      </x:c>
      <x:c r="AF2327" s="36" t="n">
        <x:f>IF(ISNUMBER(AD2327),ROUND(AD2327-AE2327-V2327,2),"")</x:f>
        <x:v>0.71</x:v>
      </x:c>
      <x:c r="AG2327" t="str">
        <x:f>IF(NOT(ISNUMBER(T2327)),"PENDING",IF(AF2327&gt;0,"PASS","FAIL"))</x:f>
        <x:v>PASS</x:v>
      </x:c>
      <x:c r="AH2327" t="str">
        <x:f>IF(NOT(ISNUMBER(T2327)),"Needs supplier cost",IF(K2327&lt;&gt;"In stock","Supplier unavailable",IF(AG2327&lt;&gt;"PASS","BLOCK - GT loss risk","Commercially protected")))</x:f>
        <x:v>Supplier unavailable</x:v>
      </x:c>
      <x:c r="AI2327" t="str">
        <x:v>2026-09-10 Active Sports trade capture</x:v>
      </x:c>
      <x:c r="AJ2327" t="str">
        <x:v>Management-only economics. Stripe stress test uses 1.5% + £0.20 standard UK online-card fee; pallet/mix-and-match pricing ignored.</x:v>
      </x:c>
    </x:row>
    <x:row r="2328">
      <x:c r="A2328" t="str">
        <x:v>Active Sports Nutrition</x:v>
      </x:c>
      <x:c r="B2328" t="str">
        <x:v>Per4m Nutrition</x:v>
      </x:c>
      <x:c r="C2328" t="str">
        <x:v>Cream of Rice</x:v>
      </x:c>
      <x:c r="D2328" t="str">
        <x:v>Food &amp; Drinks</x:v>
      </x:c>
      <x:c r="E2328" t="str">
        <x:v>Carbohydrate Foods</x:v>
      </x:c>
      <x:c r="F2328" t="str"/>
      <x:c r="G2328" t="str">
        <x:v>450g</x:v>
      </x:c>
      <x:c r="H2328" t="str">
        <x:v>White Chocolate Hazelnut</x:v>
      </x:c>
      <x:c r="I2328" t="str"/>
      <x:c r="J2328" t="str">
        <x:v>Unit</x:v>
      </x:c>
      <x:c r="K2328" t="str">
        <x:v>Out of stock</x:v>
      </x:c>
      <x:c r="L2328" t="str">
        <x:v>2026-09-08</x:v>
      </x:c>
      <x:c r="M2328" t="str"/>
      <x:c r="N2328" t="str"/>
      <x:c r="O2328" t="str">
        <x:v>https://www.activesportstrade.co.uk/per4m-nutrition-trade</x:v>
      </x:c>
      <x:c r="P2328" t="str"/>
      <x:c r="Q2328" t="str"/>
      <x:c r="R2328" t="str"/>
      <x:c r="S2328" t="str">
        <x:v>Pending genuine supplier/brand image</x:v>
      </x:c>
      <x:c r="T2328" s="54" t="n">
        <x:v>4.49</x:v>
      </x:c>
      <x:c r="U2328" s="47" t="n">
        <x:v>0.2</x:v>
      </x:c>
      <x:c r="V2328" s="54" t="n">
        <x:f>IF(ISNUMBER(T2328),T2328*(1+U2328),"")</x:f>
        <x:v>5.388</x:v>
      </x:c>
      <x:c r="W2328" s="47" t="n">
        <x:v>0.3</x:v>
      </x:c>
      <x:c r="X2328" s="54" t="n">
        <x:f>IF(ISNUMBER(V2328),V2328/(1-W2328),"")</x:f>
        <x:v>7.6971428571428575</x:v>
      </x:c>
      <x:c r="Y2328" s="55" t="n">
        <x:f>IF(ISNUMBER(X2328),ROUNDUP(X2328,0),"")</x:f>
        <x:v>8</x:v>
      </x:c>
      <x:c r="Z2328" t="str">
        <x:v>Source match pending</x:v>
      </x:c>
      <x:c r="AA2328" t="str">
        <x:v>screencapture-www-activesportstrade-co-uk-per4m-nutrition-trade-2026-09-10-09_06_42.pdf / page-02</x:v>
      </x:c>
      <x:c r="AB2328" s="36" t="n">
        <x:f>IF(ISNUMBER(Y2328),ROUND(Y2328*0.9,2),"")</x:f>
        <x:v>7.2</x:v>
      </x:c>
      <x:c r="AC2328" s="36" t="n">
        <x:f>IF(ISNUMBER(AB2328),ROUND(AB2328-(AB2328*0.015+0.2)-V2328,2),"")</x:f>
        <x:v>1.5</x:v>
      </x:c>
      <x:c r="AD2328" s="36" t="n">
        <x:f>IF(ISNUMBER(Y2328),ROUND(Y2328*0.8,2),"")</x:f>
        <x:v>6.4</x:v>
      </x:c>
      <x:c r="AE2328" s="36" t="n">
        <x:f>IF(ISNUMBER(AD2328),ROUND(AD2328*0.015+0.2,2),"")</x:f>
        <x:v>0.3</x:v>
      </x:c>
      <x:c r="AF2328" s="36" t="n">
        <x:f>IF(ISNUMBER(AD2328),ROUND(AD2328-AE2328-V2328,2),"")</x:f>
        <x:v>0.71</x:v>
      </x:c>
      <x:c r="AG2328" t="str">
        <x:f>IF(NOT(ISNUMBER(T2328)),"PENDING",IF(AF2328&gt;0,"PASS","FAIL"))</x:f>
        <x:v>PASS</x:v>
      </x:c>
      <x:c r="AH2328" t="str">
        <x:f>IF(NOT(ISNUMBER(T2328)),"Needs supplier cost",IF(K2328&lt;&gt;"In stock","Supplier unavailable",IF(AG2328&lt;&gt;"PASS","BLOCK - GT loss risk","Commercially protected")))</x:f>
        <x:v>Supplier unavailable</x:v>
      </x:c>
      <x:c r="AI2328" t="str">
        <x:v>2026-09-10 Active Sports trade capture</x:v>
      </x:c>
      <x:c r="AJ2328" t="str">
        <x:v>Management-only economics. Stripe stress test uses 1.5% + £0.20 standard UK online-card fee; pallet/mix-and-match pricing ignored.</x:v>
      </x:c>
    </x:row>
    <x:row r="2329">
      <x:c r="A2329" t="str">
        <x:v>Active Sports Nutrition</x:v>
      </x:c>
      <x:c r="B2329" t="str">
        <x:v>Per4m Nutrition</x:v>
      </x:c>
      <x:c r="C2329" t="str">
        <x:v>Creatine 100% Pure Micronised</x:v>
      </x:c>
      <x:c r="D2329" t="str">
        <x:v>Supplements</x:v>
      </x:c>
      <x:c r="E2329" t="str">
        <x:v>Creatine Powders</x:v>
      </x:c>
      <x:c r="F2329" t="str"/>
      <x:c r="G2329" t="str">
        <x:v>400g</x:v>
      </x:c>
      <x:c r="H2329" t="str">
        <x:v>Unflavoured</x:v>
      </x:c>
      <x:c r="I2329" t="str"/>
      <x:c r="J2329" t="str">
        <x:v>Unit</x:v>
      </x:c>
      <x:c r="K2329" t="str">
        <x:v>In stock</x:v>
      </x:c>
      <x:c r="L2329" t="str">
        <x:v>2026-09-08</x:v>
      </x:c>
      <x:c r="M2329" t="str"/>
      <x:c r="N2329" t="str"/>
      <x:c r="O2329" t="str">
        <x:v>https://www.activesportstrade.co.uk/per4m-nutrition-trade</x:v>
      </x:c>
      <x:c r="P2329" t="str"/>
      <x:c r="Q2329" t="str"/>
      <x:c r="R2329" t="str"/>
      <x:c r="S2329" t="str">
        <x:v>Pending genuine supplier/brand image</x:v>
      </x:c>
      <x:c r="T2329" s="54" t="n">
        <x:v>9.99</x:v>
      </x:c>
      <x:c r="U2329" s="47" t="n">
        <x:v>0.2</x:v>
      </x:c>
      <x:c r="V2329" s="54" t="n">
        <x:f>IF(ISNUMBER(T2329),T2329*(1+U2329),"")</x:f>
        <x:v>11.988</x:v>
      </x:c>
      <x:c r="W2329" s="47" t="n">
        <x:v>0.3</x:v>
      </x:c>
      <x:c r="X2329" s="54" t="n">
        <x:f>IF(ISNUMBER(V2329),V2329/(1-W2329),"")</x:f>
        <x:v>17.125714285714285</x:v>
      </x:c>
      <x:c r="Y2329" s="55" t="n">
        <x:f>IF(ISNUMBER(X2329),ROUNDUP(X2329,0),"")</x:f>
        <x:v>18</x:v>
      </x:c>
      <x:c r="Z2329" t="str">
        <x:v>Source match pending</x:v>
      </x:c>
      <x:c r="AA2329" t="str">
        <x:v>screencapture-www-activesportstrade-co-uk-per4m-nutrition-trade-2026-09-10-09_06_42.pdf / page-03</x:v>
      </x:c>
      <x:c r="AB2329" s="36" t="n">
        <x:f>IF(ISNUMBER(Y2329),ROUND(Y2329*0.9,2),"")</x:f>
        <x:v>16.2</x:v>
      </x:c>
      <x:c r="AC2329" s="36" t="n">
        <x:f>IF(ISNUMBER(AB2329),ROUND(AB2329-(AB2329*0.015+0.2)-V2329,2),"")</x:f>
        <x:v>3.77</x:v>
      </x:c>
      <x:c r="AD2329" s="36" t="n">
        <x:f>IF(ISNUMBER(Y2329),ROUND(Y2329*0.8,2),"")</x:f>
        <x:v>14.4</x:v>
      </x:c>
      <x:c r="AE2329" s="36" t="n">
        <x:f>IF(ISNUMBER(AD2329),ROUND(AD2329*0.015+0.2,2),"")</x:f>
        <x:v>0.42</x:v>
      </x:c>
      <x:c r="AF2329" s="36" t="n">
        <x:f>IF(ISNUMBER(AD2329),ROUND(AD2329-AE2329-V2329,2),"")</x:f>
        <x:v>1.99</x:v>
      </x:c>
      <x:c r="AG2329" t="str">
        <x:f>IF(NOT(ISNUMBER(T2329)),"PENDING",IF(AF2329&gt;0,"PASS","FAIL"))</x:f>
        <x:v>PASS</x:v>
      </x:c>
      <x:c r="AH2329" t="str">
        <x:f>IF(NOT(ISNUMBER(T2329)),"Needs supplier cost",IF(K2329&lt;&gt;"In stock","Supplier unavailable",IF(AG2329&lt;&gt;"PASS","BLOCK - GT loss risk","Commercially protected")))</x:f>
        <x:v>Commercially protected</x:v>
      </x:c>
      <x:c r="AI2329" t="str">
        <x:v>2026-09-10 Active Sports trade capture</x:v>
      </x:c>
      <x:c r="AJ2329" t="str">
        <x:v>Management-only economics. Stripe stress test uses 1.5% + £0.20 standard UK online-card fee; pallet/mix-and-match pricing ignored.</x:v>
      </x:c>
    </x:row>
    <x:row r="2330">
      <x:c r="A2330" t="str">
        <x:v>Active Sports Nutrition</x:v>
      </x:c>
      <x:c r="B2330" t="str">
        <x:v>Per4m Nutrition</x:v>
      </x:c>
      <x:c r="C2330" t="str">
        <x:v>Creatine Capsules</x:v>
      </x:c>
      <x:c r="D2330" t="str">
        <x:v>Supplements</x:v>
      </x:c>
      <x:c r="E2330" t="str">
        <x:v>Creatine Capsules</x:v>
      </x:c>
      <x:c r="F2330" t="str"/>
      <x:c r="G2330" t="str">
        <x:v>90 caps</x:v>
      </x:c>
      <x:c r="H2330" t="str">
        <x:v>Default</x:v>
      </x:c>
      <x:c r="I2330" t="str"/>
      <x:c r="J2330" t="str">
        <x:v>Unit</x:v>
      </x:c>
      <x:c r="K2330" t="str">
        <x:v>In stock</x:v>
      </x:c>
      <x:c r="L2330" t="str">
        <x:v>2026-09-08</x:v>
      </x:c>
      <x:c r="M2330" t="str"/>
      <x:c r="N2330" t="str"/>
      <x:c r="O2330" t="str">
        <x:v>https://www.activesportstrade.co.uk/per4m-nutrition-trade</x:v>
      </x:c>
      <x:c r="P2330" t="str">
        <x:v>SPECIAL OFFER / BUY 5 GET 1 FREE wording stripped.</x:v>
      </x:c>
      <x:c r="Q2330" t="str"/>
      <x:c r="R2330" t="str"/>
      <x:c r="S2330" t="str">
        <x:v>Pending genuine supplier/brand image</x:v>
      </x:c>
      <x:c r="T2330" s="54" t="n">
        <x:v>6.49</x:v>
      </x:c>
      <x:c r="U2330" s="47" t="n">
        <x:v>0.2</x:v>
      </x:c>
      <x:c r="V2330" s="54" t="n">
        <x:f>IF(ISNUMBER(T2330),T2330*(1+U2330),"")</x:f>
        <x:v>7.788</x:v>
      </x:c>
      <x:c r="W2330" s="47" t="n">
        <x:v>0.3</x:v>
      </x:c>
      <x:c r="X2330" s="54" t="n">
        <x:f>IF(ISNUMBER(V2330),V2330/(1-W2330),"")</x:f>
        <x:v>11.125714285714286</x:v>
      </x:c>
      <x:c r="Y2330" s="55" t="n">
        <x:f>IF(ISNUMBER(X2330),ROUNDUP(X2330,0),"")</x:f>
        <x:v>12</x:v>
      </x:c>
      <x:c r="Z2330" t="str">
        <x:v>Source match pending</x:v>
      </x:c>
      <x:c r="AA2330" t="str">
        <x:v>screencapture-www-activesportstrade-co-uk-per4m-nutrition-trade-2026-09-10-09_06_42.pdf / page-03</x:v>
      </x:c>
      <x:c r="AB2330" s="36" t="n">
        <x:f>IF(ISNUMBER(Y2330),ROUND(Y2330*0.9,2),"")</x:f>
        <x:v>10.8</x:v>
      </x:c>
      <x:c r="AC2330" s="36" t="n">
        <x:f>IF(ISNUMBER(AB2330),ROUND(AB2330-(AB2330*0.015+0.2)-V2330,2),"")</x:f>
        <x:v>2.65</x:v>
      </x:c>
      <x:c r="AD2330" s="36" t="n">
        <x:f>IF(ISNUMBER(Y2330),ROUND(Y2330*0.8,2),"")</x:f>
        <x:v>9.6</x:v>
      </x:c>
      <x:c r="AE2330" s="36" t="n">
        <x:f>IF(ISNUMBER(AD2330),ROUND(AD2330*0.015+0.2,2),"")</x:f>
        <x:v>0.34</x:v>
      </x:c>
      <x:c r="AF2330" s="36" t="n">
        <x:f>IF(ISNUMBER(AD2330),ROUND(AD2330-AE2330-V2330,2),"")</x:f>
        <x:v>1.47</x:v>
      </x:c>
      <x:c r="AG2330" t="str">
        <x:f>IF(NOT(ISNUMBER(T2330)),"PENDING",IF(AF2330&gt;0,"PASS","FAIL"))</x:f>
        <x:v>PASS</x:v>
      </x:c>
      <x:c r="AH2330" t="str">
        <x:f>IF(NOT(ISNUMBER(T2330)),"Needs supplier cost",IF(K2330&lt;&gt;"In stock","Supplier unavailable",IF(AG2330&lt;&gt;"PASS","BLOCK - GT loss risk","Commercially protected")))</x:f>
        <x:v>Commercially protected</x:v>
      </x:c>
      <x:c r="AI2330" t="str">
        <x:v>2026-09-10 Active Sports trade capture</x:v>
      </x:c>
      <x:c r="AJ2330" t="str">
        <x:v>Management-only economics. Stripe stress test uses 1.5% + £0.20 standard UK online-card fee; pallet/mix-and-match pricing ignored.</x:v>
      </x:c>
    </x:row>
    <x:row r="2331">
      <x:c r="A2331" t="str">
        <x:v>Active Sports Nutrition</x:v>
      </x:c>
      <x:c r="B2331" t="str">
        <x:v>Per4m Nutrition</x:v>
      </x:c>
      <x:c r="C2331" t="str">
        <x:v>Creatine Gummies</x:v>
      </x:c>
      <x:c r="D2331" t="str">
        <x:v>Supplements</x:v>
      </x:c>
      <x:c r="E2331" t="str">
        <x:v>Creatine</x:v>
      </x:c>
      <x:c r="F2331" t="str"/>
      <x:c r="G2331" t="str">
        <x:v>25 servings</x:v>
      </x:c>
      <x:c r="H2331" t="str">
        <x:v>Lemon Sherbet</x:v>
      </x:c>
      <x:c r="I2331" t="str"/>
      <x:c r="J2331" t="str">
        <x:v>Unit</x:v>
      </x:c>
      <x:c r="K2331" t="str">
        <x:v>In stock</x:v>
      </x:c>
      <x:c r="L2331" t="str">
        <x:v>2026-09-08</x:v>
      </x:c>
      <x:c r="M2331" t="str"/>
      <x:c r="N2331" t="str"/>
      <x:c r="O2331" t="str">
        <x:v>https://www.activesportstrade.co.uk/per4m-nutrition-trade</x:v>
      </x:c>
      <x:c r="P2331" t="str"/>
      <x:c r="Q2331" t="str"/>
      <x:c r="R2331" t="str"/>
      <x:c r="S2331" t="str">
        <x:v>Pending genuine supplier/brand image</x:v>
      </x:c>
      <x:c r="T2331" s="54" t="n">
        <x:v>10</x:v>
      </x:c>
      <x:c r="U2331" s="47" t="n">
        <x:v>0.2</x:v>
      </x:c>
      <x:c r="V2331" s="54" t="n">
        <x:f>IF(ISNUMBER(T2331),T2331*(1+U2331),"")</x:f>
        <x:v>12</x:v>
      </x:c>
      <x:c r="W2331" s="47" t="n">
        <x:v>0.3</x:v>
      </x:c>
      <x:c r="X2331" s="54" t="n">
        <x:f>IF(ISNUMBER(V2331),V2331/(1-W2331),"")</x:f>
        <x:v>17.142857142857142</x:v>
      </x:c>
      <x:c r="Y2331" s="55" t="n">
        <x:f>IF(ISNUMBER(X2331),ROUNDUP(X2331,0),"")</x:f>
        <x:v>18</x:v>
      </x:c>
      <x:c r="Z2331" t="str">
        <x:v>Source match pending</x:v>
      </x:c>
      <x:c r="AA2331" t="str">
        <x:v>screencapture-www-activesportstrade-co-uk-per4m-nutrition-trade-2026-09-10-09_06_42.pdf / page-03</x:v>
      </x:c>
      <x:c r="AB2331" s="36" t="n">
        <x:f>IF(ISNUMBER(Y2331),ROUND(Y2331*0.9,2),"")</x:f>
        <x:v>16.2</x:v>
      </x:c>
      <x:c r="AC2331" s="36" t="n">
        <x:f>IF(ISNUMBER(AB2331),ROUND(AB2331-(AB2331*0.015+0.2)-V2331,2),"")</x:f>
        <x:v>3.76</x:v>
      </x:c>
      <x:c r="AD2331" s="36" t="n">
        <x:f>IF(ISNUMBER(Y2331),ROUND(Y2331*0.8,2),"")</x:f>
        <x:v>14.4</x:v>
      </x:c>
      <x:c r="AE2331" s="36" t="n">
        <x:f>IF(ISNUMBER(AD2331),ROUND(AD2331*0.015+0.2,2),"")</x:f>
        <x:v>0.42</x:v>
      </x:c>
      <x:c r="AF2331" s="36" t="n">
        <x:f>IF(ISNUMBER(AD2331),ROUND(AD2331-AE2331-V2331,2),"")</x:f>
        <x:v>1.98</x:v>
      </x:c>
      <x:c r="AG2331" t="str">
        <x:f>IF(NOT(ISNUMBER(T2331)),"PENDING",IF(AF2331&gt;0,"PASS","FAIL"))</x:f>
        <x:v>PASS</x:v>
      </x:c>
      <x:c r="AH2331" t="str">
        <x:f>IF(NOT(ISNUMBER(T2331)),"Needs supplier cost",IF(K2331&lt;&gt;"In stock","Supplier unavailable",IF(AG2331&lt;&gt;"PASS","BLOCK - GT loss risk","Commercially protected")))</x:f>
        <x:v>Commercially protected</x:v>
      </x:c>
      <x:c r="AI2331" t="str">
        <x:v>2026-09-10 Active Sports trade capture</x:v>
      </x:c>
      <x:c r="AJ2331" t="str">
        <x:v>Management-only economics. Stripe stress test uses 1.5% + £0.20 standard UK online-card fee; pallet/mix-and-match pricing ignored.</x:v>
      </x:c>
    </x:row>
    <x:row r="2332">
      <x:c r="A2332" t="str">
        <x:v>Active Sports Nutrition</x:v>
      </x:c>
      <x:c r="B2332" t="str">
        <x:v>Per4m Nutrition</x:v>
      </x:c>
      <x:c r="C2332" t="str">
        <x:v>Creatine Gummies</x:v>
      </x:c>
      <x:c r="D2332" t="str">
        <x:v>Supplements</x:v>
      </x:c>
      <x:c r="E2332" t="str">
        <x:v>Creatine</x:v>
      </x:c>
      <x:c r="F2332" t="str"/>
      <x:c r="G2332" t="str">
        <x:v>25 servings</x:v>
      </x:c>
      <x:c r="H2332" t="str">
        <x:v>Peach Sweets</x:v>
      </x:c>
      <x:c r="I2332" t="str"/>
      <x:c r="J2332" t="str">
        <x:v>Unit</x:v>
      </x:c>
      <x:c r="K2332" t="str">
        <x:v>In stock</x:v>
      </x:c>
      <x:c r="L2332" t="str">
        <x:v>2026-09-08</x:v>
      </x:c>
      <x:c r="M2332" t="str"/>
      <x:c r="N2332" t="str"/>
      <x:c r="O2332" t="str">
        <x:v>https://www.activesportstrade.co.uk/per4m-nutrition-trade</x:v>
      </x:c>
      <x:c r="P2332" t="str"/>
      <x:c r="Q2332" t="str"/>
      <x:c r="R2332" t="str"/>
      <x:c r="S2332" t="str">
        <x:v>Pending genuine supplier/brand image</x:v>
      </x:c>
      <x:c r="T2332" s="54" t="n">
        <x:v>10</x:v>
      </x:c>
      <x:c r="U2332" s="47" t="n">
        <x:v>0.2</x:v>
      </x:c>
      <x:c r="V2332" s="54" t="n">
        <x:f>IF(ISNUMBER(T2332),T2332*(1+U2332),"")</x:f>
        <x:v>12</x:v>
      </x:c>
      <x:c r="W2332" s="47" t="n">
        <x:v>0.3</x:v>
      </x:c>
      <x:c r="X2332" s="54" t="n">
        <x:f>IF(ISNUMBER(V2332),V2332/(1-W2332),"")</x:f>
        <x:v>17.142857142857142</x:v>
      </x:c>
      <x:c r="Y2332" s="55" t="n">
        <x:f>IF(ISNUMBER(X2332),ROUNDUP(X2332,0),"")</x:f>
        <x:v>18</x:v>
      </x:c>
      <x:c r="Z2332" t="str">
        <x:v>Source match pending</x:v>
      </x:c>
      <x:c r="AA2332" t="str">
        <x:v>screencapture-www-activesportstrade-co-uk-per4m-nutrition-trade-2026-09-10-09_06_42.pdf / page-03</x:v>
      </x:c>
      <x:c r="AB2332" s="36" t="n">
        <x:f>IF(ISNUMBER(Y2332),ROUND(Y2332*0.9,2),"")</x:f>
        <x:v>16.2</x:v>
      </x:c>
      <x:c r="AC2332" s="36" t="n">
        <x:f>IF(ISNUMBER(AB2332),ROUND(AB2332-(AB2332*0.015+0.2)-V2332,2),"")</x:f>
        <x:v>3.76</x:v>
      </x:c>
      <x:c r="AD2332" s="36" t="n">
        <x:f>IF(ISNUMBER(Y2332),ROUND(Y2332*0.8,2),"")</x:f>
        <x:v>14.4</x:v>
      </x:c>
      <x:c r="AE2332" s="36" t="n">
        <x:f>IF(ISNUMBER(AD2332),ROUND(AD2332*0.015+0.2,2),"")</x:f>
        <x:v>0.42</x:v>
      </x:c>
      <x:c r="AF2332" s="36" t="n">
        <x:f>IF(ISNUMBER(AD2332),ROUND(AD2332-AE2332-V2332,2),"")</x:f>
        <x:v>1.98</x:v>
      </x:c>
      <x:c r="AG2332" t="str">
        <x:f>IF(NOT(ISNUMBER(T2332)),"PENDING",IF(AF2332&gt;0,"PASS","FAIL"))</x:f>
        <x:v>PASS</x:v>
      </x:c>
      <x:c r="AH2332" t="str">
        <x:f>IF(NOT(ISNUMBER(T2332)),"Needs supplier cost",IF(K2332&lt;&gt;"In stock","Supplier unavailable",IF(AG2332&lt;&gt;"PASS","BLOCK - GT loss risk","Commercially protected")))</x:f>
        <x:v>Commercially protected</x:v>
      </x:c>
      <x:c r="AI2332" t="str">
        <x:v>2026-09-10 Active Sports trade capture</x:v>
      </x:c>
      <x:c r="AJ2332" t="str">
        <x:v>Management-only economics. Stripe stress test uses 1.5% + £0.20 standard UK online-card fee; pallet/mix-and-match pricing ignored.</x:v>
      </x:c>
    </x:row>
    <x:row r="2333">
      <x:c r="A2333" t="str">
        <x:v>Active Sports Nutrition</x:v>
      </x:c>
      <x:c r="B2333" t="str">
        <x:v>Per4m Nutrition</x:v>
      </x:c>
      <x:c r="C2333" t="str">
        <x:v>Creatine Gummies</x:v>
      </x:c>
      <x:c r="D2333" t="str">
        <x:v>Supplements</x:v>
      </x:c>
      <x:c r="E2333" t="str">
        <x:v>Creatine</x:v>
      </x:c>
      <x:c r="F2333" t="str"/>
      <x:c r="G2333" t="str">
        <x:v>25 servings</x:v>
      </x:c>
      <x:c r="H2333" t="str">
        <x:v>Sour Apple</x:v>
      </x:c>
      <x:c r="I2333" t="str"/>
      <x:c r="J2333" t="str">
        <x:v>Unit</x:v>
      </x:c>
      <x:c r="K2333" t="str">
        <x:v>In stock</x:v>
      </x:c>
      <x:c r="L2333" t="str">
        <x:v>2026-09-08</x:v>
      </x:c>
      <x:c r="M2333" t="str"/>
      <x:c r="N2333" t="str"/>
      <x:c r="O2333" t="str">
        <x:v>https://www.activesportstrade.co.uk/per4m-nutrition-trade</x:v>
      </x:c>
      <x:c r="P2333" t="str"/>
      <x:c r="Q2333" t="str"/>
      <x:c r="R2333" t="str"/>
      <x:c r="S2333" t="str">
        <x:v>Pending genuine supplier/brand image</x:v>
      </x:c>
      <x:c r="T2333" s="54" t="n">
        <x:v>10</x:v>
      </x:c>
      <x:c r="U2333" s="47" t="n">
        <x:v>0.2</x:v>
      </x:c>
      <x:c r="V2333" s="54" t="n">
        <x:f>IF(ISNUMBER(T2333),T2333*(1+U2333),"")</x:f>
        <x:v>12</x:v>
      </x:c>
      <x:c r="W2333" s="47" t="n">
        <x:v>0.3</x:v>
      </x:c>
      <x:c r="X2333" s="54" t="n">
        <x:f>IF(ISNUMBER(V2333),V2333/(1-W2333),"")</x:f>
        <x:v>17.142857142857142</x:v>
      </x:c>
      <x:c r="Y2333" s="55" t="n">
        <x:f>IF(ISNUMBER(X2333),ROUNDUP(X2333,0),"")</x:f>
        <x:v>18</x:v>
      </x:c>
      <x:c r="Z2333" t="str">
        <x:v>Source match pending</x:v>
      </x:c>
      <x:c r="AA2333" t="str">
        <x:v>screencapture-www-activesportstrade-co-uk-per4m-nutrition-trade-2026-09-10-09_06_42.pdf / page-03</x:v>
      </x:c>
      <x:c r="AB2333" s="36" t="n">
        <x:f>IF(ISNUMBER(Y2333),ROUND(Y2333*0.9,2),"")</x:f>
        <x:v>16.2</x:v>
      </x:c>
      <x:c r="AC2333" s="36" t="n">
        <x:f>IF(ISNUMBER(AB2333),ROUND(AB2333-(AB2333*0.015+0.2)-V2333,2),"")</x:f>
        <x:v>3.76</x:v>
      </x:c>
      <x:c r="AD2333" s="36" t="n">
        <x:f>IF(ISNUMBER(Y2333),ROUND(Y2333*0.8,2),"")</x:f>
        <x:v>14.4</x:v>
      </x:c>
      <x:c r="AE2333" s="36" t="n">
        <x:f>IF(ISNUMBER(AD2333),ROUND(AD2333*0.015+0.2,2),"")</x:f>
        <x:v>0.42</x:v>
      </x:c>
      <x:c r="AF2333" s="36" t="n">
        <x:f>IF(ISNUMBER(AD2333),ROUND(AD2333-AE2333-V2333,2),"")</x:f>
        <x:v>1.98</x:v>
      </x:c>
      <x:c r="AG2333" t="str">
        <x:f>IF(NOT(ISNUMBER(T2333)),"PENDING",IF(AF2333&gt;0,"PASS","FAIL"))</x:f>
        <x:v>PASS</x:v>
      </x:c>
      <x:c r="AH2333" t="str">
        <x:f>IF(NOT(ISNUMBER(T2333)),"Needs supplier cost",IF(K2333&lt;&gt;"In stock","Supplier unavailable",IF(AG2333&lt;&gt;"PASS","BLOCK - GT loss risk","Commercially protected")))</x:f>
        <x:v>Commercially protected</x:v>
      </x:c>
      <x:c r="AI2333" t="str">
        <x:v>2026-09-10 Active Sports trade capture</x:v>
      </x:c>
      <x:c r="AJ2333" t="str">
        <x:v>Management-only economics. Stripe stress test uses 1.5% + £0.20 standard UK online-card fee; pallet/mix-and-match pricing ignored.</x:v>
      </x:c>
    </x:row>
    <x:row r="2334">
      <x:c r="A2334" t="str">
        <x:v>Active Sports Nutrition</x:v>
      </x:c>
      <x:c r="B2334" t="str">
        <x:v>Per4m Nutrition</x:v>
      </x:c>
      <x:c r="C2334" t="str">
        <x:v>Energy Pre Workout</x:v>
      </x:c>
      <x:c r="D2334" t="str">
        <x:v>Pre Workouts</x:v>
      </x:c>
      <x:c r="E2334" t="str">
        <x:v>Pre Workout</x:v>
      </x:c>
      <x:c r="F2334" t="str"/>
      <x:c r="G2334" t="str">
        <x:v>60 servings</x:v>
      </x:c>
      <x:c r="H2334" t="str">
        <x:v>Blackberry</x:v>
      </x:c>
      <x:c r="I2334" t="str"/>
      <x:c r="J2334" t="str">
        <x:v>Unit</x:v>
      </x:c>
      <x:c r="K2334" t="str">
        <x:v>In stock</x:v>
      </x:c>
      <x:c r="L2334" t="str">
        <x:v>2026-09-08</x:v>
      </x:c>
      <x:c r="M2334" t="str"/>
      <x:c r="N2334" t="str"/>
      <x:c r="O2334" t="str">
        <x:v>https://www.activesportstrade.co.uk/per4m-nutrition-trade</x:v>
      </x:c>
      <x:c r="P2334" t="str"/>
      <x:c r="Q2334" t="str"/>
      <x:c r="R2334" t="str"/>
      <x:c r="S2334" t="str">
        <x:v>Pending genuine supplier/brand image</x:v>
      </x:c>
      <x:c r="T2334" s="54" t="n">
        <x:v>11.99</x:v>
      </x:c>
      <x:c r="U2334" s="47" t="n">
        <x:v>0.2</x:v>
      </x:c>
      <x:c r="V2334" s="54" t="n">
        <x:f>IF(ISNUMBER(T2334),T2334*(1+U2334),"")</x:f>
        <x:v>14.388</x:v>
      </x:c>
      <x:c r="W2334" s="47" t="n">
        <x:v>0.3</x:v>
      </x:c>
      <x:c r="X2334" s="54" t="n">
        <x:f>IF(ISNUMBER(V2334),V2334/(1-W2334),"")</x:f>
        <x:v>20.554285714285715</x:v>
      </x:c>
      <x:c r="Y2334" s="55" t="n">
        <x:f>IF(ISNUMBER(X2334),ROUNDUP(X2334,0),"")</x:f>
        <x:v>21</x:v>
      </x:c>
      <x:c r="Z2334" t="str">
        <x:v>Source match pending</x:v>
      </x:c>
      <x:c r="AA2334" t="str">
        <x:v>screencapture-www-activesportstrade-co-uk-per4m-nutrition-trade-2026-09-10-09_06_42.pdf / page-04</x:v>
      </x:c>
      <x:c r="AB2334" s="36" t="n">
        <x:f>IF(ISNUMBER(Y2334),ROUND(Y2334*0.9,2),"")</x:f>
        <x:v>18.9</x:v>
      </x:c>
      <x:c r="AC2334" s="36" t="n">
        <x:f>IF(ISNUMBER(AB2334),ROUND(AB2334-(AB2334*0.015+0.2)-V2334,2),"")</x:f>
        <x:v>4.03</x:v>
      </x:c>
      <x:c r="AD2334" s="36" t="n">
        <x:f>IF(ISNUMBER(Y2334),ROUND(Y2334*0.8,2),"")</x:f>
        <x:v>16.8</x:v>
      </x:c>
      <x:c r="AE2334" s="36" t="n">
        <x:f>IF(ISNUMBER(AD2334),ROUND(AD2334*0.015+0.2,2),"")</x:f>
        <x:v>0.45</x:v>
      </x:c>
      <x:c r="AF2334" s="36" t="n">
        <x:f>IF(ISNUMBER(AD2334),ROUND(AD2334-AE2334-V2334,2),"")</x:f>
        <x:v>1.96</x:v>
      </x:c>
      <x:c r="AG2334" t="str">
        <x:f>IF(NOT(ISNUMBER(T2334)),"PENDING",IF(AF2334&gt;0,"PASS","FAIL"))</x:f>
        <x:v>PASS</x:v>
      </x:c>
      <x:c r="AH2334" t="str">
        <x:f>IF(NOT(ISNUMBER(T2334)),"Needs supplier cost",IF(K2334&lt;&gt;"In stock","Supplier unavailable",IF(AG2334&lt;&gt;"PASS","BLOCK - GT loss risk","Commercially protected")))</x:f>
        <x:v>Commercially protected</x:v>
      </x:c>
      <x:c r="AI2334" t="str">
        <x:v>2026-09-10 Active Sports trade capture</x:v>
      </x:c>
      <x:c r="AJ2334" t="str">
        <x:v>Management-only economics. Stripe stress test uses 1.5% + £0.20 standard UK online-card fee; pallet/mix-and-match pricing ignored.</x:v>
      </x:c>
    </x:row>
    <x:row r="2335">
      <x:c r="A2335" t="str">
        <x:v>Active Sports Nutrition</x:v>
      </x:c>
      <x:c r="B2335" t="str">
        <x:v>Per4m Nutrition</x:v>
      </x:c>
      <x:c r="C2335" t="str">
        <x:v>Energy Pre Workout</x:v>
      </x:c>
      <x:c r="D2335" t="str">
        <x:v>Pre Workouts</x:v>
      </x:c>
      <x:c r="E2335" t="str">
        <x:v>Pre Workout</x:v>
      </x:c>
      <x:c r="F2335" t="str"/>
      <x:c r="G2335" t="str">
        <x:v>60 servings</x:v>
      </x:c>
      <x:c r="H2335" t="str">
        <x:v>Blue Raspberry</x:v>
      </x:c>
      <x:c r="I2335" t="str"/>
      <x:c r="J2335" t="str">
        <x:v>Unit</x:v>
      </x:c>
      <x:c r="K2335" t="str">
        <x:v>In stock</x:v>
      </x:c>
      <x:c r="L2335" t="str">
        <x:v>2026-09-08</x:v>
      </x:c>
      <x:c r="M2335" t="str"/>
      <x:c r="N2335" t="str"/>
      <x:c r="O2335" t="str">
        <x:v>https://www.activesportstrade.co.uk/per4m-nutrition-trade</x:v>
      </x:c>
      <x:c r="P2335" t="str"/>
      <x:c r="Q2335" t="str"/>
      <x:c r="R2335" t="str"/>
      <x:c r="S2335" t="str">
        <x:v>Pending genuine supplier/brand image</x:v>
      </x:c>
      <x:c r="T2335" s="54" t="n">
        <x:v>11.99</x:v>
      </x:c>
      <x:c r="U2335" s="47" t="n">
        <x:v>0.2</x:v>
      </x:c>
      <x:c r="V2335" s="54" t="n">
        <x:f>IF(ISNUMBER(T2335),T2335*(1+U2335),"")</x:f>
        <x:v>14.388</x:v>
      </x:c>
      <x:c r="W2335" s="47" t="n">
        <x:v>0.3</x:v>
      </x:c>
      <x:c r="X2335" s="54" t="n">
        <x:f>IF(ISNUMBER(V2335),V2335/(1-W2335),"")</x:f>
        <x:v>20.554285714285715</x:v>
      </x:c>
      <x:c r="Y2335" s="55" t="n">
        <x:f>IF(ISNUMBER(X2335),ROUNDUP(X2335,0),"")</x:f>
        <x:v>21</x:v>
      </x:c>
      <x:c r="Z2335" t="str">
        <x:v>Source match pending</x:v>
      </x:c>
      <x:c r="AA2335" t="str">
        <x:v>screencapture-www-activesportstrade-co-uk-per4m-nutrition-trade-2026-09-10-09_06_42.pdf / page-04</x:v>
      </x:c>
      <x:c r="AB2335" s="36" t="n">
        <x:f>IF(ISNUMBER(Y2335),ROUND(Y2335*0.9,2),"")</x:f>
        <x:v>18.9</x:v>
      </x:c>
      <x:c r="AC2335" s="36" t="n">
        <x:f>IF(ISNUMBER(AB2335),ROUND(AB2335-(AB2335*0.015+0.2)-V2335,2),"")</x:f>
        <x:v>4.03</x:v>
      </x:c>
      <x:c r="AD2335" s="36" t="n">
        <x:f>IF(ISNUMBER(Y2335),ROUND(Y2335*0.8,2),"")</x:f>
        <x:v>16.8</x:v>
      </x:c>
      <x:c r="AE2335" s="36" t="n">
        <x:f>IF(ISNUMBER(AD2335),ROUND(AD2335*0.015+0.2,2),"")</x:f>
        <x:v>0.45</x:v>
      </x:c>
      <x:c r="AF2335" s="36" t="n">
        <x:f>IF(ISNUMBER(AD2335),ROUND(AD2335-AE2335-V2335,2),"")</x:f>
        <x:v>1.96</x:v>
      </x:c>
      <x:c r="AG2335" t="str">
        <x:f>IF(NOT(ISNUMBER(T2335)),"PENDING",IF(AF2335&gt;0,"PASS","FAIL"))</x:f>
        <x:v>PASS</x:v>
      </x:c>
      <x:c r="AH2335" t="str">
        <x:f>IF(NOT(ISNUMBER(T2335)),"Needs supplier cost",IF(K2335&lt;&gt;"In stock","Supplier unavailable",IF(AG2335&lt;&gt;"PASS","BLOCK - GT loss risk","Commercially protected")))</x:f>
        <x:v>Commercially protected</x:v>
      </x:c>
      <x:c r="AI2335" t="str">
        <x:v>2026-09-10 Active Sports trade capture</x:v>
      </x:c>
      <x:c r="AJ2335" t="str">
        <x:v>Management-only economics. Stripe stress test uses 1.5% + £0.20 standard UK online-card fee; pallet/mix-and-match pricing ignored.</x:v>
      </x:c>
    </x:row>
    <x:row r="2336">
      <x:c r="A2336" t="str">
        <x:v>Active Sports Nutrition</x:v>
      </x:c>
      <x:c r="B2336" t="str">
        <x:v>Per4m Nutrition</x:v>
      </x:c>
      <x:c r="C2336" t="str">
        <x:v>Energy Pre Workout</x:v>
      </x:c>
      <x:c r="D2336" t="str">
        <x:v>Pre Workouts</x:v>
      </x:c>
      <x:c r="E2336" t="str">
        <x:v>Pre Workout</x:v>
      </x:c>
      <x:c r="F2336" t="str"/>
      <x:c r="G2336" t="str">
        <x:v>60 servings</x:v>
      </x:c>
      <x:c r="H2336" t="str">
        <x:v>Cherry Fizz</x:v>
      </x:c>
      <x:c r="I2336" t="str"/>
      <x:c r="J2336" t="str">
        <x:v>Unit</x:v>
      </x:c>
      <x:c r="K2336" t="str">
        <x:v>In stock</x:v>
      </x:c>
      <x:c r="L2336" t="str">
        <x:v>2026-09-08</x:v>
      </x:c>
      <x:c r="M2336" t="str"/>
      <x:c r="N2336" t="str"/>
      <x:c r="O2336" t="str">
        <x:v>https://www.activesportstrade.co.uk/per4m-nutrition-trade</x:v>
      </x:c>
      <x:c r="P2336" t="str"/>
      <x:c r="Q2336" t="str"/>
      <x:c r="R2336" t="str"/>
      <x:c r="S2336" t="str">
        <x:v>Pending genuine supplier/brand image</x:v>
      </x:c>
      <x:c r="T2336" s="54" t="n">
        <x:v>11.99</x:v>
      </x:c>
      <x:c r="U2336" s="47" t="n">
        <x:v>0.2</x:v>
      </x:c>
      <x:c r="V2336" s="54" t="n">
        <x:f>IF(ISNUMBER(T2336),T2336*(1+U2336),"")</x:f>
        <x:v>14.388</x:v>
      </x:c>
      <x:c r="W2336" s="47" t="n">
        <x:v>0.3</x:v>
      </x:c>
      <x:c r="X2336" s="54" t="n">
        <x:f>IF(ISNUMBER(V2336),V2336/(1-W2336),"")</x:f>
        <x:v>20.554285714285715</x:v>
      </x:c>
      <x:c r="Y2336" s="55" t="n">
        <x:f>IF(ISNUMBER(X2336),ROUNDUP(X2336,0),"")</x:f>
        <x:v>21</x:v>
      </x:c>
      <x:c r="Z2336" t="str">
        <x:v>Source match pending</x:v>
      </x:c>
      <x:c r="AA2336" t="str">
        <x:v>screencapture-www-activesportstrade-co-uk-per4m-nutrition-trade-2026-09-10-09_06_42.pdf / page-04</x:v>
      </x:c>
      <x:c r="AB2336" s="36" t="n">
        <x:f>IF(ISNUMBER(Y2336),ROUND(Y2336*0.9,2),"")</x:f>
        <x:v>18.9</x:v>
      </x:c>
      <x:c r="AC2336" s="36" t="n">
        <x:f>IF(ISNUMBER(AB2336),ROUND(AB2336-(AB2336*0.015+0.2)-V2336,2),"")</x:f>
        <x:v>4.03</x:v>
      </x:c>
      <x:c r="AD2336" s="36" t="n">
        <x:f>IF(ISNUMBER(Y2336),ROUND(Y2336*0.8,2),"")</x:f>
        <x:v>16.8</x:v>
      </x:c>
      <x:c r="AE2336" s="36" t="n">
        <x:f>IF(ISNUMBER(AD2336),ROUND(AD2336*0.015+0.2,2),"")</x:f>
        <x:v>0.45</x:v>
      </x:c>
      <x:c r="AF2336" s="36" t="n">
        <x:f>IF(ISNUMBER(AD2336),ROUND(AD2336-AE2336-V2336,2),"")</x:f>
        <x:v>1.96</x:v>
      </x:c>
      <x:c r="AG2336" t="str">
        <x:f>IF(NOT(ISNUMBER(T2336)),"PENDING",IF(AF2336&gt;0,"PASS","FAIL"))</x:f>
        <x:v>PASS</x:v>
      </x:c>
      <x:c r="AH2336" t="str">
        <x:f>IF(NOT(ISNUMBER(T2336)),"Needs supplier cost",IF(K2336&lt;&gt;"In stock","Supplier unavailable",IF(AG2336&lt;&gt;"PASS","BLOCK - GT loss risk","Commercially protected")))</x:f>
        <x:v>Commercially protected</x:v>
      </x:c>
      <x:c r="AI2336" t="str">
        <x:v>2026-09-10 Active Sports trade capture</x:v>
      </x:c>
      <x:c r="AJ2336" t="str">
        <x:v>Management-only economics. Stripe stress test uses 1.5% + £0.20 standard UK online-card fee; pallet/mix-and-match pricing ignored.</x:v>
      </x:c>
    </x:row>
    <x:row r="2337">
      <x:c r="A2337" t="str">
        <x:v>Active Sports Nutrition</x:v>
      </x:c>
      <x:c r="B2337" t="str">
        <x:v>Per4m Nutrition</x:v>
      </x:c>
      <x:c r="C2337" t="str">
        <x:v>Energy Pre Workout</x:v>
      </x:c>
      <x:c r="D2337" t="str">
        <x:v>Pre Workouts</x:v>
      </x:c>
      <x:c r="E2337" t="str">
        <x:v>Pre Workout</x:v>
      </x:c>
      <x:c r="F2337" t="str"/>
      <x:c r="G2337" t="str">
        <x:v>60 servings</x:v>
      </x:c>
      <x:c r="H2337" t="str">
        <x:v>Cola Bottles</x:v>
      </x:c>
      <x:c r="I2337" t="str"/>
      <x:c r="J2337" t="str">
        <x:v>Unit</x:v>
      </x:c>
      <x:c r="K2337" t="str">
        <x:v>In stock</x:v>
      </x:c>
      <x:c r="L2337" t="str">
        <x:v>2026-09-08</x:v>
      </x:c>
      <x:c r="M2337" t="str"/>
      <x:c r="N2337" t="str"/>
      <x:c r="O2337" t="str">
        <x:v>https://www.activesportstrade.co.uk/per4m-nutrition-trade</x:v>
      </x:c>
      <x:c r="P2337" t="str"/>
      <x:c r="Q2337" t="str"/>
      <x:c r="R2337" t="str"/>
      <x:c r="S2337" t="str">
        <x:v>Pending genuine supplier/brand image</x:v>
      </x:c>
      <x:c r="T2337" s="54" t="n">
        <x:v>11.99</x:v>
      </x:c>
      <x:c r="U2337" s="47" t="n">
        <x:v>0.2</x:v>
      </x:c>
      <x:c r="V2337" s="54" t="n">
        <x:f>IF(ISNUMBER(T2337),T2337*(1+U2337),"")</x:f>
        <x:v>14.388</x:v>
      </x:c>
      <x:c r="W2337" s="47" t="n">
        <x:v>0.3</x:v>
      </x:c>
      <x:c r="X2337" s="54" t="n">
        <x:f>IF(ISNUMBER(V2337),V2337/(1-W2337),"")</x:f>
        <x:v>20.554285714285715</x:v>
      </x:c>
      <x:c r="Y2337" s="55" t="n">
        <x:f>IF(ISNUMBER(X2337),ROUNDUP(X2337,0),"")</x:f>
        <x:v>21</x:v>
      </x:c>
      <x:c r="Z2337" t="str">
        <x:v>Source match pending</x:v>
      </x:c>
      <x:c r="AA2337" t="str">
        <x:v>screencapture-www-activesportstrade-co-uk-per4m-nutrition-trade-2026-09-10-09_06_42.pdf / page-04</x:v>
      </x:c>
      <x:c r="AB2337" s="36" t="n">
        <x:f>IF(ISNUMBER(Y2337),ROUND(Y2337*0.9,2),"")</x:f>
        <x:v>18.9</x:v>
      </x:c>
      <x:c r="AC2337" s="36" t="n">
        <x:f>IF(ISNUMBER(AB2337),ROUND(AB2337-(AB2337*0.015+0.2)-V2337,2),"")</x:f>
        <x:v>4.03</x:v>
      </x:c>
      <x:c r="AD2337" s="36" t="n">
        <x:f>IF(ISNUMBER(Y2337),ROUND(Y2337*0.8,2),"")</x:f>
        <x:v>16.8</x:v>
      </x:c>
      <x:c r="AE2337" s="36" t="n">
        <x:f>IF(ISNUMBER(AD2337),ROUND(AD2337*0.015+0.2,2),"")</x:f>
        <x:v>0.45</x:v>
      </x:c>
      <x:c r="AF2337" s="36" t="n">
        <x:f>IF(ISNUMBER(AD2337),ROUND(AD2337-AE2337-V2337,2),"")</x:f>
        <x:v>1.96</x:v>
      </x:c>
      <x:c r="AG2337" t="str">
        <x:f>IF(NOT(ISNUMBER(T2337)),"PENDING",IF(AF2337&gt;0,"PASS","FAIL"))</x:f>
        <x:v>PASS</x:v>
      </x:c>
      <x:c r="AH2337" t="str">
        <x:f>IF(NOT(ISNUMBER(T2337)),"Needs supplier cost",IF(K2337&lt;&gt;"In stock","Supplier unavailable",IF(AG2337&lt;&gt;"PASS","BLOCK - GT loss risk","Commercially protected")))</x:f>
        <x:v>Commercially protected</x:v>
      </x:c>
      <x:c r="AI2337" t="str">
        <x:v>2026-09-10 Active Sports trade capture</x:v>
      </x:c>
      <x:c r="AJ2337" t="str">
        <x:v>Management-only economics. Stripe stress test uses 1.5% + £0.20 standard UK online-card fee; pallet/mix-and-match pricing ignored.</x:v>
      </x:c>
    </x:row>
    <x:row r="2338">
      <x:c r="A2338" t="str">
        <x:v>Active Sports Nutrition</x:v>
      </x:c>
      <x:c r="B2338" t="str">
        <x:v>Per4m Nutrition</x:v>
      </x:c>
      <x:c r="C2338" t="str">
        <x:v>Energy Pre Workout</x:v>
      </x:c>
      <x:c r="D2338" t="str">
        <x:v>Pre Workouts</x:v>
      </x:c>
      <x:c r="E2338" t="str">
        <x:v>Pre Workout</x:v>
      </x:c>
      <x:c r="F2338" t="str"/>
      <x:c r="G2338" t="str">
        <x:v>60 servings</x:v>
      </x:c>
      <x:c r="H2338" t="str">
        <x:v>Fizzy Bubblegum Bottles</x:v>
      </x:c>
      <x:c r="I2338" t="str"/>
      <x:c r="J2338" t="str">
        <x:v>Unit</x:v>
      </x:c>
      <x:c r="K2338" t="str">
        <x:v>In stock</x:v>
      </x:c>
      <x:c r="L2338" t="str">
        <x:v>2026-09-08</x:v>
      </x:c>
      <x:c r="M2338" t="str"/>
      <x:c r="N2338" t="str"/>
      <x:c r="O2338" t="str">
        <x:v>https://www.activesportstrade.co.uk/per4m-nutrition-trade</x:v>
      </x:c>
      <x:c r="P2338" t="str"/>
      <x:c r="Q2338" t="str"/>
      <x:c r="R2338" t="str"/>
      <x:c r="S2338" t="str">
        <x:v>Pending genuine supplier/brand image</x:v>
      </x:c>
      <x:c r="T2338" s="54" t="n">
        <x:v>11.99</x:v>
      </x:c>
      <x:c r="U2338" s="47" t="n">
        <x:v>0.2</x:v>
      </x:c>
      <x:c r="V2338" s="54" t="n">
        <x:f>IF(ISNUMBER(T2338),T2338*(1+U2338),"")</x:f>
        <x:v>14.388</x:v>
      </x:c>
      <x:c r="W2338" s="47" t="n">
        <x:v>0.3</x:v>
      </x:c>
      <x:c r="X2338" s="54" t="n">
        <x:f>IF(ISNUMBER(V2338),V2338/(1-W2338),"")</x:f>
        <x:v>20.554285714285715</x:v>
      </x:c>
      <x:c r="Y2338" s="55" t="n">
        <x:f>IF(ISNUMBER(X2338),ROUNDUP(X2338,0),"")</x:f>
        <x:v>21</x:v>
      </x:c>
      <x:c r="Z2338" t="str">
        <x:v>Source match pending</x:v>
      </x:c>
      <x:c r="AA2338" t="str">
        <x:v>screencapture-www-activesportstrade-co-uk-per4m-nutrition-trade-2026-09-10-09_06_42.pdf / page-04</x:v>
      </x:c>
      <x:c r="AB2338" s="36" t="n">
        <x:f>IF(ISNUMBER(Y2338),ROUND(Y2338*0.9,2),"")</x:f>
        <x:v>18.9</x:v>
      </x:c>
      <x:c r="AC2338" s="36" t="n">
        <x:f>IF(ISNUMBER(AB2338),ROUND(AB2338-(AB2338*0.015+0.2)-V2338,2),"")</x:f>
        <x:v>4.03</x:v>
      </x:c>
      <x:c r="AD2338" s="36" t="n">
        <x:f>IF(ISNUMBER(Y2338),ROUND(Y2338*0.8,2),"")</x:f>
        <x:v>16.8</x:v>
      </x:c>
      <x:c r="AE2338" s="36" t="n">
        <x:f>IF(ISNUMBER(AD2338),ROUND(AD2338*0.015+0.2,2),"")</x:f>
        <x:v>0.45</x:v>
      </x:c>
      <x:c r="AF2338" s="36" t="n">
        <x:f>IF(ISNUMBER(AD2338),ROUND(AD2338-AE2338-V2338,2),"")</x:f>
        <x:v>1.96</x:v>
      </x:c>
      <x:c r="AG2338" t="str">
        <x:f>IF(NOT(ISNUMBER(T2338)),"PENDING",IF(AF2338&gt;0,"PASS","FAIL"))</x:f>
        <x:v>PASS</x:v>
      </x:c>
      <x:c r="AH2338" t="str">
        <x:f>IF(NOT(ISNUMBER(T2338)),"Needs supplier cost",IF(K2338&lt;&gt;"In stock","Supplier unavailable",IF(AG2338&lt;&gt;"PASS","BLOCK - GT loss risk","Commercially protected")))</x:f>
        <x:v>Commercially protected</x:v>
      </x:c>
      <x:c r="AI2338" t="str">
        <x:v>2026-09-10 Active Sports trade capture</x:v>
      </x:c>
      <x:c r="AJ2338" t="str">
        <x:v>Management-only economics. Stripe stress test uses 1.5% + £0.20 standard UK online-card fee; pallet/mix-and-match pricing ignored.</x:v>
      </x:c>
    </x:row>
    <x:row r="2339">
      <x:c r="A2339" t="str">
        <x:v>Active Sports Nutrition</x:v>
      </x:c>
      <x:c r="B2339" t="str">
        <x:v>Per4m Nutrition</x:v>
      </x:c>
      <x:c r="C2339" t="str">
        <x:v>Energy Pre Workout</x:v>
      </x:c>
      <x:c r="D2339" t="str">
        <x:v>Pre Workouts</x:v>
      </x:c>
      <x:c r="E2339" t="str">
        <x:v>Pre Workout</x:v>
      </x:c>
      <x:c r="F2339" t="str"/>
      <x:c r="G2339" t="str">
        <x:v>60 servings</x:v>
      </x:c>
      <x:c r="H2339" t="str">
        <x:v>Gummy Worms</x:v>
      </x:c>
      <x:c r="I2339" t="str"/>
      <x:c r="J2339" t="str">
        <x:v>Unit</x:v>
      </x:c>
      <x:c r="K2339" t="str">
        <x:v>In stock</x:v>
      </x:c>
      <x:c r="L2339" t="str">
        <x:v>2026-09-08</x:v>
      </x:c>
      <x:c r="M2339" t="str"/>
      <x:c r="N2339" t="str"/>
      <x:c r="O2339" t="str">
        <x:v>https://www.activesportstrade.co.uk/per4m-nutrition-trade</x:v>
      </x:c>
      <x:c r="P2339" t="str"/>
      <x:c r="Q2339" t="str"/>
      <x:c r="R2339" t="str"/>
      <x:c r="S2339" t="str">
        <x:v>Pending genuine supplier/brand image</x:v>
      </x:c>
      <x:c r="T2339" s="54" t="n">
        <x:v>11.99</x:v>
      </x:c>
      <x:c r="U2339" s="47" t="n">
        <x:v>0.2</x:v>
      </x:c>
      <x:c r="V2339" s="54" t="n">
        <x:f>IF(ISNUMBER(T2339),T2339*(1+U2339),"")</x:f>
        <x:v>14.388</x:v>
      </x:c>
      <x:c r="W2339" s="47" t="n">
        <x:v>0.3</x:v>
      </x:c>
      <x:c r="X2339" s="54" t="n">
        <x:f>IF(ISNUMBER(V2339),V2339/(1-W2339),"")</x:f>
        <x:v>20.554285714285715</x:v>
      </x:c>
      <x:c r="Y2339" s="55" t="n">
        <x:f>IF(ISNUMBER(X2339),ROUNDUP(X2339,0),"")</x:f>
        <x:v>21</x:v>
      </x:c>
      <x:c r="Z2339" t="str">
        <x:v>Source match pending</x:v>
      </x:c>
      <x:c r="AA2339" t="str">
        <x:v>screencapture-www-activesportstrade-co-uk-per4m-nutrition-trade-2026-09-10-09_06_42.pdf / page-04</x:v>
      </x:c>
      <x:c r="AB2339" s="36" t="n">
        <x:f>IF(ISNUMBER(Y2339),ROUND(Y2339*0.9,2),"")</x:f>
        <x:v>18.9</x:v>
      </x:c>
      <x:c r="AC2339" s="36" t="n">
        <x:f>IF(ISNUMBER(AB2339),ROUND(AB2339-(AB2339*0.015+0.2)-V2339,2),"")</x:f>
        <x:v>4.03</x:v>
      </x:c>
      <x:c r="AD2339" s="36" t="n">
        <x:f>IF(ISNUMBER(Y2339),ROUND(Y2339*0.8,2),"")</x:f>
        <x:v>16.8</x:v>
      </x:c>
      <x:c r="AE2339" s="36" t="n">
        <x:f>IF(ISNUMBER(AD2339),ROUND(AD2339*0.015+0.2,2),"")</x:f>
        <x:v>0.45</x:v>
      </x:c>
      <x:c r="AF2339" s="36" t="n">
        <x:f>IF(ISNUMBER(AD2339),ROUND(AD2339-AE2339-V2339,2),"")</x:f>
        <x:v>1.96</x:v>
      </x:c>
      <x:c r="AG2339" t="str">
        <x:f>IF(NOT(ISNUMBER(T2339)),"PENDING",IF(AF2339&gt;0,"PASS","FAIL"))</x:f>
        <x:v>PASS</x:v>
      </x:c>
      <x:c r="AH2339" t="str">
        <x:f>IF(NOT(ISNUMBER(T2339)),"Needs supplier cost",IF(K2339&lt;&gt;"In stock","Supplier unavailable",IF(AG2339&lt;&gt;"PASS","BLOCK - GT loss risk","Commercially protected")))</x:f>
        <x:v>Commercially protected</x:v>
      </x:c>
      <x:c r="AI2339" t="str">
        <x:v>2026-09-10 Active Sports trade capture</x:v>
      </x:c>
      <x:c r="AJ2339" t="str">
        <x:v>Management-only economics. Stripe stress test uses 1.5% + £0.20 standard UK online-card fee; pallet/mix-and-match pricing ignored.</x:v>
      </x:c>
    </x:row>
    <x:row r="2340">
      <x:c r="A2340" t="str">
        <x:v>Active Sports Nutrition</x:v>
      </x:c>
      <x:c r="B2340" t="str">
        <x:v>Per4m Nutrition</x:v>
      </x:c>
      <x:c r="C2340" t="str">
        <x:v>Energy Pre Workout</x:v>
      </x:c>
      <x:c r="D2340" t="str">
        <x:v>Pre Workouts</x:v>
      </x:c>
      <x:c r="E2340" t="str">
        <x:v>Pre Workout</x:v>
      </x:c>
      <x:c r="F2340" t="str"/>
      <x:c r="G2340" t="str">
        <x:v>60 servings</x:v>
      </x:c>
      <x:c r="H2340" t="str">
        <x:v>Lemon Sherbet Fizz</x:v>
      </x:c>
      <x:c r="I2340" t="str"/>
      <x:c r="J2340" t="str">
        <x:v>Unit</x:v>
      </x:c>
      <x:c r="K2340" t="str">
        <x:v>In stock</x:v>
      </x:c>
      <x:c r="L2340" t="str">
        <x:v>2026-09-08</x:v>
      </x:c>
      <x:c r="M2340" t="str"/>
      <x:c r="N2340" t="str"/>
      <x:c r="O2340" t="str">
        <x:v>https://www.activesportstrade.co.uk/per4m-nutrition-trade</x:v>
      </x:c>
      <x:c r="P2340" t="str"/>
      <x:c r="Q2340" t="str"/>
      <x:c r="R2340" t="str"/>
      <x:c r="S2340" t="str">
        <x:v>Pending genuine supplier/brand image</x:v>
      </x:c>
      <x:c r="T2340" s="54" t="n">
        <x:v>11.99</x:v>
      </x:c>
      <x:c r="U2340" s="47" t="n">
        <x:v>0.2</x:v>
      </x:c>
      <x:c r="V2340" s="54" t="n">
        <x:f>IF(ISNUMBER(T2340),T2340*(1+U2340),"")</x:f>
        <x:v>14.388</x:v>
      </x:c>
      <x:c r="W2340" s="47" t="n">
        <x:v>0.3</x:v>
      </x:c>
      <x:c r="X2340" s="54" t="n">
        <x:f>IF(ISNUMBER(V2340),V2340/(1-W2340),"")</x:f>
        <x:v>20.554285714285715</x:v>
      </x:c>
      <x:c r="Y2340" s="55" t="n">
        <x:f>IF(ISNUMBER(X2340),ROUNDUP(X2340,0),"")</x:f>
        <x:v>21</x:v>
      </x:c>
      <x:c r="Z2340" t="str">
        <x:v>Source match pending</x:v>
      </x:c>
      <x:c r="AA2340" t="str">
        <x:v>screencapture-www-activesportstrade-co-uk-per4m-nutrition-trade-2026-09-10-09_06_42.pdf / page-04</x:v>
      </x:c>
      <x:c r="AB2340" s="36" t="n">
        <x:f>IF(ISNUMBER(Y2340),ROUND(Y2340*0.9,2),"")</x:f>
        <x:v>18.9</x:v>
      </x:c>
      <x:c r="AC2340" s="36" t="n">
        <x:f>IF(ISNUMBER(AB2340),ROUND(AB2340-(AB2340*0.015+0.2)-V2340,2),"")</x:f>
        <x:v>4.03</x:v>
      </x:c>
      <x:c r="AD2340" s="36" t="n">
        <x:f>IF(ISNUMBER(Y2340),ROUND(Y2340*0.8,2),"")</x:f>
        <x:v>16.8</x:v>
      </x:c>
      <x:c r="AE2340" s="36" t="n">
        <x:f>IF(ISNUMBER(AD2340),ROUND(AD2340*0.015+0.2,2),"")</x:f>
        <x:v>0.45</x:v>
      </x:c>
      <x:c r="AF2340" s="36" t="n">
        <x:f>IF(ISNUMBER(AD2340),ROUND(AD2340-AE2340-V2340,2),"")</x:f>
        <x:v>1.96</x:v>
      </x:c>
      <x:c r="AG2340" t="str">
        <x:f>IF(NOT(ISNUMBER(T2340)),"PENDING",IF(AF2340&gt;0,"PASS","FAIL"))</x:f>
        <x:v>PASS</x:v>
      </x:c>
      <x:c r="AH2340" t="str">
        <x:f>IF(NOT(ISNUMBER(T2340)),"Needs supplier cost",IF(K2340&lt;&gt;"In stock","Supplier unavailable",IF(AG2340&lt;&gt;"PASS","BLOCK - GT loss risk","Commercially protected")))</x:f>
        <x:v>Commercially protected</x:v>
      </x:c>
      <x:c r="AI2340" t="str">
        <x:v>2026-09-10 Active Sports trade capture</x:v>
      </x:c>
      <x:c r="AJ2340" t="str">
        <x:v>Management-only economics. Stripe stress test uses 1.5% + £0.20 standard UK online-card fee; pallet/mix-and-match pricing ignored.</x:v>
      </x:c>
    </x:row>
    <x:row r="2341">
      <x:c r="A2341" t="str">
        <x:v>Active Sports Nutrition</x:v>
      </x:c>
      <x:c r="B2341" t="str">
        <x:v>Per4m Nutrition</x:v>
      </x:c>
      <x:c r="C2341" t="str">
        <x:v>Energy Pre Workout</x:v>
      </x:c>
      <x:c r="D2341" t="str">
        <x:v>Pre Workouts</x:v>
      </x:c>
      <x:c r="E2341" t="str">
        <x:v>Pre Workout</x:v>
      </x:c>
      <x:c r="F2341" t="str"/>
      <x:c r="G2341" t="str">
        <x:v>60 servings</x:v>
      </x:c>
      <x:c r="H2341" t="str">
        <x:v>Peach Sweets</x:v>
      </x:c>
      <x:c r="I2341" t="str"/>
      <x:c r="J2341" t="str">
        <x:v>Unit</x:v>
      </x:c>
      <x:c r="K2341" t="str">
        <x:v>In stock</x:v>
      </x:c>
      <x:c r="L2341" t="str">
        <x:v>2026-09-08</x:v>
      </x:c>
      <x:c r="M2341" t="str"/>
      <x:c r="N2341" t="str"/>
      <x:c r="O2341" t="str">
        <x:v>https://www.activesportstrade.co.uk/per4m-nutrition-trade</x:v>
      </x:c>
      <x:c r="P2341" t="str"/>
      <x:c r="Q2341" t="str"/>
      <x:c r="R2341" t="str"/>
      <x:c r="S2341" t="str">
        <x:v>Pending genuine supplier/brand image</x:v>
      </x:c>
      <x:c r="T2341" s="54" t="n">
        <x:v>11.99</x:v>
      </x:c>
      <x:c r="U2341" s="47" t="n">
        <x:v>0.2</x:v>
      </x:c>
      <x:c r="V2341" s="54" t="n">
        <x:f>IF(ISNUMBER(T2341),T2341*(1+U2341),"")</x:f>
        <x:v>14.388</x:v>
      </x:c>
      <x:c r="W2341" s="47" t="n">
        <x:v>0.3</x:v>
      </x:c>
      <x:c r="X2341" s="54" t="n">
        <x:f>IF(ISNUMBER(V2341),V2341/(1-W2341),"")</x:f>
        <x:v>20.554285714285715</x:v>
      </x:c>
      <x:c r="Y2341" s="55" t="n">
        <x:f>IF(ISNUMBER(X2341),ROUNDUP(X2341,0),"")</x:f>
        <x:v>21</x:v>
      </x:c>
      <x:c r="Z2341" t="str">
        <x:v>Source match pending</x:v>
      </x:c>
      <x:c r="AA2341" t="str">
        <x:v>screencapture-www-activesportstrade-co-uk-per4m-nutrition-trade-2026-09-10-09_06_42.pdf / page-04</x:v>
      </x:c>
      <x:c r="AB2341" s="36" t="n">
        <x:f>IF(ISNUMBER(Y2341),ROUND(Y2341*0.9,2),"")</x:f>
        <x:v>18.9</x:v>
      </x:c>
      <x:c r="AC2341" s="36" t="n">
        <x:f>IF(ISNUMBER(AB2341),ROUND(AB2341-(AB2341*0.015+0.2)-V2341,2),"")</x:f>
        <x:v>4.03</x:v>
      </x:c>
      <x:c r="AD2341" s="36" t="n">
        <x:f>IF(ISNUMBER(Y2341),ROUND(Y2341*0.8,2),"")</x:f>
        <x:v>16.8</x:v>
      </x:c>
      <x:c r="AE2341" s="36" t="n">
        <x:f>IF(ISNUMBER(AD2341),ROUND(AD2341*0.015+0.2,2),"")</x:f>
        <x:v>0.45</x:v>
      </x:c>
      <x:c r="AF2341" s="36" t="n">
        <x:f>IF(ISNUMBER(AD2341),ROUND(AD2341-AE2341-V2341,2),"")</x:f>
        <x:v>1.96</x:v>
      </x:c>
      <x:c r="AG2341" t="str">
        <x:f>IF(NOT(ISNUMBER(T2341)),"PENDING",IF(AF2341&gt;0,"PASS","FAIL"))</x:f>
        <x:v>PASS</x:v>
      </x:c>
      <x:c r="AH2341" t="str">
        <x:f>IF(NOT(ISNUMBER(T2341)),"Needs supplier cost",IF(K2341&lt;&gt;"In stock","Supplier unavailable",IF(AG2341&lt;&gt;"PASS","BLOCK - GT loss risk","Commercially protected")))</x:f>
        <x:v>Commercially protected</x:v>
      </x:c>
      <x:c r="AI2341" t="str">
        <x:v>2026-09-10 Active Sports trade capture</x:v>
      </x:c>
      <x:c r="AJ2341" t="str">
        <x:v>Management-only economics. Stripe stress test uses 1.5% + £0.20 standard UK online-card fee; pallet/mix-and-match pricing ignored.</x:v>
      </x:c>
    </x:row>
    <x:row r="2342">
      <x:c r="A2342" t="str">
        <x:v>Active Sports Nutrition</x:v>
      </x:c>
      <x:c r="B2342" t="str">
        <x:v>Per4m Nutrition</x:v>
      </x:c>
      <x:c r="C2342" t="str">
        <x:v>Energy Pre Workout</x:v>
      </x:c>
      <x:c r="D2342" t="str">
        <x:v>Pre Workouts</x:v>
      </x:c>
      <x:c r="E2342" t="str">
        <x:v>Pre Workout</x:v>
      </x:c>
      <x:c r="F2342" t="str"/>
      <x:c r="G2342" t="str">
        <x:v>60 servings</x:v>
      </x:c>
      <x:c r="H2342" t="str">
        <x:v>Pineapple Rings</x:v>
      </x:c>
      <x:c r="I2342" t="str"/>
      <x:c r="J2342" t="str">
        <x:v>Unit</x:v>
      </x:c>
      <x:c r="K2342" t="str">
        <x:v>In stock</x:v>
      </x:c>
      <x:c r="L2342" t="str">
        <x:v>2026-09-08</x:v>
      </x:c>
      <x:c r="M2342" t="str"/>
      <x:c r="N2342" t="str"/>
      <x:c r="O2342" t="str">
        <x:v>https://www.activesportstrade.co.uk/per4m-nutrition-trade</x:v>
      </x:c>
      <x:c r="P2342" t="str"/>
      <x:c r="Q2342" t="str"/>
      <x:c r="R2342" t="str"/>
      <x:c r="S2342" t="str">
        <x:v>Pending genuine supplier/brand image</x:v>
      </x:c>
      <x:c r="T2342" s="54" t="n">
        <x:v>11.99</x:v>
      </x:c>
      <x:c r="U2342" s="47" t="n">
        <x:v>0.2</x:v>
      </x:c>
      <x:c r="V2342" s="54" t="n">
        <x:f>IF(ISNUMBER(T2342),T2342*(1+U2342),"")</x:f>
        <x:v>14.388</x:v>
      </x:c>
      <x:c r="W2342" s="47" t="n">
        <x:v>0.3</x:v>
      </x:c>
      <x:c r="X2342" s="54" t="n">
        <x:f>IF(ISNUMBER(V2342),V2342/(1-W2342),"")</x:f>
        <x:v>20.554285714285715</x:v>
      </x:c>
      <x:c r="Y2342" s="55" t="n">
        <x:f>IF(ISNUMBER(X2342),ROUNDUP(X2342,0),"")</x:f>
        <x:v>21</x:v>
      </x:c>
      <x:c r="Z2342" t="str">
        <x:v>Source match pending</x:v>
      </x:c>
      <x:c r="AA2342" t="str">
        <x:v>screencapture-www-activesportstrade-co-uk-per4m-nutrition-trade-2026-09-10-09_06_42.pdf / page-04</x:v>
      </x:c>
      <x:c r="AB2342" s="36" t="n">
        <x:f>IF(ISNUMBER(Y2342),ROUND(Y2342*0.9,2),"")</x:f>
        <x:v>18.9</x:v>
      </x:c>
      <x:c r="AC2342" s="36" t="n">
        <x:f>IF(ISNUMBER(AB2342),ROUND(AB2342-(AB2342*0.015+0.2)-V2342,2),"")</x:f>
        <x:v>4.03</x:v>
      </x:c>
      <x:c r="AD2342" s="36" t="n">
        <x:f>IF(ISNUMBER(Y2342),ROUND(Y2342*0.8,2),"")</x:f>
        <x:v>16.8</x:v>
      </x:c>
      <x:c r="AE2342" s="36" t="n">
        <x:f>IF(ISNUMBER(AD2342),ROUND(AD2342*0.015+0.2,2),"")</x:f>
        <x:v>0.45</x:v>
      </x:c>
      <x:c r="AF2342" s="36" t="n">
        <x:f>IF(ISNUMBER(AD2342),ROUND(AD2342-AE2342-V2342,2),"")</x:f>
        <x:v>1.96</x:v>
      </x:c>
      <x:c r="AG2342" t="str">
        <x:f>IF(NOT(ISNUMBER(T2342)),"PENDING",IF(AF2342&gt;0,"PASS","FAIL"))</x:f>
        <x:v>PASS</x:v>
      </x:c>
      <x:c r="AH2342" t="str">
        <x:f>IF(NOT(ISNUMBER(T2342)),"Needs supplier cost",IF(K2342&lt;&gt;"In stock","Supplier unavailable",IF(AG2342&lt;&gt;"PASS","BLOCK - GT loss risk","Commercially protected")))</x:f>
        <x:v>Commercially protected</x:v>
      </x:c>
      <x:c r="AI2342" t="str">
        <x:v>2026-09-10 Active Sports trade capture</x:v>
      </x:c>
      <x:c r="AJ2342" t="str">
        <x:v>Management-only economics. Stripe stress test uses 1.5% + £0.20 standard UK online-card fee; pallet/mix-and-match pricing ignored.</x:v>
      </x:c>
    </x:row>
    <x:row r="2343">
      <x:c r="A2343" t="str">
        <x:v>Active Sports Nutrition</x:v>
      </x:c>
      <x:c r="B2343" t="str">
        <x:v>Per4m Nutrition</x:v>
      </x:c>
      <x:c r="C2343" t="str">
        <x:v>Energy Pre Workout</x:v>
      </x:c>
      <x:c r="D2343" t="str">
        <x:v>Pre Workouts</x:v>
      </x:c>
      <x:c r="E2343" t="str">
        <x:v>Pre Workout</x:v>
      </x:c>
      <x:c r="F2343" t="str"/>
      <x:c r="G2343" t="str">
        <x:v>60 servings</x:v>
      </x:c>
      <x:c r="H2343" t="str">
        <x:v>Raspberry Cherry</x:v>
      </x:c>
      <x:c r="I2343" t="str"/>
      <x:c r="J2343" t="str">
        <x:v>Unit</x:v>
      </x:c>
      <x:c r="K2343" t="str">
        <x:v>In stock</x:v>
      </x:c>
      <x:c r="L2343" t="str">
        <x:v>2026-09-08</x:v>
      </x:c>
      <x:c r="M2343" t="str"/>
      <x:c r="N2343" t="str"/>
      <x:c r="O2343" t="str">
        <x:v>https://www.activesportstrade.co.uk/per4m-nutrition-trade</x:v>
      </x:c>
      <x:c r="P2343" t="str"/>
      <x:c r="Q2343" t="str"/>
      <x:c r="R2343" t="str"/>
      <x:c r="S2343" t="str">
        <x:v>Pending genuine supplier/brand image</x:v>
      </x:c>
      <x:c r="T2343" s="54" t="n">
        <x:v>11.99</x:v>
      </x:c>
      <x:c r="U2343" s="47" t="n">
        <x:v>0.2</x:v>
      </x:c>
      <x:c r="V2343" s="54" t="n">
        <x:f>IF(ISNUMBER(T2343),T2343*(1+U2343),"")</x:f>
        <x:v>14.388</x:v>
      </x:c>
      <x:c r="W2343" s="47" t="n">
        <x:v>0.3</x:v>
      </x:c>
      <x:c r="X2343" s="54" t="n">
        <x:f>IF(ISNUMBER(V2343),V2343/(1-W2343),"")</x:f>
        <x:v>20.554285714285715</x:v>
      </x:c>
      <x:c r="Y2343" s="55" t="n">
        <x:f>IF(ISNUMBER(X2343),ROUNDUP(X2343,0),"")</x:f>
        <x:v>21</x:v>
      </x:c>
      <x:c r="Z2343" t="str">
        <x:v>Source match pending</x:v>
      </x:c>
      <x:c r="AA2343" t="str">
        <x:v>screencapture-www-activesportstrade-co-uk-per4m-nutrition-trade-2026-09-10-09_06_42.pdf / page-04</x:v>
      </x:c>
      <x:c r="AB2343" s="36" t="n">
        <x:f>IF(ISNUMBER(Y2343),ROUND(Y2343*0.9,2),"")</x:f>
        <x:v>18.9</x:v>
      </x:c>
      <x:c r="AC2343" s="36" t="n">
        <x:f>IF(ISNUMBER(AB2343),ROUND(AB2343-(AB2343*0.015+0.2)-V2343,2),"")</x:f>
        <x:v>4.03</x:v>
      </x:c>
      <x:c r="AD2343" s="36" t="n">
        <x:f>IF(ISNUMBER(Y2343),ROUND(Y2343*0.8,2),"")</x:f>
        <x:v>16.8</x:v>
      </x:c>
      <x:c r="AE2343" s="36" t="n">
        <x:f>IF(ISNUMBER(AD2343),ROUND(AD2343*0.015+0.2,2),"")</x:f>
        <x:v>0.45</x:v>
      </x:c>
      <x:c r="AF2343" s="36" t="n">
        <x:f>IF(ISNUMBER(AD2343),ROUND(AD2343-AE2343-V2343,2),"")</x:f>
        <x:v>1.96</x:v>
      </x:c>
      <x:c r="AG2343" t="str">
        <x:f>IF(NOT(ISNUMBER(T2343)),"PENDING",IF(AF2343&gt;0,"PASS","FAIL"))</x:f>
        <x:v>PASS</x:v>
      </x:c>
      <x:c r="AH2343" t="str">
        <x:f>IF(NOT(ISNUMBER(T2343)),"Needs supplier cost",IF(K2343&lt;&gt;"In stock","Supplier unavailable",IF(AG2343&lt;&gt;"PASS","BLOCK - GT loss risk","Commercially protected")))</x:f>
        <x:v>Commercially protected</x:v>
      </x:c>
      <x:c r="AI2343" t="str">
        <x:v>2026-09-10 Active Sports trade capture</x:v>
      </x:c>
      <x:c r="AJ2343" t="str">
        <x:v>Management-only economics. Stripe stress test uses 1.5% + £0.20 standard UK online-card fee; pallet/mix-and-match pricing ignored.</x:v>
      </x:c>
    </x:row>
    <x:row r="2344">
      <x:c r="A2344" t="str">
        <x:v>Active Sports Nutrition</x:v>
      </x:c>
      <x:c r="B2344" t="str">
        <x:v>Per4m Nutrition</x:v>
      </x:c>
      <x:c r="C2344" t="str">
        <x:v>Energy Pre Workout</x:v>
      </x:c>
      <x:c r="D2344" t="str">
        <x:v>Pre Workouts</x:v>
      </x:c>
      <x:c r="E2344" t="str">
        <x:v>Pre Workout</x:v>
      </x:c>
      <x:c r="F2344" t="str"/>
      <x:c r="G2344" t="str">
        <x:v>60 servings</x:v>
      </x:c>
      <x:c r="H2344" t="str">
        <x:v>Strawberry Blackcurrant</x:v>
      </x:c>
      <x:c r="I2344" t="str"/>
      <x:c r="J2344" t="str">
        <x:v>Unit</x:v>
      </x:c>
      <x:c r="K2344" t="str">
        <x:v>In stock</x:v>
      </x:c>
      <x:c r="L2344" t="str">
        <x:v>2026-09-08</x:v>
      </x:c>
      <x:c r="M2344" t="str"/>
      <x:c r="N2344" t="str"/>
      <x:c r="O2344" t="str">
        <x:v>https://www.activesportstrade.co.uk/per4m-nutrition-trade</x:v>
      </x:c>
      <x:c r="P2344" t="str"/>
      <x:c r="Q2344" t="str"/>
      <x:c r="R2344" t="str"/>
      <x:c r="S2344" t="str">
        <x:v>Pending genuine supplier/brand image</x:v>
      </x:c>
      <x:c r="T2344" s="54" t="n">
        <x:v>11.99</x:v>
      </x:c>
      <x:c r="U2344" s="47" t="n">
        <x:v>0.2</x:v>
      </x:c>
      <x:c r="V2344" s="54" t="n">
        <x:f>IF(ISNUMBER(T2344),T2344*(1+U2344),"")</x:f>
        <x:v>14.388</x:v>
      </x:c>
      <x:c r="W2344" s="47" t="n">
        <x:v>0.3</x:v>
      </x:c>
      <x:c r="X2344" s="54" t="n">
        <x:f>IF(ISNUMBER(V2344),V2344/(1-W2344),"")</x:f>
        <x:v>20.554285714285715</x:v>
      </x:c>
      <x:c r="Y2344" s="55" t="n">
        <x:f>IF(ISNUMBER(X2344),ROUNDUP(X2344,0),"")</x:f>
        <x:v>21</x:v>
      </x:c>
      <x:c r="Z2344" t="str">
        <x:v>Source match pending</x:v>
      </x:c>
      <x:c r="AA2344" t="str">
        <x:v>screencapture-www-activesportstrade-co-uk-per4m-nutrition-trade-2026-09-10-09_06_42.pdf / page-04</x:v>
      </x:c>
      <x:c r="AB2344" s="36" t="n">
        <x:f>IF(ISNUMBER(Y2344),ROUND(Y2344*0.9,2),"")</x:f>
        <x:v>18.9</x:v>
      </x:c>
      <x:c r="AC2344" s="36" t="n">
        <x:f>IF(ISNUMBER(AB2344),ROUND(AB2344-(AB2344*0.015+0.2)-V2344,2),"")</x:f>
        <x:v>4.03</x:v>
      </x:c>
      <x:c r="AD2344" s="36" t="n">
        <x:f>IF(ISNUMBER(Y2344),ROUND(Y2344*0.8,2),"")</x:f>
        <x:v>16.8</x:v>
      </x:c>
      <x:c r="AE2344" s="36" t="n">
        <x:f>IF(ISNUMBER(AD2344),ROUND(AD2344*0.015+0.2,2),"")</x:f>
        <x:v>0.45</x:v>
      </x:c>
      <x:c r="AF2344" s="36" t="n">
        <x:f>IF(ISNUMBER(AD2344),ROUND(AD2344-AE2344-V2344,2),"")</x:f>
        <x:v>1.96</x:v>
      </x:c>
      <x:c r="AG2344" t="str">
        <x:f>IF(NOT(ISNUMBER(T2344)),"PENDING",IF(AF2344&gt;0,"PASS","FAIL"))</x:f>
        <x:v>PASS</x:v>
      </x:c>
      <x:c r="AH2344" t="str">
        <x:f>IF(NOT(ISNUMBER(T2344)),"Needs supplier cost",IF(K2344&lt;&gt;"In stock","Supplier unavailable",IF(AG2344&lt;&gt;"PASS","BLOCK - GT loss risk","Commercially protected")))</x:f>
        <x:v>Commercially protected</x:v>
      </x:c>
      <x:c r="AI2344" t="str">
        <x:v>2026-09-10 Active Sports trade capture</x:v>
      </x:c>
      <x:c r="AJ2344" t="str">
        <x:v>Management-only economics. Stripe stress test uses 1.5% + £0.20 standard UK online-card fee; pallet/mix-and-match pricing ignored.</x:v>
      </x:c>
    </x:row>
    <x:row r="2345">
      <x:c r="A2345" t="str">
        <x:v>Active Sports Nutrition</x:v>
      </x:c>
      <x:c r="B2345" t="str">
        <x:v>Per4m Nutrition</x:v>
      </x:c>
      <x:c r="C2345" t="str">
        <x:v>Energy Pre Workout Shots</x:v>
      </x:c>
      <x:c r="D2345" t="str">
        <x:v>Pre Workouts</x:v>
      </x:c>
      <x:c r="E2345" t="str">
        <x:v>Shots and Ready To Drink</x:v>
      </x:c>
      <x:c r="F2345" t="str"/>
      <x:c r="G2345" t="str">
        <x:v>12 x 100ml</x:v>
      </x:c>
      <x:c r="H2345" t="str">
        <x:v>Cherry Fizz</x:v>
      </x:c>
      <x:c r="I2345" t="str">
        <x:v>12</x:v>
      </x:c>
      <x:c r="J2345" t="str">
        <x:v>Case</x:v>
      </x:c>
      <x:c r="K2345" t="str">
        <x:v>In stock</x:v>
      </x:c>
      <x:c r="L2345" t="str">
        <x:v>2026-09-08</x:v>
      </x:c>
      <x:c r="M2345" t="str"/>
      <x:c r="N2345" t="str"/>
      <x:c r="O2345" t="str">
        <x:v>https://www.activesportstrade.co.uk/per4m-nutrition-trade</x:v>
      </x:c>
      <x:c r="P2345" t="str">
        <x:v>Case-only supplier order.</x:v>
      </x:c>
      <x:c r="Q2345" t="str"/>
      <x:c r="R2345" t="str"/>
      <x:c r="S2345" t="str">
        <x:v>Pending genuine supplier/brand image</x:v>
      </x:c>
      <x:c r="T2345" s="54" t="n">
        <x:v>10.99</x:v>
      </x:c>
      <x:c r="U2345" s="47" t="n">
        <x:v>0.2</x:v>
      </x:c>
      <x:c r="V2345" s="54" t="n">
        <x:f>IF(ISNUMBER(T2345),T2345*(1+U2345),"")</x:f>
        <x:v>13.188</x:v>
      </x:c>
      <x:c r="W2345" s="47" t="n">
        <x:v>0.3</x:v>
      </x:c>
      <x:c r="X2345" s="54" t="n">
        <x:f>IF(ISNUMBER(V2345),V2345/(1-W2345),"")</x:f>
        <x:v>18.840000000000003</x:v>
      </x:c>
      <x:c r="Y2345" s="55" t="n">
        <x:f>IF(ISNUMBER(X2345),ROUNDUP(X2345,0),"")</x:f>
        <x:v>19</x:v>
      </x:c>
      <x:c r="Z2345" t="str">
        <x:v>Source match pending</x:v>
      </x:c>
      <x:c r="AA2345" t="str">
        <x:v>screencapture-www-activesportstrade-co-uk-per4m-nutrition-trade-2026-09-10-09_06_42.pdf / page-04</x:v>
      </x:c>
      <x:c r="AB2345" s="36" t="n">
        <x:f>IF(ISNUMBER(Y2345),ROUND(Y2345*0.9,2),"")</x:f>
        <x:v>17.1</x:v>
      </x:c>
      <x:c r="AC2345" s="36" t="n">
        <x:f>IF(ISNUMBER(AB2345),ROUND(AB2345-(AB2345*0.015+0.2)-V2345,2),"")</x:f>
        <x:v>3.46</x:v>
      </x:c>
      <x:c r="AD2345" s="36" t="n">
        <x:f>IF(ISNUMBER(Y2345),ROUND(Y2345*0.8,2),"")</x:f>
        <x:v>15.2</x:v>
      </x:c>
      <x:c r="AE2345" s="36" t="n">
        <x:f>IF(ISNUMBER(AD2345),ROUND(AD2345*0.015+0.2,2),"")</x:f>
        <x:v>0.43</x:v>
      </x:c>
      <x:c r="AF2345" s="36" t="n">
        <x:f>IF(ISNUMBER(AD2345),ROUND(AD2345-AE2345-V2345,2),"")</x:f>
        <x:v>1.58</x:v>
      </x:c>
      <x:c r="AG2345" t="str">
        <x:f>IF(NOT(ISNUMBER(T2345)),"PENDING",IF(AF2345&gt;0,"PASS","FAIL"))</x:f>
        <x:v>PASS</x:v>
      </x:c>
      <x:c r="AH2345" t="str">
        <x:f>IF(NOT(ISNUMBER(T2345)),"Needs supplier cost",IF(K2345&lt;&gt;"In stock","Supplier unavailable",IF(AG2345&lt;&gt;"PASS","BLOCK - GT loss risk","Commercially protected")))</x:f>
        <x:v>Commercially protected</x:v>
      </x:c>
      <x:c r="AI2345" t="str">
        <x:v>2026-09-10 Active Sports trade capture</x:v>
      </x:c>
      <x:c r="AJ2345" t="str">
        <x:v>Management-only economics. Stripe stress test uses 1.5% + £0.20 standard UK online-card fee; pallet/mix-and-match pricing ignored.</x:v>
      </x:c>
    </x:row>
    <x:row r="2346">
      <x:c r="A2346" t="str">
        <x:v>Active Sports Nutrition</x:v>
      </x:c>
      <x:c r="B2346" t="str">
        <x:v>Per4m Nutrition</x:v>
      </x:c>
      <x:c r="C2346" t="str">
        <x:v>Energy Pre Workout Shots</x:v>
      </x:c>
      <x:c r="D2346" t="str">
        <x:v>Pre Workouts</x:v>
      </x:c>
      <x:c r="E2346" t="str">
        <x:v>Shots and Ready To Drink</x:v>
      </x:c>
      <x:c r="F2346" t="str"/>
      <x:c r="G2346" t="str">
        <x:v>12 x 100ml</x:v>
      </x:c>
      <x:c r="H2346" t="str">
        <x:v>Fizzy Bubblegum Bottles</x:v>
      </x:c>
      <x:c r="I2346" t="str">
        <x:v>12</x:v>
      </x:c>
      <x:c r="J2346" t="str">
        <x:v>Case</x:v>
      </x:c>
      <x:c r="K2346" t="str">
        <x:v>In stock</x:v>
      </x:c>
      <x:c r="L2346" t="str">
        <x:v>2026-09-08</x:v>
      </x:c>
      <x:c r="M2346" t="str"/>
      <x:c r="N2346" t="str"/>
      <x:c r="O2346" t="str">
        <x:v>https://www.activesportstrade.co.uk/per4m-nutrition-trade</x:v>
      </x:c>
      <x:c r="P2346" t="str">
        <x:v>Case-only supplier order.</x:v>
      </x:c>
      <x:c r="Q2346" t="str"/>
      <x:c r="R2346" t="str"/>
      <x:c r="S2346" t="str">
        <x:v>Pending genuine supplier/brand image</x:v>
      </x:c>
      <x:c r="T2346" s="54" t="n">
        <x:v>10.99</x:v>
      </x:c>
      <x:c r="U2346" s="47" t="n">
        <x:v>0.2</x:v>
      </x:c>
      <x:c r="V2346" s="54" t="n">
        <x:f>IF(ISNUMBER(T2346),T2346*(1+U2346),"")</x:f>
        <x:v>13.188</x:v>
      </x:c>
      <x:c r="W2346" s="47" t="n">
        <x:v>0.3</x:v>
      </x:c>
      <x:c r="X2346" s="54" t="n">
        <x:f>IF(ISNUMBER(V2346),V2346/(1-W2346),"")</x:f>
        <x:v>18.840000000000003</x:v>
      </x:c>
      <x:c r="Y2346" s="55" t="n">
        <x:f>IF(ISNUMBER(X2346),ROUNDUP(X2346,0),"")</x:f>
        <x:v>19</x:v>
      </x:c>
      <x:c r="Z2346" t="str">
        <x:v>Source match pending</x:v>
      </x:c>
      <x:c r="AA2346" t="str">
        <x:v>screencapture-www-activesportstrade-co-uk-per4m-nutrition-trade-2026-09-10-09_06_42.pdf / page-04</x:v>
      </x:c>
      <x:c r="AB2346" s="36" t="n">
        <x:f>IF(ISNUMBER(Y2346),ROUND(Y2346*0.9,2),"")</x:f>
        <x:v>17.1</x:v>
      </x:c>
      <x:c r="AC2346" s="36" t="n">
        <x:f>IF(ISNUMBER(AB2346),ROUND(AB2346-(AB2346*0.015+0.2)-V2346,2),"")</x:f>
        <x:v>3.46</x:v>
      </x:c>
      <x:c r="AD2346" s="36" t="n">
        <x:f>IF(ISNUMBER(Y2346),ROUND(Y2346*0.8,2),"")</x:f>
        <x:v>15.2</x:v>
      </x:c>
      <x:c r="AE2346" s="36" t="n">
        <x:f>IF(ISNUMBER(AD2346),ROUND(AD2346*0.015+0.2,2),"")</x:f>
        <x:v>0.43</x:v>
      </x:c>
      <x:c r="AF2346" s="36" t="n">
        <x:f>IF(ISNUMBER(AD2346),ROUND(AD2346-AE2346-V2346,2),"")</x:f>
        <x:v>1.58</x:v>
      </x:c>
      <x:c r="AG2346" t="str">
        <x:f>IF(NOT(ISNUMBER(T2346)),"PENDING",IF(AF2346&gt;0,"PASS","FAIL"))</x:f>
        <x:v>PASS</x:v>
      </x:c>
      <x:c r="AH2346" t="str">
        <x:f>IF(NOT(ISNUMBER(T2346)),"Needs supplier cost",IF(K2346&lt;&gt;"In stock","Supplier unavailable",IF(AG2346&lt;&gt;"PASS","BLOCK - GT loss risk","Commercially protected")))</x:f>
        <x:v>Commercially protected</x:v>
      </x:c>
      <x:c r="AI2346" t="str">
        <x:v>2026-09-10 Active Sports trade capture</x:v>
      </x:c>
      <x:c r="AJ2346" t="str">
        <x:v>Management-only economics. Stripe stress test uses 1.5% + £0.20 standard UK online-card fee; pallet/mix-and-match pricing ignored.</x:v>
      </x:c>
    </x:row>
    <x:row r="2347">
      <x:c r="A2347" t="str">
        <x:v>Active Sports Nutrition</x:v>
      </x:c>
      <x:c r="B2347" t="str">
        <x:v>Per4m Nutrition</x:v>
      </x:c>
      <x:c r="C2347" t="str">
        <x:v>Energy Pre Workout Shots</x:v>
      </x:c>
      <x:c r="D2347" t="str">
        <x:v>Pre Workouts</x:v>
      </x:c>
      <x:c r="E2347" t="str">
        <x:v>Shots and Ready To Drink</x:v>
      </x:c>
      <x:c r="F2347" t="str"/>
      <x:c r="G2347" t="str">
        <x:v>12 x 100ml</x:v>
      </x:c>
      <x:c r="H2347" t="str">
        <x:v>Gummy Worms</x:v>
      </x:c>
      <x:c r="I2347" t="str">
        <x:v>12</x:v>
      </x:c>
      <x:c r="J2347" t="str">
        <x:v>Case</x:v>
      </x:c>
      <x:c r="K2347" t="str">
        <x:v>In stock</x:v>
      </x:c>
      <x:c r="L2347" t="str">
        <x:v>2026-09-08</x:v>
      </x:c>
      <x:c r="M2347" t="str"/>
      <x:c r="N2347" t="str"/>
      <x:c r="O2347" t="str">
        <x:v>https://www.activesportstrade.co.uk/per4m-nutrition-trade</x:v>
      </x:c>
      <x:c r="P2347" t="str">
        <x:v>Case-only supplier order.</x:v>
      </x:c>
      <x:c r="Q2347" t="str"/>
      <x:c r="R2347" t="str"/>
      <x:c r="S2347" t="str">
        <x:v>Pending genuine supplier/brand image</x:v>
      </x:c>
      <x:c r="T2347" s="54" t="n">
        <x:v>10.99</x:v>
      </x:c>
      <x:c r="U2347" s="47" t="n">
        <x:v>0.2</x:v>
      </x:c>
      <x:c r="V2347" s="54" t="n">
        <x:f>IF(ISNUMBER(T2347),T2347*(1+U2347),"")</x:f>
        <x:v>13.188</x:v>
      </x:c>
      <x:c r="W2347" s="47" t="n">
        <x:v>0.3</x:v>
      </x:c>
      <x:c r="X2347" s="54" t="n">
        <x:f>IF(ISNUMBER(V2347),V2347/(1-W2347),"")</x:f>
        <x:v>18.840000000000003</x:v>
      </x:c>
      <x:c r="Y2347" s="55" t="n">
        <x:f>IF(ISNUMBER(X2347),ROUNDUP(X2347,0),"")</x:f>
        <x:v>19</x:v>
      </x:c>
      <x:c r="Z2347" t="str">
        <x:v>Source match pending</x:v>
      </x:c>
      <x:c r="AA2347" t="str">
        <x:v>screencapture-www-activesportstrade-co-uk-per4m-nutrition-trade-2026-09-10-09_06_42.pdf / page-04</x:v>
      </x:c>
      <x:c r="AB2347" s="36" t="n">
        <x:f>IF(ISNUMBER(Y2347),ROUND(Y2347*0.9,2),"")</x:f>
        <x:v>17.1</x:v>
      </x:c>
      <x:c r="AC2347" s="36" t="n">
        <x:f>IF(ISNUMBER(AB2347),ROUND(AB2347-(AB2347*0.015+0.2)-V2347,2),"")</x:f>
        <x:v>3.46</x:v>
      </x:c>
      <x:c r="AD2347" s="36" t="n">
        <x:f>IF(ISNUMBER(Y2347),ROUND(Y2347*0.8,2),"")</x:f>
        <x:v>15.2</x:v>
      </x:c>
      <x:c r="AE2347" s="36" t="n">
        <x:f>IF(ISNUMBER(AD2347),ROUND(AD2347*0.015+0.2,2),"")</x:f>
        <x:v>0.43</x:v>
      </x:c>
      <x:c r="AF2347" s="36" t="n">
        <x:f>IF(ISNUMBER(AD2347),ROUND(AD2347-AE2347-V2347,2),"")</x:f>
        <x:v>1.58</x:v>
      </x:c>
      <x:c r="AG2347" t="str">
        <x:f>IF(NOT(ISNUMBER(T2347)),"PENDING",IF(AF2347&gt;0,"PASS","FAIL"))</x:f>
        <x:v>PASS</x:v>
      </x:c>
      <x:c r="AH2347" t="str">
        <x:f>IF(NOT(ISNUMBER(T2347)),"Needs supplier cost",IF(K2347&lt;&gt;"In stock","Supplier unavailable",IF(AG2347&lt;&gt;"PASS","BLOCK - GT loss risk","Commercially protected")))</x:f>
        <x:v>Commercially protected</x:v>
      </x:c>
      <x:c r="AI2347" t="str">
        <x:v>2026-09-10 Active Sports trade capture</x:v>
      </x:c>
      <x:c r="AJ2347" t="str">
        <x:v>Management-only economics. Stripe stress test uses 1.5% + £0.20 standard UK online-card fee; pallet/mix-and-match pricing ignored.</x:v>
      </x:c>
    </x:row>
    <x:row r="2348">
      <x:c r="A2348" t="str">
        <x:v>Active Sports Nutrition</x:v>
      </x:c>
      <x:c r="B2348" t="str">
        <x:v>Per4m Nutrition</x:v>
      </x:c>
      <x:c r="C2348" t="str">
        <x:v>Energy Pre Workout Shots</x:v>
      </x:c>
      <x:c r="D2348" t="str">
        <x:v>Pre Workouts</x:v>
      </x:c>
      <x:c r="E2348" t="str">
        <x:v>Shots and Ready To Drink</x:v>
      </x:c>
      <x:c r="F2348" t="str"/>
      <x:c r="G2348" t="str">
        <x:v>12 x 100ml</x:v>
      </x:c>
      <x:c r="H2348" t="str">
        <x:v>Rainbow Candy</x:v>
      </x:c>
      <x:c r="I2348" t="str">
        <x:v>12</x:v>
      </x:c>
      <x:c r="J2348" t="str">
        <x:v>Case</x:v>
      </x:c>
      <x:c r="K2348" t="str">
        <x:v>In stock</x:v>
      </x:c>
      <x:c r="L2348" t="str">
        <x:v>2026-09-08</x:v>
      </x:c>
      <x:c r="M2348" t="str"/>
      <x:c r="N2348" t="str"/>
      <x:c r="O2348" t="str">
        <x:v>https://www.activesportstrade.co.uk/per4m-nutrition-trade</x:v>
      </x:c>
      <x:c r="P2348" t="str">
        <x:v>Case-only supplier order.</x:v>
      </x:c>
      <x:c r="Q2348" t="str"/>
      <x:c r="R2348" t="str"/>
      <x:c r="S2348" t="str">
        <x:v>Pending genuine supplier/brand image</x:v>
      </x:c>
      <x:c r="T2348" s="54" t="n">
        <x:v>10.99</x:v>
      </x:c>
      <x:c r="U2348" s="47" t="n">
        <x:v>0.2</x:v>
      </x:c>
      <x:c r="V2348" s="54" t="n">
        <x:f>IF(ISNUMBER(T2348),T2348*(1+U2348),"")</x:f>
        <x:v>13.188</x:v>
      </x:c>
      <x:c r="W2348" s="47" t="n">
        <x:v>0.3</x:v>
      </x:c>
      <x:c r="X2348" s="54" t="n">
        <x:f>IF(ISNUMBER(V2348),V2348/(1-W2348),"")</x:f>
        <x:v>18.840000000000003</x:v>
      </x:c>
      <x:c r="Y2348" s="55" t="n">
        <x:f>IF(ISNUMBER(X2348),ROUNDUP(X2348,0),"")</x:f>
        <x:v>19</x:v>
      </x:c>
      <x:c r="Z2348" t="str">
        <x:v>Source match pending</x:v>
      </x:c>
      <x:c r="AA2348" t="str">
        <x:v>screencapture-www-activesportstrade-co-uk-per4m-nutrition-trade-2026-09-10-09_06_42.pdf / page-04</x:v>
      </x:c>
      <x:c r="AB2348" s="36" t="n">
        <x:f>IF(ISNUMBER(Y2348),ROUND(Y2348*0.9,2),"")</x:f>
        <x:v>17.1</x:v>
      </x:c>
      <x:c r="AC2348" s="36" t="n">
        <x:f>IF(ISNUMBER(AB2348),ROUND(AB2348-(AB2348*0.015+0.2)-V2348,2),"")</x:f>
        <x:v>3.46</x:v>
      </x:c>
      <x:c r="AD2348" s="36" t="n">
        <x:f>IF(ISNUMBER(Y2348),ROUND(Y2348*0.8,2),"")</x:f>
        <x:v>15.2</x:v>
      </x:c>
      <x:c r="AE2348" s="36" t="n">
        <x:f>IF(ISNUMBER(AD2348),ROUND(AD2348*0.015+0.2,2),"")</x:f>
        <x:v>0.43</x:v>
      </x:c>
      <x:c r="AF2348" s="36" t="n">
        <x:f>IF(ISNUMBER(AD2348),ROUND(AD2348-AE2348-V2348,2),"")</x:f>
        <x:v>1.58</x:v>
      </x:c>
      <x:c r="AG2348" t="str">
        <x:f>IF(NOT(ISNUMBER(T2348)),"PENDING",IF(AF2348&gt;0,"PASS","FAIL"))</x:f>
        <x:v>PASS</x:v>
      </x:c>
      <x:c r="AH2348" t="str">
        <x:f>IF(NOT(ISNUMBER(T2348)),"Needs supplier cost",IF(K2348&lt;&gt;"In stock","Supplier unavailable",IF(AG2348&lt;&gt;"PASS","BLOCK - GT loss risk","Commercially protected")))</x:f>
        <x:v>Commercially protected</x:v>
      </x:c>
      <x:c r="AI2348" t="str">
        <x:v>2026-09-10 Active Sports trade capture</x:v>
      </x:c>
      <x:c r="AJ2348" t="str">
        <x:v>Management-only economics. Stripe stress test uses 1.5% + £0.20 standard UK online-card fee; pallet/mix-and-match pricing ignored.</x:v>
      </x:c>
    </x:row>
    <x:row r="2349">
      <x:c r="A2349" t="str">
        <x:v>Active Sports Nutrition</x:v>
      </x:c>
      <x:c r="B2349" t="str">
        <x:v>Per4m Nutrition</x:v>
      </x:c>
      <x:c r="C2349" t="str">
        <x:v>Flavour Powder</x:v>
      </x:c>
      <x:c r="D2349" t="str">
        <x:v>Food &amp; Drinks</x:v>
      </x:c>
      <x:c r="E2349" t="str">
        <x:v>Flavouring</x:v>
      </x:c>
      <x:c r="F2349" t="str"/>
      <x:c r="G2349" t="str">
        <x:v>150g</x:v>
      </x:c>
      <x:c r="H2349" t="str">
        <x:v>Chocolate Brownie Batter</x:v>
      </x:c>
      <x:c r="I2349" t="str"/>
      <x:c r="J2349" t="str">
        <x:v>Unit</x:v>
      </x:c>
      <x:c r="K2349" t="str">
        <x:v>Out of stock</x:v>
      </x:c>
      <x:c r="L2349" t="str">
        <x:v>2026-09-08</x:v>
      </x:c>
      <x:c r="M2349" t="str"/>
      <x:c r="N2349" t="str"/>
      <x:c r="O2349" t="str">
        <x:v>https://www.activesportstrade.co.uk/per4m-nutrition-trade</x:v>
      </x:c>
      <x:c r="P2349" t="str"/>
      <x:c r="Q2349" t="str"/>
      <x:c r="R2349" t="str"/>
      <x:c r="S2349" t="str">
        <x:v>Pending genuine supplier/brand image</x:v>
      </x:c>
      <x:c r="T2349" s="54" t="n">
        <x:v>6.99</x:v>
      </x:c>
      <x:c r="U2349" s="47" t="n">
        <x:v>0.2</x:v>
      </x:c>
      <x:c r="V2349" s="54" t="n">
        <x:f>IF(ISNUMBER(T2349),T2349*(1+U2349),"")</x:f>
        <x:v>8.388</x:v>
      </x:c>
      <x:c r="W2349" s="47" t="n">
        <x:v>0.3</x:v>
      </x:c>
      <x:c r="X2349" s="54" t="n">
        <x:f>IF(ISNUMBER(V2349),V2349/(1-W2349),"")</x:f>
        <x:v>11.982857142857144</x:v>
      </x:c>
      <x:c r="Y2349" s="55" t="n">
        <x:f>IF(ISNUMBER(X2349),ROUNDUP(X2349,0),"")</x:f>
        <x:v>12</x:v>
      </x:c>
      <x:c r="Z2349" t="str">
        <x:v>Source match pending</x:v>
      </x:c>
      <x:c r="AA2349" t="str">
        <x:v>screencapture-www-activesportstrade-co-uk-per4m-nutrition-trade-2026-09-10-09_06_42.pdf / page-04</x:v>
      </x:c>
      <x:c r="AB2349" s="36" t="n">
        <x:f>IF(ISNUMBER(Y2349),ROUND(Y2349*0.9,2),"")</x:f>
        <x:v>10.8</x:v>
      </x:c>
      <x:c r="AC2349" s="36" t="n">
        <x:f>IF(ISNUMBER(AB2349),ROUND(AB2349-(AB2349*0.015+0.2)-V2349,2),"")</x:f>
        <x:v>2.05</x:v>
      </x:c>
      <x:c r="AD2349" s="36" t="n">
        <x:f>IF(ISNUMBER(Y2349),ROUND(Y2349*0.8,2),"")</x:f>
        <x:v>9.6</x:v>
      </x:c>
      <x:c r="AE2349" s="36" t="n">
        <x:f>IF(ISNUMBER(AD2349),ROUND(AD2349*0.015+0.2,2),"")</x:f>
        <x:v>0.34</x:v>
      </x:c>
      <x:c r="AF2349" s="36" t="n">
        <x:f>IF(ISNUMBER(AD2349),ROUND(AD2349-AE2349-V2349,2),"")</x:f>
        <x:v>0.87</x:v>
      </x:c>
      <x:c r="AG2349" t="str">
        <x:f>IF(NOT(ISNUMBER(T2349)),"PENDING",IF(AF2349&gt;0,"PASS","FAIL"))</x:f>
        <x:v>PASS</x:v>
      </x:c>
      <x:c r="AH2349" t="str">
        <x:f>IF(NOT(ISNUMBER(T2349)),"Needs supplier cost",IF(K2349&lt;&gt;"In stock","Supplier unavailable",IF(AG2349&lt;&gt;"PASS","BLOCK - GT loss risk","Commercially protected")))</x:f>
        <x:v>Supplier unavailable</x:v>
      </x:c>
      <x:c r="AI2349" t="str">
        <x:v>2026-09-10 Active Sports trade capture</x:v>
      </x:c>
      <x:c r="AJ2349" t="str">
        <x:v>Management-only economics. Stripe stress test uses 1.5% + £0.20 standard UK online-card fee; pallet/mix-and-match pricing ignored.</x:v>
      </x:c>
    </x:row>
    <x:row r="2350">
      <x:c r="A2350" t="str">
        <x:v>Active Sports Nutrition</x:v>
      </x:c>
      <x:c r="B2350" t="str">
        <x:v>Per4m Nutrition</x:v>
      </x:c>
      <x:c r="C2350" t="str">
        <x:v>Flavour Powder</x:v>
      </x:c>
      <x:c r="D2350" t="str">
        <x:v>Food &amp; Drinks</x:v>
      </x:c>
      <x:c r="E2350" t="str">
        <x:v>Flavouring</x:v>
      </x:c>
      <x:c r="F2350" t="str"/>
      <x:c r="G2350" t="str">
        <x:v>150g</x:v>
      </x:c>
      <x:c r="H2350" t="str">
        <x:v>Cinnamon Donut</x:v>
      </x:c>
      <x:c r="I2350" t="str"/>
      <x:c r="J2350" t="str">
        <x:v>Unit</x:v>
      </x:c>
      <x:c r="K2350" t="str">
        <x:v>In stock</x:v>
      </x:c>
      <x:c r="L2350" t="str">
        <x:v>2026-09-08</x:v>
      </x:c>
      <x:c r="M2350" t="str"/>
      <x:c r="N2350" t="str"/>
      <x:c r="O2350" t="str">
        <x:v>https://www.activesportstrade.co.uk/per4m-nutrition-trade</x:v>
      </x:c>
      <x:c r="P2350" t="str"/>
      <x:c r="Q2350" t="str"/>
      <x:c r="R2350" t="str"/>
      <x:c r="S2350" t="str">
        <x:v>Pending genuine supplier/brand image</x:v>
      </x:c>
      <x:c r="T2350" s="54" t="n">
        <x:v>6.99</x:v>
      </x:c>
      <x:c r="U2350" s="47" t="n">
        <x:v>0.2</x:v>
      </x:c>
      <x:c r="V2350" s="54" t="n">
        <x:f>IF(ISNUMBER(T2350),T2350*(1+U2350),"")</x:f>
        <x:v>8.388</x:v>
      </x:c>
      <x:c r="W2350" s="47" t="n">
        <x:v>0.3</x:v>
      </x:c>
      <x:c r="X2350" s="54" t="n">
        <x:f>IF(ISNUMBER(V2350),V2350/(1-W2350),"")</x:f>
        <x:v>11.982857142857144</x:v>
      </x:c>
      <x:c r="Y2350" s="55" t="n">
        <x:f>IF(ISNUMBER(X2350),ROUNDUP(X2350,0),"")</x:f>
        <x:v>12</x:v>
      </x:c>
      <x:c r="Z2350" t="str">
        <x:v>Source match pending</x:v>
      </x:c>
      <x:c r="AA2350" t="str">
        <x:v>screencapture-www-activesportstrade-co-uk-per4m-nutrition-trade-2026-09-10-09_06_42.pdf / page-04</x:v>
      </x:c>
      <x:c r="AB2350" s="36" t="n">
        <x:f>IF(ISNUMBER(Y2350),ROUND(Y2350*0.9,2),"")</x:f>
        <x:v>10.8</x:v>
      </x:c>
      <x:c r="AC2350" s="36" t="n">
        <x:f>IF(ISNUMBER(AB2350),ROUND(AB2350-(AB2350*0.015+0.2)-V2350,2),"")</x:f>
        <x:v>2.05</x:v>
      </x:c>
      <x:c r="AD2350" s="36" t="n">
        <x:f>IF(ISNUMBER(Y2350),ROUND(Y2350*0.8,2),"")</x:f>
        <x:v>9.6</x:v>
      </x:c>
      <x:c r="AE2350" s="36" t="n">
        <x:f>IF(ISNUMBER(AD2350),ROUND(AD2350*0.015+0.2,2),"")</x:f>
        <x:v>0.34</x:v>
      </x:c>
      <x:c r="AF2350" s="36" t="n">
        <x:f>IF(ISNUMBER(AD2350),ROUND(AD2350-AE2350-V2350,2),"")</x:f>
        <x:v>0.87</x:v>
      </x:c>
      <x:c r="AG2350" t="str">
        <x:f>IF(NOT(ISNUMBER(T2350)),"PENDING",IF(AF2350&gt;0,"PASS","FAIL"))</x:f>
        <x:v>PASS</x:v>
      </x:c>
      <x:c r="AH2350" t="str">
        <x:f>IF(NOT(ISNUMBER(T2350)),"Needs supplier cost",IF(K2350&lt;&gt;"In stock","Supplier unavailable",IF(AG2350&lt;&gt;"PASS","BLOCK - GT loss risk","Commercially protected")))</x:f>
        <x:v>Commercially protected</x:v>
      </x:c>
      <x:c r="AI2350" t="str">
        <x:v>2026-09-10 Active Sports trade capture</x:v>
      </x:c>
      <x:c r="AJ2350" t="str">
        <x:v>Management-only economics. Stripe stress test uses 1.5% + £0.20 standard UK online-card fee; pallet/mix-and-match pricing ignored.</x:v>
      </x:c>
    </x:row>
    <x:row r="2351">
      <x:c r="A2351" t="str">
        <x:v>Active Sports Nutrition</x:v>
      </x:c>
      <x:c r="B2351" t="str">
        <x:v>Per4m Nutrition</x:v>
      </x:c>
      <x:c r="C2351" t="str">
        <x:v>Flavour Powder</x:v>
      </x:c>
      <x:c r="D2351" t="str">
        <x:v>Food &amp; Drinks</x:v>
      </x:c>
      <x:c r="E2351" t="str">
        <x:v>Flavouring</x:v>
      </x:c>
      <x:c r="F2351" t="str"/>
      <x:c r="G2351" t="str">
        <x:v>150g</x:v>
      </x:c>
      <x:c r="H2351" t="str">
        <x:v>Cookies &amp; Cream</x:v>
      </x:c>
      <x:c r="I2351" t="str"/>
      <x:c r="J2351" t="str">
        <x:v>Unit</x:v>
      </x:c>
      <x:c r="K2351" t="str">
        <x:v>In stock</x:v>
      </x:c>
      <x:c r="L2351" t="str">
        <x:v>2026-09-08</x:v>
      </x:c>
      <x:c r="M2351" t="str"/>
      <x:c r="N2351" t="str"/>
      <x:c r="O2351" t="str">
        <x:v>https://www.activesportstrade.co.uk/per4m-nutrition-trade</x:v>
      </x:c>
      <x:c r="P2351" t="str"/>
      <x:c r="Q2351" t="str"/>
      <x:c r="R2351" t="str"/>
      <x:c r="S2351" t="str">
        <x:v>Pending genuine supplier/brand image</x:v>
      </x:c>
      <x:c r="T2351" s="54" t="n">
        <x:v>6.99</x:v>
      </x:c>
      <x:c r="U2351" s="47" t="n">
        <x:v>0.2</x:v>
      </x:c>
      <x:c r="V2351" s="54" t="n">
        <x:f>IF(ISNUMBER(T2351),T2351*(1+U2351),"")</x:f>
        <x:v>8.388</x:v>
      </x:c>
      <x:c r="W2351" s="47" t="n">
        <x:v>0.3</x:v>
      </x:c>
      <x:c r="X2351" s="54" t="n">
        <x:f>IF(ISNUMBER(V2351),V2351/(1-W2351),"")</x:f>
        <x:v>11.982857142857144</x:v>
      </x:c>
      <x:c r="Y2351" s="55" t="n">
        <x:f>IF(ISNUMBER(X2351),ROUNDUP(X2351,0),"")</x:f>
        <x:v>12</x:v>
      </x:c>
      <x:c r="Z2351" t="str">
        <x:v>Source match pending</x:v>
      </x:c>
      <x:c r="AA2351" t="str">
        <x:v>screencapture-www-activesportstrade-co-uk-per4m-nutrition-trade-2026-09-10-09_06_42.pdf / page-04</x:v>
      </x:c>
      <x:c r="AB2351" s="36" t="n">
        <x:f>IF(ISNUMBER(Y2351),ROUND(Y2351*0.9,2),"")</x:f>
        <x:v>10.8</x:v>
      </x:c>
      <x:c r="AC2351" s="36" t="n">
        <x:f>IF(ISNUMBER(AB2351),ROUND(AB2351-(AB2351*0.015+0.2)-V2351,2),"")</x:f>
        <x:v>2.05</x:v>
      </x:c>
      <x:c r="AD2351" s="36" t="n">
        <x:f>IF(ISNUMBER(Y2351),ROUND(Y2351*0.8,2),"")</x:f>
        <x:v>9.6</x:v>
      </x:c>
      <x:c r="AE2351" s="36" t="n">
        <x:f>IF(ISNUMBER(AD2351),ROUND(AD2351*0.015+0.2,2),"")</x:f>
        <x:v>0.34</x:v>
      </x:c>
      <x:c r="AF2351" s="36" t="n">
        <x:f>IF(ISNUMBER(AD2351),ROUND(AD2351-AE2351-V2351,2),"")</x:f>
        <x:v>0.87</x:v>
      </x:c>
      <x:c r="AG2351" t="str">
        <x:f>IF(NOT(ISNUMBER(T2351)),"PENDING",IF(AF2351&gt;0,"PASS","FAIL"))</x:f>
        <x:v>PASS</x:v>
      </x:c>
      <x:c r="AH2351" t="str">
        <x:f>IF(NOT(ISNUMBER(T2351)),"Needs supplier cost",IF(K2351&lt;&gt;"In stock","Supplier unavailable",IF(AG2351&lt;&gt;"PASS","BLOCK - GT loss risk","Commercially protected")))</x:f>
        <x:v>Commercially protected</x:v>
      </x:c>
      <x:c r="AI2351" t="str">
        <x:v>2026-09-10 Active Sports trade capture</x:v>
      </x:c>
      <x:c r="AJ2351" t="str">
        <x:v>Management-only economics. Stripe stress test uses 1.5% + £0.20 standard UK online-card fee; pallet/mix-and-match pricing ignored.</x:v>
      </x:c>
    </x:row>
    <x:row r="2352">
      <x:c r="A2352" t="str">
        <x:v>Active Sports Nutrition</x:v>
      </x:c>
      <x:c r="B2352" t="str">
        <x:v>Per4m Nutrition</x:v>
      </x:c>
      <x:c r="C2352" t="str">
        <x:v>Flavour Powder</x:v>
      </x:c>
      <x:c r="D2352" t="str">
        <x:v>Food &amp; Drinks</x:v>
      </x:c>
      <x:c r="E2352" t="str">
        <x:v>Flavouring</x:v>
      </x:c>
      <x:c r="F2352" t="str"/>
      <x:c r="G2352" t="str">
        <x:v>150g</x:v>
      </x:c>
      <x:c r="H2352" t="str">
        <x:v>Raspberry White Chocolate</x:v>
      </x:c>
      <x:c r="I2352" t="str"/>
      <x:c r="J2352" t="str">
        <x:v>Unit</x:v>
      </x:c>
      <x:c r="K2352" t="str">
        <x:v>In stock</x:v>
      </x:c>
      <x:c r="L2352" t="str">
        <x:v>2026-09-08</x:v>
      </x:c>
      <x:c r="M2352" t="str"/>
      <x:c r="N2352" t="str"/>
      <x:c r="O2352" t="str">
        <x:v>https://www.activesportstrade.co.uk/per4m-nutrition-trade</x:v>
      </x:c>
      <x:c r="P2352" t="str"/>
      <x:c r="Q2352" t="str"/>
      <x:c r="R2352" t="str"/>
      <x:c r="S2352" t="str">
        <x:v>Pending genuine supplier/brand image</x:v>
      </x:c>
      <x:c r="T2352" s="54" t="n">
        <x:v>6.99</x:v>
      </x:c>
      <x:c r="U2352" s="47" t="n">
        <x:v>0.2</x:v>
      </x:c>
      <x:c r="V2352" s="54" t="n">
        <x:f>IF(ISNUMBER(T2352),T2352*(1+U2352),"")</x:f>
        <x:v>8.388</x:v>
      </x:c>
      <x:c r="W2352" s="47" t="n">
        <x:v>0.3</x:v>
      </x:c>
      <x:c r="X2352" s="54" t="n">
        <x:f>IF(ISNUMBER(V2352),V2352/(1-W2352),"")</x:f>
        <x:v>11.982857142857144</x:v>
      </x:c>
      <x:c r="Y2352" s="55" t="n">
        <x:f>IF(ISNUMBER(X2352),ROUNDUP(X2352,0),"")</x:f>
        <x:v>12</x:v>
      </x:c>
      <x:c r="Z2352" t="str">
        <x:v>Source match pending</x:v>
      </x:c>
      <x:c r="AA2352" t="str">
        <x:v>screencapture-www-activesportstrade-co-uk-per4m-nutrition-trade-2026-09-10-09_06_42.pdf / page-04</x:v>
      </x:c>
      <x:c r="AB2352" s="36" t="n">
        <x:f>IF(ISNUMBER(Y2352),ROUND(Y2352*0.9,2),"")</x:f>
        <x:v>10.8</x:v>
      </x:c>
      <x:c r="AC2352" s="36" t="n">
        <x:f>IF(ISNUMBER(AB2352),ROUND(AB2352-(AB2352*0.015+0.2)-V2352,2),"")</x:f>
        <x:v>2.05</x:v>
      </x:c>
      <x:c r="AD2352" s="36" t="n">
        <x:f>IF(ISNUMBER(Y2352),ROUND(Y2352*0.8,2),"")</x:f>
        <x:v>9.6</x:v>
      </x:c>
      <x:c r="AE2352" s="36" t="n">
        <x:f>IF(ISNUMBER(AD2352),ROUND(AD2352*0.015+0.2,2),"")</x:f>
        <x:v>0.34</x:v>
      </x:c>
      <x:c r="AF2352" s="36" t="n">
        <x:f>IF(ISNUMBER(AD2352),ROUND(AD2352-AE2352-V2352,2),"")</x:f>
        <x:v>0.87</x:v>
      </x:c>
      <x:c r="AG2352" t="str">
        <x:f>IF(NOT(ISNUMBER(T2352)),"PENDING",IF(AF2352&gt;0,"PASS","FAIL"))</x:f>
        <x:v>PASS</x:v>
      </x:c>
      <x:c r="AH2352" t="str">
        <x:f>IF(NOT(ISNUMBER(T2352)),"Needs supplier cost",IF(K2352&lt;&gt;"In stock","Supplier unavailable",IF(AG2352&lt;&gt;"PASS","BLOCK - GT loss risk","Commercially protected")))</x:f>
        <x:v>Commercially protected</x:v>
      </x:c>
      <x:c r="AI2352" t="str">
        <x:v>2026-09-10 Active Sports trade capture</x:v>
      </x:c>
      <x:c r="AJ2352" t="str">
        <x:v>Management-only economics. Stripe stress test uses 1.5% + £0.20 standard UK online-card fee; pallet/mix-and-match pricing ignored.</x:v>
      </x:c>
    </x:row>
    <x:row r="2353">
      <x:c r="A2353" t="str">
        <x:v>Active Sports Nutrition</x:v>
      </x:c>
      <x:c r="B2353" t="str">
        <x:v>Per4m Nutrition</x:v>
      </x:c>
      <x:c r="C2353" t="str">
        <x:v>Flavour Powder</x:v>
      </x:c>
      <x:c r="D2353" t="str">
        <x:v>Food &amp; Drinks</x:v>
      </x:c>
      <x:c r="E2353" t="str">
        <x:v>Flavouring</x:v>
      </x:c>
      <x:c r="F2353" t="str"/>
      <x:c r="G2353" t="str">
        <x:v>150g</x:v>
      </x:c>
      <x:c r="H2353" t="str">
        <x:v>Salted Caramel</x:v>
      </x:c>
      <x:c r="I2353" t="str"/>
      <x:c r="J2353" t="str">
        <x:v>Unit</x:v>
      </x:c>
      <x:c r="K2353" t="str">
        <x:v>Out of stock</x:v>
      </x:c>
      <x:c r="L2353" t="str">
        <x:v>2026-09-08</x:v>
      </x:c>
      <x:c r="M2353" t="str"/>
      <x:c r="N2353" t="str"/>
      <x:c r="O2353" t="str">
        <x:v>https://www.activesportstrade.co.uk/per4m-nutrition-trade</x:v>
      </x:c>
      <x:c r="P2353" t="str"/>
      <x:c r="Q2353" t="str"/>
      <x:c r="R2353" t="str"/>
      <x:c r="S2353" t="str">
        <x:v>Pending genuine supplier/brand image</x:v>
      </x:c>
      <x:c r="T2353" s="54" t="n">
        <x:v>6.99</x:v>
      </x:c>
      <x:c r="U2353" s="47" t="n">
        <x:v>0.2</x:v>
      </x:c>
      <x:c r="V2353" s="54" t="n">
        <x:f>IF(ISNUMBER(T2353),T2353*(1+U2353),"")</x:f>
        <x:v>8.388</x:v>
      </x:c>
      <x:c r="W2353" s="47" t="n">
        <x:v>0.3</x:v>
      </x:c>
      <x:c r="X2353" s="54" t="n">
        <x:f>IF(ISNUMBER(V2353),V2353/(1-W2353),"")</x:f>
        <x:v>11.982857142857144</x:v>
      </x:c>
      <x:c r="Y2353" s="55" t="n">
        <x:f>IF(ISNUMBER(X2353),ROUNDUP(X2353,0),"")</x:f>
        <x:v>12</x:v>
      </x:c>
      <x:c r="Z2353" t="str">
        <x:v>Source match pending</x:v>
      </x:c>
      <x:c r="AA2353" t="str">
        <x:v>screencapture-www-activesportstrade-co-uk-per4m-nutrition-trade-2026-09-10-09_06_42.pdf / page-04</x:v>
      </x:c>
      <x:c r="AB2353" s="36" t="n">
        <x:f>IF(ISNUMBER(Y2353),ROUND(Y2353*0.9,2),"")</x:f>
        <x:v>10.8</x:v>
      </x:c>
      <x:c r="AC2353" s="36" t="n">
        <x:f>IF(ISNUMBER(AB2353),ROUND(AB2353-(AB2353*0.015+0.2)-V2353,2),"")</x:f>
        <x:v>2.05</x:v>
      </x:c>
      <x:c r="AD2353" s="36" t="n">
        <x:f>IF(ISNUMBER(Y2353),ROUND(Y2353*0.8,2),"")</x:f>
        <x:v>9.6</x:v>
      </x:c>
      <x:c r="AE2353" s="36" t="n">
        <x:f>IF(ISNUMBER(AD2353),ROUND(AD2353*0.015+0.2,2),"")</x:f>
        <x:v>0.34</x:v>
      </x:c>
      <x:c r="AF2353" s="36" t="n">
        <x:f>IF(ISNUMBER(AD2353),ROUND(AD2353-AE2353-V2353,2),"")</x:f>
        <x:v>0.87</x:v>
      </x:c>
      <x:c r="AG2353" t="str">
        <x:f>IF(NOT(ISNUMBER(T2353)),"PENDING",IF(AF2353&gt;0,"PASS","FAIL"))</x:f>
        <x:v>PASS</x:v>
      </x:c>
      <x:c r="AH2353" t="str">
        <x:f>IF(NOT(ISNUMBER(T2353)),"Needs supplier cost",IF(K2353&lt;&gt;"In stock","Supplier unavailable",IF(AG2353&lt;&gt;"PASS","BLOCK - GT loss risk","Commercially protected")))</x:f>
        <x:v>Supplier unavailable</x:v>
      </x:c>
      <x:c r="AI2353" t="str">
        <x:v>2026-09-10 Active Sports trade capture</x:v>
      </x:c>
      <x:c r="AJ2353" t="str">
        <x:v>Management-only economics. Stripe stress test uses 1.5% + £0.20 standard UK online-card fee; pallet/mix-and-match pricing ignored.</x:v>
      </x:c>
    </x:row>
    <x:row r="2354">
      <x:c r="A2354" t="str">
        <x:v>Active Sports Nutrition</x:v>
      </x:c>
      <x:c r="B2354" t="str">
        <x:v>Per4m Nutrition</x:v>
      </x:c>
      <x:c r="C2354" t="str">
        <x:v>Flavour Powder</x:v>
      </x:c>
      <x:c r="D2354" t="str">
        <x:v>Food &amp; Drinks</x:v>
      </x:c>
      <x:c r="E2354" t="str">
        <x:v>Flavouring</x:v>
      </x:c>
      <x:c r="F2354" t="str"/>
      <x:c r="G2354" t="str">
        <x:v>150g</x:v>
      </x:c>
      <x:c r="H2354" t="str">
        <x:v>Vanilla Creme</x:v>
      </x:c>
      <x:c r="I2354" t="str"/>
      <x:c r="J2354" t="str">
        <x:v>Unit</x:v>
      </x:c>
      <x:c r="K2354" t="str">
        <x:v>In stock</x:v>
      </x:c>
      <x:c r="L2354" t="str">
        <x:v>2026-09-08</x:v>
      </x:c>
      <x:c r="M2354" t="str"/>
      <x:c r="N2354" t="str"/>
      <x:c r="O2354" t="str">
        <x:v>https://www.activesportstrade.co.uk/per4m-nutrition-trade</x:v>
      </x:c>
      <x:c r="P2354" t="str"/>
      <x:c r="Q2354" t="str"/>
      <x:c r="R2354" t="str"/>
      <x:c r="S2354" t="str">
        <x:v>Pending genuine supplier/brand image</x:v>
      </x:c>
      <x:c r="T2354" s="54" t="n">
        <x:v>6.99</x:v>
      </x:c>
      <x:c r="U2354" s="47" t="n">
        <x:v>0.2</x:v>
      </x:c>
      <x:c r="V2354" s="54" t="n">
        <x:f>IF(ISNUMBER(T2354),T2354*(1+U2354),"")</x:f>
        <x:v>8.388</x:v>
      </x:c>
      <x:c r="W2354" s="47" t="n">
        <x:v>0.3</x:v>
      </x:c>
      <x:c r="X2354" s="54" t="n">
        <x:f>IF(ISNUMBER(V2354),V2354/(1-W2354),"")</x:f>
        <x:v>11.982857142857144</x:v>
      </x:c>
      <x:c r="Y2354" s="55" t="n">
        <x:f>IF(ISNUMBER(X2354),ROUNDUP(X2354,0),"")</x:f>
        <x:v>12</x:v>
      </x:c>
      <x:c r="Z2354" t="str">
        <x:v>Source match pending</x:v>
      </x:c>
      <x:c r="AA2354" t="str">
        <x:v>screencapture-www-activesportstrade-co-uk-per4m-nutrition-trade-2026-09-10-09_06_42.pdf / page-04</x:v>
      </x:c>
      <x:c r="AB2354" s="36" t="n">
        <x:f>IF(ISNUMBER(Y2354),ROUND(Y2354*0.9,2),"")</x:f>
        <x:v>10.8</x:v>
      </x:c>
      <x:c r="AC2354" s="36" t="n">
        <x:f>IF(ISNUMBER(AB2354),ROUND(AB2354-(AB2354*0.015+0.2)-V2354,2),"")</x:f>
        <x:v>2.05</x:v>
      </x:c>
      <x:c r="AD2354" s="36" t="n">
        <x:f>IF(ISNUMBER(Y2354),ROUND(Y2354*0.8,2),"")</x:f>
        <x:v>9.6</x:v>
      </x:c>
      <x:c r="AE2354" s="36" t="n">
        <x:f>IF(ISNUMBER(AD2354),ROUND(AD2354*0.015+0.2,2),"")</x:f>
        <x:v>0.34</x:v>
      </x:c>
      <x:c r="AF2354" s="36" t="n">
        <x:f>IF(ISNUMBER(AD2354),ROUND(AD2354-AE2354-V2354,2),"")</x:f>
        <x:v>0.87</x:v>
      </x:c>
      <x:c r="AG2354" t="str">
        <x:f>IF(NOT(ISNUMBER(T2354)),"PENDING",IF(AF2354&gt;0,"PASS","FAIL"))</x:f>
        <x:v>PASS</x:v>
      </x:c>
      <x:c r="AH2354" t="str">
        <x:f>IF(NOT(ISNUMBER(T2354)),"Needs supplier cost",IF(K2354&lt;&gt;"In stock","Supplier unavailable",IF(AG2354&lt;&gt;"PASS","BLOCK - GT loss risk","Commercially protected")))</x:f>
        <x:v>Commercially protected</x:v>
      </x:c>
      <x:c r="AI2354" t="str">
        <x:v>2026-09-10 Active Sports trade capture</x:v>
      </x:c>
      <x:c r="AJ2354" t="str">
        <x:v>Management-only economics. Stripe stress test uses 1.5% + £0.20 standard UK online-card fee; pallet/mix-and-match pricing ignored.</x:v>
      </x:c>
    </x:row>
    <x:row r="2355">
      <x:c r="A2355" t="str">
        <x:v>Active Sports Nutrition</x:v>
      </x:c>
      <x:c r="B2355" t="str">
        <x:v>Per4m Nutrition</x:v>
      </x:c>
      <x:c r="C2355" t="str">
        <x:v>Glutamine</x:v>
      </x:c>
      <x:c r="D2355" t="str">
        <x:v>Supplements</x:v>
      </x:c>
      <x:c r="E2355" t="str">
        <x:v>L-Glutamine</x:v>
      </x:c>
      <x:c r="F2355" t="str"/>
      <x:c r="G2355" t="str">
        <x:v>400g</x:v>
      </x:c>
      <x:c r="H2355" t="str">
        <x:v>Unflavoured</x:v>
      </x:c>
      <x:c r="I2355" t="str"/>
      <x:c r="J2355" t="str">
        <x:v>Unit</x:v>
      </x:c>
      <x:c r="K2355" t="str">
        <x:v>In stock</x:v>
      </x:c>
      <x:c r="L2355" t="str">
        <x:v>2026-09-08</x:v>
      </x:c>
      <x:c r="M2355" t="str"/>
      <x:c r="N2355" t="str"/>
      <x:c r="O2355" t="str">
        <x:v>https://www.activesportstrade.co.uk/per4m-nutrition-trade</x:v>
      </x:c>
      <x:c r="P2355" t="str"/>
      <x:c r="Q2355" t="str"/>
      <x:c r="R2355" t="str"/>
      <x:c r="S2355" t="str">
        <x:v>Pending genuine supplier/brand image</x:v>
      </x:c>
      <x:c r="T2355" s="54" t="n">
        <x:v>9.99</x:v>
      </x:c>
      <x:c r="U2355" s="47" t="n">
        <x:v>0.2</x:v>
      </x:c>
      <x:c r="V2355" s="54" t="n">
        <x:f>IF(ISNUMBER(T2355),T2355*(1+U2355),"")</x:f>
        <x:v>11.988</x:v>
      </x:c>
      <x:c r="W2355" s="47" t="n">
        <x:v>0.3</x:v>
      </x:c>
      <x:c r="X2355" s="54" t="n">
        <x:f>IF(ISNUMBER(V2355),V2355/(1-W2355),"")</x:f>
        <x:v>17.125714285714285</x:v>
      </x:c>
      <x:c r="Y2355" s="55" t="n">
        <x:f>IF(ISNUMBER(X2355),ROUNDUP(X2355,0),"")</x:f>
        <x:v>18</x:v>
      </x:c>
      <x:c r="Z2355" t="str">
        <x:v>Source match pending</x:v>
      </x:c>
      <x:c r="AA2355" t="str">
        <x:v>screencapture-www-activesportstrade-co-uk-per4m-nutrition-trade-2026-09-10-09_06_42.pdf / page-04</x:v>
      </x:c>
      <x:c r="AB2355" s="36" t="n">
        <x:f>IF(ISNUMBER(Y2355),ROUND(Y2355*0.9,2),"")</x:f>
        <x:v>16.2</x:v>
      </x:c>
      <x:c r="AC2355" s="36" t="n">
        <x:f>IF(ISNUMBER(AB2355),ROUND(AB2355-(AB2355*0.015+0.2)-V2355,2),"")</x:f>
        <x:v>3.77</x:v>
      </x:c>
      <x:c r="AD2355" s="36" t="n">
        <x:f>IF(ISNUMBER(Y2355),ROUND(Y2355*0.8,2),"")</x:f>
        <x:v>14.4</x:v>
      </x:c>
      <x:c r="AE2355" s="36" t="n">
        <x:f>IF(ISNUMBER(AD2355),ROUND(AD2355*0.015+0.2,2),"")</x:f>
        <x:v>0.42</x:v>
      </x:c>
      <x:c r="AF2355" s="36" t="n">
        <x:f>IF(ISNUMBER(AD2355),ROUND(AD2355-AE2355-V2355,2),"")</x:f>
        <x:v>1.99</x:v>
      </x:c>
      <x:c r="AG2355" t="str">
        <x:f>IF(NOT(ISNUMBER(T2355)),"PENDING",IF(AF2355&gt;0,"PASS","FAIL"))</x:f>
        <x:v>PASS</x:v>
      </x:c>
      <x:c r="AH2355" t="str">
        <x:f>IF(NOT(ISNUMBER(T2355)),"Needs supplier cost",IF(K2355&lt;&gt;"In stock","Supplier unavailable",IF(AG2355&lt;&gt;"PASS","BLOCK - GT loss risk","Commercially protected")))</x:f>
        <x:v>Commercially protected</x:v>
      </x:c>
      <x:c r="AI2355" t="str">
        <x:v>2026-09-10 Active Sports trade capture</x:v>
      </x:c>
      <x:c r="AJ2355" t="str">
        <x:v>Management-only economics. Stripe stress test uses 1.5% + £0.20 standard UK online-card fee; pallet/mix-and-match pricing ignored.</x:v>
      </x:c>
    </x:row>
    <x:row r="2356">
      <x:c r="A2356" t="str">
        <x:v>Active Sports Nutrition</x:v>
      </x:c>
      <x:c r="B2356" t="str">
        <x:v>Per4m Nutrition</x:v>
      </x:c>
      <x:c r="C2356" t="str">
        <x:v>Greens</x:v>
      </x:c>
      <x:c r="D2356" t="str">
        <x:v>Supplements</x:v>
      </x:c>
      <x:c r="E2356" t="str">
        <x:v>Greens</x:v>
      </x:c>
      <x:c r="F2356" t="str"/>
      <x:c r="G2356" t="str">
        <x:v>30 servings</x:v>
      </x:c>
      <x:c r="H2356" t="str">
        <x:v>Apple Mango</x:v>
      </x:c>
      <x:c r="I2356" t="str"/>
      <x:c r="J2356" t="str">
        <x:v>Unit</x:v>
      </x:c>
      <x:c r="K2356" t="str">
        <x:v>In stock</x:v>
      </x:c>
      <x:c r="L2356" t="str">
        <x:v>2026-09-08</x:v>
      </x:c>
      <x:c r="M2356" t="str"/>
      <x:c r="N2356" t="str"/>
      <x:c r="O2356" t="str">
        <x:v>https://www.activesportstrade.co.uk/per4m-nutrition-trade</x:v>
      </x:c>
      <x:c r="P2356" t="str"/>
      <x:c r="Q2356" t="str"/>
      <x:c r="R2356" t="str"/>
      <x:c r="S2356" t="str">
        <x:v>Pending genuine supplier/brand image</x:v>
      </x:c>
      <x:c r="T2356" s="54" t="n">
        <x:v>9.99</x:v>
      </x:c>
      <x:c r="U2356" s="47" t="n">
        <x:v>0.2</x:v>
      </x:c>
      <x:c r="V2356" s="54" t="n">
        <x:f>IF(ISNUMBER(T2356),T2356*(1+U2356),"")</x:f>
        <x:v>11.988</x:v>
      </x:c>
      <x:c r="W2356" s="47" t="n">
        <x:v>0.3</x:v>
      </x:c>
      <x:c r="X2356" s="54" t="n">
        <x:f>IF(ISNUMBER(V2356),V2356/(1-W2356),"")</x:f>
        <x:v>17.125714285714285</x:v>
      </x:c>
      <x:c r="Y2356" s="55" t="n">
        <x:f>IF(ISNUMBER(X2356),ROUNDUP(X2356,0),"")</x:f>
        <x:v>18</x:v>
      </x:c>
      <x:c r="Z2356" t="str">
        <x:v>Source match pending</x:v>
      </x:c>
      <x:c r="AA2356" t="str">
        <x:v>screencapture-www-activesportstrade-co-uk-per4m-nutrition-trade-2026-09-10-09_06_42.pdf / page-04</x:v>
      </x:c>
      <x:c r="AB2356" s="36" t="n">
        <x:f>IF(ISNUMBER(Y2356),ROUND(Y2356*0.9,2),"")</x:f>
        <x:v>16.2</x:v>
      </x:c>
      <x:c r="AC2356" s="36" t="n">
        <x:f>IF(ISNUMBER(AB2356),ROUND(AB2356-(AB2356*0.015+0.2)-V2356,2),"")</x:f>
        <x:v>3.77</x:v>
      </x:c>
      <x:c r="AD2356" s="36" t="n">
        <x:f>IF(ISNUMBER(Y2356),ROUND(Y2356*0.8,2),"")</x:f>
        <x:v>14.4</x:v>
      </x:c>
      <x:c r="AE2356" s="36" t="n">
        <x:f>IF(ISNUMBER(AD2356),ROUND(AD2356*0.015+0.2,2),"")</x:f>
        <x:v>0.42</x:v>
      </x:c>
      <x:c r="AF2356" s="36" t="n">
        <x:f>IF(ISNUMBER(AD2356),ROUND(AD2356-AE2356-V2356,2),"")</x:f>
        <x:v>1.99</x:v>
      </x:c>
      <x:c r="AG2356" t="str">
        <x:f>IF(NOT(ISNUMBER(T2356)),"PENDING",IF(AF2356&gt;0,"PASS","FAIL"))</x:f>
        <x:v>PASS</x:v>
      </x:c>
      <x:c r="AH2356" t="str">
        <x:f>IF(NOT(ISNUMBER(T2356)),"Needs supplier cost",IF(K2356&lt;&gt;"In stock","Supplier unavailable",IF(AG2356&lt;&gt;"PASS","BLOCK - GT loss risk","Commercially protected")))</x:f>
        <x:v>Commercially protected</x:v>
      </x:c>
      <x:c r="AI2356" t="str">
        <x:v>2026-09-10 Active Sports trade capture</x:v>
      </x:c>
      <x:c r="AJ2356" t="str">
        <x:v>Management-only economics. Stripe stress test uses 1.5% + £0.20 standard UK online-card fee; pallet/mix-and-match pricing ignored.</x:v>
      </x:c>
    </x:row>
    <x:row r="2357">
      <x:c r="A2357" t="str">
        <x:v>Active Sports Nutrition</x:v>
      </x:c>
      <x:c r="B2357" t="str">
        <x:v>Per4m Nutrition</x:v>
      </x:c>
      <x:c r="C2357" t="str">
        <x:v>Greens</x:v>
      </x:c>
      <x:c r="D2357" t="str">
        <x:v>Supplements</x:v>
      </x:c>
      <x:c r="E2357" t="str">
        <x:v>Greens</x:v>
      </x:c>
      <x:c r="F2357" t="str"/>
      <x:c r="G2357" t="str">
        <x:v>30 servings</x:v>
      </x:c>
      <x:c r="H2357" t="str">
        <x:v>Raspberry Cherry</x:v>
      </x:c>
      <x:c r="I2357" t="str"/>
      <x:c r="J2357" t="str">
        <x:v>Unit</x:v>
      </x:c>
      <x:c r="K2357" t="str">
        <x:v>In stock</x:v>
      </x:c>
      <x:c r="L2357" t="str">
        <x:v>2026-09-08</x:v>
      </x:c>
      <x:c r="M2357" t="str"/>
      <x:c r="N2357" t="str"/>
      <x:c r="O2357" t="str">
        <x:v>https://www.activesportstrade.co.uk/per4m-nutrition-trade</x:v>
      </x:c>
      <x:c r="P2357" t="str"/>
      <x:c r="Q2357" t="str"/>
      <x:c r="R2357" t="str"/>
      <x:c r="S2357" t="str">
        <x:v>Pending genuine supplier/brand image</x:v>
      </x:c>
      <x:c r="T2357" s="54" t="n">
        <x:v>9.99</x:v>
      </x:c>
      <x:c r="U2357" s="47" t="n">
        <x:v>0.2</x:v>
      </x:c>
      <x:c r="V2357" s="54" t="n">
        <x:f>IF(ISNUMBER(T2357),T2357*(1+U2357),"")</x:f>
        <x:v>11.988</x:v>
      </x:c>
      <x:c r="W2357" s="47" t="n">
        <x:v>0.3</x:v>
      </x:c>
      <x:c r="X2357" s="54" t="n">
        <x:f>IF(ISNUMBER(V2357),V2357/(1-W2357),"")</x:f>
        <x:v>17.125714285714285</x:v>
      </x:c>
      <x:c r="Y2357" s="55" t="n">
        <x:f>IF(ISNUMBER(X2357),ROUNDUP(X2357,0),"")</x:f>
        <x:v>18</x:v>
      </x:c>
      <x:c r="Z2357" t="str">
        <x:v>Source match pending</x:v>
      </x:c>
      <x:c r="AA2357" t="str">
        <x:v>screencapture-www-activesportstrade-co-uk-per4m-nutrition-trade-2026-09-10-09_06_42.pdf / page-04</x:v>
      </x:c>
      <x:c r="AB2357" s="36" t="n">
        <x:f>IF(ISNUMBER(Y2357),ROUND(Y2357*0.9,2),"")</x:f>
        <x:v>16.2</x:v>
      </x:c>
      <x:c r="AC2357" s="36" t="n">
        <x:f>IF(ISNUMBER(AB2357),ROUND(AB2357-(AB2357*0.015+0.2)-V2357,2),"")</x:f>
        <x:v>3.77</x:v>
      </x:c>
      <x:c r="AD2357" s="36" t="n">
        <x:f>IF(ISNUMBER(Y2357),ROUND(Y2357*0.8,2),"")</x:f>
        <x:v>14.4</x:v>
      </x:c>
      <x:c r="AE2357" s="36" t="n">
        <x:f>IF(ISNUMBER(AD2357),ROUND(AD2357*0.015+0.2,2),"")</x:f>
        <x:v>0.42</x:v>
      </x:c>
      <x:c r="AF2357" s="36" t="n">
        <x:f>IF(ISNUMBER(AD2357),ROUND(AD2357-AE2357-V2357,2),"")</x:f>
        <x:v>1.99</x:v>
      </x:c>
      <x:c r="AG2357" t="str">
        <x:f>IF(NOT(ISNUMBER(T2357)),"PENDING",IF(AF2357&gt;0,"PASS","FAIL"))</x:f>
        <x:v>PASS</x:v>
      </x:c>
      <x:c r="AH2357" t="str">
        <x:f>IF(NOT(ISNUMBER(T2357)),"Needs supplier cost",IF(K2357&lt;&gt;"In stock","Supplier unavailable",IF(AG2357&lt;&gt;"PASS","BLOCK - GT loss risk","Commercially protected")))</x:f>
        <x:v>Commercially protected</x:v>
      </x:c>
      <x:c r="AI2357" t="str">
        <x:v>2026-09-10 Active Sports trade capture</x:v>
      </x:c>
      <x:c r="AJ2357" t="str">
        <x:v>Management-only economics. Stripe stress test uses 1.5% + £0.20 standard UK online-card fee; pallet/mix-and-match pricing ignored.</x:v>
      </x:c>
    </x:row>
    <x:row r="2358">
      <x:c r="A2358" t="str">
        <x:v>Active Sports Nutrition</x:v>
      </x:c>
      <x:c r="B2358" t="str">
        <x:v>Per4m Nutrition</x:v>
      </x:c>
      <x:c r="C2358" t="str">
        <x:v>Greens</x:v>
      </x:c>
      <x:c r="D2358" t="str">
        <x:v>Supplements</x:v>
      </x:c>
      <x:c r="E2358" t="str">
        <x:v>Greens</x:v>
      </x:c>
      <x:c r="F2358" t="str"/>
      <x:c r="G2358" t="str">
        <x:v>30 servings</x:v>
      </x:c>
      <x:c r="H2358" t="str">
        <x:v>Strawberry Blackcurrant</x:v>
      </x:c>
      <x:c r="I2358" t="str"/>
      <x:c r="J2358" t="str">
        <x:v>Unit</x:v>
      </x:c>
      <x:c r="K2358" t="str">
        <x:v>In stock</x:v>
      </x:c>
      <x:c r="L2358" t="str">
        <x:v>2026-09-08</x:v>
      </x:c>
      <x:c r="M2358" t="str"/>
      <x:c r="N2358" t="str"/>
      <x:c r="O2358" t="str">
        <x:v>https://www.activesportstrade.co.uk/per4m-nutrition-trade</x:v>
      </x:c>
      <x:c r="P2358" t="str"/>
      <x:c r="Q2358" t="str"/>
      <x:c r="R2358" t="str"/>
      <x:c r="S2358" t="str">
        <x:v>Pending genuine supplier/brand image</x:v>
      </x:c>
      <x:c r="T2358" s="54" t="n">
        <x:v>9.99</x:v>
      </x:c>
      <x:c r="U2358" s="47" t="n">
        <x:v>0.2</x:v>
      </x:c>
      <x:c r="V2358" s="54" t="n">
        <x:f>IF(ISNUMBER(T2358),T2358*(1+U2358),"")</x:f>
        <x:v>11.988</x:v>
      </x:c>
      <x:c r="W2358" s="47" t="n">
        <x:v>0.3</x:v>
      </x:c>
      <x:c r="X2358" s="54" t="n">
        <x:f>IF(ISNUMBER(V2358),V2358/(1-W2358),"")</x:f>
        <x:v>17.125714285714285</x:v>
      </x:c>
      <x:c r="Y2358" s="55" t="n">
        <x:f>IF(ISNUMBER(X2358),ROUNDUP(X2358,0),"")</x:f>
        <x:v>18</x:v>
      </x:c>
      <x:c r="Z2358" t="str">
        <x:v>Source match pending</x:v>
      </x:c>
      <x:c r="AA2358" t="str">
        <x:v>screencapture-www-activesportstrade-co-uk-per4m-nutrition-trade-2026-09-10-09_06_42.pdf / page-04</x:v>
      </x:c>
      <x:c r="AB2358" s="36" t="n">
        <x:f>IF(ISNUMBER(Y2358),ROUND(Y2358*0.9,2),"")</x:f>
        <x:v>16.2</x:v>
      </x:c>
      <x:c r="AC2358" s="36" t="n">
        <x:f>IF(ISNUMBER(AB2358),ROUND(AB2358-(AB2358*0.015+0.2)-V2358,2),"")</x:f>
        <x:v>3.77</x:v>
      </x:c>
      <x:c r="AD2358" s="36" t="n">
        <x:f>IF(ISNUMBER(Y2358),ROUND(Y2358*0.8,2),"")</x:f>
        <x:v>14.4</x:v>
      </x:c>
      <x:c r="AE2358" s="36" t="n">
        <x:f>IF(ISNUMBER(AD2358),ROUND(AD2358*0.015+0.2,2),"")</x:f>
        <x:v>0.42</x:v>
      </x:c>
      <x:c r="AF2358" s="36" t="n">
        <x:f>IF(ISNUMBER(AD2358),ROUND(AD2358-AE2358-V2358,2),"")</x:f>
        <x:v>1.99</x:v>
      </x:c>
      <x:c r="AG2358" t="str">
        <x:f>IF(NOT(ISNUMBER(T2358)),"PENDING",IF(AF2358&gt;0,"PASS","FAIL"))</x:f>
        <x:v>PASS</x:v>
      </x:c>
      <x:c r="AH2358" t="str">
        <x:f>IF(NOT(ISNUMBER(T2358)),"Needs supplier cost",IF(K2358&lt;&gt;"In stock","Supplier unavailable",IF(AG2358&lt;&gt;"PASS","BLOCK - GT loss risk","Commercially protected")))</x:f>
        <x:v>Commercially protected</x:v>
      </x:c>
      <x:c r="AI2358" t="str">
        <x:v>2026-09-10 Active Sports trade capture</x:v>
      </x:c>
      <x:c r="AJ2358" t="str">
        <x:v>Management-only economics. Stripe stress test uses 1.5% + £0.20 standard UK online-card fee; pallet/mix-and-match pricing ignored.</x:v>
      </x:c>
    </x:row>
    <x:row r="2359">
      <x:c r="A2359" t="str">
        <x:v>Active Sports Nutrition</x:v>
      </x:c>
      <x:c r="B2359" t="str">
        <x:v>Per4m Nutrition</x:v>
      </x:c>
      <x:c r="C2359" t="str">
        <x:v>Greens</x:v>
      </x:c>
      <x:c r="D2359" t="str">
        <x:v>Supplements</x:v>
      </x:c>
      <x:c r="E2359" t="str">
        <x:v>Greens</x:v>
      </x:c>
      <x:c r="F2359" t="str"/>
      <x:c r="G2359" t="str">
        <x:v>30 servings</x:v>
      </x:c>
      <x:c r="H2359" t="str">
        <x:v>Unflavoured</x:v>
      </x:c>
      <x:c r="I2359" t="str"/>
      <x:c r="J2359" t="str">
        <x:v>Unit</x:v>
      </x:c>
      <x:c r="K2359" t="str">
        <x:v>In stock</x:v>
      </x:c>
      <x:c r="L2359" t="str">
        <x:v>2026-09-08</x:v>
      </x:c>
      <x:c r="M2359" t="str"/>
      <x:c r="N2359" t="str"/>
      <x:c r="O2359" t="str">
        <x:v>https://www.activesportstrade.co.uk/per4m-nutrition-trade</x:v>
      </x:c>
      <x:c r="P2359" t="str"/>
      <x:c r="Q2359" t="str"/>
      <x:c r="R2359" t="str"/>
      <x:c r="S2359" t="str">
        <x:v>Pending genuine supplier/brand image</x:v>
      </x:c>
      <x:c r="T2359" s="54" t="n">
        <x:v>9.99</x:v>
      </x:c>
      <x:c r="U2359" s="47" t="n">
        <x:v>0.2</x:v>
      </x:c>
      <x:c r="V2359" s="54" t="n">
        <x:f>IF(ISNUMBER(T2359),T2359*(1+U2359),"")</x:f>
        <x:v>11.988</x:v>
      </x:c>
      <x:c r="W2359" s="47" t="n">
        <x:v>0.3</x:v>
      </x:c>
      <x:c r="X2359" s="54" t="n">
        <x:f>IF(ISNUMBER(V2359),V2359/(1-W2359),"")</x:f>
        <x:v>17.125714285714285</x:v>
      </x:c>
      <x:c r="Y2359" s="55" t="n">
        <x:f>IF(ISNUMBER(X2359),ROUNDUP(X2359,0),"")</x:f>
        <x:v>18</x:v>
      </x:c>
      <x:c r="Z2359" t="str">
        <x:v>Source match pending</x:v>
      </x:c>
      <x:c r="AA2359" t="str">
        <x:v>screencapture-www-activesportstrade-co-uk-per4m-nutrition-trade-2026-09-10-09_06_42.pdf / page-04</x:v>
      </x:c>
      <x:c r="AB2359" s="36" t="n">
        <x:f>IF(ISNUMBER(Y2359),ROUND(Y2359*0.9,2),"")</x:f>
        <x:v>16.2</x:v>
      </x:c>
      <x:c r="AC2359" s="36" t="n">
        <x:f>IF(ISNUMBER(AB2359),ROUND(AB2359-(AB2359*0.015+0.2)-V2359,2),"")</x:f>
        <x:v>3.77</x:v>
      </x:c>
      <x:c r="AD2359" s="36" t="n">
        <x:f>IF(ISNUMBER(Y2359),ROUND(Y2359*0.8,2),"")</x:f>
        <x:v>14.4</x:v>
      </x:c>
      <x:c r="AE2359" s="36" t="n">
        <x:f>IF(ISNUMBER(AD2359),ROUND(AD2359*0.015+0.2,2),"")</x:f>
        <x:v>0.42</x:v>
      </x:c>
      <x:c r="AF2359" s="36" t="n">
        <x:f>IF(ISNUMBER(AD2359),ROUND(AD2359-AE2359-V2359,2),"")</x:f>
        <x:v>1.99</x:v>
      </x:c>
      <x:c r="AG2359" t="str">
        <x:f>IF(NOT(ISNUMBER(T2359)),"PENDING",IF(AF2359&gt;0,"PASS","FAIL"))</x:f>
        <x:v>PASS</x:v>
      </x:c>
      <x:c r="AH2359" t="str">
        <x:f>IF(NOT(ISNUMBER(T2359)),"Needs supplier cost",IF(K2359&lt;&gt;"In stock","Supplier unavailable",IF(AG2359&lt;&gt;"PASS","BLOCK - GT loss risk","Commercially protected")))</x:f>
        <x:v>Commercially protected</x:v>
      </x:c>
      <x:c r="AI2359" t="str">
        <x:v>2026-09-10 Active Sports trade capture</x:v>
      </x:c>
      <x:c r="AJ2359" t="str">
        <x:v>Management-only economics. Stripe stress test uses 1.5% + £0.20 standard UK online-card fee; pallet/mix-and-match pricing ignored.</x:v>
      </x:c>
    </x:row>
    <x:row r="2360">
      <x:c r="A2360" t="str">
        <x:v>Active Sports Nutrition</x:v>
      </x:c>
      <x:c r="B2360" t="str">
        <x:v>Per4m Nutrition</x:v>
      </x:c>
      <x:c r="C2360" t="str">
        <x:v>Plant Protein</x:v>
      </x:c>
      <x:c r="D2360" t="str">
        <x:v>Supplements</x:v>
      </x:c>
      <x:c r="E2360" t="str">
        <x:v>Vegan Protein</x:v>
      </x:c>
      <x:c r="F2360" t="str"/>
      <x:c r="G2360" t="str">
        <x:v>900g</x:v>
      </x:c>
      <x:c r="H2360" t="str">
        <x:v>Choc Mint</x:v>
      </x:c>
      <x:c r="I2360" t="str"/>
      <x:c r="J2360" t="str">
        <x:v>Unit</x:v>
      </x:c>
      <x:c r="K2360" t="str">
        <x:v>In stock</x:v>
      </x:c>
      <x:c r="L2360" t="str">
        <x:v>2026-09-08</x:v>
      </x:c>
      <x:c r="M2360" t="str"/>
      <x:c r="N2360" t="str"/>
      <x:c r="O2360" t="str">
        <x:v>https://www.activesportstrade.co.uk/per4m-nutrition-trade</x:v>
      </x:c>
      <x:c r="P2360" t="str"/>
      <x:c r="Q2360" t="str"/>
      <x:c r="R2360" t="str"/>
      <x:c r="S2360" t="str">
        <x:v>Pending genuine supplier/brand image</x:v>
      </x:c>
      <x:c r="T2360" s="54" t="n">
        <x:v>12.99</x:v>
      </x:c>
      <x:c r="U2360" s="47" t="n">
        <x:v>0.2</x:v>
      </x:c>
      <x:c r="V2360" s="54" t="n">
        <x:f>IF(ISNUMBER(T2360),T2360*(1+U2360),"")</x:f>
        <x:v>15.588</x:v>
      </x:c>
      <x:c r="W2360" s="47" t="n">
        <x:v>0.3</x:v>
      </x:c>
      <x:c r="X2360" s="54" t="n">
        <x:f>IF(ISNUMBER(V2360),V2360/(1-W2360),"")</x:f>
        <x:v>22.26857142857143</x:v>
      </x:c>
      <x:c r="Y2360" s="55" t="n">
        <x:f>IF(ISNUMBER(X2360),ROUNDUP(X2360,0),"")</x:f>
        <x:v>23</x:v>
      </x:c>
      <x:c r="Z2360" t="str">
        <x:v>Source match pending</x:v>
      </x:c>
      <x:c r="AA2360" t="str">
        <x:v>screencapture-www-activesportstrade-co-uk-per4m-nutrition-trade-2026-09-10-09_06_42.pdf / page-07</x:v>
      </x:c>
      <x:c r="AB2360" s="36" t="n">
        <x:f>IF(ISNUMBER(Y2360),ROUND(Y2360*0.9,2),"")</x:f>
        <x:v>20.7</x:v>
      </x:c>
      <x:c r="AC2360" s="36" t="n">
        <x:f>IF(ISNUMBER(AB2360),ROUND(AB2360-(AB2360*0.015+0.2)-V2360,2),"")</x:f>
        <x:v>4.6</x:v>
      </x:c>
      <x:c r="AD2360" s="36" t="n">
        <x:f>IF(ISNUMBER(Y2360),ROUND(Y2360*0.8,2),"")</x:f>
        <x:v>18.4</x:v>
      </x:c>
      <x:c r="AE2360" s="36" t="n">
        <x:f>IF(ISNUMBER(AD2360),ROUND(AD2360*0.015+0.2,2),"")</x:f>
        <x:v>0.48</x:v>
      </x:c>
      <x:c r="AF2360" s="36" t="n">
        <x:f>IF(ISNUMBER(AD2360),ROUND(AD2360-AE2360-V2360,2),"")</x:f>
        <x:v>2.33</x:v>
      </x:c>
      <x:c r="AG2360" t="str">
        <x:f>IF(NOT(ISNUMBER(T2360)),"PENDING",IF(AF2360&gt;0,"PASS","FAIL"))</x:f>
        <x:v>PASS</x:v>
      </x:c>
      <x:c r="AH2360" t="str">
        <x:f>IF(NOT(ISNUMBER(T2360)),"Needs supplier cost",IF(K2360&lt;&gt;"In stock","Supplier unavailable",IF(AG2360&lt;&gt;"PASS","BLOCK - GT loss risk","Commercially protected")))</x:f>
        <x:v>Commercially protected</x:v>
      </x:c>
      <x:c r="AI2360" t="str">
        <x:v>2026-09-10 Active Sports trade capture</x:v>
      </x:c>
      <x:c r="AJ2360" t="str">
        <x:v>Management-only economics. Stripe stress test uses 1.5% + £0.20 standard UK online-card fee; pallet/mix-and-match pricing ignored.</x:v>
      </x:c>
    </x:row>
    <x:row r="2361">
      <x:c r="A2361" t="str">
        <x:v>Active Sports Nutrition</x:v>
      </x:c>
      <x:c r="B2361" t="str">
        <x:v>Per4m Nutrition</x:v>
      </x:c>
      <x:c r="C2361" t="str">
        <x:v>Plant Protein</x:v>
      </x:c>
      <x:c r="D2361" t="str">
        <x:v>Supplements</x:v>
      </x:c>
      <x:c r="E2361" t="str">
        <x:v>Vegan Protein</x:v>
      </x:c>
      <x:c r="F2361" t="str"/>
      <x:c r="G2361" t="str">
        <x:v>900g</x:v>
      </x:c>
      <x:c r="H2361" t="str">
        <x:v>Choc Orange</x:v>
      </x:c>
      <x:c r="I2361" t="str"/>
      <x:c r="J2361" t="str">
        <x:v>Unit</x:v>
      </x:c>
      <x:c r="K2361" t="str">
        <x:v>In stock</x:v>
      </x:c>
      <x:c r="L2361" t="str">
        <x:v>2026-09-08</x:v>
      </x:c>
      <x:c r="M2361" t="str"/>
      <x:c r="N2361" t="str"/>
      <x:c r="O2361" t="str">
        <x:v>https://www.activesportstrade.co.uk/per4m-nutrition-trade</x:v>
      </x:c>
      <x:c r="P2361" t="str"/>
      <x:c r="Q2361" t="str"/>
      <x:c r="R2361" t="str"/>
      <x:c r="S2361" t="str">
        <x:v>Pending genuine supplier/brand image</x:v>
      </x:c>
      <x:c r="T2361" s="54" t="n">
        <x:v>12.99</x:v>
      </x:c>
      <x:c r="U2361" s="47" t="n">
        <x:v>0.2</x:v>
      </x:c>
      <x:c r="V2361" s="54" t="n">
        <x:f>IF(ISNUMBER(T2361),T2361*(1+U2361),"")</x:f>
        <x:v>15.588</x:v>
      </x:c>
      <x:c r="W2361" s="47" t="n">
        <x:v>0.3</x:v>
      </x:c>
      <x:c r="X2361" s="54" t="n">
        <x:f>IF(ISNUMBER(V2361),V2361/(1-W2361),"")</x:f>
        <x:v>22.26857142857143</x:v>
      </x:c>
      <x:c r="Y2361" s="55" t="n">
        <x:f>IF(ISNUMBER(X2361),ROUNDUP(X2361,0),"")</x:f>
        <x:v>23</x:v>
      </x:c>
      <x:c r="Z2361" t="str">
        <x:v>Source match pending</x:v>
      </x:c>
      <x:c r="AA2361" t="str">
        <x:v>screencapture-www-activesportstrade-co-uk-per4m-nutrition-trade-2026-09-10-09_06_42.pdf / page-07</x:v>
      </x:c>
      <x:c r="AB2361" s="36" t="n">
        <x:f>IF(ISNUMBER(Y2361),ROUND(Y2361*0.9,2),"")</x:f>
        <x:v>20.7</x:v>
      </x:c>
      <x:c r="AC2361" s="36" t="n">
        <x:f>IF(ISNUMBER(AB2361),ROUND(AB2361-(AB2361*0.015+0.2)-V2361,2),"")</x:f>
        <x:v>4.6</x:v>
      </x:c>
      <x:c r="AD2361" s="36" t="n">
        <x:f>IF(ISNUMBER(Y2361),ROUND(Y2361*0.8,2),"")</x:f>
        <x:v>18.4</x:v>
      </x:c>
      <x:c r="AE2361" s="36" t="n">
        <x:f>IF(ISNUMBER(AD2361),ROUND(AD2361*0.015+0.2,2),"")</x:f>
        <x:v>0.48</x:v>
      </x:c>
      <x:c r="AF2361" s="36" t="n">
        <x:f>IF(ISNUMBER(AD2361),ROUND(AD2361-AE2361-V2361,2),"")</x:f>
        <x:v>2.33</x:v>
      </x:c>
      <x:c r="AG2361" t="str">
        <x:f>IF(NOT(ISNUMBER(T2361)),"PENDING",IF(AF2361&gt;0,"PASS","FAIL"))</x:f>
        <x:v>PASS</x:v>
      </x:c>
      <x:c r="AH2361" t="str">
        <x:f>IF(NOT(ISNUMBER(T2361)),"Needs supplier cost",IF(K2361&lt;&gt;"In stock","Supplier unavailable",IF(AG2361&lt;&gt;"PASS","BLOCK - GT loss risk","Commercially protected")))</x:f>
        <x:v>Commercially protected</x:v>
      </x:c>
      <x:c r="AI2361" t="str">
        <x:v>2026-09-10 Active Sports trade capture</x:v>
      </x:c>
      <x:c r="AJ2361" t="str">
        <x:v>Management-only economics. Stripe stress test uses 1.5% + £0.20 standard UK online-card fee; pallet/mix-and-match pricing ignored.</x:v>
      </x:c>
    </x:row>
    <x:row r="2362">
      <x:c r="A2362" t="str">
        <x:v>Active Sports Nutrition</x:v>
      </x:c>
      <x:c r="B2362" t="str">
        <x:v>Per4m Nutrition</x:v>
      </x:c>
      <x:c r="C2362" t="str">
        <x:v>Plant Protein</x:v>
      </x:c>
      <x:c r="D2362" t="str">
        <x:v>Supplements</x:v>
      </x:c>
      <x:c r="E2362" t="str">
        <x:v>Vegan Protein</x:v>
      </x:c>
      <x:c r="F2362" t="str"/>
      <x:c r="G2362" t="str">
        <x:v>900g</x:v>
      </x:c>
      <x:c r="H2362" t="str">
        <x:v>Chocotella</x:v>
      </x:c>
      <x:c r="I2362" t="str"/>
      <x:c r="J2362" t="str">
        <x:v>Unit</x:v>
      </x:c>
      <x:c r="K2362" t="str">
        <x:v>In stock</x:v>
      </x:c>
      <x:c r="L2362" t="str">
        <x:v>2026-09-08</x:v>
      </x:c>
      <x:c r="M2362" t="str"/>
      <x:c r="N2362" t="str"/>
      <x:c r="O2362" t="str">
        <x:v>https://www.activesportstrade.co.uk/per4m-nutrition-trade</x:v>
      </x:c>
      <x:c r="P2362" t="str"/>
      <x:c r="Q2362" t="str"/>
      <x:c r="R2362" t="str"/>
      <x:c r="S2362" t="str">
        <x:v>Pending genuine supplier/brand image</x:v>
      </x:c>
      <x:c r="T2362" s="54" t="n">
        <x:v>12.99</x:v>
      </x:c>
      <x:c r="U2362" s="47" t="n">
        <x:v>0.2</x:v>
      </x:c>
      <x:c r="V2362" s="54" t="n">
        <x:f>IF(ISNUMBER(T2362),T2362*(1+U2362),"")</x:f>
        <x:v>15.588</x:v>
      </x:c>
      <x:c r="W2362" s="47" t="n">
        <x:v>0.3</x:v>
      </x:c>
      <x:c r="X2362" s="54" t="n">
        <x:f>IF(ISNUMBER(V2362),V2362/(1-W2362),"")</x:f>
        <x:v>22.26857142857143</x:v>
      </x:c>
      <x:c r="Y2362" s="55" t="n">
        <x:f>IF(ISNUMBER(X2362),ROUNDUP(X2362,0),"")</x:f>
        <x:v>23</x:v>
      </x:c>
      <x:c r="Z2362" t="str">
        <x:v>Source match pending</x:v>
      </x:c>
      <x:c r="AA2362" t="str">
        <x:v>screencapture-www-activesportstrade-co-uk-per4m-nutrition-trade-2026-09-10-09_06_42.pdf / page-07</x:v>
      </x:c>
      <x:c r="AB2362" s="36" t="n">
        <x:f>IF(ISNUMBER(Y2362),ROUND(Y2362*0.9,2),"")</x:f>
        <x:v>20.7</x:v>
      </x:c>
      <x:c r="AC2362" s="36" t="n">
        <x:f>IF(ISNUMBER(AB2362),ROUND(AB2362-(AB2362*0.015+0.2)-V2362,2),"")</x:f>
        <x:v>4.6</x:v>
      </x:c>
      <x:c r="AD2362" s="36" t="n">
        <x:f>IF(ISNUMBER(Y2362),ROUND(Y2362*0.8,2),"")</x:f>
        <x:v>18.4</x:v>
      </x:c>
      <x:c r="AE2362" s="36" t="n">
        <x:f>IF(ISNUMBER(AD2362),ROUND(AD2362*0.015+0.2,2),"")</x:f>
        <x:v>0.48</x:v>
      </x:c>
      <x:c r="AF2362" s="36" t="n">
        <x:f>IF(ISNUMBER(AD2362),ROUND(AD2362-AE2362-V2362,2),"")</x:f>
        <x:v>2.33</x:v>
      </x:c>
      <x:c r="AG2362" t="str">
        <x:f>IF(NOT(ISNUMBER(T2362)),"PENDING",IF(AF2362&gt;0,"PASS","FAIL"))</x:f>
        <x:v>PASS</x:v>
      </x:c>
      <x:c r="AH2362" t="str">
        <x:f>IF(NOT(ISNUMBER(T2362)),"Needs supplier cost",IF(K2362&lt;&gt;"In stock","Supplier unavailable",IF(AG2362&lt;&gt;"PASS","BLOCK - GT loss risk","Commercially protected")))</x:f>
        <x:v>Commercially protected</x:v>
      </x:c>
      <x:c r="AI2362" t="str">
        <x:v>2026-09-10 Active Sports trade capture</x:v>
      </x:c>
      <x:c r="AJ2362" t="str">
        <x:v>Management-only economics. Stripe stress test uses 1.5% + £0.20 standard UK online-card fee; pallet/mix-and-match pricing ignored.</x:v>
      </x:c>
    </x:row>
    <x:row r="2363">
      <x:c r="A2363" t="str">
        <x:v>Active Sports Nutrition</x:v>
      </x:c>
      <x:c r="B2363" t="str">
        <x:v>Per4m Nutrition</x:v>
      </x:c>
      <x:c r="C2363" t="str">
        <x:v>Plant Protein</x:v>
      </x:c>
      <x:c r="D2363" t="str">
        <x:v>Supplements</x:v>
      </x:c>
      <x:c r="E2363" t="str">
        <x:v>Vegan Protein</x:v>
      </x:c>
      <x:c r="F2363" t="str"/>
      <x:c r="G2363" t="str">
        <x:v>900g</x:v>
      </x:c>
      <x:c r="H2363" t="str">
        <x:v>Double Chocolate</x:v>
      </x:c>
      <x:c r="I2363" t="str"/>
      <x:c r="J2363" t="str">
        <x:v>Unit</x:v>
      </x:c>
      <x:c r="K2363" t="str">
        <x:v>In stock</x:v>
      </x:c>
      <x:c r="L2363" t="str">
        <x:v>2026-09-08</x:v>
      </x:c>
      <x:c r="M2363" t="str"/>
      <x:c r="N2363" t="str"/>
      <x:c r="O2363" t="str">
        <x:v>https://www.activesportstrade.co.uk/per4m-nutrition-trade</x:v>
      </x:c>
      <x:c r="P2363" t="str"/>
      <x:c r="Q2363" t="str"/>
      <x:c r="R2363" t="str"/>
      <x:c r="S2363" t="str">
        <x:v>Pending genuine supplier/brand image</x:v>
      </x:c>
      <x:c r="T2363" s="54" t="n">
        <x:v>12.99</x:v>
      </x:c>
      <x:c r="U2363" s="47" t="n">
        <x:v>0.2</x:v>
      </x:c>
      <x:c r="V2363" s="54" t="n">
        <x:f>IF(ISNUMBER(T2363),T2363*(1+U2363),"")</x:f>
        <x:v>15.588</x:v>
      </x:c>
      <x:c r="W2363" s="47" t="n">
        <x:v>0.3</x:v>
      </x:c>
      <x:c r="X2363" s="54" t="n">
        <x:f>IF(ISNUMBER(V2363),V2363/(1-W2363),"")</x:f>
        <x:v>22.26857142857143</x:v>
      </x:c>
      <x:c r="Y2363" s="55" t="n">
        <x:f>IF(ISNUMBER(X2363),ROUNDUP(X2363,0),"")</x:f>
        <x:v>23</x:v>
      </x:c>
      <x:c r="Z2363" t="str">
        <x:v>Source match pending</x:v>
      </x:c>
      <x:c r="AA2363" t="str">
        <x:v>screencapture-www-activesportstrade-co-uk-per4m-nutrition-trade-2026-09-10-09_06_42.pdf / page-07</x:v>
      </x:c>
      <x:c r="AB2363" s="36" t="n">
        <x:f>IF(ISNUMBER(Y2363),ROUND(Y2363*0.9,2),"")</x:f>
        <x:v>20.7</x:v>
      </x:c>
      <x:c r="AC2363" s="36" t="n">
        <x:f>IF(ISNUMBER(AB2363),ROUND(AB2363-(AB2363*0.015+0.2)-V2363,2),"")</x:f>
        <x:v>4.6</x:v>
      </x:c>
      <x:c r="AD2363" s="36" t="n">
        <x:f>IF(ISNUMBER(Y2363),ROUND(Y2363*0.8,2),"")</x:f>
        <x:v>18.4</x:v>
      </x:c>
      <x:c r="AE2363" s="36" t="n">
        <x:f>IF(ISNUMBER(AD2363),ROUND(AD2363*0.015+0.2,2),"")</x:f>
        <x:v>0.48</x:v>
      </x:c>
      <x:c r="AF2363" s="36" t="n">
        <x:f>IF(ISNUMBER(AD2363),ROUND(AD2363-AE2363-V2363,2),"")</x:f>
        <x:v>2.33</x:v>
      </x:c>
      <x:c r="AG2363" t="str">
        <x:f>IF(NOT(ISNUMBER(T2363)),"PENDING",IF(AF2363&gt;0,"PASS","FAIL"))</x:f>
        <x:v>PASS</x:v>
      </x:c>
      <x:c r="AH2363" t="str">
        <x:f>IF(NOT(ISNUMBER(T2363)),"Needs supplier cost",IF(K2363&lt;&gt;"In stock","Supplier unavailable",IF(AG2363&lt;&gt;"PASS","BLOCK - GT loss risk","Commercially protected")))</x:f>
        <x:v>Commercially protected</x:v>
      </x:c>
      <x:c r="AI2363" t="str">
        <x:v>2026-09-10 Active Sports trade capture</x:v>
      </x:c>
      <x:c r="AJ2363" t="str">
        <x:v>Management-only economics. Stripe stress test uses 1.5% + £0.20 standard UK online-card fee; pallet/mix-and-match pricing ignored.</x:v>
      </x:c>
    </x:row>
    <x:row r="2364">
      <x:c r="A2364" t="str">
        <x:v>Active Sports Nutrition</x:v>
      </x:c>
      <x:c r="B2364" t="str">
        <x:v>Per4m Nutrition</x:v>
      </x:c>
      <x:c r="C2364" t="str">
        <x:v>Plant Protein</x:v>
      </x:c>
      <x:c r="D2364" t="str">
        <x:v>Supplements</x:v>
      </x:c>
      <x:c r="E2364" t="str">
        <x:v>Vegan Protein</x:v>
      </x:c>
      <x:c r="F2364" t="str"/>
      <x:c r="G2364" t="str">
        <x:v>900g</x:v>
      </x:c>
      <x:c r="H2364" t="str">
        <x:v>Raspberry White Chocolate</x:v>
      </x:c>
      <x:c r="I2364" t="str"/>
      <x:c r="J2364" t="str">
        <x:v>Unit</x:v>
      </x:c>
      <x:c r="K2364" t="str">
        <x:v>Out of stock</x:v>
      </x:c>
      <x:c r="L2364" t="str">
        <x:v>2026-09-08</x:v>
      </x:c>
      <x:c r="M2364" t="str"/>
      <x:c r="N2364" t="str"/>
      <x:c r="O2364" t="str">
        <x:v>https://www.activesportstrade.co.uk/per4m-nutrition-trade</x:v>
      </x:c>
      <x:c r="P2364" t="str"/>
      <x:c r="Q2364" t="str"/>
      <x:c r="R2364" t="str"/>
      <x:c r="S2364" t="str">
        <x:v>Pending genuine supplier/brand image</x:v>
      </x:c>
      <x:c r="T2364" s="54" t="n">
        <x:v>12.99</x:v>
      </x:c>
      <x:c r="U2364" s="47" t="n">
        <x:v>0.2</x:v>
      </x:c>
      <x:c r="V2364" s="54" t="n">
        <x:f>IF(ISNUMBER(T2364),T2364*(1+U2364),"")</x:f>
        <x:v>15.588</x:v>
      </x:c>
      <x:c r="W2364" s="47" t="n">
        <x:v>0.3</x:v>
      </x:c>
      <x:c r="X2364" s="54" t="n">
        <x:f>IF(ISNUMBER(V2364),V2364/(1-W2364),"")</x:f>
        <x:v>22.26857142857143</x:v>
      </x:c>
      <x:c r="Y2364" s="55" t="n">
        <x:f>IF(ISNUMBER(X2364),ROUNDUP(X2364,0),"")</x:f>
        <x:v>23</x:v>
      </x:c>
      <x:c r="Z2364" t="str">
        <x:v>Source match pending</x:v>
      </x:c>
      <x:c r="AA2364" t="str">
        <x:v>screencapture-www-activesportstrade-co-uk-per4m-nutrition-trade-2026-09-10-09_06_42.pdf / page-07</x:v>
      </x:c>
      <x:c r="AB2364" s="36" t="n">
        <x:f>IF(ISNUMBER(Y2364),ROUND(Y2364*0.9,2),"")</x:f>
        <x:v>20.7</x:v>
      </x:c>
      <x:c r="AC2364" s="36" t="n">
        <x:f>IF(ISNUMBER(AB2364),ROUND(AB2364-(AB2364*0.015+0.2)-V2364,2),"")</x:f>
        <x:v>4.6</x:v>
      </x:c>
      <x:c r="AD2364" s="36" t="n">
        <x:f>IF(ISNUMBER(Y2364),ROUND(Y2364*0.8,2),"")</x:f>
        <x:v>18.4</x:v>
      </x:c>
      <x:c r="AE2364" s="36" t="n">
        <x:f>IF(ISNUMBER(AD2364),ROUND(AD2364*0.015+0.2,2),"")</x:f>
        <x:v>0.48</x:v>
      </x:c>
      <x:c r="AF2364" s="36" t="n">
        <x:f>IF(ISNUMBER(AD2364),ROUND(AD2364-AE2364-V2364,2),"")</x:f>
        <x:v>2.33</x:v>
      </x:c>
      <x:c r="AG2364" t="str">
        <x:f>IF(NOT(ISNUMBER(T2364)),"PENDING",IF(AF2364&gt;0,"PASS","FAIL"))</x:f>
        <x:v>PASS</x:v>
      </x:c>
      <x:c r="AH2364" t="str">
        <x:f>IF(NOT(ISNUMBER(T2364)),"Needs supplier cost",IF(K2364&lt;&gt;"In stock","Supplier unavailable",IF(AG2364&lt;&gt;"PASS","BLOCK - GT loss risk","Commercially protected")))</x:f>
        <x:v>Supplier unavailable</x:v>
      </x:c>
      <x:c r="AI2364" t="str">
        <x:v>2026-09-10 Active Sports trade capture</x:v>
      </x:c>
      <x:c r="AJ2364" t="str">
        <x:v>Management-only economics. Stripe stress test uses 1.5% + £0.20 standard UK online-card fee; pallet/mix-and-match pricing ignored.</x:v>
      </x:c>
    </x:row>
    <x:row r="2365">
      <x:c r="A2365" t="str">
        <x:v>Active Sports Nutrition</x:v>
      </x:c>
      <x:c r="B2365" t="str">
        <x:v>Per4m Nutrition</x:v>
      </x:c>
      <x:c r="C2365" t="str">
        <x:v>Plant Protein</x:v>
      </x:c>
      <x:c r="D2365" t="str">
        <x:v>Supplements</x:v>
      </x:c>
      <x:c r="E2365" t="str">
        <x:v>Vegan Protein</x:v>
      </x:c>
      <x:c r="F2365" t="str"/>
      <x:c r="G2365" t="str">
        <x:v>900g</x:v>
      </x:c>
      <x:c r="H2365" t="str">
        <x:v>Salted Caramel</x:v>
      </x:c>
      <x:c r="I2365" t="str"/>
      <x:c r="J2365" t="str">
        <x:v>Unit</x:v>
      </x:c>
      <x:c r="K2365" t="str">
        <x:v>In stock</x:v>
      </x:c>
      <x:c r="L2365" t="str">
        <x:v>2026-09-08</x:v>
      </x:c>
      <x:c r="M2365" t="str"/>
      <x:c r="N2365" t="str"/>
      <x:c r="O2365" t="str">
        <x:v>https://www.activesportstrade.co.uk/per4m-nutrition-trade</x:v>
      </x:c>
      <x:c r="P2365" t="str"/>
      <x:c r="Q2365" t="str"/>
      <x:c r="R2365" t="str"/>
      <x:c r="S2365" t="str">
        <x:v>Pending genuine supplier/brand image</x:v>
      </x:c>
      <x:c r="T2365" s="54" t="n">
        <x:v>12.99</x:v>
      </x:c>
      <x:c r="U2365" s="47" t="n">
        <x:v>0.2</x:v>
      </x:c>
      <x:c r="V2365" s="54" t="n">
        <x:f>IF(ISNUMBER(T2365),T2365*(1+U2365),"")</x:f>
        <x:v>15.588</x:v>
      </x:c>
      <x:c r="W2365" s="47" t="n">
        <x:v>0.3</x:v>
      </x:c>
      <x:c r="X2365" s="54" t="n">
        <x:f>IF(ISNUMBER(V2365),V2365/(1-W2365),"")</x:f>
        <x:v>22.26857142857143</x:v>
      </x:c>
      <x:c r="Y2365" s="55" t="n">
        <x:f>IF(ISNUMBER(X2365),ROUNDUP(X2365,0),"")</x:f>
        <x:v>23</x:v>
      </x:c>
      <x:c r="Z2365" t="str">
        <x:v>Source match pending</x:v>
      </x:c>
      <x:c r="AA2365" t="str">
        <x:v>screencapture-www-activesportstrade-co-uk-per4m-nutrition-trade-2026-09-10-09_06_42.pdf / page-07</x:v>
      </x:c>
      <x:c r="AB2365" s="36" t="n">
        <x:f>IF(ISNUMBER(Y2365),ROUND(Y2365*0.9,2),"")</x:f>
        <x:v>20.7</x:v>
      </x:c>
      <x:c r="AC2365" s="36" t="n">
        <x:f>IF(ISNUMBER(AB2365),ROUND(AB2365-(AB2365*0.015+0.2)-V2365,2),"")</x:f>
        <x:v>4.6</x:v>
      </x:c>
      <x:c r="AD2365" s="36" t="n">
        <x:f>IF(ISNUMBER(Y2365),ROUND(Y2365*0.8,2),"")</x:f>
        <x:v>18.4</x:v>
      </x:c>
      <x:c r="AE2365" s="36" t="n">
        <x:f>IF(ISNUMBER(AD2365),ROUND(AD2365*0.015+0.2,2),"")</x:f>
        <x:v>0.48</x:v>
      </x:c>
      <x:c r="AF2365" s="36" t="n">
        <x:f>IF(ISNUMBER(AD2365),ROUND(AD2365-AE2365-V2365,2),"")</x:f>
        <x:v>2.33</x:v>
      </x:c>
      <x:c r="AG2365" t="str">
        <x:f>IF(NOT(ISNUMBER(T2365)),"PENDING",IF(AF2365&gt;0,"PASS","FAIL"))</x:f>
        <x:v>PASS</x:v>
      </x:c>
      <x:c r="AH2365" t="str">
        <x:f>IF(NOT(ISNUMBER(T2365)),"Needs supplier cost",IF(K2365&lt;&gt;"In stock","Supplier unavailable",IF(AG2365&lt;&gt;"PASS","BLOCK - GT loss risk","Commercially protected")))</x:f>
        <x:v>Commercially protected</x:v>
      </x:c>
      <x:c r="AI2365" t="str">
        <x:v>2026-09-10 Active Sports trade capture</x:v>
      </x:c>
      <x:c r="AJ2365" t="str">
        <x:v>Management-only economics. Stripe stress test uses 1.5% + £0.20 standard UK online-card fee; pallet/mix-and-match pricing ignored.</x:v>
      </x:c>
    </x:row>
    <x:row r="2366">
      <x:c r="A2366" t="str">
        <x:v>Active Sports Nutrition</x:v>
      </x:c>
      <x:c r="B2366" t="str">
        <x:v>Per4m Nutrition</x:v>
      </x:c>
      <x:c r="C2366" t="str">
        <x:v>Plant Protein</x:v>
      </x:c>
      <x:c r="D2366" t="str">
        <x:v>Supplements</x:v>
      </x:c>
      <x:c r="E2366" t="str">
        <x:v>Vegan Protein</x:v>
      </x:c>
      <x:c r="F2366" t="str"/>
      <x:c r="G2366" t="str">
        <x:v>900g</x:v>
      </x:c>
      <x:c r="H2366" t="str">
        <x:v>Strawberry Creme</x:v>
      </x:c>
      <x:c r="I2366" t="str"/>
      <x:c r="J2366" t="str">
        <x:v>Unit</x:v>
      </x:c>
      <x:c r="K2366" t="str">
        <x:v>In stock</x:v>
      </x:c>
      <x:c r="L2366" t="str">
        <x:v>2026-09-08</x:v>
      </x:c>
      <x:c r="M2366" t="str"/>
      <x:c r="N2366" t="str"/>
      <x:c r="O2366" t="str">
        <x:v>https://www.activesportstrade.co.uk/per4m-nutrition-trade</x:v>
      </x:c>
      <x:c r="P2366" t="str"/>
      <x:c r="Q2366" t="str"/>
      <x:c r="R2366" t="str"/>
      <x:c r="S2366" t="str">
        <x:v>Pending genuine supplier/brand image</x:v>
      </x:c>
      <x:c r="T2366" s="54" t="n">
        <x:v>12.99</x:v>
      </x:c>
      <x:c r="U2366" s="47" t="n">
        <x:v>0.2</x:v>
      </x:c>
      <x:c r="V2366" s="54" t="n">
        <x:f>IF(ISNUMBER(T2366),T2366*(1+U2366),"")</x:f>
        <x:v>15.588</x:v>
      </x:c>
      <x:c r="W2366" s="47" t="n">
        <x:v>0.3</x:v>
      </x:c>
      <x:c r="X2366" s="54" t="n">
        <x:f>IF(ISNUMBER(V2366),V2366/(1-W2366),"")</x:f>
        <x:v>22.26857142857143</x:v>
      </x:c>
      <x:c r="Y2366" s="55" t="n">
        <x:f>IF(ISNUMBER(X2366),ROUNDUP(X2366,0),"")</x:f>
        <x:v>23</x:v>
      </x:c>
      <x:c r="Z2366" t="str">
        <x:v>Source match pending</x:v>
      </x:c>
      <x:c r="AA2366" t="str">
        <x:v>screencapture-www-activesportstrade-co-uk-per4m-nutrition-trade-2026-09-10-09_06_42.pdf / page-07</x:v>
      </x:c>
      <x:c r="AB2366" s="36" t="n">
        <x:f>IF(ISNUMBER(Y2366),ROUND(Y2366*0.9,2),"")</x:f>
        <x:v>20.7</x:v>
      </x:c>
      <x:c r="AC2366" s="36" t="n">
        <x:f>IF(ISNUMBER(AB2366),ROUND(AB2366-(AB2366*0.015+0.2)-V2366,2),"")</x:f>
        <x:v>4.6</x:v>
      </x:c>
      <x:c r="AD2366" s="36" t="n">
        <x:f>IF(ISNUMBER(Y2366),ROUND(Y2366*0.8,2),"")</x:f>
        <x:v>18.4</x:v>
      </x:c>
      <x:c r="AE2366" s="36" t="n">
        <x:f>IF(ISNUMBER(AD2366),ROUND(AD2366*0.015+0.2,2),"")</x:f>
        <x:v>0.48</x:v>
      </x:c>
      <x:c r="AF2366" s="36" t="n">
        <x:f>IF(ISNUMBER(AD2366),ROUND(AD2366-AE2366-V2366,2),"")</x:f>
        <x:v>2.33</x:v>
      </x:c>
      <x:c r="AG2366" t="str">
        <x:f>IF(NOT(ISNUMBER(T2366)),"PENDING",IF(AF2366&gt;0,"PASS","FAIL"))</x:f>
        <x:v>PASS</x:v>
      </x:c>
      <x:c r="AH2366" t="str">
        <x:f>IF(NOT(ISNUMBER(T2366)),"Needs supplier cost",IF(K2366&lt;&gt;"In stock","Supplier unavailable",IF(AG2366&lt;&gt;"PASS","BLOCK - GT loss risk","Commercially protected")))</x:f>
        <x:v>Commercially protected</x:v>
      </x:c>
      <x:c r="AI2366" t="str">
        <x:v>2026-09-10 Active Sports trade capture</x:v>
      </x:c>
      <x:c r="AJ2366" t="str">
        <x:v>Management-only economics. Stripe stress test uses 1.5% + £0.20 standard UK online-card fee; pallet/mix-and-match pricing ignored.</x:v>
      </x:c>
    </x:row>
    <x:row r="2367">
      <x:c r="A2367" t="str">
        <x:v>Active Sports Nutrition</x:v>
      </x:c>
      <x:c r="B2367" t="str">
        <x:v>Per4m Nutrition</x:v>
      </x:c>
      <x:c r="C2367" t="str">
        <x:v>Plant Protein</x:v>
      </x:c>
      <x:c r="D2367" t="str">
        <x:v>Supplements</x:v>
      </x:c>
      <x:c r="E2367" t="str">
        <x:v>Vegan Protein</x:v>
      </x:c>
      <x:c r="F2367" t="str"/>
      <x:c r="G2367" t="str">
        <x:v>900g</x:v>
      </x:c>
      <x:c r="H2367" t="str">
        <x:v>Vanilla Creme</x:v>
      </x:c>
      <x:c r="I2367" t="str"/>
      <x:c r="J2367" t="str">
        <x:v>Unit</x:v>
      </x:c>
      <x:c r="K2367" t="str">
        <x:v>In stock</x:v>
      </x:c>
      <x:c r="L2367" t="str">
        <x:v>2026-09-08</x:v>
      </x:c>
      <x:c r="M2367" t="str"/>
      <x:c r="N2367" t="str"/>
      <x:c r="O2367" t="str">
        <x:v>https://www.activesportstrade.co.uk/per4m-nutrition-trade</x:v>
      </x:c>
      <x:c r="P2367" t="str"/>
      <x:c r="Q2367" t="str"/>
      <x:c r="R2367" t="str"/>
      <x:c r="S2367" t="str">
        <x:v>Pending genuine supplier/brand image</x:v>
      </x:c>
      <x:c r="T2367" s="54" t="n">
        <x:v>12.99</x:v>
      </x:c>
      <x:c r="U2367" s="47" t="n">
        <x:v>0.2</x:v>
      </x:c>
      <x:c r="V2367" s="54" t="n">
        <x:f>IF(ISNUMBER(T2367),T2367*(1+U2367),"")</x:f>
        <x:v>15.588</x:v>
      </x:c>
      <x:c r="W2367" s="47" t="n">
        <x:v>0.3</x:v>
      </x:c>
      <x:c r="X2367" s="54" t="n">
        <x:f>IF(ISNUMBER(V2367),V2367/(1-W2367),"")</x:f>
        <x:v>22.26857142857143</x:v>
      </x:c>
      <x:c r="Y2367" s="55" t="n">
        <x:f>IF(ISNUMBER(X2367),ROUNDUP(X2367,0),"")</x:f>
        <x:v>23</x:v>
      </x:c>
      <x:c r="Z2367" t="str">
        <x:v>Source match pending</x:v>
      </x:c>
      <x:c r="AA2367" t="str">
        <x:v>screencapture-www-activesportstrade-co-uk-per4m-nutrition-trade-2026-09-10-09_06_42.pdf / page-07</x:v>
      </x:c>
      <x:c r="AB2367" s="36" t="n">
        <x:f>IF(ISNUMBER(Y2367),ROUND(Y2367*0.9,2),"")</x:f>
        <x:v>20.7</x:v>
      </x:c>
      <x:c r="AC2367" s="36" t="n">
        <x:f>IF(ISNUMBER(AB2367),ROUND(AB2367-(AB2367*0.015+0.2)-V2367,2),"")</x:f>
        <x:v>4.6</x:v>
      </x:c>
      <x:c r="AD2367" s="36" t="n">
        <x:f>IF(ISNUMBER(Y2367),ROUND(Y2367*0.8,2),"")</x:f>
        <x:v>18.4</x:v>
      </x:c>
      <x:c r="AE2367" s="36" t="n">
        <x:f>IF(ISNUMBER(AD2367),ROUND(AD2367*0.015+0.2,2),"")</x:f>
        <x:v>0.48</x:v>
      </x:c>
      <x:c r="AF2367" s="36" t="n">
        <x:f>IF(ISNUMBER(AD2367),ROUND(AD2367-AE2367-V2367,2),"")</x:f>
        <x:v>2.33</x:v>
      </x:c>
      <x:c r="AG2367" t="str">
        <x:f>IF(NOT(ISNUMBER(T2367)),"PENDING",IF(AF2367&gt;0,"PASS","FAIL"))</x:f>
        <x:v>PASS</x:v>
      </x:c>
      <x:c r="AH2367" t="str">
        <x:f>IF(NOT(ISNUMBER(T2367)),"Needs supplier cost",IF(K2367&lt;&gt;"In stock","Supplier unavailable",IF(AG2367&lt;&gt;"PASS","BLOCK - GT loss risk","Commercially protected")))</x:f>
        <x:v>Commercially protected</x:v>
      </x:c>
      <x:c r="AI2367" t="str">
        <x:v>2026-09-10 Active Sports trade capture</x:v>
      </x:c>
      <x:c r="AJ2367" t="str">
        <x:v>Management-only economics. Stripe stress test uses 1.5% + £0.20 standard UK online-card fee; pallet/mix-and-match pricing ignored.</x:v>
      </x:c>
    </x:row>
    <x:row r="2368">
      <x:c r="A2368" t="str">
        <x:v>Active Sports Nutrition</x:v>
      </x:c>
      <x:c r="B2368" t="str">
        <x:v>Per4m Nutrition</x:v>
      </x:c>
      <x:c r="C2368" t="str">
        <x:v>PRE</x:v>
      </x:c>
      <x:c r="D2368" t="str">
        <x:v>Pre Workouts</x:v>
      </x:c>
      <x:c r="E2368" t="str">
        <x:v>Pre Workout</x:v>
      </x:c>
      <x:c r="F2368" t="str"/>
      <x:c r="G2368" t="str">
        <x:v>570g</x:v>
      </x:c>
      <x:c r="H2368" t="str">
        <x:v>Berry Blast</x:v>
      </x:c>
      <x:c r="I2368" t="str"/>
      <x:c r="J2368" t="str">
        <x:v>Unit</x:v>
      </x:c>
      <x:c r="K2368" t="str">
        <x:v>In stock</x:v>
      </x:c>
      <x:c r="L2368" t="str">
        <x:v>2026-09-08</x:v>
      </x:c>
      <x:c r="M2368" t="str"/>
      <x:c r="N2368" t="str"/>
      <x:c r="O2368" t="str">
        <x:v>https://www.activesportstrade.co.uk/per4m-nutrition-trade</x:v>
      </x:c>
      <x:c r="P2368" t="str">
        <x:v>SPECIAL OFFER/FREE CREATINE and NEW wording stripped from canonical title/flavours.</x:v>
      </x:c>
      <x:c r="Q2368" t="str"/>
      <x:c r="R2368" t="str"/>
      <x:c r="S2368" t="str">
        <x:v>Pending genuine supplier/brand image</x:v>
      </x:c>
      <x:c r="T2368" s="54" t="n">
        <x:v>18.99</x:v>
      </x:c>
      <x:c r="U2368" s="47" t="n">
        <x:v>0.2</x:v>
      </x:c>
      <x:c r="V2368" s="54" t="n">
        <x:f>IF(ISNUMBER(T2368),T2368*(1+U2368),"")</x:f>
        <x:v>22.787999999999997</x:v>
      </x:c>
      <x:c r="W2368" s="47" t="n">
        <x:v>0.3</x:v>
      </x:c>
      <x:c r="X2368" s="54" t="n">
        <x:f>IF(ISNUMBER(V2368),V2368/(1-W2368),"")</x:f>
        <x:v>32.55428571428571</x:v>
      </x:c>
      <x:c r="Y2368" s="55" t="n">
        <x:f>IF(ISNUMBER(X2368),ROUNDUP(X2368,0),"")</x:f>
        <x:v>33</x:v>
      </x:c>
      <x:c r="Z2368" t="str">
        <x:v>Source match pending</x:v>
      </x:c>
      <x:c r="AA2368" t="str">
        <x:v>screencapture-www-activesportstrade-co-uk-per4m-nutrition-trade-2026-09-10-09_06_42.pdf / page-07</x:v>
      </x:c>
      <x:c r="AB2368" s="36" t="n">
        <x:f>IF(ISNUMBER(Y2368),ROUND(Y2368*0.9,2),"")</x:f>
        <x:v>29.7</x:v>
      </x:c>
      <x:c r="AC2368" s="36" t="n">
        <x:f>IF(ISNUMBER(AB2368),ROUND(AB2368-(AB2368*0.015+0.2)-V2368,2),"")</x:f>
        <x:v>6.27</x:v>
      </x:c>
      <x:c r="AD2368" s="36" t="n">
        <x:f>IF(ISNUMBER(Y2368),ROUND(Y2368*0.8,2),"")</x:f>
        <x:v>26.4</x:v>
      </x:c>
      <x:c r="AE2368" s="36" t="n">
        <x:f>IF(ISNUMBER(AD2368),ROUND(AD2368*0.015+0.2,2),"")</x:f>
        <x:v>0.6</x:v>
      </x:c>
      <x:c r="AF2368" s="36" t="n">
        <x:f>IF(ISNUMBER(AD2368),ROUND(AD2368-AE2368-V2368,2),"")</x:f>
        <x:v>3.01</x:v>
      </x:c>
      <x:c r="AG2368" t="str">
        <x:f>IF(NOT(ISNUMBER(T2368)),"PENDING",IF(AF2368&gt;0,"PASS","FAIL"))</x:f>
        <x:v>PASS</x:v>
      </x:c>
      <x:c r="AH2368" t="str">
        <x:f>IF(NOT(ISNUMBER(T2368)),"Needs supplier cost",IF(K2368&lt;&gt;"In stock","Supplier unavailable",IF(AG2368&lt;&gt;"PASS","BLOCK - GT loss risk","Commercially protected")))</x:f>
        <x:v>Commercially protected</x:v>
      </x:c>
      <x:c r="AI2368" t="str">
        <x:v>2026-09-10 Active Sports trade capture</x:v>
      </x:c>
      <x:c r="AJ2368" t="str">
        <x:v>Management-only economics. Stripe stress test uses 1.5% + £0.20 standard UK online-card fee; pallet/mix-and-match pricing ignored.</x:v>
      </x:c>
    </x:row>
    <x:row r="2369">
      <x:c r="A2369" t="str">
        <x:v>Active Sports Nutrition</x:v>
      </x:c>
      <x:c r="B2369" t="str">
        <x:v>Per4m Nutrition</x:v>
      </x:c>
      <x:c r="C2369" t="str">
        <x:v>PRE</x:v>
      </x:c>
      <x:c r="D2369" t="str">
        <x:v>Pre Workouts</x:v>
      </x:c>
      <x:c r="E2369" t="str">
        <x:v>Pre Workout</x:v>
      </x:c>
      <x:c r="F2369" t="str"/>
      <x:c r="G2369" t="str">
        <x:v>570g</x:v>
      </x:c>
      <x:c r="H2369" t="str">
        <x:v>Blackberry</x:v>
      </x:c>
      <x:c r="I2369" t="str"/>
      <x:c r="J2369" t="str">
        <x:v>Unit</x:v>
      </x:c>
      <x:c r="K2369" t="str">
        <x:v>In stock</x:v>
      </x:c>
      <x:c r="L2369" t="str">
        <x:v>2026-09-08</x:v>
      </x:c>
      <x:c r="M2369" t="str"/>
      <x:c r="N2369" t="str"/>
      <x:c r="O2369" t="str">
        <x:v>https://www.activesportstrade.co.uk/per4m-nutrition-trade</x:v>
      </x:c>
      <x:c r="P2369" t="str">
        <x:v>SPECIAL OFFER/FREE CREATINE and NEW wording stripped from canonical title/flavours.</x:v>
      </x:c>
      <x:c r="Q2369" t="str"/>
      <x:c r="R2369" t="str"/>
      <x:c r="S2369" t="str">
        <x:v>Pending genuine supplier/brand image</x:v>
      </x:c>
      <x:c r="T2369" s="54" t="n">
        <x:v>18.99</x:v>
      </x:c>
      <x:c r="U2369" s="47" t="n">
        <x:v>0.2</x:v>
      </x:c>
      <x:c r="V2369" s="54" t="n">
        <x:f>IF(ISNUMBER(T2369),T2369*(1+U2369),"")</x:f>
        <x:v>22.787999999999997</x:v>
      </x:c>
      <x:c r="W2369" s="47" t="n">
        <x:v>0.3</x:v>
      </x:c>
      <x:c r="X2369" s="54" t="n">
        <x:f>IF(ISNUMBER(V2369),V2369/(1-W2369),"")</x:f>
        <x:v>32.55428571428571</x:v>
      </x:c>
      <x:c r="Y2369" s="55" t="n">
        <x:f>IF(ISNUMBER(X2369),ROUNDUP(X2369,0),"")</x:f>
        <x:v>33</x:v>
      </x:c>
      <x:c r="Z2369" t="str">
        <x:v>Source match pending</x:v>
      </x:c>
      <x:c r="AA2369" t="str">
        <x:v>screencapture-www-activesportstrade-co-uk-per4m-nutrition-trade-2026-09-10-09_06_42.pdf / page-07</x:v>
      </x:c>
      <x:c r="AB2369" s="36" t="n">
        <x:f>IF(ISNUMBER(Y2369),ROUND(Y2369*0.9,2),"")</x:f>
        <x:v>29.7</x:v>
      </x:c>
      <x:c r="AC2369" s="36" t="n">
        <x:f>IF(ISNUMBER(AB2369),ROUND(AB2369-(AB2369*0.015+0.2)-V2369,2),"")</x:f>
        <x:v>6.27</x:v>
      </x:c>
      <x:c r="AD2369" s="36" t="n">
        <x:f>IF(ISNUMBER(Y2369),ROUND(Y2369*0.8,2),"")</x:f>
        <x:v>26.4</x:v>
      </x:c>
      <x:c r="AE2369" s="36" t="n">
        <x:f>IF(ISNUMBER(AD2369),ROUND(AD2369*0.015+0.2,2),"")</x:f>
        <x:v>0.6</x:v>
      </x:c>
      <x:c r="AF2369" s="36" t="n">
        <x:f>IF(ISNUMBER(AD2369),ROUND(AD2369-AE2369-V2369,2),"")</x:f>
        <x:v>3.01</x:v>
      </x:c>
      <x:c r="AG2369" t="str">
        <x:f>IF(NOT(ISNUMBER(T2369)),"PENDING",IF(AF2369&gt;0,"PASS","FAIL"))</x:f>
        <x:v>PASS</x:v>
      </x:c>
      <x:c r="AH2369" t="str">
        <x:f>IF(NOT(ISNUMBER(T2369)),"Needs supplier cost",IF(K2369&lt;&gt;"In stock","Supplier unavailable",IF(AG2369&lt;&gt;"PASS","BLOCK - GT loss risk","Commercially protected")))</x:f>
        <x:v>Commercially protected</x:v>
      </x:c>
      <x:c r="AI2369" t="str">
        <x:v>2026-09-10 Active Sports trade capture</x:v>
      </x:c>
      <x:c r="AJ2369" t="str">
        <x:v>Management-only economics. Stripe stress test uses 1.5% + £0.20 standard UK online-card fee; pallet/mix-and-match pricing ignored.</x:v>
      </x:c>
    </x:row>
    <x:row r="2370">
      <x:c r="A2370" t="str">
        <x:v>Active Sports Nutrition</x:v>
      </x:c>
      <x:c r="B2370" t="str">
        <x:v>Per4m Nutrition</x:v>
      </x:c>
      <x:c r="C2370" t="str">
        <x:v>PRE</x:v>
      </x:c>
      <x:c r="D2370" t="str">
        <x:v>Pre Workouts</x:v>
      </x:c>
      <x:c r="E2370" t="str">
        <x:v>Pre Workout</x:v>
      </x:c>
      <x:c r="F2370" t="str"/>
      <x:c r="G2370" t="str">
        <x:v>570g</x:v>
      </x:c>
      <x:c r="H2370" t="str">
        <x:v>Blue Raspberry</x:v>
      </x:c>
      <x:c r="I2370" t="str"/>
      <x:c r="J2370" t="str">
        <x:v>Unit</x:v>
      </x:c>
      <x:c r="K2370" t="str">
        <x:v>In stock</x:v>
      </x:c>
      <x:c r="L2370" t="str">
        <x:v>2026-09-08</x:v>
      </x:c>
      <x:c r="M2370" t="str"/>
      <x:c r="N2370" t="str"/>
      <x:c r="O2370" t="str">
        <x:v>https://www.activesportstrade.co.uk/per4m-nutrition-trade</x:v>
      </x:c>
      <x:c r="P2370" t="str">
        <x:v>SPECIAL OFFER/FREE CREATINE and NEW wording stripped from canonical title/flavours.</x:v>
      </x:c>
      <x:c r="Q2370" t="str"/>
      <x:c r="R2370" t="str"/>
      <x:c r="S2370" t="str">
        <x:v>Pending genuine supplier/brand image</x:v>
      </x:c>
      <x:c r="T2370" s="54" t="n">
        <x:v>18.99</x:v>
      </x:c>
      <x:c r="U2370" s="47" t="n">
        <x:v>0.2</x:v>
      </x:c>
      <x:c r="V2370" s="54" t="n">
        <x:f>IF(ISNUMBER(T2370),T2370*(1+U2370),"")</x:f>
        <x:v>22.787999999999997</x:v>
      </x:c>
      <x:c r="W2370" s="47" t="n">
        <x:v>0.3</x:v>
      </x:c>
      <x:c r="X2370" s="54" t="n">
        <x:f>IF(ISNUMBER(V2370),V2370/(1-W2370),"")</x:f>
        <x:v>32.55428571428571</x:v>
      </x:c>
      <x:c r="Y2370" s="55" t="n">
        <x:f>IF(ISNUMBER(X2370),ROUNDUP(X2370,0),"")</x:f>
        <x:v>33</x:v>
      </x:c>
      <x:c r="Z2370" t="str">
        <x:v>Source match pending</x:v>
      </x:c>
      <x:c r="AA2370" t="str">
        <x:v>screencapture-www-activesportstrade-co-uk-per4m-nutrition-trade-2026-09-10-09_06_42.pdf / page-07</x:v>
      </x:c>
      <x:c r="AB2370" s="36" t="n">
        <x:f>IF(ISNUMBER(Y2370),ROUND(Y2370*0.9,2),"")</x:f>
        <x:v>29.7</x:v>
      </x:c>
      <x:c r="AC2370" s="36" t="n">
        <x:f>IF(ISNUMBER(AB2370),ROUND(AB2370-(AB2370*0.015+0.2)-V2370,2),"")</x:f>
        <x:v>6.27</x:v>
      </x:c>
      <x:c r="AD2370" s="36" t="n">
        <x:f>IF(ISNUMBER(Y2370),ROUND(Y2370*0.8,2),"")</x:f>
        <x:v>26.4</x:v>
      </x:c>
      <x:c r="AE2370" s="36" t="n">
        <x:f>IF(ISNUMBER(AD2370),ROUND(AD2370*0.015+0.2,2),"")</x:f>
        <x:v>0.6</x:v>
      </x:c>
      <x:c r="AF2370" s="36" t="n">
        <x:f>IF(ISNUMBER(AD2370),ROUND(AD2370-AE2370-V2370,2),"")</x:f>
        <x:v>3.01</x:v>
      </x:c>
      <x:c r="AG2370" t="str">
        <x:f>IF(NOT(ISNUMBER(T2370)),"PENDING",IF(AF2370&gt;0,"PASS","FAIL"))</x:f>
        <x:v>PASS</x:v>
      </x:c>
      <x:c r="AH2370" t="str">
        <x:f>IF(NOT(ISNUMBER(T2370)),"Needs supplier cost",IF(K2370&lt;&gt;"In stock","Supplier unavailable",IF(AG2370&lt;&gt;"PASS","BLOCK - GT loss risk","Commercially protected")))</x:f>
        <x:v>Commercially protected</x:v>
      </x:c>
      <x:c r="AI2370" t="str">
        <x:v>2026-09-10 Active Sports trade capture</x:v>
      </x:c>
      <x:c r="AJ2370" t="str">
        <x:v>Management-only economics. Stripe stress test uses 1.5% + £0.20 standard UK online-card fee; pallet/mix-and-match pricing ignored.</x:v>
      </x:c>
    </x:row>
    <x:row r="2371">
      <x:c r="A2371" t="str">
        <x:v>Active Sports Nutrition</x:v>
      </x:c>
      <x:c r="B2371" t="str">
        <x:v>Per4m Nutrition</x:v>
      </x:c>
      <x:c r="C2371" t="str">
        <x:v>PRE</x:v>
      </x:c>
      <x:c r="D2371" t="str">
        <x:v>Pre Workouts</x:v>
      </x:c>
      <x:c r="E2371" t="str">
        <x:v>Pre Workout</x:v>
      </x:c>
      <x:c r="F2371" t="str"/>
      <x:c r="G2371" t="str">
        <x:v>570g</x:v>
      </x:c>
      <x:c r="H2371" t="str">
        <x:v>Cherry Fizz</x:v>
      </x:c>
      <x:c r="I2371" t="str"/>
      <x:c r="J2371" t="str">
        <x:v>Unit</x:v>
      </x:c>
      <x:c r="K2371" t="str">
        <x:v>In stock</x:v>
      </x:c>
      <x:c r="L2371" t="str">
        <x:v>2026-09-08</x:v>
      </x:c>
      <x:c r="M2371" t="str"/>
      <x:c r="N2371" t="str"/>
      <x:c r="O2371" t="str">
        <x:v>https://www.activesportstrade.co.uk/per4m-nutrition-trade</x:v>
      </x:c>
      <x:c r="P2371" t="str">
        <x:v>SPECIAL OFFER/FREE CREATINE and NEW wording stripped from canonical title/flavours.</x:v>
      </x:c>
      <x:c r="Q2371" t="str"/>
      <x:c r="R2371" t="str"/>
      <x:c r="S2371" t="str">
        <x:v>Pending genuine supplier/brand image</x:v>
      </x:c>
      <x:c r="T2371" s="54" t="n">
        <x:v>18.99</x:v>
      </x:c>
      <x:c r="U2371" s="47" t="n">
        <x:v>0.2</x:v>
      </x:c>
      <x:c r="V2371" s="54" t="n">
        <x:f>IF(ISNUMBER(T2371),T2371*(1+U2371),"")</x:f>
        <x:v>22.787999999999997</x:v>
      </x:c>
      <x:c r="W2371" s="47" t="n">
        <x:v>0.3</x:v>
      </x:c>
      <x:c r="X2371" s="54" t="n">
        <x:f>IF(ISNUMBER(V2371),V2371/(1-W2371),"")</x:f>
        <x:v>32.55428571428571</x:v>
      </x:c>
      <x:c r="Y2371" s="55" t="n">
        <x:f>IF(ISNUMBER(X2371),ROUNDUP(X2371,0),"")</x:f>
        <x:v>33</x:v>
      </x:c>
      <x:c r="Z2371" t="str">
        <x:v>Source match pending</x:v>
      </x:c>
      <x:c r="AA2371" t="str">
        <x:v>screencapture-www-activesportstrade-co-uk-per4m-nutrition-trade-2026-09-10-09_06_42.pdf / page-07</x:v>
      </x:c>
      <x:c r="AB2371" s="36" t="n">
        <x:f>IF(ISNUMBER(Y2371),ROUND(Y2371*0.9,2),"")</x:f>
        <x:v>29.7</x:v>
      </x:c>
      <x:c r="AC2371" s="36" t="n">
        <x:f>IF(ISNUMBER(AB2371),ROUND(AB2371-(AB2371*0.015+0.2)-V2371,2),"")</x:f>
        <x:v>6.27</x:v>
      </x:c>
      <x:c r="AD2371" s="36" t="n">
        <x:f>IF(ISNUMBER(Y2371),ROUND(Y2371*0.8,2),"")</x:f>
        <x:v>26.4</x:v>
      </x:c>
      <x:c r="AE2371" s="36" t="n">
        <x:f>IF(ISNUMBER(AD2371),ROUND(AD2371*0.015+0.2,2),"")</x:f>
        <x:v>0.6</x:v>
      </x:c>
      <x:c r="AF2371" s="36" t="n">
        <x:f>IF(ISNUMBER(AD2371),ROUND(AD2371-AE2371-V2371,2),"")</x:f>
        <x:v>3.01</x:v>
      </x:c>
      <x:c r="AG2371" t="str">
        <x:f>IF(NOT(ISNUMBER(T2371)),"PENDING",IF(AF2371&gt;0,"PASS","FAIL"))</x:f>
        <x:v>PASS</x:v>
      </x:c>
      <x:c r="AH2371" t="str">
        <x:f>IF(NOT(ISNUMBER(T2371)),"Needs supplier cost",IF(K2371&lt;&gt;"In stock","Supplier unavailable",IF(AG2371&lt;&gt;"PASS","BLOCK - GT loss risk","Commercially protected")))</x:f>
        <x:v>Commercially protected</x:v>
      </x:c>
      <x:c r="AI2371" t="str">
        <x:v>2026-09-10 Active Sports trade capture</x:v>
      </x:c>
      <x:c r="AJ2371" t="str">
        <x:v>Management-only economics. Stripe stress test uses 1.5% + £0.20 standard UK online-card fee; pallet/mix-and-match pricing ignored.</x:v>
      </x:c>
    </x:row>
    <x:row r="2372">
      <x:c r="A2372" t="str">
        <x:v>Active Sports Nutrition</x:v>
      </x:c>
      <x:c r="B2372" t="str">
        <x:v>Per4m Nutrition</x:v>
      </x:c>
      <x:c r="C2372" t="str">
        <x:v>PRE</x:v>
      </x:c>
      <x:c r="D2372" t="str">
        <x:v>Pre Workouts</x:v>
      </x:c>
      <x:c r="E2372" t="str">
        <x:v>Pre Workout</x:v>
      </x:c>
      <x:c r="F2372" t="str"/>
      <x:c r="G2372" t="str">
        <x:v>570g</x:v>
      </x:c>
      <x:c r="H2372" t="str">
        <x:v>Cola Bottle</x:v>
      </x:c>
      <x:c r="I2372" t="str"/>
      <x:c r="J2372" t="str">
        <x:v>Unit</x:v>
      </x:c>
      <x:c r="K2372" t="str">
        <x:v>In stock</x:v>
      </x:c>
      <x:c r="L2372" t="str">
        <x:v>2026-09-08</x:v>
      </x:c>
      <x:c r="M2372" t="str"/>
      <x:c r="N2372" t="str"/>
      <x:c r="O2372" t="str">
        <x:v>https://www.activesportstrade.co.uk/per4m-nutrition-trade</x:v>
      </x:c>
      <x:c r="P2372" t="str">
        <x:v>SPECIAL OFFER/FREE CREATINE and NEW wording stripped from canonical title/flavours.</x:v>
      </x:c>
      <x:c r="Q2372" t="str"/>
      <x:c r="R2372" t="str"/>
      <x:c r="S2372" t="str">
        <x:v>Pending genuine supplier/brand image</x:v>
      </x:c>
      <x:c r="T2372" s="54" t="n">
        <x:v>18.99</x:v>
      </x:c>
      <x:c r="U2372" s="47" t="n">
        <x:v>0.2</x:v>
      </x:c>
      <x:c r="V2372" s="54" t="n">
        <x:f>IF(ISNUMBER(T2372),T2372*(1+U2372),"")</x:f>
        <x:v>22.787999999999997</x:v>
      </x:c>
      <x:c r="W2372" s="47" t="n">
        <x:v>0.3</x:v>
      </x:c>
      <x:c r="X2372" s="54" t="n">
        <x:f>IF(ISNUMBER(V2372),V2372/(1-W2372),"")</x:f>
        <x:v>32.55428571428571</x:v>
      </x:c>
      <x:c r="Y2372" s="55" t="n">
        <x:f>IF(ISNUMBER(X2372),ROUNDUP(X2372,0),"")</x:f>
        <x:v>33</x:v>
      </x:c>
      <x:c r="Z2372" t="str">
        <x:v>Source match pending</x:v>
      </x:c>
      <x:c r="AA2372" t="str">
        <x:v>screencapture-www-activesportstrade-co-uk-per4m-nutrition-trade-2026-09-10-09_06_42.pdf / page-07</x:v>
      </x:c>
      <x:c r="AB2372" s="36" t="n">
        <x:f>IF(ISNUMBER(Y2372),ROUND(Y2372*0.9,2),"")</x:f>
        <x:v>29.7</x:v>
      </x:c>
      <x:c r="AC2372" s="36" t="n">
        <x:f>IF(ISNUMBER(AB2372),ROUND(AB2372-(AB2372*0.015+0.2)-V2372,2),"")</x:f>
        <x:v>6.27</x:v>
      </x:c>
      <x:c r="AD2372" s="36" t="n">
        <x:f>IF(ISNUMBER(Y2372),ROUND(Y2372*0.8,2),"")</x:f>
        <x:v>26.4</x:v>
      </x:c>
      <x:c r="AE2372" s="36" t="n">
        <x:f>IF(ISNUMBER(AD2372),ROUND(AD2372*0.015+0.2,2),"")</x:f>
        <x:v>0.6</x:v>
      </x:c>
      <x:c r="AF2372" s="36" t="n">
        <x:f>IF(ISNUMBER(AD2372),ROUND(AD2372-AE2372-V2372,2),"")</x:f>
        <x:v>3.01</x:v>
      </x:c>
      <x:c r="AG2372" t="str">
        <x:f>IF(NOT(ISNUMBER(T2372)),"PENDING",IF(AF2372&gt;0,"PASS","FAIL"))</x:f>
        <x:v>PASS</x:v>
      </x:c>
      <x:c r="AH2372" t="str">
        <x:f>IF(NOT(ISNUMBER(T2372)),"Needs supplier cost",IF(K2372&lt;&gt;"In stock","Supplier unavailable",IF(AG2372&lt;&gt;"PASS","BLOCK - GT loss risk","Commercially protected")))</x:f>
        <x:v>Commercially protected</x:v>
      </x:c>
      <x:c r="AI2372" t="str">
        <x:v>2026-09-10 Active Sports trade capture</x:v>
      </x:c>
      <x:c r="AJ2372" t="str">
        <x:v>Management-only economics. Stripe stress test uses 1.5% + £0.20 standard UK online-card fee; pallet/mix-and-match pricing ignored.</x:v>
      </x:c>
    </x:row>
    <x:row r="2373">
      <x:c r="A2373" t="str">
        <x:v>Active Sports Nutrition</x:v>
      </x:c>
      <x:c r="B2373" t="str">
        <x:v>Per4m Nutrition</x:v>
      </x:c>
      <x:c r="C2373" t="str">
        <x:v>PRE</x:v>
      </x:c>
      <x:c r="D2373" t="str">
        <x:v>Pre Workouts</x:v>
      </x:c>
      <x:c r="E2373" t="str">
        <x:v>Pre Workout</x:v>
      </x:c>
      <x:c r="F2373" t="str"/>
      <x:c r="G2373" t="str">
        <x:v>570g</x:v>
      </x:c>
      <x:c r="H2373" t="str">
        <x:v>Fizzy Bubblegum Bottles</x:v>
      </x:c>
      <x:c r="I2373" t="str"/>
      <x:c r="J2373" t="str">
        <x:v>Unit</x:v>
      </x:c>
      <x:c r="K2373" t="str">
        <x:v>In stock</x:v>
      </x:c>
      <x:c r="L2373" t="str">
        <x:v>2026-09-08</x:v>
      </x:c>
      <x:c r="M2373" t="str"/>
      <x:c r="N2373" t="str"/>
      <x:c r="O2373" t="str">
        <x:v>https://www.activesportstrade.co.uk/per4m-nutrition-trade</x:v>
      </x:c>
      <x:c r="P2373" t="str">
        <x:v>SPECIAL OFFER/FREE CREATINE and NEW wording stripped from canonical title/flavours.</x:v>
      </x:c>
      <x:c r="Q2373" t="str"/>
      <x:c r="R2373" t="str"/>
      <x:c r="S2373" t="str">
        <x:v>Pending genuine supplier/brand image</x:v>
      </x:c>
      <x:c r="T2373" s="54" t="n">
        <x:v>18.99</x:v>
      </x:c>
      <x:c r="U2373" s="47" t="n">
        <x:v>0.2</x:v>
      </x:c>
      <x:c r="V2373" s="54" t="n">
        <x:f>IF(ISNUMBER(T2373),T2373*(1+U2373),"")</x:f>
        <x:v>22.787999999999997</x:v>
      </x:c>
      <x:c r="W2373" s="47" t="n">
        <x:v>0.3</x:v>
      </x:c>
      <x:c r="X2373" s="54" t="n">
        <x:f>IF(ISNUMBER(V2373),V2373/(1-W2373),"")</x:f>
        <x:v>32.55428571428571</x:v>
      </x:c>
      <x:c r="Y2373" s="55" t="n">
        <x:f>IF(ISNUMBER(X2373),ROUNDUP(X2373,0),"")</x:f>
        <x:v>33</x:v>
      </x:c>
      <x:c r="Z2373" t="str">
        <x:v>Source match pending</x:v>
      </x:c>
      <x:c r="AA2373" t="str">
        <x:v>screencapture-www-activesportstrade-co-uk-per4m-nutrition-trade-2026-09-10-09_06_42.pdf / page-07</x:v>
      </x:c>
      <x:c r="AB2373" s="36" t="n">
        <x:f>IF(ISNUMBER(Y2373),ROUND(Y2373*0.9,2),"")</x:f>
        <x:v>29.7</x:v>
      </x:c>
      <x:c r="AC2373" s="36" t="n">
        <x:f>IF(ISNUMBER(AB2373),ROUND(AB2373-(AB2373*0.015+0.2)-V2373,2),"")</x:f>
        <x:v>6.27</x:v>
      </x:c>
      <x:c r="AD2373" s="36" t="n">
        <x:f>IF(ISNUMBER(Y2373),ROUND(Y2373*0.8,2),"")</x:f>
        <x:v>26.4</x:v>
      </x:c>
      <x:c r="AE2373" s="36" t="n">
        <x:f>IF(ISNUMBER(AD2373),ROUND(AD2373*0.015+0.2,2),"")</x:f>
        <x:v>0.6</x:v>
      </x:c>
      <x:c r="AF2373" s="36" t="n">
        <x:f>IF(ISNUMBER(AD2373),ROUND(AD2373-AE2373-V2373,2),"")</x:f>
        <x:v>3.01</x:v>
      </x:c>
      <x:c r="AG2373" t="str">
        <x:f>IF(NOT(ISNUMBER(T2373)),"PENDING",IF(AF2373&gt;0,"PASS","FAIL"))</x:f>
        <x:v>PASS</x:v>
      </x:c>
      <x:c r="AH2373" t="str">
        <x:f>IF(NOT(ISNUMBER(T2373)),"Needs supplier cost",IF(K2373&lt;&gt;"In stock","Supplier unavailable",IF(AG2373&lt;&gt;"PASS","BLOCK - GT loss risk","Commercially protected")))</x:f>
        <x:v>Commercially protected</x:v>
      </x:c>
      <x:c r="AI2373" t="str">
        <x:v>2026-09-10 Active Sports trade capture</x:v>
      </x:c>
      <x:c r="AJ2373" t="str">
        <x:v>Management-only economics. Stripe stress test uses 1.5% + £0.20 standard UK online-card fee; pallet/mix-and-match pricing ignored.</x:v>
      </x:c>
    </x:row>
    <x:row r="2374">
      <x:c r="A2374" t="str">
        <x:v>Active Sports Nutrition</x:v>
      </x:c>
      <x:c r="B2374" t="str">
        <x:v>Per4m Nutrition</x:v>
      </x:c>
      <x:c r="C2374" t="str">
        <x:v>PRE</x:v>
      </x:c>
      <x:c r="D2374" t="str">
        <x:v>Pre Workouts</x:v>
      </x:c>
      <x:c r="E2374" t="str">
        <x:v>Pre Workout</x:v>
      </x:c>
      <x:c r="F2374" t="str"/>
      <x:c r="G2374" t="str">
        <x:v>570g</x:v>
      </x:c>
      <x:c r="H2374" t="str">
        <x:v>Gummy Worms</x:v>
      </x:c>
      <x:c r="I2374" t="str"/>
      <x:c r="J2374" t="str">
        <x:v>Unit</x:v>
      </x:c>
      <x:c r="K2374" t="str">
        <x:v>In stock</x:v>
      </x:c>
      <x:c r="L2374" t="str">
        <x:v>2026-09-08</x:v>
      </x:c>
      <x:c r="M2374" t="str"/>
      <x:c r="N2374" t="str"/>
      <x:c r="O2374" t="str">
        <x:v>https://www.activesportstrade.co.uk/per4m-nutrition-trade</x:v>
      </x:c>
      <x:c r="P2374" t="str">
        <x:v>SPECIAL OFFER/FREE CREATINE and NEW wording stripped from canonical title/flavours.</x:v>
      </x:c>
      <x:c r="Q2374" t="str"/>
      <x:c r="R2374" t="str"/>
      <x:c r="S2374" t="str">
        <x:v>Pending genuine supplier/brand image</x:v>
      </x:c>
      <x:c r="T2374" s="54" t="n">
        <x:v>18.99</x:v>
      </x:c>
      <x:c r="U2374" s="47" t="n">
        <x:v>0.2</x:v>
      </x:c>
      <x:c r="V2374" s="54" t="n">
        <x:f>IF(ISNUMBER(T2374),T2374*(1+U2374),"")</x:f>
        <x:v>22.787999999999997</x:v>
      </x:c>
      <x:c r="W2374" s="47" t="n">
        <x:v>0.3</x:v>
      </x:c>
      <x:c r="X2374" s="54" t="n">
        <x:f>IF(ISNUMBER(V2374),V2374/(1-W2374),"")</x:f>
        <x:v>32.55428571428571</x:v>
      </x:c>
      <x:c r="Y2374" s="55" t="n">
        <x:f>IF(ISNUMBER(X2374),ROUNDUP(X2374,0),"")</x:f>
        <x:v>33</x:v>
      </x:c>
      <x:c r="Z2374" t="str">
        <x:v>Source match pending</x:v>
      </x:c>
      <x:c r="AA2374" t="str">
        <x:v>screencapture-www-activesportstrade-co-uk-per4m-nutrition-trade-2026-09-10-09_06_42.pdf / page-07</x:v>
      </x:c>
      <x:c r="AB2374" s="36" t="n">
        <x:f>IF(ISNUMBER(Y2374),ROUND(Y2374*0.9,2),"")</x:f>
        <x:v>29.7</x:v>
      </x:c>
      <x:c r="AC2374" s="36" t="n">
        <x:f>IF(ISNUMBER(AB2374),ROUND(AB2374-(AB2374*0.015+0.2)-V2374,2),"")</x:f>
        <x:v>6.27</x:v>
      </x:c>
      <x:c r="AD2374" s="36" t="n">
        <x:f>IF(ISNUMBER(Y2374),ROUND(Y2374*0.8,2),"")</x:f>
        <x:v>26.4</x:v>
      </x:c>
      <x:c r="AE2374" s="36" t="n">
        <x:f>IF(ISNUMBER(AD2374),ROUND(AD2374*0.015+0.2,2),"")</x:f>
        <x:v>0.6</x:v>
      </x:c>
      <x:c r="AF2374" s="36" t="n">
        <x:f>IF(ISNUMBER(AD2374),ROUND(AD2374-AE2374-V2374,2),"")</x:f>
        <x:v>3.01</x:v>
      </x:c>
      <x:c r="AG2374" t="str">
        <x:f>IF(NOT(ISNUMBER(T2374)),"PENDING",IF(AF2374&gt;0,"PASS","FAIL"))</x:f>
        <x:v>PASS</x:v>
      </x:c>
      <x:c r="AH2374" t="str">
        <x:f>IF(NOT(ISNUMBER(T2374)),"Needs supplier cost",IF(K2374&lt;&gt;"In stock","Supplier unavailable",IF(AG2374&lt;&gt;"PASS","BLOCK - GT loss risk","Commercially protected")))</x:f>
        <x:v>Commercially protected</x:v>
      </x:c>
      <x:c r="AI2374" t="str">
        <x:v>2026-09-10 Active Sports trade capture</x:v>
      </x:c>
      <x:c r="AJ2374" t="str">
        <x:v>Management-only economics. Stripe stress test uses 1.5% + £0.20 standard UK online-card fee; pallet/mix-and-match pricing ignored.</x:v>
      </x:c>
    </x:row>
    <x:row r="2375">
      <x:c r="A2375" t="str">
        <x:v>Active Sports Nutrition</x:v>
      </x:c>
      <x:c r="B2375" t="str">
        <x:v>Per4m Nutrition</x:v>
      </x:c>
      <x:c r="C2375" t="str">
        <x:v>PRE</x:v>
      </x:c>
      <x:c r="D2375" t="str">
        <x:v>Pre Workouts</x:v>
      </x:c>
      <x:c r="E2375" t="str">
        <x:v>Pre Workout</x:v>
      </x:c>
      <x:c r="F2375" t="str"/>
      <x:c r="G2375" t="str">
        <x:v>570g</x:v>
      </x:c>
      <x:c r="H2375" t="str">
        <x:v>Lemon Sherbet Fizz</x:v>
      </x:c>
      <x:c r="I2375" t="str"/>
      <x:c r="J2375" t="str">
        <x:v>Unit</x:v>
      </x:c>
      <x:c r="K2375" t="str">
        <x:v>In stock</x:v>
      </x:c>
      <x:c r="L2375" t="str">
        <x:v>2026-09-08</x:v>
      </x:c>
      <x:c r="M2375" t="str"/>
      <x:c r="N2375" t="str"/>
      <x:c r="O2375" t="str">
        <x:v>https://www.activesportstrade.co.uk/per4m-nutrition-trade</x:v>
      </x:c>
      <x:c r="P2375" t="str">
        <x:v>SPECIAL OFFER/FREE CREATINE and NEW wording stripped from canonical title/flavours.</x:v>
      </x:c>
      <x:c r="Q2375" t="str"/>
      <x:c r="R2375" t="str"/>
      <x:c r="S2375" t="str">
        <x:v>Pending genuine supplier/brand image</x:v>
      </x:c>
      <x:c r="T2375" s="54" t="n">
        <x:v>18.99</x:v>
      </x:c>
      <x:c r="U2375" s="47" t="n">
        <x:v>0.2</x:v>
      </x:c>
      <x:c r="V2375" s="54" t="n">
        <x:f>IF(ISNUMBER(T2375),T2375*(1+U2375),"")</x:f>
        <x:v>22.787999999999997</x:v>
      </x:c>
      <x:c r="W2375" s="47" t="n">
        <x:v>0.3</x:v>
      </x:c>
      <x:c r="X2375" s="54" t="n">
        <x:f>IF(ISNUMBER(V2375),V2375/(1-W2375),"")</x:f>
        <x:v>32.55428571428571</x:v>
      </x:c>
      <x:c r="Y2375" s="55" t="n">
        <x:f>IF(ISNUMBER(X2375),ROUNDUP(X2375,0),"")</x:f>
        <x:v>33</x:v>
      </x:c>
      <x:c r="Z2375" t="str">
        <x:v>Source match pending</x:v>
      </x:c>
      <x:c r="AA2375" t="str">
        <x:v>screencapture-www-activesportstrade-co-uk-per4m-nutrition-trade-2026-09-10-09_06_42.pdf / page-07</x:v>
      </x:c>
      <x:c r="AB2375" s="36" t="n">
        <x:f>IF(ISNUMBER(Y2375),ROUND(Y2375*0.9,2),"")</x:f>
        <x:v>29.7</x:v>
      </x:c>
      <x:c r="AC2375" s="36" t="n">
        <x:f>IF(ISNUMBER(AB2375),ROUND(AB2375-(AB2375*0.015+0.2)-V2375,2),"")</x:f>
        <x:v>6.27</x:v>
      </x:c>
      <x:c r="AD2375" s="36" t="n">
        <x:f>IF(ISNUMBER(Y2375),ROUND(Y2375*0.8,2),"")</x:f>
        <x:v>26.4</x:v>
      </x:c>
      <x:c r="AE2375" s="36" t="n">
        <x:f>IF(ISNUMBER(AD2375),ROUND(AD2375*0.015+0.2,2),"")</x:f>
        <x:v>0.6</x:v>
      </x:c>
      <x:c r="AF2375" s="36" t="n">
        <x:f>IF(ISNUMBER(AD2375),ROUND(AD2375-AE2375-V2375,2),"")</x:f>
        <x:v>3.01</x:v>
      </x:c>
      <x:c r="AG2375" t="str">
        <x:f>IF(NOT(ISNUMBER(T2375)),"PENDING",IF(AF2375&gt;0,"PASS","FAIL"))</x:f>
        <x:v>PASS</x:v>
      </x:c>
      <x:c r="AH2375" t="str">
        <x:f>IF(NOT(ISNUMBER(T2375)),"Needs supplier cost",IF(K2375&lt;&gt;"In stock","Supplier unavailable",IF(AG2375&lt;&gt;"PASS","BLOCK - GT loss risk","Commercially protected")))</x:f>
        <x:v>Commercially protected</x:v>
      </x:c>
      <x:c r="AI2375" t="str">
        <x:v>2026-09-10 Active Sports trade capture</x:v>
      </x:c>
      <x:c r="AJ2375" t="str">
        <x:v>Management-only economics. Stripe stress test uses 1.5% + £0.20 standard UK online-card fee; pallet/mix-and-match pricing ignored.</x:v>
      </x:c>
    </x:row>
    <x:row r="2376">
      <x:c r="A2376" t="str">
        <x:v>Active Sports Nutrition</x:v>
      </x:c>
      <x:c r="B2376" t="str">
        <x:v>Per4m Nutrition</x:v>
      </x:c>
      <x:c r="C2376" t="str">
        <x:v>PRE</x:v>
      </x:c>
      <x:c r="D2376" t="str">
        <x:v>Pre Workouts</x:v>
      </x:c>
      <x:c r="E2376" t="str">
        <x:v>Pre Workout</x:v>
      </x:c>
      <x:c r="F2376" t="str"/>
      <x:c r="G2376" t="str">
        <x:v>570g</x:v>
      </x:c>
      <x:c r="H2376" t="str">
        <x:v>Orange &amp; Mango</x:v>
      </x:c>
      <x:c r="I2376" t="str"/>
      <x:c r="J2376" t="str">
        <x:v>Unit</x:v>
      </x:c>
      <x:c r="K2376" t="str">
        <x:v>In stock</x:v>
      </x:c>
      <x:c r="L2376" t="str">
        <x:v>2026-09-08</x:v>
      </x:c>
      <x:c r="M2376" t="str"/>
      <x:c r="N2376" t="str"/>
      <x:c r="O2376" t="str">
        <x:v>https://www.activesportstrade.co.uk/per4m-nutrition-trade</x:v>
      </x:c>
      <x:c r="P2376" t="str">
        <x:v>SPECIAL OFFER/FREE CREATINE and NEW wording stripped from canonical title/flavours.</x:v>
      </x:c>
      <x:c r="Q2376" t="str"/>
      <x:c r="R2376" t="str"/>
      <x:c r="S2376" t="str">
        <x:v>Pending genuine supplier/brand image</x:v>
      </x:c>
      <x:c r="T2376" s="54" t="n">
        <x:v>18.99</x:v>
      </x:c>
      <x:c r="U2376" s="47" t="n">
        <x:v>0.2</x:v>
      </x:c>
      <x:c r="V2376" s="54" t="n">
        <x:f>IF(ISNUMBER(T2376),T2376*(1+U2376),"")</x:f>
        <x:v>22.787999999999997</x:v>
      </x:c>
      <x:c r="W2376" s="47" t="n">
        <x:v>0.3</x:v>
      </x:c>
      <x:c r="X2376" s="54" t="n">
        <x:f>IF(ISNUMBER(V2376),V2376/(1-W2376),"")</x:f>
        <x:v>32.55428571428571</x:v>
      </x:c>
      <x:c r="Y2376" s="55" t="n">
        <x:f>IF(ISNUMBER(X2376),ROUNDUP(X2376,0),"")</x:f>
        <x:v>33</x:v>
      </x:c>
      <x:c r="Z2376" t="str">
        <x:v>Source match pending</x:v>
      </x:c>
      <x:c r="AA2376" t="str">
        <x:v>screencapture-www-activesportstrade-co-uk-per4m-nutrition-trade-2026-09-10-09_06_42.pdf / page-07</x:v>
      </x:c>
      <x:c r="AB2376" s="36" t="n">
        <x:f>IF(ISNUMBER(Y2376),ROUND(Y2376*0.9,2),"")</x:f>
        <x:v>29.7</x:v>
      </x:c>
      <x:c r="AC2376" s="36" t="n">
        <x:f>IF(ISNUMBER(AB2376),ROUND(AB2376-(AB2376*0.015+0.2)-V2376,2),"")</x:f>
        <x:v>6.27</x:v>
      </x:c>
      <x:c r="AD2376" s="36" t="n">
        <x:f>IF(ISNUMBER(Y2376),ROUND(Y2376*0.8,2),"")</x:f>
        <x:v>26.4</x:v>
      </x:c>
      <x:c r="AE2376" s="36" t="n">
        <x:f>IF(ISNUMBER(AD2376),ROUND(AD2376*0.015+0.2,2),"")</x:f>
        <x:v>0.6</x:v>
      </x:c>
      <x:c r="AF2376" s="36" t="n">
        <x:f>IF(ISNUMBER(AD2376),ROUND(AD2376-AE2376-V2376,2),"")</x:f>
        <x:v>3.01</x:v>
      </x:c>
      <x:c r="AG2376" t="str">
        <x:f>IF(NOT(ISNUMBER(T2376)),"PENDING",IF(AF2376&gt;0,"PASS","FAIL"))</x:f>
        <x:v>PASS</x:v>
      </x:c>
      <x:c r="AH2376" t="str">
        <x:f>IF(NOT(ISNUMBER(T2376)),"Needs supplier cost",IF(K2376&lt;&gt;"In stock","Supplier unavailable",IF(AG2376&lt;&gt;"PASS","BLOCK - GT loss risk","Commercially protected")))</x:f>
        <x:v>Commercially protected</x:v>
      </x:c>
      <x:c r="AI2376" t="str">
        <x:v>2026-09-10 Active Sports trade capture</x:v>
      </x:c>
      <x:c r="AJ2376" t="str">
        <x:v>Management-only economics. Stripe stress test uses 1.5% + £0.20 standard UK online-card fee; pallet/mix-and-match pricing ignored.</x:v>
      </x:c>
    </x:row>
    <x:row r="2377">
      <x:c r="A2377" t="str">
        <x:v>Active Sports Nutrition</x:v>
      </x:c>
      <x:c r="B2377" t="str">
        <x:v>Per4m Nutrition</x:v>
      </x:c>
      <x:c r="C2377" t="str">
        <x:v>PRE</x:v>
      </x:c>
      <x:c r="D2377" t="str">
        <x:v>Pre Workouts</x:v>
      </x:c>
      <x:c r="E2377" t="str">
        <x:v>Pre Workout</x:v>
      </x:c>
      <x:c r="F2377" t="str"/>
      <x:c r="G2377" t="str">
        <x:v>570g</x:v>
      </x:c>
      <x:c r="H2377" t="str">
        <x:v>Passionfruit</x:v>
      </x:c>
      <x:c r="I2377" t="str"/>
      <x:c r="J2377" t="str">
        <x:v>Unit</x:v>
      </x:c>
      <x:c r="K2377" t="str">
        <x:v>In stock</x:v>
      </x:c>
      <x:c r="L2377" t="str">
        <x:v>2026-09-08</x:v>
      </x:c>
      <x:c r="M2377" t="str"/>
      <x:c r="N2377" t="str"/>
      <x:c r="O2377" t="str">
        <x:v>https://www.activesportstrade.co.uk/per4m-nutrition-trade</x:v>
      </x:c>
      <x:c r="P2377" t="str">
        <x:v>SPECIAL OFFER/FREE CREATINE and NEW wording stripped from canonical title/flavours.</x:v>
      </x:c>
      <x:c r="Q2377" t="str"/>
      <x:c r="R2377" t="str"/>
      <x:c r="S2377" t="str">
        <x:v>Pending genuine supplier/brand image</x:v>
      </x:c>
      <x:c r="T2377" s="54" t="n">
        <x:v>18.99</x:v>
      </x:c>
      <x:c r="U2377" s="47" t="n">
        <x:v>0.2</x:v>
      </x:c>
      <x:c r="V2377" s="54" t="n">
        <x:f>IF(ISNUMBER(T2377),T2377*(1+U2377),"")</x:f>
        <x:v>22.787999999999997</x:v>
      </x:c>
      <x:c r="W2377" s="47" t="n">
        <x:v>0.3</x:v>
      </x:c>
      <x:c r="X2377" s="54" t="n">
        <x:f>IF(ISNUMBER(V2377),V2377/(1-W2377),"")</x:f>
        <x:v>32.55428571428571</x:v>
      </x:c>
      <x:c r="Y2377" s="55" t="n">
        <x:f>IF(ISNUMBER(X2377),ROUNDUP(X2377,0),"")</x:f>
        <x:v>33</x:v>
      </x:c>
      <x:c r="Z2377" t="str">
        <x:v>Source match pending</x:v>
      </x:c>
      <x:c r="AA2377" t="str">
        <x:v>screencapture-www-activesportstrade-co-uk-per4m-nutrition-trade-2026-09-10-09_06_42.pdf / page-07</x:v>
      </x:c>
      <x:c r="AB2377" s="36" t="n">
        <x:f>IF(ISNUMBER(Y2377),ROUND(Y2377*0.9,2),"")</x:f>
        <x:v>29.7</x:v>
      </x:c>
      <x:c r="AC2377" s="36" t="n">
        <x:f>IF(ISNUMBER(AB2377),ROUND(AB2377-(AB2377*0.015+0.2)-V2377,2),"")</x:f>
        <x:v>6.27</x:v>
      </x:c>
      <x:c r="AD2377" s="36" t="n">
        <x:f>IF(ISNUMBER(Y2377),ROUND(Y2377*0.8,2),"")</x:f>
        <x:v>26.4</x:v>
      </x:c>
      <x:c r="AE2377" s="36" t="n">
        <x:f>IF(ISNUMBER(AD2377),ROUND(AD2377*0.015+0.2,2),"")</x:f>
        <x:v>0.6</x:v>
      </x:c>
      <x:c r="AF2377" s="36" t="n">
        <x:f>IF(ISNUMBER(AD2377),ROUND(AD2377-AE2377-V2377,2),"")</x:f>
        <x:v>3.01</x:v>
      </x:c>
      <x:c r="AG2377" t="str">
        <x:f>IF(NOT(ISNUMBER(T2377)),"PENDING",IF(AF2377&gt;0,"PASS","FAIL"))</x:f>
        <x:v>PASS</x:v>
      </x:c>
      <x:c r="AH2377" t="str">
        <x:f>IF(NOT(ISNUMBER(T2377)),"Needs supplier cost",IF(K2377&lt;&gt;"In stock","Supplier unavailable",IF(AG2377&lt;&gt;"PASS","BLOCK - GT loss risk","Commercially protected")))</x:f>
        <x:v>Commercially protected</x:v>
      </x:c>
      <x:c r="AI2377" t="str">
        <x:v>2026-09-10 Active Sports trade capture</x:v>
      </x:c>
      <x:c r="AJ2377" t="str">
        <x:v>Management-only economics. Stripe stress test uses 1.5% + £0.20 standard UK online-card fee; pallet/mix-and-match pricing ignored.</x:v>
      </x:c>
    </x:row>
    <x:row r="2378">
      <x:c r="A2378" t="str">
        <x:v>Active Sports Nutrition</x:v>
      </x:c>
      <x:c r="B2378" t="str">
        <x:v>Per4m Nutrition</x:v>
      </x:c>
      <x:c r="C2378" t="str">
        <x:v>PRE</x:v>
      </x:c>
      <x:c r="D2378" t="str">
        <x:v>Pre Workouts</x:v>
      </x:c>
      <x:c r="E2378" t="str">
        <x:v>Pre Workout</x:v>
      </x:c>
      <x:c r="F2378" t="str"/>
      <x:c r="G2378" t="str">
        <x:v>570g</x:v>
      </x:c>
      <x:c r="H2378" t="str">
        <x:v>Pink Lemonade</x:v>
      </x:c>
      <x:c r="I2378" t="str"/>
      <x:c r="J2378" t="str">
        <x:v>Unit</x:v>
      </x:c>
      <x:c r="K2378" t="str">
        <x:v>In stock</x:v>
      </x:c>
      <x:c r="L2378" t="str">
        <x:v>2026-09-08</x:v>
      </x:c>
      <x:c r="M2378" t="str"/>
      <x:c r="N2378" t="str"/>
      <x:c r="O2378" t="str">
        <x:v>https://www.activesportstrade.co.uk/per4m-nutrition-trade</x:v>
      </x:c>
      <x:c r="P2378" t="str">
        <x:v>SPECIAL OFFER/FREE CREATINE and NEW wording stripped from canonical title/flavours.</x:v>
      </x:c>
      <x:c r="Q2378" t="str"/>
      <x:c r="R2378" t="str"/>
      <x:c r="S2378" t="str">
        <x:v>Pending genuine supplier/brand image</x:v>
      </x:c>
      <x:c r="T2378" s="54" t="n">
        <x:v>18.99</x:v>
      </x:c>
      <x:c r="U2378" s="47" t="n">
        <x:v>0.2</x:v>
      </x:c>
      <x:c r="V2378" s="54" t="n">
        <x:f>IF(ISNUMBER(T2378),T2378*(1+U2378),"")</x:f>
        <x:v>22.787999999999997</x:v>
      </x:c>
      <x:c r="W2378" s="47" t="n">
        <x:v>0.3</x:v>
      </x:c>
      <x:c r="X2378" s="54" t="n">
        <x:f>IF(ISNUMBER(V2378),V2378/(1-W2378),"")</x:f>
        <x:v>32.55428571428571</x:v>
      </x:c>
      <x:c r="Y2378" s="55" t="n">
        <x:f>IF(ISNUMBER(X2378),ROUNDUP(X2378,0),"")</x:f>
        <x:v>33</x:v>
      </x:c>
      <x:c r="Z2378" t="str">
        <x:v>Source match pending</x:v>
      </x:c>
      <x:c r="AA2378" t="str">
        <x:v>screencapture-www-activesportstrade-co-uk-per4m-nutrition-trade-2026-09-10-09_06_42.pdf / page-07</x:v>
      </x:c>
      <x:c r="AB2378" s="36" t="n">
        <x:f>IF(ISNUMBER(Y2378),ROUND(Y2378*0.9,2),"")</x:f>
        <x:v>29.7</x:v>
      </x:c>
      <x:c r="AC2378" s="36" t="n">
        <x:f>IF(ISNUMBER(AB2378),ROUND(AB2378-(AB2378*0.015+0.2)-V2378,2),"")</x:f>
        <x:v>6.27</x:v>
      </x:c>
      <x:c r="AD2378" s="36" t="n">
        <x:f>IF(ISNUMBER(Y2378),ROUND(Y2378*0.8,2),"")</x:f>
        <x:v>26.4</x:v>
      </x:c>
      <x:c r="AE2378" s="36" t="n">
        <x:f>IF(ISNUMBER(AD2378),ROUND(AD2378*0.015+0.2,2),"")</x:f>
        <x:v>0.6</x:v>
      </x:c>
      <x:c r="AF2378" s="36" t="n">
        <x:f>IF(ISNUMBER(AD2378),ROUND(AD2378-AE2378-V2378,2),"")</x:f>
        <x:v>3.01</x:v>
      </x:c>
      <x:c r="AG2378" t="str">
        <x:f>IF(NOT(ISNUMBER(T2378)),"PENDING",IF(AF2378&gt;0,"PASS","FAIL"))</x:f>
        <x:v>PASS</x:v>
      </x:c>
      <x:c r="AH2378" t="str">
        <x:f>IF(NOT(ISNUMBER(T2378)),"Needs supplier cost",IF(K2378&lt;&gt;"In stock","Supplier unavailable",IF(AG2378&lt;&gt;"PASS","BLOCK - GT loss risk","Commercially protected")))</x:f>
        <x:v>Commercially protected</x:v>
      </x:c>
      <x:c r="AI2378" t="str">
        <x:v>2026-09-10 Active Sports trade capture</x:v>
      </x:c>
      <x:c r="AJ2378" t="str">
        <x:v>Management-only economics. Stripe stress test uses 1.5% + £0.20 standard UK online-card fee; pallet/mix-and-match pricing ignored.</x:v>
      </x:c>
    </x:row>
    <x:row r="2379">
      <x:c r="A2379" t="str">
        <x:v>Active Sports Nutrition</x:v>
      </x:c>
      <x:c r="B2379" t="str">
        <x:v>Per4m Nutrition</x:v>
      </x:c>
      <x:c r="C2379" t="str">
        <x:v>PRE</x:v>
      </x:c>
      <x:c r="D2379" t="str">
        <x:v>Pre Workouts</x:v>
      </x:c>
      <x:c r="E2379" t="str">
        <x:v>Pre Workout</x:v>
      </x:c>
      <x:c r="F2379" t="str"/>
      <x:c r="G2379" t="str">
        <x:v>570g</x:v>
      </x:c>
      <x:c r="H2379" t="str">
        <x:v>Rainbow Candy</x:v>
      </x:c>
      <x:c r="I2379" t="str"/>
      <x:c r="J2379" t="str">
        <x:v>Unit</x:v>
      </x:c>
      <x:c r="K2379" t="str">
        <x:v>In stock</x:v>
      </x:c>
      <x:c r="L2379" t="str">
        <x:v>2026-09-08</x:v>
      </x:c>
      <x:c r="M2379" t="str"/>
      <x:c r="N2379" t="str"/>
      <x:c r="O2379" t="str">
        <x:v>https://www.activesportstrade.co.uk/per4m-nutrition-trade</x:v>
      </x:c>
      <x:c r="P2379" t="str">
        <x:v>SPECIAL OFFER/FREE CREATINE and NEW wording stripped from canonical title/flavours.</x:v>
      </x:c>
      <x:c r="Q2379" t="str"/>
      <x:c r="R2379" t="str"/>
      <x:c r="S2379" t="str">
        <x:v>Pending genuine supplier/brand image</x:v>
      </x:c>
      <x:c r="T2379" s="54" t="n">
        <x:v>18.99</x:v>
      </x:c>
      <x:c r="U2379" s="47" t="n">
        <x:v>0.2</x:v>
      </x:c>
      <x:c r="V2379" s="54" t="n">
        <x:f>IF(ISNUMBER(T2379),T2379*(1+U2379),"")</x:f>
        <x:v>22.787999999999997</x:v>
      </x:c>
      <x:c r="W2379" s="47" t="n">
        <x:v>0.3</x:v>
      </x:c>
      <x:c r="X2379" s="54" t="n">
        <x:f>IF(ISNUMBER(V2379),V2379/(1-W2379),"")</x:f>
        <x:v>32.55428571428571</x:v>
      </x:c>
      <x:c r="Y2379" s="55" t="n">
        <x:f>IF(ISNUMBER(X2379),ROUNDUP(X2379,0),"")</x:f>
        <x:v>33</x:v>
      </x:c>
      <x:c r="Z2379" t="str">
        <x:v>Source match pending</x:v>
      </x:c>
      <x:c r="AA2379" t="str">
        <x:v>screencapture-www-activesportstrade-co-uk-per4m-nutrition-trade-2026-09-10-09_06_42.pdf / page-07</x:v>
      </x:c>
      <x:c r="AB2379" s="36" t="n">
        <x:f>IF(ISNUMBER(Y2379),ROUND(Y2379*0.9,2),"")</x:f>
        <x:v>29.7</x:v>
      </x:c>
      <x:c r="AC2379" s="36" t="n">
        <x:f>IF(ISNUMBER(AB2379),ROUND(AB2379-(AB2379*0.015+0.2)-V2379,2),"")</x:f>
        <x:v>6.27</x:v>
      </x:c>
      <x:c r="AD2379" s="36" t="n">
        <x:f>IF(ISNUMBER(Y2379),ROUND(Y2379*0.8,2),"")</x:f>
        <x:v>26.4</x:v>
      </x:c>
      <x:c r="AE2379" s="36" t="n">
        <x:f>IF(ISNUMBER(AD2379),ROUND(AD2379*0.015+0.2,2),"")</x:f>
        <x:v>0.6</x:v>
      </x:c>
      <x:c r="AF2379" s="36" t="n">
        <x:f>IF(ISNUMBER(AD2379),ROUND(AD2379-AE2379-V2379,2),"")</x:f>
        <x:v>3.01</x:v>
      </x:c>
      <x:c r="AG2379" t="str">
        <x:f>IF(NOT(ISNUMBER(T2379)),"PENDING",IF(AF2379&gt;0,"PASS","FAIL"))</x:f>
        <x:v>PASS</x:v>
      </x:c>
      <x:c r="AH2379" t="str">
        <x:f>IF(NOT(ISNUMBER(T2379)),"Needs supplier cost",IF(K2379&lt;&gt;"In stock","Supplier unavailable",IF(AG2379&lt;&gt;"PASS","BLOCK - GT loss risk","Commercially protected")))</x:f>
        <x:v>Commercially protected</x:v>
      </x:c>
      <x:c r="AI2379" t="str">
        <x:v>2026-09-10 Active Sports trade capture</x:v>
      </x:c>
      <x:c r="AJ2379" t="str">
        <x:v>Management-only economics. Stripe stress test uses 1.5% + £0.20 standard UK online-card fee; pallet/mix-and-match pricing ignored.</x:v>
      </x:c>
    </x:row>
    <x:row r="2380">
      <x:c r="A2380" t="str">
        <x:v>Active Sports Nutrition</x:v>
      </x:c>
      <x:c r="B2380" t="str">
        <x:v>Per4m Nutrition</x:v>
      </x:c>
      <x:c r="C2380" t="str">
        <x:v>PRE</x:v>
      </x:c>
      <x:c r="D2380" t="str">
        <x:v>Pre Workouts</x:v>
      </x:c>
      <x:c r="E2380" t="str">
        <x:v>Pre Workout</x:v>
      </x:c>
      <x:c r="F2380" t="str"/>
      <x:c r="G2380" t="str">
        <x:v>570g</x:v>
      </x:c>
      <x:c r="H2380" t="str">
        <x:v>Strawberry Lime</x:v>
      </x:c>
      <x:c r="I2380" t="str"/>
      <x:c r="J2380" t="str">
        <x:v>Unit</x:v>
      </x:c>
      <x:c r="K2380" t="str">
        <x:v>In stock</x:v>
      </x:c>
      <x:c r="L2380" t="str">
        <x:v>2026-09-08</x:v>
      </x:c>
      <x:c r="M2380" t="str"/>
      <x:c r="N2380" t="str"/>
      <x:c r="O2380" t="str">
        <x:v>https://www.activesportstrade.co.uk/per4m-nutrition-trade</x:v>
      </x:c>
      <x:c r="P2380" t="str">
        <x:v>SPECIAL OFFER/FREE CREATINE and NEW wording stripped from canonical title/flavours.</x:v>
      </x:c>
      <x:c r="Q2380" t="str"/>
      <x:c r="R2380" t="str"/>
      <x:c r="S2380" t="str">
        <x:v>Pending genuine supplier/brand image</x:v>
      </x:c>
      <x:c r="T2380" s="54" t="n">
        <x:v>18.99</x:v>
      </x:c>
      <x:c r="U2380" s="47" t="n">
        <x:v>0.2</x:v>
      </x:c>
      <x:c r="V2380" s="54" t="n">
        <x:f>IF(ISNUMBER(T2380),T2380*(1+U2380),"")</x:f>
        <x:v>22.787999999999997</x:v>
      </x:c>
      <x:c r="W2380" s="47" t="n">
        <x:v>0.3</x:v>
      </x:c>
      <x:c r="X2380" s="54" t="n">
        <x:f>IF(ISNUMBER(V2380),V2380/(1-W2380),"")</x:f>
        <x:v>32.55428571428571</x:v>
      </x:c>
      <x:c r="Y2380" s="55" t="n">
        <x:f>IF(ISNUMBER(X2380),ROUNDUP(X2380,0),"")</x:f>
        <x:v>33</x:v>
      </x:c>
      <x:c r="Z2380" t="str">
        <x:v>Source match pending</x:v>
      </x:c>
      <x:c r="AA2380" t="str">
        <x:v>screencapture-www-activesportstrade-co-uk-per4m-nutrition-trade-2026-09-10-09_06_42.pdf / page-07</x:v>
      </x:c>
      <x:c r="AB2380" s="36" t="n">
        <x:f>IF(ISNUMBER(Y2380),ROUND(Y2380*0.9,2),"")</x:f>
        <x:v>29.7</x:v>
      </x:c>
      <x:c r="AC2380" s="36" t="n">
        <x:f>IF(ISNUMBER(AB2380),ROUND(AB2380-(AB2380*0.015+0.2)-V2380,2),"")</x:f>
        <x:v>6.27</x:v>
      </x:c>
      <x:c r="AD2380" s="36" t="n">
        <x:f>IF(ISNUMBER(Y2380),ROUND(Y2380*0.8,2),"")</x:f>
        <x:v>26.4</x:v>
      </x:c>
      <x:c r="AE2380" s="36" t="n">
        <x:f>IF(ISNUMBER(AD2380),ROUND(AD2380*0.015+0.2,2),"")</x:f>
        <x:v>0.6</x:v>
      </x:c>
      <x:c r="AF2380" s="36" t="n">
        <x:f>IF(ISNUMBER(AD2380),ROUND(AD2380-AE2380-V2380,2),"")</x:f>
        <x:v>3.01</x:v>
      </x:c>
      <x:c r="AG2380" t="str">
        <x:f>IF(NOT(ISNUMBER(T2380)),"PENDING",IF(AF2380&gt;0,"PASS","FAIL"))</x:f>
        <x:v>PASS</x:v>
      </x:c>
      <x:c r="AH2380" t="str">
        <x:f>IF(NOT(ISNUMBER(T2380)),"Needs supplier cost",IF(K2380&lt;&gt;"In stock","Supplier unavailable",IF(AG2380&lt;&gt;"PASS","BLOCK - GT loss risk","Commercially protected")))</x:f>
        <x:v>Commercially protected</x:v>
      </x:c>
      <x:c r="AI2380" t="str">
        <x:v>2026-09-10 Active Sports trade capture</x:v>
      </x:c>
      <x:c r="AJ2380" t="str">
        <x:v>Management-only economics. Stripe stress test uses 1.5% + £0.20 standard UK online-card fee; pallet/mix-and-match pricing ignored.</x:v>
      </x:c>
    </x:row>
    <x:row r="2381">
      <x:c r="A2381" t="str">
        <x:v>Active Sports Nutrition</x:v>
      </x:c>
      <x:c r="B2381" t="str">
        <x:v>Per4m Nutrition</x:v>
      </x:c>
      <x:c r="C2381" t="str">
        <x:v>PRE</x:v>
      </x:c>
      <x:c r="D2381" t="str">
        <x:v>Pre Workouts</x:v>
      </x:c>
      <x:c r="E2381" t="str">
        <x:v>Pre Workout</x:v>
      </x:c>
      <x:c r="F2381" t="str"/>
      <x:c r="G2381" t="str">
        <x:v>570g</x:v>
      </x:c>
      <x:c r="H2381" t="str">
        <x:v>Watermelon Lemonade</x:v>
      </x:c>
      <x:c r="I2381" t="str"/>
      <x:c r="J2381" t="str">
        <x:v>Unit</x:v>
      </x:c>
      <x:c r="K2381" t="str">
        <x:v>In stock</x:v>
      </x:c>
      <x:c r="L2381" t="str">
        <x:v>2026-09-08</x:v>
      </x:c>
      <x:c r="M2381" t="str"/>
      <x:c r="N2381" t="str"/>
      <x:c r="O2381" t="str">
        <x:v>https://www.activesportstrade.co.uk/per4m-nutrition-trade</x:v>
      </x:c>
      <x:c r="P2381" t="str">
        <x:v>SPECIAL OFFER/FREE CREATINE and NEW wording stripped from canonical title/flavours.</x:v>
      </x:c>
      <x:c r="Q2381" t="str"/>
      <x:c r="R2381" t="str"/>
      <x:c r="S2381" t="str">
        <x:v>Pending genuine supplier/brand image</x:v>
      </x:c>
      <x:c r="T2381" s="54" t="n">
        <x:v>18.99</x:v>
      </x:c>
      <x:c r="U2381" s="47" t="n">
        <x:v>0.2</x:v>
      </x:c>
      <x:c r="V2381" s="54" t="n">
        <x:f>IF(ISNUMBER(T2381),T2381*(1+U2381),"")</x:f>
        <x:v>22.787999999999997</x:v>
      </x:c>
      <x:c r="W2381" s="47" t="n">
        <x:v>0.3</x:v>
      </x:c>
      <x:c r="X2381" s="54" t="n">
        <x:f>IF(ISNUMBER(V2381),V2381/(1-W2381),"")</x:f>
        <x:v>32.55428571428571</x:v>
      </x:c>
      <x:c r="Y2381" s="55" t="n">
        <x:f>IF(ISNUMBER(X2381),ROUNDUP(X2381,0),"")</x:f>
        <x:v>33</x:v>
      </x:c>
      <x:c r="Z2381" t="str">
        <x:v>Source match pending</x:v>
      </x:c>
      <x:c r="AA2381" t="str">
        <x:v>screencapture-www-activesportstrade-co-uk-per4m-nutrition-trade-2026-09-10-09_06_42.pdf / page-07</x:v>
      </x:c>
      <x:c r="AB2381" s="36" t="n">
        <x:f>IF(ISNUMBER(Y2381),ROUND(Y2381*0.9,2),"")</x:f>
        <x:v>29.7</x:v>
      </x:c>
      <x:c r="AC2381" s="36" t="n">
        <x:f>IF(ISNUMBER(AB2381),ROUND(AB2381-(AB2381*0.015+0.2)-V2381,2),"")</x:f>
        <x:v>6.27</x:v>
      </x:c>
      <x:c r="AD2381" s="36" t="n">
        <x:f>IF(ISNUMBER(Y2381),ROUND(Y2381*0.8,2),"")</x:f>
        <x:v>26.4</x:v>
      </x:c>
      <x:c r="AE2381" s="36" t="n">
        <x:f>IF(ISNUMBER(AD2381),ROUND(AD2381*0.015+0.2,2),"")</x:f>
        <x:v>0.6</x:v>
      </x:c>
      <x:c r="AF2381" s="36" t="n">
        <x:f>IF(ISNUMBER(AD2381),ROUND(AD2381-AE2381-V2381,2),"")</x:f>
        <x:v>3.01</x:v>
      </x:c>
      <x:c r="AG2381" t="str">
        <x:f>IF(NOT(ISNUMBER(T2381)),"PENDING",IF(AF2381&gt;0,"PASS","FAIL"))</x:f>
        <x:v>PASS</x:v>
      </x:c>
      <x:c r="AH2381" t="str">
        <x:f>IF(NOT(ISNUMBER(T2381)),"Needs supplier cost",IF(K2381&lt;&gt;"In stock","Supplier unavailable",IF(AG2381&lt;&gt;"PASS","BLOCK - GT loss risk","Commercially protected")))</x:f>
        <x:v>Commercially protected</x:v>
      </x:c>
      <x:c r="AI2381" t="str">
        <x:v>2026-09-10 Active Sports trade capture</x:v>
      </x:c>
      <x:c r="AJ2381" t="str">
        <x:v>Management-only economics. Stripe stress test uses 1.5% + £0.20 standard UK online-card fee; pallet/mix-and-match pricing ignored.</x:v>
      </x:c>
    </x:row>
    <x:row r="2382">
      <x:c r="A2382" t="str">
        <x:v>Active Sports Nutrition</x:v>
      </x:c>
      <x:c r="B2382" t="str">
        <x:v>Per4m Nutrition</x:v>
      </x:c>
      <x:c r="C2382" t="str">
        <x:v>Protein Bar</x:v>
      </x:c>
      <x:c r="D2382" t="str">
        <x:v>Food &amp; Drinks</x:v>
      </x:c>
      <x:c r="E2382" t="str">
        <x:v>Bars and Snacks</x:v>
      </x:c>
      <x:c r="F2382" t="str"/>
      <x:c r="G2382" t="str">
        <x:v>12 x 62g</x:v>
      </x:c>
      <x:c r="H2382" t="str">
        <x:v>Baklava</x:v>
      </x:c>
      <x:c r="I2382" t="str">
        <x:v>12</x:v>
      </x:c>
      <x:c r="J2382" t="str">
        <x:v>Case</x:v>
      </x:c>
      <x:c r="K2382" t="str">
        <x:v>In stock</x:v>
      </x:c>
      <x:c r="L2382" t="str">
        <x:v>2026-09-08</x:v>
      </x:c>
      <x:c r="M2382" t="str"/>
      <x:c r="N2382" t="str"/>
      <x:c r="O2382" t="str">
        <x:v>https://www.activesportstrade.co.uk/per4m-nutrition-trade</x:v>
      </x:c>
      <x:c r="P2382" t="str">
        <x:v>Supplier product is a 12-bar case; NEW wording stripped.</x:v>
      </x:c>
      <x:c r="Q2382" t="str"/>
      <x:c r="R2382" t="str"/>
      <x:c r="S2382" t="str">
        <x:v>Pending genuine supplier/brand image</x:v>
      </x:c>
      <x:c r="T2382" s="54"/>
      <x:c r="U2382" s="47" t="n">
        <x:v>0.2</x:v>
      </x:c>
      <x:c r="V2382" s="54" t="str">
        <x:f>IF(ISNUMBER(T2382),T2382*(1+U2382),"")</x:f>
      </x:c>
      <x:c r="W2382" s="47" t="n">
        <x:v>0.3</x:v>
      </x:c>
      <x:c r="X2382" s="54" t="str">
        <x:f>IF(ISNUMBER(V2382),V2382/(1-W2382),"")</x:f>
      </x:c>
      <x:c r="Y2382" s="55" t="str">
        <x:f>IF(ISNUMBER(X2382),ROUNDUP(X2382,0),"")</x:f>
      </x:c>
      <x:c r="Z2382" t="str">
        <x:f>IF(ISNUMBER(T2382),"Cost captured","Awaiting trade cost")</x:f>
        <x:v>Awaiting trade cost</x:v>
      </x:c>
      <x:c r="AB2382" s="36" t="str">
        <x:f>IF(ISNUMBER(Y2382),ROUND(Y2382*0.9,2),"")</x:f>
      </x:c>
      <x:c r="AC2382" s="36" t="str">
        <x:f>IF(ISNUMBER(AB2382),ROUND(AB2382-(AB2382*0.015+0.2)-V2382,2),"")</x:f>
      </x:c>
      <x:c r="AD2382" s="36" t="str">
        <x:f>IF(ISNUMBER(Y2382),ROUND(Y2382*0.8,2),"")</x:f>
      </x:c>
      <x:c r="AE2382" s="36" t="str">
        <x:f>IF(ISNUMBER(AD2382),ROUND(AD2382*0.015+0.2,2),"")</x:f>
      </x:c>
      <x:c r="AF2382" s="36" t="str">
        <x:f>IF(ISNUMBER(AD2382),ROUND(AD2382-AE2382-V2382,2),"")</x:f>
      </x:c>
      <x:c r="AG2382" t="str">
        <x:f>IF(NOT(ISNUMBER(T2382)),"PENDING",IF(AF2382&gt;0,"PASS","FAIL"))</x:f>
        <x:v>PENDING</x:v>
      </x:c>
      <x:c r="AH2382" t="str">
        <x:f>IF(NOT(ISNUMBER(T2382)),"Needs supplier cost",IF(K2382&lt;&gt;"In stock","Supplier unavailable",IF(AG2382&lt;&gt;"PASS","BLOCK - GT loss risk","Commercially protected")))</x:f>
        <x:v>Needs supplier cost</x:v>
      </x:c>
      <x:c r="AI2382" t="str">
        <x:v>2026-09-10 Active Sports trade capture</x:v>
      </x:c>
      <x:c r="AJ2382" t="str">
        <x:v>Management-only economics. Stripe stress test uses 1.5% + £0.20 standard UK online-card fee; pallet/mix-and-match pricing ignored.</x:v>
      </x:c>
    </x:row>
    <x:row r="2383">
      <x:c r="A2383" t="str">
        <x:v>Active Sports Nutrition</x:v>
      </x:c>
      <x:c r="B2383" t="str">
        <x:v>Per4m Nutrition</x:v>
      </x:c>
      <x:c r="C2383" t="str">
        <x:v>Protein Bar</x:v>
      </x:c>
      <x:c r="D2383" t="str">
        <x:v>Food &amp; Drinks</x:v>
      </x:c>
      <x:c r="E2383" t="str">
        <x:v>Bars and Snacks</x:v>
      </x:c>
      <x:c r="F2383" t="str"/>
      <x:c r="G2383" t="str">
        <x:v>12 x 62g</x:v>
      </x:c>
      <x:c r="H2383" t="str">
        <x:v>Caramel Biscuit</x:v>
      </x:c>
      <x:c r="I2383" t="str">
        <x:v>12</x:v>
      </x:c>
      <x:c r="J2383" t="str">
        <x:v>Case</x:v>
      </x:c>
      <x:c r="K2383" t="str">
        <x:v>In stock</x:v>
      </x:c>
      <x:c r="L2383" t="str">
        <x:v>2026-09-08</x:v>
      </x:c>
      <x:c r="M2383" t="str"/>
      <x:c r="N2383" t="str"/>
      <x:c r="O2383" t="str">
        <x:v>https://www.activesportstrade.co.uk/per4m-nutrition-trade</x:v>
      </x:c>
      <x:c r="P2383" t="str">
        <x:v>Supplier product is a 12-bar case; NEW wording stripped.</x:v>
      </x:c>
      <x:c r="Q2383" t="str"/>
      <x:c r="R2383" t="str"/>
      <x:c r="S2383" t="str">
        <x:v>Pending genuine supplier/brand image</x:v>
      </x:c>
      <x:c r="T2383" s="54"/>
      <x:c r="U2383" s="47" t="n">
        <x:v>0.2</x:v>
      </x:c>
      <x:c r="V2383" s="54" t="str">
        <x:f>IF(ISNUMBER(T2383),T2383*(1+U2383),"")</x:f>
      </x:c>
      <x:c r="W2383" s="47" t="n">
        <x:v>0.3</x:v>
      </x:c>
      <x:c r="X2383" s="54" t="str">
        <x:f>IF(ISNUMBER(V2383),V2383/(1-W2383),"")</x:f>
      </x:c>
      <x:c r="Y2383" s="55" t="str">
        <x:f>IF(ISNUMBER(X2383),ROUNDUP(X2383,0),"")</x:f>
      </x:c>
      <x:c r="Z2383" t="str">
        <x:f>IF(ISNUMBER(T2383),"Cost captured","Awaiting trade cost")</x:f>
        <x:v>Awaiting trade cost</x:v>
      </x:c>
      <x:c r="AB2383" s="36" t="str">
        <x:f>IF(ISNUMBER(Y2383),ROUND(Y2383*0.9,2),"")</x:f>
      </x:c>
      <x:c r="AC2383" s="36" t="str">
        <x:f>IF(ISNUMBER(AB2383),ROUND(AB2383-(AB2383*0.015+0.2)-V2383,2),"")</x:f>
      </x:c>
      <x:c r="AD2383" s="36" t="str">
        <x:f>IF(ISNUMBER(Y2383),ROUND(Y2383*0.8,2),"")</x:f>
      </x:c>
      <x:c r="AE2383" s="36" t="str">
        <x:f>IF(ISNUMBER(AD2383),ROUND(AD2383*0.015+0.2,2),"")</x:f>
      </x:c>
      <x:c r="AF2383" s="36" t="str">
        <x:f>IF(ISNUMBER(AD2383),ROUND(AD2383-AE2383-V2383,2),"")</x:f>
      </x:c>
      <x:c r="AG2383" t="str">
        <x:f>IF(NOT(ISNUMBER(T2383)),"PENDING",IF(AF2383&gt;0,"PASS","FAIL"))</x:f>
        <x:v>PENDING</x:v>
      </x:c>
      <x:c r="AH2383" t="str">
        <x:f>IF(NOT(ISNUMBER(T2383)),"Needs supplier cost",IF(K2383&lt;&gt;"In stock","Supplier unavailable",IF(AG2383&lt;&gt;"PASS","BLOCK - GT loss risk","Commercially protected")))</x:f>
        <x:v>Needs supplier cost</x:v>
      </x:c>
      <x:c r="AI2383" t="str">
        <x:v>2026-09-10 Active Sports trade capture</x:v>
      </x:c>
      <x:c r="AJ2383" t="str">
        <x:v>Management-only economics. Stripe stress test uses 1.5% + £0.20 standard UK online-card fee; pallet/mix-and-match pricing ignored.</x:v>
      </x:c>
    </x:row>
    <x:row r="2384">
      <x:c r="A2384" t="str">
        <x:v>Active Sports Nutrition</x:v>
      </x:c>
      <x:c r="B2384" t="str">
        <x:v>Per4m Nutrition</x:v>
      </x:c>
      <x:c r="C2384" t="str">
        <x:v>Protein Bar</x:v>
      </x:c>
      <x:c r="D2384" t="str">
        <x:v>Food &amp; Drinks</x:v>
      </x:c>
      <x:c r="E2384" t="str">
        <x:v>Bars and Snacks</x:v>
      </x:c>
      <x:c r="F2384" t="str"/>
      <x:c r="G2384" t="str">
        <x:v>12 x 62g</x:v>
      </x:c>
      <x:c r="H2384" t="str">
        <x:v>Chocolate Brownie</x:v>
      </x:c>
      <x:c r="I2384" t="str">
        <x:v>12</x:v>
      </x:c>
      <x:c r="J2384" t="str">
        <x:v>Case</x:v>
      </x:c>
      <x:c r="K2384" t="str">
        <x:v>In stock</x:v>
      </x:c>
      <x:c r="L2384" t="str">
        <x:v>2026-09-08</x:v>
      </x:c>
      <x:c r="M2384" t="str"/>
      <x:c r="N2384" t="str"/>
      <x:c r="O2384" t="str">
        <x:v>https://www.activesportstrade.co.uk/per4m-nutrition-trade</x:v>
      </x:c>
      <x:c r="P2384" t="str">
        <x:v>Supplier product is a 12-bar case; NEW wording stripped.</x:v>
      </x:c>
      <x:c r="Q2384" t="str"/>
      <x:c r="R2384" t="str"/>
      <x:c r="S2384" t="str">
        <x:v>Pending genuine supplier/brand image</x:v>
      </x:c>
      <x:c r="T2384" s="54"/>
      <x:c r="U2384" s="47" t="n">
        <x:v>0.2</x:v>
      </x:c>
      <x:c r="V2384" s="54" t="str">
        <x:f>IF(ISNUMBER(T2384),T2384*(1+U2384),"")</x:f>
      </x:c>
      <x:c r="W2384" s="47" t="n">
        <x:v>0.3</x:v>
      </x:c>
      <x:c r="X2384" s="54" t="str">
        <x:f>IF(ISNUMBER(V2384),V2384/(1-W2384),"")</x:f>
      </x:c>
      <x:c r="Y2384" s="55" t="str">
        <x:f>IF(ISNUMBER(X2384),ROUNDUP(X2384,0),"")</x:f>
      </x:c>
      <x:c r="Z2384" t="str">
        <x:f>IF(ISNUMBER(T2384),"Cost captured","Awaiting trade cost")</x:f>
        <x:v>Awaiting trade cost</x:v>
      </x:c>
      <x:c r="AB2384" s="36" t="str">
        <x:f>IF(ISNUMBER(Y2384),ROUND(Y2384*0.9,2),"")</x:f>
      </x:c>
      <x:c r="AC2384" s="36" t="str">
        <x:f>IF(ISNUMBER(AB2384),ROUND(AB2384-(AB2384*0.015+0.2)-V2384,2),"")</x:f>
      </x:c>
      <x:c r="AD2384" s="36" t="str">
        <x:f>IF(ISNUMBER(Y2384),ROUND(Y2384*0.8,2),"")</x:f>
      </x:c>
      <x:c r="AE2384" s="36" t="str">
        <x:f>IF(ISNUMBER(AD2384),ROUND(AD2384*0.015+0.2,2),"")</x:f>
      </x:c>
      <x:c r="AF2384" s="36" t="str">
        <x:f>IF(ISNUMBER(AD2384),ROUND(AD2384-AE2384-V2384,2),"")</x:f>
      </x:c>
      <x:c r="AG2384" t="str">
        <x:f>IF(NOT(ISNUMBER(T2384)),"PENDING",IF(AF2384&gt;0,"PASS","FAIL"))</x:f>
        <x:v>PENDING</x:v>
      </x:c>
      <x:c r="AH2384" t="str">
        <x:f>IF(NOT(ISNUMBER(T2384)),"Needs supplier cost",IF(K2384&lt;&gt;"In stock","Supplier unavailable",IF(AG2384&lt;&gt;"PASS","BLOCK - GT loss risk","Commercially protected")))</x:f>
        <x:v>Needs supplier cost</x:v>
      </x:c>
      <x:c r="AI2384" t="str">
        <x:v>2026-09-10 Active Sports trade capture</x:v>
      </x:c>
      <x:c r="AJ2384" t="str">
        <x:v>Management-only economics. Stripe stress test uses 1.5% + £0.20 standard UK online-card fee; pallet/mix-and-match pricing ignored.</x:v>
      </x:c>
    </x:row>
    <x:row r="2385">
      <x:c r="A2385" t="str">
        <x:v>Active Sports Nutrition</x:v>
      </x:c>
      <x:c r="B2385" t="str">
        <x:v>Per4m Nutrition</x:v>
      </x:c>
      <x:c r="C2385" t="str">
        <x:v>Protein Bar</x:v>
      </x:c>
      <x:c r="D2385" t="str">
        <x:v>Food &amp; Drinks</x:v>
      </x:c>
      <x:c r="E2385" t="str">
        <x:v>Bars and Snacks</x:v>
      </x:c>
      <x:c r="F2385" t="str"/>
      <x:c r="G2385" t="str">
        <x:v>12 x 62g</x:v>
      </x:c>
      <x:c r="H2385" t="str">
        <x:v>Chocolate Caramel</x:v>
      </x:c>
      <x:c r="I2385" t="str">
        <x:v>12</x:v>
      </x:c>
      <x:c r="J2385" t="str">
        <x:v>Case</x:v>
      </x:c>
      <x:c r="K2385" t="str">
        <x:v>In stock</x:v>
      </x:c>
      <x:c r="L2385" t="str">
        <x:v>2026-09-08</x:v>
      </x:c>
      <x:c r="M2385" t="str"/>
      <x:c r="N2385" t="str"/>
      <x:c r="O2385" t="str">
        <x:v>https://www.activesportstrade.co.uk/per4m-nutrition-trade</x:v>
      </x:c>
      <x:c r="P2385" t="str">
        <x:v>Supplier product is a 12-bar case; NEW wording stripped.</x:v>
      </x:c>
      <x:c r="Q2385" t="str"/>
      <x:c r="R2385" t="str"/>
      <x:c r="S2385" t="str">
        <x:v>Pending genuine supplier/brand image</x:v>
      </x:c>
      <x:c r="T2385" s="54"/>
      <x:c r="U2385" s="47" t="n">
        <x:v>0.2</x:v>
      </x:c>
      <x:c r="V2385" s="54" t="str">
        <x:f>IF(ISNUMBER(T2385),T2385*(1+U2385),"")</x:f>
      </x:c>
      <x:c r="W2385" s="47" t="n">
        <x:v>0.3</x:v>
      </x:c>
      <x:c r="X2385" s="54" t="str">
        <x:f>IF(ISNUMBER(V2385),V2385/(1-W2385),"")</x:f>
      </x:c>
      <x:c r="Y2385" s="55" t="str">
        <x:f>IF(ISNUMBER(X2385),ROUNDUP(X2385,0),"")</x:f>
      </x:c>
      <x:c r="Z2385" t="str">
        <x:f>IF(ISNUMBER(T2385),"Cost captured","Awaiting trade cost")</x:f>
        <x:v>Awaiting trade cost</x:v>
      </x:c>
      <x:c r="AB2385" s="36" t="str">
        <x:f>IF(ISNUMBER(Y2385),ROUND(Y2385*0.9,2),"")</x:f>
      </x:c>
      <x:c r="AC2385" s="36" t="str">
        <x:f>IF(ISNUMBER(AB2385),ROUND(AB2385-(AB2385*0.015+0.2)-V2385,2),"")</x:f>
      </x:c>
      <x:c r="AD2385" s="36" t="str">
        <x:f>IF(ISNUMBER(Y2385),ROUND(Y2385*0.8,2),"")</x:f>
      </x:c>
      <x:c r="AE2385" s="36" t="str">
        <x:f>IF(ISNUMBER(AD2385),ROUND(AD2385*0.015+0.2,2),"")</x:f>
      </x:c>
      <x:c r="AF2385" s="36" t="str">
        <x:f>IF(ISNUMBER(AD2385),ROUND(AD2385-AE2385-V2385,2),"")</x:f>
      </x:c>
      <x:c r="AG2385" t="str">
        <x:f>IF(NOT(ISNUMBER(T2385)),"PENDING",IF(AF2385&gt;0,"PASS","FAIL"))</x:f>
        <x:v>PENDING</x:v>
      </x:c>
      <x:c r="AH2385" t="str">
        <x:f>IF(NOT(ISNUMBER(T2385)),"Needs supplier cost",IF(K2385&lt;&gt;"In stock","Supplier unavailable",IF(AG2385&lt;&gt;"PASS","BLOCK - GT loss risk","Commercially protected")))</x:f>
        <x:v>Needs supplier cost</x:v>
      </x:c>
      <x:c r="AI2385" t="str">
        <x:v>2026-09-10 Active Sports trade capture</x:v>
      </x:c>
      <x:c r="AJ2385" t="str">
        <x:v>Management-only economics. Stripe stress test uses 1.5% + £0.20 standard UK online-card fee; pallet/mix-and-match pricing ignored.</x:v>
      </x:c>
    </x:row>
    <x:row r="2386">
      <x:c r="A2386" t="str">
        <x:v>Active Sports Nutrition</x:v>
      </x:c>
      <x:c r="B2386" t="str">
        <x:v>Per4m Nutrition</x:v>
      </x:c>
      <x:c r="C2386" t="str">
        <x:v>Protein Bar</x:v>
      </x:c>
      <x:c r="D2386" t="str">
        <x:v>Food &amp; Drinks</x:v>
      </x:c>
      <x:c r="E2386" t="str">
        <x:v>Bars and Snacks</x:v>
      </x:c>
      <x:c r="F2386" t="str"/>
      <x:c r="G2386" t="str">
        <x:v>12 x 62g</x:v>
      </x:c>
      <x:c r="H2386" t="str">
        <x:v>Chocolate Peanut Butter</x:v>
      </x:c>
      <x:c r="I2386" t="str">
        <x:v>12</x:v>
      </x:c>
      <x:c r="J2386" t="str">
        <x:v>Case</x:v>
      </x:c>
      <x:c r="K2386" t="str">
        <x:v>In stock</x:v>
      </x:c>
      <x:c r="L2386" t="str">
        <x:v>2026-09-08</x:v>
      </x:c>
      <x:c r="M2386" t="str"/>
      <x:c r="N2386" t="str"/>
      <x:c r="O2386" t="str">
        <x:v>https://www.activesportstrade.co.uk/per4m-nutrition-trade</x:v>
      </x:c>
      <x:c r="P2386" t="str">
        <x:v>Supplier product is a 12-bar case; NEW wording stripped.</x:v>
      </x:c>
      <x:c r="Q2386" t="str"/>
      <x:c r="R2386" t="str"/>
      <x:c r="S2386" t="str">
        <x:v>Pending genuine supplier/brand image</x:v>
      </x:c>
      <x:c r="T2386" s="54"/>
      <x:c r="U2386" s="47" t="n">
        <x:v>0.2</x:v>
      </x:c>
      <x:c r="V2386" s="54" t="str">
        <x:f>IF(ISNUMBER(T2386),T2386*(1+U2386),"")</x:f>
      </x:c>
      <x:c r="W2386" s="47" t="n">
        <x:v>0.3</x:v>
      </x:c>
      <x:c r="X2386" s="54" t="str">
        <x:f>IF(ISNUMBER(V2386),V2386/(1-W2386),"")</x:f>
      </x:c>
      <x:c r="Y2386" s="55" t="str">
        <x:f>IF(ISNUMBER(X2386),ROUNDUP(X2386,0),"")</x:f>
      </x:c>
      <x:c r="Z2386" t="str">
        <x:f>IF(ISNUMBER(T2386),"Cost captured","Awaiting trade cost")</x:f>
        <x:v>Awaiting trade cost</x:v>
      </x:c>
      <x:c r="AB2386" s="36" t="str">
        <x:f>IF(ISNUMBER(Y2386),ROUND(Y2386*0.9,2),"")</x:f>
      </x:c>
      <x:c r="AC2386" s="36" t="str">
        <x:f>IF(ISNUMBER(AB2386),ROUND(AB2386-(AB2386*0.015+0.2)-V2386,2),"")</x:f>
      </x:c>
      <x:c r="AD2386" s="36" t="str">
        <x:f>IF(ISNUMBER(Y2386),ROUND(Y2386*0.8,2),"")</x:f>
      </x:c>
      <x:c r="AE2386" s="36" t="str">
        <x:f>IF(ISNUMBER(AD2386),ROUND(AD2386*0.015+0.2,2),"")</x:f>
      </x:c>
      <x:c r="AF2386" s="36" t="str">
        <x:f>IF(ISNUMBER(AD2386),ROUND(AD2386-AE2386-V2386,2),"")</x:f>
      </x:c>
      <x:c r="AG2386" t="str">
        <x:f>IF(NOT(ISNUMBER(T2386)),"PENDING",IF(AF2386&gt;0,"PASS","FAIL"))</x:f>
        <x:v>PENDING</x:v>
      </x:c>
      <x:c r="AH2386" t="str">
        <x:f>IF(NOT(ISNUMBER(T2386)),"Needs supplier cost",IF(K2386&lt;&gt;"In stock","Supplier unavailable",IF(AG2386&lt;&gt;"PASS","BLOCK - GT loss risk","Commercially protected")))</x:f>
        <x:v>Needs supplier cost</x:v>
      </x:c>
      <x:c r="AI2386" t="str">
        <x:v>2026-09-10 Active Sports trade capture</x:v>
      </x:c>
      <x:c r="AJ2386" t="str">
        <x:v>Management-only economics. Stripe stress test uses 1.5% + £0.20 standard UK online-card fee; pallet/mix-and-match pricing ignored.</x:v>
      </x:c>
    </x:row>
    <x:row r="2387">
      <x:c r="A2387" t="str">
        <x:v>Active Sports Nutrition</x:v>
      </x:c>
      <x:c r="B2387" t="str">
        <x:v>Per4m Nutrition</x:v>
      </x:c>
      <x:c r="C2387" t="str">
        <x:v>Protein Bar</x:v>
      </x:c>
      <x:c r="D2387" t="str">
        <x:v>Food &amp; Drinks</x:v>
      </x:c>
      <x:c r="E2387" t="str">
        <x:v>Bars and Snacks</x:v>
      </x:c>
      <x:c r="F2387" t="str"/>
      <x:c r="G2387" t="str">
        <x:v>12 x 62g</x:v>
      </x:c>
      <x:c r="H2387" t="str">
        <x:v>Chocotella</x:v>
      </x:c>
      <x:c r="I2387" t="str">
        <x:v>12</x:v>
      </x:c>
      <x:c r="J2387" t="str">
        <x:v>Case</x:v>
      </x:c>
      <x:c r="K2387" t="str">
        <x:v>In stock</x:v>
      </x:c>
      <x:c r="L2387" t="str">
        <x:v>2026-09-08</x:v>
      </x:c>
      <x:c r="M2387" t="str"/>
      <x:c r="N2387" t="str"/>
      <x:c r="O2387" t="str">
        <x:v>https://www.activesportstrade.co.uk/per4m-nutrition-trade</x:v>
      </x:c>
      <x:c r="P2387" t="str">
        <x:v>Supplier product is a 12-bar case; NEW wording stripped.</x:v>
      </x:c>
      <x:c r="Q2387" t="str"/>
      <x:c r="R2387" t="str"/>
      <x:c r="S2387" t="str">
        <x:v>Pending genuine supplier/brand image</x:v>
      </x:c>
      <x:c r="T2387" s="54"/>
      <x:c r="U2387" s="47" t="n">
        <x:v>0.2</x:v>
      </x:c>
      <x:c r="V2387" s="54" t="str">
        <x:f>IF(ISNUMBER(T2387),T2387*(1+U2387),"")</x:f>
      </x:c>
      <x:c r="W2387" s="47" t="n">
        <x:v>0.3</x:v>
      </x:c>
      <x:c r="X2387" s="54" t="str">
        <x:f>IF(ISNUMBER(V2387),V2387/(1-W2387),"")</x:f>
      </x:c>
      <x:c r="Y2387" s="55" t="str">
        <x:f>IF(ISNUMBER(X2387),ROUNDUP(X2387,0),"")</x:f>
      </x:c>
      <x:c r="Z2387" t="str">
        <x:f>IF(ISNUMBER(T2387),"Cost captured","Awaiting trade cost")</x:f>
        <x:v>Awaiting trade cost</x:v>
      </x:c>
      <x:c r="AB2387" s="36" t="str">
        <x:f>IF(ISNUMBER(Y2387),ROUND(Y2387*0.9,2),"")</x:f>
      </x:c>
      <x:c r="AC2387" s="36" t="str">
        <x:f>IF(ISNUMBER(AB2387),ROUND(AB2387-(AB2387*0.015+0.2)-V2387,2),"")</x:f>
      </x:c>
      <x:c r="AD2387" s="36" t="str">
        <x:f>IF(ISNUMBER(Y2387),ROUND(Y2387*0.8,2),"")</x:f>
      </x:c>
      <x:c r="AE2387" s="36" t="str">
        <x:f>IF(ISNUMBER(AD2387),ROUND(AD2387*0.015+0.2,2),"")</x:f>
      </x:c>
      <x:c r="AF2387" s="36" t="str">
        <x:f>IF(ISNUMBER(AD2387),ROUND(AD2387-AE2387-V2387,2),"")</x:f>
      </x:c>
      <x:c r="AG2387" t="str">
        <x:f>IF(NOT(ISNUMBER(T2387)),"PENDING",IF(AF2387&gt;0,"PASS","FAIL"))</x:f>
        <x:v>PENDING</x:v>
      </x:c>
      <x:c r="AH2387" t="str">
        <x:f>IF(NOT(ISNUMBER(T2387)),"Needs supplier cost",IF(K2387&lt;&gt;"In stock","Supplier unavailable",IF(AG2387&lt;&gt;"PASS","BLOCK - GT loss risk","Commercially protected")))</x:f>
        <x:v>Needs supplier cost</x:v>
      </x:c>
      <x:c r="AI2387" t="str">
        <x:v>2026-09-10 Active Sports trade capture</x:v>
      </x:c>
      <x:c r="AJ2387" t="str">
        <x:v>Management-only economics. Stripe stress test uses 1.5% + £0.20 standard UK online-card fee; pallet/mix-and-match pricing ignored.</x:v>
      </x:c>
    </x:row>
    <x:row r="2388">
      <x:c r="A2388" t="str">
        <x:v>Active Sports Nutrition</x:v>
      </x:c>
      <x:c r="B2388" t="str">
        <x:v>Per4m Nutrition</x:v>
      </x:c>
      <x:c r="C2388" t="str">
        <x:v>Protein Bar</x:v>
      </x:c>
      <x:c r="D2388" t="str">
        <x:v>Food &amp; Drinks</x:v>
      </x:c>
      <x:c r="E2388" t="str">
        <x:v>Bars and Snacks</x:v>
      </x:c>
      <x:c r="F2388" t="str"/>
      <x:c r="G2388" t="str">
        <x:v>12 x 62g</x:v>
      </x:c>
      <x:c r="H2388" t="str">
        <x:v>Cookie Dough</x:v>
      </x:c>
      <x:c r="I2388" t="str">
        <x:v>12</x:v>
      </x:c>
      <x:c r="J2388" t="str">
        <x:v>Case</x:v>
      </x:c>
      <x:c r="K2388" t="str">
        <x:v>In stock</x:v>
      </x:c>
      <x:c r="L2388" t="str">
        <x:v>2026-09-08</x:v>
      </x:c>
      <x:c r="M2388" t="str"/>
      <x:c r="N2388" t="str"/>
      <x:c r="O2388" t="str">
        <x:v>https://www.activesportstrade.co.uk/per4m-nutrition-trade</x:v>
      </x:c>
      <x:c r="P2388" t="str">
        <x:v>Supplier product is a 12-bar case; NEW wording stripped.</x:v>
      </x:c>
      <x:c r="Q2388" t="str"/>
      <x:c r="R2388" t="str"/>
      <x:c r="S2388" t="str">
        <x:v>Pending genuine supplier/brand image</x:v>
      </x:c>
      <x:c r="T2388" s="54"/>
      <x:c r="U2388" s="47" t="n">
        <x:v>0.2</x:v>
      </x:c>
      <x:c r="V2388" s="54" t="str">
        <x:f>IF(ISNUMBER(T2388),T2388*(1+U2388),"")</x:f>
      </x:c>
      <x:c r="W2388" s="47" t="n">
        <x:v>0.3</x:v>
      </x:c>
      <x:c r="X2388" s="54" t="str">
        <x:f>IF(ISNUMBER(V2388),V2388/(1-W2388),"")</x:f>
      </x:c>
      <x:c r="Y2388" s="55" t="str">
        <x:f>IF(ISNUMBER(X2388),ROUNDUP(X2388,0),"")</x:f>
      </x:c>
      <x:c r="Z2388" t="str">
        <x:f>IF(ISNUMBER(T2388),"Cost captured","Awaiting trade cost")</x:f>
        <x:v>Awaiting trade cost</x:v>
      </x:c>
      <x:c r="AB2388" s="36" t="str">
        <x:f>IF(ISNUMBER(Y2388),ROUND(Y2388*0.9,2),"")</x:f>
      </x:c>
      <x:c r="AC2388" s="36" t="str">
        <x:f>IF(ISNUMBER(AB2388),ROUND(AB2388-(AB2388*0.015+0.2)-V2388,2),"")</x:f>
      </x:c>
      <x:c r="AD2388" s="36" t="str">
        <x:f>IF(ISNUMBER(Y2388),ROUND(Y2388*0.8,2),"")</x:f>
      </x:c>
      <x:c r="AE2388" s="36" t="str">
        <x:f>IF(ISNUMBER(AD2388),ROUND(AD2388*0.015+0.2,2),"")</x:f>
      </x:c>
      <x:c r="AF2388" s="36" t="str">
        <x:f>IF(ISNUMBER(AD2388),ROUND(AD2388-AE2388-V2388,2),"")</x:f>
      </x:c>
      <x:c r="AG2388" t="str">
        <x:f>IF(NOT(ISNUMBER(T2388)),"PENDING",IF(AF2388&gt;0,"PASS","FAIL"))</x:f>
        <x:v>PENDING</x:v>
      </x:c>
      <x:c r="AH2388" t="str">
        <x:f>IF(NOT(ISNUMBER(T2388)),"Needs supplier cost",IF(K2388&lt;&gt;"In stock","Supplier unavailable",IF(AG2388&lt;&gt;"PASS","BLOCK - GT loss risk","Commercially protected")))</x:f>
        <x:v>Needs supplier cost</x:v>
      </x:c>
      <x:c r="AI2388" t="str">
        <x:v>2026-09-10 Active Sports trade capture</x:v>
      </x:c>
      <x:c r="AJ2388" t="str">
        <x:v>Management-only economics. Stripe stress test uses 1.5% + £0.20 standard UK online-card fee; pallet/mix-and-match pricing ignored.</x:v>
      </x:c>
    </x:row>
    <x:row r="2389">
      <x:c r="A2389" t="str">
        <x:v>Active Sports Nutrition</x:v>
      </x:c>
      <x:c r="B2389" t="str">
        <x:v>Per4m Nutrition</x:v>
      </x:c>
      <x:c r="C2389" t="str">
        <x:v>Protein Bar</x:v>
      </x:c>
      <x:c r="D2389" t="str">
        <x:v>Food &amp; Drinks</x:v>
      </x:c>
      <x:c r="E2389" t="str">
        <x:v>Bars and Snacks</x:v>
      </x:c>
      <x:c r="F2389" t="str"/>
      <x:c r="G2389" t="str">
        <x:v>12 x 62g</x:v>
      </x:c>
      <x:c r="H2389" t="str">
        <x:v>Cookies &amp; Cream</x:v>
      </x:c>
      <x:c r="I2389" t="str">
        <x:v>12</x:v>
      </x:c>
      <x:c r="J2389" t="str">
        <x:v>Case</x:v>
      </x:c>
      <x:c r="K2389" t="str">
        <x:v>In stock</x:v>
      </x:c>
      <x:c r="L2389" t="str">
        <x:v>2026-09-08</x:v>
      </x:c>
      <x:c r="M2389" t="str"/>
      <x:c r="N2389" t="str"/>
      <x:c r="O2389" t="str">
        <x:v>https://www.activesportstrade.co.uk/per4m-nutrition-trade</x:v>
      </x:c>
      <x:c r="P2389" t="str">
        <x:v>Supplier product is a 12-bar case; NEW wording stripped.</x:v>
      </x:c>
      <x:c r="Q2389" t="str"/>
      <x:c r="R2389" t="str"/>
      <x:c r="S2389" t="str">
        <x:v>Pending genuine supplier/brand image</x:v>
      </x:c>
      <x:c r="T2389" s="54"/>
      <x:c r="U2389" s="47" t="n">
        <x:v>0.2</x:v>
      </x:c>
      <x:c r="V2389" s="54" t="str">
        <x:f>IF(ISNUMBER(T2389),T2389*(1+U2389),"")</x:f>
      </x:c>
      <x:c r="W2389" s="47" t="n">
        <x:v>0.3</x:v>
      </x:c>
      <x:c r="X2389" s="54" t="str">
        <x:f>IF(ISNUMBER(V2389),V2389/(1-W2389),"")</x:f>
      </x:c>
      <x:c r="Y2389" s="55" t="str">
        <x:f>IF(ISNUMBER(X2389),ROUNDUP(X2389,0),"")</x:f>
      </x:c>
      <x:c r="Z2389" t="str">
        <x:f>IF(ISNUMBER(T2389),"Cost captured","Awaiting trade cost")</x:f>
        <x:v>Awaiting trade cost</x:v>
      </x:c>
      <x:c r="AB2389" s="36" t="str">
        <x:f>IF(ISNUMBER(Y2389),ROUND(Y2389*0.9,2),"")</x:f>
      </x:c>
      <x:c r="AC2389" s="36" t="str">
        <x:f>IF(ISNUMBER(AB2389),ROUND(AB2389-(AB2389*0.015+0.2)-V2389,2),"")</x:f>
      </x:c>
      <x:c r="AD2389" s="36" t="str">
        <x:f>IF(ISNUMBER(Y2389),ROUND(Y2389*0.8,2),"")</x:f>
      </x:c>
      <x:c r="AE2389" s="36" t="str">
        <x:f>IF(ISNUMBER(AD2389),ROUND(AD2389*0.015+0.2,2),"")</x:f>
      </x:c>
      <x:c r="AF2389" s="36" t="str">
        <x:f>IF(ISNUMBER(AD2389),ROUND(AD2389-AE2389-V2389,2),"")</x:f>
      </x:c>
      <x:c r="AG2389" t="str">
        <x:f>IF(NOT(ISNUMBER(T2389)),"PENDING",IF(AF2389&gt;0,"PASS","FAIL"))</x:f>
        <x:v>PENDING</x:v>
      </x:c>
      <x:c r="AH2389" t="str">
        <x:f>IF(NOT(ISNUMBER(T2389)),"Needs supplier cost",IF(K2389&lt;&gt;"In stock","Supplier unavailable",IF(AG2389&lt;&gt;"PASS","BLOCK - GT loss risk","Commercially protected")))</x:f>
        <x:v>Needs supplier cost</x:v>
      </x:c>
      <x:c r="AI2389" t="str">
        <x:v>2026-09-10 Active Sports trade capture</x:v>
      </x:c>
      <x:c r="AJ2389" t="str">
        <x:v>Management-only economics. Stripe stress test uses 1.5% + £0.20 standard UK online-card fee; pallet/mix-and-match pricing ignored.</x:v>
      </x:c>
    </x:row>
    <x:row r="2390">
      <x:c r="A2390" t="str">
        <x:v>Active Sports Nutrition</x:v>
      </x:c>
      <x:c r="B2390" t="str">
        <x:v>Per4m Nutrition</x:v>
      </x:c>
      <x:c r="C2390" t="str">
        <x:v>Protein Bar</x:v>
      </x:c>
      <x:c r="D2390" t="str">
        <x:v>Food &amp; Drinks</x:v>
      </x:c>
      <x:c r="E2390" t="str">
        <x:v>Bars and Snacks</x:v>
      </x:c>
      <x:c r="F2390" t="str"/>
      <x:c r="G2390" t="str">
        <x:v>12 x 62g</x:v>
      </x:c>
      <x:c r="H2390" t="str">
        <x:v>Dubai Chocolate</x:v>
      </x:c>
      <x:c r="I2390" t="str">
        <x:v>12</x:v>
      </x:c>
      <x:c r="J2390" t="str">
        <x:v>Case</x:v>
      </x:c>
      <x:c r="K2390" t="str">
        <x:v>In stock</x:v>
      </x:c>
      <x:c r="L2390" t="str">
        <x:v>2026-09-08</x:v>
      </x:c>
      <x:c r="M2390" t="str"/>
      <x:c r="N2390" t="str"/>
      <x:c r="O2390" t="str">
        <x:v>https://www.activesportstrade.co.uk/per4m-nutrition-trade</x:v>
      </x:c>
      <x:c r="P2390" t="str">
        <x:v>Supplier product is a 12-bar case; NEW wording stripped.</x:v>
      </x:c>
      <x:c r="Q2390" t="str"/>
      <x:c r="R2390" t="str"/>
      <x:c r="S2390" t="str">
        <x:v>Pending genuine supplier/brand image</x:v>
      </x:c>
      <x:c r="T2390" s="54"/>
      <x:c r="U2390" s="47" t="n">
        <x:v>0.2</x:v>
      </x:c>
      <x:c r="V2390" s="54" t="str">
        <x:f>IF(ISNUMBER(T2390),T2390*(1+U2390),"")</x:f>
      </x:c>
      <x:c r="W2390" s="47" t="n">
        <x:v>0.3</x:v>
      </x:c>
      <x:c r="X2390" s="54" t="str">
        <x:f>IF(ISNUMBER(V2390),V2390/(1-W2390),"")</x:f>
      </x:c>
      <x:c r="Y2390" s="55" t="str">
        <x:f>IF(ISNUMBER(X2390),ROUNDUP(X2390,0),"")</x:f>
      </x:c>
      <x:c r="Z2390" t="str">
        <x:f>IF(ISNUMBER(T2390),"Cost captured","Awaiting trade cost")</x:f>
        <x:v>Awaiting trade cost</x:v>
      </x:c>
      <x:c r="AB2390" s="36" t="str">
        <x:f>IF(ISNUMBER(Y2390),ROUND(Y2390*0.9,2),"")</x:f>
      </x:c>
      <x:c r="AC2390" s="36" t="str">
        <x:f>IF(ISNUMBER(AB2390),ROUND(AB2390-(AB2390*0.015+0.2)-V2390,2),"")</x:f>
      </x:c>
      <x:c r="AD2390" s="36" t="str">
        <x:f>IF(ISNUMBER(Y2390),ROUND(Y2390*0.8,2),"")</x:f>
      </x:c>
      <x:c r="AE2390" s="36" t="str">
        <x:f>IF(ISNUMBER(AD2390),ROUND(AD2390*0.015+0.2,2),"")</x:f>
      </x:c>
      <x:c r="AF2390" s="36" t="str">
        <x:f>IF(ISNUMBER(AD2390),ROUND(AD2390-AE2390-V2390,2),"")</x:f>
      </x:c>
      <x:c r="AG2390" t="str">
        <x:f>IF(NOT(ISNUMBER(T2390)),"PENDING",IF(AF2390&gt;0,"PASS","FAIL"))</x:f>
        <x:v>PENDING</x:v>
      </x:c>
      <x:c r="AH2390" t="str">
        <x:f>IF(NOT(ISNUMBER(T2390)),"Needs supplier cost",IF(K2390&lt;&gt;"In stock","Supplier unavailable",IF(AG2390&lt;&gt;"PASS","BLOCK - GT loss risk","Commercially protected")))</x:f>
        <x:v>Needs supplier cost</x:v>
      </x:c>
      <x:c r="AI2390" t="str">
        <x:v>2026-09-10 Active Sports trade capture</x:v>
      </x:c>
      <x:c r="AJ2390" t="str">
        <x:v>Management-only economics. Stripe stress test uses 1.5% + £0.20 standard UK online-card fee; pallet/mix-and-match pricing ignored.</x:v>
      </x:c>
    </x:row>
    <x:row r="2391">
      <x:c r="A2391" t="str">
        <x:v>Active Sports Nutrition</x:v>
      </x:c>
      <x:c r="B2391" t="str">
        <x:v>Per4m Nutrition</x:v>
      </x:c>
      <x:c r="C2391" t="str">
        <x:v>Protein Bar</x:v>
      </x:c>
      <x:c r="D2391" t="str">
        <x:v>Food &amp; Drinks</x:v>
      </x:c>
      <x:c r="E2391" t="str">
        <x:v>Bars and Snacks</x:v>
      </x:c>
      <x:c r="F2391" t="str"/>
      <x:c r="G2391" t="str">
        <x:v>12 x 62g</x:v>
      </x:c>
      <x:c r="H2391" t="str">
        <x:v>Salted Caramel</x:v>
      </x:c>
      <x:c r="I2391" t="str">
        <x:v>12</x:v>
      </x:c>
      <x:c r="J2391" t="str">
        <x:v>Case</x:v>
      </x:c>
      <x:c r="K2391" t="str">
        <x:v>In stock</x:v>
      </x:c>
      <x:c r="L2391" t="str">
        <x:v>2026-09-08</x:v>
      </x:c>
      <x:c r="M2391" t="str"/>
      <x:c r="N2391" t="str"/>
      <x:c r="O2391" t="str">
        <x:v>https://www.activesportstrade.co.uk/per4m-nutrition-trade</x:v>
      </x:c>
      <x:c r="P2391" t="str">
        <x:v>Supplier product is a 12-bar case; NEW wording stripped.</x:v>
      </x:c>
      <x:c r="Q2391" t="str"/>
      <x:c r="R2391" t="str"/>
      <x:c r="S2391" t="str">
        <x:v>Pending genuine supplier/brand image</x:v>
      </x:c>
      <x:c r="T2391" s="54"/>
      <x:c r="U2391" s="47" t="n">
        <x:v>0.2</x:v>
      </x:c>
      <x:c r="V2391" s="54" t="str">
        <x:f>IF(ISNUMBER(T2391),T2391*(1+U2391),"")</x:f>
      </x:c>
      <x:c r="W2391" s="47" t="n">
        <x:v>0.3</x:v>
      </x:c>
      <x:c r="X2391" s="54" t="str">
        <x:f>IF(ISNUMBER(V2391),V2391/(1-W2391),"")</x:f>
      </x:c>
      <x:c r="Y2391" s="55" t="str">
        <x:f>IF(ISNUMBER(X2391),ROUNDUP(X2391,0),"")</x:f>
      </x:c>
      <x:c r="Z2391" t="str">
        <x:f>IF(ISNUMBER(T2391),"Cost captured","Awaiting trade cost")</x:f>
        <x:v>Awaiting trade cost</x:v>
      </x:c>
      <x:c r="AB2391" s="36" t="str">
        <x:f>IF(ISNUMBER(Y2391),ROUND(Y2391*0.9,2),"")</x:f>
      </x:c>
      <x:c r="AC2391" s="36" t="str">
        <x:f>IF(ISNUMBER(AB2391),ROUND(AB2391-(AB2391*0.015+0.2)-V2391,2),"")</x:f>
      </x:c>
      <x:c r="AD2391" s="36" t="str">
        <x:f>IF(ISNUMBER(Y2391),ROUND(Y2391*0.8,2),"")</x:f>
      </x:c>
      <x:c r="AE2391" s="36" t="str">
        <x:f>IF(ISNUMBER(AD2391),ROUND(AD2391*0.015+0.2,2),"")</x:f>
      </x:c>
      <x:c r="AF2391" s="36" t="str">
        <x:f>IF(ISNUMBER(AD2391),ROUND(AD2391-AE2391-V2391,2),"")</x:f>
      </x:c>
      <x:c r="AG2391" t="str">
        <x:f>IF(NOT(ISNUMBER(T2391)),"PENDING",IF(AF2391&gt;0,"PASS","FAIL"))</x:f>
        <x:v>PENDING</x:v>
      </x:c>
      <x:c r="AH2391" t="str">
        <x:f>IF(NOT(ISNUMBER(T2391)),"Needs supplier cost",IF(K2391&lt;&gt;"In stock","Supplier unavailable",IF(AG2391&lt;&gt;"PASS","BLOCK - GT loss risk","Commercially protected")))</x:f>
        <x:v>Needs supplier cost</x:v>
      </x:c>
      <x:c r="AI2391" t="str">
        <x:v>2026-09-10 Active Sports trade capture</x:v>
      </x:c>
      <x:c r="AJ2391" t="str">
        <x:v>Management-only economics. Stripe stress test uses 1.5% + £0.20 standard UK online-card fee; pallet/mix-and-match pricing ignored.</x:v>
      </x:c>
    </x:row>
    <x:row r="2392">
      <x:c r="A2392" t="str">
        <x:v>Active Sports Nutrition</x:v>
      </x:c>
      <x:c r="B2392" t="str">
        <x:v>Per4m Nutrition</x:v>
      </x:c>
      <x:c r="C2392" t="str">
        <x:v>Protein Bar</x:v>
      </x:c>
      <x:c r="D2392" t="str">
        <x:v>Food &amp; Drinks</x:v>
      </x:c>
      <x:c r="E2392" t="str">
        <x:v>Bars and Snacks</x:v>
      </x:c>
      <x:c r="F2392" t="str"/>
      <x:c r="G2392" t="str">
        <x:v>12 x 62g</x:v>
      </x:c>
      <x:c r="H2392" t="str">
        <x:v>Sticky Toffee Pudding</x:v>
      </x:c>
      <x:c r="I2392" t="str">
        <x:v>12</x:v>
      </x:c>
      <x:c r="J2392" t="str">
        <x:v>Case</x:v>
      </x:c>
      <x:c r="K2392" t="str">
        <x:v>In stock</x:v>
      </x:c>
      <x:c r="L2392" t="str">
        <x:v>2026-09-08</x:v>
      </x:c>
      <x:c r="M2392" t="str"/>
      <x:c r="N2392" t="str"/>
      <x:c r="O2392" t="str">
        <x:v>https://www.activesportstrade.co.uk/per4m-nutrition-trade</x:v>
      </x:c>
      <x:c r="P2392" t="str">
        <x:v>Supplier product is a 12-bar case; NEW wording stripped.</x:v>
      </x:c>
      <x:c r="Q2392" t="str"/>
      <x:c r="R2392" t="str"/>
      <x:c r="S2392" t="str">
        <x:v>Pending genuine supplier/brand image</x:v>
      </x:c>
      <x:c r="T2392" s="54"/>
      <x:c r="U2392" s="47" t="n">
        <x:v>0.2</x:v>
      </x:c>
      <x:c r="V2392" s="54" t="str">
        <x:f>IF(ISNUMBER(T2392),T2392*(1+U2392),"")</x:f>
      </x:c>
      <x:c r="W2392" s="47" t="n">
        <x:v>0.3</x:v>
      </x:c>
      <x:c r="X2392" s="54" t="str">
        <x:f>IF(ISNUMBER(V2392),V2392/(1-W2392),"")</x:f>
      </x:c>
      <x:c r="Y2392" s="55" t="str">
        <x:f>IF(ISNUMBER(X2392),ROUNDUP(X2392,0),"")</x:f>
      </x:c>
      <x:c r="Z2392" t="str">
        <x:f>IF(ISNUMBER(T2392),"Cost captured","Awaiting trade cost")</x:f>
        <x:v>Awaiting trade cost</x:v>
      </x:c>
      <x:c r="AB2392" s="36" t="str">
        <x:f>IF(ISNUMBER(Y2392),ROUND(Y2392*0.9,2),"")</x:f>
      </x:c>
      <x:c r="AC2392" s="36" t="str">
        <x:f>IF(ISNUMBER(AB2392),ROUND(AB2392-(AB2392*0.015+0.2)-V2392,2),"")</x:f>
      </x:c>
      <x:c r="AD2392" s="36" t="str">
        <x:f>IF(ISNUMBER(Y2392),ROUND(Y2392*0.8,2),"")</x:f>
      </x:c>
      <x:c r="AE2392" s="36" t="str">
        <x:f>IF(ISNUMBER(AD2392),ROUND(AD2392*0.015+0.2,2),"")</x:f>
      </x:c>
      <x:c r="AF2392" s="36" t="str">
        <x:f>IF(ISNUMBER(AD2392),ROUND(AD2392-AE2392-V2392,2),"")</x:f>
      </x:c>
      <x:c r="AG2392" t="str">
        <x:f>IF(NOT(ISNUMBER(T2392)),"PENDING",IF(AF2392&gt;0,"PASS","FAIL"))</x:f>
        <x:v>PENDING</x:v>
      </x:c>
      <x:c r="AH2392" t="str">
        <x:f>IF(NOT(ISNUMBER(T2392)),"Needs supplier cost",IF(K2392&lt;&gt;"In stock","Supplier unavailable",IF(AG2392&lt;&gt;"PASS","BLOCK - GT loss risk","Commercially protected")))</x:f>
        <x:v>Needs supplier cost</x:v>
      </x:c>
      <x:c r="AI2392" t="str">
        <x:v>2026-09-10 Active Sports trade capture</x:v>
      </x:c>
      <x:c r="AJ2392" t="str">
        <x:v>Management-only economics. Stripe stress test uses 1.5% + £0.20 standard UK online-card fee; pallet/mix-and-match pricing ignored.</x:v>
      </x:c>
    </x:row>
    <x:row r="2393">
      <x:c r="A2393" t="str">
        <x:v>Active Sports Nutrition</x:v>
      </x:c>
      <x:c r="B2393" t="str">
        <x:v>Per4m Nutrition</x:v>
      </x:c>
      <x:c r="C2393" t="str">
        <x:v>Protein Bar</x:v>
      </x:c>
      <x:c r="D2393" t="str">
        <x:v>Food &amp; Drinks</x:v>
      </x:c>
      <x:c r="E2393" t="str">
        <x:v>Bars and Snacks</x:v>
      </x:c>
      <x:c r="F2393" t="str"/>
      <x:c r="G2393" t="str">
        <x:v>12 x 62g</x:v>
      </x:c>
      <x:c r="H2393" t="str">
        <x:v>White Chocolate Hazelnut</x:v>
      </x:c>
      <x:c r="I2393" t="str">
        <x:v>12</x:v>
      </x:c>
      <x:c r="J2393" t="str">
        <x:v>Case</x:v>
      </x:c>
      <x:c r="K2393" t="str">
        <x:v>In stock</x:v>
      </x:c>
      <x:c r="L2393" t="str">
        <x:v>2026-09-08</x:v>
      </x:c>
      <x:c r="M2393" t="str"/>
      <x:c r="N2393" t="str"/>
      <x:c r="O2393" t="str">
        <x:v>https://www.activesportstrade.co.uk/per4m-nutrition-trade</x:v>
      </x:c>
      <x:c r="P2393" t="str">
        <x:v>Supplier product is a 12-bar case; NEW wording stripped.</x:v>
      </x:c>
      <x:c r="Q2393" t="str"/>
      <x:c r="R2393" t="str"/>
      <x:c r="S2393" t="str">
        <x:v>Pending genuine supplier/brand image</x:v>
      </x:c>
      <x:c r="T2393" s="54"/>
      <x:c r="U2393" s="47" t="n">
        <x:v>0.2</x:v>
      </x:c>
      <x:c r="V2393" s="54" t="str">
        <x:f>IF(ISNUMBER(T2393),T2393*(1+U2393),"")</x:f>
      </x:c>
      <x:c r="W2393" s="47" t="n">
        <x:v>0.3</x:v>
      </x:c>
      <x:c r="X2393" s="54" t="str">
        <x:f>IF(ISNUMBER(V2393),V2393/(1-W2393),"")</x:f>
      </x:c>
      <x:c r="Y2393" s="55" t="str">
        <x:f>IF(ISNUMBER(X2393),ROUNDUP(X2393,0),"")</x:f>
      </x:c>
      <x:c r="Z2393" t="str">
        <x:f>IF(ISNUMBER(T2393),"Cost captured","Awaiting trade cost")</x:f>
        <x:v>Awaiting trade cost</x:v>
      </x:c>
      <x:c r="AB2393" s="36" t="str">
        <x:f>IF(ISNUMBER(Y2393),ROUND(Y2393*0.9,2),"")</x:f>
      </x:c>
      <x:c r="AC2393" s="36" t="str">
        <x:f>IF(ISNUMBER(AB2393),ROUND(AB2393-(AB2393*0.015+0.2)-V2393,2),"")</x:f>
      </x:c>
      <x:c r="AD2393" s="36" t="str">
        <x:f>IF(ISNUMBER(Y2393),ROUND(Y2393*0.8,2),"")</x:f>
      </x:c>
      <x:c r="AE2393" s="36" t="str">
        <x:f>IF(ISNUMBER(AD2393),ROUND(AD2393*0.015+0.2,2),"")</x:f>
      </x:c>
      <x:c r="AF2393" s="36" t="str">
        <x:f>IF(ISNUMBER(AD2393),ROUND(AD2393-AE2393-V2393,2),"")</x:f>
      </x:c>
      <x:c r="AG2393" t="str">
        <x:f>IF(NOT(ISNUMBER(T2393)),"PENDING",IF(AF2393&gt;0,"PASS","FAIL"))</x:f>
        <x:v>PENDING</x:v>
      </x:c>
      <x:c r="AH2393" t="str">
        <x:f>IF(NOT(ISNUMBER(T2393)),"Needs supplier cost",IF(K2393&lt;&gt;"In stock","Supplier unavailable",IF(AG2393&lt;&gt;"PASS","BLOCK - GT loss risk","Commercially protected")))</x:f>
        <x:v>Needs supplier cost</x:v>
      </x:c>
      <x:c r="AI2393" t="str">
        <x:v>2026-09-10 Active Sports trade capture</x:v>
      </x:c>
      <x:c r="AJ2393" t="str">
        <x:v>Management-only economics. Stripe stress test uses 1.5% + £0.20 standard UK online-card fee; pallet/mix-and-match pricing ignored.</x:v>
      </x:c>
    </x:row>
    <x:row r="2394">
      <x:c r="A2394" t="str">
        <x:v>Active Sports Nutrition</x:v>
      </x:c>
      <x:c r="B2394" t="str">
        <x:v>Per4m Nutrition</x:v>
      </x:c>
      <x:c r="C2394" t="str">
        <x:v>Protein Bar</x:v>
      </x:c>
      <x:c r="D2394" t="str">
        <x:v>Food &amp; Drinks</x:v>
      </x:c>
      <x:c r="E2394" t="str">
        <x:v>Bars and Snacks</x:v>
      </x:c>
      <x:c r="F2394" t="str"/>
      <x:c r="G2394" t="str">
        <x:v>12 x 62g</x:v>
      </x:c>
      <x:c r="H2394" t="str">
        <x:v>White Chocolate Raspberry</x:v>
      </x:c>
      <x:c r="I2394" t="str">
        <x:v>12</x:v>
      </x:c>
      <x:c r="J2394" t="str">
        <x:v>Case</x:v>
      </x:c>
      <x:c r="K2394" t="str">
        <x:v>In stock</x:v>
      </x:c>
      <x:c r="L2394" t="str">
        <x:v>2026-09-08</x:v>
      </x:c>
      <x:c r="M2394" t="str"/>
      <x:c r="N2394" t="str"/>
      <x:c r="O2394" t="str">
        <x:v>https://www.activesportstrade.co.uk/per4m-nutrition-trade</x:v>
      </x:c>
      <x:c r="P2394" t="str">
        <x:v>Supplier product is a 12-bar case; NEW wording stripped.</x:v>
      </x:c>
      <x:c r="Q2394" t="str"/>
      <x:c r="R2394" t="str"/>
      <x:c r="S2394" t="str">
        <x:v>Pending genuine supplier/brand image</x:v>
      </x:c>
      <x:c r="T2394" s="54"/>
      <x:c r="U2394" s="47" t="n">
        <x:v>0.2</x:v>
      </x:c>
      <x:c r="V2394" s="54" t="str">
        <x:f>IF(ISNUMBER(T2394),T2394*(1+U2394),"")</x:f>
      </x:c>
      <x:c r="W2394" s="47" t="n">
        <x:v>0.3</x:v>
      </x:c>
      <x:c r="X2394" s="54" t="str">
        <x:f>IF(ISNUMBER(V2394),V2394/(1-W2394),"")</x:f>
      </x:c>
      <x:c r="Y2394" s="55" t="str">
        <x:f>IF(ISNUMBER(X2394),ROUNDUP(X2394,0),"")</x:f>
      </x:c>
      <x:c r="Z2394" t="str">
        <x:f>IF(ISNUMBER(T2394),"Cost captured","Awaiting trade cost")</x:f>
        <x:v>Awaiting trade cost</x:v>
      </x:c>
      <x:c r="AB2394" s="36" t="str">
        <x:f>IF(ISNUMBER(Y2394),ROUND(Y2394*0.9,2),"")</x:f>
      </x:c>
      <x:c r="AC2394" s="36" t="str">
        <x:f>IF(ISNUMBER(AB2394),ROUND(AB2394-(AB2394*0.015+0.2)-V2394,2),"")</x:f>
      </x:c>
      <x:c r="AD2394" s="36" t="str">
        <x:f>IF(ISNUMBER(Y2394),ROUND(Y2394*0.8,2),"")</x:f>
      </x:c>
      <x:c r="AE2394" s="36" t="str">
        <x:f>IF(ISNUMBER(AD2394),ROUND(AD2394*0.015+0.2,2),"")</x:f>
      </x:c>
      <x:c r="AF2394" s="36" t="str">
        <x:f>IF(ISNUMBER(AD2394),ROUND(AD2394-AE2394-V2394,2),"")</x:f>
      </x:c>
      <x:c r="AG2394" t="str">
        <x:f>IF(NOT(ISNUMBER(T2394)),"PENDING",IF(AF2394&gt;0,"PASS","FAIL"))</x:f>
        <x:v>PENDING</x:v>
      </x:c>
      <x:c r="AH2394" t="str">
        <x:f>IF(NOT(ISNUMBER(T2394)),"Needs supplier cost",IF(K2394&lt;&gt;"In stock","Supplier unavailable",IF(AG2394&lt;&gt;"PASS","BLOCK - GT loss risk","Commercially protected")))</x:f>
        <x:v>Needs supplier cost</x:v>
      </x:c>
      <x:c r="AI2394" t="str">
        <x:v>2026-09-10 Active Sports trade capture</x:v>
      </x:c>
      <x:c r="AJ2394" t="str">
        <x:v>Management-only economics. Stripe stress test uses 1.5% + £0.20 standard UK online-card fee; pallet/mix-and-match pricing ignored.</x:v>
      </x:c>
    </x:row>
    <x:row r="2395">
      <x:c r="A2395" t="str">
        <x:v>Active Sports Nutrition</x:v>
      </x:c>
      <x:c r="B2395" t="str">
        <x:v>Per4m Nutrition</x:v>
      </x:c>
      <x:c r="C2395" t="str">
        <x:v>Protein Crunchies</x:v>
      </x:c>
      <x:c r="D2395" t="str">
        <x:v>Food &amp; Drinks</x:v>
      </x:c>
      <x:c r="E2395" t="str">
        <x:v>Bars and Snacks</x:v>
      </x:c>
      <x:c r="F2395" t="str"/>
      <x:c r="G2395" t="str">
        <x:v>200g</x:v>
      </x:c>
      <x:c r="H2395" t="str">
        <x:v>Milk Chocolate</x:v>
      </x:c>
      <x:c r="I2395" t="str"/>
      <x:c r="J2395" t="str">
        <x:v>Unit</x:v>
      </x:c>
      <x:c r="K2395" t="str">
        <x:v>In stock</x:v>
      </x:c>
      <x:c r="L2395" t="str">
        <x:v>2026-09-08</x:v>
      </x:c>
      <x:c r="M2395" t="str"/>
      <x:c r="N2395" t="str"/>
      <x:c r="O2395" t="str">
        <x:v>https://www.activesportstrade.co.uk/per4m-nutrition-trade</x:v>
      </x:c>
      <x:c r="P2395" t="str"/>
      <x:c r="Q2395" t="str"/>
      <x:c r="R2395" t="str"/>
      <x:c r="S2395" t="str">
        <x:v>Pending genuine supplier/brand image</x:v>
      </x:c>
      <x:c r="T2395" s="54" t="n">
        <x:v>8.49</x:v>
      </x:c>
      <x:c r="U2395" s="47" t="n">
        <x:v>0.2</x:v>
      </x:c>
      <x:c r="V2395" s="54" t="n">
        <x:f>IF(ISNUMBER(T2395),T2395*(1+U2395),"")</x:f>
        <x:v>10.188</x:v>
      </x:c>
      <x:c r="W2395" s="47" t="n">
        <x:v>0.3</x:v>
      </x:c>
      <x:c r="X2395" s="54" t="n">
        <x:f>IF(ISNUMBER(V2395),V2395/(1-W2395),"")</x:f>
        <x:v>14.554285714285717</x:v>
      </x:c>
      <x:c r="Y2395" s="55" t="n">
        <x:f>IF(ISNUMBER(X2395),ROUNDUP(X2395,0),"")</x:f>
        <x:v>15</x:v>
      </x:c>
      <x:c r="Z2395" t="str">
        <x:v>Source match pending</x:v>
      </x:c>
      <x:c r="AA2395" t="str">
        <x:v>screencapture-www-activesportstrade-co-uk-per4m-nutrition-trade-2026-09-10-09_06_42.pdf / page-08</x:v>
      </x:c>
      <x:c r="AB2395" s="36" t="n">
        <x:f>IF(ISNUMBER(Y2395),ROUND(Y2395*0.9,2),"")</x:f>
        <x:v>13.5</x:v>
      </x:c>
      <x:c r="AC2395" s="36" t="n">
        <x:f>IF(ISNUMBER(AB2395),ROUND(AB2395-(AB2395*0.015+0.2)-V2395,2),"")</x:f>
        <x:v>2.91</x:v>
      </x:c>
      <x:c r="AD2395" s="36" t="n">
        <x:f>IF(ISNUMBER(Y2395),ROUND(Y2395*0.8,2),"")</x:f>
        <x:v>12</x:v>
      </x:c>
      <x:c r="AE2395" s="36" t="n">
        <x:f>IF(ISNUMBER(AD2395),ROUND(AD2395*0.015+0.2,2),"")</x:f>
        <x:v>0.38</x:v>
      </x:c>
      <x:c r="AF2395" s="36" t="n">
        <x:f>IF(ISNUMBER(AD2395),ROUND(AD2395-AE2395-V2395,2),"")</x:f>
        <x:v>1.43</x:v>
      </x:c>
      <x:c r="AG2395" t="str">
        <x:f>IF(NOT(ISNUMBER(T2395)),"PENDING",IF(AF2395&gt;0,"PASS","FAIL"))</x:f>
        <x:v>PASS</x:v>
      </x:c>
      <x:c r="AH2395" t="str">
        <x:f>IF(NOT(ISNUMBER(T2395)),"Needs supplier cost",IF(K2395&lt;&gt;"In stock","Supplier unavailable",IF(AG2395&lt;&gt;"PASS","BLOCK - GT loss risk","Commercially protected")))</x:f>
        <x:v>Commercially protected</x:v>
      </x:c>
      <x:c r="AI2395" t="str">
        <x:v>2026-09-10 Active Sports trade capture</x:v>
      </x:c>
      <x:c r="AJ2395" t="str">
        <x:v>Management-only economics. Stripe stress test uses 1.5% + £0.20 standard UK online-card fee; pallet/mix-and-match pricing ignored.</x:v>
      </x:c>
    </x:row>
    <x:row r="2396">
      <x:c r="A2396" t="str">
        <x:v>Active Sports Nutrition</x:v>
      </x:c>
      <x:c r="B2396" t="str">
        <x:v>Per4m Nutrition</x:v>
      </x:c>
      <x:c r="C2396" t="str">
        <x:v>Protein Pancakes</x:v>
      </x:c>
      <x:c r="D2396" t="str">
        <x:v>Food &amp; Drinks</x:v>
      </x:c>
      <x:c r="E2396" t="str">
        <x:v>Breakfast Foods</x:v>
      </x:c>
      <x:c r="F2396" t="str"/>
      <x:c r="G2396" t="str">
        <x:v>1.2kg</x:v>
      </x:c>
      <x:c r="H2396" t="str">
        <x:v>Blueberry Muffin</x:v>
      </x:c>
      <x:c r="I2396" t="str"/>
      <x:c r="J2396" t="str">
        <x:v>Unit</x:v>
      </x:c>
      <x:c r="K2396" t="str">
        <x:v>In stock</x:v>
      </x:c>
      <x:c r="L2396" t="str">
        <x:v>2026-09-08</x:v>
      </x:c>
      <x:c r="M2396" t="str"/>
      <x:c r="N2396" t="str"/>
      <x:c r="O2396" t="str">
        <x:v>https://www.activesportstrade.co.uk/per4m-nutrition-trade</x:v>
      </x:c>
      <x:c r="P2396" t="str"/>
      <x:c r="Q2396" t="str"/>
      <x:c r="R2396" t="str"/>
      <x:c r="S2396" t="str">
        <x:v>Pending genuine supplier/brand image</x:v>
      </x:c>
      <x:c r="T2396" s="54" t="n">
        <x:v>13.99</x:v>
      </x:c>
      <x:c r="U2396" s="47" t="n">
        <x:v>0.2</x:v>
      </x:c>
      <x:c r="V2396" s="54" t="n">
        <x:f>IF(ISNUMBER(T2396),T2396*(1+U2396),"")</x:f>
        <x:v>16.788</x:v>
      </x:c>
      <x:c r="W2396" s="47" t="n">
        <x:v>0.3</x:v>
      </x:c>
      <x:c r="X2396" s="54" t="n">
        <x:f>IF(ISNUMBER(V2396),V2396/(1-W2396),"")</x:f>
        <x:v>23.982857142857146</x:v>
      </x:c>
      <x:c r="Y2396" s="55" t="n">
        <x:f>IF(ISNUMBER(X2396),ROUNDUP(X2396,0),"")</x:f>
        <x:v>24</x:v>
      </x:c>
      <x:c r="Z2396" t="str">
        <x:v>Source match pending</x:v>
      </x:c>
      <x:c r="AA2396" t="str">
        <x:v>screencapture-www-activesportstrade-co-uk-per4m-nutrition-trade-2026-09-10-09_06_42.pdf / page-08</x:v>
      </x:c>
      <x:c r="AB2396" s="36" t="n">
        <x:f>IF(ISNUMBER(Y2396),ROUND(Y2396*0.9,2),"")</x:f>
        <x:v>21.6</x:v>
      </x:c>
      <x:c r="AC2396" s="36" t="n">
        <x:f>IF(ISNUMBER(AB2396),ROUND(AB2396-(AB2396*0.015+0.2)-V2396,2),"")</x:f>
        <x:v>4.29</x:v>
      </x:c>
      <x:c r="AD2396" s="36" t="n">
        <x:f>IF(ISNUMBER(Y2396),ROUND(Y2396*0.8,2),"")</x:f>
        <x:v>19.2</x:v>
      </x:c>
      <x:c r="AE2396" s="36" t="n">
        <x:f>IF(ISNUMBER(AD2396),ROUND(AD2396*0.015+0.2,2),"")</x:f>
        <x:v>0.49</x:v>
      </x:c>
      <x:c r="AF2396" s="36" t="n">
        <x:f>IF(ISNUMBER(AD2396),ROUND(AD2396-AE2396-V2396,2),"")</x:f>
        <x:v>1.92</x:v>
      </x:c>
      <x:c r="AG2396" t="str">
        <x:f>IF(NOT(ISNUMBER(T2396)),"PENDING",IF(AF2396&gt;0,"PASS","FAIL"))</x:f>
        <x:v>PASS</x:v>
      </x:c>
      <x:c r="AH2396" t="str">
        <x:f>IF(NOT(ISNUMBER(T2396)),"Needs supplier cost",IF(K2396&lt;&gt;"In stock","Supplier unavailable",IF(AG2396&lt;&gt;"PASS","BLOCK - GT loss risk","Commercially protected")))</x:f>
        <x:v>Commercially protected</x:v>
      </x:c>
      <x:c r="AI2396" t="str">
        <x:v>2026-09-10 Active Sports trade capture</x:v>
      </x:c>
      <x:c r="AJ2396" t="str">
        <x:v>Management-only economics. Stripe stress test uses 1.5% + £0.20 standard UK online-card fee; pallet/mix-and-match pricing ignored.</x:v>
      </x:c>
    </x:row>
    <x:row r="2397">
      <x:c r="A2397" t="str">
        <x:v>Active Sports Nutrition</x:v>
      </x:c>
      <x:c r="B2397" t="str">
        <x:v>Per4m Nutrition</x:v>
      </x:c>
      <x:c r="C2397" t="str">
        <x:v>Protein Pancakes</x:v>
      </x:c>
      <x:c r="D2397" t="str">
        <x:v>Food &amp; Drinks</x:v>
      </x:c>
      <x:c r="E2397" t="str">
        <x:v>Breakfast Foods</x:v>
      </x:c>
      <x:c r="F2397" t="str"/>
      <x:c r="G2397" t="str">
        <x:v>1.2kg</x:v>
      </x:c>
      <x:c r="H2397" t="str">
        <x:v>Caramel Biscuit</x:v>
      </x:c>
      <x:c r="I2397" t="str"/>
      <x:c r="J2397" t="str">
        <x:v>Unit</x:v>
      </x:c>
      <x:c r="K2397" t="str">
        <x:v>In stock</x:v>
      </x:c>
      <x:c r="L2397" t="str">
        <x:v>2026-09-08</x:v>
      </x:c>
      <x:c r="M2397" t="str"/>
      <x:c r="N2397" t="str"/>
      <x:c r="O2397" t="str">
        <x:v>https://www.activesportstrade.co.uk/per4m-nutrition-trade</x:v>
      </x:c>
      <x:c r="P2397" t="str"/>
      <x:c r="Q2397" t="str"/>
      <x:c r="R2397" t="str"/>
      <x:c r="S2397" t="str">
        <x:v>Pending genuine supplier/brand image</x:v>
      </x:c>
      <x:c r="T2397" s="54" t="n">
        <x:v>13.99</x:v>
      </x:c>
      <x:c r="U2397" s="47" t="n">
        <x:v>0.2</x:v>
      </x:c>
      <x:c r="V2397" s="54" t="n">
        <x:f>IF(ISNUMBER(T2397),T2397*(1+U2397),"")</x:f>
        <x:v>16.788</x:v>
      </x:c>
      <x:c r="W2397" s="47" t="n">
        <x:v>0.3</x:v>
      </x:c>
      <x:c r="X2397" s="54" t="n">
        <x:f>IF(ISNUMBER(V2397),V2397/(1-W2397),"")</x:f>
        <x:v>23.982857142857146</x:v>
      </x:c>
      <x:c r="Y2397" s="55" t="n">
        <x:f>IF(ISNUMBER(X2397),ROUNDUP(X2397,0),"")</x:f>
        <x:v>24</x:v>
      </x:c>
      <x:c r="Z2397" t="str">
        <x:v>Source match pending</x:v>
      </x:c>
      <x:c r="AA2397" t="str">
        <x:v>screencapture-www-activesportstrade-co-uk-per4m-nutrition-trade-2026-09-10-09_06_42.pdf / page-08</x:v>
      </x:c>
      <x:c r="AB2397" s="36" t="n">
        <x:f>IF(ISNUMBER(Y2397),ROUND(Y2397*0.9,2),"")</x:f>
        <x:v>21.6</x:v>
      </x:c>
      <x:c r="AC2397" s="36" t="n">
        <x:f>IF(ISNUMBER(AB2397),ROUND(AB2397-(AB2397*0.015+0.2)-V2397,2),"")</x:f>
        <x:v>4.29</x:v>
      </x:c>
      <x:c r="AD2397" s="36" t="n">
        <x:f>IF(ISNUMBER(Y2397),ROUND(Y2397*0.8,2),"")</x:f>
        <x:v>19.2</x:v>
      </x:c>
      <x:c r="AE2397" s="36" t="n">
        <x:f>IF(ISNUMBER(AD2397),ROUND(AD2397*0.015+0.2,2),"")</x:f>
        <x:v>0.49</x:v>
      </x:c>
      <x:c r="AF2397" s="36" t="n">
        <x:f>IF(ISNUMBER(AD2397),ROUND(AD2397-AE2397-V2397,2),"")</x:f>
        <x:v>1.92</x:v>
      </x:c>
      <x:c r="AG2397" t="str">
        <x:f>IF(NOT(ISNUMBER(T2397)),"PENDING",IF(AF2397&gt;0,"PASS","FAIL"))</x:f>
        <x:v>PASS</x:v>
      </x:c>
      <x:c r="AH2397" t="str">
        <x:f>IF(NOT(ISNUMBER(T2397)),"Needs supplier cost",IF(K2397&lt;&gt;"In stock","Supplier unavailable",IF(AG2397&lt;&gt;"PASS","BLOCK - GT loss risk","Commercially protected")))</x:f>
        <x:v>Commercially protected</x:v>
      </x:c>
      <x:c r="AI2397" t="str">
        <x:v>2026-09-10 Active Sports trade capture</x:v>
      </x:c>
      <x:c r="AJ2397" t="str">
        <x:v>Management-only economics. Stripe stress test uses 1.5% + £0.20 standard UK online-card fee; pallet/mix-and-match pricing ignored.</x:v>
      </x:c>
    </x:row>
    <x:row r="2398">
      <x:c r="A2398" t="str">
        <x:v>Active Sports Nutrition</x:v>
      </x:c>
      <x:c r="B2398" t="str">
        <x:v>Per4m Nutrition</x:v>
      </x:c>
      <x:c r="C2398" t="str">
        <x:v>Protein Pancakes</x:v>
      </x:c>
      <x:c r="D2398" t="str">
        <x:v>Food &amp; Drinks</x:v>
      </x:c>
      <x:c r="E2398" t="str">
        <x:v>Breakfast Foods</x:v>
      </x:c>
      <x:c r="F2398" t="str"/>
      <x:c r="G2398" t="str">
        <x:v>1.2kg</x:v>
      </x:c>
      <x:c r="H2398" t="str">
        <x:v>Chocolate Chip</x:v>
      </x:c>
      <x:c r="I2398" t="str"/>
      <x:c r="J2398" t="str">
        <x:v>Unit</x:v>
      </x:c>
      <x:c r="K2398" t="str">
        <x:v>In stock</x:v>
      </x:c>
      <x:c r="L2398" t="str">
        <x:v>2026-09-08</x:v>
      </x:c>
      <x:c r="M2398" t="str"/>
      <x:c r="N2398" t="str"/>
      <x:c r="O2398" t="str">
        <x:v>https://www.activesportstrade.co.uk/per4m-nutrition-trade</x:v>
      </x:c>
      <x:c r="P2398" t="str"/>
      <x:c r="Q2398" t="str"/>
      <x:c r="R2398" t="str"/>
      <x:c r="S2398" t="str">
        <x:v>Pending genuine supplier/brand image</x:v>
      </x:c>
      <x:c r="T2398" s="54" t="n">
        <x:v>13.99</x:v>
      </x:c>
      <x:c r="U2398" s="47" t="n">
        <x:v>0.2</x:v>
      </x:c>
      <x:c r="V2398" s="54" t="n">
        <x:f>IF(ISNUMBER(T2398),T2398*(1+U2398),"")</x:f>
        <x:v>16.788</x:v>
      </x:c>
      <x:c r="W2398" s="47" t="n">
        <x:v>0.3</x:v>
      </x:c>
      <x:c r="X2398" s="54" t="n">
        <x:f>IF(ISNUMBER(V2398),V2398/(1-W2398),"")</x:f>
        <x:v>23.982857142857146</x:v>
      </x:c>
      <x:c r="Y2398" s="55" t="n">
        <x:f>IF(ISNUMBER(X2398),ROUNDUP(X2398,0),"")</x:f>
        <x:v>24</x:v>
      </x:c>
      <x:c r="Z2398" t="str">
        <x:v>Source match pending</x:v>
      </x:c>
      <x:c r="AA2398" t="str">
        <x:v>screencapture-www-activesportstrade-co-uk-per4m-nutrition-trade-2026-09-10-09_06_42.pdf / page-08</x:v>
      </x:c>
      <x:c r="AB2398" s="36" t="n">
        <x:f>IF(ISNUMBER(Y2398),ROUND(Y2398*0.9,2),"")</x:f>
        <x:v>21.6</x:v>
      </x:c>
      <x:c r="AC2398" s="36" t="n">
        <x:f>IF(ISNUMBER(AB2398),ROUND(AB2398-(AB2398*0.015+0.2)-V2398,2),"")</x:f>
        <x:v>4.29</x:v>
      </x:c>
      <x:c r="AD2398" s="36" t="n">
        <x:f>IF(ISNUMBER(Y2398),ROUND(Y2398*0.8,2),"")</x:f>
        <x:v>19.2</x:v>
      </x:c>
      <x:c r="AE2398" s="36" t="n">
        <x:f>IF(ISNUMBER(AD2398),ROUND(AD2398*0.015+0.2,2),"")</x:f>
        <x:v>0.49</x:v>
      </x:c>
      <x:c r="AF2398" s="36" t="n">
        <x:f>IF(ISNUMBER(AD2398),ROUND(AD2398-AE2398-V2398,2),"")</x:f>
        <x:v>1.92</x:v>
      </x:c>
      <x:c r="AG2398" t="str">
        <x:f>IF(NOT(ISNUMBER(T2398)),"PENDING",IF(AF2398&gt;0,"PASS","FAIL"))</x:f>
        <x:v>PASS</x:v>
      </x:c>
      <x:c r="AH2398" t="str">
        <x:f>IF(NOT(ISNUMBER(T2398)),"Needs supplier cost",IF(K2398&lt;&gt;"In stock","Supplier unavailable",IF(AG2398&lt;&gt;"PASS","BLOCK - GT loss risk","Commercially protected")))</x:f>
        <x:v>Commercially protected</x:v>
      </x:c>
      <x:c r="AI2398" t="str">
        <x:v>2026-09-10 Active Sports trade capture</x:v>
      </x:c>
      <x:c r="AJ2398" t="str">
        <x:v>Management-only economics. Stripe stress test uses 1.5% + £0.20 standard UK online-card fee; pallet/mix-and-match pricing ignored.</x:v>
      </x:c>
    </x:row>
    <x:row r="2399">
      <x:c r="A2399" t="str">
        <x:v>Active Sports Nutrition</x:v>
      </x:c>
      <x:c r="B2399" t="str">
        <x:v>Per4m Nutrition</x:v>
      </x:c>
      <x:c r="C2399" t="str">
        <x:v>Protein Pancakes</x:v>
      </x:c>
      <x:c r="D2399" t="str">
        <x:v>Food &amp; Drinks</x:v>
      </x:c>
      <x:c r="E2399" t="str">
        <x:v>Breakfast Foods</x:v>
      </x:c>
      <x:c r="F2399" t="str"/>
      <x:c r="G2399" t="str">
        <x:v>1.2kg</x:v>
      </x:c>
      <x:c r="H2399" t="str">
        <x:v>Cookies &amp; Cream</x:v>
      </x:c>
      <x:c r="I2399" t="str"/>
      <x:c r="J2399" t="str">
        <x:v>Unit</x:v>
      </x:c>
      <x:c r="K2399" t="str">
        <x:v>In stock</x:v>
      </x:c>
      <x:c r="L2399" t="str">
        <x:v>2026-09-08</x:v>
      </x:c>
      <x:c r="M2399" t="str"/>
      <x:c r="N2399" t="str"/>
      <x:c r="O2399" t="str">
        <x:v>https://www.activesportstrade.co.uk/per4m-nutrition-trade</x:v>
      </x:c>
      <x:c r="P2399" t="str"/>
      <x:c r="Q2399" t="str"/>
      <x:c r="R2399" t="str"/>
      <x:c r="S2399" t="str">
        <x:v>Pending genuine supplier/brand image</x:v>
      </x:c>
      <x:c r="T2399" s="54" t="n">
        <x:v>13.99</x:v>
      </x:c>
      <x:c r="U2399" s="47" t="n">
        <x:v>0.2</x:v>
      </x:c>
      <x:c r="V2399" s="54" t="n">
        <x:f>IF(ISNUMBER(T2399),T2399*(1+U2399),"")</x:f>
        <x:v>16.788</x:v>
      </x:c>
      <x:c r="W2399" s="47" t="n">
        <x:v>0.3</x:v>
      </x:c>
      <x:c r="X2399" s="54" t="n">
        <x:f>IF(ISNUMBER(V2399),V2399/(1-W2399),"")</x:f>
        <x:v>23.982857142857146</x:v>
      </x:c>
      <x:c r="Y2399" s="55" t="n">
        <x:f>IF(ISNUMBER(X2399),ROUNDUP(X2399,0),"")</x:f>
        <x:v>24</x:v>
      </x:c>
      <x:c r="Z2399" t="str">
        <x:v>Source match pending</x:v>
      </x:c>
      <x:c r="AA2399" t="str">
        <x:v>screencapture-www-activesportstrade-co-uk-per4m-nutrition-trade-2026-09-10-09_06_42.pdf / page-08</x:v>
      </x:c>
      <x:c r="AB2399" s="36" t="n">
        <x:f>IF(ISNUMBER(Y2399),ROUND(Y2399*0.9,2),"")</x:f>
        <x:v>21.6</x:v>
      </x:c>
      <x:c r="AC2399" s="36" t="n">
        <x:f>IF(ISNUMBER(AB2399),ROUND(AB2399-(AB2399*0.015+0.2)-V2399,2),"")</x:f>
        <x:v>4.29</x:v>
      </x:c>
      <x:c r="AD2399" s="36" t="n">
        <x:f>IF(ISNUMBER(Y2399),ROUND(Y2399*0.8,2),"")</x:f>
        <x:v>19.2</x:v>
      </x:c>
      <x:c r="AE2399" s="36" t="n">
        <x:f>IF(ISNUMBER(AD2399),ROUND(AD2399*0.015+0.2,2),"")</x:f>
        <x:v>0.49</x:v>
      </x:c>
      <x:c r="AF2399" s="36" t="n">
        <x:f>IF(ISNUMBER(AD2399),ROUND(AD2399-AE2399-V2399,2),"")</x:f>
        <x:v>1.92</x:v>
      </x:c>
      <x:c r="AG2399" t="str">
        <x:f>IF(NOT(ISNUMBER(T2399)),"PENDING",IF(AF2399&gt;0,"PASS","FAIL"))</x:f>
        <x:v>PASS</x:v>
      </x:c>
      <x:c r="AH2399" t="str">
        <x:f>IF(NOT(ISNUMBER(T2399)),"Needs supplier cost",IF(K2399&lt;&gt;"In stock","Supplier unavailable",IF(AG2399&lt;&gt;"PASS","BLOCK - GT loss risk","Commercially protected")))</x:f>
        <x:v>Commercially protected</x:v>
      </x:c>
      <x:c r="AI2399" t="str">
        <x:v>2026-09-10 Active Sports trade capture</x:v>
      </x:c>
      <x:c r="AJ2399" t="str">
        <x:v>Management-only economics. Stripe stress test uses 1.5% + £0.20 standard UK online-card fee; pallet/mix-and-match pricing ignored.</x:v>
      </x:c>
    </x:row>
    <x:row r="2400">
      <x:c r="A2400" t="str">
        <x:v>Active Sports Nutrition</x:v>
      </x:c>
      <x:c r="B2400" t="str">
        <x:v>Per4m Nutrition</x:v>
      </x:c>
      <x:c r="C2400" t="str">
        <x:v>Protein Rice Cakes</x:v>
      </x:c>
      <x:c r="D2400" t="str">
        <x:v>Food &amp; Drinks</x:v>
      </x:c>
      <x:c r="E2400" t="str">
        <x:v>Bars and Snacks</x:v>
      </x:c>
      <x:c r="F2400" t="str"/>
      <x:c r="G2400" t="str">
        <x:v>12 x 64g</x:v>
      </x:c>
      <x:c r="H2400" t="str">
        <x:v>Dark Chocolate</x:v>
      </x:c>
      <x:c r="I2400" t="str">
        <x:v>12</x:v>
      </x:c>
      <x:c r="J2400" t="str">
        <x:v>Case</x:v>
      </x:c>
      <x:c r="K2400" t="str">
        <x:v>In stock</x:v>
      </x:c>
      <x:c r="L2400" t="str">
        <x:v>2026-09-08</x:v>
      </x:c>
      <x:c r="M2400" t="str"/>
      <x:c r="N2400" t="str"/>
      <x:c r="O2400" t="str">
        <x:v>https://www.activesportstrade.co.uk/per4m-nutrition-trade</x:v>
      </x:c>
      <x:c r="P2400" t="str">
        <x:v>Supplier product is a 12-pack case.</x:v>
      </x:c>
      <x:c r="Q2400" t="str"/>
      <x:c r="R2400" t="str"/>
      <x:c r="S2400" t="str">
        <x:v>Pending genuine supplier/brand image</x:v>
      </x:c>
      <x:c r="T2400" s="54"/>
      <x:c r="U2400" s="47" t="n">
        <x:v>0.2</x:v>
      </x:c>
      <x:c r="V2400" s="54" t="str">
        <x:f>IF(ISNUMBER(T2400),T2400*(1+U2400),"")</x:f>
      </x:c>
      <x:c r="W2400" s="47" t="n">
        <x:v>0.3</x:v>
      </x:c>
      <x:c r="X2400" s="54" t="str">
        <x:f>IF(ISNUMBER(V2400),V2400/(1-W2400),"")</x:f>
      </x:c>
      <x:c r="Y2400" s="55" t="str">
        <x:f>IF(ISNUMBER(X2400),ROUNDUP(X2400,0),"")</x:f>
      </x:c>
      <x:c r="Z2400" t="str">
        <x:f>IF(ISNUMBER(T2400),"Cost captured","Awaiting trade cost")</x:f>
        <x:v>Awaiting trade cost</x:v>
      </x:c>
      <x:c r="AB2400" s="36" t="str">
        <x:f>IF(ISNUMBER(Y2400),ROUND(Y2400*0.9,2),"")</x:f>
      </x:c>
      <x:c r="AC2400" s="36" t="str">
        <x:f>IF(ISNUMBER(AB2400),ROUND(AB2400-(AB2400*0.015+0.2)-V2400,2),"")</x:f>
      </x:c>
      <x:c r="AD2400" s="36" t="str">
        <x:f>IF(ISNUMBER(Y2400),ROUND(Y2400*0.8,2),"")</x:f>
      </x:c>
      <x:c r="AE2400" s="36" t="str">
        <x:f>IF(ISNUMBER(AD2400),ROUND(AD2400*0.015+0.2,2),"")</x:f>
      </x:c>
      <x:c r="AF2400" s="36" t="str">
        <x:f>IF(ISNUMBER(AD2400),ROUND(AD2400-AE2400-V2400,2),"")</x:f>
      </x:c>
      <x:c r="AG2400" t="str">
        <x:f>IF(NOT(ISNUMBER(T2400)),"PENDING",IF(AF2400&gt;0,"PASS","FAIL"))</x:f>
        <x:v>PENDING</x:v>
      </x:c>
      <x:c r="AH2400" t="str">
        <x:f>IF(NOT(ISNUMBER(T2400)),"Needs supplier cost",IF(K2400&lt;&gt;"In stock","Supplier unavailable",IF(AG2400&lt;&gt;"PASS","BLOCK - GT loss risk","Commercially protected")))</x:f>
        <x:v>Needs supplier cost</x:v>
      </x:c>
      <x:c r="AI2400" t="str">
        <x:v>2026-09-10 Active Sports trade capture</x:v>
      </x:c>
      <x:c r="AJ2400" t="str">
        <x:v>Management-only economics. Stripe stress test uses 1.5% + £0.20 standard UK online-card fee; pallet/mix-and-match pricing ignored.</x:v>
      </x:c>
    </x:row>
    <x:row r="2401">
      <x:c r="A2401" t="str">
        <x:v>Active Sports Nutrition</x:v>
      </x:c>
      <x:c r="B2401" t="str">
        <x:v>Per4m Nutrition</x:v>
      </x:c>
      <x:c r="C2401" t="str">
        <x:v>Protein Rice Cakes</x:v>
      </x:c>
      <x:c r="D2401" t="str">
        <x:v>Food &amp; Drinks</x:v>
      </x:c>
      <x:c r="E2401" t="str">
        <x:v>Bars and Snacks</x:v>
      </x:c>
      <x:c r="F2401" t="str"/>
      <x:c r="G2401" t="str">
        <x:v>12 x 64g</x:v>
      </x:c>
      <x:c r="H2401" t="str">
        <x:v>White Chocolate</x:v>
      </x:c>
      <x:c r="I2401" t="str">
        <x:v>12</x:v>
      </x:c>
      <x:c r="J2401" t="str">
        <x:v>Case</x:v>
      </x:c>
      <x:c r="K2401" t="str">
        <x:v>In stock</x:v>
      </x:c>
      <x:c r="L2401" t="str">
        <x:v>2026-09-08</x:v>
      </x:c>
      <x:c r="M2401" t="str"/>
      <x:c r="N2401" t="str"/>
      <x:c r="O2401" t="str">
        <x:v>https://www.activesportstrade.co.uk/per4m-nutrition-trade</x:v>
      </x:c>
      <x:c r="P2401" t="str">
        <x:v>Supplier product is a 12-pack case.</x:v>
      </x:c>
      <x:c r="Q2401" t="str"/>
      <x:c r="R2401" t="str"/>
      <x:c r="S2401" t="str">
        <x:v>Pending genuine supplier/brand image</x:v>
      </x:c>
      <x:c r="T2401" s="54"/>
      <x:c r="U2401" s="47" t="n">
        <x:v>0.2</x:v>
      </x:c>
      <x:c r="V2401" s="54" t="str">
        <x:f>IF(ISNUMBER(T2401),T2401*(1+U2401),"")</x:f>
      </x:c>
      <x:c r="W2401" s="47" t="n">
        <x:v>0.3</x:v>
      </x:c>
      <x:c r="X2401" s="54" t="str">
        <x:f>IF(ISNUMBER(V2401),V2401/(1-W2401),"")</x:f>
      </x:c>
      <x:c r="Y2401" s="55" t="str">
        <x:f>IF(ISNUMBER(X2401),ROUNDUP(X2401,0),"")</x:f>
      </x:c>
      <x:c r="Z2401" t="str">
        <x:f>IF(ISNUMBER(T2401),"Cost captured","Awaiting trade cost")</x:f>
        <x:v>Awaiting trade cost</x:v>
      </x:c>
      <x:c r="AB2401" s="36" t="str">
        <x:f>IF(ISNUMBER(Y2401),ROUND(Y2401*0.9,2),"")</x:f>
      </x:c>
      <x:c r="AC2401" s="36" t="str">
        <x:f>IF(ISNUMBER(AB2401),ROUND(AB2401-(AB2401*0.015+0.2)-V2401,2),"")</x:f>
      </x:c>
      <x:c r="AD2401" s="36" t="str">
        <x:f>IF(ISNUMBER(Y2401),ROUND(Y2401*0.8,2),"")</x:f>
      </x:c>
      <x:c r="AE2401" s="36" t="str">
        <x:f>IF(ISNUMBER(AD2401),ROUND(AD2401*0.015+0.2,2),"")</x:f>
      </x:c>
      <x:c r="AF2401" s="36" t="str">
        <x:f>IF(ISNUMBER(AD2401),ROUND(AD2401-AE2401-V2401,2),"")</x:f>
      </x:c>
      <x:c r="AG2401" t="str">
        <x:f>IF(NOT(ISNUMBER(T2401)),"PENDING",IF(AF2401&gt;0,"PASS","FAIL"))</x:f>
        <x:v>PENDING</x:v>
      </x:c>
      <x:c r="AH2401" t="str">
        <x:f>IF(NOT(ISNUMBER(T2401)),"Needs supplier cost",IF(K2401&lt;&gt;"In stock","Supplier unavailable",IF(AG2401&lt;&gt;"PASS","BLOCK - GT loss risk","Commercially protected")))</x:f>
        <x:v>Needs supplier cost</x:v>
      </x:c>
      <x:c r="AI2401" t="str">
        <x:v>2026-09-10 Active Sports trade capture</x:v>
      </x:c>
      <x:c r="AJ2401" t="str">
        <x:v>Management-only economics. Stripe stress test uses 1.5% + £0.20 standard UK online-card fee; pallet/mix-and-match pricing ignored.</x:v>
      </x:c>
    </x:row>
    <x:row r="2402">
      <x:c r="A2402" t="str">
        <x:v>Active Sports Nutrition</x:v>
      </x:c>
      <x:c r="B2402" t="str">
        <x:v>Per4m Nutrition</x:v>
      </x:c>
      <x:c r="C2402" t="str">
        <x:v>Pump</x:v>
      </x:c>
      <x:c r="D2402" t="str">
        <x:v>Pre Workouts</x:v>
      </x:c>
      <x:c r="E2402" t="str">
        <x:v>Stim FREE</x:v>
      </x:c>
      <x:c r="F2402" t="str"/>
      <x:c r="G2402" t="str">
        <x:v>495g</x:v>
      </x:c>
      <x:c r="H2402" t="str">
        <x:v>Blackberry</x:v>
      </x:c>
      <x:c r="I2402" t="str"/>
      <x:c r="J2402" t="str">
        <x:v>Unit</x:v>
      </x:c>
      <x:c r="K2402" t="str">
        <x:v>In stock</x:v>
      </x:c>
      <x:c r="L2402" t="str">
        <x:v>2026-09-08</x:v>
      </x:c>
      <x:c r="M2402" t="str"/>
      <x:c r="N2402" t="str"/>
      <x:c r="O2402" t="str">
        <x:v>https://www.activesportstrade.co.uk/per4m-nutrition-trade</x:v>
      </x:c>
      <x:c r="P2402" t="str">
        <x:v>Supplier promo/free Glycersize wording excluded from canonical title.</x:v>
      </x:c>
      <x:c r="Q2402" t="str"/>
      <x:c r="R2402" t="str"/>
      <x:c r="S2402" t="str">
        <x:v>Pending genuine supplier/brand image</x:v>
      </x:c>
      <x:c r="T2402" s="54" t="n">
        <x:v>15.99</x:v>
      </x:c>
      <x:c r="U2402" s="47" t="n">
        <x:v>0.2</x:v>
      </x:c>
      <x:c r="V2402" s="54" t="n">
        <x:f>IF(ISNUMBER(T2402),T2402*(1+U2402),"")</x:f>
        <x:v>19.188</x:v>
      </x:c>
      <x:c r="W2402" s="47" t="n">
        <x:v>0.3</x:v>
      </x:c>
      <x:c r="X2402" s="54" t="n">
        <x:f>IF(ISNUMBER(V2402),V2402/(1-W2402),"")</x:f>
        <x:v>27.411428571428573</x:v>
      </x:c>
      <x:c r="Y2402" s="55" t="n">
        <x:f>IF(ISNUMBER(X2402),ROUNDUP(X2402,0),"")</x:f>
        <x:v>28</x:v>
      </x:c>
      <x:c r="Z2402" t="str">
        <x:v>Source match pending</x:v>
      </x:c>
      <x:c r="AA2402" t="str">
        <x:v>screencapture-www-activesportstrade-co-uk-per4m-nutrition-trade-2026-09-10-09_06_42.pdf / page-08</x:v>
      </x:c>
      <x:c r="AB2402" s="36" t="n">
        <x:f>IF(ISNUMBER(Y2402),ROUND(Y2402*0.9,2),"")</x:f>
        <x:v>25.2</x:v>
      </x:c>
      <x:c r="AC2402" s="36" t="n">
        <x:f>IF(ISNUMBER(AB2402),ROUND(AB2402-(AB2402*0.015+0.2)-V2402,2),"")</x:f>
        <x:v>5.43</x:v>
      </x:c>
      <x:c r="AD2402" s="36" t="n">
        <x:f>IF(ISNUMBER(Y2402),ROUND(Y2402*0.8,2),"")</x:f>
        <x:v>22.4</x:v>
      </x:c>
      <x:c r="AE2402" s="36" t="n">
        <x:f>IF(ISNUMBER(AD2402),ROUND(AD2402*0.015+0.2,2),"")</x:f>
        <x:v>0.54</x:v>
      </x:c>
      <x:c r="AF2402" s="36" t="n">
        <x:f>IF(ISNUMBER(AD2402),ROUND(AD2402-AE2402-V2402,2),"")</x:f>
        <x:v>2.67</x:v>
      </x:c>
      <x:c r="AG2402" t="str">
        <x:f>IF(NOT(ISNUMBER(T2402)),"PENDING",IF(AF2402&gt;0,"PASS","FAIL"))</x:f>
        <x:v>PASS</x:v>
      </x:c>
      <x:c r="AH2402" t="str">
        <x:f>IF(NOT(ISNUMBER(T2402)),"Needs supplier cost",IF(K2402&lt;&gt;"In stock","Supplier unavailable",IF(AG2402&lt;&gt;"PASS","BLOCK - GT loss risk","Commercially protected")))</x:f>
        <x:v>Commercially protected</x:v>
      </x:c>
      <x:c r="AI2402" t="str">
        <x:v>2026-09-10 Active Sports trade capture</x:v>
      </x:c>
      <x:c r="AJ2402" t="str">
        <x:v>Management-only economics. Stripe stress test uses 1.5% + £0.20 standard UK online-card fee; pallet/mix-and-match pricing ignored.</x:v>
      </x:c>
    </x:row>
    <x:row r="2403">
      <x:c r="A2403" t="str">
        <x:v>Active Sports Nutrition</x:v>
      </x:c>
      <x:c r="B2403" t="str">
        <x:v>Per4m Nutrition</x:v>
      </x:c>
      <x:c r="C2403" t="str">
        <x:v>Pump</x:v>
      </x:c>
      <x:c r="D2403" t="str">
        <x:v>Pre Workouts</x:v>
      </x:c>
      <x:c r="E2403" t="str">
        <x:v>Stim FREE</x:v>
      </x:c>
      <x:c r="F2403" t="str"/>
      <x:c r="G2403" t="str">
        <x:v>495g</x:v>
      </x:c>
      <x:c r="H2403" t="str">
        <x:v>Blue Raspberry</x:v>
      </x:c>
      <x:c r="I2403" t="str"/>
      <x:c r="J2403" t="str">
        <x:v>Unit</x:v>
      </x:c>
      <x:c r="K2403" t="str">
        <x:v>In stock</x:v>
      </x:c>
      <x:c r="L2403" t="str">
        <x:v>2026-09-08</x:v>
      </x:c>
      <x:c r="M2403" t="str"/>
      <x:c r="N2403" t="str"/>
      <x:c r="O2403" t="str">
        <x:v>https://www.activesportstrade.co.uk/per4m-nutrition-trade</x:v>
      </x:c>
      <x:c r="P2403" t="str">
        <x:v>Supplier promo/free Glycersize wording excluded from canonical title.</x:v>
      </x:c>
      <x:c r="Q2403" t="str"/>
      <x:c r="R2403" t="str"/>
      <x:c r="S2403" t="str">
        <x:v>Pending genuine supplier/brand image</x:v>
      </x:c>
      <x:c r="T2403" s="54" t="n">
        <x:v>15.99</x:v>
      </x:c>
      <x:c r="U2403" s="47" t="n">
        <x:v>0.2</x:v>
      </x:c>
      <x:c r="V2403" s="54" t="n">
        <x:f>IF(ISNUMBER(T2403),T2403*(1+U2403),"")</x:f>
        <x:v>19.188</x:v>
      </x:c>
      <x:c r="W2403" s="47" t="n">
        <x:v>0.3</x:v>
      </x:c>
      <x:c r="X2403" s="54" t="n">
        <x:f>IF(ISNUMBER(V2403),V2403/(1-W2403),"")</x:f>
        <x:v>27.411428571428573</x:v>
      </x:c>
      <x:c r="Y2403" s="55" t="n">
        <x:f>IF(ISNUMBER(X2403),ROUNDUP(X2403,0),"")</x:f>
        <x:v>28</x:v>
      </x:c>
      <x:c r="Z2403" t="str">
        <x:v>Source match pending</x:v>
      </x:c>
      <x:c r="AA2403" t="str">
        <x:v>screencapture-www-activesportstrade-co-uk-per4m-nutrition-trade-2026-09-10-09_06_42.pdf / page-08</x:v>
      </x:c>
      <x:c r="AB2403" s="36" t="n">
        <x:f>IF(ISNUMBER(Y2403),ROUND(Y2403*0.9,2),"")</x:f>
        <x:v>25.2</x:v>
      </x:c>
      <x:c r="AC2403" s="36" t="n">
        <x:f>IF(ISNUMBER(AB2403),ROUND(AB2403-(AB2403*0.015+0.2)-V2403,2),"")</x:f>
        <x:v>5.43</x:v>
      </x:c>
      <x:c r="AD2403" s="36" t="n">
        <x:f>IF(ISNUMBER(Y2403),ROUND(Y2403*0.8,2),"")</x:f>
        <x:v>22.4</x:v>
      </x:c>
      <x:c r="AE2403" s="36" t="n">
        <x:f>IF(ISNUMBER(AD2403),ROUND(AD2403*0.015+0.2,2),"")</x:f>
        <x:v>0.54</x:v>
      </x:c>
      <x:c r="AF2403" s="36" t="n">
        <x:f>IF(ISNUMBER(AD2403),ROUND(AD2403-AE2403-V2403,2),"")</x:f>
        <x:v>2.67</x:v>
      </x:c>
      <x:c r="AG2403" t="str">
        <x:f>IF(NOT(ISNUMBER(T2403)),"PENDING",IF(AF2403&gt;0,"PASS","FAIL"))</x:f>
        <x:v>PASS</x:v>
      </x:c>
      <x:c r="AH2403" t="str">
        <x:f>IF(NOT(ISNUMBER(T2403)),"Needs supplier cost",IF(K2403&lt;&gt;"In stock","Supplier unavailable",IF(AG2403&lt;&gt;"PASS","BLOCK - GT loss risk","Commercially protected")))</x:f>
        <x:v>Commercially protected</x:v>
      </x:c>
      <x:c r="AI2403" t="str">
        <x:v>2026-09-10 Active Sports trade capture</x:v>
      </x:c>
      <x:c r="AJ2403" t="str">
        <x:v>Management-only economics. Stripe stress test uses 1.5% + £0.20 standard UK online-card fee; pallet/mix-and-match pricing ignored.</x:v>
      </x:c>
    </x:row>
    <x:row r="2404">
      <x:c r="A2404" t="str">
        <x:v>Active Sports Nutrition</x:v>
      </x:c>
      <x:c r="B2404" t="str">
        <x:v>Per4m Nutrition</x:v>
      </x:c>
      <x:c r="C2404" t="str">
        <x:v>Pump</x:v>
      </x:c>
      <x:c r="D2404" t="str">
        <x:v>Pre Workouts</x:v>
      </x:c>
      <x:c r="E2404" t="str">
        <x:v>Stim FREE</x:v>
      </x:c>
      <x:c r="F2404" t="str"/>
      <x:c r="G2404" t="str">
        <x:v>495g</x:v>
      </x:c>
      <x:c r="H2404" t="str">
        <x:v>Cherry Fizz</x:v>
      </x:c>
      <x:c r="I2404" t="str"/>
      <x:c r="J2404" t="str">
        <x:v>Unit</x:v>
      </x:c>
      <x:c r="K2404" t="str">
        <x:v>Out of stock</x:v>
      </x:c>
      <x:c r="L2404" t="str">
        <x:v>2026-09-08</x:v>
      </x:c>
      <x:c r="M2404" t="str"/>
      <x:c r="N2404" t="str"/>
      <x:c r="O2404" t="str">
        <x:v>https://www.activesportstrade.co.uk/per4m-nutrition-trade</x:v>
      </x:c>
      <x:c r="P2404" t="str">
        <x:v>Supplier promo/free Glycersize wording excluded from canonical title.</x:v>
      </x:c>
      <x:c r="Q2404" t="str"/>
      <x:c r="R2404" t="str"/>
      <x:c r="S2404" t="str">
        <x:v>Pending genuine supplier/brand image</x:v>
      </x:c>
      <x:c r="T2404" s="54" t="n">
        <x:v>15.99</x:v>
      </x:c>
      <x:c r="U2404" s="47" t="n">
        <x:v>0.2</x:v>
      </x:c>
      <x:c r="V2404" s="54" t="n">
        <x:f>IF(ISNUMBER(T2404),T2404*(1+U2404),"")</x:f>
        <x:v>19.188</x:v>
      </x:c>
      <x:c r="W2404" s="47" t="n">
        <x:v>0.3</x:v>
      </x:c>
      <x:c r="X2404" s="54" t="n">
        <x:f>IF(ISNUMBER(V2404),V2404/(1-W2404),"")</x:f>
        <x:v>27.411428571428573</x:v>
      </x:c>
      <x:c r="Y2404" s="55" t="n">
        <x:f>IF(ISNUMBER(X2404),ROUNDUP(X2404,0),"")</x:f>
        <x:v>28</x:v>
      </x:c>
      <x:c r="Z2404" t="str">
        <x:v>Source match pending</x:v>
      </x:c>
      <x:c r="AA2404" t="str">
        <x:v>screencapture-www-activesportstrade-co-uk-per4m-nutrition-trade-2026-09-10-09_06_42.pdf / page-08</x:v>
      </x:c>
      <x:c r="AB2404" s="36" t="n">
        <x:f>IF(ISNUMBER(Y2404),ROUND(Y2404*0.9,2),"")</x:f>
        <x:v>25.2</x:v>
      </x:c>
      <x:c r="AC2404" s="36" t="n">
        <x:f>IF(ISNUMBER(AB2404),ROUND(AB2404-(AB2404*0.015+0.2)-V2404,2),"")</x:f>
        <x:v>5.43</x:v>
      </x:c>
      <x:c r="AD2404" s="36" t="n">
        <x:f>IF(ISNUMBER(Y2404),ROUND(Y2404*0.8,2),"")</x:f>
        <x:v>22.4</x:v>
      </x:c>
      <x:c r="AE2404" s="36" t="n">
        <x:f>IF(ISNUMBER(AD2404),ROUND(AD2404*0.015+0.2,2),"")</x:f>
        <x:v>0.54</x:v>
      </x:c>
      <x:c r="AF2404" s="36" t="n">
        <x:f>IF(ISNUMBER(AD2404),ROUND(AD2404-AE2404-V2404,2),"")</x:f>
        <x:v>2.67</x:v>
      </x:c>
      <x:c r="AG2404" t="str">
        <x:f>IF(NOT(ISNUMBER(T2404)),"PENDING",IF(AF2404&gt;0,"PASS","FAIL"))</x:f>
        <x:v>PASS</x:v>
      </x:c>
      <x:c r="AH2404" t="str">
        <x:f>IF(NOT(ISNUMBER(T2404)),"Needs supplier cost",IF(K2404&lt;&gt;"In stock","Supplier unavailable",IF(AG2404&lt;&gt;"PASS","BLOCK - GT loss risk","Commercially protected")))</x:f>
        <x:v>Supplier unavailable</x:v>
      </x:c>
      <x:c r="AI2404" t="str">
        <x:v>2026-09-10 Active Sports trade capture</x:v>
      </x:c>
      <x:c r="AJ2404" t="str">
        <x:v>Management-only economics. Stripe stress test uses 1.5% + £0.20 standard UK online-card fee; pallet/mix-and-match pricing ignored.</x:v>
      </x:c>
    </x:row>
    <x:row r="2405">
      <x:c r="A2405" t="str">
        <x:v>Active Sports Nutrition</x:v>
      </x:c>
      <x:c r="B2405" t="str">
        <x:v>Per4m Nutrition</x:v>
      </x:c>
      <x:c r="C2405" t="str">
        <x:v>Pump</x:v>
      </x:c>
      <x:c r="D2405" t="str">
        <x:v>Pre Workouts</x:v>
      </x:c>
      <x:c r="E2405" t="str">
        <x:v>Stim FREE</x:v>
      </x:c>
      <x:c r="F2405" t="str"/>
      <x:c r="G2405" t="str">
        <x:v>495g</x:v>
      </x:c>
      <x:c r="H2405" t="str">
        <x:v>Fizzy Bubblegum Bottles</x:v>
      </x:c>
      <x:c r="I2405" t="str"/>
      <x:c r="J2405" t="str">
        <x:v>Unit</x:v>
      </x:c>
      <x:c r="K2405" t="str">
        <x:v>In stock</x:v>
      </x:c>
      <x:c r="L2405" t="str">
        <x:v>2026-09-08</x:v>
      </x:c>
      <x:c r="M2405" t="str"/>
      <x:c r="N2405" t="str"/>
      <x:c r="O2405" t="str">
        <x:v>https://www.activesportstrade.co.uk/per4m-nutrition-trade</x:v>
      </x:c>
      <x:c r="P2405" t="str">
        <x:v>Supplier promo/free Glycersize wording excluded from canonical title.</x:v>
      </x:c>
      <x:c r="Q2405" t="str"/>
      <x:c r="R2405" t="str"/>
      <x:c r="S2405" t="str">
        <x:v>Pending genuine supplier/brand image</x:v>
      </x:c>
      <x:c r="T2405" s="54" t="n">
        <x:v>15.99</x:v>
      </x:c>
      <x:c r="U2405" s="47" t="n">
        <x:v>0.2</x:v>
      </x:c>
      <x:c r="V2405" s="54" t="n">
        <x:f>IF(ISNUMBER(T2405),T2405*(1+U2405),"")</x:f>
        <x:v>19.188</x:v>
      </x:c>
      <x:c r="W2405" s="47" t="n">
        <x:v>0.3</x:v>
      </x:c>
      <x:c r="X2405" s="54" t="n">
        <x:f>IF(ISNUMBER(V2405),V2405/(1-W2405),"")</x:f>
        <x:v>27.411428571428573</x:v>
      </x:c>
      <x:c r="Y2405" s="55" t="n">
        <x:f>IF(ISNUMBER(X2405),ROUNDUP(X2405,0),"")</x:f>
        <x:v>28</x:v>
      </x:c>
      <x:c r="Z2405" t="str">
        <x:v>Source match pending</x:v>
      </x:c>
      <x:c r="AA2405" t="str">
        <x:v>screencapture-www-activesportstrade-co-uk-per4m-nutrition-trade-2026-09-10-09_06_42.pdf / page-08</x:v>
      </x:c>
      <x:c r="AB2405" s="36" t="n">
        <x:f>IF(ISNUMBER(Y2405),ROUND(Y2405*0.9,2),"")</x:f>
        <x:v>25.2</x:v>
      </x:c>
      <x:c r="AC2405" s="36" t="n">
        <x:f>IF(ISNUMBER(AB2405),ROUND(AB2405-(AB2405*0.015+0.2)-V2405,2),"")</x:f>
        <x:v>5.43</x:v>
      </x:c>
      <x:c r="AD2405" s="36" t="n">
        <x:f>IF(ISNUMBER(Y2405),ROUND(Y2405*0.8,2),"")</x:f>
        <x:v>22.4</x:v>
      </x:c>
      <x:c r="AE2405" s="36" t="n">
        <x:f>IF(ISNUMBER(AD2405),ROUND(AD2405*0.015+0.2,2),"")</x:f>
        <x:v>0.54</x:v>
      </x:c>
      <x:c r="AF2405" s="36" t="n">
        <x:f>IF(ISNUMBER(AD2405),ROUND(AD2405-AE2405-V2405,2),"")</x:f>
        <x:v>2.67</x:v>
      </x:c>
      <x:c r="AG2405" t="str">
        <x:f>IF(NOT(ISNUMBER(T2405)),"PENDING",IF(AF2405&gt;0,"PASS","FAIL"))</x:f>
        <x:v>PASS</x:v>
      </x:c>
      <x:c r="AH2405" t="str">
        <x:f>IF(NOT(ISNUMBER(T2405)),"Needs supplier cost",IF(K2405&lt;&gt;"In stock","Supplier unavailable",IF(AG2405&lt;&gt;"PASS","BLOCK - GT loss risk","Commercially protected")))</x:f>
        <x:v>Commercially protected</x:v>
      </x:c>
      <x:c r="AI2405" t="str">
        <x:v>2026-09-10 Active Sports trade capture</x:v>
      </x:c>
      <x:c r="AJ2405" t="str">
        <x:v>Management-only economics. Stripe stress test uses 1.5% + £0.20 standard UK online-card fee; pallet/mix-and-match pricing ignored.</x:v>
      </x:c>
    </x:row>
    <x:row r="2406">
      <x:c r="A2406" t="str">
        <x:v>Active Sports Nutrition</x:v>
      </x:c>
      <x:c r="B2406" t="str">
        <x:v>Per4m Nutrition</x:v>
      </x:c>
      <x:c r="C2406" t="str">
        <x:v>Pump</x:v>
      </x:c>
      <x:c r="D2406" t="str">
        <x:v>Pre Workouts</x:v>
      </x:c>
      <x:c r="E2406" t="str">
        <x:v>Stim FREE</x:v>
      </x:c>
      <x:c r="F2406" t="str"/>
      <x:c r="G2406" t="str">
        <x:v>495g</x:v>
      </x:c>
      <x:c r="H2406" t="str">
        <x:v>Peach Sweets</x:v>
      </x:c>
      <x:c r="I2406" t="str"/>
      <x:c r="J2406" t="str">
        <x:v>Unit</x:v>
      </x:c>
      <x:c r="K2406" t="str">
        <x:v>In stock</x:v>
      </x:c>
      <x:c r="L2406" t="str">
        <x:v>2026-09-08</x:v>
      </x:c>
      <x:c r="M2406" t="str"/>
      <x:c r="N2406" t="str"/>
      <x:c r="O2406" t="str">
        <x:v>https://www.activesportstrade.co.uk/per4m-nutrition-trade</x:v>
      </x:c>
      <x:c r="P2406" t="str">
        <x:v>Supplier promo/free Glycersize wording excluded from canonical title.</x:v>
      </x:c>
      <x:c r="Q2406" t="str"/>
      <x:c r="R2406" t="str"/>
      <x:c r="S2406" t="str">
        <x:v>Pending genuine supplier/brand image</x:v>
      </x:c>
      <x:c r="T2406" s="54" t="n">
        <x:v>15.99</x:v>
      </x:c>
      <x:c r="U2406" s="47" t="n">
        <x:v>0.2</x:v>
      </x:c>
      <x:c r="V2406" s="54" t="n">
        <x:f>IF(ISNUMBER(T2406),T2406*(1+U2406),"")</x:f>
        <x:v>19.188</x:v>
      </x:c>
      <x:c r="W2406" s="47" t="n">
        <x:v>0.3</x:v>
      </x:c>
      <x:c r="X2406" s="54" t="n">
        <x:f>IF(ISNUMBER(V2406),V2406/(1-W2406),"")</x:f>
        <x:v>27.411428571428573</x:v>
      </x:c>
      <x:c r="Y2406" s="55" t="n">
        <x:f>IF(ISNUMBER(X2406),ROUNDUP(X2406,0),"")</x:f>
        <x:v>28</x:v>
      </x:c>
      <x:c r="Z2406" t="str">
        <x:v>Source match pending</x:v>
      </x:c>
      <x:c r="AA2406" t="str">
        <x:v>screencapture-www-activesportstrade-co-uk-per4m-nutrition-trade-2026-09-10-09_06_42.pdf / page-08</x:v>
      </x:c>
      <x:c r="AB2406" s="36" t="n">
        <x:f>IF(ISNUMBER(Y2406),ROUND(Y2406*0.9,2),"")</x:f>
        <x:v>25.2</x:v>
      </x:c>
      <x:c r="AC2406" s="36" t="n">
        <x:f>IF(ISNUMBER(AB2406),ROUND(AB2406-(AB2406*0.015+0.2)-V2406,2),"")</x:f>
        <x:v>5.43</x:v>
      </x:c>
      <x:c r="AD2406" s="36" t="n">
        <x:f>IF(ISNUMBER(Y2406),ROUND(Y2406*0.8,2),"")</x:f>
        <x:v>22.4</x:v>
      </x:c>
      <x:c r="AE2406" s="36" t="n">
        <x:f>IF(ISNUMBER(AD2406),ROUND(AD2406*0.015+0.2,2),"")</x:f>
        <x:v>0.54</x:v>
      </x:c>
      <x:c r="AF2406" s="36" t="n">
        <x:f>IF(ISNUMBER(AD2406),ROUND(AD2406-AE2406-V2406,2),"")</x:f>
        <x:v>2.67</x:v>
      </x:c>
      <x:c r="AG2406" t="str">
        <x:f>IF(NOT(ISNUMBER(T2406)),"PENDING",IF(AF2406&gt;0,"PASS","FAIL"))</x:f>
        <x:v>PASS</x:v>
      </x:c>
      <x:c r="AH2406" t="str">
        <x:f>IF(NOT(ISNUMBER(T2406)),"Needs supplier cost",IF(K2406&lt;&gt;"In stock","Supplier unavailable",IF(AG2406&lt;&gt;"PASS","BLOCK - GT loss risk","Commercially protected")))</x:f>
        <x:v>Commercially protected</x:v>
      </x:c>
      <x:c r="AI2406" t="str">
        <x:v>2026-09-10 Active Sports trade capture</x:v>
      </x:c>
      <x:c r="AJ2406" t="str">
        <x:v>Management-only economics. Stripe stress test uses 1.5% + £0.20 standard UK online-card fee; pallet/mix-and-match pricing ignored.</x:v>
      </x:c>
    </x:row>
    <x:row r="2407">
      <x:c r="A2407" t="str">
        <x:v>Active Sports Nutrition</x:v>
      </x:c>
      <x:c r="B2407" t="str">
        <x:v>Per4m Nutrition</x:v>
      </x:c>
      <x:c r="C2407" t="str">
        <x:v>Pump</x:v>
      </x:c>
      <x:c r="D2407" t="str">
        <x:v>Pre Workouts</x:v>
      </x:c>
      <x:c r="E2407" t="str">
        <x:v>Stim FREE</x:v>
      </x:c>
      <x:c r="F2407" t="str"/>
      <x:c r="G2407" t="str">
        <x:v>495g</x:v>
      </x:c>
      <x:c r="H2407" t="str">
        <x:v>Strawberry Blackcurrant</x:v>
      </x:c>
      <x:c r="I2407" t="str"/>
      <x:c r="J2407" t="str">
        <x:v>Unit</x:v>
      </x:c>
      <x:c r="K2407" t="str">
        <x:v>In stock</x:v>
      </x:c>
      <x:c r="L2407" t="str">
        <x:v>2026-09-08</x:v>
      </x:c>
      <x:c r="M2407" t="str"/>
      <x:c r="N2407" t="str"/>
      <x:c r="O2407" t="str">
        <x:v>https://www.activesportstrade.co.uk/per4m-nutrition-trade</x:v>
      </x:c>
      <x:c r="P2407" t="str">
        <x:v>Supplier promo/free Glycersize wording excluded from canonical title.</x:v>
      </x:c>
      <x:c r="Q2407" t="str"/>
      <x:c r="R2407" t="str"/>
      <x:c r="S2407" t="str">
        <x:v>Pending genuine supplier/brand image</x:v>
      </x:c>
      <x:c r="T2407" s="54" t="n">
        <x:v>15.99</x:v>
      </x:c>
      <x:c r="U2407" s="47" t="n">
        <x:v>0.2</x:v>
      </x:c>
      <x:c r="V2407" s="54" t="n">
        <x:f>IF(ISNUMBER(T2407),T2407*(1+U2407),"")</x:f>
        <x:v>19.188</x:v>
      </x:c>
      <x:c r="W2407" s="47" t="n">
        <x:v>0.3</x:v>
      </x:c>
      <x:c r="X2407" s="54" t="n">
        <x:f>IF(ISNUMBER(V2407),V2407/(1-W2407),"")</x:f>
        <x:v>27.411428571428573</x:v>
      </x:c>
      <x:c r="Y2407" s="55" t="n">
        <x:f>IF(ISNUMBER(X2407),ROUNDUP(X2407,0),"")</x:f>
        <x:v>28</x:v>
      </x:c>
      <x:c r="Z2407" t="str">
        <x:v>Source match pending</x:v>
      </x:c>
      <x:c r="AA2407" t="str">
        <x:v>screencapture-www-activesportstrade-co-uk-per4m-nutrition-trade-2026-09-10-09_06_42.pdf / page-08</x:v>
      </x:c>
      <x:c r="AB2407" s="36" t="n">
        <x:f>IF(ISNUMBER(Y2407),ROUND(Y2407*0.9,2),"")</x:f>
        <x:v>25.2</x:v>
      </x:c>
      <x:c r="AC2407" s="36" t="n">
        <x:f>IF(ISNUMBER(AB2407),ROUND(AB2407-(AB2407*0.015+0.2)-V2407,2),"")</x:f>
        <x:v>5.43</x:v>
      </x:c>
      <x:c r="AD2407" s="36" t="n">
        <x:f>IF(ISNUMBER(Y2407),ROUND(Y2407*0.8,2),"")</x:f>
        <x:v>22.4</x:v>
      </x:c>
      <x:c r="AE2407" s="36" t="n">
        <x:f>IF(ISNUMBER(AD2407),ROUND(AD2407*0.015+0.2,2),"")</x:f>
        <x:v>0.54</x:v>
      </x:c>
      <x:c r="AF2407" s="36" t="n">
        <x:f>IF(ISNUMBER(AD2407),ROUND(AD2407-AE2407-V2407,2),"")</x:f>
        <x:v>2.67</x:v>
      </x:c>
      <x:c r="AG2407" t="str">
        <x:f>IF(NOT(ISNUMBER(T2407)),"PENDING",IF(AF2407&gt;0,"PASS","FAIL"))</x:f>
        <x:v>PASS</x:v>
      </x:c>
      <x:c r="AH2407" t="str">
        <x:f>IF(NOT(ISNUMBER(T2407)),"Needs supplier cost",IF(K2407&lt;&gt;"In stock","Supplier unavailable",IF(AG2407&lt;&gt;"PASS","BLOCK - GT loss risk","Commercially protected")))</x:f>
        <x:v>Commercially protected</x:v>
      </x:c>
      <x:c r="AI2407" t="str">
        <x:v>2026-09-10 Active Sports trade capture</x:v>
      </x:c>
      <x:c r="AJ2407" t="str">
        <x:v>Management-only economics. Stripe stress test uses 1.5% + £0.20 standard UK online-card fee; pallet/mix-and-match pricing ignored.</x:v>
      </x:c>
    </x:row>
    <x:row r="2408">
      <x:c r="A2408" t="str">
        <x:v>Active Sports Nutrition</x:v>
      </x:c>
      <x:c r="B2408" t="str">
        <x:v>NXT Nutrition</x:v>
      </x:c>
      <x:c r="C2408" t="str">
        <x:v>BCAA</x:v>
      </x:c>
      <x:c r="D2408" t="str">
        <x:v>Supplements</x:v>
      </x:c>
      <x:c r="E2408" t="str">
        <x:v>BCAAs</x:v>
      </x:c>
      <x:c r="F2408" t="str"/>
      <x:c r="G2408" t="str">
        <x:v>200 tablets</x:v>
      </x:c>
      <x:c r="H2408" t="str">
        <x:v>Default</x:v>
      </x:c>
      <x:c r="I2408" t="str"/>
      <x:c r="J2408" t="str">
        <x:v>Unit</x:v>
      </x:c>
      <x:c r="K2408" t="str">
        <x:v>In stock</x:v>
      </x:c>
      <x:c r="L2408" t="str">
        <x:v>2026-09-08</x:v>
      </x:c>
      <x:c r="M2408" t="str"/>
      <x:c r="N2408" t="str"/>
      <x:c r="O2408" t="str">
        <x:v>https://www.activesportstrade.co.uk/nxt-nutrition-trade</x:v>
      </x:c>
      <x:c r="P2408" t="str"/>
      <x:c r="Q2408" t="str"/>
      <x:c r="R2408" t="str"/>
      <x:c r="S2408" t="str">
        <x:v>Pending genuine supplier/brand image</x:v>
      </x:c>
      <x:c r="T2408" s="54"/>
      <x:c r="U2408" s="47" t="n">
        <x:v>0.2</x:v>
      </x:c>
      <x:c r="V2408" s="54" t="str">
        <x:f>IF(ISNUMBER(T2408),T2408*(1+U2408),"")</x:f>
      </x:c>
      <x:c r="W2408" s="47" t="n">
        <x:v>0.3</x:v>
      </x:c>
      <x:c r="X2408" s="54" t="str">
        <x:f>IF(ISNUMBER(V2408),V2408/(1-W2408),"")</x:f>
      </x:c>
      <x:c r="Y2408" s="55" t="str">
        <x:f>IF(ISNUMBER(X2408),ROUNDUP(X2408,0),"")</x:f>
      </x:c>
      <x:c r="Z2408" t="str">
        <x:f>IF(ISNUMBER(T2408),"Cost captured","Awaiting trade cost")</x:f>
        <x:v>Awaiting trade cost</x:v>
      </x:c>
      <x:c r="AB2408" s="36" t="str">
        <x:f>IF(ISNUMBER(Y2408),ROUND(Y2408*0.9,2),"")</x:f>
      </x:c>
      <x:c r="AC2408" s="36" t="str">
        <x:f>IF(ISNUMBER(AB2408),ROUND(AB2408-(AB2408*0.015+0.2)-V2408,2),"")</x:f>
      </x:c>
      <x:c r="AD2408" s="36" t="str">
        <x:f>IF(ISNUMBER(Y2408),ROUND(Y2408*0.8,2),"")</x:f>
      </x:c>
      <x:c r="AE2408" s="36" t="str">
        <x:f>IF(ISNUMBER(AD2408),ROUND(AD2408*0.015+0.2,2),"")</x:f>
      </x:c>
      <x:c r="AF2408" s="36" t="str">
        <x:f>IF(ISNUMBER(AD2408),ROUND(AD2408-AE2408-V2408,2),"")</x:f>
      </x:c>
      <x:c r="AG2408" t="str">
        <x:f>IF(NOT(ISNUMBER(T2408)),"PENDING",IF(AF2408&gt;0,"PASS","FAIL"))</x:f>
        <x:v>PENDING</x:v>
      </x:c>
      <x:c r="AH2408" t="str">
        <x:f>IF(NOT(ISNUMBER(T2408)),"Needs supplier cost",IF(K2408&lt;&gt;"In stock","Supplier unavailable",IF(AG2408&lt;&gt;"PASS","BLOCK - GT loss risk","Commercially protected")))</x:f>
        <x:v>Needs supplier cost</x:v>
      </x:c>
      <x:c r="AI2408" t="str">
        <x:v>2026-09-10 Active Sports trade capture</x:v>
      </x:c>
      <x:c r="AJ2408" t="str">
        <x:v>Management-only economics. Stripe stress test uses 1.5% + £0.20 standard UK online-card fee; pallet/mix-and-match pricing ignored.</x:v>
      </x:c>
    </x:row>
    <x:row r="2409">
      <x:c r="A2409" t="str">
        <x:v>Active Sports Nutrition</x:v>
      </x:c>
      <x:c r="B2409" t="str">
        <x:v>NXT Nutrition</x:v>
      </x:c>
      <x:c r="C2409" t="str">
        <x:v>BCAA, Glutamine &amp; Vit D</x:v>
      </x:c>
      <x:c r="D2409" t="str">
        <x:v>Supplements</x:v>
      </x:c>
      <x:c r="E2409" t="str">
        <x:v>BCAAs</x:v>
      </x:c>
      <x:c r="F2409" t="str"/>
      <x:c r="G2409" t="str">
        <x:v>360g / 30 servings</x:v>
      </x:c>
      <x:c r="H2409" t="str">
        <x:v>Apple &amp; Blackcurrant</x:v>
      </x:c>
      <x:c r="I2409" t="str"/>
      <x:c r="J2409" t="str">
        <x:v>Unit</x:v>
      </x:c>
      <x:c r="K2409" t="str">
        <x:v>Out of stock</x:v>
      </x:c>
      <x:c r="L2409" t="str">
        <x:v>2026-09-08</x:v>
      </x:c>
      <x:c r="M2409" t="str"/>
      <x:c r="N2409" t="str"/>
      <x:c r="O2409" t="str">
        <x:v>https://www.activesportstrade.co.uk/nxt-nutrition-trade</x:v>
      </x:c>
      <x:c r="P2409" t="str"/>
      <x:c r="Q2409" t="str"/>
      <x:c r="R2409" t="str"/>
      <x:c r="S2409" t="str">
        <x:v>Pending genuine supplier/brand image</x:v>
      </x:c>
      <x:c r="T2409" s="54"/>
      <x:c r="U2409" s="47" t="n">
        <x:v>0.2</x:v>
      </x:c>
      <x:c r="V2409" s="54" t="str">
        <x:f>IF(ISNUMBER(T2409),T2409*(1+U2409),"")</x:f>
      </x:c>
      <x:c r="W2409" s="47" t="n">
        <x:v>0.3</x:v>
      </x:c>
      <x:c r="X2409" s="54" t="str">
        <x:f>IF(ISNUMBER(V2409),V2409/(1-W2409),"")</x:f>
      </x:c>
      <x:c r="Y2409" s="55" t="str">
        <x:f>IF(ISNUMBER(X2409),ROUNDUP(X2409,0),"")</x:f>
      </x:c>
      <x:c r="Z2409" t="str">
        <x:f>IF(ISNUMBER(T2409),"Cost captured","Awaiting trade cost")</x:f>
        <x:v>Awaiting trade cost</x:v>
      </x:c>
      <x:c r="AB2409" s="36" t="str">
        <x:f>IF(ISNUMBER(Y2409),ROUND(Y2409*0.9,2),"")</x:f>
      </x:c>
      <x:c r="AC2409" s="36" t="str">
        <x:f>IF(ISNUMBER(AB2409),ROUND(AB2409-(AB2409*0.015+0.2)-V2409,2),"")</x:f>
      </x:c>
      <x:c r="AD2409" s="36" t="str">
        <x:f>IF(ISNUMBER(Y2409),ROUND(Y2409*0.8,2),"")</x:f>
      </x:c>
      <x:c r="AE2409" s="36" t="str">
        <x:f>IF(ISNUMBER(AD2409),ROUND(AD2409*0.015+0.2,2),"")</x:f>
      </x:c>
      <x:c r="AF2409" s="36" t="str">
        <x:f>IF(ISNUMBER(AD2409),ROUND(AD2409-AE2409-V2409,2),"")</x:f>
      </x:c>
      <x:c r="AG2409" t="str">
        <x:f>IF(NOT(ISNUMBER(T2409)),"PENDING",IF(AF2409&gt;0,"PASS","FAIL"))</x:f>
        <x:v>PENDING</x:v>
      </x:c>
      <x:c r="AH2409" t="str">
        <x:f>IF(NOT(ISNUMBER(T2409)),"Needs supplier cost",IF(K2409&lt;&gt;"In stock","Supplier unavailable",IF(AG2409&lt;&gt;"PASS","BLOCK - GT loss risk","Commercially protected")))</x:f>
        <x:v>Needs supplier cost</x:v>
      </x:c>
      <x:c r="AI2409" t="str">
        <x:v>2026-09-10 Active Sports trade capture</x:v>
      </x:c>
      <x:c r="AJ2409" t="str">
        <x:v>Management-only economics. Stripe stress test uses 1.5% + £0.20 standard UK online-card fee; pallet/mix-and-match pricing ignored.</x:v>
      </x:c>
    </x:row>
    <x:row r="2410">
      <x:c r="A2410" t="str">
        <x:v>Active Sports Nutrition</x:v>
      </x:c>
      <x:c r="B2410" t="str">
        <x:v>NXT Nutrition</x:v>
      </x:c>
      <x:c r="C2410" t="str">
        <x:v>BCAA, Glutamine &amp; Vit D</x:v>
      </x:c>
      <x:c r="D2410" t="str">
        <x:v>Supplements</x:v>
      </x:c>
      <x:c r="E2410" t="str">
        <x:v>BCAAs</x:v>
      </x:c>
      <x:c r="F2410" t="str"/>
      <x:c r="G2410" t="str">
        <x:v>360g / 30 servings</x:v>
      </x:c>
      <x:c r="H2410" t="str">
        <x:v>Blue Raspberry</x:v>
      </x:c>
      <x:c r="I2410" t="str"/>
      <x:c r="J2410" t="str">
        <x:v>Unit</x:v>
      </x:c>
      <x:c r="K2410" t="str">
        <x:v>In stock</x:v>
      </x:c>
      <x:c r="L2410" t="str">
        <x:v>2026-09-08</x:v>
      </x:c>
      <x:c r="M2410" t="str"/>
      <x:c r="N2410" t="str"/>
      <x:c r="O2410" t="str">
        <x:v>https://www.activesportstrade.co.uk/nxt-nutrition-trade</x:v>
      </x:c>
      <x:c r="P2410" t="str"/>
      <x:c r="Q2410" t="str"/>
      <x:c r="R2410" t="str"/>
      <x:c r="S2410" t="str">
        <x:v>Pending genuine supplier/brand image</x:v>
      </x:c>
      <x:c r="T2410" s="54"/>
      <x:c r="U2410" s="47" t="n">
        <x:v>0.2</x:v>
      </x:c>
      <x:c r="V2410" s="54" t="str">
        <x:f>IF(ISNUMBER(T2410),T2410*(1+U2410),"")</x:f>
      </x:c>
      <x:c r="W2410" s="47" t="n">
        <x:v>0.3</x:v>
      </x:c>
      <x:c r="X2410" s="54" t="str">
        <x:f>IF(ISNUMBER(V2410),V2410/(1-W2410),"")</x:f>
      </x:c>
      <x:c r="Y2410" s="55" t="str">
        <x:f>IF(ISNUMBER(X2410),ROUNDUP(X2410,0),"")</x:f>
      </x:c>
      <x:c r="Z2410" t="str">
        <x:f>IF(ISNUMBER(T2410),"Cost captured","Awaiting trade cost")</x:f>
        <x:v>Awaiting trade cost</x:v>
      </x:c>
      <x:c r="AB2410" s="36" t="str">
        <x:f>IF(ISNUMBER(Y2410),ROUND(Y2410*0.9,2),"")</x:f>
      </x:c>
      <x:c r="AC2410" s="36" t="str">
        <x:f>IF(ISNUMBER(AB2410),ROUND(AB2410-(AB2410*0.015+0.2)-V2410,2),"")</x:f>
      </x:c>
      <x:c r="AD2410" s="36" t="str">
        <x:f>IF(ISNUMBER(Y2410),ROUND(Y2410*0.8,2),"")</x:f>
      </x:c>
      <x:c r="AE2410" s="36" t="str">
        <x:f>IF(ISNUMBER(AD2410),ROUND(AD2410*0.015+0.2,2),"")</x:f>
      </x:c>
      <x:c r="AF2410" s="36" t="str">
        <x:f>IF(ISNUMBER(AD2410),ROUND(AD2410-AE2410-V2410,2),"")</x:f>
      </x:c>
      <x:c r="AG2410" t="str">
        <x:f>IF(NOT(ISNUMBER(T2410)),"PENDING",IF(AF2410&gt;0,"PASS","FAIL"))</x:f>
        <x:v>PENDING</x:v>
      </x:c>
      <x:c r="AH2410" t="str">
        <x:f>IF(NOT(ISNUMBER(T2410)),"Needs supplier cost",IF(K2410&lt;&gt;"In stock","Supplier unavailable",IF(AG2410&lt;&gt;"PASS","BLOCK - GT loss risk","Commercially protected")))</x:f>
        <x:v>Needs supplier cost</x:v>
      </x:c>
      <x:c r="AI2410" t="str">
        <x:v>2026-09-10 Active Sports trade capture</x:v>
      </x:c>
      <x:c r="AJ2410" t="str">
        <x:v>Management-only economics. Stripe stress test uses 1.5% + £0.20 standard UK online-card fee; pallet/mix-and-match pricing ignored.</x:v>
      </x:c>
    </x:row>
    <x:row r="2411">
      <x:c r="A2411" t="str">
        <x:v>Active Sports Nutrition</x:v>
      </x:c>
      <x:c r="B2411" t="str">
        <x:v>NXT Nutrition</x:v>
      </x:c>
      <x:c r="C2411" t="str">
        <x:v>BCAA, Glutamine &amp; Vit D</x:v>
      </x:c>
      <x:c r="D2411" t="str">
        <x:v>Supplements</x:v>
      </x:c>
      <x:c r="E2411" t="str">
        <x:v>BCAAs</x:v>
      </x:c>
      <x:c r="F2411" t="str"/>
      <x:c r="G2411" t="str">
        <x:v>360g / 30 servings</x:v>
      </x:c>
      <x:c r="H2411" t="str">
        <x:v>Cola</x:v>
      </x:c>
      <x:c r="I2411" t="str"/>
      <x:c r="J2411" t="str">
        <x:v>Unit</x:v>
      </x:c>
      <x:c r="K2411" t="str">
        <x:v>In stock</x:v>
      </x:c>
      <x:c r="L2411" t="str">
        <x:v>2026-09-08</x:v>
      </x:c>
      <x:c r="M2411" t="str"/>
      <x:c r="N2411" t="str"/>
      <x:c r="O2411" t="str">
        <x:v>https://www.activesportstrade.co.uk/nxt-nutrition-trade</x:v>
      </x:c>
      <x:c r="P2411" t="str"/>
      <x:c r="Q2411" t="str"/>
      <x:c r="R2411" t="str"/>
      <x:c r="S2411" t="str">
        <x:v>Pending genuine supplier/brand image</x:v>
      </x:c>
      <x:c r="T2411" s="54"/>
      <x:c r="U2411" s="47" t="n">
        <x:v>0.2</x:v>
      </x:c>
      <x:c r="V2411" s="54" t="str">
        <x:f>IF(ISNUMBER(T2411),T2411*(1+U2411),"")</x:f>
      </x:c>
      <x:c r="W2411" s="47" t="n">
        <x:v>0.3</x:v>
      </x:c>
      <x:c r="X2411" s="54" t="str">
        <x:f>IF(ISNUMBER(V2411),V2411/(1-W2411),"")</x:f>
      </x:c>
      <x:c r="Y2411" s="55" t="str">
        <x:f>IF(ISNUMBER(X2411),ROUNDUP(X2411,0),"")</x:f>
      </x:c>
      <x:c r="Z2411" t="str">
        <x:f>IF(ISNUMBER(T2411),"Cost captured","Awaiting trade cost")</x:f>
        <x:v>Awaiting trade cost</x:v>
      </x:c>
      <x:c r="AB2411" s="36" t="str">
        <x:f>IF(ISNUMBER(Y2411),ROUND(Y2411*0.9,2),"")</x:f>
      </x:c>
      <x:c r="AC2411" s="36" t="str">
        <x:f>IF(ISNUMBER(AB2411),ROUND(AB2411-(AB2411*0.015+0.2)-V2411,2),"")</x:f>
      </x:c>
      <x:c r="AD2411" s="36" t="str">
        <x:f>IF(ISNUMBER(Y2411),ROUND(Y2411*0.8,2),"")</x:f>
      </x:c>
      <x:c r="AE2411" s="36" t="str">
        <x:f>IF(ISNUMBER(AD2411),ROUND(AD2411*0.015+0.2,2),"")</x:f>
      </x:c>
      <x:c r="AF2411" s="36" t="str">
        <x:f>IF(ISNUMBER(AD2411),ROUND(AD2411-AE2411-V2411,2),"")</x:f>
      </x:c>
      <x:c r="AG2411" t="str">
        <x:f>IF(NOT(ISNUMBER(T2411)),"PENDING",IF(AF2411&gt;0,"PASS","FAIL"))</x:f>
        <x:v>PENDING</x:v>
      </x:c>
      <x:c r="AH2411" t="str">
        <x:f>IF(NOT(ISNUMBER(T2411)),"Needs supplier cost",IF(K2411&lt;&gt;"In stock","Supplier unavailable",IF(AG2411&lt;&gt;"PASS","BLOCK - GT loss risk","Commercially protected")))</x:f>
        <x:v>Needs supplier cost</x:v>
      </x:c>
      <x:c r="AI2411" t="str">
        <x:v>2026-09-10 Active Sports trade capture</x:v>
      </x:c>
      <x:c r="AJ2411" t="str">
        <x:v>Management-only economics. Stripe stress test uses 1.5% + £0.20 standard UK online-card fee; pallet/mix-and-match pricing ignored.</x:v>
      </x:c>
    </x:row>
    <x:row r="2412">
      <x:c r="A2412" t="str">
        <x:v>Active Sports Nutrition</x:v>
      </x:c>
      <x:c r="B2412" t="str">
        <x:v>NXT Nutrition</x:v>
      </x:c>
      <x:c r="C2412" t="str">
        <x:v>BCAA, Glutamine &amp; Vit D</x:v>
      </x:c>
      <x:c r="D2412" t="str">
        <x:v>Supplements</x:v>
      </x:c>
      <x:c r="E2412" t="str">
        <x:v>BCAAs</x:v>
      </x:c>
      <x:c r="F2412" t="str"/>
      <x:c r="G2412" t="str">
        <x:v>360g / 30 servings</x:v>
      </x:c>
      <x:c r="H2412" t="str">
        <x:v>Green Apple</x:v>
      </x:c>
      <x:c r="I2412" t="str"/>
      <x:c r="J2412" t="str">
        <x:v>Unit</x:v>
      </x:c>
      <x:c r="K2412" t="str">
        <x:v>In stock</x:v>
      </x:c>
      <x:c r="L2412" t="str">
        <x:v>2026-09-08</x:v>
      </x:c>
      <x:c r="M2412" t="str"/>
      <x:c r="N2412" t="str"/>
      <x:c r="O2412" t="str">
        <x:v>https://www.activesportstrade.co.uk/nxt-nutrition-trade</x:v>
      </x:c>
      <x:c r="P2412" t="str"/>
      <x:c r="Q2412" t="str"/>
      <x:c r="R2412" t="str"/>
      <x:c r="S2412" t="str">
        <x:v>Pending genuine supplier/brand image</x:v>
      </x:c>
      <x:c r="T2412" s="54"/>
      <x:c r="U2412" s="47" t="n">
        <x:v>0.2</x:v>
      </x:c>
      <x:c r="V2412" s="54" t="str">
        <x:f>IF(ISNUMBER(T2412),T2412*(1+U2412),"")</x:f>
      </x:c>
      <x:c r="W2412" s="47" t="n">
        <x:v>0.3</x:v>
      </x:c>
      <x:c r="X2412" s="54" t="str">
        <x:f>IF(ISNUMBER(V2412),V2412/(1-W2412),"")</x:f>
      </x:c>
      <x:c r="Y2412" s="55" t="str">
        <x:f>IF(ISNUMBER(X2412),ROUNDUP(X2412,0),"")</x:f>
      </x:c>
      <x:c r="Z2412" t="str">
        <x:f>IF(ISNUMBER(T2412),"Cost captured","Awaiting trade cost")</x:f>
        <x:v>Awaiting trade cost</x:v>
      </x:c>
      <x:c r="AB2412" s="36" t="str">
        <x:f>IF(ISNUMBER(Y2412),ROUND(Y2412*0.9,2),"")</x:f>
      </x:c>
      <x:c r="AC2412" s="36" t="str">
        <x:f>IF(ISNUMBER(AB2412),ROUND(AB2412-(AB2412*0.015+0.2)-V2412,2),"")</x:f>
      </x:c>
      <x:c r="AD2412" s="36" t="str">
        <x:f>IF(ISNUMBER(Y2412),ROUND(Y2412*0.8,2),"")</x:f>
      </x:c>
      <x:c r="AE2412" s="36" t="str">
        <x:f>IF(ISNUMBER(AD2412),ROUND(AD2412*0.015+0.2,2),"")</x:f>
      </x:c>
      <x:c r="AF2412" s="36" t="str">
        <x:f>IF(ISNUMBER(AD2412),ROUND(AD2412-AE2412-V2412,2),"")</x:f>
      </x:c>
      <x:c r="AG2412" t="str">
        <x:f>IF(NOT(ISNUMBER(T2412)),"PENDING",IF(AF2412&gt;0,"PASS","FAIL"))</x:f>
        <x:v>PENDING</x:v>
      </x:c>
      <x:c r="AH2412" t="str">
        <x:f>IF(NOT(ISNUMBER(T2412)),"Needs supplier cost",IF(K2412&lt;&gt;"In stock","Supplier unavailable",IF(AG2412&lt;&gt;"PASS","BLOCK - GT loss risk","Commercially protected")))</x:f>
        <x:v>Needs supplier cost</x:v>
      </x:c>
      <x:c r="AI2412" t="str">
        <x:v>2026-09-10 Active Sports trade capture</x:v>
      </x:c>
      <x:c r="AJ2412" t="str">
        <x:v>Management-only economics. Stripe stress test uses 1.5% + £0.20 standard UK online-card fee; pallet/mix-and-match pricing ignored.</x:v>
      </x:c>
    </x:row>
    <x:row r="2413">
      <x:c r="A2413" t="str">
        <x:v>Active Sports Nutrition</x:v>
      </x:c>
      <x:c r="B2413" t="str">
        <x:v>NXT Nutrition</x:v>
      </x:c>
      <x:c r="C2413" t="str">
        <x:v>BCAA, Glutamine &amp; Vit D</x:v>
      </x:c>
      <x:c r="D2413" t="str">
        <x:v>Supplements</x:v>
      </x:c>
      <x:c r="E2413" t="str">
        <x:v>BCAAs</x:v>
      </x:c>
      <x:c r="F2413" t="str"/>
      <x:c r="G2413" t="str">
        <x:v>360g / 30 servings</x:v>
      </x:c>
      <x:c r="H2413" t="str">
        <x:v>Kiwi Lime</x:v>
      </x:c>
      <x:c r="I2413" t="str"/>
      <x:c r="J2413" t="str">
        <x:v>Unit</x:v>
      </x:c>
      <x:c r="K2413" t="str">
        <x:v>In stock</x:v>
      </x:c>
      <x:c r="L2413" t="str">
        <x:v>2026-09-08</x:v>
      </x:c>
      <x:c r="M2413" t="str"/>
      <x:c r="N2413" t="str"/>
      <x:c r="O2413" t="str">
        <x:v>https://www.activesportstrade.co.uk/nxt-nutrition-trade</x:v>
      </x:c>
      <x:c r="P2413" t="str"/>
      <x:c r="Q2413" t="str"/>
      <x:c r="R2413" t="str"/>
      <x:c r="S2413" t="str">
        <x:v>Pending genuine supplier/brand image</x:v>
      </x:c>
      <x:c r="T2413" s="54"/>
      <x:c r="U2413" s="47" t="n">
        <x:v>0.2</x:v>
      </x:c>
      <x:c r="V2413" s="54" t="str">
        <x:f>IF(ISNUMBER(T2413),T2413*(1+U2413),"")</x:f>
      </x:c>
      <x:c r="W2413" s="47" t="n">
        <x:v>0.3</x:v>
      </x:c>
      <x:c r="X2413" s="54" t="str">
        <x:f>IF(ISNUMBER(V2413),V2413/(1-W2413),"")</x:f>
      </x:c>
      <x:c r="Y2413" s="55" t="str">
        <x:f>IF(ISNUMBER(X2413),ROUNDUP(X2413,0),"")</x:f>
      </x:c>
      <x:c r="Z2413" t="str">
        <x:f>IF(ISNUMBER(T2413),"Cost captured","Awaiting trade cost")</x:f>
        <x:v>Awaiting trade cost</x:v>
      </x:c>
      <x:c r="AB2413" s="36" t="str">
        <x:f>IF(ISNUMBER(Y2413),ROUND(Y2413*0.9,2),"")</x:f>
      </x:c>
      <x:c r="AC2413" s="36" t="str">
        <x:f>IF(ISNUMBER(AB2413),ROUND(AB2413-(AB2413*0.015+0.2)-V2413,2),"")</x:f>
      </x:c>
      <x:c r="AD2413" s="36" t="str">
        <x:f>IF(ISNUMBER(Y2413),ROUND(Y2413*0.8,2),"")</x:f>
      </x:c>
      <x:c r="AE2413" s="36" t="str">
        <x:f>IF(ISNUMBER(AD2413),ROUND(AD2413*0.015+0.2,2),"")</x:f>
      </x:c>
      <x:c r="AF2413" s="36" t="str">
        <x:f>IF(ISNUMBER(AD2413),ROUND(AD2413-AE2413-V2413,2),"")</x:f>
      </x:c>
      <x:c r="AG2413" t="str">
        <x:f>IF(NOT(ISNUMBER(T2413)),"PENDING",IF(AF2413&gt;0,"PASS","FAIL"))</x:f>
        <x:v>PENDING</x:v>
      </x:c>
      <x:c r="AH2413" t="str">
        <x:f>IF(NOT(ISNUMBER(T2413)),"Needs supplier cost",IF(K2413&lt;&gt;"In stock","Supplier unavailable",IF(AG2413&lt;&gt;"PASS","BLOCK - GT loss risk","Commercially protected")))</x:f>
        <x:v>Needs supplier cost</x:v>
      </x:c>
      <x:c r="AI2413" t="str">
        <x:v>2026-09-10 Active Sports trade capture</x:v>
      </x:c>
      <x:c r="AJ2413" t="str">
        <x:v>Management-only economics. Stripe stress test uses 1.5% + £0.20 standard UK online-card fee; pallet/mix-and-match pricing ignored.</x:v>
      </x:c>
    </x:row>
    <x:row r="2414">
      <x:c r="A2414" t="str">
        <x:v>Active Sports Nutrition</x:v>
      </x:c>
      <x:c r="B2414" t="str">
        <x:v>NXT Nutrition</x:v>
      </x:c>
      <x:c r="C2414" t="str">
        <x:v>BCAA, Glutamine &amp; Vit D</x:v>
      </x:c>
      <x:c r="D2414" t="str">
        <x:v>Supplements</x:v>
      </x:c>
      <x:c r="E2414" t="str">
        <x:v>BCAAs</x:v>
      </x:c>
      <x:c r="F2414" t="str"/>
      <x:c r="G2414" t="str">
        <x:v>360g / 30 servings</x:v>
      </x:c>
      <x:c r="H2414" t="str">
        <x:v>Orange</x:v>
      </x:c>
      <x:c r="I2414" t="str"/>
      <x:c r="J2414" t="str">
        <x:v>Unit</x:v>
      </x:c>
      <x:c r="K2414" t="str">
        <x:v>In stock</x:v>
      </x:c>
      <x:c r="L2414" t="str">
        <x:v>2026-09-08</x:v>
      </x:c>
      <x:c r="M2414" t="str"/>
      <x:c r="N2414" t="str"/>
      <x:c r="O2414" t="str">
        <x:v>https://www.activesportstrade.co.uk/nxt-nutrition-trade</x:v>
      </x:c>
      <x:c r="P2414" t="str"/>
      <x:c r="Q2414" t="str"/>
      <x:c r="R2414" t="str"/>
      <x:c r="S2414" t="str">
        <x:v>Pending genuine supplier/brand image</x:v>
      </x:c>
      <x:c r="T2414" s="54"/>
      <x:c r="U2414" s="47" t="n">
        <x:v>0.2</x:v>
      </x:c>
      <x:c r="V2414" s="54" t="str">
        <x:f>IF(ISNUMBER(T2414),T2414*(1+U2414),"")</x:f>
      </x:c>
      <x:c r="W2414" s="47" t="n">
        <x:v>0.3</x:v>
      </x:c>
      <x:c r="X2414" s="54" t="str">
        <x:f>IF(ISNUMBER(V2414),V2414/(1-W2414),"")</x:f>
      </x:c>
      <x:c r="Y2414" s="55" t="str">
        <x:f>IF(ISNUMBER(X2414),ROUNDUP(X2414,0),"")</x:f>
      </x:c>
      <x:c r="Z2414" t="str">
        <x:f>IF(ISNUMBER(T2414),"Cost captured","Awaiting trade cost")</x:f>
        <x:v>Awaiting trade cost</x:v>
      </x:c>
      <x:c r="AB2414" s="36" t="str">
        <x:f>IF(ISNUMBER(Y2414),ROUND(Y2414*0.9,2),"")</x:f>
      </x:c>
      <x:c r="AC2414" s="36" t="str">
        <x:f>IF(ISNUMBER(AB2414),ROUND(AB2414-(AB2414*0.015+0.2)-V2414,2),"")</x:f>
      </x:c>
      <x:c r="AD2414" s="36" t="str">
        <x:f>IF(ISNUMBER(Y2414),ROUND(Y2414*0.8,2),"")</x:f>
      </x:c>
      <x:c r="AE2414" s="36" t="str">
        <x:f>IF(ISNUMBER(AD2414),ROUND(AD2414*0.015+0.2,2),"")</x:f>
      </x:c>
      <x:c r="AF2414" s="36" t="str">
        <x:f>IF(ISNUMBER(AD2414),ROUND(AD2414-AE2414-V2414,2),"")</x:f>
      </x:c>
      <x:c r="AG2414" t="str">
        <x:f>IF(NOT(ISNUMBER(T2414)),"PENDING",IF(AF2414&gt;0,"PASS","FAIL"))</x:f>
        <x:v>PENDING</x:v>
      </x:c>
      <x:c r="AH2414" t="str">
        <x:f>IF(NOT(ISNUMBER(T2414)),"Needs supplier cost",IF(K2414&lt;&gt;"In stock","Supplier unavailable",IF(AG2414&lt;&gt;"PASS","BLOCK - GT loss risk","Commercially protected")))</x:f>
        <x:v>Needs supplier cost</x:v>
      </x:c>
      <x:c r="AI2414" t="str">
        <x:v>2026-09-10 Active Sports trade capture</x:v>
      </x:c>
      <x:c r="AJ2414" t="str">
        <x:v>Management-only economics. Stripe stress test uses 1.5% + £0.20 standard UK online-card fee; pallet/mix-and-match pricing ignored.</x:v>
      </x:c>
    </x:row>
    <x:row r="2415">
      <x:c r="A2415" t="str">
        <x:v>Active Sports Nutrition</x:v>
      </x:c>
      <x:c r="B2415" t="str">
        <x:v>NXT Nutrition</x:v>
      </x:c>
      <x:c r="C2415" t="str">
        <x:v>BCAA, Glutamine &amp; Vit D</x:v>
      </x:c>
      <x:c r="D2415" t="str">
        <x:v>Supplements</x:v>
      </x:c>
      <x:c r="E2415" t="str">
        <x:v>BCAAs</x:v>
      </x:c>
      <x:c r="F2415" t="str"/>
      <x:c r="G2415" t="str">
        <x:v>360g / 30 servings</x:v>
      </x:c>
      <x:c r="H2415" t="str">
        <x:v>Pineapple</x:v>
      </x:c>
      <x:c r="I2415" t="str"/>
      <x:c r="J2415" t="str">
        <x:v>Unit</x:v>
      </x:c>
      <x:c r="K2415" t="str">
        <x:v>Out of stock</x:v>
      </x:c>
      <x:c r="L2415" t="str">
        <x:v>2026-09-08</x:v>
      </x:c>
      <x:c r="M2415" t="str"/>
      <x:c r="N2415" t="str"/>
      <x:c r="O2415" t="str">
        <x:v>https://www.activesportstrade.co.uk/nxt-nutrition-trade</x:v>
      </x:c>
      <x:c r="P2415" t="str"/>
      <x:c r="Q2415" t="str"/>
      <x:c r="R2415" t="str"/>
      <x:c r="S2415" t="str">
        <x:v>Pending genuine supplier/brand image</x:v>
      </x:c>
      <x:c r="T2415" s="54"/>
      <x:c r="U2415" s="47" t="n">
        <x:v>0.2</x:v>
      </x:c>
      <x:c r="V2415" s="54" t="str">
        <x:f>IF(ISNUMBER(T2415),T2415*(1+U2415),"")</x:f>
      </x:c>
      <x:c r="W2415" s="47" t="n">
        <x:v>0.3</x:v>
      </x:c>
      <x:c r="X2415" s="54" t="str">
        <x:f>IF(ISNUMBER(V2415),V2415/(1-W2415),"")</x:f>
      </x:c>
      <x:c r="Y2415" s="55" t="str">
        <x:f>IF(ISNUMBER(X2415),ROUNDUP(X2415,0),"")</x:f>
      </x:c>
      <x:c r="Z2415" t="str">
        <x:f>IF(ISNUMBER(T2415),"Cost captured","Awaiting trade cost")</x:f>
        <x:v>Awaiting trade cost</x:v>
      </x:c>
      <x:c r="AB2415" s="36" t="str">
        <x:f>IF(ISNUMBER(Y2415),ROUND(Y2415*0.9,2),"")</x:f>
      </x:c>
      <x:c r="AC2415" s="36" t="str">
        <x:f>IF(ISNUMBER(AB2415),ROUND(AB2415-(AB2415*0.015+0.2)-V2415,2),"")</x:f>
      </x:c>
      <x:c r="AD2415" s="36" t="str">
        <x:f>IF(ISNUMBER(Y2415),ROUND(Y2415*0.8,2),"")</x:f>
      </x:c>
      <x:c r="AE2415" s="36" t="str">
        <x:f>IF(ISNUMBER(AD2415),ROUND(AD2415*0.015+0.2,2),"")</x:f>
      </x:c>
      <x:c r="AF2415" s="36" t="str">
        <x:f>IF(ISNUMBER(AD2415),ROUND(AD2415-AE2415-V2415,2),"")</x:f>
      </x:c>
      <x:c r="AG2415" t="str">
        <x:f>IF(NOT(ISNUMBER(T2415)),"PENDING",IF(AF2415&gt;0,"PASS","FAIL"))</x:f>
        <x:v>PENDING</x:v>
      </x:c>
      <x:c r="AH2415" t="str">
        <x:f>IF(NOT(ISNUMBER(T2415)),"Needs supplier cost",IF(K2415&lt;&gt;"In stock","Supplier unavailable",IF(AG2415&lt;&gt;"PASS","BLOCK - GT loss risk","Commercially protected")))</x:f>
        <x:v>Needs supplier cost</x:v>
      </x:c>
      <x:c r="AI2415" t="str">
        <x:v>2026-09-10 Active Sports trade capture</x:v>
      </x:c>
      <x:c r="AJ2415" t="str">
        <x:v>Management-only economics. Stripe stress test uses 1.5% + £0.20 standard UK online-card fee; pallet/mix-and-match pricing ignored.</x:v>
      </x:c>
    </x:row>
    <x:row r="2416">
      <x:c r="A2416" t="str">
        <x:v>Active Sports Nutrition</x:v>
      </x:c>
      <x:c r="B2416" t="str">
        <x:v>NXT Nutrition</x:v>
      </x:c>
      <x:c r="C2416" t="str">
        <x:v>BCAA, Glutamine &amp; Vit D</x:v>
      </x:c>
      <x:c r="D2416" t="str">
        <x:v>Supplements</x:v>
      </x:c>
      <x:c r="E2416" t="str">
        <x:v>BCAAs</x:v>
      </x:c>
      <x:c r="F2416" t="str"/>
      <x:c r="G2416" t="str">
        <x:v>360g / 30 servings</x:v>
      </x:c>
      <x:c r="H2416" t="str">
        <x:v>Strawberry Lime</x:v>
      </x:c>
      <x:c r="I2416" t="str"/>
      <x:c r="J2416" t="str">
        <x:v>Unit</x:v>
      </x:c>
      <x:c r="K2416" t="str">
        <x:v>Out of stock</x:v>
      </x:c>
      <x:c r="L2416" t="str">
        <x:v>2026-09-08</x:v>
      </x:c>
      <x:c r="M2416" t="str"/>
      <x:c r="N2416" t="str"/>
      <x:c r="O2416" t="str">
        <x:v>https://www.activesportstrade.co.uk/nxt-nutrition-trade</x:v>
      </x:c>
      <x:c r="P2416" t="str"/>
      <x:c r="Q2416" t="str"/>
      <x:c r="R2416" t="str"/>
      <x:c r="S2416" t="str">
        <x:v>Pending genuine supplier/brand image</x:v>
      </x:c>
      <x:c r="T2416" s="54"/>
      <x:c r="U2416" s="47" t="n">
        <x:v>0.2</x:v>
      </x:c>
      <x:c r="V2416" s="54" t="str">
        <x:f>IF(ISNUMBER(T2416),T2416*(1+U2416),"")</x:f>
      </x:c>
      <x:c r="W2416" s="47" t="n">
        <x:v>0.3</x:v>
      </x:c>
      <x:c r="X2416" s="54" t="str">
        <x:f>IF(ISNUMBER(V2416),V2416/(1-W2416),"")</x:f>
      </x:c>
      <x:c r="Y2416" s="55" t="str">
        <x:f>IF(ISNUMBER(X2416),ROUNDUP(X2416,0),"")</x:f>
      </x:c>
      <x:c r="Z2416" t="str">
        <x:f>IF(ISNUMBER(T2416),"Cost captured","Awaiting trade cost")</x:f>
        <x:v>Awaiting trade cost</x:v>
      </x:c>
      <x:c r="AB2416" s="36" t="str">
        <x:f>IF(ISNUMBER(Y2416),ROUND(Y2416*0.9,2),"")</x:f>
      </x:c>
      <x:c r="AC2416" s="36" t="str">
        <x:f>IF(ISNUMBER(AB2416),ROUND(AB2416-(AB2416*0.015+0.2)-V2416,2),"")</x:f>
      </x:c>
      <x:c r="AD2416" s="36" t="str">
        <x:f>IF(ISNUMBER(Y2416),ROUND(Y2416*0.8,2),"")</x:f>
      </x:c>
      <x:c r="AE2416" s="36" t="str">
        <x:f>IF(ISNUMBER(AD2416),ROUND(AD2416*0.015+0.2,2),"")</x:f>
      </x:c>
      <x:c r="AF2416" s="36" t="str">
        <x:f>IF(ISNUMBER(AD2416),ROUND(AD2416-AE2416-V2416,2),"")</x:f>
      </x:c>
      <x:c r="AG2416" t="str">
        <x:f>IF(NOT(ISNUMBER(T2416)),"PENDING",IF(AF2416&gt;0,"PASS","FAIL"))</x:f>
        <x:v>PENDING</x:v>
      </x:c>
      <x:c r="AH2416" t="str">
        <x:f>IF(NOT(ISNUMBER(T2416)),"Needs supplier cost",IF(K2416&lt;&gt;"In stock","Supplier unavailable",IF(AG2416&lt;&gt;"PASS","BLOCK - GT loss risk","Commercially protected")))</x:f>
        <x:v>Needs supplier cost</x:v>
      </x:c>
      <x:c r="AI2416" t="str">
        <x:v>2026-09-10 Active Sports trade capture</x:v>
      </x:c>
      <x:c r="AJ2416" t="str">
        <x:v>Management-only economics. Stripe stress test uses 1.5% + £0.20 standard UK online-card fee; pallet/mix-and-match pricing ignored.</x:v>
      </x:c>
    </x:row>
    <x:row r="2417">
      <x:c r="A2417" t="str">
        <x:v>Active Sports Nutrition</x:v>
      </x:c>
      <x:c r="B2417" t="str">
        <x:v>NXT Nutrition</x:v>
      </x:c>
      <x:c r="C2417" t="str">
        <x:v>Beef Mass Gain</x:v>
      </x:c>
      <x:c r="D2417" t="str">
        <x:v>Supplements</x:v>
      </x:c>
      <x:c r="E2417" t="str">
        <x:v>Weight Gainers</x:v>
      </x:c>
      <x:c r="F2417" t="str"/>
      <x:c r="G2417" t="str">
        <x:v>3.15kg</x:v>
      </x:c>
      <x:c r="H2417" t="str">
        <x:v>Apple &amp; Blackcurrant</x:v>
      </x:c>
      <x:c r="I2417" t="str"/>
      <x:c r="J2417" t="str">
        <x:v>Unit</x:v>
      </x:c>
      <x:c r="K2417" t="str">
        <x:v>In stock</x:v>
      </x:c>
      <x:c r="L2417" t="str">
        <x:v>2026-09-08</x:v>
      </x:c>
      <x:c r="M2417" t="str"/>
      <x:c r="N2417" t="str"/>
      <x:c r="O2417" t="str">
        <x:v>https://www.activesportstrade.co.uk/nxt-nutrition-trade</x:v>
      </x:c>
      <x:c r="P2417" t="str">
        <x:v>Supplier FREE BCAA TABLETS wording stripped from canonical title.</x:v>
      </x:c>
      <x:c r="Q2417" t="str"/>
      <x:c r="R2417" t="str"/>
      <x:c r="S2417" t="str">
        <x:v>Pending genuine supplier/brand image</x:v>
      </x:c>
      <x:c r="T2417" s="54"/>
      <x:c r="U2417" s="47" t="n">
        <x:v>0.2</x:v>
      </x:c>
      <x:c r="V2417" s="54" t="str">
        <x:f>IF(ISNUMBER(T2417),T2417*(1+U2417),"")</x:f>
      </x:c>
      <x:c r="W2417" s="47" t="n">
        <x:v>0.3</x:v>
      </x:c>
      <x:c r="X2417" s="54" t="str">
        <x:f>IF(ISNUMBER(V2417),V2417/(1-W2417),"")</x:f>
      </x:c>
      <x:c r="Y2417" s="55" t="str">
        <x:f>IF(ISNUMBER(X2417),ROUNDUP(X2417,0),"")</x:f>
      </x:c>
      <x:c r="Z2417" t="str">
        <x:f>IF(ISNUMBER(T2417),"Cost captured","Awaiting trade cost")</x:f>
        <x:v>Awaiting trade cost</x:v>
      </x:c>
      <x:c r="AB2417" s="36" t="str">
        <x:f>IF(ISNUMBER(Y2417),ROUND(Y2417*0.9,2),"")</x:f>
      </x:c>
      <x:c r="AC2417" s="36" t="str">
        <x:f>IF(ISNUMBER(AB2417),ROUND(AB2417-(AB2417*0.015+0.2)-V2417,2),"")</x:f>
      </x:c>
      <x:c r="AD2417" s="36" t="str">
        <x:f>IF(ISNUMBER(Y2417),ROUND(Y2417*0.8,2),"")</x:f>
      </x:c>
      <x:c r="AE2417" s="36" t="str">
        <x:f>IF(ISNUMBER(AD2417),ROUND(AD2417*0.015+0.2,2),"")</x:f>
      </x:c>
      <x:c r="AF2417" s="36" t="str">
        <x:f>IF(ISNUMBER(AD2417),ROUND(AD2417-AE2417-V2417,2),"")</x:f>
      </x:c>
      <x:c r="AG2417" t="str">
        <x:f>IF(NOT(ISNUMBER(T2417)),"PENDING",IF(AF2417&gt;0,"PASS","FAIL"))</x:f>
        <x:v>PENDING</x:v>
      </x:c>
      <x:c r="AH2417" t="str">
        <x:f>IF(NOT(ISNUMBER(T2417)),"Needs supplier cost",IF(K2417&lt;&gt;"In stock","Supplier unavailable",IF(AG2417&lt;&gt;"PASS","BLOCK - GT loss risk","Commercially protected")))</x:f>
        <x:v>Needs supplier cost</x:v>
      </x:c>
      <x:c r="AI2417" t="str">
        <x:v>2026-09-10 Active Sports trade capture</x:v>
      </x:c>
      <x:c r="AJ2417" t="str">
        <x:v>Management-only economics. Stripe stress test uses 1.5% + £0.20 standard UK online-card fee; pallet/mix-and-match pricing ignored.</x:v>
      </x:c>
    </x:row>
    <x:row r="2418">
      <x:c r="A2418" t="str">
        <x:v>Active Sports Nutrition</x:v>
      </x:c>
      <x:c r="B2418" t="str">
        <x:v>NXT Nutrition</x:v>
      </x:c>
      <x:c r="C2418" t="str">
        <x:v>Beef Mass Gain</x:v>
      </x:c>
      <x:c r="D2418" t="str">
        <x:v>Supplements</x:v>
      </x:c>
      <x:c r="E2418" t="str">
        <x:v>Weight Gainers</x:v>
      </x:c>
      <x:c r="F2418" t="str"/>
      <x:c r="G2418" t="str">
        <x:v>3.15kg</x:v>
      </x:c>
      <x:c r="H2418" t="str">
        <x:v>Blue Raspberry</x:v>
      </x:c>
      <x:c r="I2418" t="str"/>
      <x:c r="J2418" t="str">
        <x:v>Unit</x:v>
      </x:c>
      <x:c r="K2418" t="str">
        <x:v>Out of stock</x:v>
      </x:c>
      <x:c r="L2418" t="str">
        <x:v>2026-09-08</x:v>
      </x:c>
      <x:c r="M2418" t="str"/>
      <x:c r="N2418" t="str"/>
      <x:c r="O2418" t="str">
        <x:v>https://www.activesportstrade.co.uk/nxt-nutrition-trade</x:v>
      </x:c>
      <x:c r="P2418" t="str">
        <x:v>Supplier FREE BCAA TABLETS wording stripped from canonical title.</x:v>
      </x:c>
      <x:c r="Q2418" t="str"/>
      <x:c r="R2418" t="str"/>
      <x:c r="S2418" t="str">
        <x:v>Pending genuine supplier/brand image</x:v>
      </x:c>
      <x:c r="T2418" s="54"/>
      <x:c r="U2418" s="47" t="n">
        <x:v>0.2</x:v>
      </x:c>
      <x:c r="V2418" s="54" t="str">
        <x:f>IF(ISNUMBER(T2418),T2418*(1+U2418),"")</x:f>
      </x:c>
      <x:c r="W2418" s="47" t="n">
        <x:v>0.3</x:v>
      </x:c>
      <x:c r="X2418" s="54" t="str">
        <x:f>IF(ISNUMBER(V2418),V2418/(1-W2418),"")</x:f>
      </x:c>
      <x:c r="Y2418" s="55" t="str">
        <x:f>IF(ISNUMBER(X2418),ROUNDUP(X2418,0),"")</x:f>
      </x:c>
      <x:c r="Z2418" t="str">
        <x:f>IF(ISNUMBER(T2418),"Cost captured","Awaiting trade cost")</x:f>
        <x:v>Awaiting trade cost</x:v>
      </x:c>
      <x:c r="AB2418" s="36" t="str">
        <x:f>IF(ISNUMBER(Y2418),ROUND(Y2418*0.9,2),"")</x:f>
      </x:c>
      <x:c r="AC2418" s="36" t="str">
        <x:f>IF(ISNUMBER(AB2418),ROUND(AB2418-(AB2418*0.015+0.2)-V2418,2),"")</x:f>
      </x:c>
      <x:c r="AD2418" s="36" t="str">
        <x:f>IF(ISNUMBER(Y2418),ROUND(Y2418*0.8,2),"")</x:f>
      </x:c>
      <x:c r="AE2418" s="36" t="str">
        <x:f>IF(ISNUMBER(AD2418),ROUND(AD2418*0.015+0.2,2),"")</x:f>
      </x:c>
      <x:c r="AF2418" s="36" t="str">
        <x:f>IF(ISNUMBER(AD2418),ROUND(AD2418-AE2418-V2418,2),"")</x:f>
      </x:c>
      <x:c r="AG2418" t="str">
        <x:f>IF(NOT(ISNUMBER(T2418)),"PENDING",IF(AF2418&gt;0,"PASS","FAIL"))</x:f>
        <x:v>PENDING</x:v>
      </x:c>
      <x:c r="AH2418" t="str">
        <x:f>IF(NOT(ISNUMBER(T2418)),"Needs supplier cost",IF(K2418&lt;&gt;"In stock","Supplier unavailable",IF(AG2418&lt;&gt;"PASS","BLOCK - GT loss risk","Commercially protected")))</x:f>
        <x:v>Needs supplier cost</x:v>
      </x:c>
      <x:c r="AI2418" t="str">
        <x:v>2026-09-10 Active Sports trade capture</x:v>
      </x:c>
      <x:c r="AJ2418" t="str">
        <x:v>Management-only economics. Stripe stress test uses 1.5% + £0.20 standard UK online-card fee; pallet/mix-and-match pricing ignored.</x:v>
      </x:c>
    </x:row>
    <x:row r="2419">
      <x:c r="A2419" t="str">
        <x:v>Active Sports Nutrition</x:v>
      </x:c>
      <x:c r="B2419" t="str">
        <x:v>NXT Nutrition</x:v>
      </x:c>
      <x:c r="C2419" t="str">
        <x:v>Beef Mass Gain</x:v>
      </x:c>
      <x:c r="D2419" t="str">
        <x:v>Supplements</x:v>
      </x:c>
      <x:c r="E2419" t="str">
        <x:v>Weight Gainers</x:v>
      </x:c>
      <x:c r="F2419" t="str"/>
      <x:c r="G2419" t="str">
        <x:v>3.15kg</x:v>
      </x:c>
      <x:c r="H2419" t="str">
        <x:v>Cola</x:v>
      </x:c>
      <x:c r="I2419" t="str"/>
      <x:c r="J2419" t="str">
        <x:v>Unit</x:v>
      </x:c>
      <x:c r="K2419" t="str">
        <x:v>Out of stock</x:v>
      </x:c>
      <x:c r="L2419" t="str">
        <x:v>2026-09-08</x:v>
      </x:c>
      <x:c r="M2419" t="str"/>
      <x:c r="N2419" t="str"/>
      <x:c r="O2419" t="str">
        <x:v>https://www.activesportstrade.co.uk/nxt-nutrition-trade</x:v>
      </x:c>
      <x:c r="P2419" t="str">
        <x:v>Supplier FREE BCAA TABLETS wording stripped from canonical title.</x:v>
      </x:c>
      <x:c r="Q2419" t="str"/>
      <x:c r="R2419" t="str"/>
      <x:c r="S2419" t="str">
        <x:v>Pending genuine supplier/brand image</x:v>
      </x:c>
      <x:c r="T2419" s="54"/>
      <x:c r="U2419" s="47" t="n">
        <x:v>0.2</x:v>
      </x:c>
      <x:c r="V2419" s="54" t="str">
        <x:f>IF(ISNUMBER(T2419),T2419*(1+U2419),"")</x:f>
      </x:c>
      <x:c r="W2419" s="47" t="n">
        <x:v>0.3</x:v>
      </x:c>
      <x:c r="X2419" s="54" t="str">
        <x:f>IF(ISNUMBER(V2419),V2419/(1-W2419),"")</x:f>
      </x:c>
      <x:c r="Y2419" s="55" t="str">
        <x:f>IF(ISNUMBER(X2419),ROUNDUP(X2419,0),"")</x:f>
      </x:c>
      <x:c r="Z2419" t="str">
        <x:f>IF(ISNUMBER(T2419),"Cost captured","Awaiting trade cost")</x:f>
        <x:v>Awaiting trade cost</x:v>
      </x:c>
      <x:c r="AB2419" s="36" t="str">
        <x:f>IF(ISNUMBER(Y2419),ROUND(Y2419*0.9,2),"")</x:f>
      </x:c>
      <x:c r="AC2419" s="36" t="str">
        <x:f>IF(ISNUMBER(AB2419),ROUND(AB2419-(AB2419*0.015+0.2)-V2419,2),"")</x:f>
      </x:c>
      <x:c r="AD2419" s="36" t="str">
        <x:f>IF(ISNUMBER(Y2419),ROUND(Y2419*0.8,2),"")</x:f>
      </x:c>
      <x:c r="AE2419" s="36" t="str">
        <x:f>IF(ISNUMBER(AD2419),ROUND(AD2419*0.015+0.2,2),"")</x:f>
      </x:c>
      <x:c r="AF2419" s="36" t="str">
        <x:f>IF(ISNUMBER(AD2419),ROUND(AD2419-AE2419-V2419,2),"")</x:f>
      </x:c>
      <x:c r="AG2419" t="str">
        <x:f>IF(NOT(ISNUMBER(T2419)),"PENDING",IF(AF2419&gt;0,"PASS","FAIL"))</x:f>
        <x:v>PENDING</x:v>
      </x:c>
      <x:c r="AH2419" t="str">
        <x:f>IF(NOT(ISNUMBER(T2419)),"Needs supplier cost",IF(K2419&lt;&gt;"In stock","Supplier unavailable",IF(AG2419&lt;&gt;"PASS","BLOCK - GT loss risk","Commercially protected")))</x:f>
        <x:v>Needs supplier cost</x:v>
      </x:c>
      <x:c r="AI2419" t="str">
        <x:v>2026-09-10 Active Sports trade capture</x:v>
      </x:c>
      <x:c r="AJ2419" t="str">
        <x:v>Management-only economics. Stripe stress test uses 1.5% + £0.20 standard UK online-card fee; pallet/mix-and-match pricing ignored.</x:v>
      </x:c>
    </x:row>
    <x:row r="2420">
      <x:c r="A2420" t="str">
        <x:v>Active Sports Nutrition</x:v>
      </x:c>
      <x:c r="B2420" t="str">
        <x:v>NXT Nutrition</x:v>
      </x:c>
      <x:c r="C2420" t="str">
        <x:v>Beef Mass Gain</x:v>
      </x:c>
      <x:c r="D2420" t="str">
        <x:v>Supplements</x:v>
      </x:c>
      <x:c r="E2420" t="str">
        <x:v>Weight Gainers</x:v>
      </x:c>
      <x:c r="F2420" t="str"/>
      <x:c r="G2420" t="str">
        <x:v>3.15kg</x:v>
      </x:c>
      <x:c r="H2420" t="str">
        <x:v>Ice Blast</x:v>
      </x:c>
      <x:c r="I2420" t="str"/>
      <x:c r="J2420" t="str">
        <x:v>Unit</x:v>
      </x:c>
      <x:c r="K2420" t="str">
        <x:v>In stock</x:v>
      </x:c>
      <x:c r="L2420" t="str">
        <x:v>2026-09-08</x:v>
      </x:c>
      <x:c r="M2420" t="str"/>
      <x:c r="N2420" t="str"/>
      <x:c r="O2420" t="str">
        <x:v>https://www.activesportstrade.co.uk/nxt-nutrition-trade</x:v>
      </x:c>
      <x:c r="P2420" t="str">
        <x:v>Supplier FREE BCAA TABLETS wording stripped from canonical title.</x:v>
      </x:c>
      <x:c r="Q2420" t="str"/>
      <x:c r="R2420" t="str"/>
      <x:c r="S2420" t="str">
        <x:v>Pending genuine supplier/brand image</x:v>
      </x:c>
      <x:c r="T2420" s="54"/>
      <x:c r="U2420" s="47" t="n">
        <x:v>0.2</x:v>
      </x:c>
      <x:c r="V2420" s="54" t="str">
        <x:f>IF(ISNUMBER(T2420),T2420*(1+U2420),"")</x:f>
      </x:c>
      <x:c r="W2420" s="47" t="n">
        <x:v>0.3</x:v>
      </x:c>
      <x:c r="X2420" s="54" t="str">
        <x:f>IF(ISNUMBER(V2420),V2420/(1-W2420),"")</x:f>
      </x:c>
      <x:c r="Y2420" s="55" t="str">
        <x:f>IF(ISNUMBER(X2420),ROUNDUP(X2420,0),"")</x:f>
      </x:c>
      <x:c r="Z2420" t="str">
        <x:f>IF(ISNUMBER(T2420),"Cost captured","Awaiting trade cost")</x:f>
        <x:v>Awaiting trade cost</x:v>
      </x:c>
      <x:c r="AB2420" s="36" t="str">
        <x:f>IF(ISNUMBER(Y2420),ROUND(Y2420*0.9,2),"")</x:f>
      </x:c>
      <x:c r="AC2420" s="36" t="str">
        <x:f>IF(ISNUMBER(AB2420),ROUND(AB2420-(AB2420*0.015+0.2)-V2420,2),"")</x:f>
      </x:c>
      <x:c r="AD2420" s="36" t="str">
        <x:f>IF(ISNUMBER(Y2420),ROUND(Y2420*0.8,2),"")</x:f>
      </x:c>
      <x:c r="AE2420" s="36" t="str">
        <x:f>IF(ISNUMBER(AD2420),ROUND(AD2420*0.015+0.2,2),"")</x:f>
      </x:c>
      <x:c r="AF2420" s="36" t="str">
        <x:f>IF(ISNUMBER(AD2420),ROUND(AD2420-AE2420-V2420,2),"")</x:f>
      </x:c>
      <x:c r="AG2420" t="str">
        <x:f>IF(NOT(ISNUMBER(T2420)),"PENDING",IF(AF2420&gt;0,"PASS","FAIL"))</x:f>
        <x:v>PENDING</x:v>
      </x:c>
      <x:c r="AH2420" t="str">
        <x:f>IF(NOT(ISNUMBER(T2420)),"Needs supplier cost",IF(K2420&lt;&gt;"In stock","Supplier unavailable",IF(AG2420&lt;&gt;"PASS","BLOCK - GT loss risk","Commercially protected")))</x:f>
        <x:v>Needs supplier cost</x:v>
      </x:c>
      <x:c r="AI2420" t="str">
        <x:v>2026-09-10 Active Sports trade capture</x:v>
      </x:c>
      <x:c r="AJ2420" t="str">
        <x:v>Management-only economics. Stripe stress test uses 1.5% + £0.20 standard UK online-card fee; pallet/mix-and-match pricing ignored.</x:v>
      </x:c>
    </x:row>
    <x:row r="2421">
      <x:c r="A2421" t="str">
        <x:v>Active Sports Nutrition</x:v>
      </x:c>
      <x:c r="B2421" t="str">
        <x:v>NXT Nutrition</x:v>
      </x:c>
      <x:c r="C2421" t="str">
        <x:v>Beef Mass Gain</x:v>
      </x:c>
      <x:c r="D2421" t="str">
        <x:v>Supplements</x:v>
      </x:c>
      <x:c r="E2421" t="str">
        <x:v>Weight Gainers</x:v>
      </x:c>
      <x:c r="F2421" t="str"/>
      <x:c r="G2421" t="str">
        <x:v>3.15kg</x:v>
      </x:c>
      <x:c r="H2421" t="str">
        <x:v>Pineapple</x:v>
      </x:c>
      <x:c r="I2421" t="str"/>
      <x:c r="J2421" t="str">
        <x:v>Unit</x:v>
      </x:c>
      <x:c r="K2421" t="str">
        <x:v>Out of stock</x:v>
      </x:c>
      <x:c r="L2421" t="str">
        <x:v>2026-09-08</x:v>
      </x:c>
      <x:c r="M2421" t="str"/>
      <x:c r="N2421" t="str"/>
      <x:c r="O2421" t="str">
        <x:v>https://www.activesportstrade.co.uk/nxt-nutrition-trade</x:v>
      </x:c>
      <x:c r="P2421" t="str">
        <x:v>Supplier FREE BCAA TABLETS wording stripped from canonical title.</x:v>
      </x:c>
      <x:c r="Q2421" t="str"/>
      <x:c r="R2421" t="str"/>
      <x:c r="S2421" t="str">
        <x:v>Pending genuine supplier/brand image</x:v>
      </x:c>
      <x:c r="T2421" s="54"/>
      <x:c r="U2421" s="47" t="n">
        <x:v>0.2</x:v>
      </x:c>
      <x:c r="V2421" s="54" t="str">
        <x:f>IF(ISNUMBER(T2421),T2421*(1+U2421),"")</x:f>
      </x:c>
      <x:c r="W2421" s="47" t="n">
        <x:v>0.3</x:v>
      </x:c>
      <x:c r="X2421" s="54" t="str">
        <x:f>IF(ISNUMBER(V2421),V2421/(1-W2421),"")</x:f>
      </x:c>
      <x:c r="Y2421" s="55" t="str">
        <x:f>IF(ISNUMBER(X2421),ROUNDUP(X2421,0),"")</x:f>
      </x:c>
      <x:c r="Z2421" t="str">
        <x:f>IF(ISNUMBER(T2421),"Cost captured","Awaiting trade cost")</x:f>
        <x:v>Awaiting trade cost</x:v>
      </x:c>
      <x:c r="AB2421" s="36" t="str">
        <x:f>IF(ISNUMBER(Y2421),ROUND(Y2421*0.9,2),"")</x:f>
      </x:c>
      <x:c r="AC2421" s="36" t="str">
        <x:f>IF(ISNUMBER(AB2421),ROUND(AB2421-(AB2421*0.015+0.2)-V2421,2),"")</x:f>
      </x:c>
      <x:c r="AD2421" s="36" t="str">
        <x:f>IF(ISNUMBER(Y2421),ROUND(Y2421*0.8,2),"")</x:f>
      </x:c>
      <x:c r="AE2421" s="36" t="str">
        <x:f>IF(ISNUMBER(AD2421),ROUND(AD2421*0.015+0.2,2),"")</x:f>
      </x:c>
      <x:c r="AF2421" s="36" t="str">
        <x:f>IF(ISNUMBER(AD2421),ROUND(AD2421-AE2421-V2421,2),"")</x:f>
      </x:c>
      <x:c r="AG2421" t="str">
        <x:f>IF(NOT(ISNUMBER(T2421)),"PENDING",IF(AF2421&gt;0,"PASS","FAIL"))</x:f>
        <x:v>PENDING</x:v>
      </x:c>
      <x:c r="AH2421" t="str">
        <x:f>IF(NOT(ISNUMBER(T2421)),"Needs supplier cost",IF(K2421&lt;&gt;"In stock","Supplier unavailable",IF(AG2421&lt;&gt;"PASS","BLOCK - GT loss risk","Commercially protected")))</x:f>
        <x:v>Needs supplier cost</x:v>
      </x:c>
      <x:c r="AI2421" t="str">
        <x:v>2026-09-10 Active Sports trade capture</x:v>
      </x:c>
      <x:c r="AJ2421" t="str">
        <x:v>Management-only economics. Stripe stress test uses 1.5% + £0.20 standard UK online-card fee; pallet/mix-and-match pricing ignored.</x:v>
      </x:c>
    </x:row>
    <x:row r="2422">
      <x:c r="A2422" t="str">
        <x:v>Active Sports Nutrition</x:v>
      </x:c>
      <x:c r="B2422" t="str">
        <x:v>NXT Nutrition</x:v>
      </x:c>
      <x:c r="C2422" t="str">
        <x:v>Beef Mass Gain</x:v>
      </x:c>
      <x:c r="D2422" t="str">
        <x:v>Supplements</x:v>
      </x:c>
      <x:c r="E2422" t="str">
        <x:v>Weight Gainers</x:v>
      </x:c>
      <x:c r="F2422" t="str"/>
      <x:c r="G2422" t="str">
        <x:v>3.15kg</x:v>
      </x:c>
      <x:c r="H2422" t="str">
        <x:v>Watermelon &amp; Strawberry</x:v>
      </x:c>
      <x:c r="I2422" t="str"/>
      <x:c r="J2422" t="str">
        <x:v>Unit</x:v>
      </x:c>
      <x:c r="K2422" t="str">
        <x:v>Out of stock</x:v>
      </x:c>
      <x:c r="L2422" t="str">
        <x:v>2026-09-08</x:v>
      </x:c>
      <x:c r="M2422" t="str"/>
      <x:c r="N2422" t="str"/>
      <x:c r="O2422" t="str">
        <x:v>https://www.activesportstrade.co.uk/nxt-nutrition-trade</x:v>
      </x:c>
      <x:c r="P2422" t="str">
        <x:v>Supplier FREE BCAA TABLETS wording stripped from canonical title.</x:v>
      </x:c>
      <x:c r="Q2422" t="str"/>
      <x:c r="R2422" t="str"/>
      <x:c r="S2422" t="str">
        <x:v>Pending genuine supplier/brand image</x:v>
      </x:c>
      <x:c r="T2422" s="54"/>
      <x:c r="U2422" s="47" t="n">
        <x:v>0.2</x:v>
      </x:c>
      <x:c r="V2422" s="54" t="str">
        <x:f>IF(ISNUMBER(T2422),T2422*(1+U2422),"")</x:f>
      </x:c>
      <x:c r="W2422" s="47" t="n">
        <x:v>0.3</x:v>
      </x:c>
      <x:c r="X2422" s="54" t="str">
        <x:f>IF(ISNUMBER(V2422),V2422/(1-W2422),"")</x:f>
      </x:c>
      <x:c r="Y2422" s="55" t="str">
        <x:f>IF(ISNUMBER(X2422),ROUNDUP(X2422,0),"")</x:f>
      </x:c>
      <x:c r="Z2422" t="str">
        <x:f>IF(ISNUMBER(T2422),"Cost captured","Awaiting trade cost")</x:f>
        <x:v>Awaiting trade cost</x:v>
      </x:c>
      <x:c r="AB2422" s="36" t="str">
        <x:f>IF(ISNUMBER(Y2422),ROUND(Y2422*0.9,2),"")</x:f>
      </x:c>
      <x:c r="AC2422" s="36" t="str">
        <x:f>IF(ISNUMBER(AB2422),ROUND(AB2422-(AB2422*0.015+0.2)-V2422,2),"")</x:f>
      </x:c>
      <x:c r="AD2422" s="36" t="str">
        <x:f>IF(ISNUMBER(Y2422),ROUND(Y2422*0.8,2),"")</x:f>
      </x:c>
      <x:c r="AE2422" s="36" t="str">
        <x:f>IF(ISNUMBER(AD2422),ROUND(AD2422*0.015+0.2,2),"")</x:f>
      </x:c>
      <x:c r="AF2422" s="36" t="str">
        <x:f>IF(ISNUMBER(AD2422),ROUND(AD2422-AE2422-V2422,2),"")</x:f>
      </x:c>
      <x:c r="AG2422" t="str">
        <x:f>IF(NOT(ISNUMBER(T2422)),"PENDING",IF(AF2422&gt;0,"PASS","FAIL"))</x:f>
        <x:v>PENDING</x:v>
      </x:c>
      <x:c r="AH2422" t="str">
        <x:f>IF(NOT(ISNUMBER(T2422)),"Needs supplier cost",IF(K2422&lt;&gt;"In stock","Supplier unavailable",IF(AG2422&lt;&gt;"PASS","BLOCK - GT loss risk","Commercially protected")))</x:f>
        <x:v>Needs supplier cost</x:v>
      </x:c>
      <x:c r="AI2422" t="str">
        <x:v>2026-09-10 Active Sports trade capture</x:v>
      </x:c>
      <x:c r="AJ2422" t="str">
        <x:v>Management-only economics. Stripe stress test uses 1.5% + £0.20 standard UK online-card fee; pallet/mix-and-match pricing ignored.</x:v>
      </x:c>
    </x:row>
    <x:row r="2423">
      <x:c r="A2423" t="str">
        <x:v>Active Sports Nutrition</x:v>
      </x:c>
      <x:c r="B2423" t="str">
        <x:v>NXT Nutrition</x:v>
      </x:c>
      <x:c r="C2423" t="str">
        <x:v>Beef Protein Isolate</x:v>
      </x:c>
      <x:c r="D2423" t="str">
        <x:v>Supplements</x:v>
      </x:c>
      <x:c r="E2423" t="str">
        <x:v>Beef Protein</x:v>
      </x:c>
      <x:c r="F2423" t="str"/>
      <x:c r="G2423" t="str">
        <x:v>1.8kg</x:v>
      </x:c>
      <x:c r="H2423" t="str">
        <x:v>Pineapple</x:v>
      </x:c>
      <x:c r="I2423" t="str"/>
      <x:c r="J2423" t="str">
        <x:v>Unit</x:v>
      </x:c>
      <x:c r="K2423" t="str">
        <x:v>Out of stock</x:v>
      </x:c>
      <x:c r="L2423" t="str">
        <x:v>2026-09-08</x:v>
      </x:c>
      <x:c r="M2423" t="str"/>
      <x:c r="N2423" t="str"/>
      <x:c r="O2423" t="str">
        <x:v>https://www.activesportstrade.co.uk/nxt-nutrition-trade</x:v>
      </x:c>
      <x:c r="P2423" t="str"/>
      <x:c r="Q2423" t="str"/>
      <x:c r="R2423" t="str"/>
      <x:c r="S2423" t="str">
        <x:v>Pending genuine supplier/brand image</x:v>
      </x:c>
      <x:c r="T2423" s="54"/>
      <x:c r="U2423" s="47" t="n">
        <x:v>0.2</x:v>
      </x:c>
      <x:c r="V2423" s="54" t="str">
        <x:f>IF(ISNUMBER(T2423),T2423*(1+U2423),"")</x:f>
      </x:c>
      <x:c r="W2423" s="47" t="n">
        <x:v>0.3</x:v>
      </x:c>
      <x:c r="X2423" s="54" t="str">
        <x:f>IF(ISNUMBER(V2423),V2423/(1-W2423),"")</x:f>
      </x:c>
      <x:c r="Y2423" s="55" t="str">
        <x:f>IF(ISNUMBER(X2423),ROUNDUP(X2423,0),"")</x:f>
      </x:c>
      <x:c r="Z2423" t="str">
        <x:f>IF(ISNUMBER(T2423),"Cost captured","Awaiting trade cost")</x:f>
        <x:v>Awaiting trade cost</x:v>
      </x:c>
      <x:c r="AB2423" s="36" t="str">
        <x:f>IF(ISNUMBER(Y2423),ROUND(Y2423*0.9,2),"")</x:f>
      </x:c>
      <x:c r="AC2423" s="36" t="str">
        <x:f>IF(ISNUMBER(AB2423),ROUND(AB2423-(AB2423*0.015+0.2)-V2423,2),"")</x:f>
      </x:c>
      <x:c r="AD2423" s="36" t="str">
        <x:f>IF(ISNUMBER(Y2423),ROUND(Y2423*0.8,2),"")</x:f>
      </x:c>
      <x:c r="AE2423" s="36" t="str">
        <x:f>IF(ISNUMBER(AD2423),ROUND(AD2423*0.015+0.2,2),"")</x:f>
      </x:c>
      <x:c r="AF2423" s="36" t="str">
        <x:f>IF(ISNUMBER(AD2423),ROUND(AD2423-AE2423-V2423,2),"")</x:f>
      </x:c>
      <x:c r="AG2423" t="str">
        <x:f>IF(NOT(ISNUMBER(T2423)),"PENDING",IF(AF2423&gt;0,"PASS","FAIL"))</x:f>
        <x:v>PENDING</x:v>
      </x:c>
      <x:c r="AH2423" t="str">
        <x:f>IF(NOT(ISNUMBER(T2423)),"Needs supplier cost",IF(K2423&lt;&gt;"In stock","Supplier unavailable",IF(AG2423&lt;&gt;"PASS","BLOCK - GT loss risk","Commercially protected")))</x:f>
        <x:v>Needs supplier cost</x:v>
      </x:c>
      <x:c r="AI2423" t="str">
        <x:v>2026-09-10 Active Sports trade capture</x:v>
      </x:c>
      <x:c r="AJ2423" t="str">
        <x:v>Management-only economics. Stripe stress test uses 1.5% + £0.20 standard UK online-card fee; pallet/mix-and-match pricing ignored.</x:v>
      </x:c>
    </x:row>
    <x:row r="2424">
      <x:c r="A2424" t="str">
        <x:v>Active Sports Nutrition</x:v>
      </x:c>
      <x:c r="B2424" t="str">
        <x:v>NXT Nutrition</x:v>
      </x:c>
      <x:c r="C2424" t="str">
        <x:v>Beef Protein Isolate</x:v>
      </x:c>
      <x:c r="D2424" t="str">
        <x:v>Supplements</x:v>
      </x:c>
      <x:c r="E2424" t="str">
        <x:v>Beef Protein</x:v>
      </x:c>
      <x:c r="F2424" t="str"/>
      <x:c r="G2424" t="str">
        <x:v>1.8kg</x:v>
      </x:c>
      <x:c r="H2424" t="str">
        <x:v>Pineapple &amp; Grapefruit</x:v>
      </x:c>
      <x:c r="I2424" t="str"/>
      <x:c r="J2424" t="str">
        <x:v>Unit</x:v>
      </x:c>
      <x:c r="K2424" t="str">
        <x:v>Out of stock</x:v>
      </x:c>
      <x:c r="L2424" t="str">
        <x:v>2026-09-08</x:v>
      </x:c>
      <x:c r="M2424" t="str"/>
      <x:c r="N2424" t="str"/>
      <x:c r="O2424" t="str">
        <x:v>https://www.activesportstrade.co.uk/nxt-nutrition-trade</x:v>
      </x:c>
      <x:c r="P2424" t="str"/>
      <x:c r="Q2424" t="str"/>
      <x:c r="R2424" t="str"/>
      <x:c r="S2424" t="str">
        <x:v>Pending genuine supplier/brand image</x:v>
      </x:c>
      <x:c r="T2424" s="54"/>
      <x:c r="U2424" s="47" t="n">
        <x:v>0.2</x:v>
      </x:c>
      <x:c r="V2424" s="54" t="str">
        <x:f>IF(ISNUMBER(T2424),T2424*(1+U2424),"")</x:f>
      </x:c>
      <x:c r="W2424" s="47" t="n">
        <x:v>0.3</x:v>
      </x:c>
      <x:c r="X2424" s="54" t="str">
        <x:f>IF(ISNUMBER(V2424),V2424/(1-W2424),"")</x:f>
      </x:c>
      <x:c r="Y2424" s="55" t="str">
        <x:f>IF(ISNUMBER(X2424),ROUNDUP(X2424,0),"")</x:f>
      </x:c>
      <x:c r="Z2424" t="str">
        <x:f>IF(ISNUMBER(T2424),"Cost captured","Awaiting trade cost")</x:f>
        <x:v>Awaiting trade cost</x:v>
      </x:c>
      <x:c r="AB2424" s="36" t="str">
        <x:f>IF(ISNUMBER(Y2424),ROUND(Y2424*0.9,2),"")</x:f>
      </x:c>
      <x:c r="AC2424" s="36" t="str">
        <x:f>IF(ISNUMBER(AB2424),ROUND(AB2424-(AB2424*0.015+0.2)-V2424,2),"")</x:f>
      </x:c>
      <x:c r="AD2424" s="36" t="str">
        <x:f>IF(ISNUMBER(Y2424),ROUND(Y2424*0.8,2),"")</x:f>
      </x:c>
      <x:c r="AE2424" s="36" t="str">
        <x:f>IF(ISNUMBER(AD2424),ROUND(AD2424*0.015+0.2,2),"")</x:f>
      </x:c>
      <x:c r="AF2424" s="36" t="str">
        <x:f>IF(ISNUMBER(AD2424),ROUND(AD2424-AE2424-V2424,2),"")</x:f>
      </x:c>
      <x:c r="AG2424" t="str">
        <x:f>IF(NOT(ISNUMBER(T2424)),"PENDING",IF(AF2424&gt;0,"PASS","FAIL"))</x:f>
        <x:v>PENDING</x:v>
      </x:c>
      <x:c r="AH2424" t="str">
        <x:f>IF(NOT(ISNUMBER(T2424)),"Needs supplier cost",IF(K2424&lt;&gt;"In stock","Supplier unavailable",IF(AG2424&lt;&gt;"PASS","BLOCK - GT loss risk","Commercially protected")))</x:f>
        <x:v>Needs supplier cost</x:v>
      </x:c>
      <x:c r="AI2424" t="str">
        <x:v>2026-09-10 Active Sports trade capture</x:v>
      </x:c>
      <x:c r="AJ2424" t="str">
        <x:v>Management-only economics. Stripe stress test uses 1.5% + £0.20 standard UK online-card fee; pallet/mix-and-match pricing ignored.</x:v>
      </x:c>
    </x:row>
    <x:row r="2425">
      <x:c r="A2425" t="str">
        <x:v>Active Sports Nutrition</x:v>
      </x:c>
      <x:c r="B2425" t="str">
        <x:v>NXT Nutrition</x:v>
      </x:c>
      <x:c r="C2425" t="str">
        <x:v>Beef Protein Isolate</x:v>
      </x:c>
      <x:c r="D2425" t="str">
        <x:v>Supplements</x:v>
      </x:c>
      <x:c r="E2425" t="str">
        <x:v>Beef Protein</x:v>
      </x:c>
      <x:c r="F2425" t="str"/>
      <x:c r="G2425" t="str">
        <x:v>1.8kg</x:v>
      </x:c>
      <x:c r="H2425" t="str">
        <x:v>Strawberry &amp; Banana</x:v>
      </x:c>
      <x:c r="I2425" t="str"/>
      <x:c r="J2425" t="str">
        <x:v>Unit</x:v>
      </x:c>
      <x:c r="K2425" t="str">
        <x:v>In stock</x:v>
      </x:c>
      <x:c r="L2425" t="str">
        <x:v>2026-09-08</x:v>
      </x:c>
      <x:c r="M2425" t="str"/>
      <x:c r="N2425" t="str"/>
      <x:c r="O2425" t="str">
        <x:v>https://www.activesportstrade.co.uk/nxt-nutrition-trade</x:v>
      </x:c>
      <x:c r="P2425" t="str"/>
      <x:c r="Q2425" t="str"/>
      <x:c r="R2425" t="str"/>
      <x:c r="S2425" t="str">
        <x:v>Pending genuine supplier/brand image</x:v>
      </x:c>
      <x:c r="T2425" s="54"/>
      <x:c r="U2425" s="47" t="n">
        <x:v>0.2</x:v>
      </x:c>
      <x:c r="V2425" s="54" t="str">
        <x:f>IF(ISNUMBER(T2425),T2425*(1+U2425),"")</x:f>
      </x:c>
      <x:c r="W2425" s="47" t="n">
        <x:v>0.3</x:v>
      </x:c>
      <x:c r="X2425" s="54" t="str">
        <x:f>IF(ISNUMBER(V2425),V2425/(1-W2425),"")</x:f>
      </x:c>
      <x:c r="Y2425" s="55" t="str">
        <x:f>IF(ISNUMBER(X2425),ROUNDUP(X2425,0),"")</x:f>
      </x:c>
      <x:c r="Z2425" t="str">
        <x:f>IF(ISNUMBER(T2425),"Cost captured","Awaiting trade cost")</x:f>
        <x:v>Awaiting trade cost</x:v>
      </x:c>
      <x:c r="AB2425" s="36" t="str">
        <x:f>IF(ISNUMBER(Y2425),ROUND(Y2425*0.9,2),"")</x:f>
      </x:c>
      <x:c r="AC2425" s="36" t="str">
        <x:f>IF(ISNUMBER(AB2425),ROUND(AB2425-(AB2425*0.015+0.2)-V2425,2),"")</x:f>
      </x:c>
      <x:c r="AD2425" s="36" t="str">
        <x:f>IF(ISNUMBER(Y2425),ROUND(Y2425*0.8,2),"")</x:f>
      </x:c>
      <x:c r="AE2425" s="36" t="str">
        <x:f>IF(ISNUMBER(AD2425),ROUND(AD2425*0.015+0.2,2),"")</x:f>
      </x:c>
      <x:c r="AF2425" s="36" t="str">
        <x:f>IF(ISNUMBER(AD2425),ROUND(AD2425-AE2425-V2425,2),"")</x:f>
      </x:c>
      <x:c r="AG2425" t="str">
        <x:f>IF(NOT(ISNUMBER(T2425)),"PENDING",IF(AF2425&gt;0,"PASS","FAIL"))</x:f>
        <x:v>PENDING</x:v>
      </x:c>
      <x:c r="AH2425" t="str">
        <x:f>IF(NOT(ISNUMBER(T2425)),"Needs supplier cost",IF(K2425&lt;&gt;"In stock","Supplier unavailable",IF(AG2425&lt;&gt;"PASS","BLOCK - GT loss risk","Commercially protected")))</x:f>
        <x:v>Needs supplier cost</x:v>
      </x:c>
      <x:c r="AI2425" t="str">
        <x:v>2026-09-10 Active Sports trade capture</x:v>
      </x:c>
      <x:c r="AJ2425" t="str">
        <x:v>Management-only economics. Stripe stress test uses 1.5% + £0.20 standard UK online-card fee; pallet/mix-and-match pricing ignored.</x:v>
      </x:c>
    </x:row>
    <x:row r="2426">
      <x:c r="A2426" t="str">
        <x:v>Active Sports Nutrition</x:v>
      </x:c>
      <x:c r="B2426" t="str">
        <x:v>NXT Nutrition</x:v>
      </x:c>
      <x:c r="C2426" t="str">
        <x:v>Beef Protein Isolate</x:v>
      </x:c>
      <x:c r="D2426" t="str">
        <x:v>Supplements</x:v>
      </x:c>
      <x:c r="E2426" t="str">
        <x:v>Beef Protein</x:v>
      </x:c>
      <x:c r="F2426" t="str"/>
      <x:c r="G2426" t="str">
        <x:v>1.8kg</x:v>
      </x:c>
      <x:c r="H2426" t="str">
        <x:v>Strawberry Lime Crush</x:v>
      </x:c>
      <x:c r="I2426" t="str"/>
      <x:c r="J2426" t="str">
        <x:v>Unit</x:v>
      </x:c>
      <x:c r="K2426" t="str">
        <x:v>In stock</x:v>
      </x:c>
      <x:c r="L2426" t="str">
        <x:v>2026-09-08</x:v>
      </x:c>
      <x:c r="M2426" t="str"/>
      <x:c r="N2426" t="str"/>
      <x:c r="O2426" t="str">
        <x:v>https://www.activesportstrade.co.uk/nxt-nutrition-trade</x:v>
      </x:c>
      <x:c r="P2426" t="str"/>
      <x:c r="Q2426" t="str"/>
      <x:c r="R2426" t="str"/>
      <x:c r="S2426" t="str">
        <x:v>Pending genuine supplier/brand image</x:v>
      </x:c>
      <x:c r="T2426" s="54"/>
      <x:c r="U2426" s="47" t="n">
        <x:v>0.2</x:v>
      </x:c>
      <x:c r="V2426" s="54" t="str">
        <x:f>IF(ISNUMBER(T2426),T2426*(1+U2426),"")</x:f>
      </x:c>
      <x:c r="W2426" s="47" t="n">
        <x:v>0.3</x:v>
      </x:c>
      <x:c r="X2426" s="54" t="str">
        <x:f>IF(ISNUMBER(V2426),V2426/(1-W2426),"")</x:f>
      </x:c>
      <x:c r="Y2426" s="55" t="str">
        <x:f>IF(ISNUMBER(X2426),ROUNDUP(X2426,0),"")</x:f>
      </x:c>
      <x:c r="Z2426" t="str">
        <x:f>IF(ISNUMBER(T2426),"Cost captured","Awaiting trade cost")</x:f>
        <x:v>Awaiting trade cost</x:v>
      </x:c>
      <x:c r="AB2426" s="36" t="str">
        <x:f>IF(ISNUMBER(Y2426),ROUND(Y2426*0.9,2),"")</x:f>
      </x:c>
      <x:c r="AC2426" s="36" t="str">
        <x:f>IF(ISNUMBER(AB2426),ROUND(AB2426-(AB2426*0.015+0.2)-V2426,2),"")</x:f>
      </x:c>
      <x:c r="AD2426" s="36" t="str">
        <x:f>IF(ISNUMBER(Y2426),ROUND(Y2426*0.8,2),"")</x:f>
      </x:c>
      <x:c r="AE2426" s="36" t="str">
        <x:f>IF(ISNUMBER(AD2426),ROUND(AD2426*0.015+0.2,2),"")</x:f>
      </x:c>
      <x:c r="AF2426" s="36" t="str">
        <x:f>IF(ISNUMBER(AD2426),ROUND(AD2426-AE2426-V2426,2),"")</x:f>
      </x:c>
      <x:c r="AG2426" t="str">
        <x:f>IF(NOT(ISNUMBER(T2426)),"PENDING",IF(AF2426&gt;0,"PASS","FAIL"))</x:f>
        <x:v>PENDING</x:v>
      </x:c>
      <x:c r="AH2426" t="str">
        <x:f>IF(NOT(ISNUMBER(T2426)),"Needs supplier cost",IF(K2426&lt;&gt;"In stock","Supplier unavailable",IF(AG2426&lt;&gt;"PASS","BLOCK - GT loss risk","Commercially protected")))</x:f>
        <x:v>Needs supplier cost</x:v>
      </x:c>
      <x:c r="AI2426" t="str">
        <x:v>2026-09-10 Active Sports trade capture</x:v>
      </x:c>
      <x:c r="AJ2426" t="str">
        <x:v>Management-only economics. Stripe stress test uses 1.5% + £0.20 standard UK online-card fee; pallet/mix-and-match pricing ignored.</x:v>
      </x:c>
    </x:row>
    <x:row r="2427">
      <x:c r="A2427" t="str">
        <x:v>Active Sports Nutrition</x:v>
      </x:c>
      <x:c r="B2427" t="str">
        <x:v>NXT Nutrition</x:v>
      </x:c>
      <x:c r="C2427" t="str">
        <x:v>Beef Protein Isolate</x:v>
      </x:c>
      <x:c r="D2427" t="str">
        <x:v>Supplements</x:v>
      </x:c>
      <x:c r="E2427" t="str">
        <x:v>Beef Protein</x:v>
      </x:c>
      <x:c r="F2427" t="str"/>
      <x:c r="G2427" t="str">
        <x:v>1.8kg</x:v>
      </x:c>
      <x:c r="H2427" t="str">
        <x:v>Summer Fruits</x:v>
      </x:c>
      <x:c r="I2427" t="str"/>
      <x:c r="J2427" t="str">
        <x:v>Unit</x:v>
      </x:c>
      <x:c r="K2427" t="str">
        <x:v>In stock</x:v>
      </x:c>
      <x:c r="L2427" t="str">
        <x:v>2026-09-08</x:v>
      </x:c>
      <x:c r="M2427" t="str"/>
      <x:c r="N2427" t="str"/>
      <x:c r="O2427" t="str">
        <x:v>https://www.activesportstrade.co.uk/nxt-nutrition-trade</x:v>
      </x:c>
      <x:c r="P2427" t="str"/>
      <x:c r="Q2427" t="str"/>
      <x:c r="R2427" t="str"/>
      <x:c r="S2427" t="str">
        <x:v>Pending genuine supplier/brand image</x:v>
      </x:c>
      <x:c r="T2427" s="54"/>
      <x:c r="U2427" s="47" t="n">
        <x:v>0.2</x:v>
      </x:c>
      <x:c r="V2427" s="54" t="str">
        <x:f>IF(ISNUMBER(T2427),T2427*(1+U2427),"")</x:f>
      </x:c>
      <x:c r="W2427" s="47" t="n">
        <x:v>0.3</x:v>
      </x:c>
      <x:c r="X2427" s="54" t="str">
        <x:f>IF(ISNUMBER(V2427),V2427/(1-W2427),"")</x:f>
      </x:c>
      <x:c r="Y2427" s="55" t="str">
        <x:f>IF(ISNUMBER(X2427),ROUNDUP(X2427,0),"")</x:f>
      </x:c>
      <x:c r="Z2427" t="str">
        <x:f>IF(ISNUMBER(T2427),"Cost captured","Awaiting trade cost")</x:f>
        <x:v>Awaiting trade cost</x:v>
      </x:c>
      <x:c r="AB2427" s="36" t="str">
        <x:f>IF(ISNUMBER(Y2427),ROUND(Y2427*0.9,2),"")</x:f>
      </x:c>
      <x:c r="AC2427" s="36" t="str">
        <x:f>IF(ISNUMBER(AB2427),ROUND(AB2427-(AB2427*0.015+0.2)-V2427,2),"")</x:f>
      </x:c>
      <x:c r="AD2427" s="36" t="str">
        <x:f>IF(ISNUMBER(Y2427),ROUND(Y2427*0.8,2),"")</x:f>
      </x:c>
      <x:c r="AE2427" s="36" t="str">
        <x:f>IF(ISNUMBER(AD2427),ROUND(AD2427*0.015+0.2,2),"")</x:f>
      </x:c>
      <x:c r="AF2427" s="36" t="str">
        <x:f>IF(ISNUMBER(AD2427),ROUND(AD2427-AE2427-V2427,2),"")</x:f>
      </x:c>
      <x:c r="AG2427" t="str">
        <x:f>IF(NOT(ISNUMBER(T2427)),"PENDING",IF(AF2427&gt;0,"PASS","FAIL"))</x:f>
        <x:v>PENDING</x:v>
      </x:c>
      <x:c r="AH2427" t="str">
        <x:f>IF(NOT(ISNUMBER(T2427)),"Needs supplier cost",IF(K2427&lt;&gt;"In stock","Supplier unavailable",IF(AG2427&lt;&gt;"PASS","BLOCK - GT loss risk","Commercially protected")))</x:f>
        <x:v>Needs supplier cost</x:v>
      </x:c>
      <x:c r="AI2427" t="str">
        <x:v>2026-09-10 Active Sports trade capture</x:v>
      </x:c>
      <x:c r="AJ2427" t="str">
        <x:v>Management-only economics. Stripe stress test uses 1.5% + £0.20 standard UK online-card fee; pallet/mix-and-match pricing ignored.</x:v>
      </x:c>
    </x:row>
    <x:row r="2428">
      <x:c r="A2428" t="str">
        <x:v>Active Sports Nutrition</x:v>
      </x:c>
      <x:c r="B2428" t="str">
        <x:v>NXT Nutrition</x:v>
      </x:c>
      <x:c r="C2428" t="str">
        <x:v>Beef Protein Isolate</x:v>
      </x:c>
      <x:c r="D2428" t="str">
        <x:v>Supplements</x:v>
      </x:c>
      <x:c r="E2428" t="str">
        <x:v>Beef Protein</x:v>
      </x:c>
      <x:c r="F2428" t="str"/>
      <x:c r="G2428" t="str">
        <x:v>1.8kg</x:v>
      </x:c>
      <x:c r="H2428" t="str">
        <x:v>Watermelon &amp; Strawberry</x:v>
      </x:c>
      <x:c r="I2428" t="str"/>
      <x:c r="J2428" t="str">
        <x:v>Unit</x:v>
      </x:c>
      <x:c r="K2428" t="str">
        <x:v>In stock</x:v>
      </x:c>
      <x:c r="L2428" t="str">
        <x:v>2026-09-08</x:v>
      </x:c>
      <x:c r="M2428" t="str"/>
      <x:c r="N2428" t="str"/>
      <x:c r="O2428" t="str">
        <x:v>https://www.activesportstrade.co.uk/nxt-nutrition-trade</x:v>
      </x:c>
      <x:c r="P2428" t="str"/>
      <x:c r="Q2428" t="str"/>
      <x:c r="R2428" t="str"/>
      <x:c r="S2428" t="str">
        <x:v>Pending genuine supplier/brand image</x:v>
      </x:c>
      <x:c r="T2428" s="54"/>
      <x:c r="U2428" s="47" t="n">
        <x:v>0.2</x:v>
      </x:c>
      <x:c r="V2428" s="54" t="str">
        <x:f>IF(ISNUMBER(T2428),T2428*(1+U2428),"")</x:f>
      </x:c>
      <x:c r="W2428" s="47" t="n">
        <x:v>0.3</x:v>
      </x:c>
      <x:c r="X2428" s="54" t="str">
        <x:f>IF(ISNUMBER(V2428),V2428/(1-W2428),"")</x:f>
      </x:c>
      <x:c r="Y2428" s="55" t="str">
        <x:f>IF(ISNUMBER(X2428),ROUNDUP(X2428,0),"")</x:f>
      </x:c>
      <x:c r="Z2428" t="str">
        <x:f>IF(ISNUMBER(T2428),"Cost captured","Awaiting trade cost")</x:f>
        <x:v>Awaiting trade cost</x:v>
      </x:c>
      <x:c r="AB2428" s="36" t="str">
        <x:f>IF(ISNUMBER(Y2428),ROUND(Y2428*0.9,2),"")</x:f>
      </x:c>
      <x:c r="AC2428" s="36" t="str">
        <x:f>IF(ISNUMBER(AB2428),ROUND(AB2428-(AB2428*0.015+0.2)-V2428,2),"")</x:f>
      </x:c>
      <x:c r="AD2428" s="36" t="str">
        <x:f>IF(ISNUMBER(Y2428),ROUND(Y2428*0.8,2),"")</x:f>
      </x:c>
      <x:c r="AE2428" s="36" t="str">
        <x:f>IF(ISNUMBER(AD2428),ROUND(AD2428*0.015+0.2,2),"")</x:f>
      </x:c>
      <x:c r="AF2428" s="36" t="str">
        <x:f>IF(ISNUMBER(AD2428),ROUND(AD2428-AE2428-V2428,2),"")</x:f>
      </x:c>
      <x:c r="AG2428" t="str">
        <x:f>IF(NOT(ISNUMBER(T2428)),"PENDING",IF(AF2428&gt;0,"PASS","FAIL"))</x:f>
        <x:v>PENDING</x:v>
      </x:c>
      <x:c r="AH2428" t="str">
        <x:f>IF(NOT(ISNUMBER(T2428)),"Needs supplier cost",IF(K2428&lt;&gt;"In stock","Supplier unavailable",IF(AG2428&lt;&gt;"PASS","BLOCK - GT loss risk","Commercially protected")))</x:f>
        <x:v>Needs supplier cost</x:v>
      </x:c>
      <x:c r="AI2428" t="str">
        <x:v>2026-09-10 Active Sports trade capture</x:v>
      </x:c>
      <x:c r="AJ2428" t="str">
        <x:v>Management-only economics. Stripe stress test uses 1.5% + £0.20 standard UK online-card fee; pallet/mix-and-match pricing ignored.</x:v>
      </x:c>
    </x:row>
    <x:row r="2429">
      <x:c r="A2429" t="str">
        <x:v>Active Sports Nutrition</x:v>
      </x:c>
      <x:c r="B2429" t="str">
        <x:v>NXT Nutrition</x:v>
      </x:c>
      <x:c r="C2429" t="str">
        <x:v>Beef Protein Isolate</x:v>
      </x:c>
      <x:c r="D2429" t="str">
        <x:v>Supplements</x:v>
      </x:c>
      <x:c r="E2429" t="str">
        <x:v>Beef Protein</x:v>
      </x:c>
      <x:c r="F2429" t="str"/>
      <x:c r="G2429" t="str">
        <x:v>540g</x:v>
      </x:c>
      <x:c r="H2429" t="str">
        <x:v>Apple &amp; Blackcurrant</x:v>
      </x:c>
      <x:c r="I2429" t="str"/>
      <x:c r="J2429" t="str">
        <x:v>Unit</x:v>
      </x:c>
      <x:c r="K2429" t="str">
        <x:v>In stock</x:v>
      </x:c>
      <x:c r="L2429" t="str">
        <x:v>2026-09-08</x:v>
      </x:c>
      <x:c r="M2429" t="str"/>
      <x:c r="N2429" t="str"/>
      <x:c r="O2429" t="str">
        <x:v>https://www.activesportstrade.co.uk/nxt-nutrition-trade</x:v>
      </x:c>
      <x:c r="P2429" t="str"/>
      <x:c r="Q2429" t="str"/>
      <x:c r="R2429" t="str"/>
      <x:c r="S2429" t="str">
        <x:v>Pending genuine supplier/brand image</x:v>
      </x:c>
      <x:c r="T2429" s="54"/>
      <x:c r="U2429" s="47" t="n">
        <x:v>0.2</x:v>
      </x:c>
      <x:c r="V2429" s="54" t="str">
        <x:f>IF(ISNUMBER(T2429),T2429*(1+U2429),"")</x:f>
      </x:c>
      <x:c r="W2429" s="47" t="n">
        <x:v>0.3</x:v>
      </x:c>
      <x:c r="X2429" s="54" t="str">
        <x:f>IF(ISNUMBER(V2429),V2429/(1-W2429),"")</x:f>
      </x:c>
      <x:c r="Y2429" s="55" t="str">
        <x:f>IF(ISNUMBER(X2429),ROUNDUP(X2429,0),"")</x:f>
      </x:c>
      <x:c r="Z2429" t="str">
        <x:f>IF(ISNUMBER(T2429),"Cost captured","Awaiting trade cost")</x:f>
        <x:v>Awaiting trade cost</x:v>
      </x:c>
      <x:c r="AB2429" s="36" t="str">
        <x:f>IF(ISNUMBER(Y2429),ROUND(Y2429*0.9,2),"")</x:f>
      </x:c>
      <x:c r="AC2429" s="36" t="str">
        <x:f>IF(ISNUMBER(AB2429),ROUND(AB2429-(AB2429*0.015+0.2)-V2429,2),"")</x:f>
      </x:c>
      <x:c r="AD2429" s="36" t="str">
        <x:f>IF(ISNUMBER(Y2429),ROUND(Y2429*0.8,2),"")</x:f>
      </x:c>
      <x:c r="AE2429" s="36" t="str">
        <x:f>IF(ISNUMBER(AD2429),ROUND(AD2429*0.015+0.2,2),"")</x:f>
      </x:c>
      <x:c r="AF2429" s="36" t="str">
        <x:f>IF(ISNUMBER(AD2429),ROUND(AD2429-AE2429-V2429,2),"")</x:f>
      </x:c>
      <x:c r="AG2429" t="str">
        <x:f>IF(NOT(ISNUMBER(T2429)),"PENDING",IF(AF2429&gt;0,"PASS","FAIL"))</x:f>
        <x:v>PENDING</x:v>
      </x:c>
      <x:c r="AH2429" t="str">
        <x:f>IF(NOT(ISNUMBER(T2429)),"Needs supplier cost",IF(K2429&lt;&gt;"In stock","Supplier unavailable",IF(AG2429&lt;&gt;"PASS","BLOCK - GT loss risk","Commercially protected")))</x:f>
        <x:v>Needs supplier cost</x:v>
      </x:c>
      <x:c r="AI2429" t="str">
        <x:v>2026-09-10 Active Sports trade capture</x:v>
      </x:c>
      <x:c r="AJ2429" t="str">
        <x:v>Management-only economics. Stripe stress test uses 1.5% + £0.20 standard UK online-card fee; pallet/mix-and-match pricing ignored.</x:v>
      </x:c>
    </x:row>
    <x:row r="2430">
      <x:c r="A2430" t="str">
        <x:v>Active Sports Nutrition</x:v>
      </x:c>
      <x:c r="B2430" t="str">
        <x:v>NXT Nutrition</x:v>
      </x:c>
      <x:c r="C2430" t="str">
        <x:v>Beef Protein Isolate</x:v>
      </x:c>
      <x:c r="D2430" t="str">
        <x:v>Supplements</x:v>
      </x:c>
      <x:c r="E2430" t="str">
        <x:v>Beef Protein</x:v>
      </x:c>
      <x:c r="F2430" t="str"/>
      <x:c r="G2430" t="str">
        <x:v>540g</x:v>
      </x:c>
      <x:c r="H2430" t="str">
        <x:v>Blue Coconut</x:v>
      </x:c>
      <x:c r="I2430" t="str"/>
      <x:c r="J2430" t="str">
        <x:v>Unit</x:v>
      </x:c>
      <x:c r="K2430" t="str">
        <x:v>In stock</x:v>
      </x:c>
      <x:c r="L2430" t="str">
        <x:v>2026-09-08</x:v>
      </x:c>
      <x:c r="M2430" t="str"/>
      <x:c r="N2430" t="str"/>
      <x:c r="O2430" t="str">
        <x:v>https://www.activesportstrade.co.uk/nxt-nutrition-trade</x:v>
      </x:c>
      <x:c r="P2430" t="str"/>
      <x:c r="Q2430" t="str"/>
      <x:c r="R2430" t="str"/>
      <x:c r="S2430" t="str">
        <x:v>Pending genuine supplier/brand image</x:v>
      </x:c>
      <x:c r="T2430" s="54"/>
      <x:c r="U2430" s="47" t="n">
        <x:v>0.2</x:v>
      </x:c>
      <x:c r="V2430" s="54" t="str">
        <x:f>IF(ISNUMBER(T2430),T2430*(1+U2430),"")</x:f>
      </x:c>
      <x:c r="W2430" s="47" t="n">
        <x:v>0.3</x:v>
      </x:c>
      <x:c r="X2430" s="54" t="str">
        <x:f>IF(ISNUMBER(V2430),V2430/(1-W2430),"")</x:f>
      </x:c>
      <x:c r="Y2430" s="55" t="str">
        <x:f>IF(ISNUMBER(X2430),ROUNDUP(X2430,0),"")</x:f>
      </x:c>
      <x:c r="Z2430" t="str">
        <x:f>IF(ISNUMBER(T2430),"Cost captured","Awaiting trade cost")</x:f>
        <x:v>Awaiting trade cost</x:v>
      </x:c>
      <x:c r="AB2430" s="36" t="str">
        <x:f>IF(ISNUMBER(Y2430),ROUND(Y2430*0.9,2),"")</x:f>
      </x:c>
      <x:c r="AC2430" s="36" t="str">
        <x:f>IF(ISNUMBER(AB2430),ROUND(AB2430-(AB2430*0.015+0.2)-V2430,2),"")</x:f>
      </x:c>
      <x:c r="AD2430" s="36" t="str">
        <x:f>IF(ISNUMBER(Y2430),ROUND(Y2430*0.8,2),"")</x:f>
      </x:c>
      <x:c r="AE2430" s="36" t="str">
        <x:f>IF(ISNUMBER(AD2430),ROUND(AD2430*0.015+0.2,2),"")</x:f>
      </x:c>
      <x:c r="AF2430" s="36" t="str">
        <x:f>IF(ISNUMBER(AD2430),ROUND(AD2430-AE2430-V2430,2),"")</x:f>
      </x:c>
      <x:c r="AG2430" t="str">
        <x:f>IF(NOT(ISNUMBER(T2430)),"PENDING",IF(AF2430&gt;0,"PASS","FAIL"))</x:f>
        <x:v>PENDING</x:v>
      </x:c>
      <x:c r="AH2430" t="str">
        <x:f>IF(NOT(ISNUMBER(T2430)),"Needs supplier cost",IF(K2430&lt;&gt;"In stock","Supplier unavailable",IF(AG2430&lt;&gt;"PASS","BLOCK - GT loss risk","Commercially protected")))</x:f>
        <x:v>Needs supplier cost</x:v>
      </x:c>
      <x:c r="AI2430" t="str">
        <x:v>2026-09-10 Active Sports trade capture</x:v>
      </x:c>
      <x:c r="AJ2430" t="str">
        <x:v>Management-only economics. Stripe stress test uses 1.5% + £0.20 standard UK online-card fee; pallet/mix-and-match pricing ignored.</x:v>
      </x:c>
    </x:row>
    <x:row r="2431">
      <x:c r="A2431" t="str">
        <x:v>Active Sports Nutrition</x:v>
      </x:c>
      <x:c r="B2431" t="str">
        <x:v>NXT Nutrition</x:v>
      </x:c>
      <x:c r="C2431" t="str">
        <x:v>Beef Protein Isolate</x:v>
      </x:c>
      <x:c r="D2431" t="str">
        <x:v>Supplements</x:v>
      </x:c>
      <x:c r="E2431" t="str">
        <x:v>Beef Protein</x:v>
      </x:c>
      <x:c r="F2431" t="str"/>
      <x:c r="G2431" t="str">
        <x:v>540g</x:v>
      </x:c>
      <x:c r="H2431" t="str">
        <x:v>Blue Raspberry</x:v>
      </x:c>
      <x:c r="I2431" t="str"/>
      <x:c r="J2431" t="str">
        <x:v>Unit</x:v>
      </x:c>
      <x:c r="K2431" t="str">
        <x:v>Out of stock</x:v>
      </x:c>
      <x:c r="L2431" t="str">
        <x:v>2026-09-08</x:v>
      </x:c>
      <x:c r="M2431" t="str"/>
      <x:c r="N2431" t="str"/>
      <x:c r="O2431" t="str">
        <x:v>https://www.activesportstrade.co.uk/nxt-nutrition-trade</x:v>
      </x:c>
      <x:c r="P2431" t="str"/>
      <x:c r="Q2431" t="str"/>
      <x:c r="R2431" t="str"/>
      <x:c r="S2431" t="str">
        <x:v>Pending genuine supplier/brand image</x:v>
      </x:c>
      <x:c r="T2431" s="54"/>
      <x:c r="U2431" s="47" t="n">
        <x:v>0.2</x:v>
      </x:c>
      <x:c r="V2431" s="54" t="str">
        <x:f>IF(ISNUMBER(T2431),T2431*(1+U2431),"")</x:f>
      </x:c>
      <x:c r="W2431" s="47" t="n">
        <x:v>0.3</x:v>
      </x:c>
      <x:c r="X2431" s="54" t="str">
        <x:f>IF(ISNUMBER(V2431),V2431/(1-W2431),"")</x:f>
      </x:c>
      <x:c r="Y2431" s="55" t="str">
        <x:f>IF(ISNUMBER(X2431),ROUNDUP(X2431,0),"")</x:f>
      </x:c>
      <x:c r="Z2431" t="str">
        <x:f>IF(ISNUMBER(T2431),"Cost captured","Awaiting trade cost")</x:f>
        <x:v>Awaiting trade cost</x:v>
      </x:c>
      <x:c r="AB2431" s="36" t="str">
        <x:f>IF(ISNUMBER(Y2431),ROUND(Y2431*0.9,2),"")</x:f>
      </x:c>
      <x:c r="AC2431" s="36" t="str">
        <x:f>IF(ISNUMBER(AB2431),ROUND(AB2431-(AB2431*0.015+0.2)-V2431,2),"")</x:f>
      </x:c>
      <x:c r="AD2431" s="36" t="str">
        <x:f>IF(ISNUMBER(Y2431),ROUND(Y2431*0.8,2),"")</x:f>
      </x:c>
      <x:c r="AE2431" s="36" t="str">
        <x:f>IF(ISNUMBER(AD2431),ROUND(AD2431*0.015+0.2,2),"")</x:f>
      </x:c>
      <x:c r="AF2431" s="36" t="str">
        <x:f>IF(ISNUMBER(AD2431),ROUND(AD2431-AE2431-V2431,2),"")</x:f>
      </x:c>
      <x:c r="AG2431" t="str">
        <x:f>IF(NOT(ISNUMBER(T2431)),"PENDING",IF(AF2431&gt;0,"PASS","FAIL"))</x:f>
        <x:v>PENDING</x:v>
      </x:c>
      <x:c r="AH2431" t="str">
        <x:f>IF(NOT(ISNUMBER(T2431)),"Needs supplier cost",IF(K2431&lt;&gt;"In stock","Supplier unavailable",IF(AG2431&lt;&gt;"PASS","BLOCK - GT loss risk","Commercially protected")))</x:f>
        <x:v>Needs supplier cost</x:v>
      </x:c>
      <x:c r="AI2431" t="str">
        <x:v>2026-09-10 Active Sports trade capture</x:v>
      </x:c>
      <x:c r="AJ2431" t="str">
        <x:v>Management-only economics. Stripe stress test uses 1.5% + £0.20 standard UK online-card fee; pallet/mix-and-match pricing ignored.</x:v>
      </x:c>
    </x:row>
    <x:row r="2432">
      <x:c r="A2432" t="str">
        <x:v>Active Sports Nutrition</x:v>
      </x:c>
      <x:c r="B2432" t="str">
        <x:v>NXT Nutrition</x:v>
      </x:c>
      <x:c r="C2432" t="str">
        <x:v>Beef Protein Isolate</x:v>
      </x:c>
      <x:c r="D2432" t="str">
        <x:v>Supplements</x:v>
      </x:c>
      <x:c r="E2432" t="str">
        <x:v>Beef Protein</x:v>
      </x:c>
      <x:c r="F2432" t="str"/>
      <x:c r="G2432" t="str">
        <x:v>540g</x:v>
      </x:c>
      <x:c r="H2432" t="str">
        <x:v>Caramel Latte</x:v>
      </x:c>
      <x:c r="I2432" t="str"/>
      <x:c r="J2432" t="str">
        <x:v>Unit</x:v>
      </x:c>
      <x:c r="K2432" t="str">
        <x:v>In stock</x:v>
      </x:c>
      <x:c r="L2432" t="str">
        <x:v>2026-09-08</x:v>
      </x:c>
      <x:c r="M2432" t="str"/>
      <x:c r="N2432" t="str"/>
      <x:c r="O2432" t="str">
        <x:v>https://www.activesportstrade.co.uk/nxt-nutrition-trade</x:v>
      </x:c>
      <x:c r="P2432" t="str"/>
      <x:c r="Q2432" t="str"/>
      <x:c r="R2432" t="str"/>
      <x:c r="S2432" t="str">
        <x:v>Pending genuine supplier/brand image</x:v>
      </x:c>
      <x:c r="T2432" s="54"/>
      <x:c r="U2432" s="47" t="n">
        <x:v>0.2</x:v>
      </x:c>
      <x:c r="V2432" s="54" t="str">
        <x:f>IF(ISNUMBER(T2432),T2432*(1+U2432),"")</x:f>
      </x:c>
      <x:c r="W2432" s="47" t="n">
        <x:v>0.3</x:v>
      </x:c>
      <x:c r="X2432" s="54" t="str">
        <x:f>IF(ISNUMBER(V2432),V2432/(1-W2432),"")</x:f>
      </x:c>
      <x:c r="Y2432" s="55" t="str">
        <x:f>IF(ISNUMBER(X2432),ROUNDUP(X2432,0),"")</x:f>
      </x:c>
      <x:c r="Z2432" t="str">
        <x:f>IF(ISNUMBER(T2432),"Cost captured","Awaiting trade cost")</x:f>
        <x:v>Awaiting trade cost</x:v>
      </x:c>
      <x:c r="AB2432" s="36" t="str">
        <x:f>IF(ISNUMBER(Y2432),ROUND(Y2432*0.9,2),"")</x:f>
      </x:c>
      <x:c r="AC2432" s="36" t="str">
        <x:f>IF(ISNUMBER(AB2432),ROUND(AB2432-(AB2432*0.015+0.2)-V2432,2),"")</x:f>
      </x:c>
      <x:c r="AD2432" s="36" t="str">
        <x:f>IF(ISNUMBER(Y2432),ROUND(Y2432*0.8,2),"")</x:f>
      </x:c>
      <x:c r="AE2432" s="36" t="str">
        <x:f>IF(ISNUMBER(AD2432),ROUND(AD2432*0.015+0.2,2),"")</x:f>
      </x:c>
      <x:c r="AF2432" s="36" t="str">
        <x:f>IF(ISNUMBER(AD2432),ROUND(AD2432-AE2432-V2432,2),"")</x:f>
      </x:c>
      <x:c r="AG2432" t="str">
        <x:f>IF(NOT(ISNUMBER(T2432)),"PENDING",IF(AF2432&gt;0,"PASS","FAIL"))</x:f>
        <x:v>PENDING</x:v>
      </x:c>
      <x:c r="AH2432" t="str">
        <x:f>IF(NOT(ISNUMBER(T2432)),"Needs supplier cost",IF(K2432&lt;&gt;"In stock","Supplier unavailable",IF(AG2432&lt;&gt;"PASS","BLOCK - GT loss risk","Commercially protected")))</x:f>
        <x:v>Needs supplier cost</x:v>
      </x:c>
      <x:c r="AI2432" t="str">
        <x:v>2026-09-10 Active Sports trade capture</x:v>
      </x:c>
      <x:c r="AJ2432" t="str">
        <x:v>Management-only economics. Stripe stress test uses 1.5% + £0.20 standard UK online-card fee; pallet/mix-and-match pricing ignored.</x:v>
      </x:c>
    </x:row>
    <x:row r="2433">
      <x:c r="A2433" t="str">
        <x:v>Active Sports Nutrition</x:v>
      </x:c>
      <x:c r="B2433" t="str">
        <x:v>NXT Nutrition</x:v>
      </x:c>
      <x:c r="C2433" t="str">
        <x:v>Beef Protein Isolate</x:v>
      </x:c>
      <x:c r="D2433" t="str">
        <x:v>Supplements</x:v>
      </x:c>
      <x:c r="E2433" t="str">
        <x:v>Beef Protein</x:v>
      </x:c>
      <x:c r="F2433" t="str"/>
      <x:c r="G2433" t="str">
        <x:v>540g</x:v>
      </x:c>
      <x:c r="H2433" t="str">
        <x:v>Cherry Cola</x:v>
      </x:c>
      <x:c r="I2433" t="str"/>
      <x:c r="J2433" t="str">
        <x:v>Unit</x:v>
      </x:c>
      <x:c r="K2433" t="str">
        <x:v>In stock</x:v>
      </x:c>
      <x:c r="L2433" t="str">
        <x:v>2026-09-08</x:v>
      </x:c>
      <x:c r="M2433" t="str"/>
      <x:c r="N2433" t="str"/>
      <x:c r="O2433" t="str">
        <x:v>https://www.activesportstrade.co.uk/nxt-nutrition-trade</x:v>
      </x:c>
      <x:c r="P2433" t="str"/>
      <x:c r="Q2433" t="str"/>
      <x:c r="R2433" t="str"/>
      <x:c r="S2433" t="str">
        <x:v>Pending genuine supplier/brand image</x:v>
      </x:c>
      <x:c r="T2433" s="54"/>
      <x:c r="U2433" s="47" t="n">
        <x:v>0.2</x:v>
      </x:c>
      <x:c r="V2433" s="54" t="str">
        <x:f>IF(ISNUMBER(T2433),T2433*(1+U2433),"")</x:f>
      </x:c>
      <x:c r="W2433" s="47" t="n">
        <x:v>0.3</x:v>
      </x:c>
      <x:c r="X2433" s="54" t="str">
        <x:f>IF(ISNUMBER(V2433),V2433/(1-W2433),"")</x:f>
      </x:c>
      <x:c r="Y2433" s="55" t="str">
        <x:f>IF(ISNUMBER(X2433),ROUNDUP(X2433,0),"")</x:f>
      </x:c>
      <x:c r="Z2433" t="str">
        <x:f>IF(ISNUMBER(T2433),"Cost captured","Awaiting trade cost")</x:f>
        <x:v>Awaiting trade cost</x:v>
      </x:c>
      <x:c r="AB2433" s="36" t="str">
        <x:f>IF(ISNUMBER(Y2433),ROUND(Y2433*0.9,2),"")</x:f>
      </x:c>
      <x:c r="AC2433" s="36" t="str">
        <x:f>IF(ISNUMBER(AB2433),ROUND(AB2433-(AB2433*0.015+0.2)-V2433,2),"")</x:f>
      </x:c>
      <x:c r="AD2433" s="36" t="str">
        <x:f>IF(ISNUMBER(Y2433),ROUND(Y2433*0.8,2),"")</x:f>
      </x:c>
      <x:c r="AE2433" s="36" t="str">
        <x:f>IF(ISNUMBER(AD2433),ROUND(AD2433*0.015+0.2,2),"")</x:f>
      </x:c>
      <x:c r="AF2433" s="36" t="str">
        <x:f>IF(ISNUMBER(AD2433),ROUND(AD2433-AE2433-V2433,2),"")</x:f>
      </x:c>
      <x:c r="AG2433" t="str">
        <x:f>IF(NOT(ISNUMBER(T2433)),"PENDING",IF(AF2433&gt;0,"PASS","FAIL"))</x:f>
        <x:v>PENDING</x:v>
      </x:c>
      <x:c r="AH2433" t="str">
        <x:f>IF(NOT(ISNUMBER(T2433)),"Needs supplier cost",IF(K2433&lt;&gt;"In stock","Supplier unavailable",IF(AG2433&lt;&gt;"PASS","BLOCK - GT loss risk","Commercially protected")))</x:f>
        <x:v>Needs supplier cost</x:v>
      </x:c>
      <x:c r="AI2433" t="str">
        <x:v>2026-09-10 Active Sports trade capture</x:v>
      </x:c>
      <x:c r="AJ2433" t="str">
        <x:v>Management-only economics. Stripe stress test uses 1.5% + £0.20 standard UK online-card fee; pallet/mix-and-match pricing ignored.</x:v>
      </x:c>
    </x:row>
    <x:row r="2434">
      <x:c r="A2434" t="str">
        <x:v>Active Sports Nutrition</x:v>
      </x:c>
      <x:c r="B2434" t="str">
        <x:v>NXT Nutrition</x:v>
      </x:c>
      <x:c r="C2434" t="str">
        <x:v>Beef Protein Isolate</x:v>
      </x:c>
      <x:c r="D2434" t="str">
        <x:v>Supplements</x:v>
      </x:c>
      <x:c r="E2434" t="str">
        <x:v>Beef Protein</x:v>
      </x:c>
      <x:c r="F2434" t="str"/>
      <x:c r="G2434" t="str">
        <x:v>540g</x:v>
      </x:c>
      <x:c r="H2434" t="str">
        <x:v>Cherryade</x:v>
      </x:c>
      <x:c r="I2434" t="str"/>
      <x:c r="J2434" t="str">
        <x:v>Unit</x:v>
      </x:c>
      <x:c r="K2434" t="str">
        <x:v>Out of stock</x:v>
      </x:c>
      <x:c r="L2434" t="str">
        <x:v>2026-09-08</x:v>
      </x:c>
      <x:c r="M2434" t="str"/>
      <x:c r="N2434" t="str"/>
      <x:c r="O2434" t="str">
        <x:v>https://www.activesportstrade.co.uk/nxt-nutrition-trade</x:v>
      </x:c>
      <x:c r="P2434" t="str"/>
      <x:c r="Q2434" t="str"/>
      <x:c r="R2434" t="str"/>
      <x:c r="S2434" t="str">
        <x:v>Pending genuine supplier/brand image</x:v>
      </x:c>
      <x:c r="T2434" s="54"/>
      <x:c r="U2434" s="47" t="n">
        <x:v>0.2</x:v>
      </x:c>
      <x:c r="V2434" s="54" t="str">
        <x:f>IF(ISNUMBER(T2434),T2434*(1+U2434),"")</x:f>
      </x:c>
      <x:c r="W2434" s="47" t="n">
        <x:v>0.3</x:v>
      </x:c>
      <x:c r="X2434" s="54" t="str">
        <x:f>IF(ISNUMBER(V2434),V2434/(1-W2434),"")</x:f>
      </x:c>
      <x:c r="Y2434" s="55" t="str">
        <x:f>IF(ISNUMBER(X2434),ROUNDUP(X2434,0),"")</x:f>
      </x:c>
      <x:c r="Z2434" t="str">
        <x:f>IF(ISNUMBER(T2434),"Cost captured","Awaiting trade cost")</x:f>
        <x:v>Awaiting trade cost</x:v>
      </x:c>
      <x:c r="AB2434" s="36" t="str">
        <x:f>IF(ISNUMBER(Y2434),ROUND(Y2434*0.9,2),"")</x:f>
      </x:c>
      <x:c r="AC2434" s="36" t="str">
        <x:f>IF(ISNUMBER(AB2434),ROUND(AB2434-(AB2434*0.015+0.2)-V2434,2),"")</x:f>
      </x:c>
      <x:c r="AD2434" s="36" t="str">
        <x:f>IF(ISNUMBER(Y2434),ROUND(Y2434*0.8,2),"")</x:f>
      </x:c>
      <x:c r="AE2434" s="36" t="str">
        <x:f>IF(ISNUMBER(AD2434),ROUND(AD2434*0.015+0.2,2),"")</x:f>
      </x:c>
      <x:c r="AF2434" s="36" t="str">
        <x:f>IF(ISNUMBER(AD2434),ROUND(AD2434-AE2434-V2434,2),"")</x:f>
      </x:c>
      <x:c r="AG2434" t="str">
        <x:f>IF(NOT(ISNUMBER(T2434)),"PENDING",IF(AF2434&gt;0,"PASS","FAIL"))</x:f>
        <x:v>PENDING</x:v>
      </x:c>
      <x:c r="AH2434" t="str">
        <x:f>IF(NOT(ISNUMBER(T2434)),"Needs supplier cost",IF(K2434&lt;&gt;"In stock","Supplier unavailable",IF(AG2434&lt;&gt;"PASS","BLOCK - GT loss risk","Commercially protected")))</x:f>
        <x:v>Needs supplier cost</x:v>
      </x:c>
      <x:c r="AI2434" t="str">
        <x:v>2026-09-10 Active Sports trade capture</x:v>
      </x:c>
      <x:c r="AJ2434" t="str">
        <x:v>Management-only economics. Stripe stress test uses 1.5% + £0.20 standard UK online-card fee; pallet/mix-and-match pricing ignored.</x:v>
      </x:c>
    </x:row>
    <x:row r="2435">
      <x:c r="A2435" t="str">
        <x:v>Active Sports Nutrition</x:v>
      </x:c>
      <x:c r="B2435" t="str">
        <x:v>NXT Nutrition</x:v>
      </x:c>
      <x:c r="C2435" t="str">
        <x:v>Beef Protein Isolate</x:v>
      </x:c>
      <x:c r="D2435" t="str">
        <x:v>Supplements</x:v>
      </x:c>
      <x:c r="E2435" t="str">
        <x:v>Beef Protein</x:v>
      </x:c>
      <x:c r="F2435" t="str"/>
      <x:c r="G2435" t="str">
        <x:v>540g</x:v>
      </x:c>
      <x:c r="H2435" t="str">
        <x:v>Cola</x:v>
      </x:c>
      <x:c r="I2435" t="str"/>
      <x:c r="J2435" t="str">
        <x:v>Unit</x:v>
      </x:c>
      <x:c r="K2435" t="str">
        <x:v>Out of stock</x:v>
      </x:c>
      <x:c r="L2435" t="str">
        <x:v>2026-09-08</x:v>
      </x:c>
      <x:c r="M2435" t="str"/>
      <x:c r="N2435" t="str"/>
      <x:c r="O2435" t="str">
        <x:v>https://www.activesportstrade.co.uk/nxt-nutrition-trade</x:v>
      </x:c>
      <x:c r="P2435" t="str"/>
      <x:c r="Q2435" t="str"/>
      <x:c r="R2435" t="str"/>
      <x:c r="S2435" t="str">
        <x:v>Pending genuine supplier/brand image</x:v>
      </x:c>
      <x:c r="T2435" s="54"/>
      <x:c r="U2435" s="47" t="n">
        <x:v>0.2</x:v>
      </x:c>
      <x:c r="V2435" s="54" t="str">
        <x:f>IF(ISNUMBER(T2435),T2435*(1+U2435),"")</x:f>
      </x:c>
      <x:c r="W2435" s="47" t="n">
        <x:v>0.3</x:v>
      </x:c>
      <x:c r="X2435" s="54" t="str">
        <x:f>IF(ISNUMBER(V2435),V2435/(1-W2435),"")</x:f>
      </x:c>
      <x:c r="Y2435" s="55" t="str">
        <x:f>IF(ISNUMBER(X2435),ROUNDUP(X2435,0),"")</x:f>
      </x:c>
      <x:c r="Z2435" t="str">
        <x:f>IF(ISNUMBER(T2435),"Cost captured","Awaiting trade cost")</x:f>
        <x:v>Awaiting trade cost</x:v>
      </x:c>
      <x:c r="AB2435" s="36" t="str">
        <x:f>IF(ISNUMBER(Y2435),ROUND(Y2435*0.9,2),"")</x:f>
      </x:c>
      <x:c r="AC2435" s="36" t="str">
        <x:f>IF(ISNUMBER(AB2435),ROUND(AB2435-(AB2435*0.015+0.2)-V2435,2),"")</x:f>
      </x:c>
      <x:c r="AD2435" s="36" t="str">
        <x:f>IF(ISNUMBER(Y2435),ROUND(Y2435*0.8,2),"")</x:f>
      </x:c>
      <x:c r="AE2435" s="36" t="str">
        <x:f>IF(ISNUMBER(AD2435),ROUND(AD2435*0.015+0.2,2),"")</x:f>
      </x:c>
      <x:c r="AF2435" s="36" t="str">
        <x:f>IF(ISNUMBER(AD2435),ROUND(AD2435-AE2435-V2435,2),"")</x:f>
      </x:c>
      <x:c r="AG2435" t="str">
        <x:f>IF(NOT(ISNUMBER(T2435)),"PENDING",IF(AF2435&gt;0,"PASS","FAIL"))</x:f>
        <x:v>PENDING</x:v>
      </x:c>
      <x:c r="AH2435" t="str">
        <x:f>IF(NOT(ISNUMBER(T2435)),"Needs supplier cost",IF(K2435&lt;&gt;"In stock","Supplier unavailable",IF(AG2435&lt;&gt;"PASS","BLOCK - GT loss risk","Commercially protected")))</x:f>
        <x:v>Needs supplier cost</x:v>
      </x:c>
      <x:c r="AI2435" t="str">
        <x:v>2026-09-10 Active Sports trade capture</x:v>
      </x:c>
      <x:c r="AJ2435" t="str">
        <x:v>Management-only economics. Stripe stress test uses 1.5% + £0.20 standard UK online-card fee; pallet/mix-and-match pricing ignored.</x:v>
      </x:c>
    </x:row>
    <x:row r="2436">
      <x:c r="A2436" t="str">
        <x:v>Active Sports Nutrition</x:v>
      </x:c>
      <x:c r="B2436" t="str">
        <x:v>NXT Nutrition</x:v>
      </x:c>
      <x:c r="C2436" t="str">
        <x:v>Beef Protein Isolate</x:v>
      </x:c>
      <x:c r="D2436" t="str">
        <x:v>Supplements</x:v>
      </x:c>
      <x:c r="E2436" t="str">
        <x:v>Beef Protein</x:v>
      </x:c>
      <x:c r="F2436" t="str"/>
      <x:c r="G2436" t="str">
        <x:v>540g</x:v>
      </x:c>
      <x:c r="H2436" t="str">
        <x:v>Fruit Burst</x:v>
      </x:c>
      <x:c r="I2436" t="str"/>
      <x:c r="J2436" t="str">
        <x:v>Unit</x:v>
      </x:c>
      <x:c r="K2436" t="str">
        <x:v>Out of stock</x:v>
      </x:c>
      <x:c r="L2436" t="str">
        <x:v>2026-09-08</x:v>
      </x:c>
      <x:c r="M2436" t="str"/>
      <x:c r="N2436" t="str"/>
      <x:c r="O2436" t="str">
        <x:v>https://www.activesportstrade.co.uk/nxt-nutrition-trade</x:v>
      </x:c>
      <x:c r="P2436" t="str"/>
      <x:c r="Q2436" t="str"/>
      <x:c r="R2436" t="str"/>
      <x:c r="S2436" t="str">
        <x:v>Pending genuine supplier/brand image</x:v>
      </x:c>
      <x:c r="T2436" s="54"/>
      <x:c r="U2436" s="47" t="n">
        <x:v>0.2</x:v>
      </x:c>
      <x:c r="V2436" s="54" t="str">
        <x:f>IF(ISNUMBER(T2436),T2436*(1+U2436),"")</x:f>
      </x:c>
      <x:c r="W2436" s="47" t="n">
        <x:v>0.3</x:v>
      </x:c>
      <x:c r="X2436" s="54" t="str">
        <x:f>IF(ISNUMBER(V2436),V2436/(1-W2436),"")</x:f>
      </x:c>
      <x:c r="Y2436" s="55" t="str">
        <x:f>IF(ISNUMBER(X2436),ROUNDUP(X2436,0),"")</x:f>
      </x:c>
      <x:c r="Z2436" t="str">
        <x:f>IF(ISNUMBER(T2436),"Cost captured","Awaiting trade cost")</x:f>
        <x:v>Awaiting trade cost</x:v>
      </x:c>
      <x:c r="AB2436" s="36" t="str">
        <x:f>IF(ISNUMBER(Y2436),ROUND(Y2436*0.9,2),"")</x:f>
      </x:c>
      <x:c r="AC2436" s="36" t="str">
        <x:f>IF(ISNUMBER(AB2436),ROUND(AB2436-(AB2436*0.015+0.2)-V2436,2),"")</x:f>
      </x:c>
      <x:c r="AD2436" s="36" t="str">
        <x:f>IF(ISNUMBER(Y2436),ROUND(Y2436*0.8,2),"")</x:f>
      </x:c>
      <x:c r="AE2436" s="36" t="str">
        <x:f>IF(ISNUMBER(AD2436),ROUND(AD2436*0.015+0.2,2),"")</x:f>
      </x:c>
      <x:c r="AF2436" s="36" t="str">
        <x:f>IF(ISNUMBER(AD2436),ROUND(AD2436-AE2436-V2436,2),"")</x:f>
      </x:c>
      <x:c r="AG2436" t="str">
        <x:f>IF(NOT(ISNUMBER(T2436)),"PENDING",IF(AF2436&gt;0,"PASS","FAIL"))</x:f>
        <x:v>PENDING</x:v>
      </x:c>
      <x:c r="AH2436" t="str">
        <x:f>IF(NOT(ISNUMBER(T2436)),"Needs supplier cost",IF(K2436&lt;&gt;"In stock","Supplier unavailable",IF(AG2436&lt;&gt;"PASS","BLOCK - GT loss risk","Commercially protected")))</x:f>
        <x:v>Needs supplier cost</x:v>
      </x:c>
      <x:c r="AI2436" t="str">
        <x:v>2026-09-10 Active Sports trade capture</x:v>
      </x:c>
      <x:c r="AJ2436" t="str">
        <x:v>Management-only economics. Stripe stress test uses 1.5% + £0.20 standard UK online-card fee; pallet/mix-and-match pricing ignored.</x:v>
      </x:c>
    </x:row>
    <x:row r="2437">
      <x:c r="A2437" t="str">
        <x:v>Active Sports Nutrition</x:v>
      </x:c>
      <x:c r="B2437" t="str">
        <x:v>NXT Nutrition</x:v>
      </x:c>
      <x:c r="C2437" t="str">
        <x:v>Beef Protein Isolate</x:v>
      </x:c>
      <x:c r="D2437" t="str">
        <x:v>Supplements</x:v>
      </x:c>
      <x:c r="E2437" t="str">
        <x:v>Beef Protein</x:v>
      </x:c>
      <x:c r="F2437" t="str"/>
      <x:c r="G2437" t="str">
        <x:v>540g</x:v>
      </x:c>
      <x:c r="H2437" t="str">
        <x:v>Fruit of the Forest</x:v>
      </x:c>
      <x:c r="I2437" t="str"/>
      <x:c r="J2437" t="str">
        <x:v>Unit</x:v>
      </x:c>
      <x:c r="K2437" t="str">
        <x:v>Out of stock</x:v>
      </x:c>
      <x:c r="L2437" t="str">
        <x:v>2026-09-08</x:v>
      </x:c>
      <x:c r="M2437" t="str"/>
      <x:c r="N2437" t="str"/>
      <x:c r="O2437" t="str">
        <x:v>https://www.activesportstrade.co.uk/nxt-nutrition-trade</x:v>
      </x:c>
      <x:c r="P2437" t="str"/>
      <x:c r="Q2437" t="str"/>
      <x:c r="R2437" t="str"/>
      <x:c r="S2437" t="str">
        <x:v>Pending genuine supplier/brand image</x:v>
      </x:c>
      <x:c r="T2437" s="54"/>
      <x:c r="U2437" s="47" t="n">
        <x:v>0.2</x:v>
      </x:c>
      <x:c r="V2437" s="54" t="str">
        <x:f>IF(ISNUMBER(T2437),T2437*(1+U2437),"")</x:f>
      </x:c>
      <x:c r="W2437" s="47" t="n">
        <x:v>0.3</x:v>
      </x:c>
      <x:c r="X2437" s="54" t="str">
        <x:f>IF(ISNUMBER(V2437),V2437/(1-W2437),"")</x:f>
      </x:c>
      <x:c r="Y2437" s="55" t="str">
        <x:f>IF(ISNUMBER(X2437),ROUNDUP(X2437,0),"")</x:f>
      </x:c>
      <x:c r="Z2437" t="str">
        <x:f>IF(ISNUMBER(T2437),"Cost captured","Awaiting trade cost")</x:f>
        <x:v>Awaiting trade cost</x:v>
      </x:c>
      <x:c r="AB2437" s="36" t="str">
        <x:f>IF(ISNUMBER(Y2437),ROUND(Y2437*0.9,2),"")</x:f>
      </x:c>
      <x:c r="AC2437" s="36" t="str">
        <x:f>IF(ISNUMBER(AB2437),ROUND(AB2437-(AB2437*0.015+0.2)-V2437,2),"")</x:f>
      </x:c>
      <x:c r="AD2437" s="36" t="str">
        <x:f>IF(ISNUMBER(Y2437),ROUND(Y2437*0.8,2),"")</x:f>
      </x:c>
      <x:c r="AE2437" s="36" t="str">
        <x:f>IF(ISNUMBER(AD2437),ROUND(AD2437*0.015+0.2,2),"")</x:f>
      </x:c>
      <x:c r="AF2437" s="36" t="str">
        <x:f>IF(ISNUMBER(AD2437),ROUND(AD2437-AE2437-V2437,2),"")</x:f>
      </x:c>
      <x:c r="AG2437" t="str">
        <x:f>IF(NOT(ISNUMBER(T2437)),"PENDING",IF(AF2437&gt;0,"PASS","FAIL"))</x:f>
        <x:v>PENDING</x:v>
      </x:c>
      <x:c r="AH2437" t="str">
        <x:f>IF(NOT(ISNUMBER(T2437)),"Needs supplier cost",IF(K2437&lt;&gt;"In stock","Supplier unavailable",IF(AG2437&lt;&gt;"PASS","BLOCK - GT loss risk","Commercially protected")))</x:f>
        <x:v>Needs supplier cost</x:v>
      </x:c>
      <x:c r="AI2437" t="str">
        <x:v>2026-09-10 Active Sports trade capture</x:v>
      </x:c>
      <x:c r="AJ2437" t="str">
        <x:v>Management-only economics. Stripe stress test uses 1.5% + £0.20 standard UK online-card fee; pallet/mix-and-match pricing ignored.</x:v>
      </x:c>
    </x:row>
    <x:row r="2438">
      <x:c r="A2438" t="str">
        <x:v>Active Sports Nutrition</x:v>
      </x:c>
      <x:c r="B2438" t="str">
        <x:v>NXT Nutrition</x:v>
      </x:c>
      <x:c r="C2438" t="str">
        <x:v>Beef Protein Isolate</x:v>
      </x:c>
      <x:c r="D2438" t="str">
        <x:v>Supplements</x:v>
      </x:c>
      <x:c r="E2438" t="str">
        <x:v>Beef Protein</x:v>
      </x:c>
      <x:c r="F2438" t="str"/>
      <x:c r="G2438" t="str">
        <x:v>540g</x:v>
      </x:c>
      <x:c r="H2438" t="str">
        <x:v>Fruit Pastilles</x:v>
      </x:c>
      <x:c r="I2438" t="str"/>
      <x:c r="J2438" t="str">
        <x:v>Unit</x:v>
      </x:c>
      <x:c r="K2438" t="str">
        <x:v>Out of stock</x:v>
      </x:c>
      <x:c r="L2438" t="str">
        <x:v>2026-09-08</x:v>
      </x:c>
      <x:c r="M2438" t="str"/>
      <x:c r="N2438" t="str"/>
      <x:c r="O2438" t="str">
        <x:v>https://www.activesportstrade.co.uk/nxt-nutrition-trade</x:v>
      </x:c>
      <x:c r="P2438" t="str"/>
      <x:c r="Q2438" t="str"/>
      <x:c r="R2438" t="str"/>
      <x:c r="S2438" t="str">
        <x:v>Pending genuine supplier/brand image</x:v>
      </x:c>
      <x:c r="T2438" s="54"/>
      <x:c r="U2438" s="47" t="n">
        <x:v>0.2</x:v>
      </x:c>
      <x:c r="V2438" s="54" t="str">
        <x:f>IF(ISNUMBER(T2438),T2438*(1+U2438),"")</x:f>
      </x:c>
      <x:c r="W2438" s="47" t="n">
        <x:v>0.3</x:v>
      </x:c>
      <x:c r="X2438" s="54" t="str">
        <x:f>IF(ISNUMBER(V2438),V2438/(1-W2438),"")</x:f>
      </x:c>
      <x:c r="Y2438" s="55" t="str">
        <x:f>IF(ISNUMBER(X2438),ROUNDUP(X2438,0),"")</x:f>
      </x:c>
      <x:c r="Z2438" t="str">
        <x:f>IF(ISNUMBER(T2438),"Cost captured","Awaiting trade cost")</x:f>
        <x:v>Awaiting trade cost</x:v>
      </x:c>
      <x:c r="AB2438" s="36" t="str">
        <x:f>IF(ISNUMBER(Y2438),ROUND(Y2438*0.9,2),"")</x:f>
      </x:c>
      <x:c r="AC2438" s="36" t="str">
        <x:f>IF(ISNUMBER(AB2438),ROUND(AB2438-(AB2438*0.015+0.2)-V2438,2),"")</x:f>
      </x:c>
      <x:c r="AD2438" s="36" t="str">
        <x:f>IF(ISNUMBER(Y2438),ROUND(Y2438*0.8,2),"")</x:f>
      </x:c>
      <x:c r="AE2438" s="36" t="str">
        <x:f>IF(ISNUMBER(AD2438),ROUND(AD2438*0.015+0.2,2),"")</x:f>
      </x:c>
      <x:c r="AF2438" s="36" t="str">
        <x:f>IF(ISNUMBER(AD2438),ROUND(AD2438-AE2438-V2438,2),"")</x:f>
      </x:c>
      <x:c r="AG2438" t="str">
        <x:f>IF(NOT(ISNUMBER(T2438)),"PENDING",IF(AF2438&gt;0,"PASS","FAIL"))</x:f>
        <x:v>PENDING</x:v>
      </x:c>
      <x:c r="AH2438" t="str">
        <x:f>IF(NOT(ISNUMBER(T2438)),"Needs supplier cost",IF(K2438&lt;&gt;"In stock","Supplier unavailable",IF(AG2438&lt;&gt;"PASS","BLOCK - GT loss risk","Commercially protected")))</x:f>
        <x:v>Needs supplier cost</x:v>
      </x:c>
      <x:c r="AI2438" t="str">
        <x:v>2026-09-10 Active Sports trade capture</x:v>
      </x:c>
      <x:c r="AJ2438" t="str">
        <x:v>Management-only economics. Stripe stress test uses 1.5% + £0.20 standard UK online-card fee; pallet/mix-and-match pricing ignored.</x:v>
      </x:c>
    </x:row>
    <x:row r="2439">
      <x:c r="A2439" t="str">
        <x:v>Active Sports Nutrition</x:v>
      </x:c>
      <x:c r="B2439" t="str">
        <x:v>NXT Nutrition</x:v>
      </x:c>
      <x:c r="C2439" t="str">
        <x:v>Beef Protein Isolate</x:v>
      </x:c>
      <x:c r="D2439" t="str">
        <x:v>Supplements</x:v>
      </x:c>
      <x:c r="E2439" t="str">
        <x:v>Beef Protein</x:v>
      </x:c>
      <x:c r="F2439" t="str"/>
      <x:c r="G2439" t="str">
        <x:v>540g</x:v>
      </x:c>
      <x:c r="H2439" t="str">
        <x:v>Green Apple</x:v>
      </x:c>
      <x:c r="I2439" t="str"/>
      <x:c r="J2439" t="str">
        <x:v>Unit</x:v>
      </x:c>
      <x:c r="K2439" t="str">
        <x:v>Out of stock</x:v>
      </x:c>
      <x:c r="L2439" t="str">
        <x:v>2026-09-08</x:v>
      </x:c>
      <x:c r="M2439" t="str"/>
      <x:c r="N2439" t="str"/>
      <x:c r="O2439" t="str">
        <x:v>https://www.activesportstrade.co.uk/nxt-nutrition-trade</x:v>
      </x:c>
      <x:c r="P2439" t="str"/>
      <x:c r="Q2439" t="str"/>
      <x:c r="R2439" t="str"/>
      <x:c r="S2439" t="str">
        <x:v>Pending genuine supplier/brand image</x:v>
      </x:c>
      <x:c r="T2439" s="54"/>
      <x:c r="U2439" s="47" t="n">
        <x:v>0.2</x:v>
      </x:c>
      <x:c r="V2439" s="54" t="str">
        <x:f>IF(ISNUMBER(T2439),T2439*(1+U2439),"")</x:f>
      </x:c>
      <x:c r="W2439" s="47" t="n">
        <x:v>0.3</x:v>
      </x:c>
      <x:c r="X2439" s="54" t="str">
        <x:f>IF(ISNUMBER(V2439),V2439/(1-W2439),"")</x:f>
      </x:c>
      <x:c r="Y2439" s="55" t="str">
        <x:f>IF(ISNUMBER(X2439),ROUNDUP(X2439,0),"")</x:f>
      </x:c>
      <x:c r="Z2439" t="str">
        <x:f>IF(ISNUMBER(T2439),"Cost captured","Awaiting trade cost")</x:f>
        <x:v>Awaiting trade cost</x:v>
      </x:c>
      <x:c r="AB2439" s="36" t="str">
        <x:f>IF(ISNUMBER(Y2439),ROUND(Y2439*0.9,2),"")</x:f>
      </x:c>
      <x:c r="AC2439" s="36" t="str">
        <x:f>IF(ISNUMBER(AB2439),ROUND(AB2439-(AB2439*0.015+0.2)-V2439,2),"")</x:f>
      </x:c>
      <x:c r="AD2439" s="36" t="str">
        <x:f>IF(ISNUMBER(Y2439),ROUND(Y2439*0.8,2),"")</x:f>
      </x:c>
      <x:c r="AE2439" s="36" t="str">
        <x:f>IF(ISNUMBER(AD2439),ROUND(AD2439*0.015+0.2,2),"")</x:f>
      </x:c>
      <x:c r="AF2439" s="36" t="str">
        <x:f>IF(ISNUMBER(AD2439),ROUND(AD2439-AE2439-V2439,2),"")</x:f>
      </x:c>
      <x:c r="AG2439" t="str">
        <x:f>IF(NOT(ISNUMBER(T2439)),"PENDING",IF(AF2439&gt;0,"PASS","FAIL"))</x:f>
        <x:v>PENDING</x:v>
      </x:c>
      <x:c r="AH2439" t="str">
        <x:f>IF(NOT(ISNUMBER(T2439)),"Needs supplier cost",IF(K2439&lt;&gt;"In stock","Supplier unavailable",IF(AG2439&lt;&gt;"PASS","BLOCK - GT loss risk","Commercially protected")))</x:f>
        <x:v>Needs supplier cost</x:v>
      </x:c>
      <x:c r="AI2439" t="str">
        <x:v>2026-09-10 Active Sports trade capture</x:v>
      </x:c>
      <x:c r="AJ2439" t="str">
        <x:v>Management-only economics. Stripe stress test uses 1.5% + £0.20 standard UK online-card fee; pallet/mix-and-match pricing ignored.</x:v>
      </x:c>
    </x:row>
    <x:row r="2440">
      <x:c r="A2440" t="str">
        <x:v>Active Sports Nutrition</x:v>
      </x:c>
      <x:c r="B2440" t="str">
        <x:v>NXT Nutrition</x:v>
      </x:c>
      <x:c r="C2440" t="str">
        <x:v>Beef Protein Isolate</x:v>
      </x:c>
      <x:c r="D2440" t="str">
        <x:v>Supplements</x:v>
      </x:c>
      <x:c r="E2440" t="str">
        <x:v>Beef Protein</x:v>
      </x:c>
      <x:c r="F2440" t="str"/>
      <x:c r="G2440" t="str">
        <x:v>540g</x:v>
      </x:c>
      <x:c r="H2440" t="str">
        <x:v>Juicy Orange</x:v>
      </x:c>
      <x:c r="I2440" t="str"/>
      <x:c r="J2440" t="str">
        <x:v>Unit</x:v>
      </x:c>
      <x:c r="K2440" t="str">
        <x:v>Out of stock</x:v>
      </x:c>
      <x:c r="L2440" t="str">
        <x:v>2026-09-08</x:v>
      </x:c>
      <x:c r="M2440" t="str"/>
      <x:c r="N2440" t="str"/>
      <x:c r="O2440" t="str">
        <x:v>https://www.activesportstrade.co.uk/nxt-nutrition-trade</x:v>
      </x:c>
      <x:c r="P2440" t="str"/>
      <x:c r="Q2440" t="str"/>
      <x:c r="R2440" t="str"/>
      <x:c r="S2440" t="str">
        <x:v>Pending genuine supplier/brand image</x:v>
      </x:c>
      <x:c r="T2440" s="54"/>
      <x:c r="U2440" s="47" t="n">
        <x:v>0.2</x:v>
      </x:c>
      <x:c r="V2440" s="54" t="str">
        <x:f>IF(ISNUMBER(T2440),T2440*(1+U2440),"")</x:f>
      </x:c>
      <x:c r="W2440" s="47" t="n">
        <x:v>0.3</x:v>
      </x:c>
      <x:c r="X2440" s="54" t="str">
        <x:f>IF(ISNUMBER(V2440),V2440/(1-W2440),"")</x:f>
      </x:c>
      <x:c r="Y2440" s="55" t="str">
        <x:f>IF(ISNUMBER(X2440),ROUNDUP(X2440,0),"")</x:f>
      </x:c>
      <x:c r="Z2440" t="str">
        <x:f>IF(ISNUMBER(T2440),"Cost captured","Awaiting trade cost")</x:f>
        <x:v>Awaiting trade cost</x:v>
      </x:c>
      <x:c r="AB2440" s="36" t="str">
        <x:f>IF(ISNUMBER(Y2440),ROUND(Y2440*0.9,2),"")</x:f>
      </x:c>
      <x:c r="AC2440" s="36" t="str">
        <x:f>IF(ISNUMBER(AB2440),ROUND(AB2440-(AB2440*0.015+0.2)-V2440,2),"")</x:f>
      </x:c>
      <x:c r="AD2440" s="36" t="str">
        <x:f>IF(ISNUMBER(Y2440),ROUND(Y2440*0.8,2),"")</x:f>
      </x:c>
      <x:c r="AE2440" s="36" t="str">
        <x:f>IF(ISNUMBER(AD2440),ROUND(AD2440*0.015+0.2,2),"")</x:f>
      </x:c>
      <x:c r="AF2440" s="36" t="str">
        <x:f>IF(ISNUMBER(AD2440),ROUND(AD2440-AE2440-V2440,2),"")</x:f>
      </x:c>
      <x:c r="AG2440" t="str">
        <x:f>IF(NOT(ISNUMBER(T2440)),"PENDING",IF(AF2440&gt;0,"PASS","FAIL"))</x:f>
        <x:v>PENDING</x:v>
      </x:c>
      <x:c r="AH2440" t="str">
        <x:f>IF(NOT(ISNUMBER(T2440)),"Needs supplier cost",IF(K2440&lt;&gt;"In stock","Supplier unavailable",IF(AG2440&lt;&gt;"PASS","BLOCK - GT loss risk","Commercially protected")))</x:f>
        <x:v>Needs supplier cost</x:v>
      </x:c>
      <x:c r="AI2440" t="str">
        <x:v>2026-09-10 Active Sports trade capture</x:v>
      </x:c>
      <x:c r="AJ2440" t="str">
        <x:v>Management-only economics. Stripe stress test uses 1.5% + £0.20 standard UK online-card fee; pallet/mix-and-match pricing ignored.</x:v>
      </x:c>
    </x:row>
    <x:row r="2441">
      <x:c r="A2441" t="str">
        <x:v>Active Sports Nutrition</x:v>
      </x:c>
      <x:c r="B2441" t="str">
        <x:v>NXT Nutrition</x:v>
      </x:c>
      <x:c r="C2441" t="str">
        <x:v>Beef Protein Isolate</x:v>
      </x:c>
      <x:c r="D2441" t="str">
        <x:v>Supplements</x:v>
      </x:c>
      <x:c r="E2441" t="str">
        <x:v>Beef Protein</x:v>
      </x:c>
      <x:c r="F2441" t="str"/>
      <x:c r="G2441" t="str">
        <x:v>540g</x:v>
      </x:c>
      <x:c r="H2441" t="str">
        <x:v>Kiwi &amp; Lime</x:v>
      </x:c>
      <x:c r="I2441" t="str"/>
      <x:c r="J2441" t="str">
        <x:v>Unit</x:v>
      </x:c>
      <x:c r="K2441" t="str">
        <x:v>In stock</x:v>
      </x:c>
      <x:c r="L2441" t="str">
        <x:v>2026-09-08</x:v>
      </x:c>
      <x:c r="M2441" t="str"/>
      <x:c r="N2441" t="str"/>
      <x:c r="O2441" t="str">
        <x:v>https://www.activesportstrade.co.uk/nxt-nutrition-trade</x:v>
      </x:c>
      <x:c r="P2441" t="str"/>
      <x:c r="Q2441" t="str"/>
      <x:c r="R2441" t="str"/>
      <x:c r="S2441" t="str">
        <x:v>Pending genuine supplier/brand image</x:v>
      </x:c>
      <x:c r="T2441" s="54"/>
      <x:c r="U2441" s="47" t="n">
        <x:v>0.2</x:v>
      </x:c>
      <x:c r="V2441" s="54" t="str">
        <x:f>IF(ISNUMBER(T2441),T2441*(1+U2441),"")</x:f>
      </x:c>
      <x:c r="W2441" s="47" t="n">
        <x:v>0.3</x:v>
      </x:c>
      <x:c r="X2441" s="54" t="str">
        <x:f>IF(ISNUMBER(V2441),V2441/(1-W2441),"")</x:f>
      </x:c>
      <x:c r="Y2441" s="55" t="str">
        <x:f>IF(ISNUMBER(X2441),ROUNDUP(X2441,0),"")</x:f>
      </x:c>
      <x:c r="Z2441" t="str">
        <x:f>IF(ISNUMBER(T2441),"Cost captured","Awaiting trade cost")</x:f>
        <x:v>Awaiting trade cost</x:v>
      </x:c>
      <x:c r="AB2441" s="36" t="str">
        <x:f>IF(ISNUMBER(Y2441),ROUND(Y2441*0.9,2),"")</x:f>
      </x:c>
      <x:c r="AC2441" s="36" t="str">
        <x:f>IF(ISNUMBER(AB2441),ROUND(AB2441-(AB2441*0.015+0.2)-V2441,2),"")</x:f>
      </x:c>
      <x:c r="AD2441" s="36" t="str">
        <x:f>IF(ISNUMBER(Y2441),ROUND(Y2441*0.8,2),"")</x:f>
      </x:c>
      <x:c r="AE2441" s="36" t="str">
        <x:f>IF(ISNUMBER(AD2441),ROUND(AD2441*0.015+0.2,2),"")</x:f>
      </x:c>
      <x:c r="AF2441" s="36" t="str">
        <x:f>IF(ISNUMBER(AD2441),ROUND(AD2441-AE2441-V2441,2),"")</x:f>
      </x:c>
      <x:c r="AG2441" t="str">
        <x:f>IF(NOT(ISNUMBER(T2441)),"PENDING",IF(AF2441&gt;0,"PASS","FAIL"))</x:f>
        <x:v>PENDING</x:v>
      </x:c>
      <x:c r="AH2441" t="str">
        <x:f>IF(NOT(ISNUMBER(T2441)),"Needs supplier cost",IF(K2441&lt;&gt;"In stock","Supplier unavailable",IF(AG2441&lt;&gt;"PASS","BLOCK - GT loss risk","Commercially protected")))</x:f>
        <x:v>Needs supplier cost</x:v>
      </x:c>
      <x:c r="AI2441" t="str">
        <x:v>2026-09-10 Active Sports trade capture</x:v>
      </x:c>
      <x:c r="AJ2441" t="str">
        <x:v>Management-only economics. Stripe stress test uses 1.5% + £0.20 standard UK online-card fee; pallet/mix-and-match pricing ignored.</x:v>
      </x:c>
    </x:row>
    <x:row r="2442">
      <x:c r="A2442" t="str">
        <x:v>Active Sports Nutrition</x:v>
      </x:c>
      <x:c r="B2442" t="str">
        <x:v>NXT Nutrition</x:v>
      </x:c>
      <x:c r="C2442" t="str">
        <x:v>Beef Protein Isolate</x:v>
      </x:c>
      <x:c r="D2442" t="str">
        <x:v>Supplements</x:v>
      </x:c>
      <x:c r="E2442" t="str">
        <x:v>Beef Protein</x:v>
      </x:c>
      <x:c r="F2442" t="str"/>
      <x:c r="G2442" t="str">
        <x:v>540g</x:v>
      </x:c>
      <x:c r="H2442" t="str">
        <x:v>Lemon &amp; Lime</x:v>
      </x:c>
      <x:c r="I2442" t="str"/>
      <x:c r="J2442" t="str">
        <x:v>Unit</x:v>
      </x:c>
      <x:c r="K2442" t="str">
        <x:v>Out of stock</x:v>
      </x:c>
      <x:c r="L2442" t="str">
        <x:v>2026-09-08</x:v>
      </x:c>
      <x:c r="M2442" t="str"/>
      <x:c r="N2442" t="str"/>
      <x:c r="O2442" t="str">
        <x:v>https://www.activesportstrade.co.uk/nxt-nutrition-trade</x:v>
      </x:c>
      <x:c r="P2442" t="str"/>
      <x:c r="Q2442" t="str"/>
      <x:c r="R2442" t="str"/>
      <x:c r="S2442" t="str">
        <x:v>Pending genuine supplier/brand image</x:v>
      </x:c>
      <x:c r="T2442" s="54"/>
      <x:c r="U2442" s="47" t="n">
        <x:v>0.2</x:v>
      </x:c>
      <x:c r="V2442" s="54" t="str">
        <x:f>IF(ISNUMBER(T2442),T2442*(1+U2442),"")</x:f>
      </x:c>
      <x:c r="W2442" s="47" t="n">
        <x:v>0.3</x:v>
      </x:c>
      <x:c r="X2442" s="54" t="str">
        <x:f>IF(ISNUMBER(V2442),V2442/(1-W2442),"")</x:f>
      </x:c>
      <x:c r="Y2442" s="55" t="str">
        <x:f>IF(ISNUMBER(X2442),ROUNDUP(X2442,0),"")</x:f>
      </x:c>
      <x:c r="Z2442" t="str">
        <x:f>IF(ISNUMBER(T2442),"Cost captured","Awaiting trade cost")</x:f>
        <x:v>Awaiting trade cost</x:v>
      </x:c>
      <x:c r="AB2442" s="36" t="str">
        <x:f>IF(ISNUMBER(Y2442),ROUND(Y2442*0.9,2),"")</x:f>
      </x:c>
      <x:c r="AC2442" s="36" t="str">
        <x:f>IF(ISNUMBER(AB2442),ROUND(AB2442-(AB2442*0.015+0.2)-V2442,2),"")</x:f>
      </x:c>
      <x:c r="AD2442" s="36" t="str">
        <x:f>IF(ISNUMBER(Y2442),ROUND(Y2442*0.8,2),"")</x:f>
      </x:c>
      <x:c r="AE2442" s="36" t="str">
        <x:f>IF(ISNUMBER(AD2442),ROUND(AD2442*0.015+0.2,2),"")</x:f>
      </x:c>
      <x:c r="AF2442" s="36" t="str">
        <x:f>IF(ISNUMBER(AD2442),ROUND(AD2442-AE2442-V2442,2),"")</x:f>
      </x:c>
      <x:c r="AG2442" t="str">
        <x:f>IF(NOT(ISNUMBER(T2442)),"PENDING",IF(AF2442&gt;0,"PASS","FAIL"))</x:f>
        <x:v>PENDING</x:v>
      </x:c>
      <x:c r="AH2442" t="str">
        <x:f>IF(NOT(ISNUMBER(T2442)),"Needs supplier cost",IF(K2442&lt;&gt;"In stock","Supplier unavailable",IF(AG2442&lt;&gt;"PASS","BLOCK - GT loss risk","Commercially protected")))</x:f>
        <x:v>Needs supplier cost</x:v>
      </x:c>
      <x:c r="AI2442" t="str">
        <x:v>2026-09-10 Active Sports trade capture</x:v>
      </x:c>
      <x:c r="AJ2442" t="str">
        <x:v>Management-only economics. Stripe stress test uses 1.5% + £0.20 standard UK online-card fee; pallet/mix-and-match pricing ignored.</x:v>
      </x:c>
    </x:row>
    <x:row r="2443">
      <x:c r="A2443" t="str">
        <x:v>Active Sports Nutrition</x:v>
      </x:c>
      <x:c r="B2443" t="str">
        <x:v>NXT Nutrition</x:v>
      </x:c>
      <x:c r="C2443" t="str">
        <x:v>Beef Protein Isolate</x:v>
      </x:c>
      <x:c r="D2443" t="str">
        <x:v>Supplements</x:v>
      </x:c>
      <x:c r="E2443" t="str">
        <x:v>Beef Protein</x:v>
      </x:c>
      <x:c r="F2443" t="str"/>
      <x:c r="G2443" t="str">
        <x:v>540g</x:v>
      </x:c>
      <x:c r="H2443" t="str">
        <x:v>Lemon Ice Tea</x:v>
      </x:c>
      <x:c r="I2443" t="str"/>
      <x:c r="J2443" t="str">
        <x:v>Unit</x:v>
      </x:c>
      <x:c r="K2443" t="str">
        <x:v>In stock</x:v>
      </x:c>
      <x:c r="L2443" t="str">
        <x:v>2026-09-08</x:v>
      </x:c>
      <x:c r="M2443" t="str"/>
      <x:c r="N2443" t="str"/>
      <x:c r="O2443" t="str">
        <x:v>https://www.activesportstrade.co.uk/nxt-nutrition-trade</x:v>
      </x:c>
      <x:c r="P2443" t="str"/>
      <x:c r="Q2443" t="str"/>
      <x:c r="R2443" t="str"/>
      <x:c r="S2443" t="str">
        <x:v>Pending genuine supplier/brand image</x:v>
      </x:c>
      <x:c r="T2443" s="54"/>
      <x:c r="U2443" s="47" t="n">
        <x:v>0.2</x:v>
      </x:c>
      <x:c r="V2443" s="54" t="str">
        <x:f>IF(ISNUMBER(T2443),T2443*(1+U2443),"")</x:f>
      </x:c>
      <x:c r="W2443" s="47" t="n">
        <x:v>0.3</x:v>
      </x:c>
      <x:c r="X2443" s="54" t="str">
        <x:f>IF(ISNUMBER(V2443),V2443/(1-W2443),"")</x:f>
      </x:c>
      <x:c r="Y2443" s="55" t="str">
        <x:f>IF(ISNUMBER(X2443),ROUNDUP(X2443,0),"")</x:f>
      </x:c>
      <x:c r="Z2443" t="str">
        <x:f>IF(ISNUMBER(T2443),"Cost captured","Awaiting trade cost")</x:f>
        <x:v>Awaiting trade cost</x:v>
      </x:c>
      <x:c r="AB2443" s="36" t="str">
        <x:f>IF(ISNUMBER(Y2443),ROUND(Y2443*0.9,2),"")</x:f>
      </x:c>
      <x:c r="AC2443" s="36" t="str">
        <x:f>IF(ISNUMBER(AB2443),ROUND(AB2443-(AB2443*0.015+0.2)-V2443,2),"")</x:f>
      </x:c>
      <x:c r="AD2443" s="36" t="str">
        <x:f>IF(ISNUMBER(Y2443),ROUND(Y2443*0.8,2),"")</x:f>
      </x:c>
      <x:c r="AE2443" s="36" t="str">
        <x:f>IF(ISNUMBER(AD2443),ROUND(AD2443*0.015+0.2,2),"")</x:f>
      </x:c>
      <x:c r="AF2443" s="36" t="str">
        <x:f>IF(ISNUMBER(AD2443),ROUND(AD2443-AE2443-V2443,2),"")</x:f>
      </x:c>
      <x:c r="AG2443" t="str">
        <x:f>IF(NOT(ISNUMBER(T2443)),"PENDING",IF(AF2443&gt;0,"PASS","FAIL"))</x:f>
        <x:v>PENDING</x:v>
      </x:c>
      <x:c r="AH2443" t="str">
        <x:f>IF(NOT(ISNUMBER(T2443)),"Needs supplier cost",IF(K2443&lt;&gt;"In stock","Supplier unavailable",IF(AG2443&lt;&gt;"PASS","BLOCK - GT loss risk","Commercially protected")))</x:f>
        <x:v>Needs supplier cost</x:v>
      </x:c>
      <x:c r="AI2443" t="str">
        <x:v>2026-09-10 Active Sports trade capture</x:v>
      </x:c>
      <x:c r="AJ2443" t="str">
        <x:v>Management-only economics. Stripe stress test uses 1.5% + £0.20 standard UK online-card fee; pallet/mix-and-match pricing ignored.</x:v>
      </x:c>
    </x:row>
    <x:row r="2444">
      <x:c r="A2444" t="str">
        <x:v>Active Sports Nutrition</x:v>
      </x:c>
      <x:c r="B2444" t="str">
        <x:v>NXT Nutrition</x:v>
      </x:c>
      <x:c r="C2444" t="str">
        <x:v>Beef Protein Isolate</x:v>
      </x:c>
      <x:c r="D2444" t="str">
        <x:v>Supplements</x:v>
      </x:c>
      <x:c r="E2444" t="str">
        <x:v>Beef Protein</x:v>
      </x:c>
      <x:c r="F2444" t="str"/>
      <x:c r="G2444" t="str">
        <x:v>540g</x:v>
      </x:c>
      <x:c r="H2444" t="str">
        <x:v>Lemonade</x:v>
      </x:c>
      <x:c r="I2444" t="str"/>
      <x:c r="J2444" t="str">
        <x:v>Unit</x:v>
      </x:c>
      <x:c r="K2444" t="str">
        <x:v>Out of stock</x:v>
      </x:c>
      <x:c r="L2444" t="str">
        <x:v>2026-09-08</x:v>
      </x:c>
      <x:c r="M2444" t="str"/>
      <x:c r="N2444" t="str"/>
      <x:c r="O2444" t="str">
        <x:v>https://www.activesportstrade.co.uk/nxt-nutrition-trade</x:v>
      </x:c>
      <x:c r="P2444" t="str"/>
      <x:c r="Q2444" t="str"/>
      <x:c r="R2444" t="str"/>
      <x:c r="S2444" t="str">
        <x:v>Pending genuine supplier/brand image</x:v>
      </x:c>
      <x:c r="T2444" s="54"/>
      <x:c r="U2444" s="47" t="n">
        <x:v>0.2</x:v>
      </x:c>
      <x:c r="V2444" s="54" t="str">
        <x:f>IF(ISNUMBER(T2444),T2444*(1+U2444),"")</x:f>
      </x:c>
      <x:c r="W2444" s="47" t="n">
        <x:v>0.3</x:v>
      </x:c>
      <x:c r="X2444" s="54" t="str">
        <x:f>IF(ISNUMBER(V2444),V2444/(1-W2444),"")</x:f>
      </x:c>
      <x:c r="Y2444" s="55" t="str">
        <x:f>IF(ISNUMBER(X2444),ROUNDUP(X2444,0),"")</x:f>
      </x:c>
      <x:c r="Z2444" t="str">
        <x:f>IF(ISNUMBER(T2444),"Cost captured","Awaiting trade cost")</x:f>
        <x:v>Awaiting trade cost</x:v>
      </x:c>
      <x:c r="AB2444" s="36" t="str">
        <x:f>IF(ISNUMBER(Y2444),ROUND(Y2444*0.9,2),"")</x:f>
      </x:c>
      <x:c r="AC2444" s="36" t="str">
        <x:f>IF(ISNUMBER(AB2444),ROUND(AB2444-(AB2444*0.015+0.2)-V2444,2),"")</x:f>
      </x:c>
      <x:c r="AD2444" s="36" t="str">
        <x:f>IF(ISNUMBER(Y2444),ROUND(Y2444*0.8,2),"")</x:f>
      </x:c>
      <x:c r="AE2444" s="36" t="str">
        <x:f>IF(ISNUMBER(AD2444),ROUND(AD2444*0.015+0.2,2),"")</x:f>
      </x:c>
      <x:c r="AF2444" s="36" t="str">
        <x:f>IF(ISNUMBER(AD2444),ROUND(AD2444-AE2444-V2444,2),"")</x:f>
      </x:c>
      <x:c r="AG2444" t="str">
        <x:f>IF(NOT(ISNUMBER(T2444)),"PENDING",IF(AF2444&gt;0,"PASS","FAIL"))</x:f>
        <x:v>PENDING</x:v>
      </x:c>
      <x:c r="AH2444" t="str">
        <x:f>IF(NOT(ISNUMBER(T2444)),"Needs supplier cost",IF(K2444&lt;&gt;"In stock","Supplier unavailable",IF(AG2444&lt;&gt;"PASS","BLOCK - GT loss risk","Commercially protected")))</x:f>
        <x:v>Needs supplier cost</x:v>
      </x:c>
      <x:c r="AI2444" t="str">
        <x:v>2026-09-10 Active Sports trade capture</x:v>
      </x:c>
      <x:c r="AJ2444" t="str">
        <x:v>Management-only economics. Stripe stress test uses 1.5% + £0.20 standard UK online-card fee; pallet/mix-and-match pricing ignored.</x:v>
      </x:c>
    </x:row>
    <x:row r="2445">
      <x:c r="A2445" t="str">
        <x:v>Active Sports Nutrition</x:v>
      </x:c>
      <x:c r="B2445" t="str">
        <x:v>NXT Nutrition</x:v>
      </x:c>
      <x:c r="C2445" t="str">
        <x:v>Beef Protein Isolate</x:v>
      </x:c>
      <x:c r="D2445" t="str">
        <x:v>Supplements</x:v>
      </x:c>
      <x:c r="E2445" t="str">
        <x:v>Beef Protein</x:v>
      </x:c>
      <x:c r="F2445" t="str"/>
      <x:c r="G2445" t="str">
        <x:v>540g</x:v>
      </x:c>
      <x:c r="H2445" t="str">
        <x:v>Mango &amp; Orange</x:v>
      </x:c>
      <x:c r="I2445" t="str"/>
      <x:c r="J2445" t="str">
        <x:v>Unit</x:v>
      </x:c>
      <x:c r="K2445" t="str">
        <x:v>Out of stock</x:v>
      </x:c>
      <x:c r="L2445" t="str">
        <x:v>2026-09-08</x:v>
      </x:c>
      <x:c r="M2445" t="str"/>
      <x:c r="N2445" t="str"/>
      <x:c r="O2445" t="str">
        <x:v>https://www.activesportstrade.co.uk/nxt-nutrition-trade</x:v>
      </x:c>
      <x:c r="P2445" t="str"/>
      <x:c r="Q2445" t="str"/>
      <x:c r="R2445" t="str"/>
      <x:c r="S2445" t="str">
        <x:v>Pending genuine supplier/brand image</x:v>
      </x:c>
      <x:c r="T2445" s="54"/>
      <x:c r="U2445" s="47" t="n">
        <x:v>0.2</x:v>
      </x:c>
      <x:c r="V2445" s="54" t="str">
        <x:f>IF(ISNUMBER(T2445),T2445*(1+U2445),"")</x:f>
      </x:c>
      <x:c r="W2445" s="47" t="n">
        <x:v>0.3</x:v>
      </x:c>
      <x:c r="X2445" s="54" t="str">
        <x:f>IF(ISNUMBER(V2445),V2445/(1-W2445),"")</x:f>
      </x:c>
      <x:c r="Y2445" s="55" t="str">
        <x:f>IF(ISNUMBER(X2445),ROUNDUP(X2445,0),"")</x:f>
      </x:c>
      <x:c r="Z2445" t="str">
        <x:f>IF(ISNUMBER(T2445),"Cost captured","Awaiting trade cost")</x:f>
        <x:v>Awaiting trade cost</x:v>
      </x:c>
      <x:c r="AB2445" s="36" t="str">
        <x:f>IF(ISNUMBER(Y2445),ROUND(Y2445*0.9,2),"")</x:f>
      </x:c>
      <x:c r="AC2445" s="36" t="str">
        <x:f>IF(ISNUMBER(AB2445),ROUND(AB2445-(AB2445*0.015+0.2)-V2445,2),"")</x:f>
      </x:c>
      <x:c r="AD2445" s="36" t="str">
        <x:f>IF(ISNUMBER(Y2445),ROUND(Y2445*0.8,2),"")</x:f>
      </x:c>
      <x:c r="AE2445" s="36" t="str">
        <x:f>IF(ISNUMBER(AD2445),ROUND(AD2445*0.015+0.2,2),"")</x:f>
      </x:c>
      <x:c r="AF2445" s="36" t="str">
        <x:f>IF(ISNUMBER(AD2445),ROUND(AD2445-AE2445-V2445,2),"")</x:f>
      </x:c>
      <x:c r="AG2445" t="str">
        <x:f>IF(NOT(ISNUMBER(T2445)),"PENDING",IF(AF2445&gt;0,"PASS","FAIL"))</x:f>
        <x:v>PENDING</x:v>
      </x:c>
      <x:c r="AH2445" t="str">
        <x:f>IF(NOT(ISNUMBER(T2445)),"Needs supplier cost",IF(K2445&lt;&gt;"In stock","Supplier unavailable",IF(AG2445&lt;&gt;"PASS","BLOCK - GT loss risk","Commercially protected")))</x:f>
        <x:v>Needs supplier cost</x:v>
      </x:c>
      <x:c r="AI2445" t="str">
        <x:v>2026-09-10 Active Sports trade capture</x:v>
      </x:c>
      <x:c r="AJ2445" t="str">
        <x:v>Management-only economics. Stripe stress test uses 1.5% + £0.20 standard UK online-card fee; pallet/mix-and-match pricing ignored.</x:v>
      </x:c>
    </x:row>
    <x:row r="2446">
      <x:c r="A2446" t="str">
        <x:v>Active Sports Nutrition</x:v>
      </x:c>
      <x:c r="B2446" t="str">
        <x:v>NXT Nutrition</x:v>
      </x:c>
      <x:c r="C2446" t="str">
        <x:v>Beef Protein Isolate</x:v>
      </x:c>
      <x:c r="D2446" t="str">
        <x:v>Supplements</x:v>
      </x:c>
      <x:c r="E2446" t="str">
        <x:v>Beef Protein</x:v>
      </x:c>
      <x:c r="F2446" t="str"/>
      <x:c r="G2446" t="str">
        <x:v>540g</x:v>
      </x:c>
      <x:c r="H2446" t="str">
        <x:v>Mmmto</x:v>
      </x:c>
      <x:c r="I2446" t="str"/>
      <x:c r="J2446" t="str">
        <x:v>Unit</x:v>
      </x:c>
      <x:c r="K2446" t="str">
        <x:v>Out of stock</x:v>
      </x:c>
      <x:c r="L2446" t="str">
        <x:v>2026-09-08</x:v>
      </x:c>
      <x:c r="M2446" t="str"/>
      <x:c r="N2446" t="str"/>
      <x:c r="O2446" t="str">
        <x:v>https://www.activesportstrade.co.uk/nxt-nutrition-trade</x:v>
      </x:c>
      <x:c r="P2446" t="str"/>
      <x:c r="Q2446" t="str"/>
      <x:c r="R2446" t="str"/>
      <x:c r="S2446" t="str">
        <x:v>Pending genuine supplier/brand image</x:v>
      </x:c>
      <x:c r="T2446" s="54"/>
      <x:c r="U2446" s="47" t="n">
        <x:v>0.2</x:v>
      </x:c>
      <x:c r="V2446" s="54" t="str">
        <x:f>IF(ISNUMBER(T2446),T2446*(1+U2446),"")</x:f>
      </x:c>
      <x:c r="W2446" s="47" t="n">
        <x:v>0.3</x:v>
      </x:c>
      <x:c r="X2446" s="54" t="str">
        <x:f>IF(ISNUMBER(V2446),V2446/(1-W2446),"")</x:f>
      </x:c>
      <x:c r="Y2446" s="55" t="str">
        <x:f>IF(ISNUMBER(X2446),ROUNDUP(X2446,0),"")</x:f>
      </x:c>
      <x:c r="Z2446" t="str">
        <x:f>IF(ISNUMBER(T2446),"Cost captured","Awaiting trade cost")</x:f>
        <x:v>Awaiting trade cost</x:v>
      </x:c>
      <x:c r="AB2446" s="36" t="str">
        <x:f>IF(ISNUMBER(Y2446),ROUND(Y2446*0.9,2),"")</x:f>
      </x:c>
      <x:c r="AC2446" s="36" t="str">
        <x:f>IF(ISNUMBER(AB2446),ROUND(AB2446-(AB2446*0.015+0.2)-V2446,2),"")</x:f>
      </x:c>
      <x:c r="AD2446" s="36" t="str">
        <x:f>IF(ISNUMBER(Y2446),ROUND(Y2446*0.8,2),"")</x:f>
      </x:c>
      <x:c r="AE2446" s="36" t="str">
        <x:f>IF(ISNUMBER(AD2446),ROUND(AD2446*0.015+0.2,2),"")</x:f>
      </x:c>
      <x:c r="AF2446" s="36" t="str">
        <x:f>IF(ISNUMBER(AD2446),ROUND(AD2446-AE2446-V2446,2),"")</x:f>
      </x:c>
      <x:c r="AG2446" t="str">
        <x:f>IF(NOT(ISNUMBER(T2446)),"PENDING",IF(AF2446&gt;0,"PASS","FAIL"))</x:f>
        <x:v>PENDING</x:v>
      </x:c>
      <x:c r="AH2446" t="str">
        <x:f>IF(NOT(ISNUMBER(T2446)),"Needs supplier cost",IF(K2446&lt;&gt;"In stock","Supplier unavailable",IF(AG2446&lt;&gt;"PASS","BLOCK - GT loss risk","Commercially protected")))</x:f>
        <x:v>Needs supplier cost</x:v>
      </x:c>
      <x:c r="AI2446" t="str">
        <x:v>2026-09-10 Active Sports trade capture</x:v>
      </x:c>
      <x:c r="AJ2446" t="str">
        <x:v>Management-only economics. Stripe stress test uses 1.5% + £0.20 standard UK online-card fee; pallet/mix-and-match pricing ignored.</x:v>
      </x:c>
    </x:row>
    <x:row r="2447">
      <x:c r="A2447" t="str">
        <x:v>Active Sports Nutrition</x:v>
      </x:c>
      <x:c r="B2447" t="str">
        <x:v>NXT Nutrition</x:v>
      </x:c>
      <x:c r="C2447" t="str">
        <x:v>Beef Protein Isolate</x:v>
      </x:c>
      <x:c r="D2447" t="str">
        <x:v>Supplements</x:v>
      </x:c>
      <x:c r="E2447" t="str">
        <x:v>Beef Protein</x:v>
      </x:c>
      <x:c r="F2447" t="str"/>
      <x:c r="G2447" t="str">
        <x:v>540g</x:v>
      </x:c>
      <x:c r="H2447" t="str">
        <x:v>Mojito</x:v>
      </x:c>
      <x:c r="I2447" t="str"/>
      <x:c r="J2447" t="str">
        <x:v>Unit</x:v>
      </x:c>
      <x:c r="K2447" t="str">
        <x:v>In stock</x:v>
      </x:c>
      <x:c r="L2447" t="str">
        <x:v>2026-09-08</x:v>
      </x:c>
      <x:c r="M2447" t="str"/>
      <x:c r="N2447" t="str"/>
      <x:c r="O2447" t="str">
        <x:v>https://www.activesportstrade.co.uk/nxt-nutrition-trade</x:v>
      </x:c>
      <x:c r="P2447" t="str"/>
      <x:c r="Q2447" t="str"/>
      <x:c r="R2447" t="str"/>
      <x:c r="S2447" t="str">
        <x:v>Pending genuine supplier/brand image</x:v>
      </x:c>
      <x:c r="T2447" s="54"/>
      <x:c r="U2447" s="47" t="n">
        <x:v>0.2</x:v>
      </x:c>
      <x:c r="V2447" s="54" t="str">
        <x:f>IF(ISNUMBER(T2447),T2447*(1+U2447),"")</x:f>
      </x:c>
      <x:c r="W2447" s="47" t="n">
        <x:v>0.3</x:v>
      </x:c>
      <x:c r="X2447" s="54" t="str">
        <x:f>IF(ISNUMBER(V2447),V2447/(1-W2447),"")</x:f>
      </x:c>
      <x:c r="Y2447" s="55" t="str">
        <x:f>IF(ISNUMBER(X2447),ROUNDUP(X2447,0),"")</x:f>
      </x:c>
      <x:c r="Z2447" t="str">
        <x:f>IF(ISNUMBER(T2447),"Cost captured","Awaiting trade cost")</x:f>
        <x:v>Awaiting trade cost</x:v>
      </x:c>
      <x:c r="AB2447" s="36" t="str">
        <x:f>IF(ISNUMBER(Y2447),ROUND(Y2447*0.9,2),"")</x:f>
      </x:c>
      <x:c r="AC2447" s="36" t="str">
        <x:f>IF(ISNUMBER(AB2447),ROUND(AB2447-(AB2447*0.015+0.2)-V2447,2),"")</x:f>
      </x:c>
      <x:c r="AD2447" s="36" t="str">
        <x:f>IF(ISNUMBER(Y2447),ROUND(Y2447*0.8,2),"")</x:f>
      </x:c>
      <x:c r="AE2447" s="36" t="str">
        <x:f>IF(ISNUMBER(AD2447),ROUND(AD2447*0.015+0.2,2),"")</x:f>
      </x:c>
      <x:c r="AF2447" s="36" t="str">
        <x:f>IF(ISNUMBER(AD2447),ROUND(AD2447-AE2447-V2447,2),"")</x:f>
      </x:c>
      <x:c r="AG2447" t="str">
        <x:f>IF(NOT(ISNUMBER(T2447)),"PENDING",IF(AF2447&gt;0,"PASS","FAIL"))</x:f>
        <x:v>PENDING</x:v>
      </x:c>
      <x:c r="AH2447" t="str">
        <x:f>IF(NOT(ISNUMBER(T2447)),"Needs supplier cost",IF(K2447&lt;&gt;"In stock","Supplier unavailable",IF(AG2447&lt;&gt;"PASS","BLOCK - GT loss risk","Commercially protected")))</x:f>
        <x:v>Needs supplier cost</x:v>
      </x:c>
      <x:c r="AI2447" t="str">
        <x:v>2026-09-10 Active Sports trade capture</x:v>
      </x:c>
      <x:c r="AJ2447" t="str">
        <x:v>Management-only economics. Stripe stress test uses 1.5% + £0.20 standard UK online-card fee; pallet/mix-and-match pricing ignored.</x:v>
      </x:c>
    </x:row>
    <x:row r="2448">
      <x:c r="A2448" t="str">
        <x:v>Active Sports Nutrition</x:v>
      </x:c>
      <x:c r="B2448" t="str">
        <x:v>NXT Nutrition</x:v>
      </x:c>
      <x:c r="C2448" t="str">
        <x:v>Beef Protein Isolate</x:v>
      </x:c>
      <x:c r="D2448" t="str">
        <x:v>Supplements</x:v>
      </x:c>
      <x:c r="E2448" t="str">
        <x:v>Beef Protein</x:v>
      </x:c>
      <x:c r="F2448" t="str"/>
      <x:c r="G2448" t="str">
        <x:v>540g</x:v>
      </x:c>
      <x:c r="H2448" t="str">
        <x:v>Pina Colada</x:v>
      </x:c>
      <x:c r="I2448" t="str"/>
      <x:c r="J2448" t="str">
        <x:v>Unit</x:v>
      </x:c>
      <x:c r="K2448" t="str">
        <x:v>In stock</x:v>
      </x:c>
      <x:c r="L2448" t="str">
        <x:v>2026-09-08</x:v>
      </x:c>
      <x:c r="M2448" t="str"/>
      <x:c r="N2448" t="str"/>
      <x:c r="O2448" t="str">
        <x:v>https://www.activesportstrade.co.uk/nxt-nutrition-trade</x:v>
      </x:c>
      <x:c r="P2448" t="str"/>
      <x:c r="Q2448" t="str"/>
      <x:c r="R2448" t="str"/>
      <x:c r="S2448" t="str">
        <x:v>Pending genuine supplier/brand image</x:v>
      </x:c>
      <x:c r="T2448" s="54"/>
      <x:c r="U2448" s="47" t="n">
        <x:v>0.2</x:v>
      </x:c>
      <x:c r="V2448" s="54" t="str">
        <x:f>IF(ISNUMBER(T2448),T2448*(1+U2448),"")</x:f>
      </x:c>
      <x:c r="W2448" s="47" t="n">
        <x:v>0.3</x:v>
      </x:c>
      <x:c r="X2448" s="54" t="str">
        <x:f>IF(ISNUMBER(V2448),V2448/(1-W2448),"")</x:f>
      </x:c>
      <x:c r="Y2448" s="55" t="str">
        <x:f>IF(ISNUMBER(X2448),ROUNDUP(X2448,0),"")</x:f>
      </x:c>
      <x:c r="Z2448" t="str">
        <x:f>IF(ISNUMBER(T2448),"Cost captured","Awaiting trade cost")</x:f>
        <x:v>Awaiting trade cost</x:v>
      </x:c>
      <x:c r="AB2448" s="36" t="str">
        <x:f>IF(ISNUMBER(Y2448),ROUND(Y2448*0.9,2),"")</x:f>
      </x:c>
      <x:c r="AC2448" s="36" t="str">
        <x:f>IF(ISNUMBER(AB2448),ROUND(AB2448-(AB2448*0.015+0.2)-V2448,2),"")</x:f>
      </x:c>
      <x:c r="AD2448" s="36" t="str">
        <x:f>IF(ISNUMBER(Y2448),ROUND(Y2448*0.8,2),"")</x:f>
      </x:c>
      <x:c r="AE2448" s="36" t="str">
        <x:f>IF(ISNUMBER(AD2448),ROUND(AD2448*0.015+0.2,2),"")</x:f>
      </x:c>
      <x:c r="AF2448" s="36" t="str">
        <x:f>IF(ISNUMBER(AD2448),ROUND(AD2448-AE2448-V2448,2),"")</x:f>
      </x:c>
      <x:c r="AG2448" t="str">
        <x:f>IF(NOT(ISNUMBER(T2448)),"PENDING",IF(AF2448&gt;0,"PASS","FAIL"))</x:f>
        <x:v>PENDING</x:v>
      </x:c>
      <x:c r="AH2448" t="str">
        <x:f>IF(NOT(ISNUMBER(T2448)),"Needs supplier cost",IF(K2448&lt;&gt;"In stock","Supplier unavailable",IF(AG2448&lt;&gt;"PASS","BLOCK - GT loss risk","Commercially protected")))</x:f>
        <x:v>Needs supplier cost</x:v>
      </x:c>
      <x:c r="AI2448" t="str">
        <x:v>2026-09-10 Active Sports trade capture</x:v>
      </x:c>
      <x:c r="AJ2448" t="str">
        <x:v>Management-only economics. Stripe stress test uses 1.5% + £0.20 standard UK online-card fee; pallet/mix-and-match pricing ignored.</x:v>
      </x:c>
    </x:row>
    <x:row r="2449">
      <x:c r="A2449" t="str">
        <x:v>Active Sports Nutrition</x:v>
      </x:c>
      <x:c r="B2449" t="str">
        <x:v>NXT Nutrition</x:v>
      </x:c>
      <x:c r="C2449" t="str">
        <x:v>Beef Protein Isolate</x:v>
      </x:c>
      <x:c r="D2449" t="str">
        <x:v>Supplements</x:v>
      </x:c>
      <x:c r="E2449" t="str">
        <x:v>Beef Protein</x:v>
      </x:c>
      <x:c r="F2449" t="str"/>
      <x:c r="G2449" t="str">
        <x:v>540g</x:v>
      </x:c>
      <x:c r="H2449" t="str">
        <x:v>Pineapple</x:v>
      </x:c>
      <x:c r="I2449" t="str"/>
      <x:c r="J2449" t="str">
        <x:v>Unit</x:v>
      </x:c>
      <x:c r="K2449" t="str">
        <x:v>Out of stock</x:v>
      </x:c>
      <x:c r="L2449" t="str">
        <x:v>2026-09-08</x:v>
      </x:c>
      <x:c r="M2449" t="str"/>
      <x:c r="N2449" t="str"/>
      <x:c r="O2449" t="str">
        <x:v>https://www.activesportstrade.co.uk/nxt-nutrition-trade</x:v>
      </x:c>
      <x:c r="P2449" t="str"/>
      <x:c r="Q2449" t="str"/>
      <x:c r="R2449" t="str"/>
      <x:c r="S2449" t="str">
        <x:v>Pending genuine supplier/brand image</x:v>
      </x:c>
      <x:c r="T2449" s="54"/>
      <x:c r="U2449" s="47" t="n">
        <x:v>0.2</x:v>
      </x:c>
      <x:c r="V2449" s="54" t="str">
        <x:f>IF(ISNUMBER(T2449),T2449*(1+U2449),"")</x:f>
      </x:c>
      <x:c r="W2449" s="47" t="n">
        <x:v>0.3</x:v>
      </x:c>
      <x:c r="X2449" s="54" t="str">
        <x:f>IF(ISNUMBER(V2449),V2449/(1-W2449),"")</x:f>
      </x:c>
      <x:c r="Y2449" s="55" t="str">
        <x:f>IF(ISNUMBER(X2449),ROUNDUP(X2449,0),"")</x:f>
      </x:c>
      <x:c r="Z2449" t="str">
        <x:f>IF(ISNUMBER(T2449),"Cost captured","Awaiting trade cost")</x:f>
        <x:v>Awaiting trade cost</x:v>
      </x:c>
      <x:c r="AB2449" s="36" t="str">
        <x:f>IF(ISNUMBER(Y2449),ROUND(Y2449*0.9,2),"")</x:f>
      </x:c>
      <x:c r="AC2449" s="36" t="str">
        <x:f>IF(ISNUMBER(AB2449),ROUND(AB2449-(AB2449*0.015+0.2)-V2449,2),"")</x:f>
      </x:c>
      <x:c r="AD2449" s="36" t="str">
        <x:f>IF(ISNUMBER(Y2449),ROUND(Y2449*0.8,2),"")</x:f>
      </x:c>
      <x:c r="AE2449" s="36" t="str">
        <x:f>IF(ISNUMBER(AD2449),ROUND(AD2449*0.015+0.2,2),"")</x:f>
      </x:c>
      <x:c r="AF2449" s="36" t="str">
        <x:f>IF(ISNUMBER(AD2449),ROUND(AD2449-AE2449-V2449,2),"")</x:f>
      </x:c>
      <x:c r="AG2449" t="str">
        <x:f>IF(NOT(ISNUMBER(T2449)),"PENDING",IF(AF2449&gt;0,"PASS","FAIL"))</x:f>
        <x:v>PENDING</x:v>
      </x:c>
      <x:c r="AH2449" t="str">
        <x:f>IF(NOT(ISNUMBER(T2449)),"Needs supplier cost",IF(K2449&lt;&gt;"In stock","Supplier unavailable",IF(AG2449&lt;&gt;"PASS","BLOCK - GT loss risk","Commercially protected")))</x:f>
        <x:v>Needs supplier cost</x:v>
      </x:c>
      <x:c r="AI2449" t="str">
        <x:v>2026-09-10 Active Sports trade capture</x:v>
      </x:c>
      <x:c r="AJ2449" t="str">
        <x:v>Management-only economics. Stripe stress test uses 1.5% + £0.20 standard UK online-card fee; pallet/mix-and-match pricing ignored.</x:v>
      </x:c>
    </x:row>
    <x:row r="2450">
      <x:c r="A2450" t="str">
        <x:v>Active Sports Nutrition</x:v>
      </x:c>
      <x:c r="B2450" t="str">
        <x:v>NXT Nutrition</x:v>
      </x:c>
      <x:c r="C2450" t="str">
        <x:v>Beef Protein Isolate</x:v>
      </x:c>
      <x:c r="D2450" t="str">
        <x:v>Supplements</x:v>
      </x:c>
      <x:c r="E2450" t="str">
        <x:v>Beef Protein</x:v>
      </x:c>
      <x:c r="F2450" t="str"/>
      <x:c r="G2450" t="str">
        <x:v>540g</x:v>
      </x:c>
      <x:c r="H2450" t="str">
        <x:v>Pineapple &amp; Grapefruit</x:v>
      </x:c>
      <x:c r="I2450" t="str"/>
      <x:c r="J2450" t="str">
        <x:v>Unit</x:v>
      </x:c>
      <x:c r="K2450" t="str">
        <x:v>Out of stock</x:v>
      </x:c>
      <x:c r="L2450" t="str">
        <x:v>2026-09-08</x:v>
      </x:c>
      <x:c r="M2450" t="str"/>
      <x:c r="N2450" t="str"/>
      <x:c r="O2450" t="str">
        <x:v>https://www.activesportstrade.co.uk/nxt-nutrition-trade</x:v>
      </x:c>
      <x:c r="P2450" t="str"/>
      <x:c r="Q2450" t="str"/>
      <x:c r="R2450" t="str"/>
      <x:c r="S2450" t="str">
        <x:v>Pending genuine supplier/brand image</x:v>
      </x:c>
      <x:c r="T2450" s="54"/>
      <x:c r="U2450" s="47" t="n">
        <x:v>0.2</x:v>
      </x:c>
      <x:c r="V2450" s="54" t="str">
        <x:f>IF(ISNUMBER(T2450),T2450*(1+U2450),"")</x:f>
      </x:c>
      <x:c r="W2450" s="47" t="n">
        <x:v>0.3</x:v>
      </x:c>
      <x:c r="X2450" s="54" t="str">
        <x:f>IF(ISNUMBER(V2450),V2450/(1-W2450),"")</x:f>
      </x:c>
      <x:c r="Y2450" s="55" t="str">
        <x:f>IF(ISNUMBER(X2450),ROUNDUP(X2450,0),"")</x:f>
      </x:c>
      <x:c r="Z2450" t="str">
        <x:f>IF(ISNUMBER(T2450),"Cost captured","Awaiting trade cost")</x:f>
        <x:v>Awaiting trade cost</x:v>
      </x:c>
      <x:c r="AB2450" s="36" t="str">
        <x:f>IF(ISNUMBER(Y2450),ROUND(Y2450*0.9,2),"")</x:f>
      </x:c>
      <x:c r="AC2450" s="36" t="str">
        <x:f>IF(ISNUMBER(AB2450),ROUND(AB2450-(AB2450*0.015+0.2)-V2450,2),"")</x:f>
      </x:c>
      <x:c r="AD2450" s="36" t="str">
        <x:f>IF(ISNUMBER(Y2450),ROUND(Y2450*0.8,2),"")</x:f>
      </x:c>
      <x:c r="AE2450" s="36" t="str">
        <x:f>IF(ISNUMBER(AD2450),ROUND(AD2450*0.015+0.2,2),"")</x:f>
      </x:c>
      <x:c r="AF2450" s="36" t="str">
        <x:f>IF(ISNUMBER(AD2450),ROUND(AD2450-AE2450-V2450,2),"")</x:f>
      </x:c>
      <x:c r="AG2450" t="str">
        <x:f>IF(NOT(ISNUMBER(T2450)),"PENDING",IF(AF2450&gt;0,"PASS","FAIL"))</x:f>
        <x:v>PENDING</x:v>
      </x:c>
      <x:c r="AH2450" t="str">
        <x:f>IF(NOT(ISNUMBER(T2450)),"Needs supplier cost",IF(K2450&lt;&gt;"In stock","Supplier unavailable",IF(AG2450&lt;&gt;"PASS","BLOCK - GT loss risk","Commercially protected")))</x:f>
        <x:v>Needs supplier cost</x:v>
      </x:c>
      <x:c r="AI2450" t="str">
        <x:v>2026-09-10 Active Sports trade capture</x:v>
      </x:c>
      <x:c r="AJ2450" t="str">
        <x:v>Management-only economics. Stripe stress test uses 1.5% + £0.20 standard UK online-card fee; pallet/mix-and-match pricing ignored.</x:v>
      </x:c>
    </x:row>
    <x:row r="2451">
      <x:c r="A2451" t="str">
        <x:v>Active Sports Nutrition</x:v>
      </x:c>
      <x:c r="B2451" t="str">
        <x:v>NXT Nutrition</x:v>
      </x:c>
      <x:c r="C2451" t="str">
        <x:v>Beef Protein Isolate</x:v>
      </x:c>
      <x:c r="D2451" t="str">
        <x:v>Supplements</x:v>
      </x:c>
      <x:c r="E2451" t="str">
        <x:v>Beef Protein</x:v>
      </x:c>
      <x:c r="F2451" t="str"/>
      <x:c r="G2451" t="str">
        <x:v>540g</x:v>
      </x:c>
      <x:c r="H2451" t="str">
        <x:v>Strawberry &amp; Lime</x:v>
      </x:c>
      <x:c r="I2451" t="str"/>
      <x:c r="J2451" t="str">
        <x:v>Unit</x:v>
      </x:c>
      <x:c r="K2451" t="str">
        <x:v>Out of stock</x:v>
      </x:c>
      <x:c r="L2451" t="str">
        <x:v>2026-09-08</x:v>
      </x:c>
      <x:c r="M2451" t="str"/>
      <x:c r="N2451" t="str"/>
      <x:c r="O2451" t="str">
        <x:v>https://www.activesportstrade.co.uk/nxt-nutrition-trade</x:v>
      </x:c>
      <x:c r="P2451" t="str"/>
      <x:c r="Q2451" t="str"/>
      <x:c r="R2451" t="str"/>
      <x:c r="S2451" t="str">
        <x:v>Pending genuine supplier/brand image</x:v>
      </x:c>
      <x:c r="T2451" s="54"/>
      <x:c r="U2451" s="47" t="n">
        <x:v>0.2</x:v>
      </x:c>
      <x:c r="V2451" s="54" t="str">
        <x:f>IF(ISNUMBER(T2451),T2451*(1+U2451),"")</x:f>
      </x:c>
      <x:c r="W2451" s="47" t="n">
        <x:v>0.3</x:v>
      </x:c>
      <x:c r="X2451" s="54" t="str">
        <x:f>IF(ISNUMBER(V2451),V2451/(1-W2451),"")</x:f>
      </x:c>
      <x:c r="Y2451" s="55" t="str">
        <x:f>IF(ISNUMBER(X2451),ROUNDUP(X2451,0),"")</x:f>
      </x:c>
      <x:c r="Z2451" t="str">
        <x:f>IF(ISNUMBER(T2451),"Cost captured","Awaiting trade cost")</x:f>
        <x:v>Awaiting trade cost</x:v>
      </x:c>
      <x:c r="AB2451" s="36" t="str">
        <x:f>IF(ISNUMBER(Y2451),ROUND(Y2451*0.9,2),"")</x:f>
      </x:c>
      <x:c r="AC2451" s="36" t="str">
        <x:f>IF(ISNUMBER(AB2451),ROUND(AB2451-(AB2451*0.015+0.2)-V2451,2),"")</x:f>
      </x:c>
      <x:c r="AD2451" s="36" t="str">
        <x:f>IF(ISNUMBER(Y2451),ROUND(Y2451*0.8,2),"")</x:f>
      </x:c>
      <x:c r="AE2451" s="36" t="str">
        <x:f>IF(ISNUMBER(AD2451),ROUND(AD2451*0.015+0.2,2),"")</x:f>
      </x:c>
      <x:c r="AF2451" s="36" t="str">
        <x:f>IF(ISNUMBER(AD2451),ROUND(AD2451-AE2451-V2451,2),"")</x:f>
      </x:c>
      <x:c r="AG2451" t="str">
        <x:f>IF(NOT(ISNUMBER(T2451)),"PENDING",IF(AF2451&gt;0,"PASS","FAIL"))</x:f>
        <x:v>PENDING</x:v>
      </x:c>
      <x:c r="AH2451" t="str">
        <x:f>IF(NOT(ISNUMBER(T2451)),"Needs supplier cost",IF(K2451&lt;&gt;"In stock","Supplier unavailable",IF(AG2451&lt;&gt;"PASS","BLOCK - GT loss risk","Commercially protected")))</x:f>
        <x:v>Needs supplier cost</x:v>
      </x:c>
      <x:c r="AI2451" t="str">
        <x:v>2026-09-10 Active Sports trade capture</x:v>
      </x:c>
      <x:c r="AJ2451" t="str">
        <x:v>Management-only economics. Stripe stress test uses 1.5% + £0.20 standard UK online-card fee; pallet/mix-and-match pricing ignored.</x:v>
      </x:c>
    </x:row>
    <x:row r="2452">
      <x:c r="A2452" t="str">
        <x:v>Active Sports Nutrition</x:v>
      </x:c>
      <x:c r="B2452" t="str">
        <x:v>NXT Nutrition</x:v>
      </x:c>
      <x:c r="C2452" t="str">
        <x:v>Beef Protein Isolate</x:v>
      </x:c>
      <x:c r="D2452" t="str">
        <x:v>Supplements</x:v>
      </x:c>
      <x:c r="E2452" t="str">
        <x:v>Beef Protein</x:v>
      </x:c>
      <x:c r="F2452" t="str"/>
      <x:c r="G2452" t="str">
        <x:v>540g</x:v>
      </x:c>
      <x:c r="H2452" t="str">
        <x:v>Strawberry Banana</x:v>
      </x:c>
      <x:c r="I2452" t="str"/>
      <x:c r="J2452" t="str">
        <x:v>Unit</x:v>
      </x:c>
      <x:c r="K2452" t="str">
        <x:v>Out of stock</x:v>
      </x:c>
      <x:c r="L2452" t="str">
        <x:v>2026-09-08</x:v>
      </x:c>
      <x:c r="M2452" t="str"/>
      <x:c r="N2452" t="str"/>
      <x:c r="O2452" t="str">
        <x:v>https://www.activesportstrade.co.uk/nxt-nutrition-trade</x:v>
      </x:c>
      <x:c r="P2452" t="str"/>
      <x:c r="Q2452" t="str"/>
      <x:c r="R2452" t="str"/>
      <x:c r="S2452" t="str">
        <x:v>Pending genuine supplier/brand image</x:v>
      </x:c>
      <x:c r="T2452" s="54"/>
      <x:c r="U2452" s="47" t="n">
        <x:v>0.2</x:v>
      </x:c>
      <x:c r="V2452" s="54" t="str">
        <x:f>IF(ISNUMBER(T2452),T2452*(1+U2452),"")</x:f>
      </x:c>
      <x:c r="W2452" s="47" t="n">
        <x:v>0.3</x:v>
      </x:c>
      <x:c r="X2452" s="54" t="str">
        <x:f>IF(ISNUMBER(V2452),V2452/(1-W2452),"")</x:f>
      </x:c>
      <x:c r="Y2452" s="55" t="str">
        <x:f>IF(ISNUMBER(X2452),ROUNDUP(X2452,0),"")</x:f>
      </x:c>
      <x:c r="Z2452" t="str">
        <x:f>IF(ISNUMBER(T2452),"Cost captured","Awaiting trade cost")</x:f>
        <x:v>Awaiting trade cost</x:v>
      </x:c>
      <x:c r="AB2452" s="36" t="str">
        <x:f>IF(ISNUMBER(Y2452),ROUND(Y2452*0.9,2),"")</x:f>
      </x:c>
      <x:c r="AC2452" s="36" t="str">
        <x:f>IF(ISNUMBER(AB2452),ROUND(AB2452-(AB2452*0.015+0.2)-V2452,2),"")</x:f>
      </x:c>
      <x:c r="AD2452" s="36" t="str">
        <x:f>IF(ISNUMBER(Y2452),ROUND(Y2452*0.8,2),"")</x:f>
      </x:c>
      <x:c r="AE2452" s="36" t="str">
        <x:f>IF(ISNUMBER(AD2452),ROUND(AD2452*0.015+0.2,2),"")</x:f>
      </x:c>
      <x:c r="AF2452" s="36" t="str">
        <x:f>IF(ISNUMBER(AD2452),ROUND(AD2452-AE2452-V2452,2),"")</x:f>
      </x:c>
      <x:c r="AG2452" t="str">
        <x:f>IF(NOT(ISNUMBER(T2452)),"PENDING",IF(AF2452&gt;0,"PASS","FAIL"))</x:f>
        <x:v>PENDING</x:v>
      </x:c>
      <x:c r="AH2452" t="str">
        <x:f>IF(NOT(ISNUMBER(T2452)),"Needs supplier cost",IF(K2452&lt;&gt;"In stock","Supplier unavailable",IF(AG2452&lt;&gt;"PASS","BLOCK - GT loss risk","Commercially protected")))</x:f>
        <x:v>Needs supplier cost</x:v>
      </x:c>
      <x:c r="AI2452" t="str">
        <x:v>2026-09-10 Active Sports trade capture</x:v>
      </x:c>
      <x:c r="AJ2452" t="str">
        <x:v>Management-only economics. Stripe stress test uses 1.5% + £0.20 standard UK online-card fee; pallet/mix-and-match pricing ignored.</x:v>
      </x:c>
    </x:row>
    <x:row r="2453">
      <x:c r="A2453" t="str">
        <x:v>Active Sports Nutrition</x:v>
      </x:c>
      <x:c r="B2453" t="str">
        <x:v>NXT Nutrition</x:v>
      </x:c>
      <x:c r="C2453" t="str">
        <x:v>Beef Protein Isolate</x:v>
      </x:c>
      <x:c r="D2453" t="str">
        <x:v>Supplements</x:v>
      </x:c>
      <x:c r="E2453" t="str">
        <x:v>Beef Protein</x:v>
      </x:c>
      <x:c r="F2453" t="str"/>
      <x:c r="G2453" t="str">
        <x:v>540g</x:v>
      </x:c>
      <x:c r="H2453" t="str">
        <x:v>Summer Fruits</x:v>
      </x:c>
      <x:c r="I2453" t="str"/>
      <x:c r="J2453" t="str">
        <x:v>Unit</x:v>
      </x:c>
      <x:c r="K2453" t="str">
        <x:v>Out of stock</x:v>
      </x:c>
      <x:c r="L2453" t="str">
        <x:v>2026-09-08</x:v>
      </x:c>
      <x:c r="M2453" t="str"/>
      <x:c r="N2453" t="str"/>
      <x:c r="O2453" t="str">
        <x:v>https://www.activesportstrade.co.uk/nxt-nutrition-trade</x:v>
      </x:c>
      <x:c r="P2453" t="str"/>
      <x:c r="Q2453" t="str"/>
      <x:c r="R2453" t="str"/>
      <x:c r="S2453" t="str">
        <x:v>Pending genuine supplier/brand image</x:v>
      </x:c>
      <x:c r="T2453" s="54"/>
      <x:c r="U2453" s="47" t="n">
        <x:v>0.2</x:v>
      </x:c>
      <x:c r="V2453" s="54" t="str">
        <x:f>IF(ISNUMBER(T2453),T2453*(1+U2453),"")</x:f>
      </x:c>
      <x:c r="W2453" s="47" t="n">
        <x:v>0.3</x:v>
      </x:c>
      <x:c r="X2453" s="54" t="str">
        <x:f>IF(ISNUMBER(V2453),V2453/(1-W2453),"")</x:f>
      </x:c>
      <x:c r="Y2453" s="55" t="str">
        <x:f>IF(ISNUMBER(X2453),ROUNDUP(X2453,0),"")</x:f>
      </x:c>
      <x:c r="Z2453" t="str">
        <x:f>IF(ISNUMBER(T2453),"Cost captured","Awaiting trade cost")</x:f>
        <x:v>Awaiting trade cost</x:v>
      </x:c>
      <x:c r="AB2453" s="36" t="str">
        <x:f>IF(ISNUMBER(Y2453),ROUND(Y2453*0.9,2),"")</x:f>
      </x:c>
      <x:c r="AC2453" s="36" t="str">
        <x:f>IF(ISNUMBER(AB2453),ROUND(AB2453-(AB2453*0.015+0.2)-V2453,2),"")</x:f>
      </x:c>
      <x:c r="AD2453" s="36" t="str">
        <x:f>IF(ISNUMBER(Y2453),ROUND(Y2453*0.8,2),"")</x:f>
      </x:c>
      <x:c r="AE2453" s="36" t="str">
        <x:f>IF(ISNUMBER(AD2453),ROUND(AD2453*0.015+0.2,2),"")</x:f>
      </x:c>
      <x:c r="AF2453" s="36" t="str">
        <x:f>IF(ISNUMBER(AD2453),ROUND(AD2453-AE2453-V2453,2),"")</x:f>
      </x:c>
      <x:c r="AG2453" t="str">
        <x:f>IF(NOT(ISNUMBER(T2453)),"PENDING",IF(AF2453&gt;0,"PASS","FAIL"))</x:f>
        <x:v>PENDING</x:v>
      </x:c>
      <x:c r="AH2453" t="str">
        <x:f>IF(NOT(ISNUMBER(T2453)),"Needs supplier cost",IF(K2453&lt;&gt;"In stock","Supplier unavailable",IF(AG2453&lt;&gt;"PASS","BLOCK - GT loss risk","Commercially protected")))</x:f>
        <x:v>Needs supplier cost</x:v>
      </x:c>
      <x:c r="AI2453" t="str">
        <x:v>2026-09-10 Active Sports trade capture</x:v>
      </x:c>
      <x:c r="AJ2453" t="str">
        <x:v>Management-only economics. Stripe stress test uses 1.5% + £0.20 standard UK online-card fee; pallet/mix-and-match pricing ignored.</x:v>
      </x:c>
    </x:row>
    <x:row r="2454">
      <x:c r="A2454" t="str">
        <x:v>Active Sports Nutrition</x:v>
      </x:c>
      <x:c r="B2454" t="str">
        <x:v>NXT Nutrition</x:v>
      </x:c>
      <x:c r="C2454" t="str">
        <x:v>Beef Protein Isolate</x:v>
      </x:c>
      <x:c r="D2454" t="str">
        <x:v>Supplements</x:v>
      </x:c>
      <x:c r="E2454" t="str">
        <x:v>Beef Protein</x:v>
      </x:c>
      <x:c r="F2454" t="str"/>
      <x:c r="G2454" t="str">
        <x:v>540g</x:v>
      </x:c>
      <x:c r="H2454" t="str">
        <x:v>Watermelon &amp; Strawberry</x:v>
      </x:c>
      <x:c r="I2454" t="str"/>
      <x:c r="J2454" t="str">
        <x:v>Unit</x:v>
      </x:c>
      <x:c r="K2454" t="str">
        <x:v>Out of stock</x:v>
      </x:c>
      <x:c r="L2454" t="str">
        <x:v>2026-09-08</x:v>
      </x:c>
      <x:c r="M2454" t="str"/>
      <x:c r="N2454" t="str"/>
      <x:c r="O2454" t="str">
        <x:v>https://www.activesportstrade.co.uk/nxt-nutrition-trade</x:v>
      </x:c>
      <x:c r="P2454" t="str"/>
      <x:c r="Q2454" t="str"/>
      <x:c r="R2454" t="str"/>
      <x:c r="S2454" t="str">
        <x:v>Pending genuine supplier/brand image</x:v>
      </x:c>
      <x:c r="T2454" s="54"/>
      <x:c r="U2454" s="47" t="n">
        <x:v>0.2</x:v>
      </x:c>
      <x:c r="V2454" s="54" t="str">
        <x:f>IF(ISNUMBER(T2454),T2454*(1+U2454),"")</x:f>
      </x:c>
      <x:c r="W2454" s="47" t="n">
        <x:v>0.3</x:v>
      </x:c>
      <x:c r="X2454" s="54" t="str">
        <x:f>IF(ISNUMBER(V2454),V2454/(1-W2454),"")</x:f>
      </x:c>
      <x:c r="Y2454" s="55" t="str">
        <x:f>IF(ISNUMBER(X2454),ROUNDUP(X2454,0),"")</x:f>
      </x:c>
      <x:c r="Z2454" t="str">
        <x:f>IF(ISNUMBER(T2454),"Cost captured","Awaiting trade cost")</x:f>
        <x:v>Awaiting trade cost</x:v>
      </x:c>
      <x:c r="AB2454" s="36" t="str">
        <x:f>IF(ISNUMBER(Y2454),ROUND(Y2454*0.9,2),"")</x:f>
      </x:c>
      <x:c r="AC2454" s="36" t="str">
        <x:f>IF(ISNUMBER(AB2454),ROUND(AB2454-(AB2454*0.015+0.2)-V2454,2),"")</x:f>
      </x:c>
      <x:c r="AD2454" s="36" t="str">
        <x:f>IF(ISNUMBER(Y2454),ROUND(Y2454*0.8,2),"")</x:f>
      </x:c>
      <x:c r="AE2454" s="36" t="str">
        <x:f>IF(ISNUMBER(AD2454),ROUND(AD2454*0.015+0.2,2),"")</x:f>
      </x:c>
      <x:c r="AF2454" s="36" t="str">
        <x:f>IF(ISNUMBER(AD2454),ROUND(AD2454-AE2454-V2454,2),"")</x:f>
      </x:c>
      <x:c r="AG2454" t="str">
        <x:f>IF(NOT(ISNUMBER(T2454)),"PENDING",IF(AF2454&gt;0,"PASS","FAIL"))</x:f>
        <x:v>PENDING</x:v>
      </x:c>
      <x:c r="AH2454" t="str">
        <x:f>IF(NOT(ISNUMBER(T2454)),"Needs supplier cost",IF(K2454&lt;&gt;"In stock","Supplier unavailable",IF(AG2454&lt;&gt;"PASS","BLOCK - GT loss risk","Commercially protected")))</x:f>
        <x:v>Needs supplier cost</x:v>
      </x:c>
      <x:c r="AI2454" t="str">
        <x:v>2026-09-10 Active Sports trade capture</x:v>
      </x:c>
      <x:c r="AJ2454" t="str">
        <x:v>Management-only economics. Stripe stress test uses 1.5% + £0.20 standard UK online-card fee; pallet/mix-and-match pricing ignored.</x:v>
      </x:c>
    </x:row>
    <x:row r="2455">
      <x:c r="A2455" t="str">
        <x:v>Active Sports Nutrition</x:v>
      </x:c>
      <x:c r="B2455" t="str">
        <x:v>NXT Nutrition</x:v>
      </x:c>
      <x:c r="C2455" t="str">
        <x:v>Cream of Rice</x:v>
      </x:c>
      <x:c r="D2455" t="str">
        <x:v>Food &amp; Drinks</x:v>
      </x:c>
      <x:c r="E2455" t="str">
        <x:v>Carbohydrate Foods</x:v>
      </x:c>
      <x:c r="F2455" t="str"/>
      <x:c r="G2455" t="str">
        <x:v>2kg</x:v>
      </x:c>
      <x:c r="H2455" t="str">
        <x:v>Banoffee</x:v>
      </x:c>
      <x:c r="I2455" t="str"/>
      <x:c r="J2455" t="str">
        <x:v>Unit</x:v>
      </x:c>
      <x:c r="K2455" t="str">
        <x:v>In stock</x:v>
      </x:c>
      <x:c r="L2455" t="str">
        <x:v>2026-09-08</x:v>
      </x:c>
      <x:c r="M2455" t="str"/>
      <x:c r="N2455" t="str"/>
      <x:c r="O2455" t="str">
        <x:v>https://www.activesportstrade.co.uk/nxt-nutrition-trade</x:v>
      </x:c>
      <x:c r="P2455" t="str"/>
      <x:c r="Q2455" t="str"/>
      <x:c r="R2455" t="str"/>
      <x:c r="S2455" t="str">
        <x:v>Pending genuine supplier/brand image</x:v>
      </x:c>
      <x:c r="T2455" s="54"/>
      <x:c r="U2455" s="47" t="n">
        <x:v>0.2</x:v>
      </x:c>
      <x:c r="V2455" s="54" t="str">
        <x:f>IF(ISNUMBER(T2455),T2455*(1+U2455),"")</x:f>
      </x:c>
      <x:c r="W2455" s="47" t="n">
        <x:v>0.3</x:v>
      </x:c>
      <x:c r="X2455" s="54" t="str">
        <x:f>IF(ISNUMBER(V2455),V2455/(1-W2455),"")</x:f>
      </x:c>
      <x:c r="Y2455" s="55" t="str">
        <x:f>IF(ISNUMBER(X2455),ROUNDUP(X2455,0),"")</x:f>
      </x:c>
      <x:c r="Z2455" t="str">
        <x:f>IF(ISNUMBER(T2455),"Cost captured","Awaiting trade cost")</x:f>
        <x:v>Awaiting trade cost</x:v>
      </x:c>
      <x:c r="AB2455" s="36" t="str">
        <x:f>IF(ISNUMBER(Y2455),ROUND(Y2455*0.9,2),"")</x:f>
      </x:c>
      <x:c r="AC2455" s="36" t="str">
        <x:f>IF(ISNUMBER(AB2455),ROUND(AB2455-(AB2455*0.015+0.2)-V2455,2),"")</x:f>
      </x:c>
      <x:c r="AD2455" s="36" t="str">
        <x:f>IF(ISNUMBER(Y2455),ROUND(Y2455*0.8,2),"")</x:f>
      </x:c>
      <x:c r="AE2455" s="36" t="str">
        <x:f>IF(ISNUMBER(AD2455),ROUND(AD2455*0.015+0.2,2),"")</x:f>
      </x:c>
      <x:c r="AF2455" s="36" t="str">
        <x:f>IF(ISNUMBER(AD2455),ROUND(AD2455-AE2455-V2455,2),"")</x:f>
      </x:c>
      <x:c r="AG2455" t="str">
        <x:f>IF(NOT(ISNUMBER(T2455)),"PENDING",IF(AF2455&gt;0,"PASS","FAIL"))</x:f>
        <x:v>PENDING</x:v>
      </x:c>
      <x:c r="AH2455" t="str">
        <x:f>IF(NOT(ISNUMBER(T2455)),"Needs supplier cost",IF(K2455&lt;&gt;"In stock","Supplier unavailable",IF(AG2455&lt;&gt;"PASS","BLOCK - GT loss risk","Commercially protected")))</x:f>
        <x:v>Needs supplier cost</x:v>
      </x:c>
      <x:c r="AI2455" t="str">
        <x:v>2026-09-10 Active Sports trade capture</x:v>
      </x:c>
      <x:c r="AJ2455" t="str">
        <x:v>Management-only economics. Stripe stress test uses 1.5% + £0.20 standard UK online-card fee; pallet/mix-and-match pricing ignored.</x:v>
      </x:c>
    </x:row>
    <x:row r="2456">
      <x:c r="A2456" t="str">
        <x:v>Active Sports Nutrition</x:v>
      </x:c>
      <x:c r="B2456" t="str">
        <x:v>NXT Nutrition</x:v>
      </x:c>
      <x:c r="C2456" t="str">
        <x:v>Cream of Rice</x:v>
      </x:c>
      <x:c r="D2456" t="str">
        <x:v>Food &amp; Drinks</x:v>
      </x:c>
      <x:c r="E2456" t="str">
        <x:v>Carbohydrate Foods</x:v>
      </x:c>
      <x:c r="F2456" t="str"/>
      <x:c r="G2456" t="str">
        <x:v>2kg</x:v>
      </x:c>
      <x:c r="H2456" t="str">
        <x:v>Chocolate</x:v>
      </x:c>
      <x:c r="I2456" t="str"/>
      <x:c r="J2456" t="str">
        <x:v>Unit</x:v>
      </x:c>
      <x:c r="K2456" t="str">
        <x:v>In stock</x:v>
      </x:c>
      <x:c r="L2456" t="str">
        <x:v>2026-09-08</x:v>
      </x:c>
      <x:c r="M2456" t="str"/>
      <x:c r="N2456" t="str"/>
      <x:c r="O2456" t="str">
        <x:v>https://www.activesportstrade.co.uk/nxt-nutrition-trade</x:v>
      </x:c>
      <x:c r="P2456" t="str"/>
      <x:c r="Q2456" t="str"/>
      <x:c r="R2456" t="str"/>
      <x:c r="S2456" t="str">
        <x:v>Pending genuine supplier/brand image</x:v>
      </x:c>
      <x:c r="T2456" s="54"/>
      <x:c r="U2456" s="47" t="n">
        <x:v>0.2</x:v>
      </x:c>
      <x:c r="V2456" s="54" t="str">
        <x:f>IF(ISNUMBER(T2456),T2456*(1+U2456),"")</x:f>
      </x:c>
      <x:c r="W2456" s="47" t="n">
        <x:v>0.3</x:v>
      </x:c>
      <x:c r="X2456" s="54" t="str">
        <x:f>IF(ISNUMBER(V2456),V2456/(1-W2456),"")</x:f>
      </x:c>
      <x:c r="Y2456" s="55" t="str">
        <x:f>IF(ISNUMBER(X2456),ROUNDUP(X2456,0),"")</x:f>
      </x:c>
      <x:c r="Z2456" t="str">
        <x:f>IF(ISNUMBER(T2456),"Cost captured","Awaiting trade cost")</x:f>
        <x:v>Awaiting trade cost</x:v>
      </x:c>
      <x:c r="AB2456" s="36" t="str">
        <x:f>IF(ISNUMBER(Y2456),ROUND(Y2456*0.9,2),"")</x:f>
      </x:c>
      <x:c r="AC2456" s="36" t="str">
        <x:f>IF(ISNUMBER(AB2456),ROUND(AB2456-(AB2456*0.015+0.2)-V2456,2),"")</x:f>
      </x:c>
      <x:c r="AD2456" s="36" t="str">
        <x:f>IF(ISNUMBER(Y2456),ROUND(Y2456*0.8,2),"")</x:f>
      </x:c>
      <x:c r="AE2456" s="36" t="str">
        <x:f>IF(ISNUMBER(AD2456),ROUND(AD2456*0.015+0.2,2),"")</x:f>
      </x:c>
      <x:c r="AF2456" s="36" t="str">
        <x:f>IF(ISNUMBER(AD2456),ROUND(AD2456-AE2456-V2456,2),"")</x:f>
      </x:c>
      <x:c r="AG2456" t="str">
        <x:f>IF(NOT(ISNUMBER(T2456)),"PENDING",IF(AF2456&gt;0,"PASS","FAIL"))</x:f>
        <x:v>PENDING</x:v>
      </x:c>
      <x:c r="AH2456" t="str">
        <x:f>IF(NOT(ISNUMBER(T2456)),"Needs supplier cost",IF(K2456&lt;&gt;"In stock","Supplier unavailable",IF(AG2456&lt;&gt;"PASS","BLOCK - GT loss risk","Commercially protected")))</x:f>
        <x:v>Needs supplier cost</x:v>
      </x:c>
      <x:c r="AI2456" t="str">
        <x:v>2026-09-10 Active Sports trade capture</x:v>
      </x:c>
      <x:c r="AJ2456" t="str">
        <x:v>Management-only economics. Stripe stress test uses 1.5% + £0.20 standard UK online-card fee; pallet/mix-and-match pricing ignored.</x:v>
      </x:c>
    </x:row>
    <x:row r="2457">
      <x:c r="A2457" t="str">
        <x:v>Active Sports Nutrition</x:v>
      </x:c>
      <x:c r="B2457" t="str">
        <x:v>NXT Nutrition</x:v>
      </x:c>
      <x:c r="C2457" t="str">
        <x:v>Cream of Rice</x:v>
      </x:c>
      <x:c r="D2457" t="str">
        <x:v>Food &amp; Drinks</x:v>
      </x:c>
      <x:c r="E2457" t="str">
        <x:v>Carbohydrate Foods</x:v>
      </x:c>
      <x:c r="F2457" t="str"/>
      <x:c r="G2457" t="str">
        <x:v>2kg</x:v>
      </x:c>
      <x:c r="H2457" t="str">
        <x:v>Salted Caramel</x:v>
      </x:c>
      <x:c r="I2457" t="str"/>
      <x:c r="J2457" t="str">
        <x:v>Unit</x:v>
      </x:c>
      <x:c r="K2457" t="str">
        <x:v>In stock</x:v>
      </x:c>
      <x:c r="L2457" t="str">
        <x:v>2026-09-08</x:v>
      </x:c>
      <x:c r="M2457" t="str"/>
      <x:c r="N2457" t="str"/>
      <x:c r="O2457" t="str">
        <x:v>https://www.activesportstrade.co.uk/nxt-nutrition-trade</x:v>
      </x:c>
      <x:c r="P2457" t="str"/>
      <x:c r="Q2457" t="str"/>
      <x:c r="R2457" t="str"/>
      <x:c r="S2457" t="str">
        <x:v>Pending genuine supplier/brand image</x:v>
      </x:c>
      <x:c r="T2457" s="54"/>
      <x:c r="U2457" s="47" t="n">
        <x:v>0.2</x:v>
      </x:c>
      <x:c r="V2457" s="54" t="str">
        <x:f>IF(ISNUMBER(T2457),T2457*(1+U2457),"")</x:f>
      </x:c>
      <x:c r="W2457" s="47" t="n">
        <x:v>0.3</x:v>
      </x:c>
      <x:c r="X2457" s="54" t="str">
        <x:f>IF(ISNUMBER(V2457),V2457/(1-W2457),"")</x:f>
      </x:c>
      <x:c r="Y2457" s="55" t="str">
        <x:f>IF(ISNUMBER(X2457),ROUNDUP(X2457,0),"")</x:f>
      </x:c>
      <x:c r="Z2457" t="str">
        <x:f>IF(ISNUMBER(T2457),"Cost captured","Awaiting trade cost")</x:f>
        <x:v>Awaiting trade cost</x:v>
      </x:c>
      <x:c r="AB2457" s="36" t="str">
        <x:f>IF(ISNUMBER(Y2457),ROUND(Y2457*0.9,2),"")</x:f>
      </x:c>
      <x:c r="AC2457" s="36" t="str">
        <x:f>IF(ISNUMBER(AB2457),ROUND(AB2457-(AB2457*0.015+0.2)-V2457,2),"")</x:f>
      </x:c>
      <x:c r="AD2457" s="36" t="str">
        <x:f>IF(ISNUMBER(Y2457),ROUND(Y2457*0.8,2),"")</x:f>
      </x:c>
      <x:c r="AE2457" s="36" t="str">
        <x:f>IF(ISNUMBER(AD2457),ROUND(AD2457*0.015+0.2,2),"")</x:f>
      </x:c>
      <x:c r="AF2457" s="36" t="str">
        <x:f>IF(ISNUMBER(AD2457),ROUND(AD2457-AE2457-V2457,2),"")</x:f>
      </x:c>
      <x:c r="AG2457" t="str">
        <x:f>IF(NOT(ISNUMBER(T2457)),"PENDING",IF(AF2457&gt;0,"PASS","FAIL"))</x:f>
        <x:v>PENDING</x:v>
      </x:c>
      <x:c r="AH2457" t="str">
        <x:f>IF(NOT(ISNUMBER(T2457)),"Needs supplier cost",IF(K2457&lt;&gt;"In stock","Supplier unavailable",IF(AG2457&lt;&gt;"PASS","BLOCK - GT loss risk","Commercially protected")))</x:f>
        <x:v>Needs supplier cost</x:v>
      </x:c>
      <x:c r="AI2457" t="str">
        <x:v>2026-09-10 Active Sports trade capture</x:v>
      </x:c>
      <x:c r="AJ2457" t="str">
        <x:v>Management-only economics. Stripe stress test uses 1.5% + £0.20 standard UK online-card fee; pallet/mix-and-match pricing ignored.</x:v>
      </x:c>
    </x:row>
    <x:row r="2458">
      <x:c r="A2458" t="str">
        <x:v>Active Sports Nutrition</x:v>
      </x:c>
      <x:c r="B2458" t="str">
        <x:v>NXT Nutrition</x:v>
      </x:c>
      <x:c r="C2458" t="str">
        <x:v>Cream of Rice</x:v>
      </x:c>
      <x:c r="D2458" t="str">
        <x:v>Food &amp; Drinks</x:v>
      </x:c>
      <x:c r="E2458" t="str">
        <x:v>Carbohydrate Foods</x:v>
      </x:c>
      <x:c r="F2458" t="str"/>
      <x:c r="G2458" t="str">
        <x:v>2kg</x:v>
      </x:c>
      <x:c r="H2458" t="str">
        <x:v>Strawberry Cheesecake</x:v>
      </x:c>
      <x:c r="I2458" t="str"/>
      <x:c r="J2458" t="str">
        <x:v>Unit</x:v>
      </x:c>
      <x:c r="K2458" t="str">
        <x:v>In stock</x:v>
      </x:c>
      <x:c r="L2458" t="str">
        <x:v>2026-09-08</x:v>
      </x:c>
      <x:c r="M2458" t="str"/>
      <x:c r="N2458" t="str"/>
      <x:c r="O2458" t="str">
        <x:v>https://www.activesportstrade.co.uk/nxt-nutrition-trade</x:v>
      </x:c>
      <x:c r="P2458" t="str"/>
      <x:c r="Q2458" t="str"/>
      <x:c r="R2458" t="str"/>
      <x:c r="S2458" t="str">
        <x:v>Pending genuine supplier/brand image</x:v>
      </x:c>
      <x:c r="T2458" s="54"/>
      <x:c r="U2458" s="47" t="n">
        <x:v>0.2</x:v>
      </x:c>
      <x:c r="V2458" s="54" t="str">
        <x:f>IF(ISNUMBER(T2458),T2458*(1+U2458),"")</x:f>
      </x:c>
      <x:c r="W2458" s="47" t="n">
        <x:v>0.3</x:v>
      </x:c>
      <x:c r="X2458" s="54" t="str">
        <x:f>IF(ISNUMBER(V2458),V2458/(1-W2458),"")</x:f>
      </x:c>
      <x:c r="Y2458" s="55" t="str">
        <x:f>IF(ISNUMBER(X2458),ROUNDUP(X2458,0),"")</x:f>
      </x:c>
      <x:c r="Z2458" t="str">
        <x:f>IF(ISNUMBER(T2458),"Cost captured","Awaiting trade cost")</x:f>
        <x:v>Awaiting trade cost</x:v>
      </x:c>
      <x:c r="AB2458" s="36" t="str">
        <x:f>IF(ISNUMBER(Y2458),ROUND(Y2458*0.9,2),"")</x:f>
      </x:c>
      <x:c r="AC2458" s="36" t="str">
        <x:f>IF(ISNUMBER(AB2458),ROUND(AB2458-(AB2458*0.015+0.2)-V2458,2),"")</x:f>
      </x:c>
      <x:c r="AD2458" s="36" t="str">
        <x:f>IF(ISNUMBER(Y2458),ROUND(Y2458*0.8,2),"")</x:f>
      </x:c>
      <x:c r="AE2458" s="36" t="str">
        <x:f>IF(ISNUMBER(AD2458),ROUND(AD2458*0.015+0.2,2),"")</x:f>
      </x:c>
      <x:c r="AF2458" s="36" t="str">
        <x:f>IF(ISNUMBER(AD2458),ROUND(AD2458-AE2458-V2458,2),"")</x:f>
      </x:c>
      <x:c r="AG2458" t="str">
        <x:f>IF(NOT(ISNUMBER(T2458)),"PENDING",IF(AF2458&gt;0,"PASS","FAIL"))</x:f>
        <x:v>PENDING</x:v>
      </x:c>
      <x:c r="AH2458" t="str">
        <x:f>IF(NOT(ISNUMBER(T2458)),"Needs supplier cost",IF(K2458&lt;&gt;"In stock","Supplier unavailable",IF(AG2458&lt;&gt;"PASS","BLOCK - GT loss risk","Commercially protected")))</x:f>
        <x:v>Needs supplier cost</x:v>
      </x:c>
      <x:c r="AI2458" t="str">
        <x:v>2026-09-10 Active Sports trade capture</x:v>
      </x:c>
      <x:c r="AJ2458" t="str">
        <x:v>Management-only economics. Stripe stress test uses 1.5% + £0.20 standard UK online-card fee; pallet/mix-and-match pricing ignored.</x:v>
      </x:c>
    </x:row>
    <x:row r="2459">
      <x:c r="A2459" t="str">
        <x:v>Active Sports Nutrition</x:v>
      </x:c>
      <x:c r="B2459" t="str">
        <x:v>NXT Nutrition</x:v>
      </x:c>
      <x:c r="C2459" t="str">
        <x:v>Cream of Rice</x:v>
      </x:c>
      <x:c r="D2459" t="str">
        <x:v>Food &amp; Drinks</x:v>
      </x:c>
      <x:c r="E2459" t="str">
        <x:v>Carbohydrate Foods</x:v>
      </x:c>
      <x:c r="F2459" t="str"/>
      <x:c r="G2459" t="str">
        <x:v>2kg</x:v>
      </x:c>
      <x:c r="H2459" t="str">
        <x:v>Unflavoured</x:v>
      </x:c>
      <x:c r="I2459" t="str"/>
      <x:c r="J2459" t="str">
        <x:v>Unit</x:v>
      </x:c>
      <x:c r="K2459" t="str">
        <x:v>Out of stock</x:v>
      </x:c>
      <x:c r="L2459" t="str">
        <x:v>2026-09-08</x:v>
      </x:c>
      <x:c r="M2459" t="str"/>
      <x:c r="N2459" t="str"/>
      <x:c r="O2459" t="str">
        <x:v>https://www.activesportstrade.co.uk/nxt-nutrition-trade</x:v>
      </x:c>
      <x:c r="P2459" t="str"/>
      <x:c r="Q2459" t="str"/>
      <x:c r="R2459" t="str"/>
      <x:c r="S2459" t="str">
        <x:v>Pending genuine supplier/brand image</x:v>
      </x:c>
      <x:c r="T2459" s="54"/>
      <x:c r="U2459" s="47" t="n">
        <x:v>0.2</x:v>
      </x:c>
      <x:c r="V2459" s="54" t="str">
        <x:f>IF(ISNUMBER(T2459),T2459*(1+U2459),"")</x:f>
      </x:c>
      <x:c r="W2459" s="47" t="n">
        <x:v>0.3</x:v>
      </x:c>
      <x:c r="X2459" s="54" t="str">
        <x:f>IF(ISNUMBER(V2459),V2459/(1-W2459),"")</x:f>
      </x:c>
      <x:c r="Y2459" s="55" t="str">
        <x:f>IF(ISNUMBER(X2459),ROUNDUP(X2459,0),"")</x:f>
      </x:c>
      <x:c r="Z2459" t="str">
        <x:f>IF(ISNUMBER(T2459),"Cost captured","Awaiting trade cost")</x:f>
        <x:v>Awaiting trade cost</x:v>
      </x:c>
      <x:c r="AB2459" s="36" t="str">
        <x:f>IF(ISNUMBER(Y2459),ROUND(Y2459*0.9,2),"")</x:f>
      </x:c>
      <x:c r="AC2459" s="36" t="str">
        <x:f>IF(ISNUMBER(AB2459),ROUND(AB2459-(AB2459*0.015+0.2)-V2459,2),"")</x:f>
      </x:c>
      <x:c r="AD2459" s="36" t="str">
        <x:f>IF(ISNUMBER(Y2459),ROUND(Y2459*0.8,2),"")</x:f>
      </x:c>
      <x:c r="AE2459" s="36" t="str">
        <x:f>IF(ISNUMBER(AD2459),ROUND(AD2459*0.015+0.2,2),"")</x:f>
      </x:c>
      <x:c r="AF2459" s="36" t="str">
        <x:f>IF(ISNUMBER(AD2459),ROUND(AD2459-AE2459-V2459,2),"")</x:f>
      </x:c>
      <x:c r="AG2459" t="str">
        <x:f>IF(NOT(ISNUMBER(T2459)),"PENDING",IF(AF2459&gt;0,"PASS","FAIL"))</x:f>
        <x:v>PENDING</x:v>
      </x:c>
      <x:c r="AH2459" t="str">
        <x:f>IF(NOT(ISNUMBER(T2459)),"Needs supplier cost",IF(K2459&lt;&gt;"In stock","Supplier unavailable",IF(AG2459&lt;&gt;"PASS","BLOCK - GT loss risk","Commercially protected")))</x:f>
        <x:v>Needs supplier cost</x:v>
      </x:c>
      <x:c r="AI2459" t="str">
        <x:v>2026-09-10 Active Sports trade capture</x:v>
      </x:c>
      <x:c r="AJ2459" t="str">
        <x:v>Management-only economics. Stripe stress test uses 1.5% + £0.20 standard UK online-card fee; pallet/mix-and-match pricing ignored.</x:v>
      </x:c>
    </x:row>
    <x:row r="2460">
      <x:c r="A2460" t="str">
        <x:v>Active Sports Nutrition</x:v>
      </x:c>
      <x:c r="B2460" t="str">
        <x:v>NXT Nutrition</x:v>
      </x:c>
      <x:c r="C2460" t="str">
        <x:v>Cream of Rice</x:v>
      </x:c>
      <x:c r="D2460" t="str">
        <x:v>Food &amp; Drinks</x:v>
      </x:c>
      <x:c r="E2460" t="str">
        <x:v>Carbohydrate Foods</x:v>
      </x:c>
      <x:c r="F2460" t="str"/>
      <x:c r="G2460" t="str">
        <x:v>2kg</x:v>
      </x:c>
      <x:c r="H2460" t="str">
        <x:v>Vanilla</x:v>
      </x:c>
      <x:c r="I2460" t="str"/>
      <x:c r="J2460" t="str">
        <x:v>Unit</x:v>
      </x:c>
      <x:c r="K2460" t="str">
        <x:v>In stock</x:v>
      </x:c>
      <x:c r="L2460" t="str">
        <x:v>2026-09-08</x:v>
      </x:c>
      <x:c r="M2460" t="str"/>
      <x:c r="N2460" t="str"/>
      <x:c r="O2460" t="str">
        <x:v>https://www.activesportstrade.co.uk/nxt-nutrition-trade</x:v>
      </x:c>
      <x:c r="P2460" t="str"/>
      <x:c r="Q2460" t="str"/>
      <x:c r="R2460" t="str"/>
      <x:c r="S2460" t="str">
        <x:v>Pending genuine supplier/brand image</x:v>
      </x:c>
      <x:c r="T2460" s="54"/>
      <x:c r="U2460" s="47" t="n">
        <x:v>0.2</x:v>
      </x:c>
      <x:c r="V2460" s="54" t="str">
        <x:f>IF(ISNUMBER(T2460),T2460*(1+U2460),"")</x:f>
      </x:c>
      <x:c r="W2460" s="47" t="n">
        <x:v>0.3</x:v>
      </x:c>
      <x:c r="X2460" s="54" t="str">
        <x:f>IF(ISNUMBER(V2460),V2460/(1-W2460),"")</x:f>
      </x:c>
      <x:c r="Y2460" s="55" t="str">
        <x:f>IF(ISNUMBER(X2460),ROUNDUP(X2460,0),"")</x:f>
      </x:c>
      <x:c r="Z2460" t="str">
        <x:f>IF(ISNUMBER(T2460),"Cost captured","Awaiting trade cost")</x:f>
        <x:v>Awaiting trade cost</x:v>
      </x:c>
      <x:c r="AB2460" s="36" t="str">
        <x:f>IF(ISNUMBER(Y2460),ROUND(Y2460*0.9,2),"")</x:f>
      </x:c>
      <x:c r="AC2460" s="36" t="str">
        <x:f>IF(ISNUMBER(AB2460),ROUND(AB2460-(AB2460*0.015+0.2)-V2460,2),"")</x:f>
      </x:c>
      <x:c r="AD2460" s="36" t="str">
        <x:f>IF(ISNUMBER(Y2460),ROUND(Y2460*0.8,2),"")</x:f>
      </x:c>
      <x:c r="AE2460" s="36" t="str">
        <x:f>IF(ISNUMBER(AD2460),ROUND(AD2460*0.015+0.2,2),"")</x:f>
      </x:c>
      <x:c r="AF2460" s="36" t="str">
        <x:f>IF(ISNUMBER(AD2460),ROUND(AD2460-AE2460-V2460,2),"")</x:f>
      </x:c>
      <x:c r="AG2460" t="str">
        <x:f>IF(NOT(ISNUMBER(T2460)),"PENDING",IF(AF2460&gt;0,"PASS","FAIL"))</x:f>
        <x:v>PENDING</x:v>
      </x:c>
      <x:c r="AH2460" t="str">
        <x:f>IF(NOT(ISNUMBER(T2460)),"Needs supplier cost",IF(K2460&lt;&gt;"In stock","Supplier unavailable",IF(AG2460&lt;&gt;"PASS","BLOCK - GT loss risk","Commercially protected")))</x:f>
        <x:v>Needs supplier cost</x:v>
      </x:c>
      <x:c r="AI2460" t="str">
        <x:v>2026-09-10 Active Sports trade capture</x:v>
      </x:c>
      <x:c r="AJ2460" t="str">
        <x:v>Management-only economics. Stripe stress test uses 1.5% + £0.20 standard UK online-card fee; pallet/mix-and-match pricing ignored.</x:v>
      </x:c>
    </x:row>
    <x:row r="2461">
      <x:c r="A2461" t="str">
        <x:v>Active Sports Nutrition</x:v>
      </x:c>
      <x:c r="B2461" t="str">
        <x:v>NXT Nutrition</x:v>
      </x:c>
      <x:c r="C2461" t="str">
        <x:v>Creatine Monohydrate</x:v>
      </x:c>
      <x:c r="D2461" t="str">
        <x:v>Supplements</x:v>
      </x:c>
      <x:c r="E2461" t="str">
        <x:v>Creatine Tablets</x:v>
      </x:c>
      <x:c r="F2461" t="str"/>
      <x:c r="G2461" t="str">
        <x:v>200 tablets</x:v>
      </x:c>
      <x:c r="H2461" t="str">
        <x:v>Default</x:v>
      </x:c>
      <x:c r="I2461" t="str"/>
      <x:c r="J2461" t="str">
        <x:v>Unit</x:v>
      </x:c>
      <x:c r="K2461" t="str">
        <x:v>In stock</x:v>
      </x:c>
      <x:c r="L2461" t="str">
        <x:v>2026-09-08</x:v>
      </x:c>
      <x:c r="M2461" t="str"/>
      <x:c r="N2461" t="str"/>
      <x:c r="O2461" t="str">
        <x:v>https://www.activesportstrade.co.uk/nxt-nutrition-trade</x:v>
      </x:c>
      <x:c r="P2461" t="str"/>
      <x:c r="Q2461" t="str"/>
      <x:c r="R2461" t="str"/>
      <x:c r="S2461" t="str">
        <x:v>Pending genuine supplier/brand image</x:v>
      </x:c>
      <x:c r="T2461" s="54"/>
      <x:c r="U2461" s="47" t="n">
        <x:v>0.2</x:v>
      </x:c>
      <x:c r="V2461" s="54" t="str">
        <x:f>IF(ISNUMBER(T2461),T2461*(1+U2461),"")</x:f>
      </x:c>
      <x:c r="W2461" s="47" t="n">
        <x:v>0.3</x:v>
      </x:c>
      <x:c r="X2461" s="54" t="str">
        <x:f>IF(ISNUMBER(V2461),V2461/(1-W2461),"")</x:f>
      </x:c>
      <x:c r="Y2461" s="55" t="str">
        <x:f>IF(ISNUMBER(X2461),ROUNDUP(X2461,0),"")</x:f>
      </x:c>
      <x:c r="Z2461" t="str">
        <x:f>IF(ISNUMBER(T2461),"Cost captured","Awaiting trade cost")</x:f>
        <x:v>Awaiting trade cost</x:v>
      </x:c>
      <x:c r="AB2461" s="36" t="str">
        <x:f>IF(ISNUMBER(Y2461),ROUND(Y2461*0.9,2),"")</x:f>
      </x:c>
      <x:c r="AC2461" s="36" t="str">
        <x:f>IF(ISNUMBER(AB2461),ROUND(AB2461-(AB2461*0.015+0.2)-V2461,2),"")</x:f>
      </x:c>
      <x:c r="AD2461" s="36" t="str">
        <x:f>IF(ISNUMBER(Y2461),ROUND(Y2461*0.8,2),"")</x:f>
      </x:c>
      <x:c r="AE2461" s="36" t="str">
        <x:f>IF(ISNUMBER(AD2461),ROUND(AD2461*0.015+0.2,2),"")</x:f>
      </x:c>
      <x:c r="AF2461" s="36" t="str">
        <x:f>IF(ISNUMBER(AD2461),ROUND(AD2461-AE2461-V2461,2),"")</x:f>
      </x:c>
      <x:c r="AG2461" t="str">
        <x:f>IF(NOT(ISNUMBER(T2461)),"PENDING",IF(AF2461&gt;0,"PASS","FAIL"))</x:f>
        <x:v>PENDING</x:v>
      </x:c>
      <x:c r="AH2461" t="str">
        <x:f>IF(NOT(ISNUMBER(T2461)),"Needs supplier cost",IF(K2461&lt;&gt;"In stock","Supplier unavailable",IF(AG2461&lt;&gt;"PASS","BLOCK - GT loss risk","Commercially protected")))</x:f>
        <x:v>Needs supplier cost</x:v>
      </x:c>
      <x:c r="AI2461" t="str">
        <x:v>2026-09-10 Active Sports trade capture</x:v>
      </x:c>
      <x:c r="AJ2461" t="str">
        <x:v>Management-only economics. Stripe stress test uses 1.5% + £0.20 standard UK online-card fee; pallet/mix-and-match pricing ignored.</x:v>
      </x:c>
    </x:row>
    <x:row r="2462">
      <x:c r="A2462" t="str">
        <x:v>Active Sports Nutrition</x:v>
      </x:c>
      <x:c r="B2462" t="str">
        <x:v>NXT Nutrition</x:v>
      </x:c>
      <x:c r="C2462" t="str">
        <x:v>EAA</x:v>
      </x:c>
      <x:c r="D2462" t="str">
        <x:v>Supplements</x:v>
      </x:c>
      <x:c r="E2462" t="str">
        <x:v>EAAs</x:v>
      </x:c>
      <x:c r="F2462" t="str"/>
      <x:c r="G2462" t="str">
        <x:v>360g</x:v>
      </x:c>
      <x:c r="H2462" t="str">
        <x:v>Apple Drops</x:v>
      </x:c>
      <x:c r="I2462" t="str"/>
      <x:c r="J2462" t="str">
        <x:v>Unit</x:v>
      </x:c>
      <x:c r="K2462" t="str">
        <x:v>In stock</x:v>
      </x:c>
      <x:c r="L2462" t="str">
        <x:v>2026-09-08</x:v>
      </x:c>
      <x:c r="M2462" t="str"/>
      <x:c r="N2462" t="str"/>
      <x:c r="O2462" t="str">
        <x:v>https://www.activesportstrade.co.uk/nxt-nutrition-trade</x:v>
      </x:c>
      <x:c r="P2462" t="str"/>
      <x:c r="Q2462" t="str"/>
      <x:c r="R2462" t="str"/>
      <x:c r="S2462" t="str">
        <x:v>Pending genuine supplier/brand image</x:v>
      </x:c>
      <x:c r="T2462" s="54"/>
      <x:c r="U2462" s="47" t="n">
        <x:v>0.2</x:v>
      </x:c>
      <x:c r="V2462" s="54" t="str">
        <x:f>IF(ISNUMBER(T2462),T2462*(1+U2462),"")</x:f>
      </x:c>
      <x:c r="W2462" s="47" t="n">
        <x:v>0.3</x:v>
      </x:c>
      <x:c r="X2462" s="54" t="str">
        <x:f>IF(ISNUMBER(V2462),V2462/(1-W2462),"")</x:f>
      </x:c>
      <x:c r="Y2462" s="55" t="str">
        <x:f>IF(ISNUMBER(X2462),ROUNDUP(X2462,0),"")</x:f>
      </x:c>
      <x:c r="Z2462" t="str">
        <x:f>IF(ISNUMBER(T2462),"Cost captured","Awaiting trade cost")</x:f>
        <x:v>Awaiting trade cost</x:v>
      </x:c>
      <x:c r="AB2462" s="36" t="str">
        <x:f>IF(ISNUMBER(Y2462),ROUND(Y2462*0.9,2),"")</x:f>
      </x:c>
      <x:c r="AC2462" s="36" t="str">
        <x:f>IF(ISNUMBER(AB2462),ROUND(AB2462-(AB2462*0.015+0.2)-V2462,2),"")</x:f>
      </x:c>
      <x:c r="AD2462" s="36" t="str">
        <x:f>IF(ISNUMBER(Y2462),ROUND(Y2462*0.8,2),"")</x:f>
      </x:c>
      <x:c r="AE2462" s="36" t="str">
        <x:f>IF(ISNUMBER(AD2462),ROUND(AD2462*0.015+0.2,2),"")</x:f>
      </x:c>
      <x:c r="AF2462" s="36" t="str">
        <x:f>IF(ISNUMBER(AD2462),ROUND(AD2462-AE2462-V2462,2),"")</x:f>
      </x:c>
      <x:c r="AG2462" t="str">
        <x:f>IF(NOT(ISNUMBER(T2462)),"PENDING",IF(AF2462&gt;0,"PASS","FAIL"))</x:f>
        <x:v>PENDING</x:v>
      </x:c>
      <x:c r="AH2462" t="str">
        <x:f>IF(NOT(ISNUMBER(T2462)),"Needs supplier cost",IF(K2462&lt;&gt;"In stock","Supplier unavailable",IF(AG2462&lt;&gt;"PASS","BLOCK - GT loss risk","Commercially protected")))</x:f>
        <x:v>Needs supplier cost</x:v>
      </x:c>
      <x:c r="AI2462" t="str">
        <x:v>2026-09-10 Active Sports trade capture</x:v>
      </x:c>
      <x:c r="AJ2462" t="str">
        <x:v>Management-only economics. Stripe stress test uses 1.5% + £0.20 standard UK online-card fee; pallet/mix-and-match pricing ignored.</x:v>
      </x:c>
    </x:row>
    <x:row r="2463">
      <x:c r="A2463" t="str">
        <x:v>Active Sports Nutrition</x:v>
      </x:c>
      <x:c r="B2463" t="str">
        <x:v>NXT Nutrition</x:v>
      </x:c>
      <x:c r="C2463" t="str">
        <x:v>EAA</x:v>
      </x:c>
      <x:c r="D2463" t="str">
        <x:v>Supplements</x:v>
      </x:c>
      <x:c r="E2463" t="str">
        <x:v>EAAs</x:v>
      </x:c>
      <x:c r="F2463" t="str"/>
      <x:c r="G2463" t="str">
        <x:v>360g</x:v>
      </x:c>
      <x:c r="H2463" t="str">
        <x:v>Icy Blue Razz</x:v>
      </x:c>
      <x:c r="I2463" t="str"/>
      <x:c r="J2463" t="str">
        <x:v>Unit</x:v>
      </x:c>
      <x:c r="K2463" t="str">
        <x:v>In stock</x:v>
      </x:c>
      <x:c r="L2463" t="str">
        <x:v>2026-09-08</x:v>
      </x:c>
      <x:c r="M2463" t="str"/>
      <x:c r="N2463" t="str"/>
      <x:c r="O2463" t="str">
        <x:v>https://www.activesportstrade.co.uk/nxt-nutrition-trade</x:v>
      </x:c>
      <x:c r="P2463" t="str"/>
      <x:c r="Q2463" t="str"/>
      <x:c r="R2463" t="str"/>
      <x:c r="S2463" t="str">
        <x:v>Pending genuine supplier/brand image</x:v>
      </x:c>
      <x:c r="T2463" s="54"/>
      <x:c r="U2463" s="47" t="n">
        <x:v>0.2</x:v>
      </x:c>
      <x:c r="V2463" s="54" t="str">
        <x:f>IF(ISNUMBER(T2463),T2463*(1+U2463),"")</x:f>
      </x:c>
      <x:c r="W2463" s="47" t="n">
        <x:v>0.3</x:v>
      </x:c>
      <x:c r="X2463" s="54" t="str">
        <x:f>IF(ISNUMBER(V2463),V2463/(1-W2463),"")</x:f>
      </x:c>
      <x:c r="Y2463" s="55" t="str">
        <x:f>IF(ISNUMBER(X2463),ROUNDUP(X2463,0),"")</x:f>
      </x:c>
      <x:c r="Z2463" t="str">
        <x:f>IF(ISNUMBER(T2463),"Cost captured","Awaiting trade cost")</x:f>
        <x:v>Awaiting trade cost</x:v>
      </x:c>
      <x:c r="AB2463" s="36" t="str">
        <x:f>IF(ISNUMBER(Y2463),ROUND(Y2463*0.9,2),"")</x:f>
      </x:c>
      <x:c r="AC2463" s="36" t="str">
        <x:f>IF(ISNUMBER(AB2463),ROUND(AB2463-(AB2463*0.015+0.2)-V2463,2),"")</x:f>
      </x:c>
      <x:c r="AD2463" s="36" t="str">
        <x:f>IF(ISNUMBER(Y2463),ROUND(Y2463*0.8,2),"")</x:f>
      </x:c>
      <x:c r="AE2463" s="36" t="str">
        <x:f>IF(ISNUMBER(AD2463),ROUND(AD2463*0.015+0.2,2),"")</x:f>
      </x:c>
      <x:c r="AF2463" s="36" t="str">
        <x:f>IF(ISNUMBER(AD2463),ROUND(AD2463-AE2463-V2463,2),"")</x:f>
      </x:c>
      <x:c r="AG2463" t="str">
        <x:f>IF(NOT(ISNUMBER(T2463)),"PENDING",IF(AF2463&gt;0,"PASS","FAIL"))</x:f>
        <x:v>PENDING</x:v>
      </x:c>
      <x:c r="AH2463" t="str">
        <x:f>IF(NOT(ISNUMBER(T2463)),"Needs supplier cost",IF(K2463&lt;&gt;"In stock","Supplier unavailable",IF(AG2463&lt;&gt;"PASS","BLOCK - GT loss risk","Commercially protected")))</x:f>
        <x:v>Needs supplier cost</x:v>
      </x:c>
      <x:c r="AI2463" t="str">
        <x:v>2026-09-10 Active Sports trade capture</x:v>
      </x:c>
      <x:c r="AJ2463" t="str">
        <x:v>Management-only economics. Stripe stress test uses 1.5% + £0.20 standard UK online-card fee; pallet/mix-and-match pricing ignored.</x:v>
      </x:c>
    </x:row>
    <x:row r="2464">
      <x:c r="A2464" t="str">
        <x:v>Active Sports Nutrition</x:v>
      </x:c>
      <x:c r="B2464" t="str">
        <x:v>NXT Nutrition</x:v>
      </x:c>
      <x:c r="C2464" t="str">
        <x:v>EAA</x:v>
      </x:c>
      <x:c r="D2464" t="str">
        <x:v>Supplements</x:v>
      </x:c>
      <x:c r="E2464" t="str">
        <x:v>EAAs</x:v>
      </x:c>
      <x:c r="F2464" t="str"/>
      <x:c r="G2464" t="str">
        <x:v>360g</x:v>
      </x:c>
      <x:c r="H2464" t="str">
        <x:v>Pineapple</x:v>
      </x:c>
      <x:c r="I2464" t="str"/>
      <x:c r="J2464" t="str">
        <x:v>Unit</x:v>
      </x:c>
      <x:c r="K2464" t="str">
        <x:v>In stock</x:v>
      </x:c>
      <x:c r="L2464" t="str">
        <x:v>2026-09-08</x:v>
      </x:c>
      <x:c r="M2464" t="str"/>
      <x:c r="N2464" t="str"/>
      <x:c r="O2464" t="str">
        <x:v>https://www.activesportstrade.co.uk/nxt-nutrition-trade</x:v>
      </x:c>
      <x:c r="P2464" t="str"/>
      <x:c r="Q2464" t="str"/>
      <x:c r="R2464" t="str"/>
      <x:c r="S2464" t="str">
        <x:v>Pending genuine supplier/brand image</x:v>
      </x:c>
      <x:c r="T2464" s="54"/>
      <x:c r="U2464" s="47" t="n">
        <x:v>0.2</x:v>
      </x:c>
      <x:c r="V2464" s="54" t="str">
        <x:f>IF(ISNUMBER(T2464),T2464*(1+U2464),"")</x:f>
      </x:c>
      <x:c r="W2464" s="47" t="n">
        <x:v>0.3</x:v>
      </x:c>
      <x:c r="X2464" s="54" t="str">
        <x:f>IF(ISNUMBER(V2464),V2464/(1-W2464),"")</x:f>
      </x:c>
      <x:c r="Y2464" s="55" t="str">
        <x:f>IF(ISNUMBER(X2464),ROUNDUP(X2464,0),"")</x:f>
      </x:c>
      <x:c r="Z2464" t="str">
        <x:f>IF(ISNUMBER(T2464),"Cost captured","Awaiting trade cost")</x:f>
        <x:v>Awaiting trade cost</x:v>
      </x:c>
      <x:c r="AB2464" s="36" t="str">
        <x:f>IF(ISNUMBER(Y2464),ROUND(Y2464*0.9,2),"")</x:f>
      </x:c>
      <x:c r="AC2464" s="36" t="str">
        <x:f>IF(ISNUMBER(AB2464),ROUND(AB2464-(AB2464*0.015+0.2)-V2464,2),"")</x:f>
      </x:c>
      <x:c r="AD2464" s="36" t="str">
        <x:f>IF(ISNUMBER(Y2464),ROUND(Y2464*0.8,2),"")</x:f>
      </x:c>
      <x:c r="AE2464" s="36" t="str">
        <x:f>IF(ISNUMBER(AD2464),ROUND(AD2464*0.015+0.2,2),"")</x:f>
      </x:c>
      <x:c r="AF2464" s="36" t="str">
        <x:f>IF(ISNUMBER(AD2464),ROUND(AD2464-AE2464-V2464,2),"")</x:f>
      </x:c>
      <x:c r="AG2464" t="str">
        <x:f>IF(NOT(ISNUMBER(T2464)),"PENDING",IF(AF2464&gt;0,"PASS","FAIL"))</x:f>
        <x:v>PENDING</x:v>
      </x:c>
      <x:c r="AH2464" t="str">
        <x:f>IF(NOT(ISNUMBER(T2464)),"Needs supplier cost",IF(K2464&lt;&gt;"In stock","Supplier unavailable",IF(AG2464&lt;&gt;"PASS","BLOCK - GT loss risk","Commercially protected")))</x:f>
        <x:v>Needs supplier cost</x:v>
      </x:c>
      <x:c r="AI2464" t="str">
        <x:v>2026-09-10 Active Sports trade capture</x:v>
      </x:c>
      <x:c r="AJ2464" t="str">
        <x:v>Management-only economics. Stripe stress test uses 1.5% + £0.20 standard UK online-card fee; pallet/mix-and-match pricing ignored.</x:v>
      </x:c>
    </x:row>
    <x:row r="2465">
      <x:c r="A2465" t="str">
        <x:v>Active Sports Nutrition</x:v>
      </x:c>
      <x:c r="B2465" t="str">
        <x:v>NXT Nutrition</x:v>
      </x:c>
      <x:c r="C2465" t="str">
        <x:v>EAA</x:v>
      </x:c>
      <x:c r="D2465" t="str">
        <x:v>Supplements</x:v>
      </x:c>
      <x:c r="E2465" t="str">
        <x:v>EAAs</x:v>
      </x:c>
      <x:c r="F2465" t="str"/>
      <x:c r="G2465" t="str">
        <x:v>360g</x:v>
      </x:c>
      <x:c r="H2465" t="str">
        <x:v>Strawberry Lime Crush</x:v>
      </x:c>
      <x:c r="I2465" t="str"/>
      <x:c r="J2465" t="str">
        <x:v>Unit</x:v>
      </x:c>
      <x:c r="K2465" t="str">
        <x:v>In stock</x:v>
      </x:c>
      <x:c r="L2465" t="str">
        <x:v>2026-09-08</x:v>
      </x:c>
      <x:c r="M2465" t="str"/>
      <x:c r="N2465" t="str"/>
      <x:c r="O2465" t="str">
        <x:v>https://www.activesportstrade.co.uk/nxt-nutrition-trade</x:v>
      </x:c>
      <x:c r="P2465" t="str"/>
      <x:c r="Q2465" t="str"/>
      <x:c r="R2465" t="str"/>
      <x:c r="S2465" t="str">
        <x:v>Pending genuine supplier/brand image</x:v>
      </x:c>
      <x:c r="T2465" s="54"/>
      <x:c r="U2465" s="47" t="n">
        <x:v>0.2</x:v>
      </x:c>
      <x:c r="V2465" s="54" t="str">
        <x:f>IF(ISNUMBER(T2465),T2465*(1+U2465),"")</x:f>
      </x:c>
      <x:c r="W2465" s="47" t="n">
        <x:v>0.3</x:v>
      </x:c>
      <x:c r="X2465" s="54" t="str">
        <x:f>IF(ISNUMBER(V2465),V2465/(1-W2465),"")</x:f>
      </x:c>
      <x:c r="Y2465" s="55" t="str">
        <x:f>IF(ISNUMBER(X2465),ROUNDUP(X2465,0),"")</x:f>
      </x:c>
      <x:c r="Z2465" t="str">
        <x:f>IF(ISNUMBER(T2465),"Cost captured","Awaiting trade cost")</x:f>
        <x:v>Awaiting trade cost</x:v>
      </x:c>
      <x:c r="AB2465" s="36" t="str">
        <x:f>IF(ISNUMBER(Y2465),ROUND(Y2465*0.9,2),"")</x:f>
      </x:c>
      <x:c r="AC2465" s="36" t="str">
        <x:f>IF(ISNUMBER(AB2465),ROUND(AB2465-(AB2465*0.015+0.2)-V2465,2),"")</x:f>
      </x:c>
      <x:c r="AD2465" s="36" t="str">
        <x:f>IF(ISNUMBER(Y2465),ROUND(Y2465*0.8,2),"")</x:f>
      </x:c>
      <x:c r="AE2465" s="36" t="str">
        <x:f>IF(ISNUMBER(AD2465),ROUND(AD2465*0.015+0.2,2),"")</x:f>
      </x:c>
      <x:c r="AF2465" s="36" t="str">
        <x:f>IF(ISNUMBER(AD2465),ROUND(AD2465-AE2465-V2465,2),"")</x:f>
      </x:c>
      <x:c r="AG2465" t="str">
        <x:f>IF(NOT(ISNUMBER(T2465)),"PENDING",IF(AF2465&gt;0,"PASS","FAIL"))</x:f>
        <x:v>PENDING</x:v>
      </x:c>
      <x:c r="AH2465" t="str">
        <x:f>IF(NOT(ISNUMBER(T2465)),"Needs supplier cost",IF(K2465&lt;&gt;"In stock","Supplier unavailable",IF(AG2465&lt;&gt;"PASS","BLOCK - GT loss risk","Commercially protected")))</x:f>
        <x:v>Needs supplier cost</x:v>
      </x:c>
      <x:c r="AI2465" t="str">
        <x:v>2026-09-10 Active Sports trade capture</x:v>
      </x:c>
      <x:c r="AJ2465" t="str">
        <x:v>Management-only economics. Stripe stress test uses 1.5% + £0.20 standard UK online-card fee; pallet/mix-and-match pricing ignored.</x:v>
      </x:c>
    </x:row>
    <x:row r="2466">
      <x:c r="A2466" t="str">
        <x:v>Active Sports Nutrition</x:v>
      </x:c>
      <x:c r="B2466" t="str">
        <x:v>NXT Nutrition</x:v>
      </x:c>
      <x:c r="C2466" t="str">
        <x:v>Glutamine</x:v>
      </x:c>
      <x:c r="D2466" t="str">
        <x:v>Supplements</x:v>
      </x:c>
      <x:c r="E2466" t="str">
        <x:v>L-Glutamine</x:v>
      </x:c>
      <x:c r="F2466" t="str"/>
      <x:c r="G2466" t="str">
        <x:v>300g</x:v>
      </x:c>
      <x:c r="H2466" t="str">
        <x:v>Unflavoured</x:v>
      </x:c>
      <x:c r="I2466" t="str"/>
      <x:c r="J2466" t="str">
        <x:v>Unit</x:v>
      </x:c>
      <x:c r="K2466" t="str">
        <x:v>In stock</x:v>
      </x:c>
      <x:c r="L2466" t="str">
        <x:v>2026-09-08</x:v>
      </x:c>
      <x:c r="M2466" t="str"/>
      <x:c r="N2466" t="str"/>
      <x:c r="O2466" t="str">
        <x:v>https://www.activesportstrade.co.uk/nxt-nutrition-trade</x:v>
      </x:c>
      <x:c r="P2466" t="str"/>
      <x:c r="Q2466" t="str"/>
      <x:c r="R2466" t="str"/>
      <x:c r="S2466" t="str">
        <x:v>Pending genuine supplier/brand image</x:v>
      </x:c>
      <x:c r="T2466" s="54"/>
      <x:c r="U2466" s="47" t="n">
        <x:v>0.2</x:v>
      </x:c>
      <x:c r="V2466" s="54" t="str">
        <x:f>IF(ISNUMBER(T2466),T2466*(1+U2466),"")</x:f>
      </x:c>
      <x:c r="W2466" s="47" t="n">
        <x:v>0.3</x:v>
      </x:c>
      <x:c r="X2466" s="54" t="str">
        <x:f>IF(ISNUMBER(V2466),V2466/(1-W2466),"")</x:f>
      </x:c>
      <x:c r="Y2466" s="55" t="str">
        <x:f>IF(ISNUMBER(X2466),ROUNDUP(X2466,0),"")</x:f>
      </x:c>
      <x:c r="Z2466" t="str">
        <x:f>IF(ISNUMBER(T2466),"Cost captured","Awaiting trade cost")</x:f>
        <x:v>Awaiting trade cost</x:v>
      </x:c>
      <x:c r="AB2466" s="36" t="str">
        <x:f>IF(ISNUMBER(Y2466),ROUND(Y2466*0.9,2),"")</x:f>
      </x:c>
      <x:c r="AC2466" s="36" t="str">
        <x:f>IF(ISNUMBER(AB2466),ROUND(AB2466-(AB2466*0.015+0.2)-V2466,2),"")</x:f>
      </x:c>
      <x:c r="AD2466" s="36" t="str">
        <x:f>IF(ISNUMBER(Y2466),ROUND(Y2466*0.8,2),"")</x:f>
      </x:c>
      <x:c r="AE2466" s="36" t="str">
        <x:f>IF(ISNUMBER(AD2466),ROUND(AD2466*0.015+0.2,2),"")</x:f>
      </x:c>
      <x:c r="AF2466" s="36" t="str">
        <x:f>IF(ISNUMBER(AD2466),ROUND(AD2466-AE2466-V2466,2),"")</x:f>
      </x:c>
      <x:c r="AG2466" t="str">
        <x:f>IF(NOT(ISNUMBER(T2466)),"PENDING",IF(AF2466&gt;0,"PASS","FAIL"))</x:f>
        <x:v>PENDING</x:v>
      </x:c>
      <x:c r="AH2466" t="str">
        <x:f>IF(NOT(ISNUMBER(T2466)),"Needs supplier cost",IF(K2466&lt;&gt;"In stock","Supplier unavailable",IF(AG2466&lt;&gt;"PASS","BLOCK - GT loss risk","Commercially protected")))</x:f>
        <x:v>Needs supplier cost</x:v>
      </x:c>
      <x:c r="AI2466" t="str">
        <x:v>2026-09-10 Active Sports trade capture</x:v>
      </x:c>
      <x:c r="AJ2466" t="str">
        <x:v>Management-only economics. Stripe stress test uses 1.5% + £0.20 standard UK online-card fee; pallet/mix-and-match pricing ignored.</x:v>
      </x:c>
    </x:row>
    <x:row r="2467">
      <x:c r="A2467" t="str">
        <x:v>Active Sports Nutrition</x:v>
      </x:c>
      <x:c r="B2467" t="str">
        <x:v>NXT Nutrition</x:v>
      </x:c>
      <x:c r="C2467" t="str">
        <x:v>KN Protein Water Isolate Drink RTD</x:v>
      </x:c>
      <x:c r="D2467" t="str">
        <x:v>Food &amp; Drinks</x:v>
      </x:c>
      <x:c r="E2467" t="str">
        <x:v>Ready to Drink Protein</x:v>
      </x:c>
      <x:c r="F2467" t="str"/>
      <x:c r="G2467" t="str">
        <x:v>12 x 500ml bottles</x:v>
      </x:c>
      <x:c r="H2467" t="str">
        <x:v>Apple &amp; Blackcurrant</x:v>
      </x:c>
      <x:c r="I2467" t="str">
        <x:v>12</x:v>
      </x:c>
      <x:c r="J2467" t="str">
        <x:v>Case</x:v>
      </x:c>
      <x:c r="K2467" t="str">
        <x:v>Out of stock</x:v>
      </x:c>
      <x:c r="L2467" t="str">
        <x:v>2026-09-08</x:v>
      </x:c>
      <x:c r="M2467" t="str"/>
      <x:c r="N2467" t="str"/>
      <x:c r="O2467" t="str">
        <x:v>https://www.activesportstrade.co.uk/nxt-nutrition-trade</x:v>
      </x:c>
      <x:c r="P2467" t="str">
        <x:v>Supplier promotional free-case wording stripped; case-only member supplier order.</x:v>
      </x:c>
      <x:c r="Q2467" t="str"/>
      <x:c r="R2467" t="str"/>
      <x:c r="S2467" t="str">
        <x:v>Pending genuine supplier/brand image</x:v>
      </x:c>
      <x:c r="T2467" s="54"/>
      <x:c r="U2467" s="47" t="n">
        <x:v>0.2</x:v>
      </x:c>
      <x:c r="V2467" s="54" t="str">
        <x:f>IF(ISNUMBER(T2467),T2467*(1+U2467),"")</x:f>
      </x:c>
      <x:c r="W2467" s="47" t="n">
        <x:v>0.3</x:v>
      </x:c>
      <x:c r="X2467" s="54" t="str">
        <x:f>IF(ISNUMBER(V2467),V2467/(1-W2467),"")</x:f>
      </x:c>
      <x:c r="Y2467" s="55" t="str">
        <x:f>IF(ISNUMBER(X2467),ROUNDUP(X2467,0),"")</x:f>
      </x:c>
      <x:c r="Z2467" t="str">
        <x:f>IF(ISNUMBER(T2467),"Cost captured","Awaiting trade cost")</x:f>
        <x:v>Awaiting trade cost</x:v>
      </x:c>
      <x:c r="AB2467" s="36" t="str">
        <x:f>IF(ISNUMBER(Y2467),ROUND(Y2467*0.9,2),"")</x:f>
      </x:c>
      <x:c r="AC2467" s="36" t="str">
        <x:f>IF(ISNUMBER(AB2467),ROUND(AB2467-(AB2467*0.015+0.2)-V2467,2),"")</x:f>
      </x:c>
      <x:c r="AD2467" s="36" t="str">
        <x:f>IF(ISNUMBER(Y2467),ROUND(Y2467*0.8,2),"")</x:f>
      </x:c>
      <x:c r="AE2467" s="36" t="str">
        <x:f>IF(ISNUMBER(AD2467),ROUND(AD2467*0.015+0.2,2),"")</x:f>
      </x:c>
      <x:c r="AF2467" s="36" t="str">
        <x:f>IF(ISNUMBER(AD2467),ROUND(AD2467-AE2467-V2467,2),"")</x:f>
      </x:c>
      <x:c r="AG2467" t="str">
        <x:f>IF(NOT(ISNUMBER(T2467)),"PENDING",IF(AF2467&gt;0,"PASS","FAIL"))</x:f>
        <x:v>PENDING</x:v>
      </x:c>
      <x:c r="AH2467" t="str">
        <x:f>IF(NOT(ISNUMBER(T2467)),"Needs supplier cost",IF(K2467&lt;&gt;"In stock","Supplier unavailable",IF(AG2467&lt;&gt;"PASS","BLOCK - GT loss risk","Commercially protected")))</x:f>
        <x:v>Needs supplier cost</x:v>
      </x:c>
      <x:c r="AI2467" t="str">
        <x:v>2026-09-10 Active Sports trade capture</x:v>
      </x:c>
      <x:c r="AJ2467" t="str">
        <x:v>Management-only economics. Stripe stress test uses 1.5% + £0.20 standard UK online-card fee; pallet/mix-and-match pricing ignored.</x:v>
      </x:c>
    </x:row>
    <x:row r="2468">
      <x:c r="A2468" t="str">
        <x:v>Active Sports Nutrition</x:v>
      </x:c>
      <x:c r="B2468" t="str">
        <x:v>NXT Nutrition</x:v>
      </x:c>
      <x:c r="C2468" t="str">
        <x:v>KN Protein Water Isolate Drink RTD</x:v>
      </x:c>
      <x:c r="D2468" t="str">
        <x:v>Food &amp; Drinks</x:v>
      </x:c>
      <x:c r="E2468" t="str">
        <x:v>Ready to Drink Protein</x:v>
      </x:c>
      <x:c r="F2468" t="str"/>
      <x:c r="G2468" t="str">
        <x:v>12 x 500ml bottles</x:v>
      </x:c>
      <x:c r="H2468" t="str">
        <x:v>Apple &amp; Cherry</x:v>
      </x:c>
      <x:c r="I2468" t="str">
        <x:v>12</x:v>
      </x:c>
      <x:c r="J2468" t="str">
        <x:v>Case</x:v>
      </x:c>
      <x:c r="K2468" t="str">
        <x:v>In stock</x:v>
      </x:c>
      <x:c r="L2468" t="str">
        <x:v>2026-09-08</x:v>
      </x:c>
      <x:c r="M2468" t="str"/>
      <x:c r="N2468" t="str"/>
      <x:c r="O2468" t="str">
        <x:v>https://www.activesportstrade.co.uk/nxt-nutrition-trade</x:v>
      </x:c>
      <x:c r="P2468" t="str">
        <x:v>Supplier promotional free-case wording stripped; case-only member supplier order.</x:v>
      </x:c>
      <x:c r="Q2468" t="str"/>
      <x:c r="R2468" t="str"/>
      <x:c r="S2468" t="str">
        <x:v>Pending genuine supplier/brand image</x:v>
      </x:c>
      <x:c r="T2468" s="54"/>
      <x:c r="U2468" s="47" t="n">
        <x:v>0.2</x:v>
      </x:c>
      <x:c r="V2468" s="54" t="str">
        <x:f>IF(ISNUMBER(T2468),T2468*(1+U2468),"")</x:f>
      </x:c>
      <x:c r="W2468" s="47" t="n">
        <x:v>0.3</x:v>
      </x:c>
      <x:c r="X2468" s="54" t="str">
        <x:f>IF(ISNUMBER(V2468),V2468/(1-W2468),"")</x:f>
      </x:c>
      <x:c r="Y2468" s="55" t="str">
        <x:f>IF(ISNUMBER(X2468),ROUNDUP(X2468,0),"")</x:f>
      </x:c>
      <x:c r="Z2468" t="str">
        <x:f>IF(ISNUMBER(T2468),"Cost captured","Awaiting trade cost")</x:f>
        <x:v>Awaiting trade cost</x:v>
      </x:c>
      <x:c r="AB2468" s="36" t="str">
        <x:f>IF(ISNUMBER(Y2468),ROUND(Y2468*0.9,2),"")</x:f>
      </x:c>
      <x:c r="AC2468" s="36" t="str">
        <x:f>IF(ISNUMBER(AB2468),ROUND(AB2468-(AB2468*0.015+0.2)-V2468,2),"")</x:f>
      </x:c>
      <x:c r="AD2468" s="36" t="str">
        <x:f>IF(ISNUMBER(Y2468),ROUND(Y2468*0.8,2),"")</x:f>
      </x:c>
      <x:c r="AE2468" s="36" t="str">
        <x:f>IF(ISNUMBER(AD2468),ROUND(AD2468*0.015+0.2,2),"")</x:f>
      </x:c>
      <x:c r="AF2468" s="36" t="str">
        <x:f>IF(ISNUMBER(AD2468),ROUND(AD2468-AE2468-V2468,2),"")</x:f>
      </x:c>
      <x:c r="AG2468" t="str">
        <x:f>IF(NOT(ISNUMBER(T2468)),"PENDING",IF(AF2468&gt;0,"PASS","FAIL"))</x:f>
        <x:v>PENDING</x:v>
      </x:c>
      <x:c r="AH2468" t="str">
        <x:f>IF(NOT(ISNUMBER(T2468)),"Needs supplier cost",IF(K2468&lt;&gt;"In stock","Supplier unavailable",IF(AG2468&lt;&gt;"PASS","BLOCK - GT loss risk","Commercially protected")))</x:f>
        <x:v>Needs supplier cost</x:v>
      </x:c>
      <x:c r="AI2468" t="str">
        <x:v>2026-09-10 Active Sports trade capture</x:v>
      </x:c>
      <x:c r="AJ2468" t="str">
        <x:v>Management-only economics. Stripe stress test uses 1.5% + £0.20 standard UK online-card fee; pallet/mix-and-match pricing ignored.</x:v>
      </x:c>
    </x:row>
    <x:row r="2469">
      <x:c r="A2469" t="str">
        <x:v>Active Sports Nutrition</x:v>
      </x:c>
      <x:c r="B2469" t="str">
        <x:v>NXT Nutrition</x:v>
      </x:c>
      <x:c r="C2469" t="str">
        <x:v>KN Protein Water Isolate Drink RTD</x:v>
      </x:c>
      <x:c r="D2469" t="str">
        <x:v>Food &amp; Drinks</x:v>
      </x:c>
      <x:c r="E2469" t="str">
        <x:v>Ready to Drink Protein</x:v>
      </x:c>
      <x:c r="F2469" t="str"/>
      <x:c r="G2469" t="str">
        <x:v>12 x 500ml bottles</x:v>
      </x:c>
      <x:c r="H2469" t="str">
        <x:v>Apple &amp; Elderflower</x:v>
      </x:c>
      <x:c r="I2469" t="str">
        <x:v>12</x:v>
      </x:c>
      <x:c r="J2469" t="str">
        <x:v>Case</x:v>
      </x:c>
      <x:c r="K2469" t="str">
        <x:v>Out of stock</x:v>
      </x:c>
      <x:c r="L2469" t="str">
        <x:v>2026-09-08</x:v>
      </x:c>
      <x:c r="M2469" t="str"/>
      <x:c r="N2469" t="str"/>
      <x:c r="O2469" t="str">
        <x:v>https://www.activesportstrade.co.uk/nxt-nutrition-trade</x:v>
      </x:c>
      <x:c r="P2469" t="str">
        <x:v>Supplier promotional free-case wording stripped; case-only member supplier order.</x:v>
      </x:c>
      <x:c r="Q2469" t="str"/>
      <x:c r="R2469" t="str"/>
      <x:c r="S2469" t="str">
        <x:v>Pending genuine supplier/brand image</x:v>
      </x:c>
      <x:c r="T2469" s="54"/>
      <x:c r="U2469" s="47" t="n">
        <x:v>0.2</x:v>
      </x:c>
      <x:c r="V2469" s="54" t="str">
        <x:f>IF(ISNUMBER(T2469),T2469*(1+U2469),"")</x:f>
      </x:c>
      <x:c r="W2469" s="47" t="n">
        <x:v>0.3</x:v>
      </x:c>
      <x:c r="X2469" s="54" t="str">
        <x:f>IF(ISNUMBER(V2469),V2469/(1-W2469),"")</x:f>
      </x:c>
      <x:c r="Y2469" s="55" t="str">
        <x:f>IF(ISNUMBER(X2469),ROUNDUP(X2469,0),"")</x:f>
      </x:c>
      <x:c r="Z2469" t="str">
        <x:f>IF(ISNUMBER(T2469),"Cost captured","Awaiting trade cost")</x:f>
        <x:v>Awaiting trade cost</x:v>
      </x:c>
      <x:c r="AB2469" s="36" t="str">
        <x:f>IF(ISNUMBER(Y2469),ROUND(Y2469*0.9,2),"")</x:f>
      </x:c>
      <x:c r="AC2469" s="36" t="str">
        <x:f>IF(ISNUMBER(AB2469),ROUND(AB2469-(AB2469*0.015+0.2)-V2469,2),"")</x:f>
      </x:c>
      <x:c r="AD2469" s="36" t="str">
        <x:f>IF(ISNUMBER(Y2469),ROUND(Y2469*0.8,2),"")</x:f>
      </x:c>
      <x:c r="AE2469" s="36" t="str">
        <x:f>IF(ISNUMBER(AD2469),ROUND(AD2469*0.015+0.2,2),"")</x:f>
      </x:c>
      <x:c r="AF2469" s="36" t="str">
        <x:f>IF(ISNUMBER(AD2469),ROUND(AD2469-AE2469-V2469,2),"")</x:f>
      </x:c>
      <x:c r="AG2469" t="str">
        <x:f>IF(NOT(ISNUMBER(T2469)),"PENDING",IF(AF2469&gt;0,"PASS","FAIL"))</x:f>
        <x:v>PENDING</x:v>
      </x:c>
      <x:c r="AH2469" t="str">
        <x:f>IF(NOT(ISNUMBER(T2469)),"Needs supplier cost",IF(K2469&lt;&gt;"In stock","Supplier unavailable",IF(AG2469&lt;&gt;"PASS","BLOCK - GT loss risk","Commercially protected")))</x:f>
        <x:v>Needs supplier cost</x:v>
      </x:c>
      <x:c r="AI2469" t="str">
        <x:v>2026-09-10 Active Sports trade capture</x:v>
      </x:c>
      <x:c r="AJ2469" t="str">
        <x:v>Management-only economics. Stripe stress test uses 1.5% + £0.20 standard UK online-card fee; pallet/mix-and-match pricing ignored.</x:v>
      </x:c>
    </x:row>
    <x:row r="2470">
      <x:c r="A2470" t="str">
        <x:v>Active Sports Nutrition</x:v>
      </x:c>
      <x:c r="B2470" t="str">
        <x:v>NXT Nutrition</x:v>
      </x:c>
      <x:c r="C2470" t="str">
        <x:v>KN Protein Water Isolate Drink RTD</x:v>
      </x:c>
      <x:c r="D2470" t="str">
        <x:v>Food &amp; Drinks</x:v>
      </x:c>
      <x:c r="E2470" t="str">
        <x:v>Ready to Drink Protein</x:v>
      </x:c>
      <x:c r="F2470" t="str"/>
      <x:c r="G2470" t="str">
        <x:v>12 x 500ml bottles</x:v>
      </x:c>
      <x:c r="H2470" t="str">
        <x:v>Blue Raspberry</x:v>
      </x:c>
      <x:c r="I2470" t="str">
        <x:v>12</x:v>
      </x:c>
      <x:c r="J2470" t="str">
        <x:v>Case</x:v>
      </x:c>
      <x:c r="K2470" t="str">
        <x:v>In stock</x:v>
      </x:c>
      <x:c r="L2470" t="str">
        <x:v>2026-09-08</x:v>
      </x:c>
      <x:c r="M2470" t="str"/>
      <x:c r="N2470" t="str"/>
      <x:c r="O2470" t="str">
        <x:v>https://www.activesportstrade.co.uk/nxt-nutrition-trade</x:v>
      </x:c>
      <x:c r="P2470" t="str">
        <x:v>Supplier promotional free-case wording stripped; case-only member supplier order.</x:v>
      </x:c>
      <x:c r="Q2470" t="str"/>
      <x:c r="R2470" t="str"/>
      <x:c r="S2470" t="str">
        <x:v>Pending genuine supplier/brand image</x:v>
      </x:c>
      <x:c r="T2470" s="54"/>
      <x:c r="U2470" s="47" t="n">
        <x:v>0.2</x:v>
      </x:c>
      <x:c r="V2470" s="54" t="str">
        <x:f>IF(ISNUMBER(T2470),T2470*(1+U2470),"")</x:f>
      </x:c>
      <x:c r="W2470" s="47" t="n">
        <x:v>0.3</x:v>
      </x:c>
      <x:c r="X2470" s="54" t="str">
        <x:f>IF(ISNUMBER(V2470),V2470/(1-W2470),"")</x:f>
      </x:c>
      <x:c r="Y2470" s="55" t="str">
        <x:f>IF(ISNUMBER(X2470),ROUNDUP(X2470,0),"")</x:f>
      </x:c>
      <x:c r="Z2470" t="str">
        <x:f>IF(ISNUMBER(T2470),"Cost captured","Awaiting trade cost")</x:f>
        <x:v>Awaiting trade cost</x:v>
      </x:c>
      <x:c r="AB2470" s="36" t="str">
        <x:f>IF(ISNUMBER(Y2470),ROUND(Y2470*0.9,2),"")</x:f>
      </x:c>
      <x:c r="AC2470" s="36" t="str">
        <x:f>IF(ISNUMBER(AB2470),ROUND(AB2470-(AB2470*0.015+0.2)-V2470,2),"")</x:f>
      </x:c>
      <x:c r="AD2470" s="36" t="str">
        <x:f>IF(ISNUMBER(Y2470),ROUND(Y2470*0.8,2),"")</x:f>
      </x:c>
      <x:c r="AE2470" s="36" t="str">
        <x:f>IF(ISNUMBER(AD2470),ROUND(AD2470*0.015+0.2,2),"")</x:f>
      </x:c>
      <x:c r="AF2470" s="36" t="str">
        <x:f>IF(ISNUMBER(AD2470),ROUND(AD2470-AE2470-V2470,2),"")</x:f>
      </x:c>
      <x:c r="AG2470" t="str">
        <x:f>IF(NOT(ISNUMBER(T2470)),"PENDING",IF(AF2470&gt;0,"PASS","FAIL"))</x:f>
        <x:v>PENDING</x:v>
      </x:c>
      <x:c r="AH2470" t="str">
        <x:f>IF(NOT(ISNUMBER(T2470)),"Needs supplier cost",IF(K2470&lt;&gt;"In stock","Supplier unavailable",IF(AG2470&lt;&gt;"PASS","BLOCK - GT loss risk","Commercially protected")))</x:f>
        <x:v>Needs supplier cost</x:v>
      </x:c>
      <x:c r="AI2470" t="str">
        <x:v>2026-09-10 Active Sports trade capture</x:v>
      </x:c>
      <x:c r="AJ2470" t="str">
        <x:v>Management-only economics. Stripe stress test uses 1.5% + £0.20 standard UK online-card fee; pallet/mix-and-match pricing ignored.</x:v>
      </x:c>
    </x:row>
    <x:row r="2471">
      <x:c r="A2471" t="str">
        <x:v>Active Sports Nutrition</x:v>
      </x:c>
      <x:c r="B2471" t="str">
        <x:v>NXT Nutrition</x:v>
      </x:c>
      <x:c r="C2471" t="str">
        <x:v>KN Protein Water Isolate Drink RTD</x:v>
      </x:c>
      <x:c r="D2471" t="str">
        <x:v>Food &amp; Drinks</x:v>
      </x:c>
      <x:c r="E2471" t="str">
        <x:v>Ready to Drink Protein</x:v>
      </x:c>
      <x:c r="F2471" t="str"/>
      <x:c r="G2471" t="str">
        <x:v>12 x 500ml bottles</x:v>
      </x:c>
      <x:c r="H2471" t="str">
        <x:v>Cola</x:v>
      </x:c>
      <x:c r="I2471" t="str">
        <x:v>12</x:v>
      </x:c>
      <x:c r="J2471" t="str">
        <x:v>Case</x:v>
      </x:c>
      <x:c r="K2471" t="str">
        <x:v>In stock</x:v>
      </x:c>
      <x:c r="L2471" t="str">
        <x:v>2026-09-08</x:v>
      </x:c>
      <x:c r="M2471" t="str"/>
      <x:c r="N2471" t="str"/>
      <x:c r="O2471" t="str">
        <x:v>https://www.activesportstrade.co.uk/nxt-nutrition-trade</x:v>
      </x:c>
      <x:c r="P2471" t="str">
        <x:v>Supplier promotional free-case wording stripped; case-only member supplier order.</x:v>
      </x:c>
      <x:c r="Q2471" t="str"/>
      <x:c r="R2471" t="str"/>
      <x:c r="S2471" t="str">
        <x:v>Pending genuine supplier/brand image</x:v>
      </x:c>
      <x:c r="T2471" s="54"/>
      <x:c r="U2471" s="47" t="n">
        <x:v>0.2</x:v>
      </x:c>
      <x:c r="V2471" s="54" t="str">
        <x:f>IF(ISNUMBER(T2471),T2471*(1+U2471),"")</x:f>
      </x:c>
      <x:c r="W2471" s="47" t="n">
        <x:v>0.3</x:v>
      </x:c>
      <x:c r="X2471" s="54" t="str">
        <x:f>IF(ISNUMBER(V2471),V2471/(1-W2471),"")</x:f>
      </x:c>
      <x:c r="Y2471" s="55" t="str">
        <x:f>IF(ISNUMBER(X2471),ROUNDUP(X2471,0),"")</x:f>
      </x:c>
      <x:c r="Z2471" t="str">
        <x:f>IF(ISNUMBER(T2471),"Cost captured","Awaiting trade cost")</x:f>
        <x:v>Awaiting trade cost</x:v>
      </x:c>
      <x:c r="AB2471" s="36" t="str">
        <x:f>IF(ISNUMBER(Y2471),ROUND(Y2471*0.9,2),"")</x:f>
      </x:c>
      <x:c r="AC2471" s="36" t="str">
        <x:f>IF(ISNUMBER(AB2471),ROUND(AB2471-(AB2471*0.015+0.2)-V2471,2),"")</x:f>
      </x:c>
      <x:c r="AD2471" s="36" t="str">
        <x:f>IF(ISNUMBER(Y2471),ROUND(Y2471*0.8,2),"")</x:f>
      </x:c>
      <x:c r="AE2471" s="36" t="str">
        <x:f>IF(ISNUMBER(AD2471),ROUND(AD2471*0.015+0.2,2),"")</x:f>
      </x:c>
      <x:c r="AF2471" s="36" t="str">
        <x:f>IF(ISNUMBER(AD2471),ROUND(AD2471-AE2471-V2471,2),"")</x:f>
      </x:c>
      <x:c r="AG2471" t="str">
        <x:f>IF(NOT(ISNUMBER(T2471)),"PENDING",IF(AF2471&gt;0,"PASS","FAIL"))</x:f>
        <x:v>PENDING</x:v>
      </x:c>
      <x:c r="AH2471" t="str">
        <x:f>IF(NOT(ISNUMBER(T2471)),"Needs supplier cost",IF(K2471&lt;&gt;"In stock","Supplier unavailable",IF(AG2471&lt;&gt;"PASS","BLOCK - GT loss risk","Commercially protected")))</x:f>
        <x:v>Needs supplier cost</x:v>
      </x:c>
      <x:c r="AI2471" t="str">
        <x:v>2026-09-10 Active Sports trade capture</x:v>
      </x:c>
      <x:c r="AJ2471" t="str">
        <x:v>Management-only economics. Stripe stress test uses 1.5% + £0.20 standard UK online-card fee; pallet/mix-and-match pricing ignored.</x:v>
      </x:c>
    </x:row>
    <x:row r="2472">
      <x:c r="A2472" t="str">
        <x:v>Active Sports Nutrition</x:v>
      </x:c>
      <x:c r="B2472" t="str">
        <x:v>NXT Nutrition</x:v>
      </x:c>
      <x:c r="C2472" t="str">
        <x:v>KN Protein Water Isolate Drink RTD</x:v>
      </x:c>
      <x:c r="D2472" t="str">
        <x:v>Food &amp; Drinks</x:v>
      </x:c>
      <x:c r="E2472" t="str">
        <x:v>Ready to Drink Protein</x:v>
      </x:c>
      <x:c r="F2472" t="str"/>
      <x:c r="G2472" t="str">
        <x:v>12 x 500ml bottles</x:v>
      </x:c>
      <x:c r="H2472" t="str">
        <x:v>Ice Burst</x:v>
      </x:c>
      <x:c r="I2472" t="str">
        <x:v>12</x:v>
      </x:c>
      <x:c r="J2472" t="str">
        <x:v>Case</x:v>
      </x:c>
      <x:c r="K2472" t="str">
        <x:v>In stock</x:v>
      </x:c>
      <x:c r="L2472" t="str">
        <x:v>2026-09-08</x:v>
      </x:c>
      <x:c r="M2472" t="str"/>
      <x:c r="N2472" t="str"/>
      <x:c r="O2472" t="str">
        <x:v>https://www.activesportstrade.co.uk/nxt-nutrition-trade</x:v>
      </x:c>
      <x:c r="P2472" t="str">
        <x:v>Supplier promotional free-case wording stripped; case-only member supplier order.</x:v>
      </x:c>
      <x:c r="Q2472" t="str"/>
      <x:c r="R2472" t="str"/>
      <x:c r="S2472" t="str">
        <x:v>Pending genuine supplier/brand image</x:v>
      </x:c>
      <x:c r="T2472" s="54"/>
      <x:c r="U2472" s="47" t="n">
        <x:v>0.2</x:v>
      </x:c>
      <x:c r="V2472" s="54" t="str">
        <x:f>IF(ISNUMBER(T2472),T2472*(1+U2472),"")</x:f>
      </x:c>
      <x:c r="W2472" s="47" t="n">
        <x:v>0.3</x:v>
      </x:c>
      <x:c r="X2472" s="54" t="str">
        <x:f>IF(ISNUMBER(V2472),V2472/(1-W2472),"")</x:f>
      </x:c>
      <x:c r="Y2472" s="55" t="str">
        <x:f>IF(ISNUMBER(X2472),ROUNDUP(X2472,0),"")</x:f>
      </x:c>
      <x:c r="Z2472" t="str">
        <x:f>IF(ISNUMBER(T2472),"Cost captured","Awaiting trade cost")</x:f>
        <x:v>Awaiting trade cost</x:v>
      </x:c>
      <x:c r="AB2472" s="36" t="str">
        <x:f>IF(ISNUMBER(Y2472),ROUND(Y2472*0.9,2),"")</x:f>
      </x:c>
      <x:c r="AC2472" s="36" t="str">
        <x:f>IF(ISNUMBER(AB2472),ROUND(AB2472-(AB2472*0.015+0.2)-V2472,2),"")</x:f>
      </x:c>
      <x:c r="AD2472" s="36" t="str">
        <x:f>IF(ISNUMBER(Y2472),ROUND(Y2472*0.8,2),"")</x:f>
      </x:c>
      <x:c r="AE2472" s="36" t="str">
        <x:f>IF(ISNUMBER(AD2472),ROUND(AD2472*0.015+0.2,2),"")</x:f>
      </x:c>
      <x:c r="AF2472" s="36" t="str">
        <x:f>IF(ISNUMBER(AD2472),ROUND(AD2472-AE2472-V2472,2),"")</x:f>
      </x:c>
      <x:c r="AG2472" t="str">
        <x:f>IF(NOT(ISNUMBER(T2472)),"PENDING",IF(AF2472&gt;0,"PASS","FAIL"))</x:f>
        <x:v>PENDING</x:v>
      </x:c>
      <x:c r="AH2472" t="str">
        <x:f>IF(NOT(ISNUMBER(T2472)),"Needs supplier cost",IF(K2472&lt;&gt;"In stock","Supplier unavailable",IF(AG2472&lt;&gt;"PASS","BLOCK - GT loss risk","Commercially protected")))</x:f>
        <x:v>Needs supplier cost</x:v>
      </x:c>
      <x:c r="AI2472" t="str">
        <x:v>2026-09-10 Active Sports trade capture</x:v>
      </x:c>
      <x:c r="AJ2472" t="str">
        <x:v>Management-only economics. Stripe stress test uses 1.5% + £0.20 standard UK online-card fee; pallet/mix-and-match pricing ignored.</x:v>
      </x:c>
    </x:row>
    <x:row r="2473">
      <x:c r="A2473" t="str">
        <x:v>Active Sports Nutrition</x:v>
      </x:c>
      <x:c r="B2473" t="str">
        <x:v>NXT Nutrition</x:v>
      </x:c>
      <x:c r="C2473" t="str">
        <x:v>KN Protein Water Isolate Drink RTD</x:v>
      </x:c>
      <x:c r="D2473" t="str">
        <x:v>Food &amp; Drinks</x:v>
      </x:c>
      <x:c r="E2473" t="str">
        <x:v>Ready to Drink Protein</x:v>
      </x:c>
      <x:c r="F2473" t="str"/>
      <x:c r="G2473" t="str">
        <x:v>12 x 500ml bottles</x:v>
      </x:c>
      <x:c r="H2473" t="str">
        <x:v>Lemon Lime</x:v>
      </x:c>
      <x:c r="I2473" t="str">
        <x:v>12</x:v>
      </x:c>
      <x:c r="J2473" t="str">
        <x:v>Case</x:v>
      </x:c>
      <x:c r="K2473" t="str">
        <x:v>In stock</x:v>
      </x:c>
      <x:c r="L2473" t="str">
        <x:v>2026-09-08</x:v>
      </x:c>
      <x:c r="M2473" t="str"/>
      <x:c r="N2473" t="str"/>
      <x:c r="O2473" t="str">
        <x:v>https://www.activesportstrade.co.uk/nxt-nutrition-trade</x:v>
      </x:c>
      <x:c r="P2473" t="str">
        <x:v>Supplier promotional free-case wording stripped; case-only member supplier order.</x:v>
      </x:c>
      <x:c r="Q2473" t="str"/>
      <x:c r="R2473" t="str"/>
      <x:c r="S2473" t="str">
        <x:v>Pending genuine supplier/brand image</x:v>
      </x:c>
      <x:c r="T2473" s="54"/>
      <x:c r="U2473" s="47" t="n">
        <x:v>0.2</x:v>
      </x:c>
      <x:c r="V2473" s="54" t="str">
        <x:f>IF(ISNUMBER(T2473),T2473*(1+U2473),"")</x:f>
      </x:c>
      <x:c r="W2473" s="47" t="n">
        <x:v>0.3</x:v>
      </x:c>
      <x:c r="X2473" s="54" t="str">
        <x:f>IF(ISNUMBER(V2473),V2473/(1-W2473),"")</x:f>
      </x:c>
      <x:c r="Y2473" s="55" t="str">
        <x:f>IF(ISNUMBER(X2473),ROUNDUP(X2473,0),"")</x:f>
      </x:c>
      <x:c r="Z2473" t="str">
        <x:f>IF(ISNUMBER(T2473),"Cost captured","Awaiting trade cost")</x:f>
        <x:v>Awaiting trade cost</x:v>
      </x:c>
      <x:c r="AB2473" s="36" t="str">
        <x:f>IF(ISNUMBER(Y2473),ROUND(Y2473*0.9,2),"")</x:f>
      </x:c>
      <x:c r="AC2473" s="36" t="str">
        <x:f>IF(ISNUMBER(AB2473),ROUND(AB2473-(AB2473*0.015+0.2)-V2473,2),"")</x:f>
      </x:c>
      <x:c r="AD2473" s="36" t="str">
        <x:f>IF(ISNUMBER(Y2473),ROUND(Y2473*0.8,2),"")</x:f>
      </x:c>
      <x:c r="AE2473" s="36" t="str">
        <x:f>IF(ISNUMBER(AD2473),ROUND(AD2473*0.015+0.2,2),"")</x:f>
      </x:c>
      <x:c r="AF2473" s="36" t="str">
        <x:f>IF(ISNUMBER(AD2473),ROUND(AD2473-AE2473-V2473,2),"")</x:f>
      </x:c>
      <x:c r="AG2473" t="str">
        <x:f>IF(NOT(ISNUMBER(T2473)),"PENDING",IF(AF2473&gt;0,"PASS","FAIL"))</x:f>
        <x:v>PENDING</x:v>
      </x:c>
      <x:c r="AH2473" t="str">
        <x:f>IF(NOT(ISNUMBER(T2473)),"Needs supplier cost",IF(K2473&lt;&gt;"In stock","Supplier unavailable",IF(AG2473&lt;&gt;"PASS","BLOCK - GT loss risk","Commercially protected")))</x:f>
        <x:v>Needs supplier cost</x:v>
      </x:c>
      <x:c r="AI2473" t="str">
        <x:v>2026-09-10 Active Sports trade capture</x:v>
      </x:c>
      <x:c r="AJ2473" t="str">
        <x:v>Management-only economics. Stripe stress test uses 1.5% + £0.20 standard UK online-card fee; pallet/mix-and-match pricing ignored.</x:v>
      </x:c>
    </x:row>
    <x:row r="2474">
      <x:c r="A2474" t="str">
        <x:v>Active Sports Nutrition</x:v>
      </x:c>
      <x:c r="B2474" t="str">
        <x:v>NXT Nutrition</x:v>
      </x:c>
      <x:c r="C2474" t="str">
        <x:v>KN Protein Water Isolate Drink RTD</x:v>
      </x:c>
      <x:c r="D2474" t="str">
        <x:v>Food &amp; Drinks</x:v>
      </x:c>
      <x:c r="E2474" t="str">
        <x:v>Ready to Drink Protein</x:v>
      </x:c>
      <x:c r="F2474" t="str"/>
      <x:c r="G2474" t="str">
        <x:v>12 x 500ml bottles</x:v>
      </x:c>
      <x:c r="H2474" t="str">
        <x:v>Orange</x:v>
      </x:c>
      <x:c r="I2474" t="str">
        <x:v>12</x:v>
      </x:c>
      <x:c r="J2474" t="str">
        <x:v>Case</x:v>
      </x:c>
      <x:c r="K2474" t="str">
        <x:v>In stock</x:v>
      </x:c>
      <x:c r="L2474" t="str">
        <x:v>2026-09-08</x:v>
      </x:c>
      <x:c r="M2474" t="str"/>
      <x:c r="N2474" t="str"/>
      <x:c r="O2474" t="str">
        <x:v>https://www.activesportstrade.co.uk/nxt-nutrition-trade</x:v>
      </x:c>
      <x:c r="P2474" t="str">
        <x:v>Supplier promotional free-case wording stripped; case-only member supplier order.</x:v>
      </x:c>
      <x:c r="Q2474" t="str"/>
      <x:c r="R2474" t="str"/>
      <x:c r="S2474" t="str">
        <x:v>Pending genuine supplier/brand image</x:v>
      </x:c>
      <x:c r="T2474" s="54"/>
      <x:c r="U2474" s="47" t="n">
        <x:v>0.2</x:v>
      </x:c>
      <x:c r="V2474" s="54" t="str">
        <x:f>IF(ISNUMBER(T2474),T2474*(1+U2474),"")</x:f>
      </x:c>
      <x:c r="W2474" s="47" t="n">
        <x:v>0.3</x:v>
      </x:c>
      <x:c r="X2474" s="54" t="str">
        <x:f>IF(ISNUMBER(V2474),V2474/(1-W2474),"")</x:f>
      </x:c>
      <x:c r="Y2474" s="55" t="str">
        <x:f>IF(ISNUMBER(X2474),ROUNDUP(X2474,0),"")</x:f>
      </x:c>
      <x:c r="Z2474" t="str">
        <x:f>IF(ISNUMBER(T2474),"Cost captured","Awaiting trade cost")</x:f>
        <x:v>Awaiting trade cost</x:v>
      </x:c>
      <x:c r="AB2474" s="36" t="str">
        <x:f>IF(ISNUMBER(Y2474),ROUND(Y2474*0.9,2),"")</x:f>
      </x:c>
      <x:c r="AC2474" s="36" t="str">
        <x:f>IF(ISNUMBER(AB2474),ROUND(AB2474-(AB2474*0.015+0.2)-V2474,2),"")</x:f>
      </x:c>
      <x:c r="AD2474" s="36" t="str">
        <x:f>IF(ISNUMBER(Y2474),ROUND(Y2474*0.8,2),"")</x:f>
      </x:c>
      <x:c r="AE2474" s="36" t="str">
        <x:f>IF(ISNUMBER(AD2474),ROUND(AD2474*0.015+0.2,2),"")</x:f>
      </x:c>
      <x:c r="AF2474" s="36" t="str">
        <x:f>IF(ISNUMBER(AD2474),ROUND(AD2474-AE2474-V2474,2),"")</x:f>
      </x:c>
      <x:c r="AG2474" t="str">
        <x:f>IF(NOT(ISNUMBER(T2474)),"PENDING",IF(AF2474&gt;0,"PASS","FAIL"))</x:f>
        <x:v>PENDING</x:v>
      </x:c>
      <x:c r="AH2474" t="str">
        <x:f>IF(NOT(ISNUMBER(T2474)),"Needs supplier cost",IF(K2474&lt;&gt;"In stock","Supplier unavailable",IF(AG2474&lt;&gt;"PASS","BLOCK - GT loss risk","Commercially protected")))</x:f>
        <x:v>Needs supplier cost</x:v>
      </x:c>
      <x:c r="AI2474" t="str">
        <x:v>2026-09-10 Active Sports trade capture</x:v>
      </x:c>
      <x:c r="AJ2474" t="str">
        <x:v>Management-only economics. Stripe stress test uses 1.5% + £0.20 standard UK online-card fee; pallet/mix-and-match pricing ignored.</x:v>
      </x:c>
    </x:row>
    <x:row r="2475">
      <x:c r="A2475" t="str">
        <x:v>Active Sports Nutrition</x:v>
      </x:c>
      <x:c r="B2475" t="str">
        <x:v>NXT Nutrition</x:v>
      </x:c>
      <x:c r="C2475" t="str">
        <x:v>KN Protein Water Isolate Drink RTD</x:v>
      </x:c>
      <x:c r="D2475" t="str">
        <x:v>Food &amp; Drinks</x:v>
      </x:c>
      <x:c r="E2475" t="str">
        <x:v>Ready to Drink Protein</x:v>
      </x:c>
      <x:c r="F2475" t="str"/>
      <x:c r="G2475" t="str">
        <x:v>12 x 500ml bottles</x:v>
      </x:c>
      <x:c r="H2475" t="str">
        <x:v>Peach</x:v>
      </x:c>
      <x:c r="I2475" t="str">
        <x:v>12</x:v>
      </x:c>
      <x:c r="J2475" t="str">
        <x:v>Case</x:v>
      </x:c>
      <x:c r="K2475" t="str">
        <x:v>In stock</x:v>
      </x:c>
      <x:c r="L2475" t="str">
        <x:v>2026-09-08</x:v>
      </x:c>
      <x:c r="M2475" t="str"/>
      <x:c r="N2475" t="str"/>
      <x:c r="O2475" t="str">
        <x:v>https://www.activesportstrade.co.uk/nxt-nutrition-trade</x:v>
      </x:c>
      <x:c r="P2475" t="str">
        <x:v>Supplier promotional free-case wording stripped; case-only member supplier order.</x:v>
      </x:c>
      <x:c r="Q2475" t="str"/>
      <x:c r="R2475" t="str"/>
      <x:c r="S2475" t="str">
        <x:v>Pending genuine supplier/brand image</x:v>
      </x:c>
      <x:c r="T2475" s="54"/>
      <x:c r="U2475" s="47" t="n">
        <x:v>0.2</x:v>
      </x:c>
      <x:c r="V2475" s="54" t="str">
        <x:f>IF(ISNUMBER(T2475),T2475*(1+U2475),"")</x:f>
      </x:c>
      <x:c r="W2475" s="47" t="n">
        <x:v>0.3</x:v>
      </x:c>
      <x:c r="X2475" s="54" t="str">
        <x:f>IF(ISNUMBER(V2475),V2475/(1-W2475),"")</x:f>
      </x:c>
      <x:c r="Y2475" s="55" t="str">
        <x:f>IF(ISNUMBER(X2475),ROUNDUP(X2475,0),"")</x:f>
      </x:c>
      <x:c r="Z2475" t="str">
        <x:f>IF(ISNUMBER(T2475),"Cost captured","Awaiting trade cost")</x:f>
        <x:v>Awaiting trade cost</x:v>
      </x:c>
      <x:c r="AB2475" s="36" t="str">
        <x:f>IF(ISNUMBER(Y2475),ROUND(Y2475*0.9,2),"")</x:f>
      </x:c>
      <x:c r="AC2475" s="36" t="str">
        <x:f>IF(ISNUMBER(AB2475),ROUND(AB2475-(AB2475*0.015+0.2)-V2475,2),"")</x:f>
      </x:c>
      <x:c r="AD2475" s="36" t="str">
        <x:f>IF(ISNUMBER(Y2475),ROUND(Y2475*0.8,2),"")</x:f>
      </x:c>
      <x:c r="AE2475" s="36" t="str">
        <x:f>IF(ISNUMBER(AD2475),ROUND(AD2475*0.015+0.2,2),"")</x:f>
      </x:c>
      <x:c r="AF2475" s="36" t="str">
        <x:f>IF(ISNUMBER(AD2475),ROUND(AD2475-AE2475-V2475,2),"")</x:f>
      </x:c>
      <x:c r="AG2475" t="str">
        <x:f>IF(NOT(ISNUMBER(T2475)),"PENDING",IF(AF2475&gt;0,"PASS","FAIL"))</x:f>
        <x:v>PENDING</x:v>
      </x:c>
      <x:c r="AH2475" t="str">
        <x:f>IF(NOT(ISNUMBER(T2475)),"Needs supplier cost",IF(K2475&lt;&gt;"In stock","Supplier unavailable",IF(AG2475&lt;&gt;"PASS","BLOCK - GT loss risk","Commercially protected")))</x:f>
        <x:v>Needs supplier cost</x:v>
      </x:c>
      <x:c r="AI2475" t="str">
        <x:v>2026-09-10 Active Sports trade capture</x:v>
      </x:c>
      <x:c r="AJ2475" t="str">
        <x:v>Management-only economics. Stripe stress test uses 1.5% + £0.20 standard UK online-card fee; pallet/mix-and-match pricing ignored.</x:v>
      </x:c>
    </x:row>
    <x:row r="2476">
      <x:c r="A2476" t="str">
        <x:v>Active Sports Nutrition</x:v>
      </x:c>
      <x:c r="B2476" t="str">
        <x:v>NXT Nutrition</x:v>
      </x:c>
      <x:c r="C2476" t="str">
        <x:v>KN Protein Water Isolate Drink RTD</x:v>
      </x:c>
      <x:c r="D2476" t="str">
        <x:v>Food &amp; Drinks</x:v>
      </x:c>
      <x:c r="E2476" t="str">
        <x:v>Ready to Drink Protein</x:v>
      </x:c>
      <x:c r="F2476" t="str"/>
      <x:c r="G2476" t="str">
        <x:v>12 x 500ml bottles</x:v>
      </x:c>
      <x:c r="H2476" t="str">
        <x:v>Pineapple</x:v>
      </x:c>
      <x:c r="I2476" t="str">
        <x:v>12</x:v>
      </x:c>
      <x:c r="J2476" t="str">
        <x:v>Case</x:v>
      </x:c>
      <x:c r="K2476" t="str">
        <x:v>Out of stock</x:v>
      </x:c>
      <x:c r="L2476" t="str">
        <x:v>2026-09-08</x:v>
      </x:c>
      <x:c r="M2476" t="str"/>
      <x:c r="N2476" t="str"/>
      <x:c r="O2476" t="str">
        <x:v>https://www.activesportstrade.co.uk/nxt-nutrition-trade</x:v>
      </x:c>
      <x:c r="P2476" t="str">
        <x:v>Supplier promotional free-case wording stripped; case-only member supplier order.</x:v>
      </x:c>
      <x:c r="Q2476" t="str"/>
      <x:c r="R2476" t="str"/>
      <x:c r="S2476" t="str">
        <x:v>Pending genuine supplier/brand image</x:v>
      </x:c>
      <x:c r="T2476" s="54"/>
      <x:c r="U2476" s="47" t="n">
        <x:v>0.2</x:v>
      </x:c>
      <x:c r="V2476" s="54" t="str">
        <x:f>IF(ISNUMBER(T2476),T2476*(1+U2476),"")</x:f>
      </x:c>
      <x:c r="W2476" s="47" t="n">
        <x:v>0.3</x:v>
      </x:c>
      <x:c r="X2476" s="54" t="str">
        <x:f>IF(ISNUMBER(V2476),V2476/(1-W2476),"")</x:f>
      </x:c>
      <x:c r="Y2476" s="55" t="str">
        <x:f>IF(ISNUMBER(X2476),ROUNDUP(X2476,0),"")</x:f>
      </x:c>
      <x:c r="Z2476" t="str">
        <x:f>IF(ISNUMBER(T2476),"Cost captured","Awaiting trade cost")</x:f>
        <x:v>Awaiting trade cost</x:v>
      </x:c>
      <x:c r="AB2476" s="36" t="str">
        <x:f>IF(ISNUMBER(Y2476),ROUND(Y2476*0.9,2),"")</x:f>
      </x:c>
      <x:c r="AC2476" s="36" t="str">
        <x:f>IF(ISNUMBER(AB2476),ROUND(AB2476-(AB2476*0.015+0.2)-V2476,2),"")</x:f>
      </x:c>
      <x:c r="AD2476" s="36" t="str">
        <x:f>IF(ISNUMBER(Y2476),ROUND(Y2476*0.8,2),"")</x:f>
      </x:c>
      <x:c r="AE2476" s="36" t="str">
        <x:f>IF(ISNUMBER(AD2476),ROUND(AD2476*0.015+0.2,2),"")</x:f>
      </x:c>
      <x:c r="AF2476" s="36" t="str">
        <x:f>IF(ISNUMBER(AD2476),ROUND(AD2476-AE2476-V2476,2),"")</x:f>
      </x:c>
      <x:c r="AG2476" t="str">
        <x:f>IF(NOT(ISNUMBER(T2476)),"PENDING",IF(AF2476&gt;0,"PASS","FAIL"))</x:f>
        <x:v>PENDING</x:v>
      </x:c>
      <x:c r="AH2476" t="str">
        <x:f>IF(NOT(ISNUMBER(T2476)),"Needs supplier cost",IF(K2476&lt;&gt;"In stock","Supplier unavailable",IF(AG2476&lt;&gt;"PASS","BLOCK - GT loss risk","Commercially protected")))</x:f>
        <x:v>Needs supplier cost</x:v>
      </x:c>
      <x:c r="AI2476" t="str">
        <x:v>2026-09-10 Active Sports trade capture</x:v>
      </x:c>
      <x:c r="AJ2476" t="str">
        <x:v>Management-only economics. Stripe stress test uses 1.5% + £0.20 standard UK online-card fee; pallet/mix-and-match pricing ignored.</x:v>
      </x:c>
    </x:row>
    <x:row r="2477">
      <x:c r="A2477" t="str">
        <x:v>Active Sports Nutrition</x:v>
      </x:c>
      <x:c r="B2477" t="str">
        <x:v>NXT Nutrition</x:v>
      </x:c>
      <x:c r="C2477" t="str">
        <x:v>KN Protein Water Isolate Drink RTD</x:v>
      </x:c>
      <x:c r="D2477" t="str">
        <x:v>Food &amp; Drinks</x:v>
      </x:c>
      <x:c r="E2477" t="str">
        <x:v>Ready to Drink Protein</x:v>
      </x:c>
      <x:c r="F2477" t="str"/>
      <x:c r="G2477" t="str">
        <x:v>12 x 500ml bottles</x:v>
      </x:c>
      <x:c r="H2477" t="str">
        <x:v>Strawberry &amp; Lime</x:v>
      </x:c>
      <x:c r="I2477" t="str">
        <x:v>12</x:v>
      </x:c>
      <x:c r="J2477" t="str">
        <x:v>Case</x:v>
      </x:c>
      <x:c r="K2477" t="str">
        <x:v>In stock</x:v>
      </x:c>
      <x:c r="L2477" t="str">
        <x:v>2026-09-08</x:v>
      </x:c>
      <x:c r="M2477" t="str"/>
      <x:c r="N2477" t="str"/>
      <x:c r="O2477" t="str">
        <x:v>https://www.activesportstrade.co.uk/nxt-nutrition-trade</x:v>
      </x:c>
      <x:c r="P2477" t="str">
        <x:v>Supplier promotional free-case wording stripped; case-only member supplier order.</x:v>
      </x:c>
      <x:c r="Q2477" t="str"/>
      <x:c r="R2477" t="str"/>
      <x:c r="S2477" t="str">
        <x:v>Pending genuine supplier/brand image</x:v>
      </x:c>
      <x:c r="T2477" s="54"/>
      <x:c r="U2477" s="47" t="n">
        <x:v>0.2</x:v>
      </x:c>
      <x:c r="V2477" s="54" t="str">
        <x:f>IF(ISNUMBER(T2477),T2477*(1+U2477),"")</x:f>
      </x:c>
      <x:c r="W2477" s="47" t="n">
        <x:v>0.3</x:v>
      </x:c>
      <x:c r="X2477" s="54" t="str">
        <x:f>IF(ISNUMBER(V2477),V2477/(1-W2477),"")</x:f>
      </x:c>
      <x:c r="Y2477" s="55" t="str">
        <x:f>IF(ISNUMBER(X2477),ROUNDUP(X2477,0),"")</x:f>
      </x:c>
      <x:c r="Z2477" t="str">
        <x:f>IF(ISNUMBER(T2477),"Cost captured","Awaiting trade cost")</x:f>
        <x:v>Awaiting trade cost</x:v>
      </x:c>
      <x:c r="AB2477" s="36" t="str">
        <x:f>IF(ISNUMBER(Y2477),ROUND(Y2477*0.9,2),"")</x:f>
      </x:c>
      <x:c r="AC2477" s="36" t="str">
        <x:f>IF(ISNUMBER(AB2477),ROUND(AB2477-(AB2477*0.015+0.2)-V2477,2),"")</x:f>
      </x:c>
      <x:c r="AD2477" s="36" t="str">
        <x:f>IF(ISNUMBER(Y2477),ROUND(Y2477*0.8,2),"")</x:f>
      </x:c>
      <x:c r="AE2477" s="36" t="str">
        <x:f>IF(ISNUMBER(AD2477),ROUND(AD2477*0.015+0.2,2),"")</x:f>
      </x:c>
      <x:c r="AF2477" s="36" t="str">
        <x:f>IF(ISNUMBER(AD2477),ROUND(AD2477-AE2477-V2477,2),"")</x:f>
      </x:c>
      <x:c r="AG2477" t="str">
        <x:f>IF(NOT(ISNUMBER(T2477)),"PENDING",IF(AF2477&gt;0,"PASS","FAIL"))</x:f>
        <x:v>PENDING</x:v>
      </x:c>
      <x:c r="AH2477" t="str">
        <x:f>IF(NOT(ISNUMBER(T2477)),"Needs supplier cost",IF(K2477&lt;&gt;"In stock","Supplier unavailable",IF(AG2477&lt;&gt;"PASS","BLOCK - GT loss risk","Commercially protected")))</x:f>
        <x:v>Needs supplier cost</x:v>
      </x:c>
      <x:c r="AI2477" t="str">
        <x:v>2026-09-10 Active Sports trade capture</x:v>
      </x:c>
      <x:c r="AJ2477" t="str">
        <x:v>Management-only economics. Stripe stress test uses 1.5% + £0.20 standard UK online-card fee; pallet/mix-and-match pricing ignored.</x:v>
      </x:c>
    </x:row>
    <x:row r="2478">
      <x:c r="A2478" t="str">
        <x:v>Active Sports Nutrition</x:v>
      </x:c>
      <x:c r="B2478" t="str">
        <x:v>NXT Nutrition</x:v>
      </x:c>
      <x:c r="C2478" t="str">
        <x:v>KN Protein Water Isolate Drink RTD</x:v>
      </x:c>
      <x:c r="D2478" t="str">
        <x:v>Food &amp; Drinks</x:v>
      </x:c>
      <x:c r="E2478" t="str">
        <x:v>Ready to Drink Protein</x:v>
      </x:c>
      <x:c r="F2478" t="str"/>
      <x:c r="G2478" t="str">
        <x:v>12 x 500ml bottles</x:v>
      </x:c>
      <x:c r="H2478" t="str">
        <x:v>Watermelon</x:v>
      </x:c>
      <x:c r="I2478" t="str">
        <x:v>12</x:v>
      </x:c>
      <x:c r="J2478" t="str">
        <x:v>Case</x:v>
      </x:c>
      <x:c r="K2478" t="str">
        <x:v>In stock</x:v>
      </x:c>
      <x:c r="L2478" t="str">
        <x:v>2026-09-08</x:v>
      </x:c>
      <x:c r="M2478" t="str"/>
      <x:c r="N2478" t="str"/>
      <x:c r="O2478" t="str">
        <x:v>https://www.activesportstrade.co.uk/nxt-nutrition-trade</x:v>
      </x:c>
      <x:c r="P2478" t="str">
        <x:v>Supplier promotional free-case wording stripped; case-only member supplier order.</x:v>
      </x:c>
      <x:c r="Q2478" t="str"/>
      <x:c r="R2478" t="str"/>
      <x:c r="S2478" t="str">
        <x:v>Pending genuine supplier/brand image</x:v>
      </x:c>
      <x:c r="T2478" s="54"/>
      <x:c r="U2478" s="47" t="n">
        <x:v>0.2</x:v>
      </x:c>
      <x:c r="V2478" s="54" t="str">
        <x:f>IF(ISNUMBER(T2478),T2478*(1+U2478),"")</x:f>
      </x:c>
      <x:c r="W2478" s="47" t="n">
        <x:v>0.3</x:v>
      </x:c>
      <x:c r="X2478" s="54" t="str">
        <x:f>IF(ISNUMBER(V2478),V2478/(1-W2478),"")</x:f>
      </x:c>
      <x:c r="Y2478" s="55" t="str">
        <x:f>IF(ISNUMBER(X2478),ROUNDUP(X2478,0),"")</x:f>
      </x:c>
      <x:c r="Z2478" t="str">
        <x:f>IF(ISNUMBER(T2478),"Cost captured","Awaiting trade cost")</x:f>
        <x:v>Awaiting trade cost</x:v>
      </x:c>
      <x:c r="AB2478" s="36" t="str">
        <x:f>IF(ISNUMBER(Y2478),ROUND(Y2478*0.9,2),"")</x:f>
      </x:c>
      <x:c r="AC2478" s="36" t="str">
        <x:f>IF(ISNUMBER(AB2478),ROUND(AB2478-(AB2478*0.015+0.2)-V2478,2),"")</x:f>
      </x:c>
      <x:c r="AD2478" s="36" t="str">
        <x:f>IF(ISNUMBER(Y2478),ROUND(Y2478*0.8,2),"")</x:f>
      </x:c>
      <x:c r="AE2478" s="36" t="str">
        <x:f>IF(ISNUMBER(AD2478),ROUND(AD2478*0.015+0.2,2),"")</x:f>
      </x:c>
      <x:c r="AF2478" s="36" t="str">
        <x:f>IF(ISNUMBER(AD2478),ROUND(AD2478-AE2478-V2478,2),"")</x:f>
      </x:c>
      <x:c r="AG2478" t="str">
        <x:f>IF(NOT(ISNUMBER(T2478)),"PENDING",IF(AF2478&gt;0,"PASS","FAIL"))</x:f>
        <x:v>PENDING</x:v>
      </x:c>
      <x:c r="AH2478" t="str">
        <x:f>IF(NOT(ISNUMBER(T2478)),"Needs supplier cost",IF(K2478&lt;&gt;"In stock","Supplier unavailable",IF(AG2478&lt;&gt;"PASS","BLOCK - GT loss risk","Commercially protected")))</x:f>
        <x:v>Needs supplier cost</x:v>
      </x:c>
      <x:c r="AI2478" t="str">
        <x:v>2026-09-10 Active Sports trade capture</x:v>
      </x:c>
      <x:c r="AJ2478" t="str">
        <x:v>Management-only economics. Stripe stress test uses 1.5% + £0.20 standard UK online-card fee; pallet/mix-and-match pricing ignored.</x:v>
      </x:c>
    </x:row>
    <x:row r="2479">
      <x:c r="A2479" t="str">
        <x:v>Active Sports Nutrition</x:v>
      </x:c>
      <x:c r="B2479" t="str">
        <x:v>NXT Nutrition</x:v>
      </x:c>
      <x:c r="C2479" t="str">
        <x:v>L-Glutamine</x:v>
      </x:c>
      <x:c r="D2479" t="str">
        <x:v>Supplements</x:v>
      </x:c>
      <x:c r="E2479" t="str">
        <x:v>L-Glutamine</x:v>
      </x:c>
      <x:c r="F2479" t="str"/>
      <x:c r="G2479" t="str">
        <x:v>200 tablets</x:v>
      </x:c>
      <x:c r="H2479" t="str">
        <x:v>Default</x:v>
      </x:c>
      <x:c r="I2479" t="str"/>
      <x:c r="J2479" t="str">
        <x:v>Unit</x:v>
      </x:c>
      <x:c r="K2479" t="str">
        <x:v>In stock</x:v>
      </x:c>
      <x:c r="L2479" t="str">
        <x:v>2026-09-08</x:v>
      </x:c>
      <x:c r="M2479" t="str"/>
      <x:c r="N2479" t="str"/>
      <x:c r="O2479" t="str">
        <x:v>https://www.activesportstrade.co.uk/nxt-nutrition-trade</x:v>
      </x:c>
      <x:c r="P2479" t="str"/>
      <x:c r="Q2479" t="str"/>
      <x:c r="R2479" t="str"/>
      <x:c r="S2479" t="str">
        <x:v>Pending genuine supplier/brand image</x:v>
      </x:c>
      <x:c r="T2479" s="54"/>
      <x:c r="U2479" s="47" t="n">
        <x:v>0.2</x:v>
      </x:c>
      <x:c r="V2479" s="54" t="str">
        <x:f>IF(ISNUMBER(T2479),T2479*(1+U2479),"")</x:f>
      </x:c>
      <x:c r="W2479" s="47" t="n">
        <x:v>0.3</x:v>
      </x:c>
      <x:c r="X2479" s="54" t="str">
        <x:f>IF(ISNUMBER(V2479),V2479/(1-W2479),"")</x:f>
      </x:c>
      <x:c r="Y2479" s="55" t="str">
        <x:f>IF(ISNUMBER(X2479),ROUNDUP(X2479,0),"")</x:f>
      </x:c>
      <x:c r="Z2479" t="str">
        <x:f>IF(ISNUMBER(T2479),"Cost captured","Awaiting trade cost")</x:f>
        <x:v>Awaiting trade cost</x:v>
      </x:c>
      <x:c r="AB2479" s="36" t="str">
        <x:f>IF(ISNUMBER(Y2479),ROUND(Y2479*0.9,2),"")</x:f>
      </x:c>
      <x:c r="AC2479" s="36" t="str">
        <x:f>IF(ISNUMBER(AB2479),ROUND(AB2479-(AB2479*0.015+0.2)-V2479,2),"")</x:f>
      </x:c>
      <x:c r="AD2479" s="36" t="str">
        <x:f>IF(ISNUMBER(Y2479),ROUND(Y2479*0.8,2),"")</x:f>
      </x:c>
      <x:c r="AE2479" s="36" t="str">
        <x:f>IF(ISNUMBER(AD2479),ROUND(AD2479*0.015+0.2,2),"")</x:f>
      </x:c>
      <x:c r="AF2479" s="36" t="str">
        <x:f>IF(ISNUMBER(AD2479),ROUND(AD2479-AE2479-V2479,2),"")</x:f>
      </x:c>
      <x:c r="AG2479" t="str">
        <x:f>IF(NOT(ISNUMBER(T2479)),"PENDING",IF(AF2479&gt;0,"PASS","FAIL"))</x:f>
        <x:v>PENDING</x:v>
      </x:c>
      <x:c r="AH2479" t="str">
        <x:f>IF(NOT(ISNUMBER(T2479)),"Needs supplier cost",IF(K2479&lt;&gt;"In stock","Supplier unavailable",IF(AG2479&lt;&gt;"PASS","BLOCK - GT loss risk","Commercially protected")))</x:f>
        <x:v>Needs supplier cost</x:v>
      </x:c>
      <x:c r="AI2479" t="str">
        <x:v>2026-09-10 Active Sports trade capture</x:v>
      </x:c>
      <x:c r="AJ2479" t="str">
        <x:v>Management-only economics. Stripe stress test uses 1.5% + £0.20 standard UK online-card fee; pallet/mix-and-match pricing ignored.</x:v>
      </x:c>
    </x:row>
    <x:row r="2480">
      <x:c r="A2480" t="str">
        <x:v>Active Sports Nutrition</x:v>
      </x:c>
      <x:c r="B2480" t="str">
        <x:v>NXT Nutrition</x:v>
      </x:c>
      <x:c r="C2480" t="str">
        <x:v>Lions Mane</x:v>
      </x:c>
      <x:c r="D2480" t="str">
        <x:v>Supplements</x:v>
      </x:c>
      <x:c r="E2480" t="str">
        <x:v>Nootropics</x:v>
      </x:c>
      <x:c r="F2480" t="str"/>
      <x:c r="G2480" t="str">
        <x:v>60 caps</x:v>
      </x:c>
      <x:c r="H2480" t="str">
        <x:v>Default</x:v>
      </x:c>
      <x:c r="I2480" t="str"/>
      <x:c r="J2480" t="str">
        <x:v>Unit</x:v>
      </x:c>
      <x:c r="K2480" t="str">
        <x:v>In stock</x:v>
      </x:c>
      <x:c r="L2480" t="str">
        <x:v>2026-09-08</x:v>
      </x:c>
      <x:c r="M2480" t="str"/>
      <x:c r="N2480" t="str"/>
      <x:c r="O2480" t="str">
        <x:v>https://www.activesportstrade.co.uk/nxt-nutrition-trade</x:v>
      </x:c>
      <x:c r="P2480" t="str"/>
      <x:c r="Q2480" t="str"/>
      <x:c r="R2480" t="str"/>
      <x:c r="S2480" t="str">
        <x:v>Pending genuine supplier/brand image</x:v>
      </x:c>
      <x:c r="T2480" s="54"/>
      <x:c r="U2480" s="47" t="n">
        <x:v>0.2</x:v>
      </x:c>
      <x:c r="V2480" s="54" t="str">
        <x:f>IF(ISNUMBER(T2480),T2480*(1+U2480),"")</x:f>
      </x:c>
      <x:c r="W2480" s="47" t="n">
        <x:v>0.3</x:v>
      </x:c>
      <x:c r="X2480" s="54" t="str">
        <x:f>IF(ISNUMBER(V2480),V2480/(1-W2480),"")</x:f>
      </x:c>
      <x:c r="Y2480" s="55" t="str">
        <x:f>IF(ISNUMBER(X2480),ROUNDUP(X2480,0),"")</x:f>
      </x:c>
      <x:c r="Z2480" t="str">
        <x:f>IF(ISNUMBER(T2480),"Cost captured","Awaiting trade cost")</x:f>
        <x:v>Awaiting trade cost</x:v>
      </x:c>
      <x:c r="AB2480" s="36" t="str">
        <x:f>IF(ISNUMBER(Y2480),ROUND(Y2480*0.9,2),"")</x:f>
      </x:c>
      <x:c r="AC2480" s="36" t="str">
        <x:f>IF(ISNUMBER(AB2480),ROUND(AB2480-(AB2480*0.015+0.2)-V2480,2),"")</x:f>
      </x:c>
      <x:c r="AD2480" s="36" t="str">
        <x:f>IF(ISNUMBER(Y2480),ROUND(Y2480*0.8,2),"")</x:f>
      </x:c>
      <x:c r="AE2480" s="36" t="str">
        <x:f>IF(ISNUMBER(AD2480),ROUND(AD2480*0.015+0.2,2),"")</x:f>
      </x:c>
      <x:c r="AF2480" s="36" t="str">
        <x:f>IF(ISNUMBER(AD2480),ROUND(AD2480-AE2480-V2480,2),"")</x:f>
      </x:c>
      <x:c r="AG2480" t="str">
        <x:f>IF(NOT(ISNUMBER(T2480)),"PENDING",IF(AF2480&gt;0,"PASS","FAIL"))</x:f>
        <x:v>PENDING</x:v>
      </x:c>
      <x:c r="AH2480" t="str">
        <x:f>IF(NOT(ISNUMBER(T2480)),"Needs supplier cost",IF(K2480&lt;&gt;"In stock","Supplier unavailable",IF(AG2480&lt;&gt;"PASS","BLOCK - GT loss risk","Commercially protected")))</x:f>
        <x:v>Needs supplier cost</x:v>
      </x:c>
      <x:c r="AI2480" t="str">
        <x:v>2026-09-10 Active Sports trade capture</x:v>
      </x:c>
      <x:c r="AJ2480" t="str">
        <x:v>Management-only economics. Stripe stress test uses 1.5% + £0.20 standard UK online-card fee; pallet/mix-and-match pricing ignored.</x:v>
      </x:c>
    </x:row>
    <x:row r="2481">
      <x:c r="A2481" t="str">
        <x:v>Active Sports Nutrition</x:v>
      </x:c>
      <x:c r="B2481" t="str">
        <x:v>NXT Nutrition</x:v>
      </x:c>
      <x:c r="C2481" t="str">
        <x:v>Pure Whey Deluxe</x:v>
      </x:c>
      <x:c r="D2481" t="str">
        <x:v>Supplements</x:v>
      </x:c>
      <x:c r="E2481" t="str">
        <x:v>Whey Protein</x:v>
      </x:c>
      <x:c r="F2481" t="str"/>
      <x:c r="G2481" t="str">
        <x:v>2.1kg</x:v>
      </x:c>
      <x:c r="H2481" t="str">
        <x:v>Banana Milkshake</x:v>
      </x:c>
      <x:c r="I2481" t="str"/>
      <x:c r="J2481" t="str">
        <x:v>Unit</x:v>
      </x:c>
      <x:c r="K2481" t="str">
        <x:v>Out of stock</x:v>
      </x:c>
      <x:c r="L2481" t="str">
        <x:v>2026-09-08</x:v>
      </x:c>
      <x:c r="M2481" t="str"/>
      <x:c r="N2481" t="str"/>
      <x:c r="O2481" t="str">
        <x:v>https://www.activesportstrade.co.uk/nxt-nutrition-trade</x:v>
      </x:c>
      <x:c r="P2481" t="str"/>
      <x:c r="Q2481" t="str"/>
      <x:c r="R2481" t="str"/>
      <x:c r="S2481" t="str">
        <x:v>Pending genuine supplier/brand image</x:v>
      </x:c>
      <x:c r="T2481" s="54"/>
      <x:c r="U2481" s="47" t="n">
        <x:v>0.2</x:v>
      </x:c>
      <x:c r="V2481" s="54" t="str">
        <x:f>IF(ISNUMBER(T2481),T2481*(1+U2481),"")</x:f>
      </x:c>
      <x:c r="W2481" s="47" t="n">
        <x:v>0.3</x:v>
      </x:c>
      <x:c r="X2481" s="54" t="str">
        <x:f>IF(ISNUMBER(V2481),V2481/(1-W2481),"")</x:f>
      </x:c>
      <x:c r="Y2481" s="55" t="str">
        <x:f>IF(ISNUMBER(X2481),ROUNDUP(X2481,0),"")</x:f>
      </x:c>
      <x:c r="Z2481" t="str">
        <x:f>IF(ISNUMBER(T2481),"Cost captured","Awaiting trade cost")</x:f>
        <x:v>Awaiting trade cost</x:v>
      </x:c>
      <x:c r="AB2481" s="36" t="str">
        <x:f>IF(ISNUMBER(Y2481),ROUND(Y2481*0.9,2),"")</x:f>
      </x:c>
      <x:c r="AC2481" s="36" t="str">
        <x:f>IF(ISNUMBER(AB2481),ROUND(AB2481-(AB2481*0.015+0.2)-V2481,2),"")</x:f>
      </x:c>
      <x:c r="AD2481" s="36" t="str">
        <x:f>IF(ISNUMBER(Y2481),ROUND(Y2481*0.8,2),"")</x:f>
      </x:c>
      <x:c r="AE2481" s="36" t="str">
        <x:f>IF(ISNUMBER(AD2481),ROUND(AD2481*0.015+0.2,2),"")</x:f>
      </x:c>
      <x:c r="AF2481" s="36" t="str">
        <x:f>IF(ISNUMBER(AD2481),ROUND(AD2481-AE2481-V2481,2),"")</x:f>
      </x:c>
      <x:c r="AG2481" t="str">
        <x:f>IF(NOT(ISNUMBER(T2481)),"PENDING",IF(AF2481&gt;0,"PASS","FAIL"))</x:f>
        <x:v>PENDING</x:v>
      </x:c>
      <x:c r="AH2481" t="str">
        <x:f>IF(NOT(ISNUMBER(T2481)),"Needs supplier cost",IF(K2481&lt;&gt;"In stock","Supplier unavailable",IF(AG2481&lt;&gt;"PASS","BLOCK - GT loss risk","Commercially protected")))</x:f>
        <x:v>Needs supplier cost</x:v>
      </x:c>
      <x:c r="AI2481" t="str">
        <x:v>2026-09-10 Active Sports trade capture</x:v>
      </x:c>
      <x:c r="AJ2481" t="str">
        <x:v>Management-only economics. Stripe stress test uses 1.5% + £0.20 standard UK online-card fee; pallet/mix-and-match pricing ignored.</x:v>
      </x:c>
    </x:row>
    <x:row r="2482">
      <x:c r="A2482" t="str">
        <x:v>Active Sports Nutrition</x:v>
      </x:c>
      <x:c r="B2482" t="str">
        <x:v>NXT Nutrition</x:v>
      </x:c>
      <x:c r="C2482" t="str">
        <x:v>Pure Whey Deluxe</x:v>
      </x:c>
      <x:c r="D2482" t="str">
        <x:v>Supplements</x:v>
      </x:c>
      <x:c r="E2482" t="str">
        <x:v>Whey Protein</x:v>
      </x:c>
      <x:c r="F2482" t="str"/>
      <x:c r="G2482" t="str">
        <x:v>2.1kg</x:v>
      </x:c>
      <x:c r="H2482" t="str">
        <x:v>Brilliantly Biscuity</x:v>
      </x:c>
      <x:c r="I2482" t="str"/>
      <x:c r="J2482" t="str">
        <x:v>Unit</x:v>
      </x:c>
      <x:c r="K2482" t="str">
        <x:v>In stock</x:v>
      </x:c>
      <x:c r="L2482" t="str">
        <x:v>2026-09-08</x:v>
      </x:c>
      <x:c r="M2482" t="str"/>
      <x:c r="N2482" t="str"/>
      <x:c r="O2482" t="str">
        <x:v>https://www.activesportstrade.co.uk/nxt-nutrition-trade</x:v>
      </x:c>
      <x:c r="P2482" t="str"/>
      <x:c r="Q2482" t="str"/>
      <x:c r="R2482" t="str"/>
      <x:c r="S2482" t="str">
        <x:v>Pending genuine supplier/brand image</x:v>
      </x:c>
      <x:c r="T2482" s="54"/>
      <x:c r="U2482" s="47" t="n">
        <x:v>0.2</x:v>
      </x:c>
      <x:c r="V2482" s="54" t="str">
        <x:f>IF(ISNUMBER(T2482),T2482*(1+U2482),"")</x:f>
      </x:c>
      <x:c r="W2482" s="47" t="n">
        <x:v>0.3</x:v>
      </x:c>
      <x:c r="X2482" s="54" t="str">
        <x:f>IF(ISNUMBER(V2482),V2482/(1-W2482),"")</x:f>
      </x:c>
      <x:c r="Y2482" s="55" t="str">
        <x:f>IF(ISNUMBER(X2482),ROUNDUP(X2482,0),"")</x:f>
      </x:c>
      <x:c r="Z2482" t="str">
        <x:f>IF(ISNUMBER(T2482),"Cost captured","Awaiting trade cost")</x:f>
        <x:v>Awaiting trade cost</x:v>
      </x:c>
      <x:c r="AB2482" s="36" t="str">
        <x:f>IF(ISNUMBER(Y2482),ROUND(Y2482*0.9,2),"")</x:f>
      </x:c>
      <x:c r="AC2482" s="36" t="str">
        <x:f>IF(ISNUMBER(AB2482),ROUND(AB2482-(AB2482*0.015+0.2)-V2482,2),"")</x:f>
      </x:c>
      <x:c r="AD2482" s="36" t="str">
        <x:f>IF(ISNUMBER(Y2482),ROUND(Y2482*0.8,2),"")</x:f>
      </x:c>
      <x:c r="AE2482" s="36" t="str">
        <x:f>IF(ISNUMBER(AD2482),ROUND(AD2482*0.015+0.2,2),"")</x:f>
      </x:c>
      <x:c r="AF2482" s="36" t="str">
        <x:f>IF(ISNUMBER(AD2482),ROUND(AD2482-AE2482-V2482,2),"")</x:f>
      </x:c>
      <x:c r="AG2482" t="str">
        <x:f>IF(NOT(ISNUMBER(T2482)),"PENDING",IF(AF2482&gt;0,"PASS","FAIL"))</x:f>
        <x:v>PENDING</x:v>
      </x:c>
      <x:c r="AH2482" t="str">
        <x:f>IF(NOT(ISNUMBER(T2482)),"Needs supplier cost",IF(K2482&lt;&gt;"In stock","Supplier unavailable",IF(AG2482&lt;&gt;"PASS","BLOCK - GT loss risk","Commercially protected")))</x:f>
        <x:v>Needs supplier cost</x:v>
      </x:c>
      <x:c r="AI2482" t="str">
        <x:v>2026-09-10 Active Sports trade capture</x:v>
      </x:c>
      <x:c r="AJ2482" t="str">
        <x:v>Management-only economics. Stripe stress test uses 1.5% + £0.20 standard UK online-card fee; pallet/mix-and-match pricing ignored.</x:v>
      </x:c>
    </x:row>
    <x:row r="2483">
      <x:c r="A2483" t="str">
        <x:v>Active Sports Nutrition</x:v>
      </x:c>
      <x:c r="B2483" t="str">
        <x:v>NXT Nutrition</x:v>
      </x:c>
      <x:c r="C2483" t="str">
        <x:v>Pure Whey Deluxe</x:v>
      </x:c>
      <x:c r="D2483" t="str">
        <x:v>Supplements</x:v>
      </x:c>
      <x:c r="E2483" t="str">
        <x:v>Whey Protein</x:v>
      </x:c>
      <x:c r="F2483" t="str"/>
      <x:c r="G2483" t="str">
        <x:v>2.1kg</x:v>
      </x:c>
      <x:c r="H2483" t="str">
        <x:v>Choco Peanut Butter Cups</x:v>
      </x:c>
      <x:c r="I2483" t="str"/>
      <x:c r="J2483" t="str">
        <x:v>Unit</x:v>
      </x:c>
      <x:c r="K2483" t="str">
        <x:v>In stock</x:v>
      </x:c>
      <x:c r="L2483" t="str">
        <x:v>2026-09-08</x:v>
      </x:c>
      <x:c r="M2483" t="str"/>
      <x:c r="N2483" t="str"/>
      <x:c r="O2483" t="str">
        <x:v>https://www.activesportstrade.co.uk/nxt-nutrition-trade</x:v>
      </x:c>
      <x:c r="P2483" t="str"/>
      <x:c r="Q2483" t="str"/>
      <x:c r="R2483" t="str"/>
      <x:c r="S2483" t="str">
        <x:v>Pending genuine supplier/brand image</x:v>
      </x:c>
      <x:c r="T2483" s="54"/>
      <x:c r="U2483" s="47" t="n">
        <x:v>0.2</x:v>
      </x:c>
      <x:c r="V2483" s="54" t="str">
        <x:f>IF(ISNUMBER(T2483),T2483*(1+U2483),"")</x:f>
      </x:c>
      <x:c r="W2483" s="47" t="n">
        <x:v>0.3</x:v>
      </x:c>
      <x:c r="X2483" s="54" t="str">
        <x:f>IF(ISNUMBER(V2483),V2483/(1-W2483),"")</x:f>
      </x:c>
      <x:c r="Y2483" s="55" t="str">
        <x:f>IF(ISNUMBER(X2483),ROUNDUP(X2483,0),"")</x:f>
      </x:c>
      <x:c r="Z2483" t="str">
        <x:f>IF(ISNUMBER(T2483),"Cost captured","Awaiting trade cost")</x:f>
        <x:v>Awaiting trade cost</x:v>
      </x:c>
      <x:c r="AB2483" s="36" t="str">
        <x:f>IF(ISNUMBER(Y2483),ROUND(Y2483*0.9,2),"")</x:f>
      </x:c>
      <x:c r="AC2483" s="36" t="str">
        <x:f>IF(ISNUMBER(AB2483),ROUND(AB2483-(AB2483*0.015+0.2)-V2483,2),"")</x:f>
      </x:c>
      <x:c r="AD2483" s="36" t="str">
        <x:f>IF(ISNUMBER(Y2483),ROUND(Y2483*0.8,2),"")</x:f>
      </x:c>
      <x:c r="AE2483" s="36" t="str">
        <x:f>IF(ISNUMBER(AD2483),ROUND(AD2483*0.015+0.2,2),"")</x:f>
      </x:c>
      <x:c r="AF2483" s="36" t="str">
        <x:f>IF(ISNUMBER(AD2483),ROUND(AD2483-AE2483-V2483,2),"")</x:f>
      </x:c>
      <x:c r="AG2483" t="str">
        <x:f>IF(NOT(ISNUMBER(T2483)),"PENDING",IF(AF2483&gt;0,"PASS","FAIL"))</x:f>
        <x:v>PENDING</x:v>
      </x:c>
      <x:c r="AH2483" t="str">
        <x:f>IF(NOT(ISNUMBER(T2483)),"Needs supplier cost",IF(K2483&lt;&gt;"In stock","Supplier unavailable",IF(AG2483&lt;&gt;"PASS","BLOCK - GT loss risk","Commercially protected")))</x:f>
        <x:v>Needs supplier cost</x:v>
      </x:c>
      <x:c r="AI2483" t="str">
        <x:v>2026-09-10 Active Sports trade capture</x:v>
      </x:c>
      <x:c r="AJ2483" t="str">
        <x:v>Management-only economics. Stripe stress test uses 1.5% + £0.20 standard UK online-card fee; pallet/mix-and-match pricing ignored.</x:v>
      </x:c>
    </x:row>
    <x:row r="2484">
      <x:c r="A2484" t="str">
        <x:v>Active Sports Nutrition</x:v>
      </x:c>
      <x:c r="B2484" t="str">
        <x:v>NXT Nutrition</x:v>
      </x:c>
      <x:c r="C2484" t="str">
        <x:v>Pure Whey Deluxe</x:v>
      </x:c>
      <x:c r="D2484" t="str">
        <x:v>Supplements</x:v>
      </x:c>
      <x:c r="E2484" t="str">
        <x:v>Whey Protein</x:v>
      </x:c>
      <x:c r="F2484" t="str"/>
      <x:c r="G2484" t="str">
        <x:v>2.1kg</x:v>
      </x:c>
      <x:c r="H2484" t="str">
        <x:v>Chocolate Milkshake</x:v>
      </x:c>
      <x:c r="I2484" t="str"/>
      <x:c r="J2484" t="str">
        <x:v>Unit</x:v>
      </x:c>
      <x:c r="K2484" t="str">
        <x:v>In stock</x:v>
      </x:c>
      <x:c r="L2484" t="str">
        <x:v>2026-09-08</x:v>
      </x:c>
      <x:c r="M2484" t="str"/>
      <x:c r="N2484" t="str"/>
      <x:c r="O2484" t="str">
        <x:v>https://www.activesportstrade.co.uk/nxt-nutrition-trade</x:v>
      </x:c>
      <x:c r="P2484" t="str"/>
      <x:c r="Q2484" t="str"/>
      <x:c r="R2484" t="str"/>
      <x:c r="S2484" t="str">
        <x:v>Pending genuine supplier/brand image</x:v>
      </x:c>
      <x:c r="T2484" s="54"/>
      <x:c r="U2484" s="47" t="n">
        <x:v>0.2</x:v>
      </x:c>
      <x:c r="V2484" s="54" t="str">
        <x:f>IF(ISNUMBER(T2484),T2484*(1+U2484),"")</x:f>
      </x:c>
      <x:c r="W2484" s="47" t="n">
        <x:v>0.3</x:v>
      </x:c>
      <x:c r="X2484" s="54" t="str">
        <x:f>IF(ISNUMBER(V2484),V2484/(1-W2484),"")</x:f>
      </x:c>
      <x:c r="Y2484" s="55" t="str">
        <x:f>IF(ISNUMBER(X2484),ROUNDUP(X2484,0),"")</x:f>
      </x:c>
      <x:c r="Z2484" t="str">
        <x:f>IF(ISNUMBER(T2484),"Cost captured","Awaiting trade cost")</x:f>
        <x:v>Awaiting trade cost</x:v>
      </x:c>
      <x:c r="AB2484" s="36" t="str">
        <x:f>IF(ISNUMBER(Y2484),ROUND(Y2484*0.9,2),"")</x:f>
      </x:c>
      <x:c r="AC2484" s="36" t="str">
        <x:f>IF(ISNUMBER(AB2484),ROUND(AB2484-(AB2484*0.015+0.2)-V2484,2),"")</x:f>
      </x:c>
      <x:c r="AD2484" s="36" t="str">
        <x:f>IF(ISNUMBER(Y2484),ROUND(Y2484*0.8,2),"")</x:f>
      </x:c>
      <x:c r="AE2484" s="36" t="str">
        <x:f>IF(ISNUMBER(AD2484),ROUND(AD2484*0.015+0.2,2),"")</x:f>
      </x:c>
      <x:c r="AF2484" s="36" t="str">
        <x:f>IF(ISNUMBER(AD2484),ROUND(AD2484-AE2484-V2484,2),"")</x:f>
      </x:c>
      <x:c r="AG2484" t="str">
        <x:f>IF(NOT(ISNUMBER(T2484)),"PENDING",IF(AF2484&gt;0,"PASS","FAIL"))</x:f>
        <x:v>PENDING</x:v>
      </x:c>
      <x:c r="AH2484" t="str">
        <x:f>IF(NOT(ISNUMBER(T2484)),"Needs supplier cost",IF(K2484&lt;&gt;"In stock","Supplier unavailable",IF(AG2484&lt;&gt;"PASS","BLOCK - GT loss risk","Commercially protected")))</x:f>
        <x:v>Needs supplier cost</x:v>
      </x:c>
      <x:c r="AI2484" t="str">
        <x:v>2026-09-10 Active Sports trade capture</x:v>
      </x:c>
      <x:c r="AJ2484" t="str">
        <x:v>Management-only economics. Stripe stress test uses 1.5% + £0.20 standard UK online-card fee; pallet/mix-and-match pricing ignored.</x:v>
      </x:c>
    </x:row>
    <x:row r="2485">
      <x:c r="A2485" t="str">
        <x:v>Active Sports Nutrition</x:v>
      </x:c>
      <x:c r="B2485" t="str">
        <x:v>NXT Nutrition</x:v>
      </x:c>
      <x:c r="C2485" t="str">
        <x:v>Pure Whey Deluxe</x:v>
      </x:c>
      <x:c r="D2485" t="str">
        <x:v>Supplements</x:v>
      </x:c>
      <x:c r="E2485" t="str">
        <x:v>Whey Protein</x:v>
      </x:c>
      <x:c r="F2485" t="str"/>
      <x:c r="G2485" t="str">
        <x:v>2.1kg</x:v>
      </x:c>
      <x:c r="H2485" t="str">
        <x:v>Chocolate Orange</x:v>
      </x:c>
      <x:c r="I2485" t="str"/>
      <x:c r="J2485" t="str">
        <x:v>Unit</x:v>
      </x:c>
      <x:c r="K2485" t="str">
        <x:v>Out of stock</x:v>
      </x:c>
      <x:c r="L2485" t="str">
        <x:v>2026-09-08</x:v>
      </x:c>
      <x:c r="M2485" t="str"/>
      <x:c r="N2485" t="str"/>
      <x:c r="O2485" t="str">
        <x:v>https://www.activesportstrade.co.uk/nxt-nutrition-trade</x:v>
      </x:c>
      <x:c r="P2485" t="str"/>
      <x:c r="Q2485" t="str"/>
      <x:c r="R2485" t="str"/>
      <x:c r="S2485" t="str">
        <x:v>Pending genuine supplier/brand image</x:v>
      </x:c>
      <x:c r="T2485" s="54"/>
      <x:c r="U2485" s="47" t="n">
        <x:v>0.2</x:v>
      </x:c>
      <x:c r="V2485" s="54" t="str">
        <x:f>IF(ISNUMBER(T2485),T2485*(1+U2485),"")</x:f>
      </x:c>
      <x:c r="W2485" s="47" t="n">
        <x:v>0.3</x:v>
      </x:c>
      <x:c r="X2485" s="54" t="str">
        <x:f>IF(ISNUMBER(V2485),V2485/(1-W2485),"")</x:f>
      </x:c>
      <x:c r="Y2485" s="55" t="str">
        <x:f>IF(ISNUMBER(X2485),ROUNDUP(X2485,0),"")</x:f>
      </x:c>
      <x:c r="Z2485" t="str">
        <x:f>IF(ISNUMBER(T2485),"Cost captured","Awaiting trade cost")</x:f>
        <x:v>Awaiting trade cost</x:v>
      </x:c>
      <x:c r="AB2485" s="36" t="str">
        <x:f>IF(ISNUMBER(Y2485),ROUND(Y2485*0.9,2),"")</x:f>
      </x:c>
      <x:c r="AC2485" s="36" t="str">
        <x:f>IF(ISNUMBER(AB2485),ROUND(AB2485-(AB2485*0.015+0.2)-V2485,2),"")</x:f>
      </x:c>
      <x:c r="AD2485" s="36" t="str">
        <x:f>IF(ISNUMBER(Y2485),ROUND(Y2485*0.8,2),"")</x:f>
      </x:c>
      <x:c r="AE2485" s="36" t="str">
        <x:f>IF(ISNUMBER(AD2485),ROUND(AD2485*0.015+0.2,2),"")</x:f>
      </x:c>
      <x:c r="AF2485" s="36" t="str">
        <x:f>IF(ISNUMBER(AD2485),ROUND(AD2485-AE2485-V2485,2),"")</x:f>
      </x:c>
      <x:c r="AG2485" t="str">
        <x:f>IF(NOT(ISNUMBER(T2485)),"PENDING",IF(AF2485&gt;0,"PASS","FAIL"))</x:f>
        <x:v>PENDING</x:v>
      </x:c>
      <x:c r="AH2485" t="str">
        <x:f>IF(NOT(ISNUMBER(T2485)),"Needs supplier cost",IF(K2485&lt;&gt;"In stock","Supplier unavailable",IF(AG2485&lt;&gt;"PASS","BLOCK - GT loss risk","Commercially protected")))</x:f>
        <x:v>Needs supplier cost</x:v>
      </x:c>
      <x:c r="AI2485" t="str">
        <x:v>2026-09-10 Active Sports trade capture</x:v>
      </x:c>
      <x:c r="AJ2485" t="str">
        <x:v>Management-only economics. Stripe stress test uses 1.5% + £0.20 standard UK online-card fee; pallet/mix-and-match pricing ignored.</x:v>
      </x:c>
    </x:row>
    <x:row r="2486">
      <x:c r="A2486" t="str">
        <x:v>Active Sports Nutrition</x:v>
      </x:c>
      <x:c r="B2486" t="str">
        <x:v>NXT Nutrition</x:v>
      </x:c>
      <x:c r="C2486" t="str">
        <x:v>Pure Whey Deluxe</x:v>
      </x:c>
      <x:c r="D2486" t="str">
        <x:v>Supplements</x:v>
      </x:c>
      <x:c r="E2486" t="str">
        <x:v>Whey Protein</x:v>
      </x:c>
      <x:c r="F2486" t="str"/>
      <x:c r="G2486" t="str">
        <x:v>2.1kg</x:v>
      </x:c>
      <x:c r="H2486" t="str">
        <x:v>Cinnamon Swirl</x:v>
      </x:c>
      <x:c r="I2486" t="str"/>
      <x:c r="J2486" t="str">
        <x:v>Unit</x:v>
      </x:c>
      <x:c r="K2486" t="str">
        <x:v>Out of stock</x:v>
      </x:c>
      <x:c r="L2486" t="str">
        <x:v>2026-09-08</x:v>
      </x:c>
      <x:c r="M2486" t="str"/>
      <x:c r="N2486" t="str"/>
      <x:c r="O2486" t="str">
        <x:v>https://www.activesportstrade.co.uk/nxt-nutrition-trade</x:v>
      </x:c>
      <x:c r="P2486" t="str"/>
      <x:c r="Q2486" t="str"/>
      <x:c r="R2486" t="str"/>
      <x:c r="S2486" t="str">
        <x:v>Pending genuine supplier/brand image</x:v>
      </x:c>
      <x:c r="T2486" s="54"/>
      <x:c r="U2486" s="47" t="n">
        <x:v>0.2</x:v>
      </x:c>
      <x:c r="V2486" s="54" t="str">
        <x:f>IF(ISNUMBER(T2486),T2486*(1+U2486),"")</x:f>
      </x:c>
      <x:c r="W2486" s="47" t="n">
        <x:v>0.3</x:v>
      </x:c>
      <x:c r="X2486" s="54" t="str">
        <x:f>IF(ISNUMBER(V2486),V2486/(1-W2486),"")</x:f>
      </x:c>
      <x:c r="Y2486" s="55" t="str">
        <x:f>IF(ISNUMBER(X2486),ROUNDUP(X2486,0),"")</x:f>
      </x:c>
      <x:c r="Z2486" t="str">
        <x:f>IF(ISNUMBER(T2486),"Cost captured","Awaiting trade cost")</x:f>
        <x:v>Awaiting trade cost</x:v>
      </x:c>
      <x:c r="AB2486" s="36" t="str">
        <x:f>IF(ISNUMBER(Y2486),ROUND(Y2486*0.9,2),"")</x:f>
      </x:c>
      <x:c r="AC2486" s="36" t="str">
        <x:f>IF(ISNUMBER(AB2486),ROUND(AB2486-(AB2486*0.015+0.2)-V2486,2),"")</x:f>
      </x:c>
      <x:c r="AD2486" s="36" t="str">
        <x:f>IF(ISNUMBER(Y2486),ROUND(Y2486*0.8,2),"")</x:f>
      </x:c>
      <x:c r="AE2486" s="36" t="str">
        <x:f>IF(ISNUMBER(AD2486),ROUND(AD2486*0.015+0.2,2),"")</x:f>
      </x:c>
      <x:c r="AF2486" s="36" t="str">
        <x:f>IF(ISNUMBER(AD2486),ROUND(AD2486-AE2486-V2486,2),"")</x:f>
      </x:c>
      <x:c r="AG2486" t="str">
        <x:f>IF(NOT(ISNUMBER(T2486)),"PENDING",IF(AF2486&gt;0,"PASS","FAIL"))</x:f>
        <x:v>PENDING</x:v>
      </x:c>
      <x:c r="AH2486" t="str">
        <x:f>IF(NOT(ISNUMBER(T2486)),"Needs supplier cost",IF(K2486&lt;&gt;"In stock","Supplier unavailable",IF(AG2486&lt;&gt;"PASS","BLOCK - GT loss risk","Commercially protected")))</x:f>
        <x:v>Needs supplier cost</x:v>
      </x:c>
      <x:c r="AI2486" t="str">
        <x:v>2026-09-10 Active Sports trade capture</x:v>
      </x:c>
      <x:c r="AJ2486" t="str">
        <x:v>Management-only economics. Stripe stress test uses 1.5% + £0.20 standard UK online-card fee; pallet/mix-and-match pricing ignored.</x:v>
      </x:c>
    </x:row>
    <x:row r="2487">
      <x:c r="A2487" t="str">
        <x:v>Active Sports Nutrition</x:v>
      </x:c>
      <x:c r="B2487" t="str">
        <x:v>NXT Nutrition</x:v>
      </x:c>
      <x:c r="C2487" t="str">
        <x:v>Pure Whey Deluxe</x:v>
      </x:c>
      <x:c r="D2487" t="str">
        <x:v>Supplements</x:v>
      </x:c>
      <x:c r="E2487" t="str">
        <x:v>Whey Protein</x:v>
      </x:c>
      <x:c r="F2487" t="str"/>
      <x:c r="G2487" t="str">
        <x:v>2.1kg</x:v>
      </x:c>
      <x:c r="H2487" t="str">
        <x:v>Coconut Cream</x:v>
      </x:c>
      <x:c r="I2487" t="str"/>
      <x:c r="J2487" t="str">
        <x:v>Unit</x:v>
      </x:c>
      <x:c r="K2487" t="str">
        <x:v>Out of stock</x:v>
      </x:c>
      <x:c r="L2487" t="str">
        <x:v>2026-09-08</x:v>
      </x:c>
      <x:c r="M2487" t="str"/>
      <x:c r="N2487" t="str"/>
      <x:c r="O2487" t="str">
        <x:v>https://www.activesportstrade.co.uk/nxt-nutrition-trade</x:v>
      </x:c>
      <x:c r="P2487" t="str"/>
      <x:c r="Q2487" t="str"/>
      <x:c r="R2487" t="str"/>
      <x:c r="S2487" t="str">
        <x:v>Pending genuine supplier/brand image</x:v>
      </x:c>
      <x:c r="T2487" s="54"/>
      <x:c r="U2487" s="47" t="n">
        <x:v>0.2</x:v>
      </x:c>
      <x:c r="V2487" s="54" t="str">
        <x:f>IF(ISNUMBER(T2487),T2487*(1+U2487),"")</x:f>
      </x:c>
      <x:c r="W2487" s="47" t="n">
        <x:v>0.3</x:v>
      </x:c>
      <x:c r="X2487" s="54" t="str">
        <x:f>IF(ISNUMBER(V2487),V2487/(1-W2487),"")</x:f>
      </x:c>
      <x:c r="Y2487" s="55" t="str">
        <x:f>IF(ISNUMBER(X2487),ROUNDUP(X2487,0),"")</x:f>
      </x:c>
      <x:c r="Z2487" t="str">
        <x:f>IF(ISNUMBER(T2487),"Cost captured","Awaiting trade cost")</x:f>
        <x:v>Awaiting trade cost</x:v>
      </x:c>
      <x:c r="AB2487" s="36" t="str">
        <x:f>IF(ISNUMBER(Y2487),ROUND(Y2487*0.9,2),"")</x:f>
      </x:c>
      <x:c r="AC2487" s="36" t="str">
        <x:f>IF(ISNUMBER(AB2487),ROUND(AB2487-(AB2487*0.015+0.2)-V2487,2),"")</x:f>
      </x:c>
      <x:c r="AD2487" s="36" t="str">
        <x:f>IF(ISNUMBER(Y2487),ROUND(Y2487*0.8,2),"")</x:f>
      </x:c>
      <x:c r="AE2487" s="36" t="str">
        <x:f>IF(ISNUMBER(AD2487),ROUND(AD2487*0.015+0.2,2),"")</x:f>
      </x:c>
      <x:c r="AF2487" s="36" t="str">
        <x:f>IF(ISNUMBER(AD2487),ROUND(AD2487-AE2487-V2487,2),"")</x:f>
      </x:c>
      <x:c r="AG2487" t="str">
        <x:f>IF(NOT(ISNUMBER(T2487)),"PENDING",IF(AF2487&gt;0,"PASS","FAIL"))</x:f>
        <x:v>PENDING</x:v>
      </x:c>
      <x:c r="AH2487" t="str">
        <x:f>IF(NOT(ISNUMBER(T2487)),"Needs supplier cost",IF(K2487&lt;&gt;"In stock","Supplier unavailable",IF(AG2487&lt;&gt;"PASS","BLOCK - GT loss risk","Commercially protected")))</x:f>
        <x:v>Needs supplier cost</x:v>
      </x:c>
      <x:c r="AI2487" t="str">
        <x:v>2026-09-10 Active Sports trade capture</x:v>
      </x:c>
      <x:c r="AJ2487" t="str">
        <x:v>Management-only economics. Stripe stress test uses 1.5% + £0.20 standard UK online-card fee; pallet/mix-and-match pricing ignored.</x:v>
      </x:c>
    </x:row>
    <x:row r="2488">
      <x:c r="A2488" t="str">
        <x:v>Active Sports Nutrition</x:v>
      </x:c>
      <x:c r="B2488" t="str">
        <x:v>NXT Nutrition</x:v>
      </x:c>
      <x:c r="C2488" t="str">
        <x:v>Pure Whey Deluxe</x:v>
      </x:c>
      <x:c r="D2488" t="str">
        <x:v>Supplements</x:v>
      </x:c>
      <x:c r="E2488" t="str">
        <x:v>Whey Protein</x:v>
      </x:c>
      <x:c r="F2488" t="str"/>
      <x:c r="G2488" t="str">
        <x:v>2.1kg</x:v>
      </x:c>
      <x:c r="H2488" t="str">
        <x:v>Cookies &amp; Cream</x:v>
      </x:c>
      <x:c r="I2488" t="str"/>
      <x:c r="J2488" t="str">
        <x:v>Unit</x:v>
      </x:c>
      <x:c r="K2488" t="str">
        <x:v>In stock</x:v>
      </x:c>
      <x:c r="L2488" t="str">
        <x:v>2026-09-08</x:v>
      </x:c>
      <x:c r="M2488" t="str"/>
      <x:c r="N2488" t="str"/>
      <x:c r="O2488" t="str">
        <x:v>https://www.activesportstrade.co.uk/nxt-nutrition-trade</x:v>
      </x:c>
      <x:c r="P2488" t="str"/>
      <x:c r="Q2488" t="str"/>
      <x:c r="R2488" t="str"/>
      <x:c r="S2488" t="str">
        <x:v>Pending genuine supplier/brand image</x:v>
      </x:c>
      <x:c r="T2488" s="54"/>
      <x:c r="U2488" s="47" t="n">
        <x:v>0.2</x:v>
      </x:c>
      <x:c r="V2488" s="54" t="str">
        <x:f>IF(ISNUMBER(T2488),T2488*(1+U2488),"")</x:f>
      </x:c>
      <x:c r="W2488" s="47" t="n">
        <x:v>0.3</x:v>
      </x:c>
      <x:c r="X2488" s="54" t="str">
        <x:f>IF(ISNUMBER(V2488),V2488/(1-W2488),"")</x:f>
      </x:c>
      <x:c r="Y2488" s="55" t="str">
        <x:f>IF(ISNUMBER(X2488),ROUNDUP(X2488,0),"")</x:f>
      </x:c>
      <x:c r="Z2488" t="str">
        <x:f>IF(ISNUMBER(T2488),"Cost captured","Awaiting trade cost")</x:f>
        <x:v>Awaiting trade cost</x:v>
      </x:c>
      <x:c r="AB2488" s="36" t="str">
        <x:f>IF(ISNUMBER(Y2488),ROUND(Y2488*0.9,2),"")</x:f>
      </x:c>
      <x:c r="AC2488" s="36" t="str">
        <x:f>IF(ISNUMBER(AB2488),ROUND(AB2488-(AB2488*0.015+0.2)-V2488,2),"")</x:f>
      </x:c>
      <x:c r="AD2488" s="36" t="str">
        <x:f>IF(ISNUMBER(Y2488),ROUND(Y2488*0.8,2),"")</x:f>
      </x:c>
      <x:c r="AE2488" s="36" t="str">
        <x:f>IF(ISNUMBER(AD2488),ROUND(AD2488*0.015+0.2,2),"")</x:f>
      </x:c>
      <x:c r="AF2488" s="36" t="str">
        <x:f>IF(ISNUMBER(AD2488),ROUND(AD2488-AE2488-V2488,2),"")</x:f>
      </x:c>
      <x:c r="AG2488" t="str">
        <x:f>IF(NOT(ISNUMBER(T2488)),"PENDING",IF(AF2488&gt;0,"PASS","FAIL"))</x:f>
        <x:v>PENDING</x:v>
      </x:c>
      <x:c r="AH2488" t="str">
        <x:f>IF(NOT(ISNUMBER(T2488)),"Needs supplier cost",IF(K2488&lt;&gt;"In stock","Supplier unavailable",IF(AG2488&lt;&gt;"PASS","BLOCK - GT loss risk","Commercially protected")))</x:f>
        <x:v>Needs supplier cost</x:v>
      </x:c>
      <x:c r="AI2488" t="str">
        <x:v>2026-09-10 Active Sports trade capture</x:v>
      </x:c>
      <x:c r="AJ2488" t="str">
        <x:v>Management-only economics. Stripe stress test uses 1.5% + £0.20 standard UK online-card fee; pallet/mix-and-match pricing ignored.</x:v>
      </x:c>
    </x:row>
    <x:row r="2489">
      <x:c r="A2489" t="str">
        <x:v>Active Sports Nutrition</x:v>
      </x:c>
      <x:c r="B2489" t="str">
        <x:v>NXT Nutrition</x:v>
      </x:c>
      <x:c r="C2489" t="str">
        <x:v>Pure Whey Deluxe</x:v>
      </x:c>
      <x:c r="D2489" t="str">
        <x:v>Supplements</x:v>
      </x:c>
      <x:c r="E2489" t="str">
        <x:v>Whey Protein</x:v>
      </x:c>
      <x:c r="F2489" t="str"/>
      <x:c r="G2489" t="str">
        <x:v>2.1kg</x:v>
      </x:c>
      <x:c r="H2489" t="str">
        <x:v>Double Choc Brownie</x:v>
      </x:c>
      <x:c r="I2489" t="str"/>
      <x:c r="J2489" t="str">
        <x:v>Unit</x:v>
      </x:c>
      <x:c r="K2489" t="str">
        <x:v>Out of stock</x:v>
      </x:c>
      <x:c r="L2489" t="str">
        <x:v>2026-09-08</x:v>
      </x:c>
      <x:c r="M2489" t="str"/>
      <x:c r="N2489" t="str"/>
      <x:c r="O2489" t="str">
        <x:v>https://www.activesportstrade.co.uk/nxt-nutrition-trade</x:v>
      </x:c>
      <x:c r="P2489" t="str"/>
      <x:c r="Q2489" t="str"/>
      <x:c r="R2489" t="str"/>
      <x:c r="S2489" t="str">
        <x:v>Pending genuine supplier/brand image</x:v>
      </x:c>
      <x:c r="T2489" s="54"/>
      <x:c r="U2489" s="47" t="n">
        <x:v>0.2</x:v>
      </x:c>
      <x:c r="V2489" s="54" t="str">
        <x:f>IF(ISNUMBER(T2489),T2489*(1+U2489),"")</x:f>
      </x:c>
      <x:c r="W2489" s="47" t="n">
        <x:v>0.3</x:v>
      </x:c>
      <x:c r="X2489" s="54" t="str">
        <x:f>IF(ISNUMBER(V2489),V2489/(1-W2489),"")</x:f>
      </x:c>
      <x:c r="Y2489" s="55" t="str">
        <x:f>IF(ISNUMBER(X2489),ROUNDUP(X2489,0),"")</x:f>
      </x:c>
      <x:c r="Z2489" t="str">
        <x:f>IF(ISNUMBER(T2489),"Cost captured","Awaiting trade cost")</x:f>
        <x:v>Awaiting trade cost</x:v>
      </x:c>
      <x:c r="AB2489" s="36" t="str">
        <x:f>IF(ISNUMBER(Y2489),ROUND(Y2489*0.9,2),"")</x:f>
      </x:c>
      <x:c r="AC2489" s="36" t="str">
        <x:f>IF(ISNUMBER(AB2489),ROUND(AB2489-(AB2489*0.015+0.2)-V2489,2),"")</x:f>
      </x:c>
      <x:c r="AD2489" s="36" t="str">
        <x:f>IF(ISNUMBER(Y2489),ROUND(Y2489*0.8,2),"")</x:f>
      </x:c>
      <x:c r="AE2489" s="36" t="str">
        <x:f>IF(ISNUMBER(AD2489),ROUND(AD2489*0.015+0.2,2),"")</x:f>
      </x:c>
      <x:c r="AF2489" s="36" t="str">
        <x:f>IF(ISNUMBER(AD2489),ROUND(AD2489-AE2489-V2489,2),"")</x:f>
      </x:c>
      <x:c r="AG2489" t="str">
        <x:f>IF(NOT(ISNUMBER(T2489)),"PENDING",IF(AF2489&gt;0,"PASS","FAIL"))</x:f>
        <x:v>PENDING</x:v>
      </x:c>
      <x:c r="AH2489" t="str">
        <x:f>IF(NOT(ISNUMBER(T2489)),"Needs supplier cost",IF(K2489&lt;&gt;"In stock","Supplier unavailable",IF(AG2489&lt;&gt;"PASS","BLOCK - GT loss risk","Commercially protected")))</x:f>
        <x:v>Needs supplier cost</x:v>
      </x:c>
      <x:c r="AI2489" t="str">
        <x:v>2026-09-10 Active Sports trade capture</x:v>
      </x:c>
      <x:c r="AJ2489" t="str">
        <x:v>Management-only economics. Stripe stress test uses 1.5% + £0.20 standard UK online-card fee; pallet/mix-and-match pricing ignored.</x:v>
      </x:c>
    </x:row>
    <x:row r="2490">
      <x:c r="A2490" t="str">
        <x:v>Active Sports Nutrition</x:v>
      </x:c>
      <x:c r="B2490" t="str">
        <x:v>NXT Nutrition</x:v>
      </x:c>
      <x:c r="C2490" t="str">
        <x:v>Pure Whey Deluxe</x:v>
      </x:c>
      <x:c r="D2490" t="str">
        <x:v>Supplements</x:v>
      </x:c>
      <x:c r="E2490" t="str">
        <x:v>Whey Protein</x:v>
      </x:c>
      <x:c r="F2490" t="str"/>
      <x:c r="G2490" t="str">
        <x:v>2.1kg</x:v>
      </x:c>
      <x:c r="H2490" t="str">
        <x:v>Minty Chocolate</x:v>
      </x:c>
      <x:c r="I2490" t="str"/>
      <x:c r="J2490" t="str">
        <x:v>Unit</x:v>
      </x:c>
      <x:c r="K2490" t="str">
        <x:v>In stock</x:v>
      </x:c>
      <x:c r="L2490" t="str">
        <x:v>2026-09-08</x:v>
      </x:c>
      <x:c r="M2490" t="str"/>
      <x:c r="N2490" t="str"/>
      <x:c r="O2490" t="str">
        <x:v>https://www.activesportstrade.co.uk/nxt-nutrition-trade</x:v>
      </x:c>
      <x:c r="P2490" t="str"/>
      <x:c r="Q2490" t="str"/>
      <x:c r="R2490" t="str"/>
      <x:c r="S2490" t="str">
        <x:v>Pending genuine supplier/brand image</x:v>
      </x:c>
      <x:c r="T2490" s="54"/>
      <x:c r="U2490" s="47" t="n">
        <x:v>0.2</x:v>
      </x:c>
      <x:c r="V2490" s="54" t="str">
        <x:f>IF(ISNUMBER(T2490),T2490*(1+U2490),"")</x:f>
      </x:c>
      <x:c r="W2490" s="47" t="n">
        <x:v>0.3</x:v>
      </x:c>
      <x:c r="X2490" s="54" t="str">
        <x:f>IF(ISNUMBER(V2490),V2490/(1-W2490),"")</x:f>
      </x:c>
      <x:c r="Y2490" s="55" t="str">
        <x:f>IF(ISNUMBER(X2490),ROUNDUP(X2490,0),"")</x:f>
      </x:c>
      <x:c r="Z2490" t="str">
        <x:f>IF(ISNUMBER(T2490),"Cost captured","Awaiting trade cost")</x:f>
        <x:v>Awaiting trade cost</x:v>
      </x:c>
      <x:c r="AB2490" s="36" t="str">
        <x:f>IF(ISNUMBER(Y2490),ROUND(Y2490*0.9,2),"")</x:f>
      </x:c>
      <x:c r="AC2490" s="36" t="str">
        <x:f>IF(ISNUMBER(AB2490),ROUND(AB2490-(AB2490*0.015+0.2)-V2490,2),"")</x:f>
      </x:c>
      <x:c r="AD2490" s="36" t="str">
        <x:f>IF(ISNUMBER(Y2490),ROUND(Y2490*0.8,2),"")</x:f>
      </x:c>
      <x:c r="AE2490" s="36" t="str">
        <x:f>IF(ISNUMBER(AD2490),ROUND(AD2490*0.015+0.2,2),"")</x:f>
      </x:c>
      <x:c r="AF2490" s="36" t="str">
        <x:f>IF(ISNUMBER(AD2490),ROUND(AD2490-AE2490-V2490,2),"")</x:f>
      </x:c>
      <x:c r="AG2490" t="str">
        <x:f>IF(NOT(ISNUMBER(T2490)),"PENDING",IF(AF2490&gt;0,"PASS","FAIL"))</x:f>
        <x:v>PENDING</x:v>
      </x:c>
      <x:c r="AH2490" t="str">
        <x:f>IF(NOT(ISNUMBER(T2490)),"Needs supplier cost",IF(K2490&lt;&gt;"In stock","Supplier unavailable",IF(AG2490&lt;&gt;"PASS","BLOCK - GT loss risk","Commercially protected")))</x:f>
        <x:v>Needs supplier cost</x:v>
      </x:c>
      <x:c r="AI2490" t="str">
        <x:v>2026-09-10 Active Sports trade capture</x:v>
      </x:c>
      <x:c r="AJ2490" t="str">
        <x:v>Management-only economics. Stripe stress test uses 1.5% + £0.20 standard UK online-card fee; pallet/mix-and-match pricing ignored.</x:v>
      </x:c>
    </x:row>
    <x:row r="2491">
      <x:c r="A2491" t="str">
        <x:v>Active Sports Nutrition</x:v>
      </x:c>
      <x:c r="B2491" t="str">
        <x:v>NXT Nutrition</x:v>
      </x:c>
      <x:c r="C2491" t="str">
        <x:v>Pure Whey Deluxe</x:v>
      </x:c>
      <x:c r="D2491" t="str">
        <x:v>Supplements</x:v>
      </x:c>
      <x:c r="E2491" t="str">
        <x:v>Whey Protein</x:v>
      </x:c>
      <x:c r="F2491" t="str"/>
      <x:c r="G2491" t="str">
        <x:v>2.1kg</x:v>
      </x:c>
      <x:c r="H2491" t="str">
        <x:v>Raspberry Ripple Ice Cream</x:v>
      </x:c>
      <x:c r="I2491" t="str"/>
      <x:c r="J2491" t="str">
        <x:v>Unit</x:v>
      </x:c>
      <x:c r="K2491" t="str">
        <x:v>Out of stock</x:v>
      </x:c>
      <x:c r="L2491" t="str">
        <x:v>2026-09-08</x:v>
      </x:c>
      <x:c r="M2491" t="str"/>
      <x:c r="N2491" t="str"/>
      <x:c r="O2491" t="str">
        <x:v>https://www.activesportstrade.co.uk/nxt-nutrition-trade</x:v>
      </x:c>
      <x:c r="P2491" t="str"/>
      <x:c r="Q2491" t="str"/>
      <x:c r="R2491" t="str"/>
      <x:c r="S2491" t="str">
        <x:v>Pending genuine supplier/brand image</x:v>
      </x:c>
      <x:c r="T2491" s="54"/>
      <x:c r="U2491" s="47" t="n">
        <x:v>0.2</x:v>
      </x:c>
      <x:c r="V2491" s="54" t="str">
        <x:f>IF(ISNUMBER(T2491),T2491*(1+U2491),"")</x:f>
      </x:c>
      <x:c r="W2491" s="47" t="n">
        <x:v>0.3</x:v>
      </x:c>
      <x:c r="X2491" s="54" t="str">
        <x:f>IF(ISNUMBER(V2491),V2491/(1-W2491),"")</x:f>
      </x:c>
      <x:c r="Y2491" s="55" t="str">
        <x:f>IF(ISNUMBER(X2491),ROUNDUP(X2491,0),"")</x:f>
      </x:c>
      <x:c r="Z2491" t="str">
        <x:f>IF(ISNUMBER(T2491),"Cost captured","Awaiting trade cost")</x:f>
        <x:v>Awaiting trade cost</x:v>
      </x:c>
      <x:c r="AB2491" s="36" t="str">
        <x:f>IF(ISNUMBER(Y2491),ROUND(Y2491*0.9,2),"")</x:f>
      </x:c>
      <x:c r="AC2491" s="36" t="str">
        <x:f>IF(ISNUMBER(AB2491),ROUND(AB2491-(AB2491*0.015+0.2)-V2491,2),"")</x:f>
      </x:c>
      <x:c r="AD2491" s="36" t="str">
        <x:f>IF(ISNUMBER(Y2491),ROUND(Y2491*0.8,2),"")</x:f>
      </x:c>
      <x:c r="AE2491" s="36" t="str">
        <x:f>IF(ISNUMBER(AD2491),ROUND(AD2491*0.015+0.2,2),"")</x:f>
      </x:c>
      <x:c r="AF2491" s="36" t="str">
        <x:f>IF(ISNUMBER(AD2491),ROUND(AD2491-AE2491-V2491,2),"")</x:f>
      </x:c>
      <x:c r="AG2491" t="str">
        <x:f>IF(NOT(ISNUMBER(T2491)),"PENDING",IF(AF2491&gt;0,"PASS","FAIL"))</x:f>
        <x:v>PENDING</x:v>
      </x:c>
      <x:c r="AH2491" t="str">
        <x:f>IF(NOT(ISNUMBER(T2491)),"Needs supplier cost",IF(K2491&lt;&gt;"In stock","Supplier unavailable",IF(AG2491&lt;&gt;"PASS","BLOCK - GT loss risk","Commercially protected")))</x:f>
        <x:v>Needs supplier cost</x:v>
      </x:c>
      <x:c r="AI2491" t="str">
        <x:v>2026-09-10 Active Sports trade capture</x:v>
      </x:c>
      <x:c r="AJ2491" t="str">
        <x:v>Management-only economics. Stripe stress test uses 1.5% + £0.20 standard UK online-card fee; pallet/mix-and-match pricing ignored.</x:v>
      </x:c>
    </x:row>
    <x:row r="2492">
      <x:c r="A2492" t="str">
        <x:v>Active Sports Nutrition</x:v>
      </x:c>
      <x:c r="B2492" t="str">
        <x:v>NXT Nutrition</x:v>
      </x:c>
      <x:c r="C2492" t="str">
        <x:v>Pure Whey Deluxe</x:v>
      </x:c>
      <x:c r="D2492" t="str">
        <x:v>Supplements</x:v>
      </x:c>
      <x:c r="E2492" t="str">
        <x:v>Whey Protein</x:v>
      </x:c>
      <x:c r="F2492" t="str"/>
      <x:c r="G2492" t="str">
        <x:v>2.1kg</x:v>
      </x:c>
      <x:c r="H2492" t="str">
        <x:v>Salty Caramel</x:v>
      </x:c>
      <x:c r="I2492" t="str"/>
      <x:c r="J2492" t="str">
        <x:v>Unit</x:v>
      </x:c>
      <x:c r="K2492" t="str">
        <x:v>Out of stock</x:v>
      </x:c>
      <x:c r="L2492" t="str">
        <x:v>2026-09-08</x:v>
      </x:c>
      <x:c r="M2492" t="str"/>
      <x:c r="N2492" t="str"/>
      <x:c r="O2492" t="str">
        <x:v>https://www.activesportstrade.co.uk/nxt-nutrition-trade</x:v>
      </x:c>
      <x:c r="P2492" t="str"/>
      <x:c r="Q2492" t="str"/>
      <x:c r="R2492" t="str"/>
      <x:c r="S2492" t="str">
        <x:v>Pending genuine supplier/brand image</x:v>
      </x:c>
      <x:c r="T2492" s="54"/>
      <x:c r="U2492" s="47" t="n">
        <x:v>0.2</x:v>
      </x:c>
      <x:c r="V2492" s="54" t="str">
        <x:f>IF(ISNUMBER(T2492),T2492*(1+U2492),"")</x:f>
      </x:c>
      <x:c r="W2492" s="47" t="n">
        <x:v>0.3</x:v>
      </x:c>
      <x:c r="X2492" s="54" t="str">
        <x:f>IF(ISNUMBER(V2492),V2492/(1-W2492),"")</x:f>
      </x:c>
      <x:c r="Y2492" s="55" t="str">
        <x:f>IF(ISNUMBER(X2492),ROUNDUP(X2492,0),"")</x:f>
      </x:c>
      <x:c r="Z2492" t="str">
        <x:f>IF(ISNUMBER(T2492),"Cost captured","Awaiting trade cost")</x:f>
        <x:v>Awaiting trade cost</x:v>
      </x:c>
      <x:c r="AB2492" s="36" t="str">
        <x:f>IF(ISNUMBER(Y2492),ROUND(Y2492*0.9,2),"")</x:f>
      </x:c>
      <x:c r="AC2492" s="36" t="str">
        <x:f>IF(ISNUMBER(AB2492),ROUND(AB2492-(AB2492*0.015+0.2)-V2492,2),"")</x:f>
      </x:c>
      <x:c r="AD2492" s="36" t="str">
        <x:f>IF(ISNUMBER(Y2492),ROUND(Y2492*0.8,2),"")</x:f>
      </x:c>
      <x:c r="AE2492" s="36" t="str">
        <x:f>IF(ISNUMBER(AD2492),ROUND(AD2492*0.015+0.2,2),"")</x:f>
      </x:c>
      <x:c r="AF2492" s="36" t="str">
        <x:f>IF(ISNUMBER(AD2492),ROUND(AD2492-AE2492-V2492,2),"")</x:f>
      </x:c>
      <x:c r="AG2492" t="str">
        <x:f>IF(NOT(ISNUMBER(T2492)),"PENDING",IF(AF2492&gt;0,"PASS","FAIL"))</x:f>
        <x:v>PENDING</x:v>
      </x:c>
      <x:c r="AH2492" t="str">
        <x:f>IF(NOT(ISNUMBER(T2492)),"Needs supplier cost",IF(K2492&lt;&gt;"In stock","Supplier unavailable",IF(AG2492&lt;&gt;"PASS","BLOCK - GT loss risk","Commercially protected")))</x:f>
        <x:v>Needs supplier cost</x:v>
      </x:c>
      <x:c r="AI2492" t="str">
        <x:v>2026-09-10 Active Sports trade capture</x:v>
      </x:c>
      <x:c r="AJ2492" t="str">
        <x:v>Management-only economics. Stripe stress test uses 1.5% + £0.20 standard UK online-card fee; pallet/mix-and-match pricing ignored.</x:v>
      </x:c>
    </x:row>
    <x:row r="2493">
      <x:c r="A2493" t="str">
        <x:v>Active Sports Nutrition</x:v>
      </x:c>
      <x:c r="B2493" t="str">
        <x:v>NXT Nutrition</x:v>
      </x:c>
      <x:c r="C2493" t="str">
        <x:v>Pure Whey Deluxe</x:v>
      </x:c>
      <x:c r="D2493" t="str">
        <x:v>Supplements</x:v>
      </x:c>
      <x:c r="E2493" t="str">
        <x:v>Whey Protein</x:v>
      </x:c>
      <x:c r="F2493" t="str"/>
      <x:c r="G2493" t="str">
        <x:v>2.1kg</x:v>
      </x:c>
      <x:c r="H2493" t="str">
        <x:v>Strawberry Banana</x:v>
      </x:c>
      <x:c r="I2493" t="str"/>
      <x:c r="J2493" t="str">
        <x:v>Unit</x:v>
      </x:c>
      <x:c r="K2493" t="str">
        <x:v>Out of stock</x:v>
      </x:c>
      <x:c r="L2493" t="str">
        <x:v>2026-09-08</x:v>
      </x:c>
      <x:c r="M2493" t="str"/>
      <x:c r="N2493" t="str"/>
      <x:c r="O2493" t="str">
        <x:v>https://www.activesportstrade.co.uk/nxt-nutrition-trade</x:v>
      </x:c>
      <x:c r="P2493" t="str"/>
      <x:c r="Q2493" t="str"/>
      <x:c r="R2493" t="str"/>
      <x:c r="S2493" t="str">
        <x:v>Pending genuine supplier/brand image</x:v>
      </x:c>
      <x:c r="T2493" s="54"/>
      <x:c r="U2493" s="47" t="n">
        <x:v>0.2</x:v>
      </x:c>
      <x:c r="V2493" s="54" t="str">
        <x:f>IF(ISNUMBER(T2493),T2493*(1+U2493),"")</x:f>
      </x:c>
      <x:c r="W2493" s="47" t="n">
        <x:v>0.3</x:v>
      </x:c>
      <x:c r="X2493" s="54" t="str">
        <x:f>IF(ISNUMBER(V2493),V2493/(1-W2493),"")</x:f>
      </x:c>
      <x:c r="Y2493" s="55" t="str">
        <x:f>IF(ISNUMBER(X2493),ROUNDUP(X2493,0),"")</x:f>
      </x:c>
      <x:c r="Z2493" t="str">
        <x:f>IF(ISNUMBER(T2493),"Cost captured","Awaiting trade cost")</x:f>
        <x:v>Awaiting trade cost</x:v>
      </x:c>
      <x:c r="AB2493" s="36" t="str">
        <x:f>IF(ISNUMBER(Y2493),ROUND(Y2493*0.9,2),"")</x:f>
      </x:c>
      <x:c r="AC2493" s="36" t="str">
        <x:f>IF(ISNUMBER(AB2493),ROUND(AB2493-(AB2493*0.015+0.2)-V2493,2),"")</x:f>
      </x:c>
      <x:c r="AD2493" s="36" t="str">
        <x:f>IF(ISNUMBER(Y2493),ROUND(Y2493*0.8,2),"")</x:f>
      </x:c>
      <x:c r="AE2493" s="36" t="str">
        <x:f>IF(ISNUMBER(AD2493),ROUND(AD2493*0.015+0.2,2),"")</x:f>
      </x:c>
      <x:c r="AF2493" s="36" t="str">
        <x:f>IF(ISNUMBER(AD2493),ROUND(AD2493-AE2493-V2493,2),"")</x:f>
      </x:c>
      <x:c r="AG2493" t="str">
        <x:f>IF(NOT(ISNUMBER(T2493)),"PENDING",IF(AF2493&gt;0,"PASS","FAIL"))</x:f>
        <x:v>PENDING</x:v>
      </x:c>
      <x:c r="AH2493" t="str">
        <x:f>IF(NOT(ISNUMBER(T2493)),"Needs supplier cost",IF(K2493&lt;&gt;"In stock","Supplier unavailable",IF(AG2493&lt;&gt;"PASS","BLOCK - GT loss risk","Commercially protected")))</x:f>
        <x:v>Needs supplier cost</x:v>
      </x:c>
      <x:c r="AI2493" t="str">
        <x:v>2026-09-10 Active Sports trade capture</x:v>
      </x:c>
      <x:c r="AJ2493" t="str">
        <x:v>Management-only economics. Stripe stress test uses 1.5% + £0.20 standard UK online-card fee; pallet/mix-and-match pricing ignored.</x:v>
      </x:c>
    </x:row>
    <x:row r="2494">
      <x:c r="A2494" t="str">
        <x:v>Active Sports Nutrition</x:v>
      </x:c>
      <x:c r="B2494" t="str">
        <x:v>NXT Nutrition</x:v>
      </x:c>
      <x:c r="C2494" t="str">
        <x:v>Pure Whey Deluxe</x:v>
      </x:c>
      <x:c r="D2494" t="str">
        <x:v>Supplements</x:v>
      </x:c>
      <x:c r="E2494" t="str">
        <x:v>Whey Protein</x:v>
      </x:c>
      <x:c r="F2494" t="str"/>
      <x:c r="G2494" t="str">
        <x:v>2.1kg</x:v>
      </x:c>
      <x:c r="H2494" t="str">
        <x:v>Strawberry Milkshake</x:v>
      </x:c>
      <x:c r="I2494" t="str"/>
      <x:c r="J2494" t="str">
        <x:v>Unit</x:v>
      </x:c>
      <x:c r="K2494" t="str">
        <x:v>Out of stock</x:v>
      </x:c>
      <x:c r="L2494" t="str">
        <x:v>2026-09-08</x:v>
      </x:c>
      <x:c r="M2494" t="str"/>
      <x:c r="N2494" t="str"/>
      <x:c r="O2494" t="str">
        <x:v>https://www.activesportstrade.co.uk/nxt-nutrition-trade</x:v>
      </x:c>
      <x:c r="P2494" t="str"/>
      <x:c r="Q2494" t="str"/>
      <x:c r="R2494" t="str"/>
      <x:c r="S2494" t="str">
        <x:v>Pending genuine supplier/brand image</x:v>
      </x:c>
      <x:c r="T2494" s="54"/>
      <x:c r="U2494" s="47" t="n">
        <x:v>0.2</x:v>
      </x:c>
      <x:c r="V2494" s="54" t="str">
        <x:f>IF(ISNUMBER(T2494),T2494*(1+U2494),"")</x:f>
      </x:c>
      <x:c r="W2494" s="47" t="n">
        <x:v>0.3</x:v>
      </x:c>
      <x:c r="X2494" s="54" t="str">
        <x:f>IF(ISNUMBER(V2494),V2494/(1-W2494),"")</x:f>
      </x:c>
      <x:c r="Y2494" s="55" t="str">
        <x:f>IF(ISNUMBER(X2494),ROUNDUP(X2494,0),"")</x:f>
      </x:c>
      <x:c r="Z2494" t="str">
        <x:f>IF(ISNUMBER(T2494),"Cost captured","Awaiting trade cost")</x:f>
        <x:v>Awaiting trade cost</x:v>
      </x:c>
      <x:c r="AB2494" s="36" t="str">
        <x:f>IF(ISNUMBER(Y2494),ROUND(Y2494*0.9,2),"")</x:f>
      </x:c>
      <x:c r="AC2494" s="36" t="str">
        <x:f>IF(ISNUMBER(AB2494),ROUND(AB2494-(AB2494*0.015+0.2)-V2494,2),"")</x:f>
      </x:c>
      <x:c r="AD2494" s="36" t="str">
        <x:f>IF(ISNUMBER(Y2494),ROUND(Y2494*0.8,2),"")</x:f>
      </x:c>
      <x:c r="AE2494" s="36" t="str">
        <x:f>IF(ISNUMBER(AD2494),ROUND(AD2494*0.015+0.2,2),"")</x:f>
      </x:c>
      <x:c r="AF2494" s="36" t="str">
        <x:f>IF(ISNUMBER(AD2494),ROUND(AD2494-AE2494-V2494,2),"")</x:f>
      </x:c>
      <x:c r="AG2494" t="str">
        <x:f>IF(NOT(ISNUMBER(T2494)),"PENDING",IF(AF2494&gt;0,"PASS","FAIL"))</x:f>
        <x:v>PENDING</x:v>
      </x:c>
      <x:c r="AH2494" t="str">
        <x:f>IF(NOT(ISNUMBER(T2494)),"Needs supplier cost",IF(K2494&lt;&gt;"In stock","Supplier unavailable",IF(AG2494&lt;&gt;"PASS","BLOCK - GT loss risk","Commercially protected")))</x:f>
        <x:v>Needs supplier cost</x:v>
      </x:c>
      <x:c r="AI2494" t="str">
        <x:v>2026-09-10 Active Sports trade capture</x:v>
      </x:c>
      <x:c r="AJ2494" t="str">
        <x:v>Management-only economics. Stripe stress test uses 1.5% + £0.20 standard UK online-card fee; pallet/mix-and-match pricing ignored.</x:v>
      </x:c>
    </x:row>
    <x:row r="2495">
      <x:c r="A2495" t="str">
        <x:v>Active Sports Nutrition</x:v>
      </x:c>
      <x:c r="B2495" t="str">
        <x:v>NXT Nutrition</x:v>
      </x:c>
      <x:c r="C2495" t="str">
        <x:v>Pure Whey Deluxe</x:v>
      </x:c>
      <x:c r="D2495" t="str">
        <x:v>Supplements</x:v>
      </x:c>
      <x:c r="E2495" t="str">
        <x:v>Whey Protein</x:v>
      </x:c>
      <x:c r="F2495" t="str"/>
      <x:c r="G2495" t="str">
        <x:v>2.1kg</x:v>
      </x:c>
      <x:c r="H2495" t="str">
        <x:v>Tasty Toffee</x:v>
      </x:c>
      <x:c r="I2495" t="str"/>
      <x:c r="J2495" t="str">
        <x:v>Unit</x:v>
      </x:c>
      <x:c r="K2495" t="str">
        <x:v>Out of stock</x:v>
      </x:c>
      <x:c r="L2495" t="str">
        <x:v>2026-09-08</x:v>
      </x:c>
      <x:c r="M2495" t="str"/>
      <x:c r="N2495" t="str"/>
      <x:c r="O2495" t="str">
        <x:v>https://www.activesportstrade.co.uk/nxt-nutrition-trade</x:v>
      </x:c>
      <x:c r="P2495" t="str"/>
      <x:c r="Q2495" t="str"/>
      <x:c r="R2495" t="str"/>
      <x:c r="S2495" t="str">
        <x:v>Pending genuine supplier/brand image</x:v>
      </x:c>
      <x:c r="T2495" s="54"/>
      <x:c r="U2495" s="47" t="n">
        <x:v>0.2</x:v>
      </x:c>
      <x:c r="V2495" s="54" t="str">
        <x:f>IF(ISNUMBER(T2495),T2495*(1+U2495),"")</x:f>
      </x:c>
      <x:c r="W2495" s="47" t="n">
        <x:v>0.3</x:v>
      </x:c>
      <x:c r="X2495" s="54" t="str">
        <x:f>IF(ISNUMBER(V2495),V2495/(1-W2495),"")</x:f>
      </x:c>
      <x:c r="Y2495" s="55" t="str">
        <x:f>IF(ISNUMBER(X2495),ROUNDUP(X2495,0),"")</x:f>
      </x:c>
      <x:c r="Z2495" t="str">
        <x:f>IF(ISNUMBER(T2495),"Cost captured","Awaiting trade cost")</x:f>
        <x:v>Awaiting trade cost</x:v>
      </x:c>
      <x:c r="AB2495" s="36" t="str">
        <x:f>IF(ISNUMBER(Y2495),ROUND(Y2495*0.9,2),"")</x:f>
      </x:c>
      <x:c r="AC2495" s="36" t="str">
        <x:f>IF(ISNUMBER(AB2495),ROUND(AB2495-(AB2495*0.015+0.2)-V2495,2),"")</x:f>
      </x:c>
      <x:c r="AD2495" s="36" t="str">
        <x:f>IF(ISNUMBER(Y2495),ROUND(Y2495*0.8,2),"")</x:f>
      </x:c>
      <x:c r="AE2495" s="36" t="str">
        <x:f>IF(ISNUMBER(AD2495),ROUND(AD2495*0.015+0.2,2),"")</x:f>
      </x:c>
      <x:c r="AF2495" s="36" t="str">
        <x:f>IF(ISNUMBER(AD2495),ROUND(AD2495-AE2495-V2495,2),"")</x:f>
      </x:c>
      <x:c r="AG2495" t="str">
        <x:f>IF(NOT(ISNUMBER(T2495)),"PENDING",IF(AF2495&gt;0,"PASS","FAIL"))</x:f>
        <x:v>PENDING</x:v>
      </x:c>
      <x:c r="AH2495" t="str">
        <x:f>IF(NOT(ISNUMBER(T2495)),"Needs supplier cost",IF(K2495&lt;&gt;"In stock","Supplier unavailable",IF(AG2495&lt;&gt;"PASS","BLOCK - GT loss risk","Commercially protected")))</x:f>
        <x:v>Needs supplier cost</x:v>
      </x:c>
      <x:c r="AI2495" t="str">
        <x:v>2026-09-10 Active Sports trade capture</x:v>
      </x:c>
      <x:c r="AJ2495" t="str">
        <x:v>Management-only economics. Stripe stress test uses 1.5% + £0.20 standard UK online-card fee; pallet/mix-and-match pricing ignored.</x:v>
      </x:c>
    </x:row>
    <x:row r="2496">
      <x:c r="A2496" t="str">
        <x:v>Active Sports Nutrition</x:v>
      </x:c>
      <x:c r="B2496" t="str">
        <x:v>NXT Nutrition</x:v>
      </x:c>
      <x:c r="C2496" t="str">
        <x:v>Pure Whey Deluxe</x:v>
      </x:c>
      <x:c r="D2496" t="str">
        <x:v>Supplements</x:v>
      </x:c>
      <x:c r="E2496" t="str">
        <x:v>Whey Protein</x:v>
      </x:c>
      <x:c r="F2496" t="str"/>
      <x:c r="G2496" t="str">
        <x:v>2.1kg</x:v>
      </x:c>
      <x:c r="H2496" t="str">
        <x:v>Vanilla Ice Cream</x:v>
      </x:c>
      <x:c r="I2496" t="str"/>
      <x:c r="J2496" t="str">
        <x:v>Unit</x:v>
      </x:c>
      <x:c r="K2496" t="str">
        <x:v>Out of stock</x:v>
      </x:c>
      <x:c r="L2496" t="str">
        <x:v>2026-09-08</x:v>
      </x:c>
      <x:c r="M2496" t="str"/>
      <x:c r="N2496" t="str"/>
      <x:c r="O2496" t="str">
        <x:v>https://www.activesportstrade.co.uk/nxt-nutrition-trade</x:v>
      </x:c>
      <x:c r="P2496" t="str"/>
      <x:c r="Q2496" t="str"/>
      <x:c r="R2496" t="str"/>
      <x:c r="S2496" t="str">
        <x:v>Pending genuine supplier/brand image</x:v>
      </x:c>
      <x:c r="T2496" s="54"/>
      <x:c r="U2496" s="47" t="n">
        <x:v>0.2</x:v>
      </x:c>
      <x:c r="V2496" s="54" t="str">
        <x:f>IF(ISNUMBER(T2496),T2496*(1+U2496),"")</x:f>
      </x:c>
      <x:c r="W2496" s="47" t="n">
        <x:v>0.3</x:v>
      </x:c>
      <x:c r="X2496" s="54" t="str">
        <x:f>IF(ISNUMBER(V2496),V2496/(1-W2496),"")</x:f>
      </x:c>
      <x:c r="Y2496" s="55" t="str">
        <x:f>IF(ISNUMBER(X2496),ROUNDUP(X2496,0),"")</x:f>
      </x:c>
      <x:c r="Z2496" t="str">
        <x:f>IF(ISNUMBER(T2496),"Cost captured","Awaiting trade cost")</x:f>
        <x:v>Awaiting trade cost</x:v>
      </x:c>
      <x:c r="AB2496" s="36" t="str">
        <x:f>IF(ISNUMBER(Y2496),ROUND(Y2496*0.9,2),"")</x:f>
      </x:c>
      <x:c r="AC2496" s="36" t="str">
        <x:f>IF(ISNUMBER(AB2496),ROUND(AB2496-(AB2496*0.015+0.2)-V2496,2),"")</x:f>
      </x:c>
      <x:c r="AD2496" s="36" t="str">
        <x:f>IF(ISNUMBER(Y2496),ROUND(Y2496*0.8,2),"")</x:f>
      </x:c>
      <x:c r="AE2496" s="36" t="str">
        <x:f>IF(ISNUMBER(AD2496),ROUND(AD2496*0.015+0.2,2),"")</x:f>
      </x:c>
      <x:c r="AF2496" s="36" t="str">
        <x:f>IF(ISNUMBER(AD2496),ROUND(AD2496-AE2496-V2496,2),"")</x:f>
      </x:c>
      <x:c r="AG2496" t="str">
        <x:f>IF(NOT(ISNUMBER(T2496)),"PENDING",IF(AF2496&gt;0,"PASS","FAIL"))</x:f>
        <x:v>PENDING</x:v>
      </x:c>
      <x:c r="AH2496" t="str">
        <x:f>IF(NOT(ISNUMBER(T2496)),"Needs supplier cost",IF(K2496&lt;&gt;"In stock","Supplier unavailable",IF(AG2496&lt;&gt;"PASS","BLOCK - GT loss risk","Commercially protected")))</x:f>
        <x:v>Needs supplier cost</x:v>
      </x:c>
      <x:c r="AI2496" t="str">
        <x:v>2026-09-10 Active Sports trade capture</x:v>
      </x:c>
      <x:c r="AJ2496" t="str">
        <x:v>Management-only economics. Stripe stress test uses 1.5% + £0.20 standard UK online-card fee; pallet/mix-and-match pricing ignored.</x:v>
      </x:c>
    </x:row>
    <x:row r="2497">
      <x:c r="A2497" t="str">
        <x:v>Active Sports Nutrition</x:v>
      </x:c>
      <x:c r="B2497" t="str">
        <x:v>NXT Nutrition</x:v>
      </x:c>
      <x:c r="C2497" t="str">
        <x:v>Pure Whey Deluxe</x:v>
      </x:c>
      <x:c r="D2497" t="str">
        <x:v>Supplements</x:v>
      </x:c>
      <x:c r="E2497" t="str">
        <x:v>Whey Protein</x:v>
      </x:c>
      <x:c r="F2497" t="str"/>
      <x:c r="G2497" t="str">
        <x:v>2.1kg</x:v>
      </x:c>
      <x:c r="H2497" t="str">
        <x:v>White Chocolate Bellissimo</x:v>
      </x:c>
      <x:c r="I2497" t="str"/>
      <x:c r="J2497" t="str">
        <x:v>Unit</x:v>
      </x:c>
      <x:c r="K2497" t="str">
        <x:v>Out of stock</x:v>
      </x:c>
      <x:c r="L2497" t="str">
        <x:v>2026-09-08</x:v>
      </x:c>
      <x:c r="M2497" t="str"/>
      <x:c r="N2497" t="str"/>
      <x:c r="O2497" t="str">
        <x:v>https://www.activesportstrade.co.uk/nxt-nutrition-trade</x:v>
      </x:c>
      <x:c r="P2497" t="str"/>
      <x:c r="Q2497" t="str"/>
      <x:c r="R2497" t="str"/>
      <x:c r="S2497" t="str">
        <x:v>Pending genuine supplier/brand image</x:v>
      </x:c>
      <x:c r="T2497" s="54"/>
      <x:c r="U2497" s="47" t="n">
        <x:v>0.2</x:v>
      </x:c>
      <x:c r="V2497" s="54" t="str">
        <x:f>IF(ISNUMBER(T2497),T2497*(1+U2497),"")</x:f>
      </x:c>
      <x:c r="W2497" s="47" t="n">
        <x:v>0.3</x:v>
      </x:c>
      <x:c r="X2497" s="54" t="str">
        <x:f>IF(ISNUMBER(V2497),V2497/(1-W2497),"")</x:f>
      </x:c>
      <x:c r="Y2497" s="55" t="str">
        <x:f>IF(ISNUMBER(X2497),ROUNDUP(X2497,0),"")</x:f>
      </x:c>
      <x:c r="Z2497" t="str">
        <x:f>IF(ISNUMBER(T2497),"Cost captured","Awaiting trade cost")</x:f>
        <x:v>Awaiting trade cost</x:v>
      </x:c>
      <x:c r="AB2497" s="36" t="str">
        <x:f>IF(ISNUMBER(Y2497),ROUND(Y2497*0.9,2),"")</x:f>
      </x:c>
      <x:c r="AC2497" s="36" t="str">
        <x:f>IF(ISNUMBER(AB2497),ROUND(AB2497-(AB2497*0.015+0.2)-V2497,2),"")</x:f>
      </x:c>
      <x:c r="AD2497" s="36" t="str">
        <x:f>IF(ISNUMBER(Y2497),ROUND(Y2497*0.8,2),"")</x:f>
      </x:c>
      <x:c r="AE2497" s="36" t="str">
        <x:f>IF(ISNUMBER(AD2497),ROUND(AD2497*0.015+0.2,2),"")</x:f>
      </x:c>
      <x:c r="AF2497" s="36" t="str">
        <x:f>IF(ISNUMBER(AD2497),ROUND(AD2497-AE2497-V2497,2),"")</x:f>
      </x:c>
      <x:c r="AG2497" t="str">
        <x:f>IF(NOT(ISNUMBER(T2497)),"PENDING",IF(AF2497&gt;0,"PASS","FAIL"))</x:f>
        <x:v>PENDING</x:v>
      </x:c>
      <x:c r="AH2497" t="str">
        <x:f>IF(NOT(ISNUMBER(T2497)),"Needs supplier cost",IF(K2497&lt;&gt;"In stock","Supplier unavailable",IF(AG2497&lt;&gt;"PASS","BLOCK - GT loss risk","Commercially protected")))</x:f>
        <x:v>Needs supplier cost</x:v>
      </x:c>
      <x:c r="AI2497" t="str">
        <x:v>2026-09-10 Active Sports trade capture</x:v>
      </x:c>
      <x:c r="AJ2497" t="str">
        <x:v>Management-only economics. Stripe stress test uses 1.5% + £0.20 standard UK online-card fee; pallet/mix-and-match pricing ignored.</x:v>
      </x:c>
    </x:row>
    <x:row r="2498">
      <x:c r="A2498" t="str">
        <x:v>Active Sports Nutrition</x:v>
      </x:c>
      <x:c r="B2498" t="str">
        <x:v>NXT Nutrition</x:v>
      </x:c>
      <x:c r="C2498" t="str">
        <x:v>Pure Whey ISO Juice</x:v>
      </x:c>
      <x:c r="D2498" t="str">
        <x:v>Supplements</x:v>
      </x:c>
      <x:c r="E2498" t="str">
        <x:v>Clear Whey Isolate</x:v>
      </x:c>
      <x:c r="F2498" t="str"/>
      <x:c r="G2498" t="str">
        <x:v>900g</x:v>
      </x:c>
      <x:c r="H2498" t="str">
        <x:v>Apple &amp; Blackcurrant</x:v>
      </x:c>
      <x:c r="I2498" t="str"/>
      <x:c r="J2498" t="str">
        <x:v>Unit</x:v>
      </x:c>
      <x:c r="K2498" t="str">
        <x:v>In stock</x:v>
      </x:c>
      <x:c r="L2498" t="str">
        <x:v>2026-09-08</x:v>
      </x:c>
      <x:c r="M2498" t="str"/>
      <x:c r="N2498" t="str"/>
      <x:c r="O2498" t="str">
        <x:v>https://www.activesportstrade.co.uk/nxt-nutrition-trade</x:v>
      </x:c>
      <x:c r="P2498" t="str"/>
      <x:c r="Q2498" t="str"/>
      <x:c r="R2498" t="str"/>
      <x:c r="S2498" t="str">
        <x:v>Pending genuine supplier/brand image</x:v>
      </x:c>
      <x:c r="T2498" s="54"/>
      <x:c r="U2498" s="47" t="n">
        <x:v>0.2</x:v>
      </x:c>
      <x:c r="V2498" s="54" t="str">
        <x:f>IF(ISNUMBER(T2498),T2498*(1+U2498),"")</x:f>
      </x:c>
      <x:c r="W2498" s="47" t="n">
        <x:v>0.3</x:v>
      </x:c>
      <x:c r="X2498" s="54" t="str">
        <x:f>IF(ISNUMBER(V2498),V2498/(1-W2498),"")</x:f>
      </x:c>
      <x:c r="Y2498" s="55" t="str">
        <x:f>IF(ISNUMBER(X2498),ROUNDUP(X2498,0),"")</x:f>
      </x:c>
      <x:c r="Z2498" t="str">
        <x:f>IF(ISNUMBER(T2498),"Cost captured","Awaiting trade cost")</x:f>
        <x:v>Awaiting trade cost</x:v>
      </x:c>
      <x:c r="AB2498" s="36" t="str">
        <x:f>IF(ISNUMBER(Y2498),ROUND(Y2498*0.9,2),"")</x:f>
      </x:c>
      <x:c r="AC2498" s="36" t="str">
        <x:f>IF(ISNUMBER(AB2498),ROUND(AB2498-(AB2498*0.015+0.2)-V2498,2),"")</x:f>
      </x:c>
      <x:c r="AD2498" s="36" t="str">
        <x:f>IF(ISNUMBER(Y2498),ROUND(Y2498*0.8,2),"")</x:f>
      </x:c>
      <x:c r="AE2498" s="36" t="str">
        <x:f>IF(ISNUMBER(AD2498),ROUND(AD2498*0.015+0.2,2),"")</x:f>
      </x:c>
      <x:c r="AF2498" s="36" t="str">
        <x:f>IF(ISNUMBER(AD2498),ROUND(AD2498-AE2498-V2498,2),"")</x:f>
      </x:c>
      <x:c r="AG2498" t="str">
        <x:f>IF(NOT(ISNUMBER(T2498)),"PENDING",IF(AF2498&gt;0,"PASS","FAIL"))</x:f>
        <x:v>PENDING</x:v>
      </x:c>
      <x:c r="AH2498" t="str">
        <x:f>IF(NOT(ISNUMBER(T2498)),"Needs supplier cost",IF(K2498&lt;&gt;"In stock","Supplier unavailable",IF(AG2498&lt;&gt;"PASS","BLOCK - GT loss risk","Commercially protected")))</x:f>
        <x:v>Needs supplier cost</x:v>
      </x:c>
      <x:c r="AI2498" t="str">
        <x:v>2026-09-10 Active Sports trade capture</x:v>
      </x:c>
      <x:c r="AJ2498" t="str">
        <x:v>Management-only economics. Stripe stress test uses 1.5% + £0.20 standard UK online-card fee; pallet/mix-and-match pricing ignored.</x:v>
      </x:c>
    </x:row>
    <x:row r="2499">
      <x:c r="A2499" t="str">
        <x:v>Active Sports Nutrition</x:v>
      </x:c>
      <x:c r="B2499" t="str">
        <x:v>NXT Nutrition</x:v>
      </x:c>
      <x:c r="C2499" t="str">
        <x:v>Pure Whey ISO Juice</x:v>
      </x:c>
      <x:c r="D2499" t="str">
        <x:v>Supplements</x:v>
      </x:c>
      <x:c r="E2499" t="str">
        <x:v>Clear Whey Isolate</x:v>
      </x:c>
      <x:c r="F2499" t="str"/>
      <x:c r="G2499" t="str">
        <x:v>900g</x:v>
      </x:c>
      <x:c r="H2499" t="str">
        <x:v>Blue Raspberry Smoothie</x:v>
      </x:c>
      <x:c r="I2499" t="str"/>
      <x:c r="J2499" t="str">
        <x:v>Unit</x:v>
      </x:c>
      <x:c r="K2499" t="str">
        <x:v>In stock</x:v>
      </x:c>
      <x:c r="L2499" t="str">
        <x:v>2026-09-08</x:v>
      </x:c>
      <x:c r="M2499" t="str"/>
      <x:c r="N2499" t="str"/>
      <x:c r="O2499" t="str">
        <x:v>https://www.activesportstrade.co.uk/nxt-nutrition-trade</x:v>
      </x:c>
      <x:c r="P2499" t="str"/>
      <x:c r="Q2499" t="str"/>
      <x:c r="R2499" t="str"/>
      <x:c r="S2499" t="str">
        <x:v>Pending genuine supplier/brand image</x:v>
      </x:c>
      <x:c r="T2499" s="54"/>
      <x:c r="U2499" s="47" t="n">
        <x:v>0.2</x:v>
      </x:c>
      <x:c r="V2499" s="54" t="str">
        <x:f>IF(ISNUMBER(T2499),T2499*(1+U2499),"")</x:f>
      </x:c>
      <x:c r="W2499" s="47" t="n">
        <x:v>0.3</x:v>
      </x:c>
      <x:c r="X2499" s="54" t="str">
        <x:f>IF(ISNUMBER(V2499),V2499/(1-W2499),"")</x:f>
      </x:c>
      <x:c r="Y2499" s="55" t="str">
        <x:f>IF(ISNUMBER(X2499),ROUNDUP(X2499,0),"")</x:f>
      </x:c>
      <x:c r="Z2499" t="str">
        <x:f>IF(ISNUMBER(T2499),"Cost captured","Awaiting trade cost")</x:f>
        <x:v>Awaiting trade cost</x:v>
      </x:c>
      <x:c r="AB2499" s="36" t="str">
        <x:f>IF(ISNUMBER(Y2499),ROUND(Y2499*0.9,2),"")</x:f>
      </x:c>
      <x:c r="AC2499" s="36" t="str">
        <x:f>IF(ISNUMBER(AB2499),ROUND(AB2499-(AB2499*0.015+0.2)-V2499,2),"")</x:f>
      </x:c>
      <x:c r="AD2499" s="36" t="str">
        <x:f>IF(ISNUMBER(Y2499),ROUND(Y2499*0.8,2),"")</x:f>
      </x:c>
      <x:c r="AE2499" s="36" t="str">
        <x:f>IF(ISNUMBER(AD2499),ROUND(AD2499*0.015+0.2,2),"")</x:f>
      </x:c>
      <x:c r="AF2499" s="36" t="str">
        <x:f>IF(ISNUMBER(AD2499),ROUND(AD2499-AE2499-V2499,2),"")</x:f>
      </x:c>
      <x:c r="AG2499" t="str">
        <x:f>IF(NOT(ISNUMBER(T2499)),"PENDING",IF(AF2499&gt;0,"PASS","FAIL"))</x:f>
        <x:v>PENDING</x:v>
      </x:c>
      <x:c r="AH2499" t="str">
        <x:f>IF(NOT(ISNUMBER(T2499)),"Needs supplier cost",IF(K2499&lt;&gt;"In stock","Supplier unavailable",IF(AG2499&lt;&gt;"PASS","BLOCK - GT loss risk","Commercially protected")))</x:f>
        <x:v>Needs supplier cost</x:v>
      </x:c>
      <x:c r="AI2499" t="str">
        <x:v>2026-09-10 Active Sports trade capture</x:v>
      </x:c>
      <x:c r="AJ2499" t="str">
        <x:v>Management-only economics. Stripe stress test uses 1.5% + £0.20 standard UK online-card fee; pallet/mix-and-match pricing ignored.</x:v>
      </x:c>
    </x:row>
    <x:row r="2500">
      <x:c r="A2500" t="str">
        <x:v>Active Sports Nutrition</x:v>
      </x:c>
      <x:c r="B2500" t="str">
        <x:v>NXT Nutrition</x:v>
      </x:c>
      <x:c r="C2500" t="str">
        <x:v>Pure Whey ISO Juice</x:v>
      </x:c>
      <x:c r="D2500" t="str">
        <x:v>Supplements</x:v>
      </x:c>
      <x:c r="E2500" t="str">
        <x:v>Clear Whey Isolate</x:v>
      </x:c>
      <x:c r="F2500" t="str"/>
      <x:c r="G2500" t="str">
        <x:v>900g</x:v>
      </x:c>
      <x:c r="H2500" t="str">
        <x:v>Orange Juice</x:v>
      </x:c>
      <x:c r="I2500" t="str"/>
      <x:c r="J2500" t="str">
        <x:v>Unit</x:v>
      </x:c>
      <x:c r="K2500" t="str">
        <x:v>In stock</x:v>
      </x:c>
      <x:c r="L2500" t="str">
        <x:v>2026-09-08</x:v>
      </x:c>
      <x:c r="M2500" t="str"/>
      <x:c r="N2500" t="str"/>
      <x:c r="O2500" t="str">
        <x:v>https://www.activesportstrade.co.uk/nxt-nutrition-trade</x:v>
      </x:c>
      <x:c r="P2500" t="str"/>
      <x:c r="Q2500" t="str"/>
      <x:c r="R2500" t="str"/>
      <x:c r="S2500" t="str">
        <x:v>Pending genuine supplier/brand image</x:v>
      </x:c>
      <x:c r="T2500" s="54"/>
      <x:c r="U2500" s="47" t="n">
        <x:v>0.2</x:v>
      </x:c>
      <x:c r="V2500" s="54" t="str">
        <x:f>IF(ISNUMBER(T2500),T2500*(1+U2500),"")</x:f>
      </x:c>
      <x:c r="W2500" s="47" t="n">
        <x:v>0.3</x:v>
      </x:c>
      <x:c r="X2500" s="54" t="str">
        <x:f>IF(ISNUMBER(V2500),V2500/(1-W2500),"")</x:f>
      </x:c>
      <x:c r="Y2500" s="55" t="str">
        <x:f>IF(ISNUMBER(X2500),ROUNDUP(X2500,0),"")</x:f>
      </x:c>
      <x:c r="Z2500" t="str">
        <x:f>IF(ISNUMBER(T2500),"Cost captured","Awaiting trade cost")</x:f>
        <x:v>Awaiting trade cost</x:v>
      </x:c>
      <x:c r="AB2500" s="36" t="str">
        <x:f>IF(ISNUMBER(Y2500),ROUND(Y2500*0.9,2),"")</x:f>
      </x:c>
      <x:c r="AC2500" s="36" t="str">
        <x:f>IF(ISNUMBER(AB2500),ROUND(AB2500-(AB2500*0.015+0.2)-V2500,2),"")</x:f>
      </x:c>
      <x:c r="AD2500" s="36" t="str">
        <x:f>IF(ISNUMBER(Y2500),ROUND(Y2500*0.8,2),"")</x:f>
      </x:c>
      <x:c r="AE2500" s="36" t="str">
        <x:f>IF(ISNUMBER(AD2500),ROUND(AD2500*0.015+0.2,2),"")</x:f>
      </x:c>
      <x:c r="AF2500" s="36" t="str">
        <x:f>IF(ISNUMBER(AD2500),ROUND(AD2500-AE2500-V2500,2),"")</x:f>
      </x:c>
      <x:c r="AG2500" t="str">
        <x:f>IF(NOT(ISNUMBER(T2500)),"PENDING",IF(AF2500&gt;0,"PASS","FAIL"))</x:f>
        <x:v>PENDING</x:v>
      </x:c>
      <x:c r="AH2500" t="str">
        <x:f>IF(NOT(ISNUMBER(T2500)),"Needs supplier cost",IF(K2500&lt;&gt;"In stock","Supplier unavailable",IF(AG2500&lt;&gt;"PASS","BLOCK - GT loss risk","Commercially protected")))</x:f>
        <x:v>Needs supplier cost</x:v>
      </x:c>
      <x:c r="AI2500" t="str">
        <x:v>2026-09-10 Active Sports trade capture</x:v>
      </x:c>
      <x:c r="AJ2500" t="str">
        <x:v>Management-only economics. Stripe stress test uses 1.5% + £0.20 standard UK online-card fee; pallet/mix-and-match pricing ignored.</x:v>
      </x:c>
    </x:row>
    <x:row r="2501">
      <x:c r="A2501" t="str">
        <x:v>Active Sports Nutrition</x:v>
      </x:c>
      <x:c r="B2501" t="str">
        <x:v>NXT Nutrition</x:v>
      </x:c>
      <x:c r="C2501" t="str">
        <x:v>Pure Whey ISO Juice</x:v>
      </x:c>
      <x:c r="D2501" t="str">
        <x:v>Supplements</x:v>
      </x:c>
      <x:c r="E2501" t="str">
        <x:v>Clear Whey Isolate</x:v>
      </x:c>
      <x:c r="F2501" t="str"/>
      <x:c r="G2501" t="str">
        <x:v>900g</x:v>
      </x:c>
      <x:c r="H2501" t="str">
        <x:v>Pineapple Juice</x:v>
      </x:c>
      <x:c r="I2501" t="str"/>
      <x:c r="J2501" t="str">
        <x:v>Unit</x:v>
      </x:c>
      <x:c r="K2501" t="str">
        <x:v>In stock</x:v>
      </x:c>
      <x:c r="L2501" t="str">
        <x:v>2026-09-08</x:v>
      </x:c>
      <x:c r="M2501" t="str"/>
      <x:c r="N2501" t="str"/>
      <x:c r="O2501" t="str">
        <x:v>https://www.activesportstrade.co.uk/nxt-nutrition-trade</x:v>
      </x:c>
      <x:c r="P2501" t="str"/>
      <x:c r="Q2501" t="str"/>
      <x:c r="R2501" t="str"/>
      <x:c r="S2501" t="str">
        <x:v>Pending genuine supplier/brand image</x:v>
      </x:c>
      <x:c r="T2501" s="54"/>
      <x:c r="U2501" s="47" t="n">
        <x:v>0.2</x:v>
      </x:c>
      <x:c r="V2501" s="54" t="str">
        <x:f>IF(ISNUMBER(T2501),T2501*(1+U2501),"")</x:f>
      </x:c>
      <x:c r="W2501" s="47" t="n">
        <x:v>0.3</x:v>
      </x:c>
      <x:c r="X2501" s="54" t="str">
        <x:f>IF(ISNUMBER(V2501),V2501/(1-W2501),"")</x:f>
      </x:c>
      <x:c r="Y2501" s="55" t="str">
        <x:f>IF(ISNUMBER(X2501),ROUNDUP(X2501,0),"")</x:f>
      </x:c>
      <x:c r="Z2501" t="str">
        <x:f>IF(ISNUMBER(T2501),"Cost captured","Awaiting trade cost")</x:f>
        <x:v>Awaiting trade cost</x:v>
      </x:c>
      <x:c r="AB2501" s="36" t="str">
        <x:f>IF(ISNUMBER(Y2501),ROUND(Y2501*0.9,2),"")</x:f>
      </x:c>
      <x:c r="AC2501" s="36" t="str">
        <x:f>IF(ISNUMBER(AB2501),ROUND(AB2501-(AB2501*0.015+0.2)-V2501,2),"")</x:f>
      </x:c>
      <x:c r="AD2501" s="36" t="str">
        <x:f>IF(ISNUMBER(Y2501),ROUND(Y2501*0.8,2),"")</x:f>
      </x:c>
      <x:c r="AE2501" s="36" t="str">
        <x:f>IF(ISNUMBER(AD2501),ROUND(AD2501*0.015+0.2,2),"")</x:f>
      </x:c>
      <x:c r="AF2501" s="36" t="str">
        <x:f>IF(ISNUMBER(AD2501),ROUND(AD2501-AE2501-V2501,2),"")</x:f>
      </x:c>
      <x:c r="AG2501" t="str">
        <x:f>IF(NOT(ISNUMBER(T2501)),"PENDING",IF(AF2501&gt;0,"PASS","FAIL"))</x:f>
        <x:v>PENDING</x:v>
      </x:c>
      <x:c r="AH2501" t="str">
        <x:f>IF(NOT(ISNUMBER(T2501)),"Needs supplier cost",IF(K2501&lt;&gt;"In stock","Supplier unavailable",IF(AG2501&lt;&gt;"PASS","BLOCK - GT loss risk","Commercially protected")))</x:f>
        <x:v>Needs supplier cost</x:v>
      </x:c>
      <x:c r="AI2501" t="str">
        <x:v>2026-09-10 Active Sports trade capture</x:v>
      </x:c>
      <x:c r="AJ2501" t="str">
        <x:v>Management-only economics. Stripe stress test uses 1.5% + £0.20 standard UK online-card fee; pallet/mix-and-match pricing ignored.</x:v>
      </x:c>
    </x:row>
    <x:row r="2502">
      <x:c r="A2502" t="str">
        <x:v>Active Sports Nutrition</x:v>
      </x:c>
      <x:c r="B2502" t="str">
        <x:v>NXT Nutrition</x:v>
      </x:c>
      <x:c r="C2502" t="str">
        <x:v>Pure Whey ISO Juice</x:v>
      </x:c>
      <x:c r="D2502" t="str">
        <x:v>Supplements</x:v>
      </x:c>
      <x:c r="E2502" t="str">
        <x:v>Clear Whey Isolate</x:v>
      </x:c>
      <x:c r="F2502" t="str"/>
      <x:c r="G2502" t="str">
        <x:v>900g</x:v>
      </x:c>
      <x:c r="H2502" t="str">
        <x:v>Strawberry &amp; Banana</x:v>
      </x:c>
      <x:c r="I2502" t="str"/>
      <x:c r="J2502" t="str">
        <x:v>Unit</x:v>
      </x:c>
      <x:c r="K2502" t="str">
        <x:v>In stock</x:v>
      </x:c>
      <x:c r="L2502" t="str">
        <x:v>2026-09-08</x:v>
      </x:c>
      <x:c r="M2502" t="str"/>
      <x:c r="N2502" t="str"/>
      <x:c r="O2502" t="str">
        <x:v>https://www.activesportstrade.co.uk/nxt-nutrition-trade</x:v>
      </x:c>
      <x:c r="P2502" t="str"/>
      <x:c r="Q2502" t="str"/>
      <x:c r="R2502" t="str"/>
      <x:c r="S2502" t="str">
        <x:v>Pending genuine supplier/brand image</x:v>
      </x:c>
      <x:c r="T2502" s="54"/>
      <x:c r="U2502" s="47" t="n">
        <x:v>0.2</x:v>
      </x:c>
      <x:c r="V2502" s="54" t="str">
        <x:f>IF(ISNUMBER(T2502),T2502*(1+U2502),"")</x:f>
      </x:c>
      <x:c r="W2502" s="47" t="n">
        <x:v>0.3</x:v>
      </x:c>
      <x:c r="X2502" s="54" t="str">
        <x:f>IF(ISNUMBER(V2502),V2502/(1-W2502),"")</x:f>
      </x:c>
      <x:c r="Y2502" s="55" t="str">
        <x:f>IF(ISNUMBER(X2502),ROUNDUP(X2502,0),"")</x:f>
      </x:c>
      <x:c r="Z2502" t="str">
        <x:f>IF(ISNUMBER(T2502),"Cost captured","Awaiting trade cost")</x:f>
        <x:v>Awaiting trade cost</x:v>
      </x:c>
      <x:c r="AB2502" s="36" t="str">
        <x:f>IF(ISNUMBER(Y2502),ROUND(Y2502*0.9,2),"")</x:f>
      </x:c>
      <x:c r="AC2502" s="36" t="str">
        <x:f>IF(ISNUMBER(AB2502),ROUND(AB2502-(AB2502*0.015+0.2)-V2502,2),"")</x:f>
      </x:c>
      <x:c r="AD2502" s="36" t="str">
        <x:f>IF(ISNUMBER(Y2502),ROUND(Y2502*0.8,2),"")</x:f>
      </x:c>
      <x:c r="AE2502" s="36" t="str">
        <x:f>IF(ISNUMBER(AD2502),ROUND(AD2502*0.015+0.2,2),"")</x:f>
      </x:c>
      <x:c r="AF2502" s="36" t="str">
        <x:f>IF(ISNUMBER(AD2502),ROUND(AD2502-AE2502-V2502,2),"")</x:f>
      </x:c>
      <x:c r="AG2502" t="str">
        <x:f>IF(NOT(ISNUMBER(T2502)),"PENDING",IF(AF2502&gt;0,"PASS","FAIL"))</x:f>
        <x:v>PENDING</x:v>
      </x:c>
      <x:c r="AH2502" t="str">
        <x:f>IF(NOT(ISNUMBER(T2502)),"Needs supplier cost",IF(K2502&lt;&gt;"In stock","Supplier unavailable",IF(AG2502&lt;&gt;"PASS","BLOCK - GT loss risk","Commercially protected")))</x:f>
        <x:v>Needs supplier cost</x:v>
      </x:c>
      <x:c r="AI2502" t="str">
        <x:v>2026-09-10 Active Sports trade capture</x:v>
      </x:c>
      <x:c r="AJ2502" t="str">
        <x:v>Management-only economics. Stripe stress test uses 1.5% + £0.20 standard UK online-card fee; pallet/mix-and-match pricing ignored.</x:v>
      </x:c>
    </x:row>
    <x:row r="2503">
      <x:c r="A2503" t="str">
        <x:v>Active Sports Nutrition</x:v>
      </x:c>
      <x:c r="B2503" t="str">
        <x:v>NXT Nutrition</x:v>
      </x:c>
      <x:c r="C2503" t="str">
        <x:v>Pure Whey ISO Juice</x:v>
      </x:c>
      <x:c r="D2503" t="str">
        <x:v>Supplements</x:v>
      </x:c>
      <x:c r="E2503" t="str">
        <x:v>Clear Whey Isolate</x:v>
      </x:c>
      <x:c r="F2503" t="str"/>
      <x:c r="G2503" t="str">
        <x:v>900g</x:v>
      </x:c>
      <x:c r="H2503" t="str">
        <x:v>Summer Fruits</x:v>
      </x:c>
      <x:c r="I2503" t="str"/>
      <x:c r="J2503" t="str">
        <x:v>Unit</x:v>
      </x:c>
      <x:c r="K2503" t="str">
        <x:v>Out of stock</x:v>
      </x:c>
      <x:c r="L2503" t="str">
        <x:v>2026-09-08</x:v>
      </x:c>
      <x:c r="M2503" t="str"/>
      <x:c r="N2503" t="str"/>
      <x:c r="O2503" t="str">
        <x:v>https://www.activesportstrade.co.uk/nxt-nutrition-trade</x:v>
      </x:c>
      <x:c r="P2503" t="str"/>
      <x:c r="Q2503" t="str"/>
      <x:c r="R2503" t="str"/>
      <x:c r="S2503" t="str">
        <x:v>Pending genuine supplier/brand image</x:v>
      </x:c>
      <x:c r="T2503" s="54"/>
      <x:c r="U2503" s="47" t="n">
        <x:v>0.2</x:v>
      </x:c>
      <x:c r="V2503" s="54" t="str">
        <x:f>IF(ISNUMBER(T2503),T2503*(1+U2503),"")</x:f>
      </x:c>
      <x:c r="W2503" s="47" t="n">
        <x:v>0.3</x:v>
      </x:c>
      <x:c r="X2503" s="54" t="str">
        <x:f>IF(ISNUMBER(V2503),V2503/(1-W2503),"")</x:f>
      </x:c>
      <x:c r="Y2503" s="55" t="str">
        <x:f>IF(ISNUMBER(X2503),ROUNDUP(X2503,0),"")</x:f>
      </x:c>
      <x:c r="Z2503" t="str">
        <x:f>IF(ISNUMBER(T2503),"Cost captured","Awaiting trade cost")</x:f>
        <x:v>Awaiting trade cost</x:v>
      </x:c>
      <x:c r="AB2503" s="36" t="str">
        <x:f>IF(ISNUMBER(Y2503),ROUND(Y2503*0.9,2),"")</x:f>
      </x:c>
      <x:c r="AC2503" s="36" t="str">
        <x:f>IF(ISNUMBER(AB2503),ROUND(AB2503-(AB2503*0.015+0.2)-V2503,2),"")</x:f>
      </x:c>
      <x:c r="AD2503" s="36" t="str">
        <x:f>IF(ISNUMBER(Y2503),ROUND(Y2503*0.8,2),"")</x:f>
      </x:c>
      <x:c r="AE2503" s="36" t="str">
        <x:f>IF(ISNUMBER(AD2503),ROUND(AD2503*0.015+0.2,2),"")</x:f>
      </x:c>
      <x:c r="AF2503" s="36" t="str">
        <x:f>IF(ISNUMBER(AD2503),ROUND(AD2503-AE2503-V2503,2),"")</x:f>
      </x:c>
      <x:c r="AG2503" t="str">
        <x:f>IF(NOT(ISNUMBER(T2503)),"PENDING",IF(AF2503&gt;0,"PASS","FAIL"))</x:f>
        <x:v>PENDING</x:v>
      </x:c>
      <x:c r="AH2503" t="str">
        <x:f>IF(NOT(ISNUMBER(T2503)),"Needs supplier cost",IF(K2503&lt;&gt;"In stock","Supplier unavailable",IF(AG2503&lt;&gt;"PASS","BLOCK - GT loss risk","Commercially protected")))</x:f>
        <x:v>Needs supplier cost</x:v>
      </x:c>
      <x:c r="AI2503" t="str">
        <x:v>2026-09-10 Active Sports trade capture</x:v>
      </x:c>
      <x:c r="AJ2503" t="str">
        <x:v>Management-only economics. Stripe stress test uses 1.5% + £0.20 standard UK online-card fee; pallet/mix-and-match pricing ignored.</x:v>
      </x:c>
    </x:row>
    <x:row r="2504">
      <x:c r="A2504" t="str">
        <x:v>Active Sports Nutrition</x:v>
      </x:c>
      <x:c r="B2504" t="str">
        <x:v>NXT Nutrition</x:v>
      </x:c>
      <x:c r="C2504" t="str">
        <x:v>Pure Whey Mass</x:v>
      </x:c>
      <x:c r="D2504" t="str">
        <x:v>Supplements</x:v>
      </x:c>
      <x:c r="E2504" t="str">
        <x:v>Weight Gainers</x:v>
      </x:c>
      <x:c r="F2504" t="str"/>
      <x:c r="G2504" t="str">
        <x:v>3.18kg</x:v>
      </x:c>
      <x:c r="H2504" t="str">
        <x:v>Banana Milkshake</x:v>
      </x:c>
      <x:c r="I2504" t="str"/>
      <x:c r="J2504" t="str">
        <x:v>Unit</x:v>
      </x:c>
      <x:c r="K2504" t="str">
        <x:v>Out of stock</x:v>
      </x:c>
      <x:c r="L2504" t="str">
        <x:v>2026-09-08</x:v>
      </x:c>
      <x:c r="M2504" t="str"/>
      <x:c r="N2504" t="str"/>
      <x:c r="O2504" t="str">
        <x:v>https://www.activesportstrade.co.uk/nxt-nutrition-trade</x:v>
      </x:c>
      <x:c r="P2504" t="str"/>
      <x:c r="Q2504" t="str"/>
      <x:c r="R2504" t="str"/>
      <x:c r="S2504" t="str">
        <x:v>Pending genuine supplier/brand image</x:v>
      </x:c>
      <x:c r="T2504" s="54"/>
      <x:c r="U2504" s="47" t="n">
        <x:v>0.2</x:v>
      </x:c>
      <x:c r="V2504" s="54" t="str">
        <x:f>IF(ISNUMBER(T2504),T2504*(1+U2504),"")</x:f>
      </x:c>
      <x:c r="W2504" s="47" t="n">
        <x:v>0.3</x:v>
      </x:c>
      <x:c r="X2504" s="54" t="str">
        <x:f>IF(ISNUMBER(V2504),V2504/(1-W2504),"")</x:f>
      </x:c>
      <x:c r="Y2504" s="55" t="str">
        <x:f>IF(ISNUMBER(X2504),ROUNDUP(X2504,0),"")</x:f>
      </x:c>
      <x:c r="Z2504" t="str">
        <x:f>IF(ISNUMBER(T2504),"Cost captured","Awaiting trade cost")</x:f>
        <x:v>Awaiting trade cost</x:v>
      </x:c>
      <x:c r="AB2504" s="36" t="str">
        <x:f>IF(ISNUMBER(Y2504),ROUND(Y2504*0.9,2),"")</x:f>
      </x:c>
      <x:c r="AC2504" s="36" t="str">
        <x:f>IF(ISNUMBER(AB2504),ROUND(AB2504-(AB2504*0.015+0.2)-V2504,2),"")</x:f>
      </x:c>
      <x:c r="AD2504" s="36" t="str">
        <x:f>IF(ISNUMBER(Y2504),ROUND(Y2504*0.8,2),"")</x:f>
      </x:c>
      <x:c r="AE2504" s="36" t="str">
        <x:f>IF(ISNUMBER(AD2504),ROUND(AD2504*0.015+0.2,2),"")</x:f>
      </x:c>
      <x:c r="AF2504" s="36" t="str">
        <x:f>IF(ISNUMBER(AD2504),ROUND(AD2504-AE2504-V2504,2),"")</x:f>
      </x:c>
      <x:c r="AG2504" t="str">
        <x:f>IF(NOT(ISNUMBER(T2504)),"PENDING",IF(AF2504&gt;0,"PASS","FAIL"))</x:f>
        <x:v>PENDING</x:v>
      </x:c>
      <x:c r="AH2504" t="str">
        <x:f>IF(NOT(ISNUMBER(T2504)),"Needs supplier cost",IF(K2504&lt;&gt;"In stock","Supplier unavailable",IF(AG2504&lt;&gt;"PASS","BLOCK - GT loss risk","Commercially protected")))</x:f>
        <x:v>Needs supplier cost</x:v>
      </x:c>
      <x:c r="AI2504" t="str">
        <x:v>2026-09-10 Active Sports trade capture</x:v>
      </x:c>
      <x:c r="AJ2504" t="str">
        <x:v>Management-only economics. Stripe stress test uses 1.5% + £0.20 standard UK online-card fee; pallet/mix-and-match pricing ignored.</x:v>
      </x:c>
    </x:row>
    <x:row r="2505">
      <x:c r="A2505" t="str">
        <x:v>Active Sports Nutrition</x:v>
      </x:c>
      <x:c r="B2505" t="str">
        <x:v>NXT Nutrition</x:v>
      </x:c>
      <x:c r="C2505" t="str">
        <x:v>Pure Whey Mass</x:v>
      </x:c>
      <x:c r="D2505" t="str">
        <x:v>Supplements</x:v>
      </x:c>
      <x:c r="E2505" t="str">
        <x:v>Weight Gainers</x:v>
      </x:c>
      <x:c r="F2505" t="str"/>
      <x:c r="G2505" t="str">
        <x:v>3.18kg</x:v>
      </x:c>
      <x:c r="H2505" t="str">
        <x:v>Chocolate Milkshake</x:v>
      </x:c>
      <x:c r="I2505" t="str"/>
      <x:c r="J2505" t="str">
        <x:v>Unit</x:v>
      </x:c>
      <x:c r="K2505" t="str">
        <x:v>Out of stock</x:v>
      </x:c>
      <x:c r="L2505" t="str">
        <x:v>2026-09-08</x:v>
      </x:c>
      <x:c r="M2505" t="str"/>
      <x:c r="N2505" t="str"/>
      <x:c r="O2505" t="str">
        <x:v>https://www.activesportstrade.co.uk/nxt-nutrition-trade</x:v>
      </x:c>
      <x:c r="P2505" t="str"/>
      <x:c r="Q2505" t="str"/>
      <x:c r="R2505" t="str"/>
      <x:c r="S2505" t="str">
        <x:v>Pending genuine supplier/brand image</x:v>
      </x:c>
      <x:c r="T2505" s="54"/>
      <x:c r="U2505" s="47" t="n">
        <x:v>0.2</x:v>
      </x:c>
      <x:c r="V2505" s="54" t="str">
        <x:f>IF(ISNUMBER(T2505),T2505*(1+U2505),"")</x:f>
      </x:c>
      <x:c r="W2505" s="47" t="n">
        <x:v>0.3</x:v>
      </x:c>
      <x:c r="X2505" s="54" t="str">
        <x:f>IF(ISNUMBER(V2505),V2505/(1-W2505),"")</x:f>
      </x:c>
      <x:c r="Y2505" s="55" t="str">
        <x:f>IF(ISNUMBER(X2505),ROUNDUP(X2505,0),"")</x:f>
      </x:c>
      <x:c r="Z2505" t="str">
        <x:f>IF(ISNUMBER(T2505),"Cost captured","Awaiting trade cost")</x:f>
        <x:v>Awaiting trade cost</x:v>
      </x:c>
      <x:c r="AB2505" s="36" t="str">
        <x:f>IF(ISNUMBER(Y2505),ROUND(Y2505*0.9,2),"")</x:f>
      </x:c>
      <x:c r="AC2505" s="36" t="str">
        <x:f>IF(ISNUMBER(AB2505),ROUND(AB2505-(AB2505*0.015+0.2)-V2505,2),"")</x:f>
      </x:c>
      <x:c r="AD2505" s="36" t="str">
        <x:f>IF(ISNUMBER(Y2505),ROUND(Y2505*0.8,2),"")</x:f>
      </x:c>
      <x:c r="AE2505" s="36" t="str">
        <x:f>IF(ISNUMBER(AD2505),ROUND(AD2505*0.015+0.2,2),"")</x:f>
      </x:c>
      <x:c r="AF2505" s="36" t="str">
        <x:f>IF(ISNUMBER(AD2505),ROUND(AD2505-AE2505-V2505,2),"")</x:f>
      </x:c>
      <x:c r="AG2505" t="str">
        <x:f>IF(NOT(ISNUMBER(T2505)),"PENDING",IF(AF2505&gt;0,"PASS","FAIL"))</x:f>
        <x:v>PENDING</x:v>
      </x:c>
      <x:c r="AH2505" t="str">
        <x:f>IF(NOT(ISNUMBER(T2505)),"Needs supplier cost",IF(K2505&lt;&gt;"In stock","Supplier unavailable",IF(AG2505&lt;&gt;"PASS","BLOCK - GT loss risk","Commercially protected")))</x:f>
        <x:v>Needs supplier cost</x:v>
      </x:c>
      <x:c r="AI2505" t="str">
        <x:v>2026-09-10 Active Sports trade capture</x:v>
      </x:c>
      <x:c r="AJ2505" t="str">
        <x:v>Management-only economics. Stripe stress test uses 1.5% + £0.20 standard UK online-card fee; pallet/mix-and-match pricing ignored.</x:v>
      </x:c>
    </x:row>
    <x:row r="2506">
      <x:c r="A2506" t="str">
        <x:v>Active Sports Nutrition</x:v>
      </x:c>
      <x:c r="B2506" t="str">
        <x:v>NXT Nutrition</x:v>
      </x:c>
      <x:c r="C2506" t="str">
        <x:v>Pure Whey Mass</x:v>
      </x:c>
      <x:c r="D2506" t="str">
        <x:v>Supplements</x:v>
      </x:c>
      <x:c r="E2506" t="str">
        <x:v>Weight Gainers</x:v>
      </x:c>
      <x:c r="F2506" t="str"/>
      <x:c r="G2506" t="str">
        <x:v>3.18kg</x:v>
      </x:c>
      <x:c r="H2506" t="str">
        <x:v>Cookies &amp; Cream</x:v>
      </x:c>
      <x:c r="I2506" t="str"/>
      <x:c r="J2506" t="str">
        <x:v>Unit</x:v>
      </x:c>
      <x:c r="K2506" t="str">
        <x:v>Out of stock</x:v>
      </x:c>
      <x:c r="L2506" t="str">
        <x:v>2026-09-08</x:v>
      </x:c>
      <x:c r="M2506" t="str"/>
      <x:c r="N2506" t="str"/>
      <x:c r="O2506" t="str">
        <x:v>https://www.activesportstrade.co.uk/nxt-nutrition-trade</x:v>
      </x:c>
      <x:c r="P2506" t="str"/>
      <x:c r="Q2506" t="str"/>
      <x:c r="R2506" t="str"/>
      <x:c r="S2506" t="str">
        <x:v>Pending genuine supplier/brand image</x:v>
      </x:c>
      <x:c r="T2506" s="54"/>
      <x:c r="U2506" s="47" t="n">
        <x:v>0.2</x:v>
      </x:c>
      <x:c r="V2506" s="54" t="str">
        <x:f>IF(ISNUMBER(T2506),T2506*(1+U2506),"")</x:f>
      </x:c>
      <x:c r="W2506" s="47" t="n">
        <x:v>0.3</x:v>
      </x:c>
      <x:c r="X2506" s="54" t="str">
        <x:f>IF(ISNUMBER(V2506),V2506/(1-W2506),"")</x:f>
      </x:c>
      <x:c r="Y2506" s="55" t="str">
        <x:f>IF(ISNUMBER(X2506),ROUNDUP(X2506,0),"")</x:f>
      </x:c>
      <x:c r="Z2506" t="str">
        <x:f>IF(ISNUMBER(T2506),"Cost captured","Awaiting trade cost")</x:f>
        <x:v>Awaiting trade cost</x:v>
      </x:c>
      <x:c r="AB2506" s="36" t="str">
        <x:f>IF(ISNUMBER(Y2506),ROUND(Y2506*0.9,2),"")</x:f>
      </x:c>
      <x:c r="AC2506" s="36" t="str">
        <x:f>IF(ISNUMBER(AB2506),ROUND(AB2506-(AB2506*0.015+0.2)-V2506,2),"")</x:f>
      </x:c>
      <x:c r="AD2506" s="36" t="str">
        <x:f>IF(ISNUMBER(Y2506),ROUND(Y2506*0.8,2),"")</x:f>
      </x:c>
      <x:c r="AE2506" s="36" t="str">
        <x:f>IF(ISNUMBER(AD2506),ROUND(AD2506*0.015+0.2,2),"")</x:f>
      </x:c>
      <x:c r="AF2506" s="36" t="str">
        <x:f>IF(ISNUMBER(AD2506),ROUND(AD2506-AE2506-V2506,2),"")</x:f>
      </x:c>
      <x:c r="AG2506" t="str">
        <x:f>IF(NOT(ISNUMBER(T2506)),"PENDING",IF(AF2506&gt;0,"PASS","FAIL"))</x:f>
        <x:v>PENDING</x:v>
      </x:c>
      <x:c r="AH2506" t="str">
        <x:f>IF(NOT(ISNUMBER(T2506)),"Needs supplier cost",IF(K2506&lt;&gt;"In stock","Supplier unavailable",IF(AG2506&lt;&gt;"PASS","BLOCK - GT loss risk","Commercially protected")))</x:f>
        <x:v>Needs supplier cost</x:v>
      </x:c>
      <x:c r="AI2506" t="str">
        <x:v>2026-09-10 Active Sports trade capture</x:v>
      </x:c>
      <x:c r="AJ2506" t="str">
        <x:v>Management-only economics. Stripe stress test uses 1.5% + £0.20 standard UK online-card fee; pallet/mix-and-match pricing ignored.</x:v>
      </x:c>
    </x:row>
    <x:row r="2507">
      <x:c r="A2507" t="str">
        <x:v>Active Sports Nutrition</x:v>
      </x:c>
      <x:c r="B2507" t="str">
        <x:v>NXT Nutrition</x:v>
      </x:c>
      <x:c r="C2507" t="str">
        <x:v>Pure Whey Mass</x:v>
      </x:c>
      <x:c r="D2507" t="str">
        <x:v>Supplements</x:v>
      </x:c>
      <x:c r="E2507" t="str">
        <x:v>Weight Gainers</x:v>
      </x:c>
      <x:c r="F2507" t="str"/>
      <x:c r="G2507" t="str">
        <x:v>3.18kg</x:v>
      </x:c>
      <x:c r="H2507" t="str">
        <x:v>Raspberry Ripple Ice Cream</x:v>
      </x:c>
      <x:c r="I2507" t="str"/>
      <x:c r="J2507" t="str">
        <x:v>Unit</x:v>
      </x:c>
      <x:c r="K2507" t="str">
        <x:v>Out of stock</x:v>
      </x:c>
      <x:c r="L2507" t="str">
        <x:v>2026-09-08</x:v>
      </x:c>
      <x:c r="M2507" t="str"/>
      <x:c r="N2507" t="str"/>
      <x:c r="O2507" t="str">
        <x:v>https://www.activesportstrade.co.uk/nxt-nutrition-trade</x:v>
      </x:c>
      <x:c r="P2507" t="str"/>
      <x:c r="Q2507" t="str"/>
      <x:c r="R2507" t="str"/>
      <x:c r="S2507" t="str">
        <x:v>Pending genuine supplier/brand image</x:v>
      </x:c>
      <x:c r="T2507" s="54"/>
      <x:c r="U2507" s="47" t="n">
        <x:v>0.2</x:v>
      </x:c>
      <x:c r="V2507" s="54" t="str">
        <x:f>IF(ISNUMBER(T2507),T2507*(1+U2507),"")</x:f>
      </x:c>
      <x:c r="W2507" s="47" t="n">
        <x:v>0.3</x:v>
      </x:c>
      <x:c r="X2507" s="54" t="str">
        <x:f>IF(ISNUMBER(V2507),V2507/(1-W2507),"")</x:f>
      </x:c>
      <x:c r="Y2507" s="55" t="str">
        <x:f>IF(ISNUMBER(X2507),ROUNDUP(X2507,0),"")</x:f>
      </x:c>
      <x:c r="Z2507" t="str">
        <x:f>IF(ISNUMBER(T2507),"Cost captured","Awaiting trade cost")</x:f>
        <x:v>Awaiting trade cost</x:v>
      </x:c>
      <x:c r="AB2507" s="36" t="str">
        <x:f>IF(ISNUMBER(Y2507),ROUND(Y2507*0.9,2),"")</x:f>
      </x:c>
      <x:c r="AC2507" s="36" t="str">
        <x:f>IF(ISNUMBER(AB2507),ROUND(AB2507-(AB2507*0.015+0.2)-V2507,2),"")</x:f>
      </x:c>
      <x:c r="AD2507" s="36" t="str">
        <x:f>IF(ISNUMBER(Y2507),ROUND(Y2507*0.8,2),"")</x:f>
      </x:c>
      <x:c r="AE2507" s="36" t="str">
        <x:f>IF(ISNUMBER(AD2507),ROUND(AD2507*0.015+0.2,2),"")</x:f>
      </x:c>
      <x:c r="AF2507" s="36" t="str">
        <x:f>IF(ISNUMBER(AD2507),ROUND(AD2507-AE2507-V2507,2),"")</x:f>
      </x:c>
      <x:c r="AG2507" t="str">
        <x:f>IF(NOT(ISNUMBER(T2507)),"PENDING",IF(AF2507&gt;0,"PASS","FAIL"))</x:f>
        <x:v>PENDING</x:v>
      </x:c>
      <x:c r="AH2507" t="str">
        <x:f>IF(NOT(ISNUMBER(T2507)),"Needs supplier cost",IF(K2507&lt;&gt;"In stock","Supplier unavailable",IF(AG2507&lt;&gt;"PASS","BLOCK - GT loss risk","Commercially protected")))</x:f>
        <x:v>Needs supplier cost</x:v>
      </x:c>
      <x:c r="AI2507" t="str">
        <x:v>2026-09-10 Active Sports trade capture</x:v>
      </x:c>
      <x:c r="AJ2507" t="str">
        <x:v>Management-only economics. Stripe stress test uses 1.5% + £0.20 standard UK online-card fee; pallet/mix-and-match pricing ignored.</x:v>
      </x:c>
    </x:row>
    <x:row r="2508">
      <x:c r="A2508" t="str">
        <x:v>Active Sports Nutrition</x:v>
      </x:c>
      <x:c r="B2508" t="str">
        <x:v>NXT Nutrition</x:v>
      </x:c>
      <x:c r="C2508" t="str">
        <x:v>Pure Whey Mass</x:v>
      </x:c>
      <x:c r="D2508" t="str">
        <x:v>Supplements</x:v>
      </x:c>
      <x:c r="E2508" t="str">
        <x:v>Weight Gainers</x:v>
      </x:c>
      <x:c r="F2508" t="str"/>
      <x:c r="G2508" t="str">
        <x:v>3.18kg</x:v>
      </x:c>
      <x:c r="H2508" t="str">
        <x:v>Strawberry Milkshake</x:v>
      </x:c>
      <x:c r="I2508" t="str"/>
      <x:c r="J2508" t="str">
        <x:v>Unit</x:v>
      </x:c>
      <x:c r="K2508" t="str">
        <x:v>Out of stock</x:v>
      </x:c>
      <x:c r="L2508" t="str">
        <x:v>2026-09-08</x:v>
      </x:c>
      <x:c r="M2508" t="str"/>
      <x:c r="N2508" t="str"/>
      <x:c r="O2508" t="str">
        <x:v>https://www.activesportstrade.co.uk/nxt-nutrition-trade</x:v>
      </x:c>
      <x:c r="P2508" t="str"/>
      <x:c r="Q2508" t="str"/>
      <x:c r="R2508" t="str"/>
      <x:c r="S2508" t="str">
        <x:v>Pending genuine supplier/brand image</x:v>
      </x:c>
      <x:c r="T2508" s="54"/>
      <x:c r="U2508" s="47" t="n">
        <x:v>0.2</x:v>
      </x:c>
      <x:c r="V2508" s="54" t="str">
        <x:f>IF(ISNUMBER(T2508),T2508*(1+U2508),"")</x:f>
      </x:c>
      <x:c r="W2508" s="47" t="n">
        <x:v>0.3</x:v>
      </x:c>
      <x:c r="X2508" s="54" t="str">
        <x:f>IF(ISNUMBER(V2508),V2508/(1-W2508),"")</x:f>
      </x:c>
      <x:c r="Y2508" s="55" t="str">
        <x:f>IF(ISNUMBER(X2508),ROUNDUP(X2508,0),"")</x:f>
      </x:c>
      <x:c r="Z2508" t="str">
        <x:f>IF(ISNUMBER(T2508),"Cost captured","Awaiting trade cost")</x:f>
        <x:v>Awaiting trade cost</x:v>
      </x:c>
      <x:c r="AB2508" s="36" t="str">
        <x:f>IF(ISNUMBER(Y2508),ROUND(Y2508*0.9,2),"")</x:f>
      </x:c>
      <x:c r="AC2508" s="36" t="str">
        <x:f>IF(ISNUMBER(AB2508),ROUND(AB2508-(AB2508*0.015+0.2)-V2508,2),"")</x:f>
      </x:c>
      <x:c r="AD2508" s="36" t="str">
        <x:f>IF(ISNUMBER(Y2508),ROUND(Y2508*0.8,2),"")</x:f>
      </x:c>
      <x:c r="AE2508" s="36" t="str">
        <x:f>IF(ISNUMBER(AD2508),ROUND(AD2508*0.015+0.2,2),"")</x:f>
      </x:c>
      <x:c r="AF2508" s="36" t="str">
        <x:f>IF(ISNUMBER(AD2508),ROUND(AD2508-AE2508-V2508,2),"")</x:f>
      </x:c>
      <x:c r="AG2508" t="str">
        <x:f>IF(NOT(ISNUMBER(T2508)),"PENDING",IF(AF2508&gt;0,"PASS","FAIL"))</x:f>
        <x:v>PENDING</x:v>
      </x:c>
      <x:c r="AH2508" t="str">
        <x:f>IF(NOT(ISNUMBER(T2508)),"Needs supplier cost",IF(K2508&lt;&gt;"In stock","Supplier unavailable",IF(AG2508&lt;&gt;"PASS","BLOCK - GT loss risk","Commercially protected")))</x:f>
        <x:v>Needs supplier cost</x:v>
      </x:c>
      <x:c r="AI2508" t="str">
        <x:v>2026-09-10 Active Sports trade capture</x:v>
      </x:c>
      <x:c r="AJ2508" t="str">
        <x:v>Management-only economics. Stripe stress test uses 1.5% + £0.20 standard UK online-card fee; pallet/mix-and-match pricing ignored.</x:v>
      </x:c>
    </x:row>
    <x:row r="2509">
      <x:c r="A2509" t="str">
        <x:v>Active Sports Nutrition</x:v>
      </x:c>
      <x:c r="B2509" t="str">
        <x:v>NXT Nutrition</x:v>
      </x:c>
      <x:c r="C2509" t="str">
        <x:v>Pure Whey Mass</x:v>
      </x:c>
      <x:c r="D2509" t="str">
        <x:v>Supplements</x:v>
      </x:c>
      <x:c r="E2509" t="str">
        <x:v>Weight Gainers</x:v>
      </x:c>
      <x:c r="F2509" t="str"/>
      <x:c r="G2509" t="str">
        <x:v>3.18kg</x:v>
      </x:c>
      <x:c r="H2509" t="str">
        <x:v>Vanilla Ice Cream</x:v>
      </x:c>
      <x:c r="I2509" t="str"/>
      <x:c r="J2509" t="str">
        <x:v>Unit</x:v>
      </x:c>
      <x:c r="K2509" t="str">
        <x:v>In stock</x:v>
      </x:c>
      <x:c r="L2509" t="str">
        <x:v>2026-09-08</x:v>
      </x:c>
      <x:c r="M2509" t="str"/>
      <x:c r="N2509" t="str"/>
      <x:c r="O2509" t="str">
        <x:v>https://www.activesportstrade.co.uk/nxt-nutrition-trade</x:v>
      </x:c>
      <x:c r="P2509" t="str"/>
      <x:c r="Q2509" t="str"/>
      <x:c r="R2509" t="str"/>
      <x:c r="S2509" t="str">
        <x:v>Pending genuine supplier/brand image</x:v>
      </x:c>
      <x:c r="T2509" s="54"/>
      <x:c r="U2509" s="47" t="n">
        <x:v>0.2</x:v>
      </x:c>
      <x:c r="V2509" s="54" t="str">
        <x:f>IF(ISNUMBER(T2509),T2509*(1+U2509),"")</x:f>
      </x:c>
      <x:c r="W2509" s="47" t="n">
        <x:v>0.3</x:v>
      </x:c>
      <x:c r="X2509" s="54" t="str">
        <x:f>IF(ISNUMBER(V2509),V2509/(1-W2509),"")</x:f>
      </x:c>
      <x:c r="Y2509" s="55" t="str">
        <x:f>IF(ISNUMBER(X2509),ROUNDUP(X2509,0),"")</x:f>
      </x:c>
      <x:c r="Z2509" t="str">
        <x:f>IF(ISNUMBER(T2509),"Cost captured","Awaiting trade cost")</x:f>
        <x:v>Awaiting trade cost</x:v>
      </x:c>
      <x:c r="AB2509" s="36" t="str">
        <x:f>IF(ISNUMBER(Y2509),ROUND(Y2509*0.9,2),"")</x:f>
      </x:c>
      <x:c r="AC2509" s="36" t="str">
        <x:f>IF(ISNUMBER(AB2509),ROUND(AB2509-(AB2509*0.015+0.2)-V2509,2),"")</x:f>
      </x:c>
      <x:c r="AD2509" s="36" t="str">
        <x:f>IF(ISNUMBER(Y2509),ROUND(Y2509*0.8,2),"")</x:f>
      </x:c>
      <x:c r="AE2509" s="36" t="str">
        <x:f>IF(ISNUMBER(AD2509),ROUND(AD2509*0.015+0.2,2),"")</x:f>
      </x:c>
      <x:c r="AF2509" s="36" t="str">
        <x:f>IF(ISNUMBER(AD2509),ROUND(AD2509-AE2509-V2509,2),"")</x:f>
      </x:c>
      <x:c r="AG2509" t="str">
        <x:f>IF(NOT(ISNUMBER(T2509)),"PENDING",IF(AF2509&gt;0,"PASS","FAIL"))</x:f>
        <x:v>PENDING</x:v>
      </x:c>
      <x:c r="AH2509" t="str">
        <x:f>IF(NOT(ISNUMBER(T2509)),"Needs supplier cost",IF(K2509&lt;&gt;"In stock","Supplier unavailable",IF(AG2509&lt;&gt;"PASS","BLOCK - GT loss risk","Commercially protected")))</x:f>
        <x:v>Needs supplier cost</x:v>
      </x:c>
      <x:c r="AI2509" t="str">
        <x:v>2026-09-10 Active Sports trade capture</x:v>
      </x:c>
      <x:c r="AJ2509" t="str">
        <x:v>Management-only economics. Stripe stress test uses 1.5% + £0.20 standard UK online-card fee; pallet/mix-and-match pricing ignored.</x:v>
      </x:c>
    </x:row>
    <x:row r="2510">
      <x:c r="A2510" t="str">
        <x:v>Active Sports Nutrition</x:v>
      </x:c>
      <x:c r="B2510" t="str">
        <x:v>NXT Nutrition</x:v>
      </x:c>
      <x:c r="C2510" t="str">
        <x:v>TNT Nuclear CANS</x:v>
      </x:c>
      <x:c r="D2510" t="str">
        <x:v>Food &amp; Drinks</x:v>
      </x:c>
      <x:c r="E2510" t="str">
        <x:v>Ready to Drink Energy</x:v>
      </x:c>
      <x:c r="F2510" t="str"/>
      <x:c r="G2510" t="str">
        <x:v>12 x 330ml cans</x:v>
      </x:c>
      <x:c r="H2510" t="str">
        <x:v>Cherry Cola</x:v>
      </x:c>
      <x:c r="I2510" t="str">
        <x:v>12</x:v>
      </x:c>
      <x:c r="J2510" t="str">
        <x:v>Case</x:v>
      </x:c>
      <x:c r="K2510" t="str">
        <x:v>In stock</x:v>
      </x:c>
      <x:c r="L2510" t="str">
        <x:v>2026-09-08</x:v>
      </x:c>
      <x:c r="M2510" t="str"/>
      <x:c r="N2510" t="str"/>
      <x:c r="O2510" t="str">
        <x:v>https://www.activesportstrade.co.uk/nxt-nutrition-trade</x:v>
      </x:c>
      <x:c r="P2510" t="str">
        <x:v>SPECIAL OFFER / BUY 5 GET 1 FREE wording stripped; case-only.</x:v>
      </x:c>
      <x:c r="Q2510" t="str"/>
      <x:c r="R2510" t="str"/>
      <x:c r="S2510" t="str">
        <x:v>Pending genuine supplier/brand image</x:v>
      </x:c>
      <x:c r="T2510" s="54"/>
      <x:c r="U2510" s="47" t="n">
        <x:v>0.2</x:v>
      </x:c>
      <x:c r="V2510" s="54" t="str">
        <x:f>IF(ISNUMBER(T2510),T2510*(1+U2510),"")</x:f>
      </x:c>
      <x:c r="W2510" s="47" t="n">
        <x:v>0.3</x:v>
      </x:c>
      <x:c r="X2510" s="54" t="str">
        <x:f>IF(ISNUMBER(V2510),V2510/(1-W2510),"")</x:f>
      </x:c>
      <x:c r="Y2510" s="55" t="str">
        <x:f>IF(ISNUMBER(X2510),ROUNDUP(X2510,0),"")</x:f>
      </x:c>
      <x:c r="Z2510" t="str">
        <x:f>IF(ISNUMBER(T2510),"Cost captured","Awaiting trade cost")</x:f>
        <x:v>Awaiting trade cost</x:v>
      </x:c>
      <x:c r="AB2510" s="36" t="str">
        <x:f>IF(ISNUMBER(Y2510),ROUND(Y2510*0.9,2),"")</x:f>
      </x:c>
      <x:c r="AC2510" s="36" t="str">
        <x:f>IF(ISNUMBER(AB2510),ROUND(AB2510-(AB2510*0.015+0.2)-V2510,2),"")</x:f>
      </x:c>
      <x:c r="AD2510" s="36" t="str">
        <x:f>IF(ISNUMBER(Y2510),ROUND(Y2510*0.8,2),"")</x:f>
      </x:c>
      <x:c r="AE2510" s="36" t="str">
        <x:f>IF(ISNUMBER(AD2510),ROUND(AD2510*0.015+0.2,2),"")</x:f>
      </x:c>
      <x:c r="AF2510" s="36" t="str">
        <x:f>IF(ISNUMBER(AD2510),ROUND(AD2510-AE2510-V2510,2),"")</x:f>
      </x:c>
      <x:c r="AG2510" t="str">
        <x:f>IF(NOT(ISNUMBER(T2510)),"PENDING",IF(AF2510&gt;0,"PASS","FAIL"))</x:f>
        <x:v>PENDING</x:v>
      </x:c>
      <x:c r="AH2510" t="str">
        <x:f>IF(NOT(ISNUMBER(T2510)),"Needs supplier cost",IF(K2510&lt;&gt;"In stock","Supplier unavailable",IF(AG2510&lt;&gt;"PASS","BLOCK - GT loss risk","Commercially protected")))</x:f>
        <x:v>Needs supplier cost</x:v>
      </x:c>
      <x:c r="AI2510" t="str">
        <x:v>2026-09-10 Active Sports trade capture</x:v>
      </x:c>
      <x:c r="AJ2510" t="str">
        <x:v>Management-only economics. Stripe stress test uses 1.5% + £0.20 standard UK online-card fee; pallet/mix-and-match pricing ignored.</x:v>
      </x:c>
    </x:row>
    <x:row r="2511">
      <x:c r="A2511" t="str">
        <x:v>Active Sports Nutrition</x:v>
      </x:c>
      <x:c r="B2511" t="str">
        <x:v>NXT Nutrition</x:v>
      </x:c>
      <x:c r="C2511" t="str">
        <x:v>TNT Nuclear CANS</x:v>
      </x:c>
      <x:c r="D2511" t="str">
        <x:v>Food &amp; Drinks</x:v>
      </x:c>
      <x:c r="E2511" t="str">
        <x:v>Ready to Drink Energy</x:v>
      </x:c>
      <x:c r="F2511" t="str"/>
      <x:c r="G2511" t="str">
        <x:v>12 x 330ml cans</x:v>
      </x:c>
      <x:c r="H2511" t="str">
        <x:v>Ice Burst</x:v>
      </x:c>
      <x:c r="I2511" t="str">
        <x:v>12</x:v>
      </x:c>
      <x:c r="J2511" t="str">
        <x:v>Case</x:v>
      </x:c>
      <x:c r="K2511" t="str">
        <x:v>In stock</x:v>
      </x:c>
      <x:c r="L2511" t="str">
        <x:v>2026-09-08</x:v>
      </x:c>
      <x:c r="M2511" t="str"/>
      <x:c r="N2511" t="str"/>
      <x:c r="O2511" t="str">
        <x:v>https://www.activesportstrade.co.uk/nxt-nutrition-trade</x:v>
      </x:c>
      <x:c r="P2511" t="str">
        <x:v>SPECIAL OFFER / BUY 5 GET 1 FREE wording stripped; case-only.</x:v>
      </x:c>
      <x:c r="Q2511" t="str"/>
      <x:c r="R2511" t="str"/>
      <x:c r="S2511" t="str">
        <x:v>Pending genuine supplier/brand image</x:v>
      </x:c>
      <x:c r="T2511" s="54"/>
      <x:c r="U2511" s="47" t="n">
        <x:v>0.2</x:v>
      </x:c>
      <x:c r="V2511" s="54" t="str">
        <x:f>IF(ISNUMBER(T2511),T2511*(1+U2511),"")</x:f>
      </x:c>
      <x:c r="W2511" s="47" t="n">
        <x:v>0.3</x:v>
      </x:c>
      <x:c r="X2511" s="54" t="str">
        <x:f>IF(ISNUMBER(V2511),V2511/(1-W2511),"")</x:f>
      </x:c>
      <x:c r="Y2511" s="55" t="str">
        <x:f>IF(ISNUMBER(X2511),ROUNDUP(X2511,0),"")</x:f>
      </x:c>
      <x:c r="Z2511" t="str">
        <x:f>IF(ISNUMBER(T2511),"Cost captured","Awaiting trade cost")</x:f>
        <x:v>Awaiting trade cost</x:v>
      </x:c>
      <x:c r="AB2511" s="36" t="str">
        <x:f>IF(ISNUMBER(Y2511),ROUND(Y2511*0.9,2),"")</x:f>
      </x:c>
      <x:c r="AC2511" s="36" t="str">
        <x:f>IF(ISNUMBER(AB2511),ROUND(AB2511-(AB2511*0.015+0.2)-V2511,2),"")</x:f>
      </x:c>
      <x:c r="AD2511" s="36" t="str">
        <x:f>IF(ISNUMBER(Y2511),ROUND(Y2511*0.8,2),"")</x:f>
      </x:c>
      <x:c r="AE2511" s="36" t="str">
        <x:f>IF(ISNUMBER(AD2511),ROUND(AD2511*0.015+0.2,2),"")</x:f>
      </x:c>
      <x:c r="AF2511" s="36" t="str">
        <x:f>IF(ISNUMBER(AD2511),ROUND(AD2511-AE2511-V2511,2),"")</x:f>
      </x:c>
      <x:c r="AG2511" t="str">
        <x:f>IF(NOT(ISNUMBER(T2511)),"PENDING",IF(AF2511&gt;0,"PASS","FAIL"))</x:f>
        <x:v>PENDING</x:v>
      </x:c>
      <x:c r="AH2511" t="str">
        <x:f>IF(NOT(ISNUMBER(T2511)),"Needs supplier cost",IF(K2511&lt;&gt;"In stock","Supplier unavailable",IF(AG2511&lt;&gt;"PASS","BLOCK - GT loss risk","Commercially protected")))</x:f>
        <x:v>Needs supplier cost</x:v>
      </x:c>
      <x:c r="AI2511" t="str">
        <x:v>2026-09-10 Active Sports trade capture</x:v>
      </x:c>
      <x:c r="AJ2511" t="str">
        <x:v>Management-only economics. Stripe stress test uses 1.5% + £0.20 standard UK online-card fee; pallet/mix-and-match pricing ignored.</x:v>
      </x:c>
    </x:row>
    <x:row r="2512">
      <x:c r="A2512" t="str">
        <x:v>Active Sports Nutrition</x:v>
      </x:c>
      <x:c r="B2512" t="str">
        <x:v>NXT Nutrition</x:v>
      </x:c>
      <x:c r="C2512" t="str">
        <x:v>TNT Nuclear CANS</x:v>
      </x:c>
      <x:c r="D2512" t="str">
        <x:v>Food &amp; Drinks</x:v>
      </x:c>
      <x:c r="E2512" t="str">
        <x:v>Ready to Drink Energy</x:v>
      </x:c>
      <x:c r="F2512" t="str"/>
      <x:c r="G2512" t="str">
        <x:v>12 x 330ml cans</x:v>
      </x:c>
      <x:c r="H2512" t="str">
        <x:v>Lemonade</x:v>
      </x:c>
      <x:c r="I2512" t="str">
        <x:v>12</x:v>
      </x:c>
      <x:c r="J2512" t="str">
        <x:v>Case</x:v>
      </x:c>
      <x:c r="K2512" t="str">
        <x:v>In stock</x:v>
      </x:c>
      <x:c r="L2512" t="str">
        <x:v>2026-09-08</x:v>
      </x:c>
      <x:c r="M2512" t="str"/>
      <x:c r="N2512" t="str"/>
      <x:c r="O2512" t="str">
        <x:v>https://www.activesportstrade.co.uk/nxt-nutrition-trade</x:v>
      </x:c>
      <x:c r="P2512" t="str">
        <x:v>SPECIAL OFFER / BUY 5 GET 1 FREE wording stripped; case-only.</x:v>
      </x:c>
      <x:c r="Q2512" t="str"/>
      <x:c r="R2512" t="str"/>
      <x:c r="S2512" t="str">
        <x:v>Pending genuine supplier/brand image</x:v>
      </x:c>
      <x:c r="T2512" s="54"/>
      <x:c r="U2512" s="47" t="n">
        <x:v>0.2</x:v>
      </x:c>
      <x:c r="V2512" s="54" t="str">
        <x:f>IF(ISNUMBER(T2512),T2512*(1+U2512),"")</x:f>
      </x:c>
      <x:c r="W2512" s="47" t="n">
        <x:v>0.3</x:v>
      </x:c>
      <x:c r="X2512" s="54" t="str">
        <x:f>IF(ISNUMBER(V2512),V2512/(1-W2512),"")</x:f>
      </x:c>
      <x:c r="Y2512" s="55" t="str">
        <x:f>IF(ISNUMBER(X2512),ROUNDUP(X2512,0),"")</x:f>
      </x:c>
      <x:c r="Z2512" t="str">
        <x:f>IF(ISNUMBER(T2512),"Cost captured","Awaiting trade cost")</x:f>
        <x:v>Awaiting trade cost</x:v>
      </x:c>
      <x:c r="AB2512" s="36" t="str">
        <x:f>IF(ISNUMBER(Y2512),ROUND(Y2512*0.9,2),"")</x:f>
      </x:c>
      <x:c r="AC2512" s="36" t="str">
        <x:f>IF(ISNUMBER(AB2512),ROUND(AB2512-(AB2512*0.015+0.2)-V2512,2),"")</x:f>
      </x:c>
      <x:c r="AD2512" s="36" t="str">
        <x:f>IF(ISNUMBER(Y2512),ROUND(Y2512*0.8,2),"")</x:f>
      </x:c>
      <x:c r="AE2512" s="36" t="str">
        <x:f>IF(ISNUMBER(AD2512),ROUND(AD2512*0.015+0.2,2),"")</x:f>
      </x:c>
      <x:c r="AF2512" s="36" t="str">
        <x:f>IF(ISNUMBER(AD2512),ROUND(AD2512-AE2512-V2512,2),"")</x:f>
      </x:c>
      <x:c r="AG2512" t="str">
        <x:f>IF(NOT(ISNUMBER(T2512)),"PENDING",IF(AF2512&gt;0,"PASS","FAIL"))</x:f>
        <x:v>PENDING</x:v>
      </x:c>
      <x:c r="AH2512" t="str">
        <x:f>IF(NOT(ISNUMBER(T2512)),"Needs supplier cost",IF(K2512&lt;&gt;"In stock","Supplier unavailable",IF(AG2512&lt;&gt;"PASS","BLOCK - GT loss risk","Commercially protected")))</x:f>
        <x:v>Needs supplier cost</x:v>
      </x:c>
      <x:c r="AI2512" t="str">
        <x:v>2026-09-10 Active Sports trade capture</x:v>
      </x:c>
      <x:c r="AJ2512" t="str">
        <x:v>Management-only economics. Stripe stress test uses 1.5% + £0.20 standard UK online-card fee; pallet/mix-and-match pricing ignored.</x:v>
      </x:c>
    </x:row>
    <x:row r="2513">
      <x:c r="A2513" t="str">
        <x:v>Active Sports Nutrition</x:v>
      </x:c>
      <x:c r="B2513" t="str">
        <x:v>NXT Nutrition</x:v>
      </x:c>
      <x:c r="C2513" t="str">
        <x:v>TNT Nuclear PRE</x:v>
      </x:c>
      <x:c r="D2513" t="str">
        <x:v>Pre Workouts</x:v>
      </x:c>
      <x:c r="E2513" t="str">
        <x:v>High Stim</x:v>
      </x:c>
      <x:c r="F2513" t="str"/>
      <x:c r="G2513" t="str">
        <x:v>420g</x:v>
      </x:c>
      <x:c r="H2513" t="str">
        <x:v>Cola Bottles</x:v>
      </x:c>
      <x:c r="I2513" t="str"/>
      <x:c r="J2513" t="str">
        <x:v>Unit</x:v>
      </x:c>
      <x:c r="K2513" t="str">
        <x:v>In stock</x:v>
      </x:c>
      <x:c r="L2513" t="str">
        <x:v>2026-09-08</x:v>
      </x:c>
      <x:c r="M2513" t="str"/>
      <x:c r="N2513" t="str"/>
      <x:c r="O2513" t="str">
        <x:v>https://www.activesportstrade.co.uk/nxt-nutrition-trade</x:v>
      </x:c>
      <x:c r="P2513" t="str"/>
      <x:c r="Q2513" t="str"/>
      <x:c r="R2513" t="str"/>
      <x:c r="S2513" t="str">
        <x:v>Pending genuine supplier/brand image</x:v>
      </x:c>
      <x:c r="T2513" s="54"/>
      <x:c r="U2513" s="47" t="n">
        <x:v>0.2</x:v>
      </x:c>
      <x:c r="V2513" s="54" t="str">
        <x:f>IF(ISNUMBER(T2513),T2513*(1+U2513),"")</x:f>
      </x:c>
      <x:c r="W2513" s="47" t="n">
        <x:v>0.3</x:v>
      </x:c>
      <x:c r="X2513" s="54" t="str">
        <x:f>IF(ISNUMBER(V2513),V2513/(1-W2513),"")</x:f>
      </x:c>
      <x:c r="Y2513" s="55" t="str">
        <x:f>IF(ISNUMBER(X2513),ROUNDUP(X2513,0),"")</x:f>
      </x:c>
      <x:c r="Z2513" t="str">
        <x:f>IF(ISNUMBER(T2513),"Cost captured","Awaiting trade cost")</x:f>
        <x:v>Awaiting trade cost</x:v>
      </x:c>
      <x:c r="AB2513" s="36" t="str">
        <x:f>IF(ISNUMBER(Y2513),ROUND(Y2513*0.9,2),"")</x:f>
      </x:c>
      <x:c r="AC2513" s="36" t="str">
        <x:f>IF(ISNUMBER(AB2513),ROUND(AB2513-(AB2513*0.015+0.2)-V2513,2),"")</x:f>
      </x:c>
      <x:c r="AD2513" s="36" t="str">
        <x:f>IF(ISNUMBER(Y2513),ROUND(Y2513*0.8,2),"")</x:f>
      </x:c>
      <x:c r="AE2513" s="36" t="str">
        <x:f>IF(ISNUMBER(AD2513),ROUND(AD2513*0.015+0.2,2),"")</x:f>
      </x:c>
      <x:c r="AF2513" s="36" t="str">
        <x:f>IF(ISNUMBER(AD2513),ROUND(AD2513-AE2513-V2513,2),"")</x:f>
      </x:c>
      <x:c r="AG2513" t="str">
        <x:f>IF(NOT(ISNUMBER(T2513)),"PENDING",IF(AF2513&gt;0,"PASS","FAIL"))</x:f>
        <x:v>PENDING</x:v>
      </x:c>
      <x:c r="AH2513" t="str">
        <x:f>IF(NOT(ISNUMBER(T2513)),"Needs supplier cost",IF(K2513&lt;&gt;"In stock","Supplier unavailable",IF(AG2513&lt;&gt;"PASS","BLOCK - GT loss risk","Commercially protected")))</x:f>
        <x:v>Needs supplier cost</x:v>
      </x:c>
      <x:c r="AI2513" t="str">
        <x:v>2026-09-10 Active Sports trade capture</x:v>
      </x:c>
      <x:c r="AJ2513" t="str">
        <x:v>Management-only economics. Stripe stress test uses 1.5% + £0.20 standard UK online-card fee; pallet/mix-and-match pricing ignored.</x:v>
      </x:c>
    </x:row>
    <x:row r="2514">
      <x:c r="A2514" t="str">
        <x:v>Active Sports Nutrition</x:v>
      </x:c>
      <x:c r="B2514" t="str">
        <x:v>NXT Nutrition</x:v>
      </x:c>
      <x:c r="C2514" t="str">
        <x:v>TNT Nuclear PRE</x:v>
      </x:c>
      <x:c r="D2514" t="str">
        <x:v>Pre Workouts</x:v>
      </x:c>
      <x:c r="E2514" t="str">
        <x:v>High Stim</x:v>
      </x:c>
      <x:c r="F2514" t="str"/>
      <x:c r="G2514" t="str">
        <x:v>420g</x:v>
      </x:c>
      <x:c r="H2514" t="str">
        <x:v>Ice Burst</x:v>
      </x:c>
      <x:c r="I2514" t="str"/>
      <x:c r="J2514" t="str">
        <x:v>Unit</x:v>
      </x:c>
      <x:c r="K2514" t="str">
        <x:v>In stock</x:v>
      </x:c>
      <x:c r="L2514" t="str">
        <x:v>2026-09-08</x:v>
      </x:c>
      <x:c r="M2514" t="str"/>
      <x:c r="N2514" t="str"/>
      <x:c r="O2514" t="str">
        <x:v>https://www.activesportstrade.co.uk/nxt-nutrition-trade</x:v>
      </x:c>
      <x:c r="P2514" t="str"/>
      <x:c r="Q2514" t="str"/>
      <x:c r="R2514" t="str"/>
      <x:c r="S2514" t="str">
        <x:v>Pending genuine supplier/brand image</x:v>
      </x:c>
      <x:c r="T2514" s="54"/>
      <x:c r="U2514" s="47" t="n">
        <x:v>0.2</x:v>
      </x:c>
      <x:c r="V2514" s="54" t="str">
        <x:f>IF(ISNUMBER(T2514),T2514*(1+U2514),"")</x:f>
      </x:c>
      <x:c r="W2514" s="47" t="n">
        <x:v>0.3</x:v>
      </x:c>
      <x:c r="X2514" s="54" t="str">
        <x:f>IF(ISNUMBER(V2514),V2514/(1-W2514),"")</x:f>
      </x:c>
      <x:c r="Y2514" s="55" t="str">
        <x:f>IF(ISNUMBER(X2514),ROUNDUP(X2514,0),"")</x:f>
      </x:c>
      <x:c r="Z2514" t="str">
        <x:f>IF(ISNUMBER(T2514),"Cost captured","Awaiting trade cost")</x:f>
        <x:v>Awaiting trade cost</x:v>
      </x:c>
      <x:c r="AB2514" s="36" t="str">
        <x:f>IF(ISNUMBER(Y2514),ROUND(Y2514*0.9,2),"")</x:f>
      </x:c>
      <x:c r="AC2514" s="36" t="str">
        <x:f>IF(ISNUMBER(AB2514),ROUND(AB2514-(AB2514*0.015+0.2)-V2514,2),"")</x:f>
      </x:c>
      <x:c r="AD2514" s="36" t="str">
        <x:f>IF(ISNUMBER(Y2514),ROUND(Y2514*0.8,2),"")</x:f>
      </x:c>
      <x:c r="AE2514" s="36" t="str">
        <x:f>IF(ISNUMBER(AD2514),ROUND(AD2514*0.015+0.2,2),"")</x:f>
      </x:c>
      <x:c r="AF2514" s="36" t="str">
        <x:f>IF(ISNUMBER(AD2514),ROUND(AD2514-AE2514-V2514,2),"")</x:f>
      </x:c>
      <x:c r="AG2514" t="str">
        <x:f>IF(NOT(ISNUMBER(T2514)),"PENDING",IF(AF2514&gt;0,"PASS","FAIL"))</x:f>
        <x:v>PENDING</x:v>
      </x:c>
      <x:c r="AH2514" t="str">
        <x:f>IF(NOT(ISNUMBER(T2514)),"Needs supplier cost",IF(K2514&lt;&gt;"In stock","Supplier unavailable",IF(AG2514&lt;&gt;"PASS","BLOCK - GT loss risk","Commercially protected")))</x:f>
        <x:v>Needs supplier cost</x:v>
      </x:c>
      <x:c r="AI2514" t="str">
        <x:v>2026-09-10 Active Sports trade capture</x:v>
      </x:c>
      <x:c r="AJ2514" t="str">
        <x:v>Management-only economics. Stripe stress test uses 1.5% + £0.20 standard UK online-card fee; pallet/mix-and-match pricing ignored.</x:v>
      </x:c>
    </x:row>
    <x:row r="2515">
      <x:c r="A2515" t="str">
        <x:v>Active Sports Nutrition</x:v>
      </x:c>
      <x:c r="B2515" t="str">
        <x:v>NXT Nutrition</x:v>
      </x:c>
      <x:c r="C2515" t="str">
        <x:v>TNT Nuclear PRE</x:v>
      </x:c>
      <x:c r="D2515" t="str">
        <x:v>Pre Workouts</x:v>
      </x:c>
      <x:c r="E2515" t="str">
        <x:v>High Stim</x:v>
      </x:c>
      <x:c r="F2515" t="str"/>
      <x:c r="G2515" t="str">
        <x:v>420g</x:v>
      </x:c>
      <x:c r="H2515" t="str">
        <x:v>Icy Blue Razz</x:v>
      </x:c>
      <x:c r="I2515" t="str"/>
      <x:c r="J2515" t="str">
        <x:v>Unit</x:v>
      </x:c>
      <x:c r="K2515" t="str">
        <x:v>In stock</x:v>
      </x:c>
      <x:c r="L2515" t="str">
        <x:v>2026-09-08</x:v>
      </x:c>
      <x:c r="M2515" t="str"/>
      <x:c r="N2515" t="str"/>
      <x:c r="O2515" t="str">
        <x:v>https://www.activesportstrade.co.uk/nxt-nutrition-trade</x:v>
      </x:c>
      <x:c r="P2515" t="str"/>
      <x:c r="Q2515" t="str"/>
      <x:c r="R2515" t="str"/>
      <x:c r="S2515" t="str">
        <x:v>Pending genuine supplier/brand image</x:v>
      </x:c>
      <x:c r="T2515" s="54"/>
      <x:c r="U2515" s="47" t="n">
        <x:v>0.2</x:v>
      </x:c>
      <x:c r="V2515" s="54" t="str">
        <x:f>IF(ISNUMBER(T2515),T2515*(1+U2515),"")</x:f>
      </x:c>
      <x:c r="W2515" s="47" t="n">
        <x:v>0.3</x:v>
      </x:c>
      <x:c r="X2515" s="54" t="str">
        <x:f>IF(ISNUMBER(V2515),V2515/(1-W2515),"")</x:f>
      </x:c>
      <x:c r="Y2515" s="55" t="str">
        <x:f>IF(ISNUMBER(X2515),ROUNDUP(X2515,0),"")</x:f>
      </x:c>
      <x:c r="Z2515" t="str">
        <x:f>IF(ISNUMBER(T2515),"Cost captured","Awaiting trade cost")</x:f>
        <x:v>Awaiting trade cost</x:v>
      </x:c>
      <x:c r="AB2515" s="36" t="str">
        <x:f>IF(ISNUMBER(Y2515),ROUND(Y2515*0.9,2),"")</x:f>
      </x:c>
      <x:c r="AC2515" s="36" t="str">
        <x:f>IF(ISNUMBER(AB2515),ROUND(AB2515-(AB2515*0.015+0.2)-V2515,2),"")</x:f>
      </x:c>
      <x:c r="AD2515" s="36" t="str">
        <x:f>IF(ISNUMBER(Y2515),ROUND(Y2515*0.8,2),"")</x:f>
      </x:c>
      <x:c r="AE2515" s="36" t="str">
        <x:f>IF(ISNUMBER(AD2515),ROUND(AD2515*0.015+0.2,2),"")</x:f>
      </x:c>
      <x:c r="AF2515" s="36" t="str">
        <x:f>IF(ISNUMBER(AD2515),ROUND(AD2515-AE2515-V2515,2),"")</x:f>
      </x:c>
      <x:c r="AG2515" t="str">
        <x:f>IF(NOT(ISNUMBER(T2515)),"PENDING",IF(AF2515&gt;0,"PASS","FAIL"))</x:f>
        <x:v>PENDING</x:v>
      </x:c>
      <x:c r="AH2515" t="str">
        <x:f>IF(NOT(ISNUMBER(T2515)),"Needs supplier cost",IF(K2515&lt;&gt;"In stock","Supplier unavailable",IF(AG2515&lt;&gt;"PASS","BLOCK - GT loss risk","Commercially protected")))</x:f>
        <x:v>Needs supplier cost</x:v>
      </x:c>
      <x:c r="AI2515" t="str">
        <x:v>2026-09-10 Active Sports trade capture</x:v>
      </x:c>
      <x:c r="AJ2515" t="str">
        <x:v>Management-only economics. Stripe stress test uses 1.5% + £0.20 standard UK online-card fee; pallet/mix-and-match pricing ignored.</x:v>
      </x:c>
    </x:row>
    <x:row r="2516">
      <x:c r="A2516" t="str">
        <x:v>Active Sports Nutrition</x:v>
      </x:c>
      <x:c r="B2516" t="str">
        <x:v>NXT Nutrition</x:v>
      </x:c>
      <x:c r="C2516" t="str">
        <x:v>TNT Nuclear PRE</x:v>
      </x:c>
      <x:c r="D2516" t="str">
        <x:v>Pre Workouts</x:v>
      </x:c>
      <x:c r="E2516" t="str">
        <x:v>High Stim</x:v>
      </x:c>
      <x:c r="F2516" t="str"/>
      <x:c r="G2516" t="str">
        <x:v>420g</x:v>
      </x:c>
      <x:c r="H2516" t="str">
        <x:v>Kiwi Lime Twist</x:v>
      </x:c>
      <x:c r="I2516" t="str"/>
      <x:c r="J2516" t="str">
        <x:v>Unit</x:v>
      </x:c>
      <x:c r="K2516" t="str">
        <x:v>In stock</x:v>
      </x:c>
      <x:c r="L2516" t="str">
        <x:v>2026-09-08</x:v>
      </x:c>
      <x:c r="M2516" t="str"/>
      <x:c r="N2516" t="str"/>
      <x:c r="O2516" t="str">
        <x:v>https://www.activesportstrade.co.uk/nxt-nutrition-trade</x:v>
      </x:c>
      <x:c r="P2516" t="str"/>
      <x:c r="Q2516" t="str"/>
      <x:c r="R2516" t="str"/>
      <x:c r="S2516" t="str">
        <x:v>Pending genuine supplier/brand image</x:v>
      </x:c>
      <x:c r="T2516" s="54"/>
      <x:c r="U2516" s="47" t="n">
        <x:v>0.2</x:v>
      </x:c>
      <x:c r="V2516" s="54" t="str">
        <x:f>IF(ISNUMBER(T2516),T2516*(1+U2516),"")</x:f>
      </x:c>
      <x:c r="W2516" s="47" t="n">
        <x:v>0.3</x:v>
      </x:c>
      <x:c r="X2516" s="54" t="str">
        <x:f>IF(ISNUMBER(V2516),V2516/(1-W2516),"")</x:f>
      </x:c>
      <x:c r="Y2516" s="55" t="str">
        <x:f>IF(ISNUMBER(X2516),ROUNDUP(X2516,0),"")</x:f>
      </x:c>
      <x:c r="Z2516" t="str">
        <x:f>IF(ISNUMBER(T2516),"Cost captured","Awaiting trade cost")</x:f>
        <x:v>Awaiting trade cost</x:v>
      </x:c>
      <x:c r="AB2516" s="36" t="str">
        <x:f>IF(ISNUMBER(Y2516),ROUND(Y2516*0.9,2),"")</x:f>
      </x:c>
      <x:c r="AC2516" s="36" t="str">
        <x:f>IF(ISNUMBER(AB2516),ROUND(AB2516-(AB2516*0.015+0.2)-V2516,2),"")</x:f>
      </x:c>
      <x:c r="AD2516" s="36" t="str">
        <x:f>IF(ISNUMBER(Y2516),ROUND(Y2516*0.8,2),"")</x:f>
      </x:c>
      <x:c r="AE2516" s="36" t="str">
        <x:f>IF(ISNUMBER(AD2516),ROUND(AD2516*0.015+0.2,2),"")</x:f>
      </x:c>
      <x:c r="AF2516" s="36" t="str">
        <x:f>IF(ISNUMBER(AD2516),ROUND(AD2516-AE2516-V2516,2),"")</x:f>
      </x:c>
      <x:c r="AG2516" t="str">
        <x:f>IF(NOT(ISNUMBER(T2516)),"PENDING",IF(AF2516&gt;0,"PASS","FAIL"))</x:f>
        <x:v>PENDING</x:v>
      </x:c>
      <x:c r="AH2516" t="str">
        <x:f>IF(NOT(ISNUMBER(T2516)),"Needs supplier cost",IF(K2516&lt;&gt;"In stock","Supplier unavailable",IF(AG2516&lt;&gt;"PASS","BLOCK - GT loss risk","Commercially protected")))</x:f>
        <x:v>Needs supplier cost</x:v>
      </x:c>
      <x:c r="AI2516" t="str">
        <x:v>2026-09-10 Active Sports trade capture</x:v>
      </x:c>
      <x:c r="AJ2516" t="str">
        <x:v>Management-only economics. Stripe stress test uses 1.5% + £0.20 standard UK online-card fee; pallet/mix-and-match pricing ignored.</x:v>
      </x:c>
    </x:row>
    <x:row r="2517">
      <x:c r="A2517" t="str">
        <x:v>Active Sports Nutrition</x:v>
      </x:c>
      <x:c r="B2517" t="str">
        <x:v>NXT Nutrition</x:v>
      </x:c>
      <x:c r="C2517" t="str">
        <x:v>TNT Nuclear PRE</x:v>
      </x:c>
      <x:c r="D2517" t="str">
        <x:v>Pre Workouts</x:v>
      </x:c>
      <x:c r="E2517" t="str">
        <x:v>High Stim</x:v>
      </x:c>
      <x:c r="F2517" t="str"/>
      <x:c r="G2517" t="str">
        <x:v>420g</x:v>
      </x:c>
      <x:c r="H2517" t="str">
        <x:v>Mixed Candy</x:v>
      </x:c>
      <x:c r="I2517" t="str"/>
      <x:c r="J2517" t="str">
        <x:v>Unit</x:v>
      </x:c>
      <x:c r="K2517" t="str">
        <x:v>In stock</x:v>
      </x:c>
      <x:c r="L2517" t="str">
        <x:v>2026-09-08</x:v>
      </x:c>
      <x:c r="M2517" t="str"/>
      <x:c r="N2517" t="str"/>
      <x:c r="O2517" t="str">
        <x:v>https://www.activesportstrade.co.uk/nxt-nutrition-trade</x:v>
      </x:c>
      <x:c r="P2517" t="str"/>
      <x:c r="Q2517" t="str"/>
      <x:c r="R2517" t="str"/>
      <x:c r="S2517" t="str">
        <x:v>Pending genuine supplier/brand image</x:v>
      </x:c>
      <x:c r="T2517" s="54"/>
      <x:c r="U2517" s="47" t="n">
        <x:v>0.2</x:v>
      </x:c>
      <x:c r="V2517" s="54" t="str">
        <x:f>IF(ISNUMBER(T2517),T2517*(1+U2517),"")</x:f>
      </x:c>
      <x:c r="W2517" s="47" t="n">
        <x:v>0.3</x:v>
      </x:c>
      <x:c r="X2517" s="54" t="str">
        <x:f>IF(ISNUMBER(V2517),V2517/(1-W2517),"")</x:f>
      </x:c>
      <x:c r="Y2517" s="55" t="str">
        <x:f>IF(ISNUMBER(X2517),ROUNDUP(X2517,0),"")</x:f>
      </x:c>
      <x:c r="Z2517" t="str">
        <x:f>IF(ISNUMBER(T2517),"Cost captured","Awaiting trade cost")</x:f>
        <x:v>Awaiting trade cost</x:v>
      </x:c>
      <x:c r="AB2517" s="36" t="str">
        <x:f>IF(ISNUMBER(Y2517),ROUND(Y2517*0.9,2),"")</x:f>
      </x:c>
      <x:c r="AC2517" s="36" t="str">
        <x:f>IF(ISNUMBER(AB2517),ROUND(AB2517-(AB2517*0.015+0.2)-V2517,2),"")</x:f>
      </x:c>
      <x:c r="AD2517" s="36" t="str">
        <x:f>IF(ISNUMBER(Y2517),ROUND(Y2517*0.8,2),"")</x:f>
      </x:c>
      <x:c r="AE2517" s="36" t="str">
        <x:f>IF(ISNUMBER(AD2517),ROUND(AD2517*0.015+0.2,2),"")</x:f>
      </x:c>
      <x:c r="AF2517" s="36" t="str">
        <x:f>IF(ISNUMBER(AD2517),ROUND(AD2517-AE2517-V2517,2),"")</x:f>
      </x:c>
      <x:c r="AG2517" t="str">
        <x:f>IF(NOT(ISNUMBER(T2517)),"PENDING",IF(AF2517&gt;0,"PASS","FAIL"))</x:f>
        <x:v>PENDING</x:v>
      </x:c>
      <x:c r="AH2517" t="str">
        <x:f>IF(NOT(ISNUMBER(T2517)),"Needs supplier cost",IF(K2517&lt;&gt;"In stock","Supplier unavailable",IF(AG2517&lt;&gt;"PASS","BLOCK - GT loss risk","Commercially protected")))</x:f>
        <x:v>Needs supplier cost</x:v>
      </x:c>
      <x:c r="AI2517" t="str">
        <x:v>2026-09-10 Active Sports trade capture</x:v>
      </x:c>
      <x:c r="AJ2517" t="str">
        <x:v>Management-only economics. Stripe stress test uses 1.5% + £0.20 standard UK online-card fee; pallet/mix-and-match pricing ignored.</x:v>
      </x:c>
    </x:row>
    <x:row r="2518">
      <x:c r="A2518" t="str">
        <x:v>Active Sports Nutrition</x:v>
      </x:c>
      <x:c r="B2518" t="str">
        <x:v>NXT Nutrition</x:v>
      </x:c>
      <x:c r="C2518" t="str">
        <x:v>TNT Nuclear PRE</x:v>
      </x:c>
      <x:c r="D2518" t="str">
        <x:v>Pre Workouts</x:v>
      </x:c>
      <x:c r="E2518" t="str">
        <x:v>High Stim</x:v>
      </x:c>
      <x:c r="F2518" t="str"/>
      <x:c r="G2518" t="str">
        <x:v>420g</x:v>
      </x:c>
      <x:c r="H2518" t="str">
        <x:v>Pineapple Cooler</x:v>
      </x:c>
      <x:c r="I2518" t="str"/>
      <x:c r="J2518" t="str">
        <x:v>Unit</x:v>
      </x:c>
      <x:c r="K2518" t="str">
        <x:v>In stock</x:v>
      </x:c>
      <x:c r="L2518" t="str">
        <x:v>2026-09-08</x:v>
      </x:c>
      <x:c r="M2518" t="str"/>
      <x:c r="N2518" t="str"/>
      <x:c r="O2518" t="str">
        <x:v>https://www.activesportstrade.co.uk/nxt-nutrition-trade</x:v>
      </x:c>
      <x:c r="P2518" t="str"/>
      <x:c r="Q2518" t="str"/>
      <x:c r="R2518" t="str"/>
      <x:c r="S2518" t="str">
        <x:v>Pending genuine supplier/brand image</x:v>
      </x:c>
      <x:c r="T2518" s="54"/>
      <x:c r="U2518" s="47" t="n">
        <x:v>0.2</x:v>
      </x:c>
      <x:c r="V2518" s="54" t="str">
        <x:f>IF(ISNUMBER(T2518),T2518*(1+U2518),"")</x:f>
      </x:c>
      <x:c r="W2518" s="47" t="n">
        <x:v>0.3</x:v>
      </x:c>
      <x:c r="X2518" s="54" t="str">
        <x:f>IF(ISNUMBER(V2518),V2518/(1-W2518),"")</x:f>
      </x:c>
      <x:c r="Y2518" s="55" t="str">
        <x:f>IF(ISNUMBER(X2518),ROUNDUP(X2518,0),"")</x:f>
      </x:c>
      <x:c r="Z2518" t="str">
        <x:f>IF(ISNUMBER(T2518),"Cost captured","Awaiting trade cost")</x:f>
        <x:v>Awaiting trade cost</x:v>
      </x:c>
      <x:c r="AB2518" s="36" t="str">
        <x:f>IF(ISNUMBER(Y2518),ROUND(Y2518*0.9,2),"")</x:f>
      </x:c>
      <x:c r="AC2518" s="36" t="str">
        <x:f>IF(ISNUMBER(AB2518),ROUND(AB2518-(AB2518*0.015+0.2)-V2518,2),"")</x:f>
      </x:c>
      <x:c r="AD2518" s="36" t="str">
        <x:f>IF(ISNUMBER(Y2518),ROUND(Y2518*0.8,2),"")</x:f>
      </x:c>
      <x:c r="AE2518" s="36" t="str">
        <x:f>IF(ISNUMBER(AD2518),ROUND(AD2518*0.015+0.2,2),"")</x:f>
      </x:c>
      <x:c r="AF2518" s="36" t="str">
        <x:f>IF(ISNUMBER(AD2518),ROUND(AD2518-AE2518-V2518,2),"")</x:f>
      </x:c>
      <x:c r="AG2518" t="str">
        <x:f>IF(NOT(ISNUMBER(T2518)),"PENDING",IF(AF2518&gt;0,"PASS","FAIL"))</x:f>
        <x:v>PENDING</x:v>
      </x:c>
      <x:c r="AH2518" t="str">
        <x:f>IF(NOT(ISNUMBER(T2518)),"Needs supplier cost",IF(K2518&lt;&gt;"In stock","Supplier unavailable",IF(AG2518&lt;&gt;"PASS","BLOCK - GT loss risk","Commercially protected")))</x:f>
        <x:v>Needs supplier cost</x:v>
      </x:c>
      <x:c r="AI2518" t="str">
        <x:v>2026-09-10 Active Sports trade capture</x:v>
      </x:c>
      <x:c r="AJ2518" t="str">
        <x:v>Management-only economics. Stripe stress test uses 1.5% + £0.20 standard UK online-card fee; pallet/mix-and-match pricing ignored.</x:v>
      </x:c>
    </x:row>
    <x:row r="2519">
      <x:c r="A2519" t="str">
        <x:v>Active Sports Nutrition</x:v>
      </x:c>
      <x:c r="B2519" t="str">
        <x:v>NXT Nutrition</x:v>
      </x:c>
      <x:c r="C2519" t="str">
        <x:v>TNT Nuclear PRE</x:v>
      </x:c>
      <x:c r="D2519" t="str">
        <x:v>Pre Workouts</x:v>
      </x:c>
      <x:c r="E2519" t="str">
        <x:v>High Stim</x:v>
      </x:c>
      <x:c r="F2519" t="str"/>
      <x:c r="G2519" t="str">
        <x:v>420g</x:v>
      </x:c>
      <x:c r="H2519" t="str">
        <x:v>Strawberry Lime Crush</x:v>
      </x:c>
      <x:c r="I2519" t="str"/>
      <x:c r="J2519" t="str">
        <x:v>Unit</x:v>
      </x:c>
      <x:c r="K2519" t="str">
        <x:v>Out of stock</x:v>
      </x:c>
      <x:c r="L2519" t="str">
        <x:v>2026-09-08</x:v>
      </x:c>
      <x:c r="M2519" t="str"/>
      <x:c r="N2519" t="str"/>
      <x:c r="O2519" t="str">
        <x:v>https://www.activesportstrade.co.uk/nxt-nutrition-trade</x:v>
      </x:c>
      <x:c r="P2519" t="str"/>
      <x:c r="Q2519" t="str"/>
      <x:c r="R2519" t="str"/>
      <x:c r="S2519" t="str">
        <x:v>Pending genuine supplier/brand image</x:v>
      </x:c>
      <x:c r="T2519" s="54"/>
      <x:c r="U2519" s="47" t="n">
        <x:v>0.2</x:v>
      </x:c>
      <x:c r="V2519" s="54" t="str">
        <x:f>IF(ISNUMBER(T2519),T2519*(1+U2519),"")</x:f>
      </x:c>
      <x:c r="W2519" s="47" t="n">
        <x:v>0.3</x:v>
      </x:c>
      <x:c r="X2519" s="54" t="str">
        <x:f>IF(ISNUMBER(V2519),V2519/(1-W2519),"")</x:f>
      </x:c>
      <x:c r="Y2519" s="55" t="str">
        <x:f>IF(ISNUMBER(X2519),ROUNDUP(X2519,0),"")</x:f>
      </x:c>
      <x:c r="Z2519" t="str">
        <x:f>IF(ISNUMBER(T2519),"Cost captured","Awaiting trade cost")</x:f>
        <x:v>Awaiting trade cost</x:v>
      </x:c>
      <x:c r="AB2519" s="36" t="str">
        <x:f>IF(ISNUMBER(Y2519),ROUND(Y2519*0.9,2),"")</x:f>
      </x:c>
      <x:c r="AC2519" s="36" t="str">
        <x:f>IF(ISNUMBER(AB2519),ROUND(AB2519-(AB2519*0.015+0.2)-V2519,2),"")</x:f>
      </x:c>
      <x:c r="AD2519" s="36" t="str">
        <x:f>IF(ISNUMBER(Y2519),ROUND(Y2519*0.8,2),"")</x:f>
      </x:c>
      <x:c r="AE2519" s="36" t="str">
        <x:f>IF(ISNUMBER(AD2519),ROUND(AD2519*0.015+0.2,2),"")</x:f>
      </x:c>
      <x:c r="AF2519" s="36" t="str">
        <x:f>IF(ISNUMBER(AD2519),ROUND(AD2519-AE2519-V2519,2),"")</x:f>
      </x:c>
      <x:c r="AG2519" t="str">
        <x:f>IF(NOT(ISNUMBER(T2519)),"PENDING",IF(AF2519&gt;0,"PASS","FAIL"))</x:f>
        <x:v>PENDING</x:v>
      </x:c>
      <x:c r="AH2519" t="str">
        <x:f>IF(NOT(ISNUMBER(T2519)),"Needs supplier cost",IF(K2519&lt;&gt;"In stock","Supplier unavailable",IF(AG2519&lt;&gt;"PASS","BLOCK - GT loss risk","Commercially protected")))</x:f>
        <x:v>Needs supplier cost</x:v>
      </x:c>
      <x:c r="AI2519" t="str">
        <x:v>2026-09-10 Active Sports trade capture</x:v>
      </x:c>
      <x:c r="AJ2519" t="str">
        <x:v>Management-only economics. Stripe stress test uses 1.5% + £0.20 standard UK online-card fee; pallet/mix-and-match pricing ignored.</x:v>
      </x:c>
    </x:row>
    <x:row r="2520">
      <x:c r="A2520" t="str">
        <x:v>Active Sports Nutrition</x:v>
      </x:c>
      <x:c r="B2520" t="str">
        <x:v>NXT Nutrition</x:v>
      </x:c>
      <x:c r="C2520" t="str">
        <x:v>TNT Nuclear PRE</x:v>
      </x:c>
      <x:c r="D2520" t="str">
        <x:v>Pre Workouts</x:v>
      </x:c>
      <x:c r="E2520" t="str">
        <x:v>High Stim</x:v>
      </x:c>
      <x:c r="F2520" t="str"/>
      <x:c r="G2520" t="str">
        <x:v>420g</x:v>
      </x:c>
      <x:c r="H2520" t="str">
        <x:v>Watermelon &amp; Strawberry</x:v>
      </x:c>
      <x:c r="I2520" t="str"/>
      <x:c r="J2520" t="str">
        <x:v>Unit</x:v>
      </x:c>
      <x:c r="K2520" t="str">
        <x:v>In stock</x:v>
      </x:c>
      <x:c r="L2520" t="str">
        <x:v>2026-09-08</x:v>
      </x:c>
      <x:c r="M2520" t="str"/>
      <x:c r="N2520" t="str"/>
      <x:c r="O2520" t="str">
        <x:v>https://www.activesportstrade.co.uk/nxt-nutrition-trade</x:v>
      </x:c>
      <x:c r="P2520" t="str"/>
      <x:c r="Q2520" t="str"/>
      <x:c r="R2520" t="str"/>
      <x:c r="S2520" t="str">
        <x:v>Pending genuine supplier/brand image</x:v>
      </x:c>
      <x:c r="T2520" s="54"/>
      <x:c r="U2520" s="47" t="n">
        <x:v>0.2</x:v>
      </x:c>
      <x:c r="V2520" s="54" t="str">
        <x:f>IF(ISNUMBER(T2520),T2520*(1+U2520),"")</x:f>
      </x:c>
      <x:c r="W2520" s="47" t="n">
        <x:v>0.3</x:v>
      </x:c>
      <x:c r="X2520" s="54" t="str">
        <x:f>IF(ISNUMBER(V2520),V2520/(1-W2520),"")</x:f>
      </x:c>
      <x:c r="Y2520" s="55" t="str">
        <x:f>IF(ISNUMBER(X2520),ROUNDUP(X2520,0),"")</x:f>
      </x:c>
      <x:c r="Z2520" t="str">
        <x:f>IF(ISNUMBER(T2520),"Cost captured","Awaiting trade cost")</x:f>
        <x:v>Awaiting trade cost</x:v>
      </x:c>
      <x:c r="AB2520" s="36" t="str">
        <x:f>IF(ISNUMBER(Y2520),ROUND(Y2520*0.9,2),"")</x:f>
      </x:c>
      <x:c r="AC2520" s="36" t="str">
        <x:f>IF(ISNUMBER(AB2520),ROUND(AB2520-(AB2520*0.015+0.2)-V2520,2),"")</x:f>
      </x:c>
      <x:c r="AD2520" s="36" t="str">
        <x:f>IF(ISNUMBER(Y2520),ROUND(Y2520*0.8,2),"")</x:f>
      </x:c>
      <x:c r="AE2520" s="36" t="str">
        <x:f>IF(ISNUMBER(AD2520),ROUND(AD2520*0.015+0.2,2),"")</x:f>
      </x:c>
      <x:c r="AF2520" s="36" t="str">
        <x:f>IF(ISNUMBER(AD2520),ROUND(AD2520-AE2520-V2520,2),"")</x:f>
      </x:c>
      <x:c r="AG2520" t="str">
        <x:f>IF(NOT(ISNUMBER(T2520)),"PENDING",IF(AF2520&gt;0,"PASS","FAIL"))</x:f>
        <x:v>PENDING</x:v>
      </x:c>
      <x:c r="AH2520" t="str">
        <x:f>IF(NOT(ISNUMBER(T2520)),"Needs supplier cost",IF(K2520&lt;&gt;"In stock","Supplier unavailable",IF(AG2520&lt;&gt;"PASS","BLOCK - GT loss risk","Commercially protected")))</x:f>
        <x:v>Needs supplier cost</x:v>
      </x:c>
      <x:c r="AI2520" t="str">
        <x:v>2026-09-10 Active Sports trade capture</x:v>
      </x:c>
      <x:c r="AJ2520" t="str">
        <x:v>Management-only economics. Stripe stress test uses 1.5% + £0.20 standard UK online-card fee; pallet/mix-and-match pricing ignored.</x:v>
      </x:c>
    </x:row>
    <x:row r="2521">
      <x:c r="A2521" t="str">
        <x:v>Active Sports Nutrition</x:v>
      </x:c>
      <x:c r="B2521" t="str">
        <x:v>NXT Nutrition</x:v>
      </x:c>
      <x:c r="C2521" t="str">
        <x:v>TNT Nuclear Pump</x:v>
      </x:c>
      <x:c r="D2521" t="str">
        <x:v>Pre Workouts</x:v>
      </x:c>
      <x:c r="E2521" t="str">
        <x:v>Stim FREE</x:v>
      </x:c>
      <x:c r="F2521" t="str"/>
      <x:c r="G2521" t="str">
        <x:v>500g</x:v>
      </x:c>
      <x:c r="H2521" t="str">
        <x:v>Fizzy Cola Bottles</x:v>
      </x:c>
      <x:c r="I2521" t="str"/>
      <x:c r="J2521" t="str">
        <x:v>Unit</x:v>
      </x:c>
      <x:c r="K2521" t="str">
        <x:v>In stock</x:v>
      </x:c>
      <x:c r="L2521" t="str">
        <x:v>2026-09-08</x:v>
      </x:c>
      <x:c r="M2521" t="str"/>
      <x:c r="N2521" t="str"/>
      <x:c r="O2521" t="str">
        <x:v>https://www.activesportstrade.co.uk/nxt-nutrition-trade</x:v>
      </x:c>
      <x:c r="P2521" t="str"/>
      <x:c r="Q2521" t="str"/>
      <x:c r="R2521" t="str"/>
      <x:c r="S2521" t="str">
        <x:v>Pending genuine supplier/brand image</x:v>
      </x:c>
      <x:c r="T2521" s="54"/>
      <x:c r="U2521" s="47" t="n">
        <x:v>0.2</x:v>
      </x:c>
      <x:c r="V2521" s="54" t="str">
        <x:f>IF(ISNUMBER(T2521),T2521*(1+U2521),"")</x:f>
      </x:c>
      <x:c r="W2521" s="47" t="n">
        <x:v>0.3</x:v>
      </x:c>
      <x:c r="X2521" s="54" t="str">
        <x:f>IF(ISNUMBER(V2521),V2521/(1-W2521),"")</x:f>
      </x:c>
      <x:c r="Y2521" s="55" t="str">
        <x:f>IF(ISNUMBER(X2521),ROUNDUP(X2521,0),"")</x:f>
      </x:c>
      <x:c r="Z2521" t="str">
        <x:f>IF(ISNUMBER(T2521),"Cost captured","Awaiting trade cost")</x:f>
        <x:v>Awaiting trade cost</x:v>
      </x:c>
      <x:c r="AB2521" s="36" t="str">
        <x:f>IF(ISNUMBER(Y2521),ROUND(Y2521*0.9,2),"")</x:f>
      </x:c>
      <x:c r="AC2521" s="36" t="str">
        <x:f>IF(ISNUMBER(AB2521),ROUND(AB2521-(AB2521*0.015+0.2)-V2521,2),"")</x:f>
      </x:c>
      <x:c r="AD2521" s="36" t="str">
        <x:f>IF(ISNUMBER(Y2521),ROUND(Y2521*0.8,2),"")</x:f>
      </x:c>
      <x:c r="AE2521" s="36" t="str">
        <x:f>IF(ISNUMBER(AD2521),ROUND(AD2521*0.015+0.2,2),"")</x:f>
      </x:c>
      <x:c r="AF2521" s="36" t="str">
        <x:f>IF(ISNUMBER(AD2521),ROUND(AD2521-AE2521-V2521,2),"")</x:f>
      </x:c>
      <x:c r="AG2521" t="str">
        <x:f>IF(NOT(ISNUMBER(T2521)),"PENDING",IF(AF2521&gt;0,"PASS","FAIL"))</x:f>
        <x:v>PENDING</x:v>
      </x:c>
      <x:c r="AH2521" t="str">
        <x:f>IF(NOT(ISNUMBER(T2521)),"Needs supplier cost",IF(K2521&lt;&gt;"In stock","Supplier unavailable",IF(AG2521&lt;&gt;"PASS","BLOCK - GT loss risk","Commercially protected")))</x:f>
        <x:v>Needs supplier cost</x:v>
      </x:c>
      <x:c r="AI2521" t="str">
        <x:v>2026-09-10 Active Sports trade capture</x:v>
      </x:c>
      <x:c r="AJ2521" t="str">
        <x:v>Management-only economics. Stripe stress test uses 1.5% + £0.20 standard UK online-card fee; pallet/mix-and-match pricing ignored.</x:v>
      </x:c>
    </x:row>
    <x:row r="2522">
      <x:c r="A2522" t="str">
        <x:v>Active Sports Nutrition</x:v>
      </x:c>
      <x:c r="B2522" t="str">
        <x:v>NXT Nutrition</x:v>
      </x:c>
      <x:c r="C2522" t="str">
        <x:v>TNT Nuclear Pump</x:v>
      </x:c>
      <x:c r="D2522" t="str">
        <x:v>Pre Workouts</x:v>
      </x:c>
      <x:c r="E2522" t="str">
        <x:v>Stim FREE</x:v>
      </x:c>
      <x:c r="F2522" t="str"/>
      <x:c r="G2522" t="str">
        <x:v>500g</x:v>
      </x:c>
      <x:c r="H2522" t="str">
        <x:v>Ice Burst</x:v>
      </x:c>
      <x:c r="I2522" t="str"/>
      <x:c r="J2522" t="str">
        <x:v>Unit</x:v>
      </x:c>
      <x:c r="K2522" t="str">
        <x:v>In stock</x:v>
      </x:c>
      <x:c r="L2522" t="str">
        <x:v>2026-09-08</x:v>
      </x:c>
      <x:c r="M2522" t="str"/>
      <x:c r="N2522" t="str"/>
      <x:c r="O2522" t="str">
        <x:v>https://www.activesportstrade.co.uk/nxt-nutrition-trade</x:v>
      </x:c>
      <x:c r="P2522" t="str"/>
      <x:c r="Q2522" t="str"/>
      <x:c r="R2522" t="str"/>
      <x:c r="S2522" t="str">
        <x:v>Pending genuine supplier/brand image</x:v>
      </x:c>
      <x:c r="T2522" s="54"/>
      <x:c r="U2522" s="47" t="n">
        <x:v>0.2</x:v>
      </x:c>
      <x:c r="V2522" s="54" t="str">
        <x:f>IF(ISNUMBER(T2522),T2522*(1+U2522),"")</x:f>
      </x:c>
      <x:c r="W2522" s="47" t="n">
        <x:v>0.3</x:v>
      </x:c>
      <x:c r="X2522" s="54" t="str">
        <x:f>IF(ISNUMBER(V2522),V2522/(1-W2522),"")</x:f>
      </x:c>
      <x:c r="Y2522" s="55" t="str">
        <x:f>IF(ISNUMBER(X2522),ROUNDUP(X2522,0),"")</x:f>
      </x:c>
      <x:c r="Z2522" t="str">
        <x:f>IF(ISNUMBER(T2522),"Cost captured","Awaiting trade cost")</x:f>
        <x:v>Awaiting trade cost</x:v>
      </x:c>
      <x:c r="AB2522" s="36" t="str">
        <x:f>IF(ISNUMBER(Y2522),ROUND(Y2522*0.9,2),"")</x:f>
      </x:c>
      <x:c r="AC2522" s="36" t="str">
        <x:f>IF(ISNUMBER(AB2522),ROUND(AB2522-(AB2522*0.015+0.2)-V2522,2),"")</x:f>
      </x:c>
      <x:c r="AD2522" s="36" t="str">
        <x:f>IF(ISNUMBER(Y2522),ROUND(Y2522*0.8,2),"")</x:f>
      </x:c>
      <x:c r="AE2522" s="36" t="str">
        <x:f>IF(ISNUMBER(AD2522),ROUND(AD2522*0.015+0.2,2),"")</x:f>
      </x:c>
      <x:c r="AF2522" s="36" t="str">
        <x:f>IF(ISNUMBER(AD2522),ROUND(AD2522-AE2522-V2522,2),"")</x:f>
      </x:c>
      <x:c r="AG2522" t="str">
        <x:f>IF(NOT(ISNUMBER(T2522)),"PENDING",IF(AF2522&gt;0,"PASS","FAIL"))</x:f>
        <x:v>PENDING</x:v>
      </x:c>
      <x:c r="AH2522" t="str">
        <x:f>IF(NOT(ISNUMBER(T2522)),"Needs supplier cost",IF(K2522&lt;&gt;"In stock","Supplier unavailable",IF(AG2522&lt;&gt;"PASS","BLOCK - GT loss risk","Commercially protected")))</x:f>
        <x:v>Needs supplier cost</x:v>
      </x:c>
      <x:c r="AI2522" t="str">
        <x:v>2026-09-10 Active Sports trade capture</x:v>
      </x:c>
      <x:c r="AJ2522" t="str">
        <x:v>Management-only economics. Stripe stress test uses 1.5% + £0.20 standard UK online-card fee; pallet/mix-and-match pricing ignored.</x:v>
      </x:c>
    </x:row>
    <x:row r="2523">
      <x:c r="A2523" t="str">
        <x:v>Active Sports Nutrition</x:v>
      </x:c>
      <x:c r="B2523" t="str">
        <x:v>NXT Nutrition</x:v>
      </x:c>
      <x:c r="C2523" t="str">
        <x:v>TNT Nuclear Pump</x:v>
      </x:c>
      <x:c r="D2523" t="str">
        <x:v>Pre Workouts</x:v>
      </x:c>
      <x:c r="E2523" t="str">
        <x:v>Stim FREE</x:v>
      </x:c>
      <x:c r="F2523" t="str"/>
      <x:c r="G2523" t="str">
        <x:v>500g</x:v>
      </x:c>
      <x:c r="H2523" t="str">
        <x:v>Icy Blue Razz</x:v>
      </x:c>
      <x:c r="I2523" t="str"/>
      <x:c r="J2523" t="str">
        <x:v>Unit</x:v>
      </x:c>
      <x:c r="K2523" t="str">
        <x:v>In stock</x:v>
      </x:c>
      <x:c r="L2523" t="str">
        <x:v>2026-09-08</x:v>
      </x:c>
      <x:c r="M2523" t="str"/>
      <x:c r="N2523" t="str"/>
      <x:c r="O2523" t="str">
        <x:v>https://www.activesportstrade.co.uk/nxt-nutrition-trade</x:v>
      </x:c>
      <x:c r="P2523" t="str"/>
      <x:c r="Q2523" t="str"/>
      <x:c r="R2523" t="str"/>
      <x:c r="S2523" t="str">
        <x:v>Pending genuine supplier/brand image</x:v>
      </x:c>
      <x:c r="T2523" s="54"/>
      <x:c r="U2523" s="47" t="n">
        <x:v>0.2</x:v>
      </x:c>
      <x:c r="V2523" s="54" t="str">
        <x:f>IF(ISNUMBER(T2523),T2523*(1+U2523),"")</x:f>
      </x:c>
      <x:c r="W2523" s="47" t="n">
        <x:v>0.3</x:v>
      </x:c>
      <x:c r="X2523" s="54" t="str">
        <x:f>IF(ISNUMBER(V2523),V2523/(1-W2523),"")</x:f>
      </x:c>
      <x:c r="Y2523" s="55" t="str">
        <x:f>IF(ISNUMBER(X2523),ROUNDUP(X2523,0),"")</x:f>
      </x:c>
      <x:c r="Z2523" t="str">
        <x:f>IF(ISNUMBER(T2523),"Cost captured","Awaiting trade cost")</x:f>
        <x:v>Awaiting trade cost</x:v>
      </x:c>
      <x:c r="AB2523" s="36" t="str">
        <x:f>IF(ISNUMBER(Y2523),ROUND(Y2523*0.9,2),"")</x:f>
      </x:c>
      <x:c r="AC2523" s="36" t="str">
        <x:f>IF(ISNUMBER(AB2523),ROUND(AB2523-(AB2523*0.015+0.2)-V2523,2),"")</x:f>
      </x:c>
      <x:c r="AD2523" s="36" t="str">
        <x:f>IF(ISNUMBER(Y2523),ROUND(Y2523*0.8,2),"")</x:f>
      </x:c>
      <x:c r="AE2523" s="36" t="str">
        <x:f>IF(ISNUMBER(AD2523),ROUND(AD2523*0.015+0.2,2),"")</x:f>
      </x:c>
      <x:c r="AF2523" s="36" t="str">
        <x:f>IF(ISNUMBER(AD2523),ROUND(AD2523-AE2523-V2523,2),"")</x:f>
      </x:c>
      <x:c r="AG2523" t="str">
        <x:f>IF(NOT(ISNUMBER(T2523)),"PENDING",IF(AF2523&gt;0,"PASS","FAIL"))</x:f>
        <x:v>PENDING</x:v>
      </x:c>
      <x:c r="AH2523" t="str">
        <x:f>IF(NOT(ISNUMBER(T2523)),"Needs supplier cost",IF(K2523&lt;&gt;"In stock","Supplier unavailable",IF(AG2523&lt;&gt;"PASS","BLOCK - GT loss risk","Commercially protected")))</x:f>
        <x:v>Needs supplier cost</x:v>
      </x:c>
      <x:c r="AI2523" t="str">
        <x:v>2026-09-10 Active Sports trade capture</x:v>
      </x:c>
      <x:c r="AJ2523" t="str">
        <x:v>Management-only economics. Stripe stress test uses 1.5% + £0.20 standard UK online-card fee; pallet/mix-and-match pricing ignored.</x:v>
      </x:c>
    </x:row>
    <x:row r="2524">
      <x:c r="A2524" t="str">
        <x:v>Active Sports Nutrition</x:v>
      </x:c>
      <x:c r="B2524" t="str">
        <x:v>NXT Nutrition</x:v>
      </x:c>
      <x:c r="C2524" t="str">
        <x:v>TNT Nuclear Pump</x:v>
      </x:c>
      <x:c r="D2524" t="str">
        <x:v>Pre Workouts</x:v>
      </x:c>
      <x:c r="E2524" t="str">
        <x:v>Stim FREE</x:v>
      </x:c>
      <x:c r="F2524" t="str"/>
      <x:c r="G2524" t="str">
        <x:v>500g</x:v>
      </x:c>
      <x:c r="H2524" t="str">
        <x:v>Pear Drops</x:v>
      </x:c>
      <x:c r="I2524" t="str"/>
      <x:c r="J2524" t="str">
        <x:v>Unit</x:v>
      </x:c>
      <x:c r="K2524" t="str">
        <x:v>In stock</x:v>
      </x:c>
      <x:c r="L2524" t="str">
        <x:v>2026-09-08</x:v>
      </x:c>
      <x:c r="M2524" t="str"/>
      <x:c r="N2524" t="str"/>
      <x:c r="O2524" t="str">
        <x:v>https://www.activesportstrade.co.uk/nxt-nutrition-trade</x:v>
      </x:c>
      <x:c r="P2524" t="str"/>
      <x:c r="Q2524" t="str"/>
      <x:c r="R2524" t="str"/>
      <x:c r="S2524" t="str">
        <x:v>Pending genuine supplier/brand image</x:v>
      </x:c>
      <x:c r="T2524" s="54"/>
      <x:c r="U2524" s="47" t="n">
        <x:v>0.2</x:v>
      </x:c>
      <x:c r="V2524" s="54" t="str">
        <x:f>IF(ISNUMBER(T2524),T2524*(1+U2524),"")</x:f>
      </x:c>
      <x:c r="W2524" s="47" t="n">
        <x:v>0.3</x:v>
      </x:c>
      <x:c r="X2524" s="54" t="str">
        <x:f>IF(ISNUMBER(V2524),V2524/(1-W2524),"")</x:f>
      </x:c>
      <x:c r="Y2524" s="55" t="str">
        <x:f>IF(ISNUMBER(X2524),ROUNDUP(X2524,0),"")</x:f>
      </x:c>
      <x:c r="Z2524" t="str">
        <x:f>IF(ISNUMBER(T2524),"Cost captured","Awaiting trade cost")</x:f>
        <x:v>Awaiting trade cost</x:v>
      </x:c>
      <x:c r="AB2524" s="36" t="str">
        <x:f>IF(ISNUMBER(Y2524),ROUND(Y2524*0.9,2),"")</x:f>
      </x:c>
      <x:c r="AC2524" s="36" t="str">
        <x:f>IF(ISNUMBER(AB2524),ROUND(AB2524-(AB2524*0.015+0.2)-V2524,2),"")</x:f>
      </x:c>
      <x:c r="AD2524" s="36" t="str">
        <x:f>IF(ISNUMBER(Y2524),ROUND(Y2524*0.8,2),"")</x:f>
      </x:c>
      <x:c r="AE2524" s="36" t="str">
        <x:f>IF(ISNUMBER(AD2524),ROUND(AD2524*0.015+0.2,2),"")</x:f>
      </x:c>
      <x:c r="AF2524" s="36" t="str">
        <x:f>IF(ISNUMBER(AD2524),ROUND(AD2524-AE2524-V2524,2),"")</x:f>
      </x:c>
      <x:c r="AG2524" t="str">
        <x:f>IF(NOT(ISNUMBER(T2524)),"PENDING",IF(AF2524&gt;0,"PASS","FAIL"))</x:f>
        <x:v>PENDING</x:v>
      </x:c>
      <x:c r="AH2524" t="str">
        <x:f>IF(NOT(ISNUMBER(T2524)),"Needs supplier cost",IF(K2524&lt;&gt;"In stock","Supplier unavailable",IF(AG2524&lt;&gt;"PASS","BLOCK - GT loss risk","Commercially protected")))</x:f>
        <x:v>Needs supplier cost</x:v>
      </x:c>
      <x:c r="AI2524" t="str">
        <x:v>2026-09-10 Active Sports trade capture</x:v>
      </x:c>
      <x:c r="AJ2524" t="str">
        <x:v>Management-only economics. Stripe stress test uses 1.5% + £0.20 standard UK online-card fee; pallet/mix-and-match pricing ignored.</x:v>
      </x:c>
    </x:row>
    <x:row r="2525">
      <x:c r="A2525" t="str">
        <x:v>Active Sports Nutrition</x:v>
      </x:c>
      <x:c r="B2525" t="str">
        <x:v>NXT Nutrition</x:v>
      </x:c>
      <x:c r="C2525" t="str">
        <x:v>TNT Nuclear Pump</x:v>
      </x:c>
      <x:c r="D2525" t="str">
        <x:v>Pre Workouts</x:v>
      </x:c>
      <x:c r="E2525" t="str">
        <x:v>Stim FREE</x:v>
      </x:c>
      <x:c r="F2525" t="str"/>
      <x:c r="G2525" t="str">
        <x:v>500g</x:v>
      </x:c>
      <x:c r="H2525" t="str">
        <x:v>Pineapple</x:v>
      </x:c>
      <x:c r="I2525" t="str"/>
      <x:c r="J2525" t="str">
        <x:v>Unit</x:v>
      </x:c>
      <x:c r="K2525" t="str">
        <x:v>In stock</x:v>
      </x:c>
      <x:c r="L2525" t="str">
        <x:v>2026-09-08</x:v>
      </x:c>
      <x:c r="M2525" t="str"/>
      <x:c r="N2525" t="str"/>
      <x:c r="O2525" t="str">
        <x:v>https://www.activesportstrade.co.uk/nxt-nutrition-trade</x:v>
      </x:c>
      <x:c r="P2525" t="str"/>
      <x:c r="Q2525" t="str"/>
      <x:c r="R2525" t="str"/>
      <x:c r="S2525" t="str">
        <x:v>Pending genuine supplier/brand image</x:v>
      </x:c>
      <x:c r="T2525" s="54"/>
      <x:c r="U2525" s="47" t="n">
        <x:v>0.2</x:v>
      </x:c>
      <x:c r="V2525" s="54" t="str">
        <x:f>IF(ISNUMBER(T2525),T2525*(1+U2525),"")</x:f>
      </x:c>
      <x:c r="W2525" s="47" t="n">
        <x:v>0.3</x:v>
      </x:c>
      <x:c r="X2525" s="54" t="str">
        <x:f>IF(ISNUMBER(V2525),V2525/(1-W2525),"")</x:f>
      </x:c>
      <x:c r="Y2525" s="55" t="str">
        <x:f>IF(ISNUMBER(X2525),ROUNDUP(X2525,0),"")</x:f>
      </x:c>
      <x:c r="Z2525" t="str">
        <x:f>IF(ISNUMBER(T2525),"Cost captured","Awaiting trade cost")</x:f>
        <x:v>Awaiting trade cost</x:v>
      </x:c>
      <x:c r="AB2525" s="36" t="str">
        <x:f>IF(ISNUMBER(Y2525),ROUND(Y2525*0.9,2),"")</x:f>
      </x:c>
      <x:c r="AC2525" s="36" t="str">
        <x:f>IF(ISNUMBER(AB2525),ROUND(AB2525-(AB2525*0.015+0.2)-V2525,2),"")</x:f>
      </x:c>
      <x:c r="AD2525" s="36" t="str">
        <x:f>IF(ISNUMBER(Y2525),ROUND(Y2525*0.8,2),"")</x:f>
      </x:c>
      <x:c r="AE2525" s="36" t="str">
        <x:f>IF(ISNUMBER(AD2525),ROUND(AD2525*0.015+0.2,2),"")</x:f>
      </x:c>
      <x:c r="AF2525" s="36" t="str">
        <x:f>IF(ISNUMBER(AD2525),ROUND(AD2525-AE2525-V2525,2),"")</x:f>
      </x:c>
      <x:c r="AG2525" t="str">
        <x:f>IF(NOT(ISNUMBER(T2525)),"PENDING",IF(AF2525&gt;0,"PASS","FAIL"))</x:f>
        <x:v>PENDING</x:v>
      </x:c>
      <x:c r="AH2525" t="str">
        <x:f>IF(NOT(ISNUMBER(T2525)),"Needs supplier cost",IF(K2525&lt;&gt;"In stock","Supplier unavailable",IF(AG2525&lt;&gt;"PASS","BLOCK - GT loss risk","Commercially protected")))</x:f>
        <x:v>Needs supplier cost</x:v>
      </x:c>
      <x:c r="AI2525" t="str">
        <x:v>2026-09-10 Active Sports trade capture</x:v>
      </x:c>
      <x:c r="AJ2525" t="str">
        <x:v>Management-only economics. Stripe stress test uses 1.5% + £0.20 standard UK online-card fee; pallet/mix-and-match pricing ignored.</x:v>
      </x:c>
    </x:row>
    <x:row r="2526">
      <x:c r="A2526" t="str">
        <x:v>Active Sports Nutrition</x:v>
      </x:c>
      <x:c r="B2526" t="str">
        <x:v>NXT Nutrition</x:v>
      </x:c>
      <x:c r="C2526" t="str">
        <x:v>TNT Nuclear Pump</x:v>
      </x:c>
      <x:c r="D2526" t="str">
        <x:v>Pre Workouts</x:v>
      </x:c>
      <x:c r="E2526" t="str">
        <x:v>Stim FREE</x:v>
      </x:c>
      <x:c r="F2526" t="str"/>
      <x:c r="G2526" t="str">
        <x:v>500g</x:v>
      </x:c>
      <x:c r="H2526" t="str">
        <x:v>Tropical Delight</x:v>
      </x:c>
      <x:c r="I2526" t="str"/>
      <x:c r="J2526" t="str">
        <x:v>Unit</x:v>
      </x:c>
      <x:c r="K2526" t="str">
        <x:v>Out of stock</x:v>
      </x:c>
      <x:c r="L2526" t="str">
        <x:v>2026-09-08</x:v>
      </x:c>
      <x:c r="M2526" t="str"/>
      <x:c r="N2526" t="str"/>
      <x:c r="O2526" t="str">
        <x:v>https://www.activesportstrade.co.uk/nxt-nutrition-trade</x:v>
      </x:c>
      <x:c r="P2526" t="str"/>
      <x:c r="Q2526" t="str"/>
      <x:c r="R2526" t="str"/>
      <x:c r="S2526" t="str">
        <x:v>Pending genuine supplier/brand image</x:v>
      </x:c>
      <x:c r="T2526" s="54"/>
      <x:c r="U2526" s="47" t="n">
        <x:v>0.2</x:v>
      </x:c>
      <x:c r="V2526" s="54" t="str">
        <x:f>IF(ISNUMBER(T2526),T2526*(1+U2526),"")</x:f>
      </x:c>
      <x:c r="W2526" s="47" t="n">
        <x:v>0.3</x:v>
      </x:c>
      <x:c r="X2526" s="54" t="str">
        <x:f>IF(ISNUMBER(V2526),V2526/(1-W2526),"")</x:f>
      </x:c>
      <x:c r="Y2526" s="55" t="str">
        <x:f>IF(ISNUMBER(X2526),ROUNDUP(X2526,0),"")</x:f>
      </x:c>
      <x:c r="Z2526" t="str">
        <x:f>IF(ISNUMBER(T2526),"Cost captured","Awaiting trade cost")</x:f>
        <x:v>Awaiting trade cost</x:v>
      </x:c>
      <x:c r="AB2526" s="36" t="str">
        <x:f>IF(ISNUMBER(Y2526),ROUND(Y2526*0.9,2),"")</x:f>
      </x:c>
      <x:c r="AC2526" s="36" t="str">
        <x:f>IF(ISNUMBER(AB2526),ROUND(AB2526-(AB2526*0.015+0.2)-V2526,2),"")</x:f>
      </x:c>
      <x:c r="AD2526" s="36" t="str">
        <x:f>IF(ISNUMBER(Y2526),ROUND(Y2526*0.8,2),"")</x:f>
      </x:c>
      <x:c r="AE2526" s="36" t="str">
        <x:f>IF(ISNUMBER(AD2526),ROUND(AD2526*0.015+0.2,2),"")</x:f>
      </x:c>
      <x:c r="AF2526" s="36" t="str">
        <x:f>IF(ISNUMBER(AD2526),ROUND(AD2526-AE2526-V2526,2),"")</x:f>
      </x:c>
      <x:c r="AG2526" t="str">
        <x:f>IF(NOT(ISNUMBER(T2526)),"PENDING",IF(AF2526&gt;0,"PASS","FAIL"))</x:f>
        <x:v>PENDING</x:v>
      </x:c>
      <x:c r="AH2526" t="str">
        <x:f>IF(NOT(ISNUMBER(T2526)),"Needs supplier cost",IF(K2526&lt;&gt;"In stock","Supplier unavailable",IF(AG2526&lt;&gt;"PASS","BLOCK - GT loss risk","Commercially protected")))</x:f>
        <x:v>Needs supplier cost</x:v>
      </x:c>
      <x:c r="AI2526" t="str">
        <x:v>2026-09-10 Active Sports trade capture</x:v>
      </x:c>
      <x:c r="AJ2526" t="str">
        <x:v>Management-only economics. Stripe stress test uses 1.5% + £0.20 standard UK online-card fee; pallet/mix-and-match pricing ignored.</x:v>
      </x:c>
    </x:row>
    <x:row r="2527">
      <x:c r="A2527" t="str">
        <x:v>Active Sports Nutrition</x:v>
      </x:c>
      <x:c r="B2527" t="str">
        <x:v>NXT Nutrition</x:v>
      </x:c>
      <x:c r="C2527" t="str">
        <x:v>TNT Nuclear Shots</x:v>
      </x:c>
      <x:c r="D2527" t="str">
        <x:v>Pre Workouts</x:v>
      </x:c>
      <x:c r="E2527" t="str">
        <x:v>Shots and Ready To Drink</x:v>
      </x:c>
      <x:c r="F2527" t="str"/>
      <x:c r="G2527" t="str">
        <x:v>12 x 60ml</x:v>
      </x:c>
      <x:c r="H2527" t="str">
        <x:v>Blue Raspberry</x:v>
      </x:c>
      <x:c r="I2527" t="str">
        <x:v>12</x:v>
      </x:c>
      <x:c r="J2527" t="str">
        <x:v>Case</x:v>
      </x:c>
      <x:c r="K2527" t="str">
        <x:v>In stock</x:v>
      </x:c>
      <x:c r="L2527" t="str">
        <x:v>2026-09-08</x:v>
      </x:c>
      <x:c r="M2527" t="str"/>
      <x:c r="N2527" t="str"/>
      <x:c r="O2527" t="str">
        <x:v>https://www.activesportstrade.co.uk/nxt-nutrition-trade</x:v>
      </x:c>
      <x:c r="P2527" t="str">
        <x:v>Case-only supplier order.</x:v>
      </x:c>
      <x:c r="Q2527" t="str"/>
      <x:c r="R2527" t="str"/>
      <x:c r="S2527" t="str">
        <x:v>Pending genuine supplier/brand image</x:v>
      </x:c>
      <x:c r="T2527" s="54"/>
      <x:c r="U2527" s="47" t="n">
        <x:v>0.2</x:v>
      </x:c>
      <x:c r="V2527" s="54" t="str">
        <x:f>IF(ISNUMBER(T2527),T2527*(1+U2527),"")</x:f>
      </x:c>
      <x:c r="W2527" s="47" t="n">
        <x:v>0.3</x:v>
      </x:c>
      <x:c r="X2527" s="54" t="str">
        <x:f>IF(ISNUMBER(V2527),V2527/(1-W2527),"")</x:f>
      </x:c>
      <x:c r="Y2527" s="55" t="str">
        <x:f>IF(ISNUMBER(X2527),ROUNDUP(X2527,0),"")</x:f>
      </x:c>
      <x:c r="Z2527" t="str">
        <x:f>IF(ISNUMBER(T2527),"Cost captured","Awaiting trade cost")</x:f>
        <x:v>Awaiting trade cost</x:v>
      </x:c>
      <x:c r="AB2527" s="36" t="str">
        <x:f>IF(ISNUMBER(Y2527),ROUND(Y2527*0.9,2),"")</x:f>
      </x:c>
      <x:c r="AC2527" s="36" t="str">
        <x:f>IF(ISNUMBER(AB2527),ROUND(AB2527-(AB2527*0.015+0.2)-V2527,2),"")</x:f>
      </x:c>
      <x:c r="AD2527" s="36" t="str">
        <x:f>IF(ISNUMBER(Y2527),ROUND(Y2527*0.8,2),"")</x:f>
      </x:c>
      <x:c r="AE2527" s="36" t="str">
        <x:f>IF(ISNUMBER(AD2527),ROUND(AD2527*0.015+0.2,2),"")</x:f>
      </x:c>
      <x:c r="AF2527" s="36" t="str">
        <x:f>IF(ISNUMBER(AD2527),ROUND(AD2527-AE2527-V2527,2),"")</x:f>
      </x:c>
      <x:c r="AG2527" t="str">
        <x:f>IF(NOT(ISNUMBER(T2527)),"PENDING",IF(AF2527&gt;0,"PASS","FAIL"))</x:f>
        <x:v>PENDING</x:v>
      </x:c>
      <x:c r="AH2527" t="str">
        <x:f>IF(NOT(ISNUMBER(T2527)),"Needs supplier cost",IF(K2527&lt;&gt;"In stock","Supplier unavailable",IF(AG2527&lt;&gt;"PASS","BLOCK - GT loss risk","Commercially protected")))</x:f>
        <x:v>Needs supplier cost</x:v>
      </x:c>
      <x:c r="AI2527" t="str">
        <x:v>2026-09-10 Active Sports trade capture</x:v>
      </x:c>
      <x:c r="AJ2527" t="str">
        <x:v>Management-only economics. Stripe stress test uses 1.5% + £0.20 standard UK online-card fee; pallet/mix-and-match pricing ignored.</x:v>
      </x:c>
    </x:row>
    <x:row r="2528">
      <x:c r="A2528" t="str">
        <x:v>Active Sports Nutrition</x:v>
      </x:c>
      <x:c r="B2528" t="str">
        <x:v>NXT Nutrition</x:v>
      </x:c>
      <x:c r="C2528" t="str">
        <x:v>TNT Nuclear Shots</x:v>
      </x:c>
      <x:c r="D2528" t="str">
        <x:v>Pre Workouts</x:v>
      </x:c>
      <x:c r="E2528" t="str">
        <x:v>Shots and Ready To Drink</x:v>
      </x:c>
      <x:c r="F2528" t="str"/>
      <x:c r="G2528" t="str">
        <x:v>12 x 60ml</x:v>
      </x:c>
      <x:c r="H2528" t="str">
        <x:v>Ice Burst</x:v>
      </x:c>
      <x:c r="I2528" t="str">
        <x:v>12</x:v>
      </x:c>
      <x:c r="J2528" t="str">
        <x:v>Case</x:v>
      </x:c>
      <x:c r="K2528" t="str">
        <x:v>In stock</x:v>
      </x:c>
      <x:c r="L2528" t="str">
        <x:v>2026-09-08</x:v>
      </x:c>
      <x:c r="M2528" t="str"/>
      <x:c r="N2528" t="str"/>
      <x:c r="O2528" t="str">
        <x:v>https://www.activesportstrade.co.uk/nxt-nutrition-trade</x:v>
      </x:c>
      <x:c r="P2528" t="str">
        <x:v>Case-only supplier order.</x:v>
      </x:c>
      <x:c r="Q2528" t="str"/>
      <x:c r="R2528" t="str"/>
      <x:c r="S2528" t="str">
        <x:v>Pending genuine supplier/brand image</x:v>
      </x:c>
      <x:c r="T2528" s="54"/>
      <x:c r="U2528" s="47" t="n">
        <x:v>0.2</x:v>
      </x:c>
      <x:c r="V2528" s="54" t="str">
        <x:f>IF(ISNUMBER(T2528),T2528*(1+U2528),"")</x:f>
      </x:c>
      <x:c r="W2528" s="47" t="n">
        <x:v>0.3</x:v>
      </x:c>
      <x:c r="X2528" s="54" t="str">
        <x:f>IF(ISNUMBER(V2528),V2528/(1-W2528),"")</x:f>
      </x:c>
      <x:c r="Y2528" s="55" t="str">
        <x:f>IF(ISNUMBER(X2528),ROUNDUP(X2528,0),"")</x:f>
      </x:c>
      <x:c r="Z2528" t="str">
        <x:f>IF(ISNUMBER(T2528),"Cost captured","Awaiting trade cost")</x:f>
        <x:v>Awaiting trade cost</x:v>
      </x:c>
      <x:c r="AB2528" s="36" t="str">
        <x:f>IF(ISNUMBER(Y2528),ROUND(Y2528*0.9,2),"")</x:f>
      </x:c>
      <x:c r="AC2528" s="36" t="str">
        <x:f>IF(ISNUMBER(AB2528),ROUND(AB2528-(AB2528*0.015+0.2)-V2528,2),"")</x:f>
      </x:c>
      <x:c r="AD2528" s="36" t="str">
        <x:f>IF(ISNUMBER(Y2528),ROUND(Y2528*0.8,2),"")</x:f>
      </x:c>
      <x:c r="AE2528" s="36" t="str">
        <x:f>IF(ISNUMBER(AD2528),ROUND(AD2528*0.015+0.2,2),"")</x:f>
      </x:c>
      <x:c r="AF2528" s="36" t="str">
        <x:f>IF(ISNUMBER(AD2528),ROUND(AD2528-AE2528-V2528,2),"")</x:f>
      </x:c>
      <x:c r="AG2528" t="str">
        <x:f>IF(NOT(ISNUMBER(T2528)),"PENDING",IF(AF2528&gt;0,"PASS","FAIL"))</x:f>
        <x:v>PENDING</x:v>
      </x:c>
      <x:c r="AH2528" t="str">
        <x:f>IF(NOT(ISNUMBER(T2528)),"Needs supplier cost",IF(K2528&lt;&gt;"In stock","Supplier unavailable",IF(AG2528&lt;&gt;"PASS","BLOCK - GT loss risk","Commercially protected")))</x:f>
        <x:v>Needs supplier cost</x:v>
      </x:c>
      <x:c r="AI2528" t="str">
        <x:v>2026-09-10 Active Sports trade capture</x:v>
      </x:c>
      <x:c r="AJ2528" t="str">
        <x:v>Management-only economics. Stripe stress test uses 1.5% + £0.20 standard UK online-card fee; pallet/mix-and-match pricing ignored.</x:v>
      </x:c>
    </x:row>
    <x:row r="2529">
      <x:c r="A2529" t="str">
        <x:v>Active Sports Nutrition</x:v>
      </x:c>
      <x:c r="B2529" t="str">
        <x:v>NXT Nutrition</x:v>
      </x:c>
      <x:c r="C2529" t="str">
        <x:v>TNT Nuclear Shots</x:v>
      </x:c>
      <x:c r="D2529" t="str">
        <x:v>Pre Workouts</x:v>
      </x:c>
      <x:c r="E2529" t="str">
        <x:v>Shots and Ready To Drink</x:v>
      </x:c>
      <x:c r="F2529" t="str"/>
      <x:c r="G2529" t="str">
        <x:v>12 x 60ml</x:v>
      </x:c>
      <x:c r="H2529" t="str">
        <x:v>Kiwi Lime</x:v>
      </x:c>
      <x:c r="I2529" t="str">
        <x:v>12</x:v>
      </x:c>
      <x:c r="J2529" t="str">
        <x:v>Case</x:v>
      </x:c>
      <x:c r="K2529" t="str">
        <x:v>Out of stock</x:v>
      </x:c>
      <x:c r="L2529" t="str">
        <x:v>2026-09-08</x:v>
      </x:c>
      <x:c r="M2529" t="str"/>
      <x:c r="N2529" t="str"/>
      <x:c r="O2529" t="str">
        <x:v>https://www.activesportstrade.co.uk/nxt-nutrition-trade</x:v>
      </x:c>
      <x:c r="P2529" t="str">
        <x:v>Case-only supplier order.</x:v>
      </x:c>
      <x:c r="Q2529" t="str"/>
      <x:c r="R2529" t="str"/>
      <x:c r="S2529" t="str">
        <x:v>Pending genuine supplier/brand image</x:v>
      </x:c>
      <x:c r="T2529" s="54"/>
      <x:c r="U2529" s="47" t="n">
        <x:v>0.2</x:v>
      </x:c>
      <x:c r="V2529" s="54" t="str">
        <x:f>IF(ISNUMBER(T2529),T2529*(1+U2529),"")</x:f>
      </x:c>
      <x:c r="W2529" s="47" t="n">
        <x:v>0.3</x:v>
      </x:c>
      <x:c r="X2529" s="54" t="str">
        <x:f>IF(ISNUMBER(V2529),V2529/(1-W2529),"")</x:f>
      </x:c>
      <x:c r="Y2529" s="55" t="str">
        <x:f>IF(ISNUMBER(X2529),ROUNDUP(X2529,0),"")</x:f>
      </x:c>
      <x:c r="Z2529" t="str">
        <x:f>IF(ISNUMBER(T2529),"Cost captured","Awaiting trade cost")</x:f>
        <x:v>Awaiting trade cost</x:v>
      </x:c>
      <x:c r="AB2529" s="36" t="str">
        <x:f>IF(ISNUMBER(Y2529),ROUND(Y2529*0.9,2),"")</x:f>
      </x:c>
      <x:c r="AC2529" s="36" t="str">
        <x:f>IF(ISNUMBER(AB2529),ROUND(AB2529-(AB2529*0.015+0.2)-V2529,2),"")</x:f>
      </x:c>
      <x:c r="AD2529" s="36" t="str">
        <x:f>IF(ISNUMBER(Y2529),ROUND(Y2529*0.8,2),"")</x:f>
      </x:c>
      <x:c r="AE2529" s="36" t="str">
        <x:f>IF(ISNUMBER(AD2529),ROUND(AD2529*0.015+0.2,2),"")</x:f>
      </x:c>
      <x:c r="AF2529" s="36" t="str">
        <x:f>IF(ISNUMBER(AD2529),ROUND(AD2529-AE2529-V2529,2),"")</x:f>
      </x:c>
      <x:c r="AG2529" t="str">
        <x:f>IF(NOT(ISNUMBER(T2529)),"PENDING",IF(AF2529&gt;0,"PASS","FAIL"))</x:f>
        <x:v>PENDING</x:v>
      </x:c>
      <x:c r="AH2529" t="str">
        <x:f>IF(NOT(ISNUMBER(T2529)),"Needs supplier cost",IF(K2529&lt;&gt;"In stock","Supplier unavailable",IF(AG2529&lt;&gt;"PASS","BLOCK - GT loss risk","Commercially protected")))</x:f>
        <x:v>Needs supplier cost</x:v>
      </x:c>
      <x:c r="AI2529" t="str">
        <x:v>2026-09-10 Active Sports trade capture</x:v>
      </x:c>
      <x:c r="AJ2529" t="str">
        <x:v>Management-only economics. Stripe stress test uses 1.5% + £0.20 standard UK online-card fee; pallet/mix-and-match pricing ignored.</x:v>
      </x:c>
    </x:row>
    <x:row r="2530">
      <x:c r="A2530" t="str">
        <x:v>Active Sports Nutrition</x:v>
      </x:c>
      <x:c r="B2530" t="str">
        <x:v>NXT Nutrition</x:v>
      </x:c>
      <x:c r="C2530" t="str">
        <x:v>TNT Nuclear Shots</x:v>
      </x:c>
      <x:c r="D2530" t="str">
        <x:v>Pre Workouts</x:v>
      </x:c>
      <x:c r="E2530" t="str">
        <x:v>Shots and Ready To Drink</x:v>
      </x:c>
      <x:c r="F2530" t="str"/>
      <x:c r="G2530" t="str">
        <x:v>12 x 60ml</x:v>
      </x:c>
      <x:c r="H2530" t="str">
        <x:v>Mixed Candy</x:v>
      </x:c>
      <x:c r="I2530" t="str">
        <x:v>12</x:v>
      </x:c>
      <x:c r="J2530" t="str">
        <x:v>Case</x:v>
      </x:c>
      <x:c r="K2530" t="str">
        <x:v>In stock</x:v>
      </x:c>
      <x:c r="L2530" t="str">
        <x:v>2026-09-08</x:v>
      </x:c>
      <x:c r="M2530" t="str"/>
      <x:c r="N2530" t="str"/>
      <x:c r="O2530" t="str">
        <x:v>https://www.activesportstrade.co.uk/nxt-nutrition-trade</x:v>
      </x:c>
      <x:c r="P2530" t="str">
        <x:v>Case-only supplier order.</x:v>
      </x:c>
      <x:c r="Q2530" t="str"/>
      <x:c r="R2530" t="str"/>
      <x:c r="S2530" t="str">
        <x:v>Pending genuine supplier/brand image</x:v>
      </x:c>
      <x:c r="T2530" s="54"/>
      <x:c r="U2530" s="47" t="n">
        <x:v>0.2</x:v>
      </x:c>
      <x:c r="V2530" s="54" t="str">
        <x:f>IF(ISNUMBER(T2530),T2530*(1+U2530),"")</x:f>
      </x:c>
      <x:c r="W2530" s="47" t="n">
        <x:v>0.3</x:v>
      </x:c>
      <x:c r="X2530" s="54" t="str">
        <x:f>IF(ISNUMBER(V2530),V2530/(1-W2530),"")</x:f>
      </x:c>
      <x:c r="Y2530" s="55" t="str">
        <x:f>IF(ISNUMBER(X2530),ROUNDUP(X2530,0),"")</x:f>
      </x:c>
      <x:c r="Z2530" t="str">
        <x:f>IF(ISNUMBER(T2530),"Cost captured","Awaiting trade cost")</x:f>
        <x:v>Awaiting trade cost</x:v>
      </x:c>
      <x:c r="AB2530" s="36" t="str">
        <x:f>IF(ISNUMBER(Y2530),ROUND(Y2530*0.9,2),"")</x:f>
      </x:c>
      <x:c r="AC2530" s="36" t="str">
        <x:f>IF(ISNUMBER(AB2530),ROUND(AB2530-(AB2530*0.015+0.2)-V2530,2),"")</x:f>
      </x:c>
      <x:c r="AD2530" s="36" t="str">
        <x:f>IF(ISNUMBER(Y2530),ROUND(Y2530*0.8,2),"")</x:f>
      </x:c>
      <x:c r="AE2530" s="36" t="str">
        <x:f>IF(ISNUMBER(AD2530),ROUND(AD2530*0.015+0.2,2),"")</x:f>
      </x:c>
      <x:c r="AF2530" s="36" t="str">
        <x:f>IF(ISNUMBER(AD2530),ROUND(AD2530-AE2530-V2530,2),"")</x:f>
      </x:c>
      <x:c r="AG2530" t="str">
        <x:f>IF(NOT(ISNUMBER(T2530)),"PENDING",IF(AF2530&gt;0,"PASS","FAIL"))</x:f>
        <x:v>PENDING</x:v>
      </x:c>
      <x:c r="AH2530" t="str">
        <x:f>IF(NOT(ISNUMBER(T2530)),"Needs supplier cost",IF(K2530&lt;&gt;"In stock","Supplier unavailable",IF(AG2530&lt;&gt;"PASS","BLOCK - GT loss risk","Commercially protected")))</x:f>
        <x:v>Needs supplier cost</x:v>
      </x:c>
      <x:c r="AI2530" t="str">
        <x:v>2026-09-10 Active Sports trade capture</x:v>
      </x:c>
      <x:c r="AJ2530" t="str">
        <x:v>Management-only economics. Stripe stress test uses 1.5% + £0.20 standard UK online-card fee; pallet/mix-and-match pricing ignored.</x:v>
      </x:c>
    </x:row>
    <x:row r="2531">
      <x:c r="A2531" t="str">
        <x:v>Active Sports Nutrition</x:v>
      </x:c>
      <x:c r="B2531" t="str">
        <x:v>NXT Nutrition</x:v>
      </x:c>
      <x:c r="C2531" t="str">
        <x:v>TNT Nuclear Shots</x:v>
      </x:c>
      <x:c r="D2531" t="str">
        <x:v>Pre Workouts</x:v>
      </x:c>
      <x:c r="E2531" t="str">
        <x:v>Shots and Ready To Drink</x:v>
      </x:c>
      <x:c r="F2531" t="str"/>
      <x:c r="G2531" t="str">
        <x:v>12 x 60ml</x:v>
      </x:c>
      <x:c r="H2531" t="str">
        <x:v>Orange</x:v>
      </x:c>
      <x:c r="I2531" t="str">
        <x:v>12</x:v>
      </x:c>
      <x:c r="J2531" t="str">
        <x:v>Case</x:v>
      </x:c>
      <x:c r="K2531" t="str">
        <x:v>In stock</x:v>
      </x:c>
      <x:c r="L2531" t="str">
        <x:v>2026-09-08</x:v>
      </x:c>
      <x:c r="M2531" t="str"/>
      <x:c r="N2531" t="str"/>
      <x:c r="O2531" t="str">
        <x:v>https://www.activesportstrade.co.uk/nxt-nutrition-trade</x:v>
      </x:c>
      <x:c r="P2531" t="str">
        <x:v>Case-only supplier order.</x:v>
      </x:c>
      <x:c r="Q2531" t="str"/>
      <x:c r="R2531" t="str"/>
      <x:c r="S2531" t="str">
        <x:v>Pending genuine supplier/brand image</x:v>
      </x:c>
      <x:c r="T2531" s="54"/>
      <x:c r="U2531" s="47" t="n">
        <x:v>0.2</x:v>
      </x:c>
      <x:c r="V2531" s="54" t="str">
        <x:f>IF(ISNUMBER(T2531),T2531*(1+U2531),"")</x:f>
      </x:c>
      <x:c r="W2531" s="47" t="n">
        <x:v>0.3</x:v>
      </x:c>
      <x:c r="X2531" s="54" t="str">
        <x:f>IF(ISNUMBER(V2531),V2531/(1-W2531),"")</x:f>
      </x:c>
      <x:c r="Y2531" s="55" t="str">
        <x:f>IF(ISNUMBER(X2531),ROUNDUP(X2531,0),"")</x:f>
      </x:c>
      <x:c r="Z2531" t="str">
        <x:f>IF(ISNUMBER(T2531),"Cost captured","Awaiting trade cost")</x:f>
        <x:v>Awaiting trade cost</x:v>
      </x:c>
      <x:c r="AB2531" s="36" t="str">
        <x:f>IF(ISNUMBER(Y2531),ROUND(Y2531*0.9,2),"")</x:f>
      </x:c>
      <x:c r="AC2531" s="36" t="str">
        <x:f>IF(ISNUMBER(AB2531),ROUND(AB2531-(AB2531*0.015+0.2)-V2531,2),"")</x:f>
      </x:c>
      <x:c r="AD2531" s="36" t="str">
        <x:f>IF(ISNUMBER(Y2531),ROUND(Y2531*0.8,2),"")</x:f>
      </x:c>
      <x:c r="AE2531" s="36" t="str">
        <x:f>IF(ISNUMBER(AD2531),ROUND(AD2531*0.015+0.2,2),"")</x:f>
      </x:c>
      <x:c r="AF2531" s="36" t="str">
        <x:f>IF(ISNUMBER(AD2531),ROUND(AD2531-AE2531-V2531,2),"")</x:f>
      </x:c>
      <x:c r="AG2531" t="str">
        <x:f>IF(NOT(ISNUMBER(T2531)),"PENDING",IF(AF2531&gt;0,"PASS","FAIL"))</x:f>
        <x:v>PENDING</x:v>
      </x:c>
      <x:c r="AH2531" t="str">
        <x:f>IF(NOT(ISNUMBER(T2531)),"Needs supplier cost",IF(K2531&lt;&gt;"In stock","Supplier unavailable",IF(AG2531&lt;&gt;"PASS","BLOCK - GT loss risk","Commercially protected")))</x:f>
        <x:v>Needs supplier cost</x:v>
      </x:c>
      <x:c r="AI2531" t="str">
        <x:v>2026-09-10 Active Sports trade capture</x:v>
      </x:c>
      <x:c r="AJ2531" t="str">
        <x:v>Management-only economics. Stripe stress test uses 1.5% + £0.20 standard UK online-card fee; pallet/mix-and-match pricing ignored.</x:v>
      </x:c>
    </x:row>
    <x:row r="2532">
      <x:c r="A2532" t="str">
        <x:v>Active Sports Nutrition</x:v>
      </x:c>
      <x:c r="B2532" t="str">
        <x:v>NXT Nutrition</x:v>
      </x:c>
      <x:c r="C2532" t="str">
        <x:v>TNT Nuclear Shots</x:v>
      </x:c>
      <x:c r="D2532" t="str">
        <x:v>Pre Workouts</x:v>
      </x:c>
      <x:c r="E2532" t="str">
        <x:v>Shots and Ready To Drink</x:v>
      </x:c>
      <x:c r="F2532" t="str"/>
      <x:c r="G2532" t="str">
        <x:v>12 x 60ml</x:v>
      </x:c>
      <x:c r="H2532" t="str">
        <x:v>Pineapple</x:v>
      </x:c>
      <x:c r="I2532" t="str">
        <x:v>12</x:v>
      </x:c>
      <x:c r="J2532" t="str">
        <x:v>Case</x:v>
      </x:c>
      <x:c r="K2532" t="str">
        <x:v>In stock</x:v>
      </x:c>
      <x:c r="L2532" t="str">
        <x:v>2026-09-08</x:v>
      </x:c>
      <x:c r="M2532" t="str"/>
      <x:c r="N2532" t="str"/>
      <x:c r="O2532" t="str">
        <x:v>https://www.activesportstrade.co.uk/nxt-nutrition-trade</x:v>
      </x:c>
      <x:c r="P2532" t="str">
        <x:v>Case-only supplier order.</x:v>
      </x:c>
      <x:c r="Q2532" t="str"/>
      <x:c r="R2532" t="str"/>
      <x:c r="S2532" t="str">
        <x:v>Pending genuine supplier/brand image</x:v>
      </x:c>
      <x:c r="T2532" s="54"/>
      <x:c r="U2532" s="47" t="n">
        <x:v>0.2</x:v>
      </x:c>
      <x:c r="V2532" s="54" t="str">
        <x:f>IF(ISNUMBER(T2532),T2532*(1+U2532),"")</x:f>
      </x:c>
      <x:c r="W2532" s="47" t="n">
        <x:v>0.3</x:v>
      </x:c>
      <x:c r="X2532" s="54" t="str">
        <x:f>IF(ISNUMBER(V2532),V2532/(1-W2532),"")</x:f>
      </x:c>
      <x:c r="Y2532" s="55" t="str">
        <x:f>IF(ISNUMBER(X2532),ROUNDUP(X2532,0),"")</x:f>
      </x:c>
      <x:c r="Z2532" t="str">
        <x:f>IF(ISNUMBER(T2532),"Cost captured","Awaiting trade cost")</x:f>
        <x:v>Awaiting trade cost</x:v>
      </x:c>
      <x:c r="AB2532" s="36" t="str">
        <x:f>IF(ISNUMBER(Y2532),ROUND(Y2532*0.9,2),"")</x:f>
      </x:c>
      <x:c r="AC2532" s="36" t="str">
        <x:f>IF(ISNUMBER(AB2532),ROUND(AB2532-(AB2532*0.015+0.2)-V2532,2),"")</x:f>
      </x:c>
      <x:c r="AD2532" s="36" t="str">
        <x:f>IF(ISNUMBER(Y2532),ROUND(Y2532*0.8,2),"")</x:f>
      </x:c>
      <x:c r="AE2532" s="36" t="str">
        <x:f>IF(ISNUMBER(AD2532),ROUND(AD2532*0.015+0.2,2),"")</x:f>
      </x:c>
      <x:c r="AF2532" s="36" t="str">
        <x:f>IF(ISNUMBER(AD2532),ROUND(AD2532-AE2532-V2532,2),"")</x:f>
      </x:c>
      <x:c r="AG2532" t="str">
        <x:f>IF(NOT(ISNUMBER(T2532)),"PENDING",IF(AF2532&gt;0,"PASS","FAIL"))</x:f>
        <x:v>PENDING</x:v>
      </x:c>
      <x:c r="AH2532" t="str">
        <x:f>IF(NOT(ISNUMBER(T2532)),"Needs supplier cost",IF(K2532&lt;&gt;"In stock","Supplier unavailable",IF(AG2532&lt;&gt;"PASS","BLOCK - GT loss risk","Commercially protected")))</x:f>
        <x:v>Needs supplier cost</x:v>
      </x:c>
      <x:c r="AI2532" t="str">
        <x:v>2026-09-10 Active Sports trade capture</x:v>
      </x:c>
      <x:c r="AJ2532" t="str">
        <x:v>Management-only economics. Stripe stress test uses 1.5% + £0.20 standard UK online-card fee; pallet/mix-and-match pricing ignored.</x:v>
      </x:c>
    </x:row>
    <x:row r="2533">
      <x:c r="A2533" t="str">
        <x:v>Active Sports Nutrition</x:v>
      </x:c>
      <x:c r="B2533" t="str">
        <x:v>NXT Nutrition</x:v>
      </x:c>
      <x:c r="C2533" t="str">
        <x:v>TNT Nuclear Shots</x:v>
      </x:c>
      <x:c r="D2533" t="str">
        <x:v>Pre Workouts</x:v>
      </x:c>
      <x:c r="E2533" t="str">
        <x:v>Shots and Ready To Drink</x:v>
      </x:c>
      <x:c r="F2533" t="str"/>
      <x:c r="G2533" t="str">
        <x:v>12 x 60ml</x:v>
      </x:c>
      <x:c r="H2533" t="str">
        <x:v>Strawberry</x:v>
      </x:c>
      <x:c r="I2533" t="str">
        <x:v>12</x:v>
      </x:c>
      <x:c r="J2533" t="str">
        <x:v>Case</x:v>
      </x:c>
      <x:c r="K2533" t="str">
        <x:v>Out of stock</x:v>
      </x:c>
      <x:c r="L2533" t="str">
        <x:v>2026-09-08</x:v>
      </x:c>
      <x:c r="M2533" t="str"/>
      <x:c r="N2533" t="str"/>
      <x:c r="O2533" t="str">
        <x:v>https://www.activesportstrade.co.uk/nxt-nutrition-trade</x:v>
      </x:c>
      <x:c r="P2533" t="str">
        <x:v>Case-only supplier order.</x:v>
      </x:c>
      <x:c r="Q2533" t="str"/>
      <x:c r="R2533" t="str"/>
      <x:c r="S2533" t="str">
        <x:v>Pending genuine supplier/brand image</x:v>
      </x:c>
      <x:c r="T2533" s="54"/>
      <x:c r="U2533" s="47" t="n">
        <x:v>0.2</x:v>
      </x:c>
      <x:c r="V2533" s="54" t="str">
        <x:f>IF(ISNUMBER(T2533),T2533*(1+U2533),"")</x:f>
      </x:c>
      <x:c r="W2533" s="47" t="n">
        <x:v>0.3</x:v>
      </x:c>
      <x:c r="X2533" s="54" t="str">
        <x:f>IF(ISNUMBER(V2533),V2533/(1-W2533),"")</x:f>
      </x:c>
      <x:c r="Y2533" s="55" t="str">
        <x:f>IF(ISNUMBER(X2533),ROUNDUP(X2533,0),"")</x:f>
      </x:c>
      <x:c r="Z2533" t="str">
        <x:f>IF(ISNUMBER(T2533),"Cost captured","Awaiting trade cost")</x:f>
        <x:v>Awaiting trade cost</x:v>
      </x:c>
      <x:c r="AB2533" s="36" t="str">
        <x:f>IF(ISNUMBER(Y2533),ROUND(Y2533*0.9,2),"")</x:f>
      </x:c>
      <x:c r="AC2533" s="36" t="str">
        <x:f>IF(ISNUMBER(AB2533),ROUND(AB2533-(AB2533*0.015+0.2)-V2533,2),"")</x:f>
      </x:c>
      <x:c r="AD2533" s="36" t="str">
        <x:f>IF(ISNUMBER(Y2533),ROUND(Y2533*0.8,2),"")</x:f>
      </x:c>
      <x:c r="AE2533" s="36" t="str">
        <x:f>IF(ISNUMBER(AD2533),ROUND(AD2533*0.015+0.2,2),"")</x:f>
      </x:c>
      <x:c r="AF2533" s="36" t="str">
        <x:f>IF(ISNUMBER(AD2533),ROUND(AD2533-AE2533-V2533,2),"")</x:f>
      </x:c>
      <x:c r="AG2533" t="str">
        <x:f>IF(NOT(ISNUMBER(T2533)),"PENDING",IF(AF2533&gt;0,"PASS","FAIL"))</x:f>
        <x:v>PENDING</x:v>
      </x:c>
      <x:c r="AH2533" t="str">
        <x:f>IF(NOT(ISNUMBER(T2533)),"Needs supplier cost",IF(K2533&lt;&gt;"In stock","Supplier unavailable",IF(AG2533&lt;&gt;"PASS","BLOCK - GT loss risk","Commercially protected")))</x:f>
        <x:v>Needs supplier cost</x:v>
      </x:c>
      <x:c r="AI2533" t="str">
        <x:v>2026-09-10 Active Sports trade capture</x:v>
      </x:c>
      <x:c r="AJ2533" t="str">
        <x:v>Management-only economics. Stripe stress test uses 1.5% + £0.20 standard UK online-card fee; pallet/mix-and-match pricing ignored.</x:v>
      </x:c>
    </x:row>
    <x:row r="2534">
      <x:c r="A2534" t="str">
        <x:v>Active Sports Nutrition</x:v>
      </x:c>
      <x:c r="B2534" t="str">
        <x:v>NXT Nutrition</x:v>
      </x:c>
      <x:c r="C2534" t="str">
        <x:v>Turmeric Curcumin</x:v>
      </x:c>
      <x:c r="D2534" t="str">
        <x:v>Supplements</x:v>
      </x:c>
      <x:c r="E2534" t="str">
        <x:v>Joint Support</x:v>
      </x:c>
      <x:c r="F2534" t="str"/>
      <x:c r="G2534" t="str">
        <x:v>30 caps</x:v>
      </x:c>
      <x:c r="H2534" t="str">
        <x:v>Default</x:v>
      </x:c>
      <x:c r="I2534" t="str"/>
      <x:c r="J2534" t="str">
        <x:v>Unit</x:v>
      </x:c>
      <x:c r="K2534" t="str">
        <x:v>In stock</x:v>
      </x:c>
      <x:c r="L2534" t="str">
        <x:v>2026-09-08</x:v>
      </x:c>
      <x:c r="M2534" t="str"/>
      <x:c r="N2534" t="str"/>
      <x:c r="O2534" t="str">
        <x:v>https://www.activesportstrade.co.uk/nxt-nutrition-trade</x:v>
      </x:c>
      <x:c r="P2534" t="str"/>
      <x:c r="Q2534" t="str"/>
      <x:c r="R2534" t="str"/>
      <x:c r="S2534" t="str">
        <x:v>Pending genuine supplier/brand image</x:v>
      </x:c>
      <x:c r="T2534" s="54"/>
      <x:c r="U2534" s="47" t="n">
        <x:v>0.2</x:v>
      </x:c>
      <x:c r="V2534" s="54" t="str">
        <x:f>IF(ISNUMBER(T2534),T2534*(1+U2534),"")</x:f>
      </x:c>
      <x:c r="W2534" s="47" t="n">
        <x:v>0.3</x:v>
      </x:c>
      <x:c r="X2534" s="54" t="str">
        <x:f>IF(ISNUMBER(V2534),V2534/(1-W2534),"")</x:f>
      </x:c>
      <x:c r="Y2534" s="55" t="str">
        <x:f>IF(ISNUMBER(X2534),ROUNDUP(X2534,0),"")</x:f>
      </x:c>
      <x:c r="Z2534" t="str">
        <x:f>IF(ISNUMBER(T2534),"Cost captured","Awaiting trade cost")</x:f>
        <x:v>Awaiting trade cost</x:v>
      </x:c>
      <x:c r="AB2534" s="36" t="str">
        <x:f>IF(ISNUMBER(Y2534),ROUND(Y2534*0.9,2),"")</x:f>
      </x:c>
      <x:c r="AC2534" s="36" t="str">
        <x:f>IF(ISNUMBER(AB2534),ROUND(AB2534-(AB2534*0.015+0.2)-V2534,2),"")</x:f>
      </x:c>
      <x:c r="AD2534" s="36" t="str">
        <x:f>IF(ISNUMBER(Y2534),ROUND(Y2534*0.8,2),"")</x:f>
      </x:c>
      <x:c r="AE2534" s="36" t="str">
        <x:f>IF(ISNUMBER(AD2534),ROUND(AD2534*0.015+0.2,2),"")</x:f>
      </x:c>
      <x:c r="AF2534" s="36" t="str">
        <x:f>IF(ISNUMBER(AD2534),ROUND(AD2534-AE2534-V2534,2),"")</x:f>
      </x:c>
      <x:c r="AG2534" t="str">
        <x:f>IF(NOT(ISNUMBER(T2534)),"PENDING",IF(AF2534&gt;0,"PASS","FAIL"))</x:f>
        <x:v>PENDING</x:v>
      </x:c>
      <x:c r="AH2534" t="str">
        <x:f>IF(NOT(ISNUMBER(T2534)),"Needs supplier cost",IF(K2534&lt;&gt;"In stock","Supplier unavailable",IF(AG2534&lt;&gt;"PASS","BLOCK - GT loss risk","Commercially protected")))</x:f>
        <x:v>Needs supplier cost</x:v>
      </x:c>
      <x:c r="AI2534" t="str">
        <x:v>2026-09-10 Active Sports trade capture</x:v>
      </x:c>
      <x:c r="AJ2534" t="str">
        <x:v>Management-only economics. Stripe stress test uses 1.5% + £0.20 standard UK online-card fee; pallet/mix-and-match pricing ignored.</x:v>
      </x:c>
    </x:row>
    <x:row r="2535">
      <x:c r="A2535" t="str">
        <x:v>Active Sports Nutrition</x:v>
      </x:c>
      <x:c r="B2535" t="str">
        <x:v>NXT Nutrition</x:v>
      </x:c>
      <x:c r="C2535" t="str">
        <x:v>Vitamin B Complex</x:v>
      </x:c>
      <x:c r="D2535" t="str">
        <x:v>Supplements</x:v>
      </x:c>
      <x:c r="E2535" t="str">
        <x:v>Vitamins and Minerals</x:v>
      </x:c>
      <x:c r="F2535" t="str"/>
      <x:c r="G2535" t="str">
        <x:v>60 tablets</x:v>
      </x:c>
      <x:c r="H2535" t="str">
        <x:v>Default</x:v>
      </x:c>
      <x:c r="I2535" t="str"/>
      <x:c r="J2535" t="str">
        <x:v>Unit</x:v>
      </x:c>
      <x:c r="K2535" t="str">
        <x:v>In stock</x:v>
      </x:c>
      <x:c r="L2535" t="str">
        <x:v>2026-09-08</x:v>
      </x:c>
      <x:c r="M2535" t="str"/>
      <x:c r="N2535" t="str"/>
      <x:c r="O2535" t="str">
        <x:v>https://www.activesportstrade.co.uk/nxt-nutrition-trade</x:v>
      </x:c>
      <x:c r="P2535" t="str"/>
      <x:c r="Q2535" t="str"/>
      <x:c r="R2535" t="str"/>
      <x:c r="S2535" t="str">
        <x:v>Pending genuine supplier/brand image</x:v>
      </x:c>
      <x:c r="T2535" s="54"/>
      <x:c r="U2535" s="47" t="n">
        <x:v>0.2</x:v>
      </x:c>
      <x:c r="V2535" s="54" t="str">
        <x:f>IF(ISNUMBER(T2535),T2535*(1+U2535),"")</x:f>
      </x:c>
      <x:c r="W2535" s="47" t="n">
        <x:v>0.3</x:v>
      </x:c>
      <x:c r="X2535" s="54" t="str">
        <x:f>IF(ISNUMBER(V2535),V2535/(1-W2535),"")</x:f>
      </x:c>
      <x:c r="Y2535" s="55" t="str">
        <x:f>IF(ISNUMBER(X2535),ROUNDUP(X2535,0),"")</x:f>
      </x:c>
      <x:c r="Z2535" t="str">
        <x:f>IF(ISNUMBER(T2535),"Cost captured","Awaiting trade cost")</x:f>
        <x:v>Awaiting trade cost</x:v>
      </x:c>
      <x:c r="AB2535" s="36" t="str">
        <x:f>IF(ISNUMBER(Y2535),ROUND(Y2535*0.9,2),"")</x:f>
      </x:c>
      <x:c r="AC2535" s="36" t="str">
        <x:f>IF(ISNUMBER(AB2535),ROUND(AB2535-(AB2535*0.015+0.2)-V2535,2),"")</x:f>
      </x:c>
      <x:c r="AD2535" s="36" t="str">
        <x:f>IF(ISNUMBER(Y2535),ROUND(Y2535*0.8,2),"")</x:f>
      </x:c>
      <x:c r="AE2535" s="36" t="str">
        <x:f>IF(ISNUMBER(AD2535),ROUND(AD2535*0.015+0.2,2),"")</x:f>
      </x:c>
      <x:c r="AF2535" s="36" t="str">
        <x:f>IF(ISNUMBER(AD2535),ROUND(AD2535-AE2535-V2535,2),"")</x:f>
      </x:c>
      <x:c r="AG2535" t="str">
        <x:f>IF(NOT(ISNUMBER(T2535)),"PENDING",IF(AF2535&gt;0,"PASS","FAIL"))</x:f>
        <x:v>PENDING</x:v>
      </x:c>
      <x:c r="AH2535" t="str">
        <x:f>IF(NOT(ISNUMBER(T2535)),"Needs supplier cost",IF(K2535&lt;&gt;"In stock","Supplier unavailable",IF(AG2535&lt;&gt;"PASS","BLOCK - GT loss risk","Commercially protected")))</x:f>
        <x:v>Needs supplier cost</x:v>
      </x:c>
      <x:c r="AI2535" t="str">
        <x:v>2026-09-10 Active Sports trade capture</x:v>
      </x:c>
      <x:c r="AJ2535" t="str">
        <x:v>Management-only economics. Stripe stress test uses 1.5% + £0.20 standard UK online-card fee; pallet/mix-and-match pricing ignored.</x:v>
      </x:c>
    </x:row>
    <x:row r="2536">
      <x:c r="A2536" t="str">
        <x:v>Active Sports Nutrition</x:v>
      </x:c>
      <x:c r="B2536" t="str">
        <x:v>NXT Nutrition</x:v>
      </x:c>
      <x:c r="C2536" t="str">
        <x:v>Vitamin D3 &amp; K2</x:v>
      </x:c>
      <x:c r="D2536" t="str">
        <x:v>Supplements</x:v>
      </x:c>
      <x:c r="E2536" t="str">
        <x:v>Vitamins and Minerals</x:v>
      </x:c>
      <x:c r="F2536" t="str"/>
      <x:c r="G2536" t="str">
        <x:v>30 tablets</x:v>
      </x:c>
      <x:c r="H2536" t="str">
        <x:v>Default</x:v>
      </x:c>
      <x:c r="I2536" t="str"/>
      <x:c r="J2536" t="str">
        <x:v>Unit</x:v>
      </x:c>
      <x:c r="K2536" t="str">
        <x:v>In stock</x:v>
      </x:c>
      <x:c r="L2536" t="str">
        <x:v>2026-09-08</x:v>
      </x:c>
      <x:c r="M2536" t="str"/>
      <x:c r="N2536" t="str"/>
      <x:c r="O2536" t="str">
        <x:v>https://www.activesportstrade.co.uk/nxt-nutrition-trade</x:v>
      </x:c>
      <x:c r="P2536" t="str"/>
      <x:c r="Q2536" t="str"/>
      <x:c r="R2536" t="str"/>
      <x:c r="S2536" t="str">
        <x:v>Pending genuine supplier/brand image</x:v>
      </x:c>
      <x:c r="T2536" s="54"/>
      <x:c r="U2536" s="47" t="n">
        <x:v>0.2</x:v>
      </x:c>
      <x:c r="V2536" s="54" t="str">
        <x:f>IF(ISNUMBER(T2536),T2536*(1+U2536),"")</x:f>
      </x:c>
      <x:c r="W2536" s="47" t="n">
        <x:v>0.3</x:v>
      </x:c>
      <x:c r="X2536" s="54" t="str">
        <x:f>IF(ISNUMBER(V2536),V2536/(1-W2536),"")</x:f>
      </x:c>
      <x:c r="Y2536" s="55" t="str">
        <x:f>IF(ISNUMBER(X2536),ROUNDUP(X2536,0),"")</x:f>
      </x:c>
      <x:c r="Z2536" t="str">
        <x:f>IF(ISNUMBER(T2536),"Cost captured","Awaiting trade cost")</x:f>
        <x:v>Awaiting trade cost</x:v>
      </x:c>
      <x:c r="AB2536" s="36" t="str">
        <x:f>IF(ISNUMBER(Y2536),ROUND(Y2536*0.9,2),"")</x:f>
      </x:c>
      <x:c r="AC2536" s="36" t="str">
        <x:f>IF(ISNUMBER(AB2536),ROUND(AB2536-(AB2536*0.015+0.2)-V2536,2),"")</x:f>
      </x:c>
      <x:c r="AD2536" s="36" t="str">
        <x:f>IF(ISNUMBER(Y2536),ROUND(Y2536*0.8,2),"")</x:f>
      </x:c>
      <x:c r="AE2536" s="36" t="str">
        <x:f>IF(ISNUMBER(AD2536),ROUND(AD2536*0.015+0.2,2),"")</x:f>
      </x:c>
      <x:c r="AF2536" s="36" t="str">
        <x:f>IF(ISNUMBER(AD2536),ROUND(AD2536-AE2536-V2536,2),"")</x:f>
      </x:c>
      <x:c r="AG2536" t="str">
        <x:f>IF(NOT(ISNUMBER(T2536)),"PENDING",IF(AF2536&gt;0,"PASS","FAIL"))</x:f>
        <x:v>PENDING</x:v>
      </x:c>
      <x:c r="AH2536" t="str">
        <x:f>IF(NOT(ISNUMBER(T2536)),"Needs supplier cost",IF(K2536&lt;&gt;"In stock","Supplier unavailable",IF(AG2536&lt;&gt;"PASS","BLOCK - GT loss risk","Commercially protected")))</x:f>
        <x:v>Needs supplier cost</x:v>
      </x:c>
      <x:c r="AI2536" t="str">
        <x:v>2026-09-10 Active Sports trade capture</x:v>
      </x:c>
      <x:c r="AJ2536" t="str">
        <x:v>Management-only economics. Stripe stress test uses 1.5% + £0.20 standard UK online-card fee; pallet/mix-and-match pricing ignored.</x:v>
      </x:c>
    </x:row>
    <x:row r="2537">
      <x:c r="A2537" t="str">
        <x:v>Active Sports Nutrition</x:v>
      </x:c>
      <x:c r="B2537" t="str">
        <x:v>Optimum Nutrition</x:v>
      </x:c>
      <x:c r="C2537" t="str">
        <x:v>Gold Standard 100% Casein</x:v>
      </x:c>
      <x:c r="D2537" t="str">
        <x:v>Supplements</x:v>
      </x:c>
      <x:c r="E2537" t="str">
        <x:v>Casein Protein</x:v>
      </x:c>
      <x:c r="F2537" t="str"/>
      <x:c r="G2537" t="str">
        <x:v>924g</x:v>
      </x:c>
      <x:c r="H2537" t="str">
        <x:v>Chocolate Supreme</x:v>
      </x:c>
      <x:c r="I2537" t="str"/>
      <x:c r="J2537" t="str">
        <x:v>Unit</x:v>
      </x:c>
      <x:c r="K2537" t="str">
        <x:v>Out of stock</x:v>
      </x:c>
      <x:c r="L2537" t="str">
        <x:v>2026-09-08</x:v>
      </x:c>
      <x:c r="M2537" t="str"/>
      <x:c r="N2537" t="str"/>
      <x:c r="O2537" t="str">
        <x:v>https://www.activesportstrade.co.uk/trade-sports-supplements/Optimum-Nutrition</x:v>
      </x:c>
      <x:c r="P2537" t="str">
        <x:v>Supplier BLACK FRIDAY/SPECIAL OFFER wording stripped. Past BBE-dated variants blocked as dated clearance.</x:v>
      </x:c>
      <x:c r="Q2537" t="str"/>
      <x:c r="R2537" t="str"/>
      <x:c r="S2537" t="str">
        <x:v>Pending genuine supplier/brand image</x:v>
      </x:c>
      <x:c r="T2537" s="54"/>
      <x:c r="U2537" s="47" t="n">
        <x:v>0.2</x:v>
      </x:c>
      <x:c r="V2537" s="54" t="str">
        <x:f>IF(ISNUMBER(T2537),T2537*(1+U2537),"")</x:f>
      </x:c>
      <x:c r="W2537" s="47" t="n">
        <x:v>0.3</x:v>
      </x:c>
      <x:c r="X2537" s="54" t="str">
        <x:f>IF(ISNUMBER(V2537),V2537/(1-W2537),"")</x:f>
      </x:c>
      <x:c r="Y2537" s="55" t="str">
        <x:f>IF(ISNUMBER(X2537),ROUNDUP(X2537,0),"")</x:f>
      </x:c>
      <x:c r="Z2537" t="str">
        <x:f>IF(ISNUMBER(T2537),"Cost captured","Awaiting trade cost")</x:f>
        <x:v>Awaiting trade cost</x:v>
      </x:c>
      <x:c r="AB2537" s="36" t="str">
        <x:f>IF(ISNUMBER(Y2537),ROUND(Y2537*0.9,2),"")</x:f>
      </x:c>
      <x:c r="AC2537" s="36" t="str">
        <x:f>IF(ISNUMBER(AB2537),ROUND(AB2537-(AB2537*0.015+0.2)-V2537,2),"")</x:f>
      </x:c>
      <x:c r="AD2537" s="36" t="str">
        <x:f>IF(ISNUMBER(Y2537),ROUND(Y2537*0.8,2),"")</x:f>
      </x:c>
      <x:c r="AE2537" s="36" t="str">
        <x:f>IF(ISNUMBER(AD2537),ROUND(AD2537*0.015+0.2,2),"")</x:f>
      </x:c>
      <x:c r="AF2537" s="36" t="str">
        <x:f>IF(ISNUMBER(AD2537),ROUND(AD2537-AE2537-V2537,2),"")</x:f>
      </x:c>
      <x:c r="AG2537" t="str">
        <x:f>IF(NOT(ISNUMBER(T2537)),"PENDING",IF(AF2537&gt;0,"PASS","FAIL"))</x:f>
        <x:v>PENDING</x:v>
      </x:c>
      <x:c r="AH2537" t="str">
        <x:f>IF(NOT(ISNUMBER(T2537)),"Needs supplier cost",IF(K2537&lt;&gt;"In stock","Supplier unavailable",IF(AG2537&lt;&gt;"PASS","BLOCK - GT loss risk","Commercially protected")))</x:f>
        <x:v>Needs supplier cost</x:v>
      </x:c>
      <x:c r="AI2537" t="str">
        <x:v>2026-09-10 Active Sports trade capture</x:v>
      </x:c>
      <x:c r="AJ2537" t="str">
        <x:v>Management-only economics. Stripe stress test uses 1.5% + £0.20 standard UK online-card fee; pallet/mix-and-match pricing ignored.</x:v>
      </x:c>
    </x:row>
    <x:row r="2538">
      <x:c r="A2538" t="str">
        <x:v>Active Sports Nutrition</x:v>
      </x:c>
      <x:c r="B2538" t="str">
        <x:v>Optimum Nutrition</x:v>
      </x:c>
      <x:c r="C2538" t="str">
        <x:v>Gold Standard 100% Casein</x:v>
      </x:c>
      <x:c r="D2538" t="str">
        <x:v>Supplements</x:v>
      </x:c>
      <x:c r="E2538" t="str">
        <x:v>Casein Protein</x:v>
      </x:c>
      <x:c r="F2538" t="str"/>
      <x:c r="G2538" t="str">
        <x:v>924g</x:v>
      </x:c>
      <x:c r="H2538" t="str">
        <x:v>Cookies and Cream</x:v>
      </x:c>
      <x:c r="I2538" t="str"/>
      <x:c r="J2538" t="str">
        <x:v>Unit</x:v>
      </x:c>
      <x:c r="K2538" t="str">
        <x:v>Unavailable - dated clearance</x:v>
      </x:c>
      <x:c r="L2538" t="str">
        <x:v>2026-09-08</x:v>
      </x:c>
      <x:c r="M2538" t="str"/>
      <x:c r="N2538" t="str"/>
      <x:c r="O2538" t="str">
        <x:v>https://www.activesportstrade.co.uk/trade-sports-supplements/Optimum-Nutrition</x:v>
      </x:c>
      <x:c r="P2538" t="str">
        <x:v>Supplier BLACK FRIDAY/SPECIAL OFFER wording stripped. Past BBE-dated variants blocked as dated clearance.</x:v>
      </x:c>
      <x:c r="Q2538" t="str"/>
      <x:c r="R2538" t="str"/>
      <x:c r="S2538" t="str">
        <x:v>Pending genuine supplier/brand image</x:v>
      </x:c>
      <x:c r="T2538" s="54"/>
      <x:c r="U2538" s="47" t="n">
        <x:v>0.2</x:v>
      </x:c>
      <x:c r="V2538" s="54" t="str">
        <x:f>IF(ISNUMBER(T2538),T2538*(1+U2538),"")</x:f>
      </x:c>
      <x:c r="W2538" s="47" t="n">
        <x:v>0.3</x:v>
      </x:c>
      <x:c r="X2538" s="54" t="str">
        <x:f>IF(ISNUMBER(V2538),V2538/(1-W2538),"")</x:f>
      </x:c>
      <x:c r="Y2538" s="55" t="str">
        <x:f>IF(ISNUMBER(X2538),ROUNDUP(X2538,0),"")</x:f>
      </x:c>
      <x:c r="Z2538" t="str">
        <x:f>IF(ISNUMBER(T2538),"Cost captured","Awaiting trade cost")</x:f>
        <x:v>Awaiting trade cost</x:v>
      </x:c>
      <x:c r="AB2538" s="36" t="str">
        <x:f>IF(ISNUMBER(Y2538),ROUND(Y2538*0.9,2),"")</x:f>
      </x:c>
      <x:c r="AC2538" s="36" t="str">
        <x:f>IF(ISNUMBER(AB2538),ROUND(AB2538-(AB2538*0.015+0.2)-V2538,2),"")</x:f>
      </x:c>
      <x:c r="AD2538" s="36" t="str">
        <x:f>IF(ISNUMBER(Y2538),ROUND(Y2538*0.8,2),"")</x:f>
      </x:c>
      <x:c r="AE2538" s="36" t="str">
        <x:f>IF(ISNUMBER(AD2538),ROUND(AD2538*0.015+0.2,2),"")</x:f>
      </x:c>
      <x:c r="AF2538" s="36" t="str">
        <x:f>IF(ISNUMBER(AD2538),ROUND(AD2538-AE2538-V2538,2),"")</x:f>
      </x:c>
      <x:c r="AG2538" t="str">
        <x:f>IF(NOT(ISNUMBER(T2538)),"PENDING",IF(AF2538&gt;0,"PASS","FAIL"))</x:f>
        <x:v>PENDING</x:v>
      </x:c>
      <x:c r="AH2538" t="str">
        <x:f>IF(NOT(ISNUMBER(T2538)),"Needs supplier cost",IF(K2538&lt;&gt;"In stock","Supplier unavailable",IF(AG2538&lt;&gt;"PASS","BLOCK - GT loss risk","Commercially protected")))</x:f>
        <x:v>Needs supplier cost</x:v>
      </x:c>
      <x:c r="AI2538" t="str">
        <x:v>2026-09-10 Active Sports trade capture</x:v>
      </x:c>
      <x:c r="AJ2538" t="str">
        <x:v>Management-only economics. Stripe stress test uses 1.5% + £0.20 standard UK online-card fee; pallet/mix-and-match pricing ignored.</x:v>
      </x:c>
    </x:row>
    <x:row r="2539">
      <x:c r="A2539" t="str">
        <x:v>Active Sports Nutrition</x:v>
      </x:c>
      <x:c r="B2539" t="str">
        <x:v>Optimum Nutrition</x:v>
      </x:c>
      <x:c r="C2539" t="str">
        <x:v>Gold Standard 100% Casein</x:v>
      </x:c>
      <x:c r="D2539" t="str">
        <x:v>Supplements</x:v>
      </x:c>
      <x:c r="E2539" t="str">
        <x:v>Casein Protein</x:v>
      </x:c>
      <x:c r="F2539" t="str"/>
      <x:c r="G2539" t="str">
        <x:v>924g</x:v>
      </x:c>
      <x:c r="H2539" t="str">
        <x:v>Creamy Vanilla</x:v>
      </x:c>
      <x:c r="I2539" t="str"/>
      <x:c r="J2539" t="str">
        <x:v>Unit</x:v>
      </x:c>
      <x:c r="K2539" t="str">
        <x:v>Unavailable - dated clearance</x:v>
      </x:c>
      <x:c r="L2539" t="str">
        <x:v>2026-09-08</x:v>
      </x:c>
      <x:c r="M2539" t="str"/>
      <x:c r="N2539" t="str"/>
      <x:c r="O2539" t="str">
        <x:v>https://www.activesportstrade.co.uk/trade-sports-supplements/Optimum-Nutrition</x:v>
      </x:c>
      <x:c r="P2539" t="str">
        <x:v>Supplier BLACK FRIDAY/SPECIAL OFFER wording stripped. Past BBE-dated variants blocked as dated clearance.</x:v>
      </x:c>
      <x:c r="Q2539" t="str"/>
      <x:c r="R2539" t="str"/>
      <x:c r="S2539" t="str">
        <x:v>Pending genuine supplier/brand image</x:v>
      </x:c>
      <x:c r="T2539" s="54"/>
      <x:c r="U2539" s="47" t="n">
        <x:v>0.2</x:v>
      </x:c>
      <x:c r="V2539" s="54" t="str">
        <x:f>IF(ISNUMBER(T2539),T2539*(1+U2539),"")</x:f>
      </x:c>
      <x:c r="W2539" s="47" t="n">
        <x:v>0.3</x:v>
      </x:c>
      <x:c r="X2539" s="54" t="str">
        <x:f>IF(ISNUMBER(V2539),V2539/(1-W2539),"")</x:f>
      </x:c>
      <x:c r="Y2539" s="55" t="str">
        <x:f>IF(ISNUMBER(X2539),ROUNDUP(X2539,0),"")</x:f>
      </x:c>
      <x:c r="Z2539" t="str">
        <x:f>IF(ISNUMBER(T2539),"Cost captured","Awaiting trade cost")</x:f>
        <x:v>Awaiting trade cost</x:v>
      </x:c>
      <x:c r="AB2539" s="36" t="str">
        <x:f>IF(ISNUMBER(Y2539),ROUND(Y2539*0.9,2),"")</x:f>
      </x:c>
      <x:c r="AC2539" s="36" t="str">
        <x:f>IF(ISNUMBER(AB2539),ROUND(AB2539-(AB2539*0.015+0.2)-V2539,2),"")</x:f>
      </x:c>
      <x:c r="AD2539" s="36" t="str">
        <x:f>IF(ISNUMBER(Y2539),ROUND(Y2539*0.8,2),"")</x:f>
      </x:c>
      <x:c r="AE2539" s="36" t="str">
        <x:f>IF(ISNUMBER(AD2539),ROUND(AD2539*0.015+0.2,2),"")</x:f>
      </x:c>
      <x:c r="AF2539" s="36" t="str">
        <x:f>IF(ISNUMBER(AD2539),ROUND(AD2539-AE2539-V2539,2),"")</x:f>
      </x:c>
      <x:c r="AG2539" t="str">
        <x:f>IF(NOT(ISNUMBER(T2539)),"PENDING",IF(AF2539&gt;0,"PASS","FAIL"))</x:f>
        <x:v>PENDING</x:v>
      </x:c>
      <x:c r="AH2539" t="str">
        <x:f>IF(NOT(ISNUMBER(T2539)),"Needs supplier cost",IF(K2539&lt;&gt;"In stock","Supplier unavailable",IF(AG2539&lt;&gt;"PASS","BLOCK - GT loss risk","Commercially protected")))</x:f>
        <x:v>Needs supplier cost</x:v>
      </x:c>
      <x:c r="AI2539" t="str">
        <x:v>2026-09-10 Active Sports trade capture</x:v>
      </x:c>
      <x:c r="AJ2539" t="str">
        <x:v>Management-only economics. Stripe stress test uses 1.5% + £0.20 standard UK online-card fee; pallet/mix-and-match pricing ignored.</x:v>
      </x:c>
    </x:row>
    <x:row r="2540">
      <x:c r="A2540" t="str">
        <x:v>Active Sports Nutrition</x:v>
      </x:c>
      <x:c r="B2540" t="str">
        <x:v>Optimum Nutrition</x:v>
      </x:c>
      <x:c r="C2540" t="str">
        <x:v>Gold Standard 100% Casein</x:v>
      </x:c>
      <x:c r="D2540" t="str">
        <x:v>Supplements</x:v>
      </x:c>
      <x:c r="E2540" t="str">
        <x:v>Casein Protein</x:v>
      </x:c>
      <x:c r="F2540" t="str"/>
      <x:c r="G2540" t="str">
        <x:v>924g</x:v>
      </x:c>
      <x:c r="H2540" t="str">
        <x:v>Strawberry</x:v>
      </x:c>
      <x:c r="I2540" t="str"/>
      <x:c r="J2540" t="str">
        <x:v>Unit</x:v>
      </x:c>
      <x:c r="K2540" t="str">
        <x:v>Unavailable - dated clearance</x:v>
      </x:c>
      <x:c r="L2540" t="str">
        <x:v>2026-09-08</x:v>
      </x:c>
      <x:c r="M2540" t="str"/>
      <x:c r="N2540" t="str"/>
      <x:c r="O2540" t="str">
        <x:v>https://www.activesportstrade.co.uk/trade-sports-supplements/Optimum-Nutrition</x:v>
      </x:c>
      <x:c r="P2540" t="str">
        <x:v>Supplier BLACK FRIDAY/SPECIAL OFFER wording stripped. Past BBE-dated variants blocked as dated clearance.</x:v>
      </x:c>
      <x:c r="Q2540" t="str"/>
      <x:c r="R2540" t="str"/>
      <x:c r="S2540" t="str">
        <x:v>Pending genuine supplier/brand image</x:v>
      </x:c>
      <x:c r="T2540" s="54"/>
      <x:c r="U2540" s="47" t="n">
        <x:v>0.2</x:v>
      </x:c>
      <x:c r="V2540" s="54" t="str">
        <x:f>IF(ISNUMBER(T2540),T2540*(1+U2540),"")</x:f>
      </x:c>
      <x:c r="W2540" s="47" t="n">
        <x:v>0.3</x:v>
      </x:c>
      <x:c r="X2540" s="54" t="str">
        <x:f>IF(ISNUMBER(V2540),V2540/(1-W2540),"")</x:f>
      </x:c>
      <x:c r="Y2540" s="55" t="str">
        <x:f>IF(ISNUMBER(X2540),ROUNDUP(X2540,0),"")</x:f>
      </x:c>
      <x:c r="Z2540" t="str">
        <x:f>IF(ISNUMBER(T2540),"Cost captured","Awaiting trade cost")</x:f>
        <x:v>Awaiting trade cost</x:v>
      </x:c>
      <x:c r="AB2540" s="36" t="str">
        <x:f>IF(ISNUMBER(Y2540),ROUND(Y2540*0.9,2),"")</x:f>
      </x:c>
      <x:c r="AC2540" s="36" t="str">
        <x:f>IF(ISNUMBER(AB2540),ROUND(AB2540-(AB2540*0.015+0.2)-V2540,2),"")</x:f>
      </x:c>
      <x:c r="AD2540" s="36" t="str">
        <x:f>IF(ISNUMBER(Y2540),ROUND(Y2540*0.8,2),"")</x:f>
      </x:c>
      <x:c r="AE2540" s="36" t="str">
        <x:f>IF(ISNUMBER(AD2540),ROUND(AD2540*0.015+0.2,2),"")</x:f>
      </x:c>
      <x:c r="AF2540" s="36" t="str">
        <x:f>IF(ISNUMBER(AD2540),ROUND(AD2540-AE2540-V2540,2),"")</x:f>
      </x:c>
      <x:c r="AG2540" t="str">
        <x:f>IF(NOT(ISNUMBER(T2540)),"PENDING",IF(AF2540&gt;0,"PASS","FAIL"))</x:f>
        <x:v>PENDING</x:v>
      </x:c>
      <x:c r="AH2540" t="str">
        <x:f>IF(NOT(ISNUMBER(T2540)),"Needs supplier cost",IF(K2540&lt;&gt;"In stock","Supplier unavailable",IF(AG2540&lt;&gt;"PASS","BLOCK - GT loss risk","Commercially protected")))</x:f>
        <x:v>Needs supplier cost</x:v>
      </x:c>
      <x:c r="AI2540" t="str">
        <x:v>2026-09-10 Active Sports trade capture</x:v>
      </x:c>
      <x:c r="AJ2540" t="str">
        <x:v>Management-only economics. Stripe stress test uses 1.5% + £0.20 standard UK online-card fee; pallet/mix-and-match pricing ignored.</x:v>
      </x:c>
    </x:row>
    <x:row r="2541">
      <x:c r="A2541" t="str">
        <x:v>Active Sports Nutrition</x:v>
      </x:c>
      <x:c r="B2541" t="str">
        <x:v>Optimum Nutrition</x:v>
      </x:c>
      <x:c r="C2541" t="str">
        <x:v>Gold Standard 100% Casein</x:v>
      </x:c>
      <x:c r="D2541" t="str">
        <x:v>Supplements</x:v>
      </x:c>
      <x:c r="E2541" t="str">
        <x:v>Casein Protein</x:v>
      </x:c>
      <x:c r="F2541" t="str"/>
      <x:c r="G2541" t="str">
        <x:v>1.8kg</x:v>
      </x:c>
      <x:c r="H2541" t="str">
        <x:v>Chocolate Supreme</x:v>
      </x:c>
      <x:c r="I2541" t="str"/>
      <x:c r="J2541" t="str">
        <x:v>Unit</x:v>
      </x:c>
      <x:c r="K2541" t="str">
        <x:v>Out of stock</x:v>
      </x:c>
      <x:c r="L2541" t="str">
        <x:v>2026-09-08</x:v>
      </x:c>
      <x:c r="M2541" t="str"/>
      <x:c r="N2541" t="str"/>
      <x:c r="O2541" t="str">
        <x:v>https://www.activesportstrade.co.uk/trade-sports-supplements/Optimum-Nutrition</x:v>
      </x:c>
      <x:c r="P2541" t="str">
        <x:v>Supplier BLACK FRIDAY/SPECIAL OFFER wording stripped. Past BBE-dated Strawberry blocked as dated clearance.</x:v>
      </x:c>
      <x:c r="Q2541" t="str"/>
      <x:c r="R2541" t="str"/>
      <x:c r="S2541" t="str">
        <x:v>Pending genuine supplier/brand image</x:v>
      </x:c>
      <x:c r="T2541" s="54"/>
      <x:c r="U2541" s="47" t="n">
        <x:v>0.2</x:v>
      </x:c>
      <x:c r="V2541" s="54" t="str">
        <x:f>IF(ISNUMBER(T2541),T2541*(1+U2541),"")</x:f>
      </x:c>
      <x:c r="W2541" s="47" t="n">
        <x:v>0.3</x:v>
      </x:c>
      <x:c r="X2541" s="54" t="str">
        <x:f>IF(ISNUMBER(V2541),V2541/(1-W2541),"")</x:f>
      </x:c>
      <x:c r="Y2541" s="55" t="str">
        <x:f>IF(ISNUMBER(X2541),ROUNDUP(X2541,0),"")</x:f>
      </x:c>
      <x:c r="Z2541" t="str">
        <x:f>IF(ISNUMBER(T2541),"Cost captured","Awaiting trade cost")</x:f>
        <x:v>Awaiting trade cost</x:v>
      </x:c>
      <x:c r="AB2541" s="36" t="str">
        <x:f>IF(ISNUMBER(Y2541),ROUND(Y2541*0.9,2),"")</x:f>
      </x:c>
      <x:c r="AC2541" s="36" t="str">
        <x:f>IF(ISNUMBER(AB2541),ROUND(AB2541-(AB2541*0.015+0.2)-V2541,2),"")</x:f>
      </x:c>
      <x:c r="AD2541" s="36" t="str">
        <x:f>IF(ISNUMBER(Y2541),ROUND(Y2541*0.8,2),"")</x:f>
      </x:c>
      <x:c r="AE2541" s="36" t="str">
        <x:f>IF(ISNUMBER(AD2541),ROUND(AD2541*0.015+0.2,2),"")</x:f>
      </x:c>
      <x:c r="AF2541" s="36" t="str">
        <x:f>IF(ISNUMBER(AD2541),ROUND(AD2541-AE2541-V2541,2),"")</x:f>
      </x:c>
      <x:c r="AG2541" t="str">
        <x:f>IF(NOT(ISNUMBER(T2541)),"PENDING",IF(AF2541&gt;0,"PASS","FAIL"))</x:f>
        <x:v>PENDING</x:v>
      </x:c>
      <x:c r="AH2541" t="str">
        <x:f>IF(NOT(ISNUMBER(T2541)),"Needs supplier cost",IF(K2541&lt;&gt;"In stock","Supplier unavailable",IF(AG2541&lt;&gt;"PASS","BLOCK - GT loss risk","Commercially protected")))</x:f>
        <x:v>Needs supplier cost</x:v>
      </x:c>
      <x:c r="AI2541" t="str">
        <x:v>2026-09-10 Active Sports trade capture</x:v>
      </x:c>
      <x:c r="AJ2541" t="str">
        <x:v>Management-only economics. Stripe stress test uses 1.5% + £0.20 standard UK online-card fee; pallet/mix-and-match pricing ignored.</x:v>
      </x:c>
    </x:row>
    <x:row r="2542">
      <x:c r="A2542" t="str">
        <x:v>Active Sports Nutrition</x:v>
      </x:c>
      <x:c r="B2542" t="str">
        <x:v>Optimum Nutrition</x:v>
      </x:c>
      <x:c r="C2542" t="str">
        <x:v>Gold Standard 100% Casein</x:v>
      </x:c>
      <x:c r="D2542" t="str">
        <x:v>Supplements</x:v>
      </x:c>
      <x:c r="E2542" t="str">
        <x:v>Casein Protein</x:v>
      </x:c>
      <x:c r="F2542" t="str"/>
      <x:c r="G2542" t="str">
        <x:v>1.8kg</x:v>
      </x:c>
      <x:c r="H2542" t="str">
        <x:v>Creamy Vanilla</x:v>
      </x:c>
      <x:c r="I2542" t="str"/>
      <x:c r="J2542" t="str">
        <x:v>Unit</x:v>
      </x:c>
      <x:c r="K2542" t="str">
        <x:v>Out of stock</x:v>
      </x:c>
      <x:c r="L2542" t="str">
        <x:v>2026-09-08</x:v>
      </x:c>
      <x:c r="M2542" t="str"/>
      <x:c r="N2542" t="str"/>
      <x:c r="O2542" t="str">
        <x:v>https://www.activesportstrade.co.uk/trade-sports-supplements/Optimum-Nutrition</x:v>
      </x:c>
      <x:c r="P2542" t="str">
        <x:v>Supplier BLACK FRIDAY/SPECIAL OFFER wording stripped. Past BBE-dated Strawberry blocked as dated clearance.</x:v>
      </x:c>
      <x:c r="Q2542" t="str"/>
      <x:c r="R2542" t="str"/>
      <x:c r="S2542" t="str">
        <x:v>Pending genuine supplier/brand image</x:v>
      </x:c>
      <x:c r="T2542" s="54"/>
      <x:c r="U2542" s="47" t="n">
        <x:v>0.2</x:v>
      </x:c>
      <x:c r="V2542" s="54" t="str">
        <x:f>IF(ISNUMBER(T2542),T2542*(1+U2542),"")</x:f>
      </x:c>
      <x:c r="W2542" s="47" t="n">
        <x:v>0.3</x:v>
      </x:c>
      <x:c r="X2542" s="54" t="str">
        <x:f>IF(ISNUMBER(V2542),V2542/(1-W2542),"")</x:f>
      </x:c>
      <x:c r="Y2542" s="55" t="str">
        <x:f>IF(ISNUMBER(X2542),ROUNDUP(X2542,0),"")</x:f>
      </x:c>
      <x:c r="Z2542" t="str">
        <x:f>IF(ISNUMBER(T2542),"Cost captured","Awaiting trade cost")</x:f>
        <x:v>Awaiting trade cost</x:v>
      </x:c>
      <x:c r="AB2542" s="36" t="str">
        <x:f>IF(ISNUMBER(Y2542),ROUND(Y2542*0.9,2),"")</x:f>
      </x:c>
      <x:c r="AC2542" s="36" t="str">
        <x:f>IF(ISNUMBER(AB2542),ROUND(AB2542-(AB2542*0.015+0.2)-V2542,2),"")</x:f>
      </x:c>
      <x:c r="AD2542" s="36" t="str">
        <x:f>IF(ISNUMBER(Y2542),ROUND(Y2542*0.8,2),"")</x:f>
      </x:c>
      <x:c r="AE2542" s="36" t="str">
        <x:f>IF(ISNUMBER(AD2542),ROUND(AD2542*0.015+0.2,2),"")</x:f>
      </x:c>
      <x:c r="AF2542" s="36" t="str">
        <x:f>IF(ISNUMBER(AD2542),ROUND(AD2542-AE2542-V2542,2),"")</x:f>
      </x:c>
      <x:c r="AG2542" t="str">
        <x:f>IF(NOT(ISNUMBER(T2542)),"PENDING",IF(AF2542&gt;0,"PASS","FAIL"))</x:f>
        <x:v>PENDING</x:v>
      </x:c>
      <x:c r="AH2542" t="str">
        <x:f>IF(NOT(ISNUMBER(T2542)),"Needs supplier cost",IF(K2542&lt;&gt;"In stock","Supplier unavailable",IF(AG2542&lt;&gt;"PASS","BLOCK - GT loss risk","Commercially protected")))</x:f>
        <x:v>Needs supplier cost</x:v>
      </x:c>
      <x:c r="AI2542" t="str">
        <x:v>2026-09-10 Active Sports trade capture</x:v>
      </x:c>
      <x:c r="AJ2542" t="str">
        <x:v>Management-only economics. Stripe stress test uses 1.5% + £0.20 standard UK online-card fee; pallet/mix-and-match pricing ignored.</x:v>
      </x:c>
    </x:row>
    <x:row r="2543">
      <x:c r="A2543" t="str">
        <x:v>Active Sports Nutrition</x:v>
      </x:c>
      <x:c r="B2543" t="str">
        <x:v>Optimum Nutrition</x:v>
      </x:c>
      <x:c r="C2543" t="str">
        <x:v>Gold Standard 100% Casein</x:v>
      </x:c>
      <x:c r="D2543" t="str">
        <x:v>Supplements</x:v>
      </x:c>
      <x:c r="E2543" t="str">
        <x:v>Casein Protein</x:v>
      </x:c>
      <x:c r="F2543" t="str"/>
      <x:c r="G2543" t="str">
        <x:v>1.8kg</x:v>
      </x:c>
      <x:c r="H2543" t="str">
        <x:v>Strawberry</x:v>
      </x:c>
      <x:c r="I2543" t="str"/>
      <x:c r="J2543" t="str">
        <x:v>Unit</x:v>
      </x:c>
      <x:c r="K2543" t="str">
        <x:v>Unavailable - dated clearance</x:v>
      </x:c>
      <x:c r="L2543" t="str">
        <x:v>2026-09-08</x:v>
      </x:c>
      <x:c r="M2543" t="str"/>
      <x:c r="N2543" t="str"/>
      <x:c r="O2543" t="str">
        <x:v>https://www.activesportstrade.co.uk/trade-sports-supplements/Optimum-Nutrition</x:v>
      </x:c>
      <x:c r="P2543" t="str">
        <x:v>Supplier BLACK FRIDAY/SPECIAL OFFER wording stripped. Past BBE-dated Strawberry blocked as dated clearance.</x:v>
      </x:c>
      <x:c r="Q2543" t="str"/>
      <x:c r="R2543" t="str"/>
      <x:c r="S2543" t="str">
        <x:v>Pending genuine supplier/brand image</x:v>
      </x:c>
      <x:c r="T2543" s="54"/>
      <x:c r="U2543" s="47" t="n">
        <x:v>0.2</x:v>
      </x:c>
      <x:c r="V2543" s="54" t="str">
        <x:f>IF(ISNUMBER(T2543),T2543*(1+U2543),"")</x:f>
      </x:c>
      <x:c r="W2543" s="47" t="n">
        <x:v>0.3</x:v>
      </x:c>
      <x:c r="X2543" s="54" t="str">
        <x:f>IF(ISNUMBER(V2543),V2543/(1-W2543),"")</x:f>
      </x:c>
      <x:c r="Y2543" s="55" t="str">
        <x:f>IF(ISNUMBER(X2543),ROUNDUP(X2543,0),"")</x:f>
      </x:c>
      <x:c r="Z2543" t="str">
        <x:f>IF(ISNUMBER(T2543),"Cost captured","Awaiting trade cost")</x:f>
        <x:v>Awaiting trade cost</x:v>
      </x:c>
      <x:c r="AB2543" s="36" t="str">
        <x:f>IF(ISNUMBER(Y2543),ROUND(Y2543*0.9,2),"")</x:f>
      </x:c>
      <x:c r="AC2543" s="36" t="str">
        <x:f>IF(ISNUMBER(AB2543),ROUND(AB2543-(AB2543*0.015+0.2)-V2543,2),"")</x:f>
      </x:c>
      <x:c r="AD2543" s="36" t="str">
        <x:f>IF(ISNUMBER(Y2543),ROUND(Y2543*0.8,2),"")</x:f>
      </x:c>
      <x:c r="AE2543" s="36" t="str">
        <x:f>IF(ISNUMBER(AD2543),ROUND(AD2543*0.015+0.2,2),"")</x:f>
      </x:c>
      <x:c r="AF2543" s="36" t="str">
        <x:f>IF(ISNUMBER(AD2543),ROUND(AD2543-AE2543-V2543,2),"")</x:f>
      </x:c>
      <x:c r="AG2543" t="str">
        <x:f>IF(NOT(ISNUMBER(T2543)),"PENDING",IF(AF2543&gt;0,"PASS","FAIL"))</x:f>
        <x:v>PENDING</x:v>
      </x:c>
      <x:c r="AH2543" t="str">
        <x:f>IF(NOT(ISNUMBER(T2543)),"Needs supplier cost",IF(K2543&lt;&gt;"In stock","Supplier unavailable",IF(AG2543&lt;&gt;"PASS","BLOCK - GT loss risk","Commercially protected")))</x:f>
        <x:v>Needs supplier cost</x:v>
      </x:c>
      <x:c r="AI2543" t="str">
        <x:v>2026-09-10 Active Sports trade capture</x:v>
      </x:c>
      <x:c r="AJ2543" t="str">
        <x:v>Management-only economics. Stripe stress test uses 1.5% + £0.20 standard UK online-card fee; pallet/mix-and-match pricing ignored.</x:v>
      </x:c>
    </x:row>
    <x:row r="2544">
      <x:c r="A2544" t="str">
        <x:v>Active Sports Nutrition</x:v>
      </x:c>
      <x:c r="B2544" t="str">
        <x:v>Optimum Nutrition</x:v>
      </x:c>
      <x:c r="C2544" t="str">
        <x:v>Gold Standard 100% Whey</x:v>
      </x:c>
      <x:c r="D2544" t="str">
        <x:v>Supplements</x:v>
      </x:c>
      <x:c r="E2544" t="str">
        <x:v>Whey Protein</x:v>
      </x:c>
      <x:c r="F2544" t="str"/>
      <x:c r="G2544" t="str">
        <x:v>2.27kg</x:v>
      </x:c>
      <x:c r="H2544" t="str">
        <x:v>Banana</x:v>
      </x:c>
      <x:c r="I2544" t="str"/>
      <x:c r="J2544" t="str">
        <x:v>Unit</x:v>
      </x:c>
      <x:c r="K2544" t="str">
        <x:v>In stock</x:v>
      </x:c>
      <x:c r="L2544" t="str">
        <x:v>2026-09-08</x:v>
      </x:c>
      <x:c r="M2544" t="str"/>
      <x:c r="N2544" t="str"/>
      <x:c r="O2544" t="str">
        <x:v>https://www.activesportstrade.co.uk/trade-sports-supplements/Optimum-Nutrition</x:v>
      </x:c>
      <x:c r="P2544" t="str">
        <x:v>Separate supplier SPECIAL OFFER duplicate rows were not duplicated into the canonical catalogue.</x:v>
      </x:c>
      <x:c r="Q2544" t="str"/>
      <x:c r="R2544" t="str"/>
      <x:c r="S2544" t="str">
        <x:v>Pending genuine supplier/brand image</x:v>
      </x:c>
      <x:c r="T2544" s="54"/>
      <x:c r="U2544" s="47" t="n">
        <x:v>0.2</x:v>
      </x:c>
      <x:c r="V2544" s="54" t="str">
        <x:f>IF(ISNUMBER(T2544),T2544*(1+U2544),"")</x:f>
      </x:c>
      <x:c r="W2544" s="47" t="n">
        <x:v>0.3</x:v>
      </x:c>
      <x:c r="X2544" s="54" t="str">
        <x:f>IF(ISNUMBER(V2544),V2544/(1-W2544),"")</x:f>
      </x:c>
      <x:c r="Y2544" s="55" t="str">
        <x:f>IF(ISNUMBER(X2544),ROUNDUP(X2544,0),"")</x:f>
      </x:c>
      <x:c r="Z2544" t="str">
        <x:f>IF(ISNUMBER(T2544),"Cost captured","Awaiting trade cost")</x:f>
        <x:v>Awaiting trade cost</x:v>
      </x:c>
      <x:c r="AB2544" s="36" t="str">
        <x:f>IF(ISNUMBER(Y2544),ROUND(Y2544*0.9,2),"")</x:f>
      </x:c>
      <x:c r="AC2544" s="36" t="str">
        <x:f>IF(ISNUMBER(AB2544),ROUND(AB2544-(AB2544*0.015+0.2)-V2544,2),"")</x:f>
      </x:c>
      <x:c r="AD2544" s="36" t="str">
        <x:f>IF(ISNUMBER(Y2544),ROUND(Y2544*0.8,2),"")</x:f>
      </x:c>
      <x:c r="AE2544" s="36" t="str">
        <x:f>IF(ISNUMBER(AD2544),ROUND(AD2544*0.015+0.2,2),"")</x:f>
      </x:c>
      <x:c r="AF2544" s="36" t="str">
        <x:f>IF(ISNUMBER(AD2544),ROUND(AD2544-AE2544-V2544,2),"")</x:f>
      </x:c>
      <x:c r="AG2544" t="str">
        <x:f>IF(NOT(ISNUMBER(T2544)),"PENDING",IF(AF2544&gt;0,"PASS","FAIL"))</x:f>
        <x:v>PENDING</x:v>
      </x:c>
      <x:c r="AH2544" t="str">
        <x:f>IF(NOT(ISNUMBER(T2544)),"Needs supplier cost",IF(K2544&lt;&gt;"In stock","Supplier unavailable",IF(AG2544&lt;&gt;"PASS","BLOCK - GT loss risk","Commercially protected")))</x:f>
        <x:v>Needs supplier cost</x:v>
      </x:c>
      <x:c r="AI2544" t="str">
        <x:v>2026-09-10 Active Sports trade capture</x:v>
      </x:c>
      <x:c r="AJ2544" t="str">
        <x:v>Management-only economics. Stripe stress test uses 1.5% + £0.20 standard UK online-card fee; pallet/mix-and-match pricing ignored.</x:v>
      </x:c>
    </x:row>
    <x:row r="2545">
      <x:c r="A2545" t="str">
        <x:v>Active Sports Nutrition</x:v>
      </x:c>
      <x:c r="B2545" t="str">
        <x:v>Optimum Nutrition</x:v>
      </x:c>
      <x:c r="C2545" t="str">
        <x:v>Gold Standard 100% Whey</x:v>
      </x:c>
      <x:c r="D2545" t="str">
        <x:v>Supplements</x:v>
      </x:c>
      <x:c r="E2545" t="str">
        <x:v>Whey Protein</x:v>
      </x:c>
      <x:c r="F2545" t="str"/>
      <x:c r="G2545" t="str">
        <x:v>2.27kg</x:v>
      </x:c>
      <x:c r="H2545" t="str">
        <x:v>Caramel Toffee Fudge</x:v>
      </x:c>
      <x:c r="I2545" t="str"/>
      <x:c r="J2545" t="str">
        <x:v>Unit</x:v>
      </x:c>
      <x:c r="K2545" t="str">
        <x:v>In stock</x:v>
      </x:c>
      <x:c r="L2545" t="str">
        <x:v>2026-09-08</x:v>
      </x:c>
      <x:c r="M2545" t="str"/>
      <x:c r="N2545" t="str"/>
      <x:c r="O2545" t="str">
        <x:v>https://www.activesportstrade.co.uk/trade-sports-supplements/Optimum-Nutrition</x:v>
      </x:c>
      <x:c r="P2545" t="str">
        <x:v>Separate supplier SPECIAL OFFER duplicate rows were not duplicated into the canonical catalogue.</x:v>
      </x:c>
      <x:c r="Q2545" t="str"/>
      <x:c r="R2545" t="str"/>
      <x:c r="S2545" t="str">
        <x:v>Pending genuine supplier/brand image</x:v>
      </x:c>
      <x:c r="T2545" s="54"/>
      <x:c r="U2545" s="47" t="n">
        <x:v>0.2</x:v>
      </x:c>
      <x:c r="V2545" s="54" t="str">
        <x:f>IF(ISNUMBER(T2545),T2545*(1+U2545),"")</x:f>
      </x:c>
      <x:c r="W2545" s="47" t="n">
        <x:v>0.3</x:v>
      </x:c>
      <x:c r="X2545" s="54" t="str">
        <x:f>IF(ISNUMBER(V2545),V2545/(1-W2545),"")</x:f>
      </x:c>
      <x:c r="Y2545" s="55" t="str">
        <x:f>IF(ISNUMBER(X2545),ROUNDUP(X2545,0),"")</x:f>
      </x:c>
      <x:c r="Z2545" t="str">
        <x:f>IF(ISNUMBER(T2545),"Cost captured","Awaiting trade cost")</x:f>
        <x:v>Awaiting trade cost</x:v>
      </x:c>
      <x:c r="AB2545" s="36" t="str">
        <x:f>IF(ISNUMBER(Y2545),ROUND(Y2545*0.9,2),"")</x:f>
      </x:c>
      <x:c r="AC2545" s="36" t="str">
        <x:f>IF(ISNUMBER(AB2545),ROUND(AB2545-(AB2545*0.015+0.2)-V2545,2),"")</x:f>
      </x:c>
      <x:c r="AD2545" s="36" t="str">
        <x:f>IF(ISNUMBER(Y2545),ROUND(Y2545*0.8,2),"")</x:f>
      </x:c>
      <x:c r="AE2545" s="36" t="str">
        <x:f>IF(ISNUMBER(AD2545),ROUND(AD2545*0.015+0.2,2),"")</x:f>
      </x:c>
      <x:c r="AF2545" s="36" t="str">
        <x:f>IF(ISNUMBER(AD2545),ROUND(AD2545-AE2545-V2545,2),"")</x:f>
      </x:c>
      <x:c r="AG2545" t="str">
        <x:f>IF(NOT(ISNUMBER(T2545)),"PENDING",IF(AF2545&gt;0,"PASS","FAIL"))</x:f>
        <x:v>PENDING</x:v>
      </x:c>
      <x:c r="AH2545" t="str">
        <x:f>IF(NOT(ISNUMBER(T2545)),"Needs supplier cost",IF(K2545&lt;&gt;"In stock","Supplier unavailable",IF(AG2545&lt;&gt;"PASS","BLOCK - GT loss risk","Commercially protected")))</x:f>
        <x:v>Needs supplier cost</x:v>
      </x:c>
      <x:c r="AI2545" t="str">
        <x:v>2026-09-10 Active Sports trade capture</x:v>
      </x:c>
      <x:c r="AJ2545" t="str">
        <x:v>Management-only economics. Stripe stress test uses 1.5% + £0.20 standard UK online-card fee; pallet/mix-and-match pricing ignored.</x:v>
      </x:c>
    </x:row>
    <x:row r="2546">
      <x:c r="A2546" t="str">
        <x:v>Active Sports Nutrition</x:v>
      </x:c>
      <x:c r="B2546" t="str">
        <x:v>Optimum Nutrition</x:v>
      </x:c>
      <x:c r="C2546" t="str">
        <x:v>Gold Standard 100% Whey</x:v>
      </x:c>
      <x:c r="D2546" t="str">
        <x:v>Supplements</x:v>
      </x:c>
      <x:c r="E2546" t="str">
        <x:v>Whey Protein</x:v>
      </x:c>
      <x:c r="F2546" t="str"/>
      <x:c r="G2546" t="str">
        <x:v>2.27kg</x:v>
      </x:c>
      <x:c r="H2546" t="str">
        <x:v>Chocolate Hazelnut</x:v>
      </x:c>
      <x:c r="I2546" t="str"/>
      <x:c r="J2546" t="str">
        <x:v>Unit</x:v>
      </x:c>
      <x:c r="K2546" t="str">
        <x:v>In stock</x:v>
      </x:c>
      <x:c r="L2546" t="str">
        <x:v>2026-09-08</x:v>
      </x:c>
      <x:c r="M2546" t="str"/>
      <x:c r="N2546" t="str"/>
      <x:c r="O2546" t="str">
        <x:v>https://www.activesportstrade.co.uk/trade-sports-supplements/Optimum-Nutrition</x:v>
      </x:c>
      <x:c r="P2546" t="str">
        <x:v>Separate supplier SPECIAL OFFER duplicate rows were not duplicated into the canonical catalogue.</x:v>
      </x:c>
      <x:c r="Q2546" t="str"/>
      <x:c r="R2546" t="str"/>
      <x:c r="S2546" t="str">
        <x:v>Pending genuine supplier/brand image</x:v>
      </x:c>
      <x:c r="T2546" s="54"/>
      <x:c r="U2546" s="47" t="n">
        <x:v>0.2</x:v>
      </x:c>
      <x:c r="V2546" s="54" t="str">
        <x:f>IF(ISNUMBER(T2546),T2546*(1+U2546),"")</x:f>
      </x:c>
      <x:c r="W2546" s="47" t="n">
        <x:v>0.3</x:v>
      </x:c>
      <x:c r="X2546" s="54" t="str">
        <x:f>IF(ISNUMBER(V2546),V2546/(1-W2546),"")</x:f>
      </x:c>
      <x:c r="Y2546" s="55" t="str">
        <x:f>IF(ISNUMBER(X2546),ROUNDUP(X2546,0),"")</x:f>
      </x:c>
      <x:c r="Z2546" t="str">
        <x:f>IF(ISNUMBER(T2546),"Cost captured","Awaiting trade cost")</x:f>
        <x:v>Awaiting trade cost</x:v>
      </x:c>
      <x:c r="AB2546" s="36" t="str">
        <x:f>IF(ISNUMBER(Y2546),ROUND(Y2546*0.9,2),"")</x:f>
      </x:c>
      <x:c r="AC2546" s="36" t="str">
        <x:f>IF(ISNUMBER(AB2546),ROUND(AB2546-(AB2546*0.015+0.2)-V2546,2),"")</x:f>
      </x:c>
      <x:c r="AD2546" s="36" t="str">
        <x:f>IF(ISNUMBER(Y2546),ROUND(Y2546*0.8,2),"")</x:f>
      </x:c>
      <x:c r="AE2546" s="36" t="str">
        <x:f>IF(ISNUMBER(AD2546),ROUND(AD2546*0.015+0.2,2),"")</x:f>
      </x:c>
      <x:c r="AF2546" s="36" t="str">
        <x:f>IF(ISNUMBER(AD2546),ROUND(AD2546-AE2546-V2546,2),"")</x:f>
      </x:c>
      <x:c r="AG2546" t="str">
        <x:f>IF(NOT(ISNUMBER(T2546)),"PENDING",IF(AF2546&gt;0,"PASS","FAIL"))</x:f>
        <x:v>PENDING</x:v>
      </x:c>
      <x:c r="AH2546" t="str">
        <x:f>IF(NOT(ISNUMBER(T2546)),"Needs supplier cost",IF(K2546&lt;&gt;"In stock","Supplier unavailable",IF(AG2546&lt;&gt;"PASS","BLOCK - GT loss risk","Commercially protected")))</x:f>
        <x:v>Needs supplier cost</x:v>
      </x:c>
      <x:c r="AI2546" t="str">
        <x:v>2026-09-10 Active Sports trade capture</x:v>
      </x:c>
      <x:c r="AJ2546" t="str">
        <x:v>Management-only economics. Stripe stress test uses 1.5% + £0.20 standard UK online-card fee; pallet/mix-and-match pricing ignored.</x:v>
      </x:c>
    </x:row>
    <x:row r="2547">
      <x:c r="A2547" t="str">
        <x:v>Active Sports Nutrition</x:v>
      </x:c>
      <x:c r="B2547" t="str">
        <x:v>Optimum Nutrition</x:v>
      </x:c>
      <x:c r="C2547" t="str">
        <x:v>Gold Standard 100% Whey</x:v>
      </x:c>
      <x:c r="D2547" t="str">
        <x:v>Supplements</x:v>
      </x:c>
      <x:c r="E2547" t="str">
        <x:v>Whey Protein</x:v>
      </x:c>
      <x:c r="F2547" t="str"/>
      <x:c r="G2547" t="str">
        <x:v>2.27kg</x:v>
      </x:c>
      <x:c r="H2547" t="str">
        <x:v>Chocolate Mint</x:v>
      </x:c>
      <x:c r="I2547" t="str"/>
      <x:c r="J2547" t="str">
        <x:v>Unit</x:v>
      </x:c>
      <x:c r="K2547" t="str">
        <x:v>In stock</x:v>
      </x:c>
      <x:c r="L2547" t="str">
        <x:v>2026-09-08</x:v>
      </x:c>
      <x:c r="M2547" t="str"/>
      <x:c r="N2547" t="str"/>
      <x:c r="O2547" t="str">
        <x:v>https://www.activesportstrade.co.uk/trade-sports-supplements/Optimum-Nutrition</x:v>
      </x:c>
      <x:c r="P2547" t="str">
        <x:v>Separate supplier SPECIAL OFFER duplicate rows were not duplicated into the canonical catalogue.</x:v>
      </x:c>
      <x:c r="Q2547" t="str"/>
      <x:c r="R2547" t="str"/>
      <x:c r="S2547" t="str">
        <x:v>Pending genuine supplier/brand image</x:v>
      </x:c>
      <x:c r="T2547" s="54"/>
      <x:c r="U2547" s="47" t="n">
        <x:v>0.2</x:v>
      </x:c>
      <x:c r="V2547" s="54" t="str">
        <x:f>IF(ISNUMBER(T2547),T2547*(1+U2547),"")</x:f>
      </x:c>
      <x:c r="W2547" s="47" t="n">
        <x:v>0.3</x:v>
      </x:c>
      <x:c r="X2547" s="54" t="str">
        <x:f>IF(ISNUMBER(V2547),V2547/(1-W2547),"")</x:f>
      </x:c>
      <x:c r="Y2547" s="55" t="str">
        <x:f>IF(ISNUMBER(X2547),ROUNDUP(X2547,0),"")</x:f>
      </x:c>
      <x:c r="Z2547" t="str">
        <x:f>IF(ISNUMBER(T2547),"Cost captured","Awaiting trade cost")</x:f>
        <x:v>Awaiting trade cost</x:v>
      </x:c>
      <x:c r="AB2547" s="36" t="str">
        <x:f>IF(ISNUMBER(Y2547),ROUND(Y2547*0.9,2),"")</x:f>
      </x:c>
      <x:c r="AC2547" s="36" t="str">
        <x:f>IF(ISNUMBER(AB2547),ROUND(AB2547-(AB2547*0.015+0.2)-V2547,2),"")</x:f>
      </x:c>
      <x:c r="AD2547" s="36" t="str">
        <x:f>IF(ISNUMBER(Y2547),ROUND(Y2547*0.8,2),"")</x:f>
      </x:c>
      <x:c r="AE2547" s="36" t="str">
        <x:f>IF(ISNUMBER(AD2547),ROUND(AD2547*0.015+0.2,2),"")</x:f>
      </x:c>
      <x:c r="AF2547" s="36" t="str">
        <x:f>IF(ISNUMBER(AD2547),ROUND(AD2547-AE2547-V2547,2),"")</x:f>
      </x:c>
      <x:c r="AG2547" t="str">
        <x:f>IF(NOT(ISNUMBER(T2547)),"PENDING",IF(AF2547&gt;0,"PASS","FAIL"))</x:f>
        <x:v>PENDING</x:v>
      </x:c>
      <x:c r="AH2547" t="str">
        <x:f>IF(NOT(ISNUMBER(T2547)),"Needs supplier cost",IF(K2547&lt;&gt;"In stock","Supplier unavailable",IF(AG2547&lt;&gt;"PASS","BLOCK - GT loss risk","Commercially protected")))</x:f>
        <x:v>Needs supplier cost</x:v>
      </x:c>
      <x:c r="AI2547" t="str">
        <x:v>2026-09-10 Active Sports trade capture</x:v>
      </x:c>
      <x:c r="AJ2547" t="str">
        <x:v>Management-only economics. Stripe stress test uses 1.5% + £0.20 standard UK online-card fee; pallet/mix-and-match pricing ignored.</x:v>
      </x:c>
    </x:row>
    <x:row r="2548">
      <x:c r="A2548" t="str">
        <x:v>Active Sports Nutrition</x:v>
      </x:c>
      <x:c r="B2548" t="str">
        <x:v>Optimum Nutrition</x:v>
      </x:c>
      <x:c r="C2548" t="str">
        <x:v>Gold Standard 100% Whey</x:v>
      </x:c>
      <x:c r="D2548" t="str">
        <x:v>Supplements</x:v>
      </x:c>
      <x:c r="E2548" t="str">
        <x:v>Whey Protein</x:v>
      </x:c>
      <x:c r="F2548" t="str"/>
      <x:c r="G2548" t="str">
        <x:v>2.27kg</x:v>
      </x:c>
      <x:c r="H2548" t="str">
        <x:v>Chocolate Peanut Butter</x:v>
      </x:c>
      <x:c r="I2548" t="str"/>
      <x:c r="J2548" t="str">
        <x:v>Unit</x:v>
      </x:c>
      <x:c r="K2548" t="str">
        <x:v>In stock</x:v>
      </x:c>
      <x:c r="L2548" t="str">
        <x:v>2026-09-08</x:v>
      </x:c>
      <x:c r="M2548" t="str"/>
      <x:c r="N2548" t="str"/>
      <x:c r="O2548" t="str">
        <x:v>https://www.activesportstrade.co.uk/trade-sports-supplements/Optimum-Nutrition</x:v>
      </x:c>
      <x:c r="P2548" t="str">
        <x:v>Separate supplier SPECIAL OFFER duplicate rows were not duplicated into the canonical catalogue.</x:v>
      </x:c>
      <x:c r="Q2548" t="str"/>
      <x:c r="R2548" t="str"/>
      <x:c r="S2548" t="str">
        <x:v>Pending genuine supplier/brand image</x:v>
      </x:c>
      <x:c r="T2548" s="54"/>
      <x:c r="U2548" s="47" t="n">
        <x:v>0.2</x:v>
      </x:c>
      <x:c r="V2548" s="54" t="str">
        <x:f>IF(ISNUMBER(T2548),T2548*(1+U2548),"")</x:f>
      </x:c>
      <x:c r="W2548" s="47" t="n">
        <x:v>0.3</x:v>
      </x:c>
      <x:c r="X2548" s="54" t="str">
        <x:f>IF(ISNUMBER(V2548),V2548/(1-W2548),"")</x:f>
      </x:c>
      <x:c r="Y2548" s="55" t="str">
        <x:f>IF(ISNUMBER(X2548),ROUNDUP(X2548,0),"")</x:f>
      </x:c>
      <x:c r="Z2548" t="str">
        <x:f>IF(ISNUMBER(T2548),"Cost captured","Awaiting trade cost")</x:f>
        <x:v>Awaiting trade cost</x:v>
      </x:c>
      <x:c r="AB2548" s="36" t="str">
        <x:f>IF(ISNUMBER(Y2548),ROUND(Y2548*0.9,2),"")</x:f>
      </x:c>
      <x:c r="AC2548" s="36" t="str">
        <x:f>IF(ISNUMBER(AB2548),ROUND(AB2548-(AB2548*0.015+0.2)-V2548,2),"")</x:f>
      </x:c>
      <x:c r="AD2548" s="36" t="str">
        <x:f>IF(ISNUMBER(Y2548),ROUND(Y2548*0.8,2),"")</x:f>
      </x:c>
      <x:c r="AE2548" s="36" t="str">
        <x:f>IF(ISNUMBER(AD2548),ROUND(AD2548*0.015+0.2,2),"")</x:f>
      </x:c>
      <x:c r="AF2548" s="36" t="str">
        <x:f>IF(ISNUMBER(AD2548),ROUND(AD2548-AE2548-V2548,2),"")</x:f>
      </x:c>
      <x:c r="AG2548" t="str">
        <x:f>IF(NOT(ISNUMBER(T2548)),"PENDING",IF(AF2548&gt;0,"PASS","FAIL"))</x:f>
        <x:v>PENDING</x:v>
      </x:c>
      <x:c r="AH2548" t="str">
        <x:f>IF(NOT(ISNUMBER(T2548)),"Needs supplier cost",IF(K2548&lt;&gt;"In stock","Supplier unavailable",IF(AG2548&lt;&gt;"PASS","BLOCK - GT loss risk","Commercially protected")))</x:f>
        <x:v>Needs supplier cost</x:v>
      </x:c>
      <x:c r="AI2548" t="str">
        <x:v>2026-09-10 Active Sports trade capture</x:v>
      </x:c>
      <x:c r="AJ2548" t="str">
        <x:v>Management-only economics. Stripe stress test uses 1.5% + £0.20 standard UK online-card fee; pallet/mix-and-match pricing ignored.</x:v>
      </x:c>
    </x:row>
    <x:row r="2549">
      <x:c r="A2549" t="str">
        <x:v>Active Sports Nutrition</x:v>
      </x:c>
      <x:c r="B2549" t="str">
        <x:v>Optimum Nutrition</x:v>
      </x:c>
      <x:c r="C2549" t="str">
        <x:v>Gold Standard 100% Whey</x:v>
      </x:c>
      <x:c r="D2549" t="str">
        <x:v>Supplements</x:v>
      </x:c>
      <x:c r="E2549" t="str">
        <x:v>Whey Protein</x:v>
      </x:c>
      <x:c r="F2549" t="str"/>
      <x:c r="G2549" t="str">
        <x:v>2.27kg</x:v>
      </x:c>
      <x:c r="H2549" t="str">
        <x:v>Cookies and Cream</x:v>
      </x:c>
      <x:c r="I2549" t="str"/>
      <x:c r="J2549" t="str">
        <x:v>Unit</x:v>
      </x:c>
      <x:c r="K2549" t="str">
        <x:v>In stock</x:v>
      </x:c>
      <x:c r="L2549" t="str">
        <x:v>2026-09-08</x:v>
      </x:c>
      <x:c r="M2549" t="str"/>
      <x:c r="N2549" t="str"/>
      <x:c r="O2549" t="str">
        <x:v>https://www.activesportstrade.co.uk/trade-sports-supplements/Optimum-Nutrition</x:v>
      </x:c>
      <x:c r="P2549" t="str">
        <x:v>Separate supplier SPECIAL OFFER duplicate rows were not duplicated into the canonical catalogue.</x:v>
      </x:c>
      <x:c r="Q2549" t="str"/>
      <x:c r="R2549" t="str"/>
      <x:c r="S2549" t="str">
        <x:v>Pending genuine supplier/brand image</x:v>
      </x:c>
      <x:c r="T2549" s="54"/>
      <x:c r="U2549" s="47" t="n">
        <x:v>0.2</x:v>
      </x:c>
      <x:c r="V2549" s="54" t="str">
        <x:f>IF(ISNUMBER(T2549),T2549*(1+U2549),"")</x:f>
      </x:c>
      <x:c r="W2549" s="47" t="n">
        <x:v>0.3</x:v>
      </x:c>
      <x:c r="X2549" s="54" t="str">
        <x:f>IF(ISNUMBER(V2549),V2549/(1-W2549),"")</x:f>
      </x:c>
      <x:c r="Y2549" s="55" t="str">
        <x:f>IF(ISNUMBER(X2549),ROUNDUP(X2549,0),"")</x:f>
      </x:c>
      <x:c r="Z2549" t="str">
        <x:f>IF(ISNUMBER(T2549),"Cost captured","Awaiting trade cost")</x:f>
        <x:v>Awaiting trade cost</x:v>
      </x:c>
      <x:c r="AB2549" s="36" t="str">
        <x:f>IF(ISNUMBER(Y2549),ROUND(Y2549*0.9,2),"")</x:f>
      </x:c>
      <x:c r="AC2549" s="36" t="str">
        <x:f>IF(ISNUMBER(AB2549),ROUND(AB2549-(AB2549*0.015+0.2)-V2549,2),"")</x:f>
      </x:c>
      <x:c r="AD2549" s="36" t="str">
        <x:f>IF(ISNUMBER(Y2549),ROUND(Y2549*0.8,2),"")</x:f>
      </x:c>
      <x:c r="AE2549" s="36" t="str">
        <x:f>IF(ISNUMBER(AD2549),ROUND(AD2549*0.015+0.2,2),"")</x:f>
      </x:c>
      <x:c r="AF2549" s="36" t="str">
        <x:f>IF(ISNUMBER(AD2549),ROUND(AD2549-AE2549-V2549,2),"")</x:f>
      </x:c>
      <x:c r="AG2549" t="str">
        <x:f>IF(NOT(ISNUMBER(T2549)),"PENDING",IF(AF2549&gt;0,"PASS","FAIL"))</x:f>
        <x:v>PENDING</x:v>
      </x:c>
      <x:c r="AH2549" t="str">
        <x:f>IF(NOT(ISNUMBER(T2549)),"Needs supplier cost",IF(K2549&lt;&gt;"In stock","Supplier unavailable",IF(AG2549&lt;&gt;"PASS","BLOCK - GT loss risk","Commercially protected")))</x:f>
        <x:v>Needs supplier cost</x:v>
      </x:c>
      <x:c r="AI2549" t="str">
        <x:v>2026-09-10 Active Sports trade capture</x:v>
      </x:c>
      <x:c r="AJ2549" t="str">
        <x:v>Management-only economics. Stripe stress test uses 1.5% + £0.20 standard UK online-card fee; pallet/mix-and-match pricing ignored.</x:v>
      </x:c>
    </x:row>
    <x:row r="2550">
      <x:c r="A2550" t="str">
        <x:v>Active Sports Nutrition</x:v>
      </x:c>
      <x:c r="B2550" t="str">
        <x:v>Optimum Nutrition</x:v>
      </x:c>
      <x:c r="C2550" t="str">
        <x:v>Gold Standard 100% Whey</x:v>
      </x:c>
      <x:c r="D2550" t="str">
        <x:v>Supplements</x:v>
      </x:c>
      <x:c r="E2550" t="str">
        <x:v>Whey Protein</x:v>
      </x:c>
      <x:c r="F2550" t="str"/>
      <x:c r="G2550" t="str">
        <x:v>2.27kg</x:v>
      </x:c>
      <x:c r="H2550" t="str">
        <x:v>Delicious Strawberry</x:v>
      </x:c>
      <x:c r="I2550" t="str"/>
      <x:c r="J2550" t="str">
        <x:v>Unit</x:v>
      </x:c>
      <x:c r="K2550" t="str">
        <x:v>In stock</x:v>
      </x:c>
      <x:c r="L2550" t="str">
        <x:v>2026-09-08</x:v>
      </x:c>
      <x:c r="M2550" t="str"/>
      <x:c r="N2550" t="str"/>
      <x:c r="O2550" t="str">
        <x:v>https://www.activesportstrade.co.uk/trade-sports-supplements/Optimum-Nutrition</x:v>
      </x:c>
      <x:c r="P2550" t="str">
        <x:v>Separate supplier SPECIAL OFFER duplicate rows were not duplicated into the canonical catalogue.</x:v>
      </x:c>
      <x:c r="Q2550" t="str"/>
      <x:c r="R2550" t="str"/>
      <x:c r="S2550" t="str">
        <x:v>Pending genuine supplier/brand image</x:v>
      </x:c>
      <x:c r="T2550" s="54"/>
      <x:c r="U2550" s="47" t="n">
        <x:v>0.2</x:v>
      </x:c>
      <x:c r="V2550" s="54" t="str">
        <x:f>IF(ISNUMBER(T2550),T2550*(1+U2550),"")</x:f>
      </x:c>
      <x:c r="W2550" s="47" t="n">
        <x:v>0.3</x:v>
      </x:c>
      <x:c r="X2550" s="54" t="str">
        <x:f>IF(ISNUMBER(V2550),V2550/(1-W2550),"")</x:f>
      </x:c>
      <x:c r="Y2550" s="55" t="str">
        <x:f>IF(ISNUMBER(X2550),ROUNDUP(X2550,0),"")</x:f>
      </x:c>
      <x:c r="Z2550" t="str">
        <x:f>IF(ISNUMBER(T2550),"Cost captured","Awaiting trade cost")</x:f>
        <x:v>Awaiting trade cost</x:v>
      </x:c>
      <x:c r="AB2550" s="36" t="str">
        <x:f>IF(ISNUMBER(Y2550),ROUND(Y2550*0.9,2),"")</x:f>
      </x:c>
      <x:c r="AC2550" s="36" t="str">
        <x:f>IF(ISNUMBER(AB2550),ROUND(AB2550-(AB2550*0.015+0.2)-V2550,2),"")</x:f>
      </x:c>
      <x:c r="AD2550" s="36" t="str">
        <x:f>IF(ISNUMBER(Y2550),ROUND(Y2550*0.8,2),"")</x:f>
      </x:c>
      <x:c r="AE2550" s="36" t="str">
        <x:f>IF(ISNUMBER(AD2550),ROUND(AD2550*0.015+0.2,2),"")</x:f>
      </x:c>
      <x:c r="AF2550" s="36" t="str">
        <x:f>IF(ISNUMBER(AD2550),ROUND(AD2550-AE2550-V2550,2),"")</x:f>
      </x:c>
      <x:c r="AG2550" t="str">
        <x:f>IF(NOT(ISNUMBER(T2550)),"PENDING",IF(AF2550&gt;0,"PASS","FAIL"))</x:f>
        <x:v>PENDING</x:v>
      </x:c>
      <x:c r="AH2550" t="str">
        <x:f>IF(NOT(ISNUMBER(T2550)),"Needs supplier cost",IF(K2550&lt;&gt;"In stock","Supplier unavailable",IF(AG2550&lt;&gt;"PASS","BLOCK - GT loss risk","Commercially protected")))</x:f>
        <x:v>Needs supplier cost</x:v>
      </x:c>
      <x:c r="AI2550" t="str">
        <x:v>2026-09-10 Active Sports trade capture</x:v>
      </x:c>
      <x:c r="AJ2550" t="str">
        <x:v>Management-only economics. Stripe stress test uses 1.5% + £0.20 standard UK online-card fee; pallet/mix-and-match pricing ignored.</x:v>
      </x:c>
    </x:row>
    <x:row r="2551">
      <x:c r="A2551" t="str">
        <x:v>Active Sports Nutrition</x:v>
      </x:c>
      <x:c r="B2551" t="str">
        <x:v>Optimum Nutrition</x:v>
      </x:c>
      <x:c r="C2551" t="str">
        <x:v>Gold Standard 100% Whey</x:v>
      </x:c>
      <x:c r="D2551" t="str">
        <x:v>Supplements</x:v>
      </x:c>
      <x:c r="E2551" t="str">
        <x:v>Whey Protein</x:v>
      </x:c>
      <x:c r="F2551" t="str"/>
      <x:c r="G2551" t="str">
        <x:v>2.27kg</x:v>
      </x:c>
      <x:c r="H2551" t="str">
        <x:v>Double Rich Chocolate</x:v>
      </x:c>
      <x:c r="I2551" t="str"/>
      <x:c r="J2551" t="str">
        <x:v>Unit</x:v>
      </x:c>
      <x:c r="K2551" t="str">
        <x:v>In stock</x:v>
      </x:c>
      <x:c r="L2551" t="str">
        <x:v>2026-09-08</x:v>
      </x:c>
      <x:c r="M2551" t="str"/>
      <x:c r="N2551" t="str"/>
      <x:c r="O2551" t="str">
        <x:v>https://www.activesportstrade.co.uk/trade-sports-supplements/Optimum-Nutrition</x:v>
      </x:c>
      <x:c r="P2551" t="str">
        <x:v>Separate supplier SPECIAL OFFER duplicate rows were not duplicated into the canonical catalogue.</x:v>
      </x:c>
      <x:c r="Q2551" t="str"/>
      <x:c r="R2551" t="str"/>
      <x:c r="S2551" t="str">
        <x:v>Pending genuine supplier/brand image</x:v>
      </x:c>
      <x:c r="T2551" s="54"/>
      <x:c r="U2551" s="47" t="n">
        <x:v>0.2</x:v>
      </x:c>
      <x:c r="V2551" s="54" t="str">
        <x:f>IF(ISNUMBER(T2551),T2551*(1+U2551),"")</x:f>
      </x:c>
      <x:c r="W2551" s="47" t="n">
        <x:v>0.3</x:v>
      </x:c>
      <x:c r="X2551" s="54" t="str">
        <x:f>IF(ISNUMBER(V2551),V2551/(1-W2551),"")</x:f>
      </x:c>
      <x:c r="Y2551" s="55" t="str">
        <x:f>IF(ISNUMBER(X2551),ROUNDUP(X2551,0),"")</x:f>
      </x:c>
      <x:c r="Z2551" t="str">
        <x:f>IF(ISNUMBER(T2551),"Cost captured","Awaiting trade cost")</x:f>
        <x:v>Awaiting trade cost</x:v>
      </x:c>
      <x:c r="AB2551" s="36" t="str">
        <x:f>IF(ISNUMBER(Y2551),ROUND(Y2551*0.9,2),"")</x:f>
      </x:c>
      <x:c r="AC2551" s="36" t="str">
        <x:f>IF(ISNUMBER(AB2551),ROUND(AB2551-(AB2551*0.015+0.2)-V2551,2),"")</x:f>
      </x:c>
      <x:c r="AD2551" s="36" t="str">
        <x:f>IF(ISNUMBER(Y2551),ROUND(Y2551*0.8,2),"")</x:f>
      </x:c>
      <x:c r="AE2551" s="36" t="str">
        <x:f>IF(ISNUMBER(AD2551),ROUND(AD2551*0.015+0.2,2),"")</x:f>
      </x:c>
      <x:c r="AF2551" s="36" t="str">
        <x:f>IF(ISNUMBER(AD2551),ROUND(AD2551-AE2551-V2551,2),"")</x:f>
      </x:c>
      <x:c r="AG2551" t="str">
        <x:f>IF(NOT(ISNUMBER(T2551)),"PENDING",IF(AF2551&gt;0,"PASS","FAIL"))</x:f>
        <x:v>PENDING</x:v>
      </x:c>
      <x:c r="AH2551" t="str">
        <x:f>IF(NOT(ISNUMBER(T2551)),"Needs supplier cost",IF(K2551&lt;&gt;"In stock","Supplier unavailable",IF(AG2551&lt;&gt;"PASS","BLOCK - GT loss risk","Commercially protected")))</x:f>
        <x:v>Needs supplier cost</x:v>
      </x:c>
      <x:c r="AI2551" t="str">
        <x:v>2026-09-10 Active Sports trade capture</x:v>
      </x:c>
      <x:c r="AJ2551" t="str">
        <x:v>Management-only economics. Stripe stress test uses 1.5% + £0.20 standard UK online-card fee; pallet/mix-and-match pricing ignored.</x:v>
      </x:c>
    </x:row>
    <x:row r="2552">
      <x:c r="A2552" t="str">
        <x:v>Active Sports Nutrition</x:v>
      </x:c>
      <x:c r="B2552" t="str">
        <x:v>Optimum Nutrition</x:v>
      </x:c>
      <x:c r="C2552" t="str">
        <x:v>Gold Standard 100% Whey</x:v>
      </x:c>
      <x:c r="D2552" t="str">
        <x:v>Supplements</x:v>
      </x:c>
      <x:c r="E2552" t="str">
        <x:v>Whey Protein</x:v>
      </x:c>
      <x:c r="F2552" t="str"/>
      <x:c r="G2552" t="str">
        <x:v>2.27kg</x:v>
      </x:c>
      <x:c r="H2552" t="str">
        <x:v>Extreme Milk Chocolate</x:v>
      </x:c>
      <x:c r="I2552" t="str"/>
      <x:c r="J2552" t="str">
        <x:v>Unit</x:v>
      </x:c>
      <x:c r="K2552" t="str">
        <x:v>In stock</x:v>
      </x:c>
      <x:c r="L2552" t="str">
        <x:v>2026-09-08</x:v>
      </x:c>
      <x:c r="M2552" t="str"/>
      <x:c r="N2552" t="str"/>
      <x:c r="O2552" t="str">
        <x:v>https://www.activesportstrade.co.uk/trade-sports-supplements/Optimum-Nutrition</x:v>
      </x:c>
      <x:c r="P2552" t="str">
        <x:v>Separate supplier SPECIAL OFFER duplicate rows were not duplicated into the canonical catalogue.</x:v>
      </x:c>
      <x:c r="Q2552" t="str"/>
      <x:c r="R2552" t="str"/>
      <x:c r="S2552" t="str">
        <x:v>Pending genuine supplier/brand image</x:v>
      </x:c>
      <x:c r="T2552" s="54"/>
      <x:c r="U2552" s="47" t="n">
        <x:v>0.2</x:v>
      </x:c>
      <x:c r="V2552" s="54" t="str">
        <x:f>IF(ISNUMBER(T2552),T2552*(1+U2552),"")</x:f>
      </x:c>
      <x:c r="W2552" s="47" t="n">
        <x:v>0.3</x:v>
      </x:c>
      <x:c r="X2552" s="54" t="str">
        <x:f>IF(ISNUMBER(V2552),V2552/(1-W2552),"")</x:f>
      </x:c>
      <x:c r="Y2552" s="55" t="str">
        <x:f>IF(ISNUMBER(X2552),ROUNDUP(X2552,0),"")</x:f>
      </x:c>
      <x:c r="Z2552" t="str">
        <x:f>IF(ISNUMBER(T2552),"Cost captured","Awaiting trade cost")</x:f>
        <x:v>Awaiting trade cost</x:v>
      </x:c>
      <x:c r="AB2552" s="36" t="str">
        <x:f>IF(ISNUMBER(Y2552),ROUND(Y2552*0.9,2),"")</x:f>
      </x:c>
      <x:c r="AC2552" s="36" t="str">
        <x:f>IF(ISNUMBER(AB2552),ROUND(AB2552-(AB2552*0.015+0.2)-V2552,2),"")</x:f>
      </x:c>
      <x:c r="AD2552" s="36" t="str">
        <x:f>IF(ISNUMBER(Y2552),ROUND(Y2552*0.8,2),"")</x:f>
      </x:c>
      <x:c r="AE2552" s="36" t="str">
        <x:f>IF(ISNUMBER(AD2552),ROUND(AD2552*0.015+0.2,2),"")</x:f>
      </x:c>
      <x:c r="AF2552" s="36" t="str">
        <x:f>IF(ISNUMBER(AD2552),ROUND(AD2552-AE2552-V2552,2),"")</x:f>
      </x:c>
      <x:c r="AG2552" t="str">
        <x:f>IF(NOT(ISNUMBER(T2552)),"PENDING",IF(AF2552&gt;0,"PASS","FAIL"))</x:f>
        <x:v>PENDING</x:v>
      </x:c>
      <x:c r="AH2552" t="str">
        <x:f>IF(NOT(ISNUMBER(T2552)),"Needs supplier cost",IF(K2552&lt;&gt;"In stock","Supplier unavailable",IF(AG2552&lt;&gt;"PASS","BLOCK - GT loss risk","Commercially protected")))</x:f>
        <x:v>Needs supplier cost</x:v>
      </x:c>
      <x:c r="AI2552" t="str">
        <x:v>2026-09-10 Active Sports trade capture</x:v>
      </x:c>
      <x:c r="AJ2552" t="str">
        <x:v>Management-only economics. Stripe stress test uses 1.5% + £0.20 standard UK online-card fee; pallet/mix-and-match pricing ignored.</x:v>
      </x:c>
    </x:row>
    <x:row r="2553">
      <x:c r="A2553" t="str">
        <x:v>Active Sports Nutrition</x:v>
      </x:c>
      <x:c r="B2553" t="str">
        <x:v>Optimum Nutrition</x:v>
      </x:c>
      <x:c r="C2553" t="str">
        <x:v>Gold Standard 100% Whey</x:v>
      </x:c>
      <x:c r="D2553" t="str">
        <x:v>Supplements</x:v>
      </x:c>
      <x:c r="E2553" t="str">
        <x:v>Whey Protein</x:v>
      </x:c>
      <x:c r="F2553" t="str"/>
      <x:c r="G2553" t="str">
        <x:v>2.27kg</x:v>
      </x:c>
      <x:c r="H2553" t="str">
        <x:v>French Vanilla Creme</x:v>
      </x:c>
      <x:c r="I2553" t="str"/>
      <x:c r="J2553" t="str">
        <x:v>Unit</x:v>
      </x:c>
      <x:c r="K2553" t="str">
        <x:v>In stock</x:v>
      </x:c>
      <x:c r="L2553" t="str">
        <x:v>2026-09-08</x:v>
      </x:c>
      <x:c r="M2553" t="str"/>
      <x:c r="N2553" t="str"/>
      <x:c r="O2553" t="str">
        <x:v>https://www.activesportstrade.co.uk/trade-sports-supplements/Optimum-Nutrition</x:v>
      </x:c>
      <x:c r="P2553" t="str">
        <x:v>Separate supplier SPECIAL OFFER duplicate rows were not duplicated into the canonical catalogue.</x:v>
      </x:c>
      <x:c r="Q2553" t="str"/>
      <x:c r="R2553" t="str"/>
      <x:c r="S2553" t="str">
        <x:v>Pending genuine supplier/brand image</x:v>
      </x:c>
      <x:c r="T2553" s="54"/>
      <x:c r="U2553" s="47" t="n">
        <x:v>0.2</x:v>
      </x:c>
      <x:c r="V2553" s="54" t="str">
        <x:f>IF(ISNUMBER(T2553),T2553*(1+U2553),"")</x:f>
      </x:c>
      <x:c r="W2553" s="47" t="n">
        <x:v>0.3</x:v>
      </x:c>
      <x:c r="X2553" s="54" t="str">
        <x:f>IF(ISNUMBER(V2553),V2553/(1-W2553),"")</x:f>
      </x:c>
      <x:c r="Y2553" s="55" t="str">
        <x:f>IF(ISNUMBER(X2553),ROUNDUP(X2553,0),"")</x:f>
      </x:c>
      <x:c r="Z2553" t="str">
        <x:f>IF(ISNUMBER(T2553),"Cost captured","Awaiting trade cost")</x:f>
        <x:v>Awaiting trade cost</x:v>
      </x:c>
      <x:c r="AB2553" s="36" t="str">
        <x:f>IF(ISNUMBER(Y2553),ROUND(Y2553*0.9,2),"")</x:f>
      </x:c>
      <x:c r="AC2553" s="36" t="str">
        <x:f>IF(ISNUMBER(AB2553),ROUND(AB2553-(AB2553*0.015+0.2)-V2553,2),"")</x:f>
      </x:c>
      <x:c r="AD2553" s="36" t="str">
        <x:f>IF(ISNUMBER(Y2553),ROUND(Y2553*0.8,2),"")</x:f>
      </x:c>
      <x:c r="AE2553" s="36" t="str">
        <x:f>IF(ISNUMBER(AD2553),ROUND(AD2553*0.015+0.2,2),"")</x:f>
      </x:c>
      <x:c r="AF2553" s="36" t="str">
        <x:f>IF(ISNUMBER(AD2553),ROUND(AD2553-AE2553-V2553,2),"")</x:f>
      </x:c>
      <x:c r="AG2553" t="str">
        <x:f>IF(NOT(ISNUMBER(T2553)),"PENDING",IF(AF2553&gt;0,"PASS","FAIL"))</x:f>
        <x:v>PENDING</x:v>
      </x:c>
      <x:c r="AH2553" t="str">
        <x:f>IF(NOT(ISNUMBER(T2553)),"Needs supplier cost",IF(K2553&lt;&gt;"In stock","Supplier unavailable",IF(AG2553&lt;&gt;"PASS","BLOCK - GT loss risk","Commercially protected")))</x:f>
        <x:v>Needs supplier cost</x:v>
      </x:c>
      <x:c r="AI2553" t="str">
        <x:v>2026-09-10 Active Sports trade capture</x:v>
      </x:c>
      <x:c r="AJ2553" t="str">
        <x:v>Management-only economics. Stripe stress test uses 1.5% + £0.20 standard UK online-card fee; pallet/mix-and-match pricing ignored.</x:v>
      </x:c>
    </x:row>
    <x:row r="2554">
      <x:c r="A2554" t="str">
        <x:v>Active Sports Nutrition</x:v>
      </x:c>
      <x:c r="B2554" t="str">
        <x:v>Optimum Nutrition</x:v>
      </x:c>
      <x:c r="C2554" t="str">
        <x:v>Gold Standard 100% Whey</x:v>
      </x:c>
      <x:c r="D2554" t="str">
        <x:v>Supplements</x:v>
      </x:c>
      <x:c r="E2554" t="str">
        <x:v>Whey Protein</x:v>
      </x:c>
      <x:c r="F2554" t="str"/>
      <x:c r="G2554" t="str">
        <x:v>2.27kg</x:v>
      </x:c>
      <x:c r="H2554" t="str">
        <x:v>Vanilla Ice Cream</x:v>
      </x:c>
      <x:c r="I2554" t="str"/>
      <x:c r="J2554" t="str">
        <x:v>Unit</x:v>
      </x:c>
      <x:c r="K2554" t="str">
        <x:v>In stock</x:v>
      </x:c>
      <x:c r="L2554" t="str">
        <x:v>2026-09-08</x:v>
      </x:c>
      <x:c r="M2554" t="str"/>
      <x:c r="N2554" t="str"/>
      <x:c r="O2554" t="str">
        <x:v>https://www.activesportstrade.co.uk/trade-sports-supplements/Optimum-Nutrition</x:v>
      </x:c>
      <x:c r="P2554" t="str">
        <x:v>Separate supplier SPECIAL OFFER duplicate rows were not duplicated into the canonical catalogue.</x:v>
      </x:c>
      <x:c r="Q2554" t="str"/>
      <x:c r="R2554" t="str"/>
      <x:c r="S2554" t="str">
        <x:v>Pending genuine supplier/brand image</x:v>
      </x:c>
      <x:c r="T2554" s="54"/>
      <x:c r="U2554" s="47" t="n">
        <x:v>0.2</x:v>
      </x:c>
      <x:c r="V2554" s="54" t="str">
        <x:f>IF(ISNUMBER(T2554),T2554*(1+U2554),"")</x:f>
      </x:c>
      <x:c r="W2554" s="47" t="n">
        <x:v>0.3</x:v>
      </x:c>
      <x:c r="X2554" s="54" t="str">
        <x:f>IF(ISNUMBER(V2554),V2554/(1-W2554),"")</x:f>
      </x:c>
      <x:c r="Y2554" s="55" t="str">
        <x:f>IF(ISNUMBER(X2554),ROUNDUP(X2554,0),"")</x:f>
      </x:c>
      <x:c r="Z2554" t="str">
        <x:f>IF(ISNUMBER(T2554),"Cost captured","Awaiting trade cost")</x:f>
        <x:v>Awaiting trade cost</x:v>
      </x:c>
      <x:c r="AB2554" s="36" t="str">
        <x:f>IF(ISNUMBER(Y2554),ROUND(Y2554*0.9,2),"")</x:f>
      </x:c>
      <x:c r="AC2554" s="36" t="str">
        <x:f>IF(ISNUMBER(AB2554),ROUND(AB2554-(AB2554*0.015+0.2)-V2554,2),"")</x:f>
      </x:c>
      <x:c r="AD2554" s="36" t="str">
        <x:f>IF(ISNUMBER(Y2554),ROUND(Y2554*0.8,2),"")</x:f>
      </x:c>
      <x:c r="AE2554" s="36" t="str">
        <x:f>IF(ISNUMBER(AD2554),ROUND(AD2554*0.015+0.2,2),"")</x:f>
      </x:c>
      <x:c r="AF2554" s="36" t="str">
        <x:f>IF(ISNUMBER(AD2554),ROUND(AD2554-AE2554-V2554,2),"")</x:f>
      </x:c>
      <x:c r="AG2554" t="str">
        <x:f>IF(NOT(ISNUMBER(T2554)),"PENDING",IF(AF2554&gt;0,"PASS","FAIL"))</x:f>
        <x:v>PENDING</x:v>
      </x:c>
      <x:c r="AH2554" t="str">
        <x:f>IF(NOT(ISNUMBER(T2554)),"Needs supplier cost",IF(K2554&lt;&gt;"In stock","Supplier unavailable",IF(AG2554&lt;&gt;"PASS","BLOCK - GT loss risk","Commercially protected")))</x:f>
        <x:v>Needs supplier cost</x:v>
      </x:c>
      <x:c r="AI2554" t="str">
        <x:v>2026-09-10 Active Sports trade capture</x:v>
      </x:c>
      <x:c r="AJ2554" t="str">
        <x:v>Management-only economics. Stripe stress test uses 1.5% + £0.20 standard UK online-card fee; pallet/mix-and-match pricing ignored.</x:v>
      </x:c>
    </x:row>
    <x:row r="2555">
      <x:c r="A2555" t="str">
        <x:v>Active Sports Nutrition</x:v>
      </x:c>
      <x:c r="B2555" t="str">
        <x:v>Optimum Nutrition</x:v>
      </x:c>
      <x:c r="C2555" t="str">
        <x:v>Gold Standard 100% Whey</x:v>
      </x:c>
      <x:c r="D2555" t="str">
        <x:v>Supplements</x:v>
      </x:c>
      <x:c r="E2555" t="str">
        <x:v>Whey Protein</x:v>
      </x:c>
      <x:c r="F2555" t="str"/>
      <x:c r="G2555" t="str">
        <x:v>2.27kg</x:v>
      </x:c>
      <x:c r="H2555" t="str">
        <x:v>White Chocolate Raspberry</x:v>
      </x:c>
      <x:c r="I2555" t="str"/>
      <x:c r="J2555" t="str">
        <x:v>Unit</x:v>
      </x:c>
      <x:c r="K2555" t="str">
        <x:v>In stock</x:v>
      </x:c>
      <x:c r="L2555" t="str">
        <x:v>2026-09-08</x:v>
      </x:c>
      <x:c r="M2555" t="str"/>
      <x:c r="N2555" t="str"/>
      <x:c r="O2555" t="str">
        <x:v>https://www.activesportstrade.co.uk/trade-sports-supplements/Optimum-Nutrition</x:v>
      </x:c>
      <x:c r="P2555" t="str">
        <x:v>Separate supplier SPECIAL OFFER duplicate rows were not duplicated into the canonical catalogue.</x:v>
      </x:c>
      <x:c r="Q2555" t="str"/>
      <x:c r="R2555" t="str"/>
      <x:c r="S2555" t="str">
        <x:v>Pending genuine supplier/brand image</x:v>
      </x:c>
      <x:c r="T2555" s="54"/>
      <x:c r="U2555" s="47" t="n">
        <x:v>0.2</x:v>
      </x:c>
      <x:c r="V2555" s="54" t="str">
        <x:f>IF(ISNUMBER(T2555),T2555*(1+U2555),"")</x:f>
      </x:c>
      <x:c r="W2555" s="47" t="n">
        <x:v>0.3</x:v>
      </x:c>
      <x:c r="X2555" s="54" t="str">
        <x:f>IF(ISNUMBER(V2555),V2555/(1-W2555),"")</x:f>
      </x:c>
      <x:c r="Y2555" s="55" t="str">
        <x:f>IF(ISNUMBER(X2555),ROUNDUP(X2555,0),"")</x:f>
      </x:c>
      <x:c r="Z2555" t="str">
        <x:f>IF(ISNUMBER(T2555),"Cost captured","Awaiting trade cost")</x:f>
        <x:v>Awaiting trade cost</x:v>
      </x:c>
      <x:c r="AB2555" s="36" t="str">
        <x:f>IF(ISNUMBER(Y2555),ROUND(Y2555*0.9,2),"")</x:f>
      </x:c>
      <x:c r="AC2555" s="36" t="str">
        <x:f>IF(ISNUMBER(AB2555),ROUND(AB2555-(AB2555*0.015+0.2)-V2555,2),"")</x:f>
      </x:c>
      <x:c r="AD2555" s="36" t="str">
        <x:f>IF(ISNUMBER(Y2555),ROUND(Y2555*0.8,2),"")</x:f>
      </x:c>
      <x:c r="AE2555" s="36" t="str">
        <x:f>IF(ISNUMBER(AD2555),ROUND(AD2555*0.015+0.2,2),"")</x:f>
      </x:c>
      <x:c r="AF2555" s="36" t="str">
        <x:f>IF(ISNUMBER(AD2555),ROUND(AD2555-AE2555-V2555,2),"")</x:f>
      </x:c>
      <x:c r="AG2555" t="str">
        <x:f>IF(NOT(ISNUMBER(T2555)),"PENDING",IF(AF2555&gt;0,"PASS","FAIL"))</x:f>
        <x:v>PENDING</x:v>
      </x:c>
      <x:c r="AH2555" t="str">
        <x:f>IF(NOT(ISNUMBER(T2555)),"Needs supplier cost",IF(K2555&lt;&gt;"In stock","Supplier unavailable",IF(AG2555&lt;&gt;"PASS","BLOCK - GT loss risk","Commercially protected")))</x:f>
        <x:v>Needs supplier cost</x:v>
      </x:c>
      <x:c r="AI2555" t="str">
        <x:v>2026-09-10 Active Sports trade capture</x:v>
      </x:c>
      <x:c r="AJ2555" t="str">
        <x:v>Management-only economics. Stripe stress test uses 1.5% + £0.20 standard UK online-card fee; pallet/mix-and-match pricing ignored.</x:v>
      </x:c>
    </x:row>
    <x:row r="2556">
      <x:c r="A2556" t="str">
        <x:v>Active Sports Nutrition</x:v>
      </x:c>
      <x:c r="B2556" t="str">
        <x:v>Optimum Nutrition</x:v>
      </x:c>
      <x:c r="C2556" t="str">
        <x:v>Gold Standard 100% Whey</x:v>
      </x:c>
      <x:c r="D2556" t="str">
        <x:v>Supplements</x:v>
      </x:c>
      <x:c r="E2556" t="str">
        <x:v>Whey Protein</x:v>
      </x:c>
      <x:c r="F2556" t="str"/>
      <x:c r="G2556" t="str">
        <x:v>912g</x:v>
      </x:c>
      <x:c r="H2556" t="str">
        <x:v>Banana</x:v>
      </x:c>
      <x:c r="I2556" t="str"/>
      <x:c r="J2556" t="str">
        <x:v>Unit</x:v>
      </x:c>
      <x:c r="K2556" t="str">
        <x:v>In stock</x:v>
      </x:c>
      <x:c r="L2556" t="str">
        <x:v>2026-09-08</x:v>
      </x:c>
      <x:c r="M2556" t="str"/>
      <x:c r="N2556" t="str"/>
      <x:c r="O2556" t="str">
        <x:v>https://www.activesportstrade.co.uk/trade-sports-supplements/Optimum-Nutrition</x:v>
      </x:c>
      <x:c r="P2556" t="str">
        <x:v>BLACK FRIDAY/SPECIAL OFFER duplicate rows ignored; canonical stock taken from the normal listing where available.</x:v>
      </x:c>
      <x:c r="Q2556" t="str"/>
      <x:c r="R2556" t="str"/>
      <x:c r="S2556" t="str">
        <x:v>Pending genuine supplier/brand image</x:v>
      </x:c>
      <x:c r="T2556" s="54"/>
      <x:c r="U2556" s="47" t="n">
        <x:v>0.2</x:v>
      </x:c>
      <x:c r="V2556" s="54" t="str">
        <x:f>IF(ISNUMBER(T2556),T2556*(1+U2556),"")</x:f>
      </x:c>
      <x:c r="W2556" s="47" t="n">
        <x:v>0.3</x:v>
      </x:c>
      <x:c r="X2556" s="54" t="str">
        <x:f>IF(ISNUMBER(V2556),V2556/(1-W2556),"")</x:f>
      </x:c>
      <x:c r="Y2556" s="55" t="str">
        <x:f>IF(ISNUMBER(X2556),ROUNDUP(X2556,0),"")</x:f>
      </x:c>
      <x:c r="Z2556" t="str">
        <x:f>IF(ISNUMBER(T2556),"Cost captured","Awaiting trade cost")</x:f>
        <x:v>Awaiting trade cost</x:v>
      </x:c>
      <x:c r="AB2556" s="36" t="str">
        <x:f>IF(ISNUMBER(Y2556),ROUND(Y2556*0.9,2),"")</x:f>
      </x:c>
      <x:c r="AC2556" s="36" t="str">
        <x:f>IF(ISNUMBER(AB2556),ROUND(AB2556-(AB2556*0.015+0.2)-V2556,2),"")</x:f>
      </x:c>
      <x:c r="AD2556" s="36" t="str">
        <x:f>IF(ISNUMBER(Y2556),ROUND(Y2556*0.8,2),"")</x:f>
      </x:c>
      <x:c r="AE2556" s="36" t="str">
        <x:f>IF(ISNUMBER(AD2556),ROUND(AD2556*0.015+0.2,2),"")</x:f>
      </x:c>
      <x:c r="AF2556" s="36" t="str">
        <x:f>IF(ISNUMBER(AD2556),ROUND(AD2556-AE2556-V2556,2),"")</x:f>
      </x:c>
      <x:c r="AG2556" t="str">
        <x:f>IF(NOT(ISNUMBER(T2556)),"PENDING",IF(AF2556&gt;0,"PASS","FAIL"))</x:f>
        <x:v>PENDING</x:v>
      </x:c>
      <x:c r="AH2556" t="str">
        <x:f>IF(NOT(ISNUMBER(T2556)),"Needs supplier cost",IF(K2556&lt;&gt;"In stock","Supplier unavailable",IF(AG2556&lt;&gt;"PASS","BLOCK - GT loss risk","Commercially protected")))</x:f>
        <x:v>Needs supplier cost</x:v>
      </x:c>
      <x:c r="AI2556" t="str">
        <x:v>2026-09-10 Active Sports trade capture</x:v>
      </x:c>
      <x:c r="AJ2556" t="str">
        <x:v>Management-only economics. Stripe stress test uses 1.5% + £0.20 standard UK online-card fee; pallet/mix-and-match pricing ignored.</x:v>
      </x:c>
    </x:row>
    <x:row r="2557">
      <x:c r="A2557" t="str">
        <x:v>Active Sports Nutrition</x:v>
      </x:c>
      <x:c r="B2557" t="str">
        <x:v>Optimum Nutrition</x:v>
      </x:c>
      <x:c r="C2557" t="str">
        <x:v>Gold Standard 100% Whey</x:v>
      </x:c>
      <x:c r="D2557" t="str">
        <x:v>Supplements</x:v>
      </x:c>
      <x:c r="E2557" t="str">
        <x:v>Whey Protein</x:v>
      </x:c>
      <x:c r="F2557" t="str"/>
      <x:c r="G2557" t="str">
        <x:v>912g</x:v>
      </x:c>
      <x:c r="H2557" t="str">
        <x:v>Choc Mint</x:v>
      </x:c>
      <x:c r="I2557" t="str"/>
      <x:c r="J2557" t="str">
        <x:v>Unit</x:v>
      </x:c>
      <x:c r="K2557" t="str">
        <x:v>In stock</x:v>
      </x:c>
      <x:c r="L2557" t="str">
        <x:v>2026-09-08</x:v>
      </x:c>
      <x:c r="M2557" t="str"/>
      <x:c r="N2557" t="str"/>
      <x:c r="O2557" t="str">
        <x:v>https://www.activesportstrade.co.uk/trade-sports-supplements/Optimum-Nutrition</x:v>
      </x:c>
      <x:c r="P2557" t="str">
        <x:v>BLACK FRIDAY/SPECIAL OFFER duplicate rows ignored; canonical stock taken from the normal listing where available.</x:v>
      </x:c>
      <x:c r="Q2557" t="str"/>
      <x:c r="R2557" t="str"/>
      <x:c r="S2557" t="str">
        <x:v>Pending genuine supplier/brand image</x:v>
      </x:c>
      <x:c r="T2557" s="54"/>
      <x:c r="U2557" s="47" t="n">
        <x:v>0.2</x:v>
      </x:c>
      <x:c r="V2557" s="54" t="str">
        <x:f>IF(ISNUMBER(T2557),T2557*(1+U2557),"")</x:f>
      </x:c>
      <x:c r="W2557" s="47" t="n">
        <x:v>0.3</x:v>
      </x:c>
      <x:c r="X2557" s="54" t="str">
        <x:f>IF(ISNUMBER(V2557),V2557/(1-W2557),"")</x:f>
      </x:c>
      <x:c r="Y2557" s="55" t="str">
        <x:f>IF(ISNUMBER(X2557),ROUNDUP(X2557,0),"")</x:f>
      </x:c>
      <x:c r="Z2557" t="str">
        <x:f>IF(ISNUMBER(T2557),"Cost captured","Awaiting trade cost")</x:f>
        <x:v>Awaiting trade cost</x:v>
      </x:c>
      <x:c r="AB2557" s="36" t="str">
        <x:f>IF(ISNUMBER(Y2557),ROUND(Y2557*0.9,2),"")</x:f>
      </x:c>
      <x:c r="AC2557" s="36" t="str">
        <x:f>IF(ISNUMBER(AB2557),ROUND(AB2557-(AB2557*0.015+0.2)-V2557,2),"")</x:f>
      </x:c>
      <x:c r="AD2557" s="36" t="str">
        <x:f>IF(ISNUMBER(Y2557),ROUND(Y2557*0.8,2),"")</x:f>
      </x:c>
      <x:c r="AE2557" s="36" t="str">
        <x:f>IF(ISNUMBER(AD2557),ROUND(AD2557*0.015+0.2,2),"")</x:f>
      </x:c>
      <x:c r="AF2557" s="36" t="str">
        <x:f>IF(ISNUMBER(AD2557),ROUND(AD2557-AE2557-V2557,2),"")</x:f>
      </x:c>
      <x:c r="AG2557" t="str">
        <x:f>IF(NOT(ISNUMBER(T2557)),"PENDING",IF(AF2557&gt;0,"PASS","FAIL"))</x:f>
        <x:v>PENDING</x:v>
      </x:c>
      <x:c r="AH2557" t="str">
        <x:f>IF(NOT(ISNUMBER(T2557)),"Needs supplier cost",IF(K2557&lt;&gt;"In stock","Supplier unavailable",IF(AG2557&lt;&gt;"PASS","BLOCK - GT loss risk","Commercially protected")))</x:f>
        <x:v>Needs supplier cost</x:v>
      </x:c>
      <x:c r="AI2557" t="str">
        <x:v>2026-09-10 Active Sports trade capture</x:v>
      </x:c>
      <x:c r="AJ2557" t="str">
        <x:v>Management-only economics. Stripe stress test uses 1.5% + £0.20 standard UK online-card fee; pallet/mix-and-match pricing ignored.</x:v>
      </x:c>
    </x:row>
    <x:row r="2558">
      <x:c r="A2558" t="str">
        <x:v>Active Sports Nutrition</x:v>
      </x:c>
      <x:c r="B2558" t="str">
        <x:v>Optimum Nutrition</x:v>
      </x:c>
      <x:c r="C2558" t="str">
        <x:v>Gold Standard 100% Whey</x:v>
      </x:c>
      <x:c r="D2558" t="str">
        <x:v>Supplements</x:v>
      </x:c>
      <x:c r="E2558" t="str">
        <x:v>Whey Protein</x:v>
      </x:c>
      <x:c r="F2558" t="str"/>
      <x:c r="G2558" t="str">
        <x:v>912g</x:v>
      </x:c>
      <x:c r="H2558" t="str">
        <x:v>Chocolate Hazelnut</x:v>
      </x:c>
      <x:c r="I2558" t="str"/>
      <x:c r="J2558" t="str">
        <x:v>Unit</x:v>
      </x:c>
      <x:c r="K2558" t="str">
        <x:v>In stock</x:v>
      </x:c>
      <x:c r="L2558" t="str">
        <x:v>2026-09-08</x:v>
      </x:c>
      <x:c r="M2558" t="str"/>
      <x:c r="N2558" t="str"/>
      <x:c r="O2558" t="str">
        <x:v>https://www.activesportstrade.co.uk/trade-sports-supplements/Optimum-Nutrition</x:v>
      </x:c>
      <x:c r="P2558" t="str">
        <x:v>BLACK FRIDAY/SPECIAL OFFER duplicate rows ignored; canonical stock taken from the normal listing where available.</x:v>
      </x:c>
      <x:c r="Q2558" t="str"/>
      <x:c r="R2558" t="str"/>
      <x:c r="S2558" t="str">
        <x:v>Pending genuine supplier/brand image</x:v>
      </x:c>
      <x:c r="T2558" s="54"/>
      <x:c r="U2558" s="47" t="n">
        <x:v>0.2</x:v>
      </x:c>
      <x:c r="V2558" s="54" t="str">
        <x:f>IF(ISNUMBER(T2558),T2558*(1+U2558),"")</x:f>
      </x:c>
      <x:c r="W2558" s="47" t="n">
        <x:v>0.3</x:v>
      </x:c>
      <x:c r="X2558" s="54" t="str">
        <x:f>IF(ISNUMBER(V2558),V2558/(1-W2558),"")</x:f>
      </x:c>
      <x:c r="Y2558" s="55" t="str">
        <x:f>IF(ISNUMBER(X2558),ROUNDUP(X2558,0),"")</x:f>
      </x:c>
      <x:c r="Z2558" t="str">
        <x:f>IF(ISNUMBER(T2558),"Cost captured","Awaiting trade cost")</x:f>
        <x:v>Awaiting trade cost</x:v>
      </x:c>
      <x:c r="AB2558" s="36" t="str">
        <x:f>IF(ISNUMBER(Y2558),ROUND(Y2558*0.9,2),"")</x:f>
      </x:c>
      <x:c r="AC2558" s="36" t="str">
        <x:f>IF(ISNUMBER(AB2558),ROUND(AB2558-(AB2558*0.015+0.2)-V2558,2),"")</x:f>
      </x:c>
      <x:c r="AD2558" s="36" t="str">
        <x:f>IF(ISNUMBER(Y2558),ROUND(Y2558*0.8,2),"")</x:f>
      </x:c>
      <x:c r="AE2558" s="36" t="str">
        <x:f>IF(ISNUMBER(AD2558),ROUND(AD2558*0.015+0.2,2),"")</x:f>
      </x:c>
      <x:c r="AF2558" s="36" t="str">
        <x:f>IF(ISNUMBER(AD2558),ROUND(AD2558-AE2558-V2558,2),"")</x:f>
      </x:c>
      <x:c r="AG2558" t="str">
        <x:f>IF(NOT(ISNUMBER(T2558)),"PENDING",IF(AF2558&gt;0,"PASS","FAIL"))</x:f>
        <x:v>PENDING</x:v>
      </x:c>
      <x:c r="AH2558" t="str">
        <x:f>IF(NOT(ISNUMBER(T2558)),"Needs supplier cost",IF(K2558&lt;&gt;"In stock","Supplier unavailable",IF(AG2558&lt;&gt;"PASS","BLOCK - GT loss risk","Commercially protected")))</x:f>
        <x:v>Needs supplier cost</x:v>
      </x:c>
      <x:c r="AI2558" t="str">
        <x:v>2026-09-10 Active Sports trade capture</x:v>
      </x:c>
      <x:c r="AJ2558" t="str">
        <x:v>Management-only economics. Stripe stress test uses 1.5% + £0.20 standard UK online-card fee; pallet/mix-and-match pricing ignored.</x:v>
      </x:c>
    </x:row>
    <x:row r="2559">
      <x:c r="A2559" t="str">
        <x:v>Active Sports Nutrition</x:v>
      </x:c>
      <x:c r="B2559" t="str">
        <x:v>Optimum Nutrition</x:v>
      </x:c>
      <x:c r="C2559" t="str">
        <x:v>Gold Standard 100% Whey</x:v>
      </x:c>
      <x:c r="D2559" t="str">
        <x:v>Supplements</x:v>
      </x:c>
      <x:c r="E2559" t="str">
        <x:v>Whey Protein</x:v>
      </x:c>
      <x:c r="F2559" t="str"/>
      <x:c r="G2559" t="str">
        <x:v>912g</x:v>
      </x:c>
      <x:c r="H2559" t="str">
        <x:v>Chocolate Peanut Butter</x:v>
      </x:c>
      <x:c r="I2559" t="str"/>
      <x:c r="J2559" t="str">
        <x:v>Unit</x:v>
      </x:c>
      <x:c r="K2559" t="str">
        <x:v>In stock</x:v>
      </x:c>
      <x:c r="L2559" t="str">
        <x:v>2026-09-08</x:v>
      </x:c>
      <x:c r="M2559" t="str"/>
      <x:c r="N2559" t="str"/>
      <x:c r="O2559" t="str">
        <x:v>https://www.activesportstrade.co.uk/trade-sports-supplements/Optimum-Nutrition</x:v>
      </x:c>
      <x:c r="P2559" t="str">
        <x:v>BLACK FRIDAY/SPECIAL OFFER duplicate rows ignored; canonical stock taken from the normal listing where available.</x:v>
      </x:c>
      <x:c r="Q2559" t="str"/>
      <x:c r="R2559" t="str"/>
      <x:c r="S2559" t="str">
        <x:v>Pending genuine supplier/brand image</x:v>
      </x:c>
      <x:c r="T2559" s="54"/>
      <x:c r="U2559" s="47" t="n">
        <x:v>0.2</x:v>
      </x:c>
      <x:c r="V2559" s="54" t="str">
        <x:f>IF(ISNUMBER(T2559),T2559*(1+U2559),"")</x:f>
      </x:c>
      <x:c r="W2559" s="47" t="n">
        <x:v>0.3</x:v>
      </x:c>
      <x:c r="X2559" s="54" t="str">
        <x:f>IF(ISNUMBER(V2559),V2559/(1-W2559),"")</x:f>
      </x:c>
      <x:c r="Y2559" s="55" t="str">
        <x:f>IF(ISNUMBER(X2559),ROUNDUP(X2559,0),"")</x:f>
      </x:c>
      <x:c r="Z2559" t="str">
        <x:f>IF(ISNUMBER(T2559),"Cost captured","Awaiting trade cost")</x:f>
        <x:v>Awaiting trade cost</x:v>
      </x:c>
      <x:c r="AB2559" s="36" t="str">
        <x:f>IF(ISNUMBER(Y2559),ROUND(Y2559*0.9,2),"")</x:f>
      </x:c>
      <x:c r="AC2559" s="36" t="str">
        <x:f>IF(ISNUMBER(AB2559),ROUND(AB2559-(AB2559*0.015+0.2)-V2559,2),"")</x:f>
      </x:c>
      <x:c r="AD2559" s="36" t="str">
        <x:f>IF(ISNUMBER(Y2559),ROUND(Y2559*0.8,2),"")</x:f>
      </x:c>
      <x:c r="AE2559" s="36" t="str">
        <x:f>IF(ISNUMBER(AD2559),ROUND(AD2559*0.015+0.2,2),"")</x:f>
      </x:c>
      <x:c r="AF2559" s="36" t="str">
        <x:f>IF(ISNUMBER(AD2559),ROUND(AD2559-AE2559-V2559,2),"")</x:f>
      </x:c>
      <x:c r="AG2559" t="str">
        <x:f>IF(NOT(ISNUMBER(T2559)),"PENDING",IF(AF2559&gt;0,"PASS","FAIL"))</x:f>
        <x:v>PENDING</x:v>
      </x:c>
      <x:c r="AH2559" t="str">
        <x:f>IF(NOT(ISNUMBER(T2559)),"Needs supplier cost",IF(K2559&lt;&gt;"In stock","Supplier unavailable",IF(AG2559&lt;&gt;"PASS","BLOCK - GT loss risk","Commercially protected")))</x:f>
        <x:v>Needs supplier cost</x:v>
      </x:c>
      <x:c r="AI2559" t="str">
        <x:v>2026-09-10 Active Sports trade capture</x:v>
      </x:c>
      <x:c r="AJ2559" t="str">
        <x:v>Management-only economics. Stripe stress test uses 1.5% + £0.20 standard UK online-card fee; pallet/mix-and-match pricing ignored.</x:v>
      </x:c>
    </x:row>
    <x:row r="2560">
      <x:c r="A2560" t="str">
        <x:v>Active Sports Nutrition</x:v>
      </x:c>
      <x:c r="B2560" t="str">
        <x:v>Optimum Nutrition</x:v>
      </x:c>
      <x:c r="C2560" t="str">
        <x:v>Gold Standard 100% Whey</x:v>
      </x:c>
      <x:c r="D2560" t="str">
        <x:v>Supplements</x:v>
      </x:c>
      <x:c r="E2560" t="str">
        <x:v>Whey Protein</x:v>
      </x:c>
      <x:c r="F2560" t="str"/>
      <x:c r="G2560" t="str">
        <x:v>912g</x:v>
      </x:c>
      <x:c r="H2560" t="str">
        <x:v>Cookies and Cream</x:v>
      </x:c>
      <x:c r="I2560" t="str"/>
      <x:c r="J2560" t="str">
        <x:v>Unit</x:v>
      </x:c>
      <x:c r="K2560" t="str">
        <x:v>In stock</x:v>
      </x:c>
      <x:c r="L2560" t="str">
        <x:v>2026-09-08</x:v>
      </x:c>
      <x:c r="M2560" t="str"/>
      <x:c r="N2560" t="str"/>
      <x:c r="O2560" t="str">
        <x:v>https://www.activesportstrade.co.uk/trade-sports-supplements/Optimum-Nutrition</x:v>
      </x:c>
      <x:c r="P2560" t="str">
        <x:v>BLACK FRIDAY/SPECIAL OFFER duplicate rows ignored; canonical stock taken from the normal listing where available.</x:v>
      </x:c>
      <x:c r="Q2560" t="str"/>
      <x:c r="R2560" t="str"/>
      <x:c r="S2560" t="str">
        <x:v>Pending genuine supplier/brand image</x:v>
      </x:c>
      <x:c r="T2560" s="54"/>
      <x:c r="U2560" s="47" t="n">
        <x:v>0.2</x:v>
      </x:c>
      <x:c r="V2560" s="54" t="str">
        <x:f>IF(ISNUMBER(T2560),T2560*(1+U2560),"")</x:f>
      </x:c>
      <x:c r="W2560" s="47" t="n">
        <x:v>0.3</x:v>
      </x:c>
      <x:c r="X2560" s="54" t="str">
        <x:f>IF(ISNUMBER(V2560),V2560/(1-W2560),"")</x:f>
      </x:c>
      <x:c r="Y2560" s="55" t="str">
        <x:f>IF(ISNUMBER(X2560),ROUNDUP(X2560,0),"")</x:f>
      </x:c>
      <x:c r="Z2560" t="str">
        <x:f>IF(ISNUMBER(T2560),"Cost captured","Awaiting trade cost")</x:f>
        <x:v>Awaiting trade cost</x:v>
      </x:c>
      <x:c r="AB2560" s="36" t="str">
        <x:f>IF(ISNUMBER(Y2560),ROUND(Y2560*0.9,2),"")</x:f>
      </x:c>
      <x:c r="AC2560" s="36" t="str">
        <x:f>IF(ISNUMBER(AB2560),ROUND(AB2560-(AB2560*0.015+0.2)-V2560,2),"")</x:f>
      </x:c>
      <x:c r="AD2560" s="36" t="str">
        <x:f>IF(ISNUMBER(Y2560),ROUND(Y2560*0.8,2),"")</x:f>
      </x:c>
      <x:c r="AE2560" s="36" t="str">
        <x:f>IF(ISNUMBER(AD2560),ROUND(AD2560*0.015+0.2,2),"")</x:f>
      </x:c>
      <x:c r="AF2560" s="36" t="str">
        <x:f>IF(ISNUMBER(AD2560),ROUND(AD2560-AE2560-V2560,2),"")</x:f>
      </x:c>
      <x:c r="AG2560" t="str">
        <x:f>IF(NOT(ISNUMBER(T2560)),"PENDING",IF(AF2560&gt;0,"PASS","FAIL"))</x:f>
        <x:v>PENDING</x:v>
      </x:c>
      <x:c r="AH2560" t="str">
        <x:f>IF(NOT(ISNUMBER(T2560)),"Needs supplier cost",IF(K2560&lt;&gt;"In stock","Supplier unavailable",IF(AG2560&lt;&gt;"PASS","BLOCK - GT loss risk","Commercially protected")))</x:f>
        <x:v>Needs supplier cost</x:v>
      </x:c>
      <x:c r="AI2560" t="str">
        <x:v>2026-09-10 Active Sports trade capture</x:v>
      </x:c>
      <x:c r="AJ2560" t="str">
        <x:v>Management-only economics. Stripe stress test uses 1.5% + £0.20 standard UK online-card fee; pallet/mix-and-match pricing ignored.</x:v>
      </x:c>
    </x:row>
    <x:row r="2561">
      <x:c r="A2561" t="str">
        <x:v>Active Sports Nutrition</x:v>
      </x:c>
      <x:c r="B2561" t="str">
        <x:v>Optimum Nutrition</x:v>
      </x:c>
      <x:c r="C2561" t="str">
        <x:v>Gold Standard 100% Whey</x:v>
      </x:c>
      <x:c r="D2561" t="str">
        <x:v>Supplements</x:v>
      </x:c>
      <x:c r="E2561" t="str">
        <x:v>Whey Protein</x:v>
      </x:c>
      <x:c r="F2561" t="str"/>
      <x:c r="G2561" t="str">
        <x:v>912g</x:v>
      </x:c>
      <x:c r="H2561" t="str">
        <x:v>Double Rich Chocolate</x:v>
      </x:c>
      <x:c r="I2561" t="str"/>
      <x:c r="J2561" t="str">
        <x:v>Unit</x:v>
      </x:c>
      <x:c r="K2561" t="str">
        <x:v>In stock</x:v>
      </x:c>
      <x:c r="L2561" t="str">
        <x:v>2026-09-08</x:v>
      </x:c>
      <x:c r="M2561" t="str"/>
      <x:c r="N2561" t="str"/>
      <x:c r="O2561" t="str">
        <x:v>https://www.activesportstrade.co.uk/trade-sports-supplements/Optimum-Nutrition</x:v>
      </x:c>
      <x:c r="P2561" t="str">
        <x:v>BLACK FRIDAY/SPECIAL OFFER duplicate rows ignored; canonical stock taken from the normal listing where available.</x:v>
      </x:c>
      <x:c r="Q2561" t="str"/>
      <x:c r="R2561" t="str"/>
      <x:c r="S2561" t="str">
        <x:v>Pending genuine supplier/brand image</x:v>
      </x:c>
      <x:c r="T2561" s="54"/>
      <x:c r="U2561" s="47" t="n">
        <x:v>0.2</x:v>
      </x:c>
      <x:c r="V2561" s="54" t="str">
        <x:f>IF(ISNUMBER(T2561),T2561*(1+U2561),"")</x:f>
      </x:c>
      <x:c r="W2561" s="47" t="n">
        <x:v>0.3</x:v>
      </x:c>
      <x:c r="X2561" s="54" t="str">
        <x:f>IF(ISNUMBER(V2561),V2561/(1-W2561),"")</x:f>
      </x:c>
      <x:c r="Y2561" s="55" t="str">
        <x:f>IF(ISNUMBER(X2561),ROUNDUP(X2561,0),"")</x:f>
      </x:c>
      <x:c r="Z2561" t="str">
        <x:f>IF(ISNUMBER(T2561),"Cost captured","Awaiting trade cost")</x:f>
        <x:v>Awaiting trade cost</x:v>
      </x:c>
      <x:c r="AB2561" s="36" t="str">
        <x:f>IF(ISNUMBER(Y2561),ROUND(Y2561*0.9,2),"")</x:f>
      </x:c>
      <x:c r="AC2561" s="36" t="str">
        <x:f>IF(ISNUMBER(AB2561),ROUND(AB2561-(AB2561*0.015+0.2)-V2561,2),"")</x:f>
      </x:c>
      <x:c r="AD2561" s="36" t="str">
        <x:f>IF(ISNUMBER(Y2561),ROUND(Y2561*0.8,2),"")</x:f>
      </x:c>
      <x:c r="AE2561" s="36" t="str">
        <x:f>IF(ISNUMBER(AD2561),ROUND(AD2561*0.015+0.2,2),"")</x:f>
      </x:c>
      <x:c r="AF2561" s="36" t="str">
        <x:f>IF(ISNUMBER(AD2561),ROUND(AD2561-AE2561-V2561,2),"")</x:f>
      </x:c>
      <x:c r="AG2561" t="str">
        <x:f>IF(NOT(ISNUMBER(T2561)),"PENDING",IF(AF2561&gt;0,"PASS","FAIL"))</x:f>
        <x:v>PENDING</x:v>
      </x:c>
      <x:c r="AH2561" t="str">
        <x:f>IF(NOT(ISNUMBER(T2561)),"Needs supplier cost",IF(K2561&lt;&gt;"In stock","Supplier unavailable",IF(AG2561&lt;&gt;"PASS","BLOCK - GT loss risk","Commercially protected")))</x:f>
        <x:v>Needs supplier cost</x:v>
      </x:c>
      <x:c r="AI2561" t="str">
        <x:v>2026-09-10 Active Sports trade capture</x:v>
      </x:c>
      <x:c r="AJ2561" t="str">
        <x:v>Management-only economics. Stripe stress test uses 1.5% + £0.20 standard UK online-card fee; pallet/mix-and-match pricing ignored.</x:v>
      </x:c>
    </x:row>
    <x:row r="2562">
      <x:c r="A2562" t="str">
        <x:v>Active Sports Nutrition</x:v>
      </x:c>
      <x:c r="B2562" t="str">
        <x:v>Optimum Nutrition</x:v>
      </x:c>
      <x:c r="C2562" t="str">
        <x:v>Gold Standard 100% Whey</x:v>
      </x:c>
      <x:c r="D2562" t="str">
        <x:v>Supplements</x:v>
      </x:c>
      <x:c r="E2562" t="str">
        <x:v>Whey Protein</x:v>
      </x:c>
      <x:c r="F2562" t="str"/>
      <x:c r="G2562" t="str">
        <x:v>912g</x:v>
      </x:c>
      <x:c r="H2562" t="str">
        <x:v>Extreme Milk Chocolate</x:v>
      </x:c>
      <x:c r="I2562" t="str"/>
      <x:c r="J2562" t="str">
        <x:v>Unit</x:v>
      </x:c>
      <x:c r="K2562" t="str">
        <x:v>In stock</x:v>
      </x:c>
      <x:c r="L2562" t="str">
        <x:v>2026-09-08</x:v>
      </x:c>
      <x:c r="M2562" t="str"/>
      <x:c r="N2562" t="str"/>
      <x:c r="O2562" t="str">
        <x:v>https://www.activesportstrade.co.uk/trade-sports-supplements/Optimum-Nutrition</x:v>
      </x:c>
      <x:c r="P2562" t="str">
        <x:v>BLACK FRIDAY/SPECIAL OFFER duplicate rows ignored; canonical stock taken from the normal listing where available.</x:v>
      </x:c>
      <x:c r="Q2562" t="str"/>
      <x:c r="R2562" t="str"/>
      <x:c r="S2562" t="str">
        <x:v>Pending genuine supplier/brand image</x:v>
      </x:c>
      <x:c r="T2562" s="54"/>
      <x:c r="U2562" s="47" t="n">
        <x:v>0.2</x:v>
      </x:c>
      <x:c r="V2562" s="54" t="str">
        <x:f>IF(ISNUMBER(T2562),T2562*(1+U2562),"")</x:f>
      </x:c>
      <x:c r="W2562" s="47" t="n">
        <x:v>0.3</x:v>
      </x:c>
      <x:c r="X2562" s="54" t="str">
        <x:f>IF(ISNUMBER(V2562),V2562/(1-W2562),"")</x:f>
      </x:c>
      <x:c r="Y2562" s="55" t="str">
        <x:f>IF(ISNUMBER(X2562),ROUNDUP(X2562,0),"")</x:f>
      </x:c>
      <x:c r="Z2562" t="str">
        <x:f>IF(ISNUMBER(T2562),"Cost captured","Awaiting trade cost")</x:f>
        <x:v>Awaiting trade cost</x:v>
      </x:c>
      <x:c r="AB2562" s="36" t="str">
        <x:f>IF(ISNUMBER(Y2562),ROUND(Y2562*0.9,2),"")</x:f>
      </x:c>
      <x:c r="AC2562" s="36" t="str">
        <x:f>IF(ISNUMBER(AB2562),ROUND(AB2562-(AB2562*0.015+0.2)-V2562,2),"")</x:f>
      </x:c>
      <x:c r="AD2562" s="36" t="str">
        <x:f>IF(ISNUMBER(Y2562),ROUND(Y2562*0.8,2),"")</x:f>
      </x:c>
      <x:c r="AE2562" s="36" t="str">
        <x:f>IF(ISNUMBER(AD2562),ROUND(AD2562*0.015+0.2,2),"")</x:f>
      </x:c>
      <x:c r="AF2562" s="36" t="str">
        <x:f>IF(ISNUMBER(AD2562),ROUND(AD2562-AE2562-V2562,2),"")</x:f>
      </x:c>
      <x:c r="AG2562" t="str">
        <x:f>IF(NOT(ISNUMBER(T2562)),"PENDING",IF(AF2562&gt;0,"PASS","FAIL"))</x:f>
        <x:v>PENDING</x:v>
      </x:c>
      <x:c r="AH2562" t="str">
        <x:f>IF(NOT(ISNUMBER(T2562)),"Needs supplier cost",IF(K2562&lt;&gt;"In stock","Supplier unavailable",IF(AG2562&lt;&gt;"PASS","BLOCK - GT loss risk","Commercially protected")))</x:f>
        <x:v>Needs supplier cost</x:v>
      </x:c>
      <x:c r="AI2562" t="str">
        <x:v>2026-09-10 Active Sports trade capture</x:v>
      </x:c>
      <x:c r="AJ2562" t="str">
        <x:v>Management-only economics. Stripe stress test uses 1.5% + £0.20 standard UK online-card fee; pallet/mix-and-match pricing ignored.</x:v>
      </x:c>
    </x:row>
    <x:row r="2563">
      <x:c r="A2563" t="str">
        <x:v>Active Sports Nutrition</x:v>
      </x:c>
      <x:c r="B2563" t="str">
        <x:v>Optimum Nutrition</x:v>
      </x:c>
      <x:c r="C2563" t="str">
        <x:v>Gold Standard 100% Whey</x:v>
      </x:c>
      <x:c r="D2563" t="str">
        <x:v>Supplements</x:v>
      </x:c>
      <x:c r="E2563" t="str">
        <x:v>Whey Protein</x:v>
      </x:c>
      <x:c r="F2563" t="str"/>
      <x:c r="G2563" t="str">
        <x:v>912g</x:v>
      </x:c>
      <x:c r="H2563" t="str">
        <x:v>French Vanilla Creme</x:v>
      </x:c>
      <x:c r="I2563" t="str"/>
      <x:c r="J2563" t="str">
        <x:v>Unit</x:v>
      </x:c>
      <x:c r="K2563" t="str">
        <x:v>Out of stock</x:v>
      </x:c>
      <x:c r="L2563" t="str">
        <x:v>2026-09-08</x:v>
      </x:c>
      <x:c r="M2563" t="str"/>
      <x:c r="N2563" t="str"/>
      <x:c r="O2563" t="str">
        <x:v>https://www.activesportstrade.co.uk/trade-sports-supplements/Optimum-Nutrition</x:v>
      </x:c>
      <x:c r="P2563" t="str">
        <x:v>BLACK FRIDAY/SPECIAL OFFER duplicate rows ignored; canonical stock taken from the normal listing where available.</x:v>
      </x:c>
      <x:c r="Q2563" t="str"/>
      <x:c r="R2563" t="str"/>
      <x:c r="S2563" t="str">
        <x:v>Pending genuine supplier/brand image</x:v>
      </x:c>
      <x:c r="T2563" s="54"/>
      <x:c r="U2563" s="47" t="n">
        <x:v>0.2</x:v>
      </x:c>
      <x:c r="V2563" s="54" t="str">
        <x:f>IF(ISNUMBER(T2563),T2563*(1+U2563),"")</x:f>
      </x:c>
      <x:c r="W2563" s="47" t="n">
        <x:v>0.3</x:v>
      </x:c>
      <x:c r="X2563" s="54" t="str">
        <x:f>IF(ISNUMBER(V2563),V2563/(1-W2563),"")</x:f>
      </x:c>
      <x:c r="Y2563" s="55" t="str">
        <x:f>IF(ISNUMBER(X2563),ROUNDUP(X2563,0),"")</x:f>
      </x:c>
      <x:c r="Z2563" t="str">
        <x:f>IF(ISNUMBER(T2563),"Cost captured","Awaiting trade cost")</x:f>
        <x:v>Awaiting trade cost</x:v>
      </x:c>
      <x:c r="AB2563" s="36" t="str">
        <x:f>IF(ISNUMBER(Y2563),ROUND(Y2563*0.9,2),"")</x:f>
      </x:c>
      <x:c r="AC2563" s="36" t="str">
        <x:f>IF(ISNUMBER(AB2563),ROUND(AB2563-(AB2563*0.015+0.2)-V2563,2),"")</x:f>
      </x:c>
      <x:c r="AD2563" s="36" t="str">
        <x:f>IF(ISNUMBER(Y2563),ROUND(Y2563*0.8,2),"")</x:f>
      </x:c>
      <x:c r="AE2563" s="36" t="str">
        <x:f>IF(ISNUMBER(AD2563),ROUND(AD2563*0.015+0.2,2),"")</x:f>
      </x:c>
      <x:c r="AF2563" s="36" t="str">
        <x:f>IF(ISNUMBER(AD2563),ROUND(AD2563-AE2563-V2563,2),"")</x:f>
      </x:c>
      <x:c r="AG2563" t="str">
        <x:f>IF(NOT(ISNUMBER(T2563)),"PENDING",IF(AF2563&gt;0,"PASS","FAIL"))</x:f>
        <x:v>PENDING</x:v>
      </x:c>
      <x:c r="AH2563" t="str">
        <x:f>IF(NOT(ISNUMBER(T2563)),"Needs supplier cost",IF(K2563&lt;&gt;"In stock","Supplier unavailable",IF(AG2563&lt;&gt;"PASS","BLOCK - GT loss risk","Commercially protected")))</x:f>
        <x:v>Needs supplier cost</x:v>
      </x:c>
      <x:c r="AI2563" t="str">
        <x:v>2026-09-10 Active Sports trade capture</x:v>
      </x:c>
      <x:c r="AJ2563" t="str">
        <x:v>Management-only economics. Stripe stress test uses 1.5% + £0.20 standard UK online-card fee; pallet/mix-and-match pricing ignored.</x:v>
      </x:c>
    </x:row>
    <x:row r="2564">
      <x:c r="A2564" t="str">
        <x:v>Active Sports Nutrition</x:v>
      </x:c>
      <x:c r="B2564" t="str">
        <x:v>Optimum Nutrition</x:v>
      </x:c>
      <x:c r="C2564" t="str">
        <x:v>Gold Standard 100% Whey</x:v>
      </x:c>
      <x:c r="D2564" t="str">
        <x:v>Supplements</x:v>
      </x:c>
      <x:c r="E2564" t="str">
        <x:v>Whey Protein</x:v>
      </x:c>
      <x:c r="F2564" t="str"/>
      <x:c r="G2564" t="str">
        <x:v>912g</x:v>
      </x:c>
      <x:c r="H2564" t="str">
        <x:v>Strawberry</x:v>
      </x:c>
      <x:c r="I2564" t="str"/>
      <x:c r="J2564" t="str">
        <x:v>Unit</x:v>
      </x:c>
      <x:c r="K2564" t="str">
        <x:v>In stock</x:v>
      </x:c>
      <x:c r="L2564" t="str">
        <x:v>2026-09-08</x:v>
      </x:c>
      <x:c r="M2564" t="str"/>
      <x:c r="N2564" t="str"/>
      <x:c r="O2564" t="str">
        <x:v>https://www.activesportstrade.co.uk/trade-sports-supplements/Optimum-Nutrition</x:v>
      </x:c>
      <x:c r="P2564" t="str">
        <x:v>BLACK FRIDAY/SPECIAL OFFER duplicate rows ignored; canonical stock taken from the normal listing where available.</x:v>
      </x:c>
      <x:c r="Q2564" t="str"/>
      <x:c r="R2564" t="str"/>
      <x:c r="S2564" t="str">
        <x:v>Pending genuine supplier/brand image</x:v>
      </x:c>
      <x:c r="T2564" s="54"/>
      <x:c r="U2564" s="47" t="n">
        <x:v>0.2</x:v>
      </x:c>
      <x:c r="V2564" s="54" t="str">
        <x:f>IF(ISNUMBER(T2564),T2564*(1+U2564),"")</x:f>
      </x:c>
      <x:c r="W2564" s="47" t="n">
        <x:v>0.3</x:v>
      </x:c>
      <x:c r="X2564" s="54" t="str">
        <x:f>IF(ISNUMBER(V2564),V2564/(1-W2564),"")</x:f>
      </x:c>
      <x:c r="Y2564" s="55" t="str">
        <x:f>IF(ISNUMBER(X2564),ROUNDUP(X2564,0),"")</x:f>
      </x:c>
      <x:c r="Z2564" t="str">
        <x:f>IF(ISNUMBER(T2564),"Cost captured","Awaiting trade cost")</x:f>
        <x:v>Awaiting trade cost</x:v>
      </x:c>
      <x:c r="AB2564" s="36" t="str">
        <x:f>IF(ISNUMBER(Y2564),ROUND(Y2564*0.9,2),"")</x:f>
      </x:c>
      <x:c r="AC2564" s="36" t="str">
        <x:f>IF(ISNUMBER(AB2564),ROUND(AB2564-(AB2564*0.015+0.2)-V2564,2),"")</x:f>
      </x:c>
      <x:c r="AD2564" s="36" t="str">
        <x:f>IF(ISNUMBER(Y2564),ROUND(Y2564*0.8,2),"")</x:f>
      </x:c>
      <x:c r="AE2564" s="36" t="str">
        <x:f>IF(ISNUMBER(AD2564),ROUND(AD2564*0.015+0.2,2),"")</x:f>
      </x:c>
      <x:c r="AF2564" s="36" t="str">
        <x:f>IF(ISNUMBER(AD2564),ROUND(AD2564-AE2564-V2564,2),"")</x:f>
      </x:c>
      <x:c r="AG2564" t="str">
        <x:f>IF(NOT(ISNUMBER(T2564)),"PENDING",IF(AF2564&gt;0,"PASS","FAIL"))</x:f>
        <x:v>PENDING</x:v>
      </x:c>
      <x:c r="AH2564" t="str">
        <x:f>IF(NOT(ISNUMBER(T2564)),"Needs supplier cost",IF(K2564&lt;&gt;"In stock","Supplier unavailable",IF(AG2564&lt;&gt;"PASS","BLOCK - GT loss risk","Commercially protected")))</x:f>
        <x:v>Needs supplier cost</x:v>
      </x:c>
      <x:c r="AI2564" t="str">
        <x:v>2026-09-10 Active Sports trade capture</x:v>
      </x:c>
      <x:c r="AJ2564" t="str">
        <x:v>Management-only economics. Stripe stress test uses 1.5% + £0.20 standard UK online-card fee; pallet/mix-and-match pricing ignored.</x:v>
      </x:c>
    </x:row>
    <x:row r="2565">
      <x:c r="A2565" t="str">
        <x:v>Active Sports Nutrition</x:v>
      </x:c>
      <x:c r="B2565" t="str">
        <x:v>Optimum Nutrition</x:v>
      </x:c>
      <x:c r="C2565" t="str">
        <x:v>Gold Standard 100% Whey</x:v>
      </x:c>
      <x:c r="D2565" t="str">
        <x:v>Supplements</x:v>
      </x:c>
      <x:c r="E2565" t="str">
        <x:v>Whey Protein</x:v>
      </x:c>
      <x:c r="F2565" t="str"/>
      <x:c r="G2565" t="str">
        <x:v>912g</x:v>
      </x:c>
      <x:c r="H2565" t="str">
        <x:v>Unflavoured</x:v>
      </x:c>
      <x:c r="I2565" t="str"/>
      <x:c r="J2565" t="str">
        <x:v>Unit</x:v>
      </x:c>
      <x:c r="K2565" t="str">
        <x:v>In stock</x:v>
      </x:c>
      <x:c r="L2565" t="str">
        <x:v>2026-09-08</x:v>
      </x:c>
      <x:c r="M2565" t="str"/>
      <x:c r="N2565" t="str"/>
      <x:c r="O2565" t="str">
        <x:v>https://www.activesportstrade.co.uk/trade-sports-supplements/Optimum-Nutrition</x:v>
      </x:c>
      <x:c r="P2565" t="str">
        <x:v>BLACK FRIDAY/SPECIAL OFFER duplicate rows ignored; canonical stock taken from the normal listing where available.</x:v>
      </x:c>
      <x:c r="Q2565" t="str"/>
      <x:c r="R2565" t="str"/>
      <x:c r="S2565" t="str">
        <x:v>Pending genuine supplier/brand image</x:v>
      </x:c>
      <x:c r="T2565" s="54"/>
      <x:c r="U2565" s="47" t="n">
        <x:v>0.2</x:v>
      </x:c>
      <x:c r="V2565" s="54" t="str">
        <x:f>IF(ISNUMBER(T2565),T2565*(1+U2565),"")</x:f>
      </x:c>
      <x:c r="W2565" s="47" t="n">
        <x:v>0.3</x:v>
      </x:c>
      <x:c r="X2565" s="54" t="str">
        <x:f>IF(ISNUMBER(V2565),V2565/(1-W2565),"")</x:f>
      </x:c>
      <x:c r="Y2565" s="55" t="str">
        <x:f>IF(ISNUMBER(X2565),ROUNDUP(X2565,0),"")</x:f>
      </x:c>
      <x:c r="Z2565" t="str">
        <x:f>IF(ISNUMBER(T2565),"Cost captured","Awaiting trade cost")</x:f>
        <x:v>Awaiting trade cost</x:v>
      </x:c>
      <x:c r="AB2565" s="36" t="str">
        <x:f>IF(ISNUMBER(Y2565),ROUND(Y2565*0.9,2),"")</x:f>
      </x:c>
      <x:c r="AC2565" s="36" t="str">
        <x:f>IF(ISNUMBER(AB2565),ROUND(AB2565-(AB2565*0.015+0.2)-V2565,2),"")</x:f>
      </x:c>
      <x:c r="AD2565" s="36" t="str">
        <x:f>IF(ISNUMBER(Y2565),ROUND(Y2565*0.8,2),"")</x:f>
      </x:c>
      <x:c r="AE2565" s="36" t="str">
        <x:f>IF(ISNUMBER(AD2565),ROUND(AD2565*0.015+0.2,2),"")</x:f>
      </x:c>
      <x:c r="AF2565" s="36" t="str">
        <x:f>IF(ISNUMBER(AD2565),ROUND(AD2565-AE2565-V2565,2),"")</x:f>
      </x:c>
      <x:c r="AG2565" t="str">
        <x:f>IF(NOT(ISNUMBER(T2565)),"PENDING",IF(AF2565&gt;0,"PASS","FAIL"))</x:f>
        <x:v>PENDING</x:v>
      </x:c>
      <x:c r="AH2565" t="str">
        <x:f>IF(NOT(ISNUMBER(T2565)),"Needs supplier cost",IF(K2565&lt;&gt;"In stock","Supplier unavailable",IF(AG2565&lt;&gt;"PASS","BLOCK - GT loss risk","Commercially protected")))</x:f>
        <x:v>Needs supplier cost</x:v>
      </x:c>
      <x:c r="AI2565" t="str">
        <x:v>2026-09-10 Active Sports trade capture</x:v>
      </x:c>
      <x:c r="AJ2565" t="str">
        <x:v>Management-only economics. Stripe stress test uses 1.5% + £0.20 standard UK online-card fee; pallet/mix-and-match pricing ignored.</x:v>
      </x:c>
    </x:row>
    <x:row r="2566">
      <x:c r="A2566" t="str">
        <x:v>Active Sports Nutrition</x:v>
      </x:c>
      <x:c r="B2566" t="str">
        <x:v>Optimum Nutrition</x:v>
      </x:c>
      <x:c r="C2566" t="str">
        <x:v>Gold Standard 100% Whey</x:v>
      </x:c>
      <x:c r="D2566" t="str">
        <x:v>Supplements</x:v>
      </x:c>
      <x:c r="E2566" t="str">
        <x:v>Whey Protein</x:v>
      </x:c>
      <x:c r="F2566" t="str"/>
      <x:c r="G2566" t="str">
        <x:v>912g</x:v>
      </x:c>
      <x:c r="H2566" t="str">
        <x:v>Vanilla Ice Cream</x:v>
      </x:c>
      <x:c r="I2566" t="str"/>
      <x:c r="J2566" t="str">
        <x:v>Unit</x:v>
      </x:c>
      <x:c r="K2566" t="str">
        <x:v>In stock</x:v>
      </x:c>
      <x:c r="L2566" t="str">
        <x:v>2026-09-08</x:v>
      </x:c>
      <x:c r="M2566" t="str"/>
      <x:c r="N2566" t="str"/>
      <x:c r="O2566" t="str">
        <x:v>https://www.activesportstrade.co.uk/trade-sports-supplements/Optimum-Nutrition</x:v>
      </x:c>
      <x:c r="P2566" t="str">
        <x:v>BLACK FRIDAY/SPECIAL OFFER duplicate rows ignored; canonical stock taken from the normal listing where available.</x:v>
      </x:c>
      <x:c r="Q2566" t="str"/>
      <x:c r="R2566" t="str"/>
      <x:c r="S2566" t="str">
        <x:v>Pending genuine supplier/brand image</x:v>
      </x:c>
      <x:c r="T2566" s="54"/>
      <x:c r="U2566" s="47" t="n">
        <x:v>0.2</x:v>
      </x:c>
      <x:c r="V2566" s="54" t="str">
        <x:f>IF(ISNUMBER(T2566),T2566*(1+U2566),"")</x:f>
      </x:c>
      <x:c r="W2566" s="47" t="n">
        <x:v>0.3</x:v>
      </x:c>
      <x:c r="X2566" s="54" t="str">
        <x:f>IF(ISNUMBER(V2566),V2566/(1-W2566),"")</x:f>
      </x:c>
      <x:c r="Y2566" s="55" t="str">
        <x:f>IF(ISNUMBER(X2566),ROUNDUP(X2566,0),"")</x:f>
      </x:c>
      <x:c r="Z2566" t="str">
        <x:f>IF(ISNUMBER(T2566),"Cost captured","Awaiting trade cost")</x:f>
        <x:v>Awaiting trade cost</x:v>
      </x:c>
      <x:c r="AB2566" s="36" t="str">
        <x:f>IF(ISNUMBER(Y2566),ROUND(Y2566*0.9,2),"")</x:f>
      </x:c>
      <x:c r="AC2566" s="36" t="str">
        <x:f>IF(ISNUMBER(AB2566),ROUND(AB2566-(AB2566*0.015+0.2)-V2566,2),"")</x:f>
      </x:c>
      <x:c r="AD2566" s="36" t="str">
        <x:f>IF(ISNUMBER(Y2566),ROUND(Y2566*0.8,2),"")</x:f>
      </x:c>
      <x:c r="AE2566" s="36" t="str">
        <x:f>IF(ISNUMBER(AD2566),ROUND(AD2566*0.015+0.2,2),"")</x:f>
      </x:c>
      <x:c r="AF2566" s="36" t="str">
        <x:f>IF(ISNUMBER(AD2566),ROUND(AD2566-AE2566-V2566,2),"")</x:f>
      </x:c>
      <x:c r="AG2566" t="str">
        <x:f>IF(NOT(ISNUMBER(T2566)),"PENDING",IF(AF2566&gt;0,"PASS","FAIL"))</x:f>
        <x:v>PENDING</x:v>
      </x:c>
      <x:c r="AH2566" t="str">
        <x:f>IF(NOT(ISNUMBER(T2566)),"Needs supplier cost",IF(K2566&lt;&gt;"In stock","Supplier unavailable",IF(AG2566&lt;&gt;"PASS","BLOCK - GT loss risk","Commercially protected")))</x:f>
        <x:v>Needs supplier cost</x:v>
      </x:c>
      <x:c r="AI2566" t="str">
        <x:v>2026-09-10 Active Sports trade capture</x:v>
      </x:c>
      <x:c r="AJ2566" t="str">
        <x:v>Management-only economics. Stripe stress test uses 1.5% + £0.20 standard UK online-card fee; pallet/mix-and-match pricing ignored.</x:v>
      </x:c>
    </x:row>
    <x:row r="2567">
      <x:c r="A2567" t="str">
        <x:v>Active Sports Nutrition</x:v>
      </x:c>
      <x:c r="B2567" t="str">
        <x:v>Optimum Nutrition</x:v>
      </x:c>
      <x:c r="C2567" t="str">
        <x:v>Gold Standard 100% Whey</x:v>
      </x:c>
      <x:c r="D2567" t="str">
        <x:v>Supplements</x:v>
      </x:c>
      <x:c r="E2567" t="str">
        <x:v>Whey Protein</x:v>
      </x:c>
      <x:c r="F2567" t="str"/>
      <x:c r="G2567" t="str">
        <x:v>912g</x:v>
      </x:c>
      <x:c r="H2567" t="str">
        <x:v>White Chocolate Raspberry</x:v>
      </x:c>
      <x:c r="I2567" t="str"/>
      <x:c r="J2567" t="str">
        <x:v>Unit</x:v>
      </x:c>
      <x:c r="K2567" t="str">
        <x:v>In stock</x:v>
      </x:c>
      <x:c r="L2567" t="str">
        <x:v>2026-09-08</x:v>
      </x:c>
      <x:c r="M2567" t="str"/>
      <x:c r="N2567" t="str"/>
      <x:c r="O2567" t="str">
        <x:v>https://www.activesportstrade.co.uk/trade-sports-supplements/Optimum-Nutrition</x:v>
      </x:c>
      <x:c r="P2567" t="str">
        <x:v>BLACK FRIDAY/SPECIAL OFFER duplicate rows ignored; canonical stock taken from the normal listing where available.</x:v>
      </x:c>
      <x:c r="Q2567" t="str"/>
      <x:c r="R2567" t="str"/>
      <x:c r="S2567" t="str">
        <x:v>Pending genuine supplier/brand image</x:v>
      </x:c>
      <x:c r="T2567" s="54"/>
      <x:c r="U2567" s="47" t="n">
        <x:v>0.2</x:v>
      </x:c>
      <x:c r="V2567" s="54" t="str">
        <x:f>IF(ISNUMBER(T2567),T2567*(1+U2567),"")</x:f>
      </x:c>
      <x:c r="W2567" s="47" t="n">
        <x:v>0.3</x:v>
      </x:c>
      <x:c r="X2567" s="54" t="str">
        <x:f>IF(ISNUMBER(V2567),V2567/(1-W2567),"")</x:f>
      </x:c>
      <x:c r="Y2567" s="55" t="str">
        <x:f>IF(ISNUMBER(X2567),ROUNDUP(X2567,0),"")</x:f>
      </x:c>
      <x:c r="Z2567" t="str">
        <x:f>IF(ISNUMBER(T2567),"Cost captured","Awaiting trade cost")</x:f>
        <x:v>Awaiting trade cost</x:v>
      </x:c>
      <x:c r="AB2567" s="36" t="str">
        <x:f>IF(ISNUMBER(Y2567),ROUND(Y2567*0.9,2),"")</x:f>
      </x:c>
      <x:c r="AC2567" s="36" t="str">
        <x:f>IF(ISNUMBER(AB2567),ROUND(AB2567-(AB2567*0.015+0.2)-V2567,2),"")</x:f>
      </x:c>
      <x:c r="AD2567" s="36" t="str">
        <x:f>IF(ISNUMBER(Y2567),ROUND(Y2567*0.8,2),"")</x:f>
      </x:c>
      <x:c r="AE2567" s="36" t="str">
        <x:f>IF(ISNUMBER(AD2567),ROUND(AD2567*0.015+0.2,2),"")</x:f>
      </x:c>
      <x:c r="AF2567" s="36" t="str">
        <x:f>IF(ISNUMBER(AD2567),ROUND(AD2567-AE2567-V2567,2),"")</x:f>
      </x:c>
      <x:c r="AG2567" t="str">
        <x:f>IF(NOT(ISNUMBER(T2567)),"PENDING",IF(AF2567&gt;0,"PASS","FAIL"))</x:f>
        <x:v>PENDING</x:v>
      </x:c>
      <x:c r="AH2567" t="str">
        <x:f>IF(NOT(ISNUMBER(T2567)),"Needs supplier cost",IF(K2567&lt;&gt;"In stock","Supplier unavailable",IF(AG2567&lt;&gt;"PASS","BLOCK - GT loss risk","Commercially protected")))</x:f>
        <x:v>Needs supplier cost</x:v>
      </x:c>
      <x:c r="AI2567" t="str">
        <x:v>2026-09-10 Active Sports trade capture</x:v>
      </x:c>
      <x:c r="AJ2567" t="str">
        <x:v>Management-only economics. Stripe stress test uses 1.5% + £0.20 standard UK online-card fee; pallet/mix-and-match pricing ignored.</x:v>
      </x:c>
    </x:row>
    <x:row r="2568">
      <x:c r="A2568" t="str">
        <x:v>Active Sports Nutrition</x:v>
      </x:c>
      <x:c r="B2568" t="str">
        <x:v>Optimum Nutrition</x:v>
      </x:c>
      <x:c r="C2568" t="str">
        <x:v>Gold Standard 100% Whey Sachets</x:v>
      </x:c>
      <x:c r="D2568" t="str">
        <x:v>Supplements</x:v>
      </x:c>
      <x:c r="E2568" t="str">
        <x:v>Whey Protein</x:v>
      </x:c>
      <x:c r="F2568" t="str"/>
      <x:c r="G2568" t="str">
        <x:v>24 x 30g sachets</x:v>
      </x:c>
      <x:c r="H2568" t="str">
        <x:v>Double Rich Chocolate</x:v>
      </x:c>
      <x:c r="I2568" t="str">
        <x:v>24</x:v>
      </x:c>
      <x:c r="J2568" t="str">
        <x:v>Case</x:v>
      </x:c>
      <x:c r="K2568" t="str">
        <x:v>Out of stock</x:v>
      </x:c>
      <x:c r="L2568" t="str">
        <x:v>2026-09-08</x:v>
      </x:c>
      <x:c r="M2568" t="str"/>
      <x:c r="N2568" t="str"/>
      <x:c r="O2568" t="str">
        <x:v>https://www.activesportstrade.co.uk/trade-sports-supplements/Optimum-Nutrition</x:v>
      </x:c>
      <x:c r="P2568" t="str">
        <x:v>Supplier BLACK FRIDAY/SPECIAL OFFER wording stripped. Strawberry carries an expired BBE state and is blocked.</x:v>
      </x:c>
      <x:c r="Q2568" t="str"/>
      <x:c r="R2568" t="str"/>
      <x:c r="S2568" t="str">
        <x:v>Pending genuine supplier/brand image</x:v>
      </x:c>
      <x:c r="T2568" s="54"/>
      <x:c r="U2568" s="47" t="n">
        <x:v>0.2</x:v>
      </x:c>
      <x:c r="V2568" s="54" t="str">
        <x:f>IF(ISNUMBER(T2568),T2568*(1+U2568),"")</x:f>
      </x:c>
      <x:c r="W2568" s="47" t="n">
        <x:v>0.3</x:v>
      </x:c>
      <x:c r="X2568" s="54" t="str">
        <x:f>IF(ISNUMBER(V2568),V2568/(1-W2568),"")</x:f>
      </x:c>
      <x:c r="Y2568" s="55" t="str">
        <x:f>IF(ISNUMBER(X2568),ROUNDUP(X2568,0),"")</x:f>
      </x:c>
      <x:c r="Z2568" t="str">
        <x:f>IF(ISNUMBER(T2568),"Cost captured","Awaiting trade cost")</x:f>
        <x:v>Awaiting trade cost</x:v>
      </x:c>
      <x:c r="AB2568" s="36" t="str">
        <x:f>IF(ISNUMBER(Y2568),ROUND(Y2568*0.9,2),"")</x:f>
      </x:c>
      <x:c r="AC2568" s="36" t="str">
        <x:f>IF(ISNUMBER(AB2568),ROUND(AB2568-(AB2568*0.015+0.2)-V2568,2),"")</x:f>
      </x:c>
      <x:c r="AD2568" s="36" t="str">
        <x:f>IF(ISNUMBER(Y2568),ROUND(Y2568*0.8,2),"")</x:f>
      </x:c>
      <x:c r="AE2568" s="36" t="str">
        <x:f>IF(ISNUMBER(AD2568),ROUND(AD2568*0.015+0.2,2),"")</x:f>
      </x:c>
      <x:c r="AF2568" s="36" t="str">
        <x:f>IF(ISNUMBER(AD2568),ROUND(AD2568-AE2568-V2568,2),"")</x:f>
      </x:c>
      <x:c r="AG2568" t="str">
        <x:f>IF(NOT(ISNUMBER(T2568)),"PENDING",IF(AF2568&gt;0,"PASS","FAIL"))</x:f>
        <x:v>PENDING</x:v>
      </x:c>
      <x:c r="AH2568" t="str">
        <x:f>IF(NOT(ISNUMBER(T2568)),"Needs supplier cost",IF(K2568&lt;&gt;"In stock","Supplier unavailable",IF(AG2568&lt;&gt;"PASS","BLOCK - GT loss risk","Commercially protected")))</x:f>
        <x:v>Needs supplier cost</x:v>
      </x:c>
      <x:c r="AI2568" t="str">
        <x:v>2026-09-10 Active Sports trade capture</x:v>
      </x:c>
      <x:c r="AJ2568" t="str">
        <x:v>Management-only economics. Stripe stress test uses 1.5% + £0.20 standard UK online-card fee; pallet/mix-and-match pricing ignored.</x:v>
      </x:c>
    </x:row>
    <x:row r="2569">
      <x:c r="A2569" t="str">
        <x:v>Active Sports Nutrition</x:v>
      </x:c>
      <x:c r="B2569" t="str">
        <x:v>Optimum Nutrition</x:v>
      </x:c>
      <x:c r="C2569" t="str">
        <x:v>Gold Standard 100% Whey Sachets</x:v>
      </x:c>
      <x:c r="D2569" t="str">
        <x:v>Supplements</x:v>
      </x:c>
      <x:c r="E2569" t="str">
        <x:v>Whey Protein</x:v>
      </x:c>
      <x:c r="F2569" t="str"/>
      <x:c r="G2569" t="str">
        <x:v>24 x 30g sachets</x:v>
      </x:c>
      <x:c r="H2569" t="str">
        <x:v>Strawberry</x:v>
      </x:c>
      <x:c r="I2569" t="str">
        <x:v>24</x:v>
      </x:c>
      <x:c r="J2569" t="str">
        <x:v>Case</x:v>
      </x:c>
      <x:c r="K2569" t="str">
        <x:v>Unavailable - dated clearance</x:v>
      </x:c>
      <x:c r="L2569" t="str">
        <x:v>2026-09-08</x:v>
      </x:c>
      <x:c r="M2569" t="str"/>
      <x:c r="N2569" t="str"/>
      <x:c r="O2569" t="str">
        <x:v>https://www.activesportstrade.co.uk/trade-sports-supplements/Optimum-Nutrition</x:v>
      </x:c>
      <x:c r="P2569" t="str">
        <x:v>Supplier BLACK FRIDAY/SPECIAL OFFER wording stripped. Strawberry carries an expired BBE state and is blocked.</x:v>
      </x:c>
      <x:c r="Q2569" t="str"/>
      <x:c r="R2569" t="str"/>
      <x:c r="S2569" t="str">
        <x:v>Pending genuine supplier/brand image</x:v>
      </x:c>
      <x:c r="T2569" s="54"/>
      <x:c r="U2569" s="47" t="n">
        <x:v>0.2</x:v>
      </x:c>
      <x:c r="V2569" s="54" t="str">
        <x:f>IF(ISNUMBER(T2569),T2569*(1+U2569),"")</x:f>
      </x:c>
      <x:c r="W2569" s="47" t="n">
        <x:v>0.3</x:v>
      </x:c>
      <x:c r="X2569" s="54" t="str">
        <x:f>IF(ISNUMBER(V2569),V2569/(1-W2569),"")</x:f>
      </x:c>
      <x:c r="Y2569" s="55" t="str">
        <x:f>IF(ISNUMBER(X2569),ROUNDUP(X2569,0),"")</x:f>
      </x:c>
      <x:c r="Z2569" t="str">
        <x:f>IF(ISNUMBER(T2569),"Cost captured","Awaiting trade cost")</x:f>
        <x:v>Awaiting trade cost</x:v>
      </x:c>
      <x:c r="AB2569" s="36" t="str">
        <x:f>IF(ISNUMBER(Y2569),ROUND(Y2569*0.9,2),"")</x:f>
      </x:c>
      <x:c r="AC2569" s="36" t="str">
        <x:f>IF(ISNUMBER(AB2569),ROUND(AB2569-(AB2569*0.015+0.2)-V2569,2),"")</x:f>
      </x:c>
      <x:c r="AD2569" s="36" t="str">
        <x:f>IF(ISNUMBER(Y2569),ROUND(Y2569*0.8,2),"")</x:f>
      </x:c>
      <x:c r="AE2569" s="36" t="str">
        <x:f>IF(ISNUMBER(AD2569),ROUND(AD2569*0.015+0.2,2),"")</x:f>
      </x:c>
      <x:c r="AF2569" s="36" t="str">
        <x:f>IF(ISNUMBER(AD2569),ROUND(AD2569-AE2569-V2569,2),"")</x:f>
      </x:c>
      <x:c r="AG2569" t="str">
        <x:f>IF(NOT(ISNUMBER(T2569)),"PENDING",IF(AF2569&gt;0,"PASS","FAIL"))</x:f>
        <x:v>PENDING</x:v>
      </x:c>
      <x:c r="AH2569" t="str">
        <x:f>IF(NOT(ISNUMBER(T2569)),"Needs supplier cost",IF(K2569&lt;&gt;"In stock","Supplier unavailable",IF(AG2569&lt;&gt;"PASS","BLOCK - GT loss risk","Commercially protected")))</x:f>
        <x:v>Needs supplier cost</x:v>
      </x:c>
      <x:c r="AI2569" t="str">
        <x:v>2026-09-10 Active Sports trade capture</x:v>
      </x:c>
      <x:c r="AJ2569" t="str">
        <x:v>Management-only economics. Stripe stress test uses 1.5% + £0.20 standard UK online-card fee; pallet/mix-and-match pricing ignored.</x:v>
      </x:c>
    </x:row>
    <x:row r="2570">
      <x:c r="A2570" t="str">
        <x:v>Active Sports Nutrition</x:v>
      </x:c>
      <x:c r="B2570" t="str">
        <x:v>Optimum Nutrition</x:v>
      </x:c>
      <x:c r="C2570" t="str">
        <x:v>Gold Standard 100% Whey Sachets</x:v>
      </x:c>
      <x:c r="D2570" t="str">
        <x:v>Supplements</x:v>
      </x:c>
      <x:c r="E2570" t="str">
        <x:v>Whey Protein</x:v>
      </x:c>
      <x:c r="F2570" t="str"/>
      <x:c r="G2570" t="str">
        <x:v>24 x 30g sachets</x:v>
      </x:c>
      <x:c r="H2570" t="str">
        <x:v>Vanilla Ice Cream</x:v>
      </x:c>
      <x:c r="I2570" t="str">
        <x:v>24</x:v>
      </x:c>
      <x:c r="J2570" t="str">
        <x:v>Case</x:v>
      </x:c>
      <x:c r="K2570" t="str">
        <x:v>Out of stock</x:v>
      </x:c>
      <x:c r="L2570" t="str">
        <x:v>2026-09-08</x:v>
      </x:c>
      <x:c r="M2570" t="str"/>
      <x:c r="N2570" t="str"/>
      <x:c r="O2570" t="str">
        <x:v>https://www.activesportstrade.co.uk/trade-sports-supplements/Optimum-Nutrition</x:v>
      </x:c>
      <x:c r="P2570" t="str">
        <x:v>Supplier BLACK FRIDAY/SPECIAL OFFER wording stripped. Strawberry carries an expired BBE state and is blocked.</x:v>
      </x:c>
      <x:c r="Q2570" t="str"/>
      <x:c r="R2570" t="str"/>
      <x:c r="S2570" t="str">
        <x:v>Pending genuine supplier/brand image</x:v>
      </x:c>
      <x:c r="T2570" s="54"/>
      <x:c r="U2570" s="47" t="n">
        <x:v>0.2</x:v>
      </x:c>
      <x:c r="V2570" s="54" t="str">
        <x:f>IF(ISNUMBER(T2570),T2570*(1+U2570),"")</x:f>
      </x:c>
      <x:c r="W2570" s="47" t="n">
        <x:v>0.3</x:v>
      </x:c>
      <x:c r="X2570" s="54" t="str">
        <x:f>IF(ISNUMBER(V2570),V2570/(1-W2570),"")</x:f>
      </x:c>
      <x:c r="Y2570" s="55" t="str">
        <x:f>IF(ISNUMBER(X2570),ROUNDUP(X2570,0),"")</x:f>
      </x:c>
      <x:c r="Z2570" t="str">
        <x:f>IF(ISNUMBER(T2570),"Cost captured","Awaiting trade cost")</x:f>
        <x:v>Awaiting trade cost</x:v>
      </x:c>
      <x:c r="AB2570" s="36" t="str">
        <x:f>IF(ISNUMBER(Y2570),ROUND(Y2570*0.9,2),"")</x:f>
      </x:c>
      <x:c r="AC2570" s="36" t="str">
        <x:f>IF(ISNUMBER(AB2570),ROUND(AB2570-(AB2570*0.015+0.2)-V2570,2),"")</x:f>
      </x:c>
      <x:c r="AD2570" s="36" t="str">
        <x:f>IF(ISNUMBER(Y2570),ROUND(Y2570*0.8,2),"")</x:f>
      </x:c>
      <x:c r="AE2570" s="36" t="str">
        <x:f>IF(ISNUMBER(AD2570),ROUND(AD2570*0.015+0.2,2),"")</x:f>
      </x:c>
      <x:c r="AF2570" s="36" t="str">
        <x:f>IF(ISNUMBER(AD2570),ROUND(AD2570-AE2570-V2570,2),"")</x:f>
      </x:c>
      <x:c r="AG2570" t="str">
        <x:f>IF(NOT(ISNUMBER(T2570)),"PENDING",IF(AF2570&gt;0,"PASS","FAIL"))</x:f>
        <x:v>PENDING</x:v>
      </x:c>
      <x:c r="AH2570" t="str">
        <x:f>IF(NOT(ISNUMBER(T2570)),"Needs supplier cost",IF(K2570&lt;&gt;"In stock","Supplier unavailable",IF(AG2570&lt;&gt;"PASS","BLOCK - GT loss risk","Commercially protected")))</x:f>
        <x:v>Needs supplier cost</x:v>
      </x:c>
      <x:c r="AI2570" t="str">
        <x:v>2026-09-10 Active Sports trade capture</x:v>
      </x:c>
      <x:c r="AJ2570" t="str">
        <x:v>Management-only economics. Stripe stress test uses 1.5% + £0.20 standard UK online-card fee; pallet/mix-and-match pricing ignored.</x:v>
      </x:c>
    </x:row>
    <x:row r="2571">
      <x:c r="A2571" t="str">
        <x:v>Active Sports Nutrition</x:v>
      </x:c>
      <x:c r="B2571" t="str">
        <x:v>Optimum Nutrition</x:v>
      </x:c>
      <x:c r="C2571" t="str">
        <x:v>Micronized Creatine Powder</x:v>
      </x:c>
      <x:c r="D2571" t="str">
        <x:v>Supplements</x:v>
      </x:c>
      <x:c r="E2571" t="str">
        <x:v>Creatine Powders</x:v>
      </x:c>
      <x:c r="F2571" t="str"/>
      <x:c r="G2571" t="str">
        <x:v>247.5g</x:v>
      </x:c>
      <x:c r="H2571" t="str">
        <x:v>Blue Raspberry</x:v>
      </x:c>
      <x:c r="I2571" t="str"/>
      <x:c r="J2571" t="str">
        <x:v>Unit</x:v>
      </x:c>
      <x:c r="K2571" t="str">
        <x:v>In stock</x:v>
      </x:c>
      <x:c r="L2571" t="str">
        <x:v>2026-09-08</x:v>
      </x:c>
      <x:c r="M2571" t="str"/>
      <x:c r="N2571" t="str"/>
      <x:c r="O2571" t="str">
        <x:v>https://www.activesportstrade.co.uk/trade-sports-supplements/Optimum-Nutrition</x:v>
      </x:c>
      <x:c r="P2571" t="str"/>
      <x:c r="Q2571" t="str"/>
      <x:c r="R2571" t="str"/>
      <x:c r="S2571" t="str">
        <x:v>Pending genuine supplier/brand image</x:v>
      </x:c>
      <x:c r="T2571" s="54"/>
      <x:c r="U2571" s="47" t="n">
        <x:v>0.2</x:v>
      </x:c>
      <x:c r="V2571" s="54" t="str">
        <x:f>IF(ISNUMBER(T2571),T2571*(1+U2571),"")</x:f>
      </x:c>
      <x:c r="W2571" s="47" t="n">
        <x:v>0.3</x:v>
      </x:c>
      <x:c r="X2571" s="54" t="str">
        <x:f>IF(ISNUMBER(V2571),V2571/(1-W2571),"")</x:f>
      </x:c>
      <x:c r="Y2571" s="55" t="str">
        <x:f>IF(ISNUMBER(X2571),ROUNDUP(X2571,0),"")</x:f>
      </x:c>
      <x:c r="Z2571" t="str">
        <x:f>IF(ISNUMBER(T2571),"Cost captured","Awaiting trade cost")</x:f>
        <x:v>Awaiting trade cost</x:v>
      </x:c>
      <x:c r="AB2571" s="36" t="str">
        <x:f>IF(ISNUMBER(Y2571),ROUND(Y2571*0.9,2),"")</x:f>
      </x:c>
      <x:c r="AC2571" s="36" t="str">
        <x:f>IF(ISNUMBER(AB2571),ROUND(AB2571-(AB2571*0.015+0.2)-V2571,2),"")</x:f>
      </x:c>
      <x:c r="AD2571" s="36" t="str">
        <x:f>IF(ISNUMBER(Y2571),ROUND(Y2571*0.8,2),"")</x:f>
      </x:c>
      <x:c r="AE2571" s="36" t="str">
        <x:f>IF(ISNUMBER(AD2571),ROUND(AD2571*0.015+0.2,2),"")</x:f>
      </x:c>
      <x:c r="AF2571" s="36" t="str">
        <x:f>IF(ISNUMBER(AD2571),ROUND(AD2571-AE2571-V2571,2),"")</x:f>
      </x:c>
      <x:c r="AG2571" t="str">
        <x:f>IF(NOT(ISNUMBER(T2571)),"PENDING",IF(AF2571&gt;0,"PASS","FAIL"))</x:f>
        <x:v>PENDING</x:v>
      </x:c>
      <x:c r="AH2571" t="str">
        <x:f>IF(NOT(ISNUMBER(T2571)),"Needs supplier cost",IF(K2571&lt;&gt;"In stock","Supplier unavailable",IF(AG2571&lt;&gt;"PASS","BLOCK - GT loss risk","Commercially protected")))</x:f>
        <x:v>Needs supplier cost</x:v>
      </x:c>
      <x:c r="AI2571" t="str">
        <x:v>2026-09-10 Active Sports trade capture</x:v>
      </x:c>
      <x:c r="AJ2571" t="str">
        <x:v>Management-only economics. Stripe stress test uses 1.5% + £0.20 standard UK online-card fee; pallet/mix-and-match pricing ignored.</x:v>
      </x:c>
    </x:row>
    <x:row r="2572">
      <x:c r="A2572" t="str">
        <x:v>Active Sports Nutrition</x:v>
      </x:c>
      <x:c r="B2572" t="str">
        <x:v>Optimum Nutrition</x:v>
      </x:c>
      <x:c r="C2572" t="str">
        <x:v>Micronized Creatine Powder</x:v>
      </x:c>
      <x:c r="D2572" t="str">
        <x:v>Supplements</x:v>
      </x:c>
      <x:c r="E2572" t="str">
        <x:v>Creatine Powders</x:v>
      </x:c>
      <x:c r="F2572" t="str"/>
      <x:c r="G2572" t="str">
        <x:v>247.5g</x:v>
      </x:c>
      <x:c r="H2572" t="str">
        <x:v>Fruit Punch</x:v>
      </x:c>
      <x:c r="I2572" t="str"/>
      <x:c r="J2572" t="str">
        <x:v>Unit</x:v>
      </x:c>
      <x:c r="K2572" t="str">
        <x:v>In stock</x:v>
      </x:c>
      <x:c r="L2572" t="str">
        <x:v>2026-09-08</x:v>
      </x:c>
      <x:c r="M2572" t="str"/>
      <x:c r="N2572" t="str"/>
      <x:c r="O2572" t="str">
        <x:v>https://www.activesportstrade.co.uk/trade-sports-supplements/Optimum-Nutrition</x:v>
      </x:c>
      <x:c r="P2572" t="str"/>
      <x:c r="Q2572" t="str"/>
      <x:c r="R2572" t="str"/>
      <x:c r="S2572" t="str">
        <x:v>Pending genuine supplier/brand image</x:v>
      </x:c>
      <x:c r="T2572" s="54"/>
      <x:c r="U2572" s="47" t="n">
        <x:v>0.2</x:v>
      </x:c>
      <x:c r="V2572" s="54" t="str">
        <x:f>IF(ISNUMBER(T2572),T2572*(1+U2572),"")</x:f>
      </x:c>
      <x:c r="W2572" s="47" t="n">
        <x:v>0.3</x:v>
      </x:c>
      <x:c r="X2572" s="54" t="str">
        <x:f>IF(ISNUMBER(V2572),V2572/(1-W2572),"")</x:f>
      </x:c>
      <x:c r="Y2572" s="55" t="str">
        <x:f>IF(ISNUMBER(X2572),ROUNDUP(X2572,0),"")</x:f>
      </x:c>
      <x:c r="Z2572" t="str">
        <x:f>IF(ISNUMBER(T2572),"Cost captured","Awaiting trade cost")</x:f>
        <x:v>Awaiting trade cost</x:v>
      </x:c>
      <x:c r="AB2572" s="36" t="str">
        <x:f>IF(ISNUMBER(Y2572),ROUND(Y2572*0.9,2),"")</x:f>
      </x:c>
      <x:c r="AC2572" s="36" t="str">
        <x:f>IF(ISNUMBER(AB2572),ROUND(AB2572-(AB2572*0.015+0.2)-V2572,2),"")</x:f>
      </x:c>
      <x:c r="AD2572" s="36" t="str">
        <x:f>IF(ISNUMBER(Y2572),ROUND(Y2572*0.8,2),"")</x:f>
      </x:c>
      <x:c r="AE2572" s="36" t="str">
        <x:f>IF(ISNUMBER(AD2572),ROUND(AD2572*0.015+0.2,2),"")</x:f>
      </x:c>
      <x:c r="AF2572" s="36" t="str">
        <x:f>IF(ISNUMBER(AD2572),ROUND(AD2572-AE2572-V2572,2),"")</x:f>
      </x:c>
      <x:c r="AG2572" t="str">
        <x:f>IF(NOT(ISNUMBER(T2572)),"PENDING",IF(AF2572&gt;0,"PASS","FAIL"))</x:f>
        <x:v>PENDING</x:v>
      </x:c>
      <x:c r="AH2572" t="str">
        <x:f>IF(NOT(ISNUMBER(T2572)),"Needs supplier cost",IF(K2572&lt;&gt;"In stock","Supplier unavailable",IF(AG2572&lt;&gt;"PASS","BLOCK - GT loss risk","Commercially protected")))</x:f>
        <x:v>Needs supplier cost</x:v>
      </x:c>
      <x:c r="AI2572" t="str">
        <x:v>2026-09-10 Active Sports trade capture</x:v>
      </x:c>
      <x:c r="AJ2572" t="str">
        <x:v>Management-only economics. Stripe stress test uses 1.5% + £0.20 standard UK online-card fee; pallet/mix-and-match pricing ignored.</x:v>
      </x:c>
    </x:row>
    <x:row r="2573">
      <x:c r="A2573" t="str">
        <x:v>Active Sports Nutrition</x:v>
      </x:c>
      <x:c r="B2573" t="str">
        <x:v>Optimum Nutrition</x:v>
      </x:c>
      <x:c r="C2573" t="str">
        <x:v>Micronized Creatine Powder</x:v>
      </x:c>
      <x:c r="D2573" t="str">
        <x:v>Supplements</x:v>
      </x:c>
      <x:c r="E2573" t="str">
        <x:v>Creatine Powders</x:v>
      </x:c>
      <x:c r="F2573" t="str"/>
      <x:c r="G2573" t="str">
        <x:v>247.5g</x:v>
      </x:c>
      <x:c r="H2573" t="str">
        <x:v>Orange</x:v>
      </x:c>
      <x:c r="I2573" t="str"/>
      <x:c r="J2573" t="str">
        <x:v>Unit</x:v>
      </x:c>
      <x:c r="K2573" t="str">
        <x:v>In stock</x:v>
      </x:c>
      <x:c r="L2573" t="str">
        <x:v>2026-09-08</x:v>
      </x:c>
      <x:c r="M2573" t="str"/>
      <x:c r="N2573" t="str"/>
      <x:c r="O2573" t="str">
        <x:v>https://www.activesportstrade.co.uk/trade-sports-supplements/Optimum-Nutrition</x:v>
      </x:c>
      <x:c r="P2573" t="str"/>
      <x:c r="Q2573" t="str"/>
      <x:c r="R2573" t="str"/>
      <x:c r="S2573" t="str">
        <x:v>Pending genuine supplier/brand image</x:v>
      </x:c>
      <x:c r="T2573" s="54"/>
      <x:c r="U2573" s="47" t="n">
        <x:v>0.2</x:v>
      </x:c>
      <x:c r="V2573" s="54" t="str">
        <x:f>IF(ISNUMBER(T2573),T2573*(1+U2573),"")</x:f>
      </x:c>
      <x:c r="W2573" s="47" t="n">
        <x:v>0.3</x:v>
      </x:c>
      <x:c r="X2573" s="54" t="str">
        <x:f>IF(ISNUMBER(V2573),V2573/(1-W2573),"")</x:f>
      </x:c>
      <x:c r="Y2573" s="55" t="str">
        <x:f>IF(ISNUMBER(X2573),ROUNDUP(X2573,0),"")</x:f>
      </x:c>
      <x:c r="Z2573" t="str">
        <x:f>IF(ISNUMBER(T2573),"Cost captured","Awaiting trade cost")</x:f>
        <x:v>Awaiting trade cost</x:v>
      </x:c>
      <x:c r="AB2573" s="36" t="str">
        <x:f>IF(ISNUMBER(Y2573),ROUND(Y2573*0.9,2),"")</x:f>
      </x:c>
      <x:c r="AC2573" s="36" t="str">
        <x:f>IF(ISNUMBER(AB2573),ROUND(AB2573-(AB2573*0.015+0.2)-V2573,2),"")</x:f>
      </x:c>
      <x:c r="AD2573" s="36" t="str">
        <x:f>IF(ISNUMBER(Y2573),ROUND(Y2573*0.8,2),"")</x:f>
      </x:c>
      <x:c r="AE2573" s="36" t="str">
        <x:f>IF(ISNUMBER(AD2573),ROUND(AD2573*0.015+0.2,2),"")</x:f>
      </x:c>
      <x:c r="AF2573" s="36" t="str">
        <x:f>IF(ISNUMBER(AD2573),ROUND(AD2573-AE2573-V2573,2),"")</x:f>
      </x:c>
      <x:c r="AG2573" t="str">
        <x:f>IF(NOT(ISNUMBER(T2573)),"PENDING",IF(AF2573&gt;0,"PASS","FAIL"))</x:f>
        <x:v>PENDING</x:v>
      </x:c>
      <x:c r="AH2573" t="str">
        <x:f>IF(NOT(ISNUMBER(T2573)),"Needs supplier cost",IF(K2573&lt;&gt;"In stock","Supplier unavailable",IF(AG2573&lt;&gt;"PASS","BLOCK - GT loss risk","Commercially protected")))</x:f>
        <x:v>Needs supplier cost</x:v>
      </x:c>
      <x:c r="AI2573" t="str">
        <x:v>2026-09-10 Active Sports trade capture</x:v>
      </x:c>
      <x:c r="AJ2573" t="str">
        <x:v>Management-only economics. Stripe stress test uses 1.5% + £0.20 standard UK online-card fee; pallet/mix-and-match pricing ignored.</x:v>
      </x:c>
    </x:row>
    <x:row r="2574">
      <x:c r="A2574" t="str">
        <x:v>Active Sports Nutrition</x:v>
      </x:c>
      <x:c r="B2574" t="str">
        <x:v>Optimum Nutrition</x:v>
      </x:c>
      <x:c r="C2574" t="str">
        <x:v>Micronized Creatine Powder</x:v>
      </x:c>
      <x:c r="D2574" t="str">
        <x:v>Supplements</x:v>
      </x:c>
      <x:c r="E2574" t="str">
        <x:v>Creatine Powders</x:v>
      </x:c>
      <x:c r="F2574" t="str"/>
      <x:c r="G2574" t="str">
        <x:v>317g</x:v>
      </x:c>
      <x:c r="H2574" t="str">
        <x:v>Unflavoured</x:v>
      </x:c>
      <x:c r="I2574" t="str"/>
      <x:c r="J2574" t="str">
        <x:v>Unit</x:v>
      </x:c>
      <x:c r="K2574" t="str">
        <x:v>In stock</x:v>
      </x:c>
      <x:c r="L2574" t="str">
        <x:v>2026-09-08</x:v>
      </x:c>
      <x:c r="M2574" t="str"/>
      <x:c r="N2574" t="str"/>
      <x:c r="O2574" t="str">
        <x:v>https://www.activesportstrade.co.uk/trade-sports-supplements/Optimum-Nutrition</x:v>
      </x:c>
      <x:c r="P2574" t="str"/>
      <x:c r="Q2574" t="str"/>
      <x:c r="R2574" t="str"/>
      <x:c r="S2574" t="str">
        <x:v>Pending genuine supplier/brand image</x:v>
      </x:c>
      <x:c r="T2574" s="54" t="n">
        <x:v>13.6</x:v>
      </x:c>
      <x:c r="U2574" s="47" t="n">
        <x:v>0.2</x:v>
      </x:c>
      <x:c r="V2574" s="54" t="n">
        <x:f>IF(ISNUMBER(T2574),T2574*(1+U2574),"")</x:f>
        <x:v>16.32</x:v>
      </x:c>
      <x:c r="W2574" s="47" t="n">
        <x:v>0.3</x:v>
      </x:c>
      <x:c r="X2574" s="54" t="n">
        <x:f>IF(ISNUMBER(V2574),V2574/(1-W2574),"")</x:f>
        <x:v>23.314285714285717</x:v>
      </x:c>
      <x:c r="Y2574" s="55" t="n">
        <x:f>IF(ISNUMBER(X2574),ROUNDUP(X2574,0),"")</x:f>
        <x:v>24</x:v>
      </x:c>
      <x:c r="Z2574" t="str">
        <x:v>Source match pending</x:v>
      </x:c>
      <x:c r="AA2574" t="str">
        <x:v>screencapture-www-activesportstrade-co-uk-Optimum-Nutrition-2026-09-09-18_44_02.png / page-001</x:v>
      </x:c>
      <x:c r="AB2574" s="36" t="n">
        <x:f>IF(ISNUMBER(Y2574),ROUND(Y2574*0.9,2),"")</x:f>
        <x:v>21.6</x:v>
      </x:c>
      <x:c r="AC2574" s="36" t="n">
        <x:f>IF(ISNUMBER(AB2574),ROUND(AB2574-(AB2574*0.015+0.2)-V2574,2),"")</x:f>
        <x:v>4.76</x:v>
      </x:c>
      <x:c r="AD2574" s="36" t="n">
        <x:f>IF(ISNUMBER(Y2574),ROUND(Y2574*0.8,2),"")</x:f>
        <x:v>19.2</x:v>
      </x:c>
      <x:c r="AE2574" s="36" t="n">
        <x:f>IF(ISNUMBER(AD2574),ROUND(AD2574*0.015+0.2,2),"")</x:f>
        <x:v>0.49</x:v>
      </x:c>
      <x:c r="AF2574" s="36" t="n">
        <x:f>IF(ISNUMBER(AD2574),ROUND(AD2574-AE2574-V2574,2),"")</x:f>
        <x:v>2.39</x:v>
      </x:c>
      <x:c r="AG2574" t="str">
        <x:f>IF(NOT(ISNUMBER(T2574)),"PENDING",IF(AF2574&gt;0,"PASS","FAIL"))</x:f>
        <x:v>PASS</x:v>
      </x:c>
      <x:c r="AH2574" t="str">
        <x:f>IF(NOT(ISNUMBER(T2574)),"Needs supplier cost",IF(K2574&lt;&gt;"In stock","Supplier unavailable",IF(AG2574&lt;&gt;"PASS","BLOCK - GT loss risk","Commercially protected")))</x:f>
        <x:v>Commercially protected</x:v>
      </x:c>
      <x:c r="AI2574" t="str">
        <x:v>2026-09-10 Active Sports trade capture</x:v>
      </x:c>
      <x:c r="AJ2574" t="str">
        <x:v>Management-only economics. Stripe stress test uses 1.5% + £0.20 standard UK online-card fee; pallet/mix-and-match pricing ignored.</x:v>
      </x:c>
    </x:row>
    <x:row r="2575">
      <x:c r="A2575" t="str">
        <x:v>Active Sports Nutrition</x:v>
      </x:c>
      <x:c r="B2575" t="str">
        <x:v>Optimum Nutrition</x:v>
      </x:c>
      <x:c r="C2575" t="str">
        <x:v>Micronized Creatine Powder</x:v>
      </x:c>
      <x:c r="D2575" t="str">
        <x:v>Supplements</x:v>
      </x:c>
      <x:c r="E2575" t="str">
        <x:v>Creatine Powders</x:v>
      </x:c>
      <x:c r="F2575" t="str"/>
      <x:c r="G2575" t="str">
        <x:v>634g</x:v>
      </x:c>
      <x:c r="H2575" t="str">
        <x:v>Unflavoured</x:v>
      </x:c>
      <x:c r="I2575" t="str"/>
      <x:c r="J2575" t="str">
        <x:v>Unit</x:v>
      </x:c>
      <x:c r="K2575" t="str">
        <x:v>Out of stock</x:v>
      </x:c>
      <x:c r="L2575" t="str">
        <x:v>2026-09-08</x:v>
      </x:c>
      <x:c r="M2575" t="str"/>
      <x:c r="N2575" t="str"/>
      <x:c r="O2575" t="str">
        <x:v>https://www.activesportstrade.co.uk/trade-sports-supplements/Optimum-Nutrition</x:v>
      </x:c>
      <x:c r="P2575" t="str"/>
      <x:c r="Q2575" t="str"/>
      <x:c r="R2575" t="str"/>
      <x:c r="S2575" t="str">
        <x:v>Pending genuine supplier/brand image</x:v>
      </x:c>
      <x:c r="T2575" s="54" t="n">
        <x:v>22.16</x:v>
      </x:c>
      <x:c r="U2575" s="47" t="n">
        <x:v>0.2</x:v>
      </x:c>
      <x:c r="V2575" s="54" t="n">
        <x:f>IF(ISNUMBER(T2575),T2575*(1+U2575),"")</x:f>
        <x:v>26.592</x:v>
      </x:c>
      <x:c r="W2575" s="47" t="n">
        <x:v>0.3</x:v>
      </x:c>
      <x:c r="X2575" s="54" t="n">
        <x:f>IF(ISNUMBER(V2575),V2575/(1-W2575),"")</x:f>
        <x:v>37.988571428571426</x:v>
      </x:c>
      <x:c r="Y2575" s="55" t="n">
        <x:f>IF(ISNUMBER(X2575),ROUNDUP(X2575,0),"")</x:f>
        <x:v>38</x:v>
      </x:c>
      <x:c r="Z2575" t="str">
        <x:v>Source match pending</x:v>
      </x:c>
      <x:c r="AA2575" t="str">
        <x:v>screencapture-www-activesportstrade-co-uk-Optimum-Nutrition-2026-09-09-18_44_02.png / page-001</x:v>
      </x:c>
      <x:c r="AB2575" s="36" t="n">
        <x:f>IF(ISNUMBER(Y2575),ROUND(Y2575*0.9,2),"")</x:f>
        <x:v>34.2</x:v>
      </x:c>
      <x:c r="AC2575" s="36" t="n">
        <x:f>IF(ISNUMBER(AB2575),ROUND(AB2575-(AB2575*0.015+0.2)-V2575,2),"")</x:f>
        <x:v>6.9</x:v>
      </x:c>
      <x:c r="AD2575" s="36" t="n">
        <x:f>IF(ISNUMBER(Y2575),ROUND(Y2575*0.8,2),"")</x:f>
        <x:v>30.4</x:v>
      </x:c>
      <x:c r="AE2575" s="36" t="n">
        <x:f>IF(ISNUMBER(AD2575),ROUND(AD2575*0.015+0.2,2),"")</x:f>
        <x:v>0.66</x:v>
      </x:c>
      <x:c r="AF2575" s="36" t="n">
        <x:f>IF(ISNUMBER(AD2575),ROUND(AD2575-AE2575-V2575,2),"")</x:f>
        <x:v>3.15</x:v>
      </x:c>
      <x:c r="AG2575" t="str">
        <x:f>IF(NOT(ISNUMBER(T2575)),"PENDING",IF(AF2575&gt;0,"PASS","FAIL"))</x:f>
        <x:v>PASS</x:v>
      </x:c>
      <x:c r="AH2575" t="str">
        <x:f>IF(NOT(ISNUMBER(T2575)),"Needs supplier cost",IF(K2575&lt;&gt;"In stock","Supplier unavailable",IF(AG2575&lt;&gt;"PASS","BLOCK - GT loss risk","Commercially protected")))</x:f>
        <x:v>Supplier unavailable</x:v>
      </x:c>
      <x:c r="AI2575" t="str">
        <x:v>2026-09-10 Active Sports trade capture</x:v>
      </x:c>
      <x:c r="AJ2575" t="str">
        <x:v>Management-only economics. Stripe stress test uses 1.5% + £0.20 standard UK online-card fee; pallet/mix-and-match pricing ignored.</x:v>
      </x:c>
    </x:row>
    <x:row r="2576">
      <x:c r="A2576" t="str">
        <x:v>Active Sports Nutrition</x:v>
      </x:c>
      <x:c r="B2576" t="str">
        <x:v>Optimum Nutrition</x:v>
      </x:c>
      <x:c r="C2576" t="str">
        <x:v>Opti-Men</x:v>
      </x:c>
      <x:c r="D2576" t="str">
        <x:v>Supplements</x:v>
      </x:c>
      <x:c r="E2576" t="str">
        <x:v>Vitamins and Minerals</x:v>
      </x:c>
      <x:c r="F2576" t="str"/>
      <x:c r="G2576" t="str">
        <x:v>180 tablets</x:v>
      </x:c>
      <x:c r="H2576" t="str">
        <x:v>Default</x:v>
      </x:c>
      <x:c r="I2576" t="str"/>
      <x:c r="J2576" t="str">
        <x:v>Unit</x:v>
      </x:c>
      <x:c r="K2576" t="str">
        <x:v>In stock</x:v>
      </x:c>
      <x:c r="L2576" t="str">
        <x:v>2026-09-08</x:v>
      </x:c>
      <x:c r="M2576" t="str"/>
      <x:c r="N2576" t="str"/>
      <x:c r="O2576" t="str">
        <x:v>https://www.activesportstrade.co.uk/trade-sports-supplements/Optimum-Nutrition</x:v>
      </x:c>
      <x:c r="P2576" t="str"/>
      <x:c r="Q2576" t="str"/>
      <x:c r="R2576" t="str"/>
      <x:c r="S2576" t="str">
        <x:v>Pending genuine supplier/brand image</x:v>
      </x:c>
      <x:c r="T2576" s="54"/>
      <x:c r="U2576" s="47" t="n">
        <x:v>0.2</x:v>
      </x:c>
      <x:c r="V2576" s="54" t="str">
        <x:f>IF(ISNUMBER(T2576),T2576*(1+U2576),"")</x:f>
      </x:c>
      <x:c r="W2576" s="47" t="n">
        <x:v>0.3</x:v>
      </x:c>
      <x:c r="X2576" s="54" t="str">
        <x:f>IF(ISNUMBER(V2576),V2576/(1-W2576),"")</x:f>
      </x:c>
      <x:c r="Y2576" s="55" t="str">
        <x:f>IF(ISNUMBER(X2576),ROUNDUP(X2576,0),"")</x:f>
      </x:c>
      <x:c r="Z2576" t="str">
        <x:f>IF(ISNUMBER(T2576),"Cost captured","Awaiting trade cost")</x:f>
        <x:v>Awaiting trade cost</x:v>
      </x:c>
      <x:c r="AB2576" s="36" t="str">
        <x:f>IF(ISNUMBER(Y2576),ROUND(Y2576*0.9,2),"")</x:f>
      </x:c>
      <x:c r="AC2576" s="36" t="str">
        <x:f>IF(ISNUMBER(AB2576),ROUND(AB2576-(AB2576*0.015+0.2)-V2576,2),"")</x:f>
      </x:c>
      <x:c r="AD2576" s="36" t="str">
        <x:f>IF(ISNUMBER(Y2576),ROUND(Y2576*0.8,2),"")</x:f>
      </x:c>
      <x:c r="AE2576" s="36" t="str">
        <x:f>IF(ISNUMBER(AD2576),ROUND(AD2576*0.015+0.2,2),"")</x:f>
      </x:c>
      <x:c r="AF2576" s="36" t="str">
        <x:f>IF(ISNUMBER(AD2576),ROUND(AD2576-AE2576-V2576,2),"")</x:f>
      </x:c>
      <x:c r="AG2576" t="str">
        <x:f>IF(NOT(ISNUMBER(T2576)),"PENDING",IF(AF2576&gt;0,"PASS","FAIL"))</x:f>
        <x:v>PENDING</x:v>
      </x:c>
      <x:c r="AH2576" t="str">
        <x:f>IF(NOT(ISNUMBER(T2576)),"Needs supplier cost",IF(K2576&lt;&gt;"In stock","Supplier unavailable",IF(AG2576&lt;&gt;"PASS","BLOCK - GT loss risk","Commercially protected")))</x:f>
        <x:v>Needs supplier cost</x:v>
      </x:c>
      <x:c r="AI2576" t="str">
        <x:v>2026-09-10 Active Sports trade capture</x:v>
      </x:c>
      <x:c r="AJ2576" t="str">
        <x:v>Management-only economics. Stripe stress test uses 1.5% + £0.20 standard UK online-card fee; pallet/mix-and-match pricing ignored.</x:v>
      </x:c>
    </x:row>
    <x:row r="2577">
      <x:c r="A2577" t="str">
        <x:v>Active Sports Nutrition</x:v>
      </x:c>
      <x:c r="B2577" t="str">
        <x:v>Optimum Nutrition</x:v>
      </x:c>
      <x:c r="C2577" t="str">
        <x:v>Opti-Men</x:v>
      </x:c>
      <x:c r="D2577" t="str">
        <x:v>Supplements</x:v>
      </x:c>
      <x:c r="E2577" t="str">
        <x:v>Vitamins and Minerals</x:v>
      </x:c>
      <x:c r="F2577" t="str"/>
      <x:c r="G2577" t="str">
        <x:v>90 tablets</x:v>
      </x:c>
      <x:c r="H2577" t="str">
        <x:v>Default</x:v>
      </x:c>
      <x:c r="I2577" t="str"/>
      <x:c r="J2577" t="str">
        <x:v>Unit</x:v>
      </x:c>
      <x:c r="K2577" t="str">
        <x:v>In stock</x:v>
      </x:c>
      <x:c r="L2577" t="str">
        <x:v>2026-09-08</x:v>
      </x:c>
      <x:c r="M2577" t="str"/>
      <x:c r="N2577" t="str"/>
      <x:c r="O2577" t="str">
        <x:v>https://www.activesportstrade.co.uk/trade-sports-supplements/Optimum-Nutrition</x:v>
      </x:c>
      <x:c r="P2577" t="str"/>
      <x:c r="Q2577" t="str"/>
      <x:c r="R2577" t="str"/>
      <x:c r="S2577" t="str">
        <x:v>Pending genuine supplier/brand image</x:v>
      </x:c>
      <x:c r="T2577" s="54"/>
      <x:c r="U2577" s="47" t="n">
        <x:v>0.2</x:v>
      </x:c>
      <x:c r="V2577" s="54" t="str">
        <x:f>IF(ISNUMBER(T2577),T2577*(1+U2577),"")</x:f>
      </x:c>
      <x:c r="W2577" s="47" t="n">
        <x:v>0.3</x:v>
      </x:c>
      <x:c r="X2577" s="54" t="str">
        <x:f>IF(ISNUMBER(V2577),V2577/(1-W2577),"")</x:f>
      </x:c>
      <x:c r="Y2577" s="55" t="str">
        <x:f>IF(ISNUMBER(X2577),ROUNDUP(X2577,0),"")</x:f>
      </x:c>
      <x:c r="Z2577" t="str">
        <x:f>IF(ISNUMBER(T2577),"Cost captured","Awaiting trade cost")</x:f>
        <x:v>Awaiting trade cost</x:v>
      </x:c>
      <x:c r="AB2577" s="36" t="str">
        <x:f>IF(ISNUMBER(Y2577),ROUND(Y2577*0.9,2),"")</x:f>
      </x:c>
      <x:c r="AC2577" s="36" t="str">
        <x:f>IF(ISNUMBER(AB2577),ROUND(AB2577-(AB2577*0.015+0.2)-V2577,2),"")</x:f>
      </x:c>
      <x:c r="AD2577" s="36" t="str">
        <x:f>IF(ISNUMBER(Y2577),ROUND(Y2577*0.8,2),"")</x:f>
      </x:c>
      <x:c r="AE2577" s="36" t="str">
        <x:f>IF(ISNUMBER(AD2577),ROUND(AD2577*0.015+0.2,2),"")</x:f>
      </x:c>
      <x:c r="AF2577" s="36" t="str">
        <x:f>IF(ISNUMBER(AD2577),ROUND(AD2577-AE2577-V2577,2),"")</x:f>
      </x:c>
      <x:c r="AG2577" t="str">
        <x:f>IF(NOT(ISNUMBER(T2577)),"PENDING",IF(AF2577&gt;0,"PASS","FAIL"))</x:f>
        <x:v>PENDING</x:v>
      </x:c>
      <x:c r="AH2577" t="str">
        <x:f>IF(NOT(ISNUMBER(T2577)),"Needs supplier cost",IF(K2577&lt;&gt;"In stock","Supplier unavailable",IF(AG2577&lt;&gt;"PASS","BLOCK - GT loss risk","Commercially protected")))</x:f>
        <x:v>Needs supplier cost</x:v>
      </x:c>
      <x:c r="AI2577" t="str">
        <x:v>2026-09-10 Active Sports trade capture</x:v>
      </x:c>
      <x:c r="AJ2577" t="str">
        <x:v>Management-only economics. Stripe stress test uses 1.5% + £0.20 standard UK online-card fee; pallet/mix-and-match pricing ignored.</x:v>
      </x:c>
    </x:row>
    <x:row r="2578">
      <x:c r="A2578" t="str">
        <x:v>Active Sports Nutrition</x:v>
      </x:c>
      <x:c r="B2578" t="str">
        <x:v>Optimum Nutrition</x:v>
      </x:c>
      <x:c r="C2578" t="str">
        <x:v>Opti-Women</x:v>
      </x:c>
      <x:c r="D2578" t="str">
        <x:v>Supplements</x:v>
      </x:c>
      <x:c r="E2578" t="str">
        <x:v>Vitamins and Minerals</x:v>
      </x:c>
      <x:c r="F2578" t="str"/>
      <x:c r="G2578" t="str">
        <x:v>120 capsules</x:v>
      </x:c>
      <x:c r="H2578" t="str">
        <x:v>Default</x:v>
      </x:c>
      <x:c r="I2578" t="str"/>
      <x:c r="J2578" t="str">
        <x:v>Unit</x:v>
      </x:c>
      <x:c r="K2578" t="str">
        <x:v>In stock</x:v>
      </x:c>
      <x:c r="L2578" t="str">
        <x:v>2026-09-08</x:v>
      </x:c>
      <x:c r="M2578" t="str"/>
      <x:c r="N2578" t="str"/>
      <x:c r="O2578" t="str">
        <x:v>https://www.activesportstrade.co.uk/trade-sports-supplements/Optimum-Nutrition</x:v>
      </x:c>
      <x:c r="P2578" t="str"/>
      <x:c r="Q2578" t="str"/>
      <x:c r="R2578" t="str"/>
      <x:c r="S2578" t="str">
        <x:v>Pending genuine supplier/brand image</x:v>
      </x:c>
      <x:c r="T2578" s="54"/>
      <x:c r="U2578" s="47" t="n">
        <x:v>0.2</x:v>
      </x:c>
      <x:c r="V2578" s="54" t="str">
        <x:f>IF(ISNUMBER(T2578),T2578*(1+U2578),"")</x:f>
      </x:c>
      <x:c r="W2578" s="47" t="n">
        <x:v>0.3</x:v>
      </x:c>
      <x:c r="X2578" s="54" t="str">
        <x:f>IF(ISNUMBER(V2578),V2578/(1-W2578),"")</x:f>
      </x:c>
      <x:c r="Y2578" s="55" t="str">
        <x:f>IF(ISNUMBER(X2578),ROUNDUP(X2578,0),"")</x:f>
      </x:c>
      <x:c r="Z2578" t="str">
        <x:f>IF(ISNUMBER(T2578),"Cost captured","Awaiting trade cost")</x:f>
        <x:v>Awaiting trade cost</x:v>
      </x:c>
      <x:c r="AB2578" s="36" t="str">
        <x:f>IF(ISNUMBER(Y2578),ROUND(Y2578*0.9,2),"")</x:f>
      </x:c>
      <x:c r="AC2578" s="36" t="str">
        <x:f>IF(ISNUMBER(AB2578),ROUND(AB2578-(AB2578*0.015+0.2)-V2578,2),"")</x:f>
      </x:c>
      <x:c r="AD2578" s="36" t="str">
        <x:f>IF(ISNUMBER(Y2578),ROUND(Y2578*0.8,2),"")</x:f>
      </x:c>
      <x:c r="AE2578" s="36" t="str">
        <x:f>IF(ISNUMBER(AD2578),ROUND(AD2578*0.015+0.2,2),"")</x:f>
      </x:c>
      <x:c r="AF2578" s="36" t="str">
        <x:f>IF(ISNUMBER(AD2578),ROUND(AD2578-AE2578-V2578,2),"")</x:f>
      </x:c>
      <x:c r="AG2578" t="str">
        <x:f>IF(NOT(ISNUMBER(T2578)),"PENDING",IF(AF2578&gt;0,"PASS","FAIL"))</x:f>
        <x:v>PENDING</x:v>
      </x:c>
      <x:c r="AH2578" t="str">
        <x:f>IF(NOT(ISNUMBER(T2578)),"Needs supplier cost",IF(K2578&lt;&gt;"In stock","Supplier unavailable",IF(AG2578&lt;&gt;"PASS","BLOCK - GT loss risk","Commercially protected")))</x:f>
        <x:v>Needs supplier cost</x:v>
      </x:c>
      <x:c r="AI2578" t="str">
        <x:v>2026-09-10 Active Sports trade capture</x:v>
      </x:c>
      <x:c r="AJ2578" t="str">
        <x:v>Management-only economics. Stripe stress test uses 1.5% + £0.20 standard UK online-card fee; pallet/mix-and-match pricing ignored.</x:v>
      </x:c>
    </x:row>
    <x:row r="2579">
      <x:c r="A2579" t="str">
        <x:v>Active Sports Nutrition</x:v>
      </x:c>
      <x:c r="B2579" t="str">
        <x:v>Optimum Nutrition</x:v>
      </x:c>
      <x:c r="C2579" t="str">
        <x:v>Opti-Women</x:v>
      </x:c>
      <x:c r="D2579" t="str">
        <x:v>Supplements</x:v>
      </x:c>
      <x:c r="E2579" t="str">
        <x:v>Vitamins and Minerals</x:v>
      </x:c>
      <x:c r="F2579" t="str"/>
      <x:c r="G2579" t="str">
        <x:v>60 capsules</x:v>
      </x:c>
      <x:c r="H2579" t="str">
        <x:v>Default</x:v>
      </x:c>
      <x:c r="I2579" t="str"/>
      <x:c r="J2579" t="str">
        <x:v>Unit</x:v>
      </x:c>
      <x:c r="K2579" t="str">
        <x:v>In stock</x:v>
      </x:c>
      <x:c r="L2579" t="str">
        <x:v>2026-09-08</x:v>
      </x:c>
      <x:c r="M2579" t="str"/>
      <x:c r="N2579" t="str"/>
      <x:c r="O2579" t="str">
        <x:v>https://www.activesportstrade.co.uk/trade-sports-supplements/Optimum-Nutrition</x:v>
      </x:c>
      <x:c r="P2579" t="str"/>
      <x:c r="Q2579" t="str"/>
      <x:c r="R2579" t="str"/>
      <x:c r="S2579" t="str">
        <x:v>Pending genuine supplier/brand image</x:v>
      </x:c>
      <x:c r="T2579" s="54"/>
      <x:c r="U2579" s="47" t="n">
        <x:v>0.2</x:v>
      </x:c>
      <x:c r="V2579" s="54" t="str">
        <x:f>IF(ISNUMBER(T2579),T2579*(1+U2579),"")</x:f>
      </x:c>
      <x:c r="W2579" s="47" t="n">
        <x:v>0.3</x:v>
      </x:c>
      <x:c r="X2579" s="54" t="str">
        <x:f>IF(ISNUMBER(V2579),V2579/(1-W2579),"")</x:f>
      </x:c>
      <x:c r="Y2579" s="55" t="str">
        <x:f>IF(ISNUMBER(X2579),ROUNDUP(X2579,0),"")</x:f>
      </x:c>
      <x:c r="Z2579" t="str">
        <x:f>IF(ISNUMBER(T2579),"Cost captured","Awaiting trade cost")</x:f>
        <x:v>Awaiting trade cost</x:v>
      </x:c>
      <x:c r="AB2579" s="36" t="str">
        <x:f>IF(ISNUMBER(Y2579),ROUND(Y2579*0.9,2),"")</x:f>
      </x:c>
      <x:c r="AC2579" s="36" t="str">
        <x:f>IF(ISNUMBER(AB2579),ROUND(AB2579-(AB2579*0.015+0.2)-V2579,2),"")</x:f>
      </x:c>
      <x:c r="AD2579" s="36" t="str">
        <x:f>IF(ISNUMBER(Y2579),ROUND(Y2579*0.8,2),"")</x:f>
      </x:c>
      <x:c r="AE2579" s="36" t="str">
        <x:f>IF(ISNUMBER(AD2579),ROUND(AD2579*0.015+0.2,2),"")</x:f>
      </x:c>
      <x:c r="AF2579" s="36" t="str">
        <x:f>IF(ISNUMBER(AD2579),ROUND(AD2579-AE2579-V2579,2),"")</x:f>
      </x:c>
      <x:c r="AG2579" t="str">
        <x:f>IF(NOT(ISNUMBER(T2579)),"PENDING",IF(AF2579&gt;0,"PASS","FAIL"))</x:f>
        <x:v>PENDING</x:v>
      </x:c>
      <x:c r="AH2579" t="str">
        <x:f>IF(NOT(ISNUMBER(T2579)),"Needs supplier cost",IF(K2579&lt;&gt;"In stock","Supplier unavailable",IF(AG2579&lt;&gt;"PASS","BLOCK - GT loss risk","Commercially protected")))</x:f>
        <x:v>Needs supplier cost</x:v>
      </x:c>
      <x:c r="AI2579" t="str">
        <x:v>2026-09-10 Active Sports trade capture</x:v>
      </x:c>
      <x:c r="AJ2579" t="str">
        <x:v>Management-only economics. Stripe stress test uses 1.5% + £0.20 standard UK online-card fee; pallet/mix-and-match pricing ignored.</x:v>
      </x:c>
    </x:row>
    <x:row r="2580">
      <x:c r="A2580" t="str">
        <x:v>Active Sports Nutrition</x:v>
      </x:c>
      <x:c r="B2580" t="str">
        <x:v>Optimum Nutrition</x:v>
      </x:c>
      <x:c r="C2580" t="str">
        <x:v>Serious Mass</x:v>
      </x:c>
      <x:c r="D2580" t="str">
        <x:v>Supplements</x:v>
      </x:c>
      <x:c r="E2580" t="str">
        <x:v>Weight Gainers</x:v>
      </x:c>
      <x:c r="F2580" t="str"/>
      <x:c r="G2580" t="str">
        <x:v>2.7kg</x:v>
      </x:c>
      <x:c r="H2580" t="str">
        <x:v>Banana</x:v>
      </x:c>
      <x:c r="I2580" t="str"/>
      <x:c r="J2580" t="str">
        <x:v>Unit</x:v>
      </x:c>
      <x:c r="K2580" t="str">
        <x:v>In stock</x:v>
      </x:c>
      <x:c r="L2580" t="str">
        <x:v>2026-09-08</x:v>
      </x:c>
      <x:c r="M2580" t="str"/>
      <x:c r="N2580" t="str"/>
      <x:c r="O2580" t="str">
        <x:v>https://www.activesportstrade.co.uk/trade-sports-supplements/Optimum-Nutrition</x:v>
      </x:c>
      <x:c r="P2580" t="str"/>
      <x:c r="Q2580" t="str"/>
      <x:c r="R2580" t="str"/>
      <x:c r="S2580" t="str">
        <x:v>Pending genuine supplier/brand image</x:v>
      </x:c>
      <x:c r="T2580" s="54"/>
      <x:c r="U2580" s="47" t="n">
        <x:v>0.2</x:v>
      </x:c>
      <x:c r="V2580" s="54" t="str">
        <x:f>IF(ISNUMBER(T2580),T2580*(1+U2580),"")</x:f>
      </x:c>
      <x:c r="W2580" s="47" t="n">
        <x:v>0.3</x:v>
      </x:c>
      <x:c r="X2580" s="54" t="str">
        <x:f>IF(ISNUMBER(V2580),V2580/(1-W2580),"")</x:f>
      </x:c>
      <x:c r="Y2580" s="55" t="str">
        <x:f>IF(ISNUMBER(X2580),ROUNDUP(X2580,0),"")</x:f>
      </x:c>
      <x:c r="Z2580" t="str">
        <x:f>IF(ISNUMBER(T2580),"Cost captured","Awaiting trade cost")</x:f>
        <x:v>Awaiting trade cost</x:v>
      </x:c>
      <x:c r="AB2580" s="36" t="str">
        <x:f>IF(ISNUMBER(Y2580),ROUND(Y2580*0.9,2),"")</x:f>
      </x:c>
      <x:c r="AC2580" s="36" t="str">
        <x:f>IF(ISNUMBER(AB2580),ROUND(AB2580-(AB2580*0.015+0.2)-V2580,2),"")</x:f>
      </x:c>
      <x:c r="AD2580" s="36" t="str">
        <x:f>IF(ISNUMBER(Y2580),ROUND(Y2580*0.8,2),"")</x:f>
      </x:c>
      <x:c r="AE2580" s="36" t="str">
        <x:f>IF(ISNUMBER(AD2580),ROUND(AD2580*0.015+0.2,2),"")</x:f>
      </x:c>
      <x:c r="AF2580" s="36" t="str">
        <x:f>IF(ISNUMBER(AD2580),ROUND(AD2580-AE2580-V2580,2),"")</x:f>
      </x:c>
      <x:c r="AG2580" t="str">
        <x:f>IF(NOT(ISNUMBER(T2580)),"PENDING",IF(AF2580&gt;0,"PASS","FAIL"))</x:f>
        <x:v>PENDING</x:v>
      </x:c>
      <x:c r="AH2580" t="str">
        <x:f>IF(NOT(ISNUMBER(T2580)),"Needs supplier cost",IF(K2580&lt;&gt;"In stock","Supplier unavailable",IF(AG2580&lt;&gt;"PASS","BLOCK - GT loss risk","Commercially protected")))</x:f>
        <x:v>Needs supplier cost</x:v>
      </x:c>
      <x:c r="AI2580" t="str">
        <x:v>2026-09-10 Active Sports trade capture</x:v>
      </x:c>
      <x:c r="AJ2580" t="str">
        <x:v>Management-only economics. Stripe stress test uses 1.5% + £0.20 standard UK online-card fee; pallet/mix-and-match pricing ignored.</x:v>
      </x:c>
    </x:row>
    <x:row r="2581">
      <x:c r="A2581" t="str">
        <x:v>Active Sports Nutrition</x:v>
      </x:c>
      <x:c r="B2581" t="str">
        <x:v>Optimum Nutrition</x:v>
      </x:c>
      <x:c r="C2581" t="str">
        <x:v>Serious Mass</x:v>
      </x:c>
      <x:c r="D2581" t="str">
        <x:v>Supplements</x:v>
      </x:c>
      <x:c r="E2581" t="str">
        <x:v>Weight Gainers</x:v>
      </x:c>
      <x:c r="F2581" t="str"/>
      <x:c r="G2581" t="str">
        <x:v>2.7kg</x:v>
      </x:c>
      <x:c r="H2581" t="str">
        <x:v>Chocolate</x:v>
      </x:c>
      <x:c r="I2581" t="str"/>
      <x:c r="J2581" t="str">
        <x:v>Unit</x:v>
      </x:c>
      <x:c r="K2581" t="str">
        <x:v>In stock</x:v>
      </x:c>
      <x:c r="L2581" t="str">
        <x:v>2026-09-08</x:v>
      </x:c>
      <x:c r="M2581" t="str"/>
      <x:c r="N2581" t="str"/>
      <x:c r="O2581" t="str">
        <x:v>https://www.activesportstrade.co.uk/trade-sports-supplements/Optimum-Nutrition</x:v>
      </x:c>
      <x:c r="P2581" t="str"/>
      <x:c r="Q2581" t="str"/>
      <x:c r="R2581" t="str"/>
      <x:c r="S2581" t="str">
        <x:v>Pending genuine supplier/brand image</x:v>
      </x:c>
      <x:c r="T2581" s="54"/>
      <x:c r="U2581" s="47" t="n">
        <x:v>0.2</x:v>
      </x:c>
      <x:c r="V2581" s="54" t="str">
        <x:f>IF(ISNUMBER(T2581),T2581*(1+U2581),"")</x:f>
      </x:c>
      <x:c r="W2581" s="47" t="n">
        <x:v>0.3</x:v>
      </x:c>
      <x:c r="X2581" s="54" t="str">
        <x:f>IF(ISNUMBER(V2581),V2581/(1-W2581),"")</x:f>
      </x:c>
      <x:c r="Y2581" s="55" t="str">
        <x:f>IF(ISNUMBER(X2581),ROUNDUP(X2581,0),"")</x:f>
      </x:c>
      <x:c r="Z2581" t="str">
        <x:f>IF(ISNUMBER(T2581),"Cost captured","Awaiting trade cost")</x:f>
        <x:v>Awaiting trade cost</x:v>
      </x:c>
      <x:c r="AB2581" s="36" t="str">
        <x:f>IF(ISNUMBER(Y2581),ROUND(Y2581*0.9,2),"")</x:f>
      </x:c>
      <x:c r="AC2581" s="36" t="str">
        <x:f>IF(ISNUMBER(AB2581),ROUND(AB2581-(AB2581*0.015+0.2)-V2581,2),"")</x:f>
      </x:c>
      <x:c r="AD2581" s="36" t="str">
        <x:f>IF(ISNUMBER(Y2581),ROUND(Y2581*0.8,2),"")</x:f>
      </x:c>
      <x:c r="AE2581" s="36" t="str">
        <x:f>IF(ISNUMBER(AD2581),ROUND(AD2581*0.015+0.2,2),"")</x:f>
      </x:c>
      <x:c r="AF2581" s="36" t="str">
        <x:f>IF(ISNUMBER(AD2581),ROUND(AD2581-AE2581-V2581,2),"")</x:f>
      </x:c>
      <x:c r="AG2581" t="str">
        <x:f>IF(NOT(ISNUMBER(T2581)),"PENDING",IF(AF2581&gt;0,"PASS","FAIL"))</x:f>
        <x:v>PENDING</x:v>
      </x:c>
      <x:c r="AH2581" t="str">
        <x:f>IF(NOT(ISNUMBER(T2581)),"Needs supplier cost",IF(K2581&lt;&gt;"In stock","Supplier unavailable",IF(AG2581&lt;&gt;"PASS","BLOCK - GT loss risk","Commercially protected")))</x:f>
        <x:v>Needs supplier cost</x:v>
      </x:c>
      <x:c r="AI2581" t="str">
        <x:v>2026-09-10 Active Sports trade capture</x:v>
      </x:c>
      <x:c r="AJ2581" t="str">
        <x:v>Management-only economics. Stripe stress test uses 1.5% + £0.20 standard UK online-card fee; pallet/mix-and-match pricing ignored.</x:v>
      </x:c>
    </x:row>
    <x:row r="2582">
      <x:c r="A2582" t="str">
        <x:v>Active Sports Nutrition</x:v>
      </x:c>
      <x:c r="B2582" t="str">
        <x:v>Optimum Nutrition</x:v>
      </x:c>
      <x:c r="C2582" t="str">
        <x:v>Serious Mass</x:v>
      </x:c>
      <x:c r="D2582" t="str">
        <x:v>Supplements</x:v>
      </x:c>
      <x:c r="E2582" t="str">
        <x:v>Weight Gainers</x:v>
      </x:c>
      <x:c r="F2582" t="str"/>
      <x:c r="G2582" t="str">
        <x:v>2.7kg</x:v>
      </x:c>
      <x:c r="H2582" t="str">
        <x:v>Chocolate Peanut Butter</x:v>
      </x:c>
      <x:c r="I2582" t="str"/>
      <x:c r="J2582" t="str">
        <x:v>Unit</x:v>
      </x:c>
      <x:c r="K2582" t="str">
        <x:v>In stock</x:v>
      </x:c>
      <x:c r="L2582" t="str">
        <x:v>2026-09-08</x:v>
      </x:c>
      <x:c r="M2582" t="str"/>
      <x:c r="N2582" t="str"/>
      <x:c r="O2582" t="str">
        <x:v>https://www.activesportstrade.co.uk/trade-sports-supplements/Optimum-Nutrition</x:v>
      </x:c>
      <x:c r="P2582" t="str"/>
      <x:c r="Q2582" t="str"/>
      <x:c r="R2582" t="str"/>
      <x:c r="S2582" t="str">
        <x:v>Pending genuine supplier/brand image</x:v>
      </x:c>
      <x:c r="T2582" s="54"/>
      <x:c r="U2582" s="47" t="n">
        <x:v>0.2</x:v>
      </x:c>
      <x:c r="V2582" s="54" t="str">
        <x:f>IF(ISNUMBER(T2582),T2582*(1+U2582),"")</x:f>
      </x:c>
      <x:c r="W2582" s="47" t="n">
        <x:v>0.3</x:v>
      </x:c>
      <x:c r="X2582" s="54" t="str">
        <x:f>IF(ISNUMBER(V2582),V2582/(1-W2582),"")</x:f>
      </x:c>
      <x:c r="Y2582" s="55" t="str">
        <x:f>IF(ISNUMBER(X2582),ROUNDUP(X2582,0),"")</x:f>
      </x:c>
      <x:c r="Z2582" t="str">
        <x:f>IF(ISNUMBER(T2582),"Cost captured","Awaiting trade cost")</x:f>
        <x:v>Awaiting trade cost</x:v>
      </x:c>
      <x:c r="AB2582" s="36" t="str">
        <x:f>IF(ISNUMBER(Y2582),ROUND(Y2582*0.9,2),"")</x:f>
      </x:c>
      <x:c r="AC2582" s="36" t="str">
        <x:f>IF(ISNUMBER(AB2582),ROUND(AB2582-(AB2582*0.015+0.2)-V2582,2),"")</x:f>
      </x:c>
      <x:c r="AD2582" s="36" t="str">
        <x:f>IF(ISNUMBER(Y2582),ROUND(Y2582*0.8,2),"")</x:f>
      </x:c>
      <x:c r="AE2582" s="36" t="str">
        <x:f>IF(ISNUMBER(AD2582),ROUND(AD2582*0.015+0.2,2),"")</x:f>
      </x:c>
      <x:c r="AF2582" s="36" t="str">
        <x:f>IF(ISNUMBER(AD2582),ROUND(AD2582-AE2582-V2582,2),"")</x:f>
      </x:c>
      <x:c r="AG2582" t="str">
        <x:f>IF(NOT(ISNUMBER(T2582)),"PENDING",IF(AF2582&gt;0,"PASS","FAIL"))</x:f>
        <x:v>PENDING</x:v>
      </x:c>
      <x:c r="AH2582" t="str">
        <x:f>IF(NOT(ISNUMBER(T2582)),"Needs supplier cost",IF(K2582&lt;&gt;"In stock","Supplier unavailable",IF(AG2582&lt;&gt;"PASS","BLOCK - GT loss risk","Commercially protected")))</x:f>
        <x:v>Needs supplier cost</x:v>
      </x:c>
      <x:c r="AI2582" t="str">
        <x:v>2026-09-10 Active Sports trade capture</x:v>
      </x:c>
      <x:c r="AJ2582" t="str">
        <x:v>Management-only economics. Stripe stress test uses 1.5% + £0.20 standard UK online-card fee; pallet/mix-and-match pricing ignored.</x:v>
      </x:c>
    </x:row>
    <x:row r="2583">
      <x:c r="A2583" t="str">
        <x:v>Active Sports Nutrition</x:v>
      </x:c>
      <x:c r="B2583" t="str">
        <x:v>Optimum Nutrition</x:v>
      </x:c>
      <x:c r="C2583" t="str">
        <x:v>Serious Mass</x:v>
      </x:c>
      <x:c r="D2583" t="str">
        <x:v>Supplements</x:v>
      </x:c>
      <x:c r="E2583" t="str">
        <x:v>Weight Gainers</x:v>
      </x:c>
      <x:c r="F2583" t="str"/>
      <x:c r="G2583" t="str">
        <x:v>2.7kg</x:v>
      </x:c>
      <x:c r="H2583" t="str">
        <x:v>Cookies &amp; Cream</x:v>
      </x:c>
      <x:c r="I2583" t="str"/>
      <x:c r="J2583" t="str">
        <x:v>Unit</x:v>
      </x:c>
      <x:c r="K2583" t="str">
        <x:v>Out of stock</x:v>
      </x:c>
      <x:c r="L2583" t="str">
        <x:v>2026-09-08</x:v>
      </x:c>
      <x:c r="M2583" t="str"/>
      <x:c r="N2583" t="str"/>
      <x:c r="O2583" t="str">
        <x:v>https://www.activesportstrade.co.uk/trade-sports-supplements/Optimum-Nutrition</x:v>
      </x:c>
      <x:c r="P2583" t="str"/>
      <x:c r="Q2583" t="str"/>
      <x:c r="R2583" t="str"/>
      <x:c r="S2583" t="str">
        <x:v>Pending genuine supplier/brand image</x:v>
      </x:c>
      <x:c r="T2583" s="54"/>
      <x:c r="U2583" s="47" t="n">
        <x:v>0.2</x:v>
      </x:c>
      <x:c r="V2583" s="54" t="str">
        <x:f>IF(ISNUMBER(T2583),T2583*(1+U2583),"")</x:f>
      </x:c>
      <x:c r="W2583" s="47" t="n">
        <x:v>0.3</x:v>
      </x:c>
      <x:c r="X2583" s="54" t="str">
        <x:f>IF(ISNUMBER(V2583),V2583/(1-W2583),"")</x:f>
      </x:c>
      <x:c r="Y2583" s="55" t="str">
        <x:f>IF(ISNUMBER(X2583),ROUNDUP(X2583,0),"")</x:f>
      </x:c>
      <x:c r="Z2583" t="str">
        <x:f>IF(ISNUMBER(T2583),"Cost captured","Awaiting trade cost")</x:f>
        <x:v>Awaiting trade cost</x:v>
      </x:c>
      <x:c r="AB2583" s="36" t="str">
        <x:f>IF(ISNUMBER(Y2583),ROUND(Y2583*0.9,2),"")</x:f>
      </x:c>
      <x:c r="AC2583" s="36" t="str">
        <x:f>IF(ISNUMBER(AB2583),ROUND(AB2583-(AB2583*0.015+0.2)-V2583,2),"")</x:f>
      </x:c>
      <x:c r="AD2583" s="36" t="str">
        <x:f>IF(ISNUMBER(Y2583),ROUND(Y2583*0.8,2),"")</x:f>
      </x:c>
      <x:c r="AE2583" s="36" t="str">
        <x:f>IF(ISNUMBER(AD2583),ROUND(AD2583*0.015+0.2,2),"")</x:f>
      </x:c>
      <x:c r="AF2583" s="36" t="str">
        <x:f>IF(ISNUMBER(AD2583),ROUND(AD2583-AE2583-V2583,2),"")</x:f>
      </x:c>
      <x:c r="AG2583" t="str">
        <x:f>IF(NOT(ISNUMBER(T2583)),"PENDING",IF(AF2583&gt;0,"PASS","FAIL"))</x:f>
        <x:v>PENDING</x:v>
      </x:c>
      <x:c r="AH2583" t="str">
        <x:f>IF(NOT(ISNUMBER(T2583)),"Needs supplier cost",IF(K2583&lt;&gt;"In stock","Supplier unavailable",IF(AG2583&lt;&gt;"PASS","BLOCK - GT loss risk","Commercially protected")))</x:f>
        <x:v>Needs supplier cost</x:v>
      </x:c>
      <x:c r="AI2583" t="str">
        <x:v>2026-09-10 Active Sports trade capture</x:v>
      </x:c>
      <x:c r="AJ2583" t="str">
        <x:v>Management-only economics. Stripe stress test uses 1.5% + £0.20 standard UK online-card fee; pallet/mix-and-match pricing ignored.</x:v>
      </x:c>
    </x:row>
    <x:row r="2584">
      <x:c r="A2584" t="str">
        <x:v>Active Sports Nutrition</x:v>
      </x:c>
      <x:c r="B2584" t="str">
        <x:v>Optimum Nutrition</x:v>
      </x:c>
      <x:c r="C2584" t="str">
        <x:v>Serious Mass</x:v>
      </x:c>
      <x:c r="D2584" t="str">
        <x:v>Supplements</x:v>
      </x:c>
      <x:c r="E2584" t="str">
        <x:v>Weight Gainers</x:v>
      </x:c>
      <x:c r="F2584" t="str"/>
      <x:c r="G2584" t="str">
        <x:v>2.7kg</x:v>
      </x:c>
      <x:c r="H2584" t="str">
        <x:v>Strawberry</x:v>
      </x:c>
      <x:c r="I2584" t="str"/>
      <x:c r="J2584" t="str">
        <x:v>Unit</x:v>
      </x:c>
      <x:c r="K2584" t="str">
        <x:v>In stock</x:v>
      </x:c>
      <x:c r="L2584" t="str">
        <x:v>2026-09-08</x:v>
      </x:c>
      <x:c r="M2584" t="str"/>
      <x:c r="N2584" t="str"/>
      <x:c r="O2584" t="str">
        <x:v>https://www.activesportstrade.co.uk/trade-sports-supplements/Optimum-Nutrition</x:v>
      </x:c>
      <x:c r="P2584" t="str"/>
      <x:c r="Q2584" t="str"/>
      <x:c r="R2584" t="str"/>
      <x:c r="S2584" t="str">
        <x:v>Pending genuine supplier/brand image</x:v>
      </x:c>
      <x:c r="T2584" s="54"/>
      <x:c r="U2584" s="47" t="n">
        <x:v>0.2</x:v>
      </x:c>
      <x:c r="V2584" s="54" t="str">
        <x:f>IF(ISNUMBER(T2584),T2584*(1+U2584),"")</x:f>
      </x:c>
      <x:c r="W2584" s="47" t="n">
        <x:v>0.3</x:v>
      </x:c>
      <x:c r="X2584" s="54" t="str">
        <x:f>IF(ISNUMBER(V2584),V2584/(1-W2584),"")</x:f>
      </x:c>
      <x:c r="Y2584" s="55" t="str">
        <x:f>IF(ISNUMBER(X2584),ROUNDUP(X2584,0),"")</x:f>
      </x:c>
      <x:c r="Z2584" t="str">
        <x:f>IF(ISNUMBER(T2584),"Cost captured","Awaiting trade cost")</x:f>
        <x:v>Awaiting trade cost</x:v>
      </x:c>
      <x:c r="AB2584" s="36" t="str">
        <x:f>IF(ISNUMBER(Y2584),ROUND(Y2584*0.9,2),"")</x:f>
      </x:c>
      <x:c r="AC2584" s="36" t="str">
        <x:f>IF(ISNUMBER(AB2584),ROUND(AB2584-(AB2584*0.015+0.2)-V2584,2),"")</x:f>
      </x:c>
      <x:c r="AD2584" s="36" t="str">
        <x:f>IF(ISNUMBER(Y2584),ROUND(Y2584*0.8,2),"")</x:f>
      </x:c>
      <x:c r="AE2584" s="36" t="str">
        <x:f>IF(ISNUMBER(AD2584),ROUND(AD2584*0.015+0.2,2),"")</x:f>
      </x:c>
      <x:c r="AF2584" s="36" t="str">
        <x:f>IF(ISNUMBER(AD2584),ROUND(AD2584-AE2584-V2584,2),"")</x:f>
      </x:c>
      <x:c r="AG2584" t="str">
        <x:f>IF(NOT(ISNUMBER(T2584)),"PENDING",IF(AF2584&gt;0,"PASS","FAIL"))</x:f>
        <x:v>PENDING</x:v>
      </x:c>
      <x:c r="AH2584" t="str">
        <x:f>IF(NOT(ISNUMBER(T2584)),"Needs supplier cost",IF(K2584&lt;&gt;"In stock","Supplier unavailable",IF(AG2584&lt;&gt;"PASS","BLOCK - GT loss risk","Commercially protected")))</x:f>
        <x:v>Needs supplier cost</x:v>
      </x:c>
      <x:c r="AI2584" t="str">
        <x:v>2026-09-10 Active Sports trade capture</x:v>
      </x:c>
      <x:c r="AJ2584" t="str">
        <x:v>Management-only economics. Stripe stress test uses 1.5% + £0.20 standard UK online-card fee; pallet/mix-and-match pricing ignored.</x:v>
      </x:c>
    </x:row>
    <x:row r="2585">
      <x:c r="A2585" t="str">
        <x:v>Active Sports Nutrition</x:v>
      </x:c>
      <x:c r="B2585" t="str">
        <x:v>Optimum Nutrition</x:v>
      </x:c>
      <x:c r="C2585" t="str">
        <x:v>Serious Mass</x:v>
      </x:c>
      <x:c r="D2585" t="str">
        <x:v>Supplements</x:v>
      </x:c>
      <x:c r="E2585" t="str">
        <x:v>Weight Gainers</x:v>
      </x:c>
      <x:c r="F2585" t="str"/>
      <x:c r="G2585" t="str">
        <x:v>2.7kg</x:v>
      </x:c>
      <x:c r="H2585" t="str">
        <x:v>Vanilla</x:v>
      </x:c>
      <x:c r="I2585" t="str"/>
      <x:c r="J2585" t="str">
        <x:v>Unit</x:v>
      </x:c>
      <x:c r="K2585" t="str">
        <x:v>In stock</x:v>
      </x:c>
      <x:c r="L2585" t="str">
        <x:v>2026-09-08</x:v>
      </x:c>
      <x:c r="M2585" t="str"/>
      <x:c r="N2585" t="str"/>
      <x:c r="O2585" t="str">
        <x:v>https://www.activesportstrade.co.uk/trade-sports-supplements/Optimum-Nutrition</x:v>
      </x:c>
      <x:c r="P2585" t="str"/>
      <x:c r="Q2585" t="str"/>
      <x:c r="R2585" t="str"/>
      <x:c r="S2585" t="str">
        <x:v>Pending genuine supplier/brand image</x:v>
      </x:c>
      <x:c r="T2585" s="54"/>
      <x:c r="U2585" s="47" t="n">
        <x:v>0.2</x:v>
      </x:c>
      <x:c r="V2585" s="54" t="str">
        <x:f>IF(ISNUMBER(T2585),T2585*(1+U2585),"")</x:f>
      </x:c>
      <x:c r="W2585" s="47" t="n">
        <x:v>0.3</x:v>
      </x:c>
      <x:c r="X2585" s="54" t="str">
        <x:f>IF(ISNUMBER(V2585),V2585/(1-W2585),"")</x:f>
      </x:c>
      <x:c r="Y2585" s="55" t="str">
        <x:f>IF(ISNUMBER(X2585),ROUNDUP(X2585,0),"")</x:f>
      </x:c>
      <x:c r="Z2585" t="str">
        <x:f>IF(ISNUMBER(T2585),"Cost captured","Awaiting trade cost")</x:f>
        <x:v>Awaiting trade cost</x:v>
      </x:c>
      <x:c r="AB2585" s="36" t="str">
        <x:f>IF(ISNUMBER(Y2585),ROUND(Y2585*0.9,2),"")</x:f>
      </x:c>
      <x:c r="AC2585" s="36" t="str">
        <x:f>IF(ISNUMBER(AB2585),ROUND(AB2585-(AB2585*0.015+0.2)-V2585,2),"")</x:f>
      </x:c>
      <x:c r="AD2585" s="36" t="str">
        <x:f>IF(ISNUMBER(Y2585),ROUND(Y2585*0.8,2),"")</x:f>
      </x:c>
      <x:c r="AE2585" s="36" t="str">
        <x:f>IF(ISNUMBER(AD2585),ROUND(AD2585*0.015+0.2,2),"")</x:f>
      </x:c>
      <x:c r="AF2585" s="36" t="str">
        <x:f>IF(ISNUMBER(AD2585),ROUND(AD2585-AE2585-V2585,2),"")</x:f>
      </x:c>
      <x:c r="AG2585" t="str">
        <x:f>IF(NOT(ISNUMBER(T2585)),"PENDING",IF(AF2585&gt;0,"PASS","FAIL"))</x:f>
        <x:v>PENDING</x:v>
      </x:c>
      <x:c r="AH2585" t="str">
        <x:f>IF(NOT(ISNUMBER(T2585)),"Needs supplier cost",IF(K2585&lt;&gt;"In stock","Supplier unavailable",IF(AG2585&lt;&gt;"PASS","BLOCK - GT loss risk","Commercially protected")))</x:f>
        <x:v>Needs supplier cost</x:v>
      </x:c>
      <x:c r="AI2585" t="str">
        <x:v>2026-09-10 Active Sports trade capture</x:v>
      </x:c>
      <x:c r="AJ2585" t="str">
        <x:v>Management-only economics. Stripe stress test uses 1.5% + £0.20 standard UK online-card fee; pallet/mix-and-match pricing ignored.</x:v>
      </x:c>
    </x:row>
    <x:row r="2586">
      <x:c r="A2586" t="str">
        <x:v>Active Sports Nutrition</x:v>
      </x:c>
      <x:c r="B2586" t="str">
        <x:v>Optimum Nutrition</x:v>
      </x:c>
      <x:c r="C2586" t="str">
        <x:v>Serious Mass</x:v>
      </x:c>
      <x:c r="D2586" t="str">
        <x:v>Supplements</x:v>
      </x:c>
      <x:c r="E2586" t="str">
        <x:v>Weight Gainers</x:v>
      </x:c>
      <x:c r="F2586" t="str"/>
      <x:c r="G2586" t="str">
        <x:v>5.54kg</x:v>
      </x:c>
      <x:c r="H2586" t="str">
        <x:v>Banana</x:v>
      </x:c>
      <x:c r="I2586" t="str"/>
      <x:c r="J2586" t="str">
        <x:v>Unit</x:v>
      </x:c>
      <x:c r="K2586" t="str">
        <x:v>In stock</x:v>
      </x:c>
      <x:c r="L2586" t="str">
        <x:v>2026-09-08</x:v>
      </x:c>
      <x:c r="M2586" t="str"/>
      <x:c r="N2586" t="str"/>
      <x:c r="O2586" t="str">
        <x:v>https://www.activesportstrade.co.uk/trade-sports-supplements/Optimum-Nutrition</x:v>
      </x:c>
      <x:c r="P2586" t="str"/>
      <x:c r="Q2586" t="str"/>
      <x:c r="R2586" t="str"/>
      <x:c r="S2586" t="str">
        <x:v>Pending genuine supplier/brand image</x:v>
      </x:c>
      <x:c r="T2586" s="54"/>
      <x:c r="U2586" s="47" t="n">
        <x:v>0.2</x:v>
      </x:c>
      <x:c r="V2586" s="54" t="str">
        <x:f>IF(ISNUMBER(T2586),T2586*(1+U2586),"")</x:f>
      </x:c>
      <x:c r="W2586" s="47" t="n">
        <x:v>0.3</x:v>
      </x:c>
      <x:c r="X2586" s="54" t="str">
        <x:f>IF(ISNUMBER(V2586),V2586/(1-W2586),"")</x:f>
      </x:c>
      <x:c r="Y2586" s="55" t="str">
        <x:f>IF(ISNUMBER(X2586),ROUNDUP(X2586,0),"")</x:f>
      </x:c>
      <x:c r="Z2586" t="str">
        <x:f>IF(ISNUMBER(T2586),"Cost captured","Awaiting trade cost")</x:f>
        <x:v>Awaiting trade cost</x:v>
      </x:c>
      <x:c r="AB2586" s="36" t="str">
        <x:f>IF(ISNUMBER(Y2586),ROUND(Y2586*0.9,2),"")</x:f>
      </x:c>
      <x:c r="AC2586" s="36" t="str">
        <x:f>IF(ISNUMBER(AB2586),ROUND(AB2586-(AB2586*0.015+0.2)-V2586,2),"")</x:f>
      </x:c>
      <x:c r="AD2586" s="36" t="str">
        <x:f>IF(ISNUMBER(Y2586),ROUND(Y2586*0.8,2),"")</x:f>
      </x:c>
      <x:c r="AE2586" s="36" t="str">
        <x:f>IF(ISNUMBER(AD2586),ROUND(AD2586*0.015+0.2,2),"")</x:f>
      </x:c>
      <x:c r="AF2586" s="36" t="str">
        <x:f>IF(ISNUMBER(AD2586),ROUND(AD2586-AE2586-V2586,2),"")</x:f>
      </x:c>
      <x:c r="AG2586" t="str">
        <x:f>IF(NOT(ISNUMBER(T2586)),"PENDING",IF(AF2586&gt;0,"PASS","FAIL"))</x:f>
        <x:v>PENDING</x:v>
      </x:c>
      <x:c r="AH2586" t="str">
        <x:f>IF(NOT(ISNUMBER(T2586)),"Needs supplier cost",IF(K2586&lt;&gt;"In stock","Supplier unavailable",IF(AG2586&lt;&gt;"PASS","BLOCK - GT loss risk","Commercially protected")))</x:f>
        <x:v>Needs supplier cost</x:v>
      </x:c>
      <x:c r="AI2586" t="str">
        <x:v>2026-09-10 Active Sports trade capture</x:v>
      </x:c>
      <x:c r="AJ2586" t="str">
        <x:v>Management-only economics. Stripe stress test uses 1.5% + £0.20 standard UK online-card fee; pallet/mix-and-match pricing ignored.</x:v>
      </x:c>
    </x:row>
    <x:row r="2587">
      <x:c r="A2587" t="str">
        <x:v>Active Sports Nutrition</x:v>
      </x:c>
      <x:c r="B2587" t="str">
        <x:v>Optimum Nutrition</x:v>
      </x:c>
      <x:c r="C2587" t="str">
        <x:v>Serious Mass</x:v>
      </x:c>
      <x:c r="D2587" t="str">
        <x:v>Supplements</x:v>
      </x:c>
      <x:c r="E2587" t="str">
        <x:v>Weight Gainers</x:v>
      </x:c>
      <x:c r="F2587" t="str"/>
      <x:c r="G2587" t="str">
        <x:v>5.54kg</x:v>
      </x:c>
      <x:c r="H2587" t="str">
        <x:v>Chocolate</x:v>
      </x:c>
      <x:c r="I2587" t="str"/>
      <x:c r="J2587" t="str">
        <x:v>Unit</x:v>
      </x:c>
      <x:c r="K2587" t="str">
        <x:v>In stock</x:v>
      </x:c>
      <x:c r="L2587" t="str">
        <x:v>2026-09-08</x:v>
      </x:c>
      <x:c r="M2587" t="str"/>
      <x:c r="N2587" t="str"/>
      <x:c r="O2587" t="str">
        <x:v>https://www.activesportstrade.co.uk/trade-sports-supplements/Optimum-Nutrition</x:v>
      </x:c>
      <x:c r="P2587" t="str"/>
      <x:c r="Q2587" t="str"/>
      <x:c r="R2587" t="str"/>
      <x:c r="S2587" t="str">
        <x:v>Pending genuine supplier/brand image</x:v>
      </x:c>
      <x:c r="T2587" s="54"/>
      <x:c r="U2587" s="47" t="n">
        <x:v>0.2</x:v>
      </x:c>
      <x:c r="V2587" s="54" t="str">
        <x:f>IF(ISNUMBER(T2587),T2587*(1+U2587),"")</x:f>
      </x:c>
      <x:c r="W2587" s="47" t="n">
        <x:v>0.3</x:v>
      </x:c>
      <x:c r="X2587" s="54" t="str">
        <x:f>IF(ISNUMBER(V2587),V2587/(1-W2587),"")</x:f>
      </x:c>
      <x:c r="Y2587" s="55" t="str">
        <x:f>IF(ISNUMBER(X2587),ROUNDUP(X2587,0),"")</x:f>
      </x:c>
      <x:c r="Z2587" t="str">
        <x:f>IF(ISNUMBER(T2587),"Cost captured","Awaiting trade cost")</x:f>
        <x:v>Awaiting trade cost</x:v>
      </x:c>
      <x:c r="AB2587" s="36" t="str">
        <x:f>IF(ISNUMBER(Y2587),ROUND(Y2587*0.9,2),"")</x:f>
      </x:c>
      <x:c r="AC2587" s="36" t="str">
        <x:f>IF(ISNUMBER(AB2587),ROUND(AB2587-(AB2587*0.015+0.2)-V2587,2),"")</x:f>
      </x:c>
      <x:c r="AD2587" s="36" t="str">
        <x:f>IF(ISNUMBER(Y2587),ROUND(Y2587*0.8,2),"")</x:f>
      </x:c>
      <x:c r="AE2587" s="36" t="str">
        <x:f>IF(ISNUMBER(AD2587),ROUND(AD2587*0.015+0.2,2),"")</x:f>
      </x:c>
      <x:c r="AF2587" s="36" t="str">
        <x:f>IF(ISNUMBER(AD2587),ROUND(AD2587-AE2587-V2587,2),"")</x:f>
      </x:c>
      <x:c r="AG2587" t="str">
        <x:f>IF(NOT(ISNUMBER(T2587)),"PENDING",IF(AF2587&gt;0,"PASS","FAIL"))</x:f>
        <x:v>PENDING</x:v>
      </x:c>
      <x:c r="AH2587" t="str">
        <x:f>IF(NOT(ISNUMBER(T2587)),"Needs supplier cost",IF(K2587&lt;&gt;"In stock","Supplier unavailable",IF(AG2587&lt;&gt;"PASS","BLOCK - GT loss risk","Commercially protected")))</x:f>
        <x:v>Needs supplier cost</x:v>
      </x:c>
      <x:c r="AI2587" t="str">
        <x:v>2026-09-10 Active Sports trade capture</x:v>
      </x:c>
      <x:c r="AJ2587" t="str">
        <x:v>Management-only economics. Stripe stress test uses 1.5% + £0.20 standard UK online-card fee; pallet/mix-and-match pricing ignored.</x:v>
      </x:c>
    </x:row>
    <x:row r="2588">
      <x:c r="A2588" t="str">
        <x:v>Active Sports Nutrition</x:v>
      </x:c>
      <x:c r="B2588" t="str">
        <x:v>Optimum Nutrition</x:v>
      </x:c>
      <x:c r="C2588" t="str">
        <x:v>Serious Mass</x:v>
      </x:c>
      <x:c r="D2588" t="str">
        <x:v>Supplements</x:v>
      </x:c>
      <x:c r="E2588" t="str">
        <x:v>Weight Gainers</x:v>
      </x:c>
      <x:c r="F2588" t="str"/>
      <x:c r="G2588" t="str">
        <x:v>5.54kg</x:v>
      </x:c>
      <x:c r="H2588" t="str">
        <x:v>Chocolate Mint</x:v>
      </x:c>
      <x:c r="I2588" t="str"/>
      <x:c r="J2588" t="str">
        <x:v>Unit</x:v>
      </x:c>
      <x:c r="K2588" t="str">
        <x:v>In stock</x:v>
      </x:c>
      <x:c r="L2588" t="str">
        <x:v>2026-09-08</x:v>
      </x:c>
      <x:c r="M2588" t="str"/>
      <x:c r="N2588" t="str"/>
      <x:c r="O2588" t="str">
        <x:v>https://www.activesportstrade.co.uk/trade-sports-supplements/Optimum-Nutrition</x:v>
      </x:c>
      <x:c r="P2588" t="str"/>
      <x:c r="Q2588" t="str"/>
      <x:c r="R2588" t="str"/>
      <x:c r="S2588" t="str">
        <x:v>Pending genuine supplier/brand image</x:v>
      </x:c>
      <x:c r="T2588" s="54"/>
      <x:c r="U2588" s="47" t="n">
        <x:v>0.2</x:v>
      </x:c>
      <x:c r="V2588" s="54" t="str">
        <x:f>IF(ISNUMBER(T2588),T2588*(1+U2588),"")</x:f>
      </x:c>
      <x:c r="W2588" s="47" t="n">
        <x:v>0.3</x:v>
      </x:c>
      <x:c r="X2588" s="54" t="str">
        <x:f>IF(ISNUMBER(V2588),V2588/(1-W2588),"")</x:f>
      </x:c>
      <x:c r="Y2588" s="55" t="str">
        <x:f>IF(ISNUMBER(X2588),ROUNDUP(X2588,0),"")</x:f>
      </x:c>
      <x:c r="Z2588" t="str">
        <x:f>IF(ISNUMBER(T2588),"Cost captured","Awaiting trade cost")</x:f>
        <x:v>Awaiting trade cost</x:v>
      </x:c>
      <x:c r="AB2588" s="36" t="str">
        <x:f>IF(ISNUMBER(Y2588),ROUND(Y2588*0.9,2),"")</x:f>
      </x:c>
      <x:c r="AC2588" s="36" t="str">
        <x:f>IF(ISNUMBER(AB2588),ROUND(AB2588-(AB2588*0.015+0.2)-V2588,2),"")</x:f>
      </x:c>
      <x:c r="AD2588" s="36" t="str">
        <x:f>IF(ISNUMBER(Y2588),ROUND(Y2588*0.8,2),"")</x:f>
      </x:c>
      <x:c r="AE2588" s="36" t="str">
        <x:f>IF(ISNUMBER(AD2588),ROUND(AD2588*0.015+0.2,2),"")</x:f>
      </x:c>
      <x:c r="AF2588" s="36" t="str">
        <x:f>IF(ISNUMBER(AD2588),ROUND(AD2588-AE2588-V2588,2),"")</x:f>
      </x:c>
      <x:c r="AG2588" t="str">
        <x:f>IF(NOT(ISNUMBER(T2588)),"PENDING",IF(AF2588&gt;0,"PASS","FAIL"))</x:f>
        <x:v>PENDING</x:v>
      </x:c>
      <x:c r="AH2588" t="str">
        <x:f>IF(NOT(ISNUMBER(T2588)),"Needs supplier cost",IF(K2588&lt;&gt;"In stock","Supplier unavailable",IF(AG2588&lt;&gt;"PASS","BLOCK - GT loss risk","Commercially protected")))</x:f>
        <x:v>Needs supplier cost</x:v>
      </x:c>
      <x:c r="AI2588" t="str">
        <x:v>2026-09-10 Active Sports trade capture</x:v>
      </x:c>
      <x:c r="AJ2588" t="str">
        <x:v>Management-only economics. Stripe stress test uses 1.5% + £0.20 standard UK online-card fee; pallet/mix-and-match pricing ignored.</x:v>
      </x:c>
    </x:row>
    <x:row r="2589">
      <x:c r="A2589" t="str">
        <x:v>Active Sports Nutrition</x:v>
      </x:c>
      <x:c r="B2589" t="str">
        <x:v>Optimum Nutrition</x:v>
      </x:c>
      <x:c r="C2589" t="str">
        <x:v>Serious Mass</x:v>
      </x:c>
      <x:c r="D2589" t="str">
        <x:v>Supplements</x:v>
      </x:c>
      <x:c r="E2589" t="str">
        <x:v>Weight Gainers</x:v>
      </x:c>
      <x:c r="F2589" t="str"/>
      <x:c r="G2589" t="str">
        <x:v>5.54kg</x:v>
      </x:c>
      <x:c r="H2589" t="str">
        <x:v>Chocolate Peanut Butter</x:v>
      </x:c>
      <x:c r="I2589" t="str"/>
      <x:c r="J2589" t="str">
        <x:v>Unit</x:v>
      </x:c>
      <x:c r="K2589" t="str">
        <x:v>In stock</x:v>
      </x:c>
      <x:c r="L2589" t="str">
        <x:v>2026-09-08</x:v>
      </x:c>
      <x:c r="M2589" t="str"/>
      <x:c r="N2589" t="str"/>
      <x:c r="O2589" t="str">
        <x:v>https://www.activesportstrade.co.uk/trade-sports-supplements/Optimum-Nutrition</x:v>
      </x:c>
      <x:c r="P2589" t="str"/>
      <x:c r="Q2589" t="str"/>
      <x:c r="R2589" t="str"/>
      <x:c r="S2589" t="str">
        <x:v>Pending genuine supplier/brand image</x:v>
      </x:c>
      <x:c r="T2589" s="54"/>
      <x:c r="U2589" s="47" t="n">
        <x:v>0.2</x:v>
      </x:c>
      <x:c r="V2589" s="54" t="str">
        <x:f>IF(ISNUMBER(T2589),T2589*(1+U2589),"")</x:f>
      </x:c>
      <x:c r="W2589" s="47" t="n">
        <x:v>0.3</x:v>
      </x:c>
      <x:c r="X2589" s="54" t="str">
        <x:f>IF(ISNUMBER(V2589),V2589/(1-W2589),"")</x:f>
      </x:c>
      <x:c r="Y2589" s="55" t="str">
        <x:f>IF(ISNUMBER(X2589),ROUNDUP(X2589,0),"")</x:f>
      </x:c>
      <x:c r="Z2589" t="str">
        <x:f>IF(ISNUMBER(T2589),"Cost captured","Awaiting trade cost")</x:f>
        <x:v>Awaiting trade cost</x:v>
      </x:c>
      <x:c r="AB2589" s="36" t="str">
        <x:f>IF(ISNUMBER(Y2589),ROUND(Y2589*0.9,2),"")</x:f>
      </x:c>
      <x:c r="AC2589" s="36" t="str">
        <x:f>IF(ISNUMBER(AB2589),ROUND(AB2589-(AB2589*0.015+0.2)-V2589,2),"")</x:f>
      </x:c>
      <x:c r="AD2589" s="36" t="str">
        <x:f>IF(ISNUMBER(Y2589),ROUND(Y2589*0.8,2),"")</x:f>
      </x:c>
      <x:c r="AE2589" s="36" t="str">
        <x:f>IF(ISNUMBER(AD2589),ROUND(AD2589*0.015+0.2,2),"")</x:f>
      </x:c>
      <x:c r="AF2589" s="36" t="str">
        <x:f>IF(ISNUMBER(AD2589),ROUND(AD2589-AE2589-V2589,2),"")</x:f>
      </x:c>
      <x:c r="AG2589" t="str">
        <x:f>IF(NOT(ISNUMBER(T2589)),"PENDING",IF(AF2589&gt;0,"PASS","FAIL"))</x:f>
        <x:v>PENDING</x:v>
      </x:c>
      <x:c r="AH2589" t="str">
        <x:f>IF(NOT(ISNUMBER(T2589)),"Needs supplier cost",IF(K2589&lt;&gt;"In stock","Supplier unavailable",IF(AG2589&lt;&gt;"PASS","BLOCK - GT loss risk","Commercially protected")))</x:f>
        <x:v>Needs supplier cost</x:v>
      </x:c>
      <x:c r="AI2589" t="str">
        <x:v>2026-09-10 Active Sports trade capture</x:v>
      </x:c>
      <x:c r="AJ2589" t="str">
        <x:v>Management-only economics. Stripe stress test uses 1.5% + £0.20 standard UK online-card fee; pallet/mix-and-match pricing ignored.</x:v>
      </x:c>
    </x:row>
    <x:row r="2590">
      <x:c r="A2590" t="str">
        <x:v>Active Sports Nutrition</x:v>
      </x:c>
      <x:c r="B2590" t="str">
        <x:v>Optimum Nutrition</x:v>
      </x:c>
      <x:c r="C2590" t="str">
        <x:v>Serious Mass</x:v>
      </x:c>
      <x:c r="D2590" t="str">
        <x:v>Supplements</x:v>
      </x:c>
      <x:c r="E2590" t="str">
        <x:v>Weight Gainers</x:v>
      </x:c>
      <x:c r="F2590" t="str"/>
      <x:c r="G2590" t="str">
        <x:v>5.54kg</x:v>
      </x:c>
      <x:c r="H2590" t="str">
        <x:v>Cookies &amp; Cream</x:v>
      </x:c>
      <x:c r="I2590" t="str"/>
      <x:c r="J2590" t="str">
        <x:v>Unit</x:v>
      </x:c>
      <x:c r="K2590" t="str">
        <x:v>In stock</x:v>
      </x:c>
      <x:c r="L2590" t="str">
        <x:v>2026-09-08</x:v>
      </x:c>
      <x:c r="M2590" t="str"/>
      <x:c r="N2590" t="str"/>
      <x:c r="O2590" t="str">
        <x:v>https://www.activesportstrade.co.uk/trade-sports-supplements/Optimum-Nutrition</x:v>
      </x:c>
      <x:c r="P2590" t="str"/>
      <x:c r="Q2590" t="str"/>
      <x:c r="R2590" t="str"/>
      <x:c r="S2590" t="str">
        <x:v>Pending genuine supplier/brand image</x:v>
      </x:c>
      <x:c r="T2590" s="54"/>
      <x:c r="U2590" s="47" t="n">
        <x:v>0.2</x:v>
      </x:c>
      <x:c r="V2590" s="54" t="str">
        <x:f>IF(ISNUMBER(T2590),T2590*(1+U2590),"")</x:f>
      </x:c>
      <x:c r="W2590" s="47" t="n">
        <x:v>0.3</x:v>
      </x:c>
      <x:c r="X2590" s="54" t="str">
        <x:f>IF(ISNUMBER(V2590),V2590/(1-W2590),"")</x:f>
      </x:c>
      <x:c r="Y2590" s="55" t="str">
        <x:f>IF(ISNUMBER(X2590),ROUNDUP(X2590,0),"")</x:f>
      </x:c>
      <x:c r="Z2590" t="str">
        <x:f>IF(ISNUMBER(T2590),"Cost captured","Awaiting trade cost")</x:f>
        <x:v>Awaiting trade cost</x:v>
      </x:c>
      <x:c r="AB2590" s="36" t="str">
        <x:f>IF(ISNUMBER(Y2590),ROUND(Y2590*0.9,2),"")</x:f>
      </x:c>
      <x:c r="AC2590" s="36" t="str">
        <x:f>IF(ISNUMBER(AB2590),ROUND(AB2590-(AB2590*0.015+0.2)-V2590,2),"")</x:f>
      </x:c>
      <x:c r="AD2590" s="36" t="str">
        <x:f>IF(ISNUMBER(Y2590),ROUND(Y2590*0.8,2),"")</x:f>
      </x:c>
      <x:c r="AE2590" s="36" t="str">
        <x:f>IF(ISNUMBER(AD2590),ROUND(AD2590*0.015+0.2,2),"")</x:f>
      </x:c>
      <x:c r="AF2590" s="36" t="str">
        <x:f>IF(ISNUMBER(AD2590),ROUND(AD2590-AE2590-V2590,2),"")</x:f>
      </x:c>
      <x:c r="AG2590" t="str">
        <x:f>IF(NOT(ISNUMBER(T2590)),"PENDING",IF(AF2590&gt;0,"PASS","FAIL"))</x:f>
        <x:v>PENDING</x:v>
      </x:c>
      <x:c r="AH2590" t="str">
        <x:f>IF(NOT(ISNUMBER(T2590)),"Needs supplier cost",IF(K2590&lt;&gt;"In stock","Supplier unavailable",IF(AG2590&lt;&gt;"PASS","BLOCK - GT loss risk","Commercially protected")))</x:f>
        <x:v>Needs supplier cost</x:v>
      </x:c>
      <x:c r="AI2590" t="str">
        <x:v>2026-09-10 Active Sports trade capture</x:v>
      </x:c>
      <x:c r="AJ2590" t="str">
        <x:v>Management-only economics. Stripe stress test uses 1.5% + £0.20 standard UK online-card fee; pallet/mix-and-match pricing ignored.</x:v>
      </x:c>
    </x:row>
    <x:row r="2591">
      <x:c r="A2591" t="str">
        <x:v>Active Sports Nutrition</x:v>
      </x:c>
      <x:c r="B2591" t="str">
        <x:v>Optimum Nutrition</x:v>
      </x:c>
      <x:c r="C2591" t="str">
        <x:v>Serious Mass</x:v>
      </x:c>
      <x:c r="D2591" t="str">
        <x:v>Supplements</x:v>
      </x:c>
      <x:c r="E2591" t="str">
        <x:v>Weight Gainers</x:v>
      </x:c>
      <x:c r="F2591" t="str"/>
      <x:c r="G2591" t="str">
        <x:v>5.54kg</x:v>
      </x:c>
      <x:c r="H2591" t="str">
        <x:v>Strawberry</x:v>
      </x:c>
      <x:c r="I2591" t="str"/>
      <x:c r="J2591" t="str">
        <x:v>Unit</x:v>
      </x:c>
      <x:c r="K2591" t="str">
        <x:v>In stock</x:v>
      </x:c>
      <x:c r="L2591" t="str">
        <x:v>2026-09-08</x:v>
      </x:c>
      <x:c r="M2591" t="str"/>
      <x:c r="N2591" t="str"/>
      <x:c r="O2591" t="str">
        <x:v>https://www.activesportstrade.co.uk/trade-sports-supplements/Optimum-Nutrition</x:v>
      </x:c>
      <x:c r="P2591" t="str"/>
      <x:c r="Q2591" t="str"/>
      <x:c r="R2591" t="str"/>
      <x:c r="S2591" t="str">
        <x:v>Pending genuine supplier/brand image</x:v>
      </x:c>
      <x:c r="T2591" s="54"/>
      <x:c r="U2591" s="47" t="n">
        <x:v>0.2</x:v>
      </x:c>
      <x:c r="V2591" s="54" t="str">
        <x:f>IF(ISNUMBER(T2591),T2591*(1+U2591),"")</x:f>
      </x:c>
      <x:c r="W2591" s="47" t="n">
        <x:v>0.3</x:v>
      </x:c>
      <x:c r="X2591" s="54" t="str">
        <x:f>IF(ISNUMBER(V2591),V2591/(1-W2591),"")</x:f>
      </x:c>
      <x:c r="Y2591" s="55" t="str">
        <x:f>IF(ISNUMBER(X2591),ROUNDUP(X2591,0),"")</x:f>
      </x:c>
      <x:c r="Z2591" t="str">
        <x:f>IF(ISNUMBER(T2591),"Cost captured","Awaiting trade cost")</x:f>
        <x:v>Awaiting trade cost</x:v>
      </x:c>
      <x:c r="AB2591" s="36" t="str">
        <x:f>IF(ISNUMBER(Y2591),ROUND(Y2591*0.9,2),"")</x:f>
      </x:c>
      <x:c r="AC2591" s="36" t="str">
        <x:f>IF(ISNUMBER(AB2591),ROUND(AB2591-(AB2591*0.015+0.2)-V2591,2),"")</x:f>
      </x:c>
      <x:c r="AD2591" s="36" t="str">
        <x:f>IF(ISNUMBER(Y2591),ROUND(Y2591*0.8,2),"")</x:f>
      </x:c>
      <x:c r="AE2591" s="36" t="str">
        <x:f>IF(ISNUMBER(AD2591),ROUND(AD2591*0.015+0.2,2),"")</x:f>
      </x:c>
      <x:c r="AF2591" s="36" t="str">
        <x:f>IF(ISNUMBER(AD2591),ROUND(AD2591-AE2591-V2591,2),"")</x:f>
      </x:c>
      <x:c r="AG2591" t="str">
        <x:f>IF(NOT(ISNUMBER(T2591)),"PENDING",IF(AF2591&gt;0,"PASS","FAIL"))</x:f>
        <x:v>PENDING</x:v>
      </x:c>
      <x:c r="AH2591" t="str">
        <x:f>IF(NOT(ISNUMBER(T2591)),"Needs supplier cost",IF(K2591&lt;&gt;"In stock","Supplier unavailable",IF(AG2591&lt;&gt;"PASS","BLOCK - GT loss risk","Commercially protected")))</x:f>
        <x:v>Needs supplier cost</x:v>
      </x:c>
      <x:c r="AI2591" t="str">
        <x:v>2026-09-10 Active Sports trade capture</x:v>
      </x:c>
      <x:c r="AJ2591" t="str">
        <x:v>Management-only economics. Stripe stress test uses 1.5% + £0.20 standard UK online-card fee; pallet/mix-and-match pricing ignored.</x:v>
      </x:c>
    </x:row>
    <x:row r="2592">
      <x:c r="A2592" t="str">
        <x:v>Active Sports Nutrition</x:v>
      </x:c>
      <x:c r="B2592" t="str">
        <x:v>Optimum Nutrition</x:v>
      </x:c>
      <x:c r="C2592" t="str">
        <x:v>Serious Mass</x:v>
      </x:c>
      <x:c r="D2592" t="str">
        <x:v>Supplements</x:v>
      </x:c>
      <x:c r="E2592" t="str">
        <x:v>Weight Gainers</x:v>
      </x:c>
      <x:c r="F2592" t="str"/>
      <x:c r="G2592" t="str">
        <x:v>5.54kg</x:v>
      </x:c>
      <x:c r="H2592" t="str">
        <x:v>Vanilla</x:v>
      </x:c>
      <x:c r="I2592" t="str"/>
      <x:c r="J2592" t="str">
        <x:v>Unit</x:v>
      </x:c>
      <x:c r="K2592" t="str">
        <x:v>In stock</x:v>
      </x:c>
      <x:c r="L2592" t="str">
        <x:v>2026-09-08</x:v>
      </x:c>
      <x:c r="M2592" t="str"/>
      <x:c r="N2592" t="str"/>
      <x:c r="O2592" t="str">
        <x:v>https://www.activesportstrade.co.uk/trade-sports-supplements/Optimum-Nutrition</x:v>
      </x:c>
      <x:c r="P2592" t="str"/>
      <x:c r="Q2592" t="str"/>
      <x:c r="R2592" t="str"/>
      <x:c r="S2592" t="str">
        <x:v>Pending genuine supplier/brand image</x:v>
      </x:c>
      <x:c r="T2592" s="54"/>
      <x:c r="U2592" s="47" t="n">
        <x:v>0.2</x:v>
      </x:c>
      <x:c r="V2592" s="54" t="str">
        <x:f>IF(ISNUMBER(T2592),T2592*(1+U2592),"")</x:f>
      </x:c>
      <x:c r="W2592" s="47" t="n">
        <x:v>0.3</x:v>
      </x:c>
      <x:c r="X2592" s="54" t="str">
        <x:f>IF(ISNUMBER(V2592),V2592/(1-W2592),"")</x:f>
      </x:c>
      <x:c r="Y2592" s="55" t="str">
        <x:f>IF(ISNUMBER(X2592),ROUNDUP(X2592,0),"")</x:f>
      </x:c>
      <x:c r="Z2592" t="str">
        <x:f>IF(ISNUMBER(T2592),"Cost captured","Awaiting trade cost")</x:f>
        <x:v>Awaiting trade cost</x:v>
      </x:c>
      <x:c r="AB2592" s="36" t="str">
        <x:f>IF(ISNUMBER(Y2592),ROUND(Y2592*0.9,2),"")</x:f>
      </x:c>
      <x:c r="AC2592" s="36" t="str">
        <x:f>IF(ISNUMBER(AB2592),ROUND(AB2592-(AB2592*0.015+0.2)-V2592,2),"")</x:f>
      </x:c>
      <x:c r="AD2592" s="36" t="str">
        <x:f>IF(ISNUMBER(Y2592),ROUND(Y2592*0.8,2),"")</x:f>
      </x:c>
      <x:c r="AE2592" s="36" t="str">
        <x:f>IF(ISNUMBER(AD2592),ROUND(AD2592*0.015+0.2,2),"")</x:f>
      </x:c>
      <x:c r="AF2592" s="36" t="str">
        <x:f>IF(ISNUMBER(AD2592),ROUND(AD2592-AE2592-V2592,2),"")</x:f>
      </x:c>
      <x:c r="AG2592" t="str">
        <x:f>IF(NOT(ISNUMBER(T2592)),"PENDING",IF(AF2592&gt;0,"PASS","FAIL"))</x:f>
        <x:v>PENDING</x:v>
      </x:c>
      <x:c r="AH2592" t="str">
        <x:f>IF(NOT(ISNUMBER(T2592)),"Needs supplier cost",IF(K2592&lt;&gt;"In stock","Supplier unavailable",IF(AG2592&lt;&gt;"PASS","BLOCK - GT loss risk","Commercially protected")))</x:f>
        <x:v>Needs supplier cost</x:v>
      </x:c>
      <x:c r="AI2592" t="str">
        <x:v>2026-09-10 Active Sports trade capture</x:v>
      </x:c>
      <x:c r="AJ2592" t="str">
        <x:v>Management-only economics. Stripe stress test uses 1.5% + £0.20 standard UK online-card fee; pallet/mix-and-match pricing ignored.</x:v>
      </x:c>
    </x:row>
    <x:row r="2593">
      <x:c r="A2593" t="str">
        <x:v>Active Sports Nutrition</x:v>
      </x:c>
      <x:c r="B2593" t="str">
        <x:v>Optimum Nutrition</x:v>
      </x:c>
      <x:c r="C2593" t="str">
        <x:v>Shaker Large</x:v>
      </x:c>
      <x:c r="D2593" t="str">
        <x:v>Merch &amp; Apparel</x:v>
      </x:c>
      <x:c r="E2593" t="str">
        <x:v>Shakers</x:v>
      </x:c>
      <x:c r="F2593" t="str"/>
      <x:c r="G2593" t="str">
        <x:v>1000ml</x:v>
      </x:c>
      <x:c r="H2593" t="str">
        <x:v>Black &amp; White</x:v>
      </x:c>
      <x:c r="I2593" t="str"/>
      <x:c r="J2593" t="str">
        <x:v>Unit</x:v>
      </x:c>
      <x:c r="K2593" t="str">
        <x:v>In stock</x:v>
      </x:c>
      <x:c r="L2593" t="str">
        <x:v>2026-09-08</x:v>
      </x:c>
      <x:c r="M2593" t="str"/>
      <x:c r="N2593" t="str"/>
      <x:c r="O2593" t="str">
        <x:v>https://www.activesportstrade.co.uk/trade-sports-supplements/Optimum-Nutrition</x:v>
      </x:c>
      <x:c r="P2593" t="str">
        <x:v>Supplier SPECIAL OFFER wording stripped from canonical title.</x:v>
      </x:c>
      <x:c r="Q2593" t="str"/>
      <x:c r="R2593" t="str"/>
      <x:c r="S2593" t="str">
        <x:v>Pending genuine supplier/brand image</x:v>
      </x:c>
      <x:c r="T2593" s="54"/>
      <x:c r="U2593" s="47" t="n">
        <x:v>0.2</x:v>
      </x:c>
      <x:c r="V2593" s="54" t="str">
        <x:f>IF(ISNUMBER(T2593),T2593*(1+U2593),"")</x:f>
      </x:c>
      <x:c r="W2593" s="47" t="n">
        <x:v>0.3</x:v>
      </x:c>
      <x:c r="X2593" s="54" t="str">
        <x:f>IF(ISNUMBER(V2593),V2593/(1-W2593),"")</x:f>
      </x:c>
      <x:c r="Y2593" s="55" t="str">
        <x:f>IF(ISNUMBER(X2593),ROUNDUP(X2593,0),"")</x:f>
      </x:c>
      <x:c r="Z2593" t="str">
        <x:f>IF(ISNUMBER(T2593),"Cost captured","Awaiting trade cost")</x:f>
        <x:v>Awaiting trade cost</x:v>
      </x:c>
      <x:c r="AB2593" s="36" t="str">
        <x:f>IF(ISNUMBER(Y2593),ROUND(Y2593*0.9,2),"")</x:f>
      </x:c>
      <x:c r="AC2593" s="36" t="str">
        <x:f>IF(ISNUMBER(AB2593),ROUND(AB2593-(AB2593*0.015+0.2)-V2593,2),"")</x:f>
      </x:c>
      <x:c r="AD2593" s="36" t="str">
        <x:f>IF(ISNUMBER(Y2593),ROUND(Y2593*0.8,2),"")</x:f>
      </x:c>
      <x:c r="AE2593" s="36" t="str">
        <x:f>IF(ISNUMBER(AD2593),ROUND(AD2593*0.015+0.2,2),"")</x:f>
      </x:c>
      <x:c r="AF2593" s="36" t="str">
        <x:f>IF(ISNUMBER(AD2593),ROUND(AD2593-AE2593-V2593,2),"")</x:f>
      </x:c>
      <x:c r="AG2593" t="str">
        <x:f>IF(NOT(ISNUMBER(T2593)),"PENDING",IF(AF2593&gt;0,"PASS","FAIL"))</x:f>
        <x:v>PENDING</x:v>
      </x:c>
      <x:c r="AH2593" t="str">
        <x:f>IF(NOT(ISNUMBER(T2593)),"Needs supplier cost",IF(K2593&lt;&gt;"In stock","Supplier unavailable",IF(AG2593&lt;&gt;"PASS","BLOCK - GT loss risk","Commercially protected")))</x:f>
        <x:v>Needs supplier cost</x:v>
      </x:c>
      <x:c r="AI2593" t="str">
        <x:v>2026-09-10 Active Sports trade capture</x:v>
      </x:c>
      <x:c r="AJ2593" t="str">
        <x:v>Management-only economics. Stripe stress test uses 1.5% + £0.20 standard UK online-card fee; pallet/mix-and-match pricing ignored.</x:v>
      </x:c>
    </x:row>
    <x:row r="2594">
      <x:c r="A2594" t="str">
        <x:v>Active Sports Nutrition</x:v>
      </x:c>
      <x:c r="B2594" t="str">
        <x:v>Optimum Nutrition</x:v>
      </x:c>
      <x:c r="C2594" t="str">
        <x:v>Water Jug</x:v>
      </x:c>
      <x:c r="D2594" t="str">
        <x:v>Merch &amp; Apparel</x:v>
      </x:c>
      <x:c r="E2594" t="str">
        <x:v>Shakers</x:v>
      </x:c>
      <x:c r="F2594" t="str"/>
      <x:c r="G2594" t="str">
        <x:v>2.2ltr</x:v>
      </x:c>
      <x:c r="H2594" t="str">
        <x:v>Matt Black</x:v>
      </x:c>
      <x:c r="I2594" t="str"/>
      <x:c r="J2594" t="str">
        <x:v>Unit</x:v>
      </x:c>
      <x:c r="K2594" t="str">
        <x:v>Out of stock</x:v>
      </x:c>
      <x:c r="L2594" t="str">
        <x:v>2026-09-08</x:v>
      </x:c>
      <x:c r="M2594" t="str"/>
      <x:c r="N2594" t="str"/>
      <x:c r="O2594" t="str">
        <x:v>https://www.activesportstrade.co.uk/trade-sports-supplements/Optimum-Nutrition</x:v>
      </x:c>
      <x:c r="P2594" t="str">
        <x:v>Supplier SPECIAL OFFER wording stripped from canonical title.</x:v>
      </x:c>
      <x:c r="Q2594" t="str"/>
      <x:c r="R2594" t="str"/>
      <x:c r="S2594" t="str">
        <x:v>Pending genuine supplier/brand image</x:v>
      </x:c>
      <x:c r="T2594" s="54"/>
      <x:c r="U2594" s="47" t="n">
        <x:v>0.2</x:v>
      </x:c>
      <x:c r="V2594" s="54" t="str">
        <x:f>IF(ISNUMBER(T2594),T2594*(1+U2594),"")</x:f>
      </x:c>
      <x:c r="W2594" s="47" t="n">
        <x:v>0.3</x:v>
      </x:c>
      <x:c r="X2594" s="54" t="str">
        <x:f>IF(ISNUMBER(V2594),V2594/(1-W2594),"")</x:f>
      </x:c>
      <x:c r="Y2594" s="55" t="str">
        <x:f>IF(ISNUMBER(X2594),ROUNDUP(X2594,0),"")</x:f>
      </x:c>
      <x:c r="Z2594" t="str">
        <x:f>IF(ISNUMBER(T2594),"Cost captured","Awaiting trade cost")</x:f>
        <x:v>Awaiting trade cost</x:v>
      </x:c>
      <x:c r="AB2594" s="36" t="str">
        <x:f>IF(ISNUMBER(Y2594),ROUND(Y2594*0.9,2),"")</x:f>
      </x:c>
      <x:c r="AC2594" s="36" t="str">
        <x:f>IF(ISNUMBER(AB2594),ROUND(AB2594-(AB2594*0.015+0.2)-V2594,2),"")</x:f>
      </x:c>
      <x:c r="AD2594" s="36" t="str">
        <x:f>IF(ISNUMBER(Y2594),ROUND(Y2594*0.8,2),"")</x:f>
      </x:c>
      <x:c r="AE2594" s="36" t="str">
        <x:f>IF(ISNUMBER(AD2594),ROUND(AD2594*0.015+0.2,2),"")</x:f>
      </x:c>
      <x:c r="AF2594" s="36" t="str">
        <x:f>IF(ISNUMBER(AD2594),ROUND(AD2594-AE2594-V2594,2),"")</x:f>
      </x:c>
      <x:c r="AG2594" t="str">
        <x:f>IF(NOT(ISNUMBER(T2594)),"PENDING",IF(AF2594&gt;0,"PASS","FAIL"))</x:f>
        <x:v>PENDING</x:v>
      </x:c>
      <x:c r="AH2594" t="str">
        <x:f>IF(NOT(ISNUMBER(T2594)),"Needs supplier cost",IF(K2594&lt;&gt;"In stock","Supplier unavailable",IF(AG2594&lt;&gt;"PASS","BLOCK - GT loss risk","Commercially protected")))</x:f>
        <x:v>Needs supplier cost</x:v>
      </x:c>
      <x:c r="AI2594" t="str">
        <x:v>2026-09-10 Active Sports trade capture</x:v>
      </x:c>
      <x:c r="AJ2594" t="str">
        <x:v>Management-only economics. Stripe stress test uses 1.5% + £0.20 standard UK online-card fee; pallet/mix-and-match pricing ignored.</x:v>
      </x:c>
    </x:row>
    <x:row r="2595">
      <x:c r="A2595" t="str">
        <x:v>Active Sports Nutrition</x:v>
      </x:c>
      <x:c r="B2595" t="str">
        <x:v>Scitec Nutrition</x:v>
      </x:c>
      <x:c r="C2595" t="str">
        <x:v>100% Whey Isolate</x:v>
      </x:c>
      <x:c r="D2595" t="str">
        <x:v>Supplements</x:v>
      </x:c>
      <x:c r="E2595" t="str">
        <x:v>Whey Isolate</x:v>
      </x:c>
      <x:c r="F2595" t="str"/>
      <x:c r="G2595" t="str">
        <x:v>1816g</x:v>
      </x:c>
      <x:c r="H2595" t="str">
        <x:v>Salted Caramel</x:v>
      </x:c>
      <x:c r="I2595" t="str"/>
      <x:c r="J2595" t="str">
        <x:v>Unit</x:v>
      </x:c>
      <x:c r="K2595" t="str">
        <x:v>In stock</x:v>
      </x:c>
      <x:c r="L2595" t="str">
        <x:v>2026-09-08</x:v>
      </x:c>
      <x:c r="M2595" t="str"/>
      <x:c r="N2595" t="str"/>
      <x:c r="O2595" t="str">
        <x:v>https://www.activesportstrade.co.uk/scitec-nutrition-trade</x:v>
      </x:c>
      <x:c r="P2595" t="str"/>
      <x:c r="Q2595" t="str"/>
      <x:c r="R2595" t="str"/>
      <x:c r="S2595" t="str">
        <x:v>Pending genuine supplier/brand image</x:v>
      </x:c>
      <x:c r="T2595" s="54" t="n">
        <x:v>51.99</x:v>
      </x:c>
      <x:c r="U2595" s="47" t="n">
        <x:v>0.2</x:v>
      </x:c>
      <x:c r="V2595" s="54" t="n">
        <x:f>IF(ISNUMBER(T2595),T2595*(1+U2595),"")</x:f>
        <x:v>62.388</x:v>
      </x:c>
      <x:c r="W2595" s="47" t="n">
        <x:v>0.3</x:v>
      </x:c>
      <x:c r="X2595" s="54" t="n">
        <x:f>IF(ISNUMBER(V2595),V2595/(1-W2595),"")</x:f>
        <x:v>89.1257142857143</x:v>
      </x:c>
      <x:c r="Y2595" s="55" t="n">
        <x:f>IF(ISNUMBER(X2595),ROUNDUP(X2595,0),"")</x:f>
        <x:v>90</x:v>
      </x:c>
      <x:c r="Z2595" t="str">
        <x:v>Source match pending</x:v>
      </x:c>
      <x:c r="AA2595" t="str">
        <x:v>screencapture-www-activesportstrade-co-uk-scitec-nutrition-trade-2026-09-10-09_07_50.pdf / page-1</x:v>
      </x:c>
      <x:c r="AB2595" s="36" t="n">
        <x:f>IF(ISNUMBER(Y2595),ROUND(Y2595*0.9,2),"")</x:f>
        <x:v>81</x:v>
      </x:c>
      <x:c r="AC2595" s="36" t="n">
        <x:f>IF(ISNUMBER(AB2595),ROUND(AB2595-(AB2595*0.015+0.2)-V2595,2),"")</x:f>
        <x:v>17.2</x:v>
      </x:c>
      <x:c r="AD2595" s="36" t="n">
        <x:f>IF(ISNUMBER(Y2595),ROUND(Y2595*0.8,2),"")</x:f>
        <x:v>72</x:v>
      </x:c>
      <x:c r="AE2595" s="36" t="n">
        <x:f>IF(ISNUMBER(AD2595),ROUND(AD2595*0.015+0.2,2),"")</x:f>
        <x:v>1.28</x:v>
      </x:c>
      <x:c r="AF2595" s="36" t="n">
        <x:f>IF(ISNUMBER(AD2595),ROUND(AD2595-AE2595-V2595,2),"")</x:f>
        <x:v>8.33</x:v>
      </x:c>
      <x:c r="AG2595" t="str">
        <x:f>IF(NOT(ISNUMBER(T2595)),"PENDING",IF(AF2595&gt;0,"PASS","FAIL"))</x:f>
        <x:v>PASS</x:v>
      </x:c>
      <x:c r="AH2595" t="str">
        <x:f>IF(NOT(ISNUMBER(T2595)),"Needs supplier cost",IF(K2595&lt;&gt;"In stock","Supplier unavailable",IF(AG2595&lt;&gt;"PASS","BLOCK - GT loss risk","Commercially protected")))</x:f>
        <x:v>Commercially protected</x:v>
      </x:c>
      <x:c r="AI2595" t="str">
        <x:v>2026-09-10 Active Sports trade capture</x:v>
      </x:c>
      <x:c r="AJ2595" t="str">
        <x:v>Management-only economics. Stripe stress test uses 1.5% + £0.20 standard UK online-card fee; pallet/mix-and-match pricing ignored.</x:v>
      </x:c>
    </x:row>
    <x:row r="2596">
      <x:c r="A2596" t="str">
        <x:v>Active Sports Nutrition</x:v>
      </x:c>
      <x:c r="B2596" t="str">
        <x:v>Scitec Nutrition</x:v>
      </x:c>
      <x:c r="C2596" t="str">
        <x:v>100% Whey Isolate</x:v>
      </x:c>
      <x:c r="D2596" t="str">
        <x:v>Supplements</x:v>
      </x:c>
      <x:c r="E2596" t="str">
        <x:v>Whey Isolate</x:v>
      </x:c>
      <x:c r="F2596" t="str"/>
      <x:c r="G2596" t="str">
        <x:v>1816g</x:v>
      </x:c>
      <x:c r="H2596" t="str">
        <x:v>Strawberry</x:v>
      </x:c>
      <x:c r="I2596" t="str"/>
      <x:c r="J2596" t="str">
        <x:v>Unit</x:v>
      </x:c>
      <x:c r="K2596" t="str">
        <x:v>In stock</x:v>
      </x:c>
      <x:c r="L2596" t="str">
        <x:v>2026-09-08</x:v>
      </x:c>
      <x:c r="M2596" t="str"/>
      <x:c r="N2596" t="str"/>
      <x:c r="O2596" t="str">
        <x:v>https://www.activesportstrade.co.uk/scitec-nutrition-trade</x:v>
      </x:c>
      <x:c r="P2596" t="str"/>
      <x:c r="Q2596" t="str"/>
      <x:c r="R2596" t="str"/>
      <x:c r="S2596" t="str">
        <x:v>Pending genuine supplier/brand image</x:v>
      </x:c>
      <x:c r="T2596" s="54" t="n">
        <x:v>51.99</x:v>
      </x:c>
      <x:c r="U2596" s="47" t="n">
        <x:v>0.2</x:v>
      </x:c>
      <x:c r="V2596" s="54" t="n">
        <x:f>IF(ISNUMBER(T2596),T2596*(1+U2596),"")</x:f>
        <x:v>62.388</x:v>
      </x:c>
      <x:c r="W2596" s="47" t="n">
        <x:v>0.3</x:v>
      </x:c>
      <x:c r="X2596" s="54" t="n">
        <x:f>IF(ISNUMBER(V2596),V2596/(1-W2596),"")</x:f>
        <x:v>89.1257142857143</x:v>
      </x:c>
      <x:c r="Y2596" s="55" t="n">
        <x:f>IF(ISNUMBER(X2596),ROUNDUP(X2596,0),"")</x:f>
        <x:v>90</x:v>
      </x:c>
      <x:c r="Z2596" t="str">
        <x:v>Source match pending</x:v>
      </x:c>
      <x:c r="AA2596" t="str">
        <x:v>screencapture-www-activesportstrade-co-uk-scitec-nutrition-trade-2026-09-10-09_07_50.pdf / page-1</x:v>
      </x:c>
      <x:c r="AB2596" s="36" t="n">
        <x:f>IF(ISNUMBER(Y2596),ROUND(Y2596*0.9,2),"")</x:f>
        <x:v>81</x:v>
      </x:c>
      <x:c r="AC2596" s="36" t="n">
        <x:f>IF(ISNUMBER(AB2596),ROUND(AB2596-(AB2596*0.015+0.2)-V2596,2),"")</x:f>
        <x:v>17.2</x:v>
      </x:c>
      <x:c r="AD2596" s="36" t="n">
        <x:f>IF(ISNUMBER(Y2596),ROUND(Y2596*0.8,2),"")</x:f>
        <x:v>72</x:v>
      </x:c>
      <x:c r="AE2596" s="36" t="n">
        <x:f>IF(ISNUMBER(AD2596),ROUND(AD2596*0.015+0.2,2),"")</x:f>
        <x:v>1.28</x:v>
      </x:c>
      <x:c r="AF2596" s="36" t="n">
        <x:f>IF(ISNUMBER(AD2596),ROUND(AD2596-AE2596-V2596,2),"")</x:f>
        <x:v>8.33</x:v>
      </x:c>
      <x:c r="AG2596" t="str">
        <x:f>IF(NOT(ISNUMBER(T2596)),"PENDING",IF(AF2596&gt;0,"PASS","FAIL"))</x:f>
        <x:v>PASS</x:v>
      </x:c>
      <x:c r="AH2596" t="str">
        <x:f>IF(NOT(ISNUMBER(T2596)),"Needs supplier cost",IF(K2596&lt;&gt;"In stock","Supplier unavailable",IF(AG2596&lt;&gt;"PASS","BLOCK - GT loss risk","Commercially protected")))</x:f>
        <x:v>Commercially protected</x:v>
      </x:c>
      <x:c r="AI2596" t="str">
        <x:v>2026-09-10 Active Sports trade capture</x:v>
      </x:c>
      <x:c r="AJ2596" t="str">
        <x:v>Management-only economics. Stripe stress test uses 1.5% + £0.20 standard UK online-card fee; pallet/mix-and-match pricing ignored.</x:v>
      </x:c>
    </x:row>
    <x:row r="2597">
      <x:c r="A2597" t="str">
        <x:v>Active Sports Nutrition</x:v>
      </x:c>
      <x:c r="B2597" t="str">
        <x:v>Scitec Nutrition</x:v>
      </x:c>
      <x:c r="C2597" t="str">
        <x:v>100% Whey Isolate</x:v>
      </x:c>
      <x:c r="D2597" t="str">
        <x:v>Supplements</x:v>
      </x:c>
      <x:c r="E2597" t="str">
        <x:v>Whey Isolate</x:v>
      </x:c>
      <x:c r="F2597" t="str"/>
      <x:c r="G2597" t="str">
        <x:v>1816g</x:v>
      </x:c>
      <x:c r="H2597" t="str">
        <x:v>Strawberry White Chocolate</x:v>
      </x:c>
      <x:c r="I2597" t="str"/>
      <x:c r="J2597" t="str">
        <x:v>Unit</x:v>
      </x:c>
      <x:c r="K2597" t="str">
        <x:v>In stock</x:v>
      </x:c>
      <x:c r="L2597" t="str">
        <x:v>2026-09-08</x:v>
      </x:c>
      <x:c r="M2597" t="str"/>
      <x:c r="N2597" t="str"/>
      <x:c r="O2597" t="str">
        <x:v>https://www.activesportstrade.co.uk/scitec-nutrition-trade</x:v>
      </x:c>
      <x:c r="P2597" t="str"/>
      <x:c r="Q2597" t="str"/>
      <x:c r="R2597" t="str"/>
      <x:c r="S2597" t="str">
        <x:v>Pending genuine supplier/brand image</x:v>
      </x:c>
      <x:c r="T2597" s="54" t="n">
        <x:v>51.99</x:v>
      </x:c>
      <x:c r="U2597" s="47" t="n">
        <x:v>0.2</x:v>
      </x:c>
      <x:c r="V2597" s="54" t="n">
        <x:f>IF(ISNUMBER(T2597),T2597*(1+U2597),"")</x:f>
        <x:v>62.388</x:v>
      </x:c>
      <x:c r="W2597" s="47" t="n">
        <x:v>0.3</x:v>
      </x:c>
      <x:c r="X2597" s="54" t="n">
        <x:f>IF(ISNUMBER(V2597),V2597/(1-W2597),"")</x:f>
        <x:v>89.1257142857143</x:v>
      </x:c>
      <x:c r="Y2597" s="55" t="n">
        <x:f>IF(ISNUMBER(X2597),ROUNDUP(X2597,0),"")</x:f>
        <x:v>90</x:v>
      </x:c>
      <x:c r="Z2597" t="str">
        <x:v>Source match pending</x:v>
      </x:c>
      <x:c r="AA2597" t="str">
        <x:v>screencapture-www-activesportstrade-co-uk-scitec-nutrition-trade-2026-09-10-09_07_50.pdf / page-1</x:v>
      </x:c>
      <x:c r="AB2597" s="36" t="n">
        <x:f>IF(ISNUMBER(Y2597),ROUND(Y2597*0.9,2),"")</x:f>
        <x:v>81</x:v>
      </x:c>
      <x:c r="AC2597" s="36" t="n">
        <x:f>IF(ISNUMBER(AB2597),ROUND(AB2597-(AB2597*0.015+0.2)-V2597,2),"")</x:f>
        <x:v>17.2</x:v>
      </x:c>
      <x:c r="AD2597" s="36" t="n">
        <x:f>IF(ISNUMBER(Y2597),ROUND(Y2597*0.8,2),"")</x:f>
        <x:v>72</x:v>
      </x:c>
      <x:c r="AE2597" s="36" t="n">
        <x:f>IF(ISNUMBER(AD2597),ROUND(AD2597*0.015+0.2,2),"")</x:f>
        <x:v>1.28</x:v>
      </x:c>
      <x:c r="AF2597" s="36" t="n">
        <x:f>IF(ISNUMBER(AD2597),ROUND(AD2597-AE2597-V2597,2),"")</x:f>
        <x:v>8.33</x:v>
      </x:c>
      <x:c r="AG2597" t="str">
        <x:f>IF(NOT(ISNUMBER(T2597)),"PENDING",IF(AF2597&gt;0,"PASS","FAIL"))</x:f>
        <x:v>PASS</x:v>
      </x:c>
      <x:c r="AH2597" t="str">
        <x:f>IF(NOT(ISNUMBER(T2597)),"Needs supplier cost",IF(K2597&lt;&gt;"In stock","Supplier unavailable",IF(AG2597&lt;&gt;"PASS","BLOCK - GT loss risk","Commercially protected")))</x:f>
        <x:v>Commercially protected</x:v>
      </x:c>
      <x:c r="AI2597" t="str">
        <x:v>2026-09-10 Active Sports trade capture</x:v>
      </x:c>
      <x:c r="AJ2597" t="str">
        <x:v>Management-only economics. Stripe stress test uses 1.5% + £0.20 standard UK online-card fee; pallet/mix-and-match pricing ignored.</x:v>
      </x:c>
    </x:row>
    <x:row r="2598">
      <x:c r="A2598" t="str">
        <x:v>Active Sports Nutrition</x:v>
      </x:c>
      <x:c r="B2598" t="str">
        <x:v>Scitec Nutrition</x:v>
      </x:c>
      <x:c r="C2598" t="str">
        <x:v>100% Whey Isolate</x:v>
      </x:c>
      <x:c r="D2598" t="str">
        <x:v>Supplements</x:v>
      </x:c>
      <x:c r="E2598" t="str">
        <x:v>Whey Isolate</x:v>
      </x:c>
      <x:c r="F2598" t="str"/>
      <x:c r="G2598" t="str">
        <x:v>1816g</x:v>
      </x:c>
      <x:c r="H2598" t="str">
        <x:v>Vanilla</x:v>
      </x:c>
      <x:c r="I2598" t="str"/>
      <x:c r="J2598" t="str">
        <x:v>Unit</x:v>
      </x:c>
      <x:c r="K2598" t="str">
        <x:v>Out of stock</x:v>
      </x:c>
      <x:c r="L2598" t="str">
        <x:v>2026-09-08</x:v>
      </x:c>
      <x:c r="M2598" t="str"/>
      <x:c r="N2598" t="str"/>
      <x:c r="O2598" t="str">
        <x:v>https://www.activesportstrade.co.uk/scitec-nutrition-trade</x:v>
      </x:c>
      <x:c r="P2598" t="str"/>
      <x:c r="Q2598" t="str"/>
      <x:c r="R2598" t="str"/>
      <x:c r="S2598" t="str">
        <x:v>Pending genuine supplier/brand image</x:v>
      </x:c>
      <x:c r="T2598" s="54" t="n">
        <x:v>51.99</x:v>
      </x:c>
      <x:c r="U2598" s="47" t="n">
        <x:v>0.2</x:v>
      </x:c>
      <x:c r="V2598" s="54" t="n">
        <x:f>IF(ISNUMBER(T2598),T2598*(1+U2598),"")</x:f>
        <x:v>62.388</x:v>
      </x:c>
      <x:c r="W2598" s="47" t="n">
        <x:v>0.3</x:v>
      </x:c>
      <x:c r="X2598" s="54" t="n">
        <x:f>IF(ISNUMBER(V2598),V2598/(1-W2598),"")</x:f>
        <x:v>89.1257142857143</x:v>
      </x:c>
      <x:c r="Y2598" s="55" t="n">
        <x:f>IF(ISNUMBER(X2598),ROUNDUP(X2598,0),"")</x:f>
        <x:v>90</x:v>
      </x:c>
      <x:c r="Z2598" t="str">
        <x:v>Source match pending</x:v>
      </x:c>
      <x:c r="AA2598" t="str">
        <x:v>screencapture-www-activesportstrade-co-uk-scitec-nutrition-trade-2026-09-10-09_07_50.pdf / page-1</x:v>
      </x:c>
      <x:c r="AB2598" s="36" t="n">
        <x:f>IF(ISNUMBER(Y2598),ROUND(Y2598*0.9,2),"")</x:f>
        <x:v>81</x:v>
      </x:c>
      <x:c r="AC2598" s="36" t="n">
        <x:f>IF(ISNUMBER(AB2598),ROUND(AB2598-(AB2598*0.015+0.2)-V2598,2),"")</x:f>
        <x:v>17.2</x:v>
      </x:c>
      <x:c r="AD2598" s="36" t="n">
        <x:f>IF(ISNUMBER(Y2598),ROUND(Y2598*0.8,2),"")</x:f>
        <x:v>72</x:v>
      </x:c>
      <x:c r="AE2598" s="36" t="n">
        <x:f>IF(ISNUMBER(AD2598),ROUND(AD2598*0.015+0.2,2),"")</x:f>
        <x:v>1.28</x:v>
      </x:c>
      <x:c r="AF2598" s="36" t="n">
        <x:f>IF(ISNUMBER(AD2598),ROUND(AD2598-AE2598-V2598,2),"")</x:f>
        <x:v>8.33</x:v>
      </x:c>
      <x:c r="AG2598" t="str">
        <x:f>IF(NOT(ISNUMBER(T2598)),"PENDING",IF(AF2598&gt;0,"PASS","FAIL"))</x:f>
        <x:v>PASS</x:v>
      </x:c>
      <x:c r="AH2598" t="str">
        <x:f>IF(NOT(ISNUMBER(T2598)),"Needs supplier cost",IF(K2598&lt;&gt;"In stock","Supplier unavailable",IF(AG2598&lt;&gt;"PASS","BLOCK - GT loss risk","Commercially protected")))</x:f>
        <x:v>Supplier unavailable</x:v>
      </x:c>
      <x:c r="AI2598" t="str">
        <x:v>2026-09-10 Active Sports trade capture</x:v>
      </x:c>
      <x:c r="AJ2598" t="str">
        <x:v>Management-only economics. Stripe stress test uses 1.5% + £0.20 standard UK online-card fee; pallet/mix-and-match pricing ignored.</x:v>
      </x:c>
    </x:row>
    <x:row r="2599">
      <x:c r="A2599" t="str">
        <x:v>Active Sports Nutrition</x:v>
      </x:c>
      <x:c r="B2599" t="str">
        <x:v>Scitec Nutrition</x:v>
      </x:c>
      <x:c r="C2599" t="str">
        <x:v>100% Whey Isolate</x:v>
      </x:c>
      <x:c r="D2599" t="str">
        <x:v>Supplements</x:v>
      </x:c>
      <x:c r="E2599" t="str">
        <x:v>Whey Isolate</x:v>
      </x:c>
      <x:c r="F2599" t="str"/>
      <x:c r="G2599" t="str">
        <x:v>1816g</x:v>
      </x:c>
      <x:c r="H2599" t="str">
        <x:v>Vanilla Very Berry</x:v>
      </x:c>
      <x:c r="I2599" t="str"/>
      <x:c r="J2599" t="str">
        <x:v>Unit</x:v>
      </x:c>
      <x:c r="K2599" t="str">
        <x:v>In stock</x:v>
      </x:c>
      <x:c r="L2599" t="str">
        <x:v>2026-09-08</x:v>
      </x:c>
      <x:c r="M2599" t="str"/>
      <x:c r="N2599" t="str"/>
      <x:c r="O2599" t="str">
        <x:v>https://www.activesportstrade.co.uk/scitec-nutrition-trade</x:v>
      </x:c>
      <x:c r="P2599" t="str"/>
      <x:c r="Q2599" t="str"/>
      <x:c r="R2599" t="str"/>
      <x:c r="S2599" t="str">
        <x:v>Pending genuine supplier/brand image</x:v>
      </x:c>
      <x:c r="T2599" s="54" t="n">
        <x:v>51.99</x:v>
      </x:c>
      <x:c r="U2599" s="47" t="n">
        <x:v>0.2</x:v>
      </x:c>
      <x:c r="V2599" s="54" t="n">
        <x:f>IF(ISNUMBER(T2599),T2599*(1+U2599),"")</x:f>
        <x:v>62.388</x:v>
      </x:c>
      <x:c r="W2599" s="47" t="n">
        <x:v>0.3</x:v>
      </x:c>
      <x:c r="X2599" s="54" t="n">
        <x:f>IF(ISNUMBER(V2599),V2599/(1-W2599),"")</x:f>
        <x:v>89.1257142857143</x:v>
      </x:c>
      <x:c r="Y2599" s="55" t="n">
        <x:f>IF(ISNUMBER(X2599),ROUNDUP(X2599,0),"")</x:f>
        <x:v>90</x:v>
      </x:c>
      <x:c r="Z2599" t="str">
        <x:v>Source match pending</x:v>
      </x:c>
      <x:c r="AA2599" t="str">
        <x:v>screencapture-www-activesportstrade-co-uk-scitec-nutrition-trade-2026-09-10-09_07_50.pdf / page-1</x:v>
      </x:c>
      <x:c r="AB2599" s="36" t="n">
        <x:f>IF(ISNUMBER(Y2599),ROUND(Y2599*0.9,2),"")</x:f>
        <x:v>81</x:v>
      </x:c>
      <x:c r="AC2599" s="36" t="n">
        <x:f>IF(ISNUMBER(AB2599),ROUND(AB2599-(AB2599*0.015+0.2)-V2599,2),"")</x:f>
        <x:v>17.2</x:v>
      </x:c>
      <x:c r="AD2599" s="36" t="n">
        <x:f>IF(ISNUMBER(Y2599),ROUND(Y2599*0.8,2),"")</x:f>
        <x:v>72</x:v>
      </x:c>
      <x:c r="AE2599" s="36" t="n">
        <x:f>IF(ISNUMBER(AD2599),ROUND(AD2599*0.015+0.2,2),"")</x:f>
        <x:v>1.28</x:v>
      </x:c>
      <x:c r="AF2599" s="36" t="n">
        <x:f>IF(ISNUMBER(AD2599),ROUND(AD2599-AE2599-V2599,2),"")</x:f>
        <x:v>8.33</x:v>
      </x:c>
      <x:c r="AG2599" t="str">
        <x:f>IF(NOT(ISNUMBER(T2599)),"PENDING",IF(AF2599&gt;0,"PASS","FAIL"))</x:f>
        <x:v>PASS</x:v>
      </x:c>
      <x:c r="AH2599" t="str">
        <x:f>IF(NOT(ISNUMBER(T2599)),"Needs supplier cost",IF(K2599&lt;&gt;"In stock","Supplier unavailable",IF(AG2599&lt;&gt;"PASS","BLOCK - GT loss risk","Commercially protected")))</x:f>
        <x:v>Commercially protected</x:v>
      </x:c>
      <x:c r="AI2599" t="str">
        <x:v>2026-09-10 Active Sports trade capture</x:v>
      </x:c>
      <x:c r="AJ2599" t="str">
        <x:v>Management-only economics. Stripe stress test uses 1.5% + £0.20 standard UK online-card fee; pallet/mix-and-match pricing ignored.</x:v>
      </x:c>
    </x:row>
    <x:row r="2600">
      <x:c r="A2600" t="str">
        <x:v>Active Sports Nutrition</x:v>
      </x:c>
      <x:c r="B2600" t="str">
        <x:v>Scitec Nutrition</x:v>
      </x:c>
      <x:c r="C2600" t="str">
        <x:v>100% Whey Isolate</x:v>
      </x:c>
      <x:c r="D2600" t="str">
        <x:v>Supplements</x:v>
      </x:c>
      <x:c r="E2600" t="str">
        <x:v>Whey Isolate</x:v>
      </x:c>
      <x:c r="F2600" t="str"/>
      <x:c r="G2600" t="str">
        <x:v>700g</x:v>
      </x:c>
      <x:c r="H2600" t="str">
        <x:v>Banana</x:v>
      </x:c>
      <x:c r="I2600" t="str"/>
      <x:c r="J2600" t="str">
        <x:v>Unit</x:v>
      </x:c>
      <x:c r="K2600" t="str">
        <x:v>Out of stock</x:v>
      </x:c>
      <x:c r="L2600" t="str">
        <x:v>2026-09-08</x:v>
      </x:c>
      <x:c r="M2600" t="str"/>
      <x:c r="N2600" t="str"/>
      <x:c r="O2600" t="str">
        <x:v>https://www.activesportstrade.co.uk/scitec-nutrition-trade</x:v>
      </x:c>
      <x:c r="P2600" t="str"/>
      <x:c r="Q2600" t="str"/>
      <x:c r="R2600" t="str"/>
      <x:c r="S2600" t="str">
        <x:v>Pending genuine supplier/brand image</x:v>
      </x:c>
      <x:c r="T2600" s="54" t="n">
        <x:v>21.99</x:v>
      </x:c>
      <x:c r="U2600" s="47" t="n">
        <x:v>0.2</x:v>
      </x:c>
      <x:c r="V2600" s="54" t="n">
        <x:f>IF(ISNUMBER(T2600),T2600*(1+U2600),"")</x:f>
        <x:v>26.387999999999998</x:v>
      </x:c>
      <x:c r="W2600" s="47" t="n">
        <x:v>0.3</x:v>
      </x:c>
      <x:c r="X2600" s="54" t="n">
        <x:f>IF(ISNUMBER(V2600),V2600/(1-W2600),"")</x:f>
        <x:v>37.69714285714286</x:v>
      </x:c>
      <x:c r="Y2600" s="55" t="n">
        <x:f>IF(ISNUMBER(X2600),ROUNDUP(X2600,0),"")</x:f>
        <x:v>38</x:v>
      </x:c>
      <x:c r="Z2600" t="str">
        <x:v>Source match pending</x:v>
      </x:c>
      <x:c r="AA2600" t="str">
        <x:v>screencapture-www-activesportstrade-co-uk-scitec-nutrition-trade-2026-09-10-09_07_50.pdf / page-1</x:v>
      </x:c>
      <x:c r="AB2600" s="36" t="n">
        <x:f>IF(ISNUMBER(Y2600),ROUND(Y2600*0.9,2),"")</x:f>
        <x:v>34.2</x:v>
      </x:c>
      <x:c r="AC2600" s="36" t="n">
        <x:f>IF(ISNUMBER(AB2600),ROUND(AB2600-(AB2600*0.015+0.2)-V2600,2),"")</x:f>
        <x:v>7.1</x:v>
      </x:c>
      <x:c r="AD2600" s="36" t="n">
        <x:f>IF(ISNUMBER(Y2600),ROUND(Y2600*0.8,2),"")</x:f>
        <x:v>30.4</x:v>
      </x:c>
      <x:c r="AE2600" s="36" t="n">
        <x:f>IF(ISNUMBER(AD2600),ROUND(AD2600*0.015+0.2,2),"")</x:f>
        <x:v>0.66</x:v>
      </x:c>
      <x:c r="AF2600" s="36" t="n">
        <x:f>IF(ISNUMBER(AD2600),ROUND(AD2600-AE2600-V2600,2),"")</x:f>
        <x:v>3.35</x:v>
      </x:c>
      <x:c r="AG2600" t="str">
        <x:f>IF(NOT(ISNUMBER(T2600)),"PENDING",IF(AF2600&gt;0,"PASS","FAIL"))</x:f>
        <x:v>PASS</x:v>
      </x:c>
      <x:c r="AH2600" t="str">
        <x:f>IF(NOT(ISNUMBER(T2600)),"Needs supplier cost",IF(K2600&lt;&gt;"In stock","Supplier unavailable",IF(AG2600&lt;&gt;"PASS","BLOCK - GT loss risk","Commercially protected")))</x:f>
        <x:v>Supplier unavailable</x:v>
      </x:c>
      <x:c r="AI2600" t="str">
        <x:v>2026-09-10 Active Sports trade capture</x:v>
      </x:c>
      <x:c r="AJ2600" t="str">
        <x:v>Management-only economics. Stripe stress test uses 1.5% + £0.20 standard UK online-card fee; pallet/mix-and-match pricing ignored.</x:v>
      </x:c>
    </x:row>
    <x:row r="2601">
      <x:c r="A2601" t="str">
        <x:v>Active Sports Nutrition</x:v>
      </x:c>
      <x:c r="B2601" t="str">
        <x:v>Scitec Nutrition</x:v>
      </x:c>
      <x:c r="C2601" t="str">
        <x:v>100% Whey Isolate</x:v>
      </x:c>
      <x:c r="D2601" t="str">
        <x:v>Supplements</x:v>
      </x:c>
      <x:c r="E2601" t="str">
        <x:v>Whey Isolate</x:v>
      </x:c>
      <x:c r="F2601" t="str"/>
      <x:c r="G2601" t="str">
        <x:v>700g</x:v>
      </x:c>
      <x:c r="H2601" t="str">
        <x:v>Chocolate</x:v>
      </x:c>
      <x:c r="I2601" t="str"/>
      <x:c r="J2601" t="str">
        <x:v>Unit</x:v>
      </x:c>
      <x:c r="K2601" t="str">
        <x:v>In stock</x:v>
      </x:c>
      <x:c r="L2601" t="str">
        <x:v>2026-09-08</x:v>
      </x:c>
      <x:c r="M2601" t="str"/>
      <x:c r="N2601" t="str"/>
      <x:c r="O2601" t="str">
        <x:v>https://www.activesportstrade.co.uk/scitec-nutrition-trade</x:v>
      </x:c>
      <x:c r="P2601" t="str"/>
      <x:c r="Q2601" t="str"/>
      <x:c r="R2601" t="str"/>
      <x:c r="S2601" t="str">
        <x:v>Pending genuine supplier/brand image</x:v>
      </x:c>
      <x:c r="T2601" s="54" t="n">
        <x:v>21.99</x:v>
      </x:c>
      <x:c r="U2601" s="47" t="n">
        <x:v>0.2</x:v>
      </x:c>
      <x:c r="V2601" s="54" t="n">
        <x:f>IF(ISNUMBER(T2601),T2601*(1+U2601),"")</x:f>
        <x:v>26.387999999999998</x:v>
      </x:c>
      <x:c r="W2601" s="47" t="n">
        <x:v>0.3</x:v>
      </x:c>
      <x:c r="X2601" s="54" t="n">
        <x:f>IF(ISNUMBER(V2601),V2601/(1-W2601),"")</x:f>
        <x:v>37.69714285714286</x:v>
      </x:c>
      <x:c r="Y2601" s="55" t="n">
        <x:f>IF(ISNUMBER(X2601),ROUNDUP(X2601,0),"")</x:f>
        <x:v>38</x:v>
      </x:c>
      <x:c r="Z2601" t="str">
        <x:v>Source match pending</x:v>
      </x:c>
      <x:c r="AA2601" t="str">
        <x:v>screencapture-www-activesportstrade-co-uk-scitec-nutrition-trade-2026-09-10-09_07_50.pdf / page-1</x:v>
      </x:c>
      <x:c r="AB2601" s="36" t="n">
        <x:f>IF(ISNUMBER(Y2601),ROUND(Y2601*0.9,2),"")</x:f>
        <x:v>34.2</x:v>
      </x:c>
      <x:c r="AC2601" s="36" t="n">
        <x:f>IF(ISNUMBER(AB2601),ROUND(AB2601-(AB2601*0.015+0.2)-V2601,2),"")</x:f>
        <x:v>7.1</x:v>
      </x:c>
      <x:c r="AD2601" s="36" t="n">
        <x:f>IF(ISNUMBER(Y2601),ROUND(Y2601*0.8,2),"")</x:f>
        <x:v>30.4</x:v>
      </x:c>
      <x:c r="AE2601" s="36" t="n">
        <x:f>IF(ISNUMBER(AD2601),ROUND(AD2601*0.015+0.2,2),"")</x:f>
        <x:v>0.66</x:v>
      </x:c>
      <x:c r="AF2601" s="36" t="n">
        <x:f>IF(ISNUMBER(AD2601),ROUND(AD2601-AE2601-V2601,2),"")</x:f>
        <x:v>3.35</x:v>
      </x:c>
      <x:c r="AG2601" t="str">
        <x:f>IF(NOT(ISNUMBER(T2601)),"PENDING",IF(AF2601&gt;0,"PASS","FAIL"))</x:f>
        <x:v>PASS</x:v>
      </x:c>
      <x:c r="AH2601" t="str">
        <x:f>IF(NOT(ISNUMBER(T2601)),"Needs supplier cost",IF(K2601&lt;&gt;"In stock","Supplier unavailable",IF(AG2601&lt;&gt;"PASS","BLOCK - GT loss risk","Commercially protected")))</x:f>
        <x:v>Commercially protected</x:v>
      </x:c>
      <x:c r="AI2601" t="str">
        <x:v>2026-09-10 Active Sports trade capture</x:v>
      </x:c>
      <x:c r="AJ2601" t="str">
        <x:v>Management-only economics. Stripe stress test uses 1.5% + £0.20 standard UK online-card fee; pallet/mix-and-match pricing ignored.</x:v>
      </x:c>
    </x:row>
    <x:row r="2602">
      <x:c r="A2602" t="str">
        <x:v>Active Sports Nutrition</x:v>
      </x:c>
      <x:c r="B2602" t="str">
        <x:v>Scitec Nutrition</x:v>
      </x:c>
      <x:c r="C2602" t="str">
        <x:v>100% Whey Isolate</x:v>
      </x:c>
      <x:c r="D2602" t="str">
        <x:v>Supplements</x:v>
      </x:c>
      <x:c r="E2602" t="str">
        <x:v>Whey Isolate</x:v>
      </x:c>
      <x:c r="F2602" t="str"/>
      <x:c r="G2602" t="str">
        <x:v>700g</x:v>
      </x:c>
      <x:c r="H2602" t="str">
        <x:v>Chocolate Hazelnut</x:v>
      </x:c>
      <x:c r="I2602" t="str"/>
      <x:c r="J2602" t="str">
        <x:v>Unit</x:v>
      </x:c>
      <x:c r="K2602" t="str">
        <x:v>Out of stock</x:v>
      </x:c>
      <x:c r="L2602" t="str">
        <x:v>2026-09-08</x:v>
      </x:c>
      <x:c r="M2602" t="str"/>
      <x:c r="N2602" t="str"/>
      <x:c r="O2602" t="str">
        <x:v>https://www.activesportstrade.co.uk/scitec-nutrition-trade</x:v>
      </x:c>
      <x:c r="P2602" t="str"/>
      <x:c r="Q2602" t="str"/>
      <x:c r="R2602" t="str"/>
      <x:c r="S2602" t="str">
        <x:v>Pending genuine supplier/brand image</x:v>
      </x:c>
      <x:c r="T2602" s="54" t="n">
        <x:v>21.99</x:v>
      </x:c>
      <x:c r="U2602" s="47" t="n">
        <x:v>0.2</x:v>
      </x:c>
      <x:c r="V2602" s="54" t="n">
        <x:f>IF(ISNUMBER(T2602),T2602*(1+U2602),"")</x:f>
        <x:v>26.387999999999998</x:v>
      </x:c>
      <x:c r="W2602" s="47" t="n">
        <x:v>0.3</x:v>
      </x:c>
      <x:c r="X2602" s="54" t="n">
        <x:f>IF(ISNUMBER(V2602),V2602/(1-W2602),"")</x:f>
        <x:v>37.69714285714286</x:v>
      </x:c>
      <x:c r="Y2602" s="55" t="n">
        <x:f>IF(ISNUMBER(X2602),ROUNDUP(X2602,0),"")</x:f>
        <x:v>38</x:v>
      </x:c>
      <x:c r="Z2602" t="str">
        <x:v>Source match pending</x:v>
      </x:c>
      <x:c r="AA2602" t="str">
        <x:v>screencapture-www-activesportstrade-co-uk-scitec-nutrition-trade-2026-09-10-09_07_50.pdf / page-1</x:v>
      </x:c>
      <x:c r="AB2602" s="36" t="n">
        <x:f>IF(ISNUMBER(Y2602),ROUND(Y2602*0.9,2),"")</x:f>
        <x:v>34.2</x:v>
      </x:c>
      <x:c r="AC2602" s="36" t="n">
        <x:f>IF(ISNUMBER(AB2602),ROUND(AB2602-(AB2602*0.015+0.2)-V2602,2),"")</x:f>
        <x:v>7.1</x:v>
      </x:c>
      <x:c r="AD2602" s="36" t="n">
        <x:f>IF(ISNUMBER(Y2602),ROUND(Y2602*0.8,2),"")</x:f>
        <x:v>30.4</x:v>
      </x:c>
      <x:c r="AE2602" s="36" t="n">
        <x:f>IF(ISNUMBER(AD2602),ROUND(AD2602*0.015+0.2,2),"")</x:f>
        <x:v>0.66</x:v>
      </x:c>
      <x:c r="AF2602" s="36" t="n">
        <x:f>IF(ISNUMBER(AD2602),ROUND(AD2602-AE2602-V2602,2),"")</x:f>
        <x:v>3.35</x:v>
      </x:c>
      <x:c r="AG2602" t="str">
        <x:f>IF(NOT(ISNUMBER(T2602)),"PENDING",IF(AF2602&gt;0,"PASS","FAIL"))</x:f>
        <x:v>PASS</x:v>
      </x:c>
      <x:c r="AH2602" t="str">
        <x:f>IF(NOT(ISNUMBER(T2602)),"Needs supplier cost",IF(K2602&lt;&gt;"In stock","Supplier unavailable",IF(AG2602&lt;&gt;"PASS","BLOCK - GT loss risk","Commercially protected")))</x:f>
        <x:v>Supplier unavailable</x:v>
      </x:c>
      <x:c r="AI2602" t="str">
        <x:v>2026-09-10 Active Sports trade capture</x:v>
      </x:c>
      <x:c r="AJ2602" t="str">
        <x:v>Management-only economics. Stripe stress test uses 1.5% + £0.20 standard UK online-card fee; pallet/mix-and-match pricing ignored.</x:v>
      </x:c>
    </x:row>
    <x:row r="2603">
      <x:c r="A2603" t="str">
        <x:v>Active Sports Nutrition</x:v>
      </x:c>
      <x:c r="B2603" t="str">
        <x:v>Scitec Nutrition</x:v>
      </x:c>
      <x:c r="C2603" t="str">
        <x:v>100% Whey Isolate</x:v>
      </x:c>
      <x:c r="D2603" t="str">
        <x:v>Supplements</x:v>
      </x:c>
      <x:c r="E2603" t="str">
        <x:v>Whey Isolate</x:v>
      </x:c>
      <x:c r="F2603" t="str"/>
      <x:c r="G2603" t="str">
        <x:v>700g</x:v>
      </x:c>
      <x:c r="H2603" t="str">
        <x:v>Cookies &amp; Cream</x:v>
      </x:c>
      <x:c r="I2603" t="str"/>
      <x:c r="J2603" t="str">
        <x:v>Unit</x:v>
      </x:c>
      <x:c r="K2603" t="str">
        <x:v>Out of stock</x:v>
      </x:c>
      <x:c r="L2603" t="str">
        <x:v>2026-09-08</x:v>
      </x:c>
      <x:c r="M2603" t="str"/>
      <x:c r="N2603" t="str"/>
      <x:c r="O2603" t="str">
        <x:v>https://www.activesportstrade.co.uk/scitec-nutrition-trade</x:v>
      </x:c>
      <x:c r="P2603" t="str"/>
      <x:c r="Q2603" t="str"/>
      <x:c r="R2603" t="str"/>
      <x:c r="S2603" t="str">
        <x:v>Pending genuine supplier/brand image</x:v>
      </x:c>
      <x:c r="T2603" s="54" t="n">
        <x:v>21.99</x:v>
      </x:c>
      <x:c r="U2603" s="47" t="n">
        <x:v>0.2</x:v>
      </x:c>
      <x:c r="V2603" s="54" t="n">
        <x:f>IF(ISNUMBER(T2603),T2603*(1+U2603),"")</x:f>
        <x:v>26.387999999999998</x:v>
      </x:c>
      <x:c r="W2603" s="47" t="n">
        <x:v>0.3</x:v>
      </x:c>
      <x:c r="X2603" s="54" t="n">
        <x:f>IF(ISNUMBER(V2603),V2603/(1-W2603),"")</x:f>
        <x:v>37.69714285714286</x:v>
      </x:c>
      <x:c r="Y2603" s="55" t="n">
        <x:f>IF(ISNUMBER(X2603),ROUNDUP(X2603,0),"")</x:f>
        <x:v>38</x:v>
      </x:c>
      <x:c r="Z2603" t="str">
        <x:v>Source match pending</x:v>
      </x:c>
      <x:c r="AA2603" t="str">
        <x:v>screencapture-www-activesportstrade-co-uk-scitec-nutrition-trade-2026-09-10-09_07_50.pdf / page-1</x:v>
      </x:c>
      <x:c r="AB2603" s="36" t="n">
        <x:f>IF(ISNUMBER(Y2603),ROUND(Y2603*0.9,2),"")</x:f>
        <x:v>34.2</x:v>
      </x:c>
      <x:c r="AC2603" s="36" t="n">
        <x:f>IF(ISNUMBER(AB2603),ROUND(AB2603-(AB2603*0.015+0.2)-V2603,2),"")</x:f>
        <x:v>7.1</x:v>
      </x:c>
      <x:c r="AD2603" s="36" t="n">
        <x:f>IF(ISNUMBER(Y2603),ROUND(Y2603*0.8,2),"")</x:f>
        <x:v>30.4</x:v>
      </x:c>
      <x:c r="AE2603" s="36" t="n">
        <x:f>IF(ISNUMBER(AD2603),ROUND(AD2603*0.015+0.2,2),"")</x:f>
        <x:v>0.66</x:v>
      </x:c>
      <x:c r="AF2603" s="36" t="n">
        <x:f>IF(ISNUMBER(AD2603),ROUND(AD2603-AE2603-V2603,2),"")</x:f>
        <x:v>3.35</x:v>
      </x:c>
      <x:c r="AG2603" t="str">
        <x:f>IF(NOT(ISNUMBER(T2603)),"PENDING",IF(AF2603&gt;0,"PASS","FAIL"))</x:f>
        <x:v>PASS</x:v>
      </x:c>
      <x:c r="AH2603" t="str">
        <x:f>IF(NOT(ISNUMBER(T2603)),"Needs supplier cost",IF(K2603&lt;&gt;"In stock","Supplier unavailable",IF(AG2603&lt;&gt;"PASS","BLOCK - GT loss risk","Commercially protected")))</x:f>
        <x:v>Supplier unavailable</x:v>
      </x:c>
      <x:c r="AI2603" t="str">
        <x:v>2026-09-10 Active Sports trade capture</x:v>
      </x:c>
      <x:c r="AJ2603" t="str">
        <x:v>Management-only economics. Stripe stress test uses 1.5% + £0.20 standard UK online-card fee; pallet/mix-and-match pricing ignored.</x:v>
      </x:c>
    </x:row>
    <x:row r="2604">
      <x:c r="A2604" t="str">
        <x:v>Active Sports Nutrition</x:v>
      </x:c>
      <x:c r="B2604" t="str">
        <x:v>Scitec Nutrition</x:v>
      </x:c>
      <x:c r="C2604" t="str">
        <x:v>100% Whey Isolate</x:v>
      </x:c>
      <x:c r="D2604" t="str">
        <x:v>Supplements</x:v>
      </x:c>
      <x:c r="E2604" t="str">
        <x:v>Whey Isolate</x:v>
      </x:c>
      <x:c r="F2604" t="str"/>
      <x:c r="G2604" t="str">
        <x:v>700g</x:v>
      </x:c>
      <x:c r="H2604" t="str">
        <x:v>Salted Caramel</x:v>
      </x:c>
      <x:c r="I2604" t="str"/>
      <x:c r="J2604" t="str">
        <x:v>Unit</x:v>
      </x:c>
      <x:c r="K2604" t="str">
        <x:v>Out of stock</x:v>
      </x:c>
      <x:c r="L2604" t="str">
        <x:v>2026-09-08</x:v>
      </x:c>
      <x:c r="M2604" t="str"/>
      <x:c r="N2604" t="str"/>
      <x:c r="O2604" t="str">
        <x:v>https://www.activesportstrade.co.uk/scitec-nutrition-trade</x:v>
      </x:c>
      <x:c r="P2604" t="str"/>
      <x:c r="Q2604" t="str"/>
      <x:c r="R2604" t="str"/>
      <x:c r="S2604" t="str">
        <x:v>Pending genuine supplier/brand image</x:v>
      </x:c>
      <x:c r="T2604" s="54" t="n">
        <x:v>21.99</x:v>
      </x:c>
      <x:c r="U2604" s="47" t="n">
        <x:v>0.2</x:v>
      </x:c>
      <x:c r="V2604" s="54" t="n">
        <x:f>IF(ISNUMBER(T2604),T2604*(1+U2604),"")</x:f>
        <x:v>26.387999999999998</x:v>
      </x:c>
      <x:c r="W2604" s="47" t="n">
        <x:v>0.3</x:v>
      </x:c>
      <x:c r="X2604" s="54" t="n">
        <x:f>IF(ISNUMBER(V2604),V2604/(1-W2604),"")</x:f>
        <x:v>37.69714285714286</x:v>
      </x:c>
      <x:c r="Y2604" s="55" t="n">
        <x:f>IF(ISNUMBER(X2604),ROUNDUP(X2604,0),"")</x:f>
        <x:v>38</x:v>
      </x:c>
      <x:c r="Z2604" t="str">
        <x:v>Source match pending</x:v>
      </x:c>
      <x:c r="AA2604" t="str">
        <x:v>screencapture-www-activesportstrade-co-uk-scitec-nutrition-trade-2026-09-10-09_07_50.pdf / page-1</x:v>
      </x:c>
      <x:c r="AB2604" s="36" t="n">
        <x:f>IF(ISNUMBER(Y2604),ROUND(Y2604*0.9,2),"")</x:f>
        <x:v>34.2</x:v>
      </x:c>
      <x:c r="AC2604" s="36" t="n">
        <x:f>IF(ISNUMBER(AB2604),ROUND(AB2604-(AB2604*0.015+0.2)-V2604,2),"")</x:f>
        <x:v>7.1</x:v>
      </x:c>
      <x:c r="AD2604" s="36" t="n">
        <x:f>IF(ISNUMBER(Y2604),ROUND(Y2604*0.8,2),"")</x:f>
        <x:v>30.4</x:v>
      </x:c>
      <x:c r="AE2604" s="36" t="n">
        <x:f>IF(ISNUMBER(AD2604),ROUND(AD2604*0.015+0.2,2),"")</x:f>
        <x:v>0.66</x:v>
      </x:c>
      <x:c r="AF2604" s="36" t="n">
        <x:f>IF(ISNUMBER(AD2604),ROUND(AD2604-AE2604-V2604,2),"")</x:f>
        <x:v>3.35</x:v>
      </x:c>
      <x:c r="AG2604" t="str">
        <x:f>IF(NOT(ISNUMBER(T2604)),"PENDING",IF(AF2604&gt;0,"PASS","FAIL"))</x:f>
        <x:v>PASS</x:v>
      </x:c>
      <x:c r="AH2604" t="str">
        <x:f>IF(NOT(ISNUMBER(T2604)),"Needs supplier cost",IF(K2604&lt;&gt;"In stock","Supplier unavailable",IF(AG2604&lt;&gt;"PASS","BLOCK - GT loss risk","Commercially protected")))</x:f>
        <x:v>Supplier unavailable</x:v>
      </x:c>
      <x:c r="AI2604" t="str">
        <x:v>2026-09-10 Active Sports trade capture</x:v>
      </x:c>
      <x:c r="AJ2604" t="str">
        <x:v>Management-only economics. Stripe stress test uses 1.5% + £0.20 standard UK online-card fee; pallet/mix-and-match pricing ignored.</x:v>
      </x:c>
    </x:row>
    <x:row r="2605">
      <x:c r="A2605" t="str">
        <x:v>Active Sports Nutrition</x:v>
      </x:c>
      <x:c r="B2605" t="str">
        <x:v>Scitec Nutrition</x:v>
      </x:c>
      <x:c r="C2605" t="str">
        <x:v>100% Whey Isolate</x:v>
      </x:c>
      <x:c r="D2605" t="str">
        <x:v>Supplements</x:v>
      </x:c>
      <x:c r="E2605" t="str">
        <x:v>Whey Isolate</x:v>
      </x:c>
      <x:c r="F2605" t="str"/>
      <x:c r="G2605" t="str">
        <x:v>700g</x:v>
      </x:c>
      <x:c r="H2605" t="str">
        <x:v>Strawberry</x:v>
      </x:c>
      <x:c r="I2605" t="str"/>
      <x:c r="J2605" t="str">
        <x:v>Unit</x:v>
      </x:c>
      <x:c r="K2605" t="str">
        <x:v>In stock</x:v>
      </x:c>
      <x:c r="L2605" t="str">
        <x:v>2026-09-08</x:v>
      </x:c>
      <x:c r="M2605" t="str"/>
      <x:c r="N2605" t="str"/>
      <x:c r="O2605" t="str">
        <x:v>https://www.activesportstrade.co.uk/scitec-nutrition-trade</x:v>
      </x:c>
      <x:c r="P2605" t="str"/>
      <x:c r="Q2605" t="str"/>
      <x:c r="R2605" t="str"/>
      <x:c r="S2605" t="str">
        <x:v>Pending genuine supplier/brand image</x:v>
      </x:c>
      <x:c r="T2605" s="54" t="n">
        <x:v>21.99</x:v>
      </x:c>
      <x:c r="U2605" s="47" t="n">
        <x:v>0.2</x:v>
      </x:c>
      <x:c r="V2605" s="54" t="n">
        <x:f>IF(ISNUMBER(T2605),T2605*(1+U2605),"")</x:f>
        <x:v>26.387999999999998</x:v>
      </x:c>
      <x:c r="W2605" s="47" t="n">
        <x:v>0.3</x:v>
      </x:c>
      <x:c r="X2605" s="54" t="n">
        <x:f>IF(ISNUMBER(V2605),V2605/(1-W2605),"")</x:f>
        <x:v>37.69714285714286</x:v>
      </x:c>
      <x:c r="Y2605" s="55" t="n">
        <x:f>IF(ISNUMBER(X2605),ROUNDUP(X2605,0),"")</x:f>
        <x:v>38</x:v>
      </x:c>
      <x:c r="Z2605" t="str">
        <x:v>Source match pending</x:v>
      </x:c>
      <x:c r="AA2605" t="str">
        <x:v>screencapture-www-activesportstrade-co-uk-scitec-nutrition-trade-2026-09-10-09_07_50.pdf / page-1</x:v>
      </x:c>
      <x:c r="AB2605" s="36" t="n">
        <x:f>IF(ISNUMBER(Y2605),ROUND(Y2605*0.9,2),"")</x:f>
        <x:v>34.2</x:v>
      </x:c>
      <x:c r="AC2605" s="36" t="n">
        <x:f>IF(ISNUMBER(AB2605),ROUND(AB2605-(AB2605*0.015+0.2)-V2605,2),"")</x:f>
        <x:v>7.1</x:v>
      </x:c>
      <x:c r="AD2605" s="36" t="n">
        <x:f>IF(ISNUMBER(Y2605),ROUND(Y2605*0.8,2),"")</x:f>
        <x:v>30.4</x:v>
      </x:c>
      <x:c r="AE2605" s="36" t="n">
        <x:f>IF(ISNUMBER(AD2605),ROUND(AD2605*0.015+0.2,2),"")</x:f>
        <x:v>0.66</x:v>
      </x:c>
      <x:c r="AF2605" s="36" t="n">
        <x:f>IF(ISNUMBER(AD2605),ROUND(AD2605-AE2605-V2605,2),"")</x:f>
        <x:v>3.35</x:v>
      </x:c>
      <x:c r="AG2605" t="str">
        <x:f>IF(NOT(ISNUMBER(T2605)),"PENDING",IF(AF2605&gt;0,"PASS","FAIL"))</x:f>
        <x:v>PASS</x:v>
      </x:c>
      <x:c r="AH2605" t="str">
        <x:f>IF(NOT(ISNUMBER(T2605)),"Needs supplier cost",IF(K2605&lt;&gt;"In stock","Supplier unavailable",IF(AG2605&lt;&gt;"PASS","BLOCK - GT loss risk","Commercially protected")))</x:f>
        <x:v>Commercially protected</x:v>
      </x:c>
      <x:c r="AI2605" t="str">
        <x:v>2026-09-10 Active Sports trade capture</x:v>
      </x:c>
      <x:c r="AJ2605" t="str">
        <x:v>Management-only economics. Stripe stress test uses 1.5% + £0.20 standard UK online-card fee; pallet/mix-and-match pricing ignored.</x:v>
      </x:c>
    </x:row>
    <x:row r="2606">
      <x:c r="A2606" t="str">
        <x:v>Active Sports Nutrition</x:v>
      </x:c>
      <x:c r="B2606" t="str">
        <x:v>Scitec Nutrition</x:v>
      </x:c>
      <x:c r="C2606" t="str">
        <x:v>100% Whey Isolate</x:v>
      </x:c>
      <x:c r="D2606" t="str">
        <x:v>Supplements</x:v>
      </x:c>
      <x:c r="E2606" t="str">
        <x:v>Whey Isolate</x:v>
      </x:c>
      <x:c r="F2606" t="str"/>
      <x:c r="G2606" t="str">
        <x:v>700g</x:v>
      </x:c>
      <x:c r="H2606" t="str">
        <x:v>Vanilla</x:v>
      </x:c>
      <x:c r="I2606" t="str"/>
      <x:c r="J2606" t="str">
        <x:v>Unit</x:v>
      </x:c>
      <x:c r="K2606" t="str">
        <x:v>In stock</x:v>
      </x:c>
      <x:c r="L2606" t="str">
        <x:v>2026-09-08</x:v>
      </x:c>
      <x:c r="M2606" t="str"/>
      <x:c r="N2606" t="str"/>
      <x:c r="O2606" t="str">
        <x:v>https://www.activesportstrade.co.uk/scitec-nutrition-trade</x:v>
      </x:c>
      <x:c r="P2606" t="str"/>
      <x:c r="Q2606" t="str"/>
      <x:c r="R2606" t="str"/>
      <x:c r="S2606" t="str">
        <x:v>Pending genuine supplier/brand image</x:v>
      </x:c>
      <x:c r="T2606" s="54" t="n">
        <x:v>21.99</x:v>
      </x:c>
      <x:c r="U2606" s="47" t="n">
        <x:v>0.2</x:v>
      </x:c>
      <x:c r="V2606" s="54" t="n">
        <x:f>IF(ISNUMBER(T2606),T2606*(1+U2606),"")</x:f>
        <x:v>26.387999999999998</x:v>
      </x:c>
      <x:c r="W2606" s="47" t="n">
        <x:v>0.3</x:v>
      </x:c>
      <x:c r="X2606" s="54" t="n">
        <x:f>IF(ISNUMBER(V2606),V2606/(1-W2606),"")</x:f>
        <x:v>37.69714285714286</x:v>
      </x:c>
      <x:c r="Y2606" s="55" t="n">
        <x:f>IF(ISNUMBER(X2606),ROUNDUP(X2606,0),"")</x:f>
        <x:v>38</x:v>
      </x:c>
      <x:c r="Z2606" t="str">
        <x:v>Source match pending</x:v>
      </x:c>
      <x:c r="AA2606" t="str">
        <x:v>screencapture-www-activesportstrade-co-uk-scitec-nutrition-trade-2026-09-10-09_07_50.pdf / page-1</x:v>
      </x:c>
      <x:c r="AB2606" s="36" t="n">
        <x:f>IF(ISNUMBER(Y2606),ROUND(Y2606*0.9,2),"")</x:f>
        <x:v>34.2</x:v>
      </x:c>
      <x:c r="AC2606" s="36" t="n">
        <x:f>IF(ISNUMBER(AB2606),ROUND(AB2606-(AB2606*0.015+0.2)-V2606,2),"")</x:f>
        <x:v>7.1</x:v>
      </x:c>
      <x:c r="AD2606" s="36" t="n">
        <x:f>IF(ISNUMBER(Y2606),ROUND(Y2606*0.8,2),"")</x:f>
        <x:v>30.4</x:v>
      </x:c>
      <x:c r="AE2606" s="36" t="n">
        <x:f>IF(ISNUMBER(AD2606),ROUND(AD2606*0.015+0.2,2),"")</x:f>
        <x:v>0.66</x:v>
      </x:c>
      <x:c r="AF2606" s="36" t="n">
        <x:f>IF(ISNUMBER(AD2606),ROUND(AD2606-AE2606-V2606,2),"")</x:f>
        <x:v>3.35</x:v>
      </x:c>
      <x:c r="AG2606" t="str">
        <x:f>IF(NOT(ISNUMBER(T2606)),"PENDING",IF(AF2606&gt;0,"PASS","FAIL"))</x:f>
        <x:v>PASS</x:v>
      </x:c>
      <x:c r="AH2606" t="str">
        <x:f>IF(NOT(ISNUMBER(T2606)),"Needs supplier cost",IF(K2606&lt;&gt;"In stock","Supplier unavailable",IF(AG2606&lt;&gt;"PASS","BLOCK - GT loss risk","Commercially protected")))</x:f>
        <x:v>Commercially protected</x:v>
      </x:c>
      <x:c r="AI2606" t="str">
        <x:v>2026-09-10 Active Sports trade capture</x:v>
      </x:c>
      <x:c r="AJ2606" t="str">
        <x:v>Management-only economics. Stripe stress test uses 1.5% + £0.20 standard UK online-card fee; pallet/mix-and-match pricing ignored.</x:v>
      </x:c>
    </x:row>
    <x:row r="2607">
      <x:c r="A2607" t="str">
        <x:v>Active Sports Nutrition</x:v>
      </x:c>
      <x:c r="B2607" t="str">
        <x:v>Scitec Nutrition</x:v>
      </x:c>
      <x:c r="C2607" t="str">
        <x:v>100% Whey Isolate</x:v>
      </x:c>
      <x:c r="D2607" t="str">
        <x:v>Supplements</x:v>
      </x:c>
      <x:c r="E2607" t="str">
        <x:v>Whey Isolate</x:v>
      </x:c>
      <x:c r="F2607" t="str"/>
      <x:c r="G2607" t="str">
        <x:v>700g</x:v>
      </x:c>
      <x:c r="H2607" t="str">
        <x:v>Vanilla Very Berry</x:v>
      </x:c>
      <x:c r="I2607" t="str"/>
      <x:c r="J2607" t="str">
        <x:v>Unit</x:v>
      </x:c>
      <x:c r="K2607" t="str">
        <x:v>In stock</x:v>
      </x:c>
      <x:c r="L2607" t="str">
        <x:v>2026-09-08</x:v>
      </x:c>
      <x:c r="M2607" t="str"/>
      <x:c r="N2607" t="str"/>
      <x:c r="O2607" t="str">
        <x:v>https://www.activesportstrade.co.uk/scitec-nutrition-trade</x:v>
      </x:c>
      <x:c r="P2607" t="str"/>
      <x:c r="Q2607" t="str"/>
      <x:c r="R2607" t="str"/>
      <x:c r="S2607" t="str">
        <x:v>Pending genuine supplier/brand image</x:v>
      </x:c>
      <x:c r="T2607" s="54" t="n">
        <x:v>21.99</x:v>
      </x:c>
      <x:c r="U2607" s="47" t="n">
        <x:v>0.2</x:v>
      </x:c>
      <x:c r="V2607" s="54" t="n">
        <x:f>IF(ISNUMBER(T2607),T2607*(1+U2607),"")</x:f>
        <x:v>26.387999999999998</x:v>
      </x:c>
      <x:c r="W2607" s="47" t="n">
        <x:v>0.3</x:v>
      </x:c>
      <x:c r="X2607" s="54" t="n">
        <x:f>IF(ISNUMBER(V2607),V2607/(1-W2607),"")</x:f>
        <x:v>37.69714285714286</x:v>
      </x:c>
      <x:c r="Y2607" s="55" t="n">
        <x:f>IF(ISNUMBER(X2607),ROUNDUP(X2607,0),"")</x:f>
        <x:v>38</x:v>
      </x:c>
      <x:c r="Z2607" t="str">
        <x:v>Source match pending</x:v>
      </x:c>
      <x:c r="AA2607" t="str">
        <x:v>screencapture-www-activesportstrade-co-uk-scitec-nutrition-trade-2026-09-10-09_07_50.pdf / page-1</x:v>
      </x:c>
      <x:c r="AB2607" s="36" t="n">
        <x:f>IF(ISNUMBER(Y2607),ROUND(Y2607*0.9,2),"")</x:f>
        <x:v>34.2</x:v>
      </x:c>
      <x:c r="AC2607" s="36" t="n">
        <x:f>IF(ISNUMBER(AB2607),ROUND(AB2607-(AB2607*0.015+0.2)-V2607,2),"")</x:f>
        <x:v>7.1</x:v>
      </x:c>
      <x:c r="AD2607" s="36" t="n">
        <x:f>IF(ISNUMBER(Y2607),ROUND(Y2607*0.8,2),"")</x:f>
        <x:v>30.4</x:v>
      </x:c>
      <x:c r="AE2607" s="36" t="n">
        <x:f>IF(ISNUMBER(AD2607),ROUND(AD2607*0.015+0.2,2),"")</x:f>
        <x:v>0.66</x:v>
      </x:c>
      <x:c r="AF2607" s="36" t="n">
        <x:f>IF(ISNUMBER(AD2607),ROUND(AD2607-AE2607-V2607,2),"")</x:f>
        <x:v>3.35</x:v>
      </x:c>
      <x:c r="AG2607" t="str">
        <x:f>IF(NOT(ISNUMBER(T2607)),"PENDING",IF(AF2607&gt;0,"PASS","FAIL"))</x:f>
        <x:v>PASS</x:v>
      </x:c>
      <x:c r="AH2607" t="str">
        <x:f>IF(NOT(ISNUMBER(T2607)),"Needs supplier cost",IF(K2607&lt;&gt;"In stock","Supplier unavailable",IF(AG2607&lt;&gt;"PASS","BLOCK - GT loss risk","Commercially protected")))</x:f>
        <x:v>Commercially protected</x:v>
      </x:c>
      <x:c r="AI2607" t="str">
        <x:v>2026-09-10 Active Sports trade capture</x:v>
      </x:c>
      <x:c r="AJ2607" t="str">
        <x:v>Management-only economics. Stripe stress test uses 1.5% + £0.20 standard UK online-card fee; pallet/mix-and-match pricing ignored.</x:v>
      </x:c>
    </x:row>
    <x:row r="2608">
      <x:c r="A2608" t="str">
        <x:v>Active Sports Nutrition</x:v>
      </x:c>
      <x:c r="B2608" t="str">
        <x:v>Scitec Nutrition</x:v>
      </x:c>
      <x:c r="C2608" t="str">
        <x:v>BCAA Xpress</x:v>
      </x:c>
      <x:c r="D2608" t="str">
        <x:v>Supplements</x:v>
      </x:c>
      <x:c r="E2608" t="str">
        <x:v>BCAAs</x:v>
      </x:c>
      <x:c r="F2608" t="str"/>
      <x:c r="G2608" t="str">
        <x:v>280g / 40 servings</x:v>
      </x:c>
      <x:c r="H2608" t="str">
        <x:v>Apple</x:v>
      </x:c>
      <x:c r="I2608" t="str"/>
      <x:c r="J2608" t="str">
        <x:v>Unit</x:v>
      </x:c>
      <x:c r="K2608" t="str">
        <x:v>In stock</x:v>
      </x:c>
      <x:c r="L2608" t="str">
        <x:v>2026-09-08</x:v>
      </x:c>
      <x:c r="M2608" t="str"/>
      <x:c r="N2608" t="str"/>
      <x:c r="O2608" t="str">
        <x:v>https://www.activesportstrade.co.uk/scitec-nutrition-trade</x:v>
      </x:c>
      <x:c r="P2608" t="str"/>
      <x:c r="Q2608" t="str"/>
      <x:c r="R2608" t="str"/>
      <x:c r="S2608" t="str">
        <x:v>Pending genuine supplier/brand image</x:v>
      </x:c>
      <x:c r="T2608" s="54" t="n">
        <x:v>9.21</x:v>
      </x:c>
      <x:c r="U2608" s="47" t="n">
        <x:v>0.2</x:v>
      </x:c>
      <x:c r="V2608" s="54" t="n">
        <x:f>IF(ISNUMBER(T2608),T2608*(1+U2608),"")</x:f>
        <x:v>11.052000000000001</x:v>
      </x:c>
      <x:c r="W2608" s="47" t="n">
        <x:v>0.3</x:v>
      </x:c>
      <x:c r="X2608" s="54" t="n">
        <x:f>IF(ISNUMBER(V2608),V2608/(1-W2608),"")</x:f>
        <x:v>15.788571428571432</x:v>
      </x:c>
      <x:c r="Y2608" s="55" t="n">
        <x:f>IF(ISNUMBER(X2608),ROUNDUP(X2608,0),"")</x:f>
        <x:v>16</x:v>
      </x:c>
      <x:c r="Z2608" t="str">
        <x:v>Source match pending</x:v>
      </x:c>
      <x:c r="AA2608" t="str">
        <x:v>screencapture-www-activesportstrade-co-uk-scitec-nutrition-trade-2026-09-10-09_07_50.pdf / page-3</x:v>
      </x:c>
      <x:c r="AB2608" s="36" t="n">
        <x:f>IF(ISNUMBER(Y2608),ROUND(Y2608*0.9,2),"")</x:f>
        <x:v>14.4</x:v>
      </x:c>
      <x:c r="AC2608" s="36" t="n">
        <x:f>IF(ISNUMBER(AB2608),ROUND(AB2608-(AB2608*0.015+0.2)-V2608,2),"")</x:f>
        <x:v>2.93</x:v>
      </x:c>
      <x:c r="AD2608" s="36" t="n">
        <x:f>IF(ISNUMBER(Y2608),ROUND(Y2608*0.8,2),"")</x:f>
        <x:v>12.8</x:v>
      </x:c>
      <x:c r="AE2608" s="36" t="n">
        <x:f>IF(ISNUMBER(AD2608),ROUND(AD2608*0.015+0.2,2),"")</x:f>
        <x:v>0.39</x:v>
      </x:c>
      <x:c r="AF2608" s="36" t="n">
        <x:f>IF(ISNUMBER(AD2608),ROUND(AD2608-AE2608-V2608,2),"")</x:f>
        <x:v>1.36</x:v>
      </x:c>
      <x:c r="AG2608" t="str">
        <x:f>IF(NOT(ISNUMBER(T2608)),"PENDING",IF(AF2608&gt;0,"PASS","FAIL"))</x:f>
        <x:v>PASS</x:v>
      </x:c>
      <x:c r="AH2608" t="str">
        <x:f>IF(NOT(ISNUMBER(T2608)),"Needs supplier cost",IF(K2608&lt;&gt;"In stock","Supplier unavailable",IF(AG2608&lt;&gt;"PASS","BLOCK - GT loss risk","Commercially protected")))</x:f>
        <x:v>Commercially protected</x:v>
      </x:c>
      <x:c r="AI2608" t="str">
        <x:v>2026-09-10 Active Sports trade capture</x:v>
      </x:c>
      <x:c r="AJ2608" t="str">
        <x:v>Management-only economics. Stripe stress test uses 1.5% + £0.20 standard UK online-card fee; pallet/mix-and-match pricing ignored.</x:v>
      </x:c>
    </x:row>
    <x:row r="2609">
      <x:c r="A2609" t="str">
        <x:v>Active Sports Nutrition</x:v>
      </x:c>
      <x:c r="B2609" t="str">
        <x:v>Scitec Nutrition</x:v>
      </x:c>
      <x:c r="C2609" t="str">
        <x:v>BCAA Xpress</x:v>
      </x:c>
      <x:c r="D2609" t="str">
        <x:v>Supplements</x:v>
      </x:c>
      <x:c r="E2609" t="str">
        <x:v>BCAAs</x:v>
      </x:c>
      <x:c r="F2609" t="str"/>
      <x:c r="G2609" t="str">
        <x:v>280g / 40 servings</x:v>
      </x:c>
      <x:c r="H2609" t="str">
        <x:v>Cola Lime</x:v>
      </x:c>
      <x:c r="I2609" t="str"/>
      <x:c r="J2609" t="str">
        <x:v>Unit</x:v>
      </x:c>
      <x:c r="K2609" t="str">
        <x:v>In stock</x:v>
      </x:c>
      <x:c r="L2609" t="str">
        <x:v>2026-09-08</x:v>
      </x:c>
      <x:c r="M2609" t="str"/>
      <x:c r="N2609" t="str"/>
      <x:c r="O2609" t="str">
        <x:v>https://www.activesportstrade.co.uk/scitec-nutrition-trade</x:v>
      </x:c>
      <x:c r="P2609" t="str"/>
      <x:c r="Q2609" t="str"/>
      <x:c r="R2609" t="str"/>
      <x:c r="S2609" t="str">
        <x:v>Pending genuine supplier/brand image</x:v>
      </x:c>
      <x:c r="T2609" s="54" t="n">
        <x:v>9.21</x:v>
      </x:c>
      <x:c r="U2609" s="47" t="n">
        <x:v>0.2</x:v>
      </x:c>
      <x:c r="V2609" s="54" t="n">
        <x:f>IF(ISNUMBER(T2609),T2609*(1+U2609),"")</x:f>
        <x:v>11.052000000000001</x:v>
      </x:c>
      <x:c r="W2609" s="47" t="n">
        <x:v>0.3</x:v>
      </x:c>
      <x:c r="X2609" s="54" t="n">
        <x:f>IF(ISNUMBER(V2609),V2609/(1-W2609),"")</x:f>
        <x:v>15.788571428571432</x:v>
      </x:c>
      <x:c r="Y2609" s="55" t="n">
        <x:f>IF(ISNUMBER(X2609),ROUNDUP(X2609,0),"")</x:f>
        <x:v>16</x:v>
      </x:c>
      <x:c r="Z2609" t="str">
        <x:v>Source match pending</x:v>
      </x:c>
      <x:c r="AA2609" t="str">
        <x:v>screencapture-www-activesportstrade-co-uk-scitec-nutrition-trade-2026-09-10-09_07_50.pdf / page-3</x:v>
      </x:c>
      <x:c r="AB2609" s="36" t="n">
        <x:f>IF(ISNUMBER(Y2609),ROUND(Y2609*0.9,2),"")</x:f>
        <x:v>14.4</x:v>
      </x:c>
      <x:c r="AC2609" s="36" t="n">
        <x:f>IF(ISNUMBER(AB2609),ROUND(AB2609-(AB2609*0.015+0.2)-V2609,2),"")</x:f>
        <x:v>2.93</x:v>
      </x:c>
      <x:c r="AD2609" s="36" t="n">
        <x:f>IF(ISNUMBER(Y2609),ROUND(Y2609*0.8,2),"")</x:f>
        <x:v>12.8</x:v>
      </x:c>
      <x:c r="AE2609" s="36" t="n">
        <x:f>IF(ISNUMBER(AD2609),ROUND(AD2609*0.015+0.2,2),"")</x:f>
        <x:v>0.39</x:v>
      </x:c>
      <x:c r="AF2609" s="36" t="n">
        <x:f>IF(ISNUMBER(AD2609),ROUND(AD2609-AE2609-V2609,2),"")</x:f>
        <x:v>1.36</x:v>
      </x:c>
      <x:c r="AG2609" t="str">
        <x:f>IF(NOT(ISNUMBER(T2609)),"PENDING",IF(AF2609&gt;0,"PASS","FAIL"))</x:f>
        <x:v>PASS</x:v>
      </x:c>
      <x:c r="AH2609" t="str">
        <x:f>IF(NOT(ISNUMBER(T2609)),"Needs supplier cost",IF(K2609&lt;&gt;"In stock","Supplier unavailable",IF(AG2609&lt;&gt;"PASS","BLOCK - GT loss risk","Commercially protected")))</x:f>
        <x:v>Commercially protected</x:v>
      </x:c>
      <x:c r="AI2609" t="str">
        <x:v>2026-09-10 Active Sports trade capture</x:v>
      </x:c>
      <x:c r="AJ2609" t="str">
        <x:v>Management-only economics. Stripe stress test uses 1.5% + £0.20 standard UK online-card fee; pallet/mix-and-match pricing ignored.</x:v>
      </x:c>
    </x:row>
    <x:row r="2610">
      <x:c r="A2610" t="str">
        <x:v>Active Sports Nutrition</x:v>
      </x:c>
      <x:c r="B2610" t="str">
        <x:v>Scitec Nutrition</x:v>
      </x:c>
      <x:c r="C2610" t="str">
        <x:v>BCAA Xpress</x:v>
      </x:c>
      <x:c r="D2610" t="str">
        <x:v>Supplements</x:v>
      </x:c>
      <x:c r="E2610" t="str">
        <x:v>BCAAs</x:v>
      </x:c>
      <x:c r="F2610" t="str"/>
      <x:c r="G2610" t="str">
        <x:v>280g / 40 servings</x:v>
      </x:c>
      <x:c r="H2610" t="str">
        <x:v>Mango</x:v>
      </x:c>
      <x:c r="I2610" t="str"/>
      <x:c r="J2610" t="str">
        <x:v>Unit</x:v>
      </x:c>
      <x:c r="K2610" t="str">
        <x:v>Out of stock</x:v>
      </x:c>
      <x:c r="L2610" t="str">
        <x:v>2026-09-08</x:v>
      </x:c>
      <x:c r="M2610" t="str"/>
      <x:c r="N2610" t="str"/>
      <x:c r="O2610" t="str">
        <x:v>https://www.activesportstrade.co.uk/scitec-nutrition-trade</x:v>
      </x:c>
      <x:c r="P2610" t="str"/>
      <x:c r="Q2610" t="str"/>
      <x:c r="R2610" t="str"/>
      <x:c r="S2610" t="str">
        <x:v>Pending genuine supplier/brand image</x:v>
      </x:c>
      <x:c r="T2610" s="54" t="n">
        <x:v>9.21</x:v>
      </x:c>
      <x:c r="U2610" s="47" t="n">
        <x:v>0.2</x:v>
      </x:c>
      <x:c r="V2610" s="54" t="n">
        <x:f>IF(ISNUMBER(T2610),T2610*(1+U2610),"")</x:f>
        <x:v>11.052000000000001</x:v>
      </x:c>
      <x:c r="W2610" s="47" t="n">
        <x:v>0.3</x:v>
      </x:c>
      <x:c r="X2610" s="54" t="n">
        <x:f>IF(ISNUMBER(V2610),V2610/(1-W2610),"")</x:f>
        <x:v>15.788571428571432</x:v>
      </x:c>
      <x:c r="Y2610" s="55" t="n">
        <x:f>IF(ISNUMBER(X2610),ROUNDUP(X2610,0),"")</x:f>
        <x:v>16</x:v>
      </x:c>
      <x:c r="Z2610" t="str">
        <x:v>Source match pending</x:v>
      </x:c>
      <x:c r="AA2610" t="str">
        <x:v>screencapture-www-activesportstrade-co-uk-scitec-nutrition-trade-2026-09-10-09_07_50.pdf / page-3</x:v>
      </x:c>
      <x:c r="AB2610" s="36" t="n">
        <x:f>IF(ISNUMBER(Y2610),ROUND(Y2610*0.9,2),"")</x:f>
        <x:v>14.4</x:v>
      </x:c>
      <x:c r="AC2610" s="36" t="n">
        <x:f>IF(ISNUMBER(AB2610),ROUND(AB2610-(AB2610*0.015+0.2)-V2610,2),"")</x:f>
        <x:v>2.93</x:v>
      </x:c>
      <x:c r="AD2610" s="36" t="n">
        <x:f>IF(ISNUMBER(Y2610),ROUND(Y2610*0.8,2),"")</x:f>
        <x:v>12.8</x:v>
      </x:c>
      <x:c r="AE2610" s="36" t="n">
        <x:f>IF(ISNUMBER(AD2610),ROUND(AD2610*0.015+0.2,2),"")</x:f>
        <x:v>0.39</x:v>
      </x:c>
      <x:c r="AF2610" s="36" t="n">
        <x:f>IF(ISNUMBER(AD2610),ROUND(AD2610-AE2610-V2610,2),"")</x:f>
        <x:v>1.36</x:v>
      </x:c>
      <x:c r="AG2610" t="str">
        <x:f>IF(NOT(ISNUMBER(T2610)),"PENDING",IF(AF2610&gt;0,"PASS","FAIL"))</x:f>
        <x:v>PASS</x:v>
      </x:c>
      <x:c r="AH2610" t="str">
        <x:f>IF(NOT(ISNUMBER(T2610)),"Needs supplier cost",IF(K2610&lt;&gt;"In stock","Supplier unavailable",IF(AG2610&lt;&gt;"PASS","BLOCK - GT loss risk","Commercially protected")))</x:f>
        <x:v>Supplier unavailable</x:v>
      </x:c>
      <x:c r="AI2610" t="str">
        <x:v>2026-09-10 Active Sports trade capture</x:v>
      </x:c>
      <x:c r="AJ2610" t="str">
        <x:v>Management-only economics. Stripe stress test uses 1.5% + £0.20 standard UK online-card fee; pallet/mix-and-match pricing ignored.</x:v>
      </x:c>
    </x:row>
    <x:row r="2611">
      <x:c r="A2611" t="str">
        <x:v>Active Sports Nutrition</x:v>
      </x:c>
      <x:c r="B2611" t="str">
        <x:v>Scitec Nutrition</x:v>
      </x:c>
      <x:c r="C2611" t="str">
        <x:v>BCAA Xpress</x:v>
      </x:c>
      <x:c r="D2611" t="str">
        <x:v>Supplements</x:v>
      </x:c>
      <x:c r="E2611" t="str">
        <x:v>BCAAs</x:v>
      </x:c>
      <x:c r="F2611" t="str"/>
      <x:c r="G2611" t="str">
        <x:v>280g / 40 servings</x:v>
      </x:c>
      <x:c r="H2611" t="str">
        <x:v>Melon</x:v>
      </x:c>
      <x:c r="I2611" t="str"/>
      <x:c r="J2611" t="str">
        <x:v>Unit</x:v>
      </x:c>
      <x:c r="K2611" t="str">
        <x:v>In stock</x:v>
      </x:c>
      <x:c r="L2611" t="str">
        <x:v>2026-09-08</x:v>
      </x:c>
      <x:c r="M2611" t="str"/>
      <x:c r="N2611" t="str"/>
      <x:c r="O2611" t="str">
        <x:v>https://www.activesportstrade.co.uk/scitec-nutrition-trade</x:v>
      </x:c>
      <x:c r="P2611" t="str"/>
      <x:c r="Q2611" t="str"/>
      <x:c r="R2611" t="str"/>
      <x:c r="S2611" t="str">
        <x:v>Pending genuine supplier/brand image</x:v>
      </x:c>
      <x:c r="T2611" s="54" t="n">
        <x:v>9.21</x:v>
      </x:c>
      <x:c r="U2611" s="47" t="n">
        <x:v>0.2</x:v>
      </x:c>
      <x:c r="V2611" s="54" t="n">
        <x:f>IF(ISNUMBER(T2611),T2611*(1+U2611),"")</x:f>
        <x:v>11.052000000000001</x:v>
      </x:c>
      <x:c r="W2611" s="47" t="n">
        <x:v>0.3</x:v>
      </x:c>
      <x:c r="X2611" s="54" t="n">
        <x:f>IF(ISNUMBER(V2611),V2611/(1-W2611),"")</x:f>
        <x:v>15.788571428571432</x:v>
      </x:c>
      <x:c r="Y2611" s="55" t="n">
        <x:f>IF(ISNUMBER(X2611),ROUNDUP(X2611,0),"")</x:f>
        <x:v>16</x:v>
      </x:c>
      <x:c r="Z2611" t="str">
        <x:v>Source match pending</x:v>
      </x:c>
      <x:c r="AA2611" t="str">
        <x:v>screencapture-www-activesportstrade-co-uk-scitec-nutrition-trade-2026-09-10-09_07_50.pdf / page-3</x:v>
      </x:c>
      <x:c r="AB2611" s="36" t="n">
        <x:f>IF(ISNUMBER(Y2611),ROUND(Y2611*0.9,2),"")</x:f>
        <x:v>14.4</x:v>
      </x:c>
      <x:c r="AC2611" s="36" t="n">
        <x:f>IF(ISNUMBER(AB2611),ROUND(AB2611-(AB2611*0.015+0.2)-V2611,2),"")</x:f>
        <x:v>2.93</x:v>
      </x:c>
      <x:c r="AD2611" s="36" t="n">
        <x:f>IF(ISNUMBER(Y2611),ROUND(Y2611*0.8,2),"")</x:f>
        <x:v>12.8</x:v>
      </x:c>
      <x:c r="AE2611" s="36" t="n">
        <x:f>IF(ISNUMBER(AD2611),ROUND(AD2611*0.015+0.2,2),"")</x:f>
        <x:v>0.39</x:v>
      </x:c>
      <x:c r="AF2611" s="36" t="n">
        <x:f>IF(ISNUMBER(AD2611),ROUND(AD2611-AE2611-V2611,2),"")</x:f>
        <x:v>1.36</x:v>
      </x:c>
      <x:c r="AG2611" t="str">
        <x:f>IF(NOT(ISNUMBER(T2611)),"PENDING",IF(AF2611&gt;0,"PASS","FAIL"))</x:f>
        <x:v>PASS</x:v>
      </x:c>
      <x:c r="AH2611" t="str">
        <x:f>IF(NOT(ISNUMBER(T2611)),"Needs supplier cost",IF(K2611&lt;&gt;"In stock","Supplier unavailable",IF(AG2611&lt;&gt;"PASS","BLOCK - GT loss risk","Commercially protected")))</x:f>
        <x:v>Commercially protected</x:v>
      </x:c>
      <x:c r="AI2611" t="str">
        <x:v>2026-09-10 Active Sports trade capture</x:v>
      </x:c>
      <x:c r="AJ2611" t="str">
        <x:v>Management-only economics. Stripe stress test uses 1.5% + £0.20 standard UK online-card fee; pallet/mix-and-match pricing ignored.</x:v>
      </x:c>
    </x:row>
    <x:row r="2612">
      <x:c r="A2612" t="str">
        <x:v>Active Sports Nutrition</x:v>
      </x:c>
      <x:c r="B2612" t="str">
        <x:v>Scitec Nutrition</x:v>
      </x:c>
      <x:c r="C2612" t="str">
        <x:v>BCAA Xpress</x:v>
      </x:c>
      <x:c r="D2612" t="str">
        <x:v>Supplements</x:v>
      </x:c>
      <x:c r="E2612" t="str">
        <x:v>BCAAs</x:v>
      </x:c>
      <x:c r="F2612" t="str"/>
      <x:c r="G2612" t="str">
        <x:v>280g / 40 servings</x:v>
      </x:c>
      <x:c r="H2612" t="str">
        <x:v>Pear</x:v>
      </x:c>
      <x:c r="I2612" t="str"/>
      <x:c r="J2612" t="str">
        <x:v>Unit</x:v>
      </x:c>
      <x:c r="K2612" t="str">
        <x:v>In stock</x:v>
      </x:c>
      <x:c r="L2612" t="str">
        <x:v>2026-09-08</x:v>
      </x:c>
      <x:c r="M2612" t="str"/>
      <x:c r="N2612" t="str"/>
      <x:c r="O2612" t="str">
        <x:v>https://www.activesportstrade.co.uk/scitec-nutrition-trade</x:v>
      </x:c>
      <x:c r="P2612" t="str"/>
      <x:c r="Q2612" t="str"/>
      <x:c r="R2612" t="str"/>
      <x:c r="S2612" t="str">
        <x:v>Pending genuine supplier/brand image</x:v>
      </x:c>
      <x:c r="T2612" s="54" t="n">
        <x:v>9.21</x:v>
      </x:c>
      <x:c r="U2612" s="47" t="n">
        <x:v>0.2</x:v>
      </x:c>
      <x:c r="V2612" s="54" t="n">
        <x:f>IF(ISNUMBER(T2612),T2612*(1+U2612),"")</x:f>
        <x:v>11.052000000000001</x:v>
      </x:c>
      <x:c r="W2612" s="47" t="n">
        <x:v>0.3</x:v>
      </x:c>
      <x:c r="X2612" s="54" t="n">
        <x:f>IF(ISNUMBER(V2612),V2612/(1-W2612),"")</x:f>
        <x:v>15.788571428571432</x:v>
      </x:c>
      <x:c r="Y2612" s="55" t="n">
        <x:f>IF(ISNUMBER(X2612),ROUNDUP(X2612,0),"")</x:f>
        <x:v>16</x:v>
      </x:c>
      <x:c r="Z2612" t="str">
        <x:v>Source match pending</x:v>
      </x:c>
      <x:c r="AA2612" t="str">
        <x:v>screencapture-www-activesportstrade-co-uk-scitec-nutrition-trade-2026-09-10-09_07_50.pdf / page-3</x:v>
      </x:c>
      <x:c r="AB2612" s="36" t="n">
        <x:f>IF(ISNUMBER(Y2612),ROUND(Y2612*0.9,2),"")</x:f>
        <x:v>14.4</x:v>
      </x:c>
      <x:c r="AC2612" s="36" t="n">
        <x:f>IF(ISNUMBER(AB2612),ROUND(AB2612-(AB2612*0.015+0.2)-V2612,2),"")</x:f>
        <x:v>2.93</x:v>
      </x:c>
      <x:c r="AD2612" s="36" t="n">
        <x:f>IF(ISNUMBER(Y2612),ROUND(Y2612*0.8,2),"")</x:f>
        <x:v>12.8</x:v>
      </x:c>
      <x:c r="AE2612" s="36" t="n">
        <x:f>IF(ISNUMBER(AD2612),ROUND(AD2612*0.015+0.2,2),"")</x:f>
        <x:v>0.39</x:v>
      </x:c>
      <x:c r="AF2612" s="36" t="n">
        <x:f>IF(ISNUMBER(AD2612),ROUND(AD2612-AE2612-V2612,2),"")</x:f>
        <x:v>1.36</x:v>
      </x:c>
      <x:c r="AG2612" t="str">
        <x:f>IF(NOT(ISNUMBER(T2612)),"PENDING",IF(AF2612&gt;0,"PASS","FAIL"))</x:f>
        <x:v>PASS</x:v>
      </x:c>
      <x:c r="AH2612" t="str">
        <x:f>IF(NOT(ISNUMBER(T2612)),"Needs supplier cost",IF(K2612&lt;&gt;"In stock","Supplier unavailable",IF(AG2612&lt;&gt;"PASS","BLOCK - GT loss risk","Commercially protected")))</x:f>
        <x:v>Commercially protected</x:v>
      </x:c>
      <x:c r="AI2612" t="str">
        <x:v>2026-09-10 Active Sports trade capture</x:v>
      </x:c>
      <x:c r="AJ2612" t="str">
        <x:v>Management-only economics. Stripe stress test uses 1.5% + £0.20 standard UK online-card fee; pallet/mix-and-match pricing ignored.</x:v>
      </x:c>
    </x:row>
    <x:row r="2613">
      <x:c r="A2613" t="str">
        <x:v>Active Sports Nutrition</x:v>
      </x:c>
      <x:c r="B2613" t="str">
        <x:v>Scitec Nutrition</x:v>
      </x:c>
      <x:c r="C2613" t="str">
        <x:v>BCAA Xpress</x:v>
      </x:c>
      <x:c r="D2613" t="str">
        <x:v>Supplements</x:v>
      </x:c>
      <x:c r="E2613" t="str">
        <x:v>BCAAs</x:v>
      </x:c>
      <x:c r="F2613" t="str"/>
      <x:c r="G2613" t="str">
        <x:v>280g / 40 servings</x:v>
      </x:c>
      <x:c r="H2613" t="str">
        <x:v>Pink Lemonade</x:v>
      </x:c>
      <x:c r="I2613" t="str"/>
      <x:c r="J2613" t="str">
        <x:v>Unit</x:v>
      </x:c>
      <x:c r="K2613" t="str">
        <x:v>In stock</x:v>
      </x:c>
      <x:c r="L2613" t="str">
        <x:v>2026-09-08</x:v>
      </x:c>
      <x:c r="M2613" t="str"/>
      <x:c r="N2613" t="str"/>
      <x:c r="O2613" t="str">
        <x:v>https://www.activesportstrade.co.uk/scitec-nutrition-trade</x:v>
      </x:c>
      <x:c r="P2613" t="str"/>
      <x:c r="Q2613" t="str"/>
      <x:c r="R2613" t="str"/>
      <x:c r="S2613" t="str">
        <x:v>Pending genuine supplier/brand image</x:v>
      </x:c>
      <x:c r="T2613" s="54" t="n">
        <x:v>9.21</x:v>
      </x:c>
      <x:c r="U2613" s="47" t="n">
        <x:v>0.2</x:v>
      </x:c>
      <x:c r="V2613" s="54" t="n">
        <x:f>IF(ISNUMBER(T2613),T2613*(1+U2613),"")</x:f>
        <x:v>11.052000000000001</x:v>
      </x:c>
      <x:c r="W2613" s="47" t="n">
        <x:v>0.3</x:v>
      </x:c>
      <x:c r="X2613" s="54" t="n">
        <x:f>IF(ISNUMBER(V2613),V2613/(1-W2613),"")</x:f>
        <x:v>15.788571428571432</x:v>
      </x:c>
      <x:c r="Y2613" s="55" t="n">
        <x:f>IF(ISNUMBER(X2613),ROUNDUP(X2613,0),"")</x:f>
        <x:v>16</x:v>
      </x:c>
      <x:c r="Z2613" t="str">
        <x:v>Source match pending</x:v>
      </x:c>
      <x:c r="AA2613" t="str">
        <x:v>screencapture-www-activesportstrade-co-uk-scitec-nutrition-trade-2026-09-10-09_07_50.pdf / page-3</x:v>
      </x:c>
      <x:c r="AB2613" s="36" t="n">
        <x:f>IF(ISNUMBER(Y2613),ROUND(Y2613*0.9,2),"")</x:f>
        <x:v>14.4</x:v>
      </x:c>
      <x:c r="AC2613" s="36" t="n">
        <x:f>IF(ISNUMBER(AB2613),ROUND(AB2613-(AB2613*0.015+0.2)-V2613,2),"")</x:f>
        <x:v>2.93</x:v>
      </x:c>
      <x:c r="AD2613" s="36" t="n">
        <x:f>IF(ISNUMBER(Y2613),ROUND(Y2613*0.8,2),"")</x:f>
        <x:v>12.8</x:v>
      </x:c>
      <x:c r="AE2613" s="36" t="n">
        <x:f>IF(ISNUMBER(AD2613),ROUND(AD2613*0.015+0.2,2),"")</x:f>
        <x:v>0.39</x:v>
      </x:c>
      <x:c r="AF2613" s="36" t="n">
        <x:f>IF(ISNUMBER(AD2613),ROUND(AD2613-AE2613-V2613,2),"")</x:f>
        <x:v>1.36</x:v>
      </x:c>
      <x:c r="AG2613" t="str">
        <x:f>IF(NOT(ISNUMBER(T2613)),"PENDING",IF(AF2613&gt;0,"PASS","FAIL"))</x:f>
        <x:v>PASS</x:v>
      </x:c>
      <x:c r="AH2613" t="str">
        <x:f>IF(NOT(ISNUMBER(T2613)),"Needs supplier cost",IF(K2613&lt;&gt;"In stock","Supplier unavailable",IF(AG2613&lt;&gt;"PASS","BLOCK - GT loss risk","Commercially protected")))</x:f>
        <x:v>Commercially protected</x:v>
      </x:c>
      <x:c r="AI2613" t="str">
        <x:v>2026-09-10 Active Sports trade capture</x:v>
      </x:c>
      <x:c r="AJ2613" t="str">
        <x:v>Management-only economics. Stripe stress test uses 1.5% + £0.20 standard UK online-card fee; pallet/mix-and-match pricing ignored.</x:v>
      </x:c>
    </x:row>
    <x:row r="2614">
      <x:c r="A2614" t="str">
        <x:v>Active Sports Nutrition</x:v>
      </x:c>
      <x:c r="B2614" t="str">
        <x:v>Scitec Nutrition</x:v>
      </x:c>
      <x:c r="C2614" t="str">
        <x:v>BCAA Xpress</x:v>
      </x:c>
      <x:c r="D2614" t="str">
        <x:v>Supplements</x:v>
      </x:c>
      <x:c r="E2614" t="str">
        <x:v>BCAAs</x:v>
      </x:c>
      <x:c r="F2614" t="str"/>
      <x:c r="G2614" t="str">
        <x:v>700g / 100 servings</x:v>
      </x:c>
      <x:c r="H2614" t="str">
        <x:v>Apple</x:v>
      </x:c>
      <x:c r="I2614" t="str"/>
      <x:c r="J2614" t="str">
        <x:v>Unit</x:v>
      </x:c>
      <x:c r="K2614" t="str">
        <x:v>In stock</x:v>
      </x:c>
      <x:c r="L2614" t="str">
        <x:v>2026-09-08</x:v>
      </x:c>
      <x:c r="M2614" t="str"/>
      <x:c r="N2614" t="str"/>
      <x:c r="O2614" t="str">
        <x:v>https://www.activesportstrade.co.uk/scitec-nutrition-trade</x:v>
      </x:c>
      <x:c r="P2614" t="str">
        <x:v>Expired dated SPECIAL OFFER rows excluded from canonical availability.</x:v>
      </x:c>
      <x:c r="Q2614" t="str"/>
      <x:c r="R2614" t="str"/>
      <x:c r="S2614" t="str">
        <x:v>Pending genuine supplier/brand image</x:v>
      </x:c>
      <x:c r="T2614" s="54" t="n">
        <x:v>9.99</x:v>
      </x:c>
      <x:c r="U2614" s="47" t="n">
        <x:v>0.2</x:v>
      </x:c>
      <x:c r="V2614" s="54" t="n">
        <x:f>IF(ISNUMBER(T2614),T2614*(1+U2614),"")</x:f>
        <x:v>11.988</x:v>
      </x:c>
      <x:c r="W2614" s="47" t="n">
        <x:v>0.3</x:v>
      </x:c>
      <x:c r="X2614" s="54" t="n">
        <x:f>IF(ISNUMBER(V2614),V2614/(1-W2614),"")</x:f>
        <x:v>17.125714285714285</x:v>
      </x:c>
      <x:c r="Y2614" s="55" t="n">
        <x:f>IF(ISNUMBER(X2614),ROUNDUP(X2614,0),"")</x:f>
        <x:v>18</x:v>
      </x:c>
      <x:c r="Z2614" t="str">
        <x:v>Source match pending</x:v>
      </x:c>
      <x:c r="AA2614" t="str">
        <x:v>screencapture-www-activesportstrade-co-uk-scitec-nutrition-trade-2026-09-10-09_07_50.pdf / page-3</x:v>
      </x:c>
      <x:c r="AB2614" s="36" t="n">
        <x:f>IF(ISNUMBER(Y2614),ROUND(Y2614*0.9,2),"")</x:f>
        <x:v>16.2</x:v>
      </x:c>
      <x:c r="AC2614" s="36" t="n">
        <x:f>IF(ISNUMBER(AB2614),ROUND(AB2614-(AB2614*0.015+0.2)-V2614,2),"")</x:f>
        <x:v>3.77</x:v>
      </x:c>
      <x:c r="AD2614" s="36" t="n">
        <x:f>IF(ISNUMBER(Y2614),ROUND(Y2614*0.8,2),"")</x:f>
        <x:v>14.4</x:v>
      </x:c>
      <x:c r="AE2614" s="36" t="n">
        <x:f>IF(ISNUMBER(AD2614),ROUND(AD2614*0.015+0.2,2),"")</x:f>
        <x:v>0.42</x:v>
      </x:c>
      <x:c r="AF2614" s="36" t="n">
        <x:f>IF(ISNUMBER(AD2614),ROUND(AD2614-AE2614-V2614,2),"")</x:f>
        <x:v>1.99</x:v>
      </x:c>
      <x:c r="AG2614" t="str">
        <x:f>IF(NOT(ISNUMBER(T2614)),"PENDING",IF(AF2614&gt;0,"PASS","FAIL"))</x:f>
        <x:v>PASS</x:v>
      </x:c>
      <x:c r="AH2614" t="str">
        <x:f>IF(NOT(ISNUMBER(T2614)),"Needs supplier cost",IF(K2614&lt;&gt;"In stock","Supplier unavailable",IF(AG2614&lt;&gt;"PASS","BLOCK - GT loss risk","Commercially protected")))</x:f>
        <x:v>Commercially protected</x:v>
      </x:c>
      <x:c r="AI2614" t="str">
        <x:v>2026-09-10 Active Sports trade capture</x:v>
      </x:c>
      <x:c r="AJ2614" t="str">
        <x:v>Management-only economics. Stripe stress test uses 1.5% + £0.20 standard UK online-card fee; pallet/mix-and-match pricing ignored.</x:v>
      </x:c>
    </x:row>
    <x:row r="2615">
      <x:c r="A2615" t="str">
        <x:v>Active Sports Nutrition</x:v>
      </x:c>
      <x:c r="B2615" t="str">
        <x:v>Scitec Nutrition</x:v>
      </x:c>
      <x:c r="C2615" t="str">
        <x:v>BCAA Xpress</x:v>
      </x:c>
      <x:c r="D2615" t="str">
        <x:v>Supplements</x:v>
      </x:c>
      <x:c r="E2615" t="str">
        <x:v>BCAAs</x:v>
      </x:c>
      <x:c r="F2615" t="str"/>
      <x:c r="G2615" t="str">
        <x:v>700g / 100 servings</x:v>
      </x:c>
      <x:c r="H2615" t="str">
        <x:v>Cola Lime</x:v>
      </x:c>
      <x:c r="I2615" t="str"/>
      <x:c r="J2615" t="str">
        <x:v>Unit</x:v>
      </x:c>
      <x:c r="K2615" t="str">
        <x:v>Out of stock</x:v>
      </x:c>
      <x:c r="L2615" t="str">
        <x:v>2026-09-08</x:v>
      </x:c>
      <x:c r="M2615" t="str"/>
      <x:c r="N2615" t="str"/>
      <x:c r="O2615" t="str">
        <x:v>https://www.activesportstrade.co.uk/scitec-nutrition-trade</x:v>
      </x:c>
      <x:c r="P2615" t="str">
        <x:v>Expired dated SPECIAL OFFER rows excluded from canonical availability.</x:v>
      </x:c>
      <x:c r="Q2615" t="str"/>
      <x:c r="R2615" t="str"/>
      <x:c r="S2615" t="str">
        <x:v>Pending genuine supplier/brand image</x:v>
      </x:c>
      <x:c r="T2615" s="54" t="n">
        <x:v>9.99</x:v>
      </x:c>
      <x:c r="U2615" s="47" t="n">
        <x:v>0.2</x:v>
      </x:c>
      <x:c r="V2615" s="54" t="n">
        <x:f>IF(ISNUMBER(T2615),T2615*(1+U2615),"")</x:f>
        <x:v>11.988</x:v>
      </x:c>
      <x:c r="W2615" s="47" t="n">
        <x:v>0.3</x:v>
      </x:c>
      <x:c r="X2615" s="54" t="n">
        <x:f>IF(ISNUMBER(V2615),V2615/(1-W2615),"")</x:f>
        <x:v>17.125714285714285</x:v>
      </x:c>
      <x:c r="Y2615" s="55" t="n">
        <x:f>IF(ISNUMBER(X2615),ROUNDUP(X2615,0),"")</x:f>
        <x:v>18</x:v>
      </x:c>
      <x:c r="Z2615" t="str">
        <x:v>Source match pending</x:v>
      </x:c>
      <x:c r="AA2615" t="str">
        <x:v>screencapture-www-activesportstrade-co-uk-scitec-nutrition-trade-2026-09-10-09_07_50.pdf / page-3</x:v>
      </x:c>
      <x:c r="AB2615" s="36" t="n">
        <x:f>IF(ISNUMBER(Y2615),ROUND(Y2615*0.9,2),"")</x:f>
        <x:v>16.2</x:v>
      </x:c>
      <x:c r="AC2615" s="36" t="n">
        <x:f>IF(ISNUMBER(AB2615),ROUND(AB2615-(AB2615*0.015+0.2)-V2615,2),"")</x:f>
        <x:v>3.77</x:v>
      </x:c>
      <x:c r="AD2615" s="36" t="n">
        <x:f>IF(ISNUMBER(Y2615),ROUND(Y2615*0.8,2),"")</x:f>
        <x:v>14.4</x:v>
      </x:c>
      <x:c r="AE2615" s="36" t="n">
        <x:f>IF(ISNUMBER(AD2615),ROUND(AD2615*0.015+0.2,2),"")</x:f>
        <x:v>0.42</x:v>
      </x:c>
      <x:c r="AF2615" s="36" t="n">
        <x:f>IF(ISNUMBER(AD2615),ROUND(AD2615-AE2615-V2615,2),"")</x:f>
        <x:v>1.99</x:v>
      </x:c>
      <x:c r="AG2615" t="str">
        <x:f>IF(NOT(ISNUMBER(T2615)),"PENDING",IF(AF2615&gt;0,"PASS","FAIL"))</x:f>
        <x:v>PASS</x:v>
      </x:c>
      <x:c r="AH2615" t="str">
        <x:f>IF(NOT(ISNUMBER(T2615)),"Needs supplier cost",IF(K2615&lt;&gt;"In stock","Supplier unavailable",IF(AG2615&lt;&gt;"PASS","BLOCK - GT loss risk","Commercially protected")))</x:f>
        <x:v>Supplier unavailable</x:v>
      </x:c>
      <x:c r="AI2615" t="str">
        <x:v>2026-09-10 Active Sports trade capture</x:v>
      </x:c>
      <x:c r="AJ2615" t="str">
        <x:v>Management-only economics. Stripe stress test uses 1.5% + £0.20 standard UK online-card fee; pallet/mix-and-match pricing ignored.</x:v>
      </x:c>
    </x:row>
    <x:row r="2616">
      <x:c r="A2616" t="str">
        <x:v>Active Sports Nutrition</x:v>
      </x:c>
      <x:c r="B2616" t="str">
        <x:v>Scitec Nutrition</x:v>
      </x:c>
      <x:c r="C2616" t="str">
        <x:v>BCAA Xpress</x:v>
      </x:c>
      <x:c r="D2616" t="str">
        <x:v>Supplements</x:v>
      </x:c>
      <x:c r="E2616" t="str">
        <x:v>BCAAs</x:v>
      </x:c>
      <x:c r="F2616" t="str"/>
      <x:c r="G2616" t="str">
        <x:v>700g / 100 servings</x:v>
      </x:c>
      <x:c r="H2616" t="str">
        <x:v>Melon</x:v>
      </x:c>
      <x:c r="I2616" t="str"/>
      <x:c r="J2616" t="str">
        <x:v>Unit</x:v>
      </x:c>
      <x:c r="K2616" t="str">
        <x:v>In stock</x:v>
      </x:c>
      <x:c r="L2616" t="str">
        <x:v>2026-09-08</x:v>
      </x:c>
      <x:c r="M2616" t="str"/>
      <x:c r="N2616" t="str"/>
      <x:c r="O2616" t="str">
        <x:v>https://www.activesportstrade.co.uk/scitec-nutrition-trade</x:v>
      </x:c>
      <x:c r="P2616" t="str">
        <x:v>Expired dated SPECIAL OFFER rows excluded from canonical availability.</x:v>
      </x:c>
      <x:c r="Q2616" t="str"/>
      <x:c r="R2616" t="str"/>
      <x:c r="S2616" t="str">
        <x:v>Pending genuine supplier/brand image</x:v>
      </x:c>
      <x:c r="T2616" s="54" t="n">
        <x:v>9.99</x:v>
      </x:c>
      <x:c r="U2616" s="47" t="n">
        <x:v>0.2</x:v>
      </x:c>
      <x:c r="V2616" s="54" t="n">
        <x:f>IF(ISNUMBER(T2616),T2616*(1+U2616),"")</x:f>
        <x:v>11.988</x:v>
      </x:c>
      <x:c r="W2616" s="47" t="n">
        <x:v>0.3</x:v>
      </x:c>
      <x:c r="X2616" s="54" t="n">
        <x:f>IF(ISNUMBER(V2616),V2616/(1-W2616),"")</x:f>
        <x:v>17.125714285714285</x:v>
      </x:c>
      <x:c r="Y2616" s="55" t="n">
        <x:f>IF(ISNUMBER(X2616),ROUNDUP(X2616,0),"")</x:f>
        <x:v>18</x:v>
      </x:c>
      <x:c r="Z2616" t="str">
        <x:v>Source match pending</x:v>
      </x:c>
      <x:c r="AA2616" t="str">
        <x:v>screencapture-www-activesportstrade-co-uk-scitec-nutrition-trade-2026-09-10-09_07_50.pdf / page-3</x:v>
      </x:c>
      <x:c r="AB2616" s="36" t="n">
        <x:f>IF(ISNUMBER(Y2616),ROUND(Y2616*0.9,2),"")</x:f>
        <x:v>16.2</x:v>
      </x:c>
      <x:c r="AC2616" s="36" t="n">
        <x:f>IF(ISNUMBER(AB2616),ROUND(AB2616-(AB2616*0.015+0.2)-V2616,2),"")</x:f>
        <x:v>3.77</x:v>
      </x:c>
      <x:c r="AD2616" s="36" t="n">
        <x:f>IF(ISNUMBER(Y2616),ROUND(Y2616*0.8,2),"")</x:f>
        <x:v>14.4</x:v>
      </x:c>
      <x:c r="AE2616" s="36" t="n">
        <x:f>IF(ISNUMBER(AD2616),ROUND(AD2616*0.015+0.2,2),"")</x:f>
        <x:v>0.42</x:v>
      </x:c>
      <x:c r="AF2616" s="36" t="n">
        <x:f>IF(ISNUMBER(AD2616),ROUND(AD2616-AE2616-V2616,2),"")</x:f>
        <x:v>1.99</x:v>
      </x:c>
      <x:c r="AG2616" t="str">
        <x:f>IF(NOT(ISNUMBER(T2616)),"PENDING",IF(AF2616&gt;0,"PASS","FAIL"))</x:f>
        <x:v>PASS</x:v>
      </x:c>
      <x:c r="AH2616" t="str">
        <x:f>IF(NOT(ISNUMBER(T2616)),"Needs supplier cost",IF(K2616&lt;&gt;"In stock","Supplier unavailable",IF(AG2616&lt;&gt;"PASS","BLOCK - GT loss risk","Commercially protected")))</x:f>
        <x:v>Commercially protected</x:v>
      </x:c>
      <x:c r="AI2616" t="str">
        <x:v>2026-09-10 Active Sports trade capture</x:v>
      </x:c>
      <x:c r="AJ2616" t="str">
        <x:v>Management-only economics. Stripe stress test uses 1.5% + £0.20 standard UK online-card fee; pallet/mix-and-match pricing ignored.</x:v>
      </x:c>
    </x:row>
    <x:row r="2617">
      <x:c r="A2617" t="str">
        <x:v>Active Sports Nutrition</x:v>
      </x:c>
      <x:c r="B2617" t="str">
        <x:v>Scitec Nutrition</x:v>
      </x:c>
      <x:c r="C2617" t="str">
        <x:v>BCAA Xpress</x:v>
      </x:c>
      <x:c r="D2617" t="str">
        <x:v>Supplements</x:v>
      </x:c>
      <x:c r="E2617" t="str">
        <x:v>BCAAs</x:v>
      </x:c>
      <x:c r="F2617" t="str"/>
      <x:c r="G2617" t="str">
        <x:v>700g / 100 servings</x:v>
      </x:c>
      <x:c r="H2617" t="str">
        <x:v>Pear</x:v>
      </x:c>
      <x:c r="I2617" t="str"/>
      <x:c r="J2617" t="str">
        <x:v>Unit</x:v>
      </x:c>
      <x:c r="K2617" t="str">
        <x:v>In stock</x:v>
      </x:c>
      <x:c r="L2617" t="str">
        <x:v>2026-09-08</x:v>
      </x:c>
      <x:c r="M2617" t="str"/>
      <x:c r="N2617" t="str"/>
      <x:c r="O2617" t="str">
        <x:v>https://www.activesportstrade.co.uk/scitec-nutrition-trade</x:v>
      </x:c>
      <x:c r="P2617" t="str">
        <x:v>Expired dated SPECIAL OFFER rows excluded from canonical availability.</x:v>
      </x:c>
      <x:c r="Q2617" t="str"/>
      <x:c r="R2617" t="str"/>
      <x:c r="S2617" t="str">
        <x:v>Pending genuine supplier/brand image</x:v>
      </x:c>
      <x:c r="T2617" s="54" t="n">
        <x:v>9.99</x:v>
      </x:c>
      <x:c r="U2617" s="47" t="n">
        <x:v>0.2</x:v>
      </x:c>
      <x:c r="V2617" s="54" t="n">
        <x:f>IF(ISNUMBER(T2617),T2617*(1+U2617),"")</x:f>
        <x:v>11.988</x:v>
      </x:c>
      <x:c r="W2617" s="47" t="n">
        <x:v>0.3</x:v>
      </x:c>
      <x:c r="X2617" s="54" t="n">
        <x:f>IF(ISNUMBER(V2617),V2617/(1-W2617),"")</x:f>
        <x:v>17.125714285714285</x:v>
      </x:c>
      <x:c r="Y2617" s="55" t="n">
        <x:f>IF(ISNUMBER(X2617),ROUNDUP(X2617,0),"")</x:f>
        <x:v>18</x:v>
      </x:c>
      <x:c r="Z2617" t="str">
        <x:v>Source match pending</x:v>
      </x:c>
      <x:c r="AA2617" t="str">
        <x:v>screencapture-www-activesportstrade-co-uk-scitec-nutrition-trade-2026-09-10-09_07_50.pdf / page-3</x:v>
      </x:c>
      <x:c r="AB2617" s="36" t="n">
        <x:f>IF(ISNUMBER(Y2617),ROUND(Y2617*0.9,2),"")</x:f>
        <x:v>16.2</x:v>
      </x:c>
      <x:c r="AC2617" s="36" t="n">
        <x:f>IF(ISNUMBER(AB2617),ROUND(AB2617-(AB2617*0.015+0.2)-V2617,2),"")</x:f>
        <x:v>3.77</x:v>
      </x:c>
      <x:c r="AD2617" s="36" t="n">
        <x:f>IF(ISNUMBER(Y2617),ROUND(Y2617*0.8,2),"")</x:f>
        <x:v>14.4</x:v>
      </x:c>
      <x:c r="AE2617" s="36" t="n">
        <x:f>IF(ISNUMBER(AD2617),ROUND(AD2617*0.015+0.2,2),"")</x:f>
        <x:v>0.42</x:v>
      </x:c>
      <x:c r="AF2617" s="36" t="n">
        <x:f>IF(ISNUMBER(AD2617),ROUND(AD2617-AE2617-V2617,2),"")</x:f>
        <x:v>1.99</x:v>
      </x:c>
      <x:c r="AG2617" t="str">
        <x:f>IF(NOT(ISNUMBER(T2617)),"PENDING",IF(AF2617&gt;0,"PASS","FAIL"))</x:f>
        <x:v>PASS</x:v>
      </x:c>
      <x:c r="AH2617" t="str">
        <x:f>IF(NOT(ISNUMBER(T2617)),"Needs supplier cost",IF(K2617&lt;&gt;"In stock","Supplier unavailable",IF(AG2617&lt;&gt;"PASS","BLOCK - GT loss risk","Commercially protected")))</x:f>
        <x:v>Commercially protected</x:v>
      </x:c>
      <x:c r="AI2617" t="str">
        <x:v>2026-09-10 Active Sports trade capture</x:v>
      </x:c>
      <x:c r="AJ2617" t="str">
        <x:v>Management-only economics. Stripe stress test uses 1.5% + £0.20 standard UK online-card fee; pallet/mix-and-match pricing ignored.</x:v>
      </x:c>
    </x:row>
    <x:row r="2618">
      <x:c r="A2618" t="str">
        <x:v>Active Sports Nutrition</x:v>
      </x:c>
      <x:c r="B2618" t="str">
        <x:v>Scitec Nutrition</x:v>
      </x:c>
      <x:c r="C2618" t="str">
        <x:v>BCAA Xpress</x:v>
      </x:c>
      <x:c r="D2618" t="str">
        <x:v>Supplements</x:v>
      </x:c>
      <x:c r="E2618" t="str">
        <x:v>BCAAs</x:v>
      </x:c>
      <x:c r="F2618" t="str"/>
      <x:c r="G2618" t="str">
        <x:v>700g / 100 servings</x:v>
      </x:c>
      <x:c r="H2618" t="str">
        <x:v>Pink Lemonade</x:v>
      </x:c>
      <x:c r="I2618" t="str"/>
      <x:c r="J2618" t="str">
        <x:v>Unit</x:v>
      </x:c>
      <x:c r="K2618" t="str">
        <x:v>In stock</x:v>
      </x:c>
      <x:c r="L2618" t="str">
        <x:v>2026-09-08</x:v>
      </x:c>
      <x:c r="M2618" t="str"/>
      <x:c r="N2618" t="str"/>
      <x:c r="O2618" t="str">
        <x:v>https://www.activesportstrade.co.uk/scitec-nutrition-trade</x:v>
      </x:c>
      <x:c r="P2618" t="str">
        <x:v>Expired dated SPECIAL OFFER rows excluded from canonical availability.</x:v>
      </x:c>
      <x:c r="Q2618" t="str"/>
      <x:c r="R2618" t="str"/>
      <x:c r="S2618" t="str">
        <x:v>Pending genuine supplier/brand image</x:v>
      </x:c>
      <x:c r="T2618" s="54" t="n">
        <x:v>9.99</x:v>
      </x:c>
      <x:c r="U2618" s="47" t="n">
        <x:v>0.2</x:v>
      </x:c>
      <x:c r="V2618" s="54" t="n">
        <x:f>IF(ISNUMBER(T2618),T2618*(1+U2618),"")</x:f>
        <x:v>11.988</x:v>
      </x:c>
      <x:c r="W2618" s="47" t="n">
        <x:v>0.3</x:v>
      </x:c>
      <x:c r="X2618" s="54" t="n">
        <x:f>IF(ISNUMBER(V2618),V2618/(1-W2618),"")</x:f>
        <x:v>17.125714285714285</x:v>
      </x:c>
      <x:c r="Y2618" s="55" t="n">
        <x:f>IF(ISNUMBER(X2618),ROUNDUP(X2618,0),"")</x:f>
        <x:v>18</x:v>
      </x:c>
      <x:c r="Z2618" t="str">
        <x:v>Source match pending</x:v>
      </x:c>
      <x:c r="AA2618" t="str">
        <x:v>screencapture-www-activesportstrade-co-uk-scitec-nutrition-trade-2026-09-10-09_07_50.pdf / page-3</x:v>
      </x:c>
      <x:c r="AB2618" s="36" t="n">
        <x:f>IF(ISNUMBER(Y2618),ROUND(Y2618*0.9,2),"")</x:f>
        <x:v>16.2</x:v>
      </x:c>
      <x:c r="AC2618" s="36" t="n">
        <x:f>IF(ISNUMBER(AB2618),ROUND(AB2618-(AB2618*0.015+0.2)-V2618,2),"")</x:f>
        <x:v>3.77</x:v>
      </x:c>
      <x:c r="AD2618" s="36" t="n">
        <x:f>IF(ISNUMBER(Y2618),ROUND(Y2618*0.8,2),"")</x:f>
        <x:v>14.4</x:v>
      </x:c>
      <x:c r="AE2618" s="36" t="n">
        <x:f>IF(ISNUMBER(AD2618),ROUND(AD2618*0.015+0.2,2),"")</x:f>
        <x:v>0.42</x:v>
      </x:c>
      <x:c r="AF2618" s="36" t="n">
        <x:f>IF(ISNUMBER(AD2618),ROUND(AD2618-AE2618-V2618,2),"")</x:f>
        <x:v>1.99</x:v>
      </x:c>
      <x:c r="AG2618" t="str">
        <x:f>IF(NOT(ISNUMBER(T2618)),"PENDING",IF(AF2618&gt;0,"PASS","FAIL"))</x:f>
        <x:v>PASS</x:v>
      </x:c>
      <x:c r="AH2618" t="str">
        <x:f>IF(NOT(ISNUMBER(T2618)),"Needs supplier cost",IF(K2618&lt;&gt;"In stock","Supplier unavailable",IF(AG2618&lt;&gt;"PASS","BLOCK - GT loss risk","Commercially protected")))</x:f>
        <x:v>Commercially protected</x:v>
      </x:c>
      <x:c r="AI2618" t="str">
        <x:v>2026-09-10 Active Sports trade capture</x:v>
      </x:c>
      <x:c r="AJ2618" t="str">
        <x:v>Management-only economics. Stripe stress test uses 1.5% + £0.20 standard UK online-card fee; pallet/mix-and-match pricing ignored.</x:v>
      </x:c>
    </x:row>
    <x:row r="2619">
      <x:c r="A2619" t="str">
        <x:v>Active Sports Nutrition</x:v>
      </x:c>
      <x:c r="B2619" t="str">
        <x:v>Scitec Nutrition</x:v>
      </x:c>
      <x:c r="C2619" t="str">
        <x:v>Beta Alanine</x:v>
      </x:c>
      <x:c r="D2619" t="str">
        <x:v>Supplements</x:v>
      </x:c>
      <x:c r="E2619" t="str">
        <x:v>Amino Acids</x:v>
      </x:c>
      <x:c r="F2619" t="str"/>
      <x:c r="G2619" t="str">
        <x:v>150 caps</x:v>
      </x:c>
      <x:c r="H2619" t="str">
        <x:v>Default</x:v>
      </x:c>
      <x:c r="I2619" t="str"/>
      <x:c r="J2619" t="str">
        <x:v>Unit</x:v>
      </x:c>
      <x:c r="K2619" t="str">
        <x:v>In stock</x:v>
      </x:c>
      <x:c r="L2619" t="str">
        <x:v>2026-09-08</x:v>
      </x:c>
      <x:c r="M2619" t="str"/>
      <x:c r="N2619" t="str"/>
      <x:c r="O2619" t="str">
        <x:v>https://www.activesportstrade.co.uk/scitec-nutrition-trade</x:v>
      </x:c>
      <x:c r="P2619" t="str"/>
      <x:c r="Q2619" t="str"/>
      <x:c r="R2619" t="str"/>
      <x:c r="S2619" t="str">
        <x:v>Pending genuine supplier/brand image</x:v>
      </x:c>
      <x:c r="T2619" s="54" t="n">
        <x:v>8.99</x:v>
      </x:c>
      <x:c r="U2619" s="47" t="n">
        <x:v>0.2</x:v>
      </x:c>
      <x:c r="V2619" s="54" t="n">
        <x:f>IF(ISNUMBER(T2619),T2619*(1+U2619),"")</x:f>
        <x:v>10.788</x:v>
      </x:c>
      <x:c r="W2619" s="47" t="n">
        <x:v>0.3</x:v>
      </x:c>
      <x:c r="X2619" s="54" t="n">
        <x:f>IF(ISNUMBER(V2619),V2619/(1-W2619),"")</x:f>
        <x:v>15.411428571428573</x:v>
      </x:c>
      <x:c r="Y2619" s="55" t="n">
        <x:f>IF(ISNUMBER(X2619),ROUNDUP(X2619,0),"")</x:f>
        <x:v>16</x:v>
      </x:c>
      <x:c r="Z2619" t="str">
        <x:v>Source match pending</x:v>
      </x:c>
      <x:c r="AA2619" t="str">
        <x:v>screencapture-www-activesportstrade-co-uk-scitec-nutrition-trade-2026-09-10-09_07_50.pdf / page-3</x:v>
      </x:c>
      <x:c r="AB2619" s="36" t="n">
        <x:f>IF(ISNUMBER(Y2619),ROUND(Y2619*0.9,2),"")</x:f>
        <x:v>14.4</x:v>
      </x:c>
      <x:c r="AC2619" s="36" t="n">
        <x:f>IF(ISNUMBER(AB2619),ROUND(AB2619-(AB2619*0.015+0.2)-V2619,2),"")</x:f>
        <x:v>3.2</x:v>
      </x:c>
      <x:c r="AD2619" s="36" t="n">
        <x:f>IF(ISNUMBER(Y2619),ROUND(Y2619*0.8,2),"")</x:f>
        <x:v>12.8</x:v>
      </x:c>
      <x:c r="AE2619" s="36" t="n">
        <x:f>IF(ISNUMBER(AD2619),ROUND(AD2619*0.015+0.2,2),"")</x:f>
        <x:v>0.39</x:v>
      </x:c>
      <x:c r="AF2619" s="36" t="n">
        <x:f>IF(ISNUMBER(AD2619),ROUND(AD2619-AE2619-V2619,2),"")</x:f>
        <x:v>1.62</x:v>
      </x:c>
      <x:c r="AG2619" t="str">
        <x:f>IF(NOT(ISNUMBER(T2619)),"PENDING",IF(AF2619&gt;0,"PASS","FAIL"))</x:f>
        <x:v>PASS</x:v>
      </x:c>
      <x:c r="AH2619" t="str">
        <x:f>IF(NOT(ISNUMBER(T2619)),"Needs supplier cost",IF(K2619&lt;&gt;"In stock","Supplier unavailable",IF(AG2619&lt;&gt;"PASS","BLOCK - GT loss risk","Commercially protected")))</x:f>
        <x:v>Commercially protected</x:v>
      </x:c>
      <x:c r="AI2619" t="str">
        <x:v>2026-09-10 Active Sports trade capture</x:v>
      </x:c>
      <x:c r="AJ2619" t="str">
        <x:v>Management-only economics. Stripe stress test uses 1.5% + £0.20 standard UK online-card fee; pallet/mix-and-match pricing ignored.</x:v>
      </x:c>
    </x:row>
    <x:row r="2620">
      <x:c r="A2620" t="str">
        <x:v>Active Sports Nutrition</x:v>
      </x:c>
      <x:c r="B2620" t="str">
        <x:v>Scitec Nutrition</x:v>
      </x:c>
      <x:c r="C2620" t="str">
        <x:v>CO-Q10</x:v>
      </x:c>
      <x:c r="D2620" t="str">
        <x:v>Supplements</x:v>
      </x:c>
      <x:c r="E2620" t="str">
        <x:v>Health Foods</x:v>
      </x:c>
      <x:c r="F2620" t="str"/>
      <x:c r="G2620" t="str">
        <x:v>100 capsules / 150mg</x:v>
      </x:c>
      <x:c r="H2620" t="str">
        <x:v>Default</x:v>
      </x:c>
      <x:c r="I2620" t="str"/>
      <x:c r="J2620" t="str">
        <x:v>Unit</x:v>
      </x:c>
      <x:c r="K2620" t="str">
        <x:v>In stock</x:v>
      </x:c>
      <x:c r="L2620" t="str">
        <x:v>2026-09-08</x:v>
      </x:c>
      <x:c r="M2620" t="str"/>
      <x:c r="N2620" t="str"/>
      <x:c r="O2620" t="str">
        <x:v>https://www.activesportstrade.co.uk/scitec-nutrition-trade</x:v>
      </x:c>
      <x:c r="P2620" t="str"/>
      <x:c r="Q2620" t="str"/>
      <x:c r="R2620" t="str"/>
      <x:c r="S2620" t="str">
        <x:v>Pending genuine supplier/brand image</x:v>
      </x:c>
      <x:c r="T2620" s="54" t="n">
        <x:v>6.89</x:v>
      </x:c>
      <x:c r="U2620" s="47" t="n">
        <x:v>0.2</x:v>
      </x:c>
      <x:c r="V2620" s="54" t="n">
        <x:f>IF(ISNUMBER(T2620),T2620*(1+U2620),"")</x:f>
        <x:v>8.267999999999999</x:v>
      </x:c>
      <x:c r="W2620" s="47" t="n">
        <x:v>0.3</x:v>
      </x:c>
      <x:c r="X2620" s="54" t="n">
        <x:f>IF(ISNUMBER(V2620),V2620/(1-W2620),"")</x:f>
        <x:v>11.811428571428571</x:v>
      </x:c>
      <x:c r="Y2620" s="55" t="n">
        <x:f>IF(ISNUMBER(X2620),ROUNDUP(X2620,0),"")</x:f>
        <x:v>12</x:v>
      </x:c>
      <x:c r="Z2620" t="str">
        <x:v>Source match pending</x:v>
      </x:c>
      <x:c r="AA2620" t="str">
        <x:v>screencapture-www-activesportstrade-co-uk-scitec-nutrition-trade-2026-09-10-09_07_50.pdf / page-4</x:v>
      </x:c>
      <x:c r="AB2620" s="36" t="n">
        <x:f>IF(ISNUMBER(Y2620),ROUND(Y2620*0.9,2),"")</x:f>
        <x:v>10.8</x:v>
      </x:c>
      <x:c r="AC2620" s="36" t="n">
        <x:f>IF(ISNUMBER(AB2620),ROUND(AB2620-(AB2620*0.015+0.2)-V2620,2),"")</x:f>
        <x:v>2.17</x:v>
      </x:c>
      <x:c r="AD2620" s="36" t="n">
        <x:f>IF(ISNUMBER(Y2620),ROUND(Y2620*0.8,2),"")</x:f>
        <x:v>9.6</x:v>
      </x:c>
      <x:c r="AE2620" s="36" t="n">
        <x:f>IF(ISNUMBER(AD2620),ROUND(AD2620*0.015+0.2,2),"")</x:f>
        <x:v>0.34</x:v>
      </x:c>
      <x:c r="AF2620" s="36" t="n">
        <x:f>IF(ISNUMBER(AD2620),ROUND(AD2620-AE2620-V2620,2),"")</x:f>
        <x:v>0.99</x:v>
      </x:c>
      <x:c r="AG2620" t="str">
        <x:f>IF(NOT(ISNUMBER(T2620)),"PENDING",IF(AF2620&gt;0,"PASS","FAIL"))</x:f>
        <x:v>PASS</x:v>
      </x:c>
      <x:c r="AH2620" t="str">
        <x:f>IF(NOT(ISNUMBER(T2620)),"Needs supplier cost",IF(K2620&lt;&gt;"In stock","Supplier unavailable",IF(AG2620&lt;&gt;"PASS","BLOCK - GT loss risk","Commercially protected")))</x:f>
        <x:v>Commercially protected</x:v>
      </x:c>
      <x:c r="AI2620" t="str">
        <x:v>2026-09-10 Active Sports trade capture</x:v>
      </x:c>
      <x:c r="AJ2620" t="str">
        <x:v>Management-only economics. Stripe stress test uses 1.5% + £0.20 standard UK online-card fee; pallet/mix-and-match pricing ignored.</x:v>
      </x:c>
    </x:row>
    <x:row r="2621">
      <x:c r="A2621" t="str">
        <x:v>Active Sports Nutrition</x:v>
      </x:c>
      <x:c r="B2621" t="str">
        <x:v>Scitec Nutrition</x:v>
      </x:c>
      <x:c r="C2621" t="str">
        <x:v>Crea Caps</x:v>
      </x:c>
      <x:c r="D2621" t="str">
        <x:v>Supplements</x:v>
      </x:c>
      <x:c r="E2621" t="str">
        <x:v>Creatine Capsules</x:v>
      </x:c>
      <x:c r="F2621" t="str"/>
      <x:c r="G2621" t="str">
        <x:v>250 caps</x:v>
      </x:c>
      <x:c r="H2621" t="str">
        <x:v>Default</x:v>
      </x:c>
      <x:c r="I2621" t="str"/>
      <x:c r="J2621" t="str">
        <x:v>Unit</x:v>
      </x:c>
      <x:c r="K2621" t="str">
        <x:v>In stock</x:v>
      </x:c>
      <x:c r="L2621" t="str">
        <x:v>2026-09-08</x:v>
      </x:c>
      <x:c r="M2621" t="str"/>
      <x:c r="N2621" t="str"/>
      <x:c r="O2621" t="str">
        <x:v>https://www.activesportstrade.co.uk/scitec-nutrition-trade</x:v>
      </x:c>
      <x:c r="P2621" t="str"/>
      <x:c r="Q2621" t="str"/>
      <x:c r="R2621" t="str"/>
      <x:c r="S2621" t="str">
        <x:v>Pending genuine supplier/brand image</x:v>
      </x:c>
      <x:c r="T2621" s="54" t="n">
        <x:v>11.67</x:v>
      </x:c>
      <x:c r="U2621" s="47" t="n">
        <x:v>0.2</x:v>
      </x:c>
      <x:c r="V2621" s="54" t="n">
        <x:f>IF(ISNUMBER(T2621),T2621*(1+U2621),"")</x:f>
        <x:v>14.004</x:v>
      </x:c>
      <x:c r="W2621" s="47" t="n">
        <x:v>0.3</x:v>
      </x:c>
      <x:c r="X2621" s="54" t="n">
        <x:f>IF(ISNUMBER(V2621),V2621/(1-W2621),"")</x:f>
        <x:v>20.005714285714287</x:v>
      </x:c>
      <x:c r="Y2621" s="55" t="n">
        <x:f>IF(ISNUMBER(X2621),ROUNDUP(X2621,0),"")</x:f>
        <x:v>21</x:v>
      </x:c>
      <x:c r="Z2621" t="str">
        <x:v>Source match pending</x:v>
      </x:c>
      <x:c r="AA2621" t="str">
        <x:v>screencapture-www-activesportstrade-co-uk-scitec-nutrition-trade-2026-09-10-09_07_50.pdf / page-4</x:v>
      </x:c>
      <x:c r="AB2621" s="36" t="n">
        <x:f>IF(ISNUMBER(Y2621),ROUND(Y2621*0.9,2),"")</x:f>
        <x:v>18.9</x:v>
      </x:c>
      <x:c r="AC2621" s="36" t="n">
        <x:f>IF(ISNUMBER(AB2621),ROUND(AB2621-(AB2621*0.015+0.2)-V2621,2),"")</x:f>
        <x:v>4.41</x:v>
      </x:c>
      <x:c r="AD2621" s="36" t="n">
        <x:f>IF(ISNUMBER(Y2621),ROUND(Y2621*0.8,2),"")</x:f>
        <x:v>16.8</x:v>
      </x:c>
      <x:c r="AE2621" s="36" t="n">
        <x:f>IF(ISNUMBER(AD2621),ROUND(AD2621*0.015+0.2,2),"")</x:f>
        <x:v>0.45</x:v>
      </x:c>
      <x:c r="AF2621" s="36" t="n">
        <x:f>IF(ISNUMBER(AD2621),ROUND(AD2621-AE2621-V2621,2),"")</x:f>
        <x:v>2.35</x:v>
      </x:c>
      <x:c r="AG2621" t="str">
        <x:f>IF(NOT(ISNUMBER(T2621)),"PENDING",IF(AF2621&gt;0,"PASS","FAIL"))</x:f>
        <x:v>PASS</x:v>
      </x:c>
      <x:c r="AH2621" t="str">
        <x:f>IF(NOT(ISNUMBER(T2621)),"Needs supplier cost",IF(K2621&lt;&gt;"In stock","Supplier unavailable",IF(AG2621&lt;&gt;"PASS","BLOCK - GT loss risk","Commercially protected")))</x:f>
        <x:v>Commercially protected</x:v>
      </x:c>
      <x:c r="AI2621" t="str">
        <x:v>2026-09-10 Active Sports trade capture</x:v>
      </x:c>
      <x:c r="AJ2621" t="str">
        <x:v>Management-only economics. Stripe stress test uses 1.5% + £0.20 standard UK online-card fee; pallet/mix-and-match pricing ignored.</x:v>
      </x:c>
    </x:row>
    <x:row r="2622">
      <x:c r="A2622" t="str">
        <x:v>Active Sports Nutrition</x:v>
      </x:c>
      <x:c r="B2622" t="str">
        <x:v>Scitec Nutrition</x:v>
      </x:c>
      <x:c r="C2622" t="str">
        <x:v>Magnesium Bisglycinate</x:v>
      </x:c>
      <x:c r="D2622" t="str">
        <x:v>Supplements</x:v>
      </x:c>
      <x:c r="E2622" t="str">
        <x:v>Vitamins and Minerals</x:v>
      </x:c>
      <x:c r="F2622" t="str"/>
      <x:c r="G2622" t="str">
        <x:v>90 caps</x:v>
      </x:c>
      <x:c r="H2622" t="str">
        <x:v>Default</x:v>
      </x:c>
      <x:c r="I2622" t="str"/>
      <x:c r="J2622" t="str">
        <x:v>Unit</x:v>
      </x:c>
      <x:c r="K2622" t="str">
        <x:v>In stock</x:v>
      </x:c>
      <x:c r="L2622" t="str">
        <x:v>2026-09-08</x:v>
      </x:c>
      <x:c r="M2622" t="str"/>
      <x:c r="N2622" t="str"/>
      <x:c r="O2622" t="str">
        <x:v>https://www.activesportstrade.co.uk/scitec-nutrition-trade</x:v>
      </x:c>
      <x:c r="P2622" t="str"/>
      <x:c r="Q2622" t="str"/>
      <x:c r="R2622" t="str"/>
      <x:c r="S2622" t="str">
        <x:v>Pending genuine supplier/brand image</x:v>
      </x:c>
      <x:c r="T2622" s="54" t="n">
        <x:v>6.36</x:v>
      </x:c>
      <x:c r="U2622" s="47" t="n">
        <x:v>0.2</x:v>
      </x:c>
      <x:c r="V2622" s="54" t="n">
        <x:f>IF(ISNUMBER(T2622),T2622*(1+U2622),"")</x:f>
        <x:v>7.632</x:v>
      </x:c>
      <x:c r="W2622" s="47" t="n">
        <x:v>0.3</x:v>
      </x:c>
      <x:c r="X2622" s="54" t="n">
        <x:f>IF(ISNUMBER(V2622),V2622/(1-W2622),"")</x:f>
        <x:v>10.902857142857144</x:v>
      </x:c>
      <x:c r="Y2622" s="55" t="n">
        <x:f>IF(ISNUMBER(X2622),ROUNDUP(X2622,0),"")</x:f>
        <x:v>11</x:v>
      </x:c>
      <x:c r="Z2622" t="str">
        <x:v>Source match pending</x:v>
      </x:c>
      <x:c r="AA2622" t="str">
        <x:v>screencapture-www-activesportstrade-co-uk-scitec-nutrition-trade-2026-09-10-09_07_50.pdf / page-6</x:v>
      </x:c>
      <x:c r="AB2622" s="36" t="n">
        <x:f>IF(ISNUMBER(Y2622),ROUND(Y2622*0.9,2),"")</x:f>
        <x:v>9.9</x:v>
      </x:c>
      <x:c r="AC2622" s="36" t="n">
        <x:f>IF(ISNUMBER(AB2622),ROUND(AB2622-(AB2622*0.015+0.2)-V2622,2),"")</x:f>
        <x:v>1.92</x:v>
      </x:c>
      <x:c r="AD2622" s="36" t="n">
        <x:f>IF(ISNUMBER(Y2622),ROUND(Y2622*0.8,2),"")</x:f>
        <x:v>8.8</x:v>
      </x:c>
      <x:c r="AE2622" s="36" t="n">
        <x:f>IF(ISNUMBER(AD2622),ROUND(AD2622*0.015+0.2,2),"")</x:f>
        <x:v>0.33</x:v>
      </x:c>
      <x:c r="AF2622" s="36" t="n">
        <x:f>IF(ISNUMBER(AD2622),ROUND(AD2622-AE2622-V2622,2),"")</x:f>
        <x:v>0.84</x:v>
      </x:c>
      <x:c r="AG2622" t="str">
        <x:f>IF(NOT(ISNUMBER(T2622)),"PENDING",IF(AF2622&gt;0,"PASS","FAIL"))</x:f>
        <x:v>PASS</x:v>
      </x:c>
      <x:c r="AH2622" t="str">
        <x:f>IF(NOT(ISNUMBER(T2622)),"Needs supplier cost",IF(K2622&lt;&gt;"In stock","Supplier unavailable",IF(AG2622&lt;&gt;"PASS","BLOCK - GT loss risk","Commercially protected")))</x:f>
        <x:v>Commercially protected</x:v>
      </x:c>
      <x:c r="AI2622" t="str">
        <x:v>2026-09-10 Active Sports trade capture</x:v>
      </x:c>
      <x:c r="AJ2622" t="str">
        <x:v>Management-only economics. Stripe stress test uses 1.5% + £0.20 standard UK online-card fee; pallet/mix-and-match pricing ignored.</x:v>
      </x:c>
    </x:row>
    <x:row r="2623">
      <x:c r="A2623" t="str">
        <x:v>Active Sports Nutrition</x:v>
      </x:c>
      <x:c r="B2623" t="str">
        <x:v>Scitec Nutrition</x:v>
      </x:c>
      <x:c r="C2623" t="str">
        <x:v>Mega Arginine</x:v>
      </x:c>
      <x:c r="D2623" t="str">
        <x:v>Supplements</x:v>
      </x:c>
      <x:c r="E2623" t="str">
        <x:v>Amino Acids</x:v>
      </x:c>
      <x:c r="F2623" t="str"/>
      <x:c r="G2623" t="str">
        <x:v>120 caps</x:v>
      </x:c>
      <x:c r="H2623" t="str">
        <x:v>Default</x:v>
      </x:c>
      <x:c r="I2623" t="str"/>
      <x:c r="J2623" t="str">
        <x:v>Unit</x:v>
      </x:c>
      <x:c r="K2623" t="str">
        <x:v>In stock</x:v>
      </x:c>
      <x:c r="L2623" t="str">
        <x:v>2026-09-08</x:v>
      </x:c>
      <x:c r="M2623" t="str"/>
      <x:c r="N2623" t="str"/>
      <x:c r="O2623" t="str">
        <x:v>https://www.activesportstrade.co.uk/scitec-nutrition-trade</x:v>
      </x:c>
      <x:c r="P2623" t="str"/>
      <x:c r="Q2623" t="str"/>
      <x:c r="R2623" t="str"/>
      <x:c r="S2623" t="str">
        <x:v>Pending genuine supplier/brand image</x:v>
      </x:c>
      <x:c r="T2623" s="54" t="n">
        <x:v>11.19</x:v>
      </x:c>
      <x:c r="U2623" s="47" t="n">
        <x:v>0.2</x:v>
      </x:c>
      <x:c r="V2623" s="54" t="n">
        <x:f>IF(ISNUMBER(T2623),T2623*(1+U2623),"")</x:f>
        <x:v>13.427999999999999</x:v>
      </x:c>
      <x:c r="W2623" s="47" t="n">
        <x:v>0.3</x:v>
      </x:c>
      <x:c r="X2623" s="54" t="n">
        <x:f>IF(ISNUMBER(V2623),V2623/(1-W2623),"")</x:f>
        <x:v>19.18285714285714</x:v>
      </x:c>
      <x:c r="Y2623" s="55" t="n">
        <x:f>IF(ISNUMBER(X2623),ROUNDUP(X2623,0),"")</x:f>
        <x:v>20</x:v>
      </x:c>
      <x:c r="Z2623" t="str">
        <x:v>Source match pending</x:v>
      </x:c>
      <x:c r="AA2623" t="str">
        <x:v>screencapture-www-activesportstrade-co-uk-scitec-nutrition-trade-2026-09-10-09_07_50.pdf / page-6</x:v>
      </x:c>
      <x:c r="AB2623" s="36" t="n">
        <x:f>IF(ISNUMBER(Y2623),ROUND(Y2623*0.9,2),"")</x:f>
        <x:v>18</x:v>
      </x:c>
      <x:c r="AC2623" s="36" t="n">
        <x:f>IF(ISNUMBER(AB2623),ROUND(AB2623-(AB2623*0.015+0.2)-V2623,2),"")</x:f>
        <x:v>4.1</x:v>
      </x:c>
      <x:c r="AD2623" s="36" t="n">
        <x:f>IF(ISNUMBER(Y2623),ROUND(Y2623*0.8,2),"")</x:f>
        <x:v>16</x:v>
      </x:c>
      <x:c r="AE2623" s="36" t="n">
        <x:f>IF(ISNUMBER(AD2623),ROUND(AD2623*0.015+0.2,2),"")</x:f>
        <x:v>0.44</x:v>
      </x:c>
      <x:c r="AF2623" s="36" t="n">
        <x:f>IF(ISNUMBER(AD2623),ROUND(AD2623-AE2623-V2623,2),"")</x:f>
        <x:v>2.13</x:v>
      </x:c>
      <x:c r="AG2623" t="str">
        <x:f>IF(NOT(ISNUMBER(T2623)),"PENDING",IF(AF2623&gt;0,"PASS","FAIL"))</x:f>
        <x:v>PASS</x:v>
      </x:c>
      <x:c r="AH2623" t="str">
        <x:f>IF(NOT(ISNUMBER(T2623)),"Needs supplier cost",IF(K2623&lt;&gt;"In stock","Supplier unavailable",IF(AG2623&lt;&gt;"PASS","BLOCK - GT loss risk","Commercially protected")))</x:f>
        <x:v>Commercially protected</x:v>
      </x:c>
      <x:c r="AI2623" t="str">
        <x:v>2026-09-10 Active Sports trade capture</x:v>
      </x:c>
      <x:c r="AJ2623" t="str">
        <x:v>Management-only economics. Stripe stress test uses 1.5% + £0.20 standard UK online-card fee; pallet/mix-and-match pricing ignored.</x:v>
      </x:c>
    </x:row>
    <x:row r="2624">
      <x:c r="A2624" t="str">
        <x:v>Active Sports Nutrition</x:v>
      </x:c>
      <x:c r="B2624" t="str">
        <x:v>Scitec Nutrition</x:v>
      </x:c>
      <x:c r="C2624" t="str">
        <x:v>Mega Creatine Monohydrate 1320 Creapure</x:v>
      </x:c>
      <x:c r="D2624" t="str">
        <x:v>Supplements</x:v>
      </x:c>
      <x:c r="E2624" t="str">
        <x:v>Creatine Capsules</x:v>
      </x:c>
      <x:c r="F2624" t="str"/>
      <x:c r="G2624" t="str">
        <x:v>120 caps</x:v>
      </x:c>
      <x:c r="H2624" t="str">
        <x:v>Default</x:v>
      </x:c>
      <x:c r="I2624" t="str"/>
      <x:c r="J2624" t="str">
        <x:v>Unit</x:v>
      </x:c>
      <x:c r="K2624" t="str">
        <x:v>In stock</x:v>
      </x:c>
      <x:c r="L2624" t="str">
        <x:v>2026-09-08</x:v>
      </x:c>
      <x:c r="M2624" t="str"/>
      <x:c r="N2624" t="str"/>
      <x:c r="O2624" t="str">
        <x:v>https://www.activesportstrade.co.uk/scitec-nutrition-trade</x:v>
      </x:c>
      <x:c r="P2624" t="str"/>
      <x:c r="Q2624" t="str"/>
      <x:c r="R2624" t="str"/>
      <x:c r="S2624" t="str">
        <x:v>Pending genuine supplier/brand image</x:v>
      </x:c>
      <x:c r="T2624" s="54" t="n">
        <x:v>15.99</x:v>
      </x:c>
      <x:c r="U2624" s="47" t="n">
        <x:v>0.2</x:v>
      </x:c>
      <x:c r="V2624" s="54" t="n">
        <x:f>IF(ISNUMBER(T2624),T2624*(1+U2624),"")</x:f>
        <x:v>19.188</x:v>
      </x:c>
      <x:c r="W2624" s="47" t="n">
        <x:v>0.3</x:v>
      </x:c>
      <x:c r="X2624" s="54" t="n">
        <x:f>IF(ISNUMBER(V2624),V2624/(1-W2624),"")</x:f>
        <x:v>27.411428571428573</x:v>
      </x:c>
      <x:c r="Y2624" s="55" t="n">
        <x:f>IF(ISNUMBER(X2624),ROUNDUP(X2624,0),"")</x:f>
        <x:v>28</x:v>
      </x:c>
      <x:c r="Z2624" t="str">
        <x:v>Source match pending</x:v>
      </x:c>
      <x:c r="AA2624" t="str">
        <x:v>screencapture-www-activesportstrade-co-uk-scitec-nutrition-trade-2026-09-10-09_07_50.pdf / page-6</x:v>
      </x:c>
      <x:c r="AB2624" s="36" t="n">
        <x:f>IF(ISNUMBER(Y2624),ROUND(Y2624*0.9,2),"")</x:f>
        <x:v>25.2</x:v>
      </x:c>
      <x:c r="AC2624" s="36" t="n">
        <x:f>IF(ISNUMBER(AB2624),ROUND(AB2624-(AB2624*0.015+0.2)-V2624,2),"")</x:f>
        <x:v>5.43</x:v>
      </x:c>
      <x:c r="AD2624" s="36" t="n">
        <x:f>IF(ISNUMBER(Y2624),ROUND(Y2624*0.8,2),"")</x:f>
        <x:v>22.4</x:v>
      </x:c>
      <x:c r="AE2624" s="36" t="n">
        <x:f>IF(ISNUMBER(AD2624),ROUND(AD2624*0.015+0.2,2),"")</x:f>
        <x:v>0.54</x:v>
      </x:c>
      <x:c r="AF2624" s="36" t="n">
        <x:f>IF(ISNUMBER(AD2624),ROUND(AD2624-AE2624-V2624,2),"")</x:f>
        <x:v>2.67</x:v>
      </x:c>
      <x:c r="AG2624" t="str">
        <x:f>IF(NOT(ISNUMBER(T2624)),"PENDING",IF(AF2624&gt;0,"PASS","FAIL"))</x:f>
        <x:v>PASS</x:v>
      </x:c>
      <x:c r="AH2624" t="str">
        <x:f>IF(NOT(ISNUMBER(T2624)),"Needs supplier cost",IF(K2624&lt;&gt;"In stock","Supplier unavailable",IF(AG2624&lt;&gt;"PASS","BLOCK - GT loss risk","Commercially protected")))</x:f>
        <x:v>Commercially protected</x:v>
      </x:c>
      <x:c r="AI2624" t="str">
        <x:v>2026-09-10 Active Sports trade capture</x:v>
      </x:c>
      <x:c r="AJ2624" t="str">
        <x:v>Management-only economics. Stripe stress test uses 1.5% + £0.20 standard UK online-card fee; pallet/mix-and-match pricing ignored.</x:v>
      </x:c>
    </x:row>
    <x:row r="2625">
      <x:c r="A2625" t="str">
        <x:v>Active Sports Nutrition</x:v>
      </x:c>
      <x:c r="B2625" t="str">
        <x:v>Scitec Nutrition</x:v>
      </x:c>
      <x:c r="C2625" t="str">
        <x:v>Monster Pak</x:v>
      </x:c>
      <x:c r="D2625" t="str">
        <x:v>Supplements</x:v>
      </x:c>
      <x:c r="E2625" t="str">
        <x:v>Vitamins and Minerals</x:v>
      </x:c>
      <x:c r="F2625" t="str"/>
      <x:c r="G2625" t="str">
        <x:v>40 packs</x:v>
      </x:c>
      <x:c r="H2625" t="str">
        <x:v>Default</x:v>
      </x:c>
      <x:c r="I2625" t="str"/>
      <x:c r="J2625" t="str">
        <x:v>Unit</x:v>
      </x:c>
      <x:c r="K2625" t="str">
        <x:v>In stock</x:v>
      </x:c>
      <x:c r="L2625" t="str">
        <x:v>2026-09-08</x:v>
      </x:c>
      <x:c r="M2625" t="str"/>
      <x:c r="N2625" t="str"/>
      <x:c r="O2625" t="str">
        <x:v>https://www.activesportstrade.co.uk/scitec-nutrition-trade</x:v>
      </x:c>
      <x:c r="P2625" t="str"/>
      <x:c r="Q2625" t="str"/>
      <x:c r="R2625" t="str"/>
      <x:c r="S2625" t="str">
        <x:v>Pending genuine supplier/brand image</x:v>
      </x:c>
      <x:c r="T2625" s="54" t="n">
        <x:v>17.72</x:v>
      </x:c>
      <x:c r="U2625" s="47" t="n">
        <x:v>0.2</x:v>
      </x:c>
      <x:c r="V2625" s="54" t="n">
        <x:f>IF(ISNUMBER(T2625),T2625*(1+U2625),"")</x:f>
        <x:v>21.264</x:v>
      </x:c>
      <x:c r="W2625" s="47" t="n">
        <x:v>0.3</x:v>
      </x:c>
      <x:c r="X2625" s="54" t="n">
        <x:f>IF(ISNUMBER(V2625),V2625/(1-W2625),"")</x:f>
        <x:v>30.377142857142857</x:v>
      </x:c>
      <x:c r="Y2625" s="55" t="n">
        <x:f>IF(ISNUMBER(X2625),ROUNDUP(X2625,0),"")</x:f>
        <x:v>31</x:v>
      </x:c>
      <x:c r="Z2625" t="str">
        <x:v>Source match pending</x:v>
      </x:c>
      <x:c r="AA2625" t="str">
        <x:v>screencapture-www-activesportstrade-co-uk-scitec-nutrition-trade-2026-09-10-09_07_50.pdf / page-7</x:v>
      </x:c>
      <x:c r="AB2625" s="36" t="n">
        <x:f>IF(ISNUMBER(Y2625),ROUND(Y2625*0.9,2),"")</x:f>
        <x:v>27.9</x:v>
      </x:c>
      <x:c r="AC2625" s="36" t="n">
        <x:f>IF(ISNUMBER(AB2625),ROUND(AB2625-(AB2625*0.015+0.2)-V2625,2),"")</x:f>
        <x:v>6.02</x:v>
      </x:c>
      <x:c r="AD2625" s="36" t="n">
        <x:f>IF(ISNUMBER(Y2625),ROUND(Y2625*0.8,2),"")</x:f>
        <x:v>24.8</x:v>
      </x:c>
      <x:c r="AE2625" s="36" t="n">
        <x:f>IF(ISNUMBER(AD2625),ROUND(AD2625*0.015+0.2,2),"")</x:f>
        <x:v>0.57</x:v>
      </x:c>
      <x:c r="AF2625" s="36" t="n">
        <x:f>IF(ISNUMBER(AD2625),ROUND(AD2625-AE2625-V2625,2),"")</x:f>
        <x:v>2.97</x:v>
      </x:c>
      <x:c r="AG2625" t="str">
        <x:f>IF(NOT(ISNUMBER(T2625)),"PENDING",IF(AF2625&gt;0,"PASS","FAIL"))</x:f>
        <x:v>PASS</x:v>
      </x:c>
      <x:c r="AH2625" t="str">
        <x:f>IF(NOT(ISNUMBER(T2625)),"Needs supplier cost",IF(K2625&lt;&gt;"In stock","Supplier unavailable",IF(AG2625&lt;&gt;"PASS","BLOCK - GT loss risk","Commercially protected")))</x:f>
        <x:v>Commercially protected</x:v>
      </x:c>
      <x:c r="AI2625" t="str">
        <x:v>2026-09-10 Active Sports trade capture</x:v>
      </x:c>
      <x:c r="AJ2625" t="str">
        <x:v>Management-only economics. Stripe stress test uses 1.5% + £0.20 standard UK online-card fee; pallet/mix-and-match pricing ignored.</x:v>
      </x:c>
    </x:row>
    <x:row r="2626">
      <x:c r="A2626" t="str">
        <x:v>Active Sports Nutrition</x:v>
      </x:c>
      <x:c r="B2626" t="str">
        <x:v>Scitec Nutrition</x:v>
      </x:c>
      <x:c r="C2626" t="str">
        <x:v>Radical Whey</x:v>
      </x:c>
      <x:c r="D2626" t="str">
        <x:v>Supplements</x:v>
      </x:c>
      <x:c r="E2626" t="str">
        <x:v>Whey Protein</x:v>
      </x:c>
      <x:c r="F2626" t="str"/>
      <x:c r="G2626" t="str">
        <x:v>1000g</x:v>
      </x:c>
      <x:c r="H2626" t="str">
        <x:v>Chocolate</x:v>
      </x:c>
      <x:c r="I2626" t="str"/>
      <x:c r="J2626" t="str">
        <x:v>Unit</x:v>
      </x:c>
      <x:c r="K2626" t="str">
        <x:v>In stock</x:v>
      </x:c>
      <x:c r="L2626" t="str">
        <x:v>2026-09-08</x:v>
      </x:c>
      <x:c r="M2626" t="str"/>
      <x:c r="N2626" t="str"/>
      <x:c r="O2626" t="str">
        <x:v>https://www.activesportstrade.co.uk/scitec-nutrition-trade</x:v>
      </x:c>
      <x:c r="P2626" t="str">
        <x:v>SPECIAL OFFER wording stripped.</x:v>
      </x:c>
      <x:c r="Q2626" t="str"/>
      <x:c r="R2626" t="str"/>
      <x:c r="S2626" t="str">
        <x:v>Pending genuine supplier/brand image</x:v>
      </x:c>
      <x:c r="T2626" s="54" t="n">
        <x:v>15.99</x:v>
      </x:c>
      <x:c r="U2626" s="47" t="n">
        <x:v>0.2</x:v>
      </x:c>
      <x:c r="V2626" s="54" t="n">
        <x:f>IF(ISNUMBER(T2626),T2626*(1+U2626),"")</x:f>
        <x:v>19.188</x:v>
      </x:c>
      <x:c r="W2626" s="47" t="n">
        <x:v>0.3</x:v>
      </x:c>
      <x:c r="X2626" s="54" t="n">
        <x:f>IF(ISNUMBER(V2626),V2626/(1-W2626),"")</x:f>
        <x:v>27.411428571428573</x:v>
      </x:c>
      <x:c r="Y2626" s="55" t="n">
        <x:f>IF(ISNUMBER(X2626),ROUNDUP(X2626,0),"")</x:f>
        <x:v>28</x:v>
      </x:c>
      <x:c r="Z2626" t="str">
        <x:v>Source match pending</x:v>
      </x:c>
      <x:c r="AA2626" t="str">
        <x:v>screencapture-www-activesportstrade-co-uk-scitec-nutrition-trade-2026-09-10-09_07_50.pdf / page-7</x:v>
      </x:c>
      <x:c r="AB2626" s="36" t="n">
        <x:f>IF(ISNUMBER(Y2626),ROUND(Y2626*0.9,2),"")</x:f>
        <x:v>25.2</x:v>
      </x:c>
      <x:c r="AC2626" s="36" t="n">
        <x:f>IF(ISNUMBER(AB2626),ROUND(AB2626-(AB2626*0.015+0.2)-V2626,2),"")</x:f>
        <x:v>5.43</x:v>
      </x:c>
      <x:c r="AD2626" s="36" t="n">
        <x:f>IF(ISNUMBER(Y2626),ROUND(Y2626*0.8,2),"")</x:f>
        <x:v>22.4</x:v>
      </x:c>
      <x:c r="AE2626" s="36" t="n">
        <x:f>IF(ISNUMBER(AD2626),ROUND(AD2626*0.015+0.2,2),"")</x:f>
        <x:v>0.54</x:v>
      </x:c>
      <x:c r="AF2626" s="36" t="n">
        <x:f>IF(ISNUMBER(AD2626),ROUND(AD2626-AE2626-V2626,2),"")</x:f>
        <x:v>2.67</x:v>
      </x:c>
      <x:c r="AG2626" t="str">
        <x:f>IF(NOT(ISNUMBER(T2626)),"PENDING",IF(AF2626&gt;0,"PASS","FAIL"))</x:f>
        <x:v>PASS</x:v>
      </x:c>
      <x:c r="AH2626" t="str">
        <x:f>IF(NOT(ISNUMBER(T2626)),"Needs supplier cost",IF(K2626&lt;&gt;"In stock","Supplier unavailable",IF(AG2626&lt;&gt;"PASS","BLOCK - GT loss risk","Commercially protected")))</x:f>
        <x:v>Commercially protected</x:v>
      </x:c>
      <x:c r="AI2626" t="str">
        <x:v>2026-09-10 Active Sports trade capture</x:v>
      </x:c>
      <x:c r="AJ2626" t="str">
        <x:v>Management-only economics. Stripe stress test uses 1.5% + £0.20 standard UK online-card fee; pallet/mix-and-match pricing ignored.</x:v>
      </x:c>
    </x:row>
    <x:row r="2627">
      <x:c r="A2627" t="str">
        <x:v>Active Sports Nutrition</x:v>
      </x:c>
      <x:c r="B2627" t="str">
        <x:v>Scitec Nutrition</x:v>
      </x:c>
      <x:c r="C2627" t="str">
        <x:v>Radical Whey</x:v>
      </x:c>
      <x:c r="D2627" t="str">
        <x:v>Supplements</x:v>
      </x:c>
      <x:c r="E2627" t="str">
        <x:v>Whey Protein</x:v>
      </x:c>
      <x:c r="F2627" t="str"/>
      <x:c r="G2627" t="str">
        <x:v>1000g</x:v>
      </x:c>
      <x:c r="H2627" t="str">
        <x:v>Cookies &amp; Cream</x:v>
      </x:c>
      <x:c r="I2627" t="str"/>
      <x:c r="J2627" t="str">
        <x:v>Unit</x:v>
      </x:c>
      <x:c r="K2627" t="str">
        <x:v>In stock</x:v>
      </x:c>
      <x:c r="L2627" t="str">
        <x:v>2026-09-08</x:v>
      </x:c>
      <x:c r="M2627" t="str"/>
      <x:c r="N2627" t="str"/>
      <x:c r="O2627" t="str">
        <x:v>https://www.activesportstrade.co.uk/scitec-nutrition-trade</x:v>
      </x:c>
      <x:c r="P2627" t="str">
        <x:v>SPECIAL OFFER wording stripped.</x:v>
      </x:c>
      <x:c r="Q2627" t="str"/>
      <x:c r="R2627" t="str"/>
      <x:c r="S2627" t="str">
        <x:v>Pending genuine supplier/brand image</x:v>
      </x:c>
      <x:c r="T2627" s="54" t="n">
        <x:v>15.99</x:v>
      </x:c>
      <x:c r="U2627" s="47" t="n">
        <x:v>0.2</x:v>
      </x:c>
      <x:c r="V2627" s="54" t="n">
        <x:f>IF(ISNUMBER(T2627),T2627*(1+U2627),"")</x:f>
        <x:v>19.188</x:v>
      </x:c>
      <x:c r="W2627" s="47" t="n">
        <x:v>0.3</x:v>
      </x:c>
      <x:c r="X2627" s="54" t="n">
        <x:f>IF(ISNUMBER(V2627),V2627/(1-W2627),"")</x:f>
        <x:v>27.411428571428573</x:v>
      </x:c>
      <x:c r="Y2627" s="55" t="n">
        <x:f>IF(ISNUMBER(X2627),ROUNDUP(X2627,0),"")</x:f>
        <x:v>28</x:v>
      </x:c>
      <x:c r="Z2627" t="str">
        <x:v>Source match pending</x:v>
      </x:c>
      <x:c r="AA2627" t="str">
        <x:v>screencapture-www-activesportstrade-co-uk-scitec-nutrition-trade-2026-09-10-09_07_50.pdf / page-7</x:v>
      </x:c>
      <x:c r="AB2627" s="36" t="n">
        <x:f>IF(ISNUMBER(Y2627),ROUND(Y2627*0.9,2),"")</x:f>
        <x:v>25.2</x:v>
      </x:c>
      <x:c r="AC2627" s="36" t="n">
        <x:f>IF(ISNUMBER(AB2627),ROUND(AB2627-(AB2627*0.015+0.2)-V2627,2),"")</x:f>
        <x:v>5.43</x:v>
      </x:c>
      <x:c r="AD2627" s="36" t="n">
        <x:f>IF(ISNUMBER(Y2627),ROUND(Y2627*0.8,2),"")</x:f>
        <x:v>22.4</x:v>
      </x:c>
      <x:c r="AE2627" s="36" t="n">
        <x:f>IF(ISNUMBER(AD2627),ROUND(AD2627*0.015+0.2,2),"")</x:f>
        <x:v>0.54</x:v>
      </x:c>
      <x:c r="AF2627" s="36" t="n">
        <x:f>IF(ISNUMBER(AD2627),ROUND(AD2627-AE2627-V2627,2),"")</x:f>
        <x:v>2.67</x:v>
      </x:c>
      <x:c r="AG2627" t="str">
        <x:f>IF(NOT(ISNUMBER(T2627)),"PENDING",IF(AF2627&gt;0,"PASS","FAIL"))</x:f>
        <x:v>PASS</x:v>
      </x:c>
      <x:c r="AH2627" t="str">
        <x:f>IF(NOT(ISNUMBER(T2627)),"Needs supplier cost",IF(K2627&lt;&gt;"In stock","Supplier unavailable",IF(AG2627&lt;&gt;"PASS","BLOCK - GT loss risk","Commercially protected")))</x:f>
        <x:v>Commercially protected</x:v>
      </x:c>
      <x:c r="AI2627" t="str">
        <x:v>2026-09-10 Active Sports trade capture</x:v>
      </x:c>
      <x:c r="AJ2627" t="str">
        <x:v>Management-only economics. Stripe stress test uses 1.5% + £0.20 standard UK online-card fee; pallet/mix-and-match pricing ignored.</x:v>
      </x:c>
    </x:row>
    <x:row r="2628">
      <x:c r="A2628" t="str">
        <x:v>Active Sports Nutrition</x:v>
      </x:c>
      <x:c r="B2628" t="str">
        <x:v>Scitec Nutrition</x:v>
      </x:c>
      <x:c r="C2628" t="str">
        <x:v>Radical Whey</x:v>
      </x:c>
      <x:c r="D2628" t="str">
        <x:v>Supplements</x:v>
      </x:c>
      <x:c r="E2628" t="str">
        <x:v>Whey Protein</x:v>
      </x:c>
      <x:c r="F2628" t="str"/>
      <x:c r="G2628" t="str">
        <x:v>1000g</x:v>
      </x:c>
      <x:c r="H2628" t="str">
        <x:v>Salted Caramel</x:v>
      </x:c>
      <x:c r="I2628" t="str"/>
      <x:c r="J2628" t="str">
        <x:v>Unit</x:v>
      </x:c>
      <x:c r="K2628" t="str">
        <x:v>In stock</x:v>
      </x:c>
      <x:c r="L2628" t="str">
        <x:v>2026-09-08</x:v>
      </x:c>
      <x:c r="M2628" t="str"/>
      <x:c r="N2628" t="str"/>
      <x:c r="O2628" t="str">
        <x:v>https://www.activesportstrade.co.uk/scitec-nutrition-trade</x:v>
      </x:c>
      <x:c r="P2628" t="str">
        <x:v>SPECIAL OFFER wording stripped.</x:v>
      </x:c>
      <x:c r="Q2628" t="str"/>
      <x:c r="R2628" t="str"/>
      <x:c r="S2628" t="str">
        <x:v>Pending genuine supplier/brand image</x:v>
      </x:c>
      <x:c r="T2628" s="54" t="n">
        <x:v>15.99</x:v>
      </x:c>
      <x:c r="U2628" s="47" t="n">
        <x:v>0.2</x:v>
      </x:c>
      <x:c r="V2628" s="54" t="n">
        <x:f>IF(ISNUMBER(T2628),T2628*(1+U2628),"")</x:f>
        <x:v>19.188</x:v>
      </x:c>
      <x:c r="W2628" s="47" t="n">
        <x:v>0.3</x:v>
      </x:c>
      <x:c r="X2628" s="54" t="n">
        <x:f>IF(ISNUMBER(V2628),V2628/(1-W2628),"")</x:f>
        <x:v>27.411428571428573</x:v>
      </x:c>
      <x:c r="Y2628" s="55" t="n">
        <x:f>IF(ISNUMBER(X2628),ROUNDUP(X2628,0),"")</x:f>
        <x:v>28</x:v>
      </x:c>
      <x:c r="Z2628" t="str">
        <x:v>Source match pending</x:v>
      </x:c>
      <x:c r="AA2628" t="str">
        <x:v>screencapture-www-activesportstrade-co-uk-scitec-nutrition-trade-2026-09-10-09_07_50.pdf / page-7</x:v>
      </x:c>
      <x:c r="AB2628" s="36" t="n">
        <x:f>IF(ISNUMBER(Y2628),ROUND(Y2628*0.9,2),"")</x:f>
        <x:v>25.2</x:v>
      </x:c>
      <x:c r="AC2628" s="36" t="n">
        <x:f>IF(ISNUMBER(AB2628),ROUND(AB2628-(AB2628*0.015+0.2)-V2628,2),"")</x:f>
        <x:v>5.43</x:v>
      </x:c>
      <x:c r="AD2628" s="36" t="n">
        <x:f>IF(ISNUMBER(Y2628),ROUND(Y2628*0.8,2),"")</x:f>
        <x:v>22.4</x:v>
      </x:c>
      <x:c r="AE2628" s="36" t="n">
        <x:f>IF(ISNUMBER(AD2628),ROUND(AD2628*0.015+0.2,2),"")</x:f>
        <x:v>0.54</x:v>
      </x:c>
      <x:c r="AF2628" s="36" t="n">
        <x:f>IF(ISNUMBER(AD2628),ROUND(AD2628-AE2628-V2628,2),"")</x:f>
        <x:v>2.67</x:v>
      </x:c>
      <x:c r="AG2628" t="str">
        <x:f>IF(NOT(ISNUMBER(T2628)),"PENDING",IF(AF2628&gt;0,"PASS","FAIL"))</x:f>
        <x:v>PASS</x:v>
      </x:c>
      <x:c r="AH2628" t="str">
        <x:f>IF(NOT(ISNUMBER(T2628)),"Needs supplier cost",IF(K2628&lt;&gt;"In stock","Supplier unavailable",IF(AG2628&lt;&gt;"PASS","BLOCK - GT loss risk","Commercially protected")))</x:f>
        <x:v>Commercially protected</x:v>
      </x:c>
      <x:c r="AI2628" t="str">
        <x:v>2026-09-10 Active Sports trade capture</x:v>
      </x:c>
      <x:c r="AJ2628" t="str">
        <x:v>Management-only economics. Stripe stress test uses 1.5% + £0.20 standard UK online-card fee; pallet/mix-and-match pricing ignored.</x:v>
      </x:c>
    </x:row>
    <x:row r="2629">
      <x:c r="A2629" t="str">
        <x:v>Active Sports Nutrition</x:v>
      </x:c>
      <x:c r="B2629" t="str">
        <x:v>Scitec Nutrition</x:v>
      </x:c>
      <x:c r="C2629" t="str">
        <x:v>Radical Whey</x:v>
      </x:c>
      <x:c r="D2629" t="str">
        <x:v>Supplements</x:v>
      </x:c>
      <x:c r="E2629" t="str">
        <x:v>Whey Protein</x:v>
      </x:c>
      <x:c r="F2629" t="str"/>
      <x:c r="G2629" t="str">
        <x:v>1000g</x:v>
      </x:c>
      <x:c r="H2629" t="str">
        <x:v>Vanilla</x:v>
      </x:c>
      <x:c r="I2629" t="str"/>
      <x:c r="J2629" t="str">
        <x:v>Unit</x:v>
      </x:c>
      <x:c r="K2629" t="str">
        <x:v>In stock</x:v>
      </x:c>
      <x:c r="L2629" t="str">
        <x:v>2026-09-08</x:v>
      </x:c>
      <x:c r="M2629" t="str"/>
      <x:c r="N2629" t="str"/>
      <x:c r="O2629" t="str">
        <x:v>https://www.activesportstrade.co.uk/scitec-nutrition-trade</x:v>
      </x:c>
      <x:c r="P2629" t="str">
        <x:v>SPECIAL OFFER wording stripped.</x:v>
      </x:c>
      <x:c r="Q2629" t="str"/>
      <x:c r="R2629" t="str"/>
      <x:c r="S2629" t="str">
        <x:v>Pending genuine supplier/brand image</x:v>
      </x:c>
      <x:c r="T2629" s="54" t="n">
        <x:v>15.99</x:v>
      </x:c>
      <x:c r="U2629" s="47" t="n">
        <x:v>0.2</x:v>
      </x:c>
      <x:c r="V2629" s="54" t="n">
        <x:f>IF(ISNUMBER(T2629),T2629*(1+U2629),"")</x:f>
        <x:v>19.188</x:v>
      </x:c>
      <x:c r="W2629" s="47" t="n">
        <x:v>0.3</x:v>
      </x:c>
      <x:c r="X2629" s="54" t="n">
        <x:f>IF(ISNUMBER(V2629),V2629/(1-W2629),"")</x:f>
        <x:v>27.411428571428573</x:v>
      </x:c>
      <x:c r="Y2629" s="55" t="n">
        <x:f>IF(ISNUMBER(X2629),ROUNDUP(X2629,0),"")</x:f>
        <x:v>28</x:v>
      </x:c>
      <x:c r="Z2629" t="str">
        <x:v>Source match pending</x:v>
      </x:c>
      <x:c r="AA2629" t="str">
        <x:v>screencapture-www-activesportstrade-co-uk-scitec-nutrition-trade-2026-09-10-09_07_50.pdf / page-7</x:v>
      </x:c>
      <x:c r="AB2629" s="36" t="n">
        <x:f>IF(ISNUMBER(Y2629),ROUND(Y2629*0.9,2),"")</x:f>
        <x:v>25.2</x:v>
      </x:c>
      <x:c r="AC2629" s="36" t="n">
        <x:f>IF(ISNUMBER(AB2629),ROUND(AB2629-(AB2629*0.015+0.2)-V2629,2),"")</x:f>
        <x:v>5.43</x:v>
      </x:c>
      <x:c r="AD2629" s="36" t="n">
        <x:f>IF(ISNUMBER(Y2629),ROUND(Y2629*0.8,2),"")</x:f>
        <x:v>22.4</x:v>
      </x:c>
      <x:c r="AE2629" s="36" t="n">
        <x:f>IF(ISNUMBER(AD2629),ROUND(AD2629*0.015+0.2,2),"")</x:f>
        <x:v>0.54</x:v>
      </x:c>
      <x:c r="AF2629" s="36" t="n">
        <x:f>IF(ISNUMBER(AD2629),ROUND(AD2629-AE2629-V2629,2),"")</x:f>
        <x:v>2.67</x:v>
      </x:c>
      <x:c r="AG2629" t="str">
        <x:f>IF(NOT(ISNUMBER(T2629)),"PENDING",IF(AF2629&gt;0,"PASS","FAIL"))</x:f>
        <x:v>PASS</x:v>
      </x:c>
      <x:c r="AH2629" t="str">
        <x:f>IF(NOT(ISNUMBER(T2629)),"Needs supplier cost",IF(K2629&lt;&gt;"In stock","Supplier unavailable",IF(AG2629&lt;&gt;"PASS","BLOCK - GT loss risk","Commercially protected")))</x:f>
        <x:v>Commercially protected</x:v>
      </x:c>
      <x:c r="AI2629" t="str">
        <x:v>2026-09-10 Active Sports trade capture</x:v>
      </x:c>
      <x:c r="AJ2629" t="str">
        <x:v>Management-only economics. Stripe stress test uses 1.5% + £0.20 standard UK online-card fee; pallet/mix-and-match pricing ignored.</x:v>
      </x:c>
    </x:row>
    <x:row r="2630">
      <x:c r="A2630" t="str">
        <x:v>Active Sports Nutrition</x:v>
      </x:c>
      <x:c r="B2630" t="str">
        <x:v>Scitec Nutrition</x:v>
      </x:c>
      <x:c r="C2630" t="str">
        <x:v>Radical Whey</x:v>
      </x:c>
      <x:c r="D2630" t="str">
        <x:v>Supplements</x:v>
      </x:c>
      <x:c r="E2630" t="str">
        <x:v>Whey Protein</x:v>
      </x:c>
      <x:c r="F2630" t="str"/>
      <x:c r="G2630" t="str">
        <x:v>1000g</x:v>
      </x:c>
      <x:c r="H2630" t="str">
        <x:v>White Chocolate Raspberry</x:v>
      </x:c>
      <x:c r="I2630" t="str"/>
      <x:c r="J2630" t="str">
        <x:v>Unit</x:v>
      </x:c>
      <x:c r="K2630" t="str">
        <x:v>In stock</x:v>
      </x:c>
      <x:c r="L2630" t="str">
        <x:v>2026-09-08</x:v>
      </x:c>
      <x:c r="M2630" t="str"/>
      <x:c r="N2630" t="str"/>
      <x:c r="O2630" t="str">
        <x:v>https://www.activesportstrade.co.uk/scitec-nutrition-trade</x:v>
      </x:c>
      <x:c r="P2630" t="str">
        <x:v>SPECIAL OFFER wording stripped.</x:v>
      </x:c>
      <x:c r="Q2630" t="str"/>
      <x:c r="R2630" t="str"/>
      <x:c r="S2630" t="str">
        <x:v>Pending genuine supplier/brand image</x:v>
      </x:c>
      <x:c r="T2630" s="54" t="n">
        <x:v>15.99</x:v>
      </x:c>
      <x:c r="U2630" s="47" t="n">
        <x:v>0.2</x:v>
      </x:c>
      <x:c r="V2630" s="54" t="n">
        <x:f>IF(ISNUMBER(T2630),T2630*(1+U2630),"")</x:f>
        <x:v>19.188</x:v>
      </x:c>
      <x:c r="W2630" s="47" t="n">
        <x:v>0.3</x:v>
      </x:c>
      <x:c r="X2630" s="54" t="n">
        <x:f>IF(ISNUMBER(V2630),V2630/(1-W2630),"")</x:f>
        <x:v>27.411428571428573</x:v>
      </x:c>
      <x:c r="Y2630" s="55" t="n">
        <x:f>IF(ISNUMBER(X2630),ROUNDUP(X2630,0),"")</x:f>
        <x:v>28</x:v>
      </x:c>
      <x:c r="Z2630" t="str">
        <x:v>Source match pending</x:v>
      </x:c>
      <x:c r="AA2630" t="str">
        <x:v>screencapture-www-activesportstrade-co-uk-scitec-nutrition-trade-2026-09-10-09_07_50.pdf / page-7</x:v>
      </x:c>
      <x:c r="AB2630" s="36" t="n">
        <x:f>IF(ISNUMBER(Y2630),ROUND(Y2630*0.9,2),"")</x:f>
        <x:v>25.2</x:v>
      </x:c>
      <x:c r="AC2630" s="36" t="n">
        <x:f>IF(ISNUMBER(AB2630),ROUND(AB2630-(AB2630*0.015+0.2)-V2630,2),"")</x:f>
        <x:v>5.43</x:v>
      </x:c>
      <x:c r="AD2630" s="36" t="n">
        <x:f>IF(ISNUMBER(Y2630),ROUND(Y2630*0.8,2),"")</x:f>
        <x:v>22.4</x:v>
      </x:c>
      <x:c r="AE2630" s="36" t="n">
        <x:f>IF(ISNUMBER(AD2630),ROUND(AD2630*0.015+0.2,2),"")</x:f>
        <x:v>0.54</x:v>
      </x:c>
      <x:c r="AF2630" s="36" t="n">
        <x:f>IF(ISNUMBER(AD2630),ROUND(AD2630-AE2630-V2630,2),"")</x:f>
        <x:v>2.67</x:v>
      </x:c>
      <x:c r="AG2630" t="str">
        <x:f>IF(NOT(ISNUMBER(T2630)),"PENDING",IF(AF2630&gt;0,"PASS","FAIL"))</x:f>
        <x:v>PASS</x:v>
      </x:c>
      <x:c r="AH2630" t="str">
        <x:f>IF(NOT(ISNUMBER(T2630)),"Needs supplier cost",IF(K2630&lt;&gt;"In stock","Supplier unavailable",IF(AG2630&lt;&gt;"PASS","BLOCK - GT loss risk","Commercially protected")))</x:f>
        <x:v>Commercially protected</x:v>
      </x:c>
      <x:c r="AI2630" t="str">
        <x:v>2026-09-10 Active Sports trade capture</x:v>
      </x:c>
      <x:c r="AJ2630" t="str">
        <x:v>Management-only economics. Stripe stress test uses 1.5% + £0.20 standard UK online-card fee; pallet/mix-and-match pricing ignored.</x:v>
      </x:c>
    </x:row>
    <x:row r="2631">
      <x:c r="A2631" t="str">
        <x:v>Active Sports Nutrition</x:v>
      </x:c>
      <x:c r="B2631" t="str">
        <x:v>Scitec Nutrition</x:v>
      </x:c>
      <x:c r="C2631" t="str">
        <x:v>Radical Whey</x:v>
      </x:c>
      <x:c r="D2631" t="str">
        <x:v>Supplements</x:v>
      </x:c>
      <x:c r="E2631" t="str">
        <x:v>Whey Protein</x:v>
      </x:c>
      <x:c r="F2631" t="str"/>
      <x:c r="G2631" t="str">
        <x:v>2000g</x:v>
      </x:c>
      <x:c r="H2631" t="str">
        <x:v>Chocolate</x:v>
      </x:c>
      <x:c r="I2631" t="str"/>
      <x:c r="J2631" t="str">
        <x:v>Unit</x:v>
      </x:c>
      <x:c r="K2631" t="str">
        <x:v>In stock</x:v>
      </x:c>
      <x:c r="L2631" t="str">
        <x:v>2026-09-08</x:v>
      </x:c>
      <x:c r="M2631" t="str"/>
      <x:c r="N2631" t="str"/>
      <x:c r="O2631" t="str">
        <x:v>https://www.activesportstrade.co.uk/scitec-nutrition-trade</x:v>
      </x:c>
      <x:c r="P2631" t="str">
        <x:v>SPECIAL OFFER wording stripped.</x:v>
      </x:c>
      <x:c r="Q2631" t="str"/>
      <x:c r="R2631" t="str"/>
      <x:c r="S2631" t="str">
        <x:v>Pending genuine supplier/brand image</x:v>
      </x:c>
      <x:c r="T2631" s="54"/>
      <x:c r="U2631" s="47" t="n">
        <x:v>0.2</x:v>
      </x:c>
      <x:c r="V2631" s="54" t="str">
        <x:f>IF(ISNUMBER(T2631),T2631*(1+U2631),"")</x:f>
      </x:c>
      <x:c r="W2631" s="47" t="n">
        <x:v>0.3</x:v>
      </x:c>
      <x:c r="X2631" s="54" t="str">
        <x:f>IF(ISNUMBER(V2631),V2631/(1-W2631),"")</x:f>
      </x:c>
      <x:c r="Y2631" s="55" t="str">
        <x:f>IF(ISNUMBER(X2631),ROUNDUP(X2631,0),"")</x:f>
      </x:c>
      <x:c r="Z2631" t="str">
        <x:f>IF(ISNUMBER(T2631),"Cost captured","Awaiting trade cost")</x:f>
        <x:v>Awaiting trade cost</x:v>
      </x:c>
      <x:c r="AB2631" s="36" t="str">
        <x:f>IF(ISNUMBER(Y2631),ROUND(Y2631*0.9,2),"")</x:f>
      </x:c>
      <x:c r="AC2631" s="36" t="str">
        <x:f>IF(ISNUMBER(AB2631),ROUND(AB2631-(AB2631*0.015+0.2)-V2631,2),"")</x:f>
      </x:c>
      <x:c r="AD2631" s="36" t="str">
        <x:f>IF(ISNUMBER(Y2631),ROUND(Y2631*0.8,2),"")</x:f>
      </x:c>
      <x:c r="AE2631" s="36" t="str">
        <x:f>IF(ISNUMBER(AD2631),ROUND(AD2631*0.015+0.2,2),"")</x:f>
      </x:c>
      <x:c r="AF2631" s="36" t="str">
        <x:f>IF(ISNUMBER(AD2631),ROUND(AD2631-AE2631-V2631,2),"")</x:f>
      </x:c>
      <x:c r="AG2631" t="str">
        <x:f>IF(NOT(ISNUMBER(T2631)),"PENDING",IF(AF2631&gt;0,"PASS","FAIL"))</x:f>
        <x:v>PENDING</x:v>
      </x:c>
      <x:c r="AH2631" t="str">
        <x:f>IF(NOT(ISNUMBER(T2631)),"Needs supplier cost",IF(K2631&lt;&gt;"In stock","Supplier unavailable",IF(AG2631&lt;&gt;"PASS","BLOCK - GT loss risk","Commercially protected")))</x:f>
        <x:v>Needs supplier cost</x:v>
      </x:c>
      <x:c r="AI2631" t="str">
        <x:v>2026-09-10 Active Sports trade capture</x:v>
      </x:c>
      <x:c r="AJ2631" t="str">
        <x:v>Management-only economics. Stripe stress test uses 1.5% + £0.20 standard UK online-card fee; pallet/mix-and-match pricing ignored.</x:v>
      </x:c>
    </x:row>
    <x:row r="2632">
      <x:c r="A2632" t="str">
        <x:v>Active Sports Nutrition</x:v>
      </x:c>
      <x:c r="B2632" t="str">
        <x:v>Scitec Nutrition</x:v>
      </x:c>
      <x:c r="C2632" t="str">
        <x:v>Radical Whey</x:v>
      </x:c>
      <x:c r="D2632" t="str">
        <x:v>Supplements</x:v>
      </x:c>
      <x:c r="E2632" t="str">
        <x:v>Whey Protein</x:v>
      </x:c>
      <x:c r="F2632" t="str"/>
      <x:c r="G2632" t="str">
        <x:v>2000g</x:v>
      </x:c>
      <x:c r="H2632" t="str">
        <x:v>Cookies &amp; Cream</x:v>
      </x:c>
      <x:c r="I2632" t="str"/>
      <x:c r="J2632" t="str">
        <x:v>Unit</x:v>
      </x:c>
      <x:c r="K2632" t="str">
        <x:v>In stock</x:v>
      </x:c>
      <x:c r="L2632" t="str">
        <x:v>2026-09-08</x:v>
      </x:c>
      <x:c r="M2632" t="str"/>
      <x:c r="N2632" t="str"/>
      <x:c r="O2632" t="str">
        <x:v>https://www.activesportstrade.co.uk/scitec-nutrition-trade</x:v>
      </x:c>
      <x:c r="P2632" t="str">
        <x:v>SPECIAL OFFER wording stripped.</x:v>
      </x:c>
      <x:c r="Q2632" t="str"/>
      <x:c r="R2632" t="str"/>
      <x:c r="S2632" t="str">
        <x:v>Pending genuine supplier/brand image</x:v>
      </x:c>
      <x:c r="T2632" s="54"/>
      <x:c r="U2632" s="47" t="n">
        <x:v>0.2</x:v>
      </x:c>
      <x:c r="V2632" s="54" t="str">
        <x:f>IF(ISNUMBER(T2632),T2632*(1+U2632),"")</x:f>
      </x:c>
      <x:c r="W2632" s="47" t="n">
        <x:v>0.3</x:v>
      </x:c>
      <x:c r="X2632" s="54" t="str">
        <x:f>IF(ISNUMBER(V2632),V2632/(1-W2632),"")</x:f>
      </x:c>
      <x:c r="Y2632" s="55" t="str">
        <x:f>IF(ISNUMBER(X2632),ROUNDUP(X2632,0),"")</x:f>
      </x:c>
      <x:c r="Z2632" t="str">
        <x:f>IF(ISNUMBER(T2632),"Cost captured","Awaiting trade cost")</x:f>
        <x:v>Awaiting trade cost</x:v>
      </x:c>
      <x:c r="AB2632" s="36" t="str">
        <x:f>IF(ISNUMBER(Y2632),ROUND(Y2632*0.9,2),"")</x:f>
      </x:c>
      <x:c r="AC2632" s="36" t="str">
        <x:f>IF(ISNUMBER(AB2632),ROUND(AB2632-(AB2632*0.015+0.2)-V2632,2),"")</x:f>
      </x:c>
      <x:c r="AD2632" s="36" t="str">
        <x:f>IF(ISNUMBER(Y2632),ROUND(Y2632*0.8,2),"")</x:f>
      </x:c>
      <x:c r="AE2632" s="36" t="str">
        <x:f>IF(ISNUMBER(AD2632),ROUND(AD2632*0.015+0.2,2),"")</x:f>
      </x:c>
      <x:c r="AF2632" s="36" t="str">
        <x:f>IF(ISNUMBER(AD2632),ROUND(AD2632-AE2632-V2632,2),"")</x:f>
      </x:c>
      <x:c r="AG2632" t="str">
        <x:f>IF(NOT(ISNUMBER(T2632)),"PENDING",IF(AF2632&gt;0,"PASS","FAIL"))</x:f>
        <x:v>PENDING</x:v>
      </x:c>
      <x:c r="AH2632" t="str">
        <x:f>IF(NOT(ISNUMBER(T2632)),"Needs supplier cost",IF(K2632&lt;&gt;"In stock","Supplier unavailable",IF(AG2632&lt;&gt;"PASS","BLOCK - GT loss risk","Commercially protected")))</x:f>
        <x:v>Needs supplier cost</x:v>
      </x:c>
      <x:c r="AI2632" t="str">
        <x:v>2026-09-10 Active Sports trade capture</x:v>
      </x:c>
      <x:c r="AJ2632" t="str">
        <x:v>Management-only economics. Stripe stress test uses 1.5% + £0.20 standard UK online-card fee; pallet/mix-and-match pricing ignored.</x:v>
      </x:c>
    </x:row>
    <x:row r="2633">
      <x:c r="A2633" t="str">
        <x:v>Active Sports Nutrition</x:v>
      </x:c>
      <x:c r="B2633" t="str">
        <x:v>Scitec Nutrition</x:v>
      </x:c>
      <x:c r="C2633" t="str">
        <x:v>Radical Whey</x:v>
      </x:c>
      <x:c r="D2633" t="str">
        <x:v>Supplements</x:v>
      </x:c>
      <x:c r="E2633" t="str">
        <x:v>Whey Protein</x:v>
      </x:c>
      <x:c r="F2633" t="str"/>
      <x:c r="G2633" t="str">
        <x:v>2000g</x:v>
      </x:c>
      <x:c r="H2633" t="str">
        <x:v>Salted Caramel</x:v>
      </x:c>
      <x:c r="I2633" t="str"/>
      <x:c r="J2633" t="str">
        <x:v>Unit</x:v>
      </x:c>
      <x:c r="K2633" t="str">
        <x:v>In stock</x:v>
      </x:c>
      <x:c r="L2633" t="str">
        <x:v>2026-09-08</x:v>
      </x:c>
      <x:c r="M2633" t="str"/>
      <x:c r="N2633" t="str"/>
      <x:c r="O2633" t="str">
        <x:v>https://www.activesportstrade.co.uk/scitec-nutrition-trade</x:v>
      </x:c>
      <x:c r="P2633" t="str">
        <x:v>SPECIAL OFFER wording stripped.</x:v>
      </x:c>
      <x:c r="Q2633" t="str"/>
      <x:c r="R2633" t="str"/>
      <x:c r="S2633" t="str">
        <x:v>Pending genuine supplier/brand image</x:v>
      </x:c>
      <x:c r="T2633" s="54"/>
      <x:c r="U2633" s="47" t="n">
        <x:v>0.2</x:v>
      </x:c>
      <x:c r="V2633" s="54" t="str">
        <x:f>IF(ISNUMBER(T2633),T2633*(1+U2633),"")</x:f>
      </x:c>
      <x:c r="W2633" s="47" t="n">
        <x:v>0.3</x:v>
      </x:c>
      <x:c r="X2633" s="54" t="str">
        <x:f>IF(ISNUMBER(V2633),V2633/(1-W2633),"")</x:f>
      </x:c>
      <x:c r="Y2633" s="55" t="str">
        <x:f>IF(ISNUMBER(X2633),ROUNDUP(X2633,0),"")</x:f>
      </x:c>
      <x:c r="Z2633" t="str">
        <x:f>IF(ISNUMBER(T2633),"Cost captured","Awaiting trade cost")</x:f>
        <x:v>Awaiting trade cost</x:v>
      </x:c>
      <x:c r="AB2633" s="36" t="str">
        <x:f>IF(ISNUMBER(Y2633),ROUND(Y2633*0.9,2),"")</x:f>
      </x:c>
      <x:c r="AC2633" s="36" t="str">
        <x:f>IF(ISNUMBER(AB2633),ROUND(AB2633-(AB2633*0.015+0.2)-V2633,2),"")</x:f>
      </x:c>
      <x:c r="AD2633" s="36" t="str">
        <x:f>IF(ISNUMBER(Y2633),ROUND(Y2633*0.8,2),"")</x:f>
      </x:c>
      <x:c r="AE2633" s="36" t="str">
        <x:f>IF(ISNUMBER(AD2633),ROUND(AD2633*0.015+0.2,2),"")</x:f>
      </x:c>
      <x:c r="AF2633" s="36" t="str">
        <x:f>IF(ISNUMBER(AD2633),ROUND(AD2633-AE2633-V2633,2),"")</x:f>
      </x:c>
      <x:c r="AG2633" t="str">
        <x:f>IF(NOT(ISNUMBER(T2633)),"PENDING",IF(AF2633&gt;0,"PASS","FAIL"))</x:f>
        <x:v>PENDING</x:v>
      </x:c>
      <x:c r="AH2633" t="str">
        <x:f>IF(NOT(ISNUMBER(T2633)),"Needs supplier cost",IF(K2633&lt;&gt;"In stock","Supplier unavailable",IF(AG2633&lt;&gt;"PASS","BLOCK - GT loss risk","Commercially protected")))</x:f>
        <x:v>Needs supplier cost</x:v>
      </x:c>
      <x:c r="AI2633" t="str">
        <x:v>2026-09-10 Active Sports trade capture</x:v>
      </x:c>
      <x:c r="AJ2633" t="str">
        <x:v>Management-only economics. Stripe stress test uses 1.5% + £0.20 standard UK online-card fee; pallet/mix-and-match pricing ignored.</x:v>
      </x:c>
    </x:row>
    <x:row r="2634">
      <x:c r="A2634" t="str">
        <x:v>Active Sports Nutrition</x:v>
      </x:c>
      <x:c r="B2634" t="str">
        <x:v>Scitec Nutrition</x:v>
      </x:c>
      <x:c r="C2634" t="str">
        <x:v>Radical Whey</x:v>
      </x:c>
      <x:c r="D2634" t="str">
        <x:v>Supplements</x:v>
      </x:c>
      <x:c r="E2634" t="str">
        <x:v>Whey Protein</x:v>
      </x:c>
      <x:c r="F2634" t="str"/>
      <x:c r="G2634" t="str">
        <x:v>2000g</x:v>
      </x:c>
      <x:c r="H2634" t="str">
        <x:v>Vanilla</x:v>
      </x:c>
      <x:c r="I2634" t="str"/>
      <x:c r="J2634" t="str">
        <x:v>Unit</x:v>
      </x:c>
      <x:c r="K2634" t="str">
        <x:v>Out of stock</x:v>
      </x:c>
      <x:c r="L2634" t="str">
        <x:v>2026-09-08</x:v>
      </x:c>
      <x:c r="M2634" t="str"/>
      <x:c r="N2634" t="str"/>
      <x:c r="O2634" t="str">
        <x:v>https://www.activesportstrade.co.uk/scitec-nutrition-trade</x:v>
      </x:c>
      <x:c r="P2634" t="str">
        <x:v>SPECIAL OFFER wording stripped.</x:v>
      </x:c>
      <x:c r="Q2634" t="str"/>
      <x:c r="R2634" t="str"/>
      <x:c r="S2634" t="str">
        <x:v>Pending genuine supplier/brand image</x:v>
      </x:c>
      <x:c r="T2634" s="54"/>
      <x:c r="U2634" s="47" t="n">
        <x:v>0.2</x:v>
      </x:c>
      <x:c r="V2634" s="54" t="str">
        <x:f>IF(ISNUMBER(T2634),T2634*(1+U2634),"")</x:f>
      </x:c>
      <x:c r="W2634" s="47" t="n">
        <x:v>0.3</x:v>
      </x:c>
      <x:c r="X2634" s="54" t="str">
        <x:f>IF(ISNUMBER(V2634),V2634/(1-W2634),"")</x:f>
      </x:c>
      <x:c r="Y2634" s="55" t="str">
        <x:f>IF(ISNUMBER(X2634),ROUNDUP(X2634,0),"")</x:f>
      </x:c>
      <x:c r="Z2634" t="str">
        <x:f>IF(ISNUMBER(T2634),"Cost captured","Awaiting trade cost")</x:f>
        <x:v>Awaiting trade cost</x:v>
      </x:c>
      <x:c r="AB2634" s="36" t="str">
        <x:f>IF(ISNUMBER(Y2634),ROUND(Y2634*0.9,2),"")</x:f>
      </x:c>
      <x:c r="AC2634" s="36" t="str">
        <x:f>IF(ISNUMBER(AB2634),ROUND(AB2634-(AB2634*0.015+0.2)-V2634,2),"")</x:f>
      </x:c>
      <x:c r="AD2634" s="36" t="str">
        <x:f>IF(ISNUMBER(Y2634),ROUND(Y2634*0.8,2),"")</x:f>
      </x:c>
      <x:c r="AE2634" s="36" t="str">
        <x:f>IF(ISNUMBER(AD2634),ROUND(AD2634*0.015+0.2,2),"")</x:f>
      </x:c>
      <x:c r="AF2634" s="36" t="str">
        <x:f>IF(ISNUMBER(AD2634),ROUND(AD2634-AE2634-V2634,2),"")</x:f>
      </x:c>
      <x:c r="AG2634" t="str">
        <x:f>IF(NOT(ISNUMBER(T2634)),"PENDING",IF(AF2634&gt;0,"PASS","FAIL"))</x:f>
        <x:v>PENDING</x:v>
      </x:c>
      <x:c r="AH2634" t="str">
        <x:f>IF(NOT(ISNUMBER(T2634)),"Needs supplier cost",IF(K2634&lt;&gt;"In stock","Supplier unavailable",IF(AG2634&lt;&gt;"PASS","BLOCK - GT loss risk","Commercially protected")))</x:f>
        <x:v>Needs supplier cost</x:v>
      </x:c>
      <x:c r="AI2634" t="str">
        <x:v>2026-09-10 Active Sports trade capture</x:v>
      </x:c>
      <x:c r="AJ2634" t="str">
        <x:v>Management-only economics. Stripe stress test uses 1.5% + £0.20 standard UK online-card fee; pallet/mix-and-match pricing ignored.</x:v>
      </x:c>
    </x:row>
    <x:row r="2635">
      <x:c r="A2635" t="str">
        <x:v>Active Sports Nutrition</x:v>
      </x:c>
      <x:c r="B2635" t="str">
        <x:v>Scitec Nutrition</x:v>
      </x:c>
      <x:c r="C2635" t="str">
        <x:v>Radical Whey</x:v>
      </x:c>
      <x:c r="D2635" t="str">
        <x:v>Supplements</x:v>
      </x:c>
      <x:c r="E2635" t="str">
        <x:v>Whey Protein</x:v>
      </x:c>
      <x:c r="F2635" t="str"/>
      <x:c r="G2635" t="str">
        <x:v>2000g</x:v>
      </x:c>
      <x:c r="H2635" t="str">
        <x:v>White Chocolate Raspberry</x:v>
      </x:c>
      <x:c r="I2635" t="str"/>
      <x:c r="J2635" t="str">
        <x:v>Unit</x:v>
      </x:c>
      <x:c r="K2635" t="str">
        <x:v>In stock</x:v>
      </x:c>
      <x:c r="L2635" t="str">
        <x:v>2026-09-08</x:v>
      </x:c>
      <x:c r="M2635" t="str"/>
      <x:c r="N2635" t="str"/>
      <x:c r="O2635" t="str">
        <x:v>https://www.activesportstrade.co.uk/scitec-nutrition-trade</x:v>
      </x:c>
      <x:c r="P2635" t="str">
        <x:v>SPECIAL OFFER wording stripped.</x:v>
      </x:c>
      <x:c r="Q2635" t="str"/>
      <x:c r="R2635" t="str"/>
      <x:c r="S2635" t="str">
        <x:v>Pending genuine supplier/brand image</x:v>
      </x:c>
      <x:c r="T2635" s="54"/>
      <x:c r="U2635" s="47" t="n">
        <x:v>0.2</x:v>
      </x:c>
      <x:c r="V2635" s="54" t="str">
        <x:f>IF(ISNUMBER(T2635),T2635*(1+U2635),"")</x:f>
      </x:c>
      <x:c r="W2635" s="47" t="n">
        <x:v>0.3</x:v>
      </x:c>
      <x:c r="X2635" s="54" t="str">
        <x:f>IF(ISNUMBER(V2635),V2635/(1-W2635),"")</x:f>
      </x:c>
      <x:c r="Y2635" s="55" t="str">
        <x:f>IF(ISNUMBER(X2635),ROUNDUP(X2635,0),"")</x:f>
      </x:c>
      <x:c r="Z2635" t="str">
        <x:f>IF(ISNUMBER(T2635),"Cost captured","Awaiting trade cost")</x:f>
        <x:v>Awaiting trade cost</x:v>
      </x:c>
      <x:c r="AB2635" s="36" t="str">
        <x:f>IF(ISNUMBER(Y2635),ROUND(Y2635*0.9,2),"")</x:f>
      </x:c>
      <x:c r="AC2635" s="36" t="str">
        <x:f>IF(ISNUMBER(AB2635),ROUND(AB2635-(AB2635*0.015+0.2)-V2635,2),"")</x:f>
      </x:c>
      <x:c r="AD2635" s="36" t="str">
        <x:f>IF(ISNUMBER(Y2635),ROUND(Y2635*0.8,2),"")</x:f>
      </x:c>
      <x:c r="AE2635" s="36" t="str">
        <x:f>IF(ISNUMBER(AD2635),ROUND(AD2635*0.015+0.2,2),"")</x:f>
      </x:c>
      <x:c r="AF2635" s="36" t="str">
        <x:f>IF(ISNUMBER(AD2635),ROUND(AD2635-AE2635-V2635,2),"")</x:f>
      </x:c>
      <x:c r="AG2635" t="str">
        <x:f>IF(NOT(ISNUMBER(T2635)),"PENDING",IF(AF2635&gt;0,"PASS","FAIL"))</x:f>
        <x:v>PENDING</x:v>
      </x:c>
      <x:c r="AH2635" t="str">
        <x:f>IF(NOT(ISNUMBER(T2635)),"Needs supplier cost",IF(K2635&lt;&gt;"In stock","Supplier unavailable",IF(AG2635&lt;&gt;"PASS","BLOCK - GT loss risk","Commercially protected")))</x:f>
        <x:v>Needs supplier cost</x:v>
      </x:c>
      <x:c r="AI2635" t="str">
        <x:v>2026-09-10 Active Sports trade capture</x:v>
      </x:c>
      <x:c r="AJ2635" t="str">
        <x:v>Management-only economics. Stripe stress test uses 1.5% + £0.20 standard UK online-card fee; pallet/mix-and-match pricing ignored.</x:v>
      </x:c>
    </x:row>
    <x:row r="2636">
      <x:c r="A2636" t="str">
        <x:v>Active Sports Nutrition</x:v>
      </x:c>
      <x:c r="B2636" t="str">
        <x:v>Scitec Nutrition</x:v>
      </x:c>
      <x:c r="C2636" t="str">
        <x:v>Shaker</x:v>
      </x:c>
      <x:c r="D2636" t="str">
        <x:v>Merch &amp; Apparel</x:v>
      </x:c>
      <x:c r="E2636" t="str">
        <x:v>Shakers</x:v>
      </x:c>
      <x:c r="F2636" t="str"/>
      <x:c r="G2636" t="str">
        <x:v>700ml</x:v>
      </x:c>
      <x:c r="H2636" t="str">
        <x:v>Neon Yellow</x:v>
      </x:c>
      <x:c r="I2636" t="str"/>
      <x:c r="J2636" t="str">
        <x:v>Unit</x:v>
      </x:c>
      <x:c r="K2636" t="str">
        <x:v>Out of stock</x:v>
      </x:c>
      <x:c r="L2636" t="str">
        <x:v>2026-09-08</x:v>
      </x:c>
      <x:c r="M2636" t="str"/>
      <x:c r="N2636" t="str"/>
      <x:c r="O2636" t="str">
        <x:v>https://www.activesportstrade.co.uk/scitec-nutrition-trade</x:v>
      </x:c>
      <x:c r="P2636" t="str"/>
      <x:c r="Q2636" t="str"/>
      <x:c r="R2636" t="str"/>
      <x:c r="S2636" t="str">
        <x:v>Pending genuine supplier/brand image</x:v>
      </x:c>
      <x:c r="T2636" s="54"/>
      <x:c r="U2636" s="47" t="n">
        <x:v>0.2</x:v>
      </x:c>
      <x:c r="V2636" s="54" t="str">
        <x:f>IF(ISNUMBER(T2636),T2636*(1+U2636),"")</x:f>
      </x:c>
      <x:c r="W2636" s="47" t="n">
        <x:v>0.3</x:v>
      </x:c>
      <x:c r="X2636" s="54" t="str">
        <x:f>IF(ISNUMBER(V2636),V2636/(1-W2636),"")</x:f>
      </x:c>
      <x:c r="Y2636" s="55" t="str">
        <x:f>IF(ISNUMBER(X2636),ROUNDUP(X2636,0),"")</x:f>
      </x:c>
      <x:c r="Z2636" t="str">
        <x:f>IF(ISNUMBER(T2636),"Cost captured","Awaiting trade cost")</x:f>
        <x:v>Awaiting trade cost</x:v>
      </x:c>
      <x:c r="AB2636" s="36" t="str">
        <x:f>IF(ISNUMBER(Y2636),ROUND(Y2636*0.9,2),"")</x:f>
      </x:c>
      <x:c r="AC2636" s="36" t="str">
        <x:f>IF(ISNUMBER(AB2636),ROUND(AB2636-(AB2636*0.015+0.2)-V2636,2),"")</x:f>
      </x:c>
      <x:c r="AD2636" s="36" t="str">
        <x:f>IF(ISNUMBER(Y2636),ROUND(Y2636*0.8,2),"")</x:f>
      </x:c>
      <x:c r="AE2636" s="36" t="str">
        <x:f>IF(ISNUMBER(AD2636),ROUND(AD2636*0.015+0.2,2),"")</x:f>
      </x:c>
      <x:c r="AF2636" s="36" t="str">
        <x:f>IF(ISNUMBER(AD2636),ROUND(AD2636-AE2636-V2636,2),"")</x:f>
      </x:c>
      <x:c r="AG2636" t="str">
        <x:f>IF(NOT(ISNUMBER(T2636)),"PENDING",IF(AF2636&gt;0,"PASS","FAIL"))</x:f>
        <x:v>PENDING</x:v>
      </x:c>
      <x:c r="AH2636" t="str">
        <x:f>IF(NOT(ISNUMBER(T2636)),"Needs supplier cost",IF(K2636&lt;&gt;"In stock","Supplier unavailable",IF(AG2636&lt;&gt;"PASS","BLOCK - GT loss risk","Commercially protected")))</x:f>
        <x:v>Needs supplier cost</x:v>
      </x:c>
      <x:c r="AI2636" t="str">
        <x:v>2026-09-10 Active Sports trade capture</x:v>
      </x:c>
      <x:c r="AJ2636" t="str">
        <x:v>Management-only economics. Stripe stress test uses 1.5% + £0.20 standard UK online-card fee; pallet/mix-and-match pricing ignored.</x:v>
      </x:c>
    </x:row>
    <x:row r="2637">
      <x:c r="A2637" t="str">
        <x:v>Active Sports Nutrition</x:v>
      </x:c>
      <x:c r="B2637" t="str">
        <x:v>Scitec Nutrition</x:v>
      </x:c>
      <x:c r="C2637" t="str">
        <x:v>Shaker</x:v>
      </x:c>
      <x:c r="D2637" t="str">
        <x:v>Merch &amp; Apparel</x:v>
      </x:c>
      <x:c r="E2637" t="str">
        <x:v>Shakers</x:v>
      </x:c>
      <x:c r="F2637" t="str"/>
      <x:c r="G2637" t="str">
        <x:v>700ml</x:v>
      </x:c>
      <x:c r="H2637" t="str">
        <x:v>Opaque Smoke</x:v>
      </x:c>
      <x:c r="I2637" t="str"/>
      <x:c r="J2637" t="str">
        <x:v>Unit</x:v>
      </x:c>
      <x:c r="K2637" t="str">
        <x:v>Out of stock</x:v>
      </x:c>
      <x:c r="L2637" t="str">
        <x:v>2026-09-08</x:v>
      </x:c>
      <x:c r="M2637" t="str"/>
      <x:c r="N2637" t="str"/>
      <x:c r="O2637" t="str">
        <x:v>https://www.activesportstrade.co.uk/scitec-nutrition-trade</x:v>
      </x:c>
      <x:c r="P2637" t="str"/>
      <x:c r="Q2637" t="str"/>
      <x:c r="R2637" t="str"/>
      <x:c r="S2637" t="str">
        <x:v>Pending genuine supplier/brand image</x:v>
      </x:c>
      <x:c r="T2637" s="54"/>
      <x:c r="U2637" s="47" t="n">
        <x:v>0.2</x:v>
      </x:c>
      <x:c r="V2637" s="54" t="str">
        <x:f>IF(ISNUMBER(T2637),T2637*(1+U2637),"")</x:f>
      </x:c>
      <x:c r="W2637" s="47" t="n">
        <x:v>0.3</x:v>
      </x:c>
      <x:c r="X2637" s="54" t="str">
        <x:f>IF(ISNUMBER(V2637),V2637/(1-W2637),"")</x:f>
      </x:c>
      <x:c r="Y2637" s="55" t="str">
        <x:f>IF(ISNUMBER(X2637),ROUNDUP(X2637,0),"")</x:f>
      </x:c>
      <x:c r="Z2637" t="str">
        <x:f>IF(ISNUMBER(T2637),"Cost captured","Awaiting trade cost")</x:f>
        <x:v>Awaiting trade cost</x:v>
      </x:c>
      <x:c r="AB2637" s="36" t="str">
        <x:f>IF(ISNUMBER(Y2637),ROUND(Y2637*0.9,2),"")</x:f>
      </x:c>
      <x:c r="AC2637" s="36" t="str">
        <x:f>IF(ISNUMBER(AB2637),ROUND(AB2637-(AB2637*0.015+0.2)-V2637,2),"")</x:f>
      </x:c>
      <x:c r="AD2637" s="36" t="str">
        <x:f>IF(ISNUMBER(Y2637),ROUND(Y2637*0.8,2),"")</x:f>
      </x:c>
      <x:c r="AE2637" s="36" t="str">
        <x:f>IF(ISNUMBER(AD2637),ROUND(AD2637*0.015+0.2,2),"")</x:f>
      </x:c>
      <x:c r="AF2637" s="36" t="str">
        <x:f>IF(ISNUMBER(AD2637),ROUND(AD2637-AE2637-V2637,2),"")</x:f>
      </x:c>
      <x:c r="AG2637" t="str">
        <x:f>IF(NOT(ISNUMBER(T2637)),"PENDING",IF(AF2637&gt;0,"PASS","FAIL"))</x:f>
        <x:v>PENDING</x:v>
      </x:c>
      <x:c r="AH2637" t="str">
        <x:f>IF(NOT(ISNUMBER(T2637)),"Needs supplier cost",IF(K2637&lt;&gt;"In stock","Supplier unavailable",IF(AG2637&lt;&gt;"PASS","BLOCK - GT loss risk","Commercially protected")))</x:f>
        <x:v>Needs supplier cost</x:v>
      </x:c>
      <x:c r="AI2637" t="str">
        <x:v>2026-09-10 Active Sports trade capture</x:v>
      </x:c>
      <x:c r="AJ2637" t="str">
        <x:v>Management-only economics. Stripe stress test uses 1.5% + £0.20 standard UK online-card fee; pallet/mix-and-match pricing ignored.</x:v>
      </x:c>
    </x:row>
    <x:row r="2638">
      <x:c r="A2638" t="str">
        <x:v>Active Sports Nutrition</x:v>
      </x:c>
      <x:c r="B2638" t="str">
        <x:v>Scitec Nutrition</x:v>
      </x:c>
      <x:c r="C2638" t="str">
        <x:v>Shaker</x:v>
      </x:c>
      <x:c r="D2638" t="str">
        <x:v>Merch &amp; Apparel</x:v>
      </x:c>
      <x:c r="E2638" t="str">
        <x:v>Shakers</x:v>
      </x:c>
      <x:c r="F2638" t="str"/>
      <x:c r="G2638" t="str">
        <x:v>700ml</x:v>
      </x:c>
      <x:c r="H2638" t="str">
        <x:v>Opaque White Lid</x:v>
      </x:c>
      <x:c r="I2638" t="str"/>
      <x:c r="J2638" t="str">
        <x:v>Unit</x:v>
      </x:c>
      <x:c r="K2638" t="str">
        <x:v>Out of stock</x:v>
      </x:c>
      <x:c r="L2638" t="str">
        <x:v>2026-09-08</x:v>
      </x:c>
      <x:c r="M2638" t="str"/>
      <x:c r="N2638" t="str"/>
      <x:c r="O2638" t="str">
        <x:v>https://www.activesportstrade.co.uk/scitec-nutrition-trade</x:v>
      </x:c>
      <x:c r="P2638" t="str"/>
      <x:c r="Q2638" t="str"/>
      <x:c r="R2638" t="str"/>
      <x:c r="S2638" t="str">
        <x:v>Pending genuine supplier/brand image</x:v>
      </x:c>
      <x:c r="T2638" s="54"/>
      <x:c r="U2638" s="47" t="n">
        <x:v>0.2</x:v>
      </x:c>
      <x:c r="V2638" s="54" t="str">
        <x:f>IF(ISNUMBER(T2638),T2638*(1+U2638),"")</x:f>
      </x:c>
      <x:c r="W2638" s="47" t="n">
        <x:v>0.3</x:v>
      </x:c>
      <x:c r="X2638" s="54" t="str">
        <x:f>IF(ISNUMBER(V2638),V2638/(1-W2638),"")</x:f>
      </x:c>
      <x:c r="Y2638" s="55" t="str">
        <x:f>IF(ISNUMBER(X2638),ROUNDUP(X2638,0),"")</x:f>
      </x:c>
      <x:c r="Z2638" t="str">
        <x:f>IF(ISNUMBER(T2638),"Cost captured","Awaiting trade cost")</x:f>
        <x:v>Awaiting trade cost</x:v>
      </x:c>
      <x:c r="AB2638" s="36" t="str">
        <x:f>IF(ISNUMBER(Y2638),ROUND(Y2638*0.9,2),"")</x:f>
      </x:c>
      <x:c r="AC2638" s="36" t="str">
        <x:f>IF(ISNUMBER(AB2638),ROUND(AB2638-(AB2638*0.015+0.2)-V2638,2),"")</x:f>
      </x:c>
      <x:c r="AD2638" s="36" t="str">
        <x:f>IF(ISNUMBER(Y2638),ROUND(Y2638*0.8,2),"")</x:f>
      </x:c>
      <x:c r="AE2638" s="36" t="str">
        <x:f>IF(ISNUMBER(AD2638),ROUND(AD2638*0.015+0.2,2),"")</x:f>
      </x:c>
      <x:c r="AF2638" s="36" t="str">
        <x:f>IF(ISNUMBER(AD2638),ROUND(AD2638-AE2638-V2638,2),"")</x:f>
      </x:c>
      <x:c r="AG2638" t="str">
        <x:f>IF(NOT(ISNUMBER(T2638)),"PENDING",IF(AF2638&gt;0,"PASS","FAIL"))</x:f>
        <x:v>PENDING</x:v>
      </x:c>
      <x:c r="AH2638" t="str">
        <x:f>IF(NOT(ISNUMBER(T2638)),"Needs supplier cost",IF(K2638&lt;&gt;"In stock","Supplier unavailable",IF(AG2638&lt;&gt;"PASS","BLOCK - GT loss risk","Commercially protected")))</x:f>
        <x:v>Needs supplier cost</x:v>
      </x:c>
      <x:c r="AI2638" t="str">
        <x:v>2026-09-10 Active Sports trade capture</x:v>
      </x:c>
      <x:c r="AJ2638" t="str">
        <x:v>Management-only economics. Stripe stress test uses 1.5% + £0.20 standard UK online-card fee; pallet/mix-and-match pricing ignored.</x:v>
      </x:c>
    </x:row>
    <x:row r="2639">
      <x:c r="A2639" t="str">
        <x:v>Active Sports Nutrition</x:v>
      </x:c>
      <x:c r="B2639" t="str">
        <x:v>Scitec Nutrition</x:v>
      </x:c>
      <x:c r="C2639" t="str">
        <x:v>Shaker</x:v>
      </x:c>
      <x:c r="D2639" t="str">
        <x:v>Merch &amp; Apparel</x:v>
      </x:c>
      <x:c r="E2639" t="str">
        <x:v>Shakers</x:v>
      </x:c>
      <x:c r="F2639" t="str"/>
      <x:c r="G2639" t="str">
        <x:v>700ml</x:v>
      </x:c>
      <x:c r="H2639" t="str">
        <x:v>Red</x:v>
      </x:c>
      <x:c r="I2639" t="str"/>
      <x:c r="J2639" t="str">
        <x:v>Unit</x:v>
      </x:c>
      <x:c r="K2639" t="str">
        <x:v>Out of stock</x:v>
      </x:c>
      <x:c r="L2639" t="str">
        <x:v>2026-09-08</x:v>
      </x:c>
      <x:c r="M2639" t="str"/>
      <x:c r="N2639" t="str"/>
      <x:c r="O2639" t="str">
        <x:v>https://www.activesportstrade.co.uk/scitec-nutrition-trade</x:v>
      </x:c>
      <x:c r="P2639" t="str"/>
      <x:c r="Q2639" t="str"/>
      <x:c r="R2639" t="str"/>
      <x:c r="S2639" t="str">
        <x:v>Pending genuine supplier/brand image</x:v>
      </x:c>
      <x:c r="T2639" s="54"/>
      <x:c r="U2639" s="47" t="n">
        <x:v>0.2</x:v>
      </x:c>
      <x:c r="V2639" s="54" t="str">
        <x:f>IF(ISNUMBER(T2639),T2639*(1+U2639),"")</x:f>
      </x:c>
      <x:c r="W2639" s="47" t="n">
        <x:v>0.3</x:v>
      </x:c>
      <x:c r="X2639" s="54" t="str">
        <x:f>IF(ISNUMBER(V2639),V2639/(1-W2639),"")</x:f>
      </x:c>
      <x:c r="Y2639" s="55" t="str">
        <x:f>IF(ISNUMBER(X2639),ROUNDUP(X2639,0),"")</x:f>
      </x:c>
      <x:c r="Z2639" t="str">
        <x:f>IF(ISNUMBER(T2639),"Cost captured","Awaiting trade cost")</x:f>
        <x:v>Awaiting trade cost</x:v>
      </x:c>
      <x:c r="AB2639" s="36" t="str">
        <x:f>IF(ISNUMBER(Y2639),ROUND(Y2639*0.9,2),"")</x:f>
      </x:c>
      <x:c r="AC2639" s="36" t="str">
        <x:f>IF(ISNUMBER(AB2639),ROUND(AB2639-(AB2639*0.015+0.2)-V2639,2),"")</x:f>
      </x:c>
      <x:c r="AD2639" s="36" t="str">
        <x:f>IF(ISNUMBER(Y2639),ROUND(Y2639*0.8,2),"")</x:f>
      </x:c>
      <x:c r="AE2639" s="36" t="str">
        <x:f>IF(ISNUMBER(AD2639),ROUND(AD2639*0.015+0.2,2),"")</x:f>
      </x:c>
      <x:c r="AF2639" s="36" t="str">
        <x:f>IF(ISNUMBER(AD2639),ROUND(AD2639-AE2639-V2639,2),"")</x:f>
      </x:c>
      <x:c r="AG2639" t="str">
        <x:f>IF(NOT(ISNUMBER(T2639)),"PENDING",IF(AF2639&gt;0,"PASS","FAIL"))</x:f>
        <x:v>PENDING</x:v>
      </x:c>
      <x:c r="AH2639" t="str">
        <x:f>IF(NOT(ISNUMBER(T2639)),"Needs supplier cost",IF(K2639&lt;&gt;"In stock","Supplier unavailable",IF(AG2639&lt;&gt;"PASS","BLOCK - GT loss risk","Commercially protected")))</x:f>
        <x:v>Needs supplier cost</x:v>
      </x:c>
      <x:c r="AI2639" t="str">
        <x:v>2026-09-10 Active Sports trade capture</x:v>
      </x:c>
      <x:c r="AJ2639" t="str">
        <x:v>Management-only economics. Stripe stress test uses 1.5% + £0.20 standard UK online-card fee; pallet/mix-and-match pricing ignored.</x:v>
      </x:c>
    </x:row>
    <x:row r="2640">
      <x:c r="A2640" t="str">
        <x:v>Active Sports Nutrition</x:v>
      </x:c>
      <x:c r="B2640" t="str">
        <x:v>Scitec Nutrition</x:v>
      </x:c>
      <x:c r="C2640" t="str">
        <x:v>Shilajit</x:v>
      </x:c>
      <x:c r="D2640" t="str">
        <x:v>Supplements</x:v>
      </x:c>
      <x:c r="E2640" t="str">
        <x:v>Health Foods</x:v>
      </x:c>
      <x:c r="F2640" t="str"/>
      <x:c r="G2640" t="str">
        <x:v>60 caps</x:v>
      </x:c>
      <x:c r="H2640" t="str">
        <x:v>Default</x:v>
      </x:c>
      <x:c r="I2640" t="str"/>
      <x:c r="J2640" t="str">
        <x:v>Unit</x:v>
      </x:c>
      <x:c r="K2640" t="str">
        <x:v>Out of stock</x:v>
      </x:c>
      <x:c r="L2640" t="str">
        <x:v>2026-09-08</x:v>
      </x:c>
      <x:c r="M2640" t="str"/>
      <x:c r="N2640" t="str"/>
      <x:c r="O2640" t="str">
        <x:v>https://www.activesportstrade.co.uk/scitec-nutrition-trade</x:v>
      </x:c>
      <x:c r="P2640" t="str"/>
      <x:c r="Q2640" t="str"/>
      <x:c r="R2640" t="str"/>
      <x:c r="S2640" t="str">
        <x:v>Pending genuine supplier/brand image</x:v>
      </x:c>
      <x:c r="T2640" s="54" t="n">
        <x:v>8.45</x:v>
      </x:c>
      <x:c r="U2640" s="47" t="n">
        <x:v>0.2</x:v>
      </x:c>
      <x:c r="V2640" s="54" t="n">
        <x:f>IF(ISNUMBER(T2640),T2640*(1+U2640),"")</x:f>
        <x:v>10.139999999999999</x:v>
      </x:c>
      <x:c r="W2640" s="47" t="n">
        <x:v>0.3</x:v>
      </x:c>
      <x:c r="X2640" s="54" t="n">
        <x:f>IF(ISNUMBER(V2640),V2640/(1-W2640),"")</x:f>
        <x:v>14.485714285714286</x:v>
      </x:c>
      <x:c r="Y2640" s="55" t="n">
        <x:f>IF(ISNUMBER(X2640),ROUNDUP(X2640,0),"")</x:f>
        <x:v>15</x:v>
      </x:c>
      <x:c r="Z2640" t="str">
        <x:v>Source match pending</x:v>
      </x:c>
      <x:c r="AA2640" t="str">
        <x:v>screencapture-www-activesportstrade-co-uk-scitec-nutrition-trade-2026-09-10-09_07_50.pdf / page-7</x:v>
      </x:c>
      <x:c r="AB2640" s="36" t="n">
        <x:f>IF(ISNUMBER(Y2640),ROUND(Y2640*0.9,2),"")</x:f>
        <x:v>13.5</x:v>
      </x:c>
      <x:c r="AC2640" s="36" t="n">
        <x:f>IF(ISNUMBER(AB2640),ROUND(AB2640-(AB2640*0.015+0.2)-V2640,2),"")</x:f>
        <x:v>2.96</x:v>
      </x:c>
      <x:c r="AD2640" s="36" t="n">
        <x:f>IF(ISNUMBER(Y2640),ROUND(Y2640*0.8,2),"")</x:f>
        <x:v>12</x:v>
      </x:c>
      <x:c r="AE2640" s="36" t="n">
        <x:f>IF(ISNUMBER(AD2640),ROUND(AD2640*0.015+0.2,2),"")</x:f>
        <x:v>0.38</x:v>
      </x:c>
      <x:c r="AF2640" s="36" t="n">
        <x:f>IF(ISNUMBER(AD2640),ROUND(AD2640-AE2640-V2640,2),"")</x:f>
        <x:v>1.48</x:v>
      </x:c>
      <x:c r="AG2640" t="str">
        <x:f>IF(NOT(ISNUMBER(T2640)),"PENDING",IF(AF2640&gt;0,"PASS","FAIL"))</x:f>
        <x:v>PASS</x:v>
      </x:c>
      <x:c r="AH2640" t="str">
        <x:f>IF(NOT(ISNUMBER(T2640)),"Needs supplier cost",IF(K2640&lt;&gt;"In stock","Supplier unavailable",IF(AG2640&lt;&gt;"PASS","BLOCK - GT loss risk","Commercially protected")))</x:f>
        <x:v>Supplier unavailable</x:v>
      </x:c>
      <x:c r="AI2640" t="str">
        <x:v>2026-09-10 Active Sports trade capture</x:v>
      </x:c>
      <x:c r="AJ2640" t="str">
        <x:v>Management-only economics. Stripe stress test uses 1.5% + £0.20 standard UK online-card fee; pallet/mix-and-match pricing ignored.</x:v>
      </x:c>
    </x:row>
    <x:row r="2641">
      <x:c r="A2641" t="str">
        <x:v>Active Sports Nutrition</x:v>
      </x:c>
      <x:c r="B2641" t="str">
        <x:v>Scitec Nutrition</x:v>
      </x:c>
      <x:c r="C2641" t="str">
        <x:v>SuperCarb Xpress</x:v>
      </x:c>
      <x:c r="D2641" t="str">
        <x:v>Supplements</x:v>
      </x:c>
      <x:c r="E2641" t="str">
        <x:v>Carbohydrates</x:v>
      </x:c>
      <x:c r="F2641" t="str"/>
      <x:c r="G2641" t="str">
        <x:v>1000g</x:v>
      </x:c>
      <x:c r="H2641" t="str">
        <x:v>Raspberry Tea</x:v>
      </x:c>
      <x:c r="I2641" t="str"/>
      <x:c r="J2641" t="str">
        <x:v>Unit</x:v>
      </x:c>
      <x:c r="K2641" t="str">
        <x:v>In stock</x:v>
      </x:c>
      <x:c r="L2641" t="str">
        <x:v>2026-09-08</x:v>
      </x:c>
      <x:c r="M2641" t="str"/>
      <x:c r="N2641" t="str"/>
      <x:c r="O2641" t="str">
        <x:v>https://www.activesportstrade.co.uk/scitec-nutrition-trade</x:v>
      </x:c>
      <x:c r="P2641" t="str"/>
      <x:c r="Q2641" t="str"/>
      <x:c r="R2641" t="str"/>
      <x:c r="S2641" t="str">
        <x:v>Pending genuine supplier/brand image</x:v>
      </x:c>
      <x:c r="T2641" s="54" t="n">
        <x:v>6.8</x:v>
      </x:c>
      <x:c r="U2641" s="47" t="n">
        <x:v>0.2</x:v>
      </x:c>
      <x:c r="V2641" s="54" t="n">
        <x:f>IF(ISNUMBER(T2641),T2641*(1+U2641),"")</x:f>
        <x:v>8.16</x:v>
      </x:c>
      <x:c r="W2641" s="47" t="n">
        <x:v>0.3</x:v>
      </x:c>
      <x:c r="X2641" s="54" t="n">
        <x:f>IF(ISNUMBER(V2641),V2641/(1-W2641),"")</x:f>
        <x:v>11.657142857142858</x:v>
      </x:c>
      <x:c r="Y2641" s="55" t="n">
        <x:f>IF(ISNUMBER(X2641),ROUNDUP(X2641,0),"")</x:f>
        <x:v>12</x:v>
      </x:c>
      <x:c r="Z2641" t="str">
        <x:v>Source match pending</x:v>
      </x:c>
      <x:c r="AA2641" t="str">
        <x:v>screencapture-www-activesportstrade-co-uk-scitec-nutrition-trade-2026-09-10-09_07_50.pdf / page-7</x:v>
      </x:c>
      <x:c r="AB2641" s="36" t="n">
        <x:f>IF(ISNUMBER(Y2641),ROUND(Y2641*0.9,2),"")</x:f>
        <x:v>10.8</x:v>
      </x:c>
      <x:c r="AC2641" s="36" t="n">
        <x:f>IF(ISNUMBER(AB2641),ROUND(AB2641-(AB2641*0.015+0.2)-V2641,2),"")</x:f>
        <x:v>2.28</x:v>
      </x:c>
      <x:c r="AD2641" s="36" t="n">
        <x:f>IF(ISNUMBER(Y2641),ROUND(Y2641*0.8,2),"")</x:f>
        <x:v>9.6</x:v>
      </x:c>
      <x:c r="AE2641" s="36" t="n">
        <x:f>IF(ISNUMBER(AD2641),ROUND(AD2641*0.015+0.2,2),"")</x:f>
        <x:v>0.34</x:v>
      </x:c>
      <x:c r="AF2641" s="36" t="n">
        <x:f>IF(ISNUMBER(AD2641),ROUND(AD2641-AE2641-V2641,2),"")</x:f>
        <x:v>1.1</x:v>
      </x:c>
      <x:c r="AG2641" t="str">
        <x:f>IF(NOT(ISNUMBER(T2641)),"PENDING",IF(AF2641&gt;0,"PASS","FAIL"))</x:f>
        <x:v>PASS</x:v>
      </x:c>
      <x:c r="AH2641" t="str">
        <x:f>IF(NOT(ISNUMBER(T2641)),"Needs supplier cost",IF(K2641&lt;&gt;"In stock","Supplier unavailable",IF(AG2641&lt;&gt;"PASS","BLOCK - GT loss risk","Commercially protected")))</x:f>
        <x:v>Commercially protected</x:v>
      </x:c>
      <x:c r="AI2641" t="str">
        <x:v>2026-09-10 Active Sports trade capture</x:v>
      </x:c>
      <x:c r="AJ2641" t="str">
        <x:v>Management-only economics. Stripe stress test uses 1.5% + £0.20 standard UK online-card fee; pallet/mix-and-match pricing ignored.</x:v>
      </x:c>
    </x:row>
    <x:row r="2642">
      <x:c r="A2642" t="str">
        <x:v>Active Sports Nutrition</x:v>
      </x:c>
      <x:c r="B2642" t="str">
        <x:v>Scitec Nutrition</x:v>
      </x:c>
      <x:c r="C2642" t="str">
        <x:v>SuperCarb Xpress</x:v>
      </x:c>
      <x:c r="D2642" t="str">
        <x:v>Supplements</x:v>
      </x:c>
      <x:c r="E2642" t="str">
        <x:v>Carbohydrates</x:v>
      </x:c>
      <x:c r="F2642" t="str"/>
      <x:c r="G2642" t="str">
        <x:v>1000g</x:v>
      </x:c>
      <x:c r="H2642" t="str">
        <x:v>Unflavoured</x:v>
      </x:c>
      <x:c r="I2642" t="str"/>
      <x:c r="J2642" t="str">
        <x:v>Unit</x:v>
      </x:c>
      <x:c r="K2642" t="str">
        <x:v>In stock</x:v>
      </x:c>
      <x:c r="L2642" t="str">
        <x:v>2026-09-08</x:v>
      </x:c>
      <x:c r="M2642" t="str"/>
      <x:c r="N2642" t="str"/>
      <x:c r="O2642" t="str">
        <x:v>https://www.activesportstrade.co.uk/scitec-nutrition-trade</x:v>
      </x:c>
      <x:c r="P2642" t="str"/>
      <x:c r="Q2642" t="str"/>
      <x:c r="R2642" t="str"/>
      <x:c r="S2642" t="str">
        <x:v>Pending genuine supplier/brand image</x:v>
      </x:c>
      <x:c r="T2642" s="54" t="n">
        <x:v>6.8</x:v>
      </x:c>
      <x:c r="U2642" s="47" t="n">
        <x:v>0.2</x:v>
      </x:c>
      <x:c r="V2642" s="54" t="n">
        <x:f>IF(ISNUMBER(T2642),T2642*(1+U2642),"")</x:f>
        <x:v>8.16</x:v>
      </x:c>
      <x:c r="W2642" s="47" t="n">
        <x:v>0.3</x:v>
      </x:c>
      <x:c r="X2642" s="54" t="n">
        <x:f>IF(ISNUMBER(V2642),V2642/(1-W2642),"")</x:f>
        <x:v>11.657142857142858</x:v>
      </x:c>
      <x:c r="Y2642" s="55" t="n">
        <x:f>IF(ISNUMBER(X2642),ROUNDUP(X2642,0),"")</x:f>
        <x:v>12</x:v>
      </x:c>
      <x:c r="Z2642" t="str">
        <x:v>Source match pending</x:v>
      </x:c>
      <x:c r="AA2642" t="str">
        <x:v>screencapture-www-activesportstrade-co-uk-scitec-nutrition-trade-2026-09-10-09_07_50.pdf / page-7</x:v>
      </x:c>
      <x:c r="AB2642" s="36" t="n">
        <x:f>IF(ISNUMBER(Y2642),ROUND(Y2642*0.9,2),"")</x:f>
        <x:v>10.8</x:v>
      </x:c>
      <x:c r="AC2642" s="36" t="n">
        <x:f>IF(ISNUMBER(AB2642),ROUND(AB2642-(AB2642*0.015+0.2)-V2642,2),"")</x:f>
        <x:v>2.28</x:v>
      </x:c>
      <x:c r="AD2642" s="36" t="n">
        <x:f>IF(ISNUMBER(Y2642),ROUND(Y2642*0.8,2),"")</x:f>
        <x:v>9.6</x:v>
      </x:c>
      <x:c r="AE2642" s="36" t="n">
        <x:f>IF(ISNUMBER(AD2642),ROUND(AD2642*0.015+0.2,2),"")</x:f>
        <x:v>0.34</x:v>
      </x:c>
      <x:c r="AF2642" s="36" t="n">
        <x:f>IF(ISNUMBER(AD2642),ROUND(AD2642-AE2642-V2642,2),"")</x:f>
        <x:v>1.1</x:v>
      </x:c>
      <x:c r="AG2642" t="str">
        <x:f>IF(NOT(ISNUMBER(T2642)),"PENDING",IF(AF2642&gt;0,"PASS","FAIL"))</x:f>
        <x:v>PASS</x:v>
      </x:c>
      <x:c r="AH2642" t="str">
        <x:f>IF(NOT(ISNUMBER(T2642)),"Needs supplier cost",IF(K2642&lt;&gt;"In stock","Supplier unavailable",IF(AG2642&lt;&gt;"PASS","BLOCK - GT loss risk","Commercially protected")))</x:f>
        <x:v>Commercially protected</x:v>
      </x:c>
      <x:c r="AI2642" t="str">
        <x:v>2026-09-10 Active Sports trade capture</x:v>
      </x:c>
      <x:c r="AJ2642" t="str">
        <x:v>Management-only economics. Stripe stress test uses 1.5% + £0.20 standard UK online-card fee; pallet/mix-and-match pricing ignored.</x:v>
      </x:c>
    </x:row>
    <x:row r="2643">
      <x:c r="A2643" t="str">
        <x:v>Active Sports Nutrition</x:v>
      </x:c>
      <x:c r="B2643" t="str">
        <x:v>Reflex Nutrition</x:v>
      </x:c>
      <x:c r="C2643" t="str">
        <x:v>Clear Whey Isolate</x:v>
      </x:c>
      <x:c r="D2643" t="str">
        <x:v>Supplements</x:v>
      </x:c>
      <x:c r="E2643" t="str">
        <x:v>Clear Whey Isolate</x:v>
      </x:c>
      <x:c r="F2643" t="str"/>
      <x:c r="G2643" t="str">
        <x:v>510g</x:v>
      </x:c>
      <x:c r="H2643" t="str">
        <x:v>Blue Raspberry (BAG)</x:v>
      </x:c>
      <x:c r="I2643" t="str"/>
      <x:c r="J2643" t="str">
        <x:v>Unit</x:v>
      </x:c>
      <x:c r="K2643" t="str">
        <x:v>In stock</x:v>
      </x:c>
      <x:c r="L2643" t="str">
        <x:v>2026-09-08</x:v>
      </x:c>
      <x:c r="M2643" t="str"/>
      <x:c r="N2643" t="str"/>
      <x:c r="O2643" t="str">
        <x:v>https://www.activesportstrade.co.uk/reflex-nutrition-trade</x:v>
      </x:c>
      <x:c r="P2643" t="str">
        <x:v>SPECIAL OFFER wording stripped; supplier bag notation retained because it distinguishes the listed exact variant.</x:v>
      </x:c>
      <x:c r="Q2643" t="str"/>
      <x:c r="R2643" t="str"/>
      <x:c r="S2643" t="str">
        <x:v>Pending genuine supplier/brand image</x:v>
      </x:c>
      <x:c r="T2643" s="54"/>
      <x:c r="U2643" s="47" t="n">
        <x:v>0.2</x:v>
      </x:c>
      <x:c r="V2643" s="54" t="str">
        <x:f>IF(ISNUMBER(T2643),T2643*(1+U2643),"")</x:f>
      </x:c>
      <x:c r="W2643" s="47" t="n">
        <x:v>0.3</x:v>
      </x:c>
      <x:c r="X2643" s="54" t="str">
        <x:f>IF(ISNUMBER(V2643),V2643/(1-W2643),"")</x:f>
      </x:c>
      <x:c r="Y2643" s="55" t="str">
        <x:f>IF(ISNUMBER(X2643),ROUNDUP(X2643,0),"")</x:f>
      </x:c>
      <x:c r="Z2643" t="str">
        <x:f>IF(ISNUMBER(T2643),"Cost captured","Awaiting trade cost")</x:f>
        <x:v>Awaiting trade cost</x:v>
      </x:c>
      <x:c r="AB2643" s="36" t="str">
        <x:f>IF(ISNUMBER(Y2643),ROUND(Y2643*0.9,2),"")</x:f>
      </x:c>
      <x:c r="AC2643" s="36" t="str">
        <x:f>IF(ISNUMBER(AB2643),ROUND(AB2643-(AB2643*0.015+0.2)-V2643,2),"")</x:f>
      </x:c>
      <x:c r="AD2643" s="36" t="str">
        <x:f>IF(ISNUMBER(Y2643),ROUND(Y2643*0.8,2),"")</x:f>
      </x:c>
      <x:c r="AE2643" s="36" t="str">
        <x:f>IF(ISNUMBER(AD2643),ROUND(AD2643*0.015+0.2,2),"")</x:f>
      </x:c>
      <x:c r="AF2643" s="36" t="str">
        <x:f>IF(ISNUMBER(AD2643),ROUND(AD2643-AE2643-V2643,2),"")</x:f>
      </x:c>
      <x:c r="AG2643" t="str">
        <x:f>IF(NOT(ISNUMBER(T2643)),"PENDING",IF(AF2643&gt;0,"PASS","FAIL"))</x:f>
        <x:v>PENDING</x:v>
      </x:c>
      <x:c r="AH2643" t="str">
        <x:f>IF(NOT(ISNUMBER(T2643)),"Needs supplier cost",IF(K2643&lt;&gt;"In stock","Supplier unavailable",IF(AG2643&lt;&gt;"PASS","BLOCK - GT loss risk","Commercially protected")))</x:f>
        <x:v>Needs supplier cost</x:v>
      </x:c>
      <x:c r="AI2643" t="str">
        <x:v>2026-09-10 Active Sports trade capture</x:v>
      </x:c>
      <x:c r="AJ2643" t="str">
        <x:v>Management-only economics. Stripe stress test uses 1.5% + £0.20 standard UK online-card fee; pallet/mix-and-match pricing ignored.</x:v>
      </x:c>
    </x:row>
    <x:row r="2644">
      <x:c r="A2644" t="str">
        <x:v>Active Sports Nutrition</x:v>
      </x:c>
      <x:c r="B2644" t="str">
        <x:v>Reflex Nutrition</x:v>
      </x:c>
      <x:c r="C2644" t="str">
        <x:v>Clear Whey Isolate</x:v>
      </x:c>
      <x:c r="D2644" t="str">
        <x:v>Supplements</x:v>
      </x:c>
      <x:c r="E2644" t="str">
        <x:v>Clear Whey Isolate</x:v>
      </x:c>
      <x:c r="F2644" t="str"/>
      <x:c r="G2644" t="str">
        <x:v>510g</x:v>
      </x:c>
      <x:c r="H2644" t="str">
        <x:v>Mango Passionfruit (BAG)</x:v>
      </x:c>
      <x:c r="I2644" t="str"/>
      <x:c r="J2644" t="str">
        <x:v>Unit</x:v>
      </x:c>
      <x:c r="K2644" t="str">
        <x:v>In stock</x:v>
      </x:c>
      <x:c r="L2644" t="str">
        <x:v>2026-09-08</x:v>
      </x:c>
      <x:c r="M2644" t="str"/>
      <x:c r="N2644" t="str"/>
      <x:c r="O2644" t="str">
        <x:v>https://www.activesportstrade.co.uk/reflex-nutrition-trade</x:v>
      </x:c>
      <x:c r="P2644" t="str">
        <x:v>SPECIAL OFFER wording stripped; supplier bag notation retained because it distinguishes the listed exact variant.</x:v>
      </x:c>
      <x:c r="Q2644" t="str"/>
      <x:c r="R2644" t="str"/>
      <x:c r="S2644" t="str">
        <x:v>Pending genuine supplier/brand image</x:v>
      </x:c>
      <x:c r="T2644" s="54"/>
      <x:c r="U2644" s="47" t="n">
        <x:v>0.2</x:v>
      </x:c>
      <x:c r="V2644" s="54" t="str">
        <x:f>IF(ISNUMBER(T2644),T2644*(1+U2644),"")</x:f>
      </x:c>
      <x:c r="W2644" s="47" t="n">
        <x:v>0.3</x:v>
      </x:c>
      <x:c r="X2644" s="54" t="str">
        <x:f>IF(ISNUMBER(V2644),V2644/(1-W2644),"")</x:f>
      </x:c>
      <x:c r="Y2644" s="55" t="str">
        <x:f>IF(ISNUMBER(X2644),ROUNDUP(X2644,0),"")</x:f>
      </x:c>
      <x:c r="Z2644" t="str">
        <x:f>IF(ISNUMBER(T2644),"Cost captured","Awaiting trade cost")</x:f>
        <x:v>Awaiting trade cost</x:v>
      </x:c>
      <x:c r="AB2644" s="36" t="str">
        <x:f>IF(ISNUMBER(Y2644),ROUND(Y2644*0.9,2),"")</x:f>
      </x:c>
      <x:c r="AC2644" s="36" t="str">
        <x:f>IF(ISNUMBER(AB2644),ROUND(AB2644-(AB2644*0.015+0.2)-V2644,2),"")</x:f>
      </x:c>
      <x:c r="AD2644" s="36" t="str">
        <x:f>IF(ISNUMBER(Y2644),ROUND(Y2644*0.8,2),"")</x:f>
      </x:c>
      <x:c r="AE2644" s="36" t="str">
        <x:f>IF(ISNUMBER(AD2644),ROUND(AD2644*0.015+0.2,2),"")</x:f>
      </x:c>
      <x:c r="AF2644" s="36" t="str">
        <x:f>IF(ISNUMBER(AD2644),ROUND(AD2644-AE2644-V2644,2),"")</x:f>
      </x:c>
      <x:c r="AG2644" t="str">
        <x:f>IF(NOT(ISNUMBER(T2644)),"PENDING",IF(AF2644&gt;0,"PASS","FAIL"))</x:f>
        <x:v>PENDING</x:v>
      </x:c>
      <x:c r="AH2644" t="str">
        <x:f>IF(NOT(ISNUMBER(T2644)),"Needs supplier cost",IF(K2644&lt;&gt;"In stock","Supplier unavailable",IF(AG2644&lt;&gt;"PASS","BLOCK - GT loss risk","Commercially protected")))</x:f>
        <x:v>Needs supplier cost</x:v>
      </x:c>
      <x:c r="AI2644" t="str">
        <x:v>2026-09-10 Active Sports trade capture</x:v>
      </x:c>
      <x:c r="AJ2644" t="str">
        <x:v>Management-only economics. Stripe stress test uses 1.5% + £0.20 standard UK online-card fee; pallet/mix-and-match pricing ignored.</x:v>
      </x:c>
    </x:row>
    <x:row r="2645">
      <x:c r="A2645" t="str">
        <x:v>Active Sports Nutrition</x:v>
      </x:c>
      <x:c r="B2645" t="str">
        <x:v>Reflex Nutrition</x:v>
      </x:c>
      <x:c r="C2645" t="str">
        <x:v>Clear Whey Isolate</x:v>
      </x:c>
      <x:c r="D2645" t="str">
        <x:v>Supplements</x:v>
      </x:c>
      <x:c r="E2645" t="str">
        <x:v>Clear Whey Isolate</x:v>
      </x:c>
      <x:c r="F2645" t="str"/>
      <x:c r="G2645" t="str">
        <x:v>510g</x:v>
      </x:c>
      <x:c r="H2645" t="str">
        <x:v>Peach Ice Tea (BAG)</x:v>
      </x:c>
      <x:c r="I2645" t="str"/>
      <x:c r="J2645" t="str">
        <x:v>Unit</x:v>
      </x:c>
      <x:c r="K2645" t="str">
        <x:v>In stock</x:v>
      </x:c>
      <x:c r="L2645" t="str">
        <x:v>2026-09-08</x:v>
      </x:c>
      <x:c r="M2645" t="str"/>
      <x:c r="N2645" t="str"/>
      <x:c r="O2645" t="str">
        <x:v>https://www.activesportstrade.co.uk/reflex-nutrition-trade</x:v>
      </x:c>
      <x:c r="P2645" t="str">
        <x:v>SPECIAL OFFER wording stripped; supplier bag notation retained because it distinguishes the listed exact variant.</x:v>
      </x:c>
      <x:c r="Q2645" t="str"/>
      <x:c r="R2645" t="str"/>
      <x:c r="S2645" t="str">
        <x:v>Pending genuine supplier/brand image</x:v>
      </x:c>
      <x:c r="T2645" s="54"/>
      <x:c r="U2645" s="47" t="n">
        <x:v>0.2</x:v>
      </x:c>
      <x:c r="V2645" s="54" t="str">
        <x:f>IF(ISNUMBER(T2645),T2645*(1+U2645),"")</x:f>
      </x:c>
      <x:c r="W2645" s="47" t="n">
        <x:v>0.3</x:v>
      </x:c>
      <x:c r="X2645" s="54" t="str">
        <x:f>IF(ISNUMBER(V2645),V2645/(1-W2645),"")</x:f>
      </x:c>
      <x:c r="Y2645" s="55" t="str">
        <x:f>IF(ISNUMBER(X2645),ROUNDUP(X2645,0),"")</x:f>
      </x:c>
      <x:c r="Z2645" t="str">
        <x:f>IF(ISNUMBER(T2645),"Cost captured","Awaiting trade cost")</x:f>
        <x:v>Awaiting trade cost</x:v>
      </x:c>
      <x:c r="AB2645" s="36" t="str">
        <x:f>IF(ISNUMBER(Y2645),ROUND(Y2645*0.9,2),"")</x:f>
      </x:c>
      <x:c r="AC2645" s="36" t="str">
        <x:f>IF(ISNUMBER(AB2645),ROUND(AB2645-(AB2645*0.015+0.2)-V2645,2),"")</x:f>
      </x:c>
      <x:c r="AD2645" s="36" t="str">
        <x:f>IF(ISNUMBER(Y2645),ROUND(Y2645*0.8,2),"")</x:f>
      </x:c>
      <x:c r="AE2645" s="36" t="str">
        <x:f>IF(ISNUMBER(AD2645),ROUND(AD2645*0.015+0.2,2),"")</x:f>
      </x:c>
      <x:c r="AF2645" s="36" t="str">
        <x:f>IF(ISNUMBER(AD2645),ROUND(AD2645-AE2645-V2645,2),"")</x:f>
      </x:c>
      <x:c r="AG2645" t="str">
        <x:f>IF(NOT(ISNUMBER(T2645)),"PENDING",IF(AF2645&gt;0,"PASS","FAIL"))</x:f>
        <x:v>PENDING</x:v>
      </x:c>
      <x:c r="AH2645" t="str">
        <x:f>IF(NOT(ISNUMBER(T2645)),"Needs supplier cost",IF(K2645&lt;&gt;"In stock","Supplier unavailable",IF(AG2645&lt;&gt;"PASS","BLOCK - GT loss risk","Commercially protected")))</x:f>
        <x:v>Needs supplier cost</x:v>
      </x:c>
      <x:c r="AI2645" t="str">
        <x:v>2026-09-10 Active Sports trade capture</x:v>
      </x:c>
      <x:c r="AJ2645" t="str">
        <x:v>Management-only economics. Stripe stress test uses 1.5% + £0.20 standard UK online-card fee; pallet/mix-and-match pricing ignored.</x:v>
      </x:c>
    </x:row>
    <x:row r="2646">
      <x:c r="A2646" t="str">
        <x:v>Active Sports Nutrition</x:v>
      </x:c>
      <x:c r="B2646" t="str">
        <x:v>Reflex Nutrition</x:v>
      </x:c>
      <x:c r="C2646" t="str">
        <x:v>Growth Matrix</x:v>
      </x:c>
      <x:c r="D2646" t="str">
        <x:v>Supplements</x:v>
      </x:c>
      <x:c r="E2646" t="str">
        <x:v>All in One</x:v>
      </x:c>
      <x:c r="F2646" t="str"/>
      <x:c r="G2646" t="str">
        <x:v>1.89kg</x:v>
      </x:c>
      <x:c r="H2646" t="str">
        <x:v>Chocolate Perfection</x:v>
      </x:c>
      <x:c r="I2646" t="str"/>
      <x:c r="J2646" t="str">
        <x:v>Unit</x:v>
      </x:c>
      <x:c r="K2646" t="str">
        <x:v>In stock</x:v>
      </x:c>
      <x:c r="L2646" t="str">
        <x:v>2026-09-08</x:v>
      </x:c>
      <x:c r="M2646" t="str"/>
      <x:c r="N2646" t="str"/>
      <x:c r="O2646" t="str">
        <x:v>https://www.activesportstrade.co.uk/reflex-nutrition-trade</x:v>
      </x:c>
      <x:c r="P2646" t="str"/>
      <x:c r="Q2646" t="str"/>
      <x:c r="R2646" t="str"/>
      <x:c r="S2646" t="str">
        <x:v>Pending genuine supplier/brand image</x:v>
      </x:c>
      <x:c r="T2646" s="54"/>
      <x:c r="U2646" s="47" t="n">
        <x:v>0.2</x:v>
      </x:c>
      <x:c r="V2646" s="54" t="str">
        <x:f>IF(ISNUMBER(T2646),T2646*(1+U2646),"")</x:f>
      </x:c>
      <x:c r="W2646" s="47" t="n">
        <x:v>0.3</x:v>
      </x:c>
      <x:c r="X2646" s="54" t="str">
        <x:f>IF(ISNUMBER(V2646),V2646/(1-W2646),"")</x:f>
      </x:c>
      <x:c r="Y2646" s="55" t="str">
        <x:f>IF(ISNUMBER(X2646),ROUNDUP(X2646,0),"")</x:f>
      </x:c>
      <x:c r="Z2646" t="str">
        <x:f>IF(ISNUMBER(T2646),"Cost captured","Awaiting trade cost")</x:f>
        <x:v>Awaiting trade cost</x:v>
      </x:c>
      <x:c r="AB2646" s="36" t="str">
        <x:f>IF(ISNUMBER(Y2646),ROUND(Y2646*0.9,2),"")</x:f>
      </x:c>
      <x:c r="AC2646" s="36" t="str">
        <x:f>IF(ISNUMBER(AB2646),ROUND(AB2646-(AB2646*0.015+0.2)-V2646,2),"")</x:f>
      </x:c>
      <x:c r="AD2646" s="36" t="str">
        <x:f>IF(ISNUMBER(Y2646),ROUND(Y2646*0.8,2),"")</x:f>
      </x:c>
      <x:c r="AE2646" s="36" t="str">
        <x:f>IF(ISNUMBER(AD2646),ROUND(AD2646*0.015+0.2,2),"")</x:f>
      </x:c>
      <x:c r="AF2646" s="36" t="str">
        <x:f>IF(ISNUMBER(AD2646),ROUND(AD2646-AE2646-V2646,2),"")</x:f>
      </x:c>
      <x:c r="AG2646" t="str">
        <x:f>IF(NOT(ISNUMBER(T2646)),"PENDING",IF(AF2646&gt;0,"PASS","FAIL"))</x:f>
        <x:v>PENDING</x:v>
      </x:c>
      <x:c r="AH2646" t="str">
        <x:f>IF(NOT(ISNUMBER(T2646)),"Needs supplier cost",IF(K2646&lt;&gt;"In stock","Supplier unavailable",IF(AG2646&lt;&gt;"PASS","BLOCK - GT loss risk","Commercially protected")))</x:f>
        <x:v>Needs supplier cost</x:v>
      </x:c>
      <x:c r="AI2646" t="str">
        <x:v>2026-09-10 Active Sports trade capture</x:v>
      </x:c>
      <x:c r="AJ2646" t="str">
        <x:v>Management-only economics. Stripe stress test uses 1.5% + £0.20 standard UK online-card fee; pallet/mix-and-match pricing ignored.</x:v>
      </x:c>
    </x:row>
    <x:row r="2647">
      <x:c r="A2647" t="str">
        <x:v>Active Sports Nutrition</x:v>
      </x:c>
      <x:c r="B2647" t="str">
        <x:v>Reflex Nutrition</x:v>
      </x:c>
      <x:c r="C2647" t="str">
        <x:v>Growth Matrix</x:v>
      </x:c>
      <x:c r="D2647" t="str">
        <x:v>Supplements</x:v>
      </x:c>
      <x:c r="E2647" t="str">
        <x:v>All in One</x:v>
      </x:c>
      <x:c r="F2647" t="str"/>
      <x:c r="G2647" t="str">
        <x:v>1.89kg</x:v>
      </x:c>
      <x:c r="H2647" t="str">
        <x:v>Salted Caramel</x:v>
      </x:c>
      <x:c r="I2647" t="str"/>
      <x:c r="J2647" t="str">
        <x:v>Unit</x:v>
      </x:c>
      <x:c r="K2647" t="str">
        <x:v>In stock</x:v>
      </x:c>
      <x:c r="L2647" t="str">
        <x:v>2026-09-08</x:v>
      </x:c>
      <x:c r="M2647" t="str"/>
      <x:c r="N2647" t="str"/>
      <x:c r="O2647" t="str">
        <x:v>https://www.activesportstrade.co.uk/reflex-nutrition-trade</x:v>
      </x:c>
      <x:c r="P2647" t="str"/>
      <x:c r="Q2647" t="str"/>
      <x:c r="R2647" t="str"/>
      <x:c r="S2647" t="str">
        <x:v>Pending genuine supplier/brand image</x:v>
      </x:c>
      <x:c r="T2647" s="54"/>
      <x:c r="U2647" s="47" t="n">
        <x:v>0.2</x:v>
      </x:c>
      <x:c r="V2647" s="54" t="str">
        <x:f>IF(ISNUMBER(T2647),T2647*(1+U2647),"")</x:f>
      </x:c>
      <x:c r="W2647" s="47" t="n">
        <x:v>0.3</x:v>
      </x:c>
      <x:c r="X2647" s="54" t="str">
        <x:f>IF(ISNUMBER(V2647),V2647/(1-W2647),"")</x:f>
      </x:c>
      <x:c r="Y2647" s="55" t="str">
        <x:f>IF(ISNUMBER(X2647),ROUNDUP(X2647,0),"")</x:f>
      </x:c>
      <x:c r="Z2647" t="str">
        <x:f>IF(ISNUMBER(T2647),"Cost captured","Awaiting trade cost")</x:f>
        <x:v>Awaiting trade cost</x:v>
      </x:c>
      <x:c r="AB2647" s="36" t="str">
        <x:f>IF(ISNUMBER(Y2647),ROUND(Y2647*0.9,2),"")</x:f>
      </x:c>
      <x:c r="AC2647" s="36" t="str">
        <x:f>IF(ISNUMBER(AB2647),ROUND(AB2647-(AB2647*0.015+0.2)-V2647,2),"")</x:f>
      </x:c>
      <x:c r="AD2647" s="36" t="str">
        <x:f>IF(ISNUMBER(Y2647),ROUND(Y2647*0.8,2),"")</x:f>
      </x:c>
      <x:c r="AE2647" s="36" t="str">
        <x:f>IF(ISNUMBER(AD2647),ROUND(AD2647*0.015+0.2,2),"")</x:f>
      </x:c>
      <x:c r="AF2647" s="36" t="str">
        <x:f>IF(ISNUMBER(AD2647),ROUND(AD2647-AE2647-V2647,2),"")</x:f>
      </x:c>
      <x:c r="AG2647" t="str">
        <x:f>IF(NOT(ISNUMBER(T2647)),"PENDING",IF(AF2647&gt;0,"PASS","FAIL"))</x:f>
        <x:v>PENDING</x:v>
      </x:c>
      <x:c r="AH2647" t="str">
        <x:f>IF(NOT(ISNUMBER(T2647)),"Needs supplier cost",IF(K2647&lt;&gt;"In stock","Supplier unavailable",IF(AG2647&lt;&gt;"PASS","BLOCK - GT loss risk","Commercially protected")))</x:f>
        <x:v>Needs supplier cost</x:v>
      </x:c>
      <x:c r="AI2647" t="str">
        <x:v>2026-09-10 Active Sports trade capture</x:v>
      </x:c>
      <x:c r="AJ2647" t="str">
        <x:v>Management-only economics. Stripe stress test uses 1.5% + £0.20 standard UK online-card fee; pallet/mix-and-match pricing ignored.</x:v>
      </x:c>
    </x:row>
    <x:row r="2648">
      <x:c r="A2648" t="str">
        <x:v>Active Sports Nutrition</x:v>
      </x:c>
      <x:c r="B2648" t="str">
        <x:v>Reflex Nutrition</x:v>
      </x:c>
      <x:c r="C2648" t="str">
        <x:v>Growth Matrix</x:v>
      </x:c>
      <x:c r="D2648" t="str">
        <x:v>Supplements</x:v>
      </x:c>
      <x:c r="E2648" t="str">
        <x:v>All in One</x:v>
      </x:c>
      <x:c r="F2648" t="str"/>
      <x:c r="G2648" t="str">
        <x:v>1.89kg</x:v>
      </x:c>
      <x:c r="H2648" t="str">
        <x:v>Strawberries &amp; Cream</x:v>
      </x:c>
      <x:c r="I2648" t="str"/>
      <x:c r="J2648" t="str">
        <x:v>Unit</x:v>
      </x:c>
      <x:c r="K2648" t="str">
        <x:v>Out of stock</x:v>
      </x:c>
      <x:c r="L2648" t="str">
        <x:v>2026-09-08</x:v>
      </x:c>
      <x:c r="M2648" t="str"/>
      <x:c r="N2648" t="str"/>
      <x:c r="O2648" t="str">
        <x:v>https://www.activesportstrade.co.uk/reflex-nutrition-trade</x:v>
      </x:c>
      <x:c r="P2648" t="str"/>
      <x:c r="Q2648" t="str"/>
      <x:c r="R2648" t="str"/>
      <x:c r="S2648" t="str">
        <x:v>Pending genuine supplier/brand image</x:v>
      </x:c>
      <x:c r="T2648" s="54"/>
      <x:c r="U2648" s="47" t="n">
        <x:v>0.2</x:v>
      </x:c>
      <x:c r="V2648" s="54" t="str">
        <x:f>IF(ISNUMBER(T2648),T2648*(1+U2648),"")</x:f>
      </x:c>
      <x:c r="W2648" s="47" t="n">
        <x:v>0.3</x:v>
      </x:c>
      <x:c r="X2648" s="54" t="str">
        <x:f>IF(ISNUMBER(V2648),V2648/(1-W2648),"")</x:f>
      </x:c>
      <x:c r="Y2648" s="55" t="str">
        <x:f>IF(ISNUMBER(X2648),ROUNDUP(X2648,0),"")</x:f>
      </x:c>
      <x:c r="Z2648" t="str">
        <x:f>IF(ISNUMBER(T2648),"Cost captured","Awaiting trade cost")</x:f>
        <x:v>Awaiting trade cost</x:v>
      </x:c>
      <x:c r="AB2648" s="36" t="str">
        <x:f>IF(ISNUMBER(Y2648),ROUND(Y2648*0.9,2),"")</x:f>
      </x:c>
      <x:c r="AC2648" s="36" t="str">
        <x:f>IF(ISNUMBER(AB2648),ROUND(AB2648-(AB2648*0.015+0.2)-V2648,2),"")</x:f>
      </x:c>
      <x:c r="AD2648" s="36" t="str">
        <x:f>IF(ISNUMBER(Y2648),ROUND(Y2648*0.8,2),"")</x:f>
      </x:c>
      <x:c r="AE2648" s="36" t="str">
        <x:f>IF(ISNUMBER(AD2648),ROUND(AD2648*0.015+0.2,2),"")</x:f>
      </x:c>
      <x:c r="AF2648" s="36" t="str">
        <x:f>IF(ISNUMBER(AD2648),ROUND(AD2648-AE2648-V2648,2),"")</x:f>
      </x:c>
      <x:c r="AG2648" t="str">
        <x:f>IF(NOT(ISNUMBER(T2648)),"PENDING",IF(AF2648&gt;0,"PASS","FAIL"))</x:f>
        <x:v>PENDING</x:v>
      </x:c>
      <x:c r="AH2648" t="str">
        <x:f>IF(NOT(ISNUMBER(T2648)),"Needs supplier cost",IF(K2648&lt;&gt;"In stock","Supplier unavailable",IF(AG2648&lt;&gt;"PASS","BLOCK - GT loss risk","Commercially protected")))</x:f>
        <x:v>Needs supplier cost</x:v>
      </x:c>
      <x:c r="AI2648" t="str">
        <x:v>2026-09-10 Active Sports trade capture</x:v>
      </x:c>
      <x:c r="AJ2648" t="str">
        <x:v>Management-only economics. Stripe stress test uses 1.5% + £0.20 standard UK online-card fee; pallet/mix-and-match pricing ignored.</x:v>
      </x:c>
    </x:row>
    <x:row r="2649">
      <x:c r="A2649" t="str">
        <x:v>Active Sports Nutrition</x:v>
      </x:c>
      <x:c r="B2649" t="str">
        <x:v>Reflex Nutrition</x:v>
      </x:c>
      <x:c r="C2649" t="str">
        <x:v>Growth Matrix</x:v>
      </x:c>
      <x:c r="D2649" t="str">
        <x:v>Supplements</x:v>
      </x:c>
      <x:c r="E2649" t="str">
        <x:v>All in One</x:v>
      </x:c>
      <x:c r="F2649" t="str"/>
      <x:c r="G2649" t="str">
        <x:v>1.89kg</x:v>
      </x:c>
      <x:c r="H2649" t="str">
        <x:v>Vanilla Ice Cream</x:v>
      </x:c>
      <x:c r="I2649" t="str"/>
      <x:c r="J2649" t="str">
        <x:v>Unit</x:v>
      </x:c>
      <x:c r="K2649" t="str">
        <x:v>Out of stock</x:v>
      </x:c>
      <x:c r="L2649" t="str">
        <x:v>2026-09-08</x:v>
      </x:c>
      <x:c r="M2649" t="str"/>
      <x:c r="N2649" t="str"/>
      <x:c r="O2649" t="str">
        <x:v>https://www.activesportstrade.co.uk/reflex-nutrition-trade</x:v>
      </x:c>
      <x:c r="P2649" t="str"/>
      <x:c r="Q2649" t="str"/>
      <x:c r="R2649" t="str"/>
      <x:c r="S2649" t="str">
        <x:v>Pending genuine supplier/brand image</x:v>
      </x:c>
      <x:c r="T2649" s="54"/>
      <x:c r="U2649" s="47" t="n">
        <x:v>0.2</x:v>
      </x:c>
      <x:c r="V2649" s="54" t="str">
        <x:f>IF(ISNUMBER(T2649),T2649*(1+U2649),"")</x:f>
      </x:c>
      <x:c r="W2649" s="47" t="n">
        <x:v>0.3</x:v>
      </x:c>
      <x:c r="X2649" s="54" t="str">
        <x:f>IF(ISNUMBER(V2649),V2649/(1-W2649),"")</x:f>
      </x:c>
      <x:c r="Y2649" s="55" t="str">
        <x:f>IF(ISNUMBER(X2649),ROUNDUP(X2649,0),"")</x:f>
      </x:c>
      <x:c r="Z2649" t="str">
        <x:f>IF(ISNUMBER(T2649),"Cost captured","Awaiting trade cost")</x:f>
        <x:v>Awaiting trade cost</x:v>
      </x:c>
      <x:c r="AB2649" s="36" t="str">
        <x:f>IF(ISNUMBER(Y2649),ROUND(Y2649*0.9,2),"")</x:f>
      </x:c>
      <x:c r="AC2649" s="36" t="str">
        <x:f>IF(ISNUMBER(AB2649),ROUND(AB2649-(AB2649*0.015+0.2)-V2649,2),"")</x:f>
      </x:c>
      <x:c r="AD2649" s="36" t="str">
        <x:f>IF(ISNUMBER(Y2649),ROUND(Y2649*0.8,2),"")</x:f>
      </x:c>
      <x:c r="AE2649" s="36" t="str">
        <x:f>IF(ISNUMBER(AD2649),ROUND(AD2649*0.015+0.2,2),"")</x:f>
      </x:c>
      <x:c r="AF2649" s="36" t="str">
        <x:f>IF(ISNUMBER(AD2649),ROUND(AD2649-AE2649-V2649,2),"")</x:f>
      </x:c>
      <x:c r="AG2649" t="str">
        <x:f>IF(NOT(ISNUMBER(T2649)),"PENDING",IF(AF2649&gt;0,"PASS","FAIL"))</x:f>
        <x:v>PENDING</x:v>
      </x:c>
      <x:c r="AH2649" t="str">
        <x:f>IF(NOT(ISNUMBER(T2649)),"Needs supplier cost",IF(K2649&lt;&gt;"In stock","Supplier unavailable",IF(AG2649&lt;&gt;"PASS","BLOCK - GT loss risk","Commercially protected")))</x:f>
        <x:v>Needs supplier cost</x:v>
      </x:c>
      <x:c r="AI2649" t="str">
        <x:v>2026-09-10 Active Sports trade capture</x:v>
      </x:c>
      <x:c r="AJ2649" t="str">
        <x:v>Management-only economics. Stripe stress test uses 1.5% + £0.20 standard UK online-card fee; pallet/mix-and-match pricing ignored.</x:v>
      </x:c>
    </x:row>
    <x:row r="2650">
      <x:c r="A2650" t="str">
        <x:v>Active Sports Nutrition</x:v>
      </x:c>
      <x:c r="B2650" t="str">
        <x:v>Reflex Nutrition</x:v>
      </x:c>
      <x:c r="C2650" t="str">
        <x:v>Isolate Pro</x:v>
      </x:c>
      <x:c r="D2650" t="str">
        <x:v>Supplements</x:v>
      </x:c>
      <x:c r="E2650" t="str">
        <x:v>Whey Isolate</x:v>
      </x:c>
      <x:c r="F2650" t="str"/>
      <x:c r="G2650" t="str">
        <x:v>1.8kg</x:v>
      </x:c>
      <x:c r="H2650" t="str">
        <x:v>Default</x:v>
      </x:c>
      <x:c r="I2650" t="str"/>
      <x:c r="J2650" t="str">
        <x:v>Unit</x:v>
      </x:c>
      <x:c r="K2650" t="str">
        <x:v>In stock</x:v>
      </x:c>
      <x:c r="L2650" t="str">
        <x:v>2026-09-08</x:v>
      </x:c>
      <x:c r="M2650" t="str"/>
      <x:c r="N2650" t="str"/>
      <x:c r="O2650" t="str">
        <x:v>https://www.activesportstrade.co.uk/reflex-nutrition-trade</x:v>
      </x:c>
      <x:c r="P2650" t="str"/>
      <x:c r="Q2650" t="str"/>
      <x:c r="R2650" t="str"/>
      <x:c r="S2650" t="str">
        <x:v>Pending genuine supplier/brand image</x:v>
      </x:c>
      <x:c r="T2650" s="54"/>
      <x:c r="U2650" s="47" t="n">
        <x:v>0.2</x:v>
      </x:c>
      <x:c r="V2650" s="54" t="str">
        <x:f>IF(ISNUMBER(T2650),T2650*(1+U2650),"")</x:f>
      </x:c>
      <x:c r="W2650" s="47" t="n">
        <x:v>0.3</x:v>
      </x:c>
      <x:c r="X2650" s="54" t="str">
        <x:f>IF(ISNUMBER(V2650),V2650/(1-W2650),"")</x:f>
      </x:c>
      <x:c r="Y2650" s="55" t="str">
        <x:f>IF(ISNUMBER(X2650),ROUNDUP(X2650,0),"")</x:f>
      </x:c>
      <x:c r="Z2650" t="str">
        <x:f>IF(ISNUMBER(T2650),"Cost captured","Awaiting trade cost")</x:f>
        <x:v>Awaiting trade cost</x:v>
      </x:c>
      <x:c r="AB2650" s="36" t="str">
        <x:f>IF(ISNUMBER(Y2650),ROUND(Y2650*0.9,2),"")</x:f>
      </x:c>
      <x:c r="AC2650" s="36" t="str">
        <x:f>IF(ISNUMBER(AB2650),ROUND(AB2650-(AB2650*0.015+0.2)-V2650,2),"")</x:f>
      </x:c>
      <x:c r="AD2650" s="36" t="str">
        <x:f>IF(ISNUMBER(Y2650),ROUND(Y2650*0.8,2),"")</x:f>
      </x:c>
      <x:c r="AE2650" s="36" t="str">
        <x:f>IF(ISNUMBER(AD2650),ROUND(AD2650*0.015+0.2,2),"")</x:f>
      </x:c>
      <x:c r="AF2650" s="36" t="str">
        <x:f>IF(ISNUMBER(AD2650),ROUND(AD2650-AE2650-V2650,2),"")</x:f>
      </x:c>
      <x:c r="AG2650" t="str">
        <x:f>IF(NOT(ISNUMBER(T2650)),"PENDING",IF(AF2650&gt;0,"PASS","FAIL"))</x:f>
        <x:v>PENDING</x:v>
      </x:c>
      <x:c r="AH2650" t="str">
        <x:f>IF(NOT(ISNUMBER(T2650)),"Needs supplier cost",IF(K2650&lt;&gt;"In stock","Supplier unavailable",IF(AG2650&lt;&gt;"PASS","BLOCK - GT loss risk","Commercially protected")))</x:f>
        <x:v>Needs supplier cost</x:v>
      </x:c>
      <x:c r="AI2650" t="str">
        <x:v>2026-09-10 Active Sports trade capture</x:v>
      </x:c>
      <x:c r="AJ2650" t="str">
        <x:v>Management-only economics. Stripe stress test uses 1.5% + £0.20 standard UK online-card fee; pallet/mix-and-match pricing ignored.</x:v>
      </x:c>
    </x:row>
    <x:row r="2651">
      <x:c r="A2651" t="str">
        <x:v>Active Sports Nutrition</x:v>
      </x:c>
      <x:c r="B2651" t="str">
        <x:v>Reflex Nutrition</x:v>
      </x:c>
      <x:c r="C2651" t="str">
        <x:v>The Muscle Bomb</x:v>
      </x:c>
      <x:c r="D2651" t="str">
        <x:v>Pre Workouts</x:v>
      </x:c>
      <x:c r="E2651" t="str">
        <x:v>Pre Workout</x:v>
      </x:c>
      <x:c r="F2651" t="str"/>
      <x:c r="G2651" t="str">
        <x:v>400g</x:v>
      </x:c>
      <x:c r="H2651" t="str">
        <x:v>CAFFEINE FREE - Sherbet Lemon</x:v>
      </x:c>
      <x:c r="I2651" t="str"/>
      <x:c r="J2651" t="str">
        <x:v>Unit</x:v>
      </x:c>
      <x:c r="K2651" t="str">
        <x:v>Out of stock</x:v>
      </x:c>
      <x:c r="L2651" t="str">
        <x:v>2026-09-08</x:v>
      </x:c>
      <x:c r="M2651" t="str"/>
      <x:c r="N2651" t="str"/>
      <x:c r="O2651" t="str">
        <x:v>https://www.activesportstrade.co.uk/reflex-nutrition-trade</x:v>
      </x:c>
      <x:c r="P2651" t="str"/>
      <x:c r="Q2651" t="str"/>
      <x:c r="R2651" t="str"/>
      <x:c r="S2651" t="str">
        <x:v>Pending genuine supplier/brand image</x:v>
      </x:c>
      <x:c r="T2651" s="54"/>
      <x:c r="U2651" s="47" t="n">
        <x:v>0.2</x:v>
      </x:c>
      <x:c r="V2651" s="54" t="str">
        <x:f>IF(ISNUMBER(T2651),T2651*(1+U2651),"")</x:f>
      </x:c>
      <x:c r="W2651" s="47" t="n">
        <x:v>0.3</x:v>
      </x:c>
      <x:c r="X2651" s="54" t="str">
        <x:f>IF(ISNUMBER(V2651),V2651/(1-W2651),"")</x:f>
      </x:c>
      <x:c r="Y2651" s="55" t="str">
        <x:f>IF(ISNUMBER(X2651),ROUNDUP(X2651,0),"")</x:f>
      </x:c>
      <x:c r="Z2651" t="str">
        <x:f>IF(ISNUMBER(T2651),"Cost captured","Awaiting trade cost")</x:f>
        <x:v>Awaiting trade cost</x:v>
      </x:c>
      <x:c r="AB2651" s="36" t="str">
        <x:f>IF(ISNUMBER(Y2651),ROUND(Y2651*0.9,2),"")</x:f>
      </x:c>
      <x:c r="AC2651" s="36" t="str">
        <x:f>IF(ISNUMBER(AB2651),ROUND(AB2651-(AB2651*0.015+0.2)-V2651,2),"")</x:f>
      </x:c>
      <x:c r="AD2651" s="36" t="str">
        <x:f>IF(ISNUMBER(Y2651),ROUND(Y2651*0.8,2),"")</x:f>
      </x:c>
      <x:c r="AE2651" s="36" t="str">
        <x:f>IF(ISNUMBER(AD2651),ROUND(AD2651*0.015+0.2,2),"")</x:f>
      </x:c>
      <x:c r="AF2651" s="36" t="str">
        <x:f>IF(ISNUMBER(AD2651),ROUND(AD2651-AE2651-V2651,2),"")</x:f>
      </x:c>
      <x:c r="AG2651" t="str">
        <x:f>IF(NOT(ISNUMBER(T2651)),"PENDING",IF(AF2651&gt;0,"PASS","FAIL"))</x:f>
        <x:v>PENDING</x:v>
      </x:c>
      <x:c r="AH2651" t="str">
        <x:f>IF(NOT(ISNUMBER(T2651)),"Needs supplier cost",IF(K2651&lt;&gt;"In stock","Supplier unavailable",IF(AG2651&lt;&gt;"PASS","BLOCK - GT loss risk","Commercially protected")))</x:f>
        <x:v>Needs supplier cost</x:v>
      </x:c>
      <x:c r="AI2651" t="str">
        <x:v>2026-09-10 Active Sports trade capture</x:v>
      </x:c>
      <x:c r="AJ2651" t="str">
        <x:v>Management-only economics. Stripe stress test uses 1.5% + £0.20 standard UK online-card fee; pallet/mix-and-match pricing ignored.</x:v>
      </x:c>
    </x:row>
    <x:row r="2652">
      <x:c r="A2652" t="str">
        <x:v>Active Sports Nutrition</x:v>
      </x:c>
      <x:c r="B2652" t="str">
        <x:v>Reflex Nutrition</x:v>
      </x:c>
      <x:c r="C2652" t="str">
        <x:v>High Protein Twin Bar</x:v>
      </x:c>
      <x:c r="D2652" t="str">
        <x:v>Food &amp; Drinks</x:v>
      </x:c>
      <x:c r="E2652" t="str">
        <x:v>Bars and Snacks</x:v>
      </x:c>
      <x:c r="F2652" t="str"/>
      <x:c r="G2652" t="str">
        <x:v>12 x 60g bars</x:v>
      </x:c>
      <x:c r="H2652" t="str">
        <x:v>Chocolate Toffee Crispy</x:v>
      </x:c>
      <x:c r="I2652" t="str">
        <x:v>12</x:v>
      </x:c>
      <x:c r="J2652" t="str">
        <x:v>Case</x:v>
      </x:c>
      <x:c r="K2652" t="str">
        <x:v>Out of stock</x:v>
      </x:c>
      <x:c r="L2652" t="str">
        <x:v>2026-09-08</x:v>
      </x:c>
      <x:c r="M2652" t="str"/>
      <x:c r="N2652" t="str"/>
      <x:c r="O2652" t="str">
        <x:v>https://www.activesportstrade.co.uk/Protein-Bars/reflex-nutrition-trade</x:v>
      </x:c>
      <x:c r="P2652" t="str">
        <x:v>SPECIAL OFFER wording stripped; case-only supplier order.</x:v>
      </x:c>
      <x:c r="Q2652" t="str"/>
      <x:c r="R2652" t="str"/>
      <x:c r="S2652" t="str">
        <x:v>Pending genuine supplier/brand image</x:v>
      </x:c>
      <x:c r="T2652" s="54"/>
      <x:c r="U2652" s="47" t="n">
        <x:v>0.2</x:v>
      </x:c>
      <x:c r="V2652" s="54" t="str">
        <x:f>IF(ISNUMBER(T2652),T2652*(1+U2652),"")</x:f>
      </x:c>
      <x:c r="W2652" s="47" t="n">
        <x:v>0.3</x:v>
      </x:c>
      <x:c r="X2652" s="54" t="str">
        <x:f>IF(ISNUMBER(V2652),V2652/(1-W2652),"")</x:f>
      </x:c>
      <x:c r="Y2652" s="55" t="str">
        <x:f>IF(ISNUMBER(X2652),ROUNDUP(X2652,0),"")</x:f>
      </x:c>
      <x:c r="Z2652" t="str">
        <x:f>IF(ISNUMBER(T2652),"Cost captured","Awaiting trade cost")</x:f>
        <x:v>Awaiting trade cost</x:v>
      </x:c>
      <x:c r="AB2652" s="36" t="str">
        <x:f>IF(ISNUMBER(Y2652),ROUND(Y2652*0.9,2),"")</x:f>
      </x:c>
      <x:c r="AC2652" s="36" t="str">
        <x:f>IF(ISNUMBER(AB2652),ROUND(AB2652-(AB2652*0.015+0.2)-V2652,2),"")</x:f>
      </x:c>
      <x:c r="AD2652" s="36" t="str">
        <x:f>IF(ISNUMBER(Y2652),ROUND(Y2652*0.8,2),"")</x:f>
      </x:c>
      <x:c r="AE2652" s="36" t="str">
        <x:f>IF(ISNUMBER(AD2652),ROUND(AD2652*0.015+0.2,2),"")</x:f>
      </x:c>
      <x:c r="AF2652" s="36" t="str">
        <x:f>IF(ISNUMBER(AD2652),ROUND(AD2652-AE2652-V2652,2),"")</x:f>
      </x:c>
      <x:c r="AG2652" t="str">
        <x:f>IF(NOT(ISNUMBER(T2652)),"PENDING",IF(AF2652&gt;0,"PASS","FAIL"))</x:f>
        <x:v>PENDING</x:v>
      </x:c>
      <x:c r="AH2652" t="str">
        <x:f>IF(NOT(ISNUMBER(T2652)),"Needs supplier cost",IF(K2652&lt;&gt;"In stock","Supplier unavailable",IF(AG2652&lt;&gt;"PASS","BLOCK - GT loss risk","Commercially protected")))</x:f>
        <x:v>Needs supplier cost</x:v>
      </x:c>
      <x:c r="AI2652" t="str">
        <x:v>2026-09-10 Active Sports trade capture</x:v>
      </x:c>
      <x:c r="AJ2652" t="str">
        <x:v>Management-only economics. Stripe stress test uses 1.5% + £0.20 standard UK online-card fee; pallet/mix-and-match pricing ignored.</x:v>
      </x:c>
    </x:row>
    <x:row r="2653">
      <x:c r="A2653" t="str">
        <x:v>Active Sports Nutrition</x:v>
      </x:c>
      <x:c r="B2653" t="str">
        <x:v>Reflex Nutrition</x:v>
      </x:c>
      <x:c r="C2653" t="str">
        <x:v>High Protein Twin Bar</x:v>
      </x:c>
      <x:c r="D2653" t="str">
        <x:v>Food &amp; Drinks</x:v>
      </x:c>
      <x:c r="E2653" t="str">
        <x:v>Bars and Snacks</x:v>
      </x:c>
      <x:c r="F2653" t="str"/>
      <x:c r="G2653" t="str">
        <x:v>12 x 60g bars</x:v>
      </x:c>
      <x:c r="H2653" t="str">
        <x:v>Salted Caramel Crunch</x:v>
      </x:c>
      <x:c r="I2653" t="str">
        <x:v>12</x:v>
      </x:c>
      <x:c r="J2653" t="str">
        <x:v>Case</x:v>
      </x:c>
      <x:c r="K2653" t="str">
        <x:v>Out of stock</x:v>
      </x:c>
      <x:c r="L2653" t="str">
        <x:v>2026-09-08</x:v>
      </x:c>
      <x:c r="M2653" t="str"/>
      <x:c r="N2653" t="str"/>
      <x:c r="O2653" t="str">
        <x:v>https://www.activesportstrade.co.uk/Protein-Bars/reflex-nutrition-trade</x:v>
      </x:c>
      <x:c r="P2653" t="str">
        <x:v>SPECIAL OFFER wording stripped; case-only supplier order.</x:v>
      </x:c>
      <x:c r="Q2653" t="str"/>
      <x:c r="R2653" t="str"/>
      <x:c r="S2653" t="str">
        <x:v>Pending genuine supplier/brand image</x:v>
      </x:c>
      <x:c r="T2653" s="54"/>
      <x:c r="U2653" s="47" t="n">
        <x:v>0.2</x:v>
      </x:c>
      <x:c r="V2653" s="54" t="str">
        <x:f>IF(ISNUMBER(T2653),T2653*(1+U2653),"")</x:f>
      </x:c>
      <x:c r="W2653" s="47" t="n">
        <x:v>0.3</x:v>
      </x:c>
      <x:c r="X2653" s="54" t="str">
        <x:f>IF(ISNUMBER(V2653),V2653/(1-W2653),"")</x:f>
      </x:c>
      <x:c r="Y2653" s="55" t="str">
        <x:f>IF(ISNUMBER(X2653),ROUNDUP(X2653,0),"")</x:f>
      </x:c>
      <x:c r="Z2653" t="str">
        <x:f>IF(ISNUMBER(T2653),"Cost captured","Awaiting trade cost")</x:f>
        <x:v>Awaiting trade cost</x:v>
      </x:c>
      <x:c r="AB2653" s="36" t="str">
        <x:f>IF(ISNUMBER(Y2653),ROUND(Y2653*0.9,2),"")</x:f>
      </x:c>
      <x:c r="AC2653" s="36" t="str">
        <x:f>IF(ISNUMBER(AB2653),ROUND(AB2653-(AB2653*0.015+0.2)-V2653,2),"")</x:f>
      </x:c>
      <x:c r="AD2653" s="36" t="str">
        <x:f>IF(ISNUMBER(Y2653),ROUND(Y2653*0.8,2),"")</x:f>
      </x:c>
      <x:c r="AE2653" s="36" t="str">
        <x:f>IF(ISNUMBER(AD2653),ROUND(AD2653*0.015+0.2,2),"")</x:f>
      </x:c>
      <x:c r="AF2653" s="36" t="str">
        <x:f>IF(ISNUMBER(AD2653),ROUND(AD2653-AE2653-V2653,2),"")</x:f>
      </x:c>
      <x:c r="AG2653" t="str">
        <x:f>IF(NOT(ISNUMBER(T2653)),"PENDING",IF(AF2653&gt;0,"PASS","FAIL"))</x:f>
        <x:v>PENDING</x:v>
      </x:c>
      <x:c r="AH2653" t="str">
        <x:f>IF(NOT(ISNUMBER(T2653)),"Needs supplier cost",IF(K2653&lt;&gt;"In stock","Supplier unavailable",IF(AG2653&lt;&gt;"PASS","BLOCK - GT loss risk","Commercially protected")))</x:f>
        <x:v>Needs supplier cost</x:v>
      </x:c>
      <x:c r="AI2653" t="str">
        <x:v>2026-09-10 Active Sports trade capture</x:v>
      </x:c>
      <x:c r="AJ2653" t="str">
        <x:v>Management-only economics. Stripe stress test uses 1.5% + £0.20 standard UK online-card fee; pallet/mix-and-match pricing ignored.</x:v>
      </x:c>
    </x:row>
    <x:row r="2654">
      <x:c r="A2654" t="str">
        <x:v>Active Sports Nutrition</x:v>
      </x:c>
      <x:c r="B2654" t="str">
        <x:v>Trained By JP</x:v>
      </x:c>
      <x:c r="C2654" t="str">
        <x:v>Hydration</x:v>
      </x:c>
      <x:c r="D2654" t="str">
        <x:v>Supplements</x:v>
      </x:c>
      <x:c r="E2654" t="str">
        <x:v>Hydration</x:v>
      </x:c>
      <x:c r="F2654" t="str"/>
      <x:c r="G2654" t="str">
        <x:v>30 servings</x:v>
      </x:c>
      <x:c r="H2654" t="str">
        <x:v>Apple Melon</x:v>
      </x:c>
      <x:c r="I2654" t="str"/>
      <x:c r="J2654" t="str">
        <x:v>Unit</x:v>
      </x:c>
      <x:c r="K2654" t="str">
        <x:v>In stock</x:v>
      </x:c>
      <x:c r="L2654" t="str">
        <x:v>2026-09-08</x:v>
      </x:c>
      <x:c r="M2654" t="str"/>
      <x:c r="N2654" t="str"/>
      <x:c r="O2654" t="str">
        <x:v>https://www.activesportstrade.co.uk/hydration-supplements-trade</x:v>
      </x:c>
      <x:c r="P2654" t="str"/>
      <x:c r="Q2654" t="str"/>
      <x:c r="R2654" t="str"/>
      <x:c r="S2654" t="str">
        <x:v>Pending genuine supplier/brand image</x:v>
      </x:c>
      <x:c r="T2654" s="54" t="n">
        <x:v>11.5</x:v>
      </x:c>
      <x:c r="U2654" s="47" t="n">
        <x:v>0.2</x:v>
      </x:c>
      <x:c r="V2654" s="54" t="n">
        <x:f>IF(ISNUMBER(T2654),T2654*(1+U2654),"")</x:f>
        <x:v>13.799999999999999</x:v>
      </x:c>
      <x:c r="W2654" s="47" t="n">
        <x:v>0.3</x:v>
      </x:c>
      <x:c r="X2654" s="54" t="n">
        <x:f>IF(ISNUMBER(V2654),V2654/(1-W2654),"")</x:f>
        <x:v>19.714285714285715</x:v>
      </x:c>
      <x:c r="Y2654" s="55" t="n">
        <x:f>IF(ISNUMBER(X2654),ROUNDUP(X2654,0),"")</x:f>
        <x:v>20</x:v>
      </x:c>
      <x:c r="Z2654" t="str">
        <x:v>Source match pending</x:v>
      </x:c>
      <x:c r="AA2654" t="str">
        <x:v>screencapture-www-activesportstrade-co-uk-trained-by-jp-trade-2026-09-10-09_10_55.pdf / page-3</x:v>
      </x:c>
      <x:c r="AB2654" s="36" t="n">
        <x:f>IF(ISNUMBER(Y2654),ROUND(Y2654*0.9,2),"")</x:f>
        <x:v>18</x:v>
      </x:c>
      <x:c r="AC2654" s="36" t="n">
        <x:f>IF(ISNUMBER(AB2654),ROUND(AB2654-(AB2654*0.015+0.2)-V2654,2),"")</x:f>
        <x:v>3.73</x:v>
      </x:c>
      <x:c r="AD2654" s="36" t="n">
        <x:f>IF(ISNUMBER(Y2654),ROUND(Y2654*0.8,2),"")</x:f>
        <x:v>16</x:v>
      </x:c>
      <x:c r="AE2654" s="36" t="n">
        <x:f>IF(ISNUMBER(AD2654),ROUND(AD2654*0.015+0.2,2),"")</x:f>
        <x:v>0.44</x:v>
      </x:c>
      <x:c r="AF2654" s="36" t="n">
        <x:f>IF(ISNUMBER(AD2654),ROUND(AD2654-AE2654-V2654,2),"")</x:f>
        <x:v>1.76</x:v>
      </x:c>
      <x:c r="AG2654" t="str">
        <x:f>IF(NOT(ISNUMBER(T2654)),"PENDING",IF(AF2654&gt;0,"PASS","FAIL"))</x:f>
        <x:v>PASS</x:v>
      </x:c>
      <x:c r="AH2654" t="str">
        <x:f>IF(NOT(ISNUMBER(T2654)),"Needs supplier cost",IF(K2654&lt;&gt;"In stock","Supplier unavailable",IF(AG2654&lt;&gt;"PASS","BLOCK - GT loss risk","Commercially protected")))</x:f>
        <x:v>Commercially protected</x:v>
      </x:c>
      <x:c r="AI2654" t="str">
        <x:v>2026-09-10 Active Sports trade capture</x:v>
      </x:c>
      <x:c r="AJ2654" t="str">
        <x:v>Management-only economics. Stripe stress test uses 1.5% + £0.20 standard UK online-card fee; pallet/mix-and-match pricing ignored.</x:v>
      </x:c>
    </x:row>
    <x:row r="2655">
      <x:c r="A2655" t="str">
        <x:v>Active Sports Nutrition</x:v>
      </x:c>
      <x:c r="B2655" t="str">
        <x:v>Trained By JP</x:v>
      </x:c>
      <x:c r="C2655" t="str">
        <x:v>Hydration</x:v>
      </x:c>
      <x:c r="D2655" t="str">
        <x:v>Supplements</x:v>
      </x:c>
      <x:c r="E2655" t="str">
        <x:v>Hydration</x:v>
      </x:c>
      <x:c r="F2655" t="str"/>
      <x:c r="G2655" t="str">
        <x:v>30 servings</x:v>
      </x:c>
      <x:c r="H2655" t="str">
        <x:v>Pink Lemonade</x:v>
      </x:c>
      <x:c r="I2655" t="str"/>
      <x:c r="J2655" t="str">
        <x:v>Unit</x:v>
      </x:c>
      <x:c r="K2655" t="str">
        <x:v>In stock</x:v>
      </x:c>
      <x:c r="L2655" t="str">
        <x:v>2026-09-08</x:v>
      </x:c>
      <x:c r="M2655" t="str"/>
      <x:c r="N2655" t="str"/>
      <x:c r="O2655" t="str">
        <x:v>https://www.activesportstrade.co.uk/hydration-supplements-trade</x:v>
      </x:c>
      <x:c r="P2655" t="str"/>
      <x:c r="Q2655" t="str"/>
      <x:c r="R2655" t="str"/>
      <x:c r="S2655" t="str">
        <x:v>Pending genuine supplier/brand image</x:v>
      </x:c>
      <x:c r="T2655" s="54" t="n">
        <x:v>11.5</x:v>
      </x:c>
      <x:c r="U2655" s="47" t="n">
        <x:v>0.2</x:v>
      </x:c>
      <x:c r="V2655" s="54" t="n">
        <x:f>IF(ISNUMBER(T2655),T2655*(1+U2655),"")</x:f>
        <x:v>13.799999999999999</x:v>
      </x:c>
      <x:c r="W2655" s="47" t="n">
        <x:v>0.3</x:v>
      </x:c>
      <x:c r="X2655" s="54" t="n">
        <x:f>IF(ISNUMBER(V2655),V2655/(1-W2655),"")</x:f>
        <x:v>19.714285714285715</x:v>
      </x:c>
      <x:c r="Y2655" s="55" t="n">
        <x:f>IF(ISNUMBER(X2655),ROUNDUP(X2655,0),"")</x:f>
        <x:v>20</x:v>
      </x:c>
      <x:c r="Z2655" t="str">
        <x:v>Source match pending</x:v>
      </x:c>
      <x:c r="AA2655" t="str">
        <x:v>screencapture-www-activesportstrade-co-uk-trained-by-jp-trade-2026-09-10-09_10_55.pdf / page-3</x:v>
      </x:c>
      <x:c r="AB2655" s="36" t="n">
        <x:f>IF(ISNUMBER(Y2655),ROUND(Y2655*0.9,2),"")</x:f>
        <x:v>18</x:v>
      </x:c>
      <x:c r="AC2655" s="36" t="n">
        <x:f>IF(ISNUMBER(AB2655),ROUND(AB2655-(AB2655*0.015+0.2)-V2655,2),"")</x:f>
        <x:v>3.73</x:v>
      </x:c>
      <x:c r="AD2655" s="36" t="n">
        <x:f>IF(ISNUMBER(Y2655),ROUND(Y2655*0.8,2),"")</x:f>
        <x:v>16</x:v>
      </x:c>
      <x:c r="AE2655" s="36" t="n">
        <x:f>IF(ISNUMBER(AD2655),ROUND(AD2655*0.015+0.2,2),"")</x:f>
        <x:v>0.44</x:v>
      </x:c>
      <x:c r="AF2655" s="36" t="n">
        <x:f>IF(ISNUMBER(AD2655),ROUND(AD2655-AE2655-V2655,2),"")</x:f>
        <x:v>1.76</x:v>
      </x:c>
      <x:c r="AG2655" t="str">
        <x:f>IF(NOT(ISNUMBER(T2655)),"PENDING",IF(AF2655&gt;0,"PASS","FAIL"))</x:f>
        <x:v>PASS</x:v>
      </x:c>
      <x:c r="AH2655" t="str">
        <x:f>IF(NOT(ISNUMBER(T2655)),"Needs supplier cost",IF(K2655&lt;&gt;"In stock","Supplier unavailable",IF(AG2655&lt;&gt;"PASS","BLOCK - GT loss risk","Commercially protected")))</x:f>
        <x:v>Commercially protected</x:v>
      </x:c>
      <x:c r="AI2655" t="str">
        <x:v>2026-09-10 Active Sports trade capture</x:v>
      </x:c>
      <x:c r="AJ2655" t="str">
        <x:v>Management-only economics. Stripe stress test uses 1.5% + £0.20 standard UK online-card fee; pallet/mix-and-match pricing ignored.</x:v>
      </x:c>
    </x:row>
    <x:row r="2656">
      <x:c r="A2656" t="str">
        <x:v>Active Sports Nutrition</x:v>
      </x:c>
      <x:c r="B2656" t="str">
        <x:v>Trained By JP</x:v>
      </x:c>
      <x:c r="C2656" t="str">
        <x:v>Hydration</x:v>
      </x:c>
      <x:c r="D2656" t="str">
        <x:v>Supplements</x:v>
      </x:c>
      <x:c r="E2656" t="str">
        <x:v>Hydration</x:v>
      </x:c>
      <x:c r="F2656" t="str"/>
      <x:c r="G2656" t="str">
        <x:v>30 servings</x:v>
      </x:c>
      <x:c r="H2656" t="str">
        <x:v>Strawberry Pineapple</x:v>
      </x:c>
      <x:c r="I2656" t="str"/>
      <x:c r="J2656" t="str">
        <x:v>Unit</x:v>
      </x:c>
      <x:c r="K2656" t="str">
        <x:v>In stock</x:v>
      </x:c>
      <x:c r="L2656" t="str">
        <x:v>2026-09-08</x:v>
      </x:c>
      <x:c r="M2656" t="str"/>
      <x:c r="N2656" t="str"/>
      <x:c r="O2656" t="str">
        <x:v>https://www.activesportstrade.co.uk/hydration-supplements-trade</x:v>
      </x:c>
      <x:c r="P2656" t="str"/>
      <x:c r="Q2656" t="str"/>
      <x:c r="R2656" t="str"/>
      <x:c r="S2656" t="str">
        <x:v>Pending genuine supplier/brand image</x:v>
      </x:c>
      <x:c r="T2656" s="54" t="n">
        <x:v>11.5</x:v>
      </x:c>
      <x:c r="U2656" s="47" t="n">
        <x:v>0.2</x:v>
      </x:c>
      <x:c r="V2656" s="54" t="n">
        <x:f>IF(ISNUMBER(T2656),T2656*(1+U2656),"")</x:f>
        <x:v>13.799999999999999</x:v>
      </x:c>
      <x:c r="W2656" s="47" t="n">
        <x:v>0.3</x:v>
      </x:c>
      <x:c r="X2656" s="54" t="n">
        <x:f>IF(ISNUMBER(V2656),V2656/(1-W2656),"")</x:f>
        <x:v>19.714285714285715</x:v>
      </x:c>
      <x:c r="Y2656" s="55" t="n">
        <x:f>IF(ISNUMBER(X2656),ROUNDUP(X2656,0),"")</x:f>
        <x:v>20</x:v>
      </x:c>
      <x:c r="Z2656" t="str">
        <x:v>Source match pending</x:v>
      </x:c>
      <x:c r="AA2656" t="str">
        <x:v>screencapture-www-activesportstrade-co-uk-trained-by-jp-trade-2026-09-10-09_10_55.pdf / page-3</x:v>
      </x:c>
      <x:c r="AB2656" s="36" t="n">
        <x:f>IF(ISNUMBER(Y2656),ROUND(Y2656*0.9,2),"")</x:f>
        <x:v>18</x:v>
      </x:c>
      <x:c r="AC2656" s="36" t="n">
        <x:f>IF(ISNUMBER(AB2656),ROUND(AB2656-(AB2656*0.015+0.2)-V2656,2),"")</x:f>
        <x:v>3.73</x:v>
      </x:c>
      <x:c r="AD2656" s="36" t="n">
        <x:f>IF(ISNUMBER(Y2656),ROUND(Y2656*0.8,2),"")</x:f>
        <x:v>16</x:v>
      </x:c>
      <x:c r="AE2656" s="36" t="n">
        <x:f>IF(ISNUMBER(AD2656),ROUND(AD2656*0.015+0.2,2),"")</x:f>
        <x:v>0.44</x:v>
      </x:c>
      <x:c r="AF2656" s="36" t="n">
        <x:f>IF(ISNUMBER(AD2656),ROUND(AD2656-AE2656-V2656,2),"")</x:f>
        <x:v>1.76</x:v>
      </x:c>
      <x:c r="AG2656" t="str">
        <x:f>IF(NOT(ISNUMBER(T2656)),"PENDING",IF(AF2656&gt;0,"PASS","FAIL"))</x:f>
        <x:v>PASS</x:v>
      </x:c>
      <x:c r="AH2656" t="str">
        <x:f>IF(NOT(ISNUMBER(T2656)),"Needs supplier cost",IF(K2656&lt;&gt;"In stock","Supplier unavailable",IF(AG2656&lt;&gt;"PASS","BLOCK - GT loss risk","Commercially protected")))</x:f>
        <x:v>Commercially protected</x:v>
      </x:c>
      <x:c r="AI2656" t="str">
        <x:v>2026-09-10 Active Sports trade capture</x:v>
      </x:c>
      <x:c r="AJ2656" t="str">
        <x:v>Management-only economics. Stripe stress test uses 1.5% + £0.20 standard UK online-card fee; pallet/mix-and-match pricing ignored.</x:v>
      </x:c>
    </x:row>
    <x:row r="2657">
      <x:c r="A2657" t="str">
        <x:v>Active Sports Nutrition</x:v>
      </x:c>
      <x:c r="B2657" t="str">
        <x:v>Per4m Nutrition</x:v>
      </x:c>
      <x:c r="C2657" t="str">
        <x:v>Egg White Protein</x:v>
      </x:c>
      <x:c r="D2657" t="str">
        <x:v>Supplements</x:v>
      </x:c>
      <x:c r="E2657" t="str">
        <x:v>Egg White Protein</x:v>
      </x:c>
      <x:c r="F2657" t="str"/>
      <x:c r="G2657" t="str">
        <x:v>1.8kg</x:v>
      </x:c>
      <x:c r="H2657" t="str">
        <x:v>Caramel Biscuit</x:v>
      </x:c>
      <x:c r="I2657" t="str"/>
      <x:c r="J2657" t="str">
        <x:v>Unit</x:v>
      </x:c>
      <x:c r="K2657" t="str">
        <x:v>In stock</x:v>
      </x:c>
      <x:c r="L2657" t="str">
        <x:v>2026-09-08</x:v>
      </x:c>
      <x:c r="M2657" t="str"/>
      <x:c r="N2657" t="str"/>
      <x:c r="O2657" t="str">
        <x:v>https://www.activesportstrade.co.uk/per4m-nutrition-trade</x:v>
      </x:c>
      <x:c r="P2657" t="str"/>
      <x:c r="Q2657" t="str"/>
      <x:c r="R2657" t="str"/>
      <x:c r="S2657" t="str">
        <x:v>Pending genuine supplier/brand image</x:v>
      </x:c>
      <x:c r="T2657" s="54" t="n">
        <x:v>30.99</x:v>
      </x:c>
      <x:c r="U2657" s="47" t="n">
        <x:v>0.2</x:v>
      </x:c>
      <x:c r="V2657" s="54" t="n">
        <x:f>IF(ISNUMBER(T2657),T2657*(1+U2657),"")</x:f>
        <x:v>37.187999999999995</x:v>
      </x:c>
      <x:c r="W2657" s="47" t="n">
        <x:v>0.3</x:v>
      </x:c>
      <x:c r="X2657" s="54" t="n">
        <x:f>IF(ISNUMBER(V2657),V2657/(1-W2657),"")</x:f>
        <x:v>53.12571428571428</x:v>
      </x:c>
      <x:c r="Y2657" s="55" t="n">
        <x:f>IF(ISNUMBER(X2657),ROUNDUP(X2657,0),"")</x:f>
        <x:v>54</x:v>
      </x:c>
      <x:c r="Z2657" t="str">
        <x:v>Source match pending</x:v>
      </x:c>
      <x:c r="AA2657" t="str">
        <x:v>screencapture-www-activesportstrade-co-uk-per4m-nutrition-trade-2026-09-10-09_06_42.pdf / page-03</x:v>
      </x:c>
      <x:c r="AB2657" s="36" t="n">
        <x:f>IF(ISNUMBER(Y2657),ROUND(Y2657*0.9,2),"")</x:f>
        <x:v>48.6</x:v>
      </x:c>
      <x:c r="AC2657" s="36" t="n">
        <x:f>IF(ISNUMBER(AB2657),ROUND(AB2657-(AB2657*0.015+0.2)-V2657,2),"")</x:f>
        <x:v>10.48</x:v>
      </x:c>
      <x:c r="AD2657" s="36" t="n">
        <x:f>IF(ISNUMBER(Y2657),ROUND(Y2657*0.8,2),"")</x:f>
        <x:v>43.2</x:v>
      </x:c>
      <x:c r="AE2657" s="36" t="n">
        <x:f>IF(ISNUMBER(AD2657),ROUND(AD2657*0.015+0.2,2),"")</x:f>
        <x:v>0.85</x:v>
      </x:c>
      <x:c r="AF2657" s="36" t="n">
        <x:f>IF(ISNUMBER(AD2657),ROUND(AD2657-AE2657-V2657,2),"")</x:f>
        <x:v>5.16</x:v>
      </x:c>
      <x:c r="AG2657" t="str">
        <x:f>IF(NOT(ISNUMBER(T2657)),"PENDING",IF(AF2657&gt;0,"PASS","FAIL"))</x:f>
        <x:v>PASS</x:v>
      </x:c>
      <x:c r="AH2657" t="str">
        <x:f>IF(NOT(ISNUMBER(T2657)),"Needs supplier cost",IF(K2657&lt;&gt;"In stock","Supplier unavailable",IF(AG2657&lt;&gt;"PASS","BLOCK - GT loss risk","Commercially protected")))</x:f>
        <x:v>Commercially protected</x:v>
      </x:c>
      <x:c r="AI2657" t="str">
        <x:v>2026-09-10 Active Sports trade capture</x:v>
      </x:c>
      <x:c r="AJ2657" t="str">
        <x:v>Management-only economics. Stripe stress test uses 1.5% + £0.20 standard UK online-card fee; pallet/mix-and-match pricing ignored.</x:v>
      </x:c>
    </x:row>
    <x:row r="2658">
      <x:c r="A2658" t="str">
        <x:v>Active Sports Nutrition</x:v>
      </x:c>
      <x:c r="B2658" t="str">
        <x:v>Per4m Nutrition</x:v>
      </x:c>
      <x:c r="C2658" t="str">
        <x:v>Egg White Protein</x:v>
      </x:c>
      <x:c r="D2658" t="str">
        <x:v>Supplements</x:v>
      </x:c>
      <x:c r="E2658" t="str">
        <x:v>Egg White Protein</x:v>
      </x:c>
      <x:c r="F2658" t="str"/>
      <x:c r="G2658" t="str">
        <x:v>1.8kg</x:v>
      </x:c>
      <x:c r="H2658" t="str">
        <x:v>Cookies &amp; Cream</x:v>
      </x:c>
      <x:c r="I2658" t="str"/>
      <x:c r="J2658" t="str">
        <x:v>Unit</x:v>
      </x:c>
      <x:c r="K2658" t="str">
        <x:v>In stock</x:v>
      </x:c>
      <x:c r="L2658" t="str">
        <x:v>2026-09-08</x:v>
      </x:c>
      <x:c r="M2658" t="str"/>
      <x:c r="N2658" t="str"/>
      <x:c r="O2658" t="str">
        <x:v>https://www.activesportstrade.co.uk/per4m-nutrition-trade</x:v>
      </x:c>
      <x:c r="P2658" t="str"/>
      <x:c r="Q2658" t="str"/>
      <x:c r="R2658" t="str"/>
      <x:c r="S2658" t="str">
        <x:v>Pending genuine supplier/brand image</x:v>
      </x:c>
      <x:c r="T2658" s="54" t="n">
        <x:v>30.99</x:v>
      </x:c>
      <x:c r="U2658" s="47" t="n">
        <x:v>0.2</x:v>
      </x:c>
      <x:c r="V2658" s="54" t="n">
        <x:f>IF(ISNUMBER(T2658),T2658*(1+U2658),"")</x:f>
        <x:v>37.187999999999995</x:v>
      </x:c>
      <x:c r="W2658" s="47" t="n">
        <x:v>0.3</x:v>
      </x:c>
      <x:c r="X2658" s="54" t="n">
        <x:f>IF(ISNUMBER(V2658),V2658/(1-W2658),"")</x:f>
        <x:v>53.12571428571428</x:v>
      </x:c>
      <x:c r="Y2658" s="55" t="n">
        <x:f>IF(ISNUMBER(X2658),ROUNDUP(X2658,0),"")</x:f>
        <x:v>54</x:v>
      </x:c>
      <x:c r="Z2658" t="str">
        <x:v>Source match pending</x:v>
      </x:c>
      <x:c r="AA2658" t="str">
        <x:v>screencapture-www-activesportstrade-co-uk-per4m-nutrition-trade-2026-09-10-09_06_42.pdf / page-03</x:v>
      </x:c>
      <x:c r="AB2658" s="36" t="n">
        <x:f>IF(ISNUMBER(Y2658),ROUND(Y2658*0.9,2),"")</x:f>
        <x:v>48.6</x:v>
      </x:c>
      <x:c r="AC2658" s="36" t="n">
        <x:f>IF(ISNUMBER(AB2658),ROUND(AB2658-(AB2658*0.015+0.2)-V2658,2),"")</x:f>
        <x:v>10.48</x:v>
      </x:c>
      <x:c r="AD2658" s="36" t="n">
        <x:f>IF(ISNUMBER(Y2658),ROUND(Y2658*0.8,2),"")</x:f>
        <x:v>43.2</x:v>
      </x:c>
      <x:c r="AE2658" s="36" t="n">
        <x:f>IF(ISNUMBER(AD2658),ROUND(AD2658*0.015+0.2,2),"")</x:f>
        <x:v>0.85</x:v>
      </x:c>
      <x:c r="AF2658" s="36" t="n">
        <x:f>IF(ISNUMBER(AD2658),ROUND(AD2658-AE2658-V2658,2),"")</x:f>
        <x:v>5.16</x:v>
      </x:c>
      <x:c r="AG2658" t="str">
        <x:f>IF(NOT(ISNUMBER(T2658)),"PENDING",IF(AF2658&gt;0,"PASS","FAIL"))</x:f>
        <x:v>PASS</x:v>
      </x:c>
      <x:c r="AH2658" t="str">
        <x:f>IF(NOT(ISNUMBER(T2658)),"Needs supplier cost",IF(K2658&lt;&gt;"In stock","Supplier unavailable",IF(AG2658&lt;&gt;"PASS","BLOCK - GT loss risk","Commercially protected")))</x:f>
        <x:v>Commercially protected</x:v>
      </x:c>
      <x:c r="AI2658" t="str">
        <x:v>2026-09-10 Active Sports trade capture</x:v>
      </x:c>
      <x:c r="AJ2658" t="str">
        <x:v>Management-only economics. Stripe stress test uses 1.5% + £0.20 standard UK online-card fee; pallet/mix-and-match pricing ignored.</x:v>
      </x:c>
    </x:row>
    <x:row r="2659">
      <x:c r="A2659" t="str">
        <x:v>Active Sports Nutrition</x:v>
      </x:c>
      <x:c r="B2659" t="str">
        <x:v>Per4m Nutrition</x:v>
      </x:c>
      <x:c r="C2659" t="str">
        <x:v>Egg White Protein</x:v>
      </x:c>
      <x:c r="D2659" t="str">
        <x:v>Supplements</x:v>
      </x:c>
      <x:c r="E2659" t="str">
        <x:v>Egg White Protein</x:v>
      </x:c>
      <x:c r="F2659" t="str"/>
      <x:c r="G2659" t="str">
        <x:v>1.8kg</x:v>
      </x:c>
      <x:c r="H2659" t="str">
        <x:v>Double Chocolate</x:v>
      </x:c>
      <x:c r="I2659" t="str"/>
      <x:c r="J2659" t="str">
        <x:v>Unit</x:v>
      </x:c>
      <x:c r="K2659" t="str">
        <x:v>In stock</x:v>
      </x:c>
      <x:c r="L2659" t="str">
        <x:v>2026-09-08</x:v>
      </x:c>
      <x:c r="M2659" t="str"/>
      <x:c r="N2659" t="str"/>
      <x:c r="O2659" t="str">
        <x:v>https://www.activesportstrade.co.uk/per4m-nutrition-trade</x:v>
      </x:c>
      <x:c r="P2659" t="str"/>
      <x:c r="Q2659" t="str"/>
      <x:c r="R2659" t="str"/>
      <x:c r="S2659" t="str">
        <x:v>Pending genuine supplier/brand image</x:v>
      </x:c>
      <x:c r="T2659" s="54" t="n">
        <x:v>30.99</x:v>
      </x:c>
      <x:c r="U2659" s="47" t="n">
        <x:v>0.2</x:v>
      </x:c>
      <x:c r="V2659" s="54" t="n">
        <x:f>IF(ISNUMBER(T2659),T2659*(1+U2659),"")</x:f>
        <x:v>37.187999999999995</x:v>
      </x:c>
      <x:c r="W2659" s="47" t="n">
        <x:v>0.3</x:v>
      </x:c>
      <x:c r="X2659" s="54" t="n">
        <x:f>IF(ISNUMBER(V2659),V2659/(1-W2659),"")</x:f>
        <x:v>53.12571428571428</x:v>
      </x:c>
      <x:c r="Y2659" s="55" t="n">
        <x:f>IF(ISNUMBER(X2659),ROUNDUP(X2659,0),"")</x:f>
        <x:v>54</x:v>
      </x:c>
      <x:c r="Z2659" t="str">
        <x:v>Source match pending</x:v>
      </x:c>
      <x:c r="AA2659" t="str">
        <x:v>screencapture-www-activesportstrade-co-uk-per4m-nutrition-trade-2026-09-10-09_06_42.pdf / page-03</x:v>
      </x:c>
      <x:c r="AB2659" s="36" t="n">
        <x:f>IF(ISNUMBER(Y2659),ROUND(Y2659*0.9,2),"")</x:f>
        <x:v>48.6</x:v>
      </x:c>
      <x:c r="AC2659" s="36" t="n">
        <x:f>IF(ISNUMBER(AB2659),ROUND(AB2659-(AB2659*0.015+0.2)-V2659,2),"")</x:f>
        <x:v>10.48</x:v>
      </x:c>
      <x:c r="AD2659" s="36" t="n">
        <x:f>IF(ISNUMBER(Y2659),ROUND(Y2659*0.8,2),"")</x:f>
        <x:v>43.2</x:v>
      </x:c>
      <x:c r="AE2659" s="36" t="n">
        <x:f>IF(ISNUMBER(AD2659),ROUND(AD2659*0.015+0.2,2),"")</x:f>
        <x:v>0.85</x:v>
      </x:c>
      <x:c r="AF2659" s="36" t="n">
        <x:f>IF(ISNUMBER(AD2659),ROUND(AD2659-AE2659-V2659,2),"")</x:f>
        <x:v>5.16</x:v>
      </x:c>
      <x:c r="AG2659" t="str">
        <x:f>IF(NOT(ISNUMBER(T2659)),"PENDING",IF(AF2659&gt;0,"PASS","FAIL"))</x:f>
        <x:v>PASS</x:v>
      </x:c>
      <x:c r="AH2659" t="str">
        <x:f>IF(NOT(ISNUMBER(T2659)),"Needs supplier cost",IF(K2659&lt;&gt;"In stock","Supplier unavailable",IF(AG2659&lt;&gt;"PASS","BLOCK - GT loss risk","Commercially protected")))</x:f>
        <x:v>Commercially protected</x:v>
      </x:c>
      <x:c r="AI2659" t="str">
        <x:v>2026-09-10 Active Sports trade capture</x:v>
      </x:c>
      <x:c r="AJ2659" t="str">
        <x:v>Management-only economics. Stripe stress test uses 1.5% + £0.20 standard UK online-card fee; pallet/mix-and-match pricing ignored.</x:v>
      </x:c>
    </x:row>
    <x:row r="2660">
      <x:c r="A2660" t="str">
        <x:v>Active Sports Nutrition</x:v>
      </x:c>
      <x:c r="B2660" t="str">
        <x:v>Per4m Nutrition</x:v>
      </x:c>
      <x:c r="C2660" t="str">
        <x:v>Egg White Protein</x:v>
      </x:c>
      <x:c r="D2660" t="str">
        <x:v>Supplements</x:v>
      </x:c>
      <x:c r="E2660" t="str">
        <x:v>Egg White Protein</x:v>
      </x:c>
      <x:c r="F2660" t="str"/>
      <x:c r="G2660" t="str">
        <x:v>1.8kg</x:v>
      </x:c>
      <x:c r="H2660" t="str">
        <x:v>Strawberry Creme</x:v>
      </x:c>
      <x:c r="I2660" t="str"/>
      <x:c r="J2660" t="str">
        <x:v>Unit</x:v>
      </x:c>
      <x:c r="K2660" t="str">
        <x:v>In stock</x:v>
      </x:c>
      <x:c r="L2660" t="str">
        <x:v>2026-09-08</x:v>
      </x:c>
      <x:c r="M2660" t="str"/>
      <x:c r="N2660" t="str"/>
      <x:c r="O2660" t="str">
        <x:v>https://www.activesportstrade.co.uk/per4m-nutrition-trade</x:v>
      </x:c>
      <x:c r="P2660" t="str"/>
      <x:c r="Q2660" t="str"/>
      <x:c r="R2660" t="str"/>
      <x:c r="S2660" t="str">
        <x:v>Pending genuine supplier/brand image</x:v>
      </x:c>
      <x:c r="T2660" s="54" t="n">
        <x:v>30.99</x:v>
      </x:c>
      <x:c r="U2660" s="47" t="n">
        <x:v>0.2</x:v>
      </x:c>
      <x:c r="V2660" s="54" t="n">
        <x:f>IF(ISNUMBER(T2660),T2660*(1+U2660),"")</x:f>
        <x:v>37.187999999999995</x:v>
      </x:c>
      <x:c r="W2660" s="47" t="n">
        <x:v>0.3</x:v>
      </x:c>
      <x:c r="X2660" s="54" t="n">
        <x:f>IF(ISNUMBER(V2660),V2660/(1-W2660),"")</x:f>
        <x:v>53.12571428571428</x:v>
      </x:c>
      <x:c r="Y2660" s="55" t="n">
        <x:f>IF(ISNUMBER(X2660),ROUNDUP(X2660,0),"")</x:f>
        <x:v>54</x:v>
      </x:c>
      <x:c r="Z2660" t="str">
        <x:v>Source match pending</x:v>
      </x:c>
      <x:c r="AA2660" t="str">
        <x:v>screencapture-www-activesportstrade-co-uk-per4m-nutrition-trade-2026-09-10-09_06_42.pdf / page-03</x:v>
      </x:c>
      <x:c r="AB2660" s="36" t="n">
        <x:f>IF(ISNUMBER(Y2660),ROUND(Y2660*0.9,2),"")</x:f>
        <x:v>48.6</x:v>
      </x:c>
      <x:c r="AC2660" s="36" t="n">
        <x:f>IF(ISNUMBER(AB2660),ROUND(AB2660-(AB2660*0.015+0.2)-V2660,2),"")</x:f>
        <x:v>10.48</x:v>
      </x:c>
      <x:c r="AD2660" s="36" t="n">
        <x:f>IF(ISNUMBER(Y2660),ROUND(Y2660*0.8,2),"")</x:f>
        <x:v>43.2</x:v>
      </x:c>
      <x:c r="AE2660" s="36" t="n">
        <x:f>IF(ISNUMBER(AD2660),ROUND(AD2660*0.015+0.2,2),"")</x:f>
        <x:v>0.85</x:v>
      </x:c>
      <x:c r="AF2660" s="36" t="n">
        <x:f>IF(ISNUMBER(AD2660),ROUND(AD2660-AE2660-V2660,2),"")</x:f>
        <x:v>5.16</x:v>
      </x:c>
      <x:c r="AG2660" t="str">
        <x:f>IF(NOT(ISNUMBER(T2660)),"PENDING",IF(AF2660&gt;0,"PASS","FAIL"))</x:f>
        <x:v>PASS</x:v>
      </x:c>
      <x:c r="AH2660" t="str">
        <x:f>IF(NOT(ISNUMBER(T2660)),"Needs supplier cost",IF(K2660&lt;&gt;"In stock","Supplier unavailable",IF(AG2660&lt;&gt;"PASS","BLOCK - GT loss risk","Commercially protected")))</x:f>
        <x:v>Commercially protected</x:v>
      </x:c>
      <x:c r="AI2660" t="str">
        <x:v>2026-09-10 Active Sports trade capture</x:v>
      </x:c>
      <x:c r="AJ2660" t="str">
        <x:v>Management-only economics. Stripe stress test uses 1.5% + £0.20 standard UK online-card fee; pallet/mix-and-match pricing ignored.</x:v>
      </x:c>
    </x:row>
    <x:row r="2661">
      <x:c r="A2661" t="str">
        <x:v>Active Sports Nutrition</x:v>
      </x:c>
      <x:c r="B2661" t="str">
        <x:v>Per4m Nutrition</x:v>
      </x:c>
      <x:c r="C2661" t="str">
        <x:v>Egg White Protein</x:v>
      </x:c>
      <x:c r="D2661" t="str">
        <x:v>Supplements</x:v>
      </x:c>
      <x:c r="E2661" t="str">
        <x:v>Egg White Protein</x:v>
      </x:c>
      <x:c r="F2661" t="str"/>
      <x:c r="G2661" t="str">
        <x:v>1.8kg</x:v>
      </x:c>
      <x:c r="H2661" t="str">
        <x:v>White Chocolate Hazelnut</x:v>
      </x:c>
      <x:c r="I2661" t="str"/>
      <x:c r="J2661" t="str">
        <x:v>Unit</x:v>
      </x:c>
      <x:c r="K2661" t="str">
        <x:v>In stock</x:v>
      </x:c>
      <x:c r="L2661" t="str">
        <x:v>2026-09-08</x:v>
      </x:c>
      <x:c r="M2661" t="str"/>
      <x:c r="N2661" t="str"/>
      <x:c r="O2661" t="str">
        <x:v>https://www.activesportstrade.co.uk/per4m-nutrition-trade</x:v>
      </x:c>
      <x:c r="P2661" t="str"/>
      <x:c r="Q2661" t="str"/>
      <x:c r="R2661" t="str"/>
      <x:c r="S2661" t="str">
        <x:v>Pending genuine supplier/brand image</x:v>
      </x:c>
      <x:c r="T2661" s="54" t="n">
        <x:v>30.99</x:v>
      </x:c>
      <x:c r="U2661" s="47" t="n">
        <x:v>0.2</x:v>
      </x:c>
      <x:c r="V2661" s="54" t="n">
        <x:f>IF(ISNUMBER(T2661),T2661*(1+U2661),"")</x:f>
        <x:v>37.187999999999995</x:v>
      </x:c>
      <x:c r="W2661" s="47" t="n">
        <x:v>0.3</x:v>
      </x:c>
      <x:c r="X2661" s="54" t="n">
        <x:f>IF(ISNUMBER(V2661),V2661/(1-W2661),"")</x:f>
        <x:v>53.12571428571428</x:v>
      </x:c>
      <x:c r="Y2661" s="55" t="n">
        <x:f>IF(ISNUMBER(X2661),ROUNDUP(X2661,0),"")</x:f>
        <x:v>54</x:v>
      </x:c>
      <x:c r="Z2661" t="str">
        <x:v>Source match pending</x:v>
      </x:c>
      <x:c r="AA2661" t="str">
        <x:v>screencapture-www-activesportstrade-co-uk-per4m-nutrition-trade-2026-09-10-09_06_42.pdf / page-03</x:v>
      </x:c>
      <x:c r="AB2661" s="36" t="n">
        <x:f>IF(ISNUMBER(Y2661),ROUND(Y2661*0.9,2),"")</x:f>
        <x:v>48.6</x:v>
      </x:c>
      <x:c r="AC2661" s="36" t="n">
        <x:f>IF(ISNUMBER(AB2661),ROUND(AB2661-(AB2661*0.015+0.2)-V2661,2),"")</x:f>
        <x:v>10.48</x:v>
      </x:c>
      <x:c r="AD2661" s="36" t="n">
        <x:f>IF(ISNUMBER(Y2661),ROUND(Y2661*0.8,2),"")</x:f>
        <x:v>43.2</x:v>
      </x:c>
      <x:c r="AE2661" s="36" t="n">
        <x:f>IF(ISNUMBER(AD2661),ROUND(AD2661*0.015+0.2,2),"")</x:f>
        <x:v>0.85</x:v>
      </x:c>
      <x:c r="AF2661" s="36" t="n">
        <x:f>IF(ISNUMBER(AD2661),ROUND(AD2661-AE2661-V2661,2),"")</x:f>
        <x:v>5.16</x:v>
      </x:c>
      <x:c r="AG2661" t="str">
        <x:f>IF(NOT(ISNUMBER(T2661)),"PENDING",IF(AF2661&gt;0,"PASS","FAIL"))</x:f>
        <x:v>PASS</x:v>
      </x:c>
      <x:c r="AH2661" t="str">
        <x:f>IF(NOT(ISNUMBER(T2661)),"Needs supplier cost",IF(K2661&lt;&gt;"In stock","Supplier unavailable",IF(AG2661&lt;&gt;"PASS","BLOCK - GT loss risk","Commercially protected")))</x:f>
        <x:v>Commercially protected</x:v>
      </x:c>
      <x:c r="AI2661" t="str">
        <x:v>2026-09-10 Active Sports trade capture</x:v>
      </x:c>
      <x:c r="AJ2661" t="str">
        <x:v>Management-only economics. Stripe stress test uses 1.5% + £0.20 standard UK online-card fee; pallet/mix-and-match pricing ignored.</x:v>
      </x:c>
    </x:row>
    <x:row r="2662">
      <x:c r="A2662" t="str">
        <x:v>Active Sports Nutrition</x:v>
      </x:c>
      <x:c r="B2662" t="str">
        <x:v>Per4m Nutrition</x:v>
      </x:c>
      <x:c r="C2662" t="str">
        <x:v>Egg White Protein</x:v>
      </x:c>
      <x:c r="D2662" t="str">
        <x:v>Supplements</x:v>
      </x:c>
      <x:c r="E2662" t="str">
        <x:v>Egg White Protein</x:v>
      </x:c>
      <x:c r="F2662" t="str"/>
      <x:c r="G2662" t="str">
        <x:v>900g</x:v>
      </x:c>
      <x:c r="H2662" t="str">
        <x:v>Caramel Biscuit</x:v>
      </x:c>
      <x:c r="I2662" t="str"/>
      <x:c r="J2662" t="str">
        <x:v>Unit</x:v>
      </x:c>
      <x:c r="K2662" t="str">
        <x:v>In stock</x:v>
      </x:c>
      <x:c r="L2662" t="str">
        <x:v>2026-09-08</x:v>
      </x:c>
      <x:c r="M2662" t="str"/>
      <x:c r="N2662" t="str"/>
      <x:c r="O2662" t="str">
        <x:v>https://www.activesportstrade.co.uk/per4m-nutrition-trade</x:v>
      </x:c>
      <x:c r="P2662" t="str"/>
      <x:c r="Q2662" t="str"/>
      <x:c r="R2662" t="str"/>
      <x:c r="S2662" t="str">
        <x:v>Pending genuine supplier/brand image</x:v>
      </x:c>
      <x:c r="T2662" s="54" t="n">
        <x:v>18.99</x:v>
      </x:c>
      <x:c r="U2662" s="47" t="n">
        <x:v>0.2</x:v>
      </x:c>
      <x:c r="V2662" s="54" t="n">
        <x:f>IF(ISNUMBER(T2662),T2662*(1+U2662),"")</x:f>
        <x:v>22.787999999999997</x:v>
      </x:c>
      <x:c r="W2662" s="47" t="n">
        <x:v>0.3</x:v>
      </x:c>
      <x:c r="X2662" s="54" t="n">
        <x:f>IF(ISNUMBER(V2662),V2662/(1-W2662),"")</x:f>
        <x:v>32.55428571428571</x:v>
      </x:c>
      <x:c r="Y2662" s="55" t="n">
        <x:f>IF(ISNUMBER(X2662),ROUNDUP(X2662,0),"")</x:f>
        <x:v>33</x:v>
      </x:c>
      <x:c r="Z2662" t="str">
        <x:v>Source match pending</x:v>
      </x:c>
      <x:c r="AA2662" t="str">
        <x:v>screencapture-www-activesportstrade-co-uk-per4m-nutrition-trade-2026-09-10-09_06_42.pdf / page-04</x:v>
      </x:c>
      <x:c r="AB2662" s="36" t="n">
        <x:f>IF(ISNUMBER(Y2662),ROUND(Y2662*0.9,2),"")</x:f>
        <x:v>29.7</x:v>
      </x:c>
      <x:c r="AC2662" s="36" t="n">
        <x:f>IF(ISNUMBER(AB2662),ROUND(AB2662-(AB2662*0.015+0.2)-V2662,2),"")</x:f>
        <x:v>6.27</x:v>
      </x:c>
      <x:c r="AD2662" s="36" t="n">
        <x:f>IF(ISNUMBER(Y2662),ROUND(Y2662*0.8,2),"")</x:f>
        <x:v>26.4</x:v>
      </x:c>
      <x:c r="AE2662" s="36" t="n">
        <x:f>IF(ISNUMBER(AD2662),ROUND(AD2662*0.015+0.2,2),"")</x:f>
        <x:v>0.6</x:v>
      </x:c>
      <x:c r="AF2662" s="36" t="n">
        <x:f>IF(ISNUMBER(AD2662),ROUND(AD2662-AE2662-V2662,2),"")</x:f>
        <x:v>3.01</x:v>
      </x:c>
      <x:c r="AG2662" t="str">
        <x:f>IF(NOT(ISNUMBER(T2662)),"PENDING",IF(AF2662&gt;0,"PASS","FAIL"))</x:f>
        <x:v>PASS</x:v>
      </x:c>
      <x:c r="AH2662" t="str">
        <x:f>IF(NOT(ISNUMBER(T2662)),"Needs supplier cost",IF(K2662&lt;&gt;"In stock","Supplier unavailable",IF(AG2662&lt;&gt;"PASS","BLOCK - GT loss risk","Commercially protected")))</x:f>
        <x:v>Commercially protected</x:v>
      </x:c>
      <x:c r="AI2662" t="str">
        <x:v>2026-09-10 Active Sports trade capture</x:v>
      </x:c>
      <x:c r="AJ2662" t="str">
        <x:v>Management-only economics. Stripe stress test uses 1.5% + £0.20 standard UK online-card fee; pallet/mix-and-match pricing ignored.</x:v>
      </x:c>
    </x:row>
    <x:row r="2663">
      <x:c r="A2663" t="str">
        <x:v>Active Sports Nutrition</x:v>
      </x:c>
      <x:c r="B2663" t="str">
        <x:v>Per4m Nutrition</x:v>
      </x:c>
      <x:c r="C2663" t="str">
        <x:v>Egg White Protein</x:v>
      </x:c>
      <x:c r="D2663" t="str">
        <x:v>Supplements</x:v>
      </x:c>
      <x:c r="E2663" t="str">
        <x:v>Egg White Protein</x:v>
      </x:c>
      <x:c r="F2663" t="str"/>
      <x:c r="G2663" t="str">
        <x:v>900g</x:v>
      </x:c>
      <x:c r="H2663" t="str">
        <x:v>Cookies &amp; Cream</x:v>
      </x:c>
      <x:c r="I2663" t="str"/>
      <x:c r="J2663" t="str">
        <x:v>Unit</x:v>
      </x:c>
      <x:c r="K2663" t="str">
        <x:v>In stock</x:v>
      </x:c>
      <x:c r="L2663" t="str">
        <x:v>2026-09-08</x:v>
      </x:c>
      <x:c r="M2663" t="str"/>
      <x:c r="N2663" t="str"/>
      <x:c r="O2663" t="str">
        <x:v>https://www.activesportstrade.co.uk/per4m-nutrition-trade</x:v>
      </x:c>
      <x:c r="P2663" t="str"/>
      <x:c r="Q2663" t="str"/>
      <x:c r="R2663" t="str"/>
      <x:c r="S2663" t="str">
        <x:v>Pending genuine supplier/brand image</x:v>
      </x:c>
      <x:c r="T2663" s="54" t="n">
        <x:v>18.99</x:v>
      </x:c>
      <x:c r="U2663" s="47" t="n">
        <x:v>0.2</x:v>
      </x:c>
      <x:c r="V2663" s="54" t="n">
        <x:f>IF(ISNUMBER(T2663),T2663*(1+U2663),"")</x:f>
        <x:v>22.787999999999997</x:v>
      </x:c>
      <x:c r="W2663" s="47" t="n">
        <x:v>0.3</x:v>
      </x:c>
      <x:c r="X2663" s="54" t="n">
        <x:f>IF(ISNUMBER(V2663),V2663/(1-W2663),"")</x:f>
        <x:v>32.55428571428571</x:v>
      </x:c>
      <x:c r="Y2663" s="55" t="n">
        <x:f>IF(ISNUMBER(X2663),ROUNDUP(X2663,0),"")</x:f>
        <x:v>33</x:v>
      </x:c>
      <x:c r="Z2663" t="str">
        <x:v>Source match pending</x:v>
      </x:c>
      <x:c r="AA2663" t="str">
        <x:v>screencapture-www-activesportstrade-co-uk-per4m-nutrition-trade-2026-09-10-09_06_42.pdf / page-04</x:v>
      </x:c>
      <x:c r="AB2663" s="36" t="n">
        <x:f>IF(ISNUMBER(Y2663),ROUND(Y2663*0.9,2),"")</x:f>
        <x:v>29.7</x:v>
      </x:c>
      <x:c r="AC2663" s="36" t="n">
        <x:f>IF(ISNUMBER(AB2663),ROUND(AB2663-(AB2663*0.015+0.2)-V2663,2),"")</x:f>
        <x:v>6.27</x:v>
      </x:c>
      <x:c r="AD2663" s="36" t="n">
        <x:f>IF(ISNUMBER(Y2663),ROUND(Y2663*0.8,2),"")</x:f>
        <x:v>26.4</x:v>
      </x:c>
      <x:c r="AE2663" s="36" t="n">
        <x:f>IF(ISNUMBER(AD2663),ROUND(AD2663*0.015+0.2,2),"")</x:f>
        <x:v>0.6</x:v>
      </x:c>
      <x:c r="AF2663" s="36" t="n">
        <x:f>IF(ISNUMBER(AD2663),ROUND(AD2663-AE2663-V2663,2),"")</x:f>
        <x:v>3.01</x:v>
      </x:c>
      <x:c r="AG2663" t="str">
        <x:f>IF(NOT(ISNUMBER(T2663)),"PENDING",IF(AF2663&gt;0,"PASS","FAIL"))</x:f>
        <x:v>PASS</x:v>
      </x:c>
      <x:c r="AH2663" t="str">
        <x:f>IF(NOT(ISNUMBER(T2663)),"Needs supplier cost",IF(K2663&lt;&gt;"In stock","Supplier unavailable",IF(AG2663&lt;&gt;"PASS","BLOCK - GT loss risk","Commercially protected")))</x:f>
        <x:v>Commercially protected</x:v>
      </x:c>
      <x:c r="AI2663" t="str">
        <x:v>2026-09-10 Active Sports trade capture</x:v>
      </x:c>
      <x:c r="AJ2663" t="str">
        <x:v>Management-only economics. Stripe stress test uses 1.5% + £0.20 standard UK online-card fee; pallet/mix-and-match pricing ignored.</x:v>
      </x:c>
    </x:row>
    <x:row r="2664">
      <x:c r="A2664" t="str">
        <x:v>Active Sports Nutrition</x:v>
      </x:c>
      <x:c r="B2664" t="str">
        <x:v>Per4m Nutrition</x:v>
      </x:c>
      <x:c r="C2664" t="str">
        <x:v>Egg White Protein</x:v>
      </x:c>
      <x:c r="D2664" t="str">
        <x:v>Supplements</x:v>
      </x:c>
      <x:c r="E2664" t="str">
        <x:v>Egg White Protein</x:v>
      </x:c>
      <x:c r="F2664" t="str"/>
      <x:c r="G2664" t="str">
        <x:v>900g</x:v>
      </x:c>
      <x:c r="H2664" t="str">
        <x:v>Double Chocolate</x:v>
      </x:c>
      <x:c r="I2664" t="str"/>
      <x:c r="J2664" t="str">
        <x:v>Unit</x:v>
      </x:c>
      <x:c r="K2664" t="str">
        <x:v>In stock</x:v>
      </x:c>
      <x:c r="L2664" t="str">
        <x:v>2026-09-08</x:v>
      </x:c>
      <x:c r="M2664" t="str"/>
      <x:c r="N2664" t="str"/>
      <x:c r="O2664" t="str">
        <x:v>https://www.activesportstrade.co.uk/per4m-nutrition-trade</x:v>
      </x:c>
      <x:c r="P2664" t="str"/>
      <x:c r="Q2664" t="str"/>
      <x:c r="R2664" t="str"/>
      <x:c r="S2664" t="str">
        <x:v>Pending genuine supplier/brand image</x:v>
      </x:c>
      <x:c r="T2664" s="54" t="n">
        <x:v>18.99</x:v>
      </x:c>
      <x:c r="U2664" s="47" t="n">
        <x:v>0.2</x:v>
      </x:c>
      <x:c r="V2664" s="54" t="n">
        <x:f>IF(ISNUMBER(T2664),T2664*(1+U2664),"")</x:f>
        <x:v>22.787999999999997</x:v>
      </x:c>
      <x:c r="W2664" s="47" t="n">
        <x:v>0.3</x:v>
      </x:c>
      <x:c r="X2664" s="54" t="n">
        <x:f>IF(ISNUMBER(V2664),V2664/(1-W2664),"")</x:f>
        <x:v>32.55428571428571</x:v>
      </x:c>
      <x:c r="Y2664" s="55" t="n">
        <x:f>IF(ISNUMBER(X2664),ROUNDUP(X2664,0),"")</x:f>
        <x:v>33</x:v>
      </x:c>
      <x:c r="Z2664" t="str">
        <x:v>Source match pending</x:v>
      </x:c>
      <x:c r="AA2664" t="str">
        <x:v>screencapture-www-activesportstrade-co-uk-per4m-nutrition-trade-2026-09-10-09_06_42.pdf / page-04</x:v>
      </x:c>
      <x:c r="AB2664" s="36" t="n">
        <x:f>IF(ISNUMBER(Y2664),ROUND(Y2664*0.9,2),"")</x:f>
        <x:v>29.7</x:v>
      </x:c>
      <x:c r="AC2664" s="36" t="n">
        <x:f>IF(ISNUMBER(AB2664),ROUND(AB2664-(AB2664*0.015+0.2)-V2664,2),"")</x:f>
        <x:v>6.27</x:v>
      </x:c>
      <x:c r="AD2664" s="36" t="n">
        <x:f>IF(ISNUMBER(Y2664),ROUND(Y2664*0.8,2),"")</x:f>
        <x:v>26.4</x:v>
      </x:c>
      <x:c r="AE2664" s="36" t="n">
        <x:f>IF(ISNUMBER(AD2664),ROUND(AD2664*0.015+0.2,2),"")</x:f>
        <x:v>0.6</x:v>
      </x:c>
      <x:c r="AF2664" s="36" t="n">
        <x:f>IF(ISNUMBER(AD2664),ROUND(AD2664-AE2664-V2664,2),"")</x:f>
        <x:v>3.01</x:v>
      </x:c>
      <x:c r="AG2664" t="str">
        <x:f>IF(NOT(ISNUMBER(T2664)),"PENDING",IF(AF2664&gt;0,"PASS","FAIL"))</x:f>
        <x:v>PASS</x:v>
      </x:c>
      <x:c r="AH2664" t="str">
        <x:f>IF(NOT(ISNUMBER(T2664)),"Needs supplier cost",IF(K2664&lt;&gt;"In stock","Supplier unavailable",IF(AG2664&lt;&gt;"PASS","BLOCK - GT loss risk","Commercially protected")))</x:f>
        <x:v>Commercially protected</x:v>
      </x:c>
      <x:c r="AI2664" t="str">
        <x:v>2026-09-10 Active Sports trade capture</x:v>
      </x:c>
      <x:c r="AJ2664" t="str">
        <x:v>Management-only economics. Stripe stress test uses 1.5% + £0.20 standard UK online-card fee; pallet/mix-and-match pricing ignored.</x:v>
      </x:c>
    </x:row>
    <x:row r="2665">
      <x:c r="A2665" t="str">
        <x:v>Active Sports Nutrition</x:v>
      </x:c>
      <x:c r="B2665" t="str">
        <x:v>Per4m Nutrition</x:v>
      </x:c>
      <x:c r="C2665" t="str">
        <x:v>Egg White Protein</x:v>
      </x:c>
      <x:c r="D2665" t="str">
        <x:v>Supplements</x:v>
      </x:c>
      <x:c r="E2665" t="str">
        <x:v>Egg White Protein</x:v>
      </x:c>
      <x:c r="F2665" t="str"/>
      <x:c r="G2665" t="str">
        <x:v>900g</x:v>
      </x:c>
      <x:c r="H2665" t="str">
        <x:v>Strawberry Creme</x:v>
      </x:c>
      <x:c r="I2665" t="str"/>
      <x:c r="J2665" t="str">
        <x:v>Unit</x:v>
      </x:c>
      <x:c r="K2665" t="str">
        <x:v>In stock</x:v>
      </x:c>
      <x:c r="L2665" t="str">
        <x:v>2026-09-08</x:v>
      </x:c>
      <x:c r="M2665" t="str"/>
      <x:c r="N2665" t="str"/>
      <x:c r="O2665" t="str">
        <x:v>https://www.activesportstrade.co.uk/per4m-nutrition-trade</x:v>
      </x:c>
      <x:c r="P2665" t="str"/>
      <x:c r="Q2665" t="str"/>
      <x:c r="R2665" t="str"/>
      <x:c r="S2665" t="str">
        <x:v>Pending genuine supplier/brand image</x:v>
      </x:c>
      <x:c r="T2665" s="54" t="n">
        <x:v>18.99</x:v>
      </x:c>
      <x:c r="U2665" s="47" t="n">
        <x:v>0.2</x:v>
      </x:c>
      <x:c r="V2665" s="54" t="n">
        <x:f>IF(ISNUMBER(T2665),T2665*(1+U2665),"")</x:f>
        <x:v>22.787999999999997</x:v>
      </x:c>
      <x:c r="W2665" s="47" t="n">
        <x:v>0.3</x:v>
      </x:c>
      <x:c r="X2665" s="54" t="n">
        <x:f>IF(ISNUMBER(V2665),V2665/(1-W2665),"")</x:f>
        <x:v>32.55428571428571</x:v>
      </x:c>
      <x:c r="Y2665" s="55" t="n">
        <x:f>IF(ISNUMBER(X2665),ROUNDUP(X2665,0),"")</x:f>
        <x:v>33</x:v>
      </x:c>
      <x:c r="Z2665" t="str">
        <x:v>Source match pending</x:v>
      </x:c>
      <x:c r="AA2665" t="str">
        <x:v>screencapture-www-activesportstrade-co-uk-per4m-nutrition-trade-2026-09-10-09_06_42.pdf / page-04</x:v>
      </x:c>
      <x:c r="AB2665" s="36" t="n">
        <x:f>IF(ISNUMBER(Y2665),ROUND(Y2665*0.9,2),"")</x:f>
        <x:v>29.7</x:v>
      </x:c>
      <x:c r="AC2665" s="36" t="n">
        <x:f>IF(ISNUMBER(AB2665),ROUND(AB2665-(AB2665*0.015+0.2)-V2665,2),"")</x:f>
        <x:v>6.27</x:v>
      </x:c>
      <x:c r="AD2665" s="36" t="n">
        <x:f>IF(ISNUMBER(Y2665),ROUND(Y2665*0.8,2),"")</x:f>
        <x:v>26.4</x:v>
      </x:c>
      <x:c r="AE2665" s="36" t="n">
        <x:f>IF(ISNUMBER(AD2665),ROUND(AD2665*0.015+0.2,2),"")</x:f>
        <x:v>0.6</x:v>
      </x:c>
      <x:c r="AF2665" s="36" t="n">
        <x:f>IF(ISNUMBER(AD2665),ROUND(AD2665-AE2665-V2665,2),"")</x:f>
        <x:v>3.01</x:v>
      </x:c>
      <x:c r="AG2665" t="str">
        <x:f>IF(NOT(ISNUMBER(T2665)),"PENDING",IF(AF2665&gt;0,"PASS","FAIL"))</x:f>
        <x:v>PASS</x:v>
      </x:c>
      <x:c r="AH2665" t="str">
        <x:f>IF(NOT(ISNUMBER(T2665)),"Needs supplier cost",IF(K2665&lt;&gt;"In stock","Supplier unavailable",IF(AG2665&lt;&gt;"PASS","BLOCK - GT loss risk","Commercially protected")))</x:f>
        <x:v>Commercially protected</x:v>
      </x:c>
      <x:c r="AI2665" t="str">
        <x:v>2026-09-10 Active Sports trade capture</x:v>
      </x:c>
      <x:c r="AJ2665" t="str">
        <x:v>Management-only economics. Stripe stress test uses 1.5% + £0.20 standard UK online-card fee; pallet/mix-and-match pricing ignored.</x:v>
      </x:c>
    </x:row>
    <x:row r="2666">
      <x:c r="A2666" t="str">
        <x:v>Active Sports Nutrition</x:v>
      </x:c>
      <x:c r="B2666" t="str">
        <x:v>Per4m Nutrition</x:v>
      </x:c>
      <x:c r="C2666" t="str">
        <x:v>Egg White Protein</x:v>
      </x:c>
      <x:c r="D2666" t="str">
        <x:v>Supplements</x:v>
      </x:c>
      <x:c r="E2666" t="str">
        <x:v>Egg White Protein</x:v>
      </x:c>
      <x:c r="F2666" t="str"/>
      <x:c r="G2666" t="str">
        <x:v>900g</x:v>
      </x:c>
      <x:c r="H2666" t="str">
        <x:v>White Chocolate Hazelnut</x:v>
      </x:c>
      <x:c r="I2666" t="str"/>
      <x:c r="J2666" t="str">
        <x:v>Unit</x:v>
      </x:c>
      <x:c r="K2666" t="str">
        <x:v>In stock</x:v>
      </x:c>
      <x:c r="L2666" t="str">
        <x:v>2026-09-08</x:v>
      </x:c>
      <x:c r="M2666" t="str"/>
      <x:c r="N2666" t="str"/>
      <x:c r="O2666" t="str">
        <x:v>https://www.activesportstrade.co.uk/per4m-nutrition-trade</x:v>
      </x:c>
      <x:c r="P2666" t="str"/>
      <x:c r="Q2666" t="str"/>
      <x:c r="R2666" t="str"/>
      <x:c r="S2666" t="str">
        <x:v>Pending genuine supplier/brand image</x:v>
      </x:c>
      <x:c r="T2666" s="54" t="n">
        <x:v>18.99</x:v>
      </x:c>
      <x:c r="U2666" s="47" t="n">
        <x:v>0.2</x:v>
      </x:c>
      <x:c r="V2666" s="54" t="n">
        <x:f>IF(ISNUMBER(T2666),T2666*(1+U2666),"")</x:f>
        <x:v>22.787999999999997</x:v>
      </x:c>
      <x:c r="W2666" s="47" t="n">
        <x:v>0.3</x:v>
      </x:c>
      <x:c r="X2666" s="54" t="n">
        <x:f>IF(ISNUMBER(V2666),V2666/(1-W2666),"")</x:f>
        <x:v>32.55428571428571</x:v>
      </x:c>
      <x:c r="Y2666" s="55" t="n">
        <x:f>IF(ISNUMBER(X2666),ROUNDUP(X2666,0),"")</x:f>
        <x:v>33</x:v>
      </x:c>
      <x:c r="Z2666" t="str">
        <x:v>Source match pending</x:v>
      </x:c>
      <x:c r="AA2666" t="str">
        <x:v>screencapture-www-activesportstrade-co-uk-per4m-nutrition-trade-2026-09-10-09_06_42.pdf / page-04</x:v>
      </x:c>
      <x:c r="AB2666" s="36" t="n">
        <x:f>IF(ISNUMBER(Y2666),ROUND(Y2666*0.9,2),"")</x:f>
        <x:v>29.7</x:v>
      </x:c>
      <x:c r="AC2666" s="36" t="n">
        <x:f>IF(ISNUMBER(AB2666),ROUND(AB2666-(AB2666*0.015+0.2)-V2666,2),"")</x:f>
        <x:v>6.27</x:v>
      </x:c>
      <x:c r="AD2666" s="36" t="n">
        <x:f>IF(ISNUMBER(Y2666),ROUND(Y2666*0.8,2),"")</x:f>
        <x:v>26.4</x:v>
      </x:c>
      <x:c r="AE2666" s="36" t="n">
        <x:f>IF(ISNUMBER(AD2666),ROUND(AD2666*0.015+0.2,2),"")</x:f>
        <x:v>0.6</x:v>
      </x:c>
      <x:c r="AF2666" s="36" t="n">
        <x:f>IF(ISNUMBER(AD2666),ROUND(AD2666-AE2666-V2666,2),"")</x:f>
        <x:v>3.01</x:v>
      </x:c>
      <x:c r="AG2666" t="str">
        <x:f>IF(NOT(ISNUMBER(T2666)),"PENDING",IF(AF2666&gt;0,"PASS","FAIL"))</x:f>
        <x:v>PASS</x:v>
      </x:c>
      <x:c r="AH2666" t="str">
        <x:f>IF(NOT(ISNUMBER(T2666)),"Needs supplier cost",IF(K2666&lt;&gt;"In stock","Supplier unavailable",IF(AG2666&lt;&gt;"PASS","BLOCK - GT loss risk","Commercially protected")))</x:f>
        <x:v>Commercially protected</x:v>
      </x:c>
      <x:c r="AI2666" t="str">
        <x:v>2026-09-10 Active Sports trade capture</x:v>
      </x:c>
      <x:c r="AJ2666" t="str">
        <x:v>Management-only economics. Stripe stress test uses 1.5% + £0.20 standard UK online-card fee; pallet/mix-and-match pricing ignored.</x:v>
      </x:c>
    </x:row>
    <x:row r="2667">
      <x:c r="A2667" t="str">
        <x:v>Active Sports Nutrition</x:v>
      </x:c>
      <x:c r="B2667" t="str">
        <x:v>Per4m Nutrition</x:v>
      </x:c>
      <x:c r="C2667" t="str">
        <x:v>Isolate Zero 100% Whey Protein Isolate</x:v>
      </x:c>
      <x:c r="D2667" t="str">
        <x:v>Supplements</x:v>
      </x:c>
      <x:c r="E2667" t="str">
        <x:v>Whey Isolate</x:v>
      </x:c>
      <x:c r="F2667" t="str"/>
      <x:c r="G2667" t="str">
        <x:v>900g</x:v>
      </x:c>
      <x:c r="H2667" t="str">
        <x:v>Baklava</x:v>
      </x:c>
      <x:c r="I2667" t="str"/>
      <x:c r="J2667" t="str">
        <x:v>Unit</x:v>
      </x:c>
      <x:c r="K2667" t="str">
        <x:v>In stock</x:v>
      </x:c>
      <x:c r="L2667" t="str">
        <x:v>2026-09-08</x:v>
      </x:c>
      <x:c r="M2667" t="str"/>
      <x:c r="N2667" t="str"/>
      <x:c r="O2667" t="str">
        <x:v>https://www.activesportstrade.co.uk/per4m-nutrition-trade</x:v>
      </x:c>
      <x:c r="P2667" t="str">
        <x:v>NEW wording stripped from exact flavour names.</x:v>
      </x:c>
      <x:c r="Q2667" t="str"/>
      <x:c r="R2667" t="str"/>
      <x:c r="S2667" t="str">
        <x:v>Pending genuine supplier/brand image</x:v>
      </x:c>
      <x:c r="T2667" s="54" t="n">
        <x:v>25.99</x:v>
      </x:c>
      <x:c r="U2667" s="47" t="n">
        <x:v>0.2</x:v>
      </x:c>
      <x:c r="V2667" s="54" t="n">
        <x:f>IF(ISNUMBER(T2667),T2667*(1+U2667),"")</x:f>
        <x:v>31.187999999999995</x:v>
      </x:c>
      <x:c r="W2667" s="47" t="n">
        <x:v>0.3</x:v>
      </x:c>
      <x:c r="X2667" s="54" t="n">
        <x:f>IF(ISNUMBER(V2667),V2667/(1-W2667),"")</x:f>
        <x:v>44.55428571428571</x:v>
      </x:c>
      <x:c r="Y2667" s="55" t="n">
        <x:f>IF(ISNUMBER(X2667),ROUNDUP(X2667,0),"")</x:f>
        <x:v>45</x:v>
      </x:c>
      <x:c r="Z2667" t="str">
        <x:v>Source match pending</x:v>
      </x:c>
      <x:c r="AA2667" t="str">
        <x:v>screencapture-www-activesportstrade-co-uk-per4m-nutrition-trade-2026-09-10-09_06_42.pdf / page-05</x:v>
      </x:c>
      <x:c r="AB2667" s="36" t="n">
        <x:f>IF(ISNUMBER(Y2667),ROUND(Y2667*0.9,2),"")</x:f>
        <x:v>40.5</x:v>
      </x:c>
      <x:c r="AC2667" s="36" t="n">
        <x:f>IF(ISNUMBER(AB2667),ROUND(AB2667-(AB2667*0.015+0.2)-V2667,2),"")</x:f>
        <x:v>8.5</x:v>
      </x:c>
      <x:c r="AD2667" s="36" t="n">
        <x:f>IF(ISNUMBER(Y2667),ROUND(Y2667*0.8,2),"")</x:f>
        <x:v>36</x:v>
      </x:c>
      <x:c r="AE2667" s="36" t="n">
        <x:f>IF(ISNUMBER(AD2667),ROUND(AD2667*0.015+0.2,2),"")</x:f>
        <x:v>0.74</x:v>
      </x:c>
      <x:c r="AF2667" s="36" t="n">
        <x:f>IF(ISNUMBER(AD2667),ROUND(AD2667-AE2667-V2667,2),"")</x:f>
        <x:v>4.07</x:v>
      </x:c>
      <x:c r="AG2667" t="str">
        <x:f>IF(NOT(ISNUMBER(T2667)),"PENDING",IF(AF2667&gt;0,"PASS","FAIL"))</x:f>
        <x:v>PASS</x:v>
      </x:c>
      <x:c r="AH2667" t="str">
        <x:f>IF(NOT(ISNUMBER(T2667)),"Needs supplier cost",IF(K2667&lt;&gt;"In stock","Supplier unavailable",IF(AG2667&lt;&gt;"PASS","BLOCK - GT loss risk","Commercially protected")))</x:f>
        <x:v>Commercially protected</x:v>
      </x:c>
      <x:c r="AI2667" t="str">
        <x:v>2026-09-10 Active Sports trade capture</x:v>
      </x:c>
      <x:c r="AJ2667" t="str">
        <x:v>Management-only economics. Stripe stress test uses 1.5% + £0.20 standard UK online-card fee; pallet/mix-and-match pricing ignored.</x:v>
      </x:c>
    </x:row>
    <x:row r="2668">
      <x:c r="A2668" t="str">
        <x:v>Active Sports Nutrition</x:v>
      </x:c>
      <x:c r="B2668" t="str">
        <x:v>Per4m Nutrition</x:v>
      </x:c>
      <x:c r="C2668" t="str">
        <x:v>Isolate Zero 100% Whey Protein Isolate</x:v>
      </x:c>
      <x:c r="D2668" t="str">
        <x:v>Supplements</x:v>
      </x:c>
      <x:c r="E2668" t="str">
        <x:v>Whey Isolate</x:v>
      </x:c>
      <x:c r="F2668" t="str"/>
      <x:c r="G2668" t="str">
        <x:v>900g</x:v>
      </x:c>
      <x:c r="H2668" t="str">
        <x:v>Banana Creme</x:v>
      </x:c>
      <x:c r="I2668" t="str"/>
      <x:c r="J2668" t="str">
        <x:v>Unit</x:v>
      </x:c>
      <x:c r="K2668" t="str">
        <x:v>In stock</x:v>
      </x:c>
      <x:c r="L2668" t="str">
        <x:v>2026-09-08</x:v>
      </x:c>
      <x:c r="M2668" t="str"/>
      <x:c r="N2668" t="str"/>
      <x:c r="O2668" t="str">
        <x:v>https://www.activesportstrade.co.uk/per4m-nutrition-trade</x:v>
      </x:c>
      <x:c r="P2668" t="str">
        <x:v>NEW wording stripped from exact flavour names.</x:v>
      </x:c>
      <x:c r="Q2668" t="str"/>
      <x:c r="R2668" t="str"/>
      <x:c r="S2668" t="str">
        <x:v>Pending genuine supplier/brand image</x:v>
      </x:c>
      <x:c r="T2668" s="54" t="n">
        <x:v>25.99</x:v>
      </x:c>
      <x:c r="U2668" s="47" t="n">
        <x:v>0.2</x:v>
      </x:c>
      <x:c r="V2668" s="54" t="n">
        <x:f>IF(ISNUMBER(T2668),T2668*(1+U2668),"")</x:f>
        <x:v>31.187999999999995</x:v>
      </x:c>
      <x:c r="W2668" s="47" t="n">
        <x:v>0.3</x:v>
      </x:c>
      <x:c r="X2668" s="54" t="n">
        <x:f>IF(ISNUMBER(V2668),V2668/(1-W2668),"")</x:f>
        <x:v>44.55428571428571</x:v>
      </x:c>
      <x:c r="Y2668" s="55" t="n">
        <x:f>IF(ISNUMBER(X2668),ROUNDUP(X2668,0),"")</x:f>
        <x:v>45</x:v>
      </x:c>
      <x:c r="Z2668" t="str">
        <x:v>Source match pending</x:v>
      </x:c>
      <x:c r="AA2668" t="str">
        <x:v>screencapture-www-activesportstrade-co-uk-per4m-nutrition-trade-2026-09-10-09_06_42.pdf / page-05</x:v>
      </x:c>
      <x:c r="AB2668" s="36" t="n">
        <x:f>IF(ISNUMBER(Y2668),ROUND(Y2668*0.9,2),"")</x:f>
        <x:v>40.5</x:v>
      </x:c>
      <x:c r="AC2668" s="36" t="n">
        <x:f>IF(ISNUMBER(AB2668),ROUND(AB2668-(AB2668*0.015+0.2)-V2668,2),"")</x:f>
        <x:v>8.5</x:v>
      </x:c>
      <x:c r="AD2668" s="36" t="n">
        <x:f>IF(ISNUMBER(Y2668),ROUND(Y2668*0.8,2),"")</x:f>
        <x:v>36</x:v>
      </x:c>
      <x:c r="AE2668" s="36" t="n">
        <x:f>IF(ISNUMBER(AD2668),ROUND(AD2668*0.015+0.2,2),"")</x:f>
        <x:v>0.74</x:v>
      </x:c>
      <x:c r="AF2668" s="36" t="n">
        <x:f>IF(ISNUMBER(AD2668),ROUND(AD2668-AE2668-V2668,2),"")</x:f>
        <x:v>4.07</x:v>
      </x:c>
      <x:c r="AG2668" t="str">
        <x:f>IF(NOT(ISNUMBER(T2668)),"PENDING",IF(AF2668&gt;0,"PASS","FAIL"))</x:f>
        <x:v>PASS</x:v>
      </x:c>
      <x:c r="AH2668" t="str">
        <x:f>IF(NOT(ISNUMBER(T2668)),"Needs supplier cost",IF(K2668&lt;&gt;"In stock","Supplier unavailable",IF(AG2668&lt;&gt;"PASS","BLOCK - GT loss risk","Commercially protected")))</x:f>
        <x:v>Commercially protected</x:v>
      </x:c>
      <x:c r="AI2668" t="str">
        <x:v>2026-09-10 Active Sports trade capture</x:v>
      </x:c>
      <x:c r="AJ2668" t="str">
        <x:v>Management-only economics. Stripe stress test uses 1.5% + £0.20 standard UK online-card fee; pallet/mix-and-match pricing ignored.</x:v>
      </x:c>
    </x:row>
    <x:row r="2669">
      <x:c r="A2669" t="str">
        <x:v>Active Sports Nutrition</x:v>
      </x:c>
      <x:c r="B2669" t="str">
        <x:v>Per4m Nutrition</x:v>
      </x:c>
      <x:c r="C2669" t="str">
        <x:v>Isolate Zero 100% Whey Protein Isolate</x:v>
      </x:c>
      <x:c r="D2669" t="str">
        <x:v>Supplements</x:v>
      </x:c>
      <x:c r="E2669" t="str">
        <x:v>Whey Isolate</x:v>
      </x:c>
      <x:c r="F2669" t="str"/>
      <x:c r="G2669" t="str">
        <x:v>900g</x:v>
      </x:c>
      <x:c r="H2669" t="str">
        <x:v>Caramel Biscuit</x:v>
      </x:c>
      <x:c r="I2669" t="str"/>
      <x:c r="J2669" t="str">
        <x:v>Unit</x:v>
      </x:c>
      <x:c r="K2669" t="str">
        <x:v>In stock</x:v>
      </x:c>
      <x:c r="L2669" t="str">
        <x:v>2026-09-08</x:v>
      </x:c>
      <x:c r="M2669" t="str"/>
      <x:c r="N2669" t="str"/>
      <x:c r="O2669" t="str">
        <x:v>https://www.activesportstrade.co.uk/per4m-nutrition-trade</x:v>
      </x:c>
      <x:c r="P2669" t="str">
        <x:v>NEW wording stripped from exact flavour names.</x:v>
      </x:c>
      <x:c r="Q2669" t="str"/>
      <x:c r="R2669" t="str"/>
      <x:c r="S2669" t="str">
        <x:v>Pending genuine supplier/brand image</x:v>
      </x:c>
      <x:c r="T2669" s="54" t="n">
        <x:v>25.99</x:v>
      </x:c>
      <x:c r="U2669" s="47" t="n">
        <x:v>0.2</x:v>
      </x:c>
      <x:c r="V2669" s="54" t="n">
        <x:f>IF(ISNUMBER(T2669),T2669*(1+U2669),"")</x:f>
        <x:v>31.187999999999995</x:v>
      </x:c>
      <x:c r="W2669" s="47" t="n">
        <x:v>0.3</x:v>
      </x:c>
      <x:c r="X2669" s="54" t="n">
        <x:f>IF(ISNUMBER(V2669),V2669/(1-W2669),"")</x:f>
        <x:v>44.55428571428571</x:v>
      </x:c>
      <x:c r="Y2669" s="55" t="n">
        <x:f>IF(ISNUMBER(X2669),ROUNDUP(X2669,0),"")</x:f>
        <x:v>45</x:v>
      </x:c>
      <x:c r="Z2669" t="str">
        <x:v>Source match pending</x:v>
      </x:c>
      <x:c r="AA2669" t="str">
        <x:v>screencapture-www-activesportstrade-co-uk-per4m-nutrition-trade-2026-09-10-09_06_42.pdf / page-05</x:v>
      </x:c>
      <x:c r="AB2669" s="36" t="n">
        <x:f>IF(ISNUMBER(Y2669),ROUND(Y2669*0.9,2),"")</x:f>
        <x:v>40.5</x:v>
      </x:c>
      <x:c r="AC2669" s="36" t="n">
        <x:f>IF(ISNUMBER(AB2669),ROUND(AB2669-(AB2669*0.015+0.2)-V2669,2),"")</x:f>
        <x:v>8.5</x:v>
      </x:c>
      <x:c r="AD2669" s="36" t="n">
        <x:f>IF(ISNUMBER(Y2669),ROUND(Y2669*0.8,2),"")</x:f>
        <x:v>36</x:v>
      </x:c>
      <x:c r="AE2669" s="36" t="n">
        <x:f>IF(ISNUMBER(AD2669),ROUND(AD2669*0.015+0.2,2),"")</x:f>
        <x:v>0.74</x:v>
      </x:c>
      <x:c r="AF2669" s="36" t="n">
        <x:f>IF(ISNUMBER(AD2669),ROUND(AD2669-AE2669-V2669,2),"")</x:f>
        <x:v>4.07</x:v>
      </x:c>
      <x:c r="AG2669" t="str">
        <x:f>IF(NOT(ISNUMBER(T2669)),"PENDING",IF(AF2669&gt;0,"PASS","FAIL"))</x:f>
        <x:v>PASS</x:v>
      </x:c>
      <x:c r="AH2669" t="str">
        <x:f>IF(NOT(ISNUMBER(T2669)),"Needs supplier cost",IF(K2669&lt;&gt;"In stock","Supplier unavailable",IF(AG2669&lt;&gt;"PASS","BLOCK - GT loss risk","Commercially protected")))</x:f>
        <x:v>Commercially protected</x:v>
      </x:c>
      <x:c r="AI2669" t="str">
        <x:v>2026-09-10 Active Sports trade capture</x:v>
      </x:c>
      <x:c r="AJ2669" t="str">
        <x:v>Management-only economics. Stripe stress test uses 1.5% + £0.20 standard UK online-card fee; pallet/mix-and-match pricing ignored.</x:v>
      </x:c>
    </x:row>
    <x:row r="2670">
      <x:c r="A2670" t="str">
        <x:v>Active Sports Nutrition</x:v>
      </x:c>
      <x:c r="B2670" t="str">
        <x:v>Per4m Nutrition</x:v>
      </x:c>
      <x:c r="C2670" t="str">
        <x:v>Isolate Zero 100% Whey Protein Isolate</x:v>
      </x:c>
      <x:c r="D2670" t="str">
        <x:v>Supplements</x:v>
      </x:c>
      <x:c r="E2670" t="str">
        <x:v>Whey Isolate</x:v>
      </x:c>
      <x:c r="F2670" t="str"/>
      <x:c r="G2670" t="str">
        <x:v>900g</x:v>
      </x:c>
      <x:c r="H2670" t="str">
        <x:v>Carrot Cake</x:v>
      </x:c>
      <x:c r="I2670" t="str"/>
      <x:c r="J2670" t="str">
        <x:v>Unit</x:v>
      </x:c>
      <x:c r="K2670" t="str">
        <x:v>In stock</x:v>
      </x:c>
      <x:c r="L2670" t="str">
        <x:v>2026-09-08</x:v>
      </x:c>
      <x:c r="M2670" t="str"/>
      <x:c r="N2670" t="str"/>
      <x:c r="O2670" t="str">
        <x:v>https://www.activesportstrade.co.uk/per4m-nutrition-trade</x:v>
      </x:c>
      <x:c r="P2670" t="str">
        <x:v>NEW wording stripped from exact flavour names.</x:v>
      </x:c>
      <x:c r="Q2670" t="str"/>
      <x:c r="R2670" t="str"/>
      <x:c r="S2670" t="str">
        <x:v>Pending genuine supplier/brand image</x:v>
      </x:c>
      <x:c r="T2670" s="54" t="n">
        <x:v>25.99</x:v>
      </x:c>
      <x:c r="U2670" s="47" t="n">
        <x:v>0.2</x:v>
      </x:c>
      <x:c r="V2670" s="54" t="n">
        <x:f>IF(ISNUMBER(T2670),T2670*(1+U2670),"")</x:f>
        <x:v>31.187999999999995</x:v>
      </x:c>
      <x:c r="W2670" s="47" t="n">
        <x:v>0.3</x:v>
      </x:c>
      <x:c r="X2670" s="54" t="n">
        <x:f>IF(ISNUMBER(V2670),V2670/(1-W2670),"")</x:f>
        <x:v>44.55428571428571</x:v>
      </x:c>
      <x:c r="Y2670" s="55" t="n">
        <x:f>IF(ISNUMBER(X2670),ROUNDUP(X2670,0),"")</x:f>
        <x:v>45</x:v>
      </x:c>
      <x:c r="Z2670" t="str">
        <x:v>Source match pending</x:v>
      </x:c>
      <x:c r="AA2670" t="str">
        <x:v>screencapture-www-activesportstrade-co-uk-per4m-nutrition-trade-2026-09-10-09_06_42.pdf / page-05</x:v>
      </x:c>
      <x:c r="AB2670" s="36" t="n">
        <x:f>IF(ISNUMBER(Y2670),ROUND(Y2670*0.9,2),"")</x:f>
        <x:v>40.5</x:v>
      </x:c>
      <x:c r="AC2670" s="36" t="n">
        <x:f>IF(ISNUMBER(AB2670),ROUND(AB2670-(AB2670*0.015+0.2)-V2670,2),"")</x:f>
        <x:v>8.5</x:v>
      </x:c>
      <x:c r="AD2670" s="36" t="n">
        <x:f>IF(ISNUMBER(Y2670),ROUND(Y2670*0.8,2),"")</x:f>
        <x:v>36</x:v>
      </x:c>
      <x:c r="AE2670" s="36" t="n">
        <x:f>IF(ISNUMBER(AD2670),ROUND(AD2670*0.015+0.2,2),"")</x:f>
        <x:v>0.74</x:v>
      </x:c>
      <x:c r="AF2670" s="36" t="n">
        <x:f>IF(ISNUMBER(AD2670),ROUND(AD2670-AE2670-V2670,2),"")</x:f>
        <x:v>4.07</x:v>
      </x:c>
      <x:c r="AG2670" t="str">
        <x:f>IF(NOT(ISNUMBER(T2670)),"PENDING",IF(AF2670&gt;0,"PASS","FAIL"))</x:f>
        <x:v>PASS</x:v>
      </x:c>
      <x:c r="AH2670" t="str">
        <x:f>IF(NOT(ISNUMBER(T2670)),"Needs supplier cost",IF(K2670&lt;&gt;"In stock","Supplier unavailable",IF(AG2670&lt;&gt;"PASS","BLOCK - GT loss risk","Commercially protected")))</x:f>
        <x:v>Commercially protected</x:v>
      </x:c>
      <x:c r="AI2670" t="str">
        <x:v>2026-09-10 Active Sports trade capture</x:v>
      </x:c>
      <x:c r="AJ2670" t="str">
        <x:v>Management-only economics. Stripe stress test uses 1.5% + £0.20 standard UK online-card fee; pallet/mix-and-match pricing ignored.</x:v>
      </x:c>
    </x:row>
    <x:row r="2671">
      <x:c r="A2671" t="str">
        <x:v>Active Sports Nutrition</x:v>
      </x:c>
      <x:c r="B2671" t="str">
        <x:v>Per4m Nutrition</x:v>
      </x:c>
      <x:c r="C2671" t="str">
        <x:v>Isolate Zero 100% Whey Protein Isolate</x:v>
      </x:c>
      <x:c r="D2671" t="str">
        <x:v>Supplements</x:v>
      </x:c>
      <x:c r="E2671" t="str">
        <x:v>Whey Isolate</x:v>
      </x:c>
      <x:c r="F2671" t="str"/>
      <x:c r="G2671" t="str">
        <x:v>900g</x:v>
      </x:c>
      <x:c r="H2671" t="str">
        <x:v>Cereal Milk</x:v>
      </x:c>
      <x:c r="I2671" t="str"/>
      <x:c r="J2671" t="str">
        <x:v>Unit</x:v>
      </x:c>
      <x:c r="K2671" t="str">
        <x:v>In stock</x:v>
      </x:c>
      <x:c r="L2671" t="str">
        <x:v>2026-09-08</x:v>
      </x:c>
      <x:c r="M2671" t="str"/>
      <x:c r="N2671" t="str"/>
      <x:c r="O2671" t="str">
        <x:v>https://www.activesportstrade.co.uk/per4m-nutrition-trade</x:v>
      </x:c>
      <x:c r="P2671" t="str">
        <x:v>NEW wording stripped from exact flavour names.</x:v>
      </x:c>
      <x:c r="Q2671" t="str"/>
      <x:c r="R2671" t="str"/>
      <x:c r="S2671" t="str">
        <x:v>Pending genuine supplier/brand image</x:v>
      </x:c>
      <x:c r="T2671" s="54" t="n">
        <x:v>25.99</x:v>
      </x:c>
      <x:c r="U2671" s="47" t="n">
        <x:v>0.2</x:v>
      </x:c>
      <x:c r="V2671" s="54" t="n">
        <x:f>IF(ISNUMBER(T2671),T2671*(1+U2671),"")</x:f>
        <x:v>31.187999999999995</x:v>
      </x:c>
      <x:c r="W2671" s="47" t="n">
        <x:v>0.3</x:v>
      </x:c>
      <x:c r="X2671" s="54" t="n">
        <x:f>IF(ISNUMBER(V2671),V2671/(1-W2671),"")</x:f>
        <x:v>44.55428571428571</x:v>
      </x:c>
      <x:c r="Y2671" s="55" t="n">
        <x:f>IF(ISNUMBER(X2671),ROUNDUP(X2671,0),"")</x:f>
        <x:v>45</x:v>
      </x:c>
      <x:c r="Z2671" t="str">
        <x:v>Source match pending</x:v>
      </x:c>
      <x:c r="AA2671" t="str">
        <x:v>screencapture-www-activesportstrade-co-uk-per4m-nutrition-trade-2026-09-10-09_06_42.pdf / page-05</x:v>
      </x:c>
      <x:c r="AB2671" s="36" t="n">
        <x:f>IF(ISNUMBER(Y2671),ROUND(Y2671*0.9,2),"")</x:f>
        <x:v>40.5</x:v>
      </x:c>
      <x:c r="AC2671" s="36" t="n">
        <x:f>IF(ISNUMBER(AB2671),ROUND(AB2671-(AB2671*0.015+0.2)-V2671,2),"")</x:f>
        <x:v>8.5</x:v>
      </x:c>
      <x:c r="AD2671" s="36" t="n">
        <x:f>IF(ISNUMBER(Y2671),ROUND(Y2671*0.8,2),"")</x:f>
        <x:v>36</x:v>
      </x:c>
      <x:c r="AE2671" s="36" t="n">
        <x:f>IF(ISNUMBER(AD2671),ROUND(AD2671*0.015+0.2,2),"")</x:f>
        <x:v>0.74</x:v>
      </x:c>
      <x:c r="AF2671" s="36" t="n">
        <x:f>IF(ISNUMBER(AD2671),ROUND(AD2671-AE2671-V2671,2),"")</x:f>
        <x:v>4.07</x:v>
      </x:c>
      <x:c r="AG2671" t="str">
        <x:f>IF(NOT(ISNUMBER(T2671)),"PENDING",IF(AF2671&gt;0,"PASS","FAIL"))</x:f>
        <x:v>PASS</x:v>
      </x:c>
      <x:c r="AH2671" t="str">
        <x:f>IF(NOT(ISNUMBER(T2671)),"Needs supplier cost",IF(K2671&lt;&gt;"In stock","Supplier unavailable",IF(AG2671&lt;&gt;"PASS","BLOCK - GT loss risk","Commercially protected")))</x:f>
        <x:v>Commercially protected</x:v>
      </x:c>
      <x:c r="AI2671" t="str">
        <x:v>2026-09-10 Active Sports trade capture</x:v>
      </x:c>
      <x:c r="AJ2671" t="str">
        <x:v>Management-only economics. Stripe stress test uses 1.5% + £0.20 standard UK online-card fee; pallet/mix-and-match pricing ignored.</x:v>
      </x:c>
    </x:row>
    <x:row r="2672">
      <x:c r="A2672" t="str">
        <x:v>Active Sports Nutrition</x:v>
      </x:c>
      <x:c r="B2672" t="str">
        <x:v>Per4m Nutrition</x:v>
      </x:c>
      <x:c r="C2672" t="str">
        <x:v>Isolate Zero 100% Whey Protein Isolate</x:v>
      </x:c>
      <x:c r="D2672" t="str">
        <x:v>Supplements</x:v>
      </x:c>
      <x:c r="E2672" t="str">
        <x:v>Whey Isolate</x:v>
      </x:c>
      <x:c r="F2672" t="str"/>
      <x:c r="G2672" t="str">
        <x:v>900g</x:v>
      </x:c>
      <x:c r="H2672" t="str">
        <x:v>Chocolate Brownie Batter</x:v>
      </x:c>
      <x:c r="I2672" t="str"/>
      <x:c r="J2672" t="str">
        <x:v>Unit</x:v>
      </x:c>
      <x:c r="K2672" t="str">
        <x:v>Out of stock</x:v>
      </x:c>
      <x:c r="L2672" t="str">
        <x:v>2026-09-08</x:v>
      </x:c>
      <x:c r="M2672" t="str"/>
      <x:c r="N2672" t="str"/>
      <x:c r="O2672" t="str">
        <x:v>https://www.activesportstrade.co.uk/per4m-nutrition-trade</x:v>
      </x:c>
      <x:c r="P2672" t="str">
        <x:v>NEW wording stripped from exact flavour names.</x:v>
      </x:c>
      <x:c r="Q2672" t="str"/>
      <x:c r="R2672" t="str"/>
      <x:c r="S2672" t="str">
        <x:v>Pending genuine supplier/brand image</x:v>
      </x:c>
      <x:c r="T2672" s="54" t="n">
        <x:v>25.99</x:v>
      </x:c>
      <x:c r="U2672" s="47" t="n">
        <x:v>0.2</x:v>
      </x:c>
      <x:c r="V2672" s="54" t="n">
        <x:f>IF(ISNUMBER(T2672),T2672*(1+U2672),"")</x:f>
        <x:v>31.187999999999995</x:v>
      </x:c>
      <x:c r="W2672" s="47" t="n">
        <x:v>0.3</x:v>
      </x:c>
      <x:c r="X2672" s="54" t="n">
        <x:f>IF(ISNUMBER(V2672),V2672/(1-W2672),"")</x:f>
        <x:v>44.55428571428571</x:v>
      </x:c>
      <x:c r="Y2672" s="55" t="n">
        <x:f>IF(ISNUMBER(X2672),ROUNDUP(X2672,0),"")</x:f>
        <x:v>45</x:v>
      </x:c>
      <x:c r="Z2672" t="str">
        <x:v>Source match pending</x:v>
      </x:c>
      <x:c r="AA2672" t="str">
        <x:v>screencapture-www-activesportstrade-co-uk-per4m-nutrition-trade-2026-09-10-09_06_42.pdf / page-05</x:v>
      </x:c>
      <x:c r="AB2672" s="36" t="n">
        <x:f>IF(ISNUMBER(Y2672),ROUND(Y2672*0.9,2),"")</x:f>
        <x:v>40.5</x:v>
      </x:c>
      <x:c r="AC2672" s="36" t="n">
        <x:f>IF(ISNUMBER(AB2672),ROUND(AB2672-(AB2672*0.015+0.2)-V2672,2),"")</x:f>
        <x:v>8.5</x:v>
      </x:c>
      <x:c r="AD2672" s="36" t="n">
        <x:f>IF(ISNUMBER(Y2672),ROUND(Y2672*0.8,2),"")</x:f>
        <x:v>36</x:v>
      </x:c>
      <x:c r="AE2672" s="36" t="n">
        <x:f>IF(ISNUMBER(AD2672),ROUND(AD2672*0.015+0.2,2),"")</x:f>
        <x:v>0.74</x:v>
      </x:c>
      <x:c r="AF2672" s="36" t="n">
        <x:f>IF(ISNUMBER(AD2672),ROUND(AD2672-AE2672-V2672,2),"")</x:f>
        <x:v>4.07</x:v>
      </x:c>
      <x:c r="AG2672" t="str">
        <x:f>IF(NOT(ISNUMBER(T2672)),"PENDING",IF(AF2672&gt;0,"PASS","FAIL"))</x:f>
        <x:v>PASS</x:v>
      </x:c>
      <x:c r="AH2672" t="str">
        <x:f>IF(NOT(ISNUMBER(T2672)),"Needs supplier cost",IF(K2672&lt;&gt;"In stock","Supplier unavailable",IF(AG2672&lt;&gt;"PASS","BLOCK - GT loss risk","Commercially protected")))</x:f>
        <x:v>Supplier unavailable</x:v>
      </x:c>
      <x:c r="AI2672" t="str">
        <x:v>2026-09-10 Active Sports trade capture</x:v>
      </x:c>
      <x:c r="AJ2672" t="str">
        <x:v>Management-only economics. Stripe stress test uses 1.5% + £0.20 standard UK online-card fee; pallet/mix-and-match pricing ignored.</x:v>
      </x:c>
    </x:row>
    <x:row r="2673">
      <x:c r="A2673" t="str">
        <x:v>Active Sports Nutrition</x:v>
      </x:c>
      <x:c r="B2673" t="str">
        <x:v>Per4m Nutrition</x:v>
      </x:c>
      <x:c r="C2673" t="str">
        <x:v>Isolate Zero 100% Whey Protein Isolate</x:v>
      </x:c>
      <x:c r="D2673" t="str">
        <x:v>Supplements</x:v>
      </x:c>
      <x:c r="E2673" t="str">
        <x:v>Whey Isolate</x:v>
      </x:c>
      <x:c r="F2673" t="str"/>
      <x:c r="G2673" t="str">
        <x:v>900g</x:v>
      </x:c>
      <x:c r="H2673" t="str">
        <x:v>Chocolate Creme</x:v>
      </x:c>
      <x:c r="I2673" t="str"/>
      <x:c r="J2673" t="str">
        <x:v>Unit</x:v>
      </x:c>
      <x:c r="K2673" t="str">
        <x:v>Out of stock</x:v>
      </x:c>
      <x:c r="L2673" t="str">
        <x:v>2026-09-08</x:v>
      </x:c>
      <x:c r="M2673" t="str"/>
      <x:c r="N2673" t="str"/>
      <x:c r="O2673" t="str">
        <x:v>https://www.activesportstrade.co.uk/per4m-nutrition-trade</x:v>
      </x:c>
      <x:c r="P2673" t="str">
        <x:v>NEW wording stripped from exact flavour names.</x:v>
      </x:c>
      <x:c r="Q2673" t="str"/>
      <x:c r="R2673" t="str"/>
      <x:c r="S2673" t="str">
        <x:v>Pending genuine supplier/brand image</x:v>
      </x:c>
      <x:c r="T2673" s="54" t="n">
        <x:v>25.99</x:v>
      </x:c>
      <x:c r="U2673" s="47" t="n">
        <x:v>0.2</x:v>
      </x:c>
      <x:c r="V2673" s="54" t="n">
        <x:f>IF(ISNUMBER(T2673),T2673*(1+U2673),"")</x:f>
        <x:v>31.187999999999995</x:v>
      </x:c>
      <x:c r="W2673" s="47" t="n">
        <x:v>0.3</x:v>
      </x:c>
      <x:c r="X2673" s="54" t="n">
        <x:f>IF(ISNUMBER(V2673),V2673/(1-W2673),"")</x:f>
        <x:v>44.55428571428571</x:v>
      </x:c>
      <x:c r="Y2673" s="55" t="n">
        <x:f>IF(ISNUMBER(X2673),ROUNDUP(X2673,0),"")</x:f>
        <x:v>45</x:v>
      </x:c>
      <x:c r="Z2673" t="str">
        <x:v>Source match pending</x:v>
      </x:c>
      <x:c r="AA2673" t="str">
        <x:v>screencapture-www-activesportstrade-co-uk-per4m-nutrition-trade-2026-09-10-09_06_42.pdf / page-05</x:v>
      </x:c>
      <x:c r="AB2673" s="36" t="n">
        <x:f>IF(ISNUMBER(Y2673),ROUND(Y2673*0.9,2),"")</x:f>
        <x:v>40.5</x:v>
      </x:c>
      <x:c r="AC2673" s="36" t="n">
        <x:f>IF(ISNUMBER(AB2673),ROUND(AB2673-(AB2673*0.015+0.2)-V2673,2),"")</x:f>
        <x:v>8.5</x:v>
      </x:c>
      <x:c r="AD2673" s="36" t="n">
        <x:f>IF(ISNUMBER(Y2673),ROUND(Y2673*0.8,2),"")</x:f>
        <x:v>36</x:v>
      </x:c>
      <x:c r="AE2673" s="36" t="n">
        <x:f>IF(ISNUMBER(AD2673),ROUND(AD2673*0.015+0.2,2),"")</x:f>
        <x:v>0.74</x:v>
      </x:c>
      <x:c r="AF2673" s="36" t="n">
        <x:f>IF(ISNUMBER(AD2673),ROUND(AD2673-AE2673-V2673,2),"")</x:f>
        <x:v>4.07</x:v>
      </x:c>
      <x:c r="AG2673" t="str">
        <x:f>IF(NOT(ISNUMBER(T2673)),"PENDING",IF(AF2673&gt;0,"PASS","FAIL"))</x:f>
        <x:v>PASS</x:v>
      </x:c>
      <x:c r="AH2673" t="str">
        <x:f>IF(NOT(ISNUMBER(T2673)),"Needs supplier cost",IF(K2673&lt;&gt;"In stock","Supplier unavailable",IF(AG2673&lt;&gt;"PASS","BLOCK - GT loss risk","Commercially protected")))</x:f>
        <x:v>Supplier unavailable</x:v>
      </x:c>
      <x:c r="AI2673" t="str">
        <x:v>2026-09-10 Active Sports trade capture</x:v>
      </x:c>
      <x:c r="AJ2673" t="str">
        <x:v>Management-only economics. Stripe stress test uses 1.5% + £0.20 standard UK online-card fee; pallet/mix-and-match pricing ignored.</x:v>
      </x:c>
    </x:row>
    <x:row r="2674">
      <x:c r="A2674" t="str">
        <x:v>Active Sports Nutrition</x:v>
      </x:c>
      <x:c r="B2674" t="str">
        <x:v>Per4m Nutrition</x:v>
      </x:c>
      <x:c r="C2674" t="str">
        <x:v>Isolate Zero 100% Whey Protein Isolate</x:v>
      </x:c>
      <x:c r="D2674" t="str">
        <x:v>Supplements</x:v>
      </x:c>
      <x:c r="E2674" t="str">
        <x:v>Whey Isolate</x:v>
      </x:c>
      <x:c r="F2674" t="str"/>
      <x:c r="G2674" t="str">
        <x:v>900g</x:v>
      </x:c>
      <x:c r="H2674" t="str">
        <x:v>Chocolate Eggsplosion</x:v>
      </x:c>
      <x:c r="I2674" t="str"/>
      <x:c r="J2674" t="str">
        <x:v>Unit</x:v>
      </x:c>
      <x:c r="K2674" t="str">
        <x:v>In stock</x:v>
      </x:c>
      <x:c r="L2674" t="str">
        <x:v>2026-09-08</x:v>
      </x:c>
      <x:c r="M2674" t="str"/>
      <x:c r="N2674" t="str"/>
      <x:c r="O2674" t="str">
        <x:v>https://www.activesportstrade.co.uk/per4m-nutrition-trade</x:v>
      </x:c>
      <x:c r="P2674" t="str">
        <x:v>NEW wording stripped from exact flavour names.</x:v>
      </x:c>
      <x:c r="Q2674" t="str"/>
      <x:c r="R2674" t="str"/>
      <x:c r="S2674" t="str">
        <x:v>Pending genuine supplier/brand image</x:v>
      </x:c>
      <x:c r="T2674" s="54" t="n">
        <x:v>25.99</x:v>
      </x:c>
      <x:c r="U2674" s="47" t="n">
        <x:v>0.2</x:v>
      </x:c>
      <x:c r="V2674" s="54" t="n">
        <x:f>IF(ISNUMBER(T2674),T2674*(1+U2674),"")</x:f>
        <x:v>31.187999999999995</x:v>
      </x:c>
      <x:c r="W2674" s="47" t="n">
        <x:v>0.3</x:v>
      </x:c>
      <x:c r="X2674" s="54" t="n">
        <x:f>IF(ISNUMBER(V2674),V2674/(1-W2674),"")</x:f>
        <x:v>44.55428571428571</x:v>
      </x:c>
      <x:c r="Y2674" s="55" t="n">
        <x:f>IF(ISNUMBER(X2674),ROUNDUP(X2674,0),"")</x:f>
        <x:v>45</x:v>
      </x:c>
      <x:c r="Z2674" t="str">
        <x:v>Source match pending</x:v>
      </x:c>
      <x:c r="AA2674" t="str">
        <x:v>screencapture-www-activesportstrade-co-uk-per4m-nutrition-trade-2026-09-10-09_06_42.pdf / page-05</x:v>
      </x:c>
      <x:c r="AB2674" s="36" t="n">
        <x:f>IF(ISNUMBER(Y2674),ROUND(Y2674*0.9,2),"")</x:f>
        <x:v>40.5</x:v>
      </x:c>
      <x:c r="AC2674" s="36" t="n">
        <x:f>IF(ISNUMBER(AB2674),ROUND(AB2674-(AB2674*0.015+0.2)-V2674,2),"")</x:f>
        <x:v>8.5</x:v>
      </x:c>
      <x:c r="AD2674" s="36" t="n">
        <x:f>IF(ISNUMBER(Y2674),ROUND(Y2674*0.8,2),"")</x:f>
        <x:v>36</x:v>
      </x:c>
      <x:c r="AE2674" s="36" t="n">
        <x:f>IF(ISNUMBER(AD2674),ROUND(AD2674*0.015+0.2,2),"")</x:f>
        <x:v>0.74</x:v>
      </x:c>
      <x:c r="AF2674" s="36" t="n">
        <x:f>IF(ISNUMBER(AD2674),ROUND(AD2674-AE2674-V2674,2),"")</x:f>
        <x:v>4.07</x:v>
      </x:c>
      <x:c r="AG2674" t="str">
        <x:f>IF(NOT(ISNUMBER(T2674)),"PENDING",IF(AF2674&gt;0,"PASS","FAIL"))</x:f>
        <x:v>PASS</x:v>
      </x:c>
      <x:c r="AH2674" t="str">
        <x:f>IF(NOT(ISNUMBER(T2674)),"Needs supplier cost",IF(K2674&lt;&gt;"In stock","Supplier unavailable",IF(AG2674&lt;&gt;"PASS","BLOCK - GT loss risk","Commercially protected")))</x:f>
        <x:v>Commercially protected</x:v>
      </x:c>
      <x:c r="AI2674" t="str">
        <x:v>2026-09-10 Active Sports trade capture</x:v>
      </x:c>
      <x:c r="AJ2674" t="str">
        <x:v>Management-only economics. Stripe stress test uses 1.5% + £0.20 standard UK online-card fee; pallet/mix-and-match pricing ignored.</x:v>
      </x:c>
    </x:row>
    <x:row r="2675">
      <x:c r="A2675" t="str">
        <x:v>Active Sports Nutrition</x:v>
      </x:c>
      <x:c r="B2675" t="str">
        <x:v>Per4m Nutrition</x:v>
      </x:c>
      <x:c r="C2675" t="str">
        <x:v>Isolate Zero 100% Whey Protein Isolate</x:v>
      </x:c>
      <x:c r="D2675" t="str">
        <x:v>Supplements</x:v>
      </x:c>
      <x:c r="E2675" t="str">
        <x:v>Whey Isolate</x:v>
      </x:c>
      <x:c r="F2675" t="str"/>
      <x:c r="G2675" t="str">
        <x:v>900g</x:v>
      </x:c>
      <x:c r="H2675" t="str">
        <x:v>Chocolate Peanut Butter</x:v>
      </x:c>
      <x:c r="I2675" t="str"/>
      <x:c r="J2675" t="str">
        <x:v>Unit</x:v>
      </x:c>
      <x:c r="K2675" t="str">
        <x:v>In stock</x:v>
      </x:c>
      <x:c r="L2675" t="str">
        <x:v>2026-09-08</x:v>
      </x:c>
      <x:c r="M2675" t="str"/>
      <x:c r="N2675" t="str"/>
      <x:c r="O2675" t="str">
        <x:v>https://www.activesportstrade.co.uk/per4m-nutrition-trade</x:v>
      </x:c>
      <x:c r="P2675" t="str">
        <x:v>NEW wording stripped from exact flavour names.</x:v>
      </x:c>
      <x:c r="Q2675" t="str"/>
      <x:c r="R2675" t="str"/>
      <x:c r="S2675" t="str">
        <x:v>Pending genuine supplier/brand image</x:v>
      </x:c>
      <x:c r="T2675" s="54" t="n">
        <x:v>25.99</x:v>
      </x:c>
      <x:c r="U2675" s="47" t="n">
        <x:v>0.2</x:v>
      </x:c>
      <x:c r="V2675" s="54" t="n">
        <x:f>IF(ISNUMBER(T2675),T2675*(1+U2675),"")</x:f>
        <x:v>31.187999999999995</x:v>
      </x:c>
      <x:c r="W2675" s="47" t="n">
        <x:v>0.3</x:v>
      </x:c>
      <x:c r="X2675" s="54" t="n">
        <x:f>IF(ISNUMBER(V2675),V2675/(1-W2675),"")</x:f>
        <x:v>44.55428571428571</x:v>
      </x:c>
      <x:c r="Y2675" s="55" t="n">
        <x:f>IF(ISNUMBER(X2675),ROUNDUP(X2675,0),"")</x:f>
        <x:v>45</x:v>
      </x:c>
      <x:c r="Z2675" t="str">
        <x:v>Source match pending</x:v>
      </x:c>
      <x:c r="AA2675" t="str">
        <x:v>screencapture-www-activesportstrade-co-uk-per4m-nutrition-trade-2026-09-10-09_06_42.pdf / page-05</x:v>
      </x:c>
      <x:c r="AB2675" s="36" t="n">
        <x:f>IF(ISNUMBER(Y2675),ROUND(Y2675*0.9,2),"")</x:f>
        <x:v>40.5</x:v>
      </x:c>
      <x:c r="AC2675" s="36" t="n">
        <x:f>IF(ISNUMBER(AB2675),ROUND(AB2675-(AB2675*0.015+0.2)-V2675,2),"")</x:f>
        <x:v>8.5</x:v>
      </x:c>
      <x:c r="AD2675" s="36" t="n">
        <x:f>IF(ISNUMBER(Y2675),ROUND(Y2675*0.8,2),"")</x:f>
        <x:v>36</x:v>
      </x:c>
      <x:c r="AE2675" s="36" t="n">
        <x:f>IF(ISNUMBER(AD2675),ROUND(AD2675*0.015+0.2,2),"")</x:f>
        <x:v>0.74</x:v>
      </x:c>
      <x:c r="AF2675" s="36" t="n">
        <x:f>IF(ISNUMBER(AD2675),ROUND(AD2675-AE2675-V2675,2),"")</x:f>
        <x:v>4.07</x:v>
      </x:c>
      <x:c r="AG2675" t="str">
        <x:f>IF(NOT(ISNUMBER(T2675)),"PENDING",IF(AF2675&gt;0,"PASS","FAIL"))</x:f>
        <x:v>PASS</x:v>
      </x:c>
      <x:c r="AH2675" t="str">
        <x:f>IF(NOT(ISNUMBER(T2675)),"Needs supplier cost",IF(K2675&lt;&gt;"In stock","Supplier unavailable",IF(AG2675&lt;&gt;"PASS","BLOCK - GT loss risk","Commercially protected")))</x:f>
        <x:v>Commercially protected</x:v>
      </x:c>
      <x:c r="AI2675" t="str">
        <x:v>2026-09-10 Active Sports trade capture</x:v>
      </x:c>
      <x:c r="AJ2675" t="str">
        <x:v>Management-only economics. Stripe stress test uses 1.5% + £0.20 standard UK online-card fee; pallet/mix-and-match pricing ignored.</x:v>
      </x:c>
    </x:row>
    <x:row r="2676">
      <x:c r="A2676" t="str">
        <x:v>Active Sports Nutrition</x:v>
      </x:c>
      <x:c r="B2676" t="str">
        <x:v>Per4m Nutrition</x:v>
      </x:c>
      <x:c r="C2676" t="str">
        <x:v>Isolate Zero 100% Whey Protein Isolate</x:v>
      </x:c>
      <x:c r="D2676" t="str">
        <x:v>Supplements</x:v>
      </x:c>
      <x:c r="E2676" t="str">
        <x:v>Whey Isolate</x:v>
      </x:c>
      <x:c r="F2676" t="str"/>
      <x:c r="G2676" t="str">
        <x:v>900g</x:v>
      </x:c>
      <x:c r="H2676" t="str">
        <x:v>Cinnamon Donut</x:v>
      </x:c>
      <x:c r="I2676" t="str"/>
      <x:c r="J2676" t="str">
        <x:v>Unit</x:v>
      </x:c>
      <x:c r="K2676" t="str">
        <x:v>In stock</x:v>
      </x:c>
      <x:c r="L2676" t="str">
        <x:v>2026-09-08</x:v>
      </x:c>
      <x:c r="M2676" t="str"/>
      <x:c r="N2676" t="str"/>
      <x:c r="O2676" t="str">
        <x:v>https://www.activesportstrade.co.uk/per4m-nutrition-trade</x:v>
      </x:c>
      <x:c r="P2676" t="str">
        <x:v>NEW wording stripped from exact flavour names.</x:v>
      </x:c>
      <x:c r="Q2676" t="str"/>
      <x:c r="R2676" t="str"/>
      <x:c r="S2676" t="str">
        <x:v>Pending genuine supplier/brand image</x:v>
      </x:c>
      <x:c r="T2676" s="54" t="n">
        <x:v>25.99</x:v>
      </x:c>
      <x:c r="U2676" s="47" t="n">
        <x:v>0.2</x:v>
      </x:c>
      <x:c r="V2676" s="54" t="n">
        <x:f>IF(ISNUMBER(T2676),T2676*(1+U2676),"")</x:f>
        <x:v>31.187999999999995</x:v>
      </x:c>
      <x:c r="W2676" s="47" t="n">
        <x:v>0.3</x:v>
      </x:c>
      <x:c r="X2676" s="54" t="n">
        <x:f>IF(ISNUMBER(V2676),V2676/(1-W2676),"")</x:f>
        <x:v>44.55428571428571</x:v>
      </x:c>
      <x:c r="Y2676" s="55" t="n">
        <x:f>IF(ISNUMBER(X2676),ROUNDUP(X2676,0),"")</x:f>
        <x:v>45</x:v>
      </x:c>
      <x:c r="Z2676" t="str">
        <x:v>Source match pending</x:v>
      </x:c>
      <x:c r="AA2676" t="str">
        <x:v>screencapture-www-activesportstrade-co-uk-per4m-nutrition-trade-2026-09-10-09_06_42.pdf / page-05</x:v>
      </x:c>
      <x:c r="AB2676" s="36" t="n">
        <x:f>IF(ISNUMBER(Y2676),ROUND(Y2676*0.9,2),"")</x:f>
        <x:v>40.5</x:v>
      </x:c>
      <x:c r="AC2676" s="36" t="n">
        <x:f>IF(ISNUMBER(AB2676),ROUND(AB2676-(AB2676*0.015+0.2)-V2676,2),"")</x:f>
        <x:v>8.5</x:v>
      </x:c>
      <x:c r="AD2676" s="36" t="n">
        <x:f>IF(ISNUMBER(Y2676),ROUND(Y2676*0.8,2),"")</x:f>
        <x:v>36</x:v>
      </x:c>
      <x:c r="AE2676" s="36" t="n">
        <x:f>IF(ISNUMBER(AD2676),ROUND(AD2676*0.015+0.2,2),"")</x:f>
        <x:v>0.74</x:v>
      </x:c>
      <x:c r="AF2676" s="36" t="n">
        <x:f>IF(ISNUMBER(AD2676),ROUND(AD2676-AE2676-V2676,2),"")</x:f>
        <x:v>4.07</x:v>
      </x:c>
      <x:c r="AG2676" t="str">
        <x:f>IF(NOT(ISNUMBER(T2676)),"PENDING",IF(AF2676&gt;0,"PASS","FAIL"))</x:f>
        <x:v>PASS</x:v>
      </x:c>
      <x:c r="AH2676" t="str">
        <x:f>IF(NOT(ISNUMBER(T2676)),"Needs supplier cost",IF(K2676&lt;&gt;"In stock","Supplier unavailable",IF(AG2676&lt;&gt;"PASS","BLOCK - GT loss risk","Commercially protected")))</x:f>
        <x:v>Commercially protected</x:v>
      </x:c>
      <x:c r="AI2676" t="str">
        <x:v>2026-09-10 Active Sports trade capture</x:v>
      </x:c>
      <x:c r="AJ2676" t="str">
        <x:v>Management-only economics. Stripe stress test uses 1.5% + £0.20 standard UK online-card fee; pallet/mix-and-match pricing ignored.</x:v>
      </x:c>
    </x:row>
    <x:row r="2677">
      <x:c r="A2677" t="str">
        <x:v>Active Sports Nutrition</x:v>
      </x:c>
      <x:c r="B2677" t="str">
        <x:v>Per4m Nutrition</x:v>
      </x:c>
      <x:c r="C2677" t="str">
        <x:v>Isolate Zero 100% Whey Protein Isolate</x:v>
      </x:c>
      <x:c r="D2677" t="str">
        <x:v>Supplements</x:v>
      </x:c>
      <x:c r="E2677" t="str">
        <x:v>Whey Isolate</x:v>
      </x:c>
      <x:c r="F2677" t="str"/>
      <x:c r="G2677" t="str">
        <x:v>900g</x:v>
      </x:c>
      <x:c r="H2677" t="str">
        <x:v>Cookie Dough</x:v>
      </x:c>
      <x:c r="I2677" t="str"/>
      <x:c r="J2677" t="str">
        <x:v>Unit</x:v>
      </x:c>
      <x:c r="K2677" t="str">
        <x:v>In stock</x:v>
      </x:c>
      <x:c r="L2677" t="str">
        <x:v>2026-09-08</x:v>
      </x:c>
      <x:c r="M2677" t="str"/>
      <x:c r="N2677" t="str"/>
      <x:c r="O2677" t="str">
        <x:v>https://www.activesportstrade.co.uk/per4m-nutrition-trade</x:v>
      </x:c>
      <x:c r="P2677" t="str">
        <x:v>NEW wording stripped from exact flavour names.</x:v>
      </x:c>
      <x:c r="Q2677" t="str"/>
      <x:c r="R2677" t="str"/>
      <x:c r="S2677" t="str">
        <x:v>Pending genuine supplier/brand image</x:v>
      </x:c>
      <x:c r="T2677" s="54" t="n">
        <x:v>25.99</x:v>
      </x:c>
      <x:c r="U2677" s="47" t="n">
        <x:v>0.2</x:v>
      </x:c>
      <x:c r="V2677" s="54" t="n">
        <x:f>IF(ISNUMBER(T2677),T2677*(1+U2677),"")</x:f>
        <x:v>31.187999999999995</x:v>
      </x:c>
      <x:c r="W2677" s="47" t="n">
        <x:v>0.3</x:v>
      </x:c>
      <x:c r="X2677" s="54" t="n">
        <x:f>IF(ISNUMBER(V2677),V2677/(1-W2677),"")</x:f>
        <x:v>44.55428571428571</x:v>
      </x:c>
      <x:c r="Y2677" s="55" t="n">
        <x:f>IF(ISNUMBER(X2677),ROUNDUP(X2677,0),"")</x:f>
        <x:v>45</x:v>
      </x:c>
      <x:c r="Z2677" t="str">
        <x:v>Source match pending</x:v>
      </x:c>
      <x:c r="AA2677" t="str">
        <x:v>screencapture-www-activesportstrade-co-uk-per4m-nutrition-trade-2026-09-10-09_06_42.pdf / page-05</x:v>
      </x:c>
      <x:c r="AB2677" s="36" t="n">
        <x:f>IF(ISNUMBER(Y2677),ROUND(Y2677*0.9,2),"")</x:f>
        <x:v>40.5</x:v>
      </x:c>
      <x:c r="AC2677" s="36" t="n">
        <x:f>IF(ISNUMBER(AB2677),ROUND(AB2677-(AB2677*0.015+0.2)-V2677,2),"")</x:f>
        <x:v>8.5</x:v>
      </x:c>
      <x:c r="AD2677" s="36" t="n">
        <x:f>IF(ISNUMBER(Y2677),ROUND(Y2677*0.8,2),"")</x:f>
        <x:v>36</x:v>
      </x:c>
      <x:c r="AE2677" s="36" t="n">
        <x:f>IF(ISNUMBER(AD2677),ROUND(AD2677*0.015+0.2,2),"")</x:f>
        <x:v>0.74</x:v>
      </x:c>
      <x:c r="AF2677" s="36" t="n">
        <x:f>IF(ISNUMBER(AD2677),ROUND(AD2677-AE2677-V2677,2),"")</x:f>
        <x:v>4.07</x:v>
      </x:c>
      <x:c r="AG2677" t="str">
        <x:f>IF(NOT(ISNUMBER(T2677)),"PENDING",IF(AF2677&gt;0,"PASS","FAIL"))</x:f>
        <x:v>PASS</x:v>
      </x:c>
      <x:c r="AH2677" t="str">
        <x:f>IF(NOT(ISNUMBER(T2677)),"Needs supplier cost",IF(K2677&lt;&gt;"In stock","Supplier unavailable",IF(AG2677&lt;&gt;"PASS","BLOCK - GT loss risk","Commercially protected")))</x:f>
        <x:v>Commercially protected</x:v>
      </x:c>
      <x:c r="AI2677" t="str">
        <x:v>2026-09-10 Active Sports trade capture</x:v>
      </x:c>
      <x:c r="AJ2677" t="str">
        <x:v>Management-only economics. Stripe stress test uses 1.5% + £0.20 standard UK online-card fee; pallet/mix-and-match pricing ignored.</x:v>
      </x:c>
    </x:row>
    <x:row r="2678">
      <x:c r="A2678" t="str">
        <x:v>Active Sports Nutrition</x:v>
      </x:c>
      <x:c r="B2678" t="str">
        <x:v>Per4m Nutrition</x:v>
      </x:c>
      <x:c r="C2678" t="str">
        <x:v>Isolate Zero 100% Whey Protein Isolate</x:v>
      </x:c>
      <x:c r="D2678" t="str">
        <x:v>Supplements</x:v>
      </x:c>
      <x:c r="E2678" t="str">
        <x:v>Whey Isolate</x:v>
      </x:c>
      <x:c r="F2678" t="str"/>
      <x:c r="G2678" t="str">
        <x:v>900g</x:v>
      </x:c>
      <x:c r="H2678" t="str">
        <x:v>Dubai Chocolate</x:v>
      </x:c>
      <x:c r="I2678" t="str"/>
      <x:c r="J2678" t="str">
        <x:v>Unit</x:v>
      </x:c>
      <x:c r="K2678" t="str">
        <x:v>In stock</x:v>
      </x:c>
      <x:c r="L2678" t="str">
        <x:v>2026-09-08</x:v>
      </x:c>
      <x:c r="M2678" t="str"/>
      <x:c r="N2678" t="str"/>
      <x:c r="O2678" t="str">
        <x:v>https://www.activesportstrade.co.uk/per4m-nutrition-trade</x:v>
      </x:c>
      <x:c r="P2678" t="str">
        <x:v>NEW wording stripped from exact flavour names.</x:v>
      </x:c>
      <x:c r="Q2678" t="str"/>
      <x:c r="R2678" t="str"/>
      <x:c r="S2678" t="str">
        <x:v>Pending genuine supplier/brand image</x:v>
      </x:c>
      <x:c r="T2678" s="54" t="n">
        <x:v>25.99</x:v>
      </x:c>
      <x:c r="U2678" s="47" t="n">
        <x:v>0.2</x:v>
      </x:c>
      <x:c r="V2678" s="54" t="n">
        <x:f>IF(ISNUMBER(T2678),T2678*(1+U2678),"")</x:f>
        <x:v>31.187999999999995</x:v>
      </x:c>
      <x:c r="W2678" s="47" t="n">
        <x:v>0.3</x:v>
      </x:c>
      <x:c r="X2678" s="54" t="n">
        <x:f>IF(ISNUMBER(V2678),V2678/(1-W2678),"")</x:f>
        <x:v>44.55428571428571</x:v>
      </x:c>
      <x:c r="Y2678" s="55" t="n">
        <x:f>IF(ISNUMBER(X2678),ROUNDUP(X2678,0),"")</x:f>
        <x:v>45</x:v>
      </x:c>
      <x:c r="Z2678" t="str">
        <x:v>Source match pending</x:v>
      </x:c>
      <x:c r="AA2678" t="str">
        <x:v>screencapture-www-activesportstrade-co-uk-per4m-nutrition-trade-2026-09-10-09_06_42.pdf / page-05</x:v>
      </x:c>
      <x:c r="AB2678" s="36" t="n">
        <x:f>IF(ISNUMBER(Y2678),ROUND(Y2678*0.9,2),"")</x:f>
        <x:v>40.5</x:v>
      </x:c>
      <x:c r="AC2678" s="36" t="n">
        <x:f>IF(ISNUMBER(AB2678),ROUND(AB2678-(AB2678*0.015+0.2)-V2678,2),"")</x:f>
        <x:v>8.5</x:v>
      </x:c>
      <x:c r="AD2678" s="36" t="n">
        <x:f>IF(ISNUMBER(Y2678),ROUND(Y2678*0.8,2),"")</x:f>
        <x:v>36</x:v>
      </x:c>
      <x:c r="AE2678" s="36" t="n">
        <x:f>IF(ISNUMBER(AD2678),ROUND(AD2678*0.015+0.2,2),"")</x:f>
        <x:v>0.74</x:v>
      </x:c>
      <x:c r="AF2678" s="36" t="n">
        <x:f>IF(ISNUMBER(AD2678),ROUND(AD2678-AE2678-V2678,2),"")</x:f>
        <x:v>4.07</x:v>
      </x:c>
      <x:c r="AG2678" t="str">
        <x:f>IF(NOT(ISNUMBER(T2678)),"PENDING",IF(AF2678&gt;0,"PASS","FAIL"))</x:f>
        <x:v>PASS</x:v>
      </x:c>
      <x:c r="AH2678" t="str">
        <x:f>IF(NOT(ISNUMBER(T2678)),"Needs supplier cost",IF(K2678&lt;&gt;"In stock","Supplier unavailable",IF(AG2678&lt;&gt;"PASS","BLOCK - GT loss risk","Commercially protected")))</x:f>
        <x:v>Commercially protected</x:v>
      </x:c>
      <x:c r="AI2678" t="str">
        <x:v>2026-09-10 Active Sports trade capture</x:v>
      </x:c>
      <x:c r="AJ2678" t="str">
        <x:v>Management-only economics. Stripe stress test uses 1.5% + £0.20 standard UK online-card fee; pallet/mix-and-match pricing ignored.</x:v>
      </x:c>
    </x:row>
    <x:row r="2679">
      <x:c r="A2679" t="str">
        <x:v>Active Sports Nutrition</x:v>
      </x:c>
      <x:c r="B2679" t="str">
        <x:v>Per4m Nutrition</x:v>
      </x:c>
      <x:c r="C2679" t="str">
        <x:v>Isolate Zero 100% Whey Protein Isolate</x:v>
      </x:c>
      <x:c r="D2679" t="str">
        <x:v>Supplements</x:v>
      </x:c>
      <x:c r="E2679" t="str">
        <x:v>Whey Isolate</x:v>
      </x:c>
      <x:c r="F2679" t="str"/>
      <x:c r="G2679" t="str">
        <x:v>2kg</x:v>
      </x:c>
      <x:c r="H2679" t="str">
        <x:v>Banana Creme</x:v>
      </x:c>
      <x:c r="I2679" t="str"/>
      <x:c r="J2679" t="str">
        <x:v>Unit</x:v>
      </x:c>
      <x:c r="K2679" t="str">
        <x:v>In stock</x:v>
      </x:c>
      <x:c r="L2679" t="str">
        <x:v>2026-09-08</x:v>
      </x:c>
      <x:c r="M2679" t="str"/>
      <x:c r="N2679" t="str"/>
      <x:c r="O2679" t="str">
        <x:v>https://www.activesportstrade.co.uk/per4m-nutrition-trade</x:v>
      </x:c>
      <x:c r="P2679" t="str">
        <x:v>NEW wording stripped from exact flavour names.</x:v>
      </x:c>
      <x:c r="Q2679" t="str"/>
      <x:c r="R2679" t="str"/>
      <x:c r="S2679" t="str">
        <x:v>Pending genuine supplier/brand image</x:v>
      </x:c>
      <x:c r="T2679" s="54" t="n">
        <x:v>51.99</x:v>
      </x:c>
      <x:c r="U2679" s="47" t="n">
        <x:v>0.2</x:v>
      </x:c>
      <x:c r="V2679" s="54" t="n">
        <x:f>IF(ISNUMBER(T2679),T2679*(1+U2679),"")</x:f>
        <x:v>62.388</x:v>
      </x:c>
      <x:c r="W2679" s="47" t="n">
        <x:v>0.3</x:v>
      </x:c>
      <x:c r="X2679" s="54" t="n">
        <x:f>IF(ISNUMBER(V2679),V2679/(1-W2679),"")</x:f>
        <x:v>89.1257142857143</x:v>
      </x:c>
      <x:c r="Y2679" s="55" t="n">
        <x:f>IF(ISNUMBER(X2679),ROUNDUP(X2679,0),"")</x:f>
        <x:v>90</x:v>
      </x:c>
      <x:c r="Z2679" t="str">
        <x:v>Source match pending</x:v>
      </x:c>
      <x:c r="AA2679" t="str">
        <x:v>screencapture-www-activesportstrade-co-uk-per4m-nutrition-trade-2026-09-10-09_06_42.pdf / page-05</x:v>
      </x:c>
      <x:c r="AB2679" s="36" t="n">
        <x:f>IF(ISNUMBER(Y2679),ROUND(Y2679*0.9,2),"")</x:f>
        <x:v>81</x:v>
      </x:c>
      <x:c r="AC2679" s="36" t="n">
        <x:f>IF(ISNUMBER(AB2679),ROUND(AB2679-(AB2679*0.015+0.2)-V2679,2),"")</x:f>
        <x:v>17.2</x:v>
      </x:c>
      <x:c r="AD2679" s="36" t="n">
        <x:f>IF(ISNUMBER(Y2679),ROUND(Y2679*0.8,2),"")</x:f>
        <x:v>72</x:v>
      </x:c>
      <x:c r="AE2679" s="36" t="n">
        <x:f>IF(ISNUMBER(AD2679),ROUND(AD2679*0.015+0.2,2),"")</x:f>
        <x:v>1.28</x:v>
      </x:c>
      <x:c r="AF2679" s="36" t="n">
        <x:f>IF(ISNUMBER(AD2679),ROUND(AD2679-AE2679-V2679,2),"")</x:f>
        <x:v>8.33</x:v>
      </x:c>
      <x:c r="AG2679" t="str">
        <x:f>IF(NOT(ISNUMBER(T2679)),"PENDING",IF(AF2679&gt;0,"PASS","FAIL"))</x:f>
        <x:v>PASS</x:v>
      </x:c>
      <x:c r="AH2679" t="str">
        <x:f>IF(NOT(ISNUMBER(T2679)),"Needs supplier cost",IF(K2679&lt;&gt;"In stock","Supplier unavailable",IF(AG2679&lt;&gt;"PASS","BLOCK - GT loss risk","Commercially protected")))</x:f>
        <x:v>Commercially protected</x:v>
      </x:c>
      <x:c r="AI2679" t="str">
        <x:v>2026-09-10 Active Sports trade capture</x:v>
      </x:c>
      <x:c r="AJ2679" t="str">
        <x:v>Management-only economics. Stripe stress test uses 1.5% + £0.20 standard UK online-card fee; pallet/mix-and-match pricing ignored.</x:v>
      </x:c>
    </x:row>
    <x:row r="2680">
      <x:c r="A2680" t="str">
        <x:v>Active Sports Nutrition</x:v>
      </x:c>
      <x:c r="B2680" t="str">
        <x:v>Per4m Nutrition</x:v>
      </x:c>
      <x:c r="C2680" t="str">
        <x:v>Isolate Zero 100% Whey Protein Isolate</x:v>
      </x:c>
      <x:c r="D2680" t="str">
        <x:v>Supplements</x:v>
      </x:c>
      <x:c r="E2680" t="str">
        <x:v>Whey Isolate</x:v>
      </x:c>
      <x:c r="F2680" t="str"/>
      <x:c r="G2680" t="str">
        <x:v>2kg</x:v>
      </x:c>
      <x:c r="H2680" t="str">
        <x:v>Caramel Biscuit</x:v>
      </x:c>
      <x:c r="I2680" t="str"/>
      <x:c r="J2680" t="str">
        <x:v>Unit</x:v>
      </x:c>
      <x:c r="K2680" t="str">
        <x:v>In stock</x:v>
      </x:c>
      <x:c r="L2680" t="str">
        <x:v>2026-09-08</x:v>
      </x:c>
      <x:c r="M2680" t="str"/>
      <x:c r="N2680" t="str"/>
      <x:c r="O2680" t="str">
        <x:v>https://www.activesportstrade.co.uk/per4m-nutrition-trade</x:v>
      </x:c>
      <x:c r="P2680" t="str">
        <x:v>NEW wording stripped from exact flavour names.</x:v>
      </x:c>
      <x:c r="Q2680" t="str"/>
      <x:c r="R2680" t="str"/>
      <x:c r="S2680" t="str">
        <x:v>Pending genuine supplier/brand image</x:v>
      </x:c>
      <x:c r="T2680" s="54" t="n">
        <x:v>51.99</x:v>
      </x:c>
      <x:c r="U2680" s="47" t="n">
        <x:v>0.2</x:v>
      </x:c>
      <x:c r="V2680" s="54" t="n">
        <x:f>IF(ISNUMBER(T2680),T2680*(1+U2680),"")</x:f>
        <x:v>62.388</x:v>
      </x:c>
      <x:c r="W2680" s="47" t="n">
        <x:v>0.3</x:v>
      </x:c>
      <x:c r="X2680" s="54" t="n">
        <x:f>IF(ISNUMBER(V2680),V2680/(1-W2680),"")</x:f>
        <x:v>89.1257142857143</x:v>
      </x:c>
      <x:c r="Y2680" s="55" t="n">
        <x:f>IF(ISNUMBER(X2680),ROUNDUP(X2680,0),"")</x:f>
        <x:v>90</x:v>
      </x:c>
      <x:c r="Z2680" t="str">
        <x:v>Source match pending</x:v>
      </x:c>
      <x:c r="AA2680" t="str">
        <x:v>screencapture-www-activesportstrade-co-uk-per4m-nutrition-trade-2026-09-10-09_06_42.pdf / page-05</x:v>
      </x:c>
      <x:c r="AB2680" s="36" t="n">
        <x:f>IF(ISNUMBER(Y2680),ROUND(Y2680*0.9,2),"")</x:f>
        <x:v>81</x:v>
      </x:c>
      <x:c r="AC2680" s="36" t="n">
        <x:f>IF(ISNUMBER(AB2680),ROUND(AB2680-(AB2680*0.015+0.2)-V2680,2),"")</x:f>
        <x:v>17.2</x:v>
      </x:c>
      <x:c r="AD2680" s="36" t="n">
        <x:f>IF(ISNUMBER(Y2680),ROUND(Y2680*0.8,2),"")</x:f>
        <x:v>72</x:v>
      </x:c>
      <x:c r="AE2680" s="36" t="n">
        <x:f>IF(ISNUMBER(AD2680),ROUND(AD2680*0.015+0.2,2),"")</x:f>
        <x:v>1.28</x:v>
      </x:c>
      <x:c r="AF2680" s="36" t="n">
        <x:f>IF(ISNUMBER(AD2680),ROUND(AD2680-AE2680-V2680,2),"")</x:f>
        <x:v>8.33</x:v>
      </x:c>
      <x:c r="AG2680" t="str">
        <x:f>IF(NOT(ISNUMBER(T2680)),"PENDING",IF(AF2680&gt;0,"PASS","FAIL"))</x:f>
        <x:v>PASS</x:v>
      </x:c>
      <x:c r="AH2680" t="str">
        <x:f>IF(NOT(ISNUMBER(T2680)),"Needs supplier cost",IF(K2680&lt;&gt;"In stock","Supplier unavailable",IF(AG2680&lt;&gt;"PASS","BLOCK - GT loss risk","Commercially protected")))</x:f>
        <x:v>Commercially protected</x:v>
      </x:c>
      <x:c r="AI2680" t="str">
        <x:v>2026-09-10 Active Sports trade capture</x:v>
      </x:c>
      <x:c r="AJ2680" t="str">
        <x:v>Management-only economics. Stripe stress test uses 1.5% + £0.20 standard UK online-card fee; pallet/mix-and-match pricing ignored.</x:v>
      </x:c>
    </x:row>
    <x:row r="2681">
      <x:c r="A2681" t="str">
        <x:v>Active Sports Nutrition</x:v>
      </x:c>
      <x:c r="B2681" t="str">
        <x:v>Per4m Nutrition</x:v>
      </x:c>
      <x:c r="C2681" t="str">
        <x:v>Isolate Zero 100% Whey Protein Isolate</x:v>
      </x:c>
      <x:c r="D2681" t="str">
        <x:v>Supplements</x:v>
      </x:c>
      <x:c r="E2681" t="str">
        <x:v>Whey Isolate</x:v>
      </x:c>
      <x:c r="F2681" t="str"/>
      <x:c r="G2681" t="str">
        <x:v>2kg</x:v>
      </x:c>
      <x:c r="H2681" t="str">
        <x:v>Carrot Cake</x:v>
      </x:c>
      <x:c r="I2681" t="str"/>
      <x:c r="J2681" t="str">
        <x:v>Unit</x:v>
      </x:c>
      <x:c r="K2681" t="str">
        <x:v>In stock</x:v>
      </x:c>
      <x:c r="L2681" t="str">
        <x:v>2026-09-08</x:v>
      </x:c>
      <x:c r="M2681" t="str"/>
      <x:c r="N2681" t="str"/>
      <x:c r="O2681" t="str">
        <x:v>https://www.activesportstrade.co.uk/per4m-nutrition-trade</x:v>
      </x:c>
      <x:c r="P2681" t="str">
        <x:v>NEW wording stripped from exact flavour names.</x:v>
      </x:c>
      <x:c r="Q2681" t="str"/>
      <x:c r="R2681" t="str"/>
      <x:c r="S2681" t="str">
        <x:v>Pending genuine supplier/brand image</x:v>
      </x:c>
      <x:c r="T2681" s="54" t="n">
        <x:v>51.99</x:v>
      </x:c>
      <x:c r="U2681" s="47" t="n">
        <x:v>0.2</x:v>
      </x:c>
      <x:c r="V2681" s="54" t="n">
        <x:f>IF(ISNUMBER(T2681),T2681*(1+U2681),"")</x:f>
        <x:v>62.388</x:v>
      </x:c>
      <x:c r="W2681" s="47" t="n">
        <x:v>0.3</x:v>
      </x:c>
      <x:c r="X2681" s="54" t="n">
        <x:f>IF(ISNUMBER(V2681),V2681/(1-W2681),"")</x:f>
        <x:v>89.1257142857143</x:v>
      </x:c>
      <x:c r="Y2681" s="55" t="n">
        <x:f>IF(ISNUMBER(X2681),ROUNDUP(X2681,0),"")</x:f>
        <x:v>90</x:v>
      </x:c>
      <x:c r="Z2681" t="str">
        <x:v>Source match pending</x:v>
      </x:c>
      <x:c r="AA2681" t="str">
        <x:v>screencapture-www-activesportstrade-co-uk-per4m-nutrition-trade-2026-09-10-09_06_42.pdf / page-05</x:v>
      </x:c>
      <x:c r="AB2681" s="36" t="n">
        <x:f>IF(ISNUMBER(Y2681),ROUND(Y2681*0.9,2),"")</x:f>
        <x:v>81</x:v>
      </x:c>
      <x:c r="AC2681" s="36" t="n">
        <x:f>IF(ISNUMBER(AB2681),ROUND(AB2681-(AB2681*0.015+0.2)-V2681,2),"")</x:f>
        <x:v>17.2</x:v>
      </x:c>
      <x:c r="AD2681" s="36" t="n">
        <x:f>IF(ISNUMBER(Y2681),ROUND(Y2681*0.8,2),"")</x:f>
        <x:v>72</x:v>
      </x:c>
      <x:c r="AE2681" s="36" t="n">
        <x:f>IF(ISNUMBER(AD2681),ROUND(AD2681*0.015+0.2,2),"")</x:f>
        <x:v>1.28</x:v>
      </x:c>
      <x:c r="AF2681" s="36" t="n">
        <x:f>IF(ISNUMBER(AD2681),ROUND(AD2681-AE2681-V2681,2),"")</x:f>
        <x:v>8.33</x:v>
      </x:c>
      <x:c r="AG2681" t="str">
        <x:f>IF(NOT(ISNUMBER(T2681)),"PENDING",IF(AF2681&gt;0,"PASS","FAIL"))</x:f>
        <x:v>PASS</x:v>
      </x:c>
      <x:c r="AH2681" t="str">
        <x:f>IF(NOT(ISNUMBER(T2681)),"Needs supplier cost",IF(K2681&lt;&gt;"In stock","Supplier unavailable",IF(AG2681&lt;&gt;"PASS","BLOCK - GT loss risk","Commercially protected")))</x:f>
        <x:v>Commercially protected</x:v>
      </x:c>
      <x:c r="AI2681" t="str">
        <x:v>2026-09-10 Active Sports trade capture</x:v>
      </x:c>
      <x:c r="AJ2681" t="str">
        <x:v>Management-only economics. Stripe stress test uses 1.5% + £0.20 standard UK online-card fee; pallet/mix-and-match pricing ignored.</x:v>
      </x:c>
    </x:row>
    <x:row r="2682">
      <x:c r="A2682" t="str">
        <x:v>Active Sports Nutrition</x:v>
      </x:c>
      <x:c r="B2682" t="str">
        <x:v>Per4m Nutrition</x:v>
      </x:c>
      <x:c r="C2682" t="str">
        <x:v>Isolate Zero 100% Whey Protein Isolate</x:v>
      </x:c>
      <x:c r="D2682" t="str">
        <x:v>Supplements</x:v>
      </x:c>
      <x:c r="E2682" t="str">
        <x:v>Whey Isolate</x:v>
      </x:c>
      <x:c r="F2682" t="str"/>
      <x:c r="G2682" t="str">
        <x:v>2kg</x:v>
      </x:c>
      <x:c r="H2682" t="str">
        <x:v>Cereal Milk</x:v>
      </x:c>
      <x:c r="I2682" t="str"/>
      <x:c r="J2682" t="str">
        <x:v>Unit</x:v>
      </x:c>
      <x:c r="K2682" t="str">
        <x:v>In stock</x:v>
      </x:c>
      <x:c r="L2682" t="str">
        <x:v>2026-09-08</x:v>
      </x:c>
      <x:c r="M2682" t="str"/>
      <x:c r="N2682" t="str"/>
      <x:c r="O2682" t="str">
        <x:v>https://www.activesportstrade.co.uk/per4m-nutrition-trade</x:v>
      </x:c>
      <x:c r="P2682" t="str">
        <x:v>NEW wording stripped from exact flavour names.</x:v>
      </x:c>
      <x:c r="Q2682" t="str"/>
      <x:c r="R2682" t="str"/>
      <x:c r="S2682" t="str">
        <x:v>Pending genuine supplier/brand image</x:v>
      </x:c>
      <x:c r="T2682" s="54" t="n">
        <x:v>51.99</x:v>
      </x:c>
      <x:c r="U2682" s="47" t="n">
        <x:v>0.2</x:v>
      </x:c>
      <x:c r="V2682" s="54" t="n">
        <x:f>IF(ISNUMBER(T2682),T2682*(1+U2682),"")</x:f>
        <x:v>62.388</x:v>
      </x:c>
      <x:c r="W2682" s="47" t="n">
        <x:v>0.3</x:v>
      </x:c>
      <x:c r="X2682" s="54" t="n">
        <x:f>IF(ISNUMBER(V2682),V2682/(1-W2682),"")</x:f>
        <x:v>89.1257142857143</x:v>
      </x:c>
      <x:c r="Y2682" s="55" t="n">
        <x:f>IF(ISNUMBER(X2682),ROUNDUP(X2682,0),"")</x:f>
        <x:v>90</x:v>
      </x:c>
      <x:c r="Z2682" t="str">
        <x:v>Source match pending</x:v>
      </x:c>
      <x:c r="AA2682" t="str">
        <x:v>screencapture-www-activesportstrade-co-uk-per4m-nutrition-trade-2026-09-10-09_06_42.pdf / page-05</x:v>
      </x:c>
      <x:c r="AB2682" s="36" t="n">
        <x:f>IF(ISNUMBER(Y2682),ROUND(Y2682*0.9,2),"")</x:f>
        <x:v>81</x:v>
      </x:c>
      <x:c r="AC2682" s="36" t="n">
        <x:f>IF(ISNUMBER(AB2682),ROUND(AB2682-(AB2682*0.015+0.2)-V2682,2),"")</x:f>
        <x:v>17.2</x:v>
      </x:c>
      <x:c r="AD2682" s="36" t="n">
        <x:f>IF(ISNUMBER(Y2682),ROUND(Y2682*0.8,2),"")</x:f>
        <x:v>72</x:v>
      </x:c>
      <x:c r="AE2682" s="36" t="n">
        <x:f>IF(ISNUMBER(AD2682),ROUND(AD2682*0.015+0.2,2),"")</x:f>
        <x:v>1.28</x:v>
      </x:c>
      <x:c r="AF2682" s="36" t="n">
        <x:f>IF(ISNUMBER(AD2682),ROUND(AD2682-AE2682-V2682,2),"")</x:f>
        <x:v>8.33</x:v>
      </x:c>
      <x:c r="AG2682" t="str">
        <x:f>IF(NOT(ISNUMBER(T2682)),"PENDING",IF(AF2682&gt;0,"PASS","FAIL"))</x:f>
        <x:v>PASS</x:v>
      </x:c>
      <x:c r="AH2682" t="str">
        <x:f>IF(NOT(ISNUMBER(T2682)),"Needs supplier cost",IF(K2682&lt;&gt;"In stock","Supplier unavailable",IF(AG2682&lt;&gt;"PASS","BLOCK - GT loss risk","Commercially protected")))</x:f>
        <x:v>Commercially protected</x:v>
      </x:c>
      <x:c r="AI2682" t="str">
        <x:v>2026-09-10 Active Sports trade capture</x:v>
      </x:c>
      <x:c r="AJ2682" t="str">
        <x:v>Management-only economics. Stripe stress test uses 1.5% + £0.20 standard UK online-card fee; pallet/mix-and-match pricing ignored.</x:v>
      </x:c>
    </x:row>
    <x:row r="2683">
      <x:c r="A2683" t="str">
        <x:v>Active Sports Nutrition</x:v>
      </x:c>
      <x:c r="B2683" t="str">
        <x:v>Per4m Nutrition</x:v>
      </x:c>
      <x:c r="C2683" t="str">
        <x:v>Isolate Zero 100% Whey Protein Isolate</x:v>
      </x:c>
      <x:c r="D2683" t="str">
        <x:v>Supplements</x:v>
      </x:c>
      <x:c r="E2683" t="str">
        <x:v>Whey Isolate</x:v>
      </x:c>
      <x:c r="F2683" t="str"/>
      <x:c r="G2683" t="str">
        <x:v>2kg</x:v>
      </x:c>
      <x:c r="H2683" t="str">
        <x:v>Chocolate Brownie Batter</x:v>
      </x:c>
      <x:c r="I2683" t="str"/>
      <x:c r="J2683" t="str">
        <x:v>Unit</x:v>
      </x:c>
      <x:c r="K2683" t="str">
        <x:v>Out of stock</x:v>
      </x:c>
      <x:c r="L2683" t="str">
        <x:v>2026-09-08</x:v>
      </x:c>
      <x:c r="M2683" t="str"/>
      <x:c r="N2683" t="str"/>
      <x:c r="O2683" t="str">
        <x:v>https://www.activesportstrade.co.uk/per4m-nutrition-trade</x:v>
      </x:c>
      <x:c r="P2683" t="str">
        <x:v>NEW wording stripped from exact flavour names.</x:v>
      </x:c>
      <x:c r="Q2683" t="str"/>
      <x:c r="R2683" t="str"/>
      <x:c r="S2683" t="str">
        <x:v>Pending genuine supplier/brand image</x:v>
      </x:c>
      <x:c r="T2683" s="54" t="n">
        <x:v>51.99</x:v>
      </x:c>
      <x:c r="U2683" s="47" t="n">
        <x:v>0.2</x:v>
      </x:c>
      <x:c r="V2683" s="54" t="n">
        <x:f>IF(ISNUMBER(T2683),T2683*(1+U2683),"")</x:f>
        <x:v>62.388</x:v>
      </x:c>
      <x:c r="W2683" s="47" t="n">
        <x:v>0.3</x:v>
      </x:c>
      <x:c r="X2683" s="54" t="n">
        <x:f>IF(ISNUMBER(V2683),V2683/(1-W2683),"")</x:f>
        <x:v>89.1257142857143</x:v>
      </x:c>
      <x:c r="Y2683" s="55" t="n">
        <x:f>IF(ISNUMBER(X2683),ROUNDUP(X2683,0),"")</x:f>
        <x:v>90</x:v>
      </x:c>
      <x:c r="Z2683" t="str">
        <x:v>Source match pending</x:v>
      </x:c>
      <x:c r="AA2683" t="str">
        <x:v>screencapture-www-activesportstrade-co-uk-per4m-nutrition-trade-2026-09-10-09_06_42.pdf / page-05</x:v>
      </x:c>
      <x:c r="AB2683" s="36" t="n">
        <x:f>IF(ISNUMBER(Y2683),ROUND(Y2683*0.9,2),"")</x:f>
        <x:v>81</x:v>
      </x:c>
      <x:c r="AC2683" s="36" t="n">
        <x:f>IF(ISNUMBER(AB2683),ROUND(AB2683-(AB2683*0.015+0.2)-V2683,2),"")</x:f>
        <x:v>17.2</x:v>
      </x:c>
      <x:c r="AD2683" s="36" t="n">
        <x:f>IF(ISNUMBER(Y2683),ROUND(Y2683*0.8,2),"")</x:f>
        <x:v>72</x:v>
      </x:c>
      <x:c r="AE2683" s="36" t="n">
        <x:f>IF(ISNUMBER(AD2683),ROUND(AD2683*0.015+0.2,2),"")</x:f>
        <x:v>1.28</x:v>
      </x:c>
      <x:c r="AF2683" s="36" t="n">
        <x:f>IF(ISNUMBER(AD2683),ROUND(AD2683-AE2683-V2683,2),"")</x:f>
        <x:v>8.33</x:v>
      </x:c>
      <x:c r="AG2683" t="str">
        <x:f>IF(NOT(ISNUMBER(T2683)),"PENDING",IF(AF2683&gt;0,"PASS","FAIL"))</x:f>
        <x:v>PASS</x:v>
      </x:c>
      <x:c r="AH2683" t="str">
        <x:f>IF(NOT(ISNUMBER(T2683)),"Needs supplier cost",IF(K2683&lt;&gt;"In stock","Supplier unavailable",IF(AG2683&lt;&gt;"PASS","BLOCK - GT loss risk","Commercially protected")))</x:f>
        <x:v>Supplier unavailable</x:v>
      </x:c>
      <x:c r="AI2683" t="str">
        <x:v>2026-09-10 Active Sports trade capture</x:v>
      </x:c>
      <x:c r="AJ2683" t="str">
        <x:v>Management-only economics. Stripe stress test uses 1.5% + £0.20 standard UK online-card fee; pallet/mix-and-match pricing ignored.</x:v>
      </x:c>
    </x:row>
    <x:row r="2684">
      <x:c r="A2684" t="str">
        <x:v>Active Sports Nutrition</x:v>
      </x:c>
      <x:c r="B2684" t="str">
        <x:v>Per4m Nutrition</x:v>
      </x:c>
      <x:c r="C2684" t="str">
        <x:v>Isolate Zero 100% Whey Protein Isolate</x:v>
      </x:c>
      <x:c r="D2684" t="str">
        <x:v>Supplements</x:v>
      </x:c>
      <x:c r="E2684" t="str">
        <x:v>Whey Isolate</x:v>
      </x:c>
      <x:c r="F2684" t="str"/>
      <x:c r="G2684" t="str">
        <x:v>2kg</x:v>
      </x:c>
      <x:c r="H2684" t="str">
        <x:v>Chocolate Creme</x:v>
      </x:c>
      <x:c r="I2684" t="str"/>
      <x:c r="J2684" t="str">
        <x:v>Unit</x:v>
      </x:c>
      <x:c r="K2684" t="str">
        <x:v>Out of stock</x:v>
      </x:c>
      <x:c r="L2684" t="str">
        <x:v>2026-09-08</x:v>
      </x:c>
      <x:c r="M2684" t="str"/>
      <x:c r="N2684" t="str"/>
      <x:c r="O2684" t="str">
        <x:v>https://www.activesportstrade.co.uk/per4m-nutrition-trade</x:v>
      </x:c>
      <x:c r="P2684" t="str">
        <x:v>NEW wording stripped from exact flavour names.</x:v>
      </x:c>
      <x:c r="Q2684" t="str"/>
      <x:c r="R2684" t="str"/>
      <x:c r="S2684" t="str">
        <x:v>Pending genuine supplier/brand image</x:v>
      </x:c>
      <x:c r="T2684" s="54" t="n">
        <x:v>51.99</x:v>
      </x:c>
      <x:c r="U2684" s="47" t="n">
        <x:v>0.2</x:v>
      </x:c>
      <x:c r="V2684" s="54" t="n">
        <x:f>IF(ISNUMBER(T2684),T2684*(1+U2684),"")</x:f>
        <x:v>62.388</x:v>
      </x:c>
      <x:c r="W2684" s="47" t="n">
        <x:v>0.3</x:v>
      </x:c>
      <x:c r="X2684" s="54" t="n">
        <x:f>IF(ISNUMBER(V2684),V2684/(1-W2684),"")</x:f>
        <x:v>89.1257142857143</x:v>
      </x:c>
      <x:c r="Y2684" s="55" t="n">
        <x:f>IF(ISNUMBER(X2684),ROUNDUP(X2684,0),"")</x:f>
        <x:v>90</x:v>
      </x:c>
      <x:c r="Z2684" t="str">
        <x:v>Source match pending</x:v>
      </x:c>
      <x:c r="AA2684" t="str">
        <x:v>screencapture-www-activesportstrade-co-uk-per4m-nutrition-trade-2026-09-10-09_06_42.pdf / page-05</x:v>
      </x:c>
      <x:c r="AB2684" s="36" t="n">
        <x:f>IF(ISNUMBER(Y2684),ROUND(Y2684*0.9,2),"")</x:f>
        <x:v>81</x:v>
      </x:c>
      <x:c r="AC2684" s="36" t="n">
        <x:f>IF(ISNUMBER(AB2684),ROUND(AB2684-(AB2684*0.015+0.2)-V2684,2),"")</x:f>
        <x:v>17.2</x:v>
      </x:c>
      <x:c r="AD2684" s="36" t="n">
        <x:f>IF(ISNUMBER(Y2684),ROUND(Y2684*0.8,2),"")</x:f>
        <x:v>72</x:v>
      </x:c>
      <x:c r="AE2684" s="36" t="n">
        <x:f>IF(ISNUMBER(AD2684),ROUND(AD2684*0.015+0.2,2),"")</x:f>
        <x:v>1.28</x:v>
      </x:c>
      <x:c r="AF2684" s="36" t="n">
        <x:f>IF(ISNUMBER(AD2684),ROUND(AD2684-AE2684-V2684,2),"")</x:f>
        <x:v>8.33</x:v>
      </x:c>
      <x:c r="AG2684" t="str">
        <x:f>IF(NOT(ISNUMBER(T2684)),"PENDING",IF(AF2684&gt;0,"PASS","FAIL"))</x:f>
        <x:v>PASS</x:v>
      </x:c>
      <x:c r="AH2684" t="str">
        <x:f>IF(NOT(ISNUMBER(T2684)),"Needs supplier cost",IF(K2684&lt;&gt;"In stock","Supplier unavailable",IF(AG2684&lt;&gt;"PASS","BLOCK - GT loss risk","Commercially protected")))</x:f>
        <x:v>Supplier unavailable</x:v>
      </x:c>
      <x:c r="AI2684" t="str">
        <x:v>2026-09-10 Active Sports trade capture</x:v>
      </x:c>
      <x:c r="AJ2684" t="str">
        <x:v>Management-only economics. Stripe stress test uses 1.5% + £0.20 standard UK online-card fee; pallet/mix-and-match pricing ignored.</x:v>
      </x:c>
    </x:row>
    <x:row r="2685">
      <x:c r="A2685" t="str">
        <x:v>Active Sports Nutrition</x:v>
      </x:c>
      <x:c r="B2685" t="str">
        <x:v>Per4m Nutrition</x:v>
      </x:c>
      <x:c r="C2685" t="str">
        <x:v>Isolate Zero 100% Whey Protein Isolate</x:v>
      </x:c>
      <x:c r="D2685" t="str">
        <x:v>Supplements</x:v>
      </x:c>
      <x:c r="E2685" t="str">
        <x:v>Whey Isolate</x:v>
      </x:c>
      <x:c r="F2685" t="str"/>
      <x:c r="G2685" t="str">
        <x:v>2kg</x:v>
      </x:c>
      <x:c r="H2685" t="str">
        <x:v>Chocolate Peanut Butter</x:v>
      </x:c>
      <x:c r="I2685" t="str"/>
      <x:c r="J2685" t="str">
        <x:v>Unit</x:v>
      </x:c>
      <x:c r="K2685" t="str">
        <x:v>In stock</x:v>
      </x:c>
      <x:c r="L2685" t="str">
        <x:v>2026-09-08</x:v>
      </x:c>
      <x:c r="M2685" t="str"/>
      <x:c r="N2685" t="str"/>
      <x:c r="O2685" t="str">
        <x:v>https://www.activesportstrade.co.uk/per4m-nutrition-trade</x:v>
      </x:c>
      <x:c r="P2685" t="str">
        <x:v>NEW wording stripped from exact flavour names.</x:v>
      </x:c>
      <x:c r="Q2685" t="str"/>
      <x:c r="R2685" t="str"/>
      <x:c r="S2685" t="str">
        <x:v>Pending genuine supplier/brand image</x:v>
      </x:c>
      <x:c r="T2685" s="54" t="n">
        <x:v>51.99</x:v>
      </x:c>
      <x:c r="U2685" s="47" t="n">
        <x:v>0.2</x:v>
      </x:c>
      <x:c r="V2685" s="54" t="n">
        <x:f>IF(ISNUMBER(T2685),T2685*(1+U2685),"")</x:f>
        <x:v>62.388</x:v>
      </x:c>
      <x:c r="W2685" s="47" t="n">
        <x:v>0.3</x:v>
      </x:c>
      <x:c r="X2685" s="54" t="n">
        <x:f>IF(ISNUMBER(V2685),V2685/(1-W2685),"")</x:f>
        <x:v>89.1257142857143</x:v>
      </x:c>
      <x:c r="Y2685" s="55" t="n">
        <x:f>IF(ISNUMBER(X2685),ROUNDUP(X2685,0),"")</x:f>
        <x:v>90</x:v>
      </x:c>
      <x:c r="Z2685" t="str">
        <x:v>Source match pending</x:v>
      </x:c>
      <x:c r="AA2685" t="str">
        <x:v>screencapture-www-activesportstrade-co-uk-per4m-nutrition-trade-2026-09-10-09_06_42.pdf / page-05</x:v>
      </x:c>
      <x:c r="AB2685" s="36" t="n">
        <x:f>IF(ISNUMBER(Y2685),ROUND(Y2685*0.9,2),"")</x:f>
        <x:v>81</x:v>
      </x:c>
      <x:c r="AC2685" s="36" t="n">
        <x:f>IF(ISNUMBER(AB2685),ROUND(AB2685-(AB2685*0.015+0.2)-V2685,2),"")</x:f>
        <x:v>17.2</x:v>
      </x:c>
      <x:c r="AD2685" s="36" t="n">
        <x:f>IF(ISNUMBER(Y2685),ROUND(Y2685*0.8,2),"")</x:f>
        <x:v>72</x:v>
      </x:c>
      <x:c r="AE2685" s="36" t="n">
        <x:f>IF(ISNUMBER(AD2685),ROUND(AD2685*0.015+0.2,2),"")</x:f>
        <x:v>1.28</x:v>
      </x:c>
      <x:c r="AF2685" s="36" t="n">
        <x:f>IF(ISNUMBER(AD2685),ROUND(AD2685-AE2685-V2685,2),"")</x:f>
        <x:v>8.33</x:v>
      </x:c>
      <x:c r="AG2685" t="str">
        <x:f>IF(NOT(ISNUMBER(T2685)),"PENDING",IF(AF2685&gt;0,"PASS","FAIL"))</x:f>
        <x:v>PASS</x:v>
      </x:c>
      <x:c r="AH2685" t="str">
        <x:f>IF(NOT(ISNUMBER(T2685)),"Needs supplier cost",IF(K2685&lt;&gt;"In stock","Supplier unavailable",IF(AG2685&lt;&gt;"PASS","BLOCK - GT loss risk","Commercially protected")))</x:f>
        <x:v>Commercially protected</x:v>
      </x:c>
      <x:c r="AI2685" t="str">
        <x:v>2026-09-10 Active Sports trade capture</x:v>
      </x:c>
      <x:c r="AJ2685" t="str">
        <x:v>Management-only economics. Stripe stress test uses 1.5% + £0.20 standard UK online-card fee; pallet/mix-and-match pricing ignored.</x:v>
      </x:c>
    </x:row>
    <x:row r="2686">
      <x:c r="A2686" t="str">
        <x:v>Active Sports Nutrition</x:v>
      </x:c>
      <x:c r="B2686" t="str">
        <x:v>Per4m Nutrition</x:v>
      </x:c>
      <x:c r="C2686" t="str">
        <x:v>Isolate Zero 100% Whey Protein Isolate</x:v>
      </x:c>
      <x:c r="D2686" t="str">
        <x:v>Supplements</x:v>
      </x:c>
      <x:c r="E2686" t="str">
        <x:v>Whey Isolate</x:v>
      </x:c>
      <x:c r="F2686" t="str"/>
      <x:c r="G2686" t="str">
        <x:v>2kg</x:v>
      </x:c>
      <x:c r="H2686" t="str">
        <x:v>Cinnamon Donut</x:v>
      </x:c>
      <x:c r="I2686" t="str"/>
      <x:c r="J2686" t="str">
        <x:v>Unit</x:v>
      </x:c>
      <x:c r="K2686" t="str">
        <x:v>In stock</x:v>
      </x:c>
      <x:c r="L2686" t="str">
        <x:v>2026-09-08</x:v>
      </x:c>
      <x:c r="M2686" t="str"/>
      <x:c r="N2686" t="str"/>
      <x:c r="O2686" t="str">
        <x:v>https://www.activesportstrade.co.uk/per4m-nutrition-trade</x:v>
      </x:c>
      <x:c r="P2686" t="str">
        <x:v>NEW wording stripped from exact flavour names.</x:v>
      </x:c>
      <x:c r="Q2686" t="str"/>
      <x:c r="R2686" t="str"/>
      <x:c r="S2686" t="str">
        <x:v>Pending genuine supplier/brand image</x:v>
      </x:c>
      <x:c r="T2686" s="54" t="n">
        <x:v>51.99</x:v>
      </x:c>
      <x:c r="U2686" s="47" t="n">
        <x:v>0.2</x:v>
      </x:c>
      <x:c r="V2686" s="54" t="n">
        <x:f>IF(ISNUMBER(T2686),T2686*(1+U2686),"")</x:f>
        <x:v>62.388</x:v>
      </x:c>
      <x:c r="W2686" s="47" t="n">
        <x:v>0.3</x:v>
      </x:c>
      <x:c r="X2686" s="54" t="n">
        <x:f>IF(ISNUMBER(V2686),V2686/(1-W2686),"")</x:f>
        <x:v>89.1257142857143</x:v>
      </x:c>
      <x:c r="Y2686" s="55" t="n">
        <x:f>IF(ISNUMBER(X2686),ROUNDUP(X2686,0),"")</x:f>
        <x:v>90</x:v>
      </x:c>
      <x:c r="Z2686" t="str">
        <x:v>Source match pending</x:v>
      </x:c>
      <x:c r="AA2686" t="str">
        <x:v>screencapture-www-activesportstrade-co-uk-per4m-nutrition-trade-2026-09-10-09_06_42.pdf / page-05</x:v>
      </x:c>
      <x:c r="AB2686" s="36" t="n">
        <x:f>IF(ISNUMBER(Y2686),ROUND(Y2686*0.9,2),"")</x:f>
        <x:v>81</x:v>
      </x:c>
      <x:c r="AC2686" s="36" t="n">
        <x:f>IF(ISNUMBER(AB2686),ROUND(AB2686-(AB2686*0.015+0.2)-V2686,2),"")</x:f>
        <x:v>17.2</x:v>
      </x:c>
      <x:c r="AD2686" s="36" t="n">
        <x:f>IF(ISNUMBER(Y2686),ROUND(Y2686*0.8,2),"")</x:f>
        <x:v>72</x:v>
      </x:c>
      <x:c r="AE2686" s="36" t="n">
        <x:f>IF(ISNUMBER(AD2686),ROUND(AD2686*0.015+0.2,2),"")</x:f>
        <x:v>1.28</x:v>
      </x:c>
      <x:c r="AF2686" s="36" t="n">
        <x:f>IF(ISNUMBER(AD2686),ROUND(AD2686-AE2686-V2686,2),"")</x:f>
        <x:v>8.33</x:v>
      </x:c>
      <x:c r="AG2686" t="str">
        <x:f>IF(NOT(ISNUMBER(T2686)),"PENDING",IF(AF2686&gt;0,"PASS","FAIL"))</x:f>
        <x:v>PASS</x:v>
      </x:c>
      <x:c r="AH2686" t="str">
        <x:f>IF(NOT(ISNUMBER(T2686)),"Needs supplier cost",IF(K2686&lt;&gt;"In stock","Supplier unavailable",IF(AG2686&lt;&gt;"PASS","BLOCK - GT loss risk","Commercially protected")))</x:f>
        <x:v>Commercially protected</x:v>
      </x:c>
      <x:c r="AI2686" t="str">
        <x:v>2026-09-10 Active Sports trade capture</x:v>
      </x:c>
      <x:c r="AJ2686" t="str">
        <x:v>Management-only economics. Stripe stress test uses 1.5% + £0.20 standard UK online-card fee; pallet/mix-and-match pricing ignored.</x:v>
      </x:c>
    </x:row>
    <x:row r="2687">
      <x:c r="A2687" t="str">
        <x:v>Active Sports Nutrition</x:v>
      </x:c>
      <x:c r="B2687" t="str">
        <x:v>Per4m Nutrition</x:v>
      </x:c>
      <x:c r="C2687" t="str">
        <x:v>Isolate Zero 100% Whey Protein Isolate</x:v>
      </x:c>
      <x:c r="D2687" t="str">
        <x:v>Supplements</x:v>
      </x:c>
      <x:c r="E2687" t="str">
        <x:v>Whey Isolate</x:v>
      </x:c>
      <x:c r="F2687" t="str"/>
      <x:c r="G2687" t="str">
        <x:v>2kg</x:v>
      </x:c>
      <x:c r="H2687" t="str">
        <x:v>Cookie Dough</x:v>
      </x:c>
      <x:c r="I2687" t="str"/>
      <x:c r="J2687" t="str">
        <x:v>Unit</x:v>
      </x:c>
      <x:c r="K2687" t="str">
        <x:v>In stock</x:v>
      </x:c>
      <x:c r="L2687" t="str">
        <x:v>2026-09-08</x:v>
      </x:c>
      <x:c r="M2687" t="str"/>
      <x:c r="N2687" t="str"/>
      <x:c r="O2687" t="str">
        <x:v>https://www.activesportstrade.co.uk/per4m-nutrition-trade</x:v>
      </x:c>
      <x:c r="P2687" t="str">
        <x:v>NEW wording stripped from exact flavour names.</x:v>
      </x:c>
      <x:c r="Q2687" t="str"/>
      <x:c r="R2687" t="str"/>
      <x:c r="S2687" t="str">
        <x:v>Pending genuine supplier/brand image</x:v>
      </x:c>
      <x:c r="T2687" s="54" t="n">
        <x:v>51.99</x:v>
      </x:c>
      <x:c r="U2687" s="47" t="n">
        <x:v>0.2</x:v>
      </x:c>
      <x:c r="V2687" s="54" t="n">
        <x:f>IF(ISNUMBER(T2687),T2687*(1+U2687),"")</x:f>
        <x:v>62.388</x:v>
      </x:c>
      <x:c r="W2687" s="47" t="n">
        <x:v>0.3</x:v>
      </x:c>
      <x:c r="X2687" s="54" t="n">
        <x:f>IF(ISNUMBER(V2687),V2687/(1-W2687),"")</x:f>
        <x:v>89.1257142857143</x:v>
      </x:c>
      <x:c r="Y2687" s="55" t="n">
        <x:f>IF(ISNUMBER(X2687),ROUNDUP(X2687,0),"")</x:f>
        <x:v>90</x:v>
      </x:c>
      <x:c r="Z2687" t="str">
        <x:v>Source match pending</x:v>
      </x:c>
      <x:c r="AA2687" t="str">
        <x:v>screencapture-www-activesportstrade-co-uk-per4m-nutrition-trade-2026-09-10-09_06_42.pdf / page-05</x:v>
      </x:c>
      <x:c r="AB2687" s="36" t="n">
        <x:f>IF(ISNUMBER(Y2687),ROUND(Y2687*0.9,2),"")</x:f>
        <x:v>81</x:v>
      </x:c>
      <x:c r="AC2687" s="36" t="n">
        <x:f>IF(ISNUMBER(AB2687),ROUND(AB2687-(AB2687*0.015+0.2)-V2687,2),"")</x:f>
        <x:v>17.2</x:v>
      </x:c>
      <x:c r="AD2687" s="36" t="n">
        <x:f>IF(ISNUMBER(Y2687),ROUND(Y2687*0.8,2),"")</x:f>
        <x:v>72</x:v>
      </x:c>
      <x:c r="AE2687" s="36" t="n">
        <x:f>IF(ISNUMBER(AD2687),ROUND(AD2687*0.015+0.2,2),"")</x:f>
        <x:v>1.28</x:v>
      </x:c>
      <x:c r="AF2687" s="36" t="n">
        <x:f>IF(ISNUMBER(AD2687),ROUND(AD2687-AE2687-V2687,2),"")</x:f>
        <x:v>8.33</x:v>
      </x:c>
      <x:c r="AG2687" t="str">
        <x:f>IF(NOT(ISNUMBER(T2687)),"PENDING",IF(AF2687&gt;0,"PASS","FAIL"))</x:f>
        <x:v>PASS</x:v>
      </x:c>
      <x:c r="AH2687" t="str">
        <x:f>IF(NOT(ISNUMBER(T2687)),"Needs supplier cost",IF(K2687&lt;&gt;"In stock","Supplier unavailable",IF(AG2687&lt;&gt;"PASS","BLOCK - GT loss risk","Commercially protected")))</x:f>
        <x:v>Commercially protected</x:v>
      </x:c>
      <x:c r="AI2687" t="str">
        <x:v>2026-09-10 Active Sports trade capture</x:v>
      </x:c>
      <x:c r="AJ2687" t="str">
        <x:v>Management-only economics. Stripe stress test uses 1.5% + £0.20 standard UK online-card fee; pallet/mix-and-match pricing ignored.</x:v>
      </x:c>
    </x:row>
    <x:row r="2688">
      <x:c r="A2688" t="str">
        <x:v>Active Sports Nutrition</x:v>
      </x:c>
      <x:c r="B2688" t="str">
        <x:v>Per4m Nutrition</x:v>
      </x:c>
      <x:c r="C2688" t="str">
        <x:v>Isolate Zero 100% Whey Protein Isolate</x:v>
      </x:c>
      <x:c r="D2688" t="str">
        <x:v>Supplements</x:v>
      </x:c>
      <x:c r="E2688" t="str">
        <x:v>Whey Isolate</x:v>
      </x:c>
      <x:c r="F2688" t="str"/>
      <x:c r="G2688" t="str">
        <x:v>2kg</x:v>
      </x:c>
      <x:c r="H2688" t="str">
        <x:v>Dubai Chocolate</x:v>
      </x:c>
      <x:c r="I2688" t="str"/>
      <x:c r="J2688" t="str">
        <x:v>Unit</x:v>
      </x:c>
      <x:c r="K2688" t="str">
        <x:v>In stock</x:v>
      </x:c>
      <x:c r="L2688" t="str">
        <x:v>2026-09-08</x:v>
      </x:c>
      <x:c r="M2688" t="str"/>
      <x:c r="N2688" t="str"/>
      <x:c r="O2688" t="str">
        <x:v>https://www.activesportstrade.co.uk/per4m-nutrition-trade</x:v>
      </x:c>
      <x:c r="P2688" t="str">
        <x:v>NEW wording stripped from exact flavour names.</x:v>
      </x:c>
      <x:c r="Q2688" t="str"/>
      <x:c r="R2688" t="str"/>
      <x:c r="S2688" t="str">
        <x:v>Pending genuine supplier/brand image</x:v>
      </x:c>
      <x:c r="T2688" s="54" t="n">
        <x:v>51.99</x:v>
      </x:c>
      <x:c r="U2688" s="47" t="n">
        <x:v>0.2</x:v>
      </x:c>
      <x:c r="V2688" s="54" t="n">
        <x:f>IF(ISNUMBER(T2688),T2688*(1+U2688),"")</x:f>
        <x:v>62.388</x:v>
      </x:c>
      <x:c r="W2688" s="47" t="n">
        <x:v>0.3</x:v>
      </x:c>
      <x:c r="X2688" s="54" t="n">
        <x:f>IF(ISNUMBER(V2688),V2688/(1-W2688),"")</x:f>
        <x:v>89.1257142857143</x:v>
      </x:c>
      <x:c r="Y2688" s="55" t="n">
        <x:f>IF(ISNUMBER(X2688),ROUNDUP(X2688,0),"")</x:f>
        <x:v>90</x:v>
      </x:c>
      <x:c r="Z2688" t="str">
        <x:v>Source match pending</x:v>
      </x:c>
      <x:c r="AA2688" t="str">
        <x:v>screencapture-www-activesportstrade-co-uk-per4m-nutrition-trade-2026-09-10-09_06_42.pdf / page-05</x:v>
      </x:c>
      <x:c r="AB2688" s="36" t="n">
        <x:f>IF(ISNUMBER(Y2688),ROUND(Y2688*0.9,2),"")</x:f>
        <x:v>81</x:v>
      </x:c>
      <x:c r="AC2688" s="36" t="n">
        <x:f>IF(ISNUMBER(AB2688),ROUND(AB2688-(AB2688*0.015+0.2)-V2688,2),"")</x:f>
        <x:v>17.2</x:v>
      </x:c>
      <x:c r="AD2688" s="36" t="n">
        <x:f>IF(ISNUMBER(Y2688),ROUND(Y2688*0.8,2),"")</x:f>
        <x:v>72</x:v>
      </x:c>
      <x:c r="AE2688" s="36" t="n">
        <x:f>IF(ISNUMBER(AD2688),ROUND(AD2688*0.015+0.2,2),"")</x:f>
        <x:v>1.28</x:v>
      </x:c>
      <x:c r="AF2688" s="36" t="n">
        <x:f>IF(ISNUMBER(AD2688),ROUND(AD2688-AE2688-V2688,2),"")</x:f>
        <x:v>8.33</x:v>
      </x:c>
      <x:c r="AG2688" t="str">
        <x:f>IF(NOT(ISNUMBER(T2688)),"PENDING",IF(AF2688&gt;0,"PASS","FAIL"))</x:f>
        <x:v>PASS</x:v>
      </x:c>
      <x:c r="AH2688" t="str">
        <x:f>IF(NOT(ISNUMBER(T2688)),"Needs supplier cost",IF(K2688&lt;&gt;"In stock","Supplier unavailable",IF(AG2688&lt;&gt;"PASS","BLOCK - GT loss risk","Commercially protected")))</x:f>
        <x:v>Commercially protected</x:v>
      </x:c>
      <x:c r="AI2688" t="str">
        <x:v>2026-09-10 Active Sports trade capture</x:v>
      </x:c>
      <x:c r="AJ2688" t="str">
        <x:v>Management-only economics. Stripe stress test uses 1.5% + £0.20 standard UK online-card fee; pallet/mix-and-match pricing ignored.</x:v>
      </x:c>
    </x:row>
    <x:row r="2689">
      <x:c r="A2689" t="str">
        <x:v>Active Sports Nutrition</x:v>
      </x:c>
      <x:c r="B2689" t="str">
        <x:v>Per4m Nutrition</x:v>
      </x:c>
      <x:c r="C2689" t="str">
        <x:v>Isolate Zero 100% Whey Protein Isolate</x:v>
      </x:c>
      <x:c r="D2689" t="str">
        <x:v>Supplements</x:v>
      </x:c>
      <x:c r="E2689" t="str">
        <x:v>Whey Isolate</x:v>
      </x:c>
      <x:c r="F2689" t="str"/>
      <x:c r="G2689" t="str">
        <x:v>2kg</x:v>
      </x:c>
      <x:c r="H2689" t="str">
        <x:v>Red Velvet Cake</x:v>
      </x:c>
      <x:c r="I2689" t="str"/>
      <x:c r="J2689" t="str">
        <x:v>Unit</x:v>
      </x:c>
      <x:c r="K2689" t="str">
        <x:v>In stock</x:v>
      </x:c>
      <x:c r="L2689" t="str">
        <x:v>2026-09-08</x:v>
      </x:c>
      <x:c r="M2689" t="str"/>
      <x:c r="N2689" t="str"/>
      <x:c r="O2689" t="str">
        <x:v>https://www.activesportstrade.co.uk/per4m-nutrition-trade</x:v>
      </x:c>
      <x:c r="P2689" t="str">
        <x:v>NEW wording stripped from exact flavour names.</x:v>
      </x:c>
      <x:c r="Q2689" t="str"/>
      <x:c r="R2689" t="str"/>
      <x:c r="S2689" t="str">
        <x:v>Pending genuine supplier/brand image</x:v>
      </x:c>
      <x:c r="T2689" s="54" t="n">
        <x:v>51.99</x:v>
      </x:c>
      <x:c r="U2689" s="47" t="n">
        <x:v>0.2</x:v>
      </x:c>
      <x:c r="V2689" s="54" t="n">
        <x:f>IF(ISNUMBER(T2689),T2689*(1+U2689),"")</x:f>
        <x:v>62.388</x:v>
      </x:c>
      <x:c r="W2689" s="47" t="n">
        <x:v>0.3</x:v>
      </x:c>
      <x:c r="X2689" s="54" t="n">
        <x:f>IF(ISNUMBER(V2689),V2689/(1-W2689),"")</x:f>
        <x:v>89.1257142857143</x:v>
      </x:c>
      <x:c r="Y2689" s="55" t="n">
        <x:f>IF(ISNUMBER(X2689),ROUNDUP(X2689,0),"")</x:f>
        <x:v>90</x:v>
      </x:c>
      <x:c r="Z2689" t="str">
        <x:v>Source match pending</x:v>
      </x:c>
      <x:c r="AA2689" t="str">
        <x:v>screencapture-www-activesportstrade-co-uk-per4m-nutrition-trade-2026-09-10-09_06_42.pdf / page-05</x:v>
      </x:c>
      <x:c r="AB2689" s="36" t="n">
        <x:f>IF(ISNUMBER(Y2689),ROUND(Y2689*0.9,2),"")</x:f>
        <x:v>81</x:v>
      </x:c>
      <x:c r="AC2689" s="36" t="n">
        <x:f>IF(ISNUMBER(AB2689),ROUND(AB2689-(AB2689*0.015+0.2)-V2689,2),"")</x:f>
        <x:v>17.2</x:v>
      </x:c>
      <x:c r="AD2689" s="36" t="n">
        <x:f>IF(ISNUMBER(Y2689),ROUND(Y2689*0.8,2),"")</x:f>
        <x:v>72</x:v>
      </x:c>
      <x:c r="AE2689" s="36" t="n">
        <x:f>IF(ISNUMBER(AD2689),ROUND(AD2689*0.015+0.2,2),"")</x:f>
        <x:v>1.28</x:v>
      </x:c>
      <x:c r="AF2689" s="36" t="n">
        <x:f>IF(ISNUMBER(AD2689),ROUND(AD2689-AE2689-V2689,2),"")</x:f>
        <x:v>8.33</x:v>
      </x:c>
      <x:c r="AG2689" t="str">
        <x:f>IF(NOT(ISNUMBER(T2689)),"PENDING",IF(AF2689&gt;0,"PASS","FAIL"))</x:f>
        <x:v>PASS</x:v>
      </x:c>
      <x:c r="AH2689" t="str">
        <x:f>IF(NOT(ISNUMBER(T2689)),"Needs supplier cost",IF(K2689&lt;&gt;"In stock","Supplier unavailable",IF(AG2689&lt;&gt;"PASS","BLOCK - GT loss risk","Commercially protected")))</x:f>
        <x:v>Commercially protected</x:v>
      </x:c>
      <x:c r="AI2689" t="str">
        <x:v>2026-09-10 Active Sports trade capture</x:v>
      </x:c>
      <x:c r="AJ2689" t="str">
        <x:v>Management-only economics. Stripe stress test uses 1.5% + £0.20 standard UK online-card fee; pallet/mix-and-match pricing ignored.</x:v>
      </x:c>
    </x:row>
    <x:row r="2690">
      <x:c r="A2690" t="str">
        <x:v>Active Sports Nutrition</x:v>
      </x:c>
      <x:c r="B2690" t="str">
        <x:v>Per4m Nutrition</x:v>
      </x:c>
      <x:c r="C2690" t="str">
        <x:v>Isolate Zero 100% Whey Protein Isolate</x:v>
      </x:c>
      <x:c r="D2690" t="str">
        <x:v>Supplements</x:v>
      </x:c>
      <x:c r="E2690" t="str">
        <x:v>Whey Isolate</x:v>
      </x:c>
      <x:c r="F2690" t="str"/>
      <x:c r="G2690" t="str">
        <x:v>2kg</x:v>
      </x:c>
      <x:c r="H2690" t="str">
        <x:v>Salted Caramel</x:v>
      </x:c>
      <x:c r="I2690" t="str"/>
      <x:c r="J2690" t="str">
        <x:v>Unit</x:v>
      </x:c>
      <x:c r="K2690" t="str">
        <x:v>In stock</x:v>
      </x:c>
      <x:c r="L2690" t="str">
        <x:v>2026-09-08</x:v>
      </x:c>
      <x:c r="M2690" t="str"/>
      <x:c r="N2690" t="str"/>
      <x:c r="O2690" t="str">
        <x:v>https://www.activesportstrade.co.uk/per4m-nutrition-trade</x:v>
      </x:c>
      <x:c r="P2690" t="str">
        <x:v>NEW wording stripped from exact flavour names.</x:v>
      </x:c>
      <x:c r="Q2690" t="str"/>
      <x:c r="R2690" t="str"/>
      <x:c r="S2690" t="str">
        <x:v>Pending genuine supplier/brand image</x:v>
      </x:c>
      <x:c r="T2690" s="54" t="n">
        <x:v>51.99</x:v>
      </x:c>
      <x:c r="U2690" s="47" t="n">
        <x:v>0.2</x:v>
      </x:c>
      <x:c r="V2690" s="54" t="n">
        <x:f>IF(ISNUMBER(T2690),T2690*(1+U2690),"")</x:f>
        <x:v>62.388</x:v>
      </x:c>
      <x:c r="W2690" s="47" t="n">
        <x:v>0.3</x:v>
      </x:c>
      <x:c r="X2690" s="54" t="n">
        <x:f>IF(ISNUMBER(V2690),V2690/(1-W2690),"")</x:f>
        <x:v>89.1257142857143</x:v>
      </x:c>
      <x:c r="Y2690" s="55" t="n">
        <x:f>IF(ISNUMBER(X2690),ROUNDUP(X2690,0),"")</x:f>
        <x:v>90</x:v>
      </x:c>
      <x:c r="Z2690" t="str">
        <x:v>Source match pending</x:v>
      </x:c>
      <x:c r="AA2690" t="str">
        <x:v>screencapture-www-activesportstrade-co-uk-per4m-nutrition-trade-2026-09-10-09_06_42.pdf / page-05</x:v>
      </x:c>
      <x:c r="AB2690" s="36" t="n">
        <x:f>IF(ISNUMBER(Y2690),ROUND(Y2690*0.9,2),"")</x:f>
        <x:v>81</x:v>
      </x:c>
      <x:c r="AC2690" s="36" t="n">
        <x:f>IF(ISNUMBER(AB2690),ROUND(AB2690-(AB2690*0.015+0.2)-V2690,2),"")</x:f>
        <x:v>17.2</x:v>
      </x:c>
      <x:c r="AD2690" s="36" t="n">
        <x:f>IF(ISNUMBER(Y2690),ROUND(Y2690*0.8,2),"")</x:f>
        <x:v>72</x:v>
      </x:c>
      <x:c r="AE2690" s="36" t="n">
        <x:f>IF(ISNUMBER(AD2690),ROUND(AD2690*0.015+0.2,2),"")</x:f>
        <x:v>1.28</x:v>
      </x:c>
      <x:c r="AF2690" s="36" t="n">
        <x:f>IF(ISNUMBER(AD2690),ROUND(AD2690-AE2690-V2690,2),"")</x:f>
        <x:v>8.33</x:v>
      </x:c>
      <x:c r="AG2690" t="str">
        <x:f>IF(NOT(ISNUMBER(T2690)),"PENDING",IF(AF2690&gt;0,"PASS","FAIL"))</x:f>
        <x:v>PASS</x:v>
      </x:c>
      <x:c r="AH2690" t="str">
        <x:f>IF(NOT(ISNUMBER(T2690)),"Needs supplier cost",IF(K2690&lt;&gt;"In stock","Supplier unavailable",IF(AG2690&lt;&gt;"PASS","BLOCK - GT loss risk","Commercially protected")))</x:f>
        <x:v>Commercially protected</x:v>
      </x:c>
      <x:c r="AI2690" t="str">
        <x:v>2026-09-10 Active Sports trade capture</x:v>
      </x:c>
      <x:c r="AJ2690" t="str">
        <x:v>Management-only economics. Stripe stress test uses 1.5% + £0.20 standard UK online-card fee; pallet/mix-and-match pricing ignored.</x:v>
      </x:c>
    </x:row>
    <x:row r="2691">
      <x:c r="A2691" t="str">
        <x:v>Active Sports Nutrition</x:v>
      </x:c>
      <x:c r="B2691" t="str">
        <x:v>Per4m Nutrition</x:v>
      </x:c>
      <x:c r="C2691" t="str">
        <x:v>Isolate Zero 100% Whey Protein Isolate</x:v>
      </x:c>
      <x:c r="D2691" t="str">
        <x:v>Supplements</x:v>
      </x:c>
      <x:c r="E2691" t="str">
        <x:v>Whey Isolate</x:v>
      </x:c>
      <x:c r="F2691" t="str"/>
      <x:c r="G2691" t="str">
        <x:v>2kg</x:v>
      </x:c>
      <x:c r="H2691" t="str">
        <x:v>Sticky Toffee Pudding</x:v>
      </x:c>
      <x:c r="I2691" t="str"/>
      <x:c r="J2691" t="str">
        <x:v>Unit</x:v>
      </x:c>
      <x:c r="K2691" t="str">
        <x:v>In stock</x:v>
      </x:c>
      <x:c r="L2691" t="str">
        <x:v>2026-09-08</x:v>
      </x:c>
      <x:c r="M2691" t="str"/>
      <x:c r="N2691" t="str"/>
      <x:c r="O2691" t="str">
        <x:v>https://www.activesportstrade.co.uk/per4m-nutrition-trade</x:v>
      </x:c>
      <x:c r="P2691" t="str">
        <x:v>NEW wording stripped from exact flavour names.</x:v>
      </x:c>
      <x:c r="Q2691" t="str"/>
      <x:c r="R2691" t="str"/>
      <x:c r="S2691" t="str">
        <x:v>Pending genuine supplier/brand image</x:v>
      </x:c>
      <x:c r="T2691" s="54" t="n">
        <x:v>51.99</x:v>
      </x:c>
      <x:c r="U2691" s="47" t="n">
        <x:v>0.2</x:v>
      </x:c>
      <x:c r="V2691" s="54" t="n">
        <x:f>IF(ISNUMBER(T2691),T2691*(1+U2691),"")</x:f>
        <x:v>62.388</x:v>
      </x:c>
      <x:c r="W2691" s="47" t="n">
        <x:v>0.3</x:v>
      </x:c>
      <x:c r="X2691" s="54" t="n">
        <x:f>IF(ISNUMBER(V2691),V2691/(1-W2691),"")</x:f>
        <x:v>89.1257142857143</x:v>
      </x:c>
      <x:c r="Y2691" s="55" t="n">
        <x:f>IF(ISNUMBER(X2691),ROUNDUP(X2691,0),"")</x:f>
        <x:v>90</x:v>
      </x:c>
      <x:c r="Z2691" t="str">
        <x:v>Source match pending</x:v>
      </x:c>
      <x:c r="AA2691" t="str">
        <x:v>screencapture-www-activesportstrade-co-uk-per4m-nutrition-trade-2026-09-10-09_06_42.pdf / page-05</x:v>
      </x:c>
      <x:c r="AB2691" s="36" t="n">
        <x:f>IF(ISNUMBER(Y2691),ROUND(Y2691*0.9,2),"")</x:f>
        <x:v>81</x:v>
      </x:c>
      <x:c r="AC2691" s="36" t="n">
        <x:f>IF(ISNUMBER(AB2691),ROUND(AB2691-(AB2691*0.015+0.2)-V2691,2),"")</x:f>
        <x:v>17.2</x:v>
      </x:c>
      <x:c r="AD2691" s="36" t="n">
        <x:f>IF(ISNUMBER(Y2691),ROUND(Y2691*0.8,2),"")</x:f>
        <x:v>72</x:v>
      </x:c>
      <x:c r="AE2691" s="36" t="n">
        <x:f>IF(ISNUMBER(AD2691),ROUND(AD2691*0.015+0.2,2),"")</x:f>
        <x:v>1.28</x:v>
      </x:c>
      <x:c r="AF2691" s="36" t="n">
        <x:f>IF(ISNUMBER(AD2691),ROUND(AD2691-AE2691-V2691,2),"")</x:f>
        <x:v>8.33</x:v>
      </x:c>
      <x:c r="AG2691" t="str">
        <x:f>IF(NOT(ISNUMBER(T2691)),"PENDING",IF(AF2691&gt;0,"PASS","FAIL"))</x:f>
        <x:v>PASS</x:v>
      </x:c>
      <x:c r="AH2691" t="str">
        <x:f>IF(NOT(ISNUMBER(T2691)),"Needs supplier cost",IF(K2691&lt;&gt;"In stock","Supplier unavailable",IF(AG2691&lt;&gt;"PASS","BLOCK - GT loss risk","Commercially protected")))</x:f>
        <x:v>Commercially protected</x:v>
      </x:c>
      <x:c r="AI2691" t="str">
        <x:v>2026-09-10 Active Sports trade capture</x:v>
      </x:c>
      <x:c r="AJ2691" t="str">
        <x:v>Management-only economics. Stripe stress test uses 1.5% + £0.20 standard UK online-card fee; pallet/mix-and-match pricing ignored.</x:v>
      </x:c>
    </x:row>
    <x:row r="2692">
      <x:c r="A2692" t="str">
        <x:v>Active Sports Nutrition</x:v>
      </x:c>
      <x:c r="B2692" t="str">
        <x:v>Per4m Nutrition</x:v>
      </x:c>
      <x:c r="C2692" t="str">
        <x:v>Hydrate</x:v>
      </x:c>
      <x:c r="D2692" t="str">
        <x:v>Supplements</x:v>
      </x:c>
      <x:c r="E2692" t="str">
        <x:v>Hydration</x:v>
      </x:c>
      <x:c r="F2692" t="str"/>
      <x:c r="G2692" t="str">
        <x:v>30 servings</x:v>
      </x:c>
      <x:c r="H2692" t="str">
        <x:v>Blackberry</x:v>
      </x:c>
      <x:c r="I2692" t="str"/>
      <x:c r="J2692" t="str">
        <x:v>Unit</x:v>
      </x:c>
      <x:c r="K2692" t="str">
        <x:v>In stock</x:v>
      </x:c>
      <x:c r="L2692" t="str">
        <x:v>2026-09-08</x:v>
      </x:c>
      <x:c r="M2692" t="str"/>
      <x:c r="N2692" t="str"/>
      <x:c r="O2692" t="str">
        <x:v>https://www.activesportstrade.co.uk/hydration-supplements-trade</x:v>
      </x:c>
      <x:c r="P2692" t="str">
        <x:v>FREE SHAKER/CREATINE supplier promotion stripped; freshest hydration page stock used.</x:v>
      </x:c>
      <x:c r="Q2692" t="str"/>
      <x:c r="R2692" t="str"/>
      <x:c r="S2692" t="str">
        <x:v>Pending genuine supplier/brand image</x:v>
      </x:c>
      <x:c r="T2692" s="54"/>
      <x:c r="U2692" s="47" t="n">
        <x:v>0.2</x:v>
      </x:c>
      <x:c r="V2692" s="54" t="str">
        <x:f>IF(ISNUMBER(T2692),T2692*(1+U2692),"")</x:f>
      </x:c>
      <x:c r="W2692" s="47" t="n">
        <x:v>0.3</x:v>
      </x:c>
      <x:c r="X2692" s="54" t="str">
        <x:f>IF(ISNUMBER(V2692),V2692/(1-W2692),"")</x:f>
      </x:c>
      <x:c r="Y2692" s="55" t="str">
        <x:f>IF(ISNUMBER(X2692),ROUNDUP(X2692,0),"")</x:f>
      </x:c>
      <x:c r="Z2692" t="str">
        <x:f>IF(ISNUMBER(T2692),"Cost captured","Awaiting trade cost")</x:f>
        <x:v>Awaiting trade cost</x:v>
      </x:c>
      <x:c r="AB2692" s="36" t="str">
        <x:f>IF(ISNUMBER(Y2692),ROUND(Y2692*0.9,2),"")</x:f>
      </x:c>
      <x:c r="AC2692" s="36" t="str">
        <x:f>IF(ISNUMBER(AB2692),ROUND(AB2692-(AB2692*0.015+0.2)-V2692,2),"")</x:f>
      </x:c>
      <x:c r="AD2692" s="36" t="str">
        <x:f>IF(ISNUMBER(Y2692),ROUND(Y2692*0.8,2),"")</x:f>
      </x:c>
      <x:c r="AE2692" s="36" t="str">
        <x:f>IF(ISNUMBER(AD2692),ROUND(AD2692*0.015+0.2,2),"")</x:f>
      </x:c>
      <x:c r="AF2692" s="36" t="str">
        <x:f>IF(ISNUMBER(AD2692),ROUND(AD2692-AE2692-V2692,2),"")</x:f>
      </x:c>
      <x:c r="AG2692" t="str">
        <x:f>IF(NOT(ISNUMBER(T2692)),"PENDING",IF(AF2692&gt;0,"PASS","FAIL"))</x:f>
        <x:v>PENDING</x:v>
      </x:c>
      <x:c r="AH2692" t="str">
        <x:f>IF(NOT(ISNUMBER(T2692)),"Needs supplier cost",IF(K2692&lt;&gt;"In stock","Supplier unavailable",IF(AG2692&lt;&gt;"PASS","BLOCK - GT loss risk","Commercially protected")))</x:f>
        <x:v>Needs supplier cost</x:v>
      </x:c>
      <x:c r="AI2692" t="str">
        <x:v>2026-09-10 Active Sports trade capture</x:v>
      </x:c>
      <x:c r="AJ2692" t="str">
        <x:v>Management-only economics. Stripe stress test uses 1.5% + £0.20 standard UK online-card fee; pallet/mix-and-match pricing ignored.</x:v>
      </x:c>
    </x:row>
    <x:row r="2693">
      <x:c r="A2693" t="str">
        <x:v>Active Sports Nutrition</x:v>
      </x:c>
      <x:c r="B2693" t="str">
        <x:v>Per4m Nutrition</x:v>
      </x:c>
      <x:c r="C2693" t="str">
        <x:v>Hydrate</x:v>
      </x:c>
      <x:c r="D2693" t="str">
        <x:v>Supplements</x:v>
      </x:c>
      <x:c r="E2693" t="str">
        <x:v>Hydration</x:v>
      </x:c>
      <x:c r="F2693" t="str"/>
      <x:c r="G2693" t="str">
        <x:v>30 servings</x:v>
      </x:c>
      <x:c r="H2693" t="str">
        <x:v>Blue Raspberry</x:v>
      </x:c>
      <x:c r="I2693" t="str"/>
      <x:c r="J2693" t="str">
        <x:v>Unit</x:v>
      </x:c>
      <x:c r="K2693" t="str">
        <x:v>In stock</x:v>
      </x:c>
      <x:c r="L2693" t="str">
        <x:v>2026-09-08</x:v>
      </x:c>
      <x:c r="M2693" t="str"/>
      <x:c r="N2693" t="str"/>
      <x:c r="O2693" t="str">
        <x:v>https://www.activesportstrade.co.uk/hydration-supplements-trade</x:v>
      </x:c>
      <x:c r="P2693" t="str">
        <x:v>FREE SHAKER/CREATINE supplier promotion stripped; freshest hydration page stock used.</x:v>
      </x:c>
      <x:c r="Q2693" t="str"/>
      <x:c r="R2693" t="str"/>
      <x:c r="S2693" t="str">
        <x:v>Pending genuine supplier/brand image</x:v>
      </x:c>
      <x:c r="T2693" s="54"/>
      <x:c r="U2693" s="47" t="n">
        <x:v>0.2</x:v>
      </x:c>
      <x:c r="V2693" s="54" t="str">
        <x:f>IF(ISNUMBER(T2693),T2693*(1+U2693),"")</x:f>
      </x:c>
      <x:c r="W2693" s="47" t="n">
        <x:v>0.3</x:v>
      </x:c>
      <x:c r="X2693" s="54" t="str">
        <x:f>IF(ISNUMBER(V2693),V2693/(1-W2693),"")</x:f>
      </x:c>
      <x:c r="Y2693" s="55" t="str">
        <x:f>IF(ISNUMBER(X2693),ROUNDUP(X2693,0),"")</x:f>
      </x:c>
      <x:c r="Z2693" t="str">
        <x:f>IF(ISNUMBER(T2693),"Cost captured","Awaiting trade cost")</x:f>
        <x:v>Awaiting trade cost</x:v>
      </x:c>
      <x:c r="AB2693" s="36" t="str">
        <x:f>IF(ISNUMBER(Y2693),ROUND(Y2693*0.9,2),"")</x:f>
      </x:c>
      <x:c r="AC2693" s="36" t="str">
        <x:f>IF(ISNUMBER(AB2693),ROUND(AB2693-(AB2693*0.015+0.2)-V2693,2),"")</x:f>
      </x:c>
      <x:c r="AD2693" s="36" t="str">
        <x:f>IF(ISNUMBER(Y2693),ROUND(Y2693*0.8,2),"")</x:f>
      </x:c>
      <x:c r="AE2693" s="36" t="str">
        <x:f>IF(ISNUMBER(AD2693),ROUND(AD2693*0.015+0.2,2),"")</x:f>
      </x:c>
      <x:c r="AF2693" s="36" t="str">
        <x:f>IF(ISNUMBER(AD2693),ROUND(AD2693-AE2693-V2693,2),"")</x:f>
      </x:c>
      <x:c r="AG2693" t="str">
        <x:f>IF(NOT(ISNUMBER(T2693)),"PENDING",IF(AF2693&gt;0,"PASS","FAIL"))</x:f>
        <x:v>PENDING</x:v>
      </x:c>
      <x:c r="AH2693" t="str">
        <x:f>IF(NOT(ISNUMBER(T2693)),"Needs supplier cost",IF(K2693&lt;&gt;"In stock","Supplier unavailable",IF(AG2693&lt;&gt;"PASS","BLOCK - GT loss risk","Commercially protected")))</x:f>
        <x:v>Needs supplier cost</x:v>
      </x:c>
      <x:c r="AI2693" t="str">
        <x:v>2026-09-10 Active Sports trade capture</x:v>
      </x:c>
      <x:c r="AJ2693" t="str">
        <x:v>Management-only economics. Stripe stress test uses 1.5% + £0.20 standard UK online-card fee; pallet/mix-and-match pricing ignored.</x:v>
      </x:c>
    </x:row>
    <x:row r="2694">
      <x:c r="A2694" t="str">
        <x:v>Active Sports Nutrition</x:v>
      </x:c>
      <x:c r="B2694" t="str">
        <x:v>Per4m Nutrition</x:v>
      </x:c>
      <x:c r="C2694" t="str">
        <x:v>Hydrate</x:v>
      </x:c>
      <x:c r="D2694" t="str">
        <x:v>Supplements</x:v>
      </x:c>
      <x:c r="E2694" t="str">
        <x:v>Hydration</x:v>
      </x:c>
      <x:c r="F2694" t="str"/>
      <x:c r="G2694" t="str">
        <x:v>30 servings</x:v>
      </x:c>
      <x:c r="H2694" t="str">
        <x:v>Cherry Fizz</x:v>
      </x:c>
      <x:c r="I2694" t="str"/>
      <x:c r="J2694" t="str">
        <x:v>Unit</x:v>
      </x:c>
      <x:c r="K2694" t="str">
        <x:v>In stock</x:v>
      </x:c>
      <x:c r="L2694" t="str">
        <x:v>2026-09-08</x:v>
      </x:c>
      <x:c r="M2694" t="str"/>
      <x:c r="N2694" t="str"/>
      <x:c r="O2694" t="str">
        <x:v>https://www.activesportstrade.co.uk/hydration-supplements-trade</x:v>
      </x:c>
      <x:c r="P2694" t="str">
        <x:v>FREE SHAKER/CREATINE supplier promotion stripped; freshest hydration page stock used.</x:v>
      </x:c>
      <x:c r="Q2694" t="str"/>
      <x:c r="R2694" t="str"/>
      <x:c r="S2694" t="str">
        <x:v>Pending genuine supplier/brand image</x:v>
      </x:c>
      <x:c r="T2694" s="54"/>
      <x:c r="U2694" s="47" t="n">
        <x:v>0.2</x:v>
      </x:c>
      <x:c r="V2694" s="54" t="str">
        <x:f>IF(ISNUMBER(T2694),T2694*(1+U2694),"")</x:f>
      </x:c>
      <x:c r="W2694" s="47" t="n">
        <x:v>0.3</x:v>
      </x:c>
      <x:c r="X2694" s="54" t="str">
        <x:f>IF(ISNUMBER(V2694),V2694/(1-W2694),"")</x:f>
      </x:c>
      <x:c r="Y2694" s="55" t="str">
        <x:f>IF(ISNUMBER(X2694),ROUNDUP(X2694,0),"")</x:f>
      </x:c>
      <x:c r="Z2694" t="str">
        <x:f>IF(ISNUMBER(T2694),"Cost captured","Awaiting trade cost")</x:f>
        <x:v>Awaiting trade cost</x:v>
      </x:c>
      <x:c r="AB2694" s="36" t="str">
        <x:f>IF(ISNUMBER(Y2694),ROUND(Y2694*0.9,2),"")</x:f>
      </x:c>
      <x:c r="AC2694" s="36" t="str">
        <x:f>IF(ISNUMBER(AB2694),ROUND(AB2694-(AB2694*0.015+0.2)-V2694,2),"")</x:f>
      </x:c>
      <x:c r="AD2694" s="36" t="str">
        <x:f>IF(ISNUMBER(Y2694),ROUND(Y2694*0.8,2),"")</x:f>
      </x:c>
      <x:c r="AE2694" s="36" t="str">
        <x:f>IF(ISNUMBER(AD2694),ROUND(AD2694*0.015+0.2,2),"")</x:f>
      </x:c>
      <x:c r="AF2694" s="36" t="str">
        <x:f>IF(ISNUMBER(AD2694),ROUND(AD2694-AE2694-V2694,2),"")</x:f>
      </x:c>
      <x:c r="AG2694" t="str">
        <x:f>IF(NOT(ISNUMBER(T2694)),"PENDING",IF(AF2694&gt;0,"PASS","FAIL"))</x:f>
        <x:v>PENDING</x:v>
      </x:c>
      <x:c r="AH2694" t="str">
        <x:f>IF(NOT(ISNUMBER(T2694)),"Needs supplier cost",IF(K2694&lt;&gt;"In stock","Supplier unavailable",IF(AG2694&lt;&gt;"PASS","BLOCK - GT loss risk","Commercially protected")))</x:f>
        <x:v>Needs supplier cost</x:v>
      </x:c>
      <x:c r="AI2694" t="str">
        <x:v>2026-09-10 Active Sports trade capture</x:v>
      </x:c>
      <x:c r="AJ2694" t="str">
        <x:v>Management-only economics. Stripe stress test uses 1.5% + £0.20 standard UK online-card fee; pallet/mix-and-match pricing ignored.</x:v>
      </x:c>
    </x:row>
    <x:row r="2695">
      <x:c r="A2695" t="str">
        <x:v>Active Sports Nutrition</x:v>
      </x:c>
      <x:c r="B2695" t="str">
        <x:v>Per4m Nutrition</x:v>
      </x:c>
      <x:c r="C2695" t="str">
        <x:v>Hydrate</x:v>
      </x:c>
      <x:c r="D2695" t="str">
        <x:v>Supplements</x:v>
      </x:c>
      <x:c r="E2695" t="str">
        <x:v>Hydration</x:v>
      </x:c>
      <x:c r="F2695" t="str"/>
      <x:c r="G2695" t="str">
        <x:v>30 servings</x:v>
      </x:c>
      <x:c r="H2695" t="str">
        <x:v>Citrus Burst</x:v>
      </x:c>
      <x:c r="I2695" t="str"/>
      <x:c r="J2695" t="str">
        <x:v>Unit</x:v>
      </x:c>
      <x:c r="K2695" t="str">
        <x:v>In stock</x:v>
      </x:c>
      <x:c r="L2695" t="str">
        <x:v>2026-09-08</x:v>
      </x:c>
      <x:c r="M2695" t="str"/>
      <x:c r="N2695" t="str"/>
      <x:c r="O2695" t="str">
        <x:v>https://www.activesportstrade.co.uk/hydration-supplements-trade</x:v>
      </x:c>
      <x:c r="P2695" t="str">
        <x:v>FREE SHAKER/CREATINE supplier promotion stripped; freshest hydration page stock used.</x:v>
      </x:c>
      <x:c r="Q2695" t="str"/>
      <x:c r="R2695" t="str"/>
      <x:c r="S2695" t="str">
        <x:v>Pending genuine supplier/brand image</x:v>
      </x:c>
      <x:c r="T2695" s="54"/>
      <x:c r="U2695" s="47" t="n">
        <x:v>0.2</x:v>
      </x:c>
      <x:c r="V2695" s="54" t="str">
        <x:f>IF(ISNUMBER(T2695),T2695*(1+U2695),"")</x:f>
      </x:c>
      <x:c r="W2695" s="47" t="n">
        <x:v>0.3</x:v>
      </x:c>
      <x:c r="X2695" s="54" t="str">
        <x:f>IF(ISNUMBER(V2695),V2695/(1-W2695),"")</x:f>
      </x:c>
      <x:c r="Y2695" s="55" t="str">
        <x:f>IF(ISNUMBER(X2695),ROUNDUP(X2695,0),"")</x:f>
      </x:c>
      <x:c r="Z2695" t="str">
        <x:f>IF(ISNUMBER(T2695),"Cost captured","Awaiting trade cost")</x:f>
        <x:v>Awaiting trade cost</x:v>
      </x:c>
      <x:c r="AB2695" s="36" t="str">
        <x:f>IF(ISNUMBER(Y2695),ROUND(Y2695*0.9,2),"")</x:f>
      </x:c>
      <x:c r="AC2695" s="36" t="str">
        <x:f>IF(ISNUMBER(AB2695),ROUND(AB2695-(AB2695*0.015+0.2)-V2695,2),"")</x:f>
      </x:c>
      <x:c r="AD2695" s="36" t="str">
        <x:f>IF(ISNUMBER(Y2695),ROUND(Y2695*0.8,2),"")</x:f>
      </x:c>
      <x:c r="AE2695" s="36" t="str">
        <x:f>IF(ISNUMBER(AD2695),ROUND(AD2695*0.015+0.2,2),"")</x:f>
      </x:c>
      <x:c r="AF2695" s="36" t="str">
        <x:f>IF(ISNUMBER(AD2695),ROUND(AD2695-AE2695-V2695,2),"")</x:f>
      </x:c>
      <x:c r="AG2695" t="str">
        <x:f>IF(NOT(ISNUMBER(T2695)),"PENDING",IF(AF2695&gt;0,"PASS","FAIL"))</x:f>
        <x:v>PENDING</x:v>
      </x:c>
      <x:c r="AH2695" t="str">
        <x:f>IF(NOT(ISNUMBER(T2695)),"Needs supplier cost",IF(K2695&lt;&gt;"In stock","Supplier unavailable",IF(AG2695&lt;&gt;"PASS","BLOCK - GT loss risk","Commercially protected")))</x:f>
        <x:v>Needs supplier cost</x:v>
      </x:c>
      <x:c r="AI2695" t="str">
        <x:v>2026-09-10 Active Sports trade capture</x:v>
      </x:c>
      <x:c r="AJ2695" t="str">
        <x:v>Management-only economics. Stripe stress test uses 1.5% + £0.20 standard UK online-card fee; pallet/mix-and-match pricing ignored.</x:v>
      </x:c>
    </x:row>
    <x:row r="2696">
      <x:c r="A2696" t="str">
        <x:v>Active Sports Nutrition</x:v>
      </x:c>
      <x:c r="B2696" t="str">
        <x:v>Per4m Nutrition</x:v>
      </x:c>
      <x:c r="C2696" t="str">
        <x:v>Hydrate</x:v>
      </x:c>
      <x:c r="D2696" t="str">
        <x:v>Supplements</x:v>
      </x:c>
      <x:c r="E2696" t="str">
        <x:v>Hydration</x:v>
      </x:c>
      <x:c r="F2696" t="str"/>
      <x:c r="G2696" t="str">
        <x:v>30 servings</x:v>
      </x:c>
      <x:c r="H2696" t="str">
        <x:v>Coconut</x:v>
      </x:c>
      <x:c r="I2696" t="str"/>
      <x:c r="J2696" t="str">
        <x:v>Unit</x:v>
      </x:c>
      <x:c r="K2696" t="str">
        <x:v>In stock</x:v>
      </x:c>
      <x:c r="L2696" t="str">
        <x:v>2026-09-08</x:v>
      </x:c>
      <x:c r="M2696" t="str"/>
      <x:c r="N2696" t="str"/>
      <x:c r="O2696" t="str">
        <x:v>https://www.activesportstrade.co.uk/hydration-supplements-trade</x:v>
      </x:c>
      <x:c r="P2696" t="str">
        <x:v>FREE SHAKER/CREATINE supplier promotion stripped; freshest hydration page stock used.</x:v>
      </x:c>
      <x:c r="Q2696" t="str"/>
      <x:c r="R2696" t="str"/>
      <x:c r="S2696" t="str">
        <x:v>Pending genuine supplier/brand image</x:v>
      </x:c>
      <x:c r="T2696" s="54"/>
      <x:c r="U2696" s="47" t="n">
        <x:v>0.2</x:v>
      </x:c>
      <x:c r="V2696" s="54" t="str">
        <x:f>IF(ISNUMBER(T2696),T2696*(1+U2696),"")</x:f>
      </x:c>
      <x:c r="W2696" s="47" t="n">
        <x:v>0.3</x:v>
      </x:c>
      <x:c r="X2696" s="54" t="str">
        <x:f>IF(ISNUMBER(V2696),V2696/(1-W2696),"")</x:f>
      </x:c>
      <x:c r="Y2696" s="55" t="str">
        <x:f>IF(ISNUMBER(X2696),ROUNDUP(X2696,0),"")</x:f>
      </x:c>
      <x:c r="Z2696" t="str">
        <x:f>IF(ISNUMBER(T2696),"Cost captured","Awaiting trade cost")</x:f>
        <x:v>Awaiting trade cost</x:v>
      </x:c>
      <x:c r="AB2696" s="36" t="str">
        <x:f>IF(ISNUMBER(Y2696),ROUND(Y2696*0.9,2),"")</x:f>
      </x:c>
      <x:c r="AC2696" s="36" t="str">
        <x:f>IF(ISNUMBER(AB2696),ROUND(AB2696-(AB2696*0.015+0.2)-V2696,2),"")</x:f>
      </x:c>
      <x:c r="AD2696" s="36" t="str">
        <x:f>IF(ISNUMBER(Y2696),ROUND(Y2696*0.8,2),"")</x:f>
      </x:c>
      <x:c r="AE2696" s="36" t="str">
        <x:f>IF(ISNUMBER(AD2696),ROUND(AD2696*0.015+0.2,2),"")</x:f>
      </x:c>
      <x:c r="AF2696" s="36" t="str">
        <x:f>IF(ISNUMBER(AD2696),ROUND(AD2696-AE2696-V2696,2),"")</x:f>
      </x:c>
      <x:c r="AG2696" t="str">
        <x:f>IF(NOT(ISNUMBER(T2696)),"PENDING",IF(AF2696&gt;0,"PASS","FAIL"))</x:f>
        <x:v>PENDING</x:v>
      </x:c>
      <x:c r="AH2696" t="str">
        <x:f>IF(NOT(ISNUMBER(T2696)),"Needs supplier cost",IF(K2696&lt;&gt;"In stock","Supplier unavailable",IF(AG2696&lt;&gt;"PASS","BLOCK - GT loss risk","Commercially protected")))</x:f>
        <x:v>Needs supplier cost</x:v>
      </x:c>
      <x:c r="AI2696" t="str">
        <x:v>2026-09-10 Active Sports trade capture</x:v>
      </x:c>
      <x:c r="AJ2696" t="str">
        <x:v>Management-only economics. Stripe stress test uses 1.5% + £0.20 standard UK online-card fee; pallet/mix-and-match pricing ignored.</x:v>
      </x:c>
    </x:row>
    <x:row r="2697">
      <x:c r="A2697" t="str">
        <x:v>Active Sports Nutrition</x:v>
      </x:c>
      <x:c r="B2697" t="str">
        <x:v>Per4m Nutrition</x:v>
      </x:c>
      <x:c r="C2697" t="str">
        <x:v>Hydrate</x:v>
      </x:c>
      <x:c r="D2697" t="str">
        <x:v>Supplements</x:v>
      </x:c>
      <x:c r="E2697" t="str">
        <x:v>Hydration</x:v>
      </x:c>
      <x:c r="F2697" t="str"/>
      <x:c r="G2697" t="str">
        <x:v>30 servings</x:v>
      </x:c>
      <x:c r="H2697" t="str">
        <x:v>Coconut Watermelon</x:v>
      </x:c>
      <x:c r="I2697" t="str"/>
      <x:c r="J2697" t="str">
        <x:v>Unit</x:v>
      </x:c>
      <x:c r="K2697" t="str">
        <x:v>In stock</x:v>
      </x:c>
      <x:c r="L2697" t="str">
        <x:v>2026-09-08</x:v>
      </x:c>
      <x:c r="M2697" t="str"/>
      <x:c r="N2697" t="str"/>
      <x:c r="O2697" t="str">
        <x:v>https://www.activesportstrade.co.uk/hydration-supplements-trade</x:v>
      </x:c>
      <x:c r="P2697" t="str">
        <x:v>FREE SHAKER/CREATINE supplier promotion stripped; freshest hydration page stock used.</x:v>
      </x:c>
      <x:c r="Q2697" t="str"/>
      <x:c r="R2697" t="str"/>
      <x:c r="S2697" t="str">
        <x:v>Pending genuine supplier/brand image</x:v>
      </x:c>
      <x:c r="T2697" s="54"/>
      <x:c r="U2697" s="47" t="n">
        <x:v>0.2</x:v>
      </x:c>
      <x:c r="V2697" s="54" t="str">
        <x:f>IF(ISNUMBER(T2697),T2697*(1+U2697),"")</x:f>
      </x:c>
      <x:c r="W2697" s="47" t="n">
        <x:v>0.3</x:v>
      </x:c>
      <x:c r="X2697" s="54" t="str">
        <x:f>IF(ISNUMBER(V2697),V2697/(1-W2697),"")</x:f>
      </x:c>
      <x:c r="Y2697" s="55" t="str">
        <x:f>IF(ISNUMBER(X2697),ROUNDUP(X2697,0),"")</x:f>
      </x:c>
      <x:c r="Z2697" t="str">
        <x:f>IF(ISNUMBER(T2697),"Cost captured","Awaiting trade cost")</x:f>
        <x:v>Awaiting trade cost</x:v>
      </x:c>
      <x:c r="AB2697" s="36" t="str">
        <x:f>IF(ISNUMBER(Y2697),ROUND(Y2697*0.9,2),"")</x:f>
      </x:c>
      <x:c r="AC2697" s="36" t="str">
        <x:f>IF(ISNUMBER(AB2697),ROUND(AB2697-(AB2697*0.015+0.2)-V2697,2),"")</x:f>
      </x:c>
      <x:c r="AD2697" s="36" t="str">
        <x:f>IF(ISNUMBER(Y2697),ROUND(Y2697*0.8,2),"")</x:f>
      </x:c>
      <x:c r="AE2697" s="36" t="str">
        <x:f>IF(ISNUMBER(AD2697),ROUND(AD2697*0.015+0.2,2),"")</x:f>
      </x:c>
      <x:c r="AF2697" s="36" t="str">
        <x:f>IF(ISNUMBER(AD2697),ROUND(AD2697-AE2697-V2697,2),"")</x:f>
      </x:c>
      <x:c r="AG2697" t="str">
        <x:f>IF(NOT(ISNUMBER(T2697)),"PENDING",IF(AF2697&gt;0,"PASS","FAIL"))</x:f>
        <x:v>PENDING</x:v>
      </x:c>
      <x:c r="AH2697" t="str">
        <x:f>IF(NOT(ISNUMBER(T2697)),"Needs supplier cost",IF(K2697&lt;&gt;"In stock","Supplier unavailable",IF(AG2697&lt;&gt;"PASS","BLOCK - GT loss risk","Commercially protected")))</x:f>
        <x:v>Needs supplier cost</x:v>
      </x:c>
      <x:c r="AI2697" t="str">
        <x:v>2026-09-10 Active Sports trade capture</x:v>
      </x:c>
      <x:c r="AJ2697" t="str">
        <x:v>Management-only economics. Stripe stress test uses 1.5% + £0.20 standard UK online-card fee; pallet/mix-and-match pricing ignored.</x:v>
      </x:c>
    </x:row>
    <x:row r="2698">
      <x:c r="A2698" t="str">
        <x:v>Active Sports Nutrition</x:v>
      </x:c>
      <x:c r="B2698" t="str">
        <x:v>Per4m Nutrition</x:v>
      </x:c>
      <x:c r="C2698" t="str">
        <x:v>Hydrate</x:v>
      </x:c>
      <x:c r="D2698" t="str">
        <x:v>Supplements</x:v>
      </x:c>
      <x:c r="E2698" t="str">
        <x:v>Hydration</x:v>
      </x:c>
      <x:c r="F2698" t="str"/>
      <x:c r="G2698" t="str">
        <x:v>30 servings</x:v>
      </x:c>
      <x:c r="H2698" t="str">
        <x:v>Cola Bottles</x:v>
      </x:c>
      <x:c r="I2698" t="str"/>
      <x:c r="J2698" t="str">
        <x:v>Unit</x:v>
      </x:c>
      <x:c r="K2698" t="str">
        <x:v>Out of stock</x:v>
      </x:c>
      <x:c r="L2698" t="str">
        <x:v>2026-09-08</x:v>
      </x:c>
      <x:c r="M2698" t="str"/>
      <x:c r="N2698" t="str"/>
      <x:c r="O2698" t="str">
        <x:v>https://www.activesportstrade.co.uk/hydration-supplements-trade</x:v>
      </x:c>
      <x:c r="P2698" t="str">
        <x:v>FREE SHAKER/CREATINE supplier promotion stripped; freshest hydration page stock used.</x:v>
      </x:c>
      <x:c r="Q2698" t="str"/>
      <x:c r="R2698" t="str"/>
      <x:c r="S2698" t="str">
        <x:v>Pending genuine supplier/brand image</x:v>
      </x:c>
      <x:c r="T2698" s="54"/>
      <x:c r="U2698" s="47" t="n">
        <x:v>0.2</x:v>
      </x:c>
      <x:c r="V2698" s="54" t="str">
        <x:f>IF(ISNUMBER(T2698),T2698*(1+U2698),"")</x:f>
      </x:c>
      <x:c r="W2698" s="47" t="n">
        <x:v>0.3</x:v>
      </x:c>
      <x:c r="X2698" s="54" t="str">
        <x:f>IF(ISNUMBER(V2698),V2698/(1-W2698),"")</x:f>
      </x:c>
      <x:c r="Y2698" s="55" t="str">
        <x:f>IF(ISNUMBER(X2698),ROUNDUP(X2698,0),"")</x:f>
      </x:c>
      <x:c r="Z2698" t="str">
        <x:f>IF(ISNUMBER(T2698),"Cost captured","Awaiting trade cost")</x:f>
        <x:v>Awaiting trade cost</x:v>
      </x:c>
      <x:c r="AB2698" s="36" t="str">
        <x:f>IF(ISNUMBER(Y2698),ROUND(Y2698*0.9,2),"")</x:f>
      </x:c>
      <x:c r="AC2698" s="36" t="str">
        <x:f>IF(ISNUMBER(AB2698),ROUND(AB2698-(AB2698*0.015+0.2)-V2698,2),"")</x:f>
      </x:c>
      <x:c r="AD2698" s="36" t="str">
        <x:f>IF(ISNUMBER(Y2698),ROUND(Y2698*0.8,2),"")</x:f>
      </x:c>
      <x:c r="AE2698" s="36" t="str">
        <x:f>IF(ISNUMBER(AD2698),ROUND(AD2698*0.015+0.2,2),"")</x:f>
      </x:c>
      <x:c r="AF2698" s="36" t="str">
        <x:f>IF(ISNUMBER(AD2698),ROUND(AD2698-AE2698-V2698,2),"")</x:f>
      </x:c>
      <x:c r="AG2698" t="str">
        <x:f>IF(NOT(ISNUMBER(T2698)),"PENDING",IF(AF2698&gt;0,"PASS","FAIL"))</x:f>
        <x:v>PENDING</x:v>
      </x:c>
      <x:c r="AH2698" t="str">
        <x:f>IF(NOT(ISNUMBER(T2698)),"Needs supplier cost",IF(K2698&lt;&gt;"In stock","Supplier unavailable",IF(AG2698&lt;&gt;"PASS","BLOCK - GT loss risk","Commercially protected")))</x:f>
        <x:v>Needs supplier cost</x:v>
      </x:c>
      <x:c r="AI2698" t="str">
        <x:v>2026-09-10 Active Sports trade capture</x:v>
      </x:c>
      <x:c r="AJ2698" t="str">
        <x:v>Management-only economics. Stripe stress test uses 1.5% + £0.20 standard UK online-card fee; pallet/mix-and-match pricing ignored.</x:v>
      </x:c>
    </x:row>
    <x:row r="2699">
      <x:c r="A2699" t="str">
        <x:v>Active Sports Nutrition</x:v>
      </x:c>
      <x:c r="B2699" t="str">
        <x:v>Per4m Nutrition</x:v>
      </x:c>
      <x:c r="C2699" t="str">
        <x:v>Hydrate</x:v>
      </x:c>
      <x:c r="D2699" t="str">
        <x:v>Supplements</x:v>
      </x:c>
      <x:c r="E2699" t="str">
        <x:v>Hydration</x:v>
      </x:c>
      <x:c r="F2699" t="str"/>
      <x:c r="G2699" t="str">
        <x:v>30 servings</x:v>
      </x:c>
      <x:c r="H2699" t="str">
        <x:v>Fizzy Bubblegum Bottles</x:v>
      </x:c>
      <x:c r="I2699" t="str"/>
      <x:c r="J2699" t="str">
        <x:v>Unit</x:v>
      </x:c>
      <x:c r="K2699" t="str">
        <x:v>In stock</x:v>
      </x:c>
      <x:c r="L2699" t="str">
        <x:v>2026-09-08</x:v>
      </x:c>
      <x:c r="M2699" t="str"/>
      <x:c r="N2699" t="str"/>
      <x:c r="O2699" t="str">
        <x:v>https://www.activesportstrade.co.uk/hydration-supplements-trade</x:v>
      </x:c>
      <x:c r="P2699" t="str">
        <x:v>FREE SHAKER/CREATINE supplier promotion stripped; freshest hydration page stock used.</x:v>
      </x:c>
      <x:c r="Q2699" t="str"/>
      <x:c r="R2699" t="str"/>
      <x:c r="S2699" t="str">
        <x:v>Pending genuine supplier/brand image</x:v>
      </x:c>
      <x:c r="T2699" s="54"/>
      <x:c r="U2699" s="47" t="n">
        <x:v>0.2</x:v>
      </x:c>
      <x:c r="V2699" s="54" t="str">
        <x:f>IF(ISNUMBER(T2699),T2699*(1+U2699),"")</x:f>
      </x:c>
      <x:c r="W2699" s="47" t="n">
        <x:v>0.3</x:v>
      </x:c>
      <x:c r="X2699" s="54" t="str">
        <x:f>IF(ISNUMBER(V2699),V2699/(1-W2699),"")</x:f>
      </x:c>
      <x:c r="Y2699" s="55" t="str">
        <x:f>IF(ISNUMBER(X2699),ROUNDUP(X2699,0),"")</x:f>
      </x:c>
      <x:c r="Z2699" t="str">
        <x:f>IF(ISNUMBER(T2699),"Cost captured","Awaiting trade cost")</x:f>
        <x:v>Awaiting trade cost</x:v>
      </x:c>
      <x:c r="AB2699" s="36" t="str">
        <x:f>IF(ISNUMBER(Y2699),ROUND(Y2699*0.9,2),"")</x:f>
      </x:c>
      <x:c r="AC2699" s="36" t="str">
        <x:f>IF(ISNUMBER(AB2699),ROUND(AB2699-(AB2699*0.015+0.2)-V2699,2),"")</x:f>
      </x:c>
      <x:c r="AD2699" s="36" t="str">
        <x:f>IF(ISNUMBER(Y2699),ROUND(Y2699*0.8,2),"")</x:f>
      </x:c>
      <x:c r="AE2699" s="36" t="str">
        <x:f>IF(ISNUMBER(AD2699),ROUND(AD2699*0.015+0.2,2),"")</x:f>
      </x:c>
      <x:c r="AF2699" s="36" t="str">
        <x:f>IF(ISNUMBER(AD2699),ROUND(AD2699-AE2699-V2699,2),"")</x:f>
      </x:c>
      <x:c r="AG2699" t="str">
        <x:f>IF(NOT(ISNUMBER(T2699)),"PENDING",IF(AF2699&gt;0,"PASS","FAIL"))</x:f>
        <x:v>PENDING</x:v>
      </x:c>
      <x:c r="AH2699" t="str">
        <x:f>IF(NOT(ISNUMBER(T2699)),"Needs supplier cost",IF(K2699&lt;&gt;"In stock","Supplier unavailable",IF(AG2699&lt;&gt;"PASS","BLOCK - GT loss risk","Commercially protected")))</x:f>
        <x:v>Needs supplier cost</x:v>
      </x:c>
      <x:c r="AI2699" t="str">
        <x:v>2026-09-10 Active Sports trade capture</x:v>
      </x:c>
      <x:c r="AJ2699" t="str">
        <x:v>Management-only economics. Stripe stress test uses 1.5% + £0.20 standard UK online-card fee; pallet/mix-and-match pricing ignored.</x:v>
      </x:c>
    </x:row>
    <x:row r="2700">
      <x:c r="A2700" t="str">
        <x:v>Active Sports Nutrition</x:v>
      </x:c>
      <x:c r="B2700" t="str">
        <x:v>Per4m Nutrition</x:v>
      </x:c>
      <x:c r="C2700" t="str">
        <x:v>Hydrate</x:v>
      </x:c>
      <x:c r="D2700" t="str">
        <x:v>Supplements</x:v>
      </x:c>
      <x:c r="E2700" t="str">
        <x:v>Hydration</x:v>
      </x:c>
      <x:c r="F2700" t="str"/>
      <x:c r="G2700" t="str">
        <x:v>30 servings</x:v>
      </x:c>
      <x:c r="H2700" t="str">
        <x:v>Gummy Worms</x:v>
      </x:c>
      <x:c r="I2700" t="str"/>
      <x:c r="J2700" t="str">
        <x:v>Unit</x:v>
      </x:c>
      <x:c r="K2700" t="str">
        <x:v>In stock</x:v>
      </x:c>
      <x:c r="L2700" t="str">
        <x:v>2026-09-08</x:v>
      </x:c>
      <x:c r="M2700" t="str"/>
      <x:c r="N2700" t="str"/>
      <x:c r="O2700" t="str">
        <x:v>https://www.activesportstrade.co.uk/hydration-supplements-trade</x:v>
      </x:c>
      <x:c r="P2700" t="str">
        <x:v>FREE SHAKER/CREATINE supplier promotion stripped; freshest hydration page stock used.</x:v>
      </x:c>
      <x:c r="Q2700" t="str"/>
      <x:c r="R2700" t="str"/>
      <x:c r="S2700" t="str">
        <x:v>Pending genuine supplier/brand image</x:v>
      </x:c>
      <x:c r="T2700" s="54"/>
      <x:c r="U2700" s="47" t="n">
        <x:v>0.2</x:v>
      </x:c>
      <x:c r="V2700" s="54" t="str">
        <x:f>IF(ISNUMBER(T2700),T2700*(1+U2700),"")</x:f>
      </x:c>
      <x:c r="W2700" s="47" t="n">
        <x:v>0.3</x:v>
      </x:c>
      <x:c r="X2700" s="54" t="str">
        <x:f>IF(ISNUMBER(V2700),V2700/(1-W2700),"")</x:f>
      </x:c>
      <x:c r="Y2700" s="55" t="str">
        <x:f>IF(ISNUMBER(X2700),ROUNDUP(X2700,0),"")</x:f>
      </x:c>
      <x:c r="Z2700" t="str">
        <x:f>IF(ISNUMBER(T2700),"Cost captured","Awaiting trade cost")</x:f>
        <x:v>Awaiting trade cost</x:v>
      </x:c>
      <x:c r="AB2700" s="36" t="str">
        <x:f>IF(ISNUMBER(Y2700),ROUND(Y2700*0.9,2),"")</x:f>
      </x:c>
      <x:c r="AC2700" s="36" t="str">
        <x:f>IF(ISNUMBER(AB2700),ROUND(AB2700-(AB2700*0.015+0.2)-V2700,2),"")</x:f>
      </x:c>
      <x:c r="AD2700" s="36" t="str">
        <x:f>IF(ISNUMBER(Y2700),ROUND(Y2700*0.8,2),"")</x:f>
      </x:c>
      <x:c r="AE2700" s="36" t="str">
        <x:f>IF(ISNUMBER(AD2700),ROUND(AD2700*0.015+0.2,2),"")</x:f>
      </x:c>
      <x:c r="AF2700" s="36" t="str">
        <x:f>IF(ISNUMBER(AD2700),ROUND(AD2700-AE2700-V2700,2),"")</x:f>
      </x:c>
      <x:c r="AG2700" t="str">
        <x:f>IF(NOT(ISNUMBER(T2700)),"PENDING",IF(AF2700&gt;0,"PASS","FAIL"))</x:f>
        <x:v>PENDING</x:v>
      </x:c>
      <x:c r="AH2700" t="str">
        <x:f>IF(NOT(ISNUMBER(T2700)),"Needs supplier cost",IF(K2700&lt;&gt;"In stock","Supplier unavailable",IF(AG2700&lt;&gt;"PASS","BLOCK - GT loss risk","Commercially protected")))</x:f>
        <x:v>Needs supplier cost</x:v>
      </x:c>
      <x:c r="AI2700" t="str">
        <x:v>2026-09-10 Active Sports trade capture</x:v>
      </x:c>
      <x:c r="AJ2700" t="str">
        <x:v>Management-only economics. Stripe stress test uses 1.5% + £0.20 standard UK online-card fee; pallet/mix-and-match pricing ignored.</x:v>
      </x:c>
    </x:row>
    <x:row r="2701">
      <x:c r="A2701" t="str">
        <x:v>Active Sports Nutrition</x:v>
      </x:c>
      <x:c r="B2701" t="str">
        <x:v>Per4m Nutrition</x:v>
      </x:c>
      <x:c r="C2701" t="str">
        <x:v>Hydrate</x:v>
      </x:c>
      <x:c r="D2701" t="str">
        <x:v>Supplements</x:v>
      </x:c>
      <x:c r="E2701" t="str">
        <x:v>Hydration</x:v>
      </x:c>
      <x:c r="F2701" t="str"/>
      <x:c r="G2701" t="str">
        <x:v>30 servings</x:v>
      </x:c>
      <x:c r="H2701" t="str">
        <x:v>Lemon Sherbet Fizz</x:v>
      </x:c>
      <x:c r="I2701" t="str"/>
      <x:c r="J2701" t="str">
        <x:v>Unit</x:v>
      </x:c>
      <x:c r="K2701" t="str">
        <x:v>In stock</x:v>
      </x:c>
      <x:c r="L2701" t="str">
        <x:v>2026-09-08</x:v>
      </x:c>
      <x:c r="M2701" t="str"/>
      <x:c r="N2701" t="str"/>
      <x:c r="O2701" t="str">
        <x:v>https://www.activesportstrade.co.uk/hydration-supplements-trade</x:v>
      </x:c>
      <x:c r="P2701" t="str">
        <x:v>FREE SHAKER/CREATINE supplier promotion stripped; freshest hydration page stock used.</x:v>
      </x:c>
      <x:c r="Q2701" t="str"/>
      <x:c r="R2701" t="str"/>
      <x:c r="S2701" t="str">
        <x:v>Pending genuine supplier/brand image</x:v>
      </x:c>
      <x:c r="T2701" s="54"/>
      <x:c r="U2701" s="47" t="n">
        <x:v>0.2</x:v>
      </x:c>
      <x:c r="V2701" s="54" t="str">
        <x:f>IF(ISNUMBER(T2701),T2701*(1+U2701),"")</x:f>
      </x:c>
      <x:c r="W2701" s="47" t="n">
        <x:v>0.3</x:v>
      </x:c>
      <x:c r="X2701" s="54" t="str">
        <x:f>IF(ISNUMBER(V2701),V2701/(1-W2701),"")</x:f>
      </x:c>
      <x:c r="Y2701" s="55" t="str">
        <x:f>IF(ISNUMBER(X2701),ROUNDUP(X2701,0),"")</x:f>
      </x:c>
      <x:c r="Z2701" t="str">
        <x:f>IF(ISNUMBER(T2701),"Cost captured","Awaiting trade cost")</x:f>
        <x:v>Awaiting trade cost</x:v>
      </x:c>
      <x:c r="AB2701" s="36" t="str">
        <x:f>IF(ISNUMBER(Y2701),ROUND(Y2701*0.9,2),"")</x:f>
      </x:c>
      <x:c r="AC2701" s="36" t="str">
        <x:f>IF(ISNUMBER(AB2701),ROUND(AB2701-(AB2701*0.015+0.2)-V2701,2),"")</x:f>
      </x:c>
      <x:c r="AD2701" s="36" t="str">
        <x:f>IF(ISNUMBER(Y2701),ROUND(Y2701*0.8,2),"")</x:f>
      </x:c>
      <x:c r="AE2701" s="36" t="str">
        <x:f>IF(ISNUMBER(AD2701),ROUND(AD2701*0.015+0.2,2),"")</x:f>
      </x:c>
      <x:c r="AF2701" s="36" t="str">
        <x:f>IF(ISNUMBER(AD2701),ROUND(AD2701-AE2701-V2701,2),"")</x:f>
      </x:c>
      <x:c r="AG2701" t="str">
        <x:f>IF(NOT(ISNUMBER(T2701)),"PENDING",IF(AF2701&gt;0,"PASS","FAIL"))</x:f>
        <x:v>PENDING</x:v>
      </x:c>
      <x:c r="AH2701" t="str">
        <x:f>IF(NOT(ISNUMBER(T2701)),"Needs supplier cost",IF(K2701&lt;&gt;"In stock","Supplier unavailable",IF(AG2701&lt;&gt;"PASS","BLOCK - GT loss risk","Commercially protected")))</x:f>
        <x:v>Needs supplier cost</x:v>
      </x:c>
      <x:c r="AI2701" t="str">
        <x:v>2026-09-10 Active Sports trade capture</x:v>
      </x:c>
      <x:c r="AJ2701" t="str">
        <x:v>Management-only economics. Stripe stress test uses 1.5% + £0.20 standard UK online-card fee; pallet/mix-and-match pricing ignored.</x:v>
      </x:c>
    </x:row>
    <x:row r="2702">
      <x:c r="A2702" t="str">
        <x:v>Active Sports Nutrition</x:v>
      </x:c>
      <x:c r="B2702" t="str">
        <x:v>Per4m Nutrition</x:v>
      </x:c>
      <x:c r="C2702" t="str">
        <x:v>Hydrate</x:v>
      </x:c>
      <x:c r="D2702" t="str">
        <x:v>Supplements</x:v>
      </x:c>
      <x:c r="E2702" t="str">
        <x:v>Hydration</x:v>
      </x:c>
      <x:c r="F2702" t="str"/>
      <x:c r="G2702" t="str">
        <x:v>30 servings</x:v>
      </x:c>
      <x:c r="H2702" t="str">
        <x:v>Passionfruit</x:v>
      </x:c>
      <x:c r="I2702" t="str"/>
      <x:c r="J2702" t="str">
        <x:v>Unit</x:v>
      </x:c>
      <x:c r="K2702" t="str">
        <x:v>Out of stock</x:v>
      </x:c>
      <x:c r="L2702" t="str">
        <x:v>2026-09-08</x:v>
      </x:c>
      <x:c r="M2702" t="str"/>
      <x:c r="N2702" t="str"/>
      <x:c r="O2702" t="str">
        <x:v>https://www.activesportstrade.co.uk/hydration-supplements-trade</x:v>
      </x:c>
      <x:c r="P2702" t="str">
        <x:v>FREE SHAKER/CREATINE supplier promotion stripped; freshest hydration page stock used.</x:v>
      </x:c>
      <x:c r="Q2702" t="str"/>
      <x:c r="R2702" t="str"/>
      <x:c r="S2702" t="str">
        <x:v>Pending genuine supplier/brand image</x:v>
      </x:c>
      <x:c r="T2702" s="54"/>
      <x:c r="U2702" s="47" t="n">
        <x:v>0.2</x:v>
      </x:c>
      <x:c r="V2702" s="54" t="str">
        <x:f>IF(ISNUMBER(T2702),T2702*(1+U2702),"")</x:f>
      </x:c>
      <x:c r="W2702" s="47" t="n">
        <x:v>0.3</x:v>
      </x:c>
      <x:c r="X2702" s="54" t="str">
        <x:f>IF(ISNUMBER(V2702),V2702/(1-W2702),"")</x:f>
      </x:c>
      <x:c r="Y2702" s="55" t="str">
        <x:f>IF(ISNUMBER(X2702),ROUNDUP(X2702,0),"")</x:f>
      </x:c>
      <x:c r="Z2702" t="str">
        <x:f>IF(ISNUMBER(T2702),"Cost captured","Awaiting trade cost")</x:f>
        <x:v>Awaiting trade cost</x:v>
      </x:c>
      <x:c r="AB2702" s="36" t="str">
        <x:f>IF(ISNUMBER(Y2702),ROUND(Y2702*0.9,2),"")</x:f>
      </x:c>
      <x:c r="AC2702" s="36" t="str">
        <x:f>IF(ISNUMBER(AB2702),ROUND(AB2702-(AB2702*0.015+0.2)-V2702,2),"")</x:f>
      </x:c>
      <x:c r="AD2702" s="36" t="str">
        <x:f>IF(ISNUMBER(Y2702),ROUND(Y2702*0.8,2),"")</x:f>
      </x:c>
      <x:c r="AE2702" s="36" t="str">
        <x:f>IF(ISNUMBER(AD2702),ROUND(AD2702*0.015+0.2,2),"")</x:f>
      </x:c>
      <x:c r="AF2702" s="36" t="str">
        <x:f>IF(ISNUMBER(AD2702),ROUND(AD2702-AE2702-V2702,2),"")</x:f>
      </x:c>
      <x:c r="AG2702" t="str">
        <x:f>IF(NOT(ISNUMBER(T2702)),"PENDING",IF(AF2702&gt;0,"PASS","FAIL"))</x:f>
        <x:v>PENDING</x:v>
      </x:c>
      <x:c r="AH2702" t="str">
        <x:f>IF(NOT(ISNUMBER(T2702)),"Needs supplier cost",IF(K2702&lt;&gt;"In stock","Supplier unavailable",IF(AG2702&lt;&gt;"PASS","BLOCK - GT loss risk","Commercially protected")))</x:f>
        <x:v>Needs supplier cost</x:v>
      </x:c>
      <x:c r="AI2702" t="str">
        <x:v>2026-09-10 Active Sports trade capture</x:v>
      </x:c>
      <x:c r="AJ2702" t="str">
        <x:v>Management-only economics. Stripe stress test uses 1.5% + £0.20 standard UK online-card fee; pallet/mix-and-match pricing ignored.</x:v>
      </x:c>
    </x:row>
    <x:row r="2703">
      <x:c r="A2703" t="str">
        <x:v>Active Sports Nutrition</x:v>
      </x:c>
      <x:c r="B2703" t="str">
        <x:v>Per4m Nutrition</x:v>
      </x:c>
      <x:c r="C2703" t="str">
        <x:v>Hydrate</x:v>
      </x:c>
      <x:c r="D2703" t="str">
        <x:v>Supplements</x:v>
      </x:c>
      <x:c r="E2703" t="str">
        <x:v>Hydration</x:v>
      </x:c>
      <x:c r="F2703" t="str"/>
      <x:c r="G2703" t="str">
        <x:v>30 servings</x:v>
      </x:c>
      <x:c r="H2703" t="str">
        <x:v>Peach Sweets</x:v>
      </x:c>
      <x:c r="I2703" t="str"/>
      <x:c r="J2703" t="str">
        <x:v>Unit</x:v>
      </x:c>
      <x:c r="K2703" t="str">
        <x:v>Out of stock</x:v>
      </x:c>
      <x:c r="L2703" t="str">
        <x:v>2026-09-08</x:v>
      </x:c>
      <x:c r="M2703" t="str"/>
      <x:c r="N2703" t="str"/>
      <x:c r="O2703" t="str">
        <x:v>https://www.activesportstrade.co.uk/hydration-supplements-trade</x:v>
      </x:c>
      <x:c r="P2703" t="str">
        <x:v>FREE SHAKER/CREATINE supplier promotion stripped; freshest hydration page stock used.</x:v>
      </x:c>
      <x:c r="Q2703" t="str"/>
      <x:c r="R2703" t="str"/>
      <x:c r="S2703" t="str">
        <x:v>Pending genuine supplier/brand image</x:v>
      </x:c>
      <x:c r="T2703" s="54"/>
      <x:c r="U2703" s="47" t="n">
        <x:v>0.2</x:v>
      </x:c>
      <x:c r="V2703" s="54" t="str">
        <x:f>IF(ISNUMBER(T2703),T2703*(1+U2703),"")</x:f>
      </x:c>
      <x:c r="W2703" s="47" t="n">
        <x:v>0.3</x:v>
      </x:c>
      <x:c r="X2703" s="54" t="str">
        <x:f>IF(ISNUMBER(V2703),V2703/(1-W2703),"")</x:f>
      </x:c>
      <x:c r="Y2703" s="55" t="str">
        <x:f>IF(ISNUMBER(X2703),ROUNDUP(X2703,0),"")</x:f>
      </x:c>
      <x:c r="Z2703" t="str">
        <x:f>IF(ISNUMBER(T2703),"Cost captured","Awaiting trade cost")</x:f>
        <x:v>Awaiting trade cost</x:v>
      </x:c>
      <x:c r="AB2703" s="36" t="str">
        <x:f>IF(ISNUMBER(Y2703),ROUND(Y2703*0.9,2),"")</x:f>
      </x:c>
      <x:c r="AC2703" s="36" t="str">
        <x:f>IF(ISNUMBER(AB2703),ROUND(AB2703-(AB2703*0.015+0.2)-V2703,2),"")</x:f>
      </x:c>
      <x:c r="AD2703" s="36" t="str">
        <x:f>IF(ISNUMBER(Y2703),ROUND(Y2703*0.8,2),"")</x:f>
      </x:c>
      <x:c r="AE2703" s="36" t="str">
        <x:f>IF(ISNUMBER(AD2703),ROUND(AD2703*0.015+0.2,2),"")</x:f>
      </x:c>
      <x:c r="AF2703" s="36" t="str">
        <x:f>IF(ISNUMBER(AD2703),ROUND(AD2703-AE2703-V2703,2),"")</x:f>
      </x:c>
      <x:c r="AG2703" t="str">
        <x:f>IF(NOT(ISNUMBER(T2703)),"PENDING",IF(AF2703&gt;0,"PASS","FAIL"))</x:f>
        <x:v>PENDING</x:v>
      </x:c>
      <x:c r="AH2703" t="str">
        <x:f>IF(NOT(ISNUMBER(T2703)),"Needs supplier cost",IF(K2703&lt;&gt;"In stock","Supplier unavailable",IF(AG2703&lt;&gt;"PASS","BLOCK - GT loss risk","Commercially protected")))</x:f>
        <x:v>Needs supplier cost</x:v>
      </x:c>
      <x:c r="AI2703" t="str">
        <x:v>2026-09-10 Active Sports trade capture</x:v>
      </x:c>
      <x:c r="AJ2703" t="str">
        <x:v>Management-only economics. Stripe stress test uses 1.5% + £0.20 standard UK online-card fee; pallet/mix-and-match pricing ignored.</x:v>
      </x:c>
    </x:row>
    <x:row r="2704">
      <x:c r="A2704" t="str">
        <x:v>Active Sports Nutrition</x:v>
      </x:c>
      <x:c r="B2704" t="str">
        <x:v>Per4m Nutrition</x:v>
      </x:c>
      <x:c r="C2704" t="str">
        <x:v>Hydrate</x:v>
      </x:c>
      <x:c r="D2704" t="str">
        <x:v>Supplements</x:v>
      </x:c>
      <x:c r="E2704" t="str">
        <x:v>Hydration</x:v>
      </x:c>
      <x:c r="F2704" t="str"/>
      <x:c r="G2704" t="str">
        <x:v>30 servings</x:v>
      </x:c>
      <x:c r="H2704" t="str">
        <x:v>Pineapple Rings</x:v>
      </x:c>
      <x:c r="I2704" t="str"/>
      <x:c r="J2704" t="str">
        <x:v>Unit</x:v>
      </x:c>
      <x:c r="K2704" t="str">
        <x:v>In stock</x:v>
      </x:c>
      <x:c r="L2704" t="str">
        <x:v>2026-09-08</x:v>
      </x:c>
      <x:c r="M2704" t="str"/>
      <x:c r="N2704" t="str"/>
      <x:c r="O2704" t="str">
        <x:v>https://www.activesportstrade.co.uk/hydration-supplements-trade</x:v>
      </x:c>
      <x:c r="P2704" t="str">
        <x:v>FREE SHAKER/CREATINE supplier promotion stripped; freshest hydration page stock used.</x:v>
      </x:c>
      <x:c r="Q2704" t="str"/>
      <x:c r="R2704" t="str"/>
      <x:c r="S2704" t="str">
        <x:v>Pending genuine supplier/brand image</x:v>
      </x:c>
      <x:c r="T2704" s="54"/>
      <x:c r="U2704" s="47" t="n">
        <x:v>0.2</x:v>
      </x:c>
      <x:c r="V2704" s="54" t="str">
        <x:f>IF(ISNUMBER(T2704),T2704*(1+U2704),"")</x:f>
      </x:c>
      <x:c r="W2704" s="47" t="n">
        <x:v>0.3</x:v>
      </x:c>
      <x:c r="X2704" s="54" t="str">
        <x:f>IF(ISNUMBER(V2704),V2704/(1-W2704),"")</x:f>
      </x:c>
      <x:c r="Y2704" s="55" t="str">
        <x:f>IF(ISNUMBER(X2704),ROUNDUP(X2704,0),"")</x:f>
      </x:c>
      <x:c r="Z2704" t="str">
        <x:f>IF(ISNUMBER(T2704),"Cost captured","Awaiting trade cost")</x:f>
        <x:v>Awaiting trade cost</x:v>
      </x:c>
      <x:c r="AB2704" s="36" t="str">
        <x:f>IF(ISNUMBER(Y2704),ROUND(Y2704*0.9,2),"")</x:f>
      </x:c>
      <x:c r="AC2704" s="36" t="str">
        <x:f>IF(ISNUMBER(AB2704),ROUND(AB2704-(AB2704*0.015+0.2)-V2704,2),"")</x:f>
      </x:c>
      <x:c r="AD2704" s="36" t="str">
        <x:f>IF(ISNUMBER(Y2704),ROUND(Y2704*0.8,2),"")</x:f>
      </x:c>
      <x:c r="AE2704" s="36" t="str">
        <x:f>IF(ISNUMBER(AD2704),ROUND(AD2704*0.015+0.2,2),"")</x:f>
      </x:c>
      <x:c r="AF2704" s="36" t="str">
        <x:f>IF(ISNUMBER(AD2704),ROUND(AD2704-AE2704-V2704,2),"")</x:f>
      </x:c>
      <x:c r="AG2704" t="str">
        <x:f>IF(NOT(ISNUMBER(T2704)),"PENDING",IF(AF2704&gt;0,"PASS","FAIL"))</x:f>
        <x:v>PENDING</x:v>
      </x:c>
      <x:c r="AH2704" t="str">
        <x:f>IF(NOT(ISNUMBER(T2704)),"Needs supplier cost",IF(K2704&lt;&gt;"In stock","Supplier unavailable",IF(AG2704&lt;&gt;"PASS","BLOCK - GT loss risk","Commercially protected")))</x:f>
        <x:v>Needs supplier cost</x:v>
      </x:c>
      <x:c r="AI2704" t="str">
        <x:v>2026-09-10 Active Sports trade capture</x:v>
      </x:c>
      <x:c r="AJ2704" t="str">
        <x:v>Management-only economics. Stripe stress test uses 1.5% + £0.20 standard UK online-card fee; pallet/mix-and-match pricing ignored.</x:v>
      </x:c>
    </x:row>
    <x:row r="2705">
      <x:c r="A2705" t="str">
        <x:v>Active Sports Nutrition</x:v>
      </x:c>
      <x:c r="B2705" t="str">
        <x:v>Per4m Nutrition</x:v>
      </x:c>
      <x:c r="C2705" t="str">
        <x:v>Hydrate</x:v>
      </x:c>
      <x:c r="D2705" t="str">
        <x:v>Supplements</x:v>
      </x:c>
      <x:c r="E2705" t="str">
        <x:v>Hydration</x:v>
      </x:c>
      <x:c r="F2705" t="str"/>
      <x:c r="G2705" t="str">
        <x:v>30 servings</x:v>
      </x:c>
      <x:c r="H2705" t="str">
        <x:v>Pink Lemonade</x:v>
      </x:c>
      <x:c r="I2705" t="str"/>
      <x:c r="J2705" t="str">
        <x:v>Unit</x:v>
      </x:c>
      <x:c r="K2705" t="str">
        <x:v>In stock</x:v>
      </x:c>
      <x:c r="L2705" t="str">
        <x:v>2026-09-08</x:v>
      </x:c>
      <x:c r="M2705" t="str"/>
      <x:c r="N2705" t="str"/>
      <x:c r="O2705" t="str">
        <x:v>https://www.activesportstrade.co.uk/hydration-supplements-trade</x:v>
      </x:c>
      <x:c r="P2705" t="str">
        <x:v>FREE SHAKER/CREATINE supplier promotion stripped; freshest hydration page stock used.</x:v>
      </x:c>
      <x:c r="Q2705" t="str"/>
      <x:c r="R2705" t="str"/>
      <x:c r="S2705" t="str">
        <x:v>Pending genuine supplier/brand image</x:v>
      </x:c>
      <x:c r="T2705" s="54"/>
      <x:c r="U2705" s="47" t="n">
        <x:v>0.2</x:v>
      </x:c>
      <x:c r="V2705" s="54" t="str">
        <x:f>IF(ISNUMBER(T2705),T2705*(1+U2705),"")</x:f>
      </x:c>
      <x:c r="W2705" s="47" t="n">
        <x:v>0.3</x:v>
      </x:c>
      <x:c r="X2705" s="54" t="str">
        <x:f>IF(ISNUMBER(V2705),V2705/(1-W2705),"")</x:f>
      </x:c>
      <x:c r="Y2705" s="55" t="str">
        <x:f>IF(ISNUMBER(X2705),ROUNDUP(X2705,0),"")</x:f>
      </x:c>
      <x:c r="Z2705" t="str">
        <x:f>IF(ISNUMBER(T2705),"Cost captured","Awaiting trade cost")</x:f>
        <x:v>Awaiting trade cost</x:v>
      </x:c>
      <x:c r="AB2705" s="36" t="str">
        <x:f>IF(ISNUMBER(Y2705),ROUND(Y2705*0.9,2),"")</x:f>
      </x:c>
      <x:c r="AC2705" s="36" t="str">
        <x:f>IF(ISNUMBER(AB2705),ROUND(AB2705-(AB2705*0.015+0.2)-V2705,2),"")</x:f>
      </x:c>
      <x:c r="AD2705" s="36" t="str">
        <x:f>IF(ISNUMBER(Y2705),ROUND(Y2705*0.8,2),"")</x:f>
      </x:c>
      <x:c r="AE2705" s="36" t="str">
        <x:f>IF(ISNUMBER(AD2705),ROUND(AD2705*0.015+0.2,2),"")</x:f>
      </x:c>
      <x:c r="AF2705" s="36" t="str">
        <x:f>IF(ISNUMBER(AD2705),ROUND(AD2705-AE2705-V2705,2),"")</x:f>
      </x:c>
      <x:c r="AG2705" t="str">
        <x:f>IF(NOT(ISNUMBER(T2705)),"PENDING",IF(AF2705&gt;0,"PASS","FAIL"))</x:f>
        <x:v>PENDING</x:v>
      </x:c>
      <x:c r="AH2705" t="str">
        <x:f>IF(NOT(ISNUMBER(T2705)),"Needs supplier cost",IF(K2705&lt;&gt;"In stock","Supplier unavailable",IF(AG2705&lt;&gt;"PASS","BLOCK - GT loss risk","Commercially protected")))</x:f>
        <x:v>Needs supplier cost</x:v>
      </x:c>
      <x:c r="AI2705" t="str">
        <x:v>2026-09-10 Active Sports trade capture</x:v>
      </x:c>
      <x:c r="AJ2705" t="str">
        <x:v>Management-only economics. Stripe stress test uses 1.5% + £0.20 standard UK online-card fee; pallet/mix-and-match pricing ignored.</x:v>
      </x:c>
    </x:row>
    <x:row r="2706">
      <x:c r="A2706" t="str">
        <x:v>Active Sports Nutrition</x:v>
      </x:c>
      <x:c r="B2706" t="str">
        <x:v>Per4m Nutrition</x:v>
      </x:c>
      <x:c r="C2706" t="str">
        <x:v>Hydrate</x:v>
      </x:c>
      <x:c r="D2706" t="str">
        <x:v>Supplements</x:v>
      </x:c>
      <x:c r="E2706" t="str">
        <x:v>Hydration</x:v>
      </x:c>
      <x:c r="F2706" t="str"/>
      <x:c r="G2706" t="str">
        <x:v>30 servings</x:v>
      </x:c>
      <x:c r="H2706" t="str">
        <x:v>Rainbow Candy</x:v>
      </x:c>
      <x:c r="I2706" t="str"/>
      <x:c r="J2706" t="str">
        <x:v>Unit</x:v>
      </x:c>
      <x:c r="K2706" t="str">
        <x:v>In stock</x:v>
      </x:c>
      <x:c r="L2706" t="str">
        <x:v>2026-09-08</x:v>
      </x:c>
      <x:c r="M2706" t="str"/>
      <x:c r="N2706" t="str"/>
      <x:c r="O2706" t="str">
        <x:v>https://www.activesportstrade.co.uk/hydration-supplements-trade</x:v>
      </x:c>
      <x:c r="P2706" t="str">
        <x:v>FREE SHAKER/CREATINE supplier promotion stripped; freshest hydration page stock used.</x:v>
      </x:c>
      <x:c r="Q2706" t="str"/>
      <x:c r="R2706" t="str"/>
      <x:c r="S2706" t="str">
        <x:v>Pending genuine supplier/brand image</x:v>
      </x:c>
      <x:c r="T2706" s="54"/>
      <x:c r="U2706" s="47" t="n">
        <x:v>0.2</x:v>
      </x:c>
      <x:c r="V2706" s="54" t="str">
        <x:f>IF(ISNUMBER(T2706),T2706*(1+U2706),"")</x:f>
      </x:c>
      <x:c r="W2706" s="47" t="n">
        <x:v>0.3</x:v>
      </x:c>
      <x:c r="X2706" s="54" t="str">
        <x:f>IF(ISNUMBER(V2706),V2706/(1-W2706),"")</x:f>
      </x:c>
      <x:c r="Y2706" s="55" t="str">
        <x:f>IF(ISNUMBER(X2706),ROUNDUP(X2706,0),"")</x:f>
      </x:c>
      <x:c r="Z2706" t="str">
        <x:f>IF(ISNUMBER(T2706),"Cost captured","Awaiting trade cost")</x:f>
        <x:v>Awaiting trade cost</x:v>
      </x:c>
      <x:c r="AB2706" s="36" t="str">
        <x:f>IF(ISNUMBER(Y2706),ROUND(Y2706*0.9,2),"")</x:f>
      </x:c>
      <x:c r="AC2706" s="36" t="str">
        <x:f>IF(ISNUMBER(AB2706),ROUND(AB2706-(AB2706*0.015+0.2)-V2706,2),"")</x:f>
      </x:c>
      <x:c r="AD2706" s="36" t="str">
        <x:f>IF(ISNUMBER(Y2706),ROUND(Y2706*0.8,2),"")</x:f>
      </x:c>
      <x:c r="AE2706" s="36" t="str">
        <x:f>IF(ISNUMBER(AD2706),ROUND(AD2706*0.015+0.2,2),"")</x:f>
      </x:c>
      <x:c r="AF2706" s="36" t="str">
        <x:f>IF(ISNUMBER(AD2706),ROUND(AD2706-AE2706-V2706,2),"")</x:f>
      </x:c>
      <x:c r="AG2706" t="str">
        <x:f>IF(NOT(ISNUMBER(T2706)),"PENDING",IF(AF2706&gt;0,"PASS","FAIL"))</x:f>
        <x:v>PENDING</x:v>
      </x:c>
      <x:c r="AH2706" t="str">
        <x:f>IF(NOT(ISNUMBER(T2706)),"Needs supplier cost",IF(K2706&lt;&gt;"In stock","Supplier unavailable",IF(AG2706&lt;&gt;"PASS","BLOCK - GT loss risk","Commercially protected")))</x:f>
        <x:v>Needs supplier cost</x:v>
      </x:c>
      <x:c r="AI2706" t="str">
        <x:v>2026-09-10 Active Sports trade capture</x:v>
      </x:c>
      <x:c r="AJ2706" t="str">
        <x:v>Management-only economics. Stripe stress test uses 1.5% + £0.20 standard UK online-card fee; pallet/mix-and-match pricing ignored.</x:v>
      </x:c>
    </x:row>
    <x:row r="2707">
      <x:c r="A2707" t="str">
        <x:v>Active Sports Nutrition</x:v>
      </x:c>
      <x:c r="B2707" t="str">
        <x:v>Per4m Nutrition</x:v>
      </x:c>
      <x:c r="C2707" t="str">
        <x:v>Hydrate</x:v>
      </x:c>
      <x:c r="D2707" t="str">
        <x:v>Supplements</x:v>
      </x:c>
      <x:c r="E2707" t="str">
        <x:v>Hydration</x:v>
      </x:c>
      <x:c r="F2707" t="str"/>
      <x:c r="G2707" t="str">
        <x:v>30 servings</x:v>
      </x:c>
      <x:c r="H2707" t="str">
        <x:v>Raspberry Cherry</x:v>
      </x:c>
      <x:c r="I2707" t="str"/>
      <x:c r="J2707" t="str">
        <x:v>Unit</x:v>
      </x:c>
      <x:c r="K2707" t="str">
        <x:v>Out of stock</x:v>
      </x:c>
      <x:c r="L2707" t="str">
        <x:v>2026-09-08</x:v>
      </x:c>
      <x:c r="M2707" t="str"/>
      <x:c r="N2707" t="str"/>
      <x:c r="O2707" t="str">
        <x:v>https://www.activesportstrade.co.uk/hydration-supplements-trade</x:v>
      </x:c>
      <x:c r="P2707" t="str">
        <x:v>FREE SHAKER/CREATINE supplier promotion stripped; freshest hydration page stock used.</x:v>
      </x:c>
      <x:c r="Q2707" t="str"/>
      <x:c r="R2707" t="str"/>
      <x:c r="S2707" t="str">
        <x:v>Pending genuine supplier/brand image</x:v>
      </x:c>
      <x:c r="T2707" s="54"/>
      <x:c r="U2707" s="47" t="n">
        <x:v>0.2</x:v>
      </x:c>
      <x:c r="V2707" s="54" t="str">
        <x:f>IF(ISNUMBER(T2707),T2707*(1+U2707),"")</x:f>
      </x:c>
      <x:c r="W2707" s="47" t="n">
        <x:v>0.3</x:v>
      </x:c>
      <x:c r="X2707" s="54" t="str">
        <x:f>IF(ISNUMBER(V2707),V2707/(1-W2707),"")</x:f>
      </x:c>
      <x:c r="Y2707" s="55" t="str">
        <x:f>IF(ISNUMBER(X2707),ROUNDUP(X2707,0),"")</x:f>
      </x:c>
      <x:c r="Z2707" t="str">
        <x:f>IF(ISNUMBER(T2707),"Cost captured","Awaiting trade cost")</x:f>
        <x:v>Awaiting trade cost</x:v>
      </x:c>
      <x:c r="AB2707" s="36" t="str">
        <x:f>IF(ISNUMBER(Y2707),ROUND(Y2707*0.9,2),"")</x:f>
      </x:c>
      <x:c r="AC2707" s="36" t="str">
        <x:f>IF(ISNUMBER(AB2707),ROUND(AB2707-(AB2707*0.015+0.2)-V2707,2),"")</x:f>
      </x:c>
      <x:c r="AD2707" s="36" t="str">
        <x:f>IF(ISNUMBER(Y2707),ROUND(Y2707*0.8,2),"")</x:f>
      </x:c>
      <x:c r="AE2707" s="36" t="str">
        <x:f>IF(ISNUMBER(AD2707),ROUND(AD2707*0.015+0.2,2),"")</x:f>
      </x:c>
      <x:c r="AF2707" s="36" t="str">
        <x:f>IF(ISNUMBER(AD2707),ROUND(AD2707-AE2707-V2707,2),"")</x:f>
      </x:c>
      <x:c r="AG2707" t="str">
        <x:f>IF(NOT(ISNUMBER(T2707)),"PENDING",IF(AF2707&gt;0,"PASS","FAIL"))</x:f>
        <x:v>PENDING</x:v>
      </x:c>
      <x:c r="AH2707" t="str">
        <x:f>IF(NOT(ISNUMBER(T2707)),"Needs supplier cost",IF(K2707&lt;&gt;"In stock","Supplier unavailable",IF(AG2707&lt;&gt;"PASS","BLOCK - GT loss risk","Commercially protected")))</x:f>
        <x:v>Needs supplier cost</x:v>
      </x:c>
      <x:c r="AI2707" t="str">
        <x:v>2026-09-10 Active Sports trade capture</x:v>
      </x:c>
      <x:c r="AJ2707" t="str">
        <x:v>Management-only economics. Stripe stress test uses 1.5% + £0.20 standard UK online-card fee; pallet/mix-and-match pricing ignored.</x:v>
      </x:c>
    </x:row>
    <x:row r="2708">
      <x:c r="A2708" t="str">
        <x:v>Active Sports Nutrition</x:v>
      </x:c>
      <x:c r="B2708" t="str">
        <x:v>Per4m Nutrition</x:v>
      </x:c>
      <x:c r="C2708" t="str">
        <x:v>Hydrate</x:v>
      </x:c>
      <x:c r="D2708" t="str">
        <x:v>Supplements</x:v>
      </x:c>
      <x:c r="E2708" t="str">
        <x:v>Hydration</x:v>
      </x:c>
      <x:c r="F2708" t="str"/>
      <x:c r="G2708" t="str">
        <x:v>30 servings</x:v>
      </x:c>
      <x:c r="H2708" t="str">
        <x:v>Strawberry Blackcurrant</x:v>
      </x:c>
      <x:c r="I2708" t="str"/>
      <x:c r="J2708" t="str">
        <x:v>Unit</x:v>
      </x:c>
      <x:c r="K2708" t="str">
        <x:v>In stock</x:v>
      </x:c>
      <x:c r="L2708" t="str">
        <x:v>2026-09-08</x:v>
      </x:c>
      <x:c r="M2708" t="str"/>
      <x:c r="N2708" t="str"/>
      <x:c r="O2708" t="str">
        <x:v>https://www.activesportstrade.co.uk/hydration-supplements-trade</x:v>
      </x:c>
      <x:c r="P2708" t="str">
        <x:v>FREE SHAKER/CREATINE supplier promotion stripped; freshest hydration page stock used.</x:v>
      </x:c>
      <x:c r="Q2708" t="str"/>
      <x:c r="R2708" t="str"/>
      <x:c r="S2708" t="str">
        <x:v>Pending genuine supplier/brand image</x:v>
      </x:c>
      <x:c r="T2708" s="54"/>
      <x:c r="U2708" s="47" t="n">
        <x:v>0.2</x:v>
      </x:c>
      <x:c r="V2708" s="54" t="str">
        <x:f>IF(ISNUMBER(T2708),T2708*(1+U2708),"")</x:f>
      </x:c>
      <x:c r="W2708" s="47" t="n">
        <x:v>0.3</x:v>
      </x:c>
      <x:c r="X2708" s="54" t="str">
        <x:f>IF(ISNUMBER(V2708),V2708/(1-W2708),"")</x:f>
      </x:c>
      <x:c r="Y2708" s="55" t="str">
        <x:f>IF(ISNUMBER(X2708),ROUNDUP(X2708,0),"")</x:f>
      </x:c>
      <x:c r="Z2708" t="str">
        <x:f>IF(ISNUMBER(T2708),"Cost captured","Awaiting trade cost")</x:f>
        <x:v>Awaiting trade cost</x:v>
      </x:c>
      <x:c r="AB2708" s="36" t="str">
        <x:f>IF(ISNUMBER(Y2708),ROUND(Y2708*0.9,2),"")</x:f>
      </x:c>
      <x:c r="AC2708" s="36" t="str">
        <x:f>IF(ISNUMBER(AB2708),ROUND(AB2708-(AB2708*0.015+0.2)-V2708,2),"")</x:f>
      </x:c>
      <x:c r="AD2708" s="36" t="str">
        <x:f>IF(ISNUMBER(Y2708),ROUND(Y2708*0.8,2),"")</x:f>
      </x:c>
      <x:c r="AE2708" s="36" t="str">
        <x:f>IF(ISNUMBER(AD2708),ROUND(AD2708*0.015+0.2,2),"")</x:f>
      </x:c>
      <x:c r="AF2708" s="36" t="str">
        <x:f>IF(ISNUMBER(AD2708),ROUND(AD2708-AE2708-V2708,2),"")</x:f>
      </x:c>
      <x:c r="AG2708" t="str">
        <x:f>IF(NOT(ISNUMBER(T2708)),"PENDING",IF(AF2708&gt;0,"PASS","FAIL"))</x:f>
        <x:v>PENDING</x:v>
      </x:c>
      <x:c r="AH2708" t="str">
        <x:f>IF(NOT(ISNUMBER(T2708)),"Needs supplier cost",IF(K2708&lt;&gt;"In stock","Supplier unavailable",IF(AG2708&lt;&gt;"PASS","BLOCK - GT loss risk","Commercially protected")))</x:f>
        <x:v>Needs supplier cost</x:v>
      </x:c>
      <x:c r="AI2708" t="str">
        <x:v>2026-09-10 Active Sports trade capture</x:v>
      </x:c>
      <x:c r="AJ2708" t="str">
        <x:v>Management-only economics. Stripe stress test uses 1.5% + £0.20 standard UK online-card fee; pallet/mix-and-match pricing ignored.</x:v>
      </x:c>
    </x:row>
    <x:row r="2709">
      <x:c r="A2709" t="str">
        <x:v>Active Sports Nutrition</x:v>
      </x:c>
      <x:c r="B2709" t="str">
        <x:v>Per4m Nutrition</x:v>
      </x:c>
      <x:c r="C2709" t="str">
        <x:v>Hydrate</x:v>
      </x:c>
      <x:c r="D2709" t="str">
        <x:v>Supplements</x:v>
      </x:c>
      <x:c r="E2709" t="str">
        <x:v>Hydration</x:v>
      </x:c>
      <x:c r="F2709" t="str"/>
      <x:c r="G2709" t="str">
        <x:v>30 servings</x:v>
      </x:c>
      <x:c r="H2709" t="str">
        <x:v>Unflavoured</x:v>
      </x:c>
      <x:c r="I2709" t="str"/>
      <x:c r="J2709" t="str">
        <x:v>Unit</x:v>
      </x:c>
      <x:c r="K2709" t="str">
        <x:v>In stock</x:v>
      </x:c>
      <x:c r="L2709" t="str">
        <x:v>2026-09-08</x:v>
      </x:c>
      <x:c r="M2709" t="str"/>
      <x:c r="N2709" t="str"/>
      <x:c r="O2709" t="str">
        <x:v>https://www.activesportstrade.co.uk/hydration-supplements-trade</x:v>
      </x:c>
      <x:c r="P2709" t="str">
        <x:v>FREE SHAKER/CREATINE supplier promotion stripped; freshest hydration page stock used.</x:v>
      </x:c>
      <x:c r="Q2709" t="str"/>
      <x:c r="R2709" t="str"/>
      <x:c r="S2709" t="str">
        <x:v>Pending genuine supplier/brand image</x:v>
      </x:c>
      <x:c r="T2709" s="54"/>
      <x:c r="U2709" s="47" t="n">
        <x:v>0.2</x:v>
      </x:c>
      <x:c r="V2709" s="54" t="str">
        <x:f>IF(ISNUMBER(T2709),T2709*(1+U2709),"")</x:f>
      </x:c>
      <x:c r="W2709" s="47" t="n">
        <x:v>0.3</x:v>
      </x:c>
      <x:c r="X2709" s="54" t="str">
        <x:f>IF(ISNUMBER(V2709),V2709/(1-W2709),"")</x:f>
      </x:c>
      <x:c r="Y2709" s="55" t="str">
        <x:f>IF(ISNUMBER(X2709),ROUNDUP(X2709,0),"")</x:f>
      </x:c>
      <x:c r="Z2709" t="str">
        <x:f>IF(ISNUMBER(T2709),"Cost captured","Awaiting trade cost")</x:f>
        <x:v>Awaiting trade cost</x:v>
      </x:c>
      <x:c r="AB2709" s="36" t="str">
        <x:f>IF(ISNUMBER(Y2709),ROUND(Y2709*0.9,2),"")</x:f>
      </x:c>
      <x:c r="AC2709" s="36" t="str">
        <x:f>IF(ISNUMBER(AB2709),ROUND(AB2709-(AB2709*0.015+0.2)-V2709,2),"")</x:f>
      </x:c>
      <x:c r="AD2709" s="36" t="str">
        <x:f>IF(ISNUMBER(Y2709),ROUND(Y2709*0.8,2),"")</x:f>
      </x:c>
      <x:c r="AE2709" s="36" t="str">
        <x:f>IF(ISNUMBER(AD2709),ROUND(AD2709*0.015+0.2,2),"")</x:f>
      </x:c>
      <x:c r="AF2709" s="36" t="str">
        <x:f>IF(ISNUMBER(AD2709),ROUND(AD2709-AE2709-V2709,2),"")</x:f>
      </x:c>
      <x:c r="AG2709" t="str">
        <x:f>IF(NOT(ISNUMBER(T2709)),"PENDING",IF(AF2709&gt;0,"PASS","FAIL"))</x:f>
        <x:v>PENDING</x:v>
      </x:c>
      <x:c r="AH2709" t="str">
        <x:f>IF(NOT(ISNUMBER(T2709)),"Needs supplier cost",IF(K2709&lt;&gt;"In stock","Supplier unavailable",IF(AG2709&lt;&gt;"PASS","BLOCK - GT loss risk","Commercially protected")))</x:f>
        <x:v>Needs supplier cost</x:v>
      </x:c>
      <x:c r="AI2709" t="str">
        <x:v>2026-09-10 Active Sports trade capture</x:v>
      </x:c>
      <x:c r="AJ2709" t="str">
        <x:v>Management-only economics. Stripe stress test uses 1.5% + £0.20 standard UK online-card fee; pallet/mix-and-match pricing ignored.</x:v>
      </x:c>
    </x:row>
    <x:row r="2710">
      <x:c r="A2710" t="str">
        <x:v>Active Sports Nutrition</x:v>
      </x:c>
      <x:c r="B2710" t="str">
        <x:v>Per4m Nutrition</x:v>
      </x:c>
      <x:c r="C2710" t="str">
        <x:v>Hydrate Advanced Electrolyte Shot</x:v>
      </x:c>
      <x:c r="D2710" t="str">
        <x:v>Food &amp; Drinks</x:v>
      </x:c>
      <x:c r="E2710" t="str">
        <x:v>Hydration Shots</x:v>
      </x:c>
      <x:c r="F2710" t="str"/>
      <x:c r="G2710" t="str">
        <x:v>12 x 100ml</x:v>
      </x:c>
      <x:c r="H2710" t="str">
        <x:v>Pink Lemonade</x:v>
      </x:c>
      <x:c r="I2710" t="str">
        <x:v>12</x:v>
      </x:c>
      <x:c r="J2710" t="str">
        <x:v>Case</x:v>
      </x:c>
      <x:c r="K2710" t="str">
        <x:v>In stock</x:v>
      </x:c>
      <x:c r="L2710" t="str">
        <x:v>2026-09-08</x:v>
      </x:c>
      <x:c r="M2710" t="str"/>
      <x:c r="N2710" t="str"/>
      <x:c r="O2710" t="str">
        <x:v>https://www.activesportstrade.co.uk/hydration-supplements-trade</x:v>
      </x:c>
      <x:c r="P2710" t="str">
        <x:v>Case-only supplier order.</x:v>
      </x:c>
      <x:c r="Q2710" t="str"/>
      <x:c r="R2710" t="str"/>
      <x:c r="S2710" t="str">
        <x:v>Pending genuine supplier/brand image</x:v>
      </x:c>
      <x:c r="T2710" s="54" t="n">
        <x:v>9.99</x:v>
      </x:c>
      <x:c r="U2710" s="47" t="n">
        <x:v>0.2</x:v>
      </x:c>
      <x:c r="V2710" s="54" t="n">
        <x:f>IF(ISNUMBER(T2710),T2710*(1+U2710),"")</x:f>
        <x:v>11.988</x:v>
      </x:c>
      <x:c r="W2710" s="47" t="n">
        <x:v>0.3</x:v>
      </x:c>
      <x:c r="X2710" s="54" t="n">
        <x:f>IF(ISNUMBER(V2710),V2710/(1-W2710),"")</x:f>
        <x:v>17.125714285714285</x:v>
      </x:c>
      <x:c r="Y2710" s="55" t="n">
        <x:f>IF(ISNUMBER(X2710),ROUNDUP(X2710,0),"")</x:f>
        <x:v>18</x:v>
      </x:c>
      <x:c r="Z2710" t="str">
        <x:v>Source match pending</x:v>
      </x:c>
      <x:c r="AA2710" t="str">
        <x:v>screencapture-www-activesportstrade-co-uk-per4m-nutrition-trade-2026-09-10-09_06_42.pdf / page-05</x:v>
      </x:c>
      <x:c r="AB2710" s="36" t="n">
        <x:f>IF(ISNUMBER(Y2710),ROUND(Y2710*0.9,2),"")</x:f>
        <x:v>16.2</x:v>
      </x:c>
      <x:c r="AC2710" s="36" t="n">
        <x:f>IF(ISNUMBER(AB2710),ROUND(AB2710-(AB2710*0.015+0.2)-V2710,2),"")</x:f>
        <x:v>3.77</x:v>
      </x:c>
      <x:c r="AD2710" s="36" t="n">
        <x:f>IF(ISNUMBER(Y2710),ROUND(Y2710*0.8,2),"")</x:f>
        <x:v>14.4</x:v>
      </x:c>
      <x:c r="AE2710" s="36" t="n">
        <x:f>IF(ISNUMBER(AD2710),ROUND(AD2710*0.015+0.2,2),"")</x:f>
        <x:v>0.42</x:v>
      </x:c>
      <x:c r="AF2710" s="36" t="n">
        <x:f>IF(ISNUMBER(AD2710),ROUND(AD2710-AE2710-V2710,2),"")</x:f>
        <x:v>1.99</x:v>
      </x:c>
      <x:c r="AG2710" t="str">
        <x:f>IF(NOT(ISNUMBER(T2710)),"PENDING",IF(AF2710&gt;0,"PASS","FAIL"))</x:f>
        <x:v>PASS</x:v>
      </x:c>
      <x:c r="AH2710" t="str">
        <x:f>IF(NOT(ISNUMBER(T2710)),"Needs supplier cost",IF(K2710&lt;&gt;"In stock","Supplier unavailable",IF(AG2710&lt;&gt;"PASS","BLOCK - GT loss risk","Commercially protected")))</x:f>
        <x:v>Commercially protected</x:v>
      </x:c>
      <x:c r="AI2710" t="str">
        <x:v>2026-09-10 Active Sports trade capture</x:v>
      </x:c>
      <x:c r="AJ2710" t="str">
        <x:v>Management-only economics. Stripe stress test uses 1.5% + £0.20 standard UK online-card fee; pallet/mix-and-match pricing ignored.</x:v>
      </x:c>
    </x:row>
    <x:row r="2711">
      <x:c r="A2711" t="str">
        <x:v>Active Sports Nutrition</x:v>
      </x:c>
      <x:c r="B2711" t="str">
        <x:v>Per4m Nutrition</x:v>
      </x:c>
      <x:c r="C2711" t="str">
        <x:v>Hydrate Advanced Electrolyte Shot</x:v>
      </x:c>
      <x:c r="D2711" t="str">
        <x:v>Food &amp; Drinks</x:v>
      </x:c>
      <x:c r="E2711" t="str">
        <x:v>Hydration Shots</x:v>
      </x:c>
      <x:c r="F2711" t="str"/>
      <x:c r="G2711" t="str">
        <x:v>12 x 100ml</x:v>
      </x:c>
      <x:c r="H2711" t="str">
        <x:v>Raspberry Cherry</x:v>
      </x:c>
      <x:c r="I2711" t="str">
        <x:v>12</x:v>
      </x:c>
      <x:c r="J2711" t="str">
        <x:v>Case</x:v>
      </x:c>
      <x:c r="K2711" t="str">
        <x:v>In stock</x:v>
      </x:c>
      <x:c r="L2711" t="str">
        <x:v>2026-09-08</x:v>
      </x:c>
      <x:c r="M2711" t="str"/>
      <x:c r="N2711" t="str"/>
      <x:c r="O2711" t="str">
        <x:v>https://www.activesportstrade.co.uk/hydration-supplements-trade</x:v>
      </x:c>
      <x:c r="P2711" t="str">
        <x:v>Case-only supplier order.</x:v>
      </x:c>
      <x:c r="Q2711" t="str"/>
      <x:c r="R2711" t="str"/>
      <x:c r="S2711" t="str">
        <x:v>Pending genuine supplier/brand image</x:v>
      </x:c>
      <x:c r="T2711" s="54" t="n">
        <x:v>9.99</x:v>
      </x:c>
      <x:c r="U2711" s="47" t="n">
        <x:v>0.2</x:v>
      </x:c>
      <x:c r="V2711" s="54" t="n">
        <x:f>IF(ISNUMBER(T2711),T2711*(1+U2711),"")</x:f>
        <x:v>11.988</x:v>
      </x:c>
      <x:c r="W2711" s="47" t="n">
        <x:v>0.3</x:v>
      </x:c>
      <x:c r="X2711" s="54" t="n">
        <x:f>IF(ISNUMBER(V2711),V2711/(1-W2711),"")</x:f>
        <x:v>17.125714285714285</x:v>
      </x:c>
      <x:c r="Y2711" s="55" t="n">
        <x:f>IF(ISNUMBER(X2711),ROUNDUP(X2711,0),"")</x:f>
        <x:v>18</x:v>
      </x:c>
      <x:c r="Z2711" t="str">
        <x:v>Source match pending</x:v>
      </x:c>
      <x:c r="AA2711" t="str">
        <x:v>screencapture-www-activesportstrade-co-uk-per4m-nutrition-trade-2026-09-10-09_06_42.pdf / page-05</x:v>
      </x:c>
      <x:c r="AB2711" s="36" t="n">
        <x:f>IF(ISNUMBER(Y2711),ROUND(Y2711*0.9,2),"")</x:f>
        <x:v>16.2</x:v>
      </x:c>
      <x:c r="AC2711" s="36" t="n">
        <x:f>IF(ISNUMBER(AB2711),ROUND(AB2711-(AB2711*0.015+0.2)-V2711,2),"")</x:f>
        <x:v>3.77</x:v>
      </x:c>
      <x:c r="AD2711" s="36" t="n">
        <x:f>IF(ISNUMBER(Y2711),ROUND(Y2711*0.8,2),"")</x:f>
        <x:v>14.4</x:v>
      </x:c>
      <x:c r="AE2711" s="36" t="n">
        <x:f>IF(ISNUMBER(AD2711),ROUND(AD2711*0.015+0.2,2),"")</x:f>
        <x:v>0.42</x:v>
      </x:c>
      <x:c r="AF2711" s="36" t="n">
        <x:f>IF(ISNUMBER(AD2711),ROUND(AD2711-AE2711-V2711,2),"")</x:f>
        <x:v>1.99</x:v>
      </x:c>
      <x:c r="AG2711" t="str">
        <x:f>IF(NOT(ISNUMBER(T2711)),"PENDING",IF(AF2711&gt;0,"PASS","FAIL"))</x:f>
        <x:v>PASS</x:v>
      </x:c>
      <x:c r="AH2711" t="str">
        <x:f>IF(NOT(ISNUMBER(T2711)),"Needs supplier cost",IF(K2711&lt;&gt;"In stock","Supplier unavailable",IF(AG2711&lt;&gt;"PASS","BLOCK - GT loss risk","Commercially protected")))</x:f>
        <x:v>Commercially protected</x:v>
      </x:c>
      <x:c r="AI2711" t="str">
        <x:v>2026-09-10 Active Sports trade capture</x:v>
      </x:c>
      <x:c r="AJ2711" t="str">
        <x:v>Management-only economics. Stripe stress test uses 1.5% + £0.20 standard UK online-card fee; pallet/mix-and-match pricing ignored.</x:v>
      </x:c>
    </x:row>
    <x:row r="2712">
      <x:c r="A2712" t="str">
        <x:v>Active Sports Nutrition</x:v>
      </x:c>
      <x:c r="B2712" t="str">
        <x:v>Per4m Nutrition</x:v>
      </x:c>
      <x:c r="C2712" t="str">
        <x:v>Hydrate Advanced Electrolyte Shot</x:v>
      </x:c>
      <x:c r="D2712" t="str">
        <x:v>Food &amp; Drinks</x:v>
      </x:c>
      <x:c r="E2712" t="str">
        <x:v>Hydration Shots</x:v>
      </x:c>
      <x:c r="F2712" t="str"/>
      <x:c r="G2712" t="str">
        <x:v>12 x 100ml</x:v>
      </x:c>
      <x:c r="H2712" t="str">
        <x:v>Strawberry Blackcurrant</x:v>
      </x:c>
      <x:c r="I2712" t="str">
        <x:v>12</x:v>
      </x:c>
      <x:c r="J2712" t="str">
        <x:v>Case</x:v>
      </x:c>
      <x:c r="K2712" t="str">
        <x:v>In stock</x:v>
      </x:c>
      <x:c r="L2712" t="str">
        <x:v>2026-09-08</x:v>
      </x:c>
      <x:c r="M2712" t="str"/>
      <x:c r="N2712" t="str"/>
      <x:c r="O2712" t="str">
        <x:v>https://www.activesportstrade.co.uk/hydration-supplements-trade</x:v>
      </x:c>
      <x:c r="P2712" t="str">
        <x:v>Case-only supplier order.</x:v>
      </x:c>
      <x:c r="Q2712" t="str"/>
      <x:c r="R2712" t="str"/>
      <x:c r="S2712" t="str">
        <x:v>Pending genuine supplier/brand image</x:v>
      </x:c>
      <x:c r="T2712" s="54" t="n">
        <x:v>9.99</x:v>
      </x:c>
      <x:c r="U2712" s="47" t="n">
        <x:v>0.2</x:v>
      </x:c>
      <x:c r="V2712" s="54" t="n">
        <x:f>IF(ISNUMBER(T2712),T2712*(1+U2712),"")</x:f>
        <x:v>11.988</x:v>
      </x:c>
      <x:c r="W2712" s="47" t="n">
        <x:v>0.3</x:v>
      </x:c>
      <x:c r="X2712" s="54" t="n">
        <x:f>IF(ISNUMBER(V2712),V2712/(1-W2712),"")</x:f>
        <x:v>17.125714285714285</x:v>
      </x:c>
      <x:c r="Y2712" s="55" t="n">
        <x:f>IF(ISNUMBER(X2712),ROUNDUP(X2712,0),"")</x:f>
        <x:v>18</x:v>
      </x:c>
      <x:c r="Z2712" t="str">
        <x:v>Source match pending</x:v>
      </x:c>
      <x:c r="AA2712" t="str">
        <x:v>screencapture-www-activesportstrade-co-uk-per4m-nutrition-trade-2026-09-10-09_06_42.pdf / page-05</x:v>
      </x:c>
      <x:c r="AB2712" s="36" t="n">
        <x:f>IF(ISNUMBER(Y2712),ROUND(Y2712*0.9,2),"")</x:f>
        <x:v>16.2</x:v>
      </x:c>
      <x:c r="AC2712" s="36" t="n">
        <x:f>IF(ISNUMBER(AB2712),ROUND(AB2712-(AB2712*0.015+0.2)-V2712,2),"")</x:f>
        <x:v>3.77</x:v>
      </x:c>
      <x:c r="AD2712" s="36" t="n">
        <x:f>IF(ISNUMBER(Y2712),ROUND(Y2712*0.8,2),"")</x:f>
        <x:v>14.4</x:v>
      </x:c>
      <x:c r="AE2712" s="36" t="n">
        <x:f>IF(ISNUMBER(AD2712),ROUND(AD2712*0.015+0.2,2),"")</x:f>
        <x:v>0.42</x:v>
      </x:c>
      <x:c r="AF2712" s="36" t="n">
        <x:f>IF(ISNUMBER(AD2712),ROUND(AD2712-AE2712-V2712,2),"")</x:f>
        <x:v>1.99</x:v>
      </x:c>
      <x:c r="AG2712" t="str">
        <x:f>IF(NOT(ISNUMBER(T2712)),"PENDING",IF(AF2712&gt;0,"PASS","FAIL"))</x:f>
        <x:v>PASS</x:v>
      </x:c>
      <x:c r="AH2712" t="str">
        <x:f>IF(NOT(ISNUMBER(T2712)),"Needs supplier cost",IF(K2712&lt;&gt;"In stock","Supplier unavailable",IF(AG2712&lt;&gt;"PASS","BLOCK - GT loss risk","Commercially protected")))</x:f>
        <x:v>Commercially protected</x:v>
      </x:c>
      <x:c r="AI2712" t="str">
        <x:v>2026-09-10 Active Sports trade capture</x:v>
      </x:c>
      <x:c r="AJ2712" t="str">
        <x:v>Management-only economics. Stripe stress test uses 1.5% + £0.20 standard UK online-card fee; pallet/mix-and-match pricing ignored.</x:v>
      </x:c>
    </x:row>
    <x:row r="2713">
      <x:c r="A2713" t="str">
        <x:v>Active Sports Nutrition</x:v>
      </x:c>
      <x:c r="B2713" t="str">
        <x:v>Per4m Nutrition</x:v>
      </x:c>
      <x:c r="C2713" t="str">
        <x:v>Whey Hydrate Clear Whey + Electrolytes</x:v>
      </x:c>
      <x:c r="D2713" t="str">
        <x:v>Supplements</x:v>
      </x:c>
      <x:c r="E2713" t="str">
        <x:v>Clear Whey / Hydration</x:v>
      </x:c>
      <x:c r="F2713" t="str"/>
      <x:c r="G2713" t="str">
        <x:v>1.8kg</x:v>
      </x:c>
      <x:c r="H2713" t="str">
        <x:v>Blueberry Peach</x:v>
      </x:c>
      <x:c r="I2713" t="str"/>
      <x:c r="J2713" t="str">
        <x:v>Unit</x:v>
      </x:c>
      <x:c r="K2713" t="str">
        <x:v>In stock</x:v>
      </x:c>
      <x:c r="L2713" t="str">
        <x:v>2026-09-08</x:v>
      </x:c>
      <x:c r="M2713" t="str"/>
      <x:c r="N2713" t="str"/>
      <x:c r="O2713" t="str">
        <x:v>https://www.activesportstrade.co.uk/hydration-supplements-trade</x:v>
      </x:c>
      <x:c r="P2713" t="str"/>
      <x:c r="Q2713" t="str"/>
      <x:c r="R2713" t="str"/>
      <x:c r="S2713" t="str">
        <x:v>Pending genuine supplier/brand image</x:v>
      </x:c>
      <x:c r="T2713" s="54" t="n">
        <x:v>41.99</x:v>
      </x:c>
      <x:c r="U2713" s="47" t="n">
        <x:v>0.2</x:v>
      </x:c>
      <x:c r="V2713" s="54" t="n">
        <x:f>IF(ISNUMBER(T2713),T2713*(1+U2713),"")</x:f>
        <x:v>50.388</x:v>
      </x:c>
      <x:c r="W2713" s="47" t="n">
        <x:v>0.3</x:v>
      </x:c>
      <x:c r="X2713" s="54" t="n">
        <x:f>IF(ISNUMBER(V2713),V2713/(1-W2713),"")</x:f>
        <x:v>71.98285714285714</x:v>
      </x:c>
      <x:c r="Y2713" s="55" t="n">
        <x:f>IF(ISNUMBER(X2713),ROUNDUP(X2713,0),"")</x:f>
        <x:v>72</x:v>
      </x:c>
      <x:c r="Z2713" t="str">
        <x:v>Source match pending</x:v>
      </x:c>
      <x:c r="AA2713" t="str">
        <x:v>screencapture-www-activesportstrade-co-uk-per4m-nutrition-trade-2026-09-10-09_06_42.pdf / page-08</x:v>
      </x:c>
      <x:c r="AB2713" s="36" t="n">
        <x:f>IF(ISNUMBER(Y2713),ROUND(Y2713*0.9,2),"")</x:f>
        <x:v>64.8</x:v>
      </x:c>
      <x:c r="AC2713" s="36" t="n">
        <x:f>IF(ISNUMBER(AB2713),ROUND(AB2713-(AB2713*0.015+0.2)-V2713,2),"")</x:f>
        <x:v>13.24</x:v>
      </x:c>
      <x:c r="AD2713" s="36" t="n">
        <x:f>IF(ISNUMBER(Y2713),ROUND(Y2713*0.8,2),"")</x:f>
        <x:v>57.6</x:v>
      </x:c>
      <x:c r="AE2713" s="36" t="n">
        <x:f>IF(ISNUMBER(AD2713),ROUND(AD2713*0.015+0.2,2),"")</x:f>
        <x:v>1.06</x:v>
      </x:c>
      <x:c r="AF2713" s="36" t="n">
        <x:f>IF(ISNUMBER(AD2713),ROUND(AD2713-AE2713-V2713,2),"")</x:f>
        <x:v>6.15</x:v>
      </x:c>
      <x:c r="AG2713" t="str">
        <x:f>IF(NOT(ISNUMBER(T2713)),"PENDING",IF(AF2713&gt;0,"PASS","FAIL"))</x:f>
        <x:v>PASS</x:v>
      </x:c>
      <x:c r="AH2713" t="str">
        <x:f>IF(NOT(ISNUMBER(T2713)),"Needs supplier cost",IF(K2713&lt;&gt;"In stock","Supplier unavailable",IF(AG2713&lt;&gt;"PASS","BLOCK - GT loss risk","Commercially protected")))</x:f>
        <x:v>Commercially protected</x:v>
      </x:c>
      <x:c r="AI2713" t="str">
        <x:v>2026-09-10 Active Sports trade capture</x:v>
      </x:c>
      <x:c r="AJ2713" t="str">
        <x:v>Management-only economics. Stripe stress test uses 1.5% + £0.20 standard UK online-card fee; pallet/mix-and-match pricing ignored.</x:v>
      </x:c>
    </x:row>
    <x:row r="2714">
      <x:c r="A2714" t="str">
        <x:v>Active Sports Nutrition</x:v>
      </x:c>
      <x:c r="B2714" t="str">
        <x:v>Per4m Nutrition</x:v>
      </x:c>
      <x:c r="C2714" t="str">
        <x:v>Whey Hydrate Clear Whey + Electrolytes</x:v>
      </x:c>
      <x:c r="D2714" t="str">
        <x:v>Supplements</x:v>
      </x:c>
      <x:c r="E2714" t="str">
        <x:v>Clear Whey / Hydration</x:v>
      </x:c>
      <x:c r="F2714" t="str"/>
      <x:c r="G2714" t="str">
        <x:v>1.8kg</x:v>
      </x:c>
      <x:c r="H2714" t="str">
        <x:v>Mango Coconut</x:v>
      </x:c>
      <x:c r="I2714" t="str"/>
      <x:c r="J2714" t="str">
        <x:v>Unit</x:v>
      </x:c>
      <x:c r="K2714" t="str">
        <x:v>In stock</x:v>
      </x:c>
      <x:c r="L2714" t="str">
        <x:v>2026-09-08</x:v>
      </x:c>
      <x:c r="M2714" t="str"/>
      <x:c r="N2714" t="str"/>
      <x:c r="O2714" t="str">
        <x:v>https://www.activesportstrade.co.uk/hydration-supplements-trade</x:v>
      </x:c>
      <x:c r="P2714" t="str"/>
      <x:c r="Q2714" t="str"/>
      <x:c r="R2714" t="str"/>
      <x:c r="S2714" t="str">
        <x:v>Pending genuine supplier/brand image</x:v>
      </x:c>
      <x:c r="T2714" s="54" t="n">
        <x:v>41.99</x:v>
      </x:c>
      <x:c r="U2714" s="47" t="n">
        <x:v>0.2</x:v>
      </x:c>
      <x:c r="V2714" s="54" t="n">
        <x:f>IF(ISNUMBER(T2714),T2714*(1+U2714),"")</x:f>
        <x:v>50.388</x:v>
      </x:c>
      <x:c r="W2714" s="47" t="n">
        <x:v>0.3</x:v>
      </x:c>
      <x:c r="X2714" s="54" t="n">
        <x:f>IF(ISNUMBER(V2714),V2714/(1-W2714),"")</x:f>
        <x:v>71.98285714285714</x:v>
      </x:c>
      <x:c r="Y2714" s="55" t="n">
        <x:f>IF(ISNUMBER(X2714),ROUNDUP(X2714,0),"")</x:f>
        <x:v>72</x:v>
      </x:c>
      <x:c r="Z2714" t="str">
        <x:v>Source match pending</x:v>
      </x:c>
      <x:c r="AA2714" t="str">
        <x:v>screencapture-www-activesportstrade-co-uk-per4m-nutrition-trade-2026-09-10-09_06_42.pdf / page-08</x:v>
      </x:c>
      <x:c r="AB2714" s="36" t="n">
        <x:f>IF(ISNUMBER(Y2714),ROUND(Y2714*0.9,2),"")</x:f>
        <x:v>64.8</x:v>
      </x:c>
      <x:c r="AC2714" s="36" t="n">
        <x:f>IF(ISNUMBER(AB2714),ROUND(AB2714-(AB2714*0.015+0.2)-V2714,2),"")</x:f>
        <x:v>13.24</x:v>
      </x:c>
      <x:c r="AD2714" s="36" t="n">
        <x:f>IF(ISNUMBER(Y2714),ROUND(Y2714*0.8,2),"")</x:f>
        <x:v>57.6</x:v>
      </x:c>
      <x:c r="AE2714" s="36" t="n">
        <x:f>IF(ISNUMBER(AD2714),ROUND(AD2714*0.015+0.2,2),"")</x:f>
        <x:v>1.06</x:v>
      </x:c>
      <x:c r="AF2714" s="36" t="n">
        <x:f>IF(ISNUMBER(AD2714),ROUND(AD2714-AE2714-V2714,2),"")</x:f>
        <x:v>6.15</x:v>
      </x:c>
      <x:c r="AG2714" t="str">
        <x:f>IF(NOT(ISNUMBER(T2714)),"PENDING",IF(AF2714&gt;0,"PASS","FAIL"))</x:f>
        <x:v>PASS</x:v>
      </x:c>
      <x:c r="AH2714" t="str">
        <x:f>IF(NOT(ISNUMBER(T2714)),"Needs supplier cost",IF(K2714&lt;&gt;"In stock","Supplier unavailable",IF(AG2714&lt;&gt;"PASS","BLOCK - GT loss risk","Commercially protected")))</x:f>
        <x:v>Commercially protected</x:v>
      </x:c>
      <x:c r="AI2714" t="str">
        <x:v>2026-09-10 Active Sports trade capture</x:v>
      </x:c>
      <x:c r="AJ2714" t="str">
        <x:v>Management-only economics. Stripe stress test uses 1.5% + £0.20 standard UK online-card fee; pallet/mix-and-match pricing ignored.</x:v>
      </x:c>
    </x:row>
    <x:row r="2715">
      <x:c r="A2715" t="str">
        <x:v>Active Sports Nutrition</x:v>
      </x:c>
      <x:c r="B2715" t="str">
        <x:v>Per4m Nutrition</x:v>
      </x:c>
      <x:c r="C2715" t="str">
        <x:v>Whey Hydrate Clear Whey + Electrolytes</x:v>
      </x:c>
      <x:c r="D2715" t="str">
        <x:v>Supplements</x:v>
      </x:c>
      <x:c r="E2715" t="str">
        <x:v>Clear Whey / Hydration</x:v>
      </x:c>
      <x:c r="F2715" t="str"/>
      <x:c r="G2715" t="str">
        <x:v>1.8kg</x:v>
      </x:c>
      <x:c r="H2715" t="str">
        <x:v>Orange and Pineapple</x:v>
      </x:c>
      <x:c r="I2715" t="str"/>
      <x:c r="J2715" t="str">
        <x:v>Unit</x:v>
      </x:c>
      <x:c r="K2715" t="str">
        <x:v>Out of stock</x:v>
      </x:c>
      <x:c r="L2715" t="str">
        <x:v>2026-09-08</x:v>
      </x:c>
      <x:c r="M2715" t="str"/>
      <x:c r="N2715" t="str"/>
      <x:c r="O2715" t="str">
        <x:v>https://www.activesportstrade.co.uk/hydration-supplements-trade</x:v>
      </x:c>
      <x:c r="P2715" t="str"/>
      <x:c r="Q2715" t="str"/>
      <x:c r="R2715" t="str"/>
      <x:c r="S2715" t="str">
        <x:v>Pending genuine supplier/brand image</x:v>
      </x:c>
      <x:c r="T2715" s="54" t="n">
        <x:v>41.99</x:v>
      </x:c>
      <x:c r="U2715" s="47" t="n">
        <x:v>0.2</x:v>
      </x:c>
      <x:c r="V2715" s="54" t="n">
        <x:f>IF(ISNUMBER(T2715),T2715*(1+U2715),"")</x:f>
        <x:v>50.388</x:v>
      </x:c>
      <x:c r="W2715" s="47" t="n">
        <x:v>0.3</x:v>
      </x:c>
      <x:c r="X2715" s="54" t="n">
        <x:f>IF(ISNUMBER(V2715),V2715/(1-W2715),"")</x:f>
        <x:v>71.98285714285714</x:v>
      </x:c>
      <x:c r="Y2715" s="55" t="n">
        <x:f>IF(ISNUMBER(X2715),ROUNDUP(X2715,0),"")</x:f>
        <x:v>72</x:v>
      </x:c>
      <x:c r="Z2715" t="str">
        <x:v>Source match pending</x:v>
      </x:c>
      <x:c r="AA2715" t="str">
        <x:v>screencapture-www-activesportstrade-co-uk-per4m-nutrition-trade-2026-09-10-09_06_42.pdf / page-08</x:v>
      </x:c>
      <x:c r="AB2715" s="36" t="n">
        <x:f>IF(ISNUMBER(Y2715),ROUND(Y2715*0.9,2),"")</x:f>
        <x:v>64.8</x:v>
      </x:c>
      <x:c r="AC2715" s="36" t="n">
        <x:f>IF(ISNUMBER(AB2715),ROUND(AB2715-(AB2715*0.015+0.2)-V2715,2),"")</x:f>
        <x:v>13.24</x:v>
      </x:c>
      <x:c r="AD2715" s="36" t="n">
        <x:f>IF(ISNUMBER(Y2715),ROUND(Y2715*0.8,2),"")</x:f>
        <x:v>57.6</x:v>
      </x:c>
      <x:c r="AE2715" s="36" t="n">
        <x:f>IF(ISNUMBER(AD2715),ROUND(AD2715*0.015+0.2,2),"")</x:f>
        <x:v>1.06</x:v>
      </x:c>
      <x:c r="AF2715" s="36" t="n">
        <x:f>IF(ISNUMBER(AD2715),ROUND(AD2715-AE2715-V2715,2),"")</x:f>
        <x:v>6.15</x:v>
      </x:c>
      <x:c r="AG2715" t="str">
        <x:f>IF(NOT(ISNUMBER(T2715)),"PENDING",IF(AF2715&gt;0,"PASS","FAIL"))</x:f>
        <x:v>PASS</x:v>
      </x:c>
      <x:c r="AH2715" t="str">
        <x:f>IF(NOT(ISNUMBER(T2715)),"Needs supplier cost",IF(K2715&lt;&gt;"In stock","Supplier unavailable",IF(AG2715&lt;&gt;"PASS","BLOCK - GT loss risk","Commercially protected")))</x:f>
        <x:v>Supplier unavailable</x:v>
      </x:c>
      <x:c r="AI2715" t="str">
        <x:v>2026-09-10 Active Sports trade capture</x:v>
      </x:c>
      <x:c r="AJ2715" t="str">
        <x:v>Management-only economics. Stripe stress test uses 1.5% + £0.20 standard UK online-card fee; pallet/mix-and-match pricing ignored.</x:v>
      </x:c>
    </x:row>
    <x:row r="2716">
      <x:c r="A2716" t="str">
        <x:v>Active Sports Nutrition</x:v>
      </x:c>
      <x:c r="B2716" t="str">
        <x:v>Per4m Nutrition</x:v>
      </x:c>
      <x:c r="C2716" t="str">
        <x:v>Whey Hydrate Clear Whey + Electrolytes</x:v>
      </x:c>
      <x:c r="D2716" t="str">
        <x:v>Supplements</x:v>
      </x:c>
      <x:c r="E2716" t="str">
        <x:v>Clear Whey / Hydration</x:v>
      </x:c>
      <x:c r="F2716" t="str"/>
      <x:c r="G2716" t="str">
        <x:v>1.8kg</x:v>
      </x:c>
      <x:c r="H2716" t="str">
        <x:v>Passionfruit Martini</x:v>
      </x:c>
      <x:c r="I2716" t="str"/>
      <x:c r="J2716" t="str">
        <x:v>Unit</x:v>
      </x:c>
      <x:c r="K2716" t="str">
        <x:v>In stock</x:v>
      </x:c>
      <x:c r="L2716" t="str">
        <x:v>2026-09-08</x:v>
      </x:c>
      <x:c r="M2716" t="str"/>
      <x:c r="N2716" t="str"/>
      <x:c r="O2716" t="str">
        <x:v>https://www.activesportstrade.co.uk/hydration-supplements-trade</x:v>
      </x:c>
      <x:c r="P2716" t="str"/>
      <x:c r="Q2716" t="str"/>
      <x:c r="R2716" t="str"/>
      <x:c r="S2716" t="str">
        <x:v>Pending genuine supplier/brand image</x:v>
      </x:c>
      <x:c r="T2716" s="54" t="n">
        <x:v>41.99</x:v>
      </x:c>
      <x:c r="U2716" s="47" t="n">
        <x:v>0.2</x:v>
      </x:c>
      <x:c r="V2716" s="54" t="n">
        <x:f>IF(ISNUMBER(T2716),T2716*(1+U2716),"")</x:f>
        <x:v>50.388</x:v>
      </x:c>
      <x:c r="W2716" s="47" t="n">
        <x:v>0.3</x:v>
      </x:c>
      <x:c r="X2716" s="54" t="n">
        <x:f>IF(ISNUMBER(V2716),V2716/(1-W2716),"")</x:f>
        <x:v>71.98285714285714</x:v>
      </x:c>
      <x:c r="Y2716" s="55" t="n">
        <x:f>IF(ISNUMBER(X2716),ROUNDUP(X2716,0),"")</x:f>
        <x:v>72</x:v>
      </x:c>
      <x:c r="Z2716" t="str">
        <x:v>Source match pending</x:v>
      </x:c>
      <x:c r="AA2716" t="str">
        <x:v>screencapture-www-activesportstrade-co-uk-per4m-nutrition-trade-2026-09-10-09_06_42.pdf / page-08</x:v>
      </x:c>
      <x:c r="AB2716" s="36" t="n">
        <x:f>IF(ISNUMBER(Y2716),ROUND(Y2716*0.9,2),"")</x:f>
        <x:v>64.8</x:v>
      </x:c>
      <x:c r="AC2716" s="36" t="n">
        <x:f>IF(ISNUMBER(AB2716),ROUND(AB2716-(AB2716*0.015+0.2)-V2716,2),"")</x:f>
        <x:v>13.24</x:v>
      </x:c>
      <x:c r="AD2716" s="36" t="n">
        <x:f>IF(ISNUMBER(Y2716),ROUND(Y2716*0.8,2),"")</x:f>
        <x:v>57.6</x:v>
      </x:c>
      <x:c r="AE2716" s="36" t="n">
        <x:f>IF(ISNUMBER(AD2716),ROUND(AD2716*0.015+0.2,2),"")</x:f>
        <x:v>1.06</x:v>
      </x:c>
      <x:c r="AF2716" s="36" t="n">
        <x:f>IF(ISNUMBER(AD2716),ROUND(AD2716-AE2716-V2716,2),"")</x:f>
        <x:v>6.15</x:v>
      </x:c>
      <x:c r="AG2716" t="str">
        <x:f>IF(NOT(ISNUMBER(T2716)),"PENDING",IF(AF2716&gt;0,"PASS","FAIL"))</x:f>
        <x:v>PASS</x:v>
      </x:c>
      <x:c r="AH2716" t="str">
        <x:f>IF(NOT(ISNUMBER(T2716)),"Needs supplier cost",IF(K2716&lt;&gt;"In stock","Supplier unavailable",IF(AG2716&lt;&gt;"PASS","BLOCK - GT loss risk","Commercially protected")))</x:f>
        <x:v>Commercially protected</x:v>
      </x:c>
      <x:c r="AI2716" t="str">
        <x:v>2026-09-10 Active Sports trade capture</x:v>
      </x:c>
      <x:c r="AJ2716" t="str">
        <x:v>Management-only economics. Stripe stress test uses 1.5% + £0.20 standard UK online-card fee; pallet/mix-and-match pricing ignored.</x:v>
      </x:c>
    </x:row>
    <x:row r="2717">
      <x:c r="A2717" t="str">
        <x:v>Active Sports Nutrition</x:v>
      </x:c>
      <x:c r="B2717" t="str">
        <x:v>Per4m Nutrition</x:v>
      </x:c>
      <x:c r="C2717" t="str">
        <x:v>Whey Hydrate Clear Whey + Electrolytes</x:v>
      </x:c>
      <x:c r="D2717" t="str">
        <x:v>Supplements</x:v>
      </x:c>
      <x:c r="E2717" t="str">
        <x:v>Clear Whey / Hydration</x:v>
      </x:c>
      <x:c r="F2717" t="str"/>
      <x:c r="G2717" t="str">
        <x:v>1.8kg</x:v>
      </x:c>
      <x:c r="H2717" t="str">
        <x:v>Raspberry Peach</x:v>
      </x:c>
      <x:c r="I2717" t="str"/>
      <x:c r="J2717" t="str">
        <x:v>Unit</x:v>
      </x:c>
      <x:c r="K2717" t="str">
        <x:v>In stock</x:v>
      </x:c>
      <x:c r="L2717" t="str">
        <x:v>2026-09-08</x:v>
      </x:c>
      <x:c r="M2717" t="str"/>
      <x:c r="N2717" t="str"/>
      <x:c r="O2717" t="str">
        <x:v>https://www.activesportstrade.co.uk/hydration-supplements-trade</x:v>
      </x:c>
      <x:c r="P2717" t="str"/>
      <x:c r="Q2717" t="str"/>
      <x:c r="R2717" t="str"/>
      <x:c r="S2717" t="str">
        <x:v>Pending genuine supplier/brand image</x:v>
      </x:c>
      <x:c r="T2717" s="54" t="n">
        <x:v>41.99</x:v>
      </x:c>
      <x:c r="U2717" s="47" t="n">
        <x:v>0.2</x:v>
      </x:c>
      <x:c r="V2717" s="54" t="n">
        <x:f>IF(ISNUMBER(T2717),T2717*(1+U2717),"")</x:f>
        <x:v>50.388</x:v>
      </x:c>
      <x:c r="W2717" s="47" t="n">
        <x:v>0.3</x:v>
      </x:c>
      <x:c r="X2717" s="54" t="n">
        <x:f>IF(ISNUMBER(V2717),V2717/(1-W2717),"")</x:f>
        <x:v>71.98285714285714</x:v>
      </x:c>
      <x:c r="Y2717" s="55" t="n">
        <x:f>IF(ISNUMBER(X2717),ROUNDUP(X2717,0),"")</x:f>
        <x:v>72</x:v>
      </x:c>
      <x:c r="Z2717" t="str">
        <x:v>Source match pending</x:v>
      </x:c>
      <x:c r="AA2717" t="str">
        <x:v>screencapture-www-activesportstrade-co-uk-per4m-nutrition-trade-2026-09-10-09_06_42.pdf / page-08</x:v>
      </x:c>
      <x:c r="AB2717" s="36" t="n">
        <x:f>IF(ISNUMBER(Y2717),ROUND(Y2717*0.9,2),"")</x:f>
        <x:v>64.8</x:v>
      </x:c>
      <x:c r="AC2717" s="36" t="n">
        <x:f>IF(ISNUMBER(AB2717),ROUND(AB2717-(AB2717*0.015+0.2)-V2717,2),"")</x:f>
        <x:v>13.24</x:v>
      </x:c>
      <x:c r="AD2717" s="36" t="n">
        <x:f>IF(ISNUMBER(Y2717),ROUND(Y2717*0.8,2),"")</x:f>
        <x:v>57.6</x:v>
      </x:c>
      <x:c r="AE2717" s="36" t="n">
        <x:f>IF(ISNUMBER(AD2717),ROUND(AD2717*0.015+0.2,2),"")</x:f>
        <x:v>1.06</x:v>
      </x:c>
      <x:c r="AF2717" s="36" t="n">
        <x:f>IF(ISNUMBER(AD2717),ROUND(AD2717-AE2717-V2717,2),"")</x:f>
        <x:v>6.15</x:v>
      </x:c>
      <x:c r="AG2717" t="str">
        <x:f>IF(NOT(ISNUMBER(T2717)),"PENDING",IF(AF2717&gt;0,"PASS","FAIL"))</x:f>
        <x:v>PASS</x:v>
      </x:c>
      <x:c r="AH2717" t="str">
        <x:f>IF(NOT(ISNUMBER(T2717)),"Needs supplier cost",IF(K2717&lt;&gt;"In stock","Supplier unavailable",IF(AG2717&lt;&gt;"PASS","BLOCK - GT loss risk","Commercially protected")))</x:f>
        <x:v>Commercially protected</x:v>
      </x:c>
      <x:c r="AI2717" t="str">
        <x:v>2026-09-10 Active Sports trade capture</x:v>
      </x:c>
      <x:c r="AJ2717" t="str">
        <x:v>Management-only economics. Stripe stress test uses 1.5% + £0.20 standard UK online-card fee; pallet/mix-and-match pricing ignored.</x:v>
      </x:c>
    </x:row>
    <x:row r="2718">
      <x:c r="A2718" t="str">
        <x:v>Active Sports Nutrition</x:v>
      </x:c>
      <x:c r="B2718" t="str">
        <x:v>Per4m Nutrition</x:v>
      </x:c>
      <x:c r="C2718" t="str">
        <x:v>Whey Hydrate Clear Whey + Electrolytes</x:v>
      </x:c>
      <x:c r="D2718" t="str">
        <x:v>Supplements</x:v>
      </x:c>
      <x:c r="E2718" t="str">
        <x:v>Clear Whey / Hydration</x:v>
      </x:c>
      <x:c r="F2718" t="str"/>
      <x:c r="G2718" t="str">
        <x:v>1.8kg</x:v>
      </x:c>
      <x:c r="H2718" t="str">
        <x:v>Strawberry Lime Daiquiri</x:v>
      </x:c>
      <x:c r="I2718" t="str"/>
      <x:c r="J2718" t="str">
        <x:v>Unit</x:v>
      </x:c>
      <x:c r="K2718" t="str">
        <x:v>In stock</x:v>
      </x:c>
      <x:c r="L2718" t="str">
        <x:v>2026-09-08</x:v>
      </x:c>
      <x:c r="M2718" t="str"/>
      <x:c r="N2718" t="str"/>
      <x:c r="O2718" t="str">
        <x:v>https://www.activesportstrade.co.uk/hydration-supplements-trade</x:v>
      </x:c>
      <x:c r="P2718" t="str"/>
      <x:c r="Q2718" t="str"/>
      <x:c r="R2718" t="str"/>
      <x:c r="S2718" t="str">
        <x:v>Pending genuine supplier/brand image</x:v>
      </x:c>
      <x:c r="T2718" s="54" t="n">
        <x:v>41.99</x:v>
      </x:c>
      <x:c r="U2718" s="47" t="n">
        <x:v>0.2</x:v>
      </x:c>
      <x:c r="V2718" s="54" t="n">
        <x:f>IF(ISNUMBER(T2718),T2718*(1+U2718),"")</x:f>
        <x:v>50.388</x:v>
      </x:c>
      <x:c r="W2718" s="47" t="n">
        <x:v>0.3</x:v>
      </x:c>
      <x:c r="X2718" s="54" t="n">
        <x:f>IF(ISNUMBER(V2718),V2718/(1-W2718),"")</x:f>
        <x:v>71.98285714285714</x:v>
      </x:c>
      <x:c r="Y2718" s="55" t="n">
        <x:f>IF(ISNUMBER(X2718),ROUNDUP(X2718,0),"")</x:f>
        <x:v>72</x:v>
      </x:c>
      <x:c r="Z2718" t="str">
        <x:v>Source match pending</x:v>
      </x:c>
      <x:c r="AA2718" t="str">
        <x:v>screencapture-www-activesportstrade-co-uk-per4m-nutrition-trade-2026-09-10-09_06_42.pdf / page-08</x:v>
      </x:c>
      <x:c r="AB2718" s="36" t="n">
        <x:f>IF(ISNUMBER(Y2718),ROUND(Y2718*0.9,2),"")</x:f>
        <x:v>64.8</x:v>
      </x:c>
      <x:c r="AC2718" s="36" t="n">
        <x:f>IF(ISNUMBER(AB2718),ROUND(AB2718-(AB2718*0.015+0.2)-V2718,2),"")</x:f>
        <x:v>13.24</x:v>
      </x:c>
      <x:c r="AD2718" s="36" t="n">
        <x:f>IF(ISNUMBER(Y2718),ROUND(Y2718*0.8,2),"")</x:f>
        <x:v>57.6</x:v>
      </x:c>
      <x:c r="AE2718" s="36" t="n">
        <x:f>IF(ISNUMBER(AD2718),ROUND(AD2718*0.015+0.2,2),"")</x:f>
        <x:v>1.06</x:v>
      </x:c>
      <x:c r="AF2718" s="36" t="n">
        <x:f>IF(ISNUMBER(AD2718),ROUND(AD2718-AE2718-V2718,2),"")</x:f>
        <x:v>6.15</x:v>
      </x:c>
      <x:c r="AG2718" t="str">
        <x:f>IF(NOT(ISNUMBER(T2718)),"PENDING",IF(AF2718&gt;0,"PASS","FAIL"))</x:f>
        <x:v>PASS</x:v>
      </x:c>
      <x:c r="AH2718" t="str">
        <x:f>IF(NOT(ISNUMBER(T2718)),"Needs supplier cost",IF(K2718&lt;&gt;"In stock","Supplier unavailable",IF(AG2718&lt;&gt;"PASS","BLOCK - GT loss risk","Commercially protected")))</x:f>
        <x:v>Commercially protected</x:v>
      </x:c>
      <x:c r="AI2718" t="str">
        <x:v>2026-09-10 Active Sports trade capture</x:v>
      </x:c>
      <x:c r="AJ2718" t="str">
        <x:v>Management-only economics. Stripe stress test uses 1.5% + £0.20 standard UK online-card fee; pallet/mix-and-match pricing ignored.</x:v>
      </x:c>
    </x:row>
    <x:row r="2719">
      <x:c r="A2719" t="str">
        <x:v>Active Sports Nutrition</x:v>
      </x:c>
      <x:c r="B2719" t="str">
        <x:v>Per4m Nutrition</x:v>
      </x:c>
      <x:c r="C2719" t="str">
        <x:v>Whey Hydrate Clear Whey + Electrolytes</x:v>
      </x:c>
      <x:c r="D2719" t="str">
        <x:v>Supplements</x:v>
      </x:c>
      <x:c r="E2719" t="str">
        <x:v>Clear Whey / Hydration</x:v>
      </x:c>
      <x:c r="F2719" t="str"/>
      <x:c r="G2719" t="str">
        <x:v>1.8kg</x:v>
      </x:c>
      <x:c r="H2719" t="str">
        <x:v>Strawberry Watermelon</x:v>
      </x:c>
      <x:c r="I2719" t="str"/>
      <x:c r="J2719" t="str">
        <x:v>Unit</x:v>
      </x:c>
      <x:c r="K2719" t="str">
        <x:v>In stock</x:v>
      </x:c>
      <x:c r="L2719" t="str">
        <x:v>2026-09-08</x:v>
      </x:c>
      <x:c r="M2719" t="str"/>
      <x:c r="N2719" t="str"/>
      <x:c r="O2719" t="str">
        <x:v>https://www.activesportstrade.co.uk/hydration-supplements-trade</x:v>
      </x:c>
      <x:c r="P2719" t="str"/>
      <x:c r="Q2719" t="str"/>
      <x:c r="R2719" t="str"/>
      <x:c r="S2719" t="str">
        <x:v>Pending genuine supplier/brand image</x:v>
      </x:c>
      <x:c r="T2719" s="54" t="n">
        <x:v>41.99</x:v>
      </x:c>
      <x:c r="U2719" s="47" t="n">
        <x:v>0.2</x:v>
      </x:c>
      <x:c r="V2719" s="54" t="n">
        <x:f>IF(ISNUMBER(T2719),T2719*(1+U2719),"")</x:f>
        <x:v>50.388</x:v>
      </x:c>
      <x:c r="W2719" s="47" t="n">
        <x:v>0.3</x:v>
      </x:c>
      <x:c r="X2719" s="54" t="n">
        <x:f>IF(ISNUMBER(V2719),V2719/(1-W2719),"")</x:f>
        <x:v>71.98285714285714</x:v>
      </x:c>
      <x:c r="Y2719" s="55" t="n">
        <x:f>IF(ISNUMBER(X2719),ROUNDUP(X2719,0),"")</x:f>
        <x:v>72</x:v>
      </x:c>
      <x:c r="Z2719" t="str">
        <x:v>Source match pending</x:v>
      </x:c>
      <x:c r="AA2719" t="str">
        <x:v>screencapture-www-activesportstrade-co-uk-per4m-nutrition-trade-2026-09-10-09_06_42.pdf / page-08</x:v>
      </x:c>
      <x:c r="AB2719" s="36" t="n">
        <x:f>IF(ISNUMBER(Y2719),ROUND(Y2719*0.9,2),"")</x:f>
        <x:v>64.8</x:v>
      </x:c>
      <x:c r="AC2719" s="36" t="n">
        <x:f>IF(ISNUMBER(AB2719),ROUND(AB2719-(AB2719*0.015+0.2)-V2719,2),"")</x:f>
        <x:v>13.24</x:v>
      </x:c>
      <x:c r="AD2719" s="36" t="n">
        <x:f>IF(ISNUMBER(Y2719),ROUND(Y2719*0.8,2),"")</x:f>
        <x:v>57.6</x:v>
      </x:c>
      <x:c r="AE2719" s="36" t="n">
        <x:f>IF(ISNUMBER(AD2719),ROUND(AD2719*0.015+0.2,2),"")</x:f>
        <x:v>1.06</x:v>
      </x:c>
      <x:c r="AF2719" s="36" t="n">
        <x:f>IF(ISNUMBER(AD2719),ROUND(AD2719-AE2719-V2719,2),"")</x:f>
        <x:v>6.15</x:v>
      </x:c>
      <x:c r="AG2719" t="str">
        <x:f>IF(NOT(ISNUMBER(T2719)),"PENDING",IF(AF2719&gt;0,"PASS","FAIL"))</x:f>
        <x:v>PASS</x:v>
      </x:c>
      <x:c r="AH2719" t="str">
        <x:f>IF(NOT(ISNUMBER(T2719)),"Needs supplier cost",IF(K2719&lt;&gt;"In stock","Supplier unavailable",IF(AG2719&lt;&gt;"PASS","BLOCK - GT loss risk","Commercially protected")))</x:f>
        <x:v>Commercially protected</x:v>
      </x:c>
      <x:c r="AI2719" t="str">
        <x:v>2026-09-10 Active Sports trade capture</x:v>
      </x:c>
      <x:c r="AJ2719" t="str">
        <x:v>Management-only economics. Stripe stress test uses 1.5% + £0.20 standard UK online-card fee; pallet/mix-and-match pricing ignored.</x:v>
      </x:c>
    </x:row>
    <x:row r="2720">
      <x:c r="A2720" t="str">
        <x:v>Active Sports Nutrition</x:v>
      </x:c>
      <x:c r="B2720" t="str">
        <x:v>Per4m Nutrition</x:v>
      </x:c>
      <x:c r="C2720" t="str">
        <x:v>Plant Protein</x:v>
      </x:c>
      <x:c r="D2720" t="str">
        <x:v>Supplements</x:v>
      </x:c>
      <x:c r="E2720" t="str">
        <x:v>Vegan Protein</x:v>
      </x:c>
      <x:c r="F2720" t="str"/>
      <x:c r="G2720" t="str">
        <x:v>2kg</x:v>
      </x:c>
      <x:c r="H2720" t="str">
        <x:v>Choc Orange</x:v>
      </x:c>
      <x:c r="I2720" t="str"/>
      <x:c r="J2720" t="str">
        <x:v>Unit</x:v>
      </x:c>
      <x:c r="K2720" t="str">
        <x:v>In stock</x:v>
      </x:c>
      <x:c r="L2720" t="str">
        <x:v>2026-09-08</x:v>
      </x:c>
      <x:c r="M2720" t="str"/>
      <x:c r="N2720" t="str"/>
      <x:c r="O2720" t="str">
        <x:v>https://www.activesportstrade.co.uk/per4m-nutrition-trade</x:v>
      </x:c>
      <x:c r="P2720" t="str">
        <x:v>NEW wording stripped; freshest current brand page used.</x:v>
      </x:c>
      <x:c r="Q2720" t="str"/>
      <x:c r="R2720" t="str"/>
      <x:c r="S2720" t="str">
        <x:v>Pending genuine supplier/brand image</x:v>
      </x:c>
      <x:c r="T2720" s="54" t="n">
        <x:v>23.99</x:v>
      </x:c>
      <x:c r="U2720" s="47" t="n">
        <x:v>0.2</x:v>
      </x:c>
      <x:c r="V2720" s="54" t="n">
        <x:f>IF(ISNUMBER(T2720),T2720*(1+U2720),"")</x:f>
        <x:v>28.787999999999997</x:v>
      </x:c>
      <x:c r="W2720" s="47" t="n">
        <x:v>0.3</x:v>
      </x:c>
      <x:c r="X2720" s="54" t="n">
        <x:f>IF(ISNUMBER(V2720),V2720/(1-W2720),"")</x:f>
        <x:v>41.12571428571428</x:v>
      </x:c>
      <x:c r="Y2720" s="55" t="n">
        <x:f>IF(ISNUMBER(X2720),ROUNDUP(X2720,0),"")</x:f>
        <x:v>42</x:v>
      </x:c>
      <x:c r="Z2720" t="str">
        <x:v>Source match pending</x:v>
      </x:c>
      <x:c r="AA2720" t="str">
        <x:v>screencapture-www-activesportstrade-co-uk-per4m-nutrition-trade-2026-09-10-09_06_42.pdf / page-07</x:v>
      </x:c>
      <x:c r="AB2720" s="36" t="n">
        <x:f>IF(ISNUMBER(Y2720),ROUND(Y2720*0.9,2),"")</x:f>
        <x:v>37.8</x:v>
      </x:c>
      <x:c r="AC2720" s="36" t="n">
        <x:f>IF(ISNUMBER(AB2720),ROUND(AB2720-(AB2720*0.015+0.2)-V2720,2),"")</x:f>
        <x:v>8.24</x:v>
      </x:c>
      <x:c r="AD2720" s="36" t="n">
        <x:f>IF(ISNUMBER(Y2720),ROUND(Y2720*0.8,2),"")</x:f>
        <x:v>33.6</x:v>
      </x:c>
      <x:c r="AE2720" s="36" t="n">
        <x:f>IF(ISNUMBER(AD2720),ROUND(AD2720*0.015+0.2,2),"")</x:f>
        <x:v>0.7</x:v>
      </x:c>
      <x:c r="AF2720" s="36" t="n">
        <x:f>IF(ISNUMBER(AD2720),ROUND(AD2720-AE2720-V2720,2),"")</x:f>
        <x:v>4.11</x:v>
      </x:c>
      <x:c r="AG2720" t="str">
        <x:f>IF(NOT(ISNUMBER(T2720)),"PENDING",IF(AF2720&gt;0,"PASS","FAIL"))</x:f>
        <x:v>PASS</x:v>
      </x:c>
      <x:c r="AH2720" t="str">
        <x:f>IF(NOT(ISNUMBER(T2720)),"Needs supplier cost",IF(K2720&lt;&gt;"In stock","Supplier unavailable",IF(AG2720&lt;&gt;"PASS","BLOCK - GT loss risk","Commercially protected")))</x:f>
        <x:v>Commercially protected</x:v>
      </x:c>
      <x:c r="AI2720" t="str">
        <x:v>2026-09-10 Active Sports trade capture</x:v>
      </x:c>
      <x:c r="AJ2720" t="str">
        <x:v>Management-only economics. Stripe stress test uses 1.5% + £0.20 standard UK online-card fee; pallet/mix-and-match pricing ignored.</x:v>
      </x:c>
    </x:row>
    <x:row r="2721">
      <x:c r="A2721" t="str">
        <x:v>Active Sports Nutrition</x:v>
      </x:c>
      <x:c r="B2721" t="str">
        <x:v>Per4m Nutrition</x:v>
      </x:c>
      <x:c r="C2721" t="str">
        <x:v>Plant Protein</x:v>
      </x:c>
      <x:c r="D2721" t="str">
        <x:v>Supplements</x:v>
      </x:c>
      <x:c r="E2721" t="str">
        <x:v>Vegan Protein</x:v>
      </x:c>
      <x:c r="F2721" t="str"/>
      <x:c r="G2721" t="str">
        <x:v>2kg</x:v>
      </x:c>
      <x:c r="H2721" t="str">
        <x:v>Chocolate Mint</x:v>
      </x:c>
      <x:c r="I2721" t="str"/>
      <x:c r="J2721" t="str">
        <x:v>Unit</x:v>
      </x:c>
      <x:c r="K2721" t="str">
        <x:v>In stock</x:v>
      </x:c>
      <x:c r="L2721" t="str">
        <x:v>2026-09-08</x:v>
      </x:c>
      <x:c r="M2721" t="str"/>
      <x:c r="N2721" t="str"/>
      <x:c r="O2721" t="str">
        <x:v>https://www.activesportstrade.co.uk/per4m-nutrition-trade</x:v>
      </x:c>
      <x:c r="P2721" t="str">
        <x:v>NEW wording stripped; freshest current brand page used.</x:v>
      </x:c>
      <x:c r="Q2721" t="str"/>
      <x:c r="R2721" t="str"/>
      <x:c r="S2721" t="str">
        <x:v>Pending genuine supplier/brand image</x:v>
      </x:c>
      <x:c r="T2721" s="54" t="n">
        <x:v>23.99</x:v>
      </x:c>
      <x:c r="U2721" s="47" t="n">
        <x:v>0.2</x:v>
      </x:c>
      <x:c r="V2721" s="54" t="n">
        <x:f>IF(ISNUMBER(T2721),T2721*(1+U2721),"")</x:f>
        <x:v>28.787999999999997</x:v>
      </x:c>
      <x:c r="W2721" s="47" t="n">
        <x:v>0.3</x:v>
      </x:c>
      <x:c r="X2721" s="54" t="n">
        <x:f>IF(ISNUMBER(V2721),V2721/(1-W2721),"")</x:f>
        <x:v>41.12571428571428</x:v>
      </x:c>
      <x:c r="Y2721" s="55" t="n">
        <x:f>IF(ISNUMBER(X2721),ROUNDUP(X2721,0),"")</x:f>
        <x:v>42</x:v>
      </x:c>
      <x:c r="Z2721" t="str">
        <x:v>Source match pending</x:v>
      </x:c>
      <x:c r="AA2721" t="str">
        <x:v>screencapture-www-activesportstrade-co-uk-per4m-nutrition-trade-2026-09-10-09_06_42.pdf / page-07</x:v>
      </x:c>
      <x:c r="AB2721" s="36" t="n">
        <x:f>IF(ISNUMBER(Y2721),ROUND(Y2721*0.9,2),"")</x:f>
        <x:v>37.8</x:v>
      </x:c>
      <x:c r="AC2721" s="36" t="n">
        <x:f>IF(ISNUMBER(AB2721),ROUND(AB2721-(AB2721*0.015+0.2)-V2721,2),"")</x:f>
        <x:v>8.24</x:v>
      </x:c>
      <x:c r="AD2721" s="36" t="n">
        <x:f>IF(ISNUMBER(Y2721),ROUND(Y2721*0.8,2),"")</x:f>
        <x:v>33.6</x:v>
      </x:c>
      <x:c r="AE2721" s="36" t="n">
        <x:f>IF(ISNUMBER(AD2721),ROUND(AD2721*0.015+0.2,2),"")</x:f>
        <x:v>0.7</x:v>
      </x:c>
      <x:c r="AF2721" s="36" t="n">
        <x:f>IF(ISNUMBER(AD2721),ROUND(AD2721-AE2721-V2721,2),"")</x:f>
        <x:v>4.11</x:v>
      </x:c>
      <x:c r="AG2721" t="str">
        <x:f>IF(NOT(ISNUMBER(T2721)),"PENDING",IF(AF2721&gt;0,"PASS","FAIL"))</x:f>
        <x:v>PASS</x:v>
      </x:c>
      <x:c r="AH2721" t="str">
        <x:f>IF(NOT(ISNUMBER(T2721)),"Needs supplier cost",IF(K2721&lt;&gt;"In stock","Supplier unavailable",IF(AG2721&lt;&gt;"PASS","BLOCK - GT loss risk","Commercially protected")))</x:f>
        <x:v>Commercially protected</x:v>
      </x:c>
      <x:c r="AI2721" t="str">
        <x:v>2026-09-10 Active Sports trade capture</x:v>
      </x:c>
      <x:c r="AJ2721" t="str">
        <x:v>Management-only economics. Stripe stress test uses 1.5% + £0.20 standard UK online-card fee; pallet/mix-and-match pricing ignored.</x:v>
      </x:c>
    </x:row>
    <x:row r="2722">
      <x:c r="A2722" t="str">
        <x:v>Active Sports Nutrition</x:v>
      </x:c>
      <x:c r="B2722" t="str">
        <x:v>Per4m Nutrition</x:v>
      </x:c>
      <x:c r="C2722" t="str">
        <x:v>Plant Protein</x:v>
      </x:c>
      <x:c r="D2722" t="str">
        <x:v>Supplements</x:v>
      </x:c>
      <x:c r="E2722" t="str">
        <x:v>Vegan Protein</x:v>
      </x:c>
      <x:c r="F2722" t="str"/>
      <x:c r="G2722" t="str">
        <x:v>2kg</x:v>
      </x:c>
      <x:c r="H2722" t="str">
        <x:v>Chocotella</x:v>
      </x:c>
      <x:c r="I2722" t="str"/>
      <x:c r="J2722" t="str">
        <x:v>Unit</x:v>
      </x:c>
      <x:c r="K2722" t="str">
        <x:v>In stock</x:v>
      </x:c>
      <x:c r="L2722" t="str">
        <x:v>2026-09-08</x:v>
      </x:c>
      <x:c r="M2722" t="str"/>
      <x:c r="N2722" t="str"/>
      <x:c r="O2722" t="str">
        <x:v>https://www.activesportstrade.co.uk/per4m-nutrition-trade</x:v>
      </x:c>
      <x:c r="P2722" t="str">
        <x:v>NEW wording stripped; freshest current brand page used.</x:v>
      </x:c>
      <x:c r="Q2722" t="str"/>
      <x:c r="R2722" t="str"/>
      <x:c r="S2722" t="str">
        <x:v>Pending genuine supplier/brand image</x:v>
      </x:c>
      <x:c r="T2722" s="54" t="n">
        <x:v>23.99</x:v>
      </x:c>
      <x:c r="U2722" s="47" t="n">
        <x:v>0.2</x:v>
      </x:c>
      <x:c r="V2722" s="54" t="n">
        <x:f>IF(ISNUMBER(T2722),T2722*(1+U2722),"")</x:f>
        <x:v>28.787999999999997</x:v>
      </x:c>
      <x:c r="W2722" s="47" t="n">
        <x:v>0.3</x:v>
      </x:c>
      <x:c r="X2722" s="54" t="n">
        <x:f>IF(ISNUMBER(V2722),V2722/(1-W2722),"")</x:f>
        <x:v>41.12571428571428</x:v>
      </x:c>
      <x:c r="Y2722" s="55" t="n">
        <x:f>IF(ISNUMBER(X2722),ROUNDUP(X2722,0),"")</x:f>
        <x:v>42</x:v>
      </x:c>
      <x:c r="Z2722" t="str">
        <x:v>Source match pending</x:v>
      </x:c>
      <x:c r="AA2722" t="str">
        <x:v>screencapture-www-activesportstrade-co-uk-per4m-nutrition-trade-2026-09-10-09_06_42.pdf / page-07</x:v>
      </x:c>
      <x:c r="AB2722" s="36" t="n">
        <x:f>IF(ISNUMBER(Y2722),ROUND(Y2722*0.9,2),"")</x:f>
        <x:v>37.8</x:v>
      </x:c>
      <x:c r="AC2722" s="36" t="n">
        <x:f>IF(ISNUMBER(AB2722),ROUND(AB2722-(AB2722*0.015+0.2)-V2722,2),"")</x:f>
        <x:v>8.24</x:v>
      </x:c>
      <x:c r="AD2722" s="36" t="n">
        <x:f>IF(ISNUMBER(Y2722),ROUND(Y2722*0.8,2),"")</x:f>
        <x:v>33.6</x:v>
      </x:c>
      <x:c r="AE2722" s="36" t="n">
        <x:f>IF(ISNUMBER(AD2722),ROUND(AD2722*0.015+0.2,2),"")</x:f>
        <x:v>0.7</x:v>
      </x:c>
      <x:c r="AF2722" s="36" t="n">
        <x:f>IF(ISNUMBER(AD2722),ROUND(AD2722-AE2722-V2722,2),"")</x:f>
        <x:v>4.11</x:v>
      </x:c>
      <x:c r="AG2722" t="str">
        <x:f>IF(NOT(ISNUMBER(T2722)),"PENDING",IF(AF2722&gt;0,"PASS","FAIL"))</x:f>
        <x:v>PASS</x:v>
      </x:c>
      <x:c r="AH2722" t="str">
        <x:f>IF(NOT(ISNUMBER(T2722)),"Needs supplier cost",IF(K2722&lt;&gt;"In stock","Supplier unavailable",IF(AG2722&lt;&gt;"PASS","BLOCK - GT loss risk","Commercially protected")))</x:f>
        <x:v>Commercially protected</x:v>
      </x:c>
      <x:c r="AI2722" t="str">
        <x:v>2026-09-10 Active Sports trade capture</x:v>
      </x:c>
      <x:c r="AJ2722" t="str">
        <x:v>Management-only economics. Stripe stress test uses 1.5% + £0.20 standard UK online-card fee; pallet/mix-and-match pricing ignored.</x:v>
      </x:c>
    </x:row>
    <x:row r="2723">
      <x:c r="A2723" t="str">
        <x:v>Active Sports Nutrition</x:v>
      </x:c>
      <x:c r="B2723" t="str">
        <x:v>Per4m Nutrition</x:v>
      </x:c>
      <x:c r="C2723" t="str">
        <x:v>Plant Protein</x:v>
      </x:c>
      <x:c r="D2723" t="str">
        <x:v>Supplements</x:v>
      </x:c>
      <x:c r="E2723" t="str">
        <x:v>Vegan Protein</x:v>
      </x:c>
      <x:c r="F2723" t="str"/>
      <x:c r="G2723" t="str">
        <x:v>2kg</x:v>
      </x:c>
      <x:c r="H2723" t="str">
        <x:v>Double Chocolate</x:v>
      </x:c>
      <x:c r="I2723" t="str"/>
      <x:c r="J2723" t="str">
        <x:v>Unit</x:v>
      </x:c>
      <x:c r="K2723" t="str">
        <x:v>In stock</x:v>
      </x:c>
      <x:c r="L2723" t="str">
        <x:v>2026-09-08</x:v>
      </x:c>
      <x:c r="M2723" t="str"/>
      <x:c r="N2723" t="str"/>
      <x:c r="O2723" t="str">
        <x:v>https://www.activesportstrade.co.uk/per4m-nutrition-trade</x:v>
      </x:c>
      <x:c r="P2723" t="str">
        <x:v>NEW wording stripped; freshest current brand page used.</x:v>
      </x:c>
      <x:c r="Q2723" t="str"/>
      <x:c r="R2723" t="str"/>
      <x:c r="S2723" t="str">
        <x:v>Pending genuine supplier/brand image</x:v>
      </x:c>
      <x:c r="T2723" s="54" t="n">
        <x:v>23.99</x:v>
      </x:c>
      <x:c r="U2723" s="47" t="n">
        <x:v>0.2</x:v>
      </x:c>
      <x:c r="V2723" s="54" t="n">
        <x:f>IF(ISNUMBER(T2723),T2723*(1+U2723),"")</x:f>
        <x:v>28.787999999999997</x:v>
      </x:c>
      <x:c r="W2723" s="47" t="n">
        <x:v>0.3</x:v>
      </x:c>
      <x:c r="X2723" s="54" t="n">
        <x:f>IF(ISNUMBER(V2723),V2723/(1-W2723),"")</x:f>
        <x:v>41.12571428571428</x:v>
      </x:c>
      <x:c r="Y2723" s="55" t="n">
        <x:f>IF(ISNUMBER(X2723),ROUNDUP(X2723,0),"")</x:f>
        <x:v>42</x:v>
      </x:c>
      <x:c r="Z2723" t="str">
        <x:v>Source match pending</x:v>
      </x:c>
      <x:c r="AA2723" t="str">
        <x:v>screencapture-www-activesportstrade-co-uk-per4m-nutrition-trade-2026-09-10-09_06_42.pdf / page-07</x:v>
      </x:c>
      <x:c r="AB2723" s="36" t="n">
        <x:f>IF(ISNUMBER(Y2723),ROUND(Y2723*0.9,2),"")</x:f>
        <x:v>37.8</x:v>
      </x:c>
      <x:c r="AC2723" s="36" t="n">
        <x:f>IF(ISNUMBER(AB2723),ROUND(AB2723-(AB2723*0.015+0.2)-V2723,2),"")</x:f>
        <x:v>8.24</x:v>
      </x:c>
      <x:c r="AD2723" s="36" t="n">
        <x:f>IF(ISNUMBER(Y2723),ROUND(Y2723*0.8,2),"")</x:f>
        <x:v>33.6</x:v>
      </x:c>
      <x:c r="AE2723" s="36" t="n">
        <x:f>IF(ISNUMBER(AD2723),ROUND(AD2723*0.015+0.2,2),"")</x:f>
        <x:v>0.7</x:v>
      </x:c>
      <x:c r="AF2723" s="36" t="n">
        <x:f>IF(ISNUMBER(AD2723),ROUND(AD2723-AE2723-V2723,2),"")</x:f>
        <x:v>4.11</x:v>
      </x:c>
      <x:c r="AG2723" t="str">
        <x:f>IF(NOT(ISNUMBER(T2723)),"PENDING",IF(AF2723&gt;0,"PASS","FAIL"))</x:f>
        <x:v>PASS</x:v>
      </x:c>
      <x:c r="AH2723" t="str">
        <x:f>IF(NOT(ISNUMBER(T2723)),"Needs supplier cost",IF(K2723&lt;&gt;"In stock","Supplier unavailable",IF(AG2723&lt;&gt;"PASS","BLOCK - GT loss risk","Commercially protected")))</x:f>
        <x:v>Commercially protected</x:v>
      </x:c>
      <x:c r="AI2723" t="str">
        <x:v>2026-09-10 Active Sports trade capture</x:v>
      </x:c>
      <x:c r="AJ2723" t="str">
        <x:v>Management-only economics. Stripe stress test uses 1.5% + £0.20 standard UK online-card fee; pallet/mix-and-match pricing ignored.</x:v>
      </x:c>
    </x:row>
    <x:row r="2724">
      <x:c r="A2724" t="str">
        <x:v>Active Sports Nutrition</x:v>
      </x:c>
      <x:c r="B2724" t="str">
        <x:v>Per4m Nutrition</x:v>
      </x:c>
      <x:c r="C2724" t="str">
        <x:v>Plant Protein</x:v>
      </x:c>
      <x:c r="D2724" t="str">
        <x:v>Supplements</x:v>
      </x:c>
      <x:c r="E2724" t="str">
        <x:v>Vegan Protein</x:v>
      </x:c>
      <x:c r="F2724" t="str"/>
      <x:c r="G2724" t="str">
        <x:v>2kg</x:v>
      </x:c>
      <x:c r="H2724" t="str">
        <x:v>Raspberry White Chocolate</x:v>
      </x:c>
      <x:c r="I2724" t="str"/>
      <x:c r="J2724" t="str">
        <x:v>Unit</x:v>
      </x:c>
      <x:c r="K2724" t="str">
        <x:v>In stock</x:v>
      </x:c>
      <x:c r="L2724" t="str">
        <x:v>2026-09-08</x:v>
      </x:c>
      <x:c r="M2724" t="str"/>
      <x:c r="N2724" t="str"/>
      <x:c r="O2724" t="str">
        <x:v>https://www.activesportstrade.co.uk/per4m-nutrition-trade</x:v>
      </x:c>
      <x:c r="P2724" t="str">
        <x:v>NEW wording stripped; freshest current brand page used.</x:v>
      </x:c>
      <x:c r="Q2724" t="str"/>
      <x:c r="R2724" t="str"/>
      <x:c r="S2724" t="str">
        <x:v>Pending genuine supplier/brand image</x:v>
      </x:c>
      <x:c r="T2724" s="54" t="n">
        <x:v>23.99</x:v>
      </x:c>
      <x:c r="U2724" s="47" t="n">
        <x:v>0.2</x:v>
      </x:c>
      <x:c r="V2724" s="54" t="n">
        <x:f>IF(ISNUMBER(T2724),T2724*(1+U2724),"")</x:f>
        <x:v>28.787999999999997</x:v>
      </x:c>
      <x:c r="W2724" s="47" t="n">
        <x:v>0.3</x:v>
      </x:c>
      <x:c r="X2724" s="54" t="n">
        <x:f>IF(ISNUMBER(V2724),V2724/(1-W2724),"")</x:f>
        <x:v>41.12571428571428</x:v>
      </x:c>
      <x:c r="Y2724" s="55" t="n">
        <x:f>IF(ISNUMBER(X2724),ROUNDUP(X2724,0),"")</x:f>
        <x:v>42</x:v>
      </x:c>
      <x:c r="Z2724" t="str">
        <x:v>Source match pending</x:v>
      </x:c>
      <x:c r="AA2724" t="str">
        <x:v>screencapture-www-activesportstrade-co-uk-per4m-nutrition-trade-2026-09-10-09_06_42.pdf / page-07</x:v>
      </x:c>
      <x:c r="AB2724" s="36" t="n">
        <x:f>IF(ISNUMBER(Y2724),ROUND(Y2724*0.9,2),"")</x:f>
        <x:v>37.8</x:v>
      </x:c>
      <x:c r="AC2724" s="36" t="n">
        <x:f>IF(ISNUMBER(AB2724),ROUND(AB2724-(AB2724*0.015+0.2)-V2724,2),"")</x:f>
        <x:v>8.24</x:v>
      </x:c>
      <x:c r="AD2724" s="36" t="n">
        <x:f>IF(ISNUMBER(Y2724),ROUND(Y2724*0.8,2),"")</x:f>
        <x:v>33.6</x:v>
      </x:c>
      <x:c r="AE2724" s="36" t="n">
        <x:f>IF(ISNUMBER(AD2724),ROUND(AD2724*0.015+0.2,2),"")</x:f>
        <x:v>0.7</x:v>
      </x:c>
      <x:c r="AF2724" s="36" t="n">
        <x:f>IF(ISNUMBER(AD2724),ROUND(AD2724-AE2724-V2724,2),"")</x:f>
        <x:v>4.11</x:v>
      </x:c>
      <x:c r="AG2724" t="str">
        <x:f>IF(NOT(ISNUMBER(T2724)),"PENDING",IF(AF2724&gt;0,"PASS","FAIL"))</x:f>
        <x:v>PASS</x:v>
      </x:c>
      <x:c r="AH2724" t="str">
        <x:f>IF(NOT(ISNUMBER(T2724)),"Needs supplier cost",IF(K2724&lt;&gt;"In stock","Supplier unavailable",IF(AG2724&lt;&gt;"PASS","BLOCK - GT loss risk","Commercially protected")))</x:f>
        <x:v>Commercially protected</x:v>
      </x:c>
      <x:c r="AI2724" t="str">
        <x:v>2026-09-10 Active Sports trade capture</x:v>
      </x:c>
      <x:c r="AJ2724" t="str">
        <x:v>Management-only economics. Stripe stress test uses 1.5% + £0.20 standard UK online-card fee; pallet/mix-and-match pricing ignored.</x:v>
      </x:c>
    </x:row>
    <x:row r="2725">
      <x:c r="A2725" t="str">
        <x:v>Active Sports Nutrition</x:v>
      </x:c>
      <x:c r="B2725" t="str">
        <x:v>Per4m Nutrition</x:v>
      </x:c>
      <x:c r="C2725" t="str">
        <x:v>Plant Protein</x:v>
      </x:c>
      <x:c r="D2725" t="str">
        <x:v>Supplements</x:v>
      </x:c>
      <x:c r="E2725" t="str">
        <x:v>Vegan Protein</x:v>
      </x:c>
      <x:c r="F2725" t="str"/>
      <x:c r="G2725" t="str">
        <x:v>2kg</x:v>
      </x:c>
      <x:c r="H2725" t="str">
        <x:v>Salted Caramel</x:v>
      </x:c>
      <x:c r="I2725" t="str"/>
      <x:c r="J2725" t="str">
        <x:v>Unit</x:v>
      </x:c>
      <x:c r="K2725" t="str">
        <x:v>In stock</x:v>
      </x:c>
      <x:c r="L2725" t="str">
        <x:v>2026-09-08</x:v>
      </x:c>
      <x:c r="M2725" t="str"/>
      <x:c r="N2725" t="str"/>
      <x:c r="O2725" t="str">
        <x:v>https://www.activesportstrade.co.uk/per4m-nutrition-trade</x:v>
      </x:c>
      <x:c r="P2725" t="str">
        <x:v>NEW wording stripped; freshest current brand page used.</x:v>
      </x:c>
      <x:c r="Q2725" t="str"/>
      <x:c r="R2725" t="str"/>
      <x:c r="S2725" t="str">
        <x:v>Pending genuine supplier/brand image</x:v>
      </x:c>
      <x:c r="T2725" s="54" t="n">
        <x:v>23.99</x:v>
      </x:c>
      <x:c r="U2725" s="47" t="n">
        <x:v>0.2</x:v>
      </x:c>
      <x:c r="V2725" s="54" t="n">
        <x:f>IF(ISNUMBER(T2725),T2725*(1+U2725),"")</x:f>
        <x:v>28.787999999999997</x:v>
      </x:c>
      <x:c r="W2725" s="47" t="n">
        <x:v>0.3</x:v>
      </x:c>
      <x:c r="X2725" s="54" t="n">
        <x:f>IF(ISNUMBER(V2725),V2725/(1-W2725),"")</x:f>
        <x:v>41.12571428571428</x:v>
      </x:c>
      <x:c r="Y2725" s="55" t="n">
        <x:f>IF(ISNUMBER(X2725),ROUNDUP(X2725,0),"")</x:f>
        <x:v>42</x:v>
      </x:c>
      <x:c r="Z2725" t="str">
        <x:v>Source match pending</x:v>
      </x:c>
      <x:c r="AA2725" t="str">
        <x:v>screencapture-www-activesportstrade-co-uk-per4m-nutrition-trade-2026-09-10-09_06_42.pdf / page-07</x:v>
      </x:c>
      <x:c r="AB2725" s="36" t="n">
        <x:f>IF(ISNUMBER(Y2725),ROUND(Y2725*0.9,2),"")</x:f>
        <x:v>37.8</x:v>
      </x:c>
      <x:c r="AC2725" s="36" t="n">
        <x:f>IF(ISNUMBER(AB2725),ROUND(AB2725-(AB2725*0.015+0.2)-V2725,2),"")</x:f>
        <x:v>8.24</x:v>
      </x:c>
      <x:c r="AD2725" s="36" t="n">
        <x:f>IF(ISNUMBER(Y2725),ROUND(Y2725*0.8,2),"")</x:f>
        <x:v>33.6</x:v>
      </x:c>
      <x:c r="AE2725" s="36" t="n">
        <x:f>IF(ISNUMBER(AD2725),ROUND(AD2725*0.015+0.2,2),"")</x:f>
        <x:v>0.7</x:v>
      </x:c>
      <x:c r="AF2725" s="36" t="n">
        <x:f>IF(ISNUMBER(AD2725),ROUND(AD2725-AE2725-V2725,2),"")</x:f>
        <x:v>4.11</x:v>
      </x:c>
      <x:c r="AG2725" t="str">
        <x:f>IF(NOT(ISNUMBER(T2725)),"PENDING",IF(AF2725&gt;0,"PASS","FAIL"))</x:f>
        <x:v>PASS</x:v>
      </x:c>
      <x:c r="AH2725" t="str">
        <x:f>IF(NOT(ISNUMBER(T2725)),"Needs supplier cost",IF(K2725&lt;&gt;"In stock","Supplier unavailable",IF(AG2725&lt;&gt;"PASS","BLOCK - GT loss risk","Commercially protected")))</x:f>
        <x:v>Commercially protected</x:v>
      </x:c>
      <x:c r="AI2725" t="str">
        <x:v>2026-09-10 Active Sports trade capture</x:v>
      </x:c>
      <x:c r="AJ2725" t="str">
        <x:v>Management-only economics. Stripe stress test uses 1.5% + £0.20 standard UK online-card fee; pallet/mix-and-match pricing ignored.</x:v>
      </x:c>
    </x:row>
    <x:row r="2726">
      <x:c r="A2726" t="str">
        <x:v>Active Sports Nutrition</x:v>
      </x:c>
      <x:c r="B2726" t="str">
        <x:v>Per4m Nutrition</x:v>
      </x:c>
      <x:c r="C2726" t="str">
        <x:v>Plant Protein</x:v>
      </x:c>
      <x:c r="D2726" t="str">
        <x:v>Supplements</x:v>
      </x:c>
      <x:c r="E2726" t="str">
        <x:v>Vegan Protein</x:v>
      </x:c>
      <x:c r="F2726" t="str"/>
      <x:c r="G2726" t="str">
        <x:v>2kg</x:v>
      </x:c>
      <x:c r="H2726" t="str">
        <x:v>Sticky Toffee Pudding</x:v>
      </x:c>
      <x:c r="I2726" t="str"/>
      <x:c r="J2726" t="str">
        <x:v>Unit</x:v>
      </x:c>
      <x:c r="K2726" t="str">
        <x:v>Out of stock</x:v>
      </x:c>
      <x:c r="L2726" t="str">
        <x:v>2026-09-08</x:v>
      </x:c>
      <x:c r="M2726" t="str"/>
      <x:c r="N2726" t="str"/>
      <x:c r="O2726" t="str">
        <x:v>https://www.activesportstrade.co.uk/per4m-nutrition-trade</x:v>
      </x:c>
      <x:c r="P2726" t="str">
        <x:v>NEW wording stripped; freshest current brand page used.</x:v>
      </x:c>
      <x:c r="Q2726" t="str"/>
      <x:c r="R2726" t="str"/>
      <x:c r="S2726" t="str">
        <x:v>Pending genuine supplier/brand image</x:v>
      </x:c>
      <x:c r="T2726" s="54" t="n">
        <x:v>23.99</x:v>
      </x:c>
      <x:c r="U2726" s="47" t="n">
        <x:v>0.2</x:v>
      </x:c>
      <x:c r="V2726" s="54" t="n">
        <x:f>IF(ISNUMBER(T2726),T2726*(1+U2726),"")</x:f>
        <x:v>28.787999999999997</x:v>
      </x:c>
      <x:c r="W2726" s="47" t="n">
        <x:v>0.3</x:v>
      </x:c>
      <x:c r="X2726" s="54" t="n">
        <x:f>IF(ISNUMBER(V2726),V2726/(1-W2726),"")</x:f>
        <x:v>41.12571428571428</x:v>
      </x:c>
      <x:c r="Y2726" s="55" t="n">
        <x:f>IF(ISNUMBER(X2726),ROUNDUP(X2726,0),"")</x:f>
        <x:v>42</x:v>
      </x:c>
      <x:c r="Z2726" t="str">
        <x:v>Source match pending</x:v>
      </x:c>
      <x:c r="AA2726" t="str">
        <x:v>screencapture-www-activesportstrade-co-uk-per4m-nutrition-trade-2026-09-10-09_06_42.pdf / page-07</x:v>
      </x:c>
      <x:c r="AB2726" s="36" t="n">
        <x:f>IF(ISNUMBER(Y2726),ROUND(Y2726*0.9,2),"")</x:f>
        <x:v>37.8</x:v>
      </x:c>
      <x:c r="AC2726" s="36" t="n">
        <x:f>IF(ISNUMBER(AB2726),ROUND(AB2726-(AB2726*0.015+0.2)-V2726,2),"")</x:f>
        <x:v>8.24</x:v>
      </x:c>
      <x:c r="AD2726" s="36" t="n">
        <x:f>IF(ISNUMBER(Y2726),ROUND(Y2726*0.8,2),"")</x:f>
        <x:v>33.6</x:v>
      </x:c>
      <x:c r="AE2726" s="36" t="n">
        <x:f>IF(ISNUMBER(AD2726),ROUND(AD2726*0.015+0.2,2),"")</x:f>
        <x:v>0.7</x:v>
      </x:c>
      <x:c r="AF2726" s="36" t="n">
        <x:f>IF(ISNUMBER(AD2726),ROUND(AD2726-AE2726-V2726,2),"")</x:f>
        <x:v>4.11</x:v>
      </x:c>
      <x:c r="AG2726" t="str">
        <x:f>IF(NOT(ISNUMBER(T2726)),"PENDING",IF(AF2726&gt;0,"PASS","FAIL"))</x:f>
        <x:v>PASS</x:v>
      </x:c>
      <x:c r="AH2726" t="str">
        <x:f>IF(NOT(ISNUMBER(T2726)),"Needs supplier cost",IF(K2726&lt;&gt;"In stock","Supplier unavailable",IF(AG2726&lt;&gt;"PASS","BLOCK - GT loss risk","Commercially protected")))</x:f>
        <x:v>Supplier unavailable</x:v>
      </x:c>
      <x:c r="AI2726" t="str">
        <x:v>2026-09-10 Active Sports trade capture</x:v>
      </x:c>
      <x:c r="AJ2726" t="str">
        <x:v>Management-only economics. Stripe stress test uses 1.5% + £0.20 standard UK online-card fee; pallet/mix-and-match pricing ignored.</x:v>
      </x:c>
    </x:row>
    <x:row r="2727">
      <x:c r="A2727" t="str">
        <x:v>Active Sports Nutrition</x:v>
      </x:c>
      <x:c r="B2727" t="str">
        <x:v>Per4m Nutrition</x:v>
      </x:c>
      <x:c r="C2727" t="str">
        <x:v>Plant Protein</x:v>
      </x:c>
      <x:c r="D2727" t="str">
        <x:v>Supplements</x:v>
      </x:c>
      <x:c r="E2727" t="str">
        <x:v>Vegan Protein</x:v>
      </x:c>
      <x:c r="F2727" t="str"/>
      <x:c r="G2727" t="str">
        <x:v>2kg</x:v>
      </x:c>
      <x:c r="H2727" t="str">
        <x:v>Strawberry Creme</x:v>
      </x:c>
      <x:c r="I2727" t="str"/>
      <x:c r="J2727" t="str">
        <x:v>Unit</x:v>
      </x:c>
      <x:c r="K2727" t="str">
        <x:v>In stock</x:v>
      </x:c>
      <x:c r="L2727" t="str">
        <x:v>2026-09-08</x:v>
      </x:c>
      <x:c r="M2727" t="str"/>
      <x:c r="N2727" t="str"/>
      <x:c r="O2727" t="str">
        <x:v>https://www.activesportstrade.co.uk/per4m-nutrition-trade</x:v>
      </x:c>
      <x:c r="P2727" t="str">
        <x:v>NEW wording stripped; freshest current brand page used.</x:v>
      </x:c>
      <x:c r="Q2727" t="str"/>
      <x:c r="R2727" t="str"/>
      <x:c r="S2727" t="str">
        <x:v>Pending genuine supplier/brand image</x:v>
      </x:c>
      <x:c r="T2727" s="54" t="n">
        <x:v>23.99</x:v>
      </x:c>
      <x:c r="U2727" s="47" t="n">
        <x:v>0.2</x:v>
      </x:c>
      <x:c r="V2727" s="54" t="n">
        <x:f>IF(ISNUMBER(T2727),T2727*(1+U2727),"")</x:f>
        <x:v>28.787999999999997</x:v>
      </x:c>
      <x:c r="W2727" s="47" t="n">
        <x:v>0.3</x:v>
      </x:c>
      <x:c r="X2727" s="54" t="n">
        <x:f>IF(ISNUMBER(V2727),V2727/(1-W2727),"")</x:f>
        <x:v>41.12571428571428</x:v>
      </x:c>
      <x:c r="Y2727" s="55" t="n">
        <x:f>IF(ISNUMBER(X2727),ROUNDUP(X2727,0),"")</x:f>
        <x:v>42</x:v>
      </x:c>
      <x:c r="Z2727" t="str">
        <x:v>Source match pending</x:v>
      </x:c>
      <x:c r="AA2727" t="str">
        <x:v>screencapture-www-activesportstrade-co-uk-per4m-nutrition-trade-2026-09-10-09_06_42.pdf / page-07</x:v>
      </x:c>
      <x:c r="AB2727" s="36" t="n">
        <x:f>IF(ISNUMBER(Y2727),ROUND(Y2727*0.9,2),"")</x:f>
        <x:v>37.8</x:v>
      </x:c>
      <x:c r="AC2727" s="36" t="n">
        <x:f>IF(ISNUMBER(AB2727),ROUND(AB2727-(AB2727*0.015+0.2)-V2727,2),"")</x:f>
        <x:v>8.24</x:v>
      </x:c>
      <x:c r="AD2727" s="36" t="n">
        <x:f>IF(ISNUMBER(Y2727),ROUND(Y2727*0.8,2),"")</x:f>
        <x:v>33.6</x:v>
      </x:c>
      <x:c r="AE2727" s="36" t="n">
        <x:f>IF(ISNUMBER(AD2727),ROUND(AD2727*0.015+0.2,2),"")</x:f>
        <x:v>0.7</x:v>
      </x:c>
      <x:c r="AF2727" s="36" t="n">
        <x:f>IF(ISNUMBER(AD2727),ROUND(AD2727-AE2727-V2727,2),"")</x:f>
        <x:v>4.11</x:v>
      </x:c>
      <x:c r="AG2727" t="str">
        <x:f>IF(NOT(ISNUMBER(T2727)),"PENDING",IF(AF2727&gt;0,"PASS","FAIL"))</x:f>
        <x:v>PASS</x:v>
      </x:c>
      <x:c r="AH2727" t="str">
        <x:f>IF(NOT(ISNUMBER(T2727)),"Needs supplier cost",IF(K2727&lt;&gt;"In stock","Supplier unavailable",IF(AG2727&lt;&gt;"PASS","BLOCK - GT loss risk","Commercially protected")))</x:f>
        <x:v>Commercially protected</x:v>
      </x:c>
      <x:c r="AI2727" t="str">
        <x:v>2026-09-10 Active Sports trade capture</x:v>
      </x:c>
      <x:c r="AJ2727" t="str">
        <x:v>Management-only economics. Stripe stress test uses 1.5% + £0.20 standard UK online-card fee; pallet/mix-and-match pricing ignored.</x:v>
      </x:c>
    </x:row>
    <x:row r="2728">
      <x:c r="A2728" t="str">
        <x:v>Active Sports Nutrition</x:v>
      </x:c>
      <x:c r="B2728" t="str">
        <x:v>Per4m Nutrition</x:v>
      </x:c>
      <x:c r="C2728" t="str">
        <x:v>Plant Protein</x:v>
      </x:c>
      <x:c r="D2728" t="str">
        <x:v>Supplements</x:v>
      </x:c>
      <x:c r="E2728" t="str">
        <x:v>Vegan Protein</x:v>
      </x:c>
      <x:c r="F2728" t="str"/>
      <x:c r="G2728" t="str">
        <x:v>2kg</x:v>
      </x:c>
      <x:c r="H2728" t="str">
        <x:v>Vanilla Creme</x:v>
      </x:c>
      <x:c r="I2728" t="str"/>
      <x:c r="J2728" t="str">
        <x:v>Unit</x:v>
      </x:c>
      <x:c r="K2728" t="str">
        <x:v>In stock</x:v>
      </x:c>
      <x:c r="L2728" t="str">
        <x:v>2026-09-08</x:v>
      </x:c>
      <x:c r="M2728" t="str"/>
      <x:c r="N2728" t="str"/>
      <x:c r="O2728" t="str">
        <x:v>https://www.activesportstrade.co.uk/per4m-nutrition-trade</x:v>
      </x:c>
      <x:c r="P2728" t="str">
        <x:v>NEW wording stripped; freshest current brand page used.</x:v>
      </x:c>
      <x:c r="Q2728" t="str"/>
      <x:c r="R2728" t="str"/>
      <x:c r="S2728" t="str">
        <x:v>Pending genuine supplier/brand image</x:v>
      </x:c>
      <x:c r="T2728" s="54" t="n">
        <x:v>23.99</x:v>
      </x:c>
      <x:c r="U2728" s="47" t="n">
        <x:v>0.2</x:v>
      </x:c>
      <x:c r="V2728" s="54" t="n">
        <x:f>IF(ISNUMBER(T2728),T2728*(1+U2728),"")</x:f>
        <x:v>28.787999999999997</x:v>
      </x:c>
      <x:c r="W2728" s="47" t="n">
        <x:v>0.3</x:v>
      </x:c>
      <x:c r="X2728" s="54" t="n">
        <x:f>IF(ISNUMBER(V2728),V2728/(1-W2728),"")</x:f>
        <x:v>41.12571428571428</x:v>
      </x:c>
      <x:c r="Y2728" s="55" t="n">
        <x:f>IF(ISNUMBER(X2728),ROUNDUP(X2728,0),"")</x:f>
        <x:v>42</x:v>
      </x:c>
      <x:c r="Z2728" t="str">
        <x:v>Source match pending</x:v>
      </x:c>
      <x:c r="AA2728" t="str">
        <x:v>screencapture-www-activesportstrade-co-uk-per4m-nutrition-trade-2026-09-10-09_06_42.pdf / page-07</x:v>
      </x:c>
      <x:c r="AB2728" s="36" t="n">
        <x:f>IF(ISNUMBER(Y2728),ROUND(Y2728*0.9,2),"")</x:f>
        <x:v>37.8</x:v>
      </x:c>
      <x:c r="AC2728" s="36" t="n">
        <x:f>IF(ISNUMBER(AB2728),ROUND(AB2728-(AB2728*0.015+0.2)-V2728,2),"")</x:f>
        <x:v>8.24</x:v>
      </x:c>
      <x:c r="AD2728" s="36" t="n">
        <x:f>IF(ISNUMBER(Y2728),ROUND(Y2728*0.8,2),"")</x:f>
        <x:v>33.6</x:v>
      </x:c>
      <x:c r="AE2728" s="36" t="n">
        <x:f>IF(ISNUMBER(AD2728),ROUND(AD2728*0.015+0.2,2),"")</x:f>
        <x:v>0.7</x:v>
      </x:c>
      <x:c r="AF2728" s="36" t="n">
        <x:f>IF(ISNUMBER(AD2728),ROUND(AD2728-AE2728-V2728,2),"")</x:f>
        <x:v>4.11</x:v>
      </x:c>
      <x:c r="AG2728" t="str">
        <x:f>IF(NOT(ISNUMBER(T2728)),"PENDING",IF(AF2728&gt;0,"PASS","FAIL"))</x:f>
        <x:v>PASS</x:v>
      </x:c>
      <x:c r="AH2728" t="str">
        <x:f>IF(NOT(ISNUMBER(T2728)),"Needs supplier cost",IF(K2728&lt;&gt;"In stock","Supplier unavailable",IF(AG2728&lt;&gt;"PASS","BLOCK - GT loss risk","Commercially protected")))</x:f>
        <x:v>Commercially protected</x:v>
      </x:c>
      <x:c r="AI2728" t="str">
        <x:v>2026-09-10 Active Sports trade capture</x:v>
      </x:c>
      <x:c r="AJ2728" t="str">
        <x:v>Management-only economics. Stripe stress test uses 1.5% + £0.20 standard UK online-card fee; pallet/mix-and-match pricing ignored.</x:v>
      </x:c>
    </x:row>
    <x:row r="2729">
      <x:c r="A2729" t="str">
        <x:v>Active Sports Nutrition</x:v>
      </x:c>
      <x:c r="B2729" t="str">
        <x:v>Per4m Nutrition</x:v>
      </x:c>
      <x:c r="C2729" t="str">
        <x:v>Whey Hydrate Clear Whey + Electrolytes</x:v>
      </x:c>
      <x:c r="D2729" t="str">
        <x:v>Supplements</x:v>
      </x:c>
      <x:c r="E2729" t="str">
        <x:v>Clear Whey / Hydration</x:v>
      </x:c>
      <x:c r="F2729" t="str"/>
      <x:c r="G2729" t="str">
        <x:v>900g</x:v>
      </x:c>
      <x:c r="H2729" t="str">
        <x:v>Blueberry Peach</x:v>
      </x:c>
      <x:c r="I2729" t="str"/>
      <x:c r="J2729" t="str">
        <x:v>Unit</x:v>
      </x:c>
      <x:c r="K2729" t="str">
        <x:v>In stock</x:v>
      </x:c>
      <x:c r="L2729" t="str">
        <x:v>2026-09-08</x:v>
      </x:c>
      <x:c r="M2729" t="str"/>
      <x:c r="N2729" t="str"/>
      <x:c r="O2729" t="str">
        <x:v>https://www.activesportstrade.co.uk/Whey-Protein-Supplements-Trade/per4m-nutrition-trade</x:v>
      </x:c>
      <x:c r="P2729" t="str"/>
      <x:c r="Q2729" t="str"/>
      <x:c r="R2729" t="str"/>
      <x:c r="S2729" t="str">
        <x:v>Pending genuine supplier/brand image</x:v>
      </x:c>
      <x:c r="T2729" s="54"/>
      <x:c r="U2729" s="47" t="n">
        <x:v>0.2</x:v>
      </x:c>
      <x:c r="V2729" s="54" t="str">
        <x:f>IF(ISNUMBER(T2729),T2729*(1+U2729),"")</x:f>
      </x:c>
      <x:c r="W2729" s="47" t="n">
        <x:v>0.3</x:v>
      </x:c>
      <x:c r="X2729" s="54" t="str">
        <x:f>IF(ISNUMBER(V2729),V2729/(1-W2729),"")</x:f>
      </x:c>
      <x:c r="Y2729" s="55" t="str">
        <x:f>IF(ISNUMBER(X2729),ROUNDUP(X2729,0),"")</x:f>
      </x:c>
      <x:c r="Z2729" t="str">
        <x:f>IF(ISNUMBER(T2729),"Cost captured","Awaiting trade cost")</x:f>
        <x:v>Awaiting trade cost</x:v>
      </x:c>
      <x:c r="AB2729" s="36" t="str">
        <x:f>IF(ISNUMBER(Y2729),ROUND(Y2729*0.9,2),"")</x:f>
      </x:c>
      <x:c r="AC2729" s="36" t="str">
        <x:f>IF(ISNUMBER(AB2729),ROUND(AB2729-(AB2729*0.015+0.2)-V2729,2),"")</x:f>
      </x:c>
      <x:c r="AD2729" s="36" t="str">
        <x:f>IF(ISNUMBER(Y2729),ROUND(Y2729*0.8,2),"")</x:f>
      </x:c>
      <x:c r="AE2729" s="36" t="str">
        <x:f>IF(ISNUMBER(AD2729),ROUND(AD2729*0.015+0.2,2),"")</x:f>
      </x:c>
      <x:c r="AF2729" s="36" t="str">
        <x:f>IF(ISNUMBER(AD2729),ROUND(AD2729-AE2729-V2729,2),"")</x:f>
      </x:c>
      <x:c r="AG2729" t="str">
        <x:f>IF(NOT(ISNUMBER(T2729)),"PENDING",IF(AF2729&gt;0,"PASS","FAIL"))</x:f>
        <x:v>PENDING</x:v>
      </x:c>
      <x:c r="AH2729" t="str">
        <x:f>IF(NOT(ISNUMBER(T2729)),"Needs supplier cost",IF(K2729&lt;&gt;"In stock","Supplier unavailable",IF(AG2729&lt;&gt;"PASS","BLOCK - GT loss risk","Commercially protected")))</x:f>
        <x:v>Needs supplier cost</x:v>
      </x:c>
      <x:c r="AI2729" t="str">
        <x:v>2026-09-10 Active Sports trade capture</x:v>
      </x:c>
      <x:c r="AJ2729" t="str">
        <x:v>Management-only economics. Stripe stress test uses 1.5% + £0.20 standard UK online-card fee; pallet/mix-and-match pricing ignored.</x:v>
      </x:c>
    </x:row>
    <x:row r="2730">
      <x:c r="A2730" t="str">
        <x:v>Active Sports Nutrition</x:v>
      </x:c>
      <x:c r="B2730" t="str">
        <x:v>Per4m Nutrition</x:v>
      </x:c>
      <x:c r="C2730" t="str">
        <x:v>Whey Hydrate Clear Whey + Electrolytes</x:v>
      </x:c>
      <x:c r="D2730" t="str">
        <x:v>Supplements</x:v>
      </x:c>
      <x:c r="E2730" t="str">
        <x:v>Clear Whey / Hydration</x:v>
      </x:c>
      <x:c r="F2730" t="str"/>
      <x:c r="G2730" t="str">
        <x:v>900g</x:v>
      </x:c>
      <x:c r="H2730" t="str">
        <x:v>Mango Coconut</x:v>
      </x:c>
      <x:c r="I2730" t="str"/>
      <x:c r="J2730" t="str">
        <x:v>Unit</x:v>
      </x:c>
      <x:c r="K2730" t="str">
        <x:v>In stock</x:v>
      </x:c>
      <x:c r="L2730" t="str">
        <x:v>2026-09-08</x:v>
      </x:c>
      <x:c r="M2730" t="str"/>
      <x:c r="N2730" t="str"/>
      <x:c r="O2730" t="str">
        <x:v>https://www.activesportstrade.co.uk/Whey-Protein-Supplements-Trade/per4m-nutrition-trade</x:v>
      </x:c>
      <x:c r="P2730" t="str"/>
      <x:c r="Q2730" t="str"/>
      <x:c r="R2730" t="str"/>
      <x:c r="S2730" t="str">
        <x:v>Pending genuine supplier/brand image</x:v>
      </x:c>
      <x:c r="T2730" s="54"/>
      <x:c r="U2730" s="47" t="n">
        <x:v>0.2</x:v>
      </x:c>
      <x:c r="V2730" s="54" t="str">
        <x:f>IF(ISNUMBER(T2730),T2730*(1+U2730),"")</x:f>
      </x:c>
      <x:c r="W2730" s="47" t="n">
        <x:v>0.3</x:v>
      </x:c>
      <x:c r="X2730" s="54" t="str">
        <x:f>IF(ISNUMBER(V2730),V2730/(1-W2730),"")</x:f>
      </x:c>
      <x:c r="Y2730" s="55" t="str">
        <x:f>IF(ISNUMBER(X2730),ROUNDUP(X2730,0),"")</x:f>
      </x:c>
      <x:c r="Z2730" t="str">
        <x:f>IF(ISNUMBER(T2730),"Cost captured","Awaiting trade cost")</x:f>
        <x:v>Awaiting trade cost</x:v>
      </x:c>
      <x:c r="AB2730" s="36" t="str">
        <x:f>IF(ISNUMBER(Y2730),ROUND(Y2730*0.9,2),"")</x:f>
      </x:c>
      <x:c r="AC2730" s="36" t="str">
        <x:f>IF(ISNUMBER(AB2730),ROUND(AB2730-(AB2730*0.015+0.2)-V2730,2),"")</x:f>
      </x:c>
      <x:c r="AD2730" s="36" t="str">
        <x:f>IF(ISNUMBER(Y2730),ROUND(Y2730*0.8,2),"")</x:f>
      </x:c>
      <x:c r="AE2730" s="36" t="str">
        <x:f>IF(ISNUMBER(AD2730),ROUND(AD2730*0.015+0.2,2),"")</x:f>
      </x:c>
      <x:c r="AF2730" s="36" t="str">
        <x:f>IF(ISNUMBER(AD2730),ROUND(AD2730-AE2730-V2730,2),"")</x:f>
      </x:c>
      <x:c r="AG2730" t="str">
        <x:f>IF(NOT(ISNUMBER(T2730)),"PENDING",IF(AF2730&gt;0,"PASS","FAIL"))</x:f>
        <x:v>PENDING</x:v>
      </x:c>
      <x:c r="AH2730" t="str">
        <x:f>IF(NOT(ISNUMBER(T2730)),"Needs supplier cost",IF(K2730&lt;&gt;"In stock","Supplier unavailable",IF(AG2730&lt;&gt;"PASS","BLOCK - GT loss risk","Commercially protected")))</x:f>
        <x:v>Needs supplier cost</x:v>
      </x:c>
      <x:c r="AI2730" t="str">
        <x:v>2026-09-10 Active Sports trade capture</x:v>
      </x:c>
      <x:c r="AJ2730" t="str">
        <x:v>Management-only economics. Stripe stress test uses 1.5% + £0.20 standard UK online-card fee; pallet/mix-and-match pricing ignored.</x:v>
      </x:c>
    </x:row>
    <x:row r="2731">
      <x:c r="A2731" t="str">
        <x:v>Active Sports Nutrition</x:v>
      </x:c>
      <x:c r="B2731" t="str">
        <x:v>Per4m Nutrition</x:v>
      </x:c>
      <x:c r="C2731" t="str">
        <x:v>Whey Hydrate Clear Whey + Electrolytes</x:v>
      </x:c>
      <x:c r="D2731" t="str">
        <x:v>Supplements</x:v>
      </x:c>
      <x:c r="E2731" t="str">
        <x:v>Clear Whey / Hydration</x:v>
      </x:c>
      <x:c r="F2731" t="str"/>
      <x:c r="G2731" t="str">
        <x:v>900g</x:v>
      </x:c>
      <x:c r="H2731" t="str">
        <x:v>Orange and Pineapple</x:v>
      </x:c>
      <x:c r="I2731" t="str"/>
      <x:c r="J2731" t="str">
        <x:v>Unit</x:v>
      </x:c>
      <x:c r="K2731" t="str">
        <x:v>Out of stock</x:v>
      </x:c>
      <x:c r="L2731" t="str">
        <x:v>2026-09-08</x:v>
      </x:c>
      <x:c r="M2731" t="str"/>
      <x:c r="N2731" t="str"/>
      <x:c r="O2731" t="str">
        <x:v>https://www.activesportstrade.co.uk/Whey-Protein-Supplements-Trade/per4m-nutrition-trade</x:v>
      </x:c>
      <x:c r="P2731" t="str"/>
      <x:c r="Q2731" t="str"/>
      <x:c r="R2731" t="str"/>
      <x:c r="S2731" t="str">
        <x:v>Pending genuine supplier/brand image</x:v>
      </x:c>
      <x:c r="T2731" s="54"/>
      <x:c r="U2731" s="47" t="n">
        <x:v>0.2</x:v>
      </x:c>
      <x:c r="V2731" s="54" t="str">
        <x:f>IF(ISNUMBER(T2731),T2731*(1+U2731),"")</x:f>
      </x:c>
      <x:c r="W2731" s="47" t="n">
        <x:v>0.3</x:v>
      </x:c>
      <x:c r="X2731" s="54" t="str">
        <x:f>IF(ISNUMBER(V2731),V2731/(1-W2731),"")</x:f>
      </x:c>
      <x:c r="Y2731" s="55" t="str">
        <x:f>IF(ISNUMBER(X2731),ROUNDUP(X2731,0),"")</x:f>
      </x:c>
      <x:c r="Z2731" t="str">
        <x:f>IF(ISNUMBER(T2731),"Cost captured","Awaiting trade cost")</x:f>
        <x:v>Awaiting trade cost</x:v>
      </x:c>
      <x:c r="AB2731" s="36" t="str">
        <x:f>IF(ISNUMBER(Y2731),ROUND(Y2731*0.9,2),"")</x:f>
      </x:c>
      <x:c r="AC2731" s="36" t="str">
        <x:f>IF(ISNUMBER(AB2731),ROUND(AB2731-(AB2731*0.015+0.2)-V2731,2),"")</x:f>
      </x:c>
      <x:c r="AD2731" s="36" t="str">
        <x:f>IF(ISNUMBER(Y2731),ROUND(Y2731*0.8,2),"")</x:f>
      </x:c>
      <x:c r="AE2731" s="36" t="str">
        <x:f>IF(ISNUMBER(AD2731),ROUND(AD2731*0.015+0.2,2),"")</x:f>
      </x:c>
      <x:c r="AF2731" s="36" t="str">
        <x:f>IF(ISNUMBER(AD2731),ROUND(AD2731-AE2731-V2731,2),"")</x:f>
      </x:c>
      <x:c r="AG2731" t="str">
        <x:f>IF(NOT(ISNUMBER(T2731)),"PENDING",IF(AF2731&gt;0,"PASS","FAIL"))</x:f>
        <x:v>PENDING</x:v>
      </x:c>
      <x:c r="AH2731" t="str">
        <x:f>IF(NOT(ISNUMBER(T2731)),"Needs supplier cost",IF(K2731&lt;&gt;"In stock","Supplier unavailable",IF(AG2731&lt;&gt;"PASS","BLOCK - GT loss risk","Commercially protected")))</x:f>
        <x:v>Needs supplier cost</x:v>
      </x:c>
      <x:c r="AI2731" t="str">
        <x:v>2026-09-10 Active Sports trade capture</x:v>
      </x:c>
      <x:c r="AJ2731" t="str">
        <x:v>Management-only economics. Stripe stress test uses 1.5% + £0.20 standard UK online-card fee; pallet/mix-and-match pricing ignored.</x:v>
      </x:c>
    </x:row>
    <x:row r="2732">
      <x:c r="A2732" t="str">
        <x:v>Active Sports Nutrition</x:v>
      </x:c>
      <x:c r="B2732" t="str">
        <x:v>Per4m Nutrition</x:v>
      </x:c>
      <x:c r="C2732" t="str">
        <x:v>Whey Hydrate Clear Whey + Electrolytes</x:v>
      </x:c>
      <x:c r="D2732" t="str">
        <x:v>Supplements</x:v>
      </x:c>
      <x:c r="E2732" t="str">
        <x:v>Clear Whey / Hydration</x:v>
      </x:c>
      <x:c r="F2732" t="str"/>
      <x:c r="G2732" t="str">
        <x:v>900g</x:v>
      </x:c>
      <x:c r="H2732" t="str">
        <x:v>Passionfruit Martini</x:v>
      </x:c>
      <x:c r="I2732" t="str"/>
      <x:c r="J2732" t="str">
        <x:v>Unit</x:v>
      </x:c>
      <x:c r="K2732" t="str">
        <x:v>In stock</x:v>
      </x:c>
      <x:c r="L2732" t="str">
        <x:v>2026-09-08</x:v>
      </x:c>
      <x:c r="M2732" t="str"/>
      <x:c r="N2732" t="str"/>
      <x:c r="O2732" t="str">
        <x:v>https://www.activesportstrade.co.uk/Whey-Protein-Supplements-Trade/per4m-nutrition-trade</x:v>
      </x:c>
      <x:c r="P2732" t="str"/>
      <x:c r="Q2732" t="str"/>
      <x:c r="R2732" t="str"/>
      <x:c r="S2732" t="str">
        <x:v>Pending genuine supplier/brand image</x:v>
      </x:c>
      <x:c r="T2732" s="54"/>
      <x:c r="U2732" s="47" t="n">
        <x:v>0.2</x:v>
      </x:c>
      <x:c r="V2732" s="54" t="str">
        <x:f>IF(ISNUMBER(T2732),T2732*(1+U2732),"")</x:f>
      </x:c>
      <x:c r="W2732" s="47" t="n">
        <x:v>0.3</x:v>
      </x:c>
      <x:c r="X2732" s="54" t="str">
        <x:f>IF(ISNUMBER(V2732),V2732/(1-W2732),"")</x:f>
      </x:c>
      <x:c r="Y2732" s="55" t="str">
        <x:f>IF(ISNUMBER(X2732),ROUNDUP(X2732,0),"")</x:f>
      </x:c>
      <x:c r="Z2732" t="str">
        <x:f>IF(ISNUMBER(T2732),"Cost captured","Awaiting trade cost")</x:f>
        <x:v>Awaiting trade cost</x:v>
      </x:c>
      <x:c r="AB2732" s="36" t="str">
        <x:f>IF(ISNUMBER(Y2732),ROUND(Y2732*0.9,2),"")</x:f>
      </x:c>
      <x:c r="AC2732" s="36" t="str">
        <x:f>IF(ISNUMBER(AB2732),ROUND(AB2732-(AB2732*0.015+0.2)-V2732,2),"")</x:f>
      </x:c>
      <x:c r="AD2732" s="36" t="str">
        <x:f>IF(ISNUMBER(Y2732),ROUND(Y2732*0.8,2),"")</x:f>
      </x:c>
      <x:c r="AE2732" s="36" t="str">
        <x:f>IF(ISNUMBER(AD2732),ROUND(AD2732*0.015+0.2,2),"")</x:f>
      </x:c>
      <x:c r="AF2732" s="36" t="str">
        <x:f>IF(ISNUMBER(AD2732),ROUND(AD2732-AE2732-V2732,2),"")</x:f>
      </x:c>
      <x:c r="AG2732" t="str">
        <x:f>IF(NOT(ISNUMBER(T2732)),"PENDING",IF(AF2732&gt;0,"PASS","FAIL"))</x:f>
        <x:v>PENDING</x:v>
      </x:c>
      <x:c r="AH2732" t="str">
        <x:f>IF(NOT(ISNUMBER(T2732)),"Needs supplier cost",IF(K2732&lt;&gt;"In stock","Supplier unavailable",IF(AG2732&lt;&gt;"PASS","BLOCK - GT loss risk","Commercially protected")))</x:f>
        <x:v>Needs supplier cost</x:v>
      </x:c>
      <x:c r="AI2732" t="str">
        <x:v>2026-09-10 Active Sports trade capture</x:v>
      </x:c>
      <x:c r="AJ2732" t="str">
        <x:v>Management-only economics. Stripe stress test uses 1.5% + £0.20 standard UK online-card fee; pallet/mix-and-match pricing ignored.</x:v>
      </x:c>
    </x:row>
    <x:row r="2733">
      <x:c r="A2733" t="str">
        <x:v>Active Sports Nutrition</x:v>
      </x:c>
      <x:c r="B2733" t="str">
        <x:v>Per4m Nutrition</x:v>
      </x:c>
      <x:c r="C2733" t="str">
        <x:v>Whey Hydrate Clear Whey + Electrolytes</x:v>
      </x:c>
      <x:c r="D2733" t="str">
        <x:v>Supplements</x:v>
      </x:c>
      <x:c r="E2733" t="str">
        <x:v>Clear Whey / Hydration</x:v>
      </x:c>
      <x:c r="F2733" t="str"/>
      <x:c r="G2733" t="str">
        <x:v>900g</x:v>
      </x:c>
      <x:c r="H2733" t="str">
        <x:v>Raspberry Peach</x:v>
      </x:c>
      <x:c r="I2733" t="str"/>
      <x:c r="J2733" t="str">
        <x:v>Unit</x:v>
      </x:c>
      <x:c r="K2733" t="str">
        <x:v>Out of stock</x:v>
      </x:c>
      <x:c r="L2733" t="str">
        <x:v>2026-09-08</x:v>
      </x:c>
      <x:c r="M2733" t="str"/>
      <x:c r="N2733" t="str"/>
      <x:c r="O2733" t="str">
        <x:v>https://www.activesportstrade.co.uk/Whey-Protein-Supplements-Trade/per4m-nutrition-trade</x:v>
      </x:c>
      <x:c r="P2733" t="str"/>
      <x:c r="Q2733" t="str"/>
      <x:c r="R2733" t="str"/>
      <x:c r="S2733" t="str">
        <x:v>Pending genuine supplier/brand image</x:v>
      </x:c>
      <x:c r="T2733" s="54"/>
      <x:c r="U2733" s="47" t="n">
        <x:v>0.2</x:v>
      </x:c>
      <x:c r="V2733" s="54" t="str">
        <x:f>IF(ISNUMBER(T2733),T2733*(1+U2733),"")</x:f>
      </x:c>
      <x:c r="W2733" s="47" t="n">
        <x:v>0.3</x:v>
      </x:c>
      <x:c r="X2733" s="54" t="str">
        <x:f>IF(ISNUMBER(V2733),V2733/(1-W2733),"")</x:f>
      </x:c>
      <x:c r="Y2733" s="55" t="str">
        <x:f>IF(ISNUMBER(X2733),ROUNDUP(X2733,0),"")</x:f>
      </x:c>
      <x:c r="Z2733" t="str">
        <x:f>IF(ISNUMBER(T2733),"Cost captured","Awaiting trade cost")</x:f>
        <x:v>Awaiting trade cost</x:v>
      </x:c>
      <x:c r="AB2733" s="36" t="str">
        <x:f>IF(ISNUMBER(Y2733),ROUND(Y2733*0.9,2),"")</x:f>
      </x:c>
      <x:c r="AC2733" s="36" t="str">
        <x:f>IF(ISNUMBER(AB2733),ROUND(AB2733-(AB2733*0.015+0.2)-V2733,2),"")</x:f>
      </x:c>
      <x:c r="AD2733" s="36" t="str">
        <x:f>IF(ISNUMBER(Y2733),ROUND(Y2733*0.8,2),"")</x:f>
      </x:c>
      <x:c r="AE2733" s="36" t="str">
        <x:f>IF(ISNUMBER(AD2733),ROUND(AD2733*0.015+0.2,2),"")</x:f>
      </x:c>
      <x:c r="AF2733" s="36" t="str">
        <x:f>IF(ISNUMBER(AD2733),ROUND(AD2733-AE2733-V2733,2),"")</x:f>
      </x:c>
      <x:c r="AG2733" t="str">
        <x:f>IF(NOT(ISNUMBER(T2733)),"PENDING",IF(AF2733&gt;0,"PASS","FAIL"))</x:f>
        <x:v>PENDING</x:v>
      </x:c>
      <x:c r="AH2733" t="str">
        <x:f>IF(NOT(ISNUMBER(T2733)),"Needs supplier cost",IF(K2733&lt;&gt;"In stock","Supplier unavailable",IF(AG2733&lt;&gt;"PASS","BLOCK - GT loss risk","Commercially protected")))</x:f>
        <x:v>Needs supplier cost</x:v>
      </x:c>
      <x:c r="AI2733" t="str">
        <x:v>2026-09-10 Active Sports trade capture</x:v>
      </x:c>
      <x:c r="AJ2733" t="str">
        <x:v>Management-only economics. Stripe stress test uses 1.5% + £0.20 standard UK online-card fee; pallet/mix-and-match pricing ignored.</x:v>
      </x:c>
    </x:row>
    <x:row r="2734">
      <x:c r="A2734" t="str">
        <x:v>Active Sports Nutrition</x:v>
      </x:c>
      <x:c r="B2734" t="str">
        <x:v>Per4m Nutrition</x:v>
      </x:c>
      <x:c r="C2734" t="str">
        <x:v>Whey Hydrate Clear Whey + Electrolytes</x:v>
      </x:c>
      <x:c r="D2734" t="str">
        <x:v>Supplements</x:v>
      </x:c>
      <x:c r="E2734" t="str">
        <x:v>Clear Whey / Hydration</x:v>
      </x:c>
      <x:c r="F2734" t="str"/>
      <x:c r="G2734" t="str">
        <x:v>900g</x:v>
      </x:c>
      <x:c r="H2734" t="str">
        <x:v>Strawberry Lime Daiquiri</x:v>
      </x:c>
      <x:c r="I2734" t="str"/>
      <x:c r="J2734" t="str">
        <x:v>Unit</x:v>
      </x:c>
      <x:c r="K2734" t="str">
        <x:v>In stock</x:v>
      </x:c>
      <x:c r="L2734" t="str">
        <x:v>2026-09-08</x:v>
      </x:c>
      <x:c r="M2734" t="str"/>
      <x:c r="N2734" t="str"/>
      <x:c r="O2734" t="str">
        <x:v>https://www.activesportstrade.co.uk/Whey-Protein-Supplements-Trade/per4m-nutrition-trade</x:v>
      </x:c>
      <x:c r="P2734" t="str"/>
      <x:c r="Q2734" t="str"/>
      <x:c r="R2734" t="str"/>
      <x:c r="S2734" t="str">
        <x:v>Pending genuine supplier/brand image</x:v>
      </x:c>
      <x:c r="T2734" s="54"/>
      <x:c r="U2734" s="47" t="n">
        <x:v>0.2</x:v>
      </x:c>
      <x:c r="V2734" s="54" t="str">
        <x:f>IF(ISNUMBER(T2734),T2734*(1+U2734),"")</x:f>
      </x:c>
      <x:c r="W2734" s="47" t="n">
        <x:v>0.3</x:v>
      </x:c>
      <x:c r="X2734" s="54" t="str">
        <x:f>IF(ISNUMBER(V2734),V2734/(1-W2734),"")</x:f>
      </x:c>
      <x:c r="Y2734" s="55" t="str">
        <x:f>IF(ISNUMBER(X2734),ROUNDUP(X2734,0),"")</x:f>
      </x:c>
      <x:c r="Z2734" t="str">
        <x:f>IF(ISNUMBER(T2734),"Cost captured","Awaiting trade cost")</x:f>
        <x:v>Awaiting trade cost</x:v>
      </x:c>
      <x:c r="AB2734" s="36" t="str">
        <x:f>IF(ISNUMBER(Y2734),ROUND(Y2734*0.9,2),"")</x:f>
      </x:c>
      <x:c r="AC2734" s="36" t="str">
        <x:f>IF(ISNUMBER(AB2734),ROUND(AB2734-(AB2734*0.015+0.2)-V2734,2),"")</x:f>
      </x:c>
      <x:c r="AD2734" s="36" t="str">
        <x:f>IF(ISNUMBER(Y2734),ROUND(Y2734*0.8,2),"")</x:f>
      </x:c>
      <x:c r="AE2734" s="36" t="str">
        <x:f>IF(ISNUMBER(AD2734),ROUND(AD2734*0.015+0.2,2),"")</x:f>
      </x:c>
      <x:c r="AF2734" s="36" t="str">
        <x:f>IF(ISNUMBER(AD2734),ROUND(AD2734-AE2734-V2734,2),"")</x:f>
      </x:c>
      <x:c r="AG2734" t="str">
        <x:f>IF(NOT(ISNUMBER(T2734)),"PENDING",IF(AF2734&gt;0,"PASS","FAIL"))</x:f>
        <x:v>PENDING</x:v>
      </x:c>
      <x:c r="AH2734" t="str">
        <x:f>IF(NOT(ISNUMBER(T2734)),"Needs supplier cost",IF(K2734&lt;&gt;"In stock","Supplier unavailable",IF(AG2734&lt;&gt;"PASS","BLOCK - GT loss risk","Commercially protected")))</x:f>
        <x:v>Needs supplier cost</x:v>
      </x:c>
      <x:c r="AI2734" t="str">
        <x:v>2026-09-10 Active Sports trade capture</x:v>
      </x:c>
      <x:c r="AJ2734" t="str">
        <x:v>Management-only economics. Stripe stress test uses 1.5% + £0.20 standard UK online-card fee; pallet/mix-and-match pricing ignored.</x:v>
      </x:c>
    </x:row>
    <x:row r="2735">
      <x:c r="A2735" t="str">
        <x:v>Active Sports Nutrition</x:v>
      </x:c>
      <x:c r="B2735" t="str">
        <x:v>Per4m Nutrition</x:v>
      </x:c>
      <x:c r="C2735" t="str">
        <x:v>Whey Hydrate Clear Whey + Electrolytes</x:v>
      </x:c>
      <x:c r="D2735" t="str">
        <x:v>Supplements</x:v>
      </x:c>
      <x:c r="E2735" t="str">
        <x:v>Clear Whey / Hydration</x:v>
      </x:c>
      <x:c r="F2735" t="str"/>
      <x:c r="G2735" t="str">
        <x:v>900g</x:v>
      </x:c>
      <x:c r="H2735" t="str">
        <x:v>Strawberry Watermelon</x:v>
      </x:c>
      <x:c r="I2735" t="str"/>
      <x:c r="J2735" t="str">
        <x:v>Unit</x:v>
      </x:c>
      <x:c r="K2735" t="str">
        <x:v>In stock</x:v>
      </x:c>
      <x:c r="L2735" t="str">
        <x:v>2026-09-08</x:v>
      </x:c>
      <x:c r="M2735" t="str"/>
      <x:c r="N2735" t="str"/>
      <x:c r="O2735" t="str">
        <x:v>https://www.activesportstrade.co.uk/Whey-Protein-Supplements-Trade/per4m-nutrition-trade</x:v>
      </x:c>
      <x:c r="P2735" t="str"/>
      <x:c r="Q2735" t="str"/>
      <x:c r="R2735" t="str"/>
      <x:c r="S2735" t="str">
        <x:v>Pending genuine supplier/brand image</x:v>
      </x:c>
      <x:c r="T2735" s="54"/>
      <x:c r="U2735" s="47" t="n">
        <x:v>0.2</x:v>
      </x:c>
      <x:c r="V2735" s="54" t="str">
        <x:f>IF(ISNUMBER(T2735),T2735*(1+U2735),"")</x:f>
      </x:c>
      <x:c r="W2735" s="47" t="n">
        <x:v>0.3</x:v>
      </x:c>
      <x:c r="X2735" s="54" t="str">
        <x:f>IF(ISNUMBER(V2735),V2735/(1-W2735),"")</x:f>
      </x:c>
      <x:c r="Y2735" s="55" t="str">
        <x:f>IF(ISNUMBER(X2735),ROUNDUP(X2735,0),"")</x:f>
      </x:c>
      <x:c r="Z2735" t="str">
        <x:f>IF(ISNUMBER(T2735),"Cost captured","Awaiting trade cost")</x:f>
        <x:v>Awaiting trade cost</x:v>
      </x:c>
      <x:c r="AB2735" s="36" t="str">
        <x:f>IF(ISNUMBER(Y2735),ROUND(Y2735*0.9,2),"")</x:f>
      </x:c>
      <x:c r="AC2735" s="36" t="str">
        <x:f>IF(ISNUMBER(AB2735),ROUND(AB2735-(AB2735*0.015+0.2)-V2735,2),"")</x:f>
      </x:c>
      <x:c r="AD2735" s="36" t="str">
        <x:f>IF(ISNUMBER(Y2735),ROUND(Y2735*0.8,2),"")</x:f>
      </x:c>
      <x:c r="AE2735" s="36" t="str">
        <x:f>IF(ISNUMBER(AD2735),ROUND(AD2735*0.015+0.2,2),"")</x:f>
      </x:c>
      <x:c r="AF2735" s="36" t="str">
        <x:f>IF(ISNUMBER(AD2735),ROUND(AD2735-AE2735-V2735,2),"")</x:f>
      </x:c>
      <x:c r="AG2735" t="str">
        <x:f>IF(NOT(ISNUMBER(T2735)),"PENDING",IF(AF2735&gt;0,"PASS","FAIL"))</x:f>
        <x:v>PENDING</x:v>
      </x:c>
      <x:c r="AH2735" t="str">
        <x:f>IF(NOT(ISNUMBER(T2735)),"Needs supplier cost",IF(K2735&lt;&gt;"In stock","Supplier unavailable",IF(AG2735&lt;&gt;"PASS","BLOCK - GT loss risk","Commercially protected")))</x:f>
        <x:v>Needs supplier cost</x:v>
      </x:c>
      <x:c r="AI2735" t="str">
        <x:v>2026-09-10 Active Sports trade capture</x:v>
      </x:c>
      <x:c r="AJ2735" t="str">
        <x:v>Management-only economics. Stripe stress test uses 1.5% + £0.20 standard UK online-card fee; pallet/mix-and-match pricing ignored.</x:v>
      </x:c>
    </x:row>
    <x:row r="2736">
      <x:c r="A2736" t="str">
        <x:v>Active Sports Nutrition</x:v>
      </x:c>
      <x:c r="B2736" t="str">
        <x:v>Per4m Nutrition</x:v>
      </x:c>
      <x:c r="C2736" t="str">
        <x:v>Whey Hydrate Sachet</x:v>
      </x:c>
      <x:c r="D2736" t="str">
        <x:v>Supplements</x:v>
      </x:c>
      <x:c r="E2736" t="str">
        <x:v>Clear Whey / Hydration</x:v>
      </x:c>
      <x:c r="F2736" t="str"/>
      <x:c r="G2736" t="str">
        <x:v>1 x 30g sachet</x:v>
      </x:c>
      <x:c r="H2736" t="str">
        <x:v>Blueberry Peach</x:v>
      </x:c>
      <x:c r="I2736" t="str"/>
      <x:c r="J2736" t="str">
        <x:v>Unit</x:v>
      </x:c>
      <x:c r="K2736" t="str">
        <x:v>In stock</x:v>
      </x:c>
      <x:c r="L2736" t="str">
        <x:v>2026-09-08</x:v>
      </x:c>
      <x:c r="M2736" t="str"/>
      <x:c r="N2736" t="str"/>
      <x:c r="O2736" t="str">
        <x:v>https://www.activesportstrade.co.uk/Whey-Protein-Supplements-Trade/per4m-nutrition-trade</x:v>
      </x:c>
      <x:c r="P2736" t="str"/>
      <x:c r="Q2736" t="str"/>
      <x:c r="R2736" t="str"/>
      <x:c r="S2736" t="str">
        <x:v>Pending genuine supplier/brand image</x:v>
      </x:c>
      <x:c r="T2736" s="54" t="n">
        <x:v>1.31</x:v>
      </x:c>
      <x:c r="U2736" s="47" t="n">
        <x:v>0.2</x:v>
      </x:c>
      <x:c r="V2736" s="54" t="n">
        <x:f>IF(ISNUMBER(T2736),T2736*(1+U2736),"")</x:f>
        <x:v>1.572</x:v>
      </x:c>
      <x:c r="W2736" s="47" t="n">
        <x:v>0.3</x:v>
      </x:c>
      <x:c r="X2736" s="54" t="n">
        <x:f>IF(ISNUMBER(V2736),V2736/(1-W2736),"")</x:f>
        <x:v>2.245714285714286</x:v>
      </x:c>
      <x:c r="Y2736" s="55" t="n">
        <x:f>IF(ISNUMBER(X2736),ROUNDUP(X2736,0),"")</x:f>
        <x:v>3</x:v>
      </x:c>
      <x:c r="Z2736" t="str">
        <x:v>Source match pending</x:v>
      </x:c>
      <x:c r="AA2736" t="str">
        <x:v>screencapture-www-activesportstrade-co-uk-per4m-nutrition-trade-2026-09-10-09_06_42.pdf / page-09</x:v>
      </x:c>
      <x:c r="AB2736" s="36" t="n">
        <x:f>IF(ISNUMBER(Y2736),ROUND(Y2736*0.9,2),"")</x:f>
        <x:v>2.7</x:v>
      </x:c>
      <x:c r="AC2736" s="36" t="n">
        <x:f>IF(ISNUMBER(AB2736),ROUND(AB2736-(AB2736*0.015+0.2)-V2736,2),"")</x:f>
        <x:v>0.89</x:v>
      </x:c>
      <x:c r="AD2736" s="36" t="n">
        <x:f>IF(ISNUMBER(Y2736),ROUND(Y2736*0.8,2),"")</x:f>
        <x:v>2.4</x:v>
      </x:c>
      <x:c r="AE2736" s="36" t="n">
        <x:f>IF(ISNUMBER(AD2736),ROUND(AD2736*0.015+0.2,2),"")</x:f>
        <x:v>0.24</x:v>
      </x:c>
      <x:c r="AF2736" s="36" t="n">
        <x:f>IF(ISNUMBER(AD2736),ROUND(AD2736-AE2736-V2736,2),"")</x:f>
        <x:v>0.59</x:v>
      </x:c>
      <x:c r="AG2736" t="str">
        <x:f>IF(NOT(ISNUMBER(T2736)),"PENDING",IF(AF2736&gt;0,"PASS","FAIL"))</x:f>
        <x:v>PASS</x:v>
      </x:c>
      <x:c r="AH2736" t="str">
        <x:f>IF(NOT(ISNUMBER(T2736)),"Needs supplier cost",IF(K2736&lt;&gt;"In stock","Supplier unavailable",IF(AG2736&lt;&gt;"PASS","BLOCK - GT loss risk","Commercially protected")))</x:f>
        <x:v>Commercially protected</x:v>
      </x:c>
      <x:c r="AI2736" t="str">
        <x:v>2026-09-10 Active Sports trade capture</x:v>
      </x:c>
      <x:c r="AJ2736" t="str">
        <x:v>Management-only economics. Stripe stress test uses 1.5% + £0.20 standard UK online-card fee; pallet/mix-and-match pricing ignored.</x:v>
      </x:c>
    </x:row>
    <x:row r="2737">
      <x:c r="A2737" t="str">
        <x:v>Active Sports Nutrition</x:v>
      </x:c>
      <x:c r="B2737" t="str">
        <x:v>Per4m Nutrition</x:v>
      </x:c>
      <x:c r="C2737" t="str">
        <x:v>Whey Hydrate Sachet</x:v>
      </x:c>
      <x:c r="D2737" t="str">
        <x:v>Supplements</x:v>
      </x:c>
      <x:c r="E2737" t="str">
        <x:v>Clear Whey / Hydration</x:v>
      </x:c>
      <x:c r="F2737" t="str"/>
      <x:c r="G2737" t="str">
        <x:v>1 x 30g sachet</x:v>
      </x:c>
      <x:c r="H2737" t="str">
        <x:v>Mango Coconut</x:v>
      </x:c>
      <x:c r="I2737" t="str"/>
      <x:c r="J2737" t="str">
        <x:v>Unit</x:v>
      </x:c>
      <x:c r="K2737" t="str">
        <x:v>In stock</x:v>
      </x:c>
      <x:c r="L2737" t="str">
        <x:v>2026-09-08</x:v>
      </x:c>
      <x:c r="M2737" t="str"/>
      <x:c r="N2737" t="str"/>
      <x:c r="O2737" t="str">
        <x:v>https://www.activesportstrade.co.uk/Whey-Protein-Supplements-Trade/per4m-nutrition-trade</x:v>
      </x:c>
      <x:c r="P2737" t="str"/>
      <x:c r="Q2737" t="str"/>
      <x:c r="R2737" t="str"/>
      <x:c r="S2737" t="str">
        <x:v>Pending genuine supplier/brand image</x:v>
      </x:c>
      <x:c r="T2737" s="54" t="n">
        <x:v>1.31</x:v>
      </x:c>
      <x:c r="U2737" s="47" t="n">
        <x:v>0.2</x:v>
      </x:c>
      <x:c r="V2737" s="54" t="n">
        <x:f>IF(ISNUMBER(T2737),T2737*(1+U2737),"")</x:f>
        <x:v>1.572</x:v>
      </x:c>
      <x:c r="W2737" s="47" t="n">
        <x:v>0.3</x:v>
      </x:c>
      <x:c r="X2737" s="54" t="n">
        <x:f>IF(ISNUMBER(V2737),V2737/(1-W2737),"")</x:f>
        <x:v>2.245714285714286</x:v>
      </x:c>
      <x:c r="Y2737" s="55" t="n">
        <x:f>IF(ISNUMBER(X2737),ROUNDUP(X2737,0),"")</x:f>
        <x:v>3</x:v>
      </x:c>
      <x:c r="Z2737" t="str">
        <x:v>Source match pending</x:v>
      </x:c>
      <x:c r="AA2737" t="str">
        <x:v>screencapture-www-activesportstrade-co-uk-per4m-nutrition-trade-2026-09-10-09_06_42.pdf / page-09</x:v>
      </x:c>
      <x:c r="AB2737" s="36" t="n">
        <x:f>IF(ISNUMBER(Y2737),ROUND(Y2737*0.9,2),"")</x:f>
        <x:v>2.7</x:v>
      </x:c>
      <x:c r="AC2737" s="36" t="n">
        <x:f>IF(ISNUMBER(AB2737),ROUND(AB2737-(AB2737*0.015+0.2)-V2737,2),"")</x:f>
        <x:v>0.89</x:v>
      </x:c>
      <x:c r="AD2737" s="36" t="n">
        <x:f>IF(ISNUMBER(Y2737),ROUND(Y2737*0.8,2),"")</x:f>
        <x:v>2.4</x:v>
      </x:c>
      <x:c r="AE2737" s="36" t="n">
        <x:f>IF(ISNUMBER(AD2737),ROUND(AD2737*0.015+0.2,2),"")</x:f>
        <x:v>0.24</x:v>
      </x:c>
      <x:c r="AF2737" s="36" t="n">
        <x:f>IF(ISNUMBER(AD2737),ROUND(AD2737-AE2737-V2737,2),"")</x:f>
        <x:v>0.59</x:v>
      </x:c>
      <x:c r="AG2737" t="str">
        <x:f>IF(NOT(ISNUMBER(T2737)),"PENDING",IF(AF2737&gt;0,"PASS","FAIL"))</x:f>
        <x:v>PASS</x:v>
      </x:c>
      <x:c r="AH2737" t="str">
        <x:f>IF(NOT(ISNUMBER(T2737)),"Needs supplier cost",IF(K2737&lt;&gt;"In stock","Supplier unavailable",IF(AG2737&lt;&gt;"PASS","BLOCK - GT loss risk","Commercially protected")))</x:f>
        <x:v>Commercially protected</x:v>
      </x:c>
      <x:c r="AI2737" t="str">
        <x:v>2026-09-10 Active Sports trade capture</x:v>
      </x:c>
      <x:c r="AJ2737" t="str">
        <x:v>Management-only economics. Stripe stress test uses 1.5% + £0.20 standard UK online-card fee; pallet/mix-and-match pricing ignored.</x:v>
      </x:c>
    </x:row>
    <x:row r="2738">
      <x:c r="A2738" t="str">
        <x:v>Active Sports Nutrition</x:v>
      </x:c>
      <x:c r="B2738" t="str">
        <x:v>Per4m Nutrition</x:v>
      </x:c>
      <x:c r="C2738" t="str">
        <x:v>Whey Hydrate Sachet</x:v>
      </x:c>
      <x:c r="D2738" t="str">
        <x:v>Supplements</x:v>
      </x:c>
      <x:c r="E2738" t="str">
        <x:v>Clear Whey / Hydration</x:v>
      </x:c>
      <x:c r="F2738" t="str"/>
      <x:c r="G2738" t="str">
        <x:v>1 x 30g sachet</x:v>
      </x:c>
      <x:c r="H2738" t="str">
        <x:v>Orange &amp; Pineapple</x:v>
      </x:c>
      <x:c r="I2738" t="str"/>
      <x:c r="J2738" t="str">
        <x:v>Unit</x:v>
      </x:c>
      <x:c r="K2738" t="str">
        <x:v>In stock</x:v>
      </x:c>
      <x:c r="L2738" t="str">
        <x:v>2026-09-08</x:v>
      </x:c>
      <x:c r="M2738" t="str"/>
      <x:c r="N2738" t="str"/>
      <x:c r="O2738" t="str">
        <x:v>https://www.activesportstrade.co.uk/Whey-Protein-Supplements-Trade/per4m-nutrition-trade</x:v>
      </x:c>
      <x:c r="P2738" t="str"/>
      <x:c r="Q2738" t="str"/>
      <x:c r="R2738" t="str"/>
      <x:c r="S2738" t="str">
        <x:v>Pending genuine supplier/brand image</x:v>
      </x:c>
      <x:c r="T2738" s="54" t="n">
        <x:v>1.31</x:v>
      </x:c>
      <x:c r="U2738" s="47" t="n">
        <x:v>0.2</x:v>
      </x:c>
      <x:c r="V2738" s="54" t="n">
        <x:f>IF(ISNUMBER(T2738),T2738*(1+U2738),"")</x:f>
        <x:v>1.572</x:v>
      </x:c>
      <x:c r="W2738" s="47" t="n">
        <x:v>0.3</x:v>
      </x:c>
      <x:c r="X2738" s="54" t="n">
        <x:f>IF(ISNUMBER(V2738),V2738/(1-W2738),"")</x:f>
        <x:v>2.245714285714286</x:v>
      </x:c>
      <x:c r="Y2738" s="55" t="n">
        <x:f>IF(ISNUMBER(X2738),ROUNDUP(X2738,0),"")</x:f>
        <x:v>3</x:v>
      </x:c>
      <x:c r="Z2738" t="str">
        <x:v>Source match pending</x:v>
      </x:c>
      <x:c r="AA2738" t="str">
        <x:v>screencapture-www-activesportstrade-co-uk-per4m-nutrition-trade-2026-09-10-09_06_42.pdf / page-09</x:v>
      </x:c>
      <x:c r="AB2738" s="36" t="n">
        <x:f>IF(ISNUMBER(Y2738),ROUND(Y2738*0.9,2),"")</x:f>
        <x:v>2.7</x:v>
      </x:c>
      <x:c r="AC2738" s="36" t="n">
        <x:f>IF(ISNUMBER(AB2738),ROUND(AB2738-(AB2738*0.015+0.2)-V2738,2),"")</x:f>
        <x:v>0.89</x:v>
      </x:c>
      <x:c r="AD2738" s="36" t="n">
        <x:f>IF(ISNUMBER(Y2738),ROUND(Y2738*0.8,2),"")</x:f>
        <x:v>2.4</x:v>
      </x:c>
      <x:c r="AE2738" s="36" t="n">
        <x:f>IF(ISNUMBER(AD2738),ROUND(AD2738*0.015+0.2,2),"")</x:f>
        <x:v>0.24</x:v>
      </x:c>
      <x:c r="AF2738" s="36" t="n">
        <x:f>IF(ISNUMBER(AD2738),ROUND(AD2738-AE2738-V2738,2),"")</x:f>
        <x:v>0.59</x:v>
      </x:c>
      <x:c r="AG2738" t="str">
        <x:f>IF(NOT(ISNUMBER(T2738)),"PENDING",IF(AF2738&gt;0,"PASS","FAIL"))</x:f>
        <x:v>PASS</x:v>
      </x:c>
      <x:c r="AH2738" t="str">
        <x:f>IF(NOT(ISNUMBER(T2738)),"Needs supplier cost",IF(K2738&lt;&gt;"In stock","Supplier unavailable",IF(AG2738&lt;&gt;"PASS","BLOCK - GT loss risk","Commercially protected")))</x:f>
        <x:v>Commercially protected</x:v>
      </x:c>
      <x:c r="AI2738" t="str">
        <x:v>2026-09-10 Active Sports trade capture</x:v>
      </x:c>
      <x:c r="AJ2738" t="str">
        <x:v>Management-only economics. Stripe stress test uses 1.5% + £0.20 standard UK online-card fee; pallet/mix-and-match pricing ignored.</x:v>
      </x:c>
    </x:row>
    <x:row r="2739">
      <x:c r="A2739" t="str">
        <x:v>Active Sports Nutrition</x:v>
      </x:c>
      <x:c r="B2739" t="str">
        <x:v>Per4m Nutrition</x:v>
      </x:c>
      <x:c r="C2739" t="str">
        <x:v>Whey Hydrate Sachet</x:v>
      </x:c>
      <x:c r="D2739" t="str">
        <x:v>Supplements</x:v>
      </x:c>
      <x:c r="E2739" t="str">
        <x:v>Clear Whey / Hydration</x:v>
      </x:c>
      <x:c r="F2739" t="str"/>
      <x:c r="G2739" t="str">
        <x:v>1 x 30g sachet</x:v>
      </x:c>
      <x:c r="H2739" t="str">
        <x:v>Passionfruit Martini</x:v>
      </x:c>
      <x:c r="I2739" t="str"/>
      <x:c r="J2739" t="str">
        <x:v>Unit</x:v>
      </x:c>
      <x:c r="K2739" t="str">
        <x:v>In stock</x:v>
      </x:c>
      <x:c r="L2739" t="str">
        <x:v>2026-09-08</x:v>
      </x:c>
      <x:c r="M2739" t="str"/>
      <x:c r="N2739" t="str"/>
      <x:c r="O2739" t="str">
        <x:v>https://www.activesportstrade.co.uk/Whey-Protein-Supplements-Trade/per4m-nutrition-trade</x:v>
      </x:c>
      <x:c r="P2739" t="str"/>
      <x:c r="Q2739" t="str"/>
      <x:c r="R2739" t="str"/>
      <x:c r="S2739" t="str">
        <x:v>Pending genuine supplier/brand image</x:v>
      </x:c>
      <x:c r="T2739" s="54" t="n">
        <x:v>1.31</x:v>
      </x:c>
      <x:c r="U2739" s="47" t="n">
        <x:v>0.2</x:v>
      </x:c>
      <x:c r="V2739" s="54" t="n">
        <x:f>IF(ISNUMBER(T2739),T2739*(1+U2739),"")</x:f>
        <x:v>1.572</x:v>
      </x:c>
      <x:c r="W2739" s="47" t="n">
        <x:v>0.3</x:v>
      </x:c>
      <x:c r="X2739" s="54" t="n">
        <x:f>IF(ISNUMBER(V2739),V2739/(1-W2739),"")</x:f>
        <x:v>2.245714285714286</x:v>
      </x:c>
      <x:c r="Y2739" s="55" t="n">
        <x:f>IF(ISNUMBER(X2739),ROUNDUP(X2739,0),"")</x:f>
        <x:v>3</x:v>
      </x:c>
      <x:c r="Z2739" t="str">
        <x:v>Source match pending</x:v>
      </x:c>
      <x:c r="AA2739" t="str">
        <x:v>screencapture-www-activesportstrade-co-uk-per4m-nutrition-trade-2026-09-10-09_06_42.pdf / page-09</x:v>
      </x:c>
      <x:c r="AB2739" s="36" t="n">
        <x:f>IF(ISNUMBER(Y2739),ROUND(Y2739*0.9,2),"")</x:f>
        <x:v>2.7</x:v>
      </x:c>
      <x:c r="AC2739" s="36" t="n">
        <x:f>IF(ISNUMBER(AB2739),ROUND(AB2739-(AB2739*0.015+0.2)-V2739,2),"")</x:f>
        <x:v>0.89</x:v>
      </x:c>
      <x:c r="AD2739" s="36" t="n">
        <x:f>IF(ISNUMBER(Y2739),ROUND(Y2739*0.8,2),"")</x:f>
        <x:v>2.4</x:v>
      </x:c>
      <x:c r="AE2739" s="36" t="n">
        <x:f>IF(ISNUMBER(AD2739),ROUND(AD2739*0.015+0.2,2),"")</x:f>
        <x:v>0.24</x:v>
      </x:c>
      <x:c r="AF2739" s="36" t="n">
        <x:f>IF(ISNUMBER(AD2739),ROUND(AD2739-AE2739-V2739,2),"")</x:f>
        <x:v>0.59</x:v>
      </x:c>
      <x:c r="AG2739" t="str">
        <x:f>IF(NOT(ISNUMBER(T2739)),"PENDING",IF(AF2739&gt;0,"PASS","FAIL"))</x:f>
        <x:v>PASS</x:v>
      </x:c>
      <x:c r="AH2739" t="str">
        <x:f>IF(NOT(ISNUMBER(T2739)),"Needs supplier cost",IF(K2739&lt;&gt;"In stock","Supplier unavailable",IF(AG2739&lt;&gt;"PASS","BLOCK - GT loss risk","Commercially protected")))</x:f>
        <x:v>Commercially protected</x:v>
      </x:c>
      <x:c r="AI2739" t="str">
        <x:v>2026-09-10 Active Sports trade capture</x:v>
      </x:c>
      <x:c r="AJ2739" t="str">
        <x:v>Management-only economics. Stripe stress test uses 1.5% + £0.20 standard UK online-card fee; pallet/mix-and-match pricing ignored.</x:v>
      </x:c>
    </x:row>
    <x:row r="2740">
      <x:c r="A2740" t="str">
        <x:v>Active Sports Nutrition</x:v>
      </x:c>
      <x:c r="B2740" t="str">
        <x:v>Per4m Nutrition</x:v>
      </x:c>
      <x:c r="C2740" t="str">
        <x:v>Whey Hydrate Sachet</x:v>
      </x:c>
      <x:c r="D2740" t="str">
        <x:v>Supplements</x:v>
      </x:c>
      <x:c r="E2740" t="str">
        <x:v>Clear Whey / Hydration</x:v>
      </x:c>
      <x:c r="F2740" t="str"/>
      <x:c r="G2740" t="str">
        <x:v>1 x 30g sachet</x:v>
      </x:c>
      <x:c r="H2740" t="str">
        <x:v>Raspberry Peach</x:v>
      </x:c>
      <x:c r="I2740" t="str"/>
      <x:c r="J2740" t="str">
        <x:v>Unit</x:v>
      </x:c>
      <x:c r="K2740" t="str">
        <x:v>In stock</x:v>
      </x:c>
      <x:c r="L2740" t="str">
        <x:v>2026-09-08</x:v>
      </x:c>
      <x:c r="M2740" t="str"/>
      <x:c r="N2740" t="str"/>
      <x:c r="O2740" t="str">
        <x:v>https://www.activesportstrade.co.uk/Whey-Protein-Supplements-Trade/per4m-nutrition-trade</x:v>
      </x:c>
      <x:c r="P2740" t="str"/>
      <x:c r="Q2740" t="str"/>
      <x:c r="R2740" t="str"/>
      <x:c r="S2740" t="str">
        <x:v>Pending genuine supplier/brand image</x:v>
      </x:c>
      <x:c r="T2740" s="54" t="n">
        <x:v>1.31</x:v>
      </x:c>
      <x:c r="U2740" s="47" t="n">
        <x:v>0.2</x:v>
      </x:c>
      <x:c r="V2740" s="54" t="n">
        <x:f>IF(ISNUMBER(T2740),T2740*(1+U2740),"")</x:f>
        <x:v>1.572</x:v>
      </x:c>
      <x:c r="W2740" s="47" t="n">
        <x:v>0.3</x:v>
      </x:c>
      <x:c r="X2740" s="54" t="n">
        <x:f>IF(ISNUMBER(V2740),V2740/(1-W2740),"")</x:f>
        <x:v>2.245714285714286</x:v>
      </x:c>
      <x:c r="Y2740" s="55" t="n">
        <x:f>IF(ISNUMBER(X2740),ROUNDUP(X2740,0),"")</x:f>
        <x:v>3</x:v>
      </x:c>
      <x:c r="Z2740" t="str">
        <x:v>Source match pending</x:v>
      </x:c>
      <x:c r="AA2740" t="str">
        <x:v>screencapture-www-activesportstrade-co-uk-per4m-nutrition-trade-2026-09-10-09_06_42.pdf / page-09</x:v>
      </x:c>
      <x:c r="AB2740" s="36" t="n">
        <x:f>IF(ISNUMBER(Y2740),ROUND(Y2740*0.9,2),"")</x:f>
        <x:v>2.7</x:v>
      </x:c>
      <x:c r="AC2740" s="36" t="n">
        <x:f>IF(ISNUMBER(AB2740),ROUND(AB2740-(AB2740*0.015+0.2)-V2740,2),"")</x:f>
        <x:v>0.89</x:v>
      </x:c>
      <x:c r="AD2740" s="36" t="n">
        <x:f>IF(ISNUMBER(Y2740),ROUND(Y2740*0.8,2),"")</x:f>
        <x:v>2.4</x:v>
      </x:c>
      <x:c r="AE2740" s="36" t="n">
        <x:f>IF(ISNUMBER(AD2740),ROUND(AD2740*0.015+0.2,2),"")</x:f>
        <x:v>0.24</x:v>
      </x:c>
      <x:c r="AF2740" s="36" t="n">
        <x:f>IF(ISNUMBER(AD2740),ROUND(AD2740-AE2740-V2740,2),"")</x:f>
        <x:v>0.59</x:v>
      </x:c>
      <x:c r="AG2740" t="str">
        <x:f>IF(NOT(ISNUMBER(T2740)),"PENDING",IF(AF2740&gt;0,"PASS","FAIL"))</x:f>
        <x:v>PASS</x:v>
      </x:c>
      <x:c r="AH2740" t="str">
        <x:f>IF(NOT(ISNUMBER(T2740)),"Needs supplier cost",IF(K2740&lt;&gt;"In stock","Supplier unavailable",IF(AG2740&lt;&gt;"PASS","BLOCK - GT loss risk","Commercially protected")))</x:f>
        <x:v>Commercially protected</x:v>
      </x:c>
      <x:c r="AI2740" t="str">
        <x:v>2026-09-10 Active Sports trade capture</x:v>
      </x:c>
      <x:c r="AJ2740" t="str">
        <x:v>Management-only economics. Stripe stress test uses 1.5% + £0.20 standard UK online-card fee; pallet/mix-and-match pricing ignored.</x:v>
      </x:c>
    </x:row>
    <x:row r="2741">
      <x:c r="A2741" t="str">
        <x:v>Active Sports Nutrition</x:v>
      </x:c>
      <x:c r="B2741" t="str">
        <x:v>Per4m Nutrition</x:v>
      </x:c>
      <x:c r="C2741" t="str">
        <x:v>Whey Hydrate Sachet</x:v>
      </x:c>
      <x:c r="D2741" t="str">
        <x:v>Supplements</x:v>
      </x:c>
      <x:c r="E2741" t="str">
        <x:v>Clear Whey / Hydration</x:v>
      </x:c>
      <x:c r="F2741" t="str"/>
      <x:c r="G2741" t="str">
        <x:v>1 x 30g sachet</x:v>
      </x:c>
      <x:c r="H2741" t="str">
        <x:v>Strawberry Lime Daiquiri</x:v>
      </x:c>
      <x:c r="I2741" t="str"/>
      <x:c r="J2741" t="str">
        <x:v>Unit</x:v>
      </x:c>
      <x:c r="K2741" t="str">
        <x:v>In stock</x:v>
      </x:c>
      <x:c r="L2741" t="str">
        <x:v>2026-09-08</x:v>
      </x:c>
      <x:c r="M2741" t="str"/>
      <x:c r="N2741" t="str"/>
      <x:c r="O2741" t="str">
        <x:v>https://www.activesportstrade.co.uk/Whey-Protein-Supplements-Trade/per4m-nutrition-trade</x:v>
      </x:c>
      <x:c r="P2741" t="str"/>
      <x:c r="Q2741" t="str"/>
      <x:c r="R2741" t="str"/>
      <x:c r="S2741" t="str">
        <x:v>Pending genuine supplier/brand image</x:v>
      </x:c>
      <x:c r="T2741" s="54" t="n">
        <x:v>1.31</x:v>
      </x:c>
      <x:c r="U2741" s="47" t="n">
        <x:v>0.2</x:v>
      </x:c>
      <x:c r="V2741" s="54" t="n">
        <x:f>IF(ISNUMBER(T2741),T2741*(1+U2741),"")</x:f>
        <x:v>1.572</x:v>
      </x:c>
      <x:c r="W2741" s="47" t="n">
        <x:v>0.3</x:v>
      </x:c>
      <x:c r="X2741" s="54" t="n">
        <x:f>IF(ISNUMBER(V2741),V2741/(1-W2741),"")</x:f>
        <x:v>2.245714285714286</x:v>
      </x:c>
      <x:c r="Y2741" s="55" t="n">
        <x:f>IF(ISNUMBER(X2741),ROUNDUP(X2741,0),"")</x:f>
        <x:v>3</x:v>
      </x:c>
      <x:c r="Z2741" t="str">
        <x:v>Source match pending</x:v>
      </x:c>
      <x:c r="AA2741" t="str">
        <x:v>screencapture-www-activesportstrade-co-uk-per4m-nutrition-trade-2026-09-10-09_06_42.pdf / page-09</x:v>
      </x:c>
      <x:c r="AB2741" s="36" t="n">
        <x:f>IF(ISNUMBER(Y2741),ROUND(Y2741*0.9,2),"")</x:f>
        <x:v>2.7</x:v>
      </x:c>
      <x:c r="AC2741" s="36" t="n">
        <x:f>IF(ISNUMBER(AB2741),ROUND(AB2741-(AB2741*0.015+0.2)-V2741,2),"")</x:f>
        <x:v>0.89</x:v>
      </x:c>
      <x:c r="AD2741" s="36" t="n">
        <x:f>IF(ISNUMBER(Y2741),ROUND(Y2741*0.8,2),"")</x:f>
        <x:v>2.4</x:v>
      </x:c>
      <x:c r="AE2741" s="36" t="n">
        <x:f>IF(ISNUMBER(AD2741),ROUND(AD2741*0.015+0.2,2),"")</x:f>
        <x:v>0.24</x:v>
      </x:c>
      <x:c r="AF2741" s="36" t="n">
        <x:f>IF(ISNUMBER(AD2741),ROUND(AD2741-AE2741-V2741,2),"")</x:f>
        <x:v>0.59</x:v>
      </x:c>
      <x:c r="AG2741" t="str">
        <x:f>IF(NOT(ISNUMBER(T2741)),"PENDING",IF(AF2741&gt;0,"PASS","FAIL"))</x:f>
        <x:v>PASS</x:v>
      </x:c>
      <x:c r="AH2741" t="str">
        <x:f>IF(NOT(ISNUMBER(T2741)),"Needs supplier cost",IF(K2741&lt;&gt;"In stock","Supplier unavailable",IF(AG2741&lt;&gt;"PASS","BLOCK - GT loss risk","Commercially protected")))</x:f>
        <x:v>Commercially protected</x:v>
      </x:c>
      <x:c r="AI2741" t="str">
        <x:v>2026-09-10 Active Sports trade capture</x:v>
      </x:c>
      <x:c r="AJ2741" t="str">
        <x:v>Management-only economics. Stripe stress test uses 1.5% + £0.20 standard UK online-card fee; pallet/mix-and-match pricing ignored.</x:v>
      </x:c>
    </x:row>
    <x:row r="2742">
      <x:c r="A2742" t="str">
        <x:v>Active Sports Nutrition</x:v>
      </x:c>
      <x:c r="B2742" t="str">
        <x:v>Per4m Nutrition</x:v>
      </x:c>
      <x:c r="C2742" t="str">
        <x:v>Whey Hydrate Sachet</x:v>
      </x:c>
      <x:c r="D2742" t="str">
        <x:v>Supplements</x:v>
      </x:c>
      <x:c r="E2742" t="str">
        <x:v>Clear Whey / Hydration</x:v>
      </x:c>
      <x:c r="F2742" t="str"/>
      <x:c r="G2742" t="str">
        <x:v>1 x 30g sachet</x:v>
      </x:c>
      <x:c r="H2742" t="str">
        <x:v>Strawberry Watermelon</x:v>
      </x:c>
      <x:c r="I2742" t="str"/>
      <x:c r="J2742" t="str">
        <x:v>Unit</x:v>
      </x:c>
      <x:c r="K2742" t="str">
        <x:v>In stock</x:v>
      </x:c>
      <x:c r="L2742" t="str">
        <x:v>2026-09-08</x:v>
      </x:c>
      <x:c r="M2742" t="str"/>
      <x:c r="N2742" t="str"/>
      <x:c r="O2742" t="str">
        <x:v>https://www.activesportstrade.co.uk/Whey-Protein-Supplements-Trade/per4m-nutrition-trade</x:v>
      </x:c>
      <x:c r="P2742" t="str"/>
      <x:c r="Q2742" t="str"/>
      <x:c r="R2742" t="str"/>
      <x:c r="S2742" t="str">
        <x:v>Pending genuine supplier/brand image</x:v>
      </x:c>
      <x:c r="T2742" s="54" t="n">
        <x:v>1.31</x:v>
      </x:c>
      <x:c r="U2742" s="47" t="n">
        <x:v>0.2</x:v>
      </x:c>
      <x:c r="V2742" s="54" t="n">
        <x:f>IF(ISNUMBER(T2742),T2742*(1+U2742),"")</x:f>
        <x:v>1.572</x:v>
      </x:c>
      <x:c r="W2742" s="47" t="n">
        <x:v>0.3</x:v>
      </x:c>
      <x:c r="X2742" s="54" t="n">
        <x:f>IF(ISNUMBER(V2742),V2742/(1-W2742),"")</x:f>
        <x:v>2.245714285714286</x:v>
      </x:c>
      <x:c r="Y2742" s="55" t="n">
        <x:f>IF(ISNUMBER(X2742),ROUNDUP(X2742,0),"")</x:f>
        <x:v>3</x:v>
      </x:c>
      <x:c r="Z2742" t="str">
        <x:v>Source match pending</x:v>
      </x:c>
      <x:c r="AA2742" t="str">
        <x:v>screencapture-www-activesportstrade-co-uk-per4m-nutrition-trade-2026-09-10-09_06_42.pdf / page-09</x:v>
      </x:c>
      <x:c r="AB2742" s="36" t="n">
        <x:f>IF(ISNUMBER(Y2742),ROUND(Y2742*0.9,2),"")</x:f>
        <x:v>2.7</x:v>
      </x:c>
      <x:c r="AC2742" s="36" t="n">
        <x:f>IF(ISNUMBER(AB2742),ROUND(AB2742-(AB2742*0.015+0.2)-V2742,2),"")</x:f>
        <x:v>0.89</x:v>
      </x:c>
      <x:c r="AD2742" s="36" t="n">
        <x:f>IF(ISNUMBER(Y2742),ROUND(Y2742*0.8,2),"")</x:f>
        <x:v>2.4</x:v>
      </x:c>
      <x:c r="AE2742" s="36" t="n">
        <x:f>IF(ISNUMBER(AD2742),ROUND(AD2742*0.015+0.2,2),"")</x:f>
        <x:v>0.24</x:v>
      </x:c>
      <x:c r="AF2742" s="36" t="n">
        <x:f>IF(ISNUMBER(AD2742),ROUND(AD2742-AE2742-V2742,2),"")</x:f>
        <x:v>0.59</x:v>
      </x:c>
      <x:c r="AG2742" t="str">
        <x:f>IF(NOT(ISNUMBER(T2742)),"PENDING",IF(AF2742&gt;0,"PASS","FAIL"))</x:f>
        <x:v>PASS</x:v>
      </x:c>
      <x:c r="AH2742" t="str">
        <x:f>IF(NOT(ISNUMBER(T2742)),"Needs supplier cost",IF(K2742&lt;&gt;"In stock","Supplier unavailable",IF(AG2742&lt;&gt;"PASS","BLOCK - GT loss risk","Commercially protected")))</x:f>
        <x:v>Commercially protected</x:v>
      </x:c>
      <x:c r="AI2742" t="str">
        <x:v>2026-09-10 Active Sports trade capture</x:v>
      </x:c>
      <x:c r="AJ2742" t="str">
        <x:v>Management-only economics. Stripe stress test uses 1.5% + £0.20 standard UK online-card fee; pallet/mix-and-match pricing ignored.</x:v>
      </x:c>
    </x:row>
    <x:row r="2743">
      <x:c r="A2743" t="str">
        <x:v>Active Sports Nutrition</x:v>
      </x:c>
      <x:c r="B2743" t="str">
        <x:v>Per4m Nutrition</x:v>
      </x:c>
      <x:c r="C2743" t="str">
        <x:v>Whey Protein Sachet</x:v>
      </x:c>
      <x:c r="D2743" t="str">
        <x:v>Supplements</x:v>
      </x:c>
      <x:c r="E2743" t="str">
        <x:v>Whey Protein</x:v>
      </x:c>
      <x:c r="F2743" t="str"/>
      <x:c r="G2743" t="str">
        <x:v>1 x 30g sachet</x:v>
      </x:c>
      <x:c r="H2743" t="str">
        <x:v>Churro Pretzel</x:v>
      </x:c>
      <x:c r="I2743" t="str"/>
      <x:c r="J2743" t="str">
        <x:v>Unit</x:v>
      </x:c>
      <x:c r="K2743" t="str">
        <x:v>In stock</x:v>
      </x:c>
      <x:c r="L2743" t="str">
        <x:v>2026-09-08</x:v>
      </x:c>
      <x:c r="M2743" t="str"/>
      <x:c r="N2743" t="str"/>
      <x:c r="O2743" t="str">
        <x:v>https://www.activesportstrade.co.uk/per4m-nutrition-trade</x:v>
      </x:c>
      <x:c r="P2743" t="str">
        <x:v>LIMITED EDITION / NEW PRICE commercial wording stripped; exact listed sachet flavours retained.</x:v>
      </x:c>
      <x:c r="Q2743" t="str"/>
      <x:c r="R2743" t="str"/>
      <x:c r="S2743" t="str">
        <x:v>Pending genuine supplier/brand image</x:v>
      </x:c>
      <x:c r="T2743" s="54" t="n">
        <x:v>1.25</x:v>
      </x:c>
      <x:c r="U2743" s="47" t="n">
        <x:v>0.2</x:v>
      </x:c>
      <x:c r="V2743" s="54" t="n">
        <x:f>IF(ISNUMBER(T2743),T2743*(1+U2743),"")</x:f>
        <x:v>1.5</x:v>
      </x:c>
      <x:c r="W2743" s="47" t="n">
        <x:v>0.3</x:v>
      </x:c>
      <x:c r="X2743" s="54" t="n">
        <x:f>IF(ISNUMBER(V2743),V2743/(1-W2743),"")</x:f>
        <x:v>2.142857142857143</x:v>
      </x:c>
      <x:c r="Y2743" s="55" t="n">
        <x:f>IF(ISNUMBER(X2743),ROUNDUP(X2743,0),"")</x:f>
        <x:v>3</x:v>
      </x:c>
      <x:c r="Z2743" t="str">
        <x:v>Source match pending</x:v>
      </x:c>
      <x:c r="AA2743" t="str">
        <x:v>screencapture-www-activesportstrade-co-uk-per4m-nutrition-trade-2026-09-10-09_06_42.pdf / page-09</x:v>
      </x:c>
      <x:c r="AB2743" s="36" t="n">
        <x:f>IF(ISNUMBER(Y2743),ROUND(Y2743*0.9,2),"")</x:f>
        <x:v>2.7</x:v>
      </x:c>
      <x:c r="AC2743" s="36" t="n">
        <x:f>IF(ISNUMBER(AB2743),ROUND(AB2743-(AB2743*0.015+0.2)-V2743,2),"")</x:f>
        <x:v>0.96</x:v>
      </x:c>
      <x:c r="AD2743" s="36" t="n">
        <x:f>IF(ISNUMBER(Y2743),ROUND(Y2743*0.8,2),"")</x:f>
        <x:v>2.4</x:v>
      </x:c>
      <x:c r="AE2743" s="36" t="n">
        <x:f>IF(ISNUMBER(AD2743),ROUND(AD2743*0.015+0.2,2),"")</x:f>
        <x:v>0.24</x:v>
      </x:c>
      <x:c r="AF2743" s="36" t="n">
        <x:f>IF(ISNUMBER(AD2743),ROUND(AD2743-AE2743-V2743,2),"")</x:f>
        <x:v>0.66</x:v>
      </x:c>
      <x:c r="AG2743" t="str">
        <x:f>IF(NOT(ISNUMBER(T2743)),"PENDING",IF(AF2743&gt;0,"PASS","FAIL"))</x:f>
        <x:v>PASS</x:v>
      </x:c>
      <x:c r="AH2743" t="str">
        <x:f>IF(NOT(ISNUMBER(T2743)),"Needs supplier cost",IF(K2743&lt;&gt;"In stock","Supplier unavailable",IF(AG2743&lt;&gt;"PASS","BLOCK - GT loss risk","Commercially protected")))</x:f>
        <x:v>Commercially protected</x:v>
      </x:c>
      <x:c r="AI2743" t="str">
        <x:v>2026-09-10 Active Sports trade capture</x:v>
      </x:c>
      <x:c r="AJ2743" t="str">
        <x:v>Management-only economics. Stripe stress test uses 1.5% + £0.20 standard UK online-card fee; pallet/mix-and-match pricing ignored.</x:v>
      </x:c>
    </x:row>
    <x:row r="2744">
      <x:c r="A2744" t="str">
        <x:v>Active Sports Nutrition</x:v>
      </x:c>
      <x:c r="B2744" t="str">
        <x:v>Per4m Nutrition</x:v>
      </x:c>
      <x:c r="C2744" t="str">
        <x:v>Whey Protein Sachet</x:v>
      </x:c>
      <x:c r="D2744" t="str">
        <x:v>Supplements</x:v>
      </x:c>
      <x:c r="E2744" t="str">
        <x:v>Whey Protein</x:v>
      </x:c>
      <x:c r="F2744" t="str"/>
      <x:c r="G2744" t="str">
        <x:v>1 x 30g sachet</x:v>
      </x:c>
      <x:c r="H2744" t="str">
        <x:v>Cinnamon Crunch</x:v>
      </x:c>
      <x:c r="I2744" t="str"/>
      <x:c r="J2744" t="str">
        <x:v>Unit</x:v>
      </x:c>
      <x:c r="K2744" t="str">
        <x:v>In stock</x:v>
      </x:c>
      <x:c r="L2744" t="str">
        <x:v>2026-09-08</x:v>
      </x:c>
      <x:c r="M2744" t="str"/>
      <x:c r="N2744" t="str"/>
      <x:c r="O2744" t="str">
        <x:v>https://www.activesportstrade.co.uk/per4m-nutrition-trade</x:v>
      </x:c>
      <x:c r="P2744" t="str">
        <x:v>LIMITED EDITION / NEW PRICE commercial wording stripped; exact listed sachet flavours retained.</x:v>
      </x:c>
      <x:c r="Q2744" t="str"/>
      <x:c r="R2744" t="str"/>
      <x:c r="S2744" t="str">
        <x:v>Pending genuine supplier/brand image</x:v>
      </x:c>
      <x:c r="T2744" s="54" t="n">
        <x:v>1.25</x:v>
      </x:c>
      <x:c r="U2744" s="47" t="n">
        <x:v>0.2</x:v>
      </x:c>
      <x:c r="V2744" s="54" t="n">
        <x:f>IF(ISNUMBER(T2744),T2744*(1+U2744),"")</x:f>
        <x:v>1.5</x:v>
      </x:c>
      <x:c r="W2744" s="47" t="n">
        <x:v>0.3</x:v>
      </x:c>
      <x:c r="X2744" s="54" t="n">
        <x:f>IF(ISNUMBER(V2744),V2744/(1-W2744),"")</x:f>
        <x:v>2.142857142857143</x:v>
      </x:c>
      <x:c r="Y2744" s="55" t="n">
        <x:f>IF(ISNUMBER(X2744),ROUNDUP(X2744,0),"")</x:f>
        <x:v>3</x:v>
      </x:c>
      <x:c r="Z2744" t="str">
        <x:v>Source match pending</x:v>
      </x:c>
      <x:c r="AA2744" t="str">
        <x:v>screencapture-www-activesportstrade-co-uk-per4m-nutrition-trade-2026-09-10-09_06_42.pdf / page-09</x:v>
      </x:c>
      <x:c r="AB2744" s="36" t="n">
        <x:f>IF(ISNUMBER(Y2744),ROUND(Y2744*0.9,2),"")</x:f>
        <x:v>2.7</x:v>
      </x:c>
      <x:c r="AC2744" s="36" t="n">
        <x:f>IF(ISNUMBER(AB2744),ROUND(AB2744-(AB2744*0.015+0.2)-V2744,2),"")</x:f>
        <x:v>0.96</x:v>
      </x:c>
      <x:c r="AD2744" s="36" t="n">
        <x:f>IF(ISNUMBER(Y2744),ROUND(Y2744*0.8,2),"")</x:f>
        <x:v>2.4</x:v>
      </x:c>
      <x:c r="AE2744" s="36" t="n">
        <x:f>IF(ISNUMBER(AD2744),ROUND(AD2744*0.015+0.2,2),"")</x:f>
        <x:v>0.24</x:v>
      </x:c>
      <x:c r="AF2744" s="36" t="n">
        <x:f>IF(ISNUMBER(AD2744),ROUND(AD2744-AE2744-V2744,2),"")</x:f>
        <x:v>0.66</x:v>
      </x:c>
      <x:c r="AG2744" t="str">
        <x:f>IF(NOT(ISNUMBER(T2744)),"PENDING",IF(AF2744&gt;0,"PASS","FAIL"))</x:f>
        <x:v>PASS</x:v>
      </x:c>
      <x:c r="AH2744" t="str">
        <x:f>IF(NOT(ISNUMBER(T2744)),"Needs supplier cost",IF(K2744&lt;&gt;"In stock","Supplier unavailable",IF(AG2744&lt;&gt;"PASS","BLOCK - GT loss risk","Commercially protected")))</x:f>
        <x:v>Commercially protected</x:v>
      </x:c>
      <x:c r="AI2744" t="str">
        <x:v>2026-09-10 Active Sports trade capture</x:v>
      </x:c>
      <x:c r="AJ2744" t="str">
        <x:v>Management-only economics. Stripe stress test uses 1.5% + £0.20 standard UK online-card fee; pallet/mix-and-match pricing ignored.</x:v>
      </x:c>
    </x:row>
    <x:row r="2745">
      <x:c r="A2745" t="str">
        <x:v>Active Sports Nutrition</x:v>
      </x:c>
      <x:c r="B2745" t="str">
        <x:v>Per4m Nutrition</x:v>
      </x:c>
      <x:c r="C2745" t="str">
        <x:v>Whey Protein Sachet</x:v>
      </x:c>
      <x:c r="D2745" t="str">
        <x:v>Supplements</x:v>
      </x:c>
      <x:c r="E2745" t="str">
        <x:v>Whey Protein</x:v>
      </x:c>
      <x:c r="F2745" t="str"/>
      <x:c r="G2745" t="str">
        <x:v>1 x 30g sachet</x:v>
      </x:c>
      <x:c r="H2745" t="str">
        <x:v>French Toast</x:v>
      </x:c>
      <x:c r="I2745" t="str"/>
      <x:c r="J2745" t="str">
        <x:v>Unit</x:v>
      </x:c>
      <x:c r="K2745" t="str">
        <x:v>Out of stock</x:v>
      </x:c>
      <x:c r="L2745" t="str">
        <x:v>2026-09-08</x:v>
      </x:c>
      <x:c r="M2745" t="str"/>
      <x:c r="N2745" t="str"/>
      <x:c r="O2745" t="str">
        <x:v>https://www.activesportstrade.co.uk/per4m-nutrition-trade</x:v>
      </x:c>
      <x:c r="P2745" t="str">
        <x:v>LIMITED EDITION / NEW PRICE commercial wording stripped; exact listed sachet flavours retained.</x:v>
      </x:c>
      <x:c r="Q2745" t="str"/>
      <x:c r="R2745" t="str"/>
      <x:c r="S2745" t="str">
        <x:v>Pending genuine supplier/brand image</x:v>
      </x:c>
      <x:c r="T2745" s="54" t="n">
        <x:v>1.25</x:v>
      </x:c>
      <x:c r="U2745" s="47" t="n">
        <x:v>0.2</x:v>
      </x:c>
      <x:c r="V2745" s="54" t="n">
        <x:f>IF(ISNUMBER(T2745),T2745*(1+U2745),"")</x:f>
        <x:v>1.5</x:v>
      </x:c>
      <x:c r="W2745" s="47" t="n">
        <x:v>0.3</x:v>
      </x:c>
      <x:c r="X2745" s="54" t="n">
        <x:f>IF(ISNUMBER(V2745),V2745/(1-W2745),"")</x:f>
        <x:v>2.142857142857143</x:v>
      </x:c>
      <x:c r="Y2745" s="55" t="n">
        <x:f>IF(ISNUMBER(X2745),ROUNDUP(X2745,0),"")</x:f>
        <x:v>3</x:v>
      </x:c>
      <x:c r="Z2745" t="str">
        <x:v>Source match pending</x:v>
      </x:c>
      <x:c r="AA2745" t="str">
        <x:v>screencapture-www-activesportstrade-co-uk-per4m-nutrition-trade-2026-09-10-09_06_42.pdf / page-09</x:v>
      </x:c>
      <x:c r="AB2745" s="36" t="n">
        <x:f>IF(ISNUMBER(Y2745),ROUND(Y2745*0.9,2),"")</x:f>
        <x:v>2.7</x:v>
      </x:c>
      <x:c r="AC2745" s="36" t="n">
        <x:f>IF(ISNUMBER(AB2745),ROUND(AB2745-(AB2745*0.015+0.2)-V2745,2),"")</x:f>
        <x:v>0.96</x:v>
      </x:c>
      <x:c r="AD2745" s="36" t="n">
        <x:f>IF(ISNUMBER(Y2745),ROUND(Y2745*0.8,2),"")</x:f>
        <x:v>2.4</x:v>
      </x:c>
      <x:c r="AE2745" s="36" t="n">
        <x:f>IF(ISNUMBER(AD2745),ROUND(AD2745*0.015+0.2,2),"")</x:f>
        <x:v>0.24</x:v>
      </x:c>
      <x:c r="AF2745" s="36" t="n">
        <x:f>IF(ISNUMBER(AD2745),ROUND(AD2745-AE2745-V2745,2),"")</x:f>
        <x:v>0.66</x:v>
      </x:c>
      <x:c r="AG2745" t="str">
        <x:f>IF(NOT(ISNUMBER(T2745)),"PENDING",IF(AF2745&gt;0,"PASS","FAIL"))</x:f>
        <x:v>PASS</x:v>
      </x:c>
      <x:c r="AH2745" t="str">
        <x:f>IF(NOT(ISNUMBER(T2745)),"Needs supplier cost",IF(K2745&lt;&gt;"In stock","Supplier unavailable",IF(AG2745&lt;&gt;"PASS","BLOCK - GT loss risk","Commercially protected")))</x:f>
        <x:v>Supplier unavailable</x:v>
      </x:c>
      <x:c r="AI2745" t="str">
        <x:v>2026-09-10 Active Sports trade capture</x:v>
      </x:c>
      <x:c r="AJ2745" t="str">
        <x:v>Management-only economics. Stripe stress test uses 1.5% + £0.20 standard UK online-card fee; pallet/mix-and-match pricing ignored.</x:v>
      </x:c>
    </x:row>
    <x:row r="2746">
      <x:c r="A2746" t="str">
        <x:v>Active Sports Nutrition</x:v>
      </x:c>
      <x:c r="B2746" t="str">
        <x:v>Per4m Nutrition</x:v>
      </x:c>
      <x:c r="C2746" t="str">
        <x:v>Whey Protein Sachet</x:v>
      </x:c>
      <x:c r="D2746" t="str">
        <x:v>Supplements</x:v>
      </x:c>
      <x:c r="E2746" t="str">
        <x:v>Whey Protein</x:v>
      </x:c>
      <x:c r="F2746" t="str"/>
      <x:c r="G2746" t="str">
        <x:v>1 x 30g sachet</x:v>
      </x:c>
      <x:c r="H2746" t="str">
        <x:v>Raspberry White Chocolate Matcha</x:v>
      </x:c>
      <x:c r="I2746" t="str"/>
      <x:c r="J2746" t="str">
        <x:v>Unit</x:v>
      </x:c>
      <x:c r="K2746" t="str">
        <x:v>In stock</x:v>
      </x:c>
      <x:c r="L2746" t="str">
        <x:v>2026-09-08</x:v>
      </x:c>
      <x:c r="M2746" t="str"/>
      <x:c r="N2746" t="str"/>
      <x:c r="O2746" t="str">
        <x:v>https://www.activesportstrade.co.uk/per4m-nutrition-trade</x:v>
      </x:c>
      <x:c r="P2746" t="str">
        <x:v>LIMITED EDITION / NEW PRICE commercial wording stripped; exact listed sachet flavours retained.</x:v>
      </x:c>
      <x:c r="Q2746" t="str"/>
      <x:c r="R2746" t="str"/>
      <x:c r="S2746" t="str">
        <x:v>Pending genuine supplier/brand image</x:v>
      </x:c>
      <x:c r="T2746" s="54" t="n">
        <x:v>1.25</x:v>
      </x:c>
      <x:c r="U2746" s="47" t="n">
        <x:v>0.2</x:v>
      </x:c>
      <x:c r="V2746" s="54" t="n">
        <x:f>IF(ISNUMBER(T2746),T2746*(1+U2746),"")</x:f>
        <x:v>1.5</x:v>
      </x:c>
      <x:c r="W2746" s="47" t="n">
        <x:v>0.3</x:v>
      </x:c>
      <x:c r="X2746" s="54" t="n">
        <x:f>IF(ISNUMBER(V2746),V2746/(1-W2746),"")</x:f>
        <x:v>2.142857142857143</x:v>
      </x:c>
      <x:c r="Y2746" s="55" t="n">
        <x:f>IF(ISNUMBER(X2746),ROUNDUP(X2746,0),"")</x:f>
        <x:v>3</x:v>
      </x:c>
      <x:c r="Z2746" t="str">
        <x:v>Source match pending</x:v>
      </x:c>
      <x:c r="AA2746" t="str">
        <x:v>screencapture-www-activesportstrade-co-uk-per4m-nutrition-trade-2026-09-10-09_06_42.pdf / page-09</x:v>
      </x:c>
      <x:c r="AB2746" s="36" t="n">
        <x:f>IF(ISNUMBER(Y2746),ROUND(Y2746*0.9,2),"")</x:f>
        <x:v>2.7</x:v>
      </x:c>
      <x:c r="AC2746" s="36" t="n">
        <x:f>IF(ISNUMBER(AB2746),ROUND(AB2746-(AB2746*0.015+0.2)-V2746,2),"")</x:f>
        <x:v>0.96</x:v>
      </x:c>
      <x:c r="AD2746" s="36" t="n">
        <x:f>IF(ISNUMBER(Y2746),ROUND(Y2746*0.8,2),"")</x:f>
        <x:v>2.4</x:v>
      </x:c>
      <x:c r="AE2746" s="36" t="n">
        <x:f>IF(ISNUMBER(AD2746),ROUND(AD2746*0.015+0.2,2),"")</x:f>
        <x:v>0.24</x:v>
      </x:c>
      <x:c r="AF2746" s="36" t="n">
        <x:f>IF(ISNUMBER(AD2746),ROUND(AD2746-AE2746-V2746,2),"")</x:f>
        <x:v>0.66</x:v>
      </x:c>
      <x:c r="AG2746" t="str">
        <x:f>IF(NOT(ISNUMBER(T2746)),"PENDING",IF(AF2746&gt;0,"PASS","FAIL"))</x:f>
        <x:v>PASS</x:v>
      </x:c>
      <x:c r="AH2746" t="str">
        <x:f>IF(NOT(ISNUMBER(T2746)),"Needs supplier cost",IF(K2746&lt;&gt;"In stock","Supplier unavailable",IF(AG2746&lt;&gt;"PASS","BLOCK - GT loss risk","Commercially protected")))</x:f>
        <x:v>Commercially protected</x:v>
      </x:c>
      <x:c r="AI2746" t="str">
        <x:v>2026-09-10 Active Sports trade capture</x:v>
      </x:c>
      <x:c r="AJ2746" t="str">
        <x:v>Management-only economics. Stripe stress test uses 1.5% + £0.20 standard UK online-card fee; pallet/mix-and-match pricing ignored.</x:v>
      </x:c>
    </x:row>
    <x:row r="2747">
      <x:c r="A2747" t="str">
        <x:v>Active Sports Nutrition</x:v>
      </x:c>
      <x:c r="B2747" t="str">
        <x:v>Per4m Nutrition</x:v>
      </x:c>
      <x:c r="C2747" t="str">
        <x:v>Whey Protein Sachet</x:v>
      </x:c>
      <x:c r="D2747" t="str">
        <x:v>Supplements</x:v>
      </x:c>
      <x:c r="E2747" t="str">
        <x:v>Whey Protein</x:v>
      </x:c>
      <x:c r="F2747" t="str"/>
      <x:c r="G2747" t="str">
        <x:v>1 x 30g sachet</x:v>
      </x:c>
      <x:c r="H2747" t="str">
        <x:v>Vincent the Caterpillar</x:v>
      </x:c>
      <x:c r="I2747" t="str"/>
      <x:c r="J2747" t="str">
        <x:v>Unit</x:v>
      </x:c>
      <x:c r="K2747" t="str">
        <x:v>In stock</x:v>
      </x:c>
      <x:c r="L2747" t="str">
        <x:v>2026-09-08</x:v>
      </x:c>
      <x:c r="M2747" t="str"/>
      <x:c r="N2747" t="str"/>
      <x:c r="O2747" t="str">
        <x:v>https://www.activesportstrade.co.uk/per4m-nutrition-trade</x:v>
      </x:c>
      <x:c r="P2747" t="str">
        <x:v>LIMITED EDITION / NEW PRICE commercial wording stripped; exact listed sachet flavours retained.</x:v>
      </x:c>
      <x:c r="Q2747" t="str"/>
      <x:c r="R2747" t="str"/>
      <x:c r="S2747" t="str">
        <x:v>Pending genuine supplier/brand image</x:v>
      </x:c>
      <x:c r="T2747" s="54" t="n">
        <x:v>1.25</x:v>
      </x:c>
      <x:c r="U2747" s="47" t="n">
        <x:v>0.2</x:v>
      </x:c>
      <x:c r="V2747" s="54" t="n">
        <x:f>IF(ISNUMBER(T2747),T2747*(1+U2747),"")</x:f>
        <x:v>1.5</x:v>
      </x:c>
      <x:c r="W2747" s="47" t="n">
        <x:v>0.3</x:v>
      </x:c>
      <x:c r="X2747" s="54" t="n">
        <x:f>IF(ISNUMBER(V2747),V2747/(1-W2747),"")</x:f>
        <x:v>2.142857142857143</x:v>
      </x:c>
      <x:c r="Y2747" s="55" t="n">
        <x:f>IF(ISNUMBER(X2747),ROUNDUP(X2747,0),"")</x:f>
        <x:v>3</x:v>
      </x:c>
      <x:c r="Z2747" t="str">
        <x:v>Source match pending</x:v>
      </x:c>
      <x:c r="AA2747" t="str">
        <x:v>screencapture-www-activesportstrade-co-uk-per4m-nutrition-trade-2026-09-10-09_06_42.pdf / page-09</x:v>
      </x:c>
      <x:c r="AB2747" s="36" t="n">
        <x:f>IF(ISNUMBER(Y2747),ROUND(Y2747*0.9,2),"")</x:f>
        <x:v>2.7</x:v>
      </x:c>
      <x:c r="AC2747" s="36" t="n">
        <x:f>IF(ISNUMBER(AB2747),ROUND(AB2747-(AB2747*0.015+0.2)-V2747,2),"")</x:f>
        <x:v>0.96</x:v>
      </x:c>
      <x:c r="AD2747" s="36" t="n">
        <x:f>IF(ISNUMBER(Y2747),ROUND(Y2747*0.8,2),"")</x:f>
        <x:v>2.4</x:v>
      </x:c>
      <x:c r="AE2747" s="36" t="n">
        <x:f>IF(ISNUMBER(AD2747),ROUND(AD2747*0.015+0.2,2),"")</x:f>
        <x:v>0.24</x:v>
      </x:c>
      <x:c r="AF2747" s="36" t="n">
        <x:f>IF(ISNUMBER(AD2747),ROUND(AD2747-AE2747-V2747,2),"")</x:f>
        <x:v>0.66</x:v>
      </x:c>
      <x:c r="AG2747" t="str">
        <x:f>IF(NOT(ISNUMBER(T2747)),"PENDING",IF(AF2747&gt;0,"PASS","FAIL"))</x:f>
        <x:v>PASS</x:v>
      </x:c>
      <x:c r="AH2747" t="str">
        <x:f>IF(NOT(ISNUMBER(T2747)),"Needs supplier cost",IF(K2747&lt;&gt;"In stock","Supplier unavailable",IF(AG2747&lt;&gt;"PASS","BLOCK - GT loss risk","Commercially protected")))</x:f>
        <x:v>Commercially protected</x:v>
      </x:c>
      <x:c r="AI2747" t="str">
        <x:v>2026-09-10 Active Sports trade capture</x:v>
      </x:c>
      <x:c r="AJ2747" t="str">
        <x:v>Management-only economics. Stripe stress test uses 1.5% + £0.20 standard UK online-card fee; pallet/mix-and-match pricing ignored.</x:v>
      </x:c>
    </x:row>
    <x:row r="2748">
      <x:c r="A2748" t="str">
        <x:v>Active Sports Nutrition</x:v>
      </x:c>
      <x:c r="B2748" t="str">
        <x:v>Per4m Nutrition</x:v>
      </x:c>
      <x:c r="C2748" t="str">
        <x:v>Whey Protein Sachet</x:v>
      </x:c>
      <x:c r="D2748" t="str">
        <x:v>Supplements</x:v>
      </x:c>
      <x:c r="E2748" t="str">
        <x:v>Whey Protein</x:v>
      </x:c>
      <x:c r="F2748" t="str"/>
      <x:c r="G2748" t="str">
        <x:v>1 x 30g sachet</x:v>
      </x:c>
      <x:c r="H2748" t="str">
        <x:v>Apple Strudel</x:v>
      </x:c>
      <x:c r="I2748" t="str"/>
      <x:c r="J2748" t="str">
        <x:v>Unit</x:v>
      </x:c>
      <x:c r="K2748" t="str">
        <x:v>Out of stock</x:v>
      </x:c>
      <x:c r="L2748" t="str">
        <x:v>2026-09-08</x:v>
      </x:c>
      <x:c r="M2748" t="str"/>
      <x:c r="N2748" t="str"/>
      <x:c r="O2748" t="str">
        <x:v>https://www.activesportstrade.co.uk/per4m-nutrition-trade</x:v>
      </x:c>
      <x:c r="P2748" t="str">
        <x:v>LIMITED EDITION / NEW PRICE commercial wording stripped; exact listed sachet flavours retained.</x:v>
      </x:c>
      <x:c r="Q2748" t="str"/>
      <x:c r="R2748" t="str"/>
      <x:c r="S2748" t="str">
        <x:v>Pending genuine supplier/brand image</x:v>
      </x:c>
      <x:c r="T2748" s="54" t="n">
        <x:v>1.25</x:v>
      </x:c>
      <x:c r="U2748" s="47" t="n">
        <x:v>0.2</x:v>
      </x:c>
      <x:c r="V2748" s="54" t="n">
        <x:f>IF(ISNUMBER(T2748),T2748*(1+U2748),"")</x:f>
        <x:v>1.5</x:v>
      </x:c>
      <x:c r="W2748" s="47" t="n">
        <x:v>0.3</x:v>
      </x:c>
      <x:c r="X2748" s="54" t="n">
        <x:f>IF(ISNUMBER(V2748),V2748/(1-W2748),"")</x:f>
        <x:v>2.142857142857143</x:v>
      </x:c>
      <x:c r="Y2748" s="55" t="n">
        <x:f>IF(ISNUMBER(X2748),ROUNDUP(X2748,0),"")</x:f>
        <x:v>3</x:v>
      </x:c>
      <x:c r="Z2748" t="str">
        <x:v>Source match pending</x:v>
      </x:c>
      <x:c r="AA2748" t="str">
        <x:v>screencapture-www-activesportstrade-co-uk-per4m-nutrition-trade-2026-09-10-09_06_42.pdf / page-09</x:v>
      </x:c>
      <x:c r="AB2748" s="36" t="n">
        <x:f>IF(ISNUMBER(Y2748),ROUND(Y2748*0.9,2),"")</x:f>
        <x:v>2.7</x:v>
      </x:c>
      <x:c r="AC2748" s="36" t="n">
        <x:f>IF(ISNUMBER(AB2748),ROUND(AB2748-(AB2748*0.015+0.2)-V2748,2),"")</x:f>
        <x:v>0.96</x:v>
      </x:c>
      <x:c r="AD2748" s="36" t="n">
        <x:f>IF(ISNUMBER(Y2748),ROUND(Y2748*0.8,2),"")</x:f>
        <x:v>2.4</x:v>
      </x:c>
      <x:c r="AE2748" s="36" t="n">
        <x:f>IF(ISNUMBER(AD2748),ROUND(AD2748*0.015+0.2,2),"")</x:f>
        <x:v>0.24</x:v>
      </x:c>
      <x:c r="AF2748" s="36" t="n">
        <x:f>IF(ISNUMBER(AD2748),ROUND(AD2748-AE2748-V2748,2),"")</x:f>
        <x:v>0.66</x:v>
      </x:c>
      <x:c r="AG2748" t="str">
        <x:f>IF(NOT(ISNUMBER(T2748)),"PENDING",IF(AF2748&gt;0,"PASS","FAIL"))</x:f>
        <x:v>PASS</x:v>
      </x:c>
      <x:c r="AH2748" t="str">
        <x:f>IF(NOT(ISNUMBER(T2748)),"Needs supplier cost",IF(K2748&lt;&gt;"In stock","Supplier unavailable",IF(AG2748&lt;&gt;"PASS","BLOCK - GT loss risk","Commercially protected")))</x:f>
        <x:v>Supplier unavailable</x:v>
      </x:c>
      <x:c r="AI2748" t="str">
        <x:v>2026-09-10 Active Sports trade capture</x:v>
      </x:c>
      <x:c r="AJ2748" t="str">
        <x:v>Management-only economics. Stripe stress test uses 1.5% + £0.20 standard UK online-card fee; pallet/mix-and-match pricing ignored.</x:v>
      </x:c>
    </x:row>
    <x:row r="2749">
      <x:c r="A2749" t="str">
        <x:v>Active Sports Nutrition</x:v>
      </x:c>
      <x:c r="B2749" t="str">
        <x:v>Per4m Nutrition</x:v>
      </x:c>
      <x:c r="C2749" t="str">
        <x:v>Whey Protein Sachet</x:v>
      </x:c>
      <x:c r="D2749" t="str">
        <x:v>Supplements</x:v>
      </x:c>
      <x:c r="E2749" t="str">
        <x:v>Whey Protein</x:v>
      </x:c>
      <x:c r="F2749" t="str"/>
      <x:c r="G2749" t="str">
        <x:v>1 x 30g sachet</x:v>
      </x:c>
      <x:c r="H2749" t="str">
        <x:v>Baklava</x:v>
      </x:c>
      <x:c r="I2749" t="str"/>
      <x:c r="J2749" t="str">
        <x:v>Unit</x:v>
      </x:c>
      <x:c r="K2749" t="str">
        <x:v>In stock</x:v>
      </x:c>
      <x:c r="L2749" t="str">
        <x:v>2026-09-08</x:v>
      </x:c>
      <x:c r="M2749" t="str"/>
      <x:c r="N2749" t="str"/>
      <x:c r="O2749" t="str">
        <x:v>https://www.activesportstrade.co.uk/per4m-nutrition-trade</x:v>
      </x:c>
      <x:c r="P2749" t="str">
        <x:v>LIMITED EDITION / NEW PRICE commercial wording stripped; exact listed sachet flavours retained.</x:v>
      </x:c>
      <x:c r="Q2749" t="str"/>
      <x:c r="R2749" t="str"/>
      <x:c r="S2749" t="str">
        <x:v>Pending genuine supplier/brand image</x:v>
      </x:c>
      <x:c r="T2749" s="54" t="n">
        <x:v>1.25</x:v>
      </x:c>
      <x:c r="U2749" s="47" t="n">
        <x:v>0.2</x:v>
      </x:c>
      <x:c r="V2749" s="54" t="n">
        <x:f>IF(ISNUMBER(T2749),T2749*(1+U2749),"")</x:f>
        <x:v>1.5</x:v>
      </x:c>
      <x:c r="W2749" s="47" t="n">
        <x:v>0.3</x:v>
      </x:c>
      <x:c r="X2749" s="54" t="n">
        <x:f>IF(ISNUMBER(V2749),V2749/(1-W2749),"")</x:f>
        <x:v>2.142857142857143</x:v>
      </x:c>
      <x:c r="Y2749" s="55" t="n">
        <x:f>IF(ISNUMBER(X2749),ROUNDUP(X2749,0),"")</x:f>
        <x:v>3</x:v>
      </x:c>
      <x:c r="Z2749" t="str">
        <x:v>Source match pending</x:v>
      </x:c>
      <x:c r="AA2749" t="str">
        <x:v>screencapture-www-activesportstrade-co-uk-per4m-nutrition-trade-2026-09-10-09_06_42.pdf / page-09</x:v>
      </x:c>
      <x:c r="AB2749" s="36" t="n">
        <x:f>IF(ISNUMBER(Y2749),ROUND(Y2749*0.9,2),"")</x:f>
        <x:v>2.7</x:v>
      </x:c>
      <x:c r="AC2749" s="36" t="n">
        <x:f>IF(ISNUMBER(AB2749),ROUND(AB2749-(AB2749*0.015+0.2)-V2749,2),"")</x:f>
        <x:v>0.96</x:v>
      </x:c>
      <x:c r="AD2749" s="36" t="n">
        <x:f>IF(ISNUMBER(Y2749),ROUND(Y2749*0.8,2),"")</x:f>
        <x:v>2.4</x:v>
      </x:c>
      <x:c r="AE2749" s="36" t="n">
        <x:f>IF(ISNUMBER(AD2749),ROUND(AD2749*0.015+0.2,2),"")</x:f>
        <x:v>0.24</x:v>
      </x:c>
      <x:c r="AF2749" s="36" t="n">
        <x:f>IF(ISNUMBER(AD2749),ROUND(AD2749-AE2749-V2749,2),"")</x:f>
        <x:v>0.66</x:v>
      </x:c>
      <x:c r="AG2749" t="str">
        <x:f>IF(NOT(ISNUMBER(T2749)),"PENDING",IF(AF2749&gt;0,"PASS","FAIL"))</x:f>
        <x:v>PASS</x:v>
      </x:c>
      <x:c r="AH2749" t="str">
        <x:f>IF(NOT(ISNUMBER(T2749)),"Needs supplier cost",IF(K2749&lt;&gt;"In stock","Supplier unavailable",IF(AG2749&lt;&gt;"PASS","BLOCK - GT loss risk","Commercially protected")))</x:f>
        <x:v>Commercially protected</x:v>
      </x:c>
      <x:c r="AI2749" t="str">
        <x:v>2026-09-10 Active Sports trade capture</x:v>
      </x:c>
      <x:c r="AJ2749" t="str">
        <x:v>Management-only economics. Stripe stress test uses 1.5% + £0.20 standard UK online-card fee; pallet/mix-and-match pricing ignored.</x:v>
      </x:c>
    </x:row>
    <x:row r="2750">
      <x:c r="A2750" t="str">
        <x:v>Active Sports Nutrition</x:v>
      </x:c>
      <x:c r="B2750" t="str">
        <x:v>Per4m Nutrition</x:v>
      </x:c>
      <x:c r="C2750" t="str">
        <x:v>Whey Protein Sachet</x:v>
      </x:c>
      <x:c r="D2750" t="str">
        <x:v>Supplements</x:v>
      </x:c>
      <x:c r="E2750" t="str">
        <x:v>Whey Protein</x:v>
      </x:c>
      <x:c r="F2750" t="str"/>
      <x:c r="G2750" t="str">
        <x:v>1 x 30g sachet</x:v>
      </x:c>
      <x:c r="H2750" t="str">
        <x:v>Banana</x:v>
      </x:c>
      <x:c r="I2750" t="str"/>
      <x:c r="J2750" t="str">
        <x:v>Unit</x:v>
      </x:c>
      <x:c r="K2750" t="str">
        <x:v>In stock</x:v>
      </x:c>
      <x:c r="L2750" t="str">
        <x:v>2026-09-08</x:v>
      </x:c>
      <x:c r="M2750" t="str"/>
      <x:c r="N2750" t="str"/>
      <x:c r="O2750" t="str">
        <x:v>https://www.activesportstrade.co.uk/per4m-nutrition-trade</x:v>
      </x:c>
      <x:c r="P2750" t="str">
        <x:v>LIMITED EDITION / NEW PRICE commercial wording stripped; exact listed sachet flavours retained.</x:v>
      </x:c>
      <x:c r="Q2750" t="str"/>
      <x:c r="R2750" t="str"/>
      <x:c r="S2750" t="str">
        <x:v>Pending genuine supplier/brand image</x:v>
      </x:c>
      <x:c r="T2750" s="54" t="n">
        <x:v>1.25</x:v>
      </x:c>
      <x:c r="U2750" s="47" t="n">
        <x:v>0.2</x:v>
      </x:c>
      <x:c r="V2750" s="54" t="n">
        <x:f>IF(ISNUMBER(T2750),T2750*(1+U2750),"")</x:f>
        <x:v>1.5</x:v>
      </x:c>
      <x:c r="W2750" s="47" t="n">
        <x:v>0.3</x:v>
      </x:c>
      <x:c r="X2750" s="54" t="n">
        <x:f>IF(ISNUMBER(V2750),V2750/(1-W2750),"")</x:f>
        <x:v>2.142857142857143</x:v>
      </x:c>
      <x:c r="Y2750" s="55" t="n">
        <x:f>IF(ISNUMBER(X2750),ROUNDUP(X2750,0),"")</x:f>
        <x:v>3</x:v>
      </x:c>
      <x:c r="Z2750" t="str">
        <x:v>Source match pending</x:v>
      </x:c>
      <x:c r="AA2750" t="str">
        <x:v>screencapture-www-activesportstrade-co-uk-per4m-nutrition-trade-2026-09-10-09_06_42.pdf / page-09</x:v>
      </x:c>
      <x:c r="AB2750" s="36" t="n">
        <x:f>IF(ISNUMBER(Y2750),ROUND(Y2750*0.9,2),"")</x:f>
        <x:v>2.7</x:v>
      </x:c>
      <x:c r="AC2750" s="36" t="n">
        <x:f>IF(ISNUMBER(AB2750),ROUND(AB2750-(AB2750*0.015+0.2)-V2750,2),"")</x:f>
        <x:v>0.96</x:v>
      </x:c>
      <x:c r="AD2750" s="36" t="n">
        <x:f>IF(ISNUMBER(Y2750),ROUND(Y2750*0.8,2),"")</x:f>
        <x:v>2.4</x:v>
      </x:c>
      <x:c r="AE2750" s="36" t="n">
        <x:f>IF(ISNUMBER(AD2750),ROUND(AD2750*0.015+0.2,2),"")</x:f>
        <x:v>0.24</x:v>
      </x:c>
      <x:c r="AF2750" s="36" t="n">
        <x:f>IF(ISNUMBER(AD2750),ROUND(AD2750-AE2750-V2750,2),"")</x:f>
        <x:v>0.66</x:v>
      </x:c>
      <x:c r="AG2750" t="str">
        <x:f>IF(NOT(ISNUMBER(T2750)),"PENDING",IF(AF2750&gt;0,"PASS","FAIL"))</x:f>
        <x:v>PASS</x:v>
      </x:c>
      <x:c r="AH2750" t="str">
        <x:f>IF(NOT(ISNUMBER(T2750)),"Needs supplier cost",IF(K2750&lt;&gt;"In stock","Supplier unavailable",IF(AG2750&lt;&gt;"PASS","BLOCK - GT loss risk","Commercially protected")))</x:f>
        <x:v>Commercially protected</x:v>
      </x:c>
      <x:c r="AI2750" t="str">
        <x:v>2026-09-10 Active Sports trade capture</x:v>
      </x:c>
      <x:c r="AJ2750" t="str">
        <x:v>Management-only economics. Stripe stress test uses 1.5% + £0.20 standard UK online-card fee; pallet/mix-and-match pricing ignored.</x:v>
      </x:c>
    </x:row>
    <x:row r="2751">
      <x:c r="A2751" t="str">
        <x:v>Active Sports Nutrition</x:v>
      </x:c>
      <x:c r="B2751" t="str">
        <x:v>Per4m Nutrition</x:v>
      </x:c>
      <x:c r="C2751" t="str">
        <x:v>Whey Protein Sachet</x:v>
      </x:c>
      <x:c r="D2751" t="str">
        <x:v>Supplements</x:v>
      </x:c>
      <x:c r="E2751" t="str">
        <x:v>Whey Protein</x:v>
      </x:c>
      <x:c r="F2751" t="str"/>
      <x:c r="G2751" t="str">
        <x:v>1 x 30g sachet</x:v>
      </x:c>
      <x:c r="H2751" t="str">
        <x:v>Birthday Cake</x:v>
      </x:c>
      <x:c r="I2751" t="str"/>
      <x:c r="J2751" t="str">
        <x:v>Unit</x:v>
      </x:c>
      <x:c r="K2751" t="str">
        <x:v>In stock</x:v>
      </x:c>
      <x:c r="L2751" t="str">
        <x:v>2026-09-08</x:v>
      </x:c>
      <x:c r="M2751" t="str"/>
      <x:c r="N2751" t="str"/>
      <x:c r="O2751" t="str">
        <x:v>https://www.activesportstrade.co.uk/per4m-nutrition-trade</x:v>
      </x:c>
      <x:c r="P2751" t="str">
        <x:v>LIMITED EDITION / NEW PRICE commercial wording stripped; exact listed sachet flavours retained.</x:v>
      </x:c>
      <x:c r="Q2751" t="str"/>
      <x:c r="R2751" t="str"/>
      <x:c r="S2751" t="str">
        <x:v>Pending genuine supplier/brand image</x:v>
      </x:c>
      <x:c r="T2751" s="54" t="n">
        <x:v>1.25</x:v>
      </x:c>
      <x:c r="U2751" s="47" t="n">
        <x:v>0.2</x:v>
      </x:c>
      <x:c r="V2751" s="54" t="n">
        <x:f>IF(ISNUMBER(T2751),T2751*(1+U2751),"")</x:f>
        <x:v>1.5</x:v>
      </x:c>
      <x:c r="W2751" s="47" t="n">
        <x:v>0.3</x:v>
      </x:c>
      <x:c r="X2751" s="54" t="n">
        <x:f>IF(ISNUMBER(V2751),V2751/(1-W2751),"")</x:f>
        <x:v>2.142857142857143</x:v>
      </x:c>
      <x:c r="Y2751" s="55" t="n">
        <x:f>IF(ISNUMBER(X2751),ROUNDUP(X2751,0),"")</x:f>
        <x:v>3</x:v>
      </x:c>
      <x:c r="Z2751" t="str">
        <x:v>Source match pending</x:v>
      </x:c>
      <x:c r="AA2751" t="str">
        <x:v>screencapture-www-activesportstrade-co-uk-per4m-nutrition-trade-2026-09-10-09_06_42.pdf / page-09</x:v>
      </x:c>
      <x:c r="AB2751" s="36" t="n">
        <x:f>IF(ISNUMBER(Y2751),ROUND(Y2751*0.9,2),"")</x:f>
        <x:v>2.7</x:v>
      </x:c>
      <x:c r="AC2751" s="36" t="n">
        <x:f>IF(ISNUMBER(AB2751),ROUND(AB2751-(AB2751*0.015+0.2)-V2751,2),"")</x:f>
        <x:v>0.96</x:v>
      </x:c>
      <x:c r="AD2751" s="36" t="n">
        <x:f>IF(ISNUMBER(Y2751),ROUND(Y2751*0.8,2),"")</x:f>
        <x:v>2.4</x:v>
      </x:c>
      <x:c r="AE2751" s="36" t="n">
        <x:f>IF(ISNUMBER(AD2751),ROUND(AD2751*0.015+0.2,2),"")</x:f>
        <x:v>0.24</x:v>
      </x:c>
      <x:c r="AF2751" s="36" t="n">
        <x:f>IF(ISNUMBER(AD2751),ROUND(AD2751-AE2751-V2751,2),"")</x:f>
        <x:v>0.66</x:v>
      </x:c>
      <x:c r="AG2751" t="str">
        <x:f>IF(NOT(ISNUMBER(T2751)),"PENDING",IF(AF2751&gt;0,"PASS","FAIL"))</x:f>
        <x:v>PASS</x:v>
      </x:c>
      <x:c r="AH2751" t="str">
        <x:f>IF(NOT(ISNUMBER(T2751)),"Needs supplier cost",IF(K2751&lt;&gt;"In stock","Supplier unavailable",IF(AG2751&lt;&gt;"PASS","BLOCK - GT loss risk","Commercially protected")))</x:f>
        <x:v>Commercially protected</x:v>
      </x:c>
      <x:c r="AI2751" t="str">
        <x:v>2026-09-10 Active Sports trade capture</x:v>
      </x:c>
      <x:c r="AJ2751" t="str">
        <x:v>Management-only economics. Stripe stress test uses 1.5% + £0.20 standard UK online-card fee; pallet/mix-and-match pricing ignored.</x:v>
      </x:c>
    </x:row>
    <x:row r="2752">
      <x:c r="A2752" t="str">
        <x:v>Active Sports Nutrition</x:v>
      </x:c>
      <x:c r="B2752" t="str">
        <x:v>Per4m Nutrition</x:v>
      </x:c>
      <x:c r="C2752" t="str">
        <x:v>Whey Protein Sachet</x:v>
      </x:c>
      <x:c r="D2752" t="str">
        <x:v>Supplements</x:v>
      </x:c>
      <x:c r="E2752" t="str">
        <x:v>Whey Protein</x:v>
      </x:c>
      <x:c r="F2752" t="str"/>
      <x:c r="G2752" t="str">
        <x:v>1 x 30g sachet</x:v>
      </x:c>
      <x:c r="H2752" t="str">
        <x:v>Blueberry Muffin</x:v>
      </x:c>
      <x:c r="I2752" t="str"/>
      <x:c r="J2752" t="str">
        <x:v>Unit</x:v>
      </x:c>
      <x:c r="K2752" t="str">
        <x:v>In stock</x:v>
      </x:c>
      <x:c r="L2752" t="str">
        <x:v>2026-09-08</x:v>
      </x:c>
      <x:c r="M2752" t="str"/>
      <x:c r="N2752" t="str"/>
      <x:c r="O2752" t="str">
        <x:v>https://www.activesportstrade.co.uk/per4m-nutrition-trade</x:v>
      </x:c>
      <x:c r="P2752" t="str">
        <x:v>LIMITED EDITION / NEW PRICE commercial wording stripped; exact listed sachet flavours retained.</x:v>
      </x:c>
      <x:c r="Q2752" t="str"/>
      <x:c r="R2752" t="str"/>
      <x:c r="S2752" t="str">
        <x:v>Pending genuine supplier/brand image</x:v>
      </x:c>
      <x:c r="T2752" s="54" t="n">
        <x:v>1.25</x:v>
      </x:c>
      <x:c r="U2752" s="47" t="n">
        <x:v>0.2</x:v>
      </x:c>
      <x:c r="V2752" s="54" t="n">
        <x:f>IF(ISNUMBER(T2752),T2752*(1+U2752),"")</x:f>
        <x:v>1.5</x:v>
      </x:c>
      <x:c r="W2752" s="47" t="n">
        <x:v>0.3</x:v>
      </x:c>
      <x:c r="X2752" s="54" t="n">
        <x:f>IF(ISNUMBER(V2752),V2752/(1-W2752),"")</x:f>
        <x:v>2.142857142857143</x:v>
      </x:c>
      <x:c r="Y2752" s="55" t="n">
        <x:f>IF(ISNUMBER(X2752),ROUNDUP(X2752,0),"")</x:f>
        <x:v>3</x:v>
      </x:c>
      <x:c r="Z2752" t="str">
        <x:v>Source match pending</x:v>
      </x:c>
      <x:c r="AA2752" t="str">
        <x:v>screencapture-www-activesportstrade-co-uk-per4m-nutrition-trade-2026-09-10-09_06_42.pdf / page-09</x:v>
      </x:c>
      <x:c r="AB2752" s="36" t="n">
        <x:f>IF(ISNUMBER(Y2752),ROUND(Y2752*0.9,2),"")</x:f>
        <x:v>2.7</x:v>
      </x:c>
      <x:c r="AC2752" s="36" t="n">
        <x:f>IF(ISNUMBER(AB2752),ROUND(AB2752-(AB2752*0.015+0.2)-V2752,2),"")</x:f>
        <x:v>0.96</x:v>
      </x:c>
      <x:c r="AD2752" s="36" t="n">
        <x:f>IF(ISNUMBER(Y2752),ROUND(Y2752*0.8,2),"")</x:f>
        <x:v>2.4</x:v>
      </x:c>
      <x:c r="AE2752" s="36" t="n">
        <x:f>IF(ISNUMBER(AD2752),ROUND(AD2752*0.015+0.2,2),"")</x:f>
        <x:v>0.24</x:v>
      </x:c>
      <x:c r="AF2752" s="36" t="n">
        <x:f>IF(ISNUMBER(AD2752),ROUND(AD2752-AE2752-V2752,2),"")</x:f>
        <x:v>0.66</x:v>
      </x:c>
      <x:c r="AG2752" t="str">
        <x:f>IF(NOT(ISNUMBER(T2752)),"PENDING",IF(AF2752&gt;0,"PASS","FAIL"))</x:f>
        <x:v>PASS</x:v>
      </x:c>
      <x:c r="AH2752" t="str">
        <x:f>IF(NOT(ISNUMBER(T2752)),"Needs supplier cost",IF(K2752&lt;&gt;"In stock","Supplier unavailable",IF(AG2752&lt;&gt;"PASS","BLOCK - GT loss risk","Commercially protected")))</x:f>
        <x:v>Commercially protected</x:v>
      </x:c>
      <x:c r="AI2752" t="str">
        <x:v>2026-09-10 Active Sports trade capture</x:v>
      </x:c>
      <x:c r="AJ2752" t="str">
        <x:v>Management-only economics. Stripe stress test uses 1.5% + £0.20 standard UK online-card fee; pallet/mix-and-match pricing ignored.</x:v>
      </x:c>
    </x:row>
    <x:row r="2753">
      <x:c r="A2753" t="str">
        <x:v>Active Sports Nutrition</x:v>
      </x:c>
      <x:c r="B2753" t="str">
        <x:v>Per4m Nutrition</x:v>
      </x:c>
      <x:c r="C2753" t="str">
        <x:v>Whey Protein Sachet</x:v>
      </x:c>
      <x:c r="D2753" t="str">
        <x:v>Supplements</x:v>
      </x:c>
      <x:c r="E2753" t="str">
        <x:v>Whey Protein</x:v>
      </x:c>
      <x:c r="F2753" t="str"/>
      <x:c r="G2753" t="str">
        <x:v>1 x 30g sachet</x:v>
      </x:c>
      <x:c r="H2753" t="str">
        <x:v>Caramel Biscuit</x:v>
      </x:c>
      <x:c r="I2753" t="str"/>
      <x:c r="J2753" t="str">
        <x:v>Unit</x:v>
      </x:c>
      <x:c r="K2753" t="str">
        <x:v>Out of stock</x:v>
      </x:c>
      <x:c r="L2753" t="str">
        <x:v>2026-09-08</x:v>
      </x:c>
      <x:c r="M2753" t="str"/>
      <x:c r="N2753" t="str"/>
      <x:c r="O2753" t="str">
        <x:v>https://www.activesportstrade.co.uk/per4m-nutrition-trade</x:v>
      </x:c>
      <x:c r="P2753" t="str">
        <x:v>LIMITED EDITION / NEW PRICE commercial wording stripped; exact listed sachet flavours retained.</x:v>
      </x:c>
      <x:c r="Q2753" t="str"/>
      <x:c r="R2753" t="str"/>
      <x:c r="S2753" t="str">
        <x:v>Pending genuine supplier/brand image</x:v>
      </x:c>
      <x:c r="T2753" s="54" t="n">
        <x:v>1.25</x:v>
      </x:c>
      <x:c r="U2753" s="47" t="n">
        <x:v>0.2</x:v>
      </x:c>
      <x:c r="V2753" s="54" t="n">
        <x:f>IF(ISNUMBER(T2753),T2753*(1+U2753),"")</x:f>
        <x:v>1.5</x:v>
      </x:c>
      <x:c r="W2753" s="47" t="n">
        <x:v>0.3</x:v>
      </x:c>
      <x:c r="X2753" s="54" t="n">
        <x:f>IF(ISNUMBER(V2753),V2753/(1-W2753),"")</x:f>
        <x:v>2.142857142857143</x:v>
      </x:c>
      <x:c r="Y2753" s="55" t="n">
        <x:f>IF(ISNUMBER(X2753),ROUNDUP(X2753,0),"")</x:f>
        <x:v>3</x:v>
      </x:c>
      <x:c r="Z2753" t="str">
        <x:v>Source match pending</x:v>
      </x:c>
      <x:c r="AA2753" t="str">
        <x:v>screencapture-www-activesportstrade-co-uk-per4m-nutrition-trade-2026-09-10-09_06_42.pdf / page-09</x:v>
      </x:c>
      <x:c r="AB2753" s="36" t="n">
        <x:f>IF(ISNUMBER(Y2753),ROUND(Y2753*0.9,2),"")</x:f>
        <x:v>2.7</x:v>
      </x:c>
      <x:c r="AC2753" s="36" t="n">
        <x:f>IF(ISNUMBER(AB2753),ROUND(AB2753-(AB2753*0.015+0.2)-V2753,2),"")</x:f>
        <x:v>0.96</x:v>
      </x:c>
      <x:c r="AD2753" s="36" t="n">
        <x:f>IF(ISNUMBER(Y2753),ROUND(Y2753*0.8,2),"")</x:f>
        <x:v>2.4</x:v>
      </x:c>
      <x:c r="AE2753" s="36" t="n">
        <x:f>IF(ISNUMBER(AD2753),ROUND(AD2753*0.015+0.2,2),"")</x:f>
        <x:v>0.24</x:v>
      </x:c>
      <x:c r="AF2753" s="36" t="n">
        <x:f>IF(ISNUMBER(AD2753),ROUND(AD2753-AE2753-V2753,2),"")</x:f>
        <x:v>0.66</x:v>
      </x:c>
      <x:c r="AG2753" t="str">
        <x:f>IF(NOT(ISNUMBER(T2753)),"PENDING",IF(AF2753&gt;0,"PASS","FAIL"))</x:f>
        <x:v>PASS</x:v>
      </x:c>
      <x:c r="AH2753" t="str">
        <x:f>IF(NOT(ISNUMBER(T2753)),"Needs supplier cost",IF(K2753&lt;&gt;"In stock","Supplier unavailable",IF(AG2753&lt;&gt;"PASS","BLOCK - GT loss risk","Commercially protected")))</x:f>
        <x:v>Supplier unavailable</x:v>
      </x:c>
      <x:c r="AI2753" t="str">
        <x:v>2026-09-10 Active Sports trade capture</x:v>
      </x:c>
      <x:c r="AJ2753" t="str">
        <x:v>Management-only economics. Stripe stress test uses 1.5% + £0.20 standard UK online-card fee; pallet/mix-and-match pricing ignored.</x:v>
      </x:c>
    </x:row>
    <x:row r="2754">
      <x:c r="A2754" t="str">
        <x:v>Active Sports Nutrition</x:v>
      </x:c>
      <x:c r="B2754" t="str">
        <x:v>Per4m Nutrition</x:v>
      </x:c>
      <x:c r="C2754" t="str">
        <x:v>Whey Protein Sachet</x:v>
      </x:c>
      <x:c r="D2754" t="str">
        <x:v>Supplements</x:v>
      </x:c>
      <x:c r="E2754" t="str">
        <x:v>Whey Protein</x:v>
      </x:c>
      <x:c r="F2754" t="str"/>
      <x:c r="G2754" t="str">
        <x:v>1 x 30g sachet</x:v>
      </x:c>
      <x:c r="H2754" t="str">
        <x:v>Carrot Cake</x:v>
      </x:c>
      <x:c r="I2754" t="str"/>
      <x:c r="J2754" t="str">
        <x:v>Unit</x:v>
      </x:c>
      <x:c r="K2754" t="str">
        <x:v>In stock</x:v>
      </x:c>
      <x:c r="L2754" t="str">
        <x:v>2026-09-08</x:v>
      </x:c>
      <x:c r="M2754" t="str"/>
      <x:c r="N2754" t="str"/>
      <x:c r="O2754" t="str">
        <x:v>https://www.activesportstrade.co.uk/per4m-nutrition-trade</x:v>
      </x:c>
      <x:c r="P2754" t="str">
        <x:v>LIMITED EDITION / NEW PRICE commercial wording stripped; exact listed sachet flavours retained.</x:v>
      </x:c>
      <x:c r="Q2754" t="str"/>
      <x:c r="R2754" t="str"/>
      <x:c r="S2754" t="str">
        <x:v>Pending genuine supplier/brand image</x:v>
      </x:c>
      <x:c r="T2754" s="54" t="n">
        <x:v>1.25</x:v>
      </x:c>
      <x:c r="U2754" s="47" t="n">
        <x:v>0.2</x:v>
      </x:c>
      <x:c r="V2754" s="54" t="n">
        <x:f>IF(ISNUMBER(T2754),T2754*(1+U2754),"")</x:f>
        <x:v>1.5</x:v>
      </x:c>
      <x:c r="W2754" s="47" t="n">
        <x:v>0.3</x:v>
      </x:c>
      <x:c r="X2754" s="54" t="n">
        <x:f>IF(ISNUMBER(V2754),V2754/(1-W2754),"")</x:f>
        <x:v>2.142857142857143</x:v>
      </x:c>
      <x:c r="Y2754" s="55" t="n">
        <x:f>IF(ISNUMBER(X2754),ROUNDUP(X2754,0),"")</x:f>
        <x:v>3</x:v>
      </x:c>
      <x:c r="Z2754" t="str">
        <x:v>Source match pending</x:v>
      </x:c>
      <x:c r="AA2754" t="str">
        <x:v>screencapture-www-activesportstrade-co-uk-per4m-nutrition-trade-2026-09-10-09_06_42.pdf / page-09</x:v>
      </x:c>
      <x:c r="AB2754" s="36" t="n">
        <x:f>IF(ISNUMBER(Y2754),ROUND(Y2754*0.9,2),"")</x:f>
        <x:v>2.7</x:v>
      </x:c>
      <x:c r="AC2754" s="36" t="n">
        <x:f>IF(ISNUMBER(AB2754),ROUND(AB2754-(AB2754*0.015+0.2)-V2754,2),"")</x:f>
        <x:v>0.96</x:v>
      </x:c>
      <x:c r="AD2754" s="36" t="n">
        <x:f>IF(ISNUMBER(Y2754),ROUND(Y2754*0.8,2),"")</x:f>
        <x:v>2.4</x:v>
      </x:c>
      <x:c r="AE2754" s="36" t="n">
        <x:f>IF(ISNUMBER(AD2754),ROUND(AD2754*0.015+0.2,2),"")</x:f>
        <x:v>0.24</x:v>
      </x:c>
      <x:c r="AF2754" s="36" t="n">
        <x:f>IF(ISNUMBER(AD2754),ROUND(AD2754-AE2754-V2754,2),"")</x:f>
        <x:v>0.66</x:v>
      </x:c>
      <x:c r="AG2754" t="str">
        <x:f>IF(NOT(ISNUMBER(T2754)),"PENDING",IF(AF2754&gt;0,"PASS","FAIL"))</x:f>
        <x:v>PASS</x:v>
      </x:c>
      <x:c r="AH2754" t="str">
        <x:f>IF(NOT(ISNUMBER(T2754)),"Needs supplier cost",IF(K2754&lt;&gt;"In stock","Supplier unavailable",IF(AG2754&lt;&gt;"PASS","BLOCK - GT loss risk","Commercially protected")))</x:f>
        <x:v>Commercially protected</x:v>
      </x:c>
      <x:c r="AI2754" t="str">
        <x:v>2026-09-10 Active Sports trade capture</x:v>
      </x:c>
      <x:c r="AJ2754" t="str">
        <x:v>Management-only economics. Stripe stress test uses 1.5% + £0.20 standard UK online-card fee; pallet/mix-and-match pricing ignored.</x:v>
      </x:c>
    </x:row>
    <x:row r="2755">
      <x:c r="A2755" t="str">
        <x:v>Active Sports Nutrition</x:v>
      </x:c>
      <x:c r="B2755" t="str">
        <x:v>Per4m Nutrition</x:v>
      </x:c>
      <x:c r="C2755" t="str">
        <x:v>Whey Protein Sachet</x:v>
      </x:c>
      <x:c r="D2755" t="str">
        <x:v>Supplements</x:v>
      </x:c>
      <x:c r="E2755" t="str">
        <x:v>Whey Protein</x:v>
      </x:c>
      <x:c r="F2755" t="str"/>
      <x:c r="G2755" t="str">
        <x:v>1 x 30g sachet</x:v>
      </x:c>
      <x:c r="H2755" t="str">
        <x:v>Cereal Milk</x:v>
      </x:c>
      <x:c r="I2755" t="str"/>
      <x:c r="J2755" t="str">
        <x:v>Unit</x:v>
      </x:c>
      <x:c r="K2755" t="str">
        <x:v>In stock</x:v>
      </x:c>
      <x:c r="L2755" t="str">
        <x:v>2026-09-08</x:v>
      </x:c>
      <x:c r="M2755" t="str"/>
      <x:c r="N2755" t="str"/>
      <x:c r="O2755" t="str">
        <x:v>https://www.activesportstrade.co.uk/per4m-nutrition-trade</x:v>
      </x:c>
      <x:c r="P2755" t="str">
        <x:v>LIMITED EDITION / NEW PRICE commercial wording stripped; exact listed sachet flavours retained.</x:v>
      </x:c>
      <x:c r="Q2755" t="str"/>
      <x:c r="R2755" t="str"/>
      <x:c r="S2755" t="str">
        <x:v>Pending genuine supplier/brand image</x:v>
      </x:c>
      <x:c r="T2755" s="54" t="n">
        <x:v>1.25</x:v>
      </x:c>
      <x:c r="U2755" s="47" t="n">
        <x:v>0.2</x:v>
      </x:c>
      <x:c r="V2755" s="54" t="n">
        <x:f>IF(ISNUMBER(T2755),T2755*(1+U2755),"")</x:f>
        <x:v>1.5</x:v>
      </x:c>
      <x:c r="W2755" s="47" t="n">
        <x:v>0.3</x:v>
      </x:c>
      <x:c r="X2755" s="54" t="n">
        <x:f>IF(ISNUMBER(V2755),V2755/(1-W2755),"")</x:f>
        <x:v>2.142857142857143</x:v>
      </x:c>
      <x:c r="Y2755" s="55" t="n">
        <x:f>IF(ISNUMBER(X2755),ROUNDUP(X2755,0),"")</x:f>
        <x:v>3</x:v>
      </x:c>
      <x:c r="Z2755" t="str">
        <x:v>Source match pending</x:v>
      </x:c>
      <x:c r="AA2755" t="str">
        <x:v>screencapture-www-activesportstrade-co-uk-per4m-nutrition-trade-2026-09-10-09_06_42.pdf / page-09</x:v>
      </x:c>
      <x:c r="AB2755" s="36" t="n">
        <x:f>IF(ISNUMBER(Y2755),ROUND(Y2755*0.9,2),"")</x:f>
        <x:v>2.7</x:v>
      </x:c>
      <x:c r="AC2755" s="36" t="n">
        <x:f>IF(ISNUMBER(AB2755),ROUND(AB2755-(AB2755*0.015+0.2)-V2755,2),"")</x:f>
        <x:v>0.96</x:v>
      </x:c>
      <x:c r="AD2755" s="36" t="n">
        <x:f>IF(ISNUMBER(Y2755),ROUND(Y2755*0.8,2),"")</x:f>
        <x:v>2.4</x:v>
      </x:c>
      <x:c r="AE2755" s="36" t="n">
        <x:f>IF(ISNUMBER(AD2755),ROUND(AD2755*0.015+0.2,2),"")</x:f>
        <x:v>0.24</x:v>
      </x:c>
      <x:c r="AF2755" s="36" t="n">
        <x:f>IF(ISNUMBER(AD2755),ROUND(AD2755-AE2755-V2755,2),"")</x:f>
        <x:v>0.66</x:v>
      </x:c>
      <x:c r="AG2755" t="str">
        <x:f>IF(NOT(ISNUMBER(T2755)),"PENDING",IF(AF2755&gt;0,"PASS","FAIL"))</x:f>
        <x:v>PASS</x:v>
      </x:c>
      <x:c r="AH2755" t="str">
        <x:f>IF(NOT(ISNUMBER(T2755)),"Needs supplier cost",IF(K2755&lt;&gt;"In stock","Supplier unavailable",IF(AG2755&lt;&gt;"PASS","BLOCK - GT loss risk","Commercially protected")))</x:f>
        <x:v>Commercially protected</x:v>
      </x:c>
      <x:c r="AI2755" t="str">
        <x:v>2026-09-10 Active Sports trade capture</x:v>
      </x:c>
      <x:c r="AJ2755" t="str">
        <x:v>Management-only economics. Stripe stress test uses 1.5% + £0.20 standard UK online-card fee; pallet/mix-and-match pricing ignored.</x:v>
      </x:c>
    </x:row>
    <x:row r="2756">
      <x:c r="A2756" t="str">
        <x:v>Active Sports Nutrition</x:v>
      </x:c>
      <x:c r="B2756" t="str">
        <x:v>Per4m Nutrition</x:v>
      </x:c>
      <x:c r="C2756" t="str">
        <x:v>Whey Protein Sachet</x:v>
      </x:c>
      <x:c r="D2756" t="str">
        <x:v>Supplements</x:v>
      </x:c>
      <x:c r="E2756" t="str">
        <x:v>Whey Protein</x:v>
      </x:c>
      <x:c r="F2756" t="str"/>
      <x:c r="G2756" t="str">
        <x:v>1 x 30g sachet</x:v>
      </x:c>
      <x:c r="H2756" t="str">
        <x:v>Cherry Bakewell</x:v>
      </x:c>
      <x:c r="I2756" t="str"/>
      <x:c r="J2756" t="str">
        <x:v>Unit</x:v>
      </x:c>
      <x:c r="K2756" t="str">
        <x:v>In stock</x:v>
      </x:c>
      <x:c r="L2756" t="str">
        <x:v>2026-09-08</x:v>
      </x:c>
      <x:c r="M2756" t="str"/>
      <x:c r="N2756" t="str"/>
      <x:c r="O2756" t="str">
        <x:v>https://www.activesportstrade.co.uk/per4m-nutrition-trade</x:v>
      </x:c>
      <x:c r="P2756" t="str">
        <x:v>LIMITED EDITION / NEW PRICE commercial wording stripped; exact listed sachet flavours retained.</x:v>
      </x:c>
      <x:c r="Q2756" t="str"/>
      <x:c r="R2756" t="str"/>
      <x:c r="S2756" t="str">
        <x:v>Pending genuine supplier/brand image</x:v>
      </x:c>
      <x:c r="T2756" s="54" t="n">
        <x:v>1.25</x:v>
      </x:c>
      <x:c r="U2756" s="47" t="n">
        <x:v>0.2</x:v>
      </x:c>
      <x:c r="V2756" s="54" t="n">
        <x:f>IF(ISNUMBER(T2756),T2756*(1+U2756),"")</x:f>
        <x:v>1.5</x:v>
      </x:c>
      <x:c r="W2756" s="47" t="n">
        <x:v>0.3</x:v>
      </x:c>
      <x:c r="X2756" s="54" t="n">
        <x:f>IF(ISNUMBER(V2756),V2756/(1-W2756),"")</x:f>
        <x:v>2.142857142857143</x:v>
      </x:c>
      <x:c r="Y2756" s="55" t="n">
        <x:f>IF(ISNUMBER(X2756),ROUNDUP(X2756,0),"")</x:f>
        <x:v>3</x:v>
      </x:c>
      <x:c r="Z2756" t="str">
        <x:v>Source match pending</x:v>
      </x:c>
      <x:c r="AA2756" t="str">
        <x:v>screencapture-www-activesportstrade-co-uk-per4m-nutrition-trade-2026-09-10-09_06_42.pdf / page-09</x:v>
      </x:c>
      <x:c r="AB2756" s="36" t="n">
        <x:f>IF(ISNUMBER(Y2756),ROUND(Y2756*0.9,2),"")</x:f>
        <x:v>2.7</x:v>
      </x:c>
      <x:c r="AC2756" s="36" t="n">
        <x:f>IF(ISNUMBER(AB2756),ROUND(AB2756-(AB2756*0.015+0.2)-V2756,2),"")</x:f>
        <x:v>0.96</x:v>
      </x:c>
      <x:c r="AD2756" s="36" t="n">
        <x:f>IF(ISNUMBER(Y2756),ROUND(Y2756*0.8,2),"")</x:f>
        <x:v>2.4</x:v>
      </x:c>
      <x:c r="AE2756" s="36" t="n">
        <x:f>IF(ISNUMBER(AD2756),ROUND(AD2756*0.015+0.2,2),"")</x:f>
        <x:v>0.24</x:v>
      </x:c>
      <x:c r="AF2756" s="36" t="n">
        <x:f>IF(ISNUMBER(AD2756),ROUND(AD2756-AE2756-V2756,2),"")</x:f>
        <x:v>0.66</x:v>
      </x:c>
      <x:c r="AG2756" t="str">
        <x:f>IF(NOT(ISNUMBER(T2756)),"PENDING",IF(AF2756&gt;0,"PASS","FAIL"))</x:f>
        <x:v>PASS</x:v>
      </x:c>
      <x:c r="AH2756" t="str">
        <x:f>IF(NOT(ISNUMBER(T2756)),"Needs supplier cost",IF(K2756&lt;&gt;"In stock","Supplier unavailable",IF(AG2756&lt;&gt;"PASS","BLOCK - GT loss risk","Commercially protected")))</x:f>
        <x:v>Commercially protected</x:v>
      </x:c>
      <x:c r="AI2756" t="str">
        <x:v>2026-09-10 Active Sports trade capture</x:v>
      </x:c>
      <x:c r="AJ2756" t="str">
        <x:v>Management-only economics. Stripe stress test uses 1.5% + £0.20 standard UK online-card fee; pallet/mix-and-match pricing ignored.</x:v>
      </x:c>
    </x:row>
    <x:row r="2757">
      <x:c r="A2757" t="str">
        <x:v>Active Sports Nutrition</x:v>
      </x:c>
      <x:c r="B2757" t="str">
        <x:v>Per4m Nutrition</x:v>
      </x:c>
      <x:c r="C2757" t="str">
        <x:v>Whey Protein Sachet</x:v>
      </x:c>
      <x:c r="D2757" t="str">
        <x:v>Supplements</x:v>
      </x:c>
      <x:c r="E2757" t="str">
        <x:v>Whey Protein</x:v>
      </x:c>
      <x:c r="F2757" t="str"/>
      <x:c r="G2757" t="str">
        <x:v>1 x 30g sachet</x:v>
      </x:c>
      <x:c r="H2757" t="str">
        <x:v>Chocolate &amp; Raspberry</x:v>
      </x:c>
      <x:c r="I2757" t="str"/>
      <x:c r="J2757" t="str">
        <x:v>Unit</x:v>
      </x:c>
      <x:c r="K2757" t="str">
        <x:v>In stock</x:v>
      </x:c>
      <x:c r="L2757" t="str">
        <x:v>2026-09-08</x:v>
      </x:c>
      <x:c r="M2757" t="str"/>
      <x:c r="N2757" t="str"/>
      <x:c r="O2757" t="str">
        <x:v>https://www.activesportstrade.co.uk/per4m-nutrition-trade</x:v>
      </x:c>
      <x:c r="P2757" t="str">
        <x:v>LIMITED EDITION / NEW PRICE commercial wording stripped; exact listed sachet flavours retained.</x:v>
      </x:c>
      <x:c r="Q2757" t="str"/>
      <x:c r="R2757" t="str"/>
      <x:c r="S2757" t="str">
        <x:v>Pending genuine supplier/brand image</x:v>
      </x:c>
      <x:c r="T2757" s="54" t="n">
        <x:v>1.25</x:v>
      </x:c>
      <x:c r="U2757" s="47" t="n">
        <x:v>0.2</x:v>
      </x:c>
      <x:c r="V2757" s="54" t="n">
        <x:f>IF(ISNUMBER(T2757),T2757*(1+U2757),"")</x:f>
        <x:v>1.5</x:v>
      </x:c>
      <x:c r="W2757" s="47" t="n">
        <x:v>0.3</x:v>
      </x:c>
      <x:c r="X2757" s="54" t="n">
        <x:f>IF(ISNUMBER(V2757),V2757/(1-W2757),"")</x:f>
        <x:v>2.142857142857143</x:v>
      </x:c>
      <x:c r="Y2757" s="55" t="n">
        <x:f>IF(ISNUMBER(X2757),ROUNDUP(X2757,0),"")</x:f>
        <x:v>3</x:v>
      </x:c>
      <x:c r="Z2757" t="str">
        <x:v>Source match pending</x:v>
      </x:c>
      <x:c r="AA2757" t="str">
        <x:v>screencapture-www-activesportstrade-co-uk-per4m-nutrition-trade-2026-09-10-09_06_42.pdf / page-09</x:v>
      </x:c>
      <x:c r="AB2757" s="36" t="n">
        <x:f>IF(ISNUMBER(Y2757),ROUND(Y2757*0.9,2),"")</x:f>
        <x:v>2.7</x:v>
      </x:c>
      <x:c r="AC2757" s="36" t="n">
        <x:f>IF(ISNUMBER(AB2757),ROUND(AB2757-(AB2757*0.015+0.2)-V2757,2),"")</x:f>
        <x:v>0.96</x:v>
      </x:c>
      <x:c r="AD2757" s="36" t="n">
        <x:f>IF(ISNUMBER(Y2757),ROUND(Y2757*0.8,2),"")</x:f>
        <x:v>2.4</x:v>
      </x:c>
      <x:c r="AE2757" s="36" t="n">
        <x:f>IF(ISNUMBER(AD2757),ROUND(AD2757*0.015+0.2,2),"")</x:f>
        <x:v>0.24</x:v>
      </x:c>
      <x:c r="AF2757" s="36" t="n">
        <x:f>IF(ISNUMBER(AD2757),ROUND(AD2757-AE2757-V2757,2),"")</x:f>
        <x:v>0.66</x:v>
      </x:c>
      <x:c r="AG2757" t="str">
        <x:f>IF(NOT(ISNUMBER(T2757)),"PENDING",IF(AF2757&gt;0,"PASS","FAIL"))</x:f>
        <x:v>PASS</x:v>
      </x:c>
      <x:c r="AH2757" t="str">
        <x:f>IF(NOT(ISNUMBER(T2757)),"Needs supplier cost",IF(K2757&lt;&gt;"In stock","Supplier unavailable",IF(AG2757&lt;&gt;"PASS","BLOCK - GT loss risk","Commercially protected")))</x:f>
        <x:v>Commercially protected</x:v>
      </x:c>
      <x:c r="AI2757" t="str">
        <x:v>2026-09-10 Active Sports trade capture</x:v>
      </x:c>
      <x:c r="AJ2757" t="str">
        <x:v>Management-only economics. Stripe stress test uses 1.5% + £0.20 standard UK online-card fee; pallet/mix-and-match pricing ignored.</x:v>
      </x:c>
    </x:row>
    <x:row r="2758">
      <x:c r="A2758" t="str">
        <x:v>Active Sports Nutrition</x:v>
      </x:c>
      <x:c r="B2758" t="str">
        <x:v>Per4m Nutrition</x:v>
      </x:c>
      <x:c r="C2758" t="str">
        <x:v>Whey Protein</x:v>
      </x:c>
      <x:c r="D2758" t="str">
        <x:v>Supplements</x:v>
      </x:c>
      <x:c r="E2758" t="str">
        <x:v>Whey Protein</x:v>
      </x:c>
      <x:c r="F2758" t="str"/>
      <x:c r="G2758" t="str">
        <x:v>2kg</x:v>
      </x:c>
      <x:c r="H2758" t="str">
        <x:v>Apple Strudel</x:v>
      </x:c>
      <x:c r="I2758" t="str"/>
      <x:c r="J2758" t="str">
        <x:v>Unit</x:v>
      </x:c>
      <x:c r="K2758" t="str">
        <x:v>In stock</x:v>
      </x:c>
      <x:c r="L2758" t="str">
        <x:v>2026-09-08</x:v>
      </x:c>
      <x:c r="M2758" t="str"/>
      <x:c r="N2758" t="str"/>
      <x:c r="O2758" t="str">
        <x:v>https://www.activesportstrade.co.uk/Whey-Protein-Supplements-Trade/per4m-nutrition-trade</x:v>
      </x:c>
      <x:c r="P2758" t="str">
        <x:v>NEW PRICE/NEW wording stripped from canonical identity.</x:v>
      </x:c>
      <x:c r="Q2758" t="str"/>
      <x:c r="R2758" t="str"/>
      <x:c r="S2758" t="str">
        <x:v>Pending genuine supplier/brand image</x:v>
      </x:c>
      <x:c r="T2758" s="54" t="n">
        <x:v>51.99</x:v>
      </x:c>
      <x:c r="U2758" s="47" t="n">
        <x:v>0.2</x:v>
      </x:c>
      <x:c r="V2758" s="54" t="n">
        <x:f>IF(ISNUMBER(T2758),T2758*(1+U2758),"")</x:f>
        <x:v>62.388</x:v>
      </x:c>
      <x:c r="W2758" s="47" t="n">
        <x:v>0.3</x:v>
      </x:c>
      <x:c r="X2758" s="54" t="n">
        <x:f>IF(ISNUMBER(V2758),V2758/(1-W2758),"")</x:f>
        <x:v>89.1257142857143</x:v>
      </x:c>
      <x:c r="Y2758" s="55" t="n">
        <x:f>IF(ISNUMBER(X2758),ROUNDUP(X2758,0),"")</x:f>
        <x:v>90</x:v>
      </x:c>
      <x:c r="Z2758" t="str">
        <x:v>Source match pending</x:v>
      </x:c>
      <x:c r="AA2758" t="str">
        <x:v>screencapture-www-activesportstrade-co-uk-per4m-nutrition-trade-2026-09-10-09_06_42.pdf / page-05</x:v>
      </x:c>
      <x:c r="AB2758" s="36" t="n">
        <x:f>IF(ISNUMBER(Y2758),ROUND(Y2758*0.9,2),"")</x:f>
        <x:v>81</x:v>
      </x:c>
      <x:c r="AC2758" s="36" t="n">
        <x:f>IF(ISNUMBER(AB2758),ROUND(AB2758-(AB2758*0.015+0.2)-V2758,2),"")</x:f>
        <x:v>17.2</x:v>
      </x:c>
      <x:c r="AD2758" s="36" t="n">
        <x:f>IF(ISNUMBER(Y2758),ROUND(Y2758*0.8,2),"")</x:f>
        <x:v>72</x:v>
      </x:c>
      <x:c r="AE2758" s="36" t="n">
        <x:f>IF(ISNUMBER(AD2758),ROUND(AD2758*0.015+0.2,2),"")</x:f>
        <x:v>1.28</x:v>
      </x:c>
      <x:c r="AF2758" s="36" t="n">
        <x:f>IF(ISNUMBER(AD2758),ROUND(AD2758-AE2758-V2758,2),"")</x:f>
        <x:v>8.33</x:v>
      </x:c>
      <x:c r="AG2758" t="str">
        <x:f>IF(NOT(ISNUMBER(T2758)),"PENDING",IF(AF2758&gt;0,"PASS","FAIL"))</x:f>
        <x:v>PASS</x:v>
      </x:c>
      <x:c r="AH2758" t="str">
        <x:f>IF(NOT(ISNUMBER(T2758)),"Needs supplier cost",IF(K2758&lt;&gt;"In stock","Supplier unavailable",IF(AG2758&lt;&gt;"PASS","BLOCK - GT loss risk","Commercially protected")))</x:f>
        <x:v>Commercially protected</x:v>
      </x:c>
      <x:c r="AI2758" t="str">
        <x:v>2026-09-10 Active Sports trade capture</x:v>
      </x:c>
      <x:c r="AJ2758" t="str">
        <x:v>Management-only economics. Stripe stress test uses 1.5% + £0.20 standard UK online-card fee; pallet/mix-and-match pricing ignored.</x:v>
      </x:c>
    </x:row>
    <x:row r="2759">
      <x:c r="A2759" t="str">
        <x:v>Active Sports Nutrition</x:v>
      </x:c>
      <x:c r="B2759" t="str">
        <x:v>Per4m Nutrition</x:v>
      </x:c>
      <x:c r="C2759" t="str">
        <x:v>Whey Protein</x:v>
      </x:c>
      <x:c r="D2759" t="str">
        <x:v>Supplements</x:v>
      </x:c>
      <x:c r="E2759" t="str">
        <x:v>Whey Protein</x:v>
      </x:c>
      <x:c r="F2759" t="str"/>
      <x:c r="G2759" t="str">
        <x:v>2kg</x:v>
      </x:c>
      <x:c r="H2759" t="str">
        <x:v>Baklava</x:v>
      </x:c>
      <x:c r="I2759" t="str"/>
      <x:c r="J2759" t="str">
        <x:v>Unit</x:v>
      </x:c>
      <x:c r="K2759" t="str">
        <x:v>In stock</x:v>
      </x:c>
      <x:c r="L2759" t="str">
        <x:v>2026-09-08</x:v>
      </x:c>
      <x:c r="M2759" t="str"/>
      <x:c r="N2759" t="str"/>
      <x:c r="O2759" t="str">
        <x:v>https://www.activesportstrade.co.uk/Whey-Protein-Supplements-Trade/per4m-nutrition-trade</x:v>
      </x:c>
      <x:c r="P2759" t="str">
        <x:v>NEW PRICE/NEW wording stripped from canonical identity.</x:v>
      </x:c>
      <x:c r="Q2759" t="str"/>
      <x:c r="R2759" t="str"/>
      <x:c r="S2759" t="str">
        <x:v>Pending genuine supplier/brand image</x:v>
      </x:c>
      <x:c r="T2759" s="54" t="n">
        <x:v>51.99</x:v>
      </x:c>
      <x:c r="U2759" s="47" t="n">
        <x:v>0.2</x:v>
      </x:c>
      <x:c r="V2759" s="54" t="n">
        <x:f>IF(ISNUMBER(T2759),T2759*(1+U2759),"")</x:f>
        <x:v>62.388</x:v>
      </x:c>
      <x:c r="W2759" s="47" t="n">
        <x:v>0.3</x:v>
      </x:c>
      <x:c r="X2759" s="54" t="n">
        <x:f>IF(ISNUMBER(V2759),V2759/(1-W2759),"")</x:f>
        <x:v>89.1257142857143</x:v>
      </x:c>
      <x:c r="Y2759" s="55" t="n">
        <x:f>IF(ISNUMBER(X2759),ROUNDUP(X2759,0),"")</x:f>
        <x:v>90</x:v>
      </x:c>
      <x:c r="Z2759" t="str">
        <x:v>Source match pending</x:v>
      </x:c>
      <x:c r="AA2759" t="str">
        <x:v>screencapture-www-activesportstrade-co-uk-per4m-nutrition-trade-2026-09-10-09_06_42.pdf / page-05</x:v>
      </x:c>
      <x:c r="AB2759" s="36" t="n">
        <x:f>IF(ISNUMBER(Y2759),ROUND(Y2759*0.9,2),"")</x:f>
        <x:v>81</x:v>
      </x:c>
      <x:c r="AC2759" s="36" t="n">
        <x:f>IF(ISNUMBER(AB2759),ROUND(AB2759-(AB2759*0.015+0.2)-V2759,2),"")</x:f>
        <x:v>17.2</x:v>
      </x:c>
      <x:c r="AD2759" s="36" t="n">
        <x:f>IF(ISNUMBER(Y2759),ROUND(Y2759*0.8,2),"")</x:f>
        <x:v>72</x:v>
      </x:c>
      <x:c r="AE2759" s="36" t="n">
        <x:f>IF(ISNUMBER(AD2759),ROUND(AD2759*0.015+0.2,2),"")</x:f>
        <x:v>1.28</x:v>
      </x:c>
      <x:c r="AF2759" s="36" t="n">
        <x:f>IF(ISNUMBER(AD2759),ROUND(AD2759-AE2759-V2759,2),"")</x:f>
        <x:v>8.33</x:v>
      </x:c>
      <x:c r="AG2759" t="str">
        <x:f>IF(NOT(ISNUMBER(T2759)),"PENDING",IF(AF2759&gt;0,"PASS","FAIL"))</x:f>
        <x:v>PASS</x:v>
      </x:c>
      <x:c r="AH2759" t="str">
        <x:f>IF(NOT(ISNUMBER(T2759)),"Needs supplier cost",IF(K2759&lt;&gt;"In stock","Supplier unavailable",IF(AG2759&lt;&gt;"PASS","BLOCK - GT loss risk","Commercially protected")))</x:f>
        <x:v>Commercially protected</x:v>
      </x:c>
      <x:c r="AI2759" t="str">
        <x:v>2026-09-10 Active Sports trade capture</x:v>
      </x:c>
      <x:c r="AJ2759" t="str">
        <x:v>Management-only economics. Stripe stress test uses 1.5% + £0.20 standard UK online-card fee; pallet/mix-and-match pricing ignored.</x:v>
      </x:c>
    </x:row>
    <x:row r="2760">
      <x:c r="A2760" t="str">
        <x:v>Active Sports Nutrition</x:v>
      </x:c>
      <x:c r="B2760" t="str">
        <x:v>Per4m Nutrition</x:v>
      </x:c>
      <x:c r="C2760" t="str">
        <x:v>Whey Protein</x:v>
      </x:c>
      <x:c r="D2760" t="str">
        <x:v>Supplements</x:v>
      </x:c>
      <x:c r="E2760" t="str">
        <x:v>Whey Protein</x:v>
      </x:c>
      <x:c r="F2760" t="str"/>
      <x:c r="G2760" t="str">
        <x:v>2kg</x:v>
      </x:c>
      <x:c r="H2760" t="str">
        <x:v>Banana Creme</x:v>
      </x:c>
      <x:c r="I2760" t="str"/>
      <x:c r="J2760" t="str">
        <x:v>Unit</x:v>
      </x:c>
      <x:c r="K2760" t="str">
        <x:v>In stock</x:v>
      </x:c>
      <x:c r="L2760" t="str">
        <x:v>2026-09-08</x:v>
      </x:c>
      <x:c r="M2760" t="str"/>
      <x:c r="N2760" t="str"/>
      <x:c r="O2760" t="str">
        <x:v>https://www.activesportstrade.co.uk/Whey-Protein-Supplements-Trade/per4m-nutrition-trade</x:v>
      </x:c>
      <x:c r="P2760" t="str">
        <x:v>NEW PRICE/NEW wording stripped from canonical identity.</x:v>
      </x:c>
      <x:c r="Q2760" t="str"/>
      <x:c r="R2760" t="str"/>
      <x:c r="S2760" t="str">
        <x:v>Pending genuine supplier/brand image</x:v>
      </x:c>
      <x:c r="T2760" s="54" t="n">
        <x:v>51.99</x:v>
      </x:c>
      <x:c r="U2760" s="47" t="n">
        <x:v>0.2</x:v>
      </x:c>
      <x:c r="V2760" s="54" t="n">
        <x:f>IF(ISNUMBER(T2760),T2760*(1+U2760),"")</x:f>
        <x:v>62.388</x:v>
      </x:c>
      <x:c r="W2760" s="47" t="n">
        <x:v>0.3</x:v>
      </x:c>
      <x:c r="X2760" s="54" t="n">
        <x:f>IF(ISNUMBER(V2760),V2760/(1-W2760),"")</x:f>
        <x:v>89.1257142857143</x:v>
      </x:c>
      <x:c r="Y2760" s="55" t="n">
        <x:f>IF(ISNUMBER(X2760),ROUNDUP(X2760,0),"")</x:f>
        <x:v>90</x:v>
      </x:c>
      <x:c r="Z2760" t="str">
        <x:v>Source match pending</x:v>
      </x:c>
      <x:c r="AA2760" t="str">
        <x:v>screencapture-www-activesportstrade-co-uk-per4m-nutrition-trade-2026-09-10-09_06_42.pdf / page-05</x:v>
      </x:c>
      <x:c r="AB2760" s="36" t="n">
        <x:f>IF(ISNUMBER(Y2760),ROUND(Y2760*0.9,2),"")</x:f>
        <x:v>81</x:v>
      </x:c>
      <x:c r="AC2760" s="36" t="n">
        <x:f>IF(ISNUMBER(AB2760),ROUND(AB2760-(AB2760*0.015+0.2)-V2760,2),"")</x:f>
        <x:v>17.2</x:v>
      </x:c>
      <x:c r="AD2760" s="36" t="n">
        <x:f>IF(ISNUMBER(Y2760),ROUND(Y2760*0.8,2),"")</x:f>
        <x:v>72</x:v>
      </x:c>
      <x:c r="AE2760" s="36" t="n">
        <x:f>IF(ISNUMBER(AD2760),ROUND(AD2760*0.015+0.2,2),"")</x:f>
        <x:v>1.28</x:v>
      </x:c>
      <x:c r="AF2760" s="36" t="n">
        <x:f>IF(ISNUMBER(AD2760),ROUND(AD2760-AE2760-V2760,2),"")</x:f>
        <x:v>8.33</x:v>
      </x:c>
      <x:c r="AG2760" t="str">
        <x:f>IF(NOT(ISNUMBER(T2760)),"PENDING",IF(AF2760&gt;0,"PASS","FAIL"))</x:f>
        <x:v>PASS</x:v>
      </x:c>
      <x:c r="AH2760" t="str">
        <x:f>IF(NOT(ISNUMBER(T2760)),"Needs supplier cost",IF(K2760&lt;&gt;"In stock","Supplier unavailable",IF(AG2760&lt;&gt;"PASS","BLOCK - GT loss risk","Commercially protected")))</x:f>
        <x:v>Commercially protected</x:v>
      </x:c>
      <x:c r="AI2760" t="str">
        <x:v>2026-09-10 Active Sports trade capture</x:v>
      </x:c>
      <x:c r="AJ2760" t="str">
        <x:v>Management-only economics. Stripe stress test uses 1.5% + £0.20 standard UK online-card fee; pallet/mix-and-match pricing ignored.</x:v>
      </x:c>
    </x:row>
    <x:row r="2761">
      <x:c r="A2761" t="str">
        <x:v>Active Sports Nutrition</x:v>
      </x:c>
      <x:c r="B2761" t="str">
        <x:v>Per4m Nutrition</x:v>
      </x:c>
      <x:c r="C2761" t="str">
        <x:v>Whey Protein</x:v>
      </x:c>
      <x:c r="D2761" t="str">
        <x:v>Supplements</x:v>
      </x:c>
      <x:c r="E2761" t="str">
        <x:v>Whey Protein</x:v>
      </x:c>
      <x:c r="F2761" t="str"/>
      <x:c r="G2761" t="str">
        <x:v>2kg</x:v>
      </x:c>
      <x:c r="H2761" t="str">
        <x:v>Birthday Cake</x:v>
      </x:c>
      <x:c r="I2761" t="str"/>
      <x:c r="J2761" t="str">
        <x:v>Unit</x:v>
      </x:c>
      <x:c r="K2761" t="str">
        <x:v>In stock</x:v>
      </x:c>
      <x:c r="L2761" t="str">
        <x:v>2026-09-08</x:v>
      </x:c>
      <x:c r="M2761" t="str"/>
      <x:c r="N2761" t="str"/>
      <x:c r="O2761" t="str">
        <x:v>https://www.activesportstrade.co.uk/Whey-Protein-Supplements-Trade/per4m-nutrition-trade</x:v>
      </x:c>
      <x:c r="P2761" t="str">
        <x:v>NEW PRICE/NEW wording stripped from canonical identity.</x:v>
      </x:c>
      <x:c r="Q2761" t="str"/>
      <x:c r="R2761" t="str"/>
      <x:c r="S2761" t="str">
        <x:v>Pending genuine supplier/brand image</x:v>
      </x:c>
      <x:c r="T2761" s="54" t="n">
        <x:v>51.99</x:v>
      </x:c>
      <x:c r="U2761" s="47" t="n">
        <x:v>0.2</x:v>
      </x:c>
      <x:c r="V2761" s="54" t="n">
        <x:f>IF(ISNUMBER(T2761),T2761*(1+U2761),"")</x:f>
        <x:v>62.388</x:v>
      </x:c>
      <x:c r="W2761" s="47" t="n">
        <x:v>0.3</x:v>
      </x:c>
      <x:c r="X2761" s="54" t="n">
        <x:f>IF(ISNUMBER(V2761),V2761/(1-W2761),"")</x:f>
        <x:v>89.1257142857143</x:v>
      </x:c>
      <x:c r="Y2761" s="55" t="n">
        <x:f>IF(ISNUMBER(X2761),ROUNDUP(X2761,0),"")</x:f>
        <x:v>90</x:v>
      </x:c>
      <x:c r="Z2761" t="str">
        <x:v>Source match pending</x:v>
      </x:c>
      <x:c r="AA2761" t="str">
        <x:v>screencapture-www-activesportstrade-co-uk-per4m-nutrition-trade-2026-09-10-09_06_42.pdf / page-05</x:v>
      </x:c>
      <x:c r="AB2761" s="36" t="n">
        <x:f>IF(ISNUMBER(Y2761),ROUND(Y2761*0.9,2),"")</x:f>
        <x:v>81</x:v>
      </x:c>
      <x:c r="AC2761" s="36" t="n">
        <x:f>IF(ISNUMBER(AB2761),ROUND(AB2761-(AB2761*0.015+0.2)-V2761,2),"")</x:f>
        <x:v>17.2</x:v>
      </x:c>
      <x:c r="AD2761" s="36" t="n">
        <x:f>IF(ISNUMBER(Y2761),ROUND(Y2761*0.8,2),"")</x:f>
        <x:v>72</x:v>
      </x:c>
      <x:c r="AE2761" s="36" t="n">
        <x:f>IF(ISNUMBER(AD2761),ROUND(AD2761*0.015+0.2,2),"")</x:f>
        <x:v>1.28</x:v>
      </x:c>
      <x:c r="AF2761" s="36" t="n">
        <x:f>IF(ISNUMBER(AD2761),ROUND(AD2761-AE2761-V2761,2),"")</x:f>
        <x:v>8.33</x:v>
      </x:c>
      <x:c r="AG2761" t="str">
        <x:f>IF(NOT(ISNUMBER(T2761)),"PENDING",IF(AF2761&gt;0,"PASS","FAIL"))</x:f>
        <x:v>PASS</x:v>
      </x:c>
      <x:c r="AH2761" t="str">
        <x:f>IF(NOT(ISNUMBER(T2761)),"Needs supplier cost",IF(K2761&lt;&gt;"In stock","Supplier unavailable",IF(AG2761&lt;&gt;"PASS","BLOCK - GT loss risk","Commercially protected")))</x:f>
        <x:v>Commercially protected</x:v>
      </x:c>
      <x:c r="AI2761" t="str">
        <x:v>2026-09-10 Active Sports trade capture</x:v>
      </x:c>
      <x:c r="AJ2761" t="str">
        <x:v>Management-only economics. Stripe stress test uses 1.5% + £0.20 standard UK online-card fee; pallet/mix-and-match pricing ignored.</x:v>
      </x:c>
    </x:row>
    <x:row r="2762">
      <x:c r="A2762" t="str">
        <x:v>Active Sports Nutrition</x:v>
      </x:c>
      <x:c r="B2762" t="str">
        <x:v>Per4m Nutrition</x:v>
      </x:c>
      <x:c r="C2762" t="str">
        <x:v>Whey Protein</x:v>
      </x:c>
      <x:c r="D2762" t="str">
        <x:v>Supplements</x:v>
      </x:c>
      <x:c r="E2762" t="str">
        <x:v>Whey Protein</x:v>
      </x:c>
      <x:c r="F2762" t="str"/>
      <x:c r="G2762" t="str">
        <x:v>2kg</x:v>
      </x:c>
      <x:c r="H2762" t="str">
        <x:v>Blueberry Muffin</x:v>
      </x:c>
      <x:c r="I2762" t="str"/>
      <x:c r="J2762" t="str">
        <x:v>Unit</x:v>
      </x:c>
      <x:c r="K2762" t="str">
        <x:v>In stock</x:v>
      </x:c>
      <x:c r="L2762" t="str">
        <x:v>2026-09-08</x:v>
      </x:c>
      <x:c r="M2762" t="str"/>
      <x:c r="N2762" t="str"/>
      <x:c r="O2762" t="str">
        <x:v>https://www.activesportstrade.co.uk/Whey-Protein-Supplements-Trade/per4m-nutrition-trade</x:v>
      </x:c>
      <x:c r="P2762" t="str">
        <x:v>NEW PRICE/NEW wording stripped from canonical identity.</x:v>
      </x:c>
      <x:c r="Q2762" t="str"/>
      <x:c r="R2762" t="str"/>
      <x:c r="S2762" t="str">
        <x:v>Pending genuine supplier/brand image</x:v>
      </x:c>
      <x:c r="T2762" s="54" t="n">
        <x:v>51.99</x:v>
      </x:c>
      <x:c r="U2762" s="47" t="n">
        <x:v>0.2</x:v>
      </x:c>
      <x:c r="V2762" s="54" t="n">
        <x:f>IF(ISNUMBER(T2762),T2762*(1+U2762),"")</x:f>
        <x:v>62.388</x:v>
      </x:c>
      <x:c r="W2762" s="47" t="n">
        <x:v>0.3</x:v>
      </x:c>
      <x:c r="X2762" s="54" t="n">
        <x:f>IF(ISNUMBER(V2762),V2762/(1-W2762),"")</x:f>
        <x:v>89.1257142857143</x:v>
      </x:c>
      <x:c r="Y2762" s="55" t="n">
        <x:f>IF(ISNUMBER(X2762),ROUNDUP(X2762,0),"")</x:f>
        <x:v>90</x:v>
      </x:c>
      <x:c r="Z2762" t="str">
        <x:v>Source match pending</x:v>
      </x:c>
      <x:c r="AA2762" t="str">
        <x:v>screencapture-www-activesportstrade-co-uk-per4m-nutrition-trade-2026-09-10-09_06_42.pdf / page-05</x:v>
      </x:c>
      <x:c r="AB2762" s="36" t="n">
        <x:f>IF(ISNUMBER(Y2762),ROUND(Y2762*0.9,2),"")</x:f>
        <x:v>81</x:v>
      </x:c>
      <x:c r="AC2762" s="36" t="n">
        <x:f>IF(ISNUMBER(AB2762),ROUND(AB2762-(AB2762*0.015+0.2)-V2762,2),"")</x:f>
        <x:v>17.2</x:v>
      </x:c>
      <x:c r="AD2762" s="36" t="n">
        <x:f>IF(ISNUMBER(Y2762),ROUND(Y2762*0.8,2),"")</x:f>
        <x:v>72</x:v>
      </x:c>
      <x:c r="AE2762" s="36" t="n">
        <x:f>IF(ISNUMBER(AD2762),ROUND(AD2762*0.015+0.2,2),"")</x:f>
        <x:v>1.28</x:v>
      </x:c>
      <x:c r="AF2762" s="36" t="n">
        <x:f>IF(ISNUMBER(AD2762),ROUND(AD2762-AE2762-V2762,2),"")</x:f>
        <x:v>8.33</x:v>
      </x:c>
      <x:c r="AG2762" t="str">
        <x:f>IF(NOT(ISNUMBER(T2762)),"PENDING",IF(AF2762&gt;0,"PASS","FAIL"))</x:f>
        <x:v>PASS</x:v>
      </x:c>
      <x:c r="AH2762" t="str">
        <x:f>IF(NOT(ISNUMBER(T2762)),"Needs supplier cost",IF(K2762&lt;&gt;"In stock","Supplier unavailable",IF(AG2762&lt;&gt;"PASS","BLOCK - GT loss risk","Commercially protected")))</x:f>
        <x:v>Commercially protected</x:v>
      </x:c>
      <x:c r="AI2762" t="str">
        <x:v>2026-09-10 Active Sports trade capture</x:v>
      </x:c>
      <x:c r="AJ2762" t="str">
        <x:v>Management-only economics. Stripe stress test uses 1.5% + £0.20 standard UK online-card fee; pallet/mix-and-match pricing ignored.</x:v>
      </x:c>
    </x:row>
    <x:row r="2763">
      <x:c r="A2763" t="str">
        <x:v>Active Sports Nutrition</x:v>
      </x:c>
      <x:c r="B2763" t="str">
        <x:v>Per4m Nutrition</x:v>
      </x:c>
      <x:c r="C2763" t="str">
        <x:v>Whey Protein</x:v>
      </x:c>
      <x:c r="D2763" t="str">
        <x:v>Supplements</x:v>
      </x:c>
      <x:c r="E2763" t="str">
        <x:v>Whey Protein</x:v>
      </x:c>
      <x:c r="F2763" t="str"/>
      <x:c r="G2763" t="str">
        <x:v>2kg</x:v>
      </x:c>
      <x:c r="H2763" t="str">
        <x:v>Caramel Biscuit</x:v>
      </x:c>
      <x:c r="I2763" t="str"/>
      <x:c r="J2763" t="str">
        <x:v>Unit</x:v>
      </x:c>
      <x:c r="K2763" t="str">
        <x:v>In stock</x:v>
      </x:c>
      <x:c r="L2763" t="str">
        <x:v>2026-09-08</x:v>
      </x:c>
      <x:c r="M2763" t="str"/>
      <x:c r="N2763" t="str"/>
      <x:c r="O2763" t="str">
        <x:v>https://www.activesportstrade.co.uk/Whey-Protein-Supplements-Trade/per4m-nutrition-trade</x:v>
      </x:c>
      <x:c r="P2763" t="str">
        <x:v>NEW PRICE/NEW wording stripped from canonical identity.</x:v>
      </x:c>
      <x:c r="Q2763" t="str"/>
      <x:c r="R2763" t="str"/>
      <x:c r="S2763" t="str">
        <x:v>Pending genuine supplier/brand image</x:v>
      </x:c>
      <x:c r="T2763" s="54" t="n">
        <x:v>51.99</x:v>
      </x:c>
      <x:c r="U2763" s="47" t="n">
        <x:v>0.2</x:v>
      </x:c>
      <x:c r="V2763" s="54" t="n">
        <x:f>IF(ISNUMBER(T2763),T2763*(1+U2763),"")</x:f>
        <x:v>62.388</x:v>
      </x:c>
      <x:c r="W2763" s="47" t="n">
        <x:v>0.3</x:v>
      </x:c>
      <x:c r="X2763" s="54" t="n">
        <x:f>IF(ISNUMBER(V2763),V2763/(1-W2763),"")</x:f>
        <x:v>89.1257142857143</x:v>
      </x:c>
      <x:c r="Y2763" s="55" t="n">
        <x:f>IF(ISNUMBER(X2763),ROUNDUP(X2763,0),"")</x:f>
        <x:v>90</x:v>
      </x:c>
      <x:c r="Z2763" t="str">
        <x:v>Source match pending</x:v>
      </x:c>
      <x:c r="AA2763" t="str">
        <x:v>screencapture-www-activesportstrade-co-uk-per4m-nutrition-trade-2026-09-10-09_06_42.pdf / page-05</x:v>
      </x:c>
      <x:c r="AB2763" s="36" t="n">
        <x:f>IF(ISNUMBER(Y2763),ROUND(Y2763*0.9,2),"")</x:f>
        <x:v>81</x:v>
      </x:c>
      <x:c r="AC2763" s="36" t="n">
        <x:f>IF(ISNUMBER(AB2763),ROUND(AB2763-(AB2763*0.015+0.2)-V2763,2),"")</x:f>
        <x:v>17.2</x:v>
      </x:c>
      <x:c r="AD2763" s="36" t="n">
        <x:f>IF(ISNUMBER(Y2763),ROUND(Y2763*0.8,2),"")</x:f>
        <x:v>72</x:v>
      </x:c>
      <x:c r="AE2763" s="36" t="n">
        <x:f>IF(ISNUMBER(AD2763),ROUND(AD2763*0.015+0.2,2),"")</x:f>
        <x:v>1.28</x:v>
      </x:c>
      <x:c r="AF2763" s="36" t="n">
        <x:f>IF(ISNUMBER(AD2763),ROUND(AD2763-AE2763-V2763,2),"")</x:f>
        <x:v>8.33</x:v>
      </x:c>
      <x:c r="AG2763" t="str">
        <x:f>IF(NOT(ISNUMBER(T2763)),"PENDING",IF(AF2763&gt;0,"PASS","FAIL"))</x:f>
        <x:v>PASS</x:v>
      </x:c>
      <x:c r="AH2763" t="str">
        <x:f>IF(NOT(ISNUMBER(T2763)),"Needs supplier cost",IF(K2763&lt;&gt;"In stock","Supplier unavailable",IF(AG2763&lt;&gt;"PASS","BLOCK - GT loss risk","Commercially protected")))</x:f>
        <x:v>Commercially protected</x:v>
      </x:c>
      <x:c r="AI2763" t="str">
        <x:v>2026-09-10 Active Sports trade capture</x:v>
      </x:c>
      <x:c r="AJ2763" t="str">
        <x:v>Management-only economics. Stripe stress test uses 1.5% + £0.20 standard UK online-card fee; pallet/mix-and-match pricing ignored.</x:v>
      </x:c>
    </x:row>
    <x:row r="2764">
      <x:c r="A2764" t="str">
        <x:v>Active Sports Nutrition</x:v>
      </x:c>
      <x:c r="B2764" t="str">
        <x:v>Per4m Nutrition</x:v>
      </x:c>
      <x:c r="C2764" t="str">
        <x:v>Whey Protein</x:v>
      </x:c>
      <x:c r="D2764" t="str">
        <x:v>Supplements</x:v>
      </x:c>
      <x:c r="E2764" t="str">
        <x:v>Whey Protein</x:v>
      </x:c>
      <x:c r="F2764" t="str"/>
      <x:c r="G2764" t="str">
        <x:v>2kg</x:v>
      </x:c>
      <x:c r="H2764" t="str">
        <x:v>Carrot Cake</x:v>
      </x:c>
      <x:c r="I2764" t="str"/>
      <x:c r="J2764" t="str">
        <x:v>Unit</x:v>
      </x:c>
      <x:c r="K2764" t="str">
        <x:v>In stock</x:v>
      </x:c>
      <x:c r="L2764" t="str">
        <x:v>2026-09-08</x:v>
      </x:c>
      <x:c r="M2764" t="str"/>
      <x:c r="N2764" t="str"/>
      <x:c r="O2764" t="str">
        <x:v>https://www.activesportstrade.co.uk/Whey-Protein-Supplements-Trade/per4m-nutrition-trade</x:v>
      </x:c>
      <x:c r="P2764" t="str">
        <x:v>NEW PRICE/NEW wording stripped from canonical identity.</x:v>
      </x:c>
      <x:c r="Q2764" t="str"/>
      <x:c r="R2764" t="str"/>
      <x:c r="S2764" t="str">
        <x:v>Pending genuine supplier/brand image</x:v>
      </x:c>
      <x:c r="T2764" s="54" t="n">
        <x:v>51.99</x:v>
      </x:c>
      <x:c r="U2764" s="47" t="n">
        <x:v>0.2</x:v>
      </x:c>
      <x:c r="V2764" s="54" t="n">
        <x:f>IF(ISNUMBER(T2764),T2764*(1+U2764),"")</x:f>
        <x:v>62.388</x:v>
      </x:c>
      <x:c r="W2764" s="47" t="n">
        <x:v>0.3</x:v>
      </x:c>
      <x:c r="X2764" s="54" t="n">
        <x:f>IF(ISNUMBER(V2764),V2764/(1-W2764),"")</x:f>
        <x:v>89.1257142857143</x:v>
      </x:c>
      <x:c r="Y2764" s="55" t="n">
        <x:f>IF(ISNUMBER(X2764),ROUNDUP(X2764,0),"")</x:f>
        <x:v>90</x:v>
      </x:c>
      <x:c r="Z2764" t="str">
        <x:v>Source match pending</x:v>
      </x:c>
      <x:c r="AA2764" t="str">
        <x:v>screencapture-www-activesportstrade-co-uk-per4m-nutrition-trade-2026-09-10-09_06_42.pdf / page-05</x:v>
      </x:c>
      <x:c r="AB2764" s="36" t="n">
        <x:f>IF(ISNUMBER(Y2764),ROUND(Y2764*0.9,2),"")</x:f>
        <x:v>81</x:v>
      </x:c>
      <x:c r="AC2764" s="36" t="n">
        <x:f>IF(ISNUMBER(AB2764),ROUND(AB2764-(AB2764*0.015+0.2)-V2764,2),"")</x:f>
        <x:v>17.2</x:v>
      </x:c>
      <x:c r="AD2764" s="36" t="n">
        <x:f>IF(ISNUMBER(Y2764),ROUND(Y2764*0.8,2),"")</x:f>
        <x:v>72</x:v>
      </x:c>
      <x:c r="AE2764" s="36" t="n">
        <x:f>IF(ISNUMBER(AD2764),ROUND(AD2764*0.015+0.2,2),"")</x:f>
        <x:v>1.28</x:v>
      </x:c>
      <x:c r="AF2764" s="36" t="n">
        <x:f>IF(ISNUMBER(AD2764),ROUND(AD2764-AE2764-V2764,2),"")</x:f>
        <x:v>8.33</x:v>
      </x:c>
      <x:c r="AG2764" t="str">
        <x:f>IF(NOT(ISNUMBER(T2764)),"PENDING",IF(AF2764&gt;0,"PASS","FAIL"))</x:f>
        <x:v>PASS</x:v>
      </x:c>
      <x:c r="AH2764" t="str">
        <x:f>IF(NOT(ISNUMBER(T2764)),"Needs supplier cost",IF(K2764&lt;&gt;"In stock","Supplier unavailable",IF(AG2764&lt;&gt;"PASS","BLOCK - GT loss risk","Commercially protected")))</x:f>
        <x:v>Commercially protected</x:v>
      </x:c>
      <x:c r="AI2764" t="str">
        <x:v>2026-09-10 Active Sports trade capture</x:v>
      </x:c>
      <x:c r="AJ2764" t="str">
        <x:v>Management-only economics. Stripe stress test uses 1.5% + £0.20 standard UK online-card fee; pallet/mix-and-match pricing ignored.</x:v>
      </x:c>
    </x:row>
    <x:row r="2765">
      <x:c r="A2765" t="str">
        <x:v>Active Sports Nutrition</x:v>
      </x:c>
      <x:c r="B2765" t="str">
        <x:v>Per4m Nutrition</x:v>
      </x:c>
      <x:c r="C2765" t="str">
        <x:v>Whey Protein</x:v>
      </x:c>
      <x:c r="D2765" t="str">
        <x:v>Supplements</x:v>
      </x:c>
      <x:c r="E2765" t="str">
        <x:v>Whey Protein</x:v>
      </x:c>
      <x:c r="F2765" t="str"/>
      <x:c r="G2765" t="str">
        <x:v>2kg</x:v>
      </x:c>
      <x:c r="H2765" t="str">
        <x:v>Cereal Milk</x:v>
      </x:c>
      <x:c r="I2765" t="str"/>
      <x:c r="J2765" t="str">
        <x:v>Unit</x:v>
      </x:c>
      <x:c r="K2765" t="str">
        <x:v>In stock</x:v>
      </x:c>
      <x:c r="L2765" t="str">
        <x:v>2026-09-08</x:v>
      </x:c>
      <x:c r="M2765" t="str"/>
      <x:c r="N2765" t="str"/>
      <x:c r="O2765" t="str">
        <x:v>https://www.activesportstrade.co.uk/Whey-Protein-Supplements-Trade/per4m-nutrition-trade</x:v>
      </x:c>
      <x:c r="P2765" t="str">
        <x:v>NEW PRICE/NEW wording stripped from canonical identity.</x:v>
      </x:c>
      <x:c r="Q2765" t="str"/>
      <x:c r="R2765" t="str"/>
      <x:c r="S2765" t="str">
        <x:v>Pending genuine supplier/brand image</x:v>
      </x:c>
      <x:c r="T2765" s="54" t="n">
        <x:v>51.99</x:v>
      </x:c>
      <x:c r="U2765" s="47" t="n">
        <x:v>0.2</x:v>
      </x:c>
      <x:c r="V2765" s="54" t="n">
        <x:f>IF(ISNUMBER(T2765),T2765*(1+U2765),"")</x:f>
        <x:v>62.388</x:v>
      </x:c>
      <x:c r="W2765" s="47" t="n">
        <x:v>0.3</x:v>
      </x:c>
      <x:c r="X2765" s="54" t="n">
        <x:f>IF(ISNUMBER(V2765),V2765/(1-W2765),"")</x:f>
        <x:v>89.1257142857143</x:v>
      </x:c>
      <x:c r="Y2765" s="55" t="n">
        <x:f>IF(ISNUMBER(X2765),ROUNDUP(X2765,0),"")</x:f>
        <x:v>90</x:v>
      </x:c>
      <x:c r="Z2765" t="str">
        <x:v>Source match pending</x:v>
      </x:c>
      <x:c r="AA2765" t="str">
        <x:v>screencapture-www-activesportstrade-co-uk-per4m-nutrition-trade-2026-09-10-09_06_42.pdf / page-05</x:v>
      </x:c>
      <x:c r="AB2765" s="36" t="n">
        <x:f>IF(ISNUMBER(Y2765),ROUND(Y2765*0.9,2),"")</x:f>
        <x:v>81</x:v>
      </x:c>
      <x:c r="AC2765" s="36" t="n">
        <x:f>IF(ISNUMBER(AB2765),ROUND(AB2765-(AB2765*0.015+0.2)-V2765,2),"")</x:f>
        <x:v>17.2</x:v>
      </x:c>
      <x:c r="AD2765" s="36" t="n">
        <x:f>IF(ISNUMBER(Y2765),ROUND(Y2765*0.8,2),"")</x:f>
        <x:v>72</x:v>
      </x:c>
      <x:c r="AE2765" s="36" t="n">
        <x:f>IF(ISNUMBER(AD2765),ROUND(AD2765*0.015+0.2,2),"")</x:f>
        <x:v>1.28</x:v>
      </x:c>
      <x:c r="AF2765" s="36" t="n">
        <x:f>IF(ISNUMBER(AD2765),ROUND(AD2765-AE2765-V2765,2),"")</x:f>
        <x:v>8.33</x:v>
      </x:c>
      <x:c r="AG2765" t="str">
        <x:f>IF(NOT(ISNUMBER(T2765)),"PENDING",IF(AF2765&gt;0,"PASS","FAIL"))</x:f>
        <x:v>PASS</x:v>
      </x:c>
      <x:c r="AH2765" t="str">
        <x:f>IF(NOT(ISNUMBER(T2765)),"Needs supplier cost",IF(K2765&lt;&gt;"In stock","Supplier unavailable",IF(AG2765&lt;&gt;"PASS","BLOCK - GT loss risk","Commercially protected")))</x:f>
        <x:v>Commercially protected</x:v>
      </x:c>
      <x:c r="AI2765" t="str">
        <x:v>2026-09-10 Active Sports trade capture</x:v>
      </x:c>
      <x:c r="AJ2765" t="str">
        <x:v>Management-only economics. Stripe stress test uses 1.5% + £0.20 standard UK online-card fee; pallet/mix-and-match pricing ignored.</x:v>
      </x:c>
    </x:row>
    <x:row r="2766">
      <x:c r="A2766" t="str">
        <x:v>Active Sports Nutrition</x:v>
      </x:c>
      <x:c r="B2766" t="str">
        <x:v>Per4m Nutrition</x:v>
      </x:c>
      <x:c r="C2766" t="str">
        <x:v>Whey Protein</x:v>
      </x:c>
      <x:c r="D2766" t="str">
        <x:v>Supplements</x:v>
      </x:c>
      <x:c r="E2766" t="str">
        <x:v>Whey Protein</x:v>
      </x:c>
      <x:c r="F2766" t="str"/>
      <x:c r="G2766" t="str">
        <x:v>2kg</x:v>
      </x:c>
      <x:c r="H2766" t="str">
        <x:v>Cherry Bakewell</x:v>
      </x:c>
      <x:c r="I2766" t="str"/>
      <x:c r="J2766" t="str">
        <x:v>Unit</x:v>
      </x:c>
      <x:c r="K2766" t="str">
        <x:v>In stock</x:v>
      </x:c>
      <x:c r="L2766" t="str">
        <x:v>2026-09-08</x:v>
      </x:c>
      <x:c r="M2766" t="str"/>
      <x:c r="N2766" t="str"/>
      <x:c r="O2766" t="str">
        <x:v>https://www.activesportstrade.co.uk/Whey-Protein-Supplements-Trade/per4m-nutrition-trade</x:v>
      </x:c>
      <x:c r="P2766" t="str">
        <x:v>NEW PRICE/NEW wording stripped from canonical identity.</x:v>
      </x:c>
      <x:c r="Q2766" t="str"/>
      <x:c r="R2766" t="str"/>
      <x:c r="S2766" t="str">
        <x:v>Pending genuine supplier/brand image</x:v>
      </x:c>
      <x:c r="T2766" s="54" t="n">
        <x:v>51.99</x:v>
      </x:c>
      <x:c r="U2766" s="47" t="n">
        <x:v>0.2</x:v>
      </x:c>
      <x:c r="V2766" s="54" t="n">
        <x:f>IF(ISNUMBER(T2766),T2766*(1+U2766),"")</x:f>
        <x:v>62.388</x:v>
      </x:c>
      <x:c r="W2766" s="47" t="n">
        <x:v>0.3</x:v>
      </x:c>
      <x:c r="X2766" s="54" t="n">
        <x:f>IF(ISNUMBER(V2766),V2766/(1-W2766),"")</x:f>
        <x:v>89.1257142857143</x:v>
      </x:c>
      <x:c r="Y2766" s="55" t="n">
        <x:f>IF(ISNUMBER(X2766),ROUNDUP(X2766,0),"")</x:f>
        <x:v>90</x:v>
      </x:c>
      <x:c r="Z2766" t="str">
        <x:v>Source match pending</x:v>
      </x:c>
      <x:c r="AA2766" t="str">
        <x:v>screencapture-www-activesportstrade-co-uk-per4m-nutrition-trade-2026-09-10-09_06_42.pdf / page-05</x:v>
      </x:c>
      <x:c r="AB2766" s="36" t="n">
        <x:f>IF(ISNUMBER(Y2766),ROUND(Y2766*0.9,2),"")</x:f>
        <x:v>81</x:v>
      </x:c>
      <x:c r="AC2766" s="36" t="n">
        <x:f>IF(ISNUMBER(AB2766),ROUND(AB2766-(AB2766*0.015+0.2)-V2766,2),"")</x:f>
        <x:v>17.2</x:v>
      </x:c>
      <x:c r="AD2766" s="36" t="n">
        <x:f>IF(ISNUMBER(Y2766),ROUND(Y2766*0.8,2),"")</x:f>
        <x:v>72</x:v>
      </x:c>
      <x:c r="AE2766" s="36" t="n">
        <x:f>IF(ISNUMBER(AD2766),ROUND(AD2766*0.015+0.2,2),"")</x:f>
        <x:v>1.28</x:v>
      </x:c>
      <x:c r="AF2766" s="36" t="n">
        <x:f>IF(ISNUMBER(AD2766),ROUND(AD2766-AE2766-V2766,2),"")</x:f>
        <x:v>8.33</x:v>
      </x:c>
      <x:c r="AG2766" t="str">
        <x:f>IF(NOT(ISNUMBER(T2766)),"PENDING",IF(AF2766&gt;0,"PASS","FAIL"))</x:f>
        <x:v>PASS</x:v>
      </x:c>
      <x:c r="AH2766" t="str">
        <x:f>IF(NOT(ISNUMBER(T2766)),"Needs supplier cost",IF(K2766&lt;&gt;"In stock","Supplier unavailable",IF(AG2766&lt;&gt;"PASS","BLOCK - GT loss risk","Commercially protected")))</x:f>
        <x:v>Commercially protected</x:v>
      </x:c>
      <x:c r="AI2766" t="str">
        <x:v>2026-09-10 Active Sports trade capture</x:v>
      </x:c>
      <x:c r="AJ2766" t="str">
        <x:v>Management-only economics. Stripe stress test uses 1.5% + £0.20 standard UK online-card fee; pallet/mix-and-match pricing ignored.</x:v>
      </x:c>
    </x:row>
    <x:row r="2767">
      <x:c r="A2767" t="str">
        <x:v>Active Sports Nutrition</x:v>
      </x:c>
      <x:c r="B2767" t="str">
        <x:v>Per4m Nutrition</x:v>
      </x:c>
      <x:c r="C2767" t="str">
        <x:v>Whey Protein</x:v>
      </x:c>
      <x:c r="D2767" t="str">
        <x:v>Supplements</x:v>
      </x:c>
      <x:c r="E2767" t="str">
        <x:v>Whey Protein</x:v>
      </x:c>
      <x:c r="F2767" t="str"/>
      <x:c r="G2767" t="str">
        <x:v>2kg</x:v>
      </x:c>
      <x:c r="H2767" t="str">
        <x:v>Chocolate &amp; Raspberry</x:v>
      </x:c>
      <x:c r="I2767" t="str"/>
      <x:c r="J2767" t="str">
        <x:v>Unit</x:v>
      </x:c>
      <x:c r="K2767" t="str">
        <x:v>In stock</x:v>
      </x:c>
      <x:c r="L2767" t="str">
        <x:v>2026-09-08</x:v>
      </x:c>
      <x:c r="M2767" t="str"/>
      <x:c r="N2767" t="str"/>
      <x:c r="O2767" t="str">
        <x:v>https://www.activesportstrade.co.uk/Whey-Protein-Supplements-Trade/per4m-nutrition-trade</x:v>
      </x:c>
      <x:c r="P2767" t="str">
        <x:v>NEW PRICE/NEW wording stripped from canonical identity.</x:v>
      </x:c>
      <x:c r="Q2767" t="str"/>
      <x:c r="R2767" t="str"/>
      <x:c r="S2767" t="str">
        <x:v>Pending genuine supplier/brand image</x:v>
      </x:c>
      <x:c r="T2767" s="54" t="n">
        <x:v>51.99</x:v>
      </x:c>
      <x:c r="U2767" s="47" t="n">
        <x:v>0.2</x:v>
      </x:c>
      <x:c r="V2767" s="54" t="n">
        <x:f>IF(ISNUMBER(T2767),T2767*(1+U2767),"")</x:f>
        <x:v>62.388</x:v>
      </x:c>
      <x:c r="W2767" s="47" t="n">
        <x:v>0.3</x:v>
      </x:c>
      <x:c r="X2767" s="54" t="n">
        <x:f>IF(ISNUMBER(V2767),V2767/(1-W2767),"")</x:f>
        <x:v>89.1257142857143</x:v>
      </x:c>
      <x:c r="Y2767" s="55" t="n">
        <x:f>IF(ISNUMBER(X2767),ROUNDUP(X2767,0),"")</x:f>
        <x:v>90</x:v>
      </x:c>
      <x:c r="Z2767" t="str">
        <x:v>Source match pending</x:v>
      </x:c>
      <x:c r="AA2767" t="str">
        <x:v>screencapture-www-activesportstrade-co-uk-per4m-nutrition-trade-2026-09-10-09_06_42.pdf / page-05</x:v>
      </x:c>
      <x:c r="AB2767" s="36" t="n">
        <x:f>IF(ISNUMBER(Y2767),ROUND(Y2767*0.9,2),"")</x:f>
        <x:v>81</x:v>
      </x:c>
      <x:c r="AC2767" s="36" t="n">
        <x:f>IF(ISNUMBER(AB2767),ROUND(AB2767-(AB2767*0.015+0.2)-V2767,2),"")</x:f>
        <x:v>17.2</x:v>
      </x:c>
      <x:c r="AD2767" s="36" t="n">
        <x:f>IF(ISNUMBER(Y2767),ROUND(Y2767*0.8,2),"")</x:f>
        <x:v>72</x:v>
      </x:c>
      <x:c r="AE2767" s="36" t="n">
        <x:f>IF(ISNUMBER(AD2767),ROUND(AD2767*0.015+0.2,2),"")</x:f>
        <x:v>1.28</x:v>
      </x:c>
      <x:c r="AF2767" s="36" t="n">
        <x:f>IF(ISNUMBER(AD2767),ROUND(AD2767-AE2767-V2767,2),"")</x:f>
        <x:v>8.33</x:v>
      </x:c>
      <x:c r="AG2767" t="str">
        <x:f>IF(NOT(ISNUMBER(T2767)),"PENDING",IF(AF2767&gt;0,"PASS","FAIL"))</x:f>
        <x:v>PASS</x:v>
      </x:c>
      <x:c r="AH2767" t="str">
        <x:f>IF(NOT(ISNUMBER(T2767)),"Needs supplier cost",IF(K2767&lt;&gt;"In stock","Supplier unavailable",IF(AG2767&lt;&gt;"PASS","BLOCK - GT loss risk","Commercially protected")))</x:f>
        <x:v>Commercially protected</x:v>
      </x:c>
      <x:c r="AI2767" t="str">
        <x:v>2026-09-10 Active Sports trade capture</x:v>
      </x:c>
      <x:c r="AJ2767" t="str">
        <x:v>Management-only economics. Stripe stress test uses 1.5% + £0.20 standard UK online-card fee; pallet/mix-and-match pricing ignored.</x:v>
      </x:c>
    </x:row>
    <x:row r="2768">
      <x:c r="A2768" t="str">
        <x:v>Active Sports Nutrition</x:v>
      </x:c>
      <x:c r="B2768" t="str">
        <x:v>Per4m Nutrition</x:v>
      </x:c>
      <x:c r="C2768" t="str">
        <x:v>Whey Protein</x:v>
      </x:c>
      <x:c r="D2768" t="str">
        <x:v>Supplements</x:v>
      </x:c>
      <x:c r="E2768" t="str">
        <x:v>Whey Protein</x:v>
      </x:c>
      <x:c r="F2768" t="str"/>
      <x:c r="G2768" t="str">
        <x:v>2kg</x:v>
      </x:c>
      <x:c r="H2768" t="str">
        <x:v>Chocolate Brownie Batter</x:v>
      </x:c>
      <x:c r="I2768" t="str"/>
      <x:c r="J2768" t="str">
        <x:v>Unit</x:v>
      </x:c>
      <x:c r="K2768" t="str">
        <x:v>In stock</x:v>
      </x:c>
      <x:c r="L2768" t="str">
        <x:v>2026-09-08</x:v>
      </x:c>
      <x:c r="M2768" t="str"/>
      <x:c r="N2768" t="str"/>
      <x:c r="O2768" t="str">
        <x:v>https://www.activesportstrade.co.uk/Whey-Protein-Supplements-Trade/per4m-nutrition-trade</x:v>
      </x:c>
      <x:c r="P2768" t="str">
        <x:v>NEW PRICE/NEW wording stripped from canonical identity.</x:v>
      </x:c>
      <x:c r="Q2768" t="str"/>
      <x:c r="R2768" t="str"/>
      <x:c r="S2768" t="str">
        <x:v>Pending genuine supplier/brand image</x:v>
      </x:c>
      <x:c r="T2768" s="54" t="n">
        <x:v>51.99</x:v>
      </x:c>
      <x:c r="U2768" s="47" t="n">
        <x:v>0.2</x:v>
      </x:c>
      <x:c r="V2768" s="54" t="n">
        <x:f>IF(ISNUMBER(T2768),T2768*(1+U2768),"")</x:f>
        <x:v>62.388</x:v>
      </x:c>
      <x:c r="W2768" s="47" t="n">
        <x:v>0.3</x:v>
      </x:c>
      <x:c r="X2768" s="54" t="n">
        <x:f>IF(ISNUMBER(V2768),V2768/(1-W2768),"")</x:f>
        <x:v>89.1257142857143</x:v>
      </x:c>
      <x:c r="Y2768" s="55" t="n">
        <x:f>IF(ISNUMBER(X2768),ROUNDUP(X2768,0),"")</x:f>
        <x:v>90</x:v>
      </x:c>
      <x:c r="Z2768" t="str">
        <x:v>Source match pending</x:v>
      </x:c>
      <x:c r="AA2768" t="str">
        <x:v>screencapture-www-activesportstrade-co-uk-per4m-nutrition-trade-2026-09-10-09_06_42.pdf / page-05</x:v>
      </x:c>
      <x:c r="AB2768" s="36" t="n">
        <x:f>IF(ISNUMBER(Y2768),ROUND(Y2768*0.9,2),"")</x:f>
        <x:v>81</x:v>
      </x:c>
      <x:c r="AC2768" s="36" t="n">
        <x:f>IF(ISNUMBER(AB2768),ROUND(AB2768-(AB2768*0.015+0.2)-V2768,2),"")</x:f>
        <x:v>17.2</x:v>
      </x:c>
      <x:c r="AD2768" s="36" t="n">
        <x:f>IF(ISNUMBER(Y2768),ROUND(Y2768*0.8,2),"")</x:f>
        <x:v>72</x:v>
      </x:c>
      <x:c r="AE2768" s="36" t="n">
        <x:f>IF(ISNUMBER(AD2768),ROUND(AD2768*0.015+0.2,2),"")</x:f>
        <x:v>1.28</x:v>
      </x:c>
      <x:c r="AF2768" s="36" t="n">
        <x:f>IF(ISNUMBER(AD2768),ROUND(AD2768-AE2768-V2768,2),"")</x:f>
        <x:v>8.33</x:v>
      </x:c>
      <x:c r="AG2768" t="str">
        <x:f>IF(NOT(ISNUMBER(T2768)),"PENDING",IF(AF2768&gt;0,"PASS","FAIL"))</x:f>
        <x:v>PASS</x:v>
      </x:c>
      <x:c r="AH2768" t="str">
        <x:f>IF(NOT(ISNUMBER(T2768)),"Needs supplier cost",IF(K2768&lt;&gt;"In stock","Supplier unavailable",IF(AG2768&lt;&gt;"PASS","BLOCK - GT loss risk","Commercially protected")))</x:f>
        <x:v>Commercially protected</x:v>
      </x:c>
      <x:c r="AI2768" t="str">
        <x:v>2026-09-10 Active Sports trade capture</x:v>
      </x:c>
      <x:c r="AJ2768" t="str">
        <x:v>Management-only economics. Stripe stress test uses 1.5% + £0.20 standard UK online-card fee; pallet/mix-and-match pricing ignored.</x:v>
      </x:c>
    </x:row>
    <x:row r="2769">
      <x:c r="A2769" t="str">
        <x:v>Active Sports Nutrition</x:v>
      </x:c>
      <x:c r="B2769" t="str">
        <x:v>Per4m Nutrition</x:v>
      </x:c>
      <x:c r="C2769" t="str">
        <x:v>Whey Protein</x:v>
      </x:c>
      <x:c r="D2769" t="str">
        <x:v>Supplements</x:v>
      </x:c>
      <x:c r="E2769" t="str">
        <x:v>Whey Protein</x:v>
      </x:c>
      <x:c r="F2769" t="str"/>
      <x:c r="G2769" t="str">
        <x:v>2kg</x:v>
      </x:c>
      <x:c r="H2769" t="str">
        <x:v>Chocolate Caramel</x:v>
      </x:c>
      <x:c r="I2769" t="str"/>
      <x:c r="J2769" t="str">
        <x:v>Unit</x:v>
      </x:c>
      <x:c r="K2769" t="str">
        <x:v>In stock</x:v>
      </x:c>
      <x:c r="L2769" t="str">
        <x:v>2026-09-08</x:v>
      </x:c>
      <x:c r="M2769" t="str"/>
      <x:c r="N2769" t="str"/>
      <x:c r="O2769" t="str">
        <x:v>https://www.activesportstrade.co.uk/Whey-Protein-Supplements-Trade/per4m-nutrition-trade</x:v>
      </x:c>
      <x:c r="P2769" t="str">
        <x:v>NEW PRICE/NEW wording stripped from canonical identity.</x:v>
      </x:c>
      <x:c r="Q2769" t="str"/>
      <x:c r="R2769" t="str"/>
      <x:c r="S2769" t="str">
        <x:v>Pending genuine supplier/brand image</x:v>
      </x:c>
      <x:c r="T2769" s="54" t="n">
        <x:v>51.99</x:v>
      </x:c>
      <x:c r="U2769" s="47" t="n">
        <x:v>0.2</x:v>
      </x:c>
      <x:c r="V2769" s="54" t="n">
        <x:f>IF(ISNUMBER(T2769),T2769*(1+U2769),"")</x:f>
        <x:v>62.388</x:v>
      </x:c>
      <x:c r="W2769" s="47" t="n">
        <x:v>0.3</x:v>
      </x:c>
      <x:c r="X2769" s="54" t="n">
        <x:f>IF(ISNUMBER(V2769),V2769/(1-W2769),"")</x:f>
        <x:v>89.1257142857143</x:v>
      </x:c>
      <x:c r="Y2769" s="55" t="n">
        <x:f>IF(ISNUMBER(X2769),ROUNDUP(X2769,0),"")</x:f>
        <x:v>90</x:v>
      </x:c>
      <x:c r="Z2769" t="str">
        <x:v>Source match pending</x:v>
      </x:c>
      <x:c r="AA2769" t="str">
        <x:v>screencapture-www-activesportstrade-co-uk-per4m-nutrition-trade-2026-09-10-09_06_42.pdf / page-05</x:v>
      </x:c>
      <x:c r="AB2769" s="36" t="n">
        <x:f>IF(ISNUMBER(Y2769),ROUND(Y2769*0.9,2),"")</x:f>
        <x:v>81</x:v>
      </x:c>
      <x:c r="AC2769" s="36" t="n">
        <x:f>IF(ISNUMBER(AB2769),ROUND(AB2769-(AB2769*0.015+0.2)-V2769,2),"")</x:f>
        <x:v>17.2</x:v>
      </x:c>
      <x:c r="AD2769" s="36" t="n">
        <x:f>IF(ISNUMBER(Y2769),ROUND(Y2769*0.8,2),"")</x:f>
        <x:v>72</x:v>
      </x:c>
      <x:c r="AE2769" s="36" t="n">
        <x:f>IF(ISNUMBER(AD2769),ROUND(AD2769*0.015+0.2,2),"")</x:f>
        <x:v>1.28</x:v>
      </x:c>
      <x:c r="AF2769" s="36" t="n">
        <x:f>IF(ISNUMBER(AD2769),ROUND(AD2769-AE2769-V2769,2),"")</x:f>
        <x:v>8.33</x:v>
      </x:c>
      <x:c r="AG2769" t="str">
        <x:f>IF(NOT(ISNUMBER(T2769)),"PENDING",IF(AF2769&gt;0,"PASS","FAIL"))</x:f>
        <x:v>PASS</x:v>
      </x:c>
      <x:c r="AH2769" t="str">
        <x:f>IF(NOT(ISNUMBER(T2769)),"Needs supplier cost",IF(K2769&lt;&gt;"In stock","Supplier unavailable",IF(AG2769&lt;&gt;"PASS","BLOCK - GT loss risk","Commercially protected")))</x:f>
        <x:v>Commercially protected</x:v>
      </x:c>
      <x:c r="AI2769" t="str">
        <x:v>2026-09-10 Active Sports trade capture</x:v>
      </x:c>
      <x:c r="AJ2769" t="str">
        <x:v>Management-only economics. Stripe stress test uses 1.5% + £0.20 standard UK online-card fee; pallet/mix-and-match pricing ignored.</x:v>
      </x:c>
    </x:row>
    <x:row r="2770">
      <x:c r="A2770" t="str">
        <x:v>Active Sports Nutrition</x:v>
      </x:c>
      <x:c r="B2770" t="str">
        <x:v>Per4m Nutrition</x:v>
      </x:c>
      <x:c r="C2770" t="str">
        <x:v>Whey Protein</x:v>
      </x:c>
      <x:c r="D2770" t="str">
        <x:v>Supplements</x:v>
      </x:c>
      <x:c r="E2770" t="str">
        <x:v>Whey Protein</x:v>
      </x:c>
      <x:c r="F2770" t="str"/>
      <x:c r="G2770" t="str">
        <x:v>2kg</x:v>
      </x:c>
      <x:c r="H2770" t="str">
        <x:v>Chocolate Eggsplosion</x:v>
      </x:c>
      <x:c r="I2770" t="str"/>
      <x:c r="J2770" t="str">
        <x:v>Unit</x:v>
      </x:c>
      <x:c r="K2770" t="str">
        <x:v>Out of stock</x:v>
      </x:c>
      <x:c r="L2770" t="str">
        <x:v>2026-09-08</x:v>
      </x:c>
      <x:c r="M2770" t="str"/>
      <x:c r="N2770" t="str"/>
      <x:c r="O2770" t="str">
        <x:v>https://www.activesportstrade.co.uk/Whey-Protein-Supplements-Trade/per4m-nutrition-trade</x:v>
      </x:c>
      <x:c r="P2770" t="str">
        <x:v>NEW PRICE/NEW wording stripped from canonical identity.</x:v>
      </x:c>
      <x:c r="Q2770" t="str"/>
      <x:c r="R2770" t="str"/>
      <x:c r="S2770" t="str">
        <x:v>Pending genuine supplier/brand image</x:v>
      </x:c>
      <x:c r="T2770" s="54" t="n">
        <x:v>51.99</x:v>
      </x:c>
      <x:c r="U2770" s="47" t="n">
        <x:v>0.2</x:v>
      </x:c>
      <x:c r="V2770" s="54" t="n">
        <x:f>IF(ISNUMBER(T2770),T2770*(1+U2770),"")</x:f>
        <x:v>62.388</x:v>
      </x:c>
      <x:c r="W2770" s="47" t="n">
        <x:v>0.3</x:v>
      </x:c>
      <x:c r="X2770" s="54" t="n">
        <x:f>IF(ISNUMBER(V2770),V2770/(1-W2770),"")</x:f>
        <x:v>89.1257142857143</x:v>
      </x:c>
      <x:c r="Y2770" s="55" t="n">
        <x:f>IF(ISNUMBER(X2770),ROUNDUP(X2770,0),"")</x:f>
        <x:v>90</x:v>
      </x:c>
      <x:c r="Z2770" t="str">
        <x:v>Source match pending</x:v>
      </x:c>
      <x:c r="AA2770" t="str">
        <x:v>screencapture-www-activesportstrade-co-uk-per4m-nutrition-trade-2026-09-10-09_06_42.pdf / page-05</x:v>
      </x:c>
      <x:c r="AB2770" s="36" t="n">
        <x:f>IF(ISNUMBER(Y2770),ROUND(Y2770*0.9,2),"")</x:f>
        <x:v>81</x:v>
      </x:c>
      <x:c r="AC2770" s="36" t="n">
        <x:f>IF(ISNUMBER(AB2770),ROUND(AB2770-(AB2770*0.015+0.2)-V2770,2),"")</x:f>
        <x:v>17.2</x:v>
      </x:c>
      <x:c r="AD2770" s="36" t="n">
        <x:f>IF(ISNUMBER(Y2770),ROUND(Y2770*0.8,2),"")</x:f>
        <x:v>72</x:v>
      </x:c>
      <x:c r="AE2770" s="36" t="n">
        <x:f>IF(ISNUMBER(AD2770),ROUND(AD2770*0.015+0.2,2),"")</x:f>
        <x:v>1.28</x:v>
      </x:c>
      <x:c r="AF2770" s="36" t="n">
        <x:f>IF(ISNUMBER(AD2770),ROUND(AD2770-AE2770-V2770,2),"")</x:f>
        <x:v>8.33</x:v>
      </x:c>
      <x:c r="AG2770" t="str">
        <x:f>IF(NOT(ISNUMBER(T2770)),"PENDING",IF(AF2770&gt;0,"PASS","FAIL"))</x:f>
        <x:v>PASS</x:v>
      </x:c>
      <x:c r="AH2770" t="str">
        <x:f>IF(NOT(ISNUMBER(T2770)),"Needs supplier cost",IF(K2770&lt;&gt;"In stock","Supplier unavailable",IF(AG2770&lt;&gt;"PASS","BLOCK - GT loss risk","Commercially protected")))</x:f>
        <x:v>Supplier unavailable</x:v>
      </x:c>
      <x:c r="AI2770" t="str">
        <x:v>2026-09-10 Active Sports trade capture</x:v>
      </x:c>
      <x:c r="AJ2770" t="str">
        <x:v>Management-only economics. Stripe stress test uses 1.5% + £0.20 standard UK online-card fee; pallet/mix-and-match pricing ignored.</x:v>
      </x:c>
    </x:row>
    <x:row r="2771">
      <x:c r="A2771" t="str">
        <x:v>Active Sports Nutrition</x:v>
      </x:c>
      <x:c r="B2771" t="str">
        <x:v>Per4m Nutrition</x:v>
      </x:c>
      <x:c r="C2771" t="str">
        <x:v>Whey Protein</x:v>
      </x:c>
      <x:c r="D2771" t="str">
        <x:v>Supplements</x:v>
      </x:c>
      <x:c r="E2771" t="str">
        <x:v>Whey Protein</x:v>
      </x:c>
      <x:c r="F2771" t="str"/>
      <x:c r="G2771" t="str">
        <x:v>2kg</x:v>
      </x:c>
      <x:c r="H2771" t="str">
        <x:v>Chocolate Mochaccino</x:v>
      </x:c>
      <x:c r="I2771" t="str"/>
      <x:c r="J2771" t="str">
        <x:v>Unit</x:v>
      </x:c>
      <x:c r="K2771" t="str">
        <x:v>In stock</x:v>
      </x:c>
      <x:c r="L2771" t="str">
        <x:v>2026-09-08</x:v>
      </x:c>
      <x:c r="M2771" t="str"/>
      <x:c r="N2771" t="str"/>
      <x:c r="O2771" t="str">
        <x:v>https://www.activesportstrade.co.uk/Whey-Protein-Supplements-Trade/per4m-nutrition-trade</x:v>
      </x:c>
      <x:c r="P2771" t="str">
        <x:v>NEW PRICE/NEW wording stripped from canonical identity.</x:v>
      </x:c>
      <x:c r="Q2771" t="str"/>
      <x:c r="R2771" t="str"/>
      <x:c r="S2771" t="str">
        <x:v>Pending genuine supplier/brand image</x:v>
      </x:c>
      <x:c r="T2771" s="54" t="n">
        <x:v>51.99</x:v>
      </x:c>
      <x:c r="U2771" s="47" t="n">
        <x:v>0.2</x:v>
      </x:c>
      <x:c r="V2771" s="54" t="n">
        <x:f>IF(ISNUMBER(T2771),T2771*(1+U2771),"")</x:f>
        <x:v>62.388</x:v>
      </x:c>
      <x:c r="W2771" s="47" t="n">
        <x:v>0.3</x:v>
      </x:c>
      <x:c r="X2771" s="54" t="n">
        <x:f>IF(ISNUMBER(V2771),V2771/(1-W2771),"")</x:f>
        <x:v>89.1257142857143</x:v>
      </x:c>
      <x:c r="Y2771" s="55" t="n">
        <x:f>IF(ISNUMBER(X2771),ROUNDUP(X2771,0),"")</x:f>
        <x:v>90</x:v>
      </x:c>
      <x:c r="Z2771" t="str">
        <x:v>Source match pending</x:v>
      </x:c>
      <x:c r="AA2771" t="str">
        <x:v>screencapture-www-activesportstrade-co-uk-per4m-nutrition-trade-2026-09-10-09_06_42.pdf / page-05</x:v>
      </x:c>
      <x:c r="AB2771" s="36" t="n">
        <x:f>IF(ISNUMBER(Y2771),ROUND(Y2771*0.9,2),"")</x:f>
        <x:v>81</x:v>
      </x:c>
      <x:c r="AC2771" s="36" t="n">
        <x:f>IF(ISNUMBER(AB2771),ROUND(AB2771-(AB2771*0.015+0.2)-V2771,2),"")</x:f>
        <x:v>17.2</x:v>
      </x:c>
      <x:c r="AD2771" s="36" t="n">
        <x:f>IF(ISNUMBER(Y2771),ROUND(Y2771*0.8,2),"")</x:f>
        <x:v>72</x:v>
      </x:c>
      <x:c r="AE2771" s="36" t="n">
        <x:f>IF(ISNUMBER(AD2771),ROUND(AD2771*0.015+0.2,2),"")</x:f>
        <x:v>1.28</x:v>
      </x:c>
      <x:c r="AF2771" s="36" t="n">
        <x:f>IF(ISNUMBER(AD2771),ROUND(AD2771-AE2771-V2771,2),"")</x:f>
        <x:v>8.33</x:v>
      </x:c>
      <x:c r="AG2771" t="str">
        <x:f>IF(NOT(ISNUMBER(T2771)),"PENDING",IF(AF2771&gt;0,"PASS","FAIL"))</x:f>
        <x:v>PASS</x:v>
      </x:c>
      <x:c r="AH2771" t="str">
        <x:f>IF(NOT(ISNUMBER(T2771)),"Needs supplier cost",IF(K2771&lt;&gt;"In stock","Supplier unavailable",IF(AG2771&lt;&gt;"PASS","BLOCK - GT loss risk","Commercially protected")))</x:f>
        <x:v>Commercially protected</x:v>
      </x:c>
      <x:c r="AI2771" t="str">
        <x:v>2026-09-10 Active Sports trade capture</x:v>
      </x:c>
      <x:c r="AJ2771" t="str">
        <x:v>Management-only economics. Stripe stress test uses 1.5% + £0.20 standard UK online-card fee; pallet/mix-and-match pricing ignored.</x:v>
      </x:c>
    </x:row>
    <x:row r="2772">
      <x:c r="A2772" t="str">
        <x:v>Active Sports Nutrition</x:v>
      </x:c>
      <x:c r="B2772" t="str">
        <x:v>Per4m Nutrition</x:v>
      </x:c>
      <x:c r="C2772" t="str">
        <x:v>Whey Protein</x:v>
      </x:c>
      <x:c r="D2772" t="str">
        <x:v>Supplements</x:v>
      </x:c>
      <x:c r="E2772" t="str">
        <x:v>Whey Protein</x:v>
      </x:c>
      <x:c r="F2772" t="str"/>
      <x:c r="G2772" t="str">
        <x:v>2kg</x:v>
      </x:c>
      <x:c r="H2772" t="str">
        <x:v>Chocolate Orange</x:v>
      </x:c>
      <x:c r="I2772" t="str"/>
      <x:c r="J2772" t="str">
        <x:v>Unit</x:v>
      </x:c>
      <x:c r="K2772" t="str">
        <x:v>In stock</x:v>
      </x:c>
      <x:c r="L2772" t="str">
        <x:v>2026-09-08</x:v>
      </x:c>
      <x:c r="M2772" t="str"/>
      <x:c r="N2772" t="str"/>
      <x:c r="O2772" t="str">
        <x:v>https://www.activesportstrade.co.uk/Whey-Protein-Supplements-Trade/per4m-nutrition-trade</x:v>
      </x:c>
      <x:c r="P2772" t="str">
        <x:v>NEW PRICE/NEW wording stripped from canonical identity.</x:v>
      </x:c>
      <x:c r="Q2772" t="str"/>
      <x:c r="R2772" t="str"/>
      <x:c r="S2772" t="str">
        <x:v>Pending genuine supplier/brand image</x:v>
      </x:c>
      <x:c r="T2772" s="54" t="n">
        <x:v>51.99</x:v>
      </x:c>
      <x:c r="U2772" s="47" t="n">
        <x:v>0.2</x:v>
      </x:c>
      <x:c r="V2772" s="54" t="n">
        <x:f>IF(ISNUMBER(T2772),T2772*(1+U2772),"")</x:f>
        <x:v>62.388</x:v>
      </x:c>
      <x:c r="W2772" s="47" t="n">
        <x:v>0.3</x:v>
      </x:c>
      <x:c r="X2772" s="54" t="n">
        <x:f>IF(ISNUMBER(V2772),V2772/(1-W2772),"")</x:f>
        <x:v>89.1257142857143</x:v>
      </x:c>
      <x:c r="Y2772" s="55" t="n">
        <x:f>IF(ISNUMBER(X2772),ROUNDUP(X2772,0),"")</x:f>
        <x:v>90</x:v>
      </x:c>
      <x:c r="Z2772" t="str">
        <x:v>Source match pending</x:v>
      </x:c>
      <x:c r="AA2772" t="str">
        <x:v>screencapture-www-activesportstrade-co-uk-per4m-nutrition-trade-2026-09-10-09_06_42.pdf / page-05</x:v>
      </x:c>
      <x:c r="AB2772" s="36" t="n">
        <x:f>IF(ISNUMBER(Y2772),ROUND(Y2772*0.9,2),"")</x:f>
        <x:v>81</x:v>
      </x:c>
      <x:c r="AC2772" s="36" t="n">
        <x:f>IF(ISNUMBER(AB2772),ROUND(AB2772-(AB2772*0.015+0.2)-V2772,2),"")</x:f>
        <x:v>17.2</x:v>
      </x:c>
      <x:c r="AD2772" s="36" t="n">
        <x:f>IF(ISNUMBER(Y2772),ROUND(Y2772*0.8,2),"")</x:f>
        <x:v>72</x:v>
      </x:c>
      <x:c r="AE2772" s="36" t="n">
        <x:f>IF(ISNUMBER(AD2772),ROUND(AD2772*0.015+0.2,2),"")</x:f>
        <x:v>1.28</x:v>
      </x:c>
      <x:c r="AF2772" s="36" t="n">
        <x:f>IF(ISNUMBER(AD2772),ROUND(AD2772-AE2772-V2772,2),"")</x:f>
        <x:v>8.33</x:v>
      </x:c>
      <x:c r="AG2772" t="str">
        <x:f>IF(NOT(ISNUMBER(T2772)),"PENDING",IF(AF2772&gt;0,"PASS","FAIL"))</x:f>
        <x:v>PASS</x:v>
      </x:c>
      <x:c r="AH2772" t="str">
        <x:f>IF(NOT(ISNUMBER(T2772)),"Needs supplier cost",IF(K2772&lt;&gt;"In stock","Supplier unavailable",IF(AG2772&lt;&gt;"PASS","BLOCK - GT loss risk","Commercially protected")))</x:f>
        <x:v>Commercially protected</x:v>
      </x:c>
      <x:c r="AI2772" t="str">
        <x:v>2026-09-10 Active Sports trade capture</x:v>
      </x:c>
      <x:c r="AJ2772" t="str">
        <x:v>Management-only economics. Stripe stress test uses 1.5% + £0.20 standard UK online-card fee; pallet/mix-and-match pricing ignored.</x:v>
      </x:c>
    </x:row>
    <x:row r="2773">
      <x:c r="A2773" t="str">
        <x:v>Active Sports Nutrition</x:v>
      </x:c>
      <x:c r="B2773" t="str">
        <x:v>Per4m Nutrition</x:v>
      </x:c>
      <x:c r="C2773" t="str">
        <x:v>Whey Protein</x:v>
      </x:c>
      <x:c r="D2773" t="str">
        <x:v>Supplements</x:v>
      </x:c>
      <x:c r="E2773" t="str">
        <x:v>Whey Protein</x:v>
      </x:c>
      <x:c r="F2773" t="str"/>
      <x:c r="G2773" t="str">
        <x:v>2kg</x:v>
      </x:c>
      <x:c r="H2773" t="str">
        <x:v>Chocolate Peanut Butter</x:v>
      </x:c>
      <x:c r="I2773" t="str"/>
      <x:c r="J2773" t="str">
        <x:v>Unit</x:v>
      </x:c>
      <x:c r="K2773" t="str">
        <x:v>In stock</x:v>
      </x:c>
      <x:c r="L2773" t="str">
        <x:v>2026-09-08</x:v>
      </x:c>
      <x:c r="M2773" t="str"/>
      <x:c r="N2773" t="str"/>
      <x:c r="O2773" t="str">
        <x:v>https://www.activesportstrade.co.uk/Whey-Protein-Supplements-Trade/per4m-nutrition-trade</x:v>
      </x:c>
      <x:c r="P2773" t="str">
        <x:v>NEW PRICE/NEW wording stripped from canonical identity.</x:v>
      </x:c>
      <x:c r="Q2773" t="str"/>
      <x:c r="R2773" t="str"/>
      <x:c r="S2773" t="str">
        <x:v>Pending genuine supplier/brand image</x:v>
      </x:c>
      <x:c r="T2773" s="54" t="n">
        <x:v>51.99</x:v>
      </x:c>
      <x:c r="U2773" s="47" t="n">
        <x:v>0.2</x:v>
      </x:c>
      <x:c r="V2773" s="54" t="n">
        <x:f>IF(ISNUMBER(T2773),T2773*(1+U2773),"")</x:f>
        <x:v>62.388</x:v>
      </x:c>
      <x:c r="W2773" s="47" t="n">
        <x:v>0.3</x:v>
      </x:c>
      <x:c r="X2773" s="54" t="n">
        <x:f>IF(ISNUMBER(V2773),V2773/(1-W2773),"")</x:f>
        <x:v>89.1257142857143</x:v>
      </x:c>
      <x:c r="Y2773" s="55" t="n">
        <x:f>IF(ISNUMBER(X2773),ROUNDUP(X2773,0),"")</x:f>
        <x:v>90</x:v>
      </x:c>
      <x:c r="Z2773" t="str">
        <x:v>Source match pending</x:v>
      </x:c>
      <x:c r="AA2773" t="str">
        <x:v>screencapture-www-activesportstrade-co-uk-per4m-nutrition-trade-2026-09-10-09_06_42.pdf / page-05</x:v>
      </x:c>
      <x:c r="AB2773" s="36" t="n">
        <x:f>IF(ISNUMBER(Y2773),ROUND(Y2773*0.9,2),"")</x:f>
        <x:v>81</x:v>
      </x:c>
      <x:c r="AC2773" s="36" t="n">
        <x:f>IF(ISNUMBER(AB2773),ROUND(AB2773-(AB2773*0.015+0.2)-V2773,2),"")</x:f>
        <x:v>17.2</x:v>
      </x:c>
      <x:c r="AD2773" s="36" t="n">
        <x:f>IF(ISNUMBER(Y2773),ROUND(Y2773*0.8,2),"")</x:f>
        <x:v>72</x:v>
      </x:c>
      <x:c r="AE2773" s="36" t="n">
        <x:f>IF(ISNUMBER(AD2773),ROUND(AD2773*0.015+0.2,2),"")</x:f>
        <x:v>1.28</x:v>
      </x:c>
      <x:c r="AF2773" s="36" t="n">
        <x:f>IF(ISNUMBER(AD2773),ROUND(AD2773-AE2773-V2773,2),"")</x:f>
        <x:v>8.33</x:v>
      </x:c>
      <x:c r="AG2773" t="str">
        <x:f>IF(NOT(ISNUMBER(T2773)),"PENDING",IF(AF2773&gt;0,"PASS","FAIL"))</x:f>
        <x:v>PASS</x:v>
      </x:c>
      <x:c r="AH2773" t="str">
        <x:f>IF(NOT(ISNUMBER(T2773)),"Needs supplier cost",IF(K2773&lt;&gt;"In stock","Supplier unavailable",IF(AG2773&lt;&gt;"PASS","BLOCK - GT loss risk","Commercially protected")))</x:f>
        <x:v>Commercially protected</x:v>
      </x:c>
      <x:c r="AI2773" t="str">
        <x:v>2026-09-10 Active Sports trade capture</x:v>
      </x:c>
      <x:c r="AJ2773" t="str">
        <x:v>Management-only economics. Stripe stress test uses 1.5% + £0.20 standard UK online-card fee; pallet/mix-and-match pricing ignored.</x:v>
      </x:c>
    </x:row>
    <x:row r="2774">
      <x:c r="A2774" t="str">
        <x:v>Active Sports Nutrition</x:v>
      </x:c>
      <x:c r="B2774" t="str">
        <x:v>Per4m Nutrition</x:v>
      </x:c>
      <x:c r="C2774" t="str">
        <x:v>Whey Protein</x:v>
      </x:c>
      <x:c r="D2774" t="str">
        <x:v>Supplements</x:v>
      </x:c>
      <x:c r="E2774" t="str">
        <x:v>Whey Protein</x:v>
      </x:c>
      <x:c r="F2774" t="str"/>
      <x:c r="G2774" t="str">
        <x:v>2kg</x:v>
      </x:c>
      <x:c r="H2774" t="str">
        <x:v>Chocolate Pistachio</x:v>
      </x:c>
      <x:c r="I2774" t="str"/>
      <x:c r="J2774" t="str">
        <x:v>Unit</x:v>
      </x:c>
      <x:c r="K2774" t="str">
        <x:v>In stock</x:v>
      </x:c>
      <x:c r="L2774" t="str">
        <x:v>2026-09-08</x:v>
      </x:c>
      <x:c r="M2774" t="str"/>
      <x:c r="N2774" t="str"/>
      <x:c r="O2774" t="str">
        <x:v>https://www.activesportstrade.co.uk/Whey-Protein-Supplements-Trade/per4m-nutrition-trade</x:v>
      </x:c>
      <x:c r="P2774" t="str">
        <x:v>NEW PRICE/NEW wording stripped from canonical identity.</x:v>
      </x:c>
      <x:c r="Q2774" t="str"/>
      <x:c r="R2774" t="str"/>
      <x:c r="S2774" t="str">
        <x:v>Pending genuine supplier/brand image</x:v>
      </x:c>
      <x:c r="T2774" s="54" t="n">
        <x:v>51.99</x:v>
      </x:c>
      <x:c r="U2774" s="47" t="n">
        <x:v>0.2</x:v>
      </x:c>
      <x:c r="V2774" s="54" t="n">
        <x:f>IF(ISNUMBER(T2774),T2774*(1+U2774),"")</x:f>
        <x:v>62.388</x:v>
      </x:c>
      <x:c r="W2774" s="47" t="n">
        <x:v>0.3</x:v>
      </x:c>
      <x:c r="X2774" s="54" t="n">
        <x:f>IF(ISNUMBER(V2774),V2774/(1-W2774),"")</x:f>
        <x:v>89.1257142857143</x:v>
      </x:c>
      <x:c r="Y2774" s="55" t="n">
        <x:f>IF(ISNUMBER(X2774),ROUNDUP(X2774,0),"")</x:f>
        <x:v>90</x:v>
      </x:c>
      <x:c r="Z2774" t="str">
        <x:v>Source match pending</x:v>
      </x:c>
      <x:c r="AA2774" t="str">
        <x:v>screencapture-www-activesportstrade-co-uk-per4m-nutrition-trade-2026-09-10-09_06_42.pdf / page-05</x:v>
      </x:c>
      <x:c r="AB2774" s="36" t="n">
        <x:f>IF(ISNUMBER(Y2774),ROUND(Y2774*0.9,2),"")</x:f>
        <x:v>81</x:v>
      </x:c>
      <x:c r="AC2774" s="36" t="n">
        <x:f>IF(ISNUMBER(AB2774),ROUND(AB2774-(AB2774*0.015+0.2)-V2774,2),"")</x:f>
        <x:v>17.2</x:v>
      </x:c>
      <x:c r="AD2774" s="36" t="n">
        <x:f>IF(ISNUMBER(Y2774),ROUND(Y2774*0.8,2),"")</x:f>
        <x:v>72</x:v>
      </x:c>
      <x:c r="AE2774" s="36" t="n">
        <x:f>IF(ISNUMBER(AD2774),ROUND(AD2774*0.015+0.2,2),"")</x:f>
        <x:v>1.28</x:v>
      </x:c>
      <x:c r="AF2774" s="36" t="n">
        <x:f>IF(ISNUMBER(AD2774),ROUND(AD2774-AE2774-V2774,2),"")</x:f>
        <x:v>8.33</x:v>
      </x:c>
      <x:c r="AG2774" t="str">
        <x:f>IF(NOT(ISNUMBER(T2774)),"PENDING",IF(AF2774&gt;0,"PASS","FAIL"))</x:f>
        <x:v>PASS</x:v>
      </x:c>
      <x:c r="AH2774" t="str">
        <x:f>IF(NOT(ISNUMBER(T2774)),"Needs supplier cost",IF(K2774&lt;&gt;"In stock","Supplier unavailable",IF(AG2774&lt;&gt;"PASS","BLOCK - GT loss risk","Commercially protected")))</x:f>
        <x:v>Commercially protected</x:v>
      </x:c>
      <x:c r="AI2774" t="str">
        <x:v>2026-09-10 Active Sports trade capture</x:v>
      </x:c>
      <x:c r="AJ2774" t="str">
        <x:v>Management-only economics. Stripe stress test uses 1.5% + £0.20 standard UK online-card fee; pallet/mix-and-match pricing ignored.</x:v>
      </x:c>
    </x:row>
    <x:row r="2775">
      <x:c r="A2775" t="str">
        <x:v>Active Sports Nutrition</x:v>
      </x:c>
      <x:c r="B2775" t="str">
        <x:v>Per4m Nutrition</x:v>
      </x:c>
      <x:c r="C2775" t="str">
        <x:v>Whey Protein</x:v>
      </x:c>
      <x:c r="D2775" t="str">
        <x:v>Supplements</x:v>
      </x:c>
      <x:c r="E2775" t="str">
        <x:v>Whey Protein</x:v>
      </x:c>
      <x:c r="F2775" t="str"/>
      <x:c r="G2775" t="str">
        <x:v>2kg</x:v>
      </x:c>
      <x:c r="H2775" t="str">
        <x:v>Chocotella</x:v>
      </x:c>
      <x:c r="I2775" t="str"/>
      <x:c r="J2775" t="str">
        <x:v>Unit</x:v>
      </x:c>
      <x:c r="K2775" t="str">
        <x:v>In stock</x:v>
      </x:c>
      <x:c r="L2775" t="str">
        <x:v>2026-09-08</x:v>
      </x:c>
      <x:c r="M2775" t="str"/>
      <x:c r="N2775" t="str"/>
      <x:c r="O2775" t="str">
        <x:v>https://www.activesportstrade.co.uk/Whey-Protein-Supplements-Trade/per4m-nutrition-trade</x:v>
      </x:c>
      <x:c r="P2775" t="str">
        <x:v>NEW PRICE/NEW wording stripped from canonical identity.</x:v>
      </x:c>
      <x:c r="Q2775" t="str"/>
      <x:c r="R2775" t="str"/>
      <x:c r="S2775" t="str">
        <x:v>Pending genuine supplier/brand image</x:v>
      </x:c>
      <x:c r="T2775" s="54" t="n">
        <x:v>51.99</x:v>
      </x:c>
      <x:c r="U2775" s="47" t="n">
        <x:v>0.2</x:v>
      </x:c>
      <x:c r="V2775" s="54" t="n">
        <x:f>IF(ISNUMBER(T2775),T2775*(1+U2775),"")</x:f>
        <x:v>62.388</x:v>
      </x:c>
      <x:c r="W2775" s="47" t="n">
        <x:v>0.3</x:v>
      </x:c>
      <x:c r="X2775" s="54" t="n">
        <x:f>IF(ISNUMBER(V2775),V2775/(1-W2775),"")</x:f>
        <x:v>89.1257142857143</x:v>
      </x:c>
      <x:c r="Y2775" s="55" t="n">
        <x:f>IF(ISNUMBER(X2775),ROUNDUP(X2775,0),"")</x:f>
        <x:v>90</x:v>
      </x:c>
      <x:c r="Z2775" t="str">
        <x:v>Source match pending</x:v>
      </x:c>
      <x:c r="AA2775" t="str">
        <x:v>screencapture-www-activesportstrade-co-uk-per4m-nutrition-trade-2026-09-10-09_06_42.pdf / page-05</x:v>
      </x:c>
      <x:c r="AB2775" s="36" t="n">
        <x:f>IF(ISNUMBER(Y2775),ROUND(Y2775*0.9,2),"")</x:f>
        <x:v>81</x:v>
      </x:c>
      <x:c r="AC2775" s="36" t="n">
        <x:f>IF(ISNUMBER(AB2775),ROUND(AB2775-(AB2775*0.015+0.2)-V2775,2),"")</x:f>
        <x:v>17.2</x:v>
      </x:c>
      <x:c r="AD2775" s="36" t="n">
        <x:f>IF(ISNUMBER(Y2775),ROUND(Y2775*0.8,2),"")</x:f>
        <x:v>72</x:v>
      </x:c>
      <x:c r="AE2775" s="36" t="n">
        <x:f>IF(ISNUMBER(AD2775),ROUND(AD2775*0.015+0.2,2),"")</x:f>
        <x:v>1.28</x:v>
      </x:c>
      <x:c r="AF2775" s="36" t="n">
        <x:f>IF(ISNUMBER(AD2775),ROUND(AD2775-AE2775-V2775,2),"")</x:f>
        <x:v>8.33</x:v>
      </x:c>
      <x:c r="AG2775" t="str">
        <x:f>IF(NOT(ISNUMBER(T2775)),"PENDING",IF(AF2775&gt;0,"PASS","FAIL"))</x:f>
        <x:v>PASS</x:v>
      </x:c>
      <x:c r="AH2775" t="str">
        <x:f>IF(NOT(ISNUMBER(T2775)),"Needs supplier cost",IF(K2775&lt;&gt;"In stock","Supplier unavailable",IF(AG2775&lt;&gt;"PASS","BLOCK - GT loss risk","Commercially protected")))</x:f>
        <x:v>Commercially protected</x:v>
      </x:c>
      <x:c r="AI2775" t="str">
        <x:v>2026-09-10 Active Sports trade capture</x:v>
      </x:c>
      <x:c r="AJ2775" t="str">
        <x:v>Management-only economics. Stripe stress test uses 1.5% + £0.20 standard UK online-card fee; pallet/mix-and-match pricing ignored.</x:v>
      </x:c>
    </x:row>
    <x:row r="2776">
      <x:c r="A2776" t="str">
        <x:v>Active Sports Nutrition</x:v>
      </x:c>
      <x:c r="B2776" t="str">
        <x:v>Per4m Nutrition</x:v>
      </x:c>
      <x:c r="C2776" t="str">
        <x:v>Whey Protein</x:v>
      </x:c>
      <x:c r="D2776" t="str">
        <x:v>Supplements</x:v>
      </x:c>
      <x:c r="E2776" t="str">
        <x:v>Whey Protein</x:v>
      </x:c>
      <x:c r="F2776" t="str"/>
      <x:c r="G2776" t="str">
        <x:v>2kg</x:v>
      </x:c>
      <x:c r="H2776" t="str">
        <x:v>Cinnamon Donut</x:v>
      </x:c>
      <x:c r="I2776" t="str"/>
      <x:c r="J2776" t="str">
        <x:v>Unit</x:v>
      </x:c>
      <x:c r="K2776" t="str">
        <x:v>In stock</x:v>
      </x:c>
      <x:c r="L2776" t="str">
        <x:v>2026-09-08</x:v>
      </x:c>
      <x:c r="M2776" t="str"/>
      <x:c r="N2776" t="str"/>
      <x:c r="O2776" t="str">
        <x:v>https://www.activesportstrade.co.uk/Whey-Protein-Supplements-Trade/per4m-nutrition-trade</x:v>
      </x:c>
      <x:c r="P2776" t="str">
        <x:v>NEW PRICE/NEW wording stripped from canonical identity.</x:v>
      </x:c>
      <x:c r="Q2776" t="str"/>
      <x:c r="R2776" t="str"/>
      <x:c r="S2776" t="str">
        <x:v>Pending genuine supplier/brand image</x:v>
      </x:c>
      <x:c r="T2776" s="54" t="n">
        <x:v>51.99</x:v>
      </x:c>
      <x:c r="U2776" s="47" t="n">
        <x:v>0.2</x:v>
      </x:c>
      <x:c r="V2776" s="54" t="n">
        <x:f>IF(ISNUMBER(T2776),T2776*(1+U2776),"")</x:f>
        <x:v>62.388</x:v>
      </x:c>
      <x:c r="W2776" s="47" t="n">
        <x:v>0.3</x:v>
      </x:c>
      <x:c r="X2776" s="54" t="n">
        <x:f>IF(ISNUMBER(V2776),V2776/(1-W2776),"")</x:f>
        <x:v>89.1257142857143</x:v>
      </x:c>
      <x:c r="Y2776" s="55" t="n">
        <x:f>IF(ISNUMBER(X2776),ROUNDUP(X2776,0),"")</x:f>
        <x:v>90</x:v>
      </x:c>
      <x:c r="Z2776" t="str">
        <x:v>Source match pending</x:v>
      </x:c>
      <x:c r="AA2776" t="str">
        <x:v>screencapture-www-activesportstrade-co-uk-per4m-nutrition-trade-2026-09-10-09_06_42.pdf / page-05</x:v>
      </x:c>
      <x:c r="AB2776" s="36" t="n">
        <x:f>IF(ISNUMBER(Y2776),ROUND(Y2776*0.9,2),"")</x:f>
        <x:v>81</x:v>
      </x:c>
      <x:c r="AC2776" s="36" t="n">
        <x:f>IF(ISNUMBER(AB2776),ROUND(AB2776-(AB2776*0.015+0.2)-V2776,2),"")</x:f>
        <x:v>17.2</x:v>
      </x:c>
      <x:c r="AD2776" s="36" t="n">
        <x:f>IF(ISNUMBER(Y2776),ROUND(Y2776*0.8,2),"")</x:f>
        <x:v>72</x:v>
      </x:c>
      <x:c r="AE2776" s="36" t="n">
        <x:f>IF(ISNUMBER(AD2776),ROUND(AD2776*0.015+0.2,2),"")</x:f>
        <x:v>1.28</x:v>
      </x:c>
      <x:c r="AF2776" s="36" t="n">
        <x:f>IF(ISNUMBER(AD2776),ROUND(AD2776-AE2776-V2776,2),"")</x:f>
        <x:v>8.33</x:v>
      </x:c>
      <x:c r="AG2776" t="str">
        <x:f>IF(NOT(ISNUMBER(T2776)),"PENDING",IF(AF2776&gt;0,"PASS","FAIL"))</x:f>
        <x:v>PASS</x:v>
      </x:c>
      <x:c r="AH2776" t="str">
        <x:f>IF(NOT(ISNUMBER(T2776)),"Needs supplier cost",IF(K2776&lt;&gt;"In stock","Supplier unavailable",IF(AG2776&lt;&gt;"PASS","BLOCK - GT loss risk","Commercially protected")))</x:f>
        <x:v>Commercially protected</x:v>
      </x:c>
      <x:c r="AI2776" t="str">
        <x:v>2026-09-10 Active Sports trade capture</x:v>
      </x:c>
      <x:c r="AJ2776" t="str">
        <x:v>Management-only economics. Stripe stress test uses 1.5% + £0.20 standard UK online-card fee; pallet/mix-and-match pricing ignored.</x:v>
      </x:c>
    </x:row>
    <x:row r="2777">
      <x:c r="A2777" t="str">
        <x:v>Active Sports Nutrition</x:v>
      </x:c>
      <x:c r="B2777" t="str">
        <x:v>Per4m Nutrition</x:v>
      </x:c>
      <x:c r="C2777" t="str">
        <x:v>Whey Protein</x:v>
      </x:c>
      <x:c r="D2777" t="str">
        <x:v>Supplements</x:v>
      </x:c>
      <x:c r="E2777" t="str">
        <x:v>Whey Protein</x:v>
      </x:c>
      <x:c r="F2777" t="str"/>
      <x:c r="G2777" t="str">
        <x:v>2kg</x:v>
      </x:c>
      <x:c r="H2777" t="str">
        <x:v>Coconut Creme</x:v>
      </x:c>
      <x:c r="I2777" t="str"/>
      <x:c r="J2777" t="str">
        <x:v>Unit</x:v>
      </x:c>
      <x:c r="K2777" t="str">
        <x:v>In stock</x:v>
      </x:c>
      <x:c r="L2777" t="str">
        <x:v>2026-09-08</x:v>
      </x:c>
      <x:c r="M2777" t="str"/>
      <x:c r="N2777" t="str"/>
      <x:c r="O2777" t="str">
        <x:v>https://www.activesportstrade.co.uk/Whey-Protein-Supplements-Trade/per4m-nutrition-trade</x:v>
      </x:c>
      <x:c r="P2777" t="str">
        <x:v>NEW PRICE/NEW wording stripped from canonical identity.</x:v>
      </x:c>
      <x:c r="Q2777" t="str"/>
      <x:c r="R2777" t="str"/>
      <x:c r="S2777" t="str">
        <x:v>Pending genuine supplier/brand image</x:v>
      </x:c>
      <x:c r="T2777" s="54" t="n">
        <x:v>51.99</x:v>
      </x:c>
      <x:c r="U2777" s="47" t="n">
        <x:v>0.2</x:v>
      </x:c>
      <x:c r="V2777" s="54" t="n">
        <x:f>IF(ISNUMBER(T2777),T2777*(1+U2777),"")</x:f>
        <x:v>62.388</x:v>
      </x:c>
      <x:c r="W2777" s="47" t="n">
        <x:v>0.3</x:v>
      </x:c>
      <x:c r="X2777" s="54" t="n">
        <x:f>IF(ISNUMBER(V2777),V2777/(1-W2777),"")</x:f>
        <x:v>89.1257142857143</x:v>
      </x:c>
      <x:c r="Y2777" s="55" t="n">
        <x:f>IF(ISNUMBER(X2777),ROUNDUP(X2777,0),"")</x:f>
        <x:v>90</x:v>
      </x:c>
      <x:c r="Z2777" t="str">
        <x:v>Source match pending</x:v>
      </x:c>
      <x:c r="AA2777" t="str">
        <x:v>screencapture-www-activesportstrade-co-uk-per4m-nutrition-trade-2026-09-10-09_06_42.pdf / page-05</x:v>
      </x:c>
      <x:c r="AB2777" s="36" t="n">
        <x:f>IF(ISNUMBER(Y2777),ROUND(Y2777*0.9,2),"")</x:f>
        <x:v>81</x:v>
      </x:c>
      <x:c r="AC2777" s="36" t="n">
        <x:f>IF(ISNUMBER(AB2777),ROUND(AB2777-(AB2777*0.015+0.2)-V2777,2),"")</x:f>
        <x:v>17.2</x:v>
      </x:c>
      <x:c r="AD2777" s="36" t="n">
        <x:f>IF(ISNUMBER(Y2777),ROUND(Y2777*0.8,2),"")</x:f>
        <x:v>72</x:v>
      </x:c>
      <x:c r="AE2777" s="36" t="n">
        <x:f>IF(ISNUMBER(AD2777),ROUND(AD2777*0.015+0.2,2),"")</x:f>
        <x:v>1.28</x:v>
      </x:c>
      <x:c r="AF2777" s="36" t="n">
        <x:f>IF(ISNUMBER(AD2777),ROUND(AD2777-AE2777-V2777,2),"")</x:f>
        <x:v>8.33</x:v>
      </x:c>
      <x:c r="AG2777" t="str">
        <x:f>IF(NOT(ISNUMBER(T2777)),"PENDING",IF(AF2777&gt;0,"PASS","FAIL"))</x:f>
        <x:v>PASS</x:v>
      </x:c>
      <x:c r="AH2777" t="str">
        <x:f>IF(NOT(ISNUMBER(T2777)),"Needs supplier cost",IF(K2777&lt;&gt;"In stock","Supplier unavailable",IF(AG2777&lt;&gt;"PASS","BLOCK - GT loss risk","Commercially protected")))</x:f>
        <x:v>Commercially protected</x:v>
      </x:c>
      <x:c r="AI2777" t="str">
        <x:v>2026-09-10 Active Sports trade capture</x:v>
      </x:c>
      <x:c r="AJ2777" t="str">
        <x:v>Management-only economics. Stripe stress test uses 1.5% + £0.20 standard UK online-card fee; pallet/mix-and-match pricing ignored.</x:v>
      </x:c>
    </x:row>
    <x:row r="2778">
      <x:c r="A2778" t="str">
        <x:v>Active Sports Nutrition</x:v>
      </x:c>
      <x:c r="B2778" t="str">
        <x:v>Per4m Nutrition</x:v>
      </x:c>
      <x:c r="C2778" t="str">
        <x:v>Whey Protein</x:v>
      </x:c>
      <x:c r="D2778" t="str">
        <x:v>Supplements</x:v>
      </x:c>
      <x:c r="E2778" t="str">
        <x:v>Whey Protein</x:v>
      </x:c>
      <x:c r="F2778" t="str"/>
      <x:c r="G2778" t="str">
        <x:v>2kg</x:v>
      </x:c>
      <x:c r="H2778" t="str">
        <x:v>Cookie Dough</x:v>
      </x:c>
      <x:c r="I2778" t="str"/>
      <x:c r="J2778" t="str">
        <x:v>Unit</x:v>
      </x:c>
      <x:c r="K2778" t="str">
        <x:v>In stock</x:v>
      </x:c>
      <x:c r="L2778" t="str">
        <x:v>2026-09-08</x:v>
      </x:c>
      <x:c r="M2778" t="str"/>
      <x:c r="N2778" t="str"/>
      <x:c r="O2778" t="str">
        <x:v>https://www.activesportstrade.co.uk/Whey-Protein-Supplements-Trade/per4m-nutrition-trade</x:v>
      </x:c>
      <x:c r="P2778" t="str">
        <x:v>NEW PRICE/NEW wording stripped from canonical identity.</x:v>
      </x:c>
      <x:c r="Q2778" t="str"/>
      <x:c r="R2778" t="str"/>
      <x:c r="S2778" t="str">
        <x:v>Pending genuine supplier/brand image</x:v>
      </x:c>
      <x:c r="T2778" s="54" t="n">
        <x:v>51.99</x:v>
      </x:c>
      <x:c r="U2778" s="47" t="n">
        <x:v>0.2</x:v>
      </x:c>
      <x:c r="V2778" s="54" t="n">
        <x:f>IF(ISNUMBER(T2778),T2778*(1+U2778),"")</x:f>
        <x:v>62.388</x:v>
      </x:c>
      <x:c r="W2778" s="47" t="n">
        <x:v>0.3</x:v>
      </x:c>
      <x:c r="X2778" s="54" t="n">
        <x:f>IF(ISNUMBER(V2778),V2778/(1-W2778),"")</x:f>
        <x:v>89.1257142857143</x:v>
      </x:c>
      <x:c r="Y2778" s="55" t="n">
        <x:f>IF(ISNUMBER(X2778),ROUNDUP(X2778,0),"")</x:f>
        <x:v>90</x:v>
      </x:c>
      <x:c r="Z2778" t="str">
        <x:v>Source match pending</x:v>
      </x:c>
      <x:c r="AA2778" t="str">
        <x:v>screencapture-www-activesportstrade-co-uk-per4m-nutrition-trade-2026-09-10-09_06_42.pdf / page-05</x:v>
      </x:c>
      <x:c r="AB2778" s="36" t="n">
        <x:f>IF(ISNUMBER(Y2778),ROUND(Y2778*0.9,2),"")</x:f>
        <x:v>81</x:v>
      </x:c>
      <x:c r="AC2778" s="36" t="n">
        <x:f>IF(ISNUMBER(AB2778),ROUND(AB2778-(AB2778*0.015+0.2)-V2778,2),"")</x:f>
        <x:v>17.2</x:v>
      </x:c>
      <x:c r="AD2778" s="36" t="n">
        <x:f>IF(ISNUMBER(Y2778),ROUND(Y2778*0.8,2),"")</x:f>
        <x:v>72</x:v>
      </x:c>
      <x:c r="AE2778" s="36" t="n">
        <x:f>IF(ISNUMBER(AD2778),ROUND(AD2778*0.015+0.2,2),"")</x:f>
        <x:v>1.28</x:v>
      </x:c>
      <x:c r="AF2778" s="36" t="n">
        <x:f>IF(ISNUMBER(AD2778),ROUND(AD2778-AE2778-V2778,2),"")</x:f>
        <x:v>8.33</x:v>
      </x:c>
      <x:c r="AG2778" t="str">
        <x:f>IF(NOT(ISNUMBER(T2778)),"PENDING",IF(AF2778&gt;0,"PASS","FAIL"))</x:f>
        <x:v>PASS</x:v>
      </x:c>
      <x:c r="AH2778" t="str">
        <x:f>IF(NOT(ISNUMBER(T2778)),"Needs supplier cost",IF(K2778&lt;&gt;"In stock","Supplier unavailable",IF(AG2778&lt;&gt;"PASS","BLOCK - GT loss risk","Commercially protected")))</x:f>
        <x:v>Commercially protected</x:v>
      </x:c>
      <x:c r="AI2778" t="str">
        <x:v>2026-09-10 Active Sports trade capture</x:v>
      </x:c>
      <x:c r="AJ2778" t="str">
        <x:v>Management-only economics. Stripe stress test uses 1.5% + £0.20 standard UK online-card fee; pallet/mix-and-match pricing ignored.</x:v>
      </x:c>
    </x:row>
    <x:row r="2779">
      <x:c r="A2779" t="str">
        <x:v>Active Sports Nutrition</x:v>
      </x:c>
      <x:c r="B2779" t="str">
        <x:v>Per4m Nutrition</x:v>
      </x:c>
      <x:c r="C2779" t="str">
        <x:v>Whey Protein</x:v>
      </x:c>
      <x:c r="D2779" t="str">
        <x:v>Supplements</x:v>
      </x:c>
      <x:c r="E2779" t="str">
        <x:v>Whey Protein</x:v>
      </x:c>
      <x:c r="F2779" t="str"/>
      <x:c r="G2779" t="str">
        <x:v>2kg</x:v>
      </x:c>
      <x:c r="H2779" t="str">
        <x:v>Cookies &amp; Cream</x:v>
      </x:c>
      <x:c r="I2779" t="str"/>
      <x:c r="J2779" t="str">
        <x:v>Unit</x:v>
      </x:c>
      <x:c r="K2779" t="str">
        <x:v>In stock</x:v>
      </x:c>
      <x:c r="L2779" t="str">
        <x:v>2026-09-08</x:v>
      </x:c>
      <x:c r="M2779" t="str"/>
      <x:c r="N2779" t="str"/>
      <x:c r="O2779" t="str">
        <x:v>https://www.activesportstrade.co.uk/Whey-Protein-Supplements-Trade/per4m-nutrition-trade</x:v>
      </x:c>
      <x:c r="P2779" t="str">
        <x:v>NEW PRICE/NEW wording stripped from canonical identity.</x:v>
      </x:c>
      <x:c r="Q2779" t="str"/>
      <x:c r="R2779" t="str"/>
      <x:c r="S2779" t="str">
        <x:v>Pending genuine supplier/brand image</x:v>
      </x:c>
      <x:c r="T2779" s="54" t="n">
        <x:v>51.99</x:v>
      </x:c>
      <x:c r="U2779" s="47" t="n">
        <x:v>0.2</x:v>
      </x:c>
      <x:c r="V2779" s="54" t="n">
        <x:f>IF(ISNUMBER(T2779),T2779*(1+U2779),"")</x:f>
        <x:v>62.388</x:v>
      </x:c>
      <x:c r="W2779" s="47" t="n">
        <x:v>0.3</x:v>
      </x:c>
      <x:c r="X2779" s="54" t="n">
        <x:f>IF(ISNUMBER(V2779),V2779/(1-W2779),"")</x:f>
        <x:v>89.1257142857143</x:v>
      </x:c>
      <x:c r="Y2779" s="55" t="n">
        <x:f>IF(ISNUMBER(X2779),ROUNDUP(X2779,0),"")</x:f>
        <x:v>90</x:v>
      </x:c>
      <x:c r="Z2779" t="str">
        <x:v>Source match pending</x:v>
      </x:c>
      <x:c r="AA2779" t="str">
        <x:v>screencapture-www-activesportstrade-co-uk-per4m-nutrition-trade-2026-09-10-09_06_42.pdf / page-05</x:v>
      </x:c>
      <x:c r="AB2779" s="36" t="n">
        <x:f>IF(ISNUMBER(Y2779),ROUND(Y2779*0.9,2),"")</x:f>
        <x:v>81</x:v>
      </x:c>
      <x:c r="AC2779" s="36" t="n">
        <x:f>IF(ISNUMBER(AB2779),ROUND(AB2779-(AB2779*0.015+0.2)-V2779,2),"")</x:f>
        <x:v>17.2</x:v>
      </x:c>
      <x:c r="AD2779" s="36" t="n">
        <x:f>IF(ISNUMBER(Y2779),ROUND(Y2779*0.8,2),"")</x:f>
        <x:v>72</x:v>
      </x:c>
      <x:c r="AE2779" s="36" t="n">
        <x:f>IF(ISNUMBER(AD2779),ROUND(AD2779*0.015+0.2,2),"")</x:f>
        <x:v>1.28</x:v>
      </x:c>
      <x:c r="AF2779" s="36" t="n">
        <x:f>IF(ISNUMBER(AD2779),ROUND(AD2779-AE2779-V2779,2),"")</x:f>
        <x:v>8.33</x:v>
      </x:c>
      <x:c r="AG2779" t="str">
        <x:f>IF(NOT(ISNUMBER(T2779)),"PENDING",IF(AF2779&gt;0,"PASS","FAIL"))</x:f>
        <x:v>PASS</x:v>
      </x:c>
      <x:c r="AH2779" t="str">
        <x:f>IF(NOT(ISNUMBER(T2779)),"Needs supplier cost",IF(K2779&lt;&gt;"In stock","Supplier unavailable",IF(AG2779&lt;&gt;"PASS","BLOCK - GT loss risk","Commercially protected")))</x:f>
        <x:v>Commercially protected</x:v>
      </x:c>
      <x:c r="AI2779" t="str">
        <x:v>2026-09-10 Active Sports trade capture</x:v>
      </x:c>
      <x:c r="AJ2779" t="str">
        <x:v>Management-only economics. Stripe stress test uses 1.5% + £0.20 standard UK online-card fee; pallet/mix-and-match pricing ignored.</x:v>
      </x:c>
    </x:row>
    <x:row r="2780">
      <x:c r="A2780" t="str">
        <x:v>Active Sports Nutrition</x:v>
      </x:c>
      <x:c r="B2780" t="str">
        <x:v>Per4m Nutrition</x:v>
      </x:c>
      <x:c r="C2780" t="str">
        <x:v>Whey Protein</x:v>
      </x:c>
      <x:c r="D2780" t="str">
        <x:v>Supplements</x:v>
      </x:c>
      <x:c r="E2780" t="str">
        <x:v>Whey Protein</x:v>
      </x:c>
      <x:c r="F2780" t="str"/>
      <x:c r="G2780" t="str">
        <x:v>2kg</x:v>
      </x:c>
      <x:c r="H2780" t="str">
        <x:v>Double Chocolate</x:v>
      </x:c>
      <x:c r="I2780" t="str"/>
      <x:c r="J2780" t="str">
        <x:v>Unit</x:v>
      </x:c>
      <x:c r="K2780" t="str">
        <x:v>In stock</x:v>
      </x:c>
      <x:c r="L2780" t="str">
        <x:v>2026-09-08</x:v>
      </x:c>
      <x:c r="M2780" t="str"/>
      <x:c r="N2780" t="str"/>
      <x:c r="O2780" t="str">
        <x:v>https://www.activesportstrade.co.uk/Whey-Protein-Supplements-Trade/per4m-nutrition-trade</x:v>
      </x:c>
      <x:c r="P2780" t="str">
        <x:v>NEW PRICE/NEW wording stripped from canonical identity.</x:v>
      </x:c>
      <x:c r="Q2780" t="str"/>
      <x:c r="R2780" t="str"/>
      <x:c r="S2780" t="str">
        <x:v>Pending genuine supplier/brand image</x:v>
      </x:c>
      <x:c r="T2780" s="54" t="n">
        <x:v>51.99</x:v>
      </x:c>
      <x:c r="U2780" s="47" t="n">
        <x:v>0.2</x:v>
      </x:c>
      <x:c r="V2780" s="54" t="n">
        <x:f>IF(ISNUMBER(T2780),T2780*(1+U2780),"")</x:f>
        <x:v>62.388</x:v>
      </x:c>
      <x:c r="W2780" s="47" t="n">
        <x:v>0.3</x:v>
      </x:c>
      <x:c r="X2780" s="54" t="n">
        <x:f>IF(ISNUMBER(V2780),V2780/(1-W2780),"")</x:f>
        <x:v>89.1257142857143</x:v>
      </x:c>
      <x:c r="Y2780" s="55" t="n">
        <x:f>IF(ISNUMBER(X2780),ROUNDUP(X2780,0),"")</x:f>
        <x:v>90</x:v>
      </x:c>
      <x:c r="Z2780" t="str">
        <x:v>Source match pending</x:v>
      </x:c>
      <x:c r="AA2780" t="str">
        <x:v>screencapture-www-activesportstrade-co-uk-per4m-nutrition-trade-2026-09-10-09_06_42.pdf / page-05</x:v>
      </x:c>
      <x:c r="AB2780" s="36" t="n">
        <x:f>IF(ISNUMBER(Y2780),ROUND(Y2780*0.9,2),"")</x:f>
        <x:v>81</x:v>
      </x:c>
      <x:c r="AC2780" s="36" t="n">
        <x:f>IF(ISNUMBER(AB2780),ROUND(AB2780-(AB2780*0.015+0.2)-V2780,2),"")</x:f>
        <x:v>17.2</x:v>
      </x:c>
      <x:c r="AD2780" s="36" t="n">
        <x:f>IF(ISNUMBER(Y2780),ROUND(Y2780*0.8,2),"")</x:f>
        <x:v>72</x:v>
      </x:c>
      <x:c r="AE2780" s="36" t="n">
        <x:f>IF(ISNUMBER(AD2780),ROUND(AD2780*0.015+0.2,2),"")</x:f>
        <x:v>1.28</x:v>
      </x:c>
      <x:c r="AF2780" s="36" t="n">
        <x:f>IF(ISNUMBER(AD2780),ROUND(AD2780-AE2780-V2780,2),"")</x:f>
        <x:v>8.33</x:v>
      </x:c>
      <x:c r="AG2780" t="str">
        <x:f>IF(NOT(ISNUMBER(T2780)),"PENDING",IF(AF2780&gt;0,"PASS","FAIL"))</x:f>
        <x:v>PASS</x:v>
      </x:c>
      <x:c r="AH2780" t="str">
        <x:f>IF(NOT(ISNUMBER(T2780)),"Needs supplier cost",IF(K2780&lt;&gt;"In stock","Supplier unavailable",IF(AG2780&lt;&gt;"PASS","BLOCK - GT loss risk","Commercially protected")))</x:f>
        <x:v>Commercially protected</x:v>
      </x:c>
      <x:c r="AI2780" t="str">
        <x:v>2026-09-10 Active Sports trade capture</x:v>
      </x:c>
      <x:c r="AJ2780" t="str">
        <x:v>Management-only economics. Stripe stress test uses 1.5% + £0.20 standard UK online-card fee; pallet/mix-and-match pricing ignored.</x:v>
      </x:c>
    </x:row>
    <x:row r="2781">
      <x:c r="A2781" t="str">
        <x:v>Active Sports Nutrition</x:v>
      </x:c>
      <x:c r="B2781" t="str">
        <x:v>Per4m Nutrition</x:v>
      </x:c>
      <x:c r="C2781" t="str">
        <x:v>Whey Protein</x:v>
      </x:c>
      <x:c r="D2781" t="str">
        <x:v>Supplements</x:v>
      </x:c>
      <x:c r="E2781" t="str">
        <x:v>Whey Protein</x:v>
      </x:c>
      <x:c r="F2781" t="str"/>
      <x:c r="G2781" t="str">
        <x:v>2kg</x:v>
      </x:c>
      <x:c r="H2781" t="str">
        <x:v>Dubai Chocolate</x:v>
      </x:c>
      <x:c r="I2781" t="str"/>
      <x:c r="J2781" t="str">
        <x:v>Unit</x:v>
      </x:c>
      <x:c r="K2781" t="str">
        <x:v>In stock</x:v>
      </x:c>
      <x:c r="L2781" t="str">
        <x:v>2026-09-08</x:v>
      </x:c>
      <x:c r="M2781" t="str"/>
      <x:c r="N2781" t="str"/>
      <x:c r="O2781" t="str">
        <x:v>https://www.activesportstrade.co.uk/Whey-Protein-Supplements-Trade/per4m-nutrition-trade</x:v>
      </x:c>
      <x:c r="P2781" t="str">
        <x:v>NEW PRICE/NEW wording stripped from canonical identity.</x:v>
      </x:c>
      <x:c r="Q2781" t="str"/>
      <x:c r="R2781" t="str"/>
      <x:c r="S2781" t="str">
        <x:v>Pending genuine supplier/brand image</x:v>
      </x:c>
      <x:c r="T2781" s="54" t="n">
        <x:v>51.99</x:v>
      </x:c>
      <x:c r="U2781" s="47" t="n">
        <x:v>0.2</x:v>
      </x:c>
      <x:c r="V2781" s="54" t="n">
        <x:f>IF(ISNUMBER(T2781),T2781*(1+U2781),"")</x:f>
        <x:v>62.388</x:v>
      </x:c>
      <x:c r="W2781" s="47" t="n">
        <x:v>0.3</x:v>
      </x:c>
      <x:c r="X2781" s="54" t="n">
        <x:f>IF(ISNUMBER(V2781),V2781/(1-W2781),"")</x:f>
        <x:v>89.1257142857143</x:v>
      </x:c>
      <x:c r="Y2781" s="55" t="n">
        <x:f>IF(ISNUMBER(X2781),ROUNDUP(X2781,0),"")</x:f>
        <x:v>90</x:v>
      </x:c>
      <x:c r="Z2781" t="str">
        <x:v>Source match pending</x:v>
      </x:c>
      <x:c r="AA2781" t="str">
        <x:v>screencapture-www-activesportstrade-co-uk-per4m-nutrition-trade-2026-09-10-09_06_42.pdf / page-05</x:v>
      </x:c>
      <x:c r="AB2781" s="36" t="n">
        <x:f>IF(ISNUMBER(Y2781),ROUND(Y2781*0.9,2),"")</x:f>
        <x:v>81</x:v>
      </x:c>
      <x:c r="AC2781" s="36" t="n">
        <x:f>IF(ISNUMBER(AB2781),ROUND(AB2781-(AB2781*0.015+0.2)-V2781,2),"")</x:f>
        <x:v>17.2</x:v>
      </x:c>
      <x:c r="AD2781" s="36" t="n">
        <x:f>IF(ISNUMBER(Y2781),ROUND(Y2781*0.8,2),"")</x:f>
        <x:v>72</x:v>
      </x:c>
      <x:c r="AE2781" s="36" t="n">
        <x:f>IF(ISNUMBER(AD2781),ROUND(AD2781*0.015+0.2,2),"")</x:f>
        <x:v>1.28</x:v>
      </x:c>
      <x:c r="AF2781" s="36" t="n">
        <x:f>IF(ISNUMBER(AD2781),ROUND(AD2781-AE2781-V2781,2),"")</x:f>
        <x:v>8.33</x:v>
      </x:c>
      <x:c r="AG2781" t="str">
        <x:f>IF(NOT(ISNUMBER(T2781)),"PENDING",IF(AF2781&gt;0,"PASS","FAIL"))</x:f>
        <x:v>PASS</x:v>
      </x:c>
      <x:c r="AH2781" t="str">
        <x:f>IF(NOT(ISNUMBER(T2781)),"Needs supplier cost",IF(K2781&lt;&gt;"In stock","Supplier unavailable",IF(AG2781&lt;&gt;"PASS","BLOCK - GT loss risk","Commercially protected")))</x:f>
        <x:v>Commercially protected</x:v>
      </x:c>
      <x:c r="AI2781" t="str">
        <x:v>2026-09-10 Active Sports trade capture</x:v>
      </x:c>
      <x:c r="AJ2781" t="str">
        <x:v>Management-only economics. Stripe stress test uses 1.5% + £0.20 standard UK online-card fee; pallet/mix-and-match pricing ignored.</x:v>
      </x:c>
    </x:row>
    <x:row r="2782">
      <x:c r="A2782" t="str">
        <x:v>Active Sports Nutrition</x:v>
      </x:c>
      <x:c r="B2782" t="str">
        <x:v>Per4m Nutrition</x:v>
      </x:c>
      <x:c r="C2782" t="str">
        <x:v>Whey Protein</x:v>
      </x:c>
      <x:c r="D2782" t="str">
        <x:v>Supplements</x:v>
      </x:c>
      <x:c r="E2782" t="str">
        <x:v>Whey Protein</x:v>
      </x:c>
      <x:c r="F2782" t="str"/>
      <x:c r="G2782" t="str">
        <x:v>2kg</x:v>
      </x:c>
      <x:c r="H2782" t="str">
        <x:v>Fluffy Marshmallow</x:v>
      </x:c>
      <x:c r="I2782" t="str"/>
      <x:c r="J2782" t="str">
        <x:v>Unit</x:v>
      </x:c>
      <x:c r="K2782" t="str">
        <x:v>In stock</x:v>
      </x:c>
      <x:c r="L2782" t="str">
        <x:v>2026-09-08</x:v>
      </x:c>
      <x:c r="M2782" t="str"/>
      <x:c r="N2782" t="str"/>
      <x:c r="O2782" t="str">
        <x:v>https://www.activesportstrade.co.uk/Whey-Protein-Supplements-Trade/per4m-nutrition-trade</x:v>
      </x:c>
      <x:c r="P2782" t="str">
        <x:v>NEW PRICE/NEW wording stripped from canonical identity.</x:v>
      </x:c>
      <x:c r="Q2782" t="str"/>
      <x:c r="R2782" t="str"/>
      <x:c r="S2782" t="str">
        <x:v>Pending genuine supplier/brand image</x:v>
      </x:c>
      <x:c r="T2782" s="54" t="n">
        <x:v>51.99</x:v>
      </x:c>
      <x:c r="U2782" s="47" t="n">
        <x:v>0.2</x:v>
      </x:c>
      <x:c r="V2782" s="54" t="n">
        <x:f>IF(ISNUMBER(T2782),T2782*(1+U2782),"")</x:f>
        <x:v>62.388</x:v>
      </x:c>
      <x:c r="W2782" s="47" t="n">
        <x:v>0.3</x:v>
      </x:c>
      <x:c r="X2782" s="54" t="n">
        <x:f>IF(ISNUMBER(V2782),V2782/(1-W2782),"")</x:f>
        <x:v>89.1257142857143</x:v>
      </x:c>
      <x:c r="Y2782" s="55" t="n">
        <x:f>IF(ISNUMBER(X2782),ROUNDUP(X2782,0),"")</x:f>
        <x:v>90</x:v>
      </x:c>
      <x:c r="Z2782" t="str">
        <x:v>Source match pending</x:v>
      </x:c>
      <x:c r="AA2782" t="str">
        <x:v>screencapture-www-activesportstrade-co-uk-per4m-nutrition-trade-2026-09-10-09_06_42.pdf / page-05</x:v>
      </x:c>
      <x:c r="AB2782" s="36" t="n">
        <x:f>IF(ISNUMBER(Y2782),ROUND(Y2782*0.9,2),"")</x:f>
        <x:v>81</x:v>
      </x:c>
      <x:c r="AC2782" s="36" t="n">
        <x:f>IF(ISNUMBER(AB2782),ROUND(AB2782-(AB2782*0.015+0.2)-V2782,2),"")</x:f>
        <x:v>17.2</x:v>
      </x:c>
      <x:c r="AD2782" s="36" t="n">
        <x:f>IF(ISNUMBER(Y2782),ROUND(Y2782*0.8,2),"")</x:f>
        <x:v>72</x:v>
      </x:c>
      <x:c r="AE2782" s="36" t="n">
        <x:f>IF(ISNUMBER(AD2782),ROUND(AD2782*0.015+0.2,2),"")</x:f>
        <x:v>1.28</x:v>
      </x:c>
      <x:c r="AF2782" s="36" t="n">
        <x:f>IF(ISNUMBER(AD2782),ROUND(AD2782-AE2782-V2782,2),"")</x:f>
        <x:v>8.33</x:v>
      </x:c>
      <x:c r="AG2782" t="str">
        <x:f>IF(NOT(ISNUMBER(T2782)),"PENDING",IF(AF2782&gt;0,"PASS","FAIL"))</x:f>
        <x:v>PASS</x:v>
      </x:c>
      <x:c r="AH2782" t="str">
        <x:f>IF(NOT(ISNUMBER(T2782)),"Needs supplier cost",IF(K2782&lt;&gt;"In stock","Supplier unavailable",IF(AG2782&lt;&gt;"PASS","BLOCK - GT loss risk","Commercially protected")))</x:f>
        <x:v>Commercially protected</x:v>
      </x:c>
      <x:c r="AI2782" t="str">
        <x:v>2026-09-10 Active Sports trade capture</x:v>
      </x:c>
      <x:c r="AJ2782" t="str">
        <x:v>Management-only economics. Stripe stress test uses 1.5% + £0.20 standard UK online-card fee; pallet/mix-and-match pricing ignored.</x:v>
      </x:c>
    </x:row>
    <x:row r="2783">
      <x:c r="A2783" t="str">
        <x:v>Active Sports Nutrition</x:v>
      </x:c>
      <x:c r="B2783" t="str">
        <x:v>Per4m Nutrition</x:v>
      </x:c>
      <x:c r="C2783" t="str">
        <x:v>Whey Protein</x:v>
      </x:c>
      <x:c r="D2783" t="str">
        <x:v>Supplements</x:v>
      </x:c>
      <x:c r="E2783" t="str">
        <x:v>Whey Protein</x:v>
      </x:c>
      <x:c r="F2783" t="str"/>
      <x:c r="G2783" t="str">
        <x:v>2kg</x:v>
      </x:c>
      <x:c r="H2783" t="str">
        <x:v>French Toast Maple Swirl</x:v>
      </x:c>
      <x:c r="I2783" t="str"/>
      <x:c r="J2783" t="str">
        <x:v>Unit</x:v>
      </x:c>
      <x:c r="K2783" t="str">
        <x:v>In stock</x:v>
      </x:c>
      <x:c r="L2783" t="str">
        <x:v>2026-09-08</x:v>
      </x:c>
      <x:c r="M2783" t="str"/>
      <x:c r="N2783" t="str"/>
      <x:c r="O2783" t="str">
        <x:v>https://www.activesportstrade.co.uk/Whey-Protein-Supplements-Trade/per4m-nutrition-trade</x:v>
      </x:c>
      <x:c r="P2783" t="str">
        <x:v>NEW PRICE/NEW wording stripped from canonical identity.</x:v>
      </x:c>
      <x:c r="Q2783" t="str"/>
      <x:c r="R2783" t="str"/>
      <x:c r="S2783" t="str">
        <x:v>Pending genuine supplier/brand image</x:v>
      </x:c>
      <x:c r="T2783" s="54" t="n">
        <x:v>51.99</x:v>
      </x:c>
      <x:c r="U2783" s="47" t="n">
        <x:v>0.2</x:v>
      </x:c>
      <x:c r="V2783" s="54" t="n">
        <x:f>IF(ISNUMBER(T2783),T2783*(1+U2783),"")</x:f>
        <x:v>62.388</x:v>
      </x:c>
      <x:c r="W2783" s="47" t="n">
        <x:v>0.3</x:v>
      </x:c>
      <x:c r="X2783" s="54" t="n">
        <x:f>IF(ISNUMBER(V2783),V2783/(1-W2783),"")</x:f>
        <x:v>89.1257142857143</x:v>
      </x:c>
      <x:c r="Y2783" s="55" t="n">
        <x:f>IF(ISNUMBER(X2783),ROUNDUP(X2783,0),"")</x:f>
        <x:v>90</x:v>
      </x:c>
      <x:c r="Z2783" t="str">
        <x:v>Source match pending</x:v>
      </x:c>
      <x:c r="AA2783" t="str">
        <x:v>screencapture-www-activesportstrade-co-uk-per4m-nutrition-trade-2026-09-10-09_06_42.pdf / page-05</x:v>
      </x:c>
      <x:c r="AB2783" s="36" t="n">
        <x:f>IF(ISNUMBER(Y2783),ROUND(Y2783*0.9,2),"")</x:f>
        <x:v>81</x:v>
      </x:c>
      <x:c r="AC2783" s="36" t="n">
        <x:f>IF(ISNUMBER(AB2783),ROUND(AB2783-(AB2783*0.015+0.2)-V2783,2),"")</x:f>
        <x:v>17.2</x:v>
      </x:c>
      <x:c r="AD2783" s="36" t="n">
        <x:f>IF(ISNUMBER(Y2783),ROUND(Y2783*0.8,2),"")</x:f>
        <x:v>72</x:v>
      </x:c>
      <x:c r="AE2783" s="36" t="n">
        <x:f>IF(ISNUMBER(AD2783),ROUND(AD2783*0.015+0.2,2),"")</x:f>
        <x:v>1.28</x:v>
      </x:c>
      <x:c r="AF2783" s="36" t="n">
        <x:f>IF(ISNUMBER(AD2783),ROUND(AD2783-AE2783-V2783,2),"")</x:f>
        <x:v>8.33</x:v>
      </x:c>
      <x:c r="AG2783" t="str">
        <x:f>IF(NOT(ISNUMBER(T2783)),"PENDING",IF(AF2783&gt;0,"PASS","FAIL"))</x:f>
        <x:v>PASS</x:v>
      </x:c>
      <x:c r="AH2783" t="str">
        <x:f>IF(NOT(ISNUMBER(T2783)),"Needs supplier cost",IF(K2783&lt;&gt;"In stock","Supplier unavailable",IF(AG2783&lt;&gt;"PASS","BLOCK - GT loss risk","Commercially protected")))</x:f>
        <x:v>Commercially protected</x:v>
      </x:c>
      <x:c r="AI2783" t="str">
        <x:v>2026-09-10 Active Sports trade capture</x:v>
      </x:c>
      <x:c r="AJ2783" t="str">
        <x:v>Management-only economics. Stripe stress test uses 1.5% + £0.20 standard UK online-card fee; pallet/mix-and-match pricing ignored.</x:v>
      </x:c>
    </x:row>
    <x:row r="2784">
      <x:c r="A2784" t="str">
        <x:v>Active Sports Nutrition</x:v>
      </x:c>
      <x:c r="B2784" t="str">
        <x:v>Per4m Nutrition</x:v>
      </x:c>
      <x:c r="C2784" t="str">
        <x:v>Whey Protein</x:v>
      </x:c>
      <x:c r="D2784" t="str">
        <x:v>Supplements</x:v>
      </x:c>
      <x:c r="E2784" t="str">
        <x:v>Whey Protein</x:v>
      </x:c>
      <x:c r="F2784" t="str"/>
      <x:c r="G2784" t="str">
        <x:v>2kg</x:v>
      </x:c>
      <x:c r="H2784" t="str">
        <x:v>Jammy Biscuit</x:v>
      </x:c>
      <x:c r="I2784" t="str"/>
      <x:c r="J2784" t="str">
        <x:v>Unit</x:v>
      </x:c>
      <x:c r="K2784" t="str">
        <x:v>In stock</x:v>
      </x:c>
      <x:c r="L2784" t="str">
        <x:v>2026-09-08</x:v>
      </x:c>
      <x:c r="M2784" t="str"/>
      <x:c r="N2784" t="str"/>
      <x:c r="O2784" t="str">
        <x:v>https://www.activesportstrade.co.uk/Whey-Protein-Supplements-Trade/per4m-nutrition-trade</x:v>
      </x:c>
      <x:c r="P2784" t="str">
        <x:v>NEW PRICE/NEW wording stripped from canonical identity.</x:v>
      </x:c>
      <x:c r="Q2784" t="str"/>
      <x:c r="R2784" t="str"/>
      <x:c r="S2784" t="str">
        <x:v>Pending genuine supplier/brand image</x:v>
      </x:c>
      <x:c r="T2784" s="54" t="n">
        <x:v>51.99</x:v>
      </x:c>
      <x:c r="U2784" s="47" t="n">
        <x:v>0.2</x:v>
      </x:c>
      <x:c r="V2784" s="54" t="n">
        <x:f>IF(ISNUMBER(T2784),T2784*(1+U2784),"")</x:f>
        <x:v>62.388</x:v>
      </x:c>
      <x:c r="W2784" s="47" t="n">
        <x:v>0.3</x:v>
      </x:c>
      <x:c r="X2784" s="54" t="n">
        <x:f>IF(ISNUMBER(V2784),V2784/(1-W2784),"")</x:f>
        <x:v>89.1257142857143</x:v>
      </x:c>
      <x:c r="Y2784" s="55" t="n">
        <x:f>IF(ISNUMBER(X2784),ROUNDUP(X2784,0),"")</x:f>
        <x:v>90</x:v>
      </x:c>
      <x:c r="Z2784" t="str">
        <x:v>Source match pending</x:v>
      </x:c>
      <x:c r="AA2784" t="str">
        <x:v>screencapture-www-activesportstrade-co-uk-per4m-nutrition-trade-2026-09-10-09_06_42.pdf / page-05</x:v>
      </x:c>
      <x:c r="AB2784" s="36" t="n">
        <x:f>IF(ISNUMBER(Y2784),ROUND(Y2784*0.9,2),"")</x:f>
        <x:v>81</x:v>
      </x:c>
      <x:c r="AC2784" s="36" t="n">
        <x:f>IF(ISNUMBER(AB2784),ROUND(AB2784-(AB2784*0.015+0.2)-V2784,2),"")</x:f>
        <x:v>17.2</x:v>
      </x:c>
      <x:c r="AD2784" s="36" t="n">
        <x:f>IF(ISNUMBER(Y2784),ROUND(Y2784*0.8,2),"")</x:f>
        <x:v>72</x:v>
      </x:c>
      <x:c r="AE2784" s="36" t="n">
        <x:f>IF(ISNUMBER(AD2784),ROUND(AD2784*0.015+0.2,2),"")</x:f>
        <x:v>1.28</x:v>
      </x:c>
      <x:c r="AF2784" s="36" t="n">
        <x:f>IF(ISNUMBER(AD2784),ROUND(AD2784-AE2784-V2784,2),"")</x:f>
        <x:v>8.33</x:v>
      </x:c>
      <x:c r="AG2784" t="str">
        <x:f>IF(NOT(ISNUMBER(T2784)),"PENDING",IF(AF2784&gt;0,"PASS","FAIL"))</x:f>
        <x:v>PASS</x:v>
      </x:c>
      <x:c r="AH2784" t="str">
        <x:f>IF(NOT(ISNUMBER(T2784)),"Needs supplier cost",IF(K2784&lt;&gt;"In stock","Supplier unavailable",IF(AG2784&lt;&gt;"PASS","BLOCK - GT loss risk","Commercially protected")))</x:f>
        <x:v>Commercially protected</x:v>
      </x:c>
      <x:c r="AI2784" t="str">
        <x:v>2026-09-10 Active Sports trade capture</x:v>
      </x:c>
      <x:c r="AJ2784" t="str">
        <x:v>Management-only economics. Stripe stress test uses 1.5% + £0.20 standard UK online-card fee; pallet/mix-and-match pricing ignored.</x:v>
      </x:c>
    </x:row>
    <x:row r="2785">
      <x:c r="A2785" t="str">
        <x:v>Active Sports Nutrition</x:v>
      </x:c>
      <x:c r="B2785" t="str">
        <x:v>Per4m Nutrition</x:v>
      </x:c>
      <x:c r="C2785" t="str">
        <x:v>Whey Protein</x:v>
      </x:c>
      <x:c r="D2785" t="str">
        <x:v>Supplements</x:v>
      </x:c>
      <x:c r="E2785" t="str">
        <x:v>Whey Protein</x:v>
      </x:c>
      <x:c r="F2785" t="str"/>
      <x:c r="G2785" t="str">
        <x:v>2kg</x:v>
      </x:c>
      <x:c r="H2785" t="str">
        <x:v>Key Lime Pie</x:v>
      </x:c>
      <x:c r="I2785" t="str"/>
      <x:c r="J2785" t="str">
        <x:v>Unit</x:v>
      </x:c>
      <x:c r="K2785" t="str">
        <x:v>Out of stock</x:v>
      </x:c>
      <x:c r="L2785" t="str">
        <x:v>2026-09-08</x:v>
      </x:c>
      <x:c r="M2785" t="str"/>
      <x:c r="N2785" t="str"/>
      <x:c r="O2785" t="str">
        <x:v>https://www.activesportstrade.co.uk/Whey-Protein-Supplements-Trade/per4m-nutrition-trade</x:v>
      </x:c>
      <x:c r="P2785" t="str">
        <x:v>NEW PRICE/NEW wording stripped from canonical identity.</x:v>
      </x:c>
      <x:c r="Q2785" t="str"/>
      <x:c r="R2785" t="str"/>
      <x:c r="S2785" t="str">
        <x:v>Pending genuine supplier/brand image</x:v>
      </x:c>
      <x:c r="T2785" s="54" t="n">
        <x:v>51.99</x:v>
      </x:c>
      <x:c r="U2785" s="47" t="n">
        <x:v>0.2</x:v>
      </x:c>
      <x:c r="V2785" s="54" t="n">
        <x:f>IF(ISNUMBER(T2785),T2785*(1+U2785),"")</x:f>
        <x:v>62.388</x:v>
      </x:c>
      <x:c r="W2785" s="47" t="n">
        <x:v>0.3</x:v>
      </x:c>
      <x:c r="X2785" s="54" t="n">
        <x:f>IF(ISNUMBER(V2785),V2785/(1-W2785),"")</x:f>
        <x:v>89.1257142857143</x:v>
      </x:c>
      <x:c r="Y2785" s="55" t="n">
        <x:f>IF(ISNUMBER(X2785),ROUNDUP(X2785,0),"")</x:f>
        <x:v>90</x:v>
      </x:c>
      <x:c r="Z2785" t="str">
        <x:v>Source match pending</x:v>
      </x:c>
      <x:c r="AA2785" t="str">
        <x:v>screencapture-www-activesportstrade-co-uk-per4m-nutrition-trade-2026-09-10-09_06_42.pdf / page-05</x:v>
      </x:c>
      <x:c r="AB2785" s="36" t="n">
        <x:f>IF(ISNUMBER(Y2785),ROUND(Y2785*0.9,2),"")</x:f>
        <x:v>81</x:v>
      </x:c>
      <x:c r="AC2785" s="36" t="n">
        <x:f>IF(ISNUMBER(AB2785),ROUND(AB2785-(AB2785*0.015+0.2)-V2785,2),"")</x:f>
        <x:v>17.2</x:v>
      </x:c>
      <x:c r="AD2785" s="36" t="n">
        <x:f>IF(ISNUMBER(Y2785),ROUND(Y2785*0.8,2),"")</x:f>
        <x:v>72</x:v>
      </x:c>
      <x:c r="AE2785" s="36" t="n">
        <x:f>IF(ISNUMBER(AD2785),ROUND(AD2785*0.015+0.2,2),"")</x:f>
        <x:v>1.28</x:v>
      </x:c>
      <x:c r="AF2785" s="36" t="n">
        <x:f>IF(ISNUMBER(AD2785),ROUND(AD2785-AE2785-V2785,2),"")</x:f>
        <x:v>8.33</x:v>
      </x:c>
      <x:c r="AG2785" t="str">
        <x:f>IF(NOT(ISNUMBER(T2785)),"PENDING",IF(AF2785&gt;0,"PASS","FAIL"))</x:f>
        <x:v>PASS</x:v>
      </x:c>
      <x:c r="AH2785" t="str">
        <x:f>IF(NOT(ISNUMBER(T2785)),"Needs supplier cost",IF(K2785&lt;&gt;"In stock","Supplier unavailable",IF(AG2785&lt;&gt;"PASS","BLOCK - GT loss risk","Commercially protected")))</x:f>
        <x:v>Supplier unavailable</x:v>
      </x:c>
      <x:c r="AI2785" t="str">
        <x:v>2026-09-10 Active Sports trade capture</x:v>
      </x:c>
      <x:c r="AJ2785" t="str">
        <x:v>Management-only economics. Stripe stress test uses 1.5% + £0.20 standard UK online-card fee; pallet/mix-and-match pricing ignored.</x:v>
      </x:c>
    </x:row>
    <x:row r="2786">
      <x:c r="A2786" t="str">
        <x:v>Active Sports Nutrition</x:v>
      </x:c>
      <x:c r="B2786" t="str">
        <x:v>Per4m Nutrition</x:v>
      </x:c>
      <x:c r="C2786" t="str">
        <x:v>Whey Protein</x:v>
      </x:c>
      <x:c r="D2786" t="str">
        <x:v>Supplements</x:v>
      </x:c>
      <x:c r="E2786" t="str">
        <x:v>Whey Protein</x:v>
      </x:c>
      <x:c r="F2786" t="str"/>
      <x:c r="G2786" t="str">
        <x:v>2kg</x:v>
      </x:c>
      <x:c r="H2786" t="str">
        <x:v>Lemon Cheesecake</x:v>
      </x:c>
      <x:c r="I2786" t="str"/>
      <x:c r="J2786" t="str">
        <x:v>Unit</x:v>
      </x:c>
      <x:c r="K2786" t="str">
        <x:v>In stock</x:v>
      </x:c>
      <x:c r="L2786" t="str">
        <x:v>2026-09-08</x:v>
      </x:c>
      <x:c r="M2786" t="str"/>
      <x:c r="N2786" t="str"/>
      <x:c r="O2786" t="str">
        <x:v>https://www.activesportstrade.co.uk/Whey-Protein-Supplements-Trade/per4m-nutrition-trade</x:v>
      </x:c>
      <x:c r="P2786" t="str">
        <x:v>NEW PRICE/NEW wording stripped from canonical identity.</x:v>
      </x:c>
      <x:c r="Q2786" t="str"/>
      <x:c r="R2786" t="str"/>
      <x:c r="S2786" t="str">
        <x:v>Pending genuine supplier/brand image</x:v>
      </x:c>
      <x:c r="T2786" s="54" t="n">
        <x:v>51.99</x:v>
      </x:c>
      <x:c r="U2786" s="47" t="n">
        <x:v>0.2</x:v>
      </x:c>
      <x:c r="V2786" s="54" t="n">
        <x:f>IF(ISNUMBER(T2786),T2786*(1+U2786),"")</x:f>
        <x:v>62.388</x:v>
      </x:c>
      <x:c r="W2786" s="47" t="n">
        <x:v>0.3</x:v>
      </x:c>
      <x:c r="X2786" s="54" t="n">
        <x:f>IF(ISNUMBER(V2786),V2786/(1-W2786),"")</x:f>
        <x:v>89.1257142857143</x:v>
      </x:c>
      <x:c r="Y2786" s="55" t="n">
        <x:f>IF(ISNUMBER(X2786),ROUNDUP(X2786,0),"")</x:f>
        <x:v>90</x:v>
      </x:c>
      <x:c r="Z2786" t="str">
        <x:v>Source match pending</x:v>
      </x:c>
      <x:c r="AA2786" t="str">
        <x:v>screencapture-www-activesportstrade-co-uk-per4m-nutrition-trade-2026-09-10-09_06_42.pdf / page-05</x:v>
      </x:c>
      <x:c r="AB2786" s="36" t="n">
        <x:f>IF(ISNUMBER(Y2786),ROUND(Y2786*0.9,2),"")</x:f>
        <x:v>81</x:v>
      </x:c>
      <x:c r="AC2786" s="36" t="n">
        <x:f>IF(ISNUMBER(AB2786),ROUND(AB2786-(AB2786*0.015+0.2)-V2786,2),"")</x:f>
        <x:v>17.2</x:v>
      </x:c>
      <x:c r="AD2786" s="36" t="n">
        <x:f>IF(ISNUMBER(Y2786),ROUND(Y2786*0.8,2),"")</x:f>
        <x:v>72</x:v>
      </x:c>
      <x:c r="AE2786" s="36" t="n">
        <x:f>IF(ISNUMBER(AD2786),ROUND(AD2786*0.015+0.2,2),"")</x:f>
        <x:v>1.28</x:v>
      </x:c>
      <x:c r="AF2786" s="36" t="n">
        <x:f>IF(ISNUMBER(AD2786),ROUND(AD2786-AE2786-V2786,2),"")</x:f>
        <x:v>8.33</x:v>
      </x:c>
      <x:c r="AG2786" t="str">
        <x:f>IF(NOT(ISNUMBER(T2786)),"PENDING",IF(AF2786&gt;0,"PASS","FAIL"))</x:f>
        <x:v>PASS</x:v>
      </x:c>
      <x:c r="AH2786" t="str">
        <x:f>IF(NOT(ISNUMBER(T2786)),"Needs supplier cost",IF(K2786&lt;&gt;"In stock","Supplier unavailable",IF(AG2786&lt;&gt;"PASS","BLOCK - GT loss risk","Commercially protected")))</x:f>
        <x:v>Commercially protected</x:v>
      </x:c>
      <x:c r="AI2786" t="str">
        <x:v>2026-09-10 Active Sports trade capture</x:v>
      </x:c>
      <x:c r="AJ2786" t="str">
        <x:v>Management-only economics. Stripe stress test uses 1.5% + £0.20 standard UK online-card fee; pallet/mix-and-match pricing ignored.</x:v>
      </x:c>
    </x:row>
    <x:row r="2787">
      <x:c r="A2787" t="str">
        <x:v>Active Sports Nutrition</x:v>
      </x:c>
      <x:c r="B2787" t="str">
        <x:v>Per4m Nutrition</x:v>
      </x:c>
      <x:c r="C2787" t="str">
        <x:v>Whey Protein</x:v>
      </x:c>
      <x:c r="D2787" t="str">
        <x:v>Supplements</x:v>
      </x:c>
      <x:c r="E2787" t="str">
        <x:v>Whey Protein</x:v>
      </x:c>
      <x:c r="F2787" t="str"/>
      <x:c r="G2787" t="str">
        <x:v>2kg</x:v>
      </x:c>
      <x:c r="H2787" t="str">
        <x:v>Minty Chocolate</x:v>
      </x:c>
      <x:c r="I2787" t="str"/>
      <x:c r="J2787" t="str">
        <x:v>Unit</x:v>
      </x:c>
      <x:c r="K2787" t="str">
        <x:v>In stock</x:v>
      </x:c>
      <x:c r="L2787" t="str">
        <x:v>2026-09-08</x:v>
      </x:c>
      <x:c r="M2787" t="str"/>
      <x:c r="N2787" t="str"/>
      <x:c r="O2787" t="str">
        <x:v>https://www.activesportstrade.co.uk/Whey-Protein-Supplements-Trade/per4m-nutrition-trade</x:v>
      </x:c>
      <x:c r="P2787" t="str">
        <x:v>NEW PRICE/NEW wording stripped from canonical identity.</x:v>
      </x:c>
      <x:c r="Q2787" t="str"/>
      <x:c r="R2787" t="str"/>
      <x:c r="S2787" t="str">
        <x:v>Pending genuine supplier/brand image</x:v>
      </x:c>
      <x:c r="T2787" s="54" t="n">
        <x:v>51.99</x:v>
      </x:c>
      <x:c r="U2787" s="47" t="n">
        <x:v>0.2</x:v>
      </x:c>
      <x:c r="V2787" s="54" t="n">
        <x:f>IF(ISNUMBER(T2787),T2787*(1+U2787),"")</x:f>
        <x:v>62.388</x:v>
      </x:c>
      <x:c r="W2787" s="47" t="n">
        <x:v>0.3</x:v>
      </x:c>
      <x:c r="X2787" s="54" t="n">
        <x:f>IF(ISNUMBER(V2787),V2787/(1-W2787),"")</x:f>
        <x:v>89.1257142857143</x:v>
      </x:c>
      <x:c r="Y2787" s="55" t="n">
        <x:f>IF(ISNUMBER(X2787),ROUNDUP(X2787,0),"")</x:f>
        <x:v>90</x:v>
      </x:c>
      <x:c r="Z2787" t="str">
        <x:v>Source match pending</x:v>
      </x:c>
      <x:c r="AA2787" t="str">
        <x:v>screencapture-www-activesportstrade-co-uk-per4m-nutrition-trade-2026-09-10-09_06_42.pdf / page-05</x:v>
      </x:c>
      <x:c r="AB2787" s="36" t="n">
        <x:f>IF(ISNUMBER(Y2787),ROUND(Y2787*0.9,2),"")</x:f>
        <x:v>81</x:v>
      </x:c>
      <x:c r="AC2787" s="36" t="n">
        <x:f>IF(ISNUMBER(AB2787),ROUND(AB2787-(AB2787*0.015+0.2)-V2787,2),"")</x:f>
        <x:v>17.2</x:v>
      </x:c>
      <x:c r="AD2787" s="36" t="n">
        <x:f>IF(ISNUMBER(Y2787),ROUND(Y2787*0.8,2),"")</x:f>
        <x:v>72</x:v>
      </x:c>
      <x:c r="AE2787" s="36" t="n">
        <x:f>IF(ISNUMBER(AD2787),ROUND(AD2787*0.015+0.2,2),"")</x:f>
        <x:v>1.28</x:v>
      </x:c>
      <x:c r="AF2787" s="36" t="n">
        <x:f>IF(ISNUMBER(AD2787),ROUND(AD2787-AE2787-V2787,2),"")</x:f>
        <x:v>8.33</x:v>
      </x:c>
      <x:c r="AG2787" t="str">
        <x:f>IF(NOT(ISNUMBER(T2787)),"PENDING",IF(AF2787&gt;0,"PASS","FAIL"))</x:f>
        <x:v>PASS</x:v>
      </x:c>
      <x:c r="AH2787" t="str">
        <x:f>IF(NOT(ISNUMBER(T2787)),"Needs supplier cost",IF(K2787&lt;&gt;"In stock","Supplier unavailable",IF(AG2787&lt;&gt;"PASS","BLOCK - GT loss risk","Commercially protected")))</x:f>
        <x:v>Commercially protected</x:v>
      </x:c>
      <x:c r="AI2787" t="str">
        <x:v>2026-09-10 Active Sports trade capture</x:v>
      </x:c>
      <x:c r="AJ2787" t="str">
        <x:v>Management-only economics. Stripe stress test uses 1.5% + £0.20 standard UK online-card fee; pallet/mix-and-match pricing ignored.</x:v>
      </x:c>
    </x:row>
    <x:row r="2788">
      <x:c r="A2788" t="str">
        <x:v>Active Sports Nutrition</x:v>
      </x:c>
      <x:c r="B2788" t="str">
        <x:v>Per4m Nutrition</x:v>
      </x:c>
      <x:c r="C2788" t="str">
        <x:v>Whey Protein</x:v>
      </x:c>
      <x:c r="D2788" t="str">
        <x:v>Supplements</x:v>
      </x:c>
      <x:c r="E2788" t="str">
        <x:v>Whey Protein</x:v>
      </x:c>
      <x:c r="F2788" t="str"/>
      <x:c r="G2788" t="str">
        <x:v>2kg</x:v>
      </x:c>
      <x:c r="H2788" t="str">
        <x:v>Neapolitan Ice Cream</x:v>
      </x:c>
      <x:c r="I2788" t="str"/>
      <x:c r="J2788" t="str">
        <x:v>Unit</x:v>
      </x:c>
      <x:c r="K2788" t="str">
        <x:v>In stock</x:v>
      </x:c>
      <x:c r="L2788" t="str">
        <x:v>2026-09-08</x:v>
      </x:c>
      <x:c r="M2788" t="str"/>
      <x:c r="N2788" t="str"/>
      <x:c r="O2788" t="str">
        <x:v>https://www.activesportstrade.co.uk/Whey-Protein-Supplements-Trade/per4m-nutrition-trade</x:v>
      </x:c>
      <x:c r="P2788" t="str">
        <x:v>NEW PRICE/NEW wording stripped from canonical identity.</x:v>
      </x:c>
      <x:c r="Q2788" t="str"/>
      <x:c r="R2788" t="str"/>
      <x:c r="S2788" t="str">
        <x:v>Pending genuine supplier/brand image</x:v>
      </x:c>
      <x:c r="T2788" s="54" t="n">
        <x:v>51.99</x:v>
      </x:c>
      <x:c r="U2788" s="47" t="n">
        <x:v>0.2</x:v>
      </x:c>
      <x:c r="V2788" s="54" t="n">
        <x:f>IF(ISNUMBER(T2788),T2788*(1+U2788),"")</x:f>
        <x:v>62.388</x:v>
      </x:c>
      <x:c r="W2788" s="47" t="n">
        <x:v>0.3</x:v>
      </x:c>
      <x:c r="X2788" s="54" t="n">
        <x:f>IF(ISNUMBER(V2788),V2788/(1-W2788),"")</x:f>
        <x:v>89.1257142857143</x:v>
      </x:c>
      <x:c r="Y2788" s="55" t="n">
        <x:f>IF(ISNUMBER(X2788),ROUNDUP(X2788,0),"")</x:f>
        <x:v>90</x:v>
      </x:c>
      <x:c r="Z2788" t="str">
        <x:v>Source match pending</x:v>
      </x:c>
      <x:c r="AA2788" t="str">
        <x:v>screencapture-www-activesportstrade-co-uk-per4m-nutrition-trade-2026-09-10-09_06_42.pdf / page-05</x:v>
      </x:c>
      <x:c r="AB2788" s="36" t="n">
        <x:f>IF(ISNUMBER(Y2788),ROUND(Y2788*0.9,2),"")</x:f>
        <x:v>81</x:v>
      </x:c>
      <x:c r="AC2788" s="36" t="n">
        <x:f>IF(ISNUMBER(AB2788),ROUND(AB2788-(AB2788*0.015+0.2)-V2788,2),"")</x:f>
        <x:v>17.2</x:v>
      </x:c>
      <x:c r="AD2788" s="36" t="n">
        <x:f>IF(ISNUMBER(Y2788),ROUND(Y2788*0.8,2),"")</x:f>
        <x:v>72</x:v>
      </x:c>
      <x:c r="AE2788" s="36" t="n">
        <x:f>IF(ISNUMBER(AD2788),ROUND(AD2788*0.015+0.2,2),"")</x:f>
        <x:v>1.28</x:v>
      </x:c>
      <x:c r="AF2788" s="36" t="n">
        <x:f>IF(ISNUMBER(AD2788),ROUND(AD2788-AE2788-V2788,2),"")</x:f>
        <x:v>8.33</x:v>
      </x:c>
      <x:c r="AG2788" t="str">
        <x:f>IF(NOT(ISNUMBER(T2788)),"PENDING",IF(AF2788&gt;0,"PASS","FAIL"))</x:f>
        <x:v>PASS</x:v>
      </x:c>
      <x:c r="AH2788" t="str">
        <x:f>IF(NOT(ISNUMBER(T2788)),"Needs supplier cost",IF(K2788&lt;&gt;"In stock","Supplier unavailable",IF(AG2788&lt;&gt;"PASS","BLOCK - GT loss risk","Commercially protected")))</x:f>
        <x:v>Commercially protected</x:v>
      </x:c>
      <x:c r="AI2788" t="str">
        <x:v>2026-09-10 Active Sports trade capture</x:v>
      </x:c>
      <x:c r="AJ2788" t="str">
        <x:v>Management-only economics. Stripe stress test uses 1.5% + £0.20 standard UK online-card fee; pallet/mix-and-match pricing ignored.</x:v>
      </x:c>
    </x:row>
    <x:row r="2789">
      <x:c r="A2789" t="str">
        <x:v>Active Sports Nutrition</x:v>
      </x:c>
      <x:c r="B2789" t="str">
        <x:v>Per4m Nutrition</x:v>
      </x:c>
      <x:c r="C2789" t="str">
        <x:v>Whey Protein</x:v>
      </x:c>
      <x:c r="D2789" t="str">
        <x:v>Supplements</x:v>
      </x:c>
      <x:c r="E2789" t="str">
        <x:v>Whey Protein</x:v>
      </x:c>
      <x:c r="F2789" t="str"/>
      <x:c r="G2789" t="str">
        <x:v>2kg</x:v>
      </x:c>
      <x:c r="H2789" t="str">
        <x:v>Peanut Butter &amp; Jelly</x:v>
      </x:c>
      <x:c r="I2789" t="str"/>
      <x:c r="J2789" t="str">
        <x:v>Unit</x:v>
      </x:c>
      <x:c r="K2789" t="str">
        <x:v>In stock</x:v>
      </x:c>
      <x:c r="L2789" t="str">
        <x:v>2026-09-08</x:v>
      </x:c>
      <x:c r="M2789" t="str"/>
      <x:c r="N2789" t="str"/>
      <x:c r="O2789" t="str">
        <x:v>https://www.activesportstrade.co.uk/Whey-Protein-Supplements-Trade/per4m-nutrition-trade</x:v>
      </x:c>
      <x:c r="P2789" t="str">
        <x:v>NEW PRICE/NEW wording stripped from canonical identity.</x:v>
      </x:c>
      <x:c r="Q2789" t="str"/>
      <x:c r="R2789" t="str"/>
      <x:c r="S2789" t="str">
        <x:v>Pending genuine supplier/brand image</x:v>
      </x:c>
      <x:c r="T2789" s="54" t="n">
        <x:v>51.99</x:v>
      </x:c>
      <x:c r="U2789" s="47" t="n">
        <x:v>0.2</x:v>
      </x:c>
      <x:c r="V2789" s="54" t="n">
        <x:f>IF(ISNUMBER(T2789),T2789*(1+U2789),"")</x:f>
        <x:v>62.388</x:v>
      </x:c>
      <x:c r="W2789" s="47" t="n">
        <x:v>0.3</x:v>
      </x:c>
      <x:c r="X2789" s="54" t="n">
        <x:f>IF(ISNUMBER(V2789),V2789/(1-W2789),"")</x:f>
        <x:v>89.1257142857143</x:v>
      </x:c>
      <x:c r="Y2789" s="55" t="n">
        <x:f>IF(ISNUMBER(X2789),ROUNDUP(X2789,0),"")</x:f>
        <x:v>90</x:v>
      </x:c>
      <x:c r="Z2789" t="str">
        <x:v>Source match pending</x:v>
      </x:c>
      <x:c r="AA2789" t="str">
        <x:v>screencapture-www-activesportstrade-co-uk-per4m-nutrition-trade-2026-09-10-09_06_42.pdf / page-05</x:v>
      </x:c>
      <x:c r="AB2789" s="36" t="n">
        <x:f>IF(ISNUMBER(Y2789),ROUND(Y2789*0.9,2),"")</x:f>
        <x:v>81</x:v>
      </x:c>
      <x:c r="AC2789" s="36" t="n">
        <x:f>IF(ISNUMBER(AB2789),ROUND(AB2789-(AB2789*0.015+0.2)-V2789,2),"")</x:f>
        <x:v>17.2</x:v>
      </x:c>
      <x:c r="AD2789" s="36" t="n">
        <x:f>IF(ISNUMBER(Y2789),ROUND(Y2789*0.8,2),"")</x:f>
        <x:v>72</x:v>
      </x:c>
      <x:c r="AE2789" s="36" t="n">
        <x:f>IF(ISNUMBER(AD2789),ROUND(AD2789*0.015+0.2,2),"")</x:f>
        <x:v>1.28</x:v>
      </x:c>
      <x:c r="AF2789" s="36" t="n">
        <x:f>IF(ISNUMBER(AD2789),ROUND(AD2789-AE2789-V2789,2),"")</x:f>
        <x:v>8.33</x:v>
      </x:c>
      <x:c r="AG2789" t="str">
        <x:f>IF(NOT(ISNUMBER(T2789)),"PENDING",IF(AF2789&gt;0,"PASS","FAIL"))</x:f>
        <x:v>PASS</x:v>
      </x:c>
      <x:c r="AH2789" t="str">
        <x:f>IF(NOT(ISNUMBER(T2789)),"Needs supplier cost",IF(K2789&lt;&gt;"In stock","Supplier unavailable",IF(AG2789&lt;&gt;"PASS","BLOCK - GT loss risk","Commercially protected")))</x:f>
        <x:v>Commercially protected</x:v>
      </x:c>
      <x:c r="AI2789" t="str">
        <x:v>2026-09-10 Active Sports trade capture</x:v>
      </x:c>
      <x:c r="AJ2789" t="str">
        <x:v>Management-only economics. Stripe stress test uses 1.5% + £0.20 standard UK online-card fee; pallet/mix-and-match pricing ignored.</x:v>
      </x:c>
    </x:row>
    <x:row r="2790">
      <x:c r="A2790" t="str">
        <x:v>Active Sports Nutrition</x:v>
      </x:c>
      <x:c r="B2790" t="str">
        <x:v>Per4m Nutrition</x:v>
      </x:c>
      <x:c r="C2790" t="str">
        <x:v>Whey Protein</x:v>
      </x:c>
      <x:c r="D2790" t="str">
        <x:v>Supplements</x:v>
      </x:c>
      <x:c r="E2790" t="str">
        <x:v>Whey Protein</x:v>
      </x:c>
      <x:c r="F2790" t="str"/>
      <x:c r="G2790" t="str">
        <x:v>2kg</x:v>
      </x:c>
      <x:c r="H2790" t="str">
        <x:v>Pumpkin Spiced Latte</x:v>
      </x:c>
      <x:c r="I2790" t="str"/>
      <x:c r="J2790" t="str">
        <x:v>Unit</x:v>
      </x:c>
      <x:c r="K2790" t="str">
        <x:v>Out of stock</x:v>
      </x:c>
      <x:c r="L2790" t="str">
        <x:v>2026-09-08</x:v>
      </x:c>
      <x:c r="M2790" t="str"/>
      <x:c r="N2790" t="str"/>
      <x:c r="O2790" t="str">
        <x:v>https://www.activesportstrade.co.uk/Whey-Protein-Supplements-Trade/per4m-nutrition-trade</x:v>
      </x:c>
      <x:c r="P2790" t="str">
        <x:v>NEW PRICE/NEW wording stripped from canonical identity.</x:v>
      </x:c>
      <x:c r="Q2790" t="str"/>
      <x:c r="R2790" t="str"/>
      <x:c r="S2790" t="str">
        <x:v>Pending genuine supplier/brand image</x:v>
      </x:c>
      <x:c r="T2790" s="54" t="n">
        <x:v>51.99</x:v>
      </x:c>
      <x:c r="U2790" s="47" t="n">
        <x:v>0.2</x:v>
      </x:c>
      <x:c r="V2790" s="54" t="n">
        <x:f>IF(ISNUMBER(T2790),T2790*(1+U2790),"")</x:f>
        <x:v>62.388</x:v>
      </x:c>
      <x:c r="W2790" s="47" t="n">
        <x:v>0.3</x:v>
      </x:c>
      <x:c r="X2790" s="54" t="n">
        <x:f>IF(ISNUMBER(V2790),V2790/(1-W2790),"")</x:f>
        <x:v>89.1257142857143</x:v>
      </x:c>
      <x:c r="Y2790" s="55" t="n">
        <x:f>IF(ISNUMBER(X2790),ROUNDUP(X2790,0),"")</x:f>
        <x:v>90</x:v>
      </x:c>
      <x:c r="Z2790" t="str">
        <x:v>Source match pending</x:v>
      </x:c>
      <x:c r="AA2790" t="str">
        <x:v>screencapture-www-activesportstrade-co-uk-per4m-nutrition-trade-2026-09-10-09_06_42.pdf / page-05</x:v>
      </x:c>
      <x:c r="AB2790" s="36" t="n">
        <x:f>IF(ISNUMBER(Y2790),ROUND(Y2790*0.9,2),"")</x:f>
        <x:v>81</x:v>
      </x:c>
      <x:c r="AC2790" s="36" t="n">
        <x:f>IF(ISNUMBER(AB2790),ROUND(AB2790-(AB2790*0.015+0.2)-V2790,2),"")</x:f>
        <x:v>17.2</x:v>
      </x:c>
      <x:c r="AD2790" s="36" t="n">
        <x:f>IF(ISNUMBER(Y2790),ROUND(Y2790*0.8,2),"")</x:f>
        <x:v>72</x:v>
      </x:c>
      <x:c r="AE2790" s="36" t="n">
        <x:f>IF(ISNUMBER(AD2790),ROUND(AD2790*0.015+0.2,2),"")</x:f>
        <x:v>1.28</x:v>
      </x:c>
      <x:c r="AF2790" s="36" t="n">
        <x:f>IF(ISNUMBER(AD2790),ROUND(AD2790-AE2790-V2790,2),"")</x:f>
        <x:v>8.33</x:v>
      </x:c>
      <x:c r="AG2790" t="str">
        <x:f>IF(NOT(ISNUMBER(T2790)),"PENDING",IF(AF2790&gt;0,"PASS","FAIL"))</x:f>
        <x:v>PASS</x:v>
      </x:c>
      <x:c r="AH2790" t="str">
        <x:f>IF(NOT(ISNUMBER(T2790)),"Needs supplier cost",IF(K2790&lt;&gt;"In stock","Supplier unavailable",IF(AG2790&lt;&gt;"PASS","BLOCK - GT loss risk","Commercially protected")))</x:f>
        <x:v>Supplier unavailable</x:v>
      </x:c>
      <x:c r="AI2790" t="str">
        <x:v>2026-09-10 Active Sports trade capture</x:v>
      </x:c>
      <x:c r="AJ2790" t="str">
        <x:v>Management-only economics. Stripe stress test uses 1.5% + £0.20 standard UK online-card fee; pallet/mix-and-match pricing ignored.</x:v>
      </x:c>
    </x:row>
    <x:row r="2791">
      <x:c r="A2791" t="str">
        <x:v>Active Sports Nutrition</x:v>
      </x:c>
      <x:c r="B2791" t="str">
        <x:v>Per4m Nutrition</x:v>
      </x:c>
      <x:c r="C2791" t="str">
        <x:v>Whey Protein</x:v>
      </x:c>
      <x:c r="D2791" t="str">
        <x:v>Supplements</x:v>
      </x:c>
      <x:c r="E2791" t="str">
        <x:v>Whey Protein</x:v>
      </x:c>
      <x:c r="F2791" t="str"/>
      <x:c r="G2791" t="str">
        <x:v>2kg</x:v>
      </x:c>
      <x:c r="H2791" t="str">
        <x:v>Raspberry White Chocolate</x:v>
      </x:c>
      <x:c r="I2791" t="str"/>
      <x:c r="J2791" t="str">
        <x:v>Unit</x:v>
      </x:c>
      <x:c r="K2791" t="str">
        <x:v>In stock</x:v>
      </x:c>
      <x:c r="L2791" t="str">
        <x:v>2026-09-08</x:v>
      </x:c>
      <x:c r="M2791" t="str"/>
      <x:c r="N2791" t="str"/>
      <x:c r="O2791" t="str">
        <x:v>https://www.activesportstrade.co.uk/Whey-Protein-Supplements-Trade/per4m-nutrition-trade</x:v>
      </x:c>
      <x:c r="P2791" t="str">
        <x:v>NEW PRICE/NEW wording stripped from canonical identity.</x:v>
      </x:c>
      <x:c r="Q2791" t="str"/>
      <x:c r="R2791" t="str"/>
      <x:c r="S2791" t="str">
        <x:v>Pending genuine supplier/brand image</x:v>
      </x:c>
      <x:c r="T2791" s="54" t="n">
        <x:v>51.99</x:v>
      </x:c>
      <x:c r="U2791" s="47" t="n">
        <x:v>0.2</x:v>
      </x:c>
      <x:c r="V2791" s="54" t="n">
        <x:f>IF(ISNUMBER(T2791),T2791*(1+U2791),"")</x:f>
        <x:v>62.388</x:v>
      </x:c>
      <x:c r="W2791" s="47" t="n">
        <x:v>0.3</x:v>
      </x:c>
      <x:c r="X2791" s="54" t="n">
        <x:f>IF(ISNUMBER(V2791),V2791/(1-W2791),"")</x:f>
        <x:v>89.1257142857143</x:v>
      </x:c>
      <x:c r="Y2791" s="55" t="n">
        <x:f>IF(ISNUMBER(X2791),ROUNDUP(X2791,0),"")</x:f>
        <x:v>90</x:v>
      </x:c>
      <x:c r="Z2791" t="str">
        <x:v>Source match pending</x:v>
      </x:c>
      <x:c r="AA2791" t="str">
        <x:v>screencapture-www-activesportstrade-co-uk-per4m-nutrition-trade-2026-09-10-09_06_42.pdf / page-05</x:v>
      </x:c>
      <x:c r="AB2791" s="36" t="n">
        <x:f>IF(ISNUMBER(Y2791),ROUND(Y2791*0.9,2),"")</x:f>
        <x:v>81</x:v>
      </x:c>
      <x:c r="AC2791" s="36" t="n">
        <x:f>IF(ISNUMBER(AB2791),ROUND(AB2791-(AB2791*0.015+0.2)-V2791,2),"")</x:f>
        <x:v>17.2</x:v>
      </x:c>
      <x:c r="AD2791" s="36" t="n">
        <x:f>IF(ISNUMBER(Y2791),ROUND(Y2791*0.8,2),"")</x:f>
        <x:v>72</x:v>
      </x:c>
      <x:c r="AE2791" s="36" t="n">
        <x:f>IF(ISNUMBER(AD2791),ROUND(AD2791*0.015+0.2,2),"")</x:f>
        <x:v>1.28</x:v>
      </x:c>
      <x:c r="AF2791" s="36" t="n">
        <x:f>IF(ISNUMBER(AD2791),ROUND(AD2791-AE2791-V2791,2),"")</x:f>
        <x:v>8.33</x:v>
      </x:c>
      <x:c r="AG2791" t="str">
        <x:f>IF(NOT(ISNUMBER(T2791)),"PENDING",IF(AF2791&gt;0,"PASS","FAIL"))</x:f>
        <x:v>PASS</x:v>
      </x:c>
      <x:c r="AH2791" t="str">
        <x:f>IF(NOT(ISNUMBER(T2791)),"Needs supplier cost",IF(K2791&lt;&gt;"In stock","Supplier unavailable",IF(AG2791&lt;&gt;"PASS","BLOCK - GT loss risk","Commercially protected")))</x:f>
        <x:v>Commercially protected</x:v>
      </x:c>
      <x:c r="AI2791" t="str">
        <x:v>2026-09-10 Active Sports trade capture</x:v>
      </x:c>
      <x:c r="AJ2791" t="str">
        <x:v>Management-only economics. Stripe stress test uses 1.5% + £0.20 standard UK online-card fee; pallet/mix-and-match pricing ignored.</x:v>
      </x:c>
    </x:row>
    <x:row r="2792">
      <x:c r="A2792" t="str">
        <x:v>Active Sports Nutrition</x:v>
      </x:c>
      <x:c r="B2792" t="str">
        <x:v>Per4m Nutrition</x:v>
      </x:c>
      <x:c r="C2792" t="str">
        <x:v>Whey Protein</x:v>
      </x:c>
      <x:c r="D2792" t="str">
        <x:v>Supplements</x:v>
      </x:c>
      <x:c r="E2792" t="str">
        <x:v>Whey Protein</x:v>
      </x:c>
      <x:c r="F2792" t="str"/>
      <x:c r="G2792" t="str">
        <x:v>2kg</x:v>
      </x:c>
      <x:c r="H2792" t="str">
        <x:v>Red Velvet Cake</x:v>
      </x:c>
      <x:c r="I2792" t="str"/>
      <x:c r="J2792" t="str">
        <x:v>Unit</x:v>
      </x:c>
      <x:c r="K2792" t="str">
        <x:v>In stock</x:v>
      </x:c>
      <x:c r="L2792" t="str">
        <x:v>2026-09-08</x:v>
      </x:c>
      <x:c r="M2792" t="str"/>
      <x:c r="N2792" t="str"/>
      <x:c r="O2792" t="str">
        <x:v>https://www.activesportstrade.co.uk/Whey-Protein-Supplements-Trade/per4m-nutrition-trade</x:v>
      </x:c>
      <x:c r="P2792" t="str">
        <x:v>NEW PRICE/NEW wording stripped from canonical identity.</x:v>
      </x:c>
      <x:c r="Q2792" t="str"/>
      <x:c r="R2792" t="str"/>
      <x:c r="S2792" t="str">
        <x:v>Pending genuine supplier/brand image</x:v>
      </x:c>
      <x:c r="T2792" s="54" t="n">
        <x:v>51.99</x:v>
      </x:c>
      <x:c r="U2792" s="47" t="n">
        <x:v>0.2</x:v>
      </x:c>
      <x:c r="V2792" s="54" t="n">
        <x:f>IF(ISNUMBER(T2792),T2792*(1+U2792),"")</x:f>
        <x:v>62.388</x:v>
      </x:c>
      <x:c r="W2792" s="47" t="n">
        <x:v>0.3</x:v>
      </x:c>
      <x:c r="X2792" s="54" t="n">
        <x:f>IF(ISNUMBER(V2792),V2792/(1-W2792),"")</x:f>
        <x:v>89.1257142857143</x:v>
      </x:c>
      <x:c r="Y2792" s="55" t="n">
        <x:f>IF(ISNUMBER(X2792),ROUNDUP(X2792,0),"")</x:f>
        <x:v>90</x:v>
      </x:c>
      <x:c r="Z2792" t="str">
        <x:v>Source match pending</x:v>
      </x:c>
      <x:c r="AA2792" t="str">
        <x:v>screencapture-www-activesportstrade-co-uk-per4m-nutrition-trade-2026-09-10-09_06_42.pdf / page-05</x:v>
      </x:c>
      <x:c r="AB2792" s="36" t="n">
        <x:f>IF(ISNUMBER(Y2792),ROUND(Y2792*0.9,2),"")</x:f>
        <x:v>81</x:v>
      </x:c>
      <x:c r="AC2792" s="36" t="n">
        <x:f>IF(ISNUMBER(AB2792),ROUND(AB2792-(AB2792*0.015+0.2)-V2792,2),"")</x:f>
        <x:v>17.2</x:v>
      </x:c>
      <x:c r="AD2792" s="36" t="n">
        <x:f>IF(ISNUMBER(Y2792),ROUND(Y2792*0.8,2),"")</x:f>
        <x:v>72</x:v>
      </x:c>
      <x:c r="AE2792" s="36" t="n">
        <x:f>IF(ISNUMBER(AD2792),ROUND(AD2792*0.015+0.2,2),"")</x:f>
        <x:v>1.28</x:v>
      </x:c>
      <x:c r="AF2792" s="36" t="n">
        <x:f>IF(ISNUMBER(AD2792),ROUND(AD2792-AE2792-V2792,2),"")</x:f>
        <x:v>8.33</x:v>
      </x:c>
      <x:c r="AG2792" t="str">
        <x:f>IF(NOT(ISNUMBER(T2792)),"PENDING",IF(AF2792&gt;0,"PASS","FAIL"))</x:f>
        <x:v>PASS</x:v>
      </x:c>
      <x:c r="AH2792" t="str">
        <x:f>IF(NOT(ISNUMBER(T2792)),"Needs supplier cost",IF(K2792&lt;&gt;"In stock","Supplier unavailable",IF(AG2792&lt;&gt;"PASS","BLOCK - GT loss risk","Commercially protected")))</x:f>
        <x:v>Commercially protected</x:v>
      </x:c>
      <x:c r="AI2792" t="str">
        <x:v>2026-09-10 Active Sports trade capture</x:v>
      </x:c>
      <x:c r="AJ2792" t="str">
        <x:v>Management-only economics. Stripe stress test uses 1.5% + £0.20 standard UK online-card fee; pallet/mix-and-match pricing ignored.</x:v>
      </x:c>
    </x:row>
    <x:row r="2793">
      <x:c r="A2793" t="str">
        <x:v>Active Sports Nutrition</x:v>
      </x:c>
      <x:c r="B2793" t="str">
        <x:v>Per4m Nutrition</x:v>
      </x:c>
      <x:c r="C2793" t="str">
        <x:v>Whey Protein</x:v>
      </x:c>
      <x:c r="D2793" t="str">
        <x:v>Supplements</x:v>
      </x:c>
      <x:c r="E2793" t="str">
        <x:v>Whey Protein</x:v>
      </x:c>
      <x:c r="F2793" t="str"/>
      <x:c r="G2793" t="str">
        <x:v>2kg</x:v>
      </x:c>
      <x:c r="H2793" t="str">
        <x:v>Salted Caramel</x:v>
      </x:c>
      <x:c r="I2793" t="str"/>
      <x:c r="J2793" t="str">
        <x:v>Unit</x:v>
      </x:c>
      <x:c r="K2793" t="str">
        <x:v>In stock</x:v>
      </x:c>
      <x:c r="L2793" t="str">
        <x:v>2026-09-08</x:v>
      </x:c>
      <x:c r="M2793" t="str"/>
      <x:c r="N2793" t="str"/>
      <x:c r="O2793" t="str">
        <x:v>https://www.activesportstrade.co.uk/Whey-Protein-Supplements-Trade/per4m-nutrition-trade</x:v>
      </x:c>
      <x:c r="P2793" t="str">
        <x:v>NEW PRICE/NEW wording stripped from canonical identity.</x:v>
      </x:c>
      <x:c r="Q2793" t="str"/>
      <x:c r="R2793" t="str"/>
      <x:c r="S2793" t="str">
        <x:v>Pending genuine supplier/brand image</x:v>
      </x:c>
      <x:c r="T2793" s="54" t="n">
        <x:v>51.99</x:v>
      </x:c>
      <x:c r="U2793" s="47" t="n">
        <x:v>0.2</x:v>
      </x:c>
      <x:c r="V2793" s="54" t="n">
        <x:f>IF(ISNUMBER(T2793),T2793*(1+U2793),"")</x:f>
        <x:v>62.388</x:v>
      </x:c>
      <x:c r="W2793" s="47" t="n">
        <x:v>0.3</x:v>
      </x:c>
      <x:c r="X2793" s="54" t="n">
        <x:f>IF(ISNUMBER(V2793),V2793/(1-W2793),"")</x:f>
        <x:v>89.1257142857143</x:v>
      </x:c>
      <x:c r="Y2793" s="55" t="n">
        <x:f>IF(ISNUMBER(X2793),ROUNDUP(X2793,0),"")</x:f>
        <x:v>90</x:v>
      </x:c>
      <x:c r="Z2793" t="str">
        <x:v>Source match pending</x:v>
      </x:c>
      <x:c r="AA2793" t="str">
        <x:v>screencapture-www-activesportstrade-co-uk-per4m-nutrition-trade-2026-09-10-09_06_42.pdf / page-05</x:v>
      </x:c>
      <x:c r="AB2793" s="36" t="n">
        <x:f>IF(ISNUMBER(Y2793),ROUND(Y2793*0.9,2),"")</x:f>
        <x:v>81</x:v>
      </x:c>
      <x:c r="AC2793" s="36" t="n">
        <x:f>IF(ISNUMBER(AB2793),ROUND(AB2793-(AB2793*0.015+0.2)-V2793,2),"")</x:f>
        <x:v>17.2</x:v>
      </x:c>
      <x:c r="AD2793" s="36" t="n">
        <x:f>IF(ISNUMBER(Y2793),ROUND(Y2793*0.8,2),"")</x:f>
        <x:v>72</x:v>
      </x:c>
      <x:c r="AE2793" s="36" t="n">
        <x:f>IF(ISNUMBER(AD2793),ROUND(AD2793*0.015+0.2,2),"")</x:f>
        <x:v>1.28</x:v>
      </x:c>
      <x:c r="AF2793" s="36" t="n">
        <x:f>IF(ISNUMBER(AD2793),ROUND(AD2793-AE2793-V2793,2),"")</x:f>
        <x:v>8.33</x:v>
      </x:c>
      <x:c r="AG2793" t="str">
        <x:f>IF(NOT(ISNUMBER(T2793)),"PENDING",IF(AF2793&gt;0,"PASS","FAIL"))</x:f>
        <x:v>PASS</x:v>
      </x:c>
      <x:c r="AH2793" t="str">
        <x:f>IF(NOT(ISNUMBER(T2793)),"Needs supplier cost",IF(K2793&lt;&gt;"In stock","Supplier unavailable",IF(AG2793&lt;&gt;"PASS","BLOCK - GT loss risk","Commercially protected")))</x:f>
        <x:v>Commercially protected</x:v>
      </x:c>
      <x:c r="AI2793" t="str">
        <x:v>2026-09-10 Active Sports trade capture</x:v>
      </x:c>
      <x:c r="AJ2793" t="str">
        <x:v>Management-only economics. Stripe stress test uses 1.5% + £0.20 standard UK online-card fee; pallet/mix-and-match pricing ignored.</x:v>
      </x:c>
    </x:row>
    <x:row r="2794">
      <x:c r="A2794" t="str">
        <x:v>Active Sports Nutrition</x:v>
      </x:c>
      <x:c r="B2794" t="str">
        <x:v>Per4m Nutrition</x:v>
      </x:c>
      <x:c r="C2794" t="str">
        <x:v>Whey Protein</x:v>
      </x:c>
      <x:c r="D2794" t="str">
        <x:v>Supplements</x:v>
      </x:c>
      <x:c r="E2794" t="str">
        <x:v>Whey Protein</x:v>
      </x:c>
      <x:c r="F2794" t="str"/>
      <x:c r="G2794" t="str">
        <x:v>2kg</x:v>
      </x:c>
      <x:c r="H2794" t="str">
        <x:v>S'mores</x:v>
      </x:c>
      <x:c r="I2794" t="str"/>
      <x:c r="J2794" t="str">
        <x:v>Unit</x:v>
      </x:c>
      <x:c r="K2794" t="str">
        <x:v>In stock</x:v>
      </x:c>
      <x:c r="L2794" t="str">
        <x:v>2026-09-08</x:v>
      </x:c>
      <x:c r="M2794" t="str"/>
      <x:c r="N2794" t="str"/>
      <x:c r="O2794" t="str">
        <x:v>https://www.activesportstrade.co.uk/Whey-Protein-Supplements-Trade/per4m-nutrition-trade</x:v>
      </x:c>
      <x:c r="P2794" t="str">
        <x:v>NEW PRICE/NEW wording stripped from canonical identity.</x:v>
      </x:c>
      <x:c r="Q2794" t="str"/>
      <x:c r="R2794" t="str"/>
      <x:c r="S2794" t="str">
        <x:v>Pending genuine supplier/brand image</x:v>
      </x:c>
      <x:c r="T2794" s="54" t="n">
        <x:v>51.99</x:v>
      </x:c>
      <x:c r="U2794" s="47" t="n">
        <x:v>0.2</x:v>
      </x:c>
      <x:c r="V2794" s="54" t="n">
        <x:f>IF(ISNUMBER(T2794),T2794*(1+U2794),"")</x:f>
        <x:v>62.388</x:v>
      </x:c>
      <x:c r="W2794" s="47" t="n">
        <x:v>0.3</x:v>
      </x:c>
      <x:c r="X2794" s="54" t="n">
        <x:f>IF(ISNUMBER(V2794),V2794/(1-W2794),"")</x:f>
        <x:v>89.1257142857143</x:v>
      </x:c>
      <x:c r="Y2794" s="55" t="n">
        <x:f>IF(ISNUMBER(X2794),ROUNDUP(X2794,0),"")</x:f>
        <x:v>90</x:v>
      </x:c>
      <x:c r="Z2794" t="str">
        <x:v>Source match pending</x:v>
      </x:c>
      <x:c r="AA2794" t="str">
        <x:v>screencapture-www-activesportstrade-co-uk-per4m-nutrition-trade-2026-09-10-09_06_42.pdf / page-05</x:v>
      </x:c>
      <x:c r="AB2794" s="36" t="n">
        <x:f>IF(ISNUMBER(Y2794),ROUND(Y2794*0.9,2),"")</x:f>
        <x:v>81</x:v>
      </x:c>
      <x:c r="AC2794" s="36" t="n">
        <x:f>IF(ISNUMBER(AB2794),ROUND(AB2794-(AB2794*0.015+0.2)-V2794,2),"")</x:f>
        <x:v>17.2</x:v>
      </x:c>
      <x:c r="AD2794" s="36" t="n">
        <x:f>IF(ISNUMBER(Y2794),ROUND(Y2794*0.8,2),"")</x:f>
        <x:v>72</x:v>
      </x:c>
      <x:c r="AE2794" s="36" t="n">
        <x:f>IF(ISNUMBER(AD2794),ROUND(AD2794*0.015+0.2,2),"")</x:f>
        <x:v>1.28</x:v>
      </x:c>
      <x:c r="AF2794" s="36" t="n">
        <x:f>IF(ISNUMBER(AD2794),ROUND(AD2794-AE2794-V2794,2),"")</x:f>
        <x:v>8.33</x:v>
      </x:c>
      <x:c r="AG2794" t="str">
        <x:f>IF(NOT(ISNUMBER(T2794)),"PENDING",IF(AF2794&gt;0,"PASS","FAIL"))</x:f>
        <x:v>PASS</x:v>
      </x:c>
      <x:c r="AH2794" t="str">
        <x:f>IF(NOT(ISNUMBER(T2794)),"Needs supplier cost",IF(K2794&lt;&gt;"In stock","Supplier unavailable",IF(AG2794&lt;&gt;"PASS","BLOCK - GT loss risk","Commercially protected")))</x:f>
        <x:v>Commercially protected</x:v>
      </x:c>
      <x:c r="AI2794" t="str">
        <x:v>2026-09-10 Active Sports trade capture</x:v>
      </x:c>
      <x:c r="AJ2794" t="str">
        <x:v>Management-only economics. Stripe stress test uses 1.5% + £0.20 standard UK online-card fee; pallet/mix-and-match pricing ignored.</x:v>
      </x:c>
    </x:row>
    <x:row r="2795">
      <x:c r="A2795" t="str">
        <x:v>Active Sports Nutrition</x:v>
      </x:c>
      <x:c r="B2795" t="str">
        <x:v>Per4m Nutrition</x:v>
      </x:c>
      <x:c r="C2795" t="str">
        <x:v>Whey Protein</x:v>
      </x:c>
      <x:c r="D2795" t="str">
        <x:v>Supplements</x:v>
      </x:c>
      <x:c r="E2795" t="str">
        <x:v>Whey Protein</x:v>
      </x:c>
      <x:c r="F2795" t="str"/>
      <x:c r="G2795" t="str">
        <x:v>2kg</x:v>
      </x:c>
      <x:c r="H2795" t="str">
        <x:v>Sticky Toffee Pudding</x:v>
      </x:c>
      <x:c r="I2795" t="str"/>
      <x:c r="J2795" t="str">
        <x:v>Unit</x:v>
      </x:c>
      <x:c r="K2795" t="str">
        <x:v>In stock</x:v>
      </x:c>
      <x:c r="L2795" t="str">
        <x:v>2026-09-08</x:v>
      </x:c>
      <x:c r="M2795" t="str"/>
      <x:c r="N2795" t="str"/>
      <x:c r="O2795" t="str">
        <x:v>https://www.activesportstrade.co.uk/Whey-Protein-Supplements-Trade/per4m-nutrition-trade</x:v>
      </x:c>
      <x:c r="P2795" t="str">
        <x:v>NEW PRICE/NEW wording stripped from canonical identity.</x:v>
      </x:c>
      <x:c r="Q2795" t="str"/>
      <x:c r="R2795" t="str"/>
      <x:c r="S2795" t="str">
        <x:v>Pending genuine supplier/brand image</x:v>
      </x:c>
      <x:c r="T2795" s="54" t="n">
        <x:v>51.99</x:v>
      </x:c>
      <x:c r="U2795" s="47" t="n">
        <x:v>0.2</x:v>
      </x:c>
      <x:c r="V2795" s="54" t="n">
        <x:f>IF(ISNUMBER(T2795),T2795*(1+U2795),"")</x:f>
        <x:v>62.388</x:v>
      </x:c>
      <x:c r="W2795" s="47" t="n">
        <x:v>0.3</x:v>
      </x:c>
      <x:c r="X2795" s="54" t="n">
        <x:f>IF(ISNUMBER(V2795),V2795/(1-W2795),"")</x:f>
        <x:v>89.1257142857143</x:v>
      </x:c>
      <x:c r="Y2795" s="55" t="n">
        <x:f>IF(ISNUMBER(X2795),ROUNDUP(X2795,0),"")</x:f>
        <x:v>90</x:v>
      </x:c>
      <x:c r="Z2795" t="str">
        <x:v>Source match pending</x:v>
      </x:c>
      <x:c r="AA2795" t="str">
        <x:v>screencapture-www-activesportstrade-co-uk-per4m-nutrition-trade-2026-09-10-09_06_42.pdf / page-05</x:v>
      </x:c>
      <x:c r="AB2795" s="36" t="n">
        <x:f>IF(ISNUMBER(Y2795),ROUND(Y2795*0.9,2),"")</x:f>
        <x:v>81</x:v>
      </x:c>
      <x:c r="AC2795" s="36" t="n">
        <x:f>IF(ISNUMBER(AB2795),ROUND(AB2795-(AB2795*0.015+0.2)-V2795,2),"")</x:f>
        <x:v>17.2</x:v>
      </x:c>
      <x:c r="AD2795" s="36" t="n">
        <x:f>IF(ISNUMBER(Y2795),ROUND(Y2795*0.8,2),"")</x:f>
        <x:v>72</x:v>
      </x:c>
      <x:c r="AE2795" s="36" t="n">
        <x:f>IF(ISNUMBER(AD2795),ROUND(AD2795*0.015+0.2,2),"")</x:f>
        <x:v>1.28</x:v>
      </x:c>
      <x:c r="AF2795" s="36" t="n">
        <x:f>IF(ISNUMBER(AD2795),ROUND(AD2795-AE2795-V2795,2),"")</x:f>
        <x:v>8.33</x:v>
      </x:c>
      <x:c r="AG2795" t="str">
        <x:f>IF(NOT(ISNUMBER(T2795)),"PENDING",IF(AF2795&gt;0,"PASS","FAIL"))</x:f>
        <x:v>PASS</x:v>
      </x:c>
      <x:c r="AH2795" t="str">
        <x:f>IF(NOT(ISNUMBER(T2795)),"Needs supplier cost",IF(K2795&lt;&gt;"In stock","Supplier unavailable",IF(AG2795&lt;&gt;"PASS","BLOCK - GT loss risk","Commercially protected")))</x:f>
        <x:v>Commercially protected</x:v>
      </x:c>
      <x:c r="AI2795" t="str">
        <x:v>2026-09-10 Active Sports trade capture</x:v>
      </x:c>
      <x:c r="AJ2795" t="str">
        <x:v>Management-only economics. Stripe stress test uses 1.5% + £0.20 standard UK online-card fee; pallet/mix-and-match pricing ignored.</x:v>
      </x:c>
    </x:row>
    <x:row r="2796">
      <x:c r="A2796" t="str">
        <x:v>Active Sports Nutrition</x:v>
      </x:c>
      <x:c r="B2796" t="str">
        <x:v>Per4m Nutrition</x:v>
      </x:c>
      <x:c r="C2796" t="str">
        <x:v>Whey Protein</x:v>
      </x:c>
      <x:c r="D2796" t="str">
        <x:v>Supplements</x:v>
      </x:c>
      <x:c r="E2796" t="str">
        <x:v>Whey Protein</x:v>
      </x:c>
      <x:c r="F2796" t="str"/>
      <x:c r="G2796" t="str">
        <x:v>2kg</x:v>
      </x:c>
      <x:c r="H2796" t="str">
        <x:v>Strawberry Creme</x:v>
      </x:c>
      <x:c r="I2796" t="str"/>
      <x:c r="J2796" t="str">
        <x:v>Unit</x:v>
      </x:c>
      <x:c r="K2796" t="str">
        <x:v>In stock</x:v>
      </x:c>
      <x:c r="L2796" t="str">
        <x:v>2026-09-08</x:v>
      </x:c>
      <x:c r="M2796" t="str"/>
      <x:c r="N2796" t="str"/>
      <x:c r="O2796" t="str">
        <x:v>https://www.activesportstrade.co.uk/Whey-Protein-Supplements-Trade/per4m-nutrition-trade</x:v>
      </x:c>
      <x:c r="P2796" t="str">
        <x:v>NEW PRICE/NEW wording stripped from canonical identity.</x:v>
      </x:c>
      <x:c r="Q2796" t="str"/>
      <x:c r="R2796" t="str"/>
      <x:c r="S2796" t="str">
        <x:v>Pending genuine supplier/brand image</x:v>
      </x:c>
      <x:c r="T2796" s="54" t="n">
        <x:v>51.99</x:v>
      </x:c>
      <x:c r="U2796" s="47" t="n">
        <x:v>0.2</x:v>
      </x:c>
      <x:c r="V2796" s="54" t="n">
        <x:f>IF(ISNUMBER(T2796),T2796*(1+U2796),"")</x:f>
        <x:v>62.388</x:v>
      </x:c>
      <x:c r="W2796" s="47" t="n">
        <x:v>0.3</x:v>
      </x:c>
      <x:c r="X2796" s="54" t="n">
        <x:f>IF(ISNUMBER(V2796),V2796/(1-W2796),"")</x:f>
        <x:v>89.1257142857143</x:v>
      </x:c>
      <x:c r="Y2796" s="55" t="n">
        <x:f>IF(ISNUMBER(X2796),ROUNDUP(X2796,0),"")</x:f>
        <x:v>90</x:v>
      </x:c>
      <x:c r="Z2796" t="str">
        <x:v>Source match pending</x:v>
      </x:c>
      <x:c r="AA2796" t="str">
        <x:v>screencapture-www-activesportstrade-co-uk-per4m-nutrition-trade-2026-09-10-09_06_42.pdf / page-05</x:v>
      </x:c>
      <x:c r="AB2796" s="36" t="n">
        <x:f>IF(ISNUMBER(Y2796),ROUND(Y2796*0.9,2),"")</x:f>
        <x:v>81</x:v>
      </x:c>
      <x:c r="AC2796" s="36" t="n">
        <x:f>IF(ISNUMBER(AB2796),ROUND(AB2796-(AB2796*0.015+0.2)-V2796,2),"")</x:f>
        <x:v>17.2</x:v>
      </x:c>
      <x:c r="AD2796" s="36" t="n">
        <x:f>IF(ISNUMBER(Y2796),ROUND(Y2796*0.8,2),"")</x:f>
        <x:v>72</x:v>
      </x:c>
      <x:c r="AE2796" s="36" t="n">
        <x:f>IF(ISNUMBER(AD2796),ROUND(AD2796*0.015+0.2,2),"")</x:f>
        <x:v>1.28</x:v>
      </x:c>
      <x:c r="AF2796" s="36" t="n">
        <x:f>IF(ISNUMBER(AD2796),ROUND(AD2796-AE2796-V2796,2),"")</x:f>
        <x:v>8.33</x:v>
      </x:c>
      <x:c r="AG2796" t="str">
        <x:f>IF(NOT(ISNUMBER(T2796)),"PENDING",IF(AF2796&gt;0,"PASS","FAIL"))</x:f>
        <x:v>PASS</x:v>
      </x:c>
      <x:c r="AH2796" t="str">
        <x:f>IF(NOT(ISNUMBER(T2796)),"Needs supplier cost",IF(K2796&lt;&gt;"In stock","Supplier unavailable",IF(AG2796&lt;&gt;"PASS","BLOCK - GT loss risk","Commercially protected")))</x:f>
        <x:v>Commercially protected</x:v>
      </x:c>
      <x:c r="AI2796" t="str">
        <x:v>2026-09-10 Active Sports trade capture</x:v>
      </x:c>
      <x:c r="AJ2796" t="str">
        <x:v>Management-only economics. Stripe stress test uses 1.5% + £0.20 standard UK online-card fee; pallet/mix-and-match pricing ignored.</x:v>
      </x:c>
    </x:row>
    <x:row r="2797">
      <x:c r="A2797" t="str">
        <x:v>Active Sports Nutrition</x:v>
      </x:c>
      <x:c r="B2797" t="str">
        <x:v>Per4m Nutrition</x:v>
      </x:c>
      <x:c r="C2797" t="str">
        <x:v>Whey Protein</x:v>
      </x:c>
      <x:c r="D2797" t="str">
        <x:v>Supplements</x:v>
      </x:c>
      <x:c r="E2797" t="str">
        <x:v>Whey Protein</x:v>
      </x:c>
      <x:c r="F2797" t="str"/>
      <x:c r="G2797" t="str">
        <x:v>2kg</x:v>
      </x:c>
      <x:c r="H2797" t="str">
        <x:v>Sweet &amp; Salty Popcorn</x:v>
      </x:c>
      <x:c r="I2797" t="str"/>
      <x:c r="J2797" t="str">
        <x:v>Unit</x:v>
      </x:c>
      <x:c r="K2797" t="str">
        <x:v>In stock</x:v>
      </x:c>
      <x:c r="L2797" t="str">
        <x:v>2026-09-08</x:v>
      </x:c>
      <x:c r="M2797" t="str"/>
      <x:c r="N2797" t="str"/>
      <x:c r="O2797" t="str">
        <x:v>https://www.activesportstrade.co.uk/Whey-Protein-Supplements-Trade/per4m-nutrition-trade</x:v>
      </x:c>
      <x:c r="P2797" t="str">
        <x:v>NEW PRICE/NEW wording stripped from canonical identity.</x:v>
      </x:c>
      <x:c r="Q2797" t="str"/>
      <x:c r="R2797" t="str"/>
      <x:c r="S2797" t="str">
        <x:v>Pending genuine supplier/brand image</x:v>
      </x:c>
      <x:c r="T2797" s="54" t="n">
        <x:v>51.99</x:v>
      </x:c>
      <x:c r="U2797" s="47" t="n">
        <x:v>0.2</x:v>
      </x:c>
      <x:c r="V2797" s="54" t="n">
        <x:f>IF(ISNUMBER(T2797),T2797*(1+U2797),"")</x:f>
        <x:v>62.388</x:v>
      </x:c>
      <x:c r="W2797" s="47" t="n">
        <x:v>0.3</x:v>
      </x:c>
      <x:c r="X2797" s="54" t="n">
        <x:f>IF(ISNUMBER(V2797),V2797/(1-W2797),"")</x:f>
        <x:v>89.1257142857143</x:v>
      </x:c>
      <x:c r="Y2797" s="55" t="n">
        <x:f>IF(ISNUMBER(X2797),ROUNDUP(X2797,0),"")</x:f>
        <x:v>90</x:v>
      </x:c>
      <x:c r="Z2797" t="str">
        <x:v>Source match pending</x:v>
      </x:c>
      <x:c r="AA2797" t="str">
        <x:v>screencapture-www-activesportstrade-co-uk-per4m-nutrition-trade-2026-09-10-09_06_42.pdf / page-05</x:v>
      </x:c>
      <x:c r="AB2797" s="36" t="n">
        <x:f>IF(ISNUMBER(Y2797),ROUND(Y2797*0.9,2),"")</x:f>
        <x:v>81</x:v>
      </x:c>
      <x:c r="AC2797" s="36" t="n">
        <x:f>IF(ISNUMBER(AB2797),ROUND(AB2797-(AB2797*0.015+0.2)-V2797,2),"")</x:f>
        <x:v>17.2</x:v>
      </x:c>
      <x:c r="AD2797" s="36" t="n">
        <x:f>IF(ISNUMBER(Y2797),ROUND(Y2797*0.8,2),"")</x:f>
        <x:v>72</x:v>
      </x:c>
      <x:c r="AE2797" s="36" t="n">
        <x:f>IF(ISNUMBER(AD2797),ROUND(AD2797*0.015+0.2,2),"")</x:f>
        <x:v>1.28</x:v>
      </x:c>
      <x:c r="AF2797" s="36" t="n">
        <x:f>IF(ISNUMBER(AD2797),ROUND(AD2797-AE2797-V2797,2),"")</x:f>
        <x:v>8.33</x:v>
      </x:c>
      <x:c r="AG2797" t="str">
        <x:f>IF(NOT(ISNUMBER(T2797)),"PENDING",IF(AF2797&gt;0,"PASS","FAIL"))</x:f>
        <x:v>PASS</x:v>
      </x:c>
      <x:c r="AH2797" t="str">
        <x:f>IF(NOT(ISNUMBER(T2797)),"Needs supplier cost",IF(K2797&lt;&gt;"In stock","Supplier unavailable",IF(AG2797&lt;&gt;"PASS","BLOCK - GT loss risk","Commercially protected")))</x:f>
        <x:v>Commercially protected</x:v>
      </x:c>
      <x:c r="AI2797" t="str">
        <x:v>2026-09-10 Active Sports trade capture</x:v>
      </x:c>
      <x:c r="AJ2797" t="str">
        <x:v>Management-only economics. Stripe stress test uses 1.5% + £0.20 standard UK online-card fee; pallet/mix-and-match pricing ignored.</x:v>
      </x:c>
    </x:row>
    <x:row r="2798">
      <x:c r="A2798" t="str">
        <x:v>Active Sports Nutrition</x:v>
      </x:c>
      <x:c r="B2798" t="str">
        <x:v>Per4m Nutrition</x:v>
      </x:c>
      <x:c r="C2798" t="str">
        <x:v>Whey Protein</x:v>
      </x:c>
      <x:c r="D2798" t="str">
        <x:v>Supplements</x:v>
      </x:c>
      <x:c r="E2798" t="str">
        <x:v>Whey Protein</x:v>
      </x:c>
      <x:c r="F2798" t="str"/>
      <x:c r="G2798" t="str">
        <x:v>2kg</x:v>
      </x:c>
      <x:c r="H2798" t="str">
        <x:v>Unflavoured</x:v>
      </x:c>
      <x:c r="I2798" t="str"/>
      <x:c r="J2798" t="str">
        <x:v>Unit</x:v>
      </x:c>
      <x:c r="K2798" t="str">
        <x:v>Out of stock</x:v>
      </x:c>
      <x:c r="L2798" t="str">
        <x:v>2026-09-08</x:v>
      </x:c>
      <x:c r="M2798" t="str"/>
      <x:c r="N2798" t="str"/>
      <x:c r="O2798" t="str">
        <x:v>https://www.activesportstrade.co.uk/Whey-Protein-Supplements-Trade/per4m-nutrition-trade</x:v>
      </x:c>
      <x:c r="P2798" t="str">
        <x:v>NEW PRICE/NEW wording stripped from canonical identity.</x:v>
      </x:c>
      <x:c r="Q2798" t="str"/>
      <x:c r="R2798" t="str"/>
      <x:c r="S2798" t="str">
        <x:v>Pending genuine supplier/brand image</x:v>
      </x:c>
      <x:c r="T2798" s="54" t="n">
        <x:v>51.99</x:v>
      </x:c>
      <x:c r="U2798" s="47" t="n">
        <x:v>0.2</x:v>
      </x:c>
      <x:c r="V2798" s="54" t="n">
        <x:f>IF(ISNUMBER(T2798),T2798*(1+U2798),"")</x:f>
        <x:v>62.388</x:v>
      </x:c>
      <x:c r="W2798" s="47" t="n">
        <x:v>0.3</x:v>
      </x:c>
      <x:c r="X2798" s="54" t="n">
        <x:f>IF(ISNUMBER(V2798),V2798/(1-W2798),"")</x:f>
        <x:v>89.1257142857143</x:v>
      </x:c>
      <x:c r="Y2798" s="55" t="n">
        <x:f>IF(ISNUMBER(X2798),ROUNDUP(X2798,0),"")</x:f>
        <x:v>90</x:v>
      </x:c>
      <x:c r="Z2798" t="str">
        <x:v>Source match pending</x:v>
      </x:c>
      <x:c r="AA2798" t="str">
        <x:v>screencapture-www-activesportstrade-co-uk-per4m-nutrition-trade-2026-09-10-09_06_42.pdf / page-05</x:v>
      </x:c>
      <x:c r="AB2798" s="36" t="n">
        <x:f>IF(ISNUMBER(Y2798),ROUND(Y2798*0.9,2),"")</x:f>
        <x:v>81</x:v>
      </x:c>
      <x:c r="AC2798" s="36" t="n">
        <x:f>IF(ISNUMBER(AB2798),ROUND(AB2798-(AB2798*0.015+0.2)-V2798,2),"")</x:f>
        <x:v>17.2</x:v>
      </x:c>
      <x:c r="AD2798" s="36" t="n">
        <x:f>IF(ISNUMBER(Y2798),ROUND(Y2798*0.8,2),"")</x:f>
        <x:v>72</x:v>
      </x:c>
      <x:c r="AE2798" s="36" t="n">
        <x:f>IF(ISNUMBER(AD2798),ROUND(AD2798*0.015+0.2,2),"")</x:f>
        <x:v>1.28</x:v>
      </x:c>
      <x:c r="AF2798" s="36" t="n">
        <x:f>IF(ISNUMBER(AD2798),ROUND(AD2798-AE2798-V2798,2),"")</x:f>
        <x:v>8.33</x:v>
      </x:c>
      <x:c r="AG2798" t="str">
        <x:f>IF(NOT(ISNUMBER(T2798)),"PENDING",IF(AF2798&gt;0,"PASS","FAIL"))</x:f>
        <x:v>PASS</x:v>
      </x:c>
      <x:c r="AH2798" t="str">
        <x:f>IF(NOT(ISNUMBER(T2798)),"Needs supplier cost",IF(K2798&lt;&gt;"In stock","Supplier unavailable",IF(AG2798&lt;&gt;"PASS","BLOCK - GT loss risk","Commercially protected")))</x:f>
        <x:v>Supplier unavailable</x:v>
      </x:c>
      <x:c r="AI2798" t="str">
        <x:v>2026-09-10 Active Sports trade capture</x:v>
      </x:c>
      <x:c r="AJ2798" t="str">
        <x:v>Management-only economics. Stripe stress test uses 1.5% + £0.20 standard UK online-card fee; pallet/mix-and-match pricing ignored.</x:v>
      </x:c>
    </x:row>
    <x:row r="2799">
      <x:c r="A2799" t="str">
        <x:v>Active Sports Nutrition</x:v>
      </x:c>
      <x:c r="B2799" t="str">
        <x:v>Per4m Nutrition</x:v>
      </x:c>
      <x:c r="C2799" t="str">
        <x:v>Whey Protein</x:v>
      </x:c>
      <x:c r="D2799" t="str">
        <x:v>Supplements</x:v>
      </x:c>
      <x:c r="E2799" t="str">
        <x:v>Whey Protein</x:v>
      </x:c>
      <x:c r="F2799" t="str"/>
      <x:c r="G2799" t="str">
        <x:v>2kg</x:v>
      </x:c>
      <x:c r="H2799" t="str">
        <x:v>Vanilla Creme</x:v>
      </x:c>
      <x:c r="I2799" t="str"/>
      <x:c r="J2799" t="str">
        <x:v>Unit</x:v>
      </x:c>
      <x:c r="K2799" t="str">
        <x:v>In stock</x:v>
      </x:c>
      <x:c r="L2799" t="str">
        <x:v>2026-09-08</x:v>
      </x:c>
      <x:c r="M2799" t="str"/>
      <x:c r="N2799" t="str"/>
      <x:c r="O2799" t="str">
        <x:v>https://www.activesportstrade.co.uk/Whey-Protein-Supplements-Trade/per4m-nutrition-trade</x:v>
      </x:c>
      <x:c r="P2799" t="str">
        <x:v>NEW PRICE/NEW wording stripped from canonical identity.</x:v>
      </x:c>
      <x:c r="Q2799" t="str"/>
      <x:c r="R2799" t="str"/>
      <x:c r="S2799" t="str">
        <x:v>Pending genuine supplier/brand image</x:v>
      </x:c>
      <x:c r="T2799" s="54" t="n">
        <x:v>51.99</x:v>
      </x:c>
      <x:c r="U2799" s="47" t="n">
        <x:v>0.2</x:v>
      </x:c>
      <x:c r="V2799" s="54" t="n">
        <x:f>IF(ISNUMBER(T2799),T2799*(1+U2799),"")</x:f>
        <x:v>62.388</x:v>
      </x:c>
      <x:c r="W2799" s="47" t="n">
        <x:v>0.3</x:v>
      </x:c>
      <x:c r="X2799" s="54" t="n">
        <x:f>IF(ISNUMBER(V2799),V2799/(1-W2799),"")</x:f>
        <x:v>89.1257142857143</x:v>
      </x:c>
      <x:c r="Y2799" s="55" t="n">
        <x:f>IF(ISNUMBER(X2799),ROUNDUP(X2799,0),"")</x:f>
        <x:v>90</x:v>
      </x:c>
      <x:c r="Z2799" t="str">
        <x:v>Source match pending</x:v>
      </x:c>
      <x:c r="AA2799" t="str">
        <x:v>screencapture-www-activesportstrade-co-uk-per4m-nutrition-trade-2026-09-10-09_06_42.pdf / page-05</x:v>
      </x:c>
      <x:c r="AB2799" s="36" t="n">
        <x:f>IF(ISNUMBER(Y2799),ROUND(Y2799*0.9,2),"")</x:f>
        <x:v>81</x:v>
      </x:c>
      <x:c r="AC2799" s="36" t="n">
        <x:f>IF(ISNUMBER(AB2799),ROUND(AB2799-(AB2799*0.015+0.2)-V2799,2),"")</x:f>
        <x:v>17.2</x:v>
      </x:c>
      <x:c r="AD2799" s="36" t="n">
        <x:f>IF(ISNUMBER(Y2799),ROUND(Y2799*0.8,2),"")</x:f>
        <x:v>72</x:v>
      </x:c>
      <x:c r="AE2799" s="36" t="n">
        <x:f>IF(ISNUMBER(AD2799),ROUND(AD2799*0.015+0.2,2),"")</x:f>
        <x:v>1.28</x:v>
      </x:c>
      <x:c r="AF2799" s="36" t="n">
        <x:f>IF(ISNUMBER(AD2799),ROUND(AD2799-AE2799-V2799,2),"")</x:f>
        <x:v>8.33</x:v>
      </x:c>
      <x:c r="AG2799" t="str">
        <x:f>IF(NOT(ISNUMBER(T2799)),"PENDING",IF(AF2799&gt;0,"PASS","FAIL"))</x:f>
        <x:v>PASS</x:v>
      </x:c>
      <x:c r="AH2799" t="str">
        <x:f>IF(NOT(ISNUMBER(T2799)),"Needs supplier cost",IF(K2799&lt;&gt;"In stock","Supplier unavailable",IF(AG2799&lt;&gt;"PASS","BLOCK - GT loss risk","Commercially protected")))</x:f>
        <x:v>Commercially protected</x:v>
      </x:c>
      <x:c r="AI2799" t="str">
        <x:v>2026-09-10 Active Sports trade capture</x:v>
      </x:c>
      <x:c r="AJ2799" t="str">
        <x:v>Management-only economics. Stripe stress test uses 1.5% + £0.20 standard UK online-card fee; pallet/mix-and-match pricing ignored.</x:v>
      </x:c>
    </x:row>
    <x:row r="2800">
      <x:c r="A2800" t="str">
        <x:v>Active Sports Nutrition</x:v>
      </x:c>
      <x:c r="B2800" t="str">
        <x:v>Per4m Nutrition</x:v>
      </x:c>
      <x:c r="C2800" t="str">
        <x:v>Whey Protein</x:v>
      </x:c>
      <x:c r="D2800" t="str">
        <x:v>Supplements</x:v>
      </x:c>
      <x:c r="E2800" t="str">
        <x:v>Whey Protein</x:v>
      </x:c>
      <x:c r="F2800" t="str"/>
      <x:c r="G2800" t="str">
        <x:v>2kg</x:v>
      </x:c>
      <x:c r="H2800" t="str">
        <x:v>White Choc Hazelnut</x:v>
      </x:c>
      <x:c r="I2800" t="str"/>
      <x:c r="J2800" t="str">
        <x:v>Unit</x:v>
      </x:c>
      <x:c r="K2800" t="str">
        <x:v>In stock</x:v>
      </x:c>
      <x:c r="L2800" t="str">
        <x:v>2026-09-08</x:v>
      </x:c>
      <x:c r="M2800" t="str"/>
      <x:c r="N2800" t="str"/>
      <x:c r="O2800" t="str">
        <x:v>https://www.activesportstrade.co.uk/Whey-Protein-Supplements-Trade/per4m-nutrition-trade</x:v>
      </x:c>
      <x:c r="P2800" t="str">
        <x:v>NEW PRICE/NEW wording stripped from canonical identity.</x:v>
      </x:c>
      <x:c r="Q2800" t="str"/>
      <x:c r="R2800" t="str"/>
      <x:c r="S2800" t="str">
        <x:v>Pending genuine supplier/brand image</x:v>
      </x:c>
      <x:c r="T2800" s="54" t="n">
        <x:v>51.99</x:v>
      </x:c>
      <x:c r="U2800" s="47" t="n">
        <x:v>0.2</x:v>
      </x:c>
      <x:c r="V2800" s="54" t="n">
        <x:f>IF(ISNUMBER(T2800),T2800*(1+U2800),"")</x:f>
        <x:v>62.388</x:v>
      </x:c>
      <x:c r="W2800" s="47" t="n">
        <x:v>0.3</x:v>
      </x:c>
      <x:c r="X2800" s="54" t="n">
        <x:f>IF(ISNUMBER(V2800),V2800/(1-W2800),"")</x:f>
        <x:v>89.1257142857143</x:v>
      </x:c>
      <x:c r="Y2800" s="55" t="n">
        <x:f>IF(ISNUMBER(X2800),ROUNDUP(X2800,0),"")</x:f>
        <x:v>90</x:v>
      </x:c>
      <x:c r="Z2800" t="str">
        <x:v>Source match pending</x:v>
      </x:c>
      <x:c r="AA2800" t="str">
        <x:v>screencapture-www-activesportstrade-co-uk-per4m-nutrition-trade-2026-09-10-09_06_42.pdf / page-05</x:v>
      </x:c>
      <x:c r="AB2800" s="36" t="n">
        <x:f>IF(ISNUMBER(Y2800),ROUND(Y2800*0.9,2),"")</x:f>
        <x:v>81</x:v>
      </x:c>
      <x:c r="AC2800" s="36" t="n">
        <x:f>IF(ISNUMBER(AB2800),ROUND(AB2800-(AB2800*0.015+0.2)-V2800,2),"")</x:f>
        <x:v>17.2</x:v>
      </x:c>
      <x:c r="AD2800" s="36" t="n">
        <x:f>IF(ISNUMBER(Y2800),ROUND(Y2800*0.8,2),"")</x:f>
        <x:v>72</x:v>
      </x:c>
      <x:c r="AE2800" s="36" t="n">
        <x:f>IF(ISNUMBER(AD2800),ROUND(AD2800*0.015+0.2,2),"")</x:f>
        <x:v>1.28</x:v>
      </x:c>
      <x:c r="AF2800" s="36" t="n">
        <x:f>IF(ISNUMBER(AD2800),ROUND(AD2800-AE2800-V2800,2),"")</x:f>
        <x:v>8.33</x:v>
      </x:c>
      <x:c r="AG2800" t="str">
        <x:f>IF(NOT(ISNUMBER(T2800)),"PENDING",IF(AF2800&gt;0,"PASS","FAIL"))</x:f>
        <x:v>PASS</x:v>
      </x:c>
      <x:c r="AH2800" t="str">
        <x:f>IF(NOT(ISNUMBER(T2800)),"Needs supplier cost",IF(K2800&lt;&gt;"In stock","Supplier unavailable",IF(AG2800&lt;&gt;"PASS","BLOCK - GT loss risk","Commercially protected")))</x:f>
        <x:v>Commercially protected</x:v>
      </x:c>
      <x:c r="AI2800" t="str">
        <x:v>2026-09-10 Active Sports trade capture</x:v>
      </x:c>
      <x:c r="AJ2800" t="str">
        <x:v>Management-only economics. Stripe stress test uses 1.5% + £0.20 standard UK online-card fee; pallet/mix-and-match pricing ignored.</x:v>
      </x:c>
    </x:row>
    <x:row r="2801">
      <x:c r="A2801" t="str">
        <x:v>Active Sports Nutrition</x:v>
      </x:c>
      <x:c r="B2801" t="str">
        <x:v>Per4m Nutrition</x:v>
      </x:c>
      <x:c r="C2801" t="str">
        <x:v>Whey Protein</x:v>
      </x:c>
      <x:c r="D2801" t="str">
        <x:v>Supplements</x:v>
      </x:c>
      <x:c r="E2801" t="str">
        <x:v>Whey Protein</x:v>
      </x:c>
      <x:c r="F2801" t="str"/>
      <x:c r="G2801" t="str">
        <x:v>2kg</x:v>
      </x:c>
      <x:c r="H2801" t="str">
        <x:v>White Chocolate</x:v>
      </x:c>
      <x:c r="I2801" t="str"/>
      <x:c r="J2801" t="str">
        <x:v>Unit</x:v>
      </x:c>
      <x:c r="K2801" t="str">
        <x:v>In stock</x:v>
      </x:c>
      <x:c r="L2801" t="str">
        <x:v>2026-09-08</x:v>
      </x:c>
      <x:c r="M2801" t="str"/>
      <x:c r="N2801" t="str"/>
      <x:c r="O2801" t="str">
        <x:v>https://www.activesportstrade.co.uk/Whey-Protein-Supplements-Trade/per4m-nutrition-trade</x:v>
      </x:c>
      <x:c r="P2801" t="str">
        <x:v>NEW PRICE/NEW wording stripped from canonical identity.</x:v>
      </x:c>
      <x:c r="Q2801" t="str"/>
      <x:c r="R2801" t="str"/>
      <x:c r="S2801" t="str">
        <x:v>Pending genuine supplier/brand image</x:v>
      </x:c>
      <x:c r="T2801" s="54" t="n">
        <x:v>51.99</x:v>
      </x:c>
      <x:c r="U2801" s="47" t="n">
        <x:v>0.2</x:v>
      </x:c>
      <x:c r="V2801" s="54" t="n">
        <x:f>IF(ISNUMBER(T2801),T2801*(1+U2801),"")</x:f>
        <x:v>62.388</x:v>
      </x:c>
      <x:c r="W2801" s="47" t="n">
        <x:v>0.3</x:v>
      </x:c>
      <x:c r="X2801" s="54" t="n">
        <x:f>IF(ISNUMBER(V2801),V2801/(1-W2801),"")</x:f>
        <x:v>89.1257142857143</x:v>
      </x:c>
      <x:c r="Y2801" s="55" t="n">
        <x:f>IF(ISNUMBER(X2801),ROUNDUP(X2801,0),"")</x:f>
        <x:v>90</x:v>
      </x:c>
      <x:c r="Z2801" t="str">
        <x:v>Source match pending</x:v>
      </x:c>
      <x:c r="AA2801" t="str">
        <x:v>screencapture-www-activesportstrade-co-uk-per4m-nutrition-trade-2026-09-10-09_06_42.pdf / page-05</x:v>
      </x:c>
      <x:c r="AB2801" s="36" t="n">
        <x:f>IF(ISNUMBER(Y2801),ROUND(Y2801*0.9,2),"")</x:f>
        <x:v>81</x:v>
      </x:c>
      <x:c r="AC2801" s="36" t="n">
        <x:f>IF(ISNUMBER(AB2801),ROUND(AB2801-(AB2801*0.015+0.2)-V2801,2),"")</x:f>
        <x:v>17.2</x:v>
      </x:c>
      <x:c r="AD2801" s="36" t="n">
        <x:f>IF(ISNUMBER(Y2801),ROUND(Y2801*0.8,2),"")</x:f>
        <x:v>72</x:v>
      </x:c>
      <x:c r="AE2801" s="36" t="n">
        <x:f>IF(ISNUMBER(AD2801),ROUND(AD2801*0.015+0.2,2),"")</x:f>
        <x:v>1.28</x:v>
      </x:c>
      <x:c r="AF2801" s="36" t="n">
        <x:f>IF(ISNUMBER(AD2801),ROUND(AD2801-AE2801-V2801,2),"")</x:f>
        <x:v>8.33</x:v>
      </x:c>
      <x:c r="AG2801" t="str">
        <x:f>IF(NOT(ISNUMBER(T2801)),"PENDING",IF(AF2801&gt;0,"PASS","FAIL"))</x:f>
        <x:v>PASS</x:v>
      </x:c>
      <x:c r="AH2801" t="str">
        <x:f>IF(NOT(ISNUMBER(T2801)),"Needs supplier cost",IF(K2801&lt;&gt;"In stock","Supplier unavailable",IF(AG2801&lt;&gt;"PASS","BLOCK - GT loss risk","Commercially protected")))</x:f>
        <x:v>Commercially protected</x:v>
      </x:c>
      <x:c r="AI2801" t="str">
        <x:v>2026-09-10 Active Sports trade capture</x:v>
      </x:c>
      <x:c r="AJ2801" t="str">
        <x:v>Management-only economics. Stripe stress test uses 1.5% + £0.20 standard UK online-card fee; pallet/mix-and-match pricing ignored.</x:v>
      </x:c>
    </x:row>
    <x:row r="2802">
      <x:c r="A2802" t="str">
        <x:v>Active Sports Nutrition</x:v>
      </x:c>
      <x:c r="B2802" t="str">
        <x:v>Per4m Nutrition</x:v>
      </x:c>
      <x:c r="C2802" t="str">
        <x:v>Isolate Zero 100% Whey Protein Isolate</x:v>
      </x:c>
      <x:c r="D2802" t="str">
        <x:v>Supplements</x:v>
      </x:c>
      <x:c r="E2802" t="str">
        <x:v>Whey Isolate</x:v>
      </x:c>
      <x:c r="F2802" t="str"/>
      <x:c r="G2802" t="str">
        <x:v>900g</x:v>
      </x:c>
      <x:c r="H2802" t="str">
        <x:v>Red Velvet Cake</x:v>
      </x:c>
      <x:c r="I2802" t="str"/>
      <x:c r="J2802" t="str">
        <x:v>Unit</x:v>
      </x:c>
      <x:c r="K2802" t="str">
        <x:v>In stock</x:v>
      </x:c>
      <x:c r="L2802" t="str">
        <x:v>2026-09-08</x:v>
      </x:c>
      <x:c r="M2802" t="str"/>
      <x:c r="N2802" t="str"/>
      <x:c r="O2802" t="str">
        <x:v>https://www.activesportstrade.co.uk/per4m-nutrition-trade</x:v>
      </x:c>
      <x:c r="P2802" t="str">
        <x:v>Completion of current 900g matrix; NEW wording stripped.</x:v>
      </x:c>
      <x:c r="Q2802" t="str"/>
      <x:c r="R2802" t="str"/>
      <x:c r="S2802" t="str">
        <x:v>Pending genuine supplier/brand image</x:v>
      </x:c>
      <x:c r="T2802" s="54" t="n">
        <x:v>25.99</x:v>
      </x:c>
      <x:c r="U2802" s="47" t="n">
        <x:v>0.2</x:v>
      </x:c>
      <x:c r="V2802" s="54" t="n">
        <x:f>IF(ISNUMBER(T2802),T2802*(1+U2802),"")</x:f>
        <x:v>31.187999999999995</x:v>
      </x:c>
      <x:c r="W2802" s="47" t="n">
        <x:v>0.3</x:v>
      </x:c>
      <x:c r="X2802" s="54" t="n">
        <x:f>IF(ISNUMBER(V2802),V2802/(1-W2802),"")</x:f>
        <x:v>44.55428571428571</x:v>
      </x:c>
      <x:c r="Y2802" s="55" t="n">
        <x:f>IF(ISNUMBER(X2802),ROUNDUP(X2802,0),"")</x:f>
        <x:v>45</x:v>
      </x:c>
      <x:c r="Z2802" t="str">
        <x:v>Source match pending</x:v>
      </x:c>
      <x:c r="AA2802" t="str">
        <x:v>screencapture-www-activesportstrade-co-uk-per4m-nutrition-trade-2026-09-10-09_06_42.pdf / page-05</x:v>
      </x:c>
      <x:c r="AB2802" s="36" t="n">
        <x:f>IF(ISNUMBER(Y2802),ROUND(Y2802*0.9,2),"")</x:f>
        <x:v>40.5</x:v>
      </x:c>
      <x:c r="AC2802" s="36" t="n">
        <x:f>IF(ISNUMBER(AB2802),ROUND(AB2802-(AB2802*0.015+0.2)-V2802,2),"")</x:f>
        <x:v>8.5</x:v>
      </x:c>
      <x:c r="AD2802" s="36" t="n">
        <x:f>IF(ISNUMBER(Y2802),ROUND(Y2802*0.8,2),"")</x:f>
        <x:v>36</x:v>
      </x:c>
      <x:c r="AE2802" s="36" t="n">
        <x:f>IF(ISNUMBER(AD2802),ROUND(AD2802*0.015+0.2,2),"")</x:f>
        <x:v>0.74</x:v>
      </x:c>
      <x:c r="AF2802" s="36" t="n">
        <x:f>IF(ISNUMBER(AD2802),ROUND(AD2802-AE2802-V2802,2),"")</x:f>
        <x:v>4.07</x:v>
      </x:c>
      <x:c r="AG2802" t="str">
        <x:f>IF(NOT(ISNUMBER(T2802)),"PENDING",IF(AF2802&gt;0,"PASS","FAIL"))</x:f>
        <x:v>PASS</x:v>
      </x:c>
      <x:c r="AH2802" t="str">
        <x:f>IF(NOT(ISNUMBER(T2802)),"Needs supplier cost",IF(K2802&lt;&gt;"In stock","Supplier unavailable",IF(AG2802&lt;&gt;"PASS","BLOCK - GT loss risk","Commercially protected")))</x:f>
        <x:v>Commercially protected</x:v>
      </x:c>
      <x:c r="AI2802" t="str">
        <x:v>2026-09-10 Active Sports trade capture</x:v>
      </x:c>
      <x:c r="AJ2802" t="str">
        <x:v>Management-only economics. Stripe stress test uses 1.5% + £0.20 standard UK online-card fee; pallet/mix-and-match pricing ignored.</x:v>
      </x:c>
    </x:row>
    <x:row r="2803">
      <x:c r="A2803" t="str">
        <x:v>Active Sports Nutrition</x:v>
      </x:c>
      <x:c r="B2803" t="str">
        <x:v>Per4m Nutrition</x:v>
      </x:c>
      <x:c r="C2803" t="str">
        <x:v>Isolate Zero 100% Whey Protein Isolate</x:v>
      </x:c>
      <x:c r="D2803" t="str">
        <x:v>Supplements</x:v>
      </x:c>
      <x:c r="E2803" t="str">
        <x:v>Whey Isolate</x:v>
      </x:c>
      <x:c r="F2803" t="str"/>
      <x:c r="G2803" t="str">
        <x:v>900g</x:v>
      </x:c>
      <x:c r="H2803" t="str">
        <x:v>Salted Caramel</x:v>
      </x:c>
      <x:c r="I2803" t="str"/>
      <x:c r="J2803" t="str">
        <x:v>Unit</x:v>
      </x:c>
      <x:c r="K2803" t="str">
        <x:v>In stock</x:v>
      </x:c>
      <x:c r="L2803" t="str">
        <x:v>2026-09-08</x:v>
      </x:c>
      <x:c r="M2803" t="str"/>
      <x:c r="N2803" t="str"/>
      <x:c r="O2803" t="str">
        <x:v>https://www.activesportstrade.co.uk/per4m-nutrition-trade</x:v>
      </x:c>
      <x:c r="P2803" t="str">
        <x:v>Completion of current 900g matrix; NEW wording stripped.</x:v>
      </x:c>
      <x:c r="Q2803" t="str"/>
      <x:c r="R2803" t="str"/>
      <x:c r="S2803" t="str">
        <x:v>Pending genuine supplier/brand image</x:v>
      </x:c>
      <x:c r="T2803" s="54" t="n">
        <x:v>25.99</x:v>
      </x:c>
      <x:c r="U2803" s="47" t="n">
        <x:v>0.2</x:v>
      </x:c>
      <x:c r="V2803" s="54" t="n">
        <x:f>IF(ISNUMBER(T2803),T2803*(1+U2803),"")</x:f>
        <x:v>31.187999999999995</x:v>
      </x:c>
      <x:c r="W2803" s="47" t="n">
        <x:v>0.3</x:v>
      </x:c>
      <x:c r="X2803" s="54" t="n">
        <x:f>IF(ISNUMBER(V2803),V2803/(1-W2803),"")</x:f>
        <x:v>44.55428571428571</x:v>
      </x:c>
      <x:c r="Y2803" s="55" t="n">
        <x:f>IF(ISNUMBER(X2803),ROUNDUP(X2803,0),"")</x:f>
        <x:v>45</x:v>
      </x:c>
      <x:c r="Z2803" t="str">
        <x:v>Source match pending</x:v>
      </x:c>
      <x:c r="AA2803" t="str">
        <x:v>screencapture-www-activesportstrade-co-uk-per4m-nutrition-trade-2026-09-10-09_06_42.pdf / page-05</x:v>
      </x:c>
      <x:c r="AB2803" s="36" t="n">
        <x:f>IF(ISNUMBER(Y2803),ROUND(Y2803*0.9,2),"")</x:f>
        <x:v>40.5</x:v>
      </x:c>
      <x:c r="AC2803" s="36" t="n">
        <x:f>IF(ISNUMBER(AB2803),ROUND(AB2803-(AB2803*0.015+0.2)-V2803,2),"")</x:f>
        <x:v>8.5</x:v>
      </x:c>
      <x:c r="AD2803" s="36" t="n">
        <x:f>IF(ISNUMBER(Y2803),ROUND(Y2803*0.8,2),"")</x:f>
        <x:v>36</x:v>
      </x:c>
      <x:c r="AE2803" s="36" t="n">
        <x:f>IF(ISNUMBER(AD2803),ROUND(AD2803*0.015+0.2,2),"")</x:f>
        <x:v>0.74</x:v>
      </x:c>
      <x:c r="AF2803" s="36" t="n">
        <x:f>IF(ISNUMBER(AD2803),ROUND(AD2803-AE2803-V2803,2),"")</x:f>
        <x:v>4.07</x:v>
      </x:c>
      <x:c r="AG2803" t="str">
        <x:f>IF(NOT(ISNUMBER(T2803)),"PENDING",IF(AF2803&gt;0,"PASS","FAIL"))</x:f>
        <x:v>PASS</x:v>
      </x:c>
      <x:c r="AH2803" t="str">
        <x:f>IF(NOT(ISNUMBER(T2803)),"Needs supplier cost",IF(K2803&lt;&gt;"In stock","Supplier unavailable",IF(AG2803&lt;&gt;"PASS","BLOCK - GT loss risk","Commercially protected")))</x:f>
        <x:v>Commercially protected</x:v>
      </x:c>
      <x:c r="AI2803" t="str">
        <x:v>2026-09-10 Active Sports trade capture</x:v>
      </x:c>
      <x:c r="AJ2803" t="str">
        <x:v>Management-only economics. Stripe stress test uses 1.5% + £0.20 standard UK online-card fee; pallet/mix-and-match pricing ignored.</x:v>
      </x:c>
    </x:row>
    <x:row r="2804">
      <x:c r="A2804" t="str">
        <x:v>Active Sports Nutrition</x:v>
      </x:c>
      <x:c r="B2804" t="str">
        <x:v>Per4m Nutrition</x:v>
      </x:c>
      <x:c r="C2804" t="str">
        <x:v>Isolate Zero 100% Whey Protein Isolate</x:v>
      </x:c>
      <x:c r="D2804" t="str">
        <x:v>Supplements</x:v>
      </x:c>
      <x:c r="E2804" t="str">
        <x:v>Whey Isolate</x:v>
      </x:c>
      <x:c r="F2804" t="str"/>
      <x:c r="G2804" t="str">
        <x:v>900g</x:v>
      </x:c>
      <x:c r="H2804" t="str">
        <x:v>Sticky Toffee Pudding</x:v>
      </x:c>
      <x:c r="I2804" t="str"/>
      <x:c r="J2804" t="str">
        <x:v>Unit</x:v>
      </x:c>
      <x:c r="K2804" t="str">
        <x:v>In stock</x:v>
      </x:c>
      <x:c r="L2804" t="str">
        <x:v>2026-09-08</x:v>
      </x:c>
      <x:c r="M2804" t="str"/>
      <x:c r="N2804" t="str"/>
      <x:c r="O2804" t="str">
        <x:v>https://www.activesportstrade.co.uk/per4m-nutrition-trade</x:v>
      </x:c>
      <x:c r="P2804" t="str">
        <x:v>Completion of current 900g matrix; NEW wording stripped.</x:v>
      </x:c>
      <x:c r="Q2804" t="str"/>
      <x:c r="R2804" t="str"/>
      <x:c r="S2804" t="str">
        <x:v>Pending genuine supplier/brand image</x:v>
      </x:c>
      <x:c r="T2804" s="54" t="n">
        <x:v>25.99</x:v>
      </x:c>
      <x:c r="U2804" s="47" t="n">
        <x:v>0.2</x:v>
      </x:c>
      <x:c r="V2804" s="54" t="n">
        <x:f>IF(ISNUMBER(T2804),T2804*(1+U2804),"")</x:f>
        <x:v>31.187999999999995</x:v>
      </x:c>
      <x:c r="W2804" s="47" t="n">
        <x:v>0.3</x:v>
      </x:c>
      <x:c r="X2804" s="54" t="n">
        <x:f>IF(ISNUMBER(V2804),V2804/(1-W2804),"")</x:f>
        <x:v>44.55428571428571</x:v>
      </x:c>
      <x:c r="Y2804" s="55" t="n">
        <x:f>IF(ISNUMBER(X2804),ROUNDUP(X2804,0),"")</x:f>
        <x:v>45</x:v>
      </x:c>
      <x:c r="Z2804" t="str">
        <x:v>Source match pending</x:v>
      </x:c>
      <x:c r="AA2804" t="str">
        <x:v>screencapture-www-activesportstrade-co-uk-per4m-nutrition-trade-2026-09-10-09_06_42.pdf / page-05</x:v>
      </x:c>
      <x:c r="AB2804" s="36" t="n">
        <x:f>IF(ISNUMBER(Y2804),ROUND(Y2804*0.9,2),"")</x:f>
        <x:v>40.5</x:v>
      </x:c>
      <x:c r="AC2804" s="36" t="n">
        <x:f>IF(ISNUMBER(AB2804),ROUND(AB2804-(AB2804*0.015+0.2)-V2804,2),"")</x:f>
        <x:v>8.5</x:v>
      </x:c>
      <x:c r="AD2804" s="36" t="n">
        <x:f>IF(ISNUMBER(Y2804),ROUND(Y2804*0.8,2),"")</x:f>
        <x:v>36</x:v>
      </x:c>
      <x:c r="AE2804" s="36" t="n">
        <x:f>IF(ISNUMBER(AD2804),ROUND(AD2804*0.015+0.2,2),"")</x:f>
        <x:v>0.74</x:v>
      </x:c>
      <x:c r="AF2804" s="36" t="n">
        <x:f>IF(ISNUMBER(AD2804),ROUND(AD2804-AE2804-V2804,2),"")</x:f>
        <x:v>4.07</x:v>
      </x:c>
      <x:c r="AG2804" t="str">
        <x:f>IF(NOT(ISNUMBER(T2804)),"PENDING",IF(AF2804&gt;0,"PASS","FAIL"))</x:f>
        <x:v>PASS</x:v>
      </x:c>
      <x:c r="AH2804" t="str">
        <x:f>IF(NOT(ISNUMBER(T2804)),"Needs supplier cost",IF(K2804&lt;&gt;"In stock","Supplier unavailable",IF(AG2804&lt;&gt;"PASS","BLOCK - GT loss risk","Commercially protected")))</x:f>
        <x:v>Commercially protected</x:v>
      </x:c>
      <x:c r="AI2804" t="str">
        <x:v>2026-09-10 Active Sports trade capture</x:v>
      </x:c>
      <x:c r="AJ2804" t="str">
        <x:v>Management-only economics. Stripe stress test uses 1.5% + £0.20 standard UK online-card fee; pallet/mix-and-match pricing ignored.</x:v>
      </x:c>
    </x:row>
    <x:row r="2805">
      <x:c r="A2805" t="str">
        <x:v>Active Sports Nutrition</x:v>
      </x:c>
      <x:c r="B2805" t="str">
        <x:v>Per4m Nutrition</x:v>
      </x:c>
      <x:c r="C2805" t="str">
        <x:v>Isolate Zero 100% Whey Protein Isolate</x:v>
      </x:c>
      <x:c r="D2805" t="str">
        <x:v>Supplements</x:v>
      </x:c>
      <x:c r="E2805" t="str">
        <x:v>Whey Isolate</x:v>
      </x:c>
      <x:c r="F2805" t="str"/>
      <x:c r="G2805" t="str">
        <x:v>900g</x:v>
      </x:c>
      <x:c r="H2805" t="str">
        <x:v>Strawberry</x:v>
      </x:c>
      <x:c r="I2805" t="str"/>
      <x:c r="J2805" t="str">
        <x:v>Unit</x:v>
      </x:c>
      <x:c r="K2805" t="str">
        <x:v>In stock</x:v>
      </x:c>
      <x:c r="L2805" t="str">
        <x:v>2026-09-08</x:v>
      </x:c>
      <x:c r="M2805" t="str"/>
      <x:c r="N2805" t="str"/>
      <x:c r="O2805" t="str">
        <x:v>https://www.activesportstrade.co.uk/per4m-nutrition-trade</x:v>
      </x:c>
      <x:c r="P2805" t="str">
        <x:v>Completion of current 900g matrix; NEW wording stripped.</x:v>
      </x:c>
      <x:c r="Q2805" t="str"/>
      <x:c r="R2805" t="str"/>
      <x:c r="S2805" t="str">
        <x:v>Pending genuine supplier/brand image</x:v>
      </x:c>
      <x:c r="T2805" s="54" t="n">
        <x:v>25.99</x:v>
      </x:c>
      <x:c r="U2805" s="47" t="n">
        <x:v>0.2</x:v>
      </x:c>
      <x:c r="V2805" s="54" t="n">
        <x:f>IF(ISNUMBER(T2805),T2805*(1+U2805),"")</x:f>
        <x:v>31.187999999999995</x:v>
      </x:c>
      <x:c r="W2805" s="47" t="n">
        <x:v>0.3</x:v>
      </x:c>
      <x:c r="X2805" s="54" t="n">
        <x:f>IF(ISNUMBER(V2805),V2805/(1-W2805),"")</x:f>
        <x:v>44.55428571428571</x:v>
      </x:c>
      <x:c r="Y2805" s="55" t="n">
        <x:f>IF(ISNUMBER(X2805),ROUNDUP(X2805,0),"")</x:f>
        <x:v>45</x:v>
      </x:c>
      <x:c r="Z2805" t="str">
        <x:v>Source match pending</x:v>
      </x:c>
      <x:c r="AA2805" t="str">
        <x:v>screencapture-www-activesportstrade-co-uk-per4m-nutrition-trade-2026-09-10-09_06_42.pdf / page-05</x:v>
      </x:c>
      <x:c r="AB2805" s="36" t="n">
        <x:f>IF(ISNUMBER(Y2805),ROUND(Y2805*0.9,2),"")</x:f>
        <x:v>40.5</x:v>
      </x:c>
      <x:c r="AC2805" s="36" t="n">
        <x:f>IF(ISNUMBER(AB2805),ROUND(AB2805-(AB2805*0.015+0.2)-V2805,2),"")</x:f>
        <x:v>8.5</x:v>
      </x:c>
      <x:c r="AD2805" s="36" t="n">
        <x:f>IF(ISNUMBER(Y2805),ROUND(Y2805*0.8,2),"")</x:f>
        <x:v>36</x:v>
      </x:c>
      <x:c r="AE2805" s="36" t="n">
        <x:f>IF(ISNUMBER(AD2805),ROUND(AD2805*0.015+0.2,2),"")</x:f>
        <x:v>0.74</x:v>
      </x:c>
      <x:c r="AF2805" s="36" t="n">
        <x:f>IF(ISNUMBER(AD2805),ROUND(AD2805-AE2805-V2805,2),"")</x:f>
        <x:v>4.07</x:v>
      </x:c>
      <x:c r="AG2805" t="str">
        <x:f>IF(NOT(ISNUMBER(T2805)),"PENDING",IF(AF2805&gt;0,"PASS","FAIL"))</x:f>
        <x:v>PASS</x:v>
      </x:c>
      <x:c r="AH2805" t="str">
        <x:f>IF(NOT(ISNUMBER(T2805)),"Needs supplier cost",IF(K2805&lt;&gt;"In stock","Supplier unavailable",IF(AG2805&lt;&gt;"PASS","BLOCK - GT loss risk","Commercially protected")))</x:f>
        <x:v>Commercially protected</x:v>
      </x:c>
      <x:c r="AI2805" t="str">
        <x:v>2026-09-10 Active Sports trade capture</x:v>
      </x:c>
      <x:c r="AJ2805" t="str">
        <x:v>Management-only economics. Stripe stress test uses 1.5% + £0.20 standard UK online-card fee; pallet/mix-and-match pricing ignored.</x:v>
      </x:c>
    </x:row>
    <x:row r="2806">
      <x:c r="A2806" t="str">
        <x:v>Active Sports Nutrition</x:v>
      </x:c>
      <x:c r="B2806" t="str">
        <x:v>Per4m Nutrition</x:v>
      </x:c>
      <x:c r="C2806" t="str">
        <x:v>Isolate Zero 100% Whey Protein Isolate</x:v>
      </x:c>
      <x:c r="D2806" t="str">
        <x:v>Supplements</x:v>
      </x:c>
      <x:c r="E2806" t="str">
        <x:v>Whey Isolate</x:v>
      </x:c>
      <x:c r="F2806" t="str"/>
      <x:c r="G2806" t="str">
        <x:v>900g</x:v>
      </x:c>
      <x:c r="H2806" t="str">
        <x:v>Tiramisu</x:v>
      </x:c>
      <x:c r="I2806" t="str"/>
      <x:c r="J2806" t="str">
        <x:v>Unit</x:v>
      </x:c>
      <x:c r="K2806" t="str">
        <x:v>In stock</x:v>
      </x:c>
      <x:c r="L2806" t="str">
        <x:v>2026-09-08</x:v>
      </x:c>
      <x:c r="M2806" t="str"/>
      <x:c r="N2806" t="str"/>
      <x:c r="O2806" t="str">
        <x:v>https://www.activesportstrade.co.uk/per4m-nutrition-trade</x:v>
      </x:c>
      <x:c r="P2806" t="str">
        <x:v>Completion of current 900g matrix; NEW wording stripped.</x:v>
      </x:c>
      <x:c r="Q2806" t="str"/>
      <x:c r="R2806" t="str"/>
      <x:c r="S2806" t="str">
        <x:v>Pending genuine supplier/brand image</x:v>
      </x:c>
      <x:c r="T2806" s="54" t="n">
        <x:v>25.99</x:v>
      </x:c>
      <x:c r="U2806" s="47" t="n">
        <x:v>0.2</x:v>
      </x:c>
      <x:c r="V2806" s="54" t="n">
        <x:f>IF(ISNUMBER(T2806),T2806*(1+U2806),"")</x:f>
        <x:v>31.187999999999995</x:v>
      </x:c>
      <x:c r="W2806" s="47" t="n">
        <x:v>0.3</x:v>
      </x:c>
      <x:c r="X2806" s="54" t="n">
        <x:f>IF(ISNUMBER(V2806),V2806/(1-W2806),"")</x:f>
        <x:v>44.55428571428571</x:v>
      </x:c>
      <x:c r="Y2806" s="55" t="n">
        <x:f>IF(ISNUMBER(X2806),ROUNDUP(X2806,0),"")</x:f>
        <x:v>45</x:v>
      </x:c>
      <x:c r="Z2806" t="str">
        <x:v>Source match pending</x:v>
      </x:c>
      <x:c r="AA2806" t="str">
        <x:v>screencapture-www-activesportstrade-co-uk-per4m-nutrition-trade-2026-09-10-09_06_42.pdf / page-05</x:v>
      </x:c>
      <x:c r="AB2806" s="36" t="n">
        <x:f>IF(ISNUMBER(Y2806),ROUND(Y2806*0.9,2),"")</x:f>
        <x:v>40.5</x:v>
      </x:c>
      <x:c r="AC2806" s="36" t="n">
        <x:f>IF(ISNUMBER(AB2806),ROUND(AB2806-(AB2806*0.015+0.2)-V2806,2),"")</x:f>
        <x:v>8.5</x:v>
      </x:c>
      <x:c r="AD2806" s="36" t="n">
        <x:f>IF(ISNUMBER(Y2806),ROUND(Y2806*0.8,2),"")</x:f>
        <x:v>36</x:v>
      </x:c>
      <x:c r="AE2806" s="36" t="n">
        <x:f>IF(ISNUMBER(AD2806),ROUND(AD2806*0.015+0.2,2),"")</x:f>
        <x:v>0.74</x:v>
      </x:c>
      <x:c r="AF2806" s="36" t="n">
        <x:f>IF(ISNUMBER(AD2806),ROUND(AD2806-AE2806-V2806,2),"")</x:f>
        <x:v>4.07</x:v>
      </x:c>
      <x:c r="AG2806" t="str">
        <x:f>IF(NOT(ISNUMBER(T2806)),"PENDING",IF(AF2806&gt;0,"PASS","FAIL"))</x:f>
        <x:v>PASS</x:v>
      </x:c>
      <x:c r="AH2806" t="str">
        <x:f>IF(NOT(ISNUMBER(T2806)),"Needs supplier cost",IF(K2806&lt;&gt;"In stock","Supplier unavailable",IF(AG2806&lt;&gt;"PASS","BLOCK - GT loss risk","Commercially protected")))</x:f>
        <x:v>Commercially protected</x:v>
      </x:c>
      <x:c r="AI2806" t="str">
        <x:v>2026-09-10 Active Sports trade capture</x:v>
      </x:c>
      <x:c r="AJ2806" t="str">
        <x:v>Management-only economics. Stripe stress test uses 1.5% + £0.20 standard UK online-card fee; pallet/mix-and-match pricing ignored.</x:v>
      </x:c>
    </x:row>
    <x:row r="2807">
      <x:c r="A2807" t="str">
        <x:v>Active Sports Nutrition</x:v>
      </x:c>
      <x:c r="B2807" t="str">
        <x:v>Per4m Nutrition</x:v>
      </x:c>
      <x:c r="C2807" t="str">
        <x:v>Isolate Zero 100% Whey Protein Isolate</x:v>
      </x:c>
      <x:c r="D2807" t="str">
        <x:v>Supplements</x:v>
      </x:c>
      <x:c r="E2807" t="str">
        <x:v>Whey Isolate</x:v>
      </x:c>
      <x:c r="F2807" t="str"/>
      <x:c r="G2807" t="str">
        <x:v>900g</x:v>
      </x:c>
      <x:c r="H2807" t="str">
        <x:v>Vanilla Creme</x:v>
      </x:c>
      <x:c r="I2807" t="str"/>
      <x:c r="J2807" t="str">
        <x:v>Unit</x:v>
      </x:c>
      <x:c r="K2807" t="str">
        <x:v>Out of stock</x:v>
      </x:c>
      <x:c r="L2807" t="str">
        <x:v>2026-09-08</x:v>
      </x:c>
      <x:c r="M2807" t="str"/>
      <x:c r="N2807" t="str"/>
      <x:c r="O2807" t="str">
        <x:v>https://www.activesportstrade.co.uk/per4m-nutrition-trade</x:v>
      </x:c>
      <x:c r="P2807" t="str">
        <x:v>Completion of current 900g matrix; NEW wording stripped.</x:v>
      </x:c>
      <x:c r="Q2807" t="str"/>
      <x:c r="R2807" t="str"/>
      <x:c r="S2807" t="str">
        <x:v>Pending genuine supplier/brand image</x:v>
      </x:c>
      <x:c r="T2807" s="54" t="n">
        <x:v>25.99</x:v>
      </x:c>
      <x:c r="U2807" s="47" t="n">
        <x:v>0.2</x:v>
      </x:c>
      <x:c r="V2807" s="54" t="n">
        <x:f>IF(ISNUMBER(T2807),T2807*(1+U2807),"")</x:f>
        <x:v>31.187999999999995</x:v>
      </x:c>
      <x:c r="W2807" s="47" t="n">
        <x:v>0.3</x:v>
      </x:c>
      <x:c r="X2807" s="54" t="n">
        <x:f>IF(ISNUMBER(V2807),V2807/(1-W2807),"")</x:f>
        <x:v>44.55428571428571</x:v>
      </x:c>
      <x:c r="Y2807" s="55" t="n">
        <x:f>IF(ISNUMBER(X2807),ROUNDUP(X2807,0),"")</x:f>
        <x:v>45</x:v>
      </x:c>
      <x:c r="Z2807" t="str">
        <x:v>Source match pending</x:v>
      </x:c>
      <x:c r="AA2807" t="str">
        <x:v>screencapture-www-activesportstrade-co-uk-per4m-nutrition-trade-2026-09-10-09_06_42.pdf / page-05</x:v>
      </x:c>
      <x:c r="AB2807" s="36" t="n">
        <x:f>IF(ISNUMBER(Y2807),ROUND(Y2807*0.9,2),"")</x:f>
        <x:v>40.5</x:v>
      </x:c>
      <x:c r="AC2807" s="36" t="n">
        <x:f>IF(ISNUMBER(AB2807),ROUND(AB2807-(AB2807*0.015+0.2)-V2807,2),"")</x:f>
        <x:v>8.5</x:v>
      </x:c>
      <x:c r="AD2807" s="36" t="n">
        <x:f>IF(ISNUMBER(Y2807),ROUND(Y2807*0.8,2),"")</x:f>
        <x:v>36</x:v>
      </x:c>
      <x:c r="AE2807" s="36" t="n">
        <x:f>IF(ISNUMBER(AD2807),ROUND(AD2807*0.015+0.2,2),"")</x:f>
        <x:v>0.74</x:v>
      </x:c>
      <x:c r="AF2807" s="36" t="n">
        <x:f>IF(ISNUMBER(AD2807),ROUND(AD2807-AE2807-V2807,2),"")</x:f>
        <x:v>4.07</x:v>
      </x:c>
      <x:c r="AG2807" t="str">
        <x:f>IF(NOT(ISNUMBER(T2807)),"PENDING",IF(AF2807&gt;0,"PASS","FAIL"))</x:f>
        <x:v>PASS</x:v>
      </x:c>
      <x:c r="AH2807" t="str">
        <x:f>IF(NOT(ISNUMBER(T2807)),"Needs supplier cost",IF(K2807&lt;&gt;"In stock","Supplier unavailable",IF(AG2807&lt;&gt;"PASS","BLOCK - GT loss risk","Commercially protected")))</x:f>
        <x:v>Supplier unavailable</x:v>
      </x:c>
      <x:c r="AI2807" t="str">
        <x:v>2026-09-10 Active Sports trade capture</x:v>
      </x:c>
      <x:c r="AJ2807" t="str">
        <x:v>Management-only economics. Stripe stress test uses 1.5% + £0.20 standard UK online-card fee; pallet/mix-and-match pricing ignored.</x:v>
      </x:c>
    </x:row>
    <x:row r="2808">
      <x:c r="A2808" t="str">
        <x:v>Active Sports Nutrition</x:v>
      </x:c>
      <x:c r="B2808" t="str">
        <x:v>Per4m Nutrition</x:v>
      </x:c>
      <x:c r="C2808" t="str">
        <x:v>Isolate Zero 100% Whey Protein Isolate</x:v>
      </x:c>
      <x:c r="D2808" t="str">
        <x:v>Supplements</x:v>
      </x:c>
      <x:c r="E2808" t="str">
        <x:v>Whey Isolate</x:v>
      </x:c>
      <x:c r="F2808" t="str"/>
      <x:c r="G2808" t="str">
        <x:v>900g</x:v>
      </x:c>
      <x:c r="H2808" t="str">
        <x:v>White Chocolate</x:v>
      </x:c>
      <x:c r="I2808" t="str"/>
      <x:c r="J2808" t="str">
        <x:v>Unit</x:v>
      </x:c>
      <x:c r="K2808" t="str">
        <x:v>In stock</x:v>
      </x:c>
      <x:c r="L2808" t="str">
        <x:v>2026-09-08</x:v>
      </x:c>
      <x:c r="M2808" t="str"/>
      <x:c r="N2808" t="str"/>
      <x:c r="O2808" t="str">
        <x:v>https://www.activesportstrade.co.uk/per4m-nutrition-trade</x:v>
      </x:c>
      <x:c r="P2808" t="str">
        <x:v>Completion of current 900g matrix; NEW wording stripped.</x:v>
      </x:c>
      <x:c r="Q2808" t="str"/>
      <x:c r="R2808" t="str"/>
      <x:c r="S2808" t="str">
        <x:v>Pending genuine supplier/brand image</x:v>
      </x:c>
      <x:c r="T2808" s="54" t="n">
        <x:v>25.99</x:v>
      </x:c>
      <x:c r="U2808" s="47" t="n">
        <x:v>0.2</x:v>
      </x:c>
      <x:c r="V2808" s="54" t="n">
        <x:f>IF(ISNUMBER(T2808),T2808*(1+U2808),"")</x:f>
        <x:v>31.187999999999995</x:v>
      </x:c>
      <x:c r="W2808" s="47" t="n">
        <x:v>0.3</x:v>
      </x:c>
      <x:c r="X2808" s="54" t="n">
        <x:f>IF(ISNUMBER(V2808),V2808/(1-W2808),"")</x:f>
        <x:v>44.55428571428571</x:v>
      </x:c>
      <x:c r="Y2808" s="55" t="n">
        <x:f>IF(ISNUMBER(X2808),ROUNDUP(X2808,0),"")</x:f>
        <x:v>45</x:v>
      </x:c>
      <x:c r="Z2808" t="str">
        <x:v>Source match pending</x:v>
      </x:c>
      <x:c r="AA2808" t="str">
        <x:v>screencapture-www-activesportstrade-co-uk-per4m-nutrition-trade-2026-09-10-09_06_42.pdf / page-05</x:v>
      </x:c>
      <x:c r="AB2808" s="36" t="n">
        <x:f>IF(ISNUMBER(Y2808),ROUND(Y2808*0.9,2),"")</x:f>
        <x:v>40.5</x:v>
      </x:c>
      <x:c r="AC2808" s="36" t="n">
        <x:f>IF(ISNUMBER(AB2808),ROUND(AB2808-(AB2808*0.015+0.2)-V2808,2),"")</x:f>
        <x:v>8.5</x:v>
      </x:c>
      <x:c r="AD2808" s="36" t="n">
        <x:f>IF(ISNUMBER(Y2808),ROUND(Y2808*0.8,2),"")</x:f>
        <x:v>36</x:v>
      </x:c>
      <x:c r="AE2808" s="36" t="n">
        <x:f>IF(ISNUMBER(AD2808),ROUND(AD2808*0.015+0.2,2),"")</x:f>
        <x:v>0.74</x:v>
      </x:c>
      <x:c r="AF2808" s="36" t="n">
        <x:f>IF(ISNUMBER(AD2808),ROUND(AD2808-AE2808-V2808,2),"")</x:f>
        <x:v>4.07</x:v>
      </x:c>
      <x:c r="AG2808" t="str">
        <x:f>IF(NOT(ISNUMBER(T2808)),"PENDING",IF(AF2808&gt;0,"PASS","FAIL"))</x:f>
        <x:v>PASS</x:v>
      </x:c>
      <x:c r="AH2808" t="str">
        <x:f>IF(NOT(ISNUMBER(T2808)),"Needs supplier cost",IF(K2808&lt;&gt;"In stock","Supplier unavailable",IF(AG2808&lt;&gt;"PASS","BLOCK - GT loss risk","Commercially protected")))</x:f>
        <x:v>Commercially protected</x:v>
      </x:c>
      <x:c r="AI2808" t="str">
        <x:v>2026-09-10 Active Sports trade capture</x:v>
      </x:c>
      <x:c r="AJ2808" t="str">
        <x:v>Management-only economics. Stripe stress test uses 1.5% + £0.20 standard UK online-card fee; pallet/mix-and-match pricing ignored.</x:v>
      </x:c>
    </x:row>
    <x:row r="2809">
      <x:c r="A2809" t="str">
        <x:v>Active Sports Nutrition</x:v>
      </x:c>
      <x:c r="B2809" t="str">
        <x:v>Per4m Nutrition</x:v>
      </x:c>
      <x:c r="C2809" t="str">
        <x:v>Isolate Zero 100% Whey Protein Isolate</x:v>
      </x:c>
      <x:c r="D2809" t="str">
        <x:v>Supplements</x:v>
      </x:c>
      <x:c r="E2809" t="str">
        <x:v>Whey Isolate</x:v>
      </x:c>
      <x:c r="F2809" t="str"/>
      <x:c r="G2809" t="str">
        <x:v>900g</x:v>
      </x:c>
      <x:c r="H2809" t="str">
        <x:v>White Chocolate Hazelnut</x:v>
      </x:c>
      <x:c r="I2809" t="str"/>
      <x:c r="J2809" t="str">
        <x:v>Unit</x:v>
      </x:c>
      <x:c r="K2809" t="str">
        <x:v>In stock</x:v>
      </x:c>
      <x:c r="L2809" t="str">
        <x:v>2026-09-08</x:v>
      </x:c>
      <x:c r="M2809" t="str"/>
      <x:c r="N2809" t="str"/>
      <x:c r="O2809" t="str">
        <x:v>https://www.activesportstrade.co.uk/per4m-nutrition-trade</x:v>
      </x:c>
      <x:c r="P2809" t="str">
        <x:v>Completion of current 900g matrix; NEW wording stripped.</x:v>
      </x:c>
      <x:c r="Q2809" t="str"/>
      <x:c r="R2809" t="str"/>
      <x:c r="S2809" t="str">
        <x:v>Pending genuine supplier/brand image</x:v>
      </x:c>
      <x:c r="T2809" s="54" t="n">
        <x:v>25.99</x:v>
      </x:c>
      <x:c r="U2809" s="47" t="n">
        <x:v>0.2</x:v>
      </x:c>
      <x:c r="V2809" s="54" t="n">
        <x:f>IF(ISNUMBER(T2809),T2809*(1+U2809),"")</x:f>
        <x:v>31.187999999999995</x:v>
      </x:c>
      <x:c r="W2809" s="47" t="n">
        <x:v>0.3</x:v>
      </x:c>
      <x:c r="X2809" s="54" t="n">
        <x:f>IF(ISNUMBER(V2809),V2809/(1-W2809),"")</x:f>
        <x:v>44.55428571428571</x:v>
      </x:c>
      <x:c r="Y2809" s="55" t="n">
        <x:f>IF(ISNUMBER(X2809),ROUNDUP(X2809,0),"")</x:f>
        <x:v>45</x:v>
      </x:c>
      <x:c r="Z2809" t="str">
        <x:v>Source match pending</x:v>
      </x:c>
      <x:c r="AA2809" t="str">
        <x:v>screencapture-www-activesportstrade-co-uk-per4m-nutrition-trade-2026-09-10-09_06_42.pdf / page-05</x:v>
      </x:c>
      <x:c r="AB2809" s="36" t="n">
        <x:f>IF(ISNUMBER(Y2809),ROUND(Y2809*0.9,2),"")</x:f>
        <x:v>40.5</x:v>
      </x:c>
      <x:c r="AC2809" s="36" t="n">
        <x:f>IF(ISNUMBER(AB2809),ROUND(AB2809-(AB2809*0.015+0.2)-V2809,2),"")</x:f>
        <x:v>8.5</x:v>
      </x:c>
      <x:c r="AD2809" s="36" t="n">
        <x:f>IF(ISNUMBER(Y2809),ROUND(Y2809*0.8,2),"")</x:f>
        <x:v>36</x:v>
      </x:c>
      <x:c r="AE2809" s="36" t="n">
        <x:f>IF(ISNUMBER(AD2809),ROUND(AD2809*0.015+0.2,2),"")</x:f>
        <x:v>0.74</x:v>
      </x:c>
      <x:c r="AF2809" s="36" t="n">
        <x:f>IF(ISNUMBER(AD2809),ROUND(AD2809-AE2809-V2809,2),"")</x:f>
        <x:v>4.07</x:v>
      </x:c>
      <x:c r="AG2809" t="str">
        <x:f>IF(NOT(ISNUMBER(T2809)),"PENDING",IF(AF2809&gt;0,"PASS","FAIL"))</x:f>
        <x:v>PASS</x:v>
      </x:c>
      <x:c r="AH2809" t="str">
        <x:f>IF(NOT(ISNUMBER(T2809)),"Needs supplier cost",IF(K2809&lt;&gt;"In stock","Supplier unavailable",IF(AG2809&lt;&gt;"PASS","BLOCK - GT loss risk","Commercially protected")))</x:f>
        <x:v>Commercially protected</x:v>
      </x:c>
      <x:c r="AI2809" t="str">
        <x:v>2026-09-10 Active Sports trade capture</x:v>
      </x:c>
      <x:c r="AJ2809" t="str">
        <x:v>Management-only economics. Stripe stress test uses 1.5% + £0.20 standard UK online-card fee; pallet/mix-and-match pricing ignored.</x:v>
      </x:c>
    </x:row>
    <x:row r="2810">
      <x:c r="A2810" t="str">
        <x:v>Active Sports Nutrition</x:v>
      </x:c>
      <x:c r="B2810" t="str">
        <x:v>Per4m Nutrition</x:v>
      </x:c>
      <x:c r="C2810" t="str">
        <x:v>Creatine Monohydrate</x:v>
      </x:c>
      <x:c r="D2810" t="str">
        <x:v>Supplements</x:v>
      </x:c>
      <x:c r="E2810" t="str">
        <x:v>Creatine Powders</x:v>
      </x:c>
      <x:c r="F2810" t="str"/>
      <x:c r="G2810" t="str">
        <x:v>400g</x:v>
      </x:c>
      <x:c r="H2810" t="str">
        <x:v>Berry Blast</x:v>
      </x:c>
      <x:c r="I2810" t="str"/>
      <x:c r="J2810" t="str">
        <x:v>Unit</x:v>
      </x:c>
      <x:c r="K2810" t="str">
        <x:v>In stock</x:v>
      </x:c>
      <x:c r="L2810" t="str">
        <x:v>2026-09-08</x:v>
      </x:c>
      <x:c r="M2810" t="str"/>
      <x:c r="N2810" t="str"/>
      <x:c r="O2810" t="str">
        <x:v>https://www.activesportstrade.co.uk/per4m-nutrition-trade</x:v>
      </x:c>
      <x:c r="P2810" t="str">
        <x:v>SPECIAL OFFER / BUY 4 GET 1 FREE / NEW wording stripped from canonical identity.</x:v>
      </x:c>
      <x:c r="Q2810" t="str"/>
      <x:c r="R2810" t="str"/>
      <x:c r="S2810" t="str">
        <x:v>Pending genuine supplier/brand image</x:v>
      </x:c>
      <x:c r="T2810" s="54" t="n">
        <x:v>13.89</x:v>
      </x:c>
      <x:c r="U2810" s="47" t="n">
        <x:v>0.2</x:v>
      </x:c>
      <x:c r="V2810" s="54" t="n">
        <x:f>IF(ISNUMBER(T2810),T2810*(1+U2810),"")</x:f>
        <x:v>16.668</x:v>
      </x:c>
      <x:c r="W2810" s="47" t="n">
        <x:v>0.3</x:v>
      </x:c>
      <x:c r="X2810" s="54" t="n">
        <x:f>IF(ISNUMBER(V2810),V2810/(1-W2810),"")</x:f>
        <x:v>23.81142857142857</x:v>
      </x:c>
      <x:c r="Y2810" s="55" t="n">
        <x:f>IF(ISNUMBER(X2810),ROUNDUP(X2810,0),"")</x:f>
        <x:v>24</x:v>
      </x:c>
      <x:c r="Z2810" t="str">
        <x:v>Source match pending</x:v>
      </x:c>
      <x:c r="AA2810" t="str">
        <x:v>screencapture-www-activesportstrade-co-uk-per4m-nutrition-trade-2026-09-10-09_06_42.pdf / page-03</x:v>
      </x:c>
      <x:c r="AB2810" s="36" t="n">
        <x:f>IF(ISNUMBER(Y2810),ROUND(Y2810*0.9,2),"")</x:f>
        <x:v>21.6</x:v>
      </x:c>
      <x:c r="AC2810" s="36" t="n">
        <x:f>IF(ISNUMBER(AB2810),ROUND(AB2810-(AB2810*0.015+0.2)-V2810,2),"")</x:f>
        <x:v>4.41</x:v>
      </x:c>
      <x:c r="AD2810" s="36" t="n">
        <x:f>IF(ISNUMBER(Y2810),ROUND(Y2810*0.8,2),"")</x:f>
        <x:v>19.2</x:v>
      </x:c>
      <x:c r="AE2810" s="36" t="n">
        <x:f>IF(ISNUMBER(AD2810),ROUND(AD2810*0.015+0.2,2),"")</x:f>
        <x:v>0.49</x:v>
      </x:c>
      <x:c r="AF2810" s="36" t="n">
        <x:f>IF(ISNUMBER(AD2810),ROUND(AD2810-AE2810-V2810,2),"")</x:f>
        <x:v>2.04</x:v>
      </x:c>
      <x:c r="AG2810" t="str">
        <x:f>IF(NOT(ISNUMBER(T2810)),"PENDING",IF(AF2810&gt;0,"PASS","FAIL"))</x:f>
        <x:v>PASS</x:v>
      </x:c>
      <x:c r="AH2810" t="str">
        <x:f>IF(NOT(ISNUMBER(T2810)),"Needs supplier cost",IF(K2810&lt;&gt;"In stock","Supplier unavailable",IF(AG2810&lt;&gt;"PASS","BLOCK - GT loss risk","Commercially protected")))</x:f>
        <x:v>Commercially protected</x:v>
      </x:c>
      <x:c r="AI2810" t="str">
        <x:v>2026-09-10 Active Sports trade capture</x:v>
      </x:c>
      <x:c r="AJ2810" t="str">
        <x:v>Management-only economics. Stripe stress test uses 1.5% + £0.20 standard UK online-card fee; pallet/mix-and-match pricing ignored.</x:v>
      </x:c>
    </x:row>
    <x:row r="2811">
      <x:c r="A2811" t="str">
        <x:v>Active Sports Nutrition</x:v>
      </x:c>
      <x:c r="B2811" t="str">
        <x:v>Per4m Nutrition</x:v>
      </x:c>
      <x:c r="C2811" t="str">
        <x:v>Creatine Monohydrate</x:v>
      </x:c>
      <x:c r="D2811" t="str">
        <x:v>Supplements</x:v>
      </x:c>
      <x:c r="E2811" t="str">
        <x:v>Creatine Powders</x:v>
      </x:c>
      <x:c r="F2811" t="str"/>
      <x:c r="G2811" t="str">
        <x:v>400g</x:v>
      </x:c>
      <x:c r="H2811" t="str">
        <x:v>Blackberry</x:v>
      </x:c>
      <x:c r="I2811" t="str"/>
      <x:c r="J2811" t="str">
        <x:v>Unit</x:v>
      </x:c>
      <x:c r="K2811" t="str">
        <x:v>In stock</x:v>
      </x:c>
      <x:c r="L2811" t="str">
        <x:v>2026-09-08</x:v>
      </x:c>
      <x:c r="M2811" t="str"/>
      <x:c r="N2811" t="str"/>
      <x:c r="O2811" t="str">
        <x:v>https://www.activesportstrade.co.uk/per4m-nutrition-trade</x:v>
      </x:c>
      <x:c r="P2811" t="str">
        <x:v>SPECIAL OFFER / BUY 4 GET 1 FREE / NEW wording stripped from canonical identity.</x:v>
      </x:c>
      <x:c r="Q2811" t="str"/>
      <x:c r="R2811" t="str"/>
      <x:c r="S2811" t="str">
        <x:v>Pending genuine supplier/brand image</x:v>
      </x:c>
      <x:c r="T2811" s="54" t="n">
        <x:v>13.89</x:v>
      </x:c>
      <x:c r="U2811" s="47" t="n">
        <x:v>0.2</x:v>
      </x:c>
      <x:c r="V2811" s="54" t="n">
        <x:f>IF(ISNUMBER(T2811),T2811*(1+U2811),"")</x:f>
        <x:v>16.668</x:v>
      </x:c>
      <x:c r="W2811" s="47" t="n">
        <x:v>0.3</x:v>
      </x:c>
      <x:c r="X2811" s="54" t="n">
        <x:f>IF(ISNUMBER(V2811),V2811/(1-W2811),"")</x:f>
        <x:v>23.81142857142857</x:v>
      </x:c>
      <x:c r="Y2811" s="55" t="n">
        <x:f>IF(ISNUMBER(X2811),ROUNDUP(X2811,0),"")</x:f>
        <x:v>24</x:v>
      </x:c>
      <x:c r="Z2811" t="str">
        <x:v>Source match pending</x:v>
      </x:c>
      <x:c r="AA2811" t="str">
        <x:v>screencapture-www-activesportstrade-co-uk-per4m-nutrition-trade-2026-09-10-09_06_42.pdf / page-03</x:v>
      </x:c>
      <x:c r="AB2811" s="36" t="n">
        <x:f>IF(ISNUMBER(Y2811),ROUND(Y2811*0.9,2),"")</x:f>
        <x:v>21.6</x:v>
      </x:c>
      <x:c r="AC2811" s="36" t="n">
        <x:f>IF(ISNUMBER(AB2811),ROUND(AB2811-(AB2811*0.015+0.2)-V2811,2),"")</x:f>
        <x:v>4.41</x:v>
      </x:c>
      <x:c r="AD2811" s="36" t="n">
        <x:f>IF(ISNUMBER(Y2811),ROUND(Y2811*0.8,2),"")</x:f>
        <x:v>19.2</x:v>
      </x:c>
      <x:c r="AE2811" s="36" t="n">
        <x:f>IF(ISNUMBER(AD2811),ROUND(AD2811*0.015+0.2,2),"")</x:f>
        <x:v>0.49</x:v>
      </x:c>
      <x:c r="AF2811" s="36" t="n">
        <x:f>IF(ISNUMBER(AD2811),ROUND(AD2811-AE2811-V2811,2),"")</x:f>
        <x:v>2.04</x:v>
      </x:c>
      <x:c r="AG2811" t="str">
        <x:f>IF(NOT(ISNUMBER(T2811)),"PENDING",IF(AF2811&gt;0,"PASS","FAIL"))</x:f>
        <x:v>PASS</x:v>
      </x:c>
      <x:c r="AH2811" t="str">
        <x:f>IF(NOT(ISNUMBER(T2811)),"Needs supplier cost",IF(K2811&lt;&gt;"In stock","Supplier unavailable",IF(AG2811&lt;&gt;"PASS","BLOCK - GT loss risk","Commercially protected")))</x:f>
        <x:v>Commercially protected</x:v>
      </x:c>
      <x:c r="AI2811" t="str">
        <x:v>2026-09-10 Active Sports trade capture</x:v>
      </x:c>
      <x:c r="AJ2811" t="str">
        <x:v>Management-only economics. Stripe stress test uses 1.5% + £0.20 standard UK online-card fee; pallet/mix-and-match pricing ignored.</x:v>
      </x:c>
    </x:row>
    <x:row r="2812">
      <x:c r="A2812" t="str">
        <x:v>Active Sports Nutrition</x:v>
      </x:c>
      <x:c r="B2812" t="str">
        <x:v>Per4m Nutrition</x:v>
      </x:c>
      <x:c r="C2812" t="str">
        <x:v>Creatine Monohydrate</x:v>
      </x:c>
      <x:c r="D2812" t="str">
        <x:v>Supplements</x:v>
      </x:c>
      <x:c r="E2812" t="str">
        <x:v>Creatine Powders</x:v>
      </x:c>
      <x:c r="F2812" t="str"/>
      <x:c r="G2812" t="str">
        <x:v>400g</x:v>
      </x:c>
      <x:c r="H2812" t="str">
        <x:v>Blue Raspberry</x:v>
      </x:c>
      <x:c r="I2812" t="str"/>
      <x:c r="J2812" t="str">
        <x:v>Unit</x:v>
      </x:c>
      <x:c r="K2812" t="str">
        <x:v>In stock</x:v>
      </x:c>
      <x:c r="L2812" t="str">
        <x:v>2026-09-08</x:v>
      </x:c>
      <x:c r="M2812" t="str"/>
      <x:c r="N2812" t="str"/>
      <x:c r="O2812" t="str">
        <x:v>https://www.activesportstrade.co.uk/per4m-nutrition-trade</x:v>
      </x:c>
      <x:c r="P2812" t="str">
        <x:v>SPECIAL OFFER / BUY 4 GET 1 FREE / NEW wording stripped from canonical identity.</x:v>
      </x:c>
      <x:c r="Q2812" t="str"/>
      <x:c r="R2812" t="str"/>
      <x:c r="S2812" t="str">
        <x:v>Pending genuine supplier/brand image</x:v>
      </x:c>
      <x:c r="T2812" s="54" t="n">
        <x:v>13.89</x:v>
      </x:c>
      <x:c r="U2812" s="47" t="n">
        <x:v>0.2</x:v>
      </x:c>
      <x:c r="V2812" s="54" t="n">
        <x:f>IF(ISNUMBER(T2812),T2812*(1+U2812),"")</x:f>
        <x:v>16.668</x:v>
      </x:c>
      <x:c r="W2812" s="47" t="n">
        <x:v>0.3</x:v>
      </x:c>
      <x:c r="X2812" s="54" t="n">
        <x:f>IF(ISNUMBER(V2812),V2812/(1-W2812),"")</x:f>
        <x:v>23.81142857142857</x:v>
      </x:c>
      <x:c r="Y2812" s="55" t="n">
        <x:f>IF(ISNUMBER(X2812),ROUNDUP(X2812,0),"")</x:f>
        <x:v>24</x:v>
      </x:c>
      <x:c r="Z2812" t="str">
        <x:v>Source match pending</x:v>
      </x:c>
      <x:c r="AA2812" t="str">
        <x:v>screencapture-www-activesportstrade-co-uk-per4m-nutrition-trade-2026-09-10-09_06_42.pdf / page-03</x:v>
      </x:c>
      <x:c r="AB2812" s="36" t="n">
        <x:f>IF(ISNUMBER(Y2812),ROUND(Y2812*0.9,2),"")</x:f>
        <x:v>21.6</x:v>
      </x:c>
      <x:c r="AC2812" s="36" t="n">
        <x:f>IF(ISNUMBER(AB2812),ROUND(AB2812-(AB2812*0.015+0.2)-V2812,2),"")</x:f>
        <x:v>4.41</x:v>
      </x:c>
      <x:c r="AD2812" s="36" t="n">
        <x:f>IF(ISNUMBER(Y2812),ROUND(Y2812*0.8,2),"")</x:f>
        <x:v>19.2</x:v>
      </x:c>
      <x:c r="AE2812" s="36" t="n">
        <x:f>IF(ISNUMBER(AD2812),ROUND(AD2812*0.015+0.2,2),"")</x:f>
        <x:v>0.49</x:v>
      </x:c>
      <x:c r="AF2812" s="36" t="n">
        <x:f>IF(ISNUMBER(AD2812),ROUND(AD2812-AE2812-V2812,2),"")</x:f>
        <x:v>2.04</x:v>
      </x:c>
      <x:c r="AG2812" t="str">
        <x:f>IF(NOT(ISNUMBER(T2812)),"PENDING",IF(AF2812&gt;0,"PASS","FAIL"))</x:f>
        <x:v>PASS</x:v>
      </x:c>
      <x:c r="AH2812" t="str">
        <x:f>IF(NOT(ISNUMBER(T2812)),"Needs supplier cost",IF(K2812&lt;&gt;"In stock","Supplier unavailable",IF(AG2812&lt;&gt;"PASS","BLOCK - GT loss risk","Commercially protected")))</x:f>
        <x:v>Commercially protected</x:v>
      </x:c>
      <x:c r="AI2812" t="str">
        <x:v>2026-09-10 Active Sports trade capture</x:v>
      </x:c>
      <x:c r="AJ2812" t="str">
        <x:v>Management-only economics. Stripe stress test uses 1.5% + £0.20 standard UK online-card fee; pallet/mix-and-match pricing ignored.</x:v>
      </x:c>
    </x:row>
    <x:row r="2813">
      <x:c r="A2813" t="str">
        <x:v>Active Sports Nutrition</x:v>
      </x:c>
      <x:c r="B2813" t="str">
        <x:v>Per4m Nutrition</x:v>
      </x:c>
      <x:c r="C2813" t="str">
        <x:v>Creatine Monohydrate</x:v>
      </x:c>
      <x:c r="D2813" t="str">
        <x:v>Supplements</x:v>
      </x:c>
      <x:c r="E2813" t="str">
        <x:v>Creatine Powders</x:v>
      </x:c>
      <x:c r="F2813" t="str"/>
      <x:c r="G2813" t="str">
        <x:v>400g</x:v>
      </x:c>
      <x:c r="H2813" t="str">
        <x:v>Cherry Fizz</x:v>
      </x:c>
      <x:c r="I2813" t="str"/>
      <x:c r="J2813" t="str">
        <x:v>Unit</x:v>
      </x:c>
      <x:c r="K2813" t="str">
        <x:v>In stock</x:v>
      </x:c>
      <x:c r="L2813" t="str">
        <x:v>2026-09-08</x:v>
      </x:c>
      <x:c r="M2813" t="str"/>
      <x:c r="N2813" t="str"/>
      <x:c r="O2813" t="str">
        <x:v>https://www.activesportstrade.co.uk/per4m-nutrition-trade</x:v>
      </x:c>
      <x:c r="P2813" t="str">
        <x:v>SPECIAL OFFER / BUY 4 GET 1 FREE / NEW wording stripped from canonical identity.</x:v>
      </x:c>
      <x:c r="Q2813" t="str"/>
      <x:c r="R2813" t="str"/>
      <x:c r="S2813" t="str">
        <x:v>Pending genuine supplier/brand image</x:v>
      </x:c>
      <x:c r="T2813" s="54" t="n">
        <x:v>13.89</x:v>
      </x:c>
      <x:c r="U2813" s="47" t="n">
        <x:v>0.2</x:v>
      </x:c>
      <x:c r="V2813" s="54" t="n">
        <x:f>IF(ISNUMBER(T2813),T2813*(1+U2813),"")</x:f>
        <x:v>16.668</x:v>
      </x:c>
      <x:c r="W2813" s="47" t="n">
        <x:v>0.3</x:v>
      </x:c>
      <x:c r="X2813" s="54" t="n">
        <x:f>IF(ISNUMBER(V2813),V2813/(1-W2813),"")</x:f>
        <x:v>23.81142857142857</x:v>
      </x:c>
      <x:c r="Y2813" s="55" t="n">
        <x:f>IF(ISNUMBER(X2813),ROUNDUP(X2813,0),"")</x:f>
        <x:v>24</x:v>
      </x:c>
      <x:c r="Z2813" t="str">
        <x:v>Source match pending</x:v>
      </x:c>
      <x:c r="AA2813" t="str">
        <x:v>screencapture-www-activesportstrade-co-uk-per4m-nutrition-trade-2026-09-10-09_06_42.pdf / page-03</x:v>
      </x:c>
      <x:c r="AB2813" s="36" t="n">
        <x:f>IF(ISNUMBER(Y2813),ROUND(Y2813*0.9,2),"")</x:f>
        <x:v>21.6</x:v>
      </x:c>
      <x:c r="AC2813" s="36" t="n">
        <x:f>IF(ISNUMBER(AB2813),ROUND(AB2813-(AB2813*0.015+0.2)-V2813,2),"")</x:f>
        <x:v>4.41</x:v>
      </x:c>
      <x:c r="AD2813" s="36" t="n">
        <x:f>IF(ISNUMBER(Y2813),ROUND(Y2813*0.8,2),"")</x:f>
        <x:v>19.2</x:v>
      </x:c>
      <x:c r="AE2813" s="36" t="n">
        <x:f>IF(ISNUMBER(AD2813),ROUND(AD2813*0.015+0.2,2),"")</x:f>
        <x:v>0.49</x:v>
      </x:c>
      <x:c r="AF2813" s="36" t="n">
        <x:f>IF(ISNUMBER(AD2813),ROUND(AD2813-AE2813-V2813,2),"")</x:f>
        <x:v>2.04</x:v>
      </x:c>
      <x:c r="AG2813" t="str">
        <x:f>IF(NOT(ISNUMBER(T2813)),"PENDING",IF(AF2813&gt;0,"PASS","FAIL"))</x:f>
        <x:v>PASS</x:v>
      </x:c>
      <x:c r="AH2813" t="str">
        <x:f>IF(NOT(ISNUMBER(T2813)),"Needs supplier cost",IF(K2813&lt;&gt;"In stock","Supplier unavailable",IF(AG2813&lt;&gt;"PASS","BLOCK - GT loss risk","Commercially protected")))</x:f>
        <x:v>Commercially protected</x:v>
      </x:c>
      <x:c r="AI2813" t="str">
        <x:v>2026-09-10 Active Sports trade capture</x:v>
      </x:c>
      <x:c r="AJ2813" t="str">
        <x:v>Management-only economics. Stripe stress test uses 1.5% + £0.20 standard UK online-card fee; pallet/mix-and-match pricing ignored.</x:v>
      </x:c>
    </x:row>
    <x:row r="2814">
      <x:c r="A2814" t="str">
        <x:v>Active Sports Nutrition</x:v>
      </x:c>
      <x:c r="B2814" t="str">
        <x:v>Per4m Nutrition</x:v>
      </x:c>
      <x:c r="C2814" t="str">
        <x:v>Creatine Monohydrate</x:v>
      </x:c>
      <x:c r="D2814" t="str">
        <x:v>Supplements</x:v>
      </x:c>
      <x:c r="E2814" t="str">
        <x:v>Creatine Powders</x:v>
      </x:c>
      <x:c r="F2814" t="str"/>
      <x:c r="G2814" t="str">
        <x:v>400g</x:v>
      </x:c>
      <x:c r="H2814" t="str">
        <x:v>Fizzy Bubblegum Bottles</x:v>
      </x:c>
      <x:c r="I2814" t="str"/>
      <x:c r="J2814" t="str">
        <x:v>Unit</x:v>
      </x:c>
      <x:c r="K2814" t="str">
        <x:v>In stock</x:v>
      </x:c>
      <x:c r="L2814" t="str">
        <x:v>2026-09-08</x:v>
      </x:c>
      <x:c r="M2814" t="str"/>
      <x:c r="N2814" t="str"/>
      <x:c r="O2814" t="str">
        <x:v>https://www.activesportstrade.co.uk/per4m-nutrition-trade</x:v>
      </x:c>
      <x:c r="P2814" t="str">
        <x:v>SPECIAL OFFER / BUY 4 GET 1 FREE / NEW wording stripped from canonical identity.</x:v>
      </x:c>
      <x:c r="Q2814" t="str"/>
      <x:c r="R2814" t="str"/>
      <x:c r="S2814" t="str">
        <x:v>Pending genuine supplier/brand image</x:v>
      </x:c>
      <x:c r="T2814" s="54" t="n">
        <x:v>13.89</x:v>
      </x:c>
      <x:c r="U2814" s="47" t="n">
        <x:v>0.2</x:v>
      </x:c>
      <x:c r="V2814" s="54" t="n">
        <x:f>IF(ISNUMBER(T2814),T2814*(1+U2814),"")</x:f>
        <x:v>16.668</x:v>
      </x:c>
      <x:c r="W2814" s="47" t="n">
        <x:v>0.3</x:v>
      </x:c>
      <x:c r="X2814" s="54" t="n">
        <x:f>IF(ISNUMBER(V2814),V2814/(1-W2814),"")</x:f>
        <x:v>23.81142857142857</x:v>
      </x:c>
      <x:c r="Y2814" s="55" t="n">
        <x:f>IF(ISNUMBER(X2814),ROUNDUP(X2814,0),"")</x:f>
        <x:v>24</x:v>
      </x:c>
      <x:c r="Z2814" t="str">
        <x:v>Source match pending</x:v>
      </x:c>
      <x:c r="AA2814" t="str">
        <x:v>screencapture-www-activesportstrade-co-uk-per4m-nutrition-trade-2026-09-10-09_06_42.pdf / page-03</x:v>
      </x:c>
      <x:c r="AB2814" s="36" t="n">
        <x:f>IF(ISNUMBER(Y2814),ROUND(Y2814*0.9,2),"")</x:f>
        <x:v>21.6</x:v>
      </x:c>
      <x:c r="AC2814" s="36" t="n">
        <x:f>IF(ISNUMBER(AB2814),ROUND(AB2814-(AB2814*0.015+0.2)-V2814,2),"")</x:f>
        <x:v>4.41</x:v>
      </x:c>
      <x:c r="AD2814" s="36" t="n">
        <x:f>IF(ISNUMBER(Y2814),ROUND(Y2814*0.8,2),"")</x:f>
        <x:v>19.2</x:v>
      </x:c>
      <x:c r="AE2814" s="36" t="n">
        <x:f>IF(ISNUMBER(AD2814),ROUND(AD2814*0.015+0.2,2),"")</x:f>
        <x:v>0.49</x:v>
      </x:c>
      <x:c r="AF2814" s="36" t="n">
        <x:f>IF(ISNUMBER(AD2814),ROUND(AD2814-AE2814-V2814,2),"")</x:f>
        <x:v>2.04</x:v>
      </x:c>
      <x:c r="AG2814" t="str">
        <x:f>IF(NOT(ISNUMBER(T2814)),"PENDING",IF(AF2814&gt;0,"PASS","FAIL"))</x:f>
        <x:v>PASS</x:v>
      </x:c>
      <x:c r="AH2814" t="str">
        <x:f>IF(NOT(ISNUMBER(T2814)),"Needs supplier cost",IF(K2814&lt;&gt;"In stock","Supplier unavailable",IF(AG2814&lt;&gt;"PASS","BLOCK - GT loss risk","Commercially protected")))</x:f>
        <x:v>Commercially protected</x:v>
      </x:c>
      <x:c r="AI2814" t="str">
        <x:v>2026-09-10 Active Sports trade capture</x:v>
      </x:c>
      <x:c r="AJ2814" t="str">
        <x:v>Management-only economics. Stripe stress test uses 1.5% + £0.20 standard UK online-card fee; pallet/mix-and-match pricing ignored.</x:v>
      </x:c>
    </x:row>
    <x:row r="2815">
      <x:c r="A2815" t="str">
        <x:v>Active Sports Nutrition</x:v>
      </x:c>
      <x:c r="B2815" t="str">
        <x:v>Per4m Nutrition</x:v>
      </x:c>
      <x:c r="C2815" t="str">
        <x:v>Creatine Monohydrate</x:v>
      </x:c>
      <x:c r="D2815" t="str">
        <x:v>Supplements</x:v>
      </x:c>
      <x:c r="E2815" t="str">
        <x:v>Creatine Powders</x:v>
      </x:c>
      <x:c r="F2815" t="str"/>
      <x:c r="G2815" t="str">
        <x:v>400g</x:v>
      </x:c>
      <x:c r="H2815" t="str">
        <x:v>Passionfruit</x:v>
      </x:c>
      <x:c r="I2815" t="str"/>
      <x:c r="J2815" t="str">
        <x:v>Unit</x:v>
      </x:c>
      <x:c r="K2815" t="str">
        <x:v>In stock</x:v>
      </x:c>
      <x:c r="L2815" t="str">
        <x:v>2026-09-08</x:v>
      </x:c>
      <x:c r="M2815" t="str"/>
      <x:c r="N2815" t="str"/>
      <x:c r="O2815" t="str">
        <x:v>https://www.activesportstrade.co.uk/per4m-nutrition-trade</x:v>
      </x:c>
      <x:c r="P2815" t="str">
        <x:v>SPECIAL OFFER / BUY 4 GET 1 FREE / NEW wording stripped from canonical identity.</x:v>
      </x:c>
      <x:c r="Q2815" t="str"/>
      <x:c r="R2815" t="str"/>
      <x:c r="S2815" t="str">
        <x:v>Pending genuine supplier/brand image</x:v>
      </x:c>
      <x:c r="T2815" s="54" t="n">
        <x:v>13.89</x:v>
      </x:c>
      <x:c r="U2815" s="47" t="n">
        <x:v>0.2</x:v>
      </x:c>
      <x:c r="V2815" s="54" t="n">
        <x:f>IF(ISNUMBER(T2815),T2815*(1+U2815),"")</x:f>
        <x:v>16.668</x:v>
      </x:c>
      <x:c r="W2815" s="47" t="n">
        <x:v>0.3</x:v>
      </x:c>
      <x:c r="X2815" s="54" t="n">
        <x:f>IF(ISNUMBER(V2815),V2815/(1-W2815),"")</x:f>
        <x:v>23.81142857142857</x:v>
      </x:c>
      <x:c r="Y2815" s="55" t="n">
        <x:f>IF(ISNUMBER(X2815),ROUNDUP(X2815,0),"")</x:f>
        <x:v>24</x:v>
      </x:c>
      <x:c r="Z2815" t="str">
        <x:v>Source match pending</x:v>
      </x:c>
      <x:c r="AA2815" t="str">
        <x:v>screencapture-www-activesportstrade-co-uk-per4m-nutrition-trade-2026-09-10-09_06_42.pdf / page-03</x:v>
      </x:c>
      <x:c r="AB2815" s="36" t="n">
        <x:f>IF(ISNUMBER(Y2815),ROUND(Y2815*0.9,2),"")</x:f>
        <x:v>21.6</x:v>
      </x:c>
      <x:c r="AC2815" s="36" t="n">
        <x:f>IF(ISNUMBER(AB2815),ROUND(AB2815-(AB2815*0.015+0.2)-V2815,2),"")</x:f>
        <x:v>4.41</x:v>
      </x:c>
      <x:c r="AD2815" s="36" t="n">
        <x:f>IF(ISNUMBER(Y2815),ROUND(Y2815*0.8,2),"")</x:f>
        <x:v>19.2</x:v>
      </x:c>
      <x:c r="AE2815" s="36" t="n">
        <x:f>IF(ISNUMBER(AD2815),ROUND(AD2815*0.015+0.2,2),"")</x:f>
        <x:v>0.49</x:v>
      </x:c>
      <x:c r="AF2815" s="36" t="n">
        <x:f>IF(ISNUMBER(AD2815),ROUND(AD2815-AE2815-V2815,2),"")</x:f>
        <x:v>2.04</x:v>
      </x:c>
      <x:c r="AG2815" t="str">
        <x:f>IF(NOT(ISNUMBER(T2815)),"PENDING",IF(AF2815&gt;0,"PASS","FAIL"))</x:f>
        <x:v>PASS</x:v>
      </x:c>
      <x:c r="AH2815" t="str">
        <x:f>IF(NOT(ISNUMBER(T2815)),"Needs supplier cost",IF(K2815&lt;&gt;"In stock","Supplier unavailable",IF(AG2815&lt;&gt;"PASS","BLOCK - GT loss risk","Commercially protected")))</x:f>
        <x:v>Commercially protected</x:v>
      </x:c>
      <x:c r="AI2815" t="str">
        <x:v>2026-09-10 Active Sports trade capture</x:v>
      </x:c>
      <x:c r="AJ2815" t="str">
        <x:v>Management-only economics. Stripe stress test uses 1.5% + £0.20 standard UK online-card fee; pallet/mix-and-match pricing ignored.</x:v>
      </x:c>
    </x:row>
    <x:row r="2816">
      <x:c r="A2816" t="str">
        <x:v>Active Sports Nutrition</x:v>
      </x:c>
      <x:c r="B2816" t="str">
        <x:v>Per4m Nutrition</x:v>
      </x:c>
      <x:c r="C2816" t="str">
        <x:v>Creatine Monohydrate</x:v>
      </x:c>
      <x:c r="D2816" t="str">
        <x:v>Supplements</x:v>
      </x:c>
      <x:c r="E2816" t="str">
        <x:v>Creatine Powders</x:v>
      </x:c>
      <x:c r="F2816" t="str"/>
      <x:c r="G2816" t="str">
        <x:v>400g</x:v>
      </x:c>
      <x:c r="H2816" t="str">
        <x:v>Peach Sweets</x:v>
      </x:c>
      <x:c r="I2816" t="str"/>
      <x:c r="J2816" t="str">
        <x:v>Unit</x:v>
      </x:c>
      <x:c r="K2816" t="str">
        <x:v>In stock</x:v>
      </x:c>
      <x:c r="L2816" t="str">
        <x:v>2026-09-08</x:v>
      </x:c>
      <x:c r="M2816" t="str"/>
      <x:c r="N2816" t="str"/>
      <x:c r="O2816" t="str">
        <x:v>https://www.activesportstrade.co.uk/per4m-nutrition-trade</x:v>
      </x:c>
      <x:c r="P2816" t="str">
        <x:v>SPECIAL OFFER / BUY 4 GET 1 FREE / NEW wording stripped from canonical identity.</x:v>
      </x:c>
      <x:c r="Q2816" t="str"/>
      <x:c r="R2816" t="str"/>
      <x:c r="S2816" t="str">
        <x:v>Pending genuine supplier/brand image</x:v>
      </x:c>
      <x:c r="T2816" s="54" t="n">
        <x:v>13.89</x:v>
      </x:c>
      <x:c r="U2816" s="47" t="n">
        <x:v>0.2</x:v>
      </x:c>
      <x:c r="V2816" s="54" t="n">
        <x:f>IF(ISNUMBER(T2816),T2816*(1+U2816),"")</x:f>
        <x:v>16.668</x:v>
      </x:c>
      <x:c r="W2816" s="47" t="n">
        <x:v>0.3</x:v>
      </x:c>
      <x:c r="X2816" s="54" t="n">
        <x:f>IF(ISNUMBER(V2816),V2816/(1-W2816),"")</x:f>
        <x:v>23.81142857142857</x:v>
      </x:c>
      <x:c r="Y2816" s="55" t="n">
        <x:f>IF(ISNUMBER(X2816),ROUNDUP(X2816,0),"")</x:f>
        <x:v>24</x:v>
      </x:c>
      <x:c r="Z2816" t="str">
        <x:v>Source match pending</x:v>
      </x:c>
      <x:c r="AA2816" t="str">
        <x:v>screencapture-www-activesportstrade-co-uk-per4m-nutrition-trade-2026-09-10-09_06_42.pdf / page-03</x:v>
      </x:c>
      <x:c r="AB2816" s="36" t="n">
        <x:f>IF(ISNUMBER(Y2816),ROUND(Y2816*0.9,2),"")</x:f>
        <x:v>21.6</x:v>
      </x:c>
      <x:c r="AC2816" s="36" t="n">
        <x:f>IF(ISNUMBER(AB2816),ROUND(AB2816-(AB2816*0.015+0.2)-V2816,2),"")</x:f>
        <x:v>4.41</x:v>
      </x:c>
      <x:c r="AD2816" s="36" t="n">
        <x:f>IF(ISNUMBER(Y2816),ROUND(Y2816*0.8,2),"")</x:f>
        <x:v>19.2</x:v>
      </x:c>
      <x:c r="AE2816" s="36" t="n">
        <x:f>IF(ISNUMBER(AD2816),ROUND(AD2816*0.015+0.2,2),"")</x:f>
        <x:v>0.49</x:v>
      </x:c>
      <x:c r="AF2816" s="36" t="n">
        <x:f>IF(ISNUMBER(AD2816),ROUND(AD2816-AE2816-V2816,2),"")</x:f>
        <x:v>2.04</x:v>
      </x:c>
      <x:c r="AG2816" t="str">
        <x:f>IF(NOT(ISNUMBER(T2816)),"PENDING",IF(AF2816&gt;0,"PASS","FAIL"))</x:f>
        <x:v>PASS</x:v>
      </x:c>
      <x:c r="AH2816" t="str">
        <x:f>IF(NOT(ISNUMBER(T2816)),"Needs supplier cost",IF(K2816&lt;&gt;"In stock","Supplier unavailable",IF(AG2816&lt;&gt;"PASS","BLOCK - GT loss risk","Commercially protected")))</x:f>
        <x:v>Commercially protected</x:v>
      </x:c>
      <x:c r="AI2816" t="str">
        <x:v>2026-09-10 Active Sports trade capture</x:v>
      </x:c>
      <x:c r="AJ2816" t="str">
        <x:v>Management-only economics. Stripe stress test uses 1.5% + £0.20 standard UK online-card fee; pallet/mix-and-match pricing ignored.</x:v>
      </x:c>
    </x:row>
    <x:row r="2817">
      <x:c r="A2817" t="str">
        <x:v>Active Sports Nutrition</x:v>
      </x:c>
      <x:c r="B2817" t="str">
        <x:v>Per4m Nutrition</x:v>
      </x:c>
      <x:c r="C2817" t="str">
        <x:v>Creatine Monohydrate</x:v>
      </x:c>
      <x:c r="D2817" t="str">
        <x:v>Supplements</x:v>
      </x:c>
      <x:c r="E2817" t="str">
        <x:v>Creatine Powders</x:v>
      </x:c>
      <x:c r="F2817" t="str"/>
      <x:c r="G2817" t="str">
        <x:v>400g</x:v>
      </x:c>
      <x:c r="H2817" t="str">
        <x:v>Rainbow Candy</x:v>
      </x:c>
      <x:c r="I2817" t="str"/>
      <x:c r="J2817" t="str">
        <x:v>Unit</x:v>
      </x:c>
      <x:c r="K2817" t="str">
        <x:v>In stock</x:v>
      </x:c>
      <x:c r="L2817" t="str">
        <x:v>2026-09-08</x:v>
      </x:c>
      <x:c r="M2817" t="str"/>
      <x:c r="N2817" t="str"/>
      <x:c r="O2817" t="str">
        <x:v>https://www.activesportstrade.co.uk/per4m-nutrition-trade</x:v>
      </x:c>
      <x:c r="P2817" t="str">
        <x:v>SPECIAL OFFER / BUY 4 GET 1 FREE / NEW wording stripped from canonical identity.</x:v>
      </x:c>
      <x:c r="Q2817" t="str"/>
      <x:c r="R2817" t="str"/>
      <x:c r="S2817" t="str">
        <x:v>Pending genuine supplier/brand image</x:v>
      </x:c>
      <x:c r="T2817" s="54" t="n">
        <x:v>13.89</x:v>
      </x:c>
      <x:c r="U2817" s="47" t="n">
        <x:v>0.2</x:v>
      </x:c>
      <x:c r="V2817" s="54" t="n">
        <x:f>IF(ISNUMBER(T2817),T2817*(1+U2817),"")</x:f>
        <x:v>16.668</x:v>
      </x:c>
      <x:c r="W2817" s="47" t="n">
        <x:v>0.3</x:v>
      </x:c>
      <x:c r="X2817" s="54" t="n">
        <x:f>IF(ISNUMBER(V2817),V2817/(1-W2817),"")</x:f>
        <x:v>23.81142857142857</x:v>
      </x:c>
      <x:c r="Y2817" s="55" t="n">
        <x:f>IF(ISNUMBER(X2817),ROUNDUP(X2817,0),"")</x:f>
        <x:v>24</x:v>
      </x:c>
      <x:c r="Z2817" t="str">
        <x:v>Source match pending</x:v>
      </x:c>
      <x:c r="AA2817" t="str">
        <x:v>screencapture-www-activesportstrade-co-uk-per4m-nutrition-trade-2026-09-10-09_06_42.pdf / page-03</x:v>
      </x:c>
      <x:c r="AB2817" s="36" t="n">
        <x:f>IF(ISNUMBER(Y2817),ROUND(Y2817*0.9,2),"")</x:f>
        <x:v>21.6</x:v>
      </x:c>
      <x:c r="AC2817" s="36" t="n">
        <x:f>IF(ISNUMBER(AB2817),ROUND(AB2817-(AB2817*0.015+0.2)-V2817,2),"")</x:f>
        <x:v>4.41</x:v>
      </x:c>
      <x:c r="AD2817" s="36" t="n">
        <x:f>IF(ISNUMBER(Y2817),ROUND(Y2817*0.8,2),"")</x:f>
        <x:v>19.2</x:v>
      </x:c>
      <x:c r="AE2817" s="36" t="n">
        <x:f>IF(ISNUMBER(AD2817),ROUND(AD2817*0.015+0.2,2),"")</x:f>
        <x:v>0.49</x:v>
      </x:c>
      <x:c r="AF2817" s="36" t="n">
        <x:f>IF(ISNUMBER(AD2817),ROUND(AD2817-AE2817-V2817,2),"")</x:f>
        <x:v>2.04</x:v>
      </x:c>
      <x:c r="AG2817" t="str">
        <x:f>IF(NOT(ISNUMBER(T2817)),"PENDING",IF(AF2817&gt;0,"PASS","FAIL"))</x:f>
        <x:v>PASS</x:v>
      </x:c>
      <x:c r="AH2817" t="str">
        <x:f>IF(NOT(ISNUMBER(T2817)),"Needs supplier cost",IF(K2817&lt;&gt;"In stock","Supplier unavailable",IF(AG2817&lt;&gt;"PASS","BLOCK - GT loss risk","Commercially protected")))</x:f>
        <x:v>Commercially protected</x:v>
      </x:c>
      <x:c r="AI2817" t="str">
        <x:v>2026-09-10 Active Sports trade capture</x:v>
      </x:c>
      <x:c r="AJ2817" t="str">
        <x:v>Management-only economics. Stripe stress test uses 1.5% + £0.20 standard UK online-card fee; pallet/mix-and-match pricing ignored.</x:v>
      </x:c>
    </x:row>
    <x:row r="2818">
      <x:c r="A2818" t="str">
        <x:v>Active Sports Nutrition</x:v>
      </x:c>
      <x:c r="B2818" t="str">
        <x:v>Per4m Nutrition</x:v>
      </x:c>
      <x:c r="C2818" t="str">
        <x:v>Creatine Monohydrate</x:v>
      </x:c>
      <x:c r="D2818" t="str">
        <x:v>Supplements</x:v>
      </x:c>
      <x:c r="E2818" t="str">
        <x:v>Creatine Powders</x:v>
      </x:c>
      <x:c r="F2818" t="str"/>
      <x:c r="G2818" t="str">
        <x:v>400g</x:v>
      </x:c>
      <x:c r="H2818" t="str">
        <x:v>Strawberry Lime</x:v>
      </x:c>
      <x:c r="I2818" t="str"/>
      <x:c r="J2818" t="str">
        <x:v>Unit</x:v>
      </x:c>
      <x:c r="K2818" t="str">
        <x:v>Out of stock</x:v>
      </x:c>
      <x:c r="L2818" t="str">
        <x:v>2026-09-08</x:v>
      </x:c>
      <x:c r="M2818" t="str"/>
      <x:c r="N2818" t="str"/>
      <x:c r="O2818" t="str">
        <x:v>https://www.activesportstrade.co.uk/per4m-nutrition-trade</x:v>
      </x:c>
      <x:c r="P2818" t="str">
        <x:v>SPECIAL OFFER / BUY 4 GET 1 FREE / NEW wording stripped from canonical identity.</x:v>
      </x:c>
      <x:c r="Q2818" t="str"/>
      <x:c r="R2818" t="str"/>
      <x:c r="S2818" t="str">
        <x:v>Pending genuine supplier/brand image</x:v>
      </x:c>
      <x:c r="T2818" s="54" t="n">
        <x:v>13.89</x:v>
      </x:c>
      <x:c r="U2818" s="47" t="n">
        <x:v>0.2</x:v>
      </x:c>
      <x:c r="V2818" s="54" t="n">
        <x:f>IF(ISNUMBER(T2818),T2818*(1+U2818),"")</x:f>
        <x:v>16.668</x:v>
      </x:c>
      <x:c r="W2818" s="47" t="n">
        <x:v>0.3</x:v>
      </x:c>
      <x:c r="X2818" s="54" t="n">
        <x:f>IF(ISNUMBER(V2818),V2818/(1-W2818),"")</x:f>
        <x:v>23.81142857142857</x:v>
      </x:c>
      <x:c r="Y2818" s="55" t="n">
        <x:f>IF(ISNUMBER(X2818),ROUNDUP(X2818,0),"")</x:f>
        <x:v>24</x:v>
      </x:c>
      <x:c r="Z2818" t="str">
        <x:v>Source match pending</x:v>
      </x:c>
      <x:c r="AA2818" t="str">
        <x:v>screencapture-www-activesportstrade-co-uk-per4m-nutrition-trade-2026-09-10-09_06_42.pdf / page-03</x:v>
      </x:c>
      <x:c r="AB2818" s="36" t="n">
        <x:f>IF(ISNUMBER(Y2818),ROUND(Y2818*0.9,2),"")</x:f>
        <x:v>21.6</x:v>
      </x:c>
      <x:c r="AC2818" s="36" t="n">
        <x:f>IF(ISNUMBER(AB2818),ROUND(AB2818-(AB2818*0.015+0.2)-V2818,2),"")</x:f>
        <x:v>4.41</x:v>
      </x:c>
      <x:c r="AD2818" s="36" t="n">
        <x:f>IF(ISNUMBER(Y2818),ROUND(Y2818*0.8,2),"")</x:f>
        <x:v>19.2</x:v>
      </x:c>
      <x:c r="AE2818" s="36" t="n">
        <x:f>IF(ISNUMBER(AD2818),ROUND(AD2818*0.015+0.2,2),"")</x:f>
        <x:v>0.49</x:v>
      </x:c>
      <x:c r="AF2818" s="36" t="n">
        <x:f>IF(ISNUMBER(AD2818),ROUND(AD2818-AE2818-V2818,2),"")</x:f>
        <x:v>2.04</x:v>
      </x:c>
      <x:c r="AG2818" t="str">
        <x:f>IF(NOT(ISNUMBER(T2818)),"PENDING",IF(AF2818&gt;0,"PASS","FAIL"))</x:f>
        <x:v>PASS</x:v>
      </x:c>
      <x:c r="AH2818" t="str">
        <x:f>IF(NOT(ISNUMBER(T2818)),"Needs supplier cost",IF(K2818&lt;&gt;"In stock","Supplier unavailable",IF(AG2818&lt;&gt;"PASS","BLOCK - GT loss risk","Commercially protected")))</x:f>
        <x:v>Supplier unavailable</x:v>
      </x:c>
      <x:c r="AI2818" t="str">
        <x:v>2026-09-10 Active Sports trade capture</x:v>
      </x:c>
      <x:c r="AJ2818" t="str">
        <x:v>Management-only economics. Stripe stress test uses 1.5% + £0.20 standard UK online-card fee; pallet/mix-and-match pricing ignored.</x:v>
      </x:c>
    </x:row>
    <x:row r="2819">
      <x:c r="A2819" t="str">
        <x:v>Active Sports Nutrition</x:v>
      </x:c>
      <x:c r="B2819" t="str">
        <x:v>Per4m Nutrition</x:v>
      </x:c>
      <x:c r="C2819" t="str">
        <x:v>Creatine Sherbet</x:v>
      </x:c>
      <x:c r="D2819" t="str">
        <x:v>Supplements</x:v>
      </x:c>
      <x:c r="E2819" t="str">
        <x:v>Creatine Powders</x:v>
      </x:c>
      <x:c r="F2819" t="str"/>
      <x:c r="G2819" t="str">
        <x:v>310g</x:v>
      </x:c>
      <x:c r="H2819" t="str">
        <x:v>Cherry Fizz</x:v>
      </x:c>
      <x:c r="I2819" t="str"/>
      <x:c r="J2819" t="str">
        <x:v>Unit</x:v>
      </x:c>
      <x:c r="K2819" t="str">
        <x:v>Out of stock</x:v>
      </x:c>
      <x:c r="L2819" t="str">
        <x:v>2026-09-08</x:v>
      </x:c>
      <x:c r="M2819" t="str"/>
      <x:c r="N2819" t="str"/>
      <x:c r="O2819" t="str">
        <x:v>https://www.activesportstrade.co.uk/per4m-nutrition-trade</x:v>
      </x:c>
      <x:c r="P2819" t="str">
        <x:v>Current exact variant captured; supplier marketing copy excluded.</x:v>
      </x:c>
      <x:c r="Q2819" t="str"/>
      <x:c r="R2819" t="str"/>
      <x:c r="S2819" t="str">
        <x:v>Pending genuine supplier/brand image</x:v>
      </x:c>
      <x:c r="T2819" s="54" t="n">
        <x:v>9.99</x:v>
      </x:c>
      <x:c r="U2819" s="47" t="n">
        <x:v>0.2</x:v>
      </x:c>
      <x:c r="V2819" s="54" t="n">
        <x:f>IF(ISNUMBER(T2819),T2819*(1+U2819),"")</x:f>
        <x:v>11.988</x:v>
      </x:c>
      <x:c r="W2819" s="47" t="n">
        <x:v>0.3</x:v>
      </x:c>
      <x:c r="X2819" s="54" t="n">
        <x:f>IF(ISNUMBER(V2819),V2819/(1-W2819),"")</x:f>
        <x:v>17.125714285714285</x:v>
      </x:c>
      <x:c r="Y2819" s="55" t="n">
        <x:f>IF(ISNUMBER(X2819),ROUNDUP(X2819,0),"")</x:f>
        <x:v>18</x:v>
      </x:c>
      <x:c r="Z2819" t="str">
        <x:v>Source match pending</x:v>
      </x:c>
      <x:c r="AA2819" t="str">
        <x:v>screencapture-www-activesportstrade-co-uk-per4m-nutrition-trade-2026-09-10-09_06_42.pdf / page-03</x:v>
      </x:c>
      <x:c r="AB2819" s="36" t="n">
        <x:f>IF(ISNUMBER(Y2819),ROUND(Y2819*0.9,2),"")</x:f>
        <x:v>16.2</x:v>
      </x:c>
      <x:c r="AC2819" s="36" t="n">
        <x:f>IF(ISNUMBER(AB2819),ROUND(AB2819-(AB2819*0.015+0.2)-V2819,2),"")</x:f>
        <x:v>3.77</x:v>
      </x:c>
      <x:c r="AD2819" s="36" t="n">
        <x:f>IF(ISNUMBER(Y2819),ROUND(Y2819*0.8,2),"")</x:f>
        <x:v>14.4</x:v>
      </x:c>
      <x:c r="AE2819" s="36" t="n">
        <x:f>IF(ISNUMBER(AD2819),ROUND(AD2819*0.015+0.2,2),"")</x:f>
        <x:v>0.42</x:v>
      </x:c>
      <x:c r="AF2819" s="36" t="n">
        <x:f>IF(ISNUMBER(AD2819),ROUND(AD2819-AE2819-V2819,2),"")</x:f>
        <x:v>1.99</x:v>
      </x:c>
      <x:c r="AG2819" t="str">
        <x:f>IF(NOT(ISNUMBER(T2819)),"PENDING",IF(AF2819&gt;0,"PASS","FAIL"))</x:f>
        <x:v>PASS</x:v>
      </x:c>
      <x:c r="AH2819" t="str">
        <x:f>IF(NOT(ISNUMBER(T2819)),"Needs supplier cost",IF(K2819&lt;&gt;"In stock","Supplier unavailable",IF(AG2819&lt;&gt;"PASS","BLOCK - GT loss risk","Commercially protected")))</x:f>
        <x:v>Supplier unavailable</x:v>
      </x:c>
      <x:c r="AI2819" t="str">
        <x:v>2026-09-10 Active Sports trade capture</x:v>
      </x:c>
      <x:c r="AJ2819" t="str">
        <x:v>Management-only economics. Stripe stress test uses 1.5% + £0.20 standard UK online-card fee; pallet/mix-and-match pricing ignored.</x:v>
      </x:c>
    </x:row>
    <x:row r="2820">
      <x:c r="A2820" t="str">
        <x:v>Active Sports Nutrition</x:v>
      </x:c>
      <x:c r="B2820" t="str">
        <x:v>Per4m Nutrition</x:v>
      </x:c>
      <x:c r="C2820" t="str">
        <x:v>Whey Protein</x:v>
      </x:c>
      <x:c r="D2820" t="str">
        <x:v>Supplements</x:v>
      </x:c>
      <x:c r="E2820" t="str">
        <x:v>Whey Protein</x:v>
      </x:c>
      <x:c r="F2820" t="str"/>
      <x:c r="G2820" t="str">
        <x:v>900g</x:v>
      </x:c>
      <x:c r="H2820" t="str">
        <x:v>Apple Strudel</x:v>
      </x:c>
      <x:c r="I2820" t="str"/>
      <x:c r="J2820" t="str">
        <x:v>Unit</x:v>
      </x:c>
      <x:c r="K2820" t="str">
        <x:v>In stock</x:v>
      </x:c>
      <x:c r="L2820" t="str">
        <x:v>2026-09-08</x:v>
      </x:c>
      <x:c r="M2820" t="str"/>
      <x:c r="N2820" t="str"/>
      <x:c r="O2820" t="str">
        <x:v>https://www.activesportstrade.co.uk/Whey-Protein-Supplements-Trade/per4m-nutrition-trade</x:v>
      </x:c>
      <x:c r="P2820" t="str">
        <x:v>NEW PRICE / NEW wording stripped; exact current flavour-level availability retained.</x:v>
      </x:c>
      <x:c r="Q2820" t="str"/>
      <x:c r="R2820" t="str"/>
      <x:c r="S2820" t="str">
        <x:v>Pending genuine supplier/brand image</x:v>
      </x:c>
      <x:c r="T2820" s="54"/>
      <x:c r="U2820" s="47" t="n">
        <x:v>0.2</x:v>
      </x:c>
      <x:c r="V2820" s="54" t="str">
        <x:f>IF(ISNUMBER(T2820),T2820*(1+U2820),"")</x:f>
      </x:c>
      <x:c r="W2820" s="47" t="n">
        <x:v>0.3</x:v>
      </x:c>
      <x:c r="X2820" s="54" t="str">
        <x:f>IF(ISNUMBER(V2820),V2820/(1-W2820),"")</x:f>
      </x:c>
      <x:c r="Y2820" s="55" t="str">
        <x:f>IF(ISNUMBER(X2820),ROUNDUP(X2820,0),"")</x:f>
      </x:c>
      <x:c r="Z2820" t="str">
        <x:f>IF(ISNUMBER(T2820),"Cost captured","Awaiting trade cost")</x:f>
        <x:v>Awaiting trade cost</x:v>
      </x:c>
      <x:c r="AB2820" s="36" t="str">
        <x:f>IF(ISNUMBER(Y2820),ROUND(Y2820*0.9,2),"")</x:f>
      </x:c>
      <x:c r="AC2820" s="36" t="str">
        <x:f>IF(ISNUMBER(AB2820),ROUND(AB2820-(AB2820*0.015+0.2)-V2820,2),"")</x:f>
      </x:c>
      <x:c r="AD2820" s="36" t="str">
        <x:f>IF(ISNUMBER(Y2820),ROUND(Y2820*0.8,2),"")</x:f>
      </x:c>
      <x:c r="AE2820" s="36" t="str">
        <x:f>IF(ISNUMBER(AD2820),ROUND(AD2820*0.015+0.2,2),"")</x:f>
      </x:c>
      <x:c r="AF2820" s="36" t="str">
        <x:f>IF(ISNUMBER(AD2820),ROUND(AD2820-AE2820-V2820,2),"")</x:f>
      </x:c>
      <x:c r="AG2820" t="str">
        <x:f>IF(NOT(ISNUMBER(T2820)),"PENDING",IF(AF2820&gt;0,"PASS","FAIL"))</x:f>
        <x:v>PENDING</x:v>
      </x:c>
      <x:c r="AH2820" t="str">
        <x:f>IF(NOT(ISNUMBER(T2820)),"Needs supplier cost",IF(K2820&lt;&gt;"In stock","Supplier unavailable",IF(AG2820&lt;&gt;"PASS","BLOCK - GT loss risk","Commercially protected")))</x:f>
        <x:v>Needs supplier cost</x:v>
      </x:c>
      <x:c r="AI2820" t="str">
        <x:v>2026-09-10 Active Sports trade capture</x:v>
      </x:c>
      <x:c r="AJ2820" t="str">
        <x:v>Management-only economics. Stripe stress test uses 1.5% + £0.20 standard UK online-card fee; pallet/mix-and-match pricing ignored.</x:v>
      </x:c>
    </x:row>
    <x:row r="2821">
      <x:c r="A2821" t="str">
        <x:v>Active Sports Nutrition</x:v>
      </x:c>
      <x:c r="B2821" t="str">
        <x:v>Per4m Nutrition</x:v>
      </x:c>
      <x:c r="C2821" t="str">
        <x:v>Whey Protein</x:v>
      </x:c>
      <x:c r="D2821" t="str">
        <x:v>Supplements</x:v>
      </x:c>
      <x:c r="E2821" t="str">
        <x:v>Whey Protein</x:v>
      </x:c>
      <x:c r="F2821" t="str"/>
      <x:c r="G2821" t="str">
        <x:v>900g</x:v>
      </x:c>
      <x:c r="H2821" t="str">
        <x:v>Baklava</x:v>
      </x:c>
      <x:c r="I2821" t="str"/>
      <x:c r="J2821" t="str">
        <x:v>Unit</x:v>
      </x:c>
      <x:c r="K2821" t="str">
        <x:v>In stock</x:v>
      </x:c>
      <x:c r="L2821" t="str">
        <x:v>2026-09-08</x:v>
      </x:c>
      <x:c r="M2821" t="str"/>
      <x:c r="N2821" t="str"/>
      <x:c r="O2821" t="str">
        <x:v>https://www.activesportstrade.co.uk/Whey-Protein-Supplements-Trade/per4m-nutrition-trade</x:v>
      </x:c>
      <x:c r="P2821" t="str">
        <x:v>NEW PRICE / NEW wording stripped; exact current flavour-level availability retained.</x:v>
      </x:c>
      <x:c r="Q2821" t="str"/>
      <x:c r="R2821" t="str"/>
      <x:c r="S2821" t="str">
        <x:v>Pending genuine supplier/brand image</x:v>
      </x:c>
      <x:c r="T2821" s="54"/>
      <x:c r="U2821" s="47" t="n">
        <x:v>0.2</x:v>
      </x:c>
      <x:c r="V2821" s="54" t="str">
        <x:f>IF(ISNUMBER(T2821),T2821*(1+U2821),"")</x:f>
      </x:c>
      <x:c r="W2821" s="47" t="n">
        <x:v>0.3</x:v>
      </x:c>
      <x:c r="X2821" s="54" t="str">
        <x:f>IF(ISNUMBER(V2821),V2821/(1-W2821),"")</x:f>
      </x:c>
      <x:c r="Y2821" s="55" t="str">
        <x:f>IF(ISNUMBER(X2821),ROUNDUP(X2821,0),"")</x:f>
      </x:c>
      <x:c r="Z2821" t="str">
        <x:f>IF(ISNUMBER(T2821),"Cost captured","Awaiting trade cost")</x:f>
        <x:v>Awaiting trade cost</x:v>
      </x:c>
      <x:c r="AB2821" s="36" t="str">
        <x:f>IF(ISNUMBER(Y2821),ROUND(Y2821*0.9,2),"")</x:f>
      </x:c>
      <x:c r="AC2821" s="36" t="str">
        <x:f>IF(ISNUMBER(AB2821),ROUND(AB2821-(AB2821*0.015+0.2)-V2821,2),"")</x:f>
      </x:c>
      <x:c r="AD2821" s="36" t="str">
        <x:f>IF(ISNUMBER(Y2821),ROUND(Y2821*0.8,2),"")</x:f>
      </x:c>
      <x:c r="AE2821" s="36" t="str">
        <x:f>IF(ISNUMBER(AD2821),ROUND(AD2821*0.015+0.2,2),"")</x:f>
      </x:c>
      <x:c r="AF2821" s="36" t="str">
        <x:f>IF(ISNUMBER(AD2821),ROUND(AD2821-AE2821-V2821,2),"")</x:f>
      </x:c>
      <x:c r="AG2821" t="str">
        <x:f>IF(NOT(ISNUMBER(T2821)),"PENDING",IF(AF2821&gt;0,"PASS","FAIL"))</x:f>
        <x:v>PENDING</x:v>
      </x:c>
      <x:c r="AH2821" t="str">
        <x:f>IF(NOT(ISNUMBER(T2821)),"Needs supplier cost",IF(K2821&lt;&gt;"In stock","Supplier unavailable",IF(AG2821&lt;&gt;"PASS","BLOCK - GT loss risk","Commercially protected")))</x:f>
        <x:v>Needs supplier cost</x:v>
      </x:c>
      <x:c r="AI2821" t="str">
        <x:v>2026-09-10 Active Sports trade capture</x:v>
      </x:c>
      <x:c r="AJ2821" t="str">
        <x:v>Management-only economics. Stripe stress test uses 1.5% + £0.20 standard UK online-card fee; pallet/mix-and-match pricing ignored.</x:v>
      </x:c>
    </x:row>
    <x:row r="2822">
      <x:c r="A2822" t="str">
        <x:v>Active Sports Nutrition</x:v>
      </x:c>
      <x:c r="B2822" t="str">
        <x:v>Per4m Nutrition</x:v>
      </x:c>
      <x:c r="C2822" t="str">
        <x:v>Whey Protein</x:v>
      </x:c>
      <x:c r="D2822" t="str">
        <x:v>Supplements</x:v>
      </x:c>
      <x:c r="E2822" t="str">
        <x:v>Whey Protein</x:v>
      </x:c>
      <x:c r="F2822" t="str"/>
      <x:c r="G2822" t="str">
        <x:v>900g</x:v>
      </x:c>
      <x:c r="H2822" t="str">
        <x:v>Banana Cream</x:v>
      </x:c>
      <x:c r="I2822" t="str"/>
      <x:c r="J2822" t="str">
        <x:v>Unit</x:v>
      </x:c>
      <x:c r="K2822" t="str">
        <x:v>In stock</x:v>
      </x:c>
      <x:c r="L2822" t="str">
        <x:v>2026-09-08</x:v>
      </x:c>
      <x:c r="M2822" t="str"/>
      <x:c r="N2822" t="str"/>
      <x:c r="O2822" t="str">
        <x:v>https://www.activesportstrade.co.uk/Whey-Protein-Supplements-Trade/per4m-nutrition-trade</x:v>
      </x:c>
      <x:c r="P2822" t="str">
        <x:v>NEW PRICE / NEW wording stripped; exact current flavour-level availability retained.</x:v>
      </x:c>
      <x:c r="Q2822" t="str"/>
      <x:c r="R2822" t="str"/>
      <x:c r="S2822" t="str">
        <x:v>Pending genuine supplier/brand image</x:v>
      </x:c>
      <x:c r="T2822" s="54"/>
      <x:c r="U2822" s="47" t="n">
        <x:v>0.2</x:v>
      </x:c>
      <x:c r="V2822" s="54" t="str">
        <x:f>IF(ISNUMBER(T2822),T2822*(1+U2822),"")</x:f>
      </x:c>
      <x:c r="W2822" s="47" t="n">
        <x:v>0.3</x:v>
      </x:c>
      <x:c r="X2822" s="54" t="str">
        <x:f>IF(ISNUMBER(V2822),V2822/(1-W2822),"")</x:f>
      </x:c>
      <x:c r="Y2822" s="55" t="str">
        <x:f>IF(ISNUMBER(X2822),ROUNDUP(X2822,0),"")</x:f>
      </x:c>
      <x:c r="Z2822" t="str">
        <x:f>IF(ISNUMBER(T2822),"Cost captured","Awaiting trade cost")</x:f>
        <x:v>Awaiting trade cost</x:v>
      </x:c>
      <x:c r="AB2822" s="36" t="str">
        <x:f>IF(ISNUMBER(Y2822),ROUND(Y2822*0.9,2),"")</x:f>
      </x:c>
      <x:c r="AC2822" s="36" t="str">
        <x:f>IF(ISNUMBER(AB2822),ROUND(AB2822-(AB2822*0.015+0.2)-V2822,2),"")</x:f>
      </x:c>
      <x:c r="AD2822" s="36" t="str">
        <x:f>IF(ISNUMBER(Y2822),ROUND(Y2822*0.8,2),"")</x:f>
      </x:c>
      <x:c r="AE2822" s="36" t="str">
        <x:f>IF(ISNUMBER(AD2822),ROUND(AD2822*0.015+0.2,2),"")</x:f>
      </x:c>
      <x:c r="AF2822" s="36" t="str">
        <x:f>IF(ISNUMBER(AD2822),ROUND(AD2822-AE2822-V2822,2),"")</x:f>
      </x:c>
      <x:c r="AG2822" t="str">
        <x:f>IF(NOT(ISNUMBER(T2822)),"PENDING",IF(AF2822&gt;0,"PASS","FAIL"))</x:f>
        <x:v>PENDING</x:v>
      </x:c>
      <x:c r="AH2822" t="str">
        <x:f>IF(NOT(ISNUMBER(T2822)),"Needs supplier cost",IF(K2822&lt;&gt;"In stock","Supplier unavailable",IF(AG2822&lt;&gt;"PASS","BLOCK - GT loss risk","Commercially protected")))</x:f>
        <x:v>Needs supplier cost</x:v>
      </x:c>
      <x:c r="AI2822" t="str">
        <x:v>2026-09-10 Active Sports trade capture</x:v>
      </x:c>
      <x:c r="AJ2822" t="str">
        <x:v>Management-only economics. Stripe stress test uses 1.5% + £0.20 standard UK online-card fee; pallet/mix-and-match pricing ignored.</x:v>
      </x:c>
    </x:row>
    <x:row r="2823">
      <x:c r="A2823" t="str">
        <x:v>Active Sports Nutrition</x:v>
      </x:c>
      <x:c r="B2823" t="str">
        <x:v>Per4m Nutrition</x:v>
      </x:c>
      <x:c r="C2823" t="str">
        <x:v>Whey Protein</x:v>
      </x:c>
      <x:c r="D2823" t="str">
        <x:v>Supplements</x:v>
      </x:c>
      <x:c r="E2823" t="str">
        <x:v>Whey Protein</x:v>
      </x:c>
      <x:c r="F2823" t="str"/>
      <x:c r="G2823" t="str">
        <x:v>900g</x:v>
      </x:c>
      <x:c r="H2823" t="str">
        <x:v>Birthday Cake</x:v>
      </x:c>
      <x:c r="I2823" t="str"/>
      <x:c r="J2823" t="str">
        <x:v>Unit</x:v>
      </x:c>
      <x:c r="K2823" t="str">
        <x:v>In stock</x:v>
      </x:c>
      <x:c r="L2823" t="str">
        <x:v>2026-09-08</x:v>
      </x:c>
      <x:c r="M2823" t="str"/>
      <x:c r="N2823" t="str"/>
      <x:c r="O2823" t="str">
        <x:v>https://www.activesportstrade.co.uk/Whey-Protein-Supplements-Trade/per4m-nutrition-trade</x:v>
      </x:c>
      <x:c r="P2823" t="str">
        <x:v>NEW PRICE / NEW wording stripped; exact current flavour-level availability retained.</x:v>
      </x:c>
      <x:c r="Q2823" t="str"/>
      <x:c r="R2823" t="str"/>
      <x:c r="S2823" t="str">
        <x:v>Pending genuine supplier/brand image</x:v>
      </x:c>
      <x:c r="T2823" s="54"/>
      <x:c r="U2823" s="47" t="n">
        <x:v>0.2</x:v>
      </x:c>
      <x:c r="V2823" s="54" t="str">
        <x:f>IF(ISNUMBER(T2823),T2823*(1+U2823),"")</x:f>
      </x:c>
      <x:c r="W2823" s="47" t="n">
        <x:v>0.3</x:v>
      </x:c>
      <x:c r="X2823" s="54" t="str">
        <x:f>IF(ISNUMBER(V2823),V2823/(1-W2823),"")</x:f>
      </x:c>
      <x:c r="Y2823" s="55" t="str">
        <x:f>IF(ISNUMBER(X2823),ROUNDUP(X2823,0),"")</x:f>
      </x:c>
      <x:c r="Z2823" t="str">
        <x:f>IF(ISNUMBER(T2823),"Cost captured","Awaiting trade cost")</x:f>
        <x:v>Awaiting trade cost</x:v>
      </x:c>
      <x:c r="AB2823" s="36" t="str">
        <x:f>IF(ISNUMBER(Y2823),ROUND(Y2823*0.9,2),"")</x:f>
      </x:c>
      <x:c r="AC2823" s="36" t="str">
        <x:f>IF(ISNUMBER(AB2823),ROUND(AB2823-(AB2823*0.015+0.2)-V2823,2),"")</x:f>
      </x:c>
      <x:c r="AD2823" s="36" t="str">
        <x:f>IF(ISNUMBER(Y2823),ROUND(Y2823*0.8,2),"")</x:f>
      </x:c>
      <x:c r="AE2823" s="36" t="str">
        <x:f>IF(ISNUMBER(AD2823),ROUND(AD2823*0.015+0.2,2),"")</x:f>
      </x:c>
      <x:c r="AF2823" s="36" t="str">
        <x:f>IF(ISNUMBER(AD2823),ROUND(AD2823-AE2823-V2823,2),"")</x:f>
      </x:c>
      <x:c r="AG2823" t="str">
        <x:f>IF(NOT(ISNUMBER(T2823)),"PENDING",IF(AF2823&gt;0,"PASS","FAIL"))</x:f>
        <x:v>PENDING</x:v>
      </x:c>
      <x:c r="AH2823" t="str">
        <x:f>IF(NOT(ISNUMBER(T2823)),"Needs supplier cost",IF(K2823&lt;&gt;"In stock","Supplier unavailable",IF(AG2823&lt;&gt;"PASS","BLOCK - GT loss risk","Commercially protected")))</x:f>
        <x:v>Needs supplier cost</x:v>
      </x:c>
      <x:c r="AI2823" t="str">
        <x:v>2026-09-10 Active Sports trade capture</x:v>
      </x:c>
      <x:c r="AJ2823" t="str">
        <x:v>Management-only economics. Stripe stress test uses 1.5% + £0.20 standard UK online-card fee; pallet/mix-and-match pricing ignored.</x:v>
      </x:c>
    </x:row>
    <x:row r="2824">
      <x:c r="A2824" t="str">
        <x:v>Active Sports Nutrition</x:v>
      </x:c>
      <x:c r="B2824" t="str">
        <x:v>Per4m Nutrition</x:v>
      </x:c>
      <x:c r="C2824" t="str">
        <x:v>Whey Protein</x:v>
      </x:c>
      <x:c r="D2824" t="str">
        <x:v>Supplements</x:v>
      </x:c>
      <x:c r="E2824" t="str">
        <x:v>Whey Protein</x:v>
      </x:c>
      <x:c r="F2824" t="str"/>
      <x:c r="G2824" t="str">
        <x:v>900g</x:v>
      </x:c>
      <x:c r="H2824" t="str">
        <x:v>Blueberry Muffin</x:v>
      </x:c>
      <x:c r="I2824" t="str"/>
      <x:c r="J2824" t="str">
        <x:v>Unit</x:v>
      </x:c>
      <x:c r="K2824" t="str">
        <x:v>In stock</x:v>
      </x:c>
      <x:c r="L2824" t="str">
        <x:v>2026-09-08</x:v>
      </x:c>
      <x:c r="M2824" t="str"/>
      <x:c r="N2824" t="str"/>
      <x:c r="O2824" t="str">
        <x:v>https://www.activesportstrade.co.uk/Whey-Protein-Supplements-Trade/per4m-nutrition-trade</x:v>
      </x:c>
      <x:c r="P2824" t="str">
        <x:v>NEW PRICE / NEW wording stripped; exact current flavour-level availability retained.</x:v>
      </x:c>
      <x:c r="Q2824" t="str"/>
      <x:c r="R2824" t="str"/>
      <x:c r="S2824" t="str">
        <x:v>Pending genuine supplier/brand image</x:v>
      </x:c>
      <x:c r="T2824" s="54"/>
      <x:c r="U2824" s="47" t="n">
        <x:v>0.2</x:v>
      </x:c>
      <x:c r="V2824" s="54" t="str">
        <x:f>IF(ISNUMBER(T2824),T2824*(1+U2824),"")</x:f>
      </x:c>
      <x:c r="W2824" s="47" t="n">
        <x:v>0.3</x:v>
      </x:c>
      <x:c r="X2824" s="54" t="str">
        <x:f>IF(ISNUMBER(V2824),V2824/(1-W2824),"")</x:f>
      </x:c>
      <x:c r="Y2824" s="55" t="str">
        <x:f>IF(ISNUMBER(X2824),ROUNDUP(X2824,0),"")</x:f>
      </x:c>
      <x:c r="Z2824" t="str">
        <x:f>IF(ISNUMBER(T2824),"Cost captured","Awaiting trade cost")</x:f>
        <x:v>Awaiting trade cost</x:v>
      </x:c>
      <x:c r="AB2824" s="36" t="str">
        <x:f>IF(ISNUMBER(Y2824),ROUND(Y2824*0.9,2),"")</x:f>
      </x:c>
      <x:c r="AC2824" s="36" t="str">
        <x:f>IF(ISNUMBER(AB2824),ROUND(AB2824-(AB2824*0.015+0.2)-V2824,2),"")</x:f>
      </x:c>
      <x:c r="AD2824" s="36" t="str">
        <x:f>IF(ISNUMBER(Y2824),ROUND(Y2824*0.8,2),"")</x:f>
      </x:c>
      <x:c r="AE2824" s="36" t="str">
        <x:f>IF(ISNUMBER(AD2824),ROUND(AD2824*0.015+0.2,2),"")</x:f>
      </x:c>
      <x:c r="AF2824" s="36" t="str">
        <x:f>IF(ISNUMBER(AD2824),ROUND(AD2824-AE2824-V2824,2),"")</x:f>
      </x:c>
      <x:c r="AG2824" t="str">
        <x:f>IF(NOT(ISNUMBER(T2824)),"PENDING",IF(AF2824&gt;0,"PASS","FAIL"))</x:f>
        <x:v>PENDING</x:v>
      </x:c>
      <x:c r="AH2824" t="str">
        <x:f>IF(NOT(ISNUMBER(T2824)),"Needs supplier cost",IF(K2824&lt;&gt;"In stock","Supplier unavailable",IF(AG2824&lt;&gt;"PASS","BLOCK - GT loss risk","Commercially protected")))</x:f>
        <x:v>Needs supplier cost</x:v>
      </x:c>
      <x:c r="AI2824" t="str">
        <x:v>2026-09-10 Active Sports trade capture</x:v>
      </x:c>
      <x:c r="AJ2824" t="str">
        <x:v>Management-only economics. Stripe stress test uses 1.5% + £0.20 standard UK online-card fee; pallet/mix-and-match pricing ignored.</x:v>
      </x:c>
    </x:row>
    <x:row r="2825">
      <x:c r="A2825" t="str">
        <x:v>Active Sports Nutrition</x:v>
      </x:c>
      <x:c r="B2825" t="str">
        <x:v>Per4m Nutrition</x:v>
      </x:c>
      <x:c r="C2825" t="str">
        <x:v>Whey Protein</x:v>
      </x:c>
      <x:c r="D2825" t="str">
        <x:v>Supplements</x:v>
      </x:c>
      <x:c r="E2825" t="str">
        <x:v>Whey Protein</x:v>
      </x:c>
      <x:c r="F2825" t="str"/>
      <x:c r="G2825" t="str">
        <x:v>900g</x:v>
      </x:c>
      <x:c r="H2825" t="str">
        <x:v>Caramel Biscuit</x:v>
      </x:c>
      <x:c r="I2825" t="str"/>
      <x:c r="J2825" t="str">
        <x:v>Unit</x:v>
      </x:c>
      <x:c r="K2825" t="str">
        <x:v>In stock</x:v>
      </x:c>
      <x:c r="L2825" t="str">
        <x:v>2026-09-08</x:v>
      </x:c>
      <x:c r="M2825" t="str"/>
      <x:c r="N2825" t="str"/>
      <x:c r="O2825" t="str">
        <x:v>https://www.activesportstrade.co.uk/Whey-Protein-Supplements-Trade/per4m-nutrition-trade</x:v>
      </x:c>
      <x:c r="P2825" t="str">
        <x:v>NEW PRICE / NEW wording stripped; exact current flavour-level availability retained.</x:v>
      </x:c>
      <x:c r="Q2825" t="str"/>
      <x:c r="R2825" t="str"/>
      <x:c r="S2825" t="str">
        <x:v>Pending genuine supplier/brand image</x:v>
      </x:c>
      <x:c r="T2825" s="54"/>
      <x:c r="U2825" s="47" t="n">
        <x:v>0.2</x:v>
      </x:c>
      <x:c r="V2825" s="54" t="str">
        <x:f>IF(ISNUMBER(T2825),T2825*(1+U2825),"")</x:f>
      </x:c>
      <x:c r="W2825" s="47" t="n">
        <x:v>0.3</x:v>
      </x:c>
      <x:c r="X2825" s="54" t="str">
        <x:f>IF(ISNUMBER(V2825),V2825/(1-W2825),"")</x:f>
      </x:c>
      <x:c r="Y2825" s="55" t="str">
        <x:f>IF(ISNUMBER(X2825),ROUNDUP(X2825,0),"")</x:f>
      </x:c>
      <x:c r="Z2825" t="str">
        <x:f>IF(ISNUMBER(T2825),"Cost captured","Awaiting trade cost")</x:f>
        <x:v>Awaiting trade cost</x:v>
      </x:c>
      <x:c r="AB2825" s="36" t="str">
        <x:f>IF(ISNUMBER(Y2825),ROUND(Y2825*0.9,2),"")</x:f>
      </x:c>
      <x:c r="AC2825" s="36" t="str">
        <x:f>IF(ISNUMBER(AB2825),ROUND(AB2825-(AB2825*0.015+0.2)-V2825,2),"")</x:f>
      </x:c>
      <x:c r="AD2825" s="36" t="str">
        <x:f>IF(ISNUMBER(Y2825),ROUND(Y2825*0.8,2),"")</x:f>
      </x:c>
      <x:c r="AE2825" s="36" t="str">
        <x:f>IF(ISNUMBER(AD2825),ROUND(AD2825*0.015+0.2,2),"")</x:f>
      </x:c>
      <x:c r="AF2825" s="36" t="str">
        <x:f>IF(ISNUMBER(AD2825),ROUND(AD2825-AE2825-V2825,2),"")</x:f>
      </x:c>
      <x:c r="AG2825" t="str">
        <x:f>IF(NOT(ISNUMBER(T2825)),"PENDING",IF(AF2825&gt;0,"PASS","FAIL"))</x:f>
        <x:v>PENDING</x:v>
      </x:c>
      <x:c r="AH2825" t="str">
        <x:f>IF(NOT(ISNUMBER(T2825)),"Needs supplier cost",IF(K2825&lt;&gt;"In stock","Supplier unavailable",IF(AG2825&lt;&gt;"PASS","BLOCK - GT loss risk","Commercially protected")))</x:f>
        <x:v>Needs supplier cost</x:v>
      </x:c>
      <x:c r="AI2825" t="str">
        <x:v>2026-09-10 Active Sports trade capture</x:v>
      </x:c>
      <x:c r="AJ2825" t="str">
        <x:v>Management-only economics. Stripe stress test uses 1.5% + £0.20 standard UK online-card fee; pallet/mix-and-match pricing ignored.</x:v>
      </x:c>
    </x:row>
    <x:row r="2826">
      <x:c r="A2826" t="str">
        <x:v>Active Sports Nutrition</x:v>
      </x:c>
      <x:c r="B2826" t="str">
        <x:v>Per4m Nutrition</x:v>
      </x:c>
      <x:c r="C2826" t="str">
        <x:v>Whey Protein</x:v>
      </x:c>
      <x:c r="D2826" t="str">
        <x:v>Supplements</x:v>
      </x:c>
      <x:c r="E2826" t="str">
        <x:v>Whey Protein</x:v>
      </x:c>
      <x:c r="F2826" t="str"/>
      <x:c r="G2826" t="str">
        <x:v>900g</x:v>
      </x:c>
      <x:c r="H2826" t="str">
        <x:v>Carrot Cake</x:v>
      </x:c>
      <x:c r="I2826" t="str"/>
      <x:c r="J2826" t="str">
        <x:v>Unit</x:v>
      </x:c>
      <x:c r="K2826" t="str">
        <x:v>In stock</x:v>
      </x:c>
      <x:c r="L2826" t="str">
        <x:v>2026-09-08</x:v>
      </x:c>
      <x:c r="M2826" t="str"/>
      <x:c r="N2826" t="str"/>
      <x:c r="O2826" t="str">
        <x:v>https://www.activesportstrade.co.uk/Whey-Protein-Supplements-Trade/per4m-nutrition-trade</x:v>
      </x:c>
      <x:c r="P2826" t="str">
        <x:v>NEW PRICE / NEW wording stripped; exact current flavour-level availability retained.</x:v>
      </x:c>
      <x:c r="Q2826" t="str"/>
      <x:c r="R2826" t="str"/>
      <x:c r="S2826" t="str">
        <x:v>Pending genuine supplier/brand image</x:v>
      </x:c>
      <x:c r="T2826" s="54"/>
      <x:c r="U2826" s="47" t="n">
        <x:v>0.2</x:v>
      </x:c>
      <x:c r="V2826" s="54" t="str">
        <x:f>IF(ISNUMBER(T2826),T2826*(1+U2826),"")</x:f>
      </x:c>
      <x:c r="W2826" s="47" t="n">
        <x:v>0.3</x:v>
      </x:c>
      <x:c r="X2826" s="54" t="str">
        <x:f>IF(ISNUMBER(V2826),V2826/(1-W2826),"")</x:f>
      </x:c>
      <x:c r="Y2826" s="55" t="str">
        <x:f>IF(ISNUMBER(X2826),ROUNDUP(X2826,0),"")</x:f>
      </x:c>
      <x:c r="Z2826" t="str">
        <x:f>IF(ISNUMBER(T2826),"Cost captured","Awaiting trade cost")</x:f>
        <x:v>Awaiting trade cost</x:v>
      </x:c>
      <x:c r="AB2826" s="36" t="str">
        <x:f>IF(ISNUMBER(Y2826),ROUND(Y2826*0.9,2),"")</x:f>
      </x:c>
      <x:c r="AC2826" s="36" t="str">
        <x:f>IF(ISNUMBER(AB2826),ROUND(AB2826-(AB2826*0.015+0.2)-V2826,2),"")</x:f>
      </x:c>
      <x:c r="AD2826" s="36" t="str">
        <x:f>IF(ISNUMBER(Y2826),ROUND(Y2826*0.8,2),"")</x:f>
      </x:c>
      <x:c r="AE2826" s="36" t="str">
        <x:f>IF(ISNUMBER(AD2826),ROUND(AD2826*0.015+0.2,2),"")</x:f>
      </x:c>
      <x:c r="AF2826" s="36" t="str">
        <x:f>IF(ISNUMBER(AD2826),ROUND(AD2826-AE2826-V2826,2),"")</x:f>
      </x:c>
      <x:c r="AG2826" t="str">
        <x:f>IF(NOT(ISNUMBER(T2826)),"PENDING",IF(AF2826&gt;0,"PASS","FAIL"))</x:f>
        <x:v>PENDING</x:v>
      </x:c>
      <x:c r="AH2826" t="str">
        <x:f>IF(NOT(ISNUMBER(T2826)),"Needs supplier cost",IF(K2826&lt;&gt;"In stock","Supplier unavailable",IF(AG2826&lt;&gt;"PASS","BLOCK - GT loss risk","Commercially protected")))</x:f>
        <x:v>Needs supplier cost</x:v>
      </x:c>
      <x:c r="AI2826" t="str">
        <x:v>2026-09-10 Active Sports trade capture</x:v>
      </x:c>
      <x:c r="AJ2826" t="str">
        <x:v>Management-only economics. Stripe stress test uses 1.5% + £0.20 standard UK online-card fee; pallet/mix-and-match pricing ignored.</x:v>
      </x:c>
    </x:row>
    <x:row r="2827">
      <x:c r="A2827" t="str">
        <x:v>Active Sports Nutrition</x:v>
      </x:c>
      <x:c r="B2827" t="str">
        <x:v>Per4m Nutrition</x:v>
      </x:c>
      <x:c r="C2827" t="str">
        <x:v>Whey Protein</x:v>
      </x:c>
      <x:c r="D2827" t="str">
        <x:v>Supplements</x:v>
      </x:c>
      <x:c r="E2827" t="str">
        <x:v>Whey Protein</x:v>
      </x:c>
      <x:c r="F2827" t="str"/>
      <x:c r="G2827" t="str">
        <x:v>900g</x:v>
      </x:c>
      <x:c r="H2827" t="str">
        <x:v>Cereal Milk</x:v>
      </x:c>
      <x:c r="I2827" t="str"/>
      <x:c r="J2827" t="str">
        <x:v>Unit</x:v>
      </x:c>
      <x:c r="K2827" t="str">
        <x:v>Out of stock</x:v>
      </x:c>
      <x:c r="L2827" t="str">
        <x:v>2026-09-08</x:v>
      </x:c>
      <x:c r="M2827" t="str"/>
      <x:c r="N2827" t="str"/>
      <x:c r="O2827" t="str">
        <x:v>https://www.activesportstrade.co.uk/Whey-Protein-Supplements-Trade/per4m-nutrition-trade</x:v>
      </x:c>
      <x:c r="P2827" t="str">
        <x:v>NEW PRICE / NEW wording stripped; exact current flavour-level availability retained.</x:v>
      </x:c>
      <x:c r="Q2827" t="str"/>
      <x:c r="R2827" t="str"/>
      <x:c r="S2827" t="str">
        <x:v>Pending genuine supplier/brand image</x:v>
      </x:c>
      <x:c r="T2827" s="54"/>
      <x:c r="U2827" s="47" t="n">
        <x:v>0.2</x:v>
      </x:c>
      <x:c r="V2827" s="54" t="str">
        <x:f>IF(ISNUMBER(T2827),T2827*(1+U2827),"")</x:f>
      </x:c>
      <x:c r="W2827" s="47" t="n">
        <x:v>0.3</x:v>
      </x:c>
      <x:c r="X2827" s="54" t="str">
        <x:f>IF(ISNUMBER(V2827),V2827/(1-W2827),"")</x:f>
      </x:c>
      <x:c r="Y2827" s="55" t="str">
        <x:f>IF(ISNUMBER(X2827),ROUNDUP(X2827,0),"")</x:f>
      </x:c>
      <x:c r="Z2827" t="str">
        <x:f>IF(ISNUMBER(T2827),"Cost captured","Awaiting trade cost")</x:f>
        <x:v>Awaiting trade cost</x:v>
      </x:c>
      <x:c r="AB2827" s="36" t="str">
        <x:f>IF(ISNUMBER(Y2827),ROUND(Y2827*0.9,2),"")</x:f>
      </x:c>
      <x:c r="AC2827" s="36" t="str">
        <x:f>IF(ISNUMBER(AB2827),ROUND(AB2827-(AB2827*0.015+0.2)-V2827,2),"")</x:f>
      </x:c>
      <x:c r="AD2827" s="36" t="str">
        <x:f>IF(ISNUMBER(Y2827),ROUND(Y2827*0.8,2),"")</x:f>
      </x:c>
      <x:c r="AE2827" s="36" t="str">
        <x:f>IF(ISNUMBER(AD2827),ROUND(AD2827*0.015+0.2,2),"")</x:f>
      </x:c>
      <x:c r="AF2827" s="36" t="str">
        <x:f>IF(ISNUMBER(AD2827),ROUND(AD2827-AE2827-V2827,2),"")</x:f>
      </x:c>
      <x:c r="AG2827" t="str">
        <x:f>IF(NOT(ISNUMBER(T2827)),"PENDING",IF(AF2827&gt;0,"PASS","FAIL"))</x:f>
        <x:v>PENDING</x:v>
      </x:c>
      <x:c r="AH2827" t="str">
        <x:f>IF(NOT(ISNUMBER(T2827)),"Needs supplier cost",IF(K2827&lt;&gt;"In stock","Supplier unavailable",IF(AG2827&lt;&gt;"PASS","BLOCK - GT loss risk","Commercially protected")))</x:f>
        <x:v>Needs supplier cost</x:v>
      </x:c>
      <x:c r="AI2827" t="str">
        <x:v>2026-09-10 Active Sports trade capture</x:v>
      </x:c>
      <x:c r="AJ2827" t="str">
        <x:v>Management-only economics. Stripe stress test uses 1.5% + £0.20 standard UK online-card fee; pallet/mix-and-match pricing ignored.</x:v>
      </x:c>
    </x:row>
    <x:row r="2828">
      <x:c r="A2828" t="str">
        <x:v>Active Sports Nutrition</x:v>
      </x:c>
      <x:c r="B2828" t="str">
        <x:v>Per4m Nutrition</x:v>
      </x:c>
      <x:c r="C2828" t="str">
        <x:v>Whey Protein</x:v>
      </x:c>
      <x:c r="D2828" t="str">
        <x:v>Supplements</x:v>
      </x:c>
      <x:c r="E2828" t="str">
        <x:v>Whey Protein</x:v>
      </x:c>
      <x:c r="F2828" t="str"/>
      <x:c r="G2828" t="str">
        <x:v>900g</x:v>
      </x:c>
      <x:c r="H2828" t="str">
        <x:v>Cherry Bakewell</x:v>
      </x:c>
      <x:c r="I2828" t="str"/>
      <x:c r="J2828" t="str">
        <x:v>Unit</x:v>
      </x:c>
      <x:c r="K2828" t="str">
        <x:v>In stock</x:v>
      </x:c>
      <x:c r="L2828" t="str">
        <x:v>2026-09-08</x:v>
      </x:c>
      <x:c r="M2828" t="str"/>
      <x:c r="N2828" t="str"/>
      <x:c r="O2828" t="str">
        <x:v>https://www.activesportstrade.co.uk/Whey-Protein-Supplements-Trade/per4m-nutrition-trade</x:v>
      </x:c>
      <x:c r="P2828" t="str">
        <x:v>NEW PRICE / NEW wording stripped; exact current flavour-level availability retained.</x:v>
      </x:c>
      <x:c r="Q2828" t="str"/>
      <x:c r="R2828" t="str"/>
      <x:c r="S2828" t="str">
        <x:v>Pending genuine supplier/brand image</x:v>
      </x:c>
      <x:c r="T2828" s="54"/>
      <x:c r="U2828" s="47" t="n">
        <x:v>0.2</x:v>
      </x:c>
      <x:c r="V2828" s="54" t="str">
        <x:f>IF(ISNUMBER(T2828),T2828*(1+U2828),"")</x:f>
      </x:c>
      <x:c r="W2828" s="47" t="n">
        <x:v>0.3</x:v>
      </x:c>
      <x:c r="X2828" s="54" t="str">
        <x:f>IF(ISNUMBER(V2828),V2828/(1-W2828),"")</x:f>
      </x:c>
      <x:c r="Y2828" s="55" t="str">
        <x:f>IF(ISNUMBER(X2828),ROUNDUP(X2828,0),"")</x:f>
      </x:c>
      <x:c r="Z2828" t="str">
        <x:f>IF(ISNUMBER(T2828),"Cost captured","Awaiting trade cost")</x:f>
        <x:v>Awaiting trade cost</x:v>
      </x:c>
      <x:c r="AB2828" s="36" t="str">
        <x:f>IF(ISNUMBER(Y2828),ROUND(Y2828*0.9,2),"")</x:f>
      </x:c>
      <x:c r="AC2828" s="36" t="str">
        <x:f>IF(ISNUMBER(AB2828),ROUND(AB2828-(AB2828*0.015+0.2)-V2828,2),"")</x:f>
      </x:c>
      <x:c r="AD2828" s="36" t="str">
        <x:f>IF(ISNUMBER(Y2828),ROUND(Y2828*0.8,2),"")</x:f>
      </x:c>
      <x:c r="AE2828" s="36" t="str">
        <x:f>IF(ISNUMBER(AD2828),ROUND(AD2828*0.015+0.2,2),"")</x:f>
      </x:c>
      <x:c r="AF2828" s="36" t="str">
        <x:f>IF(ISNUMBER(AD2828),ROUND(AD2828-AE2828-V2828,2),"")</x:f>
      </x:c>
      <x:c r="AG2828" t="str">
        <x:f>IF(NOT(ISNUMBER(T2828)),"PENDING",IF(AF2828&gt;0,"PASS","FAIL"))</x:f>
        <x:v>PENDING</x:v>
      </x:c>
      <x:c r="AH2828" t="str">
        <x:f>IF(NOT(ISNUMBER(T2828)),"Needs supplier cost",IF(K2828&lt;&gt;"In stock","Supplier unavailable",IF(AG2828&lt;&gt;"PASS","BLOCK - GT loss risk","Commercially protected")))</x:f>
        <x:v>Needs supplier cost</x:v>
      </x:c>
      <x:c r="AI2828" t="str">
        <x:v>2026-09-10 Active Sports trade capture</x:v>
      </x:c>
      <x:c r="AJ2828" t="str">
        <x:v>Management-only economics. Stripe stress test uses 1.5% + £0.20 standard UK online-card fee; pallet/mix-and-match pricing ignored.</x:v>
      </x:c>
    </x:row>
    <x:row r="2829">
      <x:c r="A2829" t="str">
        <x:v>Active Sports Nutrition</x:v>
      </x:c>
      <x:c r="B2829" t="str">
        <x:v>Per4m Nutrition</x:v>
      </x:c>
      <x:c r="C2829" t="str">
        <x:v>Whey Protein</x:v>
      </x:c>
      <x:c r="D2829" t="str">
        <x:v>Supplements</x:v>
      </x:c>
      <x:c r="E2829" t="str">
        <x:v>Whey Protein</x:v>
      </x:c>
      <x:c r="F2829" t="str"/>
      <x:c r="G2829" t="str">
        <x:v>900g</x:v>
      </x:c>
      <x:c r="H2829" t="str">
        <x:v>Chocolate &amp; Raspberry</x:v>
      </x:c>
      <x:c r="I2829" t="str"/>
      <x:c r="J2829" t="str">
        <x:v>Unit</x:v>
      </x:c>
      <x:c r="K2829" t="str">
        <x:v>In stock</x:v>
      </x:c>
      <x:c r="L2829" t="str">
        <x:v>2026-09-08</x:v>
      </x:c>
      <x:c r="M2829" t="str"/>
      <x:c r="N2829" t="str"/>
      <x:c r="O2829" t="str">
        <x:v>https://www.activesportstrade.co.uk/Whey-Protein-Supplements-Trade/per4m-nutrition-trade</x:v>
      </x:c>
      <x:c r="P2829" t="str">
        <x:v>NEW PRICE / NEW wording stripped; exact current flavour-level availability retained.</x:v>
      </x:c>
      <x:c r="Q2829" t="str"/>
      <x:c r="R2829" t="str"/>
      <x:c r="S2829" t="str">
        <x:v>Pending genuine supplier/brand image</x:v>
      </x:c>
      <x:c r="T2829" s="54"/>
      <x:c r="U2829" s="47" t="n">
        <x:v>0.2</x:v>
      </x:c>
      <x:c r="V2829" s="54" t="str">
        <x:f>IF(ISNUMBER(T2829),T2829*(1+U2829),"")</x:f>
      </x:c>
      <x:c r="W2829" s="47" t="n">
        <x:v>0.3</x:v>
      </x:c>
      <x:c r="X2829" s="54" t="str">
        <x:f>IF(ISNUMBER(V2829),V2829/(1-W2829),"")</x:f>
      </x:c>
      <x:c r="Y2829" s="55" t="str">
        <x:f>IF(ISNUMBER(X2829),ROUNDUP(X2829,0),"")</x:f>
      </x:c>
      <x:c r="Z2829" t="str">
        <x:f>IF(ISNUMBER(T2829),"Cost captured","Awaiting trade cost")</x:f>
        <x:v>Awaiting trade cost</x:v>
      </x:c>
      <x:c r="AB2829" s="36" t="str">
        <x:f>IF(ISNUMBER(Y2829),ROUND(Y2829*0.9,2),"")</x:f>
      </x:c>
      <x:c r="AC2829" s="36" t="str">
        <x:f>IF(ISNUMBER(AB2829),ROUND(AB2829-(AB2829*0.015+0.2)-V2829,2),"")</x:f>
      </x:c>
      <x:c r="AD2829" s="36" t="str">
        <x:f>IF(ISNUMBER(Y2829),ROUND(Y2829*0.8,2),"")</x:f>
      </x:c>
      <x:c r="AE2829" s="36" t="str">
        <x:f>IF(ISNUMBER(AD2829),ROUND(AD2829*0.015+0.2,2),"")</x:f>
      </x:c>
      <x:c r="AF2829" s="36" t="str">
        <x:f>IF(ISNUMBER(AD2829),ROUND(AD2829-AE2829-V2829,2),"")</x:f>
      </x:c>
      <x:c r="AG2829" t="str">
        <x:f>IF(NOT(ISNUMBER(T2829)),"PENDING",IF(AF2829&gt;0,"PASS","FAIL"))</x:f>
        <x:v>PENDING</x:v>
      </x:c>
      <x:c r="AH2829" t="str">
        <x:f>IF(NOT(ISNUMBER(T2829)),"Needs supplier cost",IF(K2829&lt;&gt;"In stock","Supplier unavailable",IF(AG2829&lt;&gt;"PASS","BLOCK - GT loss risk","Commercially protected")))</x:f>
        <x:v>Needs supplier cost</x:v>
      </x:c>
      <x:c r="AI2829" t="str">
        <x:v>2026-09-10 Active Sports trade capture</x:v>
      </x:c>
      <x:c r="AJ2829" t="str">
        <x:v>Management-only economics. Stripe stress test uses 1.5% + £0.20 standard UK online-card fee; pallet/mix-and-match pricing ignored.</x:v>
      </x:c>
    </x:row>
    <x:row r="2830">
      <x:c r="A2830" t="str">
        <x:v>Active Sports Nutrition</x:v>
      </x:c>
      <x:c r="B2830" t="str">
        <x:v>Per4m Nutrition</x:v>
      </x:c>
      <x:c r="C2830" t="str">
        <x:v>Whey Protein</x:v>
      </x:c>
      <x:c r="D2830" t="str">
        <x:v>Supplements</x:v>
      </x:c>
      <x:c r="E2830" t="str">
        <x:v>Whey Protein</x:v>
      </x:c>
      <x:c r="F2830" t="str"/>
      <x:c r="G2830" t="str">
        <x:v>900g</x:v>
      </x:c>
      <x:c r="H2830" t="str">
        <x:v>Chocolate Brownie Batter</x:v>
      </x:c>
      <x:c r="I2830" t="str"/>
      <x:c r="J2830" t="str">
        <x:v>Unit</x:v>
      </x:c>
      <x:c r="K2830" t="str">
        <x:v>Out of stock</x:v>
      </x:c>
      <x:c r="L2830" t="str">
        <x:v>2026-09-08</x:v>
      </x:c>
      <x:c r="M2830" t="str"/>
      <x:c r="N2830" t="str"/>
      <x:c r="O2830" t="str">
        <x:v>https://www.activesportstrade.co.uk/Whey-Protein-Supplements-Trade/per4m-nutrition-trade</x:v>
      </x:c>
      <x:c r="P2830" t="str">
        <x:v>NEW PRICE / NEW wording stripped; exact current flavour-level availability retained.</x:v>
      </x:c>
      <x:c r="Q2830" t="str"/>
      <x:c r="R2830" t="str"/>
      <x:c r="S2830" t="str">
        <x:v>Pending genuine supplier/brand image</x:v>
      </x:c>
      <x:c r="T2830" s="54"/>
      <x:c r="U2830" s="47" t="n">
        <x:v>0.2</x:v>
      </x:c>
      <x:c r="V2830" s="54" t="str">
        <x:f>IF(ISNUMBER(T2830),T2830*(1+U2830),"")</x:f>
      </x:c>
      <x:c r="W2830" s="47" t="n">
        <x:v>0.3</x:v>
      </x:c>
      <x:c r="X2830" s="54" t="str">
        <x:f>IF(ISNUMBER(V2830),V2830/(1-W2830),"")</x:f>
      </x:c>
      <x:c r="Y2830" s="55" t="str">
        <x:f>IF(ISNUMBER(X2830),ROUNDUP(X2830,0),"")</x:f>
      </x:c>
      <x:c r="Z2830" t="str">
        <x:f>IF(ISNUMBER(T2830),"Cost captured","Awaiting trade cost")</x:f>
        <x:v>Awaiting trade cost</x:v>
      </x:c>
      <x:c r="AB2830" s="36" t="str">
        <x:f>IF(ISNUMBER(Y2830),ROUND(Y2830*0.9,2),"")</x:f>
      </x:c>
      <x:c r="AC2830" s="36" t="str">
        <x:f>IF(ISNUMBER(AB2830),ROUND(AB2830-(AB2830*0.015+0.2)-V2830,2),"")</x:f>
      </x:c>
      <x:c r="AD2830" s="36" t="str">
        <x:f>IF(ISNUMBER(Y2830),ROUND(Y2830*0.8,2),"")</x:f>
      </x:c>
      <x:c r="AE2830" s="36" t="str">
        <x:f>IF(ISNUMBER(AD2830),ROUND(AD2830*0.015+0.2,2),"")</x:f>
      </x:c>
      <x:c r="AF2830" s="36" t="str">
        <x:f>IF(ISNUMBER(AD2830),ROUND(AD2830-AE2830-V2830,2),"")</x:f>
      </x:c>
      <x:c r="AG2830" t="str">
        <x:f>IF(NOT(ISNUMBER(T2830)),"PENDING",IF(AF2830&gt;0,"PASS","FAIL"))</x:f>
        <x:v>PENDING</x:v>
      </x:c>
      <x:c r="AH2830" t="str">
        <x:f>IF(NOT(ISNUMBER(T2830)),"Needs supplier cost",IF(K2830&lt;&gt;"In stock","Supplier unavailable",IF(AG2830&lt;&gt;"PASS","BLOCK - GT loss risk","Commercially protected")))</x:f>
        <x:v>Needs supplier cost</x:v>
      </x:c>
      <x:c r="AI2830" t="str">
        <x:v>2026-09-10 Active Sports trade capture</x:v>
      </x:c>
      <x:c r="AJ2830" t="str">
        <x:v>Management-only economics. Stripe stress test uses 1.5% + £0.20 standard UK online-card fee; pallet/mix-and-match pricing ignored.</x:v>
      </x:c>
    </x:row>
    <x:row r="2831">
      <x:c r="A2831" t="str">
        <x:v>Active Sports Nutrition</x:v>
      </x:c>
      <x:c r="B2831" t="str">
        <x:v>Per4m Nutrition</x:v>
      </x:c>
      <x:c r="C2831" t="str">
        <x:v>Whey Protein</x:v>
      </x:c>
      <x:c r="D2831" t="str">
        <x:v>Supplements</x:v>
      </x:c>
      <x:c r="E2831" t="str">
        <x:v>Whey Protein</x:v>
      </x:c>
      <x:c r="F2831" t="str"/>
      <x:c r="G2831" t="str">
        <x:v>900g</x:v>
      </x:c>
      <x:c r="H2831" t="str">
        <x:v>Chocolate Eggsplosion</x:v>
      </x:c>
      <x:c r="I2831" t="str"/>
      <x:c r="J2831" t="str">
        <x:v>Unit</x:v>
      </x:c>
      <x:c r="K2831" t="str">
        <x:v>In stock</x:v>
      </x:c>
      <x:c r="L2831" t="str">
        <x:v>2026-09-08</x:v>
      </x:c>
      <x:c r="M2831" t="str"/>
      <x:c r="N2831" t="str"/>
      <x:c r="O2831" t="str">
        <x:v>https://www.activesportstrade.co.uk/Whey-Protein-Supplements-Trade/per4m-nutrition-trade</x:v>
      </x:c>
      <x:c r="P2831" t="str">
        <x:v>NEW PRICE / NEW wording stripped; exact current flavour-level availability retained.</x:v>
      </x:c>
      <x:c r="Q2831" t="str"/>
      <x:c r="R2831" t="str"/>
      <x:c r="S2831" t="str">
        <x:v>Pending genuine supplier/brand image</x:v>
      </x:c>
      <x:c r="T2831" s="54"/>
      <x:c r="U2831" s="47" t="n">
        <x:v>0.2</x:v>
      </x:c>
      <x:c r="V2831" s="54" t="str">
        <x:f>IF(ISNUMBER(T2831),T2831*(1+U2831),"")</x:f>
      </x:c>
      <x:c r="W2831" s="47" t="n">
        <x:v>0.3</x:v>
      </x:c>
      <x:c r="X2831" s="54" t="str">
        <x:f>IF(ISNUMBER(V2831),V2831/(1-W2831),"")</x:f>
      </x:c>
      <x:c r="Y2831" s="55" t="str">
        <x:f>IF(ISNUMBER(X2831),ROUNDUP(X2831,0),"")</x:f>
      </x:c>
      <x:c r="Z2831" t="str">
        <x:f>IF(ISNUMBER(T2831),"Cost captured","Awaiting trade cost")</x:f>
        <x:v>Awaiting trade cost</x:v>
      </x:c>
      <x:c r="AB2831" s="36" t="str">
        <x:f>IF(ISNUMBER(Y2831),ROUND(Y2831*0.9,2),"")</x:f>
      </x:c>
      <x:c r="AC2831" s="36" t="str">
        <x:f>IF(ISNUMBER(AB2831),ROUND(AB2831-(AB2831*0.015+0.2)-V2831,2),"")</x:f>
      </x:c>
      <x:c r="AD2831" s="36" t="str">
        <x:f>IF(ISNUMBER(Y2831),ROUND(Y2831*0.8,2),"")</x:f>
      </x:c>
      <x:c r="AE2831" s="36" t="str">
        <x:f>IF(ISNUMBER(AD2831),ROUND(AD2831*0.015+0.2,2),"")</x:f>
      </x:c>
      <x:c r="AF2831" s="36" t="str">
        <x:f>IF(ISNUMBER(AD2831),ROUND(AD2831-AE2831-V2831,2),"")</x:f>
      </x:c>
      <x:c r="AG2831" t="str">
        <x:f>IF(NOT(ISNUMBER(T2831)),"PENDING",IF(AF2831&gt;0,"PASS","FAIL"))</x:f>
        <x:v>PENDING</x:v>
      </x:c>
      <x:c r="AH2831" t="str">
        <x:f>IF(NOT(ISNUMBER(T2831)),"Needs supplier cost",IF(K2831&lt;&gt;"In stock","Supplier unavailable",IF(AG2831&lt;&gt;"PASS","BLOCK - GT loss risk","Commercially protected")))</x:f>
        <x:v>Needs supplier cost</x:v>
      </x:c>
      <x:c r="AI2831" t="str">
        <x:v>2026-09-10 Active Sports trade capture</x:v>
      </x:c>
      <x:c r="AJ2831" t="str">
        <x:v>Management-only economics. Stripe stress test uses 1.5% + £0.20 standard UK online-card fee; pallet/mix-and-match pricing ignored.</x:v>
      </x:c>
    </x:row>
    <x:row r="2832">
      <x:c r="A2832" t="str">
        <x:v>Active Sports Nutrition</x:v>
      </x:c>
      <x:c r="B2832" t="str">
        <x:v>Per4m Nutrition</x:v>
      </x:c>
      <x:c r="C2832" t="str">
        <x:v>Whey Protein</x:v>
      </x:c>
      <x:c r="D2832" t="str">
        <x:v>Supplements</x:v>
      </x:c>
      <x:c r="E2832" t="str">
        <x:v>Whey Protein</x:v>
      </x:c>
      <x:c r="F2832" t="str"/>
      <x:c r="G2832" t="str">
        <x:v>900g</x:v>
      </x:c>
      <x:c r="H2832" t="str">
        <x:v>Chocolate Mochaccino</x:v>
      </x:c>
      <x:c r="I2832" t="str"/>
      <x:c r="J2832" t="str">
        <x:v>Unit</x:v>
      </x:c>
      <x:c r="K2832" t="str">
        <x:v>In stock</x:v>
      </x:c>
      <x:c r="L2832" t="str">
        <x:v>2026-09-08</x:v>
      </x:c>
      <x:c r="M2832" t="str"/>
      <x:c r="N2832" t="str"/>
      <x:c r="O2832" t="str">
        <x:v>https://www.activesportstrade.co.uk/Whey-Protein-Supplements-Trade/per4m-nutrition-trade</x:v>
      </x:c>
      <x:c r="P2832" t="str">
        <x:v>NEW PRICE / NEW wording stripped; exact current flavour-level availability retained.</x:v>
      </x:c>
      <x:c r="Q2832" t="str"/>
      <x:c r="R2832" t="str"/>
      <x:c r="S2832" t="str">
        <x:v>Pending genuine supplier/brand image</x:v>
      </x:c>
      <x:c r="T2832" s="54"/>
      <x:c r="U2832" s="47" t="n">
        <x:v>0.2</x:v>
      </x:c>
      <x:c r="V2832" s="54" t="str">
        <x:f>IF(ISNUMBER(T2832),T2832*(1+U2832),"")</x:f>
      </x:c>
      <x:c r="W2832" s="47" t="n">
        <x:v>0.3</x:v>
      </x:c>
      <x:c r="X2832" s="54" t="str">
        <x:f>IF(ISNUMBER(V2832),V2832/(1-W2832),"")</x:f>
      </x:c>
      <x:c r="Y2832" s="55" t="str">
        <x:f>IF(ISNUMBER(X2832),ROUNDUP(X2832,0),"")</x:f>
      </x:c>
      <x:c r="Z2832" t="str">
        <x:f>IF(ISNUMBER(T2832),"Cost captured","Awaiting trade cost")</x:f>
        <x:v>Awaiting trade cost</x:v>
      </x:c>
      <x:c r="AB2832" s="36" t="str">
        <x:f>IF(ISNUMBER(Y2832),ROUND(Y2832*0.9,2),"")</x:f>
      </x:c>
      <x:c r="AC2832" s="36" t="str">
        <x:f>IF(ISNUMBER(AB2832),ROUND(AB2832-(AB2832*0.015+0.2)-V2832,2),"")</x:f>
      </x:c>
      <x:c r="AD2832" s="36" t="str">
        <x:f>IF(ISNUMBER(Y2832),ROUND(Y2832*0.8,2),"")</x:f>
      </x:c>
      <x:c r="AE2832" s="36" t="str">
        <x:f>IF(ISNUMBER(AD2832),ROUND(AD2832*0.015+0.2,2),"")</x:f>
      </x:c>
      <x:c r="AF2832" s="36" t="str">
        <x:f>IF(ISNUMBER(AD2832),ROUND(AD2832-AE2832-V2832,2),"")</x:f>
      </x:c>
      <x:c r="AG2832" t="str">
        <x:f>IF(NOT(ISNUMBER(T2832)),"PENDING",IF(AF2832&gt;0,"PASS","FAIL"))</x:f>
        <x:v>PENDING</x:v>
      </x:c>
      <x:c r="AH2832" t="str">
        <x:f>IF(NOT(ISNUMBER(T2832)),"Needs supplier cost",IF(K2832&lt;&gt;"In stock","Supplier unavailable",IF(AG2832&lt;&gt;"PASS","BLOCK - GT loss risk","Commercially protected")))</x:f>
        <x:v>Needs supplier cost</x:v>
      </x:c>
      <x:c r="AI2832" t="str">
        <x:v>2026-09-10 Active Sports trade capture</x:v>
      </x:c>
      <x:c r="AJ2832" t="str">
        <x:v>Management-only economics. Stripe stress test uses 1.5% + £0.20 standard UK online-card fee; pallet/mix-and-match pricing ignored.</x:v>
      </x:c>
    </x:row>
    <x:row r="2833">
      <x:c r="A2833" t="str">
        <x:v>Active Sports Nutrition</x:v>
      </x:c>
      <x:c r="B2833" t="str">
        <x:v>Per4m Nutrition</x:v>
      </x:c>
      <x:c r="C2833" t="str">
        <x:v>Whey Protein</x:v>
      </x:c>
      <x:c r="D2833" t="str">
        <x:v>Supplements</x:v>
      </x:c>
      <x:c r="E2833" t="str">
        <x:v>Whey Protein</x:v>
      </x:c>
      <x:c r="F2833" t="str"/>
      <x:c r="G2833" t="str">
        <x:v>900g</x:v>
      </x:c>
      <x:c r="H2833" t="str">
        <x:v>Chocolate Orange</x:v>
      </x:c>
      <x:c r="I2833" t="str"/>
      <x:c r="J2833" t="str">
        <x:v>Unit</x:v>
      </x:c>
      <x:c r="K2833" t="str">
        <x:v>In stock</x:v>
      </x:c>
      <x:c r="L2833" t="str">
        <x:v>2026-09-08</x:v>
      </x:c>
      <x:c r="M2833" t="str"/>
      <x:c r="N2833" t="str"/>
      <x:c r="O2833" t="str">
        <x:v>https://www.activesportstrade.co.uk/Whey-Protein-Supplements-Trade/per4m-nutrition-trade</x:v>
      </x:c>
      <x:c r="P2833" t="str">
        <x:v>NEW PRICE / NEW wording stripped; exact current flavour-level availability retained.</x:v>
      </x:c>
      <x:c r="Q2833" t="str"/>
      <x:c r="R2833" t="str"/>
      <x:c r="S2833" t="str">
        <x:v>Pending genuine supplier/brand image</x:v>
      </x:c>
      <x:c r="T2833" s="54"/>
      <x:c r="U2833" s="47" t="n">
        <x:v>0.2</x:v>
      </x:c>
      <x:c r="V2833" s="54" t="str">
        <x:f>IF(ISNUMBER(T2833),T2833*(1+U2833),"")</x:f>
      </x:c>
      <x:c r="W2833" s="47" t="n">
        <x:v>0.3</x:v>
      </x:c>
      <x:c r="X2833" s="54" t="str">
        <x:f>IF(ISNUMBER(V2833),V2833/(1-W2833),"")</x:f>
      </x:c>
      <x:c r="Y2833" s="55" t="str">
        <x:f>IF(ISNUMBER(X2833),ROUNDUP(X2833,0),"")</x:f>
      </x:c>
      <x:c r="Z2833" t="str">
        <x:f>IF(ISNUMBER(T2833),"Cost captured","Awaiting trade cost")</x:f>
        <x:v>Awaiting trade cost</x:v>
      </x:c>
      <x:c r="AB2833" s="36" t="str">
        <x:f>IF(ISNUMBER(Y2833),ROUND(Y2833*0.9,2),"")</x:f>
      </x:c>
      <x:c r="AC2833" s="36" t="str">
        <x:f>IF(ISNUMBER(AB2833),ROUND(AB2833-(AB2833*0.015+0.2)-V2833,2),"")</x:f>
      </x:c>
      <x:c r="AD2833" s="36" t="str">
        <x:f>IF(ISNUMBER(Y2833),ROUND(Y2833*0.8,2),"")</x:f>
      </x:c>
      <x:c r="AE2833" s="36" t="str">
        <x:f>IF(ISNUMBER(AD2833),ROUND(AD2833*0.015+0.2,2),"")</x:f>
      </x:c>
      <x:c r="AF2833" s="36" t="str">
        <x:f>IF(ISNUMBER(AD2833),ROUND(AD2833-AE2833-V2833,2),"")</x:f>
      </x:c>
      <x:c r="AG2833" t="str">
        <x:f>IF(NOT(ISNUMBER(T2833)),"PENDING",IF(AF2833&gt;0,"PASS","FAIL"))</x:f>
        <x:v>PENDING</x:v>
      </x:c>
      <x:c r="AH2833" t="str">
        <x:f>IF(NOT(ISNUMBER(T2833)),"Needs supplier cost",IF(K2833&lt;&gt;"In stock","Supplier unavailable",IF(AG2833&lt;&gt;"PASS","BLOCK - GT loss risk","Commercially protected")))</x:f>
        <x:v>Needs supplier cost</x:v>
      </x:c>
      <x:c r="AI2833" t="str">
        <x:v>2026-09-10 Active Sports trade capture</x:v>
      </x:c>
      <x:c r="AJ2833" t="str">
        <x:v>Management-only economics. Stripe stress test uses 1.5% + £0.20 standard UK online-card fee; pallet/mix-and-match pricing ignored.</x:v>
      </x:c>
    </x:row>
    <x:row r="2834">
      <x:c r="A2834" t="str">
        <x:v>Active Sports Nutrition</x:v>
      </x:c>
      <x:c r="B2834" t="str">
        <x:v>Per4m Nutrition</x:v>
      </x:c>
      <x:c r="C2834" t="str">
        <x:v>Whey Protein</x:v>
      </x:c>
      <x:c r="D2834" t="str">
        <x:v>Supplements</x:v>
      </x:c>
      <x:c r="E2834" t="str">
        <x:v>Whey Protein</x:v>
      </x:c>
      <x:c r="F2834" t="str"/>
      <x:c r="G2834" t="str">
        <x:v>900g</x:v>
      </x:c>
      <x:c r="H2834" t="str">
        <x:v>Chocolate Peanut Butter</x:v>
      </x:c>
      <x:c r="I2834" t="str"/>
      <x:c r="J2834" t="str">
        <x:v>Unit</x:v>
      </x:c>
      <x:c r="K2834" t="str">
        <x:v>In stock</x:v>
      </x:c>
      <x:c r="L2834" t="str">
        <x:v>2026-09-08</x:v>
      </x:c>
      <x:c r="M2834" t="str"/>
      <x:c r="N2834" t="str"/>
      <x:c r="O2834" t="str">
        <x:v>https://www.activesportstrade.co.uk/Whey-Protein-Supplements-Trade/per4m-nutrition-trade</x:v>
      </x:c>
      <x:c r="P2834" t="str">
        <x:v>NEW PRICE / NEW wording stripped; exact current flavour-level availability retained.</x:v>
      </x:c>
      <x:c r="Q2834" t="str"/>
      <x:c r="R2834" t="str"/>
      <x:c r="S2834" t="str">
        <x:v>Pending genuine supplier/brand image</x:v>
      </x:c>
      <x:c r="T2834" s="54"/>
      <x:c r="U2834" s="47" t="n">
        <x:v>0.2</x:v>
      </x:c>
      <x:c r="V2834" s="54" t="str">
        <x:f>IF(ISNUMBER(T2834),T2834*(1+U2834),"")</x:f>
      </x:c>
      <x:c r="W2834" s="47" t="n">
        <x:v>0.3</x:v>
      </x:c>
      <x:c r="X2834" s="54" t="str">
        <x:f>IF(ISNUMBER(V2834),V2834/(1-W2834),"")</x:f>
      </x:c>
      <x:c r="Y2834" s="55" t="str">
        <x:f>IF(ISNUMBER(X2834),ROUNDUP(X2834,0),"")</x:f>
      </x:c>
      <x:c r="Z2834" t="str">
        <x:f>IF(ISNUMBER(T2834),"Cost captured","Awaiting trade cost")</x:f>
        <x:v>Awaiting trade cost</x:v>
      </x:c>
      <x:c r="AB2834" s="36" t="str">
        <x:f>IF(ISNUMBER(Y2834),ROUND(Y2834*0.9,2),"")</x:f>
      </x:c>
      <x:c r="AC2834" s="36" t="str">
        <x:f>IF(ISNUMBER(AB2834),ROUND(AB2834-(AB2834*0.015+0.2)-V2834,2),"")</x:f>
      </x:c>
      <x:c r="AD2834" s="36" t="str">
        <x:f>IF(ISNUMBER(Y2834),ROUND(Y2834*0.8,2),"")</x:f>
      </x:c>
      <x:c r="AE2834" s="36" t="str">
        <x:f>IF(ISNUMBER(AD2834),ROUND(AD2834*0.015+0.2,2),"")</x:f>
      </x:c>
      <x:c r="AF2834" s="36" t="str">
        <x:f>IF(ISNUMBER(AD2834),ROUND(AD2834-AE2834-V2834,2),"")</x:f>
      </x:c>
      <x:c r="AG2834" t="str">
        <x:f>IF(NOT(ISNUMBER(T2834)),"PENDING",IF(AF2834&gt;0,"PASS","FAIL"))</x:f>
        <x:v>PENDING</x:v>
      </x:c>
      <x:c r="AH2834" t="str">
        <x:f>IF(NOT(ISNUMBER(T2834)),"Needs supplier cost",IF(K2834&lt;&gt;"In stock","Supplier unavailable",IF(AG2834&lt;&gt;"PASS","BLOCK - GT loss risk","Commercially protected")))</x:f>
        <x:v>Needs supplier cost</x:v>
      </x:c>
      <x:c r="AI2834" t="str">
        <x:v>2026-09-10 Active Sports trade capture</x:v>
      </x:c>
      <x:c r="AJ2834" t="str">
        <x:v>Management-only economics. Stripe stress test uses 1.5% + £0.20 standard UK online-card fee; pallet/mix-and-match pricing ignored.</x:v>
      </x:c>
    </x:row>
    <x:row r="2835">
      <x:c r="A2835" t="str">
        <x:v>Active Sports Nutrition</x:v>
      </x:c>
      <x:c r="B2835" t="str">
        <x:v>Per4m Nutrition</x:v>
      </x:c>
      <x:c r="C2835" t="str">
        <x:v>Whey Protein</x:v>
      </x:c>
      <x:c r="D2835" t="str">
        <x:v>Supplements</x:v>
      </x:c>
      <x:c r="E2835" t="str">
        <x:v>Whey Protein</x:v>
      </x:c>
      <x:c r="F2835" t="str"/>
      <x:c r="G2835" t="str">
        <x:v>900g</x:v>
      </x:c>
      <x:c r="H2835" t="str">
        <x:v>Chocolate Pistachio</x:v>
      </x:c>
      <x:c r="I2835" t="str"/>
      <x:c r="J2835" t="str">
        <x:v>Unit</x:v>
      </x:c>
      <x:c r="K2835" t="str">
        <x:v>In stock</x:v>
      </x:c>
      <x:c r="L2835" t="str">
        <x:v>2026-09-08</x:v>
      </x:c>
      <x:c r="M2835" t="str"/>
      <x:c r="N2835" t="str"/>
      <x:c r="O2835" t="str">
        <x:v>https://www.activesportstrade.co.uk/Whey-Protein-Supplements-Trade/per4m-nutrition-trade</x:v>
      </x:c>
      <x:c r="P2835" t="str">
        <x:v>NEW PRICE / NEW wording stripped; exact current flavour-level availability retained.</x:v>
      </x:c>
      <x:c r="Q2835" t="str"/>
      <x:c r="R2835" t="str"/>
      <x:c r="S2835" t="str">
        <x:v>Pending genuine supplier/brand image</x:v>
      </x:c>
      <x:c r="T2835" s="54"/>
      <x:c r="U2835" s="47" t="n">
        <x:v>0.2</x:v>
      </x:c>
      <x:c r="V2835" s="54" t="str">
        <x:f>IF(ISNUMBER(T2835),T2835*(1+U2835),"")</x:f>
      </x:c>
      <x:c r="W2835" s="47" t="n">
        <x:v>0.3</x:v>
      </x:c>
      <x:c r="X2835" s="54" t="str">
        <x:f>IF(ISNUMBER(V2835),V2835/(1-W2835),"")</x:f>
      </x:c>
      <x:c r="Y2835" s="55" t="str">
        <x:f>IF(ISNUMBER(X2835),ROUNDUP(X2835,0),"")</x:f>
      </x:c>
      <x:c r="Z2835" t="str">
        <x:f>IF(ISNUMBER(T2835),"Cost captured","Awaiting trade cost")</x:f>
        <x:v>Awaiting trade cost</x:v>
      </x:c>
      <x:c r="AB2835" s="36" t="str">
        <x:f>IF(ISNUMBER(Y2835),ROUND(Y2835*0.9,2),"")</x:f>
      </x:c>
      <x:c r="AC2835" s="36" t="str">
        <x:f>IF(ISNUMBER(AB2835),ROUND(AB2835-(AB2835*0.015+0.2)-V2835,2),"")</x:f>
      </x:c>
      <x:c r="AD2835" s="36" t="str">
        <x:f>IF(ISNUMBER(Y2835),ROUND(Y2835*0.8,2),"")</x:f>
      </x:c>
      <x:c r="AE2835" s="36" t="str">
        <x:f>IF(ISNUMBER(AD2835),ROUND(AD2835*0.015+0.2,2),"")</x:f>
      </x:c>
      <x:c r="AF2835" s="36" t="str">
        <x:f>IF(ISNUMBER(AD2835),ROUND(AD2835-AE2835-V2835,2),"")</x:f>
      </x:c>
      <x:c r="AG2835" t="str">
        <x:f>IF(NOT(ISNUMBER(T2835)),"PENDING",IF(AF2835&gt;0,"PASS","FAIL"))</x:f>
        <x:v>PENDING</x:v>
      </x:c>
      <x:c r="AH2835" t="str">
        <x:f>IF(NOT(ISNUMBER(T2835)),"Needs supplier cost",IF(K2835&lt;&gt;"In stock","Supplier unavailable",IF(AG2835&lt;&gt;"PASS","BLOCK - GT loss risk","Commercially protected")))</x:f>
        <x:v>Needs supplier cost</x:v>
      </x:c>
      <x:c r="AI2835" t="str">
        <x:v>2026-09-10 Active Sports trade capture</x:v>
      </x:c>
      <x:c r="AJ2835" t="str">
        <x:v>Management-only economics. Stripe stress test uses 1.5% + £0.20 standard UK online-card fee; pallet/mix-and-match pricing ignored.</x:v>
      </x:c>
    </x:row>
    <x:row r="2836">
      <x:c r="A2836" t="str">
        <x:v>Active Sports Nutrition</x:v>
      </x:c>
      <x:c r="B2836" t="str">
        <x:v>Per4m Nutrition</x:v>
      </x:c>
      <x:c r="C2836" t="str">
        <x:v>Whey Protein</x:v>
      </x:c>
      <x:c r="D2836" t="str">
        <x:v>Supplements</x:v>
      </x:c>
      <x:c r="E2836" t="str">
        <x:v>Whey Protein</x:v>
      </x:c>
      <x:c r="F2836" t="str"/>
      <x:c r="G2836" t="str">
        <x:v>900g</x:v>
      </x:c>
      <x:c r="H2836" t="str">
        <x:v>Chocotella</x:v>
      </x:c>
      <x:c r="I2836" t="str"/>
      <x:c r="J2836" t="str">
        <x:v>Unit</x:v>
      </x:c>
      <x:c r="K2836" t="str">
        <x:v>In stock</x:v>
      </x:c>
      <x:c r="L2836" t="str">
        <x:v>2026-09-08</x:v>
      </x:c>
      <x:c r="M2836" t="str"/>
      <x:c r="N2836" t="str"/>
      <x:c r="O2836" t="str">
        <x:v>https://www.activesportstrade.co.uk/Whey-Protein-Supplements-Trade/per4m-nutrition-trade</x:v>
      </x:c>
      <x:c r="P2836" t="str">
        <x:v>NEW PRICE / NEW wording stripped; exact current flavour-level availability retained.</x:v>
      </x:c>
      <x:c r="Q2836" t="str"/>
      <x:c r="R2836" t="str"/>
      <x:c r="S2836" t="str">
        <x:v>Pending genuine supplier/brand image</x:v>
      </x:c>
      <x:c r="T2836" s="54"/>
      <x:c r="U2836" s="47" t="n">
        <x:v>0.2</x:v>
      </x:c>
      <x:c r="V2836" s="54" t="str">
        <x:f>IF(ISNUMBER(T2836),T2836*(1+U2836),"")</x:f>
      </x:c>
      <x:c r="W2836" s="47" t="n">
        <x:v>0.3</x:v>
      </x:c>
      <x:c r="X2836" s="54" t="str">
        <x:f>IF(ISNUMBER(V2836),V2836/(1-W2836),"")</x:f>
      </x:c>
      <x:c r="Y2836" s="55" t="str">
        <x:f>IF(ISNUMBER(X2836),ROUNDUP(X2836,0),"")</x:f>
      </x:c>
      <x:c r="Z2836" t="str">
        <x:f>IF(ISNUMBER(T2836),"Cost captured","Awaiting trade cost")</x:f>
        <x:v>Awaiting trade cost</x:v>
      </x:c>
      <x:c r="AB2836" s="36" t="str">
        <x:f>IF(ISNUMBER(Y2836),ROUND(Y2836*0.9,2),"")</x:f>
      </x:c>
      <x:c r="AC2836" s="36" t="str">
        <x:f>IF(ISNUMBER(AB2836),ROUND(AB2836-(AB2836*0.015+0.2)-V2836,2),"")</x:f>
      </x:c>
      <x:c r="AD2836" s="36" t="str">
        <x:f>IF(ISNUMBER(Y2836),ROUND(Y2836*0.8,2),"")</x:f>
      </x:c>
      <x:c r="AE2836" s="36" t="str">
        <x:f>IF(ISNUMBER(AD2836),ROUND(AD2836*0.015+0.2,2),"")</x:f>
      </x:c>
      <x:c r="AF2836" s="36" t="str">
        <x:f>IF(ISNUMBER(AD2836),ROUND(AD2836-AE2836-V2836,2),"")</x:f>
      </x:c>
      <x:c r="AG2836" t="str">
        <x:f>IF(NOT(ISNUMBER(T2836)),"PENDING",IF(AF2836&gt;0,"PASS","FAIL"))</x:f>
        <x:v>PENDING</x:v>
      </x:c>
      <x:c r="AH2836" t="str">
        <x:f>IF(NOT(ISNUMBER(T2836)),"Needs supplier cost",IF(K2836&lt;&gt;"In stock","Supplier unavailable",IF(AG2836&lt;&gt;"PASS","BLOCK - GT loss risk","Commercially protected")))</x:f>
        <x:v>Needs supplier cost</x:v>
      </x:c>
      <x:c r="AI2836" t="str">
        <x:v>2026-09-10 Active Sports trade capture</x:v>
      </x:c>
      <x:c r="AJ2836" t="str">
        <x:v>Management-only economics. Stripe stress test uses 1.5% + £0.20 standard UK online-card fee; pallet/mix-and-match pricing ignored.</x:v>
      </x:c>
    </x:row>
    <x:row r="2837">
      <x:c r="A2837" t="str">
        <x:v>Active Sports Nutrition</x:v>
      </x:c>
      <x:c r="B2837" t="str">
        <x:v>Per4m Nutrition</x:v>
      </x:c>
      <x:c r="C2837" t="str">
        <x:v>Whey Protein</x:v>
      </x:c>
      <x:c r="D2837" t="str">
        <x:v>Supplements</x:v>
      </x:c>
      <x:c r="E2837" t="str">
        <x:v>Whey Protein</x:v>
      </x:c>
      <x:c r="F2837" t="str"/>
      <x:c r="G2837" t="str">
        <x:v>900g</x:v>
      </x:c>
      <x:c r="H2837" t="str">
        <x:v>Cinnamon Donut</x:v>
      </x:c>
      <x:c r="I2837" t="str"/>
      <x:c r="J2837" t="str">
        <x:v>Unit</x:v>
      </x:c>
      <x:c r="K2837" t="str">
        <x:v>In stock</x:v>
      </x:c>
      <x:c r="L2837" t="str">
        <x:v>2026-09-08</x:v>
      </x:c>
      <x:c r="M2837" t="str"/>
      <x:c r="N2837" t="str"/>
      <x:c r="O2837" t="str">
        <x:v>https://www.activesportstrade.co.uk/Whey-Protein-Supplements-Trade/per4m-nutrition-trade</x:v>
      </x:c>
      <x:c r="P2837" t="str">
        <x:v>NEW PRICE / NEW wording stripped; exact current flavour-level availability retained.</x:v>
      </x:c>
      <x:c r="Q2837" t="str"/>
      <x:c r="R2837" t="str"/>
      <x:c r="S2837" t="str">
        <x:v>Pending genuine supplier/brand image</x:v>
      </x:c>
      <x:c r="T2837" s="54"/>
      <x:c r="U2837" s="47" t="n">
        <x:v>0.2</x:v>
      </x:c>
      <x:c r="V2837" s="54" t="str">
        <x:f>IF(ISNUMBER(T2837),T2837*(1+U2837),"")</x:f>
      </x:c>
      <x:c r="W2837" s="47" t="n">
        <x:v>0.3</x:v>
      </x:c>
      <x:c r="X2837" s="54" t="str">
        <x:f>IF(ISNUMBER(V2837),V2837/(1-W2837),"")</x:f>
      </x:c>
      <x:c r="Y2837" s="55" t="str">
        <x:f>IF(ISNUMBER(X2837),ROUNDUP(X2837,0),"")</x:f>
      </x:c>
      <x:c r="Z2837" t="str">
        <x:f>IF(ISNUMBER(T2837),"Cost captured","Awaiting trade cost")</x:f>
        <x:v>Awaiting trade cost</x:v>
      </x:c>
      <x:c r="AB2837" s="36" t="str">
        <x:f>IF(ISNUMBER(Y2837),ROUND(Y2837*0.9,2),"")</x:f>
      </x:c>
      <x:c r="AC2837" s="36" t="str">
        <x:f>IF(ISNUMBER(AB2837),ROUND(AB2837-(AB2837*0.015+0.2)-V2837,2),"")</x:f>
      </x:c>
      <x:c r="AD2837" s="36" t="str">
        <x:f>IF(ISNUMBER(Y2837),ROUND(Y2837*0.8,2),"")</x:f>
      </x:c>
      <x:c r="AE2837" s="36" t="str">
        <x:f>IF(ISNUMBER(AD2837),ROUND(AD2837*0.015+0.2,2),"")</x:f>
      </x:c>
      <x:c r="AF2837" s="36" t="str">
        <x:f>IF(ISNUMBER(AD2837),ROUND(AD2837-AE2837-V2837,2),"")</x:f>
      </x:c>
      <x:c r="AG2837" t="str">
        <x:f>IF(NOT(ISNUMBER(T2837)),"PENDING",IF(AF2837&gt;0,"PASS","FAIL"))</x:f>
        <x:v>PENDING</x:v>
      </x:c>
      <x:c r="AH2837" t="str">
        <x:f>IF(NOT(ISNUMBER(T2837)),"Needs supplier cost",IF(K2837&lt;&gt;"In stock","Supplier unavailable",IF(AG2837&lt;&gt;"PASS","BLOCK - GT loss risk","Commercially protected")))</x:f>
        <x:v>Needs supplier cost</x:v>
      </x:c>
      <x:c r="AI2837" t="str">
        <x:v>2026-09-10 Active Sports trade capture</x:v>
      </x:c>
      <x:c r="AJ2837" t="str">
        <x:v>Management-only economics. Stripe stress test uses 1.5% + £0.20 standard UK online-card fee; pallet/mix-and-match pricing ignored.</x:v>
      </x:c>
    </x:row>
    <x:row r="2838">
      <x:c r="A2838" t="str">
        <x:v>Active Sports Nutrition</x:v>
      </x:c>
      <x:c r="B2838" t="str">
        <x:v>Per4m Nutrition</x:v>
      </x:c>
      <x:c r="C2838" t="str">
        <x:v>Whey Protein</x:v>
      </x:c>
      <x:c r="D2838" t="str">
        <x:v>Supplements</x:v>
      </x:c>
      <x:c r="E2838" t="str">
        <x:v>Whey Protein</x:v>
      </x:c>
      <x:c r="F2838" t="str"/>
      <x:c r="G2838" t="str">
        <x:v>900g</x:v>
      </x:c>
      <x:c r="H2838" t="str">
        <x:v>Coconut Creme</x:v>
      </x:c>
      <x:c r="I2838" t="str"/>
      <x:c r="J2838" t="str">
        <x:v>Unit</x:v>
      </x:c>
      <x:c r="K2838" t="str">
        <x:v>In stock</x:v>
      </x:c>
      <x:c r="L2838" t="str">
        <x:v>2026-09-08</x:v>
      </x:c>
      <x:c r="M2838" t="str"/>
      <x:c r="N2838" t="str"/>
      <x:c r="O2838" t="str">
        <x:v>https://www.activesportstrade.co.uk/Whey-Protein-Supplements-Trade/per4m-nutrition-trade</x:v>
      </x:c>
      <x:c r="P2838" t="str">
        <x:v>NEW PRICE / NEW wording stripped; exact current flavour-level availability retained.</x:v>
      </x:c>
      <x:c r="Q2838" t="str"/>
      <x:c r="R2838" t="str"/>
      <x:c r="S2838" t="str">
        <x:v>Pending genuine supplier/brand image</x:v>
      </x:c>
      <x:c r="T2838" s="54"/>
      <x:c r="U2838" s="47" t="n">
        <x:v>0.2</x:v>
      </x:c>
      <x:c r="V2838" s="54" t="str">
        <x:f>IF(ISNUMBER(T2838),T2838*(1+U2838),"")</x:f>
      </x:c>
      <x:c r="W2838" s="47" t="n">
        <x:v>0.3</x:v>
      </x:c>
      <x:c r="X2838" s="54" t="str">
        <x:f>IF(ISNUMBER(V2838),V2838/(1-W2838),"")</x:f>
      </x:c>
      <x:c r="Y2838" s="55" t="str">
        <x:f>IF(ISNUMBER(X2838),ROUNDUP(X2838,0),"")</x:f>
      </x:c>
      <x:c r="Z2838" t="str">
        <x:f>IF(ISNUMBER(T2838),"Cost captured","Awaiting trade cost")</x:f>
        <x:v>Awaiting trade cost</x:v>
      </x:c>
      <x:c r="AB2838" s="36" t="str">
        <x:f>IF(ISNUMBER(Y2838),ROUND(Y2838*0.9,2),"")</x:f>
      </x:c>
      <x:c r="AC2838" s="36" t="str">
        <x:f>IF(ISNUMBER(AB2838),ROUND(AB2838-(AB2838*0.015+0.2)-V2838,2),"")</x:f>
      </x:c>
      <x:c r="AD2838" s="36" t="str">
        <x:f>IF(ISNUMBER(Y2838),ROUND(Y2838*0.8,2),"")</x:f>
      </x:c>
      <x:c r="AE2838" s="36" t="str">
        <x:f>IF(ISNUMBER(AD2838),ROUND(AD2838*0.015+0.2,2),"")</x:f>
      </x:c>
      <x:c r="AF2838" s="36" t="str">
        <x:f>IF(ISNUMBER(AD2838),ROUND(AD2838-AE2838-V2838,2),"")</x:f>
      </x:c>
      <x:c r="AG2838" t="str">
        <x:f>IF(NOT(ISNUMBER(T2838)),"PENDING",IF(AF2838&gt;0,"PASS","FAIL"))</x:f>
        <x:v>PENDING</x:v>
      </x:c>
      <x:c r="AH2838" t="str">
        <x:f>IF(NOT(ISNUMBER(T2838)),"Needs supplier cost",IF(K2838&lt;&gt;"In stock","Supplier unavailable",IF(AG2838&lt;&gt;"PASS","BLOCK - GT loss risk","Commercially protected")))</x:f>
        <x:v>Needs supplier cost</x:v>
      </x:c>
      <x:c r="AI2838" t="str">
        <x:v>2026-09-10 Active Sports trade capture</x:v>
      </x:c>
      <x:c r="AJ2838" t="str">
        <x:v>Management-only economics. Stripe stress test uses 1.5% + £0.20 standard UK online-card fee; pallet/mix-and-match pricing ignored.</x:v>
      </x:c>
    </x:row>
    <x:row r="2839">
      <x:c r="A2839" t="str">
        <x:v>Active Sports Nutrition</x:v>
      </x:c>
      <x:c r="B2839" t="str">
        <x:v>Per4m Nutrition</x:v>
      </x:c>
      <x:c r="C2839" t="str">
        <x:v>Whey Protein</x:v>
      </x:c>
      <x:c r="D2839" t="str">
        <x:v>Supplements</x:v>
      </x:c>
      <x:c r="E2839" t="str">
        <x:v>Whey Protein</x:v>
      </x:c>
      <x:c r="F2839" t="str"/>
      <x:c r="G2839" t="str">
        <x:v>900g</x:v>
      </x:c>
      <x:c r="H2839" t="str">
        <x:v>Cookie Dough</x:v>
      </x:c>
      <x:c r="I2839" t="str"/>
      <x:c r="J2839" t="str">
        <x:v>Unit</x:v>
      </x:c>
      <x:c r="K2839" t="str">
        <x:v>In stock</x:v>
      </x:c>
      <x:c r="L2839" t="str">
        <x:v>2026-09-08</x:v>
      </x:c>
      <x:c r="M2839" t="str"/>
      <x:c r="N2839" t="str"/>
      <x:c r="O2839" t="str">
        <x:v>https://www.activesportstrade.co.uk/Whey-Protein-Supplements-Trade/per4m-nutrition-trade</x:v>
      </x:c>
      <x:c r="P2839" t="str">
        <x:v>NEW PRICE / NEW wording stripped; exact current flavour-level availability retained.</x:v>
      </x:c>
      <x:c r="Q2839" t="str"/>
      <x:c r="R2839" t="str"/>
      <x:c r="S2839" t="str">
        <x:v>Pending genuine supplier/brand image</x:v>
      </x:c>
      <x:c r="T2839" s="54"/>
      <x:c r="U2839" s="47" t="n">
        <x:v>0.2</x:v>
      </x:c>
      <x:c r="V2839" s="54" t="str">
        <x:f>IF(ISNUMBER(T2839),T2839*(1+U2839),"")</x:f>
      </x:c>
      <x:c r="W2839" s="47" t="n">
        <x:v>0.3</x:v>
      </x:c>
      <x:c r="X2839" s="54" t="str">
        <x:f>IF(ISNUMBER(V2839),V2839/(1-W2839),"")</x:f>
      </x:c>
      <x:c r="Y2839" s="55" t="str">
        <x:f>IF(ISNUMBER(X2839),ROUNDUP(X2839,0),"")</x:f>
      </x:c>
      <x:c r="Z2839" t="str">
        <x:f>IF(ISNUMBER(T2839),"Cost captured","Awaiting trade cost")</x:f>
        <x:v>Awaiting trade cost</x:v>
      </x:c>
      <x:c r="AB2839" s="36" t="str">
        <x:f>IF(ISNUMBER(Y2839),ROUND(Y2839*0.9,2),"")</x:f>
      </x:c>
      <x:c r="AC2839" s="36" t="str">
        <x:f>IF(ISNUMBER(AB2839),ROUND(AB2839-(AB2839*0.015+0.2)-V2839,2),"")</x:f>
      </x:c>
      <x:c r="AD2839" s="36" t="str">
        <x:f>IF(ISNUMBER(Y2839),ROUND(Y2839*0.8,2),"")</x:f>
      </x:c>
      <x:c r="AE2839" s="36" t="str">
        <x:f>IF(ISNUMBER(AD2839),ROUND(AD2839*0.015+0.2,2),"")</x:f>
      </x:c>
      <x:c r="AF2839" s="36" t="str">
        <x:f>IF(ISNUMBER(AD2839),ROUND(AD2839-AE2839-V2839,2),"")</x:f>
      </x:c>
      <x:c r="AG2839" t="str">
        <x:f>IF(NOT(ISNUMBER(T2839)),"PENDING",IF(AF2839&gt;0,"PASS","FAIL"))</x:f>
        <x:v>PENDING</x:v>
      </x:c>
      <x:c r="AH2839" t="str">
        <x:f>IF(NOT(ISNUMBER(T2839)),"Needs supplier cost",IF(K2839&lt;&gt;"In stock","Supplier unavailable",IF(AG2839&lt;&gt;"PASS","BLOCK - GT loss risk","Commercially protected")))</x:f>
        <x:v>Needs supplier cost</x:v>
      </x:c>
      <x:c r="AI2839" t="str">
        <x:v>2026-09-10 Active Sports trade capture</x:v>
      </x:c>
      <x:c r="AJ2839" t="str">
        <x:v>Management-only economics. Stripe stress test uses 1.5% + £0.20 standard UK online-card fee; pallet/mix-and-match pricing ignored.</x:v>
      </x:c>
    </x:row>
    <x:row r="2840">
      <x:c r="A2840" t="str">
        <x:v>Active Sports Nutrition</x:v>
      </x:c>
      <x:c r="B2840" t="str">
        <x:v>Per4m Nutrition</x:v>
      </x:c>
      <x:c r="C2840" t="str">
        <x:v>Whey Protein</x:v>
      </x:c>
      <x:c r="D2840" t="str">
        <x:v>Supplements</x:v>
      </x:c>
      <x:c r="E2840" t="str">
        <x:v>Whey Protein</x:v>
      </x:c>
      <x:c r="F2840" t="str"/>
      <x:c r="G2840" t="str">
        <x:v>900g</x:v>
      </x:c>
      <x:c r="H2840" t="str">
        <x:v>Cookies &amp; Cream</x:v>
      </x:c>
      <x:c r="I2840" t="str"/>
      <x:c r="J2840" t="str">
        <x:v>Unit</x:v>
      </x:c>
      <x:c r="K2840" t="str">
        <x:v>In stock</x:v>
      </x:c>
      <x:c r="L2840" t="str">
        <x:v>2026-09-08</x:v>
      </x:c>
      <x:c r="M2840" t="str"/>
      <x:c r="N2840" t="str"/>
      <x:c r="O2840" t="str">
        <x:v>https://www.activesportstrade.co.uk/Whey-Protein-Supplements-Trade/per4m-nutrition-trade</x:v>
      </x:c>
      <x:c r="P2840" t="str">
        <x:v>NEW PRICE / NEW wording stripped; exact current flavour-level availability retained.</x:v>
      </x:c>
      <x:c r="Q2840" t="str"/>
      <x:c r="R2840" t="str"/>
      <x:c r="S2840" t="str">
        <x:v>Pending genuine supplier/brand image</x:v>
      </x:c>
      <x:c r="T2840" s="54"/>
      <x:c r="U2840" s="47" t="n">
        <x:v>0.2</x:v>
      </x:c>
      <x:c r="V2840" s="54" t="str">
        <x:f>IF(ISNUMBER(T2840),T2840*(1+U2840),"")</x:f>
      </x:c>
      <x:c r="W2840" s="47" t="n">
        <x:v>0.3</x:v>
      </x:c>
      <x:c r="X2840" s="54" t="str">
        <x:f>IF(ISNUMBER(V2840),V2840/(1-W2840),"")</x:f>
      </x:c>
      <x:c r="Y2840" s="55" t="str">
        <x:f>IF(ISNUMBER(X2840),ROUNDUP(X2840,0),"")</x:f>
      </x:c>
      <x:c r="Z2840" t="str">
        <x:f>IF(ISNUMBER(T2840),"Cost captured","Awaiting trade cost")</x:f>
        <x:v>Awaiting trade cost</x:v>
      </x:c>
      <x:c r="AB2840" s="36" t="str">
        <x:f>IF(ISNUMBER(Y2840),ROUND(Y2840*0.9,2),"")</x:f>
      </x:c>
      <x:c r="AC2840" s="36" t="str">
        <x:f>IF(ISNUMBER(AB2840),ROUND(AB2840-(AB2840*0.015+0.2)-V2840,2),"")</x:f>
      </x:c>
      <x:c r="AD2840" s="36" t="str">
        <x:f>IF(ISNUMBER(Y2840),ROUND(Y2840*0.8,2),"")</x:f>
      </x:c>
      <x:c r="AE2840" s="36" t="str">
        <x:f>IF(ISNUMBER(AD2840),ROUND(AD2840*0.015+0.2,2),"")</x:f>
      </x:c>
      <x:c r="AF2840" s="36" t="str">
        <x:f>IF(ISNUMBER(AD2840),ROUND(AD2840-AE2840-V2840,2),"")</x:f>
      </x:c>
      <x:c r="AG2840" t="str">
        <x:f>IF(NOT(ISNUMBER(T2840)),"PENDING",IF(AF2840&gt;0,"PASS","FAIL"))</x:f>
        <x:v>PENDING</x:v>
      </x:c>
      <x:c r="AH2840" t="str">
        <x:f>IF(NOT(ISNUMBER(T2840)),"Needs supplier cost",IF(K2840&lt;&gt;"In stock","Supplier unavailable",IF(AG2840&lt;&gt;"PASS","BLOCK - GT loss risk","Commercially protected")))</x:f>
        <x:v>Needs supplier cost</x:v>
      </x:c>
      <x:c r="AI2840" t="str">
        <x:v>2026-09-10 Active Sports trade capture</x:v>
      </x:c>
      <x:c r="AJ2840" t="str">
        <x:v>Management-only economics. Stripe stress test uses 1.5% + £0.20 standard UK online-card fee; pallet/mix-and-match pricing ignored.</x:v>
      </x:c>
    </x:row>
    <x:row r="2841">
      <x:c r="A2841" t="str">
        <x:v>Active Sports Nutrition</x:v>
      </x:c>
      <x:c r="B2841" t="str">
        <x:v>Per4m Nutrition</x:v>
      </x:c>
      <x:c r="C2841" t="str">
        <x:v>Whey Protein</x:v>
      </x:c>
      <x:c r="D2841" t="str">
        <x:v>Supplements</x:v>
      </x:c>
      <x:c r="E2841" t="str">
        <x:v>Whey Protein</x:v>
      </x:c>
      <x:c r="F2841" t="str"/>
      <x:c r="G2841" t="str">
        <x:v>900g</x:v>
      </x:c>
      <x:c r="H2841" t="str">
        <x:v>Double Chocolate</x:v>
      </x:c>
      <x:c r="I2841" t="str"/>
      <x:c r="J2841" t="str">
        <x:v>Unit</x:v>
      </x:c>
      <x:c r="K2841" t="str">
        <x:v>Out of stock</x:v>
      </x:c>
      <x:c r="L2841" t="str">
        <x:v>2026-09-08</x:v>
      </x:c>
      <x:c r="M2841" t="str"/>
      <x:c r="N2841" t="str"/>
      <x:c r="O2841" t="str">
        <x:v>https://www.activesportstrade.co.uk/Whey-Protein-Supplements-Trade/per4m-nutrition-trade</x:v>
      </x:c>
      <x:c r="P2841" t="str">
        <x:v>NEW PRICE / NEW wording stripped; exact current flavour-level availability retained.</x:v>
      </x:c>
      <x:c r="Q2841" t="str"/>
      <x:c r="R2841" t="str"/>
      <x:c r="S2841" t="str">
        <x:v>Pending genuine supplier/brand image</x:v>
      </x:c>
      <x:c r="T2841" s="54"/>
      <x:c r="U2841" s="47" t="n">
        <x:v>0.2</x:v>
      </x:c>
      <x:c r="V2841" s="54" t="str">
        <x:f>IF(ISNUMBER(T2841),T2841*(1+U2841),"")</x:f>
      </x:c>
      <x:c r="W2841" s="47" t="n">
        <x:v>0.3</x:v>
      </x:c>
      <x:c r="X2841" s="54" t="str">
        <x:f>IF(ISNUMBER(V2841),V2841/(1-W2841),"")</x:f>
      </x:c>
      <x:c r="Y2841" s="55" t="str">
        <x:f>IF(ISNUMBER(X2841),ROUNDUP(X2841,0),"")</x:f>
      </x:c>
      <x:c r="Z2841" t="str">
        <x:f>IF(ISNUMBER(T2841),"Cost captured","Awaiting trade cost")</x:f>
        <x:v>Awaiting trade cost</x:v>
      </x:c>
      <x:c r="AB2841" s="36" t="str">
        <x:f>IF(ISNUMBER(Y2841),ROUND(Y2841*0.9,2),"")</x:f>
      </x:c>
      <x:c r="AC2841" s="36" t="str">
        <x:f>IF(ISNUMBER(AB2841),ROUND(AB2841-(AB2841*0.015+0.2)-V2841,2),"")</x:f>
      </x:c>
      <x:c r="AD2841" s="36" t="str">
        <x:f>IF(ISNUMBER(Y2841),ROUND(Y2841*0.8,2),"")</x:f>
      </x:c>
      <x:c r="AE2841" s="36" t="str">
        <x:f>IF(ISNUMBER(AD2841),ROUND(AD2841*0.015+0.2,2),"")</x:f>
      </x:c>
      <x:c r="AF2841" s="36" t="str">
        <x:f>IF(ISNUMBER(AD2841),ROUND(AD2841-AE2841-V2841,2),"")</x:f>
      </x:c>
      <x:c r="AG2841" t="str">
        <x:f>IF(NOT(ISNUMBER(T2841)),"PENDING",IF(AF2841&gt;0,"PASS","FAIL"))</x:f>
        <x:v>PENDING</x:v>
      </x:c>
      <x:c r="AH2841" t="str">
        <x:f>IF(NOT(ISNUMBER(T2841)),"Needs supplier cost",IF(K2841&lt;&gt;"In stock","Supplier unavailable",IF(AG2841&lt;&gt;"PASS","BLOCK - GT loss risk","Commercially protected")))</x:f>
        <x:v>Needs supplier cost</x:v>
      </x:c>
      <x:c r="AI2841" t="str">
        <x:v>2026-09-10 Active Sports trade capture</x:v>
      </x:c>
      <x:c r="AJ2841" t="str">
        <x:v>Management-only economics. Stripe stress test uses 1.5% + £0.20 standard UK online-card fee; pallet/mix-and-match pricing ignored.</x:v>
      </x:c>
    </x:row>
    <x:row r="2842">
      <x:c r="A2842" t="str">
        <x:v>Active Sports Nutrition</x:v>
      </x:c>
      <x:c r="B2842" t="str">
        <x:v>Per4m Nutrition</x:v>
      </x:c>
      <x:c r="C2842" t="str">
        <x:v>Whey Protein</x:v>
      </x:c>
      <x:c r="D2842" t="str">
        <x:v>Supplements</x:v>
      </x:c>
      <x:c r="E2842" t="str">
        <x:v>Whey Protein</x:v>
      </x:c>
      <x:c r="F2842" t="str"/>
      <x:c r="G2842" t="str">
        <x:v>900g</x:v>
      </x:c>
      <x:c r="H2842" t="str">
        <x:v>Dubai Chocolate</x:v>
      </x:c>
      <x:c r="I2842" t="str"/>
      <x:c r="J2842" t="str">
        <x:v>Unit</x:v>
      </x:c>
      <x:c r="K2842" t="str">
        <x:v>In stock</x:v>
      </x:c>
      <x:c r="L2842" t="str">
        <x:v>2026-09-08</x:v>
      </x:c>
      <x:c r="M2842" t="str"/>
      <x:c r="N2842" t="str"/>
      <x:c r="O2842" t="str">
        <x:v>https://www.activesportstrade.co.uk/Whey-Protein-Supplements-Trade/per4m-nutrition-trade</x:v>
      </x:c>
      <x:c r="P2842" t="str">
        <x:v>NEW PRICE / NEW wording stripped; exact current flavour-level availability retained.</x:v>
      </x:c>
      <x:c r="Q2842" t="str"/>
      <x:c r="R2842" t="str"/>
      <x:c r="S2842" t="str">
        <x:v>Pending genuine supplier/brand image</x:v>
      </x:c>
      <x:c r="T2842" s="54"/>
      <x:c r="U2842" s="47" t="n">
        <x:v>0.2</x:v>
      </x:c>
      <x:c r="V2842" s="54" t="str">
        <x:f>IF(ISNUMBER(T2842),T2842*(1+U2842),"")</x:f>
      </x:c>
      <x:c r="W2842" s="47" t="n">
        <x:v>0.3</x:v>
      </x:c>
      <x:c r="X2842" s="54" t="str">
        <x:f>IF(ISNUMBER(V2842),V2842/(1-W2842),"")</x:f>
      </x:c>
      <x:c r="Y2842" s="55" t="str">
        <x:f>IF(ISNUMBER(X2842),ROUNDUP(X2842,0),"")</x:f>
      </x:c>
      <x:c r="Z2842" t="str">
        <x:f>IF(ISNUMBER(T2842),"Cost captured","Awaiting trade cost")</x:f>
        <x:v>Awaiting trade cost</x:v>
      </x:c>
      <x:c r="AB2842" s="36" t="str">
        <x:f>IF(ISNUMBER(Y2842),ROUND(Y2842*0.9,2),"")</x:f>
      </x:c>
      <x:c r="AC2842" s="36" t="str">
        <x:f>IF(ISNUMBER(AB2842),ROUND(AB2842-(AB2842*0.015+0.2)-V2842,2),"")</x:f>
      </x:c>
      <x:c r="AD2842" s="36" t="str">
        <x:f>IF(ISNUMBER(Y2842),ROUND(Y2842*0.8,2),"")</x:f>
      </x:c>
      <x:c r="AE2842" s="36" t="str">
        <x:f>IF(ISNUMBER(AD2842),ROUND(AD2842*0.015+0.2,2),"")</x:f>
      </x:c>
      <x:c r="AF2842" s="36" t="str">
        <x:f>IF(ISNUMBER(AD2842),ROUND(AD2842-AE2842-V2842,2),"")</x:f>
      </x:c>
      <x:c r="AG2842" t="str">
        <x:f>IF(NOT(ISNUMBER(T2842)),"PENDING",IF(AF2842&gt;0,"PASS","FAIL"))</x:f>
        <x:v>PENDING</x:v>
      </x:c>
      <x:c r="AH2842" t="str">
        <x:f>IF(NOT(ISNUMBER(T2842)),"Needs supplier cost",IF(K2842&lt;&gt;"In stock","Supplier unavailable",IF(AG2842&lt;&gt;"PASS","BLOCK - GT loss risk","Commercially protected")))</x:f>
        <x:v>Needs supplier cost</x:v>
      </x:c>
      <x:c r="AI2842" t="str">
        <x:v>2026-09-10 Active Sports trade capture</x:v>
      </x:c>
      <x:c r="AJ2842" t="str">
        <x:v>Management-only economics. Stripe stress test uses 1.5% + £0.20 standard UK online-card fee; pallet/mix-and-match pricing ignored.</x:v>
      </x:c>
    </x:row>
    <x:row r="2843">
      <x:c r="A2843" t="str">
        <x:v>Active Sports Nutrition</x:v>
      </x:c>
      <x:c r="B2843" t="str">
        <x:v>Per4m Nutrition</x:v>
      </x:c>
      <x:c r="C2843" t="str">
        <x:v>Whey Protein</x:v>
      </x:c>
      <x:c r="D2843" t="str">
        <x:v>Supplements</x:v>
      </x:c>
      <x:c r="E2843" t="str">
        <x:v>Whey Protein</x:v>
      </x:c>
      <x:c r="F2843" t="str"/>
      <x:c r="G2843" t="str">
        <x:v>900g</x:v>
      </x:c>
      <x:c r="H2843" t="str">
        <x:v>Fluffy Marshmallow</x:v>
      </x:c>
      <x:c r="I2843" t="str"/>
      <x:c r="J2843" t="str">
        <x:v>Unit</x:v>
      </x:c>
      <x:c r="K2843" t="str">
        <x:v>In stock</x:v>
      </x:c>
      <x:c r="L2843" t="str">
        <x:v>2026-09-08</x:v>
      </x:c>
      <x:c r="M2843" t="str"/>
      <x:c r="N2843" t="str"/>
      <x:c r="O2843" t="str">
        <x:v>https://www.activesportstrade.co.uk/Whey-Protein-Supplements-Trade/per4m-nutrition-trade</x:v>
      </x:c>
      <x:c r="P2843" t="str">
        <x:v>NEW PRICE / NEW wording stripped; exact current flavour-level availability retained.</x:v>
      </x:c>
      <x:c r="Q2843" t="str"/>
      <x:c r="R2843" t="str"/>
      <x:c r="S2843" t="str">
        <x:v>Pending genuine supplier/brand image</x:v>
      </x:c>
      <x:c r="T2843" s="54"/>
      <x:c r="U2843" s="47" t="n">
        <x:v>0.2</x:v>
      </x:c>
      <x:c r="V2843" s="54" t="str">
        <x:f>IF(ISNUMBER(T2843),T2843*(1+U2843),"")</x:f>
      </x:c>
      <x:c r="W2843" s="47" t="n">
        <x:v>0.3</x:v>
      </x:c>
      <x:c r="X2843" s="54" t="str">
        <x:f>IF(ISNUMBER(V2843),V2843/(1-W2843),"")</x:f>
      </x:c>
      <x:c r="Y2843" s="55" t="str">
        <x:f>IF(ISNUMBER(X2843),ROUNDUP(X2843,0),"")</x:f>
      </x:c>
      <x:c r="Z2843" t="str">
        <x:f>IF(ISNUMBER(T2843),"Cost captured","Awaiting trade cost")</x:f>
        <x:v>Awaiting trade cost</x:v>
      </x:c>
      <x:c r="AB2843" s="36" t="str">
        <x:f>IF(ISNUMBER(Y2843),ROUND(Y2843*0.9,2),"")</x:f>
      </x:c>
      <x:c r="AC2843" s="36" t="str">
        <x:f>IF(ISNUMBER(AB2843),ROUND(AB2843-(AB2843*0.015+0.2)-V2843,2),"")</x:f>
      </x:c>
      <x:c r="AD2843" s="36" t="str">
        <x:f>IF(ISNUMBER(Y2843),ROUND(Y2843*0.8,2),"")</x:f>
      </x:c>
      <x:c r="AE2843" s="36" t="str">
        <x:f>IF(ISNUMBER(AD2843),ROUND(AD2843*0.015+0.2,2),"")</x:f>
      </x:c>
      <x:c r="AF2843" s="36" t="str">
        <x:f>IF(ISNUMBER(AD2843),ROUND(AD2843-AE2843-V2843,2),"")</x:f>
      </x:c>
      <x:c r="AG2843" t="str">
        <x:f>IF(NOT(ISNUMBER(T2843)),"PENDING",IF(AF2843&gt;0,"PASS","FAIL"))</x:f>
        <x:v>PENDING</x:v>
      </x:c>
      <x:c r="AH2843" t="str">
        <x:f>IF(NOT(ISNUMBER(T2843)),"Needs supplier cost",IF(K2843&lt;&gt;"In stock","Supplier unavailable",IF(AG2843&lt;&gt;"PASS","BLOCK - GT loss risk","Commercially protected")))</x:f>
        <x:v>Needs supplier cost</x:v>
      </x:c>
      <x:c r="AI2843" t="str">
        <x:v>2026-09-10 Active Sports trade capture</x:v>
      </x:c>
      <x:c r="AJ2843" t="str">
        <x:v>Management-only economics. Stripe stress test uses 1.5% + £0.20 standard UK online-card fee; pallet/mix-and-match pricing ignored.</x:v>
      </x:c>
    </x:row>
    <x:row r="2844">
      <x:c r="A2844" t="str">
        <x:v>Active Sports Nutrition</x:v>
      </x:c>
      <x:c r="B2844" t="str">
        <x:v>Per4m Nutrition</x:v>
      </x:c>
      <x:c r="C2844" t="str">
        <x:v>Whey Protein</x:v>
      </x:c>
      <x:c r="D2844" t="str">
        <x:v>Supplements</x:v>
      </x:c>
      <x:c r="E2844" t="str">
        <x:v>Whey Protein</x:v>
      </x:c>
      <x:c r="F2844" t="str"/>
      <x:c r="G2844" t="str">
        <x:v>900g</x:v>
      </x:c>
      <x:c r="H2844" t="str">
        <x:v>French Toast Maple Swirl</x:v>
      </x:c>
      <x:c r="I2844" t="str"/>
      <x:c r="J2844" t="str">
        <x:v>Unit</x:v>
      </x:c>
      <x:c r="K2844" t="str">
        <x:v>In stock</x:v>
      </x:c>
      <x:c r="L2844" t="str">
        <x:v>2026-09-08</x:v>
      </x:c>
      <x:c r="M2844" t="str"/>
      <x:c r="N2844" t="str"/>
      <x:c r="O2844" t="str">
        <x:v>https://www.activesportstrade.co.uk/Whey-Protein-Supplements-Trade/per4m-nutrition-trade</x:v>
      </x:c>
      <x:c r="P2844" t="str">
        <x:v>NEW PRICE / NEW wording stripped; exact current flavour-level availability retained.</x:v>
      </x:c>
      <x:c r="Q2844" t="str"/>
      <x:c r="R2844" t="str"/>
      <x:c r="S2844" t="str">
        <x:v>Pending genuine supplier/brand image</x:v>
      </x:c>
      <x:c r="T2844" s="54"/>
      <x:c r="U2844" s="47" t="n">
        <x:v>0.2</x:v>
      </x:c>
      <x:c r="V2844" s="54" t="str">
        <x:f>IF(ISNUMBER(T2844),T2844*(1+U2844),"")</x:f>
      </x:c>
      <x:c r="W2844" s="47" t="n">
        <x:v>0.3</x:v>
      </x:c>
      <x:c r="X2844" s="54" t="str">
        <x:f>IF(ISNUMBER(V2844),V2844/(1-W2844),"")</x:f>
      </x:c>
      <x:c r="Y2844" s="55" t="str">
        <x:f>IF(ISNUMBER(X2844),ROUNDUP(X2844,0),"")</x:f>
      </x:c>
      <x:c r="Z2844" t="str">
        <x:f>IF(ISNUMBER(T2844),"Cost captured","Awaiting trade cost")</x:f>
        <x:v>Awaiting trade cost</x:v>
      </x:c>
      <x:c r="AB2844" s="36" t="str">
        <x:f>IF(ISNUMBER(Y2844),ROUND(Y2844*0.9,2),"")</x:f>
      </x:c>
      <x:c r="AC2844" s="36" t="str">
        <x:f>IF(ISNUMBER(AB2844),ROUND(AB2844-(AB2844*0.015+0.2)-V2844,2),"")</x:f>
      </x:c>
      <x:c r="AD2844" s="36" t="str">
        <x:f>IF(ISNUMBER(Y2844),ROUND(Y2844*0.8,2),"")</x:f>
      </x:c>
      <x:c r="AE2844" s="36" t="str">
        <x:f>IF(ISNUMBER(AD2844),ROUND(AD2844*0.015+0.2,2),"")</x:f>
      </x:c>
      <x:c r="AF2844" s="36" t="str">
        <x:f>IF(ISNUMBER(AD2844),ROUND(AD2844-AE2844-V2844,2),"")</x:f>
      </x:c>
      <x:c r="AG2844" t="str">
        <x:f>IF(NOT(ISNUMBER(T2844)),"PENDING",IF(AF2844&gt;0,"PASS","FAIL"))</x:f>
        <x:v>PENDING</x:v>
      </x:c>
      <x:c r="AH2844" t="str">
        <x:f>IF(NOT(ISNUMBER(T2844)),"Needs supplier cost",IF(K2844&lt;&gt;"In stock","Supplier unavailable",IF(AG2844&lt;&gt;"PASS","BLOCK - GT loss risk","Commercially protected")))</x:f>
        <x:v>Needs supplier cost</x:v>
      </x:c>
      <x:c r="AI2844" t="str">
        <x:v>2026-09-10 Active Sports trade capture</x:v>
      </x:c>
      <x:c r="AJ2844" t="str">
        <x:v>Management-only economics. Stripe stress test uses 1.5% + £0.20 standard UK online-card fee; pallet/mix-and-match pricing ignored.</x:v>
      </x:c>
    </x:row>
    <x:row r="2845">
      <x:c r="A2845" t="str">
        <x:v>Active Sports Nutrition</x:v>
      </x:c>
      <x:c r="B2845" t="str">
        <x:v>Per4m Nutrition</x:v>
      </x:c>
      <x:c r="C2845" t="str">
        <x:v>Whey Protein</x:v>
      </x:c>
      <x:c r="D2845" t="str">
        <x:v>Supplements</x:v>
      </x:c>
      <x:c r="E2845" t="str">
        <x:v>Whey Protein</x:v>
      </x:c>
      <x:c r="F2845" t="str"/>
      <x:c r="G2845" t="str">
        <x:v>900g</x:v>
      </x:c>
      <x:c r="H2845" t="str">
        <x:v>Jammy Biscuit</x:v>
      </x:c>
      <x:c r="I2845" t="str"/>
      <x:c r="J2845" t="str">
        <x:v>Unit</x:v>
      </x:c>
      <x:c r="K2845" t="str">
        <x:v>In stock</x:v>
      </x:c>
      <x:c r="L2845" t="str">
        <x:v>2026-09-08</x:v>
      </x:c>
      <x:c r="M2845" t="str"/>
      <x:c r="N2845" t="str"/>
      <x:c r="O2845" t="str">
        <x:v>https://www.activesportstrade.co.uk/Whey-Protein-Supplements-Trade/per4m-nutrition-trade</x:v>
      </x:c>
      <x:c r="P2845" t="str">
        <x:v>NEW PRICE / NEW wording stripped; exact current flavour-level availability retained.</x:v>
      </x:c>
      <x:c r="Q2845" t="str"/>
      <x:c r="R2845" t="str"/>
      <x:c r="S2845" t="str">
        <x:v>Pending genuine supplier/brand image</x:v>
      </x:c>
      <x:c r="T2845" s="54"/>
      <x:c r="U2845" s="47" t="n">
        <x:v>0.2</x:v>
      </x:c>
      <x:c r="V2845" s="54" t="str">
        <x:f>IF(ISNUMBER(T2845),T2845*(1+U2845),"")</x:f>
      </x:c>
      <x:c r="W2845" s="47" t="n">
        <x:v>0.3</x:v>
      </x:c>
      <x:c r="X2845" s="54" t="str">
        <x:f>IF(ISNUMBER(V2845),V2845/(1-W2845),"")</x:f>
      </x:c>
      <x:c r="Y2845" s="55" t="str">
        <x:f>IF(ISNUMBER(X2845),ROUNDUP(X2845,0),"")</x:f>
      </x:c>
      <x:c r="Z2845" t="str">
        <x:f>IF(ISNUMBER(T2845),"Cost captured","Awaiting trade cost")</x:f>
        <x:v>Awaiting trade cost</x:v>
      </x:c>
      <x:c r="AB2845" s="36" t="str">
        <x:f>IF(ISNUMBER(Y2845),ROUND(Y2845*0.9,2),"")</x:f>
      </x:c>
      <x:c r="AC2845" s="36" t="str">
        <x:f>IF(ISNUMBER(AB2845),ROUND(AB2845-(AB2845*0.015+0.2)-V2845,2),"")</x:f>
      </x:c>
      <x:c r="AD2845" s="36" t="str">
        <x:f>IF(ISNUMBER(Y2845),ROUND(Y2845*0.8,2),"")</x:f>
      </x:c>
      <x:c r="AE2845" s="36" t="str">
        <x:f>IF(ISNUMBER(AD2845),ROUND(AD2845*0.015+0.2,2),"")</x:f>
      </x:c>
      <x:c r="AF2845" s="36" t="str">
        <x:f>IF(ISNUMBER(AD2845),ROUND(AD2845-AE2845-V2845,2),"")</x:f>
      </x:c>
      <x:c r="AG2845" t="str">
        <x:f>IF(NOT(ISNUMBER(T2845)),"PENDING",IF(AF2845&gt;0,"PASS","FAIL"))</x:f>
        <x:v>PENDING</x:v>
      </x:c>
      <x:c r="AH2845" t="str">
        <x:f>IF(NOT(ISNUMBER(T2845)),"Needs supplier cost",IF(K2845&lt;&gt;"In stock","Supplier unavailable",IF(AG2845&lt;&gt;"PASS","BLOCK - GT loss risk","Commercially protected")))</x:f>
        <x:v>Needs supplier cost</x:v>
      </x:c>
      <x:c r="AI2845" t="str">
        <x:v>2026-09-10 Active Sports trade capture</x:v>
      </x:c>
      <x:c r="AJ2845" t="str">
        <x:v>Management-only economics. Stripe stress test uses 1.5% + £0.20 standard UK online-card fee; pallet/mix-and-match pricing ignored.</x:v>
      </x:c>
    </x:row>
    <x:row r="2846">
      <x:c r="A2846" t="str">
        <x:v>Active Sports Nutrition</x:v>
      </x:c>
      <x:c r="B2846" t="str">
        <x:v>Per4m Nutrition</x:v>
      </x:c>
      <x:c r="C2846" t="str">
        <x:v>Whey Protein</x:v>
      </x:c>
      <x:c r="D2846" t="str">
        <x:v>Supplements</x:v>
      </x:c>
      <x:c r="E2846" t="str">
        <x:v>Whey Protein</x:v>
      </x:c>
      <x:c r="F2846" t="str"/>
      <x:c r="G2846" t="str">
        <x:v>900g</x:v>
      </x:c>
      <x:c r="H2846" t="str">
        <x:v>Key Lime Pie</x:v>
      </x:c>
      <x:c r="I2846" t="str"/>
      <x:c r="J2846" t="str">
        <x:v>Unit</x:v>
      </x:c>
      <x:c r="K2846" t="str">
        <x:v>In stock</x:v>
      </x:c>
      <x:c r="L2846" t="str">
        <x:v>2026-09-08</x:v>
      </x:c>
      <x:c r="M2846" t="str"/>
      <x:c r="N2846" t="str"/>
      <x:c r="O2846" t="str">
        <x:v>https://www.activesportstrade.co.uk/Whey-Protein-Supplements-Trade/per4m-nutrition-trade</x:v>
      </x:c>
      <x:c r="P2846" t="str">
        <x:v>NEW PRICE / NEW wording stripped; exact current flavour-level availability retained.</x:v>
      </x:c>
      <x:c r="Q2846" t="str"/>
      <x:c r="R2846" t="str"/>
      <x:c r="S2846" t="str">
        <x:v>Pending genuine supplier/brand image</x:v>
      </x:c>
      <x:c r="T2846" s="54"/>
      <x:c r="U2846" s="47" t="n">
        <x:v>0.2</x:v>
      </x:c>
      <x:c r="V2846" s="54" t="str">
        <x:f>IF(ISNUMBER(T2846),T2846*(1+U2846),"")</x:f>
      </x:c>
      <x:c r="W2846" s="47" t="n">
        <x:v>0.3</x:v>
      </x:c>
      <x:c r="X2846" s="54" t="str">
        <x:f>IF(ISNUMBER(V2846),V2846/(1-W2846),"")</x:f>
      </x:c>
      <x:c r="Y2846" s="55" t="str">
        <x:f>IF(ISNUMBER(X2846),ROUNDUP(X2846,0),"")</x:f>
      </x:c>
      <x:c r="Z2846" t="str">
        <x:f>IF(ISNUMBER(T2846),"Cost captured","Awaiting trade cost")</x:f>
        <x:v>Awaiting trade cost</x:v>
      </x:c>
      <x:c r="AB2846" s="36" t="str">
        <x:f>IF(ISNUMBER(Y2846),ROUND(Y2846*0.9,2),"")</x:f>
      </x:c>
      <x:c r="AC2846" s="36" t="str">
        <x:f>IF(ISNUMBER(AB2846),ROUND(AB2846-(AB2846*0.015+0.2)-V2846,2),"")</x:f>
      </x:c>
      <x:c r="AD2846" s="36" t="str">
        <x:f>IF(ISNUMBER(Y2846),ROUND(Y2846*0.8,2),"")</x:f>
      </x:c>
      <x:c r="AE2846" s="36" t="str">
        <x:f>IF(ISNUMBER(AD2846),ROUND(AD2846*0.015+0.2,2),"")</x:f>
      </x:c>
      <x:c r="AF2846" s="36" t="str">
        <x:f>IF(ISNUMBER(AD2846),ROUND(AD2846-AE2846-V2846,2),"")</x:f>
      </x:c>
      <x:c r="AG2846" t="str">
        <x:f>IF(NOT(ISNUMBER(T2846)),"PENDING",IF(AF2846&gt;0,"PASS","FAIL"))</x:f>
        <x:v>PENDING</x:v>
      </x:c>
      <x:c r="AH2846" t="str">
        <x:f>IF(NOT(ISNUMBER(T2846)),"Needs supplier cost",IF(K2846&lt;&gt;"In stock","Supplier unavailable",IF(AG2846&lt;&gt;"PASS","BLOCK - GT loss risk","Commercially protected")))</x:f>
        <x:v>Needs supplier cost</x:v>
      </x:c>
      <x:c r="AI2846" t="str">
        <x:v>2026-09-10 Active Sports trade capture</x:v>
      </x:c>
      <x:c r="AJ2846" t="str">
        <x:v>Management-only economics. Stripe stress test uses 1.5% + £0.20 standard UK online-card fee; pallet/mix-and-match pricing ignored.</x:v>
      </x:c>
    </x:row>
    <x:row r="2847">
      <x:c r="A2847" t="str">
        <x:v>Active Sports Nutrition</x:v>
      </x:c>
      <x:c r="B2847" t="str">
        <x:v>Per4m Nutrition</x:v>
      </x:c>
      <x:c r="C2847" t="str">
        <x:v>Whey Protein</x:v>
      </x:c>
      <x:c r="D2847" t="str">
        <x:v>Supplements</x:v>
      </x:c>
      <x:c r="E2847" t="str">
        <x:v>Whey Protein</x:v>
      </x:c>
      <x:c r="F2847" t="str"/>
      <x:c r="G2847" t="str">
        <x:v>900g</x:v>
      </x:c>
      <x:c r="H2847" t="str">
        <x:v>Lemon Cheesecake</x:v>
      </x:c>
      <x:c r="I2847" t="str"/>
      <x:c r="J2847" t="str">
        <x:v>Unit</x:v>
      </x:c>
      <x:c r="K2847" t="str">
        <x:v>In stock</x:v>
      </x:c>
      <x:c r="L2847" t="str">
        <x:v>2026-09-08</x:v>
      </x:c>
      <x:c r="M2847" t="str"/>
      <x:c r="N2847" t="str"/>
      <x:c r="O2847" t="str">
        <x:v>https://www.activesportstrade.co.uk/Whey-Protein-Supplements-Trade/per4m-nutrition-trade</x:v>
      </x:c>
      <x:c r="P2847" t="str">
        <x:v>NEW PRICE / NEW wording stripped; exact current flavour-level availability retained.</x:v>
      </x:c>
      <x:c r="Q2847" t="str"/>
      <x:c r="R2847" t="str"/>
      <x:c r="S2847" t="str">
        <x:v>Pending genuine supplier/brand image</x:v>
      </x:c>
      <x:c r="T2847" s="54"/>
      <x:c r="U2847" s="47" t="n">
        <x:v>0.2</x:v>
      </x:c>
      <x:c r="V2847" s="54" t="str">
        <x:f>IF(ISNUMBER(T2847),T2847*(1+U2847),"")</x:f>
      </x:c>
      <x:c r="W2847" s="47" t="n">
        <x:v>0.3</x:v>
      </x:c>
      <x:c r="X2847" s="54" t="str">
        <x:f>IF(ISNUMBER(V2847),V2847/(1-W2847),"")</x:f>
      </x:c>
      <x:c r="Y2847" s="55" t="str">
        <x:f>IF(ISNUMBER(X2847),ROUNDUP(X2847,0),"")</x:f>
      </x:c>
      <x:c r="Z2847" t="str">
        <x:f>IF(ISNUMBER(T2847),"Cost captured","Awaiting trade cost")</x:f>
        <x:v>Awaiting trade cost</x:v>
      </x:c>
      <x:c r="AB2847" s="36" t="str">
        <x:f>IF(ISNUMBER(Y2847),ROUND(Y2847*0.9,2),"")</x:f>
      </x:c>
      <x:c r="AC2847" s="36" t="str">
        <x:f>IF(ISNUMBER(AB2847),ROUND(AB2847-(AB2847*0.015+0.2)-V2847,2),"")</x:f>
      </x:c>
      <x:c r="AD2847" s="36" t="str">
        <x:f>IF(ISNUMBER(Y2847),ROUND(Y2847*0.8,2),"")</x:f>
      </x:c>
      <x:c r="AE2847" s="36" t="str">
        <x:f>IF(ISNUMBER(AD2847),ROUND(AD2847*0.015+0.2,2),"")</x:f>
      </x:c>
      <x:c r="AF2847" s="36" t="str">
        <x:f>IF(ISNUMBER(AD2847),ROUND(AD2847-AE2847-V2847,2),"")</x:f>
      </x:c>
      <x:c r="AG2847" t="str">
        <x:f>IF(NOT(ISNUMBER(T2847)),"PENDING",IF(AF2847&gt;0,"PASS","FAIL"))</x:f>
        <x:v>PENDING</x:v>
      </x:c>
      <x:c r="AH2847" t="str">
        <x:f>IF(NOT(ISNUMBER(T2847)),"Needs supplier cost",IF(K2847&lt;&gt;"In stock","Supplier unavailable",IF(AG2847&lt;&gt;"PASS","BLOCK - GT loss risk","Commercially protected")))</x:f>
        <x:v>Needs supplier cost</x:v>
      </x:c>
      <x:c r="AI2847" t="str">
        <x:v>2026-09-10 Active Sports trade capture</x:v>
      </x:c>
      <x:c r="AJ2847" t="str">
        <x:v>Management-only economics. Stripe stress test uses 1.5% + £0.20 standard UK online-card fee; pallet/mix-and-match pricing ignored.</x:v>
      </x:c>
    </x:row>
    <x:row r="2848">
      <x:c r="A2848" t="str">
        <x:v>Active Sports Nutrition</x:v>
      </x:c>
      <x:c r="B2848" t="str">
        <x:v>Per4m Nutrition</x:v>
      </x:c>
      <x:c r="C2848" t="str">
        <x:v>Whey Protein</x:v>
      </x:c>
      <x:c r="D2848" t="str">
        <x:v>Supplements</x:v>
      </x:c>
      <x:c r="E2848" t="str">
        <x:v>Whey Protein</x:v>
      </x:c>
      <x:c r="F2848" t="str"/>
      <x:c r="G2848" t="str">
        <x:v>900g</x:v>
      </x:c>
      <x:c r="H2848" t="str">
        <x:v>Minty Chocolate</x:v>
      </x:c>
      <x:c r="I2848" t="str"/>
      <x:c r="J2848" t="str">
        <x:v>Unit</x:v>
      </x:c>
      <x:c r="K2848" t="str">
        <x:v>In stock</x:v>
      </x:c>
      <x:c r="L2848" t="str">
        <x:v>2026-09-08</x:v>
      </x:c>
      <x:c r="M2848" t="str"/>
      <x:c r="N2848" t="str"/>
      <x:c r="O2848" t="str">
        <x:v>https://www.activesportstrade.co.uk/Whey-Protein-Supplements-Trade/per4m-nutrition-trade</x:v>
      </x:c>
      <x:c r="P2848" t="str">
        <x:v>NEW PRICE / NEW wording stripped; exact current flavour-level availability retained.</x:v>
      </x:c>
      <x:c r="Q2848" t="str"/>
      <x:c r="R2848" t="str"/>
      <x:c r="S2848" t="str">
        <x:v>Pending genuine supplier/brand image</x:v>
      </x:c>
      <x:c r="T2848" s="54"/>
      <x:c r="U2848" s="47" t="n">
        <x:v>0.2</x:v>
      </x:c>
      <x:c r="V2848" s="54" t="str">
        <x:f>IF(ISNUMBER(T2848),T2848*(1+U2848),"")</x:f>
      </x:c>
      <x:c r="W2848" s="47" t="n">
        <x:v>0.3</x:v>
      </x:c>
      <x:c r="X2848" s="54" t="str">
        <x:f>IF(ISNUMBER(V2848),V2848/(1-W2848),"")</x:f>
      </x:c>
      <x:c r="Y2848" s="55" t="str">
        <x:f>IF(ISNUMBER(X2848),ROUNDUP(X2848,0),"")</x:f>
      </x:c>
      <x:c r="Z2848" t="str">
        <x:f>IF(ISNUMBER(T2848),"Cost captured","Awaiting trade cost")</x:f>
        <x:v>Awaiting trade cost</x:v>
      </x:c>
      <x:c r="AB2848" s="36" t="str">
        <x:f>IF(ISNUMBER(Y2848),ROUND(Y2848*0.9,2),"")</x:f>
      </x:c>
      <x:c r="AC2848" s="36" t="str">
        <x:f>IF(ISNUMBER(AB2848),ROUND(AB2848-(AB2848*0.015+0.2)-V2848,2),"")</x:f>
      </x:c>
      <x:c r="AD2848" s="36" t="str">
        <x:f>IF(ISNUMBER(Y2848),ROUND(Y2848*0.8,2),"")</x:f>
      </x:c>
      <x:c r="AE2848" s="36" t="str">
        <x:f>IF(ISNUMBER(AD2848),ROUND(AD2848*0.015+0.2,2),"")</x:f>
      </x:c>
      <x:c r="AF2848" s="36" t="str">
        <x:f>IF(ISNUMBER(AD2848),ROUND(AD2848-AE2848-V2848,2),"")</x:f>
      </x:c>
      <x:c r="AG2848" t="str">
        <x:f>IF(NOT(ISNUMBER(T2848)),"PENDING",IF(AF2848&gt;0,"PASS","FAIL"))</x:f>
        <x:v>PENDING</x:v>
      </x:c>
      <x:c r="AH2848" t="str">
        <x:f>IF(NOT(ISNUMBER(T2848)),"Needs supplier cost",IF(K2848&lt;&gt;"In stock","Supplier unavailable",IF(AG2848&lt;&gt;"PASS","BLOCK - GT loss risk","Commercially protected")))</x:f>
        <x:v>Needs supplier cost</x:v>
      </x:c>
      <x:c r="AI2848" t="str">
        <x:v>2026-09-10 Active Sports trade capture</x:v>
      </x:c>
      <x:c r="AJ2848" t="str">
        <x:v>Management-only economics. Stripe stress test uses 1.5% + £0.20 standard UK online-card fee; pallet/mix-and-match pricing ignored.</x:v>
      </x:c>
    </x:row>
    <x:row r="2849">
      <x:c r="A2849" t="str">
        <x:v>Active Sports Nutrition</x:v>
      </x:c>
      <x:c r="B2849" t="str">
        <x:v>Per4m Nutrition</x:v>
      </x:c>
      <x:c r="C2849" t="str">
        <x:v>Whey Protein</x:v>
      </x:c>
      <x:c r="D2849" t="str">
        <x:v>Supplements</x:v>
      </x:c>
      <x:c r="E2849" t="str">
        <x:v>Whey Protein</x:v>
      </x:c>
      <x:c r="F2849" t="str"/>
      <x:c r="G2849" t="str">
        <x:v>900g</x:v>
      </x:c>
      <x:c r="H2849" t="str">
        <x:v>Neapolitan Ice Cream</x:v>
      </x:c>
      <x:c r="I2849" t="str"/>
      <x:c r="J2849" t="str">
        <x:v>Unit</x:v>
      </x:c>
      <x:c r="K2849" t="str">
        <x:v>In stock</x:v>
      </x:c>
      <x:c r="L2849" t="str">
        <x:v>2026-09-08</x:v>
      </x:c>
      <x:c r="M2849" t="str"/>
      <x:c r="N2849" t="str"/>
      <x:c r="O2849" t="str">
        <x:v>https://www.activesportstrade.co.uk/Whey-Protein-Supplements-Trade/per4m-nutrition-trade</x:v>
      </x:c>
      <x:c r="P2849" t="str">
        <x:v>NEW PRICE / NEW wording stripped; exact current flavour-level availability retained.</x:v>
      </x:c>
      <x:c r="Q2849" t="str"/>
      <x:c r="R2849" t="str"/>
      <x:c r="S2849" t="str">
        <x:v>Pending genuine supplier/brand image</x:v>
      </x:c>
      <x:c r="T2849" s="54"/>
      <x:c r="U2849" s="47" t="n">
        <x:v>0.2</x:v>
      </x:c>
      <x:c r="V2849" s="54" t="str">
        <x:f>IF(ISNUMBER(T2849),T2849*(1+U2849),"")</x:f>
      </x:c>
      <x:c r="W2849" s="47" t="n">
        <x:v>0.3</x:v>
      </x:c>
      <x:c r="X2849" s="54" t="str">
        <x:f>IF(ISNUMBER(V2849),V2849/(1-W2849),"")</x:f>
      </x:c>
      <x:c r="Y2849" s="55" t="str">
        <x:f>IF(ISNUMBER(X2849),ROUNDUP(X2849,0),"")</x:f>
      </x:c>
      <x:c r="Z2849" t="str">
        <x:f>IF(ISNUMBER(T2849),"Cost captured","Awaiting trade cost")</x:f>
        <x:v>Awaiting trade cost</x:v>
      </x:c>
      <x:c r="AB2849" s="36" t="str">
        <x:f>IF(ISNUMBER(Y2849),ROUND(Y2849*0.9,2),"")</x:f>
      </x:c>
      <x:c r="AC2849" s="36" t="str">
        <x:f>IF(ISNUMBER(AB2849),ROUND(AB2849-(AB2849*0.015+0.2)-V2849,2),"")</x:f>
      </x:c>
      <x:c r="AD2849" s="36" t="str">
        <x:f>IF(ISNUMBER(Y2849),ROUND(Y2849*0.8,2),"")</x:f>
      </x:c>
      <x:c r="AE2849" s="36" t="str">
        <x:f>IF(ISNUMBER(AD2849),ROUND(AD2849*0.015+0.2,2),"")</x:f>
      </x:c>
      <x:c r="AF2849" s="36" t="str">
        <x:f>IF(ISNUMBER(AD2849),ROUND(AD2849-AE2849-V2849,2),"")</x:f>
      </x:c>
      <x:c r="AG2849" t="str">
        <x:f>IF(NOT(ISNUMBER(T2849)),"PENDING",IF(AF2849&gt;0,"PASS","FAIL"))</x:f>
        <x:v>PENDING</x:v>
      </x:c>
      <x:c r="AH2849" t="str">
        <x:f>IF(NOT(ISNUMBER(T2849)),"Needs supplier cost",IF(K2849&lt;&gt;"In stock","Supplier unavailable",IF(AG2849&lt;&gt;"PASS","BLOCK - GT loss risk","Commercially protected")))</x:f>
        <x:v>Needs supplier cost</x:v>
      </x:c>
      <x:c r="AI2849" t="str">
        <x:v>2026-09-10 Active Sports trade capture</x:v>
      </x:c>
      <x:c r="AJ2849" t="str">
        <x:v>Management-only economics. Stripe stress test uses 1.5% + £0.20 standard UK online-card fee; pallet/mix-and-match pricing ignored.</x:v>
      </x:c>
    </x:row>
    <x:row r="2850">
      <x:c r="A2850" t="str">
        <x:v>Active Sports Nutrition</x:v>
      </x:c>
      <x:c r="B2850" t="str">
        <x:v>Per4m Nutrition</x:v>
      </x:c>
      <x:c r="C2850" t="str">
        <x:v>Whey Protein</x:v>
      </x:c>
      <x:c r="D2850" t="str">
        <x:v>Supplements</x:v>
      </x:c>
      <x:c r="E2850" t="str">
        <x:v>Whey Protein</x:v>
      </x:c>
      <x:c r="F2850" t="str"/>
      <x:c r="G2850" t="str">
        <x:v>900g</x:v>
      </x:c>
      <x:c r="H2850" t="str">
        <x:v>Peachy Cream</x:v>
      </x:c>
      <x:c r="I2850" t="str"/>
      <x:c r="J2850" t="str">
        <x:v>Unit</x:v>
      </x:c>
      <x:c r="K2850" t="str">
        <x:v>In stock</x:v>
      </x:c>
      <x:c r="L2850" t="str">
        <x:v>2026-09-08</x:v>
      </x:c>
      <x:c r="M2850" t="str"/>
      <x:c r="N2850" t="str"/>
      <x:c r="O2850" t="str">
        <x:v>https://www.activesportstrade.co.uk/Whey-Protein-Supplements-Trade/per4m-nutrition-trade</x:v>
      </x:c>
      <x:c r="P2850" t="str">
        <x:v>NEW PRICE / NEW wording stripped; exact current flavour-level availability retained.</x:v>
      </x:c>
      <x:c r="Q2850" t="str"/>
      <x:c r="R2850" t="str"/>
      <x:c r="S2850" t="str">
        <x:v>Pending genuine supplier/brand image</x:v>
      </x:c>
      <x:c r="T2850" s="54"/>
      <x:c r="U2850" s="47" t="n">
        <x:v>0.2</x:v>
      </x:c>
      <x:c r="V2850" s="54" t="str">
        <x:f>IF(ISNUMBER(T2850),T2850*(1+U2850),"")</x:f>
      </x:c>
      <x:c r="W2850" s="47" t="n">
        <x:v>0.3</x:v>
      </x:c>
      <x:c r="X2850" s="54" t="str">
        <x:f>IF(ISNUMBER(V2850),V2850/(1-W2850),"")</x:f>
      </x:c>
      <x:c r="Y2850" s="55" t="str">
        <x:f>IF(ISNUMBER(X2850),ROUNDUP(X2850,0),"")</x:f>
      </x:c>
      <x:c r="Z2850" t="str">
        <x:f>IF(ISNUMBER(T2850),"Cost captured","Awaiting trade cost")</x:f>
        <x:v>Awaiting trade cost</x:v>
      </x:c>
      <x:c r="AB2850" s="36" t="str">
        <x:f>IF(ISNUMBER(Y2850),ROUND(Y2850*0.9,2),"")</x:f>
      </x:c>
      <x:c r="AC2850" s="36" t="str">
        <x:f>IF(ISNUMBER(AB2850),ROUND(AB2850-(AB2850*0.015+0.2)-V2850,2),"")</x:f>
      </x:c>
      <x:c r="AD2850" s="36" t="str">
        <x:f>IF(ISNUMBER(Y2850),ROUND(Y2850*0.8,2),"")</x:f>
      </x:c>
      <x:c r="AE2850" s="36" t="str">
        <x:f>IF(ISNUMBER(AD2850),ROUND(AD2850*0.015+0.2,2),"")</x:f>
      </x:c>
      <x:c r="AF2850" s="36" t="str">
        <x:f>IF(ISNUMBER(AD2850),ROUND(AD2850-AE2850-V2850,2),"")</x:f>
      </x:c>
      <x:c r="AG2850" t="str">
        <x:f>IF(NOT(ISNUMBER(T2850)),"PENDING",IF(AF2850&gt;0,"PASS","FAIL"))</x:f>
        <x:v>PENDING</x:v>
      </x:c>
      <x:c r="AH2850" t="str">
        <x:f>IF(NOT(ISNUMBER(T2850)),"Needs supplier cost",IF(K2850&lt;&gt;"In stock","Supplier unavailable",IF(AG2850&lt;&gt;"PASS","BLOCK - GT loss risk","Commercially protected")))</x:f>
        <x:v>Needs supplier cost</x:v>
      </x:c>
      <x:c r="AI2850" t="str">
        <x:v>2026-09-10 Active Sports trade capture</x:v>
      </x:c>
      <x:c r="AJ2850" t="str">
        <x:v>Management-only economics. Stripe stress test uses 1.5% + £0.20 standard UK online-card fee; pallet/mix-and-match pricing ignored.</x:v>
      </x:c>
    </x:row>
    <x:row r="2851">
      <x:c r="A2851" t="str">
        <x:v>Active Sports Nutrition</x:v>
      </x:c>
      <x:c r="B2851" t="str">
        <x:v>Per4m Nutrition</x:v>
      </x:c>
      <x:c r="C2851" t="str">
        <x:v>Whey Protein</x:v>
      </x:c>
      <x:c r="D2851" t="str">
        <x:v>Supplements</x:v>
      </x:c>
      <x:c r="E2851" t="str">
        <x:v>Whey Protein</x:v>
      </x:c>
      <x:c r="F2851" t="str"/>
      <x:c r="G2851" t="str">
        <x:v>900g</x:v>
      </x:c>
      <x:c r="H2851" t="str">
        <x:v>Peanut Butter &amp; Jelly</x:v>
      </x:c>
      <x:c r="I2851" t="str"/>
      <x:c r="J2851" t="str">
        <x:v>Unit</x:v>
      </x:c>
      <x:c r="K2851" t="str">
        <x:v>In stock</x:v>
      </x:c>
      <x:c r="L2851" t="str">
        <x:v>2026-09-08</x:v>
      </x:c>
      <x:c r="M2851" t="str"/>
      <x:c r="N2851" t="str"/>
      <x:c r="O2851" t="str">
        <x:v>https://www.activesportstrade.co.uk/Whey-Protein-Supplements-Trade/per4m-nutrition-trade</x:v>
      </x:c>
      <x:c r="P2851" t="str">
        <x:v>NEW PRICE / NEW wording stripped; exact current flavour-level availability retained.</x:v>
      </x:c>
      <x:c r="Q2851" t="str"/>
      <x:c r="R2851" t="str"/>
      <x:c r="S2851" t="str">
        <x:v>Pending genuine supplier/brand image</x:v>
      </x:c>
      <x:c r="T2851" s="54"/>
      <x:c r="U2851" s="47" t="n">
        <x:v>0.2</x:v>
      </x:c>
      <x:c r="V2851" s="54" t="str">
        <x:f>IF(ISNUMBER(T2851),T2851*(1+U2851),"")</x:f>
      </x:c>
      <x:c r="W2851" s="47" t="n">
        <x:v>0.3</x:v>
      </x:c>
      <x:c r="X2851" s="54" t="str">
        <x:f>IF(ISNUMBER(V2851),V2851/(1-W2851),"")</x:f>
      </x:c>
      <x:c r="Y2851" s="55" t="str">
        <x:f>IF(ISNUMBER(X2851),ROUNDUP(X2851,0),"")</x:f>
      </x:c>
      <x:c r="Z2851" t="str">
        <x:f>IF(ISNUMBER(T2851),"Cost captured","Awaiting trade cost")</x:f>
        <x:v>Awaiting trade cost</x:v>
      </x:c>
      <x:c r="AB2851" s="36" t="str">
        <x:f>IF(ISNUMBER(Y2851),ROUND(Y2851*0.9,2),"")</x:f>
      </x:c>
      <x:c r="AC2851" s="36" t="str">
        <x:f>IF(ISNUMBER(AB2851),ROUND(AB2851-(AB2851*0.015+0.2)-V2851,2),"")</x:f>
      </x:c>
      <x:c r="AD2851" s="36" t="str">
        <x:f>IF(ISNUMBER(Y2851),ROUND(Y2851*0.8,2),"")</x:f>
      </x:c>
      <x:c r="AE2851" s="36" t="str">
        <x:f>IF(ISNUMBER(AD2851),ROUND(AD2851*0.015+0.2,2),"")</x:f>
      </x:c>
      <x:c r="AF2851" s="36" t="str">
        <x:f>IF(ISNUMBER(AD2851),ROUND(AD2851-AE2851-V2851,2),"")</x:f>
      </x:c>
      <x:c r="AG2851" t="str">
        <x:f>IF(NOT(ISNUMBER(T2851)),"PENDING",IF(AF2851&gt;0,"PASS","FAIL"))</x:f>
        <x:v>PENDING</x:v>
      </x:c>
      <x:c r="AH2851" t="str">
        <x:f>IF(NOT(ISNUMBER(T2851)),"Needs supplier cost",IF(K2851&lt;&gt;"In stock","Supplier unavailable",IF(AG2851&lt;&gt;"PASS","BLOCK - GT loss risk","Commercially protected")))</x:f>
        <x:v>Needs supplier cost</x:v>
      </x:c>
      <x:c r="AI2851" t="str">
        <x:v>2026-09-10 Active Sports trade capture</x:v>
      </x:c>
      <x:c r="AJ2851" t="str">
        <x:v>Management-only economics. Stripe stress test uses 1.5% + £0.20 standard UK online-card fee; pallet/mix-and-match pricing ignored.</x:v>
      </x:c>
    </x:row>
    <x:row r="2852">
      <x:c r="A2852" t="str">
        <x:v>Active Sports Nutrition</x:v>
      </x:c>
      <x:c r="B2852" t="str">
        <x:v>Per4m Nutrition</x:v>
      </x:c>
      <x:c r="C2852" t="str">
        <x:v>Whey Protein</x:v>
      </x:c>
      <x:c r="D2852" t="str">
        <x:v>Supplements</x:v>
      </x:c>
      <x:c r="E2852" t="str">
        <x:v>Whey Protein</x:v>
      </x:c>
      <x:c r="F2852" t="str"/>
      <x:c r="G2852" t="str">
        <x:v>900g</x:v>
      </x:c>
      <x:c r="H2852" t="str">
        <x:v>Pumpkin Spiced Latte</x:v>
      </x:c>
      <x:c r="I2852" t="str"/>
      <x:c r="J2852" t="str">
        <x:v>Unit</x:v>
      </x:c>
      <x:c r="K2852" t="str">
        <x:v>Out of stock</x:v>
      </x:c>
      <x:c r="L2852" t="str">
        <x:v>2026-09-08</x:v>
      </x:c>
      <x:c r="M2852" t="str"/>
      <x:c r="N2852" t="str"/>
      <x:c r="O2852" t="str">
        <x:v>https://www.activesportstrade.co.uk/Whey-Protein-Supplements-Trade/per4m-nutrition-trade</x:v>
      </x:c>
      <x:c r="P2852" t="str">
        <x:v>NEW PRICE / NEW wording stripped; exact current flavour-level availability retained.</x:v>
      </x:c>
      <x:c r="Q2852" t="str"/>
      <x:c r="R2852" t="str"/>
      <x:c r="S2852" t="str">
        <x:v>Pending genuine supplier/brand image</x:v>
      </x:c>
      <x:c r="T2852" s="54"/>
      <x:c r="U2852" s="47" t="n">
        <x:v>0.2</x:v>
      </x:c>
      <x:c r="V2852" s="54" t="str">
        <x:f>IF(ISNUMBER(T2852),T2852*(1+U2852),"")</x:f>
      </x:c>
      <x:c r="W2852" s="47" t="n">
        <x:v>0.3</x:v>
      </x:c>
      <x:c r="X2852" s="54" t="str">
        <x:f>IF(ISNUMBER(V2852),V2852/(1-W2852),"")</x:f>
      </x:c>
      <x:c r="Y2852" s="55" t="str">
        <x:f>IF(ISNUMBER(X2852),ROUNDUP(X2852,0),"")</x:f>
      </x:c>
      <x:c r="Z2852" t="str">
        <x:f>IF(ISNUMBER(T2852),"Cost captured","Awaiting trade cost")</x:f>
        <x:v>Awaiting trade cost</x:v>
      </x:c>
      <x:c r="AB2852" s="36" t="str">
        <x:f>IF(ISNUMBER(Y2852),ROUND(Y2852*0.9,2),"")</x:f>
      </x:c>
      <x:c r="AC2852" s="36" t="str">
        <x:f>IF(ISNUMBER(AB2852),ROUND(AB2852-(AB2852*0.015+0.2)-V2852,2),"")</x:f>
      </x:c>
      <x:c r="AD2852" s="36" t="str">
        <x:f>IF(ISNUMBER(Y2852),ROUND(Y2852*0.8,2),"")</x:f>
      </x:c>
      <x:c r="AE2852" s="36" t="str">
        <x:f>IF(ISNUMBER(AD2852),ROUND(AD2852*0.015+0.2,2),"")</x:f>
      </x:c>
      <x:c r="AF2852" s="36" t="str">
        <x:f>IF(ISNUMBER(AD2852),ROUND(AD2852-AE2852-V2852,2),"")</x:f>
      </x:c>
      <x:c r="AG2852" t="str">
        <x:f>IF(NOT(ISNUMBER(T2852)),"PENDING",IF(AF2852&gt;0,"PASS","FAIL"))</x:f>
        <x:v>PENDING</x:v>
      </x:c>
      <x:c r="AH2852" t="str">
        <x:f>IF(NOT(ISNUMBER(T2852)),"Needs supplier cost",IF(K2852&lt;&gt;"In stock","Supplier unavailable",IF(AG2852&lt;&gt;"PASS","BLOCK - GT loss risk","Commercially protected")))</x:f>
        <x:v>Needs supplier cost</x:v>
      </x:c>
      <x:c r="AI2852" t="str">
        <x:v>2026-09-10 Active Sports trade capture</x:v>
      </x:c>
      <x:c r="AJ2852" t="str">
        <x:v>Management-only economics. Stripe stress test uses 1.5% + £0.20 standard UK online-card fee; pallet/mix-and-match pricing ignored.</x:v>
      </x:c>
    </x:row>
    <x:row r="2853">
      <x:c r="A2853" t="str">
        <x:v>Active Sports Nutrition</x:v>
      </x:c>
      <x:c r="B2853" t="str">
        <x:v>Per4m Nutrition</x:v>
      </x:c>
      <x:c r="C2853" t="str">
        <x:v>Whey Protein Sachet</x:v>
      </x:c>
      <x:c r="D2853" t="str">
        <x:v>Supplements</x:v>
      </x:c>
      <x:c r="E2853" t="str">
        <x:v>Whey Protein</x:v>
      </x:c>
      <x:c r="F2853" t="str"/>
      <x:c r="G2853" t="str">
        <x:v>1 x 30g sachet</x:v>
      </x:c>
      <x:c r="H2853" t="str">
        <x:v>Chocolate Brownie Batter</x:v>
      </x:c>
      <x:c r="I2853" t="str"/>
      <x:c r="J2853" t="str">
        <x:v>Unit</x:v>
      </x:c>
      <x:c r="K2853" t="str">
        <x:v>Out of stock</x:v>
      </x:c>
      <x:c r="L2853" t="str">
        <x:v>2026-09-08</x:v>
      </x:c>
      <x:c r="M2853" t="str"/>
      <x:c r="N2853" t="str"/>
      <x:c r="O2853" t="str">
        <x:v>https://www.activesportstrade.co.uk/Whey-Protein-Supplements-Trade/per4m-nutrition-trade</x:v>
      </x:c>
      <x:c r="P2853" t="str">
        <x:v>Current standard sachet matrix completion; NEW PRICE/NEW stripped.</x:v>
      </x:c>
      <x:c r="Q2853" t="str"/>
      <x:c r="R2853" t="str"/>
      <x:c r="S2853" t="str">
        <x:v>Pending genuine supplier/brand image</x:v>
      </x:c>
      <x:c r="T2853" s="54" t="n">
        <x:v>1.25</x:v>
      </x:c>
      <x:c r="U2853" s="47" t="n">
        <x:v>0.2</x:v>
      </x:c>
      <x:c r="V2853" s="54" t="n">
        <x:f>IF(ISNUMBER(T2853),T2853*(1+U2853),"")</x:f>
        <x:v>1.5</x:v>
      </x:c>
      <x:c r="W2853" s="47" t="n">
        <x:v>0.3</x:v>
      </x:c>
      <x:c r="X2853" s="54" t="n">
        <x:f>IF(ISNUMBER(V2853),V2853/(1-W2853),"")</x:f>
        <x:v>2.142857142857143</x:v>
      </x:c>
      <x:c r="Y2853" s="55" t="n">
        <x:f>IF(ISNUMBER(X2853),ROUNDUP(X2853,0),"")</x:f>
        <x:v>3</x:v>
      </x:c>
      <x:c r="Z2853" t="str">
        <x:v>Source match pending</x:v>
      </x:c>
      <x:c r="AA2853" t="str">
        <x:v>screencapture-www-activesportstrade-co-uk-per4m-nutrition-trade-2026-09-10-09_06_42.pdf / page-09</x:v>
      </x:c>
      <x:c r="AB2853" s="36" t="n">
        <x:f>IF(ISNUMBER(Y2853),ROUND(Y2853*0.9,2),"")</x:f>
        <x:v>2.7</x:v>
      </x:c>
      <x:c r="AC2853" s="36" t="n">
        <x:f>IF(ISNUMBER(AB2853),ROUND(AB2853-(AB2853*0.015+0.2)-V2853,2),"")</x:f>
        <x:v>0.96</x:v>
      </x:c>
      <x:c r="AD2853" s="36" t="n">
        <x:f>IF(ISNUMBER(Y2853),ROUND(Y2853*0.8,2),"")</x:f>
        <x:v>2.4</x:v>
      </x:c>
      <x:c r="AE2853" s="36" t="n">
        <x:f>IF(ISNUMBER(AD2853),ROUND(AD2853*0.015+0.2,2),"")</x:f>
        <x:v>0.24</x:v>
      </x:c>
      <x:c r="AF2853" s="36" t="n">
        <x:f>IF(ISNUMBER(AD2853),ROUND(AD2853-AE2853-V2853,2),"")</x:f>
        <x:v>0.66</x:v>
      </x:c>
      <x:c r="AG2853" t="str">
        <x:f>IF(NOT(ISNUMBER(T2853)),"PENDING",IF(AF2853&gt;0,"PASS","FAIL"))</x:f>
        <x:v>PASS</x:v>
      </x:c>
      <x:c r="AH2853" t="str">
        <x:f>IF(NOT(ISNUMBER(T2853)),"Needs supplier cost",IF(K2853&lt;&gt;"In stock","Supplier unavailable",IF(AG2853&lt;&gt;"PASS","BLOCK - GT loss risk","Commercially protected")))</x:f>
        <x:v>Supplier unavailable</x:v>
      </x:c>
      <x:c r="AI2853" t="str">
        <x:v>2026-09-10 Active Sports trade capture</x:v>
      </x:c>
      <x:c r="AJ2853" t="str">
        <x:v>Management-only economics. Stripe stress test uses 1.5% + £0.20 standard UK online-card fee; pallet/mix-and-match pricing ignored.</x:v>
      </x:c>
    </x:row>
    <x:row r="2854">
      <x:c r="A2854" t="str">
        <x:v>Active Sports Nutrition</x:v>
      </x:c>
      <x:c r="B2854" t="str">
        <x:v>Per4m Nutrition</x:v>
      </x:c>
      <x:c r="C2854" t="str">
        <x:v>Whey Protein Sachet</x:v>
      </x:c>
      <x:c r="D2854" t="str">
        <x:v>Supplements</x:v>
      </x:c>
      <x:c r="E2854" t="str">
        <x:v>Whey Protein</x:v>
      </x:c>
      <x:c r="F2854" t="str"/>
      <x:c r="G2854" t="str">
        <x:v>1 x 30g sachet</x:v>
      </x:c>
      <x:c r="H2854" t="str">
        <x:v>Chocolate Mochaccino</x:v>
      </x:c>
      <x:c r="I2854" t="str"/>
      <x:c r="J2854" t="str">
        <x:v>Unit</x:v>
      </x:c>
      <x:c r="K2854" t="str">
        <x:v>In stock</x:v>
      </x:c>
      <x:c r="L2854" t="str">
        <x:v>2026-09-08</x:v>
      </x:c>
      <x:c r="M2854" t="str"/>
      <x:c r="N2854" t="str"/>
      <x:c r="O2854" t="str">
        <x:v>https://www.activesportstrade.co.uk/Whey-Protein-Supplements-Trade/per4m-nutrition-trade</x:v>
      </x:c>
      <x:c r="P2854" t="str">
        <x:v>Current standard sachet matrix completion; NEW PRICE/NEW stripped.</x:v>
      </x:c>
      <x:c r="Q2854" t="str"/>
      <x:c r="R2854" t="str"/>
      <x:c r="S2854" t="str">
        <x:v>Pending genuine supplier/brand image</x:v>
      </x:c>
      <x:c r="T2854" s="54" t="n">
        <x:v>1.25</x:v>
      </x:c>
      <x:c r="U2854" s="47" t="n">
        <x:v>0.2</x:v>
      </x:c>
      <x:c r="V2854" s="54" t="n">
        <x:f>IF(ISNUMBER(T2854),T2854*(1+U2854),"")</x:f>
        <x:v>1.5</x:v>
      </x:c>
      <x:c r="W2854" s="47" t="n">
        <x:v>0.3</x:v>
      </x:c>
      <x:c r="X2854" s="54" t="n">
        <x:f>IF(ISNUMBER(V2854),V2854/(1-W2854),"")</x:f>
        <x:v>2.142857142857143</x:v>
      </x:c>
      <x:c r="Y2854" s="55" t="n">
        <x:f>IF(ISNUMBER(X2854),ROUNDUP(X2854,0),"")</x:f>
        <x:v>3</x:v>
      </x:c>
      <x:c r="Z2854" t="str">
        <x:v>Source match pending</x:v>
      </x:c>
      <x:c r="AA2854" t="str">
        <x:v>screencapture-www-activesportstrade-co-uk-per4m-nutrition-trade-2026-09-10-09_06_42.pdf / page-09</x:v>
      </x:c>
      <x:c r="AB2854" s="36" t="n">
        <x:f>IF(ISNUMBER(Y2854),ROUND(Y2854*0.9,2),"")</x:f>
        <x:v>2.7</x:v>
      </x:c>
      <x:c r="AC2854" s="36" t="n">
        <x:f>IF(ISNUMBER(AB2854),ROUND(AB2854-(AB2854*0.015+0.2)-V2854,2),"")</x:f>
        <x:v>0.96</x:v>
      </x:c>
      <x:c r="AD2854" s="36" t="n">
        <x:f>IF(ISNUMBER(Y2854),ROUND(Y2854*0.8,2),"")</x:f>
        <x:v>2.4</x:v>
      </x:c>
      <x:c r="AE2854" s="36" t="n">
        <x:f>IF(ISNUMBER(AD2854),ROUND(AD2854*0.015+0.2,2),"")</x:f>
        <x:v>0.24</x:v>
      </x:c>
      <x:c r="AF2854" s="36" t="n">
        <x:f>IF(ISNUMBER(AD2854),ROUND(AD2854-AE2854-V2854,2),"")</x:f>
        <x:v>0.66</x:v>
      </x:c>
      <x:c r="AG2854" t="str">
        <x:f>IF(NOT(ISNUMBER(T2854)),"PENDING",IF(AF2854&gt;0,"PASS","FAIL"))</x:f>
        <x:v>PASS</x:v>
      </x:c>
      <x:c r="AH2854" t="str">
        <x:f>IF(NOT(ISNUMBER(T2854)),"Needs supplier cost",IF(K2854&lt;&gt;"In stock","Supplier unavailable",IF(AG2854&lt;&gt;"PASS","BLOCK - GT loss risk","Commercially protected")))</x:f>
        <x:v>Commercially protected</x:v>
      </x:c>
      <x:c r="AI2854" t="str">
        <x:v>2026-09-10 Active Sports trade capture</x:v>
      </x:c>
      <x:c r="AJ2854" t="str">
        <x:v>Management-only economics. Stripe stress test uses 1.5% + £0.20 standard UK online-card fee; pallet/mix-and-match pricing ignored.</x:v>
      </x:c>
    </x:row>
    <x:row r="2855">
      <x:c r="A2855" t="str">
        <x:v>Active Sports Nutrition</x:v>
      </x:c>
      <x:c r="B2855" t="str">
        <x:v>Per4m Nutrition</x:v>
      </x:c>
      <x:c r="C2855" t="str">
        <x:v>Whey Protein Sachet</x:v>
      </x:c>
      <x:c r="D2855" t="str">
        <x:v>Supplements</x:v>
      </x:c>
      <x:c r="E2855" t="str">
        <x:v>Whey Protein</x:v>
      </x:c>
      <x:c r="F2855" t="str"/>
      <x:c r="G2855" t="str">
        <x:v>1 x 30g sachet</x:v>
      </x:c>
      <x:c r="H2855" t="str">
        <x:v>Chocolate Orange</x:v>
      </x:c>
      <x:c r="I2855" t="str"/>
      <x:c r="J2855" t="str">
        <x:v>Unit</x:v>
      </x:c>
      <x:c r="K2855" t="str">
        <x:v>In stock</x:v>
      </x:c>
      <x:c r="L2855" t="str">
        <x:v>2026-09-08</x:v>
      </x:c>
      <x:c r="M2855" t="str"/>
      <x:c r="N2855" t="str"/>
      <x:c r="O2855" t="str">
        <x:v>https://www.activesportstrade.co.uk/Whey-Protein-Supplements-Trade/per4m-nutrition-trade</x:v>
      </x:c>
      <x:c r="P2855" t="str">
        <x:v>Current standard sachet matrix completion; NEW PRICE/NEW stripped.</x:v>
      </x:c>
      <x:c r="Q2855" t="str"/>
      <x:c r="R2855" t="str"/>
      <x:c r="S2855" t="str">
        <x:v>Pending genuine supplier/brand image</x:v>
      </x:c>
      <x:c r="T2855" s="54" t="n">
        <x:v>1.25</x:v>
      </x:c>
      <x:c r="U2855" s="47" t="n">
        <x:v>0.2</x:v>
      </x:c>
      <x:c r="V2855" s="54" t="n">
        <x:f>IF(ISNUMBER(T2855),T2855*(1+U2855),"")</x:f>
        <x:v>1.5</x:v>
      </x:c>
      <x:c r="W2855" s="47" t="n">
        <x:v>0.3</x:v>
      </x:c>
      <x:c r="X2855" s="54" t="n">
        <x:f>IF(ISNUMBER(V2855),V2855/(1-W2855),"")</x:f>
        <x:v>2.142857142857143</x:v>
      </x:c>
      <x:c r="Y2855" s="55" t="n">
        <x:f>IF(ISNUMBER(X2855),ROUNDUP(X2855,0),"")</x:f>
        <x:v>3</x:v>
      </x:c>
      <x:c r="Z2855" t="str">
        <x:v>Source match pending</x:v>
      </x:c>
      <x:c r="AA2855" t="str">
        <x:v>screencapture-www-activesportstrade-co-uk-per4m-nutrition-trade-2026-09-10-09_06_42.pdf / page-09</x:v>
      </x:c>
      <x:c r="AB2855" s="36" t="n">
        <x:f>IF(ISNUMBER(Y2855),ROUND(Y2855*0.9,2),"")</x:f>
        <x:v>2.7</x:v>
      </x:c>
      <x:c r="AC2855" s="36" t="n">
        <x:f>IF(ISNUMBER(AB2855),ROUND(AB2855-(AB2855*0.015+0.2)-V2855,2),"")</x:f>
        <x:v>0.96</x:v>
      </x:c>
      <x:c r="AD2855" s="36" t="n">
        <x:f>IF(ISNUMBER(Y2855),ROUND(Y2855*0.8,2),"")</x:f>
        <x:v>2.4</x:v>
      </x:c>
      <x:c r="AE2855" s="36" t="n">
        <x:f>IF(ISNUMBER(AD2855),ROUND(AD2855*0.015+0.2,2),"")</x:f>
        <x:v>0.24</x:v>
      </x:c>
      <x:c r="AF2855" s="36" t="n">
        <x:f>IF(ISNUMBER(AD2855),ROUND(AD2855-AE2855-V2855,2),"")</x:f>
        <x:v>0.66</x:v>
      </x:c>
      <x:c r="AG2855" t="str">
        <x:f>IF(NOT(ISNUMBER(T2855)),"PENDING",IF(AF2855&gt;0,"PASS","FAIL"))</x:f>
        <x:v>PASS</x:v>
      </x:c>
      <x:c r="AH2855" t="str">
        <x:f>IF(NOT(ISNUMBER(T2855)),"Needs supplier cost",IF(K2855&lt;&gt;"In stock","Supplier unavailable",IF(AG2855&lt;&gt;"PASS","BLOCK - GT loss risk","Commercially protected")))</x:f>
        <x:v>Commercially protected</x:v>
      </x:c>
      <x:c r="AI2855" t="str">
        <x:v>2026-09-10 Active Sports trade capture</x:v>
      </x:c>
      <x:c r="AJ2855" t="str">
        <x:v>Management-only economics. Stripe stress test uses 1.5% + £0.20 standard UK online-card fee; pallet/mix-and-match pricing ignored.</x:v>
      </x:c>
    </x:row>
    <x:row r="2856">
      <x:c r="A2856" t="str">
        <x:v>Active Sports Nutrition</x:v>
      </x:c>
      <x:c r="B2856" t="str">
        <x:v>Per4m Nutrition</x:v>
      </x:c>
      <x:c r="C2856" t="str">
        <x:v>Whey Protein Sachet</x:v>
      </x:c>
      <x:c r="D2856" t="str">
        <x:v>Supplements</x:v>
      </x:c>
      <x:c r="E2856" t="str">
        <x:v>Whey Protein</x:v>
      </x:c>
      <x:c r="F2856" t="str"/>
      <x:c r="G2856" t="str">
        <x:v>1 x 30g sachet</x:v>
      </x:c>
      <x:c r="H2856" t="str">
        <x:v>Chocolate Peanut Butter</x:v>
      </x:c>
      <x:c r="I2856" t="str"/>
      <x:c r="J2856" t="str">
        <x:v>Unit</x:v>
      </x:c>
      <x:c r="K2856" t="str">
        <x:v>In stock</x:v>
      </x:c>
      <x:c r="L2856" t="str">
        <x:v>2026-09-08</x:v>
      </x:c>
      <x:c r="M2856" t="str"/>
      <x:c r="N2856" t="str"/>
      <x:c r="O2856" t="str">
        <x:v>https://www.activesportstrade.co.uk/Whey-Protein-Supplements-Trade/per4m-nutrition-trade</x:v>
      </x:c>
      <x:c r="P2856" t="str">
        <x:v>Current standard sachet matrix completion; NEW PRICE/NEW stripped.</x:v>
      </x:c>
      <x:c r="Q2856" t="str"/>
      <x:c r="R2856" t="str"/>
      <x:c r="S2856" t="str">
        <x:v>Pending genuine supplier/brand image</x:v>
      </x:c>
      <x:c r="T2856" s="54" t="n">
        <x:v>1.25</x:v>
      </x:c>
      <x:c r="U2856" s="47" t="n">
        <x:v>0.2</x:v>
      </x:c>
      <x:c r="V2856" s="54" t="n">
        <x:f>IF(ISNUMBER(T2856),T2856*(1+U2856),"")</x:f>
        <x:v>1.5</x:v>
      </x:c>
      <x:c r="W2856" s="47" t="n">
        <x:v>0.3</x:v>
      </x:c>
      <x:c r="X2856" s="54" t="n">
        <x:f>IF(ISNUMBER(V2856),V2856/(1-W2856),"")</x:f>
        <x:v>2.142857142857143</x:v>
      </x:c>
      <x:c r="Y2856" s="55" t="n">
        <x:f>IF(ISNUMBER(X2856),ROUNDUP(X2856,0),"")</x:f>
        <x:v>3</x:v>
      </x:c>
      <x:c r="Z2856" t="str">
        <x:v>Source match pending</x:v>
      </x:c>
      <x:c r="AA2856" t="str">
        <x:v>screencapture-www-activesportstrade-co-uk-per4m-nutrition-trade-2026-09-10-09_06_42.pdf / page-09</x:v>
      </x:c>
      <x:c r="AB2856" s="36" t="n">
        <x:f>IF(ISNUMBER(Y2856),ROUND(Y2856*0.9,2),"")</x:f>
        <x:v>2.7</x:v>
      </x:c>
      <x:c r="AC2856" s="36" t="n">
        <x:f>IF(ISNUMBER(AB2856),ROUND(AB2856-(AB2856*0.015+0.2)-V2856,2),"")</x:f>
        <x:v>0.96</x:v>
      </x:c>
      <x:c r="AD2856" s="36" t="n">
        <x:f>IF(ISNUMBER(Y2856),ROUND(Y2856*0.8,2),"")</x:f>
        <x:v>2.4</x:v>
      </x:c>
      <x:c r="AE2856" s="36" t="n">
        <x:f>IF(ISNUMBER(AD2856),ROUND(AD2856*0.015+0.2,2),"")</x:f>
        <x:v>0.24</x:v>
      </x:c>
      <x:c r="AF2856" s="36" t="n">
        <x:f>IF(ISNUMBER(AD2856),ROUND(AD2856-AE2856-V2856,2),"")</x:f>
        <x:v>0.66</x:v>
      </x:c>
      <x:c r="AG2856" t="str">
        <x:f>IF(NOT(ISNUMBER(T2856)),"PENDING",IF(AF2856&gt;0,"PASS","FAIL"))</x:f>
        <x:v>PASS</x:v>
      </x:c>
      <x:c r="AH2856" t="str">
        <x:f>IF(NOT(ISNUMBER(T2856)),"Needs supplier cost",IF(K2856&lt;&gt;"In stock","Supplier unavailable",IF(AG2856&lt;&gt;"PASS","BLOCK - GT loss risk","Commercially protected")))</x:f>
        <x:v>Commercially protected</x:v>
      </x:c>
      <x:c r="AI2856" t="str">
        <x:v>2026-09-10 Active Sports trade capture</x:v>
      </x:c>
      <x:c r="AJ2856" t="str">
        <x:v>Management-only economics. Stripe stress test uses 1.5% + £0.20 standard UK online-card fee; pallet/mix-and-match pricing ignored.</x:v>
      </x:c>
    </x:row>
    <x:row r="2857">
      <x:c r="A2857" t="str">
        <x:v>Active Sports Nutrition</x:v>
      </x:c>
      <x:c r="B2857" t="str">
        <x:v>Per4m Nutrition</x:v>
      </x:c>
      <x:c r="C2857" t="str">
        <x:v>Whey Protein Sachet</x:v>
      </x:c>
      <x:c r="D2857" t="str">
        <x:v>Supplements</x:v>
      </x:c>
      <x:c r="E2857" t="str">
        <x:v>Whey Protein</x:v>
      </x:c>
      <x:c r="F2857" t="str"/>
      <x:c r="G2857" t="str">
        <x:v>1 x 30g sachet</x:v>
      </x:c>
      <x:c r="H2857" t="str">
        <x:v>Chocotella</x:v>
      </x:c>
      <x:c r="I2857" t="str"/>
      <x:c r="J2857" t="str">
        <x:v>Unit</x:v>
      </x:c>
      <x:c r="K2857" t="str">
        <x:v>In stock</x:v>
      </x:c>
      <x:c r="L2857" t="str">
        <x:v>2026-09-08</x:v>
      </x:c>
      <x:c r="M2857" t="str"/>
      <x:c r="N2857" t="str"/>
      <x:c r="O2857" t="str">
        <x:v>https://www.activesportstrade.co.uk/Whey-Protein-Supplements-Trade/per4m-nutrition-trade</x:v>
      </x:c>
      <x:c r="P2857" t="str">
        <x:v>Current standard sachet matrix completion; NEW PRICE/NEW stripped.</x:v>
      </x:c>
      <x:c r="Q2857" t="str"/>
      <x:c r="R2857" t="str"/>
      <x:c r="S2857" t="str">
        <x:v>Pending genuine supplier/brand image</x:v>
      </x:c>
      <x:c r="T2857" s="54" t="n">
        <x:v>1.25</x:v>
      </x:c>
      <x:c r="U2857" s="47" t="n">
        <x:v>0.2</x:v>
      </x:c>
      <x:c r="V2857" s="54" t="n">
        <x:f>IF(ISNUMBER(T2857),T2857*(1+U2857),"")</x:f>
        <x:v>1.5</x:v>
      </x:c>
      <x:c r="W2857" s="47" t="n">
        <x:v>0.3</x:v>
      </x:c>
      <x:c r="X2857" s="54" t="n">
        <x:f>IF(ISNUMBER(V2857),V2857/(1-W2857),"")</x:f>
        <x:v>2.142857142857143</x:v>
      </x:c>
      <x:c r="Y2857" s="55" t="n">
        <x:f>IF(ISNUMBER(X2857),ROUNDUP(X2857,0),"")</x:f>
        <x:v>3</x:v>
      </x:c>
      <x:c r="Z2857" t="str">
        <x:v>Source match pending</x:v>
      </x:c>
      <x:c r="AA2857" t="str">
        <x:v>screencapture-www-activesportstrade-co-uk-per4m-nutrition-trade-2026-09-10-09_06_42.pdf / page-09</x:v>
      </x:c>
      <x:c r="AB2857" s="36" t="n">
        <x:f>IF(ISNUMBER(Y2857),ROUND(Y2857*0.9,2),"")</x:f>
        <x:v>2.7</x:v>
      </x:c>
      <x:c r="AC2857" s="36" t="n">
        <x:f>IF(ISNUMBER(AB2857),ROUND(AB2857-(AB2857*0.015+0.2)-V2857,2),"")</x:f>
        <x:v>0.96</x:v>
      </x:c>
      <x:c r="AD2857" s="36" t="n">
        <x:f>IF(ISNUMBER(Y2857),ROUND(Y2857*0.8,2),"")</x:f>
        <x:v>2.4</x:v>
      </x:c>
      <x:c r="AE2857" s="36" t="n">
        <x:f>IF(ISNUMBER(AD2857),ROUND(AD2857*0.015+0.2,2),"")</x:f>
        <x:v>0.24</x:v>
      </x:c>
      <x:c r="AF2857" s="36" t="n">
        <x:f>IF(ISNUMBER(AD2857),ROUND(AD2857-AE2857-V2857,2),"")</x:f>
        <x:v>0.66</x:v>
      </x:c>
      <x:c r="AG2857" t="str">
        <x:f>IF(NOT(ISNUMBER(T2857)),"PENDING",IF(AF2857&gt;0,"PASS","FAIL"))</x:f>
        <x:v>PASS</x:v>
      </x:c>
      <x:c r="AH2857" t="str">
        <x:f>IF(NOT(ISNUMBER(T2857)),"Needs supplier cost",IF(K2857&lt;&gt;"In stock","Supplier unavailable",IF(AG2857&lt;&gt;"PASS","BLOCK - GT loss risk","Commercially protected")))</x:f>
        <x:v>Commercially protected</x:v>
      </x:c>
      <x:c r="AI2857" t="str">
        <x:v>2026-09-10 Active Sports trade capture</x:v>
      </x:c>
      <x:c r="AJ2857" t="str">
        <x:v>Management-only economics. Stripe stress test uses 1.5% + £0.20 standard UK online-card fee; pallet/mix-and-match pricing ignored.</x:v>
      </x:c>
    </x:row>
    <x:row r="2858">
      <x:c r="A2858" t="str">
        <x:v>Active Sports Nutrition</x:v>
      </x:c>
      <x:c r="B2858" t="str">
        <x:v>Per4m Nutrition</x:v>
      </x:c>
      <x:c r="C2858" t="str">
        <x:v>Whey Protein Sachet</x:v>
      </x:c>
      <x:c r="D2858" t="str">
        <x:v>Supplements</x:v>
      </x:c>
      <x:c r="E2858" t="str">
        <x:v>Whey Protein</x:v>
      </x:c>
      <x:c r="F2858" t="str"/>
      <x:c r="G2858" t="str">
        <x:v>1 x 30g sachet</x:v>
      </x:c>
      <x:c r="H2858" t="str">
        <x:v>Cinnamon Donut</x:v>
      </x:c>
      <x:c r="I2858" t="str"/>
      <x:c r="J2858" t="str">
        <x:v>Unit</x:v>
      </x:c>
      <x:c r="K2858" t="str">
        <x:v>Out of stock</x:v>
      </x:c>
      <x:c r="L2858" t="str">
        <x:v>2026-09-08</x:v>
      </x:c>
      <x:c r="M2858" t="str"/>
      <x:c r="N2858" t="str"/>
      <x:c r="O2858" t="str">
        <x:v>https://www.activesportstrade.co.uk/Whey-Protein-Supplements-Trade/per4m-nutrition-trade</x:v>
      </x:c>
      <x:c r="P2858" t="str">
        <x:v>Current standard sachet matrix completion; NEW PRICE/NEW stripped.</x:v>
      </x:c>
      <x:c r="Q2858" t="str"/>
      <x:c r="R2858" t="str"/>
      <x:c r="S2858" t="str">
        <x:v>Pending genuine supplier/brand image</x:v>
      </x:c>
      <x:c r="T2858" s="54" t="n">
        <x:v>1.25</x:v>
      </x:c>
      <x:c r="U2858" s="47" t="n">
        <x:v>0.2</x:v>
      </x:c>
      <x:c r="V2858" s="54" t="n">
        <x:f>IF(ISNUMBER(T2858),T2858*(1+U2858),"")</x:f>
        <x:v>1.5</x:v>
      </x:c>
      <x:c r="W2858" s="47" t="n">
        <x:v>0.3</x:v>
      </x:c>
      <x:c r="X2858" s="54" t="n">
        <x:f>IF(ISNUMBER(V2858),V2858/(1-W2858),"")</x:f>
        <x:v>2.142857142857143</x:v>
      </x:c>
      <x:c r="Y2858" s="55" t="n">
        <x:f>IF(ISNUMBER(X2858),ROUNDUP(X2858,0),"")</x:f>
        <x:v>3</x:v>
      </x:c>
      <x:c r="Z2858" t="str">
        <x:v>Source match pending</x:v>
      </x:c>
      <x:c r="AA2858" t="str">
        <x:v>screencapture-www-activesportstrade-co-uk-per4m-nutrition-trade-2026-09-10-09_06_42.pdf / page-09</x:v>
      </x:c>
      <x:c r="AB2858" s="36" t="n">
        <x:f>IF(ISNUMBER(Y2858),ROUND(Y2858*0.9,2),"")</x:f>
        <x:v>2.7</x:v>
      </x:c>
      <x:c r="AC2858" s="36" t="n">
        <x:f>IF(ISNUMBER(AB2858),ROUND(AB2858-(AB2858*0.015+0.2)-V2858,2),"")</x:f>
        <x:v>0.96</x:v>
      </x:c>
      <x:c r="AD2858" s="36" t="n">
        <x:f>IF(ISNUMBER(Y2858),ROUND(Y2858*0.8,2),"")</x:f>
        <x:v>2.4</x:v>
      </x:c>
      <x:c r="AE2858" s="36" t="n">
        <x:f>IF(ISNUMBER(AD2858),ROUND(AD2858*0.015+0.2,2),"")</x:f>
        <x:v>0.24</x:v>
      </x:c>
      <x:c r="AF2858" s="36" t="n">
        <x:f>IF(ISNUMBER(AD2858),ROUND(AD2858-AE2858-V2858,2),"")</x:f>
        <x:v>0.66</x:v>
      </x:c>
      <x:c r="AG2858" t="str">
        <x:f>IF(NOT(ISNUMBER(T2858)),"PENDING",IF(AF2858&gt;0,"PASS","FAIL"))</x:f>
        <x:v>PASS</x:v>
      </x:c>
      <x:c r="AH2858" t="str">
        <x:f>IF(NOT(ISNUMBER(T2858)),"Needs supplier cost",IF(K2858&lt;&gt;"In stock","Supplier unavailable",IF(AG2858&lt;&gt;"PASS","BLOCK - GT loss risk","Commercially protected")))</x:f>
        <x:v>Supplier unavailable</x:v>
      </x:c>
      <x:c r="AI2858" t="str">
        <x:v>2026-09-10 Active Sports trade capture</x:v>
      </x:c>
      <x:c r="AJ2858" t="str">
        <x:v>Management-only economics. Stripe stress test uses 1.5% + £0.20 standard UK online-card fee; pallet/mix-and-match pricing ignored.</x:v>
      </x:c>
    </x:row>
    <x:row r="2859">
      <x:c r="A2859" t="str">
        <x:v>Active Sports Nutrition</x:v>
      </x:c>
      <x:c r="B2859" t="str">
        <x:v>Per4m Nutrition</x:v>
      </x:c>
      <x:c r="C2859" t="str">
        <x:v>Whey Protein Sachet</x:v>
      </x:c>
      <x:c r="D2859" t="str">
        <x:v>Supplements</x:v>
      </x:c>
      <x:c r="E2859" t="str">
        <x:v>Whey Protein</x:v>
      </x:c>
      <x:c r="F2859" t="str"/>
      <x:c r="G2859" t="str">
        <x:v>1 x 30g sachet</x:v>
      </x:c>
      <x:c r="H2859" t="str">
        <x:v>Coconut Creme</x:v>
      </x:c>
      <x:c r="I2859" t="str"/>
      <x:c r="J2859" t="str">
        <x:v>Unit</x:v>
      </x:c>
      <x:c r="K2859" t="str">
        <x:v>In stock</x:v>
      </x:c>
      <x:c r="L2859" t="str">
        <x:v>2026-09-08</x:v>
      </x:c>
      <x:c r="M2859" t="str"/>
      <x:c r="N2859" t="str"/>
      <x:c r="O2859" t="str">
        <x:v>https://www.activesportstrade.co.uk/Whey-Protein-Supplements-Trade/per4m-nutrition-trade</x:v>
      </x:c>
      <x:c r="P2859" t="str">
        <x:v>Current standard sachet matrix completion; NEW PRICE/NEW stripped.</x:v>
      </x:c>
      <x:c r="Q2859" t="str"/>
      <x:c r="R2859" t="str"/>
      <x:c r="S2859" t="str">
        <x:v>Pending genuine supplier/brand image</x:v>
      </x:c>
      <x:c r="T2859" s="54" t="n">
        <x:v>1.25</x:v>
      </x:c>
      <x:c r="U2859" s="47" t="n">
        <x:v>0.2</x:v>
      </x:c>
      <x:c r="V2859" s="54" t="n">
        <x:f>IF(ISNUMBER(T2859),T2859*(1+U2859),"")</x:f>
        <x:v>1.5</x:v>
      </x:c>
      <x:c r="W2859" s="47" t="n">
        <x:v>0.3</x:v>
      </x:c>
      <x:c r="X2859" s="54" t="n">
        <x:f>IF(ISNUMBER(V2859),V2859/(1-W2859),"")</x:f>
        <x:v>2.142857142857143</x:v>
      </x:c>
      <x:c r="Y2859" s="55" t="n">
        <x:f>IF(ISNUMBER(X2859),ROUNDUP(X2859,0),"")</x:f>
        <x:v>3</x:v>
      </x:c>
      <x:c r="Z2859" t="str">
        <x:v>Source match pending</x:v>
      </x:c>
      <x:c r="AA2859" t="str">
        <x:v>screencapture-www-activesportstrade-co-uk-per4m-nutrition-trade-2026-09-10-09_06_42.pdf / page-09</x:v>
      </x:c>
      <x:c r="AB2859" s="36" t="n">
        <x:f>IF(ISNUMBER(Y2859),ROUND(Y2859*0.9,2),"")</x:f>
        <x:v>2.7</x:v>
      </x:c>
      <x:c r="AC2859" s="36" t="n">
        <x:f>IF(ISNUMBER(AB2859),ROUND(AB2859-(AB2859*0.015+0.2)-V2859,2),"")</x:f>
        <x:v>0.96</x:v>
      </x:c>
      <x:c r="AD2859" s="36" t="n">
        <x:f>IF(ISNUMBER(Y2859),ROUND(Y2859*0.8,2),"")</x:f>
        <x:v>2.4</x:v>
      </x:c>
      <x:c r="AE2859" s="36" t="n">
        <x:f>IF(ISNUMBER(AD2859),ROUND(AD2859*0.015+0.2,2),"")</x:f>
        <x:v>0.24</x:v>
      </x:c>
      <x:c r="AF2859" s="36" t="n">
        <x:f>IF(ISNUMBER(AD2859),ROUND(AD2859-AE2859-V2859,2),"")</x:f>
        <x:v>0.66</x:v>
      </x:c>
      <x:c r="AG2859" t="str">
        <x:f>IF(NOT(ISNUMBER(T2859)),"PENDING",IF(AF2859&gt;0,"PASS","FAIL"))</x:f>
        <x:v>PASS</x:v>
      </x:c>
      <x:c r="AH2859" t="str">
        <x:f>IF(NOT(ISNUMBER(T2859)),"Needs supplier cost",IF(K2859&lt;&gt;"In stock","Supplier unavailable",IF(AG2859&lt;&gt;"PASS","BLOCK - GT loss risk","Commercially protected")))</x:f>
        <x:v>Commercially protected</x:v>
      </x:c>
      <x:c r="AI2859" t="str">
        <x:v>2026-09-10 Active Sports trade capture</x:v>
      </x:c>
      <x:c r="AJ2859" t="str">
        <x:v>Management-only economics. Stripe stress test uses 1.5% + £0.20 standard UK online-card fee; pallet/mix-and-match pricing ignored.</x:v>
      </x:c>
    </x:row>
    <x:row r="2860">
      <x:c r="A2860" t="str">
        <x:v>Active Sports Nutrition</x:v>
      </x:c>
      <x:c r="B2860" t="str">
        <x:v>Per4m Nutrition</x:v>
      </x:c>
      <x:c r="C2860" t="str">
        <x:v>Whey Protein Sachet</x:v>
      </x:c>
      <x:c r="D2860" t="str">
        <x:v>Supplements</x:v>
      </x:c>
      <x:c r="E2860" t="str">
        <x:v>Whey Protein</x:v>
      </x:c>
      <x:c r="F2860" t="str"/>
      <x:c r="G2860" t="str">
        <x:v>1 x 30g sachet</x:v>
      </x:c>
      <x:c r="H2860" t="str">
        <x:v>Cookie Dough</x:v>
      </x:c>
      <x:c r="I2860" t="str"/>
      <x:c r="J2860" t="str">
        <x:v>Unit</x:v>
      </x:c>
      <x:c r="K2860" t="str">
        <x:v>Out of stock</x:v>
      </x:c>
      <x:c r="L2860" t="str">
        <x:v>2026-09-08</x:v>
      </x:c>
      <x:c r="M2860" t="str"/>
      <x:c r="N2860" t="str"/>
      <x:c r="O2860" t="str">
        <x:v>https://www.activesportstrade.co.uk/Whey-Protein-Supplements-Trade/per4m-nutrition-trade</x:v>
      </x:c>
      <x:c r="P2860" t="str">
        <x:v>Current standard sachet matrix completion; NEW PRICE/NEW stripped.</x:v>
      </x:c>
      <x:c r="Q2860" t="str"/>
      <x:c r="R2860" t="str"/>
      <x:c r="S2860" t="str">
        <x:v>Pending genuine supplier/brand image</x:v>
      </x:c>
      <x:c r="T2860" s="54" t="n">
        <x:v>1.25</x:v>
      </x:c>
      <x:c r="U2860" s="47" t="n">
        <x:v>0.2</x:v>
      </x:c>
      <x:c r="V2860" s="54" t="n">
        <x:f>IF(ISNUMBER(T2860),T2860*(1+U2860),"")</x:f>
        <x:v>1.5</x:v>
      </x:c>
      <x:c r="W2860" s="47" t="n">
        <x:v>0.3</x:v>
      </x:c>
      <x:c r="X2860" s="54" t="n">
        <x:f>IF(ISNUMBER(V2860),V2860/(1-W2860),"")</x:f>
        <x:v>2.142857142857143</x:v>
      </x:c>
      <x:c r="Y2860" s="55" t="n">
        <x:f>IF(ISNUMBER(X2860),ROUNDUP(X2860,0),"")</x:f>
        <x:v>3</x:v>
      </x:c>
      <x:c r="Z2860" t="str">
        <x:v>Source match pending</x:v>
      </x:c>
      <x:c r="AA2860" t="str">
        <x:v>screencapture-www-activesportstrade-co-uk-per4m-nutrition-trade-2026-09-10-09_06_42.pdf / page-09</x:v>
      </x:c>
      <x:c r="AB2860" s="36" t="n">
        <x:f>IF(ISNUMBER(Y2860),ROUND(Y2860*0.9,2),"")</x:f>
        <x:v>2.7</x:v>
      </x:c>
      <x:c r="AC2860" s="36" t="n">
        <x:f>IF(ISNUMBER(AB2860),ROUND(AB2860-(AB2860*0.015+0.2)-V2860,2),"")</x:f>
        <x:v>0.96</x:v>
      </x:c>
      <x:c r="AD2860" s="36" t="n">
        <x:f>IF(ISNUMBER(Y2860),ROUND(Y2860*0.8,2),"")</x:f>
        <x:v>2.4</x:v>
      </x:c>
      <x:c r="AE2860" s="36" t="n">
        <x:f>IF(ISNUMBER(AD2860),ROUND(AD2860*0.015+0.2,2),"")</x:f>
        <x:v>0.24</x:v>
      </x:c>
      <x:c r="AF2860" s="36" t="n">
        <x:f>IF(ISNUMBER(AD2860),ROUND(AD2860-AE2860-V2860,2),"")</x:f>
        <x:v>0.66</x:v>
      </x:c>
      <x:c r="AG2860" t="str">
        <x:f>IF(NOT(ISNUMBER(T2860)),"PENDING",IF(AF2860&gt;0,"PASS","FAIL"))</x:f>
        <x:v>PASS</x:v>
      </x:c>
      <x:c r="AH2860" t="str">
        <x:f>IF(NOT(ISNUMBER(T2860)),"Needs supplier cost",IF(K2860&lt;&gt;"In stock","Supplier unavailable",IF(AG2860&lt;&gt;"PASS","BLOCK - GT loss risk","Commercially protected")))</x:f>
        <x:v>Supplier unavailable</x:v>
      </x:c>
      <x:c r="AI2860" t="str">
        <x:v>2026-09-10 Active Sports trade capture</x:v>
      </x:c>
      <x:c r="AJ2860" t="str">
        <x:v>Management-only economics. Stripe stress test uses 1.5% + £0.20 standard UK online-card fee; pallet/mix-and-match pricing ignored.</x:v>
      </x:c>
    </x:row>
    <x:row r="2861">
      <x:c r="A2861" t="str">
        <x:v>Active Sports Nutrition</x:v>
      </x:c>
      <x:c r="B2861" t="str">
        <x:v>Per4m Nutrition</x:v>
      </x:c>
      <x:c r="C2861" t="str">
        <x:v>Whey Protein Sachet</x:v>
      </x:c>
      <x:c r="D2861" t="str">
        <x:v>Supplements</x:v>
      </x:c>
      <x:c r="E2861" t="str">
        <x:v>Whey Protein</x:v>
      </x:c>
      <x:c r="F2861" t="str"/>
      <x:c r="G2861" t="str">
        <x:v>1 x 30g sachet</x:v>
      </x:c>
      <x:c r="H2861" t="str">
        <x:v>Cookies &amp; Cream</x:v>
      </x:c>
      <x:c r="I2861" t="str"/>
      <x:c r="J2861" t="str">
        <x:v>Unit</x:v>
      </x:c>
      <x:c r="K2861" t="str">
        <x:v>In stock</x:v>
      </x:c>
      <x:c r="L2861" t="str">
        <x:v>2026-09-08</x:v>
      </x:c>
      <x:c r="M2861" t="str"/>
      <x:c r="N2861" t="str"/>
      <x:c r="O2861" t="str">
        <x:v>https://www.activesportstrade.co.uk/Whey-Protein-Supplements-Trade/per4m-nutrition-trade</x:v>
      </x:c>
      <x:c r="P2861" t="str">
        <x:v>Current standard sachet matrix completion; NEW PRICE/NEW stripped.</x:v>
      </x:c>
      <x:c r="Q2861" t="str"/>
      <x:c r="R2861" t="str"/>
      <x:c r="S2861" t="str">
        <x:v>Pending genuine supplier/brand image</x:v>
      </x:c>
      <x:c r="T2861" s="54" t="n">
        <x:v>1.25</x:v>
      </x:c>
      <x:c r="U2861" s="47" t="n">
        <x:v>0.2</x:v>
      </x:c>
      <x:c r="V2861" s="54" t="n">
        <x:f>IF(ISNUMBER(T2861),T2861*(1+U2861),"")</x:f>
        <x:v>1.5</x:v>
      </x:c>
      <x:c r="W2861" s="47" t="n">
        <x:v>0.3</x:v>
      </x:c>
      <x:c r="X2861" s="54" t="n">
        <x:f>IF(ISNUMBER(V2861),V2861/(1-W2861),"")</x:f>
        <x:v>2.142857142857143</x:v>
      </x:c>
      <x:c r="Y2861" s="55" t="n">
        <x:f>IF(ISNUMBER(X2861),ROUNDUP(X2861,0),"")</x:f>
        <x:v>3</x:v>
      </x:c>
      <x:c r="Z2861" t="str">
        <x:v>Source match pending</x:v>
      </x:c>
      <x:c r="AA2861" t="str">
        <x:v>screencapture-www-activesportstrade-co-uk-per4m-nutrition-trade-2026-09-10-09_06_42.pdf / page-09</x:v>
      </x:c>
      <x:c r="AB2861" s="36" t="n">
        <x:f>IF(ISNUMBER(Y2861),ROUND(Y2861*0.9,2),"")</x:f>
        <x:v>2.7</x:v>
      </x:c>
      <x:c r="AC2861" s="36" t="n">
        <x:f>IF(ISNUMBER(AB2861),ROUND(AB2861-(AB2861*0.015+0.2)-V2861,2),"")</x:f>
        <x:v>0.96</x:v>
      </x:c>
      <x:c r="AD2861" s="36" t="n">
        <x:f>IF(ISNUMBER(Y2861),ROUND(Y2861*0.8,2),"")</x:f>
        <x:v>2.4</x:v>
      </x:c>
      <x:c r="AE2861" s="36" t="n">
        <x:f>IF(ISNUMBER(AD2861),ROUND(AD2861*0.015+0.2,2),"")</x:f>
        <x:v>0.24</x:v>
      </x:c>
      <x:c r="AF2861" s="36" t="n">
        <x:f>IF(ISNUMBER(AD2861),ROUND(AD2861-AE2861-V2861,2),"")</x:f>
        <x:v>0.66</x:v>
      </x:c>
      <x:c r="AG2861" t="str">
        <x:f>IF(NOT(ISNUMBER(T2861)),"PENDING",IF(AF2861&gt;0,"PASS","FAIL"))</x:f>
        <x:v>PASS</x:v>
      </x:c>
      <x:c r="AH2861" t="str">
        <x:f>IF(NOT(ISNUMBER(T2861)),"Needs supplier cost",IF(K2861&lt;&gt;"In stock","Supplier unavailable",IF(AG2861&lt;&gt;"PASS","BLOCK - GT loss risk","Commercially protected")))</x:f>
        <x:v>Commercially protected</x:v>
      </x:c>
      <x:c r="AI2861" t="str">
        <x:v>2026-09-10 Active Sports trade capture</x:v>
      </x:c>
      <x:c r="AJ2861" t="str">
        <x:v>Management-only economics. Stripe stress test uses 1.5% + £0.20 standard UK online-card fee; pallet/mix-and-match pricing ignored.</x:v>
      </x:c>
    </x:row>
    <x:row r="2862">
      <x:c r="A2862" t="str">
        <x:v>Active Sports Nutrition</x:v>
      </x:c>
      <x:c r="B2862" t="str">
        <x:v>Per4m Nutrition</x:v>
      </x:c>
      <x:c r="C2862" t="str">
        <x:v>Whey Protein Sachet</x:v>
      </x:c>
      <x:c r="D2862" t="str">
        <x:v>Supplements</x:v>
      </x:c>
      <x:c r="E2862" t="str">
        <x:v>Whey Protein</x:v>
      </x:c>
      <x:c r="F2862" t="str"/>
      <x:c r="G2862" t="str">
        <x:v>1 x 30g sachet</x:v>
      </x:c>
      <x:c r="H2862" t="str">
        <x:v>Double Chocolate</x:v>
      </x:c>
      <x:c r="I2862" t="str"/>
      <x:c r="J2862" t="str">
        <x:v>Unit</x:v>
      </x:c>
      <x:c r="K2862" t="str">
        <x:v>In stock</x:v>
      </x:c>
      <x:c r="L2862" t="str">
        <x:v>2026-09-08</x:v>
      </x:c>
      <x:c r="M2862" t="str"/>
      <x:c r="N2862" t="str"/>
      <x:c r="O2862" t="str">
        <x:v>https://www.activesportstrade.co.uk/Whey-Protein-Supplements-Trade/per4m-nutrition-trade</x:v>
      </x:c>
      <x:c r="P2862" t="str">
        <x:v>Current standard sachet matrix completion; NEW PRICE/NEW stripped.</x:v>
      </x:c>
      <x:c r="Q2862" t="str"/>
      <x:c r="R2862" t="str"/>
      <x:c r="S2862" t="str">
        <x:v>Pending genuine supplier/brand image</x:v>
      </x:c>
      <x:c r="T2862" s="54" t="n">
        <x:v>1.25</x:v>
      </x:c>
      <x:c r="U2862" s="47" t="n">
        <x:v>0.2</x:v>
      </x:c>
      <x:c r="V2862" s="54" t="n">
        <x:f>IF(ISNUMBER(T2862),T2862*(1+U2862),"")</x:f>
        <x:v>1.5</x:v>
      </x:c>
      <x:c r="W2862" s="47" t="n">
        <x:v>0.3</x:v>
      </x:c>
      <x:c r="X2862" s="54" t="n">
        <x:f>IF(ISNUMBER(V2862),V2862/(1-W2862),"")</x:f>
        <x:v>2.142857142857143</x:v>
      </x:c>
      <x:c r="Y2862" s="55" t="n">
        <x:f>IF(ISNUMBER(X2862),ROUNDUP(X2862,0),"")</x:f>
        <x:v>3</x:v>
      </x:c>
      <x:c r="Z2862" t="str">
        <x:v>Source match pending</x:v>
      </x:c>
      <x:c r="AA2862" t="str">
        <x:v>screencapture-www-activesportstrade-co-uk-per4m-nutrition-trade-2026-09-10-09_06_42.pdf / page-09</x:v>
      </x:c>
      <x:c r="AB2862" s="36" t="n">
        <x:f>IF(ISNUMBER(Y2862),ROUND(Y2862*0.9,2),"")</x:f>
        <x:v>2.7</x:v>
      </x:c>
      <x:c r="AC2862" s="36" t="n">
        <x:f>IF(ISNUMBER(AB2862),ROUND(AB2862-(AB2862*0.015+0.2)-V2862,2),"")</x:f>
        <x:v>0.96</x:v>
      </x:c>
      <x:c r="AD2862" s="36" t="n">
        <x:f>IF(ISNUMBER(Y2862),ROUND(Y2862*0.8,2),"")</x:f>
        <x:v>2.4</x:v>
      </x:c>
      <x:c r="AE2862" s="36" t="n">
        <x:f>IF(ISNUMBER(AD2862),ROUND(AD2862*0.015+0.2,2),"")</x:f>
        <x:v>0.24</x:v>
      </x:c>
      <x:c r="AF2862" s="36" t="n">
        <x:f>IF(ISNUMBER(AD2862),ROUND(AD2862-AE2862-V2862,2),"")</x:f>
        <x:v>0.66</x:v>
      </x:c>
      <x:c r="AG2862" t="str">
        <x:f>IF(NOT(ISNUMBER(T2862)),"PENDING",IF(AF2862&gt;0,"PASS","FAIL"))</x:f>
        <x:v>PASS</x:v>
      </x:c>
      <x:c r="AH2862" t="str">
        <x:f>IF(NOT(ISNUMBER(T2862)),"Needs supplier cost",IF(K2862&lt;&gt;"In stock","Supplier unavailable",IF(AG2862&lt;&gt;"PASS","BLOCK - GT loss risk","Commercially protected")))</x:f>
        <x:v>Commercially protected</x:v>
      </x:c>
      <x:c r="AI2862" t="str">
        <x:v>2026-09-10 Active Sports trade capture</x:v>
      </x:c>
      <x:c r="AJ2862" t="str">
        <x:v>Management-only economics. Stripe stress test uses 1.5% + £0.20 standard UK online-card fee; pallet/mix-and-match pricing ignored.</x:v>
      </x:c>
    </x:row>
    <x:row r="2863">
      <x:c r="A2863" t="str">
        <x:v>Active Sports Nutrition</x:v>
      </x:c>
      <x:c r="B2863" t="str">
        <x:v>Per4m Nutrition</x:v>
      </x:c>
      <x:c r="C2863" t="str">
        <x:v>Whey Protein Sachet</x:v>
      </x:c>
      <x:c r="D2863" t="str">
        <x:v>Supplements</x:v>
      </x:c>
      <x:c r="E2863" t="str">
        <x:v>Whey Protein</x:v>
      </x:c>
      <x:c r="F2863" t="str"/>
      <x:c r="G2863" t="str">
        <x:v>1 x 30g sachet</x:v>
      </x:c>
      <x:c r="H2863" t="str">
        <x:v>Dubai Chocolate</x:v>
      </x:c>
      <x:c r="I2863" t="str"/>
      <x:c r="J2863" t="str">
        <x:v>Unit</x:v>
      </x:c>
      <x:c r="K2863" t="str">
        <x:v>In stock</x:v>
      </x:c>
      <x:c r="L2863" t="str">
        <x:v>2026-09-08</x:v>
      </x:c>
      <x:c r="M2863" t="str"/>
      <x:c r="N2863" t="str"/>
      <x:c r="O2863" t="str">
        <x:v>https://www.activesportstrade.co.uk/Whey-Protein-Supplements-Trade/per4m-nutrition-trade</x:v>
      </x:c>
      <x:c r="P2863" t="str">
        <x:v>Current standard sachet matrix completion; NEW PRICE/NEW stripped.</x:v>
      </x:c>
      <x:c r="Q2863" t="str"/>
      <x:c r="R2863" t="str"/>
      <x:c r="S2863" t="str">
        <x:v>Pending genuine supplier/brand image</x:v>
      </x:c>
      <x:c r="T2863" s="54" t="n">
        <x:v>1.25</x:v>
      </x:c>
      <x:c r="U2863" s="47" t="n">
        <x:v>0.2</x:v>
      </x:c>
      <x:c r="V2863" s="54" t="n">
        <x:f>IF(ISNUMBER(T2863),T2863*(1+U2863),"")</x:f>
        <x:v>1.5</x:v>
      </x:c>
      <x:c r="W2863" s="47" t="n">
        <x:v>0.3</x:v>
      </x:c>
      <x:c r="X2863" s="54" t="n">
        <x:f>IF(ISNUMBER(V2863),V2863/(1-W2863),"")</x:f>
        <x:v>2.142857142857143</x:v>
      </x:c>
      <x:c r="Y2863" s="55" t="n">
        <x:f>IF(ISNUMBER(X2863),ROUNDUP(X2863,0),"")</x:f>
        <x:v>3</x:v>
      </x:c>
      <x:c r="Z2863" t="str">
        <x:v>Source match pending</x:v>
      </x:c>
      <x:c r="AA2863" t="str">
        <x:v>screencapture-www-activesportstrade-co-uk-per4m-nutrition-trade-2026-09-10-09_06_42.pdf / page-09</x:v>
      </x:c>
      <x:c r="AB2863" s="36" t="n">
        <x:f>IF(ISNUMBER(Y2863),ROUND(Y2863*0.9,2),"")</x:f>
        <x:v>2.7</x:v>
      </x:c>
      <x:c r="AC2863" s="36" t="n">
        <x:f>IF(ISNUMBER(AB2863),ROUND(AB2863-(AB2863*0.015+0.2)-V2863,2),"")</x:f>
        <x:v>0.96</x:v>
      </x:c>
      <x:c r="AD2863" s="36" t="n">
        <x:f>IF(ISNUMBER(Y2863),ROUND(Y2863*0.8,2),"")</x:f>
        <x:v>2.4</x:v>
      </x:c>
      <x:c r="AE2863" s="36" t="n">
        <x:f>IF(ISNUMBER(AD2863),ROUND(AD2863*0.015+0.2,2),"")</x:f>
        <x:v>0.24</x:v>
      </x:c>
      <x:c r="AF2863" s="36" t="n">
        <x:f>IF(ISNUMBER(AD2863),ROUND(AD2863-AE2863-V2863,2),"")</x:f>
        <x:v>0.66</x:v>
      </x:c>
      <x:c r="AG2863" t="str">
        <x:f>IF(NOT(ISNUMBER(T2863)),"PENDING",IF(AF2863&gt;0,"PASS","FAIL"))</x:f>
        <x:v>PASS</x:v>
      </x:c>
      <x:c r="AH2863" t="str">
        <x:f>IF(NOT(ISNUMBER(T2863)),"Needs supplier cost",IF(K2863&lt;&gt;"In stock","Supplier unavailable",IF(AG2863&lt;&gt;"PASS","BLOCK - GT loss risk","Commercially protected")))</x:f>
        <x:v>Commercially protected</x:v>
      </x:c>
      <x:c r="AI2863" t="str">
        <x:v>2026-09-10 Active Sports trade capture</x:v>
      </x:c>
      <x:c r="AJ2863" t="str">
        <x:v>Management-only economics. Stripe stress test uses 1.5% + £0.20 standard UK online-card fee; pallet/mix-and-match pricing ignored.</x:v>
      </x:c>
    </x:row>
    <x:row r="2864">
      <x:c r="A2864" t="str">
        <x:v>Active Sports Nutrition</x:v>
      </x:c>
      <x:c r="B2864" t="str">
        <x:v>Per4m Nutrition</x:v>
      </x:c>
      <x:c r="C2864" t="str">
        <x:v>Whey Protein Sachet</x:v>
      </x:c>
      <x:c r="D2864" t="str">
        <x:v>Supplements</x:v>
      </x:c>
      <x:c r="E2864" t="str">
        <x:v>Whey Protein</x:v>
      </x:c>
      <x:c r="F2864" t="str"/>
      <x:c r="G2864" t="str">
        <x:v>1 x 30g sachet</x:v>
      </x:c>
      <x:c r="H2864" t="str">
        <x:v>Jammy Biscuit</x:v>
      </x:c>
      <x:c r="I2864" t="str"/>
      <x:c r="J2864" t="str">
        <x:v>Unit</x:v>
      </x:c>
      <x:c r="K2864" t="str">
        <x:v>Out of stock</x:v>
      </x:c>
      <x:c r="L2864" t="str">
        <x:v>2026-09-08</x:v>
      </x:c>
      <x:c r="M2864" t="str"/>
      <x:c r="N2864" t="str"/>
      <x:c r="O2864" t="str">
        <x:v>https://www.activesportstrade.co.uk/Whey-Protein-Supplements-Trade/per4m-nutrition-trade</x:v>
      </x:c>
      <x:c r="P2864" t="str">
        <x:v>Current standard sachet matrix completion; NEW PRICE/NEW stripped.</x:v>
      </x:c>
      <x:c r="Q2864" t="str"/>
      <x:c r="R2864" t="str"/>
      <x:c r="S2864" t="str">
        <x:v>Pending genuine supplier/brand image</x:v>
      </x:c>
      <x:c r="T2864" s="54" t="n">
        <x:v>1.25</x:v>
      </x:c>
      <x:c r="U2864" s="47" t="n">
        <x:v>0.2</x:v>
      </x:c>
      <x:c r="V2864" s="54" t="n">
        <x:f>IF(ISNUMBER(T2864),T2864*(1+U2864),"")</x:f>
        <x:v>1.5</x:v>
      </x:c>
      <x:c r="W2864" s="47" t="n">
        <x:v>0.3</x:v>
      </x:c>
      <x:c r="X2864" s="54" t="n">
        <x:f>IF(ISNUMBER(V2864),V2864/(1-W2864),"")</x:f>
        <x:v>2.142857142857143</x:v>
      </x:c>
      <x:c r="Y2864" s="55" t="n">
        <x:f>IF(ISNUMBER(X2864),ROUNDUP(X2864,0),"")</x:f>
        <x:v>3</x:v>
      </x:c>
      <x:c r="Z2864" t="str">
        <x:v>Source match pending</x:v>
      </x:c>
      <x:c r="AA2864" t="str">
        <x:v>screencapture-www-activesportstrade-co-uk-per4m-nutrition-trade-2026-09-10-09_06_42.pdf / page-09</x:v>
      </x:c>
      <x:c r="AB2864" s="36" t="n">
        <x:f>IF(ISNUMBER(Y2864),ROUND(Y2864*0.9,2),"")</x:f>
        <x:v>2.7</x:v>
      </x:c>
      <x:c r="AC2864" s="36" t="n">
        <x:f>IF(ISNUMBER(AB2864),ROUND(AB2864-(AB2864*0.015+0.2)-V2864,2),"")</x:f>
        <x:v>0.96</x:v>
      </x:c>
      <x:c r="AD2864" s="36" t="n">
        <x:f>IF(ISNUMBER(Y2864),ROUND(Y2864*0.8,2),"")</x:f>
        <x:v>2.4</x:v>
      </x:c>
      <x:c r="AE2864" s="36" t="n">
        <x:f>IF(ISNUMBER(AD2864),ROUND(AD2864*0.015+0.2,2),"")</x:f>
        <x:v>0.24</x:v>
      </x:c>
      <x:c r="AF2864" s="36" t="n">
        <x:f>IF(ISNUMBER(AD2864),ROUND(AD2864-AE2864-V2864,2),"")</x:f>
        <x:v>0.66</x:v>
      </x:c>
      <x:c r="AG2864" t="str">
        <x:f>IF(NOT(ISNUMBER(T2864)),"PENDING",IF(AF2864&gt;0,"PASS","FAIL"))</x:f>
        <x:v>PASS</x:v>
      </x:c>
      <x:c r="AH2864" t="str">
        <x:f>IF(NOT(ISNUMBER(T2864)),"Needs supplier cost",IF(K2864&lt;&gt;"In stock","Supplier unavailable",IF(AG2864&lt;&gt;"PASS","BLOCK - GT loss risk","Commercially protected")))</x:f>
        <x:v>Supplier unavailable</x:v>
      </x:c>
      <x:c r="AI2864" t="str">
        <x:v>2026-09-10 Active Sports trade capture</x:v>
      </x:c>
      <x:c r="AJ2864" t="str">
        <x:v>Management-only economics. Stripe stress test uses 1.5% + £0.20 standard UK online-card fee; pallet/mix-and-match pricing ignored.</x:v>
      </x:c>
    </x:row>
    <x:row r="2865">
      <x:c r="A2865" t="str">
        <x:v>Active Sports Nutrition</x:v>
      </x:c>
      <x:c r="B2865" t="str">
        <x:v>Per4m Nutrition</x:v>
      </x:c>
      <x:c r="C2865" t="str">
        <x:v>Whey Protein Sachet</x:v>
      </x:c>
      <x:c r="D2865" t="str">
        <x:v>Supplements</x:v>
      </x:c>
      <x:c r="E2865" t="str">
        <x:v>Whey Protein</x:v>
      </x:c>
      <x:c r="F2865" t="str"/>
      <x:c r="G2865" t="str">
        <x:v>1 x 30g sachet</x:v>
      </x:c>
      <x:c r="H2865" t="str">
        <x:v>Lemon Cheesecake</x:v>
      </x:c>
      <x:c r="I2865" t="str"/>
      <x:c r="J2865" t="str">
        <x:v>Unit</x:v>
      </x:c>
      <x:c r="K2865" t="str">
        <x:v>In stock</x:v>
      </x:c>
      <x:c r="L2865" t="str">
        <x:v>2026-09-08</x:v>
      </x:c>
      <x:c r="M2865" t="str"/>
      <x:c r="N2865" t="str"/>
      <x:c r="O2865" t="str">
        <x:v>https://www.activesportstrade.co.uk/Whey-Protein-Supplements-Trade/per4m-nutrition-trade</x:v>
      </x:c>
      <x:c r="P2865" t="str">
        <x:v>Current standard sachet matrix completion; NEW PRICE/NEW stripped.</x:v>
      </x:c>
      <x:c r="Q2865" t="str"/>
      <x:c r="R2865" t="str"/>
      <x:c r="S2865" t="str">
        <x:v>Pending genuine supplier/brand image</x:v>
      </x:c>
      <x:c r="T2865" s="54" t="n">
        <x:v>1.25</x:v>
      </x:c>
      <x:c r="U2865" s="47" t="n">
        <x:v>0.2</x:v>
      </x:c>
      <x:c r="V2865" s="54" t="n">
        <x:f>IF(ISNUMBER(T2865),T2865*(1+U2865),"")</x:f>
        <x:v>1.5</x:v>
      </x:c>
      <x:c r="W2865" s="47" t="n">
        <x:v>0.3</x:v>
      </x:c>
      <x:c r="X2865" s="54" t="n">
        <x:f>IF(ISNUMBER(V2865),V2865/(1-W2865),"")</x:f>
        <x:v>2.142857142857143</x:v>
      </x:c>
      <x:c r="Y2865" s="55" t="n">
        <x:f>IF(ISNUMBER(X2865),ROUNDUP(X2865,0),"")</x:f>
        <x:v>3</x:v>
      </x:c>
      <x:c r="Z2865" t="str">
        <x:v>Source match pending</x:v>
      </x:c>
      <x:c r="AA2865" t="str">
        <x:v>screencapture-www-activesportstrade-co-uk-per4m-nutrition-trade-2026-09-10-09_06_42.pdf / page-09</x:v>
      </x:c>
      <x:c r="AB2865" s="36" t="n">
        <x:f>IF(ISNUMBER(Y2865),ROUND(Y2865*0.9,2),"")</x:f>
        <x:v>2.7</x:v>
      </x:c>
      <x:c r="AC2865" s="36" t="n">
        <x:f>IF(ISNUMBER(AB2865),ROUND(AB2865-(AB2865*0.015+0.2)-V2865,2),"")</x:f>
        <x:v>0.96</x:v>
      </x:c>
      <x:c r="AD2865" s="36" t="n">
        <x:f>IF(ISNUMBER(Y2865),ROUND(Y2865*0.8,2),"")</x:f>
        <x:v>2.4</x:v>
      </x:c>
      <x:c r="AE2865" s="36" t="n">
        <x:f>IF(ISNUMBER(AD2865),ROUND(AD2865*0.015+0.2,2),"")</x:f>
        <x:v>0.24</x:v>
      </x:c>
      <x:c r="AF2865" s="36" t="n">
        <x:f>IF(ISNUMBER(AD2865),ROUND(AD2865-AE2865-V2865,2),"")</x:f>
        <x:v>0.66</x:v>
      </x:c>
      <x:c r="AG2865" t="str">
        <x:f>IF(NOT(ISNUMBER(T2865)),"PENDING",IF(AF2865&gt;0,"PASS","FAIL"))</x:f>
        <x:v>PASS</x:v>
      </x:c>
      <x:c r="AH2865" t="str">
        <x:f>IF(NOT(ISNUMBER(T2865)),"Needs supplier cost",IF(K2865&lt;&gt;"In stock","Supplier unavailable",IF(AG2865&lt;&gt;"PASS","BLOCK - GT loss risk","Commercially protected")))</x:f>
        <x:v>Commercially protected</x:v>
      </x:c>
      <x:c r="AI2865" t="str">
        <x:v>2026-09-10 Active Sports trade capture</x:v>
      </x:c>
      <x:c r="AJ2865" t="str">
        <x:v>Management-only economics. Stripe stress test uses 1.5% + £0.20 standard UK online-card fee; pallet/mix-and-match pricing ignored.</x:v>
      </x:c>
    </x:row>
    <x:row r="2866">
      <x:c r="A2866" t="str">
        <x:v>Active Sports Nutrition</x:v>
      </x:c>
      <x:c r="B2866" t="str">
        <x:v>Per4m Nutrition</x:v>
      </x:c>
      <x:c r="C2866" t="str">
        <x:v>Whey Protein Sachet</x:v>
      </x:c>
      <x:c r="D2866" t="str">
        <x:v>Supplements</x:v>
      </x:c>
      <x:c r="E2866" t="str">
        <x:v>Whey Protein</x:v>
      </x:c>
      <x:c r="F2866" t="str"/>
      <x:c r="G2866" t="str">
        <x:v>1 x 30g sachet</x:v>
      </x:c>
      <x:c r="H2866" t="str">
        <x:v>Minty Chocolate</x:v>
      </x:c>
      <x:c r="I2866" t="str"/>
      <x:c r="J2866" t="str">
        <x:v>Unit</x:v>
      </x:c>
      <x:c r="K2866" t="str">
        <x:v>In stock</x:v>
      </x:c>
      <x:c r="L2866" t="str">
        <x:v>2026-09-08</x:v>
      </x:c>
      <x:c r="M2866" t="str"/>
      <x:c r="N2866" t="str"/>
      <x:c r="O2866" t="str">
        <x:v>https://www.activesportstrade.co.uk/Whey-Protein-Supplements-Trade/per4m-nutrition-trade</x:v>
      </x:c>
      <x:c r="P2866" t="str">
        <x:v>Current standard sachet matrix completion; NEW PRICE/NEW stripped.</x:v>
      </x:c>
      <x:c r="Q2866" t="str"/>
      <x:c r="R2866" t="str"/>
      <x:c r="S2866" t="str">
        <x:v>Pending genuine supplier/brand image</x:v>
      </x:c>
      <x:c r="T2866" s="54" t="n">
        <x:v>1.25</x:v>
      </x:c>
      <x:c r="U2866" s="47" t="n">
        <x:v>0.2</x:v>
      </x:c>
      <x:c r="V2866" s="54" t="n">
        <x:f>IF(ISNUMBER(T2866),T2866*(1+U2866),"")</x:f>
        <x:v>1.5</x:v>
      </x:c>
      <x:c r="W2866" s="47" t="n">
        <x:v>0.3</x:v>
      </x:c>
      <x:c r="X2866" s="54" t="n">
        <x:f>IF(ISNUMBER(V2866),V2866/(1-W2866),"")</x:f>
        <x:v>2.142857142857143</x:v>
      </x:c>
      <x:c r="Y2866" s="55" t="n">
        <x:f>IF(ISNUMBER(X2866),ROUNDUP(X2866,0),"")</x:f>
        <x:v>3</x:v>
      </x:c>
      <x:c r="Z2866" t="str">
        <x:v>Source match pending</x:v>
      </x:c>
      <x:c r="AA2866" t="str">
        <x:v>screencapture-www-activesportstrade-co-uk-per4m-nutrition-trade-2026-09-10-09_06_42.pdf / page-09</x:v>
      </x:c>
      <x:c r="AB2866" s="36" t="n">
        <x:f>IF(ISNUMBER(Y2866),ROUND(Y2866*0.9,2),"")</x:f>
        <x:v>2.7</x:v>
      </x:c>
      <x:c r="AC2866" s="36" t="n">
        <x:f>IF(ISNUMBER(AB2866),ROUND(AB2866-(AB2866*0.015+0.2)-V2866,2),"")</x:f>
        <x:v>0.96</x:v>
      </x:c>
      <x:c r="AD2866" s="36" t="n">
        <x:f>IF(ISNUMBER(Y2866),ROUND(Y2866*0.8,2),"")</x:f>
        <x:v>2.4</x:v>
      </x:c>
      <x:c r="AE2866" s="36" t="n">
        <x:f>IF(ISNUMBER(AD2866),ROUND(AD2866*0.015+0.2,2),"")</x:f>
        <x:v>0.24</x:v>
      </x:c>
      <x:c r="AF2866" s="36" t="n">
        <x:f>IF(ISNUMBER(AD2866),ROUND(AD2866-AE2866-V2866,2),"")</x:f>
        <x:v>0.66</x:v>
      </x:c>
      <x:c r="AG2866" t="str">
        <x:f>IF(NOT(ISNUMBER(T2866)),"PENDING",IF(AF2866&gt;0,"PASS","FAIL"))</x:f>
        <x:v>PASS</x:v>
      </x:c>
      <x:c r="AH2866" t="str">
        <x:f>IF(NOT(ISNUMBER(T2866)),"Needs supplier cost",IF(K2866&lt;&gt;"In stock","Supplier unavailable",IF(AG2866&lt;&gt;"PASS","BLOCK - GT loss risk","Commercially protected")))</x:f>
        <x:v>Commercially protected</x:v>
      </x:c>
      <x:c r="AI2866" t="str">
        <x:v>2026-09-10 Active Sports trade capture</x:v>
      </x:c>
      <x:c r="AJ2866" t="str">
        <x:v>Management-only economics. Stripe stress test uses 1.5% + £0.20 standard UK online-card fee; pallet/mix-and-match pricing ignored.</x:v>
      </x:c>
    </x:row>
    <x:row r="2867">
      <x:c r="A2867" t="str">
        <x:v>Active Sports Nutrition</x:v>
      </x:c>
      <x:c r="B2867" t="str">
        <x:v>Per4m Nutrition</x:v>
      </x:c>
      <x:c r="C2867" t="str">
        <x:v>Whey Protein Sachet</x:v>
      </x:c>
      <x:c r="D2867" t="str">
        <x:v>Supplements</x:v>
      </x:c>
      <x:c r="E2867" t="str">
        <x:v>Whey Protein</x:v>
      </x:c>
      <x:c r="F2867" t="str"/>
      <x:c r="G2867" t="str">
        <x:v>1 x 30g sachet</x:v>
      </x:c>
      <x:c r="H2867" t="str">
        <x:v>Raspberry White Chocolate</x:v>
      </x:c>
      <x:c r="I2867" t="str"/>
      <x:c r="J2867" t="str">
        <x:v>Unit</x:v>
      </x:c>
      <x:c r="K2867" t="str">
        <x:v>Out of stock</x:v>
      </x:c>
      <x:c r="L2867" t="str">
        <x:v>2026-09-08</x:v>
      </x:c>
      <x:c r="M2867" t="str"/>
      <x:c r="N2867" t="str"/>
      <x:c r="O2867" t="str">
        <x:v>https://www.activesportstrade.co.uk/Whey-Protein-Supplements-Trade/per4m-nutrition-trade</x:v>
      </x:c>
      <x:c r="P2867" t="str">
        <x:v>Current standard sachet matrix completion; NEW PRICE/NEW stripped.</x:v>
      </x:c>
      <x:c r="Q2867" t="str"/>
      <x:c r="R2867" t="str"/>
      <x:c r="S2867" t="str">
        <x:v>Pending genuine supplier/brand image</x:v>
      </x:c>
      <x:c r="T2867" s="54" t="n">
        <x:v>1.25</x:v>
      </x:c>
      <x:c r="U2867" s="47" t="n">
        <x:v>0.2</x:v>
      </x:c>
      <x:c r="V2867" s="54" t="n">
        <x:f>IF(ISNUMBER(T2867),T2867*(1+U2867),"")</x:f>
        <x:v>1.5</x:v>
      </x:c>
      <x:c r="W2867" s="47" t="n">
        <x:v>0.3</x:v>
      </x:c>
      <x:c r="X2867" s="54" t="n">
        <x:f>IF(ISNUMBER(V2867),V2867/(1-W2867),"")</x:f>
        <x:v>2.142857142857143</x:v>
      </x:c>
      <x:c r="Y2867" s="55" t="n">
        <x:f>IF(ISNUMBER(X2867),ROUNDUP(X2867,0),"")</x:f>
        <x:v>3</x:v>
      </x:c>
      <x:c r="Z2867" t="str">
        <x:v>Source match pending</x:v>
      </x:c>
      <x:c r="AA2867" t="str">
        <x:v>screencapture-www-activesportstrade-co-uk-per4m-nutrition-trade-2026-09-10-09_06_42.pdf / page-09</x:v>
      </x:c>
      <x:c r="AB2867" s="36" t="n">
        <x:f>IF(ISNUMBER(Y2867),ROUND(Y2867*0.9,2),"")</x:f>
        <x:v>2.7</x:v>
      </x:c>
      <x:c r="AC2867" s="36" t="n">
        <x:f>IF(ISNUMBER(AB2867),ROUND(AB2867-(AB2867*0.015+0.2)-V2867,2),"")</x:f>
        <x:v>0.96</x:v>
      </x:c>
      <x:c r="AD2867" s="36" t="n">
        <x:f>IF(ISNUMBER(Y2867),ROUND(Y2867*0.8,2),"")</x:f>
        <x:v>2.4</x:v>
      </x:c>
      <x:c r="AE2867" s="36" t="n">
        <x:f>IF(ISNUMBER(AD2867),ROUND(AD2867*0.015+0.2,2),"")</x:f>
        <x:v>0.24</x:v>
      </x:c>
      <x:c r="AF2867" s="36" t="n">
        <x:f>IF(ISNUMBER(AD2867),ROUND(AD2867-AE2867-V2867,2),"")</x:f>
        <x:v>0.66</x:v>
      </x:c>
      <x:c r="AG2867" t="str">
        <x:f>IF(NOT(ISNUMBER(T2867)),"PENDING",IF(AF2867&gt;0,"PASS","FAIL"))</x:f>
        <x:v>PASS</x:v>
      </x:c>
      <x:c r="AH2867" t="str">
        <x:f>IF(NOT(ISNUMBER(T2867)),"Needs supplier cost",IF(K2867&lt;&gt;"In stock","Supplier unavailable",IF(AG2867&lt;&gt;"PASS","BLOCK - GT loss risk","Commercially protected")))</x:f>
        <x:v>Supplier unavailable</x:v>
      </x:c>
      <x:c r="AI2867" t="str">
        <x:v>2026-09-10 Active Sports trade capture</x:v>
      </x:c>
      <x:c r="AJ2867" t="str">
        <x:v>Management-only economics. Stripe stress test uses 1.5% + £0.20 standard UK online-card fee; pallet/mix-and-match pricing ignored.</x:v>
      </x:c>
    </x:row>
    <x:row r="2868">
      <x:c r="A2868" t="str">
        <x:v>Active Sports Nutrition</x:v>
      </x:c>
      <x:c r="B2868" t="str">
        <x:v>Per4m Nutrition</x:v>
      </x:c>
      <x:c r="C2868" t="str">
        <x:v>Whey Protein Sachet</x:v>
      </x:c>
      <x:c r="D2868" t="str">
        <x:v>Supplements</x:v>
      </x:c>
      <x:c r="E2868" t="str">
        <x:v>Whey Protein</x:v>
      </x:c>
      <x:c r="F2868" t="str"/>
      <x:c r="G2868" t="str">
        <x:v>1 x 30g sachet</x:v>
      </x:c>
      <x:c r="H2868" t="str">
        <x:v>Red Velvet Cake</x:v>
      </x:c>
      <x:c r="I2868" t="str"/>
      <x:c r="J2868" t="str">
        <x:v>Unit</x:v>
      </x:c>
      <x:c r="K2868" t="str">
        <x:v>Out of stock</x:v>
      </x:c>
      <x:c r="L2868" t="str">
        <x:v>2026-09-08</x:v>
      </x:c>
      <x:c r="M2868" t="str"/>
      <x:c r="N2868" t="str"/>
      <x:c r="O2868" t="str">
        <x:v>https://www.activesportstrade.co.uk/Whey-Protein-Supplements-Trade/per4m-nutrition-trade</x:v>
      </x:c>
      <x:c r="P2868" t="str">
        <x:v>Current standard sachet matrix completion; NEW PRICE/NEW stripped.</x:v>
      </x:c>
      <x:c r="Q2868" t="str"/>
      <x:c r="R2868" t="str"/>
      <x:c r="S2868" t="str">
        <x:v>Pending genuine supplier/brand image</x:v>
      </x:c>
      <x:c r="T2868" s="54" t="n">
        <x:v>1.25</x:v>
      </x:c>
      <x:c r="U2868" s="47" t="n">
        <x:v>0.2</x:v>
      </x:c>
      <x:c r="V2868" s="54" t="n">
        <x:f>IF(ISNUMBER(T2868),T2868*(1+U2868),"")</x:f>
        <x:v>1.5</x:v>
      </x:c>
      <x:c r="W2868" s="47" t="n">
        <x:v>0.3</x:v>
      </x:c>
      <x:c r="X2868" s="54" t="n">
        <x:f>IF(ISNUMBER(V2868),V2868/(1-W2868),"")</x:f>
        <x:v>2.142857142857143</x:v>
      </x:c>
      <x:c r="Y2868" s="55" t="n">
        <x:f>IF(ISNUMBER(X2868),ROUNDUP(X2868,0),"")</x:f>
        <x:v>3</x:v>
      </x:c>
      <x:c r="Z2868" t="str">
        <x:v>Source match pending</x:v>
      </x:c>
      <x:c r="AA2868" t="str">
        <x:v>screencapture-www-activesportstrade-co-uk-per4m-nutrition-trade-2026-09-10-09_06_42.pdf / page-09</x:v>
      </x:c>
      <x:c r="AB2868" s="36" t="n">
        <x:f>IF(ISNUMBER(Y2868),ROUND(Y2868*0.9,2),"")</x:f>
        <x:v>2.7</x:v>
      </x:c>
      <x:c r="AC2868" s="36" t="n">
        <x:f>IF(ISNUMBER(AB2868),ROUND(AB2868-(AB2868*0.015+0.2)-V2868,2),"")</x:f>
        <x:v>0.96</x:v>
      </x:c>
      <x:c r="AD2868" s="36" t="n">
        <x:f>IF(ISNUMBER(Y2868),ROUND(Y2868*0.8,2),"")</x:f>
        <x:v>2.4</x:v>
      </x:c>
      <x:c r="AE2868" s="36" t="n">
        <x:f>IF(ISNUMBER(AD2868),ROUND(AD2868*0.015+0.2,2),"")</x:f>
        <x:v>0.24</x:v>
      </x:c>
      <x:c r="AF2868" s="36" t="n">
        <x:f>IF(ISNUMBER(AD2868),ROUND(AD2868-AE2868-V2868,2),"")</x:f>
        <x:v>0.66</x:v>
      </x:c>
      <x:c r="AG2868" t="str">
        <x:f>IF(NOT(ISNUMBER(T2868)),"PENDING",IF(AF2868&gt;0,"PASS","FAIL"))</x:f>
        <x:v>PASS</x:v>
      </x:c>
      <x:c r="AH2868" t="str">
        <x:f>IF(NOT(ISNUMBER(T2868)),"Needs supplier cost",IF(K2868&lt;&gt;"In stock","Supplier unavailable",IF(AG2868&lt;&gt;"PASS","BLOCK - GT loss risk","Commercially protected")))</x:f>
        <x:v>Supplier unavailable</x:v>
      </x:c>
      <x:c r="AI2868" t="str">
        <x:v>2026-09-10 Active Sports trade capture</x:v>
      </x:c>
      <x:c r="AJ2868" t="str">
        <x:v>Management-only economics. Stripe stress test uses 1.5% + £0.20 standard UK online-card fee; pallet/mix-and-match pricing ignored.</x:v>
      </x:c>
    </x:row>
    <x:row r="2869">
      <x:c r="A2869" t="str">
        <x:v>Active Sports Nutrition</x:v>
      </x:c>
      <x:c r="B2869" t="str">
        <x:v>Per4m Nutrition</x:v>
      </x:c>
      <x:c r="C2869" t="str">
        <x:v>Whey Protein Sachet</x:v>
      </x:c>
      <x:c r="D2869" t="str">
        <x:v>Supplements</x:v>
      </x:c>
      <x:c r="E2869" t="str">
        <x:v>Whey Protein</x:v>
      </x:c>
      <x:c r="F2869" t="str"/>
      <x:c r="G2869" t="str">
        <x:v>1 x 30g sachet</x:v>
      </x:c>
      <x:c r="H2869" t="str">
        <x:v>Salted Caramel</x:v>
      </x:c>
      <x:c r="I2869" t="str"/>
      <x:c r="J2869" t="str">
        <x:v>Unit</x:v>
      </x:c>
      <x:c r="K2869" t="str">
        <x:v>In stock</x:v>
      </x:c>
      <x:c r="L2869" t="str">
        <x:v>2026-09-08</x:v>
      </x:c>
      <x:c r="M2869" t="str"/>
      <x:c r="N2869" t="str"/>
      <x:c r="O2869" t="str">
        <x:v>https://www.activesportstrade.co.uk/Whey-Protein-Supplements-Trade/per4m-nutrition-trade</x:v>
      </x:c>
      <x:c r="P2869" t="str">
        <x:v>Current standard sachet matrix completion; NEW PRICE/NEW stripped.</x:v>
      </x:c>
      <x:c r="Q2869" t="str"/>
      <x:c r="R2869" t="str"/>
      <x:c r="S2869" t="str">
        <x:v>Pending genuine supplier/brand image</x:v>
      </x:c>
      <x:c r="T2869" s="54" t="n">
        <x:v>1.25</x:v>
      </x:c>
      <x:c r="U2869" s="47" t="n">
        <x:v>0.2</x:v>
      </x:c>
      <x:c r="V2869" s="54" t="n">
        <x:f>IF(ISNUMBER(T2869),T2869*(1+U2869),"")</x:f>
        <x:v>1.5</x:v>
      </x:c>
      <x:c r="W2869" s="47" t="n">
        <x:v>0.3</x:v>
      </x:c>
      <x:c r="X2869" s="54" t="n">
        <x:f>IF(ISNUMBER(V2869),V2869/(1-W2869),"")</x:f>
        <x:v>2.142857142857143</x:v>
      </x:c>
      <x:c r="Y2869" s="55" t="n">
        <x:f>IF(ISNUMBER(X2869),ROUNDUP(X2869,0),"")</x:f>
        <x:v>3</x:v>
      </x:c>
      <x:c r="Z2869" t="str">
        <x:v>Source match pending</x:v>
      </x:c>
      <x:c r="AA2869" t="str">
        <x:v>screencapture-www-activesportstrade-co-uk-per4m-nutrition-trade-2026-09-10-09_06_42.pdf / page-09</x:v>
      </x:c>
      <x:c r="AB2869" s="36" t="n">
        <x:f>IF(ISNUMBER(Y2869),ROUND(Y2869*0.9,2),"")</x:f>
        <x:v>2.7</x:v>
      </x:c>
      <x:c r="AC2869" s="36" t="n">
        <x:f>IF(ISNUMBER(AB2869),ROUND(AB2869-(AB2869*0.015+0.2)-V2869,2),"")</x:f>
        <x:v>0.96</x:v>
      </x:c>
      <x:c r="AD2869" s="36" t="n">
        <x:f>IF(ISNUMBER(Y2869),ROUND(Y2869*0.8,2),"")</x:f>
        <x:v>2.4</x:v>
      </x:c>
      <x:c r="AE2869" s="36" t="n">
        <x:f>IF(ISNUMBER(AD2869),ROUND(AD2869*0.015+0.2,2),"")</x:f>
        <x:v>0.24</x:v>
      </x:c>
      <x:c r="AF2869" s="36" t="n">
        <x:f>IF(ISNUMBER(AD2869),ROUND(AD2869-AE2869-V2869,2),"")</x:f>
        <x:v>0.66</x:v>
      </x:c>
      <x:c r="AG2869" t="str">
        <x:f>IF(NOT(ISNUMBER(T2869)),"PENDING",IF(AF2869&gt;0,"PASS","FAIL"))</x:f>
        <x:v>PASS</x:v>
      </x:c>
      <x:c r="AH2869" t="str">
        <x:f>IF(NOT(ISNUMBER(T2869)),"Needs supplier cost",IF(K2869&lt;&gt;"In stock","Supplier unavailable",IF(AG2869&lt;&gt;"PASS","BLOCK - GT loss risk","Commercially protected")))</x:f>
        <x:v>Commercially protected</x:v>
      </x:c>
      <x:c r="AI2869" t="str">
        <x:v>2026-09-10 Active Sports trade capture</x:v>
      </x:c>
      <x:c r="AJ2869" t="str">
        <x:v>Management-only economics. Stripe stress test uses 1.5% + £0.20 standard UK online-card fee; pallet/mix-and-match pricing ignored.</x:v>
      </x:c>
    </x:row>
    <x:row r="2870">
      <x:c r="A2870" t="str">
        <x:v>Active Sports Nutrition</x:v>
      </x:c>
      <x:c r="B2870" t="str">
        <x:v>Per4m Nutrition</x:v>
      </x:c>
      <x:c r="C2870" t="str">
        <x:v>Whey Protein Sachet</x:v>
      </x:c>
      <x:c r="D2870" t="str">
        <x:v>Supplements</x:v>
      </x:c>
      <x:c r="E2870" t="str">
        <x:v>Whey Protein</x:v>
      </x:c>
      <x:c r="F2870" t="str"/>
      <x:c r="G2870" t="str">
        <x:v>1 x 30g sachet</x:v>
      </x:c>
      <x:c r="H2870" t="str">
        <x:v>Smores</x:v>
      </x:c>
      <x:c r="I2870" t="str"/>
      <x:c r="J2870" t="str">
        <x:v>Unit</x:v>
      </x:c>
      <x:c r="K2870" t="str">
        <x:v>In stock</x:v>
      </x:c>
      <x:c r="L2870" t="str">
        <x:v>2026-09-08</x:v>
      </x:c>
      <x:c r="M2870" t="str"/>
      <x:c r="N2870" t="str"/>
      <x:c r="O2870" t="str">
        <x:v>https://www.activesportstrade.co.uk/Whey-Protein-Supplements-Trade/per4m-nutrition-trade</x:v>
      </x:c>
      <x:c r="P2870" t="str">
        <x:v>Current standard sachet matrix completion; NEW PRICE/NEW stripped.</x:v>
      </x:c>
      <x:c r="Q2870" t="str"/>
      <x:c r="R2870" t="str"/>
      <x:c r="S2870" t="str">
        <x:v>Pending genuine supplier/brand image</x:v>
      </x:c>
      <x:c r="T2870" s="54" t="n">
        <x:v>1.25</x:v>
      </x:c>
      <x:c r="U2870" s="47" t="n">
        <x:v>0.2</x:v>
      </x:c>
      <x:c r="V2870" s="54" t="n">
        <x:f>IF(ISNUMBER(T2870),T2870*(1+U2870),"")</x:f>
        <x:v>1.5</x:v>
      </x:c>
      <x:c r="W2870" s="47" t="n">
        <x:v>0.3</x:v>
      </x:c>
      <x:c r="X2870" s="54" t="n">
        <x:f>IF(ISNUMBER(V2870),V2870/(1-W2870),"")</x:f>
        <x:v>2.142857142857143</x:v>
      </x:c>
      <x:c r="Y2870" s="55" t="n">
        <x:f>IF(ISNUMBER(X2870),ROUNDUP(X2870,0),"")</x:f>
        <x:v>3</x:v>
      </x:c>
      <x:c r="Z2870" t="str">
        <x:v>Source match pending</x:v>
      </x:c>
      <x:c r="AA2870" t="str">
        <x:v>screencapture-www-activesportstrade-co-uk-per4m-nutrition-trade-2026-09-10-09_06_42.pdf / page-09</x:v>
      </x:c>
      <x:c r="AB2870" s="36" t="n">
        <x:f>IF(ISNUMBER(Y2870),ROUND(Y2870*0.9,2),"")</x:f>
        <x:v>2.7</x:v>
      </x:c>
      <x:c r="AC2870" s="36" t="n">
        <x:f>IF(ISNUMBER(AB2870),ROUND(AB2870-(AB2870*0.015+0.2)-V2870,2),"")</x:f>
        <x:v>0.96</x:v>
      </x:c>
      <x:c r="AD2870" s="36" t="n">
        <x:f>IF(ISNUMBER(Y2870),ROUND(Y2870*0.8,2),"")</x:f>
        <x:v>2.4</x:v>
      </x:c>
      <x:c r="AE2870" s="36" t="n">
        <x:f>IF(ISNUMBER(AD2870),ROUND(AD2870*0.015+0.2,2),"")</x:f>
        <x:v>0.24</x:v>
      </x:c>
      <x:c r="AF2870" s="36" t="n">
        <x:f>IF(ISNUMBER(AD2870),ROUND(AD2870-AE2870-V2870,2),"")</x:f>
        <x:v>0.66</x:v>
      </x:c>
      <x:c r="AG2870" t="str">
        <x:f>IF(NOT(ISNUMBER(T2870)),"PENDING",IF(AF2870&gt;0,"PASS","FAIL"))</x:f>
        <x:v>PASS</x:v>
      </x:c>
      <x:c r="AH2870" t="str">
        <x:f>IF(NOT(ISNUMBER(T2870)),"Needs supplier cost",IF(K2870&lt;&gt;"In stock","Supplier unavailable",IF(AG2870&lt;&gt;"PASS","BLOCK - GT loss risk","Commercially protected")))</x:f>
        <x:v>Commercially protected</x:v>
      </x:c>
      <x:c r="AI2870" t="str">
        <x:v>2026-09-10 Active Sports trade capture</x:v>
      </x:c>
      <x:c r="AJ2870" t="str">
        <x:v>Management-only economics. Stripe stress test uses 1.5% + £0.20 standard UK online-card fee; pallet/mix-and-match pricing ignored.</x:v>
      </x:c>
    </x:row>
    <x:row r="2871">
      <x:c r="A2871" t="str">
        <x:v>Active Sports Nutrition</x:v>
      </x:c>
      <x:c r="B2871" t="str">
        <x:v>Per4m Nutrition</x:v>
      </x:c>
      <x:c r="C2871" t="str">
        <x:v>Whey Protein Sachet</x:v>
      </x:c>
      <x:c r="D2871" t="str">
        <x:v>Supplements</x:v>
      </x:c>
      <x:c r="E2871" t="str">
        <x:v>Whey Protein</x:v>
      </x:c>
      <x:c r="F2871" t="str"/>
      <x:c r="G2871" t="str">
        <x:v>1 x 30g sachet</x:v>
      </x:c>
      <x:c r="H2871" t="str">
        <x:v>Sticky Toffee Pudding</x:v>
      </x:c>
      <x:c r="I2871" t="str"/>
      <x:c r="J2871" t="str">
        <x:v>Unit</x:v>
      </x:c>
      <x:c r="K2871" t="str">
        <x:v>In stock</x:v>
      </x:c>
      <x:c r="L2871" t="str">
        <x:v>2026-09-08</x:v>
      </x:c>
      <x:c r="M2871" t="str"/>
      <x:c r="N2871" t="str"/>
      <x:c r="O2871" t="str">
        <x:v>https://www.activesportstrade.co.uk/Whey-Protein-Supplements-Trade/per4m-nutrition-trade</x:v>
      </x:c>
      <x:c r="P2871" t="str">
        <x:v>Current standard sachet matrix completion; NEW PRICE/NEW stripped.</x:v>
      </x:c>
      <x:c r="Q2871" t="str"/>
      <x:c r="R2871" t="str"/>
      <x:c r="S2871" t="str">
        <x:v>Pending genuine supplier/brand image</x:v>
      </x:c>
      <x:c r="T2871" s="54" t="n">
        <x:v>1.25</x:v>
      </x:c>
      <x:c r="U2871" s="47" t="n">
        <x:v>0.2</x:v>
      </x:c>
      <x:c r="V2871" s="54" t="n">
        <x:f>IF(ISNUMBER(T2871),T2871*(1+U2871),"")</x:f>
        <x:v>1.5</x:v>
      </x:c>
      <x:c r="W2871" s="47" t="n">
        <x:v>0.3</x:v>
      </x:c>
      <x:c r="X2871" s="54" t="n">
        <x:f>IF(ISNUMBER(V2871),V2871/(1-W2871),"")</x:f>
        <x:v>2.142857142857143</x:v>
      </x:c>
      <x:c r="Y2871" s="55" t="n">
        <x:f>IF(ISNUMBER(X2871),ROUNDUP(X2871,0),"")</x:f>
        <x:v>3</x:v>
      </x:c>
      <x:c r="Z2871" t="str">
        <x:v>Source match pending</x:v>
      </x:c>
      <x:c r="AA2871" t="str">
        <x:v>screencapture-www-activesportstrade-co-uk-per4m-nutrition-trade-2026-09-10-09_06_42.pdf / page-09</x:v>
      </x:c>
      <x:c r="AB2871" s="36" t="n">
        <x:f>IF(ISNUMBER(Y2871),ROUND(Y2871*0.9,2),"")</x:f>
        <x:v>2.7</x:v>
      </x:c>
      <x:c r="AC2871" s="36" t="n">
        <x:f>IF(ISNUMBER(AB2871),ROUND(AB2871-(AB2871*0.015+0.2)-V2871,2),"")</x:f>
        <x:v>0.96</x:v>
      </x:c>
      <x:c r="AD2871" s="36" t="n">
        <x:f>IF(ISNUMBER(Y2871),ROUND(Y2871*0.8,2),"")</x:f>
        <x:v>2.4</x:v>
      </x:c>
      <x:c r="AE2871" s="36" t="n">
        <x:f>IF(ISNUMBER(AD2871),ROUND(AD2871*0.015+0.2,2),"")</x:f>
        <x:v>0.24</x:v>
      </x:c>
      <x:c r="AF2871" s="36" t="n">
        <x:f>IF(ISNUMBER(AD2871),ROUND(AD2871-AE2871-V2871,2),"")</x:f>
        <x:v>0.66</x:v>
      </x:c>
      <x:c r="AG2871" t="str">
        <x:f>IF(NOT(ISNUMBER(T2871)),"PENDING",IF(AF2871&gt;0,"PASS","FAIL"))</x:f>
        <x:v>PASS</x:v>
      </x:c>
      <x:c r="AH2871" t="str">
        <x:f>IF(NOT(ISNUMBER(T2871)),"Needs supplier cost",IF(K2871&lt;&gt;"In stock","Supplier unavailable",IF(AG2871&lt;&gt;"PASS","BLOCK - GT loss risk","Commercially protected")))</x:f>
        <x:v>Commercially protected</x:v>
      </x:c>
      <x:c r="AI2871" t="str">
        <x:v>2026-09-10 Active Sports trade capture</x:v>
      </x:c>
      <x:c r="AJ2871" t="str">
        <x:v>Management-only economics. Stripe stress test uses 1.5% + £0.20 standard UK online-card fee; pallet/mix-and-match pricing ignored.</x:v>
      </x:c>
    </x:row>
    <x:row r="2872">
      <x:c r="A2872" t="str">
        <x:v>Active Sports Nutrition</x:v>
      </x:c>
      <x:c r="B2872" t="str">
        <x:v>Per4m Nutrition</x:v>
      </x:c>
      <x:c r="C2872" t="str">
        <x:v>Whey Protein Sachet</x:v>
      </x:c>
      <x:c r="D2872" t="str">
        <x:v>Supplements</x:v>
      </x:c>
      <x:c r="E2872" t="str">
        <x:v>Whey Protein</x:v>
      </x:c>
      <x:c r="F2872" t="str"/>
      <x:c r="G2872" t="str">
        <x:v>1 x 30g sachet</x:v>
      </x:c>
      <x:c r="H2872" t="str">
        <x:v>Strawberry Creme</x:v>
      </x:c>
      <x:c r="I2872" t="str"/>
      <x:c r="J2872" t="str">
        <x:v>Unit</x:v>
      </x:c>
      <x:c r="K2872" t="str">
        <x:v>In stock</x:v>
      </x:c>
      <x:c r="L2872" t="str">
        <x:v>2026-09-08</x:v>
      </x:c>
      <x:c r="M2872" t="str"/>
      <x:c r="N2872" t="str"/>
      <x:c r="O2872" t="str">
        <x:v>https://www.activesportstrade.co.uk/Whey-Protein-Supplements-Trade/per4m-nutrition-trade</x:v>
      </x:c>
      <x:c r="P2872" t="str">
        <x:v>Current standard sachet matrix completion; NEW PRICE/NEW stripped.</x:v>
      </x:c>
      <x:c r="Q2872" t="str"/>
      <x:c r="R2872" t="str"/>
      <x:c r="S2872" t="str">
        <x:v>Pending genuine supplier/brand image</x:v>
      </x:c>
      <x:c r="T2872" s="54" t="n">
        <x:v>1.25</x:v>
      </x:c>
      <x:c r="U2872" s="47" t="n">
        <x:v>0.2</x:v>
      </x:c>
      <x:c r="V2872" s="54" t="n">
        <x:f>IF(ISNUMBER(T2872),T2872*(1+U2872),"")</x:f>
        <x:v>1.5</x:v>
      </x:c>
      <x:c r="W2872" s="47" t="n">
        <x:v>0.3</x:v>
      </x:c>
      <x:c r="X2872" s="54" t="n">
        <x:f>IF(ISNUMBER(V2872),V2872/(1-W2872),"")</x:f>
        <x:v>2.142857142857143</x:v>
      </x:c>
      <x:c r="Y2872" s="55" t="n">
        <x:f>IF(ISNUMBER(X2872),ROUNDUP(X2872,0),"")</x:f>
        <x:v>3</x:v>
      </x:c>
      <x:c r="Z2872" t="str">
        <x:v>Source match pending</x:v>
      </x:c>
      <x:c r="AA2872" t="str">
        <x:v>screencapture-www-activesportstrade-co-uk-per4m-nutrition-trade-2026-09-10-09_06_42.pdf / page-09</x:v>
      </x:c>
      <x:c r="AB2872" s="36" t="n">
        <x:f>IF(ISNUMBER(Y2872),ROUND(Y2872*0.9,2),"")</x:f>
        <x:v>2.7</x:v>
      </x:c>
      <x:c r="AC2872" s="36" t="n">
        <x:f>IF(ISNUMBER(AB2872),ROUND(AB2872-(AB2872*0.015+0.2)-V2872,2),"")</x:f>
        <x:v>0.96</x:v>
      </x:c>
      <x:c r="AD2872" s="36" t="n">
        <x:f>IF(ISNUMBER(Y2872),ROUND(Y2872*0.8,2),"")</x:f>
        <x:v>2.4</x:v>
      </x:c>
      <x:c r="AE2872" s="36" t="n">
        <x:f>IF(ISNUMBER(AD2872),ROUND(AD2872*0.015+0.2,2),"")</x:f>
        <x:v>0.24</x:v>
      </x:c>
      <x:c r="AF2872" s="36" t="n">
        <x:f>IF(ISNUMBER(AD2872),ROUND(AD2872-AE2872-V2872,2),"")</x:f>
        <x:v>0.66</x:v>
      </x:c>
      <x:c r="AG2872" t="str">
        <x:f>IF(NOT(ISNUMBER(T2872)),"PENDING",IF(AF2872&gt;0,"PASS","FAIL"))</x:f>
        <x:v>PASS</x:v>
      </x:c>
      <x:c r="AH2872" t="str">
        <x:f>IF(NOT(ISNUMBER(T2872)),"Needs supplier cost",IF(K2872&lt;&gt;"In stock","Supplier unavailable",IF(AG2872&lt;&gt;"PASS","BLOCK - GT loss risk","Commercially protected")))</x:f>
        <x:v>Commercially protected</x:v>
      </x:c>
      <x:c r="AI2872" t="str">
        <x:v>2026-09-10 Active Sports trade capture</x:v>
      </x:c>
      <x:c r="AJ2872" t="str">
        <x:v>Management-only economics. Stripe stress test uses 1.5% + £0.20 standard UK online-card fee; pallet/mix-and-match pricing ignored.</x:v>
      </x:c>
    </x:row>
    <x:row r="2873">
      <x:c r="A2873" t="str">
        <x:v>Active Sports Nutrition</x:v>
      </x:c>
      <x:c r="B2873" t="str">
        <x:v>Per4m Nutrition</x:v>
      </x:c>
      <x:c r="C2873" t="str">
        <x:v>Whey Protein Sachet</x:v>
      </x:c>
      <x:c r="D2873" t="str">
        <x:v>Supplements</x:v>
      </x:c>
      <x:c r="E2873" t="str">
        <x:v>Whey Protein</x:v>
      </x:c>
      <x:c r="F2873" t="str"/>
      <x:c r="G2873" t="str">
        <x:v>1 x 30g sachet</x:v>
      </x:c>
      <x:c r="H2873" t="str">
        <x:v>Sweet &amp; Salty Popcorn</x:v>
      </x:c>
      <x:c r="I2873" t="str"/>
      <x:c r="J2873" t="str">
        <x:v>Unit</x:v>
      </x:c>
      <x:c r="K2873" t="str">
        <x:v>In stock</x:v>
      </x:c>
      <x:c r="L2873" t="str">
        <x:v>2026-09-08</x:v>
      </x:c>
      <x:c r="M2873" t="str"/>
      <x:c r="N2873" t="str"/>
      <x:c r="O2873" t="str">
        <x:v>https://www.activesportstrade.co.uk/Whey-Protein-Supplements-Trade/per4m-nutrition-trade</x:v>
      </x:c>
      <x:c r="P2873" t="str">
        <x:v>Current standard sachet matrix completion; NEW PRICE/NEW stripped.</x:v>
      </x:c>
      <x:c r="Q2873" t="str"/>
      <x:c r="R2873" t="str"/>
      <x:c r="S2873" t="str">
        <x:v>Pending genuine supplier/brand image</x:v>
      </x:c>
      <x:c r="T2873" s="54" t="n">
        <x:v>1.25</x:v>
      </x:c>
      <x:c r="U2873" s="47" t="n">
        <x:v>0.2</x:v>
      </x:c>
      <x:c r="V2873" s="54" t="n">
        <x:f>IF(ISNUMBER(T2873),T2873*(1+U2873),"")</x:f>
        <x:v>1.5</x:v>
      </x:c>
      <x:c r="W2873" s="47" t="n">
        <x:v>0.3</x:v>
      </x:c>
      <x:c r="X2873" s="54" t="n">
        <x:f>IF(ISNUMBER(V2873),V2873/(1-W2873),"")</x:f>
        <x:v>2.142857142857143</x:v>
      </x:c>
      <x:c r="Y2873" s="55" t="n">
        <x:f>IF(ISNUMBER(X2873),ROUNDUP(X2873,0),"")</x:f>
        <x:v>3</x:v>
      </x:c>
      <x:c r="Z2873" t="str">
        <x:v>Source match pending</x:v>
      </x:c>
      <x:c r="AA2873" t="str">
        <x:v>screencapture-www-activesportstrade-co-uk-per4m-nutrition-trade-2026-09-10-09_06_42.pdf / page-09</x:v>
      </x:c>
      <x:c r="AB2873" s="36" t="n">
        <x:f>IF(ISNUMBER(Y2873),ROUND(Y2873*0.9,2),"")</x:f>
        <x:v>2.7</x:v>
      </x:c>
      <x:c r="AC2873" s="36" t="n">
        <x:f>IF(ISNUMBER(AB2873),ROUND(AB2873-(AB2873*0.015+0.2)-V2873,2),"")</x:f>
        <x:v>0.96</x:v>
      </x:c>
      <x:c r="AD2873" s="36" t="n">
        <x:f>IF(ISNUMBER(Y2873),ROUND(Y2873*0.8,2),"")</x:f>
        <x:v>2.4</x:v>
      </x:c>
      <x:c r="AE2873" s="36" t="n">
        <x:f>IF(ISNUMBER(AD2873),ROUND(AD2873*0.015+0.2,2),"")</x:f>
        <x:v>0.24</x:v>
      </x:c>
      <x:c r="AF2873" s="36" t="n">
        <x:f>IF(ISNUMBER(AD2873),ROUND(AD2873-AE2873-V2873,2),"")</x:f>
        <x:v>0.66</x:v>
      </x:c>
      <x:c r="AG2873" t="str">
        <x:f>IF(NOT(ISNUMBER(T2873)),"PENDING",IF(AF2873&gt;0,"PASS","FAIL"))</x:f>
        <x:v>PASS</x:v>
      </x:c>
      <x:c r="AH2873" t="str">
        <x:f>IF(NOT(ISNUMBER(T2873)),"Needs supplier cost",IF(K2873&lt;&gt;"In stock","Supplier unavailable",IF(AG2873&lt;&gt;"PASS","BLOCK - GT loss risk","Commercially protected")))</x:f>
        <x:v>Commercially protected</x:v>
      </x:c>
      <x:c r="AI2873" t="str">
        <x:v>2026-09-10 Active Sports trade capture</x:v>
      </x:c>
      <x:c r="AJ2873" t="str">
        <x:v>Management-only economics. Stripe stress test uses 1.5% + £0.20 standard UK online-card fee; pallet/mix-and-match pricing ignored.</x:v>
      </x:c>
    </x:row>
    <x:row r="2874">
      <x:c r="A2874" t="str">
        <x:v>Active Sports Nutrition</x:v>
      </x:c>
      <x:c r="B2874" t="str">
        <x:v>Per4m Nutrition</x:v>
      </x:c>
      <x:c r="C2874" t="str">
        <x:v>Whey Protein Sachet</x:v>
      </x:c>
      <x:c r="D2874" t="str">
        <x:v>Supplements</x:v>
      </x:c>
      <x:c r="E2874" t="str">
        <x:v>Whey Protein</x:v>
      </x:c>
      <x:c r="F2874" t="str"/>
      <x:c r="G2874" t="str">
        <x:v>1 x 30g sachet</x:v>
      </x:c>
      <x:c r="H2874" t="str">
        <x:v>Vanilla Creme</x:v>
      </x:c>
      <x:c r="I2874" t="str"/>
      <x:c r="J2874" t="str">
        <x:v>Unit</x:v>
      </x:c>
      <x:c r="K2874" t="str">
        <x:v>In stock</x:v>
      </x:c>
      <x:c r="L2874" t="str">
        <x:v>2026-09-08</x:v>
      </x:c>
      <x:c r="M2874" t="str"/>
      <x:c r="N2874" t="str"/>
      <x:c r="O2874" t="str">
        <x:v>https://www.activesportstrade.co.uk/Whey-Protein-Supplements-Trade/per4m-nutrition-trade</x:v>
      </x:c>
      <x:c r="P2874" t="str">
        <x:v>Current standard sachet matrix completion; NEW PRICE/NEW stripped.</x:v>
      </x:c>
      <x:c r="Q2874" t="str"/>
      <x:c r="R2874" t="str"/>
      <x:c r="S2874" t="str">
        <x:v>Pending genuine supplier/brand image</x:v>
      </x:c>
      <x:c r="T2874" s="54" t="n">
        <x:v>1.25</x:v>
      </x:c>
      <x:c r="U2874" s="47" t="n">
        <x:v>0.2</x:v>
      </x:c>
      <x:c r="V2874" s="54" t="n">
        <x:f>IF(ISNUMBER(T2874),T2874*(1+U2874),"")</x:f>
        <x:v>1.5</x:v>
      </x:c>
      <x:c r="W2874" s="47" t="n">
        <x:v>0.3</x:v>
      </x:c>
      <x:c r="X2874" s="54" t="n">
        <x:f>IF(ISNUMBER(V2874),V2874/(1-W2874),"")</x:f>
        <x:v>2.142857142857143</x:v>
      </x:c>
      <x:c r="Y2874" s="55" t="n">
        <x:f>IF(ISNUMBER(X2874),ROUNDUP(X2874,0),"")</x:f>
        <x:v>3</x:v>
      </x:c>
      <x:c r="Z2874" t="str">
        <x:v>Source match pending</x:v>
      </x:c>
      <x:c r="AA2874" t="str">
        <x:v>screencapture-www-activesportstrade-co-uk-per4m-nutrition-trade-2026-09-10-09_06_42.pdf / page-09</x:v>
      </x:c>
      <x:c r="AB2874" s="36" t="n">
        <x:f>IF(ISNUMBER(Y2874),ROUND(Y2874*0.9,2),"")</x:f>
        <x:v>2.7</x:v>
      </x:c>
      <x:c r="AC2874" s="36" t="n">
        <x:f>IF(ISNUMBER(AB2874),ROUND(AB2874-(AB2874*0.015+0.2)-V2874,2),"")</x:f>
        <x:v>0.96</x:v>
      </x:c>
      <x:c r="AD2874" s="36" t="n">
        <x:f>IF(ISNUMBER(Y2874),ROUND(Y2874*0.8,2),"")</x:f>
        <x:v>2.4</x:v>
      </x:c>
      <x:c r="AE2874" s="36" t="n">
        <x:f>IF(ISNUMBER(AD2874),ROUND(AD2874*0.015+0.2,2),"")</x:f>
        <x:v>0.24</x:v>
      </x:c>
      <x:c r="AF2874" s="36" t="n">
        <x:f>IF(ISNUMBER(AD2874),ROUND(AD2874-AE2874-V2874,2),"")</x:f>
        <x:v>0.66</x:v>
      </x:c>
      <x:c r="AG2874" t="str">
        <x:f>IF(NOT(ISNUMBER(T2874)),"PENDING",IF(AF2874&gt;0,"PASS","FAIL"))</x:f>
        <x:v>PASS</x:v>
      </x:c>
      <x:c r="AH2874" t="str">
        <x:f>IF(NOT(ISNUMBER(T2874)),"Needs supplier cost",IF(K2874&lt;&gt;"In stock","Supplier unavailable",IF(AG2874&lt;&gt;"PASS","BLOCK - GT loss risk","Commercially protected")))</x:f>
        <x:v>Commercially protected</x:v>
      </x:c>
      <x:c r="AI2874" t="str">
        <x:v>2026-09-10 Active Sports trade capture</x:v>
      </x:c>
      <x:c r="AJ2874" t="str">
        <x:v>Management-only economics. Stripe stress test uses 1.5% + £0.20 standard UK online-card fee; pallet/mix-and-match pricing ignored.</x:v>
      </x:c>
    </x:row>
    <x:row r="2875">
      <x:c r="A2875" t="str">
        <x:v>Active Sports Nutrition</x:v>
      </x:c>
      <x:c r="B2875" t="str">
        <x:v>Per4m Nutrition</x:v>
      </x:c>
      <x:c r="C2875" t="str">
        <x:v>Whey Protein Sachet</x:v>
      </x:c>
      <x:c r="D2875" t="str">
        <x:v>Supplements</x:v>
      </x:c>
      <x:c r="E2875" t="str">
        <x:v>Whey Protein</x:v>
      </x:c>
      <x:c r="F2875" t="str"/>
      <x:c r="G2875" t="str">
        <x:v>1 x 30g sachet</x:v>
      </x:c>
      <x:c r="H2875" t="str">
        <x:v>White Chocolate</x:v>
      </x:c>
      <x:c r="I2875" t="str"/>
      <x:c r="J2875" t="str">
        <x:v>Unit</x:v>
      </x:c>
      <x:c r="K2875" t="str">
        <x:v>Out of stock</x:v>
      </x:c>
      <x:c r="L2875" t="str">
        <x:v>2026-09-08</x:v>
      </x:c>
      <x:c r="M2875" t="str"/>
      <x:c r="N2875" t="str"/>
      <x:c r="O2875" t="str">
        <x:v>https://www.activesportstrade.co.uk/Whey-Protein-Supplements-Trade/per4m-nutrition-trade</x:v>
      </x:c>
      <x:c r="P2875" t="str">
        <x:v>Current standard sachet matrix completion; NEW PRICE/NEW stripped.</x:v>
      </x:c>
      <x:c r="Q2875" t="str"/>
      <x:c r="R2875" t="str"/>
      <x:c r="S2875" t="str">
        <x:v>Pending genuine supplier/brand image</x:v>
      </x:c>
      <x:c r="T2875" s="54" t="n">
        <x:v>1.25</x:v>
      </x:c>
      <x:c r="U2875" s="47" t="n">
        <x:v>0.2</x:v>
      </x:c>
      <x:c r="V2875" s="54" t="n">
        <x:f>IF(ISNUMBER(T2875),T2875*(1+U2875),"")</x:f>
        <x:v>1.5</x:v>
      </x:c>
      <x:c r="W2875" s="47" t="n">
        <x:v>0.3</x:v>
      </x:c>
      <x:c r="X2875" s="54" t="n">
        <x:f>IF(ISNUMBER(V2875),V2875/(1-W2875),"")</x:f>
        <x:v>2.142857142857143</x:v>
      </x:c>
      <x:c r="Y2875" s="55" t="n">
        <x:f>IF(ISNUMBER(X2875),ROUNDUP(X2875,0),"")</x:f>
        <x:v>3</x:v>
      </x:c>
      <x:c r="Z2875" t="str">
        <x:v>Source match pending</x:v>
      </x:c>
      <x:c r="AA2875" t="str">
        <x:v>screencapture-www-activesportstrade-co-uk-per4m-nutrition-trade-2026-09-10-09_06_42.pdf / page-09</x:v>
      </x:c>
      <x:c r="AB2875" s="36" t="n">
        <x:f>IF(ISNUMBER(Y2875),ROUND(Y2875*0.9,2),"")</x:f>
        <x:v>2.7</x:v>
      </x:c>
      <x:c r="AC2875" s="36" t="n">
        <x:f>IF(ISNUMBER(AB2875),ROUND(AB2875-(AB2875*0.015+0.2)-V2875,2),"")</x:f>
        <x:v>0.96</x:v>
      </x:c>
      <x:c r="AD2875" s="36" t="n">
        <x:f>IF(ISNUMBER(Y2875),ROUND(Y2875*0.8,2),"")</x:f>
        <x:v>2.4</x:v>
      </x:c>
      <x:c r="AE2875" s="36" t="n">
        <x:f>IF(ISNUMBER(AD2875),ROUND(AD2875*0.015+0.2,2),"")</x:f>
        <x:v>0.24</x:v>
      </x:c>
      <x:c r="AF2875" s="36" t="n">
        <x:f>IF(ISNUMBER(AD2875),ROUND(AD2875-AE2875-V2875,2),"")</x:f>
        <x:v>0.66</x:v>
      </x:c>
      <x:c r="AG2875" t="str">
        <x:f>IF(NOT(ISNUMBER(T2875)),"PENDING",IF(AF2875&gt;0,"PASS","FAIL"))</x:f>
        <x:v>PASS</x:v>
      </x:c>
      <x:c r="AH2875" t="str">
        <x:f>IF(NOT(ISNUMBER(T2875)),"Needs supplier cost",IF(K2875&lt;&gt;"In stock","Supplier unavailable",IF(AG2875&lt;&gt;"PASS","BLOCK - GT loss risk","Commercially protected")))</x:f>
        <x:v>Supplier unavailable</x:v>
      </x:c>
      <x:c r="AI2875" t="str">
        <x:v>2026-09-10 Active Sports trade capture</x:v>
      </x:c>
      <x:c r="AJ2875" t="str">
        <x:v>Management-only economics. Stripe stress test uses 1.5% + £0.20 standard UK online-card fee; pallet/mix-and-match pricing ignored.</x:v>
      </x:c>
    </x:row>
    <x:row r="2876">
      <x:c r="A2876" t="str">
        <x:v>Active Sports Nutrition</x:v>
      </x:c>
      <x:c r="B2876" t="str">
        <x:v>Per4m Nutrition</x:v>
      </x:c>
      <x:c r="C2876" t="str">
        <x:v>Whey Protein Sachet</x:v>
      </x:c>
      <x:c r="D2876" t="str">
        <x:v>Supplements</x:v>
      </x:c>
      <x:c r="E2876" t="str">
        <x:v>Whey Protein</x:v>
      </x:c>
      <x:c r="F2876" t="str"/>
      <x:c r="G2876" t="str">
        <x:v>1 x 30g sachet</x:v>
      </x:c>
      <x:c r="H2876" t="str">
        <x:v>White Chocolate Hazelnut</x:v>
      </x:c>
      <x:c r="I2876" t="str"/>
      <x:c r="J2876" t="str">
        <x:v>Unit</x:v>
      </x:c>
      <x:c r="K2876" t="str">
        <x:v>Out of stock</x:v>
      </x:c>
      <x:c r="L2876" t="str">
        <x:v>2026-09-08</x:v>
      </x:c>
      <x:c r="M2876" t="str"/>
      <x:c r="N2876" t="str"/>
      <x:c r="O2876" t="str">
        <x:v>https://www.activesportstrade.co.uk/Whey-Protein-Supplements-Trade/per4m-nutrition-trade</x:v>
      </x:c>
      <x:c r="P2876" t="str">
        <x:v>Current standard sachet matrix completion; NEW PRICE/NEW stripped.</x:v>
      </x:c>
      <x:c r="Q2876" t="str"/>
      <x:c r="R2876" t="str"/>
      <x:c r="S2876" t="str">
        <x:v>Pending genuine supplier/brand image</x:v>
      </x:c>
      <x:c r="T2876" s="54" t="n">
        <x:v>1.25</x:v>
      </x:c>
      <x:c r="U2876" s="47" t="n">
        <x:v>0.2</x:v>
      </x:c>
      <x:c r="V2876" s="54" t="n">
        <x:f>IF(ISNUMBER(T2876),T2876*(1+U2876),"")</x:f>
        <x:v>1.5</x:v>
      </x:c>
      <x:c r="W2876" s="47" t="n">
        <x:v>0.3</x:v>
      </x:c>
      <x:c r="X2876" s="54" t="n">
        <x:f>IF(ISNUMBER(V2876),V2876/(1-W2876),"")</x:f>
        <x:v>2.142857142857143</x:v>
      </x:c>
      <x:c r="Y2876" s="55" t="n">
        <x:f>IF(ISNUMBER(X2876),ROUNDUP(X2876,0),"")</x:f>
        <x:v>3</x:v>
      </x:c>
      <x:c r="Z2876" t="str">
        <x:v>Source match pending</x:v>
      </x:c>
      <x:c r="AA2876" t="str">
        <x:v>screencapture-www-activesportstrade-co-uk-per4m-nutrition-trade-2026-09-10-09_06_42.pdf / page-09</x:v>
      </x:c>
      <x:c r="AB2876" s="36" t="n">
        <x:f>IF(ISNUMBER(Y2876),ROUND(Y2876*0.9,2),"")</x:f>
        <x:v>2.7</x:v>
      </x:c>
      <x:c r="AC2876" s="36" t="n">
        <x:f>IF(ISNUMBER(AB2876),ROUND(AB2876-(AB2876*0.015+0.2)-V2876,2),"")</x:f>
        <x:v>0.96</x:v>
      </x:c>
      <x:c r="AD2876" s="36" t="n">
        <x:f>IF(ISNUMBER(Y2876),ROUND(Y2876*0.8,2),"")</x:f>
        <x:v>2.4</x:v>
      </x:c>
      <x:c r="AE2876" s="36" t="n">
        <x:f>IF(ISNUMBER(AD2876),ROUND(AD2876*0.015+0.2,2),"")</x:f>
        <x:v>0.24</x:v>
      </x:c>
      <x:c r="AF2876" s="36" t="n">
        <x:f>IF(ISNUMBER(AD2876),ROUND(AD2876-AE2876-V2876,2),"")</x:f>
        <x:v>0.66</x:v>
      </x:c>
      <x:c r="AG2876" t="str">
        <x:f>IF(NOT(ISNUMBER(T2876)),"PENDING",IF(AF2876&gt;0,"PASS","FAIL"))</x:f>
        <x:v>PASS</x:v>
      </x:c>
      <x:c r="AH2876" t="str">
        <x:f>IF(NOT(ISNUMBER(T2876)),"Needs supplier cost",IF(K2876&lt;&gt;"In stock","Supplier unavailable",IF(AG2876&lt;&gt;"PASS","BLOCK - GT loss risk","Commercially protected")))</x:f>
        <x:v>Supplier unavailable</x:v>
      </x:c>
      <x:c r="AI2876" t="str">
        <x:v>2026-09-10 Active Sports trade capture</x:v>
      </x:c>
      <x:c r="AJ2876" t="str">
        <x:v>Management-only economics. Stripe stress test uses 1.5% + £0.20 standard UK online-card fee; pallet/mix-and-match pricing ignored.</x:v>
      </x:c>
    </x:row>
    <x:row r="2877">
      <x:c r="A2877" t="str">
        <x:v>Active Sports Nutrition</x:v>
      </x:c>
      <x:c r="B2877" t="str">
        <x:v>Per4m Nutrition</x:v>
      </x:c>
      <x:c r="C2877" t="str">
        <x:v>Whey Protein Limited Edition Sachet Display</x:v>
      </x:c>
      <x:c r="D2877" t="str">
        <x:v>Supplements</x:v>
      </x:c>
      <x:c r="E2877" t="str">
        <x:v>Whey Protein</x:v>
      </x:c>
      <x:c r="F2877" t="str"/>
      <x:c r="G2877" t="str">
        <x:v>100 x 30g sachets</x:v>
      </x:c>
      <x:c r="H2877" t="str">
        <x:v>Pre-built mixed display</x:v>
      </x:c>
      <x:c r="I2877" t="str">
        <x:v>100</x:v>
      </x:c>
      <x:c r="J2877" t="str">
        <x:v>Display case</x:v>
      </x:c>
      <x:c r="K2877" t="str">
        <x:v>In stock</x:v>
      </x:c>
      <x:c r="L2877" t="str">
        <x:v>2026-09-08</x:v>
      </x:c>
      <x:c r="M2877" t="str"/>
      <x:c r="N2877" t="str"/>
      <x:c r="O2877" t="str">
        <x:v>https://www.activesportstrade.co.uk/Whey-Protein-Supplements-Trade/per4m-nutrition-trade</x:v>
      </x:c>
      <x:c r="P2877" t="str">
        <x:v>Supplier pre-built display contains a fixed limited-edition mix; recorded as one orderable display, not decomposed into invented case variants.</x:v>
      </x:c>
      <x:c r="Q2877" t="str"/>
      <x:c r="R2877" t="str"/>
      <x:c r="S2877" t="str">
        <x:v>Pending genuine supplier/brand image</x:v>
      </x:c>
      <x:c r="T2877" s="54" t="n">
        <x:v>125</x:v>
      </x:c>
      <x:c r="U2877" s="47" t="n">
        <x:v>0.2</x:v>
      </x:c>
      <x:c r="V2877" s="54" t="n">
        <x:f>IF(ISNUMBER(T2877),T2877*(1+U2877),"")</x:f>
        <x:v>150</x:v>
      </x:c>
      <x:c r="W2877" s="47" t="n">
        <x:v>0.3</x:v>
      </x:c>
      <x:c r="X2877" s="54" t="n">
        <x:f>IF(ISNUMBER(V2877),V2877/(1-W2877),"")</x:f>
        <x:v>214.2857142857143</x:v>
      </x:c>
      <x:c r="Y2877" s="55" t="n">
        <x:f>IF(ISNUMBER(X2877),ROUNDUP(X2877,0),"")</x:f>
        <x:v>215</x:v>
      </x:c>
      <x:c r="Z2877" t="str">
        <x:v>Source match pending</x:v>
      </x:c>
      <x:c r="AA2877" t="str">
        <x:v>screencapture-www-activesportstrade-co-uk-per4m-nutrition-trade-2026-09-10-09_06_42.pdf / page-09</x:v>
      </x:c>
      <x:c r="AB2877" s="36" t="n">
        <x:f>IF(ISNUMBER(Y2877),ROUND(Y2877*0.9,2),"")</x:f>
        <x:v>193.5</x:v>
      </x:c>
      <x:c r="AC2877" s="36" t="n">
        <x:f>IF(ISNUMBER(AB2877),ROUND(AB2877-(AB2877*0.015+0.2)-V2877,2),"")</x:f>
        <x:v>40.4</x:v>
      </x:c>
      <x:c r="AD2877" s="36" t="n">
        <x:f>IF(ISNUMBER(Y2877),ROUND(Y2877*0.8,2),"")</x:f>
        <x:v>172</x:v>
      </x:c>
      <x:c r="AE2877" s="36" t="n">
        <x:f>IF(ISNUMBER(AD2877),ROUND(AD2877*0.015+0.2,2),"")</x:f>
        <x:v>2.78</x:v>
      </x:c>
      <x:c r="AF2877" s="36" t="n">
        <x:f>IF(ISNUMBER(AD2877),ROUND(AD2877-AE2877-V2877,2),"")</x:f>
        <x:v>19.22</x:v>
      </x:c>
      <x:c r="AG2877" t="str">
        <x:f>IF(NOT(ISNUMBER(T2877)),"PENDING",IF(AF2877&gt;0,"PASS","FAIL"))</x:f>
        <x:v>PASS</x:v>
      </x:c>
      <x:c r="AH2877" t="str">
        <x:f>IF(NOT(ISNUMBER(T2877)),"Needs supplier cost",IF(K2877&lt;&gt;"In stock","Supplier unavailable",IF(AG2877&lt;&gt;"PASS","BLOCK - GT loss risk","Commercially protected")))</x:f>
        <x:v>Commercially protected</x:v>
      </x:c>
      <x:c r="AI2877" t="str">
        <x:v>2026-09-10 Active Sports trade capture</x:v>
      </x:c>
      <x:c r="AJ2877" t="str">
        <x:v>Management-only economics. Stripe stress test uses 1.5% + £0.20 standard UK online-card fee; pallet/mix-and-match pricing ignored.</x:v>
      </x:c>
    </x:row>
    <x:row r="2878">
      <x:c r="A2878" t="str">
        <x:v>Active Sports Nutrition</x:v>
      </x:c>
      <x:c r="B2878" t="str">
        <x:v>Applied Nutrition</x:v>
      </x:c>
      <x:c r="C2878" t="str">
        <x:v>Carb X</x:v>
      </x:c>
      <x:c r="D2878" t="str">
        <x:v>Supplements</x:v>
      </x:c>
      <x:c r="E2878" t="str">
        <x:v>Carbohydrates</x:v>
      </x:c>
      <x:c r="F2878" t="str"/>
      <x:c r="G2878" t="str">
        <x:v>1.2kg</x:v>
      </x:c>
      <x:c r="H2878" t="str">
        <x:v>Fruit Burst</x:v>
      </x:c>
      <x:c r="I2878" t="str"/>
      <x:c r="J2878" t="str">
        <x:v>Unit</x:v>
      </x:c>
      <x:c r="K2878" t="str">
        <x:v>In stock</x:v>
      </x:c>
      <x:c r="L2878" t="str">
        <x:v>2026-09-08</x:v>
      </x:c>
      <x:c r="M2878" t="str"/>
      <x:c r="N2878" t="str"/>
      <x:c r="O2878" t="str">
        <x:v>https://www.activesportstrade.co.uk/Carb-Powders</x:v>
      </x:c>
      <x:c r="P2878" t="str">
        <x:v>SPECIAL OFFER / FREE MULTI VITAMINS AND SHAKER / NEW wording stripped.</x:v>
      </x:c>
      <x:c r="Q2878" t="str"/>
      <x:c r="R2878" t="str"/>
      <x:c r="S2878" t="str">
        <x:v>Pending genuine supplier/brand image</x:v>
      </x:c>
      <x:c r="T2878" s="54" t="n">
        <x:v>13.38</x:v>
      </x:c>
      <x:c r="U2878" s="47" t="n">
        <x:v>0.2</x:v>
      </x:c>
      <x:c r="V2878" s="54" t="n">
        <x:f>IF(ISNUMBER(T2878),T2878*(1+U2878),"")</x:f>
        <x:v>16.056</x:v>
      </x:c>
      <x:c r="W2878" s="47" t="n">
        <x:v>0.3</x:v>
      </x:c>
      <x:c r="X2878" s="54" t="n">
        <x:f>IF(ISNUMBER(V2878),V2878/(1-W2878),"")</x:f>
        <x:v>22.93714285714286</x:v>
      </x:c>
      <x:c r="Y2878" s="55" t="n">
        <x:f>IF(ISNUMBER(X2878),ROUNDUP(X2878,0),"")</x:f>
        <x:v>23</x:v>
      </x:c>
      <x:c r="Z2878" t="str">
        <x:v>Source match pending</x:v>
      </x:c>
      <x:c r="AA2878" t="str">
        <x:v>screencapture-www-activesportstrade-co-uk-applied-nutrition-trade-2026-09-10-08_59_59.pdf / page-05</x:v>
      </x:c>
      <x:c r="AB2878" s="36" t="n">
        <x:f>IF(ISNUMBER(Y2878),ROUND(Y2878*0.9,2),"")</x:f>
        <x:v>20.7</x:v>
      </x:c>
      <x:c r="AC2878" s="36" t="n">
        <x:f>IF(ISNUMBER(AB2878),ROUND(AB2878-(AB2878*0.015+0.2)-V2878,2),"")</x:f>
        <x:v>4.13</x:v>
      </x:c>
      <x:c r="AD2878" s="36" t="n">
        <x:f>IF(ISNUMBER(Y2878),ROUND(Y2878*0.8,2),"")</x:f>
        <x:v>18.4</x:v>
      </x:c>
      <x:c r="AE2878" s="36" t="n">
        <x:f>IF(ISNUMBER(AD2878),ROUND(AD2878*0.015+0.2,2),"")</x:f>
        <x:v>0.48</x:v>
      </x:c>
      <x:c r="AF2878" s="36" t="n">
        <x:f>IF(ISNUMBER(AD2878),ROUND(AD2878-AE2878-V2878,2),"")</x:f>
        <x:v>1.86</x:v>
      </x:c>
      <x:c r="AG2878" t="str">
        <x:f>IF(NOT(ISNUMBER(T2878)),"PENDING",IF(AF2878&gt;0,"PASS","FAIL"))</x:f>
        <x:v>PASS</x:v>
      </x:c>
      <x:c r="AH2878" t="str">
        <x:f>IF(NOT(ISNUMBER(T2878)),"Needs supplier cost",IF(K2878&lt;&gt;"In stock","Supplier unavailable",IF(AG2878&lt;&gt;"PASS","BLOCK - GT loss risk","Commercially protected")))</x:f>
        <x:v>Commercially protected</x:v>
      </x:c>
      <x:c r="AI2878" t="str">
        <x:v>2026-09-10 Active Sports trade capture</x:v>
      </x:c>
      <x:c r="AJ2878" t="str">
        <x:v>Management-only economics. Stripe stress test uses 1.5% + £0.20 standard UK online-card fee; pallet/mix-and-match pricing ignored.</x:v>
      </x:c>
    </x:row>
    <x:row r="2879">
      <x:c r="A2879" t="str">
        <x:v>Active Sports Nutrition</x:v>
      </x:c>
      <x:c r="B2879" t="str">
        <x:v>Applied Nutrition</x:v>
      </x:c>
      <x:c r="C2879" t="str">
        <x:v>Carb X</x:v>
      </x:c>
      <x:c r="D2879" t="str">
        <x:v>Supplements</x:v>
      </x:c>
      <x:c r="E2879" t="str">
        <x:v>Carbohydrates</x:v>
      </x:c>
      <x:c r="F2879" t="str"/>
      <x:c r="G2879" t="str">
        <x:v>1.2kg</x:v>
      </x:c>
      <x:c r="H2879" t="str">
        <x:v>Millions Blackcurrant</x:v>
      </x:c>
      <x:c r="I2879" t="str"/>
      <x:c r="J2879" t="str">
        <x:v>Unit</x:v>
      </x:c>
      <x:c r="K2879" t="str">
        <x:v>In stock</x:v>
      </x:c>
      <x:c r="L2879" t="str">
        <x:v>2026-09-08</x:v>
      </x:c>
      <x:c r="M2879" t="str"/>
      <x:c r="N2879" t="str"/>
      <x:c r="O2879" t="str">
        <x:v>https://www.activesportstrade.co.uk/Carb-Powders</x:v>
      </x:c>
      <x:c r="P2879" t="str">
        <x:v>SPECIAL OFFER / FREE MULTI VITAMINS AND SHAKER / NEW wording stripped.</x:v>
      </x:c>
      <x:c r="Q2879" t="str"/>
      <x:c r="R2879" t="str"/>
      <x:c r="S2879" t="str">
        <x:v>Pending genuine supplier/brand image</x:v>
      </x:c>
      <x:c r="T2879" s="54" t="n">
        <x:v>13.38</x:v>
      </x:c>
      <x:c r="U2879" s="47" t="n">
        <x:v>0.2</x:v>
      </x:c>
      <x:c r="V2879" s="54" t="n">
        <x:f>IF(ISNUMBER(T2879),T2879*(1+U2879),"")</x:f>
        <x:v>16.056</x:v>
      </x:c>
      <x:c r="W2879" s="47" t="n">
        <x:v>0.3</x:v>
      </x:c>
      <x:c r="X2879" s="54" t="n">
        <x:f>IF(ISNUMBER(V2879),V2879/(1-W2879),"")</x:f>
        <x:v>22.93714285714286</x:v>
      </x:c>
      <x:c r="Y2879" s="55" t="n">
        <x:f>IF(ISNUMBER(X2879),ROUNDUP(X2879,0),"")</x:f>
        <x:v>23</x:v>
      </x:c>
      <x:c r="Z2879" t="str">
        <x:v>Source match pending</x:v>
      </x:c>
      <x:c r="AA2879" t="str">
        <x:v>screencapture-www-activesportstrade-co-uk-applied-nutrition-trade-2026-09-10-08_59_59.pdf / page-05</x:v>
      </x:c>
      <x:c r="AB2879" s="36" t="n">
        <x:f>IF(ISNUMBER(Y2879),ROUND(Y2879*0.9,2),"")</x:f>
        <x:v>20.7</x:v>
      </x:c>
      <x:c r="AC2879" s="36" t="n">
        <x:f>IF(ISNUMBER(AB2879),ROUND(AB2879-(AB2879*0.015+0.2)-V2879,2),"")</x:f>
        <x:v>4.13</x:v>
      </x:c>
      <x:c r="AD2879" s="36" t="n">
        <x:f>IF(ISNUMBER(Y2879),ROUND(Y2879*0.8,2),"")</x:f>
        <x:v>18.4</x:v>
      </x:c>
      <x:c r="AE2879" s="36" t="n">
        <x:f>IF(ISNUMBER(AD2879),ROUND(AD2879*0.015+0.2,2),"")</x:f>
        <x:v>0.48</x:v>
      </x:c>
      <x:c r="AF2879" s="36" t="n">
        <x:f>IF(ISNUMBER(AD2879),ROUND(AD2879-AE2879-V2879,2),"")</x:f>
        <x:v>1.86</x:v>
      </x:c>
      <x:c r="AG2879" t="str">
        <x:f>IF(NOT(ISNUMBER(T2879)),"PENDING",IF(AF2879&gt;0,"PASS","FAIL"))</x:f>
        <x:v>PASS</x:v>
      </x:c>
      <x:c r="AH2879" t="str">
        <x:f>IF(NOT(ISNUMBER(T2879)),"Needs supplier cost",IF(K2879&lt;&gt;"In stock","Supplier unavailable",IF(AG2879&lt;&gt;"PASS","BLOCK - GT loss risk","Commercially protected")))</x:f>
        <x:v>Commercially protected</x:v>
      </x:c>
      <x:c r="AI2879" t="str">
        <x:v>2026-09-10 Active Sports trade capture</x:v>
      </x:c>
      <x:c r="AJ2879" t="str">
        <x:v>Management-only economics. Stripe stress test uses 1.5% + £0.20 standard UK online-card fee; pallet/mix-and-match pricing ignored.</x:v>
      </x:c>
    </x:row>
    <x:row r="2880">
      <x:c r="A2880" t="str">
        <x:v>Active Sports Nutrition</x:v>
      </x:c>
      <x:c r="B2880" t="str">
        <x:v>Applied Nutrition</x:v>
      </x:c>
      <x:c r="C2880" t="str">
        <x:v>Carb X</x:v>
      </x:c>
      <x:c r="D2880" t="str">
        <x:v>Supplements</x:v>
      </x:c>
      <x:c r="E2880" t="str">
        <x:v>Carbohydrates</x:v>
      </x:c>
      <x:c r="F2880" t="str"/>
      <x:c r="G2880" t="str">
        <x:v>1.2kg</x:v>
      </x:c>
      <x:c r="H2880" t="str">
        <x:v>Millions Cola</x:v>
      </x:c>
      <x:c r="I2880" t="str"/>
      <x:c r="J2880" t="str">
        <x:v>Unit</x:v>
      </x:c>
      <x:c r="K2880" t="str">
        <x:v>In stock</x:v>
      </x:c>
      <x:c r="L2880" t="str">
        <x:v>2026-09-08</x:v>
      </x:c>
      <x:c r="M2880" t="str"/>
      <x:c r="N2880" t="str"/>
      <x:c r="O2880" t="str">
        <x:v>https://www.activesportstrade.co.uk/Carb-Powders</x:v>
      </x:c>
      <x:c r="P2880" t="str">
        <x:v>SPECIAL OFFER / FREE MULTI VITAMINS AND SHAKER / NEW wording stripped.</x:v>
      </x:c>
      <x:c r="Q2880" t="str"/>
      <x:c r="R2880" t="str"/>
      <x:c r="S2880" t="str">
        <x:v>Pending genuine supplier/brand image</x:v>
      </x:c>
      <x:c r="T2880" s="54" t="n">
        <x:v>13.38</x:v>
      </x:c>
      <x:c r="U2880" s="47" t="n">
        <x:v>0.2</x:v>
      </x:c>
      <x:c r="V2880" s="54" t="n">
        <x:f>IF(ISNUMBER(T2880),T2880*(1+U2880),"")</x:f>
        <x:v>16.056</x:v>
      </x:c>
      <x:c r="W2880" s="47" t="n">
        <x:v>0.3</x:v>
      </x:c>
      <x:c r="X2880" s="54" t="n">
        <x:f>IF(ISNUMBER(V2880),V2880/(1-W2880),"")</x:f>
        <x:v>22.93714285714286</x:v>
      </x:c>
      <x:c r="Y2880" s="55" t="n">
        <x:f>IF(ISNUMBER(X2880),ROUNDUP(X2880,0),"")</x:f>
        <x:v>23</x:v>
      </x:c>
      <x:c r="Z2880" t="str">
        <x:v>Source match pending</x:v>
      </x:c>
      <x:c r="AA2880" t="str">
        <x:v>screencapture-www-activesportstrade-co-uk-applied-nutrition-trade-2026-09-10-08_59_59.pdf / page-05</x:v>
      </x:c>
      <x:c r="AB2880" s="36" t="n">
        <x:f>IF(ISNUMBER(Y2880),ROUND(Y2880*0.9,2),"")</x:f>
        <x:v>20.7</x:v>
      </x:c>
      <x:c r="AC2880" s="36" t="n">
        <x:f>IF(ISNUMBER(AB2880),ROUND(AB2880-(AB2880*0.015+0.2)-V2880,2),"")</x:f>
        <x:v>4.13</x:v>
      </x:c>
      <x:c r="AD2880" s="36" t="n">
        <x:f>IF(ISNUMBER(Y2880),ROUND(Y2880*0.8,2),"")</x:f>
        <x:v>18.4</x:v>
      </x:c>
      <x:c r="AE2880" s="36" t="n">
        <x:f>IF(ISNUMBER(AD2880),ROUND(AD2880*0.015+0.2,2),"")</x:f>
        <x:v>0.48</x:v>
      </x:c>
      <x:c r="AF2880" s="36" t="n">
        <x:f>IF(ISNUMBER(AD2880),ROUND(AD2880-AE2880-V2880,2),"")</x:f>
        <x:v>1.86</x:v>
      </x:c>
      <x:c r="AG2880" t="str">
        <x:f>IF(NOT(ISNUMBER(T2880)),"PENDING",IF(AF2880&gt;0,"PASS","FAIL"))</x:f>
        <x:v>PASS</x:v>
      </x:c>
      <x:c r="AH2880" t="str">
        <x:f>IF(NOT(ISNUMBER(T2880)),"Needs supplier cost",IF(K2880&lt;&gt;"In stock","Supplier unavailable",IF(AG2880&lt;&gt;"PASS","BLOCK - GT loss risk","Commercially protected")))</x:f>
        <x:v>Commercially protected</x:v>
      </x:c>
      <x:c r="AI2880" t="str">
        <x:v>2026-09-10 Active Sports trade capture</x:v>
      </x:c>
      <x:c r="AJ2880" t="str">
        <x:v>Management-only economics. Stripe stress test uses 1.5% + £0.20 standard UK online-card fee; pallet/mix-and-match pricing ignored.</x:v>
      </x:c>
    </x:row>
    <x:row r="2881">
      <x:c r="A2881" t="str">
        <x:v>Active Sports Nutrition</x:v>
      </x:c>
      <x:c r="B2881" t="str">
        <x:v>Applied Nutrition</x:v>
      </x:c>
      <x:c r="C2881" t="str">
        <x:v>Carb X</x:v>
      </x:c>
      <x:c r="D2881" t="str">
        <x:v>Supplements</x:v>
      </x:c>
      <x:c r="E2881" t="str">
        <x:v>Carbohydrates</x:v>
      </x:c>
      <x:c r="F2881" t="str"/>
      <x:c r="G2881" t="str">
        <x:v>1.2kg</x:v>
      </x:c>
      <x:c r="H2881" t="str">
        <x:v>Millions Pineapple</x:v>
      </x:c>
      <x:c r="I2881" t="str"/>
      <x:c r="J2881" t="str">
        <x:v>Unit</x:v>
      </x:c>
      <x:c r="K2881" t="str">
        <x:v>In stock</x:v>
      </x:c>
      <x:c r="L2881" t="str">
        <x:v>2026-09-08</x:v>
      </x:c>
      <x:c r="M2881" t="str"/>
      <x:c r="N2881" t="str"/>
      <x:c r="O2881" t="str">
        <x:v>https://www.activesportstrade.co.uk/Carb-Powders</x:v>
      </x:c>
      <x:c r="P2881" t="str">
        <x:v>SPECIAL OFFER / FREE MULTI VITAMINS AND SHAKER / NEW wording stripped.</x:v>
      </x:c>
      <x:c r="Q2881" t="str"/>
      <x:c r="R2881" t="str"/>
      <x:c r="S2881" t="str">
        <x:v>Pending genuine supplier/brand image</x:v>
      </x:c>
      <x:c r="T2881" s="54" t="n">
        <x:v>13.38</x:v>
      </x:c>
      <x:c r="U2881" s="47" t="n">
        <x:v>0.2</x:v>
      </x:c>
      <x:c r="V2881" s="54" t="n">
        <x:f>IF(ISNUMBER(T2881),T2881*(1+U2881),"")</x:f>
        <x:v>16.056</x:v>
      </x:c>
      <x:c r="W2881" s="47" t="n">
        <x:v>0.3</x:v>
      </x:c>
      <x:c r="X2881" s="54" t="n">
        <x:f>IF(ISNUMBER(V2881),V2881/(1-W2881),"")</x:f>
        <x:v>22.93714285714286</x:v>
      </x:c>
      <x:c r="Y2881" s="55" t="n">
        <x:f>IF(ISNUMBER(X2881),ROUNDUP(X2881,0),"")</x:f>
        <x:v>23</x:v>
      </x:c>
      <x:c r="Z2881" t="str">
        <x:v>Source match pending</x:v>
      </x:c>
      <x:c r="AA2881" t="str">
        <x:v>screencapture-www-activesportstrade-co-uk-applied-nutrition-trade-2026-09-10-08_59_59.pdf / page-05</x:v>
      </x:c>
      <x:c r="AB2881" s="36" t="n">
        <x:f>IF(ISNUMBER(Y2881),ROUND(Y2881*0.9,2),"")</x:f>
        <x:v>20.7</x:v>
      </x:c>
      <x:c r="AC2881" s="36" t="n">
        <x:f>IF(ISNUMBER(AB2881),ROUND(AB2881-(AB2881*0.015+0.2)-V2881,2),"")</x:f>
        <x:v>4.13</x:v>
      </x:c>
      <x:c r="AD2881" s="36" t="n">
        <x:f>IF(ISNUMBER(Y2881),ROUND(Y2881*0.8,2),"")</x:f>
        <x:v>18.4</x:v>
      </x:c>
      <x:c r="AE2881" s="36" t="n">
        <x:f>IF(ISNUMBER(AD2881),ROUND(AD2881*0.015+0.2,2),"")</x:f>
        <x:v>0.48</x:v>
      </x:c>
      <x:c r="AF2881" s="36" t="n">
        <x:f>IF(ISNUMBER(AD2881),ROUND(AD2881-AE2881-V2881,2),"")</x:f>
        <x:v>1.86</x:v>
      </x:c>
      <x:c r="AG2881" t="str">
        <x:f>IF(NOT(ISNUMBER(T2881)),"PENDING",IF(AF2881&gt;0,"PASS","FAIL"))</x:f>
        <x:v>PASS</x:v>
      </x:c>
      <x:c r="AH2881" t="str">
        <x:f>IF(NOT(ISNUMBER(T2881)),"Needs supplier cost",IF(K2881&lt;&gt;"In stock","Supplier unavailable",IF(AG2881&lt;&gt;"PASS","BLOCK - GT loss risk","Commercially protected")))</x:f>
        <x:v>Commercially protected</x:v>
      </x:c>
      <x:c r="AI2881" t="str">
        <x:v>2026-09-10 Active Sports trade capture</x:v>
      </x:c>
      <x:c r="AJ2881" t="str">
        <x:v>Management-only economics. Stripe stress test uses 1.5% + £0.20 standard UK online-card fee; pallet/mix-and-match pricing ignored.</x:v>
      </x:c>
    </x:row>
    <x:row r="2882">
      <x:c r="A2882" t="str">
        <x:v>Active Sports Nutrition</x:v>
      </x:c>
      <x:c r="B2882" t="str">
        <x:v>Applied Nutrition</x:v>
      </x:c>
      <x:c r="C2882" t="str">
        <x:v>Carb X</x:v>
      </x:c>
      <x:c r="D2882" t="str">
        <x:v>Supplements</x:v>
      </x:c>
      <x:c r="E2882" t="str">
        <x:v>Carbohydrates</x:v>
      </x:c>
      <x:c r="F2882" t="str"/>
      <x:c r="G2882" t="str">
        <x:v>1.2kg</x:v>
      </x:c>
      <x:c r="H2882" t="str">
        <x:v>Orange Burst</x:v>
      </x:c>
      <x:c r="I2882" t="str"/>
      <x:c r="J2882" t="str">
        <x:v>Unit</x:v>
      </x:c>
      <x:c r="K2882" t="str">
        <x:v>In stock</x:v>
      </x:c>
      <x:c r="L2882" t="str">
        <x:v>2026-09-08</x:v>
      </x:c>
      <x:c r="M2882" t="str"/>
      <x:c r="N2882" t="str"/>
      <x:c r="O2882" t="str">
        <x:v>https://www.activesportstrade.co.uk/Carb-Powders</x:v>
      </x:c>
      <x:c r="P2882" t="str">
        <x:v>SPECIAL OFFER / FREE MULTI VITAMINS AND SHAKER / NEW wording stripped.</x:v>
      </x:c>
      <x:c r="Q2882" t="str"/>
      <x:c r="R2882" t="str"/>
      <x:c r="S2882" t="str">
        <x:v>Pending genuine supplier/brand image</x:v>
      </x:c>
      <x:c r="T2882" s="54" t="n">
        <x:v>13.38</x:v>
      </x:c>
      <x:c r="U2882" s="47" t="n">
        <x:v>0.2</x:v>
      </x:c>
      <x:c r="V2882" s="54" t="n">
        <x:f>IF(ISNUMBER(T2882),T2882*(1+U2882),"")</x:f>
        <x:v>16.056</x:v>
      </x:c>
      <x:c r="W2882" s="47" t="n">
        <x:v>0.3</x:v>
      </x:c>
      <x:c r="X2882" s="54" t="n">
        <x:f>IF(ISNUMBER(V2882),V2882/(1-W2882),"")</x:f>
        <x:v>22.93714285714286</x:v>
      </x:c>
      <x:c r="Y2882" s="55" t="n">
        <x:f>IF(ISNUMBER(X2882),ROUNDUP(X2882,0),"")</x:f>
        <x:v>23</x:v>
      </x:c>
      <x:c r="Z2882" t="str">
        <x:v>Source match pending</x:v>
      </x:c>
      <x:c r="AA2882" t="str">
        <x:v>screencapture-www-activesportstrade-co-uk-applied-nutrition-trade-2026-09-10-08_59_59.pdf / page-05</x:v>
      </x:c>
      <x:c r="AB2882" s="36" t="n">
        <x:f>IF(ISNUMBER(Y2882),ROUND(Y2882*0.9,2),"")</x:f>
        <x:v>20.7</x:v>
      </x:c>
      <x:c r="AC2882" s="36" t="n">
        <x:f>IF(ISNUMBER(AB2882),ROUND(AB2882-(AB2882*0.015+0.2)-V2882,2),"")</x:f>
        <x:v>4.13</x:v>
      </x:c>
      <x:c r="AD2882" s="36" t="n">
        <x:f>IF(ISNUMBER(Y2882),ROUND(Y2882*0.8,2),"")</x:f>
        <x:v>18.4</x:v>
      </x:c>
      <x:c r="AE2882" s="36" t="n">
        <x:f>IF(ISNUMBER(AD2882),ROUND(AD2882*0.015+0.2,2),"")</x:f>
        <x:v>0.48</x:v>
      </x:c>
      <x:c r="AF2882" s="36" t="n">
        <x:f>IF(ISNUMBER(AD2882),ROUND(AD2882-AE2882-V2882,2),"")</x:f>
        <x:v>1.86</x:v>
      </x:c>
      <x:c r="AG2882" t="str">
        <x:f>IF(NOT(ISNUMBER(T2882)),"PENDING",IF(AF2882&gt;0,"PASS","FAIL"))</x:f>
        <x:v>PASS</x:v>
      </x:c>
      <x:c r="AH2882" t="str">
        <x:f>IF(NOT(ISNUMBER(T2882)),"Needs supplier cost",IF(K2882&lt;&gt;"In stock","Supplier unavailable",IF(AG2882&lt;&gt;"PASS","BLOCK - GT loss risk","Commercially protected")))</x:f>
        <x:v>Commercially protected</x:v>
      </x:c>
      <x:c r="AI2882" t="str">
        <x:v>2026-09-10 Active Sports trade capture</x:v>
      </x:c>
      <x:c r="AJ2882" t="str">
        <x:v>Management-only economics. Stripe stress test uses 1.5% + £0.20 standard UK online-card fee; pallet/mix-and-match pricing ignored.</x:v>
      </x:c>
    </x:row>
    <x:row r="2883">
      <x:c r="A2883" t="str">
        <x:v>Active Sports Nutrition</x:v>
      </x:c>
      <x:c r="B2883" t="str">
        <x:v>Applied Nutrition</x:v>
      </x:c>
      <x:c r="C2883" t="str">
        <x:v>Carb X</x:v>
      </x:c>
      <x:c r="D2883" t="str">
        <x:v>Supplements</x:v>
      </x:c>
      <x:c r="E2883" t="str">
        <x:v>Carbohydrates</x:v>
      </x:c>
      <x:c r="F2883" t="str"/>
      <x:c r="G2883" t="str">
        <x:v>1.2kg</x:v>
      </x:c>
      <x:c r="H2883" t="str">
        <x:v>Unflavoured</x:v>
      </x:c>
      <x:c r="I2883" t="str"/>
      <x:c r="J2883" t="str">
        <x:v>Unit</x:v>
      </x:c>
      <x:c r="K2883" t="str">
        <x:v>In stock</x:v>
      </x:c>
      <x:c r="L2883" t="str">
        <x:v>2026-09-08</x:v>
      </x:c>
      <x:c r="M2883" t="str"/>
      <x:c r="N2883" t="str"/>
      <x:c r="O2883" t="str">
        <x:v>https://www.activesportstrade.co.uk/Carb-Powders</x:v>
      </x:c>
      <x:c r="P2883" t="str">
        <x:v>SPECIAL OFFER / FREE MULTI VITAMINS AND SHAKER / NEW wording stripped.</x:v>
      </x:c>
      <x:c r="Q2883" t="str"/>
      <x:c r="R2883" t="str"/>
      <x:c r="S2883" t="str">
        <x:v>Pending genuine supplier/brand image</x:v>
      </x:c>
      <x:c r="T2883" s="54" t="n">
        <x:v>13.38</x:v>
      </x:c>
      <x:c r="U2883" s="47" t="n">
        <x:v>0.2</x:v>
      </x:c>
      <x:c r="V2883" s="54" t="n">
        <x:f>IF(ISNUMBER(T2883),T2883*(1+U2883),"")</x:f>
        <x:v>16.056</x:v>
      </x:c>
      <x:c r="W2883" s="47" t="n">
        <x:v>0.3</x:v>
      </x:c>
      <x:c r="X2883" s="54" t="n">
        <x:f>IF(ISNUMBER(V2883),V2883/(1-W2883),"")</x:f>
        <x:v>22.93714285714286</x:v>
      </x:c>
      <x:c r="Y2883" s="55" t="n">
        <x:f>IF(ISNUMBER(X2883),ROUNDUP(X2883,0),"")</x:f>
        <x:v>23</x:v>
      </x:c>
      <x:c r="Z2883" t="str">
        <x:v>Source match pending</x:v>
      </x:c>
      <x:c r="AA2883" t="str">
        <x:v>screencapture-www-activesportstrade-co-uk-applied-nutrition-trade-2026-09-10-08_59_59.pdf / page-05</x:v>
      </x:c>
      <x:c r="AB2883" s="36" t="n">
        <x:f>IF(ISNUMBER(Y2883),ROUND(Y2883*0.9,2),"")</x:f>
        <x:v>20.7</x:v>
      </x:c>
      <x:c r="AC2883" s="36" t="n">
        <x:f>IF(ISNUMBER(AB2883),ROUND(AB2883-(AB2883*0.015+0.2)-V2883,2),"")</x:f>
        <x:v>4.13</x:v>
      </x:c>
      <x:c r="AD2883" s="36" t="n">
        <x:f>IF(ISNUMBER(Y2883),ROUND(Y2883*0.8,2),"")</x:f>
        <x:v>18.4</x:v>
      </x:c>
      <x:c r="AE2883" s="36" t="n">
        <x:f>IF(ISNUMBER(AD2883),ROUND(AD2883*0.015+0.2,2),"")</x:f>
        <x:v>0.48</x:v>
      </x:c>
      <x:c r="AF2883" s="36" t="n">
        <x:f>IF(ISNUMBER(AD2883),ROUND(AD2883-AE2883-V2883,2),"")</x:f>
        <x:v>1.86</x:v>
      </x:c>
      <x:c r="AG2883" t="str">
        <x:f>IF(NOT(ISNUMBER(T2883)),"PENDING",IF(AF2883&gt;0,"PASS","FAIL"))</x:f>
        <x:v>PASS</x:v>
      </x:c>
      <x:c r="AH2883" t="str">
        <x:f>IF(NOT(ISNUMBER(T2883)),"Needs supplier cost",IF(K2883&lt;&gt;"In stock","Supplier unavailable",IF(AG2883&lt;&gt;"PASS","BLOCK - GT loss risk","Commercially protected")))</x:f>
        <x:v>Commercially protected</x:v>
      </x:c>
      <x:c r="AI2883" t="str">
        <x:v>2026-09-10 Active Sports trade capture</x:v>
      </x:c>
      <x:c r="AJ2883" t="str">
        <x:v>Management-only economics. Stripe stress test uses 1.5% + £0.20 standard UK online-card fee; pallet/mix-and-match pricing ignored.</x:v>
      </x:c>
    </x:row>
    <x:row r="2884">
      <x:c r="A2884" t="str">
        <x:v>Active Sports Nutrition</x:v>
      </x:c>
      <x:c r="B2884" t="str">
        <x:v>Applied Nutrition</x:v>
      </x:c>
      <x:c r="C2884" t="str">
        <x:v>Endurance Elite Performance Energy Gels</x:v>
      </x:c>
      <x:c r="D2884" t="str">
        <x:v>Food &amp; Drinks</x:v>
      </x:c>
      <x:c r="E2884" t="str">
        <x:v>Energy Gels</x:v>
      </x:c>
      <x:c r="F2884" t="str"/>
      <x:c r="G2884" t="str">
        <x:v>20 gels</x:v>
      </x:c>
      <x:c r="H2884" t="str">
        <x:v>Apple Burst</x:v>
      </x:c>
      <x:c r="I2884" t="str">
        <x:v>20</x:v>
      </x:c>
      <x:c r="J2884" t="str">
        <x:v>Case</x:v>
      </x:c>
      <x:c r="K2884" t="str">
        <x:v>Out of stock</x:v>
      </x:c>
      <x:c r="L2884" t="str">
        <x:v>2026-09-08</x:v>
      </x:c>
      <x:c r="M2884" t="str"/>
      <x:c r="N2884" t="str"/>
      <x:c r="O2884" t="str">
        <x:v>https://www.activesportstrade.co.uk/Carb-Powders</x:v>
      </x:c>
      <x:c r="P2884" t="str">
        <x:v>VAT FREE wording stripped; supplier order unit preserved as 20-gel box.</x:v>
      </x:c>
      <x:c r="Q2884" t="str"/>
      <x:c r="R2884" t="str"/>
      <x:c r="S2884" t="str">
        <x:v>Pending genuine supplier/brand image</x:v>
      </x:c>
      <x:c r="T2884" s="54" t="n">
        <x:v>15.95</x:v>
      </x:c>
      <x:c r="U2884" s="47" t="n">
        <x:v>0</x:v>
      </x:c>
      <x:c r="V2884" s="54" t="n">
        <x:f>IF(ISNUMBER(T2884),T2884*(1+U2884),"")</x:f>
        <x:v>15.95</x:v>
      </x:c>
      <x:c r="W2884" s="47" t="n">
        <x:v>0.3</x:v>
      </x:c>
      <x:c r="X2884" s="54" t="n">
        <x:f>IF(ISNUMBER(V2884),V2884/(1-W2884),"")</x:f>
        <x:v>22.785714285714285</x:v>
      </x:c>
      <x:c r="Y2884" s="55" t="n">
        <x:f>IF(ISNUMBER(X2884),ROUNDUP(X2884,0),"")</x:f>
        <x:v>23</x:v>
      </x:c>
      <x:c r="Z2884" t="str">
        <x:v>Source match pending</x:v>
      </x:c>
      <x:c r="AA2884" t="str">
        <x:v>screencapture-www-activesportstrade-co-uk-applied-nutrition-trade-2026-09-10-08_59_59.pdf / page-11</x:v>
      </x:c>
      <x:c r="AB2884" s="36" t="n">
        <x:f>IF(ISNUMBER(Y2884),ROUND(Y2884*0.9,2),"")</x:f>
        <x:v>20.7</x:v>
      </x:c>
      <x:c r="AC2884" s="36" t="n">
        <x:f>IF(ISNUMBER(AB2884),ROUND(AB2884-(AB2884*0.015+0.2)-V2884,2),"")</x:f>
        <x:v>4.24</x:v>
      </x:c>
      <x:c r="AD2884" s="36" t="n">
        <x:f>IF(ISNUMBER(Y2884),ROUND(Y2884*0.8,2),"")</x:f>
        <x:v>18.4</x:v>
      </x:c>
      <x:c r="AE2884" s="36" t="n">
        <x:f>IF(ISNUMBER(AD2884),ROUND(AD2884*0.015+0.2,2),"")</x:f>
        <x:v>0.48</x:v>
      </x:c>
      <x:c r="AF2884" s="36" t="n">
        <x:f>IF(ISNUMBER(AD2884),ROUND(AD2884-AE2884-V2884,2),"")</x:f>
        <x:v>1.97</x:v>
      </x:c>
      <x:c r="AG2884" t="str">
        <x:f>IF(NOT(ISNUMBER(T2884)),"PENDING",IF(AF2884&gt;0,"PASS","FAIL"))</x:f>
        <x:v>PASS</x:v>
      </x:c>
      <x:c r="AH2884" t="str">
        <x:f>IF(NOT(ISNUMBER(T2884)),"Needs supplier cost",IF(K2884&lt;&gt;"In stock","Supplier unavailable",IF(AG2884&lt;&gt;"PASS","BLOCK - GT loss risk","Commercially protected")))</x:f>
        <x:v>Supplier unavailable</x:v>
      </x:c>
      <x:c r="AI2884" t="str">
        <x:v>2026-09-10 Active Sports trade capture</x:v>
      </x:c>
      <x:c r="AJ2884" t="str">
        <x:v>Management-only economics. Stripe stress test uses 1.5% + £0.20 standard UK online-card fee; pallet/mix-and-match pricing ignored.</x:v>
      </x:c>
    </x:row>
    <x:row r="2885">
      <x:c r="A2885" t="str">
        <x:v>Active Sports Nutrition</x:v>
      </x:c>
      <x:c r="B2885" t="str">
        <x:v>Applied Nutrition</x:v>
      </x:c>
      <x:c r="C2885" t="str">
        <x:v>Endurance Elite Performance Energy Gels</x:v>
      </x:c>
      <x:c r="D2885" t="str">
        <x:v>Food &amp; Drinks</x:v>
      </x:c>
      <x:c r="E2885" t="str">
        <x:v>Energy Gels</x:v>
      </x:c>
      <x:c r="F2885" t="str"/>
      <x:c r="G2885" t="str">
        <x:v>20 gels</x:v>
      </x:c>
      <x:c r="H2885" t="str">
        <x:v>Lemon &amp; Lime</x:v>
      </x:c>
      <x:c r="I2885" t="str">
        <x:v>20</x:v>
      </x:c>
      <x:c r="J2885" t="str">
        <x:v>Case</x:v>
      </x:c>
      <x:c r="K2885" t="str">
        <x:v>Out of stock</x:v>
      </x:c>
      <x:c r="L2885" t="str">
        <x:v>2026-09-08</x:v>
      </x:c>
      <x:c r="M2885" t="str"/>
      <x:c r="N2885" t="str"/>
      <x:c r="O2885" t="str">
        <x:v>https://www.activesportstrade.co.uk/Carb-Powders</x:v>
      </x:c>
      <x:c r="P2885" t="str">
        <x:v>VAT FREE wording stripped; supplier order unit preserved as 20-gel box.</x:v>
      </x:c>
      <x:c r="Q2885" t="str"/>
      <x:c r="R2885" t="str"/>
      <x:c r="S2885" t="str">
        <x:v>Pending genuine supplier/brand image</x:v>
      </x:c>
      <x:c r="T2885" s="54" t="n">
        <x:v>15.95</x:v>
      </x:c>
      <x:c r="U2885" s="47" t="n">
        <x:v>0</x:v>
      </x:c>
      <x:c r="V2885" s="54" t="n">
        <x:f>IF(ISNUMBER(T2885),T2885*(1+U2885),"")</x:f>
        <x:v>15.95</x:v>
      </x:c>
      <x:c r="W2885" s="47" t="n">
        <x:v>0.3</x:v>
      </x:c>
      <x:c r="X2885" s="54" t="n">
        <x:f>IF(ISNUMBER(V2885),V2885/(1-W2885),"")</x:f>
        <x:v>22.785714285714285</x:v>
      </x:c>
      <x:c r="Y2885" s="55" t="n">
        <x:f>IF(ISNUMBER(X2885),ROUNDUP(X2885,0),"")</x:f>
        <x:v>23</x:v>
      </x:c>
      <x:c r="Z2885" t="str">
        <x:v>Source match pending</x:v>
      </x:c>
      <x:c r="AA2885" t="str">
        <x:v>screencapture-www-activesportstrade-co-uk-applied-nutrition-trade-2026-09-10-08_59_59.pdf / page-11</x:v>
      </x:c>
      <x:c r="AB2885" s="36" t="n">
        <x:f>IF(ISNUMBER(Y2885),ROUND(Y2885*0.9,2),"")</x:f>
        <x:v>20.7</x:v>
      </x:c>
      <x:c r="AC2885" s="36" t="n">
        <x:f>IF(ISNUMBER(AB2885),ROUND(AB2885-(AB2885*0.015+0.2)-V2885,2),"")</x:f>
        <x:v>4.24</x:v>
      </x:c>
      <x:c r="AD2885" s="36" t="n">
        <x:f>IF(ISNUMBER(Y2885),ROUND(Y2885*0.8,2),"")</x:f>
        <x:v>18.4</x:v>
      </x:c>
      <x:c r="AE2885" s="36" t="n">
        <x:f>IF(ISNUMBER(AD2885),ROUND(AD2885*0.015+0.2,2),"")</x:f>
        <x:v>0.48</x:v>
      </x:c>
      <x:c r="AF2885" s="36" t="n">
        <x:f>IF(ISNUMBER(AD2885),ROUND(AD2885-AE2885-V2885,2),"")</x:f>
        <x:v>1.97</x:v>
      </x:c>
      <x:c r="AG2885" t="str">
        <x:f>IF(NOT(ISNUMBER(T2885)),"PENDING",IF(AF2885&gt;0,"PASS","FAIL"))</x:f>
        <x:v>PASS</x:v>
      </x:c>
      <x:c r="AH2885" t="str">
        <x:f>IF(NOT(ISNUMBER(T2885)),"Needs supplier cost",IF(K2885&lt;&gt;"In stock","Supplier unavailable",IF(AG2885&lt;&gt;"PASS","BLOCK - GT loss risk","Commercially protected")))</x:f>
        <x:v>Supplier unavailable</x:v>
      </x:c>
      <x:c r="AI2885" t="str">
        <x:v>2026-09-10 Active Sports trade capture</x:v>
      </x:c>
      <x:c r="AJ2885" t="str">
        <x:v>Management-only economics. Stripe stress test uses 1.5% + £0.20 standard UK online-card fee; pallet/mix-and-match pricing ignored.</x:v>
      </x:c>
    </x:row>
    <x:row r="2886">
      <x:c r="A2886" t="str">
        <x:v>Active Sports Nutrition</x:v>
      </x:c>
      <x:c r="B2886" t="str">
        <x:v>Applied Nutrition</x:v>
      </x:c>
      <x:c r="C2886" t="str">
        <x:v>Endurance Elite Performance Energy Gels</x:v>
      </x:c>
      <x:c r="D2886" t="str">
        <x:v>Food &amp; Drinks</x:v>
      </x:c>
      <x:c r="E2886" t="str">
        <x:v>Energy Gels</x:v>
      </x:c>
      <x:c r="F2886" t="str"/>
      <x:c r="G2886" t="str">
        <x:v>20 gels</x:v>
      </x:c>
      <x:c r="H2886" t="str">
        <x:v>Orange Burst</x:v>
      </x:c>
      <x:c r="I2886" t="str">
        <x:v>20</x:v>
      </x:c>
      <x:c r="J2886" t="str">
        <x:v>Case</x:v>
      </x:c>
      <x:c r="K2886" t="str">
        <x:v>Out of stock</x:v>
      </x:c>
      <x:c r="L2886" t="str">
        <x:v>2026-09-08</x:v>
      </x:c>
      <x:c r="M2886" t="str"/>
      <x:c r="N2886" t="str"/>
      <x:c r="O2886" t="str">
        <x:v>https://www.activesportstrade.co.uk/Carb-Powders</x:v>
      </x:c>
      <x:c r="P2886" t="str">
        <x:v>VAT FREE wording stripped; supplier order unit preserved as 20-gel box.</x:v>
      </x:c>
      <x:c r="Q2886" t="str"/>
      <x:c r="R2886" t="str"/>
      <x:c r="S2886" t="str">
        <x:v>Pending genuine supplier/brand image</x:v>
      </x:c>
      <x:c r="T2886" s="54" t="n">
        <x:v>15.95</x:v>
      </x:c>
      <x:c r="U2886" s="47" t="n">
        <x:v>0</x:v>
      </x:c>
      <x:c r="V2886" s="54" t="n">
        <x:f>IF(ISNUMBER(T2886),T2886*(1+U2886),"")</x:f>
        <x:v>15.95</x:v>
      </x:c>
      <x:c r="W2886" s="47" t="n">
        <x:v>0.3</x:v>
      </x:c>
      <x:c r="X2886" s="54" t="n">
        <x:f>IF(ISNUMBER(V2886),V2886/(1-W2886),"")</x:f>
        <x:v>22.785714285714285</x:v>
      </x:c>
      <x:c r="Y2886" s="55" t="n">
        <x:f>IF(ISNUMBER(X2886),ROUNDUP(X2886,0),"")</x:f>
        <x:v>23</x:v>
      </x:c>
      <x:c r="Z2886" t="str">
        <x:v>Source match pending</x:v>
      </x:c>
      <x:c r="AA2886" t="str">
        <x:v>screencapture-www-activesportstrade-co-uk-applied-nutrition-trade-2026-09-10-08_59_59.pdf / page-11</x:v>
      </x:c>
      <x:c r="AB2886" s="36" t="n">
        <x:f>IF(ISNUMBER(Y2886),ROUND(Y2886*0.9,2),"")</x:f>
        <x:v>20.7</x:v>
      </x:c>
      <x:c r="AC2886" s="36" t="n">
        <x:f>IF(ISNUMBER(AB2886),ROUND(AB2886-(AB2886*0.015+0.2)-V2886,2),"")</x:f>
        <x:v>4.24</x:v>
      </x:c>
      <x:c r="AD2886" s="36" t="n">
        <x:f>IF(ISNUMBER(Y2886),ROUND(Y2886*0.8,2),"")</x:f>
        <x:v>18.4</x:v>
      </x:c>
      <x:c r="AE2886" s="36" t="n">
        <x:f>IF(ISNUMBER(AD2886),ROUND(AD2886*0.015+0.2,2),"")</x:f>
        <x:v>0.48</x:v>
      </x:c>
      <x:c r="AF2886" s="36" t="n">
        <x:f>IF(ISNUMBER(AD2886),ROUND(AD2886-AE2886-V2886,2),"")</x:f>
        <x:v>1.97</x:v>
      </x:c>
      <x:c r="AG2886" t="str">
        <x:f>IF(NOT(ISNUMBER(T2886)),"PENDING",IF(AF2886&gt;0,"PASS","FAIL"))</x:f>
        <x:v>PASS</x:v>
      </x:c>
      <x:c r="AH2886" t="str">
        <x:f>IF(NOT(ISNUMBER(T2886)),"Needs supplier cost",IF(K2886&lt;&gt;"In stock","Supplier unavailable",IF(AG2886&lt;&gt;"PASS","BLOCK - GT loss risk","Commercially protected")))</x:f>
        <x:v>Supplier unavailable</x:v>
      </x:c>
      <x:c r="AI2886" t="str">
        <x:v>2026-09-10 Active Sports trade capture</x:v>
      </x:c>
      <x:c r="AJ2886" t="str">
        <x:v>Management-only economics. Stripe stress test uses 1.5% + £0.20 standard UK online-card fee; pallet/mix-and-match pricing ignored.</x:v>
      </x:c>
    </x:row>
    <x:row r="2887">
      <x:c r="A2887" t="str">
        <x:v>Active Sports Nutrition</x:v>
      </x:c>
      <x:c r="B2887" t="str">
        <x:v>UFIT</x:v>
      </x:c>
      <x:c r="C2887" t="str">
        <x:v>25g Protein Drink RTD</x:v>
      </x:c>
      <x:c r="D2887" t="str">
        <x:v>Food &amp; Drinks</x:v>
      </x:c>
      <x:c r="E2887" t="str">
        <x:v>Ready to Drink Protein</x:v>
      </x:c>
      <x:c r="F2887" t="str"/>
      <x:c r="G2887" t="str">
        <x:v>10 x 330ml</x:v>
      </x:c>
      <x:c r="H2887" t="str">
        <x:v>Banana</x:v>
      </x:c>
      <x:c r="I2887" t="str">
        <x:v>10</x:v>
      </x:c>
      <x:c r="J2887" t="str">
        <x:v>Case</x:v>
      </x:c>
      <x:c r="K2887" t="str">
        <x:v>Out of stock</x:v>
      </x:c>
      <x:c r="L2887" t="str">
        <x:v>2026-09-08</x:v>
      </x:c>
      <x:c r="M2887" t="str"/>
      <x:c r="N2887" t="str"/>
      <x:c r="O2887" t="str">
        <x:v>https://www.activesportstrade.co.uk/ready-to-drink-protein-trade</x:v>
      </x:c>
      <x:c r="P2887" t="str">
        <x:v>VAT FREE / PALLET PROMO / NEW wording stripped; case-only supplier ordering.</x:v>
      </x:c>
      <x:c r="Q2887" t="str"/>
      <x:c r="R2887" t="str"/>
      <x:c r="S2887" t="str">
        <x:v>Pending genuine supplier/brand image</x:v>
      </x:c>
      <x:c r="T2887" s="54" t="n">
        <x:v>12.12</x:v>
      </x:c>
      <x:c r="U2887" s="47" t="n">
        <x:v>0</x:v>
      </x:c>
      <x:c r="V2887" s="54" t="n">
        <x:f>IF(ISNUMBER(T2887),T2887*(1+U2887),"")</x:f>
        <x:v>12.12</x:v>
      </x:c>
      <x:c r="W2887" s="47" t="n">
        <x:v>0.3</x:v>
      </x:c>
      <x:c r="X2887" s="54" t="n">
        <x:f>IF(ISNUMBER(V2887),V2887/(1-W2887),"")</x:f>
        <x:v>17.314285714285713</x:v>
      </x:c>
      <x:c r="Y2887" s="55" t="n">
        <x:f>IF(ISNUMBER(X2887),ROUNDUP(X2887,0),"")</x:f>
        <x:v>18</x:v>
      </x:c>
      <x:c r="Z2887" t="str">
        <x:f>IF(ISNUMBER(T2887),"Cost captured","Awaiting trade cost")</x:f>
        <x:v>Cost captured</x:v>
      </x:c>
      <x:c r="AB2887" s="36" t="n">
        <x:f>IF(ISNUMBER(Y2887),ROUND(Y2887*0.9,2),"")</x:f>
        <x:v>16.2</x:v>
      </x:c>
      <x:c r="AC2887" s="36" t="n">
        <x:f>IF(ISNUMBER(AB2887),ROUND(AB2887-(AB2887*0.015+0.2)-V2887,2),"")</x:f>
        <x:v>3.64</x:v>
      </x:c>
      <x:c r="AD2887" s="36" t="n">
        <x:f>IF(ISNUMBER(Y2887),ROUND(Y2887*0.8,2),"")</x:f>
        <x:v>14.4</x:v>
      </x:c>
      <x:c r="AE2887" s="36" t="n">
        <x:f>IF(ISNUMBER(AD2887),ROUND(AD2887*0.015+0.2,2),"")</x:f>
        <x:v>0.42</x:v>
      </x:c>
      <x:c r="AF2887" s="36" t="n">
        <x:f>IF(ISNUMBER(AD2887),ROUND(AD2887-AE2887-V2887,2),"")</x:f>
        <x:v>1.86</x:v>
      </x:c>
      <x:c r="AG2887" t="str">
        <x:f>IF(NOT(ISNUMBER(T2887)),"PENDING",IF(AF2887&gt;0,"PASS","FAIL"))</x:f>
        <x:v>PASS</x:v>
      </x:c>
      <x:c r="AH2887" t="str">
        <x:f>IF(NOT(ISNUMBER(T2887)),"Needs supplier cost",IF(K2887&lt;&gt;"In stock","Supplier unavailable",IF(AG2887&lt;&gt;"PASS","BLOCK - GT loss risk","Commercially protected")))</x:f>
        <x:v>Supplier unavailable</x:v>
      </x:c>
      <x:c r="AI2887" t="str">
        <x:v>2026-09-10 Active Sports trade capture</x:v>
      </x:c>
      <x:c r="AJ2887" t="str">
        <x:v>Management-only economics. Stripe stress test uses 1.5% + £0.20 standard UK online-card fee; pallet/mix-and-match pricing ignored.</x:v>
      </x:c>
    </x:row>
    <x:row r="2888">
      <x:c r="A2888" t="str">
        <x:v>Active Sports Nutrition</x:v>
      </x:c>
      <x:c r="B2888" t="str">
        <x:v>UFIT</x:v>
      </x:c>
      <x:c r="C2888" t="str">
        <x:v>25g Protein Drink RTD</x:v>
      </x:c>
      <x:c r="D2888" t="str">
        <x:v>Food &amp; Drinks</x:v>
      </x:c>
      <x:c r="E2888" t="str">
        <x:v>Ready to Drink Protein</x:v>
      </x:c>
      <x:c r="F2888" t="str"/>
      <x:c r="G2888" t="str">
        <x:v>10 x 330ml</x:v>
      </x:c>
      <x:c r="H2888" t="str">
        <x:v>Chocolate</x:v>
      </x:c>
      <x:c r="I2888" t="str">
        <x:v>10</x:v>
      </x:c>
      <x:c r="J2888" t="str">
        <x:v>Case</x:v>
      </x:c>
      <x:c r="K2888" t="str">
        <x:v>In stock</x:v>
      </x:c>
      <x:c r="L2888" t="str">
        <x:v>2026-09-08</x:v>
      </x:c>
      <x:c r="M2888" t="str"/>
      <x:c r="N2888" t="str"/>
      <x:c r="O2888" t="str">
        <x:v>https://www.activesportstrade.co.uk/ready-to-drink-protein-trade</x:v>
      </x:c>
      <x:c r="P2888" t="str">
        <x:v>VAT FREE / PALLET PROMO / NEW wording stripped; case-only supplier ordering.</x:v>
      </x:c>
      <x:c r="Q2888" t="str"/>
      <x:c r="R2888" t="str"/>
      <x:c r="S2888" t="str">
        <x:v>Pending genuine supplier/brand image</x:v>
      </x:c>
      <x:c r="T2888" s="54" t="n">
        <x:v>12.12</x:v>
      </x:c>
      <x:c r="U2888" s="47" t="n">
        <x:v>0</x:v>
      </x:c>
      <x:c r="V2888" s="54" t="n">
        <x:f>IF(ISNUMBER(T2888),T2888*(1+U2888),"")</x:f>
        <x:v>12.12</x:v>
      </x:c>
      <x:c r="W2888" s="47" t="n">
        <x:v>0.3</x:v>
      </x:c>
      <x:c r="X2888" s="54" t="n">
        <x:f>IF(ISNUMBER(V2888),V2888/(1-W2888),"")</x:f>
        <x:v>17.314285714285713</x:v>
      </x:c>
      <x:c r="Y2888" s="55" t="n">
        <x:f>IF(ISNUMBER(X2888),ROUNDUP(X2888,0),"")</x:f>
        <x:v>18</x:v>
      </x:c>
      <x:c r="Z2888" t="str">
        <x:f>IF(ISNUMBER(T2888),"Cost captured","Awaiting trade cost")</x:f>
        <x:v>Cost captured</x:v>
      </x:c>
      <x:c r="AB2888" s="36" t="n">
        <x:f>IF(ISNUMBER(Y2888),ROUND(Y2888*0.9,2),"")</x:f>
        <x:v>16.2</x:v>
      </x:c>
      <x:c r="AC2888" s="36" t="n">
        <x:f>IF(ISNUMBER(AB2888),ROUND(AB2888-(AB2888*0.015+0.2)-V2888,2),"")</x:f>
        <x:v>3.64</x:v>
      </x:c>
      <x:c r="AD2888" s="36" t="n">
        <x:f>IF(ISNUMBER(Y2888),ROUND(Y2888*0.8,2),"")</x:f>
        <x:v>14.4</x:v>
      </x:c>
      <x:c r="AE2888" s="36" t="n">
        <x:f>IF(ISNUMBER(AD2888),ROUND(AD2888*0.015+0.2,2),"")</x:f>
        <x:v>0.42</x:v>
      </x:c>
      <x:c r="AF2888" s="36" t="n">
        <x:f>IF(ISNUMBER(AD2888),ROUND(AD2888-AE2888-V2888,2),"")</x:f>
        <x:v>1.86</x:v>
      </x:c>
      <x:c r="AG2888" t="str">
        <x:f>IF(NOT(ISNUMBER(T2888)),"PENDING",IF(AF2888&gt;0,"PASS","FAIL"))</x:f>
        <x:v>PASS</x:v>
      </x:c>
      <x:c r="AH2888" t="str">
        <x:f>IF(NOT(ISNUMBER(T2888)),"Needs supplier cost",IF(K2888&lt;&gt;"In stock","Supplier unavailable",IF(AG2888&lt;&gt;"PASS","BLOCK - GT loss risk","Commercially protected")))</x:f>
        <x:v>Commercially protected</x:v>
      </x:c>
      <x:c r="AI2888" t="str">
        <x:v>2026-09-10 Active Sports trade capture</x:v>
      </x:c>
      <x:c r="AJ2888" t="str">
        <x:v>Management-only economics. Stripe stress test uses 1.5% + £0.20 standard UK online-card fee; pallet/mix-and-match pricing ignored.</x:v>
      </x:c>
    </x:row>
    <x:row r="2889">
      <x:c r="A2889" t="str">
        <x:v>Active Sports Nutrition</x:v>
      </x:c>
      <x:c r="B2889" t="str">
        <x:v>UFIT</x:v>
      </x:c>
      <x:c r="C2889" t="str">
        <x:v>25g Protein Drink RTD</x:v>
      </x:c>
      <x:c r="D2889" t="str">
        <x:v>Food &amp; Drinks</x:v>
      </x:c>
      <x:c r="E2889" t="str">
        <x:v>Ready to Drink Protein</x:v>
      </x:c>
      <x:c r="F2889" t="str"/>
      <x:c r="G2889" t="str">
        <x:v>10 x 330ml</x:v>
      </x:c>
      <x:c r="H2889" t="str">
        <x:v>Iced Latte</x:v>
      </x:c>
      <x:c r="I2889" t="str">
        <x:v>10</x:v>
      </x:c>
      <x:c r="J2889" t="str">
        <x:v>Case</x:v>
      </x:c>
      <x:c r="K2889" t="str">
        <x:v>Out of stock</x:v>
      </x:c>
      <x:c r="L2889" t="str">
        <x:v>2026-09-08</x:v>
      </x:c>
      <x:c r="M2889" t="str"/>
      <x:c r="N2889" t="str"/>
      <x:c r="O2889" t="str">
        <x:v>https://www.activesportstrade.co.uk/ready-to-drink-protein-trade</x:v>
      </x:c>
      <x:c r="P2889" t="str">
        <x:v>VAT FREE / PALLET PROMO / NEW wording stripped; case-only supplier ordering.</x:v>
      </x:c>
      <x:c r="Q2889" t="str"/>
      <x:c r="R2889" t="str"/>
      <x:c r="S2889" t="str">
        <x:v>Pending genuine supplier/brand image</x:v>
      </x:c>
      <x:c r="T2889" s="54" t="n">
        <x:v>12.12</x:v>
      </x:c>
      <x:c r="U2889" s="47" t="n">
        <x:v>0</x:v>
      </x:c>
      <x:c r="V2889" s="54" t="n">
        <x:f>IF(ISNUMBER(T2889),T2889*(1+U2889),"")</x:f>
        <x:v>12.12</x:v>
      </x:c>
      <x:c r="W2889" s="47" t="n">
        <x:v>0.3</x:v>
      </x:c>
      <x:c r="X2889" s="54" t="n">
        <x:f>IF(ISNUMBER(V2889),V2889/(1-W2889),"")</x:f>
        <x:v>17.314285714285713</x:v>
      </x:c>
      <x:c r="Y2889" s="55" t="n">
        <x:f>IF(ISNUMBER(X2889),ROUNDUP(X2889,0),"")</x:f>
        <x:v>18</x:v>
      </x:c>
      <x:c r="Z2889" t="str">
        <x:f>IF(ISNUMBER(T2889),"Cost captured","Awaiting trade cost")</x:f>
        <x:v>Cost captured</x:v>
      </x:c>
      <x:c r="AB2889" s="36" t="n">
        <x:f>IF(ISNUMBER(Y2889),ROUND(Y2889*0.9,2),"")</x:f>
        <x:v>16.2</x:v>
      </x:c>
      <x:c r="AC2889" s="36" t="n">
        <x:f>IF(ISNUMBER(AB2889),ROUND(AB2889-(AB2889*0.015+0.2)-V2889,2),"")</x:f>
        <x:v>3.64</x:v>
      </x:c>
      <x:c r="AD2889" s="36" t="n">
        <x:f>IF(ISNUMBER(Y2889),ROUND(Y2889*0.8,2),"")</x:f>
        <x:v>14.4</x:v>
      </x:c>
      <x:c r="AE2889" s="36" t="n">
        <x:f>IF(ISNUMBER(AD2889),ROUND(AD2889*0.015+0.2,2),"")</x:f>
        <x:v>0.42</x:v>
      </x:c>
      <x:c r="AF2889" s="36" t="n">
        <x:f>IF(ISNUMBER(AD2889),ROUND(AD2889-AE2889-V2889,2),"")</x:f>
        <x:v>1.86</x:v>
      </x:c>
      <x:c r="AG2889" t="str">
        <x:f>IF(NOT(ISNUMBER(T2889)),"PENDING",IF(AF2889&gt;0,"PASS","FAIL"))</x:f>
        <x:v>PASS</x:v>
      </x:c>
      <x:c r="AH2889" t="str">
        <x:f>IF(NOT(ISNUMBER(T2889)),"Needs supplier cost",IF(K2889&lt;&gt;"In stock","Supplier unavailable",IF(AG2889&lt;&gt;"PASS","BLOCK - GT loss risk","Commercially protected")))</x:f>
        <x:v>Supplier unavailable</x:v>
      </x:c>
      <x:c r="AI2889" t="str">
        <x:v>2026-09-10 Active Sports trade capture</x:v>
      </x:c>
      <x:c r="AJ2889" t="str">
        <x:v>Management-only economics. Stripe stress test uses 1.5% + £0.20 standard UK online-card fee; pallet/mix-and-match pricing ignored.</x:v>
      </x:c>
    </x:row>
    <x:row r="2890">
      <x:c r="A2890" t="str">
        <x:v>Active Sports Nutrition</x:v>
      </x:c>
      <x:c r="B2890" t="str">
        <x:v>UFIT</x:v>
      </x:c>
      <x:c r="C2890" t="str">
        <x:v>25g Protein Drink RTD</x:v>
      </x:c>
      <x:c r="D2890" t="str">
        <x:v>Food &amp; Drinks</x:v>
      </x:c>
      <x:c r="E2890" t="str">
        <x:v>Ready to Drink Protein</x:v>
      </x:c>
      <x:c r="F2890" t="str"/>
      <x:c r="G2890" t="str">
        <x:v>10 x 330ml</x:v>
      </x:c>
      <x:c r="H2890" t="str">
        <x:v>Raspberry Ripple</x:v>
      </x:c>
      <x:c r="I2890" t="str">
        <x:v>10</x:v>
      </x:c>
      <x:c r="J2890" t="str">
        <x:v>Case</x:v>
      </x:c>
      <x:c r="K2890" t="str">
        <x:v>Out of stock</x:v>
      </x:c>
      <x:c r="L2890" t="str">
        <x:v>2026-09-08</x:v>
      </x:c>
      <x:c r="M2890" t="str"/>
      <x:c r="N2890" t="str"/>
      <x:c r="O2890" t="str">
        <x:v>https://www.activesportstrade.co.uk/ready-to-drink-protein-trade</x:v>
      </x:c>
      <x:c r="P2890" t="str">
        <x:v>VAT FREE / PALLET PROMO / NEW wording stripped; case-only supplier ordering.</x:v>
      </x:c>
      <x:c r="Q2890" t="str"/>
      <x:c r="R2890" t="str"/>
      <x:c r="S2890" t="str">
        <x:v>Pending genuine supplier/brand image</x:v>
      </x:c>
      <x:c r="T2890" s="54" t="n">
        <x:v>12.12</x:v>
      </x:c>
      <x:c r="U2890" s="47" t="n">
        <x:v>0</x:v>
      </x:c>
      <x:c r="V2890" s="54" t="n">
        <x:f>IF(ISNUMBER(T2890),T2890*(1+U2890),"")</x:f>
        <x:v>12.12</x:v>
      </x:c>
      <x:c r="W2890" s="47" t="n">
        <x:v>0.3</x:v>
      </x:c>
      <x:c r="X2890" s="54" t="n">
        <x:f>IF(ISNUMBER(V2890),V2890/(1-W2890),"")</x:f>
        <x:v>17.314285714285713</x:v>
      </x:c>
      <x:c r="Y2890" s="55" t="n">
        <x:f>IF(ISNUMBER(X2890),ROUNDUP(X2890,0),"")</x:f>
        <x:v>18</x:v>
      </x:c>
      <x:c r="Z2890" t="str">
        <x:f>IF(ISNUMBER(T2890),"Cost captured","Awaiting trade cost")</x:f>
        <x:v>Cost captured</x:v>
      </x:c>
      <x:c r="AB2890" s="36" t="n">
        <x:f>IF(ISNUMBER(Y2890),ROUND(Y2890*0.9,2),"")</x:f>
        <x:v>16.2</x:v>
      </x:c>
      <x:c r="AC2890" s="36" t="n">
        <x:f>IF(ISNUMBER(AB2890),ROUND(AB2890-(AB2890*0.015+0.2)-V2890,2),"")</x:f>
        <x:v>3.64</x:v>
      </x:c>
      <x:c r="AD2890" s="36" t="n">
        <x:f>IF(ISNUMBER(Y2890),ROUND(Y2890*0.8,2),"")</x:f>
        <x:v>14.4</x:v>
      </x:c>
      <x:c r="AE2890" s="36" t="n">
        <x:f>IF(ISNUMBER(AD2890),ROUND(AD2890*0.015+0.2,2),"")</x:f>
        <x:v>0.42</x:v>
      </x:c>
      <x:c r="AF2890" s="36" t="n">
        <x:f>IF(ISNUMBER(AD2890),ROUND(AD2890-AE2890-V2890,2),"")</x:f>
        <x:v>1.86</x:v>
      </x:c>
      <x:c r="AG2890" t="str">
        <x:f>IF(NOT(ISNUMBER(T2890)),"PENDING",IF(AF2890&gt;0,"PASS","FAIL"))</x:f>
        <x:v>PASS</x:v>
      </x:c>
      <x:c r="AH2890" t="str">
        <x:f>IF(NOT(ISNUMBER(T2890)),"Needs supplier cost",IF(K2890&lt;&gt;"In stock","Supplier unavailable",IF(AG2890&lt;&gt;"PASS","BLOCK - GT loss risk","Commercially protected")))</x:f>
        <x:v>Supplier unavailable</x:v>
      </x:c>
      <x:c r="AI2890" t="str">
        <x:v>2026-09-10 Active Sports trade capture</x:v>
      </x:c>
      <x:c r="AJ2890" t="str">
        <x:v>Management-only economics. Stripe stress test uses 1.5% + £0.20 standard UK online-card fee; pallet/mix-and-match pricing ignored.</x:v>
      </x:c>
    </x:row>
    <x:row r="2891">
      <x:c r="A2891" t="str">
        <x:v>Active Sports Nutrition</x:v>
      </x:c>
      <x:c r="B2891" t="str">
        <x:v>UFIT</x:v>
      </x:c>
      <x:c r="C2891" t="str">
        <x:v>25g Protein Drink RTD</x:v>
      </x:c>
      <x:c r="D2891" t="str">
        <x:v>Food &amp; Drinks</x:v>
      </x:c>
      <x:c r="E2891" t="str">
        <x:v>Ready to Drink Protein</x:v>
      </x:c>
      <x:c r="F2891" t="str"/>
      <x:c r="G2891" t="str">
        <x:v>10 x 330ml</x:v>
      </x:c>
      <x:c r="H2891" t="str">
        <x:v>Salted Caramel</x:v>
      </x:c>
      <x:c r="I2891" t="str">
        <x:v>10</x:v>
      </x:c>
      <x:c r="J2891" t="str">
        <x:v>Case</x:v>
      </x:c>
      <x:c r="K2891" t="str">
        <x:v>In stock</x:v>
      </x:c>
      <x:c r="L2891" t="str">
        <x:v>2026-09-08</x:v>
      </x:c>
      <x:c r="M2891" t="str"/>
      <x:c r="N2891" t="str"/>
      <x:c r="O2891" t="str">
        <x:v>https://www.activesportstrade.co.uk/ready-to-drink-protein-trade</x:v>
      </x:c>
      <x:c r="P2891" t="str">
        <x:v>VAT FREE / PALLET PROMO / NEW wording stripped; case-only supplier ordering.</x:v>
      </x:c>
      <x:c r="Q2891" t="str"/>
      <x:c r="R2891" t="str"/>
      <x:c r="S2891" t="str">
        <x:v>Pending genuine supplier/brand image</x:v>
      </x:c>
      <x:c r="T2891" s="54" t="n">
        <x:v>12.12</x:v>
      </x:c>
      <x:c r="U2891" s="47" t="n">
        <x:v>0</x:v>
      </x:c>
      <x:c r="V2891" s="54" t="n">
        <x:f>IF(ISNUMBER(T2891),T2891*(1+U2891),"")</x:f>
        <x:v>12.12</x:v>
      </x:c>
      <x:c r="W2891" s="47" t="n">
        <x:v>0.3</x:v>
      </x:c>
      <x:c r="X2891" s="54" t="n">
        <x:f>IF(ISNUMBER(V2891),V2891/(1-W2891),"")</x:f>
        <x:v>17.314285714285713</x:v>
      </x:c>
      <x:c r="Y2891" s="55" t="n">
        <x:f>IF(ISNUMBER(X2891),ROUNDUP(X2891,0),"")</x:f>
        <x:v>18</x:v>
      </x:c>
      <x:c r="Z2891" t="str">
        <x:f>IF(ISNUMBER(T2891),"Cost captured","Awaiting trade cost")</x:f>
        <x:v>Cost captured</x:v>
      </x:c>
      <x:c r="AB2891" s="36" t="n">
        <x:f>IF(ISNUMBER(Y2891),ROUND(Y2891*0.9,2),"")</x:f>
        <x:v>16.2</x:v>
      </x:c>
      <x:c r="AC2891" s="36" t="n">
        <x:f>IF(ISNUMBER(AB2891),ROUND(AB2891-(AB2891*0.015+0.2)-V2891,2),"")</x:f>
        <x:v>3.64</x:v>
      </x:c>
      <x:c r="AD2891" s="36" t="n">
        <x:f>IF(ISNUMBER(Y2891),ROUND(Y2891*0.8,2),"")</x:f>
        <x:v>14.4</x:v>
      </x:c>
      <x:c r="AE2891" s="36" t="n">
        <x:f>IF(ISNUMBER(AD2891),ROUND(AD2891*0.015+0.2,2),"")</x:f>
        <x:v>0.42</x:v>
      </x:c>
      <x:c r="AF2891" s="36" t="n">
        <x:f>IF(ISNUMBER(AD2891),ROUND(AD2891-AE2891-V2891,2),"")</x:f>
        <x:v>1.86</x:v>
      </x:c>
      <x:c r="AG2891" t="str">
        <x:f>IF(NOT(ISNUMBER(T2891)),"PENDING",IF(AF2891&gt;0,"PASS","FAIL"))</x:f>
        <x:v>PASS</x:v>
      </x:c>
      <x:c r="AH2891" t="str">
        <x:f>IF(NOT(ISNUMBER(T2891)),"Needs supplier cost",IF(K2891&lt;&gt;"In stock","Supplier unavailable",IF(AG2891&lt;&gt;"PASS","BLOCK - GT loss risk","Commercially protected")))</x:f>
        <x:v>Commercially protected</x:v>
      </x:c>
      <x:c r="AI2891" t="str">
        <x:v>2026-09-10 Active Sports trade capture</x:v>
      </x:c>
      <x:c r="AJ2891" t="str">
        <x:v>Management-only economics. Stripe stress test uses 1.5% + £0.20 standard UK online-card fee; pallet/mix-and-match pricing ignored.</x:v>
      </x:c>
    </x:row>
    <x:row r="2892">
      <x:c r="A2892" t="str">
        <x:v>Active Sports Nutrition</x:v>
      </x:c>
      <x:c r="B2892" t="str">
        <x:v>UFIT</x:v>
      </x:c>
      <x:c r="C2892" t="str">
        <x:v>25g Protein Drink RTD</x:v>
      </x:c>
      <x:c r="D2892" t="str">
        <x:v>Food &amp; Drinks</x:v>
      </x:c>
      <x:c r="E2892" t="str">
        <x:v>Ready to Drink Protein</x:v>
      </x:c>
      <x:c r="F2892" t="str"/>
      <x:c r="G2892" t="str">
        <x:v>10 x 330ml</x:v>
      </x:c>
      <x:c r="H2892" t="str">
        <x:v>Strawberry</x:v>
      </x:c>
      <x:c r="I2892" t="str">
        <x:v>10</x:v>
      </x:c>
      <x:c r="J2892" t="str">
        <x:v>Case</x:v>
      </x:c>
      <x:c r="K2892" t="str">
        <x:v>Out of stock</x:v>
      </x:c>
      <x:c r="L2892" t="str">
        <x:v>2026-09-08</x:v>
      </x:c>
      <x:c r="M2892" t="str"/>
      <x:c r="N2892" t="str"/>
      <x:c r="O2892" t="str">
        <x:v>https://www.activesportstrade.co.uk/ready-to-drink-protein-trade</x:v>
      </x:c>
      <x:c r="P2892" t="str">
        <x:v>VAT FREE / PALLET PROMO / NEW wording stripped; case-only supplier ordering.</x:v>
      </x:c>
      <x:c r="Q2892" t="str"/>
      <x:c r="R2892" t="str"/>
      <x:c r="S2892" t="str">
        <x:v>Pending genuine supplier/brand image</x:v>
      </x:c>
      <x:c r="T2892" s="54" t="n">
        <x:v>12.12</x:v>
      </x:c>
      <x:c r="U2892" s="47" t="n">
        <x:v>0</x:v>
      </x:c>
      <x:c r="V2892" s="54" t="n">
        <x:f>IF(ISNUMBER(T2892),T2892*(1+U2892),"")</x:f>
        <x:v>12.12</x:v>
      </x:c>
      <x:c r="W2892" s="47" t="n">
        <x:v>0.3</x:v>
      </x:c>
      <x:c r="X2892" s="54" t="n">
        <x:f>IF(ISNUMBER(V2892),V2892/(1-W2892),"")</x:f>
        <x:v>17.314285714285713</x:v>
      </x:c>
      <x:c r="Y2892" s="55" t="n">
        <x:f>IF(ISNUMBER(X2892),ROUNDUP(X2892,0),"")</x:f>
        <x:v>18</x:v>
      </x:c>
      <x:c r="Z2892" t="str">
        <x:f>IF(ISNUMBER(T2892),"Cost captured","Awaiting trade cost")</x:f>
        <x:v>Cost captured</x:v>
      </x:c>
      <x:c r="AB2892" s="36" t="n">
        <x:f>IF(ISNUMBER(Y2892),ROUND(Y2892*0.9,2),"")</x:f>
        <x:v>16.2</x:v>
      </x:c>
      <x:c r="AC2892" s="36" t="n">
        <x:f>IF(ISNUMBER(AB2892),ROUND(AB2892-(AB2892*0.015+0.2)-V2892,2),"")</x:f>
        <x:v>3.64</x:v>
      </x:c>
      <x:c r="AD2892" s="36" t="n">
        <x:f>IF(ISNUMBER(Y2892),ROUND(Y2892*0.8,2),"")</x:f>
        <x:v>14.4</x:v>
      </x:c>
      <x:c r="AE2892" s="36" t="n">
        <x:f>IF(ISNUMBER(AD2892),ROUND(AD2892*0.015+0.2,2),"")</x:f>
        <x:v>0.42</x:v>
      </x:c>
      <x:c r="AF2892" s="36" t="n">
        <x:f>IF(ISNUMBER(AD2892),ROUND(AD2892-AE2892-V2892,2),"")</x:f>
        <x:v>1.86</x:v>
      </x:c>
      <x:c r="AG2892" t="str">
        <x:f>IF(NOT(ISNUMBER(T2892)),"PENDING",IF(AF2892&gt;0,"PASS","FAIL"))</x:f>
        <x:v>PASS</x:v>
      </x:c>
      <x:c r="AH2892" t="str">
        <x:f>IF(NOT(ISNUMBER(T2892)),"Needs supplier cost",IF(K2892&lt;&gt;"In stock","Supplier unavailable",IF(AG2892&lt;&gt;"PASS","BLOCK - GT loss risk","Commercially protected")))</x:f>
        <x:v>Supplier unavailable</x:v>
      </x:c>
      <x:c r="AI2892" t="str">
        <x:v>2026-09-10 Active Sports trade capture</x:v>
      </x:c>
      <x:c r="AJ2892" t="str">
        <x:v>Management-only economics. Stripe stress test uses 1.5% + £0.20 standard UK online-card fee; pallet/mix-and-match pricing ignored.</x:v>
      </x:c>
    </x:row>
    <x:row r="2893">
      <x:c r="A2893" t="str">
        <x:v>Active Sports Nutrition</x:v>
      </x:c>
      <x:c r="B2893" t="str">
        <x:v>UFIT</x:v>
      </x:c>
      <x:c r="C2893" t="str">
        <x:v>25g Protein Drink RTD</x:v>
      </x:c>
      <x:c r="D2893" t="str">
        <x:v>Food &amp; Drinks</x:v>
      </x:c>
      <x:c r="E2893" t="str">
        <x:v>Ready to Drink Protein</x:v>
      </x:c>
      <x:c r="F2893" t="str"/>
      <x:c r="G2893" t="str">
        <x:v>10 x 330ml</x:v>
      </x:c>
      <x:c r="H2893" t="str">
        <x:v>Vanilla</x:v>
      </x:c>
      <x:c r="I2893" t="str">
        <x:v>10</x:v>
      </x:c>
      <x:c r="J2893" t="str">
        <x:v>Case</x:v>
      </x:c>
      <x:c r="K2893" t="str">
        <x:v>Out of stock</x:v>
      </x:c>
      <x:c r="L2893" t="str">
        <x:v>2026-09-08</x:v>
      </x:c>
      <x:c r="M2893" t="str"/>
      <x:c r="N2893" t="str"/>
      <x:c r="O2893" t="str">
        <x:v>https://www.activesportstrade.co.uk/ready-to-drink-protein-trade</x:v>
      </x:c>
      <x:c r="P2893" t="str">
        <x:v>VAT FREE / PALLET PROMO / NEW wording stripped; case-only supplier ordering.</x:v>
      </x:c>
      <x:c r="Q2893" t="str"/>
      <x:c r="R2893" t="str"/>
      <x:c r="S2893" t="str">
        <x:v>Pending genuine supplier/brand image</x:v>
      </x:c>
      <x:c r="T2893" s="54" t="n">
        <x:v>12.12</x:v>
      </x:c>
      <x:c r="U2893" s="47" t="n">
        <x:v>0</x:v>
      </x:c>
      <x:c r="V2893" s="54" t="n">
        <x:f>IF(ISNUMBER(T2893),T2893*(1+U2893),"")</x:f>
        <x:v>12.12</x:v>
      </x:c>
      <x:c r="W2893" s="47" t="n">
        <x:v>0.3</x:v>
      </x:c>
      <x:c r="X2893" s="54" t="n">
        <x:f>IF(ISNUMBER(V2893),V2893/(1-W2893),"")</x:f>
        <x:v>17.314285714285713</x:v>
      </x:c>
      <x:c r="Y2893" s="55" t="n">
        <x:f>IF(ISNUMBER(X2893),ROUNDUP(X2893,0),"")</x:f>
        <x:v>18</x:v>
      </x:c>
      <x:c r="Z2893" t="str">
        <x:f>IF(ISNUMBER(T2893),"Cost captured","Awaiting trade cost")</x:f>
        <x:v>Cost captured</x:v>
      </x:c>
      <x:c r="AB2893" s="36" t="n">
        <x:f>IF(ISNUMBER(Y2893),ROUND(Y2893*0.9,2),"")</x:f>
        <x:v>16.2</x:v>
      </x:c>
      <x:c r="AC2893" s="36" t="n">
        <x:f>IF(ISNUMBER(AB2893),ROUND(AB2893-(AB2893*0.015+0.2)-V2893,2),"")</x:f>
        <x:v>3.64</x:v>
      </x:c>
      <x:c r="AD2893" s="36" t="n">
        <x:f>IF(ISNUMBER(Y2893),ROUND(Y2893*0.8,2),"")</x:f>
        <x:v>14.4</x:v>
      </x:c>
      <x:c r="AE2893" s="36" t="n">
        <x:f>IF(ISNUMBER(AD2893),ROUND(AD2893*0.015+0.2,2),"")</x:f>
        <x:v>0.42</x:v>
      </x:c>
      <x:c r="AF2893" s="36" t="n">
        <x:f>IF(ISNUMBER(AD2893),ROUND(AD2893-AE2893-V2893,2),"")</x:f>
        <x:v>1.86</x:v>
      </x:c>
      <x:c r="AG2893" t="str">
        <x:f>IF(NOT(ISNUMBER(T2893)),"PENDING",IF(AF2893&gt;0,"PASS","FAIL"))</x:f>
        <x:v>PASS</x:v>
      </x:c>
      <x:c r="AH2893" t="str">
        <x:f>IF(NOT(ISNUMBER(T2893)),"Needs supplier cost",IF(K2893&lt;&gt;"In stock","Supplier unavailable",IF(AG2893&lt;&gt;"PASS","BLOCK - GT loss risk","Commercially protected")))</x:f>
        <x:v>Supplier unavailable</x:v>
      </x:c>
      <x:c r="AI2893" t="str">
        <x:v>2026-09-10 Active Sports trade capture</x:v>
      </x:c>
      <x:c r="AJ2893" t="str">
        <x:v>Management-only economics. Stripe stress test uses 1.5% + £0.20 standard UK online-card fee; pallet/mix-and-match pricing ignored.</x:v>
      </x:c>
    </x:row>
    <x:row r="2894">
      <x:c r="A2894" t="str">
        <x:v>Active Sports Nutrition</x:v>
      </x:c>
      <x:c r="B2894" t="str">
        <x:v>UFIT</x:v>
      </x:c>
      <x:c r="C2894" t="str">
        <x:v>25g Protein Drink RTD</x:v>
      </x:c>
      <x:c r="D2894" t="str">
        <x:v>Food &amp; Drinks</x:v>
      </x:c>
      <x:c r="E2894" t="str">
        <x:v>Ready to Drink Protein</x:v>
      </x:c>
      <x:c r="F2894" t="str"/>
      <x:c r="G2894" t="str">
        <x:v>10 x 330ml</x:v>
      </x:c>
      <x:c r="H2894" t="str">
        <x:v>White Chocolate</x:v>
      </x:c>
      <x:c r="I2894" t="str">
        <x:v>10</x:v>
      </x:c>
      <x:c r="J2894" t="str">
        <x:v>Case</x:v>
      </x:c>
      <x:c r="K2894" t="str">
        <x:v>In stock</x:v>
      </x:c>
      <x:c r="L2894" t="str">
        <x:v>2026-09-08</x:v>
      </x:c>
      <x:c r="M2894" t="str"/>
      <x:c r="N2894" t="str"/>
      <x:c r="O2894" t="str">
        <x:v>https://www.activesportstrade.co.uk/ready-to-drink-protein-trade</x:v>
      </x:c>
      <x:c r="P2894" t="str">
        <x:v>VAT FREE / PALLET PROMO / NEW wording stripped; case-only supplier ordering.</x:v>
      </x:c>
      <x:c r="Q2894" t="str"/>
      <x:c r="R2894" t="str"/>
      <x:c r="S2894" t="str">
        <x:v>Pending genuine supplier/brand image</x:v>
      </x:c>
      <x:c r="T2894" s="54" t="n">
        <x:v>12.12</x:v>
      </x:c>
      <x:c r="U2894" s="47" t="n">
        <x:v>0</x:v>
      </x:c>
      <x:c r="V2894" s="54" t="n">
        <x:f>IF(ISNUMBER(T2894),T2894*(1+U2894),"")</x:f>
        <x:v>12.12</x:v>
      </x:c>
      <x:c r="W2894" s="47" t="n">
        <x:v>0.3</x:v>
      </x:c>
      <x:c r="X2894" s="54" t="n">
        <x:f>IF(ISNUMBER(V2894),V2894/(1-W2894),"")</x:f>
        <x:v>17.314285714285713</x:v>
      </x:c>
      <x:c r="Y2894" s="55" t="n">
        <x:f>IF(ISNUMBER(X2894),ROUNDUP(X2894,0),"")</x:f>
        <x:v>18</x:v>
      </x:c>
      <x:c r="Z2894" t="str">
        <x:f>IF(ISNUMBER(T2894),"Cost captured","Awaiting trade cost")</x:f>
        <x:v>Cost captured</x:v>
      </x:c>
      <x:c r="AB2894" s="36" t="n">
        <x:f>IF(ISNUMBER(Y2894),ROUND(Y2894*0.9,2),"")</x:f>
        <x:v>16.2</x:v>
      </x:c>
      <x:c r="AC2894" s="36" t="n">
        <x:f>IF(ISNUMBER(AB2894),ROUND(AB2894-(AB2894*0.015+0.2)-V2894,2),"")</x:f>
        <x:v>3.64</x:v>
      </x:c>
      <x:c r="AD2894" s="36" t="n">
        <x:f>IF(ISNUMBER(Y2894),ROUND(Y2894*0.8,2),"")</x:f>
        <x:v>14.4</x:v>
      </x:c>
      <x:c r="AE2894" s="36" t="n">
        <x:f>IF(ISNUMBER(AD2894),ROUND(AD2894*0.015+0.2,2),"")</x:f>
        <x:v>0.42</x:v>
      </x:c>
      <x:c r="AF2894" s="36" t="n">
        <x:f>IF(ISNUMBER(AD2894),ROUND(AD2894-AE2894-V2894,2),"")</x:f>
        <x:v>1.86</x:v>
      </x:c>
      <x:c r="AG2894" t="str">
        <x:f>IF(NOT(ISNUMBER(T2894)),"PENDING",IF(AF2894&gt;0,"PASS","FAIL"))</x:f>
        <x:v>PASS</x:v>
      </x:c>
      <x:c r="AH2894" t="str">
        <x:f>IF(NOT(ISNUMBER(T2894)),"Needs supplier cost",IF(K2894&lt;&gt;"In stock","Supplier unavailable",IF(AG2894&lt;&gt;"PASS","BLOCK - GT loss risk","Commercially protected")))</x:f>
        <x:v>Commercially protected</x:v>
      </x:c>
      <x:c r="AI2894" t="str">
        <x:v>2026-09-10 Active Sports trade capture</x:v>
      </x:c>
      <x:c r="AJ2894" t="str">
        <x:v>Management-only economics. Stripe stress test uses 1.5% + £0.20 standard UK online-card fee; pallet/mix-and-match pricing ignored.</x:v>
      </x:c>
    </x:row>
    <x:row r="2895">
      <x:c r="A2895" t="str">
        <x:v>Active Sports Nutrition</x:v>
      </x:c>
      <x:c r="B2895" t="str">
        <x:v>UFIT</x:v>
      </x:c>
      <x:c r="C2895" t="str">
        <x:v>50g Protein Drink RTD</x:v>
      </x:c>
      <x:c r="D2895" t="str">
        <x:v>Food &amp; Drinks</x:v>
      </x:c>
      <x:c r="E2895" t="str">
        <x:v>Ready to Drink Protein</x:v>
      </x:c>
      <x:c r="F2895" t="str"/>
      <x:c r="G2895" t="str">
        <x:v>8 x 500ml</x:v>
      </x:c>
      <x:c r="H2895" t="str">
        <x:v>Banana</x:v>
      </x:c>
      <x:c r="I2895" t="str">
        <x:v>8</x:v>
      </x:c>
      <x:c r="J2895" t="str">
        <x:v>Case</x:v>
      </x:c>
      <x:c r="K2895" t="str">
        <x:v>In stock</x:v>
      </x:c>
      <x:c r="L2895" t="str">
        <x:v>2026-09-08</x:v>
      </x:c>
      <x:c r="M2895" t="str"/>
      <x:c r="N2895" t="str"/>
      <x:c r="O2895" t="str">
        <x:v>https://www.activesportstrade.co.uk/ready-to-drink-protein-trade</x:v>
      </x:c>
      <x:c r="P2895" t="str">
        <x:v>VAT FREE / PALLET PROMO wording stripped; case-only supplier ordering.</x:v>
      </x:c>
      <x:c r="Q2895" t="str"/>
      <x:c r="R2895" t="str"/>
      <x:c r="S2895" t="str">
        <x:v>Pending genuine supplier/brand image</x:v>
      </x:c>
      <x:c r="T2895" s="54" t="n">
        <x:v>14.41</x:v>
      </x:c>
      <x:c r="U2895" s="47" t="n">
        <x:v>0</x:v>
      </x:c>
      <x:c r="V2895" s="54" t="n">
        <x:f>IF(ISNUMBER(T2895),T2895*(1+U2895),"")</x:f>
        <x:v>14.41</x:v>
      </x:c>
      <x:c r="W2895" s="47" t="n">
        <x:v>0.3</x:v>
      </x:c>
      <x:c r="X2895" s="54" t="n">
        <x:f>IF(ISNUMBER(V2895),V2895/(1-W2895),"")</x:f>
        <x:v>20.58571428571429</x:v>
      </x:c>
      <x:c r="Y2895" s="55" t="n">
        <x:f>IF(ISNUMBER(X2895),ROUNDUP(X2895,0),"")</x:f>
        <x:v>21</x:v>
      </x:c>
      <x:c r="Z2895" t="str">
        <x:f>IF(ISNUMBER(T2895),"Cost captured","Awaiting trade cost")</x:f>
        <x:v>Cost captured</x:v>
      </x:c>
      <x:c r="AB2895" s="36" t="n">
        <x:f>IF(ISNUMBER(Y2895),ROUND(Y2895*0.9,2),"")</x:f>
        <x:v>18.9</x:v>
      </x:c>
      <x:c r="AC2895" s="36" t="n">
        <x:f>IF(ISNUMBER(AB2895),ROUND(AB2895-(AB2895*0.015+0.2)-V2895,2),"")</x:f>
        <x:v>4.01</x:v>
      </x:c>
      <x:c r="AD2895" s="36" t="n">
        <x:f>IF(ISNUMBER(Y2895),ROUND(Y2895*0.8,2),"")</x:f>
        <x:v>16.8</x:v>
      </x:c>
      <x:c r="AE2895" s="36" t="n">
        <x:f>IF(ISNUMBER(AD2895),ROUND(AD2895*0.015+0.2,2),"")</x:f>
        <x:v>0.45</x:v>
      </x:c>
      <x:c r="AF2895" s="36" t="n">
        <x:f>IF(ISNUMBER(AD2895),ROUND(AD2895-AE2895-V2895,2),"")</x:f>
        <x:v>1.94</x:v>
      </x:c>
      <x:c r="AG2895" t="str">
        <x:f>IF(NOT(ISNUMBER(T2895)),"PENDING",IF(AF2895&gt;0,"PASS","FAIL"))</x:f>
        <x:v>PASS</x:v>
      </x:c>
      <x:c r="AH2895" t="str">
        <x:f>IF(NOT(ISNUMBER(T2895)),"Needs supplier cost",IF(K2895&lt;&gt;"In stock","Supplier unavailable",IF(AG2895&lt;&gt;"PASS","BLOCK - GT loss risk","Commercially protected")))</x:f>
        <x:v>Commercially protected</x:v>
      </x:c>
      <x:c r="AI2895" t="str">
        <x:v>2026-09-10 Active Sports trade capture</x:v>
      </x:c>
      <x:c r="AJ2895" t="str">
        <x:v>Management-only economics. Stripe stress test uses 1.5% + £0.20 standard UK online-card fee; pallet/mix-and-match pricing ignored.</x:v>
      </x:c>
    </x:row>
    <x:row r="2896">
      <x:c r="A2896" t="str">
        <x:v>Active Sports Nutrition</x:v>
      </x:c>
      <x:c r="B2896" t="str">
        <x:v>UFIT</x:v>
      </x:c>
      <x:c r="C2896" t="str">
        <x:v>50g Protein Drink RTD</x:v>
      </x:c>
      <x:c r="D2896" t="str">
        <x:v>Food &amp; Drinks</x:v>
      </x:c>
      <x:c r="E2896" t="str">
        <x:v>Ready to Drink Protein</x:v>
      </x:c>
      <x:c r="F2896" t="str"/>
      <x:c r="G2896" t="str">
        <x:v>8 x 500ml</x:v>
      </x:c>
      <x:c r="H2896" t="str">
        <x:v>Chocolate</x:v>
      </x:c>
      <x:c r="I2896" t="str">
        <x:v>8</x:v>
      </x:c>
      <x:c r="J2896" t="str">
        <x:v>Case</x:v>
      </x:c>
      <x:c r="K2896" t="str">
        <x:v>In stock</x:v>
      </x:c>
      <x:c r="L2896" t="str">
        <x:v>2026-09-08</x:v>
      </x:c>
      <x:c r="M2896" t="str"/>
      <x:c r="N2896" t="str"/>
      <x:c r="O2896" t="str">
        <x:v>https://www.activesportstrade.co.uk/ready-to-drink-protein-trade</x:v>
      </x:c>
      <x:c r="P2896" t="str">
        <x:v>VAT FREE / PALLET PROMO wording stripped; case-only supplier ordering.</x:v>
      </x:c>
      <x:c r="Q2896" t="str"/>
      <x:c r="R2896" t="str"/>
      <x:c r="S2896" t="str">
        <x:v>Pending genuine supplier/brand image</x:v>
      </x:c>
      <x:c r="T2896" s="54" t="n">
        <x:v>14.41</x:v>
      </x:c>
      <x:c r="U2896" s="47" t="n">
        <x:v>0</x:v>
      </x:c>
      <x:c r="V2896" s="54" t="n">
        <x:f>IF(ISNUMBER(T2896),T2896*(1+U2896),"")</x:f>
        <x:v>14.41</x:v>
      </x:c>
      <x:c r="W2896" s="47" t="n">
        <x:v>0.3</x:v>
      </x:c>
      <x:c r="X2896" s="54" t="n">
        <x:f>IF(ISNUMBER(V2896),V2896/(1-W2896),"")</x:f>
        <x:v>20.58571428571429</x:v>
      </x:c>
      <x:c r="Y2896" s="55" t="n">
        <x:f>IF(ISNUMBER(X2896),ROUNDUP(X2896,0),"")</x:f>
        <x:v>21</x:v>
      </x:c>
      <x:c r="Z2896" t="str">
        <x:f>IF(ISNUMBER(T2896),"Cost captured","Awaiting trade cost")</x:f>
        <x:v>Cost captured</x:v>
      </x:c>
      <x:c r="AB2896" s="36" t="n">
        <x:f>IF(ISNUMBER(Y2896),ROUND(Y2896*0.9,2),"")</x:f>
        <x:v>18.9</x:v>
      </x:c>
      <x:c r="AC2896" s="36" t="n">
        <x:f>IF(ISNUMBER(AB2896),ROUND(AB2896-(AB2896*0.015+0.2)-V2896,2),"")</x:f>
        <x:v>4.01</x:v>
      </x:c>
      <x:c r="AD2896" s="36" t="n">
        <x:f>IF(ISNUMBER(Y2896),ROUND(Y2896*0.8,2),"")</x:f>
        <x:v>16.8</x:v>
      </x:c>
      <x:c r="AE2896" s="36" t="n">
        <x:f>IF(ISNUMBER(AD2896),ROUND(AD2896*0.015+0.2,2),"")</x:f>
        <x:v>0.45</x:v>
      </x:c>
      <x:c r="AF2896" s="36" t="n">
        <x:f>IF(ISNUMBER(AD2896),ROUND(AD2896-AE2896-V2896,2),"")</x:f>
        <x:v>1.94</x:v>
      </x:c>
      <x:c r="AG2896" t="str">
        <x:f>IF(NOT(ISNUMBER(T2896)),"PENDING",IF(AF2896&gt;0,"PASS","FAIL"))</x:f>
        <x:v>PASS</x:v>
      </x:c>
      <x:c r="AH2896" t="str">
        <x:f>IF(NOT(ISNUMBER(T2896)),"Needs supplier cost",IF(K2896&lt;&gt;"In stock","Supplier unavailable",IF(AG2896&lt;&gt;"PASS","BLOCK - GT loss risk","Commercially protected")))</x:f>
        <x:v>Commercially protected</x:v>
      </x:c>
      <x:c r="AI2896" t="str">
        <x:v>2026-09-10 Active Sports trade capture</x:v>
      </x:c>
      <x:c r="AJ2896" t="str">
        <x:v>Management-only economics. Stripe stress test uses 1.5% + £0.20 standard UK online-card fee; pallet/mix-and-match pricing ignored.</x:v>
      </x:c>
    </x:row>
    <x:row r="2897">
      <x:c r="A2897" t="str">
        <x:v>Active Sports Nutrition</x:v>
      </x:c>
      <x:c r="B2897" t="str">
        <x:v>UFIT</x:v>
      </x:c>
      <x:c r="C2897" t="str">
        <x:v>50g Protein Drink RTD</x:v>
      </x:c>
      <x:c r="D2897" t="str">
        <x:v>Food &amp; Drinks</x:v>
      </x:c>
      <x:c r="E2897" t="str">
        <x:v>Ready to Drink Protein</x:v>
      </x:c>
      <x:c r="F2897" t="str"/>
      <x:c r="G2897" t="str">
        <x:v>8 x 500ml</x:v>
      </x:c>
      <x:c r="H2897" t="str">
        <x:v>Salted Caramel</x:v>
      </x:c>
      <x:c r="I2897" t="str">
        <x:v>8</x:v>
      </x:c>
      <x:c r="J2897" t="str">
        <x:v>Case</x:v>
      </x:c>
      <x:c r="K2897" t="str">
        <x:v>In stock</x:v>
      </x:c>
      <x:c r="L2897" t="str">
        <x:v>2026-09-08</x:v>
      </x:c>
      <x:c r="M2897" t="str"/>
      <x:c r="N2897" t="str"/>
      <x:c r="O2897" t="str">
        <x:v>https://www.activesportstrade.co.uk/ready-to-drink-protein-trade</x:v>
      </x:c>
      <x:c r="P2897" t="str">
        <x:v>VAT FREE / PALLET PROMO wording stripped; case-only supplier ordering.</x:v>
      </x:c>
      <x:c r="Q2897" t="str"/>
      <x:c r="R2897" t="str"/>
      <x:c r="S2897" t="str">
        <x:v>Pending genuine supplier/brand image</x:v>
      </x:c>
      <x:c r="T2897" s="54" t="n">
        <x:v>14.41</x:v>
      </x:c>
      <x:c r="U2897" s="47" t="n">
        <x:v>0</x:v>
      </x:c>
      <x:c r="V2897" s="54" t="n">
        <x:f>IF(ISNUMBER(T2897),T2897*(1+U2897),"")</x:f>
        <x:v>14.41</x:v>
      </x:c>
      <x:c r="W2897" s="47" t="n">
        <x:v>0.3</x:v>
      </x:c>
      <x:c r="X2897" s="54" t="n">
        <x:f>IF(ISNUMBER(V2897),V2897/(1-W2897),"")</x:f>
        <x:v>20.58571428571429</x:v>
      </x:c>
      <x:c r="Y2897" s="55" t="n">
        <x:f>IF(ISNUMBER(X2897),ROUNDUP(X2897,0),"")</x:f>
        <x:v>21</x:v>
      </x:c>
      <x:c r="Z2897" t="str">
        <x:f>IF(ISNUMBER(T2897),"Cost captured","Awaiting trade cost")</x:f>
        <x:v>Cost captured</x:v>
      </x:c>
      <x:c r="AB2897" s="36" t="n">
        <x:f>IF(ISNUMBER(Y2897),ROUND(Y2897*0.9,2),"")</x:f>
        <x:v>18.9</x:v>
      </x:c>
      <x:c r="AC2897" s="36" t="n">
        <x:f>IF(ISNUMBER(AB2897),ROUND(AB2897-(AB2897*0.015+0.2)-V2897,2),"")</x:f>
        <x:v>4.01</x:v>
      </x:c>
      <x:c r="AD2897" s="36" t="n">
        <x:f>IF(ISNUMBER(Y2897),ROUND(Y2897*0.8,2),"")</x:f>
        <x:v>16.8</x:v>
      </x:c>
      <x:c r="AE2897" s="36" t="n">
        <x:f>IF(ISNUMBER(AD2897),ROUND(AD2897*0.015+0.2,2),"")</x:f>
        <x:v>0.45</x:v>
      </x:c>
      <x:c r="AF2897" s="36" t="n">
        <x:f>IF(ISNUMBER(AD2897),ROUND(AD2897-AE2897-V2897,2),"")</x:f>
        <x:v>1.94</x:v>
      </x:c>
      <x:c r="AG2897" t="str">
        <x:f>IF(NOT(ISNUMBER(T2897)),"PENDING",IF(AF2897&gt;0,"PASS","FAIL"))</x:f>
        <x:v>PASS</x:v>
      </x:c>
      <x:c r="AH2897" t="str">
        <x:f>IF(NOT(ISNUMBER(T2897)),"Needs supplier cost",IF(K2897&lt;&gt;"In stock","Supplier unavailable",IF(AG2897&lt;&gt;"PASS","BLOCK - GT loss risk","Commercially protected")))</x:f>
        <x:v>Commercially protected</x:v>
      </x:c>
      <x:c r="AI2897" t="str">
        <x:v>2026-09-10 Active Sports trade capture</x:v>
      </x:c>
      <x:c r="AJ2897" t="str">
        <x:v>Management-only economics. Stripe stress test uses 1.5% + £0.20 standard UK online-card fee; pallet/mix-and-match pricing ignored.</x:v>
      </x:c>
    </x:row>
    <x:row r="2898">
      <x:c r="A2898" t="str">
        <x:v>Active Sports Nutrition</x:v>
      </x:c>
      <x:c r="B2898" t="str">
        <x:v>UFIT</x:v>
      </x:c>
      <x:c r="C2898" t="str">
        <x:v>50g Protein Drink RTD</x:v>
      </x:c>
      <x:c r="D2898" t="str">
        <x:v>Food &amp; Drinks</x:v>
      </x:c>
      <x:c r="E2898" t="str">
        <x:v>Ready to Drink Protein</x:v>
      </x:c>
      <x:c r="F2898" t="str"/>
      <x:c r="G2898" t="str">
        <x:v>8 x 500ml</x:v>
      </x:c>
      <x:c r="H2898" t="str">
        <x:v>Strawberry</x:v>
      </x:c>
      <x:c r="I2898" t="str">
        <x:v>8</x:v>
      </x:c>
      <x:c r="J2898" t="str">
        <x:v>Case</x:v>
      </x:c>
      <x:c r="K2898" t="str">
        <x:v>In stock</x:v>
      </x:c>
      <x:c r="L2898" t="str">
        <x:v>2026-09-08</x:v>
      </x:c>
      <x:c r="M2898" t="str"/>
      <x:c r="N2898" t="str"/>
      <x:c r="O2898" t="str">
        <x:v>https://www.activesportstrade.co.uk/ready-to-drink-protein-trade</x:v>
      </x:c>
      <x:c r="P2898" t="str">
        <x:v>VAT FREE / PALLET PROMO wording stripped; case-only supplier ordering.</x:v>
      </x:c>
      <x:c r="Q2898" t="str"/>
      <x:c r="R2898" t="str"/>
      <x:c r="S2898" t="str">
        <x:v>Pending genuine supplier/brand image</x:v>
      </x:c>
      <x:c r="T2898" s="54" t="n">
        <x:v>14.41</x:v>
      </x:c>
      <x:c r="U2898" s="47" t="n">
        <x:v>0</x:v>
      </x:c>
      <x:c r="V2898" s="54" t="n">
        <x:f>IF(ISNUMBER(T2898),T2898*(1+U2898),"")</x:f>
        <x:v>14.41</x:v>
      </x:c>
      <x:c r="W2898" s="47" t="n">
        <x:v>0.3</x:v>
      </x:c>
      <x:c r="X2898" s="54" t="n">
        <x:f>IF(ISNUMBER(V2898),V2898/(1-W2898),"")</x:f>
        <x:v>20.58571428571429</x:v>
      </x:c>
      <x:c r="Y2898" s="55" t="n">
        <x:f>IF(ISNUMBER(X2898),ROUNDUP(X2898,0),"")</x:f>
        <x:v>21</x:v>
      </x:c>
      <x:c r="Z2898" t="str">
        <x:f>IF(ISNUMBER(T2898),"Cost captured","Awaiting trade cost")</x:f>
        <x:v>Cost captured</x:v>
      </x:c>
      <x:c r="AB2898" s="36" t="n">
        <x:f>IF(ISNUMBER(Y2898),ROUND(Y2898*0.9,2),"")</x:f>
        <x:v>18.9</x:v>
      </x:c>
      <x:c r="AC2898" s="36" t="n">
        <x:f>IF(ISNUMBER(AB2898),ROUND(AB2898-(AB2898*0.015+0.2)-V2898,2),"")</x:f>
        <x:v>4.01</x:v>
      </x:c>
      <x:c r="AD2898" s="36" t="n">
        <x:f>IF(ISNUMBER(Y2898),ROUND(Y2898*0.8,2),"")</x:f>
        <x:v>16.8</x:v>
      </x:c>
      <x:c r="AE2898" s="36" t="n">
        <x:f>IF(ISNUMBER(AD2898),ROUND(AD2898*0.015+0.2,2),"")</x:f>
        <x:v>0.45</x:v>
      </x:c>
      <x:c r="AF2898" s="36" t="n">
        <x:f>IF(ISNUMBER(AD2898),ROUND(AD2898-AE2898-V2898,2),"")</x:f>
        <x:v>1.94</x:v>
      </x:c>
      <x:c r="AG2898" t="str">
        <x:f>IF(NOT(ISNUMBER(T2898)),"PENDING",IF(AF2898&gt;0,"PASS","FAIL"))</x:f>
        <x:v>PASS</x:v>
      </x:c>
      <x:c r="AH2898" t="str">
        <x:f>IF(NOT(ISNUMBER(T2898)),"Needs supplier cost",IF(K2898&lt;&gt;"In stock","Supplier unavailable",IF(AG2898&lt;&gt;"PASS","BLOCK - GT loss risk","Commercially protected")))</x:f>
        <x:v>Commercially protected</x:v>
      </x:c>
      <x:c r="AI2898" t="str">
        <x:v>2026-09-10 Active Sports trade capture</x:v>
      </x:c>
      <x:c r="AJ2898" t="str">
        <x:v>Management-only economics. Stripe stress test uses 1.5% + £0.20 standard UK online-card fee; pallet/mix-and-match pricing ignored.</x:v>
      </x:c>
    </x:row>
    <x:row r="2899">
      <x:c r="A2899" t="str">
        <x:v>Active Sports Nutrition</x:v>
      </x:c>
      <x:c r="B2899" t="str">
        <x:v>UFIT</x:v>
      </x:c>
      <x:c r="C2899" t="str">
        <x:v>50g Protein Drink RTD</x:v>
      </x:c>
      <x:c r="D2899" t="str">
        <x:v>Food &amp; Drinks</x:v>
      </x:c>
      <x:c r="E2899" t="str">
        <x:v>Ready to Drink Protein</x:v>
      </x:c>
      <x:c r="F2899" t="str"/>
      <x:c r="G2899" t="str">
        <x:v>8 x 500ml</x:v>
      </x:c>
      <x:c r="H2899" t="str">
        <x:v>Vanilla</x:v>
      </x:c>
      <x:c r="I2899" t="str">
        <x:v>8</x:v>
      </x:c>
      <x:c r="J2899" t="str">
        <x:v>Case</x:v>
      </x:c>
      <x:c r="K2899" t="str">
        <x:v>In stock</x:v>
      </x:c>
      <x:c r="L2899" t="str">
        <x:v>2026-09-08</x:v>
      </x:c>
      <x:c r="M2899" t="str"/>
      <x:c r="N2899" t="str"/>
      <x:c r="O2899" t="str">
        <x:v>https://www.activesportstrade.co.uk/ready-to-drink-protein-trade</x:v>
      </x:c>
      <x:c r="P2899" t="str">
        <x:v>VAT FREE / PALLET PROMO wording stripped; case-only supplier ordering.</x:v>
      </x:c>
      <x:c r="Q2899" t="str"/>
      <x:c r="R2899" t="str"/>
      <x:c r="S2899" t="str">
        <x:v>Pending genuine supplier/brand image</x:v>
      </x:c>
      <x:c r="T2899" s="54" t="n">
        <x:v>14.41</x:v>
      </x:c>
      <x:c r="U2899" s="47" t="n">
        <x:v>0</x:v>
      </x:c>
      <x:c r="V2899" s="54" t="n">
        <x:f>IF(ISNUMBER(T2899),T2899*(1+U2899),"")</x:f>
        <x:v>14.41</x:v>
      </x:c>
      <x:c r="W2899" s="47" t="n">
        <x:v>0.3</x:v>
      </x:c>
      <x:c r="X2899" s="54" t="n">
        <x:f>IF(ISNUMBER(V2899),V2899/(1-W2899),"")</x:f>
        <x:v>20.58571428571429</x:v>
      </x:c>
      <x:c r="Y2899" s="55" t="n">
        <x:f>IF(ISNUMBER(X2899),ROUNDUP(X2899,0),"")</x:f>
        <x:v>21</x:v>
      </x:c>
      <x:c r="Z2899" t="str">
        <x:f>IF(ISNUMBER(T2899),"Cost captured","Awaiting trade cost")</x:f>
        <x:v>Cost captured</x:v>
      </x:c>
      <x:c r="AB2899" s="36" t="n">
        <x:f>IF(ISNUMBER(Y2899),ROUND(Y2899*0.9,2),"")</x:f>
        <x:v>18.9</x:v>
      </x:c>
      <x:c r="AC2899" s="36" t="n">
        <x:f>IF(ISNUMBER(AB2899),ROUND(AB2899-(AB2899*0.015+0.2)-V2899,2),"")</x:f>
        <x:v>4.01</x:v>
      </x:c>
      <x:c r="AD2899" s="36" t="n">
        <x:f>IF(ISNUMBER(Y2899),ROUND(Y2899*0.8,2),"")</x:f>
        <x:v>16.8</x:v>
      </x:c>
      <x:c r="AE2899" s="36" t="n">
        <x:f>IF(ISNUMBER(AD2899),ROUND(AD2899*0.015+0.2,2),"")</x:f>
        <x:v>0.45</x:v>
      </x:c>
      <x:c r="AF2899" s="36" t="n">
        <x:f>IF(ISNUMBER(AD2899),ROUND(AD2899-AE2899-V2899,2),"")</x:f>
        <x:v>1.94</x:v>
      </x:c>
      <x:c r="AG2899" t="str">
        <x:f>IF(NOT(ISNUMBER(T2899)),"PENDING",IF(AF2899&gt;0,"PASS","FAIL"))</x:f>
        <x:v>PASS</x:v>
      </x:c>
      <x:c r="AH2899" t="str">
        <x:f>IF(NOT(ISNUMBER(T2899)),"Needs supplier cost",IF(K2899&lt;&gt;"In stock","Supplier unavailable",IF(AG2899&lt;&gt;"PASS","BLOCK - GT loss risk","Commercially protected")))</x:f>
        <x:v>Commercially protected</x:v>
      </x:c>
      <x:c r="AI2899" t="str">
        <x:v>2026-09-10 Active Sports trade capture</x:v>
      </x:c>
      <x:c r="AJ2899" t="str">
        <x:v>Management-only economics. Stripe stress test uses 1.5% + £0.20 standard UK online-card fee; pallet/mix-and-match pricing ignored.</x:v>
      </x:c>
    </x:row>
    <x:row r="2900">
      <x:c r="A2900" t="str">
        <x:v>Active Sports Nutrition</x:v>
      </x:c>
      <x:c r="B2900" t="str">
        <x:v>UFIT</x:v>
      </x:c>
      <x:c r="C2900" t="str">
        <x:v>50g Protein Drink RTD</x:v>
      </x:c>
      <x:c r="D2900" t="str">
        <x:v>Food &amp; Drinks</x:v>
      </x:c>
      <x:c r="E2900" t="str">
        <x:v>Ready to Drink Protein</x:v>
      </x:c>
      <x:c r="F2900" t="str"/>
      <x:c r="G2900" t="str">
        <x:v>8 x 500ml</x:v>
      </x:c>
      <x:c r="H2900" t="str">
        <x:v>White Chocolate</x:v>
      </x:c>
      <x:c r="I2900" t="str">
        <x:v>8</x:v>
      </x:c>
      <x:c r="J2900" t="str">
        <x:v>Case</x:v>
      </x:c>
      <x:c r="K2900" t="str">
        <x:v>In stock</x:v>
      </x:c>
      <x:c r="L2900" t="str">
        <x:v>2026-09-08</x:v>
      </x:c>
      <x:c r="M2900" t="str"/>
      <x:c r="N2900" t="str"/>
      <x:c r="O2900" t="str">
        <x:v>https://www.activesportstrade.co.uk/ready-to-drink-protein-trade</x:v>
      </x:c>
      <x:c r="P2900" t="str">
        <x:v>VAT FREE / PALLET PROMO wording stripped; case-only supplier ordering.</x:v>
      </x:c>
      <x:c r="Q2900" t="str"/>
      <x:c r="R2900" t="str"/>
      <x:c r="S2900" t="str">
        <x:v>Pending genuine supplier/brand image</x:v>
      </x:c>
      <x:c r="T2900" s="54" t="n">
        <x:v>14.41</x:v>
      </x:c>
      <x:c r="U2900" s="47" t="n">
        <x:v>0</x:v>
      </x:c>
      <x:c r="V2900" s="54" t="n">
        <x:f>IF(ISNUMBER(T2900),T2900*(1+U2900),"")</x:f>
        <x:v>14.41</x:v>
      </x:c>
      <x:c r="W2900" s="47" t="n">
        <x:v>0.3</x:v>
      </x:c>
      <x:c r="X2900" s="54" t="n">
        <x:f>IF(ISNUMBER(V2900),V2900/(1-W2900),"")</x:f>
        <x:v>20.58571428571429</x:v>
      </x:c>
      <x:c r="Y2900" s="55" t="n">
        <x:f>IF(ISNUMBER(X2900),ROUNDUP(X2900,0),"")</x:f>
        <x:v>21</x:v>
      </x:c>
      <x:c r="Z2900" t="str">
        <x:f>IF(ISNUMBER(T2900),"Cost captured","Awaiting trade cost")</x:f>
        <x:v>Cost captured</x:v>
      </x:c>
      <x:c r="AB2900" s="36" t="n">
        <x:f>IF(ISNUMBER(Y2900),ROUND(Y2900*0.9,2),"")</x:f>
        <x:v>18.9</x:v>
      </x:c>
      <x:c r="AC2900" s="36" t="n">
        <x:f>IF(ISNUMBER(AB2900),ROUND(AB2900-(AB2900*0.015+0.2)-V2900,2),"")</x:f>
        <x:v>4.01</x:v>
      </x:c>
      <x:c r="AD2900" s="36" t="n">
        <x:f>IF(ISNUMBER(Y2900),ROUND(Y2900*0.8,2),"")</x:f>
        <x:v>16.8</x:v>
      </x:c>
      <x:c r="AE2900" s="36" t="n">
        <x:f>IF(ISNUMBER(AD2900),ROUND(AD2900*0.015+0.2,2),"")</x:f>
        <x:v>0.45</x:v>
      </x:c>
      <x:c r="AF2900" s="36" t="n">
        <x:f>IF(ISNUMBER(AD2900),ROUND(AD2900-AE2900-V2900,2),"")</x:f>
        <x:v>1.94</x:v>
      </x:c>
      <x:c r="AG2900" t="str">
        <x:f>IF(NOT(ISNUMBER(T2900)),"PENDING",IF(AF2900&gt;0,"PASS","FAIL"))</x:f>
        <x:v>PASS</x:v>
      </x:c>
      <x:c r="AH2900" t="str">
        <x:f>IF(NOT(ISNUMBER(T2900)),"Needs supplier cost",IF(K2900&lt;&gt;"In stock","Supplier unavailable",IF(AG2900&lt;&gt;"PASS","BLOCK - GT loss risk","Commercially protected")))</x:f>
        <x:v>Commercially protected</x:v>
      </x:c>
      <x:c r="AI2900" t="str">
        <x:v>2026-09-10 Active Sports trade capture</x:v>
      </x:c>
      <x:c r="AJ2900" t="str">
        <x:v>Management-only economics. Stripe stress test uses 1.5% + £0.20 standard UK online-card fee; pallet/mix-and-match pricing ignored.</x:v>
      </x:c>
    </x:row>
    <x:row r="2901">
      <x:c r="A2901" t="str">
        <x:v>Active Sports Nutrition</x:v>
      </x:c>
      <x:c r="B2901" t="str">
        <x:v>WOW</x:v>
      </x:c>
      <x:c r="C2901" t="str">
        <x:v>Protein 20g RTD</x:v>
      </x:c>
      <x:c r="D2901" t="str">
        <x:v>Food &amp; Drinks</x:v>
      </x:c>
      <x:c r="E2901" t="str">
        <x:v>Ready to Drink Protein</x:v>
      </x:c>
      <x:c r="F2901" t="str"/>
      <x:c r="G2901" t="str">
        <x:v>12 x 500ml</x:v>
      </x:c>
      <x:c r="H2901" t="str">
        <x:v>Blackberry &amp; Vanilla</x:v>
      </x:c>
      <x:c r="I2901" t="str">
        <x:v>12</x:v>
      </x:c>
      <x:c r="J2901" t="str">
        <x:v>Case</x:v>
      </x:c>
      <x:c r="K2901" t="str">
        <x:v>In stock</x:v>
      </x:c>
      <x:c r="L2901" t="str">
        <x:v>2026-09-08</x:v>
      </x:c>
      <x:c r="M2901" t="str"/>
      <x:c r="N2901" t="str"/>
      <x:c r="O2901" t="str">
        <x:v>https://www.activesportstrade.co.uk/ready-to-drink-protein-trade</x:v>
      </x:c>
      <x:c r="P2901" t="str">
        <x:v>PALLET PROMO wording stripped; case-only supplier ordering.</x:v>
      </x:c>
      <x:c r="Q2901" t="str"/>
      <x:c r="R2901" t="str"/>
      <x:c r="S2901" t="str">
        <x:v>Pending genuine supplier/brand image</x:v>
      </x:c>
      <x:c r="T2901" s="54"/>
      <x:c r="U2901" s="47" t="n">
        <x:v>0.2</x:v>
      </x:c>
      <x:c r="V2901" s="54" t="str">
        <x:f>IF(ISNUMBER(T2901),T2901*(1+U2901),"")</x:f>
      </x:c>
      <x:c r="W2901" s="47" t="n">
        <x:v>0.3</x:v>
      </x:c>
      <x:c r="X2901" s="54" t="str">
        <x:f>IF(ISNUMBER(V2901),V2901/(1-W2901),"")</x:f>
      </x:c>
      <x:c r="Y2901" s="55" t="str">
        <x:f>IF(ISNUMBER(X2901),ROUNDUP(X2901,0),"")</x:f>
      </x:c>
      <x:c r="Z2901" t="str">
        <x:f>IF(ISNUMBER(T2901),"Cost captured","Awaiting trade cost")</x:f>
        <x:v>Awaiting trade cost</x:v>
      </x:c>
      <x:c r="AB2901" s="36" t="str">
        <x:f>IF(ISNUMBER(Y2901),ROUND(Y2901*0.9,2),"")</x:f>
      </x:c>
      <x:c r="AC2901" s="36" t="str">
        <x:f>IF(ISNUMBER(AB2901),ROUND(AB2901-(AB2901*0.015+0.2)-V2901,2),"")</x:f>
      </x:c>
      <x:c r="AD2901" s="36" t="str">
        <x:f>IF(ISNUMBER(Y2901),ROUND(Y2901*0.8,2),"")</x:f>
      </x:c>
      <x:c r="AE2901" s="36" t="str">
        <x:f>IF(ISNUMBER(AD2901),ROUND(AD2901*0.015+0.2,2),"")</x:f>
      </x:c>
      <x:c r="AF2901" s="36" t="str">
        <x:f>IF(ISNUMBER(AD2901),ROUND(AD2901-AE2901-V2901,2),"")</x:f>
      </x:c>
      <x:c r="AG2901" t="str">
        <x:f>IF(NOT(ISNUMBER(T2901)),"PENDING",IF(AF2901&gt;0,"PASS","FAIL"))</x:f>
        <x:v>PENDING</x:v>
      </x:c>
      <x:c r="AH2901" t="str">
        <x:f>IF(NOT(ISNUMBER(T2901)),"Needs supplier cost",IF(K2901&lt;&gt;"In stock","Supplier unavailable",IF(AG2901&lt;&gt;"PASS","BLOCK - GT loss risk","Commercially protected")))</x:f>
        <x:v>Needs supplier cost</x:v>
      </x:c>
      <x:c r="AI2901" t="str">
        <x:v>2026-09-10 Active Sports trade capture</x:v>
      </x:c>
      <x:c r="AJ2901" t="str">
        <x:v>Management-only economics. Stripe stress test uses 1.5% + £0.20 standard UK online-card fee; pallet/mix-and-match pricing ignored.</x:v>
      </x:c>
    </x:row>
    <x:row r="2902">
      <x:c r="A2902" t="str">
        <x:v>Active Sports Nutrition</x:v>
      </x:c>
      <x:c r="B2902" t="str">
        <x:v>WOW</x:v>
      </x:c>
      <x:c r="C2902" t="str">
        <x:v>Protein 20g RTD</x:v>
      </x:c>
      <x:c r="D2902" t="str">
        <x:v>Food &amp; Drinks</x:v>
      </x:c>
      <x:c r="E2902" t="str">
        <x:v>Ready to Drink Protein</x:v>
      </x:c>
      <x:c r="F2902" t="str"/>
      <x:c r="G2902" t="str">
        <x:v>12 x 500ml</x:v>
      </x:c>
      <x:c r="H2902" t="str">
        <x:v>Orange &amp; Yuzu</x:v>
      </x:c>
      <x:c r="I2902" t="str">
        <x:v>12</x:v>
      </x:c>
      <x:c r="J2902" t="str">
        <x:v>Case</x:v>
      </x:c>
      <x:c r="K2902" t="str">
        <x:v>In stock</x:v>
      </x:c>
      <x:c r="L2902" t="str">
        <x:v>2026-09-08</x:v>
      </x:c>
      <x:c r="M2902" t="str"/>
      <x:c r="N2902" t="str"/>
      <x:c r="O2902" t="str">
        <x:v>https://www.activesportstrade.co.uk/ready-to-drink-protein-trade</x:v>
      </x:c>
      <x:c r="P2902" t="str">
        <x:v>PALLET PROMO wording stripped; case-only supplier ordering.</x:v>
      </x:c>
      <x:c r="Q2902" t="str"/>
      <x:c r="R2902" t="str"/>
      <x:c r="S2902" t="str">
        <x:v>Pending genuine supplier/brand image</x:v>
      </x:c>
      <x:c r="T2902" s="54"/>
      <x:c r="U2902" s="47" t="n">
        <x:v>0.2</x:v>
      </x:c>
      <x:c r="V2902" s="54" t="str">
        <x:f>IF(ISNUMBER(T2902),T2902*(1+U2902),"")</x:f>
      </x:c>
      <x:c r="W2902" s="47" t="n">
        <x:v>0.3</x:v>
      </x:c>
      <x:c r="X2902" s="54" t="str">
        <x:f>IF(ISNUMBER(V2902),V2902/(1-W2902),"")</x:f>
      </x:c>
      <x:c r="Y2902" s="55" t="str">
        <x:f>IF(ISNUMBER(X2902),ROUNDUP(X2902,0),"")</x:f>
      </x:c>
      <x:c r="Z2902" t="str">
        <x:f>IF(ISNUMBER(T2902),"Cost captured","Awaiting trade cost")</x:f>
        <x:v>Awaiting trade cost</x:v>
      </x:c>
      <x:c r="AB2902" s="36" t="str">
        <x:f>IF(ISNUMBER(Y2902),ROUND(Y2902*0.9,2),"")</x:f>
      </x:c>
      <x:c r="AC2902" s="36" t="str">
        <x:f>IF(ISNUMBER(AB2902),ROUND(AB2902-(AB2902*0.015+0.2)-V2902,2),"")</x:f>
      </x:c>
      <x:c r="AD2902" s="36" t="str">
        <x:f>IF(ISNUMBER(Y2902),ROUND(Y2902*0.8,2),"")</x:f>
      </x:c>
      <x:c r="AE2902" s="36" t="str">
        <x:f>IF(ISNUMBER(AD2902),ROUND(AD2902*0.015+0.2,2),"")</x:f>
      </x:c>
      <x:c r="AF2902" s="36" t="str">
        <x:f>IF(ISNUMBER(AD2902),ROUND(AD2902-AE2902-V2902,2),"")</x:f>
      </x:c>
      <x:c r="AG2902" t="str">
        <x:f>IF(NOT(ISNUMBER(T2902)),"PENDING",IF(AF2902&gt;0,"PASS","FAIL"))</x:f>
        <x:v>PENDING</x:v>
      </x:c>
      <x:c r="AH2902" t="str">
        <x:f>IF(NOT(ISNUMBER(T2902)),"Needs supplier cost",IF(K2902&lt;&gt;"In stock","Supplier unavailable",IF(AG2902&lt;&gt;"PASS","BLOCK - GT loss risk","Commercially protected")))</x:f>
        <x:v>Needs supplier cost</x:v>
      </x:c>
      <x:c r="AI2902" t="str">
        <x:v>2026-09-10 Active Sports trade capture</x:v>
      </x:c>
      <x:c r="AJ2902" t="str">
        <x:v>Management-only economics. Stripe stress test uses 1.5% + £0.20 standard UK online-card fee; pallet/mix-and-match pricing ignored.</x:v>
      </x:c>
    </x:row>
    <x:row r="2903">
      <x:c r="A2903" t="str">
        <x:v>Active Sports Nutrition</x:v>
      </x:c>
      <x:c r="B2903" t="str">
        <x:v>WOW</x:v>
      </x:c>
      <x:c r="C2903" t="str">
        <x:v>Protein 20g RTD</x:v>
      </x:c>
      <x:c r="D2903" t="str">
        <x:v>Food &amp; Drinks</x:v>
      </x:c>
      <x:c r="E2903" t="str">
        <x:v>Ready to Drink Protein</x:v>
      </x:c>
      <x:c r="F2903" t="str"/>
      <x:c r="G2903" t="str">
        <x:v>12 x 500ml</x:v>
      </x:c>
      <x:c r="H2903" t="str">
        <x:v>White Peach &amp; Apricot</x:v>
      </x:c>
      <x:c r="I2903" t="str">
        <x:v>12</x:v>
      </x:c>
      <x:c r="J2903" t="str">
        <x:v>Case</x:v>
      </x:c>
      <x:c r="K2903" t="str">
        <x:v>In stock</x:v>
      </x:c>
      <x:c r="L2903" t="str">
        <x:v>2026-09-08</x:v>
      </x:c>
      <x:c r="M2903" t="str"/>
      <x:c r="N2903" t="str"/>
      <x:c r="O2903" t="str">
        <x:v>https://www.activesportstrade.co.uk/ready-to-drink-protein-trade</x:v>
      </x:c>
      <x:c r="P2903" t="str">
        <x:v>PALLET PROMO wording stripped; case-only supplier ordering.</x:v>
      </x:c>
      <x:c r="Q2903" t="str"/>
      <x:c r="R2903" t="str"/>
      <x:c r="S2903" t="str">
        <x:v>Pending genuine supplier/brand image</x:v>
      </x:c>
      <x:c r="T2903" s="54"/>
      <x:c r="U2903" s="47" t="n">
        <x:v>0.2</x:v>
      </x:c>
      <x:c r="V2903" s="54" t="str">
        <x:f>IF(ISNUMBER(T2903),T2903*(1+U2903),"")</x:f>
      </x:c>
      <x:c r="W2903" s="47" t="n">
        <x:v>0.3</x:v>
      </x:c>
      <x:c r="X2903" s="54" t="str">
        <x:f>IF(ISNUMBER(V2903),V2903/(1-W2903),"")</x:f>
      </x:c>
      <x:c r="Y2903" s="55" t="str">
        <x:f>IF(ISNUMBER(X2903),ROUNDUP(X2903,0),"")</x:f>
      </x:c>
      <x:c r="Z2903" t="str">
        <x:f>IF(ISNUMBER(T2903),"Cost captured","Awaiting trade cost")</x:f>
        <x:v>Awaiting trade cost</x:v>
      </x:c>
      <x:c r="AB2903" s="36" t="str">
        <x:f>IF(ISNUMBER(Y2903),ROUND(Y2903*0.9,2),"")</x:f>
      </x:c>
      <x:c r="AC2903" s="36" t="str">
        <x:f>IF(ISNUMBER(AB2903),ROUND(AB2903-(AB2903*0.015+0.2)-V2903,2),"")</x:f>
      </x:c>
      <x:c r="AD2903" s="36" t="str">
        <x:f>IF(ISNUMBER(Y2903),ROUND(Y2903*0.8,2),"")</x:f>
      </x:c>
      <x:c r="AE2903" s="36" t="str">
        <x:f>IF(ISNUMBER(AD2903),ROUND(AD2903*0.015+0.2,2),"")</x:f>
      </x:c>
      <x:c r="AF2903" s="36" t="str">
        <x:f>IF(ISNUMBER(AD2903),ROUND(AD2903-AE2903-V2903,2),"")</x:f>
      </x:c>
      <x:c r="AG2903" t="str">
        <x:f>IF(NOT(ISNUMBER(T2903)),"PENDING",IF(AF2903&gt;0,"PASS","FAIL"))</x:f>
        <x:v>PENDING</x:v>
      </x:c>
      <x:c r="AH2903" t="str">
        <x:f>IF(NOT(ISNUMBER(T2903)),"Needs supplier cost",IF(K2903&lt;&gt;"In stock","Supplier unavailable",IF(AG2903&lt;&gt;"PASS","BLOCK - GT loss risk","Commercially protected")))</x:f>
        <x:v>Needs supplier cost</x:v>
      </x:c>
      <x:c r="AI2903" t="str">
        <x:v>2026-09-10 Active Sports trade capture</x:v>
      </x:c>
      <x:c r="AJ2903" t="str">
        <x:v>Management-only economics. Stripe stress test uses 1.5% + £0.20 standard UK online-card fee; pallet/mix-and-match pricing ignored.</x:v>
      </x:c>
    </x:row>
    <x:row r="2904">
      <x:c r="A2904" t="str">
        <x:v>Active Sports Nutrition</x:v>
      </x:c>
      <x:c r="B2904" t="str">
        <x:v>USN</x:v>
      </x:c>
      <x:c r="C2904" t="str">
        <x:v>Trust Crunch Bars</x:v>
      </x:c>
      <x:c r="D2904" t="str">
        <x:v>Food &amp; Drinks</x:v>
      </x:c>
      <x:c r="E2904" t="str">
        <x:v>Bars and Snacks</x:v>
      </x:c>
      <x:c r="F2904" t="str"/>
      <x:c r="G2904" t="str">
        <x:v>12 x 60g</x:v>
      </x:c>
      <x:c r="H2904" t="str">
        <x:v>Blueberry Muffin</x:v>
      </x:c>
      <x:c r="I2904" t="str">
        <x:v>12</x:v>
      </x:c>
      <x:c r="J2904" t="str">
        <x:v>Case</x:v>
      </x:c>
      <x:c r="K2904" t="str">
        <x:v>Out of stock</x:v>
      </x:c>
      <x:c r="L2904" t="str">
        <x:v>2026-09-08</x:v>
      </x:c>
      <x:c r="M2904" t="str"/>
      <x:c r="N2904" t="str"/>
      <x:c r="O2904" t="str">
        <x:v>https://www.activesportstrade.co.uk/Protein-Bars</x:v>
      </x:c>
      <x:c r="P2904" t="str">
        <x:v>Current exact bar flavour availability captured; case-only supplier ordering.</x:v>
      </x:c>
      <x:c r="Q2904" t="str"/>
      <x:c r="R2904" t="str"/>
      <x:c r="S2904" t="str">
        <x:v>Pending genuine supplier/brand image</x:v>
      </x:c>
      <x:c r="T2904" s="54" t="n">
        <x:v>16.36</x:v>
      </x:c>
      <x:c r="U2904" s="47" t="n">
        <x:v>0.2</x:v>
      </x:c>
      <x:c r="V2904" s="54" t="n">
        <x:f>IF(ISNUMBER(T2904),T2904*(1+U2904),"")</x:f>
        <x:v>19.631999999999998</x:v>
      </x:c>
      <x:c r="W2904" s="47" t="n">
        <x:v>0.3</x:v>
      </x:c>
      <x:c r="X2904" s="54" t="n">
        <x:f>IF(ISNUMBER(V2904),V2904/(1-W2904),"")</x:f>
        <x:v>28.045714285714286</x:v>
      </x:c>
      <x:c r="Y2904" s="55" t="n">
        <x:f>IF(ISNUMBER(X2904),ROUNDUP(X2904,0),"")</x:f>
        <x:v>29</x:v>
      </x:c>
      <x:c r="Z2904" t="str">
        <x:v>Source match pending</x:v>
      </x:c>
      <x:c r="AA2904" t="str">
        <x:v>screencapture-www-activesportstrade-co-uk-usn-trade-2026-09-09-19_02_34.png / page-001</x:v>
      </x:c>
      <x:c r="AB2904" s="36" t="n">
        <x:f>IF(ISNUMBER(Y2904),ROUND(Y2904*0.9,2),"")</x:f>
        <x:v>26.1</x:v>
      </x:c>
      <x:c r="AC2904" s="36" t="n">
        <x:f>IF(ISNUMBER(AB2904),ROUND(AB2904-(AB2904*0.015+0.2)-V2904,2),"")</x:f>
        <x:v>5.88</x:v>
      </x:c>
      <x:c r="AD2904" s="36" t="n">
        <x:f>IF(ISNUMBER(Y2904),ROUND(Y2904*0.8,2),"")</x:f>
        <x:v>23.2</x:v>
      </x:c>
      <x:c r="AE2904" s="36" t="n">
        <x:f>IF(ISNUMBER(AD2904),ROUND(AD2904*0.015+0.2,2),"")</x:f>
        <x:v>0.55</x:v>
      </x:c>
      <x:c r="AF2904" s="36" t="n">
        <x:f>IF(ISNUMBER(AD2904),ROUND(AD2904-AE2904-V2904,2),"")</x:f>
        <x:v>3.02</x:v>
      </x:c>
      <x:c r="AG2904" t="str">
        <x:f>IF(NOT(ISNUMBER(T2904)),"PENDING",IF(AF2904&gt;0,"PASS","FAIL"))</x:f>
        <x:v>PASS</x:v>
      </x:c>
      <x:c r="AH2904" t="str">
        <x:f>IF(NOT(ISNUMBER(T2904)),"Needs supplier cost",IF(K2904&lt;&gt;"In stock","Supplier unavailable",IF(AG2904&lt;&gt;"PASS","BLOCK - GT loss risk","Commercially protected")))</x:f>
        <x:v>Supplier unavailable</x:v>
      </x:c>
      <x:c r="AI2904" t="str">
        <x:v>2026-09-10 Active Sports trade capture</x:v>
      </x:c>
      <x:c r="AJ2904" t="str">
        <x:v>Management-only economics. Stripe stress test uses 1.5% + £0.20 standard UK online-card fee; pallet/mix-and-match pricing ignored.</x:v>
      </x:c>
    </x:row>
    <x:row r="2905">
      <x:c r="A2905" t="str">
        <x:v>Active Sports Nutrition</x:v>
      </x:c>
      <x:c r="B2905" t="str">
        <x:v>USN</x:v>
      </x:c>
      <x:c r="C2905" t="str">
        <x:v>Trust Crunch Bars</x:v>
      </x:c>
      <x:c r="D2905" t="str">
        <x:v>Food &amp; Drinks</x:v>
      </x:c>
      <x:c r="E2905" t="str">
        <x:v>Bars and Snacks</x:v>
      </x:c>
      <x:c r="F2905" t="str"/>
      <x:c r="G2905" t="str">
        <x:v>12 x 60g</x:v>
      </x:c>
      <x:c r="H2905" t="str">
        <x:v>Cookies &amp; Cream</x:v>
      </x:c>
      <x:c r="I2905" t="str">
        <x:v>12</x:v>
      </x:c>
      <x:c r="J2905" t="str">
        <x:v>Case</x:v>
      </x:c>
      <x:c r="K2905" t="str">
        <x:v>In stock</x:v>
      </x:c>
      <x:c r="L2905" t="str">
        <x:v>2026-09-08</x:v>
      </x:c>
      <x:c r="M2905" t="str"/>
      <x:c r="N2905" t="str"/>
      <x:c r="O2905" t="str">
        <x:v>https://www.activesportstrade.co.uk/Protein-Bars</x:v>
      </x:c>
      <x:c r="P2905" t="str">
        <x:v>Current exact bar flavour availability captured; case-only supplier ordering.</x:v>
      </x:c>
      <x:c r="Q2905" t="str"/>
      <x:c r="R2905" t="str"/>
      <x:c r="S2905" t="str">
        <x:v>Pending genuine supplier/brand image</x:v>
      </x:c>
      <x:c r="T2905" s="54" t="n">
        <x:v>16.36</x:v>
      </x:c>
      <x:c r="U2905" s="47" t="n">
        <x:v>0.2</x:v>
      </x:c>
      <x:c r="V2905" s="54" t="n">
        <x:f>IF(ISNUMBER(T2905),T2905*(1+U2905),"")</x:f>
        <x:v>19.631999999999998</x:v>
      </x:c>
      <x:c r="W2905" s="47" t="n">
        <x:v>0.3</x:v>
      </x:c>
      <x:c r="X2905" s="54" t="n">
        <x:f>IF(ISNUMBER(V2905),V2905/(1-W2905),"")</x:f>
        <x:v>28.045714285714286</x:v>
      </x:c>
      <x:c r="Y2905" s="55" t="n">
        <x:f>IF(ISNUMBER(X2905),ROUNDUP(X2905,0),"")</x:f>
        <x:v>29</x:v>
      </x:c>
      <x:c r="Z2905" t="str">
        <x:v>Source match pending</x:v>
      </x:c>
      <x:c r="AA2905" t="str">
        <x:v>screencapture-www-activesportstrade-co-uk-usn-trade-2026-09-09-19_02_34.png / page-001</x:v>
      </x:c>
      <x:c r="AB2905" s="36" t="n">
        <x:f>IF(ISNUMBER(Y2905),ROUND(Y2905*0.9,2),"")</x:f>
        <x:v>26.1</x:v>
      </x:c>
      <x:c r="AC2905" s="36" t="n">
        <x:f>IF(ISNUMBER(AB2905),ROUND(AB2905-(AB2905*0.015+0.2)-V2905,2),"")</x:f>
        <x:v>5.88</x:v>
      </x:c>
      <x:c r="AD2905" s="36" t="n">
        <x:f>IF(ISNUMBER(Y2905),ROUND(Y2905*0.8,2),"")</x:f>
        <x:v>23.2</x:v>
      </x:c>
      <x:c r="AE2905" s="36" t="n">
        <x:f>IF(ISNUMBER(AD2905),ROUND(AD2905*0.015+0.2,2),"")</x:f>
        <x:v>0.55</x:v>
      </x:c>
      <x:c r="AF2905" s="36" t="n">
        <x:f>IF(ISNUMBER(AD2905),ROUND(AD2905-AE2905-V2905,2),"")</x:f>
        <x:v>3.02</x:v>
      </x:c>
      <x:c r="AG2905" t="str">
        <x:f>IF(NOT(ISNUMBER(T2905)),"PENDING",IF(AF2905&gt;0,"PASS","FAIL"))</x:f>
        <x:v>PASS</x:v>
      </x:c>
      <x:c r="AH2905" t="str">
        <x:f>IF(NOT(ISNUMBER(T2905)),"Needs supplier cost",IF(K2905&lt;&gt;"In stock","Supplier unavailable",IF(AG2905&lt;&gt;"PASS","BLOCK - GT loss risk","Commercially protected")))</x:f>
        <x:v>Commercially protected</x:v>
      </x:c>
      <x:c r="AI2905" t="str">
        <x:v>2026-09-10 Active Sports trade capture</x:v>
      </x:c>
      <x:c r="AJ2905" t="str">
        <x:v>Management-only economics. Stripe stress test uses 1.5% + £0.20 standard UK online-card fee; pallet/mix-and-match pricing ignored.</x:v>
      </x:c>
    </x:row>
    <x:row r="2906">
      <x:c r="A2906" t="str">
        <x:v>Active Sports Nutrition</x:v>
      </x:c>
      <x:c r="B2906" t="str">
        <x:v>USN</x:v>
      </x:c>
      <x:c r="C2906" t="str">
        <x:v>Trust Crunch Bars</x:v>
      </x:c>
      <x:c r="D2906" t="str">
        <x:v>Food &amp; Drinks</x:v>
      </x:c>
      <x:c r="E2906" t="str">
        <x:v>Bars and Snacks</x:v>
      </x:c>
      <x:c r="F2906" t="str"/>
      <x:c r="G2906" t="str">
        <x:v>12 x 60g</x:v>
      </x:c>
      <x:c r="H2906" t="str">
        <x:v>Fudge Brownie</x:v>
      </x:c>
      <x:c r="I2906" t="str">
        <x:v>12</x:v>
      </x:c>
      <x:c r="J2906" t="str">
        <x:v>Case</x:v>
      </x:c>
      <x:c r="K2906" t="str">
        <x:v>Out of stock</x:v>
      </x:c>
      <x:c r="L2906" t="str">
        <x:v>2026-09-08</x:v>
      </x:c>
      <x:c r="M2906" t="str"/>
      <x:c r="N2906" t="str"/>
      <x:c r="O2906" t="str">
        <x:v>https://www.activesportstrade.co.uk/Protein-Bars</x:v>
      </x:c>
      <x:c r="P2906" t="str">
        <x:v>Current exact bar flavour availability captured; case-only supplier ordering.</x:v>
      </x:c>
      <x:c r="Q2906" t="str"/>
      <x:c r="R2906" t="str"/>
      <x:c r="S2906" t="str">
        <x:v>Pending genuine supplier/brand image</x:v>
      </x:c>
      <x:c r="T2906" s="54" t="n">
        <x:v>16.36</x:v>
      </x:c>
      <x:c r="U2906" s="47" t="n">
        <x:v>0.2</x:v>
      </x:c>
      <x:c r="V2906" s="54" t="n">
        <x:f>IF(ISNUMBER(T2906),T2906*(1+U2906),"")</x:f>
        <x:v>19.631999999999998</x:v>
      </x:c>
      <x:c r="W2906" s="47" t="n">
        <x:v>0.3</x:v>
      </x:c>
      <x:c r="X2906" s="54" t="n">
        <x:f>IF(ISNUMBER(V2906),V2906/(1-W2906),"")</x:f>
        <x:v>28.045714285714286</x:v>
      </x:c>
      <x:c r="Y2906" s="55" t="n">
        <x:f>IF(ISNUMBER(X2906),ROUNDUP(X2906,0),"")</x:f>
        <x:v>29</x:v>
      </x:c>
      <x:c r="Z2906" t="str">
        <x:v>Source match pending</x:v>
      </x:c>
      <x:c r="AA2906" t="str">
        <x:v>screencapture-www-activesportstrade-co-uk-usn-trade-2026-09-09-19_02_34.png / page-001</x:v>
      </x:c>
      <x:c r="AB2906" s="36" t="n">
        <x:f>IF(ISNUMBER(Y2906),ROUND(Y2906*0.9,2),"")</x:f>
        <x:v>26.1</x:v>
      </x:c>
      <x:c r="AC2906" s="36" t="n">
        <x:f>IF(ISNUMBER(AB2906),ROUND(AB2906-(AB2906*0.015+0.2)-V2906,2),"")</x:f>
        <x:v>5.88</x:v>
      </x:c>
      <x:c r="AD2906" s="36" t="n">
        <x:f>IF(ISNUMBER(Y2906),ROUND(Y2906*0.8,2),"")</x:f>
        <x:v>23.2</x:v>
      </x:c>
      <x:c r="AE2906" s="36" t="n">
        <x:f>IF(ISNUMBER(AD2906),ROUND(AD2906*0.015+0.2,2),"")</x:f>
        <x:v>0.55</x:v>
      </x:c>
      <x:c r="AF2906" s="36" t="n">
        <x:f>IF(ISNUMBER(AD2906),ROUND(AD2906-AE2906-V2906,2),"")</x:f>
        <x:v>3.02</x:v>
      </x:c>
      <x:c r="AG2906" t="str">
        <x:f>IF(NOT(ISNUMBER(T2906)),"PENDING",IF(AF2906&gt;0,"PASS","FAIL"))</x:f>
        <x:v>PASS</x:v>
      </x:c>
      <x:c r="AH2906" t="str">
        <x:f>IF(NOT(ISNUMBER(T2906)),"Needs supplier cost",IF(K2906&lt;&gt;"In stock","Supplier unavailable",IF(AG2906&lt;&gt;"PASS","BLOCK - GT loss risk","Commercially protected")))</x:f>
        <x:v>Supplier unavailable</x:v>
      </x:c>
      <x:c r="AI2906" t="str">
        <x:v>2026-09-10 Active Sports trade capture</x:v>
      </x:c>
      <x:c r="AJ2906" t="str">
        <x:v>Management-only economics. Stripe stress test uses 1.5% + £0.20 standard UK online-card fee; pallet/mix-and-match pricing ignored.</x:v>
      </x:c>
    </x:row>
    <x:row r="2907">
      <x:c r="A2907" t="str">
        <x:v>Active Sports Nutrition</x:v>
      </x:c>
      <x:c r="B2907" t="str">
        <x:v>USN</x:v>
      </x:c>
      <x:c r="C2907" t="str">
        <x:v>Trust Crunch Bars</x:v>
      </x:c>
      <x:c r="D2907" t="str">
        <x:v>Food &amp; Drinks</x:v>
      </x:c>
      <x:c r="E2907" t="str">
        <x:v>Bars and Snacks</x:v>
      </x:c>
      <x:c r="F2907" t="str"/>
      <x:c r="G2907" t="str">
        <x:v>12 x 60g</x:v>
      </x:c>
      <x:c r="H2907" t="str">
        <x:v>Salted Caramel</x:v>
      </x:c>
      <x:c r="I2907" t="str">
        <x:v>12</x:v>
      </x:c>
      <x:c r="J2907" t="str">
        <x:v>Case</x:v>
      </x:c>
      <x:c r="K2907" t="str">
        <x:v>Out of stock</x:v>
      </x:c>
      <x:c r="L2907" t="str">
        <x:v>2026-09-08</x:v>
      </x:c>
      <x:c r="M2907" t="str"/>
      <x:c r="N2907" t="str"/>
      <x:c r="O2907" t="str">
        <x:v>https://www.activesportstrade.co.uk/Protein-Bars</x:v>
      </x:c>
      <x:c r="P2907" t="str">
        <x:v>Current exact bar flavour availability captured; case-only supplier ordering.</x:v>
      </x:c>
      <x:c r="Q2907" t="str"/>
      <x:c r="R2907" t="str"/>
      <x:c r="S2907" t="str">
        <x:v>Pending genuine supplier/brand image</x:v>
      </x:c>
      <x:c r="T2907" s="54" t="n">
        <x:v>16.36</x:v>
      </x:c>
      <x:c r="U2907" s="47" t="n">
        <x:v>0.2</x:v>
      </x:c>
      <x:c r="V2907" s="54" t="n">
        <x:f>IF(ISNUMBER(T2907),T2907*(1+U2907),"")</x:f>
        <x:v>19.631999999999998</x:v>
      </x:c>
      <x:c r="W2907" s="47" t="n">
        <x:v>0.3</x:v>
      </x:c>
      <x:c r="X2907" s="54" t="n">
        <x:f>IF(ISNUMBER(V2907),V2907/(1-W2907),"")</x:f>
        <x:v>28.045714285714286</x:v>
      </x:c>
      <x:c r="Y2907" s="55" t="n">
        <x:f>IF(ISNUMBER(X2907),ROUNDUP(X2907,0),"")</x:f>
        <x:v>29</x:v>
      </x:c>
      <x:c r="Z2907" t="str">
        <x:v>Source match pending</x:v>
      </x:c>
      <x:c r="AA2907" t="str">
        <x:v>screencapture-www-activesportstrade-co-uk-usn-trade-2026-09-09-19_02_34.png / page-001</x:v>
      </x:c>
      <x:c r="AB2907" s="36" t="n">
        <x:f>IF(ISNUMBER(Y2907),ROUND(Y2907*0.9,2),"")</x:f>
        <x:v>26.1</x:v>
      </x:c>
      <x:c r="AC2907" s="36" t="n">
        <x:f>IF(ISNUMBER(AB2907),ROUND(AB2907-(AB2907*0.015+0.2)-V2907,2),"")</x:f>
        <x:v>5.88</x:v>
      </x:c>
      <x:c r="AD2907" s="36" t="n">
        <x:f>IF(ISNUMBER(Y2907),ROUND(Y2907*0.8,2),"")</x:f>
        <x:v>23.2</x:v>
      </x:c>
      <x:c r="AE2907" s="36" t="n">
        <x:f>IF(ISNUMBER(AD2907),ROUND(AD2907*0.015+0.2,2),"")</x:f>
        <x:v>0.55</x:v>
      </x:c>
      <x:c r="AF2907" s="36" t="n">
        <x:f>IF(ISNUMBER(AD2907),ROUND(AD2907-AE2907-V2907,2),"")</x:f>
        <x:v>3.02</x:v>
      </x:c>
      <x:c r="AG2907" t="str">
        <x:f>IF(NOT(ISNUMBER(T2907)),"PENDING",IF(AF2907&gt;0,"PASS","FAIL"))</x:f>
        <x:v>PASS</x:v>
      </x:c>
      <x:c r="AH2907" t="str">
        <x:f>IF(NOT(ISNUMBER(T2907)),"Needs supplier cost",IF(K2907&lt;&gt;"In stock","Supplier unavailable",IF(AG2907&lt;&gt;"PASS","BLOCK - GT loss risk","Commercially protected")))</x:f>
        <x:v>Supplier unavailable</x:v>
      </x:c>
      <x:c r="AI2907" t="str">
        <x:v>2026-09-10 Active Sports trade capture</x:v>
      </x:c>
      <x:c r="AJ2907" t="str">
        <x:v>Management-only economics. Stripe stress test uses 1.5% + £0.20 standard UK online-card fee; pallet/mix-and-match pricing ignored.</x:v>
      </x:c>
    </x:row>
    <x:row r="2908">
      <x:c r="A2908" t="str">
        <x:v>Active Sports Nutrition</x:v>
      </x:c>
      <x:c r="B2908" t="str">
        <x:v>USN</x:v>
      </x:c>
      <x:c r="C2908" t="str">
        <x:v>Trust Crunch Bars</x:v>
      </x:c>
      <x:c r="D2908" t="str">
        <x:v>Food &amp; Drinks</x:v>
      </x:c>
      <x:c r="E2908" t="str">
        <x:v>Bars and Snacks</x:v>
      </x:c>
      <x:c r="F2908" t="str"/>
      <x:c r="G2908" t="str">
        <x:v>12 x 60g</x:v>
      </x:c>
      <x:c r="H2908" t="str">
        <x:v>Triple Chocolate</x:v>
      </x:c>
      <x:c r="I2908" t="str">
        <x:v>12</x:v>
      </x:c>
      <x:c r="J2908" t="str">
        <x:v>Case</x:v>
      </x:c>
      <x:c r="K2908" t="str">
        <x:v>Out of stock</x:v>
      </x:c>
      <x:c r="L2908" t="str">
        <x:v>2026-09-08</x:v>
      </x:c>
      <x:c r="M2908" t="str"/>
      <x:c r="N2908" t="str"/>
      <x:c r="O2908" t="str">
        <x:v>https://www.activesportstrade.co.uk/Protein-Bars</x:v>
      </x:c>
      <x:c r="P2908" t="str">
        <x:v>Current exact bar flavour availability captured; case-only supplier ordering.</x:v>
      </x:c>
      <x:c r="Q2908" t="str"/>
      <x:c r="R2908" t="str"/>
      <x:c r="S2908" t="str">
        <x:v>Pending genuine supplier/brand image</x:v>
      </x:c>
      <x:c r="T2908" s="54" t="n">
        <x:v>16.36</x:v>
      </x:c>
      <x:c r="U2908" s="47" t="n">
        <x:v>0.2</x:v>
      </x:c>
      <x:c r="V2908" s="54" t="n">
        <x:f>IF(ISNUMBER(T2908),T2908*(1+U2908),"")</x:f>
        <x:v>19.631999999999998</x:v>
      </x:c>
      <x:c r="W2908" s="47" t="n">
        <x:v>0.3</x:v>
      </x:c>
      <x:c r="X2908" s="54" t="n">
        <x:f>IF(ISNUMBER(V2908),V2908/(1-W2908),"")</x:f>
        <x:v>28.045714285714286</x:v>
      </x:c>
      <x:c r="Y2908" s="55" t="n">
        <x:f>IF(ISNUMBER(X2908),ROUNDUP(X2908,0),"")</x:f>
        <x:v>29</x:v>
      </x:c>
      <x:c r="Z2908" t="str">
        <x:v>Source match pending</x:v>
      </x:c>
      <x:c r="AA2908" t="str">
        <x:v>screencapture-www-activesportstrade-co-uk-usn-trade-2026-09-09-19_02_34.png / page-001</x:v>
      </x:c>
      <x:c r="AB2908" s="36" t="n">
        <x:f>IF(ISNUMBER(Y2908),ROUND(Y2908*0.9,2),"")</x:f>
        <x:v>26.1</x:v>
      </x:c>
      <x:c r="AC2908" s="36" t="n">
        <x:f>IF(ISNUMBER(AB2908),ROUND(AB2908-(AB2908*0.015+0.2)-V2908,2),"")</x:f>
        <x:v>5.88</x:v>
      </x:c>
      <x:c r="AD2908" s="36" t="n">
        <x:f>IF(ISNUMBER(Y2908),ROUND(Y2908*0.8,2),"")</x:f>
        <x:v>23.2</x:v>
      </x:c>
      <x:c r="AE2908" s="36" t="n">
        <x:f>IF(ISNUMBER(AD2908),ROUND(AD2908*0.015+0.2,2),"")</x:f>
        <x:v>0.55</x:v>
      </x:c>
      <x:c r="AF2908" s="36" t="n">
        <x:f>IF(ISNUMBER(AD2908),ROUND(AD2908-AE2908-V2908,2),"")</x:f>
        <x:v>3.02</x:v>
      </x:c>
      <x:c r="AG2908" t="str">
        <x:f>IF(NOT(ISNUMBER(T2908)),"PENDING",IF(AF2908&gt;0,"PASS","FAIL"))</x:f>
        <x:v>PASS</x:v>
      </x:c>
      <x:c r="AH2908" t="str">
        <x:f>IF(NOT(ISNUMBER(T2908)),"Needs supplier cost",IF(K2908&lt;&gt;"In stock","Supplier unavailable",IF(AG2908&lt;&gt;"PASS","BLOCK - GT loss risk","Commercially protected")))</x:f>
        <x:v>Supplier unavailable</x:v>
      </x:c>
      <x:c r="AI2908" t="str">
        <x:v>2026-09-10 Active Sports trade capture</x:v>
      </x:c>
      <x:c r="AJ2908" t="str">
        <x:v>Management-only economics. Stripe stress test uses 1.5% + £0.20 standard UK online-card fee; pallet/mix-and-match pricing ignored.</x:v>
      </x:c>
    </x:row>
    <x:row r="2909">
      <x:c r="A2909" t="str">
        <x:v>Active Sports Nutrition</x:v>
      </x:c>
      <x:c r="B2909" t="str">
        <x:v>USN</x:v>
      </x:c>
      <x:c r="C2909" t="str">
        <x:v>Trust Crunch Bars</x:v>
      </x:c>
      <x:c r="D2909" t="str">
        <x:v>Food &amp; Drinks</x:v>
      </x:c>
      <x:c r="E2909" t="str">
        <x:v>Bars and Snacks</x:v>
      </x:c>
      <x:c r="F2909" t="str"/>
      <x:c r="G2909" t="str">
        <x:v>12 x 60g</x:v>
      </x:c>
      <x:c r="H2909" t="str">
        <x:v>White Chocolate Cookie Dough</x:v>
      </x:c>
      <x:c r="I2909" t="str">
        <x:v>12</x:v>
      </x:c>
      <x:c r="J2909" t="str">
        <x:v>Case</x:v>
      </x:c>
      <x:c r="K2909" t="str">
        <x:v>Out of stock</x:v>
      </x:c>
      <x:c r="L2909" t="str">
        <x:v>2026-09-08</x:v>
      </x:c>
      <x:c r="M2909" t="str"/>
      <x:c r="N2909" t="str"/>
      <x:c r="O2909" t="str">
        <x:v>https://www.activesportstrade.co.uk/Protein-Bars</x:v>
      </x:c>
      <x:c r="P2909" t="str">
        <x:v>Current exact bar flavour availability captured; case-only supplier ordering.</x:v>
      </x:c>
      <x:c r="Q2909" t="str"/>
      <x:c r="R2909" t="str"/>
      <x:c r="S2909" t="str">
        <x:v>Pending genuine supplier/brand image</x:v>
      </x:c>
      <x:c r="T2909" s="54" t="n">
        <x:v>16.36</x:v>
      </x:c>
      <x:c r="U2909" s="47" t="n">
        <x:v>0.2</x:v>
      </x:c>
      <x:c r="V2909" s="54" t="n">
        <x:f>IF(ISNUMBER(T2909),T2909*(1+U2909),"")</x:f>
        <x:v>19.631999999999998</x:v>
      </x:c>
      <x:c r="W2909" s="47" t="n">
        <x:v>0.3</x:v>
      </x:c>
      <x:c r="X2909" s="54" t="n">
        <x:f>IF(ISNUMBER(V2909),V2909/(1-W2909),"")</x:f>
        <x:v>28.045714285714286</x:v>
      </x:c>
      <x:c r="Y2909" s="55" t="n">
        <x:f>IF(ISNUMBER(X2909),ROUNDUP(X2909,0),"")</x:f>
        <x:v>29</x:v>
      </x:c>
      <x:c r="Z2909" t="str">
        <x:v>Source match pending</x:v>
      </x:c>
      <x:c r="AA2909" t="str">
        <x:v>screencapture-www-activesportstrade-co-uk-usn-trade-2026-09-09-19_02_34.png / page-001</x:v>
      </x:c>
      <x:c r="AB2909" s="36" t="n">
        <x:f>IF(ISNUMBER(Y2909),ROUND(Y2909*0.9,2),"")</x:f>
        <x:v>26.1</x:v>
      </x:c>
      <x:c r="AC2909" s="36" t="n">
        <x:f>IF(ISNUMBER(AB2909),ROUND(AB2909-(AB2909*0.015+0.2)-V2909,2),"")</x:f>
        <x:v>5.88</x:v>
      </x:c>
      <x:c r="AD2909" s="36" t="n">
        <x:f>IF(ISNUMBER(Y2909),ROUND(Y2909*0.8,2),"")</x:f>
        <x:v>23.2</x:v>
      </x:c>
      <x:c r="AE2909" s="36" t="n">
        <x:f>IF(ISNUMBER(AD2909),ROUND(AD2909*0.015+0.2,2),"")</x:f>
        <x:v>0.55</x:v>
      </x:c>
      <x:c r="AF2909" s="36" t="n">
        <x:f>IF(ISNUMBER(AD2909),ROUND(AD2909-AE2909-V2909,2),"")</x:f>
        <x:v>3.02</x:v>
      </x:c>
      <x:c r="AG2909" t="str">
        <x:f>IF(NOT(ISNUMBER(T2909)),"PENDING",IF(AF2909&gt;0,"PASS","FAIL"))</x:f>
        <x:v>PASS</x:v>
      </x:c>
      <x:c r="AH2909" t="str">
        <x:f>IF(NOT(ISNUMBER(T2909)),"Needs supplier cost",IF(K2909&lt;&gt;"In stock","Supplier unavailable",IF(AG2909&lt;&gt;"PASS","BLOCK - GT loss risk","Commercially protected")))</x:f>
        <x:v>Supplier unavailable</x:v>
      </x:c>
      <x:c r="AI2909" t="str">
        <x:v>2026-09-10 Active Sports trade capture</x:v>
      </x:c>
      <x:c r="AJ2909" t="str">
        <x:v>Management-only economics. Stripe stress test uses 1.5% + £0.20 standard UK online-card fee; pallet/mix-and-match pricing ignored.</x:v>
      </x:c>
    </x:row>
    <x:row r="2910">
      <x:c r="A2910" t="str">
        <x:v>Active Sports Nutrition</x:v>
      </x:c>
      <x:c r="B2910" t="str">
        <x:v>Refined Nutrition</x:v>
      </x:c>
      <x:c r="C2910" t="str">
        <x:v>Cream Of Rice</x:v>
      </x:c>
      <x:c r="D2910" t="str">
        <x:v>Food &amp; Drinks</x:v>
      </x:c>
      <x:c r="E2910" t="str">
        <x:v>High Protein Foods</x:v>
      </x:c>
      <x:c r="F2910" t="str"/>
      <x:c r="G2910" t="str">
        <x:v>2.5kg</x:v>
      </x:c>
      <x:c r="H2910" t="str">
        <x:v>Blueberry Muffin</x:v>
      </x:c>
      <x:c r="I2910" t="str"/>
      <x:c r="J2910" t="str">
        <x:v>Unit</x:v>
      </x:c>
      <x:c r="K2910" t="str">
        <x:v>In stock</x:v>
      </x:c>
      <x:c r="L2910" t="str">
        <x:v>2026-09-08</x:v>
      </x:c>
      <x:c r="M2910" t="str"/>
      <x:c r="N2910" t="str"/>
      <x:c r="O2910" t="str">
        <x:v>https://www.activesportstrade.co.uk/refined-nutrition-trade</x:v>
      </x:c>
      <x:c r="P2910" t="str">
        <x:v>VAT FREE wording stripped.</x:v>
      </x:c>
      <x:c r="Q2910" t="str"/>
      <x:c r="R2910" t="str"/>
      <x:c r="S2910" t="str">
        <x:v>Pending genuine supplier/brand image</x:v>
      </x:c>
      <x:c r="T2910" s="54"/>
      <x:c r="U2910" s="47" t="n">
        <x:v>0</x:v>
      </x:c>
      <x:c r="V2910" s="54" t="str">
        <x:f>IF(ISNUMBER(T2910),T2910*(1+U2910),"")</x:f>
      </x:c>
      <x:c r="W2910" s="47" t="n">
        <x:v>0.3</x:v>
      </x:c>
      <x:c r="X2910" s="54" t="str">
        <x:f>IF(ISNUMBER(V2910),V2910/(1-W2910),"")</x:f>
      </x:c>
      <x:c r="Y2910" s="55" t="str">
        <x:f>IF(ISNUMBER(X2910),ROUNDUP(X2910,0),"")</x:f>
      </x:c>
      <x:c r="Z2910" t="str">
        <x:f>IF(ISNUMBER(T2910),"Cost captured","Awaiting trade cost")</x:f>
        <x:v>Awaiting trade cost</x:v>
      </x:c>
      <x:c r="AB2910" s="36" t="str">
        <x:f>IF(ISNUMBER(Y2910),ROUND(Y2910*0.9,2),"")</x:f>
      </x:c>
      <x:c r="AC2910" s="36" t="str">
        <x:f>IF(ISNUMBER(AB2910),ROUND(AB2910-(AB2910*0.015+0.2)-V2910,2),"")</x:f>
      </x:c>
      <x:c r="AD2910" s="36" t="str">
        <x:f>IF(ISNUMBER(Y2910),ROUND(Y2910*0.8,2),"")</x:f>
      </x:c>
      <x:c r="AE2910" s="36" t="str">
        <x:f>IF(ISNUMBER(AD2910),ROUND(AD2910*0.015+0.2,2),"")</x:f>
      </x:c>
      <x:c r="AF2910" s="36" t="str">
        <x:f>IF(ISNUMBER(AD2910),ROUND(AD2910-AE2910-V2910,2),"")</x:f>
      </x:c>
      <x:c r="AG2910" t="str">
        <x:f>IF(NOT(ISNUMBER(T2910)),"PENDING",IF(AF2910&gt;0,"PASS","FAIL"))</x:f>
        <x:v>PENDING</x:v>
      </x:c>
      <x:c r="AH2910" t="str">
        <x:f>IF(NOT(ISNUMBER(T2910)),"Needs supplier cost",IF(K2910&lt;&gt;"In stock","Supplier unavailable",IF(AG2910&lt;&gt;"PASS","BLOCK - GT loss risk","Commercially protected")))</x:f>
        <x:v>Needs supplier cost</x:v>
      </x:c>
      <x:c r="AI2910" t="str">
        <x:v>2026-09-10 Active Sports trade capture</x:v>
      </x:c>
      <x:c r="AJ2910" t="str">
        <x:v>Management-only economics. Stripe stress test uses 1.5% + £0.20 standard UK online-card fee; pallet/mix-and-match pricing ignored.</x:v>
      </x:c>
    </x:row>
    <x:row r="2911">
      <x:c r="A2911" t="str">
        <x:v>Active Sports Nutrition</x:v>
      </x:c>
      <x:c r="B2911" t="str">
        <x:v>Refined Nutrition</x:v>
      </x:c>
      <x:c r="C2911" t="str">
        <x:v>Cream Of Rice</x:v>
      </x:c>
      <x:c r="D2911" t="str">
        <x:v>Food &amp; Drinks</x:v>
      </x:c>
      <x:c r="E2911" t="str">
        <x:v>High Protein Foods</x:v>
      </x:c>
      <x:c r="F2911" t="str"/>
      <x:c r="G2911" t="str">
        <x:v>2.5kg</x:v>
      </x:c>
      <x:c r="H2911" t="str">
        <x:v>Cookies &amp; Cream</x:v>
      </x:c>
      <x:c r="I2911" t="str"/>
      <x:c r="J2911" t="str">
        <x:v>Unit</x:v>
      </x:c>
      <x:c r="K2911" t="str">
        <x:v>In stock</x:v>
      </x:c>
      <x:c r="L2911" t="str">
        <x:v>2026-09-08</x:v>
      </x:c>
      <x:c r="M2911" t="str"/>
      <x:c r="N2911" t="str"/>
      <x:c r="O2911" t="str">
        <x:v>https://www.activesportstrade.co.uk/refined-nutrition-trade</x:v>
      </x:c>
      <x:c r="P2911" t="str">
        <x:v>VAT FREE wording stripped.</x:v>
      </x:c>
      <x:c r="Q2911" t="str"/>
      <x:c r="R2911" t="str"/>
      <x:c r="S2911" t="str">
        <x:v>Pending genuine supplier/brand image</x:v>
      </x:c>
      <x:c r="T2911" s="54"/>
      <x:c r="U2911" s="47" t="n">
        <x:v>0</x:v>
      </x:c>
      <x:c r="V2911" s="54" t="str">
        <x:f>IF(ISNUMBER(T2911),T2911*(1+U2911),"")</x:f>
      </x:c>
      <x:c r="W2911" s="47" t="n">
        <x:v>0.3</x:v>
      </x:c>
      <x:c r="X2911" s="54" t="str">
        <x:f>IF(ISNUMBER(V2911),V2911/(1-W2911),"")</x:f>
      </x:c>
      <x:c r="Y2911" s="55" t="str">
        <x:f>IF(ISNUMBER(X2911),ROUNDUP(X2911,0),"")</x:f>
      </x:c>
      <x:c r="Z2911" t="str">
        <x:f>IF(ISNUMBER(T2911),"Cost captured","Awaiting trade cost")</x:f>
        <x:v>Awaiting trade cost</x:v>
      </x:c>
      <x:c r="AB2911" s="36" t="str">
        <x:f>IF(ISNUMBER(Y2911),ROUND(Y2911*0.9,2),"")</x:f>
      </x:c>
      <x:c r="AC2911" s="36" t="str">
        <x:f>IF(ISNUMBER(AB2911),ROUND(AB2911-(AB2911*0.015+0.2)-V2911,2),"")</x:f>
      </x:c>
      <x:c r="AD2911" s="36" t="str">
        <x:f>IF(ISNUMBER(Y2911),ROUND(Y2911*0.8,2),"")</x:f>
      </x:c>
      <x:c r="AE2911" s="36" t="str">
        <x:f>IF(ISNUMBER(AD2911),ROUND(AD2911*0.015+0.2,2),"")</x:f>
      </x:c>
      <x:c r="AF2911" s="36" t="str">
        <x:f>IF(ISNUMBER(AD2911),ROUND(AD2911-AE2911-V2911,2),"")</x:f>
      </x:c>
      <x:c r="AG2911" t="str">
        <x:f>IF(NOT(ISNUMBER(T2911)),"PENDING",IF(AF2911&gt;0,"PASS","FAIL"))</x:f>
        <x:v>PENDING</x:v>
      </x:c>
      <x:c r="AH2911" t="str">
        <x:f>IF(NOT(ISNUMBER(T2911)),"Needs supplier cost",IF(K2911&lt;&gt;"In stock","Supplier unavailable",IF(AG2911&lt;&gt;"PASS","BLOCK - GT loss risk","Commercially protected")))</x:f>
        <x:v>Needs supplier cost</x:v>
      </x:c>
      <x:c r="AI2911" t="str">
        <x:v>2026-09-10 Active Sports trade capture</x:v>
      </x:c>
      <x:c r="AJ2911" t="str">
        <x:v>Management-only economics. Stripe stress test uses 1.5% + £0.20 standard UK online-card fee; pallet/mix-and-match pricing ignored.</x:v>
      </x:c>
    </x:row>
    <x:row r="2912">
      <x:c r="A2912" t="str">
        <x:v>Active Sports Nutrition</x:v>
      </x:c>
      <x:c r="B2912" t="str">
        <x:v>Refined Nutrition</x:v>
      </x:c>
      <x:c r="C2912" t="str">
        <x:v>Cream Of Rice</x:v>
      </x:c>
      <x:c r="D2912" t="str">
        <x:v>Food &amp; Drinks</x:v>
      </x:c>
      <x:c r="E2912" t="str">
        <x:v>High Protein Foods</x:v>
      </x:c>
      <x:c r="F2912" t="str"/>
      <x:c r="G2912" t="str">
        <x:v>2.5kg</x:v>
      </x:c>
      <x:c r="H2912" t="str">
        <x:v>Salted Caramel Cheesecake</x:v>
      </x:c>
      <x:c r="I2912" t="str"/>
      <x:c r="J2912" t="str">
        <x:v>Unit</x:v>
      </x:c>
      <x:c r="K2912" t="str">
        <x:v>In stock</x:v>
      </x:c>
      <x:c r="L2912" t="str">
        <x:v>2026-09-08</x:v>
      </x:c>
      <x:c r="M2912" t="str"/>
      <x:c r="N2912" t="str"/>
      <x:c r="O2912" t="str">
        <x:v>https://www.activesportstrade.co.uk/refined-nutrition-trade</x:v>
      </x:c>
      <x:c r="P2912" t="str">
        <x:v>VAT FREE wording stripped.</x:v>
      </x:c>
      <x:c r="Q2912" t="str"/>
      <x:c r="R2912" t="str"/>
      <x:c r="S2912" t="str">
        <x:v>Pending genuine supplier/brand image</x:v>
      </x:c>
      <x:c r="T2912" s="54"/>
      <x:c r="U2912" s="47" t="n">
        <x:v>0</x:v>
      </x:c>
      <x:c r="V2912" s="54" t="str">
        <x:f>IF(ISNUMBER(T2912),T2912*(1+U2912),"")</x:f>
      </x:c>
      <x:c r="W2912" s="47" t="n">
        <x:v>0.3</x:v>
      </x:c>
      <x:c r="X2912" s="54" t="str">
        <x:f>IF(ISNUMBER(V2912),V2912/(1-W2912),"")</x:f>
      </x:c>
      <x:c r="Y2912" s="55" t="str">
        <x:f>IF(ISNUMBER(X2912),ROUNDUP(X2912,0),"")</x:f>
      </x:c>
      <x:c r="Z2912" t="str">
        <x:f>IF(ISNUMBER(T2912),"Cost captured","Awaiting trade cost")</x:f>
        <x:v>Awaiting trade cost</x:v>
      </x:c>
      <x:c r="AB2912" s="36" t="str">
        <x:f>IF(ISNUMBER(Y2912),ROUND(Y2912*0.9,2),"")</x:f>
      </x:c>
      <x:c r="AC2912" s="36" t="str">
        <x:f>IF(ISNUMBER(AB2912),ROUND(AB2912-(AB2912*0.015+0.2)-V2912,2),"")</x:f>
      </x:c>
      <x:c r="AD2912" s="36" t="str">
        <x:f>IF(ISNUMBER(Y2912),ROUND(Y2912*0.8,2),"")</x:f>
      </x:c>
      <x:c r="AE2912" s="36" t="str">
        <x:f>IF(ISNUMBER(AD2912),ROUND(AD2912*0.015+0.2,2),"")</x:f>
      </x:c>
      <x:c r="AF2912" s="36" t="str">
        <x:f>IF(ISNUMBER(AD2912),ROUND(AD2912-AE2912-V2912,2),"")</x:f>
      </x:c>
      <x:c r="AG2912" t="str">
        <x:f>IF(NOT(ISNUMBER(T2912)),"PENDING",IF(AF2912&gt;0,"PASS","FAIL"))</x:f>
        <x:v>PENDING</x:v>
      </x:c>
      <x:c r="AH2912" t="str">
        <x:f>IF(NOT(ISNUMBER(T2912)),"Needs supplier cost",IF(K2912&lt;&gt;"In stock","Supplier unavailable",IF(AG2912&lt;&gt;"PASS","BLOCK - GT loss risk","Commercially protected")))</x:f>
        <x:v>Needs supplier cost</x:v>
      </x:c>
      <x:c r="AI2912" t="str">
        <x:v>2026-09-10 Active Sports trade capture</x:v>
      </x:c>
      <x:c r="AJ2912" t="str">
        <x:v>Management-only economics. Stripe stress test uses 1.5% + £0.20 standard UK online-card fee; pallet/mix-and-match pricing ignored.</x:v>
      </x:c>
    </x:row>
    <x:row r="2913">
      <x:c r="A2913" t="str">
        <x:v>Active Sports Nutrition</x:v>
      </x:c>
      <x:c r="B2913" t="str">
        <x:v>Refined Nutrition</x:v>
      </x:c>
      <x:c r="C2913" t="str">
        <x:v>Cream Of Rice</x:v>
      </x:c>
      <x:c r="D2913" t="str">
        <x:v>Food &amp; Drinks</x:v>
      </x:c>
      <x:c r="E2913" t="str">
        <x:v>High Protein Foods</x:v>
      </x:c>
      <x:c r="F2913" t="str"/>
      <x:c r="G2913" t="str">
        <x:v>2.5kg</x:v>
      </x:c>
      <x:c r="H2913" t="str">
        <x:v>Triple Chocolate</x:v>
      </x:c>
      <x:c r="I2913" t="str"/>
      <x:c r="J2913" t="str">
        <x:v>Unit</x:v>
      </x:c>
      <x:c r="K2913" t="str">
        <x:v>In stock</x:v>
      </x:c>
      <x:c r="L2913" t="str">
        <x:v>2026-09-08</x:v>
      </x:c>
      <x:c r="M2913" t="str"/>
      <x:c r="N2913" t="str"/>
      <x:c r="O2913" t="str">
        <x:v>https://www.activesportstrade.co.uk/refined-nutrition-trade</x:v>
      </x:c>
      <x:c r="P2913" t="str">
        <x:v>VAT FREE wording stripped.</x:v>
      </x:c>
      <x:c r="Q2913" t="str"/>
      <x:c r="R2913" t="str"/>
      <x:c r="S2913" t="str">
        <x:v>Pending genuine supplier/brand image</x:v>
      </x:c>
      <x:c r="T2913" s="54"/>
      <x:c r="U2913" s="47" t="n">
        <x:v>0</x:v>
      </x:c>
      <x:c r="V2913" s="54" t="str">
        <x:f>IF(ISNUMBER(T2913),T2913*(1+U2913),"")</x:f>
      </x:c>
      <x:c r="W2913" s="47" t="n">
        <x:v>0.3</x:v>
      </x:c>
      <x:c r="X2913" s="54" t="str">
        <x:f>IF(ISNUMBER(V2913),V2913/(1-W2913),"")</x:f>
      </x:c>
      <x:c r="Y2913" s="55" t="str">
        <x:f>IF(ISNUMBER(X2913),ROUNDUP(X2913,0),"")</x:f>
      </x:c>
      <x:c r="Z2913" t="str">
        <x:f>IF(ISNUMBER(T2913),"Cost captured","Awaiting trade cost")</x:f>
        <x:v>Awaiting trade cost</x:v>
      </x:c>
      <x:c r="AB2913" s="36" t="str">
        <x:f>IF(ISNUMBER(Y2913),ROUND(Y2913*0.9,2),"")</x:f>
      </x:c>
      <x:c r="AC2913" s="36" t="str">
        <x:f>IF(ISNUMBER(AB2913),ROUND(AB2913-(AB2913*0.015+0.2)-V2913,2),"")</x:f>
      </x:c>
      <x:c r="AD2913" s="36" t="str">
        <x:f>IF(ISNUMBER(Y2913),ROUND(Y2913*0.8,2),"")</x:f>
      </x:c>
      <x:c r="AE2913" s="36" t="str">
        <x:f>IF(ISNUMBER(AD2913),ROUND(AD2913*0.015+0.2,2),"")</x:f>
      </x:c>
      <x:c r="AF2913" s="36" t="str">
        <x:f>IF(ISNUMBER(AD2913),ROUND(AD2913-AE2913-V2913,2),"")</x:f>
      </x:c>
      <x:c r="AG2913" t="str">
        <x:f>IF(NOT(ISNUMBER(T2913)),"PENDING",IF(AF2913&gt;0,"PASS","FAIL"))</x:f>
        <x:v>PENDING</x:v>
      </x:c>
      <x:c r="AH2913" t="str">
        <x:f>IF(NOT(ISNUMBER(T2913)),"Needs supplier cost",IF(K2913&lt;&gt;"In stock","Supplier unavailable",IF(AG2913&lt;&gt;"PASS","BLOCK - GT loss risk","Commercially protected")))</x:f>
        <x:v>Needs supplier cost</x:v>
      </x:c>
      <x:c r="AI2913" t="str">
        <x:v>2026-09-10 Active Sports trade capture</x:v>
      </x:c>
      <x:c r="AJ2913" t="str">
        <x:v>Management-only economics. Stripe stress test uses 1.5% + £0.20 standard UK online-card fee; pallet/mix-and-match pricing ignored.</x:v>
      </x:c>
    </x:row>
    <x:row r="2914">
      <x:c r="A2914" t="str">
        <x:v>Active Sports Nutrition</x:v>
      </x:c>
      <x:c r="B2914" t="str">
        <x:v>Refined Nutrition</x:v>
      </x:c>
      <x:c r="C2914" t="str">
        <x:v>Cream Of Rice</x:v>
      </x:c>
      <x:c r="D2914" t="str">
        <x:v>Food &amp; Drinks</x:v>
      </x:c>
      <x:c r="E2914" t="str">
        <x:v>High Protein Foods</x:v>
      </x:c>
      <x:c r="F2914" t="str"/>
      <x:c r="G2914" t="str">
        <x:v>2.5kg</x:v>
      </x:c>
      <x:c r="H2914" t="str">
        <x:v>Vanilla Ice Cream</x:v>
      </x:c>
      <x:c r="I2914" t="str"/>
      <x:c r="J2914" t="str">
        <x:v>Unit</x:v>
      </x:c>
      <x:c r="K2914" t="str">
        <x:v>In stock</x:v>
      </x:c>
      <x:c r="L2914" t="str">
        <x:v>2026-09-08</x:v>
      </x:c>
      <x:c r="M2914" t="str"/>
      <x:c r="N2914" t="str"/>
      <x:c r="O2914" t="str">
        <x:v>https://www.activesportstrade.co.uk/refined-nutrition-trade</x:v>
      </x:c>
      <x:c r="P2914" t="str">
        <x:v>VAT FREE wording stripped.</x:v>
      </x:c>
      <x:c r="Q2914" t="str"/>
      <x:c r="R2914" t="str"/>
      <x:c r="S2914" t="str">
        <x:v>Pending genuine supplier/brand image</x:v>
      </x:c>
      <x:c r="T2914" s="54"/>
      <x:c r="U2914" s="47" t="n">
        <x:v>0</x:v>
      </x:c>
      <x:c r="V2914" s="54" t="str">
        <x:f>IF(ISNUMBER(T2914),T2914*(1+U2914),"")</x:f>
      </x:c>
      <x:c r="W2914" s="47" t="n">
        <x:v>0.3</x:v>
      </x:c>
      <x:c r="X2914" s="54" t="str">
        <x:f>IF(ISNUMBER(V2914),V2914/(1-W2914),"")</x:f>
      </x:c>
      <x:c r="Y2914" s="55" t="str">
        <x:f>IF(ISNUMBER(X2914),ROUNDUP(X2914,0),"")</x:f>
      </x:c>
      <x:c r="Z2914" t="str">
        <x:f>IF(ISNUMBER(T2914),"Cost captured","Awaiting trade cost")</x:f>
        <x:v>Awaiting trade cost</x:v>
      </x:c>
      <x:c r="AB2914" s="36" t="str">
        <x:f>IF(ISNUMBER(Y2914),ROUND(Y2914*0.9,2),"")</x:f>
      </x:c>
      <x:c r="AC2914" s="36" t="str">
        <x:f>IF(ISNUMBER(AB2914),ROUND(AB2914-(AB2914*0.015+0.2)-V2914,2),"")</x:f>
      </x:c>
      <x:c r="AD2914" s="36" t="str">
        <x:f>IF(ISNUMBER(Y2914),ROUND(Y2914*0.8,2),"")</x:f>
      </x:c>
      <x:c r="AE2914" s="36" t="str">
        <x:f>IF(ISNUMBER(AD2914),ROUND(AD2914*0.015+0.2,2),"")</x:f>
      </x:c>
      <x:c r="AF2914" s="36" t="str">
        <x:f>IF(ISNUMBER(AD2914),ROUND(AD2914-AE2914-V2914,2),"")</x:f>
      </x:c>
      <x:c r="AG2914" t="str">
        <x:f>IF(NOT(ISNUMBER(T2914)),"PENDING",IF(AF2914&gt;0,"PASS","FAIL"))</x:f>
        <x:v>PENDING</x:v>
      </x:c>
      <x:c r="AH2914" t="str">
        <x:f>IF(NOT(ISNUMBER(T2914)),"Needs supplier cost",IF(K2914&lt;&gt;"In stock","Supplier unavailable",IF(AG2914&lt;&gt;"PASS","BLOCK - GT loss risk","Commercially protected")))</x:f>
        <x:v>Needs supplier cost</x:v>
      </x:c>
      <x:c r="AI2914" t="str">
        <x:v>2026-09-10 Active Sports trade capture</x:v>
      </x:c>
      <x:c r="AJ2914" t="str">
        <x:v>Management-only economics. Stripe stress test uses 1.5% + £0.20 standard UK online-card fee; pallet/mix-and-match pricing ignored.</x:v>
      </x:c>
    </x:row>
    <x:row r="2915">
      <x:c r="A2915" t="str">
        <x:v>Active Sports Nutrition</x:v>
      </x:c>
      <x:c r="B2915" t="str">
        <x:v>Refined Nutrition</x:v>
      </x:c>
      <x:c r="C2915" t="str">
        <x:v>Creatine 5000</x:v>
      </x:c>
      <x:c r="D2915" t="str">
        <x:v>Supplements</x:v>
      </x:c>
      <x:c r="E2915" t="str">
        <x:v>Creatine Pills</x:v>
      </x:c>
      <x:c r="F2915" t="str"/>
      <x:c r="G2915" t="str">
        <x:v>100 tablets</x:v>
      </x:c>
      <x:c r="H2915" t="str">
        <x:v>Unflavoured</x:v>
      </x:c>
      <x:c r="I2915" t="str"/>
      <x:c r="J2915" t="str">
        <x:v>Unit</x:v>
      </x:c>
      <x:c r="K2915" t="str">
        <x:v>In stock</x:v>
      </x:c>
      <x:c r="L2915" t="str">
        <x:v>2026-09-08</x:v>
      </x:c>
      <x:c r="M2915" t="str"/>
      <x:c r="N2915" t="str"/>
      <x:c r="O2915" t="str">
        <x:v>https://www.activesportstrade.co.uk/refined-nutrition-trade</x:v>
      </x:c>
      <x:c r="P2915" t="str"/>
      <x:c r="Q2915" t="str"/>
      <x:c r="R2915" t="str"/>
      <x:c r="S2915" t="str">
        <x:v>Pending genuine supplier/brand image</x:v>
      </x:c>
      <x:c r="T2915" s="54"/>
      <x:c r="U2915" s="47" t="n">
        <x:v>0.2</x:v>
      </x:c>
      <x:c r="V2915" s="54" t="str">
        <x:f>IF(ISNUMBER(T2915),T2915*(1+U2915),"")</x:f>
      </x:c>
      <x:c r="W2915" s="47" t="n">
        <x:v>0.3</x:v>
      </x:c>
      <x:c r="X2915" s="54" t="str">
        <x:f>IF(ISNUMBER(V2915),V2915/(1-W2915),"")</x:f>
      </x:c>
      <x:c r="Y2915" s="55" t="str">
        <x:f>IF(ISNUMBER(X2915),ROUNDUP(X2915,0),"")</x:f>
      </x:c>
      <x:c r="Z2915" t="str">
        <x:f>IF(ISNUMBER(T2915),"Cost captured","Awaiting trade cost")</x:f>
        <x:v>Awaiting trade cost</x:v>
      </x:c>
      <x:c r="AB2915" s="36" t="str">
        <x:f>IF(ISNUMBER(Y2915),ROUND(Y2915*0.9,2),"")</x:f>
      </x:c>
      <x:c r="AC2915" s="36" t="str">
        <x:f>IF(ISNUMBER(AB2915),ROUND(AB2915-(AB2915*0.015+0.2)-V2915,2),"")</x:f>
      </x:c>
      <x:c r="AD2915" s="36" t="str">
        <x:f>IF(ISNUMBER(Y2915),ROUND(Y2915*0.8,2),"")</x:f>
      </x:c>
      <x:c r="AE2915" s="36" t="str">
        <x:f>IF(ISNUMBER(AD2915),ROUND(AD2915*0.015+0.2,2),"")</x:f>
      </x:c>
      <x:c r="AF2915" s="36" t="str">
        <x:f>IF(ISNUMBER(AD2915),ROUND(AD2915-AE2915-V2915,2),"")</x:f>
      </x:c>
      <x:c r="AG2915" t="str">
        <x:f>IF(NOT(ISNUMBER(T2915)),"PENDING",IF(AF2915&gt;0,"PASS","FAIL"))</x:f>
        <x:v>PENDING</x:v>
      </x:c>
      <x:c r="AH2915" t="str">
        <x:f>IF(NOT(ISNUMBER(T2915)),"Needs supplier cost",IF(K2915&lt;&gt;"In stock","Supplier unavailable",IF(AG2915&lt;&gt;"PASS","BLOCK - GT loss risk","Commercially protected")))</x:f>
        <x:v>Needs supplier cost</x:v>
      </x:c>
      <x:c r="AI2915" t="str">
        <x:v>2026-09-10 Active Sports trade capture</x:v>
      </x:c>
      <x:c r="AJ2915" t="str">
        <x:v>Management-only economics. Stripe stress test uses 1.5% + £0.20 standard UK online-card fee; pallet/mix-and-match pricing ignored.</x:v>
      </x:c>
    </x:row>
    <x:row r="2916">
      <x:c r="A2916" t="str">
        <x:v>Active Sports Nutrition</x:v>
      </x:c>
      <x:c r="B2916" t="str">
        <x:v>Refined Nutrition</x:v>
      </x:c>
      <x:c r="C2916" t="str">
        <x:v>Creatine Complex</x:v>
      </x:c>
      <x:c r="D2916" t="str">
        <x:v>Supplements</x:v>
      </x:c>
      <x:c r="E2916" t="str">
        <x:v>Creatine Powders</x:v>
      </x:c>
      <x:c r="F2916" t="str"/>
      <x:c r="G2916" t="str">
        <x:v>300g</x:v>
      </x:c>
      <x:c r="H2916" t="str">
        <x:v>Crazy Cola</x:v>
      </x:c>
      <x:c r="I2916" t="str"/>
      <x:c r="J2916" t="str">
        <x:v>Unit</x:v>
      </x:c>
      <x:c r="K2916" t="str">
        <x:v>In stock</x:v>
      </x:c>
      <x:c r="L2916" t="str">
        <x:v>2026-09-08</x:v>
      </x:c>
      <x:c r="M2916" t="str"/>
      <x:c r="N2916" t="str"/>
      <x:c r="O2916" t="str">
        <x:v>https://www.activesportstrade.co.uk/refined-nutrition-trade</x:v>
      </x:c>
      <x:c r="P2916" t="str"/>
      <x:c r="Q2916" t="str"/>
      <x:c r="R2916" t="str"/>
      <x:c r="S2916" t="str">
        <x:v>Pending genuine supplier/brand image</x:v>
      </x:c>
      <x:c r="T2916" s="54"/>
      <x:c r="U2916" s="47" t="n">
        <x:v>0.2</x:v>
      </x:c>
      <x:c r="V2916" s="54" t="str">
        <x:f>IF(ISNUMBER(T2916),T2916*(1+U2916),"")</x:f>
      </x:c>
      <x:c r="W2916" s="47" t="n">
        <x:v>0.3</x:v>
      </x:c>
      <x:c r="X2916" s="54" t="str">
        <x:f>IF(ISNUMBER(V2916),V2916/(1-W2916),"")</x:f>
      </x:c>
      <x:c r="Y2916" s="55" t="str">
        <x:f>IF(ISNUMBER(X2916),ROUNDUP(X2916,0),"")</x:f>
      </x:c>
      <x:c r="Z2916" t="str">
        <x:f>IF(ISNUMBER(T2916),"Cost captured","Awaiting trade cost")</x:f>
        <x:v>Awaiting trade cost</x:v>
      </x:c>
      <x:c r="AB2916" s="36" t="str">
        <x:f>IF(ISNUMBER(Y2916),ROUND(Y2916*0.9,2),"")</x:f>
      </x:c>
      <x:c r="AC2916" s="36" t="str">
        <x:f>IF(ISNUMBER(AB2916),ROUND(AB2916-(AB2916*0.015+0.2)-V2916,2),"")</x:f>
      </x:c>
      <x:c r="AD2916" s="36" t="str">
        <x:f>IF(ISNUMBER(Y2916),ROUND(Y2916*0.8,2),"")</x:f>
      </x:c>
      <x:c r="AE2916" s="36" t="str">
        <x:f>IF(ISNUMBER(AD2916),ROUND(AD2916*0.015+0.2,2),"")</x:f>
      </x:c>
      <x:c r="AF2916" s="36" t="str">
        <x:f>IF(ISNUMBER(AD2916),ROUND(AD2916-AE2916-V2916,2),"")</x:f>
      </x:c>
      <x:c r="AG2916" t="str">
        <x:f>IF(NOT(ISNUMBER(T2916)),"PENDING",IF(AF2916&gt;0,"PASS","FAIL"))</x:f>
        <x:v>PENDING</x:v>
      </x:c>
      <x:c r="AH2916" t="str">
        <x:f>IF(NOT(ISNUMBER(T2916)),"Needs supplier cost",IF(K2916&lt;&gt;"In stock","Supplier unavailable",IF(AG2916&lt;&gt;"PASS","BLOCK - GT loss risk","Commercially protected")))</x:f>
        <x:v>Needs supplier cost</x:v>
      </x:c>
      <x:c r="AI2916" t="str">
        <x:v>2026-09-10 Active Sports trade capture</x:v>
      </x:c>
      <x:c r="AJ2916" t="str">
        <x:v>Management-only economics. Stripe stress test uses 1.5% + £0.20 standard UK online-card fee; pallet/mix-and-match pricing ignored.</x:v>
      </x:c>
    </x:row>
    <x:row r="2917">
      <x:c r="A2917" t="str">
        <x:v>Active Sports Nutrition</x:v>
      </x:c>
      <x:c r="B2917" t="str">
        <x:v>Refined Nutrition</x:v>
      </x:c>
      <x:c r="C2917" t="str">
        <x:v>Creatine Complex</x:v>
      </x:c>
      <x:c r="D2917" t="str">
        <x:v>Supplements</x:v>
      </x:c>
      <x:c r="E2917" t="str">
        <x:v>Creatine Powders</x:v>
      </x:c>
      <x:c r="F2917" t="str"/>
      <x:c r="G2917" t="str">
        <x:v>300g</x:v>
      </x:c>
      <x:c r="H2917" t="str">
        <x:v>Fruit Punch</x:v>
      </x:c>
      <x:c r="I2917" t="str"/>
      <x:c r="J2917" t="str">
        <x:v>Unit</x:v>
      </x:c>
      <x:c r="K2917" t="str">
        <x:v>In stock</x:v>
      </x:c>
      <x:c r="L2917" t="str">
        <x:v>2026-09-08</x:v>
      </x:c>
      <x:c r="M2917" t="str"/>
      <x:c r="N2917" t="str"/>
      <x:c r="O2917" t="str">
        <x:v>https://www.activesportstrade.co.uk/refined-nutrition-trade</x:v>
      </x:c>
      <x:c r="P2917" t="str"/>
      <x:c r="Q2917" t="str"/>
      <x:c r="R2917" t="str"/>
      <x:c r="S2917" t="str">
        <x:v>Pending genuine supplier/brand image</x:v>
      </x:c>
      <x:c r="T2917" s="54"/>
      <x:c r="U2917" s="47" t="n">
        <x:v>0.2</x:v>
      </x:c>
      <x:c r="V2917" s="54" t="str">
        <x:f>IF(ISNUMBER(T2917),T2917*(1+U2917),"")</x:f>
      </x:c>
      <x:c r="W2917" s="47" t="n">
        <x:v>0.3</x:v>
      </x:c>
      <x:c r="X2917" s="54" t="str">
        <x:f>IF(ISNUMBER(V2917),V2917/(1-W2917),"")</x:f>
      </x:c>
      <x:c r="Y2917" s="55" t="str">
        <x:f>IF(ISNUMBER(X2917),ROUNDUP(X2917,0),"")</x:f>
      </x:c>
      <x:c r="Z2917" t="str">
        <x:f>IF(ISNUMBER(T2917),"Cost captured","Awaiting trade cost")</x:f>
        <x:v>Awaiting trade cost</x:v>
      </x:c>
      <x:c r="AB2917" s="36" t="str">
        <x:f>IF(ISNUMBER(Y2917),ROUND(Y2917*0.9,2),"")</x:f>
      </x:c>
      <x:c r="AC2917" s="36" t="str">
        <x:f>IF(ISNUMBER(AB2917),ROUND(AB2917-(AB2917*0.015+0.2)-V2917,2),"")</x:f>
      </x:c>
      <x:c r="AD2917" s="36" t="str">
        <x:f>IF(ISNUMBER(Y2917),ROUND(Y2917*0.8,2),"")</x:f>
      </x:c>
      <x:c r="AE2917" s="36" t="str">
        <x:f>IF(ISNUMBER(AD2917),ROUND(AD2917*0.015+0.2,2),"")</x:f>
      </x:c>
      <x:c r="AF2917" s="36" t="str">
        <x:f>IF(ISNUMBER(AD2917),ROUND(AD2917-AE2917-V2917,2),"")</x:f>
      </x:c>
      <x:c r="AG2917" t="str">
        <x:f>IF(NOT(ISNUMBER(T2917)),"PENDING",IF(AF2917&gt;0,"PASS","FAIL"))</x:f>
        <x:v>PENDING</x:v>
      </x:c>
      <x:c r="AH2917" t="str">
        <x:f>IF(NOT(ISNUMBER(T2917)),"Needs supplier cost",IF(K2917&lt;&gt;"In stock","Supplier unavailable",IF(AG2917&lt;&gt;"PASS","BLOCK - GT loss risk","Commercially protected")))</x:f>
        <x:v>Needs supplier cost</x:v>
      </x:c>
      <x:c r="AI2917" t="str">
        <x:v>2026-09-10 Active Sports trade capture</x:v>
      </x:c>
      <x:c r="AJ2917" t="str">
        <x:v>Management-only economics. Stripe stress test uses 1.5% + £0.20 standard UK online-card fee; pallet/mix-and-match pricing ignored.</x:v>
      </x:c>
    </x:row>
    <x:row r="2918">
      <x:c r="A2918" t="str">
        <x:v>Active Sports Nutrition</x:v>
      </x:c>
      <x:c r="B2918" t="str">
        <x:v>Refined Nutrition</x:v>
      </x:c>
      <x:c r="C2918" t="str">
        <x:v>Creatine Complex</x:v>
      </x:c>
      <x:c r="D2918" t="str">
        <x:v>Supplements</x:v>
      </x:c>
      <x:c r="E2918" t="str">
        <x:v>Creatine Powders</x:v>
      </x:c>
      <x:c r="F2918" t="str"/>
      <x:c r="G2918" t="str">
        <x:v>300g</x:v>
      </x:c>
      <x:c r="H2918" t="str">
        <x:v>Green Apple</x:v>
      </x:c>
      <x:c r="I2918" t="str"/>
      <x:c r="J2918" t="str">
        <x:v>Unit</x:v>
      </x:c>
      <x:c r="K2918" t="str">
        <x:v>In stock</x:v>
      </x:c>
      <x:c r="L2918" t="str">
        <x:v>2026-09-08</x:v>
      </x:c>
      <x:c r="M2918" t="str"/>
      <x:c r="N2918" t="str"/>
      <x:c r="O2918" t="str">
        <x:v>https://www.activesportstrade.co.uk/refined-nutrition-trade</x:v>
      </x:c>
      <x:c r="P2918" t="str"/>
      <x:c r="Q2918" t="str"/>
      <x:c r="R2918" t="str"/>
      <x:c r="S2918" t="str">
        <x:v>Pending genuine supplier/brand image</x:v>
      </x:c>
      <x:c r="T2918" s="54"/>
      <x:c r="U2918" s="47" t="n">
        <x:v>0.2</x:v>
      </x:c>
      <x:c r="V2918" s="54" t="str">
        <x:f>IF(ISNUMBER(T2918),T2918*(1+U2918),"")</x:f>
      </x:c>
      <x:c r="W2918" s="47" t="n">
        <x:v>0.3</x:v>
      </x:c>
      <x:c r="X2918" s="54" t="str">
        <x:f>IF(ISNUMBER(V2918),V2918/(1-W2918),"")</x:f>
      </x:c>
      <x:c r="Y2918" s="55" t="str">
        <x:f>IF(ISNUMBER(X2918),ROUNDUP(X2918,0),"")</x:f>
      </x:c>
      <x:c r="Z2918" t="str">
        <x:f>IF(ISNUMBER(T2918),"Cost captured","Awaiting trade cost")</x:f>
        <x:v>Awaiting trade cost</x:v>
      </x:c>
      <x:c r="AB2918" s="36" t="str">
        <x:f>IF(ISNUMBER(Y2918),ROUND(Y2918*0.9,2),"")</x:f>
      </x:c>
      <x:c r="AC2918" s="36" t="str">
        <x:f>IF(ISNUMBER(AB2918),ROUND(AB2918-(AB2918*0.015+0.2)-V2918,2),"")</x:f>
      </x:c>
      <x:c r="AD2918" s="36" t="str">
        <x:f>IF(ISNUMBER(Y2918),ROUND(Y2918*0.8,2),"")</x:f>
      </x:c>
      <x:c r="AE2918" s="36" t="str">
        <x:f>IF(ISNUMBER(AD2918),ROUND(AD2918*0.015+0.2,2),"")</x:f>
      </x:c>
      <x:c r="AF2918" s="36" t="str">
        <x:f>IF(ISNUMBER(AD2918),ROUND(AD2918-AE2918-V2918,2),"")</x:f>
      </x:c>
      <x:c r="AG2918" t="str">
        <x:f>IF(NOT(ISNUMBER(T2918)),"PENDING",IF(AF2918&gt;0,"PASS","FAIL"))</x:f>
        <x:v>PENDING</x:v>
      </x:c>
      <x:c r="AH2918" t="str">
        <x:f>IF(NOT(ISNUMBER(T2918)),"Needs supplier cost",IF(K2918&lt;&gt;"In stock","Supplier unavailable",IF(AG2918&lt;&gt;"PASS","BLOCK - GT loss risk","Commercially protected")))</x:f>
        <x:v>Needs supplier cost</x:v>
      </x:c>
      <x:c r="AI2918" t="str">
        <x:v>2026-09-10 Active Sports trade capture</x:v>
      </x:c>
      <x:c r="AJ2918" t="str">
        <x:v>Management-only economics. Stripe stress test uses 1.5% + £0.20 standard UK online-card fee; pallet/mix-and-match pricing ignored.</x:v>
      </x:c>
    </x:row>
    <x:row r="2919">
      <x:c r="A2919" t="str">
        <x:v>Active Sports Nutrition</x:v>
      </x:c>
      <x:c r="B2919" t="str">
        <x:v>Refined Nutrition</x:v>
      </x:c>
      <x:c r="C2919" t="str">
        <x:v>Creatine Complex</x:v>
      </x:c>
      <x:c r="D2919" t="str">
        <x:v>Supplements</x:v>
      </x:c>
      <x:c r="E2919" t="str">
        <x:v>Creatine Powders</x:v>
      </x:c>
      <x:c r="F2919" t="str"/>
      <x:c r="G2919" t="str">
        <x:v>300g</x:v>
      </x:c>
      <x:c r="H2919" t="str">
        <x:v>Icy Blue Raspberry</x:v>
      </x:c>
      <x:c r="I2919" t="str"/>
      <x:c r="J2919" t="str">
        <x:v>Unit</x:v>
      </x:c>
      <x:c r="K2919" t="str">
        <x:v>In stock</x:v>
      </x:c>
      <x:c r="L2919" t="str">
        <x:v>2026-09-08</x:v>
      </x:c>
      <x:c r="M2919" t="str"/>
      <x:c r="N2919" t="str"/>
      <x:c r="O2919" t="str">
        <x:v>https://www.activesportstrade.co.uk/refined-nutrition-trade</x:v>
      </x:c>
      <x:c r="P2919" t="str"/>
      <x:c r="Q2919" t="str"/>
      <x:c r="R2919" t="str"/>
      <x:c r="S2919" t="str">
        <x:v>Pending genuine supplier/brand image</x:v>
      </x:c>
      <x:c r="T2919" s="54"/>
      <x:c r="U2919" s="47" t="n">
        <x:v>0.2</x:v>
      </x:c>
      <x:c r="V2919" s="54" t="str">
        <x:f>IF(ISNUMBER(T2919),T2919*(1+U2919),"")</x:f>
      </x:c>
      <x:c r="W2919" s="47" t="n">
        <x:v>0.3</x:v>
      </x:c>
      <x:c r="X2919" s="54" t="str">
        <x:f>IF(ISNUMBER(V2919),V2919/(1-W2919),"")</x:f>
      </x:c>
      <x:c r="Y2919" s="55" t="str">
        <x:f>IF(ISNUMBER(X2919),ROUNDUP(X2919,0),"")</x:f>
      </x:c>
      <x:c r="Z2919" t="str">
        <x:f>IF(ISNUMBER(T2919),"Cost captured","Awaiting trade cost")</x:f>
        <x:v>Awaiting trade cost</x:v>
      </x:c>
      <x:c r="AB2919" s="36" t="str">
        <x:f>IF(ISNUMBER(Y2919),ROUND(Y2919*0.9,2),"")</x:f>
      </x:c>
      <x:c r="AC2919" s="36" t="str">
        <x:f>IF(ISNUMBER(AB2919),ROUND(AB2919-(AB2919*0.015+0.2)-V2919,2),"")</x:f>
      </x:c>
      <x:c r="AD2919" s="36" t="str">
        <x:f>IF(ISNUMBER(Y2919),ROUND(Y2919*0.8,2),"")</x:f>
      </x:c>
      <x:c r="AE2919" s="36" t="str">
        <x:f>IF(ISNUMBER(AD2919),ROUND(AD2919*0.015+0.2,2),"")</x:f>
      </x:c>
      <x:c r="AF2919" s="36" t="str">
        <x:f>IF(ISNUMBER(AD2919),ROUND(AD2919-AE2919-V2919,2),"")</x:f>
      </x:c>
      <x:c r="AG2919" t="str">
        <x:f>IF(NOT(ISNUMBER(T2919)),"PENDING",IF(AF2919&gt;0,"PASS","FAIL"))</x:f>
        <x:v>PENDING</x:v>
      </x:c>
      <x:c r="AH2919" t="str">
        <x:f>IF(NOT(ISNUMBER(T2919)),"Needs supplier cost",IF(K2919&lt;&gt;"In stock","Supplier unavailable",IF(AG2919&lt;&gt;"PASS","BLOCK - GT loss risk","Commercially protected")))</x:f>
        <x:v>Needs supplier cost</x:v>
      </x:c>
      <x:c r="AI2919" t="str">
        <x:v>2026-09-10 Active Sports trade capture</x:v>
      </x:c>
      <x:c r="AJ2919" t="str">
        <x:v>Management-only economics. Stripe stress test uses 1.5% + £0.20 standard UK online-card fee; pallet/mix-and-match pricing ignored.</x:v>
      </x:c>
    </x:row>
    <x:row r="2920">
      <x:c r="A2920" t="str">
        <x:v>Active Sports Nutrition</x:v>
      </x:c>
      <x:c r="B2920" t="str">
        <x:v>Refined Nutrition</x:v>
      </x:c>
      <x:c r="C2920" t="str">
        <x:v>Creatine Complex</x:v>
      </x:c>
      <x:c r="D2920" t="str">
        <x:v>Supplements</x:v>
      </x:c>
      <x:c r="E2920" t="str">
        <x:v>Creatine Powders</x:v>
      </x:c>
      <x:c r="F2920" t="str"/>
      <x:c r="G2920" t="str">
        <x:v>300g</x:v>
      </x:c>
      <x:c r="H2920" t="str">
        <x:v>Watermelon</x:v>
      </x:c>
      <x:c r="I2920" t="str"/>
      <x:c r="J2920" t="str">
        <x:v>Unit</x:v>
      </x:c>
      <x:c r="K2920" t="str">
        <x:v>In stock</x:v>
      </x:c>
      <x:c r="L2920" t="str">
        <x:v>2026-09-08</x:v>
      </x:c>
      <x:c r="M2920" t="str"/>
      <x:c r="N2920" t="str"/>
      <x:c r="O2920" t="str">
        <x:v>https://www.activesportstrade.co.uk/refined-nutrition-trade</x:v>
      </x:c>
      <x:c r="P2920" t="str"/>
      <x:c r="Q2920" t="str"/>
      <x:c r="R2920" t="str"/>
      <x:c r="S2920" t="str">
        <x:v>Pending genuine supplier/brand image</x:v>
      </x:c>
      <x:c r="T2920" s="54"/>
      <x:c r="U2920" s="47" t="n">
        <x:v>0.2</x:v>
      </x:c>
      <x:c r="V2920" s="54" t="str">
        <x:f>IF(ISNUMBER(T2920),T2920*(1+U2920),"")</x:f>
      </x:c>
      <x:c r="W2920" s="47" t="n">
        <x:v>0.3</x:v>
      </x:c>
      <x:c r="X2920" s="54" t="str">
        <x:f>IF(ISNUMBER(V2920),V2920/(1-W2920),"")</x:f>
      </x:c>
      <x:c r="Y2920" s="55" t="str">
        <x:f>IF(ISNUMBER(X2920),ROUNDUP(X2920,0),"")</x:f>
      </x:c>
      <x:c r="Z2920" t="str">
        <x:f>IF(ISNUMBER(T2920),"Cost captured","Awaiting trade cost")</x:f>
        <x:v>Awaiting trade cost</x:v>
      </x:c>
      <x:c r="AB2920" s="36" t="str">
        <x:f>IF(ISNUMBER(Y2920),ROUND(Y2920*0.9,2),"")</x:f>
      </x:c>
      <x:c r="AC2920" s="36" t="str">
        <x:f>IF(ISNUMBER(AB2920),ROUND(AB2920-(AB2920*0.015+0.2)-V2920,2),"")</x:f>
      </x:c>
      <x:c r="AD2920" s="36" t="str">
        <x:f>IF(ISNUMBER(Y2920),ROUND(Y2920*0.8,2),"")</x:f>
      </x:c>
      <x:c r="AE2920" s="36" t="str">
        <x:f>IF(ISNUMBER(AD2920),ROUND(AD2920*0.015+0.2,2),"")</x:f>
      </x:c>
      <x:c r="AF2920" s="36" t="str">
        <x:f>IF(ISNUMBER(AD2920),ROUND(AD2920-AE2920-V2920,2),"")</x:f>
      </x:c>
      <x:c r="AG2920" t="str">
        <x:f>IF(NOT(ISNUMBER(T2920)),"PENDING",IF(AF2920&gt;0,"PASS","FAIL"))</x:f>
        <x:v>PENDING</x:v>
      </x:c>
      <x:c r="AH2920" t="str">
        <x:f>IF(NOT(ISNUMBER(T2920)),"Needs supplier cost",IF(K2920&lt;&gt;"In stock","Supplier unavailable",IF(AG2920&lt;&gt;"PASS","BLOCK - GT loss risk","Commercially protected")))</x:f>
        <x:v>Needs supplier cost</x:v>
      </x:c>
      <x:c r="AI2920" t="str">
        <x:v>2026-09-10 Active Sports trade capture</x:v>
      </x:c>
      <x:c r="AJ2920" t="str">
        <x:v>Management-only economics. Stripe stress test uses 1.5% + £0.20 standard UK online-card fee; pallet/mix-and-match pricing ignored.</x:v>
      </x:c>
    </x:row>
    <x:row r="2921">
      <x:c r="A2921" t="str">
        <x:v>Active Sports Nutrition</x:v>
      </x:c>
      <x:c r="B2921" t="str">
        <x:v>Refined Nutrition</x:v>
      </x:c>
      <x:c r="C2921" t="str">
        <x:v>Force Extreme Pre Workout</x:v>
      </x:c>
      <x:c r="D2921" t="str">
        <x:v>Supplements</x:v>
      </x:c>
      <x:c r="E2921" t="str">
        <x:v>Pre Workout</x:v>
      </x:c>
      <x:c r="F2921" t="str"/>
      <x:c r="G2921" t="str">
        <x:v>30 servings</x:v>
      </x:c>
      <x:c r="H2921" t="str">
        <x:v>Icy Blue Raspberry</x:v>
      </x:c>
      <x:c r="I2921" t="str"/>
      <x:c r="J2921" t="str">
        <x:v>Unit</x:v>
      </x:c>
      <x:c r="K2921" t="str">
        <x:v>In stock</x:v>
      </x:c>
      <x:c r="L2921" t="str">
        <x:v>2026-09-08</x:v>
      </x:c>
      <x:c r="M2921" t="str"/>
      <x:c r="N2921" t="str"/>
      <x:c r="O2921" t="str">
        <x:v>https://www.activesportstrade.co.uk/refined-nutrition-trade</x:v>
      </x:c>
      <x:c r="P2921" t="str"/>
      <x:c r="Q2921" t="str"/>
      <x:c r="R2921" t="str"/>
      <x:c r="S2921" t="str">
        <x:v>Pending genuine supplier/brand image</x:v>
      </x:c>
      <x:c r="T2921" s="54"/>
      <x:c r="U2921" s="47" t="n">
        <x:v>0.2</x:v>
      </x:c>
      <x:c r="V2921" s="54" t="str">
        <x:f>IF(ISNUMBER(T2921),T2921*(1+U2921),"")</x:f>
      </x:c>
      <x:c r="W2921" s="47" t="n">
        <x:v>0.3</x:v>
      </x:c>
      <x:c r="X2921" s="54" t="str">
        <x:f>IF(ISNUMBER(V2921),V2921/(1-W2921),"")</x:f>
      </x:c>
      <x:c r="Y2921" s="55" t="str">
        <x:f>IF(ISNUMBER(X2921),ROUNDUP(X2921,0),"")</x:f>
      </x:c>
      <x:c r="Z2921" t="str">
        <x:f>IF(ISNUMBER(T2921),"Cost captured","Awaiting trade cost")</x:f>
        <x:v>Awaiting trade cost</x:v>
      </x:c>
      <x:c r="AB2921" s="36" t="str">
        <x:f>IF(ISNUMBER(Y2921),ROUND(Y2921*0.9,2),"")</x:f>
      </x:c>
      <x:c r="AC2921" s="36" t="str">
        <x:f>IF(ISNUMBER(AB2921),ROUND(AB2921-(AB2921*0.015+0.2)-V2921,2),"")</x:f>
      </x:c>
      <x:c r="AD2921" s="36" t="str">
        <x:f>IF(ISNUMBER(Y2921),ROUND(Y2921*0.8,2),"")</x:f>
      </x:c>
      <x:c r="AE2921" s="36" t="str">
        <x:f>IF(ISNUMBER(AD2921),ROUND(AD2921*0.015+0.2,2),"")</x:f>
      </x:c>
      <x:c r="AF2921" s="36" t="str">
        <x:f>IF(ISNUMBER(AD2921),ROUND(AD2921-AE2921-V2921,2),"")</x:f>
      </x:c>
      <x:c r="AG2921" t="str">
        <x:f>IF(NOT(ISNUMBER(T2921)),"PENDING",IF(AF2921&gt;0,"PASS","FAIL"))</x:f>
        <x:v>PENDING</x:v>
      </x:c>
      <x:c r="AH2921" t="str">
        <x:f>IF(NOT(ISNUMBER(T2921)),"Needs supplier cost",IF(K2921&lt;&gt;"In stock","Supplier unavailable",IF(AG2921&lt;&gt;"PASS","BLOCK - GT loss risk","Commercially protected")))</x:f>
        <x:v>Needs supplier cost</x:v>
      </x:c>
      <x:c r="AI2921" t="str">
        <x:v>2026-09-10 Active Sports trade capture</x:v>
      </x:c>
      <x:c r="AJ2921" t="str">
        <x:v>Management-only economics. Stripe stress test uses 1.5% + £0.20 standard UK online-card fee; pallet/mix-and-match pricing ignored.</x:v>
      </x:c>
    </x:row>
    <x:row r="2922">
      <x:c r="A2922" t="str">
        <x:v>Active Sports Nutrition</x:v>
      </x:c>
      <x:c r="B2922" t="str">
        <x:v>Refined Nutrition</x:v>
      </x:c>
      <x:c r="C2922" t="str">
        <x:v>Force Extreme Pre Workout</x:v>
      </x:c>
      <x:c r="D2922" t="str">
        <x:v>Supplements</x:v>
      </x:c>
      <x:c r="E2922" t="str">
        <x:v>Pre Workout</x:v>
      </x:c>
      <x:c r="F2922" t="str"/>
      <x:c r="G2922" t="str">
        <x:v>30 servings</x:v>
      </x:c>
      <x:c r="H2922" t="str">
        <x:v>Pineapple</x:v>
      </x:c>
      <x:c r="I2922" t="str"/>
      <x:c r="J2922" t="str">
        <x:v>Unit</x:v>
      </x:c>
      <x:c r="K2922" t="str">
        <x:v>In stock</x:v>
      </x:c>
      <x:c r="L2922" t="str">
        <x:v>2026-09-08</x:v>
      </x:c>
      <x:c r="M2922" t="str"/>
      <x:c r="N2922" t="str"/>
      <x:c r="O2922" t="str">
        <x:v>https://www.activesportstrade.co.uk/refined-nutrition-trade</x:v>
      </x:c>
      <x:c r="P2922" t="str"/>
      <x:c r="Q2922" t="str"/>
      <x:c r="R2922" t="str"/>
      <x:c r="S2922" t="str">
        <x:v>Pending genuine supplier/brand image</x:v>
      </x:c>
      <x:c r="T2922" s="54"/>
      <x:c r="U2922" s="47" t="n">
        <x:v>0.2</x:v>
      </x:c>
      <x:c r="V2922" s="54" t="str">
        <x:f>IF(ISNUMBER(T2922),T2922*(1+U2922),"")</x:f>
      </x:c>
      <x:c r="W2922" s="47" t="n">
        <x:v>0.3</x:v>
      </x:c>
      <x:c r="X2922" s="54" t="str">
        <x:f>IF(ISNUMBER(V2922),V2922/(1-W2922),"")</x:f>
      </x:c>
      <x:c r="Y2922" s="55" t="str">
        <x:f>IF(ISNUMBER(X2922),ROUNDUP(X2922,0),"")</x:f>
      </x:c>
      <x:c r="Z2922" t="str">
        <x:f>IF(ISNUMBER(T2922),"Cost captured","Awaiting trade cost")</x:f>
        <x:v>Awaiting trade cost</x:v>
      </x:c>
      <x:c r="AB2922" s="36" t="str">
        <x:f>IF(ISNUMBER(Y2922),ROUND(Y2922*0.9,2),"")</x:f>
      </x:c>
      <x:c r="AC2922" s="36" t="str">
        <x:f>IF(ISNUMBER(AB2922),ROUND(AB2922-(AB2922*0.015+0.2)-V2922,2),"")</x:f>
      </x:c>
      <x:c r="AD2922" s="36" t="str">
        <x:f>IF(ISNUMBER(Y2922),ROUND(Y2922*0.8,2),"")</x:f>
      </x:c>
      <x:c r="AE2922" s="36" t="str">
        <x:f>IF(ISNUMBER(AD2922),ROUND(AD2922*0.015+0.2,2),"")</x:f>
      </x:c>
      <x:c r="AF2922" s="36" t="str">
        <x:f>IF(ISNUMBER(AD2922),ROUND(AD2922-AE2922-V2922,2),"")</x:f>
      </x:c>
      <x:c r="AG2922" t="str">
        <x:f>IF(NOT(ISNUMBER(T2922)),"PENDING",IF(AF2922&gt;0,"PASS","FAIL"))</x:f>
        <x:v>PENDING</x:v>
      </x:c>
      <x:c r="AH2922" t="str">
        <x:f>IF(NOT(ISNUMBER(T2922)),"Needs supplier cost",IF(K2922&lt;&gt;"In stock","Supplier unavailable",IF(AG2922&lt;&gt;"PASS","BLOCK - GT loss risk","Commercially protected")))</x:f>
        <x:v>Needs supplier cost</x:v>
      </x:c>
      <x:c r="AI2922" t="str">
        <x:v>2026-09-10 Active Sports trade capture</x:v>
      </x:c>
      <x:c r="AJ2922" t="str">
        <x:v>Management-only economics. Stripe stress test uses 1.5% + £0.20 standard UK online-card fee; pallet/mix-and-match pricing ignored.</x:v>
      </x:c>
    </x:row>
    <x:row r="2923">
      <x:c r="A2923" t="str">
        <x:v>Active Sports Nutrition</x:v>
      </x:c>
      <x:c r="B2923" t="str">
        <x:v>Refined Nutrition</x:v>
      </x:c>
      <x:c r="C2923" t="str">
        <x:v>Force Extreme Pre Workout</x:v>
      </x:c>
      <x:c r="D2923" t="str">
        <x:v>Supplements</x:v>
      </x:c>
      <x:c r="E2923" t="str">
        <x:v>Pre Workout</x:v>
      </x:c>
      <x:c r="F2923" t="str"/>
      <x:c r="G2923" t="str">
        <x:v>30 servings</x:v>
      </x:c>
      <x:c r="H2923" t="str">
        <x:v>Strawberry Watermelon</x:v>
      </x:c>
      <x:c r="I2923" t="str"/>
      <x:c r="J2923" t="str">
        <x:v>Unit</x:v>
      </x:c>
      <x:c r="K2923" t="str">
        <x:v>Out of stock</x:v>
      </x:c>
      <x:c r="L2923" t="str">
        <x:v>2026-09-08</x:v>
      </x:c>
      <x:c r="M2923" t="str"/>
      <x:c r="N2923" t="str"/>
      <x:c r="O2923" t="str">
        <x:v>https://www.activesportstrade.co.uk/refined-nutrition-trade</x:v>
      </x:c>
      <x:c r="P2923" t="str"/>
      <x:c r="Q2923" t="str"/>
      <x:c r="R2923" t="str"/>
      <x:c r="S2923" t="str">
        <x:v>Pending genuine supplier/brand image</x:v>
      </x:c>
      <x:c r="T2923" s="54"/>
      <x:c r="U2923" s="47" t="n">
        <x:v>0.2</x:v>
      </x:c>
      <x:c r="V2923" s="54" t="str">
        <x:f>IF(ISNUMBER(T2923),T2923*(1+U2923),"")</x:f>
      </x:c>
      <x:c r="W2923" s="47" t="n">
        <x:v>0.3</x:v>
      </x:c>
      <x:c r="X2923" s="54" t="str">
        <x:f>IF(ISNUMBER(V2923),V2923/(1-W2923),"")</x:f>
      </x:c>
      <x:c r="Y2923" s="55" t="str">
        <x:f>IF(ISNUMBER(X2923),ROUNDUP(X2923,0),"")</x:f>
      </x:c>
      <x:c r="Z2923" t="str">
        <x:f>IF(ISNUMBER(T2923),"Cost captured","Awaiting trade cost")</x:f>
        <x:v>Awaiting trade cost</x:v>
      </x:c>
      <x:c r="AB2923" s="36" t="str">
        <x:f>IF(ISNUMBER(Y2923),ROUND(Y2923*0.9,2),"")</x:f>
      </x:c>
      <x:c r="AC2923" s="36" t="str">
        <x:f>IF(ISNUMBER(AB2923),ROUND(AB2923-(AB2923*0.015+0.2)-V2923,2),"")</x:f>
      </x:c>
      <x:c r="AD2923" s="36" t="str">
        <x:f>IF(ISNUMBER(Y2923),ROUND(Y2923*0.8,2),"")</x:f>
      </x:c>
      <x:c r="AE2923" s="36" t="str">
        <x:f>IF(ISNUMBER(AD2923),ROUND(AD2923*0.015+0.2,2),"")</x:f>
      </x:c>
      <x:c r="AF2923" s="36" t="str">
        <x:f>IF(ISNUMBER(AD2923),ROUND(AD2923-AE2923-V2923,2),"")</x:f>
      </x:c>
      <x:c r="AG2923" t="str">
        <x:f>IF(NOT(ISNUMBER(T2923)),"PENDING",IF(AF2923&gt;0,"PASS","FAIL"))</x:f>
        <x:v>PENDING</x:v>
      </x:c>
      <x:c r="AH2923" t="str">
        <x:f>IF(NOT(ISNUMBER(T2923)),"Needs supplier cost",IF(K2923&lt;&gt;"In stock","Supplier unavailable",IF(AG2923&lt;&gt;"PASS","BLOCK - GT loss risk","Commercially protected")))</x:f>
        <x:v>Needs supplier cost</x:v>
      </x:c>
      <x:c r="AI2923" t="str">
        <x:v>2026-09-10 Active Sports trade capture</x:v>
      </x:c>
      <x:c r="AJ2923" t="str">
        <x:v>Management-only economics. Stripe stress test uses 1.5% + £0.20 standard UK online-card fee; pallet/mix-and-match pricing ignored.</x:v>
      </x:c>
    </x:row>
    <x:row r="2924">
      <x:c r="A2924" t="str">
        <x:v>Active Sports Nutrition</x:v>
      </x:c>
      <x:c r="B2924" t="str">
        <x:v>Refined Nutrition</x:v>
      </x:c>
      <x:c r="C2924" t="str">
        <x:v>PUMP Non-Stim Pre Workout</x:v>
      </x:c>
      <x:c r="D2924" t="str">
        <x:v>Supplements</x:v>
      </x:c>
      <x:c r="E2924" t="str">
        <x:v>Pre Workout</x:v>
      </x:c>
      <x:c r="F2924" t="str"/>
      <x:c r="G2924" t="str">
        <x:v>500g</x:v>
      </x:c>
      <x:c r="H2924" t="str">
        <x:v>Fruit Punch</x:v>
      </x:c>
      <x:c r="I2924" t="str"/>
      <x:c r="J2924" t="str">
        <x:v>Unit</x:v>
      </x:c>
      <x:c r="K2924" t="str">
        <x:v>In stock</x:v>
      </x:c>
      <x:c r="L2924" t="str">
        <x:v>2026-09-08</x:v>
      </x:c>
      <x:c r="M2924" t="str"/>
      <x:c r="N2924" t="str"/>
      <x:c r="O2924" t="str">
        <x:v>https://www.activesportstrade.co.uk/refined-nutrition-trade</x:v>
      </x:c>
      <x:c r="P2924" t="str"/>
      <x:c r="Q2924" t="str"/>
      <x:c r="R2924" t="str"/>
      <x:c r="S2924" t="str">
        <x:v>Pending genuine supplier/brand image</x:v>
      </x:c>
      <x:c r="T2924" s="54"/>
      <x:c r="U2924" s="47" t="n">
        <x:v>0.2</x:v>
      </x:c>
      <x:c r="V2924" s="54" t="str">
        <x:f>IF(ISNUMBER(T2924),T2924*(1+U2924),"")</x:f>
      </x:c>
      <x:c r="W2924" s="47" t="n">
        <x:v>0.3</x:v>
      </x:c>
      <x:c r="X2924" s="54" t="str">
        <x:f>IF(ISNUMBER(V2924),V2924/(1-W2924),"")</x:f>
      </x:c>
      <x:c r="Y2924" s="55" t="str">
        <x:f>IF(ISNUMBER(X2924),ROUNDUP(X2924,0),"")</x:f>
      </x:c>
      <x:c r="Z2924" t="str">
        <x:f>IF(ISNUMBER(T2924),"Cost captured","Awaiting trade cost")</x:f>
        <x:v>Awaiting trade cost</x:v>
      </x:c>
      <x:c r="AB2924" s="36" t="str">
        <x:f>IF(ISNUMBER(Y2924),ROUND(Y2924*0.9,2),"")</x:f>
      </x:c>
      <x:c r="AC2924" s="36" t="str">
        <x:f>IF(ISNUMBER(AB2924),ROUND(AB2924-(AB2924*0.015+0.2)-V2924,2),"")</x:f>
      </x:c>
      <x:c r="AD2924" s="36" t="str">
        <x:f>IF(ISNUMBER(Y2924),ROUND(Y2924*0.8,2),"")</x:f>
      </x:c>
      <x:c r="AE2924" s="36" t="str">
        <x:f>IF(ISNUMBER(AD2924),ROUND(AD2924*0.015+0.2,2),"")</x:f>
      </x:c>
      <x:c r="AF2924" s="36" t="str">
        <x:f>IF(ISNUMBER(AD2924),ROUND(AD2924-AE2924-V2924,2),"")</x:f>
      </x:c>
      <x:c r="AG2924" t="str">
        <x:f>IF(NOT(ISNUMBER(T2924)),"PENDING",IF(AF2924&gt;0,"PASS","FAIL"))</x:f>
        <x:v>PENDING</x:v>
      </x:c>
      <x:c r="AH2924" t="str">
        <x:f>IF(NOT(ISNUMBER(T2924)),"Needs supplier cost",IF(K2924&lt;&gt;"In stock","Supplier unavailable",IF(AG2924&lt;&gt;"PASS","BLOCK - GT loss risk","Commercially protected")))</x:f>
        <x:v>Needs supplier cost</x:v>
      </x:c>
      <x:c r="AI2924" t="str">
        <x:v>2026-09-10 Active Sports trade capture</x:v>
      </x:c>
      <x:c r="AJ2924" t="str">
        <x:v>Management-only economics. Stripe stress test uses 1.5% + £0.20 standard UK online-card fee; pallet/mix-and-match pricing ignored.</x:v>
      </x:c>
    </x:row>
    <x:row r="2925">
      <x:c r="A2925" t="str">
        <x:v>Active Sports Nutrition</x:v>
      </x:c>
      <x:c r="B2925" t="str">
        <x:v>Refined Nutrition</x:v>
      </x:c>
      <x:c r="C2925" t="str">
        <x:v>PUMP Non-Stim Pre Workout</x:v>
      </x:c>
      <x:c r="D2925" t="str">
        <x:v>Supplements</x:v>
      </x:c>
      <x:c r="E2925" t="str">
        <x:v>Pre Workout</x:v>
      </x:c>
      <x:c r="F2925" t="str"/>
      <x:c r="G2925" t="str">
        <x:v>500g</x:v>
      </x:c>
      <x:c r="H2925" t="str">
        <x:v>Green Apple</x:v>
      </x:c>
      <x:c r="I2925" t="str"/>
      <x:c r="J2925" t="str">
        <x:v>Unit</x:v>
      </x:c>
      <x:c r="K2925" t="str">
        <x:v>In stock</x:v>
      </x:c>
      <x:c r="L2925" t="str">
        <x:v>2026-09-08</x:v>
      </x:c>
      <x:c r="M2925" t="str"/>
      <x:c r="N2925" t="str"/>
      <x:c r="O2925" t="str">
        <x:v>https://www.activesportstrade.co.uk/refined-nutrition-trade</x:v>
      </x:c>
      <x:c r="P2925" t="str"/>
      <x:c r="Q2925" t="str"/>
      <x:c r="R2925" t="str"/>
      <x:c r="S2925" t="str">
        <x:v>Pending genuine supplier/brand image</x:v>
      </x:c>
      <x:c r="T2925" s="54"/>
      <x:c r="U2925" s="47" t="n">
        <x:v>0.2</x:v>
      </x:c>
      <x:c r="V2925" s="54" t="str">
        <x:f>IF(ISNUMBER(T2925),T2925*(1+U2925),"")</x:f>
      </x:c>
      <x:c r="W2925" s="47" t="n">
        <x:v>0.3</x:v>
      </x:c>
      <x:c r="X2925" s="54" t="str">
        <x:f>IF(ISNUMBER(V2925),V2925/(1-W2925),"")</x:f>
      </x:c>
      <x:c r="Y2925" s="55" t="str">
        <x:f>IF(ISNUMBER(X2925),ROUNDUP(X2925,0),"")</x:f>
      </x:c>
      <x:c r="Z2925" t="str">
        <x:f>IF(ISNUMBER(T2925),"Cost captured","Awaiting trade cost")</x:f>
        <x:v>Awaiting trade cost</x:v>
      </x:c>
      <x:c r="AB2925" s="36" t="str">
        <x:f>IF(ISNUMBER(Y2925),ROUND(Y2925*0.9,2),"")</x:f>
      </x:c>
      <x:c r="AC2925" s="36" t="str">
        <x:f>IF(ISNUMBER(AB2925),ROUND(AB2925-(AB2925*0.015+0.2)-V2925,2),"")</x:f>
      </x:c>
      <x:c r="AD2925" s="36" t="str">
        <x:f>IF(ISNUMBER(Y2925),ROUND(Y2925*0.8,2),"")</x:f>
      </x:c>
      <x:c r="AE2925" s="36" t="str">
        <x:f>IF(ISNUMBER(AD2925),ROUND(AD2925*0.015+0.2,2),"")</x:f>
      </x:c>
      <x:c r="AF2925" s="36" t="str">
        <x:f>IF(ISNUMBER(AD2925),ROUND(AD2925-AE2925-V2925,2),"")</x:f>
      </x:c>
      <x:c r="AG2925" t="str">
        <x:f>IF(NOT(ISNUMBER(T2925)),"PENDING",IF(AF2925&gt;0,"PASS","FAIL"))</x:f>
        <x:v>PENDING</x:v>
      </x:c>
      <x:c r="AH2925" t="str">
        <x:f>IF(NOT(ISNUMBER(T2925)),"Needs supplier cost",IF(K2925&lt;&gt;"In stock","Supplier unavailable",IF(AG2925&lt;&gt;"PASS","BLOCK - GT loss risk","Commercially protected")))</x:f>
        <x:v>Needs supplier cost</x:v>
      </x:c>
      <x:c r="AI2925" t="str">
        <x:v>2026-09-10 Active Sports trade capture</x:v>
      </x:c>
      <x:c r="AJ2925" t="str">
        <x:v>Management-only economics. Stripe stress test uses 1.5% + £0.20 standard UK online-card fee; pallet/mix-and-match pricing ignored.</x:v>
      </x:c>
    </x:row>
    <x:row r="2926">
      <x:c r="A2926" t="str">
        <x:v>Active Sports Nutrition</x:v>
      </x:c>
      <x:c r="B2926" t="str">
        <x:v>Refined Nutrition</x:v>
      </x:c>
      <x:c r="C2926" t="str">
        <x:v>PUMP Non-Stim Pre Workout</x:v>
      </x:c>
      <x:c r="D2926" t="str">
        <x:v>Supplements</x:v>
      </x:c>
      <x:c r="E2926" t="str">
        <x:v>Pre Workout</x:v>
      </x:c>
      <x:c r="F2926" t="str"/>
      <x:c r="G2926" t="str">
        <x:v>500g</x:v>
      </x:c>
      <x:c r="H2926" t="str">
        <x:v>Tropical Freeze</x:v>
      </x:c>
      <x:c r="I2926" t="str"/>
      <x:c r="J2926" t="str">
        <x:v>Unit</x:v>
      </x:c>
      <x:c r="K2926" t="str">
        <x:v>In stock</x:v>
      </x:c>
      <x:c r="L2926" t="str">
        <x:v>2026-09-08</x:v>
      </x:c>
      <x:c r="M2926" t="str"/>
      <x:c r="N2926" t="str"/>
      <x:c r="O2926" t="str">
        <x:v>https://www.activesportstrade.co.uk/refined-nutrition-trade</x:v>
      </x:c>
      <x:c r="P2926" t="str"/>
      <x:c r="Q2926" t="str"/>
      <x:c r="R2926" t="str"/>
      <x:c r="S2926" t="str">
        <x:v>Pending genuine supplier/brand image</x:v>
      </x:c>
      <x:c r="T2926" s="54"/>
      <x:c r="U2926" s="47" t="n">
        <x:v>0.2</x:v>
      </x:c>
      <x:c r="V2926" s="54" t="str">
        <x:f>IF(ISNUMBER(T2926),T2926*(1+U2926),"")</x:f>
      </x:c>
      <x:c r="W2926" s="47" t="n">
        <x:v>0.3</x:v>
      </x:c>
      <x:c r="X2926" s="54" t="str">
        <x:f>IF(ISNUMBER(V2926),V2926/(1-W2926),"")</x:f>
      </x:c>
      <x:c r="Y2926" s="55" t="str">
        <x:f>IF(ISNUMBER(X2926),ROUNDUP(X2926,0),"")</x:f>
      </x:c>
      <x:c r="Z2926" t="str">
        <x:f>IF(ISNUMBER(T2926),"Cost captured","Awaiting trade cost")</x:f>
        <x:v>Awaiting trade cost</x:v>
      </x:c>
      <x:c r="AB2926" s="36" t="str">
        <x:f>IF(ISNUMBER(Y2926),ROUND(Y2926*0.9,2),"")</x:f>
      </x:c>
      <x:c r="AC2926" s="36" t="str">
        <x:f>IF(ISNUMBER(AB2926),ROUND(AB2926-(AB2926*0.015+0.2)-V2926,2),"")</x:f>
      </x:c>
      <x:c r="AD2926" s="36" t="str">
        <x:f>IF(ISNUMBER(Y2926),ROUND(Y2926*0.8,2),"")</x:f>
      </x:c>
      <x:c r="AE2926" s="36" t="str">
        <x:f>IF(ISNUMBER(AD2926),ROUND(AD2926*0.015+0.2,2),"")</x:f>
      </x:c>
      <x:c r="AF2926" s="36" t="str">
        <x:f>IF(ISNUMBER(AD2926),ROUND(AD2926-AE2926-V2926,2),"")</x:f>
      </x:c>
      <x:c r="AG2926" t="str">
        <x:f>IF(NOT(ISNUMBER(T2926)),"PENDING",IF(AF2926&gt;0,"PASS","FAIL"))</x:f>
        <x:v>PENDING</x:v>
      </x:c>
      <x:c r="AH2926" t="str">
        <x:f>IF(NOT(ISNUMBER(T2926)),"Needs supplier cost",IF(K2926&lt;&gt;"In stock","Supplier unavailable",IF(AG2926&lt;&gt;"PASS","BLOCK - GT loss risk","Commercially protected")))</x:f>
        <x:v>Needs supplier cost</x:v>
      </x:c>
      <x:c r="AI2926" t="str">
        <x:v>2026-09-10 Active Sports trade capture</x:v>
      </x:c>
      <x:c r="AJ2926" t="str">
        <x:v>Management-only economics. Stripe stress test uses 1.5% + £0.20 standard UK online-card fee; pallet/mix-and-match pricing ignored.</x:v>
      </x:c>
    </x:row>
    <x:row r="2927">
      <x:c r="A2927" t="str">
        <x:v>Active Sports Nutrition</x:v>
      </x:c>
      <x:c r="B2927" t="str">
        <x:v>Refined Nutrition</x:v>
      </x:c>
      <x:c r="C2927" t="str">
        <x:v>Ultra Beef Protein</x:v>
      </x:c>
      <x:c r="D2927" t="str">
        <x:v>Supplements</x:v>
      </x:c>
      <x:c r="E2927" t="str">
        <x:v>Beef Protein</x:v>
      </x:c>
      <x:c r="F2927" t="str"/>
      <x:c r="G2927" t="str">
        <x:v>2.04kg</x:v>
      </x:c>
      <x:c r="H2927" t="str">
        <x:v>American Grape</x:v>
      </x:c>
      <x:c r="I2927" t="str"/>
      <x:c r="J2927" t="str">
        <x:v>Unit</x:v>
      </x:c>
      <x:c r="K2927" t="str">
        <x:v>In stock</x:v>
      </x:c>
      <x:c r="L2927" t="str">
        <x:v>2026-09-08</x:v>
      </x:c>
      <x:c r="M2927" t="str"/>
      <x:c r="N2927" t="str"/>
      <x:c r="O2927" t="str">
        <x:v>https://www.activesportstrade.co.uk/refined-nutrition-trade</x:v>
      </x:c>
      <x:c r="P2927" t="str"/>
      <x:c r="Q2927" t="str"/>
      <x:c r="R2927" t="str"/>
      <x:c r="S2927" t="str">
        <x:v>Pending genuine supplier/brand image</x:v>
      </x:c>
      <x:c r="T2927" s="54"/>
      <x:c r="U2927" s="47" t="n">
        <x:v>0.2</x:v>
      </x:c>
      <x:c r="V2927" s="54" t="str">
        <x:f>IF(ISNUMBER(T2927),T2927*(1+U2927),"")</x:f>
      </x:c>
      <x:c r="W2927" s="47" t="n">
        <x:v>0.3</x:v>
      </x:c>
      <x:c r="X2927" s="54" t="str">
        <x:f>IF(ISNUMBER(V2927),V2927/(1-W2927),"")</x:f>
      </x:c>
      <x:c r="Y2927" s="55" t="str">
        <x:f>IF(ISNUMBER(X2927),ROUNDUP(X2927,0),"")</x:f>
      </x:c>
      <x:c r="Z2927" t="str">
        <x:f>IF(ISNUMBER(T2927),"Cost captured","Awaiting trade cost")</x:f>
        <x:v>Awaiting trade cost</x:v>
      </x:c>
      <x:c r="AB2927" s="36" t="str">
        <x:f>IF(ISNUMBER(Y2927),ROUND(Y2927*0.9,2),"")</x:f>
      </x:c>
      <x:c r="AC2927" s="36" t="str">
        <x:f>IF(ISNUMBER(AB2927),ROUND(AB2927-(AB2927*0.015+0.2)-V2927,2),"")</x:f>
      </x:c>
      <x:c r="AD2927" s="36" t="str">
        <x:f>IF(ISNUMBER(Y2927),ROUND(Y2927*0.8,2),"")</x:f>
      </x:c>
      <x:c r="AE2927" s="36" t="str">
        <x:f>IF(ISNUMBER(AD2927),ROUND(AD2927*0.015+0.2,2),"")</x:f>
      </x:c>
      <x:c r="AF2927" s="36" t="str">
        <x:f>IF(ISNUMBER(AD2927),ROUND(AD2927-AE2927-V2927,2),"")</x:f>
      </x:c>
      <x:c r="AG2927" t="str">
        <x:f>IF(NOT(ISNUMBER(T2927)),"PENDING",IF(AF2927&gt;0,"PASS","FAIL"))</x:f>
        <x:v>PENDING</x:v>
      </x:c>
      <x:c r="AH2927" t="str">
        <x:f>IF(NOT(ISNUMBER(T2927)),"Needs supplier cost",IF(K2927&lt;&gt;"In stock","Supplier unavailable",IF(AG2927&lt;&gt;"PASS","BLOCK - GT loss risk","Commercially protected")))</x:f>
        <x:v>Needs supplier cost</x:v>
      </x:c>
      <x:c r="AI2927" t="str">
        <x:v>2026-09-10 Active Sports trade capture</x:v>
      </x:c>
      <x:c r="AJ2927" t="str">
        <x:v>Management-only economics. Stripe stress test uses 1.5% + £0.20 standard UK online-card fee; pallet/mix-and-match pricing ignored.</x:v>
      </x:c>
    </x:row>
    <x:row r="2928">
      <x:c r="A2928" t="str">
        <x:v>Active Sports Nutrition</x:v>
      </x:c>
      <x:c r="B2928" t="str">
        <x:v>Refined Nutrition</x:v>
      </x:c>
      <x:c r="C2928" t="str">
        <x:v>Ultra Beef Protein</x:v>
      </x:c>
      <x:c r="D2928" t="str">
        <x:v>Supplements</x:v>
      </x:c>
      <x:c r="E2928" t="str">
        <x:v>Beef Protein</x:v>
      </x:c>
      <x:c r="F2928" t="str"/>
      <x:c r="G2928" t="str">
        <x:v>2.04kg</x:v>
      </x:c>
      <x:c r="H2928" t="str">
        <x:v>Cherryade</x:v>
      </x:c>
      <x:c r="I2928" t="str"/>
      <x:c r="J2928" t="str">
        <x:v>Unit</x:v>
      </x:c>
      <x:c r="K2928" t="str">
        <x:v>In stock</x:v>
      </x:c>
      <x:c r="L2928" t="str">
        <x:v>2026-09-08</x:v>
      </x:c>
      <x:c r="M2928" t="str"/>
      <x:c r="N2928" t="str"/>
      <x:c r="O2928" t="str">
        <x:v>https://www.activesportstrade.co.uk/refined-nutrition-trade</x:v>
      </x:c>
      <x:c r="P2928" t="str"/>
      <x:c r="Q2928" t="str"/>
      <x:c r="R2928" t="str"/>
      <x:c r="S2928" t="str">
        <x:v>Pending genuine supplier/brand image</x:v>
      </x:c>
      <x:c r="T2928" s="54"/>
      <x:c r="U2928" s="47" t="n">
        <x:v>0.2</x:v>
      </x:c>
      <x:c r="V2928" s="54" t="str">
        <x:f>IF(ISNUMBER(T2928),T2928*(1+U2928),"")</x:f>
      </x:c>
      <x:c r="W2928" s="47" t="n">
        <x:v>0.3</x:v>
      </x:c>
      <x:c r="X2928" s="54" t="str">
        <x:f>IF(ISNUMBER(V2928),V2928/(1-W2928),"")</x:f>
      </x:c>
      <x:c r="Y2928" s="55" t="str">
        <x:f>IF(ISNUMBER(X2928),ROUNDUP(X2928,0),"")</x:f>
      </x:c>
      <x:c r="Z2928" t="str">
        <x:f>IF(ISNUMBER(T2928),"Cost captured","Awaiting trade cost")</x:f>
        <x:v>Awaiting trade cost</x:v>
      </x:c>
      <x:c r="AB2928" s="36" t="str">
        <x:f>IF(ISNUMBER(Y2928),ROUND(Y2928*0.9,2),"")</x:f>
      </x:c>
      <x:c r="AC2928" s="36" t="str">
        <x:f>IF(ISNUMBER(AB2928),ROUND(AB2928-(AB2928*0.015+0.2)-V2928,2),"")</x:f>
      </x:c>
      <x:c r="AD2928" s="36" t="str">
        <x:f>IF(ISNUMBER(Y2928),ROUND(Y2928*0.8,2),"")</x:f>
      </x:c>
      <x:c r="AE2928" s="36" t="str">
        <x:f>IF(ISNUMBER(AD2928),ROUND(AD2928*0.015+0.2,2),"")</x:f>
      </x:c>
      <x:c r="AF2928" s="36" t="str">
        <x:f>IF(ISNUMBER(AD2928),ROUND(AD2928-AE2928-V2928,2),"")</x:f>
      </x:c>
      <x:c r="AG2928" t="str">
        <x:f>IF(NOT(ISNUMBER(T2928)),"PENDING",IF(AF2928&gt;0,"PASS","FAIL"))</x:f>
        <x:v>PENDING</x:v>
      </x:c>
      <x:c r="AH2928" t="str">
        <x:f>IF(NOT(ISNUMBER(T2928)),"Needs supplier cost",IF(K2928&lt;&gt;"In stock","Supplier unavailable",IF(AG2928&lt;&gt;"PASS","BLOCK - GT loss risk","Commercially protected")))</x:f>
        <x:v>Needs supplier cost</x:v>
      </x:c>
      <x:c r="AI2928" t="str">
        <x:v>2026-09-10 Active Sports trade capture</x:v>
      </x:c>
      <x:c r="AJ2928" t="str">
        <x:v>Management-only economics. Stripe stress test uses 1.5% + £0.20 standard UK online-card fee; pallet/mix-and-match pricing ignored.</x:v>
      </x:c>
    </x:row>
    <x:row r="2929">
      <x:c r="A2929" t="str">
        <x:v>Active Sports Nutrition</x:v>
      </x:c>
      <x:c r="B2929" t="str">
        <x:v>Refined Nutrition</x:v>
      </x:c>
      <x:c r="C2929" t="str">
        <x:v>Ultra Beef Protein</x:v>
      </x:c>
      <x:c r="D2929" t="str">
        <x:v>Supplements</x:v>
      </x:c>
      <x:c r="E2929" t="str">
        <x:v>Beef Protein</x:v>
      </x:c>
      <x:c r="F2929" t="str"/>
      <x:c r="G2929" t="str">
        <x:v>2.04kg</x:v>
      </x:c>
      <x:c r="H2929" t="str">
        <x:v>Crazy Cola</x:v>
      </x:c>
      <x:c r="I2929" t="str"/>
      <x:c r="J2929" t="str">
        <x:v>Unit</x:v>
      </x:c>
      <x:c r="K2929" t="str">
        <x:v>In stock</x:v>
      </x:c>
      <x:c r="L2929" t="str">
        <x:v>2026-09-08</x:v>
      </x:c>
      <x:c r="M2929" t="str"/>
      <x:c r="N2929" t="str"/>
      <x:c r="O2929" t="str">
        <x:v>https://www.activesportstrade.co.uk/refined-nutrition-trade</x:v>
      </x:c>
      <x:c r="P2929" t="str"/>
      <x:c r="Q2929" t="str"/>
      <x:c r="R2929" t="str"/>
      <x:c r="S2929" t="str">
        <x:v>Pending genuine supplier/brand image</x:v>
      </x:c>
      <x:c r="T2929" s="54"/>
      <x:c r="U2929" s="47" t="n">
        <x:v>0.2</x:v>
      </x:c>
      <x:c r="V2929" s="54" t="str">
        <x:f>IF(ISNUMBER(T2929),T2929*(1+U2929),"")</x:f>
      </x:c>
      <x:c r="W2929" s="47" t="n">
        <x:v>0.3</x:v>
      </x:c>
      <x:c r="X2929" s="54" t="str">
        <x:f>IF(ISNUMBER(V2929),V2929/(1-W2929),"")</x:f>
      </x:c>
      <x:c r="Y2929" s="55" t="str">
        <x:f>IF(ISNUMBER(X2929),ROUNDUP(X2929,0),"")</x:f>
      </x:c>
      <x:c r="Z2929" t="str">
        <x:f>IF(ISNUMBER(T2929),"Cost captured","Awaiting trade cost")</x:f>
        <x:v>Awaiting trade cost</x:v>
      </x:c>
      <x:c r="AB2929" s="36" t="str">
        <x:f>IF(ISNUMBER(Y2929),ROUND(Y2929*0.9,2),"")</x:f>
      </x:c>
      <x:c r="AC2929" s="36" t="str">
        <x:f>IF(ISNUMBER(AB2929),ROUND(AB2929-(AB2929*0.015+0.2)-V2929,2),"")</x:f>
      </x:c>
      <x:c r="AD2929" s="36" t="str">
        <x:f>IF(ISNUMBER(Y2929),ROUND(Y2929*0.8,2),"")</x:f>
      </x:c>
      <x:c r="AE2929" s="36" t="str">
        <x:f>IF(ISNUMBER(AD2929),ROUND(AD2929*0.015+0.2,2),"")</x:f>
      </x:c>
      <x:c r="AF2929" s="36" t="str">
        <x:f>IF(ISNUMBER(AD2929),ROUND(AD2929-AE2929-V2929,2),"")</x:f>
      </x:c>
      <x:c r="AG2929" t="str">
        <x:f>IF(NOT(ISNUMBER(T2929)),"PENDING",IF(AF2929&gt;0,"PASS","FAIL"))</x:f>
        <x:v>PENDING</x:v>
      </x:c>
      <x:c r="AH2929" t="str">
        <x:f>IF(NOT(ISNUMBER(T2929)),"Needs supplier cost",IF(K2929&lt;&gt;"In stock","Supplier unavailable",IF(AG2929&lt;&gt;"PASS","BLOCK - GT loss risk","Commercially protected")))</x:f>
        <x:v>Needs supplier cost</x:v>
      </x:c>
      <x:c r="AI2929" t="str">
        <x:v>2026-09-10 Active Sports trade capture</x:v>
      </x:c>
      <x:c r="AJ2929" t="str">
        <x:v>Management-only economics. Stripe stress test uses 1.5% + £0.20 standard UK online-card fee; pallet/mix-and-match pricing ignored.</x:v>
      </x:c>
    </x:row>
    <x:row r="2930">
      <x:c r="A2930" t="str">
        <x:v>Active Sports Nutrition</x:v>
      </x:c>
      <x:c r="B2930" t="str">
        <x:v>Refined Nutrition</x:v>
      </x:c>
      <x:c r="C2930" t="str">
        <x:v>Ultra Beef Protein</x:v>
      </x:c>
      <x:c r="D2930" t="str">
        <x:v>Supplements</x:v>
      </x:c>
      <x:c r="E2930" t="str">
        <x:v>Beef Protein</x:v>
      </x:c>
      <x:c r="F2930" t="str"/>
      <x:c r="G2930" t="str">
        <x:v>2.04kg</x:v>
      </x:c>
      <x:c r="H2930" t="str">
        <x:v>Green Apple</x:v>
      </x:c>
      <x:c r="I2930" t="str"/>
      <x:c r="J2930" t="str">
        <x:v>Unit</x:v>
      </x:c>
      <x:c r="K2930" t="str">
        <x:v>In stock</x:v>
      </x:c>
      <x:c r="L2930" t="str">
        <x:v>2026-09-08</x:v>
      </x:c>
      <x:c r="M2930" t="str"/>
      <x:c r="N2930" t="str"/>
      <x:c r="O2930" t="str">
        <x:v>https://www.activesportstrade.co.uk/refined-nutrition-trade</x:v>
      </x:c>
      <x:c r="P2930" t="str"/>
      <x:c r="Q2930" t="str"/>
      <x:c r="R2930" t="str"/>
      <x:c r="S2930" t="str">
        <x:v>Pending genuine supplier/brand image</x:v>
      </x:c>
      <x:c r="T2930" s="54"/>
      <x:c r="U2930" s="47" t="n">
        <x:v>0.2</x:v>
      </x:c>
      <x:c r="V2930" s="54" t="str">
        <x:f>IF(ISNUMBER(T2930),T2930*(1+U2930),"")</x:f>
      </x:c>
      <x:c r="W2930" s="47" t="n">
        <x:v>0.3</x:v>
      </x:c>
      <x:c r="X2930" s="54" t="str">
        <x:f>IF(ISNUMBER(V2930),V2930/(1-W2930),"")</x:f>
      </x:c>
      <x:c r="Y2930" s="55" t="str">
        <x:f>IF(ISNUMBER(X2930),ROUNDUP(X2930,0),"")</x:f>
      </x:c>
      <x:c r="Z2930" t="str">
        <x:f>IF(ISNUMBER(T2930),"Cost captured","Awaiting trade cost")</x:f>
        <x:v>Awaiting trade cost</x:v>
      </x:c>
      <x:c r="AB2930" s="36" t="str">
        <x:f>IF(ISNUMBER(Y2930),ROUND(Y2930*0.9,2),"")</x:f>
      </x:c>
      <x:c r="AC2930" s="36" t="str">
        <x:f>IF(ISNUMBER(AB2930),ROUND(AB2930-(AB2930*0.015+0.2)-V2930,2),"")</x:f>
      </x:c>
      <x:c r="AD2930" s="36" t="str">
        <x:f>IF(ISNUMBER(Y2930),ROUND(Y2930*0.8,2),"")</x:f>
      </x:c>
      <x:c r="AE2930" s="36" t="str">
        <x:f>IF(ISNUMBER(AD2930),ROUND(AD2930*0.015+0.2,2),"")</x:f>
      </x:c>
      <x:c r="AF2930" s="36" t="str">
        <x:f>IF(ISNUMBER(AD2930),ROUND(AD2930-AE2930-V2930,2),"")</x:f>
      </x:c>
      <x:c r="AG2930" t="str">
        <x:f>IF(NOT(ISNUMBER(T2930)),"PENDING",IF(AF2930&gt;0,"PASS","FAIL"))</x:f>
        <x:v>PENDING</x:v>
      </x:c>
      <x:c r="AH2930" t="str">
        <x:f>IF(NOT(ISNUMBER(T2930)),"Needs supplier cost",IF(K2930&lt;&gt;"In stock","Supplier unavailable",IF(AG2930&lt;&gt;"PASS","BLOCK - GT loss risk","Commercially protected")))</x:f>
        <x:v>Needs supplier cost</x:v>
      </x:c>
      <x:c r="AI2930" t="str">
        <x:v>2026-09-10 Active Sports trade capture</x:v>
      </x:c>
      <x:c r="AJ2930" t="str">
        <x:v>Management-only economics. Stripe stress test uses 1.5% + £0.20 standard UK online-card fee; pallet/mix-and-match pricing ignored.</x:v>
      </x:c>
    </x:row>
    <x:row r="2931">
      <x:c r="A2931" t="str">
        <x:v>Active Sports Nutrition</x:v>
      </x:c>
      <x:c r="B2931" t="str">
        <x:v>Refined Nutrition</x:v>
      </x:c>
      <x:c r="C2931" t="str">
        <x:v>Ultra Beef Protein</x:v>
      </x:c>
      <x:c r="D2931" t="str">
        <x:v>Supplements</x:v>
      </x:c>
      <x:c r="E2931" t="str">
        <x:v>Beef Protein</x:v>
      </x:c>
      <x:c r="F2931" t="str"/>
      <x:c r="G2931" t="str">
        <x:v>2.04kg</x:v>
      </x:c>
      <x:c r="H2931" t="str">
        <x:v>Icy Blue Raspberry</x:v>
      </x:c>
      <x:c r="I2931" t="str"/>
      <x:c r="J2931" t="str">
        <x:v>Unit</x:v>
      </x:c>
      <x:c r="K2931" t="str">
        <x:v>Out of stock</x:v>
      </x:c>
      <x:c r="L2931" t="str">
        <x:v>2026-09-08</x:v>
      </x:c>
      <x:c r="M2931" t="str"/>
      <x:c r="N2931" t="str"/>
      <x:c r="O2931" t="str">
        <x:v>https://www.activesportstrade.co.uk/refined-nutrition-trade</x:v>
      </x:c>
      <x:c r="P2931" t="str"/>
      <x:c r="Q2931" t="str"/>
      <x:c r="R2931" t="str"/>
      <x:c r="S2931" t="str">
        <x:v>Pending genuine supplier/brand image</x:v>
      </x:c>
      <x:c r="T2931" s="54"/>
      <x:c r="U2931" s="47" t="n">
        <x:v>0.2</x:v>
      </x:c>
      <x:c r="V2931" s="54" t="str">
        <x:f>IF(ISNUMBER(T2931),T2931*(1+U2931),"")</x:f>
      </x:c>
      <x:c r="W2931" s="47" t="n">
        <x:v>0.3</x:v>
      </x:c>
      <x:c r="X2931" s="54" t="str">
        <x:f>IF(ISNUMBER(V2931),V2931/(1-W2931),"")</x:f>
      </x:c>
      <x:c r="Y2931" s="55" t="str">
        <x:f>IF(ISNUMBER(X2931),ROUNDUP(X2931,0),"")</x:f>
      </x:c>
      <x:c r="Z2931" t="str">
        <x:f>IF(ISNUMBER(T2931),"Cost captured","Awaiting trade cost")</x:f>
        <x:v>Awaiting trade cost</x:v>
      </x:c>
      <x:c r="AB2931" s="36" t="str">
        <x:f>IF(ISNUMBER(Y2931),ROUND(Y2931*0.9,2),"")</x:f>
      </x:c>
      <x:c r="AC2931" s="36" t="str">
        <x:f>IF(ISNUMBER(AB2931),ROUND(AB2931-(AB2931*0.015+0.2)-V2931,2),"")</x:f>
      </x:c>
      <x:c r="AD2931" s="36" t="str">
        <x:f>IF(ISNUMBER(Y2931),ROUND(Y2931*0.8,2),"")</x:f>
      </x:c>
      <x:c r="AE2931" s="36" t="str">
        <x:f>IF(ISNUMBER(AD2931),ROUND(AD2931*0.015+0.2,2),"")</x:f>
      </x:c>
      <x:c r="AF2931" s="36" t="str">
        <x:f>IF(ISNUMBER(AD2931),ROUND(AD2931-AE2931-V2931,2),"")</x:f>
      </x:c>
      <x:c r="AG2931" t="str">
        <x:f>IF(NOT(ISNUMBER(T2931)),"PENDING",IF(AF2931&gt;0,"PASS","FAIL"))</x:f>
        <x:v>PENDING</x:v>
      </x:c>
      <x:c r="AH2931" t="str">
        <x:f>IF(NOT(ISNUMBER(T2931)),"Needs supplier cost",IF(K2931&lt;&gt;"In stock","Supplier unavailable",IF(AG2931&lt;&gt;"PASS","BLOCK - GT loss risk","Commercially protected")))</x:f>
        <x:v>Needs supplier cost</x:v>
      </x:c>
      <x:c r="AI2931" t="str">
        <x:v>2026-09-10 Active Sports trade capture</x:v>
      </x:c>
      <x:c r="AJ2931" t="str">
        <x:v>Management-only economics. Stripe stress test uses 1.5% + £0.20 standard UK online-card fee; pallet/mix-and-match pricing ignored.</x:v>
      </x:c>
    </x:row>
    <x:row r="2932">
      <x:c r="A2932" t="str">
        <x:v>Active Sports Nutrition</x:v>
      </x:c>
      <x:c r="B2932" t="str">
        <x:v>Refined Nutrition</x:v>
      </x:c>
      <x:c r="C2932" t="str">
        <x:v>Ultra Beef Protein</x:v>
      </x:c>
      <x:c r="D2932" t="str">
        <x:v>Supplements</x:v>
      </x:c>
      <x:c r="E2932" t="str">
        <x:v>Beef Protein</x:v>
      </x:c>
      <x:c r="F2932" t="str"/>
      <x:c r="G2932" t="str">
        <x:v>2.04kg</x:v>
      </x:c>
      <x:c r="H2932" t="str">
        <x:v>Pineapple</x:v>
      </x:c>
      <x:c r="I2932" t="str"/>
      <x:c r="J2932" t="str">
        <x:v>Unit</x:v>
      </x:c>
      <x:c r="K2932" t="str">
        <x:v>Out of stock</x:v>
      </x:c>
      <x:c r="L2932" t="str">
        <x:v>2026-09-08</x:v>
      </x:c>
      <x:c r="M2932" t="str"/>
      <x:c r="N2932" t="str"/>
      <x:c r="O2932" t="str">
        <x:v>https://www.activesportstrade.co.uk/refined-nutrition-trade</x:v>
      </x:c>
      <x:c r="P2932" t="str"/>
      <x:c r="Q2932" t="str"/>
      <x:c r="R2932" t="str"/>
      <x:c r="S2932" t="str">
        <x:v>Pending genuine supplier/brand image</x:v>
      </x:c>
      <x:c r="T2932" s="54"/>
      <x:c r="U2932" s="47" t="n">
        <x:v>0.2</x:v>
      </x:c>
      <x:c r="V2932" s="54" t="str">
        <x:f>IF(ISNUMBER(T2932),T2932*(1+U2932),"")</x:f>
      </x:c>
      <x:c r="W2932" s="47" t="n">
        <x:v>0.3</x:v>
      </x:c>
      <x:c r="X2932" s="54" t="str">
        <x:f>IF(ISNUMBER(V2932),V2932/(1-W2932),"")</x:f>
      </x:c>
      <x:c r="Y2932" s="55" t="str">
        <x:f>IF(ISNUMBER(X2932),ROUNDUP(X2932,0),"")</x:f>
      </x:c>
      <x:c r="Z2932" t="str">
        <x:f>IF(ISNUMBER(T2932),"Cost captured","Awaiting trade cost")</x:f>
        <x:v>Awaiting trade cost</x:v>
      </x:c>
      <x:c r="AB2932" s="36" t="str">
        <x:f>IF(ISNUMBER(Y2932),ROUND(Y2932*0.9,2),"")</x:f>
      </x:c>
      <x:c r="AC2932" s="36" t="str">
        <x:f>IF(ISNUMBER(AB2932),ROUND(AB2932-(AB2932*0.015+0.2)-V2932,2),"")</x:f>
      </x:c>
      <x:c r="AD2932" s="36" t="str">
        <x:f>IF(ISNUMBER(Y2932),ROUND(Y2932*0.8,2),"")</x:f>
      </x:c>
      <x:c r="AE2932" s="36" t="str">
        <x:f>IF(ISNUMBER(AD2932),ROUND(AD2932*0.015+0.2,2),"")</x:f>
      </x:c>
      <x:c r="AF2932" s="36" t="str">
        <x:f>IF(ISNUMBER(AD2932),ROUND(AD2932-AE2932-V2932,2),"")</x:f>
      </x:c>
      <x:c r="AG2932" t="str">
        <x:f>IF(NOT(ISNUMBER(T2932)),"PENDING",IF(AF2932&gt;0,"PASS","FAIL"))</x:f>
        <x:v>PENDING</x:v>
      </x:c>
      <x:c r="AH2932" t="str">
        <x:f>IF(NOT(ISNUMBER(T2932)),"Needs supplier cost",IF(K2932&lt;&gt;"In stock","Supplier unavailable",IF(AG2932&lt;&gt;"PASS","BLOCK - GT loss risk","Commercially protected")))</x:f>
        <x:v>Needs supplier cost</x:v>
      </x:c>
      <x:c r="AI2932" t="str">
        <x:v>2026-09-10 Active Sports trade capture</x:v>
      </x:c>
      <x:c r="AJ2932" t="str">
        <x:v>Management-only economics. Stripe stress test uses 1.5% + £0.20 standard UK online-card fee; pallet/mix-and-match pricing ignored.</x:v>
      </x:c>
    </x:row>
    <x:row r="2933">
      <x:c r="A2933" t="str">
        <x:v>Active Sports Nutrition</x:v>
      </x:c>
      <x:c r="B2933" t="str">
        <x:v>Refined Nutrition</x:v>
      </x:c>
      <x:c r="C2933" t="str">
        <x:v>Ultra Beef Protein</x:v>
      </x:c>
      <x:c r="D2933" t="str">
        <x:v>Supplements</x:v>
      </x:c>
      <x:c r="E2933" t="str">
        <x:v>Beef Protein</x:v>
      </x:c>
      <x:c r="F2933" t="str"/>
      <x:c r="G2933" t="str">
        <x:v>2.04kg</x:v>
      </x:c>
      <x:c r="H2933" t="str">
        <x:v>Strawberry Watermelon</x:v>
      </x:c>
      <x:c r="I2933" t="str"/>
      <x:c r="J2933" t="str">
        <x:v>Unit</x:v>
      </x:c>
      <x:c r="K2933" t="str">
        <x:v>In stock</x:v>
      </x:c>
      <x:c r="L2933" t="str">
        <x:v>2026-09-08</x:v>
      </x:c>
      <x:c r="M2933" t="str"/>
      <x:c r="N2933" t="str"/>
      <x:c r="O2933" t="str">
        <x:v>https://www.activesportstrade.co.uk/refined-nutrition-trade</x:v>
      </x:c>
      <x:c r="P2933" t="str"/>
      <x:c r="Q2933" t="str"/>
      <x:c r="R2933" t="str"/>
      <x:c r="S2933" t="str">
        <x:v>Pending genuine supplier/brand image</x:v>
      </x:c>
      <x:c r="T2933" s="54"/>
      <x:c r="U2933" s="47" t="n">
        <x:v>0.2</x:v>
      </x:c>
      <x:c r="V2933" s="54" t="str">
        <x:f>IF(ISNUMBER(T2933),T2933*(1+U2933),"")</x:f>
      </x:c>
      <x:c r="W2933" s="47" t="n">
        <x:v>0.3</x:v>
      </x:c>
      <x:c r="X2933" s="54" t="str">
        <x:f>IF(ISNUMBER(V2933),V2933/(1-W2933),"")</x:f>
      </x:c>
      <x:c r="Y2933" s="55" t="str">
        <x:f>IF(ISNUMBER(X2933),ROUNDUP(X2933,0),"")</x:f>
      </x:c>
      <x:c r="Z2933" t="str">
        <x:f>IF(ISNUMBER(T2933),"Cost captured","Awaiting trade cost")</x:f>
        <x:v>Awaiting trade cost</x:v>
      </x:c>
      <x:c r="AB2933" s="36" t="str">
        <x:f>IF(ISNUMBER(Y2933),ROUND(Y2933*0.9,2),"")</x:f>
      </x:c>
      <x:c r="AC2933" s="36" t="str">
        <x:f>IF(ISNUMBER(AB2933),ROUND(AB2933-(AB2933*0.015+0.2)-V2933,2),"")</x:f>
      </x:c>
      <x:c r="AD2933" s="36" t="str">
        <x:f>IF(ISNUMBER(Y2933),ROUND(Y2933*0.8,2),"")</x:f>
      </x:c>
      <x:c r="AE2933" s="36" t="str">
        <x:f>IF(ISNUMBER(AD2933),ROUND(AD2933*0.015+0.2,2),"")</x:f>
      </x:c>
      <x:c r="AF2933" s="36" t="str">
        <x:f>IF(ISNUMBER(AD2933),ROUND(AD2933-AE2933-V2933,2),"")</x:f>
      </x:c>
      <x:c r="AG2933" t="str">
        <x:f>IF(NOT(ISNUMBER(T2933)),"PENDING",IF(AF2933&gt;0,"PASS","FAIL"))</x:f>
        <x:v>PENDING</x:v>
      </x:c>
      <x:c r="AH2933" t="str">
        <x:f>IF(NOT(ISNUMBER(T2933)),"Needs supplier cost",IF(K2933&lt;&gt;"In stock","Supplier unavailable",IF(AG2933&lt;&gt;"PASS","BLOCK - GT loss risk","Commercially protected")))</x:f>
        <x:v>Needs supplier cost</x:v>
      </x:c>
      <x:c r="AI2933" t="str">
        <x:v>2026-09-10 Active Sports trade capture</x:v>
      </x:c>
      <x:c r="AJ2933" t="str">
        <x:v>Management-only economics. Stripe stress test uses 1.5% + £0.20 standard UK online-card fee; pallet/mix-and-match pricing ignored.</x:v>
      </x:c>
    </x:row>
    <x:row r="2934">
      <x:c r="A2934" t="str">
        <x:v>Active Sports Nutrition</x:v>
      </x:c>
      <x:c r="B2934" t="str">
        <x:v>Refined Nutrition</x:v>
      </x:c>
      <x:c r="C2934" t="str">
        <x:v>Ultra Beef Protein</x:v>
      </x:c>
      <x:c r="D2934" t="str">
        <x:v>Supplements</x:v>
      </x:c>
      <x:c r="E2934" t="str">
        <x:v>Beef Protein</x:v>
      </x:c>
      <x:c r="F2934" t="str"/>
      <x:c r="G2934" t="str">
        <x:v>2.04kg</x:v>
      </x:c>
      <x:c r="H2934" t="str">
        <x:v>Tropical Freeze</x:v>
      </x:c>
      <x:c r="I2934" t="str"/>
      <x:c r="J2934" t="str">
        <x:v>Unit</x:v>
      </x:c>
      <x:c r="K2934" t="str">
        <x:v>Out of stock</x:v>
      </x:c>
      <x:c r="L2934" t="str">
        <x:v>2026-09-08</x:v>
      </x:c>
      <x:c r="M2934" t="str"/>
      <x:c r="N2934" t="str"/>
      <x:c r="O2934" t="str">
        <x:v>https://www.activesportstrade.co.uk/refined-nutrition-trade</x:v>
      </x:c>
      <x:c r="P2934" t="str"/>
      <x:c r="Q2934" t="str"/>
      <x:c r="R2934" t="str"/>
      <x:c r="S2934" t="str">
        <x:v>Pending genuine supplier/brand image</x:v>
      </x:c>
      <x:c r="T2934" s="54"/>
      <x:c r="U2934" s="47" t="n">
        <x:v>0.2</x:v>
      </x:c>
      <x:c r="V2934" s="54" t="str">
        <x:f>IF(ISNUMBER(T2934),T2934*(1+U2934),"")</x:f>
      </x:c>
      <x:c r="W2934" s="47" t="n">
        <x:v>0.3</x:v>
      </x:c>
      <x:c r="X2934" s="54" t="str">
        <x:f>IF(ISNUMBER(V2934),V2934/(1-W2934),"")</x:f>
      </x:c>
      <x:c r="Y2934" s="55" t="str">
        <x:f>IF(ISNUMBER(X2934),ROUNDUP(X2934,0),"")</x:f>
      </x:c>
      <x:c r="Z2934" t="str">
        <x:f>IF(ISNUMBER(T2934),"Cost captured","Awaiting trade cost")</x:f>
        <x:v>Awaiting trade cost</x:v>
      </x:c>
      <x:c r="AB2934" s="36" t="str">
        <x:f>IF(ISNUMBER(Y2934),ROUND(Y2934*0.9,2),"")</x:f>
      </x:c>
      <x:c r="AC2934" s="36" t="str">
        <x:f>IF(ISNUMBER(AB2934),ROUND(AB2934-(AB2934*0.015+0.2)-V2934,2),"")</x:f>
      </x:c>
      <x:c r="AD2934" s="36" t="str">
        <x:f>IF(ISNUMBER(Y2934),ROUND(Y2934*0.8,2),"")</x:f>
      </x:c>
      <x:c r="AE2934" s="36" t="str">
        <x:f>IF(ISNUMBER(AD2934),ROUND(AD2934*0.015+0.2,2),"")</x:f>
      </x:c>
      <x:c r="AF2934" s="36" t="str">
        <x:f>IF(ISNUMBER(AD2934),ROUND(AD2934-AE2934-V2934,2),"")</x:f>
      </x:c>
      <x:c r="AG2934" t="str">
        <x:f>IF(NOT(ISNUMBER(T2934)),"PENDING",IF(AF2934&gt;0,"PASS","FAIL"))</x:f>
        <x:v>PENDING</x:v>
      </x:c>
      <x:c r="AH2934" t="str">
        <x:f>IF(NOT(ISNUMBER(T2934)),"Needs supplier cost",IF(K2934&lt;&gt;"In stock","Supplier unavailable",IF(AG2934&lt;&gt;"PASS","BLOCK - GT loss risk","Commercially protected")))</x:f>
        <x:v>Needs supplier cost</x:v>
      </x:c>
      <x:c r="AI2934" t="str">
        <x:v>2026-09-10 Active Sports trade capture</x:v>
      </x:c>
      <x:c r="AJ2934" t="str">
        <x:v>Management-only economics. Stripe stress test uses 1.5% + £0.20 standard UK online-card fee; pallet/mix-and-match pricing ignored.</x:v>
      </x:c>
    </x:row>
    <x:row r="2935">
      <x:c r="A2935" t="str">
        <x:v>Active Sports Nutrition</x:v>
      </x:c>
      <x:c r="B2935" t="str">
        <x:v>Refined Nutrition</x:v>
      </x:c>
      <x:c r="C2935" t="str">
        <x:v>Ultra Collagen</x:v>
      </x:c>
      <x:c r="D2935" t="str">
        <x:v>Supplements</x:v>
      </x:c>
      <x:c r="E2935" t="str">
        <x:v>Collagen</x:v>
      </x:c>
      <x:c r="F2935" t="str"/>
      <x:c r="G2935" t="str">
        <x:v>250g</x:v>
      </x:c>
      <x:c r="H2935" t="str">
        <x:v>Unflavoured</x:v>
      </x:c>
      <x:c r="I2935" t="str"/>
      <x:c r="J2935" t="str">
        <x:v>Unit</x:v>
      </x:c>
      <x:c r="K2935" t="str">
        <x:v>In stock</x:v>
      </x:c>
      <x:c r="L2935" t="str">
        <x:v>2026-09-08</x:v>
      </x:c>
      <x:c r="M2935" t="str"/>
      <x:c r="N2935" t="str"/>
      <x:c r="O2935" t="str">
        <x:v>https://www.activesportstrade.co.uk/refined-nutrition-trade</x:v>
      </x:c>
      <x:c r="P2935" t="str"/>
      <x:c r="Q2935" t="str"/>
      <x:c r="R2935" t="str"/>
      <x:c r="S2935" t="str">
        <x:v>Pending genuine supplier/brand image</x:v>
      </x:c>
      <x:c r="T2935" s="54"/>
      <x:c r="U2935" s="47" t="n">
        <x:v>0.2</x:v>
      </x:c>
      <x:c r="V2935" s="54" t="str">
        <x:f>IF(ISNUMBER(T2935),T2935*(1+U2935),"")</x:f>
      </x:c>
      <x:c r="W2935" s="47" t="n">
        <x:v>0.3</x:v>
      </x:c>
      <x:c r="X2935" s="54" t="str">
        <x:f>IF(ISNUMBER(V2935),V2935/(1-W2935),"")</x:f>
      </x:c>
      <x:c r="Y2935" s="55" t="str">
        <x:f>IF(ISNUMBER(X2935),ROUNDUP(X2935,0),"")</x:f>
      </x:c>
      <x:c r="Z2935" t="str">
        <x:f>IF(ISNUMBER(T2935),"Cost captured","Awaiting trade cost")</x:f>
        <x:v>Awaiting trade cost</x:v>
      </x:c>
      <x:c r="AB2935" s="36" t="str">
        <x:f>IF(ISNUMBER(Y2935),ROUND(Y2935*0.9,2),"")</x:f>
      </x:c>
      <x:c r="AC2935" s="36" t="str">
        <x:f>IF(ISNUMBER(AB2935),ROUND(AB2935-(AB2935*0.015+0.2)-V2935,2),"")</x:f>
      </x:c>
      <x:c r="AD2935" s="36" t="str">
        <x:f>IF(ISNUMBER(Y2935),ROUND(Y2935*0.8,2),"")</x:f>
      </x:c>
      <x:c r="AE2935" s="36" t="str">
        <x:f>IF(ISNUMBER(AD2935),ROUND(AD2935*0.015+0.2,2),"")</x:f>
      </x:c>
      <x:c r="AF2935" s="36" t="str">
        <x:f>IF(ISNUMBER(AD2935),ROUND(AD2935-AE2935-V2935,2),"")</x:f>
      </x:c>
      <x:c r="AG2935" t="str">
        <x:f>IF(NOT(ISNUMBER(T2935)),"PENDING",IF(AF2935&gt;0,"PASS","FAIL"))</x:f>
        <x:v>PENDING</x:v>
      </x:c>
      <x:c r="AH2935" t="str">
        <x:f>IF(NOT(ISNUMBER(T2935)),"Needs supplier cost",IF(K2935&lt;&gt;"In stock","Supplier unavailable",IF(AG2935&lt;&gt;"PASS","BLOCK - GT loss risk","Commercially protected")))</x:f>
        <x:v>Needs supplier cost</x:v>
      </x:c>
      <x:c r="AI2935" t="str">
        <x:v>2026-09-10 Active Sports trade capture</x:v>
      </x:c>
      <x:c r="AJ2935" t="str">
        <x:v>Management-only economics. Stripe stress test uses 1.5% + £0.20 standard UK online-card fee; pallet/mix-and-match pricing ignored.</x:v>
      </x:c>
    </x:row>
    <x:row r="2936">
      <x:c r="A2936" t="str">
        <x:v>Active Sports Nutrition</x:v>
      </x:c>
      <x:c r="B2936" t="str">
        <x:v>Refined Nutrition</x:v>
      </x:c>
      <x:c r="C2936" t="str">
        <x:v>Ultra Creatine</x:v>
      </x:c>
      <x:c r="D2936" t="str">
        <x:v>Supplements</x:v>
      </x:c>
      <x:c r="E2936" t="str">
        <x:v>Creatine Powders</x:v>
      </x:c>
      <x:c r="F2936" t="str"/>
      <x:c r="G2936" t="str">
        <x:v>1kg</x:v>
      </x:c>
      <x:c r="H2936" t="str">
        <x:v>Unflavoured</x:v>
      </x:c>
      <x:c r="I2936" t="str"/>
      <x:c r="J2936" t="str">
        <x:v>Unit</x:v>
      </x:c>
      <x:c r="K2936" t="str">
        <x:v>Out of stock</x:v>
      </x:c>
      <x:c r="L2936" t="str">
        <x:v>2026-09-08</x:v>
      </x:c>
      <x:c r="M2936" t="str"/>
      <x:c r="N2936" t="str"/>
      <x:c r="O2936" t="str">
        <x:v>https://www.activesportstrade.co.uk/refined-nutrition-trade</x:v>
      </x:c>
      <x:c r="P2936" t="str"/>
      <x:c r="Q2936" t="str"/>
      <x:c r="R2936" t="str"/>
      <x:c r="S2936" t="str">
        <x:v>Pending genuine supplier/brand image</x:v>
      </x:c>
      <x:c r="T2936" s="54"/>
      <x:c r="U2936" s="47" t="n">
        <x:v>0.2</x:v>
      </x:c>
      <x:c r="V2936" s="54" t="str">
        <x:f>IF(ISNUMBER(T2936),T2936*(1+U2936),"")</x:f>
      </x:c>
      <x:c r="W2936" s="47" t="n">
        <x:v>0.3</x:v>
      </x:c>
      <x:c r="X2936" s="54" t="str">
        <x:f>IF(ISNUMBER(V2936),V2936/(1-W2936),"")</x:f>
      </x:c>
      <x:c r="Y2936" s="55" t="str">
        <x:f>IF(ISNUMBER(X2936),ROUNDUP(X2936,0),"")</x:f>
      </x:c>
      <x:c r="Z2936" t="str">
        <x:f>IF(ISNUMBER(T2936),"Cost captured","Awaiting trade cost")</x:f>
        <x:v>Awaiting trade cost</x:v>
      </x:c>
      <x:c r="AB2936" s="36" t="str">
        <x:f>IF(ISNUMBER(Y2936),ROUND(Y2936*0.9,2),"")</x:f>
      </x:c>
      <x:c r="AC2936" s="36" t="str">
        <x:f>IF(ISNUMBER(AB2936),ROUND(AB2936-(AB2936*0.015+0.2)-V2936,2),"")</x:f>
      </x:c>
      <x:c r="AD2936" s="36" t="str">
        <x:f>IF(ISNUMBER(Y2936),ROUND(Y2936*0.8,2),"")</x:f>
      </x:c>
      <x:c r="AE2936" s="36" t="str">
        <x:f>IF(ISNUMBER(AD2936),ROUND(AD2936*0.015+0.2,2),"")</x:f>
      </x:c>
      <x:c r="AF2936" s="36" t="str">
        <x:f>IF(ISNUMBER(AD2936),ROUND(AD2936-AE2936-V2936,2),"")</x:f>
      </x:c>
      <x:c r="AG2936" t="str">
        <x:f>IF(NOT(ISNUMBER(T2936)),"PENDING",IF(AF2936&gt;0,"PASS","FAIL"))</x:f>
        <x:v>PENDING</x:v>
      </x:c>
      <x:c r="AH2936" t="str">
        <x:f>IF(NOT(ISNUMBER(T2936)),"Needs supplier cost",IF(K2936&lt;&gt;"In stock","Supplier unavailable",IF(AG2936&lt;&gt;"PASS","BLOCK - GT loss risk","Commercially protected")))</x:f>
        <x:v>Needs supplier cost</x:v>
      </x:c>
      <x:c r="AI2936" t="str">
        <x:v>2026-09-10 Active Sports trade capture</x:v>
      </x:c>
      <x:c r="AJ2936" t="str">
        <x:v>Management-only economics. Stripe stress test uses 1.5% + £0.20 standard UK online-card fee; pallet/mix-and-match pricing ignored.</x:v>
      </x:c>
    </x:row>
    <x:row r="2937">
      <x:c r="A2937" t="str">
        <x:v>Active Sports Nutrition</x:v>
      </x:c>
      <x:c r="B2937" t="str">
        <x:v>Refined Nutrition</x:v>
      </x:c>
      <x:c r="C2937" t="str">
        <x:v>Ultra Creatine</x:v>
      </x:c>
      <x:c r="D2937" t="str">
        <x:v>Supplements</x:v>
      </x:c>
      <x:c r="E2937" t="str">
        <x:v>Creatine Powders</x:v>
      </x:c>
      <x:c r="F2937" t="str"/>
      <x:c r="G2937" t="str">
        <x:v>250g</x:v>
      </x:c>
      <x:c r="H2937" t="str">
        <x:v>Unflavoured</x:v>
      </x:c>
      <x:c r="I2937" t="str"/>
      <x:c r="J2937" t="str">
        <x:v>Unit</x:v>
      </x:c>
      <x:c r="K2937" t="str">
        <x:v>In stock</x:v>
      </x:c>
      <x:c r="L2937" t="str">
        <x:v>2026-09-08</x:v>
      </x:c>
      <x:c r="M2937" t="str"/>
      <x:c r="N2937" t="str"/>
      <x:c r="O2937" t="str">
        <x:v>https://www.activesportstrade.co.uk/refined-nutrition-trade</x:v>
      </x:c>
      <x:c r="P2937" t="str"/>
      <x:c r="Q2937" t="str"/>
      <x:c r="R2937" t="str"/>
      <x:c r="S2937" t="str">
        <x:v>Pending genuine supplier/brand image</x:v>
      </x:c>
      <x:c r="T2937" s="54"/>
      <x:c r="U2937" s="47" t="n">
        <x:v>0.2</x:v>
      </x:c>
      <x:c r="V2937" s="54" t="str">
        <x:f>IF(ISNUMBER(T2937),T2937*(1+U2937),"")</x:f>
      </x:c>
      <x:c r="W2937" s="47" t="n">
        <x:v>0.3</x:v>
      </x:c>
      <x:c r="X2937" s="54" t="str">
        <x:f>IF(ISNUMBER(V2937),V2937/(1-W2937),"")</x:f>
      </x:c>
      <x:c r="Y2937" s="55" t="str">
        <x:f>IF(ISNUMBER(X2937),ROUNDUP(X2937,0),"")</x:f>
      </x:c>
      <x:c r="Z2937" t="str">
        <x:f>IF(ISNUMBER(T2937),"Cost captured","Awaiting trade cost")</x:f>
        <x:v>Awaiting trade cost</x:v>
      </x:c>
      <x:c r="AB2937" s="36" t="str">
        <x:f>IF(ISNUMBER(Y2937),ROUND(Y2937*0.9,2),"")</x:f>
      </x:c>
      <x:c r="AC2937" s="36" t="str">
        <x:f>IF(ISNUMBER(AB2937),ROUND(AB2937-(AB2937*0.015+0.2)-V2937,2),"")</x:f>
      </x:c>
      <x:c r="AD2937" s="36" t="str">
        <x:f>IF(ISNUMBER(Y2937),ROUND(Y2937*0.8,2),"")</x:f>
      </x:c>
      <x:c r="AE2937" s="36" t="str">
        <x:f>IF(ISNUMBER(AD2937),ROUND(AD2937*0.015+0.2,2),"")</x:f>
      </x:c>
      <x:c r="AF2937" s="36" t="str">
        <x:f>IF(ISNUMBER(AD2937),ROUND(AD2937-AE2937-V2937,2),"")</x:f>
      </x:c>
      <x:c r="AG2937" t="str">
        <x:f>IF(NOT(ISNUMBER(T2937)),"PENDING",IF(AF2937&gt;0,"PASS","FAIL"))</x:f>
        <x:v>PENDING</x:v>
      </x:c>
      <x:c r="AH2937" t="str">
        <x:f>IF(NOT(ISNUMBER(T2937)),"Needs supplier cost",IF(K2937&lt;&gt;"In stock","Supplier unavailable",IF(AG2937&lt;&gt;"PASS","BLOCK - GT loss risk","Commercially protected")))</x:f>
        <x:v>Needs supplier cost</x:v>
      </x:c>
      <x:c r="AI2937" t="str">
        <x:v>2026-09-10 Active Sports trade capture</x:v>
      </x:c>
      <x:c r="AJ2937" t="str">
        <x:v>Management-only economics. Stripe stress test uses 1.5% + £0.20 standard UK online-card fee; pallet/mix-and-match pricing ignored.</x:v>
      </x:c>
    </x:row>
    <x:row r="2938">
      <x:c r="A2938" t="str">
        <x:v>Active Sports Nutrition</x:v>
      </x:c>
      <x:c r="B2938" t="str">
        <x:v>Refined Nutrition</x:v>
      </x:c>
      <x:c r="C2938" t="str">
        <x:v>Ultra Creatine</x:v>
      </x:c>
      <x:c r="D2938" t="str">
        <x:v>Supplements</x:v>
      </x:c>
      <x:c r="E2938" t="str">
        <x:v>Creatine Powders</x:v>
      </x:c>
      <x:c r="F2938" t="str"/>
      <x:c r="G2938" t="str">
        <x:v>300g</x:v>
      </x:c>
      <x:c r="H2938" t="str">
        <x:v>Unflavoured</x:v>
      </x:c>
      <x:c r="I2938" t="str"/>
      <x:c r="J2938" t="str">
        <x:v>Unit</x:v>
      </x:c>
      <x:c r="K2938" t="str">
        <x:v>In stock</x:v>
      </x:c>
      <x:c r="L2938" t="str">
        <x:v>2026-09-08</x:v>
      </x:c>
      <x:c r="M2938" t="str"/>
      <x:c r="N2938" t="str"/>
      <x:c r="O2938" t="str">
        <x:v>https://www.activesportstrade.co.uk/refined-nutrition-trade</x:v>
      </x:c>
      <x:c r="P2938" t="str"/>
      <x:c r="Q2938" t="str"/>
      <x:c r="R2938" t="str"/>
      <x:c r="S2938" t="str">
        <x:v>Pending genuine supplier/brand image</x:v>
      </x:c>
      <x:c r="T2938" s="54"/>
      <x:c r="U2938" s="47" t="n">
        <x:v>0.2</x:v>
      </x:c>
      <x:c r="V2938" s="54" t="str">
        <x:f>IF(ISNUMBER(T2938),T2938*(1+U2938),"")</x:f>
      </x:c>
      <x:c r="W2938" s="47" t="n">
        <x:v>0.3</x:v>
      </x:c>
      <x:c r="X2938" s="54" t="str">
        <x:f>IF(ISNUMBER(V2938),V2938/(1-W2938),"")</x:f>
      </x:c>
      <x:c r="Y2938" s="55" t="str">
        <x:f>IF(ISNUMBER(X2938),ROUNDUP(X2938,0),"")</x:f>
      </x:c>
      <x:c r="Z2938" t="str">
        <x:f>IF(ISNUMBER(T2938),"Cost captured","Awaiting trade cost")</x:f>
        <x:v>Awaiting trade cost</x:v>
      </x:c>
      <x:c r="AB2938" s="36" t="str">
        <x:f>IF(ISNUMBER(Y2938),ROUND(Y2938*0.9,2),"")</x:f>
      </x:c>
      <x:c r="AC2938" s="36" t="str">
        <x:f>IF(ISNUMBER(AB2938),ROUND(AB2938-(AB2938*0.015+0.2)-V2938,2),"")</x:f>
      </x:c>
      <x:c r="AD2938" s="36" t="str">
        <x:f>IF(ISNUMBER(Y2938),ROUND(Y2938*0.8,2),"")</x:f>
      </x:c>
      <x:c r="AE2938" s="36" t="str">
        <x:f>IF(ISNUMBER(AD2938),ROUND(AD2938*0.015+0.2,2),"")</x:f>
      </x:c>
      <x:c r="AF2938" s="36" t="str">
        <x:f>IF(ISNUMBER(AD2938),ROUND(AD2938-AE2938-V2938,2),"")</x:f>
      </x:c>
      <x:c r="AG2938" t="str">
        <x:f>IF(NOT(ISNUMBER(T2938)),"PENDING",IF(AF2938&gt;0,"PASS","FAIL"))</x:f>
        <x:v>PENDING</x:v>
      </x:c>
      <x:c r="AH2938" t="str">
        <x:f>IF(NOT(ISNUMBER(T2938)),"Needs supplier cost",IF(K2938&lt;&gt;"In stock","Supplier unavailable",IF(AG2938&lt;&gt;"PASS","BLOCK - GT loss risk","Commercially protected")))</x:f>
        <x:v>Needs supplier cost</x:v>
      </x:c>
      <x:c r="AI2938" t="str">
        <x:v>2026-09-10 Active Sports trade capture</x:v>
      </x:c>
      <x:c r="AJ2938" t="str">
        <x:v>Management-only economics. Stripe stress test uses 1.5% + £0.20 standard UK online-card fee; pallet/mix-and-match pricing ignored.</x:v>
      </x:c>
    </x:row>
    <x:row r="2939">
      <x:c r="A2939" t="str">
        <x:v>Active Sports Nutrition</x:v>
      </x:c>
      <x:c r="B2939" t="str">
        <x:v>Refined Nutrition</x:v>
      </x:c>
      <x:c r="C2939" t="str">
        <x:v>Ultra Creatine</x:v>
      </x:c>
      <x:c r="D2939" t="str">
        <x:v>Supplements</x:v>
      </x:c>
      <x:c r="E2939" t="str">
        <x:v>Creatine Powders</x:v>
      </x:c>
      <x:c r="F2939" t="str"/>
      <x:c r="G2939" t="str">
        <x:v>500g</x:v>
      </x:c>
      <x:c r="H2939" t="str">
        <x:v>Unflavoured</x:v>
      </x:c>
      <x:c r="I2939" t="str"/>
      <x:c r="J2939" t="str">
        <x:v>Unit</x:v>
      </x:c>
      <x:c r="K2939" t="str">
        <x:v>In stock</x:v>
      </x:c>
      <x:c r="L2939" t="str">
        <x:v>2026-09-08</x:v>
      </x:c>
      <x:c r="M2939" t="str"/>
      <x:c r="N2939" t="str"/>
      <x:c r="O2939" t="str">
        <x:v>https://www.activesportstrade.co.uk/refined-nutrition-trade</x:v>
      </x:c>
      <x:c r="P2939" t="str"/>
      <x:c r="Q2939" t="str"/>
      <x:c r="R2939" t="str"/>
      <x:c r="S2939" t="str">
        <x:v>Pending genuine supplier/brand image</x:v>
      </x:c>
      <x:c r="T2939" s="54"/>
      <x:c r="U2939" s="47" t="n">
        <x:v>0.2</x:v>
      </x:c>
      <x:c r="V2939" s="54" t="str">
        <x:f>IF(ISNUMBER(T2939),T2939*(1+U2939),"")</x:f>
      </x:c>
      <x:c r="W2939" s="47" t="n">
        <x:v>0.3</x:v>
      </x:c>
      <x:c r="X2939" s="54" t="str">
        <x:f>IF(ISNUMBER(V2939),V2939/(1-W2939),"")</x:f>
      </x:c>
      <x:c r="Y2939" s="55" t="str">
        <x:f>IF(ISNUMBER(X2939),ROUNDUP(X2939,0),"")</x:f>
      </x:c>
      <x:c r="Z2939" t="str">
        <x:f>IF(ISNUMBER(T2939),"Cost captured","Awaiting trade cost")</x:f>
        <x:v>Awaiting trade cost</x:v>
      </x:c>
      <x:c r="AB2939" s="36" t="str">
        <x:f>IF(ISNUMBER(Y2939),ROUND(Y2939*0.9,2),"")</x:f>
      </x:c>
      <x:c r="AC2939" s="36" t="str">
        <x:f>IF(ISNUMBER(AB2939),ROUND(AB2939-(AB2939*0.015+0.2)-V2939,2),"")</x:f>
      </x:c>
      <x:c r="AD2939" s="36" t="str">
        <x:f>IF(ISNUMBER(Y2939),ROUND(Y2939*0.8,2),"")</x:f>
      </x:c>
      <x:c r="AE2939" s="36" t="str">
        <x:f>IF(ISNUMBER(AD2939),ROUND(AD2939*0.015+0.2,2),"")</x:f>
      </x:c>
      <x:c r="AF2939" s="36" t="str">
        <x:f>IF(ISNUMBER(AD2939),ROUND(AD2939-AE2939-V2939,2),"")</x:f>
      </x:c>
      <x:c r="AG2939" t="str">
        <x:f>IF(NOT(ISNUMBER(T2939)),"PENDING",IF(AF2939&gt;0,"PASS","FAIL"))</x:f>
        <x:v>PENDING</x:v>
      </x:c>
      <x:c r="AH2939" t="str">
        <x:f>IF(NOT(ISNUMBER(T2939)),"Needs supplier cost",IF(K2939&lt;&gt;"In stock","Supplier unavailable",IF(AG2939&lt;&gt;"PASS","BLOCK - GT loss risk","Commercially protected")))</x:f>
        <x:v>Needs supplier cost</x:v>
      </x:c>
      <x:c r="AI2939" t="str">
        <x:v>2026-09-10 Active Sports trade capture</x:v>
      </x:c>
      <x:c r="AJ2939" t="str">
        <x:v>Management-only economics. Stripe stress test uses 1.5% + £0.20 standard UK online-card fee; pallet/mix-and-match pricing ignored.</x:v>
      </x:c>
    </x:row>
    <x:row r="2940">
      <x:c r="A2940" t="str">
        <x:v>Active Sports Nutrition</x:v>
      </x:c>
      <x:c r="B2940" t="str">
        <x:v>Refined Nutrition</x:v>
      </x:c>
      <x:c r="C2940" t="str">
        <x:v>Ultra EAA</x:v>
      </x:c>
      <x:c r="D2940" t="str">
        <x:v>Supplements</x:v>
      </x:c>
      <x:c r="E2940" t="str">
        <x:v>EAA</x:v>
      </x:c>
      <x:c r="F2940" t="str"/>
      <x:c r="G2940" t="str">
        <x:v>300g</x:v>
      </x:c>
      <x:c r="H2940" t="str">
        <x:v>American Grape</x:v>
      </x:c>
      <x:c r="I2940" t="str"/>
      <x:c r="J2940" t="str">
        <x:v>Unit</x:v>
      </x:c>
      <x:c r="K2940" t="str">
        <x:v>Out of stock</x:v>
      </x:c>
      <x:c r="L2940" t="str">
        <x:v>2026-09-08</x:v>
      </x:c>
      <x:c r="M2940" t="str"/>
      <x:c r="N2940" t="str"/>
      <x:c r="O2940" t="str">
        <x:v>https://www.activesportstrade.co.uk/refined-nutrition-trade</x:v>
      </x:c>
      <x:c r="P2940" t="str"/>
      <x:c r="Q2940" t="str"/>
      <x:c r="R2940" t="str"/>
      <x:c r="S2940" t="str">
        <x:v>Pending genuine supplier/brand image</x:v>
      </x:c>
      <x:c r="T2940" s="54"/>
      <x:c r="U2940" s="47" t="n">
        <x:v>0.2</x:v>
      </x:c>
      <x:c r="V2940" s="54" t="str">
        <x:f>IF(ISNUMBER(T2940),T2940*(1+U2940),"")</x:f>
      </x:c>
      <x:c r="W2940" s="47" t="n">
        <x:v>0.3</x:v>
      </x:c>
      <x:c r="X2940" s="54" t="str">
        <x:f>IF(ISNUMBER(V2940),V2940/(1-W2940),"")</x:f>
      </x:c>
      <x:c r="Y2940" s="55" t="str">
        <x:f>IF(ISNUMBER(X2940),ROUNDUP(X2940,0),"")</x:f>
      </x:c>
      <x:c r="Z2940" t="str">
        <x:f>IF(ISNUMBER(T2940),"Cost captured","Awaiting trade cost")</x:f>
        <x:v>Awaiting trade cost</x:v>
      </x:c>
      <x:c r="AB2940" s="36" t="str">
        <x:f>IF(ISNUMBER(Y2940),ROUND(Y2940*0.9,2),"")</x:f>
      </x:c>
      <x:c r="AC2940" s="36" t="str">
        <x:f>IF(ISNUMBER(AB2940),ROUND(AB2940-(AB2940*0.015+0.2)-V2940,2),"")</x:f>
      </x:c>
      <x:c r="AD2940" s="36" t="str">
        <x:f>IF(ISNUMBER(Y2940),ROUND(Y2940*0.8,2),"")</x:f>
      </x:c>
      <x:c r="AE2940" s="36" t="str">
        <x:f>IF(ISNUMBER(AD2940),ROUND(AD2940*0.015+0.2,2),"")</x:f>
      </x:c>
      <x:c r="AF2940" s="36" t="str">
        <x:f>IF(ISNUMBER(AD2940),ROUND(AD2940-AE2940-V2940,2),"")</x:f>
      </x:c>
      <x:c r="AG2940" t="str">
        <x:f>IF(NOT(ISNUMBER(T2940)),"PENDING",IF(AF2940&gt;0,"PASS","FAIL"))</x:f>
        <x:v>PENDING</x:v>
      </x:c>
      <x:c r="AH2940" t="str">
        <x:f>IF(NOT(ISNUMBER(T2940)),"Needs supplier cost",IF(K2940&lt;&gt;"In stock","Supplier unavailable",IF(AG2940&lt;&gt;"PASS","BLOCK - GT loss risk","Commercially protected")))</x:f>
        <x:v>Needs supplier cost</x:v>
      </x:c>
      <x:c r="AI2940" t="str">
        <x:v>2026-09-10 Active Sports trade capture</x:v>
      </x:c>
      <x:c r="AJ2940" t="str">
        <x:v>Management-only economics. Stripe stress test uses 1.5% + £0.20 standard UK online-card fee; pallet/mix-and-match pricing ignored.</x:v>
      </x:c>
    </x:row>
    <x:row r="2941">
      <x:c r="A2941" t="str">
        <x:v>Active Sports Nutrition</x:v>
      </x:c>
      <x:c r="B2941" t="str">
        <x:v>Refined Nutrition</x:v>
      </x:c>
      <x:c r="C2941" t="str">
        <x:v>Ultra EAA</x:v>
      </x:c>
      <x:c r="D2941" t="str">
        <x:v>Supplements</x:v>
      </x:c>
      <x:c r="E2941" t="str">
        <x:v>EAA</x:v>
      </x:c>
      <x:c r="F2941" t="str"/>
      <x:c r="G2941" t="str">
        <x:v>300g</x:v>
      </x:c>
      <x:c r="H2941" t="str">
        <x:v>Cherryade</x:v>
      </x:c>
      <x:c r="I2941" t="str"/>
      <x:c r="J2941" t="str">
        <x:v>Unit</x:v>
      </x:c>
      <x:c r="K2941" t="str">
        <x:v>In stock</x:v>
      </x:c>
      <x:c r="L2941" t="str">
        <x:v>2026-09-08</x:v>
      </x:c>
      <x:c r="M2941" t="str"/>
      <x:c r="N2941" t="str"/>
      <x:c r="O2941" t="str">
        <x:v>https://www.activesportstrade.co.uk/refined-nutrition-trade</x:v>
      </x:c>
      <x:c r="P2941" t="str"/>
      <x:c r="Q2941" t="str"/>
      <x:c r="R2941" t="str"/>
      <x:c r="S2941" t="str">
        <x:v>Pending genuine supplier/brand image</x:v>
      </x:c>
      <x:c r="T2941" s="54"/>
      <x:c r="U2941" s="47" t="n">
        <x:v>0.2</x:v>
      </x:c>
      <x:c r="V2941" s="54" t="str">
        <x:f>IF(ISNUMBER(T2941),T2941*(1+U2941),"")</x:f>
      </x:c>
      <x:c r="W2941" s="47" t="n">
        <x:v>0.3</x:v>
      </x:c>
      <x:c r="X2941" s="54" t="str">
        <x:f>IF(ISNUMBER(V2941),V2941/(1-W2941),"")</x:f>
      </x:c>
      <x:c r="Y2941" s="55" t="str">
        <x:f>IF(ISNUMBER(X2941),ROUNDUP(X2941,0),"")</x:f>
      </x:c>
      <x:c r="Z2941" t="str">
        <x:f>IF(ISNUMBER(T2941),"Cost captured","Awaiting trade cost")</x:f>
        <x:v>Awaiting trade cost</x:v>
      </x:c>
      <x:c r="AB2941" s="36" t="str">
        <x:f>IF(ISNUMBER(Y2941),ROUND(Y2941*0.9,2),"")</x:f>
      </x:c>
      <x:c r="AC2941" s="36" t="str">
        <x:f>IF(ISNUMBER(AB2941),ROUND(AB2941-(AB2941*0.015+0.2)-V2941,2),"")</x:f>
      </x:c>
      <x:c r="AD2941" s="36" t="str">
        <x:f>IF(ISNUMBER(Y2941),ROUND(Y2941*0.8,2),"")</x:f>
      </x:c>
      <x:c r="AE2941" s="36" t="str">
        <x:f>IF(ISNUMBER(AD2941),ROUND(AD2941*0.015+0.2,2),"")</x:f>
      </x:c>
      <x:c r="AF2941" s="36" t="str">
        <x:f>IF(ISNUMBER(AD2941),ROUND(AD2941-AE2941-V2941,2),"")</x:f>
      </x:c>
      <x:c r="AG2941" t="str">
        <x:f>IF(NOT(ISNUMBER(T2941)),"PENDING",IF(AF2941&gt;0,"PASS","FAIL"))</x:f>
        <x:v>PENDING</x:v>
      </x:c>
      <x:c r="AH2941" t="str">
        <x:f>IF(NOT(ISNUMBER(T2941)),"Needs supplier cost",IF(K2941&lt;&gt;"In stock","Supplier unavailable",IF(AG2941&lt;&gt;"PASS","BLOCK - GT loss risk","Commercially protected")))</x:f>
        <x:v>Needs supplier cost</x:v>
      </x:c>
      <x:c r="AI2941" t="str">
        <x:v>2026-09-10 Active Sports trade capture</x:v>
      </x:c>
      <x:c r="AJ2941" t="str">
        <x:v>Management-only economics. Stripe stress test uses 1.5% + £0.20 standard UK online-card fee; pallet/mix-and-match pricing ignored.</x:v>
      </x:c>
    </x:row>
    <x:row r="2942">
      <x:c r="A2942" t="str">
        <x:v>Active Sports Nutrition</x:v>
      </x:c>
      <x:c r="B2942" t="str">
        <x:v>Refined Nutrition</x:v>
      </x:c>
      <x:c r="C2942" t="str">
        <x:v>Ultra EAA</x:v>
      </x:c>
      <x:c r="D2942" t="str">
        <x:v>Supplements</x:v>
      </x:c>
      <x:c r="E2942" t="str">
        <x:v>EAA</x:v>
      </x:c>
      <x:c r="F2942" t="str"/>
      <x:c r="G2942" t="str">
        <x:v>300g</x:v>
      </x:c>
      <x:c r="H2942" t="str">
        <x:v>Crazy Cola</x:v>
      </x:c>
      <x:c r="I2942" t="str"/>
      <x:c r="J2942" t="str">
        <x:v>Unit</x:v>
      </x:c>
      <x:c r="K2942" t="str">
        <x:v>In stock</x:v>
      </x:c>
      <x:c r="L2942" t="str">
        <x:v>2026-09-08</x:v>
      </x:c>
      <x:c r="M2942" t="str"/>
      <x:c r="N2942" t="str"/>
      <x:c r="O2942" t="str">
        <x:v>https://www.activesportstrade.co.uk/refined-nutrition-trade</x:v>
      </x:c>
      <x:c r="P2942" t="str"/>
      <x:c r="Q2942" t="str"/>
      <x:c r="R2942" t="str"/>
      <x:c r="S2942" t="str">
        <x:v>Pending genuine supplier/brand image</x:v>
      </x:c>
      <x:c r="T2942" s="54"/>
      <x:c r="U2942" s="47" t="n">
        <x:v>0.2</x:v>
      </x:c>
      <x:c r="V2942" s="54" t="str">
        <x:f>IF(ISNUMBER(T2942),T2942*(1+U2942),"")</x:f>
      </x:c>
      <x:c r="W2942" s="47" t="n">
        <x:v>0.3</x:v>
      </x:c>
      <x:c r="X2942" s="54" t="str">
        <x:f>IF(ISNUMBER(V2942),V2942/(1-W2942),"")</x:f>
      </x:c>
      <x:c r="Y2942" s="55" t="str">
        <x:f>IF(ISNUMBER(X2942),ROUNDUP(X2942,0),"")</x:f>
      </x:c>
      <x:c r="Z2942" t="str">
        <x:f>IF(ISNUMBER(T2942),"Cost captured","Awaiting trade cost")</x:f>
        <x:v>Awaiting trade cost</x:v>
      </x:c>
      <x:c r="AB2942" s="36" t="str">
        <x:f>IF(ISNUMBER(Y2942),ROUND(Y2942*0.9,2),"")</x:f>
      </x:c>
      <x:c r="AC2942" s="36" t="str">
        <x:f>IF(ISNUMBER(AB2942),ROUND(AB2942-(AB2942*0.015+0.2)-V2942,2),"")</x:f>
      </x:c>
      <x:c r="AD2942" s="36" t="str">
        <x:f>IF(ISNUMBER(Y2942),ROUND(Y2942*0.8,2),"")</x:f>
      </x:c>
      <x:c r="AE2942" s="36" t="str">
        <x:f>IF(ISNUMBER(AD2942),ROUND(AD2942*0.015+0.2,2),"")</x:f>
      </x:c>
      <x:c r="AF2942" s="36" t="str">
        <x:f>IF(ISNUMBER(AD2942),ROUND(AD2942-AE2942-V2942,2),"")</x:f>
      </x:c>
      <x:c r="AG2942" t="str">
        <x:f>IF(NOT(ISNUMBER(T2942)),"PENDING",IF(AF2942&gt;0,"PASS","FAIL"))</x:f>
        <x:v>PENDING</x:v>
      </x:c>
      <x:c r="AH2942" t="str">
        <x:f>IF(NOT(ISNUMBER(T2942)),"Needs supplier cost",IF(K2942&lt;&gt;"In stock","Supplier unavailable",IF(AG2942&lt;&gt;"PASS","BLOCK - GT loss risk","Commercially protected")))</x:f>
        <x:v>Needs supplier cost</x:v>
      </x:c>
      <x:c r="AI2942" t="str">
        <x:v>2026-09-10 Active Sports trade capture</x:v>
      </x:c>
      <x:c r="AJ2942" t="str">
        <x:v>Management-only economics. Stripe stress test uses 1.5% + £0.20 standard UK online-card fee; pallet/mix-and-match pricing ignored.</x:v>
      </x:c>
    </x:row>
    <x:row r="2943">
      <x:c r="A2943" t="str">
        <x:v>Active Sports Nutrition</x:v>
      </x:c>
      <x:c r="B2943" t="str">
        <x:v>Refined Nutrition</x:v>
      </x:c>
      <x:c r="C2943" t="str">
        <x:v>Ultra EAA</x:v>
      </x:c>
      <x:c r="D2943" t="str">
        <x:v>Supplements</x:v>
      </x:c>
      <x:c r="E2943" t="str">
        <x:v>EAA</x:v>
      </x:c>
      <x:c r="F2943" t="str"/>
      <x:c r="G2943" t="str">
        <x:v>300g</x:v>
      </x:c>
      <x:c r="H2943" t="str">
        <x:v>Energy</x:v>
      </x:c>
      <x:c r="I2943" t="str"/>
      <x:c r="J2943" t="str">
        <x:v>Unit</x:v>
      </x:c>
      <x:c r="K2943" t="str">
        <x:v>In stock</x:v>
      </x:c>
      <x:c r="L2943" t="str">
        <x:v>2026-09-08</x:v>
      </x:c>
      <x:c r="M2943" t="str"/>
      <x:c r="N2943" t="str"/>
      <x:c r="O2943" t="str">
        <x:v>https://www.activesportstrade.co.uk/refined-nutrition-trade</x:v>
      </x:c>
      <x:c r="P2943" t="str"/>
      <x:c r="Q2943" t="str"/>
      <x:c r="R2943" t="str"/>
      <x:c r="S2943" t="str">
        <x:v>Pending genuine supplier/brand image</x:v>
      </x:c>
      <x:c r="T2943" s="54"/>
      <x:c r="U2943" s="47" t="n">
        <x:v>0.2</x:v>
      </x:c>
      <x:c r="V2943" s="54" t="str">
        <x:f>IF(ISNUMBER(T2943),T2943*(1+U2943),"")</x:f>
      </x:c>
      <x:c r="W2943" s="47" t="n">
        <x:v>0.3</x:v>
      </x:c>
      <x:c r="X2943" s="54" t="str">
        <x:f>IF(ISNUMBER(V2943),V2943/(1-W2943),"")</x:f>
      </x:c>
      <x:c r="Y2943" s="55" t="str">
        <x:f>IF(ISNUMBER(X2943),ROUNDUP(X2943,0),"")</x:f>
      </x:c>
      <x:c r="Z2943" t="str">
        <x:f>IF(ISNUMBER(T2943),"Cost captured","Awaiting trade cost")</x:f>
        <x:v>Awaiting trade cost</x:v>
      </x:c>
      <x:c r="AB2943" s="36" t="str">
        <x:f>IF(ISNUMBER(Y2943),ROUND(Y2943*0.9,2),"")</x:f>
      </x:c>
      <x:c r="AC2943" s="36" t="str">
        <x:f>IF(ISNUMBER(AB2943),ROUND(AB2943-(AB2943*0.015+0.2)-V2943,2),"")</x:f>
      </x:c>
      <x:c r="AD2943" s="36" t="str">
        <x:f>IF(ISNUMBER(Y2943),ROUND(Y2943*0.8,2),"")</x:f>
      </x:c>
      <x:c r="AE2943" s="36" t="str">
        <x:f>IF(ISNUMBER(AD2943),ROUND(AD2943*0.015+0.2,2),"")</x:f>
      </x:c>
      <x:c r="AF2943" s="36" t="str">
        <x:f>IF(ISNUMBER(AD2943),ROUND(AD2943-AE2943-V2943,2),"")</x:f>
      </x:c>
      <x:c r="AG2943" t="str">
        <x:f>IF(NOT(ISNUMBER(T2943)),"PENDING",IF(AF2943&gt;0,"PASS","FAIL"))</x:f>
        <x:v>PENDING</x:v>
      </x:c>
      <x:c r="AH2943" t="str">
        <x:f>IF(NOT(ISNUMBER(T2943)),"Needs supplier cost",IF(K2943&lt;&gt;"In stock","Supplier unavailable",IF(AG2943&lt;&gt;"PASS","BLOCK - GT loss risk","Commercially protected")))</x:f>
        <x:v>Needs supplier cost</x:v>
      </x:c>
      <x:c r="AI2943" t="str">
        <x:v>2026-09-10 Active Sports trade capture</x:v>
      </x:c>
      <x:c r="AJ2943" t="str">
        <x:v>Management-only economics. Stripe stress test uses 1.5% + £0.20 standard UK online-card fee; pallet/mix-and-match pricing ignored.</x:v>
      </x:c>
    </x:row>
    <x:row r="2944">
      <x:c r="A2944" t="str">
        <x:v>Active Sports Nutrition</x:v>
      </x:c>
      <x:c r="B2944" t="str">
        <x:v>Refined Nutrition</x:v>
      </x:c>
      <x:c r="C2944" t="str">
        <x:v>Ultra EAA</x:v>
      </x:c>
      <x:c r="D2944" t="str">
        <x:v>Supplements</x:v>
      </x:c>
      <x:c r="E2944" t="str">
        <x:v>EAA</x:v>
      </x:c>
      <x:c r="F2944" t="str"/>
      <x:c r="G2944" t="str">
        <x:v>300g</x:v>
      </x:c>
      <x:c r="H2944" t="str">
        <x:v>Fantastic Orange</x:v>
      </x:c>
      <x:c r="I2944" t="str"/>
      <x:c r="J2944" t="str">
        <x:v>Unit</x:v>
      </x:c>
      <x:c r="K2944" t="str">
        <x:v>In stock</x:v>
      </x:c>
      <x:c r="L2944" t="str">
        <x:v>2026-09-08</x:v>
      </x:c>
      <x:c r="M2944" t="str"/>
      <x:c r="N2944" t="str"/>
      <x:c r="O2944" t="str">
        <x:v>https://www.activesportstrade.co.uk/refined-nutrition-trade</x:v>
      </x:c>
      <x:c r="P2944" t="str"/>
      <x:c r="Q2944" t="str"/>
      <x:c r="R2944" t="str"/>
      <x:c r="S2944" t="str">
        <x:v>Pending genuine supplier/brand image</x:v>
      </x:c>
      <x:c r="T2944" s="54"/>
      <x:c r="U2944" s="47" t="n">
        <x:v>0.2</x:v>
      </x:c>
      <x:c r="V2944" s="54" t="str">
        <x:f>IF(ISNUMBER(T2944),T2944*(1+U2944),"")</x:f>
      </x:c>
      <x:c r="W2944" s="47" t="n">
        <x:v>0.3</x:v>
      </x:c>
      <x:c r="X2944" s="54" t="str">
        <x:f>IF(ISNUMBER(V2944),V2944/(1-W2944),"")</x:f>
      </x:c>
      <x:c r="Y2944" s="55" t="str">
        <x:f>IF(ISNUMBER(X2944),ROUNDUP(X2944,0),"")</x:f>
      </x:c>
      <x:c r="Z2944" t="str">
        <x:f>IF(ISNUMBER(T2944),"Cost captured","Awaiting trade cost")</x:f>
        <x:v>Awaiting trade cost</x:v>
      </x:c>
      <x:c r="AB2944" s="36" t="str">
        <x:f>IF(ISNUMBER(Y2944),ROUND(Y2944*0.9,2),"")</x:f>
      </x:c>
      <x:c r="AC2944" s="36" t="str">
        <x:f>IF(ISNUMBER(AB2944),ROUND(AB2944-(AB2944*0.015+0.2)-V2944,2),"")</x:f>
      </x:c>
      <x:c r="AD2944" s="36" t="str">
        <x:f>IF(ISNUMBER(Y2944),ROUND(Y2944*0.8,2),"")</x:f>
      </x:c>
      <x:c r="AE2944" s="36" t="str">
        <x:f>IF(ISNUMBER(AD2944),ROUND(AD2944*0.015+0.2,2),"")</x:f>
      </x:c>
      <x:c r="AF2944" s="36" t="str">
        <x:f>IF(ISNUMBER(AD2944),ROUND(AD2944-AE2944-V2944,2),"")</x:f>
      </x:c>
      <x:c r="AG2944" t="str">
        <x:f>IF(NOT(ISNUMBER(T2944)),"PENDING",IF(AF2944&gt;0,"PASS","FAIL"))</x:f>
        <x:v>PENDING</x:v>
      </x:c>
      <x:c r="AH2944" t="str">
        <x:f>IF(NOT(ISNUMBER(T2944)),"Needs supplier cost",IF(K2944&lt;&gt;"In stock","Supplier unavailable",IF(AG2944&lt;&gt;"PASS","BLOCK - GT loss risk","Commercially protected")))</x:f>
        <x:v>Needs supplier cost</x:v>
      </x:c>
      <x:c r="AI2944" t="str">
        <x:v>2026-09-10 Active Sports trade capture</x:v>
      </x:c>
      <x:c r="AJ2944" t="str">
        <x:v>Management-only economics. Stripe stress test uses 1.5% + £0.20 standard UK online-card fee; pallet/mix-and-match pricing ignored.</x:v>
      </x:c>
    </x:row>
    <x:row r="2945">
      <x:c r="A2945" t="str">
        <x:v>Active Sports Nutrition</x:v>
      </x:c>
      <x:c r="B2945" t="str">
        <x:v>Refined Nutrition</x:v>
      </x:c>
      <x:c r="C2945" t="str">
        <x:v>Ultra EAA</x:v>
      </x:c>
      <x:c r="D2945" t="str">
        <x:v>Supplements</x:v>
      </x:c>
      <x:c r="E2945" t="str">
        <x:v>EAA</x:v>
      </x:c>
      <x:c r="F2945" t="str"/>
      <x:c r="G2945" t="str">
        <x:v>300g</x:v>
      </x:c>
      <x:c r="H2945" t="str">
        <x:v>Green Apple</x:v>
      </x:c>
      <x:c r="I2945" t="str"/>
      <x:c r="J2945" t="str">
        <x:v>Unit</x:v>
      </x:c>
      <x:c r="K2945" t="str">
        <x:v>In stock</x:v>
      </x:c>
      <x:c r="L2945" t="str">
        <x:v>2026-09-08</x:v>
      </x:c>
      <x:c r="M2945" t="str"/>
      <x:c r="N2945" t="str"/>
      <x:c r="O2945" t="str">
        <x:v>https://www.activesportstrade.co.uk/refined-nutrition-trade</x:v>
      </x:c>
      <x:c r="P2945" t="str"/>
      <x:c r="Q2945" t="str"/>
      <x:c r="R2945" t="str"/>
      <x:c r="S2945" t="str">
        <x:v>Pending genuine supplier/brand image</x:v>
      </x:c>
      <x:c r="T2945" s="54"/>
      <x:c r="U2945" s="47" t="n">
        <x:v>0.2</x:v>
      </x:c>
      <x:c r="V2945" s="54" t="str">
        <x:f>IF(ISNUMBER(T2945),T2945*(1+U2945),"")</x:f>
      </x:c>
      <x:c r="W2945" s="47" t="n">
        <x:v>0.3</x:v>
      </x:c>
      <x:c r="X2945" s="54" t="str">
        <x:f>IF(ISNUMBER(V2945),V2945/(1-W2945),"")</x:f>
      </x:c>
      <x:c r="Y2945" s="55" t="str">
        <x:f>IF(ISNUMBER(X2945),ROUNDUP(X2945,0),"")</x:f>
      </x:c>
      <x:c r="Z2945" t="str">
        <x:f>IF(ISNUMBER(T2945),"Cost captured","Awaiting trade cost")</x:f>
        <x:v>Awaiting trade cost</x:v>
      </x:c>
      <x:c r="AB2945" s="36" t="str">
        <x:f>IF(ISNUMBER(Y2945),ROUND(Y2945*0.9,2),"")</x:f>
      </x:c>
      <x:c r="AC2945" s="36" t="str">
        <x:f>IF(ISNUMBER(AB2945),ROUND(AB2945-(AB2945*0.015+0.2)-V2945,2),"")</x:f>
      </x:c>
      <x:c r="AD2945" s="36" t="str">
        <x:f>IF(ISNUMBER(Y2945),ROUND(Y2945*0.8,2),"")</x:f>
      </x:c>
      <x:c r="AE2945" s="36" t="str">
        <x:f>IF(ISNUMBER(AD2945),ROUND(AD2945*0.015+0.2,2),"")</x:f>
      </x:c>
      <x:c r="AF2945" s="36" t="str">
        <x:f>IF(ISNUMBER(AD2945),ROUND(AD2945-AE2945-V2945,2),"")</x:f>
      </x:c>
      <x:c r="AG2945" t="str">
        <x:f>IF(NOT(ISNUMBER(T2945)),"PENDING",IF(AF2945&gt;0,"PASS","FAIL"))</x:f>
        <x:v>PENDING</x:v>
      </x:c>
      <x:c r="AH2945" t="str">
        <x:f>IF(NOT(ISNUMBER(T2945)),"Needs supplier cost",IF(K2945&lt;&gt;"In stock","Supplier unavailable",IF(AG2945&lt;&gt;"PASS","BLOCK - GT loss risk","Commercially protected")))</x:f>
        <x:v>Needs supplier cost</x:v>
      </x:c>
      <x:c r="AI2945" t="str">
        <x:v>2026-09-10 Active Sports trade capture</x:v>
      </x:c>
      <x:c r="AJ2945" t="str">
        <x:v>Management-only economics. Stripe stress test uses 1.5% + £0.20 standard UK online-card fee; pallet/mix-and-match pricing ignored.</x:v>
      </x:c>
    </x:row>
    <x:row r="2946">
      <x:c r="A2946" t="str">
        <x:v>Active Sports Nutrition</x:v>
      </x:c>
      <x:c r="B2946" t="str">
        <x:v>Refined Nutrition</x:v>
      </x:c>
      <x:c r="C2946" t="str">
        <x:v>Ultra EAA</x:v>
      </x:c>
      <x:c r="D2946" t="str">
        <x:v>Supplements</x:v>
      </x:c>
      <x:c r="E2946" t="str">
        <x:v>EAA</x:v>
      </x:c>
      <x:c r="F2946" t="str"/>
      <x:c r="G2946" t="str">
        <x:v>300g</x:v>
      </x:c>
      <x:c r="H2946" t="str">
        <x:v>Icy Blue Raspberry</x:v>
      </x:c>
      <x:c r="I2946" t="str"/>
      <x:c r="J2946" t="str">
        <x:v>Unit</x:v>
      </x:c>
      <x:c r="K2946" t="str">
        <x:v>In stock</x:v>
      </x:c>
      <x:c r="L2946" t="str">
        <x:v>2026-09-08</x:v>
      </x:c>
      <x:c r="M2946" t="str"/>
      <x:c r="N2946" t="str"/>
      <x:c r="O2946" t="str">
        <x:v>https://www.activesportstrade.co.uk/refined-nutrition-trade</x:v>
      </x:c>
      <x:c r="P2946" t="str"/>
      <x:c r="Q2946" t="str"/>
      <x:c r="R2946" t="str"/>
      <x:c r="S2946" t="str">
        <x:v>Pending genuine supplier/brand image</x:v>
      </x:c>
      <x:c r="T2946" s="54"/>
      <x:c r="U2946" s="47" t="n">
        <x:v>0.2</x:v>
      </x:c>
      <x:c r="V2946" s="54" t="str">
        <x:f>IF(ISNUMBER(T2946),T2946*(1+U2946),"")</x:f>
      </x:c>
      <x:c r="W2946" s="47" t="n">
        <x:v>0.3</x:v>
      </x:c>
      <x:c r="X2946" s="54" t="str">
        <x:f>IF(ISNUMBER(V2946),V2946/(1-W2946),"")</x:f>
      </x:c>
      <x:c r="Y2946" s="55" t="str">
        <x:f>IF(ISNUMBER(X2946),ROUNDUP(X2946,0),"")</x:f>
      </x:c>
      <x:c r="Z2946" t="str">
        <x:f>IF(ISNUMBER(T2946),"Cost captured","Awaiting trade cost")</x:f>
        <x:v>Awaiting trade cost</x:v>
      </x:c>
      <x:c r="AB2946" s="36" t="str">
        <x:f>IF(ISNUMBER(Y2946),ROUND(Y2946*0.9,2),"")</x:f>
      </x:c>
      <x:c r="AC2946" s="36" t="str">
        <x:f>IF(ISNUMBER(AB2946),ROUND(AB2946-(AB2946*0.015+0.2)-V2946,2),"")</x:f>
      </x:c>
      <x:c r="AD2946" s="36" t="str">
        <x:f>IF(ISNUMBER(Y2946),ROUND(Y2946*0.8,2),"")</x:f>
      </x:c>
      <x:c r="AE2946" s="36" t="str">
        <x:f>IF(ISNUMBER(AD2946),ROUND(AD2946*0.015+0.2,2),"")</x:f>
      </x:c>
      <x:c r="AF2946" s="36" t="str">
        <x:f>IF(ISNUMBER(AD2946),ROUND(AD2946-AE2946-V2946,2),"")</x:f>
      </x:c>
      <x:c r="AG2946" t="str">
        <x:f>IF(NOT(ISNUMBER(T2946)),"PENDING",IF(AF2946&gt;0,"PASS","FAIL"))</x:f>
        <x:v>PENDING</x:v>
      </x:c>
      <x:c r="AH2946" t="str">
        <x:f>IF(NOT(ISNUMBER(T2946)),"Needs supplier cost",IF(K2946&lt;&gt;"In stock","Supplier unavailable",IF(AG2946&lt;&gt;"PASS","BLOCK - GT loss risk","Commercially protected")))</x:f>
        <x:v>Needs supplier cost</x:v>
      </x:c>
      <x:c r="AI2946" t="str">
        <x:v>2026-09-10 Active Sports trade capture</x:v>
      </x:c>
      <x:c r="AJ2946" t="str">
        <x:v>Management-only economics. Stripe stress test uses 1.5% + £0.20 standard UK online-card fee; pallet/mix-and-match pricing ignored.</x:v>
      </x:c>
    </x:row>
    <x:row r="2947">
      <x:c r="A2947" t="str">
        <x:v>Active Sports Nutrition</x:v>
      </x:c>
      <x:c r="B2947" t="str">
        <x:v>Refined Nutrition</x:v>
      </x:c>
      <x:c r="C2947" t="str">
        <x:v>Ultra EAA</x:v>
      </x:c>
      <x:c r="D2947" t="str">
        <x:v>Supplements</x:v>
      </x:c>
      <x:c r="E2947" t="str">
        <x:v>EAA</x:v>
      </x:c>
      <x:c r="F2947" t="str"/>
      <x:c r="G2947" t="str">
        <x:v>300g</x:v>
      </x:c>
      <x:c r="H2947" t="str">
        <x:v>Juicy Bubblegum</x:v>
      </x:c>
      <x:c r="I2947" t="str"/>
      <x:c r="J2947" t="str">
        <x:v>Unit</x:v>
      </x:c>
      <x:c r="K2947" t="str">
        <x:v>In stock</x:v>
      </x:c>
      <x:c r="L2947" t="str">
        <x:v>2026-09-08</x:v>
      </x:c>
      <x:c r="M2947" t="str"/>
      <x:c r="N2947" t="str"/>
      <x:c r="O2947" t="str">
        <x:v>https://www.activesportstrade.co.uk/refined-nutrition-trade</x:v>
      </x:c>
      <x:c r="P2947" t="str"/>
      <x:c r="Q2947" t="str"/>
      <x:c r="R2947" t="str"/>
      <x:c r="S2947" t="str">
        <x:v>Pending genuine supplier/brand image</x:v>
      </x:c>
      <x:c r="T2947" s="54"/>
      <x:c r="U2947" s="47" t="n">
        <x:v>0.2</x:v>
      </x:c>
      <x:c r="V2947" s="54" t="str">
        <x:f>IF(ISNUMBER(T2947),T2947*(1+U2947),"")</x:f>
      </x:c>
      <x:c r="W2947" s="47" t="n">
        <x:v>0.3</x:v>
      </x:c>
      <x:c r="X2947" s="54" t="str">
        <x:f>IF(ISNUMBER(V2947),V2947/(1-W2947),"")</x:f>
      </x:c>
      <x:c r="Y2947" s="55" t="str">
        <x:f>IF(ISNUMBER(X2947),ROUNDUP(X2947,0),"")</x:f>
      </x:c>
      <x:c r="Z2947" t="str">
        <x:f>IF(ISNUMBER(T2947),"Cost captured","Awaiting trade cost")</x:f>
        <x:v>Awaiting trade cost</x:v>
      </x:c>
      <x:c r="AB2947" s="36" t="str">
        <x:f>IF(ISNUMBER(Y2947),ROUND(Y2947*0.9,2),"")</x:f>
      </x:c>
      <x:c r="AC2947" s="36" t="str">
        <x:f>IF(ISNUMBER(AB2947),ROUND(AB2947-(AB2947*0.015+0.2)-V2947,2),"")</x:f>
      </x:c>
      <x:c r="AD2947" s="36" t="str">
        <x:f>IF(ISNUMBER(Y2947),ROUND(Y2947*0.8,2),"")</x:f>
      </x:c>
      <x:c r="AE2947" s="36" t="str">
        <x:f>IF(ISNUMBER(AD2947),ROUND(AD2947*0.015+0.2,2),"")</x:f>
      </x:c>
      <x:c r="AF2947" s="36" t="str">
        <x:f>IF(ISNUMBER(AD2947),ROUND(AD2947-AE2947-V2947,2),"")</x:f>
      </x:c>
      <x:c r="AG2947" t="str">
        <x:f>IF(NOT(ISNUMBER(T2947)),"PENDING",IF(AF2947&gt;0,"PASS","FAIL"))</x:f>
        <x:v>PENDING</x:v>
      </x:c>
      <x:c r="AH2947" t="str">
        <x:f>IF(NOT(ISNUMBER(T2947)),"Needs supplier cost",IF(K2947&lt;&gt;"In stock","Supplier unavailable",IF(AG2947&lt;&gt;"PASS","BLOCK - GT loss risk","Commercially protected")))</x:f>
        <x:v>Needs supplier cost</x:v>
      </x:c>
      <x:c r="AI2947" t="str">
        <x:v>2026-09-10 Active Sports trade capture</x:v>
      </x:c>
      <x:c r="AJ2947" t="str">
        <x:v>Management-only economics. Stripe stress test uses 1.5% + £0.20 standard UK online-card fee; pallet/mix-and-match pricing ignored.</x:v>
      </x:c>
    </x:row>
    <x:row r="2948">
      <x:c r="A2948" t="str">
        <x:v>Active Sports Nutrition</x:v>
      </x:c>
      <x:c r="B2948" t="str">
        <x:v>Refined Nutrition</x:v>
      </x:c>
      <x:c r="C2948" t="str">
        <x:v>Ultra L-Carnitine</x:v>
      </x:c>
      <x:c r="D2948" t="str">
        <x:v>Supplements</x:v>
      </x:c>
      <x:c r="E2948" t="str">
        <x:v>L-Carnitine</x:v>
      </x:c>
      <x:c r="F2948" t="str"/>
      <x:c r="G2948" t="str">
        <x:v>500ml</x:v>
      </x:c>
      <x:c r="H2948" t="str">
        <x:v>Cherryade</x:v>
      </x:c>
      <x:c r="I2948" t="str"/>
      <x:c r="J2948" t="str">
        <x:v>Unit</x:v>
      </x:c>
      <x:c r="K2948" t="str">
        <x:v>In stock</x:v>
      </x:c>
      <x:c r="L2948" t="str">
        <x:v>2026-09-08</x:v>
      </x:c>
      <x:c r="M2948" t="str"/>
      <x:c r="N2948" t="str"/>
      <x:c r="O2948" t="str">
        <x:v>https://www.activesportstrade.co.uk/refined-nutrition-trade</x:v>
      </x:c>
      <x:c r="P2948" t="str"/>
      <x:c r="Q2948" t="str"/>
      <x:c r="R2948" t="str"/>
      <x:c r="S2948" t="str">
        <x:v>Pending genuine supplier/brand image</x:v>
      </x:c>
      <x:c r="T2948" s="54"/>
      <x:c r="U2948" s="47" t="n">
        <x:v>0.2</x:v>
      </x:c>
      <x:c r="V2948" s="54" t="str">
        <x:f>IF(ISNUMBER(T2948),T2948*(1+U2948),"")</x:f>
      </x:c>
      <x:c r="W2948" s="47" t="n">
        <x:v>0.3</x:v>
      </x:c>
      <x:c r="X2948" s="54" t="str">
        <x:f>IF(ISNUMBER(V2948),V2948/(1-W2948),"")</x:f>
      </x:c>
      <x:c r="Y2948" s="55" t="str">
        <x:f>IF(ISNUMBER(X2948),ROUNDUP(X2948,0),"")</x:f>
      </x:c>
      <x:c r="Z2948" t="str">
        <x:f>IF(ISNUMBER(T2948),"Cost captured","Awaiting trade cost")</x:f>
        <x:v>Awaiting trade cost</x:v>
      </x:c>
      <x:c r="AB2948" s="36" t="str">
        <x:f>IF(ISNUMBER(Y2948),ROUND(Y2948*0.9,2),"")</x:f>
      </x:c>
      <x:c r="AC2948" s="36" t="str">
        <x:f>IF(ISNUMBER(AB2948),ROUND(AB2948-(AB2948*0.015+0.2)-V2948,2),"")</x:f>
      </x:c>
      <x:c r="AD2948" s="36" t="str">
        <x:f>IF(ISNUMBER(Y2948),ROUND(Y2948*0.8,2),"")</x:f>
      </x:c>
      <x:c r="AE2948" s="36" t="str">
        <x:f>IF(ISNUMBER(AD2948),ROUND(AD2948*0.015+0.2,2),"")</x:f>
      </x:c>
      <x:c r="AF2948" s="36" t="str">
        <x:f>IF(ISNUMBER(AD2948),ROUND(AD2948-AE2948-V2948,2),"")</x:f>
      </x:c>
      <x:c r="AG2948" t="str">
        <x:f>IF(NOT(ISNUMBER(T2948)),"PENDING",IF(AF2948&gt;0,"PASS","FAIL"))</x:f>
        <x:v>PENDING</x:v>
      </x:c>
      <x:c r="AH2948" t="str">
        <x:f>IF(NOT(ISNUMBER(T2948)),"Needs supplier cost",IF(K2948&lt;&gt;"In stock","Supplier unavailable",IF(AG2948&lt;&gt;"PASS","BLOCK - GT loss risk","Commercially protected")))</x:f>
        <x:v>Needs supplier cost</x:v>
      </x:c>
      <x:c r="AI2948" t="str">
        <x:v>2026-09-10 Active Sports trade capture</x:v>
      </x:c>
      <x:c r="AJ2948" t="str">
        <x:v>Management-only economics. Stripe stress test uses 1.5% + £0.20 standard UK online-card fee; pallet/mix-and-match pricing ignored.</x:v>
      </x:c>
    </x:row>
    <x:row r="2949">
      <x:c r="A2949" t="str">
        <x:v>Active Sports Nutrition</x:v>
      </x:c>
      <x:c r="B2949" t="str">
        <x:v>Refined Nutrition</x:v>
      </x:c>
      <x:c r="C2949" t="str">
        <x:v>Ultra L-Carnitine</x:v>
      </x:c>
      <x:c r="D2949" t="str">
        <x:v>Supplements</x:v>
      </x:c>
      <x:c r="E2949" t="str">
        <x:v>L-Carnitine</x:v>
      </x:c>
      <x:c r="F2949" t="str"/>
      <x:c r="G2949" t="str">
        <x:v>500ml</x:v>
      </x:c>
      <x:c r="H2949" t="str">
        <x:v>Fruit Punch</x:v>
      </x:c>
      <x:c r="I2949" t="str"/>
      <x:c r="J2949" t="str">
        <x:v>Unit</x:v>
      </x:c>
      <x:c r="K2949" t="str">
        <x:v>In stock</x:v>
      </x:c>
      <x:c r="L2949" t="str">
        <x:v>2026-09-08</x:v>
      </x:c>
      <x:c r="M2949" t="str"/>
      <x:c r="N2949" t="str"/>
      <x:c r="O2949" t="str">
        <x:v>https://www.activesportstrade.co.uk/refined-nutrition-trade</x:v>
      </x:c>
      <x:c r="P2949" t="str"/>
      <x:c r="Q2949" t="str"/>
      <x:c r="R2949" t="str"/>
      <x:c r="S2949" t="str">
        <x:v>Pending genuine supplier/brand image</x:v>
      </x:c>
      <x:c r="T2949" s="54"/>
      <x:c r="U2949" s="47" t="n">
        <x:v>0.2</x:v>
      </x:c>
      <x:c r="V2949" s="54" t="str">
        <x:f>IF(ISNUMBER(T2949),T2949*(1+U2949),"")</x:f>
      </x:c>
      <x:c r="W2949" s="47" t="n">
        <x:v>0.3</x:v>
      </x:c>
      <x:c r="X2949" s="54" t="str">
        <x:f>IF(ISNUMBER(V2949),V2949/(1-W2949),"")</x:f>
      </x:c>
      <x:c r="Y2949" s="55" t="str">
        <x:f>IF(ISNUMBER(X2949),ROUNDUP(X2949,0),"")</x:f>
      </x:c>
      <x:c r="Z2949" t="str">
        <x:f>IF(ISNUMBER(T2949),"Cost captured","Awaiting trade cost")</x:f>
        <x:v>Awaiting trade cost</x:v>
      </x:c>
      <x:c r="AB2949" s="36" t="str">
        <x:f>IF(ISNUMBER(Y2949),ROUND(Y2949*0.9,2),"")</x:f>
      </x:c>
      <x:c r="AC2949" s="36" t="str">
        <x:f>IF(ISNUMBER(AB2949),ROUND(AB2949-(AB2949*0.015+0.2)-V2949,2),"")</x:f>
      </x:c>
      <x:c r="AD2949" s="36" t="str">
        <x:f>IF(ISNUMBER(Y2949),ROUND(Y2949*0.8,2),"")</x:f>
      </x:c>
      <x:c r="AE2949" s="36" t="str">
        <x:f>IF(ISNUMBER(AD2949),ROUND(AD2949*0.015+0.2,2),"")</x:f>
      </x:c>
      <x:c r="AF2949" s="36" t="str">
        <x:f>IF(ISNUMBER(AD2949),ROUND(AD2949-AE2949-V2949,2),"")</x:f>
      </x:c>
      <x:c r="AG2949" t="str">
        <x:f>IF(NOT(ISNUMBER(T2949)),"PENDING",IF(AF2949&gt;0,"PASS","FAIL"))</x:f>
        <x:v>PENDING</x:v>
      </x:c>
      <x:c r="AH2949" t="str">
        <x:f>IF(NOT(ISNUMBER(T2949)),"Needs supplier cost",IF(K2949&lt;&gt;"In stock","Supplier unavailable",IF(AG2949&lt;&gt;"PASS","BLOCK - GT loss risk","Commercially protected")))</x:f>
        <x:v>Needs supplier cost</x:v>
      </x:c>
      <x:c r="AI2949" t="str">
        <x:v>2026-09-10 Active Sports trade capture</x:v>
      </x:c>
      <x:c r="AJ2949" t="str">
        <x:v>Management-only economics. Stripe stress test uses 1.5% + £0.20 standard UK online-card fee; pallet/mix-and-match pricing ignored.</x:v>
      </x:c>
    </x:row>
    <x:row r="2950">
      <x:c r="A2950" t="str">
        <x:v>Active Sports Nutrition</x:v>
      </x:c>
      <x:c r="B2950" t="str">
        <x:v>Refined Nutrition</x:v>
      </x:c>
      <x:c r="C2950" t="str">
        <x:v>Ultra L-Carnitine</x:v>
      </x:c>
      <x:c r="D2950" t="str">
        <x:v>Supplements</x:v>
      </x:c>
      <x:c r="E2950" t="str">
        <x:v>L-Carnitine</x:v>
      </x:c>
      <x:c r="F2950" t="str"/>
      <x:c r="G2950" t="str">
        <x:v>500ml</x:v>
      </x:c>
      <x:c r="H2950" t="str">
        <x:v>Green Apple</x:v>
      </x:c>
      <x:c r="I2950" t="str"/>
      <x:c r="J2950" t="str">
        <x:v>Unit</x:v>
      </x:c>
      <x:c r="K2950" t="str">
        <x:v>In stock</x:v>
      </x:c>
      <x:c r="L2950" t="str">
        <x:v>2026-09-08</x:v>
      </x:c>
      <x:c r="M2950" t="str"/>
      <x:c r="N2950" t="str"/>
      <x:c r="O2950" t="str">
        <x:v>https://www.activesportstrade.co.uk/refined-nutrition-trade</x:v>
      </x:c>
      <x:c r="P2950" t="str"/>
      <x:c r="Q2950" t="str"/>
      <x:c r="R2950" t="str"/>
      <x:c r="S2950" t="str">
        <x:v>Pending genuine supplier/brand image</x:v>
      </x:c>
      <x:c r="T2950" s="54"/>
      <x:c r="U2950" s="47" t="n">
        <x:v>0.2</x:v>
      </x:c>
      <x:c r="V2950" s="54" t="str">
        <x:f>IF(ISNUMBER(T2950),T2950*(1+U2950),"")</x:f>
      </x:c>
      <x:c r="W2950" s="47" t="n">
        <x:v>0.3</x:v>
      </x:c>
      <x:c r="X2950" s="54" t="str">
        <x:f>IF(ISNUMBER(V2950),V2950/(1-W2950),"")</x:f>
      </x:c>
      <x:c r="Y2950" s="55" t="str">
        <x:f>IF(ISNUMBER(X2950),ROUNDUP(X2950,0),"")</x:f>
      </x:c>
      <x:c r="Z2950" t="str">
        <x:f>IF(ISNUMBER(T2950),"Cost captured","Awaiting trade cost")</x:f>
        <x:v>Awaiting trade cost</x:v>
      </x:c>
      <x:c r="AB2950" s="36" t="str">
        <x:f>IF(ISNUMBER(Y2950),ROUND(Y2950*0.9,2),"")</x:f>
      </x:c>
      <x:c r="AC2950" s="36" t="str">
        <x:f>IF(ISNUMBER(AB2950),ROUND(AB2950-(AB2950*0.015+0.2)-V2950,2),"")</x:f>
      </x:c>
      <x:c r="AD2950" s="36" t="str">
        <x:f>IF(ISNUMBER(Y2950),ROUND(Y2950*0.8,2),"")</x:f>
      </x:c>
      <x:c r="AE2950" s="36" t="str">
        <x:f>IF(ISNUMBER(AD2950),ROUND(AD2950*0.015+0.2,2),"")</x:f>
      </x:c>
      <x:c r="AF2950" s="36" t="str">
        <x:f>IF(ISNUMBER(AD2950),ROUND(AD2950-AE2950-V2950,2),"")</x:f>
      </x:c>
      <x:c r="AG2950" t="str">
        <x:f>IF(NOT(ISNUMBER(T2950)),"PENDING",IF(AF2950&gt;0,"PASS","FAIL"))</x:f>
        <x:v>PENDING</x:v>
      </x:c>
      <x:c r="AH2950" t="str">
        <x:f>IF(NOT(ISNUMBER(T2950)),"Needs supplier cost",IF(K2950&lt;&gt;"In stock","Supplier unavailable",IF(AG2950&lt;&gt;"PASS","BLOCK - GT loss risk","Commercially protected")))</x:f>
        <x:v>Needs supplier cost</x:v>
      </x:c>
      <x:c r="AI2950" t="str">
        <x:v>2026-09-10 Active Sports trade capture</x:v>
      </x:c>
      <x:c r="AJ2950" t="str">
        <x:v>Management-only economics. Stripe stress test uses 1.5% + £0.20 standard UK online-card fee; pallet/mix-and-match pricing ignored.</x:v>
      </x:c>
    </x:row>
    <x:row r="2951">
      <x:c r="A2951" t="str">
        <x:v>Active Sports Nutrition</x:v>
      </x:c>
      <x:c r="B2951" t="str">
        <x:v>Refined Nutrition</x:v>
      </x:c>
      <x:c r="C2951" t="str">
        <x:v>Ultra L-Carnitine</x:v>
      </x:c>
      <x:c r="D2951" t="str">
        <x:v>Supplements</x:v>
      </x:c>
      <x:c r="E2951" t="str">
        <x:v>L-Carnitine</x:v>
      </x:c>
      <x:c r="F2951" t="str"/>
      <x:c r="G2951" t="str">
        <x:v>500ml</x:v>
      </x:c>
      <x:c r="H2951" t="str">
        <x:v>Icy Blue Raspberry</x:v>
      </x:c>
      <x:c r="I2951" t="str"/>
      <x:c r="J2951" t="str">
        <x:v>Unit</x:v>
      </x:c>
      <x:c r="K2951" t="str">
        <x:v>In stock</x:v>
      </x:c>
      <x:c r="L2951" t="str">
        <x:v>2026-09-08</x:v>
      </x:c>
      <x:c r="M2951" t="str"/>
      <x:c r="N2951" t="str"/>
      <x:c r="O2951" t="str">
        <x:v>https://www.activesportstrade.co.uk/refined-nutrition-trade</x:v>
      </x:c>
      <x:c r="P2951" t="str"/>
      <x:c r="Q2951" t="str"/>
      <x:c r="R2951" t="str"/>
      <x:c r="S2951" t="str">
        <x:v>Pending genuine supplier/brand image</x:v>
      </x:c>
      <x:c r="T2951" s="54"/>
      <x:c r="U2951" s="47" t="n">
        <x:v>0.2</x:v>
      </x:c>
      <x:c r="V2951" s="54" t="str">
        <x:f>IF(ISNUMBER(T2951),T2951*(1+U2951),"")</x:f>
      </x:c>
      <x:c r="W2951" s="47" t="n">
        <x:v>0.3</x:v>
      </x:c>
      <x:c r="X2951" s="54" t="str">
        <x:f>IF(ISNUMBER(V2951),V2951/(1-W2951),"")</x:f>
      </x:c>
      <x:c r="Y2951" s="55" t="str">
        <x:f>IF(ISNUMBER(X2951),ROUNDUP(X2951,0),"")</x:f>
      </x:c>
      <x:c r="Z2951" t="str">
        <x:f>IF(ISNUMBER(T2951),"Cost captured","Awaiting trade cost")</x:f>
        <x:v>Awaiting trade cost</x:v>
      </x:c>
      <x:c r="AB2951" s="36" t="str">
        <x:f>IF(ISNUMBER(Y2951),ROUND(Y2951*0.9,2),"")</x:f>
      </x:c>
      <x:c r="AC2951" s="36" t="str">
        <x:f>IF(ISNUMBER(AB2951),ROUND(AB2951-(AB2951*0.015+0.2)-V2951,2),"")</x:f>
      </x:c>
      <x:c r="AD2951" s="36" t="str">
        <x:f>IF(ISNUMBER(Y2951),ROUND(Y2951*0.8,2),"")</x:f>
      </x:c>
      <x:c r="AE2951" s="36" t="str">
        <x:f>IF(ISNUMBER(AD2951),ROUND(AD2951*0.015+0.2,2),"")</x:f>
      </x:c>
      <x:c r="AF2951" s="36" t="str">
        <x:f>IF(ISNUMBER(AD2951),ROUND(AD2951-AE2951-V2951,2),"")</x:f>
      </x:c>
      <x:c r="AG2951" t="str">
        <x:f>IF(NOT(ISNUMBER(T2951)),"PENDING",IF(AF2951&gt;0,"PASS","FAIL"))</x:f>
        <x:v>PENDING</x:v>
      </x:c>
      <x:c r="AH2951" t="str">
        <x:f>IF(NOT(ISNUMBER(T2951)),"Needs supplier cost",IF(K2951&lt;&gt;"In stock","Supplier unavailable",IF(AG2951&lt;&gt;"PASS","BLOCK - GT loss risk","Commercially protected")))</x:f>
        <x:v>Needs supplier cost</x:v>
      </x:c>
      <x:c r="AI2951" t="str">
        <x:v>2026-09-10 Active Sports trade capture</x:v>
      </x:c>
      <x:c r="AJ2951" t="str">
        <x:v>Management-only economics. Stripe stress test uses 1.5% + £0.20 standard UK online-card fee; pallet/mix-and-match pricing ignored.</x:v>
      </x:c>
    </x:row>
    <x:row r="2952">
      <x:c r="A2952" t="str">
        <x:v>Active Sports Nutrition</x:v>
      </x:c>
      <x:c r="B2952" t="str">
        <x:v>Refined Nutrition</x:v>
      </x:c>
      <x:c r="C2952" t="str">
        <x:v>Ultra L-Carnitine</x:v>
      </x:c>
      <x:c r="D2952" t="str">
        <x:v>Supplements</x:v>
      </x:c>
      <x:c r="E2952" t="str">
        <x:v>L-Carnitine</x:v>
      </x:c>
      <x:c r="F2952" t="str"/>
      <x:c r="G2952" t="str">
        <x:v>500ml</x:v>
      </x:c>
      <x:c r="H2952" t="str">
        <x:v>Vim-Berries</x:v>
      </x:c>
      <x:c r="I2952" t="str"/>
      <x:c r="J2952" t="str">
        <x:v>Unit</x:v>
      </x:c>
      <x:c r="K2952" t="str">
        <x:v>In stock</x:v>
      </x:c>
      <x:c r="L2952" t="str">
        <x:v>2026-09-08</x:v>
      </x:c>
      <x:c r="M2952" t="str"/>
      <x:c r="N2952" t="str"/>
      <x:c r="O2952" t="str">
        <x:v>https://www.activesportstrade.co.uk/refined-nutrition-trade</x:v>
      </x:c>
      <x:c r="P2952" t="str"/>
      <x:c r="Q2952" t="str"/>
      <x:c r="R2952" t="str"/>
      <x:c r="S2952" t="str">
        <x:v>Pending genuine supplier/brand image</x:v>
      </x:c>
      <x:c r="T2952" s="54"/>
      <x:c r="U2952" s="47" t="n">
        <x:v>0.2</x:v>
      </x:c>
      <x:c r="V2952" s="54" t="str">
        <x:f>IF(ISNUMBER(T2952),T2952*(1+U2952),"")</x:f>
      </x:c>
      <x:c r="W2952" s="47" t="n">
        <x:v>0.3</x:v>
      </x:c>
      <x:c r="X2952" s="54" t="str">
        <x:f>IF(ISNUMBER(V2952),V2952/(1-W2952),"")</x:f>
      </x:c>
      <x:c r="Y2952" s="55" t="str">
        <x:f>IF(ISNUMBER(X2952),ROUNDUP(X2952,0),"")</x:f>
      </x:c>
      <x:c r="Z2952" t="str">
        <x:f>IF(ISNUMBER(T2952),"Cost captured","Awaiting trade cost")</x:f>
        <x:v>Awaiting trade cost</x:v>
      </x:c>
      <x:c r="AB2952" s="36" t="str">
        <x:f>IF(ISNUMBER(Y2952),ROUND(Y2952*0.9,2),"")</x:f>
      </x:c>
      <x:c r="AC2952" s="36" t="str">
        <x:f>IF(ISNUMBER(AB2952),ROUND(AB2952-(AB2952*0.015+0.2)-V2952,2),"")</x:f>
      </x:c>
      <x:c r="AD2952" s="36" t="str">
        <x:f>IF(ISNUMBER(Y2952),ROUND(Y2952*0.8,2),"")</x:f>
      </x:c>
      <x:c r="AE2952" s="36" t="str">
        <x:f>IF(ISNUMBER(AD2952),ROUND(AD2952*0.015+0.2,2),"")</x:f>
      </x:c>
      <x:c r="AF2952" s="36" t="str">
        <x:f>IF(ISNUMBER(AD2952),ROUND(AD2952-AE2952-V2952,2),"")</x:f>
      </x:c>
      <x:c r="AG2952" t="str">
        <x:f>IF(NOT(ISNUMBER(T2952)),"PENDING",IF(AF2952&gt;0,"PASS","FAIL"))</x:f>
        <x:v>PENDING</x:v>
      </x:c>
      <x:c r="AH2952" t="str">
        <x:f>IF(NOT(ISNUMBER(T2952)),"Needs supplier cost",IF(K2952&lt;&gt;"In stock","Supplier unavailable",IF(AG2952&lt;&gt;"PASS","BLOCK - GT loss risk","Commercially protected")))</x:f>
        <x:v>Needs supplier cost</x:v>
      </x:c>
      <x:c r="AI2952" t="str">
        <x:v>2026-09-10 Active Sports trade capture</x:v>
      </x:c>
      <x:c r="AJ2952" t="str">
        <x:v>Management-only economics. Stripe stress test uses 1.5% + £0.20 standard UK online-card fee; pallet/mix-and-match pricing ignored.</x:v>
      </x:c>
    </x:row>
    <x:row r="2953">
      <x:c r="A2953" t="str">
        <x:v>Active Sports Nutrition</x:v>
      </x:c>
      <x:c r="B2953" t="str">
        <x:v>Refined Nutrition</x:v>
      </x:c>
      <x:c r="C2953" t="str">
        <x:v>Ultra L-Carnitine</x:v>
      </x:c>
      <x:c r="D2953" t="str">
        <x:v>Supplements</x:v>
      </x:c>
      <x:c r="E2953" t="str">
        <x:v>L-Carnitine</x:v>
      </x:c>
      <x:c r="F2953" t="str"/>
      <x:c r="G2953" t="str">
        <x:v>500ml</x:v>
      </x:c>
      <x:c r="H2953" t="str">
        <x:v>Watermelon</x:v>
      </x:c>
      <x:c r="I2953" t="str"/>
      <x:c r="J2953" t="str">
        <x:v>Unit</x:v>
      </x:c>
      <x:c r="K2953" t="str">
        <x:v>In stock</x:v>
      </x:c>
      <x:c r="L2953" t="str">
        <x:v>2026-09-08</x:v>
      </x:c>
      <x:c r="M2953" t="str"/>
      <x:c r="N2953" t="str"/>
      <x:c r="O2953" t="str">
        <x:v>https://www.activesportstrade.co.uk/refined-nutrition-trade</x:v>
      </x:c>
      <x:c r="P2953" t="str"/>
      <x:c r="Q2953" t="str"/>
      <x:c r="R2953" t="str"/>
      <x:c r="S2953" t="str">
        <x:v>Pending genuine supplier/brand image</x:v>
      </x:c>
      <x:c r="T2953" s="54"/>
      <x:c r="U2953" s="47" t="n">
        <x:v>0.2</x:v>
      </x:c>
      <x:c r="V2953" s="54" t="str">
        <x:f>IF(ISNUMBER(T2953),T2953*(1+U2953),"")</x:f>
      </x:c>
      <x:c r="W2953" s="47" t="n">
        <x:v>0.3</x:v>
      </x:c>
      <x:c r="X2953" s="54" t="str">
        <x:f>IF(ISNUMBER(V2953),V2953/(1-W2953),"")</x:f>
      </x:c>
      <x:c r="Y2953" s="55" t="str">
        <x:f>IF(ISNUMBER(X2953),ROUNDUP(X2953,0),"")</x:f>
      </x:c>
      <x:c r="Z2953" t="str">
        <x:f>IF(ISNUMBER(T2953),"Cost captured","Awaiting trade cost")</x:f>
        <x:v>Awaiting trade cost</x:v>
      </x:c>
      <x:c r="AB2953" s="36" t="str">
        <x:f>IF(ISNUMBER(Y2953),ROUND(Y2953*0.9,2),"")</x:f>
      </x:c>
      <x:c r="AC2953" s="36" t="str">
        <x:f>IF(ISNUMBER(AB2953),ROUND(AB2953-(AB2953*0.015+0.2)-V2953,2),"")</x:f>
      </x:c>
      <x:c r="AD2953" s="36" t="str">
        <x:f>IF(ISNUMBER(Y2953),ROUND(Y2953*0.8,2),"")</x:f>
      </x:c>
      <x:c r="AE2953" s="36" t="str">
        <x:f>IF(ISNUMBER(AD2953),ROUND(AD2953*0.015+0.2,2),"")</x:f>
      </x:c>
      <x:c r="AF2953" s="36" t="str">
        <x:f>IF(ISNUMBER(AD2953),ROUND(AD2953-AE2953-V2953,2),"")</x:f>
      </x:c>
      <x:c r="AG2953" t="str">
        <x:f>IF(NOT(ISNUMBER(T2953)),"PENDING",IF(AF2953&gt;0,"PASS","FAIL"))</x:f>
        <x:v>PENDING</x:v>
      </x:c>
      <x:c r="AH2953" t="str">
        <x:f>IF(NOT(ISNUMBER(T2953)),"Needs supplier cost",IF(K2953&lt;&gt;"In stock","Supplier unavailable",IF(AG2953&lt;&gt;"PASS","BLOCK - GT loss risk","Commercially protected")))</x:f>
        <x:v>Needs supplier cost</x:v>
      </x:c>
      <x:c r="AI2953" t="str">
        <x:v>2026-09-10 Active Sports trade capture</x:v>
      </x:c>
      <x:c r="AJ2953" t="str">
        <x:v>Management-only economics. Stripe stress test uses 1.5% + £0.20 standard UK online-card fee; pallet/mix-and-match pricing ignored.</x:v>
      </x:c>
    </x:row>
    <x:row r="2954">
      <x:c r="A2954" t="str">
        <x:v>Active Sports Nutrition</x:v>
      </x:c>
      <x:c r="B2954" t="str">
        <x:v>Refined Nutrition</x:v>
      </x:c>
      <x:c r="C2954" t="str">
        <x:v>Ultra Meal</x:v>
      </x:c>
      <x:c r="D2954" t="str">
        <x:v>Supplements</x:v>
      </x:c>
      <x:c r="E2954" t="str">
        <x:v>Meal Replacement</x:v>
      </x:c>
      <x:c r="F2954" t="str"/>
      <x:c r="G2954" t="str">
        <x:v>2kg</x:v>
      </x:c>
      <x:c r="H2954" t="str">
        <x:v>Chocolate Milkshake</x:v>
      </x:c>
      <x:c r="I2954" t="str"/>
      <x:c r="J2954" t="str">
        <x:v>Unit</x:v>
      </x:c>
      <x:c r="K2954" t="str">
        <x:v>In stock</x:v>
      </x:c>
      <x:c r="L2954" t="str">
        <x:v>2026-09-08</x:v>
      </x:c>
      <x:c r="M2954" t="str"/>
      <x:c r="N2954" t="str"/>
      <x:c r="O2954" t="str">
        <x:v>https://www.activesportstrade.co.uk/refined-nutrition-trade</x:v>
      </x:c>
      <x:c r="P2954" t="str">
        <x:v>VAT FREE wording stripped.</x:v>
      </x:c>
      <x:c r="Q2954" t="str"/>
      <x:c r="R2954" t="str"/>
      <x:c r="S2954" t="str">
        <x:v>Pending genuine supplier/brand image</x:v>
      </x:c>
      <x:c r="T2954" s="54"/>
      <x:c r="U2954" s="47" t="n">
        <x:v>0</x:v>
      </x:c>
      <x:c r="V2954" s="54" t="str">
        <x:f>IF(ISNUMBER(T2954),T2954*(1+U2954),"")</x:f>
      </x:c>
      <x:c r="W2954" s="47" t="n">
        <x:v>0.3</x:v>
      </x:c>
      <x:c r="X2954" s="54" t="str">
        <x:f>IF(ISNUMBER(V2954),V2954/(1-W2954),"")</x:f>
      </x:c>
      <x:c r="Y2954" s="55" t="str">
        <x:f>IF(ISNUMBER(X2954),ROUNDUP(X2954,0),"")</x:f>
      </x:c>
      <x:c r="Z2954" t="str">
        <x:f>IF(ISNUMBER(T2954),"Cost captured","Awaiting trade cost")</x:f>
        <x:v>Awaiting trade cost</x:v>
      </x:c>
      <x:c r="AB2954" s="36" t="str">
        <x:f>IF(ISNUMBER(Y2954),ROUND(Y2954*0.9,2),"")</x:f>
      </x:c>
      <x:c r="AC2954" s="36" t="str">
        <x:f>IF(ISNUMBER(AB2954),ROUND(AB2954-(AB2954*0.015+0.2)-V2954,2),"")</x:f>
      </x:c>
      <x:c r="AD2954" s="36" t="str">
        <x:f>IF(ISNUMBER(Y2954),ROUND(Y2954*0.8,2),"")</x:f>
      </x:c>
      <x:c r="AE2954" s="36" t="str">
        <x:f>IF(ISNUMBER(AD2954),ROUND(AD2954*0.015+0.2,2),"")</x:f>
      </x:c>
      <x:c r="AF2954" s="36" t="str">
        <x:f>IF(ISNUMBER(AD2954),ROUND(AD2954-AE2954-V2954,2),"")</x:f>
      </x:c>
      <x:c r="AG2954" t="str">
        <x:f>IF(NOT(ISNUMBER(T2954)),"PENDING",IF(AF2954&gt;0,"PASS","FAIL"))</x:f>
        <x:v>PENDING</x:v>
      </x:c>
      <x:c r="AH2954" t="str">
        <x:f>IF(NOT(ISNUMBER(T2954)),"Needs supplier cost",IF(K2954&lt;&gt;"In stock","Supplier unavailable",IF(AG2954&lt;&gt;"PASS","BLOCK - GT loss risk","Commercially protected")))</x:f>
        <x:v>Needs supplier cost</x:v>
      </x:c>
      <x:c r="AI2954" t="str">
        <x:v>2026-09-10 Active Sports trade capture</x:v>
      </x:c>
      <x:c r="AJ2954" t="str">
        <x:v>Management-only economics. Stripe stress test uses 1.5% + £0.20 standard UK online-card fee; pallet/mix-and-match pricing ignored.</x:v>
      </x:c>
    </x:row>
    <x:row r="2955">
      <x:c r="A2955" t="str">
        <x:v>Active Sports Nutrition</x:v>
      </x:c>
      <x:c r="B2955" t="str">
        <x:v>Refined Nutrition</x:v>
      </x:c>
      <x:c r="C2955" t="str">
        <x:v>Ultra Meal</x:v>
      </x:c>
      <x:c r="D2955" t="str">
        <x:v>Supplements</x:v>
      </x:c>
      <x:c r="E2955" t="str">
        <x:v>Meal Replacement</x:v>
      </x:c>
      <x:c r="F2955" t="str"/>
      <x:c r="G2955" t="str">
        <x:v>2kg</x:v>
      </x:c>
      <x:c r="H2955" t="str">
        <x:v>Chocolate Peanut Butter</x:v>
      </x:c>
      <x:c r="I2955" t="str"/>
      <x:c r="J2955" t="str">
        <x:v>Unit</x:v>
      </x:c>
      <x:c r="K2955" t="str">
        <x:v>In stock</x:v>
      </x:c>
      <x:c r="L2955" t="str">
        <x:v>2026-09-08</x:v>
      </x:c>
      <x:c r="M2955" t="str"/>
      <x:c r="N2955" t="str"/>
      <x:c r="O2955" t="str">
        <x:v>https://www.activesportstrade.co.uk/refined-nutrition-trade</x:v>
      </x:c>
      <x:c r="P2955" t="str">
        <x:v>VAT FREE wording stripped.</x:v>
      </x:c>
      <x:c r="Q2955" t="str"/>
      <x:c r="R2955" t="str"/>
      <x:c r="S2955" t="str">
        <x:v>Pending genuine supplier/brand image</x:v>
      </x:c>
      <x:c r="T2955" s="54"/>
      <x:c r="U2955" s="47" t="n">
        <x:v>0</x:v>
      </x:c>
      <x:c r="V2955" s="54" t="str">
        <x:f>IF(ISNUMBER(T2955),T2955*(1+U2955),"")</x:f>
      </x:c>
      <x:c r="W2955" s="47" t="n">
        <x:v>0.3</x:v>
      </x:c>
      <x:c r="X2955" s="54" t="str">
        <x:f>IF(ISNUMBER(V2955),V2955/(1-W2955),"")</x:f>
      </x:c>
      <x:c r="Y2955" s="55" t="str">
        <x:f>IF(ISNUMBER(X2955),ROUNDUP(X2955,0),"")</x:f>
      </x:c>
      <x:c r="Z2955" t="str">
        <x:f>IF(ISNUMBER(T2955),"Cost captured","Awaiting trade cost")</x:f>
        <x:v>Awaiting trade cost</x:v>
      </x:c>
      <x:c r="AB2955" s="36" t="str">
        <x:f>IF(ISNUMBER(Y2955),ROUND(Y2955*0.9,2),"")</x:f>
      </x:c>
      <x:c r="AC2955" s="36" t="str">
        <x:f>IF(ISNUMBER(AB2955),ROUND(AB2955-(AB2955*0.015+0.2)-V2955,2),"")</x:f>
      </x:c>
      <x:c r="AD2955" s="36" t="str">
        <x:f>IF(ISNUMBER(Y2955),ROUND(Y2955*0.8,2),"")</x:f>
      </x:c>
      <x:c r="AE2955" s="36" t="str">
        <x:f>IF(ISNUMBER(AD2955),ROUND(AD2955*0.015+0.2,2),"")</x:f>
      </x:c>
      <x:c r="AF2955" s="36" t="str">
        <x:f>IF(ISNUMBER(AD2955),ROUND(AD2955-AE2955-V2955,2),"")</x:f>
      </x:c>
      <x:c r="AG2955" t="str">
        <x:f>IF(NOT(ISNUMBER(T2955)),"PENDING",IF(AF2955&gt;0,"PASS","FAIL"))</x:f>
        <x:v>PENDING</x:v>
      </x:c>
      <x:c r="AH2955" t="str">
        <x:f>IF(NOT(ISNUMBER(T2955)),"Needs supplier cost",IF(K2955&lt;&gt;"In stock","Supplier unavailable",IF(AG2955&lt;&gt;"PASS","BLOCK - GT loss risk","Commercially protected")))</x:f>
        <x:v>Needs supplier cost</x:v>
      </x:c>
      <x:c r="AI2955" t="str">
        <x:v>2026-09-10 Active Sports trade capture</x:v>
      </x:c>
      <x:c r="AJ2955" t="str">
        <x:v>Management-only economics. Stripe stress test uses 1.5% + £0.20 standard UK online-card fee; pallet/mix-and-match pricing ignored.</x:v>
      </x:c>
    </x:row>
    <x:row r="2956">
      <x:c r="A2956" t="str">
        <x:v>Active Sports Nutrition</x:v>
      </x:c>
      <x:c r="B2956" t="str">
        <x:v>Refined Nutrition</x:v>
      </x:c>
      <x:c r="C2956" t="str">
        <x:v>Ultra Meal</x:v>
      </x:c>
      <x:c r="D2956" t="str">
        <x:v>Supplements</x:v>
      </x:c>
      <x:c r="E2956" t="str">
        <x:v>Meal Replacement</x:v>
      </x:c>
      <x:c r="F2956" t="str"/>
      <x:c r="G2956" t="str">
        <x:v>2kg</x:v>
      </x:c>
      <x:c r="H2956" t="str">
        <x:v>Strawberry Delight</x:v>
      </x:c>
      <x:c r="I2956" t="str"/>
      <x:c r="J2956" t="str">
        <x:v>Unit</x:v>
      </x:c>
      <x:c r="K2956" t="str">
        <x:v>In stock</x:v>
      </x:c>
      <x:c r="L2956" t="str">
        <x:v>2026-09-08</x:v>
      </x:c>
      <x:c r="M2956" t="str"/>
      <x:c r="N2956" t="str"/>
      <x:c r="O2956" t="str">
        <x:v>https://www.activesportstrade.co.uk/refined-nutrition-trade</x:v>
      </x:c>
      <x:c r="P2956" t="str">
        <x:v>VAT FREE wording stripped.</x:v>
      </x:c>
      <x:c r="Q2956" t="str"/>
      <x:c r="R2956" t="str"/>
      <x:c r="S2956" t="str">
        <x:v>Pending genuine supplier/brand image</x:v>
      </x:c>
      <x:c r="T2956" s="54"/>
      <x:c r="U2956" s="47" t="n">
        <x:v>0</x:v>
      </x:c>
      <x:c r="V2956" s="54" t="str">
        <x:f>IF(ISNUMBER(T2956),T2956*(1+U2956),"")</x:f>
      </x:c>
      <x:c r="W2956" s="47" t="n">
        <x:v>0.3</x:v>
      </x:c>
      <x:c r="X2956" s="54" t="str">
        <x:f>IF(ISNUMBER(V2956),V2956/(1-W2956),"")</x:f>
      </x:c>
      <x:c r="Y2956" s="55" t="str">
        <x:f>IF(ISNUMBER(X2956),ROUNDUP(X2956,0),"")</x:f>
      </x:c>
      <x:c r="Z2956" t="str">
        <x:f>IF(ISNUMBER(T2956),"Cost captured","Awaiting trade cost")</x:f>
        <x:v>Awaiting trade cost</x:v>
      </x:c>
      <x:c r="AB2956" s="36" t="str">
        <x:f>IF(ISNUMBER(Y2956),ROUND(Y2956*0.9,2),"")</x:f>
      </x:c>
      <x:c r="AC2956" s="36" t="str">
        <x:f>IF(ISNUMBER(AB2956),ROUND(AB2956-(AB2956*0.015+0.2)-V2956,2),"")</x:f>
      </x:c>
      <x:c r="AD2956" s="36" t="str">
        <x:f>IF(ISNUMBER(Y2956),ROUND(Y2956*0.8,2),"")</x:f>
      </x:c>
      <x:c r="AE2956" s="36" t="str">
        <x:f>IF(ISNUMBER(AD2956),ROUND(AD2956*0.015+0.2,2),"")</x:f>
      </x:c>
      <x:c r="AF2956" s="36" t="str">
        <x:f>IF(ISNUMBER(AD2956),ROUND(AD2956-AE2956-V2956,2),"")</x:f>
      </x:c>
      <x:c r="AG2956" t="str">
        <x:f>IF(NOT(ISNUMBER(T2956)),"PENDING",IF(AF2956&gt;0,"PASS","FAIL"))</x:f>
        <x:v>PENDING</x:v>
      </x:c>
      <x:c r="AH2956" t="str">
        <x:f>IF(NOT(ISNUMBER(T2956)),"Needs supplier cost",IF(K2956&lt;&gt;"In stock","Supplier unavailable",IF(AG2956&lt;&gt;"PASS","BLOCK - GT loss risk","Commercially protected")))</x:f>
        <x:v>Needs supplier cost</x:v>
      </x:c>
      <x:c r="AI2956" t="str">
        <x:v>2026-09-10 Active Sports trade capture</x:v>
      </x:c>
      <x:c r="AJ2956" t="str">
        <x:v>Management-only economics. Stripe stress test uses 1.5% + £0.20 standard UK online-card fee; pallet/mix-and-match pricing ignored.</x:v>
      </x:c>
    </x:row>
    <x:row r="2957">
      <x:c r="A2957" t="str">
        <x:v>Active Sports Nutrition</x:v>
      </x:c>
      <x:c r="B2957" t="str">
        <x:v>Refined Nutrition</x:v>
      </x:c>
      <x:c r="C2957" t="str">
        <x:v>Ultra Meal</x:v>
      </x:c>
      <x:c r="D2957" t="str">
        <x:v>Supplements</x:v>
      </x:c>
      <x:c r="E2957" t="str">
        <x:v>Meal Replacement</x:v>
      </x:c>
      <x:c r="F2957" t="str"/>
      <x:c r="G2957" t="str">
        <x:v>2kg</x:v>
      </x:c>
      <x:c r="H2957" t="str">
        <x:v>Vanilla Ice Cream</x:v>
      </x:c>
      <x:c r="I2957" t="str"/>
      <x:c r="J2957" t="str">
        <x:v>Unit</x:v>
      </x:c>
      <x:c r="K2957" t="str">
        <x:v>In stock</x:v>
      </x:c>
      <x:c r="L2957" t="str">
        <x:v>2026-09-08</x:v>
      </x:c>
      <x:c r="M2957" t="str"/>
      <x:c r="N2957" t="str"/>
      <x:c r="O2957" t="str">
        <x:v>https://www.activesportstrade.co.uk/refined-nutrition-trade</x:v>
      </x:c>
      <x:c r="P2957" t="str">
        <x:v>VAT FREE wording stripped.</x:v>
      </x:c>
      <x:c r="Q2957" t="str"/>
      <x:c r="R2957" t="str"/>
      <x:c r="S2957" t="str">
        <x:v>Pending genuine supplier/brand image</x:v>
      </x:c>
      <x:c r="T2957" s="54"/>
      <x:c r="U2957" s="47" t="n">
        <x:v>0</x:v>
      </x:c>
      <x:c r="V2957" s="54" t="str">
        <x:f>IF(ISNUMBER(T2957),T2957*(1+U2957),"")</x:f>
      </x:c>
      <x:c r="W2957" s="47" t="n">
        <x:v>0.3</x:v>
      </x:c>
      <x:c r="X2957" s="54" t="str">
        <x:f>IF(ISNUMBER(V2957),V2957/(1-W2957),"")</x:f>
      </x:c>
      <x:c r="Y2957" s="55" t="str">
        <x:f>IF(ISNUMBER(X2957),ROUNDUP(X2957,0),"")</x:f>
      </x:c>
      <x:c r="Z2957" t="str">
        <x:f>IF(ISNUMBER(T2957),"Cost captured","Awaiting trade cost")</x:f>
        <x:v>Awaiting trade cost</x:v>
      </x:c>
      <x:c r="AB2957" s="36" t="str">
        <x:f>IF(ISNUMBER(Y2957),ROUND(Y2957*0.9,2),"")</x:f>
      </x:c>
      <x:c r="AC2957" s="36" t="str">
        <x:f>IF(ISNUMBER(AB2957),ROUND(AB2957-(AB2957*0.015+0.2)-V2957,2),"")</x:f>
      </x:c>
      <x:c r="AD2957" s="36" t="str">
        <x:f>IF(ISNUMBER(Y2957),ROUND(Y2957*0.8,2),"")</x:f>
      </x:c>
      <x:c r="AE2957" s="36" t="str">
        <x:f>IF(ISNUMBER(AD2957),ROUND(AD2957*0.015+0.2,2),"")</x:f>
      </x:c>
      <x:c r="AF2957" s="36" t="str">
        <x:f>IF(ISNUMBER(AD2957),ROUND(AD2957-AE2957-V2957,2),"")</x:f>
      </x:c>
      <x:c r="AG2957" t="str">
        <x:f>IF(NOT(ISNUMBER(T2957)),"PENDING",IF(AF2957&gt;0,"PASS","FAIL"))</x:f>
        <x:v>PENDING</x:v>
      </x:c>
      <x:c r="AH2957" t="str">
        <x:f>IF(NOT(ISNUMBER(T2957)),"Needs supplier cost",IF(K2957&lt;&gt;"In stock","Supplier unavailable",IF(AG2957&lt;&gt;"PASS","BLOCK - GT loss risk","Commercially protected")))</x:f>
        <x:v>Needs supplier cost</x:v>
      </x:c>
      <x:c r="AI2957" t="str">
        <x:v>2026-09-10 Active Sports trade capture</x:v>
      </x:c>
      <x:c r="AJ2957" t="str">
        <x:v>Management-only economics. Stripe stress test uses 1.5% + £0.20 standard UK online-card fee; pallet/mix-and-match pricing ignored.</x:v>
      </x:c>
    </x:row>
    <x:row r="2958">
      <x:c r="A2958" t="str">
        <x:v>Active Sports Nutrition</x:v>
      </x:c>
      <x:c r="B2958" t="str">
        <x:v>Refined Nutrition</x:v>
      </x:c>
      <x:c r="C2958" t="str">
        <x:v>Ultra Whey</x:v>
      </x:c>
      <x:c r="D2958" t="str">
        <x:v>Supplements</x:v>
      </x:c>
      <x:c r="E2958" t="str">
        <x:v>Whey Protein</x:v>
      </x:c>
      <x:c r="F2958" t="str"/>
      <x:c r="G2958" t="str">
        <x:v>2kg</x:v>
      </x:c>
      <x:c r="H2958" t="str">
        <x:v>Banana Smoothie</x:v>
      </x:c>
      <x:c r="I2958" t="str"/>
      <x:c r="J2958" t="str">
        <x:v>Unit</x:v>
      </x:c>
      <x:c r="K2958" t="str">
        <x:v>Out of stock</x:v>
      </x:c>
      <x:c r="L2958" t="str">
        <x:v>2026-09-08</x:v>
      </x:c>
      <x:c r="M2958" t="str"/>
      <x:c r="N2958" t="str"/>
      <x:c r="O2958" t="str">
        <x:v>https://www.activesportstrade.co.uk/refined-nutrition-trade</x:v>
      </x:c>
      <x:c r="P2958" t="str">
        <x:v>Duplicate Caramel Biscuit supplier row deduplicated.</x:v>
      </x:c>
      <x:c r="Q2958" t="str"/>
      <x:c r="R2958" t="str"/>
      <x:c r="S2958" t="str">
        <x:v>Pending genuine supplier/brand image</x:v>
      </x:c>
      <x:c r="T2958" s="54"/>
      <x:c r="U2958" s="47" t="n">
        <x:v>0.2</x:v>
      </x:c>
      <x:c r="V2958" s="54" t="str">
        <x:f>IF(ISNUMBER(T2958),T2958*(1+U2958),"")</x:f>
      </x:c>
      <x:c r="W2958" s="47" t="n">
        <x:v>0.3</x:v>
      </x:c>
      <x:c r="X2958" s="54" t="str">
        <x:f>IF(ISNUMBER(V2958),V2958/(1-W2958),"")</x:f>
      </x:c>
      <x:c r="Y2958" s="55" t="str">
        <x:f>IF(ISNUMBER(X2958),ROUNDUP(X2958,0),"")</x:f>
      </x:c>
      <x:c r="Z2958" t="str">
        <x:f>IF(ISNUMBER(T2958),"Cost captured","Awaiting trade cost")</x:f>
        <x:v>Awaiting trade cost</x:v>
      </x:c>
      <x:c r="AB2958" s="36" t="str">
        <x:f>IF(ISNUMBER(Y2958),ROUND(Y2958*0.9,2),"")</x:f>
      </x:c>
      <x:c r="AC2958" s="36" t="str">
        <x:f>IF(ISNUMBER(AB2958),ROUND(AB2958-(AB2958*0.015+0.2)-V2958,2),"")</x:f>
      </x:c>
      <x:c r="AD2958" s="36" t="str">
        <x:f>IF(ISNUMBER(Y2958),ROUND(Y2958*0.8,2),"")</x:f>
      </x:c>
      <x:c r="AE2958" s="36" t="str">
        <x:f>IF(ISNUMBER(AD2958),ROUND(AD2958*0.015+0.2,2),"")</x:f>
      </x:c>
      <x:c r="AF2958" s="36" t="str">
        <x:f>IF(ISNUMBER(AD2958),ROUND(AD2958-AE2958-V2958,2),"")</x:f>
      </x:c>
      <x:c r="AG2958" t="str">
        <x:f>IF(NOT(ISNUMBER(T2958)),"PENDING",IF(AF2958&gt;0,"PASS","FAIL"))</x:f>
        <x:v>PENDING</x:v>
      </x:c>
      <x:c r="AH2958" t="str">
        <x:f>IF(NOT(ISNUMBER(T2958)),"Needs supplier cost",IF(K2958&lt;&gt;"In stock","Supplier unavailable",IF(AG2958&lt;&gt;"PASS","BLOCK - GT loss risk","Commercially protected")))</x:f>
        <x:v>Needs supplier cost</x:v>
      </x:c>
      <x:c r="AI2958" t="str">
        <x:v>2026-09-10 Active Sports trade capture</x:v>
      </x:c>
      <x:c r="AJ2958" t="str">
        <x:v>Management-only economics. Stripe stress test uses 1.5% + £0.20 standard UK online-card fee; pallet/mix-and-match pricing ignored.</x:v>
      </x:c>
    </x:row>
    <x:row r="2959">
      <x:c r="A2959" t="str">
        <x:v>Active Sports Nutrition</x:v>
      </x:c>
      <x:c r="B2959" t="str">
        <x:v>Refined Nutrition</x:v>
      </x:c>
      <x:c r="C2959" t="str">
        <x:v>Ultra Whey</x:v>
      </x:c>
      <x:c r="D2959" t="str">
        <x:v>Supplements</x:v>
      </x:c>
      <x:c r="E2959" t="str">
        <x:v>Whey Protein</x:v>
      </x:c>
      <x:c r="F2959" t="str"/>
      <x:c r="G2959" t="str">
        <x:v>2kg</x:v>
      </x:c>
      <x:c r="H2959" t="str">
        <x:v>Caramel Biscuit</x:v>
      </x:c>
      <x:c r="I2959" t="str"/>
      <x:c r="J2959" t="str">
        <x:v>Unit</x:v>
      </x:c>
      <x:c r="K2959" t="str">
        <x:v>Out of stock</x:v>
      </x:c>
      <x:c r="L2959" t="str">
        <x:v>2026-09-08</x:v>
      </x:c>
      <x:c r="M2959" t="str"/>
      <x:c r="N2959" t="str"/>
      <x:c r="O2959" t="str">
        <x:v>https://www.activesportstrade.co.uk/refined-nutrition-trade</x:v>
      </x:c>
      <x:c r="P2959" t="str">
        <x:v>Duplicate Caramel Biscuit supplier row deduplicated.</x:v>
      </x:c>
      <x:c r="Q2959" t="str"/>
      <x:c r="R2959" t="str"/>
      <x:c r="S2959" t="str">
        <x:v>Pending genuine supplier/brand image</x:v>
      </x:c>
      <x:c r="T2959" s="54"/>
      <x:c r="U2959" s="47" t="n">
        <x:v>0.2</x:v>
      </x:c>
      <x:c r="V2959" s="54" t="str">
        <x:f>IF(ISNUMBER(T2959),T2959*(1+U2959),"")</x:f>
      </x:c>
      <x:c r="W2959" s="47" t="n">
        <x:v>0.3</x:v>
      </x:c>
      <x:c r="X2959" s="54" t="str">
        <x:f>IF(ISNUMBER(V2959),V2959/(1-W2959),"")</x:f>
      </x:c>
      <x:c r="Y2959" s="55" t="str">
        <x:f>IF(ISNUMBER(X2959),ROUNDUP(X2959,0),"")</x:f>
      </x:c>
      <x:c r="Z2959" t="str">
        <x:f>IF(ISNUMBER(T2959),"Cost captured","Awaiting trade cost")</x:f>
        <x:v>Awaiting trade cost</x:v>
      </x:c>
      <x:c r="AB2959" s="36" t="str">
        <x:f>IF(ISNUMBER(Y2959),ROUND(Y2959*0.9,2),"")</x:f>
      </x:c>
      <x:c r="AC2959" s="36" t="str">
        <x:f>IF(ISNUMBER(AB2959),ROUND(AB2959-(AB2959*0.015+0.2)-V2959,2),"")</x:f>
      </x:c>
      <x:c r="AD2959" s="36" t="str">
        <x:f>IF(ISNUMBER(Y2959),ROUND(Y2959*0.8,2),"")</x:f>
      </x:c>
      <x:c r="AE2959" s="36" t="str">
        <x:f>IF(ISNUMBER(AD2959),ROUND(AD2959*0.015+0.2,2),"")</x:f>
      </x:c>
      <x:c r="AF2959" s="36" t="str">
        <x:f>IF(ISNUMBER(AD2959),ROUND(AD2959-AE2959-V2959,2),"")</x:f>
      </x:c>
      <x:c r="AG2959" t="str">
        <x:f>IF(NOT(ISNUMBER(T2959)),"PENDING",IF(AF2959&gt;0,"PASS","FAIL"))</x:f>
        <x:v>PENDING</x:v>
      </x:c>
      <x:c r="AH2959" t="str">
        <x:f>IF(NOT(ISNUMBER(T2959)),"Needs supplier cost",IF(K2959&lt;&gt;"In stock","Supplier unavailable",IF(AG2959&lt;&gt;"PASS","BLOCK - GT loss risk","Commercially protected")))</x:f>
        <x:v>Needs supplier cost</x:v>
      </x:c>
      <x:c r="AI2959" t="str">
        <x:v>2026-09-10 Active Sports trade capture</x:v>
      </x:c>
      <x:c r="AJ2959" t="str">
        <x:v>Management-only economics. Stripe stress test uses 1.5% + £0.20 standard UK online-card fee; pallet/mix-and-match pricing ignored.</x:v>
      </x:c>
    </x:row>
    <x:row r="2960">
      <x:c r="A2960" t="str">
        <x:v>Active Sports Nutrition</x:v>
      </x:c>
      <x:c r="B2960" t="str">
        <x:v>Refined Nutrition</x:v>
      </x:c>
      <x:c r="C2960" t="str">
        <x:v>Ultra Whey</x:v>
      </x:c>
      <x:c r="D2960" t="str">
        <x:v>Supplements</x:v>
      </x:c>
      <x:c r="E2960" t="str">
        <x:v>Whey Protein</x:v>
      </x:c>
      <x:c r="F2960" t="str"/>
      <x:c r="G2960" t="str">
        <x:v>2kg</x:v>
      </x:c>
      <x:c r="H2960" t="str">
        <x:v>Chocolate Milkshake</x:v>
      </x:c>
      <x:c r="I2960" t="str"/>
      <x:c r="J2960" t="str">
        <x:v>Unit</x:v>
      </x:c>
      <x:c r="K2960" t="str">
        <x:v>Out of stock</x:v>
      </x:c>
      <x:c r="L2960" t="str">
        <x:v>2026-09-08</x:v>
      </x:c>
      <x:c r="M2960" t="str"/>
      <x:c r="N2960" t="str"/>
      <x:c r="O2960" t="str">
        <x:v>https://www.activesportstrade.co.uk/refined-nutrition-trade</x:v>
      </x:c>
      <x:c r="P2960" t="str">
        <x:v>Duplicate Caramel Biscuit supplier row deduplicated.</x:v>
      </x:c>
      <x:c r="Q2960" t="str"/>
      <x:c r="R2960" t="str"/>
      <x:c r="S2960" t="str">
        <x:v>Pending genuine supplier/brand image</x:v>
      </x:c>
      <x:c r="T2960" s="54"/>
      <x:c r="U2960" s="47" t="n">
        <x:v>0.2</x:v>
      </x:c>
      <x:c r="V2960" s="54" t="str">
        <x:f>IF(ISNUMBER(T2960),T2960*(1+U2960),"")</x:f>
      </x:c>
      <x:c r="W2960" s="47" t="n">
        <x:v>0.3</x:v>
      </x:c>
      <x:c r="X2960" s="54" t="str">
        <x:f>IF(ISNUMBER(V2960),V2960/(1-W2960),"")</x:f>
      </x:c>
      <x:c r="Y2960" s="55" t="str">
        <x:f>IF(ISNUMBER(X2960),ROUNDUP(X2960,0),"")</x:f>
      </x:c>
      <x:c r="Z2960" t="str">
        <x:f>IF(ISNUMBER(T2960),"Cost captured","Awaiting trade cost")</x:f>
        <x:v>Awaiting trade cost</x:v>
      </x:c>
      <x:c r="AB2960" s="36" t="str">
        <x:f>IF(ISNUMBER(Y2960),ROUND(Y2960*0.9,2),"")</x:f>
      </x:c>
      <x:c r="AC2960" s="36" t="str">
        <x:f>IF(ISNUMBER(AB2960),ROUND(AB2960-(AB2960*0.015+0.2)-V2960,2),"")</x:f>
      </x:c>
      <x:c r="AD2960" s="36" t="str">
        <x:f>IF(ISNUMBER(Y2960),ROUND(Y2960*0.8,2),"")</x:f>
      </x:c>
      <x:c r="AE2960" s="36" t="str">
        <x:f>IF(ISNUMBER(AD2960),ROUND(AD2960*0.015+0.2,2),"")</x:f>
      </x:c>
      <x:c r="AF2960" s="36" t="str">
        <x:f>IF(ISNUMBER(AD2960),ROUND(AD2960-AE2960-V2960,2),"")</x:f>
      </x:c>
      <x:c r="AG2960" t="str">
        <x:f>IF(NOT(ISNUMBER(T2960)),"PENDING",IF(AF2960&gt;0,"PASS","FAIL"))</x:f>
        <x:v>PENDING</x:v>
      </x:c>
      <x:c r="AH2960" t="str">
        <x:f>IF(NOT(ISNUMBER(T2960)),"Needs supplier cost",IF(K2960&lt;&gt;"In stock","Supplier unavailable",IF(AG2960&lt;&gt;"PASS","BLOCK - GT loss risk","Commercially protected")))</x:f>
        <x:v>Needs supplier cost</x:v>
      </x:c>
      <x:c r="AI2960" t="str">
        <x:v>2026-09-10 Active Sports trade capture</x:v>
      </x:c>
      <x:c r="AJ2960" t="str">
        <x:v>Management-only economics. Stripe stress test uses 1.5% + £0.20 standard UK online-card fee; pallet/mix-and-match pricing ignored.</x:v>
      </x:c>
    </x:row>
    <x:row r="2961">
      <x:c r="A2961" t="str">
        <x:v>Active Sports Nutrition</x:v>
      </x:c>
      <x:c r="B2961" t="str">
        <x:v>Refined Nutrition</x:v>
      </x:c>
      <x:c r="C2961" t="str">
        <x:v>Ultra Whey</x:v>
      </x:c>
      <x:c r="D2961" t="str">
        <x:v>Supplements</x:v>
      </x:c>
      <x:c r="E2961" t="str">
        <x:v>Whey Protein</x:v>
      </x:c>
      <x:c r="F2961" t="str"/>
      <x:c r="G2961" t="str">
        <x:v>2kg</x:v>
      </x:c>
      <x:c r="H2961" t="str">
        <x:v>Chocolate Peanut Butter</x:v>
      </x:c>
      <x:c r="I2961" t="str"/>
      <x:c r="J2961" t="str">
        <x:v>Unit</x:v>
      </x:c>
      <x:c r="K2961" t="str">
        <x:v>In stock</x:v>
      </x:c>
      <x:c r="L2961" t="str">
        <x:v>2026-09-08</x:v>
      </x:c>
      <x:c r="M2961" t="str"/>
      <x:c r="N2961" t="str"/>
      <x:c r="O2961" t="str">
        <x:v>https://www.activesportstrade.co.uk/refined-nutrition-trade</x:v>
      </x:c>
      <x:c r="P2961" t="str">
        <x:v>Duplicate Caramel Biscuit supplier row deduplicated.</x:v>
      </x:c>
      <x:c r="Q2961" t="str"/>
      <x:c r="R2961" t="str"/>
      <x:c r="S2961" t="str">
        <x:v>Pending genuine supplier/brand image</x:v>
      </x:c>
      <x:c r="T2961" s="54"/>
      <x:c r="U2961" s="47" t="n">
        <x:v>0.2</x:v>
      </x:c>
      <x:c r="V2961" s="54" t="str">
        <x:f>IF(ISNUMBER(T2961),T2961*(1+U2961),"")</x:f>
      </x:c>
      <x:c r="W2961" s="47" t="n">
        <x:v>0.3</x:v>
      </x:c>
      <x:c r="X2961" s="54" t="str">
        <x:f>IF(ISNUMBER(V2961),V2961/(1-W2961),"")</x:f>
      </x:c>
      <x:c r="Y2961" s="55" t="str">
        <x:f>IF(ISNUMBER(X2961),ROUNDUP(X2961,0),"")</x:f>
      </x:c>
      <x:c r="Z2961" t="str">
        <x:f>IF(ISNUMBER(T2961),"Cost captured","Awaiting trade cost")</x:f>
        <x:v>Awaiting trade cost</x:v>
      </x:c>
      <x:c r="AB2961" s="36" t="str">
        <x:f>IF(ISNUMBER(Y2961),ROUND(Y2961*0.9,2),"")</x:f>
      </x:c>
      <x:c r="AC2961" s="36" t="str">
        <x:f>IF(ISNUMBER(AB2961),ROUND(AB2961-(AB2961*0.015+0.2)-V2961,2),"")</x:f>
      </x:c>
      <x:c r="AD2961" s="36" t="str">
        <x:f>IF(ISNUMBER(Y2961),ROUND(Y2961*0.8,2),"")</x:f>
      </x:c>
      <x:c r="AE2961" s="36" t="str">
        <x:f>IF(ISNUMBER(AD2961),ROUND(AD2961*0.015+0.2,2),"")</x:f>
      </x:c>
      <x:c r="AF2961" s="36" t="str">
        <x:f>IF(ISNUMBER(AD2961),ROUND(AD2961-AE2961-V2961,2),"")</x:f>
      </x:c>
      <x:c r="AG2961" t="str">
        <x:f>IF(NOT(ISNUMBER(T2961)),"PENDING",IF(AF2961&gt;0,"PASS","FAIL"))</x:f>
        <x:v>PENDING</x:v>
      </x:c>
      <x:c r="AH2961" t="str">
        <x:f>IF(NOT(ISNUMBER(T2961)),"Needs supplier cost",IF(K2961&lt;&gt;"In stock","Supplier unavailable",IF(AG2961&lt;&gt;"PASS","BLOCK - GT loss risk","Commercially protected")))</x:f>
        <x:v>Needs supplier cost</x:v>
      </x:c>
      <x:c r="AI2961" t="str">
        <x:v>2026-09-10 Active Sports trade capture</x:v>
      </x:c>
      <x:c r="AJ2961" t="str">
        <x:v>Management-only economics. Stripe stress test uses 1.5% + £0.20 standard UK online-card fee; pallet/mix-and-match pricing ignored.</x:v>
      </x:c>
    </x:row>
    <x:row r="2962">
      <x:c r="A2962" t="str">
        <x:v>Active Sports Nutrition</x:v>
      </x:c>
      <x:c r="B2962" t="str">
        <x:v>Refined Nutrition</x:v>
      </x:c>
      <x:c r="C2962" t="str">
        <x:v>Ultra Whey</x:v>
      </x:c>
      <x:c r="D2962" t="str">
        <x:v>Supplements</x:v>
      </x:c>
      <x:c r="E2962" t="str">
        <x:v>Whey Protein</x:v>
      </x:c>
      <x:c r="F2962" t="str"/>
      <x:c r="G2962" t="str">
        <x:v>2kg</x:v>
      </x:c>
      <x:c r="H2962" t="str">
        <x:v>Chocolate Pistachio</x:v>
      </x:c>
      <x:c r="I2962" t="str"/>
      <x:c r="J2962" t="str">
        <x:v>Unit</x:v>
      </x:c>
      <x:c r="K2962" t="str">
        <x:v>In stock</x:v>
      </x:c>
      <x:c r="L2962" t="str">
        <x:v>2026-09-08</x:v>
      </x:c>
      <x:c r="M2962" t="str"/>
      <x:c r="N2962" t="str"/>
      <x:c r="O2962" t="str">
        <x:v>https://www.activesportstrade.co.uk/refined-nutrition-trade</x:v>
      </x:c>
      <x:c r="P2962" t="str">
        <x:v>Duplicate Caramel Biscuit supplier row deduplicated.</x:v>
      </x:c>
      <x:c r="Q2962" t="str"/>
      <x:c r="R2962" t="str"/>
      <x:c r="S2962" t="str">
        <x:v>Pending genuine supplier/brand image</x:v>
      </x:c>
      <x:c r="T2962" s="54"/>
      <x:c r="U2962" s="47" t="n">
        <x:v>0.2</x:v>
      </x:c>
      <x:c r="V2962" s="54" t="str">
        <x:f>IF(ISNUMBER(T2962),T2962*(1+U2962),"")</x:f>
      </x:c>
      <x:c r="W2962" s="47" t="n">
        <x:v>0.3</x:v>
      </x:c>
      <x:c r="X2962" s="54" t="str">
        <x:f>IF(ISNUMBER(V2962),V2962/(1-W2962),"")</x:f>
      </x:c>
      <x:c r="Y2962" s="55" t="str">
        <x:f>IF(ISNUMBER(X2962),ROUNDUP(X2962,0),"")</x:f>
      </x:c>
      <x:c r="Z2962" t="str">
        <x:f>IF(ISNUMBER(T2962),"Cost captured","Awaiting trade cost")</x:f>
        <x:v>Awaiting trade cost</x:v>
      </x:c>
      <x:c r="AB2962" s="36" t="str">
        <x:f>IF(ISNUMBER(Y2962),ROUND(Y2962*0.9,2),"")</x:f>
      </x:c>
      <x:c r="AC2962" s="36" t="str">
        <x:f>IF(ISNUMBER(AB2962),ROUND(AB2962-(AB2962*0.015+0.2)-V2962,2),"")</x:f>
      </x:c>
      <x:c r="AD2962" s="36" t="str">
        <x:f>IF(ISNUMBER(Y2962),ROUND(Y2962*0.8,2),"")</x:f>
      </x:c>
      <x:c r="AE2962" s="36" t="str">
        <x:f>IF(ISNUMBER(AD2962),ROUND(AD2962*0.015+0.2,2),"")</x:f>
      </x:c>
      <x:c r="AF2962" s="36" t="str">
        <x:f>IF(ISNUMBER(AD2962),ROUND(AD2962-AE2962-V2962,2),"")</x:f>
      </x:c>
      <x:c r="AG2962" t="str">
        <x:f>IF(NOT(ISNUMBER(T2962)),"PENDING",IF(AF2962&gt;0,"PASS","FAIL"))</x:f>
        <x:v>PENDING</x:v>
      </x:c>
      <x:c r="AH2962" t="str">
        <x:f>IF(NOT(ISNUMBER(T2962)),"Needs supplier cost",IF(K2962&lt;&gt;"In stock","Supplier unavailable",IF(AG2962&lt;&gt;"PASS","BLOCK - GT loss risk","Commercially protected")))</x:f>
        <x:v>Needs supplier cost</x:v>
      </x:c>
      <x:c r="AI2962" t="str">
        <x:v>2026-09-10 Active Sports trade capture</x:v>
      </x:c>
      <x:c r="AJ2962" t="str">
        <x:v>Management-only economics. Stripe stress test uses 1.5% + £0.20 standard UK online-card fee; pallet/mix-and-match pricing ignored.</x:v>
      </x:c>
    </x:row>
    <x:row r="2963">
      <x:c r="A2963" t="str">
        <x:v>Active Sports Nutrition</x:v>
      </x:c>
      <x:c r="B2963" t="str">
        <x:v>Refined Nutrition</x:v>
      </x:c>
      <x:c r="C2963" t="str">
        <x:v>Ultra Whey</x:v>
      </x:c>
      <x:c r="D2963" t="str">
        <x:v>Supplements</x:v>
      </x:c>
      <x:c r="E2963" t="str">
        <x:v>Whey Protein</x:v>
      </x:c>
      <x:c r="F2963" t="str"/>
      <x:c r="G2963" t="str">
        <x:v>2kg</x:v>
      </x:c>
      <x:c r="H2963" t="str">
        <x:v>Coconut Ice Cream</x:v>
      </x:c>
      <x:c r="I2963" t="str"/>
      <x:c r="J2963" t="str">
        <x:v>Unit</x:v>
      </x:c>
      <x:c r="K2963" t="str">
        <x:v>Out of stock</x:v>
      </x:c>
      <x:c r="L2963" t="str">
        <x:v>2026-09-08</x:v>
      </x:c>
      <x:c r="M2963" t="str"/>
      <x:c r="N2963" t="str"/>
      <x:c r="O2963" t="str">
        <x:v>https://www.activesportstrade.co.uk/refined-nutrition-trade</x:v>
      </x:c>
      <x:c r="P2963" t="str">
        <x:v>Duplicate Caramel Biscuit supplier row deduplicated.</x:v>
      </x:c>
      <x:c r="Q2963" t="str"/>
      <x:c r="R2963" t="str"/>
      <x:c r="S2963" t="str">
        <x:v>Pending genuine supplier/brand image</x:v>
      </x:c>
      <x:c r="T2963" s="54"/>
      <x:c r="U2963" s="47" t="n">
        <x:v>0.2</x:v>
      </x:c>
      <x:c r="V2963" s="54" t="str">
        <x:f>IF(ISNUMBER(T2963),T2963*(1+U2963),"")</x:f>
      </x:c>
      <x:c r="W2963" s="47" t="n">
        <x:v>0.3</x:v>
      </x:c>
      <x:c r="X2963" s="54" t="str">
        <x:f>IF(ISNUMBER(V2963),V2963/(1-W2963),"")</x:f>
      </x:c>
      <x:c r="Y2963" s="55" t="str">
        <x:f>IF(ISNUMBER(X2963),ROUNDUP(X2963,0),"")</x:f>
      </x:c>
      <x:c r="Z2963" t="str">
        <x:f>IF(ISNUMBER(T2963),"Cost captured","Awaiting trade cost")</x:f>
        <x:v>Awaiting trade cost</x:v>
      </x:c>
      <x:c r="AB2963" s="36" t="str">
        <x:f>IF(ISNUMBER(Y2963),ROUND(Y2963*0.9,2),"")</x:f>
      </x:c>
      <x:c r="AC2963" s="36" t="str">
        <x:f>IF(ISNUMBER(AB2963),ROUND(AB2963-(AB2963*0.015+0.2)-V2963,2),"")</x:f>
      </x:c>
      <x:c r="AD2963" s="36" t="str">
        <x:f>IF(ISNUMBER(Y2963),ROUND(Y2963*0.8,2),"")</x:f>
      </x:c>
      <x:c r="AE2963" s="36" t="str">
        <x:f>IF(ISNUMBER(AD2963),ROUND(AD2963*0.015+0.2,2),"")</x:f>
      </x:c>
      <x:c r="AF2963" s="36" t="str">
        <x:f>IF(ISNUMBER(AD2963),ROUND(AD2963-AE2963-V2963,2),"")</x:f>
      </x:c>
      <x:c r="AG2963" t="str">
        <x:f>IF(NOT(ISNUMBER(T2963)),"PENDING",IF(AF2963&gt;0,"PASS","FAIL"))</x:f>
        <x:v>PENDING</x:v>
      </x:c>
      <x:c r="AH2963" t="str">
        <x:f>IF(NOT(ISNUMBER(T2963)),"Needs supplier cost",IF(K2963&lt;&gt;"In stock","Supplier unavailable",IF(AG2963&lt;&gt;"PASS","BLOCK - GT loss risk","Commercially protected")))</x:f>
        <x:v>Needs supplier cost</x:v>
      </x:c>
      <x:c r="AI2963" t="str">
        <x:v>2026-09-10 Active Sports trade capture</x:v>
      </x:c>
      <x:c r="AJ2963" t="str">
        <x:v>Management-only economics. Stripe stress test uses 1.5% + £0.20 standard UK online-card fee; pallet/mix-and-match pricing ignored.</x:v>
      </x:c>
    </x:row>
    <x:row r="2964">
      <x:c r="A2964" t="str">
        <x:v>Active Sports Nutrition</x:v>
      </x:c>
      <x:c r="B2964" t="str">
        <x:v>Refined Nutrition</x:v>
      </x:c>
      <x:c r="C2964" t="str">
        <x:v>Ultra Whey</x:v>
      </x:c>
      <x:c r="D2964" t="str">
        <x:v>Supplements</x:v>
      </x:c>
      <x:c r="E2964" t="str">
        <x:v>Whey Protein</x:v>
      </x:c>
      <x:c r="F2964" t="str"/>
      <x:c r="G2964" t="str">
        <x:v>2kg</x:v>
      </x:c>
      <x:c r="H2964" t="str">
        <x:v>Cookie Dough</x:v>
      </x:c>
      <x:c r="I2964" t="str"/>
      <x:c r="J2964" t="str">
        <x:v>Unit</x:v>
      </x:c>
      <x:c r="K2964" t="str">
        <x:v>In stock</x:v>
      </x:c>
      <x:c r="L2964" t="str">
        <x:v>2026-09-08</x:v>
      </x:c>
      <x:c r="M2964" t="str"/>
      <x:c r="N2964" t="str"/>
      <x:c r="O2964" t="str">
        <x:v>https://www.activesportstrade.co.uk/refined-nutrition-trade</x:v>
      </x:c>
      <x:c r="P2964" t="str">
        <x:v>Duplicate Caramel Biscuit supplier row deduplicated.</x:v>
      </x:c>
      <x:c r="Q2964" t="str"/>
      <x:c r="R2964" t="str"/>
      <x:c r="S2964" t="str">
        <x:v>Pending genuine supplier/brand image</x:v>
      </x:c>
      <x:c r="T2964" s="54"/>
      <x:c r="U2964" s="47" t="n">
        <x:v>0.2</x:v>
      </x:c>
      <x:c r="V2964" s="54" t="str">
        <x:f>IF(ISNUMBER(T2964),T2964*(1+U2964),"")</x:f>
      </x:c>
      <x:c r="W2964" s="47" t="n">
        <x:v>0.3</x:v>
      </x:c>
      <x:c r="X2964" s="54" t="str">
        <x:f>IF(ISNUMBER(V2964),V2964/(1-W2964),"")</x:f>
      </x:c>
      <x:c r="Y2964" s="55" t="str">
        <x:f>IF(ISNUMBER(X2964),ROUNDUP(X2964,0),"")</x:f>
      </x:c>
      <x:c r="Z2964" t="str">
        <x:f>IF(ISNUMBER(T2964),"Cost captured","Awaiting trade cost")</x:f>
        <x:v>Awaiting trade cost</x:v>
      </x:c>
      <x:c r="AB2964" s="36" t="str">
        <x:f>IF(ISNUMBER(Y2964),ROUND(Y2964*0.9,2),"")</x:f>
      </x:c>
      <x:c r="AC2964" s="36" t="str">
        <x:f>IF(ISNUMBER(AB2964),ROUND(AB2964-(AB2964*0.015+0.2)-V2964,2),"")</x:f>
      </x:c>
      <x:c r="AD2964" s="36" t="str">
        <x:f>IF(ISNUMBER(Y2964),ROUND(Y2964*0.8,2),"")</x:f>
      </x:c>
      <x:c r="AE2964" s="36" t="str">
        <x:f>IF(ISNUMBER(AD2964),ROUND(AD2964*0.015+0.2,2),"")</x:f>
      </x:c>
      <x:c r="AF2964" s="36" t="str">
        <x:f>IF(ISNUMBER(AD2964),ROUND(AD2964-AE2964-V2964,2),"")</x:f>
      </x:c>
      <x:c r="AG2964" t="str">
        <x:f>IF(NOT(ISNUMBER(T2964)),"PENDING",IF(AF2964&gt;0,"PASS","FAIL"))</x:f>
        <x:v>PENDING</x:v>
      </x:c>
      <x:c r="AH2964" t="str">
        <x:f>IF(NOT(ISNUMBER(T2964)),"Needs supplier cost",IF(K2964&lt;&gt;"In stock","Supplier unavailable",IF(AG2964&lt;&gt;"PASS","BLOCK - GT loss risk","Commercially protected")))</x:f>
        <x:v>Needs supplier cost</x:v>
      </x:c>
      <x:c r="AI2964" t="str">
        <x:v>2026-09-10 Active Sports trade capture</x:v>
      </x:c>
      <x:c r="AJ2964" t="str">
        <x:v>Management-only economics. Stripe stress test uses 1.5% + £0.20 standard UK online-card fee; pallet/mix-and-match pricing ignored.</x:v>
      </x:c>
    </x:row>
    <x:row r="2965">
      <x:c r="A2965" t="str">
        <x:v>Active Sports Nutrition</x:v>
      </x:c>
      <x:c r="B2965" t="str">
        <x:v>Refined Nutrition</x:v>
      </x:c>
      <x:c r="C2965" t="str">
        <x:v>Ultra Whey</x:v>
      </x:c>
      <x:c r="D2965" t="str">
        <x:v>Supplements</x:v>
      </x:c>
      <x:c r="E2965" t="str">
        <x:v>Whey Protein</x:v>
      </x:c>
      <x:c r="F2965" t="str"/>
      <x:c r="G2965" t="str">
        <x:v>2kg</x:v>
      </x:c>
      <x:c r="H2965" t="str">
        <x:v>Cookies &amp; Cream</x:v>
      </x:c>
      <x:c r="I2965" t="str"/>
      <x:c r="J2965" t="str">
        <x:v>Unit</x:v>
      </x:c>
      <x:c r="K2965" t="str">
        <x:v>In stock</x:v>
      </x:c>
      <x:c r="L2965" t="str">
        <x:v>2026-09-08</x:v>
      </x:c>
      <x:c r="M2965" t="str"/>
      <x:c r="N2965" t="str"/>
      <x:c r="O2965" t="str">
        <x:v>https://www.activesportstrade.co.uk/refined-nutrition-trade</x:v>
      </x:c>
      <x:c r="P2965" t="str">
        <x:v>Duplicate Caramel Biscuit supplier row deduplicated.</x:v>
      </x:c>
      <x:c r="Q2965" t="str"/>
      <x:c r="R2965" t="str"/>
      <x:c r="S2965" t="str">
        <x:v>Pending genuine supplier/brand image</x:v>
      </x:c>
      <x:c r="T2965" s="54"/>
      <x:c r="U2965" s="47" t="n">
        <x:v>0.2</x:v>
      </x:c>
      <x:c r="V2965" s="54" t="str">
        <x:f>IF(ISNUMBER(T2965),T2965*(1+U2965),"")</x:f>
      </x:c>
      <x:c r="W2965" s="47" t="n">
        <x:v>0.3</x:v>
      </x:c>
      <x:c r="X2965" s="54" t="str">
        <x:f>IF(ISNUMBER(V2965),V2965/(1-W2965),"")</x:f>
      </x:c>
      <x:c r="Y2965" s="55" t="str">
        <x:f>IF(ISNUMBER(X2965),ROUNDUP(X2965,0),"")</x:f>
      </x:c>
      <x:c r="Z2965" t="str">
        <x:f>IF(ISNUMBER(T2965),"Cost captured","Awaiting trade cost")</x:f>
        <x:v>Awaiting trade cost</x:v>
      </x:c>
      <x:c r="AB2965" s="36" t="str">
        <x:f>IF(ISNUMBER(Y2965),ROUND(Y2965*0.9,2),"")</x:f>
      </x:c>
      <x:c r="AC2965" s="36" t="str">
        <x:f>IF(ISNUMBER(AB2965),ROUND(AB2965-(AB2965*0.015+0.2)-V2965,2),"")</x:f>
      </x:c>
      <x:c r="AD2965" s="36" t="str">
        <x:f>IF(ISNUMBER(Y2965),ROUND(Y2965*0.8,2),"")</x:f>
      </x:c>
      <x:c r="AE2965" s="36" t="str">
        <x:f>IF(ISNUMBER(AD2965),ROUND(AD2965*0.015+0.2,2),"")</x:f>
      </x:c>
      <x:c r="AF2965" s="36" t="str">
        <x:f>IF(ISNUMBER(AD2965),ROUND(AD2965-AE2965-V2965,2),"")</x:f>
      </x:c>
      <x:c r="AG2965" t="str">
        <x:f>IF(NOT(ISNUMBER(T2965)),"PENDING",IF(AF2965&gt;0,"PASS","FAIL"))</x:f>
        <x:v>PENDING</x:v>
      </x:c>
      <x:c r="AH2965" t="str">
        <x:f>IF(NOT(ISNUMBER(T2965)),"Needs supplier cost",IF(K2965&lt;&gt;"In stock","Supplier unavailable",IF(AG2965&lt;&gt;"PASS","BLOCK - GT loss risk","Commercially protected")))</x:f>
        <x:v>Needs supplier cost</x:v>
      </x:c>
      <x:c r="AI2965" t="str">
        <x:v>2026-09-10 Active Sports trade capture</x:v>
      </x:c>
      <x:c r="AJ2965" t="str">
        <x:v>Management-only economics. Stripe stress test uses 1.5% + £0.20 standard UK online-card fee; pallet/mix-and-match pricing ignored.</x:v>
      </x:c>
    </x:row>
    <x:row r="2966">
      <x:c r="A2966" t="str">
        <x:v>Active Sports Nutrition</x:v>
      </x:c>
      <x:c r="B2966" t="str">
        <x:v>Refined Nutrition</x:v>
      </x:c>
      <x:c r="C2966" t="str">
        <x:v>Ultra Whey</x:v>
      </x:c>
      <x:c r="D2966" t="str">
        <x:v>Supplements</x:v>
      </x:c>
      <x:c r="E2966" t="str">
        <x:v>Whey Protein</x:v>
      </x:c>
      <x:c r="F2966" t="str"/>
      <x:c r="G2966" t="str">
        <x:v>2kg</x:v>
      </x:c>
      <x:c r="H2966" t="str">
        <x:v>Milk Chocolate Hazelnut</x:v>
      </x:c>
      <x:c r="I2966" t="str"/>
      <x:c r="J2966" t="str">
        <x:v>Unit</x:v>
      </x:c>
      <x:c r="K2966" t="str">
        <x:v>In stock</x:v>
      </x:c>
      <x:c r="L2966" t="str">
        <x:v>2026-09-08</x:v>
      </x:c>
      <x:c r="M2966" t="str"/>
      <x:c r="N2966" t="str"/>
      <x:c r="O2966" t="str">
        <x:v>https://www.activesportstrade.co.uk/refined-nutrition-trade</x:v>
      </x:c>
      <x:c r="P2966" t="str">
        <x:v>Duplicate Caramel Biscuit supplier row deduplicated.</x:v>
      </x:c>
      <x:c r="Q2966" t="str"/>
      <x:c r="R2966" t="str"/>
      <x:c r="S2966" t="str">
        <x:v>Pending genuine supplier/brand image</x:v>
      </x:c>
      <x:c r="T2966" s="54"/>
      <x:c r="U2966" s="47" t="n">
        <x:v>0.2</x:v>
      </x:c>
      <x:c r="V2966" s="54" t="str">
        <x:f>IF(ISNUMBER(T2966),T2966*(1+U2966),"")</x:f>
      </x:c>
      <x:c r="W2966" s="47" t="n">
        <x:v>0.3</x:v>
      </x:c>
      <x:c r="X2966" s="54" t="str">
        <x:f>IF(ISNUMBER(V2966),V2966/(1-W2966),"")</x:f>
      </x:c>
      <x:c r="Y2966" s="55" t="str">
        <x:f>IF(ISNUMBER(X2966),ROUNDUP(X2966,0),"")</x:f>
      </x:c>
      <x:c r="Z2966" t="str">
        <x:f>IF(ISNUMBER(T2966),"Cost captured","Awaiting trade cost")</x:f>
        <x:v>Awaiting trade cost</x:v>
      </x:c>
      <x:c r="AB2966" s="36" t="str">
        <x:f>IF(ISNUMBER(Y2966),ROUND(Y2966*0.9,2),"")</x:f>
      </x:c>
      <x:c r="AC2966" s="36" t="str">
        <x:f>IF(ISNUMBER(AB2966),ROUND(AB2966-(AB2966*0.015+0.2)-V2966,2),"")</x:f>
      </x:c>
      <x:c r="AD2966" s="36" t="str">
        <x:f>IF(ISNUMBER(Y2966),ROUND(Y2966*0.8,2),"")</x:f>
      </x:c>
      <x:c r="AE2966" s="36" t="str">
        <x:f>IF(ISNUMBER(AD2966),ROUND(AD2966*0.015+0.2,2),"")</x:f>
      </x:c>
      <x:c r="AF2966" s="36" t="str">
        <x:f>IF(ISNUMBER(AD2966),ROUND(AD2966-AE2966-V2966,2),"")</x:f>
      </x:c>
      <x:c r="AG2966" t="str">
        <x:f>IF(NOT(ISNUMBER(T2966)),"PENDING",IF(AF2966&gt;0,"PASS","FAIL"))</x:f>
        <x:v>PENDING</x:v>
      </x:c>
      <x:c r="AH2966" t="str">
        <x:f>IF(NOT(ISNUMBER(T2966)),"Needs supplier cost",IF(K2966&lt;&gt;"In stock","Supplier unavailable",IF(AG2966&lt;&gt;"PASS","BLOCK - GT loss risk","Commercially protected")))</x:f>
        <x:v>Needs supplier cost</x:v>
      </x:c>
      <x:c r="AI2966" t="str">
        <x:v>2026-09-10 Active Sports trade capture</x:v>
      </x:c>
      <x:c r="AJ2966" t="str">
        <x:v>Management-only economics. Stripe stress test uses 1.5% + £0.20 standard UK online-card fee; pallet/mix-and-match pricing ignored.</x:v>
      </x:c>
    </x:row>
    <x:row r="2967">
      <x:c r="A2967" t="str">
        <x:v>Active Sports Nutrition</x:v>
      </x:c>
      <x:c r="B2967" t="str">
        <x:v>Refined Nutrition</x:v>
      </x:c>
      <x:c r="C2967" t="str">
        <x:v>Ultra Whey</x:v>
      </x:c>
      <x:c r="D2967" t="str">
        <x:v>Supplements</x:v>
      </x:c>
      <x:c r="E2967" t="str">
        <x:v>Whey Protein</x:v>
      </x:c>
      <x:c r="F2967" t="str"/>
      <x:c r="G2967" t="str">
        <x:v>2kg</x:v>
      </x:c>
      <x:c r="H2967" t="str">
        <x:v>Strawberry Banana</x:v>
      </x:c>
      <x:c r="I2967" t="str"/>
      <x:c r="J2967" t="str">
        <x:v>Unit</x:v>
      </x:c>
      <x:c r="K2967" t="str">
        <x:v>Out of stock</x:v>
      </x:c>
      <x:c r="L2967" t="str">
        <x:v>2026-09-08</x:v>
      </x:c>
      <x:c r="M2967" t="str"/>
      <x:c r="N2967" t="str"/>
      <x:c r="O2967" t="str">
        <x:v>https://www.activesportstrade.co.uk/refined-nutrition-trade</x:v>
      </x:c>
      <x:c r="P2967" t="str">
        <x:v>Duplicate Caramel Biscuit supplier row deduplicated.</x:v>
      </x:c>
      <x:c r="Q2967" t="str"/>
      <x:c r="R2967" t="str"/>
      <x:c r="S2967" t="str">
        <x:v>Pending genuine supplier/brand image</x:v>
      </x:c>
      <x:c r="T2967" s="54"/>
      <x:c r="U2967" s="47" t="n">
        <x:v>0.2</x:v>
      </x:c>
      <x:c r="V2967" s="54" t="str">
        <x:f>IF(ISNUMBER(T2967),T2967*(1+U2967),"")</x:f>
      </x:c>
      <x:c r="W2967" s="47" t="n">
        <x:v>0.3</x:v>
      </x:c>
      <x:c r="X2967" s="54" t="str">
        <x:f>IF(ISNUMBER(V2967),V2967/(1-W2967),"")</x:f>
      </x:c>
      <x:c r="Y2967" s="55" t="str">
        <x:f>IF(ISNUMBER(X2967),ROUNDUP(X2967,0),"")</x:f>
      </x:c>
      <x:c r="Z2967" t="str">
        <x:f>IF(ISNUMBER(T2967),"Cost captured","Awaiting trade cost")</x:f>
        <x:v>Awaiting trade cost</x:v>
      </x:c>
      <x:c r="AB2967" s="36" t="str">
        <x:f>IF(ISNUMBER(Y2967),ROUND(Y2967*0.9,2),"")</x:f>
      </x:c>
      <x:c r="AC2967" s="36" t="str">
        <x:f>IF(ISNUMBER(AB2967),ROUND(AB2967-(AB2967*0.015+0.2)-V2967,2),"")</x:f>
      </x:c>
      <x:c r="AD2967" s="36" t="str">
        <x:f>IF(ISNUMBER(Y2967),ROUND(Y2967*0.8,2),"")</x:f>
      </x:c>
      <x:c r="AE2967" s="36" t="str">
        <x:f>IF(ISNUMBER(AD2967),ROUND(AD2967*0.015+0.2,2),"")</x:f>
      </x:c>
      <x:c r="AF2967" s="36" t="str">
        <x:f>IF(ISNUMBER(AD2967),ROUND(AD2967-AE2967-V2967,2),"")</x:f>
      </x:c>
      <x:c r="AG2967" t="str">
        <x:f>IF(NOT(ISNUMBER(T2967)),"PENDING",IF(AF2967&gt;0,"PASS","FAIL"))</x:f>
        <x:v>PENDING</x:v>
      </x:c>
      <x:c r="AH2967" t="str">
        <x:f>IF(NOT(ISNUMBER(T2967)),"Needs supplier cost",IF(K2967&lt;&gt;"In stock","Supplier unavailable",IF(AG2967&lt;&gt;"PASS","BLOCK - GT loss risk","Commercially protected")))</x:f>
        <x:v>Needs supplier cost</x:v>
      </x:c>
      <x:c r="AI2967" t="str">
        <x:v>2026-09-10 Active Sports trade capture</x:v>
      </x:c>
      <x:c r="AJ2967" t="str">
        <x:v>Management-only economics. Stripe stress test uses 1.5% + £0.20 standard UK online-card fee; pallet/mix-and-match pricing ignored.</x:v>
      </x:c>
    </x:row>
    <x:row r="2968">
      <x:c r="A2968" t="str">
        <x:v>Active Sports Nutrition</x:v>
      </x:c>
      <x:c r="B2968" t="str">
        <x:v>Refined Nutrition</x:v>
      </x:c>
      <x:c r="C2968" t="str">
        <x:v>Ultra Whey</x:v>
      </x:c>
      <x:c r="D2968" t="str">
        <x:v>Supplements</x:v>
      </x:c>
      <x:c r="E2968" t="str">
        <x:v>Whey Protein</x:v>
      </x:c>
      <x:c r="F2968" t="str"/>
      <x:c r="G2968" t="str">
        <x:v>2kg</x:v>
      </x:c>
      <x:c r="H2968" t="str">
        <x:v>Strawberry Delight</x:v>
      </x:c>
      <x:c r="I2968" t="str"/>
      <x:c r="J2968" t="str">
        <x:v>Unit</x:v>
      </x:c>
      <x:c r="K2968" t="str">
        <x:v>Out of stock</x:v>
      </x:c>
      <x:c r="L2968" t="str">
        <x:v>2026-09-08</x:v>
      </x:c>
      <x:c r="M2968" t="str"/>
      <x:c r="N2968" t="str"/>
      <x:c r="O2968" t="str">
        <x:v>https://www.activesportstrade.co.uk/refined-nutrition-trade</x:v>
      </x:c>
      <x:c r="P2968" t="str">
        <x:v>Duplicate Caramel Biscuit supplier row deduplicated.</x:v>
      </x:c>
      <x:c r="Q2968" t="str"/>
      <x:c r="R2968" t="str"/>
      <x:c r="S2968" t="str">
        <x:v>Pending genuine supplier/brand image</x:v>
      </x:c>
      <x:c r="T2968" s="54"/>
      <x:c r="U2968" s="47" t="n">
        <x:v>0.2</x:v>
      </x:c>
      <x:c r="V2968" s="54" t="str">
        <x:f>IF(ISNUMBER(T2968),T2968*(1+U2968),"")</x:f>
      </x:c>
      <x:c r="W2968" s="47" t="n">
        <x:v>0.3</x:v>
      </x:c>
      <x:c r="X2968" s="54" t="str">
        <x:f>IF(ISNUMBER(V2968),V2968/(1-W2968),"")</x:f>
      </x:c>
      <x:c r="Y2968" s="55" t="str">
        <x:f>IF(ISNUMBER(X2968),ROUNDUP(X2968,0),"")</x:f>
      </x:c>
      <x:c r="Z2968" t="str">
        <x:f>IF(ISNUMBER(T2968),"Cost captured","Awaiting trade cost")</x:f>
        <x:v>Awaiting trade cost</x:v>
      </x:c>
      <x:c r="AB2968" s="36" t="str">
        <x:f>IF(ISNUMBER(Y2968),ROUND(Y2968*0.9,2),"")</x:f>
      </x:c>
      <x:c r="AC2968" s="36" t="str">
        <x:f>IF(ISNUMBER(AB2968),ROUND(AB2968-(AB2968*0.015+0.2)-V2968,2),"")</x:f>
      </x:c>
      <x:c r="AD2968" s="36" t="str">
        <x:f>IF(ISNUMBER(Y2968),ROUND(Y2968*0.8,2),"")</x:f>
      </x:c>
      <x:c r="AE2968" s="36" t="str">
        <x:f>IF(ISNUMBER(AD2968),ROUND(AD2968*0.015+0.2,2),"")</x:f>
      </x:c>
      <x:c r="AF2968" s="36" t="str">
        <x:f>IF(ISNUMBER(AD2968),ROUND(AD2968-AE2968-V2968,2),"")</x:f>
      </x:c>
      <x:c r="AG2968" t="str">
        <x:f>IF(NOT(ISNUMBER(T2968)),"PENDING",IF(AF2968&gt;0,"PASS","FAIL"))</x:f>
        <x:v>PENDING</x:v>
      </x:c>
      <x:c r="AH2968" t="str">
        <x:f>IF(NOT(ISNUMBER(T2968)),"Needs supplier cost",IF(K2968&lt;&gt;"In stock","Supplier unavailable",IF(AG2968&lt;&gt;"PASS","BLOCK - GT loss risk","Commercially protected")))</x:f>
        <x:v>Needs supplier cost</x:v>
      </x:c>
      <x:c r="AI2968" t="str">
        <x:v>2026-09-10 Active Sports trade capture</x:v>
      </x:c>
      <x:c r="AJ2968" t="str">
        <x:v>Management-only economics. Stripe stress test uses 1.5% + £0.20 standard UK online-card fee; pallet/mix-and-match pricing ignored.</x:v>
      </x:c>
    </x:row>
    <x:row r="2969">
      <x:c r="A2969" t="str">
        <x:v>Active Sports Nutrition</x:v>
      </x:c>
      <x:c r="B2969" t="str">
        <x:v>Refined Nutrition</x:v>
      </x:c>
      <x:c r="C2969" t="str">
        <x:v>Ultra Whey</x:v>
      </x:c>
      <x:c r="D2969" t="str">
        <x:v>Supplements</x:v>
      </x:c>
      <x:c r="E2969" t="str">
        <x:v>Whey Protein</x:v>
      </x:c>
      <x:c r="F2969" t="str"/>
      <x:c r="G2969" t="str">
        <x:v>2kg</x:v>
      </x:c>
      <x:c r="H2969" t="str">
        <x:v>Vanilla Ice Cream</x:v>
      </x:c>
      <x:c r="I2969" t="str"/>
      <x:c r="J2969" t="str">
        <x:v>Unit</x:v>
      </x:c>
      <x:c r="K2969" t="str">
        <x:v>Out of stock</x:v>
      </x:c>
      <x:c r="L2969" t="str">
        <x:v>2026-09-08</x:v>
      </x:c>
      <x:c r="M2969" t="str"/>
      <x:c r="N2969" t="str"/>
      <x:c r="O2969" t="str">
        <x:v>https://www.activesportstrade.co.uk/refined-nutrition-trade</x:v>
      </x:c>
      <x:c r="P2969" t="str">
        <x:v>Duplicate Caramel Biscuit supplier row deduplicated.</x:v>
      </x:c>
      <x:c r="Q2969" t="str"/>
      <x:c r="R2969" t="str"/>
      <x:c r="S2969" t="str">
        <x:v>Pending genuine supplier/brand image</x:v>
      </x:c>
      <x:c r="T2969" s="54"/>
      <x:c r="U2969" s="47" t="n">
        <x:v>0.2</x:v>
      </x:c>
      <x:c r="V2969" s="54" t="str">
        <x:f>IF(ISNUMBER(T2969),T2969*(1+U2969),"")</x:f>
      </x:c>
      <x:c r="W2969" s="47" t="n">
        <x:v>0.3</x:v>
      </x:c>
      <x:c r="X2969" s="54" t="str">
        <x:f>IF(ISNUMBER(V2969),V2969/(1-W2969),"")</x:f>
      </x:c>
      <x:c r="Y2969" s="55" t="str">
        <x:f>IF(ISNUMBER(X2969),ROUNDUP(X2969,0),"")</x:f>
      </x:c>
      <x:c r="Z2969" t="str">
        <x:f>IF(ISNUMBER(T2969),"Cost captured","Awaiting trade cost")</x:f>
        <x:v>Awaiting trade cost</x:v>
      </x:c>
      <x:c r="AB2969" s="36" t="str">
        <x:f>IF(ISNUMBER(Y2969),ROUND(Y2969*0.9,2),"")</x:f>
      </x:c>
      <x:c r="AC2969" s="36" t="str">
        <x:f>IF(ISNUMBER(AB2969),ROUND(AB2969-(AB2969*0.015+0.2)-V2969,2),"")</x:f>
      </x:c>
      <x:c r="AD2969" s="36" t="str">
        <x:f>IF(ISNUMBER(Y2969),ROUND(Y2969*0.8,2),"")</x:f>
      </x:c>
      <x:c r="AE2969" s="36" t="str">
        <x:f>IF(ISNUMBER(AD2969),ROUND(AD2969*0.015+0.2,2),"")</x:f>
      </x:c>
      <x:c r="AF2969" s="36" t="str">
        <x:f>IF(ISNUMBER(AD2969),ROUND(AD2969-AE2969-V2969,2),"")</x:f>
      </x:c>
      <x:c r="AG2969" t="str">
        <x:f>IF(NOT(ISNUMBER(T2969)),"PENDING",IF(AF2969&gt;0,"PASS","FAIL"))</x:f>
        <x:v>PENDING</x:v>
      </x:c>
      <x:c r="AH2969" t="str">
        <x:f>IF(NOT(ISNUMBER(T2969)),"Needs supplier cost",IF(K2969&lt;&gt;"In stock","Supplier unavailable",IF(AG2969&lt;&gt;"PASS","BLOCK - GT loss risk","Commercially protected")))</x:f>
        <x:v>Needs supplier cost</x:v>
      </x:c>
      <x:c r="AI2969" t="str">
        <x:v>2026-09-10 Active Sports trade capture</x:v>
      </x:c>
      <x:c r="AJ2969" t="str">
        <x:v>Management-only economics. Stripe stress test uses 1.5% + £0.20 standard UK online-card fee; pallet/mix-and-match pricing ignored.</x:v>
      </x:c>
    </x:row>
    <x:row r="2970">
      <x:c r="A2970" t="str">
        <x:v>Active Sports Nutrition</x:v>
      </x:c>
      <x:c r="B2970" t="str">
        <x:v>Refined Nutrition</x:v>
      </x:c>
      <x:c r="C2970" t="str">
        <x:v>Ultra Whey</x:v>
      </x:c>
      <x:c r="D2970" t="str">
        <x:v>Supplements</x:v>
      </x:c>
      <x:c r="E2970" t="str">
        <x:v>Whey Protein</x:v>
      </x:c>
      <x:c r="F2970" t="str"/>
      <x:c r="G2970" t="str">
        <x:v>2kg</x:v>
      </x:c>
      <x:c r="H2970" t="str">
        <x:v>White Chocolate Hazelnut</x:v>
      </x:c>
      <x:c r="I2970" t="str"/>
      <x:c r="J2970" t="str">
        <x:v>Unit</x:v>
      </x:c>
      <x:c r="K2970" t="str">
        <x:v>In stock</x:v>
      </x:c>
      <x:c r="L2970" t="str">
        <x:v>2026-09-08</x:v>
      </x:c>
      <x:c r="M2970" t="str"/>
      <x:c r="N2970" t="str"/>
      <x:c r="O2970" t="str">
        <x:v>https://www.activesportstrade.co.uk/refined-nutrition-trade</x:v>
      </x:c>
      <x:c r="P2970" t="str">
        <x:v>Duplicate Caramel Biscuit supplier row deduplicated.</x:v>
      </x:c>
      <x:c r="Q2970" t="str"/>
      <x:c r="R2970" t="str"/>
      <x:c r="S2970" t="str">
        <x:v>Pending genuine supplier/brand image</x:v>
      </x:c>
      <x:c r="T2970" s="54"/>
      <x:c r="U2970" s="47" t="n">
        <x:v>0.2</x:v>
      </x:c>
      <x:c r="V2970" s="54" t="str">
        <x:f>IF(ISNUMBER(T2970),T2970*(1+U2970),"")</x:f>
      </x:c>
      <x:c r="W2970" s="47" t="n">
        <x:v>0.3</x:v>
      </x:c>
      <x:c r="X2970" s="54" t="str">
        <x:f>IF(ISNUMBER(V2970),V2970/(1-W2970),"")</x:f>
      </x:c>
      <x:c r="Y2970" s="55" t="str">
        <x:f>IF(ISNUMBER(X2970),ROUNDUP(X2970,0),"")</x:f>
      </x:c>
      <x:c r="Z2970" t="str">
        <x:f>IF(ISNUMBER(T2970),"Cost captured","Awaiting trade cost")</x:f>
        <x:v>Awaiting trade cost</x:v>
      </x:c>
      <x:c r="AB2970" s="36" t="str">
        <x:f>IF(ISNUMBER(Y2970),ROUND(Y2970*0.9,2),"")</x:f>
      </x:c>
      <x:c r="AC2970" s="36" t="str">
        <x:f>IF(ISNUMBER(AB2970),ROUND(AB2970-(AB2970*0.015+0.2)-V2970,2),"")</x:f>
      </x:c>
      <x:c r="AD2970" s="36" t="str">
        <x:f>IF(ISNUMBER(Y2970),ROUND(Y2970*0.8,2),"")</x:f>
      </x:c>
      <x:c r="AE2970" s="36" t="str">
        <x:f>IF(ISNUMBER(AD2970),ROUND(AD2970*0.015+0.2,2),"")</x:f>
      </x:c>
      <x:c r="AF2970" s="36" t="str">
        <x:f>IF(ISNUMBER(AD2970),ROUND(AD2970-AE2970-V2970,2),"")</x:f>
      </x:c>
      <x:c r="AG2970" t="str">
        <x:f>IF(NOT(ISNUMBER(T2970)),"PENDING",IF(AF2970&gt;0,"PASS","FAIL"))</x:f>
        <x:v>PENDING</x:v>
      </x:c>
      <x:c r="AH2970" t="str">
        <x:f>IF(NOT(ISNUMBER(T2970)),"Needs supplier cost",IF(K2970&lt;&gt;"In stock","Supplier unavailable",IF(AG2970&lt;&gt;"PASS","BLOCK - GT loss risk","Commercially protected")))</x:f>
        <x:v>Needs supplier cost</x:v>
      </x:c>
      <x:c r="AI2970" t="str">
        <x:v>2026-09-10 Active Sports trade capture</x:v>
      </x:c>
      <x:c r="AJ2970" t="str">
        <x:v>Management-only economics. Stripe stress test uses 1.5% + £0.20 standard UK online-card fee; pallet/mix-and-match pricing ignored.</x:v>
      </x:c>
    </x:row>
    <x:row r="2971">
      <x:c r="A2971" t="str">
        <x:v>Active Sports Nutrition</x:v>
      </x:c>
      <x:c r="B2971" t="str">
        <x:v>Refined Nutrition</x:v>
      </x:c>
      <x:c r="C2971" t="str">
        <x:v>Cuts</x:v>
      </x:c>
      <x:c r="D2971" t="str">
        <x:v>Supplements</x:v>
      </x:c>
      <x:c r="E2971" t="str">
        <x:v>Diet Products</x:v>
      </x:c>
      <x:c r="F2971" t="str"/>
      <x:c r="G2971" t="str">
        <x:v>90 caps</x:v>
      </x:c>
      <x:c r="H2971" t="str">
        <x:v>Standard</x:v>
      </x:c>
      <x:c r="I2971" t="str"/>
      <x:c r="J2971" t="str">
        <x:v>Unit</x:v>
      </x:c>
      <x:c r="K2971" t="str">
        <x:v>In stock</x:v>
      </x:c>
      <x:c r="L2971" t="str">
        <x:v>2026-09-08</x:v>
      </x:c>
      <x:c r="M2971" t="str"/>
      <x:c r="N2971" t="str"/>
      <x:c r="O2971" t="str">
        <x:v>https://www.activesportstrade.co.uk/refined-nutrition-trade</x:v>
      </x:c>
      <x:c r="P2971" t="str"/>
      <x:c r="Q2971" t="str"/>
      <x:c r="R2971" t="str"/>
      <x:c r="S2971" t="str">
        <x:v>Pending genuine supplier/brand image</x:v>
      </x:c>
      <x:c r="T2971" s="54"/>
      <x:c r="U2971" s="47" t="n">
        <x:v>0.2</x:v>
      </x:c>
      <x:c r="V2971" s="54" t="str">
        <x:f>IF(ISNUMBER(T2971),T2971*(1+U2971),"")</x:f>
      </x:c>
      <x:c r="W2971" s="47" t="n">
        <x:v>0.3</x:v>
      </x:c>
      <x:c r="X2971" s="54" t="str">
        <x:f>IF(ISNUMBER(V2971),V2971/(1-W2971),"")</x:f>
      </x:c>
      <x:c r="Y2971" s="55" t="str">
        <x:f>IF(ISNUMBER(X2971),ROUNDUP(X2971,0),"")</x:f>
      </x:c>
      <x:c r="Z2971" t="str">
        <x:f>IF(ISNUMBER(T2971),"Cost captured","Awaiting trade cost")</x:f>
        <x:v>Awaiting trade cost</x:v>
      </x:c>
      <x:c r="AB2971" s="36" t="str">
        <x:f>IF(ISNUMBER(Y2971),ROUND(Y2971*0.9,2),"")</x:f>
      </x:c>
      <x:c r="AC2971" s="36" t="str">
        <x:f>IF(ISNUMBER(AB2971),ROUND(AB2971-(AB2971*0.015+0.2)-V2971,2),"")</x:f>
      </x:c>
      <x:c r="AD2971" s="36" t="str">
        <x:f>IF(ISNUMBER(Y2971),ROUND(Y2971*0.8,2),"")</x:f>
      </x:c>
      <x:c r="AE2971" s="36" t="str">
        <x:f>IF(ISNUMBER(AD2971),ROUND(AD2971*0.015+0.2,2),"")</x:f>
      </x:c>
      <x:c r="AF2971" s="36" t="str">
        <x:f>IF(ISNUMBER(AD2971),ROUND(AD2971-AE2971-V2971,2),"")</x:f>
      </x:c>
      <x:c r="AG2971" t="str">
        <x:f>IF(NOT(ISNUMBER(T2971)),"PENDING",IF(AF2971&gt;0,"PASS","FAIL"))</x:f>
        <x:v>PENDING</x:v>
      </x:c>
      <x:c r="AH2971" t="str">
        <x:f>IF(NOT(ISNUMBER(T2971)),"Needs supplier cost",IF(K2971&lt;&gt;"In stock","Supplier unavailable",IF(AG2971&lt;&gt;"PASS","BLOCK - GT loss risk","Commercially protected")))</x:f>
        <x:v>Needs supplier cost</x:v>
      </x:c>
      <x:c r="AI2971" t="str">
        <x:v>2026-09-10 Active Sports trade capture</x:v>
      </x:c>
      <x:c r="AJ2971" t="str">
        <x:v>Management-only economics. Stripe stress test uses 1.5% + £0.20 standard UK online-card fee; pallet/mix-and-match pricing ignored.</x:v>
      </x:c>
    </x:row>
    <x:row r="2972">
      <x:c r="A2972" t="str">
        <x:v>Active Sports Nutrition</x:v>
      </x:c>
      <x:c r="B2972" t="str">
        <x:v>Refined Nutrition</x:v>
      </x:c>
      <x:c r="C2972" t="str">
        <x:v>Test Drive</x:v>
      </x:c>
      <x:c r="D2972" t="str">
        <x:v>Supplements</x:v>
      </x:c>
      <x:c r="E2972" t="str">
        <x:v>Hormone Support</x:v>
      </x:c>
      <x:c r="F2972" t="str"/>
      <x:c r="G2972" t="str">
        <x:v>120 caps</x:v>
      </x:c>
      <x:c r="H2972" t="str">
        <x:v>Standard</x:v>
      </x:c>
      <x:c r="I2972" t="str"/>
      <x:c r="J2972" t="str">
        <x:v>Unit</x:v>
      </x:c>
      <x:c r="K2972" t="str">
        <x:v>In stock</x:v>
      </x:c>
      <x:c r="L2972" t="str">
        <x:v>2026-09-08</x:v>
      </x:c>
      <x:c r="M2972" t="str"/>
      <x:c r="N2972" t="str"/>
      <x:c r="O2972" t="str">
        <x:v>https://www.activesportstrade.co.uk/refined-nutrition-trade</x:v>
      </x:c>
      <x:c r="P2972" t="str"/>
      <x:c r="Q2972" t="str"/>
      <x:c r="R2972" t="str"/>
      <x:c r="S2972" t="str">
        <x:v>Pending genuine supplier/brand image</x:v>
      </x:c>
      <x:c r="T2972" s="54"/>
      <x:c r="U2972" s="47" t="n">
        <x:v>0.2</x:v>
      </x:c>
      <x:c r="V2972" s="54" t="str">
        <x:f>IF(ISNUMBER(T2972),T2972*(1+U2972),"")</x:f>
      </x:c>
      <x:c r="W2972" s="47" t="n">
        <x:v>0.3</x:v>
      </x:c>
      <x:c r="X2972" s="54" t="str">
        <x:f>IF(ISNUMBER(V2972),V2972/(1-W2972),"")</x:f>
      </x:c>
      <x:c r="Y2972" s="55" t="str">
        <x:f>IF(ISNUMBER(X2972),ROUNDUP(X2972,0),"")</x:f>
      </x:c>
      <x:c r="Z2972" t="str">
        <x:f>IF(ISNUMBER(T2972),"Cost captured","Awaiting trade cost")</x:f>
        <x:v>Awaiting trade cost</x:v>
      </x:c>
      <x:c r="AB2972" s="36" t="str">
        <x:f>IF(ISNUMBER(Y2972),ROUND(Y2972*0.9,2),"")</x:f>
      </x:c>
      <x:c r="AC2972" s="36" t="str">
        <x:f>IF(ISNUMBER(AB2972),ROUND(AB2972-(AB2972*0.015+0.2)-V2972,2),"")</x:f>
      </x:c>
      <x:c r="AD2972" s="36" t="str">
        <x:f>IF(ISNUMBER(Y2972),ROUND(Y2972*0.8,2),"")</x:f>
      </x:c>
      <x:c r="AE2972" s="36" t="str">
        <x:f>IF(ISNUMBER(AD2972),ROUND(AD2972*0.015+0.2,2),"")</x:f>
      </x:c>
      <x:c r="AF2972" s="36" t="str">
        <x:f>IF(ISNUMBER(AD2972),ROUND(AD2972-AE2972-V2972,2),"")</x:f>
      </x:c>
      <x:c r="AG2972" t="str">
        <x:f>IF(NOT(ISNUMBER(T2972)),"PENDING",IF(AF2972&gt;0,"PASS","FAIL"))</x:f>
        <x:v>PENDING</x:v>
      </x:c>
      <x:c r="AH2972" t="str">
        <x:f>IF(NOT(ISNUMBER(T2972)),"Needs supplier cost",IF(K2972&lt;&gt;"In stock","Supplier unavailable",IF(AG2972&lt;&gt;"PASS","BLOCK - GT loss risk","Commercially protected")))</x:f>
        <x:v>Needs supplier cost</x:v>
      </x:c>
      <x:c r="AI2972" t="str">
        <x:v>2026-09-10 Active Sports trade capture</x:v>
      </x:c>
      <x:c r="AJ2972" t="str">
        <x:v>Management-only economics. Stripe stress test uses 1.5% + £0.20 standard UK online-card fee; pallet/mix-and-match pricing ignored.</x:v>
      </x:c>
    </x:row>
    <x:row r="2973">
      <x:c r="A2973" t="str">
        <x:v>Active Sports Nutrition</x:v>
      </x:c>
      <x:c r="B2973" t="str">
        <x:v>Refined Nutrition</x:v>
      </x:c>
      <x:c r="C2973" t="str">
        <x:v>Tribulus</x:v>
      </x:c>
      <x:c r="D2973" t="str">
        <x:v>Supplements</x:v>
      </x:c>
      <x:c r="E2973" t="str">
        <x:v>Hormone Support</x:v>
      </x:c>
      <x:c r="F2973" t="str"/>
      <x:c r="G2973" t="str">
        <x:v>60 caps</x:v>
      </x:c>
      <x:c r="H2973" t="str">
        <x:v>Standard</x:v>
      </x:c>
      <x:c r="I2973" t="str"/>
      <x:c r="J2973" t="str">
        <x:v>Unit</x:v>
      </x:c>
      <x:c r="K2973" t="str">
        <x:v>In stock</x:v>
      </x:c>
      <x:c r="L2973" t="str">
        <x:v>2026-09-08</x:v>
      </x:c>
      <x:c r="M2973" t="str"/>
      <x:c r="N2973" t="str"/>
      <x:c r="O2973" t="str">
        <x:v>https://www.activesportstrade.co.uk/refined-nutrition-trade</x:v>
      </x:c>
      <x:c r="P2973" t="str"/>
      <x:c r="Q2973" t="str"/>
      <x:c r="R2973" t="str"/>
      <x:c r="S2973" t="str">
        <x:v>Pending genuine supplier/brand image</x:v>
      </x:c>
      <x:c r="T2973" s="54"/>
      <x:c r="U2973" s="47" t="n">
        <x:v>0.2</x:v>
      </x:c>
      <x:c r="V2973" s="54" t="str">
        <x:f>IF(ISNUMBER(T2973),T2973*(1+U2973),"")</x:f>
      </x:c>
      <x:c r="W2973" s="47" t="n">
        <x:v>0.3</x:v>
      </x:c>
      <x:c r="X2973" s="54" t="str">
        <x:f>IF(ISNUMBER(V2973),V2973/(1-W2973),"")</x:f>
      </x:c>
      <x:c r="Y2973" s="55" t="str">
        <x:f>IF(ISNUMBER(X2973),ROUNDUP(X2973,0),"")</x:f>
      </x:c>
      <x:c r="Z2973" t="str">
        <x:f>IF(ISNUMBER(T2973),"Cost captured","Awaiting trade cost")</x:f>
        <x:v>Awaiting trade cost</x:v>
      </x:c>
      <x:c r="AB2973" s="36" t="str">
        <x:f>IF(ISNUMBER(Y2973),ROUND(Y2973*0.9,2),"")</x:f>
      </x:c>
      <x:c r="AC2973" s="36" t="str">
        <x:f>IF(ISNUMBER(AB2973),ROUND(AB2973-(AB2973*0.015+0.2)-V2973,2),"")</x:f>
      </x:c>
      <x:c r="AD2973" s="36" t="str">
        <x:f>IF(ISNUMBER(Y2973),ROUND(Y2973*0.8,2),"")</x:f>
      </x:c>
      <x:c r="AE2973" s="36" t="str">
        <x:f>IF(ISNUMBER(AD2973),ROUND(AD2973*0.015+0.2,2),"")</x:f>
      </x:c>
      <x:c r="AF2973" s="36" t="str">
        <x:f>IF(ISNUMBER(AD2973),ROUND(AD2973-AE2973-V2973,2),"")</x:f>
      </x:c>
      <x:c r="AG2973" t="str">
        <x:f>IF(NOT(ISNUMBER(T2973)),"PENDING",IF(AF2973&gt;0,"PASS","FAIL"))</x:f>
        <x:v>PENDING</x:v>
      </x:c>
      <x:c r="AH2973" t="str">
        <x:f>IF(NOT(ISNUMBER(T2973)),"Needs supplier cost",IF(K2973&lt;&gt;"In stock","Supplier unavailable",IF(AG2973&lt;&gt;"PASS","BLOCK - GT loss risk","Commercially protected")))</x:f>
        <x:v>Needs supplier cost</x:v>
      </x:c>
      <x:c r="AI2973" t="str">
        <x:v>2026-09-10 Active Sports trade capture</x:v>
      </x:c>
      <x:c r="AJ2973" t="str">
        <x:v>Management-only economics. Stripe stress test uses 1.5% + £0.20 standard UK online-card fee; pallet/mix-and-match pricing ignored.</x:v>
      </x:c>
    </x:row>
    <x:row r="2974">
      <x:c r="A2974" t="str">
        <x:v>Active Sports Nutrition</x:v>
      </x:c>
      <x:c r="B2974" t="str">
        <x:v>Refined Nutrition</x:v>
      </x:c>
      <x:c r="C2974" t="str">
        <x:v>Ultra 3-in-1 Zinc</x:v>
      </x:c>
      <x:c r="D2974" t="str">
        <x:v>Supplements</x:v>
      </x:c>
      <x:c r="E2974" t="str">
        <x:v>Vitamins &amp; Minerals</x:v>
      </x:c>
      <x:c r="F2974" t="str"/>
      <x:c r="G2974" t="str">
        <x:v>365 tablets</x:v>
      </x:c>
      <x:c r="H2974" t="str">
        <x:v>Standard</x:v>
      </x:c>
      <x:c r="I2974" t="str"/>
      <x:c r="J2974" t="str">
        <x:v>Unit</x:v>
      </x:c>
      <x:c r="K2974" t="str">
        <x:v>Out of stock</x:v>
      </x:c>
      <x:c r="L2974" t="str">
        <x:v>2026-09-08</x:v>
      </x:c>
      <x:c r="M2974" t="str"/>
      <x:c r="N2974" t="str"/>
      <x:c r="O2974" t="str">
        <x:v>https://www.activesportstrade.co.uk/refined-nutrition-trade</x:v>
      </x:c>
      <x:c r="P2974" t="str"/>
      <x:c r="Q2974" t="str"/>
      <x:c r="R2974" t="str"/>
      <x:c r="S2974" t="str">
        <x:v>Pending genuine supplier/brand image</x:v>
      </x:c>
      <x:c r="T2974" s="54"/>
      <x:c r="U2974" s="47" t="n">
        <x:v>0.2</x:v>
      </x:c>
      <x:c r="V2974" s="54" t="str">
        <x:f>IF(ISNUMBER(T2974),T2974*(1+U2974),"")</x:f>
      </x:c>
      <x:c r="W2974" s="47" t="n">
        <x:v>0.3</x:v>
      </x:c>
      <x:c r="X2974" s="54" t="str">
        <x:f>IF(ISNUMBER(V2974),V2974/(1-W2974),"")</x:f>
      </x:c>
      <x:c r="Y2974" s="55" t="str">
        <x:f>IF(ISNUMBER(X2974),ROUNDUP(X2974,0),"")</x:f>
      </x:c>
      <x:c r="Z2974" t="str">
        <x:f>IF(ISNUMBER(T2974),"Cost captured","Awaiting trade cost")</x:f>
        <x:v>Awaiting trade cost</x:v>
      </x:c>
      <x:c r="AB2974" s="36" t="str">
        <x:f>IF(ISNUMBER(Y2974),ROUND(Y2974*0.9,2),"")</x:f>
      </x:c>
      <x:c r="AC2974" s="36" t="str">
        <x:f>IF(ISNUMBER(AB2974),ROUND(AB2974-(AB2974*0.015+0.2)-V2974,2),"")</x:f>
      </x:c>
      <x:c r="AD2974" s="36" t="str">
        <x:f>IF(ISNUMBER(Y2974),ROUND(Y2974*0.8,2),"")</x:f>
      </x:c>
      <x:c r="AE2974" s="36" t="str">
        <x:f>IF(ISNUMBER(AD2974),ROUND(AD2974*0.015+0.2,2),"")</x:f>
      </x:c>
      <x:c r="AF2974" s="36" t="str">
        <x:f>IF(ISNUMBER(AD2974),ROUND(AD2974-AE2974-V2974,2),"")</x:f>
      </x:c>
      <x:c r="AG2974" t="str">
        <x:f>IF(NOT(ISNUMBER(T2974)),"PENDING",IF(AF2974&gt;0,"PASS","FAIL"))</x:f>
        <x:v>PENDING</x:v>
      </x:c>
      <x:c r="AH2974" t="str">
        <x:f>IF(NOT(ISNUMBER(T2974)),"Needs supplier cost",IF(K2974&lt;&gt;"In stock","Supplier unavailable",IF(AG2974&lt;&gt;"PASS","BLOCK - GT loss risk","Commercially protected")))</x:f>
        <x:v>Needs supplier cost</x:v>
      </x:c>
      <x:c r="AI2974" t="str">
        <x:v>2026-09-10 Active Sports trade capture</x:v>
      </x:c>
      <x:c r="AJ2974" t="str">
        <x:v>Management-only economics. Stripe stress test uses 1.5% + £0.20 standard UK online-card fee; pallet/mix-and-match pricing ignored.</x:v>
      </x:c>
    </x:row>
    <x:row r="2975">
      <x:c r="A2975" t="str">
        <x:v>Active Sports Nutrition</x:v>
      </x:c>
      <x:c r="B2975" t="str">
        <x:v>Refined Nutrition</x:v>
      </x:c>
      <x:c r="C2975" t="str">
        <x:v>Ultra Magnesium Glycinate 3-in-1</x:v>
      </x:c>
      <x:c r="D2975" t="str">
        <x:v>Supplements</x:v>
      </x:c>
      <x:c r="E2975" t="str">
        <x:v>Vitamins &amp; Minerals</x:v>
      </x:c>
      <x:c r="F2975" t="str"/>
      <x:c r="G2975" t="str">
        <x:v>90 caps</x:v>
      </x:c>
      <x:c r="H2975" t="str">
        <x:v>Standard</x:v>
      </x:c>
      <x:c r="I2975" t="str"/>
      <x:c r="J2975" t="str">
        <x:v>Unit</x:v>
      </x:c>
      <x:c r="K2975" t="str">
        <x:v>In stock</x:v>
      </x:c>
      <x:c r="L2975" t="str">
        <x:v>2026-09-08</x:v>
      </x:c>
      <x:c r="M2975" t="str"/>
      <x:c r="N2975" t="str"/>
      <x:c r="O2975" t="str">
        <x:v>https://www.activesportstrade.co.uk/refined-nutrition-trade</x:v>
      </x:c>
      <x:c r="P2975" t="str"/>
      <x:c r="Q2975" t="str"/>
      <x:c r="R2975" t="str"/>
      <x:c r="S2975" t="str">
        <x:v>Pending genuine supplier/brand image</x:v>
      </x:c>
      <x:c r="T2975" s="54"/>
      <x:c r="U2975" s="47" t="n">
        <x:v>0.2</x:v>
      </x:c>
      <x:c r="V2975" s="54" t="str">
        <x:f>IF(ISNUMBER(T2975),T2975*(1+U2975),"")</x:f>
      </x:c>
      <x:c r="W2975" s="47" t="n">
        <x:v>0.3</x:v>
      </x:c>
      <x:c r="X2975" s="54" t="str">
        <x:f>IF(ISNUMBER(V2975),V2975/(1-W2975),"")</x:f>
      </x:c>
      <x:c r="Y2975" s="55" t="str">
        <x:f>IF(ISNUMBER(X2975),ROUNDUP(X2975,0),"")</x:f>
      </x:c>
      <x:c r="Z2975" t="str">
        <x:f>IF(ISNUMBER(T2975),"Cost captured","Awaiting trade cost")</x:f>
        <x:v>Awaiting trade cost</x:v>
      </x:c>
      <x:c r="AB2975" s="36" t="str">
        <x:f>IF(ISNUMBER(Y2975),ROUND(Y2975*0.9,2),"")</x:f>
      </x:c>
      <x:c r="AC2975" s="36" t="str">
        <x:f>IF(ISNUMBER(AB2975),ROUND(AB2975-(AB2975*0.015+0.2)-V2975,2),"")</x:f>
      </x:c>
      <x:c r="AD2975" s="36" t="str">
        <x:f>IF(ISNUMBER(Y2975),ROUND(Y2975*0.8,2),"")</x:f>
      </x:c>
      <x:c r="AE2975" s="36" t="str">
        <x:f>IF(ISNUMBER(AD2975),ROUND(AD2975*0.015+0.2,2),"")</x:f>
      </x:c>
      <x:c r="AF2975" s="36" t="str">
        <x:f>IF(ISNUMBER(AD2975),ROUND(AD2975-AE2975-V2975,2),"")</x:f>
      </x:c>
      <x:c r="AG2975" t="str">
        <x:f>IF(NOT(ISNUMBER(T2975)),"PENDING",IF(AF2975&gt;0,"PASS","FAIL"))</x:f>
        <x:v>PENDING</x:v>
      </x:c>
      <x:c r="AH2975" t="str">
        <x:f>IF(NOT(ISNUMBER(T2975)),"Needs supplier cost",IF(K2975&lt;&gt;"In stock","Supplier unavailable",IF(AG2975&lt;&gt;"PASS","BLOCK - GT loss risk","Commercially protected")))</x:f>
        <x:v>Needs supplier cost</x:v>
      </x:c>
      <x:c r="AI2975" t="str">
        <x:v>2026-09-10 Active Sports trade capture</x:v>
      </x:c>
      <x:c r="AJ2975" t="str">
        <x:v>Management-only economics. Stripe stress test uses 1.5% + £0.20 standard UK online-card fee; pallet/mix-and-match pricing ignored.</x:v>
      </x:c>
    </x:row>
    <x:row r="2976">
      <x:c r="A2976" t="str">
        <x:v>Active Sports Nutrition</x:v>
      </x:c>
      <x:c r="B2976" t="str">
        <x:v>Refined Nutrition</x:v>
      </x:c>
      <x:c r="C2976" t="str">
        <x:v>Ultra Omega</x:v>
      </x:c>
      <x:c r="D2976" t="str">
        <x:v>Supplements</x:v>
      </x:c>
      <x:c r="E2976" t="str">
        <x:v>Omega and EFA</x:v>
      </x:c>
      <x:c r="F2976" t="str"/>
      <x:c r="G2976" t="str">
        <x:v>60 caps</x:v>
      </x:c>
      <x:c r="H2976" t="str">
        <x:v>Standard</x:v>
      </x:c>
      <x:c r="I2976" t="str"/>
      <x:c r="J2976" t="str">
        <x:v>Unit</x:v>
      </x:c>
      <x:c r="K2976" t="str">
        <x:v>Out of stock</x:v>
      </x:c>
      <x:c r="L2976" t="str">
        <x:v>2026-09-08</x:v>
      </x:c>
      <x:c r="M2976" t="str"/>
      <x:c r="N2976" t="str"/>
      <x:c r="O2976" t="str">
        <x:v>https://www.activesportstrade.co.uk/refined-nutrition-trade</x:v>
      </x:c>
      <x:c r="P2976" t="str"/>
      <x:c r="Q2976" t="str"/>
      <x:c r="R2976" t="str"/>
      <x:c r="S2976" t="str">
        <x:v>Pending genuine supplier/brand image</x:v>
      </x:c>
      <x:c r="T2976" s="54"/>
      <x:c r="U2976" s="47" t="n">
        <x:v>0.2</x:v>
      </x:c>
      <x:c r="V2976" s="54" t="str">
        <x:f>IF(ISNUMBER(T2976),T2976*(1+U2976),"")</x:f>
      </x:c>
      <x:c r="W2976" s="47" t="n">
        <x:v>0.3</x:v>
      </x:c>
      <x:c r="X2976" s="54" t="str">
        <x:f>IF(ISNUMBER(V2976),V2976/(1-W2976),"")</x:f>
      </x:c>
      <x:c r="Y2976" s="55" t="str">
        <x:f>IF(ISNUMBER(X2976),ROUNDUP(X2976,0),"")</x:f>
      </x:c>
      <x:c r="Z2976" t="str">
        <x:f>IF(ISNUMBER(T2976),"Cost captured","Awaiting trade cost")</x:f>
        <x:v>Awaiting trade cost</x:v>
      </x:c>
      <x:c r="AB2976" s="36" t="str">
        <x:f>IF(ISNUMBER(Y2976),ROUND(Y2976*0.9,2),"")</x:f>
      </x:c>
      <x:c r="AC2976" s="36" t="str">
        <x:f>IF(ISNUMBER(AB2976),ROUND(AB2976-(AB2976*0.015+0.2)-V2976,2),"")</x:f>
      </x:c>
      <x:c r="AD2976" s="36" t="str">
        <x:f>IF(ISNUMBER(Y2976),ROUND(Y2976*0.8,2),"")</x:f>
      </x:c>
      <x:c r="AE2976" s="36" t="str">
        <x:f>IF(ISNUMBER(AD2976),ROUND(AD2976*0.015+0.2,2),"")</x:f>
      </x:c>
      <x:c r="AF2976" s="36" t="str">
        <x:f>IF(ISNUMBER(AD2976),ROUND(AD2976-AE2976-V2976,2),"")</x:f>
      </x:c>
      <x:c r="AG2976" t="str">
        <x:f>IF(NOT(ISNUMBER(T2976)),"PENDING",IF(AF2976&gt;0,"PASS","FAIL"))</x:f>
        <x:v>PENDING</x:v>
      </x:c>
      <x:c r="AH2976" t="str">
        <x:f>IF(NOT(ISNUMBER(T2976)),"Needs supplier cost",IF(K2976&lt;&gt;"In stock","Supplier unavailable",IF(AG2976&lt;&gt;"PASS","BLOCK - GT loss risk","Commercially protected")))</x:f>
        <x:v>Needs supplier cost</x:v>
      </x:c>
      <x:c r="AI2976" t="str">
        <x:v>2026-09-10 Active Sports trade capture</x:v>
      </x:c>
      <x:c r="AJ2976" t="str">
        <x:v>Management-only economics. Stripe stress test uses 1.5% + £0.20 standard UK online-card fee; pallet/mix-and-match pricing ignored.</x:v>
      </x:c>
    </x:row>
    <x:row r="2977">
      <x:c r="A2977" t="str">
        <x:v>Active Sports Nutrition</x:v>
      </x:c>
      <x:c r="B2977" t="str">
        <x:v>Refined Nutrition</x:v>
      </x:c>
      <x:c r="C2977" t="str">
        <x:v>Ultra Pack</x:v>
      </x:c>
      <x:c r="D2977" t="str">
        <x:v>Supplements</x:v>
      </x:c>
      <x:c r="E2977" t="str">
        <x:v>Vitamins &amp; Minerals</x:v>
      </x:c>
      <x:c r="F2977" t="str"/>
      <x:c r="G2977" t="str">
        <x:v>30 packs</x:v>
      </x:c>
      <x:c r="H2977" t="str">
        <x:v>Standard</x:v>
      </x:c>
      <x:c r="I2977" t="str"/>
      <x:c r="J2977" t="str">
        <x:v>Unit</x:v>
      </x:c>
      <x:c r="K2977" t="str">
        <x:v>Out of stock</x:v>
      </x:c>
      <x:c r="L2977" t="str">
        <x:v>2026-09-08</x:v>
      </x:c>
      <x:c r="M2977" t="str"/>
      <x:c r="N2977" t="str"/>
      <x:c r="O2977" t="str">
        <x:v>https://www.activesportstrade.co.uk/refined-nutrition-trade</x:v>
      </x:c>
      <x:c r="P2977" t="str"/>
      <x:c r="Q2977" t="str"/>
      <x:c r="R2977" t="str"/>
      <x:c r="S2977" t="str">
        <x:v>Pending genuine supplier/brand image</x:v>
      </x:c>
      <x:c r="T2977" s="54"/>
      <x:c r="U2977" s="47" t="n">
        <x:v>0.2</x:v>
      </x:c>
      <x:c r="V2977" s="54" t="str">
        <x:f>IF(ISNUMBER(T2977),T2977*(1+U2977),"")</x:f>
      </x:c>
      <x:c r="W2977" s="47" t="n">
        <x:v>0.3</x:v>
      </x:c>
      <x:c r="X2977" s="54" t="str">
        <x:f>IF(ISNUMBER(V2977),V2977/(1-W2977),"")</x:f>
      </x:c>
      <x:c r="Y2977" s="55" t="str">
        <x:f>IF(ISNUMBER(X2977),ROUNDUP(X2977,0),"")</x:f>
      </x:c>
      <x:c r="Z2977" t="str">
        <x:f>IF(ISNUMBER(T2977),"Cost captured","Awaiting trade cost")</x:f>
        <x:v>Awaiting trade cost</x:v>
      </x:c>
      <x:c r="AB2977" s="36" t="str">
        <x:f>IF(ISNUMBER(Y2977),ROUND(Y2977*0.9,2),"")</x:f>
      </x:c>
      <x:c r="AC2977" s="36" t="str">
        <x:f>IF(ISNUMBER(AB2977),ROUND(AB2977-(AB2977*0.015+0.2)-V2977,2),"")</x:f>
      </x:c>
      <x:c r="AD2977" s="36" t="str">
        <x:f>IF(ISNUMBER(Y2977),ROUND(Y2977*0.8,2),"")</x:f>
      </x:c>
      <x:c r="AE2977" s="36" t="str">
        <x:f>IF(ISNUMBER(AD2977),ROUND(AD2977*0.015+0.2,2),"")</x:f>
      </x:c>
      <x:c r="AF2977" s="36" t="str">
        <x:f>IF(ISNUMBER(AD2977),ROUND(AD2977-AE2977-V2977,2),"")</x:f>
      </x:c>
      <x:c r="AG2977" t="str">
        <x:f>IF(NOT(ISNUMBER(T2977)),"PENDING",IF(AF2977&gt;0,"PASS","FAIL"))</x:f>
        <x:v>PENDING</x:v>
      </x:c>
      <x:c r="AH2977" t="str">
        <x:f>IF(NOT(ISNUMBER(T2977)),"Needs supplier cost",IF(K2977&lt;&gt;"In stock","Supplier unavailable",IF(AG2977&lt;&gt;"PASS","BLOCK - GT loss risk","Commercially protected")))</x:f>
        <x:v>Needs supplier cost</x:v>
      </x:c>
      <x:c r="AI2977" t="str">
        <x:v>2026-09-10 Active Sports trade capture</x:v>
      </x:c>
      <x:c r="AJ2977" t="str">
        <x:v>Management-only economics. Stripe stress test uses 1.5% + £0.20 standard UK online-card fee; pallet/mix-and-match pricing ignored.</x:v>
      </x:c>
    </x:row>
    <x:row r="2978">
      <x:c r="A2978" t="str">
        <x:v>Active Sports Nutrition</x:v>
      </x:c>
      <x:c r="B2978" t="str">
        <x:v>Refined Nutrition</x:v>
      </x:c>
      <x:c r="C2978" t="str">
        <x:v>Ultra Sea Moss</x:v>
      </x:c>
      <x:c r="D2978" t="str">
        <x:v>Supplements</x:v>
      </x:c>
      <x:c r="E2978" t="str">
        <x:v>Health Supplements</x:v>
      </x:c>
      <x:c r="F2978" t="str"/>
      <x:c r="G2978" t="str">
        <x:v>90 tablets</x:v>
      </x:c>
      <x:c r="H2978" t="str">
        <x:v>Standard</x:v>
      </x:c>
      <x:c r="I2978" t="str"/>
      <x:c r="J2978" t="str">
        <x:v>Unit</x:v>
      </x:c>
      <x:c r="K2978" t="str">
        <x:v>In stock</x:v>
      </x:c>
      <x:c r="L2978" t="str">
        <x:v>2026-09-08</x:v>
      </x:c>
      <x:c r="M2978" t="str"/>
      <x:c r="N2978" t="str"/>
      <x:c r="O2978" t="str">
        <x:v>https://www.activesportstrade.co.uk/refined-nutrition-trade</x:v>
      </x:c>
      <x:c r="P2978" t="str"/>
      <x:c r="Q2978" t="str"/>
      <x:c r="R2978" t="str"/>
      <x:c r="S2978" t="str">
        <x:v>Pending genuine supplier/brand image</x:v>
      </x:c>
      <x:c r="T2978" s="54"/>
      <x:c r="U2978" s="47" t="n">
        <x:v>0.2</x:v>
      </x:c>
      <x:c r="V2978" s="54" t="str">
        <x:f>IF(ISNUMBER(T2978),T2978*(1+U2978),"")</x:f>
      </x:c>
      <x:c r="W2978" s="47" t="n">
        <x:v>0.3</x:v>
      </x:c>
      <x:c r="X2978" s="54" t="str">
        <x:f>IF(ISNUMBER(V2978),V2978/(1-W2978),"")</x:f>
      </x:c>
      <x:c r="Y2978" s="55" t="str">
        <x:f>IF(ISNUMBER(X2978),ROUNDUP(X2978,0),"")</x:f>
      </x:c>
      <x:c r="Z2978" t="str">
        <x:f>IF(ISNUMBER(T2978),"Cost captured","Awaiting trade cost")</x:f>
        <x:v>Awaiting trade cost</x:v>
      </x:c>
      <x:c r="AB2978" s="36" t="str">
        <x:f>IF(ISNUMBER(Y2978),ROUND(Y2978*0.9,2),"")</x:f>
      </x:c>
      <x:c r="AC2978" s="36" t="str">
        <x:f>IF(ISNUMBER(AB2978),ROUND(AB2978-(AB2978*0.015+0.2)-V2978,2),"")</x:f>
      </x:c>
      <x:c r="AD2978" s="36" t="str">
        <x:f>IF(ISNUMBER(Y2978),ROUND(Y2978*0.8,2),"")</x:f>
      </x:c>
      <x:c r="AE2978" s="36" t="str">
        <x:f>IF(ISNUMBER(AD2978),ROUND(AD2978*0.015+0.2,2),"")</x:f>
      </x:c>
      <x:c r="AF2978" s="36" t="str">
        <x:f>IF(ISNUMBER(AD2978),ROUND(AD2978-AE2978-V2978,2),"")</x:f>
      </x:c>
      <x:c r="AG2978" t="str">
        <x:f>IF(NOT(ISNUMBER(T2978)),"PENDING",IF(AF2978&gt;0,"PASS","FAIL"))</x:f>
        <x:v>PENDING</x:v>
      </x:c>
      <x:c r="AH2978" t="str">
        <x:f>IF(NOT(ISNUMBER(T2978)),"Needs supplier cost",IF(K2978&lt;&gt;"In stock","Supplier unavailable",IF(AG2978&lt;&gt;"PASS","BLOCK - GT loss risk","Commercially protected")))</x:f>
        <x:v>Needs supplier cost</x:v>
      </x:c>
      <x:c r="AI2978" t="str">
        <x:v>2026-09-10 Active Sports trade capture</x:v>
      </x:c>
      <x:c r="AJ2978" t="str">
        <x:v>Management-only economics. Stripe stress test uses 1.5% + £0.20 standard UK online-card fee; pallet/mix-and-match pricing ignored.</x:v>
      </x:c>
    </x:row>
    <x:row r="2979">
      <x:c r="A2979" t="str">
        <x:v>Active Sports Nutrition</x:v>
      </x:c>
      <x:c r="B2979" t="str">
        <x:v>Refined Nutrition</x:v>
      </x:c>
      <x:c r="C2979" t="str">
        <x:v>Ultra Shilajit</x:v>
      </x:c>
      <x:c r="D2979" t="str">
        <x:v>Supplements</x:v>
      </x:c>
      <x:c r="E2979" t="str">
        <x:v>Health Supplements</x:v>
      </x:c>
      <x:c r="F2979" t="str"/>
      <x:c r="G2979" t="str">
        <x:v>60 caps</x:v>
      </x:c>
      <x:c r="H2979" t="str">
        <x:v>Standard</x:v>
      </x:c>
      <x:c r="I2979" t="str"/>
      <x:c r="J2979" t="str">
        <x:v>Unit</x:v>
      </x:c>
      <x:c r="K2979" t="str">
        <x:v>In stock</x:v>
      </x:c>
      <x:c r="L2979" t="str">
        <x:v>2026-09-08</x:v>
      </x:c>
      <x:c r="M2979" t="str"/>
      <x:c r="N2979" t="str"/>
      <x:c r="O2979" t="str">
        <x:v>https://www.activesportstrade.co.uk/refined-nutrition-trade</x:v>
      </x:c>
      <x:c r="P2979" t="str"/>
      <x:c r="Q2979" t="str"/>
      <x:c r="R2979" t="str"/>
      <x:c r="S2979" t="str">
        <x:v>Pending genuine supplier/brand image</x:v>
      </x:c>
      <x:c r="T2979" s="54"/>
      <x:c r="U2979" s="47" t="n">
        <x:v>0.2</x:v>
      </x:c>
      <x:c r="V2979" s="54" t="str">
        <x:f>IF(ISNUMBER(T2979),T2979*(1+U2979),"")</x:f>
      </x:c>
      <x:c r="W2979" s="47" t="n">
        <x:v>0.3</x:v>
      </x:c>
      <x:c r="X2979" s="54" t="str">
        <x:f>IF(ISNUMBER(V2979),V2979/(1-W2979),"")</x:f>
      </x:c>
      <x:c r="Y2979" s="55" t="str">
        <x:f>IF(ISNUMBER(X2979),ROUNDUP(X2979,0),"")</x:f>
      </x:c>
      <x:c r="Z2979" t="str">
        <x:f>IF(ISNUMBER(T2979),"Cost captured","Awaiting trade cost")</x:f>
        <x:v>Awaiting trade cost</x:v>
      </x:c>
      <x:c r="AB2979" s="36" t="str">
        <x:f>IF(ISNUMBER(Y2979),ROUND(Y2979*0.9,2),"")</x:f>
      </x:c>
      <x:c r="AC2979" s="36" t="str">
        <x:f>IF(ISNUMBER(AB2979),ROUND(AB2979-(AB2979*0.015+0.2)-V2979,2),"")</x:f>
      </x:c>
      <x:c r="AD2979" s="36" t="str">
        <x:f>IF(ISNUMBER(Y2979),ROUND(Y2979*0.8,2),"")</x:f>
      </x:c>
      <x:c r="AE2979" s="36" t="str">
        <x:f>IF(ISNUMBER(AD2979),ROUND(AD2979*0.015+0.2,2),"")</x:f>
      </x:c>
      <x:c r="AF2979" s="36" t="str">
        <x:f>IF(ISNUMBER(AD2979),ROUND(AD2979-AE2979-V2979,2),"")</x:f>
      </x:c>
      <x:c r="AG2979" t="str">
        <x:f>IF(NOT(ISNUMBER(T2979)),"PENDING",IF(AF2979&gt;0,"PASS","FAIL"))</x:f>
        <x:v>PENDING</x:v>
      </x:c>
      <x:c r="AH2979" t="str">
        <x:f>IF(NOT(ISNUMBER(T2979)),"Needs supplier cost",IF(K2979&lt;&gt;"In stock","Supplier unavailable",IF(AG2979&lt;&gt;"PASS","BLOCK - GT loss risk","Commercially protected")))</x:f>
        <x:v>Needs supplier cost</x:v>
      </x:c>
      <x:c r="AI2979" t="str">
        <x:v>2026-09-10 Active Sports trade capture</x:v>
      </x:c>
      <x:c r="AJ2979" t="str">
        <x:v>Management-only economics. Stripe stress test uses 1.5% + £0.20 standard UK online-card fee; pallet/mix-and-match pricing ignored.</x:v>
      </x:c>
    </x:row>
    <x:row r="2980">
      <x:c r="A2980" t="str">
        <x:v>Active Sports Nutrition</x:v>
      </x:c>
      <x:c r="B2980" t="str">
        <x:v>Refined Nutrition</x:v>
      </x:c>
      <x:c r="C2980" t="str">
        <x:v>Ultra Turmeric</x:v>
      </x:c>
      <x:c r="D2980" t="str">
        <x:v>Supplements</x:v>
      </x:c>
      <x:c r="E2980" t="str">
        <x:v>Health Supplements</x:v>
      </x:c>
      <x:c r="F2980" t="str"/>
      <x:c r="G2980" t="str">
        <x:v>240 tablets</x:v>
      </x:c>
      <x:c r="H2980" t="str">
        <x:v>Standard</x:v>
      </x:c>
      <x:c r="I2980" t="str"/>
      <x:c r="J2980" t="str">
        <x:v>Unit</x:v>
      </x:c>
      <x:c r="K2980" t="str">
        <x:v>In stock</x:v>
      </x:c>
      <x:c r="L2980" t="str">
        <x:v>2026-09-08</x:v>
      </x:c>
      <x:c r="M2980" t="str"/>
      <x:c r="N2980" t="str"/>
      <x:c r="O2980" t="str">
        <x:v>https://www.activesportstrade.co.uk/refined-nutrition-trade</x:v>
      </x:c>
      <x:c r="P2980" t="str"/>
      <x:c r="Q2980" t="str"/>
      <x:c r="R2980" t="str"/>
      <x:c r="S2980" t="str">
        <x:v>Pending genuine supplier/brand image</x:v>
      </x:c>
      <x:c r="T2980" s="54"/>
      <x:c r="U2980" s="47" t="n">
        <x:v>0.2</x:v>
      </x:c>
      <x:c r="V2980" s="54" t="str">
        <x:f>IF(ISNUMBER(T2980),T2980*(1+U2980),"")</x:f>
      </x:c>
      <x:c r="W2980" s="47" t="n">
        <x:v>0.3</x:v>
      </x:c>
      <x:c r="X2980" s="54" t="str">
        <x:f>IF(ISNUMBER(V2980),V2980/(1-W2980),"")</x:f>
      </x:c>
      <x:c r="Y2980" s="55" t="str">
        <x:f>IF(ISNUMBER(X2980),ROUNDUP(X2980,0),"")</x:f>
      </x:c>
      <x:c r="Z2980" t="str">
        <x:f>IF(ISNUMBER(T2980),"Cost captured","Awaiting trade cost")</x:f>
        <x:v>Awaiting trade cost</x:v>
      </x:c>
      <x:c r="AB2980" s="36" t="str">
        <x:f>IF(ISNUMBER(Y2980),ROUND(Y2980*0.9,2),"")</x:f>
      </x:c>
      <x:c r="AC2980" s="36" t="str">
        <x:f>IF(ISNUMBER(AB2980),ROUND(AB2980-(AB2980*0.015+0.2)-V2980,2),"")</x:f>
      </x:c>
      <x:c r="AD2980" s="36" t="str">
        <x:f>IF(ISNUMBER(Y2980),ROUND(Y2980*0.8,2),"")</x:f>
      </x:c>
      <x:c r="AE2980" s="36" t="str">
        <x:f>IF(ISNUMBER(AD2980),ROUND(AD2980*0.015+0.2,2),"")</x:f>
      </x:c>
      <x:c r="AF2980" s="36" t="str">
        <x:f>IF(ISNUMBER(AD2980),ROUND(AD2980-AE2980-V2980,2),"")</x:f>
      </x:c>
      <x:c r="AG2980" t="str">
        <x:f>IF(NOT(ISNUMBER(T2980)),"PENDING",IF(AF2980&gt;0,"PASS","FAIL"))</x:f>
        <x:v>PENDING</x:v>
      </x:c>
      <x:c r="AH2980" t="str">
        <x:f>IF(NOT(ISNUMBER(T2980)),"Needs supplier cost",IF(K2980&lt;&gt;"In stock","Supplier unavailable",IF(AG2980&lt;&gt;"PASS","BLOCK - GT loss risk","Commercially protected")))</x:f>
        <x:v>Needs supplier cost</x:v>
      </x:c>
      <x:c r="AI2980" t="str">
        <x:v>2026-09-10 Active Sports trade capture</x:v>
      </x:c>
      <x:c r="AJ2980" t="str">
        <x:v>Management-only economics. Stripe stress test uses 1.5% + £0.20 standard UK online-card fee; pallet/mix-and-match pricing ignored.</x:v>
      </x:c>
    </x:row>
    <x:row r="2981">
      <x:c r="A2981" t="str">
        <x:v>Active Sports Nutrition</x:v>
      </x:c>
      <x:c r="B2981" t="str">
        <x:v>Refined Nutrition</x:v>
      </x:c>
      <x:c r="C2981" t="str">
        <x:v>Ultra Vitamin B12</x:v>
      </x:c>
      <x:c r="D2981" t="str">
        <x:v>Supplements</x:v>
      </x:c>
      <x:c r="E2981" t="str">
        <x:v>Vitamins &amp; Minerals</x:v>
      </x:c>
      <x:c r="F2981" t="str"/>
      <x:c r="G2981" t="str">
        <x:v>365 tablets</x:v>
      </x:c>
      <x:c r="H2981" t="str">
        <x:v>Standard</x:v>
      </x:c>
      <x:c r="I2981" t="str"/>
      <x:c r="J2981" t="str">
        <x:v>Unit</x:v>
      </x:c>
      <x:c r="K2981" t="str">
        <x:v>In stock</x:v>
      </x:c>
      <x:c r="L2981" t="str">
        <x:v>2026-09-08</x:v>
      </x:c>
      <x:c r="M2981" t="str"/>
      <x:c r="N2981" t="str"/>
      <x:c r="O2981" t="str">
        <x:v>https://www.activesportstrade.co.uk/refined-nutrition-trade</x:v>
      </x:c>
      <x:c r="P2981" t="str"/>
      <x:c r="Q2981" t="str"/>
      <x:c r="R2981" t="str"/>
      <x:c r="S2981" t="str">
        <x:v>Pending genuine supplier/brand image</x:v>
      </x:c>
      <x:c r="T2981" s="54"/>
      <x:c r="U2981" s="47" t="n">
        <x:v>0.2</x:v>
      </x:c>
      <x:c r="V2981" s="54" t="str">
        <x:f>IF(ISNUMBER(T2981),T2981*(1+U2981),"")</x:f>
      </x:c>
      <x:c r="W2981" s="47" t="n">
        <x:v>0.3</x:v>
      </x:c>
      <x:c r="X2981" s="54" t="str">
        <x:f>IF(ISNUMBER(V2981),V2981/(1-W2981),"")</x:f>
      </x:c>
      <x:c r="Y2981" s="55" t="str">
        <x:f>IF(ISNUMBER(X2981),ROUNDUP(X2981,0),"")</x:f>
      </x:c>
      <x:c r="Z2981" t="str">
        <x:f>IF(ISNUMBER(T2981),"Cost captured","Awaiting trade cost")</x:f>
        <x:v>Awaiting trade cost</x:v>
      </x:c>
      <x:c r="AB2981" s="36" t="str">
        <x:f>IF(ISNUMBER(Y2981),ROUND(Y2981*0.9,2),"")</x:f>
      </x:c>
      <x:c r="AC2981" s="36" t="str">
        <x:f>IF(ISNUMBER(AB2981),ROUND(AB2981-(AB2981*0.015+0.2)-V2981,2),"")</x:f>
      </x:c>
      <x:c r="AD2981" s="36" t="str">
        <x:f>IF(ISNUMBER(Y2981),ROUND(Y2981*0.8,2),"")</x:f>
      </x:c>
      <x:c r="AE2981" s="36" t="str">
        <x:f>IF(ISNUMBER(AD2981),ROUND(AD2981*0.015+0.2,2),"")</x:f>
      </x:c>
      <x:c r="AF2981" s="36" t="str">
        <x:f>IF(ISNUMBER(AD2981),ROUND(AD2981-AE2981-V2981,2),"")</x:f>
      </x:c>
      <x:c r="AG2981" t="str">
        <x:f>IF(NOT(ISNUMBER(T2981)),"PENDING",IF(AF2981&gt;0,"PASS","FAIL"))</x:f>
        <x:v>PENDING</x:v>
      </x:c>
      <x:c r="AH2981" t="str">
        <x:f>IF(NOT(ISNUMBER(T2981)),"Needs supplier cost",IF(K2981&lt;&gt;"In stock","Supplier unavailable",IF(AG2981&lt;&gt;"PASS","BLOCK - GT loss risk","Commercially protected")))</x:f>
        <x:v>Needs supplier cost</x:v>
      </x:c>
      <x:c r="AI2981" t="str">
        <x:v>2026-09-10 Active Sports trade capture</x:v>
      </x:c>
      <x:c r="AJ2981" t="str">
        <x:v>Management-only economics. Stripe stress test uses 1.5% + £0.20 standard UK online-card fee; pallet/mix-and-match pricing ignored.</x:v>
      </x:c>
    </x:row>
    <x:row r="2982">
      <x:c r="A2982" t="str">
        <x:v>Active Sports Nutrition</x:v>
      </x:c>
      <x:c r="B2982" t="str">
        <x:v>Refined Nutrition</x:v>
      </x:c>
      <x:c r="C2982" t="str">
        <x:v>Ultra Vitamin C</x:v>
      </x:c>
      <x:c r="D2982" t="str">
        <x:v>Supplements</x:v>
      </x:c>
      <x:c r="E2982" t="str">
        <x:v>Vitamins &amp; Minerals</x:v>
      </x:c>
      <x:c r="F2982" t="str"/>
      <x:c r="G2982" t="str">
        <x:v>90 tablets</x:v>
      </x:c>
      <x:c r="H2982" t="str">
        <x:v>Standard</x:v>
      </x:c>
      <x:c r="I2982" t="str"/>
      <x:c r="J2982" t="str">
        <x:v>Unit</x:v>
      </x:c>
      <x:c r="K2982" t="str">
        <x:v>In stock</x:v>
      </x:c>
      <x:c r="L2982" t="str">
        <x:v>2026-09-08</x:v>
      </x:c>
      <x:c r="M2982" t="str"/>
      <x:c r="N2982" t="str"/>
      <x:c r="O2982" t="str">
        <x:v>https://www.activesportstrade.co.uk/refined-nutrition-trade</x:v>
      </x:c>
      <x:c r="P2982" t="str"/>
      <x:c r="Q2982" t="str"/>
      <x:c r="R2982" t="str"/>
      <x:c r="S2982" t="str">
        <x:v>Pending genuine supplier/brand image</x:v>
      </x:c>
      <x:c r="T2982" s="54"/>
      <x:c r="U2982" s="47" t="n">
        <x:v>0.2</x:v>
      </x:c>
      <x:c r="V2982" s="54" t="str">
        <x:f>IF(ISNUMBER(T2982),T2982*(1+U2982),"")</x:f>
      </x:c>
      <x:c r="W2982" s="47" t="n">
        <x:v>0.3</x:v>
      </x:c>
      <x:c r="X2982" s="54" t="str">
        <x:f>IF(ISNUMBER(V2982),V2982/(1-W2982),"")</x:f>
      </x:c>
      <x:c r="Y2982" s="55" t="str">
        <x:f>IF(ISNUMBER(X2982),ROUNDUP(X2982,0),"")</x:f>
      </x:c>
      <x:c r="Z2982" t="str">
        <x:f>IF(ISNUMBER(T2982),"Cost captured","Awaiting trade cost")</x:f>
        <x:v>Awaiting trade cost</x:v>
      </x:c>
      <x:c r="AB2982" s="36" t="str">
        <x:f>IF(ISNUMBER(Y2982),ROUND(Y2982*0.9,2),"")</x:f>
      </x:c>
      <x:c r="AC2982" s="36" t="str">
        <x:f>IF(ISNUMBER(AB2982),ROUND(AB2982-(AB2982*0.015+0.2)-V2982,2),"")</x:f>
      </x:c>
      <x:c r="AD2982" s="36" t="str">
        <x:f>IF(ISNUMBER(Y2982),ROUND(Y2982*0.8,2),"")</x:f>
      </x:c>
      <x:c r="AE2982" s="36" t="str">
        <x:f>IF(ISNUMBER(AD2982),ROUND(AD2982*0.015+0.2,2),"")</x:f>
      </x:c>
      <x:c r="AF2982" s="36" t="str">
        <x:f>IF(ISNUMBER(AD2982),ROUND(AD2982-AE2982-V2982,2),"")</x:f>
      </x:c>
      <x:c r="AG2982" t="str">
        <x:f>IF(NOT(ISNUMBER(T2982)),"PENDING",IF(AF2982&gt;0,"PASS","FAIL"))</x:f>
        <x:v>PENDING</x:v>
      </x:c>
      <x:c r="AH2982" t="str">
        <x:f>IF(NOT(ISNUMBER(T2982)),"Needs supplier cost",IF(K2982&lt;&gt;"In stock","Supplier unavailable",IF(AG2982&lt;&gt;"PASS","BLOCK - GT loss risk","Commercially protected")))</x:f>
        <x:v>Needs supplier cost</x:v>
      </x:c>
      <x:c r="AI2982" t="str">
        <x:v>2026-09-10 Active Sports trade capture</x:v>
      </x:c>
      <x:c r="AJ2982" t="str">
        <x:v>Management-only economics. Stripe stress test uses 1.5% + £0.20 standard UK online-card fee; pallet/mix-and-match pricing ignored.</x:v>
      </x:c>
    </x:row>
    <x:row r="2983">
      <x:c r="A2983" t="str">
        <x:v>Active Sports Nutrition</x:v>
      </x:c>
      <x:c r="B2983" t="str">
        <x:v>Refined Nutrition</x:v>
      </x:c>
      <x:c r="C2983" t="str">
        <x:v>Ultra Vitamin D3 + K2</x:v>
      </x:c>
      <x:c r="D2983" t="str">
        <x:v>Supplements</x:v>
      </x:c>
      <x:c r="E2983" t="str">
        <x:v>Vitamins &amp; Minerals</x:v>
      </x:c>
      <x:c r="F2983" t="str"/>
      <x:c r="G2983" t="str">
        <x:v>365 tablets</x:v>
      </x:c>
      <x:c r="H2983" t="str">
        <x:v>Standard</x:v>
      </x:c>
      <x:c r="I2983" t="str"/>
      <x:c r="J2983" t="str">
        <x:v>Unit</x:v>
      </x:c>
      <x:c r="K2983" t="str">
        <x:v>In stock</x:v>
      </x:c>
      <x:c r="L2983" t="str">
        <x:v>2026-09-08</x:v>
      </x:c>
      <x:c r="M2983" t="str"/>
      <x:c r="N2983" t="str"/>
      <x:c r="O2983" t="str">
        <x:v>https://www.activesportstrade.co.uk/refined-nutrition-trade</x:v>
      </x:c>
      <x:c r="P2983" t="str"/>
      <x:c r="Q2983" t="str"/>
      <x:c r="R2983" t="str"/>
      <x:c r="S2983" t="str">
        <x:v>Pending genuine supplier/brand image</x:v>
      </x:c>
      <x:c r="T2983" s="54"/>
      <x:c r="U2983" s="47" t="n">
        <x:v>0.2</x:v>
      </x:c>
      <x:c r="V2983" s="54" t="str">
        <x:f>IF(ISNUMBER(T2983),T2983*(1+U2983),"")</x:f>
      </x:c>
      <x:c r="W2983" s="47" t="n">
        <x:v>0.3</x:v>
      </x:c>
      <x:c r="X2983" s="54" t="str">
        <x:f>IF(ISNUMBER(V2983),V2983/(1-W2983),"")</x:f>
      </x:c>
      <x:c r="Y2983" s="55" t="str">
        <x:f>IF(ISNUMBER(X2983),ROUNDUP(X2983,0),"")</x:f>
      </x:c>
      <x:c r="Z2983" t="str">
        <x:f>IF(ISNUMBER(T2983),"Cost captured","Awaiting trade cost")</x:f>
        <x:v>Awaiting trade cost</x:v>
      </x:c>
      <x:c r="AB2983" s="36" t="str">
        <x:f>IF(ISNUMBER(Y2983),ROUND(Y2983*0.9,2),"")</x:f>
      </x:c>
      <x:c r="AC2983" s="36" t="str">
        <x:f>IF(ISNUMBER(AB2983),ROUND(AB2983-(AB2983*0.015+0.2)-V2983,2),"")</x:f>
      </x:c>
      <x:c r="AD2983" s="36" t="str">
        <x:f>IF(ISNUMBER(Y2983),ROUND(Y2983*0.8,2),"")</x:f>
      </x:c>
      <x:c r="AE2983" s="36" t="str">
        <x:f>IF(ISNUMBER(AD2983),ROUND(AD2983*0.015+0.2,2),"")</x:f>
      </x:c>
      <x:c r="AF2983" s="36" t="str">
        <x:f>IF(ISNUMBER(AD2983),ROUND(AD2983-AE2983-V2983,2),"")</x:f>
      </x:c>
      <x:c r="AG2983" t="str">
        <x:f>IF(NOT(ISNUMBER(T2983)),"PENDING",IF(AF2983&gt;0,"PASS","FAIL"))</x:f>
        <x:v>PENDING</x:v>
      </x:c>
      <x:c r="AH2983" t="str">
        <x:f>IF(NOT(ISNUMBER(T2983)),"Needs supplier cost",IF(K2983&lt;&gt;"In stock","Supplier unavailable",IF(AG2983&lt;&gt;"PASS","BLOCK - GT loss risk","Commercially protected")))</x:f>
        <x:v>Needs supplier cost</x:v>
      </x:c>
      <x:c r="AI2983" t="str">
        <x:v>2026-09-10 Active Sports trade capture</x:v>
      </x:c>
      <x:c r="AJ2983" t="str">
        <x:v>Management-only economics. Stripe stress test uses 1.5% + £0.20 standard UK online-card fee; pallet/mix-and-match pricing ignored.</x:v>
      </x:c>
    </x:row>
    <x:row r="2984">
      <x:c r="A2984" t="str">
        <x:v>Active Sports Nutrition</x:v>
      </x:c>
      <x:c r="B2984" t="str">
        <x:v>Refined Nutrition</x:v>
      </x:c>
      <x:c r="C2984" t="str">
        <x:v>Ultra Vitamin D3</x:v>
      </x:c>
      <x:c r="D2984" t="str">
        <x:v>Supplements</x:v>
      </x:c>
      <x:c r="E2984" t="str">
        <x:v>Vitamins &amp; Minerals</x:v>
      </x:c>
      <x:c r="F2984" t="str"/>
      <x:c r="G2984" t="str">
        <x:v>365 tablets</x:v>
      </x:c>
      <x:c r="H2984" t="str">
        <x:v>Standard</x:v>
      </x:c>
      <x:c r="I2984" t="str"/>
      <x:c r="J2984" t="str">
        <x:v>Unit</x:v>
      </x:c>
      <x:c r="K2984" t="str">
        <x:v>Out of stock</x:v>
      </x:c>
      <x:c r="L2984" t="str">
        <x:v>2026-09-08</x:v>
      </x:c>
      <x:c r="M2984" t="str"/>
      <x:c r="N2984" t="str"/>
      <x:c r="O2984" t="str">
        <x:v>https://www.activesportstrade.co.uk/refined-nutrition-trade</x:v>
      </x:c>
      <x:c r="P2984" t="str"/>
      <x:c r="Q2984" t="str"/>
      <x:c r="R2984" t="str"/>
      <x:c r="S2984" t="str">
        <x:v>Pending genuine supplier/brand image</x:v>
      </x:c>
      <x:c r="T2984" s="54"/>
      <x:c r="U2984" s="47" t="n">
        <x:v>0.2</x:v>
      </x:c>
      <x:c r="V2984" s="54" t="str">
        <x:f>IF(ISNUMBER(T2984),T2984*(1+U2984),"")</x:f>
      </x:c>
      <x:c r="W2984" s="47" t="n">
        <x:v>0.3</x:v>
      </x:c>
      <x:c r="X2984" s="54" t="str">
        <x:f>IF(ISNUMBER(V2984),V2984/(1-W2984),"")</x:f>
      </x:c>
      <x:c r="Y2984" s="55" t="str">
        <x:f>IF(ISNUMBER(X2984),ROUNDUP(X2984,0),"")</x:f>
      </x:c>
      <x:c r="Z2984" t="str">
        <x:f>IF(ISNUMBER(T2984),"Cost captured","Awaiting trade cost")</x:f>
        <x:v>Awaiting trade cost</x:v>
      </x:c>
      <x:c r="AB2984" s="36" t="str">
        <x:f>IF(ISNUMBER(Y2984),ROUND(Y2984*0.9,2),"")</x:f>
      </x:c>
      <x:c r="AC2984" s="36" t="str">
        <x:f>IF(ISNUMBER(AB2984),ROUND(AB2984-(AB2984*0.015+0.2)-V2984,2),"")</x:f>
      </x:c>
      <x:c r="AD2984" s="36" t="str">
        <x:f>IF(ISNUMBER(Y2984),ROUND(Y2984*0.8,2),"")</x:f>
      </x:c>
      <x:c r="AE2984" s="36" t="str">
        <x:f>IF(ISNUMBER(AD2984),ROUND(AD2984*0.015+0.2,2),"")</x:f>
      </x:c>
      <x:c r="AF2984" s="36" t="str">
        <x:f>IF(ISNUMBER(AD2984),ROUND(AD2984-AE2984-V2984,2),"")</x:f>
      </x:c>
      <x:c r="AG2984" t="str">
        <x:f>IF(NOT(ISNUMBER(T2984)),"PENDING",IF(AF2984&gt;0,"PASS","FAIL"))</x:f>
        <x:v>PENDING</x:v>
      </x:c>
      <x:c r="AH2984" t="str">
        <x:f>IF(NOT(ISNUMBER(T2984)),"Needs supplier cost",IF(K2984&lt;&gt;"In stock","Supplier unavailable",IF(AG2984&lt;&gt;"PASS","BLOCK - GT loss risk","Commercially protected")))</x:f>
        <x:v>Needs supplier cost</x:v>
      </x:c>
      <x:c r="AI2984" t="str">
        <x:v>2026-09-10 Active Sports trade capture</x:v>
      </x:c>
      <x:c r="AJ2984" t="str">
        <x:v>Management-only economics. Stripe stress test uses 1.5% + £0.20 standard UK online-card fee; pallet/mix-and-match pricing ignored.</x:v>
      </x:c>
    </x:row>
    <x:row r="2985">
      <x:c r="A2985" t="str">
        <x:v>Active Sports Nutrition</x:v>
      </x:c>
      <x:c r="B2985" t="str">
        <x:v>Refined Nutrition</x:v>
      </x:c>
      <x:c r="C2985" t="str">
        <x:v>Ultra Woman Multi Vitamin</x:v>
      </x:c>
      <x:c r="D2985" t="str">
        <x:v>Supplements</x:v>
      </x:c>
      <x:c r="E2985" t="str">
        <x:v>Vitamins &amp; Minerals</x:v>
      </x:c>
      <x:c r="F2985" t="str"/>
      <x:c r="G2985" t="str">
        <x:v>60 tablets</x:v>
      </x:c>
      <x:c r="H2985" t="str">
        <x:v>Standard</x:v>
      </x:c>
      <x:c r="I2985" t="str"/>
      <x:c r="J2985" t="str">
        <x:v>Unit</x:v>
      </x:c>
      <x:c r="K2985" t="str">
        <x:v>Out of stock</x:v>
      </x:c>
      <x:c r="L2985" t="str">
        <x:v>2026-09-08</x:v>
      </x:c>
      <x:c r="M2985" t="str"/>
      <x:c r="N2985" t="str"/>
      <x:c r="O2985" t="str">
        <x:v>https://www.activesportstrade.co.uk/refined-nutrition-trade</x:v>
      </x:c>
      <x:c r="P2985" t="str"/>
      <x:c r="Q2985" t="str"/>
      <x:c r="R2985" t="str"/>
      <x:c r="S2985" t="str">
        <x:v>Pending genuine supplier/brand image</x:v>
      </x:c>
      <x:c r="T2985" s="54"/>
      <x:c r="U2985" s="47" t="n">
        <x:v>0.2</x:v>
      </x:c>
      <x:c r="V2985" s="54" t="str">
        <x:f>IF(ISNUMBER(T2985),T2985*(1+U2985),"")</x:f>
      </x:c>
      <x:c r="W2985" s="47" t="n">
        <x:v>0.3</x:v>
      </x:c>
      <x:c r="X2985" s="54" t="str">
        <x:f>IF(ISNUMBER(V2985),V2985/(1-W2985),"")</x:f>
      </x:c>
      <x:c r="Y2985" s="55" t="str">
        <x:f>IF(ISNUMBER(X2985),ROUNDUP(X2985,0),"")</x:f>
      </x:c>
      <x:c r="Z2985" t="str">
        <x:f>IF(ISNUMBER(T2985),"Cost captured","Awaiting trade cost")</x:f>
        <x:v>Awaiting trade cost</x:v>
      </x:c>
      <x:c r="AB2985" s="36" t="str">
        <x:f>IF(ISNUMBER(Y2985),ROUND(Y2985*0.9,2),"")</x:f>
      </x:c>
      <x:c r="AC2985" s="36" t="str">
        <x:f>IF(ISNUMBER(AB2985),ROUND(AB2985-(AB2985*0.015+0.2)-V2985,2),"")</x:f>
      </x:c>
      <x:c r="AD2985" s="36" t="str">
        <x:f>IF(ISNUMBER(Y2985),ROUND(Y2985*0.8,2),"")</x:f>
      </x:c>
      <x:c r="AE2985" s="36" t="str">
        <x:f>IF(ISNUMBER(AD2985),ROUND(AD2985*0.015+0.2,2),"")</x:f>
      </x:c>
      <x:c r="AF2985" s="36" t="str">
        <x:f>IF(ISNUMBER(AD2985),ROUND(AD2985-AE2985-V2985,2),"")</x:f>
      </x:c>
      <x:c r="AG2985" t="str">
        <x:f>IF(NOT(ISNUMBER(T2985)),"PENDING",IF(AF2985&gt;0,"PASS","FAIL"))</x:f>
        <x:v>PENDING</x:v>
      </x:c>
      <x:c r="AH2985" t="str">
        <x:f>IF(NOT(ISNUMBER(T2985)),"Needs supplier cost",IF(K2985&lt;&gt;"In stock","Supplier unavailable",IF(AG2985&lt;&gt;"PASS","BLOCK - GT loss risk","Commercially protected")))</x:f>
        <x:v>Needs supplier cost</x:v>
      </x:c>
      <x:c r="AI2985" t="str">
        <x:v>2026-09-10 Active Sports trade capture</x:v>
      </x:c>
      <x:c r="AJ2985" t="str">
        <x:v>Management-only economics. Stripe stress test uses 1.5% + £0.20 standard UK online-card fee; pallet/mix-and-match pricing ignored.</x:v>
      </x:c>
    </x:row>
    <x:row r="2986">
      <x:c r="A2986" t="str">
        <x:v>Active Sports Nutrition</x:v>
      </x:c>
      <x:c r="B2986" t="str">
        <x:v>Refined Nutrition</x:v>
      </x:c>
      <x:c r="C2986" t="str">
        <x:v>Ultra ZMA</x:v>
      </x:c>
      <x:c r="D2986" t="str">
        <x:v>Supplements</x:v>
      </x:c>
      <x:c r="E2986" t="str">
        <x:v>ZMA</x:v>
      </x:c>
      <x:c r="F2986" t="str"/>
      <x:c r="G2986" t="str">
        <x:v>90 caps</x:v>
      </x:c>
      <x:c r="H2986" t="str">
        <x:v>Standard</x:v>
      </x:c>
      <x:c r="I2986" t="str"/>
      <x:c r="J2986" t="str">
        <x:v>Unit</x:v>
      </x:c>
      <x:c r="K2986" t="str">
        <x:v>In stock</x:v>
      </x:c>
      <x:c r="L2986" t="str">
        <x:v>2026-09-08</x:v>
      </x:c>
      <x:c r="M2986" t="str"/>
      <x:c r="N2986" t="str"/>
      <x:c r="O2986" t="str">
        <x:v>https://www.activesportstrade.co.uk/refined-nutrition-trade</x:v>
      </x:c>
      <x:c r="P2986" t="str"/>
      <x:c r="Q2986" t="str"/>
      <x:c r="R2986" t="str"/>
      <x:c r="S2986" t="str">
        <x:v>Pending genuine supplier/brand image</x:v>
      </x:c>
      <x:c r="T2986" s="54"/>
      <x:c r="U2986" s="47" t="n">
        <x:v>0.2</x:v>
      </x:c>
      <x:c r="V2986" s="54" t="str">
        <x:f>IF(ISNUMBER(T2986),T2986*(1+U2986),"")</x:f>
      </x:c>
      <x:c r="W2986" s="47" t="n">
        <x:v>0.3</x:v>
      </x:c>
      <x:c r="X2986" s="54" t="str">
        <x:f>IF(ISNUMBER(V2986),V2986/(1-W2986),"")</x:f>
      </x:c>
      <x:c r="Y2986" s="55" t="str">
        <x:f>IF(ISNUMBER(X2986),ROUNDUP(X2986,0),"")</x:f>
      </x:c>
      <x:c r="Z2986" t="str">
        <x:f>IF(ISNUMBER(T2986),"Cost captured","Awaiting trade cost")</x:f>
        <x:v>Awaiting trade cost</x:v>
      </x:c>
      <x:c r="AB2986" s="36" t="str">
        <x:f>IF(ISNUMBER(Y2986),ROUND(Y2986*0.9,2),"")</x:f>
      </x:c>
      <x:c r="AC2986" s="36" t="str">
        <x:f>IF(ISNUMBER(AB2986),ROUND(AB2986-(AB2986*0.015+0.2)-V2986,2),"")</x:f>
      </x:c>
      <x:c r="AD2986" s="36" t="str">
        <x:f>IF(ISNUMBER(Y2986),ROUND(Y2986*0.8,2),"")</x:f>
      </x:c>
      <x:c r="AE2986" s="36" t="str">
        <x:f>IF(ISNUMBER(AD2986),ROUND(AD2986*0.015+0.2,2),"")</x:f>
      </x:c>
      <x:c r="AF2986" s="36" t="str">
        <x:f>IF(ISNUMBER(AD2986),ROUND(AD2986-AE2986-V2986,2),"")</x:f>
      </x:c>
      <x:c r="AG2986" t="str">
        <x:f>IF(NOT(ISNUMBER(T2986)),"PENDING",IF(AF2986&gt;0,"PASS","FAIL"))</x:f>
        <x:v>PENDING</x:v>
      </x:c>
      <x:c r="AH2986" t="str">
        <x:f>IF(NOT(ISNUMBER(T2986)),"Needs supplier cost",IF(K2986&lt;&gt;"In stock","Supplier unavailable",IF(AG2986&lt;&gt;"PASS","BLOCK - GT loss risk","Commercially protected")))</x:f>
        <x:v>Needs supplier cost</x:v>
      </x:c>
      <x:c r="AI2986" t="str">
        <x:v>2026-09-10 Active Sports trade capture</x:v>
      </x:c>
      <x:c r="AJ2986" t="str">
        <x:v>Management-only economics. Stripe stress test uses 1.5% + £0.20 standard UK online-card fee; pallet/mix-and-match pricing ignored.</x:v>
      </x:c>
    </x:row>
    <x:row r="2987">
      <x:c r="A2987" t="str">
        <x:v>Active Sports Nutrition</x:v>
      </x:c>
      <x:c r="B2987" t="str">
        <x:v>Applied Nutrition</x:v>
      </x:c>
      <x:c r="C2987" t="str">
        <x:v>100% Micellar Casein</x:v>
      </x:c>
      <x:c r="D2987" t="str">
        <x:v>Supplements</x:v>
      </x:c>
      <x:c r="E2987" t="str">
        <x:v>Casein Protein</x:v>
      </x:c>
      <x:c r="F2987" t="str"/>
      <x:c r="G2987" t="str">
        <x:v>900g</x:v>
      </x:c>
      <x:c r="H2987" t="str">
        <x:v>White</x:v>
      </x:c>
      <x:c r="I2987" t="str"/>
      <x:c r="J2987" t="str">
        <x:v>Unit</x:v>
      </x:c>
      <x:c r="K2987" t="str">
        <x:v>In stock</x:v>
      </x:c>
      <x:c r="L2987" t="str">
        <x:v>2026-09-08</x:v>
      </x:c>
      <x:c r="M2987" t="str"/>
      <x:c r="N2987" t="str"/>
      <x:c r="O2987" t="str">
        <x:v>https://www.activesportstrade.co.uk/applied-nutrition-trade</x:v>
      </x:c>
      <x:c r="P2987" t="str">
        <x:v>NEW wording stripped.</x:v>
      </x:c>
      <x:c r="Q2987" t="str"/>
      <x:c r="R2987" t="str"/>
      <x:c r="S2987" t="str">
        <x:v>Pending genuine supplier/brand image</x:v>
      </x:c>
      <x:c r="T2987" s="54" t="n">
        <x:v>19.99</x:v>
      </x:c>
      <x:c r="U2987" s="47" t="n">
        <x:v>0.2</x:v>
      </x:c>
      <x:c r="V2987" s="54" t="n">
        <x:f>IF(ISNUMBER(T2987),T2987*(1+U2987),"")</x:f>
        <x:v>23.987999999999996</x:v>
      </x:c>
      <x:c r="W2987" s="47" t="n">
        <x:v>0.3</x:v>
      </x:c>
      <x:c r="X2987" s="54" t="n">
        <x:f>IF(ISNUMBER(V2987),V2987/(1-W2987),"")</x:f>
        <x:v>34.26857142857143</x:v>
      </x:c>
      <x:c r="Y2987" s="55" t="n">
        <x:f>IF(ISNUMBER(X2987),ROUNDUP(X2987,0),"")</x:f>
        <x:v>35</x:v>
      </x:c>
      <x:c r="Z2987" t="str">
        <x:v>Source match pending</x:v>
      </x:c>
      <x:c r="AA2987" t="str">
        <x:v>screencapture-www-activesportstrade-co-uk-applied-nutrition-trade-2026-09-10-08_59_59.pdf / page-01</x:v>
      </x:c>
      <x:c r="AB2987" s="36" t="n">
        <x:f>IF(ISNUMBER(Y2987),ROUND(Y2987*0.9,2),"")</x:f>
        <x:v>31.5</x:v>
      </x:c>
      <x:c r="AC2987" s="36" t="n">
        <x:f>IF(ISNUMBER(AB2987),ROUND(AB2987-(AB2987*0.015+0.2)-V2987,2),"")</x:f>
        <x:v>6.84</x:v>
      </x:c>
      <x:c r="AD2987" s="36" t="n">
        <x:f>IF(ISNUMBER(Y2987),ROUND(Y2987*0.8,2),"")</x:f>
        <x:v>28</x:v>
      </x:c>
      <x:c r="AE2987" s="36" t="n">
        <x:f>IF(ISNUMBER(AD2987),ROUND(AD2987*0.015+0.2,2),"")</x:f>
        <x:v>0.62</x:v>
      </x:c>
      <x:c r="AF2987" s="36" t="n">
        <x:f>IF(ISNUMBER(AD2987),ROUND(AD2987-AE2987-V2987,2),"")</x:f>
        <x:v>3.39</x:v>
      </x:c>
      <x:c r="AG2987" t="str">
        <x:f>IF(NOT(ISNUMBER(T2987)),"PENDING",IF(AF2987&gt;0,"PASS","FAIL"))</x:f>
        <x:v>PASS</x:v>
      </x:c>
      <x:c r="AH2987" t="str">
        <x:f>IF(NOT(ISNUMBER(T2987)),"Needs supplier cost",IF(K2987&lt;&gt;"In stock","Supplier unavailable",IF(AG2987&lt;&gt;"PASS","BLOCK - GT loss risk","Commercially protected")))</x:f>
        <x:v>Commercially protected</x:v>
      </x:c>
      <x:c r="AI2987" t="str">
        <x:v>2026-09-10 Active Sports trade capture</x:v>
      </x:c>
      <x:c r="AJ2987" t="str">
        <x:v>Management-only economics. Stripe stress test uses 1.5% + £0.20 standard UK online-card fee; pallet/mix-and-match pricing ignored.</x:v>
      </x:c>
    </x:row>
    <x:row r="2988">
      <x:c r="A2988" t="str">
        <x:v>Active Sports Nutrition</x:v>
      </x:c>
      <x:c r="B2988" t="str">
        <x:v>Applied Nutrition</x:v>
      </x:c>
      <x:c r="C2988" t="str">
        <x:v>ABE Pre Workout Energy Gels</x:v>
      </x:c>
      <x:c r="D2988" t="str">
        <x:v>Food &amp; Drinks</x:v>
      </x:c>
      <x:c r="E2988" t="str">
        <x:v>Energy Gels</x:v>
      </x:c>
      <x:c r="F2988" t="str"/>
      <x:c r="G2988" t="str">
        <x:v>20 gels</x:v>
      </x:c>
      <x:c r="H2988" t="str">
        <x:v>Candy Ice Blast</x:v>
      </x:c>
      <x:c r="I2988" t="str">
        <x:v>20</x:v>
      </x:c>
      <x:c r="J2988" t="str">
        <x:v>Case</x:v>
      </x:c>
      <x:c r="K2988" t="str">
        <x:v>Out of stock</x:v>
      </x:c>
      <x:c r="L2988" t="str">
        <x:v>2026-09-08</x:v>
      </x:c>
      <x:c r="M2988" t="str"/>
      <x:c r="N2988" t="str"/>
      <x:c r="O2988" t="str">
        <x:v>https://www.activesportstrade.co.uk/applied-nutrition-trade</x:v>
      </x:c>
      <x:c r="P2988" t="str">
        <x:v>VAT FREE wording stripped.</x:v>
      </x:c>
      <x:c r="Q2988" t="str"/>
      <x:c r="R2988" t="str"/>
      <x:c r="S2988" t="str">
        <x:v>Pending genuine supplier/brand image</x:v>
      </x:c>
      <x:c r="T2988" s="54" t="n">
        <x:v>19.99</x:v>
      </x:c>
      <x:c r="U2988" s="47" t="n">
        <x:v>0</x:v>
      </x:c>
      <x:c r="V2988" s="54" t="n">
        <x:f>IF(ISNUMBER(T2988),T2988*(1+U2988),"")</x:f>
        <x:v>19.99</x:v>
      </x:c>
      <x:c r="W2988" s="47" t="n">
        <x:v>0.3</x:v>
      </x:c>
      <x:c r="X2988" s="54" t="n">
        <x:f>IF(ISNUMBER(V2988),V2988/(1-W2988),"")</x:f>
        <x:v>28.557142857142857</x:v>
      </x:c>
      <x:c r="Y2988" s="55" t="n">
        <x:f>IF(ISNUMBER(X2988),ROUNDUP(X2988,0),"")</x:f>
        <x:v>29</x:v>
      </x:c>
      <x:c r="Z2988" t="str">
        <x:v>Source match pending</x:v>
      </x:c>
      <x:c r="AA2988" t="str">
        <x:v>screencapture-www-activesportstrade-co-uk-applied-nutrition-trade-2026-09-10-08_59_59.pdf / page-02</x:v>
      </x:c>
      <x:c r="AB2988" s="36" t="n">
        <x:f>IF(ISNUMBER(Y2988),ROUND(Y2988*0.9,2),"")</x:f>
        <x:v>26.1</x:v>
      </x:c>
      <x:c r="AC2988" s="36" t="n">
        <x:f>IF(ISNUMBER(AB2988),ROUND(AB2988-(AB2988*0.015+0.2)-V2988,2),"")</x:f>
        <x:v>5.52</x:v>
      </x:c>
      <x:c r="AD2988" s="36" t="n">
        <x:f>IF(ISNUMBER(Y2988),ROUND(Y2988*0.8,2),"")</x:f>
        <x:v>23.2</x:v>
      </x:c>
      <x:c r="AE2988" s="36" t="n">
        <x:f>IF(ISNUMBER(AD2988),ROUND(AD2988*0.015+0.2,2),"")</x:f>
        <x:v>0.55</x:v>
      </x:c>
      <x:c r="AF2988" s="36" t="n">
        <x:f>IF(ISNUMBER(AD2988),ROUND(AD2988-AE2988-V2988,2),"")</x:f>
        <x:v>2.66</x:v>
      </x:c>
      <x:c r="AG2988" t="str">
        <x:f>IF(NOT(ISNUMBER(T2988)),"PENDING",IF(AF2988&gt;0,"PASS","FAIL"))</x:f>
        <x:v>PASS</x:v>
      </x:c>
      <x:c r="AH2988" t="str">
        <x:f>IF(NOT(ISNUMBER(T2988)),"Needs supplier cost",IF(K2988&lt;&gt;"In stock","Supplier unavailable",IF(AG2988&lt;&gt;"PASS","BLOCK - GT loss risk","Commercially protected")))</x:f>
        <x:v>Supplier unavailable</x:v>
      </x:c>
      <x:c r="AI2988" t="str">
        <x:v>2026-09-10 Active Sports trade capture</x:v>
      </x:c>
      <x:c r="AJ2988" t="str">
        <x:v>Management-only economics. Stripe stress test uses 1.5% + £0.20 standard UK online-card fee; pallet/mix-and-match pricing ignored.</x:v>
      </x:c>
    </x:row>
    <x:row r="2989">
      <x:c r="A2989" t="str">
        <x:v>Active Sports Nutrition</x:v>
      </x:c>
      <x:c r="B2989" t="str">
        <x:v>Applied Nutrition</x:v>
      </x:c>
      <x:c r="C2989" t="str">
        <x:v>ABE Pre Workout Energy Gels</x:v>
      </x:c>
      <x:c r="D2989" t="str">
        <x:v>Food &amp; Drinks</x:v>
      </x:c>
      <x:c r="E2989" t="str">
        <x:v>Energy Gels</x:v>
      </x:c>
      <x:c r="F2989" t="str"/>
      <x:c r="G2989" t="str">
        <x:v>20 gels</x:v>
      </x:c>
      <x:c r="H2989" t="str">
        <x:v>Cherry Cola</x:v>
      </x:c>
      <x:c r="I2989" t="str">
        <x:v>20</x:v>
      </x:c>
      <x:c r="J2989" t="str">
        <x:v>Case</x:v>
      </x:c>
      <x:c r="K2989" t="str">
        <x:v>In stock</x:v>
      </x:c>
      <x:c r="L2989" t="str">
        <x:v>2026-09-08</x:v>
      </x:c>
      <x:c r="M2989" t="str"/>
      <x:c r="N2989" t="str"/>
      <x:c r="O2989" t="str">
        <x:v>https://www.activesportstrade.co.uk/applied-nutrition-trade</x:v>
      </x:c>
      <x:c r="P2989" t="str">
        <x:v>VAT FREE wording stripped.</x:v>
      </x:c>
      <x:c r="Q2989" t="str"/>
      <x:c r="R2989" t="str"/>
      <x:c r="S2989" t="str">
        <x:v>Pending genuine supplier/brand image</x:v>
      </x:c>
      <x:c r="T2989" s="54" t="n">
        <x:v>19.99</x:v>
      </x:c>
      <x:c r="U2989" s="47" t="n">
        <x:v>0</x:v>
      </x:c>
      <x:c r="V2989" s="54" t="n">
        <x:f>IF(ISNUMBER(T2989),T2989*(1+U2989),"")</x:f>
        <x:v>19.99</x:v>
      </x:c>
      <x:c r="W2989" s="47" t="n">
        <x:v>0.3</x:v>
      </x:c>
      <x:c r="X2989" s="54" t="n">
        <x:f>IF(ISNUMBER(V2989),V2989/(1-W2989),"")</x:f>
        <x:v>28.557142857142857</x:v>
      </x:c>
      <x:c r="Y2989" s="55" t="n">
        <x:f>IF(ISNUMBER(X2989),ROUNDUP(X2989,0),"")</x:f>
        <x:v>29</x:v>
      </x:c>
      <x:c r="Z2989" t="str">
        <x:v>Source match pending</x:v>
      </x:c>
      <x:c r="AA2989" t="str">
        <x:v>screencapture-www-activesportstrade-co-uk-applied-nutrition-trade-2026-09-10-08_59_59.pdf / page-02</x:v>
      </x:c>
      <x:c r="AB2989" s="36" t="n">
        <x:f>IF(ISNUMBER(Y2989),ROUND(Y2989*0.9,2),"")</x:f>
        <x:v>26.1</x:v>
      </x:c>
      <x:c r="AC2989" s="36" t="n">
        <x:f>IF(ISNUMBER(AB2989),ROUND(AB2989-(AB2989*0.015+0.2)-V2989,2),"")</x:f>
        <x:v>5.52</x:v>
      </x:c>
      <x:c r="AD2989" s="36" t="n">
        <x:f>IF(ISNUMBER(Y2989),ROUND(Y2989*0.8,2),"")</x:f>
        <x:v>23.2</x:v>
      </x:c>
      <x:c r="AE2989" s="36" t="n">
        <x:f>IF(ISNUMBER(AD2989),ROUND(AD2989*0.015+0.2,2),"")</x:f>
        <x:v>0.55</x:v>
      </x:c>
      <x:c r="AF2989" s="36" t="n">
        <x:f>IF(ISNUMBER(AD2989),ROUND(AD2989-AE2989-V2989,2),"")</x:f>
        <x:v>2.66</x:v>
      </x:c>
      <x:c r="AG2989" t="str">
        <x:f>IF(NOT(ISNUMBER(T2989)),"PENDING",IF(AF2989&gt;0,"PASS","FAIL"))</x:f>
        <x:v>PASS</x:v>
      </x:c>
      <x:c r="AH2989" t="str">
        <x:f>IF(NOT(ISNUMBER(T2989)),"Needs supplier cost",IF(K2989&lt;&gt;"In stock","Supplier unavailable",IF(AG2989&lt;&gt;"PASS","BLOCK - GT loss risk","Commercially protected")))</x:f>
        <x:v>Commercially protected</x:v>
      </x:c>
      <x:c r="AI2989" t="str">
        <x:v>2026-09-10 Active Sports trade capture</x:v>
      </x:c>
      <x:c r="AJ2989" t="str">
        <x:v>Management-only economics. Stripe stress test uses 1.5% + £0.20 standard UK online-card fee; pallet/mix-and-match pricing ignored.</x:v>
      </x:c>
    </x:row>
    <x:row r="2990">
      <x:c r="A2990" t="str">
        <x:v>Active Sports Nutrition</x:v>
      </x:c>
      <x:c r="B2990" t="str">
        <x:v>Applied Nutrition</x:v>
      </x:c>
      <x:c r="C2990" t="str">
        <x:v>ABE Pre Workout Energy Gels</x:v>
      </x:c>
      <x:c r="D2990" t="str">
        <x:v>Food &amp; Drinks</x:v>
      </x:c>
      <x:c r="E2990" t="str">
        <x:v>Energy Gels</x:v>
      </x:c>
      <x:c r="F2990" t="str"/>
      <x:c r="G2990" t="str">
        <x:v>20 gels</x:v>
      </x:c>
      <x:c r="H2990" t="str">
        <x:v>Energy Flavour</x:v>
      </x:c>
      <x:c r="I2990" t="str">
        <x:v>20</x:v>
      </x:c>
      <x:c r="J2990" t="str">
        <x:v>Case</x:v>
      </x:c>
      <x:c r="K2990" t="str">
        <x:v>In stock</x:v>
      </x:c>
      <x:c r="L2990" t="str">
        <x:v>2026-09-08</x:v>
      </x:c>
      <x:c r="M2990" t="str"/>
      <x:c r="N2990" t="str"/>
      <x:c r="O2990" t="str">
        <x:v>https://www.activesportstrade.co.uk/applied-nutrition-trade</x:v>
      </x:c>
      <x:c r="P2990" t="str">
        <x:v>VAT FREE wording stripped.</x:v>
      </x:c>
      <x:c r="Q2990" t="str"/>
      <x:c r="R2990" t="str"/>
      <x:c r="S2990" t="str">
        <x:v>Pending genuine supplier/brand image</x:v>
      </x:c>
      <x:c r="T2990" s="54" t="n">
        <x:v>19.99</x:v>
      </x:c>
      <x:c r="U2990" s="47" t="n">
        <x:v>0</x:v>
      </x:c>
      <x:c r="V2990" s="54" t="n">
        <x:f>IF(ISNUMBER(T2990),T2990*(1+U2990),"")</x:f>
        <x:v>19.99</x:v>
      </x:c>
      <x:c r="W2990" s="47" t="n">
        <x:v>0.3</x:v>
      </x:c>
      <x:c r="X2990" s="54" t="n">
        <x:f>IF(ISNUMBER(V2990),V2990/(1-W2990),"")</x:f>
        <x:v>28.557142857142857</x:v>
      </x:c>
      <x:c r="Y2990" s="55" t="n">
        <x:f>IF(ISNUMBER(X2990),ROUNDUP(X2990,0),"")</x:f>
        <x:v>29</x:v>
      </x:c>
      <x:c r="Z2990" t="str">
        <x:v>Source match pending</x:v>
      </x:c>
      <x:c r="AA2990" t="str">
        <x:v>screencapture-www-activesportstrade-co-uk-applied-nutrition-trade-2026-09-10-08_59_59.pdf / page-02</x:v>
      </x:c>
      <x:c r="AB2990" s="36" t="n">
        <x:f>IF(ISNUMBER(Y2990),ROUND(Y2990*0.9,2),"")</x:f>
        <x:v>26.1</x:v>
      </x:c>
      <x:c r="AC2990" s="36" t="n">
        <x:f>IF(ISNUMBER(AB2990),ROUND(AB2990-(AB2990*0.015+0.2)-V2990,2),"")</x:f>
        <x:v>5.52</x:v>
      </x:c>
      <x:c r="AD2990" s="36" t="n">
        <x:f>IF(ISNUMBER(Y2990),ROUND(Y2990*0.8,2),"")</x:f>
        <x:v>23.2</x:v>
      </x:c>
      <x:c r="AE2990" s="36" t="n">
        <x:f>IF(ISNUMBER(AD2990),ROUND(AD2990*0.015+0.2,2),"")</x:f>
        <x:v>0.55</x:v>
      </x:c>
      <x:c r="AF2990" s="36" t="n">
        <x:f>IF(ISNUMBER(AD2990),ROUND(AD2990-AE2990-V2990,2),"")</x:f>
        <x:v>2.66</x:v>
      </x:c>
      <x:c r="AG2990" t="str">
        <x:f>IF(NOT(ISNUMBER(T2990)),"PENDING",IF(AF2990&gt;0,"PASS","FAIL"))</x:f>
        <x:v>PASS</x:v>
      </x:c>
      <x:c r="AH2990" t="str">
        <x:f>IF(NOT(ISNUMBER(T2990)),"Needs supplier cost",IF(K2990&lt;&gt;"In stock","Supplier unavailable",IF(AG2990&lt;&gt;"PASS","BLOCK - GT loss risk","Commercially protected")))</x:f>
        <x:v>Commercially protected</x:v>
      </x:c>
      <x:c r="AI2990" t="str">
        <x:v>2026-09-10 Active Sports trade capture</x:v>
      </x:c>
      <x:c r="AJ2990" t="str">
        <x:v>Management-only economics. Stripe stress test uses 1.5% + £0.20 standard UK online-card fee; pallet/mix-and-match pricing ignored.</x:v>
      </x:c>
    </x:row>
    <x:row r="2991">
      <x:c r="A2991" t="str">
        <x:v>Active Sports Nutrition</x:v>
      </x:c>
      <x:c r="B2991" t="str">
        <x:v>Applied Nutrition</x:v>
      </x:c>
      <x:c r="C2991" t="str">
        <x:v>ABE Pre Workout Energy Gels</x:v>
      </x:c>
      <x:c r="D2991" t="str">
        <x:v>Food &amp; Drinks</x:v>
      </x:c>
      <x:c r="E2991" t="str">
        <x:v>Energy Gels</x:v>
      </x:c>
      <x:c r="F2991" t="str"/>
      <x:c r="G2991" t="str">
        <x:v>20 gels</x:v>
      </x:c>
      <x:c r="H2991" t="str">
        <x:v>Fruit Burst</x:v>
      </x:c>
      <x:c r="I2991" t="str">
        <x:v>20</x:v>
      </x:c>
      <x:c r="J2991" t="str">
        <x:v>Case</x:v>
      </x:c>
      <x:c r="K2991" t="str">
        <x:v>In stock</x:v>
      </x:c>
      <x:c r="L2991" t="str">
        <x:v>2026-09-08</x:v>
      </x:c>
      <x:c r="M2991" t="str"/>
      <x:c r="N2991" t="str"/>
      <x:c r="O2991" t="str">
        <x:v>https://www.activesportstrade.co.uk/applied-nutrition-trade</x:v>
      </x:c>
      <x:c r="P2991" t="str">
        <x:v>VAT FREE wording stripped.</x:v>
      </x:c>
      <x:c r="Q2991" t="str"/>
      <x:c r="R2991" t="str"/>
      <x:c r="S2991" t="str">
        <x:v>Pending genuine supplier/brand image</x:v>
      </x:c>
      <x:c r="T2991" s="54" t="n">
        <x:v>19.99</x:v>
      </x:c>
      <x:c r="U2991" s="47" t="n">
        <x:v>0</x:v>
      </x:c>
      <x:c r="V2991" s="54" t="n">
        <x:f>IF(ISNUMBER(T2991),T2991*(1+U2991),"")</x:f>
        <x:v>19.99</x:v>
      </x:c>
      <x:c r="W2991" s="47" t="n">
        <x:v>0.3</x:v>
      </x:c>
      <x:c r="X2991" s="54" t="n">
        <x:f>IF(ISNUMBER(V2991),V2991/(1-W2991),"")</x:f>
        <x:v>28.557142857142857</x:v>
      </x:c>
      <x:c r="Y2991" s="55" t="n">
        <x:f>IF(ISNUMBER(X2991),ROUNDUP(X2991,0),"")</x:f>
        <x:v>29</x:v>
      </x:c>
      <x:c r="Z2991" t="str">
        <x:v>Source match pending</x:v>
      </x:c>
      <x:c r="AA2991" t="str">
        <x:v>screencapture-www-activesportstrade-co-uk-applied-nutrition-trade-2026-09-10-08_59_59.pdf / page-02</x:v>
      </x:c>
      <x:c r="AB2991" s="36" t="n">
        <x:f>IF(ISNUMBER(Y2991),ROUND(Y2991*0.9,2),"")</x:f>
        <x:v>26.1</x:v>
      </x:c>
      <x:c r="AC2991" s="36" t="n">
        <x:f>IF(ISNUMBER(AB2991),ROUND(AB2991-(AB2991*0.015+0.2)-V2991,2),"")</x:f>
        <x:v>5.52</x:v>
      </x:c>
      <x:c r="AD2991" s="36" t="n">
        <x:f>IF(ISNUMBER(Y2991),ROUND(Y2991*0.8,2),"")</x:f>
        <x:v>23.2</x:v>
      </x:c>
      <x:c r="AE2991" s="36" t="n">
        <x:f>IF(ISNUMBER(AD2991),ROUND(AD2991*0.015+0.2,2),"")</x:f>
        <x:v>0.55</x:v>
      </x:c>
      <x:c r="AF2991" s="36" t="n">
        <x:f>IF(ISNUMBER(AD2991),ROUND(AD2991-AE2991-V2991,2),"")</x:f>
        <x:v>2.66</x:v>
      </x:c>
      <x:c r="AG2991" t="str">
        <x:f>IF(NOT(ISNUMBER(T2991)),"PENDING",IF(AF2991&gt;0,"PASS","FAIL"))</x:f>
        <x:v>PASS</x:v>
      </x:c>
      <x:c r="AH2991" t="str">
        <x:f>IF(NOT(ISNUMBER(T2991)),"Needs supplier cost",IF(K2991&lt;&gt;"In stock","Supplier unavailable",IF(AG2991&lt;&gt;"PASS","BLOCK - GT loss risk","Commercially protected")))</x:f>
        <x:v>Commercially protected</x:v>
      </x:c>
      <x:c r="AI2991" t="str">
        <x:v>2026-09-10 Active Sports trade capture</x:v>
      </x:c>
      <x:c r="AJ2991" t="str">
        <x:v>Management-only economics. Stripe stress test uses 1.5% + £0.20 standard UK online-card fee; pallet/mix-and-match pricing ignored.</x:v>
      </x:c>
    </x:row>
    <x:row r="2992">
      <x:c r="A2992" t="str">
        <x:v>Active Sports Nutrition</x:v>
      </x:c>
      <x:c r="B2992" t="str">
        <x:v>Applied Nutrition</x:v>
      </x:c>
      <x:c r="C2992" t="str">
        <x:v>ABE Pre Workout Energy Gels</x:v>
      </x:c>
      <x:c r="D2992" t="str">
        <x:v>Food &amp; Drinks</x:v>
      </x:c>
      <x:c r="E2992" t="str">
        <x:v>Energy Gels</x:v>
      </x:c>
      <x:c r="F2992" t="str"/>
      <x:c r="G2992" t="str">
        <x:v>20 gels</x:v>
      </x:c>
      <x:c r="H2992" t="str">
        <x:v>Icy Blue Razz</x:v>
      </x:c>
      <x:c r="I2992" t="str">
        <x:v>20</x:v>
      </x:c>
      <x:c r="J2992" t="str">
        <x:v>Case</x:v>
      </x:c>
      <x:c r="K2992" t="str">
        <x:v>In stock</x:v>
      </x:c>
      <x:c r="L2992" t="str">
        <x:v>2026-09-08</x:v>
      </x:c>
      <x:c r="M2992" t="str"/>
      <x:c r="N2992" t="str"/>
      <x:c r="O2992" t="str">
        <x:v>https://www.activesportstrade.co.uk/applied-nutrition-trade</x:v>
      </x:c>
      <x:c r="P2992" t="str">
        <x:v>VAT FREE wording stripped.</x:v>
      </x:c>
      <x:c r="Q2992" t="str"/>
      <x:c r="R2992" t="str"/>
      <x:c r="S2992" t="str">
        <x:v>Pending genuine supplier/brand image</x:v>
      </x:c>
      <x:c r="T2992" s="54" t="n">
        <x:v>19.99</x:v>
      </x:c>
      <x:c r="U2992" s="47" t="n">
        <x:v>0</x:v>
      </x:c>
      <x:c r="V2992" s="54" t="n">
        <x:f>IF(ISNUMBER(T2992),T2992*(1+U2992),"")</x:f>
        <x:v>19.99</x:v>
      </x:c>
      <x:c r="W2992" s="47" t="n">
        <x:v>0.3</x:v>
      </x:c>
      <x:c r="X2992" s="54" t="n">
        <x:f>IF(ISNUMBER(V2992),V2992/(1-W2992),"")</x:f>
        <x:v>28.557142857142857</x:v>
      </x:c>
      <x:c r="Y2992" s="55" t="n">
        <x:f>IF(ISNUMBER(X2992),ROUNDUP(X2992,0),"")</x:f>
        <x:v>29</x:v>
      </x:c>
      <x:c r="Z2992" t="str">
        <x:v>Source match pending</x:v>
      </x:c>
      <x:c r="AA2992" t="str">
        <x:v>screencapture-www-activesportstrade-co-uk-applied-nutrition-trade-2026-09-10-08_59_59.pdf / page-02</x:v>
      </x:c>
      <x:c r="AB2992" s="36" t="n">
        <x:f>IF(ISNUMBER(Y2992),ROUND(Y2992*0.9,2),"")</x:f>
        <x:v>26.1</x:v>
      </x:c>
      <x:c r="AC2992" s="36" t="n">
        <x:f>IF(ISNUMBER(AB2992),ROUND(AB2992-(AB2992*0.015+0.2)-V2992,2),"")</x:f>
        <x:v>5.52</x:v>
      </x:c>
      <x:c r="AD2992" s="36" t="n">
        <x:f>IF(ISNUMBER(Y2992),ROUND(Y2992*0.8,2),"")</x:f>
        <x:v>23.2</x:v>
      </x:c>
      <x:c r="AE2992" s="36" t="n">
        <x:f>IF(ISNUMBER(AD2992),ROUND(AD2992*0.015+0.2,2),"")</x:f>
        <x:v>0.55</x:v>
      </x:c>
      <x:c r="AF2992" s="36" t="n">
        <x:f>IF(ISNUMBER(AD2992),ROUND(AD2992-AE2992-V2992,2),"")</x:f>
        <x:v>2.66</x:v>
      </x:c>
      <x:c r="AG2992" t="str">
        <x:f>IF(NOT(ISNUMBER(T2992)),"PENDING",IF(AF2992&gt;0,"PASS","FAIL"))</x:f>
        <x:v>PASS</x:v>
      </x:c>
      <x:c r="AH2992" t="str">
        <x:f>IF(NOT(ISNUMBER(T2992)),"Needs supplier cost",IF(K2992&lt;&gt;"In stock","Supplier unavailable",IF(AG2992&lt;&gt;"PASS","BLOCK - GT loss risk","Commercially protected")))</x:f>
        <x:v>Commercially protected</x:v>
      </x:c>
      <x:c r="AI2992" t="str">
        <x:v>2026-09-10 Active Sports trade capture</x:v>
      </x:c>
      <x:c r="AJ2992" t="str">
        <x:v>Management-only economics. Stripe stress test uses 1.5% + £0.20 standard UK online-card fee; pallet/mix-and-match pricing ignored.</x:v>
      </x:c>
    </x:row>
    <x:row r="2993">
      <x:c r="A2993" t="str">
        <x:v>Active Sports Nutrition</x:v>
      </x:c>
      <x:c r="B2993" t="str">
        <x:v>Applied Nutrition</x:v>
      </x:c>
      <x:c r="C2993" t="str">
        <x:v>ABE Pre Workout Energy Gels</x:v>
      </x:c>
      <x:c r="D2993" t="str">
        <x:v>Food &amp; Drinks</x:v>
      </x:c>
      <x:c r="E2993" t="str">
        <x:v>Energy Gels</x:v>
      </x:c>
      <x:c r="F2993" t="str"/>
      <x:c r="G2993" t="str">
        <x:v>20 gels</x:v>
      </x:c>
      <x:c r="H2993" t="str">
        <x:v>Tropical Vibes</x:v>
      </x:c>
      <x:c r="I2993" t="str">
        <x:v>20</x:v>
      </x:c>
      <x:c r="J2993" t="str">
        <x:v>Case</x:v>
      </x:c>
      <x:c r="K2993" t="str">
        <x:v>In stock</x:v>
      </x:c>
      <x:c r="L2993" t="str">
        <x:v>2026-09-08</x:v>
      </x:c>
      <x:c r="M2993" t="str"/>
      <x:c r="N2993" t="str"/>
      <x:c r="O2993" t="str">
        <x:v>https://www.activesportstrade.co.uk/applied-nutrition-trade</x:v>
      </x:c>
      <x:c r="P2993" t="str">
        <x:v>VAT FREE wording stripped.</x:v>
      </x:c>
      <x:c r="Q2993" t="str"/>
      <x:c r="R2993" t="str"/>
      <x:c r="S2993" t="str">
        <x:v>Pending genuine supplier/brand image</x:v>
      </x:c>
      <x:c r="T2993" s="54" t="n">
        <x:v>19.99</x:v>
      </x:c>
      <x:c r="U2993" s="47" t="n">
        <x:v>0</x:v>
      </x:c>
      <x:c r="V2993" s="54" t="n">
        <x:f>IF(ISNUMBER(T2993),T2993*(1+U2993),"")</x:f>
        <x:v>19.99</x:v>
      </x:c>
      <x:c r="W2993" s="47" t="n">
        <x:v>0.3</x:v>
      </x:c>
      <x:c r="X2993" s="54" t="n">
        <x:f>IF(ISNUMBER(V2993),V2993/(1-W2993),"")</x:f>
        <x:v>28.557142857142857</x:v>
      </x:c>
      <x:c r="Y2993" s="55" t="n">
        <x:f>IF(ISNUMBER(X2993),ROUNDUP(X2993,0),"")</x:f>
        <x:v>29</x:v>
      </x:c>
      <x:c r="Z2993" t="str">
        <x:v>Source match pending</x:v>
      </x:c>
      <x:c r="AA2993" t="str">
        <x:v>screencapture-www-activesportstrade-co-uk-applied-nutrition-trade-2026-09-10-08_59_59.pdf / page-02</x:v>
      </x:c>
      <x:c r="AB2993" s="36" t="n">
        <x:f>IF(ISNUMBER(Y2993),ROUND(Y2993*0.9,2),"")</x:f>
        <x:v>26.1</x:v>
      </x:c>
      <x:c r="AC2993" s="36" t="n">
        <x:f>IF(ISNUMBER(AB2993),ROUND(AB2993-(AB2993*0.015+0.2)-V2993,2),"")</x:f>
        <x:v>5.52</x:v>
      </x:c>
      <x:c r="AD2993" s="36" t="n">
        <x:f>IF(ISNUMBER(Y2993),ROUND(Y2993*0.8,2),"")</x:f>
        <x:v>23.2</x:v>
      </x:c>
      <x:c r="AE2993" s="36" t="n">
        <x:f>IF(ISNUMBER(AD2993),ROUND(AD2993*0.015+0.2,2),"")</x:f>
        <x:v>0.55</x:v>
      </x:c>
      <x:c r="AF2993" s="36" t="n">
        <x:f>IF(ISNUMBER(AD2993),ROUND(AD2993-AE2993-V2993,2),"")</x:f>
        <x:v>2.66</x:v>
      </x:c>
      <x:c r="AG2993" t="str">
        <x:f>IF(NOT(ISNUMBER(T2993)),"PENDING",IF(AF2993&gt;0,"PASS","FAIL"))</x:f>
        <x:v>PASS</x:v>
      </x:c>
      <x:c r="AH2993" t="str">
        <x:f>IF(NOT(ISNUMBER(T2993)),"Needs supplier cost",IF(K2993&lt;&gt;"In stock","Supplier unavailable",IF(AG2993&lt;&gt;"PASS","BLOCK - GT loss risk","Commercially protected")))</x:f>
        <x:v>Commercially protected</x:v>
      </x:c>
      <x:c r="AI2993" t="str">
        <x:v>2026-09-10 Active Sports trade capture</x:v>
      </x:c>
      <x:c r="AJ2993" t="str">
        <x:v>Management-only economics. Stripe stress test uses 1.5% + £0.20 standard UK online-card fee; pallet/mix-and-match pricing ignored.</x:v>
      </x:c>
    </x:row>
    <x:row r="2994">
      <x:c r="A2994" t="str">
        <x:v>Active Sports Nutrition</x:v>
      </x:c>
      <x:c r="B2994" t="str">
        <x:v>Applied Nutrition</x:v>
      </x:c>
      <x:c r="C2994" t="str">
        <x:v>Creatine + Hydration</x:v>
      </x:c>
      <x:c r="D2994" t="str">
        <x:v>Supplements</x:v>
      </x:c>
      <x:c r="E2994" t="str">
        <x:v>Creatine / Hydration</x:v>
      </x:c>
      <x:c r="F2994" t="str"/>
      <x:c r="G2994" t="str">
        <x:v>360g</x:v>
      </x:c>
      <x:c r="H2994" t="str">
        <x:v>Icy Blue Razz</x:v>
      </x:c>
      <x:c r="I2994" t="str"/>
      <x:c r="J2994" t="str">
        <x:v>Unit</x:v>
      </x:c>
      <x:c r="K2994" t="str">
        <x:v>In stock</x:v>
      </x:c>
      <x:c r="L2994" t="str">
        <x:v>2026-09-08</x:v>
      </x:c>
      <x:c r="M2994" t="str"/>
      <x:c r="N2994" t="str"/>
      <x:c r="O2994" t="str">
        <x:v>https://www.activesportstrade.co.uk/applied-nutrition-trade</x:v>
      </x:c>
      <x:c r="P2994" t="str">
        <x:v>SPECIAL OFFER / FREE LIFESTYLE WATER BOTTLE wording stripped.</x:v>
      </x:c>
      <x:c r="Q2994" t="str"/>
      <x:c r="R2994" t="str"/>
      <x:c r="S2994" t="str">
        <x:v>Pending genuine supplier/brand image</x:v>
      </x:c>
      <x:c r="T2994" s="54" t="n">
        <x:v>12.5</x:v>
      </x:c>
      <x:c r="U2994" s="47" t="n">
        <x:v>0.2</x:v>
      </x:c>
      <x:c r="V2994" s="54" t="n">
        <x:f>IF(ISNUMBER(T2994),T2994*(1+U2994),"")</x:f>
        <x:v>15</x:v>
      </x:c>
      <x:c r="W2994" s="47" t="n">
        <x:v>0.3</x:v>
      </x:c>
      <x:c r="X2994" s="54" t="n">
        <x:f>IF(ISNUMBER(V2994),V2994/(1-W2994),"")</x:f>
        <x:v>21.42857142857143</x:v>
      </x:c>
      <x:c r="Y2994" s="55" t="n">
        <x:f>IF(ISNUMBER(X2994),ROUNDUP(X2994,0),"")</x:f>
        <x:v>22</x:v>
      </x:c>
      <x:c r="Z2994" t="str">
        <x:v>Source match pending</x:v>
      </x:c>
      <x:c r="AA2994" t="str">
        <x:v>screencapture-www-activesportstrade-co-uk-applied-nutrition-trade-2026-09-10-08_59_59.pdf / page-07</x:v>
      </x:c>
      <x:c r="AB2994" s="36" t="n">
        <x:f>IF(ISNUMBER(Y2994),ROUND(Y2994*0.9,2),"")</x:f>
        <x:v>19.8</x:v>
      </x:c>
      <x:c r="AC2994" s="36" t="n">
        <x:f>IF(ISNUMBER(AB2994),ROUND(AB2994-(AB2994*0.015+0.2)-V2994,2),"")</x:f>
        <x:v>4.3</x:v>
      </x:c>
      <x:c r="AD2994" s="36" t="n">
        <x:f>IF(ISNUMBER(Y2994),ROUND(Y2994*0.8,2),"")</x:f>
        <x:v>17.6</x:v>
      </x:c>
      <x:c r="AE2994" s="36" t="n">
        <x:f>IF(ISNUMBER(AD2994),ROUND(AD2994*0.015+0.2,2),"")</x:f>
        <x:v>0.46</x:v>
      </x:c>
      <x:c r="AF2994" s="36" t="n">
        <x:f>IF(ISNUMBER(AD2994),ROUND(AD2994-AE2994-V2994,2),"")</x:f>
        <x:v>2.14</x:v>
      </x:c>
      <x:c r="AG2994" t="str">
        <x:f>IF(NOT(ISNUMBER(T2994)),"PENDING",IF(AF2994&gt;0,"PASS","FAIL"))</x:f>
        <x:v>PASS</x:v>
      </x:c>
      <x:c r="AH2994" t="str">
        <x:f>IF(NOT(ISNUMBER(T2994)),"Needs supplier cost",IF(K2994&lt;&gt;"In stock","Supplier unavailable",IF(AG2994&lt;&gt;"PASS","BLOCK - GT loss risk","Commercially protected")))</x:f>
        <x:v>Commercially protected</x:v>
      </x:c>
      <x:c r="AI2994" t="str">
        <x:v>2026-09-10 Active Sports trade capture</x:v>
      </x:c>
      <x:c r="AJ2994" t="str">
        <x:v>Management-only economics. Stripe stress test uses 1.5% + £0.20 standard UK online-card fee; pallet/mix-and-match pricing ignored.</x:v>
      </x:c>
    </x:row>
    <x:row r="2995">
      <x:c r="A2995" t="str">
        <x:v>Active Sports Nutrition</x:v>
      </x:c>
      <x:c r="B2995" t="str">
        <x:v>Applied Nutrition</x:v>
      </x:c>
      <x:c r="C2995" t="str">
        <x:v>Creatine + Hydration</x:v>
      </x:c>
      <x:c r="D2995" t="str">
        <x:v>Supplements</x:v>
      </x:c>
      <x:c r="E2995" t="str">
        <x:v>Creatine / Hydration</x:v>
      </x:c>
      <x:c r="F2995" t="str"/>
      <x:c r="G2995" t="str">
        <x:v>360g</x:v>
      </x:c>
      <x:c r="H2995" t="str">
        <x:v>Strawberry &amp; Raspberry</x:v>
      </x:c>
      <x:c r="I2995" t="str"/>
      <x:c r="J2995" t="str">
        <x:v>Unit</x:v>
      </x:c>
      <x:c r="K2995" t="str">
        <x:v>In stock</x:v>
      </x:c>
      <x:c r="L2995" t="str">
        <x:v>2026-09-08</x:v>
      </x:c>
      <x:c r="M2995" t="str"/>
      <x:c r="N2995" t="str"/>
      <x:c r="O2995" t="str">
        <x:v>https://www.activesportstrade.co.uk/applied-nutrition-trade</x:v>
      </x:c>
      <x:c r="P2995" t="str">
        <x:v>SPECIAL OFFER / FREE LIFESTYLE WATER BOTTLE wording stripped.</x:v>
      </x:c>
      <x:c r="Q2995" t="str"/>
      <x:c r="R2995" t="str"/>
      <x:c r="S2995" t="str">
        <x:v>Pending genuine supplier/brand image</x:v>
      </x:c>
      <x:c r="T2995" s="54" t="n">
        <x:v>12.5</x:v>
      </x:c>
      <x:c r="U2995" s="47" t="n">
        <x:v>0.2</x:v>
      </x:c>
      <x:c r="V2995" s="54" t="n">
        <x:f>IF(ISNUMBER(T2995),T2995*(1+U2995),"")</x:f>
        <x:v>15</x:v>
      </x:c>
      <x:c r="W2995" s="47" t="n">
        <x:v>0.3</x:v>
      </x:c>
      <x:c r="X2995" s="54" t="n">
        <x:f>IF(ISNUMBER(V2995),V2995/(1-W2995),"")</x:f>
        <x:v>21.42857142857143</x:v>
      </x:c>
      <x:c r="Y2995" s="55" t="n">
        <x:f>IF(ISNUMBER(X2995),ROUNDUP(X2995,0),"")</x:f>
        <x:v>22</x:v>
      </x:c>
      <x:c r="Z2995" t="str">
        <x:v>Source match pending</x:v>
      </x:c>
      <x:c r="AA2995" t="str">
        <x:v>screencapture-www-activesportstrade-co-uk-applied-nutrition-trade-2026-09-10-08_59_59.pdf / page-07</x:v>
      </x:c>
      <x:c r="AB2995" s="36" t="n">
        <x:f>IF(ISNUMBER(Y2995),ROUND(Y2995*0.9,2),"")</x:f>
        <x:v>19.8</x:v>
      </x:c>
      <x:c r="AC2995" s="36" t="n">
        <x:f>IF(ISNUMBER(AB2995),ROUND(AB2995-(AB2995*0.015+0.2)-V2995,2),"")</x:f>
        <x:v>4.3</x:v>
      </x:c>
      <x:c r="AD2995" s="36" t="n">
        <x:f>IF(ISNUMBER(Y2995),ROUND(Y2995*0.8,2),"")</x:f>
        <x:v>17.6</x:v>
      </x:c>
      <x:c r="AE2995" s="36" t="n">
        <x:f>IF(ISNUMBER(AD2995),ROUND(AD2995*0.015+0.2,2),"")</x:f>
        <x:v>0.46</x:v>
      </x:c>
      <x:c r="AF2995" s="36" t="n">
        <x:f>IF(ISNUMBER(AD2995),ROUND(AD2995-AE2995-V2995,2),"")</x:f>
        <x:v>2.14</x:v>
      </x:c>
      <x:c r="AG2995" t="str">
        <x:f>IF(NOT(ISNUMBER(T2995)),"PENDING",IF(AF2995&gt;0,"PASS","FAIL"))</x:f>
        <x:v>PASS</x:v>
      </x:c>
      <x:c r="AH2995" t="str">
        <x:f>IF(NOT(ISNUMBER(T2995)),"Needs supplier cost",IF(K2995&lt;&gt;"In stock","Supplier unavailable",IF(AG2995&lt;&gt;"PASS","BLOCK - GT loss risk","Commercially protected")))</x:f>
        <x:v>Commercially protected</x:v>
      </x:c>
      <x:c r="AI2995" t="str">
        <x:v>2026-09-10 Active Sports trade capture</x:v>
      </x:c>
      <x:c r="AJ2995" t="str">
        <x:v>Management-only economics. Stripe stress test uses 1.5% + £0.20 standard UK online-card fee; pallet/mix-and-match pricing ignored.</x:v>
      </x:c>
    </x:row>
    <x:row r="2996">
      <x:c r="A2996" t="str">
        <x:v>Active Sports Nutrition</x:v>
      </x:c>
      <x:c r="B2996" t="str">
        <x:v>Applied Nutrition</x:v>
      </x:c>
      <x:c r="C2996" t="str">
        <x:v>Critical Plant Protein</x:v>
      </x:c>
      <x:c r="D2996" t="str">
        <x:v>Supplements</x:v>
      </x:c>
      <x:c r="E2996" t="str">
        <x:v>Vegan Protein</x:v>
      </x:c>
      <x:c r="F2996" t="str"/>
      <x:c r="G2996" t="str">
        <x:v>1.8kg</x:v>
      </x:c>
      <x:c r="H2996" t="str">
        <x:v>Chocolate</x:v>
      </x:c>
      <x:c r="I2996" t="str"/>
      <x:c r="J2996" t="str">
        <x:v>Unit</x:v>
      </x:c>
      <x:c r="K2996" t="str">
        <x:v>In stock</x:v>
      </x:c>
      <x:c r="L2996" t="str">
        <x:v>2026-09-08</x:v>
      </x:c>
      <x:c r="M2996" t="str"/>
      <x:c r="N2996" t="str"/>
      <x:c r="O2996" t="str">
        <x:v>https://www.activesportstrade.co.uk/applied-nutrition-trade</x:v>
      </x:c>
      <x:c r="P2996" t="str"/>
      <x:c r="Q2996" t="str"/>
      <x:c r="R2996" t="str"/>
      <x:c r="S2996" t="str">
        <x:v>Pending genuine supplier/brand image</x:v>
      </x:c>
      <x:c r="T2996" s="54" t="n">
        <x:v>20.99</x:v>
      </x:c>
      <x:c r="U2996" s="47" t="n">
        <x:v>0.2</x:v>
      </x:c>
      <x:c r="V2996" s="54" t="n">
        <x:f>IF(ISNUMBER(T2996),T2996*(1+U2996),"")</x:f>
        <x:v>25.188</x:v>
      </x:c>
      <x:c r="W2996" s="47" t="n">
        <x:v>0.3</x:v>
      </x:c>
      <x:c r="X2996" s="54" t="n">
        <x:f>IF(ISNUMBER(V2996),V2996/(1-W2996),"")</x:f>
        <x:v>35.98285714285714</x:v>
      </x:c>
      <x:c r="Y2996" s="55" t="n">
        <x:f>IF(ISNUMBER(X2996),ROUNDUP(X2996,0),"")</x:f>
        <x:v>36</x:v>
      </x:c>
      <x:c r="Z2996" t="str">
        <x:v>Source match pending</x:v>
      </x:c>
      <x:c r="AA2996" t="str">
        <x:v>screencapture-www-activesportstrade-co-uk-applied-nutrition-trade-2026-09-10-08_59_59.pdf / page-09</x:v>
      </x:c>
      <x:c r="AB2996" s="36" t="n">
        <x:f>IF(ISNUMBER(Y2996),ROUND(Y2996*0.9,2),"")</x:f>
        <x:v>32.4</x:v>
      </x:c>
      <x:c r="AC2996" s="36" t="n">
        <x:f>IF(ISNUMBER(AB2996),ROUND(AB2996-(AB2996*0.015+0.2)-V2996,2),"")</x:f>
        <x:v>6.53</x:v>
      </x:c>
      <x:c r="AD2996" s="36" t="n">
        <x:f>IF(ISNUMBER(Y2996),ROUND(Y2996*0.8,2),"")</x:f>
        <x:v>28.8</x:v>
      </x:c>
      <x:c r="AE2996" s="36" t="n">
        <x:f>IF(ISNUMBER(AD2996),ROUND(AD2996*0.015+0.2,2),"")</x:f>
        <x:v>0.63</x:v>
      </x:c>
      <x:c r="AF2996" s="36" t="n">
        <x:f>IF(ISNUMBER(AD2996),ROUND(AD2996-AE2996-V2996,2),"")</x:f>
        <x:v>2.98</x:v>
      </x:c>
      <x:c r="AG2996" t="str">
        <x:f>IF(NOT(ISNUMBER(T2996)),"PENDING",IF(AF2996&gt;0,"PASS","FAIL"))</x:f>
        <x:v>PASS</x:v>
      </x:c>
      <x:c r="AH2996" t="str">
        <x:f>IF(NOT(ISNUMBER(T2996)),"Needs supplier cost",IF(K2996&lt;&gt;"In stock","Supplier unavailable",IF(AG2996&lt;&gt;"PASS","BLOCK - GT loss risk","Commercially protected")))</x:f>
        <x:v>Commercially protected</x:v>
      </x:c>
      <x:c r="AI2996" t="str">
        <x:v>2026-09-10 Active Sports trade capture</x:v>
      </x:c>
      <x:c r="AJ2996" t="str">
        <x:v>Management-only economics. Stripe stress test uses 1.5% + £0.20 standard UK online-card fee; pallet/mix-and-match pricing ignored.</x:v>
      </x:c>
    </x:row>
    <x:row r="2997">
      <x:c r="A2997" t="str">
        <x:v>Active Sports Nutrition</x:v>
      </x:c>
      <x:c r="B2997" t="str">
        <x:v>Applied Nutrition</x:v>
      </x:c>
      <x:c r="C2997" t="str">
        <x:v>Critical Plant Protein</x:v>
      </x:c>
      <x:c r="D2997" t="str">
        <x:v>Supplements</x:v>
      </x:c>
      <x:c r="E2997" t="str">
        <x:v>Vegan Protein</x:v>
      </x:c>
      <x:c r="F2997" t="str"/>
      <x:c r="G2997" t="str">
        <x:v>1.8kg</x:v>
      </x:c>
      <x:c r="H2997" t="str">
        <x:v>Strawberry</x:v>
      </x:c>
      <x:c r="I2997" t="str"/>
      <x:c r="J2997" t="str">
        <x:v>Unit</x:v>
      </x:c>
      <x:c r="K2997" t="str">
        <x:v>In stock</x:v>
      </x:c>
      <x:c r="L2997" t="str">
        <x:v>2026-09-08</x:v>
      </x:c>
      <x:c r="M2997" t="str"/>
      <x:c r="N2997" t="str"/>
      <x:c r="O2997" t="str">
        <x:v>https://www.activesportstrade.co.uk/applied-nutrition-trade</x:v>
      </x:c>
      <x:c r="P2997" t="str"/>
      <x:c r="Q2997" t="str"/>
      <x:c r="R2997" t="str"/>
      <x:c r="S2997" t="str">
        <x:v>Pending genuine supplier/brand image</x:v>
      </x:c>
      <x:c r="T2997" s="54" t="n">
        <x:v>20.99</x:v>
      </x:c>
      <x:c r="U2997" s="47" t="n">
        <x:v>0.2</x:v>
      </x:c>
      <x:c r="V2997" s="54" t="n">
        <x:f>IF(ISNUMBER(T2997),T2997*(1+U2997),"")</x:f>
        <x:v>25.188</x:v>
      </x:c>
      <x:c r="W2997" s="47" t="n">
        <x:v>0.3</x:v>
      </x:c>
      <x:c r="X2997" s="54" t="n">
        <x:f>IF(ISNUMBER(V2997),V2997/(1-W2997),"")</x:f>
        <x:v>35.98285714285714</x:v>
      </x:c>
      <x:c r="Y2997" s="55" t="n">
        <x:f>IF(ISNUMBER(X2997),ROUNDUP(X2997,0),"")</x:f>
        <x:v>36</x:v>
      </x:c>
      <x:c r="Z2997" t="str">
        <x:v>Source match pending</x:v>
      </x:c>
      <x:c r="AA2997" t="str">
        <x:v>screencapture-www-activesportstrade-co-uk-applied-nutrition-trade-2026-09-10-08_59_59.pdf / page-09</x:v>
      </x:c>
      <x:c r="AB2997" s="36" t="n">
        <x:f>IF(ISNUMBER(Y2997),ROUND(Y2997*0.9,2),"")</x:f>
        <x:v>32.4</x:v>
      </x:c>
      <x:c r="AC2997" s="36" t="n">
        <x:f>IF(ISNUMBER(AB2997),ROUND(AB2997-(AB2997*0.015+0.2)-V2997,2),"")</x:f>
        <x:v>6.53</x:v>
      </x:c>
      <x:c r="AD2997" s="36" t="n">
        <x:f>IF(ISNUMBER(Y2997),ROUND(Y2997*0.8,2),"")</x:f>
        <x:v>28.8</x:v>
      </x:c>
      <x:c r="AE2997" s="36" t="n">
        <x:f>IF(ISNUMBER(AD2997),ROUND(AD2997*0.015+0.2,2),"")</x:f>
        <x:v>0.63</x:v>
      </x:c>
      <x:c r="AF2997" s="36" t="n">
        <x:f>IF(ISNUMBER(AD2997),ROUND(AD2997-AE2997-V2997,2),"")</x:f>
        <x:v>2.98</x:v>
      </x:c>
      <x:c r="AG2997" t="str">
        <x:f>IF(NOT(ISNUMBER(T2997)),"PENDING",IF(AF2997&gt;0,"PASS","FAIL"))</x:f>
        <x:v>PASS</x:v>
      </x:c>
      <x:c r="AH2997" t="str">
        <x:f>IF(NOT(ISNUMBER(T2997)),"Needs supplier cost",IF(K2997&lt;&gt;"In stock","Supplier unavailable",IF(AG2997&lt;&gt;"PASS","BLOCK - GT loss risk","Commercially protected")))</x:f>
        <x:v>Commercially protected</x:v>
      </x:c>
      <x:c r="AI2997" t="str">
        <x:v>2026-09-10 Active Sports trade capture</x:v>
      </x:c>
      <x:c r="AJ2997" t="str">
        <x:v>Management-only economics. Stripe stress test uses 1.5% + £0.20 standard UK online-card fee; pallet/mix-and-match pricing ignored.</x:v>
      </x:c>
    </x:row>
    <x:row r="2998">
      <x:c r="A2998" t="str">
        <x:v>Active Sports Nutrition</x:v>
      </x:c>
      <x:c r="B2998" t="str">
        <x:v>Applied Nutrition</x:v>
      </x:c>
      <x:c r="C2998" t="str">
        <x:v>Critical Plant Protein</x:v>
      </x:c>
      <x:c r="D2998" t="str">
        <x:v>Supplements</x:v>
      </x:c>
      <x:c r="E2998" t="str">
        <x:v>Vegan Protein</x:v>
      </x:c>
      <x:c r="F2998" t="str"/>
      <x:c r="G2998" t="str">
        <x:v>1.8kg</x:v>
      </x:c>
      <x:c r="H2998" t="str">
        <x:v>Vanilla</x:v>
      </x:c>
      <x:c r="I2998" t="str"/>
      <x:c r="J2998" t="str">
        <x:v>Unit</x:v>
      </x:c>
      <x:c r="K2998" t="str">
        <x:v>In stock</x:v>
      </x:c>
      <x:c r="L2998" t="str">
        <x:v>2026-09-08</x:v>
      </x:c>
      <x:c r="M2998" t="str"/>
      <x:c r="N2998" t="str"/>
      <x:c r="O2998" t="str">
        <x:v>https://www.activesportstrade.co.uk/applied-nutrition-trade</x:v>
      </x:c>
      <x:c r="P2998" t="str"/>
      <x:c r="Q2998" t="str"/>
      <x:c r="R2998" t="str"/>
      <x:c r="S2998" t="str">
        <x:v>Pending genuine supplier/brand image</x:v>
      </x:c>
      <x:c r="T2998" s="54" t="n">
        <x:v>20.99</x:v>
      </x:c>
      <x:c r="U2998" s="47" t="n">
        <x:v>0.2</x:v>
      </x:c>
      <x:c r="V2998" s="54" t="n">
        <x:f>IF(ISNUMBER(T2998),T2998*(1+U2998),"")</x:f>
        <x:v>25.188</x:v>
      </x:c>
      <x:c r="W2998" s="47" t="n">
        <x:v>0.3</x:v>
      </x:c>
      <x:c r="X2998" s="54" t="n">
        <x:f>IF(ISNUMBER(V2998),V2998/(1-W2998),"")</x:f>
        <x:v>35.98285714285714</x:v>
      </x:c>
      <x:c r="Y2998" s="55" t="n">
        <x:f>IF(ISNUMBER(X2998),ROUNDUP(X2998,0),"")</x:f>
        <x:v>36</x:v>
      </x:c>
      <x:c r="Z2998" t="str">
        <x:v>Source match pending</x:v>
      </x:c>
      <x:c r="AA2998" t="str">
        <x:v>screencapture-www-activesportstrade-co-uk-applied-nutrition-trade-2026-09-10-08_59_59.pdf / page-09</x:v>
      </x:c>
      <x:c r="AB2998" s="36" t="n">
        <x:f>IF(ISNUMBER(Y2998),ROUND(Y2998*0.9,2),"")</x:f>
        <x:v>32.4</x:v>
      </x:c>
      <x:c r="AC2998" s="36" t="n">
        <x:f>IF(ISNUMBER(AB2998),ROUND(AB2998-(AB2998*0.015+0.2)-V2998,2),"")</x:f>
        <x:v>6.53</x:v>
      </x:c>
      <x:c r="AD2998" s="36" t="n">
        <x:f>IF(ISNUMBER(Y2998),ROUND(Y2998*0.8,2),"")</x:f>
        <x:v>28.8</x:v>
      </x:c>
      <x:c r="AE2998" s="36" t="n">
        <x:f>IF(ISNUMBER(AD2998),ROUND(AD2998*0.015+0.2,2),"")</x:f>
        <x:v>0.63</x:v>
      </x:c>
      <x:c r="AF2998" s="36" t="n">
        <x:f>IF(ISNUMBER(AD2998),ROUND(AD2998-AE2998-V2998,2),"")</x:f>
        <x:v>2.98</x:v>
      </x:c>
      <x:c r="AG2998" t="str">
        <x:f>IF(NOT(ISNUMBER(T2998)),"PENDING",IF(AF2998&gt;0,"PASS","FAIL"))</x:f>
        <x:v>PASS</x:v>
      </x:c>
      <x:c r="AH2998" t="str">
        <x:f>IF(NOT(ISNUMBER(T2998)),"Needs supplier cost",IF(K2998&lt;&gt;"In stock","Supplier unavailable",IF(AG2998&lt;&gt;"PASS","BLOCK - GT loss risk","Commercially protected")))</x:f>
        <x:v>Commercially protected</x:v>
      </x:c>
      <x:c r="AI2998" t="str">
        <x:v>2026-09-10 Active Sports trade capture</x:v>
      </x:c>
      <x:c r="AJ2998" t="str">
        <x:v>Management-only economics. Stripe stress test uses 1.5% + £0.20 standard UK online-card fee; pallet/mix-and-match pricing ignored.</x:v>
      </x:c>
    </x:row>
    <x:row r="2999">
      <x:c r="A2999" t="str">
        <x:v>Active Sports Nutrition</x:v>
      </x:c>
      <x:c r="B2999" t="str">
        <x:v>Applied Nutrition</x:v>
      </x:c>
      <x:c r="C2999" t="str">
        <x:v>Critical Plant Protein</x:v>
      </x:c>
      <x:c r="D2999" t="str">
        <x:v>Supplements</x:v>
      </x:c>
      <x:c r="E2999" t="str">
        <x:v>Vegan Protein</x:v>
      </x:c>
      <x:c r="F2999" t="str"/>
      <x:c r="G2999" t="str">
        <x:v>450g</x:v>
      </x:c>
      <x:c r="H2999" t="str">
        <x:v>Chocolate</x:v>
      </x:c>
      <x:c r="I2999" t="str"/>
      <x:c r="J2999" t="str">
        <x:v>Unit</x:v>
      </x:c>
      <x:c r="K2999" t="str">
        <x:v>In stock</x:v>
      </x:c>
      <x:c r="L2999" t="str">
        <x:v>2026-09-08</x:v>
      </x:c>
      <x:c r="M2999" t="str"/>
      <x:c r="N2999" t="str"/>
      <x:c r="O2999" t="str">
        <x:v>https://www.activesportstrade.co.uk/applied-nutrition-trade</x:v>
      </x:c>
      <x:c r="P2999" t="str"/>
      <x:c r="Q2999" t="str"/>
      <x:c r="R2999" t="str"/>
      <x:c r="S2999" t="str">
        <x:v>Pending genuine supplier/brand image</x:v>
      </x:c>
      <x:c r="T2999" s="54" t="n">
        <x:v>8.74</x:v>
      </x:c>
      <x:c r="U2999" s="47" t="n">
        <x:v>0.2</x:v>
      </x:c>
      <x:c r="V2999" s="54" t="n">
        <x:f>IF(ISNUMBER(T2999),T2999*(1+U2999),"")</x:f>
        <x:v>10.488</x:v>
      </x:c>
      <x:c r="W2999" s="47" t="n">
        <x:v>0.3</x:v>
      </x:c>
      <x:c r="X2999" s="54" t="n">
        <x:f>IF(ISNUMBER(V2999),V2999/(1-W2999),"")</x:f>
        <x:v>14.982857142857144</x:v>
      </x:c>
      <x:c r="Y2999" s="55" t="n">
        <x:f>IF(ISNUMBER(X2999),ROUNDUP(X2999,0),"")</x:f>
        <x:v>15</x:v>
      </x:c>
      <x:c r="Z2999" t="str">
        <x:v>Source match pending</x:v>
      </x:c>
      <x:c r="AA2999" t="str">
        <x:v>screencapture-www-activesportstrade-co-uk-applied-nutrition-trade-2026-09-10-08_59_59.pdf / page-10</x:v>
      </x:c>
      <x:c r="AB2999" s="36" t="n">
        <x:f>IF(ISNUMBER(Y2999),ROUND(Y2999*0.9,2),"")</x:f>
        <x:v>13.5</x:v>
      </x:c>
      <x:c r="AC2999" s="36" t="n">
        <x:f>IF(ISNUMBER(AB2999),ROUND(AB2999-(AB2999*0.015+0.2)-V2999,2),"")</x:f>
        <x:v>2.61</x:v>
      </x:c>
      <x:c r="AD2999" s="36" t="n">
        <x:f>IF(ISNUMBER(Y2999),ROUND(Y2999*0.8,2),"")</x:f>
        <x:v>12</x:v>
      </x:c>
      <x:c r="AE2999" s="36" t="n">
        <x:f>IF(ISNUMBER(AD2999),ROUND(AD2999*0.015+0.2,2),"")</x:f>
        <x:v>0.38</x:v>
      </x:c>
      <x:c r="AF2999" s="36" t="n">
        <x:f>IF(ISNUMBER(AD2999),ROUND(AD2999-AE2999-V2999,2),"")</x:f>
        <x:v>1.13</x:v>
      </x:c>
      <x:c r="AG2999" t="str">
        <x:f>IF(NOT(ISNUMBER(T2999)),"PENDING",IF(AF2999&gt;0,"PASS","FAIL"))</x:f>
        <x:v>PASS</x:v>
      </x:c>
      <x:c r="AH2999" t="str">
        <x:f>IF(NOT(ISNUMBER(T2999)),"Needs supplier cost",IF(K2999&lt;&gt;"In stock","Supplier unavailable",IF(AG2999&lt;&gt;"PASS","BLOCK - GT loss risk","Commercially protected")))</x:f>
        <x:v>Commercially protected</x:v>
      </x:c>
      <x:c r="AI2999" t="str">
        <x:v>2026-09-10 Active Sports trade capture</x:v>
      </x:c>
      <x:c r="AJ2999" t="str">
        <x:v>Management-only economics. Stripe stress test uses 1.5% + £0.20 standard UK online-card fee; pallet/mix-and-match pricing ignored.</x:v>
      </x:c>
    </x:row>
    <x:row r="3000">
      <x:c r="A3000" t="str">
        <x:v>Active Sports Nutrition</x:v>
      </x:c>
      <x:c r="B3000" t="str">
        <x:v>Applied Nutrition</x:v>
      </x:c>
      <x:c r="C3000" t="str">
        <x:v>Critical Plant Protein</x:v>
      </x:c>
      <x:c r="D3000" t="str">
        <x:v>Supplements</x:v>
      </x:c>
      <x:c r="E3000" t="str">
        <x:v>Vegan Protein</x:v>
      </x:c>
      <x:c r="F3000" t="str"/>
      <x:c r="G3000" t="str">
        <x:v>450g</x:v>
      </x:c>
      <x:c r="H3000" t="str">
        <x:v>Strawberry</x:v>
      </x:c>
      <x:c r="I3000" t="str"/>
      <x:c r="J3000" t="str">
        <x:v>Unit</x:v>
      </x:c>
      <x:c r="K3000" t="str">
        <x:v>In stock</x:v>
      </x:c>
      <x:c r="L3000" t="str">
        <x:v>2026-09-08</x:v>
      </x:c>
      <x:c r="M3000" t="str"/>
      <x:c r="N3000" t="str"/>
      <x:c r="O3000" t="str">
        <x:v>https://www.activesportstrade.co.uk/applied-nutrition-trade</x:v>
      </x:c>
      <x:c r="P3000" t="str"/>
      <x:c r="Q3000" t="str"/>
      <x:c r="R3000" t="str"/>
      <x:c r="S3000" t="str">
        <x:v>Pending genuine supplier/brand image</x:v>
      </x:c>
      <x:c r="T3000" s="54" t="n">
        <x:v>8.74</x:v>
      </x:c>
      <x:c r="U3000" s="47" t="n">
        <x:v>0.2</x:v>
      </x:c>
      <x:c r="V3000" s="54" t="n">
        <x:f>IF(ISNUMBER(T3000),T3000*(1+U3000),"")</x:f>
        <x:v>10.488</x:v>
      </x:c>
      <x:c r="W3000" s="47" t="n">
        <x:v>0.3</x:v>
      </x:c>
      <x:c r="X3000" s="54" t="n">
        <x:f>IF(ISNUMBER(V3000),V3000/(1-W3000),"")</x:f>
        <x:v>14.982857142857144</x:v>
      </x:c>
      <x:c r="Y3000" s="55" t="n">
        <x:f>IF(ISNUMBER(X3000),ROUNDUP(X3000,0),"")</x:f>
        <x:v>15</x:v>
      </x:c>
      <x:c r="Z3000" t="str">
        <x:v>Source match pending</x:v>
      </x:c>
      <x:c r="AA3000" t="str">
        <x:v>screencapture-www-activesportstrade-co-uk-applied-nutrition-trade-2026-09-10-08_59_59.pdf / page-10</x:v>
      </x:c>
      <x:c r="AB3000" s="36" t="n">
        <x:f>IF(ISNUMBER(Y3000),ROUND(Y3000*0.9,2),"")</x:f>
        <x:v>13.5</x:v>
      </x:c>
      <x:c r="AC3000" s="36" t="n">
        <x:f>IF(ISNUMBER(AB3000),ROUND(AB3000-(AB3000*0.015+0.2)-V3000,2),"")</x:f>
        <x:v>2.61</x:v>
      </x:c>
      <x:c r="AD3000" s="36" t="n">
        <x:f>IF(ISNUMBER(Y3000),ROUND(Y3000*0.8,2),"")</x:f>
        <x:v>12</x:v>
      </x:c>
      <x:c r="AE3000" s="36" t="n">
        <x:f>IF(ISNUMBER(AD3000),ROUND(AD3000*0.015+0.2,2),"")</x:f>
        <x:v>0.38</x:v>
      </x:c>
      <x:c r="AF3000" s="36" t="n">
        <x:f>IF(ISNUMBER(AD3000),ROUND(AD3000-AE3000-V3000,2),"")</x:f>
        <x:v>1.13</x:v>
      </x:c>
      <x:c r="AG3000" t="str">
        <x:f>IF(NOT(ISNUMBER(T3000)),"PENDING",IF(AF3000&gt;0,"PASS","FAIL"))</x:f>
        <x:v>PASS</x:v>
      </x:c>
      <x:c r="AH3000" t="str">
        <x:f>IF(NOT(ISNUMBER(T3000)),"Needs supplier cost",IF(K3000&lt;&gt;"In stock","Supplier unavailable",IF(AG3000&lt;&gt;"PASS","BLOCK - GT loss risk","Commercially protected")))</x:f>
        <x:v>Commercially protected</x:v>
      </x:c>
      <x:c r="AI3000" t="str">
        <x:v>2026-09-10 Active Sports trade capture</x:v>
      </x:c>
      <x:c r="AJ3000" t="str">
        <x:v>Management-only economics. Stripe stress test uses 1.5% + £0.20 standard UK online-card fee; pallet/mix-and-match pricing ignored.</x:v>
      </x:c>
    </x:row>
    <x:row r="3001">
      <x:c r="A3001" t="str">
        <x:v>Active Sports Nutrition</x:v>
      </x:c>
      <x:c r="B3001" t="str">
        <x:v>Applied Nutrition</x:v>
      </x:c>
      <x:c r="C3001" t="str">
        <x:v>Critical Plant Protein</x:v>
      </x:c>
      <x:c r="D3001" t="str">
        <x:v>Supplements</x:v>
      </x:c>
      <x:c r="E3001" t="str">
        <x:v>Vegan Protein</x:v>
      </x:c>
      <x:c r="F3001" t="str"/>
      <x:c r="G3001" t="str">
        <x:v>450g</x:v>
      </x:c>
      <x:c r="H3001" t="str">
        <x:v>Vanilla</x:v>
      </x:c>
      <x:c r="I3001" t="str"/>
      <x:c r="J3001" t="str">
        <x:v>Unit</x:v>
      </x:c>
      <x:c r="K3001" t="str">
        <x:v>In stock</x:v>
      </x:c>
      <x:c r="L3001" t="str">
        <x:v>2026-09-08</x:v>
      </x:c>
      <x:c r="M3001" t="str"/>
      <x:c r="N3001" t="str"/>
      <x:c r="O3001" t="str">
        <x:v>https://www.activesportstrade.co.uk/applied-nutrition-trade</x:v>
      </x:c>
      <x:c r="P3001" t="str"/>
      <x:c r="Q3001" t="str"/>
      <x:c r="R3001" t="str"/>
      <x:c r="S3001" t="str">
        <x:v>Pending genuine supplier/brand image</x:v>
      </x:c>
      <x:c r="T3001" s="54" t="n">
        <x:v>8.74</x:v>
      </x:c>
      <x:c r="U3001" s="47" t="n">
        <x:v>0.2</x:v>
      </x:c>
      <x:c r="V3001" s="54" t="n">
        <x:f>IF(ISNUMBER(T3001),T3001*(1+U3001),"")</x:f>
        <x:v>10.488</x:v>
      </x:c>
      <x:c r="W3001" s="47" t="n">
        <x:v>0.3</x:v>
      </x:c>
      <x:c r="X3001" s="54" t="n">
        <x:f>IF(ISNUMBER(V3001),V3001/(1-W3001),"")</x:f>
        <x:v>14.982857142857144</x:v>
      </x:c>
      <x:c r="Y3001" s="55" t="n">
        <x:f>IF(ISNUMBER(X3001),ROUNDUP(X3001,0),"")</x:f>
        <x:v>15</x:v>
      </x:c>
      <x:c r="Z3001" t="str">
        <x:v>Source match pending</x:v>
      </x:c>
      <x:c r="AA3001" t="str">
        <x:v>screencapture-www-activesportstrade-co-uk-applied-nutrition-trade-2026-09-10-08_59_59.pdf / page-10</x:v>
      </x:c>
      <x:c r="AB3001" s="36" t="n">
        <x:f>IF(ISNUMBER(Y3001),ROUND(Y3001*0.9,2),"")</x:f>
        <x:v>13.5</x:v>
      </x:c>
      <x:c r="AC3001" s="36" t="n">
        <x:f>IF(ISNUMBER(AB3001),ROUND(AB3001-(AB3001*0.015+0.2)-V3001,2),"")</x:f>
        <x:v>2.61</x:v>
      </x:c>
      <x:c r="AD3001" s="36" t="n">
        <x:f>IF(ISNUMBER(Y3001),ROUND(Y3001*0.8,2),"")</x:f>
        <x:v>12</x:v>
      </x:c>
      <x:c r="AE3001" s="36" t="n">
        <x:f>IF(ISNUMBER(AD3001),ROUND(AD3001*0.015+0.2,2),"")</x:f>
        <x:v>0.38</x:v>
      </x:c>
      <x:c r="AF3001" s="36" t="n">
        <x:f>IF(ISNUMBER(AD3001),ROUND(AD3001-AE3001-V3001,2),"")</x:f>
        <x:v>1.13</x:v>
      </x:c>
      <x:c r="AG3001" t="str">
        <x:f>IF(NOT(ISNUMBER(T3001)),"PENDING",IF(AF3001&gt;0,"PASS","FAIL"))</x:f>
        <x:v>PASS</x:v>
      </x:c>
      <x:c r="AH3001" t="str">
        <x:f>IF(NOT(ISNUMBER(T3001)),"Needs supplier cost",IF(K3001&lt;&gt;"In stock","Supplier unavailable",IF(AG3001&lt;&gt;"PASS","BLOCK - GT loss risk","Commercially protected")))</x:f>
        <x:v>Commercially protected</x:v>
      </x:c>
      <x:c r="AI3001" t="str">
        <x:v>2026-09-10 Active Sports trade capture</x:v>
      </x:c>
      <x:c r="AJ3001" t="str">
        <x:v>Management-only economics. Stripe stress test uses 1.5% + £0.20 standard UK online-card fee; pallet/mix-and-match pricing ignored.</x:v>
      </x:c>
    </x:row>
    <x:row r="3002">
      <x:c r="A3002" t="str">
        <x:v>Active Sports Nutrition</x:v>
      </x:c>
      <x:c r="B3002" t="str">
        <x:v>Applied Nutrition</x:v>
      </x:c>
      <x:c r="C3002" t="str">
        <x:v>ABE Pre Workout Sachet</x:v>
      </x:c>
      <x:c r="D3002" t="str">
        <x:v>Supplements</x:v>
      </x:c>
      <x:c r="E3002" t="str">
        <x:v>Pre Workout</x:v>
      </x:c>
      <x:c r="F3002" t="str"/>
      <x:c r="G3002" t="str">
        <x:v>1 x 12.5g sachet</x:v>
      </x:c>
      <x:c r="H3002" t="str">
        <x:v>Candy Ice Blast</x:v>
      </x:c>
      <x:c r="I3002" t="str"/>
      <x:c r="J3002" t="str">
        <x:v>Unit</x:v>
      </x:c>
      <x:c r="K3002" t="str">
        <x:v>In stock</x:v>
      </x:c>
      <x:c r="L3002" t="str">
        <x:v>2026-09-08</x:v>
      </x:c>
      <x:c r="M3002" t="str"/>
      <x:c r="N3002" t="str"/>
      <x:c r="O3002" t="str">
        <x:v>https://www.activesportstrade.co.uk/trade-convienience/applied-nutrition-trade</x:v>
      </x:c>
      <x:c r="P3002" t="str"/>
      <x:c r="Q3002" t="str"/>
      <x:c r="R3002" t="str"/>
      <x:c r="S3002" t="str">
        <x:v>Pending genuine supplier/brand image</x:v>
      </x:c>
      <x:c r="T3002" s="54" t="n">
        <x:v>0.42</x:v>
      </x:c>
      <x:c r="U3002" s="47" t="n">
        <x:v>0.2</x:v>
      </x:c>
      <x:c r="V3002" s="54" t="n">
        <x:f>IF(ISNUMBER(T3002),T3002*(1+U3002),"")</x:f>
        <x:v>0.504</x:v>
      </x:c>
      <x:c r="W3002" s="47" t="n">
        <x:v>0.3</x:v>
      </x:c>
      <x:c r="X3002" s="54" t="n">
        <x:f>IF(ISNUMBER(V3002),V3002/(1-W3002),"")</x:f>
        <x:v>0.7200000000000001</x:v>
      </x:c>
      <x:c r="Y3002" s="55" t="n">
        <x:f>IF(ISNUMBER(X3002),ROUNDUP(X3002,0),"")</x:f>
        <x:v>1</x:v>
      </x:c>
      <x:c r="Z3002" t="str">
        <x:v>Source match pending</x:v>
      </x:c>
      <x:c r="AA3002" t="str">
        <x:v>screencapture-www-activesportstrade-co-uk-applied-nutrition-trade-2026-09-10-08_59_59.pdf / page-01</x:v>
      </x:c>
      <x:c r="AB3002" s="36" t="n">
        <x:f>IF(ISNUMBER(Y3002),ROUND(Y3002*0.9,2),"")</x:f>
        <x:v>0.9</x:v>
      </x:c>
      <x:c r="AC3002" s="36" t="n">
        <x:f>IF(ISNUMBER(AB3002),ROUND(AB3002-(AB3002*0.015+0.2)-V3002,2),"")</x:f>
        <x:v>0.18</x:v>
      </x:c>
      <x:c r="AD3002" s="36" t="n">
        <x:f>IF(ISNUMBER(Y3002),ROUND(Y3002*0.8,2),"")</x:f>
        <x:v>0.8</x:v>
      </x:c>
      <x:c r="AE3002" s="36" t="n">
        <x:f>IF(ISNUMBER(AD3002),ROUND(AD3002*0.015+0.2,2),"")</x:f>
        <x:v>0.21</x:v>
      </x:c>
      <x:c r="AF3002" s="36" t="n">
        <x:f>IF(ISNUMBER(AD3002),ROUND(AD3002-AE3002-V3002,2),"")</x:f>
        <x:v>0.09</x:v>
      </x:c>
      <x:c r="AG3002" t="str">
        <x:f>IF(NOT(ISNUMBER(T3002)),"PENDING",IF(AF3002&gt;0,"PASS","FAIL"))</x:f>
        <x:v>PASS</x:v>
      </x:c>
      <x:c r="AH3002" t="str">
        <x:f>IF(NOT(ISNUMBER(T3002)),"Needs supplier cost",IF(K3002&lt;&gt;"In stock","Supplier unavailable",IF(AG3002&lt;&gt;"PASS","BLOCK - GT loss risk","Commercially protected")))</x:f>
        <x:v>Commercially protected</x:v>
      </x:c>
      <x:c r="AI3002" t="str">
        <x:v>2026-09-10 Active Sports trade capture</x:v>
      </x:c>
      <x:c r="AJ3002" t="str">
        <x:v>Management-only economics. Stripe stress test uses 1.5% + £0.20 standard UK online-card fee; pallet/mix-and-match pricing ignored.</x:v>
      </x:c>
    </x:row>
    <x:row r="3003">
      <x:c r="A3003" t="str">
        <x:v>Active Sports Nutrition</x:v>
      </x:c>
      <x:c r="B3003" t="str">
        <x:v>Applied Nutrition</x:v>
      </x:c>
      <x:c r="C3003" t="str">
        <x:v>ABE Pre Workout Sachet</x:v>
      </x:c>
      <x:c r="D3003" t="str">
        <x:v>Supplements</x:v>
      </x:c>
      <x:c r="E3003" t="str">
        <x:v>Pre Workout</x:v>
      </x:c>
      <x:c r="F3003" t="str"/>
      <x:c r="G3003" t="str">
        <x:v>1 x 12.5g sachet</x:v>
      </x:c>
      <x:c r="H3003" t="str">
        <x:v>Cherry Cola</x:v>
      </x:c>
      <x:c r="I3003" t="str"/>
      <x:c r="J3003" t="str">
        <x:v>Unit</x:v>
      </x:c>
      <x:c r="K3003" t="str">
        <x:v>In stock</x:v>
      </x:c>
      <x:c r="L3003" t="str">
        <x:v>2026-09-08</x:v>
      </x:c>
      <x:c r="M3003" t="str"/>
      <x:c r="N3003" t="str"/>
      <x:c r="O3003" t="str">
        <x:v>https://www.activesportstrade.co.uk/trade-convienience/applied-nutrition-trade</x:v>
      </x:c>
      <x:c r="P3003" t="str"/>
      <x:c r="Q3003" t="str"/>
      <x:c r="R3003" t="str"/>
      <x:c r="S3003" t="str">
        <x:v>Pending genuine supplier/brand image</x:v>
      </x:c>
      <x:c r="T3003" s="54" t="n">
        <x:v>0.42</x:v>
      </x:c>
      <x:c r="U3003" s="47" t="n">
        <x:v>0.2</x:v>
      </x:c>
      <x:c r="V3003" s="54" t="n">
        <x:f>IF(ISNUMBER(T3003),T3003*(1+U3003),"")</x:f>
        <x:v>0.504</x:v>
      </x:c>
      <x:c r="W3003" s="47" t="n">
        <x:v>0.3</x:v>
      </x:c>
      <x:c r="X3003" s="54" t="n">
        <x:f>IF(ISNUMBER(V3003),V3003/(1-W3003),"")</x:f>
        <x:v>0.7200000000000001</x:v>
      </x:c>
      <x:c r="Y3003" s="55" t="n">
        <x:f>IF(ISNUMBER(X3003),ROUNDUP(X3003,0),"")</x:f>
        <x:v>1</x:v>
      </x:c>
      <x:c r="Z3003" t="str">
        <x:v>Source match pending</x:v>
      </x:c>
      <x:c r="AA3003" t="str">
        <x:v>screencapture-www-activesportstrade-co-uk-applied-nutrition-trade-2026-09-10-08_59_59.pdf / page-01</x:v>
      </x:c>
      <x:c r="AB3003" s="36" t="n">
        <x:f>IF(ISNUMBER(Y3003),ROUND(Y3003*0.9,2),"")</x:f>
        <x:v>0.9</x:v>
      </x:c>
      <x:c r="AC3003" s="36" t="n">
        <x:f>IF(ISNUMBER(AB3003),ROUND(AB3003-(AB3003*0.015+0.2)-V3003,2),"")</x:f>
        <x:v>0.18</x:v>
      </x:c>
      <x:c r="AD3003" s="36" t="n">
        <x:f>IF(ISNUMBER(Y3003),ROUND(Y3003*0.8,2),"")</x:f>
        <x:v>0.8</x:v>
      </x:c>
      <x:c r="AE3003" s="36" t="n">
        <x:f>IF(ISNUMBER(AD3003),ROUND(AD3003*0.015+0.2,2),"")</x:f>
        <x:v>0.21</x:v>
      </x:c>
      <x:c r="AF3003" s="36" t="n">
        <x:f>IF(ISNUMBER(AD3003),ROUND(AD3003-AE3003-V3003,2),"")</x:f>
        <x:v>0.09</x:v>
      </x:c>
      <x:c r="AG3003" t="str">
        <x:f>IF(NOT(ISNUMBER(T3003)),"PENDING",IF(AF3003&gt;0,"PASS","FAIL"))</x:f>
        <x:v>PASS</x:v>
      </x:c>
      <x:c r="AH3003" t="str">
        <x:f>IF(NOT(ISNUMBER(T3003)),"Needs supplier cost",IF(K3003&lt;&gt;"In stock","Supplier unavailable",IF(AG3003&lt;&gt;"PASS","BLOCK - GT loss risk","Commercially protected")))</x:f>
        <x:v>Commercially protected</x:v>
      </x:c>
      <x:c r="AI3003" t="str">
        <x:v>2026-09-10 Active Sports trade capture</x:v>
      </x:c>
      <x:c r="AJ3003" t="str">
        <x:v>Management-only economics. Stripe stress test uses 1.5% + £0.20 standard UK online-card fee; pallet/mix-and-match pricing ignored.</x:v>
      </x:c>
    </x:row>
    <x:row r="3004">
      <x:c r="A3004" t="str">
        <x:v>Active Sports Nutrition</x:v>
      </x:c>
      <x:c r="B3004" t="str">
        <x:v>Applied Nutrition</x:v>
      </x:c>
      <x:c r="C3004" t="str">
        <x:v>ABE Pre Workout Sachet</x:v>
      </x:c>
      <x:c r="D3004" t="str">
        <x:v>Supplements</x:v>
      </x:c>
      <x:c r="E3004" t="str">
        <x:v>Pre Workout</x:v>
      </x:c>
      <x:c r="F3004" t="str"/>
      <x:c r="G3004" t="str">
        <x:v>1 x 12.5g sachet</x:v>
      </x:c>
      <x:c r="H3004" t="str">
        <x:v>Cool Watermelon</x:v>
      </x:c>
      <x:c r="I3004" t="str"/>
      <x:c r="J3004" t="str">
        <x:v>Unit</x:v>
      </x:c>
      <x:c r="K3004" t="str">
        <x:v>In stock</x:v>
      </x:c>
      <x:c r="L3004" t="str">
        <x:v>2026-09-08</x:v>
      </x:c>
      <x:c r="M3004" t="str"/>
      <x:c r="N3004" t="str"/>
      <x:c r="O3004" t="str">
        <x:v>https://www.activesportstrade.co.uk/trade-convienience/applied-nutrition-trade</x:v>
      </x:c>
      <x:c r="P3004" t="str"/>
      <x:c r="Q3004" t="str"/>
      <x:c r="R3004" t="str"/>
      <x:c r="S3004" t="str">
        <x:v>Pending genuine supplier/brand image</x:v>
      </x:c>
      <x:c r="T3004" s="54" t="n">
        <x:v>0.42</x:v>
      </x:c>
      <x:c r="U3004" s="47" t="n">
        <x:v>0.2</x:v>
      </x:c>
      <x:c r="V3004" s="54" t="n">
        <x:f>IF(ISNUMBER(T3004),T3004*(1+U3004),"")</x:f>
        <x:v>0.504</x:v>
      </x:c>
      <x:c r="W3004" s="47" t="n">
        <x:v>0.3</x:v>
      </x:c>
      <x:c r="X3004" s="54" t="n">
        <x:f>IF(ISNUMBER(V3004),V3004/(1-W3004),"")</x:f>
        <x:v>0.7200000000000001</x:v>
      </x:c>
      <x:c r="Y3004" s="55" t="n">
        <x:f>IF(ISNUMBER(X3004),ROUNDUP(X3004,0),"")</x:f>
        <x:v>1</x:v>
      </x:c>
      <x:c r="Z3004" t="str">
        <x:v>Source match pending</x:v>
      </x:c>
      <x:c r="AA3004" t="str">
        <x:v>screencapture-www-activesportstrade-co-uk-applied-nutrition-trade-2026-09-10-08_59_59.pdf / page-01</x:v>
      </x:c>
      <x:c r="AB3004" s="36" t="n">
        <x:f>IF(ISNUMBER(Y3004),ROUND(Y3004*0.9,2),"")</x:f>
        <x:v>0.9</x:v>
      </x:c>
      <x:c r="AC3004" s="36" t="n">
        <x:f>IF(ISNUMBER(AB3004),ROUND(AB3004-(AB3004*0.015+0.2)-V3004,2),"")</x:f>
        <x:v>0.18</x:v>
      </x:c>
      <x:c r="AD3004" s="36" t="n">
        <x:f>IF(ISNUMBER(Y3004),ROUND(Y3004*0.8,2),"")</x:f>
        <x:v>0.8</x:v>
      </x:c>
      <x:c r="AE3004" s="36" t="n">
        <x:f>IF(ISNUMBER(AD3004),ROUND(AD3004*0.015+0.2,2),"")</x:f>
        <x:v>0.21</x:v>
      </x:c>
      <x:c r="AF3004" s="36" t="n">
        <x:f>IF(ISNUMBER(AD3004),ROUND(AD3004-AE3004-V3004,2),"")</x:f>
        <x:v>0.09</x:v>
      </x:c>
      <x:c r="AG3004" t="str">
        <x:f>IF(NOT(ISNUMBER(T3004)),"PENDING",IF(AF3004&gt;0,"PASS","FAIL"))</x:f>
        <x:v>PASS</x:v>
      </x:c>
      <x:c r="AH3004" t="str">
        <x:f>IF(NOT(ISNUMBER(T3004)),"Needs supplier cost",IF(K3004&lt;&gt;"In stock","Supplier unavailable",IF(AG3004&lt;&gt;"PASS","BLOCK - GT loss risk","Commercially protected")))</x:f>
        <x:v>Commercially protected</x:v>
      </x:c>
      <x:c r="AI3004" t="str">
        <x:v>2026-09-10 Active Sports trade capture</x:v>
      </x:c>
      <x:c r="AJ3004" t="str">
        <x:v>Management-only economics. Stripe stress test uses 1.5% + £0.20 standard UK online-card fee; pallet/mix-and-match pricing ignored.</x:v>
      </x:c>
    </x:row>
    <x:row r="3005">
      <x:c r="A3005" t="str">
        <x:v>Active Sports Nutrition</x:v>
      </x:c>
      <x:c r="B3005" t="str">
        <x:v>Applied Nutrition</x:v>
      </x:c>
      <x:c r="C3005" t="str">
        <x:v>ABE Pre Workout Sachet</x:v>
      </x:c>
      <x:c r="D3005" t="str">
        <x:v>Supplements</x:v>
      </x:c>
      <x:c r="E3005" t="str">
        <x:v>Pre Workout</x:v>
      </x:c>
      <x:c r="F3005" t="str"/>
      <x:c r="G3005" t="str">
        <x:v>1 x 12.5g sachet</x:v>
      </x:c>
      <x:c r="H3005" t="str">
        <x:v>Energy Flavour</x:v>
      </x:c>
      <x:c r="I3005" t="str"/>
      <x:c r="J3005" t="str">
        <x:v>Unit</x:v>
      </x:c>
      <x:c r="K3005" t="str">
        <x:v>In stock</x:v>
      </x:c>
      <x:c r="L3005" t="str">
        <x:v>2026-09-08</x:v>
      </x:c>
      <x:c r="M3005" t="str"/>
      <x:c r="N3005" t="str"/>
      <x:c r="O3005" t="str">
        <x:v>https://www.activesportstrade.co.uk/trade-convienience/applied-nutrition-trade</x:v>
      </x:c>
      <x:c r="P3005" t="str"/>
      <x:c r="Q3005" t="str"/>
      <x:c r="R3005" t="str"/>
      <x:c r="S3005" t="str">
        <x:v>Pending genuine supplier/brand image</x:v>
      </x:c>
      <x:c r="T3005" s="54" t="n">
        <x:v>0.42</x:v>
      </x:c>
      <x:c r="U3005" s="47" t="n">
        <x:v>0.2</x:v>
      </x:c>
      <x:c r="V3005" s="54" t="n">
        <x:f>IF(ISNUMBER(T3005),T3005*(1+U3005),"")</x:f>
        <x:v>0.504</x:v>
      </x:c>
      <x:c r="W3005" s="47" t="n">
        <x:v>0.3</x:v>
      </x:c>
      <x:c r="X3005" s="54" t="n">
        <x:f>IF(ISNUMBER(V3005),V3005/(1-W3005),"")</x:f>
        <x:v>0.7200000000000001</x:v>
      </x:c>
      <x:c r="Y3005" s="55" t="n">
        <x:f>IF(ISNUMBER(X3005),ROUNDUP(X3005,0),"")</x:f>
        <x:v>1</x:v>
      </x:c>
      <x:c r="Z3005" t="str">
        <x:v>Source match pending</x:v>
      </x:c>
      <x:c r="AA3005" t="str">
        <x:v>screencapture-www-activesportstrade-co-uk-applied-nutrition-trade-2026-09-10-08_59_59.pdf / page-01</x:v>
      </x:c>
      <x:c r="AB3005" s="36" t="n">
        <x:f>IF(ISNUMBER(Y3005),ROUND(Y3005*0.9,2),"")</x:f>
        <x:v>0.9</x:v>
      </x:c>
      <x:c r="AC3005" s="36" t="n">
        <x:f>IF(ISNUMBER(AB3005),ROUND(AB3005-(AB3005*0.015+0.2)-V3005,2),"")</x:f>
        <x:v>0.18</x:v>
      </x:c>
      <x:c r="AD3005" s="36" t="n">
        <x:f>IF(ISNUMBER(Y3005),ROUND(Y3005*0.8,2),"")</x:f>
        <x:v>0.8</x:v>
      </x:c>
      <x:c r="AE3005" s="36" t="n">
        <x:f>IF(ISNUMBER(AD3005),ROUND(AD3005*0.015+0.2,2),"")</x:f>
        <x:v>0.21</x:v>
      </x:c>
      <x:c r="AF3005" s="36" t="n">
        <x:f>IF(ISNUMBER(AD3005),ROUND(AD3005-AE3005-V3005,2),"")</x:f>
        <x:v>0.09</x:v>
      </x:c>
      <x:c r="AG3005" t="str">
        <x:f>IF(NOT(ISNUMBER(T3005)),"PENDING",IF(AF3005&gt;0,"PASS","FAIL"))</x:f>
        <x:v>PASS</x:v>
      </x:c>
      <x:c r="AH3005" t="str">
        <x:f>IF(NOT(ISNUMBER(T3005)),"Needs supplier cost",IF(K3005&lt;&gt;"In stock","Supplier unavailable",IF(AG3005&lt;&gt;"PASS","BLOCK - GT loss risk","Commercially protected")))</x:f>
        <x:v>Commercially protected</x:v>
      </x:c>
      <x:c r="AI3005" t="str">
        <x:v>2026-09-10 Active Sports trade capture</x:v>
      </x:c>
      <x:c r="AJ3005" t="str">
        <x:v>Management-only economics. Stripe stress test uses 1.5% + £0.20 standard UK online-card fee; pallet/mix-and-match pricing ignored.</x:v>
      </x:c>
    </x:row>
    <x:row r="3006">
      <x:c r="A3006" t="str">
        <x:v>Active Sports Nutrition</x:v>
      </x:c>
      <x:c r="B3006" t="str">
        <x:v>Applied Nutrition</x:v>
      </x:c>
      <x:c r="C3006" t="str">
        <x:v>ABE Pre Workout Sachet</x:v>
      </x:c>
      <x:c r="D3006" t="str">
        <x:v>Supplements</x:v>
      </x:c>
      <x:c r="E3006" t="str">
        <x:v>Pre Workout</x:v>
      </x:c>
      <x:c r="F3006" t="str"/>
      <x:c r="G3006" t="str">
        <x:v>1 x 12.5g sachet</x:v>
      </x:c>
      <x:c r="H3006" t="str">
        <x:v>Icy Blue Raz</x:v>
      </x:c>
      <x:c r="I3006" t="str"/>
      <x:c r="J3006" t="str">
        <x:v>Unit</x:v>
      </x:c>
      <x:c r="K3006" t="str">
        <x:v>In stock</x:v>
      </x:c>
      <x:c r="L3006" t="str">
        <x:v>2026-09-08</x:v>
      </x:c>
      <x:c r="M3006" t="str"/>
      <x:c r="N3006" t="str"/>
      <x:c r="O3006" t="str">
        <x:v>https://www.activesportstrade.co.uk/trade-convienience/applied-nutrition-trade</x:v>
      </x:c>
      <x:c r="P3006" t="str"/>
      <x:c r="Q3006" t="str"/>
      <x:c r="R3006" t="str"/>
      <x:c r="S3006" t="str">
        <x:v>Pending genuine supplier/brand image</x:v>
      </x:c>
      <x:c r="T3006" s="54" t="n">
        <x:v>0.42</x:v>
      </x:c>
      <x:c r="U3006" s="47" t="n">
        <x:v>0.2</x:v>
      </x:c>
      <x:c r="V3006" s="54" t="n">
        <x:f>IF(ISNUMBER(T3006),T3006*(1+U3006),"")</x:f>
        <x:v>0.504</x:v>
      </x:c>
      <x:c r="W3006" s="47" t="n">
        <x:v>0.3</x:v>
      </x:c>
      <x:c r="X3006" s="54" t="n">
        <x:f>IF(ISNUMBER(V3006),V3006/(1-W3006),"")</x:f>
        <x:v>0.7200000000000001</x:v>
      </x:c>
      <x:c r="Y3006" s="55" t="n">
        <x:f>IF(ISNUMBER(X3006),ROUNDUP(X3006,0),"")</x:f>
        <x:v>1</x:v>
      </x:c>
      <x:c r="Z3006" t="str">
        <x:v>Source match pending</x:v>
      </x:c>
      <x:c r="AA3006" t="str">
        <x:v>screencapture-www-activesportstrade-co-uk-applied-nutrition-trade-2026-09-10-08_59_59.pdf / page-01</x:v>
      </x:c>
      <x:c r="AB3006" s="36" t="n">
        <x:f>IF(ISNUMBER(Y3006),ROUND(Y3006*0.9,2),"")</x:f>
        <x:v>0.9</x:v>
      </x:c>
      <x:c r="AC3006" s="36" t="n">
        <x:f>IF(ISNUMBER(AB3006),ROUND(AB3006-(AB3006*0.015+0.2)-V3006,2),"")</x:f>
        <x:v>0.18</x:v>
      </x:c>
      <x:c r="AD3006" s="36" t="n">
        <x:f>IF(ISNUMBER(Y3006),ROUND(Y3006*0.8,2),"")</x:f>
        <x:v>0.8</x:v>
      </x:c>
      <x:c r="AE3006" s="36" t="n">
        <x:f>IF(ISNUMBER(AD3006),ROUND(AD3006*0.015+0.2,2),"")</x:f>
        <x:v>0.21</x:v>
      </x:c>
      <x:c r="AF3006" s="36" t="n">
        <x:f>IF(ISNUMBER(AD3006),ROUND(AD3006-AE3006-V3006,2),"")</x:f>
        <x:v>0.09</x:v>
      </x:c>
      <x:c r="AG3006" t="str">
        <x:f>IF(NOT(ISNUMBER(T3006)),"PENDING",IF(AF3006&gt;0,"PASS","FAIL"))</x:f>
        <x:v>PASS</x:v>
      </x:c>
      <x:c r="AH3006" t="str">
        <x:f>IF(NOT(ISNUMBER(T3006)),"Needs supplier cost",IF(K3006&lt;&gt;"In stock","Supplier unavailable",IF(AG3006&lt;&gt;"PASS","BLOCK - GT loss risk","Commercially protected")))</x:f>
        <x:v>Commercially protected</x:v>
      </x:c>
      <x:c r="AI3006" t="str">
        <x:v>2026-09-10 Active Sports trade capture</x:v>
      </x:c>
      <x:c r="AJ3006" t="str">
        <x:v>Management-only economics. Stripe stress test uses 1.5% + £0.20 standard UK online-card fee; pallet/mix-and-match pricing ignored.</x:v>
      </x:c>
    </x:row>
    <x:row r="3007">
      <x:c r="A3007" t="str">
        <x:v>Active Sports Nutrition</x:v>
      </x:c>
      <x:c r="B3007" t="str">
        <x:v>Applied Nutrition</x:v>
      </x:c>
      <x:c r="C3007" t="str">
        <x:v>ABE Energy + Performance Can RTD</x:v>
      </x:c>
      <x:c r="D3007" t="str">
        <x:v>Food &amp; Drinks</x:v>
      </x:c>
      <x:c r="E3007" t="str">
        <x:v>Energy Drinks</x:v>
      </x:c>
      <x:c r="F3007" t="str"/>
      <x:c r="G3007" t="str">
        <x:v>12 x 330ml</x:v>
      </x:c>
      <x:c r="H3007" t="str">
        <x:v>Apple Burst</x:v>
      </x:c>
      <x:c r="I3007" t="str">
        <x:v>12</x:v>
      </x:c>
      <x:c r="J3007" t="str">
        <x:v>Case</x:v>
      </x:c>
      <x:c r="K3007" t="str">
        <x:v>In stock</x:v>
      </x:c>
      <x:c r="L3007" t="str">
        <x:v>2026-09-08</x:v>
      </x:c>
      <x:c r="M3007" t="str"/>
      <x:c r="N3007" t="str"/>
      <x:c r="O3007" t="str">
        <x:v>https://www.activesportstrade.co.uk/trade-convienience/applied-nutrition-trade</x:v>
      </x:c>
      <x:c r="P3007" t="str">
        <x:v>PALLET PROMO / NEW wording stripped; case-only supplier ordering.</x:v>
      </x:c>
      <x:c r="Q3007" t="str"/>
      <x:c r="R3007" t="str"/>
      <x:c r="S3007" t="str">
        <x:v>Pending genuine supplier/brand image</x:v>
      </x:c>
      <x:c r="T3007" s="54" t="n">
        <x:v>12</x:v>
      </x:c>
      <x:c r="U3007" s="47" t="n">
        <x:v>0.2</x:v>
      </x:c>
      <x:c r="V3007" s="54" t="n">
        <x:f>IF(ISNUMBER(T3007),T3007*(1+U3007),"")</x:f>
        <x:v>14.399999999999999</x:v>
      </x:c>
      <x:c r="W3007" s="47" t="n">
        <x:v>0.3</x:v>
      </x:c>
      <x:c r="X3007" s="54" t="n">
        <x:f>IF(ISNUMBER(V3007),V3007/(1-W3007),"")</x:f>
        <x:v>20.57142857142857</x:v>
      </x:c>
      <x:c r="Y3007" s="55" t="n">
        <x:f>IF(ISNUMBER(X3007),ROUNDUP(X3007,0),"")</x:f>
        <x:v>21</x:v>
      </x:c>
      <x:c r="Z3007" t="str">
        <x:v>Source match pending</x:v>
      </x:c>
      <x:c r="AA3007" t="str">
        <x:v>screencapture-www-activesportstrade-co-uk-applied-nutrition-trade-2026-09-10-08_59_59.pdf / page-02</x:v>
      </x:c>
      <x:c r="AB3007" s="36" t="n">
        <x:f>IF(ISNUMBER(Y3007),ROUND(Y3007*0.9,2),"")</x:f>
        <x:v>18.9</x:v>
      </x:c>
      <x:c r="AC3007" s="36" t="n">
        <x:f>IF(ISNUMBER(AB3007),ROUND(AB3007-(AB3007*0.015+0.2)-V3007,2),"")</x:f>
        <x:v>4.02</x:v>
      </x:c>
      <x:c r="AD3007" s="36" t="n">
        <x:f>IF(ISNUMBER(Y3007),ROUND(Y3007*0.8,2),"")</x:f>
        <x:v>16.8</x:v>
      </x:c>
      <x:c r="AE3007" s="36" t="n">
        <x:f>IF(ISNUMBER(AD3007),ROUND(AD3007*0.015+0.2,2),"")</x:f>
        <x:v>0.45</x:v>
      </x:c>
      <x:c r="AF3007" s="36" t="n">
        <x:f>IF(ISNUMBER(AD3007),ROUND(AD3007-AE3007-V3007,2),"")</x:f>
        <x:v>1.95</x:v>
      </x:c>
      <x:c r="AG3007" t="str">
        <x:f>IF(NOT(ISNUMBER(T3007)),"PENDING",IF(AF3007&gt;0,"PASS","FAIL"))</x:f>
        <x:v>PASS</x:v>
      </x:c>
      <x:c r="AH3007" t="str">
        <x:f>IF(NOT(ISNUMBER(T3007)),"Needs supplier cost",IF(K3007&lt;&gt;"In stock","Supplier unavailable",IF(AG3007&lt;&gt;"PASS","BLOCK - GT loss risk","Commercially protected")))</x:f>
        <x:v>Commercially protected</x:v>
      </x:c>
      <x:c r="AI3007" t="str">
        <x:v>2026-09-10 Active Sports trade capture</x:v>
      </x:c>
      <x:c r="AJ3007" t="str">
        <x:v>Management-only economics. Stripe stress test uses 1.5% + £0.20 standard UK online-card fee; pallet/mix-and-match pricing ignored.</x:v>
      </x:c>
    </x:row>
    <x:row r="3008">
      <x:c r="A3008" t="str">
        <x:v>Active Sports Nutrition</x:v>
      </x:c>
      <x:c r="B3008" t="str">
        <x:v>Applied Nutrition</x:v>
      </x:c>
      <x:c r="C3008" t="str">
        <x:v>ABE Energy + Performance Can RTD</x:v>
      </x:c>
      <x:c r="D3008" t="str">
        <x:v>Food &amp; Drinks</x:v>
      </x:c>
      <x:c r="E3008" t="str">
        <x:v>Energy Drinks</x:v>
      </x:c>
      <x:c r="F3008" t="str"/>
      <x:c r="G3008" t="str">
        <x:v>12 x 330ml</x:v>
      </x:c>
      <x:c r="H3008" t="str">
        <x:v>Blue Lagoon</x:v>
      </x:c>
      <x:c r="I3008" t="str">
        <x:v>12</x:v>
      </x:c>
      <x:c r="J3008" t="str">
        <x:v>Case</x:v>
      </x:c>
      <x:c r="K3008" t="str">
        <x:v>In stock</x:v>
      </x:c>
      <x:c r="L3008" t="str">
        <x:v>2026-09-08</x:v>
      </x:c>
      <x:c r="M3008" t="str"/>
      <x:c r="N3008" t="str"/>
      <x:c r="O3008" t="str">
        <x:v>https://www.activesportstrade.co.uk/trade-convienience/applied-nutrition-trade</x:v>
      </x:c>
      <x:c r="P3008" t="str">
        <x:v>PALLET PROMO / NEW wording stripped; case-only supplier ordering.</x:v>
      </x:c>
      <x:c r="Q3008" t="str"/>
      <x:c r="R3008" t="str"/>
      <x:c r="S3008" t="str">
        <x:v>Pending genuine supplier/brand image</x:v>
      </x:c>
      <x:c r="T3008" s="54" t="n">
        <x:v>12</x:v>
      </x:c>
      <x:c r="U3008" s="47" t="n">
        <x:v>0.2</x:v>
      </x:c>
      <x:c r="V3008" s="54" t="n">
        <x:f>IF(ISNUMBER(T3008),T3008*(1+U3008),"")</x:f>
        <x:v>14.399999999999999</x:v>
      </x:c>
      <x:c r="W3008" s="47" t="n">
        <x:v>0.3</x:v>
      </x:c>
      <x:c r="X3008" s="54" t="n">
        <x:f>IF(ISNUMBER(V3008),V3008/(1-W3008),"")</x:f>
        <x:v>20.57142857142857</x:v>
      </x:c>
      <x:c r="Y3008" s="55" t="n">
        <x:f>IF(ISNUMBER(X3008),ROUNDUP(X3008,0),"")</x:f>
        <x:v>21</x:v>
      </x:c>
      <x:c r="Z3008" t="str">
        <x:v>Source match pending</x:v>
      </x:c>
      <x:c r="AA3008" t="str">
        <x:v>screencapture-www-activesportstrade-co-uk-applied-nutrition-trade-2026-09-10-08_59_59.pdf / page-02</x:v>
      </x:c>
      <x:c r="AB3008" s="36" t="n">
        <x:f>IF(ISNUMBER(Y3008),ROUND(Y3008*0.9,2),"")</x:f>
        <x:v>18.9</x:v>
      </x:c>
      <x:c r="AC3008" s="36" t="n">
        <x:f>IF(ISNUMBER(AB3008),ROUND(AB3008-(AB3008*0.015+0.2)-V3008,2),"")</x:f>
        <x:v>4.02</x:v>
      </x:c>
      <x:c r="AD3008" s="36" t="n">
        <x:f>IF(ISNUMBER(Y3008),ROUND(Y3008*0.8,2),"")</x:f>
        <x:v>16.8</x:v>
      </x:c>
      <x:c r="AE3008" s="36" t="n">
        <x:f>IF(ISNUMBER(AD3008),ROUND(AD3008*0.015+0.2,2),"")</x:f>
        <x:v>0.45</x:v>
      </x:c>
      <x:c r="AF3008" s="36" t="n">
        <x:f>IF(ISNUMBER(AD3008),ROUND(AD3008-AE3008-V3008,2),"")</x:f>
        <x:v>1.95</x:v>
      </x:c>
      <x:c r="AG3008" t="str">
        <x:f>IF(NOT(ISNUMBER(T3008)),"PENDING",IF(AF3008&gt;0,"PASS","FAIL"))</x:f>
        <x:v>PASS</x:v>
      </x:c>
      <x:c r="AH3008" t="str">
        <x:f>IF(NOT(ISNUMBER(T3008)),"Needs supplier cost",IF(K3008&lt;&gt;"In stock","Supplier unavailable",IF(AG3008&lt;&gt;"PASS","BLOCK - GT loss risk","Commercially protected")))</x:f>
        <x:v>Commercially protected</x:v>
      </x:c>
      <x:c r="AI3008" t="str">
        <x:v>2026-09-10 Active Sports trade capture</x:v>
      </x:c>
      <x:c r="AJ3008" t="str">
        <x:v>Management-only economics. Stripe stress test uses 1.5% + £0.20 standard UK online-card fee; pallet/mix-and-match pricing ignored.</x:v>
      </x:c>
    </x:row>
    <x:row r="3009">
      <x:c r="A3009" t="str">
        <x:v>Active Sports Nutrition</x:v>
      </x:c>
      <x:c r="B3009" t="str">
        <x:v>Applied Nutrition</x:v>
      </x:c>
      <x:c r="C3009" t="str">
        <x:v>ABE Energy + Performance Can RTD</x:v>
      </x:c>
      <x:c r="D3009" t="str">
        <x:v>Food &amp; Drinks</x:v>
      </x:c>
      <x:c r="E3009" t="str">
        <x:v>Energy Drinks</x:v>
      </x:c>
      <x:c r="F3009" t="str"/>
      <x:c r="G3009" t="str">
        <x:v>12 x 330ml</x:v>
      </x:c>
      <x:c r="H3009" t="str">
        <x:v>Cherry Slushie</x:v>
      </x:c>
      <x:c r="I3009" t="str">
        <x:v>12</x:v>
      </x:c>
      <x:c r="J3009" t="str">
        <x:v>Case</x:v>
      </x:c>
      <x:c r="K3009" t="str">
        <x:v>In stock</x:v>
      </x:c>
      <x:c r="L3009" t="str">
        <x:v>2026-09-08</x:v>
      </x:c>
      <x:c r="M3009" t="str"/>
      <x:c r="N3009" t="str"/>
      <x:c r="O3009" t="str">
        <x:v>https://www.activesportstrade.co.uk/trade-convienience/applied-nutrition-trade</x:v>
      </x:c>
      <x:c r="P3009" t="str">
        <x:v>PALLET PROMO / NEW wording stripped; case-only supplier ordering.</x:v>
      </x:c>
      <x:c r="Q3009" t="str"/>
      <x:c r="R3009" t="str"/>
      <x:c r="S3009" t="str">
        <x:v>Pending genuine supplier/brand image</x:v>
      </x:c>
      <x:c r="T3009" s="54" t="n">
        <x:v>12</x:v>
      </x:c>
      <x:c r="U3009" s="47" t="n">
        <x:v>0.2</x:v>
      </x:c>
      <x:c r="V3009" s="54" t="n">
        <x:f>IF(ISNUMBER(T3009),T3009*(1+U3009),"")</x:f>
        <x:v>14.399999999999999</x:v>
      </x:c>
      <x:c r="W3009" s="47" t="n">
        <x:v>0.3</x:v>
      </x:c>
      <x:c r="X3009" s="54" t="n">
        <x:f>IF(ISNUMBER(V3009),V3009/(1-W3009),"")</x:f>
        <x:v>20.57142857142857</x:v>
      </x:c>
      <x:c r="Y3009" s="55" t="n">
        <x:f>IF(ISNUMBER(X3009),ROUNDUP(X3009,0),"")</x:f>
        <x:v>21</x:v>
      </x:c>
      <x:c r="Z3009" t="str">
        <x:v>Source match pending</x:v>
      </x:c>
      <x:c r="AA3009" t="str">
        <x:v>screencapture-www-activesportstrade-co-uk-applied-nutrition-trade-2026-09-10-08_59_59.pdf / page-02</x:v>
      </x:c>
      <x:c r="AB3009" s="36" t="n">
        <x:f>IF(ISNUMBER(Y3009),ROUND(Y3009*0.9,2),"")</x:f>
        <x:v>18.9</x:v>
      </x:c>
      <x:c r="AC3009" s="36" t="n">
        <x:f>IF(ISNUMBER(AB3009),ROUND(AB3009-(AB3009*0.015+0.2)-V3009,2),"")</x:f>
        <x:v>4.02</x:v>
      </x:c>
      <x:c r="AD3009" s="36" t="n">
        <x:f>IF(ISNUMBER(Y3009),ROUND(Y3009*0.8,2),"")</x:f>
        <x:v>16.8</x:v>
      </x:c>
      <x:c r="AE3009" s="36" t="n">
        <x:f>IF(ISNUMBER(AD3009),ROUND(AD3009*0.015+0.2,2),"")</x:f>
        <x:v>0.45</x:v>
      </x:c>
      <x:c r="AF3009" s="36" t="n">
        <x:f>IF(ISNUMBER(AD3009),ROUND(AD3009-AE3009-V3009,2),"")</x:f>
        <x:v>1.95</x:v>
      </x:c>
      <x:c r="AG3009" t="str">
        <x:f>IF(NOT(ISNUMBER(T3009)),"PENDING",IF(AF3009&gt;0,"PASS","FAIL"))</x:f>
        <x:v>PASS</x:v>
      </x:c>
      <x:c r="AH3009" t="str">
        <x:f>IF(NOT(ISNUMBER(T3009)),"Needs supplier cost",IF(K3009&lt;&gt;"In stock","Supplier unavailable",IF(AG3009&lt;&gt;"PASS","BLOCK - GT loss risk","Commercially protected")))</x:f>
        <x:v>Commercially protected</x:v>
      </x:c>
      <x:c r="AI3009" t="str">
        <x:v>2026-09-10 Active Sports trade capture</x:v>
      </x:c>
      <x:c r="AJ3009" t="str">
        <x:v>Management-only economics. Stripe stress test uses 1.5% + £0.20 standard UK online-card fee; pallet/mix-and-match pricing ignored.</x:v>
      </x:c>
    </x:row>
    <x:row r="3010">
      <x:c r="A3010" t="str">
        <x:v>Active Sports Nutrition</x:v>
      </x:c>
      <x:c r="B3010" t="str">
        <x:v>Applied Nutrition</x:v>
      </x:c>
      <x:c r="C3010" t="str">
        <x:v>ABE Energy + Performance Can RTD</x:v>
      </x:c>
      <x:c r="D3010" t="str">
        <x:v>Food &amp; Drinks</x:v>
      </x:c>
      <x:c r="E3010" t="str">
        <x:v>Energy Drinks</x:v>
      </x:c>
      <x:c r="F3010" t="str"/>
      <x:c r="G3010" t="str">
        <x:v>12 x 330ml</x:v>
      </x:c>
      <x:c r="H3010" t="str">
        <x:v>Cloudy Lemonade</x:v>
      </x:c>
      <x:c r="I3010" t="str">
        <x:v>12</x:v>
      </x:c>
      <x:c r="J3010" t="str">
        <x:v>Case</x:v>
      </x:c>
      <x:c r="K3010" t="str">
        <x:v>In stock</x:v>
      </x:c>
      <x:c r="L3010" t="str">
        <x:v>2026-09-08</x:v>
      </x:c>
      <x:c r="M3010" t="str"/>
      <x:c r="N3010" t="str"/>
      <x:c r="O3010" t="str">
        <x:v>https://www.activesportstrade.co.uk/trade-convienience/applied-nutrition-trade</x:v>
      </x:c>
      <x:c r="P3010" t="str">
        <x:v>PALLET PROMO / NEW wording stripped; case-only supplier ordering.</x:v>
      </x:c>
      <x:c r="Q3010" t="str"/>
      <x:c r="R3010" t="str"/>
      <x:c r="S3010" t="str">
        <x:v>Pending genuine supplier/brand image</x:v>
      </x:c>
      <x:c r="T3010" s="54" t="n">
        <x:v>12</x:v>
      </x:c>
      <x:c r="U3010" s="47" t="n">
        <x:v>0.2</x:v>
      </x:c>
      <x:c r="V3010" s="54" t="n">
        <x:f>IF(ISNUMBER(T3010),T3010*(1+U3010),"")</x:f>
        <x:v>14.399999999999999</x:v>
      </x:c>
      <x:c r="W3010" s="47" t="n">
        <x:v>0.3</x:v>
      </x:c>
      <x:c r="X3010" s="54" t="n">
        <x:f>IF(ISNUMBER(V3010),V3010/(1-W3010),"")</x:f>
        <x:v>20.57142857142857</x:v>
      </x:c>
      <x:c r="Y3010" s="55" t="n">
        <x:f>IF(ISNUMBER(X3010),ROUNDUP(X3010,0),"")</x:f>
        <x:v>21</x:v>
      </x:c>
      <x:c r="Z3010" t="str">
        <x:v>Source match pending</x:v>
      </x:c>
      <x:c r="AA3010" t="str">
        <x:v>screencapture-www-activesportstrade-co-uk-applied-nutrition-trade-2026-09-10-08_59_59.pdf / page-02</x:v>
      </x:c>
      <x:c r="AB3010" s="36" t="n">
        <x:f>IF(ISNUMBER(Y3010),ROUND(Y3010*0.9,2),"")</x:f>
        <x:v>18.9</x:v>
      </x:c>
      <x:c r="AC3010" s="36" t="n">
        <x:f>IF(ISNUMBER(AB3010),ROUND(AB3010-(AB3010*0.015+0.2)-V3010,2),"")</x:f>
        <x:v>4.02</x:v>
      </x:c>
      <x:c r="AD3010" s="36" t="n">
        <x:f>IF(ISNUMBER(Y3010),ROUND(Y3010*0.8,2),"")</x:f>
        <x:v>16.8</x:v>
      </x:c>
      <x:c r="AE3010" s="36" t="n">
        <x:f>IF(ISNUMBER(AD3010),ROUND(AD3010*0.015+0.2,2),"")</x:f>
        <x:v>0.45</x:v>
      </x:c>
      <x:c r="AF3010" s="36" t="n">
        <x:f>IF(ISNUMBER(AD3010),ROUND(AD3010-AE3010-V3010,2),"")</x:f>
        <x:v>1.95</x:v>
      </x:c>
      <x:c r="AG3010" t="str">
        <x:f>IF(NOT(ISNUMBER(T3010)),"PENDING",IF(AF3010&gt;0,"PASS","FAIL"))</x:f>
        <x:v>PASS</x:v>
      </x:c>
      <x:c r="AH3010" t="str">
        <x:f>IF(NOT(ISNUMBER(T3010)),"Needs supplier cost",IF(K3010&lt;&gt;"In stock","Supplier unavailable",IF(AG3010&lt;&gt;"PASS","BLOCK - GT loss risk","Commercially protected")))</x:f>
        <x:v>Commercially protected</x:v>
      </x:c>
      <x:c r="AI3010" t="str">
        <x:v>2026-09-10 Active Sports trade capture</x:v>
      </x:c>
      <x:c r="AJ3010" t="str">
        <x:v>Management-only economics. Stripe stress test uses 1.5% + £0.20 standard UK online-card fee; pallet/mix-and-match pricing ignored.</x:v>
      </x:c>
    </x:row>
    <x:row r="3011">
      <x:c r="A3011" t="str">
        <x:v>Active Sports Nutrition</x:v>
      </x:c>
      <x:c r="B3011" t="str">
        <x:v>Applied Nutrition</x:v>
      </x:c>
      <x:c r="C3011" t="str">
        <x:v>ABE Energy + Performance Can RTD</x:v>
      </x:c>
      <x:c r="D3011" t="str">
        <x:v>Food &amp; Drinks</x:v>
      </x:c>
      <x:c r="E3011" t="str">
        <x:v>Energy Drinks</x:v>
      </x:c>
      <x:c r="F3011" t="str"/>
      <x:c r="G3011" t="str">
        <x:v>12 x 330ml</x:v>
      </x:c>
      <x:c r="H3011" t="str">
        <x:v>Energy</x:v>
      </x:c>
      <x:c r="I3011" t="str">
        <x:v>12</x:v>
      </x:c>
      <x:c r="J3011" t="str">
        <x:v>Case</x:v>
      </x:c>
      <x:c r="K3011" t="str">
        <x:v>In stock</x:v>
      </x:c>
      <x:c r="L3011" t="str">
        <x:v>2026-09-08</x:v>
      </x:c>
      <x:c r="M3011" t="str"/>
      <x:c r="N3011" t="str"/>
      <x:c r="O3011" t="str">
        <x:v>https://www.activesportstrade.co.uk/trade-convienience/applied-nutrition-trade</x:v>
      </x:c>
      <x:c r="P3011" t="str">
        <x:v>PALLET PROMO / NEW wording stripped; case-only supplier ordering.</x:v>
      </x:c>
      <x:c r="Q3011" t="str"/>
      <x:c r="R3011" t="str"/>
      <x:c r="S3011" t="str">
        <x:v>Pending genuine supplier/brand image</x:v>
      </x:c>
      <x:c r="T3011" s="54" t="n">
        <x:v>12</x:v>
      </x:c>
      <x:c r="U3011" s="47" t="n">
        <x:v>0.2</x:v>
      </x:c>
      <x:c r="V3011" s="54" t="n">
        <x:f>IF(ISNUMBER(T3011),T3011*(1+U3011),"")</x:f>
        <x:v>14.399999999999999</x:v>
      </x:c>
      <x:c r="W3011" s="47" t="n">
        <x:v>0.3</x:v>
      </x:c>
      <x:c r="X3011" s="54" t="n">
        <x:f>IF(ISNUMBER(V3011),V3011/(1-W3011),"")</x:f>
        <x:v>20.57142857142857</x:v>
      </x:c>
      <x:c r="Y3011" s="55" t="n">
        <x:f>IF(ISNUMBER(X3011),ROUNDUP(X3011,0),"")</x:f>
        <x:v>21</x:v>
      </x:c>
      <x:c r="Z3011" t="str">
        <x:v>Source match pending</x:v>
      </x:c>
      <x:c r="AA3011" t="str">
        <x:v>screencapture-www-activesportstrade-co-uk-applied-nutrition-trade-2026-09-10-08_59_59.pdf / page-02</x:v>
      </x:c>
      <x:c r="AB3011" s="36" t="n">
        <x:f>IF(ISNUMBER(Y3011),ROUND(Y3011*0.9,2),"")</x:f>
        <x:v>18.9</x:v>
      </x:c>
      <x:c r="AC3011" s="36" t="n">
        <x:f>IF(ISNUMBER(AB3011),ROUND(AB3011-(AB3011*0.015+0.2)-V3011,2),"")</x:f>
        <x:v>4.02</x:v>
      </x:c>
      <x:c r="AD3011" s="36" t="n">
        <x:f>IF(ISNUMBER(Y3011),ROUND(Y3011*0.8,2),"")</x:f>
        <x:v>16.8</x:v>
      </x:c>
      <x:c r="AE3011" s="36" t="n">
        <x:f>IF(ISNUMBER(AD3011),ROUND(AD3011*0.015+0.2,2),"")</x:f>
        <x:v>0.45</x:v>
      </x:c>
      <x:c r="AF3011" s="36" t="n">
        <x:f>IF(ISNUMBER(AD3011),ROUND(AD3011-AE3011-V3011,2),"")</x:f>
        <x:v>1.95</x:v>
      </x:c>
      <x:c r="AG3011" t="str">
        <x:f>IF(NOT(ISNUMBER(T3011)),"PENDING",IF(AF3011&gt;0,"PASS","FAIL"))</x:f>
        <x:v>PASS</x:v>
      </x:c>
      <x:c r="AH3011" t="str">
        <x:f>IF(NOT(ISNUMBER(T3011)),"Needs supplier cost",IF(K3011&lt;&gt;"In stock","Supplier unavailable",IF(AG3011&lt;&gt;"PASS","BLOCK - GT loss risk","Commercially protected")))</x:f>
        <x:v>Commercially protected</x:v>
      </x:c>
      <x:c r="AI3011" t="str">
        <x:v>2026-09-10 Active Sports trade capture</x:v>
      </x:c>
      <x:c r="AJ3011" t="str">
        <x:v>Management-only economics. Stripe stress test uses 1.5% + £0.20 standard UK online-card fee; pallet/mix-and-match pricing ignored.</x:v>
      </x:c>
    </x:row>
    <x:row r="3012">
      <x:c r="A3012" t="str">
        <x:v>Active Sports Nutrition</x:v>
      </x:c>
      <x:c r="B3012" t="str">
        <x:v>Applied Nutrition</x:v>
      </x:c>
      <x:c r="C3012" t="str">
        <x:v>ABE Energy + Performance Can RTD</x:v>
      </x:c>
      <x:c r="D3012" t="str">
        <x:v>Food &amp; Drinks</x:v>
      </x:c>
      <x:c r="E3012" t="str">
        <x:v>Energy Drinks</x:v>
      </x:c>
      <x:c r="F3012" t="str"/>
      <x:c r="G3012" t="str">
        <x:v>12 x 330ml</x:v>
      </x:c>
      <x:c r="H3012" t="str">
        <x:v>Fruit Candy</x:v>
      </x:c>
      <x:c r="I3012" t="str">
        <x:v>12</x:v>
      </x:c>
      <x:c r="J3012" t="str">
        <x:v>Case</x:v>
      </x:c>
      <x:c r="K3012" t="str">
        <x:v>In stock</x:v>
      </x:c>
      <x:c r="L3012" t="str">
        <x:v>2026-09-08</x:v>
      </x:c>
      <x:c r="M3012" t="str"/>
      <x:c r="N3012" t="str"/>
      <x:c r="O3012" t="str">
        <x:v>https://www.activesportstrade.co.uk/trade-convienience/applied-nutrition-trade</x:v>
      </x:c>
      <x:c r="P3012" t="str">
        <x:v>PALLET PROMO / NEW wording stripped; case-only supplier ordering.</x:v>
      </x:c>
      <x:c r="Q3012" t="str"/>
      <x:c r="R3012" t="str"/>
      <x:c r="S3012" t="str">
        <x:v>Pending genuine supplier/brand image</x:v>
      </x:c>
      <x:c r="T3012" s="54" t="n">
        <x:v>12</x:v>
      </x:c>
      <x:c r="U3012" s="47" t="n">
        <x:v>0.2</x:v>
      </x:c>
      <x:c r="V3012" s="54" t="n">
        <x:f>IF(ISNUMBER(T3012),T3012*(1+U3012),"")</x:f>
        <x:v>14.399999999999999</x:v>
      </x:c>
      <x:c r="W3012" s="47" t="n">
        <x:v>0.3</x:v>
      </x:c>
      <x:c r="X3012" s="54" t="n">
        <x:f>IF(ISNUMBER(V3012),V3012/(1-W3012),"")</x:f>
        <x:v>20.57142857142857</x:v>
      </x:c>
      <x:c r="Y3012" s="55" t="n">
        <x:f>IF(ISNUMBER(X3012),ROUNDUP(X3012,0),"")</x:f>
        <x:v>21</x:v>
      </x:c>
      <x:c r="Z3012" t="str">
        <x:v>Source match pending</x:v>
      </x:c>
      <x:c r="AA3012" t="str">
        <x:v>screencapture-www-activesportstrade-co-uk-applied-nutrition-trade-2026-09-10-08_59_59.pdf / page-02</x:v>
      </x:c>
      <x:c r="AB3012" s="36" t="n">
        <x:f>IF(ISNUMBER(Y3012),ROUND(Y3012*0.9,2),"")</x:f>
        <x:v>18.9</x:v>
      </x:c>
      <x:c r="AC3012" s="36" t="n">
        <x:f>IF(ISNUMBER(AB3012),ROUND(AB3012-(AB3012*0.015+0.2)-V3012,2),"")</x:f>
        <x:v>4.02</x:v>
      </x:c>
      <x:c r="AD3012" s="36" t="n">
        <x:f>IF(ISNUMBER(Y3012),ROUND(Y3012*0.8,2),"")</x:f>
        <x:v>16.8</x:v>
      </x:c>
      <x:c r="AE3012" s="36" t="n">
        <x:f>IF(ISNUMBER(AD3012),ROUND(AD3012*0.015+0.2,2),"")</x:f>
        <x:v>0.45</x:v>
      </x:c>
      <x:c r="AF3012" s="36" t="n">
        <x:f>IF(ISNUMBER(AD3012),ROUND(AD3012-AE3012-V3012,2),"")</x:f>
        <x:v>1.95</x:v>
      </x:c>
      <x:c r="AG3012" t="str">
        <x:f>IF(NOT(ISNUMBER(T3012)),"PENDING",IF(AF3012&gt;0,"PASS","FAIL"))</x:f>
        <x:v>PASS</x:v>
      </x:c>
      <x:c r="AH3012" t="str">
        <x:f>IF(NOT(ISNUMBER(T3012)),"Needs supplier cost",IF(K3012&lt;&gt;"In stock","Supplier unavailable",IF(AG3012&lt;&gt;"PASS","BLOCK - GT loss risk","Commercially protected")))</x:f>
        <x:v>Commercially protected</x:v>
      </x:c>
      <x:c r="AI3012" t="str">
        <x:v>2026-09-10 Active Sports trade capture</x:v>
      </x:c>
      <x:c r="AJ3012" t="str">
        <x:v>Management-only economics. Stripe stress test uses 1.5% + £0.20 standard UK online-card fee; pallet/mix-and-match pricing ignored.</x:v>
      </x:c>
    </x:row>
    <x:row r="3013">
      <x:c r="A3013" t="str">
        <x:v>Active Sports Nutrition</x:v>
      </x:c>
      <x:c r="B3013" t="str">
        <x:v>Applied Nutrition</x:v>
      </x:c>
      <x:c r="C3013" t="str">
        <x:v>ABE Energy + Performance Can RTD</x:v>
      </x:c>
      <x:c r="D3013" t="str">
        <x:v>Food &amp; Drinks</x:v>
      </x:c>
      <x:c r="E3013" t="str">
        <x:v>Energy Drinks</x:v>
      </x:c>
      <x:c r="F3013" t="str"/>
      <x:c r="G3013" t="str">
        <x:v>12 x 330ml</x:v>
      </x:c>
      <x:c r="H3013" t="str">
        <x:v>Grape Soda</x:v>
      </x:c>
      <x:c r="I3013" t="str">
        <x:v>12</x:v>
      </x:c>
      <x:c r="J3013" t="str">
        <x:v>Case</x:v>
      </x:c>
      <x:c r="K3013" t="str">
        <x:v>Out of stock</x:v>
      </x:c>
      <x:c r="L3013" t="str">
        <x:v>2026-09-08</x:v>
      </x:c>
      <x:c r="M3013" t="str"/>
      <x:c r="N3013" t="str"/>
      <x:c r="O3013" t="str">
        <x:v>https://www.activesportstrade.co.uk/trade-convienience/applied-nutrition-trade</x:v>
      </x:c>
      <x:c r="P3013" t="str">
        <x:v>PALLET PROMO / NEW wording stripped; case-only supplier ordering.</x:v>
      </x:c>
      <x:c r="Q3013" t="str"/>
      <x:c r="R3013" t="str"/>
      <x:c r="S3013" t="str">
        <x:v>Pending genuine supplier/brand image</x:v>
      </x:c>
      <x:c r="T3013" s="54" t="n">
        <x:v>12</x:v>
      </x:c>
      <x:c r="U3013" s="47" t="n">
        <x:v>0.2</x:v>
      </x:c>
      <x:c r="V3013" s="54" t="n">
        <x:f>IF(ISNUMBER(T3013),T3013*(1+U3013),"")</x:f>
        <x:v>14.399999999999999</x:v>
      </x:c>
      <x:c r="W3013" s="47" t="n">
        <x:v>0.3</x:v>
      </x:c>
      <x:c r="X3013" s="54" t="n">
        <x:f>IF(ISNUMBER(V3013),V3013/(1-W3013),"")</x:f>
        <x:v>20.57142857142857</x:v>
      </x:c>
      <x:c r="Y3013" s="55" t="n">
        <x:f>IF(ISNUMBER(X3013),ROUNDUP(X3013,0),"")</x:f>
        <x:v>21</x:v>
      </x:c>
      <x:c r="Z3013" t="str">
        <x:v>Source match pending</x:v>
      </x:c>
      <x:c r="AA3013" t="str">
        <x:v>screencapture-www-activesportstrade-co-uk-applied-nutrition-trade-2026-09-10-08_59_59.pdf / page-02</x:v>
      </x:c>
      <x:c r="AB3013" s="36" t="n">
        <x:f>IF(ISNUMBER(Y3013),ROUND(Y3013*0.9,2),"")</x:f>
        <x:v>18.9</x:v>
      </x:c>
      <x:c r="AC3013" s="36" t="n">
        <x:f>IF(ISNUMBER(AB3013),ROUND(AB3013-(AB3013*0.015+0.2)-V3013,2),"")</x:f>
        <x:v>4.02</x:v>
      </x:c>
      <x:c r="AD3013" s="36" t="n">
        <x:f>IF(ISNUMBER(Y3013),ROUND(Y3013*0.8,2),"")</x:f>
        <x:v>16.8</x:v>
      </x:c>
      <x:c r="AE3013" s="36" t="n">
        <x:f>IF(ISNUMBER(AD3013),ROUND(AD3013*0.015+0.2,2),"")</x:f>
        <x:v>0.45</x:v>
      </x:c>
      <x:c r="AF3013" s="36" t="n">
        <x:f>IF(ISNUMBER(AD3013),ROUND(AD3013-AE3013-V3013,2),"")</x:f>
        <x:v>1.95</x:v>
      </x:c>
      <x:c r="AG3013" t="str">
        <x:f>IF(NOT(ISNUMBER(T3013)),"PENDING",IF(AF3013&gt;0,"PASS","FAIL"))</x:f>
        <x:v>PASS</x:v>
      </x:c>
      <x:c r="AH3013" t="str">
        <x:f>IF(NOT(ISNUMBER(T3013)),"Needs supplier cost",IF(K3013&lt;&gt;"In stock","Supplier unavailable",IF(AG3013&lt;&gt;"PASS","BLOCK - GT loss risk","Commercially protected")))</x:f>
        <x:v>Supplier unavailable</x:v>
      </x:c>
      <x:c r="AI3013" t="str">
        <x:v>2026-09-10 Active Sports trade capture</x:v>
      </x:c>
      <x:c r="AJ3013" t="str">
        <x:v>Management-only economics. Stripe stress test uses 1.5% + £0.20 standard UK online-card fee; pallet/mix-and-match pricing ignored.</x:v>
      </x:c>
    </x:row>
    <x:row r="3014">
      <x:c r="A3014" t="str">
        <x:v>Active Sports Nutrition</x:v>
      </x:c>
      <x:c r="B3014" t="str">
        <x:v>Applied Nutrition</x:v>
      </x:c>
      <x:c r="C3014" t="str">
        <x:v>ABE Energy + Performance Can RTD</x:v>
      </x:c>
      <x:c r="D3014" t="str">
        <x:v>Food &amp; Drinks</x:v>
      </x:c>
      <x:c r="E3014" t="str">
        <x:v>Energy Drinks</x:v>
      </x:c>
      <x:c r="F3014" t="str"/>
      <x:c r="G3014" t="str">
        <x:v>12 x 330ml</x:v>
      </x:c>
      <x:c r="H3014" t="str">
        <x:v>Orange Burst</x:v>
      </x:c>
      <x:c r="I3014" t="str">
        <x:v>12</x:v>
      </x:c>
      <x:c r="J3014" t="str">
        <x:v>Case</x:v>
      </x:c>
      <x:c r="K3014" t="str">
        <x:v>In stock</x:v>
      </x:c>
      <x:c r="L3014" t="str">
        <x:v>2026-09-08</x:v>
      </x:c>
      <x:c r="M3014" t="str"/>
      <x:c r="N3014" t="str"/>
      <x:c r="O3014" t="str">
        <x:v>https://www.activesportstrade.co.uk/trade-convienience/applied-nutrition-trade</x:v>
      </x:c>
      <x:c r="P3014" t="str">
        <x:v>PALLET PROMO / NEW wording stripped; case-only supplier ordering.</x:v>
      </x:c>
      <x:c r="Q3014" t="str"/>
      <x:c r="R3014" t="str"/>
      <x:c r="S3014" t="str">
        <x:v>Pending genuine supplier/brand image</x:v>
      </x:c>
      <x:c r="T3014" s="54" t="n">
        <x:v>12</x:v>
      </x:c>
      <x:c r="U3014" s="47" t="n">
        <x:v>0.2</x:v>
      </x:c>
      <x:c r="V3014" s="54" t="n">
        <x:f>IF(ISNUMBER(T3014),T3014*(1+U3014),"")</x:f>
        <x:v>14.399999999999999</x:v>
      </x:c>
      <x:c r="W3014" s="47" t="n">
        <x:v>0.3</x:v>
      </x:c>
      <x:c r="X3014" s="54" t="n">
        <x:f>IF(ISNUMBER(V3014),V3014/(1-W3014),"")</x:f>
        <x:v>20.57142857142857</x:v>
      </x:c>
      <x:c r="Y3014" s="55" t="n">
        <x:f>IF(ISNUMBER(X3014),ROUNDUP(X3014,0),"")</x:f>
        <x:v>21</x:v>
      </x:c>
      <x:c r="Z3014" t="str">
        <x:v>Source match pending</x:v>
      </x:c>
      <x:c r="AA3014" t="str">
        <x:v>screencapture-www-activesportstrade-co-uk-applied-nutrition-trade-2026-09-10-08_59_59.pdf / page-02</x:v>
      </x:c>
      <x:c r="AB3014" s="36" t="n">
        <x:f>IF(ISNUMBER(Y3014),ROUND(Y3014*0.9,2),"")</x:f>
        <x:v>18.9</x:v>
      </x:c>
      <x:c r="AC3014" s="36" t="n">
        <x:f>IF(ISNUMBER(AB3014),ROUND(AB3014-(AB3014*0.015+0.2)-V3014,2),"")</x:f>
        <x:v>4.02</x:v>
      </x:c>
      <x:c r="AD3014" s="36" t="n">
        <x:f>IF(ISNUMBER(Y3014),ROUND(Y3014*0.8,2),"")</x:f>
        <x:v>16.8</x:v>
      </x:c>
      <x:c r="AE3014" s="36" t="n">
        <x:f>IF(ISNUMBER(AD3014),ROUND(AD3014*0.015+0.2,2),"")</x:f>
        <x:v>0.45</x:v>
      </x:c>
      <x:c r="AF3014" s="36" t="n">
        <x:f>IF(ISNUMBER(AD3014),ROUND(AD3014-AE3014-V3014,2),"")</x:f>
        <x:v>1.95</x:v>
      </x:c>
      <x:c r="AG3014" t="str">
        <x:f>IF(NOT(ISNUMBER(T3014)),"PENDING",IF(AF3014&gt;0,"PASS","FAIL"))</x:f>
        <x:v>PASS</x:v>
      </x:c>
      <x:c r="AH3014" t="str">
        <x:f>IF(NOT(ISNUMBER(T3014)),"Needs supplier cost",IF(K3014&lt;&gt;"In stock","Supplier unavailable",IF(AG3014&lt;&gt;"PASS","BLOCK - GT loss risk","Commercially protected")))</x:f>
        <x:v>Commercially protected</x:v>
      </x:c>
      <x:c r="AI3014" t="str">
        <x:v>2026-09-10 Active Sports trade capture</x:v>
      </x:c>
      <x:c r="AJ3014" t="str">
        <x:v>Management-only economics. Stripe stress test uses 1.5% + £0.20 standard UK online-card fee; pallet/mix-and-match pricing ignored.</x:v>
      </x:c>
    </x:row>
    <x:row r="3015">
      <x:c r="A3015" t="str">
        <x:v>Active Sports Nutrition</x:v>
      </x:c>
      <x:c r="B3015" t="str">
        <x:v>Applied Nutrition</x:v>
      </x:c>
      <x:c r="C3015" t="str">
        <x:v>ABE Energy + Performance Can RTD</x:v>
      </x:c>
      <x:c r="D3015" t="str">
        <x:v>Food &amp; Drinks</x:v>
      </x:c>
      <x:c r="E3015" t="str">
        <x:v>Energy Drinks</x:v>
      </x:c>
      <x:c r="F3015" t="str"/>
      <x:c r="G3015" t="str">
        <x:v>12 x 330ml</x:v>
      </x:c>
      <x:c r="H3015" t="str">
        <x:v>Slush Puppie</x:v>
      </x:c>
      <x:c r="I3015" t="str">
        <x:v>12</x:v>
      </x:c>
      <x:c r="J3015" t="str">
        <x:v>Case</x:v>
      </x:c>
      <x:c r="K3015" t="str">
        <x:v>In stock</x:v>
      </x:c>
      <x:c r="L3015" t="str">
        <x:v>2026-09-08</x:v>
      </x:c>
      <x:c r="M3015" t="str"/>
      <x:c r="N3015" t="str"/>
      <x:c r="O3015" t="str">
        <x:v>https://www.activesportstrade.co.uk/trade-convienience/applied-nutrition-trade</x:v>
      </x:c>
      <x:c r="P3015" t="str">
        <x:v>PALLET PROMO / NEW wording stripped; case-only supplier ordering.</x:v>
      </x:c>
      <x:c r="Q3015" t="str"/>
      <x:c r="R3015" t="str"/>
      <x:c r="S3015" t="str">
        <x:v>Pending genuine supplier/brand image</x:v>
      </x:c>
      <x:c r="T3015" s="54" t="n">
        <x:v>12</x:v>
      </x:c>
      <x:c r="U3015" s="47" t="n">
        <x:v>0.2</x:v>
      </x:c>
      <x:c r="V3015" s="54" t="n">
        <x:f>IF(ISNUMBER(T3015),T3015*(1+U3015),"")</x:f>
        <x:v>14.399999999999999</x:v>
      </x:c>
      <x:c r="W3015" s="47" t="n">
        <x:v>0.3</x:v>
      </x:c>
      <x:c r="X3015" s="54" t="n">
        <x:f>IF(ISNUMBER(V3015),V3015/(1-W3015),"")</x:f>
        <x:v>20.57142857142857</x:v>
      </x:c>
      <x:c r="Y3015" s="55" t="n">
        <x:f>IF(ISNUMBER(X3015),ROUNDUP(X3015,0),"")</x:f>
        <x:v>21</x:v>
      </x:c>
      <x:c r="Z3015" t="str">
        <x:v>Source match pending</x:v>
      </x:c>
      <x:c r="AA3015" t="str">
        <x:v>screencapture-www-activesportstrade-co-uk-applied-nutrition-trade-2026-09-10-08_59_59.pdf / page-02</x:v>
      </x:c>
      <x:c r="AB3015" s="36" t="n">
        <x:f>IF(ISNUMBER(Y3015),ROUND(Y3015*0.9,2),"")</x:f>
        <x:v>18.9</x:v>
      </x:c>
      <x:c r="AC3015" s="36" t="n">
        <x:f>IF(ISNUMBER(AB3015),ROUND(AB3015-(AB3015*0.015+0.2)-V3015,2),"")</x:f>
        <x:v>4.02</x:v>
      </x:c>
      <x:c r="AD3015" s="36" t="n">
        <x:f>IF(ISNUMBER(Y3015),ROUND(Y3015*0.8,2),"")</x:f>
        <x:v>16.8</x:v>
      </x:c>
      <x:c r="AE3015" s="36" t="n">
        <x:f>IF(ISNUMBER(AD3015),ROUND(AD3015*0.015+0.2,2),"")</x:f>
        <x:v>0.45</x:v>
      </x:c>
      <x:c r="AF3015" s="36" t="n">
        <x:f>IF(ISNUMBER(AD3015),ROUND(AD3015-AE3015-V3015,2),"")</x:f>
        <x:v>1.95</x:v>
      </x:c>
      <x:c r="AG3015" t="str">
        <x:f>IF(NOT(ISNUMBER(T3015)),"PENDING",IF(AF3015&gt;0,"PASS","FAIL"))</x:f>
        <x:v>PASS</x:v>
      </x:c>
      <x:c r="AH3015" t="str">
        <x:f>IF(NOT(ISNUMBER(T3015)),"Needs supplier cost",IF(K3015&lt;&gt;"In stock","Supplier unavailable",IF(AG3015&lt;&gt;"PASS","BLOCK - GT loss risk","Commercially protected")))</x:f>
        <x:v>Commercially protected</x:v>
      </x:c>
      <x:c r="AI3015" t="str">
        <x:v>2026-09-10 Active Sports trade capture</x:v>
      </x:c>
      <x:c r="AJ3015" t="str">
        <x:v>Management-only economics. Stripe stress test uses 1.5% + £0.20 standard UK online-card fee; pallet/mix-and-match pricing ignored.</x:v>
      </x:c>
    </x:row>
    <x:row r="3016">
      <x:c r="A3016" t="str">
        <x:v>Active Sports Nutrition</x:v>
      </x:c>
      <x:c r="B3016" t="str">
        <x:v>Applied Nutrition</x:v>
      </x:c>
      <x:c r="C3016" t="str">
        <x:v>ABE Energy + Performance Can RTD</x:v>
      </x:c>
      <x:c r="D3016" t="str">
        <x:v>Food &amp; Drinks</x:v>
      </x:c>
      <x:c r="E3016" t="str">
        <x:v>Energy Drinks</x:v>
      </x:c>
      <x:c r="F3016" t="str"/>
      <x:c r="G3016" t="str">
        <x:v>12 x 330ml</x:v>
      </x:c>
      <x:c r="H3016" t="str">
        <x:v>White</x:v>
      </x:c>
      <x:c r="I3016" t="str">
        <x:v>12</x:v>
      </x:c>
      <x:c r="J3016" t="str">
        <x:v>Case</x:v>
      </x:c>
      <x:c r="K3016" t="str">
        <x:v>In stock</x:v>
      </x:c>
      <x:c r="L3016" t="str">
        <x:v>2026-09-08</x:v>
      </x:c>
      <x:c r="M3016" t="str"/>
      <x:c r="N3016" t="str"/>
      <x:c r="O3016" t="str">
        <x:v>https://www.activesportstrade.co.uk/trade-convienience/applied-nutrition-trade</x:v>
      </x:c>
      <x:c r="P3016" t="str">
        <x:v>PALLET PROMO / NEW wording stripped; case-only supplier ordering.</x:v>
      </x:c>
      <x:c r="Q3016" t="str"/>
      <x:c r="R3016" t="str"/>
      <x:c r="S3016" t="str">
        <x:v>Pending genuine supplier/brand image</x:v>
      </x:c>
      <x:c r="T3016" s="54" t="n">
        <x:v>12</x:v>
      </x:c>
      <x:c r="U3016" s="47" t="n">
        <x:v>0.2</x:v>
      </x:c>
      <x:c r="V3016" s="54" t="n">
        <x:f>IF(ISNUMBER(T3016),T3016*(1+U3016),"")</x:f>
        <x:v>14.399999999999999</x:v>
      </x:c>
      <x:c r="W3016" s="47" t="n">
        <x:v>0.3</x:v>
      </x:c>
      <x:c r="X3016" s="54" t="n">
        <x:f>IF(ISNUMBER(V3016),V3016/(1-W3016),"")</x:f>
        <x:v>20.57142857142857</x:v>
      </x:c>
      <x:c r="Y3016" s="55" t="n">
        <x:f>IF(ISNUMBER(X3016),ROUNDUP(X3016,0),"")</x:f>
        <x:v>21</x:v>
      </x:c>
      <x:c r="Z3016" t="str">
        <x:v>Source match pending</x:v>
      </x:c>
      <x:c r="AA3016" t="str">
        <x:v>screencapture-www-activesportstrade-co-uk-applied-nutrition-trade-2026-09-10-08_59_59.pdf / page-02</x:v>
      </x:c>
      <x:c r="AB3016" s="36" t="n">
        <x:f>IF(ISNUMBER(Y3016),ROUND(Y3016*0.9,2),"")</x:f>
        <x:v>18.9</x:v>
      </x:c>
      <x:c r="AC3016" s="36" t="n">
        <x:f>IF(ISNUMBER(AB3016),ROUND(AB3016-(AB3016*0.015+0.2)-V3016,2),"")</x:f>
        <x:v>4.02</x:v>
      </x:c>
      <x:c r="AD3016" s="36" t="n">
        <x:f>IF(ISNUMBER(Y3016),ROUND(Y3016*0.8,2),"")</x:f>
        <x:v>16.8</x:v>
      </x:c>
      <x:c r="AE3016" s="36" t="n">
        <x:f>IF(ISNUMBER(AD3016),ROUND(AD3016*0.015+0.2,2),"")</x:f>
        <x:v>0.45</x:v>
      </x:c>
      <x:c r="AF3016" s="36" t="n">
        <x:f>IF(ISNUMBER(AD3016),ROUND(AD3016-AE3016-V3016,2),"")</x:f>
        <x:v>1.95</x:v>
      </x:c>
      <x:c r="AG3016" t="str">
        <x:f>IF(NOT(ISNUMBER(T3016)),"PENDING",IF(AF3016&gt;0,"PASS","FAIL"))</x:f>
        <x:v>PASS</x:v>
      </x:c>
      <x:c r="AH3016" t="str">
        <x:f>IF(NOT(ISNUMBER(T3016)),"Needs supplier cost",IF(K3016&lt;&gt;"In stock","Supplier unavailable",IF(AG3016&lt;&gt;"PASS","BLOCK - GT loss risk","Commercially protected")))</x:f>
        <x:v>Commercially protected</x:v>
      </x:c>
      <x:c r="AI3016" t="str">
        <x:v>2026-09-10 Active Sports trade capture</x:v>
      </x:c>
      <x:c r="AJ3016" t="str">
        <x:v>Management-only economics. Stripe stress test uses 1.5% + £0.20 standard UK online-card fee; pallet/mix-and-match pricing ignored.</x:v>
      </x:c>
    </x:row>
    <x:row r="3017">
      <x:c r="A3017" t="str">
        <x:v>Active Sports Nutrition</x:v>
      </x:c>
      <x:c r="B3017" t="str">
        <x:v>USN</x:v>
      </x:c>
      <x:c r="C3017" t="str">
        <x:v>Diet Fuel Ultra Lean</x:v>
      </x:c>
      <x:c r="D3017" t="str">
        <x:v>Supplements</x:v>
      </x:c>
      <x:c r="E3017" t="str">
        <x:v>Meal Replacement</x:v>
      </x:c>
      <x:c r="F3017" t="str"/>
      <x:c r="G3017" t="str">
        <x:v>1kg</x:v>
      </x:c>
      <x:c r="H3017" t="str">
        <x:v>Chocolate</x:v>
      </x:c>
      <x:c r="I3017" t="str"/>
      <x:c r="J3017" t="str">
        <x:v>Unit</x:v>
      </x:c>
      <x:c r="K3017" t="str">
        <x:v>Out of stock</x:v>
      </x:c>
      <x:c r="L3017" t="str">
        <x:v>2026-09-08</x:v>
      </x:c>
      <x:c r="M3017" t="str"/>
      <x:c r="N3017" t="str"/>
      <x:c r="O3017" t="str">
        <x:v>https://www.activesportstrade.co.uk/usn-trade</x:v>
      </x:c>
      <x:c r="P3017" t="str">
        <x:v>Fresh USN brand page used; supersedes older diet-category stock.</x:v>
      </x:c>
      <x:c r="Q3017" t="str"/>
      <x:c r="R3017" t="str"/>
      <x:c r="S3017" t="str">
        <x:v>Pending genuine supplier/brand image</x:v>
      </x:c>
      <x:c r="T3017" s="54" t="n">
        <x:v>17.38</x:v>
      </x:c>
      <x:c r="U3017" s="47" t="n">
        <x:v>0.2</x:v>
      </x:c>
      <x:c r="V3017" s="54" t="n">
        <x:f>IF(ISNUMBER(T3017),T3017*(1+U3017),"")</x:f>
        <x:v>20.855999999999998</x:v>
      </x:c>
      <x:c r="W3017" s="47" t="n">
        <x:v>0.3</x:v>
      </x:c>
      <x:c r="X3017" s="54" t="n">
        <x:f>IF(ISNUMBER(V3017),V3017/(1-W3017),"")</x:f>
        <x:v>29.794285714285714</x:v>
      </x:c>
      <x:c r="Y3017" s="55" t="n">
        <x:f>IF(ISNUMBER(X3017),ROUNDUP(X3017,0),"")</x:f>
        <x:v>30</x:v>
      </x:c>
      <x:c r="Z3017" t="str">
        <x:v>Source match pending</x:v>
      </x:c>
      <x:c r="AA3017" t="str">
        <x:v>screencapture-www-activesportstrade-co-uk-usn-trade-2026-09-09-19_02_34.png / page-001</x:v>
      </x:c>
      <x:c r="AB3017" s="36" t="n">
        <x:f>IF(ISNUMBER(Y3017),ROUND(Y3017*0.9,2),"")</x:f>
        <x:v>27</x:v>
      </x:c>
      <x:c r="AC3017" s="36" t="n">
        <x:f>IF(ISNUMBER(AB3017),ROUND(AB3017-(AB3017*0.015+0.2)-V3017,2),"")</x:f>
        <x:v>5.54</x:v>
      </x:c>
      <x:c r="AD3017" s="36" t="n">
        <x:f>IF(ISNUMBER(Y3017),ROUND(Y3017*0.8,2),"")</x:f>
        <x:v>24</x:v>
      </x:c>
      <x:c r="AE3017" s="36" t="n">
        <x:f>IF(ISNUMBER(AD3017),ROUND(AD3017*0.015+0.2,2),"")</x:f>
        <x:v>0.56</x:v>
      </x:c>
      <x:c r="AF3017" s="36" t="n">
        <x:f>IF(ISNUMBER(AD3017),ROUND(AD3017-AE3017-V3017,2),"")</x:f>
        <x:v>2.58</x:v>
      </x:c>
      <x:c r="AG3017" t="str">
        <x:f>IF(NOT(ISNUMBER(T3017)),"PENDING",IF(AF3017&gt;0,"PASS","FAIL"))</x:f>
        <x:v>PASS</x:v>
      </x:c>
      <x:c r="AH3017" t="str">
        <x:f>IF(NOT(ISNUMBER(T3017)),"Needs supplier cost",IF(K3017&lt;&gt;"In stock","Supplier unavailable",IF(AG3017&lt;&gt;"PASS","BLOCK - GT loss risk","Commercially protected")))</x:f>
        <x:v>Supplier unavailable</x:v>
      </x:c>
      <x:c r="AI3017" t="str">
        <x:v>2026-09-10 Active Sports trade capture</x:v>
      </x:c>
      <x:c r="AJ3017" t="str">
        <x:v>Management-only economics. Stripe stress test uses 1.5% + £0.20 standard UK online-card fee; pallet/mix-and-match pricing ignored.</x:v>
      </x:c>
    </x:row>
    <x:row r="3018">
      <x:c r="A3018" t="str">
        <x:v>Active Sports Nutrition</x:v>
      </x:c>
      <x:c r="B3018" t="str">
        <x:v>USN</x:v>
      </x:c>
      <x:c r="C3018" t="str">
        <x:v>Diet Fuel Ultra Lean</x:v>
      </x:c>
      <x:c r="D3018" t="str">
        <x:v>Supplements</x:v>
      </x:c>
      <x:c r="E3018" t="str">
        <x:v>Meal Replacement</x:v>
      </x:c>
      <x:c r="F3018" t="str"/>
      <x:c r="G3018" t="str">
        <x:v>1kg</x:v>
      </x:c>
      <x:c r="H3018" t="str">
        <x:v>Strawberry</x:v>
      </x:c>
      <x:c r="I3018" t="str"/>
      <x:c r="J3018" t="str">
        <x:v>Unit</x:v>
      </x:c>
      <x:c r="K3018" t="str">
        <x:v>Out of stock</x:v>
      </x:c>
      <x:c r="L3018" t="str">
        <x:v>2026-09-08</x:v>
      </x:c>
      <x:c r="M3018" t="str"/>
      <x:c r="N3018" t="str"/>
      <x:c r="O3018" t="str">
        <x:v>https://www.activesportstrade.co.uk/usn-trade</x:v>
      </x:c>
      <x:c r="P3018" t="str">
        <x:v>Fresh USN brand page used; supersedes older diet-category stock.</x:v>
      </x:c>
      <x:c r="Q3018" t="str"/>
      <x:c r="R3018" t="str"/>
      <x:c r="S3018" t="str">
        <x:v>Pending genuine supplier/brand image</x:v>
      </x:c>
      <x:c r="T3018" s="54" t="n">
        <x:v>17.38</x:v>
      </x:c>
      <x:c r="U3018" s="47" t="n">
        <x:v>0.2</x:v>
      </x:c>
      <x:c r="V3018" s="54" t="n">
        <x:f>IF(ISNUMBER(T3018),T3018*(1+U3018),"")</x:f>
        <x:v>20.855999999999998</x:v>
      </x:c>
      <x:c r="W3018" s="47" t="n">
        <x:v>0.3</x:v>
      </x:c>
      <x:c r="X3018" s="54" t="n">
        <x:f>IF(ISNUMBER(V3018),V3018/(1-W3018),"")</x:f>
        <x:v>29.794285714285714</x:v>
      </x:c>
      <x:c r="Y3018" s="55" t="n">
        <x:f>IF(ISNUMBER(X3018),ROUNDUP(X3018,0),"")</x:f>
        <x:v>30</x:v>
      </x:c>
      <x:c r="Z3018" t="str">
        <x:v>Source match pending</x:v>
      </x:c>
      <x:c r="AA3018" t="str">
        <x:v>screencapture-www-activesportstrade-co-uk-usn-trade-2026-09-09-19_02_34.png / page-001</x:v>
      </x:c>
      <x:c r="AB3018" s="36" t="n">
        <x:f>IF(ISNUMBER(Y3018),ROUND(Y3018*0.9,2),"")</x:f>
        <x:v>27</x:v>
      </x:c>
      <x:c r="AC3018" s="36" t="n">
        <x:f>IF(ISNUMBER(AB3018),ROUND(AB3018-(AB3018*0.015+0.2)-V3018,2),"")</x:f>
        <x:v>5.54</x:v>
      </x:c>
      <x:c r="AD3018" s="36" t="n">
        <x:f>IF(ISNUMBER(Y3018),ROUND(Y3018*0.8,2),"")</x:f>
        <x:v>24</x:v>
      </x:c>
      <x:c r="AE3018" s="36" t="n">
        <x:f>IF(ISNUMBER(AD3018),ROUND(AD3018*0.015+0.2,2),"")</x:f>
        <x:v>0.56</x:v>
      </x:c>
      <x:c r="AF3018" s="36" t="n">
        <x:f>IF(ISNUMBER(AD3018),ROUND(AD3018-AE3018-V3018,2),"")</x:f>
        <x:v>2.58</x:v>
      </x:c>
      <x:c r="AG3018" t="str">
        <x:f>IF(NOT(ISNUMBER(T3018)),"PENDING",IF(AF3018&gt;0,"PASS","FAIL"))</x:f>
        <x:v>PASS</x:v>
      </x:c>
      <x:c r="AH3018" t="str">
        <x:f>IF(NOT(ISNUMBER(T3018)),"Needs supplier cost",IF(K3018&lt;&gt;"In stock","Supplier unavailable",IF(AG3018&lt;&gt;"PASS","BLOCK - GT loss risk","Commercially protected")))</x:f>
        <x:v>Supplier unavailable</x:v>
      </x:c>
      <x:c r="AI3018" t="str">
        <x:v>2026-09-10 Active Sports trade capture</x:v>
      </x:c>
      <x:c r="AJ3018" t="str">
        <x:v>Management-only economics. Stripe stress test uses 1.5% + £0.20 standard UK online-card fee; pallet/mix-and-match pricing ignored.</x:v>
      </x:c>
    </x:row>
    <x:row r="3019">
      <x:c r="A3019" t="str">
        <x:v>Active Sports Nutrition</x:v>
      </x:c>
      <x:c r="B3019" t="str">
        <x:v>USN</x:v>
      </x:c>
      <x:c r="C3019" t="str">
        <x:v>Diet Fuel Ultra Lean</x:v>
      </x:c>
      <x:c r="D3019" t="str">
        <x:v>Supplements</x:v>
      </x:c>
      <x:c r="E3019" t="str">
        <x:v>Meal Replacement</x:v>
      </x:c>
      <x:c r="F3019" t="str"/>
      <x:c r="G3019" t="str">
        <x:v>1kg</x:v>
      </x:c>
      <x:c r="H3019" t="str">
        <x:v>Vanilla</x:v>
      </x:c>
      <x:c r="I3019" t="str"/>
      <x:c r="J3019" t="str">
        <x:v>Unit</x:v>
      </x:c>
      <x:c r="K3019" t="str">
        <x:v>In stock</x:v>
      </x:c>
      <x:c r="L3019" t="str">
        <x:v>2026-09-08</x:v>
      </x:c>
      <x:c r="M3019" t="str"/>
      <x:c r="N3019" t="str"/>
      <x:c r="O3019" t="str">
        <x:v>https://www.activesportstrade.co.uk/usn-trade</x:v>
      </x:c>
      <x:c r="P3019" t="str">
        <x:v>Fresh USN brand page used; supersedes older diet-category stock.</x:v>
      </x:c>
      <x:c r="Q3019" t="str"/>
      <x:c r="R3019" t="str"/>
      <x:c r="S3019" t="str">
        <x:v>Pending genuine supplier/brand image</x:v>
      </x:c>
      <x:c r="T3019" s="54" t="n">
        <x:v>17.38</x:v>
      </x:c>
      <x:c r="U3019" s="47" t="n">
        <x:v>0.2</x:v>
      </x:c>
      <x:c r="V3019" s="54" t="n">
        <x:f>IF(ISNUMBER(T3019),T3019*(1+U3019),"")</x:f>
        <x:v>20.855999999999998</x:v>
      </x:c>
      <x:c r="W3019" s="47" t="n">
        <x:v>0.3</x:v>
      </x:c>
      <x:c r="X3019" s="54" t="n">
        <x:f>IF(ISNUMBER(V3019),V3019/(1-W3019),"")</x:f>
        <x:v>29.794285714285714</x:v>
      </x:c>
      <x:c r="Y3019" s="55" t="n">
        <x:f>IF(ISNUMBER(X3019),ROUNDUP(X3019,0),"")</x:f>
        <x:v>30</x:v>
      </x:c>
      <x:c r="Z3019" t="str">
        <x:v>Source match pending</x:v>
      </x:c>
      <x:c r="AA3019" t="str">
        <x:v>screencapture-www-activesportstrade-co-uk-usn-trade-2026-09-09-19_02_34.png / page-001</x:v>
      </x:c>
      <x:c r="AB3019" s="36" t="n">
        <x:f>IF(ISNUMBER(Y3019),ROUND(Y3019*0.9,2),"")</x:f>
        <x:v>27</x:v>
      </x:c>
      <x:c r="AC3019" s="36" t="n">
        <x:f>IF(ISNUMBER(AB3019),ROUND(AB3019-(AB3019*0.015+0.2)-V3019,2),"")</x:f>
        <x:v>5.54</x:v>
      </x:c>
      <x:c r="AD3019" s="36" t="n">
        <x:f>IF(ISNUMBER(Y3019),ROUND(Y3019*0.8,2),"")</x:f>
        <x:v>24</x:v>
      </x:c>
      <x:c r="AE3019" s="36" t="n">
        <x:f>IF(ISNUMBER(AD3019),ROUND(AD3019*0.015+0.2,2),"")</x:f>
        <x:v>0.56</x:v>
      </x:c>
      <x:c r="AF3019" s="36" t="n">
        <x:f>IF(ISNUMBER(AD3019),ROUND(AD3019-AE3019-V3019,2),"")</x:f>
        <x:v>2.58</x:v>
      </x:c>
      <x:c r="AG3019" t="str">
        <x:f>IF(NOT(ISNUMBER(T3019)),"PENDING",IF(AF3019&gt;0,"PASS","FAIL"))</x:f>
        <x:v>PASS</x:v>
      </x:c>
      <x:c r="AH3019" t="str">
        <x:f>IF(NOT(ISNUMBER(T3019)),"Needs supplier cost",IF(K3019&lt;&gt;"In stock","Supplier unavailable",IF(AG3019&lt;&gt;"PASS","BLOCK - GT loss risk","Commercially protected")))</x:f>
        <x:v>Commercially protected</x:v>
      </x:c>
      <x:c r="AI3019" t="str">
        <x:v>2026-09-10 Active Sports trade capture</x:v>
      </x:c>
      <x:c r="AJ3019" t="str">
        <x:v>Management-only economics. Stripe stress test uses 1.5% + £0.20 standard UK online-card fee; pallet/mix-and-match pricing ignored.</x:v>
      </x:c>
    </x:row>
    <x:row r="3020">
      <x:c r="A3020" t="str">
        <x:v>Active Sports Nutrition</x:v>
      </x:c>
      <x:c r="B3020" t="str">
        <x:v>USN</x:v>
      </x:c>
      <x:c r="C3020" t="str">
        <x:v>Diet Fuel Ultra Lean</x:v>
      </x:c>
      <x:c r="D3020" t="str">
        <x:v>Supplements</x:v>
      </x:c>
      <x:c r="E3020" t="str">
        <x:v>Meal Replacement</x:v>
      </x:c>
      <x:c r="F3020" t="str"/>
      <x:c r="G3020" t="str">
        <x:v>2kg</x:v>
      </x:c>
      <x:c r="H3020" t="str">
        <x:v>Banana Caramel</x:v>
      </x:c>
      <x:c r="I3020" t="str"/>
      <x:c r="J3020" t="str">
        <x:v>Unit</x:v>
      </x:c>
      <x:c r="K3020" t="str">
        <x:v>Out of stock</x:v>
      </x:c>
      <x:c r="L3020" t="str">
        <x:v>2026-09-08</x:v>
      </x:c>
      <x:c r="M3020" t="str"/>
      <x:c r="N3020" t="str"/>
      <x:c r="O3020" t="str">
        <x:v>https://www.activesportstrade.co.uk/usn-trade</x:v>
      </x:c>
      <x:c r="P3020" t="str">
        <x:v>Fresh USN brand page used; supersedes older category crawl.</x:v>
      </x:c>
      <x:c r="Q3020" t="str"/>
      <x:c r="R3020" t="str"/>
      <x:c r="S3020" t="str">
        <x:v>Pending genuine supplier/brand image</x:v>
      </x:c>
      <x:c r="T3020" s="54" t="n">
        <x:v>30.75</x:v>
      </x:c>
      <x:c r="U3020" s="47" t="n">
        <x:v>0.2</x:v>
      </x:c>
      <x:c r="V3020" s="54" t="n">
        <x:f>IF(ISNUMBER(T3020),T3020*(1+U3020),"")</x:f>
        <x:v>36.9</x:v>
      </x:c>
      <x:c r="W3020" s="47" t="n">
        <x:v>0.3</x:v>
      </x:c>
      <x:c r="X3020" s="54" t="n">
        <x:f>IF(ISNUMBER(V3020),V3020/(1-W3020),"")</x:f>
        <x:v>52.714285714285715</x:v>
      </x:c>
      <x:c r="Y3020" s="55" t="n">
        <x:f>IF(ISNUMBER(X3020),ROUNDUP(X3020,0),"")</x:f>
        <x:v>53</x:v>
      </x:c>
      <x:c r="Z3020" t="str">
        <x:v>Source match pending</x:v>
      </x:c>
      <x:c r="AA3020" t="str">
        <x:v>screencapture-www-activesportstrade-co-uk-usn-trade-2026-09-09-19_02_34.png / page-001</x:v>
      </x:c>
      <x:c r="AB3020" s="36" t="n">
        <x:f>IF(ISNUMBER(Y3020),ROUND(Y3020*0.9,2),"")</x:f>
        <x:v>47.7</x:v>
      </x:c>
      <x:c r="AC3020" s="36" t="n">
        <x:f>IF(ISNUMBER(AB3020),ROUND(AB3020-(AB3020*0.015+0.2)-V3020,2),"")</x:f>
        <x:v>9.88</x:v>
      </x:c>
      <x:c r="AD3020" s="36" t="n">
        <x:f>IF(ISNUMBER(Y3020),ROUND(Y3020*0.8,2),"")</x:f>
        <x:v>42.4</x:v>
      </x:c>
      <x:c r="AE3020" s="36" t="n">
        <x:f>IF(ISNUMBER(AD3020),ROUND(AD3020*0.015+0.2,2),"")</x:f>
        <x:v>0.84</x:v>
      </x:c>
      <x:c r="AF3020" s="36" t="n">
        <x:f>IF(ISNUMBER(AD3020),ROUND(AD3020-AE3020-V3020,2),"")</x:f>
        <x:v>4.66</x:v>
      </x:c>
      <x:c r="AG3020" t="str">
        <x:f>IF(NOT(ISNUMBER(T3020)),"PENDING",IF(AF3020&gt;0,"PASS","FAIL"))</x:f>
        <x:v>PASS</x:v>
      </x:c>
      <x:c r="AH3020" t="str">
        <x:f>IF(NOT(ISNUMBER(T3020)),"Needs supplier cost",IF(K3020&lt;&gt;"In stock","Supplier unavailable",IF(AG3020&lt;&gt;"PASS","BLOCK - GT loss risk","Commercially protected")))</x:f>
        <x:v>Supplier unavailable</x:v>
      </x:c>
      <x:c r="AI3020" t="str">
        <x:v>2026-09-10 Active Sports trade capture</x:v>
      </x:c>
      <x:c r="AJ3020" t="str">
        <x:v>Management-only economics. Stripe stress test uses 1.5% + £0.20 standard UK online-card fee; pallet/mix-and-match pricing ignored.</x:v>
      </x:c>
    </x:row>
    <x:row r="3021">
      <x:c r="A3021" t="str">
        <x:v>Active Sports Nutrition</x:v>
      </x:c>
      <x:c r="B3021" t="str">
        <x:v>USN</x:v>
      </x:c>
      <x:c r="C3021" t="str">
        <x:v>Diet Fuel Ultra Lean</x:v>
      </x:c>
      <x:c r="D3021" t="str">
        <x:v>Supplements</x:v>
      </x:c>
      <x:c r="E3021" t="str">
        <x:v>Meal Replacement</x:v>
      </x:c>
      <x:c r="F3021" t="str"/>
      <x:c r="G3021" t="str">
        <x:v>2kg</x:v>
      </x:c>
      <x:c r="H3021" t="str">
        <x:v>Chocolate</x:v>
      </x:c>
      <x:c r="I3021" t="str"/>
      <x:c r="J3021" t="str">
        <x:v>Unit</x:v>
      </x:c>
      <x:c r="K3021" t="str">
        <x:v>Out of stock</x:v>
      </x:c>
      <x:c r="L3021" t="str">
        <x:v>2026-09-08</x:v>
      </x:c>
      <x:c r="M3021" t="str"/>
      <x:c r="N3021" t="str"/>
      <x:c r="O3021" t="str">
        <x:v>https://www.activesportstrade.co.uk/usn-trade</x:v>
      </x:c>
      <x:c r="P3021" t="str">
        <x:v>Fresh USN brand page used; supersedes older category crawl.</x:v>
      </x:c>
      <x:c r="Q3021" t="str"/>
      <x:c r="R3021" t="str"/>
      <x:c r="S3021" t="str">
        <x:v>Pending genuine supplier/brand image</x:v>
      </x:c>
      <x:c r="T3021" s="54" t="n">
        <x:v>30.75</x:v>
      </x:c>
      <x:c r="U3021" s="47" t="n">
        <x:v>0.2</x:v>
      </x:c>
      <x:c r="V3021" s="54" t="n">
        <x:f>IF(ISNUMBER(T3021),T3021*(1+U3021),"")</x:f>
        <x:v>36.9</x:v>
      </x:c>
      <x:c r="W3021" s="47" t="n">
        <x:v>0.3</x:v>
      </x:c>
      <x:c r="X3021" s="54" t="n">
        <x:f>IF(ISNUMBER(V3021),V3021/(1-W3021),"")</x:f>
        <x:v>52.714285714285715</x:v>
      </x:c>
      <x:c r="Y3021" s="55" t="n">
        <x:f>IF(ISNUMBER(X3021),ROUNDUP(X3021,0),"")</x:f>
        <x:v>53</x:v>
      </x:c>
      <x:c r="Z3021" t="str">
        <x:v>Source match pending</x:v>
      </x:c>
      <x:c r="AA3021" t="str">
        <x:v>screencapture-www-activesportstrade-co-uk-usn-trade-2026-09-09-19_02_34.png / page-001</x:v>
      </x:c>
      <x:c r="AB3021" s="36" t="n">
        <x:f>IF(ISNUMBER(Y3021),ROUND(Y3021*0.9,2),"")</x:f>
        <x:v>47.7</x:v>
      </x:c>
      <x:c r="AC3021" s="36" t="n">
        <x:f>IF(ISNUMBER(AB3021),ROUND(AB3021-(AB3021*0.015+0.2)-V3021,2),"")</x:f>
        <x:v>9.88</x:v>
      </x:c>
      <x:c r="AD3021" s="36" t="n">
        <x:f>IF(ISNUMBER(Y3021),ROUND(Y3021*0.8,2),"")</x:f>
        <x:v>42.4</x:v>
      </x:c>
      <x:c r="AE3021" s="36" t="n">
        <x:f>IF(ISNUMBER(AD3021),ROUND(AD3021*0.015+0.2,2),"")</x:f>
        <x:v>0.84</x:v>
      </x:c>
      <x:c r="AF3021" s="36" t="n">
        <x:f>IF(ISNUMBER(AD3021),ROUND(AD3021-AE3021-V3021,2),"")</x:f>
        <x:v>4.66</x:v>
      </x:c>
      <x:c r="AG3021" t="str">
        <x:f>IF(NOT(ISNUMBER(T3021)),"PENDING",IF(AF3021&gt;0,"PASS","FAIL"))</x:f>
        <x:v>PASS</x:v>
      </x:c>
      <x:c r="AH3021" t="str">
        <x:f>IF(NOT(ISNUMBER(T3021)),"Needs supplier cost",IF(K3021&lt;&gt;"In stock","Supplier unavailable",IF(AG3021&lt;&gt;"PASS","BLOCK - GT loss risk","Commercially protected")))</x:f>
        <x:v>Supplier unavailable</x:v>
      </x:c>
      <x:c r="AI3021" t="str">
        <x:v>2026-09-10 Active Sports trade capture</x:v>
      </x:c>
      <x:c r="AJ3021" t="str">
        <x:v>Management-only economics. Stripe stress test uses 1.5% + £0.20 standard UK online-card fee; pallet/mix-and-match pricing ignored.</x:v>
      </x:c>
    </x:row>
    <x:row r="3022">
      <x:c r="A3022" t="str">
        <x:v>Active Sports Nutrition</x:v>
      </x:c>
      <x:c r="B3022" t="str">
        <x:v>USN</x:v>
      </x:c>
      <x:c r="C3022" t="str">
        <x:v>Diet Fuel Ultra Lean</x:v>
      </x:c>
      <x:c r="D3022" t="str">
        <x:v>Supplements</x:v>
      </x:c>
      <x:c r="E3022" t="str">
        <x:v>Meal Replacement</x:v>
      </x:c>
      <x:c r="F3022" t="str"/>
      <x:c r="G3022" t="str">
        <x:v>2kg</x:v>
      </x:c>
      <x:c r="H3022" t="str">
        <x:v>Strawberry</x:v>
      </x:c>
      <x:c r="I3022" t="str"/>
      <x:c r="J3022" t="str">
        <x:v>Unit</x:v>
      </x:c>
      <x:c r="K3022" t="str">
        <x:v>In stock</x:v>
      </x:c>
      <x:c r="L3022" t="str">
        <x:v>2026-09-08</x:v>
      </x:c>
      <x:c r="M3022" t="str"/>
      <x:c r="N3022" t="str"/>
      <x:c r="O3022" t="str">
        <x:v>https://www.activesportstrade.co.uk/usn-trade</x:v>
      </x:c>
      <x:c r="P3022" t="str">
        <x:v>Fresh USN brand page used; supersedes older category crawl.</x:v>
      </x:c>
      <x:c r="Q3022" t="str"/>
      <x:c r="R3022" t="str"/>
      <x:c r="S3022" t="str">
        <x:v>Pending genuine supplier/brand image</x:v>
      </x:c>
      <x:c r="T3022" s="54" t="n">
        <x:v>30.75</x:v>
      </x:c>
      <x:c r="U3022" s="47" t="n">
        <x:v>0.2</x:v>
      </x:c>
      <x:c r="V3022" s="54" t="n">
        <x:f>IF(ISNUMBER(T3022),T3022*(1+U3022),"")</x:f>
        <x:v>36.9</x:v>
      </x:c>
      <x:c r="W3022" s="47" t="n">
        <x:v>0.3</x:v>
      </x:c>
      <x:c r="X3022" s="54" t="n">
        <x:f>IF(ISNUMBER(V3022),V3022/(1-W3022),"")</x:f>
        <x:v>52.714285714285715</x:v>
      </x:c>
      <x:c r="Y3022" s="55" t="n">
        <x:f>IF(ISNUMBER(X3022),ROUNDUP(X3022,0),"")</x:f>
        <x:v>53</x:v>
      </x:c>
      <x:c r="Z3022" t="str">
        <x:v>Source match pending</x:v>
      </x:c>
      <x:c r="AA3022" t="str">
        <x:v>screencapture-www-activesportstrade-co-uk-usn-trade-2026-09-09-19_02_34.png / page-001</x:v>
      </x:c>
      <x:c r="AB3022" s="36" t="n">
        <x:f>IF(ISNUMBER(Y3022),ROUND(Y3022*0.9,2),"")</x:f>
        <x:v>47.7</x:v>
      </x:c>
      <x:c r="AC3022" s="36" t="n">
        <x:f>IF(ISNUMBER(AB3022),ROUND(AB3022-(AB3022*0.015+0.2)-V3022,2),"")</x:f>
        <x:v>9.88</x:v>
      </x:c>
      <x:c r="AD3022" s="36" t="n">
        <x:f>IF(ISNUMBER(Y3022),ROUND(Y3022*0.8,2),"")</x:f>
        <x:v>42.4</x:v>
      </x:c>
      <x:c r="AE3022" s="36" t="n">
        <x:f>IF(ISNUMBER(AD3022),ROUND(AD3022*0.015+0.2,2),"")</x:f>
        <x:v>0.84</x:v>
      </x:c>
      <x:c r="AF3022" s="36" t="n">
        <x:f>IF(ISNUMBER(AD3022),ROUND(AD3022-AE3022-V3022,2),"")</x:f>
        <x:v>4.66</x:v>
      </x:c>
      <x:c r="AG3022" t="str">
        <x:f>IF(NOT(ISNUMBER(T3022)),"PENDING",IF(AF3022&gt;0,"PASS","FAIL"))</x:f>
        <x:v>PASS</x:v>
      </x:c>
      <x:c r="AH3022" t="str">
        <x:f>IF(NOT(ISNUMBER(T3022)),"Needs supplier cost",IF(K3022&lt;&gt;"In stock","Supplier unavailable",IF(AG3022&lt;&gt;"PASS","BLOCK - GT loss risk","Commercially protected")))</x:f>
        <x:v>Commercially protected</x:v>
      </x:c>
      <x:c r="AI3022" t="str">
        <x:v>2026-09-10 Active Sports trade capture</x:v>
      </x:c>
      <x:c r="AJ3022" t="str">
        <x:v>Management-only economics. Stripe stress test uses 1.5% + £0.20 standard UK online-card fee; pallet/mix-and-match pricing ignored.</x:v>
      </x:c>
    </x:row>
    <x:row r="3023">
      <x:c r="A3023" t="str">
        <x:v>Active Sports Nutrition</x:v>
      </x:c>
      <x:c r="B3023" t="str">
        <x:v>USN</x:v>
      </x:c>
      <x:c r="C3023" t="str">
        <x:v>Diet Fuel Ultra Lean</x:v>
      </x:c>
      <x:c r="D3023" t="str">
        <x:v>Supplements</x:v>
      </x:c>
      <x:c r="E3023" t="str">
        <x:v>Meal Replacement</x:v>
      </x:c>
      <x:c r="F3023" t="str"/>
      <x:c r="G3023" t="str">
        <x:v>2kg</x:v>
      </x:c>
      <x:c r="H3023" t="str">
        <x:v>Vanilla</x:v>
      </x:c>
      <x:c r="I3023" t="str"/>
      <x:c r="J3023" t="str">
        <x:v>Unit</x:v>
      </x:c>
      <x:c r="K3023" t="str">
        <x:v>In stock</x:v>
      </x:c>
      <x:c r="L3023" t="str">
        <x:v>2026-09-08</x:v>
      </x:c>
      <x:c r="M3023" t="str"/>
      <x:c r="N3023" t="str"/>
      <x:c r="O3023" t="str">
        <x:v>https://www.activesportstrade.co.uk/usn-trade</x:v>
      </x:c>
      <x:c r="P3023" t="str">
        <x:v>Fresh USN brand page used; supersedes older category crawl.</x:v>
      </x:c>
      <x:c r="Q3023" t="str"/>
      <x:c r="R3023" t="str"/>
      <x:c r="S3023" t="str">
        <x:v>Pending genuine supplier/brand image</x:v>
      </x:c>
      <x:c r="T3023" s="54" t="n">
        <x:v>30.75</x:v>
      </x:c>
      <x:c r="U3023" s="47" t="n">
        <x:v>0.2</x:v>
      </x:c>
      <x:c r="V3023" s="54" t="n">
        <x:f>IF(ISNUMBER(T3023),T3023*(1+U3023),"")</x:f>
        <x:v>36.9</x:v>
      </x:c>
      <x:c r="W3023" s="47" t="n">
        <x:v>0.3</x:v>
      </x:c>
      <x:c r="X3023" s="54" t="n">
        <x:f>IF(ISNUMBER(V3023),V3023/(1-W3023),"")</x:f>
        <x:v>52.714285714285715</x:v>
      </x:c>
      <x:c r="Y3023" s="55" t="n">
        <x:f>IF(ISNUMBER(X3023),ROUNDUP(X3023,0),"")</x:f>
        <x:v>53</x:v>
      </x:c>
      <x:c r="Z3023" t="str">
        <x:v>Source match pending</x:v>
      </x:c>
      <x:c r="AA3023" t="str">
        <x:v>screencapture-www-activesportstrade-co-uk-usn-trade-2026-09-09-19_02_34.png / page-001</x:v>
      </x:c>
      <x:c r="AB3023" s="36" t="n">
        <x:f>IF(ISNUMBER(Y3023),ROUND(Y3023*0.9,2),"")</x:f>
        <x:v>47.7</x:v>
      </x:c>
      <x:c r="AC3023" s="36" t="n">
        <x:f>IF(ISNUMBER(AB3023),ROUND(AB3023-(AB3023*0.015+0.2)-V3023,2),"")</x:f>
        <x:v>9.88</x:v>
      </x:c>
      <x:c r="AD3023" s="36" t="n">
        <x:f>IF(ISNUMBER(Y3023),ROUND(Y3023*0.8,2),"")</x:f>
        <x:v>42.4</x:v>
      </x:c>
      <x:c r="AE3023" s="36" t="n">
        <x:f>IF(ISNUMBER(AD3023),ROUND(AD3023*0.015+0.2,2),"")</x:f>
        <x:v>0.84</x:v>
      </x:c>
      <x:c r="AF3023" s="36" t="n">
        <x:f>IF(ISNUMBER(AD3023),ROUND(AD3023-AE3023-V3023,2),"")</x:f>
        <x:v>4.66</x:v>
      </x:c>
      <x:c r="AG3023" t="str">
        <x:f>IF(NOT(ISNUMBER(T3023)),"PENDING",IF(AF3023&gt;0,"PASS","FAIL"))</x:f>
        <x:v>PASS</x:v>
      </x:c>
      <x:c r="AH3023" t="str">
        <x:f>IF(NOT(ISNUMBER(T3023)),"Needs supplier cost",IF(K3023&lt;&gt;"In stock","Supplier unavailable",IF(AG3023&lt;&gt;"PASS","BLOCK - GT loss risk","Commercially protected")))</x:f>
        <x:v>Commercially protected</x:v>
      </x:c>
      <x:c r="AI3023" t="str">
        <x:v>2026-09-10 Active Sports trade capture</x:v>
      </x:c>
      <x:c r="AJ3023" t="str">
        <x:v>Management-only economics. Stripe stress test uses 1.5% + £0.20 standard UK online-card fee; pallet/mix-and-match pricing ignored.</x:v>
      </x:c>
    </x:row>
    <x:row r="3024">
      <x:c r="A3024" t="str">
        <x:v>Active Sports Nutrition</x:v>
      </x:c>
      <x:c r="B3024" t="str">
        <x:v>USN</x:v>
      </x:c>
      <x:c r="C3024" t="str">
        <x:v>Hyperbolic Mass GH</x:v>
      </x:c>
      <x:c r="D3024" t="str">
        <x:v>Supplements</x:v>
      </x:c>
      <x:c r="E3024" t="str">
        <x:v>Mass Gainer</x:v>
      </x:c>
      <x:c r="F3024" t="str"/>
      <x:c r="G3024" t="str">
        <x:v>2kg</x:v>
      </x:c>
      <x:c r="H3024" t="str">
        <x:v>Dutch Chocolate</x:v>
      </x:c>
      <x:c r="I3024" t="str"/>
      <x:c r="J3024" t="str">
        <x:v>Unit</x:v>
      </x:c>
      <x:c r="K3024" t="str">
        <x:v>Out of stock</x:v>
      </x:c>
      <x:c r="L3024" t="str">
        <x:v>2026-09-08</x:v>
      </x:c>
      <x:c r="M3024" t="str"/>
      <x:c r="N3024" t="str"/>
      <x:c r="O3024" t="str">
        <x:v>https://www.activesportstrade.co.uk/usn-trade</x:v>
      </x:c>
      <x:c r="P3024" t="str"/>
      <x:c r="Q3024" t="str"/>
      <x:c r="R3024" t="str"/>
      <x:c r="S3024" t="str">
        <x:v>Pending genuine supplier/brand image</x:v>
      </x:c>
      <x:c r="T3024" s="54" t="n">
        <x:v>17.5</x:v>
      </x:c>
      <x:c r="U3024" s="47" t="n">
        <x:v>0.2</x:v>
      </x:c>
      <x:c r="V3024" s="54" t="n">
        <x:f>IF(ISNUMBER(T3024),T3024*(1+U3024),"")</x:f>
        <x:v>21</x:v>
      </x:c>
      <x:c r="W3024" s="47" t="n">
        <x:v>0.3</x:v>
      </x:c>
      <x:c r="X3024" s="54" t="n">
        <x:f>IF(ISNUMBER(V3024),V3024/(1-W3024),"")</x:f>
        <x:v>30.000000000000004</x:v>
      </x:c>
      <x:c r="Y3024" s="55" t="n">
        <x:f>IF(ISNUMBER(X3024),ROUNDUP(X3024,0),"")</x:f>
        <x:v>31</x:v>
      </x:c>
      <x:c r="Z3024" t="str">
        <x:v>Source match pending</x:v>
      </x:c>
      <x:c r="AA3024" t="str">
        <x:v>screencapture-www-activesportstrade-co-uk-usn-trade-2026-09-09-19_02_34.png / page-001</x:v>
      </x:c>
      <x:c r="AB3024" s="36" t="n">
        <x:f>IF(ISNUMBER(Y3024),ROUND(Y3024*0.9,2),"")</x:f>
        <x:v>27.9</x:v>
      </x:c>
      <x:c r="AC3024" s="36" t="n">
        <x:f>IF(ISNUMBER(AB3024),ROUND(AB3024-(AB3024*0.015+0.2)-V3024,2),"")</x:f>
        <x:v>6.28</x:v>
      </x:c>
      <x:c r="AD3024" s="36" t="n">
        <x:f>IF(ISNUMBER(Y3024),ROUND(Y3024*0.8,2),"")</x:f>
        <x:v>24.8</x:v>
      </x:c>
      <x:c r="AE3024" s="36" t="n">
        <x:f>IF(ISNUMBER(AD3024),ROUND(AD3024*0.015+0.2,2),"")</x:f>
        <x:v>0.57</x:v>
      </x:c>
      <x:c r="AF3024" s="36" t="n">
        <x:f>IF(ISNUMBER(AD3024),ROUND(AD3024-AE3024-V3024,2),"")</x:f>
        <x:v>3.23</x:v>
      </x:c>
      <x:c r="AG3024" t="str">
        <x:f>IF(NOT(ISNUMBER(T3024)),"PENDING",IF(AF3024&gt;0,"PASS","FAIL"))</x:f>
        <x:v>PASS</x:v>
      </x:c>
      <x:c r="AH3024" t="str">
        <x:f>IF(NOT(ISNUMBER(T3024)),"Needs supplier cost",IF(K3024&lt;&gt;"In stock","Supplier unavailable",IF(AG3024&lt;&gt;"PASS","BLOCK - GT loss risk","Commercially protected")))</x:f>
        <x:v>Supplier unavailable</x:v>
      </x:c>
      <x:c r="AI3024" t="str">
        <x:v>2026-09-10 Active Sports trade capture</x:v>
      </x:c>
      <x:c r="AJ3024" t="str">
        <x:v>Management-only economics. Stripe stress test uses 1.5% + £0.20 standard UK online-card fee; pallet/mix-and-match pricing ignored.</x:v>
      </x:c>
    </x:row>
    <x:row r="3025">
      <x:c r="A3025" t="str">
        <x:v>Active Sports Nutrition</x:v>
      </x:c>
      <x:c r="B3025" t="str">
        <x:v>USN</x:v>
      </x:c>
      <x:c r="C3025" t="str">
        <x:v>Hyperbolic Mass GH</x:v>
      </x:c>
      <x:c r="D3025" t="str">
        <x:v>Supplements</x:v>
      </x:c>
      <x:c r="E3025" t="str">
        <x:v>Mass Gainer</x:v>
      </x:c>
      <x:c r="F3025" t="str"/>
      <x:c r="G3025" t="str">
        <x:v>2kg</x:v>
      </x:c>
      <x:c r="H3025" t="str">
        <x:v>French Vanilla</x:v>
      </x:c>
      <x:c r="I3025" t="str"/>
      <x:c r="J3025" t="str">
        <x:v>Unit</x:v>
      </x:c>
      <x:c r="K3025" t="str">
        <x:v>In stock</x:v>
      </x:c>
      <x:c r="L3025" t="str">
        <x:v>2026-09-08</x:v>
      </x:c>
      <x:c r="M3025" t="str"/>
      <x:c r="N3025" t="str"/>
      <x:c r="O3025" t="str">
        <x:v>https://www.activesportstrade.co.uk/usn-trade</x:v>
      </x:c>
      <x:c r="P3025" t="str"/>
      <x:c r="Q3025" t="str"/>
      <x:c r="R3025" t="str"/>
      <x:c r="S3025" t="str">
        <x:v>Pending genuine supplier/brand image</x:v>
      </x:c>
      <x:c r="T3025" s="54" t="n">
        <x:v>17.5</x:v>
      </x:c>
      <x:c r="U3025" s="47" t="n">
        <x:v>0.2</x:v>
      </x:c>
      <x:c r="V3025" s="54" t="n">
        <x:f>IF(ISNUMBER(T3025),T3025*(1+U3025),"")</x:f>
        <x:v>21</x:v>
      </x:c>
      <x:c r="W3025" s="47" t="n">
        <x:v>0.3</x:v>
      </x:c>
      <x:c r="X3025" s="54" t="n">
        <x:f>IF(ISNUMBER(V3025),V3025/(1-W3025),"")</x:f>
        <x:v>30.000000000000004</x:v>
      </x:c>
      <x:c r="Y3025" s="55" t="n">
        <x:f>IF(ISNUMBER(X3025),ROUNDUP(X3025,0),"")</x:f>
        <x:v>31</x:v>
      </x:c>
      <x:c r="Z3025" t="str">
        <x:v>Source match pending</x:v>
      </x:c>
      <x:c r="AA3025" t="str">
        <x:v>screencapture-www-activesportstrade-co-uk-usn-trade-2026-09-09-19_02_34.png / page-001</x:v>
      </x:c>
      <x:c r="AB3025" s="36" t="n">
        <x:f>IF(ISNUMBER(Y3025),ROUND(Y3025*0.9,2),"")</x:f>
        <x:v>27.9</x:v>
      </x:c>
      <x:c r="AC3025" s="36" t="n">
        <x:f>IF(ISNUMBER(AB3025),ROUND(AB3025-(AB3025*0.015+0.2)-V3025,2),"")</x:f>
        <x:v>6.28</x:v>
      </x:c>
      <x:c r="AD3025" s="36" t="n">
        <x:f>IF(ISNUMBER(Y3025),ROUND(Y3025*0.8,2),"")</x:f>
        <x:v>24.8</x:v>
      </x:c>
      <x:c r="AE3025" s="36" t="n">
        <x:f>IF(ISNUMBER(AD3025),ROUND(AD3025*0.015+0.2,2),"")</x:f>
        <x:v>0.57</x:v>
      </x:c>
      <x:c r="AF3025" s="36" t="n">
        <x:f>IF(ISNUMBER(AD3025),ROUND(AD3025-AE3025-V3025,2),"")</x:f>
        <x:v>3.23</x:v>
      </x:c>
      <x:c r="AG3025" t="str">
        <x:f>IF(NOT(ISNUMBER(T3025)),"PENDING",IF(AF3025&gt;0,"PASS","FAIL"))</x:f>
        <x:v>PASS</x:v>
      </x:c>
      <x:c r="AH3025" t="str">
        <x:f>IF(NOT(ISNUMBER(T3025)),"Needs supplier cost",IF(K3025&lt;&gt;"In stock","Supplier unavailable",IF(AG3025&lt;&gt;"PASS","BLOCK - GT loss risk","Commercially protected")))</x:f>
        <x:v>Commercially protected</x:v>
      </x:c>
      <x:c r="AI3025" t="str">
        <x:v>2026-09-10 Active Sports trade capture</x:v>
      </x:c>
      <x:c r="AJ3025" t="str">
        <x:v>Management-only economics. Stripe stress test uses 1.5% + £0.20 standard UK online-card fee; pallet/mix-and-match pricing ignored.</x:v>
      </x:c>
    </x:row>
    <x:row r="3026">
      <x:c r="A3026" t="str">
        <x:v>Active Sports Nutrition</x:v>
      </x:c>
      <x:c r="B3026" t="str">
        <x:v>USN</x:v>
      </x:c>
      <x:c r="C3026" t="str">
        <x:v>Hyperbolic Mass GH</x:v>
      </x:c>
      <x:c r="D3026" t="str">
        <x:v>Supplements</x:v>
      </x:c>
      <x:c r="E3026" t="str">
        <x:v>Mass Gainer</x:v>
      </x:c>
      <x:c r="F3026" t="str"/>
      <x:c r="G3026" t="str">
        <x:v>2kg</x:v>
      </x:c>
      <x:c r="H3026" t="str">
        <x:v>Strawberry Cheesecake</x:v>
      </x:c>
      <x:c r="I3026" t="str"/>
      <x:c r="J3026" t="str">
        <x:v>Unit</x:v>
      </x:c>
      <x:c r="K3026" t="str">
        <x:v>In stock</x:v>
      </x:c>
      <x:c r="L3026" t="str">
        <x:v>2026-09-08</x:v>
      </x:c>
      <x:c r="M3026" t="str"/>
      <x:c r="N3026" t="str"/>
      <x:c r="O3026" t="str">
        <x:v>https://www.activesportstrade.co.uk/usn-trade</x:v>
      </x:c>
      <x:c r="P3026" t="str"/>
      <x:c r="Q3026" t="str"/>
      <x:c r="R3026" t="str"/>
      <x:c r="S3026" t="str">
        <x:v>Pending genuine supplier/brand image</x:v>
      </x:c>
      <x:c r="T3026" s="54" t="n">
        <x:v>17.5</x:v>
      </x:c>
      <x:c r="U3026" s="47" t="n">
        <x:v>0.2</x:v>
      </x:c>
      <x:c r="V3026" s="54" t="n">
        <x:f>IF(ISNUMBER(T3026),T3026*(1+U3026),"")</x:f>
        <x:v>21</x:v>
      </x:c>
      <x:c r="W3026" s="47" t="n">
        <x:v>0.3</x:v>
      </x:c>
      <x:c r="X3026" s="54" t="n">
        <x:f>IF(ISNUMBER(V3026),V3026/(1-W3026),"")</x:f>
        <x:v>30.000000000000004</x:v>
      </x:c>
      <x:c r="Y3026" s="55" t="n">
        <x:f>IF(ISNUMBER(X3026),ROUNDUP(X3026,0),"")</x:f>
        <x:v>31</x:v>
      </x:c>
      <x:c r="Z3026" t="str">
        <x:v>Source match pending</x:v>
      </x:c>
      <x:c r="AA3026" t="str">
        <x:v>screencapture-www-activesportstrade-co-uk-usn-trade-2026-09-09-19_02_34.png / page-001</x:v>
      </x:c>
      <x:c r="AB3026" s="36" t="n">
        <x:f>IF(ISNUMBER(Y3026),ROUND(Y3026*0.9,2),"")</x:f>
        <x:v>27.9</x:v>
      </x:c>
      <x:c r="AC3026" s="36" t="n">
        <x:f>IF(ISNUMBER(AB3026),ROUND(AB3026-(AB3026*0.015+0.2)-V3026,2),"")</x:f>
        <x:v>6.28</x:v>
      </x:c>
      <x:c r="AD3026" s="36" t="n">
        <x:f>IF(ISNUMBER(Y3026),ROUND(Y3026*0.8,2),"")</x:f>
        <x:v>24.8</x:v>
      </x:c>
      <x:c r="AE3026" s="36" t="n">
        <x:f>IF(ISNUMBER(AD3026),ROUND(AD3026*0.015+0.2,2),"")</x:f>
        <x:v>0.57</x:v>
      </x:c>
      <x:c r="AF3026" s="36" t="n">
        <x:f>IF(ISNUMBER(AD3026),ROUND(AD3026-AE3026-V3026,2),"")</x:f>
        <x:v>3.23</x:v>
      </x:c>
      <x:c r="AG3026" t="str">
        <x:f>IF(NOT(ISNUMBER(T3026)),"PENDING",IF(AF3026&gt;0,"PASS","FAIL"))</x:f>
        <x:v>PASS</x:v>
      </x:c>
      <x:c r="AH3026" t="str">
        <x:f>IF(NOT(ISNUMBER(T3026)),"Needs supplier cost",IF(K3026&lt;&gt;"In stock","Supplier unavailable",IF(AG3026&lt;&gt;"PASS","BLOCK - GT loss risk","Commercially protected")))</x:f>
        <x:v>Commercially protected</x:v>
      </x:c>
      <x:c r="AI3026" t="str">
        <x:v>2026-09-10 Active Sports trade capture</x:v>
      </x:c>
      <x:c r="AJ3026" t="str">
        <x:v>Management-only economics. Stripe stress test uses 1.5% + £0.20 standard UK online-card fee; pallet/mix-and-match pricing ignored.</x:v>
      </x:c>
    </x:row>
    <x:row r="3027">
      <x:c r="A3027" t="str">
        <x:v>Active Sports Nutrition</x:v>
      </x:c>
      <x:c r="B3027" t="str">
        <x:v>USN</x:v>
      </x:c>
      <x:c r="C3027" t="str">
        <x:v>Muscle Fuel Anabolic</x:v>
      </x:c>
      <x:c r="D3027" t="str">
        <x:v>Supplements</x:v>
      </x:c>
      <x:c r="E3027" t="str">
        <x:v>All in One / Mass</x:v>
      </x:c>
      <x:c r="F3027" t="str"/>
      <x:c r="G3027" t="str">
        <x:v>2kg</x:v>
      </x:c>
      <x:c r="H3027" t="str">
        <x:v>Banana</x:v>
      </x:c>
      <x:c r="I3027" t="str"/>
      <x:c r="J3027" t="str">
        <x:v>Unit</x:v>
      </x:c>
      <x:c r="K3027" t="str">
        <x:v>In stock</x:v>
      </x:c>
      <x:c r="L3027" t="str">
        <x:v>2026-09-08</x:v>
      </x:c>
      <x:c r="M3027" t="str"/>
      <x:c r="N3027" t="str"/>
      <x:c r="O3027" t="str">
        <x:v>https://www.activesportstrade.co.uk/usn-trade</x:v>
      </x:c>
      <x:c r="P3027" t="str">
        <x:v>Exact current brand-page naming retained; no inferred flavour normalisation.</x:v>
      </x:c>
      <x:c r="Q3027" t="str"/>
      <x:c r="R3027" t="str"/>
      <x:c r="S3027" t="str">
        <x:v>Pending genuine supplier/brand image</x:v>
      </x:c>
      <x:c r="T3027" s="54" t="n">
        <x:v>22.3</x:v>
      </x:c>
      <x:c r="U3027" s="47" t="n">
        <x:v>0.2</x:v>
      </x:c>
      <x:c r="V3027" s="54" t="n">
        <x:f>IF(ISNUMBER(T3027),T3027*(1+U3027),"")</x:f>
        <x:v>26.76</x:v>
      </x:c>
      <x:c r="W3027" s="47" t="n">
        <x:v>0.3</x:v>
      </x:c>
      <x:c r="X3027" s="54" t="n">
        <x:f>IF(ISNUMBER(V3027),V3027/(1-W3027),"")</x:f>
        <x:v>38.228571428571435</x:v>
      </x:c>
      <x:c r="Y3027" s="55" t="n">
        <x:f>IF(ISNUMBER(X3027),ROUNDUP(X3027,0),"")</x:f>
        <x:v>39</x:v>
      </x:c>
      <x:c r="Z3027" t="str">
        <x:v>Source match pending</x:v>
      </x:c>
      <x:c r="AA3027" t="str">
        <x:v>screencapture-www-activesportstrade-co-uk-usn-trade-2026-09-09-19_02_34.png / page-001</x:v>
      </x:c>
      <x:c r="AB3027" s="36" t="n">
        <x:f>IF(ISNUMBER(Y3027),ROUND(Y3027*0.9,2),"")</x:f>
        <x:v>35.1</x:v>
      </x:c>
      <x:c r="AC3027" s="36" t="n">
        <x:f>IF(ISNUMBER(AB3027),ROUND(AB3027-(AB3027*0.015+0.2)-V3027,2),"")</x:f>
        <x:v>7.61</x:v>
      </x:c>
      <x:c r="AD3027" s="36" t="n">
        <x:f>IF(ISNUMBER(Y3027),ROUND(Y3027*0.8,2),"")</x:f>
        <x:v>31.2</x:v>
      </x:c>
      <x:c r="AE3027" s="36" t="n">
        <x:f>IF(ISNUMBER(AD3027),ROUND(AD3027*0.015+0.2,2),"")</x:f>
        <x:v>0.67</x:v>
      </x:c>
      <x:c r="AF3027" s="36" t="n">
        <x:f>IF(ISNUMBER(AD3027),ROUND(AD3027-AE3027-V3027,2),"")</x:f>
        <x:v>3.77</x:v>
      </x:c>
      <x:c r="AG3027" t="str">
        <x:f>IF(NOT(ISNUMBER(T3027)),"PENDING",IF(AF3027&gt;0,"PASS","FAIL"))</x:f>
        <x:v>PASS</x:v>
      </x:c>
      <x:c r="AH3027" t="str">
        <x:f>IF(NOT(ISNUMBER(T3027)),"Needs supplier cost",IF(K3027&lt;&gt;"In stock","Supplier unavailable",IF(AG3027&lt;&gt;"PASS","BLOCK - GT loss risk","Commercially protected")))</x:f>
        <x:v>Commercially protected</x:v>
      </x:c>
      <x:c r="AI3027" t="str">
        <x:v>2026-09-10 Active Sports trade capture</x:v>
      </x:c>
      <x:c r="AJ3027" t="str">
        <x:v>Management-only economics. Stripe stress test uses 1.5% + £0.20 standard UK online-card fee; pallet/mix-and-match pricing ignored.</x:v>
      </x:c>
    </x:row>
    <x:row r="3028">
      <x:c r="A3028" t="str">
        <x:v>Active Sports Nutrition</x:v>
      </x:c>
      <x:c r="B3028" t="str">
        <x:v>USN</x:v>
      </x:c>
      <x:c r="C3028" t="str">
        <x:v>Muscle Fuel Anabolic</x:v>
      </x:c>
      <x:c r="D3028" t="str">
        <x:v>Supplements</x:v>
      </x:c>
      <x:c r="E3028" t="str">
        <x:v>All in One / Mass</x:v>
      </x:c>
      <x:c r="F3028" t="str"/>
      <x:c r="G3028" t="str">
        <x:v>2kg</x:v>
      </x:c>
      <x:c r="H3028" t="str">
        <x:v>Caramel Peanut</x:v>
      </x:c>
      <x:c r="I3028" t="str"/>
      <x:c r="J3028" t="str">
        <x:v>Unit</x:v>
      </x:c>
      <x:c r="K3028" t="str">
        <x:v>Out of stock</x:v>
      </x:c>
      <x:c r="L3028" t="str">
        <x:v>2026-09-08</x:v>
      </x:c>
      <x:c r="M3028" t="str"/>
      <x:c r="N3028" t="str"/>
      <x:c r="O3028" t="str">
        <x:v>https://www.activesportstrade.co.uk/usn-trade</x:v>
      </x:c>
      <x:c r="P3028" t="str">
        <x:v>Exact current brand-page naming retained; no inferred flavour normalisation.</x:v>
      </x:c>
      <x:c r="Q3028" t="str"/>
      <x:c r="R3028" t="str"/>
      <x:c r="S3028" t="str">
        <x:v>Pending genuine supplier/brand image</x:v>
      </x:c>
      <x:c r="T3028" s="54" t="n">
        <x:v>22.3</x:v>
      </x:c>
      <x:c r="U3028" s="47" t="n">
        <x:v>0.2</x:v>
      </x:c>
      <x:c r="V3028" s="54" t="n">
        <x:f>IF(ISNUMBER(T3028),T3028*(1+U3028),"")</x:f>
        <x:v>26.76</x:v>
      </x:c>
      <x:c r="W3028" s="47" t="n">
        <x:v>0.3</x:v>
      </x:c>
      <x:c r="X3028" s="54" t="n">
        <x:f>IF(ISNUMBER(V3028),V3028/(1-W3028),"")</x:f>
        <x:v>38.228571428571435</x:v>
      </x:c>
      <x:c r="Y3028" s="55" t="n">
        <x:f>IF(ISNUMBER(X3028),ROUNDUP(X3028,0),"")</x:f>
        <x:v>39</x:v>
      </x:c>
      <x:c r="Z3028" t="str">
        <x:v>Source match pending</x:v>
      </x:c>
      <x:c r="AA3028" t="str">
        <x:v>screencapture-www-activesportstrade-co-uk-usn-trade-2026-09-09-19_02_34.png / page-001</x:v>
      </x:c>
      <x:c r="AB3028" s="36" t="n">
        <x:f>IF(ISNUMBER(Y3028),ROUND(Y3028*0.9,2),"")</x:f>
        <x:v>35.1</x:v>
      </x:c>
      <x:c r="AC3028" s="36" t="n">
        <x:f>IF(ISNUMBER(AB3028),ROUND(AB3028-(AB3028*0.015+0.2)-V3028,2),"")</x:f>
        <x:v>7.61</x:v>
      </x:c>
      <x:c r="AD3028" s="36" t="n">
        <x:f>IF(ISNUMBER(Y3028),ROUND(Y3028*0.8,2),"")</x:f>
        <x:v>31.2</x:v>
      </x:c>
      <x:c r="AE3028" s="36" t="n">
        <x:f>IF(ISNUMBER(AD3028),ROUND(AD3028*0.015+0.2,2),"")</x:f>
        <x:v>0.67</x:v>
      </x:c>
      <x:c r="AF3028" s="36" t="n">
        <x:f>IF(ISNUMBER(AD3028),ROUND(AD3028-AE3028-V3028,2),"")</x:f>
        <x:v>3.77</x:v>
      </x:c>
      <x:c r="AG3028" t="str">
        <x:f>IF(NOT(ISNUMBER(T3028)),"PENDING",IF(AF3028&gt;0,"PASS","FAIL"))</x:f>
        <x:v>PASS</x:v>
      </x:c>
      <x:c r="AH3028" t="str">
        <x:f>IF(NOT(ISNUMBER(T3028)),"Needs supplier cost",IF(K3028&lt;&gt;"In stock","Supplier unavailable",IF(AG3028&lt;&gt;"PASS","BLOCK - GT loss risk","Commercially protected")))</x:f>
        <x:v>Supplier unavailable</x:v>
      </x:c>
      <x:c r="AI3028" t="str">
        <x:v>2026-09-10 Active Sports trade capture</x:v>
      </x:c>
      <x:c r="AJ3028" t="str">
        <x:v>Management-only economics. Stripe stress test uses 1.5% + £0.20 standard UK online-card fee; pallet/mix-and-match pricing ignored.</x:v>
      </x:c>
    </x:row>
    <x:row r="3029">
      <x:c r="A3029" t="str">
        <x:v>Active Sports Nutrition</x:v>
      </x:c>
      <x:c r="B3029" t="str">
        <x:v>USN</x:v>
      </x:c>
      <x:c r="C3029" t="str">
        <x:v>Muscle Fuel Anabolic</x:v>
      </x:c>
      <x:c r="D3029" t="str">
        <x:v>Supplements</x:v>
      </x:c>
      <x:c r="E3029" t="str">
        <x:v>All in One / Mass</x:v>
      </x:c>
      <x:c r="F3029" t="str"/>
      <x:c r="G3029" t="str">
        <x:v>2kg</x:v>
      </x:c>
      <x:c r="H3029" t="str">
        <x:v>Chocolate</x:v>
      </x:c>
      <x:c r="I3029" t="str"/>
      <x:c r="J3029" t="str">
        <x:v>Unit</x:v>
      </x:c>
      <x:c r="K3029" t="str">
        <x:v>Out of stock</x:v>
      </x:c>
      <x:c r="L3029" t="str">
        <x:v>2026-09-08</x:v>
      </x:c>
      <x:c r="M3029" t="str"/>
      <x:c r="N3029" t="str"/>
      <x:c r="O3029" t="str">
        <x:v>https://www.activesportstrade.co.uk/usn-trade</x:v>
      </x:c>
      <x:c r="P3029" t="str">
        <x:v>Exact current brand-page naming retained; no inferred flavour normalisation.</x:v>
      </x:c>
      <x:c r="Q3029" t="str"/>
      <x:c r="R3029" t="str"/>
      <x:c r="S3029" t="str">
        <x:v>Pending genuine supplier/brand image</x:v>
      </x:c>
      <x:c r="T3029" s="54" t="n">
        <x:v>22.3</x:v>
      </x:c>
      <x:c r="U3029" s="47" t="n">
        <x:v>0.2</x:v>
      </x:c>
      <x:c r="V3029" s="54" t="n">
        <x:f>IF(ISNUMBER(T3029),T3029*(1+U3029),"")</x:f>
        <x:v>26.76</x:v>
      </x:c>
      <x:c r="W3029" s="47" t="n">
        <x:v>0.3</x:v>
      </x:c>
      <x:c r="X3029" s="54" t="n">
        <x:f>IF(ISNUMBER(V3029),V3029/(1-W3029),"")</x:f>
        <x:v>38.228571428571435</x:v>
      </x:c>
      <x:c r="Y3029" s="55" t="n">
        <x:f>IF(ISNUMBER(X3029),ROUNDUP(X3029,0),"")</x:f>
        <x:v>39</x:v>
      </x:c>
      <x:c r="Z3029" t="str">
        <x:v>Source match pending</x:v>
      </x:c>
      <x:c r="AA3029" t="str">
        <x:v>screencapture-www-activesportstrade-co-uk-usn-trade-2026-09-09-19_02_34.png / page-001</x:v>
      </x:c>
      <x:c r="AB3029" s="36" t="n">
        <x:f>IF(ISNUMBER(Y3029),ROUND(Y3029*0.9,2),"")</x:f>
        <x:v>35.1</x:v>
      </x:c>
      <x:c r="AC3029" s="36" t="n">
        <x:f>IF(ISNUMBER(AB3029),ROUND(AB3029-(AB3029*0.015+0.2)-V3029,2),"")</x:f>
        <x:v>7.61</x:v>
      </x:c>
      <x:c r="AD3029" s="36" t="n">
        <x:f>IF(ISNUMBER(Y3029),ROUND(Y3029*0.8,2),"")</x:f>
        <x:v>31.2</x:v>
      </x:c>
      <x:c r="AE3029" s="36" t="n">
        <x:f>IF(ISNUMBER(AD3029),ROUND(AD3029*0.015+0.2,2),"")</x:f>
        <x:v>0.67</x:v>
      </x:c>
      <x:c r="AF3029" s="36" t="n">
        <x:f>IF(ISNUMBER(AD3029),ROUND(AD3029-AE3029-V3029,2),"")</x:f>
        <x:v>3.77</x:v>
      </x:c>
      <x:c r="AG3029" t="str">
        <x:f>IF(NOT(ISNUMBER(T3029)),"PENDING",IF(AF3029&gt;0,"PASS","FAIL"))</x:f>
        <x:v>PASS</x:v>
      </x:c>
      <x:c r="AH3029" t="str">
        <x:f>IF(NOT(ISNUMBER(T3029)),"Needs supplier cost",IF(K3029&lt;&gt;"In stock","Supplier unavailable",IF(AG3029&lt;&gt;"PASS","BLOCK - GT loss risk","Commercially protected")))</x:f>
        <x:v>Supplier unavailable</x:v>
      </x:c>
      <x:c r="AI3029" t="str">
        <x:v>2026-09-10 Active Sports trade capture</x:v>
      </x:c>
      <x:c r="AJ3029" t="str">
        <x:v>Management-only economics. Stripe stress test uses 1.5% + £0.20 standard UK online-card fee; pallet/mix-and-match pricing ignored.</x:v>
      </x:c>
    </x:row>
    <x:row r="3030">
      <x:c r="A3030" t="str">
        <x:v>Active Sports Nutrition</x:v>
      </x:c>
      <x:c r="B3030" t="str">
        <x:v>USN</x:v>
      </x:c>
      <x:c r="C3030" t="str">
        <x:v>Muscle Fuel Anabolic</x:v>
      </x:c>
      <x:c r="D3030" t="str">
        <x:v>Supplements</x:v>
      </x:c>
      <x:c r="E3030" t="str">
        <x:v>All in One / Mass</x:v>
      </x:c>
      <x:c r="F3030" t="str"/>
      <x:c r="G3030" t="str">
        <x:v>2kg</x:v>
      </x:c>
      <x:c r="H3030" t="str">
        <x:v>Chocolate Caramel</x:v>
      </x:c>
      <x:c r="I3030" t="str"/>
      <x:c r="J3030" t="str">
        <x:v>Unit</x:v>
      </x:c>
      <x:c r="K3030" t="str">
        <x:v>Out of stock</x:v>
      </x:c>
      <x:c r="L3030" t="str">
        <x:v>2026-09-08</x:v>
      </x:c>
      <x:c r="M3030" t="str"/>
      <x:c r="N3030" t="str"/>
      <x:c r="O3030" t="str">
        <x:v>https://www.activesportstrade.co.uk/usn-trade</x:v>
      </x:c>
      <x:c r="P3030" t="str">
        <x:v>Exact current brand-page naming retained; no inferred flavour normalisation.</x:v>
      </x:c>
      <x:c r="Q3030" t="str"/>
      <x:c r="R3030" t="str"/>
      <x:c r="S3030" t="str">
        <x:v>Pending genuine supplier/brand image</x:v>
      </x:c>
      <x:c r="T3030" s="54" t="n">
        <x:v>22.3</x:v>
      </x:c>
      <x:c r="U3030" s="47" t="n">
        <x:v>0.2</x:v>
      </x:c>
      <x:c r="V3030" s="54" t="n">
        <x:f>IF(ISNUMBER(T3030),T3030*(1+U3030),"")</x:f>
        <x:v>26.76</x:v>
      </x:c>
      <x:c r="W3030" s="47" t="n">
        <x:v>0.3</x:v>
      </x:c>
      <x:c r="X3030" s="54" t="n">
        <x:f>IF(ISNUMBER(V3030),V3030/(1-W3030),"")</x:f>
        <x:v>38.228571428571435</x:v>
      </x:c>
      <x:c r="Y3030" s="55" t="n">
        <x:f>IF(ISNUMBER(X3030),ROUNDUP(X3030,0),"")</x:f>
        <x:v>39</x:v>
      </x:c>
      <x:c r="Z3030" t="str">
        <x:v>Source match pending</x:v>
      </x:c>
      <x:c r="AA3030" t="str">
        <x:v>screencapture-www-activesportstrade-co-uk-usn-trade-2026-09-09-19_02_34.png / page-001</x:v>
      </x:c>
      <x:c r="AB3030" s="36" t="n">
        <x:f>IF(ISNUMBER(Y3030),ROUND(Y3030*0.9,2),"")</x:f>
        <x:v>35.1</x:v>
      </x:c>
      <x:c r="AC3030" s="36" t="n">
        <x:f>IF(ISNUMBER(AB3030),ROUND(AB3030-(AB3030*0.015+0.2)-V3030,2),"")</x:f>
        <x:v>7.61</x:v>
      </x:c>
      <x:c r="AD3030" s="36" t="n">
        <x:f>IF(ISNUMBER(Y3030),ROUND(Y3030*0.8,2),"")</x:f>
        <x:v>31.2</x:v>
      </x:c>
      <x:c r="AE3030" s="36" t="n">
        <x:f>IF(ISNUMBER(AD3030),ROUND(AD3030*0.015+0.2,2),"")</x:f>
        <x:v>0.67</x:v>
      </x:c>
      <x:c r="AF3030" s="36" t="n">
        <x:f>IF(ISNUMBER(AD3030),ROUND(AD3030-AE3030-V3030,2),"")</x:f>
        <x:v>3.77</x:v>
      </x:c>
      <x:c r="AG3030" t="str">
        <x:f>IF(NOT(ISNUMBER(T3030)),"PENDING",IF(AF3030&gt;0,"PASS","FAIL"))</x:f>
        <x:v>PASS</x:v>
      </x:c>
      <x:c r="AH3030" t="str">
        <x:f>IF(NOT(ISNUMBER(T3030)),"Needs supplier cost",IF(K3030&lt;&gt;"In stock","Supplier unavailable",IF(AG3030&lt;&gt;"PASS","BLOCK - GT loss risk","Commercially protected")))</x:f>
        <x:v>Supplier unavailable</x:v>
      </x:c>
      <x:c r="AI3030" t="str">
        <x:v>2026-09-10 Active Sports trade capture</x:v>
      </x:c>
      <x:c r="AJ3030" t="str">
        <x:v>Management-only economics. Stripe stress test uses 1.5% + £0.20 standard UK online-card fee; pallet/mix-and-match pricing ignored.</x:v>
      </x:c>
    </x:row>
    <x:row r="3031">
      <x:c r="A3031" t="str">
        <x:v>Active Sports Nutrition</x:v>
      </x:c>
      <x:c r="B3031" t="str">
        <x:v>USN</x:v>
      </x:c>
      <x:c r="C3031" t="str">
        <x:v>Muscle Fuel Anabolic</x:v>
      </x:c>
      <x:c r="D3031" t="str">
        <x:v>Supplements</x:v>
      </x:c>
      <x:c r="E3031" t="str">
        <x:v>All in One / Mass</x:v>
      </x:c>
      <x:c r="F3031" t="str"/>
      <x:c r="G3031" t="str">
        <x:v>2kg</x:v>
      </x:c>
      <x:c r="H3031" t="str">
        <x:v>Cookies &amp; Cream</x:v>
      </x:c>
      <x:c r="I3031" t="str"/>
      <x:c r="J3031" t="str">
        <x:v>Unit</x:v>
      </x:c>
      <x:c r="K3031" t="str">
        <x:v>Out of stock</x:v>
      </x:c>
      <x:c r="L3031" t="str">
        <x:v>2026-09-08</x:v>
      </x:c>
      <x:c r="M3031" t="str"/>
      <x:c r="N3031" t="str"/>
      <x:c r="O3031" t="str">
        <x:v>https://www.activesportstrade.co.uk/usn-trade</x:v>
      </x:c>
      <x:c r="P3031" t="str">
        <x:v>Exact current brand-page naming retained; no inferred flavour normalisation.</x:v>
      </x:c>
      <x:c r="Q3031" t="str"/>
      <x:c r="R3031" t="str"/>
      <x:c r="S3031" t="str">
        <x:v>Pending genuine supplier/brand image</x:v>
      </x:c>
      <x:c r="T3031" s="54" t="n">
        <x:v>22.3</x:v>
      </x:c>
      <x:c r="U3031" s="47" t="n">
        <x:v>0.2</x:v>
      </x:c>
      <x:c r="V3031" s="54" t="n">
        <x:f>IF(ISNUMBER(T3031),T3031*(1+U3031),"")</x:f>
        <x:v>26.76</x:v>
      </x:c>
      <x:c r="W3031" s="47" t="n">
        <x:v>0.3</x:v>
      </x:c>
      <x:c r="X3031" s="54" t="n">
        <x:f>IF(ISNUMBER(V3031),V3031/(1-W3031),"")</x:f>
        <x:v>38.228571428571435</x:v>
      </x:c>
      <x:c r="Y3031" s="55" t="n">
        <x:f>IF(ISNUMBER(X3031),ROUNDUP(X3031,0),"")</x:f>
        <x:v>39</x:v>
      </x:c>
      <x:c r="Z3031" t="str">
        <x:v>Source match pending</x:v>
      </x:c>
      <x:c r="AA3031" t="str">
        <x:v>screencapture-www-activesportstrade-co-uk-usn-trade-2026-09-09-19_02_34.png / page-001</x:v>
      </x:c>
      <x:c r="AB3031" s="36" t="n">
        <x:f>IF(ISNUMBER(Y3031),ROUND(Y3031*0.9,2),"")</x:f>
        <x:v>35.1</x:v>
      </x:c>
      <x:c r="AC3031" s="36" t="n">
        <x:f>IF(ISNUMBER(AB3031),ROUND(AB3031-(AB3031*0.015+0.2)-V3031,2),"")</x:f>
        <x:v>7.61</x:v>
      </x:c>
      <x:c r="AD3031" s="36" t="n">
        <x:f>IF(ISNUMBER(Y3031),ROUND(Y3031*0.8,2),"")</x:f>
        <x:v>31.2</x:v>
      </x:c>
      <x:c r="AE3031" s="36" t="n">
        <x:f>IF(ISNUMBER(AD3031),ROUND(AD3031*0.015+0.2,2),"")</x:f>
        <x:v>0.67</x:v>
      </x:c>
      <x:c r="AF3031" s="36" t="n">
        <x:f>IF(ISNUMBER(AD3031),ROUND(AD3031-AE3031-V3031,2),"")</x:f>
        <x:v>3.77</x:v>
      </x:c>
      <x:c r="AG3031" t="str">
        <x:f>IF(NOT(ISNUMBER(T3031)),"PENDING",IF(AF3031&gt;0,"PASS","FAIL"))</x:f>
        <x:v>PASS</x:v>
      </x:c>
      <x:c r="AH3031" t="str">
        <x:f>IF(NOT(ISNUMBER(T3031)),"Needs supplier cost",IF(K3031&lt;&gt;"In stock","Supplier unavailable",IF(AG3031&lt;&gt;"PASS","BLOCK - GT loss risk","Commercially protected")))</x:f>
        <x:v>Supplier unavailable</x:v>
      </x:c>
      <x:c r="AI3031" t="str">
        <x:v>2026-09-10 Active Sports trade capture</x:v>
      </x:c>
      <x:c r="AJ3031" t="str">
        <x:v>Management-only economics. Stripe stress test uses 1.5% + £0.20 standard UK online-card fee; pallet/mix-and-match pricing ignored.</x:v>
      </x:c>
    </x:row>
    <x:row r="3032">
      <x:c r="A3032" t="str">
        <x:v>Active Sports Nutrition</x:v>
      </x:c>
      <x:c r="B3032" t="str">
        <x:v>USN</x:v>
      </x:c>
      <x:c r="C3032" t="str">
        <x:v>Muscle Fuel Anabolic</x:v>
      </x:c>
      <x:c r="D3032" t="str">
        <x:v>Supplements</x:v>
      </x:c>
      <x:c r="E3032" t="str">
        <x:v>All in One / Mass</x:v>
      </x:c>
      <x:c r="F3032" t="str"/>
      <x:c r="G3032" t="str">
        <x:v>2kg</x:v>
      </x:c>
      <x:c r="H3032" t="str">
        <x:v>Strawberry</x:v>
      </x:c>
      <x:c r="I3032" t="str"/>
      <x:c r="J3032" t="str">
        <x:v>Unit</x:v>
      </x:c>
      <x:c r="K3032" t="str">
        <x:v>Out of stock</x:v>
      </x:c>
      <x:c r="L3032" t="str">
        <x:v>2026-09-08</x:v>
      </x:c>
      <x:c r="M3032" t="str"/>
      <x:c r="N3032" t="str"/>
      <x:c r="O3032" t="str">
        <x:v>https://www.activesportstrade.co.uk/usn-trade</x:v>
      </x:c>
      <x:c r="P3032" t="str">
        <x:v>Exact current brand-page naming retained; no inferred flavour normalisation.</x:v>
      </x:c>
      <x:c r="Q3032" t="str"/>
      <x:c r="R3032" t="str"/>
      <x:c r="S3032" t="str">
        <x:v>Pending genuine supplier/brand image</x:v>
      </x:c>
      <x:c r="T3032" s="54" t="n">
        <x:v>22.3</x:v>
      </x:c>
      <x:c r="U3032" s="47" t="n">
        <x:v>0.2</x:v>
      </x:c>
      <x:c r="V3032" s="54" t="n">
        <x:f>IF(ISNUMBER(T3032),T3032*(1+U3032),"")</x:f>
        <x:v>26.76</x:v>
      </x:c>
      <x:c r="W3032" s="47" t="n">
        <x:v>0.3</x:v>
      </x:c>
      <x:c r="X3032" s="54" t="n">
        <x:f>IF(ISNUMBER(V3032),V3032/(1-W3032),"")</x:f>
        <x:v>38.228571428571435</x:v>
      </x:c>
      <x:c r="Y3032" s="55" t="n">
        <x:f>IF(ISNUMBER(X3032),ROUNDUP(X3032,0),"")</x:f>
        <x:v>39</x:v>
      </x:c>
      <x:c r="Z3032" t="str">
        <x:v>Source match pending</x:v>
      </x:c>
      <x:c r="AA3032" t="str">
        <x:v>screencapture-www-activesportstrade-co-uk-usn-trade-2026-09-09-19_02_34.png / page-001</x:v>
      </x:c>
      <x:c r="AB3032" s="36" t="n">
        <x:f>IF(ISNUMBER(Y3032),ROUND(Y3032*0.9,2),"")</x:f>
        <x:v>35.1</x:v>
      </x:c>
      <x:c r="AC3032" s="36" t="n">
        <x:f>IF(ISNUMBER(AB3032),ROUND(AB3032-(AB3032*0.015+0.2)-V3032,2),"")</x:f>
        <x:v>7.61</x:v>
      </x:c>
      <x:c r="AD3032" s="36" t="n">
        <x:f>IF(ISNUMBER(Y3032),ROUND(Y3032*0.8,2),"")</x:f>
        <x:v>31.2</x:v>
      </x:c>
      <x:c r="AE3032" s="36" t="n">
        <x:f>IF(ISNUMBER(AD3032),ROUND(AD3032*0.015+0.2,2),"")</x:f>
        <x:v>0.67</x:v>
      </x:c>
      <x:c r="AF3032" s="36" t="n">
        <x:f>IF(ISNUMBER(AD3032),ROUND(AD3032-AE3032-V3032,2),"")</x:f>
        <x:v>3.77</x:v>
      </x:c>
      <x:c r="AG3032" t="str">
        <x:f>IF(NOT(ISNUMBER(T3032)),"PENDING",IF(AF3032&gt;0,"PASS","FAIL"))</x:f>
        <x:v>PASS</x:v>
      </x:c>
      <x:c r="AH3032" t="str">
        <x:f>IF(NOT(ISNUMBER(T3032)),"Needs supplier cost",IF(K3032&lt;&gt;"In stock","Supplier unavailable",IF(AG3032&lt;&gt;"PASS","BLOCK - GT loss risk","Commercially protected")))</x:f>
        <x:v>Supplier unavailable</x:v>
      </x:c>
      <x:c r="AI3032" t="str">
        <x:v>2026-09-10 Active Sports trade capture</x:v>
      </x:c>
      <x:c r="AJ3032" t="str">
        <x:v>Management-only economics. Stripe stress test uses 1.5% + £0.20 standard UK online-card fee; pallet/mix-and-match pricing ignored.</x:v>
      </x:c>
    </x:row>
    <x:row r="3033">
      <x:c r="A3033" t="str">
        <x:v>Active Sports Nutrition</x:v>
      </x:c>
      <x:c r="B3033" t="str">
        <x:v>USN</x:v>
      </x:c>
      <x:c r="C3033" t="str">
        <x:v>Muscle Fuel Anabolic</x:v>
      </x:c>
      <x:c r="D3033" t="str">
        <x:v>Supplements</x:v>
      </x:c>
      <x:c r="E3033" t="str">
        <x:v>All in One / Mass</x:v>
      </x:c>
      <x:c r="F3033" t="str"/>
      <x:c r="G3033" t="str">
        <x:v>2kg</x:v>
      </x:c>
      <x:c r="H3033" t="str">
        <x:v>Vanilla</x:v>
      </x:c>
      <x:c r="I3033" t="str"/>
      <x:c r="J3033" t="str">
        <x:v>Unit</x:v>
      </x:c>
      <x:c r="K3033" t="str">
        <x:v>In stock</x:v>
      </x:c>
      <x:c r="L3033" t="str">
        <x:v>2026-09-08</x:v>
      </x:c>
      <x:c r="M3033" t="str"/>
      <x:c r="N3033" t="str"/>
      <x:c r="O3033" t="str">
        <x:v>https://www.activesportstrade.co.uk/usn-trade</x:v>
      </x:c>
      <x:c r="P3033" t="str">
        <x:v>Exact current brand-page naming retained; no inferred flavour normalisation.</x:v>
      </x:c>
      <x:c r="Q3033" t="str"/>
      <x:c r="R3033" t="str"/>
      <x:c r="S3033" t="str">
        <x:v>Pending genuine supplier/brand image</x:v>
      </x:c>
      <x:c r="T3033" s="54" t="n">
        <x:v>22.3</x:v>
      </x:c>
      <x:c r="U3033" s="47" t="n">
        <x:v>0.2</x:v>
      </x:c>
      <x:c r="V3033" s="54" t="n">
        <x:f>IF(ISNUMBER(T3033),T3033*(1+U3033),"")</x:f>
        <x:v>26.76</x:v>
      </x:c>
      <x:c r="W3033" s="47" t="n">
        <x:v>0.3</x:v>
      </x:c>
      <x:c r="X3033" s="54" t="n">
        <x:f>IF(ISNUMBER(V3033),V3033/(1-W3033),"")</x:f>
        <x:v>38.228571428571435</x:v>
      </x:c>
      <x:c r="Y3033" s="55" t="n">
        <x:f>IF(ISNUMBER(X3033),ROUNDUP(X3033,0),"")</x:f>
        <x:v>39</x:v>
      </x:c>
      <x:c r="Z3033" t="str">
        <x:v>Source match pending</x:v>
      </x:c>
      <x:c r="AA3033" t="str">
        <x:v>screencapture-www-activesportstrade-co-uk-usn-trade-2026-09-09-19_02_34.png / page-001</x:v>
      </x:c>
      <x:c r="AB3033" s="36" t="n">
        <x:f>IF(ISNUMBER(Y3033),ROUND(Y3033*0.9,2),"")</x:f>
        <x:v>35.1</x:v>
      </x:c>
      <x:c r="AC3033" s="36" t="n">
        <x:f>IF(ISNUMBER(AB3033),ROUND(AB3033-(AB3033*0.015+0.2)-V3033,2),"")</x:f>
        <x:v>7.61</x:v>
      </x:c>
      <x:c r="AD3033" s="36" t="n">
        <x:f>IF(ISNUMBER(Y3033),ROUND(Y3033*0.8,2),"")</x:f>
        <x:v>31.2</x:v>
      </x:c>
      <x:c r="AE3033" s="36" t="n">
        <x:f>IF(ISNUMBER(AD3033),ROUND(AD3033*0.015+0.2,2),"")</x:f>
        <x:v>0.67</x:v>
      </x:c>
      <x:c r="AF3033" s="36" t="n">
        <x:f>IF(ISNUMBER(AD3033),ROUND(AD3033-AE3033-V3033,2),"")</x:f>
        <x:v>3.77</x:v>
      </x:c>
      <x:c r="AG3033" t="str">
        <x:f>IF(NOT(ISNUMBER(T3033)),"PENDING",IF(AF3033&gt;0,"PASS","FAIL"))</x:f>
        <x:v>PASS</x:v>
      </x:c>
      <x:c r="AH3033" t="str">
        <x:f>IF(NOT(ISNUMBER(T3033)),"Needs supplier cost",IF(K3033&lt;&gt;"In stock","Supplier unavailable",IF(AG3033&lt;&gt;"PASS","BLOCK - GT loss risk","Commercially protected")))</x:f>
        <x:v>Commercially protected</x:v>
      </x:c>
      <x:c r="AI3033" t="str">
        <x:v>2026-09-10 Active Sports trade capture</x:v>
      </x:c>
      <x:c r="AJ3033" t="str">
        <x:v>Management-only economics. Stripe stress test uses 1.5% + £0.20 standard UK online-card fee; pallet/mix-and-match pricing ignored.</x:v>
      </x:c>
    </x:row>
    <x:row r="3034">
      <x:c r="A3034" t="str">
        <x:v>Active Sports Nutrition</x:v>
      </x:c>
      <x:c r="B3034" t="str">
        <x:v>USN</x:v>
      </x:c>
      <x:c r="C3034" t="str">
        <x:v>Muscle Fuel Anabolic</x:v>
      </x:c>
      <x:c r="D3034" t="str">
        <x:v>Supplements</x:v>
      </x:c>
      <x:c r="E3034" t="str">
        <x:v>All in One / Mass</x:v>
      </x:c>
      <x:c r="F3034" t="str"/>
      <x:c r="G3034" t="str">
        <x:v>4kg</x:v>
      </x:c>
      <x:c r="H3034" t="str">
        <x:v>Banana</x:v>
      </x:c>
      <x:c r="I3034" t="str"/>
      <x:c r="J3034" t="str">
        <x:v>Unit</x:v>
      </x:c>
      <x:c r="K3034" t="str">
        <x:v>In stock</x:v>
      </x:c>
      <x:c r="L3034" t="str">
        <x:v>2026-09-08</x:v>
      </x:c>
      <x:c r="M3034" t="str"/>
      <x:c r="N3034" t="str"/>
      <x:c r="O3034" t="str">
        <x:v>https://www.activesportstrade.co.uk/usn-trade</x:v>
      </x:c>
      <x:c r="P3034" t="str"/>
      <x:c r="Q3034" t="str"/>
      <x:c r="R3034" t="str"/>
      <x:c r="S3034" t="str">
        <x:v>Pending genuine supplier/brand image</x:v>
      </x:c>
      <x:c r="T3034" s="54" t="n">
        <x:v>42.86</x:v>
      </x:c>
      <x:c r="U3034" s="47" t="n">
        <x:v>0.2</x:v>
      </x:c>
      <x:c r="V3034" s="54" t="n">
        <x:f>IF(ISNUMBER(T3034),T3034*(1+U3034),"")</x:f>
        <x:v>51.431999999999995</x:v>
      </x:c>
      <x:c r="W3034" s="47" t="n">
        <x:v>0.3</x:v>
      </x:c>
      <x:c r="X3034" s="54" t="n">
        <x:f>IF(ISNUMBER(V3034),V3034/(1-W3034),"")</x:f>
        <x:v>73.47428571428571</x:v>
      </x:c>
      <x:c r="Y3034" s="55" t="n">
        <x:f>IF(ISNUMBER(X3034),ROUNDUP(X3034,0),"")</x:f>
        <x:v>74</x:v>
      </x:c>
      <x:c r="Z3034" t="str">
        <x:v>Source match pending</x:v>
      </x:c>
      <x:c r="AA3034" t="str">
        <x:v>screencapture-www-activesportstrade-co-uk-usn-trade-2026-09-09-19_02_34.png / page-001</x:v>
      </x:c>
      <x:c r="AB3034" s="36" t="n">
        <x:f>IF(ISNUMBER(Y3034),ROUND(Y3034*0.9,2),"")</x:f>
        <x:v>66.6</x:v>
      </x:c>
      <x:c r="AC3034" s="36" t="n">
        <x:f>IF(ISNUMBER(AB3034),ROUND(AB3034-(AB3034*0.015+0.2)-V3034,2),"")</x:f>
        <x:v>13.97</x:v>
      </x:c>
      <x:c r="AD3034" s="36" t="n">
        <x:f>IF(ISNUMBER(Y3034),ROUND(Y3034*0.8,2),"")</x:f>
        <x:v>59.2</x:v>
      </x:c>
      <x:c r="AE3034" s="36" t="n">
        <x:f>IF(ISNUMBER(AD3034),ROUND(AD3034*0.015+0.2,2),"")</x:f>
        <x:v>1.09</x:v>
      </x:c>
      <x:c r="AF3034" s="36" t="n">
        <x:f>IF(ISNUMBER(AD3034),ROUND(AD3034-AE3034-V3034,2),"")</x:f>
        <x:v>6.68</x:v>
      </x:c>
      <x:c r="AG3034" t="str">
        <x:f>IF(NOT(ISNUMBER(T3034)),"PENDING",IF(AF3034&gt;0,"PASS","FAIL"))</x:f>
        <x:v>PASS</x:v>
      </x:c>
      <x:c r="AH3034" t="str">
        <x:f>IF(NOT(ISNUMBER(T3034)),"Needs supplier cost",IF(K3034&lt;&gt;"In stock","Supplier unavailable",IF(AG3034&lt;&gt;"PASS","BLOCK - GT loss risk","Commercially protected")))</x:f>
        <x:v>Commercially protected</x:v>
      </x:c>
      <x:c r="AI3034" t="str">
        <x:v>2026-09-10 Active Sports trade capture</x:v>
      </x:c>
      <x:c r="AJ3034" t="str">
        <x:v>Management-only economics. Stripe stress test uses 1.5% + £0.20 standard UK online-card fee; pallet/mix-and-match pricing ignored.</x:v>
      </x:c>
    </x:row>
    <x:row r="3035">
      <x:c r="A3035" t="str">
        <x:v>Active Sports Nutrition</x:v>
      </x:c>
      <x:c r="B3035" t="str">
        <x:v>USN</x:v>
      </x:c>
      <x:c r="C3035" t="str">
        <x:v>Muscle Fuel Anabolic</x:v>
      </x:c>
      <x:c r="D3035" t="str">
        <x:v>Supplements</x:v>
      </x:c>
      <x:c r="E3035" t="str">
        <x:v>All in One / Mass</x:v>
      </x:c>
      <x:c r="F3035" t="str"/>
      <x:c r="G3035" t="str">
        <x:v>4kg</x:v>
      </x:c>
      <x:c r="H3035" t="str">
        <x:v>Caramel Peanut Butter</x:v>
      </x:c>
      <x:c r="I3035" t="str"/>
      <x:c r="J3035" t="str">
        <x:v>Unit</x:v>
      </x:c>
      <x:c r="K3035" t="str">
        <x:v>Out of stock</x:v>
      </x:c>
      <x:c r="L3035" t="str">
        <x:v>2026-09-08</x:v>
      </x:c>
      <x:c r="M3035" t="str"/>
      <x:c r="N3035" t="str"/>
      <x:c r="O3035" t="str">
        <x:v>https://www.activesportstrade.co.uk/usn-trade</x:v>
      </x:c>
      <x:c r="P3035" t="str"/>
      <x:c r="Q3035" t="str"/>
      <x:c r="R3035" t="str"/>
      <x:c r="S3035" t="str">
        <x:v>Pending genuine supplier/brand image</x:v>
      </x:c>
      <x:c r="T3035" s="54" t="n">
        <x:v>42.86</x:v>
      </x:c>
      <x:c r="U3035" s="47" t="n">
        <x:v>0.2</x:v>
      </x:c>
      <x:c r="V3035" s="54" t="n">
        <x:f>IF(ISNUMBER(T3035),T3035*(1+U3035),"")</x:f>
        <x:v>51.431999999999995</x:v>
      </x:c>
      <x:c r="W3035" s="47" t="n">
        <x:v>0.3</x:v>
      </x:c>
      <x:c r="X3035" s="54" t="n">
        <x:f>IF(ISNUMBER(V3035),V3035/(1-W3035),"")</x:f>
        <x:v>73.47428571428571</x:v>
      </x:c>
      <x:c r="Y3035" s="55" t="n">
        <x:f>IF(ISNUMBER(X3035),ROUNDUP(X3035,0),"")</x:f>
        <x:v>74</x:v>
      </x:c>
      <x:c r="Z3035" t="str">
        <x:v>Source match pending</x:v>
      </x:c>
      <x:c r="AA3035" t="str">
        <x:v>screencapture-www-activesportstrade-co-uk-usn-trade-2026-09-09-19_02_34.png / page-001</x:v>
      </x:c>
      <x:c r="AB3035" s="36" t="n">
        <x:f>IF(ISNUMBER(Y3035),ROUND(Y3035*0.9,2),"")</x:f>
        <x:v>66.6</x:v>
      </x:c>
      <x:c r="AC3035" s="36" t="n">
        <x:f>IF(ISNUMBER(AB3035),ROUND(AB3035-(AB3035*0.015+0.2)-V3035,2),"")</x:f>
        <x:v>13.97</x:v>
      </x:c>
      <x:c r="AD3035" s="36" t="n">
        <x:f>IF(ISNUMBER(Y3035),ROUND(Y3035*0.8,2),"")</x:f>
        <x:v>59.2</x:v>
      </x:c>
      <x:c r="AE3035" s="36" t="n">
        <x:f>IF(ISNUMBER(AD3035),ROUND(AD3035*0.015+0.2,2),"")</x:f>
        <x:v>1.09</x:v>
      </x:c>
      <x:c r="AF3035" s="36" t="n">
        <x:f>IF(ISNUMBER(AD3035),ROUND(AD3035-AE3035-V3035,2),"")</x:f>
        <x:v>6.68</x:v>
      </x:c>
      <x:c r="AG3035" t="str">
        <x:f>IF(NOT(ISNUMBER(T3035)),"PENDING",IF(AF3035&gt;0,"PASS","FAIL"))</x:f>
        <x:v>PASS</x:v>
      </x:c>
      <x:c r="AH3035" t="str">
        <x:f>IF(NOT(ISNUMBER(T3035)),"Needs supplier cost",IF(K3035&lt;&gt;"In stock","Supplier unavailable",IF(AG3035&lt;&gt;"PASS","BLOCK - GT loss risk","Commercially protected")))</x:f>
        <x:v>Supplier unavailable</x:v>
      </x:c>
      <x:c r="AI3035" t="str">
        <x:v>2026-09-10 Active Sports trade capture</x:v>
      </x:c>
      <x:c r="AJ3035" t="str">
        <x:v>Management-only economics. Stripe stress test uses 1.5% + £0.20 standard UK online-card fee; pallet/mix-and-match pricing ignored.</x:v>
      </x:c>
    </x:row>
    <x:row r="3036">
      <x:c r="A3036" t="str">
        <x:v>Active Sports Nutrition</x:v>
      </x:c>
      <x:c r="B3036" t="str">
        <x:v>USN</x:v>
      </x:c>
      <x:c r="C3036" t="str">
        <x:v>Muscle Fuel Anabolic</x:v>
      </x:c>
      <x:c r="D3036" t="str">
        <x:v>Supplements</x:v>
      </x:c>
      <x:c r="E3036" t="str">
        <x:v>All in One / Mass</x:v>
      </x:c>
      <x:c r="F3036" t="str"/>
      <x:c r="G3036" t="str">
        <x:v>4kg</x:v>
      </x:c>
      <x:c r="H3036" t="str">
        <x:v>Chocolate</x:v>
      </x:c>
      <x:c r="I3036" t="str"/>
      <x:c r="J3036" t="str">
        <x:v>Unit</x:v>
      </x:c>
      <x:c r="K3036" t="str">
        <x:v>In stock</x:v>
      </x:c>
      <x:c r="L3036" t="str">
        <x:v>2026-09-08</x:v>
      </x:c>
      <x:c r="M3036" t="str"/>
      <x:c r="N3036" t="str"/>
      <x:c r="O3036" t="str">
        <x:v>https://www.activesportstrade.co.uk/usn-trade</x:v>
      </x:c>
      <x:c r="P3036" t="str"/>
      <x:c r="Q3036" t="str"/>
      <x:c r="R3036" t="str"/>
      <x:c r="S3036" t="str">
        <x:v>Pending genuine supplier/brand image</x:v>
      </x:c>
      <x:c r="T3036" s="54" t="n">
        <x:v>42.86</x:v>
      </x:c>
      <x:c r="U3036" s="47" t="n">
        <x:v>0.2</x:v>
      </x:c>
      <x:c r="V3036" s="54" t="n">
        <x:f>IF(ISNUMBER(T3036),T3036*(1+U3036),"")</x:f>
        <x:v>51.431999999999995</x:v>
      </x:c>
      <x:c r="W3036" s="47" t="n">
        <x:v>0.3</x:v>
      </x:c>
      <x:c r="X3036" s="54" t="n">
        <x:f>IF(ISNUMBER(V3036),V3036/(1-W3036),"")</x:f>
        <x:v>73.47428571428571</x:v>
      </x:c>
      <x:c r="Y3036" s="55" t="n">
        <x:f>IF(ISNUMBER(X3036),ROUNDUP(X3036,0),"")</x:f>
        <x:v>74</x:v>
      </x:c>
      <x:c r="Z3036" t="str">
        <x:v>Source match pending</x:v>
      </x:c>
      <x:c r="AA3036" t="str">
        <x:v>screencapture-www-activesportstrade-co-uk-usn-trade-2026-09-09-19_02_34.png / page-001</x:v>
      </x:c>
      <x:c r="AB3036" s="36" t="n">
        <x:f>IF(ISNUMBER(Y3036),ROUND(Y3036*0.9,2),"")</x:f>
        <x:v>66.6</x:v>
      </x:c>
      <x:c r="AC3036" s="36" t="n">
        <x:f>IF(ISNUMBER(AB3036),ROUND(AB3036-(AB3036*0.015+0.2)-V3036,2),"")</x:f>
        <x:v>13.97</x:v>
      </x:c>
      <x:c r="AD3036" s="36" t="n">
        <x:f>IF(ISNUMBER(Y3036),ROUND(Y3036*0.8,2),"")</x:f>
        <x:v>59.2</x:v>
      </x:c>
      <x:c r="AE3036" s="36" t="n">
        <x:f>IF(ISNUMBER(AD3036),ROUND(AD3036*0.015+0.2,2),"")</x:f>
        <x:v>1.09</x:v>
      </x:c>
      <x:c r="AF3036" s="36" t="n">
        <x:f>IF(ISNUMBER(AD3036),ROUND(AD3036-AE3036-V3036,2),"")</x:f>
        <x:v>6.68</x:v>
      </x:c>
      <x:c r="AG3036" t="str">
        <x:f>IF(NOT(ISNUMBER(T3036)),"PENDING",IF(AF3036&gt;0,"PASS","FAIL"))</x:f>
        <x:v>PASS</x:v>
      </x:c>
      <x:c r="AH3036" t="str">
        <x:f>IF(NOT(ISNUMBER(T3036)),"Needs supplier cost",IF(K3036&lt;&gt;"In stock","Supplier unavailable",IF(AG3036&lt;&gt;"PASS","BLOCK - GT loss risk","Commercially protected")))</x:f>
        <x:v>Commercially protected</x:v>
      </x:c>
      <x:c r="AI3036" t="str">
        <x:v>2026-09-10 Active Sports trade capture</x:v>
      </x:c>
      <x:c r="AJ3036" t="str">
        <x:v>Management-only economics. Stripe stress test uses 1.5% + £0.20 standard UK online-card fee; pallet/mix-and-match pricing ignored.</x:v>
      </x:c>
    </x:row>
    <x:row r="3037">
      <x:c r="A3037" t="str">
        <x:v>Active Sports Nutrition</x:v>
      </x:c>
      <x:c r="B3037" t="str">
        <x:v>USN</x:v>
      </x:c>
      <x:c r="C3037" t="str">
        <x:v>Muscle Fuel Anabolic</x:v>
      </x:c>
      <x:c r="D3037" t="str">
        <x:v>Supplements</x:v>
      </x:c>
      <x:c r="E3037" t="str">
        <x:v>All in One / Mass</x:v>
      </x:c>
      <x:c r="F3037" t="str"/>
      <x:c r="G3037" t="str">
        <x:v>4kg</x:v>
      </x:c>
      <x:c r="H3037" t="str">
        <x:v>Chocolate Caramel</x:v>
      </x:c>
      <x:c r="I3037" t="str"/>
      <x:c r="J3037" t="str">
        <x:v>Unit</x:v>
      </x:c>
      <x:c r="K3037" t="str">
        <x:v>In stock</x:v>
      </x:c>
      <x:c r="L3037" t="str">
        <x:v>2026-09-08</x:v>
      </x:c>
      <x:c r="M3037" t="str"/>
      <x:c r="N3037" t="str"/>
      <x:c r="O3037" t="str">
        <x:v>https://www.activesportstrade.co.uk/usn-trade</x:v>
      </x:c>
      <x:c r="P3037" t="str"/>
      <x:c r="Q3037" t="str"/>
      <x:c r="R3037" t="str"/>
      <x:c r="S3037" t="str">
        <x:v>Pending genuine supplier/brand image</x:v>
      </x:c>
      <x:c r="T3037" s="54" t="n">
        <x:v>42.86</x:v>
      </x:c>
      <x:c r="U3037" s="47" t="n">
        <x:v>0.2</x:v>
      </x:c>
      <x:c r="V3037" s="54" t="n">
        <x:f>IF(ISNUMBER(T3037),T3037*(1+U3037),"")</x:f>
        <x:v>51.431999999999995</x:v>
      </x:c>
      <x:c r="W3037" s="47" t="n">
        <x:v>0.3</x:v>
      </x:c>
      <x:c r="X3037" s="54" t="n">
        <x:f>IF(ISNUMBER(V3037),V3037/(1-W3037),"")</x:f>
        <x:v>73.47428571428571</x:v>
      </x:c>
      <x:c r="Y3037" s="55" t="n">
        <x:f>IF(ISNUMBER(X3037),ROUNDUP(X3037,0),"")</x:f>
        <x:v>74</x:v>
      </x:c>
      <x:c r="Z3037" t="str">
        <x:v>Source match pending</x:v>
      </x:c>
      <x:c r="AA3037" t="str">
        <x:v>screencapture-www-activesportstrade-co-uk-usn-trade-2026-09-09-19_02_34.png / page-001</x:v>
      </x:c>
      <x:c r="AB3037" s="36" t="n">
        <x:f>IF(ISNUMBER(Y3037),ROUND(Y3037*0.9,2),"")</x:f>
        <x:v>66.6</x:v>
      </x:c>
      <x:c r="AC3037" s="36" t="n">
        <x:f>IF(ISNUMBER(AB3037),ROUND(AB3037-(AB3037*0.015+0.2)-V3037,2),"")</x:f>
        <x:v>13.97</x:v>
      </x:c>
      <x:c r="AD3037" s="36" t="n">
        <x:f>IF(ISNUMBER(Y3037),ROUND(Y3037*0.8,2),"")</x:f>
        <x:v>59.2</x:v>
      </x:c>
      <x:c r="AE3037" s="36" t="n">
        <x:f>IF(ISNUMBER(AD3037),ROUND(AD3037*0.015+0.2,2),"")</x:f>
        <x:v>1.09</x:v>
      </x:c>
      <x:c r="AF3037" s="36" t="n">
        <x:f>IF(ISNUMBER(AD3037),ROUND(AD3037-AE3037-V3037,2),"")</x:f>
        <x:v>6.68</x:v>
      </x:c>
      <x:c r="AG3037" t="str">
        <x:f>IF(NOT(ISNUMBER(T3037)),"PENDING",IF(AF3037&gt;0,"PASS","FAIL"))</x:f>
        <x:v>PASS</x:v>
      </x:c>
      <x:c r="AH3037" t="str">
        <x:f>IF(NOT(ISNUMBER(T3037)),"Needs supplier cost",IF(K3037&lt;&gt;"In stock","Supplier unavailable",IF(AG3037&lt;&gt;"PASS","BLOCK - GT loss risk","Commercially protected")))</x:f>
        <x:v>Commercially protected</x:v>
      </x:c>
      <x:c r="AI3037" t="str">
        <x:v>2026-09-10 Active Sports trade capture</x:v>
      </x:c>
      <x:c r="AJ3037" t="str">
        <x:v>Management-only economics. Stripe stress test uses 1.5% + £0.20 standard UK online-card fee; pallet/mix-and-match pricing ignored.</x:v>
      </x:c>
    </x:row>
    <x:row r="3038">
      <x:c r="A3038" t="str">
        <x:v>Active Sports Nutrition</x:v>
      </x:c>
      <x:c r="B3038" t="str">
        <x:v>USN</x:v>
      </x:c>
      <x:c r="C3038" t="str">
        <x:v>Muscle Fuel Anabolic</x:v>
      </x:c>
      <x:c r="D3038" t="str">
        <x:v>Supplements</x:v>
      </x:c>
      <x:c r="E3038" t="str">
        <x:v>All in One / Mass</x:v>
      </x:c>
      <x:c r="F3038" t="str"/>
      <x:c r="G3038" t="str">
        <x:v>4kg</x:v>
      </x:c>
      <x:c r="H3038" t="str">
        <x:v>Cookies &amp; Cream</x:v>
      </x:c>
      <x:c r="I3038" t="str"/>
      <x:c r="J3038" t="str">
        <x:v>Unit</x:v>
      </x:c>
      <x:c r="K3038" t="str">
        <x:v>Out of stock</x:v>
      </x:c>
      <x:c r="L3038" t="str">
        <x:v>2026-09-08</x:v>
      </x:c>
      <x:c r="M3038" t="str"/>
      <x:c r="N3038" t="str"/>
      <x:c r="O3038" t="str">
        <x:v>https://www.activesportstrade.co.uk/usn-trade</x:v>
      </x:c>
      <x:c r="P3038" t="str"/>
      <x:c r="Q3038" t="str"/>
      <x:c r="R3038" t="str"/>
      <x:c r="S3038" t="str">
        <x:v>Pending genuine supplier/brand image</x:v>
      </x:c>
      <x:c r="T3038" s="54" t="n">
        <x:v>42.86</x:v>
      </x:c>
      <x:c r="U3038" s="47" t="n">
        <x:v>0.2</x:v>
      </x:c>
      <x:c r="V3038" s="54" t="n">
        <x:f>IF(ISNUMBER(T3038),T3038*(1+U3038),"")</x:f>
        <x:v>51.431999999999995</x:v>
      </x:c>
      <x:c r="W3038" s="47" t="n">
        <x:v>0.3</x:v>
      </x:c>
      <x:c r="X3038" s="54" t="n">
        <x:f>IF(ISNUMBER(V3038),V3038/(1-W3038),"")</x:f>
        <x:v>73.47428571428571</x:v>
      </x:c>
      <x:c r="Y3038" s="55" t="n">
        <x:f>IF(ISNUMBER(X3038),ROUNDUP(X3038,0),"")</x:f>
        <x:v>74</x:v>
      </x:c>
      <x:c r="Z3038" t="str">
        <x:v>Source match pending</x:v>
      </x:c>
      <x:c r="AA3038" t="str">
        <x:v>screencapture-www-activesportstrade-co-uk-usn-trade-2026-09-09-19_02_34.png / page-001</x:v>
      </x:c>
      <x:c r="AB3038" s="36" t="n">
        <x:f>IF(ISNUMBER(Y3038),ROUND(Y3038*0.9,2),"")</x:f>
        <x:v>66.6</x:v>
      </x:c>
      <x:c r="AC3038" s="36" t="n">
        <x:f>IF(ISNUMBER(AB3038),ROUND(AB3038-(AB3038*0.015+0.2)-V3038,2),"")</x:f>
        <x:v>13.97</x:v>
      </x:c>
      <x:c r="AD3038" s="36" t="n">
        <x:f>IF(ISNUMBER(Y3038),ROUND(Y3038*0.8,2),"")</x:f>
        <x:v>59.2</x:v>
      </x:c>
      <x:c r="AE3038" s="36" t="n">
        <x:f>IF(ISNUMBER(AD3038),ROUND(AD3038*0.015+0.2,2),"")</x:f>
        <x:v>1.09</x:v>
      </x:c>
      <x:c r="AF3038" s="36" t="n">
        <x:f>IF(ISNUMBER(AD3038),ROUND(AD3038-AE3038-V3038,2),"")</x:f>
        <x:v>6.68</x:v>
      </x:c>
      <x:c r="AG3038" t="str">
        <x:f>IF(NOT(ISNUMBER(T3038)),"PENDING",IF(AF3038&gt;0,"PASS","FAIL"))</x:f>
        <x:v>PASS</x:v>
      </x:c>
      <x:c r="AH3038" t="str">
        <x:f>IF(NOT(ISNUMBER(T3038)),"Needs supplier cost",IF(K3038&lt;&gt;"In stock","Supplier unavailable",IF(AG3038&lt;&gt;"PASS","BLOCK - GT loss risk","Commercially protected")))</x:f>
        <x:v>Supplier unavailable</x:v>
      </x:c>
      <x:c r="AI3038" t="str">
        <x:v>2026-09-10 Active Sports trade capture</x:v>
      </x:c>
      <x:c r="AJ3038" t="str">
        <x:v>Management-only economics. Stripe stress test uses 1.5% + £0.20 standard UK online-card fee; pallet/mix-and-match pricing ignored.</x:v>
      </x:c>
    </x:row>
    <x:row r="3039">
      <x:c r="A3039" t="str">
        <x:v>Active Sports Nutrition</x:v>
      </x:c>
      <x:c r="B3039" t="str">
        <x:v>USN</x:v>
      </x:c>
      <x:c r="C3039" t="str">
        <x:v>Muscle Fuel Anabolic</x:v>
      </x:c>
      <x:c r="D3039" t="str">
        <x:v>Supplements</x:v>
      </x:c>
      <x:c r="E3039" t="str">
        <x:v>All in One / Mass</x:v>
      </x:c>
      <x:c r="F3039" t="str"/>
      <x:c r="G3039" t="str">
        <x:v>4kg</x:v>
      </x:c>
      <x:c r="H3039" t="str">
        <x:v>Strawberry</x:v>
      </x:c>
      <x:c r="I3039" t="str"/>
      <x:c r="J3039" t="str">
        <x:v>Unit</x:v>
      </x:c>
      <x:c r="K3039" t="str">
        <x:v>In stock</x:v>
      </x:c>
      <x:c r="L3039" t="str">
        <x:v>2026-09-08</x:v>
      </x:c>
      <x:c r="M3039" t="str"/>
      <x:c r="N3039" t="str"/>
      <x:c r="O3039" t="str">
        <x:v>https://www.activesportstrade.co.uk/usn-trade</x:v>
      </x:c>
      <x:c r="P3039" t="str"/>
      <x:c r="Q3039" t="str"/>
      <x:c r="R3039" t="str"/>
      <x:c r="S3039" t="str">
        <x:v>Pending genuine supplier/brand image</x:v>
      </x:c>
      <x:c r="T3039" s="54" t="n">
        <x:v>42.86</x:v>
      </x:c>
      <x:c r="U3039" s="47" t="n">
        <x:v>0.2</x:v>
      </x:c>
      <x:c r="V3039" s="54" t="n">
        <x:f>IF(ISNUMBER(T3039),T3039*(1+U3039),"")</x:f>
        <x:v>51.431999999999995</x:v>
      </x:c>
      <x:c r="W3039" s="47" t="n">
        <x:v>0.3</x:v>
      </x:c>
      <x:c r="X3039" s="54" t="n">
        <x:f>IF(ISNUMBER(V3039),V3039/(1-W3039),"")</x:f>
        <x:v>73.47428571428571</x:v>
      </x:c>
      <x:c r="Y3039" s="55" t="n">
        <x:f>IF(ISNUMBER(X3039),ROUNDUP(X3039,0),"")</x:f>
        <x:v>74</x:v>
      </x:c>
      <x:c r="Z3039" t="str">
        <x:v>Source match pending</x:v>
      </x:c>
      <x:c r="AA3039" t="str">
        <x:v>screencapture-www-activesportstrade-co-uk-usn-trade-2026-09-09-19_02_34.png / page-001</x:v>
      </x:c>
      <x:c r="AB3039" s="36" t="n">
        <x:f>IF(ISNUMBER(Y3039),ROUND(Y3039*0.9,2),"")</x:f>
        <x:v>66.6</x:v>
      </x:c>
      <x:c r="AC3039" s="36" t="n">
        <x:f>IF(ISNUMBER(AB3039),ROUND(AB3039-(AB3039*0.015+0.2)-V3039,2),"")</x:f>
        <x:v>13.97</x:v>
      </x:c>
      <x:c r="AD3039" s="36" t="n">
        <x:f>IF(ISNUMBER(Y3039),ROUND(Y3039*0.8,2),"")</x:f>
        <x:v>59.2</x:v>
      </x:c>
      <x:c r="AE3039" s="36" t="n">
        <x:f>IF(ISNUMBER(AD3039),ROUND(AD3039*0.015+0.2,2),"")</x:f>
        <x:v>1.09</x:v>
      </x:c>
      <x:c r="AF3039" s="36" t="n">
        <x:f>IF(ISNUMBER(AD3039),ROUND(AD3039-AE3039-V3039,2),"")</x:f>
        <x:v>6.68</x:v>
      </x:c>
      <x:c r="AG3039" t="str">
        <x:f>IF(NOT(ISNUMBER(T3039)),"PENDING",IF(AF3039&gt;0,"PASS","FAIL"))</x:f>
        <x:v>PASS</x:v>
      </x:c>
      <x:c r="AH3039" t="str">
        <x:f>IF(NOT(ISNUMBER(T3039)),"Needs supplier cost",IF(K3039&lt;&gt;"In stock","Supplier unavailable",IF(AG3039&lt;&gt;"PASS","BLOCK - GT loss risk","Commercially protected")))</x:f>
        <x:v>Commercially protected</x:v>
      </x:c>
      <x:c r="AI3039" t="str">
        <x:v>2026-09-10 Active Sports trade capture</x:v>
      </x:c>
      <x:c r="AJ3039" t="str">
        <x:v>Management-only economics. Stripe stress test uses 1.5% + £0.20 standard UK online-card fee; pallet/mix-and-match pricing ignored.</x:v>
      </x:c>
    </x:row>
    <x:row r="3040">
      <x:c r="A3040" t="str">
        <x:v>Active Sports Nutrition</x:v>
      </x:c>
      <x:c r="B3040" t="str">
        <x:v>USN</x:v>
      </x:c>
      <x:c r="C3040" t="str">
        <x:v>Muscle Fuel Anabolic</x:v>
      </x:c>
      <x:c r="D3040" t="str">
        <x:v>Supplements</x:v>
      </x:c>
      <x:c r="E3040" t="str">
        <x:v>All in One / Mass</x:v>
      </x:c>
      <x:c r="F3040" t="str"/>
      <x:c r="G3040" t="str">
        <x:v>4kg</x:v>
      </x:c>
      <x:c r="H3040" t="str">
        <x:v>Vanilla</x:v>
      </x:c>
      <x:c r="I3040" t="str"/>
      <x:c r="J3040" t="str">
        <x:v>Unit</x:v>
      </x:c>
      <x:c r="K3040" t="str">
        <x:v>In stock</x:v>
      </x:c>
      <x:c r="L3040" t="str">
        <x:v>2026-09-08</x:v>
      </x:c>
      <x:c r="M3040" t="str"/>
      <x:c r="N3040" t="str"/>
      <x:c r="O3040" t="str">
        <x:v>https://www.activesportstrade.co.uk/usn-trade</x:v>
      </x:c>
      <x:c r="P3040" t="str"/>
      <x:c r="Q3040" t="str"/>
      <x:c r="R3040" t="str"/>
      <x:c r="S3040" t="str">
        <x:v>Pending genuine supplier/brand image</x:v>
      </x:c>
      <x:c r="T3040" s="54" t="n">
        <x:v>42.86</x:v>
      </x:c>
      <x:c r="U3040" s="47" t="n">
        <x:v>0.2</x:v>
      </x:c>
      <x:c r="V3040" s="54" t="n">
        <x:f>IF(ISNUMBER(T3040),T3040*(1+U3040),"")</x:f>
        <x:v>51.431999999999995</x:v>
      </x:c>
      <x:c r="W3040" s="47" t="n">
        <x:v>0.3</x:v>
      </x:c>
      <x:c r="X3040" s="54" t="n">
        <x:f>IF(ISNUMBER(V3040),V3040/(1-W3040),"")</x:f>
        <x:v>73.47428571428571</x:v>
      </x:c>
      <x:c r="Y3040" s="55" t="n">
        <x:f>IF(ISNUMBER(X3040),ROUNDUP(X3040,0),"")</x:f>
        <x:v>74</x:v>
      </x:c>
      <x:c r="Z3040" t="str">
        <x:v>Source match pending</x:v>
      </x:c>
      <x:c r="AA3040" t="str">
        <x:v>screencapture-www-activesportstrade-co-uk-usn-trade-2026-09-09-19_02_34.png / page-001</x:v>
      </x:c>
      <x:c r="AB3040" s="36" t="n">
        <x:f>IF(ISNUMBER(Y3040),ROUND(Y3040*0.9,2),"")</x:f>
        <x:v>66.6</x:v>
      </x:c>
      <x:c r="AC3040" s="36" t="n">
        <x:f>IF(ISNUMBER(AB3040),ROUND(AB3040-(AB3040*0.015+0.2)-V3040,2),"")</x:f>
        <x:v>13.97</x:v>
      </x:c>
      <x:c r="AD3040" s="36" t="n">
        <x:f>IF(ISNUMBER(Y3040),ROUND(Y3040*0.8,2),"")</x:f>
        <x:v>59.2</x:v>
      </x:c>
      <x:c r="AE3040" s="36" t="n">
        <x:f>IF(ISNUMBER(AD3040),ROUND(AD3040*0.015+0.2,2),"")</x:f>
        <x:v>1.09</x:v>
      </x:c>
      <x:c r="AF3040" s="36" t="n">
        <x:f>IF(ISNUMBER(AD3040),ROUND(AD3040-AE3040-V3040,2),"")</x:f>
        <x:v>6.68</x:v>
      </x:c>
      <x:c r="AG3040" t="str">
        <x:f>IF(NOT(ISNUMBER(T3040)),"PENDING",IF(AF3040&gt;0,"PASS","FAIL"))</x:f>
        <x:v>PASS</x:v>
      </x:c>
      <x:c r="AH3040" t="str">
        <x:f>IF(NOT(ISNUMBER(T3040)),"Needs supplier cost",IF(K3040&lt;&gt;"In stock","Supplier unavailable",IF(AG3040&lt;&gt;"PASS","BLOCK - GT loss risk","Commercially protected")))</x:f>
        <x:v>Commercially protected</x:v>
      </x:c>
      <x:c r="AI3040" t="str">
        <x:v>2026-09-10 Active Sports trade capture</x:v>
      </x:c>
      <x:c r="AJ3040" t="str">
        <x:v>Management-only economics. Stripe stress test uses 1.5% + £0.20 standard UK online-card fee; pallet/mix-and-match pricing ignored.</x:v>
      </x:c>
    </x:row>
    <x:row r="3041">
      <x:c r="A3041" t="str">
        <x:v>Active Sports Nutrition</x:v>
      </x:c>
      <x:c r="B3041" t="str">
        <x:v>USN</x:v>
      </x:c>
      <x:c r="C3041" t="str">
        <x:v>Protein Fuel 40 RTD</x:v>
      </x:c>
      <x:c r="D3041" t="str">
        <x:v>Food &amp; Drinks</x:v>
      </x:c>
      <x:c r="E3041" t="str">
        <x:v>Ready to Drink Protein</x:v>
      </x:c>
      <x:c r="F3041" t="str"/>
      <x:c r="G3041" t="str">
        <x:v>6 x 500ml</x:v>
      </x:c>
      <x:c r="H3041" t="str">
        <x:v>Banana</x:v>
      </x:c>
      <x:c r="I3041" t="str">
        <x:v>6</x:v>
      </x:c>
      <x:c r="J3041" t="str">
        <x:v>Case</x:v>
      </x:c>
      <x:c r="K3041" t="str">
        <x:v>In stock</x:v>
      </x:c>
      <x:c r="L3041" t="str">
        <x:v>2026-09-08</x:v>
      </x:c>
      <x:c r="M3041" t="str"/>
      <x:c r="N3041" t="str"/>
      <x:c r="O3041" t="str">
        <x:v>https://www.activesportstrade.co.uk/trade-convienience</x:v>
      </x:c>
      <x:c r="P3041" t="str">
        <x:v>Supplier BB 23/10/26 wording retained only as source condition note; canonical flavour stripped of dated suffix. Case-only.</x:v>
      </x:c>
      <x:c r="Q3041" t="str"/>
      <x:c r="R3041" t="str"/>
      <x:c r="S3041" t="str">
        <x:v>Pending genuine supplier/brand image</x:v>
      </x:c>
      <x:c r="T3041" s="54" t="n">
        <x:v>7.99</x:v>
      </x:c>
      <x:c r="U3041" s="47" t="n">
        <x:v>0.2</x:v>
      </x:c>
      <x:c r="V3041" s="54" t="n">
        <x:f>IF(ISNUMBER(T3041),T3041*(1+U3041),"")</x:f>
        <x:v>9.588</x:v>
      </x:c>
      <x:c r="W3041" s="47" t="n">
        <x:v>0.3</x:v>
      </x:c>
      <x:c r="X3041" s="54" t="n">
        <x:f>IF(ISNUMBER(V3041),V3041/(1-W3041),"")</x:f>
        <x:v>13.697142857142858</x:v>
      </x:c>
      <x:c r="Y3041" s="55" t="n">
        <x:f>IF(ISNUMBER(X3041),ROUNDUP(X3041,0),"")</x:f>
        <x:v>14</x:v>
      </x:c>
      <x:c r="Z3041" t="str">
        <x:v>Source match pending</x:v>
      </x:c>
      <x:c r="AA3041" t="str">
        <x:v>screencapture-www-activesportstrade-co-uk-usn-trade-2026-09-09-19_02_34.png / page-001</x:v>
      </x:c>
      <x:c r="AB3041" s="36" t="n">
        <x:f>IF(ISNUMBER(Y3041),ROUND(Y3041*0.9,2),"")</x:f>
        <x:v>12.6</x:v>
      </x:c>
      <x:c r="AC3041" s="36" t="n">
        <x:f>IF(ISNUMBER(AB3041),ROUND(AB3041-(AB3041*0.015+0.2)-V3041,2),"")</x:f>
        <x:v>2.62</x:v>
      </x:c>
      <x:c r="AD3041" s="36" t="n">
        <x:f>IF(ISNUMBER(Y3041),ROUND(Y3041*0.8,2),"")</x:f>
        <x:v>11.2</x:v>
      </x:c>
      <x:c r="AE3041" s="36" t="n">
        <x:f>IF(ISNUMBER(AD3041),ROUND(AD3041*0.015+0.2,2),"")</x:f>
        <x:v>0.37</x:v>
      </x:c>
      <x:c r="AF3041" s="36" t="n">
        <x:f>IF(ISNUMBER(AD3041),ROUND(AD3041-AE3041-V3041,2),"")</x:f>
        <x:v>1.24</x:v>
      </x:c>
      <x:c r="AG3041" t="str">
        <x:f>IF(NOT(ISNUMBER(T3041)),"PENDING",IF(AF3041&gt;0,"PASS","FAIL"))</x:f>
        <x:v>PASS</x:v>
      </x:c>
      <x:c r="AH3041" t="str">
        <x:f>IF(NOT(ISNUMBER(T3041)),"Needs supplier cost",IF(K3041&lt;&gt;"In stock","Supplier unavailable",IF(AG3041&lt;&gt;"PASS","BLOCK - GT loss risk","Commercially protected")))</x:f>
        <x:v>Commercially protected</x:v>
      </x:c>
      <x:c r="AI3041" t="str">
        <x:v>2026-09-10 Active Sports trade capture</x:v>
      </x:c>
      <x:c r="AJ3041" t="str">
        <x:v>Management-only economics. Stripe stress test uses 1.5% + £0.20 standard UK online-card fee; pallet/mix-and-match pricing ignored.</x:v>
      </x:c>
    </x:row>
    <x:row r="3042">
      <x:c r="A3042" t="str">
        <x:v>Active Sports Nutrition</x:v>
      </x:c>
      <x:c r="B3042" t="str">
        <x:v>USN</x:v>
      </x:c>
      <x:c r="C3042" t="str">
        <x:v>Protein Fuel 40 RTD</x:v>
      </x:c>
      <x:c r="D3042" t="str">
        <x:v>Food &amp; Drinks</x:v>
      </x:c>
      <x:c r="E3042" t="str">
        <x:v>Ready to Drink Protein</x:v>
      </x:c>
      <x:c r="F3042" t="str"/>
      <x:c r="G3042" t="str">
        <x:v>6 x 500ml</x:v>
      </x:c>
      <x:c r="H3042" t="str">
        <x:v>Chocolate</x:v>
      </x:c>
      <x:c r="I3042" t="str">
        <x:v>6</x:v>
      </x:c>
      <x:c r="J3042" t="str">
        <x:v>Case</x:v>
      </x:c>
      <x:c r="K3042" t="str">
        <x:v>In stock</x:v>
      </x:c>
      <x:c r="L3042" t="str">
        <x:v>2026-09-08</x:v>
      </x:c>
      <x:c r="M3042" t="str"/>
      <x:c r="N3042" t="str"/>
      <x:c r="O3042" t="str">
        <x:v>https://www.activesportstrade.co.uk/trade-convienience</x:v>
      </x:c>
      <x:c r="P3042" t="str">
        <x:v>Supplier BB 23/10/26 wording retained only as source condition note; canonical flavour stripped of dated suffix. Case-only.</x:v>
      </x:c>
      <x:c r="Q3042" t="str"/>
      <x:c r="R3042" t="str"/>
      <x:c r="S3042" t="str">
        <x:v>Pending genuine supplier/brand image</x:v>
      </x:c>
      <x:c r="T3042" s="54" t="n">
        <x:v>7.99</x:v>
      </x:c>
      <x:c r="U3042" s="47" t="n">
        <x:v>0.2</x:v>
      </x:c>
      <x:c r="V3042" s="54" t="n">
        <x:f>IF(ISNUMBER(T3042),T3042*(1+U3042),"")</x:f>
        <x:v>9.588</x:v>
      </x:c>
      <x:c r="W3042" s="47" t="n">
        <x:v>0.3</x:v>
      </x:c>
      <x:c r="X3042" s="54" t="n">
        <x:f>IF(ISNUMBER(V3042),V3042/(1-W3042),"")</x:f>
        <x:v>13.697142857142858</x:v>
      </x:c>
      <x:c r="Y3042" s="55" t="n">
        <x:f>IF(ISNUMBER(X3042),ROUNDUP(X3042,0),"")</x:f>
        <x:v>14</x:v>
      </x:c>
      <x:c r="Z3042" t="str">
        <x:v>Source match pending</x:v>
      </x:c>
      <x:c r="AA3042" t="str">
        <x:v>screencapture-www-activesportstrade-co-uk-usn-trade-2026-09-09-19_02_34.png / page-001</x:v>
      </x:c>
      <x:c r="AB3042" s="36" t="n">
        <x:f>IF(ISNUMBER(Y3042),ROUND(Y3042*0.9,2),"")</x:f>
        <x:v>12.6</x:v>
      </x:c>
      <x:c r="AC3042" s="36" t="n">
        <x:f>IF(ISNUMBER(AB3042),ROUND(AB3042-(AB3042*0.015+0.2)-V3042,2),"")</x:f>
        <x:v>2.62</x:v>
      </x:c>
      <x:c r="AD3042" s="36" t="n">
        <x:f>IF(ISNUMBER(Y3042),ROUND(Y3042*0.8,2),"")</x:f>
        <x:v>11.2</x:v>
      </x:c>
      <x:c r="AE3042" s="36" t="n">
        <x:f>IF(ISNUMBER(AD3042),ROUND(AD3042*0.015+0.2,2),"")</x:f>
        <x:v>0.37</x:v>
      </x:c>
      <x:c r="AF3042" s="36" t="n">
        <x:f>IF(ISNUMBER(AD3042),ROUND(AD3042-AE3042-V3042,2),"")</x:f>
        <x:v>1.24</x:v>
      </x:c>
      <x:c r="AG3042" t="str">
        <x:f>IF(NOT(ISNUMBER(T3042)),"PENDING",IF(AF3042&gt;0,"PASS","FAIL"))</x:f>
        <x:v>PASS</x:v>
      </x:c>
      <x:c r="AH3042" t="str">
        <x:f>IF(NOT(ISNUMBER(T3042)),"Needs supplier cost",IF(K3042&lt;&gt;"In stock","Supplier unavailable",IF(AG3042&lt;&gt;"PASS","BLOCK - GT loss risk","Commercially protected")))</x:f>
        <x:v>Commercially protected</x:v>
      </x:c>
      <x:c r="AI3042" t="str">
        <x:v>2026-09-10 Active Sports trade capture</x:v>
      </x:c>
      <x:c r="AJ3042" t="str">
        <x:v>Management-only economics. Stripe stress test uses 1.5% + £0.20 standard UK online-card fee; pallet/mix-and-match pricing ignored.</x:v>
      </x:c>
    </x:row>
    <x:row r="3043">
      <x:c r="A3043" t="str">
        <x:v>Active Sports Nutrition</x:v>
      </x:c>
      <x:c r="B3043" t="str">
        <x:v>USN</x:v>
      </x:c>
      <x:c r="C3043" t="str">
        <x:v>Protein Fuel 40 RTD</x:v>
      </x:c>
      <x:c r="D3043" t="str">
        <x:v>Food &amp; Drinks</x:v>
      </x:c>
      <x:c r="E3043" t="str">
        <x:v>Ready to Drink Protein</x:v>
      </x:c>
      <x:c r="F3043" t="str"/>
      <x:c r="G3043" t="str">
        <x:v>6 x 500ml</x:v>
      </x:c>
      <x:c r="H3043" t="str">
        <x:v>Strawberry</x:v>
      </x:c>
      <x:c r="I3043" t="str">
        <x:v>6</x:v>
      </x:c>
      <x:c r="J3043" t="str">
        <x:v>Case</x:v>
      </x:c>
      <x:c r="K3043" t="str">
        <x:v>In stock</x:v>
      </x:c>
      <x:c r="L3043" t="str">
        <x:v>2026-09-08</x:v>
      </x:c>
      <x:c r="M3043" t="str"/>
      <x:c r="N3043" t="str"/>
      <x:c r="O3043" t="str">
        <x:v>https://www.activesportstrade.co.uk/trade-convienience</x:v>
      </x:c>
      <x:c r="P3043" t="str">
        <x:v>Supplier BB 23/10/26 wording retained only as source condition note; canonical flavour stripped of dated suffix. Case-only.</x:v>
      </x:c>
      <x:c r="Q3043" t="str"/>
      <x:c r="R3043" t="str"/>
      <x:c r="S3043" t="str">
        <x:v>Pending genuine supplier/brand image</x:v>
      </x:c>
      <x:c r="T3043" s="54" t="n">
        <x:v>7.99</x:v>
      </x:c>
      <x:c r="U3043" s="47" t="n">
        <x:v>0.2</x:v>
      </x:c>
      <x:c r="V3043" s="54" t="n">
        <x:f>IF(ISNUMBER(T3043),T3043*(1+U3043),"")</x:f>
        <x:v>9.588</x:v>
      </x:c>
      <x:c r="W3043" s="47" t="n">
        <x:v>0.3</x:v>
      </x:c>
      <x:c r="X3043" s="54" t="n">
        <x:f>IF(ISNUMBER(V3043),V3043/(1-W3043),"")</x:f>
        <x:v>13.697142857142858</x:v>
      </x:c>
      <x:c r="Y3043" s="55" t="n">
        <x:f>IF(ISNUMBER(X3043),ROUNDUP(X3043,0),"")</x:f>
        <x:v>14</x:v>
      </x:c>
      <x:c r="Z3043" t="str">
        <x:v>Source match pending</x:v>
      </x:c>
      <x:c r="AA3043" t="str">
        <x:v>screencapture-www-activesportstrade-co-uk-usn-trade-2026-09-09-19_02_34.png / page-001</x:v>
      </x:c>
      <x:c r="AB3043" s="36" t="n">
        <x:f>IF(ISNUMBER(Y3043),ROUND(Y3043*0.9,2),"")</x:f>
        <x:v>12.6</x:v>
      </x:c>
      <x:c r="AC3043" s="36" t="n">
        <x:f>IF(ISNUMBER(AB3043),ROUND(AB3043-(AB3043*0.015+0.2)-V3043,2),"")</x:f>
        <x:v>2.62</x:v>
      </x:c>
      <x:c r="AD3043" s="36" t="n">
        <x:f>IF(ISNUMBER(Y3043),ROUND(Y3043*0.8,2),"")</x:f>
        <x:v>11.2</x:v>
      </x:c>
      <x:c r="AE3043" s="36" t="n">
        <x:f>IF(ISNUMBER(AD3043),ROUND(AD3043*0.015+0.2,2),"")</x:f>
        <x:v>0.37</x:v>
      </x:c>
      <x:c r="AF3043" s="36" t="n">
        <x:f>IF(ISNUMBER(AD3043),ROUND(AD3043-AE3043-V3043,2),"")</x:f>
        <x:v>1.24</x:v>
      </x:c>
      <x:c r="AG3043" t="str">
        <x:f>IF(NOT(ISNUMBER(T3043)),"PENDING",IF(AF3043&gt;0,"PASS","FAIL"))</x:f>
        <x:v>PASS</x:v>
      </x:c>
      <x:c r="AH3043" t="str">
        <x:f>IF(NOT(ISNUMBER(T3043)),"Needs supplier cost",IF(K3043&lt;&gt;"In stock","Supplier unavailable",IF(AG3043&lt;&gt;"PASS","BLOCK - GT loss risk","Commercially protected")))</x:f>
        <x:v>Commercially protected</x:v>
      </x:c>
      <x:c r="AI3043" t="str">
        <x:v>2026-09-10 Active Sports trade capture</x:v>
      </x:c>
      <x:c r="AJ3043" t="str">
        <x:v>Management-only economics. Stripe stress test uses 1.5% + £0.20 standard UK online-card fee; pallet/mix-and-match pricing ignored.</x:v>
      </x:c>
    </x:row>
    <x:row r="3044">
      <x:c r="A3044" t="str">
        <x:v>Active Sports Nutrition</x:v>
      </x:c>
      <x:c r="B3044" t="str">
        <x:v>USN</x:v>
      </x:c>
      <x:c r="C3044" t="str">
        <x:v>Protein Fuel 40 RTD</x:v>
      </x:c>
      <x:c r="D3044" t="str">
        <x:v>Food &amp; Drinks</x:v>
      </x:c>
      <x:c r="E3044" t="str">
        <x:v>Ready to Drink Protein</x:v>
      </x:c>
      <x:c r="F3044" t="str"/>
      <x:c r="G3044" t="str">
        <x:v>6 x 500ml</x:v>
      </x:c>
      <x:c r="H3044" t="str">
        <x:v>Vanilla</x:v>
      </x:c>
      <x:c r="I3044" t="str">
        <x:v>6</x:v>
      </x:c>
      <x:c r="J3044" t="str">
        <x:v>Case</x:v>
      </x:c>
      <x:c r="K3044" t="str">
        <x:v>In stock</x:v>
      </x:c>
      <x:c r="L3044" t="str">
        <x:v>2026-09-08</x:v>
      </x:c>
      <x:c r="M3044" t="str"/>
      <x:c r="N3044" t="str"/>
      <x:c r="O3044" t="str">
        <x:v>https://www.activesportstrade.co.uk/trade-convienience</x:v>
      </x:c>
      <x:c r="P3044" t="str">
        <x:v>Supplier BB 23/10/26 wording retained only as source condition note; canonical flavour stripped of dated suffix. Case-only.</x:v>
      </x:c>
      <x:c r="Q3044" t="str"/>
      <x:c r="R3044" t="str"/>
      <x:c r="S3044" t="str">
        <x:v>Pending genuine supplier/brand image</x:v>
      </x:c>
      <x:c r="T3044" s="54" t="n">
        <x:v>7.99</x:v>
      </x:c>
      <x:c r="U3044" s="47" t="n">
        <x:v>0.2</x:v>
      </x:c>
      <x:c r="V3044" s="54" t="n">
        <x:f>IF(ISNUMBER(T3044),T3044*(1+U3044),"")</x:f>
        <x:v>9.588</x:v>
      </x:c>
      <x:c r="W3044" s="47" t="n">
        <x:v>0.3</x:v>
      </x:c>
      <x:c r="X3044" s="54" t="n">
        <x:f>IF(ISNUMBER(V3044),V3044/(1-W3044),"")</x:f>
        <x:v>13.697142857142858</x:v>
      </x:c>
      <x:c r="Y3044" s="55" t="n">
        <x:f>IF(ISNUMBER(X3044),ROUNDUP(X3044,0),"")</x:f>
        <x:v>14</x:v>
      </x:c>
      <x:c r="Z3044" t="str">
        <x:v>Source match pending</x:v>
      </x:c>
      <x:c r="AA3044" t="str">
        <x:v>screencapture-www-activesportstrade-co-uk-usn-trade-2026-09-09-19_02_34.png / page-001</x:v>
      </x:c>
      <x:c r="AB3044" s="36" t="n">
        <x:f>IF(ISNUMBER(Y3044),ROUND(Y3044*0.9,2),"")</x:f>
        <x:v>12.6</x:v>
      </x:c>
      <x:c r="AC3044" s="36" t="n">
        <x:f>IF(ISNUMBER(AB3044),ROUND(AB3044-(AB3044*0.015+0.2)-V3044,2),"")</x:f>
        <x:v>2.62</x:v>
      </x:c>
      <x:c r="AD3044" s="36" t="n">
        <x:f>IF(ISNUMBER(Y3044),ROUND(Y3044*0.8,2),"")</x:f>
        <x:v>11.2</x:v>
      </x:c>
      <x:c r="AE3044" s="36" t="n">
        <x:f>IF(ISNUMBER(AD3044),ROUND(AD3044*0.015+0.2,2),"")</x:f>
        <x:v>0.37</x:v>
      </x:c>
      <x:c r="AF3044" s="36" t="n">
        <x:f>IF(ISNUMBER(AD3044),ROUND(AD3044-AE3044-V3044,2),"")</x:f>
        <x:v>1.24</x:v>
      </x:c>
      <x:c r="AG3044" t="str">
        <x:f>IF(NOT(ISNUMBER(T3044)),"PENDING",IF(AF3044&gt;0,"PASS","FAIL"))</x:f>
        <x:v>PASS</x:v>
      </x:c>
      <x:c r="AH3044" t="str">
        <x:f>IF(NOT(ISNUMBER(T3044)),"Needs supplier cost",IF(K3044&lt;&gt;"In stock","Supplier unavailable",IF(AG3044&lt;&gt;"PASS","BLOCK - GT loss risk","Commercially protected")))</x:f>
        <x:v>Commercially protected</x:v>
      </x:c>
      <x:c r="AI3044" t="str">
        <x:v>2026-09-10 Active Sports trade capture</x:v>
      </x:c>
      <x:c r="AJ3044" t="str">
        <x:v>Management-only economics. Stripe stress test uses 1.5% + £0.20 standard UK online-card fee; pallet/mix-and-match pricing ignored.</x:v>
      </x:c>
    </x:row>
    <x:row r="3045">
      <x:c r="A3045" t="str">
        <x:v>Active Sports Nutrition</x:v>
      </x:c>
      <x:c r="B3045" t="str">
        <x:v>USN</x:v>
      </x:c>
      <x:c r="C3045" t="str">
        <x:v>Shaker</x:v>
      </x:c>
      <x:c r="D3045" t="str">
        <x:v>Merch &amp; Apparel</x:v>
      </x:c>
      <x:c r="E3045" t="str">
        <x:v>Accessories</x:v>
      </x:c>
      <x:c r="F3045" t="str"/>
      <x:c r="G3045" t="str">
        <x:v>500ml</x:v>
      </x:c>
      <x:c r="H3045" t="str">
        <x:v>Clear &amp; Blue</x:v>
      </x:c>
      <x:c r="I3045" t="str"/>
      <x:c r="J3045" t="str">
        <x:v>Unit</x:v>
      </x:c>
      <x:c r="K3045" t="str">
        <x:v>In stock</x:v>
      </x:c>
      <x:c r="L3045" t="str">
        <x:v>2026-09-08</x:v>
      </x:c>
      <x:c r="M3045" t="str"/>
      <x:c r="N3045" t="str"/>
      <x:c r="O3045" t="str">
        <x:v>https://www.activesportstrade.co.uk/usn-trade</x:v>
      </x:c>
      <x:c r="P3045" t="str">
        <x:v>SPECIAL OFFER wording stripped.</x:v>
      </x:c>
      <x:c r="Q3045" t="str"/>
      <x:c r="R3045" t="str"/>
      <x:c r="S3045" t="str">
        <x:v>Pending genuine supplier/brand image</x:v>
      </x:c>
      <x:c r="T3045" s="54"/>
      <x:c r="U3045" s="47" t="n">
        <x:v>0.2</x:v>
      </x:c>
      <x:c r="V3045" s="54" t="str">
        <x:f>IF(ISNUMBER(T3045),T3045*(1+U3045),"")</x:f>
      </x:c>
      <x:c r="W3045" s="47" t="n">
        <x:v>0.3</x:v>
      </x:c>
      <x:c r="X3045" s="54" t="str">
        <x:f>IF(ISNUMBER(V3045),V3045/(1-W3045),"")</x:f>
      </x:c>
      <x:c r="Y3045" s="55" t="str">
        <x:f>IF(ISNUMBER(X3045),ROUNDUP(X3045,0),"")</x:f>
      </x:c>
      <x:c r="Z3045" t="str">
        <x:f>IF(ISNUMBER(T3045),"Cost captured","Awaiting trade cost")</x:f>
        <x:v>Awaiting trade cost</x:v>
      </x:c>
      <x:c r="AB3045" s="36" t="str">
        <x:f>IF(ISNUMBER(Y3045),ROUND(Y3045*0.9,2),"")</x:f>
      </x:c>
      <x:c r="AC3045" s="36" t="str">
        <x:f>IF(ISNUMBER(AB3045),ROUND(AB3045-(AB3045*0.015+0.2)-V3045,2),"")</x:f>
      </x:c>
      <x:c r="AD3045" s="36" t="str">
        <x:f>IF(ISNUMBER(Y3045),ROUND(Y3045*0.8,2),"")</x:f>
      </x:c>
      <x:c r="AE3045" s="36" t="str">
        <x:f>IF(ISNUMBER(AD3045),ROUND(AD3045*0.015+0.2,2),"")</x:f>
      </x:c>
      <x:c r="AF3045" s="36" t="str">
        <x:f>IF(ISNUMBER(AD3045),ROUND(AD3045-AE3045-V3045,2),"")</x:f>
      </x:c>
      <x:c r="AG3045" t="str">
        <x:f>IF(NOT(ISNUMBER(T3045)),"PENDING",IF(AF3045&gt;0,"PASS","FAIL"))</x:f>
        <x:v>PENDING</x:v>
      </x:c>
      <x:c r="AH3045" t="str">
        <x:f>IF(NOT(ISNUMBER(T3045)),"Needs supplier cost",IF(K3045&lt;&gt;"In stock","Supplier unavailable",IF(AG3045&lt;&gt;"PASS","BLOCK - GT loss risk","Commercially protected")))</x:f>
        <x:v>Needs supplier cost</x:v>
      </x:c>
      <x:c r="AI3045" t="str">
        <x:v>2026-09-10 Active Sports trade capture</x:v>
      </x:c>
      <x:c r="AJ3045" t="str">
        <x:v>Management-only economics. Stripe stress test uses 1.5% + £0.20 standard UK online-card fee; pallet/mix-and-match pricing ignored.</x:v>
      </x:c>
    </x:row>
    <x:row r="3046">
      <x:c r="A3046" t="str">
        <x:v>Active Sports Nutrition</x:v>
      </x:c>
      <x:c r="B3046" t="str">
        <x:v>Applied Nutrition</x:v>
      </x:c>
      <x:c r="C3046" t="str">
        <x:v>Critical Whey</x:v>
      </x:c>
      <x:c r="D3046" t="str">
        <x:v>Supplements</x:v>
      </x:c>
      <x:c r="E3046" t="str">
        <x:v>Whey Protein</x:v>
      </x:c>
      <x:c r="F3046" t="str"/>
      <x:c r="G3046" t="str">
        <x:v>1 x 33g sachet</x:v>
      </x:c>
      <x:c r="H3046" t="str">
        <x:v>Chiquita Banana Strawberry</x:v>
      </x:c>
      <x:c r="I3046" t="str"/>
      <x:c r="J3046" t="str">
        <x:v>Unit</x:v>
      </x:c>
      <x:c r="K3046" t="str">
        <x:v>In stock</x:v>
      </x:c>
      <x:c r="L3046" t="str">
        <x:v>2026-09-08</x:v>
      </x:c>
      <x:c r="M3046" t="str"/>
      <x:c r="N3046" t="str"/>
      <x:c r="O3046" t="str">
        <x:v>https://www.activesportstrade.co.uk/applied-nutrition-trade</x:v>
      </x:c>
      <x:c r="P3046" t="str"/>
      <x:c r="Q3046" t="str"/>
      <x:c r="R3046" t="str"/>
      <x:c r="S3046" t="str">
        <x:v>Pending genuine supplier/brand image</x:v>
      </x:c>
      <x:c r="T3046" s="54" t="n">
        <x:v>1.25</x:v>
      </x:c>
      <x:c r="U3046" s="47" t="n">
        <x:v>0.2</x:v>
      </x:c>
      <x:c r="V3046" s="54" t="n">
        <x:f>IF(ISNUMBER(T3046),T3046*(1+U3046),"")</x:f>
        <x:v>1.5</x:v>
      </x:c>
      <x:c r="W3046" s="47" t="n">
        <x:v>0.3</x:v>
      </x:c>
      <x:c r="X3046" s="54" t="n">
        <x:f>IF(ISNUMBER(V3046),V3046/(1-W3046),"")</x:f>
        <x:v>2.142857142857143</x:v>
      </x:c>
      <x:c r="Y3046" s="55" t="n">
        <x:f>IF(ISNUMBER(X3046),ROUNDUP(X3046,0),"")</x:f>
        <x:v>3</x:v>
      </x:c>
      <x:c r="Z3046" t="str">
        <x:v>Source match pending</x:v>
      </x:c>
      <x:c r="AA3046" t="str">
        <x:v>screencapture-www-activesportstrade-co-uk-applied-nutrition-trade-2026-09-10-08_59_59.pdf / page-10</x:v>
      </x:c>
      <x:c r="AB3046" s="36" t="n">
        <x:f>IF(ISNUMBER(Y3046),ROUND(Y3046*0.9,2),"")</x:f>
        <x:v>2.7</x:v>
      </x:c>
      <x:c r="AC3046" s="36" t="n">
        <x:f>IF(ISNUMBER(AB3046),ROUND(AB3046-(AB3046*0.015+0.2)-V3046,2),"")</x:f>
        <x:v>0.96</x:v>
      </x:c>
      <x:c r="AD3046" s="36" t="n">
        <x:f>IF(ISNUMBER(Y3046),ROUND(Y3046*0.8,2),"")</x:f>
        <x:v>2.4</x:v>
      </x:c>
      <x:c r="AE3046" s="36" t="n">
        <x:f>IF(ISNUMBER(AD3046),ROUND(AD3046*0.015+0.2,2),"")</x:f>
        <x:v>0.24</x:v>
      </x:c>
      <x:c r="AF3046" s="36" t="n">
        <x:f>IF(ISNUMBER(AD3046),ROUND(AD3046-AE3046-V3046,2),"")</x:f>
        <x:v>0.66</x:v>
      </x:c>
      <x:c r="AG3046" t="str">
        <x:f>IF(NOT(ISNUMBER(T3046)),"PENDING",IF(AF3046&gt;0,"PASS","FAIL"))</x:f>
        <x:v>PASS</x:v>
      </x:c>
      <x:c r="AH3046" t="str">
        <x:f>IF(NOT(ISNUMBER(T3046)),"Needs supplier cost",IF(K3046&lt;&gt;"In stock","Supplier unavailable",IF(AG3046&lt;&gt;"PASS","BLOCK - GT loss risk","Commercially protected")))</x:f>
        <x:v>Commercially protected</x:v>
      </x:c>
      <x:c r="AI3046" t="str">
        <x:v>2026-09-10 Active Sports trade capture</x:v>
      </x:c>
      <x:c r="AJ3046" t="str">
        <x:v>Management-only economics. Stripe stress test uses 1.5% + £0.20 standard UK online-card fee; pallet/mix-and-match pricing ignored.</x:v>
      </x:c>
    </x:row>
    <x:row r="3047">
      <x:c r="A3047" t="str">
        <x:v>Active Sports Nutrition</x:v>
      </x:c>
      <x:c r="B3047" t="str">
        <x:v>Applied Nutrition</x:v>
      </x:c>
      <x:c r="C3047" t="str">
        <x:v>Critical Whey</x:v>
      </x:c>
      <x:c r="D3047" t="str">
        <x:v>Supplements</x:v>
      </x:c>
      <x:c r="E3047" t="str">
        <x:v>Whey Protein</x:v>
      </x:c>
      <x:c r="F3047" t="str"/>
      <x:c r="G3047" t="str">
        <x:v>1 x 33g sachet</x:v>
      </x:c>
      <x:c r="H3047" t="str">
        <x:v>Chocolate Milkshake (Informed Sports)</x:v>
      </x:c>
      <x:c r="I3047" t="str"/>
      <x:c r="J3047" t="str">
        <x:v>Unit</x:v>
      </x:c>
      <x:c r="K3047" t="str">
        <x:v>In stock</x:v>
      </x:c>
      <x:c r="L3047" t="str">
        <x:v>2026-09-08</x:v>
      </x:c>
      <x:c r="M3047" t="str"/>
      <x:c r="N3047" t="str"/>
      <x:c r="O3047" t="str">
        <x:v>https://www.activesportstrade.co.uk/applied-nutrition-trade</x:v>
      </x:c>
      <x:c r="P3047" t="str"/>
      <x:c r="Q3047" t="str"/>
      <x:c r="R3047" t="str"/>
      <x:c r="S3047" t="str">
        <x:v>Pending genuine supplier/brand image</x:v>
      </x:c>
      <x:c r="T3047" s="54" t="n">
        <x:v>1.25</x:v>
      </x:c>
      <x:c r="U3047" s="47" t="n">
        <x:v>0.2</x:v>
      </x:c>
      <x:c r="V3047" s="54" t="n">
        <x:f>IF(ISNUMBER(T3047),T3047*(1+U3047),"")</x:f>
        <x:v>1.5</x:v>
      </x:c>
      <x:c r="W3047" s="47" t="n">
        <x:v>0.3</x:v>
      </x:c>
      <x:c r="X3047" s="54" t="n">
        <x:f>IF(ISNUMBER(V3047),V3047/(1-W3047),"")</x:f>
        <x:v>2.142857142857143</x:v>
      </x:c>
      <x:c r="Y3047" s="55" t="n">
        <x:f>IF(ISNUMBER(X3047),ROUNDUP(X3047,0),"")</x:f>
        <x:v>3</x:v>
      </x:c>
      <x:c r="Z3047" t="str">
        <x:v>Source match pending</x:v>
      </x:c>
      <x:c r="AA3047" t="str">
        <x:v>screencapture-www-activesportstrade-co-uk-applied-nutrition-trade-2026-09-10-08_59_59.pdf / page-10</x:v>
      </x:c>
      <x:c r="AB3047" s="36" t="n">
        <x:f>IF(ISNUMBER(Y3047),ROUND(Y3047*0.9,2),"")</x:f>
        <x:v>2.7</x:v>
      </x:c>
      <x:c r="AC3047" s="36" t="n">
        <x:f>IF(ISNUMBER(AB3047),ROUND(AB3047-(AB3047*0.015+0.2)-V3047,2),"")</x:f>
        <x:v>0.96</x:v>
      </x:c>
      <x:c r="AD3047" s="36" t="n">
        <x:f>IF(ISNUMBER(Y3047),ROUND(Y3047*0.8,2),"")</x:f>
        <x:v>2.4</x:v>
      </x:c>
      <x:c r="AE3047" s="36" t="n">
        <x:f>IF(ISNUMBER(AD3047),ROUND(AD3047*0.015+0.2,2),"")</x:f>
        <x:v>0.24</x:v>
      </x:c>
      <x:c r="AF3047" s="36" t="n">
        <x:f>IF(ISNUMBER(AD3047),ROUND(AD3047-AE3047-V3047,2),"")</x:f>
        <x:v>0.66</x:v>
      </x:c>
      <x:c r="AG3047" t="str">
        <x:f>IF(NOT(ISNUMBER(T3047)),"PENDING",IF(AF3047&gt;0,"PASS","FAIL"))</x:f>
        <x:v>PASS</x:v>
      </x:c>
      <x:c r="AH3047" t="str">
        <x:f>IF(NOT(ISNUMBER(T3047)),"Needs supplier cost",IF(K3047&lt;&gt;"In stock","Supplier unavailable",IF(AG3047&lt;&gt;"PASS","BLOCK - GT loss risk","Commercially protected")))</x:f>
        <x:v>Commercially protected</x:v>
      </x:c>
      <x:c r="AI3047" t="str">
        <x:v>2026-09-10 Active Sports trade capture</x:v>
      </x:c>
      <x:c r="AJ3047" t="str">
        <x:v>Management-only economics. Stripe stress test uses 1.5% + £0.20 standard UK online-card fee; pallet/mix-and-match pricing ignored.</x:v>
      </x:c>
    </x:row>
    <x:row r="3048">
      <x:c r="A3048" t="str">
        <x:v>Active Sports Nutrition</x:v>
      </x:c>
      <x:c r="B3048" t="str">
        <x:v>Applied Nutrition</x:v>
      </x:c>
      <x:c r="C3048" t="str">
        <x:v>Critical Whey</x:v>
      </x:c>
      <x:c r="D3048" t="str">
        <x:v>Supplements</x:v>
      </x:c>
      <x:c r="E3048" t="str">
        <x:v>Whey Protein</x:v>
      </x:c>
      <x:c r="F3048" t="str"/>
      <x:c r="G3048" t="str">
        <x:v>1 x 33g sachet</x:v>
      </x:c>
      <x:c r="H3048" t="str">
        <x:v>Frappuccino</x:v>
      </x:c>
      <x:c r="I3048" t="str"/>
      <x:c r="J3048" t="str">
        <x:v>Unit</x:v>
      </x:c>
      <x:c r="K3048" t="str">
        <x:v>In stock</x:v>
      </x:c>
      <x:c r="L3048" t="str">
        <x:v>2026-09-08</x:v>
      </x:c>
      <x:c r="M3048" t="str"/>
      <x:c r="N3048" t="str"/>
      <x:c r="O3048" t="str">
        <x:v>https://www.activesportstrade.co.uk/applied-nutrition-trade</x:v>
      </x:c>
      <x:c r="P3048" t="str"/>
      <x:c r="Q3048" t="str"/>
      <x:c r="R3048" t="str"/>
      <x:c r="S3048" t="str">
        <x:v>Pending genuine supplier/brand image</x:v>
      </x:c>
      <x:c r="T3048" s="54" t="n">
        <x:v>1.25</x:v>
      </x:c>
      <x:c r="U3048" s="47" t="n">
        <x:v>0.2</x:v>
      </x:c>
      <x:c r="V3048" s="54" t="n">
        <x:f>IF(ISNUMBER(T3048),T3048*(1+U3048),"")</x:f>
        <x:v>1.5</x:v>
      </x:c>
      <x:c r="W3048" s="47" t="n">
        <x:v>0.3</x:v>
      </x:c>
      <x:c r="X3048" s="54" t="n">
        <x:f>IF(ISNUMBER(V3048),V3048/(1-W3048),"")</x:f>
        <x:v>2.142857142857143</x:v>
      </x:c>
      <x:c r="Y3048" s="55" t="n">
        <x:f>IF(ISNUMBER(X3048),ROUNDUP(X3048,0),"")</x:f>
        <x:v>3</x:v>
      </x:c>
      <x:c r="Z3048" t="str">
        <x:v>Source match pending</x:v>
      </x:c>
      <x:c r="AA3048" t="str">
        <x:v>screencapture-www-activesportstrade-co-uk-applied-nutrition-trade-2026-09-10-08_59_59.pdf / page-10</x:v>
      </x:c>
      <x:c r="AB3048" s="36" t="n">
        <x:f>IF(ISNUMBER(Y3048),ROUND(Y3048*0.9,2),"")</x:f>
        <x:v>2.7</x:v>
      </x:c>
      <x:c r="AC3048" s="36" t="n">
        <x:f>IF(ISNUMBER(AB3048),ROUND(AB3048-(AB3048*0.015+0.2)-V3048,2),"")</x:f>
        <x:v>0.96</x:v>
      </x:c>
      <x:c r="AD3048" s="36" t="n">
        <x:f>IF(ISNUMBER(Y3048),ROUND(Y3048*0.8,2),"")</x:f>
        <x:v>2.4</x:v>
      </x:c>
      <x:c r="AE3048" s="36" t="n">
        <x:f>IF(ISNUMBER(AD3048),ROUND(AD3048*0.015+0.2,2),"")</x:f>
        <x:v>0.24</x:v>
      </x:c>
      <x:c r="AF3048" s="36" t="n">
        <x:f>IF(ISNUMBER(AD3048),ROUND(AD3048-AE3048-V3048,2),"")</x:f>
        <x:v>0.66</x:v>
      </x:c>
      <x:c r="AG3048" t="str">
        <x:f>IF(NOT(ISNUMBER(T3048)),"PENDING",IF(AF3048&gt;0,"PASS","FAIL"))</x:f>
        <x:v>PASS</x:v>
      </x:c>
      <x:c r="AH3048" t="str">
        <x:f>IF(NOT(ISNUMBER(T3048)),"Needs supplier cost",IF(K3048&lt;&gt;"In stock","Supplier unavailable",IF(AG3048&lt;&gt;"PASS","BLOCK - GT loss risk","Commercially protected")))</x:f>
        <x:v>Commercially protected</x:v>
      </x:c>
      <x:c r="AI3048" t="str">
        <x:v>2026-09-10 Active Sports trade capture</x:v>
      </x:c>
      <x:c r="AJ3048" t="str">
        <x:v>Management-only economics. Stripe stress test uses 1.5% + £0.20 standard UK online-card fee; pallet/mix-and-match pricing ignored.</x:v>
      </x:c>
    </x:row>
    <x:row r="3049">
      <x:c r="A3049" t="str">
        <x:v>Active Sports Nutrition</x:v>
      </x:c>
      <x:c r="B3049" t="str">
        <x:v>Applied Nutrition</x:v>
      </x:c>
      <x:c r="C3049" t="str">
        <x:v>Critical Whey</x:v>
      </x:c>
      <x:c r="D3049" t="str">
        <x:v>Supplements</x:v>
      </x:c>
      <x:c r="E3049" t="str">
        <x:v>Whey Protein</x:v>
      </x:c>
      <x:c r="F3049" t="str"/>
      <x:c r="G3049" t="str">
        <x:v>1 x 33g sachet</x:v>
      </x:c>
      <x:c r="H3049" t="str">
        <x:v>Strawberry Milkshake (Informed Sports)</x:v>
      </x:c>
      <x:c r="I3049" t="str"/>
      <x:c r="J3049" t="str">
        <x:v>Unit</x:v>
      </x:c>
      <x:c r="K3049" t="str">
        <x:v>In stock</x:v>
      </x:c>
      <x:c r="L3049" t="str">
        <x:v>2026-09-08</x:v>
      </x:c>
      <x:c r="M3049" t="str"/>
      <x:c r="N3049" t="str"/>
      <x:c r="O3049" t="str">
        <x:v>https://www.activesportstrade.co.uk/applied-nutrition-trade</x:v>
      </x:c>
      <x:c r="P3049" t="str"/>
      <x:c r="Q3049" t="str"/>
      <x:c r="R3049" t="str"/>
      <x:c r="S3049" t="str">
        <x:v>Pending genuine supplier/brand image</x:v>
      </x:c>
      <x:c r="T3049" s="54" t="n">
        <x:v>1.25</x:v>
      </x:c>
      <x:c r="U3049" s="47" t="n">
        <x:v>0.2</x:v>
      </x:c>
      <x:c r="V3049" s="54" t="n">
        <x:f>IF(ISNUMBER(T3049),T3049*(1+U3049),"")</x:f>
        <x:v>1.5</x:v>
      </x:c>
      <x:c r="W3049" s="47" t="n">
        <x:v>0.3</x:v>
      </x:c>
      <x:c r="X3049" s="54" t="n">
        <x:f>IF(ISNUMBER(V3049),V3049/(1-W3049),"")</x:f>
        <x:v>2.142857142857143</x:v>
      </x:c>
      <x:c r="Y3049" s="55" t="n">
        <x:f>IF(ISNUMBER(X3049),ROUNDUP(X3049,0),"")</x:f>
        <x:v>3</x:v>
      </x:c>
      <x:c r="Z3049" t="str">
        <x:v>Source match pending</x:v>
      </x:c>
      <x:c r="AA3049" t="str">
        <x:v>screencapture-www-activesportstrade-co-uk-applied-nutrition-trade-2026-09-10-08_59_59.pdf / page-10</x:v>
      </x:c>
      <x:c r="AB3049" s="36" t="n">
        <x:f>IF(ISNUMBER(Y3049),ROUND(Y3049*0.9,2),"")</x:f>
        <x:v>2.7</x:v>
      </x:c>
      <x:c r="AC3049" s="36" t="n">
        <x:f>IF(ISNUMBER(AB3049),ROUND(AB3049-(AB3049*0.015+0.2)-V3049,2),"")</x:f>
        <x:v>0.96</x:v>
      </x:c>
      <x:c r="AD3049" s="36" t="n">
        <x:f>IF(ISNUMBER(Y3049),ROUND(Y3049*0.8,2),"")</x:f>
        <x:v>2.4</x:v>
      </x:c>
      <x:c r="AE3049" s="36" t="n">
        <x:f>IF(ISNUMBER(AD3049),ROUND(AD3049*0.015+0.2,2),"")</x:f>
        <x:v>0.24</x:v>
      </x:c>
      <x:c r="AF3049" s="36" t="n">
        <x:f>IF(ISNUMBER(AD3049),ROUND(AD3049-AE3049-V3049,2),"")</x:f>
        <x:v>0.66</x:v>
      </x:c>
      <x:c r="AG3049" t="str">
        <x:f>IF(NOT(ISNUMBER(T3049)),"PENDING",IF(AF3049&gt;0,"PASS","FAIL"))</x:f>
        <x:v>PASS</x:v>
      </x:c>
      <x:c r="AH3049" t="str">
        <x:f>IF(NOT(ISNUMBER(T3049)),"Needs supplier cost",IF(K3049&lt;&gt;"In stock","Supplier unavailable",IF(AG3049&lt;&gt;"PASS","BLOCK - GT loss risk","Commercially protected")))</x:f>
        <x:v>Commercially protected</x:v>
      </x:c>
      <x:c r="AI3049" t="str">
        <x:v>2026-09-10 Active Sports trade capture</x:v>
      </x:c>
      <x:c r="AJ3049" t="str">
        <x:v>Management-only economics. Stripe stress test uses 1.5% + £0.20 standard UK online-card fee; pallet/mix-and-match pricing ignored.</x:v>
      </x:c>
    </x:row>
    <x:row r="3050">
      <x:c r="A3050" t="str">
        <x:v>Active Sports Nutrition</x:v>
      </x:c>
      <x:c r="B3050" t="str">
        <x:v>Applied Nutrition</x:v>
      </x:c>
      <x:c r="C3050" t="str">
        <x:v>Critical Whey</x:v>
      </x:c>
      <x:c r="D3050" t="str">
        <x:v>Supplements</x:v>
      </x:c>
      <x:c r="E3050" t="str">
        <x:v>Whey Protein</x:v>
      </x:c>
      <x:c r="F3050" t="str"/>
      <x:c r="G3050" t="str">
        <x:v>1 x 33g sachet</x:v>
      </x:c>
      <x:c r="H3050" t="str">
        <x:v>Vanilla Ice Cream (Informed Sports)</x:v>
      </x:c>
      <x:c r="I3050" t="str"/>
      <x:c r="J3050" t="str">
        <x:v>Unit</x:v>
      </x:c>
      <x:c r="K3050" t="str">
        <x:v>In stock</x:v>
      </x:c>
      <x:c r="L3050" t="str">
        <x:v>2026-09-08</x:v>
      </x:c>
      <x:c r="M3050" t="str"/>
      <x:c r="N3050" t="str"/>
      <x:c r="O3050" t="str">
        <x:v>https://www.activesportstrade.co.uk/applied-nutrition-trade</x:v>
      </x:c>
      <x:c r="P3050" t="str"/>
      <x:c r="Q3050" t="str"/>
      <x:c r="R3050" t="str"/>
      <x:c r="S3050" t="str">
        <x:v>Pending genuine supplier/brand image</x:v>
      </x:c>
      <x:c r="T3050" s="54" t="n">
        <x:v>1.25</x:v>
      </x:c>
      <x:c r="U3050" s="47" t="n">
        <x:v>0.2</x:v>
      </x:c>
      <x:c r="V3050" s="54" t="n">
        <x:f>IF(ISNUMBER(T3050),T3050*(1+U3050),"")</x:f>
        <x:v>1.5</x:v>
      </x:c>
      <x:c r="W3050" s="47" t="n">
        <x:v>0.3</x:v>
      </x:c>
      <x:c r="X3050" s="54" t="n">
        <x:f>IF(ISNUMBER(V3050),V3050/(1-W3050),"")</x:f>
        <x:v>2.142857142857143</x:v>
      </x:c>
      <x:c r="Y3050" s="55" t="n">
        <x:f>IF(ISNUMBER(X3050),ROUNDUP(X3050,0),"")</x:f>
        <x:v>3</x:v>
      </x:c>
      <x:c r="Z3050" t="str">
        <x:v>Source match pending</x:v>
      </x:c>
      <x:c r="AA3050" t="str">
        <x:v>screencapture-www-activesportstrade-co-uk-applied-nutrition-trade-2026-09-10-08_59_59.pdf / page-10</x:v>
      </x:c>
      <x:c r="AB3050" s="36" t="n">
        <x:f>IF(ISNUMBER(Y3050),ROUND(Y3050*0.9,2),"")</x:f>
        <x:v>2.7</x:v>
      </x:c>
      <x:c r="AC3050" s="36" t="n">
        <x:f>IF(ISNUMBER(AB3050),ROUND(AB3050-(AB3050*0.015+0.2)-V3050,2),"")</x:f>
        <x:v>0.96</x:v>
      </x:c>
      <x:c r="AD3050" s="36" t="n">
        <x:f>IF(ISNUMBER(Y3050),ROUND(Y3050*0.8,2),"")</x:f>
        <x:v>2.4</x:v>
      </x:c>
      <x:c r="AE3050" s="36" t="n">
        <x:f>IF(ISNUMBER(AD3050),ROUND(AD3050*0.015+0.2,2),"")</x:f>
        <x:v>0.24</x:v>
      </x:c>
      <x:c r="AF3050" s="36" t="n">
        <x:f>IF(ISNUMBER(AD3050),ROUND(AD3050-AE3050-V3050,2),"")</x:f>
        <x:v>0.66</x:v>
      </x:c>
      <x:c r="AG3050" t="str">
        <x:f>IF(NOT(ISNUMBER(T3050)),"PENDING",IF(AF3050&gt;0,"PASS","FAIL"))</x:f>
        <x:v>PASS</x:v>
      </x:c>
      <x:c r="AH3050" t="str">
        <x:f>IF(NOT(ISNUMBER(T3050)),"Needs supplier cost",IF(K3050&lt;&gt;"In stock","Supplier unavailable",IF(AG3050&lt;&gt;"PASS","BLOCK - GT loss risk","Commercially protected")))</x:f>
        <x:v>Commercially protected</x:v>
      </x:c>
      <x:c r="AI3050" t="str">
        <x:v>2026-09-10 Active Sports trade capture</x:v>
      </x:c>
      <x:c r="AJ3050" t="str">
        <x:v>Management-only economics. Stripe stress test uses 1.5% + £0.20 standard UK online-card fee; pallet/mix-and-match pricing ignored.</x:v>
      </x:c>
    </x:row>
    <x:row r="3051">
      <x:c r="A3051" t="str">
        <x:v>Active Sports Nutrition</x:v>
      </x:c>
      <x:c r="B3051" t="str">
        <x:v>Applied Nutrition</x:v>
      </x:c>
      <x:c r="C3051" t="str">
        <x:v>Critical Whey</x:v>
      </x:c>
      <x:c r="D3051" t="str">
        <x:v>Supplements</x:v>
      </x:c>
      <x:c r="E3051" t="str">
        <x:v>Whey Protein</x:v>
      </x:c>
      <x:c r="F3051" t="str"/>
      <x:c r="G3051" t="str">
        <x:v>1 x 33g sachet</x:v>
      </x:c>
      <x:c r="H3051" t="str">
        <x:v>Vanilla Matcha</x:v>
      </x:c>
      <x:c r="I3051" t="str"/>
      <x:c r="J3051" t="str">
        <x:v>Unit</x:v>
      </x:c>
      <x:c r="K3051" t="str">
        <x:v>In stock</x:v>
      </x:c>
      <x:c r="L3051" t="str">
        <x:v>2026-09-08</x:v>
      </x:c>
      <x:c r="M3051" t="str"/>
      <x:c r="N3051" t="str"/>
      <x:c r="O3051" t="str">
        <x:v>https://www.activesportstrade.co.uk/applied-nutrition-trade</x:v>
      </x:c>
      <x:c r="P3051" t="str"/>
      <x:c r="Q3051" t="str"/>
      <x:c r="R3051" t="str"/>
      <x:c r="S3051" t="str">
        <x:v>Pending genuine supplier/brand image</x:v>
      </x:c>
      <x:c r="T3051" s="54" t="n">
        <x:v>1.25</x:v>
      </x:c>
      <x:c r="U3051" s="47" t="n">
        <x:v>0.2</x:v>
      </x:c>
      <x:c r="V3051" s="54" t="n">
        <x:f>IF(ISNUMBER(T3051),T3051*(1+U3051),"")</x:f>
        <x:v>1.5</x:v>
      </x:c>
      <x:c r="W3051" s="47" t="n">
        <x:v>0.3</x:v>
      </x:c>
      <x:c r="X3051" s="54" t="n">
        <x:f>IF(ISNUMBER(V3051),V3051/(1-W3051),"")</x:f>
        <x:v>2.142857142857143</x:v>
      </x:c>
      <x:c r="Y3051" s="55" t="n">
        <x:f>IF(ISNUMBER(X3051),ROUNDUP(X3051,0),"")</x:f>
        <x:v>3</x:v>
      </x:c>
      <x:c r="Z3051" t="str">
        <x:v>Source match pending</x:v>
      </x:c>
      <x:c r="AA3051" t="str">
        <x:v>screencapture-www-activesportstrade-co-uk-applied-nutrition-trade-2026-09-10-08_59_59.pdf / page-10</x:v>
      </x:c>
      <x:c r="AB3051" s="36" t="n">
        <x:f>IF(ISNUMBER(Y3051),ROUND(Y3051*0.9,2),"")</x:f>
        <x:v>2.7</x:v>
      </x:c>
      <x:c r="AC3051" s="36" t="n">
        <x:f>IF(ISNUMBER(AB3051),ROUND(AB3051-(AB3051*0.015+0.2)-V3051,2),"")</x:f>
        <x:v>0.96</x:v>
      </x:c>
      <x:c r="AD3051" s="36" t="n">
        <x:f>IF(ISNUMBER(Y3051),ROUND(Y3051*0.8,2),"")</x:f>
        <x:v>2.4</x:v>
      </x:c>
      <x:c r="AE3051" s="36" t="n">
        <x:f>IF(ISNUMBER(AD3051),ROUND(AD3051*0.015+0.2,2),"")</x:f>
        <x:v>0.24</x:v>
      </x:c>
      <x:c r="AF3051" s="36" t="n">
        <x:f>IF(ISNUMBER(AD3051),ROUND(AD3051-AE3051-V3051,2),"")</x:f>
        <x:v>0.66</x:v>
      </x:c>
      <x:c r="AG3051" t="str">
        <x:f>IF(NOT(ISNUMBER(T3051)),"PENDING",IF(AF3051&gt;0,"PASS","FAIL"))</x:f>
        <x:v>PASS</x:v>
      </x:c>
      <x:c r="AH3051" t="str">
        <x:f>IF(NOT(ISNUMBER(T3051)),"Needs supplier cost",IF(K3051&lt;&gt;"In stock","Supplier unavailable",IF(AG3051&lt;&gt;"PASS","BLOCK - GT loss risk","Commercially protected")))</x:f>
        <x:v>Commercially protected</x:v>
      </x:c>
      <x:c r="AI3051" t="str">
        <x:v>2026-09-10 Active Sports trade capture</x:v>
      </x:c>
      <x:c r="AJ3051" t="str">
        <x:v>Management-only economics. Stripe stress test uses 1.5% + £0.20 standard UK online-card fee; pallet/mix-and-match pricing ignored.</x:v>
      </x:c>
    </x:row>
    <x:row r="3052">
      <x:c r="A3052" t="str">
        <x:v>Active Sports Nutrition</x:v>
      </x:c>
      <x:c r="B3052" t="str">
        <x:v>Applied Nutrition</x:v>
      </x:c>
      <x:c r="C3052" t="str">
        <x:v>Critical Whey</x:v>
      </x:c>
      <x:c r="D3052" t="str">
        <x:v>Supplements</x:v>
      </x:c>
      <x:c r="E3052" t="str">
        <x:v>Whey Protein</x:v>
      </x:c>
      <x:c r="F3052" t="str"/>
      <x:c r="G3052" t="str">
        <x:v>1 x 33g sachet</x:v>
      </x:c>
      <x:c r="H3052" t="str">
        <x:v>White Choc Pistachio</x:v>
      </x:c>
      <x:c r="I3052" t="str"/>
      <x:c r="J3052" t="str">
        <x:v>Unit</x:v>
      </x:c>
      <x:c r="K3052" t="str">
        <x:v>In stock</x:v>
      </x:c>
      <x:c r="L3052" t="str">
        <x:v>2026-09-08</x:v>
      </x:c>
      <x:c r="M3052" t="str"/>
      <x:c r="N3052" t="str"/>
      <x:c r="O3052" t="str">
        <x:v>https://www.activesportstrade.co.uk/applied-nutrition-trade</x:v>
      </x:c>
      <x:c r="P3052" t="str"/>
      <x:c r="Q3052" t="str"/>
      <x:c r="R3052" t="str"/>
      <x:c r="S3052" t="str">
        <x:v>Pending genuine supplier/brand image</x:v>
      </x:c>
      <x:c r="T3052" s="54" t="n">
        <x:v>1.25</x:v>
      </x:c>
      <x:c r="U3052" s="47" t="n">
        <x:v>0.2</x:v>
      </x:c>
      <x:c r="V3052" s="54" t="n">
        <x:f>IF(ISNUMBER(T3052),T3052*(1+U3052),"")</x:f>
        <x:v>1.5</x:v>
      </x:c>
      <x:c r="W3052" s="47" t="n">
        <x:v>0.3</x:v>
      </x:c>
      <x:c r="X3052" s="54" t="n">
        <x:f>IF(ISNUMBER(V3052),V3052/(1-W3052),"")</x:f>
        <x:v>2.142857142857143</x:v>
      </x:c>
      <x:c r="Y3052" s="55" t="n">
        <x:f>IF(ISNUMBER(X3052),ROUNDUP(X3052,0),"")</x:f>
        <x:v>3</x:v>
      </x:c>
      <x:c r="Z3052" t="str">
        <x:v>Source match pending</x:v>
      </x:c>
      <x:c r="AA3052" t="str">
        <x:v>screencapture-www-activesportstrade-co-uk-applied-nutrition-trade-2026-09-10-08_59_59.pdf / page-10</x:v>
      </x:c>
      <x:c r="AB3052" s="36" t="n">
        <x:f>IF(ISNUMBER(Y3052),ROUND(Y3052*0.9,2),"")</x:f>
        <x:v>2.7</x:v>
      </x:c>
      <x:c r="AC3052" s="36" t="n">
        <x:f>IF(ISNUMBER(AB3052),ROUND(AB3052-(AB3052*0.015+0.2)-V3052,2),"")</x:f>
        <x:v>0.96</x:v>
      </x:c>
      <x:c r="AD3052" s="36" t="n">
        <x:f>IF(ISNUMBER(Y3052),ROUND(Y3052*0.8,2),"")</x:f>
        <x:v>2.4</x:v>
      </x:c>
      <x:c r="AE3052" s="36" t="n">
        <x:f>IF(ISNUMBER(AD3052),ROUND(AD3052*0.015+0.2,2),"")</x:f>
        <x:v>0.24</x:v>
      </x:c>
      <x:c r="AF3052" s="36" t="n">
        <x:f>IF(ISNUMBER(AD3052),ROUND(AD3052-AE3052-V3052,2),"")</x:f>
        <x:v>0.66</x:v>
      </x:c>
      <x:c r="AG3052" t="str">
        <x:f>IF(NOT(ISNUMBER(T3052)),"PENDING",IF(AF3052&gt;0,"PASS","FAIL"))</x:f>
        <x:v>PASS</x:v>
      </x:c>
      <x:c r="AH3052" t="str">
        <x:f>IF(NOT(ISNUMBER(T3052)),"Needs supplier cost",IF(K3052&lt;&gt;"In stock","Supplier unavailable",IF(AG3052&lt;&gt;"PASS","BLOCK - GT loss risk","Commercially protected")))</x:f>
        <x:v>Commercially protected</x:v>
      </x:c>
      <x:c r="AI3052" t="str">
        <x:v>2026-09-10 Active Sports trade capture</x:v>
      </x:c>
      <x:c r="AJ3052" t="str">
        <x:v>Management-only economics. Stripe stress test uses 1.5% + £0.20 standard UK online-card fee; pallet/mix-and-match pricing ignored.</x:v>
      </x:c>
    </x:row>
    <x:row r="3053">
      <x:c r="A3053" t="str">
        <x:v>Active Sports Nutrition</x:v>
      </x:c>
      <x:c r="B3053" t="str">
        <x:v>Applied Nutrition</x:v>
      </x:c>
      <x:c r="C3053" t="str">
        <x:v>Critical Whey</x:v>
      </x:c>
      <x:c r="D3053" t="str">
        <x:v>Supplements</x:v>
      </x:c>
      <x:c r="E3053" t="str">
        <x:v>Whey Protein</x:v>
      </x:c>
      <x:c r="F3053" t="str"/>
      <x:c r="G3053" t="str">
        <x:v>2kg</x:v>
      </x:c>
      <x:c r="H3053" t="str">
        <x:v>Chocolate Milkshake (Informed Sports)</x:v>
      </x:c>
      <x:c r="I3053" t="str"/>
      <x:c r="J3053" t="str">
        <x:v>Unit</x:v>
      </x:c>
      <x:c r="K3053" t="str">
        <x:v>In stock</x:v>
      </x:c>
      <x:c r="L3053" t="str">
        <x:v>2026-09-08</x:v>
      </x:c>
      <x:c r="M3053" t="str"/>
      <x:c r="N3053" t="str"/>
      <x:c r="O3053" t="str">
        <x:v>https://www.activesportstrade.co.uk/Whey-Protein-Supplements-Trade/applied-nutrition-trade</x:v>
      </x:c>
      <x:c r="P3053" t="str">
        <x:v>SPECIAL OFFER / FREE MULTI VITAMIN / FREE AMINO FUEL wording stripped. Expired April-2026 Drumstick clearance row intentionally excluded from normal current matrix.</x:v>
      </x:c>
      <x:c r="Q3053" t="str"/>
      <x:c r="R3053" t="str"/>
      <x:c r="S3053" t="str">
        <x:v>Pending genuine supplier/brand image</x:v>
      </x:c>
      <x:c r="T3053" s="54" t="n">
        <x:v>21.99</x:v>
      </x:c>
      <x:c r="U3053" s="47" t="n">
        <x:v>0.2</x:v>
      </x:c>
      <x:c r="V3053" s="54" t="n">
        <x:f>IF(ISNUMBER(T3053),T3053*(1+U3053),"")</x:f>
        <x:v>26.387999999999998</x:v>
      </x:c>
      <x:c r="W3053" s="47" t="n">
        <x:v>0.3</x:v>
      </x:c>
      <x:c r="X3053" s="54" t="n">
        <x:f>IF(ISNUMBER(V3053),V3053/(1-W3053),"")</x:f>
        <x:v>37.69714285714286</x:v>
      </x:c>
      <x:c r="Y3053" s="55" t="n">
        <x:f>IF(ISNUMBER(X3053),ROUNDUP(X3053,0),"")</x:f>
        <x:v>38</x:v>
      </x:c>
      <x:c r="Z3053" t="str">
        <x:v>Source match pending</x:v>
      </x:c>
      <x:c r="AA3053" t="str">
        <x:v>screencapture-www-activesportstrade-co-uk-applied-nutrition-trade-2026-09-10-08_59_59.pdf / page-10</x:v>
      </x:c>
      <x:c r="AB3053" s="36" t="n">
        <x:f>IF(ISNUMBER(Y3053),ROUND(Y3053*0.9,2),"")</x:f>
        <x:v>34.2</x:v>
      </x:c>
      <x:c r="AC3053" s="36" t="n">
        <x:f>IF(ISNUMBER(AB3053),ROUND(AB3053-(AB3053*0.015+0.2)-V3053,2),"")</x:f>
        <x:v>7.1</x:v>
      </x:c>
      <x:c r="AD3053" s="36" t="n">
        <x:f>IF(ISNUMBER(Y3053),ROUND(Y3053*0.8,2),"")</x:f>
        <x:v>30.4</x:v>
      </x:c>
      <x:c r="AE3053" s="36" t="n">
        <x:f>IF(ISNUMBER(AD3053),ROUND(AD3053*0.015+0.2,2),"")</x:f>
        <x:v>0.66</x:v>
      </x:c>
      <x:c r="AF3053" s="36" t="n">
        <x:f>IF(ISNUMBER(AD3053),ROUND(AD3053-AE3053-V3053,2),"")</x:f>
        <x:v>3.35</x:v>
      </x:c>
      <x:c r="AG3053" t="str">
        <x:f>IF(NOT(ISNUMBER(T3053)),"PENDING",IF(AF3053&gt;0,"PASS","FAIL"))</x:f>
        <x:v>PASS</x:v>
      </x:c>
      <x:c r="AH3053" t="str">
        <x:f>IF(NOT(ISNUMBER(T3053)),"Needs supplier cost",IF(K3053&lt;&gt;"In stock","Supplier unavailable",IF(AG3053&lt;&gt;"PASS","BLOCK - GT loss risk","Commercially protected")))</x:f>
        <x:v>Commercially protected</x:v>
      </x:c>
      <x:c r="AI3053" t="str">
        <x:v>2026-09-10 Active Sports trade capture</x:v>
      </x:c>
      <x:c r="AJ3053" t="str">
        <x:v>Management-only economics. Stripe stress test uses 1.5% + £0.20 standard UK online-card fee; pallet/mix-and-match pricing ignored.</x:v>
      </x:c>
    </x:row>
    <x:row r="3054">
      <x:c r="A3054" t="str">
        <x:v>Active Sports Nutrition</x:v>
      </x:c>
      <x:c r="B3054" t="str">
        <x:v>Applied Nutrition</x:v>
      </x:c>
      <x:c r="C3054" t="str">
        <x:v>Critical Whey</x:v>
      </x:c>
      <x:c r="D3054" t="str">
        <x:v>Supplements</x:v>
      </x:c>
      <x:c r="E3054" t="str">
        <x:v>Whey Protein</x:v>
      </x:c>
      <x:c r="F3054" t="str"/>
      <x:c r="G3054" t="str">
        <x:v>2kg</x:v>
      </x:c>
      <x:c r="H3054" t="str">
        <x:v>Strawberry Milkshake (Informed Sports)</x:v>
      </x:c>
      <x:c r="I3054" t="str"/>
      <x:c r="J3054" t="str">
        <x:v>Unit</x:v>
      </x:c>
      <x:c r="K3054" t="str">
        <x:v>In stock</x:v>
      </x:c>
      <x:c r="L3054" t="str">
        <x:v>2026-09-08</x:v>
      </x:c>
      <x:c r="M3054" t="str"/>
      <x:c r="N3054" t="str"/>
      <x:c r="O3054" t="str">
        <x:v>https://www.activesportstrade.co.uk/Whey-Protein-Supplements-Trade/applied-nutrition-trade</x:v>
      </x:c>
      <x:c r="P3054" t="str">
        <x:v>SPECIAL OFFER / FREE MULTI VITAMIN / FREE AMINO FUEL wording stripped. Expired April-2026 Drumstick clearance row intentionally excluded from normal current matrix.</x:v>
      </x:c>
      <x:c r="Q3054" t="str"/>
      <x:c r="R3054" t="str"/>
      <x:c r="S3054" t="str">
        <x:v>Pending genuine supplier/brand image</x:v>
      </x:c>
      <x:c r="T3054" s="54" t="n">
        <x:v>21.99</x:v>
      </x:c>
      <x:c r="U3054" s="47" t="n">
        <x:v>0.2</x:v>
      </x:c>
      <x:c r="V3054" s="54" t="n">
        <x:f>IF(ISNUMBER(T3054),T3054*(1+U3054),"")</x:f>
        <x:v>26.387999999999998</x:v>
      </x:c>
      <x:c r="W3054" s="47" t="n">
        <x:v>0.3</x:v>
      </x:c>
      <x:c r="X3054" s="54" t="n">
        <x:f>IF(ISNUMBER(V3054),V3054/(1-W3054),"")</x:f>
        <x:v>37.69714285714286</x:v>
      </x:c>
      <x:c r="Y3054" s="55" t="n">
        <x:f>IF(ISNUMBER(X3054),ROUNDUP(X3054,0),"")</x:f>
        <x:v>38</x:v>
      </x:c>
      <x:c r="Z3054" t="str">
        <x:v>Source match pending</x:v>
      </x:c>
      <x:c r="AA3054" t="str">
        <x:v>screencapture-www-activesportstrade-co-uk-applied-nutrition-trade-2026-09-10-08_59_59.pdf / page-10</x:v>
      </x:c>
      <x:c r="AB3054" s="36" t="n">
        <x:f>IF(ISNUMBER(Y3054),ROUND(Y3054*0.9,2),"")</x:f>
        <x:v>34.2</x:v>
      </x:c>
      <x:c r="AC3054" s="36" t="n">
        <x:f>IF(ISNUMBER(AB3054),ROUND(AB3054-(AB3054*0.015+0.2)-V3054,2),"")</x:f>
        <x:v>7.1</x:v>
      </x:c>
      <x:c r="AD3054" s="36" t="n">
        <x:f>IF(ISNUMBER(Y3054),ROUND(Y3054*0.8,2),"")</x:f>
        <x:v>30.4</x:v>
      </x:c>
      <x:c r="AE3054" s="36" t="n">
        <x:f>IF(ISNUMBER(AD3054),ROUND(AD3054*0.015+0.2,2),"")</x:f>
        <x:v>0.66</x:v>
      </x:c>
      <x:c r="AF3054" s="36" t="n">
        <x:f>IF(ISNUMBER(AD3054),ROUND(AD3054-AE3054-V3054,2),"")</x:f>
        <x:v>3.35</x:v>
      </x:c>
      <x:c r="AG3054" t="str">
        <x:f>IF(NOT(ISNUMBER(T3054)),"PENDING",IF(AF3054&gt;0,"PASS","FAIL"))</x:f>
        <x:v>PASS</x:v>
      </x:c>
      <x:c r="AH3054" t="str">
        <x:f>IF(NOT(ISNUMBER(T3054)),"Needs supplier cost",IF(K3054&lt;&gt;"In stock","Supplier unavailable",IF(AG3054&lt;&gt;"PASS","BLOCK - GT loss risk","Commercially protected")))</x:f>
        <x:v>Commercially protected</x:v>
      </x:c>
      <x:c r="AI3054" t="str">
        <x:v>2026-09-10 Active Sports trade capture</x:v>
      </x:c>
      <x:c r="AJ3054" t="str">
        <x:v>Management-only economics. Stripe stress test uses 1.5% + £0.20 standard UK online-card fee; pallet/mix-and-match pricing ignored.</x:v>
      </x:c>
    </x:row>
    <x:row r="3055">
      <x:c r="A3055" t="str">
        <x:v>Active Sports Nutrition</x:v>
      </x:c>
      <x:c r="B3055" t="str">
        <x:v>Applied Nutrition</x:v>
      </x:c>
      <x:c r="C3055" t="str">
        <x:v>Critical Whey</x:v>
      </x:c>
      <x:c r="D3055" t="str">
        <x:v>Supplements</x:v>
      </x:c>
      <x:c r="E3055" t="str">
        <x:v>Whey Protein</x:v>
      </x:c>
      <x:c r="F3055" t="str"/>
      <x:c r="G3055" t="str">
        <x:v>2kg</x:v>
      </x:c>
      <x:c r="H3055" t="str">
        <x:v>Vanilla Ice Cream (Informed Sports)</x:v>
      </x:c>
      <x:c r="I3055" t="str"/>
      <x:c r="J3055" t="str">
        <x:v>Unit</x:v>
      </x:c>
      <x:c r="K3055" t="str">
        <x:v>In stock</x:v>
      </x:c>
      <x:c r="L3055" t="str">
        <x:v>2026-09-08</x:v>
      </x:c>
      <x:c r="M3055" t="str"/>
      <x:c r="N3055" t="str"/>
      <x:c r="O3055" t="str">
        <x:v>https://www.activesportstrade.co.uk/Whey-Protein-Supplements-Trade/applied-nutrition-trade</x:v>
      </x:c>
      <x:c r="P3055" t="str">
        <x:v>SPECIAL OFFER / FREE MULTI VITAMIN / FREE AMINO FUEL wording stripped. Expired April-2026 Drumstick clearance row intentionally excluded from normal current matrix.</x:v>
      </x:c>
      <x:c r="Q3055" t="str"/>
      <x:c r="R3055" t="str"/>
      <x:c r="S3055" t="str">
        <x:v>Pending genuine supplier/brand image</x:v>
      </x:c>
      <x:c r="T3055" s="54" t="n">
        <x:v>21.99</x:v>
      </x:c>
      <x:c r="U3055" s="47" t="n">
        <x:v>0.2</x:v>
      </x:c>
      <x:c r="V3055" s="54" t="n">
        <x:f>IF(ISNUMBER(T3055),T3055*(1+U3055),"")</x:f>
        <x:v>26.387999999999998</x:v>
      </x:c>
      <x:c r="W3055" s="47" t="n">
        <x:v>0.3</x:v>
      </x:c>
      <x:c r="X3055" s="54" t="n">
        <x:f>IF(ISNUMBER(V3055),V3055/(1-W3055),"")</x:f>
        <x:v>37.69714285714286</x:v>
      </x:c>
      <x:c r="Y3055" s="55" t="n">
        <x:f>IF(ISNUMBER(X3055),ROUNDUP(X3055,0),"")</x:f>
        <x:v>38</x:v>
      </x:c>
      <x:c r="Z3055" t="str">
        <x:v>Source match pending</x:v>
      </x:c>
      <x:c r="AA3055" t="str">
        <x:v>screencapture-www-activesportstrade-co-uk-applied-nutrition-trade-2026-09-10-08_59_59.pdf / page-10</x:v>
      </x:c>
      <x:c r="AB3055" s="36" t="n">
        <x:f>IF(ISNUMBER(Y3055),ROUND(Y3055*0.9,2),"")</x:f>
        <x:v>34.2</x:v>
      </x:c>
      <x:c r="AC3055" s="36" t="n">
        <x:f>IF(ISNUMBER(AB3055),ROUND(AB3055-(AB3055*0.015+0.2)-V3055,2),"")</x:f>
        <x:v>7.1</x:v>
      </x:c>
      <x:c r="AD3055" s="36" t="n">
        <x:f>IF(ISNUMBER(Y3055),ROUND(Y3055*0.8,2),"")</x:f>
        <x:v>30.4</x:v>
      </x:c>
      <x:c r="AE3055" s="36" t="n">
        <x:f>IF(ISNUMBER(AD3055),ROUND(AD3055*0.015+0.2,2),"")</x:f>
        <x:v>0.66</x:v>
      </x:c>
      <x:c r="AF3055" s="36" t="n">
        <x:f>IF(ISNUMBER(AD3055),ROUND(AD3055-AE3055-V3055,2),"")</x:f>
        <x:v>3.35</x:v>
      </x:c>
      <x:c r="AG3055" t="str">
        <x:f>IF(NOT(ISNUMBER(T3055)),"PENDING",IF(AF3055&gt;0,"PASS","FAIL"))</x:f>
        <x:v>PASS</x:v>
      </x:c>
      <x:c r="AH3055" t="str">
        <x:f>IF(NOT(ISNUMBER(T3055)),"Needs supplier cost",IF(K3055&lt;&gt;"In stock","Supplier unavailable",IF(AG3055&lt;&gt;"PASS","BLOCK - GT loss risk","Commercially protected")))</x:f>
        <x:v>Commercially protected</x:v>
      </x:c>
      <x:c r="AI3055" t="str">
        <x:v>2026-09-10 Active Sports trade capture</x:v>
      </x:c>
      <x:c r="AJ3055" t="str">
        <x:v>Management-only economics. Stripe stress test uses 1.5% + £0.20 standard UK online-card fee; pallet/mix-and-match pricing ignored.</x:v>
      </x:c>
    </x:row>
    <x:row r="3056">
      <x:c r="A3056" t="str">
        <x:v>Active Sports Nutrition</x:v>
      </x:c>
      <x:c r="B3056" t="str">
        <x:v>Applied Nutrition</x:v>
      </x:c>
      <x:c r="C3056" t="str">
        <x:v>Critical Whey</x:v>
      </x:c>
      <x:c r="D3056" t="str">
        <x:v>Supplements</x:v>
      </x:c>
      <x:c r="E3056" t="str">
        <x:v>Whey Protein</x:v>
      </x:c>
      <x:c r="F3056" t="str"/>
      <x:c r="G3056" t="str">
        <x:v>825g</x:v>
      </x:c>
      <x:c r="H3056" t="str">
        <x:v>Banana Milkshake</x:v>
      </x:c>
      <x:c r="I3056" t="str"/>
      <x:c r="J3056" t="str">
        <x:v>Unit</x:v>
      </x:c>
      <x:c r="K3056" t="str">
        <x:v>In stock</x:v>
      </x:c>
      <x:c r="L3056" t="str">
        <x:v>2026-09-08</x:v>
      </x:c>
      <x:c r="M3056" t="str"/>
      <x:c r="N3056" t="str"/>
      <x:c r="O3056" t="str">
        <x:v>https://www.activesportstrade.co.uk/Whey-Protein-Supplements-Trade/applied-nutrition-trade</x:v>
      </x:c>
      <x:c r="P3056" t="str">
        <x:v>SPECIAL OFFER / FREE MULTI VITAMIN wording stripped.</x:v>
      </x:c>
      <x:c r="Q3056" t="str"/>
      <x:c r="R3056" t="str"/>
      <x:c r="S3056" t="str">
        <x:v>Pending genuine supplier/brand image</x:v>
      </x:c>
      <x:c r="T3056" s="54" t="n">
        <x:v>19.58</x:v>
      </x:c>
      <x:c r="U3056" s="47" t="n">
        <x:v>0.2</x:v>
      </x:c>
      <x:c r="V3056" s="54" t="n">
        <x:f>IF(ISNUMBER(T3056),T3056*(1+U3056),"")</x:f>
        <x:v>23.496</x:v>
      </x:c>
      <x:c r="W3056" s="47" t="n">
        <x:v>0.3</x:v>
      </x:c>
      <x:c r="X3056" s="54" t="n">
        <x:f>IF(ISNUMBER(V3056),V3056/(1-W3056),"")</x:f>
        <x:v>33.565714285714286</x:v>
      </x:c>
      <x:c r="Y3056" s="55" t="n">
        <x:f>IF(ISNUMBER(X3056),ROUNDUP(X3056,0),"")</x:f>
        <x:v>34</x:v>
      </x:c>
      <x:c r="Z3056" t="str">
        <x:v>Source match pending</x:v>
      </x:c>
      <x:c r="AA3056" t="str">
        <x:v>screencapture-www-activesportstrade-co-uk-applied-nutrition-trade-2026-09-10-08_59_59.pdf / page-10</x:v>
      </x:c>
      <x:c r="AB3056" s="36" t="n">
        <x:f>IF(ISNUMBER(Y3056),ROUND(Y3056*0.9,2),"")</x:f>
        <x:v>30.6</x:v>
      </x:c>
      <x:c r="AC3056" s="36" t="n">
        <x:f>IF(ISNUMBER(AB3056),ROUND(AB3056-(AB3056*0.015+0.2)-V3056,2),"")</x:f>
        <x:v>6.45</x:v>
      </x:c>
      <x:c r="AD3056" s="36" t="n">
        <x:f>IF(ISNUMBER(Y3056),ROUND(Y3056*0.8,2),"")</x:f>
        <x:v>27.2</x:v>
      </x:c>
      <x:c r="AE3056" s="36" t="n">
        <x:f>IF(ISNUMBER(AD3056),ROUND(AD3056*0.015+0.2,2),"")</x:f>
        <x:v>0.61</x:v>
      </x:c>
      <x:c r="AF3056" s="36" t="n">
        <x:f>IF(ISNUMBER(AD3056),ROUND(AD3056-AE3056-V3056,2),"")</x:f>
        <x:v>3.09</x:v>
      </x:c>
      <x:c r="AG3056" t="str">
        <x:f>IF(NOT(ISNUMBER(T3056)),"PENDING",IF(AF3056&gt;0,"PASS","FAIL"))</x:f>
        <x:v>PASS</x:v>
      </x:c>
      <x:c r="AH3056" t="str">
        <x:f>IF(NOT(ISNUMBER(T3056)),"Needs supplier cost",IF(K3056&lt;&gt;"In stock","Supplier unavailable",IF(AG3056&lt;&gt;"PASS","BLOCK - GT loss risk","Commercially protected")))</x:f>
        <x:v>Commercially protected</x:v>
      </x:c>
      <x:c r="AI3056" t="str">
        <x:v>2026-09-10 Active Sports trade capture</x:v>
      </x:c>
      <x:c r="AJ3056" t="str">
        <x:v>Management-only economics. Stripe stress test uses 1.5% + £0.20 standard UK online-card fee; pallet/mix-and-match pricing ignored.</x:v>
      </x:c>
    </x:row>
    <x:row r="3057">
      <x:c r="A3057" t="str">
        <x:v>Active Sports Nutrition</x:v>
      </x:c>
      <x:c r="B3057" t="str">
        <x:v>Applied Nutrition</x:v>
      </x:c>
      <x:c r="C3057" t="str">
        <x:v>Critical Whey</x:v>
      </x:c>
      <x:c r="D3057" t="str">
        <x:v>Supplements</x:v>
      </x:c>
      <x:c r="E3057" t="str">
        <x:v>Whey Protein</x:v>
      </x:c>
      <x:c r="F3057" t="str"/>
      <x:c r="G3057" t="str">
        <x:v>825g</x:v>
      </x:c>
      <x:c r="H3057" t="str">
        <x:v>Caramel Latte</x:v>
      </x:c>
      <x:c r="I3057" t="str"/>
      <x:c r="J3057" t="str">
        <x:v>Unit</x:v>
      </x:c>
      <x:c r="K3057" t="str">
        <x:v>In stock</x:v>
      </x:c>
      <x:c r="L3057" t="str">
        <x:v>2026-09-08</x:v>
      </x:c>
      <x:c r="M3057" t="str"/>
      <x:c r="N3057" t="str"/>
      <x:c r="O3057" t="str">
        <x:v>https://www.activesportstrade.co.uk/Whey-Protein-Supplements-Trade/applied-nutrition-trade</x:v>
      </x:c>
      <x:c r="P3057" t="str">
        <x:v>SPECIAL OFFER / FREE MULTI VITAMIN wording stripped.</x:v>
      </x:c>
      <x:c r="Q3057" t="str"/>
      <x:c r="R3057" t="str"/>
      <x:c r="S3057" t="str">
        <x:v>Pending genuine supplier/brand image</x:v>
      </x:c>
      <x:c r="T3057" s="54" t="n">
        <x:v>19.58</x:v>
      </x:c>
      <x:c r="U3057" s="47" t="n">
        <x:v>0.2</x:v>
      </x:c>
      <x:c r="V3057" s="54" t="n">
        <x:f>IF(ISNUMBER(T3057),T3057*(1+U3057),"")</x:f>
        <x:v>23.496</x:v>
      </x:c>
      <x:c r="W3057" s="47" t="n">
        <x:v>0.3</x:v>
      </x:c>
      <x:c r="X3057" s="54" t="n">
        <x:f>IF(ISNUMBER(V3057),V3057/(1-W3057),"")</x:f>
        <x:v>33.565714285714286</x:v>
      </x:c>
      <x:c r="Y3057" s="55" t="n">
        <x:f>IF(ISNUMBER(X3057),ROUNDUP(X3057,0),"")</x:f>
        <x:v>34</x:v>
      </x:c>
      <x:c r="Z3057" t="str">
        <x:v>Source match pending</x:v>
      </x:c>
      <x:c r="AA3057" t="str">
        <x:v>screencapture-www-activesportstrade-co-uk-applied-nutrition-trade-2026-09-10-08_59_59.pdf / page-10</x:v>
      </x:c>
      <x:c r="AB3057" s="36" t="n">
        <x:f>IF(ISNUMBER(Y3057),ROUND(Y3057*0.9,2),"")</x:f>
        <x:v>30.6</x:v>
      </x:c>
      <x:c r="AC3057" s="36" t="n">
        <x:f>IF(ISNUMBER(AB3057),ROUND(AB3057-(AB3057*0.015+0.2)-V3057,2),"")</x:f>
        <x:v>6.45</x:v>
      </x:c>
      <x:c r="AD3057" s="36" t="n">
        <x:f>IF(ISNUMBER(Y3057),ROUND(Y3057*0.8,2),"")</x:f>
        <x:v>27.2</x:v>
      </x:c>
      <x:c r="AE3057" s="36" t="n">
        <x:f>IF(ISNUMBER(AD3057),ROUND(AD3057*0.015+0.2,2),"")</x:f>
        <x:v>0.61</x:v>
      </x:c>
      <x:c r="AF3057" s="36" t="n">
        <x:f>IF(ISNUMBER(AD3057),ROUND(AD3057-AE3057-V3057,2),"")</x:f>
        <x:v>3.09</x:v>
      </x:c>
      <x:c r="AG3057" t="str">
        <x:f>IF(NOT(ISNUMBER(T3057)),"PENDING",IF(AF3057&gt;0,"PASS","FAIL"))</x:f>
        <x:v>PASS</x:v>
      </x:c>
      <x:c r="AH3057" t="str">
        <x:f>IF(NOT(ISNUMBER(T3057)),"Needs supplier cost",IF(K3057&lt;&gt;"In stock","Supplier unavailable",IF(AG3057&lt;&gt;"PASS","BLOCK - GT loss risk","Commercially protected")))</x:f>
        <x:v>Commercially protected</x:v>
      </x:c>
      <x:c r="AI3057" t="str">
        <x:v>2026-09-10 Active Sports trade capture</x:v>
      </x:c>
      <x:c r="AJ3057" t="str">
        <x:v>Management-only economics. Stripe stress test uses 1.5% + £0.20 standard UK online-card fee; pallet/mix-and-match pricing ignored.</x:v>
      </x:c>
    </x:row>
    <x:row r="3058">
      <x:c r="A3058" t="str">
        <x:v>Active Sports Nutrition</x:v>
      </x:c>
      <x:c r="B3058" t="str">
        <x:v>Applied Nutrition</x:v>
      </x:c>
      <x:c r="C3058" t="str">
        <x:v>Critical Whey</x:v>
      </x:c>
      <x:c r="D3058" t="str">
        <x:v>Supplements</x:v>
      </x:c>
      <x:c r="E3058" t="str">
        <x:v>Whey Protein</x:v>
      </x:c>
      <x:c r="F3058" t="str"/>
      <x:c r="G3058" t="str">
        <x:v>825g</x:v>
      </x:c>
      <x:c r="H3058" t="str">
        <x:v>Chiquita Banana Strawberry</x:v>
      </x:c>
      <x:c r="I3058" t="str"/>
      <x:c r="J3058" t="str">
        <x:v>Unit</x:v>
      </x:c>
      <x:c r="K3058" t="str">
        <x:v>In stock</x:v>
      </x:c>
      <x:c r="L3058" t="str">
        <x:v>2026-09-08</x:v>
      </x:c>
      <x:c r="M3058" t="str"/>
      <x:c r="N3058" t="str"/>
      <x:c r="O3058" t="str">
        <x:v>https://www.activesportstrade.co.uk/Whey-Protein-Supplements-Trade/applied-nutrition-trade</x:v>
      </x:c>
      <x:c r="P3058" t="str">
        <x:v>SPECIAL OFFER / FREE MULTI VITAMIN wording stripped.</x:v>
      </x:c>
      <x:c r="Q3058" t="str"/>
      <x:c r="R3058" t="str"/>
      <x:c r="S3058" t="str">
        <x:v>Pending genuine supplier/brand image</x:v>
      </x:c>
      <x:c r="T3058" s="54" t="n">
        <x:v>19.58</x:v>
      </x:c>
      <x:c r="U3058" s="47" t="n">
        <x:v>0.2</x:v>
      </x:c>
      <x:c r="V3058" s="54" t="n">
        <x:f>IF(ISNUMBER(T3058),T3058*(1+U3058),"")</x:f>
        <x:v>23.496</x:v>
      </x:c>
      <x:c r="W3058" s="47" t="n">
        <x:v>0.3</x:v>
      </x:c>
      <x:c r="X3058" s="54" t="n">
        <x:f>IF(ISNUMBER(V3058),V3058/(1-W3058),"")</x:f>
        <x:v>33.565714285714286</x:v>
      </x:c>
      <x:c r="Y3058" s="55" t="n">
        <x:f>IF(ISNUMBER(X3058),ROUNDUP(X3058,0),"")</x:f>
        <x:v>34</x:v>
      </x:c>
      <x:c r="Z3058" t="str">
        <x:v>Source match pending</x:v>
      </x:c>
      <x:c r="AA3058" t="str">
        <x:v>screencapture-www-activesportstrade-co-uk-applied-nutrition-trade-2026-09-10-08_59_59.pdf / page-10</x:v>
      </x:c>
      <x:c r="AB3058" s="36" t="n">
        <x:f>IF(ISNUMBER(Y3058),ROUND(Y3058*0.9,2),"")</x:f>
        <x:v>30.6</x:v>
      </x:c>
      <x:c r="AC3058" s="36" t="n">
        <x:f>IF(ISNUMBER(AB3058),ROUND(AB3058-(AB3058*0.015+0.2)-V3058,2),"")</x:f>
        <x:v>6.45</x:v>
      </x:c>
      <x:c r="AD3058" s="36" t="n">
        <x:f>IF(ISNUMBER(Y3058),ROUND(Y3058*0.8,2),"")</x:f>
        <x:v>27.2</x:v>
      </x:c>
      <x:c r="AE3058" s="36" t="n">
        <x:f>IF(ISNUMBER(AD3058),ROUND(AD3058*0.015+0.2,2),"")</x:f>
        <x:v>0.61</x:v>
      </x:c>
      <x:c r="AF3058" s="36" t="n">
        <x:f>IF(ISNUMBER(AD3058),ROUND(AD3058-AE3058-V3058,2),"")</x:f>
        <x:v>3.09</x:v>
      </x:c>
      <x:c r="AG3058" t="str">
        <x:f>IF(NOT(ISNUMBER(T3058)),"PENDING",IF(AF3058&gt;0,"PASS","FAIL"))</x:f>
        <x:v>PASS</x:v>
      </x:c>
      <x:c r="AH3058" t="str">
        <x:f>IF(NOT(ISNUMBER(T3058)),"Needs supplier cost",IF(K3058&lt;&gt;"In stock","Supplier unavailable",IF(AG3058&lt;&gt;"PASS","BLOCK - GT loss risk","Commercially protected")))</x:f>
        <x:v>Commercially protected</x:v>
      </x:c>
      <x:c r="AI3058" t="str">
        <x:v>2026-09-10 Active Sports trade capture</x:v>
      </x:c>
      <x:c r="AJ3058" t="str">
        <x:v>Management-only economics. Stripe stress test uses 1.5% + £0.20 standard UK online-card fee; pallet/mix-and-match pricing ignored.</x:v>
      </x:c>
    </x:row>
    <x:row r="3059">
      <x:c r="A3059" t="str">
        <x:v>Active Sports Nutrition</x:v>
      </x:c>
      <x:c r="B3059" t="str">
        <x:v>Applied Nutrition</x:v>
      </x:c>
      <x:c r="C3059" t="str">
        <x:v>Critical Whey</x:v>
      </x:c>
      <x:c r="D3059" t="str">
        <x:v>Supplements</x:v>
      </x:c>
      <x:c r="E3059" t="str">
        <x:v>Whey Protein</x:v>
      </x:c>
      <x:c r="F3059" t="str"/>
      <x:c r="G3059" t="str">
        <x:v>825g</x:v>
      </x:c>
      <x:c r="H3059" t="str">
        <x:v>Choco Hazelnut</x:v>
      </x:c>
      <x:c r="I3059" t="str"/>
      <x:c r="J3059" t="str">
        <x:v>Unit</x:v>
      </x:c>
      <x:c r="K3059" t="str">
        <x:v>In stock</x:v>
      </x:c>
      <x:c r="L3059" t="str">
        <x:v>2026-09-08</x:v>
      </x:c>
      <x:c r="M3059" t="str"/>
      <x:c r="N3059" t="str"/>
      <x:c r="O3059" t="str">
        <x:v>https://www.activesportstrade.co.uk/Whey-Protein-Supplements-Trade/applied-nutrition-trade</x:v>
      </x:c>
      <x:c r="P3059" t="str">
        <x:v>SPECIAL OFFER / FREE MULTI VITAMIN wording stripped.</x:v>
      </x:c>
      <x:c r="Q3059" t="str"/>
      <x:c r="R3059" t="str"/>
      <x:c r="S3059" t="str">
        <x:v>Pending genuine supplier/brand image</x:v>
      </x:c>
      <x:c r="T3059" s="54" t="n">
        <x:v>19.58</x:v>
      </x:c>
      <x:c r="U3059" s="47" t="n">
        <x:v>0.2</x:v>
      </x:c>
      <x:c r="V3059" s="54" t="n">
        <x:f>IF(ISNUMBER(T3059),T3059*(1+U3059),"")</x:f>
        <x:v>23.496</x:v>
      </x:c>
      <x:c r="W3059" s="47" t="n">
        <x:v>0.3</x:v>
      </x:c>
      <x:c r="X3059" s="54" t="n">
        <x:f>IF(ISNUMBER(V3059),V3059/(1-W3059),"")</x:f>
        <x:v>33.565714285714286</x:v>
      </x:c>
      <x:c r="Y3059" s="55" t="n">
        <x:f>IF(ISNUMBER(X3059),ROUNDUP(X3059,0),"")</x:f>
        <x:v>34</x:v>
      </x:c>
      <x:c r="Z3059" t="str">
        <x:v>Source match pending</x:v>
      </x:c>
      <x:c r="AA3059" t="str">
        <x:v>screencapture-www-activesportstrade-co-uk-applied-nutrition-trade-2026-09-10-08_59_59.pdf / page-10</x:v>
      </x:c>
      <x:c r="AB3059" s="36" t="n">
        <x:f>IF(ISNUMBER(Y3059),ROUND(Y3059*0.9,2),"")</x:f>
        <x:v>30.6</x:v>
      </x:c>
      <x:c r="AC3059" s="36" t="n">
        <x:f>IF(ISNUMBER(AB3059),ROUND(AB3059-(AB3059*0.015+0.2)-V3059,2),"")</x:f>
        <x:v>6.45</x:v>
      </x:c>
      <x:c r="AD3059" s="36" t="n">
        <x:f>IF(ISNUMBER(Y3059),ROUND(Y3059*0.8,2),"")</x:f>
        <x:v>27.2</x:v>
      </x:c>
      <x:c r="AE3059" s="36" t="n">
        <x:f>IF(ISNUMBER(AD3059),ROUND(AD3059*0.015+0.2,2),"")</x:f>
        <x:v>0.61</x:v>
      </x:c>
      <x:c r="AF3059" s="36" t="n">
        <x:f>IF(ISNUMBER(AD3059),ROUND(AD3059-AE3059-V3059,2),"")</x:f>
        <x:v>3.09</x:v>
      </x:c>
      <x:c r="AG3059" t="str">
        <x:f>IF(NOT(ISNUMBER(T3059)),"PENDING",IF(AF3059&gt;0,"PASS","FAIL"))</x:f>
        <x:v>PASS</x:v>
      </x:c>
      <x:c r="AH3059" t="str">
        <x:f>IF(NOT(ISNUMBER(T3059)),"Needs supplier cost",IF(K3059&lt;&gt;"In stock","Supplier unavailable",IF(AG3059&lt;&gt;"PASS","BLOCK - GT loss risk","Commercially protected")))</x:f>
        <x:v>Commercially protected</x:v>
      </x:c>
      <x:c r="AI3059" t="str">
        <x:v>2026-09-10 Active Sports trade capture</x:v>
      </x:c>
      <x:c r="AJ3059" t="str">
        <x:v>Management-only economics. Stripe stress test uses 1.5% + £0.20 standard UK online-card fee; pallet/mix-and-match pricing ignored.</x:v>
      </x:c>
    </x:row>
    <x:row r="3060">
      <x:c r="A3060" t="str">
        <x:v>Active Sports Nutrition</x:v>
      </x:c>
      <x:c r="B3060" t="str">
        <x:v>Applied Nutrition</x:v>
      </x:c>
      <x:c r="C3060" t="str">
        <x:v>Critical Whey</x:v>
      </x:c>
      <x:c r="D3060" t="str">
        <x:v>Supplements</x:v>
      </x:c>
      <x:c r="E3060" t="str">
        <x:v>Whey Protein</x:v>
      </x:c>
      <x:c r="F3060" t="str"/>
      <x:c r="G3060" t="str">
        <x:v>825g</x:v>
      </x:c>
      <x:c r="H3060" t="str">
        <x:v>Chocolate Milkshake (Informed Sports)</x:v>
      </x:c>
      <x:c r="I3060" t="str"/>
      <x:c r="J3060" t="str">
        <x:v>Unit</x:v>
      </x:c>
      <x:c r="K3060" t="str">
        <x:v>In stock</x:v>
      </x:c>
      <x:c r="L3060" t="str">
        <x:v>2026-09-08</x:v>
      </x:c>
      <x:c r="M3060" t="str"/>
      <x:c r="N3060" t="str"/>
      <x:c r="O3060" t="str">
        <x:v>https://www.activesportstrade.co.uk/Whey-Protein-Supplements-Trade/applied-nutrition-trade</x:v>
      </x:c>
      <x:c r="P3060" t="str">
        <x:v>SPECIAL OFFER / FREE MULTI VITAMIN wording stripped.</x:v>
      </x:c>
      <x:c r="Q3060" t="str"/>
      <x:c r="R3060" t="str"/>
      <x:c r="S3060" t="str">
        <x:v>Pending genuine supplier/brand image</x:v>
      </x:c>
      <x:c r="T3060" s="54" t="n">
        <x:v>19.58</x:v>
      </x:c>
      <x:c r="U3060" s="47" t="n">
        <x:v>0.2</x:v>
      </x:c>
      <x:c r="V3060" s="54" t="n">
        <x:f>IF(ISNUMBER(T3060),T3060*(1+U3060),"")</x:f>
        <x:v>23.496</x:v>
      </x:c>
      <x:c r="W3060" s="47" t="n">
        <x:v>0.3</x:v>
      </x:c>
      <x:c r="X3060" s="54" t="n">
        <x:f>IF(ISNUMBER(V3060),V3060/(1-W3060),"")</x:f>
        <x:v>33.565714285714286</x:v>
      </x:c>
      <x:c r="Y3060" s="55" t="n">
        <x:f>IF(ISNUMBER(X3060),ROUNDUP(X3060,0),"")</x:f>
        <x:v>34</x:v>
      </x:c>
      <x:c r="Z3060" t="str">
        <x:v>Source match pending</x:v>
      </x:c>
      <x:c r="AA3060" t="str">
        <x:v>screencapture-www-activesportstrade-co-uk-applied-nutrition-trade-2026-09-10-08_59_59.pdf / page-10</x:v>
      </x:c>
      <x:c r="AB3060" s="36" t="n">
        <x:f>IF(ISNUMBER(Y3060),ROUND(Y3060*0.9,2),"")</x:f>
        <x:v>30.6</x:v>
      </x:c>
      <x:c r="AC3060" s="36" t="n">
        <x:f>IF(ISNUMBER(AB3060),ROUND(AB3060-(AB3060*0.015+0.2)-V3060,2),"")</x:f>
        <x:v>6.45</x:v>
      </x:c>
      <x:c r="AD3060" s="36" t="n">
        <x:f>IF(ISNUMBER(Y3060),ROUND(Y3060*0.8,2),"")</x:f>
        <x:v>27.2</x:v>
      </x:c>
      <x:c r="AE3060" s="36" t="n">
        <x:f>IF(ISNUMBER(AD3060),ROUND(AD3060*0.015+0.2,2),"")</x:f>
        <x:v>0.61</x:v>
      </x:c>
      <x:c r="AF3060" s="36" t="n">
        <x:f>IF(ISNUMBER(AD3060),ROUND(AD3060-AE3060-V3060,2),"")</x:f>
        <x:v>3.09</x:v>
      </x:c>
      <x:c r="AG3060" t="str">
        <x:f>IF(NOT(ISNUMBER(T3060)),"PENDING",IF(AF3060&gt;0,"PASS","FAIL"))</x:f>
        <x:v>PASS</x:v>
      </x:c>
      <x:c r="AH3060" t="str">
        <x:f>IF(NOT(ISNUMBER(T3060)),"Needs supplier cost",IF(K3060&lt;&gt;"In stock","Supplier unavailable",IF(AG3060&lt;&gt;"PASS","BLOCK - GT loss risk","Commercially protected")))</x:f>
        <x:v>Commercially protected</x:v>
      </x:c>
      <x:c r="AI3060" t="str">
        <x:v>2026-09-10 Active Sports trade capture</x:v>
      </x:c>
      <x:c r="AJ3060" t="str">
        <x:v>Management-only economics. Stripe stress test uses 1.5% + £0.20 standard UK online-card fee; pallet/mix-and-match pricing ignored.</x:v>
      </x:c>
    </x:row>
    <x:row r="3061">
      <x:c r="A3061" t="str">
        <x:v>Active Sports Nutrition</x:v>
      </x:c>
      <x:c r="B3061" t="str">
        <x:v>Applied Nutrition</x:v>
      </x:c>
      <x:c r="C3061" t="str">
        <x:v>Critical Whey</x:v>
      </x:c>
      <x:c r="D3061" t="str">
        <x:v>Supplements</x:v>
      </x:c>
      <x:c r="E3061" t="str">
        <x:v>Whey Protein</x:v>
      </x:c>
      <x:c r="F3061" t="str"/>
      <x:c r="G3061" t="str">
        <x:v>825g</x:v>
      </x:c>
      <x:c r="H3061" t="str">
        <x:v>Cookies N Cream</x:v>
      </x:c>
      <x:c r="I3061" t="str"/>
      <x:c r="J3061" t="str">
        <x:v>Unit</x:v>
      </x:c>
      <x:c r="K3061" t="str">
        <x:v>In stock</x:v>
      </x:c>
      <x:c r="L3061" t="str">
        <x:v>2026-09-08</x:v>
      </x:c>
      <x:c r="M3061" t="str"/>
      <x:c r="N3061" t="str"/>
      <x:c r="O3061" t="str">
        <x:v>https://www.activesportstrade.co.uk/Whey-Protein-Supplements-Trade/applied-nutrition-trade</x:v>
      </x:c>
      <x:c r="P3061" t="str">
        <x:v>SPECIAL OFFER / FREE MULTI VITAMIN wording stripped.</x:v>
      </x:c>
      <x:c r="Q3061" t="str"/>
      <x:c r="R3061" t="str"/>
      <x:c r="S3061" t="str">
        <x:v>Pending genuine supplier/brand image</x:v>
      </x:c>
      <x:c r="T3061" s="54" t="n">
        <x:v>19.58</x:v>
      </x:c>
      <x:c r="U3061" s="47" t="n">
        <x:v>0.2</x:v>
      </x:c>
      <x:c r="V3061" s="54" t="n">
        <x:f>IF(ISNUMBER(T3061),T3061*(1+U3061),"")</x:f>
        <x:v>23.496</x:v>
      </x:c>
      <x:c r="W3061" s="47" t="n">
        <x:v>0.3</x:v>
      </x:c>
      <x:c r="X3061" s="54" t="n">
        <x:f>IF(ISNUMBER(V3061),V3061/(1-W3061),"")</x:f>
        <x:v>33.565714285714286</x:v>
      </x:c>
      <x:c r="Y3061" s="55" t="n">
        <x:f>IF(ISNUMBER(X3061),ROUNDUP(X3061,0),"")</x:f>
        <x:v>34</x:v>
      </x:c>
      <x:c r="Z3061" t="str">
        <x:v>Source match pending</x:v>
      </x:c>
      <x:c r="AA3061" t="str">
        <x:v>screencapture-www-activesportstrade-co-uk-applied-nutrition-trade-2026-09-10-08_59_59.pdf / page-10</x:v>
      </x:c>
      <x:c r="AB3061" s="36" t="n">
        <x:f>IF(ISNUMBER(Y3061),ROUND(Y3061*0.9,2),"")</x:f>
        <x:v>30.6</x:v>
      </x:c>
      <x:c r="AC3061" s="36" t="n">
        <x:f>IF(ISNUMBER(AB3061),ROUND(AB3061-(AB3061*0.015+0.2)-V3061,2),"")</x:f>
        <x:v>6.45</x:v>
      </x:c>
      <x:c r="AD3061" s="36" t="n">
        <x:f>IF(ISNUMBER(Y3061),ROUND(Y3061*0.8,2),"")</x:f>
        <x:v>27.2</x:v>
      </x:c>
      <x:c r="AE3061" s="36" t="n">
        <x:f>IF(ISNUMBER(AD3061),ROUND(AD3061*0.015+0.2,2),"")</x:f>
        <x:v>0.61</x:v>
      </x:c>
      <x:c r="AF3061" s="36" t="n">
        <x:f>IF(ISNUMBER(AD3061),ROUND(AD3061-AE3061-V3061,2),"")</x:f>
        <x:v>3.09</x:v>
      </x:c>
      <x:c r="AG3061" t="str">
        <x:f>IF(NOT(ISNUMBER(T3061)),"PENDING",IF(AF3061&gt;0,"PASS","FAIL"))</x:f>
        <x:v>PASS</x:v>
      </x:c>
      <x:c r="AH3061" t="str">
        <x:f>IF(NOT(ISNUMBER(T3061)),"Needs supplier cost",IF(K3061&lt;&gt;"In stock","Supplier unavailable",IF(AG3061&lt;&gt;"PASS","BLOCK - GT loss risk","Commercially protected")))</x:f>
        <x:v>Commercially protected</x:v>
      </x:c>
      <x:c r="AI3061" t="str">
        <x:v>2026-09-10 Active Sports trade capture</x:v>
      </x:c>
      <x:c r="AJ3061" t="str">
        <x:v>Management-only economics. Stripe stress test uses 1.5% + £0.20 standard UK online-card fee; pallet/mix-and-match pricing ignored.</x:v>
      </x:c>
    </x:row>
    <x:row r="3062">
      <x:c r="A3062" t="str">
        <x:v>Active Sports Nutrition</x:v>
      </x:c>
      <x:c r="B3062" t="str">
        <x:v>Applied Nutrition</x:v>
      </x:c>
      <x:c r="C3062" t="str">
        <x:v>Critical Whey</x:v>
      </x:c>
      <x:c r="D3062" t="str">
        <x:v>Supplements</x:v>
      </x:c>
      <x:c r="E3062" t="str">
        <x:v>Whey Protein</x:v>
      </x:c>
      <x:c r="F3062" t="str"/>
      <x:c r="G3062" t="str">
        <x:v>825g</x:v>
      </x:c>
      <x:c r="H3062" t="str">
        <x:v>Frappuccino</x:v>
      </x:c>
      <x:c r="I3062" t="str"/>
      <x:c r="J3062" t="str">
        <x:v>Unit</x:v>
      </x:c>
      <x:c r="K3062" t="str">
        <x:v>In stock</x:v>
      </x:c>
      <x:c r="L3062" t="str">
        <x:v>2026-09-08</x:v>
      </x:c>
      <x:c r="M3062" t="str"/>
      <x:c r="N3062" t="str"/>
      <x:c r="O3062" t="str">
        <x:v>https://www.activesportstrade.co.uk/Whey-Protein-Supplements-Trade/applied-nutrition-trade</x:v>
      </x:c>
      <x:c r="P3062" t="str">
        <x:v>SPECIAL OFFER / FREE MULTI VITAMIN wording stripped.</x:v>
      </x:c>
      <x:c r="Q3062" t="str"/>
      <x:c r="R3062" t="str"/>
      <x:c r="S3062" t="str">
        <x:v>Pending genuine supplier/brand image</x:v>
      </x:c>
      <x:c r="T3062" s="54" t="n">
        <x:v>19.58</x:v>
      </x:c>
      <x:c r="U3062" s="47" t="n">
        <x:v>0.2</x:v>
      </x:c>
      <x:c r="V3062" s="54" t="n">
        <x:f>IF(ISNUMBER(T3062),T3062*(1+U3062),"")</x:f>
        <x:v>23.496</x:v>
      </x:c>
      <x:c r="W3062" s="47" t="n">
        <x:v>0.3</x:v>
      </x:c>
      <x:c r="X3062" s="54" t="n">
        <x:f>IF(ISNUMBER(V3062),V3062/(1-W3062),"")</x:f>
        <x:v>33.565714285714286</x:v>
      </x:c>
      <x:c r="Y3062" s="55" t="n">
        <x:f>IF(ISNUMBER(X3062),ROUNDUP(X3062,0),"")</x:f>
        <x:v>34</x:v>
      </x:c>
      <x:c r="Z3062" t="str">
        <x:v>Source match pending</x:v>
      </x:c>
      <x:c r="AA3062" t="str">
        <x:v>screencapture-www-activesportstrade-co-uk-applied-nutrition-trade-2026-09-10-08_59_59.pdf / page-10</x:v>
      </x:c>
      <x:c r="AB3062" s="36" t="n">
        <x:f>IF(ISNUMBER(Y3062),ROUND(Y3062*0.9,2),"")</x:f>
        <x:v>30.6</x:v>
      </x:c>
      <x:c r="AC3062" s="36" t="n">
        <x:f>IF(ISNUMBER(AB3062),ROUND(AB3062-(AB3062*0.015+0.2)-V3062,2),"")</x:f>
        <x:v>6.45</x:v>
      </x:c>
      <x:c r="AD3062" s="36" t="n">
        <x:f>IF(ISNUMBER(Y3062),ROUND(Y3062*0.8,2),"")</x:f>
        <x:v>27.2</x:v>
      </x:c>
      <x:c r="AE3062" s="36" t="n">
        <x:f>IF(ISNUMBER(AD3062),ROUND(AD3062*0.015+0.2,2),"")</x:f>
        <x:v>0.61</x:v>
      </x:c>
      <x:c r="AF3062" s="36" t="n">
        <x:f>IF(ISNUMBER(AD3062),ROUND(AD3062-AE3062-V3062,2),"")</x:f>
        <x:v>3.09</x:v>
      </x:c>
      <x:c r="AG3062" t="str">
        <x:f>IF(NOT(ISNUMBER(T3062)),"PENDING",IF(AF3062&gt;0,"PASS","FAIL"))</x:f>
        <x:v>PASS</x:v>
      </x:c>
      <x:c r="AH3062" t="str">
        <x:f>IF(NOT(ISNUMBER(T3062)),"Needs supplier cost",IF(K3062&lt;&gt;"In stock","Supplier unavailable",IF(AG3062&lt;&gt;"PASS","BLOCK - GT loss risk","Commercially protected")))</x:f>
        <x:v>Commercially protected</x:v>
      </x:c>
      <x:c r="AI3062" t="str">
        <x:v>2026-09-10 Active Sports trade capture</x:v>
      </x:c>
      <x:c r="AJ3062" t="str">
        <x:v>Management-only economics. Stripe stress test uses 1.5% + £0.20 standard UK online-card fee; pallet/mix-and-match pricing ignored.</x:v>
      </x:c>
    </x:row>
    <x:row r="3063">
      <x:c r="A3063" t="str">
        <x:v>Active Sports Nutrition</x:v>
      </x:c>
      <x:c r="B3063" t="str">
        <x:v>Applied Nutrition</x:v>
      </x:c>
      <x:c r="C3063" t="str">
        <x:v>Critical Whey</x:v>
      </x:c>
      <x:c r="D3063" t="str">
        <x:v>Supplements</x:v>
      </x:c>
      <x:c r="E3063" t="str">
        <x:v>Whey Protein</x:v>
      </x:c>
      <x:c r="F3063" t="str"/>
      <x:c r="G3063" t="str">
        <x:v>825g</x:v>
      </x:c>
      <x:c r="H3063" t="str">
        <x:v>Salted Caramel</x:v>
      </x:c>
      <x:c r="I3063" t="str"/>
      <x:c r="J3063" t="str">
        <x:v>Unit</x:v>
      </x:c>
      <x:c r="K3063" t="str">
        <x:v>In stock</x:v>
      </x:c>
      <x:c r="L3063" t="str">
        <x:v>2026-09-08</x:v>
      </x:c>
      <x:c r="M3063" t="str"/>
      <x:c r="N3063" t="str"/>
      <x:c r="O3063" t="str">
        <x:v>https://www.activesportstrade.co.uk/Whey-Protein-Supplements-Trade/applied-nutrition-trade</x:v>
      </x:c>
      <x:c r="P3063" t="str">
        <x:v>SPECIAL OFFER / FREE MULTI VITAMIN wording stripped.</x:v>
      </x:c>
      <x:c r="Q3063" t="str"/>
      <x:c r="R3063" t="str"/>
      <x:c r="S3063" t="str">
        <x:v>Pending genuine supplier/brand image</x:v>
      </x:c>
      <x:c r="T3063" s="54" t="n">
        <x:v>19.58</x:v>
      </x:c>
      <x:c r="U3063" s="47" t="n">
        <x:v>0.2</x:v>
      </x:c>
      <x:c r="V3063" s="54" t="n">
        <x:f>IF(ISNUMBER(T3063),T3063*(1+U3063),"")</x:f>
        <x:v>23.496</x:v>
      </x:c>
      <x:c r="W3063" s="47" t="n">
        <x:v>0.3</x:v>
      </x:c>
      <x:c r="X3063" s="54" t="n">
        <x:f>IF(ISNUMBER(V3063),V3063/(1-W3063),"")</x:f>
        <x:v>33.565714285714286</x:v>
      </x:c>
      <x:c r="Y3063" s="55" t="n">
        <x:f>IF(ISNUMBER(X3063),ROUNDUP(X3063,0),"")</x:f>
        <x:v>34</x:v>
      </x:c>
      <x:c r="Z3063" t="str">
        <x:v>Source match pending</x:v>
      </x:c>
      <x:c r="AA3063" t="str">
        <x:v>screencapture-www-activesportstrade-co-uk-applied-nutrition-trade-2026-09-10-08_59_59.pdf / page-10</x:v>
      </x:c>
      <x:c r="AB3063" s="36" t="n">
        <x:f>IF(ISNUMBER(Y3063),ROUND(Y3063*0.9,2),"")</x:f>
        <x:v>30.6</x:v>
      </x:c>
      <x:c r="AC3063" s="36" t="n">
        <x:f>IF(ISNUMBER(AB3063),ROUND(AB3063-(AB3063*0.015+0.2)-V3063,2),"")</x:f>
        <x:v>6.45</x:v>
      </x:c>
      <x:c r="AD3063" s="36" t="n">
        <x:f>IF(ISNUMBER(Y3063),ROUND(Y3063*0.8,2),"")</x:f>
        <x:v>27.2</x:v>
      </x:c>
      <x:c r="AE3063" s="36" t="n">
        <x:f>IF(ISNUMBER(AD3063),ROUND(AD3063*0.015+0.2,2),"")</x:f>
        <x:v>0.61</x:v>
      </x:c>
      <x:c r="AF3063" s="36" t="n">
        <x:f>IF(ISNUMBER(AD3063),ROUND(AD3063-AE3063-V3063,2),"")</x:f>
        <x:v>3.09</x:v>
      </x:c>
      <x:c r="AG3063" t="str">
        <x:f>IF(NOT(ISNUMBER(T3063)),"PENDING",IF(AF3063&gt;0,"PASS","FAIL"))</x:f>
        <x:v>PASS</x:v>
      </x:c>
      <x:c r="AH3063" t="str">
        <x:f>IF(NOT(ISNUMBER(T3063)),"Needs supplier cost",IF(K3063&lt;&gt;"In stock","Supplier unavailable",IF(AG3063&lt;&gt;"PASS","BLOCK - GT loss risk","Commercially protected")))</x:f>
        <x:v>Commercially protected</x:v>
      </x:c>
      <x:c r="AI3063" t="str">
        <x:v>2026-09-10 Active Sports trade capture</x:v>
      </x:c>
      <x:c r="AJ3063" t="str">
        <x:v>Management-only economics. Stripe stress test uses 1.5% + £0.20 standard UK online-card fee; pallet/mix-and-match pricing ignored.</x:v>
      </x:c>
    </x:row>
    <x:row r="3064">
      <x:c r="A3064" t="str">
        <x:v>Active Sports Nutrition</x:v>
      </x:c>
      <x:c r="B3064" t="str">
        <x:v>Applied Nutrition</x:v>
      </x:c>
      <x:c r="C3064" t="str">
        <x:v>Critical Whey</x:v>
      </x:c>
      <x:c r="D3064" t="str">
        <x:v>Supplements</x:v>
      </x:c>
      <x:c r="E3064" t="str">
        <x:v>Whey Protein</x:v>
      </x:c>
      <x:c r="F3064" t="str"/>
      <x:c r="G3064" t="str">
        <x:v>825g</x:v>
      </x:c>
      <x:c r="H3064" t="str">
        <x:v>Strawberry Milkshake (Informed Sports)</x:v>
      </x:c>
      <x:c r="I3064" t="str"/>
      <x:c r="J3064" t="str">
        <x:v>Unit</x:v>
      </x:c>
      <x:c r="K3064" t="str">
        <x:v>In stock</x:v>
      </x:c>
      <x:c r="L3064" t="str">
        <x:v>2026-09-08</x:v>
      </x:c>
      <x:c r="M3064" t="str"/>
      <x:c r="N3064" t="str"/>
      <x:c r="O3064" t="str">
        <x:v>https://www.activesportstrade.co.uk/Whey-Protein-Supplements-Trade/applied-nutrition-trade</x:v>
      </x:c>
      <x:c r="P3064" t="str">
        <x:v>SPECIAL OFFER / FREE MULTI VITAMIN wording stripped.</x:v>
      </x:c>
      <x:c r="Q3064" t="str"/>
      <x:c r="R3064" t="str"/>
      <x:c r="S3064" t="str">
        <x:v>Pending genuine supplier/brand image</x:v>
      </x:c>
      <x:c r="T3064" s="54" t="n">
        <x:v>19.58</x:v>
      </x:c>
      <x:c r="U3064" s="47" t="n">
        <x:v>0.2</x:v>
      </x:c>
      <x:c r="V3064" s="54" t="n">
        <x:f>IF(ISNUMBER(T3064),T3064*(1+U3064),"")</x:f>
        <x:v>23.496</x:v>
      </x:c>
      <x:c r="W3064" s="47" t="n">
        <x:v>0.3</x:v>
      </x:c>
      <x:c r="X3064" s="54" t="n">
        <x:f>IF(ISNUMBER(V3064),V3064/(1-W3064),"")</x:f>
        <x:v>33.565714285714286</x:v>
      </x:c>
      <x:c r="Y3064" s="55" t="n">
        <x:f>IF(ISNUMBER(X3064),ROUNDUP(X3064,0),"")</x:f>
        <x:v>34</x:v>
      </x:c>
      <x:c r="Z3064" t="str">
        <x:v>Source match pending</x:v>
      </x:c>
      <x:c r="AA3064" t="str">
        <x:v>screencapture-www-activesportstrade-co-uk-applied-nutrition-trade-2026-09-10-08_59_59.pdf / page-10</x:v>
      </x:c>
      <x:c r="AB3064" s="36" t="n">
        <x:f>IF(ISNUMBER(Y3064),ROUND(Y3064*0.9,2),"")</x:f>
        <x:v>30.6</x:v>
      </x:c>
      <x:c r="AC3064" s="36" t="n">
        <x:f>IF(ISNUMBER(AB3064),ROUND(AB3064-(AB3064*0.015+0.2)-V3064,2),"")</x:f>
        <x:v>6.45</x:v>
      </x:c>
      <x:c r="AD3064" s="36" t="n">
        <x:f>IF(ISNUMBER(Y3064),ROUND(Y3064*0.8,2),"")</x:f>
        <x:v>27.2</x:v>
      </x:c>
      <x:c r="AE3064" s="36" t="n">
        <x:f>IF(ISNUMBER(AD3064),ROUND(AD3064*0.015+0.2,2),"")</x:f>
        <x:v>0.61</x:v>
      </x:c>
      <x:c r="AF3064" s="36" t="n">
        <x:f>IF(ISNUMBER(AD3064),ROUND(AD3064-AE3064-V3064,2),"")</x:f>
        <x:v>3.09</x:v>
      </x:c>
      <x:c r="AG3064" t="str">
        <x:f>IF(NOT(ISNUMBER(T3064)),"PENDING",IF(AF3064&gt;0,"PASS","FAIL"))</x:f>
        <x:v>PASS</x:v>
      </x:c>
      <x:c r="AH3064" t="str">
        <x:f>IF(NOT(ISNUMBER(T3064)),"Needs supplier cost",IF(K3064&lt;&gt;"In stock","Supplier unavailable",IF(AG3064&lt;&gt;"PASS","BLOCK - GT loss risk","Commercially protected")))</x:f>
        <x:v>Commercially protected</x:v>
      </x:c>
      <x:c r="AI3064" t="str">
        <x:v>2026-09-10 Active Sports trade capture</x:v>
      </x:c>
      <x:c r="AJ3064" t="str">
        <x:v>Management-only economics. Stripe stress test uses 1.5% + £0.20 standard UK online-card fee; pallet/mix-and-match pricing ignored.</x:v>
      </x:c>
    </x:row>
    <x:row r="3065">
      <x:c r="A3065" t="str">
        <x:v>Active Sports Nutrition</x:v>
      </x:c>
      <x:c r="B3065" t="str">
        <x:v>Applied Nutrition</x:v>
      </x:c>
      <x:c r="C3065" t="str">
        <x:v>Critical Whey</x:v>
      </x:c>
      <x:c r="D3065" t="str">
        <x:v>Supplements</x:v>
      </x:c>
      <x:c r="E3065" t="str">
        <x:v>Whey Protein</x:v>
      </x:c>
      <x:c r="F3065" t="str"/>
      <x:c r="G3065" t="str">
        <x:v>825g</x:v>
      </x:c>
      <x:c r="H3065" t="str">
        <x:v>Vanilla Ice Cream (Informed Sports)</x:v>
      </x:c>
      <x:c r="I3065" t="str"/>
      <x:c r="J3065" t="str">
        <x:v>Unit</x:v>
      </x:c>
      <x:c r="K3065" t="str">
        <x:v>In stock</x:v>
      </x:c>
      <x:c r="L3065" t="str">
        <x:v>2026-09-08</x:v>
      </x:c>
      <x:c r="M3065" t="str"/>
      <x:c r="N3065" t="str"/>
      <x:c r="O3065" t="str">
        <x:v>https://www.activesportstrade.co.uk/Whey-Protein-Supplements-Trade/applied-nutrition-trade</x:v>
      </x:c>
      <x:c r="P3065" t="str">
        <x:v>SPECIAL OFFER / FREE MULTI VITAMIN wording stripped.</x:v>
      </x:c>
      <x:c r="Q3065" t="str"/>
      <x:c r="R3065" t="str"/>
      <x:c r="S3065" t="str">
        <x:v>Pending genuine supplier/brand image</x:v>
      </x:c>
      <x:c r="T3065" s="54" t="n">
        <x:v>19.58</x:v>
      </x:c>
      <x:c r="U3065" s="47" t="n">
        <x:v>0.2</x:v>
      </x:c>
      <x:c r="V3065" s="54" t="n">
        <x:f>IF(ISNUMBER(T3065),T3065*(1+U3065),"")</x:f>
        <x:v>23.496</x:v>
      </x:c>
      <x:c r="W3065" s="47" t="n">
        <x:v>0.3</x:v>
      </x:c>
      <x:c r="X3065" s="54" t="n">
        <x:f>IF(ISNUMBER(V3065),V3065/(1-W3065),"")</x:f>
        <x:v>33.565714285714286</x:v>
      </x:c>
      <x:c r="Y3065" s="55" t="n">
        <x:f>IF(ISNUMBER(X3065),ROUNDUP(X3065,0),"")</x:f>
        <x:v>34</x:v>
      </x:c>
      <x:c r="Z3065" t="str">
        <x:v>Source match pending</x:v>
      </x:c>
      <x:c r="AA3065" t="str">
        <x:v>screencapture-www-activesportstrade-co-uk-applied-nutrition-trade-2026-09-10-08_59_59.pdf / page-10</x:v>
      </x:c>
      <x:c r="AB3065" s="36" t="n">
        <x:f>IF(ISNUMBER(Y3065),ROUND(Y3065*0.9,2),"")</x:f>
        <x:v>30.6</x:v>
      </x:c>
      <x:c r="AC3065" s="36" t="n">
        <x:f>IF(ISNUMBER(AB3065),ROUND(AB3065-(AB3065*0.015+0.2)-V3065,2),"")</x:f>
        <x:v>6.45</x:v>
      </x:c>
      <x:c r="AD3065" s="36" t="n">
        <x:f>IF(ISNUMBER(Y3065),ROUND(Y3065*0.8,2),"")</x:f>
        <x:v>27.2</x:v>
      </x:c>
      <x:c r="AE3065" s="36" t="n">
        <x:f>IF(ISNUMBER(AD3065),ROUND(AD3065*0.015+0.2,2),"")</x:f>
        <x:v>0.61</x:v>
      </x:c>
      <x:c r="AF3065" s="36" t="n">
        <x:f>IF(ISNUMBER(AD3065),ROUND(AD3065-AE3065-V3065,2),"")</x:f>
        <x:v>3.09</x:v>
      </x:c>
      <x:c r="AG3065" t="str">
        <x:f>IF(NOT(ISNUMBER(T3065)),"PENDING",IF(AF3065&gt;0,"PASS","FAIL"))</x:f>
        <x:v>PASS</x:v>
      </x:c>
      <x:c r="AH3065" t="str">
        <x:f>IF(NOT(ISNUMBER(T3065)),"Needs supplier cost",IF(K3065&lt;&gt;"In stock","Supplier unavailable",IF(AG3065&lt;&gt;"PASS","BLOCK - GT loss risk","Commercially protected")))</x:f>
        <x:v>Commercially protected</x:v>
      </x:c>
      <x:c r="AI3065" t="str">
        <x:v>2026-09-10 Active Sports trade capture</x:v>
      </x:c>
      <x:c r="AJ3065" t="str">
        <x:v>Management-only economics. Stripe stress test uses 1.5% + £0.20 standard UK online-card fee; pallet/mix-and-match pricing ignored.</x:v>
      </x:c>
    </x:row>
    <x:row r="3066">
      <x:c r="A3066" t="str">
        <x:v>Active Sports Nutrition</x:v>
      </x:c>
      <x:c r="B3066" t="str">
        <x:v>Applied Nutrition</x:v>
      </x:c>
      <x:c r="C3066" t="str">
        <x:v>Critical Whey</x:v>
      </x:c>
      <x:c r="D3066" t="str">
        <x:v>Supplements</x:v>
      </x:c>
      <x:c r="E3066" t="str">
        <x:v>Whey Protein</x:v>
      </x:c>
      <x:c r="F3066" t="str"/>
      <x:c r="G3066" t="str">
        <x:v>825g</x:v>
      </x:c>
      <x:c r="H3066" t="str">
        <x:v>Vanilla Matcha</x:v>
      </x:c>
      <x:c r="I3066" t="str"/>
      <x:c r="J3066" t="str">
        <x:v>Unit</x:v>
      </x:c>
      <x:c r="K3066" t="str">
        <x:v>In stock</x:v>
      </x:c>
      <x:c r="L3066" t="str">
        <x:v>2026-09-08</x:v>
      </x:c>
      <x:c r="M3066" t="str"/>
      <x:c r="N3066" t="str"/>
      <x:c r="O3066" t="str">
        <x:v>https://www.activesportstrade.co.uk/Whey-Protein-Supplements-Trade/applied-nutrition-trade</x:v>
      </x:c>
      <x:c r="P3066" t="str">
        <x:v>SPECIAL OFFER / FREE MULTI VITAMIN wording stripped.</x:v>
      </x:c>
      <x:c r="Q3066" t="str"/>
      <x:c r="R3066" t="str"/>
      <x:c r="S3066" t="str">
        <x:v>Pending genuine supplier/brand image</x:v>
      </x:c>
      <x:c r="T3066" s="54" t="n">
        <x:v>19.58</x:v>
      </x:c>
      <x:c r="U3066" s="47" t="n">
        <x:v>0.2</x:v>
      </x:c>
      <x:c r="V3066" s="54" t="n">
        <x:f>IF(ISNUMBER(T3066),T3066*(1+U3066),"")</x:f>
        <x:v>23.496</x:v>
      </x:c>
      <x:c r="W3066" s="47" t="n">
        <x:v>0.3</x:v>
      </x:c>
      <x:c r="X3066" s="54" t="n">
        <x:f>IF(ISNUMBER(V3066),V3066/(1-W3066),"")</x:f>
        <x:v>33.565714285714286</x:v>
      </x:c>
      <x:c r="Y3066" s="55" t="n">
        <x:f>IF(ISNUMBER(X3066),ROUNDUP(X3066,0),"")</x:f>
        <x:v>34</x:v>
      </x:c>
      <x:c r="Z3066" t="str">
        <x:v>Source match pending</x:v>
      </x:c>
      <x:c r="AA3066" t="str">
        <x:v>screencapture-www-activesportstrade-co-uk-applied-nutrition-trade-2026-09-10-08_59_59.pdf / page-10</x:v>
      </x:c>
      <x:c r="AB3066" s="36" t="n">
        <x:f>IF(ISNUMBER(Y3066),ROUND(Y3066*0.9,2),"")</x:f>
        <x:v>30.6</x:v>
      </x:c>
      <x:c r="AC3066" s="36" t="n">
        <x:f>IF(ISNUMBER(AB3066),ROUND(AB3066-(AB3066*0.015+0.2)-V3066,2),"")</x:f>
        <x:v>6.45</x:v>
      </x:c>
      <x:c r="AD3066" s="36" t="n">
        <x:f>IF(ISNUMBER(Y3066),ROUND(Y3066*0.8,2),"")</x:f>
        <x:v>27.2</x:v>
      </x:c>
      <x:c r="AE3066" s="36" t="n">
        <x:f>IF(ISNUMBER(AD3066),ROUND(AD3066*0.015+0.2,2),"")</x:f>
        <x:v>0.61</x:v>
      </x:c>
      <x:c r="AF3066" s="36" t="n">
        <x:f>IF(ISNUMBER(AD3066),ROUND(AD3066-AE3066-V3066,2),"")</x:f>
        <x:v>3.09</x:v>
      </x:c>
      <x:c r="AG3066" t="str">
        <x:f>IF(NOT(ISNUMBER(T3066)),"PENDING",IF(AF3066&gt;0,"PASS","FAIL"))</x:f>
        <x:v>PASS</x:v>
      </x:c>
      <x:c r="AH3066" t="str">
        <x:f>IF(NOT(ISNUMBER(T3066)),"Needs supplier cost",IF(K3066&lt;&gt;"In stock","Supplier unavailable",IF(AG3066&lt;&gt;"PASS","BLOCK - GT loss risk","Commercially protected")))</x:f>
        <x:v>Commercially protected</x:v>
      </x:c>
      <x:c r="AI3066" t="str">
        <x:v>2026-09-10 Active Sports trade capture</x:v>
      </x:c>
      <x:c r="AJ3066" t="str">
        <x:v>Management-only economics. Stripe stress test uses 1.5% + £0.20 standard UK online-card fee; pallet/mix-and-match pricing ignored.</x:v>
      </x:c>
    </x:row>
    <x:row r="3067">
      <x:c r="A3067" t="str">
        <x:v>Active Sports Nutrition</x:v>
      </x:c>
      <x:c r="B3067" t="str">
        <x:v>Applied Nutrition</x:v>
      </x:c>
      <x:c r="C3067" t="str">
        <x:v>Critical Whey</x:v>
      </x:c>
      <x:c r="D3067" t="str">
        <x:v>Supplements</x:v>
      </x:c>
      <x:c r="E3067" t="str">
        <x:v>Whey Protein</x:v>
      </x:c>
      <x:c r="F3067" t="str"/>
      <x:c r="G3067" t="str">
        <x:v>825g</x:v>
      </x:c>
      <x:c r="H3067" t="str">
        <x:v>White Choc Pistachio</x:v>
      </x:c>
      <x:c r="I3067" t="str"/>
      <x:c r="J3067" t="str">
        <x:v>Unit</x:v>
      </x:c>
      <x:c r="K3067" t="str">
        <x:v>In stock</x:v>
      </x:c>
      <x:c r="L3067" t="str">
        <x:v>2026-09-08</x:v>
      </x:c>
      <x:c r="M3067" t="str"/>
      <x:c r="N3067" t="str"/>
      <x:c r="O3067" t="str">
        <x:v>https://www.activesportstrade.co.uk/Whey-Protein-Supplements-Trade/applied-nutrition-trade</x:v>
      </x:c>
      <x:c r="P3067" t="str">
        <x:v>SPECIAL OFFER / FREE MULTI VITAMIN wording stripped.</x:v>
      </x:c>
      <x:c r="Q3067" t="str"/>
      <x:c r="R3067" t="str"/>
      <x:c r="S3067" t="str">
        <x:v>Pending genuine supplier/brand image</x:v>
      </x:c>
      <x:c r="T3067" s="54" t="n">
        <x:v>19.58</x:v>
      </x:c>
      <x:c r="U3067" s="47" t="n">
        <x:v>0.2</x:v>
      </x:c>
      <x:c r="V3067" s="54" t="n">
        <x:f>IF(ISNUMBER(T3067),T3067*(1+U3067),"")</x:f>
        <x:v>23.496</x:v>
      </x:c>
      <x:c r="W3067" s="47" t="n">
        <x:v>0.3</x:v>
      </x:c>
      <x:c r="X3067" s="54" t="n">
        <x:f>IF(ISNUMBER(V3067),V3067/(1-W3067),"")</x:f>
        <x:v>33.565714285714286</x:v>
      </x:c>
      <x:c r="Y3067" s="55" t="n">
        <x:f>IF(ISNUMBER(X3067),ROUNDUP(X3067,0),"")</x:f>
        <x:v>34</x:v>
      </x:c>
      <x:c r="Z3067" t="str">
        <x:v>Source match pending</x:v>
      </x:c>
      <x:c r="AA3067" t="str">
        <x:v>screencapture-www-activesportstrade-co-uk-applied-nutrition-trade-2026-09-10-08_59_59.pdf / page-10</x:v>
      </x:c>
      <x:c r="AB3067" s="36" t="n">
        <x:f>IF(ISNUMBER(Y3067),ROUND(Y3067*0.9,2),"")</x:f>
        <x:v>30.6</x:v>
      </x:c>
      <x:c r="AC3067" s="36" t="n">
        <x:f>IF(ISNUMBER(AB3067),ROUND(AB3067-(AB3067*0.015+0.2)-V3067,2),"")</x:f>
        <x:v>6.45</x:v>
      </x:c>
      <x:c r="AD3067" s="36" t="n">
        <x:f>IF(ISNUMBER(Y3067),ROUND(Y3067*0.8,2),"")</x:f>
        <x:v>27.2</x:v>
      </x:c>
      <x:c r="AE3067" s="36" t="n">
        <x:f>IF(ISNUMBER(AD3067),ROUND(AD3067*0.015+0.2,2),"")</x:f>
        <x:v>0.61</x:v>
      </x:c>
      <x:c r="AF3067" s="36" t="n">
        <x:f>IF(ISNUMBER(AD3067),ROUND(AD3067-AE3067-V3067,2),"")</x:f>
        <x:v>3.09</x:v>
      </x:c>
      <x:c r="AG3067" t="str">
        <x:f>IF(NOT(ISNUMBER(T3067)),"PENDING",IF(AF3067&gt;0,"PASS","FAIL"))</x:f>
        <x:v>PASS</x:v>
      </x:c>
      <x:c r="AH3067" t="str">
        <x:f>IF(NOT(ISNUMBER(T3067)),"Needs supplier cost",IF(K3067&lt;&gt;"In stock","Supplier unavailable",IF(AG3067&lt;&gt;"PASS","BLOCK - GT loss risk","Commercially protected")))</x:f>
        <x:v>Commercially protected</x:v>
      </x:c>
      <x:c r="AI3067" t="str">
        <x:v>2026-09-10 Active Sports trade capture</x:v>
      </x:c>
      <x:c r="AJ3067" t="str">
        <x:v>Management-only economics. Stripe stress test uses 1.5% + £0.20 standard UK online-card fee; pallet/mix-and-match pricing ignored.</x:v>
      </x:c>
    </x:row>
    <x:row r="3068">
      <x:c r="A3068" t="str">
        <x:v>Active Sports Nutrition</x:v>
      </x:c>
      <x:c r="B3068" t="str">
        <x:v>Applied Nutrition</x:v>
      </x:c>
      <x:c r="C3068" t="str">
        <x:v>ISO-XP 100% Whey Protein Isolate</x:v>
      </x:c>
      <x:c r="D3068" t="str">
        <x:v>Supplements</x:v>
      </x:c>
      <x:c r="E3068" t="str">
        <x:v>Whey Isolate</x:v>
      </x:c>
      <x:c r="F3068" t="str"/>
      <x:c r="G3068" t="str">
        <x:v>1.8kg</x:v>
      </x:c>
      <x:c r="H3068" t="str">
        <x:v>Banana</x:v>
      </x:c>
      <x:c r="I3068" t="str"/>
      <x:c r="J3068" t="str">
        <x:v>Unit</x:v>
      </x:c>
      <x:c r="K3068" t="str">
        <x:v>In stock</x:v>
      </x:c>
      <x:c r="L3068" t="str">
        <x:v>2026-09-08</x:v>
      </x:c>
      <x:c r="M3068" t="str"/>
      <x:c r="N3068" t="str"/>
      <x:c r="O3068" t="str">
        <x:v>https://www.activesportstrade.co.uk/applied-nutrition-trade</x:v>
      </x:c>
      <x:c r="P3068" t="str">
        <x:v>SPECIAL OFFER / FREE BODY FUEL CREATINE STICKS AND SHAKER wording stripped.</x:v>
      </x:c>
      <x:c r="Q3068" t="str"/>
      <x:c r="R3068" t="str"/>
      <x:c r="S3068" t="str">
        <x:v>Pending genuine supplier/brand image</x:v>
      </x:c>
      <x:c r="T3068" s="54" t="n">
        <x:v>55.38</x:v>
      </x:c>
      <x:c r="U3068" s="47" t="n">
        <x:v>0.2</x:v>
      </x:c>
      <x:c r="V3068" s="54" t="n">
        <x:f>IF(ISNUMBER(T3068),T3068*(1+U3068),"")</x:f>
        <x:v>66.456</x:v>
      </x:c>
      <x:c r="W3068" s="47" t="n">
        <x:v>0.3</x:v>
      </x:c>
      <x:c r="X3068" s="54" t="n">
        <x:f>IF(ISNUMBER(V3068),V3068/(1-W3068),"")</x:f>
        <x:v>94.93714285714287</x:v>
      </x:c>
      <x:c r="Y3068" s="55" t="n">
        <x:f>IF(ISNUMBER(X3068),ROUNDUP(X3068,0),"")</x:f>
        <x:v>95</x:v>
      </x:c>
      <x:c r="Z3068" t="str">
        <x:v>Source match pending</x:v>
      </x:c>
      <x:c r="AA3068" t="str">
        <x:v>screencapture-www-activesportstrade-co-uk-applied-nutrition-trade-2026-09-10-08_59_59.pdf / page-13</x:v>
      </x:c>
      <x:c r="AB3068" s="36" t="n">
        <x:f>IF(ISNUMBER(Y3068),ROUND(Y3068*0.9,2),"")</x:f>
        <x:v>85.5</x:v>
      </x:c>
      <x:c r="AC3068" s="36" t="n">
        <x:f>IF(ISNUMBER(AB3068),ROUND(AB3068-(AB3068*0.015+0.2)-V3068,2),"")</x:f>
        <x:v>17.56</x:v>
      </x:c>
      <x:c r="AD3068" s="36" t="n">
        <x:f>IF(ISNUMBER(Y3068),ROUND(Y3068*0.8,2),"")</x:f>
        <x:v>76</x:v>
      </x:c>
      <x:c r="AE3068" s="36" t="n">
        <x:f>IF(ISNUMBER(AD3068),ROUND(AD3068*0.015+0.2,2),"")</x:f>
        <x:v>1.34</x:v>
      </x:c>
      <x:c r="AF3068" s="36" t="n">
        <x:f>IF(ISNUMBER(AD3068),ROUND(AD3068-AE3068-V3068,2),"")</x:f>
        <x:v>8.2</x:v>
      </x:c>
      <x:c r="AG3068" t="str">
        <x:f>IF(NOT(ISNUMBER(T3068)),"PENDING",IF(AF3068&gt;0,"PASS","FAIL"))</x:f>
        <x:v>PASS</x:v>
      </x:c>
      <x:c r="AH3068" t="str">
        <x:f>IF(NOT(ISNUMBER(T3068)),"Needs supplier cost",IF(K3068&lt;&gt;"In stock","Supplier unavailable",IF(AG3068&lt;&gt;"PASS","BLOCK - GT loss risk","Commercially protected")))</x:f>
        <x:v>Commercially protected</x:v>
      </x:c>
      <x:c r="AI3068" t="str">
        <x:v>2026-09-10 Active Sports trade capture</x:v>
      </x:c>
      <x:c r="AJ3068" t="str">
        <x:v>Management-only economics. Stripe stress test uses 1.5% + £0.20 standard UK online-card fee; pallet/mix-and-match pricing ignored.</x:v>
      </x:c>
    </x:row>
    <x:row r="3069">
      <x:c r="A3069" t="str">
        <x:v>Active Sports Nutrition</x:v>
      </x:c>
      <x:c r="B3069" t="str">
        <x:v>Applied Nutrition</x:v>
      </x:c>
      <x:c r="C3069" t="str">
        <x:v>ISO-XP 100% Whey Protein Isolate</x:v>
      </x:c>
      <x:c r="D3069" t="str">
        <x:v>Supplements</x:v>
      </x:c>
      <x:c r="E3069" t="str">
        <x:v>Whey Isolate</x:v>
      </x:c>
      <x:c r="F3069" t="str"/>
      <x:c r="G3069" t="str">
        <x:v>1.8kg</x:v>
      </x:c>
      <x:c r="H3069" t="str">
        <x:v>Cafe Latte</x:v>
      </x:c>
      <x:c r="I3069" t="str"/>
      <x:c r="J3069" t="str">
        <x:v>Unit</x:v>
      </x:c>
      <x:c r="K3069" t="str">
        <x:v>In stock</x:v>
      </x:c>
      <x:c r="L3069" t="str">
        <x:v>2026-09-08</x:v>
      </x:c>
      <x:c r="M3069" t="str"/>
      <x:c r="N3069" t="str"/>
      <x:c r="O3069" t="str">
        <x:v>https://www.activesportstrade.co.uk/applied-nutrition-trade</x:v>
      </x:c>
      <x:c r="P3069" t="str">
        <x:v>SPECIAL OFFER / FREE BODY FUEL CREATINE STICKS AND SHAKER wording stripped.</x:v>
      </x:c>
      <x:c r="Q3069" t="str"/>
      <x:c r="R3069" t="str"/>
      <x:c r="S3069" t="str">
        <x:v>Pending genuine supplier/brand image</x:v>
      </x:c>
      <x:c r="T3069" s="54" t="n">
        <x:v>55.38</x:v>
      </x:c>
      <x:c r="U3069" s="47" t="n">
        <x:v>0.2</x:v>
      </x:c>
      <x:c r="V3069" s="54" t="n">
        <x:f>IF(ISNUMBER(T3069),T3069*(1+U3069),"")</x:f>
        <x:v>66.456</x:v>
      </x:c>
      <x:c r="W3069" s="47" t="n">
        <x:v>0.3</x:v>
      </x:c>
      <x:c r="X3069" s="54" t="n">
        <x:f>IF(ISNUMBER(V3069),V3069/(1-W3069),"")</x:f>
        <x:v>94.93714285714287</x:v>
      </x:c>
      <x:c r="Y3069" s="55" t="n">
        <x:f>IF(ISNUMBER(X3069),ROUNDUP(X3069,0),"")</x:f>
        <x:v>95</x:v>
      </x:c>
      <x:c r="Z3069" t="str">
        <x:v>Source match pending</x:v>
      </x:c>
      <x:c r="AA3069" t="str">
        <x:v>screencapture-www-activesportstrade-co-uk-applied-nutrition-trade-2026-09-10-08_59_59.pdf / page-13</x:v>
      </x:c>
      <x:c r="AB3069" s="36" t="n">
        <x:f>IF(ISNUMBER(Y3069),ROUND(Y3069*0.9,2),"")</x:f>
        <x:v>85.5</x:v>
      </x:c>
      <x:c r="AC3069" s="36" t="n">
        <x:f>IF(ISNUMBER(AB3069),ROUND(AB3069-(AB3069*0.015+0.2)-V3069,2),"")</x:f>
        <x:v>17.56</x:v>
      </x:c>
      <x:c r="AD3069" s="36" t="n">
        <x:f>IF(ISNUMBER(Y3069),ROUND(Y3069*0.8,2),"")</x:f>
        <x:v>76</x:v>
      </x:c>
      <x:c r="AE3069" s="36" t="n">
        <x:f>IF(ISNUMBER(AD3069),ROUND(AD3069*0.015+0.2,2),"")</x:f>
        <x:v>1.34</x:v>
      </x:c>
      <x:c r="AF3069" s="36" t="n">
        <x:f>IF(ISNUMBER(AD3069),ROUND(AD3069-AE3069-V3069,2),"")</x:f>
        <x:v>8.2</x:v>
      </x:c>
      <x:c r="AG3069" t="str">
        <x:f>IF(NOT(ISNUMBER(T3069)),"PENDING",IF(AF3069&gt;0,"PASS","FAIL"))</x:f>
        <x:v>PASS</x:v>
      </x:c>
      <x:c r="AH3069" t="str">
        <x:f>IF(NOT(ISNUMBER(T3069)),"Needs supplier cost",IF(K3069&lt;&gt;"In stock","Supplier unavailable",IF(AG3069&lt;&gt;"PASS","BLOCK - GT loss risk","Commercially protected")))</x:f>
        <x:v>Commercially protected</x:v>
      </x:c>
      <x:c r="AI3069" t="str">
        <x:v>2026-09-10 Active Sports trade capture</x:v>
      </x:c>
      <x:c r="AJ3069" t="str">
        <x:v>Management-only economics. Stripe stress test uses 1.5% + £0.20 standard UK online-card fee; pallet/mix-and-match pricing ignored.</x:v>
      </x:c>
    </x:row>
    <x:row r="3070">
      <x:c r="A3070" t="str">
        <x:v>Active Sports Nutrition</x:v>
      </x:c>
      <x:c r="B3070" t="str">
        <x:v>Applied Nutrition</x:v>
      </x:c>
      <x:c r="C3070" t="str">
        <x:v>ISO-XP 100% Whey Protein Isolate</x:v>
      </x:c>
      <x:c r="D3070" t="str">
        <x:v>Supplements</x:v>
      </x:c>
      <x:c r="E3070" t="str">
        <x:v>Whey Isolate</x:v>
      </x:c>
      <x:c r="F3070" t="str"/>
      <x:c r="G3070" t="str">
        <x:v>1.8kg</x:v>
      </x:c>
      <x:c r="H3070" t="str">
        <x:v>Chocolate</x:v>
      </x:c>
      <x:c r="I3070" t="str"/>
      <x:c r="J3070" t="str">
        <x:v>Unit</x:v>
      </x:c>
      <x:c r="K3070" t="str">
        <x:v>In stock</x:v>
      </x:c>
      <x:c r="L3070" t="str">
        <x:v>2026-09-08</x:v>
      </x:c>
      <x:c r="M3070" t="str"/>
      <x:c r="N3070" t="str"/>
      <x:c r="O3070" t="str">
        <x:v>https://www.activesportstrade.co.uk/applied-nutrition-trade</x:v>
      </x:c>
      <x:c r="P3070" t="str">
        <x:v>SPECIAL OFFER / FREE BODY FUEL CREATINE STICKS AND SHAKER wording stripped.</x:v>
      </x:c>
      <x:c r="Q3070" t="str"/>
      <x:c r="R3070" t="str"/>
      <x:c r="S3070" t="str">
        <x:v>Pending genuine supplier/brand image</x:v>
      </x:c>
      <x:c r="T3070" s="54" t="n">
        <x:v>55.38</x:v>
      </x:c>
      <x:c r="U3070" s="47" t="n">
        <x:v>0.2</x:v>
      </x:c>
      <x:c r="V3070" s="54" t="n">
        <x:f>IF(ISNUMBER(T3070),T3070*(1+U3070),"")</x:f>
        <x:v>66.456</x:v>
      </x:c>
      <x:c r="W3070" s="47" t="n">
        <x:v>0.3</x:v>
      </x:c>
      <x:c r="X3070" s="54" t="n">
        <x:f>IF(ISNUMBER(V3070),V3070/(1-W3070),"")</x:f>
        <x:v>94.93714285714287</x:v>
      </x:c>
      <x:c r="Y3070" s="55" t="n">
        <x:f>IF(ISNUMBER(X3070),ROUNDUP(X3070,0),"")</x:f>
        <x:v>95</x:v>
      </x:c>
      <x:c r="Z3070" t="str">
        <x:v>Source match pending</x:v>
      </x:c>
      <x:c r="AA3070" t="str">
        <x:v>screencapture-www-activesportstrade-co-uk-applied-nutrition-trade-2026-09-10-08_59_59.pdf / page-13</x:v>
      </x:c>
      <x:c r="AB3070" s="36" t="n">
        <x:f>IF(ISNUMBER(Y3070),ROUND(Y3070*0.9,2),"")</x:f>
        <x:v>85.5</x:v>
      </x:c>
      <x:c r="AC3070" s="36" t="n">
        <x:f>IF(ISNUMBER(AB3070),ROUND(AB3070-(AB3070*0.015+0.2)-V3070,2),"")</x:f>
        <x:v>17.56</x:v>
      </x:c>
      <x:c r="AD3070" s="36" t="n">
        <x:f>IF(ISNUMBER(Y3070),ROUND(Y3070*0.8,2),"")</x:f>
        <x:v>76</x:v>
      </x:c>
      <x:c r="AE3070" s="36" t="n">
        <x:f>IF(ISNUMBER(AD3070),ROUND(AD3070*0.015+0.2,2),"")</x:f>
        <x:v>1.34</x:v>
      </x:c>
      <x:c r="AF3070" s="36" t="n">
        <x:f>IF(ISNUMBER(AD3070),ROUND(AD3070-AE3070-V3070,2),"")</x:f>
        <x:v>8.2</x:v>
      </x:c>
      <x:c r="AG3070" t="str">
        <x:f>IF(NOT(ISNUMBER(T3070)),"PENDING",IF(AF3070&gt;0,"PASS","FAIL"))</x:f>
        <x:v>PASS</x:v>
      </x:c>
      <x:c r="AH3070" t="str">
        <x:f>IF(NOT(ISNUMBER(T3070)),"Needs supplier cost",IF(K3070&lt;&gt;"In stock","Supplier unavailable",IF(AG3070&lt;&gt;"PASS","BLOCK - GT loss risk","Commercially protected")))</x:f>
        <x:v>Commercially protected</x:v>
      </x:c>
      <x:c r="AI3070" t="str">
        <x:v>2026-09-10 Active Sports trade capture</x:v>
      </x:c>
      <x:c r="AJ3070" t="str">
        <x:v>Management-only economics. Stripe stress test uses 1.5% + £0.20 standard UK online-card fee; pallet/mix-and-match pricing ignored.</x:v>
      </x:c>
    </x:row>
    <x:row r="3071">
      <x:c r="A3071" t="str">
        <x:v>Active Sports Nutrition</x:v>
      </x:c>
      <x:c r="B3071" t="str">
        <x:v>Applied Nutrition</x:v>
      </x:c>
      <x:c r="C3071" t="str">
        <x:v>ISO-XP 100% Whey Protein Isolate</x:v>
      </x:c>
      <x:c r="D3071" t="str">
        <x:v>Supplements</x:v>
      </x:c>
      <x:c r="E3071" t="str">
        <x:v>Whey Isolate</x:v>
      </x:c>
      <x:c r="F3071" t="str"/>
      <x:c r="G3071" t="str">
        <x:v>1.8kg</x:v>
      </x:c>
      <x:c r="H3071" t="str">
        <x:v>Strawberry</x:v>
      </x:c>
      <x:c r="I3071" t="str"/>
      <x:c r="J3071" t="str">
        <x:v>Unit</x:v>
      </x:c>
      <x:c r="K3071" t="str">
        <x:v>In stock</x:v>
      </x:c>
      <x:c r="L3071" t="str">
        <x:v>2026-09-08</x:v>
      </x:c>
      <x:c r="M3071" t="str"/>
      <x:c r="N3071" t="str"/>
      <x:c r="O3071" t="str">
        <x:v>https://www.activesportstrade.co.uk/applied-nutrition-trade</x:v>
      </x:c>
      <x:c r="P3071" t="str">
        <x:v>SPECIAL OFFER / FREE BODY FUEL CREATINE STICKS AND SHAKER wording stripped.</x:v>
      </x:c>
      <x:c r="Q3071" t="str"/>
      <x:c r="R3071" t="str"/>
      <x:c r="S3071" t="str">
        <x:v>Pending genuine supplier/brand image</x:v>
      </x:c>
      <x:c r="T3071" s="54" t="n">
        <x:v>55.38</x:v>
      </x:c>
      <x:c r="U3071" s="47" t="n">
        <x:v>0.2</x:v>
      </x:c>
      <x:c r="V3071" s="54" t="n">
        <x:f>IF(ISNUMBER(T3071),T3071*(1+U3071),"")</x:f>
        <x:v>66.456</x:v>
      </x:c>
      <x:c r="W3071" s="47" t="n">
        <x:v>0.3</x:v>
      </x:c>
      <x:c r="X3071" s="54" t="n">
        <x:f>IF(ISNUMBER(V3071),V3071/(1-W3071),"")</x:f>
        <x:v>94.93714285714287</x:v>
      </x:c>
      <x:c r="Y3071" s="55" t="n">
        <x:f>IF(ISNUMBER(X3071),ROUNDUP(X3071,0),"")</x:f>
        <x:v>95</x:v>
      </x:c>
      <x:c r="Z3071" t="str">
        <x:v>Source match pending</x:v>
      </x:c>
      <x:c r="AA3071" t="str">
        <x:v>screencapture-www-activesportstrade-co-uk-applied-nutrition-trade-2026-09-10-08_59_59.pdf / page-13</x:v>
      </x:c>
      <x:c r="AB3071" s="36" t="n">
        <x:f>IF(ISNUMBER(Y3071),ROUND(Y3071*0.9,2),"")</x:f>
        <x:v>85.5</x:v>
      </x:c>
      <x:c r="AC3071" s="36" t="n">
        <x:f>IF(ISNUMBER(AB3071),ROUND(AB3071-(AB3071*0.015+0.2)-V3071,2),"")</x:f>
        <x:v>17.56</x:v>
      </x:c>
      <x:c r="AD3071" s="36" t="n">
        <x:f>IF(ISNUMBER(Y3071),ROUND(Y3071*0.8,2),"")</x:f>
        <x:v>76</x:v>
      </x:c>
      <x:c r="AE3071" s="36" t="n">
        <x:f>IF(ISNUMBER(AD3071),ROUND(AD3071*0.015+0.2,2),"")</x:f>
        <x:v>1.34</x:v>
      </x:c>
      <x:c r="AF3071" s="36" t="n">
        <x:f>IF(ISNUMBER(AD3071),ROUND(AD3071-AE3071-V3071,2),"")</x:f>
        <x:v>8.2</x:v>
      </x:c>
      <x:c r="AG3071" t="str">
        <x:f>IF(NOT(ISNUMBER(T3071)),"PENDING",IF(AF3071&gt;0,"PASS","FAIL"))</x:f>
        <x:v>PASS</x:v>
      </x:c>
      <x:c r="AH3071" t="str">
        <x:f>IF(NOT(ISNUMBER(T3071)),"Needs supplier cost",IF(K3071&lt;&gt;"In stock","Supplier unavailable",IF(AG3071&lt;&gt;"PASS","BLOCK - GT loss risk","Commercially protected")))</x:f>
        <x:v>Commercially protected</x:v>
      </x:c>
      <x:c r="AI3071" t="str">
        <x:v>2026-09-10 Active Sports trade capture</x:v>
      </x:c>
      <x:c r="AJ3071" t="str">
        <x:v>Management-only economics. Stripe stress test uses 1.5% + £0.20 standard UK online-card fee; pallet/mix-and-match pricing ignored.</x:v>
      </x:c>
    </x:row>
    <x:row r="3072">
      <x:c r="A3072" t="str">
        <x:v>Active Sports Nutrition</x:v>
      </x:c>
      <x:c r="B3072" t="str">
        <x:v>Applied Nutrition</x:v>
      </x:c>
      <x:c r="C3072" t="str">
        <x:v>ISO-XP 100% Whey Protein Isolate</x:v>
      </x:c>
      <x:c r="D3072" t="str">
        <x:v>Supplements</x:v>
      </x:c>
      <x:c r="E3072" t="str">
        <x:v>Whey Isolate</x:v>
      </x:c>
      <x:c r="F3072" t="str"/>
      <x:c r="G3072" t="str">
        <x:v>1.8kg</x:v>
      </x:c>
      <x:c r="H3072" t="str">
        <x:v>Vanilla</x:v>
      </x:c>
      <x:c r="I3072" t="str"/>
      <x:c r="J3072" t="str">
        <x:v>Unit</x:v>
      </x:c>
      <x:c r="K3072" t="str">
        <x:v>In stock</x:v>
      </x:c>
      <x:c r="L3072" t="str">
        <x:v>2026-09-08</x:v>
      </x:c>
      <x:c r="M3072" t="str"/>
      <x:c r="N3072" t="str"/>
      <x:c r="O3072" t="str">
        <x:v>https://www.activesportstrade.co.uk/applied-nutrition-trade</x:v>
      </x:c>
      <x:c r="P3072" t="str">
        <x:v>SPECIAL OFFER / FREE BODY FUEL CREATINE STICKS AND SHAKER wording stripped.</x:v>
      </x:c>
      <x:c r="Q3072" t="str"/>
      <x:c r="R3072" t="str"/>
      <x:c r="S3072" t="str">
        <x:v>Pending genuine supplier/brand image</x:v>
      </x:c>
      <x:c r="T3072" s="54" t="n">
        <x:v>55.38</x:v>
      </x:c>
      <x:c r="U3072" s="47" t="n">
        <x:v>0.2</x:v>
      </x:c>
      <x:c r="V3072" s="54" t="n">
        <x:f>IF(ISNUMBER(T3072),T3072*(1+U3072),"")</x:f>
        <x:v>66.456</x:v>
      </x:c>
      <x:c r="W3072" s="47" t="n">
        <x:v>0.3</x:v>
      </x:c>
      <x:c r="X3072" s="54" t="n">
        <x:f>IF(ISNUMBER(V3072),V3072/(1-W3072),"")</x:f>
        <x:v>94.93714285714287</x:v>
      </x:c>
      <x:c r="Y3072" s="55" t="n">
        <x:f>IF(ISNUMBER(X3072),ROUNDUP(X3072,0),"")</x:f>
        <x:v>95</x:v>
      </x:c>
      <x:c r="Z3072" t="str">
        <x:v>Source match pending</x:v>
      </x:c>
      <x:c r="AA3072" t="str">
        <x:v>screencapture-www-activesportstrade-co-uk-applied-nutrition-trade-2026-09-10-08_59_59.pdf / page-13</x:v>
      </x:c>
      <x:c r="AB3072" s="36" t="n">
        <x:f>IF(ISNUMBER(Y3072),ROUND(Y3072*0.9,2),"")</x:f>
        <x:v>85.5</x:v>
      </x:c>
      <x:c r="AC3072" s="36" t="n">
        <x:f>IF(ISNUMBER(AB3072),ROUND(AB3072-(AB3072*0.015+0.2)-V3072,2),"")</x:f>
        <x:v>17.56</x:v>
      </x:c>
      <x:c r="AD3072" s="36" t="n">
        <x:f>IF(ISNUMBER(Y3072),ROUND(Y3072*0.8,2),"")</x:f>
        <x:v>76</x:v>
      </x:c>
      <x:c r="AE3072" s="36" t="n">
        <x:f>IF(ISNUMBER(AD3072),ROUND(AD3072*0.015+0.2,2),"")</x:f>
        <x:v>1.34</x:v>
      </x:c>
      <x:c r="AF3072" s="36" t="n">
        <x:f>IF(ISNUMBER(AD3072),ROUND(AD3072-AE3072-V3072,2),"")</x:f>
        <x:v>8.2</x:v>
      </x:c>
      <x:c r="AG3072" t="str">
        <x:f>IF(NOT(ISNUMBER(T3072)),"PENDING",IF(AF3072&gt;0,"PASS","FAIL"))</x:f>
        <x:v>PASS</x:v>
      </x:c>
      <x:c r="AH3072" t="str">
        <x:f>IF(NOT(ISNUMBER(T3072)),"Needs supplier cost",IF(K3072&lt;&gt;"In stock","Supplier unavailable",IF(AG3072&lt;&gt;"PASS","BLOCK - GT loss risk","Commercially protected")))</x:f>
        <x:v>Commercially protected</x:v>
      </x:c>
      <x:c r="AI3072" t="str">
        <x:v>2026-09-10 Active Sports trade capture</x:v>
      </x:c>
      <x:c r="AJ3072" t="str">
        <x:v>Management-only economics. Stripe stress test uses 1.5% + £0.20 standard UK online-card fee; pallet/mix-and-match pricing ignored.</x:v>
      </x:c>
    </x:row>
    <x:row r="3073">
      <x:c r="A3073" t="str">
        <x:v>Active Sports Nutrition</x:v>
      </x:c>
      <x:c r="B3073" t="str">
        <x:v>Applied Nutrition</x:v>
      </x:c>
      <x:c r="C3073" t="str">
        <x:v>ISO-XP 100% Whey Protein Isolate</x:v>
      </x:c>
      <x:c r="D3073" t="str">
        <x:v>Supplements</x:v>
      </x:c>
      <x:c r="E3073" t="str">
        <x:v>Whey Isolate</x:v>
      </x:c>
      <x:c r="F3073" t="str"/>
      <x:c r="G3073" t="str">
        <x:v>1kg</x:v>
      </x:c>
      <x:c r="H3073" t="str">
        <x:v>Choco Bueno</x:v>
      </x:c>
      <x:c r="I3073" t="str"/>
      <x:c r="J3073" t="str">
        <x:v>Unit</x:v>
      </x:c>
      <x:c r="K3073" t="str">
        <x:v>Out of stock</x:v>
      </x:c>
      <x:c r="L3073" t="str">
        <x:v>2026-09-08</x:v>
      </x:c>
      <x:c r="M3073" t="str"/>
      <x:c r="N3073" t="str"/>
      <x:c r="O3073" t="str">
        <x:v>https://www.activesportstrade.co.uk/applied-nutrition-trade</x:v>
      </x:c>
      <x:c r="P3073" t="str">
        <x:v>SPECIAL OFFER / FREE STEEL SHAKER wording stripped; supplier flavour spelling retained.</x:v>
      </x:c>
      <x:c r="Q3073" t="str"/>
      <x:c r="R3073" t="str"/>
      <x:c r="S3073" t="str">
        <x:v>Pending genuine supplier/brand image</x:v>
      </x:c>
      <x:c r="T3073" s="54" t="n">
        <x:v>25.79</x:v>
      </x:c>
      <x:c r="U3073" s="47" t="n">
        <x:v>0.2</x:v>
      </x:c>
      <x:c r="V3073" s="54" t="n">
        <x:f>IF(ISNUMBER(T3073),T3073*(1+U3073),"")</x:f>
        <x:v>30.947999999999997</x:v>
      </x:c>
      <x:c r="W3073" s="47" t="n">
        <x:v>0.3</x:v>
      </x:c>
      <x:c r="X3073" s="54" t="n">
        <x:f>IF(ISNUMBER(V3073),V3073/(1-W3073),"")</x:f>
        <x:v>44.21142857142857</x:v>
      </x:c>
      <x:c r="Y3073" s="55" t="n">
        <x:f>IF(ISNUMBER(X3073),ROUNDUP(X3073,0),"")</x:f>
        <x:v>45</x:v>
      </x:c>
      <x:c r="Z3073" t="str">
        <x:v>Source match pending</x:v>
      </x:c>
      <x:c r="AA3073" t="str">
        <x:v>screencapture-www-activesportstrade-co-uk-applied-nutrition-trade-2026-09-10-08_59_59.pdf / page-14</x:v>
      </x:c>
      <x:c r="AB3073" s="36" t="n">
        <x:f>IF(ISNUMBER(Y3073),ROUND(Y3073*0.9,2),"")</x:f>
        <x:v>40.5</x:v>
      </x:c>
      <x:c r="AC3073" s="36" t="n">
        <x:f>IF(ISNUMBER(AB3073),ROUND(AB3073-(AB3073*0.015+0.2)-V3073,2),"")</x:f>
        <x:v>8.74</x:v>
      </x:c>
      <x:c r="AD3073" s="36" t="n">
        <x:f>IF(ISNUMBER(Y3073),ROUND(Y3073*0.8,2),"")</x:f>
        <x:v>36</x:v>
      </x:c>
      <x:c r="AE3073" s="36" t="n">
        <x:f>IF(ISNUMBER(AD3073),ROUND(AD3073*0.015+0.2,2),"")</x:f>
        <x:v>0.74</x:v>
      </x:c>
      <x:c r="AF3073" s="36" t="n">
        <x:f>IF(ISNUMBER(AD3073),ROUND(AD3073-AE3073-V3073,2),"")</x:f>
        <x:v>4.31</x:v>
      </x:c>
      <x:c r="AG3073" t="str">
        <x:f>IF(NOT(ISNUMBER(T3073)),"PENDING",IF(AF3073&gt;0,"PASS","FAIL"))</x:f>
        <x:v>PASS</x:v>
      </x:c>
      <x:c r="AH3073" t="str">
        <x:f>IF(NOT(ISNUMBER(T3073)),"Needs supplier cost",IF(K3073&lt;&gt;"In stock","Supplier unavailable",IF(AG3073&lt;&gt;"PASS","BLOCK - GT loss risk","Commercially protected")))</x:f>
        <x:v>Supplier unavailable</x:v>
      </x:c>
      <x:c r="AI3073" t="str">
        <x:v>2026-09-10 Active Sports trade capture</x:v>
      </x:c>
      <x:c r="AJ3073" t="str">
        <x:v>Management-only economics. Stripe stress test uses 1.5% + £0.20 standard UK online-card fee; pallet/mix-and-match pricing ignored.</x:v>
      </x:c>
    </x:row>
    <x:row r="3074">
      <x:c r="A3074" t="str">
        <x:v>Active Sports Nutrition</x:v>
      </x:c>
      <x:c r="B3074" t="str">
        <x:v>Applied Nutrition</x:v>
      </x:c>
      <x:c r="C3074" t="str">
        <x:v>ISO-XP 100% Whey Protein Isolate</x:v>
      </x:c>
      <x:c r="D3074" t="str">
        <x:v>Supplements</x:v>
      </x:c>
      <x:c r="E3074" t="str">
        <x:v>Whey Isolate</x:v>
      </x:c>
      <x:c r="F3074" t="str"/>
      <x:c r="G3074" t="str">
        <x:v>1kg</x:v>
      </x:c>
      <x:c r="H3074" t="str">
        <x:v>Choco Candies</x:v>
      </x:c>
      <x:c r="I3074" t="str"/>
      <x:c r="J3074" t="str">
        <x:v>Unit</x:v>
      </x:c>
      <x:c r="K3074" t="str">
        <x:v>Out of stock</x:v>
      </x:c>
      <x:c r="L3074" t="str">
        <x:v>2026-09-08</x:v>
      </x:c>
      <x:c r="M3074" t="str"/>
      <x:c r="N3074" t="str"/>
      <x:c r="O3074" t="str">
        <x:v>https://www.activesportstrade.co.uk/applied-nutrition-trade</x:v>
      </x:c>
      <x:c r="P3074" t="str">
        <x:v>SPECIAL OFFER / FREE STEEL SHAKER wording stripped; supplier flavour spelling retained.</x:v>
      </x:c>
      <x:c r="Q3074" t="str"/>
      <x:c r="R3074" t="str"/>
      <x:c r="S3074" t="str">
        <x:v>Pending genuine supplier/brand image</x:v>
      </x:c>
      <x:c r="T3074" s="54" t="n">
        <x:v>25.79</x:v>
      </x:c>
      <x:c r="U3074" s="47" t="n">
        <x:v>0.2</x:v>
      </x:c>
      <x:c r="V3074" s="54" t="n">
        <x:f>IF(ISNUMBER(T3074),T3074*(1+U3074),"")</x:f>
        <x:v>30.947999999999997</x:v>
      </x:c>
      <x:c r="W3074" s="47" t="n">
        <x:v>0.3</x:v>
      </x:c>
      <x:c r="X3074" s="54" t="n">
        <x:f>IF(ISNUMBER(V3074),V3074/(1-W3074),"")</x:f>
        <x:v>44.21142857142857</x:v>
      </x:c>
      <x:c r="Y3074" s="55" t="n">
        <x:f>IF(ISNUMBER(X3074),ROUNDUP(X3074,0),"")</x:f>
        <x:v>45</x:v>
      </x:c>
      <x:c r="Z3074" t="str">
        <x:v>Source match pending</x:v>
      </x:c>
      <x:c r="AA3074" t="str">
        <x:v>screencapture-www-activesportstrade-co-uk-applied-nutrition-trade-2026-09-10-08_59_59.pdf / page-14</x:v>
      </x:c>
      <x:c r="AB3074" s="36" t="n">
        <x:f>IF(ISNUMBER(Y3074),ROUND(Y3074*0.9,2),"")</x:f>
        <x:v>40.5</x:v>
      </x:c>
      <x:c r="AC3074" s="36" t="n">
        <x:f>IF(ISNUMBER(AB3074),ROUND(AB3074-(AB3074*0.015+0.2)-V3074,2),"")</x:f>
        <x:v>8.74</x:v>
      </x:c>
      <x:c r="AD3074" s="36" t="n">
        <x:f>IF(ISNUMBER(Y3074),ROUND(Y3074*0.8,2),"")</x:f>
        <x:v>36</x:v>
      </x:c>
      <x:c r="AE3074" s="36" t="n">
        <x:f>IF(ISNUMBER(AD3074),ROUND(AD3074*0.015+0.2,2),"")</x:f>
        <x:v>0.74</x:v>
      </x:c>
      <x:c r="AF3074" s="36" t="n">
        <x:f>IF(ISNUMBER(AD3074),ROUND(AD3074-AE3074-V3074,2),"")</x:f>
        <x:v>4.31</x:v>
      </x:c>
      <x:c r="AG3074" t="str">
        <x:f>IF(NOT(ISNUMBER(T3074)),"PENDING",IF(AF3074&gt;0,"PASS","FAIL"))</x:f>
        <x:v>PASS</x:v>
      </x:c>
      <x:c r="AH3074" t="str">
        <x:f>IF(NOT(ISNUMBER(T3074)),"Needs supplier cost",IF(K3074&lt;&gt;"In stock","Supplier unavailable",IF(AG3074&lt;&gt;"PASS","BLOCK - GT loss risk","Commercially protected")))</x:f>
        <x:v>Supplier unavailable</x:v>
      </x:c>
      <x:c r="AI3074" t="str">
        <x:v>2026-09-10 Active Sports trade capture</x:v>
      </x:c>
      <x:c r="AJ3074" t="str">
        <x:v>Management-only economics. Stripe stress test uses 1.5% + £0.20 standard UK online-card fee; pallet/mix-and-match pricing ignored.</x:v>
      </x:c>
    </x:row>
    <x:row r="3075">
      <x:c r="A3075" t="str">
        <x:v>Active Sports Nutrition</x:v>
      </x:c>
      <x:c r="B3075" t="str">
        <x:v>Applied Nutrition</x:v>
      </x:c>
      <x:c r="C3075" t="str">
        <x:v>ISO-XP 100% Whey Protein Isolate</x:v>
      </x:c>
      <x:c r="D3075" t="str">
        <x:v>Supplements</x:v>
      </x:c>
      <x:c r="E3075" t="str">
        <x:v>Whey Isolate</x:v>
      </x:c>
      <x:c r="F3075" t="str"/>
      <x:c r="G3075" t="str">
        <x:v>1kg</x:v>
      </x:c>
      <x:c r="H3075" t="str">
        <x:v>Choco Carmel</x:v>
      </x:c>
      <x:c r="I3075" t="str"/>
      <x:c r="J3075" t="str">
        <x:v>Unit</x:v>
      </x:c>
      <x:c r="K3075" t="str">
        <x:v>Out of stock</x:v>
      </x:c>
      <x:c r="L3075" t="str">
        <x:v>2026-09-08</x:v>
      </x:c>
      <x:c r="M3075" t="str"/>
      <x:c r="N3075" t="str"/>
      <x:c r="O3075" t="str">
        <x:v>https://www.activesportstrade.co.uk/applied-nutrition-trade</x:v>
      </x:c>
      <x:c r="P3075" t="str">
        <x:v>SPECIAL OFFER / FREE STEEL SHAKER wording stripped; supplier flavour spelling retained.</x:v>
      </x:c>
      <x:c r="Q3075" t="str"/>
      <x:c r="R3075" t="str"/>
      <x:c r="S3075" t="str">
        <x:v>Pending genuine supplier/brand image</x:v>
      </x:c>
      <x:c r="T3075" s="54" t="n">
        <x:v>25.79</x:v>
      </x:c>
      <x:c r="U3075" s="47" t="n">
        <x:v>0.2</x:v>
      </x:c>
      <x:c r="V3075" s="54" t="n">
        <x:f>IF(ISNUMBER(T3075),T3075*(1+U3075),"")</x:f>
        <x:v>30.947999999999997</x:v>
      </x:c>
      <x:c r="W3075" s="47" t="n">
        <x:v>0.3</x:v>
      </x:c>
      <x:c r="X3075" s="54" t="n">
        <x:f>IF(ISNUMBER(V3075),V3075/(1-W3075),"")</x:f>
        <x:v>44.21142857142857</x:v>
      </x:c>
      <x:c r="Y3075" s="55" t="n">
        <x:f>IF(ISNUMBER(X3075),ROUNDUP(X3075,0),"")</x:f>
        <x:v>45</x:v>
      </x:c>
      <x:c r="Z3075" t="str">
        <x:v>Source match pending</x:v>
      </x:c>
      <x:c r="AA3075" t="str">
        <x:v>screencapture-www-activesportstrade-co-uk-applied-nutrition-trade-2026-09-10-08_59_59.pdf / page-14</x:v>
      </x:c>
      <x:c r="AB3075" s="36" t="n">
        <x:f>IF(ISNUMBER(Y3075),ROUND(Y3075*0.9,2),"")</x:f>
        <x:v>40.5</x:v>
      </x:c>
      <x:c r="AC3075" s="36" t="n">
        <x:f>IF(ISNUMBER(AB3075),ROUND(AB3075-(AB3075*0.015+0.2)-V3075,2),"")</x:f>
        <x:v>8.74</x:v>
      </x:c>
      <x:c r="AD3075" s="36" t="n">
        <x:f>IF(ISNUMBER(Y3075),ROUND(Y3075*0.8,2),"")</x:f>
        <x:v>36</x:v>
      </x:c>
      <x:c r="AE3075" s="36" t="n">
        <x:f>IF(ISNUMBER(AD3075),ROUND(AD3075*0.015+0.2,2),"")</x:f>
        <x:v>0.74</x:v>
      </x:c>
      <x:c r="AF3075" s="36" t="n">
        <x:f>IF(ISNUMBER(AD3075),ROUND(AD3075-AE3075-V3075,2),"")</x:f>
        <x:v>4.31</x:v>
      </x:c>
      <x:c r="AG3075" t="str">
        <x:f>IF(NOT(ISNUMBER(T3075)),"PENDING",IF(AF3075&gt;0,"PASS","FAIL"))</x:f>
        <x:v>PASS</x:v>
      </x:c>
      <x:c r="AH3075" t="str">
        <x:f>IF(NOT(ISNUMBER(T3075)),"Needs supplier cost",IF(K3075&lt;&gt;"In stock","Supplier unavailable",IF(AG3075&lt;&gt;"PASS","BLOCK - GT loss risk","Commercially protected")))</x:f>
        <x:v>Supplier unavailable</x:v>
      </x:c>
      <x:c r="AI3075" t="str">
        <x:v>2026-09-10 Active Sports trade capture</x:v>
      </x:c>
      <x:c r="AJ3075" t="str">
        <x:v>Management-only economics. Stripe stress test uses 1.5% + £0.20 standard UK online-card fee; pallet/mix-and-match pricing ignored.</x:v>
      </x:c>
    </x:row>
    <x:row r="3076">
      <x:c r="A3076" t="str">
        <x:v>Active Sports Nutrition</x:v>
      </x:c>
      <x:c r="B3076" t="str">
        <x:v>Applied Nutrition</x:v>
      </x:c>
      <x:c r="C3076" t="str">
        <x:v>ISO-XP 100% Whey Protein Isolate</x:v>
      </x:c>
      <x:c r="D3076" t="str">
        <x:v>Supplements</x:v>
      </x:c>
      <x:c r="E3076" t="str">
        <x:v>Whey Isolate</x:v>
      </x:c>
      <x:c r="F3076" t="str"/>
      <x:c r="G3076" t="str">
        <x:v>1kg</x:v>
      </x:c>
      <x:c r="H3076" t="str">
        <x:v>Choco Coco</x:v>
      </x:c>
      <x:c r="I3076" t="str"/>
      <x:c r="J3076" t="str">
        <x:v>Unit</x:v>
      </x:c>
      <x:c r="K3076" t="str">
        <x:v>In stock</x:v>
      </x:c>
      <x:c r="L3076" t="str">
        <x:v>2026-09-08</x:v>
      </x:c>
      <x:c r="M3076" t="str"/>
      <x:c r="N3076" t="str"/>
      <x:c r="O3076" t="str">
        <x:v>https://www.activesportstrade.co.uk/applied-nutrition-trade</x:v>
      </x:c>
      <x:c r="P3076" t="str">
        <x:v>SPECIAL OFFER / FREE STEEL SHAKER wording stripped; supplier flavour spelling retained.</x:v>
      </x:c>
      <x:c r="Q3076" t="str"/>
      <x:c r="R3076" t="str"/>
      <x:c r="S3076" t="str">
        <x:v>Pending genuine supplier/brand image</x:v>
      </x:c>
      <x:c r="T3076" s="54" t="n">
        <x:v>25.79</x:v>
      </x:c>
      <x:c r="U3076" s="47" t="n">
        <x:v>0.2</x:v>
      </x:c>
      <x:c r="V3076" s="54" t="n">
        <x:f>IF(ISNUMBER(T3076),T3076*(1+U3076),"")</x:f>
        <x:v>30.947999999999997</x:v>
      </x:c>
      <x:c r="W3076" s="47" t="n">
        <x:v>0.3</x:v>
      </x:c>
      <x:c r="X3076" s="54" t="n">
        <x:f>IF(ISNUMBER(V3076),V3076/(1-W3076),"")</x:f>
        <x:v>44.21142857142857</x:v>
      </x:c>
      <x:c r="Y3076" s="55" t="n">
        <x:f>IF(ISNUMBER(X3076),ROUNDUP(X3076,0),"")</x:f>
        <x:v>45</x:v>
      </x:c>
      <x:c r="Z3076" t="str">
        <x:v>Source match pending</x:v>
      </x:c>
      <x:c r="AA3076" t="str">
        <x:v>screencapture-www-activesportstrade-co-uk-applied-nutrition-trade-2026-09-10-08_59_59.pdf / page-14</x:v>
      </x:c>
      <x:c r="AB3076" s="36" t="n">
        <x:f>IF(ISNUMBER(Y3076),ROUND(Y3076*0.9,2),"")</x:f>
        <x:v>40.5</x:v>
      </x:c>
      <x:c r="AC3076" s="36" t="n">
        <x:f>IF(ISNUMBER(AB3076),ROUND(AB3076-(AB3076*0.015+0.2)-V3076,2),"")</x:f>
        <x:v>8.74</x:v>
      </x:c>
      <x:c r="AD3076" s="36" t="n">
        <x:f>IF(ISNUMBER(Y3076),ROUND(Y3076*0.8,2),"")</x:f>
        <x:v>36</x:v>
      </x:c>
      <x:c r="AE3076" s="36" t="n">
        <x:f>IF(ISNUMBER(AD3076),ROUND(AD3076*0.015+0.2,2),"")</x:f>
        <x:v>0.74</x:v>
      </x:c>
      <x:c r="AF3076" s="36" t="n">
        <x:f>IF(ISNUMBER(AD3076),ROUND(AD3076-AE3076-V3076,2),"")</x:f>
        <x:v>4.31</x:v>
      </x:c>
      <x:c r="AG3076" t="str">
        <x:f>IF(NOT(ISNUMBER(T3076)),"PENDING",IF(AF3076&gt;0,"PASS","FAIL"))</x:f>
        <x:v>PASS</x:v>
      </x:c>
      <x:c r="AH3076" t="str">
        <x:f>IF(NOT(ISNUMBER(T3076)),"Needs supplier cost",IF(K3076&lt;&gt;"In stock","Supplier unavailable",IF(AG3076&lt;&gt;"PASS","BLOCK - GT loss risk","Commercially protected")))</x:f>
        <x:v>Commercially protected</x:v>
      </x:c>
      <x:c r="AI3076" t="str">
        <x:v>2026-09-10 Active Sports trade capture</x:v>
      </x:c>
      <x:c r="AJ3076" t="str">
        <x:v>Management-only economics. Stripe stress test uses 1.5% + £0.20 standard UK online-card fee; pallet/mix-and-match pricing ignored.</x:v>
      </x:c>
    </x:row>
    <x:row r="3077">
      <x:c r="A3077" t="str">
        <x:v>Active Sports Nutrition</x:v>
      </x:c>
      <x:c r="B3077" t="str">
        <x:v>Applied Nutrition</x:v>
      </x:c>
      <x:c r="C3077" t="str">
        <x:v>ISO-XP 100% Whey Protein Isolate</x:v>
      </x:c>
      <x:c r="D3077" t="str">
        <x:v>Supplements</x:v>
      </x:c>
      <x:c r="E3077" t="str">
        <x:v>Whey Isolate</x:v>
      </x:c>
      <x:c r="F3077" t="str"/>
      <x:c r="G3077" t="str">
        <x:v>1kg</x:v>
      </x:c>
      <x:c r="H3077" t="str">
        <x:v>Choco Honeycomb</x:v>
      </x:c>
      <x:c r="I3077" t="str"/>
      <x:c r="J3077" t="str">
        <x:v>Unit</x:v>
      </x:c>
      <x:c r="K3077" t="str">
        <x:v>Out of stock</x:v>
      </x:c>
      <x:c r="L3077" t="str">
        <x:v>2026-09-08</x:v>
      </x:c>
      <x:c r="M3077" t="str"/>
      <x:c r="N3077" t="str"/>
      <x:c r="O3077" t="str">
        <x:v>https://www.activesportstrade.co.uk/applied-nutrition-trade</x:v>
      </x:c>
      <x:c r="P3077" t="str">
        <x:v>SPECIAL OFFER / FREE STEEL SHAKER wording stripped; supplier flavour spelling retained.</x:v>
      </x:c>
      <x:c r="Q3077" t="str"/>
      <x:c r="R3077" t="str"/>
      <x:c r="S3077" t="str">
        <x:v>Pending genuine supplier/brand image</x:v>
      </x:c>
      <x:c r="T3077" s="54" t="n">
        <x:v>25.79</x:v>
      </x:c>
      <x:c r="U3077" s="47" t="n">
        <x:v>0.2</x:v>
      </x:c>
      <x:c r="V3077" s="54" t="n">
        <x:f>IF(ISNUMBER(T3077),T3077*(1+U3077),"")</x:f>
        <x:v>30.947999999999997</x:v>
      </x:c>
      <x:c r="W3077" s="47" t="n">
        <x:v>0.3</x:v>
      </x:c>
      <x:c r="X3077" s="54" t="n">
        <x:f>IF(ISNUMBER(V3077),V3077/(1-W3077),"")</x:f>
        <x:v>44.21142857142857</x:v>
      </x:c>
      <x:c r="Y3077" s="55" t="n">
        <x:f>IF(ISNUMBER(X3077),ROUNDUP(X3077,0),"")</x:f>
        <x:v>45</x:v>
      </x:c>
      <x:c r="Z3077" t="str">
        <x:v>Source match pending</x:v>
      </x:c>
      <x:c r="AA3077" t="str">
        <x:v>screencapture-www-activesportstrade-co-uk-applied-nutrition-trade-2026-09-10-08_59_59.pdf / page-14</x:v>
      </x:c>
      <x:c r="AB3077" s="36" t="n">
        <x:f>IF(ISNUMBER(Y3077),ROUND(Y3077*0.9,2),"")</x:f>
        <x:v>40.5</x:v>
      </x:c>
      <x:c r="AC3077" s="36" t="n">
        <x:f>IF(ISNUMBER(AB3077),ROUND(AB3077-(AB3077*0.015+0.2)-V3077,2),"")</x:f>
        <x:v>8.74</x:v>
      </x:c>
      <x:c r="AD3077" s="36" t="n">
        <x:f>IF(ISNUMBER(Y3077),ROUND(Y3077*0.8,2),"")</x:f>
        <x:v>36</x:v>
      </x:c>
      <x:c r="AE3077" s="36" t="n">
        <x:f>IF(ISNUMBER(AD3077),ROUND(AD3077*0.015+0.2,2),"")</x:f>
        <x:v>0.74</x:v>
      </x:c>
      <x:c r="AF3077" s="36" t="n">
        <x:f>IF(ISNUMBER(AD3077),ROUND(AD3077-AE3077-V3077,2),"")</x:f>
        <x:v>4.31</x:v>
      </x:c>
      <x:c r="AG3077" t="str">
        <x:f>IF(NOT(ISNUMBER(T3077)),"PENDING",IF(AF3077&gt;0,"PASS","FAIL"))</x:f>
        <x:v>PASS</x:v>
      </x:c>
      <x:c r="AH3077" t="str">
        <x:f>IF(NOT(ISNUMBER(T3077)),"Needs supplier cost",IF(K3077&lt;&gt;"In stock","Supplier unavailable",IF(AG3077&lt;&gt;"PASS","BLOCK - GT loss risk","Commercially protected")))</x:f>
        <x:v>Supplier unavailable</x:v>
      </x:c>
      <x:c r="AI3077" t="str">
        <x:v>2026-09-10 Active Sports trade capture</x:v>
      </x:c>
      <x:c r="AJ3077" t="str">
        <x:v>Management-only economics. Stripe stress test uses 1.5% + £0.20 standard UK online-card fee; pallet/mix-and-match pricing ignored.</x:v>
      </x:c>
    </x:row>
    <x:row r="3078">
      <x:c r="A3078" t="str">
        <x:v>Active Sports Nutrition</x:v>
      </x:c>
      <x:c r="B3078" t="str">
        <x:v>Applied Nutrition</x:v>
      </x:c>
      <x:c r="C3078" t="str">
        <x:v>ISO-XP 100% Whey Protein Isolate</x:v>
      </x:c>
      <x:c r="D3078" t="str">
        <x:v>Supplements</x:v>
      </x:c>
      <x:c r="E3078" t="str">
        <x:v>Whey Isolate</x:v>
      </x:c>
      <x:c r="F3078" t="str"/>
      <x:c r="G3078" t="str">
        <x:v>1kg</x:v>
      </x:c>
      <x:c r="H3078" t="str">
        <x:v>Choco Peanut</x:v>
      </x:c>
      <x:c r="I3078" t="str"/>
      <x:c r="J3078" t="str">
        <x:v>Unit</x:v>
      </x:c>
      <x:c r="K3078" t="str">
        <x:v>In stock</x:v>
      </x:c>
      <x:c r="L3078" t="str">
        <x:v>2026-09-08</x:v>
      </x:c>
      <x:c r="M3078" t="str"/>
      <x:c r="N3078" t="str"/>
      <x:c r="O3078" t="str">
        <x:v>https://www.activesportstrade.co.uk/applied-nutrition-trade</x:v>
      </x:c>
      <x:c r="P3078" t="str">
        <x:v>SPECIAL OFFER / FREE STEEL SHAKER wording stripped; supplier flavour spelling retained.</x:v>
      </x:c>
      <x:c r="Q3078" t="str"/>
      <x:c r="R3078" t="str"/>
      <x:c r="S3078" t="str">
        <x:v>Pending genuine supplier/brand image</x:v>
      </x:c>
      <x:c r="T3078" s="54" t="n">
        <x:v>25.79</x:v>
      </x:c>
      <x:c r="U3078" s="47" t="n">
        <x:v>0.2</x:v>
      </x:c>
      <x:c r="V3078" s="54" t="n">
        <x:f>IF(ISNUMBER(T3078),T3078*(1+U3078),"")</x:f>
        <x:v>30.947999999999997</x:v>
      </x:c>
      <x:c r="W3078" s="47" t="n">
        <x:v>0.3</x:v>
      </x:c>
      <x:c r="X3078" s="54" t="n">
        <x:f>IF(ISNUMBER(V3078),V3078/(1-W3078),"")</x:f>
        <x:v>44.21142857142857</x:v>
      </x:c>
      <x:c r="Y3078" s="55" t="n">
        <x:f>IF(ISNUMBER(X3078),ROUNDUP(X3078,0),"")</x:f>
        <x:v>45</x:v>
      </x:c>
      <x:c r="Z3078" t="str">
        <x:v>Source match pending</x:v>
      </x:c>
      <x:c r="AA3078" t="str">
        <x:v>screencapture-www-activesportstrade-co-uk-applied-nutrition-trade-2026-09-10-08_59_59.pdf / page-14</x:v>
      </x:c>
      <x:c r="AB3078" s="36" t="n">
        <x:f>IF(ISNUMBER(Y3078),ROUND(Y3078*0.9,2),"")</x:f>
        <x:v>40.5</x:v>
      </x:c>
      <x:c r="AC3078" s="36" t="n">
        <x:f>IF(ISNUMBER(AB3078),ROUND(AB3078-(AB3078*0.015+0.2)-V3078,2),"")</x:f>
        <x:v>8.74</x:v>
      </x:c>
      <x:c r="AD3078" s="36" t="n">
        <x:f>IF(ISNUMBER(Y3078),ROUND(Y3078*0.8,2),"")</x:f>
        <x:v>36</x:v>
      </x:c>
      <x:c r="AE3078" s="36" t="n">
        <x:f>IF(ISNUMBER(AD3078),ROUND(AD3078*0.015+0.2,2),"")</x:f>
        <x:v>0.74</x:v>
      </x:c>
      <x:c r="AF3078" s="36" t="n">
        <x:f>IF(ISNUMBER(AD3078),ROUND(AD3078-AE3078-V3078,2),"")</x:f>
        <x:v>4.31</x:v>
      </x:c>
      <x:c r="AG3078" t="str">
        <x:f>IF(NOT(ISNUMBER(T3078)),"PENDING",IF(AF3078&gt;0,"PASS","FAIL"))</x:f>
        <x:v>PASS</x:v>
      </x:c>
      <x:c r="AH3078" t="str">
        <x:f>IF(NOT(ISNUMBER(T3078)),"Needs supplier cost",IF(K3078&lt;&gt;"In stock","Supplier unavailable",IF(AG3078&lt;&gt;"PASS","BLOCK - GT loss risk","Commercially protected")))</x:f>
        <x:v>Commercially protected</x:v>
      </x:c>
      <x:c r="AI3078" t="str">
        <x:v>2026-09-10 Active Sports trade capture</x:v>
      </x:c>
      <x:c r="AJ3078" t="str">
        <x:v>Management-only economics. Stripe stress test uses 1.5% + £0.20 standard UK online-card fee; pallet/mix-and-match pricing ignored.</x:v>
      </x:c>
    </x:row>
    <x:row r="3079">
      <x:c r="A3079" t="str">
        <x:v>Active Sports Nutrition</x:v>
      </x:c>
      <x:c r="B3079" t="str">
        <x:v>Applied Nutrition</x:v>
      </x:c>
      <x:c r="C3079" t="str">
        <x:v>ISO-XP 100% Whey Protein Isolate</x:v>
      </x:c>
      <x:c r="D3079" t="str">
        <x:v>Supplements</x:v>
      </x:c>
      <x:c r="E3079" t="str">
        <x:v>Whey Isolate</x:v>
      </x:c>
      <x:c r="F3079" t="str"/>
      <x:c r="G3079" t="str">
        <x:v>1kg</x:v>
      </x:c>
      <x:c r="H3079" t="str">
        <x:v>Chocolate Dessert</x:v>
      </x:c>
      <x:c r="I3079" t="str"/>
      <x:c r="J3079" t="str">
        <x:v>Unit</x:v>
      </x:c>
      <x:c r="K3079" t="str">
        <x:v>Out of stock</x:v>
      </x:c>
      <x:c r="L3079" t="str">
        <x:v>2026-09-08</x:v>
      </x:c>
      <x:c r="M3079" t="str"/>
      <x:c r="N3079" t="str"/>
      <x:c r="O3079" t="str">
        <x:v>https://www.activesportstrade.co.uk/applied-nutrition-trade</x:v>
      </x:c>
      <x:c r="P3079" t="str">
        <x:v>SPECIAL OFFER / FREE STEEL SHAKER wording stripped; supplier flavour spelling retained.</x:v>
      </x:c>
      <x:c r="Q3079" t="str"/>
      <x:c r="R3079" t="str"/>
      <x:c r="S3079" t="str">
        <x:v>Pending genuine supplier/brand image</x:v>
      </x:c>
      <x:c r="T3079" s="54" t="n">
        <x:v>25.79</x:v>
      </x:c>
      <x:c r="U3079" s="47" t="n">
        <x:v>0.2</x:v>
      </x:c>
      <x:c r="V3079" s="54" t="n">
        <x:f>IF(ISNUMBER(T3079),T3079*(1+U3079),"")</x:f>
        <x:v>30.947999999999997</x:v>
      </x:c>
      <x:c r="W3079" s="47" t="n">
        <x:v>0.3</x:v>
      </x:c>
      <x:c r="X3079" s="54" t="n">
        <x:f>IF(ISNUMBER(V3079),V3079/(1-W3079),"")</x:f>
        <x:v>44.21142857142857</x:v>
      </x:c>
      <x:c r="Y3079" s="55" t="n">
        <x:f>IF(ISNUMBER(X3079),ROUNDUP(X3079,0),"")</x:f>
        <x:v>45</x:v>
      </x:c>
      <x:c r="Z3079" t="str">
        <x:v>Source match pending</x:v>
      </x:c>
      <x:c r="AA3079" t="str">
        <x:v>screencapture-www-activesportstrade-co-uk-applied-nutrition-trade-2026-09-10-08_59_59.pdf / page-14</x:v>
      </x:c>
      <x:c r="AB3079" s="36" t="n">
        <x:f>IF(ISNUMBER(Y3079),ROUND(Y3079*0.9,2),"")</x:f>
        <x:v>40.5</x:v>
      </x:c>
      <x:c r="AC3079" s="36" t="n">
        <x:f>IF(ISNUMBER(AB3079),ROUND(AB3079-(AB3079*0.015+0.2)-V3079,2),"")</x:f>
        <x:v>8.74</x:v>
      </x:c>
      <x:c r="AD3079" s="36" t="n">
        <x:f>IF(ISNUMBER(Y3079),ROUND(Y3079*0.8,2),"")</x:f>
        <x:v>36</x:v>
      </x:c>
      <x:c r="AE3079" s="36" t="n">
        <x:f>IF(ISNUMBER(AD3079),ROUND(AD3079*0.015+0.2,2),"")</x:f>
        <x:v>0.74</x:v>
      </x:c>
      <x:c r="AF3079" s="36" t="n">
        <x:f>IF(ISNUMBER(AD3079),ROUND(AD3079-AE3079-V3079,2),"")</x:f>
        <x:v>4.31</x:v>
      </x:c>
      <x:c r="AG3079" t="str">
        <x:f>IF(NOT(ISNUMBER(T3079)),"PENDING",IF(AF3079&gt;0,"PASS","FAIL"))</x:f>
        <x:v>PASS</x:v>
      </x:c>
      <x:c r="AH3079" t="str">
        <x:f>IF(NOT(ISNUMBER(T3079)),"Needs supplier cost",IF(K3079&lt;&gt;"In stock","Supplier unavailable",IF(AG3079&lt;&gt;"PASS","BLOCK - GT loss risk","Commercially protected")))</x:f>
        <x:v>Supplier unavailable</x:v>
      </x:c>
      <x:c r="AI3079" t="str">
        <x:v>2026-09-10 Active Sports trade capture</x:v>
      </x:c>
      <x:c r="AJ3079" t="str">
        <x:v>Management-only economics. Stripe stress test uses 1.5% + £0.20 standard UK online-card fee; pallet/mix-and-match pricing ignored.</x:v>
      </x:c>
    </x:row>
    <x:row r="3080">
      <x:c r="A3080" t="str">
        <x:v>Active Sports Nutrition</x:v>
      </x:c>
      <x:c r="B3080" t="str">
        <x:v>Applied Nutrition</x:v>
      </x:c>
      <x:c r="C3080" t="str">
        <x:v>ISO-XP 100% Whey Protein Isolate</x:v>
      </x:c>
      <x:c r="D3080" t="str">
        <x:v>Supplements</x:v>
      </x:c>
      <x:c r="E3080" t="str">
        <x:v>Whey Isolate</x:v>
      </x:c>
      <x:c r="F3080" t="str"/>
      <x:c r="G3080" t="str">
        <x:v>1kg</x:v>
      </x:c>
      <x:c r="H3080" t="str">
        <x:v>Strawberry</x:v>
      </x:c>
      <x:c r="I3080" t="str"/>
      <x:c r="J3080" t="str">
        <x:v>Unit</x:v>
      </x:c>
      <x:c r="K3080" t="str">
        <x:v>Out of stock</x:v>
      </x:c>
      <x:c r="L3080" t="str">
        <x:v>2026-09-08</x:v>
      </x:c>
      <x:c r="M3080" t="str"/>
      <x:c r="N3080" t="str"/>
      <x:c r="O3080" t="str">
        <x:v>https://www.activesportstrade.co.uk/applied-nutrition-trade</x:v>
      </x:c>
      <x:c r="P3080" t="str">
        <x:v>SPECIAL OFFER / FREE STEEL SHAKER wording stripped; supplier flavour spelling retained.</x:v>
      </x:c>
      <x:c r="Q3080" t="str"/>
      <x:c r="R3080" t="str"/>
      <x:c r="S3080" t="str">
        <x:v>Pending genuine supplier/brand image</x:v>
      </x:c>
      <x:c r="T3080" s="54" t="n">
        <x:v>25.79</x:v>
      </x:c>
      <x:c r="U3080" s="47" t="n">
        <x:v>0.2</x:v>
      </x:c>
      <x:c r="V3080" s="54" t="n">
        <x:f>IF(ISNUMBER(T3080),T3080*(1+U3080),"")</x:f>
        <x:v>30.947999999999997</x:v>
      </x:c>
      <x:c r="W3080" s="47" t="n">
        <x:v>0.3</x:v>
      </x:c>
      <x:c r="X3080" s="54" t="n">
        <x:f>IF(ISNUMBER(V3080),V3080/(1-W3080),"")</x:f>
        <x:v>44.21142857142857</x:v>
      </x:c>
      <x:c r="Y3080" s="55" t="n">
        <x:f>IF(ISNUMBER(X3080),ROUNDUP(X3080,0),"")</x:f>
        <x:v>45</x:v>
      </x:c>
      <x:c r="Z3080" t="str">
        <x:v>Source match pending</x:v>
      </x:c>
      <x:c r="AA3080" t="str">
        <x:v>screencapture-www-activesportstrade-co-uk-applied-nutrition-trade-2026-09-10-08_59_59.pdf / page-14</x:v>
      </x:c>
      <x:c r="AB3080" s="36" t="n">
        <x:f>IF(ISNUMBER(Y3080),ROUND(Y3080*0.9,2),"")</x:f>
        <x:v>40.5</x:v>
      </x:c>
      <x:c r="AC3080" s="36" t="n">
        <x:f>IF(ISNUMBER(AB3080),ROUND(AB3080-(AB3080*0.015+0.2)-V3080,2),"")</x:f>
        <x:v>8.74</x:v>
      </x:c>
      <x:c r="AD3080" s="36" t="n">
        <x:f>IF(ISNUMBER(Y3080),ROUND(Y3080*0.8,2),"")</x:f>
        <x:v>36</x:v>
      </x:c>
      <x:c r="AE3080" s="36" t="n">
        <x:f>IF(ISNUMBER(AD3080),ROUND(AD3080*0.015+0.2,2),"")</x:f>
        <x:v>0.74</x:v>
      </x:c>
      <x:c r="AF3080" s="36" t="n">
        <x:f>IF(ISNUMBER(AD3080),ROUND(AD3080-AE3080-V3080,2),"")</x:f>
        <x:v>4.31</x:v>
      </x:c>
      <x:c r="AG3080" t="str">
        <x:f>IF(NOT(ISNUMBER(T3080)),"PENDING",IF(AF3080&gt;0,"PASS","FAIL"))</x:f>
        <x:v>PASS</x:v>
      </x:c>
      <x:c r="AH3080" t="str">
        <x:f>IF(NOT(ISNUMBER(T3080)),"Needs supplier cost",IF(K3080&lt;&gt;"In stock","Supplier unavailable",IF(AG3080&lt;&gt;"PASS","BLOCK - GT loss risk","Commercially protected")))</x:f>
        <x:v>Supplier unavailable</x:v>
      </x:c>
      <x:c r="AI3080" t="str">
        <x:v>2026-09-10 Active Sports trade capture</x:v>
      </x:c>
      <x:c r="AJ3080" t="str">
        <x:v>Management-only economics. Stripe stress test uses 1.5% + £0.20 standard UK online-card fee; pallet/mix-and-match pricing ignored.</x:v>
      </x:c>
    </x:row>
    <x:row r="3081">
      <x:c r="A3081" t="str">
        <x:v>Active Sports Nutrition</x:v>
      </x:c>
      <x:c r="B3081" t="str">
        <x:v>Applied Nutrition</x:v>
      </x:c>
      <x:c r="C3081" t="str">
        <x:v>ISO-XP 100% Whey Protein Isolate</x:v>
      </x:c>
      <x:c r="D3081" t="str">
        <x:v>Supplements</x:v>
      </x:c>
      <x:c r="E3081" t="str">
        <x:v>Whey Isolate</x:v>
      </x:c>
      <x:c r="F3081" t="str"/>
      <x:c r="G3081" t="str">
        <x:v>1kg</x:v>
      </x:c>
      <x:c r="H3081" t="str">
        <x:v>Vanilla</x:v>
      </x:c>
      <x:c r="I3081" t="str"/>
      <x:c r="J3081" t="str">
        <x:v>Unit</x:v>
      </x:c>
      <x:c r="K3081" t="str">
        <x:v>Out of stock</x:v>
      </x:c>
      <x:c r="L3081" t="str">
        <x:v>2026-09-08</x:v>
      </x:c>
      <x:c r="M3081" t="str"/>
      <x:c r="N3081" t="str"/>
      <x:c r="O3081" t="str">
        <x:v>https://www.activesportstrade.co.uk/applied-nutrition-trade</x:v>
      </x:c>
      <x:c r="P3081" t="str">
        <x:v>SPECIAL OFFER / FREE STEEL SHAKER wording stripped; supplier flavour spelling retained.</x:v>
      </x:c>
      <x:c r="Q3081" t="str"/>
      <x:c r="R3081" t="str"/>
      <x:c r="S3081" t="str">
        <x:v>Pending genuine supplier/brand image</x:v>
      </x:c>
      <x:c r="T3081" s="54" t="n">
        <x:v>25.79</x:v>
      </x:c>
      <x:c r="U3081" s="47" t="n">
        <x:v>0.2</x:v>
      </x:c>
      <x:c r="V3081" s="54" t="n">
        <x:f>IF(ISNUMBER(T3081),T3081*(1+U3081),"")</x:f>
        <x:v>30.947999999999997</x:v>
      </x:c>
      <x:c r="W3081" s="47" t="n">
        <x:v>0.3</x:v>
      </x:c>
      <x:c r="X3081" s="54" t="n">
        <x:f>IF(ISNUMBER(V3081),V3081/(1-W3081),"")</x:f>
        <x:v>44.21142857142857</x:v>
      </x:c>
      <x:c r="Y3081" s="55" t="n">
        <x:f>IF(ISNUMBER(X3081),ROUNDUP(X3081,0),"")</x:f>
        <x:v>45</x:v>
      </x:c>
      <x:c r="Z3081" t="str">
        <x:v>Source match pending</x:v>
      </x:c>
      <x:c r="AA3081" t="str">
        <x:v>screencapture-www-activesportstrade-co-uk-applied-nutrition-trade-2026-09-10-08_59_59.pdf / page-14</x:v>
      </x:c>
      <x:c r="AB3081" s="36" t="n">
        <x:f>IF(ISNUMBER(Y3081),ROUND(Y3081*0.9,2),"")</x:f>
        <x:v>40.5</x:v>
      </x:c>
      <x:c r="AC3081" s="36" t="n">
        <x:f>IF(ISNUMBER(AB3081),ROUND(AB3081-(AB3081*0.015+0.2)-V3081,2),"")</x:f>
        <x:v>8.74</x:v>
      </x:c>
      <x:c r="AD3081" s="36" t="n">
        <x:f>IF(ISNUMBER(Y3081),ROUND(Y3081*0.8,2),"")</x:f>
        <x:v>36</x:v>
      </x:c>
      <x:c r="AE3081" s="36" t="n">
        <x:f>IF(ISNUMBER(AD3081),ROUND(AD3081*0.015+0.2,2),"")</x:f>
        <x:v>0.74</x:v>
      </x:c>
      <x:c r="AF3081" s="36" t="n">
        <x:f>IF(ISNUMBER(AD3081),ROUND(AD3081-AE3081-V3081,2),"")</x:f>
        <x:v>4.31</x:v>
      </x:c>
      <x:c r="AG3081" t="str">
        <x:f>IF(NOT(ISNUMBER(T3081)),"PENDING",IF(AF3081&gt;0,"PASS","FAIL"))</x:f>
        <x:v>PASS</x:v>
      </x:c>
      <x:c r="AH3081" t="str">
        <x:f>IF(NOT(ISNUMBER(T3081)),"Needs supplier cost",IF(K3081&lt;&gt;"In stock","Supplier unavailable",IF(AG3081&lt;&gt;"PASS","BLOCK - GT loss risk","Commercially protected")))</x:f>
        <x:v>Supplier unavailable</x:v>
      </x:c>
      <x:c r="AI3081" t="str">
        <x:v>2026-09-10 Active Sports trade capture</x:v>
      </x:c>
      <x:c r="AJ3081" t="str">
        <x:v>Management-only economics. Stripe stress test uses 1.5% + £0.20 standard UK online-card fee; pallet/mix-and-match pricing ignored.</x:v>
      </x:c>
    </x:row>
    <x:row r="3082">
      <x:c r="A3082" t="str">
        <x:v>Active Sports Nutrition</x:v>
      </x:c>
      <x:c r="B3082" t="str">
        <x:v>Applied Nutrition</x:v>
      </x:c>
      <x:c r="C3082" t="str">
        <x:v>ISO-XP 100% Whey Protein Isolate</x:v>
      </x:c>
      <x:c r="D3082" t="str">
        <x:v>Supplements</x:v>
      </x:c>
      <x:c r="E3082" t="str">
        <x:v>Whey Isolate</x:v>
      </x:c>
      <x:c r="F3082" t="str"/>
      <x:c r="G3082" t="str">
        <x:v>850g</x:v>
      </x:c>
      <x:c r="H3082" t="str">
        <x:v>Cafe Latte</x:v>
      </x:c>
      <x:c r="I3082" t="str"/>
      <x:c r="J3082" t="str">
        <x:v>Unit</x:v>
      </x:c>
      <x:c r="K3082" t="str">
        <x:v>In stock</x:v>
      </x:c>
      <x:c r="L3082" t="str">
        <x:v>2026-09-08</x:v>
      </x:c>
      <x:c r="M3082" t="str"/>
      <x:c r="N3082" t="str"/>
      <x:c r="O3082" t="str">
        <x:v>https://www.activesportstrade.co.uk/applied-nutrition-trade</x:v>
      </x:c>
      <x:c r="P3082" t="str">
        <x:v>Current visible 850g variants captured; continue reconciliation if further variants surface.</x:v>
      </x:c>
      <x:c r="Q3082" t="str"/>
      <x:c r="R3082" t="str"/>
      <x:c r="S3082" t="str">
        <x:v>Pending genuine supplier/brand image</x:v>
      </x:c>
      <x:c r="T3082" s="54" t="n">
        <x:v>25.85</x:v>
      </x:c>
      <x:c r="U3082" s="47" t="n">
        <x:v>0.2</x:v>
      </x:c>
      <x:c r="V3082" s="54" t="n">
        <x:f>IF(ISNUMBER(T3082),T3082*(1+U3082),"")</x:f>
        <x:v>31.02</x:v>
      </x:c>
      <x:c r="W3082" s="47" t="n">
        <x:v>0.3</x:v>
      </x:c>
      <x:c r="X3082" s="54" t="n">
        <x:f>IF(ISNUMBER(V3082),V3082/(1-W3082),"")</x:f>
        <x:v>44.31428571428572</x:v>
      </x:c>
      <x:c r="Y3082" s="55" t="n">
        <x:f>IF(ISNUMBER(X3082),ROUNDUP(X3082,0),"")</x:f>
        <x:v>45</x:v>
      </x:c>
      <x:c r="Z3082" t="str">
        <x:v>Source match pending</x:v>
      </x:c>
      <x:c r="AA3082" t="str">
        <x:v>screencapture-www-activesportstrade-co-uk-applied-nutrition-trade-2026-09-10-08_59_59.pdf / page-14</x:v>
      </x:c>
      <x:c r="AB3082" s="36" t="n">
        <x:f>IF(ISNUMBER(Y3082),ROUND(Y3082*0.9,2),"")</x:f>
        <x:v>40.5</x:v>
      </x:c>
      <x:c r="AC3082" s="36" t="n">
        <x:f>IF(ISNUMBER(AB3082),ROUND(AB3082-(AB3082*0.015+0.2)-V3082,2),"")</x:f>
        <x:v>8.67</x:v>
      </x:c>
      <x:c r="AD3082" s="36" t="n">
        <x:f>IF(ISNUMBER(Y3082),ROUND(Y3082*0.8,2),"")</x:f>
        <x:v>36</x:v>
      </x:c>
      <x:c r="AE3082" s="36" t="n">
        <x:f>IF(ISNUMBER(AD3082),ROUND(AD3082*0.015+0.2,2),"")</x:f>
        <x:v>0.74</x:v>
      </x:c>
      <x:c r="AF3082" s="36" t="n">
        <x:f>IF(ISNUMBER(AD3082),ROUND(AD3082-AE3082-V3082,2),"")</x:f>
        <x:v>4.24</x:v>
      </x:c>
      <x:c r="AG3082" t="str">
        <x:f>IF(NOT(ISNUMBER(T3082)),"PENDING",IF(AF3082&gt;0,"PASS","FAIL"))</x:f>
        <x:v>PASS</x:v>
      </x:c>
      <x:c r="AH3082" t="str">
        <x:f>IF(NOT(ISNUMBER(T3082)),"Needs supplier cost",IF(K3082&lt;&gt;"In stock","Supplier unavailable",IF(AG3082&lt;&gt;"PASS","BLOCK - GT loss risk","Commercially protected")))</x:f>
        <x:v>Commercially protected</x:v>
      </x:c>
      <x:c r="AI3082" t="str">
        <x:v>2026-09-10 Active Sports trade capture</x:v>
      </x:c>
      <x:c r="AJ3082" t="str">
        <x:v>Management-only economics. Stripe stress test uses 1.5% + £0.20 standard UK online-card fee; pallet/mix-and-match pricing ignored.</x:v>
      </x:c>
    </x:row>
    <x:row r="3083">
      <x:c r="A3083" t="str">
        <x:v>Active Sports Nutrition</x:v>
      </x:c>
      <x:c r="B3083" t="str">
        <x:v>Applied Nutrition</x:v>
      </x:c>
      <x:c r="C3083" t="str">
        <x:v>ISO-XP 100% Whey Protein Isolate</x:v>
      </x:c>
      <x:c r="D3083" t="str">
        <x:v>Supplements</x:v>
      </x:c>
      <x:c r="E3083" t="str">
        <x:v>Whey Isolate</x:v>
      </x:c>
      <x:c r="F3083" t="str"/>
      <x:c r="G3083" t="str">
        <x:v>850g</x:v>
      </x:c>
      <x:c r="H3083" t="str">
        <x:v>Choco Caramel</x:v>
      </x:c>
      <x:c r="I3083" t="str"/>
      <x:c r="J3083" t="str">
        <x:v>Unit</x:v>
      </x:c>
      <x:c r="K3083" t="str">
        <x:v>In stock</x:v>
      </x:c>
      <x:c r="L3083" t="str">
        <x:v>2026-09-08</x:v>
      </x:c>
      <x:c r="M3083" t="str"/>
      <x:c r="N3083" t="str"/>
      <x:c r="O3083" t="str">
        <x:v>https://www.activesportstrade.co.uk/applied-nutrition-trade</x:v>
      </x:c>
      <x:c r="P3083" t="str">
        <x:v>Current visible 850g variants captured; continue reconciliation if further variants surface.</x:v>
      </x:c>
      <x:c r="Q3083" t="str"/>
      <x:c r="R3083" t="str"/>
      <x:c r="S3083" t="str">
        <x:v>Pending genuine supplier/brand image</x:v>
      </x:c>
      <x:c r="T3083" s="54" t="n">
        <x:v>25.85</x:v>
      </x:c>
      <x:c r="U3083" s="47" t="n">
        <x:v>0.2</x:v>
      </x:c>
      <x:c r="V3083" s="54" t="n">
        <x:f>IF(ISNUMBER(T3083),T3083*(1+U3083),"")</x:f>
        <x:v>31.02</x:v>
      </x:c>
      <x:c r="W3083" s="47" t="n">
        <x:v>0.3</x:v>
      </x:c>
      <x:c r="X3083" s="54" t="n">
        <x:f>IF(ISNUMBER(V3083),V3083/(1-W3083),"")</x:f>
        <x:v>44.31428571428572</x:v>
      </x:c>
      <x:c r="Y3083" s="55" t="n">
        <x:f>IF(ISNUMBER(X3083),ROUNDUP(X3083,0),"")</x:f>
        <x:v>45</x:v>
      </x:c>
      <x:c r="Z3083" t="str">
        <x:v>Source match pending</x:v>
      </x:c>
      <x:c r="AA3083" t="str">
        <x:v>screencapture-www-activesportstrade-co-uk-applied-nutrition-trade-2026-09-10-08_59_59.pdf / page-14</x:v>
      </x:c>
      <x:c r="AB3083" s="36" t="n">
        <x:f>IF(ISNUMBER(Y3083),ROUND(Y3083*0.9,2),"")</x:f>
        <x:v>40.5</x:v>
      </x:c>
      <x:c r="AC3083" s="36" t="n">
        <x:f>IF(ISNUMBER(AB3083),ROUND(AB3083-(AB3083*0.015+0.2)-V3083,2),"")</x:f>
        <x:v>8.67</x:v>
      </x:c>
      <x:c r="AD3083" s="36" t="n">
        <x:f>IF(ISNUMBER(Y3083),ROUND(Y3083*0.8,2),"")</x:f>
        <x:v>36</x:v>
      </x:c>
      <x:c r="AE3083" s="36" t="n">
        <x:f>IF(ISNUMBER(AD3083),ROUND(AD3083*0.015+0.2,2),"")</x:f>
        <x:v>0.74</x:v>
      </x:c>
      <x:c r="AF3083" s="36" t="n">
        <x:f>IF(ISNUMBER(AD3083),ROUND(AD3083-AE3083-V3083,2),"")</x:f>
        <x:v>4.24</x:v>
      </x:c>
      <x:c r="AG3083" t="str">
        <x:f>IF(NOT(ISNUMBER(T3083)),"PENDING",IF(AF3083&gt;0,"PASS","FAIL"))</x:f>
        <x:v>PASS</x:v>
      </x:c>
      <x:c r="AH3083" t="str">
        <x:f>IF(NOT(ISNUMBER(T3083)),"Needs supplier cost",IF(K3083&lt;&gt;"In stock","Supplier unavailable",IF(AG3083&lt;&gt;"PASS","BLOCK - GT loss risk","Commercially protected")))</x:f>
        <x:v>Commercially protected</x:v>
      </x:c>
      <x:c r="AI3083" t="str">
        <x:v>2026-09-10 Active Sports trade capture</x:v>
      </x:c>
      <x:c r="AJ3083" t="str">
        <x:v>Management-only economics. Stripe stress test uses 1.5% + £0.20 standard UK online-card fee; pallet/mix-and-match pricing ignored.</x:v>
      </x:c>
    </x:row>
    <x:row r="3084">
      <x:c r="A3084" t="str">
        <x:v>Active Sports Nutrition</x:v>
      </x:c>
      <x:c r="B3084" t="str">
        <x:v>Applied Nutrition</x:v>
      </x:c>
      <x:c r="C3084" t="str">
        <x:v>ISO-XP 100% Whey Protein Isolate</x:v>
      </x:c>
      <x:c r="D3084" t="str">
        <x:v>Supplements</x:v>
      </x:c>
      <x:c r="E3084" t="str">
        <x:v>Whey Isolate</x:v>
      </x:c>
      <x:c r="F3084" t="str"/>
      <x:c r="G3084" t="str">
        <x:v>850g</x:v>
      </x:c>
      <x:c r="H3084" t="str">
        <x:v>Choco Hazelnut</x:v>
      </x:c>
      <x:c r="I3084" t="str"/>
      <x:c r="J3084" t="str">
        <x:v>Unit</x:v>
      </x:c>
      <x:c r="K3084" t="str">
        <x:v>In stock</x:v>
      </x:c>
      <x:c r="L3084" t="str">
        <x:v>2026-09-08</x:v>
      </x:c>
      <x:c r="M3084" t="str"/>
      <x:c r="N3084" t="str"/>
      <x:c r="O3084" t="str">
        <x:v>https://www.activesportstrade.co.uk/applied-nutrition-trade</x:v>
      </x:c>
      <x:c r="P3084" t="str">
        <x:v>Current visible 850g variants captured; continue reconciliation if further variants surface.</x:v>
      </x:c>
      <x:c r="Q3084" t="str"/>
      <x:c r="R3084" t="str"/>
      <x:c r="S3084" t="str">
        <x:v>Pending genuine supplier/brand image</x:v>
      </x:c>
      <x:c r="T3084" s="54" t="n">
        <x:v>25.85</x:v>
      </x:c>
      <x:c r="U3084" s="47" t="n">
        <x:v>0.2</x:v>
      </x:c>
      <x:c r="V3084" s="54" t="n">
        <x:f>IF(ISNUMBER(T3084),T3084*(1+U3084),"")</x:f>
        <x:v>31.02</x:v>
      </x:c>
      <x:c r="W3084" s="47" t="n">
        <x:v>0.3</x:v>
      </x:c>
      <x:c r="X3084" s="54" t="n">
        <x:f>IF(ISNUMBER(V3084),V3084/(1-W3084),"")</x:f>
        <x:v>44.31428571428572</x:v>
      </x:c>
      <x:c r="Y3084" s="55" t="n">
        <x:f>IF(ISNUMBER(X3084),ROUNDUP(X3084,0),"")</x:f>
        <x:v>45</x:v>
      </x:c>
      <x:c r="Z3084" t="str">
        <x:v>Source match pending</x:v>
      </x:c>
      <x:c r="AA3084" t="str">
        <x:v>screencapture-www-activesportstrade-co-uk-applied-nutrition-trade-2026-09-10-08_59_59.pdf / page-14</x:v>
      </x:c>
      <x:c r="AB3084" s="36" t="n">
        <x:f>IF(ISNUMBER(Y3084),ROUND(Y3084*0.9,2),"")</x:f>
        <x:v>40.5</x:v>
      </x:c>
      <x:c r="AC3084" s="36" t="n">
        <x:f>IF(ISNUMBER(AB3084),ROUND(AB3084-(AB3084*0.015+0.2)-V3084,2),"")</x:f>
        <x:v>8.67</x:v>
      </x:c>
      <x:c r="AD3084" s="36" t="n">
        <x:f>IF(ISNUMBER(Y3084),ROUND(Y3084*0.8,2),"")</x:f>
        <x:v>36</x:v>
      </x:c>
      <x:c r="AE3084" s="36" t="n">
        <x:f>IF(ISNUMBER(AD3084),ROUND(AD3084*0.015+0.2,2),"")</x:f>
        <x:v>0.74</x:v>
      </x:c>
      <x:c r="AF3084" s="36" t="n">
        <x:f>IF(ISNUMBER(AD3084),ROUND(AD3084-AE3084-V3084,2),"")</x:f>
        <x:v>4.24</x:v>
      </x:c>
      <x:c r="AG3084" t="str">
        <x:f>IF(NOT(ISNUMBER(T3084)),"PENDING",IF(AF3084&gt;0,"PASS","FAIL"))</x:f>
        <x:v>PASS</x:v>
      </x:c>
      <x:c r="AH3084" t="str">
        <x:f>IF(NOT(ISNUMBER(T3084)),"Needs supplier cost",IF(K3084&lt;&gt;"In stock","Supplier unavailable",IF(AG3084&lt;&gt;"PASS","BLOCK - GT loss risk","Commercially protected")))</x:f>
        <x:v>Commercially protected</x:v>
      </x:c>
      <x:c r="AI3084" t="str">
        <x:v>2026-09-10 Active Sports trade capture</x:v>
      </x:c>
      <x:c r="AJ3084" t="str">
        <x:v>Management-only economics. Stripe stress test uses 1.5% + £0.20 standard UK online-card fee; pallet/mix-and-match pricing ignored.</x:v>
      </x:c>
    </x:row>
    <x:row r="3085">
      <x:c r="A3085" t="str">
        <x:v>Active Sports Nutrition</x:v>
      </x:c>
      <x:c r="B3085" t="str">
        <x:v>Applied Nutrition</x:v>
      </x:c>
      <x:c r="C3085" t="str">
        <x:v>ISO-XP 100% Whey Protein Isolate</x:v>
      </x:c>
      <x:c r="D3085" t="str">
        <x:v>Supplements</x:v>
      </x:c>
      <x:c r="E3085" t="str">
        <x:v>Whey Isolate</x:v>
      </x:c>
      <x:c r="F3085" t="str"/>
      <x:c r="G3085" t="str">
        <x:v>850g</x:v>
      </x:c>
      <x:c r="H3085" t="str">
        <x:v>Choco Honeycomb</x:v>
      </x:c>
      <x:c r="I3085" t="str"/>
      <x:c r="J3085" t="str">
        <x:v>Unit</x:v>
      </x:c>
      <x:c r="K3085" t="str">
        <x:v>In stock</x:v>
      </x:c>
      <x:c r="L3085" t="str">
        <x:v>2026-09-08</x:v>
      </x:c>
      <x:c r="M3085" t="str"/>
      <x:c r="N3085" t="str"/>
      <x:c r="O3085" t="str">
        <x:v>https://www.activesportstrade.co.uk/applied-nutrition-trade</x:v>
      </x:c>
      <x:c r="P3085" t="str">
        <x:v>Current visible 850g variants captured; continue reconciliation if further variants surface.</x:v>
      </x:c>
      <x:c r="Q3085" t="str"/>
      <x:c r="R3085" t="str"/>
      <x:c r="S3085" t="str">
        <x:v>Pending genuine supplier/brand image</x:v>
      </x:c>
      <x:c r="T3085" s="54" t="n">
        <x:v>25.85</x:v>
      </x:c>
      <x:c r="U3085" s="47" t="n">
        <x:v>0.2</x:v>
      </x:c>
      <x:c r="V3085" s="54" t="n">
        <x:f>IF(ISNUMBER(T3085),T3085*(1+U3085),"")</x:f>
        <x:v>31.02</x:v>
      </x:c>
      <x:c r="W3085" s="47" t="n">
        <x:v>0.3</x:v>
      </x:c>
      <x:c r="X3085" s="54" t="n">
        <x:f>IF(ISNUMBER(V3085),V3085/(1-W3085),"")</x:f>
        <x:v>44.31428571428572</x:v>
      </x:c>
      <x:c r="Y3085" s="55" t="n">
        <x:f>IF(ISNUMBER(X3085),ROUNDUP(X3085,0),"")</x:f>
        <x:v>45</x:v>
      </x:c>
      <x:c r="Z3085" t="str">
        <x:v>Source match pending</x:v>
      </x:c>
      <x:c r="AA3085" t="str">
        <x:v>screencapture-www-activesportstrade-co-uk-applied-nutrition-trade-2026-09-10-08_59_59.pdf / page-14</x:v>
      </x:c>
      <x:c r="AB3085" s="36" t="n">
        <x:f>IF(ISNUMBER(Y3085),ROUND(Y3085*0.9,2),"")</x:f>
        <x:v>40.5</x:v>
      </x:c>
      <x:c r="AC3085" s="36" t="n">
        <x:f>IF(ISNUMBER(AB3085),ROUND(AB3085-(AB3085*0.015+0.2)-V3085,2),"")</x:f>
        <x:v>8.67</x:v>
      </x:c>
      <x:c r="AD3085" s="36" t="n">
        <x:f>IF(ISNUMBER(Y3085),ROUND(Y3085*0.8,2),"")</x:f>
        <x:v>36</x:v>
      </x:c>
      <x:c r="AE3085" s="36" t="n">
        <x:f>IF(ISNUMBER(AD3085),ROUND(AD3085*0.015+0.2,2),"")</x:f>
        <x:v>0.74</x:v>
      </x:c>
      <x:c r="AF3085" s="36" t="n">
        <x:f>IF(ISNUMBER(AD3085),ROUND(AD3085-AE3085-V3085,2),"")</x:f>
        <x:v>4.24</x:v>
      </x:c>
      <x:c r="AG3085" t="str">
        <x:f>IF(NOT(ISNUMBER(T3085)),"PENDING",IF(AF3085&gt;0,"PASS","FAIL"))</x:f>
        <x:v>PASS</x:v>
      </x:c>
      <x:c r="AH3085" t="str">
        <x:f>IF(NOT(ISNUMBER(T3085)),"Needs supplier cost",IF(K3085&lt;&gt;"In stock","Supplier unavailable",IF(AG3085&lt;&gt;"PASS","BLOCK - GT loss risk","Commercially protected")))</x:f>
        <x:v>Commercially protected</x:v>
      </x:c>
      <x:c r="AI3085" t="str">
        <x:v>2026-09-10 Active Sports trade capture</x:v>
      </x:c>
      <x:c r="AJ3085" t="str">
        <x:v>Management-only economics. Stripe stress test uses 1.5% + £0.20 standard UK online-card fee; pallet/mix-and-match pricing ignored.</x:v>
      </x:c>
    </x:row>
    <x:row r="3086">
      <x:c r="A3086" t="str">
        <x:v>Active Sports Nutrition</x:v>
      </x:c>
      <x:c r="B3086" t="str">
        <x:v>Applied Nutrition</x:v>
      </x:c>
      <x:c r="C3086" t="str">
        <x:v>Coleen Rooney Debloat</x:v>
      </x:c>
      <x:c r="D3086" t="str">
        <x:v>Supplements</x:v>
      </x:c>
      <x:c r="E3086" t="str">
        <x:v>Digestive Support</x:v>
      </x:c>
      <x:c r="F3086" t="str"/>
      <x:c r="G3086" t="str">
        <x:v>14 x 9.1g sticks</x:v>
      </x:c>
      <x:c r="H3086" t="str">
        <x:v>Pineapple, Mint &amp; Prickly Pear</x:v>
      </x:c>
      <x:c r="I3086" t="str">
        <x:v>14</x:v>
      </x:c>
      <x:c r="J3086" t="str">
        <x:v>Box</x:v>
      </x:c>
      <x:c r="K3086" t="str">
        <x:v>In stock</x:v>
      </x:c>
      <x:c r="L3086" t="str">
        <x:v>2026-09-08</x:v>
      </x:c>
      <x:c r="M3086" t="str"/>
      <x:c r="N3086" t="str"/>
      <x:c r="O3086" t="str">
        <x:v>https://www.activesportstrade.co.uk/applied-nutrition-trade</x:v>
      </x:c>
      <x:c r="P3086" t="str">
        <x:v>Current genuine supplier listing.</x:v>
      </x:c>
      <x:c r="Q3086" t="str"/>
      <x:c r="R3086" t="str"/>
      <x:c r="S3086" t="str">
        <x:v>Pending genuine supplier/brand image</x:v>
      </x:c>
      <x:c r="T3086" s="54" t="n">
        <x:v>12.47</x:v>
      </x:c>
      <x:c r="U3086" s="47" t="n">
        <x:v>0.2</x:v>
      </x:c>
      <x:c r="V3086" s="54" t="n">
        <x:f>IF(ISNUMBER(T3086),T3086*(1+U3086),"")</x:f>
        <x:v>14.964</x:v>
      </x:c>
      <x:c r="W3086" s="47" t="n">
        <x:v>0.3</x:v>
      </x:c>
      <x:c r="X3086" s="54" t="n">
        <x:f>IF(ISNUMBER(V3086),V3086/(1-W3086),"")</x:f>
        <x:v>21.37714285714286</x:v>
      </x:c>
      <x:c r="Y3086" s="55" t="n">
        <x:f>IF(ISNUMBER(X3086),ROUNDUP(X3086,0),"")</x:f>
        <x:v>22</x:v>
      </x:c>
      <x:c r="Z3086" t="str">
        <x:v>Source match pending</x:v>
      </x:c>
      <x:c r="AA3086" t="str">
        <x:v>screencapture-www-activesportstrade-co-uk-applied-nutrition-trade-2026-09-10-08_59_59.pdf / page-05</x:v>
      </x:c>
      <x:c r="AB3086" s="36" t="n">
        <x:f>IF(ISNUMBER(Y3086),ROUND(Y3086*0.9,2),"")</x:f>
        <x:v>19.8</x:v>
      </x:c>
      <x:c r="AC3086" s="36" t="n">
        <x:f>IF(ISNUMBER(AB3086),ROUND(AB3086-(AB3086*0.015+0.2)-V3086,2),"")</x:f>
        <x:v>4.34</x:v>
      </x:c>
      <x:c r="AD3086" s="36" t="n">
        <x:f>IF(ISNUMBER(Y3086),ROUND(Y3086*0.8,2),"")</x:f>
        <x:v>17.6</x:v>
      </x:c>
      <x:c r="AE3086" s="36" t="n">
        <x:f>IF(ISNUMBER(AD3086),ROUND(AD3086*0.015+0.2,2),"")</x:f>
        <x:v>0.46</x:v>
      </x:c>
      <x:c r="AF3086" s="36" t="n">
        <x:f>IF(ISNUMBER(AD3086),ROUND(AD3086-AE3086-V3086,2),"")</x:f>
        <x:v>2.18</x:v>
      </x:c>
      <x:c r="AG3086" t="str">
        <x:f>IF(NOT(ISNUMBER(T3086)),"PENDING",IF(AF3086&gt;0,"PASS","FAIL"))</x:f>
        <x:v>PASS</x:v>
      </x:c>
      <x:c r="AH3086" t="str">
        <x:f>IF(NOT(ISNUMBER(T3086)),"Needs supplier cost",IF(K3086&lt;&gt;"In stock","Supplier unavailable",IF(AG3086&lt;&gt;"PASS","BLOCK - GT loss risk","Commercially protected")))</x:f>
        <x:v>Commercially protected</x:v>
      </x:c>
      <x:c r="AI3086" t="str">
        <x:v>2026-09-10 Active Sports trade capture</x:v>
      </x:c>
      <x:c r="AJ3086" t="str">
        <x:v>Management-only economics. Stripe stress test uses 1.5% + £0.20 standard UK online-card fee; pallet/mix-and-match pricing ignored.</x:v>
      </x:c>
    </x:row>
    <x:row r="3087">
      <x:c r="A3087" t="str">
        <x:v>Active Sports Nutrition</x:v>
      </x:c>
      <x:c r="B3087" t="str">
        <x:v>Applied Nutrition</x:v>
      </x:c>
      <x:c r="C3087" t="str">
        <x:v>Coleen Rooney Hydration</x:v>
      </x:c>
      <x:c r="D3087" t="str">
        <x:v>Supplements</x:v>
      </x:c>
      <x:c r="E3087" t="str">
        <x:v>Hydration</x:v>
      </x:c>
      <x:c r="F3087" t="str"/>
      <x:c r="G3087" t="str">
        <x:v>14 x 7g sticks</x:v>
      </x:c>
      <x:c r="H3087" t="str">
        <x:v>Citrus</x:v>
      </x:c>
      <x:c r="I3087" t="str">
        <x:v>14</x:v>
      </x:c>
      <x:c r="J3087" t="str">
        <x:v>Box</x:v>
      </x:c>
      <x:c r="K3087" t="str">
        <x:v>In stock</x:v>
      </x:c>
      <x:c r="L3087" t="str">
        <x:v>2026-09-08</x:v>
      </x:c>
      <x:c r="M3087" t="str"/>
      <x:c r="N3087" t="str"/>
      <x:c r="O3087" t="str">
        <x:v>https://www.activesportstrade.co.uk/applied-nutrition-trade</x:v>
      </x:c>
      <x:c r="P3087" t="str"/>
      <x:c r="Q3087" t="str"/>
      <x:c r="R3087" t="str"/>
      <x:c r="S3087" t="str">
        <x:v>Pending genuine supplier/brand image</x:v>
      </x:c>
      <x:c r="T3087" s="54"/>
      <x:c r="U3087" s="47" t="n">
        <x:v>0.2</x:v>
      </x:c>
      <x:c r="V3087" s="54" t="str">
        <x:f>IF(ISNUMBER(T3087),T3087*(1+U3087),"")</x:f>
      </x:c>
      <x:c r="W3087" s="47" t="n">
        <x:v>0.3</x:v>
      </x:c>
      <x:c r="X3087" s="54" t="str">
        <x:f>IF(ISNUMBER(V3087),V3087/(1-W3087),"")</x:f>
      </x:c>
      <x:c r="Y3087" s="55" t="str">
        <x:f>IF(ISNUMBER(X3087),ROUNDUP(X3087,0),"")</x:f>
      </x:c>
      <x:c r="Z3087" t="str">
        <x:f>IF(ISNUMBER(T3087),"Cost captured","Awaiting trade cost")</x:f>
        <x:v>Awaiting trade cost</x:v>
      </x:c>
      <x:c r="AB3087" s="36" t="str">
        <x:f>IF(ISNUMBER(Y3087),ROUND(Y3087*0.9,2),"")</x:f>
      </x:c>
      <x:c r="AC3087" s="36" t="str">
        <x:f>IF(ISNUMBER(AB3087),ROUND(AB3087-(AB3087*0.015+0.2)-V3087,2),"")</x:f>
      </x:c>
      <x:c r="AD3087" s="36" t="str">
        <x:f>IF(ISNUMBER(Y3087),ROUND(Y3087*0.8,2),"")</x:f>
      </x:c>
      <x:c r="AE3087" s="36" t="str">
        <x:f>IF(ISNUMBER(AD3087),ROUND(AD3087*0.015+0.2,2),"")</x:f>
      </x:c>
      <x:c r="AF3087" s="36" t="str">
        <x:f>IF(ISNUMBER(AD3087),ROUND(AD3087-AE3087-V3087,2),"")</x:f>
      </x:c>
      <x:c r="AG3087" t="str">
        <x:f>IF(NOT(ISNUMBER(T3087)),"PENDING",IF(AF3087&gt;0,"PASS","FAIL"))</x:f>
        <x:v>PENDING</x:v>
      </x:c>
      <x:c r="AH3087" t="str">
        <x:f>IF(NOT(ISNUMBER(T3087)),"Needs supplier cost",IF(K3087&lt;&gt;"In stock","Supplier unavailable",IF(AG3087&lt;&gt;"PASS","BLOCK - GT loss risk","Commercially protected")))</x:f>
        <x:v>Needs supplier cost</x:v>
      </x:c>
      <x:c r="AI3087" t="str">
        <x:v>2026-09-10 Active Sports trade capture</x:v>
      </x:c>
      <x:c r="AJ3087" t="str">
        <x:v>Management-only economics. Stripe stress test uses 1.5% + £0.20 standard UK online-card fee; pallet/mix-and-match pricing ignored.</x:v>
      </x:c>
    </x:row>
    <x:row r="3088">
      <x:c r="A3088" t="str">
        <x:v>Active Sports Nutrition</x:v>
      </x:c>
      <x:c r="B3088" t="str">
        <x:v>Applied Nutrition</x:v>
      </x:c>
      <x:c r="C3088" t="str">
        <x:v>Coleen Rooney Hydration</x:v>
      </x:c>
      <x:c r="D3088" t="str">
        <x:v>Supplements</x:v>
      </x:c>
      <x:c r="E3088" t="str">
        <x:v>Hydration</x:v>
      </x:c>
      <x:c r="F3088" t="str"/>
      <x:c r="G3088" t="str">
        <x:v>14 x 7g sticks</x:v>
      </x:c>
      <x:c r="H3088" t="str">
        <x:v>Very Berry</x:v>
      </x:c>
      <x:c r="I3088" t="str">
        <x:v>14</x:v>
      </x:c>
      <x:c r="J3088" t="str">
        <x:v>Box</x:v>
      </x:c>
      <x:c r="K3088" t="str">
        <x:v>Out of stock</x:v>
      </x:c>
      <x:c r="L3088" t="str">
        <x:v>2026-09-08</x:v>
      </x:c>
      <x:c r="M3088" t="str"/>
      <x:c r="N3088" t="str"/>
      <x:c r="O3088" t="str">
        <x:v>https://www.activesportstrade.co.uk/applied-nutrition-trade</x:v>
      </x:c>
      <x:c r="P3088" t="str"/>
      <x:c r="Q3088" t="str"/>
      <x:c r="R3088" t="str"/>
      <x:c r="S3088" t="str">
        <x:v>Pending genuine supplier/brand image</x:v>
      </x:c>
      <x:c r="T3088" s="54"/>
      <x:c r="U3088" s="47" t="n">
        <x:v>0.2</x:v>
      </x:c>
      <x:c r="V3088" s="54" t="str">
        <x:f>IF(ISNUMBER(T3088),T3088*(1+U3088),"")</x:f>
      </x:c>
      <x:c r="W3088" s="47" t="n">
        <x:v>0.3</x:v>
      </x:c>
      <x:c r="X3088" s="54" t="str">
        <x:f>IF(ISNUMBER(V3088),V3088/(1-W3088),"")</x:f>
      </x:c>
      <x:c r="Y3088" s="55" t="str">
        <x:f>IF(ISNUMBER(X3088),ROUNDUP(X3088,0),"")</x:f>
      </x:c>
      <x:c r="Z3088" t="str">
        <x:f>IF(ISNUMBER(T3088),"Cost captured","Awaiting trade cost")</x:f>
        <x:v>Awaiting trade cost</x:v>
      </x:c>
      <x:c r="AB3088" s="36" t="str">
        <x:f>IF(ISNUMBER(Y3088),ROUND(Y3088*0.9,2),"")</x:f>
      </x:c>
      <x:c r="AC3088" s="36" t="str">
        <x:f>IF(ISNUMBER(AB3088),ROUND(AB3088-(AB3088*0.015+0.2)-V3088,2),"")</x:f>
      </x:c>
      <x:c r="AD3088" s="36" t="str">
        <x:f>IF(ISNUMBER(Y3088),ROUND(Y3088*0.8,2),"")</x:f>
      </x:c>
      <x:c r="AE3088" s="36" t="str">
        <x:f>IF(ISNUMBER(AD3088),ROUND(AD3088*0.015+0.2,2),"")</x:f>
      </x:c>
      <x:c r="AF3088" s="36" t="str">
        <x:f>IF(ISNUMBER(AD3088),ROUND(AD3088-AE3088-V3088,2),"")</x:f>
      </x:c>
      <x:c r="AG3088" t="str">
        <x:f>IF(NOT(ISNUMBER(T3088)),"PENDING",IF(AF3088&gt;0,"PASS","FAIL"))</x:f>
        <x:v>PENDING</x:v>
      </x:c>
      <x:c r="AH3088" t="str">
        <x:f>IF(NOT(ISNUMBER(T3088)),"Needs supplier cost",IF(K3088&lt;&gt;"In stock","Supplier unavailable",IF(AG3088&lt;&gt;"PASS","BLOCK - GT loss risk","Commercially protected")))</x:f>
        <x:v>Needs supplier cost</x:v>
      </x:c>
      <x:c r="AI3088" t="str">
        <x:v>2026-09-10 Active Sports trade capture</x:v>
      </x:c>
      <x:c r="AJ3088" t="str">
        <x:v>Management-only economics. Stripe stress test uses 1.5% + £0.20 standard UK online-card fee; pallet/mix-and-match pricing ignored.</x:v>
      </x:c>
    </x:row>
    <x:row r="3089">
      <x:c r="A3089" t="str">
        <x:v>Active Sports Nutrition</x:v>
      </x:c>
      <x:c r="B3089" t="str">
        <x:v>Applied Nutrition</x:v>
      </x:c>
      <x:c r="C3089" t="str">
        <x:v>Coleen Rooney Immunity</x:v>
      </x:c>
      <x:c r="D3089" t="str">
        <x:v>Supplements</x:v>
      </x:c>
      <x:c r="E3089" t="str">
        <x:v>Immune Support</x:v>
      </x:c>
      <x:c r="F3089" t="str"/>
      <x:c r="G3089" t="str">
        <x:v>14 x 5g sticks</x:v>
      </x:c>
      <x:c r="H3089" t="str">
        <x:v>Standard</x:v>
      </x:c>
      <x:c r="I3089" t="str">
        <x:v>14</x:v>
      </x:c>
      <x:c r="J3089" t="str">
        <x:v>Box</x:v>
      </x:c>
      <x:c r="K3089" t="str">
        <x:v>In stock</x:v>
      </x:c>
      <x:c r="L3089" t="str">
        <x:v>2026-09-08</x:v>
      </x:c>
      <x:c r="M3089" t="str"/>
      <x:c r="N3089" t="str"/>
      <x:c r="O3089" t="str">
        <x:v>https://www.activesportstrade.co.uk/applied-nutrition-trade</x:v>
      </x:c>
      <x:c r="P3089" t="str"/>
      <x:c r="Q3089" t="str"/>
      <x:c r="R3089" t="str"/>
      <x:c r="S3089" t="str">
        <x:v>Pending genuine supplier/brand image</x:v>
      </x:c>
      <x:c r="T3089" s="54" t="n">
        <x:v>9.98</x:v>
      </x:c>
      <x:c r="U3089" s="47" t="n">
        <x:v>0.2</x:v>
      </x:c>
      <x:c r="V3089" s="54" t="n">
        <x:f>IF(ISNUMBER(T3089),T3089*(1+U3089),"")</x:f>
        <x:v>11.976</x:v>
      </x:c>
      <x:c r="W3089" s="47" t="n">
        <x:v>0.3</x:v>
      </x:c>
      <x:c r="X3089" s="54" t="n">
        <x:f>IF(ISNUMBER(V3089),V3089/(1-W3089),"")</x:f>
        <x:v>17.10857142857143</x:v>
      </x:c>
      <x:c r="Y3089" s="55" t="n">
        <x:f>IF(ISNUMBER(X3089),ROUNDUP(X3089,0),"")</x:f>
        <x:v>18</x:v>
      </x:c>
      <x:c r="Z3089" t="str">
        <x:v>Source match pending</x:v>
      </x:c>
      <x:c r="AA3089" t="str">
        <x:v>screencapture-www-activesportstrade-co-uk-applied-nutrition-trade-2026-09-10-08_59_59.pdf / page-06</x:v>
      </x:c>
      <x:c r="AB3089" s="36" t="n">
        <x:f>IF(ISNUMBER(Y3089),ROUND(Y3089*0.9,2),"")</x:f>
        <x:v>16.2</x:v>
      </x:c>
      <x:c r="AC3089" s="36" t="n">
        <x:f>IF(ISNUMBER(AB3089),ROUND(AB3089-(AB3089*0.015+0.2)-V3089,2),"")</x:f>
        <x:v>3.78</x:v>
      </x:c>
      <x:c r="AD3089" s="36" t="n">
        <x:f>IF(ISNUMBER(Y3089),ROUND(Y3089*0.8,2),"")</x:f>
        <x:v>14.4</x:v>
      </x:c>
      <x:c r="AE3089" s="36" t="n">
        <x:f>IF(ISNUMBER(AD3089),ROUND(AD3089*0.015+0.2,2),"")</x:f>
        <x:v>0.42</x:v>
      </x:c>
      <x:c r="AF3089" s="36" t="n">
        <x:f>IF(ISNUMBER(AD3089),ROUND(AD3089-AE3089-V3089,2),"")</x:f>
        <x:v>2</x:v>
      </x:c>
      <x:c r="AG3089" t="str">
        <x:f>IF(NOT(ISNUMBER(T3089)),"PENDING",IF(AF3089&gt;0,"PASS","FAIL"))</x:f>
        <x:v>PASS</x:v>
      </x:c>
      <x:c r="AH3089" t="str">
        <x:f>IF(NOT(ISNUMBER(T3089)),"Needs supplier cost",IF(K3089&lt;&gt;"In stock","Supplier unavailable",IF(AG3089&lt;&gt;"PASS","BLOCK - GT loss risk","Commercially protected")))</x:f>
        <x:v>Commercially protected</x:v>
      </x:c>
      <x:c r="AI3089" t="str">
        <x:v>2026-09-10 Active Sports trade capture</x:v>
      </x:c>
      <x:c r="AJ3089" t="str">
        <x:v>Management-only economics. Stripe stress test uses 1.5% + £0.20 standard UK online-card fee; pallet/mix-and-match pricing ignored.</x:v>
      </x:c>
    </x:row>
    <x:row r="3090">
      <x:c r="A3090" t="str">
        <x:v>Active Sports Nutrition</x:v>
      </x:c>
      <x:c r="B3090" t="str">
        <x:v>Supplement Needs</x:v>
      </x:c>
      <x:c r="C3090" t="str">
        <x:v>Joint Stack</x:v>
      </x:c>
      <x:c r="D3090" t="str">
        <x:v>Supplements</x:v>
      </x:c>
      <x:c r="E3090" t="str">
        <x:v>Joint Support</x:v>
      </x:c>
      <x:c r="F3090" t="str"/>
      <x:c r="G3090" t="str">
        <x:v>252 caps</x:v>
      </x:c>
      <x:c r="H3090" t="str">
        <x:v>Standard</x:v>
      </x:c>
      <x:c r="I3090" t="str"/>
      <x:c r="J3090" t="str">
        <x:v>Unit</x:v>
      </x:c>
      <x:c r="K3090" t="str">
        <x:v>In stock</x:v>
      </x:c>
      <x:c r="L3090" t="str">
        <x:v>2026-09-08</x:v>
      </x:c>
      <x:c r="M3090" t="str"/>
      <x:c r="N3090" t="str"/>
      <x:c r="O3090" t="str">
        <x:v>https://www.activesportstrade.co.uk/supplement-needs-trade</x:v>
      </x:c>
      <x:c r="P3090" t="str"/>
      <x:c r="Q3090" t="str"/>
      <x:c r="R3090" t="str"/>
      <x:c r="S3090" t="str">
        <x:v>Pending genuine supplier/brand image</x:v>
      </x:c>
      <x:c r="T3090" s="54" t="n">
        <x:v>29</x:v>
      </x:c>
      <x:c r="U3090" s="47" t="n">
        <x:v>0.2</x:v>
      </x:c>
      <x:c r="V3090" s="54" t="n">
        <x:f>IF(ISNUMBER(T3090),T3090*(1+U3090),"")</x:f>
        <x:v>34.8</x:v>
      </x:c>
      <x:c r="W3090" s="47" t="n">
        <x:v>0.3</x:v>
      </x:c>
      <x:c r="X3090" s="54" t="n">
        <x:f>IF(ISNUMBER(V3090),V3090/(1-W3090),"")</x:f>
        <x:v>49.714285714285715</x:v>
      </x:c>
      <x:c r="Y3090" s="55" t="n">
        <x:f>IF(ISNUMBER(X3090),ROUNDUP(X3090,0),"")</x:f>
        <x:v>50</x:v>
      </x:c>
      <x:c r="Z3090" t="str">
        <x:v>Source match pending</x:v>
      </x:c>
      <x:c r="AA3090" t="str">
        <x:v>screencapture-www-activesportstrade-co-uk-supplement-needs-trade-2026-09-10-09_10_12.pdf / page-3</x:v>
      </x:c>
      <x:c r="AB3090" s="36" t="n">
        <x:f>IF(ISNUMBER(Y3090),ROUND(Y3090*0.9,2),"")</x:f>
        <x:v>45</x:v>
      </x:c>
      <x:c r="AC3090" s="36" t="n">
        <x:f>IF(ISNUMBER(AB3090),ROUND(AB3090-(AB3090*0.015+0.2)-V3090,2),"")</x:f>
        <x:v>9.33</x:v>
      </x:c>
      <x:c r="AD3090" s="36" t="n">
        <x:f>IF(ISNUMBER(Y3090),ROUND(Y3090*0.8,2),"")</x:f>
        <x:v>40</x:v>
      </x:c>
      <x:c r="AE3090" s="36" t="n">
        <x:f>IF(ISNUMBER(AD3090),ROUND(AD3090*0.015+0.2,2),"")</x:f>
        <x:v>0.8</x:v>
      </x:c>
      <x:c r="AF3090" s="36" t="n">
        <x:f>IF(ISNUMBER(AD3090),ROUND(AD3090-AE3090-V3090,2),"")</x:f>
        <x:v>4.4</x:v>
      </x:c>
      <x:c r="AG3090" t="str">
        <x:f>IF(NOT(ISNUMBER(T3090)),"PENDING",IF(AF3090&gt;0,"PASS","FAIL"))</x:f>
        <x:v>PASS</x:v>
      </x:c>
      <x:c r="AH3090" t="str">
        <x:f>IF(NOT(ISNUMBER(T3090)),"Needs supplier cost",IF(K3090&lt;&gt;"In stock","Supplier unavailable",IF(AG3090&lt;&gt;"PASS","BLOCK - GT loss risk","Commercially protected")))</x:f>
        <x:v>Commercially protected</x:v>
      </x:c>
      <x:c r="AI3090" t="str">
        <x:v>2026-09-10 Active Sports trade capture</x:v>
      </x:c>
      <x:c r="AJ3090" t="str">
        <x:v>Management-only economics. Stripe stress test uses 1.5% + £0.20 standard UK online-card fee; pallet/mix-and-match pricing ignored.</x:v>
      </x:c>
    </x:row>
    <x:row r="3091">
      <x:c r="A3091" t="str">
        <x:v>Active Sports Nutrition</x:v>
      </x:c>
      <x:c r="B3091" t="str">
        <x:v>Supplement Needs</x:v>
      </x:c>
      <x:c r="C3091" t="str">
        <x:v>Kidney &amp; Blood Pressure Stack Powder</x:v>
      </x:c>
      <x:c r="D3091" t="str">
        <x:v>Supplements</x:v>
      </x:c>
      <x:c r="E3091" t="str">
        <x:v>Health Support</x:v>
      </x:c>
      <x:c r="F3091" t="str"/>
      <x:c r="G3091" t="str">
        <x:v>30 servings</x:v>
      </x:c>
      <x:c r="H3091" t="str">
        <x:v>Standard</x:v>
      </x:c>
      <x:c r="I3091" t="str"/>
      <x:c r="J3091" t="str">
        <x:v>Unit</x:v>
      </x:c>
      <x:c r="K3091" t="str">
        <x:v>In stock</x:v>
      </x:c>
      <x:c r="L3091" t="str">
        <x:v>2026-09-08</x:v>
      </x:c>
      <x:c r="M3091" t="str"/>
      <x:c r="N3091" t="str"/>
      <x:c r="O3091" t="str">
        <x:v>https://www.activesportstrade.co.uk/supplement-needs-trade</x:v>
      </x:c>
      <x:c r="P3091" t="str"/>
      <x:c r="Q3091" t="str"/>
      <x:c r="R3091" t="str"/>
      <x:c r="S3091" t="str">
        <x:v>Pending genuine supplier/brand image</x:v>
      </x:c>
      <x:c r="T3091" s="54" t="n">
        <x:v>20.5</x:v>
      </x:c>
      <x:c r="U3091" s="47" t="n">
        <x:v>0.2</x:v>
      </x:c>
      <x:c r="V3091" s="54" t="n">
        <x:f>IF(ISNUMBER(T3091),T3091*(1+U3091),"")</x:f>
        <x:v>24.599999999999998</x:v>
      </x:c>
      <x:c r="W3091" s="47" t="n">
        <x:v>0.3</x:v>
      </x:c>
      <x:c r="X3091" s="54" t="n">
        <x:f>IF(ISNUMBER(V3091),V3091/(1-W3091),"")</x:f>
        <x:v>35.14285714285714</x:v>
      </x:c>
      <x:c r="Y3091" s="55" t="n">
        <x:f>IF(ISNUMBER(X3091),ROUNDUP(X3091,0),"")</x:f>
        <x:v>36</x:v>
      </x:c>
      <x:c r="Z3091" t="str">
        <x:v>Source match pending</x:v>
      </x:c>
      <x:c r="AA3091" t="str">
        <x:v>screencapture-www-activesportstrade-co-uk-supplement-needs-trade-2026-09-10-09_10_12.pdf / page-3</x:v>
      </x:c>
      <x:c r="AB3091" s="36" t="n">
        <x:f>IF(ISNUMBER(Y3091),ROUND(Y3091*0.9,2),"")</x:f>
        <x:v>32.4</x:v>
      </x:c>
      <x:c r="AC3091" s="36" t="n">
        <x:f>IF(ISNUMBER(AB3091),ROUND(AB3091-(AB3091*0.015+0.2)-V3091,2),"")</x:f>
        <x:v>7.11</x:v>
      </x:c>
      <x:c r="AD3091" s="36" t="n">
        <x:f>IF(ISNUMBER(Y3091),ROUND(Y3091*0.8,2),"")</x:f>
        <x:v>28.8</x:v>
      </x:c>
      <x:c r="AE3091" s="36" t="n">
        <x:f>IF(ISNUMBER(AD3091),ROUND(AD3091*0.015+0.2,2),"")</x:f>
        <x:v>0.63</x:v>
      </x:c>
      <x:c r="AF3091" s="36" t="n">
        <x:f>IF(ISNUMBER(AD3091),ROUND(AD3091-AE3091-V3091,2),"")</x:f>
        <x:v>3.57</x:v>
      </x:c>
      <x:c r="AG3091" t="str">
        <x:f>IF(NOT(ISNUMBER(T3091)),"PENDING",IF(AF3091&gt;0,"PASS","FAIL"))</x:f>
        <x:v>PASS</x:v>
      </x:c>
      <x:c r="AH3091" t="str">
        <x:f>IF(NOT(ISNUMBER(T3091)),"Needs supplier cost",IF(K3091&lt;&gt;"In stock","Supplier unavailable",IF(AG3091&lt;&gt;"PASS","BLOCK - GT loss risk","Commercially protected")))</x:f>
        <x:v>Commercially protected</x:v>
      </x:c>
      <x:c r="AI3091" t="str">
        <x:v>2026-09-10 Active Sports trade capture</x:v>
      </x:c>
      <x:c r="AJ3091" t="str">
        <x:v>Management-only economics. Stripe stress test uses 1.5% + £0.20 standard UK online-card fee; pallet/mix-and-match pricing ignored.</x:v>
      </x:c>
    </x:row>
    <x:row r="3092">
      <x:c r="A3092" t="str">
        <x:v>Active Sports Nutrition</x:v>
      </x:c>
      <x:c r="B3092" t="str">
        <x:v>Supplement Needs</x:v>
      </x:c>
      <x:c r="C3092" t="str">
        <x:v>Kidney &amp; Blood Pressure Stack Capsules</x:v>
      </x:c>
      <x:c r="D3092" t="str">
        <x:v>Supplements</x:v>
      </x:c>
      <x:c r="E3092" t="str">
        <x:v>Health Support</x:v>
      </x:c>
      <x:c r="F3092" t="str"/>
      <x:c r="G3092" t="str">
        <x:v>240 caps</x:v>
      </x:c>
      <x:c r="H3092" t="str">
        <x:v>Standard</x:v>
      </x:c>
      <x:c r="I3092" t="str"/>
      <x:c r="J3092" t="str">
        <x:v>Unit</x:v>
      </x:c>
      <x:c r="K3092" t="str">
        <x:v>In stock</x:v>
      </x:c>
      <x:c r="L3092" t="str">
        <x:v>2026-09-08</x:v>
      </x:c>
      <x:c r="M3092" t="str"/>
      <x:c r="N3092" t="str"/>
      <x:c r="O3092" t="str">
        <x:v>https://www.activesportstrade.co.uk/supplement-needs-trade</x:v>
      </x:c>
      <x:c r="P3092" t="str"/>
      <x:c r="Q3092" t="str"/>
      <x:c r="R3092" t="str"/>
      <x:c r="S3092" t="str">
        <x:v>Pending genuine supplier/brand image</x:v>
      </x:c>
      <x:c r="T3092" s="54" t="n">
        <x:v>20.5</x:v>
      </x:c>
      <x:c r="U3092" s="47" t="n">
        <x:v>0.2</x:v>
      </x:c>
      <x:c r="V3092" s="54" t="n">
        <x:f>IF(ISNUMBER(T3092),T3092*(1+U3092),"")</x:f>
        <x:v>24.599999999999998</x:v>
      </x:c>
      <x:c r="W3092" s="47" t="n">
        <x:v>0.3</x:v>
      </x:c>
      <x:c r="X3092" s="54" t="n">
        <x:f>IF(ISNUMBER(V3092),V3092/(1-W3092),"")</x:f>
        <x:v>35.14285714285714</x:v>
      </x:c>
      <x:c r="Y3092" s="55" t="n">
        <x:f>IF(ISNUMBER(X3092),ROUNDUP(X3092,0),"")</x:f>
        <x:v>36</x:v>
      </x:c>
      <x:c r="Z3092" t="str">
        <x:v>Source match pending</x:v>
      </x:c>
      <x:c r="AA3092" t="str">
        <x:v>screencapture-www-activesportstrade-co-uk-supplement-needs-trade-2026-09-10-09_10_12.pdf / page-3</x:v>
      </x:c>
      <x:c r="AB3092" s="36" t="n">
        <x:f>IF(ISNUMBER(Y3092),ROUND(Y3092*0.9,2),"")</x:f>
        <x:v>32.4</x:v>
      </x:c>
      <x:c r="AC3092" s="36" t="n">
        <x:f>IF(ISNUMBER(AB3092),ROUND(AB3092-(AB3092*0.015+0.2)-V3092,2),"")</x:f>
        <x:v>7.11</x:v>
      </x:c>
      <x:c r="AD3092" s="36" t="n">
        <x:f>IF(ISNUMBER(Y3092),ROUND(Y3092*0.8,2),"")</x:f>
        <x:v>28.8</x:v>
      </x:c>
      <x:c r="AE3092" s="36" t="n">
        <x:f>IF(ISNUMBER(AD3092),ROUND(AD3092*0.015+0.2,2),"")</x:f>
        <x:v>0.63</x:v>
      </x:c>
      <x:c r="AF3092" s="36" t="n">
        <x:f>IF(ISNUMBER(AD3092),ROUND(AD3092-AE3092-V3092,2),"")</x:f>
        <x:v>3.57</x:v>
      </x:c>
      <x:c r="AG3092" t="str">
        <x:f>IF(NOT(ISNUMBER(T3092)),"PENDING",IF(AF3092&gt;0,"PASS","FAIL"))</x:f>
        <x:v>PASS</x:v>
      </x:c>
      <x:c r="AH3092" t="str">
        <x:f>IF(NOT(ISNUMBER(T3092)),"Needs supplier cost",IF(K3092&lt;&gt;"In stock","Supplier unavailable",IF(AG3092&lt;&gt;"PASS","BLOCK - GT loss risk","Commercially protected")))</x:f>
        <x:v>Commercially protected</x:v>
      </x:c>
      <x:c r="AI3092" t="str">
        <x:v>2026-09-10 Active Sports trade capture</x:v>
      </x:c>
      <x:c r="AJ3092" t="str">
        <x:v>Management-only economics. Stripe stress test uses 1.5% + £0.20 standard UK online-card fee; pallet/mix-and-match pricing ignored.</x:v>
      </x:c>
    </x:row>
    <x:row r="3093">
      <x:c r="A3093" t="str">
        <x:v>Active Sports Nutrition</x:v>
      </x:c>
      <x:c r="B3093" t="str">
        <x:v>Supplement Needs</x:v>
      </x:c>
      <x:c r="C3093" t="str">
        <x:v>Lipid+</x:v>
      </x:c>
      <x:c r="D3093" t="str">
        <x:v>Supplements</x:v>
      </x:c>
      <x:c r="E3093" t="str">
        <x:v>Health Support</x:v>
      </x:c>
      <x:c r="F3093" t="str"/>
      <x:c r="G3093" t="str">
        <x:v>90 caps</x:v>
      </x:c>
      <x:c r="H3093" t="str">
        <x:v>Standard</x:v>
      </x:c>
      <x:c r="I3093" t="str"/>
      <x:c r="J3093" t="str">
        <x:v>Unit</x:v>
      </x:c>
      <x:c r="K3093" t="str">
        <x:v>In stock</x:v>
      </x:c>
      <x:c r="L3093" t="str">
        <x:v>2026-09-08</x:v>
      </x:c>
      <x:c r="M3093" t="str"/>
      <x:c r="N3093" t="str"/>
      <x:c r="O3093" t="str">
        <x:v>https://www.activesportstrade.co.uk/supplement-needs-trade</x:v>
      </x:c>
      <x:c r="P3093" t="str"/>
      <x:c r="Q3093" t="str"/>
      <x:c r="R3093" t="str"/>
      <x:c r="S3093" t="str">
        <x:v>Pending genuine supplier/brand image</x:v>
      </x:c>
      <x:c r="T3093" s="54" t="n">
        <x:v>20.5</x:v>
      </x:c>
      <x:c r="U3093" s="47" t="n">
        <x:v>0.2</x:v>
      </x:c>
      <x:c r="V3093" s="54" t="n">
        <x:f>IF(ISNUMBER(T3093),T3093*(1+U3093),"")</x:f>
        <x:v>24.599999999999998</x:v>
      </x:c>
      <x:c r="W3093" s="47" t="n">
        <x:v>0.3</x:v>
      </x:c>
      <x:c r="X3093" s="54" t="n">
        <x:f>IF(ISNUMBER(V3093),V3093/(1-W3093),"")</x:f>
        <x:v>35.14285714285714</x:v>
      </x:c>
      <x:c r="Y3093" s="55" t="n">
        <x:f>IF(ISNUMBER(X3093),ROUNDUP(X3093,0),"")</x:f>
        <x:v>36</x:v>
      </x:c>
      <x:c r="Z3093" t="str">
        <x:v>Source match pending</x:v>
      </x:c>
      <x:c r="AA3093" t="str">
        <x:v>screencapture-www-activesportstrade-co-uk-supplement-needs-trade-2026-09-10-09_10_12.pdf / page-3</x:v>
      </x:c>
      <x:c r="AB3093" s="36" t="n">
        <x:f>IF(ISNUMBER(Y3093),ROUND(Y3093*0.9,2),"")</x:f>
        <x:v>32.4</x:v>
      </x:c>
      <x:c r="AC3093" s="36" t="n">
        <x:f>IF(ISNUMBER(AB3093),ROUND(AB3093-(AB3093*0.015+0.2)-V3093,2),"")</x:f>
        <x:v>7.11</x:v>
      </x:c>
      <x:c r="AD3093" s="36" t="n">
        <x:f>IF(ISNUMBER(Y3093),ROUND(Y3093*0.8,2),"")</x:f>
        <x:v>28.8</x:v>
      </x:c>
      <x:c r="AE3093" s="36" t="n">
        <x:f>IF(ISNUMBER(AD3093),ROUND(AD3093*0.015+0.2,2),"")</x:f>
        <x:v>0.63</x:v>
      </x:c>
      <x:c r="AF3093" s="36" t="n">
        <x:f>IF(ISNUMBER(AD3093),ROUND(AD3093-AE3093-V3093,2),"")</x:f>
        <x:v>3.57</x:v>
      </x:c>
      <x:c r="AG3093" t="str">
        <x:f>IF(NOT(ISNUMBER(T3093)),"PENDING",IF(AF3093&gt;0,"PASS","FAIL"))</x:f>
        <x:v>PASS</x:v>
      </x:c>
      <x:c r="AH3093" t="str">
        <x:f>IF(NOT(ISNUMBER(T3093)),"Needs supplier cost",IF(K3093&lt;&gt;"In stock","Supplier unavailable",IF(AG3093&lt;&gt;"PASS","BLOCK - GT loss risk","Commercially protected")))</x:f>
        <x:v>Commercially protected</x:v>
      </x:c>
      <x:c r="AI3093" t="str">
        <x:v>2026-09-10 Active Sports trade capture</x:v>
      </x:c>
      <x:c r="AJ3093" t="str">
        <x:v>Management-only economics. Stripe stress test uses 1.5% + £0.20 standard UK online-card fee; pallet/mix-and-match pricing ignored.</x:v>
      </x:c>
    </x:row>
    <x:row r="3094">
      <x:c r="A3094" t="str">
        <x:v>Active Sports Nutrition</x:v>
      </x:c>
      <x:c r="B3094" t="str">
        <x:v>Supplement Needs</x:v>
      </x:c>
      <x:c r="C3094" t="str">
        <x:v>Lipid Pro+</x:v>
      </x:c>
      <x:c r="D3094" t="str">
        <x:v>Supplements</x:v>
      </x:c>
      <x:c r="E3094" t="str">
        <x:v>Health Support</x:v>
      </x:c>
      <x:c r="F3094" t="str"/>
      <x:c r="G3094" t="str">
        <x:v>150 caps</x:v>
      </x:c>
      <x:c r="H3094" t="str">
        <x:v>Standard</x:v>
      </x:c>
      <x:c r="I3094" t="str"/>
      <x:c r="J3094" t="str">
        <x:v>Unit</x:v>
      </x:c>
      <x:c r="K3094" t="str">
        <x:v>In stock</x:v>
      </x:c>
      <x:c r="L3094" t="str">
        <x:v>2026-09-08</x:v>
      </x:c>
      <x:c r="M3094" t="str"/>
      <x:c r="N3094" t="str"/>
      <x:c r="O3094" t="str">
        <x:v>https://www.activesportstrade.co.uk/supplement-needs-trade</x:v>
      </x:c>
      <x:c r="P3094" t="str"/>
      <x:c r="Q3094" t="str"/>
      <x:c r="R3094" t="str"/>
      <x:c r="S3094" t="str">
        <x:v>Pending genuine supplier/brand image</x:v>
      </x:c>
      <x:c r="T3094" s="54" t="n">
        <x:v>26</x:v>
      </x:c>
      <x:c r="U3094" s="47" t="n">
        <x:v>0.2</x:v>
      </x:c>
      <x:c r="V3094" s="54" t="n">
        <x:f>IF(ISNUMBER(T3094),T3094*(1+U3094),"")</x:f>
        <x:v>31.2</x:v>
      </x:c>
      <x:c r="W3094" s="47" t="n">
        <x:v>0.3</x:v>
      </x:c>
      <x:c r="X3094" s="54" t="n">
        <x:f>IF(ISNUMBER(V3094),V3094/(1-W3094),"")</x:f>
        <x:v>44.57142857142858</x:v>
      </x:c>
      <x:c r="Y3094" s="55" t="n">
        <x:f>IF(ISNUMBER(X3094),ROUNDUP(X3094,0),"")</x:f>
        <x:v>45</x:v>
      </x:c>
      <x:c r="Z3094" t="str">
        <x:v>Source match pending</x:v>
      </x:c>
      <x:c r="AA3094" t="str">
        <x:v>screencapture-www-activesportstrade-co-uk-supplement-needs-trade-2026-09-10-09_10_12.pdf / page-4</x:v>
      </x:c>
      <x:c r="AB3094" s="36" t="n">
        <x:f>IF(ISNUMBER(Y3094),ROUND(Y3094*0.9,2),"")</x:f>
        <x:v>40.5</x:v>
      </x:c>
      <x:c r="AC3094" s="36" t="n">
        <x:f>IF(ISNUMBER(AB3094),ROUND(AB3094-(AB3094*0.015+0.2)-V3094,2),"")</x:f>
        <x:v>8.49</x:v>
      </x:c>
      <x:c r="AD3094" s="36" t="n">
        <x:f>IF(ISNUMBER(Y3094),ROUND(Y3094*0.8,2),"")</x:f>
        <x:v>36</x:v>
      </x:c>
      <x:c r="AE3094" s="36" t="n">
        <x:f>IF(ISNUMBER(AD3094),ROUND(AD3094*0.015+0.2,2),"")</x:f>
        <x:v>0.74</x:v>
      </x:c>
      <x:c r="AF3094" s="36" t="n">
        <x:f>IF(ISNUMBER(AD3094),ROUND(AD3094-AE3094-V3094,2),"")</x:f>
        <x:v>4.06</x:v>
      </x:c>
      <x:c r="AG3094" t="str">
        <x:f>IF(NOT(ISNUMBER(T3094)),"PENDING",IF(AF3094&gt;0,"PASS","FAIL"))</x:f>
        <x:v>PASS</x:v>
      </x:c>
      <x:c r="AH3094" t="str">
        <x:f>IF(NOT(ISNUMBER(T3094)),"Needs supplier cost",IF(K3094&lt;&gt;"In stock","Supplier unavailable",IF(AG3094&lt;&gt;"PASS","BLOCK - GT loss risk","Commercially protected")))</x:f>
        <x:v>Commercially protected</x:v>
      </x:c>
      <x:c r="AI3094" t="str">
        <x:v>2026-09-10 Active Sports trade capture</x:v>
      </x:c>
      <x:c r="AJ3094" t="str">
        <x:v>Management-only economics. Stripe stress test uses 1.5% + £0.20 standard UK online-card fee; pallet/mix-and-match pricing ignored.</x:v>
      </x:c>
    </x:row>
    <x:row r="3095">
      <x:c r="A3095" t="str">
        <x:v>Active Sports Nutrition</x:v>
      </x:c>
      <x:c r="B3095" t="str">
        <x:v>Supplement Needs</x:v>
      </x:c>
      <x:c r="C3095" t="str">
        <x:v>Liposomal CoQ10</x:v>
      </x:c>
      <x:c r="D3095" t="str">
        <x:v>Supplements</x:v>
      </x:c>
      <x:c r="E3095" t="str">
        <x:v>Health Support</x:v>
      </x:c>
      <x:c r="F3095" t="str"/>
      <x:c r="G3095" t="str">
        <x:v>150ml</x:v>
      </x:c>
      <x:c r="H3095" t="str">
        <x:v>Standard</x:v>
      </x:c>
      <x:c r="I3095" t="str"/>
      <x:c r="J3095" t="str">
        <x:v>Unit</x:v>
      </x:c>
      <x:c r="K3095" t="str">
        <x:v>In stock</x:v>
      </x:c>
      <x:c r="L3095" t="str">
        <x:v>2026-09-08</x:v>
      </x:c>
      <x:c r="M3095" t="str"/>
      <x:c r="N3095" t="str"/>
      <x:c r="O3095" t="str">
        <x:v>https://www.activesportstrade.co.uk/supplement-needs-trade</x:v>
      </x:c>
      <x:c r="P3095" t="str"/>
      <x:c r="Q3095" t="str"/>
      <x:c r="R3095" t="str"/>
      <x:c r="S3095" t="str">
        <x:v>Pending genuine supplier/brand image</x:v>
      </x:c>
      <x:c r="T3095" s="54"/>
      <x:c r="U3095" s="47" t="n">
        <x:v>0.2</x:v>
      </x:c>
      <x:c r="V3095" s="54" t="str">
        <x:f>IF(ISNUMBER(T3095),T3095*(1+U3095),"")</x:f>
      </x:c>
      <x:c r="W3095" s="47" t="n">
        <x:v>0.3</x:v>
      </x:c>
      <x:c r="X3095" s="54" t="str">
        <x:f>IF(ISNUMBER(V3095),V3095/(1-W3095),"")</x:f>
      </x:c>
      <x:c r="Y3095" s="55" t="str">
        <x:f>IF(ISNUMBER(X3095),ROUNDUP(X3095,0),"")</x:f>
      </x:c>
      <x:c r="Z3095" t="str">
        <x:f>IF(ISNUMBER(T3095),"Cost captured","Awaiting trade cost")</x:f>
        <x:v>Awaiting trade cost</x:v>
      </x:c>
      <x:c r="AB3095" s="36" t="str">
        <x:f>IF(ISNUMBER(Y3095),ROUND(Y3095*0.9,2),"")</x:f>
      </x:c>
      <x:c r="AC3095" s="36" t="str">
        <x:f>IF(ISNUMBER(AB3095),ROUND(AB3095-(AB3095*0.015+0.2)-V3095,2),"")</x:f>
      </x:c>
      <x:c r="AD3095" s="36" t="str">
        <x:f>IF(ISNUMBER(Y3095),ROUND(Y3095*0.8,2),"")</x:f>
      </x:c>
      <x:c r="AE3095" s="36" t="str">
        <x:f>IF(ISNUMBER(AD3095),ROUND(AD3095*0.015+0.2,2),"")</x:f>
      </x:c>
      <x:c r="AF3095" s="36" t="str">
        <x:f>IF(ISNUMBER(AD3095),ROUND(AD3095-AE3095-V3095,2),"")</x:f>
      </x:c>
      <x:c r="AG3095" t="str">
        <x:f>IF(NOT(ISNUMBER(T3095)),"PENDING",IF(AF3095&gt;0,"PASS","FAIL"))</x:f>
        <x:v>PENDING</x:v>
      </x:c>
      <x:c r="AH3095" t="str">
        <x:f>IF(NOT(ISNUMBER(T3095)),"Needs supplier cost",IF(K3095&lt;&gt;"In stock","Supplier unavailable",IF(AG3095&lt;&gt;"PASS","BLOCK - GT loss risk","Commercially protected")))</x:f>
        <x:v>Needs supplier cost</x:v>
      </x:c>
      <x:c r="AI3095" t="str">
        <x:v>2026-09-10 Active Sports trade capture</x:v>
      </x:c>
      <x:c r="AJ3095" t="str">
        <x:v>Management-only economics. Stripe stress test uses 1.5% + £0.20 standard UK online-card fee; pallet/mix-and-match pricing ignored.</x:v>
      </x:c>
    </x:row>
    <x:row r="3096">
      <x:c r="A3096" t="str">
        <x:v>Active Sports Nutrition</x:v>
      </x:c>
      <x:c r="B3096" t="str">
        <x:v>Supplement Needs</x:v>
      </x:c>
      <x:c r="C3096" t="str">
        <x:v>Magnesium Bisglycinate</x:v>
      </x:c>
      <x:c r="D3096" t="str">
        <x:v>Supplements</x:v>
      </x:c>
      <x:c r="E3096" t="str">
        <x:v>Vitamins &amp; Minerals</x:v>
      </x:c>
      <x:c r="F3096" t="str"/>
      <x:c r="G3096" t="str">
        <x:v>120 caps</x:v>
      </x:c>
      <x:c r="H3096" t="str">
        <x:v>Standard</x:v>
      </x:c>
      <x:c r="I3096" t="str"/>
      <x:c r="J3096" t="str">
        <x:v>Unit</x:v>
      </x:c>
      <x:c r="K3096" t="str">
        <x:v>In stock</x:v>
      </x:c>
      <x:c r="L3096" t="str">
        <x:v>2026-09-08</x:v>
      </x:c>
      <x:c r="M3096" t="str"/>
      <x:c r="N3096" t="str"/>
      <x:c r="O3096" t="str">
        <x:v>https://www.activesportstrade.co.uk/supplement-needs-trade</x:v>
      </x:c>
      <x:c r="P3096" t="str"/>
      <x:c r="Q3096" t="str"/>
      <x:c r="R3096" t="str"/>
      <x:c r="S3096" t="str">
        <x:v>Pending genuine supplier/brand image</x:v>
      </x:c>
      <x:c r="T3096" s="54" t="n">
        <x:v>8.5</x:v>
      </x:c>
      <x:c r="U3096" s="47" t="n">
        <x:v>0.2</x:v>
      </x:c>
      <x:c r="V3096" s="54" t="n">
        <x:f>IF(ISNUMBER(T3096),T3096*(1+U3096),"")</x:f>
        <x:v>10.2</x:v>
      </x:c>
      <x:c r="W3096" s="47" t="n">
        <x:v>0.3</x:v>
      </x:c>
      <x:c r="X3096" s="54" t="n">
        <x:f>IF(ISNUMBER(V3096),V3096/(1-W3096),"")</x:f>
        <x:v>14.571428571428571</x:v>
      </x:c>
      <x:c r="Y3096" s="55" t="n">
        <x:f>IF(ISNUMBER(X3096),ROUNDUP(X3096,0),"")</x:f>
        <x:v>15</x:v>
      </x:c>
      <x:c r="Z3096" t="str">
        <x:v>Source match pending</x:v>
      </x:c>
      <x:c r="AA3096" t="str">
        <x:v>screencapture-www-activesportstrade-co-uk-supplement-needs-trade-2026-09-10-09_10_12.pdf / page-4</x:v>
      </x:c>
      <x:c r="AB3096" s="36" t="n">
        <x:f>IF(ISNUMBER(Y3096),ROUND(Y3096*0.9,2),"")</x:f>
        <x:v>13.5</x:v>
      </x:c>
      <x:c r="AC3096" s="36" t="n">
        <x:f>IF(ISNUMBER(AB3096),ROUND(AB3096-(AB3096*0.015+0.2)-V3096,2),"")</x:f>
        <x:v>2.9</x:v>
      </x:c>
      <x:c r="AD3096" s="36" t="n">
        <x:f>IF(ISNUMBER(Y3096),ROUND(Y3096*0.8,2),"")</x:f>
        <x:v>12</x:v>
      </x:c>
      <x:c r="AE3096" s="36" t="n">
        <x:f>IF(ISNUMBER(AD3096),ROUND(AD3096*0.015+0.2,2),"")</x:f>
        <x:v>0.38</x:v>
      </x:c>
      <x:c r="AF3096" s="36" t="n">
        <x:f>IF(ISNUMBER(AD3096),ROUND(AD3096-AE3096-V3096,2),"")</x:f>
        <x:v>1.42</x:v>
      </x:c>
      <x:c r="AG3096" t="str">
        <x:f>IF(NOT(ISNUMBER(T3096)),"PENDING",IF(AF3096&gt;0,"PASS","FAIL"))</x:f>
        <x:v>PASS</x:v>
      </x:c>
      <x:c r="AH3096" t="str">
        <x:f>IF(NOT(ISNUMBER(T3096)),"Needs supplier cost",IF(K3096&lt;&gt;"In stock","Supplier unavailable",IF(AG3096&lt;&gt;"PASS","BLOCK - GT loss risk","Commercially protected")))</x:f>
        <x:v>Commercially protected</x:v>
      </x:c>
      <x:c r="AI3096" t="str">
        <x:v>2026-09-10 Active Sports trade capture</x:v>
      </x:c>
      <x:c r="AJ3096" t="str">
        <x:v>Management-only economics. Stripe stress test uses 1.5% + £0.20 standard UK online-card fee; pallet/mix-and-match pricing ignored.</x:v>
      </x:c>
    </x:row>
    <x:row r="3097">
      <x:c r="A3097" t="str">
        <x:v>Active Sports Nutrition</x:v>
      </x:c>
      <x:c r="B3097" t="str">
        <x:v>Supplement Needs</x:v>
      </x:c>
      <x:c r="C3097" t="str">
        <x:v>Multi Vitamin &amp; Mineral Pro</x:v>
      </x:c>
      <x:c r="D3097" t="str">
        <x:v>Supplements</x:v>
      </x:c>
      <x:c r="E3097" t="str">
        <x:v>Vitamins &amp; Minerals</x:v>
      </x:c>
      <x:c r="F3097" t="str"/>
      <x:c r="G3097" t="str">
        <x:v>30 caps</x:v>
      </x:c>
      <x:c r="H3097" t="str">
        <x:v>Standard</x:v>
      </x:c>
      <x:c r="I3097" t="str"/>
      <x:c r="J3097" t="str">
        <x:v>Unit</x:v>
      </x:c>
      <x:c r="K3097" t="str">
        <x:v>In stock</x:v>
      </x:c>
      <x:c r="L3097" t="str">
        <x:v>2026-09-08</x:v>
      </x:c>
      <x:c r="M3097" t="str"/>
      <x:c r="N3097" t="str"/>
      <x:c r="O3097" t="str">
        <x:v>https://www.activesportstrade.co.uk/supplement-needs-trade</x:v>
      </x:c>
      <x:c r="P3097" t="str"/>
      <x:c r="Q3097" t="str"/>
      <x:c r="R3097" t="str"/>
      <x:c r="S3097" t="str">
        <x:v>Pending genuine supplier/brand image</x:v>
      </x:c>
      <x:c r="T3097" s="54" t="n">
        <x:v>8.5</x:v>
      </x:c>
      <x:c r="U3097" s="47" t="n">
        <x:v>0.2</x:v>
      </x:c>
      <x:c r="V3097" s="54" t="n">
        <x:f>IF(ISNUMBER(T3097),T3097*(1+U3097),"")</x:f>
        <x:v>10.2</x:v>
      </x:c>
      <x:c r="W3097" s="47" t="n">
        <x:v>0.3</x:v>
      </x:c>
      <x:c r="X3097" s="54" t="n">
        <x:f>IF(ISNUMBER(V3097),V3097/(1-W3097),"")</x:f>
        <x:v>14.571428571428571</x:v>
      </x:c>
      <x:c r="Y3097" s="55" t="n">
        <x:f>IF(ISNUMBER(X3097),ROUNDUP(X3097,0),"")</x:f>
        <x:v>15</x:v>
      </x:c>
      <x:c r="Z3097" t="str">
        <x:v>Source match pending</x:v>
      </x:c>
      <x:c r="AA3097" t="str">
        <x:v>screencapture-www-activesportstrade-co-uk-supplement-needs-trade-2026-09-10-09_10_12.pdf / page-4</x:v>
      </x:c>
      <x:c r="AB3097" s="36" t="n">
        <x:f>IF(ISNUMBER(Y3097),ROUND(Y3097*0.9,2),"")</x:f>
        <x:v>13.5</x:v>
      </x:c>
      <x:c r="AC3097" s="36" t="n">
        <x:f>IF(ISNUMBER(AB3097),ROUND(AB3097-(AB3097*0.015+0.2)-V3097,2),"")</x:f>
        <x:v>2.9</x:v>
      </x:c>
      <x:c r="AD3097" s="36" t="n">
        <x:f>IF(ISNUMBER(Y3097),ROUND(Y3097*0.8,2),"")</x:f>
        <x:v>12</x:v>
      </x:c>
      <x:c r="AE3097" s="36" t="n">
        <x:f>IF(ISNUMBER(AD3097),ROUND(AD3097*0.015+0.2,2),"")</x:f>
        <x:v>0.38</x:v>
      </x:c>
      <x:c r="AF3097" s="36" t="n">
        <x:f>IF(ISNUMBER(AD3097),ROUND(AD3097-AE3097-V3097,2),"")</x:f>
        <x:v>1.42</x:v>
      </x:c>
      <x:c r="AG3097" t="str">
        <x:f>IF(NOT(ISNUMBER(T3097)),"PENDING",IF(AF3097&gt;0,"PASS","FAIL"))</x:f>
        <x:v>PASS</x:v>
      </x:c>
      <x:c r="AH3097" t="str">
        <x:f>IF(NOT(ISNUMBER(T3097)),"Needs supplier cost",IF(K3097&lt;&gt;"In stock","Supplier unavailable",IF(AG3097&lt;&gt;"PASS","BLOCK - GT loss risk","Commercially protected")))</x:f>
        <x:v>Commercially protected</x:v>
      </x:c>
      <x:c r="AI3097" t="str">
        <x:v>2026-09-10 Active Sports trade capture</x:v>
      </x:c>
      <x:c r="AJ3097" t="str">
        <x:v>Management-only economics. Stripe stress test uses 1.5% + £0.20 standard UK online-card fee; pallet/mix-and-match pricing ignored.</x:v>
      </x:c>
    </x:row>
    <x:row r="3098">
      <x:c r="A3098" t="str">
        <x:v>Active Sports Nutrition</x:v>
      </x:c>
      <x:c r="B3098" t="str">
        <x:v>Supplement Needs</x:v>
      </x:c>
      <x:c r="C3098" t="str">
        <x:v>Multi Vitamin &amp; Mineral Pro</x:v>
      </x:c>
      <x:c r="D3098" t="str">
        <x:v>Supplements</x:v>
      </x:c>
      <x:c r="E3098" t="str">
        <x:v>Vitamins &amp; Minerals</x:v>
      </x:c>
      <x:c r="F3098" t="str"/>
      <x:c r="G3098" t="str">
        <x:v>60 caps</x:v>
      </x:c>
      <x:c r="H3098" t="str">
        <x:v>Standard</x:v>
      </x:c>
      <x:c r="I3098" t="str"/>
      <x:c r="J3098" t="str">
        <x:v>Unit</x:v>
      </x:c>
      <x:c r="K3098" t="str">
        <x:v>In stock</x:v>
      </x:c>
      <x:c r="L3098" t="str">
        <x:v>2026-09-08</x:v>
      </x:c>
      <x:c r="M3098" t="str"/>
      <x:c r="N3098" t="str"/>
      <x:c r="O3098" t="str">
        <x:v>https://www.activesportstrade.co.uk/supplement-needs-trade</x:v>
      </x:c>
      <x:c r="P3098" t="str"/>
      <x:c r="Q3098" t="str"/>
      <x:c r="R3098" t="str"/>
      <x:c r="S3098" t="str">
        <x:v>Pending genuine supplier/brand image</x:v>
      </x:c>
      <x:c r="T3098" s="54" t="n">
        <x:v>14</x:v>
      </x:c>
      <x:c r="U3098" s="47" t="n">
        <x:v>0.2</x:v>
      </x:c>
      <x:c r="V3098" s="54" t="n">
        <x:f>IF(ISNUMBER(T3098),T3098*(1+U3098),"")</x:f>
        <x:v>16.8</x:v>
      </x:c>
      <x:c r="W3098" s="47" t="n">
        <x:v>0.3</x:v>
      </x:c>
      <x:c r="X3098" s="54" t="n">
        <x:f>IF(ISNUMBER(V3098),V3098/(1-W3098),"")</x:f>
        <x:v>24.000000000000004</x:v>
      </x:c>
      <x:c r="Y3098" s="55" t="n">
        <x:f>IF(ISNUMBER(X3098),ROUNDUP(X3098,0),"")</x:f>
        <x:v>25</x:v>
      </x:c>
      <x:c r="Z3098" t="str">
        <x:v>Source match pending</x:v>
      </x:c>
      <x:c r="AA3098" t="str">
        <x:v>screencapture-www-activesportstrade-co-uk-supplement-needs-trade-2026-09-10-09_10_12.pdf / page-4</x:v>
      </x:c>
      <x:c r="AB3098" s="36" t="n">
        <x:f>IF(ISNUMBER(Y3098),ROUND(Y3098*0.9,2),"")</x:f>
        <x:v>22.5</x:v>
      </x:c>
      <x:c r="AC3098" s="36" t="n">
        <x:f>IF(ISNUMBER(AB3098),ROUND(AB3098-(AB3098*0.015+0.2)-V3098,2),"")</x:f>
        <x:v>5.16</x:v>
      </x:c>
      <x:c r="AD3098" s="36" t="n">
        <x:f>IF(ISNUMBER(Y3098),ROUND(Y3098*0.8,2),"")</x:f>
        <x:v>20</x:v>
      </x:c>
      <x:c r="AE3098" s="36" t="n">
        <x:f>IF(ISNUMBER(AD3098),ROUND(AD3098*0.015+0.2,2),"")</x:f>
        <x:v>0.5</x:v>
      </x:c>
      <x:c r="AF3098" s="36" t="n">
        <x:f>IF(ISNUMBER(AD3098),ROUND(AD3098-AE3098-V3098,2),"")</x:f>
        <x:v>2.7</x:v>
      </x:c>
      <x:c r="AG3098" t="str">
        <x:f>IF(NOT(ISNUMBER(T3098)),"PENDING",IF(AF3098&gt;0,"PASS","FAIL"))</x:f>
        <x:v>PASS</x:v>
      </x:c>
      <x:c r="AH3098" t="str">
        <x:f>IF(NOT(ISNUMBER(T3098)),"Needs supplier cost",IF(K3098&lt;&gt;"In stock","Supplier unavailable",IF(AG3098&lt;&gt;"PASS","BLOCK - GT loss risk","Commercially protected")))</x:f>
        <x:v>Commercially protected</x:v>
      </x:c>
      <x:c r="AI3098" t="str">
        <x:v>2026-09-10 Active Sports trade capture</x:v>
      </x:c>
      <x:c r="AJ3098" t="str">
        <x:v>Management-only economics. Stripe stress test uses 1.5% + £0.20 standard UK online-card fee; pallet/mix-and-match pricing ignored.</x:v>
      </x:c>
    </x:row>
    <x:row r="3099">
      <x:c r="A3099" t="str">
        <x:v>Active Sports Nutrition</x:v>
      </x:c>
      <x:c r="B3099" t="str">
        <x:v>Supplement Needs</x:v>
      </x:c>
      <x:c r="C3099" t="str">
        <x:v>Omega Femme</x:v>
      </x:c>
      <x:c r="D3099" t="str">
        <x:v>Supplements</x:v>
      </x:c>
      <x:c r="E3099" t="str">
        <x:v>Omega and EFA</x:v>
      </x:c>
      <x:c r="F3099" t="str"/>
      <x:c r="G3099" t="str">
        <x:v>120 caps</x:v>
      </x:c>
      <x:c r="H3099" t="str">
        <x:v>Standard</x:v>
      </x:c>
      <x:c r="I3099" t="str"/>
      <x:c r="J3099" t="str">
        <x:v>Unit</x:v>
      </x:c>
      <x:c r="K3099" t="str">
        <x:v>In stock</x:v>
      </x:c>
      <x:c r="L3099" t="str">
        <x:v>2026-09-08</x:v>
      </x:c>
      <x:c r="M3099" t="str"/>
      <x:c r="N3099" t="str"/>
      <x:c r="O3099" t="str">
        <x:v>https://www.activesportstrade.co.uk/supplement-needs-trade</x:v>
      </x:c>
      <x:c r="P3099" t="str"/>
      <x:c r="Q3099" t="str"/>
      <x:c r="R3099" t="str"/>
      <x:c r="S3099" t="str">
        <x:v>Pending genuine supplier/brand image</x:v>
      </x:c>
      <x:c r="T3099" s="54" t="n">
        <x:v>13.5</x:v>
      </x:c>
      <x:c r="U3099" s="47" t="n">
        <x:v>0.2</x:v>
      </x:c>
      <x:c r="V3099" s="54" t="n">
        <x:f>IF(ISNUMBER(T3099),T3099*(1+U3099),"")</x:f>
        <x:v>16.2</x:v>
      </x:c>
      <x:c r="W3099" s="47" t="n">
        <x:v>0.3</x:v>
      </x:c>
      <x:c r="X3099" s="54" t="n">
        <x:f>IF(ISNUMBER(V3099),V3099/(1-W3099),"")</x:f>
        <x:v>23.142857142857142</x:v>
      </x:c>
      <x:c r="Y3099" s="55" t="n">
        <x:f>IF(ISNUMBER(X3099),ROUNDUP(X3099,0),"")</x:f>
        <x:v>24</x:v>
      </x:c>
      <x:c r="Z3099" t="str">
        <x:v>Source match pending</x:v>
      </x:c>
      <x:c r="AA3099" t="str">
        <x:v>screencapture-www-activesportstrade-co-uk-supplement-needs-trade-2026-09-10-09_10_12.pdf / page-4</x:v>
      </x:c>
      <x:c r="AB3099" s="36" t="n">
        <x:f>IF(ISNUMBER(Y3099),ROUND(Y3099*0.9,2),"")</x:f>
        <x:v>21.6</x:v>
      </x:c>
      <x:c r="AC3099" s="36" t="n">
        <x:f>IF(ISNUMBER(AB3099),ROUND(AB3099-(AB3099*0.015+0.2)-V3099,2),"")</x:f>
        <x:v>4.88</x:v>
      </x:c>
      <x:c r="AD3099" s="36" t="n">
        <x:f>IF(ISNUMBER(Y3099),ROUND(Y3099*0.8,2),"")</x:f>
        <x:v>19.2</x:v>
      </x:c>
      <x:c r="AE3099" s="36" t="n">
        <x:f>IF(ISNUMBER(AD3099),ROUND(AD3099*0.015+0.2,2),"")</x:f>
        <x:v>0.49</x:v>
      </x:c>
      <x:c r="AF3099" s="36" t="n">
        <x:f>IF(ISNUMBER(AD3099),ROUND(AD3099-AE3099-V3099,2),"")</x:f>
        <x:v>2.51</x:v>
      </x:c>
      <x:c r="AG3099" t="str">
        <x:f>IF(NOT(ISNUMBER(T3099)),"PENDING",IF(AF3099&gt;0,"PASS","FAIL"))</x:f>
        <x:v>PASS</x:v>
      </x:c>
      <x:c r="AH3099" t="str">
        <x:f>IF(NOT(ISNUMBER(T3099)),"Needs supplier cost",IF(K3099&lt;&gt;"In stock","Supplier unavailable",IF(AG3099&lt;&gt;"PASS","BLOCK - GT loss risk","Commercially protected")))</x:f>
        <x:v>Commercially protected</x:v>
      </x:c>
      <x:c r="AI3099" t="str">
        <x:v>2026-09-10 Active Sports trade capture</x:v>
      </x:c>
      <x:c r="AJ3099" t="str">
        <x:v>Management-only economics. Stripe stress test uses 1.5% + £0.20 standard UK online-card fee; pallet/mix-and-match pricing ignored.</x:v>
      </x:c>
    </x:row>
    <x:row r="3100">
      <x:c r="A3100" t="str">
        <x:v>Active Sports Nutrition</x:v>
      </x:c>
      <x:c r="B3100" t="str">
        <x:v>Supplement Needs</x:v>
      </x:c>
      <x:c r="C3100" t="str">
        <x:v>Omega Pro+</x:v>
      </x:c>
      <x:c r="D3100" t="str">
        <x:v>Supplements</x:v>
      </x:c>
      <x:c r="E3100" t="str">
        <x:v>Omega and EFA</x:v>
      </x:c>
      <x:c r="F3100" t="str"/>
      <x:c r="G3100" t="str">
        <x:v>180 chews</x:v>
      </x:c>
      <x:c r="H3100" t="str">
        <x:v>Standard</x:v>
      </x:c>
      <x:c r="I3100" t="str"/>
      <x:c r="J3100" t="str">
        <x:v>Unit</x:v>
      </x:c>
      <x:c r="K3100" t="str">
        <x:v>In stock</x:v>
      </x:c>
      <x:c r="L3100" t="str">
        <x:v>2026-09-08</x:v>
      </x:c>
      <x:c r="M3100" t="str"/>
      <x:c r="N3100" t="str"/>
      <x:c r="O3100" t="str">
        <x:v>https://www.activesportstrade.co.uk/supplement-needs-trade</x:v>
      </x:c>
      <x:c r="P3100" t="str"/>
      <x:c r="Q3100" t="str"/>
      <x:c r="R3100" t="str"/>
      <x:c r="S3100" t="str">
        <x:v>Pending genuine supplier/brand image</x:v>
      </x:c>
      <x:c r="T3100" s="54" t="n">
        <x:v>20.5</x:v>
      </x:c>
      <x:c r="U3100" s="47" t="n">
        <x:v>0.2</x:v>
      </x:c>
      <x:c r="V3100" s="54" t="n">
        <x:f>IF(ISNUMBER(T3100),T3100*(1+U3100),"")</x:f>
        <x:v>24.599999999999998</x:v>
      </x:c>
      <x:c r="W3100" s="47" t="n">
        <x:v>0.3</x:v>
      </x:c>
      <x:c r="X3100" s="54" t="n">
        <x:f>IF(ISNUMBER(V3100),V3100/(1-W3100),"")</x:f>
        <x:v>35.14285714285714</x:v>
      </x:c>
      <x:c r="Y3100" s="55" t="n">
        <x:f>IF(ISNUMBER(X3100),ROUNDUP(X3100,0),"")</x:f>
        <x:v>36</x:v>
      </x:c>
      <x:c r="Z3100" t="str">
        <x:v>Source match pending</x:v>
      </x:c>
      <x:c r="AA3100" t="str">
        <x:v>screencapture-www-activesportstrade-co-uk-supplement-needs-trade-2026-09-10-09_10_12.pdf / page-5</x:v>
      </x:c>
      <x:c r="AB3100" s="36" t="n">
        <x:f>IF(ISNUMBER(Y3100),ROUND(Y3100*0.9,2),"")</x:f>
        <x:v>32.4</x:v>
      </x:c>
      <x:c r="AC3100" s="36" t="n">
        <x:f>IF(ISNUMBER(AB3100),ROUND(AB3100-(AB3100*0.015+0.2)-V3100,2),"")</x:f>
        <x:v>7.11</x:v>
      </x:c>
      <x:c r="AD3100" s="36" t="n">
        <x:f>IF(ISNUMBER(Y3100),ROUND(Y3100*0.8,2),"")</x:f>
        <x:v>28.8</x:v>
      </x:c>
      <x:c r="AE3100" s="36" t="n">
        <x:f>IF(ISNUMBER(AD3100),ROUND(AD3100*0.015+0.2,2),"")</x:f>
        <x:v>0.63</x:v>
      </x:c>
      <x:c r="AF3100" s="36" t="n">
        <x:f>IF(ISNUMBER(AD3100),ROUND(AD3100-AE3100-V3100,2),"")</x:f>
        <x:v>3.57</x:v>
      </x:c>
      <x:c r="AG3100" t="str">
        <x:f>IF(NOT(ISNUMBER(T3100)),"PENDING",IF(AF3100&gt;0,"PASS","FAIL"))</x:f>
        <x:v>PASS</x:v>
      </x:c>
      <x:c r="AH3100" t="str">
        <x:f>IF(NOT(ISNUMBER(T3100)),"Needs supplier cost",IF(K3100&lt;&gt;"In stock","Supplier unavailable",IF(AG3100&lt;&gt;"PASS","BLOCK - GT loss risk","Commercially protected")))</x:f>
        <x:v>Commercially protected</x:v>
      </x:c>
      <x:c r="AI3100" t="str">
        <x:v>2026-09-10 Active Sports trade capture</x:v>
      </x:c>
      <x:c r="AJ3100" t="str">
        <x:v>Management-only economics. Stripe stress test uses 1.5% + £0.20 standard UK online-card fee; pallet/mix-and-match pricing ignored.</x:v>
      </x:c>
    </x:row>
    <x:row r="3101">
      <x:c r="A3101" t="str">
        <x:v>Active Sports Nutrition</x:v>
      </x:c>
      <x:c r="B3101" t="str">
        <x:v>Supplement Needs</x:v>
      </x:c>
      <x:c r="C3101" t="str">
        <x:v>PCOS+</x:v>
      </x:c>
      <x:c r="D3101" t="str">
        <x:v>Supplements</x:v>
      </x:c>
      <x:c r="E3101" t="str">
        <x:v>Health Support</x:v>
      </x:c>
      <x:c r="F3101" t="str"/>
      <x:c r="G3101" t="str">
        <x:v>240 caps</x:v>
      </x:c>
      <x:c r="H3101" t="str">
        <x:v>Standard</x:v>
      </x:c>
      <x:c r="I3101" t="str"/>
      <x:c r="J3101" t="str">
        <x:v>Unit</x:v>
      </x:c>
      <x:c r="K3101" t="str">
        <x:v>In stock</x:v>
      </x:c>
      <x:c r="L3101" t="str">
        <x:v>2026-09-08</x:v>
      </x:c>
      <x:c r="M3101" t="str"/>
      <x:c r="N3101" t="str"/>
      <x:c r="O3101" t="str">
        <x:v>https://www.activesportstrade.co.uk/supplement-needs-trade</x:v>
      </x:c>
      <x:c r="P3101" t="str"/>
      <x:c r="Q3101" t="str"/>
      <x:c r="R3101" t="str"/>
      <x:c r="S3101" t="str">
        <x:v>Pending genuine supplier/brand image</x:v>
      </x:c>
      <x:c r="T3101" s="54" t="n">
        <x:v>29</x:v>
      </x:c>
      <x:c r="U3101" s="47" t="n">
        <x:v>0.2</x:v>
      </x:c>
      <x:c r="V3101" s="54" t="n">
        <x:f>IF(ISNUMBER(T3101),T3101*(1+U3101),"")</x:f>
        <x:v>34.8</x:v>
      </x:c>
      <x:c r="W3101" s="47" t="n">
        <x:v>0.3</x:v>
      </x:c>
      <x:c r="X3101" s="54" t="n">
        <x:f>IF(ISNUMBER(V3101),V3101/(1-W3101),"")</x:f>
        <x:v>49.714285714285715</x:v>
      </x:c>
      <x:c r="Y3101" s="55" t="n">
        <x:f>IF(ISNUMBER(X3101),ROUNDUP(X3101,0),"")</x:f>
        <x:v>50</x:v>
      </x:c>
      <x:c r="Z3101" t="str">
        <x:v>Source match pending</x:v>
      </x:c>
      <x:c r="AA3101" t="str">
        <x:v>screencapture-www-activesportstrade-co-uk-supplement-needs-trade-2026-09-10-09_10_12.pdf / page-5</x:v>
      </x:c>
      <x:c r="AB3101" s="36" t="n">
        <x:f>IF(ISNUMBER(Y3101),ROUND(Y3101*0.9,2),"")</x:f>
        <x:v>45</x:v>
      </x:c>
      <x:c r="AC3101" s="36" t="n">
        <x:f>IF(ISNUMBER(AB3101),ROUND(AB3101-(AB3101*0.015+0.2)-V3101,2),"")</x:f>
        <x:v>9.33</x:v>
      </x:c>
      <x:c r="AD3101" s="36" t="n">
        <x:f>IF(ISNUMBER(Y3101),ROUND(Y3101*0.8,2),"")</x:f>
        <x:v>40</x:v>
      </x:c>
      <x:c r="AE3101" s="36" t="n">
        <x:f>IF(ISNUMBER(AD3101),ROUND(AD3101*0.015+0.2,2),"")</x:f>
        <x:v>0.8</x:v>
      </x:c>
      <x:c r="AF3101" s="36" t="n">
        <x:f>IF(ISNUMBER(AD3101),ROUND(AD3101-AE3101-V3101,2),"")</x:f>
        <x:v>4.4</x:v>
      </x:c>
      <x:c r="AG3101" t="str">
        <x:f>IF(NOT(ISNUMBER(T3101)),"PENDING",IF(AF3101&gt;0,"PASS","FAIL"))</x:f>
        <x:v>PASS</x:v>
      </x:c>
      <x:c r="AH3101" t="str">
        <x:f>IF(NOT(ISNUMBER(T3101)),"Needs supplier cost",IF(K3101&lt;&gt;"In stock","Supplier unavailable",IF(AG3101&lt;&gt;"PASS","BLOCK - GT loss risk","Commercially protected")))</x:f>
        <x:v>Commercially protected</x:v>
      </x:c>
      <x:c r="AI3101" t="str">
        <x:v>2026-09-10 Active Sports trade capture</x:v>
      </x:c>
      <x:c r="AJ3101" t="str">
        <x:v>Management-only economics. Stripe stress test uses 1.5% + £0.20 standard UK online-card fee; pallet/mix-and-match pricing ignored.</x:v>
      </x:c>
    </x:row>
    <x:row r="3102">
      <x:c r="A3102" t="str">
        <x:v>Active Sports Nutrition</x:v>
      </x:c>
      <x:c r="B3102" t="str">
        <x:v>Supplement Needs</x:v>
      </x:c>
      <x:c r="C3102" t="str">
        <x:v>PMS+</x:v>
      </x:c>
      <x:c r="D3102" t="str">
        <x:v>Supplements</x:v>
      </x:c>
      <x:c r="E3102" t="str">
        <x:v>Health Support</x:v>
      </x:c>
      <x:c r="F3102" t="str"/>
      <x:c r="G3102" t="str">
        <x:v>150 caps</x:v>
      </x:c>
      <x:c r="H3102" t="str">
        <x:v>Standard</x:v>
      </x:c>
      <x:c r="I3102" t="str"/>
      <x:c r="J3102" t="str">
        <x:v>Unit</x:v>
      </x:c>
      <x:c r="K3102" t="str">
        <x:v>In stock</x:v>
      </x:c>
      <x:c r="L3102" t="str">
        <x:v>2026-09-08</x:v>
      </x:c>
      <x:c r="M3102" t="str"/>
      <x:c r="N3102" t="str"/>
      <x:c r="O3102" t="str">
        <x:v>https://www.activesportstrade.co.uk/supplement-needs-trade</x:v>
      </x:c>
      <x:c r="P3102" t="str"/>
      <x:c r="Q3102" t="str"/>
      <x:c r="R3102" t="str"/>
      <x:c r="S3102" t="str">
        <x:v>Pending genuine supplier/brand image</x:v>
      </x:c>
      <x:c r="T3102" s="54" t="n">
        <x:v>19</x:v>
      </x:c>
      <x:c r="U3102" s="47" t="n">
        <x:v>0.2</x:v>
      </x:c>
      <x:c r="V3102" s="54" t="n">
        <x:f>IF(ISNUMBER(T3102),T3102*(1+U3102),"")</x:f>
        <x:v>22.8</x:v>
      </x:c>
      <x:c r="W3102" s="47" t="n">
        <x:v>0.3</x:v>
      </x:c>
      <x:c r="X3102" s="54" t="n">
        <x:f>IF(ISNUMBER(V3102),V3102/(1-W3102),"")</x:f>
        <x:v>32.57142857142858</x:v>
      </x:c>
      <x:c r="Y3102" s="55" t="n">
        <x:f>IF(ISNUMBER(X3102),ROUNDUP(X3102,0),"")</x:f>
        <x:v>33</x:v>
      </x:c>
      <x:c r="Z3102" t="str">
        <x:v>Source match pending</x:v>
      </x:c>
      <x:c r="AA3102" t="str">
        <x:v>screencapture-www-activesportstrade-co-uk-supplement-needs-trade-2026-09-10-09_10_12.pdf / page-5</x:v>
      </x:c>
      <x:c r="AB3102" s="36" t="n">
        <x:f>IF(ISNUMBER(Y3102),ROUND(Y3102*0.9,2),"")</x:f>
        <x:v>29.7</x:v>
      </x:c>
      <x:c r="AC3102" s="36" t="n">
        <x:f>IF(ISNUMBER(AB3102),ROUND(AB3102-(AB3102*0.015+0.2)-V3102,2),"")</x:f>
        <x:v>6.25</x:v>
      </x:c>
      <x:c r="AD3102" s="36" t="n">
        <x:f>IF(ISNUMBER(Y3102),ROUND(Y3102*0.8,2),"")</x:f>
        <x:v>26.4</x:v>
      </x:c>
      <x:c r="AE3102" s="36" t="n">
        <x:f>IF(ISNUMBER(AD3102),ROUND(AD3102*0.015+0.2,2),"")</x:f>
        <x:v>0.6</x:v>
      </x:c>
      <x:c r="AF3102" s="36" t="n">
        <x:f>IF(ISNUMBER(AD3102),ROUND(AD3102-AE3102-V3102,2),"")</x:f>
        <x:v>3</x:v>
      </x:c>
      <x:c r="AG3102" t="str">
        <x:f>IF(NOT(ISNUMBER(T3102)),"PENDING",IF(AF3102&gt;0,"PASS","FAIL"))</x:f>
        <x:v>PASS</x:v>
      </x:c>
      <x:c r="AH3102" t="str">
        <x:f>IF(NOT(ISNUMBER(T3102)),"Needs supplier cost",IF(K3102&lt;&gt;"In stock","Supplier unavailable",IF(AG3102&lt;&gt;"PASS","BLOCK - GT loss risk","Commercially protected")))</x:f>
        <x:v>Commercially protected</x:v>
      </x:c>
      <x:c r="AI3102" t="str">
        <x:v>2026-09-10 Active Sports trade capture</x:v>
      </x:c>
      <x:c r="AJ3102" t="str">
        <x:v>Management-only economics. Stripe stress test uses 1.5% + £0.20 standard UK online-card fee; pallet/mix-and-match pricing ignored.</x:v>
      </x:c>
    </x:row>
    <x:row r="3103">
      <x:c r="A3103" t="str">
        <x:v>Active Sports Nutrition</x:v>
      </x:c>
      <x:c r="B3103" t="str">
        <x:v>Supplement Needs</x:v>
      </x:c>
      <x:c r="C3103" t="str">
        <x:v>PQQ</x:v>
      </x:c>
      <x:c r="D3103" t="str">
        <x:v>Supplements</x:v>
      </x:c>
      <x:c r="E3103" t="str">
        <x:v>Health Support</x:v>
      </x:c>
      <x:c r="F3103" t="str"/>
      <x:c r="G3103" t="str">
        <x:v>60 tabs</x:v>
      </x:c>
      <x:c r="H3103" t="str">
        <x:v>Standard</x:v>
      </x:c>
      <x:c r="I3103" t="str"/>
      <x:c r="J3103" t="str">
        <x:v>Unit</x:v>
      </x:c>
      <x:c r="K3103" t="str">
        <x:v>In stock</x:v>
      </x:c>
      <x:c r="L3103" t="str">
        <x:v>2026-09-08</x:v>
      </x:c>
      <x:c r="M3103" t="str"/>
      <x:c r="N3103" t="str"/>
      <x:c r="O3103" t="str">
        <x:v>https://www.activesportstrade.co.uk/supplement-needs-trade</x:v>
      </x:c>
      <x:c r="P3103" t="str"/>
      <x:c r="Q3103" t="str"/>
      <x:c r="R3103" t="str"/>
      <x:c r="S3103" t="str">
        <x:v>Pending genuine supplier/brand image</x:v>
      </x:c>
      <x:c r="T3103" s="54" t="n">
        <x:v>14</x:v>
      </x:c>
      <x:c r="U3103" s="47" t="n">
        <x:v>0.2</x:v>
      </x:c>
      <x:c r="V3103" s="54" t="n">
        <x:f>IF(ISNUMBER(T3103),T3103*(1+U3103),"")</x:f>
        <x:v>16.8</x:v>
      </x:c>
      <x:c r="W3103" s="47" t="n">
        <x:v>0.3</x:v>
      </x:c>
      <x:c r="X3103" s="54" t="n">
        <x:f>IF(ISNUMBER(V3103),V3103/(1-W3103),"")</x:f>
        <x:v>24.000000000000004</x:v>
      </x:c>
      <x:c r="Y3103" s="55" t="n">
        <x:f>IF(ISNUMBER(X3103),ROUNDUP(X3103,0),"")</x:f>
        <x:v>25</x:v>
      </x:c>
      <x:c r="Z3103" t="str">
        <x:v>Source match pending</x:v>
      </x:c>
      <x:c r="AA3103" t="str">
        <x:v>screencapture-www-activesportstrade-co-uk-supplement-needs-trade-2026-09-10-09_10_12.pdf / page-5</x:v>
      </x:c>
      <x:c r="AB3103" s="36" t="n">
        <x:f>IF(ISNUMBER(Y3103),ROUND(Y3103*0.9,2),"")</x:f>
        <x:v>22.5</x:v>
      </x:c>
      <x:c r="AC3103" s="36" t="n">
        <x:f>IF(ISNUMBER(AB3103),ROUND(AB3103-(AB3103*0.015+0.2)-V3103,2),"")</x:f>
        <x:v>5.16</x:v>
      </x:c>
      <x:c r="AD3103" s="36" t="n">
        <x:f>IF(ISNUMBER(Y3103),ROUND(Y3103*0.8,2),"")</x:f>
        <x:v>20</x:v>
      </x:c>
      <x:c r="AE3103" s="36" t="n">
        <x:f>IF(ISNUMBER(AD3103),ROUND(AD3103*0.015+0.2,2),"")</x:f>
        <x:v>0.5</x:v>
      </x:c>
      <x:c r="AF3103" s="36" t="n">
        <x:f>IF(ISNUMBER(AD3103),ROUND(AD3103-AE3103-V3103,2),"")</x:f>
        <x:v>2.7</x:v>
      </x:c>
      <x:c r="AG3103" t="str">
        <x:f>IF(NOT(ISNUMBER(T3103)),"PENDING",IF(AF3103&gt;0,"PASS","FAIL"))</x:f>
        <x:v>PASS</x:v>
      </x:c>
      <x:c r="AH3103" t="str">
        <x:f>IF(NOT(ISNUMBER(T3103)),"Needs supplier cost",IF(K3103&lt;&gt;"In stock","Supplier unavailable",IF(AG3103&lt;&gt;"PASS","BLOCK - GT loss risk","Commercially protected")))</x:f>
        <x:v>Commercially protected</x:v>
      </x:c>
      <x:c r="AI3103" t="str">
        <x:v>2026-09-10 Active Sports trade capture</x:v>
      </x:c>
      <x:c r="AJ3103" t="str">
        <x:v>Management-only economics. Stripe stress test uses 1.5% + £0.20 standard UK online-card fee; pallet/mix-and-match pricing ignored.</x:v>
      </x:c>
    </x:row>
    <x:row r="3104">
      <x:c r="A3104" t="str">
        <x:v>Active Sports Nutrition</x:v>
      </x:c>
      <x:c r="B3104" t="str">
        <x:v>Supplement Needs</x:v>
      </x:c>
      <x:c r="C3104" t="str">
        <x:v>Probiotics 50 Billion CFU</x:v>
      </x:c>
      <x:c r="D3104" t="str">
        <x:v>Supplements</x:v>
      </x:c>
      <x:c r="E3104" t="str">
        <x:v>Digestive Support</x:v>
      </x:c>
      <x:c r="F3104" t="str"/>
      <x:c r="G3104" t="str">
        <x:v>60 caps</x:v>
      </x:c>
      <x:c r="H3104" t="str">
        <x:v>Standard</x:v>
      </x:c>
      <x:c r="I3104" t="str"/>
      <x:c r="J3104" t="str">
        <x:v>Unit</x:v>
      </x:c>
      <x:c r="K3104" t="str">
        <x:v>In stock</x:v>
      </x:c>
      <x:c r="L3104" t="str">
        <x:v>2026-09-08</x:v>
      </x:c>
      <x:c r="M3104" t="str"/>
      <x:c r="N3104" t="str"/>
      <x:c r="O3104" t="str">
        <x:v>https://www.activesportstrade.co.uk/supplement-needs-trade</x:v>
      </x:c>
      <x:c r="P3104" t="str"/>
      <x:c r="Q3104" t="str"/>
      <x:c r="R3104" t="str"/>
      <x:c r="S3104" t="str">
        <x:v>Pending genuine supplier/brand image</x:v>
      </x:c>
      <x:c r="T3104" s="54" t="n">
        <x:v>14.5</x:v>
      </x:c>
      <x:c r="U3104" s="47" t="n">
        <x:v>0.2</x:v>
      </x:c>
      <x:c r="V3104" s="54" t="n">
        <x:f>IF(ISNUMBER(T3104),T3104*(1+U3104),"")</x:f>
        <x:v>17.4</x:v>
      </x:c>
      <x:c r="W3104" s="47" t="n">
        <x:v>0.3</x:v>
      </x:c>
      <x:c r="X3104" s="54" t="n">
        <x:f>IF(ISNUMBER(V3104),V3104/(1-W3104),"")</x:f>
        <x:v>24.857142857142858</x:v>
      </x:c>
      <x:c r="Y3104" s="55" t="n">
        <x:f>IF(ISNUMBER(X3104),ROUNDUP(X3104,0),"")</x:f>
        <x:v>25</x:v>
      </x:c>
      <x:c r="Z3104" t="str">
        <x:v>Source match pending</x:v>
      </x:c>
      <x:c r="AA3104" t="str">
        <x:v>screencapture-www-activesportstrade-co-uk-supplement-needs-trade-2026-09-10-09_10_12.pdf / page-5</x:v>
      </x:c>
      <x:c r="AB3104" s="36" t="n">
        <x:f>IF(ISNUMBER(Y3104),ROUND(Y3104*0.9,2),"")</x:f>
        <x:v>22.5</x:v>
      </x:c>
      <x:c r="AC3104" s="36" t="n">
        <x:f>IF(ISNUMBER(AB3104),ROUND(AB3104-(AB3104*0.015+0.2)-V3104,2),"")</x:f>
        <x:v>4.56</x:v>
      </x:c>
      <x:c r="AD3104" s="36" t="n">
        <x:f>IF(ISNUMBER(Y3104),ROUND(Y3104*0.8,2),"")</x:f>
        <x:v>20</x:v>
      </x:c>
      <x:c r="AE3104" s="36" t="n">
        <x:f>IF(ISNUMBER(AD3104),ROUND(AD3104*0.015+0.2,2),"")</x:f>
        <x:v>0.5</x:v>
      </x:c>
      <x:c r="AF3104" s="36" t="n">
        <x:f>IF(ISNUMBER(AD3104),ROUND(AD3104-AE3104-V3104,2),"")</x:f>
        <x:v>2.1</x:v>
      </x:c>
      <x:c r="AG3104" t="str">
        <x:f>IF(NOT(ISNUMBER(T3104)),"PENDING",IF(AF3104&gt;0,"PASS","FAIL"))</x:f>
        <x:v>PASS</x:v>
      </x:c>
      <x:c r="AH3104" t="str">
        <x:f>IF(NOT(ISNUMBER(T3104)),"Needs supplier cost",IF(K3104&lt;&gt;"In stock","Supplier unavailable",IF(AG3104&lt;&gt;"PASS","BLOCK - GT loss risk","Commercially protected")))</x:f>
        <x:v>Commercially protected</x:v>
      </x:c>
      <x:c r="AI3104" t="str">
        <x:v>2026-09-10 Active Sports trade capture</x:v>
      </x:c>
      <x:c r="AJ3104" t="str">
        <x:v>Management-only economics. Stripe stress test uses 1.5% + £0.20 standard UK online-card fee; pallet/mix-and-match pricing ignored.</x:v>
      </x:c>
    </x:row>
    <x:row r="3105">
      <x:c r="A3105" t="str">
        <x:v>Active Sports Nutrition</x:v>
      </x:c>
      <x:c r="B3105" t="str">
        <x:v>Supplement Needs</x:v>
      </x:c>
      <x:c r="C3105" t="str">
        <x:v>PurCaf &amp; Theanine</x:v>
      </x:c>
      <x:c r="D3105" t="str">
        <x:v>Supplements</x:v>
      </x:c>
      <x:c r="E3105" t="str">
        <x:v>Focus / Energy</x:v>
      </x:c>
      <x:c r="F3105" t="str"/>
      <x:c r="G3105" t="str">
        <x:v>60 caps</x:v>
      </x:c>
      <x:c r="H3105" t="str">
        <x:v>Standard</x:v>
      </x:c>
      <x:c r="I3105" t="str"/>
      <x:c r="J3105" t="str">
        <x:v>Unit</x:v>
      </x:c>
      <x:c r="K3105" t="str">
        <x:v>In stock</x:v>
      </x:c>
      <x:c r="L3105" t="str">
        <x:v>2026-09-08</x:v>
      </x:c>
      <x:c r="M3105" t="str"/>
      <x:c r="N3105" t="str"/>
      <x:c r="O3105" t="str">
        <x:v>https://www.activesportstrade.co.uk/supplement-needs-trade</x:v>
      </x:c>
      <x:c r="P3105" t="str"/>
      <x:c r="Q3105" t="str"/>
      <x:c r="R3105" t="str"/>
      <x:c r="S3105" t="str">
        <x:v>Pending genuine supplier/brand image</x:v>
      </x:c>
      <x:c r="T3105" s="54" t="n">
        <x:v>11</x:v>
      </x:c>
      <x:c r="U3105" s="47" t="n">
        <x:v>0.2</x:v>
      </x:c>
      <x:c r="V3105" s="54" t="n">
        <x:f>IF(ISNUMBER(T3105),T3105*(1+U3105),"")</x:f>
        <x:v>13.2</x:v>
      </x:c>
      <x:c r="W3105" s="47" t="n">
        <x:v>0.3</x:v>
      </x:c>
      <x:c r="X3105" s="54" t="n">
        <x:f>IF(ISNUMBER(V3105),V3105/(1-W3105),"")</x:f>
        <x:v>18.857142857142858</x:v>
      </x:c>
      <x:c r="Y3105" s="55" t="n">
        <x:f>IF(ISNUMBER(X3105),ROUNDUP(X3105,0),"")</x:f>
        <x:v>19</x:v>
      </x:c>
      <x:c r="Z3105" t="str">
        <x:v>Source match pending</x:v>
      </x:c>
      <x:c r="AA3105" t="str">
        <x:v>screencapture-www-activesportstrade-co-uk-supplement-needs-trade-2026-09-10-09_10_12.pdf / page-6</x:v>
      </x:c>
      <x:c r="AB3105" s="36" t="n">
        <x:f>IF(ISNUMBER(Y3105),ROUND(Y3105*0.9,2),"")</x:f>
        <x:v>17.1</x:v>
      </x:c>
      <x:c r="AC3105" s="36" t="n">
        <x:f>IF(ISNUMBER(AB3105),ROUND(AB3105-(AB3105*0.015+0.2)-V3105,2),"")</x:f>
        <x:v>3.44</x:v>
      </x:c>
      <x:c r="AD3105" s="36" t="n">
        <x:f>IF(ISNUMBER(Y3105),ROUND(Y3105*0.8,2),"")</x:f>
        <x:v>15.2</x:v>
      </x:c>
      <x:c r="AE3105" s="36" t="n">
        <x:f>IF(ISNUMBER(AD3105),ROUND(AD3105*0.015+0.2,2),"")</x:f>
        <x:v>0.43</x:v>
      </x:c>
      <x:c r="AF3105" s="36" t="n">
        <x:f>IF(ISNUMBER(AD3105),ROUND(AD3105-AE3105-V3105,2),"")</x:f>
        <x:v>1.57</x:v>
      </x:c>
      <x:c r="AG3105" t="str">
        <x:f>IF(NOT(ISNUMBER(T3105)),"PENDING",IF(AF3105&gt;0,"PASS","FAIL"))</x:f>
        <x:v>PASS</x:v>
      </x:c>
      <x:c r="AH3105" t="str">
        <x:f>IF(NOT(ISNUMBER(T3105)),"Needs supplier cost",IF(K3105&lt;&gt;"In stock","Supplier unavailable",IF(AG3105&lt;&gt;"PASS","BLOCK - GT loss risk","Commercially protected")))</x:f>
        <x:v>Commercially protected</x:v>
      </x:c>
      <x:c r="AI3105" t="str">
        <x:v>2026-09-10 Active Sports trade capture</x:v>
      </x:c>
      <x:c r="AJ3105" t="str">
        <x:v>Management-only economics. Stripe stress test uses 1.5% + £0.20 standard UK online-card fee; pallet/mix-and-match pricing ignored.</x:v>
      </x:c>
    </x:row>
    <x:row r="3106">
      <x:c r="A3106" t="str">
        <x:v>Active Sports Nutrition</x:v>
      </x:c>
      <x:c r="B3106" t="str">
        <x:v>Supplement Needs</x:v>
      </x:c>
      <x:c r="C3106" t="str">
        <x:v>SerraNatto+</x:v>
      </x:c>
      <x:c r="D3106" t="str">
        <x:v>Supplements</x:v>
      </x:c>
      <x:c r="E3106" t="str">
        <x:v>Health Support</x:v>
      </x:c>
      <x:c r="F3106" t="str"/>
      <x:c r="G3106" t="str">
        <x:v>60 caps</x:v>
      </x:c>
      <x:c r="H3106" t="str">
        <x:v>Standard</x:v>
      </x:c>
      <x:c r="I3106" t="str"/>
      <x:c r="J3106" t="str">
        <x:v>Unit</x:v>
      </x:c>
      <x:c r="K3106" t="str">
        <x:v>In stock</x:v>
      </x:c>
      <x:c r="L3106" t="str">
        <x:v>2026-09-08</x:v>
      </x:c>
      <x:c r="M3106" t="str"/>
      <x:c r="N3106" t="str"/>
      <x:c r="O3106" t="str">
        <x:v>https://www.activesportstrade.co.uk/supplement-needs-trade</x:v>
      </x:c>
      <x:c r="P3106" t="str"/>
      <x:c r="Q3106" t="str"/>
      <x:c r="R3106" t="str"/>
      <x:c r="S3106" t="str">
        <x:v>Pending genuine supplier/brand image</x:v>
      </x:c>
      <x:c r="T3106" s="54" t="n">
        <x:v>16.5</x:v>
      </x:c>
      <x:c r="U3106" s="47" t="n">
        <x:v>0.2</x:v>
      </x:c>
      <x:c r="V3106" s="54" t="n">
        <x:f>IF(ISNUMBER(T3106),T3106*(1+U3106),"")</x:f>
        <x:v>19.8</x:v>
      </x:c>
      <x:c r="W3106" s="47" t="n">
        <x:v>0.3</x:v>
      </x:c>
      <x:c r="X3106" s="54" t="n">
        <x:f>IF(ISNUMBER(V3106),V3106/(1-W3106),"")</x:f>
        <x:v>28.28571428571429</x:v>
      </x:c>
      <x:c r="Y3106" s="55" t="n">
        <x:f>IF(ISNUMBER(X3106),ROUNDUP(X3106,0),"")</x:f>
        <x:v>29</x:v>
      </x:c>
      <x:c r="Z3106" t="str">
        <x:v>Source match pending</x:v>
      </x:c>
      <x:c r="AA3106" t="str">
        <x:v>screencapture-www-activesportstrade-co-uk-supplement-needs-trade-2026-09-10-09_10_12.pdf / page-6</x:v>
      </x:c>
      <x:c r="AB3106" s="36" t="n">
        <x:f>IF(ISNUMBER(Y3106),ROUND(Y3106*0.9,2),"")</x:f>
        <x:v>26.1</x:v>
      </x:c>
      <x:c r="AC3106" s="36" t="n">
        <x:f>IF(ISNUMBER(AB3106),ROUND(AB3106-(AB3106*0.015+0.2)-V3106,2),"")</x:f>
        <x:v>5.71</x:v>
      </x:c>
      <x:c r="AD3106" s="36" t="n">
        <x:f>IF(ISNUMBER(Y3106),ROUND(Y3106*0.8,2),"")</x:f>
        <x:v>23.2</x:v>
      </x:c>
      <x:c r="AE3106" s="36" t="n">
        <x:f>IF(ISNUMBER(AD3106),ROUND(AD3106*0.015+0.2,2),"")</x:f>
        <x:v>0.55</x:v>
      </x:c>
      <x:c r="AF3106" s="36" t="n">
        <x:f>IF(ISNUMBER(AD3106),ROUND(AD3106-AE3106-V3106,2),"")</x:f>
        <x:v>2.85</x:v>
      </x:c>
      <x:c r="AG3106" t="str">
        <x:f>IF(NOT(ISNUMBER(T3106)),"PENDING",IF(AF3106&gt;0,"PASS","FAIL"))</x:f>
        <x:v>PASS</x:v>
      </x:c>
      <x:c r="AH3106" t="str">
        <x:f>IF(NOT(ISNUMBER(T3106)),"Needs supplier cost",IF(K3106&lt;&gt;"In stock","Supplier unavailable",IF(AG3106&lt;&gt;"PASS","BLOCK - GT loss risk","Commercially protected")))</x:f>
        <x:v>Commercially protected</x:v>
      </x:c>
      <x:c r="AI3106" t="str">
        <x:v>2026-09-10 Active Sports trade capture</x:v>
      </x:c>
      <x:c r="AJ3106" t="str">
        <x:v>Management-only economics. Stripe stress test uses 1.5% + £0.20 standard UK online-card fee; pallet/mix-and-match pricing ignored.</x:v>
      </x:c>
    </x:row>
    <x:row r="3107">
      <x:c r="A3107" t="str">
        <x:v>Active Sports Nutrition</x:v>
      </x:c>
      <x:c r="B3107" t="str">
        <x:v>Supplement Needs</x:v>
      </x:c>
      <x:c r="C3107" t="str">
        <x:v>Sleep Stack</x:v>
      </x:c>
      <x:c r="D3107" t="str">
        <x:v>Supplements</x:v>
      </x:c>
      <x:c r="E3107" t="str">
        <x:v>Sleep Support</x:v>
      </x:c>
      <x:c r="F3107" t="str"/>
      <x:c r="G3107" t="str">
        <x:v>120 caps</x:v>
      </x:c>
      <x:c r="H3107" t="str">
        <x:v>Standard</x:v>
      </x:c>
      <x:c r="I3107" t="str"/>
      <x:c r="J3107" t="str">
        <x:v>Unit</x:v>
      </x:c>
      <x:c r="K3107" t="str">
        <x:v>In stock</x:v>
      </x:c>
      <x:c r="L3107" t="str">
        <x:v>2026-09-08</x:v>
      </x:c>
      <x:c r="M3107" t="str"/>
      <x:c r="N3107" t="str"/>
      <x:c r="O3107" t="str">
        <x:v>https://www.activesportstrade.co.uk/supplement-needs-trade</x:v>
      </x:c>
      <x:c r="P3107" t="str"/>
      <x:c r="Q3107" t="str"/>
      <x:c r="R3107" t="str"/>
      <x:c r="S3107" t="str">
        <x:v>Pending genuine supplier/brand image</x:v>
      </x:c>
      <x:c r="T3107" s="54" t="n">
        <x:v>26</x:v>
      </x:c>
      <x:c r="U3107" s="47" t="n">
        <x:v>0.2</x:v>
      </x:c>
      <x:c r="V3107" s="54" t="n">
        <x:f>IF(ISNUMBER(T3107),T3107*(1+U3107),"")</x:f>
        <x:v>31.2</x:v>
      </x:c>
      <x:c r="W3107" s="47" t="n">
        <x:v>0.3</x:v>
      </x:c>
      <x:c r="X3107" s="54" t="n">
        <x:f>IF(ISNUMBER(V3107),V3107/(1-W3107),"")</x:f>
        <x:v>44.57142857142858</x:v>
      </x:c>
      <x:c r="Y3107" s="55" t="n">
        <x:f>IF(ISNUMBER(X3107),ROUNDUP(X3107,0),"")</x:f>
        <x:v>45</x:v>
      </x:c>
      <x:c r="Z3107" t="str">
        <x:v>Source match pending</x:v>
      </x:c>
      <x:c r="AA3107" t="str">
        <x:v>screencapture-www-activesportstrade-co-uk-supplement-needs-trade-2026-09-10-09_10_12.pdf / page-6</x:v>
      </x:c>
      <x:c r="AB3107" s="36" t="n">
        <x:f>IF(ISNUMBER(Y3107),ROUND(Y3107*0.9,2),"")</x:f>
        <x:v>40.5</x:v>
      </x:c>
      <x:c r="AC3107" s="36" t="n">
        <x:f>IF(ISNUMBER(AB3107),ROUND(AB3107-(AB3107*0.015+0.2)-V3107,2),"")</x:f>
        <x:v>8.49</x:v>
      </x:c>
      <x:c r="AD3107" s="36" t="n">
        <x:f>IF(ISNUMBER(Y3107),ROUND(Y3107*0.8,2),"")</x:f>
        <x:v>36</x:v>
      </x:c>
      <x:c r="AE3107" s="36" t="n">
        <x:f>IF(ISNUMBER(AD3107),ROUND(AD3107*0.015+0.2,2),"")</x:f>
        <x:v>0.74</x:v>
      </x:c>
      <x:c r="AF3107" s="36" t="n">
        <x:f>IF(ISNUMBER(AD3107),ROUND(AD3107-AE3107-V3107,2),"")</x:f>
        <x:v>4.06</x:v>
      </x:c>
      <x:c r="AG3107" t="str">
        <x:f>IF(NOT(ISNUMBER(T3107)),"PENDING",IF(AF3107&gt;0,"PASS","FAIL"))</x:f>
        <x:v>PASS</x:v>
      </x:c>
      <x:c r="AH3107" t="str">
        <x:f>IF(NOT(ISNUMBER(T3107)),"Needs supplier cost",IF(K3107&lt;&gt;"In stock","Supplier unavailable",IF(AG3107&lt;&gt;"PASS","BLOCK - GT loss risk","Commercially protected")))</x:f>
        <x:v>Commercially protected</x:v>
      </x:c>
      <x:c r="AI3107" t="str">
        <x:v>2026-09-10 Active Sports trade capture</x:v>
      </x:c>
      <x:c r="AJ3107" t="str">
        <x:v>Management-only economics. Stripe stress test uses 1.5% + £0.20 standard UK online-card fee; pallet/mix-and-match pricing ignored.</x:v>
      </x:c>
    </x:row>
    <x:row r="3108">
      <x:c r="A3108" t="str">
        <x:v>Active Sports Nutrition</x:v>
      </x:c>
      <x:c r="B3108" t="str">
        <x:v>Supplement Needs</x:v>
      </x:c>
      <x:c r="C3108" t="str">
        <x:v>Sleep Stack</x:v>
      </x:c>
      <x:c r="D3108" t="str">
        <x:v>Supplements</x:v>
      </x:c>
      <x:c r="E3108" t="str">
        <x:v>Sleep Support</x:v>
      </x:c>
      <x:c r="F3108" t="str"/>
      <x:c r="G3108" t="str">
        <x:v>60 caps</x:v>
      </x:c>
      <x:c r="H3108" t="str">
        <x:v>Standard</x:v>
      </x:c>
      <x:c r="I3108" t="str"/>
      <x:c r="J3108" t="str">
        <x:v>Unit</x:v>
      </x:c>
      <x:c r="K3108" t="str">
        <x:v>In stock</x:v>
      </x:c>
      <x:c r="L3108" t="str">
        <x:v>2026-09-08</x:v>
      </x:c>
      <x:c r="M3108" t="str"/>
      <x:c r="N3108" t="str"/>
      <x:c r="O3108" t="str">
        <x:v>https://www.activesportstrade.co.uk/supplement-needs-trade</x:v>
      </x:c>
      <x:c r="P3108" t="str"/>
      <x:c r="Q3108" t="str"/>
      <x:c r="R3108" t="str"/>
      <x:c r="S3108" t="str">
        <x:v>Pending genuine supplier/brand image</x:v>
      </x:c>
      <x:c r="T3108" s="54" t="n">
        <x:v>16.5</x:v>
      </x:c>
      <x:c r="U3108" s="47" t="n">
        <x:v>0.2</x:v>
      </x:c>
      <x:c r="V3108" s="54" t="n">
        <x:f>IF(ISNUMBER(T3108),T3108*(1+U3108),"")</x:f>
        <x:v>19.8</x:v>
      </x:c>
      <x:c r="W3108" s="47" t="n">
        <x:v>0.3</x:v>
      </x:c>
      <x:c r="X3108" s="54" t="n">
        <x:f>IF(ISNUMBER(V3108),V3108/(1-W3108),"")</x:f>
        <x:v>28.28571428571429</x:v>
      </x:c>
      <x:c r="Y3108" s="55" t="n">
        <x:f>IF(ISNUMBER(X3108),ROUNDUP(X3108,0),"")</x:f>
        <x:v>29</x:v>
      </x:c>
      <x:c r="Z3108" t="str">
        <x:v>Source match pending</x:v>
      </x:c>
      <x:c r="AA3108" t="str">
        <x:v>screencapture-www-activesportstrade-co-uk-supplement-needs-trade-2026-09-10-09_10_12.pdf / page-6</x:v>
      </x:c>
      <x:c r="AB3108" s="36" t="n">
        <x:f>IF(ISNUMBER(Y3108),ROUND(Y3108*0.9,2),"")</x:f>
        <x:v>26.1</x:v>
      </x:c>
      <x:c r="AC3108" s="36" t="n">
        <x:f>IF(ISNUMBER(AB3108),ROUND(AB3108-(AB3108*0.015+0.2)-V3108,2),"")</x:f>
        <x:v>5.71</x:v>
      </x:c>
      <x:c r="AD3108" s="36" t="n">
        <x:f>IF(ISNUMBER(Y3108),ROUND(Y3108*0.8,2),"")</x:f>
        <x:v>23.2</x:v>
      </x:c>
      <x:c r="AE3108" s="36" t="n">
        <x:f>IF(ISNUMBER(AD3108),ROUND(AD3108*0.015+0.2,2),"")</x:f>
        <x:v>0.55</x:v>
      </x:c>
      <x:c r="AF3108" s="36" t="n">
        <x:f>IF(ISNUMBER(AD3108),ROUND(AD3108-AE3108-V3108,2),"")</x:f>
        <x:v>2.85</x:v>
      </x:c>
      <x:c r="AG3108" t="str">
        <x:f>IF(NOT(ISNUMBER(T3108)),"PENDING",IF(AF3108&gt;0,"PASS","FAIL"))</x:f>
        <x:v>PASS</x:v>
      </x:c>
      <x:c r="AH3108" t="str">
        <x:f>IF(NOT(ISNUMBER(T3108)),"Needs supplier cost",IF(K3108&lt;&gt;"In stock","Supplier unavailable",IF(AG3108&lt;&gt;"PASS","BLOCK - GT loss risk","Commercially protected")))</x:f>
        <x:v>Commercially protected</x:v>
      </x:c>
      <x:c r="AI3108" t="str">
        <x:v>2026-09-10 Active Sports trade capture</x:v>
      </x:c>
      <x:c r="AJ3108" t="str">
        <x:v>Management-only economics. Stripe stress test uses 1.5% + £0.20 standard UK online-card fee; pallet/mix-and-match pricing ignored.</x:v>
      </x:c>
    </x:row>
    <x:row r="3109">
      <x:c r="A3109" t="str">
        <x:v>Active Sports Nutrition</x:v>
      </x:c>
      <x:c r="B3109" t="str">
        <x:v>Supplement Needs</x:v>
      </x:c>
      <x:c r="C3109" t="str">
        <x:v>Thyroid Stack</x:v>
      </x:c>
      <x:c r="D3109" t="str">
        <x:v>Supplements</x:v>
      </x:c>
      <x:c r="E3109" t="str">
        <x:v>Health Support</x:v>
      </x:c>
      <x:c r="F3109" t="str"/>
      <x:c r="G3109" t="str">
        <x:v>90 caps</x:v>
      </x:c>
      <x:c r="H3109" t="str">
        <x:v>Standard</x:v>
      </x:c>
      <x:c r="I3109" t="str"/>
      <x:c r="J3109" t="str">
        <x:v>Unit</x:v>
      </x:c>
      <x:c r="K3109" t="str">
        <x:v>In stock</x:v>
      </x:c>
      <x:c r="L3109" t="str">
        <x:v>2026-09-08</x:v>
      </x:c>
      <x:c r="M3109" t="str"/>
      <x:c r="N3109" t="str"/>
      <x:c r="O3109" t="str">
        <x:v>https://www.activesportstrade.co.uk/supplement-needs-trade</x:v>
      </x:c>
      <x:c r="P3109" t="str"/>
      <x:c r="Q3109" t="str"/>
      <x:c r="R3109" t="str"/>
      <x:c r="S3109" t="str">
        <x:v>Pending genuine supplier/brand image</x:v>
      </x:c>
      <x:c r="T3109" s="54"/>
      <x:c r="U3109" s="47" t="n">
        <x:v>0.2</x:v>
      </x:c>
      <x:c r="V3109" s="54" t="str">
        <x:f>IF(ISNUMBER(T3109),T3109*(1+U3109),"")</x:f>
      </x:c>
      <x:c r="W3109" s="47" t="n">
        <x:v>0.3</x:v>
      </x:c>
      <x:c r="X3109" s="54" t="str">
        <x:f>IF(ISNUMBER(V3109),V3109/(1-W3109),"")</x:f>
      </x:c>
      <x:c r="Y3109" s="55" t="str">
        <x:f>IF(ISNUMBER(X3109),ROUNDUP(X3109,0),"")</x:f>
      </x:c>
      <x:c r="Z3109" t="str">
        <x:f>IF(ISNUMBER(T3109),"Cost captured","Awaiting trade cost")</x:f>
        <x:v>Awaiting trade cost</x:v>
      </x:c>
      <x:c r="AB3109" s="36" t="str">
        <x:f>IF(ISNUMBER(Y3109),ROUND(Y3109*0.9,2),"")</x:f>
      </x:c>
      <x:c r="AC3109" s="36" t="str">
        <x:f>IF(ISNUMBER(AB3109),ROUND(AB3109-(AB3109*0.015+0.2)-V3109,2),"")</x:f>
      </x:c>
      <x:c r="AD3109" s="36" t="str">
        <x:f>IF(ISNUMBER(Y3109),ROUND(Y3109*0.8,2),"")</x:f>
      </x:c>
      <x:c r="AE3109" s="36" t="str">
        <x:f>IF(ISNUMBER(AD3109),ROUND(AD3109*0.015+0.2,2),"")</x:f>
      </x:c>
      <x:c r="AF3109" s="36" t="str">
        <x:f>IF(ISNUMBER(AD3109),ROUND(AD3109-AE3109-V3109,2),"")</x:f>
      </x:c>
      <x:c r="AG3109" t="str">
        <x:f>IF(NOT(ISNUMBER(T3109)),"PENDING",IF(AF3109&gt;0,"PASS","FAIL"))</x:f>
        <x:v>PENDING</x:v>
      </x:c>
      <x:c r="AH3109" t="str">
        <x:f>IF(NOT(ISNUMBER(T3109)),"Needs supplier cost",IF(K3109&lt;&gt;"In stock","Supplier unavailable",IF(AG3109&lt;&gt;"PASS","BLOCK - GT loss risk","Commercially protected")))</x:f>
        <x:v>Needs supplier cost</x:v>
      </x:c>
      <x:c r="AI3109" t="str">
        <x:v>2026-09-10 Active Sports trade capture</x:v>
      </x:c>
      <x:c r="AJ3109" t="str">
        <x:v>Management-only economics. Stripe stress test uses 1.5% + £0.20 standard UK online-card fee; pallet/mix-and-match pricing ignored.</x:v>
      </x:c>
    </x:row>
    <x:row r="3110">
      <x:c r="A3110" t="str">
        <x:v>Active Sports Nutrition</x:v>
      </x:c>
      <x:c r="B3110" t="str">
        <x:v>Supplement Needs</x:v>
      </x:c>
      <x:c r="C3110" t="str">
        <x:v>Tudca + NAC</x:v>
      </x:c>
      <x:c r="D3110" t="str">
        <x:v>Supplements</x:v>
      </x:c>
      <x:c r="E3110" t="str">
        <x:v>Liver Support</x:v>
      </x:c>
      <x:c r="F3110" t="str"/>
      <x:c r="G3110" t="str">
        <x:v>90 caps</x:v>
      </x:c>
      <x:c r="H3110" t="str">
        <x:v>Standard</x:v>
      </x:c>
      <x:c r="I3110" t="str"/>
      <x:c r="J3110" t="str">
        <x:v>Unit</x:v>
      </x:c>
      <x:c r="K3110" t="str">
        <x:v>In stock</x:v>
      </x:c>
      <x:c r="L3110" t="str">
        <x:v>2026-09-08</x:v>
      </x:c>
      <x:c r="M3110" t="str"/>
      <x:c r="N3110" t="str"/>
      <x:c r="O3110" t="str">
        <x:v>https://www.activesportstrade.co.uk/supplement-needs-trade</x:v>
      </x:c>
      <x:c r="P3110" t="str"/>
      <x:c r="Q3110" t="str"/>
      <x:c r="R3110" t="str"/>
      <x:c r="S3110" t="str">
        <x:v>Pending genuine supplier/brand image</x:v>
      </x:c>
      <x:c r="T3110" s="54" t="n">
        <x:v>23.5</x:v>
      </x:c>
      <x:c r="U3110" s="47" t="n">
        <x:v>0.2</x:v>
      </x:c>
      <x:c r="V3110" s="54" t="n">
        <x:f>IF(ISNUMBER(T3110),T3110*(1+U3110),"")</x:f>
        <x:v>28.2</x:v>
      </x:c>
      <x:c r="W3110" s="47" t="n">
        <x:v>0.3</x:v>
      </x:c>
      <x:c r="X3110" s="54" t="n">
        <x:f>IF(ISNUMBER(V3110),V3110/(1-W3110),"")</x:f>
        <x:v>40.285714285714285</x:v>
      </x:c>
      <x:c r="Y3110" s="55" t="n">
        <x:f>IF(ISNUMBER(X3110),ROUNDUP(X3110,0),"")</x:f>
        <x:v>41</x:v>
      </x:c>
      <x:c r="Z3110" t="str">
        <x:v>Source match pending</x:v>
      </x:c>
      <x:c r="AA3110" t="str">
        <x:v>screencapture-www-activesportstrade-co-uk-supplement-needs-trade-2026-09-10-09_10_12.pdf / page-6</x:v>
      </x:c>
      <x:c r="AB3110" s="36" t="n">
        <x:f>IF(ISNUMBER(Y3110),ROUND(Y3110*0.9,2),"")</x:f>
        <x:v>36.9</x:v>
      </x:c>
      <x:c r="AC3110" s="36" t="n">
        <x:f>IF(ISNUMBER(AB3110),ROUND(AB3110-(AB3110*0.015+0.2)-V3110,2),"")</x:f>
        <x:v>7.95</x:v>
      </x:c>
      <x:c r="AD3110" s="36" t="n">
        <x:f>IF(ISNUMBER(Y3110),ROUND(Y3110*0.8,2),"")</x:f>
        <x:v>32.8</x:v>
      </x:c>
      <x:c r="AE3110" s="36" t="n">
        <x:f>IF(ISNUMBER(AD3110),ROUND(AD3110*0.015+0.2,2),"")</x:f>
        <x:v>0.69</x:v>
      </x:c>
      <x:c r="AF3110" s="36" t="n">
        <x:f>IF(ISNUMBER(AD3110),ROUND(AD3110-AE3110-V3110,2),"")</x:f>
        <x:v>3.91</x:v>
      </x:c>
      <x:c r="AG3110" t="str">
        <x:f>IF(NOT(ISNUMBER(T3110)),"PENDING",IF(AF3110&gt;0,"PASS","FAIL"))</x:f>
        <x:v>PASS</x:v>
      </x:c>
      <x:c r="AH3110" t="str">
        <x:f>IF(NOT(ISNUMBER(T3110)),"Needs supplier cost",IF(K3110&lt;&gt;"In stock","Supplier unavailable",IF(AG3110&lt;&gt;"PASS","BLOCK - GT loss risk","Commercially protected")))</x:f>
        <x:v>Commercially protected</x:v>
      </x:c>
      <x:c r="AI3110" t="str">
        <x:v>2026-09-10 Active Sports trade capture</x:v>
      </x:c>
      <x:c r="AJ3110" t="str">
        <x:v>Management-only economics. Stripe stress test uses 1.5% + £0.20 standard UK online-card fee; pallet/mix-and-match pricing ignored.</x:v>
      </x:c>
    </x:row>
    <x:row r="3111">
      <x:c r="A3111" t="str">
        <x:v>Active Sports Nutrition</x:v>
      </x:c>
      <x:c r="B3111" t="str">
        <x:v>Supplement Needs</x:v>
      </x:c>
      <x:c r="C3111" t="str">
        <x:v>Vitamin B Complex</x:v>
      </x:c>
      <x:c r="D3111" t="str">
        <x:v>Supplements</x:v>
      </x:c>
      <x:c r="E3111" t="str">
        <x:v>Vitamins &amp; Minerals</x:v>
      </x:c>
      <x:c r="F3111" t="str"/>
      <x:c r="G3111" t="str">
        <x:v>120 tabs</x:v>
      </x:c>
      <x:c r="H3111" t="str">
        <x:v>Standard</x:v>
      </x:c>
      <x:c r="I3111" t="str"/>
      <x:c r="J3111" t="str">
        <x:v>Unit</x:v>
      </x:c>
      <x:c r="K3111" t="str">
        <x:v>In stock</x:v>
      </x:c>
      <x:c r="L3111" t="str">
        <x:v>2026-09-08</x:v>
      </x:c>
      <x:c r="M3111" t="str"/>
      <x:c r="N3111" t="str"/>
      <x:c r="O3111" t="str">
        <x:v>https://www.activesportstrade.co.uk/supplement-needs-trade</x:v>
      </x:c>
      <x:c r="P3111" t="str"/>
      <x:c r="Q3111" t="str"/>
      <x:c r="R3111" t="str"/>
      <x:c r="S3111" t="str">
        <x:v>Pending genuine supplier/brand image</x:v>
      </x:c>
      <x:c r="T3111" s="54" t="n">
        <x:v>9</x:v>
      </x:c>
      <x:c r="U3111" s="47" t="n">
        <x:v>0.2</x:v>
      </x:c>
      <x:c r="V3111" s="54" t="n">
        <x:f>IF(ISNUMBER(T3111),T3111*(1+U3111),"")</x:f>
        <x:v>10.799999999999999</x:v>
      </x:c>
      <x:c r="W3111" s="47" t="n">
        <x:v>0.3</x:v>
      </x:c>
      <x:c r="X3111" s="54" t="n">
        <x:f>IF(ISNUMBER(V3111),V3111/(1-W3111),"")</x:f>
        <x:v>15.428571428571429</x:v>
      </x:c>
      <x:c r="Y3111" s="55" t="n">
        <x:f>IF(ISNUMBER(X3111),ROUNDUP(X3111,0),"")</x:f>
        <x:v>16</x:v>
      </x:c>
      <x:c r="Z3111" t="str">
        <x:v>Source match pending</x:v>
      </x:c>
      <x:c r="AA3111" t="str">
        <x:v>screencapture-www-activesportstrade-co-uk-supplement-needs-trade-2026-09-10-09_10_12.pdf / page-6</x:v>
      </x:c>
      <x:c r="AB3111" s="36" t="n">
        <x:f>IF(ISNUMBER(Y3111),ROUND(Y3111*0.9,2),"")</x:f>
        <x:v>14.4</x:v>
      </x:c>
      <x:c r="AC3111" s="36" t="n">
        <x:f>IF(ISNUMBER(AB3111),ROUND(AB3111-(AB3111*0.015+0.2)-V3111,2),"")</x:f>
        <x:v>3.18</x:v>
      </x:c>
      <x:c r="AD3111" s="36" t="n">
        <x:f>IF(ISNUMBER(Y3111),ROUND(Y3111*0.8,2),"")</x:f>
        <x:v>12.8</x:v>
      </x:c>
      <x:c r="AE3111" s="36" t="n">
        <x:f>IF(ISNUMBER(AD3111),ROUND(AD3111*0.015+0.2,2),"")</x:f>
        <x:v>0.39</x:v>
      </x:c>
      <x:c r="AF3111" s="36" t="n">
        <x:f>IF(ISNUMBER(AD3111),ROUND(AD3111-AE3111-V3111,2),"")</x:f>
        <x:v>1.61</x:v>
      </x:c>
      <x:c r="AG3111" t="str">
        <x:f>IF(NOT(ISNUMBER(T3111)),"PENDING",IF(AF3111&gt;0,"PASS","FAIL"))</x:f>
        <x:v>PASS</x:v>
      </x:c>
      <x:c r="AH3111" t="str">
        <x:f>IF(NOT(ISNUMBER(T3111)),"Needs supplier cost",IF(K3111&lt;&gt;"In stock","Supplier unavailable",IF(AG3111&lt;&gt;"PASS","BLOCK - GT loss risk","Commercially protected")))</x:f>
        <x:v>Commercially protected</x:v>
      </x:c>
      <x:c r="AI3111" t="str">
        <x:v>2026-09-10 Active Sports trade capture</x:v>
      </x:c>
      <x:c r="AJ3111" t="str">
        <x:v>Management-only economics. Stripe stress test uses 1.5% + £0.20 standard UK online-card fee; pallet/mix-and-match pricing ignored.</x:v>
      </x:c>
    </x:row>
    <x:row r="3112">
      <x:c r="A3112" t="str">
        <x:v>Active Sports Nutrition</x:v>
      </x:c>
      <x:c r="B3112" t="str">
        <x:v>Supplement Needs</x:v>
      </x:c>
      <x:c r="C3112" t="str">
        <x:v>Vitamin C Powder</x:v>
      </x:c>
      <x:c r="D3112" t="str">
        <x:v>Supplements</x:v>
      </x:c>
      <x:c r="E3112" t="str">
        <x:v>Vitamins &amp; Minerals</x:v>
      </x:c>
      <x:c r="F3112" t="str"/>
      <x:c r="G3112" t="str">
        <x:v>300g</x:v>
      </x:c>
      <x:c r="H3112" t="str">
        <x:v>Standard</x:v>
      </x:c>
      <x:c r="I3112" t="str"/>
      <x:c r="J3112" t="str">
        <x:v>Unit</x:v>
      </x:c>
      <x:c r="K3112" t="str">
        <x:v>In stock</x:v>
      </x:c>
      <x:c r="L3112" t="str">
        <x:v>2026-09-08</x:v>
      </x:c>
      <x:c r="M3112" t="str"/>
      <x:c r="N3112" t="str"/>
      <x:c r="O3112" t="str">
        <x:v>https://www.activesportstrade.co.uk/supplement-needs-trade</x:v>
      </x:c>
      <x:c r="P3112" t="str"/>
      <x:c r="Q3112" t="str"/>
      <x:c r="R3112" t="str"/>
      <x:c r="S3112" t="str">
        <x:v>Pending genuine supplier/brand image</x:v>
      </x:c>
      <x:c r="T3112" s="54"/>
      <x:c r="U3112" s="47" t="n">
        <x:v>0.2</x:v>
      </x:c>
      <x:c r="V3112" s="54" t="str">
        <x:f>IF(ISNUMBER(T3112),T3112*(1+U3112),"")</x:f>
      </x:c>
      <x:c r="W3112" s="47" t="n">
        <x:v>0.3</x:v>
      </x:c>
      <x:c r="X3112" s="54" t="str">
        <x:f>IF(ISNUMBER(V3112),V3112/(1-W3112),"")</x:f>
      </x:c>
      <x:c r="Y3112" s="55" t="str">
        <x:f>IF(ISNUMBER(X3112),ROUNDUP(X3112,0),"")</x:f>
      </x:c>
      <x:c r="Z3112" t="str">
        <x:f>IF(ISNUMBER(T3112),"Cost captured","Awaiting trade cost")</x:f>
        <x:v>Awaiting trade cost</x:v>
      </x:c>
      <x:c r="AB3112" s="36" t="str">
        <x:f>IF(ISNUMBER(Y3112),ROUND(Y3112*0.9,2),"")</x:f>
      </x:c>
      <x:c r="AC3112" s="36" t="str">
        <x:f>IF(ISNUMBER(AB3112),ROUND(AB3112-(AB3112*0.015+0.2)-V3112,2),"")</x:f>
      </x:c>
      <x:c r="AD3112" s="36" t="str">
        <x:f>IF(ISNUMBER(Y3112),ROUND(Y3112*0.8,2),"")</x:f>
      </x:c>
      <x:c r="AE3112" s="36" t="str">
        <x:f>IF(ISNUMBER(AD3112),ROUND(AD3112*0.015+0.2,2),"")</x:f>
      </x:c>
      <x:c r="AF3112" s="36" t="str">
        <x:f>IF(ISNUMBER(AD3112),ROUND(AD3112-AE3112-V3112,2),"")</x:f>
      </x:c>
      <x:c r="AG3112" t="str">
        <x:f>IF(NOT(ISNUMBER(T3112)),"PENDING",IF(AF3112&gt;0,"PASS","FAIL"))</x:f>
        <x:v>PENDING</x:v>
      </x:c>
      <x:c r="AH3112" t="str">
        <x:f>IF(NOT(ISNUMBER(T3112)),"Needs supplier cost",IF(K3112&lt;&gt;"In stock","Supplier unavailable",IF(AG3112&lt;&gt;"PASS","BLOCK - GT loss risk","Commercially protected")))</x:f>
        <x:v>Needs supplier cost</x:v>
      </x:c>
      <x:c r="AI3112" t="str">
        <x:v>2026-09-10 Active Sports trade capture</x:v>
      </x:c>
      <x:c r="AJ3112" t="str">
        <x:v>Management-only economics. Stripe stress test uses 1.5% + £0.20 standard UK online-card fee; pallet/mix-and-match pricing ignored.</x:v>
      </x:c>
    </x:row>
    <x:row r="3113">
      <x:c r="A3113" t="str">
        <x:v>Active Sports Nutrition</x:v>
      </x:c>
      <x:c r="B3113" t="str">
        <x:v>Supplement Needs</x:v>
      </x:c>
      <x:c r="C3113" t="str">
        <x:v>Vitamin D3 + K2</x:v>
      </x:c>
      <x:c r="D3113" t="str">
        <x:v>Supplements</x:v>
      </x:c>
      <x:c r="E3113" t="str">
        <x:v>Vitamins &amp; Minerals</x:v>
      </x:c>
      <x:c r="F3113" t="str"/>
      <x:c r="G3113" t="str">
        <x:v>120 tablets</x:v>
      </x:c>
      <x:c r="H3113" t="str">
        <x:v>Standard</x:v>
      </x:c>
      <x:c r="I3113" t="str"/>
      <x:c r="J3113" t="str">
        <x:v>Unit</x:v>
      </x:c>
      <x:c r="K3113" t="str">
        <x:v>In stock</x:v>
      </x:c>
      <x:c r="L3113" t="str">
        <x:v>2026-09-08</x:v>
      </x:c>
      <x:c r="M3113" t="str"/>
      <x:c r="N3113" t="str"/>
      <x:c r="O3113" t="str">
        <x:v>https://www.activesportstrade.co.uk/supplement-needs-trade</x:v>
      </x:c>
      <x:c r="P3113" t="str"/>
      <x:c r="Q3113" t="str"/>
      <x:c r="R3113" t="str"/>
      <x:c r="S3113" t="str">
        <x:v>Pending genuine supplier/brand image</x:v>
      </x:c>
      <x:c r="T3113" s="54"/>
      <x:c r="U3113" s="47" t="n">
        <x:v>0.2</x:v>
      </x:c>
      <x:c r="V3113" s="54" t="str">
        <x:f>IF(ISNUMBER(T3113),T3113*(1+U3113),"")</x:f>
      </x:c>
      <x:c r="W3113" s="47" t="n">
        <x:v>0.3</x:v>
      </x:c>
      <x:c r="X3113" s="54" t="str">
        <x:f>IF(ISNUMBER(V3113),V3113/(1-W3113),"")</x:f>
      </x:c>
      <x:c r="Y3113" s="55" t="str">
        <x:f>IF(ISNUMBER(X3113),ROUNDUP(X3113,0),"")</x:f>
      </x:c>
      <x:c r="Z3113" t="str">
        <x:f>IF(ISNUMBER(T3113),"Cost captured","Awaiting trade cost")</x:f>
        <x:v>Awaiting trade cost</x:v>
      </x:c>
      <x:c r="AB3113" s="36" t="str">
        <x:f>IF(ISNUMBER(Y3113),ROUND(Y3113*0.9,2),"")</x:f>
      </x:c>
      <x:c r="AC3113" s="36" t="str">
        <x:f>IF(ISNUMBER(AB3113),ROUND(AB3113-(AB3113*0.015+0.2)-V3113,2),"")</x:f>
      </x:c>
      <x:c r="AD3113" s="36" t="str">
        <x:f>IF(ISNUMBER(Y3113),ROUND(Y3113*0.8,2),"")</x:f>
      </x:c>
      <x:c r="AE3113" s="36" t="str">
        <x:f>IF(ISNUMBER(AD3113),ROUND(AD3113*0.015+0.2,2),"")</x:f>
      </x:c>
      <x:c r="AF3113" s="36" t="str">
        <x:f>IF(ISNUMBER(AD3113),ROUND(AD3113-AE3113-V3113,2),"")</x:f>
      </x:c>
      <x:c r="AG3113" t="str">
        <x:f>IF(NOT(ISNUMBER(T3113)),"PENDING",IF(AF3113&gt;0,"PASS","FAIL"))</x:f>
        <x:v>PENDING</x:v>
      </x:c>
      <x:c r="AH3113" t="str">
        <x:f>IF(NOT(ISNUMBER(T3113)),"Needs supplier cost",IF(K3113&lt;&gt;"In stock","Supplier unavailable",IF(AG3113&lt;&gt;"PASS","BLOCK - GT loss risk","Commercially protected")))</x:f>
        <x:v>Needs supplier cost</x:v>
      </x:c>
      <x:c r="AI3113" t="str">
        <x:v>2026-09-10 Active Sports trade capture</x:v>
      </x:c>
      <x:c r="AJ3113" t="str">
        <x:v>Management-only economics. Stripe stress test uses 1.5% + £0.20 standard UK online-card fee; pallet/mix-and-match pricing ignored.</x:v>
      </x:c>
    </x:row>
    <x:row r="3114">
      <x:c r="A3114" t="str">
        <x:v>Active Sports Nutrition</x:v>
      </x:c>
      <x:c r="B3114" t="str">
        <x:v>Supplement Needs</x:v>
      </x:c>
      <x:c r="C3114" t="str">
        <x:v>Vitamin D3</x:v>
      </x:c>
      <x:c r="D3114" t="str">
        <x:v>Supplements</x:v>
      </x:c>
      <x:c r="E3114" t="str">
        <x:v>Vitamins &amp; Minerals</x:v>
      </x:c>
      <x:c r="F3114" t="str"/>
      <x:c r="G3114" t="str">
        <x:v>120 tablets</x:v>
      </x:c>
      <x:c r="H3114" t="str">
        <x:v>Standard</x:v>
      </x:c>
      <x:c r="I3114" t="str"/>
      <x:c r="J3114" t="str">
        <x:v>Unit</x:v>
      </x:c>
      <x:c r="K3114" t="str">
        <x:v>In stock</x:v>
      </x:c>
      <x:c r="L3114" t="str">
        <x:v>2026-09-08</x:v>
      </x:c>
      <x:c r="M3114" t="str"/>
      <x:c r="N3114" t="str"/>
      <x:c r="O3114" t="str">
        <x:v>https://www.activesportstrade.co.uk/supplement-needs-trade</x:v>
      </x:c>
      <x:c r="P3114" t="str"/>
      <x:c r="Q3114" t="str"/>
      <x:c r="R3114" t="str"/>
      <x:c r="S3114" t="str">
        <x:v>Pending genuine supplier/brand image</x:v>
      </x:c>
      <x:c r="T3114" s="54" t="n">
        <x:v>5</x:v>
      </x:c>
      <x:c r="U3114" s="47" t="n">
        <x:v>0.2</x:v>
      </x:c>
      <x:c r="V3114" s="54" t="n">
        <x:f>IF(ISNUMBER(T3114),T3114*(1+U3114),"")</x:f>
        <x:v>6</x:v>
      </x:c>
      <x:c r="W3114" s="47" t="n">
        <x:v>0.3</x:v>
      </x:c>
      <x:c r="X3114" s="54" t="n">
        <x:f>IF(ISNUMBER(V3114),V3114/(1-W3114),"")</x:f>
        <x:v>8.571428571428571</x:v>
      </x:c>
      <x:c r="Y3114" s="55" t="n">
        <x:f>IF(ISNUMBER(X3114),ROUNDUP(X3114,0),"")</x:f>
        <x:v>9</x:v>
      </x:c>
      <x:c r="Z3114" t="str">
        <x:v>Source match pending</x:v>
      </x:c>
      <x:c r="AA3114" t="str">
        <x:v>screencapture-www-activesportstrade-co-uk-supplement-needs-trade-2026-09-10-09_10_12.pdf / page-7</x:v>
      </x:c>
      <x:c r="AB3114" s="36" t="n">
        <x:f>IF(ISNUMBER(Y3114),ROUND(Y3114*0.9,2),"")</x:f>
        <x:v>8.1</x:v>
      </x:c>
      <x:c r="AC3114" s="36" t="n">
        <x:f>IF(ISNUMBER(AB3114),ROUND(AB3114-(AB3114*0.015+0.2)-V3114,2),"")</x:f>
        <x:v>1.78</x:v>
      </x:c>
      <x:c r="AD3114" s="36" t="n">
        <x:f>IF(ISNUMBER(Y3114),ROUND(Y3114*0.8,2),"")</x:f>
        <x:v>7.2</x:v>
      </x:c>
      <x:c r="AE3114" s="36" t="n">
        <x:f>IF(ISNUMBER(AD3114),ROUND(AD3114*0.015+0.2,2),"")</x:f>
        <x:v>0.31</x:v>
      </x:c>
      <x:c r="AF3114" s="36" t="n">
        <x:f>IF(ISNUMBER(AD3114),ROUND(AD3114-AE3114-V3114,2),"")</x:f>
        <x:v>0.89</x:v>
      </x:c>
      <x:c r="AG3114" t="str">
        <x:f>IF(NOT(ISNUMBER(T3114)),"PENDING",IF(AF3114&gt;0,"PASS","FAIL"))</x:f>
        <x:v>PASS</x:v>
      </x:c>
      <x:c r="AH3114" t="str">
        <x:f>IF(NOT(ISNUMBER(T3114)),"Needs supplier cost",IF(K3114&lt;&gt;"In stock","Supplier unavailable",IF(AG3114&lt;&gt;"PASS","BLOCK - GT loss risk","Commercially protected")))</x:f>
        <x:v>Commercially protected</x:v>
      </x:c>
      <x:c r="AI3114" t="str">
        <x:v>2026-09-10 Active Sports trade capture</x:v>
      </x:c>
      <x:c r="AJ3114" t="str">
        <x:v>Management-only economics. Stripe stress test uses 1.5% + £0.20 standard UK online-card fee; pallet/mix-and-match pricing ignored.</x:v>
      </x:c>
    </x:row>
    <x:row r="3115">
      <x:c r="A3115" t="str">
        <x:v>Active Sports Nutrition</x:v>
      </x:c>
      <x:c r="B3115" t="str">
        <x:v>Supplement Needs</x:v>
      </x:c>
      <x:c r="C3115" t="str">
        <x:v>Vitamin K2</x:v>
      </x:c>
      <x:c r="D3115" t="str">
        <x:v>Supplements</x:v>
      </x:c>
      <x:c r="E3115" t="str">
        <x:v>Vitamins &amp; Minerals</x:v>
      </x:c>
      <x:c r="F3115" t="str"/>
      <x:c r="G3115" t="str">
        <x:v>120 tabs</x:v>
      </x:c>
      <x:c r="H3115" t="str">
        <x:v>Standard</x:v>
      </x:c>
      <x:c r="I3115" t="str"/>
      <x:c r="J3115" t="str">
        <x:v>Unit</x:v>
      </x:c>
      <x:c r="K3115" t="str">
        <x:v>In stock</x:v>
      </x:c>
      <x:c r="L3115" t="str">
        <x:v>2026-09-08</x:v>
      </x:c>
      <x:c r="M3115" t="str"/>
      <x:c r="N3115" t="str"/>
      <x:c r="O3115" t="str">
        <x:v>https://www.activesportstrade.co.uk/supplement-needs-trade</x:v>
      </x:c>
      <x:c r="P3115" t="str"/>
      <x:c r="Q3115" t="str"/>
      <x:c r="R3115" t="str"/>
      <x:c r="S3115" t="str">
        <x:v>Pending genuine supplier/brand image</x:v>
      </x:c>
      <x:c r="T3115" s="54" t="n">
        <x:v>4</x:v>
      </x:c>
      <x:c r="U3115" s="47" t="n">
        <x:v>0.2</x:v>
      </x:c>
      <x:c r="V3115" s="54" t="n">
        <x:f>IF(ISNUMBER(T3115),T3115*(1+U3115),"")</x:f>
        <x:v>4.8</x:v>
      </x:c>
      <x:c r="W3115" s="47" t="n">
        <x:v>0.3</x:v>
      </x:c>
      <x:c r="X3115" s="54" t="n">
        <x:f>IF(ISNUMBER(V3115),V3115/(1-W3115),"")</x:f>
        <x:v>6.857142857142858</x:v>
      </x:c>
      <x:c r="Y3115" s="55" t="n">
        <x:f>IF(ISNUMBER(X3115),ROUNDUP(X3115,0),"")</x:f>
        <x:v>7</x:v>
      </x:c>
      <x:c r="Z3115" t="str">
        <x:v>Source match pending</x:v>
      </x:c>
      <x:c r="AA3115" t="str">
        <x:v>screencapture-www-activesportstrade-co-uk-supplement-needs-trade-2026-09-10-09_10_12.pdf / page-7</x:v>
      </x:c>
      <x:c r="AB3115" s="36" t="n">
        <x:f>IF(ISNUMBER(Y3115),ROUND(Y3115*0.9,2),"")</x:f>
        <x:v>6.3</x:v>
      </x:c>
      <x:c r="AC3115" s="36" t="n">
        <x:f>IF(ISNUMBER(AB3115),ROUND(AB3115-(AB3115*0.015+0.2)-V3115,2),"")</x:f>
        <x:v>1.21</x:v>
      </x:c>
      <x:c r="AD3115" s="36" t="n">
        <x:f>IF(ISNUMBER(Y3115),ROUND(Y3115*0.8,2),"")</x:f>
        <x:v>5.6</x:v>
      </x:c>
      <x:c r="AE3115" s="36" t="n">
        <x:f>IF(ISNUMBER(AD3115),ROUND(AD3115*0.015+0.2,2),"")</x:f>
        <x:v>0.28</x:v>
      </x:c>
      <x:c r="AF3115" s="36" t="n">
        <x:f>IF(ISNUMBER(AD3115),ROUND(AD3115-AE3115-V3115,2),"")</x:f>
        <x:v>0.52</x:v>
      </x:c>
      <x:c r="AG3115" t="str">
        <x:f>IF(NOT(ISNUMBER(T3115)),"PENDING",IF(AF3115&gt;0,"PASS","FAIL"))</x:f>
        <x:v>PASS</x:v>
      </x:c>
      <x:c r="AH3115" t="str">
        <x:f>IF(NOT(ISNUMBER(T3115)),"Needs supplier cost",IF(K3115&lt;&gt;"In stock","Supplier unavailable",IF(AG3115&lt;&gt;"PASS","BLOCK - GT loss risk","Commercially protected")))</x:f>
        <x:v>Commercially protected</x:v>
      </x:c>
      <x:c r="AI3115" t="str">
        <x:v>2026-09-10 Active Sports trade capture</x:v>
      </x:c>
      <x:c r="AJ3115" t="str">
        <x:v>Management-only economics. Stripe stress test uses 1.5% + £0.20 standard UK online-card fee; pallet/mix-and-match pricing ignored.</x:v>
      </x:c>
    </x:row>
    <x:row r="3116">
      <x:c r="A3116" t="str">
        <x:v>Active Sports Nutrition</x:v>
      </x:c>
      <x:c r="B3116" t="str">
        <x:v>Supplement Needs</x:v>
      </x:c>
      <x:c r="C3116" t="str">
        <x:v>PRE Pump+</x:v>
      </x:c>
      <x:c r="D3116" t="str">
        <x:v>Supplements</x:v>
      </x:c>
      <x:c r="E3116" t="str">
        <x:v>Pre Workout</x:v>
      </x:c>
      <x:c r="F3116" t="str"/>
      <x:c r="G3116" t="str">
        <x:v>30 servings</x:v>
      </x:c>
      <x:c r="H3116" t="str">
        <x:v>Cola Lime</x:v>
      </x:c>
      <x:c r="I3116" t="str"/>
      <x:c r="J3116" t="str">
        <x:v>Unit</x:v>
      </x:c>
      <x:c r="K3116" t="str">
        <x:v>In stock</x:v>
      </x:c>
      <x:c r="L3116" t="str">
        <x:v>2026-09-08</x:v>
      </x:c>
      <x:c r="M3116" t="str"/>
      <x:c r="N3116" t="str"/>
      <x:c r="O3116" t="str">
        <x:v>https://www.activesportstrade.co.uk/supplement-needs-trade</x:v>
      </x:c>
      <x:c r="P3116" t="str"/>
      <x:c r="Q3116" t="str"/>
      <x:c r="R3116" t="str"/>
      <x:c r="S3116" t="str">
        <x:v>Pending genuine supplier/brand image</x:v>
      </x:c>
      <x:c r="T3116" s="54" t="n">
        <x:v>22</x:v>
      </x:c>
      <x:c r="U3116" s="47" t="n">
        <x:v>0.2</x:v>
      </x:c>
      <x:c r="V3116" s="54" t="n">
        <x:f>IF(ISNUMBER(T3116),T3116*(1+U3116),"")</x:f>
        <x:v>26.4</x:v>
      </x:c>
      <x:c r="W3116" s="47" t="n">
        <x:v>0.3</x:v>
      </x:c>
      <x:c r="X3116" s="54" t="n">
        <x:f>IF(ISNUMBER(V3116),V3116/(1-W3116),"")</x:f>
        <x:v>37.714285714285715</x:v>
      </x:c>
      <x:c r="Y3116" s="55" t="n">
        <x:f>IF(ISNUMBER(X3116),ROUNDUP(X3116,0),"")</x:f>
        <x:v>38</x:v>
      </x:c>
      <x:c r="Z3116" t="str">
        <x:v>Source match pending</x:v>
      </x:c>
      <x:c r="AA3116" t="str">
        <x:v>screencapture-www-activesportstrade-co-uk-supplement-needs-trade-2026-09-10-09_10_12.pdf / page-5</x:v>
      </x:c>
      <x:c r="AB3116" s="36" t="n">
        <x:f>IF(ISNUMBER(Y3116),ROUND(Y3116*0.9,2),"")</x:f>
        <x:v>34.2</x:v>
      </x:c>
      <x:c r="AC3116" s="36" t="n">
        <x:f>IF(ISNUMBER(AB3116),ROUND(AB3116-(AB3116*0.015+0.2)-V3116,2),"")</x:f>
        <x:v>7.09</x:v>
      </x:c>
      <x:c r="AD3116" s="36" t="n">
        <x:f>IF(ISNUMBER(Y3116),ROUND(Y3116*0.8,2),"")</x:f>
        <x:v>30.4</x:v>
      </x:c>
      <x:c r="AE3116" s="36" t="n">
        <x:f>IF(ISNUMBER(AD3116),ROUND(AD3116*0.015+0.2,2),"")</x:f>
        <x:v>0.66</x:v>
      </x:c>
      <x:c r="AF3116" s="36" t="n">
        <x:f>IF(ISNUMBER(AD3116),ROUND(AD3116-AE3116-V3116,2),"")</x:f>
        <x:v>3.34</x:v>
      </x:c>
      <x:c r="AG3116" t="str">
        <x:f>IF(NOT(ISNUMBER(T3116)),"PENDING",IF(AF3116&gt;0,"PASS","FAIL"))</x:f>
        <x:v>PASS</x:v>
      </x:c>
      <x:c r="AH3116" t="str">
        <x:f>IF(NOT(ISNUMBER(T3116)),"Needs supplier cost",IF(K3116&lt;&gt;"In stock","Supplier unavailable",IF(AG3116&lt;&gt;"PASS","BLOCK - GT loss risk","Commercially protected")))</x:f>
        <x:v>Commercially protected</x:v>
      </x:c>
      <x:c r="AI3116" t="str">
        <x:v>2026-09-10 Active Sports trade capture</x:v>
      </x:c>
      <x:c r="AJ3116" t="str">
        <x:v>Management-only economics. Stripe stress test uses 1.5% + £0.20 standard UK online-card fee; pallet/mix-and-match pricing ignored.</x:v>
      </x:c>
    </x:row>
    <x:row r="3117">
      <x:c r="A3117" t="str">
        <x:v>Active Sports Nutrition</x:v>
      </x:c>
      <x:c r="B3117" t="str">
        <x:v>Supplement Needs</x:v>
      </x:c>
      <x:c r="C3117" t="str">
        <x:v>PRE Pump+</x:v>
      </x:c>
      <x:c r="D3117" t="str">
        <x:v>Supplements</x:v>
      </x:c>
      <x:c r="E3117" t="str">
        <x:v>Pre Workout</x:v>
      </x:c>
      <x:c r="F3117" t="str"/>
      <x:c r="G3117" t="str">
        <x:v>30 servings</x:v>
      </x:c>
      <x:c r="H3117" t="str">
        <x:v>Lemon Sherbet</x:v>
      </x:c>
      <x:c r="I3117" t="str"/>
      <x:c r="J3117" t="str">
        <x:v>Unit</x:v>
      </x:c>
      <x:c r="K3117" t="str">
        <x:v>In stock</x:v>
      </x:c>
      <x:c r="L3117" t="str">
        <x:v>2026-09-08</x:v>
      </x:c>
      <x:c r="M3117" t="str"/>
      <x:c r="N3117" t="str"/>
      <x:c r="O3117" t="str">
        <x:v>https://www.activesportstrade.co.uk/supplement-needs-trade</x:v>
      </x:c>
      <x:c r="P3117" t="str"/>
      <x:c r="Q3117" t="str"/>
      <x:c r="R3117" t="str"/>
      <x:c r="S3117" t="str">
        <x:v>Pending genuine supplier/brand image</x:v>
      </x:c>
      <x:c r="T3117" s="54" t="n">
        <x:v>22</x:v>
      </x:c>
      <x:c r="U3117" s="47" t="n">
        <x:v>0.2</x:v>
      </x:c>
      <x:c r="V3117" s="54" t="n">
        <x:f>IF(ISNUMBER(T3117),T3117*(1+U3117),"")</x:f>
        <x:v>26.4</x:v>
      </x:c>
      <x:c r="W3117" s="47" t="n">
        <x:v>0.3</x:v>
      </x:c>
      <x:c r="X3117" s="54" t="n">
        <x:f>IF(ISNUMBER(V3117),V3117/(1-W3117),"")</x:f>
        <x:v>37.714285714285715</x:v>
      </x:c>
      <x:c r="Y3117" s="55" t="n">
        <x:f>IF(ISNUMBER(X3117),ROUNDUP(X3117,0),"")</x:f>
        <x:v>38</x:v>
      </x:c>
      <x:c r="Z3117" t="str">
        <x:v>Source match pending</x:v>
      </x:c>
      <x:c r="AA3117" t="str">
        <x:v>screencapture-www-activesportstrade-co-uk-supplement-needs-trade-2026-09-10-09_10_12.pdf / page-5</x:v>
      </x:c>
      <x:c r="AB3117" s="36" t="n">
        <x:f>IF(ISNUMBER(Y3117),ROUND(Y3117*0.9,2),"")</x:f>
        <x:v>34.2</x:v>
      </x:c>
      <x:c r="AC3117" s="36" t="n">
        <x:f>IF(ISNUMBER(AB3117),ROUND(AB3117-(AB3117*0.015+0.2)-V3117,2),"")</x:f>
        <x:v>7.09</x:v>
      </x:c>
      <x:c r="AD3117" s="36" t="n">
        <x:f>IF(ISNUMBER(Y3117),ROUND(Y3117*0.8,2),"")</x:f>
        <x:v>30.4</x:v>
      </x:c>
      <x:c r="AE3117" s="36" t="n">
        <x:f>IF(ISNUMBER(AD3117),ROUND(AD3117*0.015+0.2,2),"")</x:f>
        <x:v>0.66</x:v>
      </x:c>
      <x:c r="AF3117" s="36" t="n">
        <x:f>IF(ISNUMBER(AD3117),ROUND(AD3117-AE3117-V3117,2),"")</x:f>
        <x:v>3.34</x:v>
      </x:c>
      <x:c r="AG3117" t="str">
        <x:f>IF(NOT(ISNUMBER(T3117)),"PENDING",IF(AF3117&gt;0,"PASS","FAIL"))</x:f>
        <x:v>PASS</x:v>
      </x:c>
      <x:c r="AH3117" t="str">
        <x:f>IF(NOT(ISNUMBER(T3117)),"Needs supplier cost",IF(K3117&lt;&gt;"In stock","Supplier unavailable",IF(AG3117&lt;&gt;"PASS","BLOCK - GT loss risk","Commercially protected")))</x:f>
        <x:v>Commercially protected</x:v>
      </x:c>
      <x:c r="AI3117" t="str">
        <x:v>2026-09-10 Active Sports trade capture</x:v>
      </x:c>
      <x:c r="AJ3117" t="str">
        <x:v>Management-only economics. Stripe stress test uses 1.5% + £0.20 standard UK online-card fee; pallet/mix-and-match pricing ignored.</x:v>
      </x:c>
    </x:row>
    <x:row r="3118">
      <x:c r="A3118" t="str">
        <x:v>Active Sports Nutrition</x:v>
      </x:c>
      <x:c r="B3118" t="str">
        <x:v>Supplement Needs</x:v>
      </x:c>
      <x:c r="C3118" t="str">
        <x:v>PRE Pump+</x:v>
      </x:c>
      <x:c r="D3118" t="str">
        <x:v>Supplements</x:v>
      </x:c>
      <x:c r="E3118" t="str">
        <x:v>Pre Workout</x:v>
      </x:c>
      <x:c r="F3118" t="str"/>
      <x:c r="G3118" t="str">
        <x:v>30 servings</x:v>
      </x:c>
      <x:c r="H3118" t="str">
        <x:v>Strawberry Surge</x:v>
      </x:c>
      <x:c r="I3118" t="str"/>
      <x:c r="J3118" t="str">
        <x:v>Unit</x:v>
      </x:c>
      <x:c r="K3118" t="str">
        <x:v>In stock</x:v>
      </x:c>
      <x:c r="L3118" t="str">
        <x:v>2026-09-08</x:v>
      </x:c>
      <x:c r="M3118" t="str"/>
      <x:c r="N3118" t="str"/>
      <x:c r="O3118" t="str">
        <x:v>https://www.activesportstrade.co.uk/supplement-needs-trade</x:v>
      </x:c>
      <x:c r="P3118" t="str"/>
      <x:c r="Q3118" t="str"/>
      <x:c r="R3118" t="str"/>
      <x:c r="S3118" t="str">
        <x:v>Pending genuine supplier/brand image</x:v>
      </x:c>
      <x:c r="T3118" s="54" t="n">
        <x:v>22</x:v>
      </x:c>
      <x:c r="U3118" s="47" t="n">
        <x:v>0.2</x:v>
      </x:c>
      <x:c r="V3118" s="54" t="n">
        <x:f>IF(ISNUMBER(T3118),T3118*(1+U3118),"")</x:f>
        <x:v>26.4</x:v>
      </x:c>
      <x:c r="W3118" s="47" t="n">
        <x:v>0.3</x:v>
      </x:c>
      <x:c r="X3118" s="54" t="n">
        <x:f>IF(ISNUMBER(V3118),V3118/(1-W3118),"")</x:f>
        <x:v>37.714285714285715</x:v>
      </x:c>
      <x:c r="Y3118" s="55" t="n">
        <x:f>IF(ISNUMBER(X3118),ROUNDUP(X3118,0),"")</x:f>
        <x:v>38</x:v>
      </x:c>
      <x:c r="Z3118" t="str">
        <x:v>Source match pending</x:v>
      </x:c>
      <x:c r="AA3118" t="str">
        <x:v>screencapture-www-activesportstrade-co-uk-supplement-needs-trade-2026-09-10-09_10_12.pdf / page-5</x:v>
      </x:c>
      <x:c r="AB3118" s="36" t="n">
        <x:f>IF(ISNUMBER(Y3118),ROUND(Y3118*0.9,2),"")</x:f>
        <x:v>34.2</x:v>
      </x:c>
      <x:c r="AC3118" s="36" t="n">
        <x:f>IF(ISNUMBER(AB3118),ROUND(AB3118-(AB3118*0.015+0.2)-V3118,2),"")</x:f>
        <x:v>7.09</x:v>
      </x:c>
      <x:c r="AD3118" s="36" t="n">
        <x:f>IF(ISNUMBER(Y3118),ROUND(Y3118*0.8,2),"")</x:f>
        <x:v>30.4</x:v>
      </x:c>
      <x:c r="AE3118" s="36" t="n">
        <x:f>IF(ISNUMBER(AD3118),ROUND(AD3118*0.015+0.2,2),"")</x:f>
        <x:v>0.66</x:v>
      </x:c>
      <x:c r="AF3118" s="36" t="n">
        <x:f>IF(ISNUMBER(AD3118),ROUND(AD3118-AE3118-V3118,2),"")</x:f>
        <x:v>3.34</x:v>
      </x:c>
      <x:c r="AG3118" t="str">
        <x:f>IF(NOT(ISNUMBER(T3118)),"PENDING",IF(AF3118&gt;0,"PASS","FAIL"))</x:f>
        <x:v>PASS</x:v>
      </x:c>
      <x:c r="AH3118" t="str">
        <x:f>IF(NOT(ISNUMBER(T3118)),"Needs supplier cost",IF(K3118&lt;&gt;"In stock","Supplier unavailable",IF(AG3118&lt;&gt;"PASS","BLOCK - GT loss risk","Commercially protected")))</x:f>
        <x:v>Commercially protected</x:v>
      </x:c>
      <x:c r="AI3118" t="str">
        <x:v>2026-09-10 Active Sports trade capture</x:v>
      </x:c>
      <x:c r="AJ3118" t="str">
        <x:v>Management-only economics. Stripe stress test uses 1.5% + £0.20 standard UK online-card fee; pallet/mix-and-match pricing ignored.</x:v>
      </x:c>
    </x:row>
    <x:row r="3119">
      <x:c r="A3119" t="str">
        <x:v>Active Sports Nutrition</x:v>
      </x:c>
      <x:c r="B3119" t="str">
        <x:v>Supplement Needs</x:v>
      </x:c>
      <x:c r="C3119" t="str">
        <x:v>Pre Stim+</x:v>
      </x:c>
      <x:c r="D3119" t="str">
        <x:v>Supplements</x:v>
      </x:c>
      <x:c r="E3119" t="str">
        <x:v>Pre Workout</x:v>
      </x:c>
      <x:c r="F3119" t="str"/>
      <x:c r="G3119" t="str">
        <x:v>30 servings</x:v>
      </x:c>
      <x:c r="H3119" t="str">
        <x:v>Cola Lime</x:v>
      </x:c>
      <x:c r="I3119" t="str"/>
      <x:c r="J3119" t="str">
        <x:v>Unit</x:v>
      </x:c>
      <x:c r="K3119" t="str">
        <x:v>In stock</x:v>
      </x:c>
      <x:c r="L3119" t="str">
        <x:v>2026-09-08</x:v>
      </x:c>
      <x:c r="M3119" t="str"/>
      <x:c r="N3119" t="str"/>
      <x:c r="O3119" t="str">
        <x:v>https://www.activesportstrade.co.uk/supplement-needs-trade</x:v>
      </x:c>
      <x:c r="P3119" t="str"/>
      <x:c r="Q3119" t="str"/>
      <x:c r="R3119" t="str"/>
      <x:c r="S3119" t="str">
        <x:v>Pending genuine supplier/brand image</x:v>
      </x:c>
      <x:c r="T3119" s="54" t="n">
        <x:v>17.25</x:v>
      </x:c>
      <x:c r="U3119" s="47" t="n">
        <x:v>0.2</x:v>
      </x:c>
      <x:c r="V3119" s="54" t="n">
        <x:f>IF(ISNUMBER(T3119),T3119*(1+U3119),"")</x:f>
        <x:v>20.7</x:v>
      </x:c>
      <x:c r="W3119" s="47" t="n">
        <x:v>0.3</x:v>
      </x:c>
      <x:c r="X3119" s="54" t="n">
        <x:f>IF(ISNUMBER(V3119),V3119/(1-W3119),"")</x:f>
        <x:v>29.571428571428573</x:v>
      </x:c>
      <x:c r="Y3119" s="55" t="n">
        <x:f>IF(ISNUMBER(X3119),ROUNDUP(X3119,0),"")</x:f>
        <x:v>30</x:v>
      </x:c>
      <x:c r="Z3119" t="str">
        <x:v>Source match pending</x:v>
      </x:c>
      <x:c r="AA3119" t="str">
        <x:v>screencapture-www-activesportstrade-co-uk-supplement-needs-trade-2026-09-10-09_10_12.pdf / page-5</x:v>
      </x:c>
      <x:c r="AB3119" s="36" t="n">
        <x:f>IF(ISNUMBER(Y3119),ROUND(Y3119*0.9,2),"")</x:f>
        <x:v>27</x:v>
      </x:c>
      <x:c r="AC3119" s="36" t="n">
        <x:f>IF(ISNUMBER(AB3119),ROUND(AB3119-(AB3119*0.015+0.2)-V3119,2),"")</x:f>
        <x:v>5.7</x:v>
      </x:c>
      <x:c r="AD3119" s="36" t="n">
        <x:f>IF(ISNUMBER(Y3119),ROUND(Y3119*0.8,2),"")</x:f>
        <x:v>24</x:v>
      </x:c>
      <x:c r="AE3119" s="36" t="n">
        <x:f>IF(ISNUMBER(AD3119),ROUND(AD3119*0.015+0.2,2),"")</x:f>
        <x:v>0.56</x:v>
      </x:c>
      <x:c r="AF3119" s="36" t="n">
        <x:f>IF(ISNUMBER(AD3119),ROUND(AD3119-AE3119-V3119,2),"")</x:f>
        <x:v>2.74</x:v>
      </x:c>
      <x:c r="AG3119" t="str">
        <x:f>IF(NOT(ISNUMBER(T3119)),"PENDING",IF(AF3119&gt;0,"PASS","FAIL"))</x:f>
        <x:v>PASS</x:v>
      </x:c>
      <x:c r="AH3119" t="str">
        <x:f>IF(NOT(ISNUMBER(T3119)),"Needs supplier cost",IF(K3119&lt;&gt;"In stock","Supplier unavailable",IF(AG3119&lt;&gt;"PASS","BLOCK - GT loss risk","Commercially protected")))</x:f>
        <x:v>Commercially protected</x:v>
      </x:c>
      <x:c r="AI3119" t="str">
        <x:v>2026-09-10 Active Sports trade capture</x:v>
      </x:c>
      <x:c r="AJ3119" t="str">
        <x:v>Management-only economics. Stripe stress test uses 1.5% + £0.20 standard UK online-card fee; pallet/mix-and-match pricing ignored.</x:v>
      </x:c>
    </x:row>
    <x:row r="3120">
      <x:c r="A3120" t="str">
        <x:v>Active Sports Nutrition</x:v>
      </x:c>
      <x:c r="B3120" t="str">
        <x:v>Supplement Needs</x:v>
      </x:c>
      <x:c r="C3120" t="str">
        <x:v>Pre Stim+</x:v>
      </x:c>
      <x:c r="D3120" t="str">
        <x:v>Supplements</x:v>
      </x:c>
      <x:c r="E3120" t="str">
        <x:v>Pre Workout</x:v>
      </x:c>
      <x:c r="F3120" t="str"/>
      <x:c r="G3120" t="str">
        <x:v>30 servings</x:v>
      </x:c>
      <x:c r="H3120" t="str">
        <x:v>Lemon Sherbet</x:v>
      </x:c>
      <x:c r="I3120" t="str"/>
      <x:c r="J3120" t="str">
        <x:v>Unit</x:v>
      </x:c>
      <x:c r="K3120" t="str">
        <x:v>In stock</x:v>
      </x:c>
      <x:c r="L3120" t="str">
        <x:v>2026-09-08</x:v>
      </x:c>
      <x:c r="M3120" t="str"/>
      <x:c r="N3120" t="str"/>
      <x:c r="O3120" t="str">
        <x:v>https://www.activesportstrade.co.uk/supplement-needs-trade</x:v>
      </x:c>
      <x:c r="P3120" t="str"/>
      <x:c r="Q3120" t="str"/>
      <x:c r="R3120" t="str"/>
      <x:c r="S3120" t="str">
        <x:v>Pending genuine supplier/brand image</x:v>
      </x:c>
      <x:c r="T3120" s="54" t="n">
        <x:v>17.25</x:v>
      </x:c>
      <x:c r="U3120" s="47" t="n">
        <x:v>0.2</x:v>
      </x:c>
      <x:c r="V3120" s="54" t="n">
        <x:f>IF(ISNUMBER(T3120),T3120*(1+U3120),"")</x:f>
        <x:v>20.7</x:v>
      </x:c>
      <x:c r="W3120" s="47" t="n">
        <x:v>0.3</x:v>
      </x:c>
      <x:c r="X3120" s="54" t="n">
        <x:f>IF(ISNUMBER(V3120),V3120/(1-W3120),"")</x:f>
        <x:v>29.571428571428573</x:v>
      </x:c>
      <x:c r="Y3120" s="55" t="n">
        <x:f>IF(ISNUMBER(X3120),ROUNDUP(X3120,0),"")</x:f>
        <x:v>30</x:v>
      </x:c>
      <x:c r="Z3120" t="str">
        <x:v>Source match pending</x:v>
      </x:c>
      <x:c r="AA3120" t="str">
        <x:v>screencapture-www-activesportstrade-co-uk-supplement-needs-trade-2026-09-10-09_10_12.pdf / page-5</x:v>
      </x:c>
      <x:c r="AB3120" s="36" t="n">
        <x:f>IF(ISNUMBER(Y3120),ROUND(Y3120*0.9,2),"")</x:f>
        <x:v>27</x:v>
      </x:c>
      <x:c r="AC3120" s="36" t="n">
        <x:f>IF(ISNUMBER(AB3120),ROUND(AB3120-(AB3120*0.015+0.2)-V3120,2),"")</x:f>
        <x:v>5.7</x:v>
      </x:c>
      <x:c r="AD3120" s="36" t="n">
        <x:f>IF(ISNUMBER(Y3120),ROUND(Y3120*0.8,2),"")</x:f>
        <x:v>24</x:v>
      </x:c>
      <x:c r="AE3120" s="36" t="n">
        <x:f>IF(ISNUMBER(AD3120),ROUND(AD3120*0.015+0.2,2),"")</x:f>
        <x:v>0.56</x:v>
      </x:c>
      <x:c r="AF3120" s="36" t="n">
        <x:f>IF(ISNUMBER(AD3120),ROUND(AD3120-AE3120-V3120,2),"")</x:f>
        <x:v>2.74</x:v>
      </x:c>
      <x:c r="AG3120" t="str">
        <x:f>IF(NOT(ISNUMBER(T3120)),"PENDING",IF(AF3120&gt;0,"PASS","FAIL"))</x:f>
        <x:v>PASS</x:v>
      </x:c>
      <x:c r="AH3120" t="str">
        <x:f>IF(NOT(ISNUMBER(T3120)),"Needs supplier cost",IF(K3120&lt;&gt;"In stock","Supplier unavailable",IF(AG3120&lt;&gt;"PASS","BLOCK - GT loss risk","Commercially protected")))</x:f>
        <x:v>Commercially protected</x:v>
      </x:c>
      <x:c r="AI3120" t="str">
        <x:v>2026-09-10 Active Sports trade capture</x:v>
      </x:c>
      <x:c r="AJ3120" t="str">
        <x:v>Management-only economics. Stripe stress test uses 1.5% + £0.20 standard UK online-card fee; pallet/mix-and-match pricing ignored.</x:v>
      </x:c>
    </x:row>
    <x:row r="3121">
      <x:c r="A3121" t="str">
        <x:v>Active Sports Nutrition</x:v>
      </x:c>
      <x:c r="B3121" t="str">
        <x:v>Supplement Needs</x:v>
      </x:c>
      <x:c r="C3121" t="str">
        <x:v>Pre Stim+</x:v>
      </x:c>
      <x:c r="D3121" t="str">
        <x:v>Supplements</x:v>
      </x:c>
      <x:c r="E3121" t="str">
        <x:v>Pre Workout</x:v>
      </x:c>
      <x:c r="F3121" t="str"/>
      <x:c r="G3121" t="str">
        <x:v>30 servings</x:v>
      </x:c>
      <x:c r="H3121" t="str">
        <x:v>Strawberry Surge</x:v>
      </x:c>
      <x:c r="I3121" t="str"/>
      <x:c r="J3121" t="str">
        <x:v>Unit</x:v>
      </x:c>
      <x:c r="K3121" t="str">
        <x:v>In stock</x:v>
      </x:c>
      <x:c r="L3121" t="str">
        <x:v>2026-09-08</x:v>
      </x:c>
      <x:c r="M3121" t="str"/>
      <x:c r="N3121" t="str"/>
      <x:c r="O3121" t="str">
        <x:v>https://www.activesportstrade.co.uk/supplement-needs-trade</x:v>
      </x:c>
      <x:c r="P3121" t="str"/>
      <x:c r="Q3121" t="str"/>
      <x:c r="R3121" t="str"/>
      <x:c r="S3121" t="str">
        <x:v>Pending genuine supplier/brand image</x:v>
      </x:c>
      <x:c r="T3121" s="54" t="n">
        <x:v>17.25</x:v>
      </x:c>
      <x:c r="U3121" s="47" t="n">
        <x:v>0.2</x:v>
      </x:c>
      <x:c r="V3121" s="54" t="n">
        <x:f>IF(ISNUMBER(T3121),T3121*(1+U3121),"")</x:f>
        <x:v>20.7</x:v>
      </x:c>
      <x:c r="W3121" s="47" t="n">
        <x:v>0.3</x:v>
      </x:c>
      <x:c r="X3121" s="54" t="n">
        <x:f>IF(ISNUMBER(V3121),V3121/(1-W3121),"")</x:f>
        <x:v>29.571428571428573</x:v>
      </x:c>
      <x:c r="Y3121" s="55" t="n">
        <x:f>IF(ISNUMBER(X3121),ROUNDUP(X3121,0),"")</x:f>
        <x:v>30</x:v>
      </x:c>
      <x:c r="Z3121" t="str">
        <x:v>Source match pending</x:v>
      </x:c>
      <x:c r="AA3121" t="str">
        <x:v>screencapture-www-activesportstrade-co-uk-supplement-needs-trade-2026-09-10-09_10_12.pdf / page-5</x:v>
      </x:c>
      <x:c r="AB3121" s="36" t="n">
        <x:f>IF(ISNUMBER(Y3121),ROUND(Y3121*0.9,2),"")</x:f>
        <x:v>27</x:v>
      </x:c>
      <x:c r="AC3121" s="36" t="n">
        <x:f>IF(ISNUMBER(AB3121),ROUND(AB3121-(AB3121*0.015+0.2)-V3121,2),"")</x:f>
        <x:v>5.7</x:v>
      </x:c>
      <x:c r="AD3121" s="36" t="n">
        <x:f>IF(ISNUMBER(Y3121),ROUND(Y3121*0.8,2),"")</x:f>
        <x:v>24</x:v>
      </x:c>
      <x:c r="AE3121" s="36" t="n">
        <x:f>IF(ISNUMBER(AD3121),ROUND(AD3121*0.015+0.2,2),"")</x:f>
        <x:v>0.56</x:v>
      </x:c>
      <x:c r="AF3121" s="36" t="n">
        <x:f>IF(ISNUMBER(AD3121),ROUND(AD3121-AE3121-V3121,2),"")</x:f>
        <x:v>2.74</x:v>
      </x:c>
      <x:c r="AG3121" t="str">
        <x:f>IF(NOT(ISNUMBER(T3121)),"PENDING",IF(AF3121&gt;0,"PASS","FAIL"))</x:f>
        <x:v>PASS</x:v>
      </x:c>
      <x:c r="AH3121" t="str">
        <x:f>IF(NOT(ISNUMBER(T3121)),"Needs supplier cost",IF(K3121&lt;&gt;"In stock","Supplier unavailable",IF(AG3121&lt;&gt;"PASS","BLOCK - GT loss risk","Commercially protected")))</x:f>
        <x:v>Commercially protected</x:v>
      </x:c>
      <x:c r="AI3121" t="str">
        <x:v>2026-09-10 Active Sports trade capture</x:v>
      </x:c>
      <x:c r="AJ3121" t="str">
        <x:v>Management-only economics. Stripe stress test uses 1.5% + £0.20 standard UK online-card fee; pallet/mix-and-match pricing ignored.</x:v>
      </x:c>
    </x:row>
    <x:row r="3122">
      <x:c r="A3122" t="str">
        <x:v>Active Sports Nutrition</x:v>
      </x:c>
      <x:c r="B3122" t="str">
        <x:v>Supplement Needs</x:v>
      </x:c>
      <x:c r="C3122" t="str">
        <x:v>Pre Stim PRO</x:v>
      </x:c>
      <x:c r="D3122" t="str">
        <x:v>Supplements</x:v>
      </x:c>
      <x:c r="E3122" t="str">
        <x:v>Pre Workout</x:v>
      </x:c>
      <x:c r="F3122" t="str"/>
      <x:c r="G3122" t="str">
        <x:v>30 servings</x:v>
      </x:c>
      <x:c r="H3122" t="str">
        <x:v>Cola Lime</x:v>
      </x:c>
      <x:c r="I3122" t="str"/>
      <x:c r="J3122" t="str">
        <x:v>Unit</x:v>
      </x:c>
      <x:c r="K3122" t="str">
        <x:v>In stock</x:v>
      </x:c>
      <x:c r="L3122" t="str">
        <x:v>2026-09-08</x:v>
      </x:c>
      <x:c r="M3122" t="str"/>
      <x:c r="N3122" t="str"/>
      <x:c r="O3122" t="str">
        <x:v>https://www.activesportstrade.co.uk/supplement-needs-trade</x:v>
      </x:c>
      <x:c r="P3122" t="str"/>
      <x:c r="Q3122" t="str"/>
      <x:c r="R3122" t="str"/>
      <x:c r="S3122" t="str">
        <x:v>Pending genuine supplier/brand image</x:v>
      </x:c>
      <x:c r="T3122" s="54" t="n">
        <x:v>17.25</x:v>
      </x:c>
      <x:c r="U3122" s="47" t="n">
        <x:v>0.2</x:v>
      </x:c>
      <x:c r="V3122" s="54" t="n">
        <x:f>IF(ISNUMBER(T3122),T3122*(1+U3122),"")</x:f>
        <x:v>20.7</x:v>
      </x:c>
      <x:c r="W3122" s="47" t="n">
        <x:v>0.3</x:v>
      </x:c>
      <x:c r="X3122" s="54" t="n">
        <x:f>IF(ISNUMBER(V3122),V3122/(1-W3122),"")</x:f>
        <x:v>29.571428571428573</x:v>
      </x:c>
      <x:c r="Y3122" s="55" t="n">
        <x:f>IF(ISNUMBER(X3122),ROUNDUP(X3122,0),"")</x:f>
        <x:v>30</x:v>
      </x:c>
      <x:c r="Z3122" t="str">
        <x:v>Source match pending</x:v>
      </x:c>
      <x:c r="AA3122" t="str">
        <x:v>screencapture-www-activesportstrade-co-uk-supplement-needs-trade-2026-09-10-09_10_12.pdf / page-5</x:v>
      </x:c>
      <x:c r="AB3122" s="36" t="n">
        <x:f>IF(ISNUMBER(Y3122),ROUND(Y3122*0.9,2),"")</x:f>
        <x:v>27</x:v>
      </x:c>
      <x:c r="AC3122" s="36" t="n">
        <x:f>IF(ISNUMBER(AB3122),ROUND(AB3122-(AB3122*0.015+0.2)-V3122,2),"")</x:f>
        <x:v>5.7</x:v>
      </x:c>
      <x:c r="AD3122" s="36" t="n">
        <x:f>IF(ISNUMBER(Y3122),ROUND(Y3122*0.8,2),"")</x:f>
        <x:v>24</x:v>
      </x:c>
      <x:c r="AE3122" s="36" t="n">
        <x:f>IF(ISNUMBER(AD3122),ROUND(AD3122*0.015+0.2,2),"")</x:f>
        <x:v>0.56</x:v>
      </x:c>
      <x:c r="AF3122" s="36" t="n">
        <x:f>IF(ISNUMBER(AD3122),ROUND(AD3122-AE3122-V3122,2),"")</x:f>
        <x:v>2.74</x:v>
      </x:c>
      <x:c r="AG3122" t="str">
        <x:f>IF(NOT(ISNUMBER(T3122)),"PENDING",IF(AF3122&gt;0,"PASS","FAIL"))</x:f>
        <x:v>PASS</x:v>
      </x:c>
      <x:c r="AH3122" t="str">
        <x:f>IF(NOT(ISNUMBER(T3122)),"Needs supplier cost",IF(K3122&lt;&gt;"In stock","Supplier unavailable",IF(AG3122&lt;&gt;"PASS","BLOCK - GT loss risk","Commercially protected")))</x:f>
        <x:v>Commercially protected</x:v>
      </x:c>
      <x:c r="AI3122" t="str">
        <x:v>2026-09-10 Active Sports trade capture</x:v>
      </x:c>
      <x:c r="AJ3122" t="str">
        <x:v>Management-only economics. Stripe stress test uses 1.5% + £0.20 standard UK online-card fee; pallet/mix-and-match pricing ignored.</x:v>
      </x:c>
    </x:row>
    <x:row r="3123">
      <x:c r="A3123" t="str">
        <x:v>Active Sports Nutrition</x:v>
      </x:c>
      <x:c r="B3123" t="str">
        <x:v>Supplement Needs</x:v>
      </x:c>
      <x:c r="C3123" t="str">
        <x:v>Pre Stim PRO</x:v>
      </x:c>
      <x:c r="D3123" t="str">
        <x:v>Supplements</x:v>
      </x:c>
      <x:c r="E3123" t="str">
        <x:v>Pre Workout</x:v>
      </x:c>
      <x:c r="F3123" t="str"/>
      <x:c r="G3123" t="str">
        <x:v>30 servings</x:v>
      </x:c>
      <x:c r="H3123" t="str">
        <x:v>Lemon Sherbet</x:v>
      </x:c>
      <x:c r="I3123" t="str"/>
      <x:c r="J3123" t="str">
        <x:v>Unit</x:v>
      </x:c>
      <x:c r="K3123" t="str">
        <x:v>In stock</x:v>
      </x:c>
      <x:c r="L3123" t="str">
        <x:v>2026-09-08</x:v>
      </x:c>
      <x:c r="M3123" t="str"/>
      <x:c r="N3123" t="str"/>
      <x:c r="O3123" t="str">
        <x:v>https://www.activesportstrade.co.uk/supplement-needs-trade</x:v>
      </x:c>
      <x:c r="P3123" t="str"/>
      <x:c r="Q3123" t="str"/>
      <x:c r="R3123" t="str"/>
      <x:c r="S3123" t="str">
        <x:v>Pending genuine supplier/brand image</x:v>
      </x:c>
      <x:c r="T3123" s="54" t="n">
        <x:v>17.25</x:v>
      </x:c>
      <x:c r="U3123" s="47" t="n">
        <x:v>0.2</x:v>
      </x:c>
      <x:c r="V3123" s="54" t="n">
        <x:f>IF(ISNUMBER(T3123),T3123*(1+U3123),"")</x:f>
        <x:v>20.7</x:v>
      </x:c>
      <x:c r="W3123" s="47" t="n">
        <x:v>0.3</x:v>
      </x:c>
      <x:c r="X3123" s="54" t="n">
        <x:f>IF(ISNUMBER(V3123),V3123/(1-W3123),"")</x:f>
        <x:v>29.571428571428573</x:v>
      </x:c>
      <x:c r="Y3123" s="55" t="n">
        <x:f>IF(ISNUMBER(X3123),ROUNDUP(X3123,0),"")</x:f>
        <x:v>30</x:v>
      </x:c>
      <x:c r="Z3123" t="str">
        <x:v>Source match pending</x:v>
      </x:c>
      <x:c r="AA3123" t="str">
        <x:v>screencapture-www-activesportstrade-co-uk-supplement-needs-trade-2026-09-10-09_10_12.pdf / page-5</x:v>
      </x:c>
      <x:c r="AB3123" s="36" t="n">
        <x:f>IF(ISNUMBER(Y3123),ROUND(Y3123*0.9,2),"")</x:f>
        <x:v>27</x:v>
      </x:c>
      <x:c r="AC3123" s="36" t="n">
        <x:f>IF(ISNUMBER(AB3123),ROUND(AB3123-(AB3123*0.015+0.2)-V3123,2),"")</x:f>
        <x:v>5.7</x:v>
      </x:c>
      <x:c r="AD3123" s="36" t="n">
        <x:f>IF(ISNUMBER(Y3123),ROUND(Y3123*0.8,2),"")</x:f>
        <x:v>24</x:v>
      </x:c>
      <x:c r="AE3123" s="36" t="n">
        <x:f>IF(ISNUMBER(AD3123),ROUND(AD3123*0.015+0.2,2),"")</x:f>
        <x:v>0.56</x:v>
      </x:c>
      <x:c r="AF3123" s="36" t="n">
        <x:f>IF(ISNUMBER(AD3123),ROUND(AD3123-AE3123-V3123,2),"")</x:f>
        <x:v>2.74</x:v>
      </x:c>
      <x:c r="AG3123" t="str">
        <x:f>IF(NOT(ISNUMBER(T3123)),"PENDING",IF(AF3123&gt;0,"PASS","FAIL"))</x:f>
        <x:v>PASS</x:v>
      </x:c>
      <x:c r="AH3123" t="str">
        <x:f>IF(NOT(ISNUMBER(T3123)),"Needs supplier cost",IF(K3123&lt;&gt;"In stock","Supplier unavailable",IF(AG3123&lt;&gt;"PASS","BLOCK - GT loss risk","Commercially protected")))</x:f>
        <x:v>Commercially protected</x:v>
      </x:c>
      <x:c r="AI3123" t="str">
        <x:v>2026-09-10 Active Sports trade capture</x:v>
      </x:c>
      <x:c r="AJ3123" t="str">
        <x:v>Management-only economics. Stripe stress test uses 1.5% + £0.20 standard UK online-card fee; pallet/mix-and-match pricing ignored.</x:v>
      </x:c>
    </x:row>
    <x:row r="3124">
      <x:c r="A3124" t="str">
        <x:v>Active Sports Nutrition</x:v>
      </x:c>
      <x:c r="B3124" t="str">
        <x:v>Supplement Needs</x:v>
      </x:c>
      <x:c r="C3124" t="str">
        <x:v>Pre Stim PRO</x:v>
      </x:c>
      <x:c r="D3124" t="str">
        <x:v>Supplements</x:v>
      </x:c>
      <x:c r="E3124" t="str">
        <x:v>Pre Workout</x:v>
      </x:c>
      <x:c r="F3124" t="str"/>
      <x:c r="G3124" t="str">
        <x:v>30 servings</x:v>
      </x:c>
      <x:c r="H3124" t="str">
        <x:v>Strawberry Surge</x:v>
      </x:c>
      <x:c r="I3124" t="str"/>
      <x:c r="J3124" t="str">
        <x:v>Unit</x:v>
      </x:c>
      <x:c r="K3124" t="str">
        <x:v>In stock</x:v>
      </x:c>
      <x:c r="L3124" t="str">
        <x:v>2026-09-08</x:v>
      </x:c>
      <x:c r="M3124" t="str"/>
      <x:c r="N3124" t="str"/>
      <x:c r="O3124" t="str">
        <x:v>https://www.activesportstrade.co.uk/supplement-needs-trade</x:v>
      </x:c>
      <x:c r="P3124" t="str"/>
      <x:c r="Q3124" t="str"/>
      <x:c r="R3124" t="str"/>
      <x:c r="S3124" t="str">
        <x:v>Pending genuine supplier/brand image</x:v>
      </x:c>
      <x:c r="T3124" s="54" t="n">
        <x:v>17.25</x:v>
      </x:c>
      <x:c r="U3124" s="47" t="n">
        <x:v>0.2</x:v>
      </x:c>
      <x:c r="V3124" s="54" t="n">
        <x:f>IF(ISNUMBER(T3124),T3124*(1+U3124),"")</x:f>
        <x:v>20.7</x:v>
      </x:c>
      <x:c r="W3124" s="47" t="n">
        <x:v>0.3</x:v>
      </x:c>
      <x:c r="X3124" s="54" t="n">
        <x:f>IF(ISNUMBER(V3124),V3124/(1-W3124),"")</x:f>
        <x:v>29.571428571428573</x:v>
      </x:c>
      <x:c r="Y3124" s="55" t="n">
        <x:f>IF(ISNUMBER(X3124),ROUNDUP(X3124,0),"")</x:f>
        <x:v>30</x:v>
      </x:c>
      <x:c r="Z3124" t="str">
        <x:v>Source match pending</x:v>
      </x:c>
      <x:c r="AA3124" t="str">
        <x:v>screencapture-www-activesportstrade-co-uk-supplement-needs-trade-2026-09-10-09_10_12.pdf / page-5</x:v>
      </x:c>
      <x:c r="AB3124" s="36" t="n">
        <x:f>IF(ISNUMBER(Y3124),ROUND(Y3124*0.9,2),"")</x:f>
        <x:v>27</x:v>
      </x:c>
      <x:c r="AC3124" s="36" t="n">
        <x:f>IF(ISNUMBER(AB3124),ROUND(AB3124-(AB3124*0.015+0.2)-V3124,2),"")</x:f>
        <x:v>5.7</x:v>
      </x:c>
      <x:c r="AD3124" s="36" t="n">
        <x:f>IF(ISNUMBER(Y3124),ROUND(Y3124*0.8,2),"")</x:f>
        <x:v>24</x:v>
      </x:c>
      <x:c r="AE3124" s="36" t="n">
        <x:f>IF(ISNUMBER(AD3124),ROUND(AD3124*0.015+0.2,2),"")</x:f>
        <x:v>0.56</x:v>
      </x:c>
      <x:c r="AF3124" s="36" t="n">
        <x:f>IF(ISNUMBER(AD3124),ROUND(AD3124-AE3124-V3124,2),"")</x:f>
        <x:v>2.74</x:v>
      </x:c>
      <x:c r="AG3124" t="str">
        <x:f>IF(NOT(ISNUMBER(T3124)),"PENDING",IF(AF3124&gt;0,"PASS","FAIL"))</x:f>
        <x:v>PASS</x:v>
      </x:c>
      <x:c r="AH3124" t="str">
        <x:f>IF(NOT(ISNUMBER(T3124)),"Needs supplier cost",IF(K3124&lt;&gt;"In stock","Supplier unavailable",IF(AG3124&lt;&gt;"PASS","BLOCK - GT loss risk","Commercially protected")))</x:f>
        <x:v>Commercially protected</x:v>
      </x:c>
      <x:c r="AI3124" t="str">
        <x:v>2026-09-10 Active Sports trade capture</x:v>
      </x:c>
      <x:c r="AJ3124" t="str">
        <x:v>Management-only economics. Stripe stress test uses 1.5% + £0.20 standard UK online-card fee; pallet/mix-and-match pricing ignored.</x:v>
      </x:c>
    </x:row>
    <x:row r="3125">
      <x:c r="A3125" t="str">
        <x:v>Active Sports Nutrition</x:v>
      </x:c>
      <x:c r="B3125" t="str">
        <x:v>Trained By JP</x:v>
      </x:c>
      <x:c r="C3125" t="str">
        <x:v>IsoPro 100% Whey Protein Isolate</x:v>
      </x:c>
      <x:c r="D3125" t="str">
        <x:v>Supplements</x:v>
      </x:c>
      <x:c r="E3125" t="str">
        <x:v>Whey Isolate</x:v>
      </x:c>
      <x:c r="F3125" t="str"/>
      <x:c r="G3125" t="str">
        <x:v>1kg</x:v>
      </x:c>
      <x:c r="H3125" t="str">
        <x:v>Banoffee</x:v>
      </x:c>
      <x:c r="I3125" t="str"/>
      <x:c r="J3125" t="str">
        <x:v>Unit</x:v>
      </x:c>
      <x:c r="K3125" t="str">
        <x:v>Out of stock</x:v>
      </x:c>
      <x:c r="L3125" t="str">
        <x:v>2026-09-08</x:v>
      </x:c>
      <x:c r="M3125" t="str"/>
      <x:c r="N3125" t="str"/>
      <x:c r="O3125" t="str">
        <x:v>https://www.activesportstrade.co.uk/Whey-Protein-Supplements-Trade/trained-by-jp-trade</x:v>
      </x:c>
      <x:c r="P3125" t="str"/>
      <x:c r="Q3125" t="str"/>
      <x:c r="R3125" t="str"/>
      <x:c r="S3125" t="str">
        <x:v>Pending genuine supplier/brand image</x:v>
      </x:c>
      <x:c r="T3125" s="54" t="n">
        <x:v>36.99</x:v>
      </x:c>
      <x:c r="U3125" s="47" t="n">
        <x:v>0.2</x:v>
      </x:c>
      <x:c r="V3125" s="54" t="n">
        <x:f>IF(ISNUMBER(T3125),T3125*(1+U3125),"")</x:f>
        <x:v>44.388</x:v>
      </x:c>
      <x:c r="W3125" s="47" t="n">
        <x:v>0.3</x:v>
      </x:c>
      <x:c r="X3125" s="54" t="n">
        <x:f>IF(ISNUMBER(V3125),V3125/(1-W3125),"")</x:f>
        <x:v>63.41142857142857</x:v>
      </x:c>
      <x:c r="Y3125" s="55" t="n">
        <x:f>IF(ISNUMBER(X3125),ROUNDUP(X3125,0),"")</x:f>
        <x:v>64</x:v>
      </x:c>
      <x:c r="Z3125" t="str">
        <x:v>Source match pending</x:v>
      </x:c>
      <x:c r="AA3125" t="str">
        <x:v>screencapture-www-activesportstrade-co-uk-trained-by-jp-trade-2026-09-10-09_10_55.pdf / page-4</x:v>
      </x:c>
      <x:c r="AB3125" s="36" t="n">
        <x:f>IF(ISNUMBER(Y3125),ROUND(Y3125*0.9,2),"")</x:f>
        <x:v>57.6</x:v>
      </x:c>
      <x:c r="AC3125" s="36" t="n">
        <x:f>IF(ISNUMBER(AB3125),ROUND(AB3125-(AB3125*0.015+0.2)-V3125,2),"")</x:f>
        <x:v>12.15</x:v>
      </x:c>
      <x:c r="AD3125" s="36" t="n">
        <x:f>IF(ISNUMBER(Y3125),ROUND(Y3125*0.8,2),"")</x:f>
        <x:v>51.2</x:v>
      </x:c>
      <x:c r="AE3125" s="36" t="n">
        <x:f>IF(ISNUMBER(AD3125),ROUND(AD3125*0.015+0.2,2),"")</x:f>
        <x:v>0.97</x:v>
      </x:c>
      <x:c r="AF3125" s="36" t="n">
        <x:f>IF(ISNUMBER(AD3125),ROUND(AD3125-AE3125-V3125,2),"")</x:f>
        <x:v>5.84</x:v>
      </x:c>
      <x:c r="AG3125" t="str">
        <x:f>IF(NOT(ISNUMBER(T3125)),"PENDING",IF(AF3125&gt;0,"PASS","FAIL"))</x:f>
        <x:v>PASS</x:v>
      </x:c>
      <x:c r="AH3125" t="str">
        <x:f>IF(NOT(ISNUMBER(T3125)),"Needs supplier cost",IF(K3125&lt;&gt;"In stock","Supplier unavailable",IF(AG3125&lt;&gt;"PASS","BLOCK - GT loss risk","Commercially protected")))</x:f>
        <x:v>Supplier unavailable</x:v>
      </x:c>
      <x:c r="AI3125" t="str">
        <x:v>2026-09-10 Active Sports trade capture</x:v>
      </x:c>
      <x:c r="AJ3125" t="str">
        <x:v>Management-only economics. Stripe stress test uses 1.5% + £0.20 standard UK online-card fee; pallet/mix-and-match pricing ignored.</x:v>
      </x:c>
    </x:row>
    <x:row r="3126">
      <x:c r="A3126" t="str">
        <x:v>Active Sports Nutrition</x:v>
      </x:c>
      <x:c r="B3126" t="str">
        <x:v>Trained By JP</x:v>
      </x:c>
      <x:c r="C3126" t="str">
        <x:v>IsoPro 100% Whey Protein Isolate</x:v>
      </x:c>
      <x:c r="D3126" t="str">
        <x:v>Supplements</x:v>
      </x:c>
      <x:c r="E3126" t="str">
        <x:v>Whey Isolate</x:v>
      </x:c>
      <x:c r="F3126" t="str"/>
      <x:c r="G3126" t="str">
        <x:v>1kg</x:v>
      </x:c>
      <x:c r="H3126" t="str">
        <x:v>Caramel Biscuit</x:v>
      </x:c>
      <x:c r="I3126" t="str"/>
      <x:c r="J3126" t="str">
        <x:v>Unit</x:v>
      </x:c>
      <x:c r="K3126" t="str">
        <x:v>Out of stock</x:v>
      </x:c>
      <x:c r="L3126" t="str">
        <x:v>2026-09-08</x:v>
      </x:c>
      <x:c r="M3126" t="str"/>
      <x:c r="N3126" t="str"/>
      <x:c r="O3126" t="str">
        <x:v>https://www.activesportstrade.co.uk/Whey-Protein-Supplements-Trade/trained-by-jp-trade</x:v>
      </x:c>
      <x:c r="P3126" t="str"/>
      <x:c r="Q3126" t="str"/>
      <x:c r="R3126" t="str"/>
      <x:c r="S3126" t="str">
        <x:v>Pending genuine supplier/brand image</x:v>
      </x:c>
      <x:c r="T3126" s="54" t="n">
        <x:v>36.99</x:v>
      </x:c>
      <x:c r="U3126" s="47" t="n">
        <x:v>0.2</x:v>
      </x:c>
      <x:c r="V3126" s="54" t="n">
        <x:f>IF(ISNUMBER(T3126),T3126*(1+U3126),"")</x:f>
        <x:v>44.388</x:v>
      </x:c>
      <x:c r="W3126" s="47" t="n">
        <x:v>0.3</x:v>
      </x:c>
      <x:c r="X3126" s="54" t="n">
        <x:f>IF(ISNUMBER(V3126),V3126/(1-W3126),"")</x:f>
        <x:v>63.41142857142857</x:v>
      </x:c>
      <x:c r="Y3126" s="55" t="n">
        <x:f>IF(ISNUMBER(X3126),ROUNDUP(X3126,0),"")</x:f>
        <x:v>64</x:v>
      </x:c>
      <x:c r="Z3126" t="str">
        <x:v>Source match pending</x:v>
      </x:c>
      <x:c r="AA3126" t="str">
        <x:v>screencapture-www-activesportstrade-co-uk-trained-by-jp-trade-2026-09-10-09_10_55.pdf / page-4</x:v>
      </x:c>
      <x:c r="AB3126" s="36" t="n">
        <x:f>IF(ISNUMBER(Y3126),ROUND(Y3126*0.9,2),"")</x:f>
        <x:v>57.6</x:v>
      </x:c>
      <x:c r="AC3126" s="36" t="n">
        <x:f>IF(ISNUMBER(AB3126),ROUND(AB3126-(AB3126*0.015+0.2)-V3126,2),"")</x:f>
        <x:v>12.15</x:v>
      </x:c>
      <x:c r="AD3126" s="36" t="n">
        <x:f>IF(ISNUMBER(Y3126),ROUND(Y3126*0.8,2),"")</x:f>
        <x:v>51.2</x:v>
      </x:c>
      <x:c r="AE3126" s="36" t="n">
        <x:f>IF(ISNUMBER(AD3126),ROUND(AD3126*0.015+0.2,2),"")</x:f>
        <x:v>0.97</x:v>
      </x:c>
      <x:c r="AF3126" s="36" t="n">
        <x:f>IF(ISNUMBER(AD3126),ROUND(AD3126-AE3126-V3126,2),"")</x:f>
        <x:v>5.84</x:v>
      </x:c>
      <x:c r="AG3126" t="str">
        <x:f>IF(NOT(ISNUMBER(T3126)),"PENDING",IF(AF3126&gt;0,"PASS","FAIL"))</x:f>
        <x:v>PASS</x:v>
      </x:c>
      <x:c r="AH3126" t="str">
        <x:f>IF(NOT(ISNUMBER(T3126)),"Needs supplier cost",IF(K3126&lt;&gt;"In stock","Supplier unavailable",IF(AG3126&lt;&gt;"PASS","BLOCK - GT loss risk","Commercially protected")))</x:f>
        <x:v>Supplier unavailable</x:v>
      </x:c>
      <x:c r="AI3126" t="str">
        <x:v>2026-09-10 Active Sports trade capture</x:v>
      </x:c>
      <x:c r="AJ3126" t="str">
        <x:v>Management-only economics. Stripe stress test uses 1.5% + £0.20 standard UK online-card fee; pallet/mix-and-match pricing ignored.</x:v>
      </x:c>
    </x:row>
    <x:row r="3127">
      <x:c r="A3127" t="str">
        <x:v>Active Sports Nutrition</x:v>
      </x:c>
      <x:c r="B3127" t="str">
        <x:v>Trained By JP</x:v>
      </x:c>
      <x:c r="C3127" t="str">
        <x:v>IsoPro 100% Whey Protein Isolate</x:v>
      </x:c>
      <x:c r="D3127" t="str">
        <x:v>Supplements</x:v>
      </x:c>
      <x:c r="E3127" t="str">
        <x:v>Whey Isolate</x:v>
      </x:c>
      <x:c r="F3127" t="str"/>
      <x:c r="G3127" t="str">
        <x:v>1kg</x:v>
      </x:c>
      <x:c r="H3127" t="str">
        <x:v>Chocolate Fudge</x:v>
      </x:c>
      <x:c r="I3127" t="str"/>
      <x:c r="J3127" t="str">
        <x:v>Unit</x:v>
      </x:c>
      <x:c r="K3127" t="str">
        <x:v>Out of stock</x:v>
      </x:c>
      <x:c r="L3127" t="str">
        <x:v>2026-09-08</x:v>
      </x:c>
      <x:c r="M3127" t="str"/>
      <x:c r="N3127" t="str"/>
      <x:c r="O3127" t="str">
        <x:v>https://www.activesportstrade.co.uk/Whey-Protein-Supplements-Trade/trained-by-jp-trade</x:v>
      </x:c>
      <x:c r="P3127" t="str"/>
      <x:c r="Q3127" t="str"/>
      <x:c r="R3127" t="str"/>
      <x:c r="S3127" t="str">
        <x:v>Pending genuine supplier/brand image</x:v>
      </x:c>
      <x:c r="T3127" s="54" t="n">
        <x:v>36.99</x:v>
      </x:c>
      <x:c r="U3127" s="47" t="n">
        <x:v>0.2</x:v>
      </x:c>
      <x:c r="V3127" s="54" t="n">
        <x:f>IF(ISNUMBER(T3127),T3127*(1+U3127),"")</x:f>
        <x:v>44.388</x:v>
      </x:c>
      <x:c r="W3127" s="47" t="n">
        <x:v>0.3</x:v>
      </x:c>
      <x:c r="X3127" s="54" t="n">
        <x:f>IF(ISNUMBER(V3127),V3127/(1-W3127),"")</x:f>
        <x:v>63.41142857142857</x:v>
      </x:c>
      <x:c r="Y3127" s="55" t="n">
        <x:f>IF(ISNUMBER(X3127),ROUNDUP(X3127,0),"")</x:f>
        <x:v>64</x:v>
      </x:c>
      <x:c r="Z3127" t="str">
        <x:v>Source match pending</x:v>
      </x:c>
      <x:c r="AA3127" t="str">
        <x:v>screencapture-www-activesportstrade-co-uk-trained-by-jp-trade-2026-09-10-09_10_55.pdf / page-4</x:v>
      </x:c>
      <x:c r="AB3127" s="36" t="n">
        <x:f>IF(ISNUMBER(Y3127),ROUND(Y3127*0.9,2),"")</x:f>
        <x:v>57.6</x:v>
      </x:c>
      <x:c r="AC3127" s="36" t="n">
        <x:f>IF(ISNUMBER(AB3127),ROUND(AB3127-(AB3127*0.015+0.2)-V3127,2),"")</x:f>
        <x:v>12.15</x:v>
      </x:c>
      <x:c r="AD3127" s="36" t="n">
        <x:f>IF(ISNUMBER(Y3127),ROUND(Y3127*0.8,2),"")</x:f>
        <x:v>51.2</x:v>
      </x:c>
      <x:c r="AE3127" s="36" t="n">
        <x:f>IF(ISNUMBER(AD3127),ROUND(AD3127*0.015+0.2,2),"")</x:f>
        <x:v>0.97</x:v>
      </x:c>
      <x:c r="AF3127" s="36" t="n">
        <x:f>IF(ISNUMBER(AD3127),ROUND(AD3127-AE3127-V3127,2),"")</x:f>
        <x:v>5.84</x:v>
      </x:c>
      <x:c r="AG3127" t="str">
        <x:f>IF(NOT(ISNUMBER(T3127)),"PENDING",IF(AF3127&gt;0,"PASS","FAIL"))</x:f>
        <x:v>PASS</x:v>
      </x:c>
      <x:c r="AH3127" t="str">
        <x:f>IF(NOT(ISNUMBER(T3127)),"Needs supplier cost",IF(K3127&lt;&gt;"In stock","Supplier unavailable",IF(AG3127&lt;&gt;"PASS","BLOCK - GT loss risk","Commercially protected")))</x:f>
        <x:v>Supplier unavailable</x:v>
      </x:c>
      <x:c r="AI3127" t="str">
        <x:v>2026-09-10 Active Sports trade capture</x:v>
      </x:c>
      <x:c r="AJ3127" t="str">
        <x:v>Management-only economics. Stripe stress test uses 1.5% + £0.20 standard UK online-card fee; pallet/mix-and-match pricing ignored.</x:v>
      </x:c>
    </x:row>
    <x:row r="3128">
      <x:c r="A3128" t="str">
        <x:v>Active Sports Nutrition</x:v>
      </x:c>
      <x:c r="B3128" t="str">
        <x:v>Trained By JP</x:v>
      </x:c>
      <x:c r="C3128" t="str">
        <x:v>IsoPro 100% Whey Protein Isolate</x:v>
      </x:c>
      <x:c r="D3128" t="str">
        <x:v>Supplements</x:v>
      </x:c>
      <x:c r="E3128" t="str">
        <x:v>Whey Isolate</x:v>
      </x:c>
      <x:c r="F3128" t="str"/>
      <x:c r="G3128" t="str">
        <x:v>1kg</x:v>
      </x:c>
      <x:c r="H3128" t="str">
        <x:v>Chocolate Honeycomb</x:v>
      </x:c>
      <x:c r="I3128" t="str"/>
      <x:c r="J3128" t="str">
        <x:v>Unit</x:v>
      </x:c>
      <x:c r="K3128" t="str">
        <x:v>Out of stock</x:v>
      </x:c>
      <x:c r="L3128" t="str">
        <x:v>2026-09-08</x:v>
      </x:c>
      <x:c r="M3128" t="str"/>
      <x:c r="N3128" t="str"/>
      <x:c r="O3128" t="str">
        <x:v>https://www.activesportstrade.co.uk/Whey-Protein-Supplements-Trade/trained-by-jp-trade</x:v>
      </x:c>
      <x:c r="P3128" t="str"/>
      <x:c r="Q3128" t="str"/>
      <x:c r="R3128" t="str"/>
      <x:c r="S3128" t="str">
        <x:v>Pending genuine supplier/brand image</x:v>
      </x:c>
      <x:c r="T3128" s="54" t="n">
        <x:v>36.99</x:v>
      </x:c>
      <x:c r="U3128" s="47" t="n">
        <x:v>0.2</x:v>
      </x:c>
      <x:c r="V3128" s="54" t="n">
        <x:f>IF(ISNUMBER(T3128),T3128*(1+U3128),"")</x:f>
        <x:v>44.388</x:v>
      </x:c>
      <x:c r="W3128" s="47" t="n">
        <x:v>0.3</x:v>
      </x:c>
      <x:c r="X3128" s="54" t="n">
        <x:f>IF(ISNUMBER(V3128),V3128/(1-W3128),"")</x:f>
        <x:v>63.41142857142857</x:v>
      </x:c>
      <x:c r="Y3128" s="55" t="n">
        <x:f>IF(ISNUMBER(X3128),ROUNDUP(X3128,0),"")</x:f>
        <x:v>64</x:v>
      </x:c>
      <x:c r="Z3128" t="str">
        <x:v>Source match pending</x:v>
      </x:c>
      <x:c r="AA3128" t="str">
        <x:v>screencapture-www-activesportstrade-co-uk-trained-by-jp-trade-2026-09-10-09_10_55.pdf / page-4</x:v>
      </x:c>
      <x:c r="AB3128" s="36" t="n">
        <x:f>IF(ISNUMBER(Y3128),ROUND(Y3128*0.9,2),"")</x:f>
        <x:v>57.6</x:v>
      </x:c>
      <x:c r="AC3128" s="36" t="n">
        <x:f>IF(ISNUMBER(AB3128),ROUND(AB3128-(AB3128*0.015+0.2)-V3128,2),"")</x:f>
        <x:v>12.15</x:v>
      </x:c>
      <x:c r="AD3128" s="36" t="n">
        <x:f>IF(ISNUMBER(Y3128),ROUND(Y3128*0.8,2),"")</x:f>
        <x:v>51.2</x:v>
      </x:c>
      <x:c r="AE3128" s="36" t="n">
        <x:f>IF(ISNUMBER(AD3128),ROUND(AD3128*0.015+0.2,2),"")</x:f>
        <x:v>0.97</x:v>
      </x:c>
      <x:c r="AF3128" s="36" t="n">
        <x:f>IF(ISNUMBER(AD3128),ROUND(AD3128-AE3128-V3128,2),"")</x:f>
        <x:v>5.84</x:v>
      </x:c>
      <x:c r="AG3128" t="str">
        <x:f>IF(NOT(ISNUMBER(T3128)),"PENDING",IF(AF3128&gt;0,"PASS","FAIL"))</x:f>
        <x:v>PASS</x:v>
      </x:c>
      <x:c r="AH3128" t="str">
        <x:f>IF(NOT(ISNUMBER(T3128)),"Needs supplier cost",IF(K3128&lt;&gt;"In stock","Supplier unavailable",IF(AG3128&lt;&gt;"PASS","BLOCK - GT loss risk","Commercially protected")))</x:f>
        <x:v>Supplier unavailable</x:v>
      </x:c>
      <x:c r="AI3128" t="str">
        <x:v>2026-09-10 Active Sports trade capture</x:v>
      </x:c>
      <x:c r="AJ3128" t="str">
        <x:v>Management-only economics. Stripe stress test uses 1.5% + £0.20 standard UK online-card fee; pallet/mix-and-match pricing ignored.</x:v>
      </x:c>
    </x:row>
    <x:row r="3129">
      <x:c r="A3129" t="str">
        <x:v>Active Sports Nutrition</x:v>
      </x:c>
      <x:c r="B3129" t="str">
        <x:v>Trained By JP</x:v>
      </x:c>
      <x:c r="C3129" t="str">
        <x:v>IsoPro 100% Whey Protein Isolate</x:v>
      </x:c>
      <x:c r="D3129" t="str">
        <x:v>Supplements</x:v>
      </x:c>
      <x:c r="E3129" t="str">
        <x:v>Whey Isolate</x:v>
      </x:c>
      <x:c r="F3129" t="str"/>
      <x:c r="G3129" t="str">
        <x:v>1kg</x:v>
      </x:c>
      <x:c r="H3129" t="str">
        <x:v>Chocolate Mint</x:v>
      </x:c>
      <x:c r="I3129" t="str"/>
      <x:c r="J3129" t="str">
        <x:v>Unit</x:v>
      </x:c>
      <x:c r="K3129" t="str">
        <x:v>Out of stock</x:v>
      </x:c>
      <x:c r="L3129" t="str">
        <x:v>2026-09-08</x:v>
      </x:c>
      <x:c r="M3129" t="str"/>
      <x:c r="N3129" t="str"/>
      <x:c r="O3129" t="str">
        <x:v>https://www.activesportstrade.co.uk/Whey-Protein-Supplements-Trade/trained-by-jp-trade</x:v>
      </x:c>
      <x:c r="P3129" t="str"/>
      <x:c r="Q3129" t="str"/>
      <x:c r="R3129" t="str"/>
      <x:c r="S3129" t="str">
        <x:v>Pending genuine supplier/brand image</x:v>
      </x:c>
      <x:c r="T3129" s="54" t="n">
        <x:v>36.99</x:v>
      </x:c>
      <x:c r="U3129" s="47" t="n">
        <x:v>0.2</x:v>
      </x:c>
      <x:c r="V3129" s="54" t="n">
        <x:f>IF(ISNUMBER(T3129),T3129*(1+U3129),"")</x:f>
        <x:v>44.388</x:v>
      </x:c>
      <x:c r="W3129" s="47" t="n">
        <x:v>0.3</x:v>
      </x:c>
      <x:c r="X3129" s="54" t="n">
        <x:f>IF(ISNUMBER(V3129),V3129/(1-W3129),"")</x:f>
        <x:v>63.41142857142857</x:v>
      </x:c>
      <x:c r="Y3129" s="55" t="n">
        <x:f>IF(ISNUMBER(X3129),ROUNDUP(X3129,0),"")</x:f>
        <x:v>64</x:v>
      </x:c>
      <x:c r="Z3129" t="str">
        <x:v>Source match pending</x:v>
      </x:c>
      <x:c r="AA3129" t="str">
        <x:v>screencapture-www-activesportstrade-co-uk-trained-by-jp-trade-2026-09-10-09_10_55.pdf / page-4</x:v>
      </x:c>
      <x:c r="AB3129" s="36" t="n">
        <x:f>IF(ISNUMBER(Y3129),ROUND(Y3129*0.9,2),"")</x:f>
        <x:v>57.6</x:v>
      </x:c>
      <x:c r="AC3129" s="36" t="n">
        <x:f>IF(ISNUMBER(AB3129),ROUND(AB3129-(AB3129*0.015+0.2)-V3129,2),"")</x:f>
        <x:v>12.15</x:v>
      </x:c>
      <x:c r="AD3129" s="36" t="n">
        <x:f>IF(ISNUMBER(Y3129),ROUND(Y3129*0.8,2),"")</x:f>
        <x:v>51.2</x:v>
      </x:c>
      <x:c r="AE3129" s="36" t="n">
        <x:f>IF(ISNUMBER(AD3129),ROUND(AD3129*0.015+0.2,2),"")</x:f>
        <x:v>0.97</x:v>
      </x:c>
      <x:c r="AF3129" s="36" t="n">
        <x:f>IF(ISNUMBER(AD3129),ROUND(AD3129-AE3129-V3129,2),"")</x:f>
        <x:v>5.84</x:v>
      </x:c>
      <x:c r="AG3129" t="str">
        <x:f>IF(NOT(ISNUMBER(T3129)),"PENDING",IF(AF3129&gt;0,"PASS","FAIL"))</x:f>
        <x:v>PASS</x:v>
      </x:c>
      <x:c r="AH3129" t="str">
        <x:f>IF(NOT(ISNUMBER(T3129)),"Needs supplier cost",IF(K3129&lt;&gt;"In stock","Supplier unavailable",IF(AG3129&lt;&gt;"PASS","BLOCK - GT loss risk","Commercially protected")))</x:f>
        <x:v>Supplier unavailable</x:v>
      </x:c>
      <x:c r="AI3129" t="str">
        <x:v>2026-09-10 Active Sports trade capture</x:v>
      </x:c>
      <x:c r="AJ3129" t="str">
        <x:v>Management-only economics. Stripe stress test uses 1.5% + £0.20 standard UK online-card fee; pallet/mix-and-match pricing ignored.</x:v>
      </x:c>
    </x:row>
    <x:row r="3130">
      <x:c r="A3130" t="str">
        <x:v>Active Sports Nutrition</x:v>
      </x:c>
      <x:c r="B3130" t="str">
        <x:v>Trained By JP</x:v>
      </x:c>
      <x:c r="C3130" t="str">
        <x:v>IsoPro 100% Whey Protein Isolate</x:v>
      </x:c>
      <x:c r="D3130" t="str">
        <x:v>Supplements</x:v>
      </x:c>
      <x:c r="E3130" t="str">
        <x:v>Whey Isolate</x:v>
      </x:c>
      <x:c r="F3130" t="str"/>
      <x:c r="G3130" t="str">
        <x:v>1kg</x:v>
      </x:c>
      <x:c r="H3130" t="str">
        <x:v>Chocolate Pistachio</x:v>
      </x:c>
      <x:c r="I3130" t="str"/>
      <x:c r="J3130" t="str">
        <x:v>Unit</x:v>
      </x:c>
      <x:c r="K3130" t="str">
        <x:v>In stock</x:v>
      </x:c>
      <x:c r="L3130" t="str">
        <x:v>2026-09-08</x:v>
      </x:c>
      <x:c r="M3130" t="str"/>
      <x:c r="N3130" t="str"/>
      <x:c r="O3130" t="str">
        <x:v>https://www.activesportstrade.co.uk/Whey-Protein-Supplements-Trade/trained-by-jp-trade</x:v>
      </x:c>
      <x:c r="P3130" t="str"/>
      <x:c r="Q3130" t="str"/>
      <x:c r="R3130" t="str"/>
      <x:c r="S3130" t="str">
        <x:v>Pending genuine supplier/brand image</x:v>
      </x:c>
      <x:c r="T3130" s="54" t="n">
        <x:v>36.99</x:v>
      </x:c>
      <x:c r="U3130" s="47" t="n">
        <x:v>0.2</x:v>
      </x:c>
      <x:c r="V3130" s="54" t="n">
        <x:f>IF(ISNUMBER(T3130),T3130*(1+U3130),"")</x:f>
        <x:v>44.388</x:v>
      </x:c>
      <x:c r="W3130" s="47" t="n">
        <x:v>0.3</x:v>
      </x:c>
      <x:c r="X3130" s="54" t="n">
        <x:f>IF(ISNUMBER(V3130),V3130/(1-W3130),"")</x:f>
        <x:v>63.41142857142857</x:v>
      </x:c>
      <x:c r="Y3130" s="55" t="n">
        <x:f>IF(ISNUMBER(X3130),ROUNDUP(X3130,0),"")</x:f>
        <x:v>64</x:v>
      </x:c>
      <x:c r="Z3130" t="str">
        <x:v>Source match pending</x:v>
      </x:c>
      <x:c r="AA3130" t="str">
        <x:v>screencapture-www-activesportstrade-co-uk-trained-by-jp-trade-2026-09-10-09_10_55.pdf / page-4</x:v>
      </x:c>
      <x:c r="AB3130" s="36" t="n">
        <x:f>IF(ISNUMBER(Y3130),ROUND(Y3130*0.9,2),"")</x:f>
        <x:v>57.6</x:v>
      </x:c>
      <x:c r="AC3130" s="36" t="n">
        <x:f>IF(ISNUMBER(AB3130),ROUND(AB3130-(AB3130*0.015+0.2)-V3130,2),"")</x:f>
        <x:v>12.15</x:v>
      </x:c>
      <x:c r="AD3130" s="36" t="n">
        <x:f>IF(ISNUMBER(Y3130),ROUND(Y3130*0.8,2),"")</x:f>
        <x:v>51.2</x:v>
      </x:c>
      <x:c r="AE3130" s="36" t="n">
        <x:f>IF(ISNUMBER(AD3130),ROUND(AD3130*0.015+0.2,2),"")</x:f>
        <x:v>0.97</x:v>
      </x:c>
      <x:c r="AF3130" s="36" t="n">
        <x:f>IF(ISNUMBER(AD3130),ROUND(AD3130-AE3130-V3130,2),"")</x:f>
        <x:v>5.84</x:v>
      </x:c>
      <x:c r="AG3130" t="str">
        <x:f>IF(NOT(ISNUMBER(T3130)),"PENDING",IF(AF3130&gt;0,"PASS","FAIL"))</x:f>
        <x:v>PASS</x:v>
      </x:c>
      <x:c r="AH3130" t="str">
        <x:f>IF(NOT(ISNUMBER(T3130)),"Needs supplier cost",IF(K3130&lt;&gt;"In stock","Supplier unavailable",IF(AG3130&lt;&gt;"PASS","BLOCK - GT loss risk","Commercially protected")))</x:f>
        <x:v>Commercially protected</x:v>
      </x:c>
      <x:c r="AI3130" t="str">
        <x:v>2026-09-10 Active Sports trade capture</x:v>
      </x:c>
      <x:c r="AJ3130" t="str">
        <x:v>Management-only economics. Stripe stress test uses 1.5% + £0.20 standard UK online-card fee; pallet/mix-and-match pricing ignored.</x:v>
      </x:c>
    </x:row>
    <x:row r="3131">
      <x:c r="A3131" t="str">
        <x:v>Active Sports Nutrition</x:v>
      </x:c>
      <x:c r="B3131" t="str">
        <x:v>Trained By JP</x:v>
      </x:c>
      <x:c r="C3131" t="str">
        <x:v>IsoPro 100% Whey Protein Isolate</x:v>
      </x:c>
      <x:c r="D3131" t="str">
        <x:v>Supplements</x:v>
      </x:c>
      <x:c r="E3131" t="str">
        <x:v>Whey Isolate</x:v>
      </x:c>
      <x:c r="F3131" t="str"/>
      <x:c r="G3131" t="str">
        <x:v>1kg</x:v>
      </x:c>
      <x:c r="H3131" t="str">
        <x:v>Coffee Caramel</x:v>
      </x:c>
      <x:c r="I3131" t="str"/>
      <x:c r="J3131" t="str">
        <x:v>Unit</x:v>
      </x:c>
      <x:c r="K3131" t="str">
        <x:v>Out of stock</x:v>
      </x:c>
      <x:c r="L3131" t="str">
        <x:v>2026-09-08</x:v>
      </x:c>
      <x:c r="M3131" t="str"/>
      <x:c r="N3131" t="str"/>
      <x:c r="O3131" t="str">
        <x:v>https://www.activesportstrade.co.uk/Whey-Protein-Supplements-Trade/trained-by-jp-trade</x:v>
      </x:c>
      <x:c r="P3131" t="str"/>
      <x:c r="Q3131" t="str"/>
      <x:c r="R3131" t="str"/>
      <x:c r="S3131" t="str">
        <x:v>Pending genuine supplier/brand image</x:v>
      </x:c>
      <x:c r="T3131" s="54" t="n">
        <x:v>36.99</x:v>
      </x:c>
      <x:c r="U3131" s="47" t="n">
        <x:v>0.2</x:v>
      </x:c>
      <x:c r="V3131" s="54" t="n">
        <x:f>IF(ISNUMBER(T3131),T3131*(1+U3131),"")</x:f>
        <x:v>44.388</x:v>
      </x:c>
      <x:c r="W3131" s="47" t="n">
        <x:v>0.3</x:v>
      </x:c>
      <x:c r="X3131" s="54" t="n">
        <x:f>IF(ISNUMBER(V3131),V3131/(1-W3131),"")</x:f>
        <x:v>63.41142857142857</x:v>
      </x:c>
      <x:c r="Y3131" s="55" t="n">
        <x:f>IF(ISNUMBER(X3131),ROUNDUP(X3131,0),"")</x:f>
        <x:v>64</x:v>
      </x:c>
      <x:c r="Z3131" t="str">
        <x:v>Source match pending</x:v>
      </x:c>
      <x:c r="AA3131" t="str">
        <x:v>screencapture-www-activesportstrade-co-uk-trained-by-jp-trade-2026-09-10-09_10_55.pdf / page-4</x:v>
      </x:c>
      <x:c r="AB3131" s="36" t="n">
        <x:f>IF(ISNUMBER(Y3131),ROUND(Y3131*0.9,2),"")</x:f>
        <x:v>57.6</x:v>
      </x:c>
      <x:c r="AC3131" s="36" t="n">
        <x:f>IF(ISNUMBER(AB3131),ROUND(AB3131-(AB3131*0.015+0.2)-V3131,2),"")</x:f>
        <x:v>12.15</x:v>
      </x:c>
      <x:c r="AD3131" s="36" t="n">
        <x:f>IF(ISNUMBER(Y3131),ROUND(Y3131*0.8,2),"")</x:f>
        <x:v>51.2</x:v>
      </x:c>
      <x:c r="AE3131" s="36" t="n">
        <x:f>IF(ISNUMBER(AD3131),ROUND(AD3131*0.015+0.2,2),"")</x:f>
        <x:v>0.97</x:v>
      </x:c>
      <x:c r="AF3131" s="36" t="n">
        <x:f>IF(ISNUMBER(AD3131),ROUND(AD3131-AE3131-V3131,2),"")</x:f>
        <x:v>5.84</x:v>
      </x:c>
      <x:c r="AG3131" t="str">
        <x:f>IF(NOT(ISNUMBER(T3131)),"PENDING",IF(AF3131&gt;0,"PASS","FAIL"))</x:f>
        <x:v>PASS</x:v>
      </x:c>
      <x:c r="AH3131" t="str">
        <x:f>IF(NOT(ISNUMBER(T3131)),"Needs supplier cost",IF(K3131&lt;&gt;"In stock","Supplier unavailable",IF(AG3131&lt;&gt;"PASS","BLOCK - GT loss risk","Commercially protected")))</x:f>
        <x:v>Supplier unavailable</x:v>
      </x:c>
      <x:c r="AI3131" t="str">
        <x:v>2026-09-10 Active Sports trade capture</x:v>
      </x:c>
      <x:c r="AJ3131" t="str">
        <x:v>Management-only economics. Stripe stress test uses 1.5% + £0.20 standard UK online-card fee; pallet/mix-and-match pricing ignored.</x:v>
      </x:c>
    </x:row>
    <x:row r="3132">
      <x:c r="A3132" t="str">
        <x:v>Active Sports Nutrition</x:v>
      </x:c>
      <x:c r="B3132" t="str">
        <x:v>Trained By JP</x:v>
      </x:c>
      <x:c r="C3132" t="str">
        <x:v>IsoPro 100% Whey Protein Isolate</x:v>
      </x:c>
      <x:c r="D3132" t="str">
        <x:v>Supplements</x:v>
      </x:c>
      <x:c r="E3132" t="str">
        <x:v>Whey Isolate</x:v>
      </x:c>
      <x:c r="F3132" t="str"/>
      <x:c r="G3132" t="str">
        <x:v>1kg</x:v>
      </x:c>
      <x:c r="H3132" t="str">
        <x:v>Custard Cream</x:v>
      </x:c>
      <x:c r="I3132" t="str"/>
      <x:c r="J3132" t="str">
        <x:v>Unit</x:v>
      </x:c>
      <x:c r="K3132" t="str">
        <x:v>In stock</x:v>
      </x:c>
      <x:c r="L3132" t="str">
        <x:v>2026-09-08</x:v>
      </x:c>
      <x:c r="M3132" t="str"/>
      <x:c r="N3132" t="str"/>
      <x:c r="O3132" t="str">
        <x:v>https://www.activesportstrade.co.uk/Whey-Protein-Supplements-Trade/trained-by-jp-trade</x:v>
      </x:c>
      <x:c r="P3132" t="str"/>
      <x:c r="Q3132" t="str"/>
      <x:c r="R3132" t="str"/>
      <x:c r="S3132" t="str">
        <x:v>Pending genuine supplier/brand image</x:v>
      </x:c>
      <x:c r="T3132" s="54" t="n">
        <x:v>36.99</x:v>
      </x:c>
      <x:c r="U3132" s="47" t="n">
        <x:v>0.2</x:v>
      </x:c>
      <x:c r="V3132" s="54" t="n">
        <x:f>IF(ISNUMBER(T3132),T3132*(1+U3132),"")</x:f>
        <x:v>44.388</x:v>
      </x:c>
      <x:c r="W3132" s="47" t="n">
        <x:v>0.3</x:v>
      </x:c>
      <x:c r="X3132" s="54" t="n">
        <x:f>IF(ISNUMBER(V3132),V3132/(1-W3132),"")</x:f>
        <x:v>63.41142857142857</x:v>
      </x:c>
      <x:c r="Y3132" s="55" t="n">
        <x:f>IF(ISNUMBER(X3132),ROUNDUP(X3132,0),"")</x:f>
        <x:v>64</x:v>
      </x:c>
      <x:c r="Z3132" t="str">
        <x:v>Source match pending</x:v>
      </x:c>
      <x:c r="AA3132" t="str">
        <x:v>screencapture-www-activesportstrade-co-uk-trained-by-jp-trade-2026-09-10-09_10_55.pdf / page-4</x:v>
      </x:c>
      <x:c r="AB3132" s="36" t="n">
        <x:f>IF(ISNUMBER(Y3132),ROUND(Y3132*0.9,2),"")</x:f>
        <x:v>57.6</x:v>
      </x:c>
      <x:c r="AC3132" s="36" t="n">
        <x:f>IF(ISNUMBER(AB3132),ROUND(AB3132-(AB3132*0.015+0.2)-V3132,2),"")</x:f>
        <x:v>12.15</x:v>
      </x:c>
      <x:c r="AD3132" s="36" t="n">
        <x:f>IF(ISNUMBER(Y3132),ROUND(Y3132*0.8,2),"")</x:f>
        <x:v>51.2</x:v>
      </x:c>
      <x:c r="AE3132" s="36" t="n">
        <x:f>IF(ISNUMBER(AD3132),ROUND(AD3132*0.015+0.2,2),"")</x:f>
        <x:v>0.97</x:v>
      </x:c>
      <x:c r="AF3132" s="36" t="n">
        <x:f>IF(ISNUMBER(AD3132),ROUND(AD3132-AE3132-V3132,2),"")</x:f>
        <x:v>5.84</x:v>
      </x:c>
      <x:c r="AG3132" t="str">
        <x:f>IF(NOT(ISNUMBER(T3132)),"PENDING",IF(AF3132&gt;0,"PASS","FAIL"))</x:f>
        <x:v>PASS</x:v>
      </x:c>
      <x:c r="AH3132" t="str">
        <x:f>IF(NOT(ISNUMBER(T3132)),"Needs supplier cost",IF(K3132&lt;&gt;"In stock","Supplier unavailable",IF(AG3132&lt;&gt;"PASS","BLOCK - GT loss risk","Commercially protected")))</x:f>
        <x:v>Commercially protected</x:v>
      </x:c>
      <x:c r="AI3132" t="str">
        <x:v>2026-09-10 Active Sports trade capture</x:v>
      </x:c>
      <x:c r="AJ3132" t="str">
        <x:v>Management-only economics. Stripe stress test uses 1.5% + £0.20 standard UK online-card fee; pallet/mix-and-match pricing ignored.</x:v>
      </x:c>
    </x:row>
    <x:row r="3133">
      <x:c r="A3133" t="str">
        <x:v>Active Sports Nutrition</x:v>
      </x:c>
      <x:c r="B3133" t="str">
        <x:v>Trained By JP</x:v>
      </x:c>
      <x:c r="C3133" t="str">
        <x:v>IsoPro 100% Whey Protein Isolate</x:v>
      </x:c>
      <x:c r="D3133" t="str">
        <x:v>Supplements</x:v>
      </x:c>
      <x:c r="E3133" t="str">
        <x:v>Whey Isolate</x:v>
      </x:c>
      <x:c r="F3133" t="str"/>
      <x:c r="G3133" t="str">
        <x:v>1kg</x:v>
      </x:c>
      <x:c r="H3133" t="str">
        <x:v>Malted Chocolate</x:v>
      </x:c>
      <x:c r="I3133" t="str"/>
      <x:c r="J3133" t="str">
        <x:v>Unit</x:v>
      </x:c>
      <x:c r="K3133" t="str">
        <x:v>Out of stock</x:v>
      </x:c>
      <x:c r="L3133" t="str">
        <x:v>2026-09-08</x:v>
      </x:c>
      <x:c r="M3133" t="str"/>
      <x:c r="N3133" t="str"/>
      <x:c r="O3133" t="str">
        <x:v>https://www.activesportstrade.co.uk/Whey-Protein-Supplements-Trade/trained-by-jp-trade</x:v>
      </x:c>
      <x:c r="P3133" t="str"/>
      <x:c r="Q3133" t="str"/>
      <x:c r="R3133" t="str"/>
      <x:c r="S3133" t="str">
        <x:v>Pending genuine supplier/brand image</x:v>
      </x:c>
      <x:c r="T3133" s="54" t="n">
        <x:v>36.99</x:v>
      </x:c>
      <x:c r="U3133" s="47" t="n">
        <x:v>0.2</x:v>
      </x:c>
      <x:c r="V3133" s="54" t="n">
        <x:f>IF(ISNUMBER(T3133),T3133*(1+U3133),"")</x:f>
        <x:v>44.388</x:v>
      </x:c>
      <x:c r="W3133" s="47" t="n">
        <x:v>0.3</x:v>
      </x:c>
      <x:c r="X3133" s="54" t="n">
        <x:f>IF(ISNUMBER(V3133),V3133/(1-W3133),"")</x:f>
        <x:v>63.41142857142857</x:v>
      </x:c>
      <x:c r="Y3133" s="55" t="n">
        <x:f>IF(ISNUMBER(X3133),ROUNDUP(X3133,0),"")</x:f>
        <x:v>64</x:v>
      </x:c>
      <x:c r="Z3133" t="str">
        <x:v>Source match pending</x:v>
      </x:c>
      <x:c r="AA3133" t="str">
        <x:v>screencapture-www-activesportstrade-co-uk-trained-by-jp-trade-2026-09-10-09_10_55.pdf / page-4</x:v>
      </x:c>
      <x:c r="AB3133" s="36" t="n">
        <x:f>IF(ISNUMBER(Y3133),ROUND(Y3133*0.9,2),"")</x:f>
        <x:v>57.6</x:v>
      </x:c>
      <x:c r="AC3133" s="36" t="n">
        <x:f>IF(ISNUMBER(AB3133),ROUND(AB3133-(AB3133*0.015+0.2)-V3133,2),"")</x:f>
        <x:v>12.15</x:v>
      </x:c>
      <x:c r="AD3133" s="36" t="n">
        <x:f>IF(ISNUMBER(Y3133),ROUND(Y3133*0.8,2),"")</x:f>
        <x:v>51.2</x:v>
      </x:c>
      <x:c r="AE3133" s="36" t="n">
        <x:f>IF(ISNUMBER(AD3133),ROUND(AD3133*0.015+0.2,2),"")</x:f>
        <x:v>0.97</x:v>
      </x:c>
      <x:c r="AF3133" s="36" t="n">
        <x:f>IF(ISNUMBER(AD3133),ROUND(AD3133-AE3133-V3133,2),"")</x:f>
        <x:v>5.84</x:v>
      </x:c>
      <x:c r="AG3133" t="str">
        <x:f>IF(NOT(ISNUMBER(T3133)),"PENDING",IF(AF3133&gt;0,"PASS","FAIL"))</x:f>
        <x:v>PASS</x:v>
      </x:c>
      <x:c r="AH3133" t="str">
        <x:f>IF(NOT(ISNUMBER(T3133)),"Needs supplier cost",IF(K3133&lt;&gt;"In stock","Supplier unavailable",IF(AG3133&lt;&gt;"PASS","BLOCK - GT loss risk","Commercially protected")))</x:f>
        <x:v>Supplier unavailable</x:v>
      </x:c>
      <x:c r="AI3133" t="str">
        <x:v>2026-09-10 Active Sports trade capture</x:v>
      </x:c>
      <x:c r="AJ3133" t="str">
        <x:v>Management-only economics. Stripe stress test uses 1.5% + £0.20 standard UK online-card fee; pallet/mix-and-match pricing ignored.</x:v>
      </x:c>
    </x:row>
    <x:row r="3134">
      <x:c r="A3134" t="str">
        <x:v>Active Sports Nutrition</x:v>
      </x:c>
      <x:c r="B3134" t="str">
        <x:v>Trained By JP</x:v>
      </x:c>
      <x:c r="C3134" t="str">
        <x:v>IsoPro 100% Whey Protein Isolate</x:v>
      </x:c>
      <x:c r="D3134" t="str">
        <x:v>Supplements</x:v>
      </x:c>
      <x:c r="E3134" t="str">
        <x:v>Whey Isolate</x:v>
      </x:c>
      <x:c r="F3134" t="str"/>
      <x:c r="G3134" t="str">
        <x:v>1kg</x:v>
      </x:c>
      <x:c r="H3134" t="str">
        <x:v>Strawberry Cheesecake</x:v>
      </x:c>
      <x:c r="I3134" t="str"/>
      <x:c r="J3134" t="str">
        <x:v>Unit</x:v>
      </x:c>
      <x:c r="K3134" t="str">
        <x:v>Out of stock</x:v>
      </x:c>
      <x:c r="L3134" t="str">
        <x:v>2026-09-08</x:v>
      </x:c>
      <x:c r="M3134" t="str"/>
      <x:c r="N3134" t="str"/>
      <x:c r="O3134" t="str">
        <x:v>https://www.activesportstrade.co.uk/Whey-Protein-Supplements-Trade/trained-by-jp-trade</x:v>
      </x:c>
      <x:c r="P3134" t="str"/>
      <x:c r="Q3134" t="str"/>
      <x:c r="R3134" t="str"/>
      <x:c r="S3134" t="str">
        <x:v>Pending genuine supplier/brand image</x:v>
      </x:c>
      <x:c r="T3134" s="54" t="n">
        <x:v>36.99</x:v>
      </x:c>
      <x:c r="U3134" s="47" t="n">
        <x:v>0.2</x:v>
      </x:c>
      <x:c r="V3134" s="54" t="n">
        <x:f>IF(ISNUMBER(T3134),T3134*(1+U3134),"")</x:f>
        <x:v>44.388</x:v>
      </x:c>
      <x:c r="W3134" s="47" t="n">
        <x:v>0.3</x:v>
      </x:c>
      <x:c r="X3134" s="54" t="n">
        <x:f>IF(ISNUMBER(V3134),V3134/(1-W3134),"")</x:f>
        <x:v>63.41142857142857</x:v>
      </x:c>
      <x:c r="Y3134" s="55" t="n">
        <x:f>IF(ISNUMBER(X3134),ROUNDUP(X3134,0),"")</x:f>
        <x:v>64</x:v>
      </x:c>
      <x:c r="Z3134" t="str">
        <x:v>Source match pending</x:v>
      </x:c>
      <x:c r="AA3134" t="str">
        <x:v>screencapture-www-activesportstrade-co-uk-trained-by-jp-trade-2026-09-10-09_10_55.pdf / page-4</x:v>
      </x:c>
      <x:c r="AB3134" s="36" t="n">
        <x:f>IF(ISNUMBER(Y3134),ROUND(Y3134*0.9,2),"")</x:f>
        <x:v>57.6</x:v>
      </x:c>
      <x:c r="AC3134" s="36" t="n">
        <x:f>IF(ISNUMBER(AB3134),ROUND(AB3134-(AB3134*0.015+0.2)-V3134,2),"")</x:f>
        <x:v>12.15</x:v>
      </x:c>
      <x:c r="AD3134" s="36" t="n">
        <x:f>IF(ISNUMBER(Y3134),ROUND(Y3134*0.8,2),"")</x:f>
        <x:v>51.2</x:v>
      </x:c>
      <x:c r="AE3134" s="36" t="n">
        <x:f>IF(ISNUMBER(AD3134),ROUND(AD3134*0.015+0.2,2),"")</x:f>
        <x:v>0.97</x:v>
      </x:c>
      <x:c r="AF3134" s="36" t="n">
        <x:f>IF(ISNUMBER(AD3134),ROUND(AD3134-AE3134-V3134,2),"")</x:f>
        <x:v>5.84</x:v>
      </x:c>
      <x:c r="AG3134" t="str">
        <x:f>IF(NOT(ISNUMBER(T3134)),"PENDING",IF(AF3134&gt;0,"PASS","FAIL"))</x:f>
        <x:v>PASS</x:v>
      </x:c>
      <x:c r="AH3134" t="str">
        <x:f>IF(NOT(ISNUMBER(T3134)),"Needs supplier cost",IF(K3134&lt;&gt;"In stock","Supplier unavailable",IF(AG3134&lt;&gt;"PASS","BLOCK - GT loss risk","Commercially protected")))</x:f>
        <x:v>Supplier unavailable</x:v>
      </x:c>
      <x:c r="AI3134" t="str">
        <x:v>2026-09-10 Active Sports trade capture</x:v>
      </x:c>
      <x:c r="AJ3134" t="str">
        <x:v>Management-only economics. Stripe stress test uses 1.5% + £0.20 standard UK online-card fee; pallet/mix-and-match pricing ignored.</x:v>
      </x:c>
    </x:row>
    <x:row r="3135">
      <x:c r="A3135" t="str">
        <x:v>Active Sports Nutrition</x:v>
      </x:c>
      <x:c r="B3135" t="str">
        <x:v>Trained By JP</x:v>
      </x:c>
      <x:c r="C3135" t="str">
        <x:v>IsoPro 100% Whey Protein Isolate</x:v>
      </x:c>
      <x:c r="D3135" t="str">
        <x:v>Supplements</x:v>
      </x:c>
      <x:c r="E3135" t="str">
        <x:v>Whey Isolate</x:v>
      </x:c>
      <x:c r="F3135" t="str"/>
      <x:c r="G3135" t="str">
        <x:v>1kg</x:v>
      </x:c>
      <x:c r="H3135" t="str">
        <x:v>Triple Chocolate</x:v>
      </x:c>
      <x:c r="I3135" t="str"/>
      <x:c r="J3135" t="str">
        <x:v>Unit</x:v>
      </x:c>
      <x:c r="K3135" t="str">
        <x:v>In stock</x:v>
      </x:c>
      <x:c r="L3135" t="str">
        <x:v>2026-09-08</x:v>
      </x:c>
      <x:c r="M3135" t="str"/>
      <x:c r="N3135" t="str"/>
      <x:c r="O3135" t="str">
        <x:v>https://www.activesportstrade.co.uk/Whey-Protein-Supplements-Trade/trained-by-jp-trade</x:v>
      </x:c>
      <x:c r="P3135" t="str"/>
      <x:c r="Q3135" t="str"/>
      <x:c r="R3135" t="str"/>
      <x:c r="S3135" t="str">
        <x:v>Pending genuine supplier/brand image</x:v>
      </x:c>
      <x:c r="T3135" s="54" t="n">
        <x:v>36.99</x:v>
      </x:c>
      <x:c r="U3135" s="47" t="n">
        <x:v>0.2</x:v>
      </x:c>
      <x:c r="V3135" s="54" t="n">
        <x:f>IF(ISNUMBER(T3135),T3135*(1+U3135),"")</x:f>
        <x:v>44.388</x:v>
      </x:c>
      <x:c r="W3135" s="47" t="n">
        <x:v>0.3</x:v>
      </x:c>
      <x:c r="X3135" s="54" t="n">
        <x:f>IF(ISNUMBER(V3135),V3135/(1-W3135),"")</x:f>
        <x:v>63.41142857142857</x:v>
      </x:c>
      <x:c r="Y3135" s="55" t="n">
        <x:f>IF(ISNUMBER(X3135),ROUNDUP(X3135,0),"")</x:f>
        <x:v>64</x:v>
      </x:c>
      <x:c r="Z3135" t="str">
        <x:v>Source match pending</x:v>
      </x:c>
      <x:c r="AA3135" t="str">
        <x:v>screencapture-www-activesportstrade-co-uk-trained-by-jp-trade-2026-09-10-09_10_55.pdf / page-4</x:v>
      </x:c>
      <x:c r="AB3135" s="36" t="n">
        <x:f>IF(ISNUMBER(Y3135),ROUND(Y3135*0.9,2),"")</x:f>
        <x:v>57.6</x:v>
      </x:c>
      <x:c r="AC3135" s="36" t="n">
        <x:f>IF(ISNUMBER(AB3135),ROUND(AB3135-(AB3135*0.015+0.2)-V3135,2),"")</x:f>
        <x:v>12.15</x:v>
      </x:c>
      <x:c r="AD3135" s="36" t="n">
        <x:f>IF(ISNUMBER(Y3135),ROUND(Y3135*0.8,2),"")</x:f>
        <x:v>51.2</x:v>
      </x:c>
      <x:c r="AE3135" s="36" t="n">
        <x:f>IF(ISNUMBER(AD3135),ROUND(AD3135*0.015+0.2,2),"")</x:f>
        <x:v>0.97</x:v>
      </x:c>
      <x:c r="AF3135" s="36" t="n">
        <x:f>IF(ISNUMBER(AD3135),ROUND(AD3135-AE3135-V3135,2),"")</x:f>
        <x:v>5.84</x:v>
      </x:c>
      <x:c r="AG3135" t="str">
        <x:f>IF(NOT(ISNUMBER(T3135)),"PENDING",IF(AF3135&gt;0,"PASS","FAIL"))</x:f>
        <x:v>PASS</x:v>
      </x:c>
      <x:c r="AH3135" t="str">
        <x:f>IF(NOT(ISNUMBER(T3135)),"Needs supplier cost",IF(K3135&lt;&gt;"In stock","Supplier unavailable",IF(AG3135&lt;&gt;"PASS","BLOCK - GT loss risk","Commercially protected")))</x:f>
        <x:v>Commercially protected</x:v>
      </x:c>
      <x:c r="AI3135" t="str">
        <x:v>2026-09-10 Active Sports trade capture</x:v>
      </x:c>
      <x:c r="AJ3135" t="str">
        <x:v>Management-only economics. Stripe stress test uses 1.5% + £0.20 standard UK online-card fee; pallet/mix-and-match pricing ignored.</x:v>
      </x:c>
    </x:row>
    <x:row r="3136">
      <x:c r="A3136" t="str">
        <x:v>Active Sports Nutrition</x:v>
      </x:c>
      <x:c r="B3136" t="str">
        <x:v>Trained By JP</x:v>
      </x:c>
      <x:c r="C3136" t="str">
        <x:v>IsoPro 100% Whey Protein Isolate</x:v>
      </x:c>
      <x:c r="D3136" t="str">
        <x:v>Supplements</x:v>
      </x:c>
      <x:c r="E3136" t="str">
        <x:v>Whey Isolate</x:v>
      </x:c>
      <x:c r="F3136" t="str"/>
      <x:c r="G3136" t="str">
        <x:v>1kg</x:v>
      </x:c>
      <x:c r="H3136" t="str">
        <x:v>Vanilla</x:v>
      </x:c>
      <x:c r="I3136" t="str"/>
      <x:c r="J3136" t="str">
        <x:v>Unit</x:v>
      </x:c>
      <x:c r="K3136" t="str">
        <x:v>In stock</x:v>
      </x:c>
      <x:c r="L3136" t="str">
        <x:v>2026-09-08</x:v>
      </x:c>
      <x:c r="M3136" t="str"/>
      <x:c r="N3136" t="str"/>
      <x:c r="O3136" t="str">
        <x:v>https://www.activesportstrade.co.uk/Whey-Protein-Supplements-Trade/trained-by-jp-trade</x:v>
      </x:c>
      <x:c r="P3136" t="str"/>
      <x:c r="Q3136" t="str"/>
      <x:c r="R3136" t="str"/>
      <x:c r="S3136" t="str">
        <x:v>Pending genuine supplier/brand image</x:v>
      </x:c>
      <x:c r="T3136" s="54" t="n">
        <x:v>36.99</x:v>
      </x:c>
      <x:c r="U3136" s="47" t="n">
        <x:v>0.2</x:v>
      </x:c>
      <x:c r="V3136" s="54" t="n">
        <x:f>IF(ISNUMBER(T3136),T3136*(1+U3136),"")</x:f>
        <x:v>44.388</x:v>
      </x:c>
      <x:c r="W3136" s="47" t="n">
        <x:v>0.3</x:v>
      </x:c>
      <x:c r="X3136" s="54" t="n">
        <x:f>IF(ISNUMBER(V3136),V3136/(1-W3136),"")</x:f>
        <x:v>63.41142857142857</x:v>
      </x:c>
      <x:c r="Y3136" s="55" t="n">
        <x:f>IF(ISNUMBER(X3136),ROUNDUP(X3136,0),"")</x:f>
        <x:v>64</x:v>
      </x:c>
      <x:c r="Z3136" t="str">
        <x:v>Source match pending</x:v>
      </x:c>
      <x:c r="AA3136" t="str">
        <x:v>screencapture-www-activesportstrade-co-uk-trained-by-jp-trade-2026-09-10-09_10_55.pdf / page-4</x:v>
      </x:c>
      <x:c r="AB3136" s="36" t="n">
        <x:f>IF(ISNUMBER(Y3136),ROUND(Y3136*0.9,2),"")</x:f>
        <x:v>57.6</x:v>
      </x:c>
      <x:c r="AC3136" s="36" t="n">
        <x:f>IF(ISNUMBER(AB3136),ROUND(AB3136-(AB3136*0.015+0.2)-V3136,2),"")</x:f>
        <x:v>12.15</x:v>
      </x:c>
      <x:c r="AD3136" s="36" t="n">
        <x:f>IF(ISNUMBER(Y3136),ROUND(Y3136*0.8,2),"")</x:f>
        <x:v>51.2</x:v>
      </x:c>
      <x:c r="AE3136" s="36" t="n">
        <x:f>IF(ISNUMBER(AD3136),ROUND(AD3136*0.015+0.2,2),"")</x:f>
        <x:v>0.97</x:v>
      </x:c>
      <x:c r="AF3136" s="36" t="n">
        <x:f>IF(ISNUMBER(AD3136),ROUND(AD3136-AE3136-V3136,2),"")</x:f>
        <x:v>5.84</x:v>
      </x:c>
      <x:c r="AG3136" t="str">
        <x:f>IF(NOT(ISNUMBER(T3136)),"PENDING",IF(AF3136&gt;0,"PASS","FAIL"))</x:f>
        <x:v>PASS</x:v>
      </x:c>
      <x:c r="AH3136" t="str">
        <x:f>IF(NOT(ISNUMBER(T3136)),"Needs supplier cost",IF(K3136&lt;&gt;"In stock","Supplier unavailable",IF(AG3136&lt;&gt;"PASS","BLOCK - GT loss risk","Commercially protected")))</x:f>
        <x:v>Commercially protected</x:v>
      </x:c>
      <x:c r="AI3136" t="str">
        <x:v>2026-09-10 Active Sports trade capture</x:v>
      </x:c>
      <x:c r="AJ3136" t="str">
        <x:v>Management-only economics. Stripe stress test uses 1.5% + £0.20 standard UK online-card fee; pallet/mix-and-match pricing ignored.</x:v>
      </x:c>
    </x:row>
    <x:row r="3137">
      <x:c r="A3137" t="str">
        <x:v>Active Sports Nutrition</x:v>
      </x:c>
      <x:c r="B3137" t="str">
        <x:v>Trained By JP</x:v>
      </x:c>
      <x:c r="C3137" t="str">
        <x:v>IsoPro 100% Whey Protein Isolate</x:v>
      </x:c>
      <x:c r="D3137" t="str">
        <x:v>Supplements</x:v>
      </x:c>
      <x:c r="E3137" t="str">
        <x:v>Whey Isolate</x:v>
      </x:c>
      <x:c r="F3137" t="str"/>
      <x:c r="G3137" t="str">
        <x:v>1kg</x:v>
      </x:c>
      <x:c r="H3137" t="str">
        <x:v>White Chocolate Hazelnut</x:v>
      </x:c>
      <x:c r="I3137" t="str"/>
      <x:c r="J3137" t="str">
        <x:v>Unit</x:v>
      </x:c>
      <x:c r="K3137" t="str">
        <x:v>Out of stock</x:v>
      </x:c>
      <x:c r="L3137" t="str">
        <x:v>2026-09-08</x:v>
      </x:c>
      <x:c r="M3137" t="str"/>
      <x:c r="N3137" t="str"/>
      <x:c r="O3137" t="str">
        <x:v>https://www.activesportstrade.co.uk/Whey-Protein-Supplements-Trade/trained-by-jp-trade</x:v>
      </x:c>
      <x:c r="P3137" t="str"/>
      <x:c r="Q3137" t="str"/>
      <x:c r="R3137" t="str"/>
      <x:c r="S3137" t="str">
        <x:v>Pending genuine supplier/brand image</x:v>
      </x:c>
      <x:c r="T3137" s="54" t="n">
        <x:v>36.99</x:v>
      </x:c>
      <x:c r="U3137" s="47" t="n">
        <x:v>0.2</x:v>
      </x:c>
      <x:c r="V3137" s="54" t="n">
        <x:f>IF(ISNUMBER(T3137),T3137*(1+U3137),"")</x:f>
        <x:v>44.388</x:v>
      </x:c>
      <x:c r="W3137" s="47" t="n">
        <x:v>0.3</x:v>
      </x:c>
      <x:c r="X3137" s="54" t="n">
        <x:f>IF(ISNUMBER(V3137),V3137/(1-W3137),"")</x:f>
        <x:v>63.41142857142857</x:v>
      </x:c>
      <x:c r="Y3137" s="55" t="n">
        <x:f>IF(ISNUMBER(X3137),ROUNDUP(X3137,0),"")</x:f>
        <x:v>64</x:v>
      </x:c>
      <x:c r="Z3137" t="str">
        <x:v>Source match pending</x:v>
      </x:c>
      <x:c r="AA3137" t="str">
        <x:v>screencapture-www-activesportstrade-co-uk-trained-by-jp-trade-2026-09-10-09_10_55.pdf / page-4</x:v>
      </x:c>
      <x:c r="AB3137" s="36" t="n">
        <x:f>IF(ISNUMBER(Y3137),ROUND(Y3137*0.9,2),"")</x:f>
        <x:v>57.6</x:v>
      </x:c>
      <x:c r="AC3137" s="36" t="n">
        <x:f>IF(ISNUMBER(AB3137),ROUND(AB3137-(AB3137*0.015+0.2)-V3137,2),"")</x:f>
        <x:v>12.15</x:v>
      </x:c>
      <x:c r="AD3137" s="36" t="n">
        <x:f>IF(ISNUMBER(Y3137),ROUND(Y3137*0.8,2),"")</x:f>
        <x:v>51.2</x:v>
      </x:c>
      <x:c r="AE3137" s="36" t="n">
        <x:f>IF(ISNUMBER(AD3137),ROUND(AD3137*0.015+0.2,2),"")</x:f>
        <x:v>0.97</x:v>
      </x:c>
      <x:c r="AF3137" s="36" t="n">
        <x:f>IF(ISNUMBER(AD3137),ROUND(AD3137-AE3137-V3137,2),"")</x:f>
        <x:v>5.84</x:v>
      </x:c>
      <x:c r="AG3137" t="str">
        <x:f>IF(NOT(ISNUMBER(T3137)),"PENDING",IF(AF3137&gt;0,"PASS","FAIL"))</x:f>
        <x:v>PASS</x:v>
      </x:c>
      <x:c r="AH3137" t="str">
        <x:f>IF(NOT(ISNUMBER(T3137)),"Needs supplier cost",IF(K3137&lt;&gt;"In stock","Supplier unavailable",IF(AG3137&lt;&gt;"PASS","BLOCK - GT loss risk","Commercially protected")))</x:f>
        <x:v>Supplier unavailable</x:v>
      </x:c>
      <x:c r="AI3137" t="str">
        <x:v>2026-09-10 Active Sports trade capture</x:v>
      </x:c>
      <x:c r="AJ3137" t="str">
        <x:v>Management-only economics. Stripe stress test uses 1.5% + £0.20 standard UK online-card fee; pallet/mix-and-match pricing ignored.</x:v>
      </x:c>
    </x:row>
    <x:row r="3138">
      <x:c r="A3138" t="str">
        <x:v>Active Sports Nutrition</x:v>
      </x:c>
      <x:c r="B3138" t="str">
        <x:v>Trained By JP</x:v>
      </x:c>
      <x:c r="C3138" t="str">
        <x:v>Performance Isolate</x:v>
      </x:c>
      <x:c r="D3138" t="str">
        <x:v>Supplements</x:v>
      </x:c>
      <x:c r="E3138" t="str">
        <x:v>Protein Blend</x:v>
      </x:c>
      <x:c r="F3138" t="str"/>
      <x:c r="G3138" t="str">
        <x:v>1kg</x:v>
      </x:c>
      <x:c r="H3138" t="str">
        <x:v>Banoffee</x:v>
      </x:c>
      <x:c r="I3138" t="str"/>
      <x:c r="J3138" t="str">
        <x:v>Unit</x:v>
      </x:c>
      <x:c r="K3138" t="str">
        <x:v>Out of stock</x:v>
      </x:c>
      <x:c r="L3138" t="str">
        <x:v>2026-09-08</x:v>
      </x:c>
      <x:c r="M3138" t="str"/>
      <x:c r="N3138" t="str"/>
      <x:c r="O3138" t="str">
        <x:v>https://www.activesportstrade.co.uk/trained-by-jp-trade</x:v>
      </x:c>
      <x:c r="P3138" t="str">
        <x:v>Supplier currently spells one flavour 'Mlated Chocolate'; retained exactly pending later identity cleanup.</x:v>
      </x:c>
      <x:c r="Q3138" t="str"/>
      <x:c r="R3138" t="str"/>
      <x:c r="S3138" t="str">
        <x:v>Pending genuine supplier/brand image</x:v>
      </x:c>
      <x:c r="T3138" s="54"/>
      <x:c r="U3138" s="47" t="n">
        <x:v>0.2</x:v>
      </x:c>
      <x:c r="V3138" s="54" t="str">
        <x:f>IF(ISNUMBER(T3138),T3138*(1+U3138),"")</x:f>
      </x:c>
      <x:c r="W3138" s="47" t="n">
        <x:v>0.3</x:v>
      </x:c>
      <x:c r="X3138" s="54" t="str">
        <x:f>IF(ISNUMBER(V3138),V3138/(1-W3138),"")</x:f>
      </x:c>
      <x:c r="Y3138" s="55" t="str">
        <x:f>IF(ISNUMBER(X3138),ROUNDUP(X3138,0),"")</x:f>
      </x:c>
      <x:c r="Z3138" t="str">
        <x:f>IF(ISNUMBER(T3138),"Cost captured","Awaiting trade cost")</x:f>
        <x:v>Awaiting trade cost</x:v>
      </x:c>
      <x:c r="AB3138" s="36" t="str">
        <x:f>IF(ISNUMBER(Y3138),ROUND(Y3138*0.9,2),"")</x:f>
      </x:c>
      <x:c r="AC3138" s="36" t="str">
        <x:f>IF(ISNUMBER(AB3138),ROUND(AB3138-(AB3138*0.015+0.2)-V3138,2),"")</x:f>
      </x:c>
      <x:c r="AD3138" s="36" t="str">
        <x:f>IF(ISNUMBER(Y3138),ROUND(Y3138*0.8,2),"")</x:f>
      </x:c>
      <x:c r="AE3138" s="36" t="str">
        <x:f>IF(ISNUMBER(AD3138),ROUND(AD3138*0.015+0.2,2),"")</x:f>
      </x:c>
      <x:c r="AF3138" s="36" t="str">
        <x:f>IF(ISNUMBER(AD3138),ROUND(AD3138-AE3138-V3138,2),"")</x:f>
      </x:c>
      <x:c r="AG3138" t="str">
        <x:f>IF(NOT(ISNUMBER(T3138)),"PENDING",IF(AF3138&gt;0,"PASS","FAIL"))</x:f>
        <x:v>PENDING</x:v>
      </x:c>
      <x:c r="AH3138" t="str">
        <x:f>IF(NOT(ISNUMBER(T3138)),"Needs supplier cost",IF(K3138&lt;&gt;"In stock","Supplier unavailable",IF(AG3138&lt;&gt;"PASS","BLOCK - GT loss risk","Commercially protected")))</x:f>
        <x:v>Needs supplier cost</x:v>
      </x:c>
      <x:c r="AI3138" t="str">
        <x:v>2026-09-10 Active Sports trade capture</x:v>
      </x:c>
      <x:c r="AJ3138" t="str">
        <x:v>Management-only economics. Stripe stress test uses 1.5% + £0.20 standard UK online-card fee; pallet/mix-and-match pricing ignored.</x:v>
      </x:c>
    </x:row>
    <x:row r="3139">
      <x:c r="A3139" t="str">
        <x:v>Active Sports Nutrition</x:v>
      </x:c>
      <x:c r="B3139" t="str">
        <x:v>Trained By JP</x:v>
      </x:c>
      <x:c r="C3139" t="str">
        <x:v>Performance Isolate</x:v>
      </x:c>
      <x:c r="D3139" t="str">
        <x:v>Supplements</x:v>
      </x:c>
      <x:c r="E3139" t="str">
        <x:v>Protein Blend</x:v>
      </x:c>
      <x:c r="F3139" t="str"/>
      <x:c r="G3139" t="str">
        <x:v>1kg</x:v>
      </x:c>
      <x:c r="H3139" t="str">
        <x:v>Caramel Biscuit</x:v>
      </x:c>
      <x:c r="I3139" t="str"/>
      <x:c r="J3139" t="str">
        <x:v>Unit</x:v>
      </x:c>
      <x:c r="K3139" t="str">
        <x:v>Out of stock</x:v>
      </x:c>
      <x:c r="L3139" t="str">
        <x:v>2026-09-08</x:v>
      </x:c>
      <x:c r="M3139" t="str"/>
      <x:c r="N3139" t="str"/>
      <x:c r="O3139" t="str">
        <x:v>https://www.activesportstrade.co.uk/trained-by-jp-trade</x:v>
      </x:c>
      <x:c r="P3139" t="str">
        <x:v>Supplier currently spells one flavour 'Mlated Chocolate'; retained exactly pending later identity cleanup.</x:v>
      </x:c>
      <x:c r="Q3139" t="str"/>
      <x:c r="R3139" t="str"/>
      <x:c r="S3139" t="str">
        <x:v>Pending genuine supplier/brand image</x:v>
      </x:c>
      <x:c r="T3139" s="54"/>
      <x:c r="U3139" s="47" t="n">
        <x:v>0.2</x:v>
      </x:c>
      <x:c r="V3139" s="54" t="str">
        <x:f>IF(ISNUMBER(T3139),T3139*(1+U3139),"")</x:f>
      </x:c>
      <x:c r="W3139" s="47" t="n">
        <x:v>0.3</x:v>
      </x:c>
      <x:c r="X3139" s="54" t="str">
        <x:f>IF(ISNUMBER(V3139),V3139/(1-W3139),"")</x:f>
      </x:c>
      <x:c r="Y3139" s="55" t="str">
        <x:f>IF(ISNUMBER(X3139),ROUNDUP(X3139,0),"")</x:f>
      </x:c>
      <x:c r="Z3139" t="str">
        <x:f>IF(ISNUMBER(T3139),"Cost captured","Awaiting trade cost")</x:f>
        <x:v>Awaiting trade cost</x:v>
      </x:c>
      <x:c r="AB3139" s="36" t="str">
        <x:f>IF(ISNUMBER(Y3139),ROUND(Y3139*0.9,2),"")</x:f>
      </x:c>
      <x:c r="AC3139" s="36" t="str">
        <x:f>IF(ISNUMBER(AB3139),ROUND(AB3139-(AB3139*0.015+0.2)-V3139,2),"")</x:f>
      </x:c>
      <x:c r="AD3139" s="36" t="str">
        <x:f>IF(ISNUMBER(Y3139),ROUND(Y3139*0.8,2),"")</x:f>
      </x:c>
      <x:c r="AE3139" s="36" t="str">
        <x:f>IF(ISNUMBER(AD3139),ROUND(AD3139*0.015+0.2,2),"")</x:f>
      </x:c>
      <x:c r="AF3139" s="36" t="str">
        <x:f>IF(ISNUMBER(AD3139),ROUND(AD3139-AE3139-V3139,2),"")</x:f>
      </x:c>
      <x:c r="AG3139" t="str">
        <x:f>IF(NOT(ISNUMBER(T3139)),"PENDING",IF(AF3139&gt;0,"PASS","FAIL"))</x:f>
        <x:v>PENDING</x:v>
      </x:c>
      <x:c r="AH3139" t="str">
        <x:f>IF(NOT(ISNUMBER(T3139)),"Needs supplier cost",IF(K3139&lt;&gt;"In stock","Supplier unavailable",IF(AG3139&lt;&gt;"PASS","BLOCK - GT loss risk","Commercially protected")))</x:f>
        <x:v>Needs supplier cost</x:v>
      </x:c>
      <x:c r="AI3139" t="str">
        <x:v>2026-09-10 Active Sports trade capture</x:v>
      </x:c>
      <x:c r="AJ3139" t="str">
        <x:v>Management-only economics. Stripe stress test uses 1.5% + £0.20 standard UK online-card fee; pallet/mix-and-match pricing ignored.</x:v>
      </x:c>
    </x:row>
    <x:row r="3140">
      <x:c r="A3140" t="str">
        <x:v>Active Sports Nutrition</x:v>
      </x:c>
      <x:c r="B3140" t="str">
        <x:v>Trained By JP</x:v>
      </x:c>
      <x:c r="C3140" t="str">
        <x:v>Performance Isolate</x:v>
      </x:c>
      <x:c r="D3140" t="str">
        <x:v>Supplements</x:v>
      </x:c>
      <x:c r="E3140" t="str">
        <x:v>Protein Blend</x:v>
      </x:c>
      <x:c r="F3140" t="str"/>
      <x:c r="G3140" t="str">
        <x:v>1kg</x:v>
      </x:c>
      <x:c r="H3140" t="str">
        <x:v>Caramel Fudge</x:v>
      </x:c>
      <x:c r="I3140" t="str"/>
      <x:c r="J3140" t="str">
        <x:v>Unit</x:v>
      </x:c>
      <x:c r="K3140" t="str">
        <x:v>Out of stock</x:v>
      </x:c>
      <x:c r="L3140" t="str">
        <x:v>2026-09-08</x:v>
      </x:c>
      <x:c r="M3140" t="str"/>
      <x:c r="N3140" t="str"/>
      <x:c r="O3140" t="str">
        <x:v>https://www.activesportstrade.co.uk/trained-by-jp-trade</x:v>
      </x:c>
      <x:c r="P3140" t="str">
        <x:v>Supplier currently spells one flavour 'Mlated Chocolate'; retained exactly pending later identity cleanup.</x:v>
      </x:c>
      <x:c r="Q3140" t="str"/>
      <x:c r="R3140" t="str"/>
      <x:c r="S3140" t="str">
        <x:v>Pending genuine supplier/brand image</x:v>
      </x:c>
      <x:c r="T3140" s="54"/>
      <x:c r="U3140" s="47" t="n">
        <x:v>0.2</x:v>
      </x:c>
      <x:c r="V3140" s="54" t="str">
        <x:f>IF(ISNUMBER(T3140),T3140*(1+U3140),"")</x:f>
      </x:c>
      <x:c r="W3140" s="47" t="n">
        <x:v>0.3</x:v>
      </x:c>
      <x:c r="X3140" s="54" t="str">
        <x:f>IF(ISNUMBER(V3140),V3140/(1-W3140),"")</x:f>
      </x:c>
      <x:c r="Y3140" s="55" t="str">
        <x:f>IF(ISNUMBER(X3140),ROUNDUP(X3140,0),"")</x:f>
      </x:c>
      <x:c r="Z3140" t="str">
        <x:f>IF(ISNUMBER(T3140),"Cost captured","Awaiting trade cost")</x:f>
        <x:v>Awaiting trade cost</x:v>
      </x:c>
      <x:c r="AB3140" s="36" t="str">
        <x:f>IF(ISNUMBER(Y3140),ROUND(Y3140*0.9,2),"")</x:f>
      </x:c>
      <x:c r="AC3140" s="36" t="str">
        <x:f>IF(ISNUMBER(AB3140),ROUND(AB3140-(AB3140*0.015+0.2)-V3140,2),"")</x:f>
      </x:c>
      <x:c r="AD3140" s="36" t="str">
        <x:f>IF(ISNUMBER(Y3140),ROUND(Y3140*0.8,2),"")</x:f>
      </x:c>
      <x:c r="AE3140" s="36" t="str">
        <x:f>IF(ISNUMBER(AD3140),ROUND(AD3140*0.015+0.2,2),"")</x:f>
      </x:c>
      <x:c r="AF3140" s="36" t="str">
        <x:f>IF(ISNUMBER(AD3140),ROUND(AD3140-AE3140-V3140,2),"")</x:f>
      </x:c>
      <x:c r="AG3140" t="str">
        <x:f>IF(NOT(ISNUMBER(T3140)),"PENDING",IF(AF3140&gt;0,"PASS","FAIL"))</x:f>
        <x:v>PENDING</x:v>
      </x:c>
      <x:c r="AH3140" t="str">
        <x:f>IF(NOT(ISNUMBER(T3140)),"Needs supplier cost",IF(K3140&lt;&gt;"In stock","Supplier unavailable",IF(AG3140&lt;&gt;"PASS","BLOCK - GT loss risk","Commercially protected")))</x:f>
        <x:v>Needs supplier cost</x:v>
      </x:c>
      <x:c r="AI3140" t="str">
        <x:v>2026-09-10 Active Sports trade capture</x:v>
      </x:c>
      <x:c r="AJ3140" t="str">
        <x:v>Management-only economics. Stripe stress test uses 1.5% + £0.20 standard UK online-card fee; pallet/mix-and-match pricing ignored.</x:v>
      </x:c>
    </x:row>
    <x:row r="3141">
      <x:c r="A3141" t="str">
        <x:v>Active Sports Nutrition</x:v>
      </x:c>
      <x:c r="B3141" t="str">
        <x:v>Trained By JP</x:v>
      </x:c>
      <x:c r="C3141" t="str">
        <x:v>Performance Isolate</x:v>
      </x:c>
      <x:c r="D3141" t="str">
        <x:v>Supplements</x:v>
      </x:c>
      <x:c r="E3141" t="str">
        <x:v>Protein Blend</x:v>
      </x:c>
      <x:c r="F3141" t="str"/>
      <x:c r="G3141" t="str">
        <x:v>1kg</x:v>
      </x:c>
      <x:c r="H3141" t="str">
        <x:v>Carrot Cake</x:v>
      </x:c>
      <x:c r="I3141" t="str"/>
      <x:c r="J3141" t="str">
        <x:v>Unit</x:v>
      </x:c>
      <x:c r="K3141" t="str">
        <x:v>In stock</x:v>
      </x:c>
      <x:c r="L3141" t="str">
        <x:v>2026-09-08</x:v>
      </x:c>
      <x:c r="M3141" t="str"/>
      <x:c r="N3141" t="str"/>
      <x:c r="O3141" t="str">
        <x:v>https://www.activesportstrade.co.uk/trained-by-jp-trade</x:v>
      </x:c>
      <x:c r="P3141" t="str">
        <x:v>Supplier currently spells one flavour 'Mlated Chocolate'; retained exactly pending later identity cleanup.</x:v>
      </x:c>
      <x:c r="Q3141" t="str"/>
      <x:c r="R3141" t="str"/>
      <x:c r="S3141" t="str">
        <x:v>Pending genuine supplier/brand image</x:v>
      </x:c>
      <x:c r="T3141" s="54"/>
      <x:c r="U3141" s="47" t="n">
        <x:v>0.2</x:v>
      </x:c>
      <x:c r="V3141" s="54" t="str">
        <x:f>IF(ISNUMBER(T3141),T3141*(1+U3141),"")</x:f>
      </x:c>
      <x:c r="W3141" s="47" t="n">
        <x:v>0.3</x:v>
      </x:c>
      <x:c r="X3141" s="54" t="str">
        <x:f>IF(ISNUMBER(V3141),V3141/(1-W3141),"")</x:f>
      </x:c>
      <x:c r="Y3141" s="55" t="str">
        <x:f>IF(ISNUMBER(X3141),ROUNDUP(X3141,0),"")</x:f>
      </x:c>
      <x:c r="Z3141" t="str">
        <x:f>IF(ISNUMBER(T3141),"Cost captured","Awaiting trade cost")</x:f>
        <x:v>Awaiting trade cost</x:v>
      </x:c>
      <x:c r="AB3141" s="36" t="str">
        <x:f>IF(ISNUMBER(Y3141),ROUND(Y3141*0.9,2),"")</x:f>
      </x:c>
      <x:c r="AC3141" s="36" t="str">
        <x:f>IF(ISNUMBER(AB3141),ROUND(AB3141-(AB3141*0.015+0.2)-V3141,2),"")</x:f>
      </x:c>
      <x:c r="AD3141" s="36" t="str">
        <x:f>IF(ISNUMBER(Y3141),ROUND(Y3141*0.8,2),"")</x:f>
      </x:c>
      <x:c r="AE3141" s="36" t="str">
        <x:f>IF(ISNUMBER(AD3141),ROUND(AD3141*0.015+0.2,2),"")</x:f>
      </x:c>
      <x:c r="AF3141" s="36" t="str">
        <x:f>IF(ISNUMBER(AD3141),ROUND(AD3141-AE3141-V3141,2),"")</x:f>
      </x:c>
      <x:c r="AG3141" t="str">
        <x:f>IF(NOT(ISNUMBER(T3141)),"PENDING",IF(AF3141&gt;0,"PASS","FAIL"))</x:f>
        <x:v>PENDING</x:v>
      </x:c>
      <x:c r="AH3141" t="str">
        <x:f>IF(NOT(ISNUMBER(T3141)),"Needs supplier cost",IF(K3141&lt;&gt;"In stock","Supplier unavailable",IF(AG3141&lt;&gt;"PASS","BLOCK - GT loss risk","Commercially protected")))</x:f>
        <x:v>Needs supplier cost</x:v>
      </x:c>
      <x:c r="AI3141" t="str">
        <x:v>2026-09-10 Active Sports trade capture</x:v>
      </x:c>
      <x:c r="AJ3141" t="str">
        <x:v>Management-only economics. Stripe stress test uses 1.5% + £0.20 standard UK online-card fee; pallet/mix-and-match pricing ignored.</x:v>
      </x:c>
    </x:row>
    <x:row r="3142">
      <x:c r="A3142" t="str">
        <x:v>Active Sports Nutrition</x:v>
      </x:c>
      <x:c r="B3142" t="str">
        <x:v>Trained By JP</x:v>
      </x:c>
      <x:c r="C3142" t="str">
        <x:v>Performance Isolate</x:v>
      </x:c>
      <x:c r="D3142" t="str">
        <x:v>Supplements</x:v>
      </x:c>
      <x:c r="E3142" t="str">
        <x:v>Protein Blend</x:v>
      </x:c>
      <x:c r="F3142" t="str"/>
      <x:c r="G3142" t="str">
        <x:v>1kg</x:v>
      </x:c>
      <x:c r="H3142" t="str">
        <x:v>Cereal Milk</x:v>
      </x:c>
      <x:c r="I3142" t="str"/>
      <x:c r="J3142" t="str">
        <x:v>Unit</x:v>
      </x:c>
      <x:c r="K3142" t="str">
        <x:v>Out of stock</x:v>
      </x:c>
      <x:c r="L3142" t="str">
        <x:v>2026-09-08</x:v>
      </x:c>
      <x:c r="M3142" t="str"/>
      <x:c r="N3142" t="str"/>
      <x:c r="O3142" t="str">
        <x:v>https://www.activesportstrade.co.uk/trained-by-jp-trade</x:v>
      </x:c>
      <x:c r="P3142" t="str">
        <x:v>Supplier currently spells one flavour 'Mlated Chocolate'; retained exactly pending later identity cleanup.</x:v>
      </x:c>
      <x:c r="Q3142" t="str"/>
      <x:c r="R3142" t="str"/>
      <x:c r="S3142" t="str">
        <x:v>Pending genuine supplier/brand image</x:v>
      </x:c>
      <x:c r="T3142" s="54"/>
      <x:c r="U3142" s="47" t="n">
        <x:v>0.2</x:v>
      </x:c>
      <x:c r="V3142" s="54" t="str">
        <x:f>IF(ISNUMBER(T3142),T3142*(1+U3142),"")</x:f>
      </x:c>
      <x:c r="W3142" s="47" t="n">
        <x:v>0.3</x:v>
      </x:c>
      <x:c r="X3142" s="54" t="str">
        <x:f>IF(ISNUMBER(V3142),V3142/(1-W3142),"")</x:f>
      </x:c>
      <x:c r="Y3142" s="55" t="str">
        <x:f>IF(ISNUMBER(X3142),ROUNDUP(X3142,0),"")</x:f>
      </x:c>
      <x:c r="Z3142" t="str">
        <x:f>IF(ISNUMBER(T3142),"Cost captured","Awaiting trade cost")</x:f>
        <x:v>Awaiting trade cost</x:v>
      </x:c>
      <x:c r="AB3142" s="36" t="str">
        <x:f>IF(ISNUMBER(Y3142),ROUND(Y3142*0.9,2),"")</x:f>
      </x:c>
      <x:c r="AC3142" s="36" t="str">
        <x:f>IF(ISNUMBER(AB3142),ROUND(AB3142-(AB3142*0.015+0.2)-V3142,2),"")</x:f>
      </x:c>
      <x:c r="AD3142" s="36" t="str">
        <x:f>IF(ISNUMBER(Y3142),ROUND(Y3142*0.8,2),"")</x:f>
      </x:c>
      <x:c r="AE3142" s="36" t="str">
        <x:f>IF(ISNUMBER(AD3142),ROUND(AD3142*0.015+0.2,2),"")</x:f>
      </x:c>
      <x:c r="AF3142" s="36" t="str">
        <x:f>IF(ISNUMBER(AD3142),ROUND(AD3142-AE3142-V3142,2),"")</x:f>
      </x:c>
      <x:c r="AG3142" t="str">
        <x:f>IF(NOT(ISNUMBER(T3142)),"PENDING",IF(AF3142&gt;0,"PASS","FAIL"))</x:f>
        <x:v>PENDING</x:v>
      </x:c>
      <x:c r="AH3142" t="str">
        <x:f>IF(NOT(ISNUMBER(T3142)),"Needs supplier cost",IF(K3142&lt;&gt;"In stock","Supplier unavailable",IF(AG3142&lt;&gt;"PASS","BLOCK - GT loss risk","Commercially protected")))</x:f>
        <x:v>Needs supplier cost</x:v>
      </x:c>
      <x:c r="AI3142" t="str">
        <x:v>2026-09-10 Active Sports trade capture</x:v>
      </x:c>
      <x:c r="AJ3142" t="str">
        <x:v>Management-only economics. Stripe stress test uses 1.5% + £0.20 standard UK online-card fee; pallet/mix-and-match pricing ignored.</x:v>
      </x:c>
    </x:row>
    <x:row r="3143">
      <x:c r="A3143" t="str">
        <x:v>Active Sports Nutrition</x:v>
      </x:c>
      <x:c r="B3143" t="str">
        <x:v>Trained By JP</x:v>
      </x:c>
      <x:c r="C3143" t="str">
        <x:v>Performance Isolate</x:v>
      </x:c>
      <x:c r="D3143" t="str">
        <x:v>Supplements</x:v>
      </x:c>
      <x:c r="E3143" t="str">
        <x:v>Protein Blend</x:v>
      </x:c>
      <x:c r="F3143" t="str"/>
      <x:c r="G3143" t="str">
        <x:v>1kg</x:v>
      </x:c>
      <x:c r="H3143" t="str">
        <x:v>Choc Peanut Butter</x:v>
      </x:c>
      <x:c r="I3143" t="str"/>
      <x:c r="J3143" t="str">
        <x:v>Unit</x:v>
      </x:c>
      <x:c r="K3143" t="str">
        <x:v>Out of stock</x:v>
      </x:c>
      <x:c r="L3143" t="str">
        <x:v>2026-09-08</x:v>
      </x:c>
      <x:c r="M3143" t="str"/>
      <x:c r="N3143" t="str"/>
      <x:c r="O3143" t="str">
        <x:v>https://www.activesportstrade.co.uk/trained-by-jp-trade</x:v>
      </x:c>
      <x:c r="P3143" t="str">
        <x:v>Supplier currently spells one flavour 'Mlated Chocolate'; retained exactly pending later identity cleanup.</x:v>
      </x:c>
      <x:c r="Q3143" t="str"/>
      <x:c r="R3143" t="str"/>
      <x:c r="S3143" t="str">
        <x:v>Pending genuine supplier/brand image</x:v>
      </x:c>
      <x:c r="T3143" s="54"/>
      <x:c r="U3143" s="47" t="n">
        <x:v>0.2</x:v>
      </x:c>
      <x:c r="V3143" s="54" t="str">
        <x:f>IF(ISNUMBER(T3143),T3143*(1+U3143),"")</x:f>
      </x:c>
      <x:c r="W3143" s="47" t="n">
        <x:v>0.3</x:v>
      </x:c>
      <x:c r="X3143" s="54" t="str">
        <x:f>IF(ISNUMBER(V3143),V3143/(1-W3143),"")</x:f>
      </x:c>
      <x:c r="Y3143" s="55" t="str">
        <x:f>IF(ISNUMBER(X3143),ROUNDUP(X3143,0),"")</x:f>
      </x:c>
      <x:c r="Z3143" t="str">
        <x:f>IF(ISNUMBER(T3143),"Cost captured","Awaiting trade cost")</x:f>
        <x:v>Awaiting trade cost</x:v>
      </x:c>
      <x:c r="AB3143" s="36" t="str">
        <x:f>IF(ISNUMBER(Y3143),ROUND(Y3143*0.9,2),"")</x:f>
      </x:c>
      <x:c r="AC3143" s="36" t="str">
        <x:f>IF(ISNUMBER(AB3143),ROUND(AB3143-(AB3143*0.015+0.2)-V3143,2),"")</x:f>
      </x:c>
      <x:c r="AD3143" s="36" t="str">
        <x:f>IF(ISNUMBER(Y3143),ROUND(Y3143*0.8,2),"")</x:f>
      </x:c>
      <x:c r="AE3143" s="36" t="str">
        <x:f>IF(ISNUMBER(AD3143),ROUND(AD3143*0.015+0.2,2),"")</x:f>
      </x:c>
      <x:c r="AF3143" s="36" t="str">
        <x:f>IF(ISNUMBER(AD3143),ROUND(AD3143-AE3143-V3143,2),"")</x:f>
      </x:c>
      <x:c r="AG3143" t="str">
        <x:f>IF(NOT(ISNUMBER(T3143)),"PENDING",IF(AF3143&gt;0,"PASS","FAIL"))</x:f>
        <x:v>PENDING</x:v>
      </x:c>
      <x:c r="AH3143" t="str">
        <x:f>IF(NOT(ISNUMBER(T3143)),"Needs supplier cost",IF(K3143&lt;&gt;"In stock","Supplier unavailable",IF(AG3143&lt;&gt;"PASS","BLOCK - GT loss risk","Commercially protected")))</x:f>
        <x:v>Needs supplier cost</x:v>
      </x:c>
      <x:c r="AI3143" t="str">
        <x:v>2026-09-10 Active Sports trade capture</x:v>
      </x:c>
      <x:c r="AJ3143" t="str">
        <x:v>Management-only economics. Stripe stress test uses 1.5% + £0.20 standard UK online-card fee; pallet/mix-and-match pricing ignored.</x:v>
      </x:c>
    </x:row>
    <x:row r="3144">
      <x:c r="A3144" t="str">
        <x:v>Active Sports Nutrition</x:v>
      </x:c>
      <x:c r="B3144" t="str">
        <x:v>Trained By JP</x:v>
      </x:c>
      <x:c r="C3144" t="str">
        <x:v>Performance Isolate</x:v>
      </x:c>
      <x:c r="D3144" t="str">
        <x:v>Supplements</x:v>
      </x:c>
      <x:c r="E3144" t="str">
        <x:v>Protein Blend</x:v>
      </x:c>
      <x:c r="F3144" t="str"/>
      <x:c r="G3144" t="str">
        <x:v>1kg</x:v>
      </x:c>
      <x:c r="H3144" t="str">
        <x:v>Chocolate Caramel</x:v>
      </x:c>
      <x:c r="I3144" t="str"/>
      <x:c r="J3144" t="str">
        <x:v>Unit</x:v>
      </x:c>
      <x:c r="K3144" t="str">
        <x:v>Out of stock</x:v>
      </x:c>
      <x:c r="L3144" t="str">
        <x:v>2026-09-08</x:v>
      </x:c>
      <x:c r="M3144" t="str"/>
      <x:c r="N3144" t="str"/>
      <x:c r="O3144" t="str">
        <x:v>https://www.activesportstrade.co.uk/trained-by-jp-trade</x:v>
      </x:c>
      <x:c r="P3144" t="str">
        <x:v>Supplier currently spells one flavour 'Mlated Chocolate'; retained exactly pending later identity cleanup.</x:v>
      </x:c>
      <x:c r="Q3144" t="str"/>
      <x:c r="R3144" t="str"/>
      <x:c r="S3144" t="str">
        <x:v>Pending genuine supplier/brand image</x:v>
      </x:c>
      <x:c r="T3144" s="54"/>
      <x:c r="U3144" s="47" t="n">
        <x:v>0.2</x:v>
      </x:c>
      <x:c r="V3144" s="54" t="str">
        <x:f>IF(ISNUMBER(T3144),T3144*(1+U3144),"")</x:f>
      </x:c>
      <x:c r="W3144" s="47" t="n">
        <x:v>0.3</x:v>
      </x:c>
      <x:c r="X3144" s="54" t="str">
        <x:f>IF(ISNUMBER(V3144),V3144/(1-W3144),"")</x:f>
      </x:c>
      <x:c r="Y3144" s="55" t="str">
        <x:f>IF(ISNUMBER(X3144),ROUNDUP(X3144,0),"")</x:f>
      </x:c>
      <x:c r="Z3144" t="str">
        <x:f>IF(ISNUMBER(T3144),"Cost captured","Awaiting trade cost")</x:f>
        <x:v>Awaiting trade cost</x:v>
      </x:c>
      <x:c r="AB3144" s="36" t="str">
        <x:f>IF(ISNUMBER(Y3144),ROUND(Y3144*0.9,2),"")</x:f>
      </x:c>
      <x:c r="AC3144" s="36" t="str">
        <x:f>IF(ISNUMBER(AB3144),ROUND(AB3144-(AB3144*0.015+0.2)-V3144,2),"")</x:f>
      </x:c>
      <x:c r="AD3144" s="36" t="str">
        <x:f>IF(ISNUMBER(Y3144),ROUND(Y3144*0.8,2),"")</x:f>
      </x:c>
      <x:c r="AE3144" s="36" t="str">
        <x:f>IF(ISNUMBER(AD3144),ROUND(AD3144*0.015+0.2,2),"")</x:f>
      </x:c>
      <x:c r="AF3144" s="36" t="str">
        <x:f>IF(ISNUMBER(AD3144),ROUND(AD3144-AE3144-V3144,2),"")</x:f>
      </x:c>
      <x:c r="AG3144" t="str">
        <x:f>IF(NOT(ISNUMBER(T3144)),"PENDING",IF(AF3144&gt;0,"PASS","FAIL"))</x:f>
        <x:v>PENDING</x:v>
      </x:c>
      <x:c r="AH3144" t="str">
        <x:f>IF(NOT(ISNUMBER(T3144)),"Needs supplier cost",IF(K3144&lt;&gt;"In stock","Supplier unavailable",IF(AG3144&lt;&gt;"PASS","BLOCK - GT loss risk","Commercially protected")))</x:f>
        <x:v>Needs supplier cost</x:v>
      </x:c>
      <x:c r="AI3144" t="str">
        <x:v>2026-09-10 Active Sports trade capture</x:v>
      </x:c>
      <x:c r="AJ3144" t="str">
        <x:v>Management-only economics. Stripe stress test uses 1.5% + £0.20 standard UK online-card fee; pallet/mix-and-match pricing ignored.</x:v>
      </x:c>
    </x:row>
    <x:row r="3145">
      <x:c r="A3145" t="str">
        <x:v>Active Sports Nutrition</x:v>
      </x:c>
      <x:c r="B3145" t="str">
        <x:v>Trained By JP</x:v>
      </x:c>
      <x:c r="C3145" t="str">
        <x:v>Performance Isolate</x:v>
      </x:c>
      <x:c r="D3145" t="str">
        <x:v>Supplements</x:v>
      </x:c>
      <x:c r="E3145" t="str">
        <x:v>Protein Blend</x:v>
      </x:c>
      <x:c r="F3145" t="str"/>
      <x:c r="G3145" t="str">
        <x:v>1kg</x:v>
      </x:c>
      <x:c r="H3145" t="str">
        <x:v>Chocolate Mocha</x:v>
      </x:c>
      <x:c r="I3145" t="str"/>
      <x:c r="J3145" t="str">
        <x:v>Unit</x:v>
      </x:c>
      <x:c r="K3145" t="str">
        <x:v>Out of stock</x:v>
      </x:c>
      <x:c r="L3145" t="str">
        <x:v>2026-09-08</x:v>
      </x:c>
      <x:c r="M3145" t="str"/>
      <x:c r="N3145" t="str"/>
      <x:c r="O3145" t="str">
        <x:v>https://www.activesportstrade.co.uk/trained-by-jp-trade</x:v>
      </x:c>
      <x:c r="P3145" t="str">
        <x:v>Supplier currently spells one flavour 'Mlated Chocolate'; retained exactly pending later identity cleanup.</x:v>
      </x:c>
      <x:c r="Q3145" t="str"/>
      <x:c r="R3145" t="str"/>
      <x:c r="S3145" t="str">
        <x:v>Pending genuine supplier/brand image</x:v>
      </x:c>
      <x:c r="T3145" s="54"/>
      <x:c r="U3145" s="47" t="n">
        <x:v>0.2</x:v>
      </x:c>
      <x:c r="V3145" s="54" t="str">
        <x:f>IF(ISNUMBER(T3145),T3145*(1+U3145),"")</x:f>
      </x:c>
      <x:c r="W3145" s="47" t="n">
        <x:v>0.3</x:v>
      </x:c>
      <x:c r="X3145" s="54" t="str">
        <x:f>IF(ISNUMBER(V3145),V3145/(1-W3145),"")</x:f>
      </x:c>
      <x:c r="Y3145" s="55" t="str">
        <x:f>IF(ISNUMBER(X3145),ROUNDUP(X3145,0),"")</x:f>
      </x:c>
      <x:c r="Z3145" t="str">
        <x:f>IF(ISNUMBER(T3145),"Cost captured","Awaiting trade cost")</x:f>
        <x:v>Awaiting trade cost</x:v>
      </x:c>
      <x:c r="AB3145" s="36" t="str">
        <x:f>IF(ISNUMBER(Y3145),ROUND(Y3145*0.9,2),"")</x:f>
      </x:c>
      <x:c r="AC3145" s="36" t="str">
        <x:f>IF(ISNUMBER(AB3145),ROUND(AB3145-(AB3145*0.015+0.2)-V3145,2),"")</x:f>
      </x:c>
      <x:c r="AD3145" s="36" t="str">
        <x:f>IF(ISNUMBER(Y3145),ROUND(Y3145*0.8,2),"")</x:f>
      </x:c>
      <x:c r="AE3145" s="36" t="str">
        <x:f>IF(ISNUMBER(AD3145),ROUND(AD3145*0.015+0.2,2),"")</x:f>
      </x:c>
      <x:c r="AF3145" s="36" t="str">
        <x:f>IF(ISNUMBER(AD3145),ROUND(AD3145-AE3145-V3145,2),"")</x:f>
      </x:c>
      <x:c r="AG3145" t="str">
        <x:f>IF(NOT(ISNUMBER(T3145)),"PENDING",IF(AF3145&gt;0,"PASS","FAIL"))</x:f>
        <x:v>PENDING</x:v>
      </x:c>
      <x:c r="AH3145" t="str">
        <x:f>IF(NOT(ISNUMBER(T3145)),"Needs supplier cost",IF(K3145&lt;&gt;"In stock","Supplier unavailable",IF(AG3145&lt;&gt;"PASS","BLOCK - GT loss risk","Commercially protected")))</x:f>
        <x:v>Needs supplier cost</x:v>
      </x:c>
      <x:c r="AI3145" t="str">
        <x:v>2026-09-10 Active Sports trade capture</x:v>
      </x:c>
      <x:c r="AJ3145" t="str">
        <x:v>Management-only economics. Stripe stress test uses 1.5% + £0.20 standard UK online-card fee; pallet/mix-and-match pricing ignored.</x:v>
      </x:c>
    </x:row>
    <x:row r="3146">
      <x:c r="A3146" t="str">
        <x:v>Active Sports Nutrition</x:v>
      </x:c>
      <x:c r="B3146" t="str">
        <x:v>Trained By JP</x:v>
      </x:c>
      <x:c r="C3146" t="str">
        <x:v>Performance Isolate</x:v>
      </x:c>
      <x:c r="D3146" t="str">
        <x:v>Supplements</x:v>
      </x:c>
      <x:c r="E3146" t="str">
        <x:v>Protein Blend</x:v>
      </x:c>
      <x:c r="F3146" t="str"/>
      <x:c r="G3146" t="str">
        <x:v>1kg</x:v>
      </x:c>
      <x:c r="H3146" t="str">
        <x:v>Chocolate Orange</x:v>
      </x:c>
      <x:c r="I3146" t="str"/>
      <x:c r="J3146" t="str">
        <x:v>Unit</x:v>
      </x:c>
      <x:c r="K3146" t="str">
        <x:v>Out of stock</x:v>
      </x:c>
      <x:c r="L3146" t="str">
        <x:v>2026-09-08</x:v>
      </x:c>
      <x:c r="M3146" t="str"/>
      <x:c r="N3146" t="str"/>
      <x:c r="O3146" t="str">
        <x:v>https://www.activesportstrade.co.uk/trained-by-jp-trade</x:v>
      </x:c>
      <x:c r="P3146" t="str">
        <x:v>Supplier currently spells one flavour 'Mlated Chocolate'; retained exactly pending later identity cleanup.</x:v>
      </x:c>
      <x:c r="Q3146" t="str"/>
      <x:c r="R3146" t="str"/>
      <x:c r="S3146" t="str">
        <x:v>Pending genuine supplier/brand image</x:v>
      </x:c>
      <x:c r="T3146" s="54"/>
      <x:c r="U3146" s="47" t="n">
        <x:v>0.2</x:v>
      </x:c>
      <x:c r="V3146" s="54" t="str">
        <x:f>IF(ISNUMBER(T3146),T3146*(1+U3146),"")</x:f>
      </x:c>
      <x:c r="W3146" s="47" t="n">
        <x:v>0.3</x:v>
      </x:c>
      <x:c r="X3146" s="54" t="str">
        <x:f>IF(ISNUMBER(V3146),V3146/(1-W3146),"")</x:f>
      </x:c>
      <x:c r="Y3146" s="55" t="str">
        <x:f>IF(ISNUMBER(X3146),ROUNDUP(X3146,0),"")</x:f>
      </x:c>
      <x:c r="Z3146" t="str">
        <x:f>IF(ISNUMBER(T3146),"Cost captured","Awaiting trade cost")</x:f>
        <x:v>Awaiting trade cost</x:v>
      </x:c>
      <x:c r="AB3146" s="36" t="str">
        <x:f>IF(ISNUMBER(Y3146),ROUND(Y3146*0.9,2),"")</x:f>
      </x:c>
      <x:c r="AC3146" s="36" t="str">
        <x:f>IF(ISNUMBER(AB3146),ROUND(AB3146-(AB3146*0.015+0.2)-V3146,2),"")</x:f>
      </x:c>
      <x:c r="AD3146" s="36" t="str">
        <x:f>IF(ISNUMBER(Y3146),ROUND(Y3146*0.8,2),"")</x:f>
      </x:c>
      <x:c r="AE3146" s="36" t="str">
        <x:f>IF(ISNUMBER(AD3146),ROUND(AD3146*0.015+0.2,2),"")</x:f>
      </x:c>
      <x:c r="AF3146" s="36" t="str">
        <x:f>IF(ISNUMBER(AD3146),ROUND(AD3146-AE3146-V3146,2),"")</x:f>
      </x:c>
      <x:c r="AG3146" t="str">
        <x:f>IF(NOT(ISNUMBER(T3146)),"PENDING",IF(AF3146&gt;0,"PASS","FAIL"))</x:f>
        <x:v>PENDING</x:v>
      </x:c>
      <x:c r="AH3146" t="str">
        <x:f>IF(NOT(ISNUMBER(T3146)),"Needs supplier cost",IF(K3146&lt;&gt;"In stock","Supplier unavailable",IF(AG3146&lt;&gt;"PASS","BLOCK - GT loss risk","Commercially protected")))</x:f>
        <x:v>Needs supplier cost</x:v>
      </x:c>
      <x:c r="AI3146" t="str">
        <x:v>2026-09-10 Active Sports trade capture</x:v>
      </x:c>
      <x:c r="AJ3146" t="str">
        <x:v>Management-only economics. Stripe stress test uses 1.5% + £0.20 standard UK online-card fee; pallet/mix-and-match pricing ignored.</x:v>
      </x:c>
    </x:row>
    <x:row r="3147">
      <x:c r="A3147" t="str">
        <x:v>Active Sports Nutrition</x:v>
      </x:c>
      <x:c r="B3147" t="str">
        <x:v>Trained By JP</x:v>
      </x:c>
      <x:c r="C3147" t="str">
        <x:v>Performance Isolate</x:v>
      </x:c>
      <x:c r="D3147" t="str">
        <x:v>Supplements</x:v>
      </x:c>
      <x:c r="E3147" t="str">
        <x:v>Protein Blend</x:v>
      </x:c>
      <x:c r="F3147" t="str"/>
      <x:c r="G3147" t="str">
        <x:v>1kg</x:v>
      </x:c>
      <x:c r="H3147" t="str">
        <x:v>Chocolate Pistachio</x:v>
      </x:c>
      <x:c r="I3147" t="str"/>
      <x:c r="J3147" t="str">
        <x:v>Unit</x:v>
      </x:c>
      <x:c r="K3147" t="str">
        <x:v>In stock</x:v>
      </x:c>
      <x:c r="L3147" t="str">
        <x:v>2026-09-08</x:v>
      </x:c>
      <x:c r="M3147" t="str"/>
      <x:c r="N3147" t="str"/>
      <x:c r="O3147" t="str">
        <x:v>https://www.activesportstrade.co.uk/trained-by-jp-trade</x:v>
      </x:c>
      <x:c r="P3147" t="str">
        <x:v>Supplier currently spells one flavour 'Mlated Chocolate'; retained exactly pending later identity cleanup.</x:v>
      </x:c>
      <x:c r="Q3147" t="str"/>
      <x:c r="R3147" t="str"/>
      <x:c r="S3147" t="str">
        <x:v>Pending genuine supplier/brand image</x:v>
      </x:c>
      <x:c r="T3147" s="54"/>
      <x:c r="U3147" s="47" t="n">
        <x:v>0.2</x:v>
      </x:c>
      <x:c r="V3147" s="54" t="str">
        <x:f>IF(ISNUMBER(T3147),T3147*(1+U3147),"")</x:f>
      </x:c>
      <x:c r="W3147" s="47" t="n">
        <x:v>0.3</x:v>
      </x:c>
      <x:c r="X3147" s="54" t="str">
        <x:f>IF(ISNUMBER(V3147),V3147/(1-W3147),"")</x:f>
      </x:c>
      <x:c r="Y3147" s="55" t="str">
        <x:f>IF(ISNUMBER(X3147),ROUNDUP(X3147,0),"")</x:f>
      </x:c>
      <x:c r="Z3147" t="str">
        <x:f>IF(ISNUMBER(T3147),"Cost captured","Awaiting trade cost")</x:f>
        <x:v>Awaiting trade cost</x:v>
      </x:c>
      <x:c r="AB3147" s="36" t="str">
        <x:f>IF(ISNUMBER(Y3147),ROUND(Y3147*0.9,2),"")</x:f>
      </x:c>
      <x:c r="AC3147" s="36" t="str">
        <x:f>IF(ISNUMBER(AB3147),ROUND(AB3147-(AB3147*0.015+0.2)-V3147,2),"")</x:f>
      </x:c>
      <x:c r="AD3147" s="36" t="str">
        <x:f>IF(ISNUMBER(Y3147),ROUND(Y3147*0.8,2),"")</x:f>
      </x:c>
      <x:c r="AE3147" s="36" t="str">
        <x:f>IF(ISNUMBER(AD3147),ROUND(AD3147*0.015+0.2,2),"")</x:f>
      </x:c>
      <x:c r="AF3147" s="36" t="str">
        <x:f>IF(ISNUMBER(AD3147),ROUND(AD3147-AE3147-V3147,2),"")</x:f>
      </x:c>
      <x:c r="AG3147" t="str">
        <x:f>IF(NOT(ISNUMBER(T3147)),"PENDING",IF(AF3147&gt;0,"PASS","FAIL"))</x:f>
        <x:v>PENDING</x:v>
      </x:c>
      <x:c r="AH3147" t="str">
        <x:f>IF(NOT(ISNUMBER(T3147)),"Needs supplier cost",IF(K3147&lt;&gt;"In stock","Supplier unavailable",IF(AG3147&lt;&gt;"PASS","BLOCK - GT loss risk","Commercially protected")))</x:f>
        <x:v>Needs supplier cost</x:v>
      </x:c>
      <x:c r="AI3147" t="str">
        <x:v>2026-09-10 Active Sports trade capture</x:v>
      </x:c>
      <x:c r="AJ3147" t="str">
        <x:v>Management-only economics. Stripe stress test uses 1.5% + £0.20 standard UK online-card fee; pallet/mix-and-match pricing ignored.</x:v>
      </x:c>
    </x:row>
    <x:row r="3148">
      <x:c r="A3148" t="str">
        <x:v>Active Sports Nutrition</x:v>
      </x:c>
      <x:c r="B3148" t="str">
        <x:v>Trained By JP</x:v>
      </x:c>
      <x:c r="C3148" t="str">
        <x:v>Performance Isolate</x:v>
      </x:c>
      <x:c r="D3148" t="str">
        <x:v>Supplements</x:v>
      </x:c>
      <x:c r="E3148" t="str">
        <x:v>Protein Blend</x:v>
      </x:c>
      <x:c r="F3148" t="str"/>
      <x:c r="G3148" t="str">
        <x:v>1kg</x:v>
      </x:c>
      <x:c r="H3148" t="str">
        <x:v>Cinnamon Danish</x:v>
      </x:c>
      <x:c r="I3148" t="str"/>
      <x:c r="J3148" t="str">
        <x:v>Unit</x:v>
      </x:c>
      <x:c r="K3148" t="str">
        <x:v>In stock</x:v>
      </x:c>
      <x:c r="L3148" t="str">
        <x:v>2026-09-08</x:v>
      </x:c>
      <x:c r="M3148" t="str"/>
      <x:c r="N3148" t="str"/>
      <x:c r="O3148" t="str">
        <x:v>https://www.activesportstrade.co.uk/trained-by-jp-trade</x:v>
      </x:c>
      <x:c r="P3148" t="str">
        <x:v>Supplier currently spells one flavour 'Mlated Chocolate'; retained exactly pending later identity cleanup.</x:v>
      </x:c>
      <x:c r="Q3148" t="str"/>
      <x:c r="R3148" t="str"/>
      <x:c r="S3148" t="str">
        <x:v>Pending genuine supplier/brand image</x:v>
      </x:c>
      <x:c r="T3148" s="54"/>
      <x:c r="U3148" s="47" t="n">
        <x:v>0.2</x:v>
      </x:c>
      <x:c r="V3148" s="54" t="str">
        <x:f>IF(ISNUMBER(T3148),T3148*(1+U3148),"")</x:f>
      </x:c>
      <x:c r="W3148" s="47" t="n">
        <x:v>0.3</x:v>
      </x:c>
      <x:c r="X3148" s="54" t="str">
        <x:f>IF(ISNUMBER(V3148),V3148/(1-W3148),"")</x:f>
      </x:c>
      <x:c r="Y3148" s="55" t="str">
        <x:f>IF(ISNUMBER(X3148),ROUNDUP(X3148,0),"")</x:f>
      </x:c>
      <x:c r="Z3148" t="str">
        <x:f>IF(ISNUMBER(T3148),"Cost captured","Awaiting trade cost")</x:f>
        <x:v>Awaiting trade cost</x:v>
      </x:c>
      <x:c r="AB3148" s="36" t="str">
        <x:f>IF(ISNUMBER(Y3148),ROUND(Y3148*0.9,2),"")</x:f>
      </x:c>
      <x:c r="AC3148" s="36" t="str">
        <x:f>IF(ISNUMBER(AB3148),ROUND(AB3148-(AB3148*0.015+0.2)-V3148,2),"")</x:f>
      </x:c>
      <x:c r="AD3148" s="36" t="str">
        <x:f>IF(ISNUMBER(Y3148),ROUND(Y3148*0.8,2),"")</x:f>
      </x:c>
      <x:c r="AE3148" s="36" t="str">
        <x:f>IF(ISNUMBER(AD3148),ROUND(AD3148*0.015+0.2,2),"")</x:f>
      </x:c>
      <x:c r="AF3148" s="36" t="str">
        <x:f>IF(ISNUMBER(AD3148),ROUND(AD3148-AE3148-V3148,2),"")</x:f>
      </x:c>
      <x:c r="AG3148" t="str">
        <x:f>IF(NOT(ISNUMBER(T3148)),"PENDING",IF(AF3148&gt;0,"PASS","FAIL"))</x:f>
        <x:v>PENDING</x:v>
      </x:c>
      <x:c r="AH3148" t="str">
        <x:f>IF(NOT(ISNUMBER(T3148)),"Needs supplier cost",IF(K3148&lt;&gt;"In stock","Supplier unavailable",IF(AG3148&lt;&gt;"PASS","BLOCK - GT loss risk","Commercially protected")))</x:f>
        <x:v>Needs supplier cost</x:v>
      </x:c>
      <x:c r="AI3148" t="str">
        <x:v>2026-09-10 Active Sports trade capture</x:v>
      </x:c>
      <x:c r="AJ3148" t="str">
        <x:v>Management-only economics. Stripe stress test uses 1.5% + £0.20 standard UK online-card fee; pallet/mix-and-match pricing ignored.</x:v>
      </x:c>
    </x:row>
    <x:row r="3149">
      <x:c r="A3149" t="str">
        <x:v>Active Sports Nutrition</x:v>
      </x:c>
      <x:c r="B3149" t="str">
        <x:v>Trained By JP</x:v>
      </x:c>
      <x:c r="C3149" t="str">
        <x:v>Performance Isolate</x:v>
      </x:c>
      <x:c r="D3149" t="str">
        <x:v>Supplements</x:v>
      </x:c>
      <x:c r="E3149" t="str">
        <x:v>Protein Blend</x:v>
      </x:c>
      <x:c r="F3149" t="str"/>
      <x:c r="G3149" t="str">
        <x:v>1kg</x:v>
      </x:c>
      <x:c r="H3149" t="str">
        <x:v>Coffee Caramel</x:v>
      </x:c>
      <x:c r="I3149" t="str"/>
      <x:c r="J3149" t="str">
        <x:v>Unit</x:v>
      </x:c>
      <x:c r="K3149" t="str">
        <x:v>Out of stock</x:v>
      </x:c>
      <x:c r="L3149" t="str">
        <x:v>2026-09-08</x:v>
      </x:c>
      <x:c r="M3149" t="str"/>
      <x:c r="N3149" t="str"/>
      <x:c r="O3149" t="str">
        <x:v>https://www.activesportstrade.co.uk/trained-by-jp-trade</x:v>
      </x:c>
      <x:c r="P3149" t="str">
        <x:v>Supplier currently spells one flavour 'Mlated Chocolate'; retained exactly pending later identity cleanup.</x:v>
      </x:c>
      <x:c r="Q3149" t="str"/>
      <x:c r="R3149" t="str"/>
      <x:c r="S3149" t="str">
        <x:v>Pending genuine supplier/brand image</x:v>
      </x:c>
      <x:c r="T3149" s="54"/>
      <x:c r="U3149" s="47" t="n">
        <x:v>0.2</x:v>
      </x:c>
      <x:c r="V3149" s="54" t="str">
        <x:f>IF(ISNUMBER(T3149),T3149*(1+U3149),"")</x:f>
      </x:c>
      <x:c r="W3149" s="47" t="n">
        <x:v>0.3</x:v>
      </x:c>
      <x:c r="X3149" s="54" t="str">
        <x:f>IF(ISNUMBER(V3149),V3149/(1-W3149),"")</x:f>
      </x:c>
      <x:c r="Y3149" s="55" t="str">
        <x:f>IF(ISNUMBER(X3149),ROUNDUP(X3149,0),"")</x:f>
      </x:c>
      <x:c r="Z3149" t="str">
        <x:f>IF(ISNUMBER(T3149),"Cost captured","Awaiting trade cost")</x:f>
        <x:v>Awaiting trade cost</x:v>
      </x:c>
      <x:c r="AB3149" s="36" t="str">
        <x:f>IF(ISNUMBER(Y3149),ROUND(Y3149*0.9,2),"")</x:f>
      </x:c>
      <x:c r="AC3149" s="36" t="str">
        <x:f>IF(ISNUMBER(AB3149),ROUND(AB3149-(AB3149*0.015+0.2)-V3149,2),"")</x:f>
      </x:c>
      <x:c r="AD3149" s="36" t="str">
        <x:f>IF(ISNUMBER(Y3149),ROUND(Y3149*0.8,2),"")</x:f>
      </x:c>
      <x:c r="AE3149" s="36" t="str">
        <x:f>IF(ISNUMBER(AD3149),ROUND(AD3149*0.015+0.2,2),"")</x:f>
      </x:c>
      <x:c r="AF3149" s="36" t="str">
        <x:f>IF(ISNUMBER(AD3149),ROUND(AD3149-AE3149-V3149,2),"")</x:f>
      </x:c>
      <x:c r="AG3149" t="str">
        <x:f>IF(NOT(ISNUMBER(T3149)),"PENDING",IF(AF3149&gt;0,"PASS","FAIL"))</x:f>
        <x:v>PENDING</x:v>
      </x:c>
      <x:c r="AH3149" t="str">
        <x:f>IF(NOT(ISNUMBER(T3149)),"Needs supplier cost",IF(K3149&lt;&gt;"In stock","Supplier unavailable",IF(AG3149&lt;&gt;"PASS","BLOCK - GT loss risk","Commercially protected")))</x:f>
        <x:v>Needs supplier cost</x:v>
      </x:c>
      <x:c r="AI3149" t="str">
        <x:v>2026-09-10 Active Sports trade capture</x:v>
      </x:c>
      <x:c r="AJ3149" t="str">
        <x:v>Management-only economics. Stripe stress test uses 1.5% + £0.20 standard UK online-card fee; pallet/mix-and-match pricing ignored.</x:v>
      </x:c>
    </x:row>
    <x:row r="3150">
      <x:c r="A3150" t="str">
        <x:v>Active Sports Nutrition</x:v>
      </x:c>
      <x:c r="B3150" t="str">
        <x:v>Trained By JP</x:v>
      </x:c>
      <x:c r="C3150" t="str">
        <x:v>Performance Isolate</x:v>
      </x:c>
      <x:c r="D3150" t="str">
        <x:v>Supplements</x:v>
      </x:c>
      <x:c r="E3150" t="str">
        <x:v>Protein Blend</x:v>
      </x:c>
      <x:c r="F3150" t="str"/>
      <x:c r="G3150" t="str">
        <x:v>1kg</x:v>
      </x:c>
      <x:c r="H3150" t="str">
        <x:v>Cookies &amp; Cream</x:v>
      </x:c>
      <x:c r="I3150" t="str"/>
      <x:c r="J3150" t="str">
        <x:v>Unit</x:v>
      </x:c>
      <x:c r="K3150" t="str">
        <x:v>Out of stock</x:v>
      </x:c>
      <x:c r="L3150" t="str">
        <x:v>2026-09-08</x:v>
      </x:c>
      <x:c r="M3150" t="str"/>
      <x:c r="N3150" t="str"/>
      <x:c r="O3150" t="str">
        <x:v>https://www.activesportstrade.co.uk/trained-by-jp-trade</x:v>
      </x:c>
      <x:c r="P3150" t="str">
        <x:v>Supplier currently spells one flavour 'Mlated Chocolate'; retained exactly pending later identity cleanup.</x:v>
      </x:c>
      <x:c r="Q3150" t="str"/>
      <x:c r="R3150" t="str"/>
      <x:c r="S3150" t="str">
        <x:v>Pending genuine supplier/brand image</x:v>
      </x:c>
      <x:c r="T3150" s="54"/>
      <x:c r="U3150" s="47" t="n">
        <x:v>0.2</x:v>
      </x:c>
      <x:c r="V3150" s="54" t="str">
        <x:f>IF(ISNUMBER(T3150),T3150*(1+U3150),"")</x:f>
      </x:c>
      <x:c r="W3150" s="47" t="n">
        <x:v>0.3</x:v>
      </x:c>
      <x:c r="X3150" s="54" t="str">
        <x:f>IF(ISNUMBER(V3150),V3150/(1-W3150),"")</x:f>
      </x:c>
      <x:c r="Y3150" s="55" t="str">
        <x:f>IF(ISNUMBER(X3150),ROUNDUP(X3150,0),"")</x:f>
      </x:c>
      <x:c r="Z3150" t="str">
        <x:f>IF(ISNUMBER(T3150),"Cost captured","Awaiting trade cost")</x:f>
        <x:v>Awaiting trade cost</x:v>
      </x:c>
      <x:c r="AB3150" s="36" t="str">
        <x:f>IF(ISNUMBER(Y3150),ROUND(Y3150*0.9,2),"")</x:f>
      </x:c>
      <x:c r="AC3150" s="36" t="str">
        <x:f>IF(ISNUMBER(AB3150),ROUND(AB3150-(AB3150*0.015+0.2)-V3150,2),"")</x:f>
      </x:c>
      <x:c r="AD3150" s="36" t="str">
        <x:f>IF(ISNUMBER(Y3150),ROUND(Y3150*0.8,2),"")</x:f>
      </x:c>
      <x:c r="AE3150" s="36" t="str">
        <x:f>IF(ISNUMBER(AD3150),ROUND(AD3150*0.015+0.2,2),"")</x:f>
      </x:c>
      <x:c r="AF3150" s="36" t="str">
        <x:f>IF(ISNUMBER(AD3150),ROUND(AD3150-AE3150-V3150,2),"")</x:f>
      </x:c>
      <x:c r="AG3150" t="str">
        <x:f>IF(NOT(ISNUMBER(T3150)),"PENDING",IF(AF3150&gt;0,"PASS","FAIL"))</x:f>
        <x:v>PENDING</x:v>
      </x:c>
      <x:c r="AH3150" t="str">
        <x:f>IF(NOT(ISNUMBER(T3150)),"Needs supplier cost",IF(K3150&lt;&gt;"In stock","Supplier unavailable",IF(AG3150&lt;&gt;"PASS","BLOCK - GT loss risk","Commercially protected")))</x:f>
        <x:v>Needs supplier cost</x:v>
      </x:c>
      <x:c r="AI3150" t="str">
        <x:v>2026-09-10 Active Sports trade capture</x:v>
      </x:c>
      <x:c r="AJ3150" t="str">
        <x:v>Management-only economics. Stripe stress test uses 1.5% + £0.20 standard UK online-card fee; pallet/mix-and-match pricing ignored.</x:v>
      </x:c>
    </x:row>
    <x:row r="3151">
      <x:c r="A3151" t="str">
        <x:v>Active Sports Nutrition</x:v>
      </x:c>
      <x:c r="B3151" t="str">
        <x:v>Trained By JP</x:v>
      </x:c>
      <x:c r="C3151" t="str">
        <x:v>Performance Isolate</x:v>
      </x:c>
      <x:c r="D3151" t="str">
        <x:v>Supplements</x:v>
      </x:c>
      <x:c r="E3151" t="str">
        <x:v>Protein Blend</x:v>
      </x:c>
      <x:c r="F3151" t="str"/>
      <x:c r="G3151" t="str">
        <x:v>1kg</x:v>
      </x:c>
      <x:c r="H3151" t="str">
        <x:v>Custard Cream</x:v>
      </x:c>
      <x:c r="I3151" t="str"/>
      <x:c r="J3151" t="str">
        <x:v>Unit</x:v>
      </x:c>
      <x:c r="K3151" t="str">
        <x:v>Out of stock</x:v>
      </x:c>
      <x:c r="L3151" t="str">
        <x:v>2026-09-08</x:v>
      </x:c>
      <x:c r="M3151" t="str"/>
      <x:c r="N3151" t="str"/>
      <x:c r="O3151" t="str">
        <x:v>https://www.activesportstrade.co.uk/trained-by-jp-trade</x:v>
      </x:c>
      <x:c r="P3151" t="str">
        <x:v>Supplier currently spells one flavour 'Mlated Chocolate'; retained exactly pending later identity cleanup.</x:v>
      </x:c>
      <x:c r="Q3151" t="str"/>
      <x:c r="R3151" t="str"/>
      <x:c r="S3151" t="str">
        <x:v>Pending genuine supplier/brand image</x:v>
      </x:c>
      <x:c r="T3151" s="54"/>
      <x:c r="U3151" s="47" t="n">
        <x:v>0.2</x:v>
      </x:c>
      <x:c r="V3151" s="54" t="str">
        <x:f>IF(ISNUMBER(T3151),T3151*(1+U3151),"")</x:f>
      </x:c>
      <x:c r="W3151" s="47" t="n">
        <x:v>0.3</x:v>
      </x:c>
      <x:c r="X3151" s="54" t="str">
        <x:f>IF(ISNUMBER(V3151),V3151/(1-W3151),"")</x:f>
      </x:c>
      <x:c r="Y3151" s="55" t="str">
        <x:f>IF(ISNUMBER(X3151),ROUNDUP(X3151,0),"")</x:f>
      </x:c>
      <x:c r="Z3151" t="str">
        <x:f>IF(ISNUMBER(T3151),"Cost captured","Awaiting trade cost")</x:f>
        <x:v>Awaiting trade cost</x:v>
      </x:c>
      <x:c r="AB3151" s="36" t="str">
        <x:f>IF(ISNUMBER(Y3151),ROUND(Y3151*0.9,2),"")</x:f>
      </x:c>
      <x:c r="AC3151" s="36" t="str">
        <x:f>IF(ISNUMBER(AB3151),ROUND(AB3151-(AB3151*0.015+0.2)-V3151,2),"")</x:f>
      </x:c>
      <x:c r="AD3151" s="36" t="str">
        <x:f>IF(ISNUMBER(Y3151),ROUND(Y3151*0.8,2),"")</x:f>
      </x:c>
      <x:c r="AE3151" s="36" t="str">
        <x:f>IF(ISNUMBER(AD3151),ROUND(AD3151*0.015+0.2,2),"")</x:f>
      </x:c>
      <x:c r="AF3151" s="36" t="str">
        <x:f>IF(ISNUMBER(AD3151),ROUND(AD3151-AE3151-V3151,2),"")</x:f>
      </x:c>
      <x:c r="AG3151" t="str">
        <x:f>IF(NOT(ISNUMBER(T3151)),"PENDING",IF(AF3151&gt;0,"PASS","FAIL"))</x:f>
        <x:v>PENDING</x:v>
      </x:c>
      <x:c r="AH3151" t="str">
        <x:f>IF(NOT(ISNUMBER(T3151)),"Needs supplier cost",IF(K3151&lt;&gt;"In stock","Supplier unavailable",IF(AG3151&lt;&gt;"PASS","BLOCK - GT loss risk","Commercially protected")))</x:f>
        <x:v>Needs supplier cost</x:v>
      </x:c>
      <x:c r="AI3151" t="str">
        <x:v>2026-09-10 Active Sports trade capture</x:v>
      </x:c>
      <x:c r="AJ3151" t="str">
        <x:v>Management-only economics. Stripe stress test uses 1.5% + £0.20 standard UK online-card fee; pallet/mix-and-match pricing ignored.</x:v>
      </x:c>
    </x:row>
    <x:row r="3152">
      <x:c r="A3152" t="str">
        <x:v>Active Sports Nutrition</x:v>
      </x:c>
      <x:c r="B3152" t="str">
        <x:v>Trained By JP</x:v>
      </x:c>
      <x:c r="C3152" t="str">
        <x:v>Performance Isolate</x:v>
      </x:c>
      <x:c r="D3152" t="str">
        <x:v>Supplements</x:v>
      </x:c>
      <x:c r="E3152" t="str">
        <x:v>Protein Blend</x:v>
      </x:c>
      <x:c r="F3152" t="str"/>
      <x:c r="G3152" t="str">
        <x:v>1kg</x:v>
      </x:c>
      <x:c r="H3152" t="str">
        <x:v>Lemon Meringue</x:v>
      </x:c>
      <x:c r="I3152" t="str"/>
      <x:c r="J3152" t="str">
        <x:v>Unit</x:v>
      </x:c>
      <x:c r="K3152" t="str">
        <x:v>In stock</x:v>
      </x:c>
      <x:c r="L3152" t="str">
        <x:v>2026-09-08</x:v>
      </x:c>
      <x:c r="M3152" t="str"/>
      <x:c r="N3152" t="str"/>
      <x:c r="O3152" t="str">
        <x:v>https://www.activesportstrade.co.uk/trained-by-jp-trade</x:v>
      </x:c>
      <x:c r="P3152" t="str">
        <x:v>Supplier currently spells one flavour 'Mlated Chocolate'; retained exactly pending later identity cleanup.</x:v>
      </x:c>
      <x:c r="Q3152" t="str"/>
      <x:c r="R3152" t="str"/>
      <x:c r="S3152" t="str">
        <x:v>Pending genuine supplier/brand image</x:v>
      </x:c>
      <x:c r="T3152" s="54"/>
      <x:c r="U3152" s="47" t="n">
        <x:v>0.2</x:v>
      </x:c>
      <x:c r="V3152" s="54" t="str">
        <x:f>IF(ISNUMBER(T3152),T3152*(1+U3152),"")</x:f>
      </x:c>
      <x:c r="W3152" s="47" t="n">
        <x:v>0.3</x:v>
      </x:c>
      <x:c r="X3152" s="54" t="str">
        <x:f>IF(ISNUMBER(V3152),V3152/(1-W3152),"")</x:f>
      </x:c>
      <x:c r="Y3152" s="55" t="str">
        <x:f>IF(ISNUMBER(X3152),ROUNDUP(X3152,0),"")</x:f>
      </x:c>
      <x:c r="Z3152" t="str">
        <x:f>IF(ISNUMBER(T3152),"Cost captured","Awaiting trade cost")</x:f>
        <x:v>Awaiting trade cost</x:v>
      </x:c>
      <x:c r="AB3152" s="36" t="str">
        <x:f>IF(ISNUMBER(Y3152),ROUND(Y3152*0.9,2),"")</x:f>
      </x:c>
      <x:c r="AC3152" s="36" t="str">
        <x:f>IF(ISNUMBER(AB3152),ROUND(AB3152-(AB3152*0.015+0.2)-V3152,2),"")</x:f>
      </x:c>
      <x:c r="AD3152" s="36" t="str">
        <x:f>IF(ISNUMBER(Y3152),ROUND(Y3152*0.8,2),"")</x:f>
      </x:c>
      <x:c r="AE3152" s="36" t="str">
        <x:f>IF(ISNUMBER(AD3152),ROUND(AD3152*0.015+0.2,2),"")</x:f>
      </x:c>
      <x:c r="AF3152" s="36" t="str">
        <x:f>IF(ISNUMBER(AD3152),ROUND(AD3152-AE3152-V3152,2),"")</x:f>
      </x:c>
      <x:c r="AG3152" t="str">
        <x:f>IF(NOT(ISNUMBER(T3152)),"PENDING",IF(AF3152&gt;0,"PASS","FAIL"))</x:f>
        <x:v>PENDING</x:v>
      </x:c>
      <x:c r="AH3152" t="str">
        <x:f>IF(NOT(ISNUMBER(T3152)),"Needs supplier cost",IF(K3152&lt;&gt;"In stock","Supplier unavailable",IF(AG3152&lt;&gt;"PASS","BLOCK - GT loss risk","Commercially protected")))</x:f>
        <x:v>Needs supplier cost</x:v>
      </x:c>
      <x:c r="AI3152" t="str">
        <x:v>2026-09-10 Active Sports trade capture</x:v>
      </x:c>
      <x:c r="AJ3152" t="str">
        <x:v>Management-only economics. Stripe stress test uses 1.5% + £0.20 standard UK online-card fee; pallet/mix-and-match pricing ignored.</x:v>
      </x:c>
    </x:row>
    <x:row r="3153">
      <x:c r="A3153" t="str">
        <x:v>Active Sports Nutrition</x:v>
      </x:c>
      <x:c r="B3153" t="str">
        <x:v>Trained By JP</x:v>
      </x:c>
      <x:c r="C3153" t="str">
        <x:v>Performance Isolate</x:v>
      </x:c>
      <x:c r="D3153" t="str">
        <x:v>Supplements</x:v>
      </x:c>
      <x:c r="E3153" t="str">
        <x:v>Protein Blend</x:v>
      </x:c>
      <x:c r="F3153" t="str"/>
      <x:c r="G3153" t="str">
        <x:v>1kg</x:v>
      </x:c>
      <x:c r="H3153" t="str">
        <x:v>Milk Chocolate</x:v>
      </x:c>
      <x:c r="I3153" t="str"/>
      <x:c r="J3153" t="str">
        <x:v>Unit</x:v>
      </x:c>
      <x:c r="K3153" t="str">
        <x:v>Out of stock</x:v>
      </x:c>
      <x:c r="L3153" t="str">
        <x:v>2026-09-08</x:v>
      </x:c>
      <x:c r="M3153" t="str"/>
      <x:c r="N3153" t="str"/>
      <x:c r="O3153" t="str">
        <x:v>https://www.activesportstrade.co.uk/trained-by-jp-trade</x:v>
      </x:c>
      <x:c r="P3153" t="str">
        <x:v>Supplier currently spells one flavour 'Mlated Chocolate'; retained exactly pending later identity cleanup.</x:v>
      </x:c>
      <x:c r="Q3153" t="str"/>
      <x:c r="R3153" t="str"/>
      <x:c r="S3153" t="str">
        <x:v>Pending genuine supplier/brand image</x:v>
      </x:c>
      <x:c r="T3153" s="54"/>
      <x:c r="U3153" s="47" t="n">
        <x:v>0.2</x:v>
      </x:c>
      <x:c r="V3153" s="54" t="str">
        <x:f>IF(ISNUMBER(T3153),T3153*(1+U3153),"")</x:f>
      </x:c>
      <x:c r="W3153" s="47" t="n">
        <x:v>0.3</x:v>
      </x:c>
      <x:c r="X3153" s="54" t="str">
        <x:f>IF(ISNUMBER(V3153),V3153/(1-W3153),"")</x:f>
      </x:c>
      <x:c r="Y3153" s="55" t="str">
        <x:f>IF(ISNUMBER(X3153),ROUNDUP(X3153,0),"")</x:f>
      </x:c>
      <x:c r="Z3153" t="str">
        <x:f>IF(ISNUMBER(T3153),"Cost captured","Awaiting trade cost")</x:f>
        <x:v>Awaiting trade cost</x:v>
      </x:c>
      <x:c r="AB3153" s="36" t="str">
        <x:f>IF(ISNUMBER(Y3153),ROUND(Y3153*0.9,2),"")</x:f>
      </x:c>
      <x:c r="AC3153" s="36" t="str">
        <x:f>IF(ISNUMBER(AB3153),ROUND(AB3153-(AB3153*0.015+0.2)-V3153,2),"")</x:f>
      </x:c>
      <x:c r="AD3153" s="36" t="str">
        <x:f>IF(ISNUMBER(Y3153),ROUND(Y3153*0.8,2),"")</x:f>
      </x:c>
      <x:c r="AE3153" s="36" t="str">
        <x:f>IF(ISNUMBER(AD3153),ROUND(AD3153*0.015+0.2,2),"")</x:f>
      </x:c>
      <x:c r="AF3153" s="36" t="str">
        <x:f>IF(ISNUMBER(AD3153),ROUND(AD3153-AE3153-V3153,2),"")</x:f>
      </x:c>
      <x:c r="AG3153" t="str">
        <x:f>IF(NOT(ISNUMBER(T3153)),"PENDING",IF(AF3153&gt;0,"PASS","FAIL"))</x:f>
        <x:v>PENDING</x:v>
      </x:c>
      <x:c r="AH3153" t="str">
        <x:f>IF(NOT(ISNUMBER(T3153)),"Needs supplier cost",IF(K3153&lt;&gt;"In stock","Supplier unavailable",IF(AG3153&lt;&gt;"PASS","BLOCK - GT loss risk","Commercially protected")))</x:f>
        <x:v>Needs supplier cost</x:v>
      </x:c>
      <x:c r="AI3153" t="str">
        <x:v>2026-09-10 Active Sports trade capture</x:v>
      </x:c>
      <x:c r="AJ3153" t="str">
        <x:v>Management-only economics. Stripe stress test uses 1.5% + £0.20 standard UK online-card fee; pallet/mix-and-match pricing ignored.</x:v>
      </x:c>
    </x:row>
    <x:row r="3154">
      <x:c r="A3154" t="str">
        <x:v>Active Sports Nutrition</x:v>
      </x:c>
      <x:c r="B3154" t="str">
        <x:v>Trained By JP</x:v>
      </x:c>
      <x:c r="C3154" t="str">
        <x:v>Performance Isolate</x:v>
      </x:c>
      <x:c r="D3154" t="str">
        <x:v>Supplements</x:v>
      </x:c>
      <x:c r="E3154" t="str">
        <x:v>Protein Blend</x:v>
      </x:c>
      <x:c r="F3154" t="str"/>
      <x:c r="G3154" t="str">
        <x:v>1kg</x:v>
      </x:c>
      <x:c r="H3154" t="str">
        <x:v>Mlated Chocolate</x:v>
      </x:c>
      <x:c r="I3154" t="str"/>
      <x:c r="J3154" t="str">
        <x:v>Unit</x:v>
      </x:c>
      <x:c r="K3154" t="str">
        <x:v>In stock</x:v>
      </x:c>
      <x:c r="L3154" t="str">
        <x:v>2026-09-08</x:v>
      </x:c>
      <x:c r="M3154" t="str"/>
      <x:c r="N3154" t="str"/>
      <x:c r="O3154" t="str">
        <x:v>https://www.activesportstrade.co.uk/trained-by-jp-trade</x:v>
      </x:c>
      <x:c r="P3154" t="str">
        <x:v>Supplier currently spells one flavour 'Mlated Chocolate'; retained exactly pending later identity cleanup.</x:v>
      </x:c>
      <x:c r="Q3154" t="str"/>
      <x:c r="R3154" t="str"/>
      <x:c r="S3154" t="str">
        <x:v>Pending genuine supplier/brand image</x:v>
      </x:c>
      <x:c r="T3154" s="54"/>
      <x:c r="U3154" s="47" t="n">
        <x:v>0.2</x:v>
      </x:c>
      <x:c r="V3154" s="54" t="str">
        <x:f>IF(ISNUMBER(T3154),T3154*(1+U3154),"")</x:f>
      </x:c>
      <x:c r="W3154" s="47" t="n">
        <x:v>0.3</x:v>
      </x:c>
      <x:c r="X3154" s="54" t="str">
        <x:f>IF(ISNUMBER(V3154),V3154/(1-W3154),"")</x:f>
      </x:c>
      <x:c r="Y3154" s="55" t="str">
        <x:f>IF(ISNUMBER(X3154),ROUNDUP(X3154,0),"")</x:f>
      </x:c>
      <x:c r="Z3154" t="str">
        <x:f>IF(ISNUMBER(T3154),"Cost captured","Awaiting trade cost")</x:f>
        <x:v>Awaiting trade cost</x:v>
      </x:c>
      <x:c r="AB3154" s="36" t="str">
        <x:f>IF(ISNUMBER(Y3154),ROUND(Y3154*0.9,2),"")</x:f>
      </x:c>
      <x:c r="AC3154" s="36" t="str">
        <x:f>IF(ISNUMBER(AB3154),ROUND(AB3154-(AB3154*0.015+0.2)-V3154,2),"")</x:f>
      </x:c>
      <x:c r="AD3154" s="36" t="str">
        <x:f>IF(ISNUMBER(Y3154),ROUND(Y3154*0.8,2),"")</x:f>
      </x:c>
      <x:c r="AE3154" s="36" t="str">
        <x:f>IF(ISNUMBER(AD3154),ROUND(AD3154*0.015+0.2,2),"")</x:f>
      </x:c>
      <x:c r="AF3154" s="36" t="str">
        <x:f>IF(ISNUMBER(AD3154),ROUND(AD3154-AE3154-V3154,2),"")</x:f>
      </x:c>
      <x:c r="AG3154" t="str">
        <x:f>IF(NOT(ISNUMBER(T3154)),"PENDING",IF(AF3154&gt;0,"PASS","FAIL"))</x:f>
        <x:v>PENDING</x:v>
      </x:c>
      <x:c r="AH3154" t="str">
        <x:f>IF(NOT(ISNUMBER(T3154)),"Needs supplier cost",IF(K3154&lt;&gt;"In stock","Supplier unavailable",IF(AG3154&lt;&gt;"PASS","BLOCK - GT loss risk","Commercially protected")))</x:f>
        <x:v>Needs supplier cost</x:v>
      </x:c>
      <x:c r="AI3154" t="str">
        <x:v>2026-09-10 Active Sports trade capture</x:v>
      </x:c>
      <x:c r="AJ3154" t="str">
        <x:v>Management-only economics. Stripe stress test uses 1.5% + £0.20 standard UK online-card fee; pallet/mix-and-match pricing ignored.</x:v>
      </x:c>
    </x:row>
    <x:row r="3155">
      <x:c r="A3155" t="str">
        <x:v>Active Sports Nutrition</x:v>
      </x:c>
      <x:c r="B3155" t="str">
        <x:v>Trained By JP</x:v>
      </x:c>
      <x:c r="C3155" t="str">
        <x:v>Performance Isolate</x:v>
      </x:c>
      <x:c r="D3155" t="str">
        <x:v>Supplements</x:v>
      </x:c>
      <x:c r="E3155" t="str">
        <x:v>Protein Blend</x:v>
      </x:c>
      <x:c r="F3155" t="str"/>
      <x:c r="G3155" t="str">
        <x:v>1kg</x:v>
      </x:c>
      <x:c r="H3155" t="str">
        <x:v>Strawberry Cheesecake</x:v>
      </x:c>
      <x:c r="I3155" t="str"/>
      <x:c r="J3155" t="str">
        <x:v>Unit</x:v>
      </x:c>
      <x:c r="K3155" t="str">
        <x:v>Out of stock</x:v>
      </x:c>
      <x:c r="L3155" t="str">
        <x:v>2026-09-08</x:v>
      </x:c>
      <x:c r="M3155" t="str"/>
      <x:c r="N3155" t="str"/>
      <x:c r="O3155" t="str">
        <x:v>https://www.activesportstrade.co.uk/trained-by-jp-trade</x:v>
      </x:c>
      <x:c r="P3155" t="str">
        <x:v>Supplier currently spells one flavour 'Mlated Chocolate'; retained exactly pending later identity cleanup.</x:v>
      </x:c>
      <x:c r="Q3155" t="str"/>
      <x:c r="R3155" t="str"/>
      <x:c r="S3155" t="str">
        <x:v>Pending genuine supplier/brand image</x:v>
      </x:c>
      <x:c r="T3155" s="54"/>
      <x:c r="U3155" s="47" t="n">
        <x:v>0.2</x:v>
      </x:c>
      <x:c r="V3155" s="54" t="str">
        <x:f>IF(ISNUMBER(T3155),T3155*(1+U3155),"")</x:f>
      </x:c>
      <x:c r="W3155" s="47" t="n">
        <x:v>0.3</x:v>
      </x:c>
      <x:c r="X3155" s="54" t="str">
        <x:f>IF(ISNUMBER(V3155),V3155/(1-W3155),"")</x:f>
      </x:c>
      <x:c r="Y3155" s="55" t="str">
        <x:f>IF(ISNUMBER(X3155),ROUNDUP(X3155,0),"")</x:f>
      </x:c>
      <x:c r="Z3155" t="str">
        <x:f>IF(ISNUMBER(T3155),"Cost captured","Awaiting trade cost")</x:f>
        <x:v>Awaiting trade cost</x:v>
      </x:c>
      <x:c r="AB3155" s="36" t="str">
        <x:f>IF(ISNUMBER(Y3155),ROUND(Y3155*0.9,2),"")</x:f>
      </x:c>
      <x:c r="AC3155" s="36" t="str">
        <x:f>IF(ISNUMBER(AB3155),ROUND(AB3155-(AB3155*0.015+0.2)-V3155,2),"")</x:f>
      </x:c>
      <x:c r="AD3155" s="36" t="str">
        <x:f>IF(ISNUMBER(Y3155),ROUND(Y3155*0.8,2),"")</x:f>
      </x:c>
      <x:c r="AE3155" s="36" t="str">
        <x:f>IF(ISNUMBER(AD3155),ROUND(AD3155*0.015+0.2,2),"")</x:f>
      </x:c>
      <x:c r="AF3155" s="36" t="str">
        <x:f>IF(ISNUMBER(AD3155),ROUND(AD3155-AE3155-V3155,2),"")</x:f>
      </x:c>
      <x:c r="AG3155" t="str">
        <x:f>IF(NOT(ISNUMBER(T3155)),"PENDING",IF(AF3155&gt;0,"PASS","FAIL"))</x:f>
        <x:v>PENDING</x:v>
      </x:c>
      <x:c r="AH3155" t="str">
        <x:f>IF(NOT(ISNUMBER(T3155)),"Needs supplier cost",IF(K3155&lt;&gt;"In stock","Supplier unavailable",IF(AG3155&lt;&gt;"PASS","BLOCK - GT loss risk","Commercially protected")))</x:f>
        <x:v>Needs supplier cost</x:v>
      </x:c>
      <x:c r="AI3155" t="str">
        <x:v>2026-09-10 Active Sports trade capture</x:v>
      </x:c>
      <x:c r="AJ3155" t="str">
        <x:v>Management-only economics. Stripe stress test uses 1.5% + £0.20 standard UK online-card fee; pallet/mix-and-match pricing ignored.</x:v>
      </x:c>
    </x:row>
    <x:row r="3156">
      <x:c r="A3156" t="str">
        <x:v>Active Sports Nutrition</x:v>
      </x:c>
      <x:c r="B3156" t="str">
        <x:v>Trained By JP</x:v>
      </x:c>
      <x:c r="C3156" t="str">
        <x:v>Performance Isolate</x:v>
      </x:c>
      <x:c r="D3156" t="str">
        <x:v>Supplements</x:v>
      </x:c>
      <x:c r="E3156" t="str">
        <x:v>Protein Blend</x:v>
      </x:c>
      <x:c r="F3156" t="str"/>
      <x:c r="G3156" t="str">
        <x:v>1kg</x:v>
      </x:c>
      <x:c r="H3156" t="str">
        <x:v>Vanilla Ice Cream</x:v>
      </x:c>
      <x:c r="I3156" t="str"/>
      <x:c r="J3156" t="str">
        <x:v>Unit</x:v>
      </x:c>
      <x:c r="K3156" t="str">
        <x:v>Out of stock</x:v>
      </x:c>
      <x:c r="L3156" t="str">
        <x:v>2026-09-08</x:v>
      </x:c>
      <x:c r="M3156" t="str"/>
      <x:c r="N3156" t="str"/>
      <x:c r="O3156" t="str">
        <x:v>https://www.activesportstrade.co.uk/trained-by-jp-trade</x:v>
      </x:c>
      <x:c r="P3156" t="str">
        <x:v>Supplier currently spells one flavour 'Mlated Chocolate'; retained exactly pending later identity cleanup.</x:v>
      </x:c>
      <x:c r="Q3156" t="str"/>
      <x:c r="R3156" t="str"/>
      <x:c r="S3156" t="str">
        <x:v>Pending genuine supplier/brand image</x:v>
      </x:c>
      <x:c r="T3156" s="54"/>
      <x:c r="U3156" s="47" t="n">
        <x:v>0.2</x:v>
      </x:c>
      <x:c r="V3156" s="54" t="str">
        <x:f>IF(ISNUMBER(T3156),T3156*(1+U3156),"")</x:f>
      </x:c>
      <x:c r="W3156" s="47" t="n">
        <x:v>0.3</x:v>
      </x:c>
      <x:c r="X3156" s="54" t="str">
        <x:f>IF(ISNUMBER(V3156),V3156/(1-W3156),"")</x:f>
      </x:c>
      <x:c r="Y3156" s="55" t="str">
        <x:f>IF(ISNUMBER(X3156),ROUNDUP(X3156,0),"")</x:f>
      </x:c>
      <x:c r="Z3156" t="str">
        <x:f>IF(ISNUMBER(T3156),"Cost captured","Awaiting trade cost")</x:f>
        <x:v>Awaiting trade cost</x:v>
      </x:c>
      <x:c r="AB3156" s="36" t="str">
        <x:f>IF(ISNUMBER(Y3156),ROUND(Y3156*0.9,2),"")</x:f>
      </x:c>
      <x:c r="AC3156" s="36" t="str">
        <x:f>IF(ISNUMBER(AB3156),ROUND(AB3156-(AB3156*0.015+0.2)-V3156,2),"")</x:f>
      </x:c>
      <x:c r="AD3156" s="36" t="str">
        <x:f>IF(ISNUMBER(Y3156),ROUND(Y3156*0.8,2),"")</x:f>
      </x:c>
      <x:c r="AE3156" s="36" t="str">
        <x:f>IF(ISNUMBER(AD3156),ROUND(AD3156*0.015+0.2,2),"")</x:f>
      </x:c>
      <x:c r="AF3156" s="36" t="str">
        <x:f>IF(ISNUMBER(AD3156),ROUND(AD3156-AE3156-V3156,2),"")</x:f>
      </x:c>
      <x:c r="AG3156" t="str">
        <x:f>IF(NOT(ISNUMBER(T3156)),"PENDING",IF(AF3156&gt;0,"PASS","FAIL"))</x:f>
        <x:v>PENDING</x:v>
      </x:c>
      <x:c r="AH3156" t="str">
        <x:f>IF(NOT(ISNUMBER(T3156)),"Needs supplier cost",IF(K3156&lt;&gt;"In stock","Supplier unavailable",IF(AG3156&lt;&gt;"PASS","BLOCK - GT loss risk","Commercially protected")))</x:f>
        <x:v>Needs supplier cost</x:v>
      </x:c>
      <x:c r="AI3156" t="str">
        <x:v>2026-09-10 Active Sports trade capture</x:v>
      </x:c>
      <x:c r="AJ3156" t="str">
        <x:v>Management-only economics. Stripe stress test uses 1.5% + £0.20 standard UK online-card fee; pallet/mix-and-match pricing ignored.</x:v>
      </x:c>
    </x:row>
    <x:row r="3157">
      <x:c r="A3157" t="str">
        <x:v>Active Sports Nutrition</x:v>
      </x:c>
      <x:c r="B3157" t="str">
        <x:v>Trained By JP</x:v>
      </x:c>
      <x:c r="C3157" t="str">
        <x:v>Performance Isolate</x:v>
      </x:c>
      <x:c r="D3157" t="str">
        <x:v>Supplements</x:v>
      </x:c>
      <x:c r="E3157" t="str">
        <x:v>Protein Blend</x:v>
      </x:c>
      <x:c r="F3157" t="str"/>
      <x:c r="G3157" t="str">
        <x:v>1kg</x:v>
      </x:c>
      <x:c r="H3157" t="str">
        <x:v>White Chocolate Hazelnut</x:v>
      </x:c>
      <x:c r="I3157" t="str"/>
      <x:c r="J3157" t="str">
        <x:v>Unit</x:v>
      </x:c>
      <x:c r="K3157" t="str">
        <x:v>Out of stock</x:v>
      </x:c>
      <x:c r="L3157" t="str">
        <x:v>2026-09-08</x:v>
      </x:c>
      <x:c r="M3157" t="str"/>
      <x:c r="N3157" t="str"/>
      <x:c r="O3157" t="str">
        <x:v>https://www.activesportstrade.co.uk/trained-by-jp-trade</x:v>
      </x:c>
      <x:c r="P3157" t="str">
        <x:v>Supplier currently spells one flavour 'Mlated Chocolate'; retained exactly pending later identity cleanup.</x:v>
      </x:c>
      <x:c r="Q3157" t="str"/>
      <x:c r="R3157" t="str"/>
      <x:c r="S3157" t="str">
        <x:v>Pending genuine supplier/brand image</x:v>
      </x:c>
      <x:c r="T3157" s="54"/>
      <x:c r="U3157" s="47" t="n">
        <x:v>0.2</x:v>
      </x:c>
      <x:c r="V3157" s="54" t="str">
        <x:f>IF(ISNUMBER(T3157),T3157*(1+U3157),"")</x:f>
      </x:c>
      <x:c r="W3157" s="47" t="n">
        <x:v>0.3</x:v>
      </x:c>
      <x:c r="X3157" s="54" t="str">
        <x:f>IF(ISNUMBER(V3157),V3157/(1-W3157),"")</x:f>
      </x:c>
      <x:c r="Y3157" s="55" t="str">
        <x:f>IF(ISNUMBER(X3157),ROUNDUP(X3157,0),"")</x:f>
      </x:c>
      <x:c r="Z3157" t="str">
        <x:f>IF(ISNUMBER(T3157),"Cost captured","Awaiting trade cost")</x:f>
        <x:v>Awaiting trade cost</x:v>
      </x:c>
      <x:c r="AB3157" s="36" t="str">
        <x:f>IF(ISNUMBER(Y3157),ROUND(Y3157*0.9,2),"")</x:f>
      </x:c>
      <x:c r="AC3157" s="36" t="str">
        <x:f>IF(ISNUMBER(AB3157),ROUND(AB3157-(AB3157*0.015+0.2)-V3157,2),"")</x:f>
      </x:c>
      <x:c r="AD3157" s="36" t="str">
        <x:f>IF(ISNUMBER(Y3157),ROUND(Y3157*0.8,2),"")</x:f>
      </x:c>
      <x:c r="AE3157" s="36" t="str">
        <x:f>IF(ISNUMBER(AD3157),ROUND(AD3157*0.015+0.2,2),"")</x:f>
      </x:c>
      <x:c r="AF3157" s="36" t="str">
        <x:f>IF(ISNUMBER(AD3157),ROUND(AD3157-AE3157-V3157,2),"")</x:f>
      </x:c>
      <x:c r="AG3157" t="str">
        <x:f>IF(NOT(ISNUMBER(T3157)),"PENDING",IF(AF3157&gt;0,"PASS","FAIL"))</x:f>
        <x:v>PENDING</x:v>
      </x:c>
      <x:c r="AH3157" t="str">
        <x:f>IF(NOT(ISNUMBER(T3157)),"Needs supplier cost",IF(K3157&lt;&gt;"In stock","Supplier unavailable",IF(AG3157&lt;&gt;"PASS","BLOCK - GT loss risk","Commercially protected")))</x:f>
        <x:v>Needs supplier cost</x:v>
      </x:c>
      <x:c r="AI3157" t="str">
        <x:v>2026-09-10 Active Sports trade capture</x:v>
      </x:c>
      <x:c r="AJ3157" t="str">
        <x:v>Management-only economics. Stripe stress test uses 1.5% + £0.20 standard UK online-card fee; pallet/mix-and-match pricing ignored.</x:v>
      </x:c>
    </x:row>
    <x:row r="3158">
      <x:c r="A3158" t="str">
        <x:v>Active Sports Nutrition</x:v>
      </x:c>
      <x:c r="B3158" t="str">
        <x:v>Trained By JP</x:v>
      </x:c>
      <x:c r="C3158" t="str">
        <x:v>Performance Isolate</x:v>
      </x:c>
      <x:c r="D3158" t="str">
        <x:v>Supplements</x:v>
      </x:c>
      <x:c r="E3158" t="str">
        <x:v>Protein Blend</x:v>
      </x:c>
      <x:c r="F3158" t="str"/>
      <x:c r="G3158" t="str">
        <x:v>2kg</x:v>
      </x:c>
      <x:c r="H3158" t="str">
        <x:v>Banoffee</x:v>
      </x:c>
      <x:c r="I3158" t="str"/>
      <x:c r="J3158" t="str">
        <x:v>Unit</x:v>
      </x:c>
      <x:c r="K3158" t="str">
        <x:v>In stock</x:v>
      </x:c>
      <x:c r="L3158" t="str">
        <x:v>2026-09-08</x:v>
      </x:c>
      <x:c r="M3158" t="str"/>
      <x:c r="N3158" t="str"/>
      <x:c r="O3158" t="str">
        <x:v>https://www.activesportstrade.co.uk/trained-by-jp-trade</x:v>
      </x:c>
      <x:c r="P3158" t="str"/>
      <x:c r="Q3158" t="str"/>
      <x:c r="R3158" t="str"/>
      <x:c r="S3158" t="str">
        <x:v>Pending genuine supplier/brand image</x:v>
      </x:c>
      <x:c r="T3158" s="54"/>
      <x:c r="U3158" s="47" t="n">
        <x:v>0.2</x:v>
      </x:c>
      <x:c r="V3158" s="54" t="str">
        <x:f>IF(ISNUMBER(T3158),T3158*(1+U3158),"")</x:f>
      </x:c>
      <x:c r="W3158" s="47" t="n">
        <x:v>0.3</x:v>
      </x:c>
      <x:c r="X3158" s="54" t="str">
        <x:f>IF(ISNUMBER(V3158),V3158/(1-W3158),"")</x:f>
      </x:c>
      <x:c r="Y3158" s="55" t="str">
        <x:f>IF(ISNUMBER(X3158),ROUNDUP(X3158,0),"")</x:f>
      </x:c>
      <x:c r="Z3158" t="str">
        <x:f>IF(ISNUMBER(T3158),"Cost captured","Awaiting trade cost")</x:f>
        <x:v>Awaiting trade cost</x:v>
      </x:c>
      <x:c r="AB3158" s="36" t="str">
        <x:f>IF(ISNUMBER(Y3158),ROUND(Y3158*0.9,2),"")</x:f>
      </x:c>
      <x:c r="AC3158" s="36" t="str">
        <x:f>IF(ISNUMBER(AB3158),ROUND(AB3158-(AB3158*0.015+0.2)-V3158,2),"")</x:f>
      </x:c>
      <x:c r="AD3158" s="36" t="str">
        <x:f>IF(ISNUMBER(Y3158),ROUND(Y3158*0.8,2),"")</x:f>
      </x:c>
      <x:c r="AE3158" s="36" t="str">
        <x:f>IF(ISNUMBER(AD3158),ROUND(AD3158*0.015+0.2,2),"")</x:f>
      </x:c>
      <x:c r="AF3158" s="36" t="str">
        <x:f>IF(ISNUMBER(AD3158),ROUND(AD3158-AE3158-V3158,2),"")</x:f>
      </x:c>
      <x:c r="AG3158" t="str">
        <x:f>IF(NOT(ISNUMBER(T3158)),"PENDING",IF(AF3158&gt;0,"PASS","FAIL"))</x:f>
        <x:v>PENDING</x:v>
      </x:c>
      <x:c r="AH3158" t="str">
        <x:f>IF(NOT(ISNUMBER(T3158)),"Needs supplier cost",IF(K3158&lt;&gt;"In stock","Supplier unavailable",IF(AG3158&lt;&gt;"PASS","BLOCK - GT loss risk","Commercially protected")))</x:f>
        <x:v>Needs supplier cost</x:v>
      </x:c>
      <x:c r="AI3158" t="str">
        <x:v>2026-09-10 Active Sports trade capture</x:v>
      </x:c>
      <x:c r="AJ3158" t="str">
        <x:v>Management-only economics. Stripe stress test uses 1.5% + £0.20 standard UK online-card fee; pallet/mix-and-match pricing ignored.</x:v>
      </x:c>
    </x:row>
    <x:row r="3159">
      <x:c r="A3159" t="str">
        <x:v>Active Sports Nutrition</x:v>
      </x:c>
      <x:c r="B3159" t="str">
        <x:v>Trained By JP</x:v>
      </x:c>
      <x:c r="C3159" t="str">
        <x:v>Performance Isolate</x:v>
      </x:c>
      <x:c r="D3159" t="str">
        <x:v>Supplements</x:v>
      </x:c>
      <x:c r="E3159" t="str">
        <x:v>Protein Blend</x:v>
      </x:c>
      <x:c r="F3159" t="str"/>
      <x:c r="G3159" t="str">
        <x:v>2kg</x:v>
      </x:c>
      <x:c r="H3159" t="str">
        <x:v>Caramel Biscuit</x:v>
      </x:c>
      <x:c r="I3159" t="str"/>
      <x:c r="J3159" t="str">
        <x:v>Unit</x:v>
      </x:c>
      <x:c r="K3159" t="str">
        <x:v>Out of stock</x:v>
      </x:c>
      <x:c r="L3159" t="str">
        <x:v>2026-09-08</x:v>
      </x:c>
      <x:c r="M3159" t="str"/>
      <x:c r="N3159" t="str"/>
      <x:c r="O3159" t="str">
        <x:v>https://www.activesportstrade.co.uk/trained-by-jp-trade</x:v>
      </x:c>
      <x:c r="P3159" t="str"/>
      <x:c r="Q3159" t="str"/>
      <x:c r="R3159" t="str"/>
      <x:c r="S3159" t="str">
        <x:v>Pending genuine supplier/brand image</x:v>
      </x:c>
      <x:c r="T3159" s="54"/>
      <x:c r="U3159" s="47" t="n">
        <x:v>0.2</x:v>
      </x:c>
      <x:c r="V3159" s="54" t="str">
        <x:f>IF(ISNUMBER(T3159),T3159*(1+U3159),"")</x:f>
      </x:c>
      <x:c r="W3159" s="47" t="n">
        <x:v>0.3</x:v>
      </x:c>
      <x:c r="X3159" s="54" t="str">
        <x:f>IF(ISNUMBER(V3159),V3159/(1-W3159),"")</x:f>
      </x:c>
      <x:c r="Y3159" s="55" t="str">
        <x:f>IF(ISNUMBER(X3159),ROUNDUP(X3159,0),"")</x:f>
      </x:c>
      <x:c r="Z3159" t="str">
        <x:f>IF(ISNUMBER(T3159),"Cost captured","Awaiting trade cost")</x:f>
        <x:v>Awaiting trade cost</x:v>
      </x:c>
      <x:c r="AB3159" s="36" t="str">
        <x:f>IF(ISNUMBER(Y3159),ROUND(Y3159*0.9,2),"")</x:f>
      </x:c>
      <x:c r="AC3159" s="36" t="str">
        <x:f>IF(ISNUMBER(AB3159),ROUND(AB3159-(AB3159*0.015+0.2)-V3159,2),"")</x:f>
      </x:c>
      <x:c r="AD3159" s="36" t="str">
        <x:f>IF(ISNUMBER(Y3159),ROUND(Y3159*0.8,2),"")</x:f>
      </x:c>
      <x:c r="AE3159" s="36" t="str">
        <x:f>IF(ISNUMBER(AD3159),ROUND(AD3159*0.015+0.2,2),"")</x:f>
      </x:c>
      <x:c r="AF3159" s="36" t="str">
        <x:f>IF(ISNUMBER(AD3159),ROUND(AD3159-AE3159-V3159,2),"")</x:f>
      </x:c>
      <x:c r="AG3159" t="str">
        <x:f>IF(NOT(ISNUMBER(T3159)),"PENDING",IF(AF3159&gt;0,"PASS","FAIL"))</x:f>
        <x:v>PENDING</x:v>
      </x:c>
      <x:c r="AH3159" t="str">
        <x:f>IF(NOT(ISNUMBER(T3159)),"Needs supplier cost",IF(K3159&lt;&gt;"In stock","Supplier unavailable",IF(AG3159&lt;&gt;"PASS","BLOCK - GT loss risk","Commercially protected")))</x:f>
        <x:v>Needs supplier cost</x:v>
      </x:c>
      <x:c r="AI3159" t="str">
        <x:v>2026-09-10 Active Sports trade capture</x:v>
      </x:c>
      <x:c r="AJ3159" t="str">
        <x:v>Management-only economics. Stripe stress test uses 1.5% + £0.20 standard UK online-card fee; pallet/mix-and-match pricing ignored.</x:v>
      </x:c>
    </x:row>
    <x:row r="3160">
      <x:c r="A3160" t="str">
        <x:v>Active Sports Nutrition</x:v>
      </x:c>
      <x:c r="B3160" t="str">
        <x:v>Trained By JP</x:v>
      </x:c>
      <x:c r="C3160" t="str">
        <x:v>Performance Isolate</x:v>
      </x:c>
      <x:c r="D3160" t="str">
        <x:v>Supplements</x:v>
      </x:c>
      <x:c r="E3160" t="str">
        <x:v>Protein Blend</x:v>
      </x:c>
      <x:c r="F3160" t="str"/>
      <x:c r="G3160" t="str">
        <x:v>2kg</x:v>
      </x:c>
      <x:c r="H3160" t="str">
        <x:v>Caramel Fudge</x:v>
      </x:c>
      <x:c r="I3160" t="str"/>
      <x:c r="J3160" t="str">
        <x:v>Unit</x:v>
      </x:c>
      <x:c r="K3160" t="str">
        <x:v>In stock</x:v>
      </x:c>
      <x:c r="L3160" t="str">
        <x:v>2026-09-08</x:v>
      </x:c>
      <x:c r="M3160" t="str"/>
      <x:c r="N3160" t="str"/>
      <x:c r="O3160" t="str">
        <x:v>https://www.activesportstrade.co.uk/trained-by-jp-trade</x:v>
      </x:c>
      <x:c r="P3160" t="str"/>
      <x:c r="Q3160" t="str"/>
      <x:c r="R3160" t="str"/>
      <x:c r="S3160" t="str">
        <x:v>Pending genuine supplier/brand image</x:v>
      </x:c>
      <x:c r="T3160" s="54"/>
      <x:c r="U3160" s="47" t="n">
        <x:v>0.2</x:v>
      </x:c>
      <x:c r="V3160" s="54" t="str">
        <x:f>IF(ISNUMBER(T3160),T3160*(1+U3160),"")</x:f>
      </x:c>
      <x:c r="W3160" s="47" t="n">
        <x:v>0.3</x:v>
      </x:c>
      <x:c r="X3160" s="54" t="str">
        <x:f>IF(ISNUMBER(V3160),V3160/(1-W3160),"")</x:f>
      </x:c>
      <x:c r="Y3160" s="55" t="str">
        <x:f>IF(ISNUMBER(X3160),ROUNDUP(X3160,0),"")</x:f>
      </x:c>
      <x:c r="Z3160" t="str">
        <x:f>IF(ISNUMBER(T3160),"Cost captured","Awaiting trade cost")</x:f>
        <x:v>Awaiting trade cost</x:v>
      </x:c>
      <x:c r="AB3160" s="36" t="str">
        <x:f>IF(ISNUMBER(Y3160),ROUND(Y3160*0.9,2),"")</x:f>
      </x:c>
      <x:c r="AC3160" s="36" t="str">
        <x:f>IF(ISNUMBER(AB3160),ROUND(AB3160-(AB3160*0.015+0.2)-V3160,2),"")</x:f>
      </x:c>
      <x:c r="AD3160" s="36" t="str">
        <x:f>IF(ISNUMBER(Y3160),ROUND(Y3160*0.8,2),"")</x:f>
      </x:c>
      <x:c r="AE3160" s="36" t="str">
        <x:f>IF(ISNUMBER(AD3160),ROUND(AD3160*0.015+0.2,2),"")</x:f>
      </x:c>
      <x:c r="AF3160" s="36" t="str">
        <x:f>IF(ISNUMBER(AD3160),ROUND(AD3160-AE3160-V3160,2),"")</x:f>
      </x:c>
      <x:c r="AG3160" t="str">
        <x:f>IF(NOT(ISNUMBER(T3160)),"PENDING",IF(AF3160&gt;0,"PASS","FAIL"))</x:f>
        <x:v>PENDING</x:v>
      </x:c>
      <x:c r="AH3160" t="str">
        <x:f>IF(NOT(ISNUMBER(T3160)),"Needs supplier cost",IF(K3160&lt;&gt;"In stock","Supplier unavailable",IF(AG3160&lt;&gt;"PASS","BLOCK - GT loss risk","Commercially protected")))</x:f>
        <x:v>Needs supplier cost</x:v>
      </x:c>
      <x:c r="AI3160" t="str">
        <x:v>2026-09-10 Active Sports trade capture</x:v>
      </x:c>
      <x:c r="AJ3160" t="str">
        <x:v>Management-only economics. Stripe stress test uses 1.5% + £0.20 standard UK online-card fee; pallet/mix-and-match pricing ignored.</x:v>
      </x:c>
    </x:row>
    <x:row r="3161">
      <x:c r="A3161" t="str">
        <x:v>Active Sports Nutrition</x:v>
      </x:c>
      <x:c r="B3161" t="str">
        <x:v>Trained By JP</x:v>
      </x:c>
      <x:c r="C3161" t="str">
        <x:v>Performance Isolate</x:v>
      </x:c>
      <x:c r="D3161" t="str">
        <x:v>Supplements</x:v>
      </x:c>
      <x:c r="E3161" t="str">
        <x:v>Protein Blend</x:v>
      </x:c>
      <x:c r="F3161" t="str"/>
      <x:c r="G3161" t="str">
        <x:v>2kg</x:v>
      </x:c>
      <x:c r="H3161" t="str">
        <x:v>Carrot Cake</x:v>
      </x:c>
      <x:c r="I3161" t="str"/>
      <x:c r="J3161" t="str">
        <x:v>Unit</x:v>
      </x:c>
      <x:c r="K3161" t="str">
        <x:v>In stock</x:v>
      </x:c>
      <x:c r="L3161" t="str">
        <x:v>2026-09-08</x:v>
      </x:c>
      <x:c r="M3161" t="str"/>
      <x:c r="N3161" t="str"/>
      <x:c r="O3161" t="str">
        <x:v>https://www.activesportstrade.co.uk/trained-by-jp-trade</x:v>
      </x:c>
      <x:c r="P3161" t="str"/>
      <x:c r="Q3161" t="str"/>
      <x:c r="R3161" t="str"/>
      <x:c r="S3161" t="str">
        <x:v>Pending genuine supplier/brand image</x:v>
      </x:c>
      <x:c r="T3161" s="54"/>
      <x:c r="U3161" s="47" t="n">
        <x:v>0.2</x:v>
      </x:c>
      <x:c r="V3161" s="54" t="str">
        <x:f>IF(ISNUMBER(T3161),T3161*(1+U3161),"")</x:f>
      </x:c>
      <x:c r="W3161" s="47" t="n">
        <x:v>0.3</x:v>
      </x:c>
      <x:c r="X3161" s="54" t="str">
        <x:f>IF(ISNUMBER(V3161),V3161/(1-W3161),"")</x:f>
      </x:c>
      <x:c r="Y3161" s="55" t="str">
        <x:f>IF(ISNUMBER(X3161),ROUNDUP(X3161,0),"")</x:f>
      </x:c>
      <x:c r="Z3161" t="str">
        <x:f>IF(ISNUMBER(T3161),"Cost captured","Awaiting trade cost")</x:f>
        <x:v>Awaiting trade cost</x:v>
      </x:c>
      <x:c r="AB3161" s="36" t="str">
        <x:f>IF(ISNUMBER(Y3161),ROUND(Y3161*0.9,2),"")</x:f>
      </x:c>
      <x:c r="AC3161" s="36" t="str">
        <x:f>IF(ISNUMBER(AB3161),ROUND(AB3161-(AB3161*0.015+0.2)-V3161,2),"")</x:f>
      </x:c>
      <x:c r="AD3161" s="36" t="str">
        <x:f>IF(ISNUMBER(Y3161),ROUND(Y3161*0.8,2),"")</x:f>
      </x:c>
      <x:c r="AE3161" s="36" t="str">
        <x:f>IF(ISNUMBER(AD3161),ROUND(AD3161*0.015+0.2,2),"")</x:f>
      </x:c>
      <x:c r="AF3161" s="36" t="str">
        <x:f>IF(ISNUMBER(AD3161),ROUND(AD3161-AE3161-V3161,2),"")</x:f>
      </x:c>
      <x:c r="AG3161" t="str">
        <x:f>IF(NOT(ISNUMBER(T3161)),"PENDING",IF(AF3161&gt;0,"PASS","FAIL"))</x:f>
        <x:v>PENDING</x:v>
      </x:c>
      <x:c r="AH3161" t="str">
        <x:f>IF(NOT(ISNUMBER(T3161)),"Needs supplier cost",IF(K3161&lt;&gt;"In stock","Supplier unavailable",IF(AG3161&lt;&gt;"PASS","BLOCK - GT loss risk","Commercially protected")))</x:f>
        <x:v>Needs supplier cost</x:v>
      </x:c>
      <x:c r="AI3161" t="str">
        <x:v>2026-09-10 Active Sports trade capture</x:v>
      </x:c>
      <x:c r="AJ3161" t="str">
        <x:v>Management-only economics. Stripe stress test uses 1.5% + £0.20 standard UK online-card fee; pallet/mix-and-match pricing ignored.</x:v>
      </x:c>
    </x:row>
    <x:row r="3162">
      <x:c r="A3162" t="str">
        <x:v>Active Sports Nutrition</x:v>
      </x:c>
      <x:c r="B3162" t="str">
        <x:v>Trained By JP</x:v>
      </x:c>
      <x:c r="C3162" t="str">
        <x:v>Performance Isolate</x:v>
      </x:c>
      <x:c r="D3162" t="str">
        <x:v>Supplements</x:v>
      </x:c>
      <x:c r="E3162" t="str">
        <x:v>Protein Blend</x:v>
      </x:c>
      <x:c r="F3162" t="str"/>
      <x:c r="G3162" t="str">
        <x:v>2kg</x:v>
      </x:c>
      <x:c r="H3162" t="str">
        <x:v>Cereal Milk</x:v>
      </x:c>
      <x:c r="I3162" t="str"/>
      <x:c r="J3162" t="str">
        <x:v>Unit</x:v>
      </x:c>
      <x:c r="K3162" t="str">
        <x:v>Out of stock</x:v>
      </x:c>
      <x:c r="L3162" t="str">
        <x:v>2026-09-08</x:v>
      </x:c>
      <x:c r="M3162" t="str"/>
      <x:c r="N3162" t="str"/>
      <x:c r="O3162" t="str">
        <x:v>https://www.activesportstrade.co.uk/trained-by-jp-trade</x:v>
      </x:c>
      <x:c r="P3162" t="str"/>
      <x:c r="Q3162" t="str"/>
      <x:c r="R3162" t="str"/>
      <x:c r="S3162" t="str">
        <x:v>Pending genuine supplier/brand image</x:v>
      </x:c>
      <x:c r="T3162" s="54"/>
      <x:c r="U3162" s="47" t="n">
        <x:v>0.2</x:v>
      </x:c>
      <x:c r="V3162" s="54" t="str">
        <x:f>IF(ISNUMBER(T3162),T3162*(1+U3162),"")</x:f>
      </x:c>
      <x:c r="W3162" s="47" t="n">
        <x:v>0.3</x:v>
      </x:c>
      <x:c r="X3162" s="54" t="str">
        <x:f>IF(ISNUMBER(V3162),V3162/(1-W3162),"")</x:f>
      </x:c>
      <x:c r="Y3162" s="55" t="str">
        <x:f>IF(ISNUMBER(X3162),ROUNDUP(X3162,0),"")</x:f>
      </x:c>
      <x:c r="Z3162" t="str">
        <x:f>IF(ISNUMBER(T3162),"Cost captured","Awaiting trade cost")</x:f>
        <x:v>Awaiting trade cost</x:v>
      </x:c>
      <x:c r="AB3162" s="36" t="str">
        <x:f>IF(ISNUMBER(Y3162),ROUND(Y3162*0.9,2),"")</x:f>
      </x:c>
      <x:c r="AC3162" s="36" t="str">
        <x:f>IF(ISNUMBER(AB3162),ROUND(AB3162-(AB3162*0.015+0.2)-V3162,2),"")</x:f>
      </x:c>
      <x:c r="AD3162" s="36" t="str">
        <x:f>IF(ISNUMBER(Y3162),ROUND(Y3162*0.8,2),"")</x:f>
      </x:c>
      <x:c r="AE3162" s="36" t="str">
        <x:f>IF(ISNUMBER(AD3162),ROUND(AD3162*0.015+0.2,2),"")</x:f>
      </x:c>
      <x:c r="AF3162" s="36" t="str">
        <x:f>IF(ISNUMBER(AD3162),ROUND(AD3162-AE3162-V3162,2),"")</x:f>
      </x:c>
      <x:c r="AG3162" t="str">
        <x:f>IF(NOT(ISNUMBER(T3162)),"PENDING",IF(AF3162&gt;0,"PASS","FAIL"))</x:f>
        <x:v>PENDING</x:v>
      </x:c>
      <x:c r="AH3162" t="str">
        <x:f>IF(NOT(ISNUMBER(T3162)),"Needs supplier cost",IF(K3162&lt;&gt;"In stock","Supplier unavailable",IF(AG3162&lt;&gt;"PASS","BLOCK - GT loss risk","Commercially protected")))</x:f>
        <x:v>Needs supplier cost</x:v>
      </x:c>
      <x:c r="AI3162" t="str">
        <x:v>2026-09-10 Active Sports trade capture</x:v>
      </x:c>
      <x:c r="AJ3162" t="str">
        <x:v>Management-only economics. Stripe stress test uses 1.5% + £0.20 standard UK online-card fee; pallet/mix-and-match pricing ignored.</x:v>
      </x:c>
    </x:row>
    <x:row r="3163">
      <x:c r="A3163" t="str">
        <x:v>Active Sports Nutrition</x:v>
      </x:c>
      <x:c r="B3163" t="str">
        <x:v>Trained By JP</x:v>
      </x:c>
      <x:c r="C3163" t="str">
        <x:v>Performance Isolate</x:v>
      </x:c>
      <x:c r="D3163" t="str">
        <x:v>Supplements</x:v>
      </x:c>
      <x:c r="E3163" t="str">
        <x:v>Protein Blend</x:v>
      </x:c>
      <x:c r="F3163" t="str"/>
      <x:c r="G3163" t="str">
        <x:v>2kg</x:v>
      </x:c>
      <x:c r="H3163" t="str">
        <x:v>Choc Peanut Butter</x:v>
      </x:c>
      <x:c r="I3163" t="str"/>
      <x:c r="J3163" t="str">
        <x:v>Unit</x:v>
      </x:c>
      <x:c r="K3163" t="str">
        <x:v>Out of stock</x:v>
      </x:c>
      <x:c r="L3163" t="str">
        <x:v>2026-09-08</x:v>
      </x:c>
      <x:c r="M3163" t="str"/>
      <x:c r="N3163" t="str"/>
      <x:c r="O3163" t="str">
        <x:v>https://www.activesportstrade.co.uk/trained-by-jp-trade</x:v>
      </x:c>
      <x:c r="P3163" t="str"/>
      <x:c r="Q3163" t="str"/>
      <x:c r="R3163" t="str"/>
      <x:c r="S3163" t="str">
        <x:v>Pending genuine supplier/brand image</x:v>
      </x:c>
      <x:c r="T3163" s="54"/>
      <x:c r="U3163" s="47" t="n">
        <x:v>0.2</x:v>
      </x:c>
      <x:c r="V3163" s="54" t="str">
        <x:f>IF(ISNUMBER(T3163),T3163*(1+U3163),"")</x:f>
      </x:c>
      <x:c r="W3163" s="47" t="n">
        <x:v>0.3</x:v>
      </x:c>
      <x:c r="X3163" s="54" t="str">
        <x:f>IF(ISNUMBER(V3163),V3163/(1-W3163),"")</x:f>
      </x:c>
      <x:c r="Y3163" s="55" t="str">
        <x:f>IF(ISNUMBER(X3163),ROUNDUP(X3163,0),"")</x:f>
      </x:c>
      <x:c r="Z3163" t="str">
        <x:f>IF(ISNUMBER(T3163),"Cost captured","Awaiting trade cost")</x:f>
        <x:v>Awaiting trade cost</x:v>
      </x:c>
      <x:c r="AB3163" s="36" t="str">
        <x:f>IF(ISNUMBER(Y3163),ROUND(Y3163*0.9,2),"")</x:f>
      </x:c>
      <x:c r="AC3163" s="36" t="str">
        <x:f>IF(ISNUMBER(AB3163),ROUND(AB3163-(AB3163*0.015+0.2)-V3163,2),"")</x:f>
      </x:c>
      <x:c r="AD3163" s="36" t="str">
        <x:f>IF(ISNUMBER(Y3163),ROUND(Y3163*0.8,2),"")</x:f>
      </x:c>
      <x:c r="AE3163" s="36" t="str">
        <x:f>IF(ISNUMBER(AD3163),ROUND(AD3163*0.015+0.2,2),"")</x:f>
      </x:c>
      <x:c r="AF3163" s="36" t="str">
        <x:f>IF(ISNUMBER(AD3163),ROUND(AD3163-AE3163-V3163,2),"")</x:f>
      </x:c>
      <x:c r="AG3163" t="str">
        <x:f>IF(NOT(ISNUMBER(T3163)),"PENDING",IF(AF3163&gt;0,"PASS","FAIL"))</x:f>
        <x:v>PENDING</x:v>
      </x:c>
      <x:c r="AH3163" t="str">
        <x:f>IF(NOT(ISNUMBER(T3163)),"Needs supplier cost",IF(K3163&lt;&gt;"In stock","Supplier unavailable",IF(AG3163&lt;&gt;"PASS","BLOCK - GT loss risk","Commercially protected")))</x:f>
        <x:v>Needs supplier cost</x:v>
      </x:c>
      <x:c r="AI3163" t="str">
        <x:v>2026-09-10 Active Sports trade capture</x:v>
      </x:c>
      <x:c r="AJ3163" t="str">
        <x:v>Management-only economics. Stripe stress test uses 1.5% + £0.20 standard UK online-card fee; pallet/mix-and-match pricing ignored.</x:v>
      </x:c>
    </x:row>
    <x:row r="3164">
      <x:c r="A3164" t="str">
        <x:v>Active Sports Nutrition</x:v>
      </x:c>
      <x:c r="B3164" t="str">
        <x:v>Trained By JP</x:v>
      </x:c>
      <x:c r="C3164" t="str">
        <x:v>Performance Isolate</x:v>
      </x:c>
      <x:c r="D3164" t="str">
        <x:v>Supplements</x:v>
      </x:c>
      <x:c r="E3164" t="str">
        <x:v>Protein Blend</x:v>
      </x:c>
      <x:c r="F3164" t="str"/>
      <x:c r="G3164" t="str">
        <x:v>2kg</x:v>
      </x:c>
      <x:c r="H3164" t="str">
        <x:v>Chocolate Caramel</x:v>
      </x:c>
      <x:c r="I3164" t="str"/>
      <x:c r="J3164" t="str">
        <x:v>Unit</x:v>
      </x:c>
      <x:c r="K3164" t="str">
        <x:v>In stock</x:v>
      </x:c>
      <x:c r="L3164" t="str">
        <x:v>2026-09-08</x:v>
      </x:c>
      <x:c r="M3164" t="str"/>
      <x:c r="N3164" t="str"/>
      <x:c r="O3164" t="str">
        <x:v>https://www.activesportstrade.co.uk/trained-by-jp-trade</x:v>
      </x:c>
      <x:c r="P3164" t="str"/>
      <x:c r="Q3164" t="str"/>
      <x:c r="R3164" t="str"/>
      <x:c r="S3164" t="str">
        <x:v>Pending genuine supplier/brand image</x:v>
      </x:c>
      <x:c r="T3164" s="54"/>
      <x:c r="U3164" s="47" t="n">
        <x:v>0.2</x:v>
      </x:c>
      <x:c r="V3164" s="54" t="str">
        <x:f>IF(ISNUMBER(T3164),T3164*(1+U3164),"")</x:f>
      </x:c>
      <x:c r="W3164" s="47" t="n">
        <x:v>0.3</x:v>
      </x:c>
      <x:c r="X3164" s="54" t="str">
        <x:f>IF(ISNUMBER(V3164),V3164/(1-W3164),"")</x:f>
      </x:c>
      <x:c r="Y3164" s="55" t="str">
        <x:f>IF(ISNUMBER(X3164),ROUNDUP(X3164,0),"")</x:f>
      </x:c>
      <x:c r="Z3164" t="str">
        <x:f>IF(ISNUMBER(T3164),"Cost captured","Awaiting trade cost")</x:f>
        <x:v>Awaiting trade cost</x:v>
      </x:c>
      <x:c r="AB3164" s="36" t="str">
        <x:f>IF(ISNUMBER(Y3164),ROUND(Y3164*0.9,2),"")</x:f>
      </x:c>
      <x:c r="AC3164" s="36" t="str">
        <x:f>IF(ISNUMBER(AB3164),ROUND(AB3164-(AB3164*0.015+0.2)-V3164,2),"")</x:f>
      </x:c>
      <x:c r="AD3164" s="36" t="str">
        <x:f>IF(ISNUMBER(Y3164),ROUND(Y3164*0.8,2),"")</x:f>
      </x:c>
      <x:c r="AE3164" s="36" t="str">
        <x:f>IF(ISNUMBER(AD3164),ROUND(AD3164*0.015+0.2,2),"")</x:f>
      </x:c>
      <x:c r="AF3164" s="36" t="str">
        <x:f>IF(ISNUMBER(AD3164),ROUND(AD3164-AE3164-V3164,2),"")</x:f>
      </x:c>
      <x:c r="AG3164" t="str">
        <x:f>IF(NOT(ISNUMBER(T3164)),"PENDING",IF(AF3164&gt;0,"PASS","FAIL"))</x:f>
        <x:v>PENDING</x:v>
      </x:c>
      <x:c r="AH3164" t="str">
        <x:f>IF(NOT(ISNUMBER(T3164)),"Needs supplier cost",IF(K3164&lt;&gt;"In stock","Supplier unavailable",IF(AG3164&lt;&gt;"PASS","BLOCK - GT loss risk","Commercially protected")))</x:f>
        <x:v>Needs supplier cost</x:v>
      </x:c>
      <x:c r="AI3164" t="str">
        <x:v>2026-09-10 Active Sports trade capture</x:v>
      </x:c>
      <x:c r="AJ3164" t="str">
        <x:v>Management-only economics. Stripe stress test uses 1.5% + £0.20 standard UK online-card fee; pallet/mix-and-match pricing ignored.</x:v>
      </x:c>
    </x:row>
    <x:row r="3165">
      <x:c r="A3165" t="str">
        <x:v>Active Sports Nutrition</x:v>
      </x:c>
      <x:c r="B3165" t="str">
        <x:v>Trained By JP</x:v>
      </x:c>
      <x:c r="C3165" t="str">
        <x:v>Performance Isolate</x:v>
      </x:c>
      <x:c r="D3165" t="str">
        <x:v>Supplements</x:v>
      </x:c>
      <x:c r="E3165" t="str">
        <x:v>Protein Blend</x:v>
      </x:c>
      <x:c r="F3165" t="str"/>
      <x:c r="G3165" t="str">
        <x:v>2kg</x:v>
      </x:c>
      <x:c r="H3165" t="str">
        <x:v>Chocolate Mocha</x:v>
      </x:c>
      <x:c r="I3165" t="str"/>
      <x:c r="J3165" t="str">
        <x:v>Unit</x:v>
      </x:c>
      <x:c r="K3165" t="str">
        <x:v>Out of stock</x:v>
      </x:c>
      <x:c r="L3165" t="str">
        <x:v>2026-09-08</x:v>
      </x:c>
      <x:c r="M3165" t="str"/>
      <x:c r="N3165" t="str"/>
      <x:c r="O3165" t="str">
        <x:v>https://www.activesportstrade.co.uk/trained-by-jp-trade</x:v>
      </x:c>
      <x:c r="P3165" t="str"/>
      <x:c r="Q3165" t="str"/>
      <x:c r="R3165" t="str"/>
      <x:c r="S3165" t="str">
        <x:v>Pending genuine supplier/brand image</x:v>
      </x:c>
      <x:c r="T3165" s="54"/>
      <x:c r="U3165" s="47" t="n">
        <x:v>0.2</x:v>
      </x:c>
      <x:c r="V3165" s="54" t="str">
        <x:f>IF(ISNUMBER(T3165),T3165*(1+U3165),"")</x:f>
      </x:c>
      <x:c r="W3165" s="47" t="n">
        <x:v>0.3</x:v>
      </x:c>
      <x:c r="X3165" s="54" t="str">
        <x:f>IF(ISNUMBER(V3165),V3165/(1-W3165),"")</x:f>
      </x:c>
      <x:c r="Y3165" s="55" t="str">
        <x:f>IF(ISNUMBER(X3165),ROUNDUP(X3165,0),"")</x:f>
      </x:c>
      <x:c r="Z3165" t="str">
        <x:f>IF(ISNUMBER(T3165),"Cost captured","Awaiting trade cost")</x:f>
        <x:v>Awaiting trade cost</x:v>
      </x:c>
      <x:c r="AB3165" s="36" t="str">
        <x:f>IF(ISNUMBER(Y3165),ROUND(Y3165*0.9,2),"")</x:f>
      </x:c>
      <x:c r="AC3165" s="36" t="str">
        <x:f>IF(ISNUMBER(AB3165),ROUND(AB3165-(AB3165*0.015+0.2)-V3165,2),"")</x:f>
      </x:c>
      <x:c r="AD3165" s="36" t="str">
        <x:f>IF(ISNUMBER(Y3165),ROUND(Y3165*0.8,2),"")</x:f>
      </x:c>
      <x:c r="AE3165" s="36" t="str">
        <x:f>IF(ISNUMBER(AD3165),ROUND(AD3165*0.015+0.2,2),"")</x:f>
      </x:c>
      <x:c r="AF3165" s="36" t="str">
        <x:f>IF(ISNUMBER(AD3165),ROUND(AD3165-AE3165-V3165,2),"")</x:f>
      </x:c>
      <x:c r="AG3165" t="str">
        <x:f>IF(NOT(ISNUMBER(T3165)),"PENDING",IF(AF3165&gt;0,"PASS","FAIL"))</x:f>
        <x:v>PENDING</x:v>
      </x:c>
      <x:c r="AH3165" t="str">
        <x:f>IF(NOT(ISNUMBER(T3165)),"Needs supplier cost",IF(K3165&lt;&gt;"In stock","Supplier unavailable",IF(AG3165&lt;&gt;"PASS","BLOCK - GT loss risk","Commercially protected")))</x:f>
        <x:v>Needs supplier cost</x:v>
      </x:c>
      <x:c r="AI3165" t="str">
        <x:v>2026-09-10 Active Sports trade capture</x:v>
      </x:c>
      <x:c r="AJ3165" t="str">
        <x:v>Management-only economics. Stripe stress test uses 1.5% + £0.20 standard UK online-card fee; pallet/mix-and-match pricing ignored.</x:v>
      </x:c>
    </x:row>
    <x:row r="3166">
      <x:c r="A3166" t="str">
        <x:v>Active Sports Nutrition</x:v>
      </x:c>
      <x:c r="B3166" t="str">
        <x:v>Trained By JP</x:v>
      </x:c>
      <x:c r="C3166" t="str">
        <x:v>Performance Isolate</x:v>
      </x:c>
      <x:c r="D3166" t="str">
        <x:v>Supplements</x:v>
      </x:c>
      <x:c r="E3166" t="str">
        <x:v>Protein Blend</x:v>
      </x:c>
      <x:c r="F3166" t="str"/>
      <x:c r="G3166" t="str">
        <x:v>2kg</x:v>
      </x:c>
      <x:c r="H3166" t="str">
        <x:v>Chocolate Orange</x:v>
      </x:c>
      <x:c r="I3166" t="str"/>
      <x:c r="J3166" t="str">
        <x:v>Unit</x:v>
      </x:c>
      <x:c r="K3166" t="str">
        <x:v>In stock</x:v>
      </x:c>
      <x:c r="L3166" t="str">
        <x:v>2026-09-08</x:v>
      </x:c>
      <x:c r="M3166" t="str"/>
      <x:c r="N3166" t="str"/>
      <x:c r="O3166" t="str">
        <x:v>https://www.activesportstrade.co.uk/trained-by-jp-trade</x:v>
      </x:c>
      <x:c r="P3166" t="str"/>
      <x:c r="Q3166" t="str"/>
      <x:c r="R3166" t="str"/>
      <x:c r="S3166" t="str">
        <x:v>Pending genuine supplier/brand image</x:v>
      </x:c>
      <x:c r="T3166" s="54"/>
      <x:c r="U3166" s="47" t="n">
        <x:v>0.2</x:v>
      </x:c>
      <x:c r="V3166" s="54" t="str">
        <x:f>IF(ISNUMBER(T3166),T3166*(1+U3166),"")</x:f>
      </x:c>
      <x:c r="W3166" s="47" t="n">
        <x:v>0.3</x:v>
      </x:c>
      <x:c r="X3166" s="54" t="str">
        <x:f>IF(ISNUMBER(V3166),V3166/(1-W3166),"")</x:f>
      </x:c>
      <x:c r="Y3166" s="55" t="str">
        <x:f>IF(ISNUMBER(X3166),ROUNDUP(X3166,0),"")</x:f>
      </x:c>
      <x:c r="Z3166" t="str">
        <x:f>IF(ISNUMBER(T3166),"Cost captured","Awaiting trade cost")</x:f>
        <x:v>Awaiting trade cost</x:v>
      </x:c>
      <x:c r="AB3166" s="36" t="str">
        <x:f>IF(ISNUMBER(Y3166),ROUND(Y3166*0.9,2),"")</x:f>
      </x:c>
      <x:c r="AC3166" s="36" t="str">
        <x:f>IF(ISNUMBER(AB3166),ROUND(AB3166-(AB3166*0.015+0.2)-V3166,2),"")</x:f>
      </x:c>
      <x:c r="AD3166" s="36" t="str">
        <x:f>IF(ISNUMBER(Y3166),ROUND(Y3166*0.8,2),"")</x:f>
      </x:c>
      <x:c r="AE3166" s="36" t="str">
        <x:f>IF(ISNUMBER(AD3166),ROUND(AD3166*0.015+0.2,2),"")</x:f>
      </x:c>
      <x:c r="AF3166" s="36" t="str">
        <x:f>IF(ISNUMBER(AD3166),ROUND(AD3166-AE3166-V3166,2),"")</x:f>
      </x:c>
      <x:c r="AG3166" t="str">
        <x:f>IF(NOT(ISNUMBER(T3166)),"PENDING",IF(AF3166&gt;0,"PASS","FAIL"))</x:f>
        <x:v>PENDING</x:v>
      </x:c>
      <x:c r="AH3166" t="str">
        <x:f>IF(NOT(ISNUMBER(T3166)),"Needs supplier cost",IF(K3166&lt;&gt;"In stock","Supplier unavailable",IF(AG3166&lt;&gt;"PASS","BLOCK - GT loss risk","Commercially protected")))</x:f>
        <x:v>Needs supplier cost</x:v>
      </x:c>
      <x:c r="AI3166" t="str">
        <x:v>2026-09-10 Active Sports trade capture</x:v>
      </x:c>
      <x:c r="AJ3166" t="str">
        <x:v>Management-only economics. Stripe stress test uses 1.5% + £0.20 standard UK online-card fee; pallet/mix-and-match pricing ignored.</x:v>
      </x:c>
    </x:row>
    <x:row r="3167">
      <x:c r="A3167" t="str">
        <x:v>Active Sports Nutrition</x:v>
      </x:c>
      <x:c r="B3167" t="str">
        <x:v>Trained By JP</x:v>
      </x:c>
      <x:c r="C3167" t="str">
        <x:v>Performance Isolate</x:v>
      </x:c>
      <x:c r="D3167" t="str">
        <x:v>Supplements</x:v>
      </x:c>
      <x:c r="E3167" t="str">
        <x:v>Protein Blend</x:v>
      </x:c>
      <x:c r="F3167" t="str"/>
      <x:c r="G3167" t="str">
        <x:v>2kg</x:v>
      </x:c>
      <x:c r="H3167" t="str">
        <x:v>Chocolate Peanut Butter</x:v>
      </x:c>
      <x:c r="I3167" t="str"/>
      <x:c r="J3167" t="str">
        <x:v>Unit</x:v>
      </x:c>
      <x:c r="K3167" t="str">
        <x:v>Out of stock</x:v>
      </x:c>
      <x:c r="L3167" t="str">
        <x:v>2026-09-08</x:v>
      </x:c>
      <x:c r="M3167" t="str"/>
      <x:c r="N3167" t="str"/>
      <x:c r="O3167" t="str">
        <x:v>https://www.activesportstrade.co.uk/trained-by-jp-trade</x:v>
      </x:c>
      <x:c r="P3167" t="str"/>
      <x:c r="Q3167" t="str"/>
      <x:c r="R3167" t="str"/>
      <x:c r="S3167" t="str">
        <x:v>Pending genuine supplier/brand image</x:v>
      </x:c>
      <x:c r="T3167" s="54"/>
      <x:c r="U3167" s="47" t="n">
        <x:v>0.2</x:v>
      </x:c>
      <x:c r="V3167" s="54" t="str">
        <x:f>IF(ISNUMBER(T3167),T3167*(1+U3167),"")</x:f>
      </x:c>
      <x:c r="W3167" s="47" t="n">
        <x:v>0.3</x:v>
      </x:c>
      <x:c r="X3167" s="54" t="str">
        <x:f>IF(ISNUMBER(V3167),V3167/(1-W3167),"")</x:f>
      </x:c>
      <x:c r="Y3167" s="55" t="str">
        <x:f>IF(ISNUMBER(X3167),ROUNDUP(X3167,0),"")</x:f>
      </x:c>
      <x:c r="Z3167" t="str">
        <x:f>IF(ISNUMBER(T3167),"Cost captured","Awaiting trade cost")</x:f>
        <x:v>Awaiting trade cost</x:v>
      </x:c>
      <x:c r="AB3167" s="36" t="str">
        <x:f>IF(ISNUMBER(Y3167),ROUND(Y3167*0.9,2),"")</x:f>
      </x:c>
      <x:c r="AC3167" s="36" t="str">
        <x:f>IF(ISNUMBER(AB3167),ROUND(AB3167-(AB3167*0.015+0.2)-V3167,2),"")</x:f>
      </x:c>
      <x:c r="AD3167" s="36" t="str">
        <x:f>IF(ISNUMBER(Y3167),ROUND(Y3167*0.8,2),"")</x:f>
      </x:c>
      <x:c r="AE3167" s="36" t="str">
        <x:f>IF(ISNUMBER(AD3167),ROUND(AD3167*0.015+0.2,2),"")</x:f>
      </x:c>
      <x:c r="AF3167" s="36" t="str">
        <x:f>IF(ISNUMBER(AD3167),ROUND(AD3167-AE3167-V3167,2),"")</x:f>
      </x:c>
      <x:c r="AG3167" t="str">
        <x:f>IF(NOT(ISNUMBER(T3167)),"PENDING",IF(AF3167&gt;0,"PASS","FAIL"))</x:f>
        <x:v>PENDING</x:v>
      </x:c>
      <x:c r="AH3167" t="str">
        <x:f>IF(NOT(ISNUMBER(T3167)),"Needs supplier cost",IF(K3167&lt;&gt;"In stock","Supplier unavailable",IF(AG3167&lt;&gt;"PASS","BLOCK - GT loss risk","Commercially protected")))</x:f>
        <x:v>Needs supplier cost</x:v>
      </x:c>
      <x:c r="AI3167" t="str">
        <x:v>2026-09-10 Active Sports trade capture</x:v>
      </x:c>
      <x:c r="AJ3167" t="str">
        <x:v>Management-only economics. Stripe stress test uses 1.5% + £0.20 standard UK online-card fee; pallet/mix-and-match pricing ignored.</x:v>
      </x:c>
    </x:row>
    <x:row r="3168">
      <x:c r="A3168" t="str">
        <x:v>Active Sports Nutrition</x:v>
      </x:c>
      <x:c r="B3168" t="str">
        <x:v>Trained By JP</x:v>
      </x:c>
      <x:c r="C3168" t="str">
        <x:v>Performance Isolate</x:v>
      </x:c>
      <x:c r="D3168" t="str">
        <x:v>Supplements</x:v>
      </x:c>
      <x:c r="E3168" t="str">
        <x:v>Protein Blend</x:v>
      </x:c>
      <x:c r="F3168" t="str"/>
      <x:c r="G3168" t="str">
        <x:v>2kg</x:v>
      </x:c>
      <x:c r="H3168" t="str">
        <x:v>Chocolate Pistachio</x:v>
      </x:c>
      <x:c r="I3168" t="str"/>
      <x:c r="J3168" t="str">
        <x:v>Unit</x:v>
      </x:c>
      <x:c r="K3168" t="str">
        <x:v>In stock</x:v>
      </x:c>
      <x:c r="L3168" t="str">
        <x:v>2026-09-08</x:v>
      </x:c>
      <x:c r="M3168" t="str"/>
      <x:c r="N3168" t="str"/>
      <x:c r="O3168" t="str">
        <x:v>https://www.activesportstrade.co.uk/trained-by-jp-trade</x:v>
      </x:c>
      <x:c r="P3168" t="str"/>
      <x:c r="Q3168" t="str"/>
      <x:c r="R3168" t="str"/>
      <x:c r="S3168" t="str">
        <x:v>Pending genuine supplier/brand image</x:v>
      </x:c>
      <x:c r="T3168" s="54"/>
      <x:c r="U3168" s="47" t="n">
        <x:v>0.2</x:v>
      </x:c>
      <x:c r="V3168" s="54" t="str">
        <x:f>IF(ISNUMBER(T3168),T3168*(1+U3168),"")</x:f>
      </x:c>
      <x:c r="W3168" s="47" t="n">
        <x:v>0.3</x:v>
      </x:c>
      <x:c r="X3168" s="54" t="str">
        <x:f>IF(ISNUMBER(V3168),V3168/(1-W3168),"")</x:f>
      </x:c>
      <x:c r="Y3168" s="55" t="str">
        <x:f>IF(ISNUMBER(X3168),ROUNDUP(X3168,0),"")</x:f>
      </x:c>
      <x:c r="Z3168" t="str">
        <x:f>IF(ISNUMBER(T3168),"Cost captured","Awaiting trade cost")</x:f>
        <x:v>Awaiting trade cost</x:v>
      </x:c>
      <x:c r="AB3168" s="36" t="str">
        <x:f>IF(ISNUMBER(Y3168),ROUND(Y3168*0.9,2),"")</x:f>
      </x:c>
      <x:c r="AC3168" s="36" t="str">
        <x:f>IF(ISNUMBER(AB3168),ROUND(AB3168-(AB3168*0.015+0.2)-V3168,2),"")</x:f>
      </x:c>
      <x:c r="AD3168" s="36" t="str">
        <x:f>IF(ISNUMBER(Y3168),ROUND(Y3168*0.8,2),"")</x:f>
      </x:c>
      <x:c r="AE3168" s="36" t="str">
        <x:f>IF(ISNUMBER(AD3168),ROUND(AD3168*0.015+0.2,2),"")</x:f>
      </x:c>
      <x:c r="AF3168" s="36" t="str">
        <x:f>IF(ISNUMBER(AD3168),ROUND(AD3168-AE3168-V3168,2),"")</x:f>
      </x:c>
      <x:c r="AG3168" t="str">
        <x:f>IF(NOT(ISNUMBER(T3168)),"PENDING",IF(AF3168&gt;0,"PASS","FAIL"))</x:f>
        <x:v>PENDING</x:v>
      </x:c>
      <x:c r="AH3168" t="str">
        <x:f>IF(NOT(ISNUMBER(T3168)),"Needs supplier cost",IF(K3168&lt;&gt;"In stock","Supplier unavailable",IF(AG3168&lt;&gt;"PASS","BLOCK - GT loss risk","Commercially protected")))</x:f>
        <x:v>Needs supplier cost</x:v>
      </x:c>
      <x:c r="AI3168" t="str">
        <x:v>2026-09-10 Active Sports trade capture</x:v>
      </x:c>
      <x:c r="AJ3168" t="str">
        <x:v>Management-only economics. Stripe stress test uses 1.5% + £0.20 standard UK online-card fee; pallet/mix-and-match pricing ignored.</x:v>
      </x:c>
    </x:row>
    <x:row r="3169">
      <x:c r="A3169" t="str">
        <x:v>Active Sports Nutrition</x:v>
      </x:c>
      <x:c r="B3169" t="str">
        <x:v>Trained By JP</x:v>
      </x:c>
      <x:c r="C3169" t="str">
        <x:v>Performance Isolate</x:v>
      </x:c>
      <x:c r="D3169" t="str">
        <x:v>Supplements</x:v>
      </x:c>
      <x:c r="E3169" t="str">
        <x:v>Protein Blend</x:v>
      </x:c>
      <x:c r="F3169" t="str"/>
      <x:c r="G3169" t="str">
        <x:v>2kg</x:v>
      </x:c>
      <x:c r="H3169" t="str">
        <x:v>Cinnamon Danish</x:v>
      </x:c>
      <x:c r="I3169" t="str"/>
      <x:c r="J3169" t="str">
        <x:v>Unit</x:v>
      </x:c>
      <x:c r="K3169" t="str">
        <x:v>Out of stock</x:v>
      </x:c>
      <x:c r="L3169" t="str">
        <x:v>2026-09-08</x:v>
      </x:c>
      <x:c r="M3169" t="str"/>
      <x:c r="N3169" t="str"/>
      <x:c r="O3169" t="str">
        <x:v>https://www.activesportstrade.co.uk/trained-by-jp-trade</x:v>
      </x:c>
      <x:c r="P3169" t="str"/>
      <x:c r="Q3169" t="str"/>
      <x:c r="R3169" t="str"/>
      <x:c r="S3169" t="str">
        <x:v>Pending genuine supplier/brand image</x:v>
      </x:c>
      <x:c r="T3169" s="54"/>
      <x:c r="U3169" s="47" t="n">
        <x:v>0.2</x:v>
      </x:c>
      <x:c r="V3169" s="54" t="str">
        <x:f>IF(ISNUMBER(T3169),T3169*(1+U3169),"")</x:f>
      </x:c>
      <x:c r="W3169" s="47" t="n">
        <x:v>0.3</x:v>
      </x:c>
      <x:c r="X3169" s="54" t="str">
        <x:f>IF(ISNUMBER(V3169),V3169/(1-W3169),"")</x:f>
      </x:c>
      <x:c r="Y3169" s="55" t="str">
        <x:f>IF(ISNUMBER(X3169),ROUNDUP(X3169,0),"")</x:f>
      </x:c>
      <x:c r="Z3169" t="str">
        <x:f>IF(ISNUMBER(T3169),"Cost captured","Awaiting trade cost")</x:f>
        <x:v>Awaiting trade cost</x:v>
      </x:c>
      <x:c r="AB3169" s="36" t="str">
        <x:f>IF(ISNUMBER(Y3169),ROUND(Y3169*0.9,2),"")</x:f>
      </x:c>
      <x:c r="AC3169" s="36" t="str">
        <x:f>IF(ISNUMBER(AB3169),ROUND(AB3169-(AB3169*0.015+0.2)-V3169,2),"")</x:f>
      </x:c>
      <x:c r="AD3169" s="36" t="str">
        <x:f>IF(ISNUMBER(Y3169),ROUND(Y3169*0.8,2),"")</x:f>
      </x:c>
      <x:c r="AE3169" s="36" t="str">
        <x:f>IF(ISNUMBER(AD3169),ROUND(AD3169*0.015+0.2,2),"")</x:f>
      </x:c>
      <x:c r="AF3169" s="36" t="str">
        <x:f>IF(ISNUMBER(AD3169),ROUND(AD3169-AE3169-V3169,2),"")</x:f>
      </x:c>
      <x:c r="AG3169" t="str">
        <x:f>IF(NOT(ISNUMBER(T3169)),"PENDING",IF(AF3169&gt;0,"PASS","FAIL"))</x:f>
        <x:v>PENDING</x:v>
      </x:c>
      <x:c r="AH3169" t="str">
        <x:f>IF(NOT(ISNUMBER(T3169)),"Needs supplier cost",IF(K3169&lt;&gt;"In stock","Supplier unavailable",IF(AG3169&lt;&gt;"PASS","BLOCK - GT loss risk","Commercially protected")))</x:f>
        <x:v>Needs supplier cost</x:v>
      </x:c>
      <x:c r="AI3169" t="str">
        <x:v>2026-09-10 Active Sports trade capture</x:v>
      </x:c>
      <x:c r="AJ3169" t="str">
        <x:v>Management-only economics. Stripe stress test uses 1.5% + £0.20 standard UK online-card fee; pallet/mix-and-match pricing ignored.</x:v>
      </x:c>
    </x:row>
    <x:row r="3170">
      <x:c r="A3170" t="str">
        <x:v>Active Sports Nutrition</x:v>
      </x:c>
      <x:c r="B3170" t="str">
        <x:v>Trained By JP</x:v>
      </x:c>
      <x:c r="C3170" t="str">
        <x:v>Performance Isolate</x:v>
      </x:c>
      <x:c r="D3170" t="str">
        <x:v>Supplements</x:v>
      </x:c>
      <x:c r="E3170" t="str">
        <x:v>Protein Blend</x:v>
      </x:c>
      <x:c r="F3170" t="str"/>
      <x:c r="G3170" t="str">
        <x:v>2kg</x:v>
      </x:c>
      <x:c r="H3170" t="str">
        <x:v>Coffee Caramel</x:v>
      </x:c>
      <x:c r="I3170" t="str"/>
      <x:c r="J3170" t="str">
        <x:v>Unit</x:v>
      </x:c>
      <x:c r="K3170" t="str">
        <x:v>Out of stock</x:v>
      </x:c>
      <x:c r="L3170" t="str">
        <x:v>2026-09-08</x:v>
      </x:c>
      <x:c r="M3170" t="str"/>
      <x:c r="N3170" t="str"/>
      <x:c r="O3170" t="str">
        <x:v>https://www.activesportstrade.co.uk/trained-by-jp-trade</x:v>
      </x:c>
      <x:c r="P3170" t="str"/>
      <x:c r="Q3170" t="str"/>
      <x:c r="R3170" t="str"/>
      <x:c r="S3170" t="str">
        <x:v>Pending genuine supplier/brand image</x:v>
      </x:c>
      <x:c r="T3170" s="54"/>
      <x:c r="U3170" s="47" t="n">
        <x:v>0.2</x:v>
      </x:c>
      <x:c r="V3170" s="54" t="str">
        <x:f>IF(ISNUMBER(T3170),T3170*(1+U3170),"")</x:f>
      </x:c>
      <x:c r="W3170" s="47" t="n">
        <x:v>0.3</x:v>
      </x:c>
      <x:c r="X3170" s="54" t="str">
        <x:f>IF(ISNUMBER(V3170),V3170/(1-W3170),"")</x:f>
      </x:c>
      <x:c r="Y3170" s="55" t="str">
        <x:f>IF(ISNUMBER(X3170),ROUNDUP(X3170,0),"")</x:f>
      </x:c>
      <x:c r="Z3170" t="str">
        <x:f>IF(ISNUMBER(T3170),"Cost captured","Awaiting trade cost")</x:f>
        <x:v>Awaiting trade cost</x:v>
      </x:c>
      <x:c r="AB3170" s="36" t="str">
        <x:f>IF(ISNUMBER(Y3170),ROUND(Y3170*0.9,2),"")</x:f>
      </x:c>
      <x:c r="AC3170" s="36" t="str">
        <x:f>IF(ISNUMBER(AB3170),ROUND(AB3170-(AB3170*0.015+0.2)-V3170,2),"")</x:f>
      </x:c>
      <x:c r="AD3170" s="36" t="str">
        <x:f>IF(ISNUMBER(Y3170),ROUND(Y3170*0.8,2),"")</x:f>
      </x:c>
      <x:c r="AE3170" s="36" t="str">
        <x:f>IF(ISNUMBER(AD3170),ROUND(AD3170*0.015+0.2,2),"")</x:f>
      </x:c>
      <x:c r="AF3170" s="36" t="str">
        <x:f>IF(ISNUMBER(AD3170),ROUND(AD3170-AE3170-V3170,2),"")</x:f>
      </x:c>
      <x:c r="AG3170" t="str">
        <x:f>IF(NOT(ISNUMBER(T3170)),"PENDING",IF(AF3170&gt;0,"PASS","FAIL"))</x:f>
        <x:v>PENDING</x:v>
      </x:c>
      <x:c r="AH3170" t="str">
        <x:f>IF(NOT(ISNUMBER(T3170)),"Needs supplier cost",IF(K3170&lt;&gt;"In stock","Supplier unavailable",IF(AG3170&lt;&gt;"PASS","BLOCK - GT loss risk","Commercially protected")))</x:f>
        <x:v>Needs supplier cost</x:v>
      </x:c>
      <x:c r="AI3170" t="str">
        <x:v>2026-09-10 Active Sports trade capture</x:v>
      </x:c>
      <x:c r="AJ3170" t="str">
        <x:v>Management-only economics. Stripe stress test uses 1.5% + £0.20 standard UK online-card fee; pallet/mix-and-match pricing ignored.</x:v>
      </x:c>
    </x:row>
    <x:row r="3171">
      <x:c r="A3171" t="str">
        <x:v>Active Sports Nutrition</x:v>
      </x:c>
      <x:c r="B3171" t="str">
        <x:v>Trained By JP</x:v>
      </x:c>
      <x:c r="C3171" t="str">
        <x:v>Performance Isolate</x:v>
      </x:c>
      <x:c r="D3171" t="str">
        <x:v>Supplements</x:v>
      </x:c>
      <x:c r="E3171" t="str">
        <x:v>Protein Blend</x:v>
      </x:c>
      <x:c r="F3171" t="str"/>
      <x:c r="G3171" t="str">
        <x:v>2kg</x:v>
      </x:c>
      <x:c r="H3171" t="str">
        <x:v>Cookies &amp; Cream</x:v>
      </x:c>
      <x:c r="I3171" t="str"/>
      <x:c r="J3171" t="str">
        <x:v>Unit</x:v>
      </x:c>
      <x:c r="K3171" t="str">
        <x:v>In stock</x:v>
      </x:c>
      <x:c r="L3171" t="str">
        <x:v>2026-09-08</x:v>
      </x:c>
      <x:c r="M3171" t="str"/>
      <x:c r="N3171" t="str"/>
      <x:c r="O3171" t="str">
        <x:v>https://www.activesportstrade.co.uk/trained-by-jp-trade</x:v>
      </x:c>
      <x:c r="P3171" t="str"/>
      <x:c r="Q3171" t="str"/>
      <x:c r="R3171" t="str"/>
      <x:c r="S3171" t="str">
        <x:v>Pending genuine supplier/brand image</x:v>
      </x:c>
      <x:c r="T3171" s="54"/>
      <x:c r="U3171" s="47" t="n">
        <x:v>0.2</x:v>
      </x:c>
      <x:c r="V3171" s="54" t="str">
        <x:f>IF(ISNUMBER(T3171),T3171*(1+U3171),"")</x:f>
      </x:c>
      <x:c r="W3171" s="47" t="n">
        <x:v>0.3</x:v>
      </x:c>
      <x:c r="X3171" s="54" t="str">
        <x:f>IF(ISNUMBER(V3171),V3171/(1-W3171),"")</x:f>
      </x:c>
      <x:c r="Y3171" s="55" t="str">
        <x:f>IF(ISNUMBER(X3171),ROUNDUP(X3171,0),"")</x:f>
      </x:c>
      <x:c r="Z3171" t="str">
        <x:f>IF(ISNUMBER(T3171),"Cost captured","Awaiting trade cost")</x:f>
        <x:v>Awaiting trade cost</x:v>
      </x:c>
      <x:c r="AB3171" s="36" t="str">
        <x:f>IF(ISNUMBER(Y3171),ROUND(Y3171*0.9,2),"")</x:f>
      </x:c>
      <x:c r="AC3171" s="36" t="str">
        <x:f>IF(ISNUMBER(AB3171),ROUND(AB3171-(AB3171*0.015+0.2)-V3171,2),"")</x:f>
      </x:c>
      <x:c r="AD3171" s="36" t="str">
        <x:f>IF(ISNUMBER(Y3171),ROUND(Y3171*0.8,2),"")</x:f>
      </x:c>
      <x:c r="AE3171" s="36" t="str">
        <x:f>IF(ISNUMBER(AD3171),ROUND(AD3171*0.015+0.2,2),"")</x:f>
      </x:c>
      <x:c r="AF3171" s="36" t="str">
        <x:f>IF(ISNUMBER(AD3171),ROUND(AD3171-AE3171-V3171,2),"")</x:f>
      </x:c>
      <x:c r="AG3171" t="str">
        <x:f>IF(NOT(ISNUMBER(T3171)),"PENDING",IF(AF3171&gt;0,"PASS","FAIL"))</x:f>
        <x:v>PENDING</x:v>
      </x:c>
      <x:c r="AH3171" t="str">
        <x:f>IF(NOT(ISNUMBER(T3171)),"Needs supplier cost",IF(K3171&lt;&gt;"In stock","Supplier unavailable",IF(AG3171&lt;&gt;"PASS","BLOCK - GT loss risk","Commercially protected")))</x:f>
        <x:v>Needs supplier cost</x:v>
      </x:c>
      <x:c r="AI3171" t="str">
        <x:v>2026-09-10 Active Sports trade capture</x:v>
      </x:c>
      <x:c r="AJ3171" t="str">
        <x:v>Management-only economics. Stripe stress test uses 1.5% + £0.20 standard UK online-card fee; pallet/mix-and-match pricing ignored.</x:v>
      </x:c>
    </x:row>
    <x:row r="3172">
      <x:c r="A3172" t="str">
        <x:v>Active Sports Nutrition</x:v>
      </x:c>
      <x:c r="B3172" t="str">
        <x:v>Trained By JP</x:v>
      </x:c>
      <x:c r="C3172" t="str">
        <x:v>Performance Isolate</x:v>
      </x:c>
      <x:c r="D3172" t="str">
        <x:v>Supplements</x:v>
      </x:c>
      <x:c r="E3172" t="str">
        <x:v>Protein Blend</x:v>
      </x:c>
      <x:c r="F3172" t="str"/>
      <x:c r="G3172" t="str">
        <x:v>2kg</x:v>
      </x:c>
      <x:c r="H3172" t="str">
        <x:v>Custard Cream</x:v>
      </x:c>
      <x:c r="I3172" t="str"/>
      <x:c r="J3172" t="str">
        <x:v>Unit</x:v>
      </x:c>
      <x:c r="K3172" t="str">
        <x:v>Out of stock</x:v>
      </x:c>
      <x:c r="L3172" t="str">
        <x:v>2026-09-08</x:v>
      </x:c>
      <x:c r="M3172" t="str"/>
      <x:c r="N3172" t="str"/>
      <x:c r="O3172" t="str">
        <x:v>https://www.activesportstrade.co.uk/trained-by-jp-trade</x:v>
      </x:c>
      <x:c r="P3172" t="str"/>
      <x:c r="Q3172" t="str"/>
      <x:c r="R3172" t="str"/>
      <x:c r="S3172" t="str">
        <x:v>Pending genuine supplier/brand image</x:v>
      </x:c>
      <x:c r="T3172" s="54"/>
      <x:c r="U3172" s="47" t="n">
        <x:v>0.2</x:v>
      </x:c>
      <x:c r="V3172" s="54" t="str">
        <x:f>IF(ISNUMBER(T3172),T3172*(1+U3172),"")</x:f>
      </x:c>
      <x:c r="W3172" s="47" t="n">
        <x:v>0.3</x:v>
      </x:c>
      <x:c r="X3172" s="54" t="str">
        <x:f>IF(ISNUMBER(V3172),V3172/(1-W3172),"")</x:f>
      </x:c>
      <x:c r="Y3172" s="55" t="str">
        <x:f>IF(ISNUMBER(X3172),ROUNDUP(X3172,0),"")</x:f>
      </x:c>
      <x:c r="Z3172" t="str">
        <x:f>IF(ISNUMBER(T3172),"Cost captured","Awaiting trade cost")</x:f>
        <x:v>Awaiting trade cost</x:v>
      </x:c>
      <x:c r="AB3172" s="36" t="str">
        <x:f>IF(ISNUMBER(Y3172),ROUND(Y3172*0.9,2),"")</x:f>
      </x:c>
      <x:c r="AC3172" s="36" t="str">
        <x:f>IF(ISNUMBER(AB3172),ROUND(AB3172-(AB3172*0.015+0.2)-V3172,2),"")</x:f>
      </x:c>
      <x:c r="AD3172" s="36" t="str">
        <x:f>IF(ISNUMBER(Y3172),ROUND(Y3172*0.8,2),"")</x:f>
      </x:c>
      <x:c r="AE3172" s="36" t="str">
        <x:f>IF(ISNUMBER(AD3172),ROUND(AD3172*0.015+0.2,2),"")</x:f>
      </x:c>
      <x:c r="AF3172" s="36" t="str">
        <x:f>IF(ISNUMBER(AD3172),ROUND(AD3172-AE3172-V3172,2),"")</x:f>
      </x:c>
      <x:c r="AG3172" t="str">
        <x:f>IF(NOT(ISNUMBER(T3172)),"PENDING",IF(AF3172&gt;0,"PASS","FAIL"))</x:f>
        <x:v>PENDING</x:v>
      </x:c>
      <x:c r="AH3172" t="str">
        <x:f>IF(NOT(ISNUMBER(T3172)),"Needs supplier cost",IF(K3172&lt;&gt;"In stock","Supplier unavailable",IF(AG3172&lt;&gt;"PASS","BLOCK - GT loss risk","Commercially protected")))</x:f>
        <x:v>Needs supplier cost</x:v>
      </x:c>
      <x:c r="AI3172" t="str">
        <x:v>2026-09-10 Active Sports trade capture</x:v>
      </x:c>
      <x:c r="AJ3172" t="str">
        <x:v>Management-only economics. Stripe stress test uses 1.5% + £0.20 standard UK online-card fee; pallet/mix-and-match pricing ignored.</x:v>
      </x:c>
    </x:row>
    <x:row r="3173">
      <x:c r="A3173" t="str">
        <x:v>Active Sports Nutrition</x:v>
      </x:c>
      <x:c r="B3173" t="str">
        <x:v>Trained By JP</x:v>
      </x:c>
      <x:c r="C3173" t="str">
        <x:v>Performance Isolate</x:v>
      </x:c>
      <x:c r="D3173" t="str">
        <x:v>Supplements</x:v>
      </x:c>
      <x:c r="E3173" t="str">
        <x:v>Protein Blend</x:v>
      </x:c>
      <x:c r="F3173" t="str"/>
      <x:c r="G3173" t="str">
        <x:v>2kg</x:v>
      </x:c>
      <x:c r="H3173" t="str">
        <x:v>Lemon Meringue</x:v>
      </x:c>
      <x:c r="I3173" t="str"/>
      <x:c r="J3173" t="str">
        <x:v>Unit</x:v>
      </x:c>
      <x:c r="K3173" t="str">
        <x:v>In stock</x:v>
      </x:c>
      <x:c r="L3173" t="str">
        <x:v>2026-09-08</x:v>
      </x:c>
      <x:c r="M3173" t="str"/>
      <x:c r="N3173" t="str"/>
      <x:c r="O3173" t="str">
        <x:v>https://www.activesportstrade.co.uk/trained-by-jp-trade</x:v>
      </x:c>
      <x:c r="P3173" t="str"/>
      <x:c r="Q3173" t="str"/>
      <x:c r="R3173" t="str"/>
      <x:c r="S3173" t="str">
        <x:v>Pending genuine supplier/brand image</x:v>
      </x:c>
      <x:c r="T3173" s="54"/>
      <x:c r="U3173" s="47" t="n">
        <x:v>0.2</x:v>
      </x:c>
      <x:c r="V3173" s="54" t="str">
        <x:f>IF(ISNUMBER(T3173),T3173*(1+U3173),"")</x:f>
      </x:c>
      <x:c r="W3173" s="47" t="n">
        <x:v>0.3</x:v>
      </x:c>
      <x:c r="X3173" s="54" t="str">
        <x:f>IF(ISNUMBER(V3173),V3173/(1-W3173),"")</x:f>
      </x:c>
      <x:c r="Y3173" s="55" t="str">
        <x:f>IF(ISNUMBER(X3173),ROUNDUP(X3173,0),"")</x:f>
      </x:c>
      <x:c r="Z3173" t="str">
        <x:f>IF(ISNUMBER(T3173),"Cost captured","Awaiting trade cost")</x:f>
        <x:v>Awaiting trade cost</x:v>
      </x:c>
      <x:c r="AB3173" s="36" t="str">
        <x:f>IF(ISNUMBER(Y3173),ROUND(Y3173*0.9,2),"")</x:f>
      </x:c>
      <x:c r="AC3173" s="36" t="str">
        <x:f>IF(ISNUMBER(AB3173),ROUND(AB3173-(AB3173*0.015+0.2)-V3173,2),"")</x:f>
      </x:c>
      <x:c r="AD3173" s="36" t="str">
        <x:f>IF(ISNUMBER(Y3173),ROUND(Y3173*0.8,2),"")</x:f>
      </x:c>
      <x:c r="AE3173" s="36" t="str">
        <x:f>IF(ISNUMBER(AD3173),ROUND(AD3173*0.015+0.2,2),"")</x:f>
      </x:c>
      <x:c r="AF3173" s="36" t="str">
        <x:f>IF(ISNUMBER(AD3173),ROUND(AD3173-AE3173-V3173,2),"")</x:f>
      </x:c>
      <x:c r="AG3173" t="str">
        <x:f>IF(NOT(ISNUMBER(T3173)),"PENDING",IF(AF3173&gt;0,"PASS","FAIL"))</x:f>
        <x:v>PENDING</x:v>
      </x:c>
      <x:c r="AH3173" t="str">
        <x:f>IF(NOT(ISNUMBER(T3173)),"Needs supplier cost",IF(K3173&lt;&gt;"In stock","Supplier unavailable",IF(AG3173&lt;&gt;"PASS","BLOCK - GT loss risk","Commercially protected")))</x:f>
        <x:v>Needs supplier cost</x:v>
      </x:c>
      <x:c r="AI3173" t="str">
        <x:v>2026-09-10 Active Sports trade capture</x:v>
      </x:c>
      <x:c r="AJ3173" t="str">
        <x:v>Management-only economics. Stripe stress test uses 1.5% + £0.20 standard UK online-card fee; pallet/mix-and-match pricing ignored.</x:v>
      </x:c>
    </x:row>
    <x:row r="3174">
      <x:c r="A3174" t="str">
        <x:v>Active Sports Nutrition</x:v>
      </x:c>
      <x:c r="B3174" t="str">
        <x:v>Trained By JP</x:v>
      </x:c>
      <x:c r="C3174" t="str">
        <x:v>Performance Isolate</x:v>
      </x:c>
      <x:c r="D3174" t="str">
        <x:v>Supplements</x:v>
      </x:c>
      <x:c r="E3174" t="str">
        <x:v>Protein Blend</x:v>
      </x:c>
      <x:c r="F3174" t="str"/>
      <x:c r="G3174" t="str">
        <x:v>2kg</x:v>
      </x:c>
      <x:c r="H3174" t="str">
        <x:v>Malted Chocolate</x:v>
      </x:c>
      <x:c r="I3174" t="str"/>
      <x:c r="J3174" t="str">
        <x:v>Unit</x:v>
      </x:c>
      <x:c r="K3174" t="str">
        <x:v>In stock</x:v>
      </x:c>
      <x:c r="L3174" t="str">
        <x:v>2026-09-08</x:v>
      </x:c>
      <x:c r="M3174" t="str"/>
      <x:c r="N3174" t="str"/>
      <x:c r="O3174" t="str">
        <x:v>https://www.activesportstrade.co.uk/trained-by-jp-trade</x:v>
      </x:c>
      <x:c r="P3174" t="str"/>
      <x:c r="Q3174" t="str"/>
      <x:c r="R3174" t="str"/>
      <x:c r="S3174" t="str">
        <x:v>Pending genuine supplier/brand image</x:v>
      </x:c>
      <x:c r="T3174" s="54"/>
      <x:c r="U3174" s="47" t="n">
        <x:v>0.2</x:v>
      </x:c>
      <x:c r="V3174" s="54" t="str">
        <x:f>IF(ISNUMBER(T3174),T3174*(1+U3174),"")</x:f>
      </x:c>
      <x:c r="W3174" s="47" t="n">
        <x:v>0.3</x:v>
      </x:c>
      <x:c r="X3174" s="54" t="str">
        <x:f>IF(ISNUMBER(V3174),V3174/(1-W3174),"")</x:f>
      </x:c>
      <x:c r="Y3174" s="55" t="str">
        <x:f>IF(ISNUMBER(X3174),ROUNDUP(X3174,0),"")</x:f>
      </x:c>
      <x:c r="Z3174" t="str">
        <x:f>IF(ISNUMBER(T3174),"Cost captured","Awaiting trade cost")</x:f>
        <x:v>Awaiting trade cost</x:v>
      </x:c>
      <x:c r="AB3174" s="36" t="str">
        <x:f>IF(ISNUMBER(Y3174),ROUND(Y3174*0.9,2),"")</x:f>
      </x:c>
      <x:c r="AC3174" s="36" t="str">
        <x:f>IF(ISNUMBER(AB3174),ROUND(AB3174-(AB3174*0.015+0.2)-V3174,2),"")</x:f>
      </x:c>
      <x:c r="AD3174" s="36" t="str">
        <x:f>IF(ISNUMBER(Y3174),ROUND(Y3174*0.8,2),"")</x:f>
      </x:c>
      <x:c r="AE3174" s="36" t="str">
        <x:f>IF(ISNUMBER(AD3174),ROUND(AD3174*0.015+0.2,2),"")</x:f>
      </x:c>
      <x:c r="AF3174" s="36" t="str">
        <x:f>IF(ISNUMBER(AD3174),ROUND(AD3174-AE3174-V3174,2),"")</x:f>
      </x:c>
      <x:c r="AG3174" t="str">
        <x:f>IF(NOT(ISNUMBER(T3174)),"PENDING",IF(AF3174&gt;0,"PASS","FAIL"))</x:f>
        <x:v>PENDING</x:v>
      </x:c>
      <x:c r="AH3174" t="str">
        <x:f>IF(NOT(ISNUMBER(T3174)),"Needs supplier cost",IF(K3174&lt;&gt;"In stock","Supplier unavailable",IF(AG3174&lt;&gt;"PASS","BLOCK - GT loss risk","Commercially protected")))</x:f>
        <x:v>Needs supplier cost</x:v>
      </x:c>
      <x:c r="AI3174" t="str">
        <x:v>2026-09-10 Active Sports trade capture</x:v>
      </x:c>
      <x:c r="AJ3174" t="str">
        <x:v>Management-only economics. Stripe stress test uses 1.5% + £0.20 standard UK online-card fee; pallet/mix-and-match pricing ignored.</x:v>
      </x:c>
    </x:row>
    <x:row r="3175">
      <x:c r="A3175" t="str">
        <x:v>Active Sports Nutrition</x:v>
      </x:c>
      <x:c r="B3175" t="str">
        <x:v>Trained By JP</x:v>
      </x:c>
      <x:c r="C3175" t="str">
        <x:v>Performance Isolate</x:v>
      </x:c>
      <x:c r="D3175" t="str">
        <x:v>Supplements</x:v>
      </x:c>
      <x:c r="E3175" t="str">
        <x:v>Protein Blend</x:v>
      </x:c>
      <x:c r="F3175" t="str"/>
      <x:c r="G3175" t="str">
        <x:v>2kg</x:v>
      </x:c>
      <x:c r="H3175" t="str">
        <x:v>Milk Chocolate</x:v>
      </x:c>
      <x:c r="I3175" t="str"/>
      <x:c r="J3175" t="str">
        <x:v>Unit</x:v>
      </x:c>
      <x:c r="K3175" t="str">
        <x:v>Out of stock</x:v>
      </x:c>
      <x:c r="L3175" t="str">
        <x:v>2026-09-08</x:v>
      </x:c>
      <x:c r="M3175" t="str"/>
      <x:c r="N3175" t="str"/>
      <x:c r="O3175" t="str">
        <x:v>https://www.activesportstrade.co.uk/trained-by-jp-trade</x:v>
      </x:c>
      <x:c r="P3175" t="str"/>
      <x:c r="Q3175" t="str"/>
      <x:c r="R3175" t="str"/>
      <x:c r="S3175" t="str">
        <x:v>Pending genuine supplier/brand image</x:v>
      </x:c>
      <x:c r="T3175" s="54"/>
      <x:c r="U3175" s="47" t="n">
        <x:v>0.2</x:v>
      </x:c>
      <x:c r="V3175" s="54" t="str">
        <x:f>IF(ISNUMBER(T3175),T3175*(1+U3175),"")</x:f>
      </x:c>
      <x:c r="W3175" s="47" t="n">
        <x:v>0.3</x:v>
      </x:c>
      <x:c r="X3175" s="54" t="str">
        <x:f>IF(ISNUMBER(V3175),V3175/(1-W3175),"")</x:f>
      </x:c>
      <x:c r="Y3175" s="55" t="str">
        <x:f>IF(ISNUMBER(X3175),ROUNDUP(X3175,0),"")</x:f>
      </x:c>
      <x:c r="Z3175" t="str">
        <x:f>IF(ISNUMBER(T3175),"Cost captured","Awaiting trade cost")</x:f>
        <x:v>Awaiting trade cost</x:v>
      </x:c>
      <x:c r="AB3175" s="36" t="str">
        <x:f>IF(ISNUMBER(Y3175),ROUND(Y3175*0.9,2),"")</x:f>
      </x:c>
      <x:c r="AC3175" s="36" t="str">
        <x:f>IF(ISNUMBER(AB3175),ROUND(AB3175-(AB3175*0.015+0.2)-V3175,2),"")</x:f>
      </x:c>
      <x:c r="AD3175" s="36" t="str">
        <x:f>IF(ISNUMBER(Y3175),ROUND(Y3175*0.8,2),"")</x:f>
      </x:c>
      <x:c r="AE3175" s="36" t="str">
        <x:f>IF(ISNUMBER(AD3175),ROUND(AD3175*0.015+0.2,2),"")</x:f>
      </x:c>
      <x:c r="AF3175" s="36" t="str">
        <x:f>IF(ISNUMBER(AD3175),ROUND(AD3175-AE3175-V3175,2),"")</x:f>
      </x:c>
      <x:c r="AG3175" t="str">
        <x:f>IF(NOT(ISNUMBER(T3175)),"PENDING",IF(AF3175&gt;0,"PASS","FAIL"))</x:f>
        <x:v>PENDING</x:v>
      </x:c>
      <x:c r="AH3175" t="str">
        <x:f>IF(NOT(ISNUMBER(T3175)),"Needs supplier cost",IF(K3175&lt;&gt;"In stock","Supplier unavailable",IF(AG3175&lt;&gt;"PASS","BLOCK - GT loss risk","Commercially protected")))</x:f>
        <x:v>Needs supplier cost</x:v>
      </x:c>
      <x:c r="AI3175" t="str">
        <x:v>2026-09-10 Active Sports trade capture</x:v>
      </x:c>
      <x:c r="AJ3175" t="str">
        <x:v>Management-only economics. Stripe stress test uses 1.5% + £0.20 standard UK online-card fee; pallet/mix-and-match pricing ignored.</x:v>
      </x:c>
    </x:row>
    <x:row r="3176">
      <x:c r="A3176" t="str">
        <x:v>Active Sports Nutrition</x:v>
      </x:c>
      <x:c r="B3176" t="str">
        <x:v>Trained By JP</x:v>
      </x:c>
      <x:c r="C3176" t="str">
        <x:v>Performance Isolate</x:v>
      </x:c>
      <x:c r="D3176" t="str">
        <x:v>Supplements</x:v>
      </x:c>
      <x:c r="E3176" t="str">
        <x:v>Protein Blend</x:v>
      </x:c>
      <x:c r="F3176" t="str"/>
      <x:c r="G3176" t="str">
        <x:v>2kg</x:v>
      </x:c>
      <x:c r="H3176" t="str">
        <x:v>Strawberry Cheesecake</x:v>
      </x:c>
      <x:c r="I3176" t="str"/>
      <x:c r="J3176" t="str">
        <x:v>Unit</x:v>
      </x:c>
      <x:c r="K3176" t="str">
        <x:v>In stock</x:v>
      </x:c>
      <x:c r="L3176" t="str">
        <x:v>2026-09-08</x:v>
      </x:c>
      <x:c r="M3176" t="str"/>
      <x:c r="N3176" t="str"/>
      <x:c r="O3176" t="str">
        <x:v>https://www.activesportstrade.co.uk/trained-by-jp-trade</x:v>
      </x:c>
      <x:c r="P3176" t="str"/>
      <x:c r="Q3176" t="str"/>
      <x:c r="R3176" t="str"/>
      <x:c r="S3176" t="str">
        <x:v>Pending genuine supplier/brand image</x:v>
      </x:c>
      <x:c r="T3176" s="54"/>
      <x:c r="U3176" s="47" t="n">
        <x:v>0.2</x:v>
      </x:c>
      <x:c r="V3176" s="54" t="str">
        <x:f>IF(ISNUMBER(T3176),T3176*(1+U3176),"")</x:f>
      </x:c>
      <x:c r="W3176" s="47" t="n">
        <x:v>0.3</x:v>
      </x:c>
      <x:c r="X3176" s="54" t="str">
        <x:f>IF(ISNUMBER(V3176),V3176/(1-W3176),"")</x:f>
      </x:c>
      <x:c r="Y3176" s="55" t="str">
        <x:f>IF(ISNUMBER(X3176),ROUNDUP(X3176,0),"")</x:f>
      </x:c>
      <x:c r="Z3176" t="str">
        <x:f>IF(ISNUMBER(T3176),"Cost captured","Awaiting trade cost")</x:f>
        <x:v>Awaiting trade cost</x:v>
      </x:c>
      <x:c r="AB3176" s="36" t="str">
        <x:f>IF(ISNUMBER(Y3176),ROUND(Y3176*0.9,2),"")</x:f>
      </x:c>
      <x:c r="AC3176" s="36" t="str">
        <x:f>IF(ISNUMBER(AB3176),ROUND(AB3176-(AB3176*0.015+0.2)-V3176,2),"")</x:f>
      </x:c>
      <x:c r="AD3176" s="36" t="str">
        <x:f>IF(ISNUMBER(Y3176),ROUND(Y3176*0.8,2),"")</x:f>
      </x:c>
      <x:c r="AE3176" s="36" t="str">
        <x:f>IF(ISNUMBER(AD3176),ROUND(AD3176*0.015+0.2,2),"")</x:f>
      </x:c>
      <x:c r="AF3176" s="36" t="str">
        <x:f>IF(ISNUMBER(AD3176),ROUND(AD3176-AE3176-V3176,2),"")</x:f>
      </x:c>
      <x:c r="AG3176" t="str">
        <x:f>IF(NOT(ISNUMBER(T3176)),"PENDING",IF(AF3176&gt;0,"PASS","FAIL"))</x:f>
        <x:v>PENDING</x:v>
      </x:c>
      <x:c r="AH3176" t="str">
        <x:f>IF(NOT(ISNUMBER(T3176)),"Needs supplier cost",IF(K3176&lt;&gt;"In stock","Supplier unavailable",IF(AG3176&lt;&gt;"PASS","BLOCK - GT loss risk","Commercially protected")))</x:f>
        <x:v>Needs supplier cost</x:v>
      </x:c>
      <x:c r="AI3176" t="str">
        <x:v>2026-09-10 Active Sports trade capture</x:v>
      </x:c>
      <x:c r="AJ3176" t="str">
        <x:v>Management-only economics. Stripe stress test uses 1.5% + £0.20 standard UK online-card fee; pallet/mix-and-match pricing ignored.</x:v>
      </x:c>
    </x:row>
    <x:row r="3177">
      <x:c r="A3177" t="str">
        <x:v>Active Sports Nutrition</x:v>
      </x:c>
      <x:c r="B3177" t="str">
        <x:v>Trained By JP</x:v>
      </x:c>
      <x:c r="C3177" t="str">
        <x:v>Performance Isolate</x:v>
      </x:c>
      <x:c r="D3177" t="str">
        <x:v>Supplements</x:v>
      </x:c>
      <x:c r="E3177" t="str">
        <x:v>Protein Blend</x:v>
      </x:c>
      <x:c r="F3177" t="str"/>
      <x:c r="G3177" t="str">
        <x:v>2kg</x:v>
      </x:c>
      <x:c r="H3177" t="str">
        <x:v>Vanilla Ice Cream</x:v>
      </x:c>
      <x:c r="I3177" t="str"/>
      <x:c r="J3177" t="str">
        <x:v>Unit</x:v>
      </x:c>
      <x:c r="K3177" t="str">
        <x:v>Out of stock</x:v>
      </x:c>
      <x:c r="L3177" t="str">
        <x:v>2026-09-08</x:v>
      </x:c>
      <x:c r="M3177" t="str"/>
      <x:c r="N3177" t="str"/>
      <x:c r="O3177" t="str">
        <x:v>https://www.activesportstrade.co.uk/trained-by-jp-trade</x:v>
      </x:c>
      <x:c r="P3177" t="str"/>
      <x:c r="Q3177" t="str"/>
      <x:c r="R3177" t="str"/>
      <x:c r="S3177" t="str">
        <x:v>Pending genuine supplier/brand image</x:v>
      </x:c>
      <x:c r="T3177" s="54"/>
      <x:c r="U3177" s="47" t="n">
        <x:v>0.2</x:v>
      </x:c>
      <x:c r="V3177" s="54" t="str">
        <x:f>IF(ISNUMBER(T3177),T3177*(1+U3177),"")</x:f>
      </x:c>
      <x:c r="W3177" s="47" t="n">
        <x:v>0.3</x:v>
      </x:c>
      <x:c r="X3177" s="54" t="str">
        <x:f>IF(ISNUMBER(V3177),V3177/(1-W3177),"")</x:f>
      </x:c>
      <x:c r="Y3177" s="55" t="str">
        <x:f>IF(ISNUMBER(X3177),ROUNDUP(X3177,0),"")</x:f>
      </x:c>
      <x:c r="Z3177" t="str">
        <x:f>IF(ISNUMBER(T3177),"Cost captured","Awaiting trade cost")</x:f>
        <x:v>Awaiting trade cost</x:v>
      </x:c>
      <x:c r="AB3177" s="36" t="str">
        <x:f>IF(ISNUMBER(Y3177),ROUND(Y3177*0.9,2),"")</x:f>
      </x:c>
      <x:c r="AC3177" s="36" t="str">
        <x:f>IF(ISNUMBER(AB3177),ROUND(AB3177-(AB3177*0.015+0.2)-V3177,2),"")</x:f>
      </x:c>
      <x:c r="AD3177" s="36" t="str">
        <x:f>IF(ISNUMBER(Y3177),ROUND(Y3177*0.8,2),"")</x:f>
      </x:c>
      <x:c r="AE3177" s="36" t="str">
        <x:f>IF(ISNUMBER(AD3177),ROUND(AD3177*0.015+0.2,2),"")</x:f>
      </x:c>
      <x:c r="AF3177" s="36" t="str">
        <x:f>IF(ISNUMBER(AD3177),ROUND(AD3177-AE3177-V3177,2),"")</x:f>
      </x:c>
      <x:c r="AG3177" t="str">
        <x:f>IF(NOT(ISNUMBER(T3177)),"PENDING",IF(AF3177&gt;0,"PASS","FAIL"))</x:f>
        <x:v>PENDING</x:v>
      </x:c>
      <x:c r="AH3177" t="str">
        <x:f>IF(NOT(ISNUMBER(T3177)),"Needs supplier cost",IF(K3177&lt;&gt;"In stock","Supplier unavailable",IF(AG3177&lt;&gt;"PASS","BLOCK - GT loss risk","Commercially protected")))</x:f>
        <x:v>Needs supplier cost</x:v>
      </x:c>
      <x:c r="AI3177" t="str">
        <x:v>2026-09-10 Active Sports trade capture</x:v>
      </x:c>
      <x:c r="AJ3177" t="str">
        <x:v>Management-only economics. Stripe stress test uses 1.5% + £0.20 standard UK online-card fee; pallet/mix-and-match pricing ignored.</x:v>
      </x:c>
    </x:row>
    <x:row r="3178">
      <x:c r="A3178" t="str">
        <x:v>Active Sports Nutrition</x:v>
      </x:c>
      <x:c r="B3178" t="str">
        <x:v>Trained By JP</x:v>
      </x:c>
      <x:c r="C3178" t="str">
        <x:v>Performance Isolate</x:v>
      </x:c>
      <x:c r="D3178" t="str">
        <x:v>Supplements</x:v>
      </x:c>
      <x:c r="E3178" t="str">
        <x:v>Protein Blend</x:v>
      </x:c>
      <x:c r="F3178" t="str"/>
      <x:c r="G3178" t="str">
        <x:v>2kg</x:v>
      </x:c>
      <x:c r="H3178" t="str">
        <x:v>White Chocolate Hazelnut</x:v>
      </x:c>
      <x:c r="I3178" t="str"/>
      <x:c r="J3178" t="str">
        <x:v>Unit</x:v>
      </x:c>
      <x:c r="K3178" t="str">
        <x:v>In stock</x:v>
      </x:c>
      <x:c r="L3178" t="str">
        <x:v>2026-09-08</x:v>
      </x:c>
      <x:c r="M3178" t="str"/>
      <x:c r="N3178" t="str"/>
      <x:c r="O3178" t="str">
        <x:v>https://www.activesportstrade.co.uk/trained-by-jp-trade</x:v>
      </x:c>
      <x:c r="P3178" t="str"/>
      <x:c r="Q3178" t="str"/>
      <x:c r="R3178" t="str"/>
      <x:c r="S3178" t="str">
        <x:v>Pending genuine supplier/brand image</x:v>
      </x:c>
      <x:c r="T3178" s="54"/>
      <x:c r="U3178" s="47" t="n">
        <x:v>0.2</x:v>
      </x:c>
      <x:c r="V3178" s="54" t="str">
        <x:f>IF(ISNUMBER(T3178),T3178*(1+U3178),"")</x:f>
      </x:c>
      <x:c r="W3178" s="47" t="n">
        <x:v>0.3</x:v>
      </x:c>
      <x:c r="X3178" s="54" t="str">
        <x:f>IF(ISNUMBER(V3178),V3178/(1-W3178),"")</x:f>
      </x:c>
      <x:c r="Y3178" s="55" t="str">
        <x:f>IF(ISNUMBER(X3178),ROUNDUP(X3178,0),"")</x:f>
      </x:c>
      <x:c r="Z3178" t="str">
        <x:f>IF(ISNUMBER(T3178),"Cost captured","Awaiting trade cost")</x:f>
        <x:v>Awaiting trade cost</x:v>
      </x:c>
      <x:c r="AB3178" s="36" t="str">
        <x:f>IF(ISNUMBER(Y3178),ROUND(Y3178*0.9,2),"")</x:f>
      </x:c>
      <x:c r="AC3178" s="36" t="str">
        <x:f>IF(ISNUMBER(AB3178),ROUND(AB3178-(AB3178*0.015+0.2)-V3178,2),"")</x:f>
      </x:c>
      <x:c r="AD3178" s="36" t="str">
        <x:f>IF(ISNUMBER(Y3178),ROUND(Y3178*0.8,2),"")</x:f>
      </x:c>
      <x:c r="AE3178" s="36" t="str">
        <x:f>IF(ISNUMBER(AD3178),ROUND(AD3178*0.015+0.2,2),"")</x:f>
      </x:c>
      <x:c r="AF3178" s="36" t="str">
        <x:f>IF(ISNUMBER(AD3178),ROUND(AD3178-AE3178-V3178,2),"")</x:f>
      </x:c>
      <x:c r="AG3178" t="str">
        <x:f>IF(NOT(ISNUMBER(T3178)),"PENDING",IF(AF3178&gt;0,"PASS","FAIL"))</x:f>
        <x:v>PENDING</x:v>
      </x:c>
      <x:c r="AH3178" t="str">
        <x:f>IF(NOT(ISNUMBER(T3178)),"Needs supplier cost",IF(K3178&lt;&gt;"In stock","Supplier unavailable",IF(AG3178&lt;&gt;"PASS","BLOCK - GT loss risk","Commercially protected")))</x:f>
        <x:v>Needs supplier cost</x:v>
      </x:c>
      <x:c r="AI3178" t="str">
        <x:v>2026-09-10 Active Sports trade capture</x:v>
      </x:c>
      <x:c r="AJ3178" t="str">
        <x:v>Management-only economics. Stripe stress test uses 1.5% + £0.20 standard UK online-card fee; pallet/mix-and-match pricing ignored.</x:v>
      </x:c>
    </x:row>
    <x:row r="3179">
      <x:c r="A3179" t="str">
        <x:v>Active Sports Nutrition</x:v>
      </x:c>
      <x:c r="B3179" t="str">
        <x:v>Trained By JP</x:v>
      </x:c>
      <x:c r="C3179" t="str">
        <x:v>EAA + Hydration</x:v>
      </x:c>
      <x:c r="D3179" t="str">
        <x:v>Supplements</x:v>
      </x:c>
      <x:c r="E3179" t="str">
        <x:v>EAA / Hydration</x:v>
      </x:c>
      <x:c r="F3179" t="str"/>
      <x:c r="G3179" t="str">
        <x:v>300g / 30 servings</x:v>
      </x:c>
      <x:c r="H3179" t="str">
        <x:v>Sour Watermelon</x:v>
      </x:c>
      <x:c r="I3179" t="str"/>
      <x:c r="J3179" t="str">
        <x:v>Unit</x:v>
      </x:c>
      <x:c r="K3179" t="str">
        <x:v>Out of stock</x:v>
      </x:c>
      <x:c r="L3179" t="str">
        <x:v>2026-09-08</x:v>
      </x:c>
      <x:c r="M3179" t="str"/>
      <x:c r="N3179" t="str"/>
      <x:c r="O3179" t="str">
        <x:v>https://www.activesportstrade.co.uk/trained-by-jp-trade</x:v>
      </x:c>
      <x:c r="P3179" t="str"/>
      <x:c r="Q3179" t="str"/>
      <x:c r="R3179" t="str"/>
      <x:c r="S3179" t="str">
        <x:v>Pending genuine supplier/brand image</x:v>
      </x:c>
      <x:c r="T3179" s="54" t="n">
        <x:v>9.99</x:v>
      </x:c>
      <x:c r="U3179" s="47" t="n">
        <x:v>0.2</x:v>
      </x:c>
      <x:c r="V3179" s="54" t="n">
        <x:f>IF(ISNUMBER(T3179),T3179*(1+U3179),"")</x:f>
        <x:v>11.988</x:v>
      </x:c>
      <x:c r="W3179" s="47" t="n">
        <x:v>0.3</x:v>
      </x:c>
      <x:c r="X3179" s="54" t="n">
        <x:f>IF(ISNUMBER(V3179),V3179/(1-W3179),"")</x:f>
        <x:v>17.125714285714285</x:v>
      </x:c>
      <x:c r="Y3179" s="55" t="n">
        <x:f>IF(ISNUMBER(X3179),ROUNDUP(X3179,0),"")</x:f>
        <x:v>18</x:v>
      </x:c>
      <x:c r="Z3179" t="str">
        <x:v>Source match pending</x:v>
      </x:c>
      <x:c r="AA3179" t="str">
        <x:v>screencapture-www-activesportstrade-co-uk-trained-by-jp-trade-2026-09-10-09_10_55.pdf / page-3</x:v>
      </x:c>
      <x:c r="AB3179" s="36" t="n">
        <x:f>IF(ISNUMBER(Y3179),ROUND(Y3179*0.9,2),"")</x:f>
        <x:v>16.2</x:v>
      </x:c>
      <x:c r="AC3179" s="36" t="n">
        <x:f>IF(ISNUMBER(AB3179),ROUND(AB3179-(AB3179*0.015+0.2)-V3179,2),"")</x:f>
        <x:v>3.77</x:v>
      </x:c>
      <x:c r="AD3179" s="36" t="n">
        <x:f>IF(ISNUMBER(Y3179),ROUND(Y3179*0.8,2),"")</x:f>
        <x:v>14.4</x:v>
      </x:c>
      <x:c r="AE3179" s="36" t="n">
        <x:f>IF(ISNUMBER(AD3179),ROUND(AD3179*0.015+0.2,2),"")</x:f>
        <x:v>0.42</x:v>
      </x:c>
      <x:c r="AF3179" s="36" t="n">
        <x:f>IF(ISNUMBER(AD3179),ROUND(AD3179-AE3179-V3179,2),"")</x:f>
        <x:v>1.99</x:v>
      </x:c>
      <x:c r="AG3179" t="str">
        <x:f>IF(NOT(ISNUMBER(T3179)),"PENDING",IF(AF3179&gt;0,"PASS","FAIL"))</x:f>
        <x:v>PASS</x:v>
      </x:c>
      <x:c r="AH3179" t="str">
        <x:f>IF(NOT(ISNUMBER(T3179)),"Needs supplier cost",IF(K3179&lt;&gt;"In stock","Supplier unavailable",IF(AG3179&lt;&gt;"PASS","BLOCK - GT loss risk","Commercially protected")))</x:f>
        <x:v>Supplier unavailable</x:v>
      </x:c>
      <x:c r="AI3179" t="str">
        <x:v>2026-09-10 Active Sports trade capture</x:v>
      </x:c>
      <x:c r="AJ3179" t="str">
        <x:v>Management-only economics. Stripe stress test uses 1.5% + £0.20 standard UK online-card fee; pallet/mix-and-match pricing ignored.</x:v>
      </x:c>
    </x:row>
    <x:row r="3180">
      <x:c r="A3180" t="str">
        <x:v>Active Sports Nutrition</x:v>
      </x:c>
      <x:c r="B3180" t="str">
        <x:v>Trained By JP</x:v>
      </x:c>
      <x:c r="C3180" t="str">
        <x:v>Join In</x:v>
      </x:c>
      <x:c r="D3180" t="str">
        <x:v>Supplements</x:v>
      </x:c>
      <x:c r="E3180" t="str">
        <x:v>Joint Support</x:v>
      </x:c>
      <x:c r="F3180" t="str"/>
      <x:c r="G3180" t="str">
        <x:v>30 servings</x:v>
      </x:c>
      <x:c r="H3180" t="str">
        <x:v>Cherry</x:v>
      </x:c>
      <x:c r="I3180" t="str"/>
      <x:c r="J3180" t="str">
        <x:v>Unit</x:v>
      </x:c>
      <x:c r="K3180" t="str">
        <x:v>In stock</x:v>
      </x:c>
      <x:c r="L3180" t="str">
        <x:v>2026-09-08</x:v>
      </x:c>
      <x:c r="M3180" t="str"/>
      <x:c r="N3180" t="str"/>
      <x:c r="O3180" t="str">
        <x:v>https://www.activesportstrade.co.uk/trained-by-jp-trade</x:v>
      </x:c>
      <x:c r="P3180" t="str">
        <x:v>NEW FORMULA wording stripped from canonical title.</x:v>
      </x:c>
      <x:c r="Q3180" t="str"/>
      <x:c r="R3180" t="str"/>
      <x:c r="S3180" t="str">
        <x:v>Pending genuine supplier/brand image</x:v>
      </x:c>
      <x:c r="T3180" s="54" t="n">
        <x:v>16.99</x:v>
      </x:c>
      <x:c r="U3180" s="47" t="n">
        <x:v>0.2</x:v>
      </x:c>
      <x:c r="V3180" s="54" t="n">
        <x:f>IF(ISNUMBER(T3180),T3180*(1+U3180),"")</x:f>
        <x:v>20.387999999999998</x:v>
      </x:c>
      <x:c r="W3180" s="47" t="n">
        <x:v>0.3</x:v>
      </x:c>
      <x:c r="X3180" s="54" t="n">
        <x:f>IF(ISNUMBER(V3180),V3180/(1-W3180),"")</x:f>
        <x:v>29.125714285714285</x:v>
      </x:c>
      <x:c r="Y3180" s="55" t="n">
        <x:f>IF(ISNUMBER(X3180),ROUNDUP(X3180,0),"")</x:f>
        <x:v>30</x:v>
      </x:c>
      <x:c r="Z3180" t="str">
        <x:v>Source match pending</x:v>
      </x:c>
      <x:c r="AA3180" t="str">
        <x:v>screencapture-www-activesportstrade-co-uk-trained-by-jp-trade-2026-09-10-09_10_55.pdf / page-4</x:v>
      </x:c>
      <x:c r="AB3180" s="36" t="n">
        <x:f>IF(ISNUMBER(Y3180),ROUND(Y3180*0.9,2),"")</x:f>
        <x:v>27</x:v>
      </x:c>
      <x:c r="AC3180" s="36" t="n">
        <x:f>IF(ISNUMBER(AB3180),ROUND(AB3180-(AB3180*0.015+0.2)-V3180,2),"")</x:f>
        <x:v>6.01</x:v>
      </x:c>
      <x:c r="AD3180" s="36" t="n">
        <x:f>IF(ISNUMBER(Y3180),ROUND(Y3180*0.8,2),"")</x:f>
        <x:v>24</x:v>
      </x:c>
      <x:c r="AE3180" s="36" t="n">
        <x:f>IF(ISNUMBER(AD3180),ROUND(AD3180*0.015+0.2,2),"")</x:f>
        <x:v>0.56</x:v>
      </x:c>
      <x:c r="AF3180" s="36" t="n">
        <x:f>IF(ISNUMBER(AD3180),ROUND(AD3180-AE3180-V3180,2),"")</x:f>
        <x:v>3.05</x:v>
      </x:c>
      <x:c r="AG3180" t="str">
        <x:f>IF(NOT(ISNUMBER(T3180)),"PENDING",IF(AF3180&gt;0,"PASS","FAIL"))</x:f>
        <x:v>PASS</x:v>
      </x:c>
      <x:c r="AH3180" t="str">
        <x:f>IF(NOT(ISNUMBER(T3180)),"Needs supplier cost",IF(K3180&lt;&gt;"In stock","Supplier unavailable",IF(AG3180&lt;&gt;"PASS","BLOCK - GT loss risk","Commercially protected")))</x:f>
        <x:v>Commercially protected</x:v>
      </x:c>
      <x:c r="AI3180" t="str">
        <x:v>2026-09-10 Active Sports trade capture</x:v>
      </x:c>
      <x:c r="AJ3180" t="str">
        <x:v>Management-only economics. Stripe stress test uses 1.5% + £0.20 standard UK online-card fee; pallet/mix-and-match pricing ignored.</x:v>
      </x:c>
    </x:row>
    <x:row r="3181">
      <x:c r="A3181" t="str">
        <x:v>Active Sports Nutrition</x:v>
      </x:c>
      <x:c r="B3181" t="str">
        <x:v>Trained By JP</x:v>
      </x:c>
      <x:c r="C3181" t="str">
        <x:v>Join In</x:v>
      </x:c>
      <x:c r="D3181" t="str">
        <x:v>Supplements</x:v>
      </x:c>
      <x:c r="E3181" t="str">
        <x:v>Joint Support</x:v>
      </x:c>
      <x:c r="F3181" t="str"/>
      <x:c r="G3181" t="str">
        <x:v>30 servings</x:v>
      </x:c>
      <x:c r="H3181" t="str">
        <x:v>Fruit Punch</x:v>
      </x:c>
      <x:c r="I3181" t="str"/>
      <x:c r="J3181" t="str">
        <x:v>Unit</x:v>
      </x:c>
      <x:c r="K3181" t="str">
        <x:v>In stock</x:v>
      </x:c>
      <x:c r="L3181" t="str">
        <x:v>2026-09-08</x:v>
      </x:c>
      <x:c r="M3181" t="str"/>
      <x:c r="N3181" t="str"/>
      <x:c r="O3181" t="str">
        <x:v>https://www.activesportstrade.co.uk/trained-by-jp-trade</x:v>
      </x:c>
      <x:c r="P3181" t="str">
        <x:v>NEW FORMULA wording stripped from canonical title.</x:v>
      </x:c>
      <x:c r="Q3181" t="str"/>
      <x:c r="R3181" t="str"/>
      <x:c r="S3181" t="str">
        <x:v>Pending genuine supplier/brand image</x:v>
      </x:c>
      <x:c r="T3181" s="54" t="n">
        <x:v>16.99</x:v>
      </x:c>
      <x:c r="U3181" s="47" t="n">
        <x:v>0.2</x:v>
      </x:c>
      <x:c r="V3181" s="54" t="n">
        <x:f>IF(ISNUMBER(T3181),T3181*(1+U3181),"")</x:f>
        <x:v>20.387999999999998</x:v>
      </x:c>
      <x:c r="W3181" s="47" t="n">
        <x:v>0.3</x:v>
      </x:c>
      <x:c r="X3181" s="54" t="n">
        <x:f>IF(ISNUMBER(V3181),V3181/(1-W3181),"")</x:f>
        <x:v>29.125714285714285</x:v>
      </x:c>
      <x:c r="Y3181" s="55" t="n">
        <x:f>IF(ISNUMBER(X3181),ROUNDUP(X3181,0),"")</x:f>
        <x:v>30</x:v>
      </x:c>
      <x:c r="Z3181" t="str">
        <x:v>Source match pending</x:v>
      </x:c>
      <x:c r="AA3181" t="str">
        <x:v>screencapture-www-activesportstrade-co-uk-trained-by-jp-trade-2026-09-10-09_10_55.pdf / page-4</x:v>
      </x:c>
      <x:c r="AB3181" s="36" t="n">
        <x:f>IF(ISNUMBER(Y3181),ROUND(Y3181*0.9,2),"")</x:f>
        <x:v>27</x:v>
      </x:c>
      <x:c r="AC3181" s="36" t="n">
        <x:f>IF(ISNUMBER(AB3181),ROUND(AB3181-(AB3181*0.015+0.2)-V3181,2),"")</x:f>
        <x:v>6.01</x:v>
      </x:c>
      <x:c r="AD3181" s="36" t="n">
        <x:f>IF(ISNUMBER(Y3181),ROUND(Y3181*0.8,2),"")</x:f>
        <x:v>24</x:v>
      </x:c>
      <x:c r="AE3181" s="36" t="n">
        <x:f>IF(ISNUMBER(AD3181),ROUND(AD3181*0.015+0.2,2),"")</x:f>
        <x:v>0.56</x:v>
      </x:c>
      <x:c r="AF3181" s="36" t="n">
        <x:f>IF(ISNUMBER(AD3181),ROUND(AD3181-AE3181-V3181,2),"")</x:f>
        <x:v>3.05</x:v>
      </x:c>
      <x:c r="AG3181" t="str">
        <x:f>IF(NOT(ISNUMBER(T3181)),"PENDING",IF(AF3181&gt;0,"PASS","FAIL"))</x:f>
        <x:v>PASS</x:v>
      </x:c>
      <x:c r="AH3181" t="str">
        <x:f>IF(NOT(ISNUMBER(T3181)),"Needs supplier cost",IF(K3181&lt;&gt;"In stock","Supplier unavailable",IF(AG3181&lt;&gt;"PASS","BLOCK - GT loss risk","Commercially protected")))</x:f>
        <x:v>Commercially protected</x:v>
      </x:c>
      <x:c r="AI3181" t="str">
        <x:v>2026-09-10 Active Sports trade capture</x:v>
      </x:c>
      <x:c r="AJ3181" t="str">
        <x:v>Management-only economics. Stripe stress test uses 1.5% + £0.20 standard UK online-card fee; pallet/mix-and-match pricing ignored.</x:v>
      </x:c>
    </x:row>
    <x:row r="3182">
      <x:c r="A3182" t="str">
        <x:v>Active Sports Nutrition</x:v>
      </x:c>
      <x:c r="B3182" t="str">
        <x:v>Trained By JP</x:v>
      </x:c>
      <x:c r="C3182" t="str">
        <x:v>Join In</x:v>
      </x:c>
      <x:c r="D3182" t="str">
        <x:v>Supplements</x:v>
      </x:c>
      <x:c r="E3182" t="str">
        <x:v>Joint Support</x:v>
      </x:c>
      <x:c r="F3182" t="str"/>
      <x:c r="G3182" t="str">
        <x:v>30 servings</x:v>
      </x:c>
      <x:c r="H3182" t="str">
        <x:v>Raspberry</x:v>
      </x:c>
      <x:c r="I3182" t="str"/>
      <x:c r="J3182" t="str">
        <x:v>Unit</x:v>
      </x:c>
      <x:c r="K3182" t="str">
        <x:v>In stock</x:v>
      </x:c>
      <x:c r="L3182" t="str">
        <x:v>2026-09-08</x:v>
      </x:c>
      <x:c r="M3182" t="str"/>
      <x:c r="N3182" t="str"/>
      <x:c r="O3182" t="str">
        <x:v>https://www.activesportstrade.co.uk/trained-by-jp-trade</x:v>
      </x:c>
      <x:c r="P3182" t="str">
        <x:v>NEW FORMULA wording stripped from canonical title.</x:v>
      </x:c>
      <x:c r="Q3182" t="str"/>
      <x:c r="R3182" t="str"/>
      <x:c r="S3182" t="str">
        <x:v>Pending genuine supplier/brand image</x:v>
      </x:c>
      <x:c r="T3182" s="54" t="n">
        <x:v>16.99</x:v>
      </x:c>
      <x:c r="U3182" s="47" t="n">
        <x:v>0.2</x:v>
      </x:c>
      <x:c r="V3182" s="54" t="n">
        <x:f>IF(ISNUMBER(T3182),T3182*(1+U3182),"")</x:f>
        <x:v>20.387999999999998</x:v>
      </x:c>
      <x:c r="W3182" s="47" t="n">
        <x:v>0.3</x:v>
      </x:c>
      <x:c r="X3182" s="54" t="n">
        <x:f>IF(ISNUMBER(V3182),V3182/(1-W3182),"")</x:f>
        <x:v>29.125714285714285</x:v>
      </x:c>
      <x:c r="Y3182" s="55" t="n">
        <x:f>IF(ISNUMBER(X3182),ROUNDUP(X3182,0),"")</x:f>
        <x:v>30</x:v>
      </x:c>
      <x:c r="Z3182" t="str">
        <x:v>Source match pending</x:v>
      </x:c>
      <x:c r="AA3182" t="str">
        <x:v>screencapture-www-activesportstrade-co-uk-trained-by-jp-trade-2026-09-10-09_10_55.pdf / page-4</x:v>
      </x:c>
      <x:c r="AB3182" s="36" t="n">
        <x:f>IF(ISNUMBER(Y3182),ROUND(Y3182*0.9,2),"")</x:f>
        <x:v>27</x:v>
      </x:c>
      <x:c r="AC3182" s="36" t="n">
        <x:f>IF(ISNUMBER(AB3182),ROUND(AB3182-(AB3182*0.015+0.2)-V3182,2),"")</x:f>
        <x:v>6.01</x:v>
      </x:c>
      <x:c r="AD3182" s="36" t="n">
        <x:f>IF(ISNUMBER(Y3182),ROUND(Y3182*0.8,2),"")</x:f>
        <x:v>24</x:v>
      </x:c>
      <x:c r="AE3182" s="36" t="n">
        <x:f>IF(ISNUMBER(AD3182),ROUND(AD3182*0.015+0.2,2),"")</x:f>
        <x:v>0.56</x:v>
      </x:c>
      <x:c r="AF3182" s="36" t="n">
        <x:f>IF(ISNUMBER(AD3182),ROUND(AD3182-AE3182-V3182,2),"")</x:f>
        <x:v>3.05</x:v>
      </x:c>
      <x:c r="AG3182" t="str">
        <x:f>IF(NOT(ISNUMBER(T3182)),"PENDING",IF(AF3182&gt;0,"PASS","FAIL"))</x:f>
        <x:v>PASS</x:v>
      </x:c>
      <x:c r="AH3182" t="str">
        <x:f>IF(NOT(ISNUMBER(T3182)),"Needs supplier cost",IF(K3182&lt;&gt;"In stock","Supplier unavailable",IF(AG3182&lt;&gt;"PASS","BLOCK - GT loss risk","Commercially protected")))</x:f>
        <x:v>Commercially protected</x:v>
      </x:c>
      <x:c r="AI3182" t="str">
        <x:v>2026-09-10 Active Sports trade capture</x:v>
      </x:c>
      <x:c r="AJ3182" t="str">
        <x:v>Management-only economics. Stripe stress test uses 1.5% + £0.20 standard UK online-card fee; pallet/mix-and-match pricing ignored.</x:v>
      </x:c>
    </x:row>
    <x:row r="3183">
      <x:c r="A3183" t="str">
        <x:v>Active Sports Nutrition</x:v>
      </x:c>
      <x:c r="B3183" t="str">
        <x:v>Trained By JP</x:v>
      </x:c>
      <x:c r="C3183" t="str">
        <x:v>Estro Control</x:v>
      </x:c>
      <x:c r="D3183" t="str">
        <x:v>Supplements</x:v>
      </x:c>
      <x:c r="E3183" t="str">
        <x:v>Hormone Support</x:v>
      </x:c>
      <x:c r="F3183" t="str"/>
      <x:c r="G3183" t="str">
        <x:v>60 caps</x:v>
      </x:c>
      <x:c r="H3183" t="str">
        <x:v>Standard</x:v>
      </x:c>
      <x:c r="I3183" t="str"/>
      <x:c r="J3183" t="str">
        <x:v>Unit</x:v>
      </x:c>
      <x:c r="K3183" t="str">
        <x:v>In stock</x:v>
      </x:c>
      <x:c r="L3183" t="str">
        <x:v>2026-09-08</x:v>
      </x:c>
      <x:c r="M3183" t="str"/>
      <x:c r="N3183" t="str"/>
      <x:c r="O3183" t="str">
        <x:v>https://www.activesportstrade.co.uk/trained-by-jp-trade</x:v>
      </x:c>
      <x:c r="P3183" t="str"/>
      <x:c r="Q3183" t="str"/>
      <x:c r="R3183" t="str"/>
      <x:c r="S3183" t="str">
        <x:v>Pending genuine supplier/brand image</x:v>
      </x:c>
      <x:c r="T3183" s="54" t="n">
        <x:v>13.5</x:v>
      </x:c>
      <x:c r="U3183" s="47" t="n">
        <x:v>0.2</x:v>
      </x:c>
      <x:c r="V3183" s="54" t="n">
        <x:f>IF(ISNUMBER(T3183),T3183*(1+U3183),"")</x:f>
        <x:v>16.2</x:v>
      </x:c>
      <x:c r="W3183" s="47" t="n">
        <x:v>0.3</x:v>
      </x:c>
      <x:c r="X3183" s="54" t="n">
        <x:f>IF(ISNUMBER(V3183),V3183/(1-W3183),"")</x:f>
        <x:v>23.142857142857142</x:v>
      </x:c>
      <x:c r="Y3183" s="55" t="n">
        <x:f>IF(ISNUMBER(X3183),ROUNDUP(X3183,0),"")</x:f>
        <x:v>24</x:v>
      </x:c>
      <x:c r="Z3183" t="str">
        <x:v>Source match pending</x:v>
      </x:c>
      <x:c r="AA3183" t="str">
        <x:v>screencapture-www-activesportstrade-co-uk-trained-by-jp-trade-2026-09-10-09_10_55.pdf / page-3</x:v>
      </x:c>
      <x:c r="AB3183" s="36" t="n">
        <x:f>IF(ISNUMBER(Y3183),ROUND(Y3183*0.9,2),"")</x:f>
        <x:v>21.6</x:v>
      </x:c>
      <x:c r="AC3183" s="36" t="n">
        <x:f>IF(ISNUMBER(AB3183),ROUND(AB3183-(AB3183*0.015+0.2)-V3183,2),"")</x:f>
        <x:v>4.88</x:v>
      </x:c>
      <x:c r="AD3183" s="36" t="n">
        <x:f>IF(ISNUMBER(Y3183),ROUND(Y3183*0.8,2),"")</x:f>
        <x:v>19.2</x:v>
      </x:c>
      <x:c r="AE3183" s="36" t="n">
        <x:f>IF(ISNUMBER(AD3183),ROUND(AD3183*0.015+0.2,2),"")</x:f>
        <x:v>0.49</x:v>
      </x:c>
      <x:c r="AF3183" s="36" t="n">
        <x:f>IF(ISNUMBER(AD3183),ROUND(AD3183-AE3183-V3183,2),"")</x:f>
        <x:v>2.51</x:v>
      </x:c>
      <x:c r="AG3183" t="str">
        <x:f>IF(NOT(ISNUMBER(T3183)),"PENDING",IF(AF3183&gt;0,"PASS","FAIL"))</x:f>
        <x:v>PASS</x:v>
      </x:c>
      <x:c r="AH3183" t="str">
        <x:f>IF(NOT(ISNUMBER(T3183)),"Needs supplier cost",IF(K3183&lt;&gt;"In stock","Supplier unavailable",IF(AG3183&lt;&gt;"PASS","BLOCK - GT loss risk","Commercially protected")))</x:f>
        <x:v>Commercially protected</x:v>
      </x:c>
      <x:c r="AI3183" t="str">
        <x:v>2026-09-10 Active Sports trade capture</x:v>
      </x:c>
      <x:c r="AJ3183" t="str">
        <x:v>Management-only economics. Stripe stress test uses 1.5% + £0.20 standard UK online-card fee; pallet/mix-and-match pricing ignored.</x:v>
      </x:c>
    </x:row>
    <x:row r="3184">
      <x:c r="A3184" t="str">
        <x:v>Active Sports Nutrition</x:v>
      </x:c>
      <x:c r="B3184" t="str">
        <x:v>Trained By JP</x:v>
      </x:c>
      <x:c r="C3184" t="str">
        <x:v>Glutamine</x:v>
      </x:c>
      <x:c r="D3184" t="str">
        <x:v>Supplements</x:v>
      </x:c>
      <x:c r="E3184" t="str">
        <x:v>Glutamine</x:v>
      </x:c>
      <x:c r="F3184" t="str"/>
      <x:c r="G3184" t="str">
        <x:v>1kg</x:v>
      </x:c>
      <x:c r="H3184" t="str">
        <x:v>Standard</x:v>
      </x:c>
      <x:c r="I3184" t="str"/>
      <x:c r="J3184" t="str">
        <x:v>Unit</x:v>
      </x:c>
      <x:c r="K3184" t="str">
        <x:v>Out of stock</x:v>
      </x:c>
      <x:c r="L3184" t="str">
        <x:v>2026-09-08</x:v>
      </x:c>
      <x:c r="M3184" t="str"/>
      <x:c r="N3184" t="str"/>
      <x:c r="O3184" t="str">
        <x:v>https://www.activesportstrade.co.uk/trained-by-jp-trade</x:v>
      </x:c>
      <x:c r="P3184" t="str"/>
      <x:c r="Q3184" t="str"/>
      <x:c r="R3184" t="str"/>
      <x:c r="S3184" t="str">
        <x:v>Pending genuine supplier/brand image</x:v>
      </x:c>
      <x:c r="T3184" s="54" t="n">
        <x:v>17.4</x:v>
      </x:c>
      <x:c r="U3184" s="47" t="n">
        <x:v>0.2</x:v>
      </x:c>
      <x:c r="V3184" s="54" t="n">
        <x:f>IF(ISNUMBER(T3184),T3184*(1+U3184),"")</x:f>
        <x:v>20.88</x:v>
      </x:c>
      <x:c r="W3184" s="47" t="n">
        <x:v>0.3</x:v>
      </x:c>
      <x:c r="X3184" s="54" t="n">
        <x:f>IF(ISNUMBER(V3184),V3184/(1-W3184),"")</x:f>
        <x:v>29.82857142857143</x:v>
      </x:c>
      <x:c r="Y3184" s="55" t="n">
        <x:f>IF(ISNUMBER(X3184),ROUNDUP(X3184,0),"")</x:f>
        <x:v>30</x:v>
      </x:c>
      <x:c r="Z3184" t="str">
        <x:v>Source match pending</x:v>
      </x:c>
      <x:c r="AA3184" t="str">
        <x:v>screencapture-www-activesportstrade-co-uk-trained-by-jp-trade-2026-09-10-09_10_55.pdf / page-3</x:v>
      </x:c>
      <x:c r="AB3184" s="36" t="n">
        <x:f>IF(ISNUMBER(Y3184),ROUND(Y3184*0.9,2),"")</x:f>
        <x:v>27</x:v>
      </x:c>
      <x:c r="AC3184" s="36" t="n">
        <x:f>IF(ISNUMBER(AB3184),ROUND(AB3184-(AB3184*0.015+0.2)-V3184,2),"")</x:f>
        <x:v>5.52</x:v>
      </x:c>
      <x:c r="AD3184" s="36" t="n">
        <x:f>IF(ISNUMBER(Y3184),ROUND(Y3184*0.8,2),"")</x:f>
        <x:v>24</x:v>
      </x:c>
      <x:c r="AE3184" s="36" t="n">
        <x:f>IF(ISNUMBER(AD3184),ROUND(AD3184*0.015+0.2,2),"")</x:f>
        <x:v>0.56</x:v>
      </x:c>
      <x:c r="AF3184" s="36" t="n">
        <x:f>IF(ISNUMBER(AD3184),ROUND(AD3184-AE3184-V3184,2),"")</x:f>
        <x:v>2.56</x:v>
      </x:c>
      <x:c r="AG3184" t="str">
        <x:f>IF(NOT(ISNUMBER(T3184)),"PENDING",IF(AF3184&gt;0,"PASS","FAIL"))</x:f>
        <x:v>PASS</x:v>
      </x:c>
      <x:c r="AH3184" t="str">
        <x:f>IF(NOT(ISNUMBER(T3184)),"Needs supplier cost",IF(K3184&lt;&gt;"In stock","Supplier unavailable",IF(AG3184&lt;&gt;"PASS","BLOCK - GT loss risk","Commercially protected")))</x:f>
        <x:v>Supplier unavailable</x:v>
      </x:c>
      <x:c r="AI3184" t="str">
        <x:v>2026-09-10 Active Sports trade capture</x:v>
      </x:c>
      <x:c r="AJ3184" t="str">
        <x:v>Management-only economics. Stripe stress test uses 1.5% + £0.20 standard UK online-card fee; pallet/mix-and-match pricing ignored.</x:v>
      </x:c>
    </x:row>
    <x:row r="3185">
      <x:c r="A3185" t="str">
        <x:v>Active Sports Nutrition</x:v>
      </x:c>
      <x:c r="B3185" t="str">
        <x:v>Trained By JP</x:v>
      </x:c>
      <x:c r="C3185" t="str">
        <x:v>Glutamine</x:v>
      </x:c>
      <x:c r="D3185" t="str">
        <x:v>Supplements</x:v>
      </x:c>
      <x:c r="E3185" t="str">
        <x:v>Glutamine</x:v>
      </x:c>
      <x:c r="F3185" t="str"/>
      <x:c r="G3185" t="str">
        <x:v>500g</x:v>
      </x:c>
      <x:c r="H3185" t="str">
        <x:v>Standard</x:v>
      </x:c>
      <x:c r="I3185" t="str"/>
      <x:c r="J3185" t="str">
        <x:v>Unit</x:v>
      </x:c>
      <x:c r="K3185" t="str">
        <x:v>In stock</x:v>
      </x:c>
      <x:c r="L3185" t="str">
        <x:v>2026-09-08</x:v>
      </x:c>
      <x:c r="M3185" t="str"/>
      <x:c r="N3185" t="str"/>
      <x:c r="O3185" t="str">
        <x:v>https://www.activesportstrade.co.uk/trained-by-jp-trade</x:v>
      </x:c>
      <x:c r="P3185" t="str"/>
      <x:c r="Q3185" t="str"/>
      <x:c r="R3185" t="str"/>
      <x:c r="S3185" t="str">
        <x:v>Pending genuine supplier/brand image</x:v>
      </x:c>
      <x:c r="T3185" s="54" t="n">
        <x:v>10.99</x:v>
      </x:c>
      <x:c r="U3185" s="47" t="n">
        <x:v>0.2</x:v>
      </x:c>
      <x:c r="V3185" s="54" t="n">
        <x:f>IF(ISNUMBER(T3185),T3185*(1+U3185),"")</x:f>
        <x:v>13.188</x:v>
      </x:c>
      <x:c r="W3185" s="47" t="n">
        <x:v>0.3</x:v>
      </x:c>
      <x:c r="X3185" s="54" t="n">
        <x:f>IF(ISNUMBER(V3185),V3185/(1-W3185),"")</x:f>
        <x:v>18.840000000000003</x:v>
      </x:c>
      <x:c r="Y3185" s="55" t="n">
        <x:f>IF(ISNUMBER(X3185),ROUNDUP(X3185,0),"")</x:f>
        <x:v>19</x:v>
      </x:c>
      <x:c r="Z3185" t="str">
        <x:v>Source match pending</x:v>
      </x:c>
      <x:c r="AA3185" t="str">
        <x:v>screencapture-www-activesportstrade-co-uk-trained-by-jp-trade-2026-09-10-09_10_55.pdf / page-3</x:v>
      </x:c>
      <x:c r="AB3185" s="36" t="n">
        <x:f>IF(ISNUMBER(Y3185),ROUND(Y3185*0.9,2),"")</x:f>
        <x:v>17.1</x:v>
      </x:c>
      <x:c r="AC3185" s="36" t="n">
        <x:f>IF(ISNUMBER(AB3185),ROUND(AB3185-(AB3185*0.015+0.2)-V3185,2),"")</x:f>
        <x:v>3.46</x:v>
      </x:c>
      <x:c r="AD3185" s="36" t="n">
        <x:f>IF(ISNUMBER(Y3185),ROUND(Y3185*0.8,2),"")</x:f>
        <x:v>15.2</x:v>
      </x:c>
      <x:c r="AE3185" s="36" t="n">
        <x:f>IF(ISNUMBER(AD3185),ROUND(AD3185*0.015+0.2,2),"")</x:f>
        <x:v>0.43</x:v>
      </x:c>
      <x:c r="AF3185" s="36" t="n">
        <x:f>IF(ISNUMBER(AD3185),ROUND(AD3185-AE3185-V3185,2),"")</x:f>
        <x:v>1.58</x:v>
      </x:c>
      <x:c r="AG3185" t="str">
        <x:f>IF(NOT(ISNUMBER(T3185)),"PENDING",IF(AF3185&gt;0,"PASS","FAIL"))</x:f>
        <x:v>PASS</x:v>
      </x:c>
      <x:c r="AH3185" t="str">
        <x:f>IF(NOT(ISNUMBER(T3185)),"Needs supplier cost",IF(K3185&lt;&gt;"In stock","Supplier unavailable",IF(AG3185&lt;&gt;"PASS","BLOCK - GT loss risk","Commercially protected")))</x:f>
        <x:v>Commercially protected</x:v>
      </x:c>
      <x:c r="AI3185" t="str">
        <x:v>2026-09-10 Active Sports trade capture</x:v>
      </x:c>
      <x:c r="AJ3185" t="str">
        <x:v>Management-only economics. Stripe stress test uses 1.5% + £0.20 standard UK online-card fee; pallet/mix-and-match pricing ignored.</x:v>
      </x:c>
    </x:row>
    <x:row r="3186">
      <x:c r="A3186" t="str">
        <x:v>Active Sports Nutrition</x:v>
      </x:c>
      <x:c r="B3186" t="str">
        <x:v>Trained By JP</x:v>
      </x:c>
      <x:c r="C3186" t="str">
        <x:v>Love Heart</x:v>
      </x:c>
      <x:c r="D3186" t="str">
        <x:v>Supplements</x:v>
      </x:c>
      <x:c r="E3186" t="str">
        <x:v>Health Support</x:v>
      </x:c>
      <x:c r="F3186" t="str"/>
      <x:c r="G3186" t="str">
        <x:v>60 caps</x:v>
      </x:c>
      <x:c r="H3186" t="str">
        <x:v>Standard</x:v>
      </x:c>
      <x:c r="I3186" t="str"/>
      <x:c r="J3186" t="str">
        <x:v>Unit</x:v>
      </x:c>
      <x:c r="K3186" t="str">
        <x:v>In stock</x:v>
      </x:c>
      <x:c r="L3186" t="str">
        <x:v>2026-09-08</x:v>
      </x:c>
      <x:c r="M3186" t="str"/>
      <x:c r="N3186" t="str"/>
      <x:c r="O3186" t="str">
        <x:v>https://www.activesportstrade.co.uk/trained-by-jp-trade</x:v>
      </x:c>
      <x:c r="P3186" t="str"/>
      <x:c r="Q3186" t="str"/>
      <x:c r="R3186" t="str"/>
      <x:c r="S3186" t="str">
        <x:v>Pending genuine supplier/brand image</x:v>
      </x:c>
      <x:c r="T3186" s="54" t="n">
        <x:v>20.99</x:v>
      </x:c>
      <x:c r="U3186" s="47" t="n">
        <x:v>0.2</x:v>
      </x:c>
      <x:c r="V3186" s="54" t="n">
        <x:f>IF(ISNUMBER(T3186),T3186*(1+U3186),"")</x:f>
        <x:v>25.188</x:v>
      </x:c>
      <x:c r="W3186" s="47" t="n">
        <x:v>0.3</x:v>
      </x:c>
      <x:c r="X3186" s="54" t="n">
        <x:f>IF(ISNUMBER(V3186),V3186/(1-W3186),"")</x:f>
        <x:v>35.98285714285714</x:v>
      </x:c>
      <x:c r="Y3186" s="55" t="n">
        <x:f>IF(ISNUMBER(X3186),ROUNDUP(X3186,0),"")</x:f>
        <x:v>36</x:v>
      </x:c>
      <x:c r="Z3186" t="str">
        <x:v>Source match pending</x:v>
      </x:c>
      <x:c r="AA3186" t="str">
        <x:v>screencapture-www-activesportstrade-co-uk-trained-by-jp-trade-2026-09-10-09_10_55.pdf / page-4</x:v>
      </x:c>
      <x:c r="AB3186" s="36" t="n">
        <x:f>IF(ISNUMBER(Y3186),ROUND(Y3186*0.9,2),"")</x:f>
        <x:v>32.4</x:v>
      </x:c>
      <x:c r="AC3186" s="36" t="n">
        <x:f>IF(ISNUMBER(AB3186),ROUND(AB3186-(AB3186*0.015+0.2)-V3186,2),"")</x:f>
        <x:v>6.53</x:v>
      </x:c>
      <x:c r="AD3186" s="36" t="n">
        <x:f>IF(ISNUMBER(Y3186),ROUND(Y3186*0.8,2),"")</x:f>
        <x:v>28.8</x:v>
      </x:c>
      <x:c r="AE3186" s="36" t="n">
        <x:f>IF(ISNUMBER(AD3186),ROUND(AD3186*0.015+0.2,2),"")</x:f>
        <x:v>0.63</x:v>
      </x:c>
      <x:c r="AF3186" s="36" t="n">
        <x:f>IF(ISNUMBER(AD3186),ROUND(AD3186-AE3186-V3186,2),"")</x:f>
        <x:v>2.98</x:v>
      </x:c>
      <x:c r="AG3186" t="str">
        <x:f>IF(NOT(ISNUMBER(T3186)),"PENDING",IF(AF3186&gt;0,"PASS","FAIL"))</x:f>
        <x:v>PASS</x:v>
      </x:c>
      <x:c r="AH3186" t="str">
        <x:f>IF(NOT(ISNUMBER(T3186)),"Needs supplier cost",IF(K3186&lt;&gt;"In stock","Supplier unavailable",IF(AG3186&lt;&gt;"PASS","BLOCK - GT loss risk","Commercially protected")))</x:f>
        <x:v>Commercially protected</x:v>
      </x:c>
      <x:c r="AI3186" t="str">
        <x:v>2026-09-10 Active Sports trade capture</x:v>
      </x:c>
      <x:c r="AJ3186" t="str">
        <x:v>Management-only economics. Stripe stress test uses 1.5% + £0.20 standard UK online-card fee; pallet/mix-and-match pricing ignored.</x:v>
      </x:c>
    </x:row>
    <x:row r="3187">
      <x:c r="A3187" t="str">
        <x:v>Active Sports Nutrition</x:v>
      </x:c>
      <x:c r="B3187" t="str">
        <x:v>Trained By JP</x:v>
      </x:c>
      <x:c r="C3187" t="str">
        <x:v>Magnesium</x:v>
      </x:c>
      <x:c r="D3187" t="str">
        <x:v>Supplements</x:v>
      </x:c>
      <x:c r="E3187" t="str">
        <x:v>Vitamins &amp; Minerals</x:v>
      </x:c>
      <x:c r="F3187" t="str"/>
      <x:c r="G3187" t="str">
        <x:v>120 caps</x:v>
      </x:c>
      <x:c r="H3187" t="str">
        <x:v>Standard</x:v>
      </x:c>
      <x:c r="I3187" t="str"/>
      <x:c r="J3187" t="str">
        <x:v>Unit</x:v>
      </x:c>
      <x:c r="K3187" t="str">
        <x:v>In stock</x:v>
      </x:c>
      <x:c r="L3187" t="str">
        <x:v>2026-09-08</x:v>
      </x:c>
      <x:c r="M3187" t="str"/>
      <x:c r="N3187" t="str"/>
      <x:c r="O3187" t="str">
        <x:v>https://www.activesportstrade.co.uk/trained-by-jp-trade</x:v>
      </x:c>
      <x:c r="P3187" t="str"/>
      <x:c r="Q3187" t="str"/>
      <x:c r="R3187" t="str"/>
      <x:c r="S3187" t="str">
        <x:v>Pending genuine supplier/brand image</x:v>
      </x:c>
      <x:c r="T3187" s="54" t="n">
        <x:v>9.99</x:v>
      </x:c>
      <x:c r="U3187" s="47" t="n">
        <x:v>0.2</x:v>
      </x:c>
      <x:c r="V3187" s="54" t="n">
        <x:f>IF(ISNUMBER(T3187),T3187*(1+U3187),"")</x:f>
        <x:v>11.988</x:v>
      </x:c>
      <x:c r="W3187" s="47" t="n">
        <x:v>0.3</x:v>
      </x:c>
      <x:c r="X3187" s="54" t="n">
        <x:f>IF(ISNUMBER(V3187),V3187/(1-W3187),"")</x:f>
        <x:v>17.125714285714285</x:v>
      </x:c>
      <x:c r="Y3187" s="55" t="n">
        <x:f>IF(ISNUMBER(X3187),ROUNDUP(X3187,0),"")</x:f>
        <x:v>18</x:v>
      </x:c>
      <x:c r="Z3187" t="str">
        <x:v>Source match pending</x:v>
      </x:c>
      <x:c r="AA3187" t="str">
        <x:v>screencapture-www-activesportstrade-co-uk-trained-by-jp-trade-2026-09-10-09_10_55.pdf / page-4</x:v>
      </x:c>
      <x:c r="AB3187" s="36" t="n">
        <x:f>IF(ISNUMBER(Y3187),ROUND(Y3187*0.9,2),"")</x:f>
        <x:v>16.2</x:v>
      </x:c>
      <x:c r="AC3187" s="36" t="n">
        <x:f>IF(ISNUMBER(AB3187),ROUND(AB3187-(AB3187*0.015+0.2)-V3187,2),"")</x:f>
        <x:v>3.77</x:v>
      </x:c>
      <x:c r="AD3187" s="36" t="n">
        <x:f>IF(ISNUMBER(Y3187),ROUND(Y3187*0.8,2),"")</x:f>
        <x:v>14.4</x:v>
      </x:c>
      <x:c r="AE3187" s="36" t="n">
        <x:f>IF(ISNUMBER(AD3187),ROUND(AD3187*0.015+0.2,2),"")</x:f>
        <x:v>0.42</x:v>
      </x:c>
      <x:c r="AF3187" s="36" t="n">
        <x:f>IF(ISNUMBER(AD3187),ROUND(AD3187-AE3187-V3187,2),"")</x:f>
        <x:v>1.99</x:v>
      </x:c>
      <x:c r="AG3187" t="str">
        <x:f>IF(NOT(ISNUMBER(T3187)),"PENDING",IF(AF3187&gt;0,"PASS","FAIL"))</x:f>
        <x:v>PASS</x:v>
      </x:c>
      <x:c r="AH3187" t="str">
        <x:f>IF(NOT(ISNUMBER(T3187)),"Needs supplier cost",IF(K3187&lt;&gt;"In stock","Supplier unavailable",IF(AG3187&lt;&gt;"PASS","BLOCK - GT loss risk","Commercially protected")))</x:f>
        <x:v>Commercially protected</x:v>
      </x:c>
      <x:c r="AI3187" t="str">
        <x:v>2026-09-10 Active Sports trade capture</x:v>
      </x:c>
      <x:c r="AJ3187" t="str">
        <x:v>Management-only economics. Stripe stress test uses 1.5% + £0.20 standard UK online-card fee; pallet/mix-and-match pricing ignored.</x:v>
      </x:c>
    </x:row>
    <x:row r="3188">
      <x:c r="A3188" t="str">
        <x:v>Active Sports Nutrition</x:v>
      </x:c>
      <x:c r="B3188" t="str">
        <x:v>Trained By JP</x:v>
      </x:c>
      <x:c r="C3188" t="str">
        <x:v>Omega 3-6-9</x:v>
      </x:c>
      <x:c r="D3188" t="str">
        <x:v>Supplements</x:v>
      </x:c>
      <x:c r="E3188" t="str">
        <x:v>Omega and EFA</x:v>
      </x:c>
      <x:c r="F3188" t="str"/>
      <x:c r="G3188" t="str">
        <x:v>180 caps</x:v>
      </x:c>
      <x:c r="H3188" t="str">
        <x:v>Standard</x:v>
      </x:c>
      <x:c r="I3188" t="str"/>
      <x:c r="J3188" t="str">
        <x:v>Unit</x:v>
      </x:c>
      <x:c r="K3188" t="str">
        <x:v>In stock</x:v>
      </x:c>
      <x:c r="L3188" t="str">
        <x:v>2026-09-08</x:v>
      </x:c>
      <x:c r="M3188" t="str"/>
      <x:c r="N3188" t="str"/>
      <x:c r="O3188" t="str">
        <x:v>https://www.activesportstrade.co.uk/trained-by-jp-trade</x:v>
      </x:c>
      <x:c r="P3188" t="str"/>
      <x:c r="Q3188" t="str"/>
      <x:c r="R3188" t="str"/>
      <x:c r="S3188" t="str">
        <x:v>Pending genuine supplier/brand image</x:v>
      </x:c>
      <x:c r="T3188" s="54" t="n">
        <x:v>7.99</x:v>
      </x:c>
      <x:c r="U3188" s="47" t="n">
        <x:v>0.2</x:v>
      </x:c>
      <x:c r="V3188" s="54" t="n">
        <x:f>IF(ISNUMBER(T3188),T3188*(1+U3188),"")</x:f>
        <x:v>9.588</x:v>
      </x:c>
      <x:c r="W3188" s="47" t="n">
        <x:v>0.3</x:v>
      </x:c>
      <x:c r="X3188" s="54" t="n">
        <x:f>IF(ISNUMBER(V3188),V3188/(1-W3188),"")</x:f>
        <x:v>13.697142857142858</x:v>
      </x:c>
      <x:c r="Y3188" s="55" t="n">
        <x:f>IF(ISNUMBER(X3188),ROUNDUP(X3188,0),"")</x:f>
        <x:v>14</x:v>
      </x:c>
      <x:c r="Z3188" t="str">
        <x:v>Source match pending</x:v>
      </x:c>
      <x:c r="AA3188" t="str">
        <x:v>screencapture-www-activesportstrade-co-uk-trained-by-jp-trade-2026-09-10-09_10_55.pdf / page-5</x:v>
      </x:c>
      <x:c r="AB3188" s="36" t="n">
        <x:f>IF(ISNUMBER(Y3188),ROUND(Y3188*0.9,2),"")</x:f>
        <x:v>12.6</x:v>
      </x:c>
      <x:c r="AC3188" s="36" t="n">
        <x:f>IF(ISNUMBER(AB3188),ROUND(AB3188-(AB3188*0.015+0.2)-V3188,2),"")</x:f>
        <x:v>2.62</x:v>
      </x:c>
      <x:c r="AD3188" s="36" t="n">
        <x:f>IF(ISNUMBER(Y3188),ROUND(Y3188*0.8,2),"")</x:f>
        <x:v>11.2</x:v>
      </x:c>
      <x:c r="AE3188" s="36" t="n">
        <x:f>IF(ISNUMBER(AD3188),ROUND(AD3188*0.015+0.2,2),"")</x:f>
        <x:v>0.37</x:v>
      </x:c>
      <x:c r="AF3188" s="36" t="n">
        <x:f>IF(ISNUMBER(AD3188),ROUND(AD3188-AE3188-V3188,2),"")</x:f>
        <x:v>1.24</x:v>
      </x:c>
      <x:c r="AG3188" t="str">
        <x:f>IF(NOT(ISNUMBER(T3188)),"PENDING",IF(AF3188&gt;0,"PASS","FAIL"))</x:f>
        <x:v>PASS</x:v>
      </x:c>
      <x:c r="AH3188" t="str">
        <x:f>IF(NOT(ISNUMBER(T3188)),"Needs supplier cost",IF(K3188&lt;&gt;"In stock","Supplier unavailable",IF(AG3188&lt;&gt;"PASS","BLOCK - GT loss risk","Commercially protected")))</x:f>
        <x:v>Commercially protected</x:v>
      </x:c>
      <x:c r="AI3188" t="str">
        <x:v>2026-09-10 Active Sports trade capture</x:v>
      </x:c>
      <x:c r="AJ3188" t="str">
        <x:v>Management-only economics. Stripe stress test uses 1.5% + £0.20 standard UK online-card fee; pallet/mix-and-match pricing ignored.</x:v>
      </x:c>
    </x:row>
    <x:row r="3189">
      <x:c r="A3189" t="str">
        <x:v>Active Sports Nutrition</x:v>
      </x:c>
      <x:c r="B3189" t="str">
        <x:v>Trained By JP</x:v>
      </x:c>
      <x:c r="C3189" t="str">
        <x:v>Osteo Pro</x:v>
      </x:c>
      <x:c r="D3189" t="str">
        <x:v>Supplements</x:v>
      </x:c>
      <x:c r="E3189" t="str">
        <x:v>Joint Support</x:v>
      </x:c>
      <x:c r="F3189" t="str"/>
      <x:c r="G3189" t="str">
        <x:v>120 caps</x:v>
      </x:c>
      <x:c r="H3189" t="str">
        <x:v>Standard</x:v>
      </x:c>
      <x:c r="I3189" t="str"/>
      <x:c r="J3189" t="str">
        <x:v>Unit</x:v>
      </x:c>
      <x:c r="K3189" t="str">
        <x:v>In stock</x:v>
      </x:c>
      <x:c r="L3189" t="str">
        <x:v>2026-09-08</x:v>
      </x:c>
      <x:c r="M3189" t="str"/>
      <x:c r="N3189" t="str"/>
      <x:c r="O3189" t="str">
        <x:v>https://www.activesportstrade.co.uk/trained-by-jp-trade</x:v>
      </x:c>
      <x:c r="P3189" t="str"/>
      <x:c r="Q3189" t="str"/>
      <x:c r="R3189" t="str"/>
      <x:c r="S3189" t="str">
        <x:v>Pending genuine supplier/brand image</x:v>
      </x:c>
      <x:c r="T3189" s="54" t="n">
        <x:v>19.99</x:v>
      </x:c>
      <x:c r="U3189" s="47" t="n">
        <x:v>0.2</x:v>
      </x:c>
      <x:c r="V3189" s="54" t="n">
        <x:f>IF(ISNUMBER(T3189),T3189*(1+U3189),"")</x:f>
        <x:v>23.987999999999996</x:v>
      </x:c>
      <x:c r="W3189" s="47" t="n">
        <x:v>0.3</x:v>
      </x:c>
      <x:c r="X3189" s="54" t="n">
        <x:f>IF(ISNUMBER(V3189),V3189/(1-W3189),"")</x:f>
        <x:v>34.26857142857143</x:v>
      </x:c>
      <x:c r="Y3189" s="55" t="n">
        <x:f>IF(ISNUMBER(X3189),ROUNDUP(X3189,0),"")</x:f>
        <x:v>35</x:v>
      </x:c>
      <x:c r="Z3189" t="str">
        <x:v>Source match pending</x:v>
      </x:c>
      <x:c r="AA3189" t="str">
        <x:v>screencapture-www-activesportstrade-co-uk-trained-by-jp-trade-2026-09-10-09_10_55.pdf / page-5</x:v>
      </x:c>
      <x:c r="AB3189" s="36" t="n">
        <x:f>IF(ISNUMBER(Y3189),ROUND(Y3189*0.9,2),"")</x:f>
        <x:v>31.5</x:v>
      </x:c>
      <x:c r="AC3189" s="36" t="n">
        <x:f>IF(ISNUMBER(AB3189),ROUND(AB3189-(AB3189*0.015+0.2)-V3189,2),"")</x:f>
        <x:v>6.84</x:v>
      </x:c>
      <x:c r="AD3189" s="36" t="n">
        <x:f>IF(ISNUMBER(Y3189),ROUND(Y3189*0.8,2),"")</x:f>
        <x:v>28</x:v>
      </x:c>
      <x:c r="AE3189" s="36" t="n">
        <x:f>IF(ISNUMBER(AD3189),ROUND(AD3189*0.015+0.2,2),"")</x:f>
        <x:v>0.62</x:v>
      </x:c>
      <x:c r="AF3189" s="36" t="n">
        <x:f>IF(ISNUMBER(AD3189),ROUND(AD3189-AE3189-V3189,2),"")</x:f>
        <x:v>3.39</x:v>
      </x:c>
      <x:c r="AG3189" t="str">
        <x:f>IF(NOT(ISNUMBER(T3189)),"PENDING",IF(AF3189&gt;0,"PASS","FAIL"))</x:f>
        <x:v>PASS</x:v>
      </x:c>
      <x:c r="AH3189" t="str">
        <x:f>IF(NOT(ISNUMBER(T3189)),"Needs supplier cost",IF(K3189&lt;&gt;"In stock","Supplier unavailable",IF(AG3189&lt;&gt;"PASS","BLOCK - GT loss risk","Commercially protected")))</x:f>
        <x:v>Commercially protected</x:v>
      </x:c>
      <x:c r="AI3189" t="str">
        <x:v>2026-09-10 Active Sports trade capture</x:v>
      </x:c>
      <x:c r="AJ3189" t="str">
        <x:v>Management-only economics. Stripe stress test uses 1.5% + £0.20 standard UK online-card fee; pallet/mix-and-match pricing ignored.</x:v>
      </x:c>
    </x:row>
    <x:row r="3190">
      <x:c r="A3190" t="str">
        <x:v>Active Sports Nutrition</x:v>
      </x:c>
      <x:c r="B3190" t="str">
        <x:v>Trained By JP</x:v>
      </x:c>
      <x:c r="C3190" t="str">
        <x:v>Cream of Rice</x:v>
      </x:c>
      <x:c r="D3190" t="str">
        <x:v>Food &amp; Drinks</x:v>
      </x:c>
      <x:c r="E3190" t="str">
        <x:v>High Protein Foods</x:v>
      </x:c>
      <x:c r="F3190" t="str"/>
      <x:c r="G3190" t="str">
        <x:v>2kg</x:v>
      </x:c>
      <x:c r="H3190" t="str">
        <x:v>Apple Pie</x:v>
      </x:c>
      <x:c r="I3190" t="str"/>
      <x:c r="J3190" t="str">
        <x:v>Unit</x:v>
      </x:c>
      <x:c r="K3190" t="str">
        <x:v>In stock</x:v>
      </x:c>
      <x:c r="L3190" t="str">
        <x:v>2026-09-08</x:v>
      </x:c>
      <x:c r="M3190" t="str"/>
      <x:c r="N3190" t="str"/>
      <x:c r="O3190" t="str">
        <x:v>https://www.activesportstrade.co.uk/Carb-Powders</x:v>
      </x:c>
      <x:c r="P3190" t="str">
        <x:v>Fresh current Carb Powders page used for full visible 2kg exact matrix.</x:v>
      </x:c>
      <x:c r="Q3190" t="str"/>
      <x:c r="R3190" t="str"/>
      <x:c r="S3190" t="str">
        <x:v>Pending genuine supplier/brand image</x:v>
      </x:c>
      <x:c r="T3190" s="54" t="n">
        <x:v>10.99</x:v>
      </x:c>
      <x:c r="U3190" s="47" t="n">
        <x:v>0.2</x:v>
      </x:c>
      <x:c r="V3190" s="54" t="n">
        <x:f>IF(ISNUMBER(T3190),T3190*(1+U3190),"")</x:f>
        <x:v>13.188</x:v>
      </x:c>
      <x:c r="W3190" s="47" t="n">
        <x:v>0.3</x:v>
      </x:c>
      <x:c r="X3190" s="54" t="n">
        <x:f>IF(ISNUMBER(V3190),V3190/(1-W3190),"")</x:f>
        <x:v>18.840000000000003</x:v>
      </x:c>
      <x:c r="Y3190" s="55" t="n">
        <x:f>IF(ISNUMBER(X3190),ROUNDUP(X3190,0),"")</x:f>
        <x:v>19</x:v>
      </x:c>
      <x:c r="Z3190" t="str">
        <x:v>Source match pending</x:v>
      </x:c>
      <x:c r="AA3190" t="str">
        <x:v>screencapture-www-activesportstrade-co-uk-trained-by-jp-trade-2026-09-10-09_10_55.pdf / page-1</x:v>
      </x:c>
      <x:c r="AB3190" s="36" t="n">
        <x:f>IF(ISNUMBER(Y3190),ROUND(Y3190*0.9,2),"")</x:f>
        <x:v>17.1</x:v>
      </x:c>
      <x:c r="AC3190" s="36" t="n">
        <x:f>IF(ISNUMBER(AB3190),ROUND(AB3190-(AB3190*0.015+0.2)-V3190,2),"")</x:f>
        <x:v>3.46</x:v>
      </x:c>
      <x:c r="AD3190" s="36" t="n">
        <x:f>IF(ISNUMBER(Y3190),ROUND(Y3190*0.8,2),"")</x:f>
        <x:v>15.2</x:v>
      </x:c>
      <x:c r="AE3190" s="36" t="n">
        <x:f>IF(ISNUMBER(AD3190),ROUND(AD3190*0.015+0.2,2),"")</x:f>
        <x:v>0.43</x:v>
      </x:c>
      <x:c r="AF3190" s="36" t="n">
        <x:f>IF(ISNUMBER(AD3190),ROUND(AD3190-AE3190-V3190,2),"")</x:f>
        <x:v>1.58</x:v>
      </x:c>
      <x:c r="AG3190" t="str">
        <x:f>IF(NOT(ISNUMBER(T3190)),"PENDING",IF(AF3190&gt;0,"PASS","FAIL"))</x:f>
        <x:v>PASS</x:v>
      </x:c>
      <x:c r="AH3190" t="str">
        <x:f>IF(NOT(ISNUMBER(T3190)),"Needs supplier cost",IF(K3190&lt;&gt;"In stock","Supplier unavailable",IF(AG3190&lt;&gt;"PASS","BLOCK - GT loss risk","Commercially protected")))</x:f>
        <x:v>Commercially protected</x:v>
      </x:c>
      <x:c r="AI3190" t="str">
        <x:v>2026-09-10 Active Sports trade capture</x:v>
      </x:c>
      <x:c r="AJ3190" t="str">
        <x:v>Management-only economics. Stripe stress test uses 1.5% + £0.20 standard UK online-card fee; pallet/mix-and-match pricing ignored.</x:v>
      </x:c>
    </x:row>
    <x:row r="3191">
      <x:c r="A3191" t="str">
        <x:v>Active Sports Nutrition</x:v>
      </x:c>
      <x:c r="B3191" t="str">
        <x:v>Trained By JP</x:v>
      </x:c>
      <x:c r="C3191" t="str">
        <x:v>Cream of Rice</x:v>
      </x:c>
      <x:c r="D3191" t="str">
        <x:v>Food &amp; Drinks</x:v>
      </x:c>
      <x:c r="E3191" t="str">
        <x:v>High Protein Foods</x:v>
      </x:c>
      <x:c r="F3191" t="str"/>
      <x:c r="G3191" t="str">
        <x:v>2kg</x:v>
      </x:c>
      <x:c r="H3191" t="str">
        <x:v>Banoffee</x:v>
      </x:c>
      <x:c r="I3191" t="str"/>
      <x:c r="J3191" t="str">
        <x:v>Unit</x:v>
      </x:c>
      <x:c r="K3191" t="str">
        <x:v>In stock</x:v>
      </x:c>
      <x:c r="L3191" t="str">
        <x:v>2026-09-08</x:v>
      </x:c>
      <x:c r="M3191" t="str"/>
      <x:c r="N3191" t="str"/>
      <x:c r="O3191" t="str">
        <x:v>https://www.activesportstrade.co.uk/Carb-Powders</x:v>
      </x:c>
      <x:c r="P3191" t="str">
        <x:v>Fresh current Carb Powders page used for full visible 2kg exact matrix.</x:v>
      </x:c>
      <x:c r="Q3191" t="str"/>
      <x:c r="R3191" t="str"/>
      <x:c r="S3191" t="str">
        <x:v>Pending genuine supplier/brand image</x:v>
      </x:c>
      <x:c r="T3191" s="54" t="n">
        <x:v>10.99</x:v>
      </x:c>
      <x:c r="U3191" s="47" t="n">
        <x:v>0.2</x:v>
      </x:c>
      <x:c r="V3191" s="54" t="n">
        <x:f>IF(ISNUMBER(T3191),T3191*(1+U3191),"")</x:f>
        <x:v>13.188</x:v>
      </x:c>
      <x:c r="W3191" s="47" t="n">
        <x:v>0.3</x:v>
      </x:c>
      <x:c r="X3191" s="54" t="n">
        <x:f>IF(ISNUMBER(V3191),V3191/(1-W3191),"")</x:f>
        <x:v>18.840000000000003</x:v>
      </x:c>
      <x:c r="Y3191" s="55" t="n">
        <x:f>IF(ISNUMBER(X3191),ROUNDUP(X3191,0),"")</x:f>
        <x:v>19</x:v>
      </x:c>
      <x:c r="Z3191" t="str">
        <x:v>Source match pending</x:v>
      </x:c>
      <x:c r="AA3191" t="str">
        <x:v>screencapture-www-activesportstrade-co-uk-trained-by-jp-trade-2026-09-10-09_10_55.pdf / page-1</x:v>
      </x:c>
      <x:c r="AB3191" s="36" t="n">
        <x:f>IF(ISNUMBER(Y3191),ROUND(Y3191*0.9,2),"")</x:f>
        <x:v>17.1</x:v>
      </x:c>
      <x:c r="AC3191" s="36" t="n">
        <x:f>IF(ISNUMBER(AB3191),ROUND(AB3191-(AB3191*0.015+0.2)-V3191,2),"")</x:f>
        <x:v>3.46</x:v>
      </x:c>
      <x:c r="AD3191" s="36" t="n">
        <x:f>IF(ISNUMBER(Y3191),ROUND(Y3191*0.8,2),"")</x:f>
        <x:v>15.2</x:v>
      </x:c>
      <x:c r="AE3191" s="36" t="n">
        <x:f>IF(ISNUMBER(AD3191),ROUND(AD3191*0.015+0.2,2),"")</x:f>
        <x:v>0.43</x:v>
      </x:c>
      <x:c r="AF3191" s="36" t="n">
        <x:f>IF(ISNUMBER(AD3191),ROUND(AD3191-AE3191-V3191,2),"")</x:f>
        <x:v>1.58</x:v>
      </x:c>
      <x:c r="AG3191" t="str">
        <x:f>IF(NOT(ISNUMBER(T3191)),"PENDING",IF(AF3191&gt;0,"PASS","FAIL"))</x:f>
        <x:v>PASS</x:v>
      </x:c>
      <x:c r="AH3191" t="str">
        <x:f>IF(NOT(ISNUMBER(T3191)),"Needs supplier cost",IF(K3191&lt;&gt;"In stock","Supplier unavailable",IF(AG3191&lt;&gt;"PASS","BLOCK - GT loss risk","Commercially protected")))</x:f>
        <x:v>Commercially protected</x:v>
      </x:c>
      <x:c r="AI3191" t="str">
        <x:v>2026-09-10 Active Sports trade capture</x:v>
      </x:c>
      <x:c r="AJ3191" t="str">
        <x:v>Management-only economics. Stripe stress test uses 1.5% + £0.20 standard UK online-card fee; pallet/mix-and-match pricing ignored.</x:v>
      </x:c>
    </x:row>
    <x:row r="3192">
      <x:c r="A3192" t="str">
        <x:v>Active Sports Nutrition</x:v>
      </x:c>
      <x:c r="B3192" t="str">
        <x:v>Trained By JP</x:v>
      </x:c>
      <x:c r="C3192" t="str">
        <x:v>Cream of Rice</x:v>
      </x:c>
      <x:c r="D3192" t="str">
        <x:v>Food &amp; Drinks</x:v>
      </x:c>
      <x:c r="E3192" t="str">
        <x:v>High Protein Foods</x:v>
      </x:c>
      <x:c r="F3192" t="str"/>
      <x:c r="G3192" t="str">
        <x:v>2kg</x:v>
      </x:c>
      <x:c r="H3192" t="str">
        <x:v>Birthday Cake</x:v>
      </x:c>
      <x:c r="I3192" t="str"/>
      <x:c r="J3192" t="str">
        <x:v>Unit</x:v>
      </x:c>
      <x:c r="K3192" t="str">
        <x:v>In stock</x:v>
      </x:c>
      <x:c r="L3192" t="str">
        <x:v>2026-09-08</x:v>
      </x:c>
      <x:c r="M3192" t="str"/>
      <x:c r="N3192" t="str"/>
      <x:c r="O3192" t="str">
        <x:v>https://www.activesportstrade.co.uk/Carb-Powders</x:v>
      </x:c>
      <x:c r="P3192" t="str">
        <x:v>Fresh current Carb Powders page used for full visible 2kg exact matrix.</x:v>
      </x:c>
      <x:c r="Q3192" t="str"/>
      <x:c r="R3192" t="str"/>
      <x:c r="S3192" t="str">
        <x:v>Pending genuine supplier/brand image</x:v>
      </x:c>
      <x:c r="T3192" s="54" t="n">
        <x:v>10.99</x:v>
      </x:c>
      <x:c r="U3192" s="47" t="n">
        <x:v>0.2</x:v>
      </x:c>
      <x:c r="V3192" s="54" t="n">
        <x:f>IF(ISNUMBER(T3192),T3192*(1+U3192),"")</x:f>
        <x:v>13.188</x:v>
      </x:c>
      <x:c r="W3192" s="47" t="n">
        <x:v>0.3</x:v>
      </x:c>
      <x:c r="X3192" s="54" t="n">
        <x:f>IF(ISNUMBER(V3192),V3192/(1-W3192),"")</x:f>
        <x:v>18.840000000000003</x:v>
      </x:c>
      <x:c r="Y3192" s="55" t="n">
        <x:f>IF(ISNUMBER(X3192),ROUNDUP(X3192,0),"")</x:f>
        <x:v>19</x:v>
      </x:c>
      <x:c r="Z3192" t="str">
        <x:v>Source match pending</x:v>
      </x:c>
      <x:c r="AA3192" t="str">
        <x:v>screencapture-www-activesportstrade-co-uk-trained-by-jp-trade-2026-09-10-09_10_55.pdf / page-1</x:v>
      </x:c>
      <x:c r="AB3192" s="36" t="n">
        <x:f>IF(ISNUMBER(Y3192),ROUND(Y3192*0.9,2),"")</x:f>
        <x:v>17.1</x:v>
      </x:c>
      <x:c r="AC3192" s="36" t="n">
        <x:f>IF(ISNUMBER(AB3192),ROUND(AB3192-(AB3192*0.015+0.2)-V3192,2),"")</x:f>
        <x:v>3.46</x:v>
      </x:c>
      <x:c r="AD3192" s="36" t="n">
        <x:f>IF(ISNUMBER(Y3192),ROUND(Y3192*0.8,2),"")</x:f>
        <x:v>15.2</x:v>
      </x:c>
      <x:c r="AE3192" s="36" t="n">
        <x:f>IF(ISNUMBER(AD3192),ROUND(AD3192*0.015+0.2,2),"")</x:f>
        <x:v>0.43</x:v>
      </x:c>
      <x:c r="AF3192" s="36" t="n">
        <x:f>IF(ISNUMBER(AD3192),ROUND(AD3192-AE3192-V3192,2),"")</x:f>
        <x:v>1.58</x:v>
      </x:c>
      <x:c r="AG3192" t="str">
        <x:f>IF(NOT(ISNUMBER(T3192)),"PENDING",IF(AF3192&gt;0,"PASS","FAIL"))</x:f>
        <x:v>PASS</x:v>
      </x:c>
      <x:c r="AH3192" t="str">
        <x:f>IF(NOT(ISNUMBER(T3192)),"Needs supplier cost",IF(K3192&lt;&gt;"In stock","Supplier unavailable",IF(AG3192&lt;&gt;"PASS","BLOCK - GT loss risk","Commercially protected")))</x:f>
        <x:v>Commercially protected</x:v>
      </x:c>
      <x:c r="AI3192" t="str">
        <x:v>2026-09-10 Active Sports trade capture</x:v>
      </x:c>
      <x:c r="AJ3192" t="str">
        <x:v>Management-only economics. Stripe stress test uses 1.5% + £0.20 standard UK online-card fee; pallet/mix-and-match pricing ignored.</x:v>
      </x:c>
    </x:row>
    <x:row r="3193">
      <x:c r="A3193" t="str">
        <x:v>Active Sports Nutrition</x:v>
      </x:c>
      <x:c r="B3193" t="str">
        <x:v>Trained By JP</x:v>
      </x:c>
      <x:c r="C3193" t="str">
        <x:v>Cream of Rice</x:v>
      </x:c>
      <x:c r="D3193" t="str">
        <x:v>Food &amp; Drinks</x:v>
      </x:c>
      <x:c r="E3193" t="str">
        <x:v>High Protein Foods</x:v>
      </x:c>
      <x:c r="F3193" t="str"/>
      <x:c r="G3193" t="str">
        <x:v>2kg</x:v>
      </x:c>
      <x:c r="H3193" t="str">
        <x:v>Cherry Bakewell</x:v>
      </x:c>
      <x:c r="I3193" t="str"/>
      <x:c r="J3193" t="str">
        <x:v>Unit</x:v>
      </x:c>
      <x:c r="K3193" t="str">
        <x:v>In stock</x:v>
      </x:c>
      <x:c r="L3193" t="str">
        <x:v>2026-09-08</x:v>
      </x:c>
      <x:c r="M3193" t="str"/>
      <x:c r="N3193" t="str"/>
      <x:c r="O3193" t="str">
        <x:v>https://www.activesportstrade.co.uk/Carb-Powders</x:v>
      </x:c>
      <x:c r="P3193" t="str">
        <x:v>Fresh current Carb Powders page used for full visible 2kg exact matrix.</x:v>
      </x:c>
      <x:c r="Q3193" t="str"/>
      <x:c r="R3193" t="str"/>
      <x:c r="S3193" t="str">
        <x:v>Pending genuine supplier/brand image</x:v>
      </x:c>
      <x:c r="T3193" s="54" t="n">
        <x:v>10.99</x:v>
      </x:c>
      <x:c r="U3193" s="47" t="n">
        <x:v>0.2</x:v>
      </x:c>
      <x:c r="V3193" s="54" t="n">
        <x:f>IF(ISNUMBER(T3193),T3193*(1+U3193),"")</x:f>
        <x:v>13.188</x:v>
      </x:c>
      <x:c r="W3193" s="47" t="n">
        <x:v>0.3</x:v>
      </x:c>
      <x:c r="X3193" s="54" t="n">
        <x:f>IF(ISNUMBER(V3193),V3193/(1-W3193),"")</x:f>
        <x:v>18.840000000000003</x:v>
      </x:c>
      <x:c r="Y3193" s="55" t="n">
        <x:f>IF(ISNUMBER(X3193),ROUNDUP(X3193,0),"")</x:f>
        <x:v>19</x:v>
      </x:c>
      <x:c r="Z3193" t="str">
        <x:v>Source match pending</x:v>
      </x:c>
      <x:c r="AA3193" t="str">
        <x:v>screencapture-www-activesportstrade-co-uk-trained-by-jp-trade-2026-09-10-09_10_55.pdf / page-1</x:v>
      </x:c>
      <x:c r="AB3193" s="36" t="n">
        <x:f>IF(ISNUMBER(Y3193),ROUND(Y3193*0.9,2),"")</x:f>
        <x:v>17.1</x:v>
      </x:c>
      <x:c r="AC3193" s="36" t="n">
        <x:f>IF(ISNUMBER(AB3193),ROUND(AB3193-(AB3193*0.015+0.2)-V3193,2),"")</x:f>
        <x:v>3.46</x:v>
      </x:c>
      <x:c r="AD3193" s="36" t="n">
        <x:f>IF(ISNUMBER(Y3193),ROUND(Y3193*0.8,2),"")</x:f>
        <x:v>15.2</x:v>
      </x:c>
      <x:c r="AE3193" s="36" t="n">
        <x:f>IF(ISNUMBER(AD3193),ROUND(AD3193*0.015+0.2,2),"")</x:f>
        <x:v>0.43</x:v>
      </x:c>
      <x:c r="AF3193" s="36" t="n">
        <x:f>IF(ISNUMBER(AD3193),ROUND(AD3193-AE3193-V3193,2),"")</x:f>
        <x:v>1.58</x:v>
      </x:c>
      <x:c r="AG3193" t="str">
        <x:f>IF(NOT(ISNUMBER(T3193)),"PENDING",IF(AF3193&gt;0,"PASS","FAIL"))</x:f>
        <x:v>PASS</x:v>
      </x:c>
      <x:c r="AH3193" t="str">
        <x:f>IF(NOT(ISNUMBER(T3193)),"Needs supplier cost",IF(K3193&lt;&gt;"In stock","Supplier unavailable",IF(AG3193&lt;&gt;"PASS","BLOCK - GT loss risk","Commercially protected")))</x:f>
        <x:v>Commercially protected</x:v>
      </x:c>
      <x:c r="AI3193" t="str">
        <x:v>2026-09-10 Active Sports trade capture</x:v>
      </x:c>
      <x:c r="AJ3193" t="str">
        <x:v>Management-only economics. Stripe stress test uses 1.5% + £0.20 standard UK online-card fee; pallet/mix-and-match pricing ignored.</x:v>
      </x:c>
    </x:row>
    <x:row r="3194">
      <x:c r="A3194" t="str">
        <x:v>Active Sports Nutrition</x:v>
      </x:c>
      <x:c r="B3194" t="str">
        <x:v>Trained By JP</x:v>
      </x:c>
      <x:c r="C3194" t="str">
        <x:v>Cream of Rice</x:v>
      </x:c>
      <x:c r="D3194" t="str">
        <x:v>Food &amp; Drinks</x:v>
      </x:c>
      <x:c r="E3194" t="str">
        <x:v>High Protein Foods</x:v>
      </x:c>
      <x:c r="F3194" t="str"/>
      <x:c r="G3194" t="str">
        <x:v>2kg</x:v>
      </x:c>
      <x:c r="H3194" t="str">
        <x:v>Chocolate Banana</x:v>
      </x:c>
      <x:c r="I3194" t="str"/>
      <x:c r="J3194" t="str">
        <x:v>Unit</x:v>
      </x:c>
      <x:c r="K3194" t="str">
        <x:v>In stock</x:v>
      </x:c>
      <x:c r="L3194" t="str">
        <x:v>2026-09-08</x:v>
      </x:c>
      <x:c r="M3194" t="str"/>
      <x:c r="N3194" t="str"/>
      <x:c r="O3194" t="str">
        <x:v>https://www.activesportstrade.co.uk/Carb-Powders</x:v>
      </x:c>
      <x:c r="P3194" t="str">
        <x:v>Fresh current Carb Powders page used for full visible 2kg exact matrix.</x:v>
      </x:c>
      <x:c r="Q3194" t="str"/>
      <x:c r="R3194" t="str"/>
      <x:c r="S3194" t="str">
        <x:v>Pending genuine supplier/brand image</x:v>
      </x:c>
      <x:c r="T3194" s="54" t="n">
        <x:v>10.99</x:v>
      </x:c>
      <x:c r="U3194" s="47" t="n">
        <x:v>0.2</x:v>
      </x:c>
      <x:c r="V3194" s="54" t="n">
        <x:f>IF(ISNUMBER(T3194),T3194*(1+U3194),"")</x:f>
        <x:v>13.188</x:v>
      </x:c>
      <x:c r="W3194" s="47" t="n">
        <x:v>0.3</x:v>
      </x:c>
      <x:c r="X3194" s="54" t="n">
        <x:f>IF(ISNUMBER(V3194),V3194/(1-W3194),"")</x:f>
        <x:v>18.840000000000003</x:v>
      </x:c>
      <x:c r="Y3194" s="55" t="n">
        <x:f>IF(ISNUMBER(X3194),ROUNDUP(X3194,0),"")</x:f>
        <x:v>19</x:v>
      </x:c>
      <x:c r="Z3194" t="str">
        <x:v>Source match pending</x:v>
      </x:c>
      <x:c r="AA3194" t="str">
        <x:v>screencapture-www-activesportstrade-co-uk-trained-by-jp-trade-2026-09-10-09_10_55.pdf / page-1</x:v>
      </x:c>
      <x:c r="AB3194" s="36" t="n">
        <x:f>IF(ISNUMBER(Y3194),ROUND(Y3194*0.9,2),"")</x:f>
        <x:v>17.1</x:v>
      </x:c>
      <x:c r="AC3194" s="36" t="n">
        <x:f>IF(ISNUMBER(AB3194),ROUND(AB3194-(AB3194*0.015+0.2)-V3194,2),"")</x:f>
        <x:v>3.46</x:v>
      </x:c>
      <x:c r="AD3194" s="36" t="n">
        <x:f>IF(ISNUMBER(Y3194),ROUND(Y3194*0.8,2),"")</x:f>
        <x:v>15.2</x:v>
      </x:c>
      <x:c r="AE3194" s="36" t="n">
        <x:f>IF(ISNUMBER(AD3194),ROUND(AD3194*0.015+0.2,2),"")</x:f>
        <x:v>0.43</x:v>
      </x:c>
      <x:c r="AF3194" s="36" t="n">
        <x:f>IF(ISNUMBER(AD3194),ROUND(AD3194-AE3194-V3194,2),"")</x:f>
        <x:v>1.58</x:v>
      </x:c>
      <x:c r="AG3194" t="str">
        <x:f>IF(NOT(ISNUMBER(T3194)),"PENDING",IF(AF3194&gt;0,"PASS","FAIL"))</x:f>
        <x:v>PASS</x:v>
      </x:c>
      <x:c r="AH3194" t="str">
        <x:f>IF(NOT(ISNUMBER(T3194)),"Needs supplier cost",IF(K3194&lt;&gt;"In stock","Supplier unavailable",IF(AG3194&lt;&gt;"PASS","BLOCK - GT loss risk","Commercially protected")))</x:f>
        <x:v>Commercially protected</x:v>
      </x:c>
      <x:c r="AI3194" t="str">
        <x:v>2026-09-10 Active Sports trade capture</x:v>
      </x:c>
      <x:c r="AJ3194" t="str">
        <x:v>Management-only economics. Stripe stress test uses 1.5% + £0.20 standard UK online-card fee; pallet/mix-and-match pricing ignored.</x:v>
      </x:c>
    </x:row>
    <x:row r="3195">
      <x:c r="A3195" t="str">
        <x:v>Active Sports Nutrition</x:v>
      </x:c>
      <x:c r="B3195" t="str">
        <x:v>Trained By JP</x:v>
      </x:c>
      <x:c r="C3195" t="str">
        <x:v>Cream of Rice</x:v>
      </x:c>
      <x:c r="D3195" t="str">
        <x:v>Food &amp; Drinks</x:v>
      </x:c>
      <x:c r="E3195" t="str">
        <x:v>High Protein Foods</x:v>
      </x:c>
      <x:c r="F3195" t="str"/>
      <x:c r="G3195" t="str">
        <x:v>2kg</x:v>
      </x:c>
      <x:c r="H3195" t="str">
        <x:v>Chocolate Fudge</x:v>
      </x:c>
      <x:c r="I3195" t="str"/>
      <x:c r="J3195" t="str">
        <x:v>Unit</x:v>
      </x:c>
      <x:c r="K3195" t="str">
        <x:v>Out of stock</x:v>
      </x:c>
      <x:c r="L3195" t="str">
        <x:v>2026-09-08</x:v>
      </x:c>
      <x:c r="M3195" t="str"/>
      <x:c r="N3195" t="str"/>
      <x:c r="O3195" t="str">
        <x:v>https://www.activesportstrade.co.uk/Carb-Powders</x:v>
      </x:c>
      <x:c r="P3195" t="str">
        <x:v>Fresh current Carb Powders page used for full visible 2kg exact matrix.</x:v>
      </x:c>
      <x:c r="Q3195" t="str"/>
      <x:c r="R3195" t="str"/>
      <x:c r="S3195" t="str">
        <x:v>Pending genuine supplier/brand image</x:v>
      </x:c>
      <x:c r="T3195" s="54" t="n">
        <x:v>10.99</x:v>
      </x:c>
      <x:c r="U3195" s="47" t="n">
        <x:v>0.2</x:v>
      </x:c>
      <x:c r="V3195" s="54" t="n">
        <x:f>IF(ISNUMBER(T3195),T3195*(1+U3195),"")</x:f>
        <x:v>13.188</x:v>
      </x:c>
      <x:c r="W3195" s="47" t="n">
        <x:v>0.3</x:v>
      </x:c>
      <x:c r="X3195" s="54" t="n">
        <x:f>IF(ISNUMBER(V3195),V3195/(1-W3195),"")</x:f>
        <x:v>18.840000000000003</x:v>
      </x:c>
      <x:c r="Y3195" s="55" t="n">
        <x:f>IF(ISNUMBER(X3195),ROUNDUP(X3195,0),"")</x:f>
        <x:v>19</x:v>
      </x:c>
      <x:c r="Z3195" t="str">
        <x:v>Source match pending</x:v>
      </x:c>
      <x:c r="AA3195" t="str">
        <x:v>screencapture-www-activesportstrade-co-uk-trained-by-jp-trade-2026-09-10-09_10_55.pdf / page-1</x:v>
      </x:c>
      <x:c r="AB3195" s="36" t="n">
        <x:f>IF(ISNUMBER(Y3195),ROUND(Y3195*0.9,2),"")</x:f>
        <x:v>17.1</x:v>
      </x:c>
      <x:c r="AC3195" s="36" t="n">
        <x:f>IF(ISNUMBER(AB3195),ROUND(AB3195-(AB3195*0.015+0.2)-V3195,2),"")</x:f>
        <x:v>3.46</x:v>
      </x:c>
      <x:c r="AD3195" s="36" t="n">
        <x:f>IF(ISNUMBER(Y3195),ROUND(Y3195*0.8,2),"")</x:f>
        <x:v>15.2</x:v>
      </x:c>
      <x:c r="AE3195" s="36" t="n">
        <x:f>IF(ISNUMBER(AD3195),ROUND(AD3195*0.015+0.2,2),"")</x:f>
        <x:v>0.43</x:v>
      </x:c>
      <x:c r="AF3195" s="36" t="n">
        <x:f>IF(ISNUMBER(AD3195),ROUND(AD3195-AE3195-V3195,2),"")</x:f>
        <x:v>1.58</x:v>
      </x:c>
      <x:c r="AG3195" t="str">
        <x:f>IF(NOT(ISNUMBER(T3195)),"PENDING",IF(AF3195&gt;0,"PASS","FAIL"))</x:f>
        <x:v>PASS</x:v>
      </x:c>
      <x:c r="AH3195" t="str">
        <x:f>IF(NOT(ISNUMBER(T3195)),"Needs supplier cost",IF(K3195&lt;&gt;"In stock","Supplier unavailable",IF(AG3195&lt;&gt;"PASS","BLOCK - GT loss risk","Commercially protected")))</x:f>
        <x:v>Supplier unavailable</x:v>
      </x:c>
      <x:c r="AI3195" t="str">
        <x:v>2026-09-10 Active Sports trade capture</x:v>
      </x:c>
      <x:c r="AJ3195" t="str">
        <x:v>Management-only economics. Stripe stress test uses 1.5% + £0.20 standard UK online-card fee; pallet/mix-and-match pricing ignored.</x:v>
      </x:c>
    </x:row>
    <x:row r="3196">
      <x:c r="A3196" t="str">
        <x:v>Active Sports Nutrition</x:v>
      </x:c>
      <x:c r="B3196" t="str">
        <x:v>Trained By JP</x:v>
      </x:c>
      <x:c r="C3196" t="str">
        <x:v>Cream of Rice</x:v>
      </x:c>
      <x:c r="D3196" t="str">
        <x:v>Food &amp; Drinks</x:v>
      </x:c>
      <x:c r="E3196" t="str">
        <x:v>High Protein Foods</x:v>
      </x:c>
      <x:c r="F3196" t="str"/>
      <x:c r="G3196" t="str">
        <x:v>2kg</x:v>
      </x:c>
      <x:c r="H3196" t="str">
        <x:v>Chocolate Hazelnut Spread</x:v>
      </x:c>
      <x:c r="I3196" t="str"/>
      <x:c r="J3196" t="str">
        <x:v>Unit</x:v>
      </x:c>
      <x:c r="K3196" t="str">
        <x:v>In stock</x:v>
      </x:c>
      <x:c r="L3196" t="str">
        <x:v>2026-09-08</x:v>
      </x:c>
      <x:c r="M3196" t="str"/>
      <x:c r="N3196" t="str"/>
      <x:c r="O3196" t="str">
        <x:v>https://www.activesportstrade.co.uk/Carb-Powders</x:v>
      </x:c>
      <x:c r="P3196" t="str">
        <x:v>Fresh current Carb Powders page used for full visible 2kg exact matrix.</x:v>
      </x:c>
      <x:c r="Q3196" t="str"/>
      <x:c r="R3196" t="str"/>
      <x:c r="S3196" t="str">
        <x:v>Pending genuine supplier/brand image</x:v>
      </x:c>
      <x:c r="T3196" s="54" t="n">
        <x:v>10.99</x:v>
      </x:c>
      <x:c r="U3196" s="47" t="n">
        <x:v>0.2</x:v>
      </x:c>
      <x:c r="V3196" s="54" t="n">
        <x:f>IF(ISNUMBER(T3196),T3196*(1+U3196),"")</x:f>
        <x:v>13.188</x:v>
      </x:c>
      <x:c r="W3196" s="47" t="n">
        <x:v>0.3</x:v>
      </x:c>
      <x:c r="X3196" s="54" t="n">
        <x:f>IF(ISNUMBER(V3196),V3196/(1-W3196),"")</x:f>
        <x:v>18.840000000000003</x:v>
      </x:c>
      <x:c r="Y3196" s="55" t="n">
        <x:f>IF(ISNUMBER(X3196),ROUNDUP(X3196,0),"")</x:f>
        <x:v>19</x:v>
      </x:c>
      <x:c r="Z3196" t="str">
        <x:v>Source match pending</x:v>
      </x:c>
      <x:c r="AA3196" t="str">
        <x:v>screencapture-www-activesportstrade-co-uk-trained-by-jp-trade-2026-09-10-09_10_55.pdf / page-1</x:v>
      </x:c>
      <x:c r="AB3196" s="36" t="n">
        <x:f>IF(ISNUMBER(Y3196),ROUND(Y3196*0.9,2),"")</x:f>
        <x:v>17.1</x:v>
      </x:c>
      <x:c r="AC3196" s="36" t="n">
        <x:f>IF(ISNUMBER(AB3196),ROUND(AB3196-(AB3196*0.015+0.2)-V3196,2),"")</x:f>
        <x:v>3.46</x:v>
      </x:c>
      <x:c r="AD3196" s="36" t="n">
        <x:f>IF(ISNUMBER(Y3196),ROUND(Y3196*0.8,2),"")</x:f>
        <x:v>15.2</x:v>
      </x:c>
      <x:c r="AE3196" s="36" t="n">
        <x:f>IF(ISNUMBER(AD3196),ROUND(AD3196*0.015+0.2,2),"")</x:f>
        <x:v>0.43</x:v>
      </x:c>
      <x:c r="AF3196" s="36" t="n">
        <x:f>IF(ISNUMBER(AD3196),ROUND(AD3196-AE3196-V3196,2),"")</x:f>
        <x:v>1.58</x:v>
      </x:c>
      <x:c r="AG3196" t="str">
        <x:f>IF(NOT(ISNUMBER(T3196)),"PENDING",IF(AF3196&gt;0,"PASS","FAIL"))</x:f>
        <x:v>PASS</x:v>
      </x:c>
      <x:c r="AH3196" t="str">
        <x:f>IF(NOT(ISNUMBER(T3196)),"Needs supplier cost",IF(K3196&lt;&gt;"In stock","Supplier unavailable",IF(AG3196&lt;&gt;"PASS","BLOCK - GT loss risk","Commercially protected")))</x:f>
        <x:v>Commercially protected</x:v>
      </x:c>
      <x:c r="AI3196" t="str">
        <x:v>2026-09-10 Active Sports trade capture</x:v>
      </x:c>
      <x:c r="AJ3196" t="str">
        <x:v>Management-only economics. Stripe stress test uses 1.5% + £0.20 standard UK online-card fee; pallet/mix-and-match pricing ignored.</x:v>
      </x:c>
    </x:row>
    <x:row r="3197">
      <x:c r="A3197" t="str">
        <x:v>Active Sports Nutrition</x:v>
      </x:c>
      <x:c r="B3197" t="str">
        <x:v>Trained By JP</x:v>
      </x:c>
      <x:c r="C3197" t="str">
        <x:v>Cream of Rice</x:v>
      </x:c>
      <x:c r="D3197" t="str">
        <x:v>Food &amp; Drinks</x:v>
      </x:c>
      <x:c r="E3197" t="str">
        <x:v>High Protein Foods</x:v>
      </x:c>
      <x:c r="F3197" t="str"/>
      <x:c r="G3197" t="str">
        <x:v>2kg</x:v>
      </x:c>
      <x:c r="H3197" t="str">
        <x:v>Chocolate Orange</x:v>
      </x:c>
      <x:c r="I3197" t="str"/>
      <x:c r="J3197" t="str">
        <x:v>Unit</x:v>
      </x:c>
      <x:c r="K3197" t="str">
        <x:v>In stock</x:v>
      </x:c>
      <x:c r="L3197" t="str">
        <x:v>2026-09-08</x:v>
      </x:c>
      <x:c r="M3197" t="str"/>
      <x:c r="N3197" t="str"/>
      <x:c r="O3197" t="str">
        <x:v>https://www.activesportstrade.co.uk/Carb-Powders</x:v>
      </x:c>
      <x:c r="P3197" t="str">
        <x:v>Fresh current Carb Powders page used for full visible 2kg exact matrix.</x:v>
      </x:c>
      <x:c r="Q3197" t="str"/>
      <x:c r="R3197" t="str"/>
      <x:c r="S3197" t="str">
        <x:v>Pending genuine supplier/brand image</x:v>
      </x:c>
      <x:c r="T3197" s="54" t="n">
        <x:v>10.99</x:v>
      </x:c>
      <x:c r="U3197" s="47" t="n">
        <x:v>0.2</x:v>
      </x:c>
      <x:c r="V3197" s="54" t="n">
        <x:f>IF(ISNUMBER(T3197),T3197*(1+U3197),"")</x:f>
        <x:v>13.188</x:v>
      </x:c>
      <x:c r="W3197" s="47" t="n">
        <x:v>0.3</x:v>
      </x:c>
      <x:c r="X3197" s="54" t="n">
        <x:f>IF(ISNUMBER(V3197),V3197/(1-W3197),"")</x:f>
        <x:v>18.840000000000003</x:v>
      </x:c>
      <x:c r="Y3197" s="55" t="n">
        <x:f>IF(ISNUMBER(X3197),ROUNDUP(X3197,0),"")</x:f>
        <x:v>19</x:v>
      </x:c>
      <x:c r="Z3197" t="str">
        <x:v>Source match pending</x:v>
      </x:c>
      <x:c r="AA3197" t="str">
        <x:v>screencapture-www-activesportstrade-co-uk-trained-by-jp-trade-2026-09-10-09_10_55.pdf / page-1</x:v>
      </x:c>
      <x:c r="AB3197" s="36" t="n">
        <x:f>IF(ISNUMBER(Y3197),ROUND(Y3197*0.9,2),"")</x:f>
        <x:v>17.1</x:v>
      </x:c>
      <x:c r="AC3197" s="36" t="n">
        <x:f>IF(ISNUMBER(AB3197),ROUND(AB3197-(AB3197*0.015+0.2)-V3197,2),"")</x:f>
        <x:v>3.46</x:v>
      </x:c>
      <x:c r="AD3197" s="36" t="n">
        <x:f>IF(ISNUMBER(Y3197),ROUND(Y3197*0.8,2),"")</x:f>
        <x:v>15.2</x:v>
      </x:c>
      <x:c r="AE3197" s="36" t="n">
        <x:f>IF(ISNUMBER(AD3197),ROUND(AD3197*0.015+0.2,2),"")</x:f>
        <x:v>0.43</x:v>
      </x:c>
      <x:c r="AF3197" s="36" t="n">
        <x:f>IF(ISNUMBER(AD3197),ROUND(AD3197-AE3197-V3197,2),"")</x:f>
        <x:v>1.58</x:v>
      </x:c>
      <x:c r="AG3197" t="str">
        <x:f>IF(NOT(ISNUMBER(T3197)),"PENDING",IF(AF3197&gt;0,"PASS","FAIL"))</x:f>
        <x:v>PASS</x:v>
      </x:c>
      <x:c r="AH3197" t="str">
        <x:f>IF(NOT(ISNUMBER(T3197)),"Needs supplier cost",IF(K3197&lt;&gt;"In stock","Supplier unavailable",IF(AG3197&lt;&gt;"PASS","BLOCK - GT loss risk","Commercially protected")))</x:f>
        <x:v>Commercially protected</x:v>
      </x:c>
      <x:c r="AI3197" t="str">
        <x:v>2026-09-10 Active Sports trade capture</x:v>
      </x:c>
      <x:c r="AJ3197" t="str">
        <x:v>Management-only economics. Stripe stress test uses 1.5% + £0.20 standard UK online-card fee; pallet/mix-and-match pricing ignored.</x:v>
      </x:c>
    </x:row>
    <x:row r="3198">
      <x:c r="A3198" t="str">
        <x:v>Active Sports Nutrition</x:v>
      </x:c>
      <x:c r="B3198" t="str">
        <x:v>Trained By JP</x:v>
      </x:c>
      <x:c r="C3198" t="str">
        <x:v>Cream of Rice</x:v>
      </x:c>
      <x:c r="D3198" t="str">
        <x:v>Food &amp; Drinks</x:v>
      </x:c>
      <x:c r="E3198" t="str">
        <x:v>High Protein Foods</x:v>
      </x:c>
      <x:c r="F3198" t="str"/>
      <x:c r="G3198" t="str">
        <x:v>2kg</x:v>
      </x:c>
      <x:c r="H3198" t="str">
        <x:v>Chocolate Peanut Butter Cup</x:v>
      </x:c>
      <x:c r="I3198" t="str"/>
      <x:c r="J3198" t="str">
        <x:v>Unit</x:v>
      </x:c>
      <x:c r="K3198" t="str">
        <x:v>Out of stock</x:v>
      </x:c>
      <x:c r="L3198" t="str">
        <x:v>2026-09-08</x:v>
      </x:c>
      <x:c r="M3198" t="str"/>
      <x:c r="N3198" t="str"/>
      <x:c r="O3198" t="str">
        <x:v>https://www.activesportstrade.co.uk/Carb-Powders</x:v>
      </x:c>
      <x:c r="P3198" t="str">
        <x:v>Fresh current Carb Powders page used for full visible 2kg exact matrix.</x:v>
      </x:c>
      <x:c r="Q3198" t="str"/>
      <x:c r="R3198" t="str"/>
      <x:c r="S3198" t="str">
        <x:v>Pending genuine supplier/brand image</x:v>
      </x:c>
      <x:c r="T3198" s="54" t="n">
        <x:v>10.99</x:v>
      </x:c>
      <x:c r="U3198" s="47" t="n">
        <x:v>0.2</x:v>
      </x:c>
      <x:c r="V3198" s="54" t="n">
        <x:f>IF(ISNUMBER(T3198),T3198*(1+U3198),"")</x:f>
        <x:v>13.188</x:v>
      </x:c>
      <x:c r="W3198" s="47" t="n">
        <x:v>0.3</x:v>
      </x:c>
      <x:c r="X3198" s="54" t="n">
        <x:f>IF(ISNUMBER(V3198),V3198/(1-W3198),"")</x:f>
        <x:v>18.840000000000003</x:v>
      </x:c>
      <x:c r="Y3198" s="55" t="n">
        <x:f>IF(ISNUMBER(X3198),ROUNDUP(X3198,0),"")</x:f>
        <x:v>19</x:v>
      </x:c>
      <x:c r="Z3198" t="str">
        <x:v>Source match pending</x:v>
      </x:c>
      <x:c r="AA3198" t="str">
        <x:v>screencapture-www-activesportstrade-co-uk-trained-by-jp-trade-2026-09-10-09_10_55.pdf / page-1</x:v>
      </x:c>
      <x:c r="AB3198" s="36" t="n">
        <x:f>IF(ISNUMBER(Y3198),ROUND(Y3198*0.9,2),"")</x:f>
        <x:v>17.1</x:v>
      </x:c>
      <x:c r="AC3198" s="36" t="n">
        <x:f>IF(ISNUMBER(AB3198),ROUND(AB3198-(AB3198*0.015+0.2)-V3198,2),"")</x:f>
        <x:v>3.46</x:v>
      </x:c>
      <x:c r="AD3198" s="36" t="n">
        <x:f>IF(ISNUMBER(Y3198),ROUND(Y3198*0.8,2),"")</x:f>
        <x:v>15.2</x:v>
      </x:c>
      <x:c r="AE3198" s="36" t="n">
        <x:f>IF(ISNUMBER(AD3198),ROUND(AD3198*0.015+0.2,2),"")</x:f>
        <x:v>0.43</x:v>
      </x:c>
      <x:c r="AF3198" s="36" t="n">
        <x:f>IF(ISNUMBER(AD3198),ROUND(AD3198-AE3198-V3198,2),"")</x:f>
        <x:v>1.58</x:v>
      </x:c>
      <x:c r="AG3198" t="str">
        <x:f>IF(NOT(ISNUMBER(T3198)),"PENDING",IF(AF3198&gt;0,"PASS","FAIL"))</x:f>
        <x:v>PASS</x:v>
      </x:c>
      <x:c r="AH3198" t="str">
        <x:f>IF(NOT(ISNUMBER(T3198)),"Needs supplier cost",IF(K3198&lt;&gt;"In stock","Supplier unavailable",IF(AG3198&lt;&gt;"PASS","BLOCK - GT loss risk","Commercially protected")))</x:f>
        <x:v>Supplier unavailable</x:v>
      </x:c>
      <x:c r="AI3198" t="str">
        <x:v>2026-09-10 Active Sports trade capture</x:v>
      </x:c>
      <x:c r="AJ3198" t="str">
        <x:v>Management-only economics. Stripe stress test uses 1.5% + £0.20 standard UK online-card fee; pallet/mix-and-match pricing ignored.</x:v>
      </x:c>
    </x:row>
    <x:row r="3199">
      <x:c r="A3199" t="str">
        <x:v>Active Sports Nutrition</x:v>
      </x:c>
      <x:c r="B3199" t="str">
        <x:v>Trained By JP</x:v>
      </x:c>
      <x:c r="C3199" t="str">
        <x:v>Cream of Rice</x:v>
      </x:c>
      <x:c r="D3199" t="str">
        <x:v>Food &amp; Drinks</x:v>
      </x:c>
      <x:c r="E3199" t="str">
        <x:v>High Protein Foods</x:v>
      </x:c>
      <x:c r="F3199" t="str"/>
      <x:c r="G3199" t="str">
        <x:v>2kg</x:v>
      </x:c>
      <x:c r="H3199" t="str">
        <x:v>Cookies &amp; Cream</x:v>
      </x:c>
      <x:c r="I3199" t="str"/>
      <x:c r="J3199" t="str">
        <x:v>Unit</x:v>
      </x:c>
      <x:c r="K3199" t="str">
        <x:v>Out of stock</x:v>
      </x:c>
      <x:c r="L3199" t="str">
        <x:v>2026-09-08</x:v>
      </x:c>
      <x:c r="M3199" t="str"/>
      <x:c r="N3199" t="str"/>
      <x:c r="O3199" t="str">
        <x:v>https://www.activesportstrade.co.uk/Carb-Powders</x:v>
      </x:c>
      <x:c r="P3199" t="str">
        <x:v>Fresh current Carb Powders page used for full visible 2kg exact matrix.</x:v>
      </x:c>
      <x:c r="Q3199" t="str"/>
      <x:c r="R3199" t="str"/>
      <x:c r="S3199" t="str">
        <x:v>Pending genuine supplier/brand image</x:v>
      </x:c>
      <x:c r="T3199" s="54" t="n">
        <x:v>10.99</x:v>
      </x:c>
      <x:c r="U3199" s="47" t="n">
        <x:v>0.2</x:v>
      </x:c>
      <x:c r="V3199" s="54" t="n">
        <x:f>IF(ISNUMBER(T3199),T3199*(1+U3199),"")</x:f>
        <x:v>13.188</x:v>
      </x:c>
      <x:c r="W3199" s="47" t="n">
        <x:v>0.3</x:v>
      </x:c>
      <x:c r="X3199" s="54" t="n">
        <x:f>IF(ISNUMBER(V3199),V3199/(1-W3199),"")</x:f>
        <x:v>18.840000000000003</x:v>
      </x:c>
      <x:c r="Y3199" s="55" t="n">
        <x:f>IF(ISNUMBER(X3199),ROUNDUP(X3199,0),"")</x:f>
        <x:v>19</x:v>
      </x:c>
      <x:c r="Z3199" t="str">
        <x:v>Source match pending</x:v>
      </x:c>
      <x:c r="AA3199" t="str">
        <x:v>screencapture-www-activesportstrade-co-uk-trained-by-jp-trade-2026-09-10-09_10_55.pdf / page-1</x:v>
      </x:c>
      <x:c r="AB3199" s="36" t="n">
        <x:f>IF(ISNUMBER(Y3199),ROUND(Y3199*0.9,2),"")</x:f>
        <x:v>17.1</x:v>
      </x:c>
      <x:c r="AC3199" s="36" t="n">
        <x:f>IF(ISNUMBER(AB3199),ROUND(AB3199-(AB3199*0.015+0.2)-V3199,2),"")</x:f>
        <x:v>3.46</x:v>
      </x:c>
      <x:c r="AD3199" s="36" t="n">
        <x:f>IF(ISNUMBER(Y3199),ROUND(Y3199*0.8,2),"")</x:f>
        <x:v>15.2</x:v>
      </x:c>
      <x:c r="AE3199" s="36" t="n">
        <x:f>IF(ISNUMBER(AD3199),ROUND(AD3199*0.015+0.2,2),"")</x:f>
        <x:v>0.43</x:v>
      </x:c>
      <x:c r="AF3199" s="36" t="n">
        <x:f>IF(ISNUMBER(AD3199),ROUND(AD3199-AE3199-V3199,2),"")</x:f>
        <x:v>1.58</x:v>
      </x:c>
      <x:c r="AG3199" t="str">
        <x:f>IF(NOT(ISNUMBER(T3199)),"PENDING",IF(AF3199&gt;0,"PASS","FAIL"))</x:f>
        <x:v>PASS</x:v>
      </x:c>
      <x:c r="AH3199" t="str">
        <x:f>IF(NOT(ISNUMBER(T3199)),"Needs supplier cost",IF(K3199&lt;&gt;"In stock","Supplier unavailable",IF(AG3199&lt;&gt;"PASS","BLOCK - GT loss risk","Commercially protected")))</x:f>
        <x:v>Supplier unavailable</x:v>
      </x:c>
      <x:c r="AI3199" t="str">
        <x:v>2026-09-10 Active Sports trade capture</x:v>
      </x:c>
      <x:c r="AJ3199" t="str">
        <x:v>Management-only economics. Stripe stress test uses 1.5% + £0.20 standard UK online-card fee; pallet/mix-and-match pricing ignored.</x:v>
      </x:c>
    </x:row>
    <x:row r="3200">
      <x:c r="A3200" t="str">
        <x:v>Active Sports Nutrition</x:v>
      </x:c>
      <x:c r="B3200" t="str">
        <x:v>Trained By JP</x:v>
      </x:c>
      <x:c r="C3200" t="str">
        <x:v>Cream of Rice</x:v>
      </x:c>
      <x:c r="D3200" t="str">
        <x:v>Food &amp; Drinks</x:v>
      </x:c>
      <x:c r="E3200" t="str">
        <x:v>High Protein Foods</x:v>
      </x:c>
      <x:c r="F3200" t="str"/>
      <x:c r="G3200" t="str">
        <x:v>2kg</x:v>
      </x:c>
      <x:c r="H3200" t="str">
        <x:v>Custard Cream</x:v>
      </x:c>
      <x:c r="I3200" t="str"/>
      <x:c r="J3200" t="str">
        <x:v>Unit</x:v>
      </x:c>
      <x:c r="K3200" t="str">
        <x:v>Out of stock</x:v>
      </x:c>
      <x:c r="L3200" t="str">
        <x:v>2026-09-08</x:v>
      </x:c>
      <x:c r="M3200" t="str"/>
      <x:c r="N3200" t="str"/>
      <x:c r="O3200" t="str">
        <x:v>https://www.activesportstrade.co.uk/Carb-Powders</x:v>
      </x:c>
      <x:c r="P3200" t="str">
        <x:v>Fresh current Carb Powders page used for full visible 2kg exact matrix.</x:v>
      </x:c>
      <x:c r="Q3200" t="str"/>
      <x:c r="R3200" t="str"/>
      <x:c r="S3200" t="str">
        <x:v>Pending genuine supplier/brand image</x:v>
      </x:c>
      <x:c r="T3200" s="54" t="n">
        <x:v>10.99</x:v>
      </x:c>
      <x:c r="U3200" s="47" t="n">
        <x:v>0.2</x:v>
      </x:c>
      <x:c r="V3200" s="54" t="n">
        <x:f>IF(ISNUMBER(T3200),T3200*(1+U3200),"")</x:f>
        <x:v>13.188</x:v>
      </x:c>
      <x:c r="W3200" s="47" t="n">
        <x:v>0.3</x:v>
      </x:c>
      <x:c r="X3200" s="54" t="n">
        <x:f>IF(ISNUMBER(V3200),V3200/(1-W3200),"")</x:f>
        <x:v>18.840000000000003</x:v>
      </x:c>
      <x:c r="Y3200" s="55" t="n">
        <x:f>IF(ISNUMBER(X3200),ROUNDUP(X3200,0),"")</x:f>
        <x:v>19</x:v>
      </x:c>
      <x:c r="Z3200" t="str">
        <x:v>Source match pending</x:v>
      </x:c>
      <x:c r="AA3200" t="str">
        <x:v>screencapture-www-activesportstrade-co-uk-trained-by-jp-trade-2026-09-10-09_10_55.pdf / page-1</x:v>
      </x:c>
      <x:c r="AB3200" s="36" t="n">
        <x:f>IF(ISNUMBER(Y3200),ROUND(Y3200*0.9,2),"")</x:f>
        <x:v>17.1</x:v>
      </x:c>
      <x:c r="AC3200" s="36" t="n">
        <x:f>IF(ISNUMBER(AB3200),ROUND(AB3200-(AB3200*0.015+0.2)-V3200,2),"")</x:f>
        <x:v>3.46</x:v>
      </x:c>
      <x:c r="AD3200" s="36" t="n">
        <x:f>IF(ISNUMBER(Y3200),ROUND(Y3200*0.8,2),"")</x:f>
        <x:v>15.2</x:v>
      </x:c>
      <x:c r="AE3200" s="36" t="n">
        <x:f>IF(ISNUMBER(AD3200),ROUND(AD3200*0.015+0.2,2),"")</x:f>
        <x:v>0.43</x:v>
      </x:c>
      <x:c r="AF3200" s="36" t="n">
        <x:f>IF(ISNUMBER(AD3200),ROUND(AD3200-AE3200-V3200,2),"")</x:f>
        <x:v>1.58</x:v>
      </x:c>
      <x:c r="AG3200" t="str">
        <x:f>IF(NOT(ISNUMBER(T3200)),"PENDING",IF(AF3200&gt;0,"PASS","FAIL"))</x:f>
        <x:v>PASS</x:v>
      </x:c>
      <x:c r="AH3200" t="str">
        <x:f>IF(NOT(ISNUMBER(T3200)),"Needs supplier cost",IF(K3200&lt;&gt;"In stock","Supplier unavailable",IF(AG3200&lt;&gt;"PASS","BLOCK - GT loss risk","Commercially protected")))</x:f>
        <x:v>Supplier unavailable</x:v>
      </x:c>
      <x:c r="AI3200" t="str">
        <x:v>2026-09-10 Active Sports trade capture</x:v>
      </x:c>
      <x:c r="AJ3200" t="str">
        <x:v>Management-only economics. Stripe stress test uses 1.5% + £0.20 standard UK online-card fee; pallet/mix-and-match pricing ignored.</x:v>
      </x:c>
    </x:row>
    <x:row r="3201">
      <x:c r="A3201" t="str">
        <x:v>Active Sports Nutrition</x:v>
      </x:c>
      <x:c r="B3201" t="str">
        <x:v>Trained By JP</x:v>
      </x:c>
      <x:c r="C3201" t="str">
        <x:v>Cream of Rice</x:v>
      </x:c>
      <x:c r="D3201" t="str">
        <x:v>Food &amp; Drinks</x:v>
      </x:c>
      <x:c r="E3201" t="str">
        <x:v>High Protein Foods</x:v>
      </x:c>
      <x:c r="F3201" t="str"/>
      <x:c r="G3201" t="str">
        <x:v>2kg</x:v>
      </x:c>
      <x:c r="H3201" t="str">
        <x:v>Lemon Meringue</x:v>
      </x:c>
      <x:c r="I3201" t="str"/>
      <x:c r="J3201" t="str">
        <x:v>Unit</x:v>
      </x:c>
      <x:c r="K3201" t="str">
        <x:v>In stock</x:v>
      </x:c>
      <x:c r="L3201" t="str">
        <x:v>2026-09-08</x:v>
      </x:c>
      <x:c r="M3201" t="str"/>
      <x:c r="N3201" t="str"/>
      <x:c r="O3201" t="str">
        <x:v>https://www.activesportstrade.co.uk/Carb-Powders</x:v>
      </x:c>
      <x:c r="P3201" t="str">
        <x:v>Fresh current Carb Powders page used for full visible 2kg exact matrix.</x:v>
      </x:c>
      <x:c r="Q3201" t="str"/>
      <x:c r="R3201" t="str"/>
      <x:c r="S3201" t="str">
        <x:v>Pending genuine supplier/brand image</x:v>
      </x:c>
      <x:c r="T3201" s="54" t="n">
        <x:v>10.99</x:v>
      </x:c>
      <x:c r="U3201" s="47" t="n">
        <x:v>0.2</x:v>
      </x:c>
      <x:c r="V3201" s="54" t="n">
        <x:f>IF(ISNUMBER(T3201),T3201*(1+U3201),"")</x:f>
        <x:v>13.188</x:v>
      </x:c>
      <x:c r="W3201" s="47" t="n">
        <x:v>0.3</x:v>
      </x:c>
      <x:c r="X3201" s="54" t="n">
        <x:f>IF(ISNUMBER(V3201),V3201/(1-W3201),"")</x:f>
        <x:v>18.840000000000003</x:v>
      </x:c>
      <x:c r="Y3201" s="55" t="n">
        <x:f>IF(ISNUMBER(X3201),ROUNDUP(X3201,0),"")</x:f>
        <x:v>19</x:v>
      </x:c>
      <x:c r="Z3201" t="str">
        <x:v>Source match pending</x:v>
      </x:c>
      <x:c r="AA3201" t="str">
        <x:v>screencapture-www-activesportstrade-co-uk-trained-by-jp-trade-2026-09-10-09_10_55.pdf / page-1</x:v>
      </x:c>
      <x:c r="AB3201" s="36" t="n">
        <x:f>IF(ISNUMBER(Y3201),ROUND(Y3201*0.9,2),"")</x:f>
        <x:v>17.1</x:v>
      </x:c>
      <x:c r="AC3201" s="36" t="n">
        <x:f>IF(ISNUMBER(AB3201),ROUND(AB3201-(AB3201*0.015+0.2)-V3201,2),"")</x:f>
        <x:v>3.46</x:v>
      </x:c>
      <x:c r="AD3201" s="36" t="n">
        <x:f>IF(ISNUMBER(Y3201),ROUND(Y3201*0.8,2),"")</x:f>
        <x:v>15.2</x:v>
      </x:c>
      <x:c r="AE3201" s="36" t="n">
        <x:f>IF(ISNUMBER(AD3201),ROUND(AD3201*0.015+0.2,2),"")</x:f>
        <x:v>0.43</x:v>
      </x:c>
      <x:c r="AF3201" s="36" t="n">
        <x:f>IF(ISNUMBER(AD3201),ROUND(AD3201-AE3201-V3201,2),"")</x:f>
        <x:v>1.58</x:v>
      </x:c>
      <x:c r="AG3201" t="str">
        <x:f>IF(NOT(ISNUMBER(T3201)),"PENDING",IF(AF3201&gt;0,"PASS","FAIL"))</x:f>
        <x:v>PASS</x:v>
      </x:c>
      <x:c r="AH3201" t="str">
        <x:f>IF(NOT(ISNUMBER(T3201)),"Needs supplier cost",IF(K3201&lt;&gt;"In stock","Supplier unavailable",IF(AG3201&lt;&gt;"PASS","BLOCK - GT loss risk","Commercially protected")))</x:f>
        <x:v>Commercially protected</x:v>
      </x:c>
      <x:c r="AI3201" t="str">
        <x:v>2026-09-10 Active Sports trade capture</x:v>
      </x:c>
      <x:c r="AJ3201" t="str">
        <x:v>Management-only economics. Stripe stress test uses 1.5% + £0.20 standard UK online-card fee; pallet/mix-and-match pricing ignored.</x:v>
      </x:c>
    </x:row>
    <x:row r="3202">
      <x:c r="A3202" t="str">
        <x:v>Active Sports Nutrition</x:v>
      </x:c>
      <x:c r="B3202" t="str">
        <x:v>Trained By JP</x:v>
      </x:c>
      <x:c r="C3202" t="str">
        <x:v>Cream of Rice</x:v>
      </x:c>
      <x:c r="D3202" t="str">
        <x:v>Food &amp; Drinks</x:v>
      </x:c>
      <x:c r="E3202" t="str">
        <x:v>High Protein Foods</x:v>
      </x:c>
      <x:c r="F3202" t="str"/>
      <x:c r="G3202" t="str">
        <x:v>2kg</x:v>
      </x:c>
      <x:c r="H3202" t="str">
        <x:v>Maple Syrup</x:v>
      </x:c>
      <x:c r="I3202" t="str"/>
      <x:c r="J3202" t="str">
        <x:v>Unit</x:v>
      </x:c>
      <x:c r="K3202" t="str">
        <x:v>In stock</x:v>
      </x:c>
      <x:c r="L3202" t="str">
        <x:v>2026-09-08</x:v>
      </x:c>
      <x:c r="M3202" t="str"/>
      <x:c r="N3202" t="str"/>
      <x:c r="O3202" t="str">
        <x:v>https://www.activesportstrade.co.uk/Carb-Powders</x:v>
      </x:c>
      <x:c r="P3202" t="str">
        <x:v>Fresh current Carb Powders page used for full visible 2kg exact matrix.</x:v>
      </x:c>
      <x:c r="Q3202" t="str"/>
      <x:c r="R3202" t="str"/>
      <x:c r="S3202" t="str">
        <x:v>Pending genuine supplier/brand image</x:v>
      </x:c>
      <x:c r="T3202" s="54" t="n">
        <x:v>10.99</x:v>
      </x:c>
      <x:c r="U3202" s="47" t="n">
        <x:v>0.2</x:v>
      </x:c>
      <x:c r="V3202" s="54" t="n">
        <x:f>IF(ISNUMBER(T3202),T3202*(1+U3202),"")</x:f>
        <x:v>13.188</x:v>
      </x:c>
      <x:c r="W3202" s="47" t="n">
        <x:v>0.3</x:v>
      </x:c>
      <x:c r="X3202" s="54" t="n">
        <x:f>IF(ISNUMBER(V3202),V3202/(1-W3202),"")</x:f>
        <x:v>18.840000000000003</x:v>
      </x:c>
      <x:c r="Y3202" s="55" t="n">
        <x:f>IF(ISNUMBER(X3202),ROUNDUP(X3202,0),"")</x:f>
        <x:v>19</x:v>
      </x:c>
      <x:c r="Z3202" t="str">
        <x:v>Source match pending</x:v>
      </x:c>
      <x:c r="AA3202" t="str">
        <x:v>screencapture-www-activesportstrade-co-uk-trained-by-jp-trade-2026-09-10-09_10_55.pdf / page-1</x:v>
      </x:c>
      <x:c r="AB3202" s="36" t="n">
        <x:f>IF(ISNUMBER(Y3202),ROUND(Y3202*0.9,2),"")</x:f>
        <x:v>17.1</x:v>
      </x:c>
      <x:c r="AC3202" s="36" t="n">
        <x:f>IF(ISNUMBER(AB3202),ROUND(AB3202-(AB3202*0.015+0.2)-V3202,2),"")</x:f>
        <x:v>3.46</x:v>
      </x:c>
      <x:c r="AD3202" s="36" t="n">
        <x:f>IF(ISNUMBER(Y3202),ROUND(Y3202*0.8,2),"")</x:f>
        <x:v>15.2</x:v>
      </x:c>
      <x:c r="AE3202" s="36" t="n">
        <x:f>IF(ISNUMBER(AD3202),ROUND(AD3202*0.015+0.2,2),"")</x:f>
        <x:v>0.43</x:v>
      </x:c>
      <x:c r="AF3202" s="36" t="n">
        <x:f>IF(ISNUMBER(AD3202),ROUND(AD3202-AE3202-V3202,2),"")</x:f>
        <x:v>1.58</x:v>
      </x:c>
      <x:c r="AG3202" t="str">
        <x:f>IF(NOT(ISNUMBER(T3202)),"PENDING",IF(AF3202&gt;0,"PASS","FAIL"))</x:f>
        <x:v>PASS</x:v>
      </x:c>
      <x:c r="AH3202" t="str">
        <x:f>IF(NOT(ISNUMBER(T3202)),"Needs supplier cost",IF(K3202&lt;&gt;"In stock","Supplier unavailable",IF(AG3202&lt;&gt;"PASS","BLOCK - GT loss risk","Commercially protected")))</x:f>
        <x:v>Commercially protected</x:v>
      </x:c>
      <x:c r="AI3202" t="str">
        <x:v>2026-09-10 Active Sports trade capture</x:v>
      </x:c>
      <x:c r="AJ3202" t="str">
        <x:v>Management-only economics. Stripe stress test uses 1.5% + £0.20 standard UK online-card fee; pallet/mix-and-match pricing ignored.</x:v>
      </x:c>
    </x:row>
    <x:row r="3203">
      <x:c r="A3203" t="str">
        <x:v>Active Sports Nutrition</x:v>
      </x:c>
      <x:c r="B3203" t="str">
        <x:v>Trained By JP</x:v>
      </x:c>
      <x:c r="C3203" t="str">
        <x:v>Cream of Rice</x:v>
      </x:c>
      <x:c r="D3203" t="str">
        <x:v>Food &amp; Drinks</x:v>
      </x:c>
      <x:c r="E3203" t="str">
        <x:v>High Protein Foods</x:v>
      </x:c>
      <x:c r="F3203" t="str"/>
      <x:c r="G3203" t="str">
        <x:v>2kg</x:v>
      </x:c>
      <x:c r="H3203" t="str">
        <x:v>Strawberries &amp; Cream</x:v>
      </x:c>
      <x:c r="I3203" t="str"/>
      <x:c r="J3203" t="str">
        <x:v>Unit</x:v>
      </x:c>
      <x:c r="K3203" t="str">
        <x:v>In stock</x:v>
      </x:c>
      <x:c r="L3203" t="str">
        <x:v>2026-09-08</x:v>
      </x:c>
      <x:c r="M3203" t="str"/>
      <x:c r="N3203" t="str"/>
      <x:c r="O3203" t="str">
        <x:v>https://www.activesportstrade.co.uk/Carb-Powders</x:v>
      </x:c>
      <x:c r="P3203" t="str">
        <x:v>Fresh current Carb Powders page used for full visible 2kg exact matrix.</x:v>
      </x:c>
      <x:c r="Q3203" t="str"/>
      <x:c r="R3203" t="str"/>
      <x:c r="S3203" t="str">
        <x:v>Pending genuine supplier/brand image</x:v>
      </x:c>
      <x:c r="T3203" s="54" t="n">
        <x:v>10.99</x:v>
      </x:c>
      <x:c r="U3203" s="47" t="n">
        <x:v>0.2</x:v>
      </x:c>
      <x:c r="V3203" s="54" t="n">
        <x:f>IF(ISNUMBER(T3203),T3203*(1+U3203),"")</x:f>
        <x:v>13.188</x:v>
      </x:c>
      <x:c r="W3203" s="47" t="n">
        <x:v>0.3</x:v>
      </x:c>
      <x:c r="X3203" s="54" t="n">
        <x:f>IF(ISNUMBER(V3203),V3203/(1-W3203),"")</x:f>
        <x:v>18.840000000000003</x:v>
      </x:c>
      <x:c r="Y3203" s="55" t="n">
        <x:f>IF(ISNUMBER(X3203),ROUNDUP(X3203,0),"")</x:f>
        <x:v>19</x:v>
      </x:c>
      <x:c r="Z3203" t="str">
        <x:v>Source match pending</x:v>
      </x:c>
      <x:c r="AA3203" t="str">
        <x:v>screencapture-www-activesportstrade-co-uk-trained-by-jp-trade-2026-09-10-09_10_55.pdf / page-1</x:v>
      </x:c>
      <x:c r="AB3203" s="36" t="n">
        <x:f>IF(ISNUMBER(Y3203),ROUND(Y3203*0.9,2),"")</x:f>
        <x:v>17.1</x:v>
      </x:c>
      <x:c r="AC3203" s="36" t="n">
        <x:f>IF(ISNUMBER(AB3203),ROUND(AB3203-(AB3203*0.015+0.2)-V3203,2),"")</x:f>
        <x:v>3.46</x:v>
      </x:c>
      <x:c r="AD3203" s="36" t="n">
        <x:f>IF(ISNUMBER(Y3203),ROUND(Y3203*0.8,2),"")</x:f>
        <x:v>15.2</x:v>
      </x:c>
      <x:c r="AE3203" s="36" t="n">
        <x:f>IF(ISNUMBER(AD3203),ROUND(AD3203*0.015+0.2,2),"")</x:f>
        <x:v>0.43</x:v>
      </x:c>
      <x:c r="AF3203" s="36" t="n">
        <x:f>IF(ISNUMBER(AD3203),ROUND(AD3203-AE3203-V3203,2),"")</x:f>
        <x:v>1.58</x:v>
      </x:c>
      <x:c r="AG3203" t="str">
        <x:f>IF(NOT(ISNUMBER(T3203)),"PENDING",IF(AF3203&gt;0,"PASS","FAIL"))</x:f>
        <x:v>PASS</x:v>
      </x:c>
      <x:c r="AH3203" t="str">
        <x:f>IF(NOT(ISNUMBER(T3203)),"Needs supplier cost",IF(K3203&lt;&gt;"In stock","Supplier unavailable",IF(AG3203&lt;&gt;"PASS","BLOCK - GT loss risk","Commercially protected")))</x:f>
        <x:v>Commercially protected</x:v>
      </x:c>
      <x:c r="AI3203" t="str">
        <x:v>2026-09-10 Active Sports trade capture</x:v>
      </x:c>
      <x:c r="AJ3203" t="str">
        <x:v>Management-only economics. Stripe stress test uses 1.5% + £0.20 standard UK online-card fee; pallet/mix-and-match pricing ignored.</x:v>
      </x:c>
    </x:row>
    <x:row r="3204">
      <x:c r="A3204" t="str">
        <x:v>Active Sports Nutrition</x:v>
      </x:c>
      <x:c r="B3204" t="str">
        <x:v>Trained By JP</x:v>
      </x:c>
      <x:c r="C3204" t="str">
        <x:v>Cream of Rice</x:v>
      </x:c>
      <x:c r="D3204" t="str">
        <x:v>Food &amp; Drinks</x:v>
      </x:c>
      <x:c r="E3204" t="str">
        <x:v>High Protein Foods</x:v>
      </x:c>
      <x:c r="F3204" t="str"/>
      <x:c r="G3204" t="str">
        <x:v>2kg</x:v>
      </x:c>
      <x:c r="H3204" t="str">
        <x:v>Triple Chocolate</x:v>
      </x:c>
      <x:c r="I3204" t="str"/>
      <x:c r="J3204" t="str">
        <x:v>Unit</x:v>
      </x:c>
      <x:c r="K3204" t="str">
        <x:v>Out of stock</x:v>
      </x:c>
      <x:c r="L3204" t="str">
        <x:v>2026-09-08</x:v>
      </x:c>
      <x:c r="M3204" t="str"/>
      <x:c r="N3204" t="str"/>
      <x:c r="O3204" t="str">
        <x:v>https://www.activesportstrade.co.uk/Carb-Powders</x:v>
      </x:c>
      <x:c r="P3204" t="str">
        <x:v>Fresh current Carb Powders page used for full visible 2kg exact matrix.</x:v>
      </x:c>
      <x:c r="Q3204" t="str"/>
      <x:c r="R3204" t="str"/>
      <x:c r="S3204" t="str">
        <x:v>Pending genuine supplier/brand image</x:v>
      </x:c>
      <x:c r="T3204" s="54" t="n">
        <x:v>10.99</x:v>
      </x:c>
      <x:c r="U3204" s="47" t="n">
        <x:v>0.2</x:v>
      </x:c>
      <x:c r="V3204" s="54" t="n">
        <x:f>IF(ISNUMBER(T3204),T3204*(1+U3204),"")</x:f>
        <x:v>13.188</x:v>
      </x:c>
      <x:c r="W3204" s="47" t="n">
        <x:v>0.3</x:v>
      </x:c>
      <x:c r="X3204" s="54" t="n">
        <x:f>IF(ISNUMBER(V3204),V3204/(1-W3204),"")</x:f>
        <x:v>18.840000000000003</x:v>
      </x:c>
      <x:c r="Y3204" s="55" t="n">
        <x:f>IF(ISNUMBER(X3204),ROUNDUP(X3204,0),"")</x:f>
        <x:v>19</x:v>
      </x:c>
      <x:c r="Z3204" t="str">
        <x:v>Source match pending</x:v>
      </x:c>
      <x:c r="AA3204" t="str">
        <x:v>screencapture-www-activesportstrade-co-uk-trained-by-jp-trade-2026-09-10-09_10_55.pdf / page-1</x:v>
      </x:c>
      <x:c r="AB3204" s="36" t="n">
        <x:f>IF(ISNUMBER(Y3204),ROUND(Y3204*0.9,2),"")</x:f>
        <x:v>17.1</x:v>
      </x:c>
      <x:c r="AC3204" s="36" t="n">
        <x:f>IF(ISNUMBER(AB3204),ROUND(AB3204-(AB3204*0.015+0.2)-V3204,2),"")</x:f>
        <x:v>3.46</x:v>
      </x:c>
      <x:c r="AD3204" s="36" t="n">
        <x:f>IF(ISNUMBER(Y3204),ROUND(Y3204*0.8,2),"")</x:f>
        <x:v>15.2</x:v>
      </x:c>
      <x:c r="AE3204" s="36" t="n">
        <x:f>IF(ISNUMBER(AD3204),ROUND(AD3204*0.015+0.2,2),"")</x:f>
        <x:v>0.43</x:v>
      </x:c>
      <x:c r="AF3204" s="36" t="n">
        <x:f>IF(ISNUMBER(AD3204),ROUND(AD3204-AE3204-V3204,2),"")</x:f>
        <x:v>1.58</x:v>
      </x:c>
      <x:c r="AG3204" t="str">
        <x:f>IF(NOT(ISNUMBER(T3204)),"PENDING",IF(AF3204&gt;0,"PASS","FAIL"))</x:f>
        <x:v>PASS</x:v>
      </x:c>
      <x:c r="AH3204" t="str">
        <x:f>IF(NOT(ISNUMBER(T3204)),"Needs supplier cost",IF(K3204&lt;&gt;"In stock","Supplier unavailable",IF(AG3204&lt;&gt;"PASS","BLOCK - GT loss risk","Commercially protected")))</x:f>
        <x:v>Supplier unavailable</x:v>
      </x:c>
      <x:c r="AI3204" t="str">
        <x:v>2026-09-10 Active Sports trade capture</x:v>
      </x:c>
      <x:c r="AJ3204" t="str">
        <x:v>Management-only economics. Stripe stress test uses 1.5% + £0.20 standard UK online-card fee; pallet/mix-and-match pricing ignored.</x:v>
      </x:c>
    </x:row>
    <x:row r="3205">
      <x:c r="A3205" t="str">
        <x:v>Active Sports Nutrition</x:v>
      </x:c>
      <x:c r="B3205" t="str">
        <x:v>Trained By JP</x:v>
      </x:c>
      <x:c r="C3205" t="str">
        <x:v>Cream of Rice</x:v>
      </x:c>
      <x:c r="D3205" t="str">
        <x:v>Food &amp; Drinks</x:v>
      </x:c>
      <x:c r="E3205" t="str">
        <x:v>High Protein Foods</x:v>
      </x:c>
      <x:c r="F3205" t="str"/>
      <x:c r="G3205" t="str">
        <x:v>2kg</x:v>
      </x:c>
      <x:c r="H3205" t="str">
        <x:v>White Chocolate Coconut</x:v>
      </x:c>
      <x:c r="I3205" t="str"/>
      <x:c r="J3205" t="str">
        <x:v>Unit</x:v>
      </x:c>
      <x:c r="K3205" t="str">
        <x:v>Out of stock</x:v>
      </x:c>
      <x:c r="L3205" t="str">
        <x:v>2026-09-08</x:v>
      </x:c>
      <x:c r="M3205" t="str"/>
      <x:c r="N3205" t="str"/>
      <x:c r="O3205" t="str">
        <x:v>https://www.activesportstrade.co.uk/Carb-Powders</x:v>
      </x:c>
      <x:c r="P3205" t="str">
        <x:v>Fresh current Carb Powders page used for full visible 2kg exact matrix.</x:v>
      </x:c>
      <x:c r="Q3205" t="str"/>
      <x:c r="R3205" t="str"/>
      <x:c r="S3205" t="str">
        <x:v>Pending genuine supplier/brand image</x:v>
      </x:c>
      <x:c r="T3205" s="54" t="n">
        <x:v>10.99</x:v>
      </x:c>
      <x:c r="U3205" s="47" t="n">
        <x:v>0.2</x:v>
      </x:c>
      <x:c r="V3205" s="54" t="n">
        <x:f>IF(ISNUMBER(T3205),T3205*(1+U3205),"")</x:f>
        <x:v>13.188</x:v>
      </x:c>
      <x:c r="W3205" s="47" t="n">
        <x:v>0.3</x:v>
      </x:c>
      <x:c r="X3205" s="54" t="n">
        <x:f>IF(ISNUMBER(V3205),V3205/(1-W3205),"")</x:f>
        <x:v>18.840000000000003</x:v>
      </x:c>
      <x:c r="Y3205" s="55" t="n">
        <x:f>IF(ISNUMBER(X3205),ROUNDUP(X3205,0),"")</x:f>
        <x:v>19</x:v>
      </x:c>
      <x:c r="Z3205" t="str">
        <x:v>Source match pending</x:v>
      </x:c>
      <x:c r="AA3205" t="str">
        <x:v>screencapture-www-activesportstrade-co-uk-trained-by-jp-trade-2026-09-10-09_10_55.pdf / page-1</x:v>
      </x:c>
      <x:c r="AB3205" s="36" t="n">
        <x:f>IF(ISNUMBER(Y3205),ROUND(Y3205*0.9,2),"")</x:f>
        <x:v>17.1</x:v>
      </x:c>
      <x:c r="AC3205" s="36" t="n">
        <x:f>IF(ISNUMBER(AB3205),ROUND(AB3205-(AB3205*0.015+0.2)-V3205,2),"")</x:f>
        <x:v>3.46</x:v>
      </x:c>
      <x:c r="AD3205" s="36" t="n">
        <x:f>IF(ISNUMBER(Y3205),ROUND(Y3205*0.8,2),"")</x:f>
        <x:v>15.2</x:v>
      </x:c>
      <x:c r="AE3205" s="36" t="n">
        <x:f>IF(ISNUMBER(AD3205),ROUND(AD3205*0.015+0.2,2),"")</x:f>
        <x:v>0.43</x:v>
      </x:c>
      <x:c r="AF3205" s="36" t="n">
        <x:f>IF(ISNUMBER(AD3205),ROUND(AD3205-AE3205-V3205,2),"")</x:f>
        <x:v>1.58</x:v>
      </x:c>
      <x:c r="AG3205" t="str">
        <x:f>IF(NOT(ISNUMBER(T3205)),"PENDING",IF(AF3205&gt;0,"PASS","FAIL"))</x:f>
        <x:v>PASS</x:v>
      </x:c>
      <x:c r="AH3205" t="str">
        <x:f>IF(NOT(ISNUMBER(T3205)),"Needs supplier cost",IF(K3205&lt;&gt;"In stock","Supplier unavailable",IF(AG3205&lt;&gt;"PASS","BLOCK - GT loss risk","Commercially protected")))</x:f>
        <x:v>Supplier unavailable</x:v>
      </x:c>
      <x:c r="AI3205" t="str">
        <x:v>2026-09-10 Active Sports trade capture</x:v>
      </x:c>
      <x:c r="AJ3205" t="str">
        <x:v>Management-only economics. Stripe stress test uses 1.5% + £0.20 standard UK online-card fee; pallet/mix-and-match pricing ignored.</x:v>
      </x:c>
    </x:row>
    <x:row r="3206">
      <x:c r="A3206" t="str">
        <x:v>Active Sports Nutrition</x:v>
      </x:c>
      <x:c r="B3206" t="str">
        <x:v>Trained By JP</x:v>
      </x:c>
      <x:c r="C3206" t="str">
        <x:v>Oats So Creamy</x:v>
      </x:c>
      <x:c r="D3206" t="str">
        <x:v>Food &amp; Drinks</x:v>
      </x:c>
      <x:c r="E3206" t="str">
        <x:v>Oats / Breakfast</x:v>
      </x:c>
      <x:c r="F3206" t="str"/>
      <x:c r="G3206" t="str">
        <x:v>2kg</x:v>
      </x:c>
      <x:c r="H3206" t="str">
        <x:v>Caramel Biscuit</x:v>
      </x:c>
      <x:c r="I3206" t="str"/>
      <x:c r="J3206" t="str">
        <x:v>Unit</x:v>
      </x:c>
      <x:c r="K3206" t="str">
        <x:v>In stock</x:v>
      </x:c>
      <x:c r="L3206" t="str">
        <x:v>2026-09-08</x:v>
      </x:c>
      <x:c r="M3206" t="str"/>
      <x:c r="N3206" t="str"/>
      <x:c r="O3206" t="str">
        <x:v>https://www.activesportstrade.co.uk/Carb-Powders</x:v>
      </x:c>
      <x:c r="P3206" t="str"/>
      <x:c r="Q3206" t="str"/>
      <x:c r="R3206" t="str"/>
      <x:c r="S3206" t="str">
        <x:v>Pending genuine supplier/brand image</x:v>
      </x:c>
      <x:c r="T3206" s="54" t="n">
        <x:v>12.5</x:v>
      </x:c>
      <x:c r="U3206" s="47" t="n">
        <x:v>0.2</x:v>
      </x:c>
      <x:c r="V3206" s="54" t="n">
        <x:f>IF(ISNUMBER(T3206),T3206*(1+U3206),"")</x:f>
        <x:v>15</x:v>
      </x:c>
      <x:c r="W3206" s="47" t="n">
        <x:v>0.3</x:v>
      </x:c>
      <x:c r="X3206" s="54" t="n">
        <x:f>IF(ISNUMBER(V3206),V3206/(1-W3206),"")</x:f>
        <x:v>21.42857142857143</x:v>
      </x:c>
      <x:c r="Y3206" s="55" t="n">
        <x:f>IF(ISNUMBER(X3206),ROUNDUP(X3206,0),"")</x:f>
        <x:v>22</x:v>
      </x:c>
      <x:c r="Z3206" t="str">
        <x:v>Source match pending</x:v>
      </x:c>
      <x:c r="AA3206" t="str">
        <x:v>screencapture-www-activesportstrade-co-uk-trained-by-jp-trade-2026-09-10-09_10_55.pdf / page-5</x:v>
      </x:c>
      <x:c r="AB3206" s="36" t="n">
        <x:f>IF(ISNUMBER(Y3206),ROUND(Y3206*0.9,2),"")</x:f>
        <x:v>19.8</x:v>
      </x:c>
      <x:c r="AC3206" s="36" t="n">
        <x:f>IF(ISNUMBER(AB3206),ROUND(AB3206-(AB3206*0.015+0.2)-V3206,2),"")</x:f>
        <x:v>4.3</x:v>
      </x:c>
      <x:c r="AD3206" s="36" t="n">
        <x:f>IF(ISNUMBER(Y3206),ROUND(Y3206*0.8,2),"")</x:f>
        <x:v>17.6</x:v>
      </x:c>
      <x:c r="AE3206" s="36" t="n">
        <x:f>IF(ISNUMBER(AD3206),ROUND(AD3206*0.015+0.2,2),"")</x:f>
        <x:v>0.46</x:v>
      </x:c>
      <x:c r="AF3206" s="36" t="n">
        <x:f>IF(ISNUMBER(AD3206),ROUND(AD3206-AE3206-V3206,2),"")</x:f>
        <x:v>2.14</x:v>
      </x:c>
      <x:c r="AG3206" t="str">
        <x:f>IF(NOT(ISNUMBER(T3206)),"PENDING",IF(AF3206&gt;0,"PASS","FAIL"))</x:f>
        <x:v>PASS</x:v>
      </x:c>
      <x:c r="AH3206" t="str">
        <x:f>IF(NOT(ISNUMBER(T3206)),"Needs supplier cost",IF(K3206&lt;&gt;"In stock","Supplier unavailable",IF(AG3206&lt;&gt;"PASS","BLOCK - GT loss risk","Commercially protected")))</x:f>
        <x:v>Commercially protected</x:v>
      </x:c>
      <x:c r="AI3206" t="str">
        <x:v>2026-09-10 Active Sports trade capture</x:v>
      </x:c>
      <x:c r="AJ3206" t="str">
        <x:v>Management-only economics. Stripe stress test uses 1.5% + £0.20 standard UK online-card fee; pallet/mix-and-match pricing ignored.</x:v>
      </x:c>
    </x:row>
    <x:row r="3207">
      <x:c r="A3207" t="str">
        <x:v>Active Sports Nutrition</x:v>
      </x:c>
      <x:c r="B3207" t="str">
        <x:v>Trained By JP</x:v>
      </x:c>
      <x:c r="C3207" t="str">
        <x:v>Oats So Creamy</x:v>
      </x:c>
      <x:c r="D3207" t="str">
        <x:v>Food &amp; Drinks</x:v>
      </x:c>
      <x:c r="E3207" t="str">
        <x:v>Oats / Breakfast</x:v>
      </x:c>
      <x:c r="F3207" t="str"/>
      <x:c r="G3207" t="str">
        <x:v>2kg</x:v>
      </x:c>
      <x:c r="H3207" t="str">
        <x:v>Choc Fudge</x:v>
      </x:c>
      <x:c r="I3207" t="str"/>
      <x:c r="J3207" t="str">
        <x:v>Unit</x:v>
      </x:c>
      <x:c r="K3207" t="str">
        <x:v>In stock</x:v>
      </x:c>
      <x:c r="L3207" t="str">
        <x:v>2026-09-08</x:v>
      </x:c>
      <x:c r="M3207" t="str"/>
      <x:c r="N3207" t="str"/>
      <x:c r="O3207" t="str">
        <x:v>https://www.activesportstrade.co.uk/Carb-Powders</x:v>
      </x:c>
      <x:c r="P3207" t="str"/>
      <x:c r="Q3207" t="str"/>
      <x:c r="R3207" t="str"/>
      <x:c r="S3207" t="str">
        <x:v>Pending genuine supplier/brand image</x:v>
      </x:c>
      <x:c r="T3207" s="54" t="n">
        <x:v>12.5</x:v>
      </x:c>
      <x:c r="U3207" s="47" t="n">
        <x:v>0.2</x:v>
      </x:c>
      <x:c r="V3207" s="54" t="n">
        <x:f>IF(ISNUMBER(T3207),T3207*(1+U3207),"")</x:f>
        <x:v>15</x:v>
      </x:c>
      <x:c r="W3207" s="47" t="n">
        <x:v>0.3</x:v>
      </x:c>
      <x:c r="X3207" s="54" t="n">
        <x:f>IF(ISNUMBER(V3207),V3207/(1-W3207),"")</x:f>
        <x:v>21.42857142857143</x:v>
      </x:c>
      <x:c r="Y3207" s="55" t="n">
        <x:f>IF(ISNUMBER(X3207),ROUNDUP(X3207,0),"")</x:f>
        <x:v>22</x:v>
      </x:c>
      <x:c r="Z3207" t="str">
        <x:v>Source match pending</x:v>
      </x:c>
      <x:c r="AA3207" t="str">
        <x:v>screencapture-www-activesportstrade-co-uk-trained-by-jp-trade-2026-09-10-09_10_55.pdf / page-5</x:v>
      </x:c>
      <x:c r="AB3207" s="36" t="n">
        <x:f>IF(ISNUMBER(Y3207),ROUND(Y3207*0.9,2),"")</x:f>
        <x:v>19.8</x:v>
      </x:c>
      <x:c r="AC3207" s="36" t="n">
        <x:f>IF(ISNUMBER(AB3207),ROUND(AB3207-(AB3207*0.015+0.2)-V3207,2),"")</x:f>
        <x:v>4.3</x:v>
      </x:c>
      <x:c r="AD3207" s="36" t="n">
        <x:f>IF(ISNUMBER(Y3207),ROUND(Y3207*0.8,2),"")</x:f>
        <x:v>17.6</x:v>
      </x:c>
      <x:c r="AE3207" s="36" t="n">
        <x:f>IF(ISNUMBER(AD3207),ROUND(AD3207*0.015+0.2,2),"")</x:f>
        <x:v>0.46</x:v>
      </x:c>
      <x:c r="AF3207" s="36" t="n">
        <x:f>IF(ISNUMBER(AD3207),ROUND(AD3207-AE3207-V3207,2),"")</x:f>
        <x:v>2.14</x:v>
      </x:c>
      <x:c r="AG3207" t="str">
        <x:f>IF(NOT(ISNUMBER(T3207)),"PENDING",IF(AF3207&gt;0,"PASS","FAIL"))</x:f>
        <x:v>PASS</x:v>
      </x:c>
      <x:c r="AH3207" t="str">
        <x:f>IF(NOT(ISNUMBER(T3207)),"Needs supplier cost",IF(K3207&lt;&gt;"In stock","Supplier unavailable",IF(AG3207&lt;&gt;"PASS","BLOCK - GT loss risk","Commercially protected")))</x:f>
        <x:v>Commercially protected</x:v>
      </x:c>
      <x:c r="AI3207" t="str">
        <x:v>2026-09-10 Active Sports trade capture</x:v>
      </x:c>
      <x:c r="AJ3207" t="str">
        <x:v>Management-only economics. Stripe stress test uses 1.5% + £0.20 standard UK online-card fee; pallet/mix-and-match pricing ignored.</x:v>
      </x:c>
    </x:row>
    <x:row r="3208">
      <x:c r="A3208" t="str">
        <x:v>Active Sports Nutrition</x:v>
      </x:c>
      <x:c r="B3208" t="str">
        <x:v>Trained By JP</x:v>
      </x:c>
      <x:c r="C3208" t="str">
        <x:v>Oats So Creamy</x:v>
      </x:c>
      <x:c r="D3208" t="str">
        <x:v>Food &amp; Drinks</x:v>
      </x:c>
      <x:c r="E3208" t="str">
        <x:v>Oats / Breakfast</x:v>
      </x:c>
      <x:c r="F3208" t="str"/>
      <x:c r="G3208" t="str">
        <x:v>2kg</x:v>
      </x:c>
      <x:c r="H3208" t="str">
        <x:v>Cookies &amp; Cream</x:v>
      </x:c>
      <x:c r="I3208" t="str"/>
      <x:c r="J3208" t="str">
        <x:v>Unit</x:v>
      </x:c>
      <x:c r="K3208" t="str">
        <x:v>In stock</x:v>
      </x:c>
      <x:c r="L3208" t="str">
        <x:v>2026-09-08</x:v>
      </x:c>
      <x:c r="M3208" t="str"/>
      <x:c r="N3208" t="str"/>
      <x:c r="O3208" t="str">
        <x:v>https://www.activesportstrade.co.uk/Carb-Powders</x:v>
      </x:c>
      <x:c r="P3208" t="str"/>
      <x:c r="Q3208" t="str"/>
      <x:c r="R3208" t="str"/>
      <x:c r="S3208" t="str">
        <x:v>Pending genuine supplier/brand image</x:v>
      </x:c>
      <x:c r="T3208" s="54" t="n">
        <x:v>12.5</x:v>
      </x:c>
      <x:c r="U3208" s="47" t="n">
        <x:v>0.2</x:v>
      </x:c>
      <x:c r="V3208" s="54" t="n">
        <x:f>IF(ISNUMBER(T3208),T3208*(1+U3208),"")</x:f>
        <x:v>15</x:v>
      </x:c>
      <x:c r="W3208" s="47" t="n">
        <x:v>0.3</x:v>
      </x:c>
      <x:c r="X3208" s="54" t="n">
        <x:f>IF(ISNUMBER(V3208),V3208/(1-W3208),"")</x:f>
        <x:v>21.42857142857143</x:v>
      </x:c>
      <x:c r="Y3208" s="55" t="n">
        <x:f>IF(ISNUMBER(X3208),ROUNDUP(X3208,0),"")</x:f>
        <x:v>22</x:v>
      </x:c>
      <x:c r="Z3208" t="str">
        <x:v>Source match pending</x:v>
      </x:c>
      <x:c r="AA3208" t="str">
        <x:v>screencapture-www-activesportstrade-co-uk-trained-by-jp-trade-2026-09-10-09_10_55.pdf / page-5</x:v>
      </x:c>
      <x:c r="AB3208" s="36" t="n">
        <x:f>IF(ISNUMBER(Y3208),ROUND(Y3208*0.9,2),"")</x:f>
        <x:v>19.8</x:v>
      </x:c>
      <x:c r="AC3208" s="36" t="n">
        <x:f>IF(ISNUMBER(AB3208),ROUND(AB3208-(AB3208*0.015+0.2)-V3208,2),"")</x:f>
        <x:v>4.3</x:v>
      </x:c>
      <x:c r="AD3208" s="36" t="n">
        <x:f>IF(ISNUMBER(Y3208),ROUND(Y3208*0.8,2),"")</x:f>
        <x:v>17.6</x:v>
      </x:c>
      <x:c r="AE3208" s="36" t="n">
        <x:f>IF(ISNUMBER(AD3208),ROUND(AD3208*0.015+0.2,2),"")</x:f>
        <x:v>0.46</x:v>
      </x:c>
      <x:c r="AF3208" s="36" t="n">
        <x:f>IF(ISNUMBER(AD3208),ROUND(AD3208-AE3208-V3208,2),"")</x:f>
        <x:v>2.14</x:v>
      </x:c>
      <x:c r="AG3208" t="str">
        <x:f>IF(NOT(ISNUMBER(T3208)),"PENDING",IF(AF3208&gt;0,"PASS","FAIL"))</x:f>
        <x:v>PASS</x:v>
      </x:c>
      <x:c r="AH3208" t="str">
        <x:f>IF(NOT(ISNUMBER(T3208)),"Needs supplier cost",IF(K3208&lt;&gt;"In stock","Supplier unavailable",IF(AG3208&lt;&gt;"PASS","BLOCK - GT loss risk","Commercially protected")))</x:f>
        <x:v>Commercially protected</x:v>
      </x:c>
      <x:c r="AI3208" t="str">
        <x:v>2026-09-10 Active Sports trade capture</x:v>
      </x:c>
      <x:c r="AJ3208" t="str">
        <x:v>Management-only economics. Stripe stress test uses 1.5% + £0.20 standard UK online-card fee; pallet/mix-and-match pricing ignored.</x:v>
      </x:c>
    </x:row>
    <x:row r="3209">
      <x:c r="A3209" t="str">
        <x:v>Active Sports Nutrition</x:v>
      </x:c>
      <x:c r="B3209" t="str">
        <x:v>Trained By JP</x:v>
      </x:c>
      <x:c r="C3209" t="str">
        <x:v>Oats So Creamy</x:v>
      </x:c>
      <x:c r="D3209" t="str">
        <x:v>Food &amp; Drinks</x:v>
      </x:c>
      <x:c r="E3209" t="str">
        <x:v>Oats / Breakfast</x:v>
      </x:c>
      <x:c r="F3209" t="str"/>
      <x:c r="G3209" t="str">
        <x:v>2kg</x:v>
      </x:c>
      <x:c r="H3209" t="str">
        <x:v>Custard Cream</x:v>
      </x:c>
      <x:c r="I3209" t="str"/>
      <x:c r="J3209" t="str">
        <x:v>Unit</x:v>
      </x:c>
      <x:c r="K3209" t="str">
        <x:v>In stock</x:v>
      </x:c>
      <x:c r="L3209" t="str">
        <x:v>2026-09-08</x:v>
      </x:c>
      <x:c r="M3209" t="str"/>
      <x:c r="N3209" t="str"/>
      <x:c r="O3209" t="str">
        <x:v>https://www.activesportstrade.co.uk/Carb-Powders</x:v>
      </x:c>
      <x:c r="P3209" t="str"/>
      <x:c r="Q3209" t="str"/>
      <x:c r="R3209" t="str"/>
      <x:c r="S3209" t="str">
        <x:v>Pending genuine supplier/brand image</x:v>
      </x:c>
      <x:c r="T3209" s="54" t="n">
        <x:v>12.5</x:v>
      </x:c>
      <x:c r="U3209" s="47" t="n">
        <x:v>0.2</x:v>
      </x:c>
      <x:c r="V3209" s="54" t="n">
        <x:f>IF(ISNUMBER(T3209),T3209*(1+U3209),"")</x:f>
        <x:v>15</x:v>
      </x:c>
      <x:c r="W3209" s="47" t="n">
        <x:v>0.3</x:v>
      </x:c>
      <x:c r="X3209" s="54" t="n">
        <x:f>IF(ISNUMBER(V3209),V3209/(1-W3209),"")</x:f>
        <x:v>21.42857142857143</x:v>
      </x:c>
      <x:c r="Y3209" s="55" t="n">
        <x:f>IF(ISNUMBER(X3209),ROUNDUP(X3209,0),"")</x:f>
        <x:v>22</x:v>
      </x:c>
      <x:c r="Z3209" t="str">
        <x:v>Source match pending</x:v>
      </x:c>
      <x:c r="AA3209" t="str">
        <x:v>screencapture-www-activesportstrade-co-uk-trained-by-jp-trade-2026-09-10-09_10_55.pdf / page-5</x:v>
      </x:c>
      <x:c r="AB3209" s="36" t="n">
        <x:f>IF(ISNUMBER(Y3209),ROUND(Y3209*0.9,2),"")</x:f>
        <x:v>19.8</x:v>
      </x:c>
      <x:c r="AC3209" s="36" t="n">
        <x:f>IF(ISNUMBER(AB3209),ROUND(AB3209-(AB3209*0.015+0.2)-V3209,2),"")</x:f>
        <x:v>4.3</x:v>
      </x:c>
      <x:c r="AD3209" s="36" t="n">
        <x:f>IF(ISNUMBER(Y3209),ROUND(Y3209*0.8,2),"")</x:f>
        <x:v>17.6</x:v>
      </x:c>
      <x:c r="AE3209" s="36" t="n">
        <x:f>IF(ISNUMBER(AD3209),ROUND(AD3209*0.015+0.2,2),"")</x:f>
        <x:v>0.46</x:v>
      </x:c>
      <x:c r="AF3209" s="36" t="n">
        <x:f>IF(ISNUMBER(AD3209),ROUND(AD3209-AE3209-V3209,2),"")</x:f>
        <x:v>2.14</x:v>
      </x:c>
      <x:c r="AG3209" t="str">
        <x:f>IF(NOT(ISNUMBER(T3209)),"PENDING",IF(AF3209&gt;0,"PASS","FAIL"))</x:f>
        <x:v>PASS</x:v>
      </x:c>
      <x:c r="AH3209" t="str">
        <x:f>IF(NOT(ISNUMBER(T3209)),"Needs supplier cost",IF(K3209&lt;&gt;"In stock","Supplier unavailable",IF(AG3209&lt;&gt;"PASS","BLOCK - GT loss risk","Commercially protected")))</x:f>
        <x:v>Commercially protected</x:v>
      </x:c>
      <x:c r="AI3209" t="str">
        <x:v>2026-09-10 Active Sports trade capture</x:v>
      </x:c>
      <x:c r="AJ3209" t="str">
        <x:v>Management-only economics. Stripe stress test uses 1.5% + £0.20 standard UK online-card fee; pallet/mix-and-match pricing ignored.</x:v>
      </x:c>
    </x:row>
    <x:row r="3210">
      <x:c r="A3210" t="str">
        <x:v>Active Sports Nutrition</x:v>
      </x:c>
      <x:c r="B3210" t="str">
        <x:v>Trained By JP</x:v>
      </x:c>
      <x:c r="C3210" t="str">
        <x:v>Oats So Creamy</x:v>
      </x:c>
      <x:c r="D3210" t="str">
        <x:v>Food &amp; Drinks</x:v>
      </x:c>
      <x:c r="E3210" t="str">
        <x:v>Oats / Breakfast</x:v>
      </x:c>
      <x:c r="F3210" t="str"/>
      <x:c r="G3210" t="str">
        <x:v>2kg</x:v>
      </x:c>
      <x:c r="H3210" t="str">
        <x:v>Milk Choc Salted Caramel</x:v>
      </x:c>
      <x:c r="I3210" t="str"/>
      <x:c r="J3210" t="str">
        <x:v>Unit</x:v>
      </x:c>
      <x:c r="K3210" t="str">
        <x:v>In stock</x:v>
      </x:c>
      <x:c r="L3210" t="str">
        <x:v>2026-09-08</x:v>
      </x:c>
      <x:c r="M3210" t="str"/>
      <x:c r="N3210" t="str"/>
      <x:c r="O3210" t="str">
        <x:v>https://www.activesportstrade.co.uk/Carb-Powders</x:v>
      </x:c>
      <x:c r="P3210" t="str"/>
      <x:c r="Q3210" t="str"/>
      <x:c r="R3210" t="str"/>
      <x:c r="S3210" t="str">
        <x:v>Pending genuine supplier/brand image</x:v>
      </x:c>
      <x:c r="T3210" s="54" t="n">
        <x:v>12.5</x:v>
      </x:c>
      <x:c r="U3210" s="47" t="n">
        <x:v>0.2</x:v>
      </x:c>
      <x:c r="V3210" s="54" t="n">
        <x:f>IF(ISNUMBER(T3210),T3210*(1+U3210),"")</x:f>
        <x:v>15</x:v>
      </x:c>
      <x:c r="W3210" s="47" t="n">
        <x:v>0.3</x:v>
      </x:c>
      <x:c r="X3210" s="54" t="n">
        <x:f>IF(ISNUMBER(V3210),V3210/(1-W3210),"")</x:f>
        <x:v>21.42857142857143</x:v>
      </x:c>
      <x:c r="Y3210" s="55" t="n">
        <x:f>IF(ISNUMBER(X3210),ROUNDUP(X3210,0),"")</x:f>
        <x:v>22</x:v>
      </x:c>
      <x:c r="Z3210" t="str">
        <x:v>Source match pending</x:v>
      </x:c>
      <x:c r="AA3210" t="str">
        <x:v>screencapture-www-activesportstrade-co-uk-trained-by-jp-trade-2026-09-10-09_10_55.pdf / page-5</x:v>
      </x:c>
      <x:c r="AB3210" s="36" t="n">
        <x:f>IF(ISNUMBER(Y3210),ROUND(Y3210*0.9,2),"")</x:f>
        <x:v>19.8</x:v>
      </x:c>
      <x:c r="AC3210" s="36" t="n">
        <x:f>IF(ISNUMBER(AB3210),ROUND(AB3210-(AB3210*0.015+0.2)-V3210,2),"")</x:f>
        <x:v>4.3</x:v>
      </x:c>
      <x:c r="AD3210" s="36" t="n">
        <x:f>IF(ISNUMBER(Y3210),ROUND(Y3210*0.8,2),"")</x:f>
        <x:v>17.6</x:v>
      </x:c>
      <x:c r="AE3210" s="36" t="n">
        <x:f>IF(ISNUMBER(AD3210),ROUND(AD3210*0.015+0.2,2),"")</x:f>
        <x:v>0.46</x:v>
      </x:c>
      <x:c r="AF3210" s="36" t="n">
        <x:f>IF(ISNUMBER(AD3210),ROUND(AD3210-AE3210-V3210,2),"")</x:f>
        <x:v>2.14</x:v>
      </x:c>
      <x:c r="AG3210" t="str">
        <x:f>IF(NOT(ISNUMBER(T3210)),"PENDING",IF(AF3210&gt;0,"PASS","FAIL"))</x:f>
        <x:v>PASS</x:v>
      </x:c>
      <x:c r="AH3210" t="str">
        <x:f>IF(NOT(ISNUMBER(T3210)),"Needs supplier cost",IF(K3210&lt;&gt;"In stock","Supplier unavailable",IF(AG3210&lt;&gt;"PASS","BLOCK - GT loss risk","Commercially protected")))</x:f>
        <x:v>Commercially protected</x:v>
      </x:c>
      <x:c r="AI3210" t="str">
        <x:v>2026-09-10 Active Sports trade capture</x:v>
      </x:c>
      <x:c r="AJ3210" t="str">
        <x:v>Management-only economics. Stripe stress test uses 1.5% + £0.20 standard UK online-card fee; pallet/mix-and-match pricing ignored.</x:v>
      </x:c>
    </x:row>
    <x:row r="3211">
      <x:c r="A3211" t="str">
        <x:v>Active Sports Nutrition</x:v>
      </x:c>
      <x:c r="B3211" t="str">
        <x:v>Trained By JP</x:v>
      </x:c>
      <x:c r="C3211" t="str">
        <x:v>Performance Protein</x:v>
      </x:c>
      <x:c r="D3211" t="str">
        <x:v>Supplements</x:v>
      </x:c>
      <x:c r="E3211" t="str">
        <x:v>Whey Protein Blend</x:v>
      </x:c>
      <x:c r="F3211" t="str"/>
      <x:c r="G3211" t="str">
        <x:v>2kg</x:v>
      </x:c>
      <x:c r="H3211" t="str">
        <x:v>Banoffee</x:v>
      </x:c>
      <x:c r="I3211" t="str"/>
      <x:c r="J3211" t="str">
        <x:v>Unit</x:v>
      </x:c>
      <x:c r="K3211" t="str">
        <x:v>In stock</x:v>
      </x:c>
      <x:c r="L3211" t="str">
        <x:v>2026-09-08</x:v>
      </x:c>
      <x:c r="M3211" t="str"/>
      <x:c r="N3211" t="str"/>
      <x:c r="O3211" t="str">
        <x:v>https://www.activesportstrade.co.uk/trained-by-jp-trade</x:v>
      </x:c>
      <x:c r="P3211" t="str"/>
      <x:c r="Q3211" t="str"/>
      <x:c r="R3211" t="str"/>
      <x:c r="S3211" t="str">
        <x:v>Pending genuine supplier/brand image</x:v>
      </x:c>
      <x:c r="T3211" s="54" t="n">
        <x:v>29.5</x:v>
      </x:c>
      <x:c r="U3211" s="47" t="n">
        <x:v>0.2</x:v>
      </x:c>
      <x:c r="V3211" s="54" t="n">
        <x:f>IF(ISNUMBER(T3211),T3211*(1+U3211),"")</x:f>
        <x:v>35.4</x:v>
      </x:c>
      <x:c r="W3211" s="47" t="n">
        <x:v>0.3</x:v>
      </x:c>
      <x:c r="X3211" s="54" t="n">
        <x:f>IF(ISNUMBER(V3211),V3211/(1-W3211),"")</x:f>
        <x:v>50.57142857142857</x:v>
      </x:c>
      <x:c r="Y3211" s="55" t="n">
        <x:f>IF(ISNUMBER(X3211),ROUNDUP(X3211,0),"")</x:f>
        <x:v>51</x:v>
      </x:c>
      <x:c r="Z3211" t="str">
        <x:v>Source match pending</x:v>
      </x:c>
      <x:c r="AA3211" t="str">
        <x:v>screencapture-www-activesportstrade-co-uk-trained-by-jp-trade-2026-09-10-09_10_55.pdf / page-7</x:v>
      </x:c>
      <x:c r="AB3211" s="36" t="n">
        <x:f>IF(ISNUMBER(Y3211),ROUND(Y3211*0.9,2),"")</x:f>
        <x:v>45.9</x:v>
      </x:c>
      <x:c r="AC3211" s="36" t="n">
        <x:f>IF(ISNUMBER(AB3211),ROUND(AB3211-(AB3211*0.015+0.2)-V3211,2),"")</x:f>
        <x:v>9.61</x:v>
      </x:c>
      <x:c r="AD3211" s="36" t="n">
        <x:f>IF(ISNUMBER(Y3211),ROUND(Y3211*0.8,2),"")</x:f>
        <x:v>40.8</x:v>
      </x:c>
      <x:c r="AE3211" s="36" t="n">
        <x:f>IF(ISNUMBER(AD3211),ROUND(AD3211*0.015+0.2,2),"")</x:f>
        <x:v>0.81</x:v>
      </x:c>
      <x:c r="AF3211" s="36" t="n">
        <x:f>IF(ISNUMBER(AD3211),ROUND(AD3211-AE3211-V3211,2),"")</x:f>
        <x:v>4.59</x:v>
      </x:c>
      <x:c r="AG3211" t="str">
        <x:f>IF(NOT(ISNUMBER(T3211)),"PENDING",IF(AF3211&gt;0,"PASS","FAIL"))</x:f>
        <x:v>PASS</x:v>
      </x:c>
      <x:c r="AH3211" t="str">
        <x:f>IF(NOT(ISNUMBER(T3211)),"Needs supplier cost",IF(K3211&lt;&gt;"In stock","Supplier unavailable",IF(AG3211&lt;&gt;"PASS","BLOCK - GT loss risk","Commercially protected")))</x:f>
        <x:v>Commercially protected</x:v>
      </x:c>
      <x:c r="AI3211" t="str">
        <x:v>2026-09-10 Active Sports trade capture</x:v>
      </x:c>
      <x:c r="AJ3211" t="str">
        <x:v>Management-only economics. Stripe stress test uses 1.5% + £0.20 standard UK online-card fee; pallet/mix-and-match pricing ignored.</x:v>
      </x:c>
    </x:row>
    <x:row r="3212">
      <x:c r="A3212" t="str">
        <x:v>Active Sports Nutrition</x:v>
      </x:c>
      <x:c r="B3212" t="str">
        <x:v>Trained By JP</x:v>
      </x:c>
      <x:c r="C3212" t="str">
        <x:v>Performance Protein</x:v>
      </x:c>
      <x:c r="D3212" t="str">
        <x:v>Supplements</x:v>
      </x:c>
      <x:c r="E3212" t="str">
        <x:v>Whey Protein Blend</x:v>
      </x:c>
      <x:c r="F3212" t="str"/>
      <x:c r="G3212" t="str">
        <x:v>2kg</x:v>
      </x:c>
      <x:c r="H3212" t="str">
        <x:v>Blueberry Muffin</x:v>
      </x:c>
      <x:c r="I3212" t="str"/>
      <x:c r="J3212" t="str">
        <x:v>Unit</x:v>
      </x:c>
      <x:c r="K3212" t="str">
        <x:v>In stock</x:v>
      </x:c>
      <x:c r="L3212" t="str">
        <x:v>2026-09-08</x:v>
      </x:c>
      <x:c r="M3212" t="str"/>
      <x:c r="N3212" t="str"/>
      <x:c r="O3212" t="str">
        <x:v>https://www.activesportstrade.co.uk/trained-by-jp-trade</x:v>
      </x:c>
      <x:c r="P3212" t="str"/>
      <x:c r="Q3212" t="str"/>
      <x:c r="R3212" t="str"/>
      <x:c r="S3212" t="str">
        <x:v>Pending genuine supplier/brand image</x:v>
      </x:c>
      <x:c r="T3212" s="54" t="n">
        <x:v>29.5</x:v>
      </x:c>
      <x:c r="U3212" s="47" t="n">
        <x:v>0.2</x:v>
      </x:c>
      <x:c r="V3212" s="54" t="n">
        <x:f>IF(ISNUMBER(T3212),T3212*(1+U3212),"")</x:f>
        <x:v>35.4</x:v>
      </x:c>
      <x:c r="W3212" s="47" t="n">
        <x:v>0.3</x:v>
      </x:c>
      <x:c r="X3212" s="54" t="n">
        <x:f>IF(ISNUMBER(V3212),V3212/(1-W3212),"")</x:f>
        <x:v>50.57142857142857</x:v>
      </x:c>
      <x:c r="Y3212" s="55" t="n">
        <x:f>IF(ISNUMBER(X3212),ROUNDUP(X3212,0),"")</x:f>
        <x:v>51</x:v>
      </x:c>
      <x:c r="Z3212" t="str">
        <x:v>Source match pending</x:v>
      </x:c>
      <x:c r="AA3212" t="str">
        <x:v>screencapture-www-activesportstrade-co-uk-trained-by-jp-trade-2026-09-10-09_10_55.pdf / page-7</x:v>
      </x:c>
      <x:c r="AB3212" s="36" t="n">
        <x:f>IF(ISNUMBER(Y3212),ROUND(Y3212*0.9,2),"")</x:f>
        <x:v>45.9</x:v>
      </x:c>
      <x:c r="AC3212" s="36" t="n">
        <x:f>IF(ISNUMBER(AB3212),ROUND(AB3212-(AB3212*0.015+0.2)-V3212,2),"")</x:f>
        <x:v>9.61</x:v>
      </x:c>
      <x:c r="AD3212" s="36" t="n">
        <x:f>IF(ISNUMBER(Y3212),ROUND(Y3212*0.8,2),"")</x:f>
        <x:v>40.8</x:v>
      </x:c>
      <x:c r="AE3212" s="36" t="n">
        <x:f>IF(ISNUMBER(AD3212),ROUND(AD3212*0.015+0.2,2),"")</x:f>
        <x:v>0.81</x:v>
      </x:c>
      <x:c r="AF3212" s="36" t="n">
        <x:f>IF(ISNUMBER(AD3212),ROUND(AD3212-AE3212-V3212,2),"")</x:f>
        <x:v>4.59</x:v>
      </x:c>
      <x:c r="AG3212" t="str">
        <x:f>IF(NOT(ISNUMBER(T3212)),"PENDING",IF(AF3212&gt;0,"PASS","FAIL"))</x:f>
        <x:v>PASS</x:v>
      </x:c>
      <x:c r="AH3212" t="str">
        <x:f>IF(NOT(ISNUMBER(T3212)),"Needs supplier cost",IF(K3212&lt;&gt;"In stock","Supplier unavailable",IF(AG3212&lt;&gt;"PASS","BLOCK - GT loss risk","Commercially protected")))</x:f>
        <x:v>Commercially protected</x:v>
      </x:c>
      <x:c r="AI3212" t="str">
        <x:v>2026-09-10 Active Sports trade capture</x:v>
      </x:c>
      <x:c r="AJ3212" t="str">
        <x:v>Management-only economics. Stripe stress test uses 1.5% + £0.20 standard UK online-card fee; pallet/mix-and-match pricing ignored.</x:v>
      </x:c>
    </x:row>
    <x:row r="3213">
      <x:c r="A3213" t="str">
        <x:v>Active Sports Nutrition</x:v>
      </x:c>
      <x:c r="B3213" t="str">
        <x:v>Trained By JP</x:v>
      </x:c>
      <x:c r="C3213" t="str">
        <x:v>Performance Protein</x:v>
      </x:c>
      <x:c r="D3213" t="str">
        <x:v>Supplements</x:v>
      </x:c>
      <x:c r="E3213" t="str">
        <x:v>Whey Protein Blend</x:v>
      </x:c>
      <x:c r="F3213" t="str"/>
      <x:c r="G3213" t="str">
        <x:v>2kg</x:v>
      </x:c>
      <x:c r="H3213" t="str">
        <x:v>Caramel Biscuit</x:v>
      </x:c>
      <x:c r="I3213" t="str"/>
      <x:c r="J3213" t="str">
        <x:v>Unit</x:v>
      </x:c>
      <x:c r="K3213" t="str">
        <x:v>Out of stock</x:v>
      </x:c>
      <x:c r="L3213" t="str">
        <x:v>2026-09-08</x:v>
      </x:c>
      <x:c r="M3213" t="str"/>
      <x:c r="N3213" t="str"/>
      <x:c r="O3213" t="str">
        <x:v>https://www.activesportstrade.co.uk/trained-by-jp-trade</x:v>
      </x:c>
      <x:c r="P3213" t="str"/>
      <x:c r="Q3213" t="str"/>
      <x:c r="R3213" t="str"/>
      <x:c r="S3213" t="str">
        <x:v>Pending genuine supplier/brand image</x:v>
      </x:c>
      <x:c r="T3213" s="54" t="n">
        <x:v>29.5</x:v>
      </x:c>
      <x:c r="U3213" s="47" t="n">
        <x:v>0.2</x:v>
      </x:c>
      <x:c r="V3213" s="54" t="n">
        <x:f>IF(ISNUMBER(T3213),T3213*(1+U3213),"")</x:f>
        <x:v>35.4</x:v>
      </x:c>
      <x:c r="W3213" s="47" t="n">
        <x:v>0.3</x:v>
      </x:c>
      <x:c r="X3213" s="54" t="n">
        <x:f>IF(ISNUMBER(V3213),V3213/(1-W3213),"")</x:f>
        <x:v>50.57142857142857</x:v>
      </x:c>
      <x:c r="Y3213" s="55" t="n">
        <x:f>IF(ISNUMBER(X3213),ROUNDUP(X3213,0),"")</x:f>
        <x:v>51</x:v>
      </x:c>
      <x:c r="Z3213" t="str">
        <x:v>Source match pending</x:v>
      </x:c>
      <x:c r="AA3213" t="str">
        <x:v>screencapture-www-activesportstrade-co-uk-trained-by-jp-trade-2026-09-10-09_10_55.pdf / page-7</x:v>
      </x:c>
      <x:c r="AB3213" s="36" t="n">
        <x:f>IF(ISNUMBER(Y3213),ROUND(Y3213*0.9,2),"")</x:f>
        <x:v>45.9</x:v>
      </x:c>
      <x:c r="AC3213" s="36" t="n">
        <x:f>IF(ISNUMBER(AB3213),ROUND(AB3213-(AB3213*0.015+0.2)-V3213,2),"")</x:f>
        <x:v>9.61</x:v>
      </x:c>
      <x:c r="AD3213" s="36" t="n">
        <x:f>IF(ISNUMBER(Y3213),ROUND(Y3213*0.8,2),"")</x:f>
        <x:v>40.8</x:v>
      </x:c>
      <x:c r="AE3213" s="36" t="n">
        <x:f>IF(ISNUMBER(AD3213),ROUND(AD3213*0.015+0.2,2),"")</x:f>
        <x:v>0.81</x:v>
      </x:c>
      <x:c r="AF3213" s="36" t="n">
        <x:f>IF(ISNUMBER(AD3213),ROUND(AD3213-AE3213-V3213,2),"")</x:f>
        <x:v>4.59</x:v>
      </x:c>
      <x:c r="AG3213" t="str">
        <x:f>IF(NOT(ISNUMBER(T3213)),"PENDING",IF(AF3213&gt;0,"PASS","FAIL"))</x:f>
        <x:v>PASS</x:v>
      </x:c>
      <x:c r="AH3213" t="str">
        <x:f>IF(NOT(ISNUMBER(T3213)),"Needs supplier cost",IF(K3213&lt;&gt;"In stock","Supplier unavailable",IF(AG3213&lt;&gt;"PASS","BLOCK - GT loss risk","Commercially protected")))</x:f>
        <x:v>Supplier unavailable</x:v>
      </x:c>
      <x:c r="AI3213" t="str">
        <x:v>2026-09-10 Active Sports trade capture</x:v>
      </x:c>
      <x:c r="AJ3213" t="str">
        <x:v>Management-only economics. Stripe stress test uses 1.5% + £0.20 standard UK online-card fee; pallet/mix-and-match pricing ignored.</x:v>
      </x:c>
    </x:row>
    <x:row r="3214">
      <x:c r="A3214" t="str">
        <x:v>Active Sports Nutrition</x:v>
      </x:c>
      <x:c r="B3214" t="str">
        <x:v>Trained By JP</x:v>
      </x:c>
      <x:c r="C3214" t="str">
        <x:v>Performance Protein</x:v>
      </x:c>
      <x:c r="D3214" t="str">
        <x:v>Supplements</x:v>
      </x:c>
      <x:c r="E3214" t="str">
        <x:v>Whey Protein Blend</x:v>
      </x:c>
      <x:c r="F3214" t="str"/>
      <x:c r="G3214" t="str">
        <x:v>2kg</x:v>
      </x:c>
      <x:c r="H3214" t="str">
        <x:v>Caramel Fudge</x:v>
      </x:c>
      <x:c r="I3214" t="str"/>
      <x:c r="J3214" t="str">
        <x:v>Unit</x:v>
      </x:c>
      <x:c r="K3214" t="str">
        <x:v>In stock</x:v>
      </x:c>
      <x:c r="L3214" t="str">
        <x:v>2026-09-08</x:v>
      </x:c>
      <x:c r="M3214" t="str"/>
      <x:c r="N3214" t="str"/>
      <x:c r="O3214" t="str">
        <x:v>https://www.activesportstrade.co.uk/trained-by-jp-trade</x:v>
      </x:c>
      <x:c r="P3214" t="str"/>
      <x:c r="Q3214" t="str"/>
      <x:c r="R3214" t="str"/>
      <x:c r="S3214" t="str">
        <x:v>Pending genuine supplier/brand image</x:v>
      </x:c>
      <x:c r="T3214" s="54" t="n">
        <x:v>29.5</x:v>
      </x:c>
      <x:c r="U3214" s="47" t="n">
        <x:v>0.2</x:v>
      </x:c>
      <x:c r="V3214" s="54" t="n">
        <x:f>IF(ISNUMBER(T3214),T3214*(1+U3214),"")</x:f>
        <x:v>35.4</x:v>
      </x:c>
      <x:c r="W3214" s="47" t="n">
        <x:v>0.3</x:v>
      </x:c>
      <x:c r="X3214" s="54" t="n">
        <x:f>IF(ISNUMBER(V3214),V3214/(1-W3214),"")</x:f>
        <x:v>50.57142857142857</x:v>
      </x:c>
      <x:c r="Y3214" s="55" t="n">
        <x:f>IF(ISNUMBER(X3214),ROUNDUP(X3214,0),"")</x:f>
        <x:v>51</x:v>
      </x:c>
      <x:c r="Z3214" t="str">
        <x:v>Source match pending</x:v>
      </x:c>
      <x:c r="AA3214" t="str">
        <x:v>screencapture-www-activesportstrade-co-uk-trained-by-jp-trade-2026-09-10-09_10_55.pdf / page-7</x:v>
      </x:c>
      <x:c r="AB3214" s="36" t="n">
        <x:f>IF(ISNUMBER(Y3214),ROUND(Y3214*0.9,2),"")</x:f>
        <x:v>45.9</x:v>
      </x:c>
      <x:c r="AC3214" s="36" t="n">
        <x:f>IF(ISNUMBER(AB3214),ROUND(AB3214-(AB3214*0.015+0.2)-V3214,2),"")</x:f>
        <x:v>9.61</x:v>
      </x:c>
      <x:c r="AD3214" s="36" t="n">
        <x:f>IF(ISNUMBER(Y3214),ROUND(Y3214*0.8,2),"")</x:f>
        <x:v>40.8</x:v>
      </x:c>
      <x:c r="AE3214" s="36" t="n">
        <x:f>IF(ISNUMBER(AD3214),ROUND(AD3214*0.015+0.2,2),"")</x:f>
        <x:v>0.81</x:v>
      </x:c>
      <x:c r="AF3214" s="36" t="n">
        <x:f>IF(ISNUMBER(AD3214),ROUND(AD3214-AE3214-V3214,2),"")</x:f>
        <x:v>4.59</x:v>
      </x:c>
      <x:c r="AG3214" t="str">
        <x:f>IF(NOT(ISNUMBER(T3214)),"PENDING",IF(AF3214&gt;0,"PASS","FAIL"))</x:f>
        <x:v>PASS</x:v>
      </x:c>
      <x:c r="AH3214" t="str">
        <x:f>IF(NOT(ISNUMBER(T3214)),"Needs supplier cost",IF(K3214&lt;&gt;"In stock","Supplier unavailable",IF(AG3214&lt;&gt;"PASS","BLOCK - GT loss risk","Commercially protected")))</x:f>
        <x:v>Commercially protected</x:v>
      </x:c>
      <x:c r="AI3214" t="str">
        <x:v>2026-09-10 Active Sports trade capture</x:v>
      </x:c>
      <x:c r="AJ3214" t="str">
        <x:v>Management-only economics. Stripe stress test uses 1.5% + £0.20 standard UK online-card fee; pallet/mix-and-match pricing ignored.</x:v>
      </x:c>
    </x:row>
    <x:row r="3215">
      <x:c r="A3215" t="str">
        <x:v>Active Sports Nutrition</x:v>
      </x:c>
      <x:c r="B3215" t="str">
        <x:v>Trained By JP</x:v>
      </x:c>
      <x:c r="C3215" t="str">
        <x:v>Performance Protein</x:v>
      </x:c>
      <x:c r="D3215" t="str">
        <x:v>Supplements</x:v>
      </x:c>
      <x:c r="E3215" t="str">
        <x:v>Whey Protein Blend</x:v>
      </x:c>
      <x:c r="F3215" t="str"/>
      <x:c r="G3215" t="str">
        <x:v>2kg</x:v>
      </x:c>
      <x:c r="H3215" t="str">
        <x:v>Carrot Cake</x:v>
      </x:c>
      <x:c r="I3215" t="str"/>
      <x:c r="J3215" t="str">
        <x:v>Unit</x:v>
      </x:c>
      <x:c r="K3215" t="str">
        <x:v>Out of stock</x:v>
      </x:c>
      <x:c r="L3215" t="str">
        <x:v>2026-09-08</x:v>
      </x:c>
      <x:c r="M3215" t="str"/>
      <x:c r="N3215" t="str"/>
      <x:c r="O3215" t="str">
        <x:v>https://www.activesportstrade.co.uk/trained-by-jp-trade</x:v>
      </x:c>
      <x:c r="P3215" t="str"/>
      <x:c r="Q3215" t="str"/>
      <x:c r="R3215" t="str"/>
      <x:c r="S3215" t="str">
        <x:v>Pending genuine supplier/brand image</x:v>
      </x:c>
      <x:c r="T3215" s="54" t="n">
        <x:v>29.5</x:v>
      </x:c>
      <x:c r="U3215" s="47" t="n">
        <x:v>0.2</x:v>
      </x:c>
      <x:c r="V3215" s="54" t="n">
        <x:f>IF(ISNUMBER(T3215),T3215*(1+U3215),"")</x:f>
        <x:v>35.4</x:v>
      </x:c>
      <x:c r="W3215" s="47" t="n">
        <x:v>0.3</x:v>
      </x:c>
      <x:c r="X3215" s="54" t="n">
        <x:f>IF(ISNUMBER(V3215),V3215/(1-W3215),"")</x:f>
        <x:v>50.57142857142857</x:v>
      </x:c>
      <x:c r="Y3215" s="55" t="n">
        <x:f>IF(ISNUMBER(X3215),ROUNDUP(X3215,0),"")</x:f>
        <x:v>51</x:v>
      </x:c>
      <x:c r="Z3215" t="str">
        <x:v>Source match pending</x:v>
      </x:c>
      <x:c r="AA3215" t="str">
        <x:v>screencapture-www-activesportstrade-co-uk-trained-by-jp-trade-2026-09-10-09_10_55.pdf / page-7</x:v>
      </x:c>
      <x:c r="AB3215" s="36" t="n">
        <x:f>IF(ISNUMBER(Y3215),ROUND(Y3215*0.9,2),"")</x:f>
        <x:v>45.9</x:v>
      </x:c>
      <x:c r="AC3215" s="36" t="n">
        <x:f>IF(ISNUMBER(AB3215),ROUND(AB3215-(AB3215*0.015+0.2)-V3215,2),"")</x:f>
        <x:v>9.61</x:v>
      </x:c>
      <x:c r="AD3215" s="36" t="n">
        <x:f>IF(ISNUMBER(Y3215),ROUND(Y3215*0.8,2),"")</x:f>
        <x:v>40.8</x:v>
      </x:c>
      <x:c r="AE3215" s="36" t="n">
        <x:f>IF(ISNUMBER(AD3215),ROUND(AD3215*0.015+0.2,2),"")</x:f>
        <x:v>0.81</x:v>
      </x:c>
      <x:c r="AF3215" s="36" t="n">
        <x:f>IF(ISNUMBER(AD3215),ROUND(AD3215-AE3215-V3215,2),"")</x:f>
        <x:v>4.59</x:v>
      </x:c>
      <x:c r="AG3215" t="str">
        <x:f>IF(NOT(ISNUMBER(T3215)),"PENDING",IF(AF3215&gt;0,"PASS","FAIL"))</x:f>
        <x:v>PASS</x:v>
      </x:c>
      <x:c r="AH3215" t="str">
        <x:f>IF(NOT(ISNUMBER(T3215)),"Needs supplier cost",IF(K3215&lt;&gt;"In stock","Supplier unavailable",IF(AG3215&lt;&gt;"PASS","BLOCK - GT loss risk","Commercially protected")))</x:f>
        <x:v>Supplier unavailable</x:v>
      </x:c>
      <x:c r="AI3215" t="str">
        <x:v>2026-09-10 Active Sports trade capture</x:v>
      </x:c>
      <x:c r="AJ3215" t="str">
        <x:v>Management-only economics. Stripe stress test uses 1.5% + £0.20 standard UK online-card fee; pallet/mix-and-match pricing ignored.</x:v>
      </x:c>
    </x:row>
    <x:row r="3216">
      <x:c r="A3216" t="str">
        <x:v>Active Sports Nutrition</x:v>
      </x:c>
      <x:c r="B3216" t="str">
        <x:v>Trained By JP</x:v>
      </x:c>
      <x:c r="C3216" t="str">
        <x:v>Performance Protein</x:v>
      </x:c>
      <x:c r="D3216" t="str">
        <x:v>Supplements</x:v>
      </x:c>
      <x:c r="E3216" t="str">
        <x:v>Whey Protein Blend</x:v>
      </x:c>
      <x:c r="F3216" t="str"/>
      <x:c r="G3216" t="str">
        <x:v>2kg</x:v>
      </x:c>
      <x:c r="H3216" t="str">
        <x:v>Cereal Milk</x:v>
      </x:c>
      <x:c r="I3216" t="str"/>
      <x:c r="J3216" t="str">
        <x:v>Unit</x:v>
      </x:c>
      <x:c r="K3216" t="str">
        <x:v>Out of stock</x:v>
      </x:c>
      <x:c r="L3216" t="str">
        <x:v>2026-09-08</x:v>
      </x:c>
      <x:c r="M3216" t="str"/>
      <x:c r="N3216" t="str"/>
      <x:c r="O3216" t="str">
        <x:v>https://www.activesportstrade.co.uk/trained-by-jp-trade</x:v>
      </x:c>
      <x:c r="P3216" t="str"/>
      <x:c r="Q3216" t="str"/>
      <x:c r="R3216" t="str"/>
      <x:c r="S3216" t="str">
        <x:v>Pending genuine supplier/brand image</x:v>
      </x:c>
      <x:c r="T3216" s="54" t="n">
        <x:v>29.5</x:v>
      </x:c>
      <x:c r="U3216" s="47" t="n">
        <x:v>0.2</x:v>
      </x:c>
      <x:c r="V3216" s="54" t="n">
        <x:f>IF(ISNUMBER(T3216),T3216*(1+U3216),"")</x:f>
        <x:v>35.4</x:v>
      </x:c>
      <x:c r="W3216" s="47" t="n">
        <x:v>0.3</x:v>
      </x:c>
      <x:c r="X3216" s="54" t="n">
        <x:f>IF(ISNUMBER(V3216),V3216/(1-W3216),"")</x:f>
        <x:v>50.57142857142857</x:v>
      </x:c>
      <x:c r="Y3216" s="55" t="n">
        <x:f>IF(ISNUMBER(X3216),ROUNDUP(X3216,0),"")</x:f>
        <x:v>51</x:v>
      </x:c>
      <x:c r="Z3216" t="str">
        <x:v>Source match pending</x:v>
      </x:c>
      <x:c r="AA3216" t="str">
        <x:v>screencapture-www-activesportstrade-co-uk-trained-by-jp-trade-2026-09-10-09_10_55.pdf / page-7</x:v>
      </x:c>
      <x:c r="AB3216" s="36" t="n">
        <x:f>IF(ISNUMBER(Y3216),ROUND(Y3216*0.9,2),"")</x:f>
        <x:v>45.9</x:v>
      </x:c>
      <x:c r="AC3216" s="36" t="n">
        <x:f>IF(ISNUMBER(AB3216),ROUND(AB3216-(AB3216*0.015+0.2)-V3216,2),"")</x:f>
        <x:v>9.61</x:v>
      </x:c>
      <x:c r="AD3216" s="36" t="n">
        <x:f>IF(ISNUMBER(Y3216),ROUND(Y3216*0.8,2),"")</x:f>
        <x:v>40.8</x:v>
      </x:c>
      <x:c r="AE3216" s="36" t="n">
        <x:f>IF(ISNUMBER(AD3216),ROUND(AD3216*0.015+0.2,2),"")</x:f>
        <x:v>0.81</x:v>
      </x:c>
      <x:c r="AF3216" s="36" t="n">
        <x:f>IF(ISNUMBER(AD3216),ROUND(AD3216-AE3216-V3216,2),"")</x:f>
        <x:v>4.59</x:v>
      </x:c>
      <x:c r="AG3216" t="str">
        <x:f>IF(NOT(ISNUMBER(T3216)),"PENDING",IF(AF3216&gt;0,"PASS","FAIL"))</x:f>
        <x:v>PASS</x:v>
      </x:c>
      <x:c r="AH3216" t="str">
        <x:f>IF(NOT(ISNUMBER(T3216)),"Needs supplier cost",IF(K3216&lt;&gt;"In stock","Supplier unavailable",IF(AG3216&lt;&gt;"PASS","BLOCK - GT loss risk","Commercially protected")))</x:f>
        <x:v>Supplier unavailable</x:v>
      </x:c>
      <x:c r="AI3216" t="str">
        <x:v>2026-09-10 Active Sports trade capture</x:v>
      </x:c>
      <x:c r="AJ3216" t="str">
        <x:v>Management-only economics. Stripe stress test uses 1.5% + £0.20 standard UK online-card fee; pallet/mix-and-match pricing ignored.</x:v>
      </x:c>
    </x:row>
    <x:row r="3217">
      <x:c r="A3217" t="str">
        <x:v>Active Sports Nutrition</x:v>
      </x:c>
      <x:c r="B3217" t="str">
        <x:v>Trained By JP</x:v>
      </x:c>
      <x:c r="C3217" t="str">
        <x:v>Performance Protein</x:v>
      </x:c>
      <x:c r="D3217" t="str">
        <x:v>Supplements</x:v>
      </x:c>
      <x:c r="E3217" t="str">
        <x:v>Whey Protein Blend</x:v>
      </x:c>
      <x:c r="F3217" t="str"/>
      <x:c r="G3217" t="str">
        <x:v>2kg</x:v>
      </x:c>
      <x:c r="H3217" t="str">
        <x:v>Chocolate Banana</x:v>
      </x:c>
      <x:c r="I3217" t="str"/>
      <x:c r="J3217" t="str">
        <x:v>Unit</x:v>
      </x:c>
      <x:c r="K3217" t="str">
        <x:v>In stock</x:v>
      </x:c>
      <x:c r="L3217" t="str">
        <x:v>2026-09-08</x:v>
      </x:c>
      <x:c r="M3217" t="str"/>
      <x:c r="N3217" t="str"/>
      <x:c r="O3217" t="str">
        <x:v>https://www.activesportstrade.co.uk/trained-by-jp-trade</x:v>
      </x:c>
      <x:c r="P3217" t="str"/>
      <x:c r="Q3217" t="str"/>
      <x:c r="R3217" t="str"/>
      <x:c r="S3217" t="str">
        <x:v>Pending genuine supplier/brand image</x:v>
      </x:c>
      <x:c r="T3217" s="54" t="n">
        <x:v>29.5</x:v>
      </x:c>
      <x:c r="U3217" s="47" t="n">
        <x:v>0.2</x:v>
      </x:c>
      <x:c r="V3217" s="54" t="n">
        <x:f>IF(ISNUMBER(T3217),T3217*(1+U3217),"")</x:f>
        <x:v>35.4</x:v>
      </x:c>
      <x:c r="W3217" s="47" t="n">
        <x:v>0.3</x:v>
      </x:c>
      <x:c r="X3217" s="54" t="n">
        <x:f>IF(ISNUMBER(V3217),V3217/(1-W3217),"")</x:f>
        <x:v>50.57142857142857</x:v>
      </x:c>
      <x:c r="Y3217" s="55" t="n">
        <x:f>IF(ISNUMBER(X3217),ROUNDUP(X3217,0),"")</x:f>
        <x:v>51</x:v>
      </x:c>
      <x:c r="Z3217" t="str">
        <x:v>Source match pending</x:v>
      </x:c>
      <x:c r="AA3217" t="str">
        <x:v>screencapture-www-activesportstrade-co-uk-trained-by-jp-trade-2026-09-10-09_10_55.pdf / page-7</x:v>
      </x:c>
      <x:c r="AB3217" s="36" t="n">
        <x:f>IF(ISNUMBER(Y3217),ROUND(Y3217*0.9,2),"")</x:f>
        <x:v>45.9</x:v>
      </x:c>
      <x:c r="AC3217" s="36" t="n">
        <x:f>IF(ISNUMBER(AB3217),ROUND(AB3217-(AB3217*0.015+0.2)-V3217,2),"")</x:f>
        <x:v>9.61</x:v>
      </x:c>
      <x:c r="AD3217" s="36" t="n">
        <x:f>IF(ISNUMBER(Y3217),ROUND(Y3217*0.8,2),"")</x:f>
        <x:v>40.8</x:v>
      </x:c>
      <x:c r="AE3217" s="36" t="n">
        <x:f>IF(ISNUMBER(AD3217),ROUND(AD3217*0.015+0.2,2),"")</x:f>
        <x:v>0.81</x:v>
      </x:c>
      <x:c r="AF3217" s="36" t="n">
        <x:f>IF(ISNUMBER(AD3217),ROUND(AD3217-AE3217-V3217,2),"")</x:f>
        <x:v>4.59</x:v>
      </x:c>
      <x:c r="AG3217" t="str">
        <x:f>IF(NOT(ISNUMBER(T3217)),"PENDING",IF(AF3217&gt;0,"PASS","FAIL"))</x:f>
        <x:v>PASS</x:v>
      </x:c>
      <x:c r="AH3217" t="str">
        <x:f>IF(NOT(ISNUMBER(T3217)),"Needs supplier cost",IF(K3217&lt;&gt;"In stock","Supplier unavailable",IF(AG3217&lt;&gt;"PASS","BLOCK - GT loss risk","Commercially protected")))</x:f>
        <x:v>Commercially protected</x:v>
      </x:c>
      <x:c r="AI3217" t="str">
        <x:v>2026-09-10 Active Sports trade capture</x:v>
      </x:c>
      <x:c r="AJ3217" t="str">
        <x:v>Management-only economics. Stripe stress test uses 1.5% + £0.20 standard UK online-card fee; pallet/mix-and-match pricing ignored.</x:v>
      </x:c>
    </x:row>
    <x:row r="3218">
      <x:c r="A3218" t="str">
        <x:v>Active Sports Nutrition</x:v>
      </x:c>
      <x:c r="B3218" t="str">
        <x:v>Trained By JP</x:v>
      </x:c>
      <x:c r="C3218" t="str">
        <x:v>Performance Protein</x:v>
      </x:c>
      <x:c r="D3218" t="str">
        <x:v>Supplements</x:v>
      </x:c>
      <x:c r="E3218" t="str">
        <x:v>Whey Protein Blend</x:v>
      </x:c>
      <x:c r="F3218" t="str"/>
      <x:c r="G3218" t="str">
        <x:v>2kg</x:v>
      </x:c>
      <x:c r="H3218" t="str">
        <x:v>Chocolate Caramel</x:v>
      </x:c>
      <x:c r="I3218" t="str"/>
      <x:c r="J3218" t="str">
        <x:v>Unit</x:v>
      </x:c>
      <x:c r="K3218" t="str">
        <x:v>Out of stock</x:v>
      </x:c>
      <x:c r="L3218" t="str">
        <x:v>2026-09-08</x:v>
      </x:c>
      <x:c r="M3218" t="str"/>
      <x:c r="N3218" t="str"/>
      <x:c r="O3218" t="str">
        <x:v>https://www.activesportstrade.co.uk/trained-by-jp-trade</x:v>
      </x:c>
      <x:c r="P3218" t="str"/>
      <x:c r="Q3218" t="str"/>
      <x:c r="R3218" t="str"/>
      <x:c r="S3218" t="str">
        <x:v>Pending genuine supplier/brand image</x:v>
      </x:c>
      <x:c r="T3218" s="54" t="n">
        <x:v>29.5</x:v>
      </x:c>
      <x:c r="U3218" s="47" t="n">
        <x:v>0.2</x:v>
      </x:c>
      <x:c r="V3218" s="54" t="n">
        <x:f>IF(ISNUMBER(T3218),T3218*(1+U3218),"")</x:f>
        <x:v>35.4</x:v>
      </x:c>
      <x:c r="W3218" s="47" t="n">
        <x:v>0.3</x:v>
      </x:c>
      <x:c r="X3218" s="54" t="n">
        <x:f>IF(ISNUMBER(V3218),V3218/(1-W3218),"")</x:f>
        <x:v>50.57142857142857</x:v>
      </x:c>
      <x:c r="Y3218" s="55" t="n">
        <x:f>IF(ISNUMBER(X3218),ROUNDUP(X3218,0),"")</x:f>
        <x:v>51</x:v>
      </x:c>
      <x:c r="Z3218" t="str">
        <x:v>Source match pending</x:v>
      </x:c>
      <x:c r="AA3218" t="str">
        <x:v>screencapture-www-activesportstrade-co-uk-trained-by-jp-trade-2026-09-10-09_10_55.pdf / page-7</x:v>
      </x:c>
      <x:c r="AB3218" s="36" t="n">
        <x:f>IF(ISNUMBER(Y3218),ROUND(Y3218*0.9,2),"")</x:f>
        <x:v>45.9</x:v>
      </x:c>
      <x:c r="AC3218" s="36" t="n">
        <x:f>IF(ISNUMBER(AB3218),ROUND(AB3218-(AB3218*0.015+0.2)-V3218,2),"")</x:f>
        <x:v>9.61</x:v>
      </x:c>
      <x:c r="AD3218" s="36" t="n">
        <x:f>IF(ISNUMBER(Y3218),ROUND(Y3218*0.8,2),"")</x:f>
        <x:v>40.8</x:v>
      </x:c>
      <x:c r="AE3218" s="36" t="n">
        <x:f>IF(ISNUMBER(AD3218),ROUND(AD3218*0.015+0.2,2),"")</x:f>
        <x:v>0.81</x:v>
      </x:c>
      <x:c r="AF3218" s="36" t="n">
        <x:f>IF(ISNUMBER(AD3218),ROUND(AD3218-AE3218-V3218,2),"")</x:f>
        <x:v>4.59</x:v>
      </x:c>
      <x:c r="AG3218" t="str">
        <x:f>IF(NOT(ISNUMBER(T3218)),"PENDING",IF(AF3218&gt;0,"PASS","FAIL"))</x:f>
        <x:v>PASS</x:v>
      </x:c>
      <x:c r="AH3218" t="str">
        <x:f>IF(NOT(ISNUMBER(T3218)),"Needs supplier cost",IF(K3218&lt;&gt;"In stock","Supplier unavailable",IF(AG3218&lt;&gt;"PASS","BLOCK - GT loss risk","Commercially protected")))</x:f>
        <x:v>Supplier unavailable</x:v>
      </x:c>
      <x:c r="AI3218" t="str">
        <x:v>2026-09-10 Active Sports trade capture</x:v>
      </x:c>
      <x:c r="AJ3218" t="str">
        <x:v>Management-only economics. Stripe stress test uses 1.5% + £0.20 standard UK online-card fee; pallet/mix-and-match pricing ignored.</x:v>
      </x:c>
    </x:row>
    <x:row r="3219">
      <x:c r="A3219" t="str">
        <x:v>Active Sports Nutrition</x:v>
      </x:c>
      <x:c r="B3219" t="str">
        <x:v>Trained By JP</x:v>
      </x:c>
      <x:c r="C3219" t="str">
        <x:v>Performance Protein</x:v>
      </x:c>
      <x:c r="D3219" t="str">
        <x:v>Supplements</x:v>
      </x:c>
      <x:c r="E3219" t="str">
        <x:v>Whey Protein Blend</x:v>
      </x:c>
      <x:c r="F3219" t="str"/>
      <x:c r="G3219" t="str">
        <x:v>2kg</x:v>
      </x:c>
      <x:c r="H3219" t="str">
        <x:v>Chocolate Caramel Nut</x:v>
      </x:c>
      <x:c r="I3219" t="str"/>
      <x:c r="J3219" t="str">
        <x:v>Unit</x:v>
      </x:c>
      <x:c r="K3219" t="str">
        <x:v>In stock</x:v>
      </x:c>
      <x:c r="L3219" t="str">
        <x:v>2026-09-08</x:v>
      </x:c>
      <x:c r="M3219" t="str"/>
      <x:c r="N3219" t="str"/>
      <x:c r="O3219" t="str">
        <x:v>https://www.activesportstrade.co.uk/trained-by-jp-trade</x:v>
      </x:c>
      <x:c r="P3219" t="str"/>
      <x:c r="Q3219" t="str"/>
      <x:c r="R3219" t="str"/>
      <x:c r="S3219" t="str">
        <x:v>Pending genuine supplier/brand image</x:v>
      </x:c>
      <x:c r="T3219" s="54" t="n">
        <x:v>29.5</x:v>
      </x:c>
      <x:c r="U3219" s="47" t="n">
        <x:v>0.2</x:v>
      </x:c>
      <x:c r="V3219" s="54" t="n">
        <x:f>IF(ISNUMBER(T3219),T3219*(1+U3219),"")</x:f>
        <x:v>35.4</x:v>
      </x:c>
      <x:c r="W3219" s="47" t="n">
        <x:v>0.3</x:v>
      </x:c>
      <x:c r="X3219" s="54" t="n">
        <x:f>IF(ISNUMBER(V3219),V3219/(1-W3219),"")</x:f>
        <x:v>50.57142857142857</x:v>
      </x:c>
      <x:c r="Y3219" s="55" t="n">
        <x:f>IF(ISNUMBER(X3219),ROUNDUP(X3219,0),"")</x:f>
        <x:v>51</x:v>
      </x:c>
      <x:c r="Z3219" t="str">
        <x:v>Source match pending</x:v>
      </x:c>
      <x:c r="AA3219" t="str">
        <x:v>screencapture-www-activesportstrade-co-uk-trained-by-jp-trade-2026-09-10-09_10_55.pdf / page-7</x:v>
      </x:c>
      <x:c r="AB3219" s="36" t="n">
        <x:f>IF(ISNUMBER(Y3219),ROUND(Y3219*0.9,2),"")</x:f>
        <x:v>45.9</x:v>
      </x:c>
      <x:c r="AC3219" s="36" t="n">
        <x:f>IF(ISNUMBER(AB3219),ROUND(AB3219-(AB3219*0.015+0.2)-V3219,2),"")</x:f>
        <x:v>9.61</x:v>
      </x:c>
      <x:c r="AD3219" s="36" t="n">
        <x:f>IF(ISNUMBER(Y3219),ROUND(Y3219*0.8,2),"")</x:f>
        <x:v>40.8</x:v>
      </x:c>
      <x:c r="AE3219" s="36" t="n">
        <x:f>IF(ISNUMBER(AD3219),ROUND(AD3219*0.015+0.2,2),"")</x:f>
        <x:v>0.81</x:v>
      </x:c>
      <x:c r="AF3219" s="36" t="n">
        <x:f>IF(ISNUMBER(AD3219),ROUND(AD3219-AE3219-V3219,2),"")</x:f>
        <x:v>4.59</x:v>
      </x:c>
      <x:c r="AG3219" t="str">
        <x:f>IF(NOT(ISNUMBER(T3219)),"PENDING",IF(AF3219&gt;0,"PASS","FAIL"))</x:f>
        <x:v>PASS</x:v>
      </x:c>
      <x:c r="AH3219" t="str">
        <x:f>IF(NOT(ISNUMBER(T3219)),"Needs supplier cost",IF(K3219&lt;&gt;"In stock","Supplier unavailable",IF(AG3219&lt;&gt;"PASS","BLOCK - GT loss risk","Commercially protected")))</x:f>
        <x:v>Commercially protected</x:v>
      </x:c>
      <x:c r="AI3219" t="str">
        <x:v>2026-09-10 Active Sports trade capture</x:v>
      </x:c>
      <x:c r="AJ3219" t="str">
        <x:v>Management-only economics. Stripe stress test uses 1.5% + £0.20 standard UK online-card fee; pallet/mix-and-match pricing ignored.</x:v>
      </x:c>
    </x:row>
    <x:row r="3220">
      <x:c r="A3220" t="str">
        <x:v>Active Sports Nutrition</x:v>
      </x:c>
      <x:c r="B3220" t="str">
        <x:v>Trained By JP</x:v>
      </x:c>
      <x:c r="C3220" t="str">
        <x:v>Performance Protein</x:v>
      </x:c>
      <x:c r="D3220" t="str">
        <x:v>Supplements</x:v>
      </x:c>
      <x:c r="E3220" t="str">
        <x:v>Whey Protein Blend</x:v>
      </x:c>
      <x:c r="F3220" t="str"/>
      <x:c r="G3220" t="str">
        <x:v>2kg</x:v>
      </x:c>
      <x:c r="H3220" t="str">
        <x:v>Chocolate Coconut</x:v>
      </x:c>
      <x:c r="I3220" t="str"/>
      <x:c r="J3220" t="str">
        <x:v>Unit</x:v>
      </x:c>
      <x:c r="K3220" t="str">
        <x:v>In stock</x:v>
      </x:c>
      <x:c r="L3220" t="str">
        <x:v>2026-09-08</x:v>
      </x:c>
      <x:c r="M3220" t="str"/>
      <x:c r="N3220" t="str"/>
      <x:c r="O3220" t="str">
        <x:v>https://www.activesportstrade.co.uk/trained-by-jp-trade</x:v>
      </x:c>
      <x:c r="P3220" t="str"/>
      <x:c r="Q3220" t="str"/>
      <x:c r="R3220" t="str"/>
      <x:c r="S3220" t="str">
        <x:v>Pending genuine supplier/brand image</x:v>
      </x:c>
      <x:c r="T3220" s="54" t="n">
        <x:v>29.5</x:v>
      </x:c>
      <x:c r="U3220" s="47" t="n">
        <x:v>0.2</x:v>
      </x:c>
      <x:c r="V3220" s="54" t="n">
        <x:f>IF(ISNUMBER(T3220),T3220*(1+U3220),"")</x:f>
        <x:v>35.4</x:v>
      </x:c>
      <x:c r="W3220" s="47" t="n">
        <x:v>0.3</x:v>
      </x:c>
      <x:c r="X3220" s="54" t="n">
        <x:f>IF(ISNUMBER(V3220),V3220/(1-W3220),"")</x:f>
        <x:v>50.57142857142857</x:v>
      </x:c>
      <x:c r="Y3220" s="55" t="n">
        <x:f>IF(ISNUMBER(X3220),ROUNDUP(X3220,0),"")</x:f>
        <x:v>51</x:v>
      </x:c>
      <x:c r="Z3220" t="str">
        <x:v>Source match pending</x:v>
      </x:c>
      <x:c r="AA3220" t="str">
        <x:v>screencapture-www-activesportstrade-co-uk-trained-by-jp-trade-2026-09-10-09_10_55.pdf / page-7</x:v>
      </x:c>
      <x:c r="AB3220" s="36" t="n">
        <x:f>IF(ISNUMBER(Y3220),ROUND(Y3220*0.9,2),"")</x:f>
        <x:v>45.9</x:v>
      </x:c>
      <x:c r="AC3220" s="36" t="n">
        <x:f>IF(ISNUMBER(AB3220),ROUND(AB3220-(AB3220*0.015+0.2)-V3220,2),"")</x:f>
        <x:v>9.61</x:v>
      </x:c>
      <x:c r="AD3220" s="36" t="n">
        <x:f>IF(ISNUMBER(Y3220),ROUND(Y3220*0.8,2),"")</x:f>
        <x:v>40.8</x:v>
      </x:c>
      <x:c r="AE3220" s="36" t="n">
        <x:f>IF(ISNUMBER(AD3220),ROUND(AD3220*0.015+0.2,2),"")</x:f>
        <x:v>0.81</x:v>
      </x:c>
      <x:c r="AF3220" s="36" t="n">
        <x:f>IF(ISNUMBER(AD3220),ROUND(AD3220-AE3220-V3220,2),"")</x:f>
        <x:v>4.59</x:v>
      </x:c>
      <x:c r="AG3220" t="str">
        <x:f>IF(NOT(ISNUMBER(T3220)),"PENDING",IF(AF3220&gt;0,"PASS","FAIL"))</x:f>
        <x:v>PASS</x:v>
      </x:c>
      <x:c r="AH3220" t="str">
        <x:f>IF(NOT(ISNUMBER(T3220)),"Needs supplier cost",IF(K3220&lt;&gt;"In stock","Supplier unavailable",IF(AG3220&lt;&gt;"PASS","BLOCK - GT loss risk","Commercially protected")))</x:f>
        <x:v>Commercially protected</x:v>
      </x:c>
      <x:c r="AI3220" t="str">
        <x:v>2026-09-10 Active Sports trade capture</x:v>
      </x:c>
      <x:c r="AJ3220" t="str">
        <x:v>Management-only economics. Stripe stress test uses 1.5% + £0.20 standard UK online-card fee; pallet/mix-and-match pricing ignored.</x:v>
      </x:c>
    </x:row>
    <x:row r="3221">
      <x:c r="A3221" t="str">
        <x:v>Active Sports Nutrition</x:v>
      </x:c>
      <x:c r="B3221" t="str">
        <x:v>Trained By JP</x:v>
      </x:c>
      <x:c r="C3221" t="str">
        <x:v>Performance Protein</x:v>
      </x:c>
      <x:c r="D3221" t="str">
        <x:v>Supplements</x:v>
      </x:c>
      <x:c r="E3221" t="str">
        <x:v>Whey Protein Blend</x:v>
      </x:c>
      <x:c r="F3221" t="str"/>
      <x:c r="G3221" t="str">
        <x:v>2kg</x:v>
      </x:c>
      <x:c r="H3221" t="str">
        <x:v>Chocolate Fudge</x:v>
      </x:c>
      <x:c r="I3221" t="str"/>
      <x:c r="J3221" t="str">
        <x:v>Unit</x:v>
      </x:c>
      <x:c r="K3221" t="str">
        <x:v>Out of stock</x:v>
      </x:c>
      <x:c r="L3221" t="str">
        <x:v>2026-09-08</x:v>
      </x:c>
      <x:c r="M3221" t="str"/>
      <x:c r="N3221" t="str"/>
      <x:c r="O3221" t="str">
        <x:v>https://www.activesportstrade.co.uk/trained-by-jp-trade</x:v>
      </x:c>
      <x:c r="P3221" t="str"/>
      <x:c r="Q3221" t="str"/>
      <x:c r="R3221" t="str"/>
      <x:c r="S3221" t="str">
        <x:v>Pending genuine supplier/brand image</x:v>
      </x:c>
      <x:c r="T3221" s="54" t="n">
        <x:v>29.5</x:v>
      </x:c>
      <x:c r="U3221" s="47" t="n">
        <x:v>0.2</x:v>
      </x:c>
      <x:c r="V3221" s="54" t="n">
        <x:f>IF(ISNUMBER(T3221),T3221*(1+U3221),"")</x:f>
        <x:v>35.4</x:v>
      </x:c>
      <x:c r="W3221" s="47" t="n">
        <x:v>0.3</x:v>
      </x:c>
      <x:c r="X3221" s="54" t="n">
        <x:f>IF(ISNUMBER(V3221),V3221/(1-W3221),"")</x:f>
        <x:v>50.57142857142857</x:v>
      </x:c>
      <x:c r="Y3221" s="55" t="n">
        <x:f>IF(ISNUMBER(X3221),ROUNDUP(X3221,0),"")</x:f>
        <x:v>51</x:v>
      </x:c>
      <x:c r="Z3221" t="str">
        <x:v>Source match pending</x:v>
      </x:c>
      <x:c r="AA3221" t="str">
        <x:v>screencapture-www-activesportstrade-co-uk-trained-by-jp-trade-2026-09-10-09_10_55.pdf / page-7</x:v>
      </x:c>
      <x:c r="AB3221" s="36" t="n">
        <x:f>IF(ISNUMBER(Y3221),ROUND(Y3221*0.9,2),"")</x:f>
        <x:v>45.9</x:v>
      </x:c>
      <x:c r="AC3221" s="36" t="n">
        <x:f>IF(ISNUMBER(AB3221),ROUND(AB3221-(AB3221*0.015+0.2)-V3221,2),"")</x:f>
        <x:v>9.61</x:v>
      </x:c>
      <x:c r="AD3221" s="36" t="n">
        <x:f>IF(ISNUMBER(Y3221),ROUND(Y3221*0.8,2),"")</x:f>
        <x:v>40.8</x:v>
      </x:c>
      <x:c r="AE3221" s="36" t="n">
        <x:f>IF(ISNUMBER(AD3221),ROUND(AD3221*0.015+0.2,2),"")</x:f>
        <x:v>0.81</x:v>
      </x:c>
      <x:c r="AF3221" s="36" t="n">
        <x:f>IF(ISNUMBER(AD3221),ROUND(AD3221-AE3221-V3221,2),"")</x:f>
        <x:v>4.59</x:v>
      </x:c>
      <x:c r="AG3221" t="str">
        <x:f>IF(NOT(ISNUMBER(T3221)),"PENDING",IF(AF3221&gt;0,"PASS","FAIL"))</x:f>
        <x:v>PASS</x:v>
      </x:c>
      <x:c r="AH3221" t="str">
        <x:f>IF(NOT(ISNUMBER(T3221)),"Needs supplier cost",IF(K3221&lt;&gt;"In stock","Supplier unavailable",IF(AG3221&lt;&gt;"PASS","BLOCK - GT loss risk","Commercially protected")))</x:f>
        <x:v>Supplier unavailable</x:v>
      </x:c>
      <x:c r="AI3221" t="str">
        <x:v>2026-09-10 Active Sports trade capture</x:v>
      </x:c>
      <x:c r="AJ3221" t="str">
        <x:v>Management-only economics. Stripe stress test uses 1.5% + £0.20 standard UK online-card fee; pallet/mix-and-match pricing ignored.</x:v>
      </x:c>
    </x:row>
    <x:row r="3222">
      <x:c r="A3222" t="str">
        <x:v>Active Sports Nutrition</x:v>
      </x:c>
      <x:c r="B3222" t="str">
        <x:v>Trained By JP</x:v>
      </x:c>
      <x:c r="C3222" t="str">
        <x:v>Performance Protein</x:v>
      </x:c>
      <x:c r="D3222" t="str">
        <x:v>Supplements</x:v>
      </x:c>
      <x:c r="E3222" t="str">
        <x:v>Whey Protein Blend</x:v>
      </x:c>
      <x:c r="F3222" t="str"/>
      <x:c r="G3222" t="str">
        <x:v>2kg</x:v>
      </x:c>
      <x:c r="H3222" t="str">
        <x:v>Chocolate Honeycomb</x:v>
      </x:c>
      <x:c r="I3222" t="str"/>
      <x:c r="J3222" t="str">
        <x:v>Unit</x:v>
      </x:c>
      <x:c r="K3222" t="str">
        <x:v>Out of stock</x:v>
      </x:c>
      <x:c r="L3222" t="str">
        <x:v>2026-09-08</x:v>
      </x:c>
      <x:c r="M3222" t="str"/>
      <x:c r="N3222" t="str"/>
      <x:c r="O3222" t="str">
        <x:v>https://www.activesportstrade.co.uk/trained-by-jp-trade</x:v>
      </x:c>
      <x:c r="P3222" t="str"/>
      <x:c r="Q3222" t="str"/>
      <x:c r="R3222" t="str"/>
      <x:c r="S3222" t="str">
        <x:v>Pending genuine supplier/brand image</x:v>
      </x:c>
      <x:c r="T3222" s="54" t="n">
        <x:v>29.5</x:v>
      </x:c>
      <x:c r="U3222" s="47" t="n">
        <x:v>0.2</x:v>
      </x:c>
      <x:c r="V3222" s="54" t="n">
        <x:f>IF(ISNUMBER(T3222),T3222*(1+U3222),"")</x:f>
        <x:v>35.4</x:v>
      </x:c>
      <x:c r="W3222" s="47" t="n">
        <x:v>0.3</x:v>
      </x:c>
      <x:c r="X3222" s="54" t="n">
        <x:f>IF(ISNUMBER(V3222),V3222/(1-W3222),"")</x:f>
        <x:v>50.57142857142857</x:v>
      </x:c>
      <x:c r="Y3222" s="55" t="n">
        <x:f>IF(ISNUMBER(X3222),ROUNDUP(X3222,0),"")</x:f>
        <x:v>51</x:v>
      </x:c>
      <x:c r="Z3222" t="str">
        <x:v>Source match pending</x:v>
      </x:c>
      <x:c r="AA3222" t="str">
        <x:v>screencapture-www-activesportstrade-co-uk-trained-by-jp-trade-2026-09-10-09_10_55.pdf / page-7</x:v>
      </x:c>
      <x:c r="AB3222" s="36" t="n">
        <x:f>IF(ISNUMBER(Y3222),ROUND(Y3222*0.9,2),"")</x:f>
        <x:v>45.9</x:v>
      </x:c>
      <x:c r="AC3222" s="36" t="n">
        <x:f>IF(ISNUMBER(AB3222),ROUND(AB3222-(AB3222*0.015+0.2)-V3222,2),"")</x:f>
        <x:v>9.61</x:v>
      </x:c>
      <x:c r="AD3222" s="36" t="n">
        <x:f>IF(ISNUMBER(Y3222),ROUND(Y3222*0.8,2),"")</x:f>
        <x:v>40.8</x:v>
      </x:c>
      <x:c r="AE3222" s="36" t="n">
        <x:f>IF(ISNUMBER(AD3222),ROUND(AD3222*0.015+0.2,2),"")</x:f>
        <x:v>0.81</x:v>
      </x:c>
      <x:c r="AF3222" s="36" t="n">
        <x:f>IF(ISNUMBER(AD3222),ROUND(AD3222-AE3222-V3222,2),"")</x:f>
        <x:v>4.59</x:v>
      </x:c>
      <x:c r="AG3222" t="str">
        <x:f>IF(NOT(ISNUMBER(T3222)),"PENDING",IF(AF3222&gt;0,"PASS","FAIL"))</x:f>
        <x:v>PASS</x:v>
      </x:c>
      <x:c r="AH3222" t="str">
        <x:f>IF(NOT(ISNUMBER(T3222)),"Needs supplier cost",IF(K3222&lt;&gt;"In stock","Supplier unavailable",IF(AG3222&lt;&gt;"PASS","BLOCK - GT loss risk","Commercially protected")))</x:f>
        <x:v>Supplier unavailable</x:v>
      </x:c>
      <x:c r="AI3222" t="str">
        <x:v>2026-09-10 Active Sports trade capture</x:v>
      </x:c>
      <x:c r="AJ3222" t="str">
        <x:v>Management-only economics. Stripe stress test uses 1.5% + £0.20 standard UK online-card fee; pallet/mix-and-match pricing ignored.</x:v>
      </x:c>
    </x:row>
    <x:row r="3223">
      <x:c r="A3223" t="str">
        <x:v>Active Sports Nutrition</x:v>
      </x:c>
      <x:c r="B3223" t="str">
        <x:v>Trained By JP</x:v>
      </x:c>
      <x:c r="C3223" t="str">
        <x:v>Performance Protein</x:v>
      </x:c>
      <x:c r="D3223" t="str">
        <x:v>Supplements</x:v>
      </x:c>
      <x:c r="E3223" t="str">
        <x:v>Whey Protein Blend</x:v>
      </x:c>
      <x:c r="F3223" t="str"/>
      <x:c r="G3223" t="str">
        <x:v>2kg</x:v>
      </x:c>
      <x:c r="H3223" t="str">
        <x:v>Chocolate Mint</x:v>
      </x:c>
      <x:c r="I3223" t="str"/>
      <x:c r="J3223" t="str">
        <x:v>Unit</x:v>
      </x:c>
      <x:c r="K3223" t="str">
        <x:v>In stock</x:v>
      </x:c>
      <x:c r="L3223" t="str">
        <x:v>2026-09-08</x:v>
      </x:c>
      <x:c r="M3223" t="str"/>
      <x:c r="N3223" t="str"/>
      <x:c r="O3223" t="str">
        <x:v>https://www.activesportstrade.co.uk/trained-by-jp-trade</x:v>
      </x:c>
      <x:c r="P3223" t="str"/>
      <x:c r="Q3223" t="str"/>
      <x:c r="R3223" t="str"/>
      <x:c r="S3223" t="str">
        <x:v>Pending genuine supplier/brand image</x:v>
      </x:c>
      <x:c r="T3223" s="54" t="n">
        <x:v>29.5</x:v>
      </x:c>
      <x:c r="U3223" s="47" t="n">
        <x:v>0.2</x:v>
      </x:c>
      <x:c r="V3223" s="54" t="n">
        <x:f>IF(ISNUMBER(T3223),T3223*(1+U3223),"")</x:f>
        <x:v>35.4</x:v>
      </x:c>
      <x:c r="W3223" s="47" t="n">
        <x:v>0.3</x:v>
      </x:c>
      <x:c r="X3223" s="54" t="n">
        <x:f>IF(ISNUMBER(V3223),V3223/(1-W3223),"")</x:f>
        <x:v>50.57142857142857</x:v>
      </x:c>
      <x:c r="Y3223" s="55" t="n">
        <x:f>IF(ISNUMBER(X3223),ROUNDUP(X3223,0),"")</x:f>
        <x:v>51</x:v>
      </x:c>
      <x:c r="Z3223" t="str">
        <x:v>Source match pending</x:v>
      </x:c>
      <x:c r="AA3223" t="str">
        <x:v>screencapture-www-activesportstrade-co-uk-trained-by-jp-trade-2026-09-10-09_10_55.pdf / page-7</x:v>
      </x:c>
      <x:c r="AB3223" s="36" t="n">
        <x:f>IF(ISNUMBER(Y3223),ROUND(Y3223*0.9,2),"")</x:f>
        <x:v>45.9</x:v>
      </x:c>
      <x:c r="AC3223" s="36" t="n">
        <x:f>IF(ISNUMBER(AB3223),ROUND(AB3223-(AB3223*0.015+0.2)-V3223,2),"")</x:f>
        <x:v>9.61</x:v>
      </x:c>
      <x:c r="AD3223" s="36" t="n">
        <x:f>IF(ISNUMBER(Y3223),ROUND(Y3223*0.8,2),"")</x:f>
        <x:v>40.8</x:v>
      </x:c>
      <x:c r="AE3223" s="36" t="n">
        <x:f>IF(ISNUMBER(AD3223),ROUND(AD3223*0.015+0.2,2),"")</x:f>
        <x:v>0.81</x:v>
      </x:c>
      <x:c r="AF3223" s="36" t="n">
        <x:f>IF(ISNUMBER(AD3223),ROUND(AD3223-AE3223-V3223,2),"")</x:f>
        <x:v>4.59</x:v>
      </x:c>
      <x:c r="AG3223" t="str">
        <x:f>IF(NOT(ISNUMBER(T3223)),"PENDING",IF(AF3223&gt;0,"PASS","FAIL"))</x:f>
        <x:v>PASS</x:v>
      </x:c>
      <x:c r="AH3223" t="str">
        <x:f>IF(NOT(ISNUMBER(T3223)),"Needs supplier cost",IF(K3223&lt;&gt;"In stock","Supplier unavailable",IF(AG3223&lt;&gt;"PASS","BLOCK - GT loss risk","Commercially protected")))</x:f>
        <x:v>Commercially protected</x:v>
      </x:c>
      <x:c r="AI3223" t="str">
        <x:v>2026-09-10 Active Sports trade capture</x:v>
      </x:c>
      <x:c r="AJ3223" t="str">
        <x:v>Management-only economics. Stripe stress test uses 1.5% + £0.20 standard UK online-card fee; pallet/mix-and-match pricing ignored.</x:v>
      </x:c>
    </x:row>
    <x:row r="3224">
      <x:c r="A3224" t="str">
        <x:v>Active Sports Nutrition</x:v>
      </x:c>
      <x:c r="B3224" t="str">
        <x:v>Trained By JP</x:v>
      </x:c>
      <x:c r="C3224" t="str">
        <x:v>Performance Protein</x:v>
      </x:c>
      <x:c r="D3224" t="str">
        <x:v>Supplements</x:v>
      </x:c>
      <x:c r="E3224" t="str">
        <x:v>Whey Protein Blend</x:v>
      </x:c>
      <x:c r="F3224" t="str"/>
      <x:c r="G3224" t="str">
        <x:v>2kg</x:v>
      </x:c>
      <x:c r="H3224" t="str">
        <x:v>Chocolate Orange</x:v>
      </x:c>
      <x:c r="I3224" t="str"/>
      <x:c r="J3224" t="str">
        <x:v>Unit</x:v>
      </x:c>
      <x:c r="K3224" t="str">
        <x:v>In stock</x:v>
      </x:c>
      <x:c r="L3224" t="str">
        <x:v>2026-09-08</x:v>
      </x:c>
      <x:c r="M3224" t="str"/>
      <x:c r="N3224" t="str"/>
      <x:c r="O3224" t="str">
        <x:v>https://www.activesportstrade.co.uk/trained-by-jp-trade</x:v>
      </x:c>
      <x:c r="P3224" t="str"/>
      <x:c r="Q3224" t="str"/>
      <x:c r="R3224" t="str"/>
      <x:c r="S3224" t="str">
        <x:v>Pending genuine supplier/brand image</x:v>
      </x:c>
      <x:c r="T3224" s="54" t="n">
        <x:v>29.5</x:v>
      </x:c>
      <x:c r="U3224" s="47" t="n">
        <x:v>0.2</x:v>
      </x:c>
      <x:c r="V3224" s="54" t="n">
        <x:f>IF(ISNUMBER(T3224),T3224*(1+U3224),"")</x:f>
        <x:v>35.4</x:v>
      </x:c>
      <x:c r="W3224" s="47" t="n">
        <x:v>0.3</x:v>
      </x:c>
      <x:c r="X3224" s="54" t="n">
        <x:f>IF(ISNUMBER(V3224),V3224/(1-W3224),"")</x:f>
        <x:v>50.57142857142857</x:v>
      </x:c>
      <x:c r="Y3224" s="55" t="n">
        <x:f>IF(ISNUMBER(X3224),ROUNDUP(X3224,0),"")</x:f>
        <x:v>51</x:v>
      </x:c>
      <x:c r="Z3224" t="str">
        <x:v>Source match pending</x:v>
      </x:c>
      <x:c r="AA3224" t="str">
        <x:v>screencapture-www-activesportstrade-co-uk-trained-by-jp-trade-2026-09-10-09_10_55.pdf / page-7</x:v>
      </x:c>
      <x:c r="AB3224" s="36" t="n">
        <x:f>IF(ISNUMBER(Y3224),ROUND(Y3224*0.9,2),"")</x:f>
        <x:v>45.9</x:v>
      </x:c>
      <x:c r="AC3224" s="36" t="n">
        <x:f>IF(ISNUMBER(AB3224),ROUND(AB3224-(AB3224*0.015+0.2)-V3224,2),"")</x:f>
        <x:v>9.61</x:v>
      </x:c>
      <x:c r="AD3224" s="36" t="n">
        <x:f>IF(ISNUMBER(Y3224),ROUND(Y3224*0.8,2),"")</x:f>
        <x:v>40.8</x:v>
      </x:c>
      <x:c r="AE3224" s="36" t="n">
        <x:f>IF(ISNUMBER(AD3224),ROUND(AD3224*0.015+0.2,2),"")</x:f>
        <x:v>0.81</x:v>
      </x:c>
      <x:c r="AF3224" s="36" t="n">
        <x:f>IF(ISNUMBER(AD3224),ROUND(AD3224-AE3224-V3224,2),"")</x:f>
        <x:v>4.59</x:v>
      </x:c>
      <x:c r="AG3224" t="str">
        <x:f>IF(NOT(ISNUMBER(T3224)),"PENDING",IF(AF3224&gt;0,"PASS","FAIL"))</x:f>
        <x:v>PASS</x:v>
      </x:c>
      <x:c r="AH3224" t="str">
        <x:f>IF(NOT(ISNUMBER(T3224)),"Needs supplier cost",IF(K3224&lt;&gt;"In stock","Supplier unavailable",IF(AG3224&lt;&gt;"PASS","BLOCK - GT loss risk","Commercially protected")))</x:f>
        <x:v>Commercially protected</x:v>
      </x:c>
      <x:c r="AI3224" t="str">
        <x:v>2026-09-10 Active Sports trade capture</x:v>
      </x:c>
      <x:c r="AJ3224" t="str">
        <x:v>Management-only economics. Stripe stress test uses 1.5% + £0.20 standard UK online-card fee; pallet/mix-and-match pricing ignored.</x:v>
      </x:c>
    </x:row>
    <x:row r="3225">
      <x:c r="A3225" t="str">
        <x:v>Active Sports Nutrition</x:v>
      </x:c>
      <x:c r="B3225" t="str">
        <x:v>Trained By JP</x:v>
      </x:c>
      <x:c r="C3225" t="str">
        <x:v>Performance Protein</x:v>
      </x:c>
      <x:c r="D3225" t="str">
        <x:v>Supplements</x:v>
      </x:c>
      <x:c r="E3225" t="str">
        <x:v>Whey Protein Blend</x:v>
      </x:c>
      <x:c r="F3225" t="str"/>
      <x:c r="G3225" t="str">
        <x:v>2kg</x:v>
      </x:c>
      <x:c r="H3225" t="str">
        <x:v>Chocolate Peanut Butter Cup</x:v>
      </x:c>
      <x:c r="I3225" t="str"/>
      <x:c r="J3225" t="str">
        <x:v>Unit</x:v>
      </x:c>
      <x:c r="K3225" t="str">
        <x:v>In stock</x:v>
      </x:c>
      <x:c r="L3225" t="str">
        <x:v>2026-09-08</x:v>
      </x:c>
      <x:c r="M3225" t="str"/>
      <x:c r="N3225" t="str"/>
      <x:c r="O3225" t="str">
        <x:v>https://www.activesportstrade.co.uk/trained-by-jp-trade</x:v>
      </x:c>
      <x:c r="P3225" t="str"/>
      <x:c r="Q3225" t="str"/>
      <x:c r="R3225" t="str"/>
      <x:c r="S3225" t="str">
        <x:v>Pending genuine supplier/brand image</x:v>
      </x:c>
      <x:c r="T3225" s="54" t="n">
        <x:v>29.5</x:v>
      </x:c>
      <x:c r="U3225" s="47" t="n">
        <x:v>0.2</x:v>
      </x:c>
      <x:c r="V3225" s="54" t="n">
        <x:f>IF(ISNUMBER(T3225),T3225*(1+U3225),"")</x:f>
        <x:v>35.4</x:v>
      </x:c>
      <x:c r="W3225" s="47" t="n">
        <x:v>0.3</x:v>
      </x:c>
      <x:c r="X3225" s="54" t="n">
        <x:f>IF(ISNUMBER(V3225),V3225/(1-W3225),"")</x:f>
        <x:v>50.57142857142857</x:v>
      </x:c>
      <x:c r="Y3225" s="55" t="n">
        <x:f>IF(ISNUMBER(X3225),ROUNDUP(X3225,0),"")</x:f>
        <x:v>51</x:v>
      </x:c>
      <x:c r="Z3225" t="str">
        <x:v>Source match pending</x:v>
      </x:c>
      <x:c r="AA3225" t="str">
        <x:v>screencapture-www-activesportstrade-co-uk-trained-by-jp-trade-2026-09-10-09_10_55.pdf / page-7</x:v>
      </x:c>
      <x:c r="AB3225" s="36" t="n">
        <x:f>IF(ISNUMBER(Y3225),ROUND(Y3225*0.9,2),"")</x:f>
        <x:v>45.9</x:v>
      </x:c>
      <x:c r="AC3225" s="36" t="n">
        <x:f>IF(ISNUMBER(AB3225),ROUND(AB3225-(AB3225*0.015+0.2)-V3225,2),"")</x:f>
        <x:v>9.61</x:v>
      </x:c>
      <x:c r="AD3225" s="36" t="n">
        <x:f>IF(ISNUMBER(Y3225),ROUND(Y3225*0.8,2),"")</x:f>
        <x:v>40.8</x:v>
      </x:c>
      <x:c r="AE3225" s="36" t="n">
        <x:f>IF(ISNUMBER(AD3225),ROUND(AD3225*0.015+0.2,2),"")</x:f>
        <x:v>0.81</x:v>
      </x:c>
      <x:c r="AF3225" s="36" t="n">
        <x:f>IF(ISNUMBER(AD3225),ROUND(AD3225-AE3225-V3225,2),"")</x:f>
        <x:v>4.59</x:v>
      </x:c>
      <x:c r="AG3225" t="str">
        <x:f>IF(NOT(ISNUMBER(T3225)),"PENDING",IF(AF3225&gt;0,"PASS","FAIL"))</x:f>
        <x:v>PASS</x:v>
      </x:c>
      <x:c r="AH3225" t="str">
        <x:f>IF(NOT(ISNUMBER(T3225)),"Needs supplier cost",IF(K3225&lt;&gt;"In stock","Supplier unavailable",IF(AG3225&lt;&gt;"PASS","BLOCK - GT loss risk","Commercially protected")))</x:f>
        <x:v>Commercially protected</x:v>
      </x:c>
      <x:c r="AI3225" t="str">
        <x:v>2026-09-10 Active Sports trade capture</x:v>
      </x:c>
      <x:c r="AJ3225" t="str">
        <x:v>Management-only economics. Stripe stress test uses 1.5% + £0.20 standard UK online-card fee; pallet/mix-and-match pricing ignored.</x:v>
      </x:c>
    </x:row>
    <x:row r="3226">
      <x:c r="A3226" t="str">
        <x:v>Active Sports Nutrition</x:v>
      </x:c>
      <x:c r="B3226" t="str">
        <x:v>Trained By JP</x:v>
      </x:c>
      <x:c r="C3226" t="str">
        <x:v>Performance Protein</x:v>
      </x:c>
      <x:c r="D3226" t="str">
        <x:v>Supplements</x:v>
      </x:c>
      <x:c r="E3226" t="str">
        <x:v>Whey Protein Blend</x:v>
      </x:c>
      <x:c r="F3226" t="str"/>
      <x:c r="G3226" t="str">
        <x:v>2kg</x:v>
      </x:c>
      <x:c r="H3226" t="str">
        <x:v>Chocolate Pistachio</x:v>
      </x:c>
      <x:c r="I3226" t="str"/>
      <x:c r="J3226" t="str">
        <x:v>Unit</x:v>
      </x:c>
      <x:c r="K3226" t="str">
        <x:v>In stock</x:v>
      </x:c>
      <x:c r="L3226" t="str">
        <x:v>2026-09-08</x:v>
      </x:c>
      <x:c r="M3226" t="str"/>
      <x:c r="N3226" t="str"/>
      <x:c r="O3226" t="str">
        <x:v>https://www.activesportstrade.co.uk/trained-by-jp-trade</x:v>
      </x:c>
      <x:c r="P3226" t="str"/>
      <x:c r="Q3226" t="str"/>
      <x:c r="R3226" t="str"/>
      <x:c r="S3226" t="str">
        <x:v>Pending genuine supplier/brand image</x:v>
      </x:c>
      <x:c r="T3226" s="54" t="n">
        <x:v>29.5</x:v>
      </x:c>
      <x:c r="U3226" s="47" t="n">
        <x:v>0.2</x:v>
      </x:c>
      <x:c r="V3226" s="54" t="n">
        <x:f>IF(ISNUMBER(T3226),T3226*(1+U3226),"")</x:f>
        <x:v>35.4</x:v>
      </x:c>
      <x:c r="W3226" s="47" t="n">
        <x:v>0.3</x:v>
      </x:c>
      <x:c r="X3226" s="54" t="n">
        <x:f>IF(ISNUMBER(V3226),V3226/(1-W3226),"")</x:f>
        <x:v>50.57142857142857</x:v>
      </x:c>
      <x:c r="Y3226" s="55" t="n">
        <x:f>IF(ISNUMBER(X3226),ROUNDUP(X3226,0),"")</x:f>
        <x:v>51</x:v>
      </x:c>
      <x:c r="Z3226" t="str">
        <x:v>Source match pending</x:v>
      </x:c>
      <x:c r="AA3226" t="str">
        <x:v>screencapture-www-activesportstrade-co-uk-trained-by-jp-trade-2026-09-10-09_10_55.pdf / page-7</x:v>
      </x:c>
      <x:c r="AB3226" s="36" t="n">
        <x:f>IF(ISNUMBER(Y3226),ROUND(Y3226*0.9,2),"")</x:f>
        <x:v>45.9</x:v>
      </x:c>
      <x:c r="AC3226" s="36" t="n">
        <x:f>IF(ISNUMBER(AB3226),ROUND(AB3226-(AB3226*0.015+0.2)-V3226,2),"")</x:f>
        <x:v>9.61</x:v>
      </x:c>
      <x:c r="AD3226" s="36" t="n">
        <x:f>IF(ISNUMBER(Y3226),ROUND(Y3226*0.8,2),"")</x:f>
        <x:v>40.8</x:v>
      </x:c>
      <x:c r="AE3226" s="36" t="n">
        <x:f>IF(ISNUMBER(AD3226),ROUND(AD3226*0.015+0.2,2),"")</x:f>
        <x:v>0.81</x:v>
      </x:c>
      <x:c r="AF3226" s="36" t="n">
        <x:f>IF(ISNUMBER(AD3226),ROUND(AD3226-AE3226-V3226,2),"")</x:f>
        <x:v>4.59</x:v>
      </x:c>
      <x:c r="AG3226" t="str">
        <x:f>IF(NOT(ISNUMBER(T3226)),"PENDING",IF(AF3226&gt;0,"PASS","FAIL"))</x:f>
        <x:v>PASS</x:v>
      </x:c>
      <x:c r="AH3226" t="str">
        <x:f>IF(NOT(ISNUMBER(T3226)),"Needs supplier cost",IF(K3226&lt;&gt;"In stock","Supplier unavailable",IF(AG3226&lt;&gt;"PASS","BLOCK - GT loss risk","Commercially protected")))</x:f>
        <x:v>Commercially protected</x:v>
      </x:c>
      <x:c r="AI3226" t="str">
        <x:v>2026-09-10 Active Sports trade capture</x:v>
      </x:c>
      <x:c r="AJ3226" t="str">
        <x:v>Management-only economics. Stripe stress test uses 1.5% + £0.20 standard UK online-card fee; pallet/mix-and-match pricing ignored.</x:v>
      </x:c>
    </x:row>
    <x:row r="3227">
      <x:c r="A3227" t="str">
        <x:v>Active Sports Nutrition</x:v>
      </x:c>
      <x:c r="B3227" t="str">
        <x:v>Trained By JP</x:v>
      </x:c>
      <x:c r="C3227" t="str">
        <x:v>Performance Protein</x:v>
      </x:c>
      <x:c r="D3227" t="str">
        <x:v>Supplements</x:v>
      </x:c>
      <x:c r="E3227" t="str">
        <x:v>Whey Protein Blend</x:v>
      </x:c>
      <x:c r="F3227" t="str"/>
      <x:c r="G3227" t="str">
        <x:v>2kg</x:v>
      </x:c>
      <x:c r="H3227" t="str">
        <x:v>Cinnamon Danish</x:v>
      </x:c>
      <x:c r="I3227" t="str"/>
      <x:c r="J3227" t="str">
        <x:v>Unit</x:v>
      </x:c>
      <x:c r="K3227" t="str">
        <x:v>Out of stock</x:v>
      </x:c>
      <x:c r="L3227" t="str">
        <x:v>2026-09-08</x:v>
      </x:c>
      <x:c r="M3227" t="str"/>
      <x:c r="N3227" t="str"/>
      <x:c r="O3227" t="str">
        <x:v>https://www.activesportstrade.co.uk/trained-by-jp-trade</x:v>
      </x:c>
      <x:c r="P3227" t="str"/>
      <x:c r="Q3227" t="str"/>
      <x:c r="R3227" t="str"/>
      <x:c r="S3227" t="str">
        <x:v>Pending genuine supplier/brand image</x:v>
      </x:c>
      <x:c r="T3227" s="54" t="n">
        <x:v>29.5</x:v>
      </x:c>
      <x:c r="U3227" s="47" t="n">
        <x:v>0.2</x:v>
      </x:c>
      <x:c r="V3227" s="54" t="n">
        <x:f>IF(ISNUMBER(T3227),T3227*(1+U3227),"")</x:f>
        <x:v>35.4</x:v>
      </x:c>
      <x:c r="W3227" s="47" t="n">
        <x:v>0.3</x:v>
      </x:c>
      <x:c r="X3227" s="54" t="n">
        <x:f>IF(ISNUMBER(V3227),V3227/(1-W3227),"")</x:f>
        <x:v>50.57142857142857</x:v>
      </x:c>
      <x:c r="Y3227" s="55" t="n">
        <x:f>IF(ISNUMBER(X3227),ROUNDUP(X3227,0),"")</x:f>
        <x:v>51</x:v>
      </x:c>
      <x:c r="Z3227" t="str">
        <x:v>Source match pending</x:v>
      </x:c>
      <x:c r="AA3227" t="str">
        <x:v>screencapture-www-activesportstrade-co-uk-trained-by-jp-trade-2026-09-10-09_10_55.pdf / page-7</x:v>
      </x:c>
      <x:c r="AB3227" s="36" t="n">
        <x:f>IF(ISNUMBER(Y3227),ROUND(Y3227*0.9,2),"")</x:f>
        <x:v>45.9</x:v>
      </x:c>
      <x:c r="AC3227" s="36" t="n">
        <x:f>IF(ISNUMBER(AB3227),ROUND(AB3227-(AB3227*0.015+0.2)-V3227,2),"")</x:f>
        <x:v>9.61</x:v>
      </x:c>
      <x:c r="AD3227" s="36" t="n">
        <x:f>IF(ISNUMBER(Y3227),ROUND(Y3227*0.8,2),"")</x:f>
        <x:v>40.8</x:v>
      </x:c>
      <x:c r="AE3227" s="36" t="n">
        <x:f>IF(ISNUMBER(AD3227),ROUND(AD3227*0.015+0.2,2),"")</x:f>
        <x:v>0.81</x:v>
      </x:c>
      <x:c r="AF3227" s="36" t="n">
        <x:f>IF(ISNUMBER(AD3227),ROUND(AD3227-AE3227-V3227,2),"")</x:f>
        <x:v>4.59</x:v>
      </x:c>
      <x:c r="AG3227" t="str">
        <x:f>IF(NOT(ISNUMBER(T3227)),"PENDING",IF(AF3227&gt;0,"PASS","FAIL"))</x:f>
        <x:v>PASS</x:v>
      </x:c>
      <x:c r="AH3227" t="str">
        <x:f>IF(NOT(ISNUMBER(T3227)),"Needs supplier cost",IF(K3227&lt;&gt;"In stock","Supplier unavailable",IF(AG3227&lt;&gt;"PASS","BLOCK - GT loss risk","Commercially protected")))</x:f>
        <x:v>Supplier unavailable</x:v>
      </x:c>
      <x:c r="AI3227" t="str">
        <x:v>2026-09-10 Active Sports trade capture</x:v>
      </x:c>
      <x:c r="AJ3227" t="str">
        <x:v>Management-only economics. Stripe stress test uses 1.5% + £0.20 standard UK online-card fee; pallet/mix-and-match pricing ignored.</x:v>
      </x:c>
    </x:row>
    <x:row r="3228">
      <x:c r="A3228" t="str">
        <x:v>Active Sports Nutrition</x:v>
      </x:c>
      <x:c r="B3228" t="str">
        <x:v>Trained By JP</x:v>
      </x:c>
      <x:c r="C3228" t="str">
        <x:v>Performance Protein</x:v>
      </x:c>
      <x:c r="D3228" t="str">
        <x:v>Supplements</x:v>
      </x:c>
      <x:c r="E3228" t="str">
        <x:v>Whey Protein Blend</x:v>
      </x:c>
      <x:c r="F3228" t="str"/>
      <x:c r="G3228" t="str">
        <x:v>2kg</x:v>
      </x:c>
      <x:c r="H3228" t="str">
        <x:v>Coffee Caramel</x:v>
      </x:c>
      <x:c r="I3228" t="str"/>
      <x:c r="J3228" t="str">
        <x:v>Unit</x:v>
      </x:c>
      <x:c r="K3228" t="str">
        <x:v>In stock</x:v>
      </x:c>
      <x:c r="L3228" t="str">
        <x:v>2026-09-08</x:v>
      </x:c>
      <x:c r="M3228" t="str"/>
      <x:c r="N3228" t="str"/>
      <x:c r="O3228" t="str">
        <x:v>https://www.activesportstrade.co.uk/trained-by-jp-trade</x:v>
      </x:c>
      <x:c r="P3228" t="str"/>
      <x:c r="Q3228" t="str"/>
      <x:c r="R3228" t="str"/>
      <x:c r="S3228" t="str">
        <x:v>Pending genuine supplier/brand image</x:v>
      </x:c>
      <x:c r="T3228" s="54" t="n">
        <x:v>29.5</x:v>
      </x:c>
      <x:c r="U3228" s="47" t="n">
        <x:v>0.2</x:v>
      </x:c>
      <x:c r="V3228" s="54" t="n">
        <x:f>IF(ISNUMBER(T3228),T3228*(1+U3228),"")</x:f>
        <x:v>35.4</x:v>
      </x:c>
      <x:c r="W3228" s="47" t="n">
        <x:v>0.3</x:v>
      </x:c>
      <x:c r="X3228" s="54" t="n">
        <x:f>IF(ISNUMBER(V3228),V3228/(1-W3228),"")</x:f>
        <x:v>50.57142857142857</x:v>
      </x:c>
      <x:c r="Y3228" s="55" t="n">
        <x:f>IF(ISNUMBER(X3228),ROUNDUP(X3228,0),"")</x:f>
        <x:v>51</x:v>
      </x:c>
      <x:c r="Z3228" t="str">
        <x:v>Source match pending</x:v>
      </x:c>
      <x:c r="AA3228" t="str">
        <x:v>screencapture-www-activesportstrade-co-uk-trained-by-jp-trade-2026-09-10-09_10_55.pdf / page-7</x:v>
      </x:c>
      <x:c r="AB3228" s="36" t="n">
        <x:f>IF(ISNUMBER(Y3228),ROUND(Y3228*0.9,2),"")</x:f>
        <x:v>45.9</x:v>
      </x:c>
      <x:c r="AC3228" s="36" t="n">
        <x:f>IF(ISNUMBER(AB3228),ROUND(AB3228-(AB3228*0.015+0.2)-V3228,2),"")</x:f>
        <x:v>9.61</x:v>
      </x:c>
      <x:c r="AD3228" s="36" t="n">
        <x:f>IF(ISNUMBER(Y3228),ROUND(Y3228*0.8,2),"")</x:f>
        <x:v>40.8</x:v>
      </x:c>
      <x:c r="AE3228" s="36" t="n">
        <x:f>IF(ISNUMBER(AD3228),ROUND(AD3228*0.015+0.2,2),"")</x:f>
        <x:v>0.81</x:v>
      </x:c>
      <x:c r="AF3228" s="36" t="n">
        <x:f>IF(ISNUMBER(AD3228),ROUND(AD3228-AE3228-V3228,2),"")</x:f>
        <x:v>4.59</x:v>
      </x:c>
      <x:c r="AG3228" t="str">
        <x:f>IF(NOT(ISNUMBER(T3228)),"PENDING",IF(AF3228&gt;0,"PASS","FAIL"))</x:f>
        <x:v>PASS</x:v>
      </x:c>
      <x:c r="AH3228" t="str">
        <x:f>IF(NOT(ISNUMBER(T3228)),"Needs supplier cost",IF(K3228&lt;&gt;"In stock","Supplier unavailable",IF(AG3228&lt;&gt;"PASS","BLOCK - GT loss risk","Commercially protected")))</x:f>
        <x:v>Commercially protected</x:v>
      </x:c>
      <x:c r="AI3228" t="str">
        <x:v>2026-09-10 Active Sports trade capture</x:v>
      </x:c>
      <x:c r="AJ3228" t="str">
        <x:v>Management-only economics. Stripe stress test uses 1.5% + £0.20 standard UK online-card fee; pallet/mix-and-match pricing ignored.</x:v>
      </x:c>
    </x:row>
    <x:row r="3229">
      <x:c r="A3229" t="str">
        <x:v>Active Sports Nutrition</x:v>
      </x:c>
      <x:c r="B3229" t="str">
        <x:v>Trained By JP</x:v>
      </x:c>
      <x:c r="C3229" t="str">
        <x:v>Performance Protein</x:v>
      </x:c>
      <x:c r="D3229" t="str">
        <x:v>Supplements</x:v>
      </x:c>
      <x:c r="E3229" t="str">
        <x:v>Whey Protein Blend</x:v>
      </x:c>
      <x:c r="F3229" t="str"/>
      <x:c r="G3229" t="str">
        <x:v>2kg</x:v>
      </x:c>
      <x:c r="H3229" t="str">
        <x:v>Cookies &amp; Cream</x:v>
      </x:c>
      <x:c r="I3229" t="str"/>
      <x:c r="J3229" t="str">
        <x:v>Unit</x:v>
      </x:c>
      <x:c r="K3229" t="str">
        <x:v>In stock</x:v>
      </x:c>
      <x:c r="L3229" t="str">
        <x:v>2026-09-08</x:v>
      </x:c>
      <x:c r="M3229" t="str"/>
      <x:c r="N3229" t="str"/>
      <x:c r="O3229" t="str">
        <x:v>https://www.activesportstrade.co.uk/trained-by-jp-trade</x:v>
      </x:c>
      <x:c r="P3229" t="str"/>
      <x:c r="Q3229" t="str"/>
      <x:c r="R3229" t="str"/>
      <x:c r="S3229" t="str">
        <x:v>Pending genuine supplier/brand image</x:v>
      </x:c>
      <x:c r="T3229" s="54" t="n">
        <x:v>29.5</x:v>
      </x:c>
      <x:c r="U3229" s="47" t="n">
        <x:v>0.2</x:v>
      </x:c>
      <x:c r="V3229" s="54" t="n">
        <x:f>IF(ISNUMBER(T3229),T3229*(1+U3229),"")</x:f>
        <x:v>35.4</x:v>
      </x:c>
      <x:c r="W3229" s="47" t="n">
        <x:v>0.3</x:v>
      </x:c>
      <x:c r="X3229" s="54" t="n">
        <x:f>IF(ISNUMBER(V3229),V3229/(1-W3229),"")</x:f>
        <x:v>50.57142857142857</x:v>
      </x:c>
      <x:c r="Y3229" s="55" t="n">
        <x:f>IF(ISNUMBER(X3229),ROUNDUP(X3229,0),"")</x:f>
        <x:v>51</x:v>
      </x:c>
      <x:c r="Z3229" t="str">
        <x:v>Source match pending</x:v>
      </x:c>
      <x:c r="AA3229" t="str">
        <x:v>screencapture-www-activesportstrade-co-uk-trained-by-jp-trade-2026-09-10-09_10_55.pdf / page-7</x:v>
      </x:c>
      <x:c r="AB3229" s="36" t="n">
        <x:f>IF(ISNUMBER(Y3229),ROUND(Y3229*0.9,2),"")</x:f>
        <x:v>45.9</x:v>
      </x:c>
      <x:c r="AC3229" s="36" t="n">
        <x:f>IF(ISNUMBER(AB3229),ROUND(AB3229-(AB3229*0.015+0.2)-V3229,2),"")</x:f>
        <x:v>9.61</x:v>
      </x:c>
      <x:c r="AD3229" s="36" t="n">
        <x:f>IF(ISNUMBER(Y3229),ROUND(Y3229*0.8,2),"")</x:f>
        <x:v>40.8</x:v>
      </x:c>
      <x:c r="AE3229" s="36" t="n">
        <x:f>IF(ISNUMBER(AD3229),ROUND(AD3229*0.015+0.2,2),"")</x:f>
        <x:v>0.81</x:v>
      </x:c>
      <x:c r="AF3229" s="36" t="n">
        <x:f>IF(ISNUMBER(AD3229),ROUND(AD3229-AE3229-V3229,2),"")</x:f>
        <x:v>4.59</x:v>
      </x:c>
      <x:c r="AG3229" t="str">
        <x:f>IF(NOT(ISNUMBER(T3229)),"PENDING",IF(AF3229&gt;0,"PASS","FAIL"))</x:f>
        <x:v>PASS</x:v>
      </x:c>
      <x:c r="AH3229" t="str">
        <x:f>IF(NOT(ISNUMBER(T3229)),"Needs supplier cost",IF(K3229&lt;&gt;"In stock","Supplier unavailable",IF(AG3229&lt;&gt;"PASS","BLOCK - GT loss risk","Commercially protected")))</x:f>
        <x:v>Commercially protected</x:v>
      </x:c>
      <x:c r="AI3229" t="str">
        <x:v>2026-09-10 Active Sports trade capture</x:v>
      </x:c>
      <x:c r="AJ3229" t="str">
        <x:v>Management-only economics. Stripe stress test uses 1.5% + £0.20 standard UK online-card fee; pallet/mix-and-match pricing ignored.</x:v>
      </x:c>
    </x:row>
    <x:row r="3230">
      <x:c r="A3230" t="str">
        <x:v>Active Sports Nutrition</x:v>
      </x:c>
      <x:c r="B3230" t="str">
        <x:v>Trained By JP</x:v>
      </x:c>
      <x:c r="C3230" t="str">
        <x:v>Performance Protein</x:v>
      </x:c>
      <x:c r="D3230" t="str">
        <x:v>Supplements</x:v>
      </x:c>
      <x:c r="E3230" t="str">
        <x:v>Whey Protein Blend</x:v>
      </x:c>
      <x:c r="F3230" t="str"/>
      <x:c r="G3230" t="str">
        <x:v>2kg</x:v>
      </x:c>
      <x:c r="H3230" t="str">
        <x:v>Custard Cream</x:v>
      </x:c>
      <x:c r="I3230" t="str"/>
      <x:c r="J3230" t="str">
        <x:v>Unit</x:v>
      </x:c>
      <x:c r="K3230" t="str">
        <x:v>Out of stock</x:v>
      </x:c>
      <x:c r="L3230" t="str">
        <x:v>2026-09-08</x:v>
      </x:c>
      <x:c r="M3230" t="str"/>
      <x:c r="N3230" t="str"/>
      <x:c r="O3230" t="str">
        <x:v>https://www.activesportstrade.co.uk/trained-by-jp-trade</x:v>
      </x:c>
      <x:c r="P3230" t="str"/>
      <x:c r="Q3230" t="str"/>
      <x:c r="R3230" t="str"/>
      <x:c r="S3230" t="str">
        <x:v>Pending genuine supplier/brand image</x:v>
      </x:c>
      <x:c r="T3230" s="54" t="n">
        <x:v>29.5</x:v>
      </x:c>
      <x:c r="U3230" s="47" t="n">
        <x:v>0.2</x:v>
      </x:c>
      <x:c r="V3230" s="54" t="n">
        <x:f>IF(ISNUMBER(T3230),T3230*(1+U3230),"")</x:f>
        <x:v>35.4</x:v>
      </x:c>
      <x:c r="W3230" s="47" t="n">
        <x:v>0.3</x:v>
      </x:c>
      <x:c r="X3230" s="54" t="n">
        <x:f>IF(ISNUMBER(V3230),V3230/(1-W3230),"")</x:f>
        <x:v>50.57142857142857</x:v>
      </x:c>
      <x:c r="Y3230" s="55" t="n">
        <x:f>IF(ISNUMBER(X3230),ROUNDUP(X3230,0),"")</x:f>
        <x:v>51</x:v>
      </x:c>
      <x:c r="Z3230" t="str">
        <x:v>Source match pending</x:v>
      </x:c>
      <x:c r="AA3230" t="str">
        <x:v>screencapture-www-activesportstrade-co-uk-trained-by-jp-trade-2026-09-10-09_10_55.pdf / page-7</x:v>
      </x:c>
      <x:c r="AB3230" s="36" t="n">
        <x:f>IF(ISNUMBER(Y3230),ROUND(Y3230*0.9,2),"")</x:f>
        <x:v>45.9</x:v>
      </x:c>
      <x:c r="AC3230" s="36" t="n">
        <x:f>IF(ISNUMBER(AB3230),ROUND(AB3230-(AB3230*0.015+0.2)-V3230,2),"")</x:f>
        <x:v>9.61</x:v>
      </x:c>
      <x:c r="AD3230" s="36" t="n">
        <x:f>IF(ISNUMBER(Y3230),ROUND(Y3230*0.8,2),"")</x:f>
        <x:v>40.8</x:v>
      </x:c>
      <x:c r="AE3230" s="36" t="n">
        <x:f>IF(ISNUMBER(AD3230),ROUND(AD3230*0.015+0.2,2),"")</x:f>
        <x:v>0.81</x:v>
      </x:c>
      <x:c r="AF3230" s="36" t="n">
        <x:f>IF(ISNUMBER(AD3230),ROUND(AD3230-AE3230-V3230,2),"")</x:f>
        <x:v>4.59</x:v>
      </x:c>
      <x:c r="AG3230" t="str">
        <x:f>IF(NOT(ISNUMBER(T3230)),"PENDING",IF(AF3230&gt;0,"PASS","FAIL"))</x:f>
        <x:v>PASS</x:v>
      </x:c>
      <x:c r="AH3230" t="str">
        <x:f>IF(NOT(ISNUMBER(T3230)),"Needs supplier cost",IF(K3230&lt;&gt;"In stock","Supplier unavailable",IF(AG3230&lt;&gt;"PASS","BLOCK - GT loss risk","Commercially protected")))</x:f>
        <x:v>Supplier unavailable</x:v>
      </x:c>
      <x:c r="AI3230" t="str">
        <x:v>2026-09-10 Active Sports trade capture</x:v>
      </x:c>
      <x:c r="AJ3230" t="str">
        <x:v>Management-only economics. Stripe stress test uses 1.5% + £0.20 standard UK online-card fee; pallet/mix-and-match pricing ignored.</x:v>
      </x:c>
    </x:row>
    <x:row r="3231">
      <x:c r="A3231" t="str">
        <x:v>Active Sports Nutrition</x:v>
      </x:c>
      <x:c r="B3231" t="str">
        <x:v>Trained By JP</x:v>
      </x:c>
      <x:c r="C3231" t="str">
        <x:v>Performance Protein</x:v>
      </x:c>
      <x:c r="D3231" t="str">
        <x:v>Supplements</x:v>
      </x:c>
      <x:c r="E3231" t="str">
        <x:v>Whey Protein Blend</x:v>
      </x:c>
      <x:c r="F3231" t="str"/>
      <x:c r="G3231" t="str">
        <x:v>2kg</x:v>
      </x:c>
      <x:c r="H3231" t="str">
        <x:v>Dark Chocolate Salted Caramel</x:v>
      </x:c>
      <x:c r="I3231" t="str"/>
      <x:c r="J3231" t="str">
        <x:v>Unit</x:v>
      </x:c>
      <x:c r="K3231" t="str">
        <x:v>Out of stock</x:v>
      </x:c>
      <x:c r="L3231" t="str">
        <x:v>2026-09-08</x:v>
      </x:c>
      <x:c r="M3231" t="str"/>
      <x:c r="N3231" t="str"/>
      <x:c r="O3231" t="str">
        <x:v>https://www.activesportstrade.co.uk/trained-by-jp-trade</x:v>
      </x:c>
      <x:c r="P3231" t="str"/>
      <x:c r="Q3231" t="str"/>
      <x:c r="R3231" t="str"/>
      <x:c r="S3231" t="str">
        <x:v>Pending genuine supplier/brand image</x:v>
      </x:c>
      <x:c r="T3231" s="54" t="n">
        <x:v>29.5</x:v>
      </x:c>
      <x:c r="U3231" s="47" t="n">
        <x:v>0.2</x:v>
      </x:c>
      <x:c r="V3231" s="54" t="n">
        <x:f>IF(ISNUMBER(T3231),T3231*(1+U3231),"")</x:f>
        <x:v>35.4</x:v>
      </x:c>
      <x:c r="W3231" s="47" t="n">
        <x:v>0.3</x:v>
      </x:c>
      <x:c r="X3231" s="54" t="n">
        <x:f>IF(ISNUMBER(V3231),V3231/(1-W3231),"")</x:f>
        <x:v>50.57142857142857</x:v>
      </x:c>
      <x:c r="Y3231" s="55" t="n">
        <x:f>IF(ISNUMBER(X3231),ROUNDUP(X3231,0),"")</x:f>
        <x:v>51</x:v>
      </x:c>
      <x:c r="Z3231" t="str">
        <x:v>Source match pending</x:v>
      </x:c>
      <x:c r="AA3231" t="str">
        <x:v>screencapture-www-activesportstrade-co-uk-trained-by-jp-trade-2026-09-10-09_10_55.pdf / page-7</x:v>
      </x:c>
      <x:c r="AB3231" s="36" t="n">
        <x:f>IF(ISNUMBER(Y3231),ROUND(Y3231*0.9,2),"")</x:f>
        <x:v>45.9</x:v>
      </x:c>
      <x:c r="AC3231" s="36" t="n">
        <x:f>IF(ISNUMBER(AB3231),ROUND(AB3231-(AB3231*0.015+0.2)-V3231,2),"")</x:f>
        <x:v>9.61</x:v>
      </x:c>
      <x:c r="AD3231" s="36" t="n">
        <x:f>IF(ISNUMBER(Y3231),ROUND(Y3231*0.8,2),"")</x:f>
        <x:v>40.8</x:v>
      </x:c>
      <x:c r="AE3231" s="36" t="n">
        <x:f>IF(ISNUMBER(AD3231),ROUND(AD3231*0.015+0.2,2),"")</x:f>
        <x:v>0.81</x:v>
      </x:c>
      <x:c r="AF3231" s="36" t="n">
        <x:f>IF(ISNUMBER(AD3231),ROUND(AD3231-AE3231-V3231,2),"")</x:f>
        <x:v>4.59</x:v>
      </x:c>
      <x:c r="AG3231" t="str">
        <x:f>IF(NOT(ISNUMBER(T3231)),"PENDING",IF(AF3231&gt;0,"PASS","FAIL"))</x:f>
        <x:v>PASS</x:v>
      </x:c>
      <x:c r="AH3231" t="str">
        <x:f>IF(NOT(ISNUMBER(T3231)),"Needs supplier cost",IF(K3231&lt;&gt;"In stock","Supplier unavailable",IF(AG3231&lt;&gt;"PASS","BLOCK - GT loss risk","Commercially protected")))</x:f>
        <x:v>Supplier unavailable</x:v>
      </x:c>
      <x:c r="AI3231" t="str">
        <x:v>2026-09-10 Active Sports trade capture</x:v>
      </x:c>
      <x:c r="AJ3231" t="str">
        <x:v>Management-only economics. Stripe stress test uses 1.5% + £0.20 standard UK online-card fee; pallet/mix-and-match pricing ignored.</x:v>
      </x:c>
    </x:row>
    <x:row r="3232">
      <x:c r="A3232" t="str">
        <x:v>Active Sports Nutrition</x:v>
      </x:c>
      <x:c r="B3232" t="str">
        <x:v>Trained By JP</x:v>
      </x:c>
      <x:c r="C3232" t="str">
        <x:v>Performance Protein</x:v>
      </x:c>
      <x:c r="D3232" t="str">
        <x:v>Supplements</x:v>
      </x:c>
      <x:c r="E3232" t="str">
        <x:v>Whey Protein Blend</x:v>
      </x:c>
      <x:c r="F3232" t="str"/>
      <x:c r="G3232" t="str">
        <x:v>2kg</x:v>
      </x:c>
      <x:c r="H3232" t="str">
        <x:v>Lemon Meringue</x:v>
      </x:c>
      <x:c r="I3232" t="str"/>
      <x:c r="J3232" t="str">
        <x:v>Unit</x:v>
      </x:c>
      <x:c r="K3232" t="str">
        <x:v>Out of stock</x:v>
      </x:c>
      <x:c r="L3232" t="str">
        <x:v>2026-09-08</x:v>
      </x:c>
      <x:c r="M3232" t="str"/>
      <x:c r="N3232" t="str"/>
      <x:c r="O3232" t="str">
        <x:v>https://www.activesportstrade.co.uk/trained-by-jp-trade</x:v>
      </x:c>
      <x:c r="P3232" t="str"/>
      <x:c r="Q3232" t="str"/>
      <x:c r="R3232" t="str"/>
      <x:c r="S3232" t="str">
        <x:v>Pending genuine supplier/brand image</x:v>
      </x:c>
      <x:c r="T3232" s="54" t="n">
        <x:v>29.5</x:v>
      </x:c>
      <x:c r="U3232" s="47" t="n">
        <x:v>0.2</x:v>
      </x:c>
      <x:c r="V3232" s="54" t="n">
        <x:f>IF(ISNUMBER(T3232),T3232*(1+U3232),"")</x:f>
        <x:v>35.4</x:v>
      </x:c>
      <x:c r="W3232" s="47" t="n">
        <x:v>0.3</x:v>
      </x:c>
      <x:c r="X3232" s="54" t="n">
        <x:f>IF(ISNUMBER(V3232),V3232/(1-W3232),"")</x:f>
        <x:v>50.57142857142857</x:v>
      </x:c>
      <x:c r="Y3232" s="55" t="n">
        <x:f>IF(ISNUMBER(X3232),ROUNDUP(X3232,0),"")</x:f>
        <x:v>51</x:v>
      </x:c>
      <x:c r="Z3232" t="str">
        <x:v>Source match pending</x:v>
      </x:c>
      <x:c r="AA3232" t="str">
        <x:v>screencapture-www-activesportstrade-co-uk-trained-by-jp-trade-2026-09-10-09_10_55.pdf / page-7</x:v>
      </x:c>
      <x:c r="AB3232" s="36" t="n">
        <x:f>IF(ISNUMBER(Y3232),ROUND(Y3232*0.9,2),"")</x:f>
        <x:v>45.9</x:v>
      </x:c>
      <x:c r="AC3232" s="36" t="n">
        <x:f>IF(ISNUMBER(AB3232),ROUND(AB3232-(AB3232*0.015+0.2)-V3232,2),"")</x:f>
        <x:v>9.61</x:v>
      </x:c>
      <x:c r="AD3232" s="36" t="n">
        <x:f>IF(ISNUMBER(Y3232),ROUND(Y3232*0.8,2),"")</x:f>
        <x:v>40.8</x:v>
      </x:c>
      <x:c r="AE3232" s="36" t="n">
        <x:f>IF(ISNUMBER(AD3232),ROUND(AD3232*0.015+0.2,2),"")</x:f>
        <x:v>0.81</x:v>
      </x:c>
      <x:c r="AF3232" s="36" t="n">
        <x:f>IF(ISNUMBER(AD3232),ROUND(AD3232-AE3232-V3232,2),"")</x:f>
        <x:v>4.59</x:v>
      </x:c>
      <x:c r="AG3232" t="str">
        <x:f>IF(NOT(ISNUMBER(T3232)),"PENDING",IF(AF3232&gt;0,"PASS","FAIL"))</x:f>
        <x:v>PASS</x:v>
      </x:c>
      <x:c r="AH3232" t="str">
        <x:f>IF(NOT(ISNUMBER(T3232)),"Needs supplier cost",IF(K3232&lt;&gt;"In stock","Supplier unavailable",IF(AG3232&lt;&gt;"PASS","BLOCK - GT loss risk","Commercially protected")))</x:f>
        <x:v>Supplier unavailable</x:v>
      </x:c>
      <x:c r="AI3232" t="str">
        <x:v>2026-09-10 Active Sports trade capture</x:v>
      </x:c>
      <x:c r="AJ3232" t="str">
        <x:v>Management-only economics. Stripe stress test uses 1.5% + £0.20 standard UK online-card fee; pallet/mix-and-match pricing ignored.</x:v>
      </x:c>
    </x:row>
    <x:row r="3233">
      <x:c r="A3233" t="str">
        <x:v>Active Sports Nutrition</x:v>
      </x:c>
      <x:c r="B3233" t="str">
        <x:v>Trained By JP</x:v>
      </x:c>
      <x:c r="C3233" t="str">
        <x:v>Performance Protein</x:v>
      </x:c>
      <x:c r="D3233" t="str">
        <x:v>Supplements</x:v>
      </x:c>
      <x:c r="E3233" t="str">
        <x:v>Whey Protein Blend</x:v>
      </x:c>
      <x:c r="F3233" t="str"/>
      <x:c r="G3233" t="str">
        <x:v>2kg</x:v>
      </x:c>
      <x:c r="H3233" t="str">
        <x:v>Malted Chocolate</x:v>
      </x:c>
      <x:c r="I3233" t="str"/>
      <x:c r="J3233" t="str">
        <x:v>Unit</x:v>
      </x:c>
      <x:c r="K3233" t="str">
        <x:v>Out of stock</x:v>
      </x:c>
      <x:c r="L3233" t="str">
        <x:v>2026-09-08</x:v>
      </x:c>
      <x:c r="M3233" t="str"/>
      <x:c r="N3233" t="str"/>
      <x:c r="O3233" t="str">
        <x:v>https://www.activesportstrade.co.uk/trained-by-jp-trade</x:v>
      </x:c>
      <x:c r="P3233" t="str"/>
      <x:c r="Q3233" t="str"/>
      <x:c r="R3233" t="str"/>
      <x:c r="S3233" t="str">
        <x:v>Pending genuine supplier/brand image</x:v>
      </x:c>
      <x:c r="T3233" s="54" t="n">
        <x:v>29.5</x:v>
      </x:c>
      <x:c r="U3233" s="47" t="n">
        <x:v>0.2</x:v>
      </x:c>
      <x:c r="V3233" s="54" t="n">
        <x:f>IF(ISNUMBER(T3233),T3233*(1+U3233),"")</x:f>
        <x:v>35.4</x:v>
      </x:c>
      <x:c r="W3233" s="47" t="n">
        <x:v>0.3</x:v>
      </x:c>
      <x:c r="X3233" s="54" t="n">
        <x:f>IF(ISNUMBER(V3233),V3233/(1-W3233),"")</x:f>
        <x:v>50.57142857142857</x:v>
      </x:c>
      <x:c r="Y3233" s="55" t="n">
        <x:f>IF(ISNUMBER(X3233),ROUNDUP(X3233,0),"")</x:f>
        <x:v>51</x:v>
      </x:c>
      <x:c r="Z3233" t="str">
        <x:v>Source match pending</x:v>
      </x:c>
      <x:c r="AA3233" t="str">
        <x:v>screencapture-www-activesportstrade-co-uk-trained-by-jp-trade-2026-09-10-09_10_55.pdf / page-7</x:v>
      </x:c>
      <x:c r="AB3233" s="36" t="n">
        <x:f>IF(ISNUMBER(Y3233),ROUND(Y3233*0.9,2),"")</x:f>
        <x:v>45.9</x:v>
      </x:c>
      <x:c r="AC3233" s="36" t="n">
        <x:f>IF(ISNUMBER(AB3233),ROUND(AB3233-(AB3233*0.015+0.2)-V3233,2),"")</x:f>
        <x:v>9.61</x:v>
      </x:c>
      <x:c r="AD3233" s="36" t="n">
        <x:f>IF(ISNUMBER(Y3233),ROUND(Y3233*0.8,2),"")</x:f>
        <x:v>40.8</x:v>
      </x:c>
      <x:c r="AE3233" s="36" t="n">
        <x:f>IF(ISNUMBER(AD3233),ROUND(AD3233*0.015+0.2,2),"")</x:f>
        <x:v>0.81</x:v>
      </x:c>
      <x:c r="AF3233" s="36" t="n">
        <x:f>IF(ISNUMBER(AD3233),ROUND(AD3233-AE3233-V3233,2),"")</x:f>
        <x:v>4.59</x:v>
      </x:c>
      <x:c r="AG3233" t="str">
        <x:f>IF(NOT(ISNUMBER(T3233)),"PENDING",IF(AF3233&gt;0,"PASS","FAIL"))</x:f>
        <x:v>PASS</x:v>
      </x:c>
      <x:c r="AH3233" t="str">
        <x:f>IF(NOT(ISNUMBER(T3233)),"Needs supplier cost",IF(K3233&lt;&gt;"In stock","Supplier unavailable",IF(AG3233&lt;&gt;"PASS","BLOCK - GT loss risk","Commercially protected")))</x:f>
        <x:v>Supplier unavailable</x:v>
      </x:c>
      <x:c r="AI3233" t="str">
        <x:v>2026-09-10 Active Sports trade capture</x:v>
      </x:c>
      <x:c r="AJ3233" t="str">
        <x:v>Management-only economics. Stripe stress test uses 1.5% + £0.20 standard UK online-card fee; pallet/mix-and-match pricing ignored.</x:v>
      </x:c>
    </x:row>
    <x:row r="3234">
      <x:c r="A3234" t="str">
        <x:v>Active Sports Nutrition</x:v>
      </x:c>
      <x:c r="B3234" t="str">
        <x:v>Trained By JP</x:v>
      </x:c>
      <x:c r="C3234" t="str">
        <x:v>Performance Protein</x:v>
      </x:c>
      <x:c r="D3234" t="str">
        <x:v>Supplements</x:v>
      </x:c>
      <x:c r="E3234" t="str">
        <x:v>Whey Protein Blend</x:v>
      </x:c>
      <x:c r="F3234" t="str"/>
      <x:c r="G3234" t="str">
        <x:v>2kg</x:v>
      </x:c>
      <x:c r="H3234" t="str">
        <x:v>Strawberry Cheesecake</x:v>
      </x:c>
      <x:c r="I3234" t="str"/>
      <x:c r="J3234" t="str">
        <x:v>Unit</x:v>
      </x:c>
      <x:c r="K3234" t="str">
        <x:v>In stock</x:v>
      </x:c>
      <x:c r="L3234" t="str">
        <x:v>2026-09-08</x:v>
      </x:c>
      <x:c r="M3234" t="str"/>
      <x:c r="N3234" t="str"/>
      <x:c r="O3234" t="str">
        <x:v>https://www.activesportstrade.co.uk/trained-by-jp-trade</x:v>
      </x:c>
      <x:c r="P3234" t="str"/>
      <x:c r="Q3234" t="str"/>
      <x:c r="R3234" t="str"/>
      <x:c r="S3234" t="str">
        <x:v>Pending genuine supplier/brand image</x:v>
      </x:c>
      <x:c r="T3234" s="54" t="n">
        <x:v>29.5</x:v>
      </x:c>
      <x:c r="U3234" s="47" t="n">
        <x:v>0.2</x:v>
      </x:c>
      <x:c r="V3234" s="54" t="n">
        <x:f>IF(ISNUMBER(T3234),T3234*(1+U3234),"")</x:f>
        <x:v>35.4</x:v>
      </x:c>
      <x:c r="W3234" s="47" t="n">
        <x:v>0.3</x:v>
      </x:c>
      <x:c r="X3234" s="54" t="n">
        <x:f>IF(ISNUMBER(V3234),V3234/(1-W3234),"")</x:f>
        <x:v>50.57142857142857</x:v>
      </x:c>
      <x:c r="Y3234" s="55" t="n">
        <x:f>IF(ISNUMBER(X3234),ROUNDUP(X3234,0),"")</x:f>
        <x:v>51</x:v>
      </x:c>
      <x:c r="Z3234" t="str">
        <x:v>Source match pending</x:v>
      </x:c>
      <x:c r="AA3234" t="str">
        <x:v>screencapture-www-activesportstrade-co-uk-trained-by-jp-trade-2026-09-10-09_10_55.pdf / page-7</x:v>
      </x:c>
      <x:c r="AB3234" s="36" t="n">
        <x:f>IF(ISNUMBER(Y3234),ROUND(Y3234*0.9,2),"")</x:f>
        <x:v>45.9</x:v>
      </x:c>
      <x:c r="AC3234" s="36" t="n">
        <x:f>IF(ISNUMBER(AB3234),ROUND(AB3234-(AB3234*0.015+0.2)-V3234,2),"")</x:f>
        <x:v>9.61</x:v>
      </x:c>
      <x:c r="AD3234" s="36" t="n">
        <x:f>IF(ISNUMBER(Y3234),ROUND(Y3234*0.8,2),"")</x:f>
        <x:v>40.8</x:v>
      </x:c>
      <x:c r="AE3234" s="36" t="n">
        <x:f>IF(ISNUMBER(AD3234),ROUND(AD3234*0.015+0.2,2),"")</x:f>
        <x:v>0.81</x:v>
      </x:c>
      <x:c r="AF3234" s="36" t="n">
        <x:f>IF(ISNUMBER(AD3234),ROUND(AD3234-AE3234-V3234,2),"")</x:f>
        <x:v>4.59</x:v>
      </x:c>
      <x:c r="AG3234" t="str">
        <x:f>IF(NOT(ISNUMBER(T3234)),"PENDING",IF(AF3234&gt;0,"PASS","FAIL"))</x:f>
        <x:v>PASS</x:v>
      </x:c>
      <x:c r="AH3234" t="str">
        <x:f>IF(NOT(ISNUMBER(T3234)),"Needs supplier cost",IF(K3234&lt;&gt;"In stock","Supplier unavailable",IF(AG3234&lt;&gt;"PASS","BLOCK - GT loss risk","Commercially protected")))</x:f>
        <x:v>Commercially protected</x:v>
      </x:c>
      <x:c r="AI3234" t="str">
        <x:v>2026-09-10 Active Sports trade capture</x:v>
      </x:c>
      <x:c r="AJ3234" t="str">
        <x:v>Management-only economics. Stripe stress test uses 1.5% + £0.20 standard UK online-card fee; pallet/mix-and-match pricing ignored.</x:v>
      </x:c>
    </x:row>
    <x:row r="3235">
      <x:c r="A3235" t="str">
        <x:v>Active Sports Nutrition</x:v>
      </x:c>
      <x:c r="B3235" t="str">
        <x:v>Trained By JP</x:v>
      </x:c>
      <x:c r="C3235" t="str">
        <x:v>Performance Protein</x:v>
      </x:c>
      <x:c r="D3235" t="str">
        <x:v>Supplements</x:v>
      </x:c>
      <x:c r="E3235" t="str">
        <x:v>Whey Protein Blend</x:v>
      </x:c>
      <x:c r="F3235" t="str"/>
      <x:c r="G3235" t="str">
        <x:v>2kg</x:v>
      </x:c>
      <x:c r="H3235" t="str">
        <x:v>Triple Chocolate</x:v>
      </x:c>
      <x:c r="I3235" t="str"/>
      <x:c r="J3235" t="str">
        <x:v>Unit</x:v>
      </x:c>
      <x:c r="K3235" t="str">
        <x:v>Out of stock</x:v>
      </x:c>
      <x:c r="L3235" t="str">
        <x:v>2026-09-08</x:v>
      </x:c>
      <x:c r="M3235" t="str"/>
      <x:c r="N3235" t="str"/>
      <x:c r="O3235" t="str">
        <x:v>https://www.activesportstrade.co.uk/trained-by-jp-trade</x:v>
      </x:c>
      <x:c r="P3235" t="str"/>
      <x:c r="Q3235" t="str"/>
      <x:c r="R3235" t="str"/>
      <x:c r="S3235" t="str">
        <x:v>Pending genuine supplier/brand image</x:v>
      </x:c>
      <x:c r="T3235" s="54" t="n">
        <x:v>29.5</x:v>
      </x:c>
      <x:c r="U3235" s="47" t="n">
        <x:v>0.2</x:v>
      </x:c>
      <x:c r="V3235" s="54" t="n">
        <x:f>IF(ISNUMBER(T3235),T3235*(1+U3235),"")</x:f>
        <x:v>35.4</x:v>
      </x:c>
      <x:c r="W3235" s="47" t="n">
        <x:v>0.3</x:v>
      </x:c>
      <x:c r="X3235" s="54" t="n">
        <x:f>IF(ISNUMBER(V3235),V3235/(1-W3235),"")</x:f>
        <x:v>50.57142857142857</x:v>
      </x:c>
      <x:c r="Y3235" s="55" t="n">
        <x:f>IF(ISNUMBER(X3235),ROUNDUP(X3235,0),"")</x:f>
        <x:v>51</x:v>
      </x:c>
      <x:c r="Z3235" t="str">
        <x:v>Source match pending</x:v>
      </x:c>
      <x:c r="AA3235" t="str">
        <x:v>screencapture-www-activesportstrade-co-uk-trained-by-jp-trade-2026-09-10-09_10_55.pdf / page-7</x:v>
      </x:c>
      <x:c r="AB3235" s="36" t="n">
        <x:f>IF(ISNUMBER(Y3235),ROUND(Y3235*0.9,2),"")</x:f>
        <x:v>45.9</x:v>
      </x:c>
      <x:c r="AC3235" s="36" t="n">
        <x:f>IF(ISNUMBER(AB3235),ROUND(AB3235-(AB3235*0.015+0.2)-V3235,2),"")</x:f>
        <x:v>9.61</x:v>
      </x:c>
      <x:c r="AD3235" s="36" t="n">
        <x:f>IF(ISNUMBER(Y3235),ROUND(Y3235*0.8,2),"")</x:f>
        <x:v>40.8</x:v>
      </x:c>
      <x:c r="AE3235" s="36" t="n">
        <x:f>IF(ISNUMBER(AD3235),ROUND(AD3235*0.015+0.2,2),"")</x:f>
        <x:v>0.81</x:v>
      </x:c>
      <x:c r="AF3235" s="36" t="n">
        <x:f>IF(ISNUMBER(AD3235),ROUND(AD3235-AE3235-V3235,2),"")</x:f>
        <x:v>4.59</x:v>
      </x:c>
      <x:c r="AG3235" t="str">
        <x:f>IF(NOT(ISNUMBER(T3235)),"PENDING",IF(AF3235&gt;0,"PASS","FAIL"))</x:f>
        <x:v>PASS</x:v>
      </x:c>
      <x:c r="AH3235" t="str">
        <x:f>IF(NOT(ISNUMBER(T3235)),"Needs supplier cost",IF(K3235&lt;&gt;"In stock","Supplier unavailable",IF(AG3235&lt;&gt;"PASS","BLOCK - GT loss risk","Commercially protected")))</x:f>
        <x:v>Supplier unavailable</x:v>
      </x:c>
      <x:c r="AI3235" t="str">
        <x:v>2026-09-10 Active Sports trade capture</x:v>
      </x:c>
      <x:c r="AJ3235" t="str">
        <x:v>Management-only economics. Stripe stress test uses 1.5% + £0.20 standard UK online-card fee; pallet/mix-and-match pricing ignored.</x:v>
      </x:c>
    </x:row>
    <x:row r="3236">
      <x:c r="A3236" t="str">
        <x:v>Active Sports Nutrition</x:v>
      </x:c>
      <x:c r="B3236" t="str">
        <x:v>Trained By JP</x:v>
      </x:c>
      <x:c r="C3236" t="str">
        <x:v>Performance Protein</x:v>
      </x:c>
      <x:c r="D3236" t="str">
        <x:v>Supplements</x:v>
      </x:c>
      <x:c r="E3236" t="str">
        <x:v>Whey Protein Blend</x:v>
      </x:c>
      <x:c r="F3236" t="str"/>
      <x:c r="G3236" t="str">
        <x:v>2kg</x:v>
      </x:c>
      <x:c r="H3236" t="str">
        <x:v>Vanilla</x:v>
      </x:c>
      <x:c r="I3236" t="str"/>
      <x:c r="J3236" t="str">
        <x:v>Unit</x:v>
      </x:c>
      <x:c r="K3236" t="str">
        <x:v>In stock</x:v>
      </x:c>
      <x:c r="L3236" t="str">
        <x:v>2026-09-08</x:v>
      </x:c>
      <x:c r="M3236" t="str"/>
      <x:c r="N3236" t="str"/>
      <x:c r="O3236" t="str">
        <x:v>https://www.activesportstrade.co.uk/trained-by-jp-trade</x:v>
      </x:c>
      <x:c r="P3236" t="str"/>
      <x:c r="Q3236" t="str"/>
      <x:c r="R3236" t="str"/>
      <x:c r="S3236" t="str">
        <x:v>Pending genuine supplier/brand image</x:v>
      </x:c>
      <x:c r="T3236" s="54" t="n">
        <x:v>29.5</x:v>
      </x:c>
      <x:c r="U3236" s="47" t="n">
        <x:v>0.2</x:v>
      </x:c>
      <x:c r="V3236" s="54" t="n">
        <x:f>IF(ISNUMBER(T3236),T3236*(1+U3236),"")</x:f>
        <x:v>35.4</x:v>
      </x:c>
      <x:c r="W3236" s="47" t="n">
        <x:v>0.3</x:v>
      </x:c>
      <x:c r="X3236" s="54" t="n">
        <x:f>IF(ISNUMBER(V3236),V3236/(1-W3236),"")</x:f>
        <x:v>50.57142857142857</x:v>
      </x:c>
      <x:c r="Y3236" s="55" t="n">
        <x:f>IF(ISNUMBER(X3236),ROUNDUP(X3236,0),"")</x:f>
        <x:v>51</x:v>
      </x:c>
      <x:c r="Z3236" t="str">
        <x:v>Source match pending</x:v>
      </x:c>
      <x:c r="AA3236" t="str">
        <x:v>screencapture-www-activesportstrade-co-uk-trained-by-jp-trade-2026-09-10-09_10_55.pdf / page-7</x:v>
      </x:c>
      <x:c r="AB3236" s="36" t="n">
        <x:f>IF(ISNUMBER(Y3236),ROUND(Y3236*0.9,2),"")</x:f>
        <x:v>45.9</x:v>
      </x:c>
      <x:c r="AC3236" s="36" t="n">
        <x:f>IF(ISNUMBER(AB3236),ROUND(AB3236-(AB3236*0.015+0.2)-V3236,2),"")</x:f>
        <x:v>9.61</x:v>
      </x:c>
      <x:c r="AD3236" s="36" t="n">
        <x:f>IF(ISNUMBER(Y3236),ROUND(Y3236*0.8,2),"")</x:f>
        <x:v>40.8</x:v>
      </x:c>
      <x:c r="AE3236" s="36" t="n">
        <x:f>IF(ISNUMBER(AD3236),ROUND(AD3236*0.015+0.2,2),"")</x:f>
        <x:v>0.81</x:v>
      </x:c>
      <x:c r="AF3236" s="36" t="n">
        <x:f>IF(ISNUMBER(AD3236),ROUND(AD3236-AE3236-V3236,2),"")</x:f>
        <x:v>4.59</x:v>
      </x:c>
      <x:c r="AG3236" t="str">
        <x:f>IF(NOT(ISNUMBER(T3236)),"PENDING",IF(AF3236&gt;0,"PASS","FAIL"))</x:f>
        <x:v>PASS</x:v>
      </x:c>
      <x:c r="AH3236" t="str">
        <x:f>IF(NOT(ISNUMBER(T3236)),"Needs supplier cost",IF(K3236&lt;&gt;"In stock","Supplier unavailable",IF(AG3236&lt;&gt;"PASS","BLOCK - GT loss risk","Commercially protected")))</x:f>
        <x:v>Commercially protected</x:v>
      </x:c>
      <x:c r="AI3236" t="str">
        <x:v>2026-09-10 Active Sports trade capture</x:v>
      </x:c>
      <x:c r="AJ3236" t="str">
        <x:v>Management-only economics. Stripe stress test uses 1.5% + £0.20 standard UK online-card fee; pallet/mix-and-match pricing ignored.</x:v>
      </x:c>
    </x:row>
    <x:row r="3237">
      <x:c r="A3237" t="str">
        <x:v>Active Sports Nutrition</x:v>
      </x:c>
      <x:c r="B3237" t="str">
        <x:v>Trained By JP</x:v>
      </x:c>
      <x:c r="C3237" t="str">
        <x:v>Performance Protein</x:v>
      </x:c>
      <x:c r="D3237" t="str">
        <x:v>Supplements</x:v>
      </x:c>
      <x:c r="E3237" t="str">
        <x:v>Whey Protein Blend</x:v>
      </x:c>
      <x:c r="F3237" t="str"/>
      <x:c r="G3237" t="str">
        <x:v>2kg</x:v>
      </x:c>
      <x:c r="H3237" t="str">
        <x:v>White Chocolate</x:v>
      </x:c>
      <x:c r="I3237" t="str"/>
      <x:c r="J3237" t="str">
        <x:v>Unit</x:v>
      </x:c>
      <x:c r="K3237" t="str">
        <x:v>Out of stock</x:v>
      </x:c>
      <x:c r="L3237" t="str">
        <x:v>2026-09-08</x:v>
      </x:c>
      <x:c r="M3237" t="str"/>
      <x:c r="N3237" t="str"/>
      <x:c r="O3237" t="str">
        <x:v>https://www.activesportstrade.co.uk/trained-by-jp-trade</x:v>
      </x:c>
      <x:c r="P3237" t="str"/>
      <x:c r="Q3237" t="str"/>
      <x:c r="R3237" t="str"/>
      <x:c r="S3237" t="str">
        <x:v>Pending genuine supplier/brand image</x:v>
      </x:c>
      <x:c r="T3237" s="54" t="n">
        <x:v>29.5</x:v>
      </x:c>
      <x:c r="U3237" s="47" t="n">
        <x:v>0.2</x:v>
      </x:c>
      <x:c r="V3237" s="54" t="n">
        <x:f>IF(ISNUMBER(T3237),T3237*(1+U3237),"")</x:f>
        <x:v>35.4</x:v>
      </x:c>
      <x:c r="W3237" s="47" t="n">
        <x:v>0.3</x:v>
      </x:c>
      <x:c r="X3237" s="54" t="n">
        <x:f>IF(ISNUMBER(V3237),V3237/(1-W3237),"")</x:f>
        <x:v>50.57142857142857</x:v>
      </x:c>
      <x:c r="Y3237" s="55" t="n">
        <x:f>IF(ISNUMBER(X3237),ROUNDUP(X3237,0),"")</x:f>
        <x:v>51</x:v>
      </x:c>
      <x:c r="Z3237" t="str">
        <x:v>Source match pending</x:v>
      </x:c>
      <x:c r="AA3237" t="str">
        <x:v>screencapture-www-activesportstrade-co-uk-trained-by-jp-trade-2026-09-10-09_10_55.pdf / page-7</x:v>
      </x:c>
      <x:c r="AB3237" s="36" t="n">
        <x:f>IF(ISNUMBER(Y3237),ROUND(Y3237*0.9,2),"")</x:f>
        <x:v>45.9</x:v>
      </x:c>
      <x:c r="AC3237" s="36" t="n">
        <x:f>IF(ISNUMBER(AB3237),ROUND(AB3237-(AB3237*0.015+0.2)-V3237,2),"")</x:f>
        <x:v>9.61</x:v>
      </x:c>
      <x:c r="AD3237" s="36" t="n">
        <x:f>IF(ISNUMBER(Y3237),ROUND(Y3237*0.8,2),"")</x:f>
        <x:v>40.8</x:v>
      </x:c>
      <x:c r="AE3237" s="36" t="n">
        <x:f>IF(ISNUMBER(AD3237),ROUND(AD3237*0.015+0.2,2),"")</x:f>
        <x:v>0.81</x:v>
      </x:c>
      <x:c r="AF3237" s="36" t="n">
        <x:f>IF(ISNUMBER(AD3237),ROUND(AD3237-AE3237-V3237,2),"")</x:f>
        <x:v>4.59</x:v>
      </x:c>
      <x:c r="AG3237" t="str">
        <x:f>IF(NOT(ISNUMBER(T3237)),"PENDING",IF(AF3237&gt;0,"PASS","FAIL"))</x:f>
        <x:v>PASS</x:v>
      </x:c>
      <x:c r="AH3237" t="str">
        <x:f>IF(NOT(ISNUMBER(T3237)),"Needs supplier cost",IF(K3237&lt;&gt;"In stock","Supplier unavailable",IF(AG3237&lt;&gt;"PASS","BLOCK - GT loss risk","Commercially protected")))</x:f>
        <x:v>Supplier unavailable</x:v>
      </x:c>
      <x:c r="AI3237" t="str">
        <x:v>2026-09-10 Active Sports trade capture</x:v>
      </x:c>
      <x:c r="AJ3237" t="str">
        <x:v>Management-only economics. Stripe stress test uses 1.5% + £0.20 standard UK online-card fee; pallet/mix-and-match pricing ignored.</x:v>
      </x:c>
    </x:row>
    <x:row r="3238">
      <x:c r="A3238" t="str">
        <x:v>Active Sports Nutrition</x:v>
      </x:c>
      <x:c r="B3238" t="str">
        <x:v>Trained By JP</x:v>
      </x:c>
      <x:c r="C3238" t="str">
        <x:v>Performance Protein</x:v>
      </x:c>
      <x:c r="D3238" t="str">
        <x:v>Supplements</x:v>
      </x:c>
      <x:c r="E3238" t="str">
        <x:v>Whey Protein Blend</x:v>
      </x:c>
      <x:c r="F3238" t="str"/>
      <x:c r="G3238" t="str">
        <x:v>2kg</x:v>
      </x:c>
      <x:c r="H3238" t="str">
        <x:v>White Chocolate Hazelnut</x:v>
      </x:c>
      <x:c r="I3238" t="str"/>
      <x:c r="J3238" t="str">
        <x:v>Unit</x:v>
      </x:c>
      <x:c r="K3238" t="str">
        <x:v>Out of stock</x:v>
      </x:c>
      <x:c r="L3238" t="str">
        <x:v>2026-09-08</x:v>
      </x:c>
      <x:c r="M3238" t="str"/>
      <x:c r="N3238" t="str"/>
      <x:c r="O3238" t="str">
        <x:v>https://www.activesportstrade.co.uk/trained-by-jp-trade</x:v>
      </x:c>
      <x:c r="P3238" t="str"/>
      <x:c r="Q3238" t="str"/>
      <x:c r="R3238" t="str"/>
      <x:c r="S3238" t="str">
        <x:v>Pending genuine supplier/brand image</x:v>
      </x:c>
      <x:c r="T3238" s="54" t="n">
        <x:v>29.5</x:v>
      </x:c>
      <x:c r="U3238" s="47" t="n">
        <x:v>0.2</x:v>
      </x:c>
      <x:c r="V3238" s="54" t="n">
        <x:f>IF(ISNUMBER(T3238),T3238*(1+U3238),"")</x:f>
        <x:v>35.4</x:v>
      </x:c>
      <x:c r="W3238" s="47" t="n">
        <x:v>0.3</x:v>
      </x:c>
      <x:c r="X3238" s="54" t="n">
        <x:f>IF(ISNUMBER(V3238),V3238/(1-W3238),"")</x:f>
        <x:v>50.57142857142857</x:v>
      </x:c>
      <x:c r="Y3238" s="55" t="n">
        <x:f>IF(ISNUMBER(X3238),ROUNDUP(X3238,0),"")</x:f>
        <x:v>51</x:v>
      </x:c>
      <x:c r="Z3238" t="str">
        <x:v>Source match pending</x:v>
      </x:c>
      <x:c r="AA3238" t="str">
        <x:v>screencapture-www-activesportstrade-co-uk-trained-by-jp-trade-2026-09-10-09_10_55.pdf / page-7</x:v>
      </x:c>
      <x:c r="AB3238" s="36" t="n">
        <x:f>IF(ISNUMBER(Y3238),ROUND(Y3238*0.9,2),"")</x:f>
        <x:v>45.9</x:v>
      </x:c>
      <x:c r="AC3238" s="36" t="n">
        <x:f>IF(ISNUMBER(AB3238),ROUND(AB3238-(AB3238*0.015+0.2)-V3238,2),"")</x:f>
        <x:v>9.61</x:v>
      </x:c>
      <x:c r="AD3238" s="36" t="n">
        <x:f>IF(ISNUMBER(Y3238),ROUND(Y3238*0.8,2),"")</x:f>
        <x:v>40.8</x:v>
      </x:c>
      <x:c r="AE3238" s="36" t="n">
        <x:f>IF(ISNUMBER(AD3238),ROUND(AD3238*0.015+0.2,2),"")</x:f>
        <x:v>0.81</x:v>
      </x:c>
      <x:c r="AF3238" s="36" t="n">
        <x:f>IF(ISNUMBER(AD3238),ROUND(AD3238-AE3238-V3238,2),"")</x:f>
        <x:v>4.59</x:v>
      </x:c>
      <x:c r="AG3238" t="str">
        <x:f>IF(NOT(ISNUMBER(T3238)),"PENDING",IF(AF3238&gt;0,"PASS","FAIL"))</x:f>
        <x:v>PASS</x:v>
      </x:c>
      <x:c r="AH3238" t="str">
        <x:f>IF(NOT(ISNUMBER(T3238)),"Needs supplier cost",IF(K3238&lt;&gt;"In stock","Supplier unavailable",IF(AG3238&lt;&gt;"PASS","BLOCK - GT loss risk","Commercially protected")))</x:f>
        <x:v>Supplier unavailable</x:v>
      </x:c>
      <x:c r="AI3238" t="str">
        <x:v>2026-09-10 Active Sports trade capture</x:v>
      </x:c>
      <x:c r="AJ3238" t="str">
        <x:v>Management-only economics. Stripe stress test uses 1.5% + £0.20 standard UK online-card fee; pallet/mix-and-match pricing ignored.</x:v>
      </x:c>
    </x:row>
    <x:row r="3239">
      <x:c r="A3239" t="str">
        <x:v>Active Sports Nutrition</x:v>
      </x:c>
      <x:c r="B3239" t="str">
        <x:v>Trained By JP</x:v>
      </x:c>
      <x:c r="C3239" t="str">
        <x:v>Performance Protein</x:v>
      </x:c>
      <x:c r="D3239" t="str">
        <x:v>Supplements</x:v>
      </x:c>
      <x:c r="E3239" t="str">
        <x:v>Whey Protein Blend</x:v>
      </x:c>
      <x:c r="F3239" t="str"/>
      <x:c r="G3239" t="str">
        <x:v>2kg</x:v>
      </x:c>
      <x:c r="H3239" t="str">
        <x:v>White Chocolate Raspberry</x:v>
      </x:c>
      <x:c r="I3239" t="str"/>
      <x:c r="J3239" t="str">
        <x:v>Unit</x:v>
      </x:c>
      <x:c r="K3239" t="str">
        <x:v>In stock</x:v>
      </x:c>
      <x:c r="L3239" t="str">
        <x:v>2026-09-08</x:v>
      </x:c>
      <x:c r="M3239" t="str"/>
      <x:c r="N3239" t="str"/>
      <x:c r="O3239" t="str">
        <x:v>https://www.activesportstrade.co.uk/trained-by-jp-trade</x:v>
      </x:c>
      <x:c r="P3239" t="str"/>
      <x:c r="Q3239" t="str"/>
      <x:c r="R3239" t="str"/>
      <x:c r="S3239" t="str">
        <x:v>Pending genuine supplier/brand image</x:v>
      </x:c>
      <x:c r="T3239" s="54" t="n">
        <x:v>29.5</x:v>
      </x:c>
      <x:c r="U3239" s="47" t="n">
        <x:v>0.2</x:v>
      </x:c>
      <x:c r="V3239" s="54" t="n">
        <x:f>IF(ISNUMBER(T3239),T3239*(1+U3239),"")</x:f>
        <x:v>35.4</x:v>
      </x:c>
      <x:c r="W3239" s="47" t="n">
        <x:v>0.3</x:v>
      </x:c>
      <x:c r="X3239" s="54" t="n">
        <x:f>IF(ISNUMBER(V3239),V3239/(1-W3239),"")</x:f>
        <x:v>50.57142857142857</x:v>
      </x:c>
      <x:c r="Y3239" s="55" t="n">
        <x:f>IF(ISNUMBER(X3239),ROUNDUP(X3239,0),"")</x:f>
        <x:v>51</x:v>
      </x:c>
      <x:c r="Z3239" t="str">
        <x:v>Source match pending</x:v>
      </x:c>
      <x:c r="AA3239" t="str">
        <x:v>screencapture-www-activesportstrade-co-uk-trained-by-jp-trade-2026-09-10-09_10_55.pdf / page-7</x:v>
      </x:c>
      <x:c r="AB3239" s="36" t="n">
        <x:f>IF(ISNUMBER(Y3239),ROUND(Y3239*0.9,2),"")</x:f>
        <x:v>45.9</x:v>
      </x:c>
      <x:c r="AC3239" s="36" t="n">
        <x:f>IF(ISNUMBER(AB3239),ROUND(AB3239-(AB3239*0.015+0.2)-V3239,2),"")</x:f>
        <x:v>9.61</x:v>
      </x:c>
      <x:c r="AD3239" s="36" t="n">
        <x:f>IF(ISNUMBER(Y3239),ROUND(Y3239*0.8,2),"")</x:f>
        <x:v>40.8</x:v>
      </x:c>
      <x:c r="AE3239" s="36" t="n">
        <x:f>IF(ISNUMBER(AD3239),ROUND(AD3239*0.015+0.2,2),"")</x:f>
        <x:v>0.81</x:v>
      </x:c>
      <x:c r="AF3239" s="36" t="n">
        <x:f>IF(ISNUMBER(AD3239),ROUND(AD3239-AE3239-V3239,2),"")</x:f>
        <x:v>4.59</x:v>
      </x:c>
      <x:c r="AG3239" t="str">
        <x:f>IF(NOT(ISNUMBER(T3239)),"PENDING",IF(AF3239&gt;0,"PASS","FAIL"))</x:f>
        <x:v>PASS</x:v>
      </x:c>
      <x:c r="AH3239" t="str">
        <x:f>IF(NOT(ISNUMBER(T3239)),"Needs supplier cost",IF(K3239&lt;&gt;"In stock","Supplier unavailable",IF(AG3239&lt;&gt;"PASS","BLOCK - GT loss risk","Commercially protected")))</x:f>
        <x:v>Commercially protected</x:v>
      </x:c>
      <x:c r="AI3239" t="str">
        <x:v>2026-09-10 Active Sports trade capture</x:v>
      </x:c>
      <x:c r="AJ3239" t="str">
        <x:v>Management-only economics. Stripe stress test uses 1.5% + £0.20 standard UK online-card fee; pallet/mix-and-match pricing ignored.</x:v>
      </x:c>
    </x:row>
    <x:row r="3240">
      <x:c r="A3240" t="str">
        <x:v>Active Sports Nutrition</x:v>
      </x:c>
      <x:c r="B3240" t="str">
        <x:v>Trained By JP</x:v>
      </x:c>
      <x:c r="C3240" t="str">
        <x:v>Heart Care</x:v>
      </x:c>
      <x:c r="D3240" t="str">
        <x:v>Supplements</x:v>
      </x:c>
      <x:c r="E3240" t="str">
        <x:v>Health Support</x:v>
      </x:c>
      <x:c r="F3240" t="str"/>
      <x:c r="G3240" t="str">
        <x:v>90 caps</x:v>
      </x:c>
      <x:c r="H3240" t="str">
        <x:v>Standard</x:v>
      </x:c>
      <x:c r="I3240" t="str"/>
      <x:c r="J3240" t="str">
        <x:v>Unit</x:v>
      </x:c>
      <x:c r="K3240" t="str">
        <x:v>In stock</x:v>
      </x:c>
      <x:c r="L3240" t="str">
        <x:v>2026-09-08</x:v>
      </x:c>
      <x:c r="M3240" t="str"/>
      <x:c r="N3240" t="str"/>
      <x:c r="O3240" t="str">
        <x:v>https://www.activesportstrade.co.uk/trained-by-jp-trade</x:v>
      </x:c>
      <x:c r="P3240" t="str"/>
      <x:c r="Q3240" t="str"/>
      <x:c r="R3240" t="str"/>
      <x:c r="S3240" t="str">
        <x:v>Pending genuine supplier/brand image</x:v>
      </x:c>
      <x:c r="T3240" s="54" t="n">
        <x:v>19.5</x:v>
      </x:c>
      <x:c r="U3240" s="47" t="n">
        <x:v>0.2</x:v>
      </x:c>
      <x:c r="V3240" s="54" t="n">
        <x:f>IF(ISNUMBER(T3240),T3240*(1+U3240),"")</x:f>
        <x:v>23.4</x:v>
      </x:c>
      <x:c r="W3240" s="47" t="n">
        <x:v>0.3</x:v>
      </x:c>
      <x:c r="X3240" s="54" t="n">
        <x:f>IF(ISNUMBER(V3240),V3240/(1-W3240),"")</x:f>
        <x:v>33.42857142857143</x:v>
      </x:c>
      <x:c r="Y3240" s="55" t="n">
        <x:f>IF(ISNUMBER(X3240),ROUNDUP(X3240,0),"")</x:f>
        <x:v>34</x:v>
      </x:c>
      <x:c r="Z3240" t="str">
        <x:v>Source match pending</x:v>
      </x:c>
      <x:c r="AA3240" t="str">
        <x:v>screencapture-www-activesportstrade-co-uk-trained-by-jp-trade-2026-09-10-09_10_55.pdf / page-3</x:v>
      </x:c>
      <x:c r="AB3240" s="36" t="n">
        <x:f>IF(ISNUMBER(Y3240),ROUND(Y3240*0.9,2),"")</x:f>
        <x:v>30.6</x:v>
      </x:c>
      <x:c r="AC3240" s="36" t="n">
        <x:f>IF(ISNUMBER(AB3240),ROUND(AB3240-(AB3240*0.015+0.2)-V3240,2),"")</x:f>
        <x:v>6.54</x:v>
      </x:c>
      <x:c r="AD3240" s="36" t="n">
        <x:f>IF(ISNUMBER(Y3240),ROUND(Y3240*0.8,2),"")</x:f>
        <x:v>27.2</x:v>
      </x:c>
      <x:c r="AE3240" s="36" t="n">
        <x:f>IF(ISNUMBER(AD3240),ROUND(AD3240*0.015+0.2,2),"")</x:f>
        <x:v>0.61</x:v>
      </x:c>
      <x:c r="AF3240" s="36" t="n">
        <x:f>IF(ISNUMBER(AD3240),ROUND(AD3240-AE3240-V3240,2),"")</x:f>
        <x:v>3.19</x:v>
      </x:c>
      <x:c r="AG3240" t="str">
        <x:f>IF(NOT(ISNUMBER(T3240)),"PENDING",IF(AF3240&gt;0,"PASS","FAIL"))</x:f>
        <x:v>PASS</x:v>
      </x:c>
      <x:c r="AH3240" t="str">
        <x:f>IF(NOT(ISNUMBER(T3240)),"Needs supplier cost",IF(K3240&lt;&gt;"In stock","Supplier unavailable",IF(AG3240&lt;&gt;"PASS","BLOCK - GT loss risk","Commercially protected")))</x:f>
        <x:v>Commercially protected</x:v>
      </x:c>
      <x:c r="AI3240" t="str">
        <x:v>2026-09-10 Active Sports trade capture</x:v>
      </x:c>
      <x:c r="AJ3240" t="str">
        <x:v>Management-only economics. Stripe stress test uses 1.5% + £0.20 standard UK online-card fee; pallet/mix-and-match pricing ignored.</x:v>
      </x:c>
    </x:row>
    <x:row r="3241">
      <x:c r="A3241" t="str">
        <x:v>Active Sports Nutrition</x:v>
      </x:c>
      <x:c r="B3241" t="str">
        <x:v>Trained By JP</x:v>
      </x:c>
      <x:c r="C3241" t="str">
        <x:v>In Sure</x:v>
      </x:c>
      <x:c r="D3241" t="str">
        <x:v>Supplements</x:v>
      </x:c>
      <x:c r="E3241" t="str">
        <x:v>Glucose / Carb Support</x:v>
      </x:c>
      <x:c r="F3241" t="str"/>
      <x:c r="G3241" t="str">
        <x:v>180 caps</x:v>
      </x:c>
      <x:c r="H3241" t="str">
        <x:v>Standard</x:v>
      </x:c>
      <x:c r="I3241" t="str"/>
      <x:c r="J3241" t="str">
        <x:v>Unit</x:v>
      </x:c>
      <x:c r="K3241" t="str">
        <x:v>In stock</x:v>
      </x:c>
      <x:c r="L3241" t="str">
        <x:v>2026-09-08</x:v>
      </x:c>
      <x:c r="M3241" t="str"/>
      <x:c r="N3241" t="str"/>
      <x:c r="O3241" t="str">
        <x:v>https://www.activesportstrade.co.uk/trained-by-jp-trade</x:v>
      </x:c>
      <x:c r="P3241" t="str"/>
      <x:c r="Q3241" t="str"/>
      <x:c r="R3241" t="str"/>
      <x:c r="S3241" t="str">
        <x:v>Pending genuine supplier/brand image</x:v>
      </x:c>
      <x:c r="T3241" s="54" t="n">
        <x:v>22.99</x:v>
      </x:c>
      <x:c r="U3241" s="47" t="n">
        <x:v>0.2</x:v>
      </x:c>
      <x:c r="V3241" s="54" t="n">
        <x:f>IF(ISNUMBER(T3241),T3241*(1+U3241),"")</x:f>
        <x:v>27.587999999999997</x:v>
      </x:c>
      <x:c r="W3241" s="47" t="n">
        <x:v>0.3</x:v>
      </x:c>
      <x:c r="X3241" s="54" t="n">
        <x:f>IF(ISNUMBER(V3241),V3241/(1-W3241),"")</x:f>
        <x:v>39.41142857142857</x:v>
      </x:c>
      <x:c r="Y3241" s="55" t="n">
        <x:f>IF(ISNUMBER(X3241),ROUNDUP(X3241,0),"")</x:f>
        <x:v>40</x:v>
      </x:c>
      <x:c r="Z3241" t="str">
        <x:v>Source match pending</x:v>
      </x:c>
      <x:c r="AA3241" t="str">
        <x:v>screencapture-www-activesportstrade-co-uk-trained-by-jp-trade-2026-09-10-09_10_55.pdf / page-3</x:v>
      </x:c>
      <x:c r="AB3241" s="36" t="n">
        <x:f>IF(ISNUMBER(Y3241),ROUND(Y3241*0.9,2),"")</x:f>
        <x:v>36</x:v>
      </x:c>
      <x:c r="AC3241" s="36" t="n">
        <x:f>IF(ISNUMBER(AB3241),ROUND(AB3241-(AB3241*0.015+0.2)-V3241,2),"")</x:f>
        <x:v>7.67</x:v>
      </x:c>
      <x:c r="AD3241" s="36" t="n">
        <x:f>IF(ISNUMBER(Y3241),ROUND(Y3241*0.8,2),"")</x:f>
        <x:v>32</x:v>
      </x:c>
      <x:c r="AE3241" s="36" t="n">
        <x:f>IF(ISNUMBER(AD3241),ROUND(AD3241*0.015+0.2,2),"")</x:f>
        <x:v>0.68</x:v>
      </x:c>
      <x:c r="AF3241" s="36" t="n">
        <x:f>IF(ISNUMBER(AD3241),ROUND(AD3241-AE3241-V3241,2),"")</x:f>
        <x:v>3.73</x:v>
      </x:c>
      <x:c r="AG3241" t="str">
        <x:f>IF(NOT(ISNUMBER(T3241)),"PENDING",IF(AF3241&gt;0,"PASS","FAIL"))</x:f>
        <x:v>PASS</x:v>
      </x:c>
      <x:c r="AH3241" t="str">
        <x:f>IF(NOT(ISNUMBER(T3241)),"Needs supplier cost",IF(K3241&lt;&gt;"In stock","Supplier unavailable",IF(AG3241&lt;&gt;"PASS","BLOCK - GT loss risk","Commercially protected")))</x:f>
        <x:v>Commercially protected</x:v>
      </x:c>
      <x:c r="AI3241" t="str">
        <x:v>2026-09-10 Active Sports trade capture</x:v>
      </x:c>
      <x:c r="AJ3241" t="str">
        <x:v>Management-only economics. Stripe stress test uses 1.5% + £0.20 standard UK online-card fee; pallet/mix-and-match pricing ignored.</x:v>
      </x:c>
    </x:row>
    <x:row r="3242">
      <x:c r="A3242" t="str">
        <x:v>Active Sports Nutrition</x:v>
      </x:c>
      <x:c r="B3242" t="str">
        <x:v>Trained By JP</x:v>
      </x:c>
      <x:c r="C3242" t="str">
        <x:v>Iron</x:v>
      </x:c>
      <x:c r="D3242" t="str">
        <x:v>Supplements</x:v>
      </x:c>
      <x:c r="E3242" t="str">
        <x:v>Vitamins &amp; Minerals</x:v>
      </x:c>
      <x:c r="F3242" t="str"/>
      <x:c r="G3242" t="str">
        <x:v>60 caps</x:v>
      </x:c>
      <x:c r="H3242" t="str">
        <x:v>Standard</x:v>
      </x:c>
      <x:c r="I3242" t="str"/>
      <x:c r="J3242" t="str">
        <x:v>Unit</x:v>
      </x:c>
      <x:c r="K3242" t="str">
        <x:v>In stock</x:v>
      </x:c>
      <x:c r="L3242" t="str">
        <x:v>2026-09-08</x:v>
      </x:c>
      <x:c r="M3242" t="str"/>
      <x:c r="N3242" t="str"/>
      <x:c r="O3242" t="str">
        <x:v>https://www.activesportstrade.co.uk/trained-by-jp-trade</x:v>
      </x:c>
      <x:c r="P3242" t="str"/>
      <x:c r="Q3242" t="str"/>
      <x:c r="R3242" t="str"/>
      <x:c r="S3242" t="str">
        <x:v>Pending genuine supplier/brand image</x:v>
      </x:c>
      <x:c r="T3242" s="54" t="n">
        <x:v>5.99</x:v>
      </x:c>
      <x:c r="U3242" s="47" t="n">
        <x:v>0.2</x:v>
      </x:c>
      <x:c r="V3242" s="54" t="n">
        <x:f>IF(ISNUMBER(T3242),T3242*(1+U3242),"")</x:f>
        <x:v>7.188</x:v>
      </x:c>
      <x:c r="W3242" s="47" t="n">
        <x:v>0.3</x:v>
      </x:c>
      <x:c r="X3242" s="54" t="n">
        <x:f>IF(ISNUMBER(V3242),V3242/(1-W3242),"")</x:f>
        <x:v>10.268571428571429</x:v>
      </x:c>
      <x:c r="Y3242" s="55" t="n">
        <x:f>IF(ISNUMBER(X3242),ROUNDUP(X3242,0),"")</x:f>
        <x:v>11</x:v>
      </x:c>
      <x:c r="Z3242" t="str">
        <x:v>Source match pending</x:v>
      </x:c>
      <x:c r="AA3242" t="str">
        <x:v>screencapture-www-activesportstrade-co-uk-trained-by-jp-trade-2026-09-10-09_10_55.pdf / page-4</x:v>
      </x:c>
      <x:c r="AB3242" s="36" t="n">
        <x:f>IF(ISNUMBER(Y3242),ROUND(Y3242*0.9,2),"")</x:f>
        <x:v>9.9</x:v>
      </x:c>
      <x:c r="AC3242" s="36" t="n">
        <x:f>IF(ISNUMBER(AB3242),ROUND(AB3242-(AB3242*0.015+0.2)-V3242,2),"")</x:f>
        <x:v>2.36</x:v>
      </x:c>
      <x:c r="AD3242" s="36" t="n">
        <x:f>IF(ISNUMBER(Y3242),ROUND(Y3242*0.8,2),"")</x:f>
        <x:v>8.8</x:v>
      </x:c>
      <x:c r="AE3242" s="36" t="n">
        <x:f>IF(ISNUMBER(AD3242),ROUND(AD3242*0.015+0.2,2),"")</x:f>
        <x:v>0.33</x:v>
      </x:c>
      <x:c r="AF3242" s="36" t="n">
        <x:f>IF(ISNUMBER(AD3242),ROUND(AD3242-AE3242-V3242,2),"")</x:f>
        <x:v>1.28</x:v>
      </x:c>
      <x:c r="AG3242" t="str">
        <x:f>IF(NOT(ISNUMBER(T3242)),"PENDING",IF(AF3242&gt;0,"PASS","FAIL"))</x:f>
        <x:v>PASS</x:v>
      </x:c>
      <x:c r="AH3242" t="str">
        <x:f>IF(NOT(ISNUMBER(T3242)),"Needs supplier cost",IF(K3242&lt;&gt;"In stock","Supplier unavailable",IF(AG3242&lt;&gt;"PASS","BLOCK - GT loss risk","Commercially protected")))</x:f>
        <x:v>Commercially protected</x:v>
      </x:c>
      <x:c r="AI3242" t="str">
        <x:v>2026-09-10 Active Sports trade capture</x:v>
      </x:c>
      <x:c r="AJ3242" t="str">
        <x:v>Management-only economics. Stripe stress test uses 1.5% + £0.20 standard UK online-card fee; pallet/mix-and-match pricing ignored.</x:v>
      </x:c>
    </x:row>
    <x:row r="3243">
      <x:c r="A3243" t="str">
        <x:v>Active Sports Nutrition</x:v>
      </x:c>
      <x:c r="B3243" t="str">
        <x:v>Trained By JP</x:v>
      </x:c>
      <x:c r="C3243" t="str">
        <x:v>Natural Progress</x:v>
      </x:c>
      <x:c r="D3243" t="str">
        <x:v>Supplements</x:v>
      </x:c>
      <x:c r="E3243" t="str">
        <x:v>Hormone Support</x:v>
      </x:c>
      <x:c r="F3243" t="str"/>
      <x:c r="G3243" t="str">
        <x:v>60 caps</x:v>
      </x:c>
      <x:c r="H3243" t="str">
        <x:v>Standard</x:v>
      </x:c>
      <x:c r="I3243" t="str"/>
      <x:c r="J3243" t="str">
        <x:v>Unit</x:v>
      </x:c>
      <x:c r="K3243" t="str">
        <x:v>In stock</x:v>
      </x:c>
      <x:c r="L3243" t="str">
        <x:v>2026-09-08</x:v>
      </x:c>
      <x:c r="M3243" t="str"/>
      <x:c r="N3243" t="str"/>
      <x:c r="O3243" t="str">
        <x:v>https://www.activesportstrade.co.uk/trained-by-jp-trade</x:v>
      </x:c>
      <x:c r="P3243" t="str"/>
      <x:c r="Q3243" t="str"/>
      <x:c r="R3243" t="str"/>
      <x:c r="S3243" t="str">
        <x:v>Pending genuine supplier/brand image</x:v>
      </x:c>
      <x:c r="T3243" s="54" t="n">
        <x:v>16.5</x:v>
      </x:c>
      <x:c r="U3243" s="47" t="n">
        <x:v>0.2</x:v>
      </x:c>
      <x:c r="V3243" s="54" t="n">
        <x:f>IF(ISNUMBER(T3243),T3243*(1+U3243),"")</x:f>
        <x:v>19.8</x:v>
      </x:c>
      <x:c r="W3243" s="47" t="n">
        <x:v>0.3</x:v>
      </x:c>
      <x:c r="X3243" s="54" t="n">
        <x:f>IF(ISNUMBER(V3243),V3243/(1-W3243),"")</x:f>
        <x:v>28.28571428571429</x:v>
      </x:c>
      <x:c r="Y3243" s="55" t="n">
        <x:f>IF(ISNUMBER(X3243),ROUNDUP(X3243,0),"")</x:f>
        <x:v>29</x:v>
      </x:c>
      <x:c r="Z3243" t="str">
        <x:v>Source match pending</x:v>
      </x:c>
      <x:c r="AA3243" t="str">
        <x:v>screencapture-www-activesportstrade-co-uk-trained-by-jp-trade-2026-09-10-09_10_55.pdf / page-5</x:v>
      </x:c>
      <x:c r="AB3243" s="36" t="n">
        <x:f>IF(ISNUMBER(Y3243),ROUND(Y3243*0.9,2),"")</x:f>
        <x:v>26.1</x:v>
      </x:c>
      <x:c r="AC3243" s="36" t="n">
        <x:f>IF(ISNUMBER(AB3243),ROUND(AB3243-(AB3243*0.015+0.2)-V3243,2),"")</x:f>
        <x:v>5.71</x:v>
      </x:c>
      <x:c r="AD3243" s="36" t="n">
        <x:f>IF(ISNUMBER(Y3243),ROUND(Y3243*0.8,2),"")</x:f>
        <x:v>23.2</x:v>
      </x:c>
      <x:c r="AE3243" s="36" t="n">
        <x:f>IF(ISNUMBER(AD3243),ROUND(AD3243*0.015+0.2,2),"")</x:f>
        <x:v>0.55</x:v>
      </x:c>
      <x:c r="AF3243" s="36" t="n">
        <x:f>IF(ISNUMBER(AD3243),ROUND(AD3243-AE3243-V3243,2),"")</x:f>
        <x:v>2.85</x:v>
      </x:c>
      <x:c r="AG3243" t="str">
        <x:f>IF(NOT(ISNUMBER(T3243)),"PENDING",IF(AF3243&gt;0,"PASS","FAIL"))</x:f>
        <x:v>PASS</x:v>
      </x:c>
      <x:c r="AH3243" t="str">
        <x:f>IF(NOT(ISNUMBER(T3243)),"Needs supplier cost",IF(K3243&lt;&gt;"In stock","Supplier unavailable",IF(AG3243&lt;&gt;"PASS","BLOCK - GT loss risk","Commercially protected")))</x:f>
        <x:v>Commercially protected</x:v>
      </x:c>
      <x:c r="AI3243" t="str">
        <x:v>2026-09-10 Active Sports trade capture</x:v>
      </x:c>
      <x:c r="AJ3243" t="str">
        <x:v>Management-only economics. Stripe stress test uses 1.5% + £0.20 standard UK online-card fee; pallet/mix-and-match pricing ignored.</x:v>
      </x:c>
    </x:row>
    <x:row r="3244">
      <x:c r="A3244" t="str">
        <x:v>Active Sports Nutrition</x:v>
      </x:c>
      <x:c r="B3244" t="str">
        <x:v>Trained By JP</x:v>
      </x:c>
      <x:c r="C3244" t="str">
        <x:v>NMN</x:v>
      </x:c>
      <x:c r="D3244" t="str">
        <x:v>Supplements</x:v>
      </x:c>
      <x:c r="E3244" t="str">
        <x:v>Health Support</x:v>
      </x:c>
      <x:c r="F3244" t="str"/>
      <x:c r="G3244" t="str">
        <x:v>60 caps</x:v>
      </x:c>
      <x:c r="H3244" t="str">
        <x:v>Standard</x:v>
      </x:c>
      <x:c r="I3244" t="str"/>
      <x:c r="J3244" t="str">
        <x:v>Unit</x:v>
      </x:c>
      <x:c r="K3244" t="str">
        <x:v>In stock</x:v>
      </x:c>
      <x:c r="L3244" t="str">
        <x:v>2026-09-08</x:v>
      </x:c>
      <x:c r="M3244" t="str"/>
      <x:c r="N3244" t="str"/>
      <x:c r="O3244" t="str">
        <x:v>https://www.activesportstrade.co.uk/trained-by-jp-trade</x:v>
      </x:c>
      <x:c r="P3244" t="str"/>
      <x:c r="Q3244" t="str"/>
      <x:c r="R3244" t="str"/>
      <x:c r="S3244" t="str">
        <x:v>Pending genuine supplier/brand image</x:v>
      </x:c>
      <x:c r="T3244" s="54" t="n">
        <x:v>20.5</x:v>
      </x:c>
      <x:c r="U3244" s="47" t="n">
        <x:v>0.2</x:v>
      </x:c>
      <x:c r="V3244" s="54" t="n">
        <x:f>IF(ISNUMBER(T3244),T3244*(1+U3244),"")</x:f>
        <x:v>24.599999999999998</x:v>
      </x:c>
      <x:c r="W3244" s="47" t="n">
        <x:v>0.3</x:v>
      </x:c>
      <x:c r="X3244" s="54" t="n">
        <x:f>IF(ISNUMBER(V3244),V3244/(1-W3244),"")</x:f>
        <x:v>35.14285714285714</x:v>
      </x:c>
      <x:c r="Y3244" s="55" t="n">
        <x:f>IF(ISNUMBER(X3244),ROUNDUP(X3244,0),"")</x:f>
        <x:v>36</x:v>
      </x:c>
      <x:c r="Z3244" t="str">
        <x:v>Source match pending</x:v>
      </x:c>
      <x:c r="AA3244" t="str">
        <x:v>screencapture-www-activesportstrade-co-uk-trained-by-jp-trade-2026-09-10-09_10_55.pdf / page-5</x:v>
      </x:c>
      <x:c r="AB3244" s="36" t="n">
        <x:f>IF(ISNUMBER(Y3244),ROUND(Y3244*0.9,2),"")</x:f>
        <x:v>32.4</x:v>
      </x:c>
      <x:c r="AC3244" s="36" t="n">
        <x:f>IF(ISNUMBER(AB3244),ROUND(AB3244-(AB3244*0.015+0.2)-V3244,2),"")</x:f>
        <x:v>7.11</x:v>
      </x:c>
      <x:c r="AD3244" s="36" t="n">
        <x:f>IF(ISNUMBER(Y3244),ROUND(Y3244*0.8,2),"")</x:f>
        <x:v>28.8</x:v>
      </x:c>
      <x:c r="AE3244" s="36" t="n">
        <x:f>IF(ISNUMBER(AD3244),ROUND(AD3244*0.015+0.2,2),"")</x:f>
        <x:v>0.63</x:v>
      </x:c>
      <x:c r="AF3244" s="36" t="n">
        <x:f>IF(ISNUMBER(AD3244),ROUND(AD3244-AE3244-V3244,2),"")</x:f>
        <x:v>3.57</x:v>
      </x:c>
      <x:c r="AG3244" t="str">
        <x:f>IF(NOT(ISNUMBER(T3244)),"PENDING",IF(AF3244&gt;0,"PASS","FAIL"))</x:f>
        <x:v>PASS</x:v>
      </x:c>
      <x:c r="AH3244" t="str">
        <x:f>IF(NOT(ISNUMBER(T3244)),"Needs supplier cost",IF(K3244&lt;&gt;"In stock","Supplier unavailable",IF(AG3244&lt;&gt;"PASS","BLOCK - GT loss risk","Commercially protected")))</x:f>
        <x:v>Commercially protected</x:v>
      </x:c>
      <x:c r="AI3244" t="str">
        <x:v>2026-09-10 Active Sports trade capture</x:v>
      </x:c>
      <x:c r="AJ3244" t="str">
        <x:v>Management-only economics. Stripe stress test uses 1.5% + £0.20 standard UK online-card fee; pallet/mix-and-match pricing ignored.</x:v>
      </x:c>
    </x:row>
    <x:row r="3245">
      <x:c r="A3245" t="str">
        <x:v>Active Sports Nutrition</x:v>
      </x:c>
      <x:c r="B3245" t="str">
        <x:v>Trained By JP</x:v>
      </x:c>
      <x:c r="C3245" t="str">
        <x:v>Oh Mega Pharma Pro</x:v>
      </x:c>
      <x:c r="D3245" t="str">
        <x:v>Supplements</x:v>
      </x:c>
      <x:c r="E3245" t="str">
        <x:v>Omega and EFA</x:v>
      </x:c>
      <x:c r="F3245" t="str"/>
      <x:c r="G3245" t="str">
        <x:v>180 softgels</x:v>
      </x:c>
      <x:c r="H3245" t="str">
        <x:v>Standard</x:v>
      </x:c>
      <x:c r="I3245" t="str"/>
      <x:c r="J3245" t="str">
        <x:v>Unit</x:v>
      </x:c>
      <x:c r="K3245" t="str">
        <x:v>In stock</x:v>
      </x:c>
      <x:c r="L3245" t="str">
        <x:v>2026-09-08</x:v>
      </x:c>
      <x:c r="M3245" t="str"/>
      <x:c r="N3245" t="str"/>
      <x:c r="O3245" t="str">
        <x:v>https://www.activesportstrade.co.uk/trained-by-jp-trade</x:v>
      </x:c>
      <x:c r="P3245" t="str"/>
      <x:c r="Q3245" t="str"/>
      <x:c r="R3245" t="str"/>
      <x:c r="S3245" t="str">
        <x:v>Pending genuine supplier/brand image</x:v>
      </x:c>
      <x:c r="T3245" s="54" t="n">
        <x:v>18.99</x:v>
      </x:c>
      <x:c r="U3245" s="47" t="n">
        <x:v>0.2</x:v>
      </x:c>
      <x:c r="V3245" s="54" t="n">
        <x:f>IF(ISNUMBER(T3245),T3245*(1+U3245),"")</x:f>
        <x:v>22.787999999999997</x:v>
      </x:c>
      <x:c r="W3245" s="47" t="n">
        <x:v>0.3</x:v>
      </x:c>
      <x:c r="X3245" s="54" t="n">
        <x:f>IF(ISNUMBER(V3245),V3245/(1-W3245),"")</x:f>
        <x:v>32.55428571428571</x:v>
      </x:c>
      <x:c r="Y3245" s="55" t="n">
        <x:f>IF(ISNUMBER(X3245),ROUNDUP(X3245,0),"")</x:f>
        <x:v>33</x:v>
      </x:c>
      <x:c r="Z3245" t="str">
        <x:v>Source match pending</x:v>
      </x:c>
      <x:c r="AA3245" t="str">
        <x:v>screencapture-www-activesportstrade-co-uk-trained-by-jp-trade-2026-09-10-09_10_55.pdf / page-5</x:v>
      </x:c>
      <x:c r="AB3245" s="36" t="n">
        <x:f>IF(ISNUMBER(Y3245),ROUND(Y3245*0.9,2),"")</x:f>
        <x:v>29.7</x:v>
      </x:c>
      <x:c r="AC3245" s="36" t="n">
        <x:f>IF(ISNUMBER(AB3245),ROUND(AB3245-(AB3245*0.015+0.2)-V3245,2),"")</x:f>
        <x:v>6.27</x:v>
      </x:c>
      <x:c r="AD3245" s="36" t="n">
        <x:f>IF(ISNUMBER(Y3245),ROUND(Y3245*0.8,2),"")</x:f>
        <x:v>26.4</x:v>
      </x:c>
      <x:c r="AE3245" s="36" t="n">
        <x:f>IF(ISNUMBER(AD3245),ROUND(AD3245*0.015+0.2,2),"")</x:f>
        <x:v>0.6</x:v>
      </x:c>
      <x:c r="AF3245" s="36" t="n">
        <x:f>IF(ISNUMBER(AD3245),ROUND(AD3245-AE3245-V3245,2),"")</x:f>
        <x:v>3.01</x:v>
      </x:c>
      <x:c r="AG3245" t="str">
        <x:f>IF(NOT(ISNUMBER(T3245)),"PENDING",IF(AF3245&gt;0,"PASS","FAIL"))</x:f>
        <x:v>PASS</x:v>
      </x:c>
      <x:c r="AH3245" t="str">
        <x:f>IF(NOT(ISNUMBER(T3245)),"Needs supplier cost",IF(K3245&lt;&gt;"In stock","Supplier unavailable",IF(AG3245&lt;&gt;"PASS","BLOCK - GT loss risk","Commercially protected")))</x:f>
        <x:v>Commercially protected</x:v>
      </x:c>
      <x:c r="AI3245" t="str">
        <x:v>2026-09-10 Active Sports trade capture</x:v>
      </x:c>
      <x:c r="AJ3245" t="str">
        <x:v>Management-only economics. Stripe stress test uses 1.5% + £0.20 standard UK online-card fee; pallet/mix-and-match pricing ignored.</x:v>
      </x:c>
    </x:row>
    <x:row r="3246">
      <x:c r="A3246" t="str">
        <x:v>Active Sports Nutrition</x:v>
      </x:c>
      <x:c r="B3246" t="str">
        <x:v>Trained By JP</x:v>
      </x:c>
      <x:c r="C3246" t="str">
        <x:v>OH-Mega V</x:v>
      </x:c>
      <x:c r="D3246" t="str">
        <x:v>Supplements</x:v>
      </x:c>
      <x:c r="E3246" t="str">
        <x:v>Omega and EFA</x:v>
      </x:c>
      <x:c r="F3246" t="str"/>
      <x:c r="G3246" t="str">
        <x:v>180 softgels</x:v>
      </x:c>
      <x:c r="H3246" t="str">
        <x:v>Standard</x:v>
      </x:c>
      <x:c r="I3246" t="str"/>
      <x:c r="J3246" t="str">
        <x:v>Unit</x:v>
      </x:c>
      <x:c r="K3246" t="str">
        <x:v>In stock</x:v>
      </x:c>
      <x:c r="L3246" t="str">
        <x:v>2026-09-08</x:v>
      </x:c>
      <x:c r="M3246" t="str"/>
      <x:c r="N3246" t="str"/>
      <x:c r="O3246" t="str">
        <x:v>https://www.activesportstrade.co.uk/trained-by-jp-trade</x:v>
      </x:c>
      <x:c r="P3246" t="str"/>
      <x:c r="Q3246" t="str"/>
      <x:c r="R3246" t="str"/>
      <x:c r="S3246" t="str">
        <x:v>Pending genuine supplier/brand image</x:v>
      </x:c>
      <x:c r="T3246" s="54" t="n">
        <x:v>9.99</x:v>
      </x:c>
      <x:c r="U3246" s="47" t="n">
        <x:v>0.2</x:v>
      </x:c>
      <x:c r="V3246" s="54" t="n">
        <x:f>IF(ISNUMBER(T3246),T3246*(1+U3246),"")</x:f>
        <x:v>11.988</x:v>
      </x:c>
      <x:c r="W3246" s="47" t="n">
        <x:v>0.3</x:v>
      </x:c>
      <x:c r="X3246" s="54" t="n">
        <x:f>IF(ISNUMBER(V3246),V3246/(1-W3246),"")</x:f>
        <x:v>17.125714285714285</x:v>
      </x:c>
      <x:c r="Y3246" s="55" t="n">
        <x:f>IF(ISNUMBER(X3246),ROUNDUP(X3246,0),"")</x:f>
        <x:v>18</x:v>
      </x:c>
      <x:c r="Z3246" t="str">
        <x:v>Source match pending</x:v>
      </x:c>
      <x:c r="AA3246" t="str">
        <x:v>screencapture-www-activesportstrade-co-uk-trained-by-jp-trade-2026-09-10-09_10_55.pdf / page-5</x:v>
      </x:c>
      <x:c r="AB3246" s="36" t="n">
        <x:f>IF(ISNUMBER(Y3246),ROUND(Y3246*0.9,2),"")</x:f>
        <x:v>16.2</x:v>
      </x:c>
      <x:c r="AC3246" s="36" t="n">
        <x:f>IF(ISNUMBER(AB3246),ROUND(AB3246-(AB3246*0.015+0.2)-V3246,2),"")</x:f>
        <x:v>3.77</x:v>
      </x:c>
      <x:c r="AD3246" s="36" t="n">
        <x:f>IF(ISNUMBER(Y3246),ROUND(Y3246*0.8,2),"")</x:f>
        <x:v>14.4</x:v>
      </x:c>
      <x:c r="AE3246" s="36" t="n">
        <x:f>IF(ISNUMBER(AD3246),ROUND(AD3246*0.015+0.2,2),"")</x:f>
        <x:v>0.42</x:v>
      </x:c>
      <x:c r="AF3246" s="36" t="n">
        <x:f>IF(ISNUMBER(AD3246),ROUND(AD3246-AE3246-V3246,2),"")</x:f>
        <x:v>1.99</x:v>
      </x:c>
      <x:c r="AG3246" t="str">
        <x:f>IF(NOT(ISNUMBER(T3246)),"PENDING",IF(AF3246&gt;0,"PASS","FAIL"))</x:f>
        <x:v>PASS</x:v>
      </x:c>
      <x:c r="AH3246" t="str">
        <x:f>IF(NOT(ISNUMBER(T3246)),"Needs supplier cost",IF(K3246&lt;&gt;"In stock","Supplier unavailable",IF(AG3246&lt;&gt;"PASS","BLOCK - GT loss risk","Commercially protected")))</x:f>
        <x:v>Commercially protected</x:v>
      </x:c>
      <x:c r="AI3246" t="str">
        <x:v>2026-09-10 Active Sports trade capture</x:v>
      </x:c>
      <x:c r="AJ3246" t="str">
        <x:v>Management-only economics. Stripe stress test uses 1.5% + £0.20 standard UK online-card fee; pallet/mix-and-match pricing ignored.</x:v>
      </x:c>
    </x:row>
    <x:row r="3247">
      <x:c r="A3247" t="str">
        <x:v>Active Sports Nutrition</x:v>
      </x:c>
      <x:c r="B3247" t="str">
        <x:v>Trained By JP</x:v>
      </x:c>
      <x:c r="C3247" t="str">
        <x:v>Vital Support</x:v>
      </x:c>
      <x:c r="D3247" t="str">
        <x:v>Supplements</x:v>
      </x:c>
      <x:c r="E3247" t="str">
        <x:v>Health Support</x:v>
      </x:c>
      <x:c r="F3247" t="str"/>
      <x:c r="G3247" t="str">
        <x:v>240 caps</x:v>
      </x:c>
      <x:c r="H3247" t="str">
        <x:v>Standard</x:v>
      </x:c>
      <x:c r="I3247" t="str"/>
      <x:c r="J3247" t="str">
        <x:v>Unit</x:v>
      </x:c>
      <x:c r="K3247" t="str">
        <x:v>In stock</x:v>
      </x:c>
      <x:c r="L3247" t="str">
        <x:v>2026-09-08</x:v>
      </x:c>
      <x:c r="M3247" t="str"/>
      <x:c r="N3247" t="str"/>
      <x:c r="O3247" t="str">
        <x:v>https://www.activesportstrade.co.uk/trained-by-jp-trade</x:v>
      </x:c>
      <x:c r="P3247" t="str"/>
      <x:c r="Q3247" t="str"/>
      <x:c r="R3247" t="str"/>
      <x:c r="S3247" t="str">
        <x:v>Pending genuine supplier/brand image</x:v>
      </x:c>
      <x:c r="T3247" s="54" t="n">
        <x:v>25.99</x:v>
      </x:c>
      <x:c r="U3247" s="47" t="n">
        <x:v>0.2</x:v>
      </x:c>
      <x:c r="V3247" s="54" t="n">
        <x:f>IF(ISNUMBER(T3247),T3247*(1+U3247),"")</x:f>
        <x:v>31.187999999999995</x:v>
      </x:c>
      <x:c r="W3247" s="47" t="n">
        <x:v>0.3</x:v>
      </x:c>
      <x:c r="X3247" s="54" t="n">
        <x:f>IF(ISNUMBER(V3247),V3247/(1-W3247),"")</x:f>
        <x:v>44.55428571428571</x:v>
      </x:c>
      <x:c r="Y3247" s="55" t="n">
        <x:f>IF(ISNUMBER(X3247),ROUNDUP(X3247,0),"")</x:f>
        <x:v>45</x:v>
      </x:c>
      <x:c r="Z3247" t="str">
        <x:v>Source match pending</x:v>
      </x:c>
      <x:c r="AA3247" t="str">
        <x:v>screencapture-www-activesportstrade-co-uk-trained-by-jp-trade-2026-09-10-09_10_55.pdf / page-8</x:v>
      </x:c>
      <x:c r="AB3247" s="36" t="n">
        <x:f>IF(ISNUMBER(Y3247),ROUND(Y3247*0.9,2),"")</x:f>
        <x:v>40.5</x:v>
      </x:c>
      <x:c r="AC3247" s="36" t="n">
        <x:f>IF(ISNUMBER(AB3247),ROUND(AB3247-(AB3247*0.015+0.2)-V3247,2),"")</x:f>
        <x:v>8.5</x:v>
      </x:c>
      <x:c r="AD3247" s="36" t="n">
        <x:f>IF(ISNUMBER(Y3247),ROUND(Y3247*0.8,2),"")</x:f>
        <x:v>36</x:v>
      </x:c>
      <x:c r="AE3247" s="36" t="n">
        <x:f>IF(ISNUMBER(AD3247),ROUND(AD3247*0.015+0.2,2),"")</x:f>
        <x:v>0.74</x:v>
      </x:c>
      <x:c r="AF3247" s="36" t="n">
        <x:f>IF(ISNUMBER(AD3247),ROUND(AD3247-AE3247-V3247,2),"")</x:f>
        <x:v>4.07</x:v>
      </x:c>
      <x:c r="AG3247" t="str">
        <x:f>IF(NOT(ISNUMBER(T3247)),"PENDING",IF(AF3247&gt;0,"PASS","FAIL"))</x:f>
        <x:v>PASS</x:v>
      </x:c>
      <x:c r="AH3247" t="str">
        <x:f>IF(NOT(ISNUMBER(T3247)),"Needs supplier cost",IF(K3247&lt;&gt;"In stock","Supplier unavailable",IF(AG3247&lt;&gt;"PASS","BLOCK - GT loss risk","Commercially protected")))</x:f>
        <x:v>Commercially protected</x:v>
      </x:c>
      <x:c r="AI3247" t="str">
        <x:v>2026-09-10 Active Sports trade capture</x:v>
      </x:c>
      <x:c r="AJ3247" t="str">
        <x:v>Management-only economics. Stripe stress test uses 1.5% + £0.20 standard UK online-card fee; pallet/mix-and-match pricing ignored.</x:v>
      </x:c>
    </x:row>
    <x:row r="3248">
      <x:c r="A3248" t="str">
        <x:v>Active Sports Nutrition</x:v>
      </x:c>
      <x:c r="B3248" t="str">
        <x:v>Trained By JP</x:v>
      </x:c>
      <x:c r="C3248" t="str">
        <x:v>Vit-C</x:v>
      </x:c>
      <x:c r="D3248" t="str">
        <x:v>Supplements</x:v>
      </x:c>
      <x:c r="E3248" t="str">
        <x:v>Vitamins &amp; Minerals</x:v>
      </x:c>
      <x:c r="F3248" t="str"/>
      <x:c r="G3248" t="str">
        <x:v>120 caps</x:v>
      </x:c>
      <x:c r="H3248" t="str">
        <x:v>Standard</x:v>
      </x:c>
      <x:c r="I3248" t="str"/>
      <x:c r="J3248" t="str">
        <x:v>Unit</x:v>
      </x:c>
      <x:c r="K3248" t="str">
        <x:v>In stock</x:v>
      </x:c>
      <x:c r="L3248" t="str">
        <x:v>2026-09-08</x:v>
      </x:c>
      <x:c r="M3248" t="str"/>
      <x:c r="N3248" t="str"/>
      <x:c r="O3248" t="str">
        <x:v>https://www.activesportstrade.co.uk/trained-by-jp-trade</x:v>
      </x:c>
      <x:c r="P3248" t="str"/>
      <x:c r="Q3248" t="str"/>
      <x:c r="R3248" t="str"/>
      <x:c r="S3248" t="str">
        <x:v>Pending genuine supplier/brand image</x:v>
      </x:c>
      <x:c r="T3248" s="54" t="n">
        <x:v>8.99</x:v>
      </x:c>
      <x:c r="U3248" s="47" t="n">
        <x:v>0.2</x:v>
      </x:c>
      <x:c r="V3248" s="54" t="n">
        <x:f>IF(ISNUMBER(T3248),T3248*(1+U3248),"")</x:f>
        <x:v>10.788</x:v>
      </x:c>
      <x:c r="W3248" s="47" t="n">
        <x:v>0.3</x:v>
      </x:c>
      <x:c r="X3248" s="54" t="n">
        <x:f>IF(ISNUMBER(V3248),V3248/(1-W3248),"")</x:f>
        <x:v>15.411428571428573</x:v>
      </x:c>
      <x:c r="Y3248" s="55" t="n">
        <x:f>IF(ISNUMBER(X3248),ROUNDUP(X3248,0),"")</x:f>
        <x:v>16</x:v>
      </x:c>
      <x:c r="Z3248" t="str">
        <x:v>Source match pending</x:v>
      </x:c>
      <x:c r="AA3248" t="str">
        <x:v>screencapture-www-activesportstrade-co-uk-trained-by-jp-trade-2026-09-10-09_10_55.pdf / page-8</x:v>
      </x:c>
      <x:c r="AB3248" s="36" t="n">
        <x:f>IF(ISNUMBER(Y3248),ROUND(Y3248*0.9,2),"")</x:f>
        <x:v>14.4</x:v>
      </x:c>
      <x:c r="AC3248" s="36" t="n">
        <x:f>IF(ISNUMBER(AB3248),ROUND(AB3248-(AB3248*0.015+0.2)-V3248,2),"")</x:f>
        <x:v>3.2</x:v>
      </x:c>
      <x:c r="AD3248" s="36" t="n">
        <x:f>IF(ISNUMBER(Y3248),ROUND(Y3248*0.8,2),"")</x:f>
        <x:v>12.8</x:v>
      </x:c>
      <x:c r="AE3248" s="36" t="n">
        <x:f>IF(ISNUMBER(AD3248),ROUND(AD3248*0.015+0.2,2),"")</x:f>
        <x:v>0.39</x:v>
      </x:c>
      <x:c r="AF3248" s="36" t="n">
        <x:f>IF(ISNUMBER(AD3248),ROUND(AD3248-AE3248-V3248,2),"")</x:f>
        <x:v>1.62</x:v>
      </x:c>
      <x:c r="AG3248" t="str">
        <x:f>IF(NOT(ISNUMBER(T3248)),"PENDING",IF(AF3248&gt;0,"PASS","FAIL"))</x:f>
        <x:v>PASS</x:v>
      </x:c>
      <x:c r="AH3248" t="str">
        <x:f>IF(NOT(ISNUMBER(T3248)),"Needs supplier cost",IF(K3248&lt;&gt;"In stock","Supplier unavailable",IF(AG3248&lt;&gt;"PASS","BLOCK - GT loss risk","Commercially protected")))</x:f>
        <x:v>Commercially protected</x:v>
      </x:c>
      <x:c r="AI3248" t="str">
        <x:v>2026-09-10 Active Sports trade capture</x:v>
      </x:c>
      <x:c r="AJ3248" t="str">
        <x:v>Management-only economics. Stripe stress test uses 1.5% + £0.20 standard UK online-card fee; pallet/mix-and-match pricing ignored.</x:v>
      </x:c>
    </x:row>
    <x:row r="3249">
      <x:c r="A3249" t="str">
        <x:v>Active Sports Nutrition</x:v>
      </x:c>
      <x:c r="B3249" t="str">
        <x:v>Trained By JP</x:v>
      </x:c>
      <x:c r="C3249" t="str">
        <x:v>Zinc Magnesium &amp; B6</x:v>
      </x:c>
      <x:c r="D3249" t="str">
        <x:v>Supplements</x:v>
      </x:c>
      <x:c r="E3249" t="str">
        <x:v>ZMA / Minerals</x:v>
      </x:c>
      <x:c r="F3249" t="str"/>
      <x:c r="G3249" t="str">
        <x:v>90 caps</x:v>
      </x:c>
      <x:c r="H3249" t="str">
        <x:v>Standard</x:v>
      </x:c>
      <x:c r="I3249" t="str"/>
      <x:c r="J3249" t="str">
        <x:v>Unit</x:v>
      </x:c>
      <x:c r="K3249" t="str">
        <x:v>In stock</x:v>
      </x:c>
      <x:c r="L3249" t="str">
        <x:v>2026-09-08</x:v>
      </x:c>
      <x:c r="M3249" t="str"/>
      <x:c r="N3249" t="str"/>
      <x:c r="O3249" t="str">
        <x:v>https://www.activesportstrade.co.uk/trained-by-jp-trade</x:v>
      </x:c>
      <x:c r="P3249" t="str"/>
      <x:c r="Q3249" t="str"/>
      <x:c r="R3249" t="str"/>
      <x:c r="S3249" t="str">
        <x:v>Pending genuine supplier/brand image</x:v>
      </x:c>
      <x:c r="T3249" s="54" t="n">
        <x:v>8.5</x:v>
      </x:c>
      <x:c r="U3249" s="47" t="n">
        <x:v>0.2</x:v>
      </x:c>
      <x:c r="V3249" s="54" t="n">
        <x:f>IF(ISNUMBER(T3249),T3249*(1+U3249),"")</x:f>
        <x:v>10.2</x:v>
      </x:c>
      <x:c r="W3249" s="47" t="n">
        <x:v>0.3</x:v>
      </x:c>
      <x:c r="X3249" s="54" t="n">
        <x:f>IF(ISNUMBER(V3249),V3249/(1-W3249),"")</x:f>
        <x:v>14.571428571428571</x:v>
      </x:c>
      <x:c r="Y3249" s="55" t="n">
        <x:f>IF(ISNUMBER(X3249),ROUNDUP(X3249,0),"")</x:f>
        <x:v>15</x:v>
      </x:c>
      <x:c r="Z3249" t="str">
        <x:v>Source match pending</x:v>
      </x:c>
      <x:c r="AA3249" t="str">
        <x:v>screencapture-www-activesportstrade-co-uk-trained-by-jp-trade-2026-09-10-09_10_55.pdf / page-8</x:v>
      </x:c>
      <x:c r="AB3249" s="36" t="n">
        <x:f>IF(ISNUMBER(Y3249),ROUND(Y3249*0.9,2),"")</x:f>
        <x:v>13.5</x:v>
      </x:c>
      <x:c r="AC3249" s="36" t="n">
        <x:f>IF(ISNUMBER(AB3249),ROUND(AB3249-(AB3249*0.015+0.2)-V3249,2),"")</x:f>
        <x:v>2.9</x:v>
      </x:c>
      <x:c r="AD3249" s="36" t="n">
        <x:f>IF(ISNUMBER(Y3249),ROUND(Y3249*0.8,2),"")</x:f>
        <x:v>12</x:v>
      </x:c>
      <x:c r="AE3249" s="36" t="n">
        <x:f>IF(ISNUMBER(AD3249),ROUND(AD3249*0.015+0.2,2),"")</x:f>
        <x:v>0.38</x:v>
      </x:c>
      <x:c r="AF3249" s="36" t="n">
        <x:f>IF(ISNUMBER(AD3249),ROUND(AD3249-AE3249-V3249,2),"")</x:f>
        <x:v>1.42</x:v>
      </x:c>
      <x:c r="AG3249" t="str">
        <x:f>IF(NOT(ISNUMBER(T3249)),"PENDING",IF(AF3249&gt;0,"PASS","FAIL"))</x:f>
        <x:v>PASS</x:v>
      </x:c>
      <x:c r="AH3249" t="str">
        <x:f>IF(NOT(ISNUMBER(T3249)),"Needs supplier cost",IF(K3249&lt;&gt;"In stock","Supplier unavailable",IF(AG3249&lt;&gt;"PASS","BLOCK - GT loss risk","Commercially protected")))</x:f>
        <x:v>Commercially protected</x:v>
      </x:c>
      <x:c r="AI3249" t="str">
        <x:v>2026-09-10 Active Sports trade capture</x:v>
      </x:c>
      <x:c r="AJ3249" t="str">
        <x:v>Management-only economics. Stripe stress test uses 1.5% + £0.20 standard UK online-card fee; pallet/mix-and-match pricing ignored.</x:v>
      </x:c>
    </x:row>
    <x:row r="3250">
      <x:c r="A3250" t="str">
        <x:v>Active Sports Nutrition</x:v>
      </x:c>
      <x:c r="B3250" t="str">
        <x:v>Trained By JP</x:v>
      </x:c>
      <x:c r="C3250" t="str">
        <x:v>Veggie Might PRO</x:v>
      </x:c>
      <x:c r="D3250" t="str">
        <x:v>Supplements</x:v>
      </x:c>
      <x:c r="E3250" t="str">
        <x:v>Greens / Micronutrients</x:v>
      </x:c>
      <x:c r="F3250" t="str"/>
      <x:c r="G3250" t="str">
        <x:v>30 servings</x:v>
      </x:c>
      <x:c r="H3250" t="str">
        <x:v>Chocolate</x:v>
      </x:c>
      <x:c r="I3250" t="str"/>
      <x:c r="J3250" t="str">
        <x:v>Unit</x:v>
      </x:c>
      <x:c r="K3250" t="str">
        <x:v>In stock</x:v>
      </x:c>
      <x:c r="L3250" t="str">
        <x:v>2026-09-08</x:v>
      </x:c>
      <x:c r="M3250" t="str"/>
      <x:c r="N3250" t="str"/>
      <x:c r="O3250" t="str">
        <x:v>https://www.activesportstrade.co.uk/trained-by-jp-trade</x:v>
      </x:c>
      <x:c r="P3250" t="str"/>
      <x:c r="Q3250" t="str"/>
      <x:c r="R3250" t="str"/>
      <x:c r="S3250" t="str">
        <x:v>Pending genuine supplier/brand image</x:v>
      </x:c>
      <x:c r="T3250" s="54"/>
      <x:c r="U3250" s="47" t="n">
        <x:v>0.2</x:v>
      </x:c>
      <x:c r="V3250" s="54" t="str">
        <x:f>IF(ISNUMBER(T3250),T3250*(1+U3250),"")</x:f>
      </x:c>
      <x:c r="W3250" s="47" t="n">
        <x:v>0.3</x:v>
      </x:c>
      <x:c r="X3250" s="54" t="str">
        <x:f>IF(ISNUMBER(V3250),V3250/(1-W3250),"")</x:f>
      </x:c>
      <x:c r="Y3250" s="55" t="str">
        <x:f>IF(ISNUMBER(X3250),ROUNDUP(X3250,0),"")</x:f>
      </x:c>
      <x:c r="Z3250" t="str">
        <x:f>IF(ISNUMBER(T3250),"Cost captured","Awaiting trade cost")</x:f>
        <x:v>Awaiting trade cost</x:v>
      </x:c>
      <x:c r="AB3250" s="36" t="str">
        <x:f>IF(ISNUMBER(Y3250),ROUND(Y3250*0.9,2),"")</x:f>
      </x:c>
      <x:c r="AC3250" s="36" t="str">
        <x:f>IF(ISNUMBER(AB3250),ROUND(AB3250-(AB3250*0.015+0.2)-V3250,2),"")</x:f>
      </x:c>
      <x:c r="AD3250" s="36" t="str">
        <x:f>IF(ISNUMBER(Y3250),ROUND(Y3250*0.8,2),"")</x:f>
      </x:c>
      <x:c r="AE3250" s="36" t="str">
        <x:f>IF(ISNUMBER(AD3250),ROUND(AD3250*0.015+0.2,2),"")</x:f>
      </x:c>
      <x:c r="AF3250" s="36" t="str">
        <x:f>IF(ISNUMBER(AD3250),ROUND(AD3250-AE3250-V3250,2),"")</x:f>
      </x:c>
      <x:c r="AG3250" t="str">
        <x:f>IF(NOT(ISNUMBER(T3250)),"PENDING",IF(AF3250&gt;0,"PASS","FAIL"))</x:f>
        <x:v>PENDING</x:v>
      </x:c>
      <x:c r="AH3250" t="str">
        <x:f>IF(NOT(ISNUMBER(T3250)),"Needs supplier cost",IF(K3250&lt;&gt;"In stock","Supplier unavailable",IF(AG3250&lt;&gt;"PASS","BLOCK - GT loss risk","Commercially protected")))</x:f>
        <x:v>Needs supplier cost</x:v>
      </x:c>
      <x:c r="AI3250" t="str">
        <x:v>2026-09-10 Active Sports trade capture</x:v>
      </x:c>
      <x:c r="AJ3250" t="str">
        <x:v>Management-only economics. Stripe stress test uses 1.5% + £0.20 standard UK online-card fee; pallet/mix-and-match pricing ignored.</x:v>
      </x:c>
    </x:row>
    <x:row r="3251">
      <x:c r="A3251" t="str">
        <x:v>Active Sports Nutrition</x:v>
      </x:c>
      <x:c r="B3251" t="str">
        <x:v>Trained By JP</x:v>
      </x:c>
      <x:c r="C3251" t="str">
        <x:v>Veggie Might PRO</x:v>
      </x:c>
      <x:c r="D3251" t="str">
        <x:v>Supplements</x:v>
      </x:c>
      <x:c r="E3251" t="str">
        <x:v>Greens / Micronutrients</x:v>
      </x:c>
      <x:c r="F3251" t="str"/>
      <x:c r="G3251" t="str">
        <x:v>30 servings</x:v>
      </x:c>
      <x:c r="H3251" t="str">
        <x:v>Mango Blast</x:v>
      </x:c>
      <x:c r="I3251" t="str"/>
      <x:c r="J3251" t="str">
        <x:v>Unit</x:v>
      </x:c>
      <x:c r="K3251" t="str">
        <x:v>In stock</x:v>
      </x:c>
      <x:c r="L3251" t="str">
        <x:v>2026-09-08</x:v>
      </x:c>
      <x:c r="M3251" t="str"/>
      <x:c r="N3251" t="str"/>
      <x:c r="O3251" t="str">
        <x:v>https://www.activesportstrade.co.uk/trained-by-jp-trade</x:v>
      </x:c>
      <x:c r="P3251" t="str"/>
      <x:c r="Q3251" t="str"/>
      <x:c r="R3251" t="str"/>
      <x:c r="S3251" t="str">
        <x:v>Pending genuine supplier/brand image</x:v>
      </x:c>
      <x:c r="T3251" s="54"/>
      <x:c r="U3251" s="47" t="n">
        <x:v>0.2</x:v>
      </x:c>
      <x:c r="V3251" s="54" t="str">
        <x:f>IF(ISNUMBER(T3251),T3251*(1+U3251),"")</x:f>
      </x:c>
      <x:c r="W3251" s="47" t="n">
        <x:v>0.3</x:v>
      </x:c>
      <x:c r="X3251" s="54" t="str">
        <x:f>IF(ISNUMBER(V3251),V3251/(1-W3251),"")</x:f>
      </x:c>
      <x:c r="Y3251" s="55" t="str">
        <x:f>IF(ISNUMBER(X3251),ROUNDUP(X3251,0),"")</x:f>
      </x:c>
      <x:c r="Z3251" t="str">
        <x:f>IF(ISNUMBER(T3251),"Cost captured","Awaiting trade cost")</x:f>
        <x:v>Awaiting trade cost</x:v>
      </x:c>
      <x:c r="AB3251" s="36" t="str">
        <x:f>IF(ISNUMBER(Y3251),ROUND(Y3251*0.9,2),"")</x:f>
      </x:c>
      <x:c r="AC3251" s="36" t="str">
        <x:f>IF(ISNUMBER(AB3251),ROUND(AB3251-(AB3251*0.015+0.2)-V3251,2),"")</x:f>
      </x:c>
      <x:c r="AD3251" s="36" t="str">
        <x:f>IF(ISNUMBER(Y3251),ROUND(Y3251*0.8,2),"")</x:f>
      </x:c>
      <x:c r="AE3251" s="36" t="str">
        <x:f>IF(ISNUMBER(AD3251),ROUND(AD3251*0.015+0.2,2),"")</x:f>
      </x:c>
      <x:c r="AF3251" s="36" t="str">
        <x:f>IF(ISNUMBER(AD3251),ROUND(AD3251-AE3251-V3251,2),"")</x:f>
      </x:c>
      <x:c r="AG3251" t="str">
        <x:f>IF(NOT(ISNUMBER(T3251)),"PENDING",IF(AF3251&gt;0,"PASS","FAIL"))</x:f>
        <x:v>PENDING</x:v>
      </x:c>
      <x:c r="AH3251" t="str">
        <x:f>IF(NOT(ISNUMBER(T3251)),"Needs supplier cost",IF(K3251&lt;&gt;"In stock","Supplier unavailable",IF(AG3251&lt;&gt;"PASS","BLOCK - GT loss risk","Commercially protected")))</x:f>
        <x:v>Needs supplier cost</x:v>
      </x:c>
      <x:c r="AI3251" t="str">
        <x:v>2026-09-10 Active Sports trade capture</x:v>
      </x:c>
      <x:c r="AJ3251" t="str">
        <x:v>Management-only economics. Stripe stress test uses 1.5% + £0.20 standard UK online-card fee; pallet/mix-and-match pricing ignored.</x:v>
      </x:c>
    </x:row>
    <x:row r="3252">
      <x:c r="A3252" t="str">
        <x:v>Active Sports Nutrition</x:v>
      </x:c>
      <x:c r="B3252" t="str">
        <x:v>Trained By JP</x:v>
      </x:c>
      <x:c r="C3252" t="str">
        <x:v>Performance Protein</x:v>
      </x:c>
      <x:c r="D3252" t="str">
        <x:v>Supplements</x:v>
      </x:c>
      <x:c r="E3252" t="str">
        <x:v>Whey Protein Blend</x:v>
      </x:c>
      <x:c r="F3252" t="str"/>
      <x:c r="G3252" t="str">
        <x:v>1kg</x:v>
      </x:c>
      <x:c r="H3252" t="str">
        <x:v>Banoffee</x:v>
      </x:c>
      <x:c r="I3252" t="str"/>
      <x:c r="J3252" t="str">
        <x:v>Unit</x:v>
      </x:c>
      <x:c r="K3252" t="str">
        <x:v>In stock</x:v>
      </x:c>
      <x:c r="L3252" t="str">
        <x:v>2026-09-08</x:v>
      </x:c>
      <x:c r="M3252" t="str"/>
      <x:c r="N3252" t="str"/>
      <x:c r="O3252" t="str">
        <x:v>https://www.activesportstrade.co.uk/Whey-Protein-Supplements-Trade/trained-by-jp-trade</x:v>
      </x:c>
      <x:c r="P3252" t="str">
        <x:v>Fresh whey page; exact 1kg matrix captured independently of 2kg.</x:v>
      </x:c>
      <x:c r="Q3252" t="str"/>
      <x:c r="R3252" t="str"/>
      <x:c r="S3252" t="str">
        <x:v>Pending genuine supplier/brand image</x:v>
      </x:c>
      <x:c r="T3252" s="54" t="n">
        <x:v>18.99</x:v>
      </x:c>
      <x:c r="U3252" s="47" t="n">
        <x:v>0.2</x:v>
      </x:c>
      <x:c r="V3252" s="54" t="n">
        <x:f>IF(ISNUMBER(T3252),T3252*(1+U3252),"")</x:f>
        <x:v>22.787999999999997</x:v>
      </x:c>
      <x:c r="W3252" s="47" t="n">
        <x:v>0.3</x:v>
      </x:c>
      <x:c r="X3252" s="54" t="n">
        <x:f>IF(ISNUMBER(V3252),V3252/(1-W3252),"")</x:f>
        <x:v>32.55428571428571</x:v>
      </x:c>
      <x:c r="Y3252" s="55" t="n">
        <x:f>IF(ISNUMBER(X3252),ROUNDUP(X3252,0),"")</x:f>
        <x:v>33</x:v>
      </x:c>
      <x:c r="Z3252" t="str">
        <x:v>Source match pending</x:v>
      </x:c>
      <x:c r="AA3252" t="str">
        <x:v>screencapture-www-activesportstrade-co-uk-trained-by-jp-trade-2026-09-10-09_10_55.pdf / page-6</x:v>
      </x:c>
      <x:c r="AB3252" s="36" t="n">
        <x:f>IF(ISNUMBER(Y3252),ROUND(Y3252*0.9,2),"")</x:f>
        <x:v>29.7</x:v>
      </x:c>
      <x:c r="AC3252" s="36" t="n">
        <x:f>IF(ISNUMBER(AB3252),ROUND(AB3252-(AB3252*0.015+0.2)-V3252,2),"")</x:f>
        <x:v>6.27</x:v>
      </x:c>
      <x:c r="AD3252" s="36" t="n">
        <x:f>IF(ISNUMBER(Y3252),ROUND(Y3252*0.8,2),"")</x:f>
        <x:v>26.4</x:v>
      </x:c>
      <x:c r="AE3252" s="36" t="n">
        <x:f>IF(ISNUMBER(AD3252),ROUND(AD3252*0.015+0.2,2),"")</x:f>
        <x:v>0.6</x:v>
      </x:c>
      <x:c r="AF3252" s="36" t="n">
        <x:f>IF(ISNUMBER(AD3252),ROUND(AD3252-AE3252-V3252,2),"")</x:f>
        <x:v>3.01</x:v>
      </x:c>
      <x:c r="AG3252" t="str">
        <x:f>IF(NOT(ISNUMBER(T3252)),"PENDING",IF(AF3252&gt;0,"PASS","FAIL"))</x:f>
        <x:v>PASS</x:v>
      </x:c>
      <x:c r="AH3252" t="str">
        <x:f>IF(NOT(ISNUMBER(T3252)),"Needs supplier cost",IF(K3252&lt;&gt;"In stock","Supplier unavailable",IF(AG3252&lt;&gt;"PASS","BLOCK - GT loss risk","Commercially protected")))</x:f>
        <x:v>Commercially protected</x:v>
      </x:c>
      <x:c r="AI3252" t="str">
        <x:v>2026-09-10 Active Sports trade capture</x:v>
      </x:c>
      <x:c r="AJ3252" t="str">
        <x:v>Management-only economics. Stripe stress test uses 1.5% + £0.20 standard UK online-card fee; pallet/mix-and-match pricing ignored.</x:v>
      </x:c>
    </x:row>
    <x:row r="3253">
      <x:c r="A3253" t="str">
        <x:v>Active Sports Nutrition</x:v>
      </x:c>
      <x:c r="B3253" t="str">
        <x:v>Trained By JP</x:v>
      </x:c>
      <x:c r="C3253" t="str">
        <x:v>Performance Protein</x:v>
      </x:c>
      <x:c r="D3253" t="str">
        <x:v>Supplements</x:v>
      </x:c>
      <x:c r="E3253" t="str">
        <x:v>Whey Protein Blend</x:v>
      </x:c>
      <x:c r="F3253" t="str"/>
      <x:c r="G3253" t="str">
        <x:v>1kg</x:v>
      </x:c>
      <x:c r="H3253" t="str">
        <x:v>Blueberry Muffin</x:v>
      </x:c>
      <x:c r="I3253" t="str"/>
      <x:c r="J3253" t="str">
        <x:v>Unit</x:v>
      </x:c>
      <x:c r="K3253" t="str">
        <x:v>In stock</x:v>
      </x:c>
      <x:c r="L3253" t="str">
        <x:v>2026-09-08</x:v>
      </x:c>
      <x:c r="M3253" t="str"/>
      <x:c r="N3253" t="str"/>
      <x:c r="O3253" t="str">
        <x:v>https://www.activesportstrade.co.uk/Whey-Protein-Supplements-Trade/trained-by-jp-trade</x:v>
      </x:c>
      <x:c r="P3253" t="str">
        <x:v>Fresh whey page; exact 1kg matrix captured independently of 2kg.</x:v>
      </x:c>
      <x:c r="Q3253" t="str"/>
      <x:c r="R3253" t="str"/>
      <x:c r="S3253" t="str">
        <x:v>Pending genuine supplier/brand image</x:v>
      </x:c>
      <x:c r="T3253" s="54" t="n">
        <x:v>18.99</x:v>
      </x:c>
      <x:c r="U3253" s="47" t="n">
        <x:v>0.2</x:v>
      </x:c>
      <x:c r="V3253" s="54" t="n">
        <x:f>IF(ISNUMBER(T3253),T3253*(1+U3253),"")</x:f>
        <x:v>22.787999999999997</x:v>
      </x:c>
      <x:c r="W3253" s="47" t="n">
        <x:v>0.3</x:v>
      </x:c>
      <x:c r="X3253" s="54" t="n">
        <x:f>IF(ISNUMBER(V3253),V3253/(1-W3253),"")</x:f>
        <x:v>32.55428571428571</x:v>
      </x:c>
      <x:c r="Y3253" s="55" t="n">
        <x:f>IF(ISNUMBER(X3253),ROUNDUP(X3253,0),"")</x:f>
        <x:v>33</x:v>
      </x:c>
      <x:c r="Z3253" t="str">
        <x:v>Source match pending</x:v>
      </x:c>
      <x:c r="AA3253" t="str">
        <x:v>screencapture-www-activesportstrade-co-uk-trained-by-jp-trade-2026-09-10-09_10_55.pdf / page-6</x:v>
      </x:c>
      <x:c r="AB3253" s="36" t="n">
        <x:f>IF(ISNUMBER(Y3253),ROUND(Y3253*0.9,2),"")</x:f>
        <x:v>29.7</x:v>
      </x:c>
      <x:c r="AC3253" s="36" t="n">
        <x:f>IF(ISNUMBER(AB3253),ROUND(AB3253-(AB3253*0.015+0.2)-V3253,2),"")</x:f>
        <x:v>6.27</x:v>
      </x:c>
      <x:c r="AD3253" s="36" t="n">
        <x:f>IF(ISNUMBER(Y3253),ROUND(Y3253*0.8,2),"")</x:f>
        <x:v>26.4</x:v>
      </x:c>
      <x:c r="AE3253" s="36" t="n">
        <x:f>IF(ISNUMBER(AD3253),ROUND(AD3253*0.015+0.2,2),"")</x:f>
        <x:v>0.6</x:v>
      </x:c>
      <x:c r="AF3253" s="36" t="n">
        <x:f>IF(ISNUMBER(AD3253),ROUND(AD3253-AE3253-V3253,2),"")</x:f>
        <x:v>3.01</x:v>
      </x:c>
      <x:c r="AG3253" t="str">
        <x:f>IF(NOT(ISNUMBER(T3253)),"PENDING",IF(AF3253&gt;0,"PASS","FAIL"))</x:f>
        <x:v>PASS</x:v>
      </x:c>
      <x:c r="AH3253" t="str">
        <x:f>IF(NOT(ISNUMBER(T3253)),"Needs supplier cost",IF(K3253&lt;&gt;"In stock","Supplier unavailable",IF(AG3253&lt;&gt;"PASS","BLOCK - GT loss risk","Commercially protected")))</x:f>
        <x:v>Commercially protected</x:v>
      </x:c>
      <x:c r="AI3253" t="str">
        <x:v>2026-09-10 Active Sports trade capture</x:v>
      </x:c>
      <x:c r="AJ3253" t="str">
        <x:v>Management-only economics. Stripe stress test uses 1.5% + £0.20 standard UK online-card fee; pallet/mix-and-match pricing ignored.</x:v>
      </x:c>
    </x:row>
    <x:row r="3254">
      <x:c r="A3254" t="str">
        <x:v>Active Sports Nutrition</x:v>
      </x:c>
      <x:c r="B3254" t="str">
        <x:v>Trained By JP</x:v>
      </x:c>
      <x:c r="C3254" t="str">
        <x:v>Performance Protein</x:v>
      </x:c>
      <x:c r="D3254" t="str">
        <x:v>Supplements</x:v>
      </x:c>
      <x:c r="E3254" t="str">
        <x:v>Whey Protein Blend</x:v>
      </x:c>
      <x:c r="F3254" t="str"/>
      <x:c r="G3254" t="str">
        <x:v>1kg</x:v>
      </x:c>
      <x:c r="H3254" t="str">
        <x:v>Caramel Biscuit</x:v>
      </x:c>
      <x:c r="I3254" t="str"/>
      <x:c r="J3254" t="str">
        <x:v>Unit</x:v>
      </x:c>
      <x:c r="K3254" t="str">
        <x:v>Out of stock</x:v>
      </x:c>
      <x:c r="L3254" t="str">
        <x:v>2026-09-08</x:v>
      </x:c>
      <x:c r="M3254" t="str"/>
      <x:c r="N3254" t="str"/>
      <x:c r="O3254" t="str">
        <x:v>https://www.activesportstrade.co.uk/Whey-Protein-Supplements-Trade/trained-by-jp-trade</x:v>
      </x:c>
      <x:c r="P3254" t="str">
        <x:v>Fresh whey page; exact 1kg matrix captured independently of 2kg.</x:v>
      </x:c>
      <x:c r="Q3254" t="str"/>
      <x:c r="R3254" t="str"/>
      <x:c r="S3254" t="str">
        <x:v>Pending genuine supplier/brand image</x:v>
      </x:c>
      <x:c r="T3254" s="54" t="n">
        <x:v>18.99</x:v>
      </x:c>
      <x:c r="U3254" s="47" t="n">
        <x:v>0.2</x:v>
      </x:c>
      <x:c r="V3254" s="54" t="n">
        <x:f>IF(ISNUMBER(T3254),T3254*(1+U3254),"")</x:f>
        <x:v>22.787999999999997</x:v>
      </x:c>
      <x:c r="W3254" s="47" t="n">
        <x:v>0.3</x:v>
      </x:c>
      <x:c r="X3254" s="54" t="n">
        <x:f>IF(ISNUMBER(V3254),V3254/(1-W3254),"")</x:f>
        <x:v>32.55428571428571</x:v>
      </x:c>
      <x:c r="Y3254" s="55" t="n">
        <x:f>IF(ISNUMBER(X3254),ROUNDUP(X3254,0),"")</x:f>
        <x:v>33</x:v>
      </x:c>
      <x:c r="Z3254" t="str">
        <x:v>Source match pending</x:v>
      </x:c>
      <x:c r="AA3254" t="str">
        <x:v>screencapture-www-activesportstrade-co-uk-trained-by-jp-trade-2026-09-10-09_10_55.pdf / page-6</x:v>
      </x:c>
      <x:c r="AB3254" s="36" t="n">
        <x:f>IF(ISNUMBER(Y3254),ROUND(Y3254*0.9,2),"")</x:f>
        <x:v>29.7</x:v>
      </x:c>
      <x:c r="AC3254" s="36" t="n">
        <x:f>IF(ISNUMBER(AB3254),ROUND(AB3254-(AB3254*0.015+0.2)-V3254,2),"")</x:f>
        <x:v>6.27</x:v>
      </x:c>
      <x:c r="AD3254" s="36" t="n">
        <x:f>IF(ISNUMBER(Y3254),ROUND(Y3254*0.8,2),"")</x:f>
        <x:v>26.4</x:v>
      </x:c>
      <x:c r="AE3254" s="36" t="n">
        <x:f>IF(ISNUMBER(AD3254),ROUND(AD3254*0.015+0.2,2),"")</x:f>
        <x:v>0.6</x:v>
      </x:c>
      <x:c r="AF3254" s="36" t="n">
        <x:f>IF(ISNUMBER(AD3254),ROUND(AD3254-AE3254-V3254,2),"")</x:f>
        <x:v>3.01</x:v>
      </x:c>
      <x:c r="AG3254" t="str">
        <x:f>IF(NOT(ISNUMBER(T3254)),"PENDING",IF(AF3254&gt;0,"PASS","FAIL"))</x:f>
        <x:v>PASS</x:v>
      </x:c>
      <x:c r="AH3254" t="str">
        <x:f>IF(NOT(ISNUMBER(T3254)),"Needs supplier cost",IF(K3254&lt;&gt;"In stock","Supplier unavailable",IF(AG3254&lt;&gt;"PASS","BLOCK - GT loss risk","Commercially protected")))</x:f>
        <x:v>Supplier unavailable</x:v>
      </x:c>
      <x:c r="AI3254" t="str">
        <x:v>2026-09-10 Active Sports trade capture</x:v>
      </x:c>
      <x:c r="AJ3254" t="str">
        <x:v>Management-only economics. Stripe stress test uses 1.5% + £0.20 standard UK online-card fee; pallet/mix-and-match pricing ignored.</x:v>
      </x:c>
    </x:row>
    <x:row r="3255">
      <x:c r="A3255" t="str">
        <x:v>Active Sports Nutrition</x:v>
      </x:c>
      <x:c r="B3255" t="str">
        <x:v>Trained By JP</x:v>
      </x:c>
      <x:c r="C3255" t="str">
        <x:v>Performance Protein</x:v>
      </x:c>
      <x:c r="D3255" t="str">
        <x:v>Supplements</x:v>
      </x:c>
      <x:c r="E3255" t="str">
        <x:v>Whey Protein Blend</x:v>
      </x:c>
      <x:c r="F3255" t="str"/>
      <x:c r="G3255" t="str">
        <x:v>1kg</x:v>
      </x:c>
      <x:c r="H3255" t="str">
        <x:v>Caramel Fudge</x:v>
      </x:c>
      <x:c r="I3255" t="str"/>
      <x:c r="J3255" t="str">
        <x:v>Unit</x:v>
      </x:c>
      <x:c r="K3255" t="str">
        <x:v>In stock</x:v>
      </x:c>
      <x:c r="L3255" t="str">
        <x:v>2026-09-08</x:v>
      </x:c>
      <x:c r="M3255" t="str"/>
      <x:c r="N3255" t="str"/>
      <x:c r="O3255" t="str">
        <x:v>https://www.activesportstrade.co.uk/Whey-Protein-Supplements-Trade/trained-by-jp-trade</x:v>
      </x:c>
      <x:c r="P3255" t="str">
        <x:v>Fresh whey page; exact 1kg matrix captured independently of 2kg.</x:v>
      </x:c>
      <x:c r="Q3255" t="str"/>
      <x:c r="R3255" t="str"/>
      <x:c r="S3255" t="str">
        <x:v>Pending genuine supplier/brand image</x:v>
      </x:c>
      <x:c r="T3255" s="54" t="n">
        <x:v>18.99</x:v>
      </x:c>
      <x:c r="U3255" s="47" t="n">
        <x:v>0.2</x:v>
      </x:c>
      <x:c r="V3255" s="54" t="n">
        <x:f>IF(ISNUMBER(T3255),T3255*(1+U3255),"")</x:f>
        <x:v>22.787999999999997</x:v>
      </x:c>
      <x:c r="W3255" s="47" t="n">
        <x:v>0.3</x:v>
      </x:c>
      <x:c r="X3255" s="54" t="n">
        <x:f>IF(ISNUMBER(V3255),V3255/(1-W3255),"")</x:f>
        <x:v>32.55428571428571</x:v>
      </x:c>
      <x:c r="Y3255" s="55" t="n">
        <x:f>IF(ISNUMBER(X3255),ROUNDUP(X3255,0),"")</x:f>
        <x:v>33</x:v>
      </x:c>
      <x:c r="Z3255" t="str">
        <x:v>Source match pending</x:v>
      </x:c>
      <x:c r="AA3255" t="str">
        <x:v>screencapture-www-activesportstrade-co-uk-trained-by-jp-trade-2026-09-10-09_10_55.pdf / page-6</x:v>
      </x:c>
      <x:c r="AB3255" s="36" t="n">
        <x:f>IF(ISNUMBER(Y3255),ROUND(Y3255*0.9,2),"")</x:f>
        <x:v>29.7</x:v>
      </x:c>
      <x:c r="AC3255" s="36" t="n">
        <x:f>IF(ISNUMBER(AB3255),ROUND(AB3255-(AB3255*0.015+0.2)-V3255,2),"")</x:f>
        <x:v>6.27</x:v>
      </x:c>
      <x:c r="AD3255" s="36" t="n">
        <x:f>IF(ISNUMBER(Y3255),ROUND(Y3255*0.8,2),"")</x:f>
        <x:v>26.4</x:v>
      </x:c>
      <x:c r="AE3255" s="36" t="n">
        <x:f>IF(ISNUMBER(AD3255),ROUND(AD3255*0.015+0.2,2),"")</x:f>
        <x:v>0.6</x:v>
      </x:c>
      <x:c r="AF3255" s="36" t="n">
        <x:f>IF(ISNUMBER(AD3255),ROUND(AD3255-AE3255-V3255,2),"")</x:f>
        <x:v>3.01</x:v>
      </x:c>
      <x:c r="AG3255" t="str">
        <x:f>IF(NOT(ISNUMBER(T3255)),"PENDING",IF(AF3255&gt;0,"PASS","FAIL"))</x:f>
        <x:v>PASS</x:v>
      </x:c>
      <x:c r="AH3255" t="str">
        <x:f>IF(NOT(ISNUMBER(T3255)),"Needs supplier cost",IF(K3255&lt;&gt;"In stock","Supplier unavailable",IF(AG3255&lt;&gt;"PASS","BLOCK - GT loss risk","Commercially protected")))</x:f>
        <x:v>Commercially protected</x:v>
      </x:c>
      <x:c r="AI3255" t="str">
        <x:v>2026-09-10 Active Sports trade capture</x:v>
      </x:c>
      <x:c r="AJ3255" t="str">
        <x:v>Management-only economics. Stripe stress test uses 1.5% + £0.20 standard UK online-card fee; pallet/mix-and-match pricing ignored.</x:v>
      </x:c>
    </x:row>
    <x:row r="3256">
      <x:c r="A3256" t="str">
        <x:v>Active Sports Nutrition</x:v>
      </x:c>
      <x:c r="B3256" t="str">
        <x:v>Trained By JP</x:v>
      </x:c>
      <x:c r="C3256" t="str">
        <x:v>Performance Protein</x:v>
      </x:c>
      <x:c r="D3256" t="str">
        <x:v>Supplements</x:v>
      </x:c>
      <x:c r="E3256" t="str">
        <x:v>Whey Protein Blend</x:v>
      </x:c>
      <x:c r="F3256" t="str"/>
      <x:c r="G3256" t="str">
        <x:v>1kg</x:v>
      </x:c>
      <x:c r="H3256" t="str">
        <x:v>Carrot Cake</x:v>
      </x:c>
      <x:c r="I3256" t="str"/>
      <x:c r="J3256" t="str">
        <x:v>Unit</x:v>
      </x:c>
      <x:c r="K3256" t="str">
        <x:v>Out of stock</x:v>
      </x:c>
      <x:c r="L3256" t="str">
        <x:v>2026-09-08</x:v>
      </x:c>
      <x:c r="M3256" t="str"/>
      <x:c r="N3256" t="str"/>
      <x:c r="O3256" t="str">
        <x:v>https://www.activesportstrade.co.uk/Whey-Protein-Supplements-Trade/trained-by-jp-trade</x:v>
      </x:c>
      <x:c r="P3256" t="str">
        <x:v>Fresh whey page; exact 1kg matrix captured independently of 2kg.</x:v>
      </x:c>
      <x:c r="Q3256" t="str"/>
      <x:c r="R3256" t="str"/>
      <x:c r="S3256" t="str">
        <x:v>Pending genuine supplier/brand image</x:v>
      </x:c>
      <x:c r="T3256" s="54" t="n">
        <x:v>18.99</x:v>
      </x:c>
      <x:c r="U3256" s="47" t="n">
        <x:v>0.2</x:v>
      </x:c>
      <x:c r="V3256" s="54" t="n">
        <x:f>IF(ISNUMBER(T3256),T3256*(1+U3256),"")</x:f>
        <x:v>22.787999999999997</x:v>
      </x:c>
      <x:c r="W3256" s="47" t="n">
        <x:v>0.3</x:v>
      </x:c>
      <x:c r="X3256" s="54" t="n">
        <x:f>IF(ISNUMBER(V3256),V3256/(1-W3256),"")</x:f>
        <x:v>32.55428571428571</x:v>
      </x:c>
      <x:c r="Y3256" s="55" t="n">
        <x:f>IF(ISNUMBER(X3256),ROUNDUP(X3256,0),"")</x:f>
        <x:v>33</x:v>
      </x:c>
      <x:c r="Z3256" t="str">
        <x:v>Source match pending</x:v>
      </x:c>
      <x:c r="AA3256" t="str">
        <x:v>screencapture-www-activesportstrade-co-uk-trained-by-jp-trade-2026-09-10-09_10_55.pdf / page-6</x:v>
      </x:c>
      <x:c r="AB3256" s="36" t="n">
        <x:f>IF(ISNUMBER(Y3256),ROUND(Y3256*0.9,2),"")</x:f>
        <x:v>29.7</x:v>
      </x:c>
      <x:c r="AC3256" s="36" t="n">
        <x:f>IF(ISNUMBER(AB3256),ROUND(AB3256-(AB3256*0.015+0.2)-V3256,2),"")</x:f>
        <x:v>6.27</x:v>
      </x:c>
      <x:c r="AD3256" s="36" t="n">
        <x:f>IF(ISNUMBER(Y3256),ROUND(Y3256*0.8,2),"")</x:f>
        <x:v>26.4</x:v>
      </x:c>
      <x:c r="AE3256" s="36" t="n">
        <x:f>IF(ISNUMBER(AD3256),ROUND(AD3256*0.015+0.2,2),"")</x:f>
        <x:v>0.6</x:v>
      </x:c>
      <x:c r="AF3256" s="36" t="n">
        <x:f>IF(ISNUMBER(AD3256),ROUND(AD3256-AE3256-V3256,2),"")</x:f>
        <x:v>3.01</x:v>
      </x:c>
      <x:c r="AG3256" t="str">
        <x:f>IF(NOT(ISNUMBER(T3256)),"PENDING",IF(AF3256&gt;0,"PASS","FAIL"))</x:f>
        <x:v>PASS</x:v>
      </x:c>
      <x:c r="AH3256" t="str">
        <x:f>IF(NOT(ISNUMBER(T3256)),"Needs supplier cost",IF(K3256&lt;&gt;"In stock","Supplier unavailable",IF(AG3256&lt;&gt;"PASS","BLOCK - GT loss risk","Commercially protected")))</x:f>
        <x:v>Supplier unavailable</x:v>
      </x:c>
      <x:c r="AI3256" t="str">
        <x:v>2026-09-10 Active Sports trade capture</x:v>
      </x:c>
      <x:c r="AJ3256" t="str">
        <x:v>Management-only economics. Stripe stress test uses 1.5% + £0.20 standard UK online-card fee; pallet/mix-and-match pricing ignored.</x:v>
      </x:c>
    </x:row>
    <x:row r="3257">
      <x:c r="A3257" t="str">
        <x:v>Active Sports Nutrition</x:v>
      </x:c>
      <x:c r="B3257" t="str">
        <x:v>Trained By JP</x:v>
      </x:c>
      <x:c r="C3257" t="str">
        <x:v>Performance Protein</x:v>
      </x:c>
      <x:c r="D3257" t="str">
        <x:v>Supplements</x:v>
      </x:c>
      <x:c r="E3257" t="str">
        <x:v>Whey Protein Blend</x:v>
      </x:c>
      <x:c r="F3257" t="str"/>
      <x:c r="G3257" t="str">
        <x:v>1kg</x:v>
      </x:c>
      <x:c r="H3257" t="str">
        <x:v>Cereal Milk</x:v>
      </x:c>
      <x:c r="I3257" t="str"/>
      <x:c r="J3257" t="str">
        <x:v>Unit</x:v>
      </x:c>
      <x:c r="K3257" t="str">
        <x:v>Out of stock</x:v>
      </x:c>
      <x:c r="L3257" t="str">
        <x:v>2026-09-08</x:v>
      </x:c>
      <x:c r="M3257" t="str"/>
      <x:c r="N3257" t="str"/>
      <x:c r="O3257" t="str">
        <x:v>https://www.activesportstrade.co.uk/Whey-Protein-Supplements-Trade/trained-by-jp-trade</x:v>
      </x:c>
      <x:c r="P3257" t="str">
        <x:v>Fresh whey page; exact 1kg matrix captured independently of 2kg.</x:v>
      </x:c>
      <x:c r="Q3257" t="str"/>
      <x:c r="R3257" t="str"/>
      <x:c r="S3257" t="str">
        <x:v>Pending genuine supplier/brand image</x:v>
      </x:c>
      <x:c r="T3257" s="54" t="n">
        <x:v>18.99</x:v>
      </x:c>
      <x:c r="U3257" s="47" t="n">
        <x:v>0.2</x:v>
      </x:c>
      <x:c r="V3257" s="54" t="n">
        <x:f>IF(ISNUMBER(T3257),T3257*(1+U3257),"")</x:f>
        <x:v>22.787999999999997</x:v>
      </x:c>
      <x:c r="W3257" s="47" t="n">
        <x:v>0.3</x:v>
      </x:c>
      <x:c r="X3257" s="54" t="n">
        <x:f>IF(ISNUMBER(V3257),V3257/(1-W3257),"")</x:f>
        <x:v>32.55428571428571</x:v>
      </x:c>
      <x:c r="Y3257" s="55" t="n">
        <x:f>IF(ISNUMBER(X3257),ROUNDUP(X3257,0),"")</x:f>
        <x:v>33</x:v>
      </x:c>
      <x:c r="Z3257" t="str">
        <x:v>Source match pending</x:v>
      </x:c>
      <x:c r="AA3257" t="str">
        <x:v>screencapture-www-activesportstrade-co-uk-trained-by-jp-trade-2026-09-10-09_10_55.pdf / page-6</x:v>
      </x:c>
      <x:c r="AB3257" s="36" t="n">
        <x:f>IF(ISNUMBER(Y3257),ROUND(Y3257*0.9,2),"")</x:f>
        <x:v>29.7</x:v>
      </x:c>
      <x:c r="AC3257" s="36" t="n">
        <x:f>IF(ISNUMBER(AB3257),ROUND(AB3257-(AB3257*0.015+0.2)-V3257,2),"")</x:f>
        <x:v>6.27</x:v>
      </x:c>
      <x:c r="AD3257" s="36" t="n">
        <x:f>IF(ISNUMBER(Y3257),ROUND(Y3257*0.8,2),"")</x:f>
        <x:v>26.4</x:v>
      </x:c>
      <x:c r="AE3257" s="36" t="n">
        <x:f>IF(ISNUMBER(AD3257),ROUND(AD3257*0.015+0.2,2),"")</x:f>
        <x:v>0.6</x:v>
      </x:c>
      <x:c r="AF3257" s="36" t="n">
        <x:f>IF(ISNUMBER(AD3257),ROUND(AD3257-AE3257-V3257,2),"")</x:f>
        <x:v>3.01</x:v>
      </x:c>
      <x:c r="AG3257" t="str">
        <x:f>IF(NOT(ISNUMBER(T3257)),"PENDING",IF(AF3257&gt;0,"PASS","FAIL"))</x:f>
        <x:v>PASS</x:v>
      </x:c>
      <x:c r="AH3257" t="str">
        <x:f>IF(NOT(ISNUMBER(T3257)),"Needs supplier cost",IF(K3257&lt;&gt;"In stock","Supplier unavailable",IF(AG3257&lt;&gt;"PASS","BLOCK - GT loss risk","Commercially protected")))</x:f>
        <x:v>Supplier unavailable</x:v>
      </x:c>
      <x:c r="AI3257" t="str">
        <x:v>2026-09-10 Active Sports trade capture</x:v>
      </x:c>
      <x:c r="AJ3257" t="str">
        <x:v>Management-only economics. Stripe stress test uses 1.5% + £0.20 standard UK online-card fee; pallet/mix-and-match pricing ignored.</x:v>
      </x:c>
    </x:row>
    <x:row r="3258">
      <x:c r="A3258" t="str">
        <x:v>Active Sports Nutrition</x:v>
      </x:c>
      <x:c r="B3258" t="str">
        <x:v>Trained By JP</x:v>
      </x:c>
      <x:c r="C3258" t="str">
        <x:v>Performance Protein</x:v>
      </x:c>
      <x:c r="D3258" t="str">
        <x:v>Supplements</x:v>
      </x:c>
      <x:c r="E3258" t="str">
        <x:v>Whey Protein Blend</x:v>
      </x:c>
      <x:c r="F3258" t="str"/>
      <x:c r="G3258" t="str">
        <x:v>1kg</x:v>
      </x:c>
      <x:c r="H3258" t="str">
        <x:v>Chocolate Banana</x:v>
      </x:c>
      <x:c r="I3258" t="str"/>
      <x:c r="J3258" t="str">
        <x:v>Unit</x:v>
      </x:c>
      <x:c r="K3258" t="str">
        <x:v>In stock</x:v>
      </x:c>
      <x:c r="L3258" t="str">
        <x:v>2026-09-08</x:v>
      </x:c>
      <x:c r="M3258" t="str"/>
      <x:c r="N3258" t="str"/>
      <x:c r="O3258" t="str">
        <x:v>https://www.activesportstrade.co.uk/Whey-Protein-Supplements-Trade/trained-by-jp-trade</x:v>
      </x:c>
      <x:c r="P3258" t="str">
        <x:v>Fresh whey page; exact 1kg matrix captured independently of 2kg.</x:v>
      </x:c>
      <x:c r="Q3258" t="str"/>
      <x:c r="R3258" t="str"/>
      <x:c r="S3258" t="str">
        <x:v>Pending genuine supplier/brand image</x:v>
      </x:c>
      <x:c r="T3258" s="54" t="n">
        <x:v>18.99</x:v>
      </x:c>
      <x:c r="U3258" s="47" t="n">
        <x:v>0.2</x:v>
      </x:c>
      <x:c r="V3258" s="54" t="n">
        <x:f>IF(ISNUMBER(T3258),T3258*(1+U3258),"")</x:f>
        <x:v>22.787999999999997</x:v>
      </x:c>
      <x:c r="W3258" s="47" t="n">
        <x:v>0.3</x:v>
      </x:c>
      <x:c r="X3258" s="54" t="n">
        <x:f>IF(ISNUMBER(V3258),V3258/(1-W3258),"")</x:f>
        <x:v>32.55428571428571</x:v>
      </x:c>
      <x:c r="Y3258" s="55" t="n">
        <x:f>IF(ISNUMBER(X3258),ROUNDUP(X3258,0),"")</x:f>
        <x:v>33</x:v>
      </x:c>
      <x:c r="Z3258" t="str">
        <x:v>Source match pending</x:v>
      </x:c>
      <x:c r="AA3258" t="str">
        <x:v>screencapture-www-activesportstrade-co-uk-trained-by-jp-trade-2026-09-10-09_10_55.pdf / page-6</x:v>
      </x:c>
      <x:c r="AB3258" s="36" t="n">
        <x:f>IF(ISNUMBER(Y3258),ROUND(Y3258*0.9,2),"")</x:f>
        <x:v>29.7</x:v>
      </x:c>
      <x:c r="AC3258" s="36" t="n">
        <x:f>IF(ISNUMBER(AB3258),ROUND(AB3258-(AB3258*0.015+0.2)-V3258,2),"")</x:f>
        <x:v>6.27</x:v>
      </x:c>
      <x:c r="AD3258" s="36" t="n">
        <x:f>IF(ISNUMBER(Y3258),ROUND(Y3258*0.8,2),"")</x:f>
        <x:v>26.4</x:v>
      </x:c>
      <x:c r="AE3258" s="36" t="n">
        <x:f>IF(ISNUMBER(AD3258),ROUND(AD3258*0.015+0.2,2),"")</x:f>
        <x:v>0.6</x:v>
      </x:c>
      <x:c r="AF3258" s="36" t="n">
        <x:f>IF(ISNUMBER(AD3258),ROUND(AD3258-AE3258-V3258,2),"")</x:f>
        <x:v>3.01</x:v>
      </x:c>
      <x:c r="AG3258" t="str">
        <x:f>IF(NOT(ISNUMBER(T3258)),"PENDING",IF(AF3258&gt;0,"PASS","FAIL"))</x:f>
        <x:v>PASS</x:v>
      </x:c>
      <x:c r="AH3258" t="str">
        <x:f>IF(NOT(ISNUMBER(T3258)),"Needs supplier cost",IF(K3258&lt;&gt;"In stock","Supplier unavailable",IF(AG3258&lt;&gt;"PASS","BLOCK - GT loss risk","Commercially protected")))</x:f>
        <x:v>Commercially protected</x:v>
      </x:c>
      <x:c r="AI3258" t="str">
        <x:v>2026-09-10 Active Sports trade capture</x:v>
      </x:c>
      <x:c r="AJ3258" t="str">
        <x:v>Management-only economics. Stripe stress test uses 1.5% + £0.20 standard UK online-card fee; pallet/mix-and-match pricing ignored.</x:v>
      </x:c>
    </x:row>
    <x:row r="3259">
      <x:c r="A3259" t="str">
        <x:v>Active Sports Nutrition</x:v>
      </x:c>
      <x:c r="B3259" t="str">
        <x:v>Trained By JP</x:v>
      </x:c>
      <x:c r="C3259" t="str">
        <x:v>Performance Protein</x:v>
      </x:c>
      <x:c r="D3259" t="str">
        <x:v>Supplements</x:v>
      </x:c>
      <x:c r="E3259" t="str">
        <x:v>Whey Protein Blend</x:v>
      </x:c>
      <x:c r="F3259" t="str"/>
      <x:c r="G3259" t="str">
        <x:v>1kg</x:v>
      </x:c>
      <x:c r="H3259" t="str">
        <x:v>Chocolate Caramel</x:v>
      </x:c>
      <x:c r="I3259" t="str"/>
      <x:c r="J3259" t="str">
        <x:v>Unit</x:v>
      </x:c>
      <x:c r="K3259" t="str">
        <x:v>Out of stock</x:v>
      </x:c>
      <x:c r="L3259" t="str">
        <x:v>2026-09-08</x:v>
      </x:c>
      <x:c r="M3259" t="str"/>
      <x:c r="N3259" t="str"/>
      <x:c r="O3259" t="str">
        <x:v>https://www.activesportstrade.co.uk/Whey-Protein-Supplements-Trade/trained-by-jp-trade</x:v>
      </x:c>
      <x:c r="P3259" t="str">
        <x:v>Fresh whey page; exact 1kg matrix captured independently of 2kg.</x:v>
      </x:c>
      <x:c r="Q3259" t="str"/>
      <x:c r="R3259" t="str"/>
      <x:c r="S3259" t="str">
        <x:v>Pending genuine supplier/brand image</x:v>
      </x:c>
      <x:c r="T3259" s="54" t="n">
        <x:v>18.99</x:v>
      </x:c>
      <x:c r="U3259" s="47" t="n">
        <x:v>0.2</x:v>
      </x:c>
      <x:c r="V3259" s="54" t="n">
        <x:f>IF(ISNUMBER(T3259),T3259*(1+U3259),"")</x:f>
        <x:v>22.787999999999997</x:v>
      </x:c>
      <x:c r="W3259" s="47" t="n">
        <x:v>0.3</x:v>
      </x:c>
      <x:c r="X3259" s="54" t="n">
        <x:f>IF(ISNUMBER(V3259),V3259/(1-W3259),"")</x:f>
        <x:v>32.55428571428571</x:v>
      </x:c>
      <x:c r="Y3259" s="55" t="n">
        <x:f>IF(ISNUMBER(X3259),ROUNDUP(X3259,0),"")</x:f>
        <x:v>33</x:v>
      </x:c>
      <x:c r="Z3259" t="str">
        <x:v>Source match pending</x:v>
      </x:c>
      <x:c r="AA3259" t="str">
        <x:v>screencapture-www-activesportstrade-co-uk-trained-by-jp-trade-2026-09-10-09_10_55.pdf / page-6</x:v>
      </x:c>
      <x:c r="AB3259" s="36" t="n">
        <x:f>IF(ISNUMBER(Y3259),ROUND(Y3259*0.9,2),"")</x:f>
        <x:v>29.7</x:v>
      </x:c>
      <x:c r="AC3259" s="36" t="n">
        <x:f>IF(ISNUMBER(AB3259),ROUND(AB3259-(AB3259*0.015+0.2)-V3259,2),"")</x:f>
        <x:v>6.27</x:v>
      </x:c>
      <x:c r="AD3259" s="36" t="n">
        <x:f>IF(ISNUMBER(Y3259),ROUND(Y3259*0.8,2),"")</x:f>
        <x:v>26.4</x:v>
      </x:c>
      <x:c r="AE3259" s="36" t="n">
        <x:f>IF(ISNUMBER(AD3259),ROUND(AD3259*0.015+0.2,2),"")</x:f>
        <x:v>0.6</x:v>
      </x:c>
      <x:c r="AF3259" s="36" t="n">
        <x:f>IF(ISNUMBER(AD3259),ROUND(AD3259-AE3259-V3259,2),"")</x:f>
        <x:v>3.01</x:v>
      </x:c>
      <x:c r="AG3259" t="str">
        <x:f>IF(NOT(ISNUMBER(T3259)),"PENDING",IF(AF3259&gt;0,"PASS","FAIL"))</x:f>
        <x:v>PASS</x:v>
      </x:c>
      <x:c r="AH3259" t="str">
        <x:f>IF(NOT(ISNUMBER(T3259)),"Needs supplier cost",IF(K3259&lt;&gt;"In stock","Supplier unavailable",IF(AG3259&lt;&gt;"PASS","BLOCK - GT loss risk","Commercially protected")))</x:f>
        <x:v>Supplier unavailable</x:v>
      </x:c>
      <x:c r="AI3259" t="str">
        <x:v>2026-09-10 Active Sports trade capture</x:v>
      </x:c>
      <x:c r="AJ3259" t="str">
        <x:v>Management-only economics. Stripe stress test uses 1.5% + £0.20 standard UK online-card fee; pallet/mix-and-match pricing ignored.</x:v>
      </x:c>
    </x:row>
    <x:row r="3260">
      <x:c r="A3260" t="str">
        <x:v>Active Sports Nutrition</x:v>
      </x:c>
      <x:c r="B3260" t="str">
        <x:v>Trained By JP</x:v>
      </x:c>
      <x:c r="C3260" t="str">
        <x:v>Performance Protein</x:v>
      </x:c>
      <x:c r="D3260" t="str">
        <x:v>Supplements</x:v>
      </x:c>
      <x:c r="E3260" t="str">
        <x:v>Whey Protein Blend</x:v>
      </x:c>
      <x:c r="F3260" t="str"/>
      <x:c r="G3260" t="str">
        <x:v>1kg</x:v>
      </x:c>
      <x:c r="H3260" t="str">
        <x:v>Chocolate Caramel Nut</x:v>
      </x:c>
      <x:c r="I3260" t="str"/>
      <x:c r="J3260" t="str">
        <x:v>Unit</x:v>
      </x:c>
      <x:c r="K3260" t="str">
        <x:v>In stock</x:v>
      </x:c>
      <x:c r="L3260" t="str">
        <x:v>2026-09-08</x:v>
      </x:c>
      <x:c r="M3260" t="str"/>
      <x:c r="N3260" t="str"/>
      <x:c r="O3260" t="str">
        <x:v>https://www.activesportstrade.co.uk/Whey-Protein-Supplements-Trade/trained-by-jp-trade</x:v>
      </x:c>
      <x:c r="P3260" t="str">
        <x:v>Fresh whey page; exact 1kg matrix captured independently of 2kg.</x:v>
      </x:c>
      <x:c r="Q3260" t="str"/>
      <x:c r="R3260" t="str"/>
      <x:c r="S3260" t="str">
        <x:v>Pending genuine supplier/brand image</x:v>
      </x:c>
      <x:c r="T3260" s="54" t="n">
        <x:v>18.99</x:v>
      </x:c>
      <x:c r="U3260" s="47" t="n">
        <x:v>0.2</x:v>
      </x:c>
      <x:c r="V3260" s="54" t="n">
        <x:f>IF(ISNUMBER(T3260),T3260*(1+U3260),"")</x:f>
        <x:v>22.787999999999997</x:v>
      </x:c>
      <x:c r="W3260" s="47" t="n">
        <x:v>0.3</x:v>
      </x:c>
      <x:c r="X3260" s="54" t="n">
        <x:f>IF(ISNUMBER(V3260),V3260/(1-W3260),"")</x:f>
        <x:v>32.55428571428571</x:v>
      </x:c>
      <x:c r="Y3260" s="55" t="n">
        <x:f>IF(ISNUMBER(X3260),ROUNDUP(X3260,0),"")</x:f>
        <x:v>33</x:v>
      </x:c>
      <x:c r="Z3260" t="str">
        <x:v>Source match pending</x:v>
      </x:c>
      <x:c r="AA3260" t="str">
        <x:v>screencapture-www-activesportstrade-co-uk-trained-by-jp-trade-2026-09-10-09_10_55.pdf / page-6</x:v>
      </x:c>
      <x:c r="AB3260" s="36" t="n">
        <x:f>IF(ISNUMBER(Y3260),ROUND(Y3260*0.9,2),"")</x:f>
        <x:v>29.7</x:v>
      </x:c>
      <x:c r="AC3260" s="36" t="n">
        <x:f>IF(ISNUMBER(AB3260),ROUND(AB3260-(AB3260*0.015+0.2)-V3260,2),"")</x:f>
        <x:v>6.27</x:v>
      </x:c>
      <x:c r="AD3260" s="36" t="n">
        <x:f>IF(ISNUMBER(Y3260),ROUND(Y3260*0.8,2),"")</x:f>
        <x:v>26.4</x:v>
      </x:c>
      <x:c r="AE3260" s="36" t="n">
        <x:f>IF(ISNUMBER(AD3260),ROUND(AD3260*0.015+0.2,2),"")</x:f>
        <x:v>0.6</x:v>
      </x:c>
      <x:c r="AF3260" s="36" t="n">
        <x:f>IF(ISNUMBER(AD3260),ROUND(AD3260-AE3260-V3260,2),"")</x:f>
        <x:v>3.01</x:v>
      </x:c>
      <x:c r="AG3260" t="str">
        <x:f>IF(NOT(ISNUMBER(T3260)),"PENDING",IF(AF3260&gt;0,"PASS","FAIL"))</x:f>
        <x:v>PASS</x:v>
      </x:c>
      <x:c r="AH3260" t="str">
        <x:f>IF(NOT(ISNUMBER(T3260)),"Needs supplier cost",IF(K3260&lt;&gt;"In stock","Supplier unavailable",IF(AG3260&lt;&gt;"PASS","BLOCK - GT loss risk","Commercially protected")))</x:f>
        <x:v>Commercially protected</x:v>
      </x:c>
      <x:c r="AI3260" t="str">
        <x:v>2026-09-10 Active Sports trade capture</x:v>
      </x:c>
      <x:c r="AJ3260" t="str">
        <x:v>Management-only economics. Stripe stress test uses 1.5% + £0.20 standard UK online-card fee; pallet/mix-and-match pricing ignored.</x:v>
      </x:c>
    </x:row>
    <x:row r="3261">
      <x:c r="A3261" t="str">
        <x:v>Active Sports Nutrition</x:v>
      </x:c>
      <x:c r="B3261" t="str">
        <x:v>Trained By JP</x:v>
      </x:c>
      <x:c r="C3261" t="str">
        <x:v>Performance Protein</x:v>
      </x:c>
      <x:c r="D3261" t="str">
        <x:v>Supplements</x:v>
      </x:c>
      <x:c r="E3261" t="str">
        <x:v>Whey Protein Blend</x:v>
      </x:c>
      <x:c r="F3261" t="str"/>
      <x:c r="G3261" t="str">
        <x:v>1kg</x:v>
      </x:c>
      <x:c r="H3261" t="str">
        <x:v>Chocolate Coconut</x:v>
      </x:c>
      <x:c r="I3261" t="str"/>
      <x:c r="J3261" t="str">
        <x:v>Unit</x:v>
      </x:c>
      <x:c r="K3261" t="str">
        <x:v>In stock</x:v>
      </x:c>
      <x:c r="L3261" t="str">
        <x:v>2026-09-08</x:v>
      </x:c>
      <x:c r="M3261" t="str"/>
      <x:c r="N3261" t="str"/>
      <x:c r="O3261" t="str">
        <x:v>https://www.activesportstrade.co.uk/Whey-Protein-Supplements-Trade/trained-by-jp-trade</x:v>
      </x:c>
      <x:c r="P3261" t="str">
        <x:v>Fresh whey page; exact 1kg matrix captured independently of 2kg.</x:v>
      </x:c>
      <x:c r="Q3261" t="str"/>
      <x:c r="R3261" t="str"/>
      <x:c r="S3261" t="str">
        <x:v>Pending genuine supplier/brand image</x:v>
      </x:c>
      <x:c r="T3261" s="54" t="n">
        <x:v>18.99</x:v>
      </x:c>
      <x:c r="U3261" s="47" t="n">
        <x:v>0.2</x:v>
      </x:c>
      <x:c r="V3261" s="54" t="n">
        <x:f>IF(ISNUMBER(T3261),T3261*(1+U3261),"")</x:f>
        <x:v>22.787999999999997</x:v>
      </x:c>
      <x:c r="W3261" s="47" t="n">
        <x:v>0.3</x:v>
      </x:c>
      <x:c r="X3261" s="54" t="n">
        <x:f>IF(ISNUMBER(V3261),V3261/(1-W3261),"")</x:f>
        <x:v>32.55428571428571</x:v>
      </x:c>
      <x:c r="Y3261" s="55" t="n">
        <x:f>IF(ISNUMBER(X3261),ROUNDUP(X3261,0),"")</x:f>
        <x:v>33</x:v>
      </x:c>
      <x:c r="Z3261" t="str">
        <x:v>Source match pending</x:v>
      </x:c>
      <x:c r="AA3261" t="str">
        <x:v>screencapture-www-activesportstrade-co-uk-trained-by-jp-trade-2026-09-10-09_10_55.pdf / page-6</x:v>
      </x:c>
      <x:c r="AB3261" s="36" t="n">
        <x:f>IF(ISNUMBER(Y3261),ROUND(Y3261*0.9,2),"")</x:f>
        <x:v>29.7</x:v>
      </x:c>
      <x:c r="AC3261" s="36" t="n">
        <x:f>IF(ISNUMBER(AB3261),ROUND(AB3261-(AB3261*0.015+0.2)-V3261,2),"")</x:f>
        <x:v>6.27</x:v>
      </x:c>
      <x:c r="AD3261" s="36" t="n">
        <x:f>IF(ISNUMBER(Y3261),ROUND(Y3261*0.8,2),"")</x:f>
        <x:v>26.4</x:v>
      </x:c>
      <x:c r="AE3261" s="36" t="n">
        <x:f>IF(ISNUMBER(AD3261),ROUND(AD3261*0.015+0.2,2),"")</x:f>
        <x:v>0.6</x:v>
      </x:c>
      <x:c r="AF3261" s="36" t="n">
        <x:f>IF(ISNUMBER(AD3261),ROUND(AD3261-AE3261-V3261,2),"")</x:f>
        <x:v>3.01</x:v>
      </x:c>
      <x:c r="AG3261" t="str">
        <x:f>IF(NOT(ISNUMBER(T3261)),"PENDING",IF(AF3261&gt;0,"PASS","FAIL"))</x:f>
        <x:v>PASS</x:v>
      </x:c>
      <x:c r="AH3261" t="str">
        <x:f>IF(NOT(ISNUMBER(T3261)),"Needs supplier cost",IF(K3261&lt;&gt;"In stock","Supplier unavailable",IF(AG3261&lt;&gt;"PASS","BLOCK - GT loss risk","Commercially protected")))</x:f>
        <x:v>Commercially protected</x:v>
      </x:c>
      <x:c r="AI3261" t="str">
        <x:v>2026-09-10 Active Sports trade capture</x:v>
      </x:c>
      <x:c r="AJ3261" t="str">
        <x:v>Management-only economics. Stripe stress test uses 1.5% + £0.20 standard UK online-card fee; pallet/mix-and-match pricing ignored.</x:v>
      </x:c>
    </x:row>
    <x:row r="3262">
      <x:c r="A3262" t="str">
        <x:v>Active Sports Nutrition</x:v>
      </x:c>
      <x:c r="B3262" t="str">
        <x:v>Trained By JP</x:v>
      </x:c>
      <x:c r="C3262" t="str">
        <x:v>Performance Protein</x:v>
      </x:c>
      <x:c r="D3262" t="str">
        <x:v>Supplements</x:v>
      </x:c>
      <x:c r="E3262" t="str">
        <x:v>Whey Protein Blend</x:v>
      </x:c>
      <x:c r="F3262" t="str"/>
      <x:c r="G3262" t="str">
        <x:v>1kg</x:v>
      </x:c>
      <x:c r="H3262" t="str">
        <x:v>Chocolate Fudge</x:v>
      </x:c>
      <x:c r="I3262" t="str"/>
      <x:c r="J3262" t="str">
        <x:v>Unit</x:v>
      </x:c>
      <x:c r="K3262" t="str">
        <x:v>Out of stock</x:v>
      </x:c>
      <x:c r="L3262" t="str">
        <x:v>2026-09-08</x:v>
      </x:c>
      <x:c r="M3262" t="str"/>
      <x:c r="N3262" t="str"/>
      <x:c r="O3262" t="str">
        <x:v>https://www.activesportstrade.co.uk/Whey-Protein-Supplements-Trade/trained-by-jp-trade</x:v>
      </x:c>
      <x:c r="P3262" t="str">
        <x:v>Fresh whey page; exact 1kg matrix captured independently of 2kg.</x:v>
      </x:c>
      <x:c r="Q3262" t="str"/>
      <x:c r="R3262" t="str"/>
      <x:c r="S3262" t="str">
        <x:v>Pending genuine supplier/brand image</x:v>
      </x:c>
      <x:c r="T3262" s="54" t="n">
        <x:v>18.99</x:v>
      </x:c>
      <x:c r="U3262" s="47" t="n">
        <x:v>0.2</x:v>
      </x:c>
      <x:c r="V3262" s="54" t="n">
        <x:f>IF(ISNUMBER(T3262),T3262*(1+U3262),"")</x:f>
        <x:v>22.787999999999997</x:v>
      </x:c>
      <x:c r="W3262" s="47" t="n">
        <x:v>0.3</x:v>
      </x:c>
      <x:c r="X3262" s="54" t="n">
        <x:f>IF(ISNUMBER(V3262),V3262/(1-W3262),"")</x:f>
        <x:v>32.55428571428571</x:v>
      </x:c>
      <x:c r="Y3262" s="55" t="n">
        <x:f>IF(ISNUMBER(X3262),ROUNDUP(X3262,0),"")</x:f>
        <x:v>33</x:v>
      </x:c>
      <x:c r="Z3262" t="str">
        <x:v>Source match pending</x:v>
      </x:c>
      <x:c r="AA3262" t="str">
        <x:v>screencapture-www-activesportstrade-co-uk-trained-by-jp-trade-2026-09-10-09_10_55.pdf / page-6</x:v>
      </x:c>
      <x:c r="AB3262" s="36" t="n">
        <x:f>IF(ISNUMBER(Y3262),ROUND(Y3262*0.9,2),"")</x:f>
        <x:v>29.7</x:v>
      </x:c>
      <x:c r="AC3262" s="36" t="n">
        <x:f>IF(ISNUMBER(AB3262),ROUND(AB3262-(AB3262*0.015+0.2)-V3262,2),"")</x:f>
        <x:v>6.27</x:v>
      </x:c>
      <x:c r="AD3262" s="36" t="n">
        <x:f>IF(ISNUMBER(Y3262),ROUND(Y3262*0.8,2),"")</x:f>
        <x:v>26.4</x:v>
      </x:c>
      <x:c r="AE3262" s="36" t="n">
        <x:f>IF(ISNUMBER(AD3262),ROUND(AD3262*0.015+0.2,2),"")</x:f>
        <x:v>0.6</x:v>
      </x:c>
      <x:c r="AF3262" s="36" t="n">
        <x:f>IF(ISNUMBER(AD3262),ROUND(AD3262-AE3262-V3262,2),"")</x:f>
        <x:v>3.01</x:v>
      </x:c>
      <x:c r="AG3262" t="str">
        <x:f>IF(NOT(ISNUMBER(T3262)),"PENDING",IF(AF3262&gt;0,"PASS","FAIL"))</x:f>
        <x:v>PASS</x:v>
      </x:c>
      <x:c r="AH3262" t="str">
        <x:f>IF(NOT(ISNUMBER(T3262)),"Needs supplier cost",IF(K3262&lt;&gt;"In stock","Supplier unavailable",IF(AG3262&lt;&gt;"PASS","BLOCK - GT loss risk","Commercially protected")))</x:f>
        <x:v>Supplier unavailable</x:v>
      </x:c>
      <x:c r="AI3262" t="str">
        <x:v>2026-09-10 Active Sports trade capture</x:v>
      </x:c>
      <x:c r="AJ3262" t="str">
        <x:v>Management-only economics. Stripe stress test uses 1.5% + £0.20 standard UK online-card fee; pallet/mix-and-match pricing ignored.</x:v>
      </x:c>
    </x:row>
    <x:row r="3263">
      <x:c r="A3263" t="str">
        <x:v>Active Sports Nutrition</x:v>
      </x:c>
      <x:c r="B3263" t="str">
        <x:v>Trained By JP</x:v>
      </x:c>
      <x:c r="C3263" t="str">
        <x:v>Performance Protein</x:v>
      </x:c>
      <x:c r="D3263" t="str">
        <x:v>Supplements</x:v>
      </x:c>
      <x:c r="E3263" t="str">
        <x:v>Whey Protein Blend</x:v>
      </x:c>
      <x:c r="F3263" t="str"/>
      <x:c r="G3263" t="str">
        <x:v>1kg</x:v>
      </x:c>
      <x:c r="H3263" t="str">
        <x:v>Chocolate Honeycomb</x:v>
      </x:c>
      <x:c r="I3263" t="str"/>
      <x:c r="J3263" t="str">
        <x:v>Unit</x:v>
      </x:c>
      <x:c r="K3263" t="str">
        <x:v>Out of stock</x:v>
      </x:c>
      <x:c r="L3263" t="str">
        <x:v>2026-09-08</x:v>
      </x:c>
      <x:c r="M3263" t="str"/>
      <x:c r="N3263" t="str"/>
      <x:c r="O3263" t="str">
        <x:v>https://www.activesportstrade.co.uk/Whey-Protein-Supplements-Trade/trained-by-jp-trade</x:v>
      </x:c>
      <x:c r="P3263" t="str">
        <x:v>Fresh whey page; exact 1kg matrix captured independently of 2kg.</x:v>
      </x:c>
      <x:c r="Q3263" t="str"/>
      <x:c r="R3263" t="str"/>
      <x:c r="S3263" t="str">
        <x:v>Pending genuine supplier/brand image</x:v>
      </x:c>
      <x:c r="T3263" s="54" t="n">
        <x:v>18.99</x:v>
      </x:c>
      <x:c r="U3263" s="47" t="n">
        <x:v>0.2</x:v>
      </x:c>
      <x:c r="V3263" s="54" t="n">
        <x:f>IF(ISNUMBER(T3263),T3263*(1+U3263),"")</x:f>
        <x:v>22.787999999999997</x:v>
      </x:c>
      <x:c r="W3263" s="47" t="n">
        <x:v>0.3</x:v>
      </x:c>
      <x:c r="X3263" s="54" t="n">
        <x:f>IF(ISNUMBER(V3263),V3263/(1-W3263),"")</x:f>
        <x:v>32.55428571428571</x:v>
      </x:c>
      <x:c r="Y3263" s="55" t="n">
        <x:f>IF(ISNUMBER(X3263),ROUNDUP(X3263,0),"")</x:f>
        <x:v>33</x:v>
      </x:c>
      <x:c r="Z3263" t="str">
        <x:v>Source match pending</x:v>
      </x:c>
      <x:c r="AA3263" t="str">
        <x:v>screencapture-www-activesportstrade-co-uk-trained-by-jp-trade-2026-09-10-09_10_55.pdf / page-6</x:v>
      </x:c>
      <x:c r="AB3263" s="36" t="n">
        <x:f>IF(ISNUMBER(Y3263),ROUND(Y3263*0.9,2),"")</x:f>
        <x:v>29.7</x:v>
      </x:c>
      <x:c r="AC3263" s="36" t="n">
        <x:f>IF(ISNUMBER(AB3263),ROUND(AB3263-(AB3263*0.015+0.2)-V3263,2),"")</x:f>
        <x:v>6.27</x:v>
      </x:c>
      <x:c r="AD3263" s="36" t="n">
        <x:f>IF(ISNUMBER(Y3263),ROUND(Y3263*0.8,2),"")</x:f>
        <x:v>26.4</x:v>
      </x:c>
      <x:c r="AE3263" s="36" t="n">
        <x:f>IF(ISNUMBER(AD3263),ROUND(AD3263*0.015+0.2,2),"")</x:f>
        <x:v>0.6</x:v>
      </x:c>
      <x:c r="AF3263" s="36" t="n">
        <x:f>IF(ISNUMBER(AD3263),ROUND(AD3263-AE3263-V3263,2),"")</x:f>
        <x:v>3.01</x:v>
      </x:c>
      <x:c r="AG3263" t="str">
        <x:f>IF(NOT(ISNUMBER(T3263)),"PENDING",IF(AF3263&gt;0,"PASS","FAIL"))</x:f>
        <x:v>PASS</x:v>
      </x:c>
      <x:c r="AH3263" t="str">
        <x:f>IF(NOT(ISNUMBER(T3263)),"Needs supplier cost",IF(K3263&lt;&gt;"In stock","Supplier unavailable",IF(AG3263&lt;&gt;"PASS","BLOCK - GT loss risk","Commercially protected")))</x:f>
        <x:v>Supplier unavailable</x:v>
      </x:c>
      <x:c r="AI3263" t="str">
        <x:v>2026-09-10 Active Sports trade capture</x:v>
      </x:c>
      <x:c r="AJ3263" t="str">
        <x:v>Management-only economics. Stripe stress test uses 1.5% + £0.20 standard UK online-card fee; pallet/mix-and-match pricing ignored.</x:v>
      </x:c>
    </x:row>
    <x:row r="3264">
      <x:c r="A3264" t="str">
        <x:v>Active Sports Nutrition</x:v>
      </x:c>
      <x:c r="B3264" t="str">
        <x:v>Trained By JP</x:v>
      </x:c>
      <x:c r="C3264" t="str">
        <x:v>Performance Protein</x:v>
      </x:c>
      <x:c r="D3264" t="str">
        <x:v>Supplements</x:v>
      </x:c>
      <x:c r="E3264" t="str">
        <x:v>Whey Protein Blend</x:v>
      </x:c>
      <x:c r="F3264" t="str"/>
      <x:c r="G3264" t="str">
        <x:v>1kg</x:v>
      </x:c>
      <x:c r="H3264" t="str">
        <x:v>Chocolate Mint</x:v>
      </x:c>
      <x:c r="I3264" t="str"/>
      <x:c r="J3264" t="str">
        <x:v>Unit</x:v>
      </x:c>
      <x:c r="K3264" t="str">
        <x:v>In stock</x:v>
      </x:c>
      <x:c r="L3264" t="str">
        <x:v>2026-09-08</x:v>
      </x:c>
      <x:c r="M3264" t="str"/>
      <x:c r="N3264" t="str"/>
      <x:c r="O3264" t="str">
        <x:v>https://www.activesportstrade.co.uk/Whey-Protein-Supplements-Trade/trained-by-jp-trade</x:v>
      </x:c>
      <x:c r="P3264" t="str">
        <x:v>Fresh whey page; exact 1kg matrix captured independently of 2kg.</x:v>
      </x:c>
      <x:c r="Q3264" t="str"/>
      <x:c r="R3264" t="str"/>
      <x:c r="S3264" t="str">
        <x:v>Pending genuine supplier/brand image</x:v>
      </x:c>
      <x:c r="T3264" s="54" t="n">
        <x:v>18.99</x:v>
      </x:c>
      <x:c r="U3264" s="47" t="n">
        <x:v>0.2</x:v>
      </x:c>
      <x:c r="V3264" s="54" t="n">
        <x:f>IF(ISNUMBER(T3264),T3264*(1+U3264),"")</x:f>
        <x:v>22.787999999999997</x:v>
      </x:c>
      <x:c r="W3264" s="47" t="n">
        <x:v>0.3</x:v>
      </x:c>
      <x:c r="X3264" s="54" t="n">
        <x:f>IF(ISNUMBER(V3264),V3264/(1-W3264),"")</x:f>
        <x:v>32.55428571428571</x:v>
      </x:c>
      <x:c r="Y3264" s="55" t="n">
        <x:f>IF(ISNUMBER(X3264),ROUNDUP(X3264,0),"")</x:f>
        <x:v>33</x:v>
      </x:c>
      <x:c r="Z3264" t="str">
        <x:v>Source match pending</x:v>
      </x:c>
      <x:c r="AA3264" t="str">
        <x:v>screencapture-www-activesportstrade-co-uk-trained-by-jp-trade-2026-09-10-09_10_55.pdf / page-6</x:v>
      </x:c>
      <x:c r="AB3264" s="36" t="n">
        <x:f>IF(ISNUMBER(Y3264),ROUND(Y3264*0.9,2),"")</x:f>
        <x:v>29.7</x:v>
      </x:c>
      <x:c r="AC3264" s="36" t="n">
        <x:f>IF(ISNUMBER(AB3264),ROUND(AB3264-(AB3264*0.015+0.2)-V3264,2),"")</x:f>
        <x:v>6.27</x:v>
      </x:c>
      <x:c r="AD3264" s="36" t="n">
        <x:f>IF(ISNUMBER(Y3264),ROUND(Y3264*0.8,2),"")</x:f>
        <x:v>26.4</x:v>
      </x:c>
      <x:c r="AE3264" s="36" t="n">
        <x:f>IF(ISNUMBER(AD3264),ROUND(AD3264*0.015+0.2,2),"")</x:f>
        <x:v>0.6</x:v>
      </x:c>
      <x:c r="AF3264" s="36" t="n">
        <x:f>IF(ISNUMBER(AD3264),ROUND(AD3264-AE3264-V3264,2),"")</x:f>
        <x:v>3.01</x:v>
      </x:c>
      <x:c r="AG3264" t="str">
        <x:f>IF(NOT(ISNUMBER(T3264)),"PENDING",IF(AF3264&gt;0,"PASS","FAIL"))</x:f>
        <x:v>PASS</x:v>
      </x:c>
      <x:c r="AH3264" t="str">
        <x:f>IF(NOT(ISNUMBER(T3264)),"Needs supplier cost",IF(K3264&lt;&gt;"In stock","Supplier unavailable",IF(AG3264&lt;&gt;"PASS","BLOCK - GT loss risk","Commercially protected")))</x:f>
        <x:v>Commercially protected</x:v>
      </x:c>
      <x:c r="AI3264" t="str">
        <x:v>2026-09-10 Active Sports trade capture</x:v>
      </x:c>
      <x:c r="AJ3264" t="str">
        <x:v>Management-only economics. Stripe stress test uses 1.5% + £0.20 standard UK online-card fee; pallet/mix-and-match pricing ignored.</x:v>
      </x:c>
    </x:row>
    <x:row r="3265">
      <x:c r="A3265" t="str">
        <x:v>Active Sports Nutrition</x:v>
      </x:c>
      <x:c r="B3265" t="str">
        <x:v>Trained By JP</x:v>
      </x:c>
      <x:c r="C3265" t="str">
        <x:v>Performance Protein</x:v>
      </x:c>
      <x:c r="D3265" t="str">
        <x:v>Supplements</x:v>
      </x:c>
      <x:c r="E3265" t="str">
        <x:v>Whey Protein Blend</x:v>
      </x:c>
      <x:c r="F3265" t="str"/>
      <x:c r="G3265" t="str">
        <x:v>1kg</x:v>
      </x:c>
      <x:c r="H3265" t="str">
        <x:v>Chocolate Orange</x:v>
      </x:c>
      <x:c r="I3265" t="str"/>
      <x:c r="J3265" t="str">
        <x:v>Unit</x:v>
      </x:c>
      <x:c r="K3265" t="str">
        <x:v>In stock</x:v>
      </x:c>
      <x:c r="L3265" t="str">
        <x:v>2026-09-08</x:v>
      </x:c>
      <x:c r="M3265" t="str"/>
      <x:c r="N3265" t="str"/>
      <x:c r="O3265" t="str">
        <x:v>https://www.activesportstrade.co.uk/Whey-Protein-Supplements-Trade/trained-by-jp-trade</x:v>
      </x:c>
      <x:c r="P3265" t="str">
        <x:v>Fresh whey page; exact 1kg matrix captured independently of 2kg.</x:v>
      </x:c>
      <x:c r="Q3265" t="str"/>
      <x:c r="R3265" t="str"/>
      <x:c r="S3265" t="str">
        <x:v>Pending genuine supplier/brand image</x:v>
      </x:c>
      <x:c r="T3265" s="54" t="n">
        <x:v>18.99</x:v>
      </x:c>
      <x:c r="U3265" s="47" t="n">
        <x:v>0.2</x:v>
      </x:c>
      <x:c r="V3265" s="54" t="n">
        <x:f>IF(ISNUMBER(T3265),T3265*(1+U3265),"")</x:f>
        <x:v>22.787999999999997</x:v>
      </x:c>
      <x:c r="W3265" s="47" t="n">
        <x:v>0.3</x:v>
      </x:c>
      <x:c r="X3265" s="54" t="n">
        <x:f>IF(ISNUMBER(V3265),V3265/(1-W3265),"")</x:f>
        <x:v>32.55428571428571</x:v>
      </x:c>
      <x:c r="Y3265" s="55" t="n">
        <x:f>IF(ISNUMBER(X3265),ROUNDUP(X3265,0),"")</x:f>
        <x:v>33</x:v>
      </x:c>
      <x:c r="Z3265" t="str">
        <x:v>Source match pending</x:v>
      </x:c>
      <x:c r="AA3265" t="str">
        <x:v>screencapture-www-activesportstrade-co-uk-trained-by-jp-trade-2026-09-10-09_10_55.pdf / page-6</x:v>
      </x:c>
      <x:c r="AB3265" s="36" t="n">
        <x:f>IF(ISNUMBER(Y3265),ROUND(Y3265*0.9,2),"")</x:f>
        <x:v>29.7</x:v>
      </x:c>
      <x:c r="AC3265" s="36" t="n">
        <x:f>IF(ISNUMBER(AB3265),ROUND(AB3265-(AB3265*0.015+0.2)-V3265,2),"")</x:f>
        <x:v>6.27</x:v>
      </x:c>
      <x:c r="AD3265" s="36" t="n">
        <x:f>IF(ISNUMBER(Y3265),ROUND(Y3265*0.8,2),"")</x:f>
        <x:v>26.4</x:v>
      </x:c>
      <x:c r="AE3265" s="36" t="n">
        <x:f>IF(ISNUMBER(AD3265),ROUND(AD3265*0.015+0.2,2),"")</x:f>
        <x:v>0.6</x:v>
      </x:c>
      <x:c r="AF3265" s="36" t="n">
        <x:f>IF(ISNUMBER(AD3265),ROUND(AD3265-AE3265-V3265,2),"")</x:f>
        <x:v>3.01</x:v>
      </x:c>
      <x:c r="AG3265" t="str">
        <x:f>IF(NOT(ISNUMBER(T3265)),"PENDING",IF(AF3265&gt;0,"PASS","FAIL"))</x:f>
        <x:v>PASS</x:v>
      </x:c>
      <x:c r="AH3265" t="str">
        <x:f>IF(NOT(ISNUMBER(T3265)),"Needs supplier cost",IF(K3265&lt;&gt;"In stock","Supplier unavailable",IF(AG3265&lt;&gt;"PASS","BLOCK - GT loss risk","Commercially protected")))</x:f>
        <x:v>Commercially protected</x:v>
      </x:c>
      <x:c r="AI3265" t="str">
        <x:v>2026-09-10 Active Sports trade capture</x:v>
      </x:c>
      <x:c r="AJ3265" t="str">
        <x:v>Management-only economics. Stripe stress test uses 1.5% + £0.20 standard UK online-card fee; pallet/mix-and-match pricing ignored.</x:v>
      </x:c>
    </x:row>
    <x:row r="3266">
      <x:c r="A3266" t="str">
        <x:v>Active Sports Nutrition</x:v>
      </x:c>
      <x:c r="B3266" t="str">
        <x:v>Trained By JP</x:v>
      </x:c>
      <x:c r="C3266" t="str">
        <x:v>Performance Protein</x:v>
      </x:c>
      <x:c r="D3266" t="str">
        <x:v>Supplements</x:v>
      </x:c>
      <x:c r="E3266" t="str">
        <x:v>Whey Protein Blend</x:v>
      </x:c>
      <x:c r="F3266" t="str"/>
      <x:c r="G3266" t="str">
        <x:v>1kg</x:v>
      </x:c>
      <x:c r="H3266" t="str">
        <x:v>Chocolate Peanut Butter Cup</x:v>
      </x:c>
      <x:c r="I3266" t="str"/>
      <x:c r="J3266" t="str">
        <x:v>Unit</x:v>
      </x:c>
      <x:c r="K3266" t="str">
        <x:v>In stock</x:v>
      </x:c>
      <x:c r="L3266" t="str">
        <x:v>2026-09-08</x:v>
      </x:c>
      <x:c r="M3266" t="str"/>
      <x:c r="N3266" t="str"/>
      <x:c r="O3266" t="str">
        <x:v>https://www.activesportstrade.co.uk/Whey-Protein-Supplements-Trade/trained-by-jp-trade</x:v>
      </x:c>
      <x:c r="P3266" t="str">
        <x:v>Fresh whey page; exact 1kg matrix captured independently of 2kg.</x:v>
      </x:c>
      <x:c r="Q3266" t="str"/>
      <x:c r="R3266" t="str"/>
      <x:c r="S3266" t="str">
        <x:v>Pending genuine supplier/brand image</x:v>
      </x:c>
      <x:c r="T3266" s="54" t="n">
        <x:v>18.99</x:v>
      </x:c>
      <x:c r="U3266" s="47" t="n">
        <x:v>0.2</x:v>
      </x:c>
      <x:c r="V3266" s="54" t="n">
        <x:f>IF(ISNUMBER(T3266),T3266*(1+U3266),"")</x:f>
        <x:v>22.787999999999997</x:v>
      </x:c>
      <x:c r="W3266" s="47" t="n">
        <x:v>0.3</x:v>
      </x:c>
      <x:c r="X3266" s="54" t="n">
        <x:f>IF(ISNUMBER(V3266),V3266/(1-W3266),"")</x:f>
        <x:v>32.55428571428571</x:v>
      </x:c>
      <x:c r="Y3266" s="55" t="n">
        <x:f>IF(ISNUMBER(X3266),ROUNDUP(X3266,0),"")</x:f>
        <x:v>33</x:v>
      </x:c>
      <x:c r="Z3266" t="str">
        <x:v>Source match pending</x:v>
      </x:c>
      <x:c r="AA3266" t="str">
        <x:v>screencapture-www-activesportstrade-co-uk-trained-by-jp-trade-2026-09-10-09_10_55.pdf / page-6</x:v>
      </x:c>
      <x:c r="AB3266" s="36" t="n">
        <x:f>IF(ISNUMBER(Y3266),ROUND(Y3266*0.9,2),"")</x:f>
        <x:v>29.7</x:v>
      </x:c>
      <x:c r="AC3266" s="36" t="n">
        <x:f>IF(ISNUMBER(AB3266),ROUND(AB3266-(AB3266*0.015+0.2)-V3266,2),"")</x:f>
        <x:v>6.27</x:v>
      </x:c>
      <x:c r="AD3266" s="36" t="n">
        <x:f>IF(ISNUMBER(Y3266),ROUND(Y3266*0.8,2),"")</x:f>
        <x:v>26.4</x:v>
      </x:c>
      <x:c r="AE3266" s="36" t="n">
        <x:f>IF(ISNUMBER(AD3266),ROUND(AD3266*0.015+0.2,2),"")</x:f>
        <x:v>0.6</x:v>
      </x:c>
      <x:c r="AF3266" s="36" t="n">
        <x:f>IF(ISNUMBER(AD3266),ROUND(AD3266-AE3266-V3266,2),"")</x:f>
        <x:v>3.01</x:v>
      </x:c>
      <x:c r="AG3266" t="str">
        <x:f>IF(NOT(ISNUMBER(T3266)),"PENDING",IF(AF3266&gt;0,"PASS","FAIL"))</x:f>
        <x:v>PASS</x:v>
      </x:c>
      <x:c r="AH3266" t="str">
        <x:f>IF(NOT(ISNUMBER(T3266)),"Needs supplier cost",IF(K3266&lt;&gt;"In stock","Supplier unavailable",IF(AG3266&lt;&gt;"PASS","BLOCK - GT loss risk","Commercially protected")))</x:f>
        <x:v>Commercially protected</x:v>
      </x:c>
      <x:c r="AI3266" t="str">
        <x:v>2026-09-10 Active Sports trade capture</x:v>
      </x:c>
      <x:c r="AJ3266" t="str">
        <x:v>Management-only economics. Stripe stress test uses 1.5% + £0.20 standard UK online-card fee; pallet/mix-and-match pricing ignored.</x:v>
      </x:c>
    </x:row>
    <x:row r="3267">
      <x:c r="A3267" t="str">
        <x:v>Active Sports Nutrition</x:v>
      </x:c>
      <x:c r="B3267" t="str">
        <x:v>Trained By JP</x:v>
      </x:c>
      <x:c r="C3267" t="str">
        <x:v>Performance Protein</x:v>
      </x:c>
      <x:c r="D3267" t="str">
        <x:v>Supplements</x:v>
      </x:c>
      <x:c r="E3267" t="str">
        <x:v>Whey Protein Blend</x:v>
      </x:c>
      <x:c r="F3267" t="str"/>
      <x:c r="G3267" t="str">
        <x:v>1kg</x:v>
      </x:c>
      <x:c r="H3267" t="str">
        <x:v>Chocolate Pistachio</x:v>
      </x:c>
      <x:c r="I3267" t="str"/>
      <x:c r="J3267" t="str">
        <x:v>Unit</x:v>
      </x:c>
      <x:c r="K3267" t="str">
        <x:v>In stock</x:v>
      </x:c>
      <x:c r="L3267" t="str">
        <x:v>2026-09-08</x:v>
      </x:c>
      <x:c r="M3267" t="str"/>
      <x:c r="N3267" t="str"/>
      <x:c r="O3267" t="str">
        <x:v>https://www.activesportstrade.co.uk/Whey-Protein-Supplements-Trade/trained-by-jp-trade</x:v>
      </x:c>
      <x:c r="P3267" t="str">
        <x:v>Fresh whey page; exact 1kg matrix captured independently of 2kg.</x:v>
      </x:c>
      <x:c r="Q3267" t="str"/>
      <x:c r="R3267" t="str"/>
      <x:c r="S3267" t="str">
        <x:v>Pending genuine supplier/brand image</x:v>
      </x:c>
      <x:c r="T3267" s="54" t="n">
        <x:v>18.99</x:v>
      </x:c>
      <x:c r="U3267" s="47" t="n">
        <x:v>0.2</x:v>
      </x:c>
      <x:c r="V3267" s="54" t="n">
        <x:f>IF(ISNUMBER(T3267),T3267*(1+U3267),"")</x:f>
        <x:v>22.787999999999997</x:v>
      </x:c>
      <x:c r="W3267" s="47" t="n">
        <x:v>0.3</x:v>
      </x:c>
      <x:c r="X3267" s="54" t="n">
        <x:f>IF(ISNUMBER(V3267),V3267/(1-W3267),"")</x:f>
        <x:v>32.55428571428571</x:v>
      </x:c>
      <x:c r="Y3267" s="55" t="n">
        <x:f>IF(ISNUMBER(X3267),ROUNDUP(X3267,0),"")</x:f>
        <x:v>33</x:v>
      </x:c>
      <x:c r="Z3267" t="str">
        <x:v>Source match pending</x:v>
      </x:c>
      <x:c r="AA3267" t="str">
        <x:v>screencapture-www-activesportstrade-co-uk-trained-by-jp-trade-2026-09-10-09_10_55.pdf / page-6</x:v>
      </x:c>
      <x:c r="AB3267" s="36" t="n">
        <x:f>IF(ISNUMBER(Y3267),ROUND(Y3267*0.9,2),"")</x:f>
        <x:v>29.7</x:v>
      </x:c>
      <x:c r="AC3267" s="36" t="n">
        <x:f>IF(ISNUMBER(AB3267),ROUND(AB3267-(AB3267*0.015+0.2)-V3267,2),"")</x:f>
        <x:v>6.27</x:v>
      </x:c>
      <x:c r="AD3267" s="36" t="n">
        <x:f>IF(ISNUMBER(Y3267),ROUND(Y3267*0.8,2),"")</x:f>
        <x:v>26.4</x:v>
      </x:c>
      <x:c r="AE3267" s="36" t="n">
        <x:f>IF(ISNUMBER(AD3267),ROUND(AD3267*0.015+0.2,2),"")</x:f>
        <x:v>0.6</x:v>
      </x:c>
      <x:c r="AF3267" s="36" t="n">
        <x:f>IF(ISNUMBER(AD3267),ROUND(AD3267-AE3267-V3267,2),"")</x:f>
        <x:v>3.01</x:v>
      </x:c>
      <x:c r="AG3267" t="str">
        <x:f>IF(NOT(ISNUMBER(T3267)),"PENDING",IF(AF3267&gt;0,"PASS","FAIL"))</x:f>
        <x:v>PASS</x:v>
      </x:c>
      <x:c r="AH3267" t="str">
        <x:f>IF(NOT(ISNUMBER(T3267)),"Needs supplier cost",IF(K3267&lt;&gt;"In stock","Supplier unavailable",IF(AG3267&lt;&gt;"PASS","BLOCK - GT loss risk","Commercially protected")))</x:f>
        <x:v>Commercially protected</x:v>
      </x:c>
      <x:c r="AI3267" t="str">
        <x:v>2026-09-10 Active Sports trade capture</x:v>
      </x:c>
      <x:c r="AJ3267" t="str">
        <x:v>Management-only economics. Stripe stress test uses 1.5% + £0.20 standard UK online-card fee; pallet/mix-and-match pricing ignored.</x:v>
      </x:c>
    </x:row>
    <x:row r="3268">
      <x:c r="A3268" t="str">
        <x:v>Active Sports Nutrition</x:v>
      </x:c>
      <x:c r="B3268" t="str">
        <x:v>Trained By JP</x:v>
      </x:c>
      <x:c r="C3268" t="str">
        <x:v>Performance Protein</x:v>
      </x:c>
      <x:c r="D3268" t="str">
        <x:v>Supplements</x:v>
      </x:c>
      <x:c r="E3268" t="str">
        <x:v>Whey Protein Blend</x:v>
      </x:c>
      <x:c r="F3268" t="str"/>
      <x:c r="G3268" t="str">
        <x:v>1kg</x:v>
      </x:c>
      <x:c r="H3268" t="str">
        <x:v>Cinnamon Danish</x:v>
      </x:c>
      <x:c r="I3268" t="str"/>
      <x:c r="J3268" t="str">
        <x:v>Unit</x:v>
      </x:c>
      <x:c r="K3268" t="str">
        <x:v>Out of stock</x:v>
      </x:c>
      <x:c r="L3268" t="str">
        <x:v>2026-09-08</x:v>
      </x:c>
      <x:c r="M3268" t="str"/>
      <x:c r="N3268" t="str"/>
      <x:c r="O3268" t="str">
        <x:v>https://www.activesportstrade.co.uk/Whey-Protein-Supplements-Trade/trained-by-jp-trade</x:v>
      </x:c>
      <x:c r="P3268" t="str">
        <x:v>Fresh whey page; exact 1kg matrix captured independently of 2kg.</x:v>
      </x:c>
      <x:c r="Q3268" t="str"/>
      <x:c r="R3268" t="str"/>
      <x:c r="S3268" t="str">
        <x:v>Pending genuine supplier/brand image</x:v>
      </x:c>
      <x:c r="T3268" s="54" t="n">
        <x:v>18.99</x:v>
      </x:c>
      <x:c r="U3268" s="47" t="n">
        <x:v>0.2</x:v>
      </x:c>
      <x:c r="V3268" s="54" t="n">
        <x:f>IF(ISNUMBER(T3268),T3268*(1+U3268),"")</x:f>
        <x:v>22.787999999999997</x:v>
      </x:c>
      <x:c r="W3268" s="47" t="n">
        <x:v>0.3</x:v>
      </x:c>
      <x:c r="X3268" s="54" t="n">
        <x:f>IF(ISNUMBER(V3268),V3268/(1-W3268),"")</x:f>
        <x:v>32.55428571428571</x:v>
      </x:c>
      <x:c r="Y3268" s="55" t="n">
        <x:f>IF(ISNUMBER(X3268),ROUNDUP(X3268,0),"")</x:f>
        <x:v>33</x:v>
      </x:c>
      <x:c r="Z3268" t="str">
        <x:v>Source match pending</x:v>
      </x:c>
      <x:c r="AA3268" t="str">
        <x:v>screencapture-www-activesportstrade-co-uk-trained-by-jp-trade-2026-09-10-09_10_55.pdf / page-6</x:v>
      </x:c>
      <x:c r="AB3268" s="36" t="n">
        <x:f>IF(ISNUMBER(Y3268),ROUND(Y3268*0.9,2),"")</x:f>
        <x:v>29.7</x:v>
      </x:c>
      <x:c r="AC3268" s="36" t="n">
        <x:f>IF(ISNUMBER(AB3268),ROUND(AB3268-(AB3268*0.015+0.2)-V3268,2),"")</x:f>
        <x:v>6.27</x:v>
      </x:c>
      <x:c r="AD3268" s="36" t="n">
        <x:f>IF(ISNUMBER(Y3268),ROUND(Y3268*0.8,2),"")</x:f>
        <x:v>26.4</x:v>
      </x:c>
      <x:c r="AE3268" s="36" t="n">
        <x:f>IF(ISNUMBER(AD3268),ROUND(AD3268*0.015+0.2,2),"")</x:f>
        <x:v>0.6</x:v>
      </x:c>
      <x:c r="AF3268" s="36" t="n">
        <x:f>IF(ISNUMBER(AD3268),ROUND(AD3268-AE3268-V3268,2),"")</x:f>
        <x:v>3.01</x:v>
      </x:c>
      <x:c r="AG3268" t="str">
        <x:f>IF(NOT(ISNUMBER(T3268)),"PENDING",IF(AF3268&gt;0,"PASS","FAIL"))</x:f>
        <x:v>PASS</x:v>
      </x:c>
      <x:c r="AH3268" t="str">
        <x:f>IF(NOT(ISNUMBER(T3268)),"Needs supplier cost",IF(K3268&lt;&gt;"In stock","Supplier unavailable",IF(AG3268&lt;&gt;"PASS","BLOCK - GT loss risk","Commercially protected")))</x:f>
        <x:v>Supplier unavailable</x:v>
      </x:c>
      <x:c r="AI3268" t="str">
        <x:v>2026-09-10 Active Sports trade capture</x:v>
      </x:c>
      <x:c r="AJ3268" t="str">
        <x:v>Management-only economics. Stripe stress test uses 1.5% + £0.20 standard UK online-card fee; pallet/mix-and-match pricing ignored.</x:v>
      </x:c>
    </x:row>
    <x:row r="3269">
      <x:c r="A3269" t="str">
        <x:v>Active Sports Nutrition</x:v>
      </x:c>
      <x:c r="B3269" t="str">
        <x:v>Trained By JP</x:v>
      </x:c>
      <x:c r="C3269" t="str">
        <x:v>Performance Protein</x:v>
      </x:c>
      <x:c r="D3269" t="str">
        <x:v>Supplements</x:v>
      </x:c>
      <x:c r="E3269" t="str">
        <x:v>Whey Protein Blend</x:v>
      </x:c>
      <x:c r="F3269" t="str"/>
      <x:c r="G3269" t="str">
        <x:v>1kg</x:v>
      </x:c>
      <x:c r="H3269" t="str">
        <x:v>Coffee Caramel</x:v>
      </x:c>
      <x:c r="I3269" t="str"/>
      <x:c r="J3269" t="str">
        <x:v>Unit</x:v>
      </x:c>
      <x:c r="K3269" t="str">
        <x:v>In stock</x:v>
      </x:c>
      <x:c r="L3269" t="str">
        <x:v>2026-09-08</x:v>
      </x:c>
      <x:c r="M3269" t="str"/>
      <x:c r="N3269" t="str"/>
      <x:c r="O3269" t="str">
        <x:v>https://www.activesportstrade.co.uk/Whey-Protein-Supplements-Trade/trained-by-jp-trade</x:v>
      </x:c>
      <x:c r="P3269" t="str">
        <x:v>Fresh whey page; exact 1kg matrix captured independently of 2kg.</x:v>
      </x:c>
      <x:c r="Q3269" t="str"/>
      <x:c r="R3269" t="str"/>
      <x:c r="S3269" t="str">
        <x:v>Pending genuine supplier/brand image</x:v>
      </x:c>
      <x:c r="T3269" s="54" t="n">
        <x:v>18.99</x:v>
      </x:c>
      <x:c r="U3269" s="47" t="n">
        <x:v>0.2</x:v>
      </x:c>
      <x:c r="V3269" s="54" t="n">
        <x:f>IF(ISNUMBER(T3269),T3269*(1+U3269),"")</x:f>
        <x:v>22.787999999999997</x:v>
      </x:c>
      <x:c r="W3269" s="47" t="n">
        <x:v>0.3</x:v>
      </x:c>
      <x:c r="X3269" s="54" t="n">
        <x:f>IF(ISNUMBER(V3269),V3269/(1-W3269),"")</x:f>
        <x:v>32.55428571428571</x:v>
      </x:c>
      <x:c r="Y3269" s="55" t="n">
        <x:f>IF(ISNUMBER(X3269),ROUNDUP(X3269,0),"")</x:f>
        <x:v>33</x:v>
      </x:c>
      <x:c r="Z3269" t="str">
        <x:v>Source match pending</x:v>
      </x:c>
      <x:c r="AA3269" t="str">
        <x:v>screencapture-www-activesportstrade-co-uk-trained-by-jp-trade-2026-09-10-09_10_55.pdf / page-6</x:v>
      </x:c>
      <x:c r="AB3269" s="36" t="n">
        <x:f>IF(ISNUMBER(Y3269),ROUND(Y3269*0.9,2),"")</x:f>
        <x:v>29.7</x:v>
      </x:c>
      <x:c r="AC3269" s="36" t="n">
        <x:f>IF(ISNUMBER(AB3269),ROUND(AB3269-(AB3269*0.015+0.2)-V3269,2),"")</x:f>
        <x:v>6.27</x:v>
      </x:c>
      <x:c r="AD3269" s="36" t="n">
        <x:f>IF(ISNUMBER(Y3269),ROUND(Y3269*0.8,2),"")</x:f>
        <x:v>26.4</x:v>
      </x:c>
      <x:c r="AE3269" s="36" t="n">
        <x:f>IF(ISNUMBER(AD3269),ROUND(AD3269*0.015+0.2,2),"")</x:f>
        <x:v>0.6</x:v>
      </x:c>
      <x:c r="AF3269" s="36" t="n">
        <x:f>IF(ISNUMBER(AD3269),ROUND(AD3269-AE3269-V3269,2),"")</x:f>
        <x:v>3.01</x:v>
      </x:c>
      <x:c r="AG3269" t="str">
        <x:f>IF(NOT(ISNUMBER(T3269)),"PENDING",IF(AF3269&gt;0,"PASS","FAIL"))</x:f>
        <x:v>PASS</x:v>
      </x:c>
      <x:c r="AH3269" t="str">
        <x:f>IF(NOT(ISNUMBER(T3269)),"Needs supplier cost",IF(K3269&lt;&gt;"In stock","Supplier unavailable",IF(AG3269&lt;&gt;"PASS","BLOCK - GT loss risk","Commercially protected")))</x:f>
        <x:v>Commercially protected</x:v>
      </x:c>
      <x:c r="AI3269" t="str">
        <x:v>2026-09-10 Active Sports trade capture</x:v>
      </x:c>
      <x:c r="AJ3269" t="str">
        <x:v>Management-only economics. Stripe stress test uses 1.5% + £0.20 standard UK online-card fee; pallet/mix-and-match pricing ignored.</x:v>
      </x:c>
    </x:row>
    <x:row r="3270">
      <x:c r="A3270" t="str">
        <x:v>Active Sports Nutrition</x:v>
      </x:c>
      <x:c r="B3270" t="str">
        <x:v>Trained By JP</x:v>
      </x:c>
      <x:c r="C3270" t="str">
        <x:v>Performance Protein</x:v>
      </x:c>
      <x:c r="D3270" t="str">
        <x:v>Supplements</x:v>
      </x:c>
      <x:c r="E3270" t="str">
        <x:v>Whey Protein Blend</x:v>
      </x:c>
      <x:c r="F3270" t="str"/>
      <x:c r="G3270" t="str">
        <x:v>1kg</x:v>
      </x:c>
      <x:c r="H3270" t="str">
        <x:v>Cookies &amp; Cream</x:v>
      </x:c>
      <x:c r="I3270" t="str"/>
      <x:c r="J3270" t="str">
        <x:v>Unit</x:v>
      </x:c>
      <x:c r="K3270" t="str">
        <x:v>In stock</x:v>
      </x:c>
      <x:c r="L3270" t="str">
        <x:v>2026-09-08</x:v>
      </x:c>
      <x:c r="M3270" t="str"/>
      <x:c r="N3270" t="str"/>
      <x:c r="O3270" t="str">
        <x:v>https://www.activesportstrade.co.uk/Whey-Protein-Supplements-Trade/trained-by-jp-trade</x:v>
      </x:c>
      <x:c r="P3270" t="str">
        <x:v>Fresh whey page; exact 1kg matrix captured independently of 2kg.</x:v>
      </x:c>
      <x:c r="Q3270" t="str"/>
      <x:c r="R3270" t="str"/>
      <x:c r="S3270" t="str">
        <x:v>Pending genuine supplier/brand image</x:v>
      </x:c>
      <x:c r="T3270" s="54" t="n">
        <x:v>18.99</x:v>
      </x:c>
      <x:c r="U3270" s="47" t="n">
        <x:v>0.2</x:v>
      </x:c>
      <x:c r="V3270" s="54" t="n">
        <x:f>IF(ISNUMBER(T3270),T3270*(1+U3270),"")</x:f>
        <x:v>22.787999999999997</x:v>
      </x:c>
      <x:c r="W3270" s="47" t="n">
        <x:v>0.3</x:v>
      </x:c>
      <x:c r="X3270" s="54" t="n">
        <x:f>IF(ISNUMBER(V3270),V3270/(1-W3270),"")</x:f>
        <x:v>32.55428571428571</x:v>
      </x:c>
      <x:c r="Y3270" s="55" t="n">
        <x:f>IF(ISNUMBER(X3270),ROUNDUP(X3270,0),"")</x:f>
        <x:v>33</x:v>
      </x:c>
      <x:c r="Z3270" t="str">
        <x:v>Source match pending</x:v>
      </x:c>
      <x:c r="AA3270" t="str">
        <x:v>screencapture-www-activesportstrade-co-uk-trained-by-jp-trade-2026-09-10-09_10_55.pdf / page-6</x:v>
      </x:c>
      <x:c r="AB3270" s="36" t="n">
        <x:f>IF(ISNUMBER(Y3270),ROUND(Y3270*0.9,2),"")</x:f>
        <x:v>29.7</x:v>
      </x:c>
      <x:c r="AC3270" s="36" t="n">
        <x:f>IF(ISNUMBER(AB3270),ROUND(AB3270-(AB3270*0.015+0.2)-V3270,2),"")</x:f>
        <x:v>6.27</x:v>
      </x:c>
      <x:c r="AD3270" s="36" t="n">
        <x:f>IF(ISNUMBER(Y3270),ROUND(Y3270*0.8,2),"")</x:f>
        <x:v>26.4</x:v>
      </x:c>
      <x:c r="AE3270" s="36" t="n">
        <x:f>IF(ISNUMBER(AD3270),ROUND(AD3270*0.015+0.2,2),"")</x:f>
        <x:v>0.6</x:v>
      </x:c>
      <x:c r="AF3270" s="36" t="n">
        <x:f>IF(ISNUMBER(AD3270),ROUND(AD3270-AE3270-V3270,2),"")</x:f>
        <x:v>3.01</x:v>
      </x:c>
      <x:c r="AG3270" t="str">
        <x:f>IF(NOT(ISNUMBER(T3270)),"PENDING",IF(AF3270&gt;0,"PASS","FAIL"))</x:f>
        <x:v>PASS</x:v>
      </x:c>
      <x:c r="AH3270" t="str">
        <x:f>IF(NOT(ISNUMBER(T3270)),"Needs supplier cost",IF(K3270&lt;&gt;"In stock","Supplier unavailable",IF(AG3270&lt;&gt;"PASS","BLOCK - GT loss risk","Commercially protected")))</x:f>
        <x:v>Commercially protected</x:v>
      </x:c>
      <x:c r="AI3270" t="str">
        <x:v>2026-09-10 Active Sports trade capture</x:v>
      </x:c>
      <x:c r="AJ3270" t="str">
        <x:v>Management-only economics. Stripe stress test uses 1.5% + £0.20 standard UK online-card fee; pallet/mix-and-match pricing ignored.</x:v>
      </x:c>
    </x:row>
    <x:row r="3271">
      <x:c r="A3271" t="str">
        <x:v>Active Sports Nutrition</x:v>
      </x:c>
      <x:c r="B3271" t="str">
        <x:v>Trained By JP</x:v>
      </x:c>
      <x:c r="C3271" t="str">
        <x:v>Performance Protein</x:v>
      </x:c>
      <x:c r="D3271" t="str">
        <x:v>Supplements</x:v>
      </x:c>
      <x:c r="E3271" t="str">
        <x:v>Whey Protein Blend</x:v>
      </x:c>
      <x:c r="F3271" t="str"/>
      <x:c r="G3271" t="str">
        <x:v>1kg</x:v>
      </x:c>
      <x:c r="H3271" t="str">
        <x:v>Custard Cream</x:v>
      </x:c>
      <x:c r="I3271" t="str"/>
      <x:c r="J3271" t="str">
        <x:v>Unit</x:v>
      </x:c>
      <x:c r="K3271" t="str">
        <x:v>Out of stock</x:v>
      </x:c>
      <x:c r="L3271" t="str">
        <x:v>2026-09-08</x:v>
      </x:c>
      <x:c r="M3271" t="str"/>
      <x:c r="N3271" t="str"/>
      <x:c r="O3271" t="str">
        <x:v>https://www.activesportstrade.co.uk/Whey-Protein-Supplements-Trade/trained-by-jp-trade</x:v>
      </x:c>
      <x:c r="P3271" t="str">
        <x:v>Fresh whey page; exact 1kg matrix captured independently of 2kg.</x:v>
      </x:c>
      <x:c r="Q3271" t="str"/>
      <x:c r="R3271" t="str"/>
      <x:c r="S3271" t="str">
        <x:v>Pending genuine supplier/brand image</x:v>
      </x:c>
      <x:c r="T3271" s="54" t="n">
        <x:v>18.99</x:v>
      </x:c>
      <x:c r="U3271" s="47" t="n">
        <x:v>0.2</x:v>
      </x:c>
      <x:c r="V3271" s="54" t="n">
        <x:f>IF(ISNUMBER(T3271),T3271*(1+U3271),"")</x:f>
        <x:v>22.787999999999997</x:v>
      </x:c>
      <x:c r="W3271" s="47" t="n">
        <x:v>0.3</x:v>
      </x:c>
      <x:c r="X3271" s="54" t="n">
        <x:f>IF(ISNUMBER(V3271),V3271/(1-W3271),"")</x:f>
        <x:v>32.55428571428571</x:v>
      </x:c>
      <x:c r="Y3271" s="55" t="n">
        <x:f>IF(ISNUMBER(X3271),ROUNDUP(X3271,0),"")</x:f>
        <x:v>33</x:v>
      </x:c>
      <x:c r="Z3271" t="str">
        <x:v>Source match pending</x:v>
      </x:c>
      <x:c r="AA3271" t="str">
        <x:v>screencapture-www-activesportstrade-co-uk-trained-by-jp-trade-2026-09-10-09_10_55.pdf / page-6</x:v>
      </x:c>
      <x:c r="AB3271" s="36" t="n">
        <x:f>IF(ISNUMBER(Y3271),ROUND(Y3271*0.9,2),"")</x:f>
        <x:v>29.7</x:v>
      </x:c>
      <x:c r="AC3271" s="36" t="n">
        <x:f>IF(ISNUMBER(AB3271),ROUND(AB3271-(AB3271*0.015+0.2)-V3271,2),"")</x:f>
        <x:v>6.27</x:v>
      </x:c>
      <x:c r="AD3271" s="36" t="n">
        <x:f>IF(ISNUMBER(Y3271),ROUND(Y3271*0.8,2),"")</x:f>
        <x:v>26.4</x:v>
      </x:c>
      <x:c r="AE3271" s="36" t="n">
        <x:f>IF(ISNUMBER(AD3271),ROUND(AD3271*0.015+0.2,2),"")</x:f>
        <x:v>0.6</x:v>
      </x:c>
      <x:c r="AF3271" s="36" t="n">
        <x:f>IF(ISNUMBER(AD3271),ROUND(AD3271-AE3271-V3271,2),"")</x:f>
        <x:v>3.01</x:v>
      </x:c>
      <x:c r="AG3271" t="str">
        <x:f>IF(NOT(ISNUMBER(T3271)),"PENDING",IF(AF3271&gt;0,"PASS","FAIL"))</x:f>
        <x:v>PASS</x:v>
      </x:c>
      <x:c r="AH3271" t="str">
        <x:f>IF(NOT(ISNUMBER(T3271)),"Needs supplier cost",IF(K3271&lt;&gt;"In stock","Supplier unavailable",IF(AG3271&lt;&gt;"PASS","BLOCK - GT loss risk","Commercially protected")))</x:f>
        <x:v>Supplier unavailable</x:v>
      </x:c>
      <x:c r="AI3271" t="str">
        <x:v>2026-09-10 Active Sports trade capture</x:v>
      </x:c>
      <x:c r="AJ3271" t="str">
        <x:v>Management-only economics. Stripe stress test uses 1.5% + £0.20 standard UK online-card fee; pallet/mix-and-match pricing ignored.</x:v>
      </x:c>
    </x:row>
    <x:row r="3272">
      <x:c r="A3272" t="str">
        <x:v>Active Sports Nutrition</x:v>
      </x:c>
      <x:c r="B3272" t="str">
        <x:v>Trained By JP</x:v>
      </x:c>
      <x:c r="C3272" t="str">
        <x:v>Performance Protein</x:v>
      </x:c>
      <x:c r="D3272" t="str">
        <x:v>Supplements</x:v>
      </x:c>
      <x:c r="E3272" t="str">
        <x:v>Whey Protein Blend</x:v>
      </x:c>
      <x:c r="F3272" t="str"/>
      <x:c r="G3272" t="str">
        <x:v>1kg</x:v>
      </x:c>
      <x:c r="H3272" t="str">
        <x:v>Dark Chocolate Salted Caramel</x:v>
      </x:c>
      <x:c r="I3272" t="str"/>
      <x:c r="J3272" t="str">
        <x:v>Unit</x:v>
      </x:c>
      <x:c r="K3272" t="str">
        <x:v>Out of stock</x:v>
      </x:c>
      <x:c r="L3272" t="str">
        <x:v>2026-09-08</x:v>
      </x:c>
      <x:c r="M3272" t="str"/>
      <x:c r="N3272" t="str"/>
      <x:c r="O3272" t="str">
        <x:v>https://www.activesportstrade.co.uk/Whey-Protein-Supplements-Trade/trained-by-jp-trade</x:v>
      </x:c>
      <x:c r="P3272" t="str">
        <x:v>Fresh whey page; exact 1kg matrix captured independently of 2kg.</x:v>
      </x:c>
      <x:c r="Q3272" t="str"/>
      <x:c r="R3272" t="str"/>
      <x:c r="S3272" t="str">
        <x:v>Pending genuine supplier/brand image</x:v>
      </x:c>
      <x:c r="T3272" s="54" t="n">
        <x:v>18.99</x:v>
      </x:c>
      <x:c r="U3272" s="47" t="n">
        <x:v>0.2</x:v>
      </x:c>
      <x:c r="V3272" s="54" t="n">
        <x:f>IF(ISNUMBER(T3272),T3272*(1+U3272),"")</x:f>
        <x:v>22.787999999999997</x:v>
      </x:c>
      <x:c r="W3272" s="47" t="n">
        <x:v>0.3</x:v>
      </x:c>
      <x:c r="X3272" s="54" t="n">
        <x:f>IF(ISNUMBER(V3272),V3272/(1-W3272),"")</x:f>
        <x:v>32.55428571428571</x:v>
      </x:c>
      <x:c r="Y3272" s="55" t="n">
        <x:f>IF(ISNUMBER(X3272),ROUNDUP(X3272,0),"")</x:f>
        <x:v>33</x:v>
      </x:c>
      <x:c r="Z3272" t="str">
        <x:v>Source match pending</x:v>
      </x:c>
      <x:c r="AA3272" t="str">
        <x:v>screencapture-www-activesportstrade-co-uk-trained-by-jp-trade-2026-09-10-09_10_55.pdf / page-6</x:v>
      </x:c>
      <x:c r="AB3272" s="36" t="n">
        <x:f>IF(ISNUMBER(Y3272),ROUND(Y3272*0.9,2),"")</x:f>
        <x:v>29.7</x:v>
      </x:c>
      <x:c r="AC3272" s="36" t="n">
        <x:f>IF(ISNUMBER(AB3272),ROUND(AB3272-(AB3272*0.015+0.2)-V3272,2),"")</x:f>
        <x:v>6.27</x:v>
      </x:c>
      <x:c r="AD3272" s="36" t="n">
        <x:f>IF(ISNUMBER(Y3272),ROUND(Y3272*0.8,2),"")</x:f>
        <x:v>26.4</x:v>
      </x:c>
      <x:c r="AE3272" s="36" t="n">
        <x:f>IF(ISNUMBER(AD3272),ROUND(AD3272*0.015+0.2,2),"")</x:f>
        <x:v>0.6</x:v>
      </x:c>
      <x:c r="AF3272" s="36" t="n">
        <x:f>IF(ISNUMBER(AD3272),ROUND(AD3272-AE3272-V3272,2),"")</x:f>
        <x:v>3.01</x:v>
      </x:c>
      <x:c r="AG3272" t="str">
        <x:f>IF(NOT(ISNUMBER(T3272)),"PENDING",IF(AF3272&gt;0,"PASS","FAIL"))</x:f>
        <x:v>PASS</x:v>
      </x:c>
      <x:c r="AH3272" t="str">
        <x:f>IF(NOT(ISNUMBER(T3272)),"Needs supplier cost",IF(K3272&lt;&gt;"In stock","Supplier unavailable",IF(AG3272&lt;&gt;"PASS","BLOCK - GT loss risk","Commercially protected")))</x:f>
        <x:v>Supplier unavailable</x:v>
      </x:c>
      <x:c r="AI3272" t="str">
        <x:v>2026-09-10 Active Sports trade capture</x:v>
      </x:c>
      <x:c r="AJ3272" t="str">
        <x:v>Management-only economics. Stripe stress test uses 1.5% + £0.20 standard UK online-card fee; pallet/mix-and-match pricing ignored.</x:v>
      </x:c>
    </x:row>
    <x:row r="3273">
      <x:c r="A3273" t="str">
        <x:v>Active Sports Nutrition</x:v>
      </x:c>
      <x:c r="B3273" t="str">
        <x:v>Trained By JP</x:v>
      </x:c>
      <x:c r="C3273" t="str">
        <x:v>Performance Protein</x:v>
      </x:c>
      <x:c r="D3273" t="str">
        <x:v>Supplements</x:v>
      </x:c>
      <x:c r="E3273" t="str">
        <x:v>Whey Protein Blend</x:v>
      </x:c>
      <x:c r="F3273" t="str"/>
      <x:c r="G3273" t="str">
        <x:v>1kg</x:v>
      </x:c>
      <x:c r="H3273" t="str">
        <x:v>Lemon Meringue</x:v>
      </x:c>
      <x:c r="I3273" t="str"/>
      <x:c r="J3273" t="str">
        <x:v>Unit</x:v>
      </x:c>
      <x:c r="K3273" t="str">
        <x:v>Out of stock</x:v>
      </x:c>
      <x:c r="L3273" t="str">
        <x:v>2026-09-08</x:v>
      </x:c>
      <x:c r="M3273" t="str"/>
      <x:c r="N3273" t="str"/>
      <x:c r="O3273" t="str">
        <x:v>https://www.activesportstrade.co.uk/Whey-Protein-Supplements-Trade/trained-by-jp-trade</x:v>
      </x:c>
      <x:c r="P3273" t="str">
        <x:v>Fresh whey page; exact 1kg matrix captured independently of 2kg.</x:v>
      </x:c>
      <x:c r="Q3273" t="str"/>
      <x:c r="R3273" t="str"/>
      <x:c r="S3273" t="str">
        <x:v>Pending genuine supplier/brand image</x:v>
      </x:c>
      <x:c r="T3273" s="54" t="n">
        <x:v>18.99</x:v>
      </x:c>
      <x:c r="U3273" s="47" t="n">
        <x:v>0.2</x:v>
      </x:c>
      <x:c r="V3273" s="54" t="n">
        <x:f>IF(ISNUMBER(T3273),T3273*(1+U3273),"")</x:f>
        <x:v>22.787999999999997</x:v>
      </x:c>
      <x:c r="W3273" s="47" t="n">
        <x:v>0.3</x:v>
      </x:c>
      <x:c r="X3273" s="54" t="n">
        <x:f>IF(ISNUMBER(V3273),V3273/(1-W3273),"")</x:f>
        <x:v>32.55428571428571</x:v>
      </x:c>
      <x:c r="Y3273" s="55" t="n">
        <x:f>IF(ISNUMBER(X3273),ROUNDUP(X3273,0),"")</x:f>
        <x:v>33</x:v>
      </x:c>
      <x:c r="Z3273" t="str">
        <x:v>Source match pending</x:v>
      </x:c>
      <x:c r="AA3273" t="str">
        <x:v>screencapture-www-activesportstrade-co-uk-trained-by-jp-trade-2026-09-10-09_10_55.pdf / page-6</x:v>
      </x:c>
      <x:c r="AB3273" s="36" t="n">
        <x:f>IF(ISNUMBER(Y3273),ROUND(Y3273*0.9,2),"")</x:f>
        <x:v>29.7</x:v>
      </x:c>
      <x:c r="AC3273" s="36" t="n">
        <x:f>IF(ISNUMBER(AB3273),ROUND(AB3273-(AB3273*0.015+0.2)-V3273,2),"")</x:f>
        <x:v>6.27</x:v>
      </x:c>
      <x:c r="AD3273" s="36" t="n">
        <x:f>IF(ISNUMBER(Y3273),ROUND(Y3273*0.8,2),"")</x:f>
        <x:v>26.4</x:v>
      </x:c>
      <x:c r="AE3273" s="36" t="n">
        <x:f>IF(ISNUMBER(AD3273),ROUND(AD3273*0.015+0.2,2),"")</x:f>
        <x:v>0.6</x:v>
      </x:c>
      <x:c r="AF3273" s="36" t="n">
        <x:f>IF(ISNUMBER(AD3273),ROUND(AD3273-AE3273-V3273,2),"")</x:f>
        <x:v>3.01</x:v>
      </x:c>
      <x:c r="AG3273" t="str">
        <x:f>IF(NOT(ISNUMBER(T3273)),"PENDING",IF(AF3273&gt;0,"PASS","FAIL"))</x:f>
        <x:v>PASS</x:v>
      </x:c>
      <x:c r="AH3273" t="str">
        <x:f>IF(NOT(ISNUMBER(T3273)),"Needs supplier cost",IF(K3273&lt;&gt;"In stock","Supplier unavailable",IF(AG3273&lt;&gt;"PASS","BLOCK - GT loss risk","Commercially protected")))</x:f>
        <x:v>Supplier unavailable</x:v>
      </x:c>
      <x:c r="AI3273" t="str">
        <x:v>2026-09-10 Active Sports trade capture</x:v>
      </x:c>
      <x:c r="AJ3273" t="str">
        <x:v>Management-only economics. Stripe stress test uses 1.5% + £0.20 standard UK online-card fee; pallet/mix-and-match pricing ignored.</x:v>
      </x:c>
    </x:row>
    <x:row r="3274">
      <x:c r="A3274" t="str">
        <x:v>Active Sports Nutrition</x:v>
      </x:c>
      <x:c r="B3274" t="str">
        <x:v>Trained By JP</x:v>
      </x:c>
      <x:c r="C3274" t="str">
        <x:v>Performance Protein</x:v>
      </x:c>
      <x:c r="D3274" t="str">
        <x:v>Supplements</x:v>
      </x:c>
      <x:c r="E3274" t="str">
        <x:v>Whey Protein Blend</x:v>
      </x:c>
      <x:c r="F3274" t="str"/>
      <x:c r="G3274" t="str">
        <x:v>1kg</x:v>
      </x:c>
      <x:c r="H3274" t="str">
        <x:v>Malted Chocolate</x:v>
      </x:c>
      <x:c r="I3274" t="str"/>
      <x:c r="J3274" t="str">
        <x:v>Unit</x:v>
      </x:c>
      <x:c r="K3274" t="str">
        <x:v>Out of stock</x:v>
      </x:c>
      <x:c r="L3274" t="str">
        <x:v>2026-09-08</x:v>
      </x:c>
      <x:c r="M3274" t="str"/>
      <x:c r="N3274" t="str"/>
      <x:c r="O3274" t="str">
        <x:v>https://www.activesportstrade.co.uk/Whey-Protein-Supplements-Trade/trained-by-jp-trade</x:v>
      </x:c>
      <x:c r="P3274" t="str">
        <x:v>Fresh whey page; exact 1kg matrix captured independently of 2kg.</x:v>
      </x:c>
      <x:c r="Q3274" t="str"/>
      <x:c r="R3274" t="str"/>
      <x:c r="S3274" t="str">
        <x:v>Pending genuine supplier/brand image</x:v>
      </x:c>
      <x:c r="T3274" s="54" t="n">
        <x:v>18.99</x:v>
      </x:c>
      <x:c r="U3274" s="47" t="n">
        <x:v>0.2</x:v>
      </x:c>
      <x:c r="V3274" s="54" t="n">
        <x:f>IF(ISNUMBER(T3274),T3274*(1+U3274),"")</x:f>
        <x:v>22.787999999999997</x:v>
      </x:c>
      <x:c r="W3274" s="47" t="n">
        <x:v>0.3</x:v>
      </x:c>
      <x:c r="X3274" s="54" t="n">
        <x:f>IF(ISNUMBER(V3274),V3274/(1-W3274),"")</x:f>
        <x:v>32.55428571428571</x:v>
      </x:c>
      <x:c r="Y3274" s="55" t="n">
        <x:f>IF(ISNUMBER(X3274),ROUNDUP(X3274,0),"")</x:f>
        <x:v>33</x:v>
      </x:c>
      <x:c r="Z3274" t="str">
        <x:v>Source match pending</x:v>
      </x:c>
      <x:c r="AA3274" t="str">
        <x:v>screencapture-www-activesportstrade-co-uk-trained-by-jp-trade-2026-09-10-09_10_55.pdf / page-6</x:v>
      </x:c>
      <x:c r="AB3274" s="36" t="n">
        <x:f>IF(ISNUMBER(Y3274),ROUND(Y3274*0.9,2),"")</x:f>
        <x:v>29.7</x:v>
      </x:c>
      <x:c r="AC3274" s="36" t="n">
        <x:f>IF(ISNUMBER(AB3274),ROUND(AB3274-(AB3274*0.015+0.2)-V3274,2),"")</x:f>
        <x:v>6.27</x:v>
      </x:c>
      <x:c r="AD3274" s="36" t="n">
        <x:f>IF(ISNUMBER(Y3274),ROUND(Y3274*0.8,2),"")</x:f>
        <x:v>26.4</x:v>
      </x:c>
      <x:c r="AE3274" s="36" t="n">
        <x:f>IF(ISNUMBER(AD3274),ROUND(AD3274*0.015+0.2,2),"")</x:f>
        <x:v>0.6</x:v>
      </x:c>
      <x:c r="AF3274" s="36" t="n">
        <x:f>IF(ISNUMBER(AD3274),ROUND(AD3274-AE3274-V3274,2),"")</x:f>
        <x:v>3.01</x:v>
      </x:c>
      <x:c r="AG3274" t="str">
        <x:f>IF(NOT(ISNUMBER(T3274)),"PENDING",IF(AF3274&gt;0,"PASS","FAIL"))</x:f>
        <x:v>PASS</x:v>
      </x:c>
      <x:c r="AH3274" t="str">
        <x:f>IF(NOT(ISNUMBER(T3274)),"Needs supplier cost",IF(K3274&lt;&gt;"In stock","Supplier unavailable",IF(AG3274&lt;&gt;"PASS","BLOCK - GT loss risk","Commercially protected")))</x:f>
        <x:v>Supplier unavailable</x:v>
      </x:c>
      <x:c r="AI3274" t="str">
        <x:v>2026-09-10 Active Sports trade capture</x:v>
      </x:c>
      <x:c r="AJ3274" t="str">
        <x:v>Management-only economics. Stripe stress test uses 1.5% + £0.20 standard UK online-card fee; pallet/mix-and-match pricing ignored.</x:v>
      </x:c>
    </x:row>
    <x:row r="3275">
      <x:c r="A3275" t="str">
        <x:v>Active Sports Nutrition</x:v>
      </x:c>
      <x:c r="B3275" t="str">
        <x:v>Trained By JP</x:v>
      </x:c>
      <x:c r="C3275" t="str">
        <x:v>Performance Protein</x:v>
      </x:c>
      <x:c r="D3275" t="str">
        <x:v>Supplements</x:v>
      </x:c>
      <x:c r="E3275" t="str">
        <x:v>Whey Protein Blend</x:v>
      </x:c>
      <x:c r="F3275" t="str"/>
      <x:c r="G3275" t="str">
        <x:v>1kg</x:v>
      </x:c>
      <x:c r="H3275" t="str">
        <x:v>Strawberry Cheesecake</x:v>
      </x:c>
      <x:c r="I3275" t="str"/>
      <x:c r="J3275" t="str">
        <x:v>Unit</x:v>
      </x:c>
      <x:c r="K3275" t="str">
        <x:v>In stock</x:v>
      </x:c>
      <x:c r="L3275" t="str">
        <x:v>2026-09-08</x:v>
      </x:c>
      <x:c r="M3275" t="str"/>
      <x:c r="N3275" t="str"/>
      <x:c r="O3275" t="str">
        <x:v>https://www.activesportstrade.co.uk/Whey-Protein-Supplements-Trade/trained-by-jp-trade</x:v>
      </x:c>
      <x:c r="P3275" t="str">
        <x:v>Fresh whey page; exact 1kg matrix captured independently of 2kg.</x:v>
      </x:c>
      <x:c r="Q3275" t="str"/>
      <x:c r="R3275" t="str"/>
      <x:c r="S3275" t="str">
        <x:v>Pending genuine supplier/brand image</x:v>
      </x:c>
      <x:c r="T3275" s="54" t="n">
        <x:v>18.99</x:v>
      </x:c>
      <x:c r="U3275" s="47" t="n">
        <x:v>0.2</x:v>
      </x:c>
      <x:c r="V3275" s="54" t="n">
        <x:f>IF(ISNUMBER(T3275),T3275*(1+U3275),"")</x:f>
        <x:v>22.787999999999997</x:v>
      </x:c>
      <x:c r="W3275" s="47" t="n">
        <x:v>0.3</x:v>
      </x:c>
      <x:c r="X3275" s="54" t="n">
        <x:f>IF(ISNUMBER(V3275),V3275/(1-W3275),"")</x:f>
        <x:v>32.55428571428571</x:v>
      </x:c>
      <x:c r="Y3275" s="55" t="n">
        <x:f>IF(ISNUMBER(X3275),ROUNDUP(X3275,0),"")</x:f>
        <x:v>33</x:v>
      </x:c>
      <x:c r="Z3275" t="str">
        <x:v>Source match pending</x:v>
      </x:c>
      <x:c r="AA3275" t="str">
        <x:v>screencapture-www-activesportstrade-co-uk-trained-by-jp-trade-2026-09-10-09_10_55.pdf / page-6</x:v>
      </x:c>
      <x:c r="AB3275" s="36" t="n">
        <x:f>IF(ISNUMBER(Y3275),ROUND(Y3275*0.9,2),"")</x:f>
        <x:v>29.7</x:v>
      </x:c>
      <x:c r="AC3275" s="36" t="n">
        <x:f>IF(ISNUMBER(AB3275),ROUND(AB3275-(AB3275*0.015+0.2)-V3275,2),"")</x:f>
        <x:v>6.27</x:v>
      </x:c>
      <x:c r="AD3275" s="36" t="n">
        <x:f>IF(ISNUMBER(Y3275),ROUND(Y3275*0.8,2),"")</x:f>
        <x:v>26.4</x:v>
      </x:c>
      <x:c r="AE3275" s="36" t="n">
        <x:f>IF(ISNUMBER(AD3275),ROUND(AD3275*0.015+0.2,2),"")</x:f>
        <x:v>0.6</x:v>
      </x:c>
      <x:c r="AF3275" s="36" t="n">
        <x:f>IF(ISNUMBER(AD3275),ROUND(AD3275-AE3275-V3275,2),"")</x:f>
        <x:v>3.01</x:v>
      </x:c>
      <x:c r="AG3275" t="str">
        <x:f>IF(NOT(ISNUMBER(T3275)),"PENDING",IF(AF3275&gt;0,"PASS","FAIL"))</x:f>
        <x:v>PASS</x:v>
      </x:c>
      <x:c r="AH3275" t="str">
        <x:f>IF(NOT(ISNUMBER(T3275)),"Needs supplier cost",IF(K3275&lt;&gt;"In stock","Supplier unavailable",IF(AG3275&lt;&gt;"PASS","BLOCK - GT loss risk","Commercially protected")))</x:f>
        <x:v>Commercially protected</x:v>
      </x:c>
      <x:c r="AI3275" t="str">
        <x:v>2026-09-10 Active Sports trade capture</x:v>
      </x:c>
      <x:c r="AJ3275" t="str">
        <x:v>Management-only economics. Stripe stress test uses 1.5% + £0.20 standard UK online-card fee; pallet/mix-and-match pricing ignored.</x:v>
      </x:c>
    </x:row>
    <x:row r="3276">
      <x:c r="A3276" t="str">
        <x:v>Active Sports Nutrition</x:v>
      </x:c>
      <x:c r="B3276" t="str">
        <x:v>Trained By JP</x:v>
      </x:c>
      <x:c r="C3276" t="str">
        <x:v>Performance Protein</x:v>
      </x:c>
      <x:c r="D3276" t="str">
        <x:v>Supplements</x:v>
      </x:c>
      <x:c r="E3276" t="str">
        <x:v>Whey Protein Blend</x:v>
      </x:c>
      <x:c r="F3276" t="str"/>
      <x:c r="G3276" t="str">
        <x:v>1kg</x:v>
      </x:c>
      <x:c r="H3276" t="str">
        <x:v>Triple Chocolate</x:v>
      </x:c>
      <x:c r="I3276" t="str"/>
      <x:c r="J3276" t="str">
        <x:v>Unit</x:v>
      </x:c>
      <x:c r="K3276" t="str">
        <x:v>Out of stock</x:v>
      </x:c>
      <x:c r="L3276" t="str">
        <x:v>2026-09-08</x:v>
      </x:c>
      <x:c r="M3276" t="str"/>
      <x:c r="N3276" t="str"/>
      <x:c r="O3276" t="str">
        <x:v>https://www.activesportstrade.co.uk/Whey-Protein-Supplements-Trade/trained-by-jp-trade</x:v>
      </x:c>
      <x:c r="P3276" t="str">
        <x:v>Fresh whey page; exact 1kg matrix captured independently of 2kg.</x:v>
      </x:c>
      <x:c r="Q3276" t="str"/>
      <x:c r="R3276" t="str"/>
      <x:c r="S3276" t="str">
        <x:v>Pending genuine supplier/brand image</x:v>
      </x:c>
      <x:c r="T3276" s="54" t="n">
        <x:v>18.99</x:v>
      </x:c>
      <x:c r="U3276" s="47" t="n">
        <x:v>0.2</x:v>
      </x:c>
      <x:c r="V3276" s="54" t="n">
        <x:f>IF(ISNUMBER(T3276),T3276*(1+U3276),"")</x:f>
        <x:v>22.787999999999997</x:v>
      </x:c>
      <x:c r="W3276" s="47" t="n">
        <x:v>0.3</x:v>
      </x:c>
      <x:c r="X3276" s="54" t="n">
        <x:f>IF(ISNUMBER(V3276),V3276/(1-W3276),"")</x:f>
        <x:v>32.55428571428571</x:v>
      </x:c>
      <x:c r="Y3276" s="55" t="n">
        <x:f>IF(ISNUMBER(X3276),ROUNDUP(X3276,0),"")</x:f>
        <x:v>33</x:v>
      </x:c>
      <x:c r="Z3276" t="str">
        <x:v>Source match pending</x:v>
      </x:c>
      <x:c r="AA3276" t="str">
        <x:v>screencapture-www-activesportstrade-co-uk-trained-by-jp-trade-2026-09-10-09_10_55.pdf / page-6</x:v>
      </x:c>
      <x:c r="AB3276" s="36" t="n">
        <x:f>IF(ISNUMBER(Y3276),ROUND(Y3276*0.9,2),"")</x:f>
        <x:v>29.7</x:v>
      </x:c>
      <x:c r="AC3276" s="36" t="n">
        <x:f>IF(ISNUMBER(AB3276),ROUND(AB3276-(AB3276*0.015+0.2)-V3276,2),"")</x:f>
        <x:v>6.27</x:v>
      </x:c>
      <x:c r="AD3276" s="36" t="n">
        <x:f>IF(ISNUMBER(Y3276),ROUND(Y3276*0.8,2),"")</x:f>
        <x:v>26.4</x:v>
      </x:c>
      <x:c r="AE3276" s="36" t="n">
        <x:f>IF(ISNUMBER(AD3276),ROUND(AD3276*0.015+0.2,2),"")</x:f>
        <x:v>0.6</x:v>
      </x:c>
      <x:c r="AF3276" s="36" t="n">
        <x:f>IF(ISNUMBER(AD3276),ROUND(AD3276-AE3276-V3276,2),"")</x:f>
        <x:v>3.01</x:v>
      </x:c>
      <x:c r="AG3276" t="str">
        <x:f>IF(NOT(ISNUMBER(T3276)),"PENDING",IF(AF3276&gt;0,"PASS","FAIL"))</x:f>
        <x:v>PASS</x:v>
      </x:c>
      <x:c r="AH3276" t="str">
        <x:f>IF(NOT(ISNUMBER(T3276)),"Needs supplier cost",IF(K3276&lt;&gt;"In stock","Supplier unavailable",IF(AG3276&lt;&gt;"PASS","BLOCK - GT loss risk","Commercially protected")))</x:f>
        <x:v>Supplier unavailable</x:v>
      </x:c>
      <x:c r="AI3276" t="str">
        <x:v>2026-09-10 Active Sports trade capture</x:v>
      </x:c>
      <x:c r="AJ3276" t="str">
        <x:v>Management-only economics. Stripe stress test uses 1.5% + £0.20 standard UK online-card fee; pallet/mix-and-match pricing ignored.</x:v>
      </x:c>
    </x:row>
    <x:row r="3277">
      <x:c r="A3277" t="str">
        <x:v>Active Sports Nutrition</x:v>
      </x:c>
      <x:c r="B3277" t="str">
        <x:v>Trained By JP</x:v>
      </x:c>
      <x:c r="C3277" t="str">
        <x:v>Performance Protein</x:v>
      </x:c>
      <x:c r="D3277" t="str">
        <x:v>Supplements</x:v>
      </x:c>
      <x:c r="E3277" t="str">
        <x:v>Whey Protein Blend</x:v>
      </x:c>
      <x:c r="F3277" t="str"/>
      <x:c r="G3277" t="str">
        <x:v>1kg</x:v>
      </x:c>
      <x:c r="H3277" t="str">
        <x:v>Vanilla</x:v>
      </x:c>
      <x:c r="I3277" t="str"/>
      <x:c r="J3277" t="str">
        <x:v>Unit</x:v>
      </x:c>
      <x:c r="K3277" t="str">
        <x:v>In stock</x:v>
      </x:c>
      <x:c r="L3277" t="str">
        <x:v>2026-09-08</x:v>
      </x:c>
      <x:c r="M3277" t="str"/>
      <x:c r="N3277" t="str"/>
      <x:c r="O3277" t="str">
        <x:v>https://www.activesportstrade.co.uk/Whey-Protein-Supplements-Trade/trained-by-jp-trade</x:v>
      </x:c>
      <x:c r="P3277" t="str">
        <x:v>Fresh whey page; exact 1kg matrix captured independently of 2kg.</x:v>
      </x:c>
      <x:c r="Q3277" t="str"/>
      <x:c r="R3277" t="str"/>
      <x:c r="S3277" t="str">
        <x:v>Pending genuine supplier/brand image</x:v>
      </x:c>
      <x:c r="T3277" s="54" t="n">
        <x:v>18.99</x:v>
      </x:c>
      <x:c r="U3277" s="47" t="n">
        <x:v>0.2</x:v>
      </x:c>
      <x:c r="V3277" s="54" t="n">
        <x:f>IF(ISNUMBER(T3277),T3277*(1+U3277),"")</x:f>
        <x:v>22.787999999999997</x:v>
      </x:c>
      <x:c r="W3277" s="47" t="n">
        <x:v>0.3</x:v>
      </x:c>
      <x:c r="X3277" s="54" t="n">
        <x:f>IF(ISNUMBER(V3277),V3277/(1-W3277),"")</x:f>
        <x:v>32.55428571428571</x:v>
      </x:c>
      <x:c r="Y3277" s="55" t="n">
        <x:f>IF(ISNUMBER(X3277),ROUNDUP(X3277,0),"")</x:f>
        <x:v>33</x:v>
      </x:c>
      <x:c r="Z3277" t="str">
        <x:v>Source match pending</x:v>
      </x:c>
      <x:c r="AA3277" t="str">
        <x:v>screencapture-www-activesportstrade-co-uk-trained-by-jp-trade-2026-09-10-09_10_55.pdf / page-6</x:v>
      </x:c>
      <x:c r="AB3277" s="36" t="n">
        <x:f>IF(ISNUMBER(Y3277),ROUND(Y3277*0.9,2),"")</x:f>
        <x:v>29.7</x:v>
      </x:c>
      <x:c r="AC3277" s="36" t="n">
        <x:f>IF(ISNUMBER(AB3277),ROUND(AB3277-(AB3277*0.015+0.2)-V3277,2),"")</x:f>
        <x:v>6.27</x:v>
      </x:c>
      <x:c r="AD3277" s="36" t="n">
        <x:f>IF(ISNUMBER(Y3277),ROUND(Y3277*0.8,2),"")</x:f>
        <x:v>26.4</x:v>
      </x:c>
      <x:c r="AE3277" s="36" t="n">
        <x:f>IF(ISNUMBER(AD3277),ROUND(AD3277*0.015+0.2,2),"")</x:f>
        <x:v>0.6</x:v>
      </x:c>
      <x:c r="AF3277" s="36" t="n">
        <x:f>IF(ISNUMBER(AD3277),ROUND(AD3277-AE3277-V3277,2),"")</x:f>
        <x:v>3.01</x:v>
      </x:c>
      <x:c r="AG3277" t="str">
        <x:f>IF(NOT(ISNUMBER(T3277)),"PENDING",IF(AF3277&gt;0,"PASS","FAIL"))</x:f>
        <x:v>PASS</x:v>
      </x:c>
      <x:c r="AH3277" t="str">
        <x:f>IF(NOT(ISNUMBER(T3277)),"Needs supplier cost",IF(K3277&lt;&gt;"In stock","Supplier unavailable",IF(AG3277&lt;&gt;"PASS","BLOCK - GT loss risk","Commercially protected")))</x:f>
        <x:v>Commercially protected</x:v>
      </x:c>
      <x:c r="AI3277" t="str">
        <x:v>2026-09-10 Active Sports trade capture</x:v>
      </x:c>
      <x:c r="AJ3277" t="str">
        <x:v>Management-only economics. Stripe stress test uses 1.5% + £0.20 standard UK online-card fee; pallet/mix-and-match pricing ignored.</x:v>
      </x:c>
    </x:row>
    <x:row r="3278">
      <x:c r="A3278" t="str">
        <x:v>Active Sports Nutrition</x:v>
      </x:c>
      <x:c r="B3278" t="str">
        <x:v>Trained By JP</x:v>
      </x:c>
      <x:c r="C3278" t="str">
        <x:v>Performance Protein</x:v>
      </x:c>
      <x:c r="D3278" t="str">
        <x:v>Supplements</x:v>
      </x:c>
      <x:c r="E3278" t="str">
        <x:v>Whey Protein Blend</x:v>
      </x:c>
      <x:c r="F3278" t="str"/>
      <x:c r="G3278" t="str">
        <x:v>1kg</x:v>
      </x:c>
      <x:c r="H3278" t="str">
        <x:v>White Chocolate</x:v>
      </x:c>
      <x:c r="I3278" t="str"/>
      <x:c r="J3278" t="str">
        <x:v>Unit</x:v>
      </x:c>
      <x:c r="K3278" t="str">
        <x:v>Out of stock</x:v>
      </x:c>
      <x:c r="L3278" t="str">
        <x:v>2026-09-08</x:v>
      </x:c>
      <x:c r="M3278" t="str"/>
      <x:c r="N3278" t="str"/>
      <x:c r="O3278" t="str">
        <x:v>https://www.activesportstrade.co.uk/Whey-Protein-Supplements-Trade/trained-by-jp-trade</x:v>
      </x:c>
      <x:c r="P3278" t="str">
        <x:v>Fresh whey page; exact 1kg matrix captured independently of 2kg.</x:v>
      </x:c>
      <x:c r="Q3278" t="str"/>
      <x:c r="R3278" t="str"/>
      <x:c r="S3278" t="str">
        <x:v>Pending genuine supplier/brand image</x:v>
      </x:c>
      <x:c r="T3278" s="54" t="n">
        <x:v>18.99</x:v>
      </x:c>
      <x:c r="U3278" s="47" t="n">
        <x:v>0.2</x:v>
      </x:c>
      <x:c r="V3278" s="54" t="n">
        <x:f>IF(ISNUMBER(T3278),T3278*(1+U3278),"")</x:f>
        <x:v>22.787999999999997</x:v>
      </x:c>
      <x:c r="W3278" s="47" t="n">
        <x:v>0.3</x:v>
      </x:c>
      <x:c r="X3278" s="54" t="n">
        <x:f>IF(ISNUMBER(V3278),V3278/(1-W3278),"")</x:f>
        <x:v>32.55428571428571</x:v>
      </x:c>
      <x:c r="Y3278" s="55" t="n">
        <x:f>IF(ISNUMBER(X3278),ROUNDUP(X3278,0),"")</x:f>
        <x:v>33</x:v>
      </x:c>
      <x:c r="Z3278" t="str">
        <x:v>Source match pending</x:v>
      </x:c>
      <x:c r="AA3278" t="str">
        <x:v>screencapture-www-activesportstrade-co-uk-trained-by-jp-trade-2026-09-10-09_10_55.pdf / page-6</x:v>
      </x:c>
      <x:c r="AB3278" s="36" t="n">
        <x:f>IF(ISNUMBER(Y3278),ROUND(Y3278*0.9,2),"")</x:f>
        <x:v>29.7</x:v>
      </x:c>
      <x:c r="AC3278" s="36" t="n">
        <x:f>IF(ISNUMBER(AB3278),ROUND(AB3278-(AB3278*0.015+0.2)-V3278,2),"")</x:f>
        <x:v>6.27</x:v>
      </x:c>
      <x:c r="AD3278" s="36" t="n">
        <x:f>IF(ISNUMBER(Y3278),ROUND(Y3278*0.8,2),"")</x:f>
        <x:v>26.4</x:v>
      </x:c>
      <x:c r="AE3278" s="36" t="n">
        <x:f>IF(ISNUMBER(AD3278),ROUND(AD3278*0.015+0.2,2),"")</x:f>
        <x:v>0.6</x:v>
      </x:c>
      <x:c r="AF3278" s="36" t="n">
        <x:f>IF(ISNUMBER(AD3278),ROUND(AD3278-AE3278-V3278,2),"")</x:f>
        <x:v>3.01</x:v>
      </x:c>
      <x:c r="AG3278" t="str">
        <x:f>IF(NOT(ISNUMBER(T3278)),"PENDING",IF(AF3278&gt;0,"PASS","FAIL"))</x:f>
        <x:v>PASS</x:v>
      </x:c>
      <x:c r="AH3278" t="str">
        <x:f>IF(NOT(ISNUMBER(T3278)),"Needs supplier cost",IF(K3278&lt;&gt;"In stock","Supplier unavailable",IF(AG3278&lt;&gt;"PASS","BLOCK - GT loss risk","Commercially protected")))</x:f>
        <x:v>Supplier unavailable</x:v>
      </x:c>
      <x:c r="AI3278" t="str">
        <x:v>2026-09-10 Active Sports trade capture</x:v>
      </x:c>
      <x:c r="AJ3278" t="str">
        <x:v>Management-only economics. Stripe stress test uses 1.5% + £0.20 standard UK online-card fee; pallet/mix-and-match pricing ignored.</x:v>
      </x:c>
    </x:row>
    <x:row r="3279">
      <x:c r="A3279" t="str">
        <x:v>Active Sports Nutrition</x:v>
      </x:c>
      <x:c r="B3279" t="str">
        <x:v>Trained By JP</x:v>
      </x:c>
      <x:c r="C3279" t="str">
        <x:v>Performance Protein</x:v>
      </x:c>
      <x:c r="D3279" t="str">
        <x:v>Supplements</x:v>
      </x:c>
      <x:c r="E3279" t="str">
        <x:v>Whey Protein Blend</x:v>
      </x:c>
      <x:c r="F3279" t="str"/>
      <x:c r="G3279" t="str">
        <x:v>1kg</x:v>
      </x:c>
      <x:c r="H3279" t="str">
        <x:v>White Chocolate Hazelnut</x:v>
      </x:c>
      <x:c r="I3279" t="str"/>
      <x:c r="J3279" t="str">
        <x:v>Unit</x:v>
      </x:c>
      <x:c r="K3279" t="str">
        <x:v>Out of stock</x:v>
      </x:c>
      <x:c r="L3279" t="str">
        <x:v>2026-09-08</x:v>
      </x:c>
      <x:c r="M3279" t="str"/>
      <x:c r="N3279" t="str"/>
      <x:c r="O3279" t="str">
        <x:v>https://www.activesportstrade.co.uk/Whey-Protein-Supplements-Trade/trained-by-jp-trade</x:v>
      </x:c>
      <x:c r="P3279" t="str">
        <x:v>Fresh whey page; exact 1kg matrix captured independently of 2kg.</x:v>
      </x:c>
      <x:c r="Q3279" t="str"/>
      <x:c r="R3279" t="str"/>
      <x:c r="S3279" t="str">
        <x:v>Pending genuine supplier/brand image</x:v>
      </x:c>
      <x:c r="T3279" s="54" t="n">
        <x:v>18.99</x:v>
      </x:c>
      <x:c r="U3279" s="47" t="n">
        <x:v>0.2</x:v>
      </x:c>
      <x:c r="V3279" s="54" t="n">
        <x:f>IF(ISNUMBER(T3279),T3279*(1+U3279),"")</x:f>
        <x:v>22.787999999999997</x:v>
      </x:c>
      <x:c r="W3279" s="47" t="n">
        <x:v>0.3</x:v>
      </x:c>
      <x:c r="X3279" s="54" t="n">
        <x:f>IF(ISNUMBER(V3279),V3279/(1-W3279),"")</x:f>
        <x:v>32.55428571428571</x:v>
      </x:c>
      <x:c r="Y3279" s="55" t="n">
        <x:f>IF(ISNUMBER(X3279),ROUNDUP(X3279,0),"")</x:f>
        <x:v>33</x:v>
      </x:c>
      <x:c r="Z3279" t="str">
        <x:v>Source match pending</x:v>
      </x:c>
      <x:c r="AA3279" t="str">
        <x:v>screencapture-www-activesportstrade-co-uk-trained-by-jp-trade-2026-09-10-09_10_55.pdf / page-6</x:v>
      </x:c>
      <x:c r="AB3279" s="36" t="n">
        <x:f>IF(ISNUMBER(Y3279),ROUND(Y3279*0.9,2),"")</x:f>
        <x:v>29.7</x:v>
      </x:c>
      <x:c r="AC3279" s="36" t="n">
        <x:f>IF(ISNUMBER(AB3279),ROUND(AB3279-(AB3279*0.015+0.2)-V3279,2),"")</x:f>
        <x:v>6.27</x:v>
      </x:c>
      <x:c r="AD3279" s="36" t="n">
        <x:f>IF(ISNUMBER(Y3279),ROUND(Y3279*0.8,2),"")</x:f>
        <x:v>26.4</x:v>
      </x:c>
      <x:c r="AE3279" s="36" t="n">
        <x:f>IF(ISNUMBER(AD3279),ROUND(AD3279*0.015+0.2,2),"")</x:f>
        <x:v>0.6</x:v>
      </x:c>
      <x:c r="AF3279" s="36" t="n">
        <x:f>IF(ISNUMBER(AD3279),ROUND(AD3279-AE3279-V3279,2),"")</x:f>
        <x:v>3.01</x:v>
      </x:c>
      <x:c r="AG3279" t="str">
        <x:f>IF(NOT(ISNUMBER(T3279)),"PENDING",IF(AF3279&gt;0,"PASS","FAIL"))</x:f>
        <x:v>PASS</x:v>
      </x:c>
      <x:c r="AH3279" t="str">
        <x:f>IF(NOT(ISNUMBER(T3279)),"Needs supplier cost",IF(K3279&lt;&gt;"In stock","Supplier unavailable",IF(AG3279&lt;&gt;"PASS","BLOCK - GT loss risk","Commercially protected")))</x:f>
        <x:v>Supplier unavailable</x:v>
      </x:c>
      <x:c r="AI3279" t="str">
        <x:v>2026-09-10 Active Sports trade capture</x:v>
      </x:c>
      <x:c r="AJ3279" t="str">
        <x:v>Management-only economics. Stripe stress test uses 1.5% + £0.20 standard UK online-card fee; pallet/mix-and-match pricing ignored.</x:v>
      </x:c>
    </x:row>
    <x:row r="3280">
      <x:c r="A3280" t="str">
        <x:v>Active Sports Nutrition</x:v>
      </x:c>
      <x:c r="B3280" t="str">
        <x:v>Trained By JP</x:v>
      </x:c>
      <x:c r="C3280" t="str">
        <x:v>Performance Protein</x:v>
      </x:c>
      <x:c r="D3280" t="str">
        <x:v>Supplements</x:v>
      </x:c>
      <x:c r="E3280" t="str">
        <x:v>Whey Protein Blend</x:v>
      </x:c>
      <x:c r="F3280" t="str"/>
      <x:c r="G3280" t="str">
        <x:v>1kg</x:v>
      </x:c>
      <x:c r="H3280" t="str">
        <x:v>White Chocolate Raspberry</x:v>
      </x:c>
      <x:c r="I3280" t="str"/>
      <x:c r="J3280" t="str">
        <x:v>Unit</x:v>
      </x:c>
      <x:c r="K3280" t="str">
        <x:v>In stock</x:v>
      </x:c>
      <x:c r="L3280" t="str">
        <x:v>2026-09-08</x:v>
      </x:c>
      <x:c r="M3280" t="str"/>
      <x:c r="N3280" t="str"/>
      <x:c r="O3280" t="str">
        <x:v>https://www.activesportstrade.co.uk/Whey-Protein-Supplements-Trade/trained-by-jp-trade</x:v>
      </x:c>
      <x:c r="P3280" t="str">
        <x:v>Fresh whey page; exact 1kg matrix captured independently of 2kg.</x:v>
      </x:c>
      <x:c r="Q3280" t="str"/>
      <x:c r="R3280" t="str"/>
      <x:c r="S3280" t="str">
        <x:v>Pending genuine supplier/brand image</x:v>
      </x:c>
      <x:c r="T3280" s="54" t="n">
        <x:v>18.99</x:v>
      </x:c>
      <x:c r="U3280" s="47" t="n">
        <x:v>0.2</x:v>
      </x:c>
      <x:c r="V3280" s="54" t="n">
        <x:f>IF(ISNUMBER(T3280),T3280*(1+U3280),"")</x:f>
        <x:v>22.787999999999997</x:v>
      </x:c>
      <x:c r="W3280" s="47" t="n">
        <x:v>0.3</x:v>
      </x:c>
      <x:c r="X3280" s="54" t="n">
        <x:f>IF(ISNUMBER(V3280),V3280/(1-W3280),"")</x:f>
        <x:v>32.55428571428571</x:v>
      </x:c>
      <x:c r="Y3280" s="55" t="n">
        <x:f>IF(ISNUMBER(X3280),ROUNDUP(X3280,0),"")</x:f>
        <x:v>33</x:v>
      </x:c>
      <x:c r="Z3280" t="str">
        <x:v>Source match pending</x:v>
      </x:c>
      <x:c r="AA3280" t="str">
        <x:v>screencapture-www-activesportstrade-co-uk-trained-by-jp-trade-2026-09-10-09_10_55.pdf / page-6</x:v>
      </x:c>
      <x:c r="AB3280" s="36" t="n">
        <x:f>IF(ISNUMBER(Y3280),ROUND(Y3280*0.9,2),"")</x:f>
        <x:v>29.7</x:v>
      </x:c>
      <x:c r="AC3280" s="36" t="n">
        <x:f>IF(ISNUMBER(AB3280),ROUND(AB3280-(AB3280*0.015+0.2)-V3280,2),"")</x:f>
        <x:v>6.27</x:v>
      </x:c>
      <x:c r="AD3280" s="36" t="n">
        <x:f>IF(ISNUMBER(Y3280),ROUND(Y3280*0.8,2),"")</x:f>
        <x:v>26.4</x:v>
      </x:c>
      <x:c r="AE3280" s="36" t="n">
        <x:f>IF(ISNUMBER(AD3280),ROUND(AD3280*0.015+0.2,2),"")</x:f>
        <x:v>0.6</x:v>
      </x:c>
      <x:c r="AF3280" s="36" t="n">
        <x:f>IF(ISNUMBER(AD3280),ROUND(AD3280-AE3280-V3280,2),"")</x:f>
        <x:v>3.01</x:v>
      </x:c>
      <x:c r="AG3280" t="str">
        <x:f>IF(NOT(ISNUMBER(T3280)),"PENDING",IF(AF3280&gt;0,"PASS","FAIL"))</x:f>
        <x:v>PASS</x:v>
      </x:c>
      <x:c r="AH3280" t="str">
        <x:f>IF(NOT(ISNUMBER(T3280)),"Needs supplier cost",IF(K3280&lt;&gt;"In stock","Supplier unavailable",IF(AG3280&lt;&gt;"PASS","BLOCK - GT loss risk","Commercially protected")))</x:f>
        <x:v>Commercially protected</x:v>
      </x:c>
      <x:c r="AI3280" t="str">
        <x:v>2026-09-10 Active Sports trade capture</x:v>
      </x:c>
      <x:c r="AJ3280" t="str">
        <x:v>Management-only economics. Stripe stress test uses 1.5% + £0.20 standard UK online-card fee; pallet/mix-and-match pricing ignored.</x:v>
      </x:c>
    </x:row>
    <x:row r="3281">
      <x:c r="A3281" t="str">
        <x:v>Active Sports Nutrition</x:v>
      </x:c>
      <x:c r="B3281" t="str">
        <x:v>Per4m Nutrition</x:v>
      </x:c>
      <x:c r="C3281" t="str">
        <x:v>Creatine Sherbet</x:v>
      </x:c>
      <x:c r="D3281" t="str">
        <x:v>Supplements</x:v>
      </x:c>
      <x:c r="E3281" t="str">
        <x:v>Creatine Powders</x:v>
      </x:c>
      <x:c r="F3281" t="str"/>
      <x:c r="G3281" t="str">
        <x:v>310g</x:v>
      </x:c>
      <x:c r="H3281" t="str">
        <x:v>Fizzy Bubblegum Bottles</x:v>
      </x:c>
      <x:c r="I3281" t="str"/>
      <x:c r="J3281" t="str">
        <x:v>Unit</x:v>
      </x:c>
      <x:c r="K3281" t="str">
        <x:v>Out of stock</x:v>
      </x:c>
      <x:c r="L3281" t="str">
        <x:v>2026-09-08</x:v>
      </x:c>
      <x:c r="M3281" t="str"/>
      <x:c r="N3281" t="str"/>
      <x:c r="O3281" t="str">
        <x:v>https://www.activesportstrade.co.uk/Creatine-Powders-Trade</x:v>
      </x:c>
      <x:c r="P3281" t="str">
        <x:v>Completes current matrix alongside existing Cherry Fizz row.</x:v>
      </x:c>
      <x:c r="Q3281" t="str"/>
      <x:c r="R3281" t="str"/>
      <x:c r="S3281" t="str">
        <x:v>Pending genuine supplier/brand image</x:v>
      </x:c>
      <x:c r="T3281" s="54" t="n">
        <x:v>9.99</x:v>
      </x:c>
      <x:c r="U3281" s="47" t="n">
        <x:v>0.2</x:v>
      </x:c>
      <x:c r="V3281" s="54" t="n">
        <x:f>IF(ISNUMBER(T3281),T3281*(1+U3281),"")</x:f>
        <x:v>11.988</x:v>
      </x:c>
      <x:c r="W3281" s="47" t="n">
        <x:v>0.3</x:v>
      </x:c>
      <x:c r="X3281" s="54" t="n">
        <x:f>IF(ISNUMBER(V3281),V3281/(1-W3281),"")</x:f>
        <x:v>17.125714285714285</x:v>
      </x:c>
      <x:c r="Y3281" s="55" t="n">
        <x:f>IF(ISNUMBER(X3281),ROUNDUP(X3281,0),"")</x:f>
        <x:v>18</x:v>
      </x:c>
      <x:c r="Z3281" t="str">
        <x:v>Source match pending</x:v>
      </x:c>
      <x:c r="AA3281" t="str">
        <x:v>screencapture-www-activesportstrade-co-uk-per4m-nutrition-trade-2026-09-10-09_06_42.pdf / page-03</x:v>
      </x:c>
      <x:c r="AB3281" s="36" t="n">
        <x:f>IF(ISNUMBER(Y3281),ROUND(Y3281*0.9,2),"")</x:f>
        <x:v>16.2</x:v>
      </x:c>
      <x:c r="AC3281" s="36" t="n">
        <x:f>IF(ISNUMBER(AB3281),ROUND(AB3281-(AB3281*0.015+0.2)-V3281,2),"")</x:f>
        <x:v>3.77</x:v>
      </x:c>
      <x:c r="AD3281" s="36" t="n">
        <x:f>IF(ISNUMBER(Y3281),ROUND(Y3281*0.8,2),"")</x:f>
        <x:v>14.4</x:v>
      </x:c>
      <x:c r="AE3281" s="36" t="n">
        <x:f>IF(ISNUMBER(AD3281),ROUND(AD3281*0.015+0.2,2),"")</x:f>
        <x:v>0.42</x:v>
      </x:c>
      <x:c r="AF3281" s="36" t="n">
        <x:f>IF(ISNUMBER(AD3281),ROUND(AD3281-AE3281-V3281,2),"")</x:f>
        <x:v>1.99</x:v>
      </x:c>
      <x:c r="AG3281" t="str">
        <x:f>IF(NOT(ISNUMBER(T3281)),"PENDING",IF(AF3281&gt;0,"PASS","FAIL"))</x:f>
        <x:v>PASS</x:v>
      </x:c>
      <x:c r="AH3281" t="str">
        <x:f>IF(NOT(ISNUMBER(T3281)),"Needs supplier cost",IF(K3281&lt;&gt;"In stock","Supplier unavailable",IF(AG3281&lt;&gt;"PASS","BLOCK - GT loss risk","Commercially protected")))</x:f>
        <x:v>Supplier unavailable</x:v>
      </x:c>
      <x:c r="AI3281" t="str">
        <x:v>2026-09-10 Active Sports trade capture</x:v>
      </x:c>
      <x:c r="AJ3281" t="str">
        <x:v>Management-only economics. Stripe stress test uses 1.5% + £0.20 standard UK online-card fee; pallet/mix-and-match pricing ignored.</x:v>
      </x:c>
    </x:row>
    <x:row r="3282">
      <x:c r="A3282" t="str">
        <x:v>Active Sports Nutrition</x:v>
      </x:c>
      <x:c r="B3282" t="str">
        <x:v>Per4m Nutrition</x:v>
      </x:c>
      <x:c r="C3282" t="str">
        <x:v>Creatine Sherbet</x:v>
      </x:c>
      <x:c r="D3282" t="str">
        <x:v>Supplements</x:v>
      </x:c>
      <x:c r="E3282" t="str">
        <x:v>Creatine Powders</x:v>
      </x:c>
      <x:c r="F3282" t="str"/>
      <x:c r="G3282" t="str">
        <x:v>310g</x:v>
      </x:c>
      <x:c r="H3282" t="str">
        <x:v>Original</x:v>
      </x:c>
      <x:c r="I3282" t="str"/>
      <x:c r="J3282" t="str">
        <x:v>Unit</x:v>
      </x:c>
      <x:c r="K3282" t="str">
        <x:v>In stock</x:v>
      </x:c>
      <x:c r="L3282" t="str">
        <x:v>2026-09-08</x:v>
      </x:c>
      <x:c r="M3282" t="str"/>
      <x:c r="N3282" t="str"/>
      <x:c r="O3282" t="str">
        <x:v>https://www.activesportstrade.co.uk/Creatine-Powders-Trade</x:v>
      </x:c>
      <x:c r="P3282" t="str">
        <x:v>Completes current matrix alongside existing Cherry Fizz row.</x:v>
      </x:c>
      <x:c r="Q3282" t="str"/>
      <x:c r="R3282" t="str"/>
      <x:c r="S3282" t="str">
        <x:v>Pending genuine supplier/brand image</x:v>
      </x:c>
      <x:c r="T3282" s="54" t="n">
        <x:v>9.99</x:v>
      </x:c>
      <x:c r="U3282" s="47" t="n">
        <x:v>0.2</x:v>
      </x:c>
      <x:c r="V3282" s="54" t="n">
        <x:f>IF(ISNUMBER(T3282),T3282*(1+U3282),"")</x:f>
        <x:v>11.988</x:v>
      </x:c>
      <x:c r="W3282" s="47" t="n">
        <x:v>0.3</x:v>
      </x:c>
      <x:c r="X3282" s="54" t="n">
        <x:f>IF(ISNUMBER(V3282),V3282/(1-W3282),"")</x:f>
        <x:v>17.125714285714285</x:v>
      </x:c>
      <x:c r="Y3282" s="55" t="n">
        <x:f>IF(ISNUMBER(X3282),ROUNDUP(X3282,0),"")</x:f>
        <x:v>18</x:v>
      </x:c>
      <x:c r="Z3282" t="str">
        <x:v>Source match pending</x:v>
      </x:c>
      <x:c r="AA3282" t="str">
        <x:v>screencapture-www-activesportstrade-co-uk-per4m-nutrition-trade-2026-09-10-09_06_42.pdf / page-03</x:v>
      </x:c>
      <x:c r="AB3282" s="36" t="n">
        <x:f>IF(ISNUMBER(Y3282),ROUND(Y3282*0.9,2),"")</x:f>
        <x:v>16.2</x:v>
      </x:c>
      <x:c r="AC3282" s="36" t="n">
        <x:f>IF(ISNUMBER(AB3282),ROUND(AB3282-(AB3282*0.015+0.2)-V3282,2),"")</x:f>
        <x:v>3.77</x:v>
      </x:c>
      <x:c r="AD3282" s="36" t="n">
        <x:f>IF(ISNUMBER(Y3282),ROUND(Y3282*0.8,2),"")</x:f>
        <x:v>14.4</x:v>
      </x:c>
      <x:c r="AE3282" s="36" t="n">
        <x:f>IF(ISNUMBER(AD3282),ROUND(AD3282*0.015+0.2,2),"")</x:f>
        <x:v>0.42</x:v>
      </x:c>
      <x:c r="AF3282" s="36" t="n">
        <x:f>IF(ISNUMBER(AD3282),ROUND(AD3282-AE3282-V3282,2),"")</x:f>
        <x:v>1.99</x:v>
      </x:c>
      <x:c r="AG3282" t="str">
        <x:f>IF(NOT(ISNUMBER(T3282)),"PENDING",IF(AF3282&gt;0,"PASS","FAIL"))</x:f>
        <x:v>PASS</x:v>
      </x:c>
      <x:c r="AH3282" t="str">
        <x:f>IF(NOT(ISNUMBER(T3282)),"Needs supplier cost",IF(K3282&lt;&gt;"In stock","Supplier unavailable",IF(AG3282&lt;&gt;"PASS","BLOCK - GT loss risk","Commercially protected")))</x:f>
        <x:v>Commercially protected</x:v>
      </x:c>
      <x:c r="AI3282" t="str">
        <x:v>2026-09-10 Active Sports trade capture</x:v>
      </x:c>
      <x:c r="AJ3282" t="str">
        <x:v>Management-only economics. Stripe stress test uses 1.5% + £0.20 standard UK online-card fee; pallet/mix-and-match pricing ignored.</x:v>
      </x:c>
    </x:row>
    <x:row r="3283">
      <x:c r="A3283" t="str">
        <x:v>Active Sports Nutrition</x:v>
      </x:c>
      <x:c r="B3283" t="str">
        <x:v>Per4m Nutrition</x:v>
      </x:c>
      <x:c r="C3283" t="str">
        <x:v>Creatine Sherbet</x:v>
      </x:c>
      <x:c r="D3283" t="str">
        <x:v>Supplements</x:v>
      </x:c>
      <x:c r="E3283" t="str">
        <x:v>Creatine Powders</x:v>
      </x:c>
      <x:c r="F3283" t="str"/>
      <x:c r="G3283" t="str">
        <x:v>310g</x:v>
      </x:c>
      <x:c r="H3283" t="str">
        <x:v>Peach Sweets</x:v>
      </x:c>
      <x:c r="I3283" t="str"/>
      <x:c r="J3283" t="str">
        <x:v>Unit</x:v>
      </x:c>
      <x:c r="K3283" t="str">
        <x:v>In stock</x:v>
      </x:c>
      <x:c r="L3283" t="str">
        <x:v>2026-09-08</x:v>
      </x:c>
      <x:c r="M3283" t="str"/>
      <x:c r="N3283" t="str"/>
      <x:c r="O3283" t="str">
        <x:v>https://www.activesportstrade.co.uk/Creatine-Powders-Trade</x:v>
      </x:c>
      <x:c r="P3283" t="str">
        <x:v>Completes current matrix alongside existing Cherry Fizz row.</x:v>
      </x:c>
      <x:c r="Q3283" t="str"/>
      <x:c r="R3283" t="str"/>
      <x:c r="S3283" t="str">
        <x:v>Pending genuine supplier/brand image</x:v>
      </x:c>
      <x:c r="T3283" s="54" t="n">
        <x:v>9.99</x:v>
      </x:c>
      <x:c r="U3283" s="47" t="n">
        <x:v>0.2</x:v>
      </x:c>
      <x:c r="V3283" s="54" t="n">
        <x:f>IF(ISNUMBER(T3283),T3283*(1+U3283),"")</x:f>
        <x:v>11.988</x:v>
      </x:c>
      <x:c r="W3283" s="47" t="n">
        <x:v>0.3</x:v>
      </x:c>
      <x:c r="X3283" s="54" t="n">
        <x:f>IF(ISNUMBER(V3283),V3283/(1-W3283),"")</x:f>
        <x:v>17.125714285714285</x:v>
      </x:c>
      <x:c r="Y3283" s="55" t="n">
        <x:f>IF(ISNUMBER(X3283),ROUNDUP(X3283,0),"")</x:f>
        <x:v>18</x:v>
      </x:c>
      <x:c r="Z3283" t="str">
        <x:v>Source match pending</x:v>
      </x:c>
      <x:c r="AA3283" t="str">
        <x:v>screencapture-www-activesportstrade-co-uk-per4m-nutrition-trade-2026-09-10-09_06_42.pdf / page-03</x:v>
      </x:c>
      <x:c r="AB3283" s="36" t="n">
        <x:f>IF(ISNUMBER(Y3283),ROUND(Y3283*0.9,2),"")</x:f>
        <x:v>16.2</x:v>
      </x:c>
      <x:c r="AC3283" s="36" t="n">
        <x:f>IF(ISNUMBER(AB3283),ROUND(AB3283-(AB3283*0.015+0.2)-V3283,2),"")</x:f>
        <x:v>3.77</x:v>
      </x:c>
      <x:c r="AD3283" s="36" t="n">
        <x:f>IF(ISNUMBER(Y3283),ROUND(Y3283*0.8,2),"")</x:f>
        <x:v>14.4</x:v>
      </x:c>
      <x:c r="AE3283" s="36" t="n">
        <x:f>IF(ISNUMBER(AD3283),ROUND(AD3283*0.015+0.2,2),"")</x:f>
        <x:v>0.42</x:v>
      </x:c>
      <x:c r="AF3283" s="36" t="n">
        <x:f>IF(ISNUMBER(AD3283),ROUND(AD3283-AE3283-V3283,2),"")</x:f>
        <x:v>1.99</x:v>
      </x:c>
      <x:c r="AG3283" t="str">
        <x:f>IF(NOT(ISNUMBER(T3283)),"PENDING",IF(AF3283&gt;0,"PASS","FAIL"))</x:f>
        <x:v>PASS</x:v>
      </x:c>
      <x:c r="AH3283" t="str">
        <x:f>IF(NOT(ISNUMBER(T3283)),"Needs supplier cost",IF(K3283&lt;&gt;"In stock","Supplier unavailable",IF(AG3283&lt;&gt;"PASS","BLOCK - GT loss risk","Commercially protected")))</x:f>
        <x:v>Commercially protected</x:v>
      </x:c>
      <x:c r="AI3283" t="str">
        <x:v>2026-09-10 Active Sports trade capture</x:v>
      </x:c>
      <x:c r="AJ3283" t="str">
        <x:v>Management-only economics. Stripe stress test uses 1.5% + £0.20 standard UK online-card fee; pallet/mix-and-match pricing ignored.</x:v>
      </x:c>
    </x:row>
    <x:row r="3284">
      <x:c r="A3284" t="str">
        <x:v>Active Sports Nutrition</x:v>
      </x:c>
      <x:c r="B3284" t="str">
        <x:v>Per4m Nutrition</x:v>
      </x:c>
      <x:c r="C3284" t="str">
        <x:v>Creatine Sherbet</x:v>
      </x:c>
      <x:c r="D3284" t="str">
        <x:v>Supplements</x:v>
      </x:c>
      <x:c r="E3284" t="str">
        <x:v>Creatine Powders</x:v>
      </x:c>
      <x:c r="F3284" t="str"/>
      <x:c r="G3284" t="str">
        <x:v>310g</x:v>
      </x:c>
      <x:c r="H3284" t="str">
        <x:v>Rainbow Candy</x:v>
      </x:c>
      <x:c r="I3284" t="str"/>
      <x:c r="J3284" t="str">
        <x:v>Unit</x:v>
      </x:c>
      <x:c r="K3284" t="str">
        <x:v>Out of stock</x:v>
      </x:c>
      <x:c r="L3284" t="str">
        <x:v>2026-09-08</x:v>
      </x:c>
      <x:c r="M3284" t="str"/>
      <x:c r="N3284" t="str"/>
      <x:c r="O3284" t="str">
        <x:v>https://www.activesportstrade.co.uk/Creatine-Powders-Trade</x:v>
      </x:c>
      <x:c r="P3284" t="str">
        <x:v>Completes current matrix alongside existing Cherry Fizz row.</x:v>
      </x:c>
      <x:c r="Q3284" t="str"/>
      <x:c r="R3284" t="str"/>
      <x:c r="S3284" t="str">
        <x:v>Pending genuine supplier/brand image</x:v>
      </x:c>
      <x:c r="T3284" s="54" t="n">
        <x:v>9.99</x:v>
      </x:c>
      <x:c r="U3284" s="47" t="n">
        <x:v>0.2</x:v>
      </x:c>
      <x:c r="V3284" s="54" t="n">
        <x:f>IF(ISNUMBER(T3284),T3284*(1+U3284),"")</x:f>
        <x:v>11.988</x:v>
      </x:c>
      <x:c r="W3284" s="47" t="n">
        <x:v>0.3</x:v>
      </x:c>
      <x:c r="X3284" s="54" t="n">
        <x:f>IF(ISNUMBER(V3284),V3284/(1-W3284),"")</x:f>
        <x:v>17.125714285714285</x:v>
      </x:c>
      <x:c r="Y3284" s="55" t="n">
        <x:f>IF(ISNUMBER(X3284),ROUNDUP(X3284,0),"")</x:f>
        <x:v>18</x:v>
      </x:c>
      <x:c r="Z3284" t="str">
        <x:v>Source match pending</x:v>
      </x:c>
      <x:c r="AA3284" t="str">
        <x:v>screencapture-www-activesportstrade-co-uk-per4m-nutrition-trade-2026-09-10-09_06_42.pdf / page-03</x:v>
      </x:c>
      <x:c r="AB3284" s="36" t="n">
        <x:f>IF(ISNUMBER(Y3284),ROUND(Y3284*0.9,2),"")</x:f>
        <x:v>16.2</x:v>
      </x:c>
      <x:c r="AC3284" s="36" t="n">
        <x:f>IF(ISNUMBER(AB3284),ROUND(AB3284-(AB3284*0.015+0.2)-V3284,2),"")</x:f>
        <x:v>3.77</x:v>
      </x:c>
      <x:c r="AD3284" s="36" t="n">
        <x:f>IF(ISNUMBER(Y3284),ROUND(Y3284*0.8,2),"")</x:f>
        <x:v>14.4</x:v>
      </x:c>
      <x:c r="AE3284" s="36" t="n">
        <x:f>IF(ISNUMBER(AD3284),ROUND(AD3284*0.015+0.2,2),"")</x:f>
        <x:v>0.42</x:v>
      </x:c>
      <x:c r="AF3284" s="36" t="n">
        <x:f>IF(ISNUMBER(AD3284),ROUND(AD3284-AE3284-V3284,2),"")</x:f>
        <x:v>1.99</x:v>
      </x:c>
      <x:c r="AG3284" t="str">
        <x:f>IF(NOT(ISNUMBER(T3284)),"PENDING",IF(AF3284&gt;0,"PASS","FAIL"))</x:f>
        <x:v>PASS</x:v>
      </x:c>
      <x:c r="AH3284" t="str">
        <x:f>IF(NOT(ISNUMBER(T3284)),"Needs supplier cost",IF(K3284&lt;&gt;"In stock","Supplier unavailable",IF(AG3284&lt;&gt;"PASS","BLOCK - GT loss risk","Commercially protected")))</x:f>
        <x:v>Supplier unavailable</x:v>
      </x:c>
      <x:c r="AI3284" t="str">
        <x:v>2026-09-10 Active Sports trade capture</x:v>
      </x:c>
      <x:c r="AJ3284" t="str">
        <x:v>Management-only economics. Stripe stress test uses 1.5% + £0.20 standard UK online-card fee; pallet/mix-and-match pricing ignored.</x:v>
      </x:c>
    </x:row>
    <x:row r="3285">
      <x:c r="A3285" t="str">
        <x:v>Active Sports Nutrition</x:v>
      </x:c>
      <x:c r="B3285" t="str">
        <x:v>Applied Nutrition</x:v>
      </x:c>
      <x:c r="C3285" t="str">
        <x:v>Hydration +</x:v>
      </x:c>
      <x:c r="D3285" t="str">
        <x:v>Supplements</x:v>
      </x:c>
      <x:c r="E3285" t="str">
        <x:v>Hydration</x:v>
      </x:c>
      <x:c r="F3285" t="str"/>
      <x:c r="G3285" t="str">
        <x:v>240g</x:v>
      </x:c>
      <x:c r="H3285" t="str">
        <x:v>Blue Raspberry</x:v>
      </x:c>
      <x:c r="I3285" t="str"/>
      <x:c r="J3285" t="str">
        <x:v>Unit</x:v>
      </x:c>
      <x:c r="K3285" t="str">
        <x:v>In stock</x:v>
      </x:c>
      <x:c r="L3285" t="str">
        <x:v>2026-09-08</x:v>
      </x:c>
      <x:c r="M3285" t="str"/>
      <x:c r="N3285" t="str"/>
      <x:c r="O3285" t="str">
        <x:v>https://www.activesportstrade.co.uk/trade-sports-supplements</x:v>
      </x:c>
      <x:c r="P3285" t="str">
        <x:v>FREE LIFESTYLE WATER BOTTLE wording stripped. Expired BBE 07/26 duplicate promo line not added as ordinary variant.</x:v>
      </x:c>
      <x:c r="Q3285" t="str"/>
      <x:c r="R3285" t="str"/>
      <x:c r="S3285" t="str">
        <x:v>Pending genuine supplier/brand image</x:v>
      </x:c>
      <x:c r="T3285" s="54" t="n">
        <x:v>10.95</x:v>
      </x:c>
      <x:c r="U3285" s="47" t="n">
        <x:v>0.2</x:v>
      </x:c>
      <x:c r="V3285" s="54" t="n">
        <x:f>IF(ISNUMBER(T3285),T3285*(1+U3285),"")</x:f>
        <x:v>13.139999999999999</x:v>
      </x:c>
      <x:c r="W3285" s="47" t="n">
        <x:v>0.3</x:v>
      </x:c>
      <x:c r="X3285" s="54" t="n">
        <x:f>IF(ISNUMBER(V3285),V3285/(1-W3285),"")</x:f>
        <x:v>18.771428571428572</x:v>
      </x:c>
      <x:c r="Y3285" s="55" t="n">
        <x:f>IF(ISNUMBER(X3285),ROUNDUP(X3285,0),"")</x:f>
        <x:v>19</x:v>
      </x:c>
      <x:c r="Z3285" t="str">
        <x:v>Source match pending</x:v>
      </x:c>
      <x:c r="AA3285" t="str">
        <x:v>screencapture-www-activesportstrade-co-uk-applied-nutrition-trade-2026-09-10-08_59_59.pdf / page-13</x:v>
      </x:c>
      <x:c r="AB3285" s="36" t="n">
        <x:f>IF(ISNUMBER(Y3285),ROUND(Y3285*0.9,2),"")</x:f>
        <x:v>17.1</x:v>
      </x:c>
      <x:c r="AC3285" s="36" t="n">
        <x:f>IF(ISNUMBER(AB3285),ROUND(AB3285-(AB3285*0.015+0.2)-V3285,2),"")</x:f>
        <x:v>3.5</x:v>
      </x:c>
      <x:c r="AD3285" s="36" t="n">
        <x:f>IF(ISNUMBER(Y3285),ROUND(Y3285*0.8,2),"")</x:f>
        <x:v>15.2</x:v>
      </x:c>
      <x:c r="AE3285" s="36" t="n">
        <x:f>IF(ISNUMBER(AD3285),ROUND(AD3285*0.015+0.2,2),"")</x:f>
        <x:v>0.43</x:v>
      </x:c>
      <x:c r="AF3285" s="36" t="n">
        <x:f>IF(ISNUMBER(AD3285),ROUND(AD3285-AE3285-V3285,2),"")</x:f>
        <x:v>1.63</x:v>
      </x:c>
      <x:c r="AG3285" t="str">
        <x:f>IF(NOT(ISNUMBER(T3285)),"PENDING",IF(AF3285&gt;0,"PASS","FAIL"))</x:f>
        <x:v>PASS</x:v>
      </x:c>
      <x:c r="AH3285" t="str">
        <x:f>IF(NOT(ISNUMBER(T3285)),"Needs supplier cost",IF(K3285&lt;&gt;"In stock","Supplier unavailable",IF(AG3285&lt;&gt;"PASS","BLOCK - GT loss risk","Commercially protected")))</x:f>
        <x:v>Commercially protected</x:v>
      </x:c>
      <x:c r="AI3285" t="str">
        <x:v>2026-09-10 Active Sports trade capture</x:v>
      </x:c>
      <x:c r="AJ3285" t="str">
        <x:v>Management-only economics. Stripe stress test uses 1.5% + £0.20 standard UK online-card fee; pallet/mix-and-match pricing ignored.</x:v>
      </x:c>
    </x:row>
    <x:row r="3286">
      <x:c r="A3286" t="str">
        <x:v>Active Sports Nutrition</x:v>
      </x:c>
      <x:c r="B3286" t="str">
        <x:v>Applied Nutrition</x:v>
      </x:c>
      <x:c r="C3286" t="str">
        <x:v>Hydration +</x:v>
      </x:c>
      <x:c r="D3286" t="str">
        <x:v>Supplements</x:v>
      </x:c>
      <x:c r="E3286" t="str">
        <x:v>Hydration</x:v>
      </x:c>
      <x:c r="F3286" t="str"/>
      <x:c r="G3286" t="str">
        <x:v>240g</x:v>
      </x:c>
      <x:c r="H3286" t="str">
        <x:v>Lemon &amp; Lime</x:v>
      </x:c>
      <x:c r="I3286" t="str"/>
      <x:c r="J3286" t="str">
        <x:v>Unit</x:v>
      </x:c>
      <x:c r="K3286" t="str">
        <x:v>In stock</x:v>
      </x:c>
      <x:c r="L3286" t="str">
        <x:v>2026-09-08</x:v>
      </x:c>
      <x:c r="M3286" t="str"/>
      <x:c r="N3286" t="str"/>
      <x:c r="O3286" t="str">
        <x:v>https://www.activesportstrade.co.uk/trade-sports-supplements</x:v>
      </x:c>
      <x:c r="P3286" t="str">
        <x:v>FREE LIFESTYLE WATER BOTTLE wording stripped. Expired BBE 07/26 duplicate promo line not added as ordinary variant.</x:v>
      </x:c>
      <x:c r="Q3286" t="str"/>
      <x:c r="R3286" t="str"/>
      <x:c r="S3286" t="str">
        <x:v>Pending genuine supplier/brand image</x:v>
      </x:c>
      <x:c r="T3286" s="54" t="n">
        <x:v>10.95</x:v>
      </x:c>
      <x:c r="U3286" s="47" t="n">
        <x:v>0.2</x:v>
      </x:c>
      <x:c r="V3286" s="54" t="n">
        <x:f>IF(ISNUMBER(T3286),T3286*(1+U3286),"")</x:f>
        <x:v>13.139999999999999</x:v>
      </x:c>
      <x:c r="W3286" s="47" t="n">
        <x:v>0.3</x:v>
      </x:c>
      <x:c r="X3286" s="54" t="n">
        <x:f>IF(ISNUMBER(V3286),V3286/(1-W3286),"")</x:f>
        <x:v>18.771428571428572</x:v>
      </x:c>
      <x:c r="Y3286" s="55" t="n">
        <x:f>IF(ISNUMBER(X3286),ROUNDUP(X3286,0),"")</x:f>
        <x:v>19</x:v>
      </x:c>
      <x:c r="Z3286" t="str">
        <x:v>Source match pending</x:v>
      </x:c>
      <x:c r="AA3286" t="str">
        <x:v>screencapture-www-activesportstrade-co-uk-applied-nutrition-trade-2026-09-10-08_59_59.pdf / page-13</x:v>
      </x:c>
      <x:c r="AB3286" s="36" t="n">
        <x:f>IF(ISNUMBER(Y3286),ROUND(Y3286*0.9,2),"")</x:f>
        <x:v>17.1</x:v>
      </x:c>
      <x:c r="AC3286" s="36" t="n">
        <x:f>IF(ISNUMBER(AB3286),ROUND(AB3286-(AB3286*0.015+0.2)-V3286,2),"")</x:f>
        <x:v>3.5</x:v>
      </x:c>
      <x:c r="AD3286" s="36" t="n">
        <x:f>IF(ISNUMBER(Y3286),ROUND(Y3286*0.8,2),"")</x:f>
        <x:v>15.2</x:v>
      </x:c>
      <x:c r="AE3286" s="36" t="n">
        <x:f>IF(ISNUMBER(AD3286),ROUND(AD3286*0.015+0.2,2),"")</x:f>
        <x:v>0.43</x:v>
      </x:c>
      <x:c r="AF3286" s="36" t="n">
        <x:f>IF(ISNUMBER(AD3286),ROUND(AD3286-AE3286-V3286,2),"")</x:f>
        <x:v>1.63</x:v>
      </x:c>
      <x:c r="AG3286" t="str">
        <x:f>IF(NOT(ISNUMBER(T3286)),"PENDING",IF(AF3286&gt;0,"PASS","FAIL"))</x:f>
        <x:v>PASS</x:v>
      </x:c>
      <x:c r="AH3286" t="str">
        <x:f>IF(NOT(ISNUMBER(T3286)),"Needs supplier cost",IF(K3286&lt;&gt;"In stock","Supplier unavailable",IF(AG3286&lt;&gt;"PASS","BLOCK - GT loss risk","Commercially protected")))</x:f>
        <x:v>Commercially protected</x:v>
      </x:c>
      <x:c r="AI3286" t="str">
        <x:v>2026-09-10 Active Sports trade capture</x:v>
      </x:c>
      <x:c r="AJ3286" t="str">
        <x:v>Management-only economics. Stripe stress test uses 1.5% + £0.20 standard UK online-card fee; pallet/mix-and-match pricing ignored.</x:v>
      </x:c>
    </x:row>
    <x:row r="3287">
      <x:c r="A3287" t="str">
        <x:v>Active Sports Nutrition</x:v>
      </x:c>
      <x:c r="B3287" t="str">
        <x:v>Applied Nutrition</x:v>
      </x:c>
      <x:c r="C3287" t="str">
        <x:v>Hydration +</x:v>
      </x:c>
      <x:c r="D3287" t="str">
        <x:v>Supplements</x:v>
      </x:c>
      <x:c r="E3287" t="str">
        <x:v>Hydration</x:v>
      </x:c>
      <x:c r="F3287" t="str"/>
      <x:c r="G3287" t="str">
        <x:v>240g</x:v>
      </x:c>
      <x:c r="H3287" t="str">
        <x:v>Strawberry Raspberry</x:v>
      </x:c>
      <x:c r="I3287" t="str"/>
      <x:c r="J3287" t="str">
        <x:v>Unit</x:v>
      </x:c>
      <x:c r="K3287" t="str">
        <x:v>In stock</x:v>
      </x:c>
      <x:c r="L3287" t="str">
        <x:v>2026-09-08</x:v>
      </x:c>
      <x:c r="M3287" t="str"/>
      <x:c r="N3287" t="str"/>
      <x:c r="O3287" t="str">
        <x:v>https://www.activesportstrade.co.uk/trade-sports-supplements</x:v>
      </x:c>
      <x:c r="P3287" t="str">
        <x:v>FREE LIFESTYLE WATER BOTTLE wording stripped. Expired BBE 07/26 duplicate promo line not added as ordinary variant.</x:v>
      </x:c>
      <x:c r="Q3287" t="str"/>
      <x:c r="R3287" t="str"/>
      <x:c r="S3287" t="str">
        <x:v>Pending genuine supplier/brand image</x:v>
      </x:c>
      <x:c r="T3287" s="54" t="n">
        <x:v>10.95</x:v>
      </x:c>
      <x:c r="U3287" s="47" t="n">
        <x:v>0.2</x:v>
      </x:c>
      <x:c r="V3287" s="54" t="n">
        <x:f>IF(ISNUMBER(T3287),T3287*(1+U3287),"")</x:f>
        <x:v>13.139999999999999</x:v>
      </x:c>
      <x:c r="W3287" s="47" t="n">
        <x:v>0.3</x:v>
      </x:c>
      <x:c r="X3287" s="54" t="n">
        <x:f>IF(ISNUMBER(V3287),V3287/(1-W3287),"")</x:f>
        <x:v>18.771428571428572</x:v>
      </x:c>
      <x:c r="Y3287" s="55" t="n">
        <x:f>IF(ISNUMBER(X3287),ROUNDUP(X3287,0),"")</x:f>
        <x:v>19</x:v>
      </x:c>
      <x:c r="Z3287" t="str">
        <x:v>Source match pending</x:v>
      </x:c>
      <x:c r="AA3287" t="str">
        <x:v>screencapture-www-activesportstrade-co-uk-applied-nutrition-trade-2026-09-10-08_59_59.pdf / page-13</x:v>
      </x:c>
      <x:c r="AB3287" s="36" t="n">
        <x:f>IF(ISNUMBER(Y3287),ROUND(Y3287*0.9,2),"")</x:f>
        <x:v>17.1</x:v>
      </x:c>
      <x:c r="AC3287" s="36" t="n">
        <x:f>IF(ISNUMBER(AB3287),ROUND(AB3287-(AB3287*0.015+0.2)-V3287,2),"")</x:f>
        <x:v>3.5</x:v>
      </x:c>
      <x:c r="AD3287" s="36" t="n">
        <x:f>IF(ISNUMBER(Y3287),ROUND(Y3287*0.8,2),"")</x:f>
        <x:v>15.2</x:v>
      </x:c>
      <x:c r="AE3287" s="36" t="n">
        <x:f>IF(ISNUMBER(AD3287),ROUND(AD3287*0.015+0.2,2),"")</x:f>
        <x:v>0.43</x:v>
      </x:c>
      <x:c r="AF3287" s="36" t="n">
        <x:f>IF(ISNUMBER(AD3287),ROUND(AD3287-AE3287-V3287,2),"")</x:f>
        <x:v>1.63</x:v>
      </x:c>
      <x:c r="AG3287" t="str">
        <x:f>IF(NOT(ISNUMBER(T3287)),"PENDING",IF(AF3287&gt;0,"PASS","FAIL"))</x:f>
        <x:v>PASS</x:v>
      </x:c>
      <x:c r="AH3287" t="str">
        <x:f>IF(NOT(ISNUMBER(T3287)),"Needs supplier cost",IF(K3287&lt;&gt;"In stock","Supplier unavailable",IF(AG3287&lt;&gt;"PASS","BLOCK - GT loss risk","Commercially protected")))</x:f>
        <x:v>Commercially protected</x:v>
      </x:c>
      <x:c r="AI3287" t="str">
        <x:v>2026-09-10 Active Sports trade capture</x:v>
      </x:c>
      <x:c r="AJ3287" t="str">
        <x:v>Management-only economics. Stripe stress test uses 1.5% + £0.20 standard UK online-card fee; pallet/mix-and-match pricing ignored.</x:v>
      </x:c>
    </x:row>
    <x:row r="3288">
      <x:c r="A3288" t="str">
        <x:v>Active Sports Nutrition</x:v>
      </x:c>
      <x:c r="B3288" t="str">
        <x:v>Applied Nutrition</x:v>
      </x:c>
      <x:c r="C3288" t="str">
        <x:v>Hydration +</x:v>
      </x:c>
      <x:c r="D3288" t="str">
        <x:v>Supplements</x:v>
      </x:c>
      <x:c r="E3288" t="str">
        <x:v>Hydration</x:v>
      </x:c>
      <x:c r="F3288" t="str"/>
      <x:c r="G3288" t="str">
        <x:v>240g</x:v>
      </x:c>
      <x:c r="H3288" t="str">
        <x:v>Tropical Vibes</x:v>
      </x:c>
      <x:c r="I3288" t="str"/>
      <x:c r="J3288" t="str">
        <x:v>Unit</x:v>
      </x:c>
      <x:c r="K3288" t="str">
        <x:v>In stock</x:v>
      </x:c>
      <x:c r="L3288" t="str">
        <x:v>2026-09-08</x:v>
      </x:c>
      <x:c r="M3288" t="str"/>
      <x:c r="N3288" t="str"/>
      <x:c r="O3288" t="str">
        <x:v>https://www.activesportstrade.co.uk/trade-sports-supplements</x:v>
      </x:c>
      <x:c r="P3288" t="str">
        <x:v>FREE LIFESTYLE WATER BOTTLE wording stripped. Expired BBE 07/26 duplicate promo line not added as ordinary variant.</x:v>
      </x:c>
      <x:c r="Q3288" t="str"/>
      <x:c r="R3288" t="str"/>
      <x:c r="S3288" t="str">
        <x:v>Pending genuine supplier/brand image</x:v>
      </x:c>
      <x:c r="T3288" s="54" t="n">
        <x:v>10.95</x:v>
      </x:c>
      <x:c r="U3288" s="47" t="n">
        <x:v>0.2</x:v>
      </x:c>
      <x:c r="V3288" s="54" t="n">
        <x:f>IF(ISNUMBER(T3288),T3288*(1+U3288),"")</x:f>
        <x:v>13.139999999999999</x:v>
      </x:c>
      <x:c r="W3288" s="47" t="n">
        <x:v>0.3</x:v>
      </x:c>
      <x:c r="X3288" s="54" t="n">
        <x:f>IF(ISNUMBER(V3288),V3288/(1-W3288),"")</x:f>
        <x:v>18.771428571428572</x:v>
      </x:c>
      <x:c r="Y3288" s="55" t="n">
        <x:f>IF(ISNUMBER(X3288),ROUNDUP(X3288,0),"")</x:f>
        <x:v>19</x:v>
      </x:c>
      <x:c r="Z3288" t="str">
        <x:v>Source match pending</x:v>
      </x:c>
      <x:c r="AA3288" t="str">
        <x:v>screencapture-www-activesportstrade-co-uk-applied-nutrition-trade-2026-09-10-08_59_59.pdf / page-13</x:v>
      </x:c>
      <x:c r="AB3288" s="36" t="n">
        <x:f>IF(ISNUMBER(Y3288),ROUND(Y3288*0.9,2),"")</x:f>
        <x:v>17.1</x:v>
      </x:c>
      <x:c r="AC3288" s="36" t="n">
        <x:f>IF(ISNUMBER(AB3288),ROUND(AB3288-(AB3288*0.015+0.2)-V3288,2),"")</x:f>
        <x:v>3.5</x:v>
      </x:c>
      <x:c r="AD3288" s="36" t="n">
        <x:f>IF(ISNUMBER(Y3288),ROUND(Y3288*0.8,2),"")</x:f>
        <x:v>15.2</x:v>
      </x:c>
      <x:c r="AE3288" s="36" t="n">
        <x:f>IF(ISNUMBER(AD3288),ROUND(AD3288*0.015+0.2,2),"")</x:f>
        <x:v>0.43</x:v>
      </x:c>
      <x:c r="AF3288" s="36" t="n">
        <x:f>IF(ISNUMBER(AD3288),ROUND(AD3288-AE3288-V3288,2),"")</x:f>
        <x:v>1.63</x:v>
      </x:c>
      <x:c r="AG3288" t="str">
        <x:f>IF(NOT(ISNUMBER(T3288)),"PENDING",IF(AF3288&gt;0,"PASS","FAIL"))</x:f>
        <x:v>PASS</x:v>
      </x:c>
      <x:c r="AH3288" t="str">
        <x:f>IF(NOT(ISNUMBER(T3288)),"Needs supplier cost",IF(K3288&lt;&gt;"In stock","Supplier unavailable",IF(AG3288&lt;&gt;"PASS","BLOCK - GT loss risk","Commercially protected")))</x:f>
        <x:v>Commercially protected</x:v>
      </x:c>
      <x:c r="AI3288" t="str">
        <x:v>2026-09-10 Active Sports trade capture</x:v>
      </x:c>
      <x:c r="AJ3288" t="str">
        <x:v>Management-only economics. Stripe stress test uses 1.5% + £0.20 standard UK online-card fee; pallet/mix-and-match pricing ignored.</x:v>
      </x:c>
    </x:row>
    <x:row r="3289">
      <x:c r="A3289" t="str">
        <x:v>Active Sports Nutrition</x:v>
      </x:c>
      <x:c r="B3289" t="str">
        <x:v>Applied Nutrition</x:v>
      </x:c>
      <x:c r="C3289" t="str">
        <x:v>Hydration Sticks</x:v>
      </x:c>
      <x:c r="D3289" t="str">
        <x:v>Supplements</x:v>
      </x:c>
      <x:c r="E3289" t="str">
        <x:v>Hydration</x:v>
      </x:c>
      <x:c r="F3289" t="str"/>
      <x:c r="G3289" t="str">
        <x:v>7 x 8g</x:v>
      </x:c>
      <x:c r="H3289" t="str">
        <x:v>Blue Raspberry</x:v>
      </x:c>
      <x:c r="I3289" t="str">
        <x:v>7</x:v>
      </x:c>
      <x:c r="J3289" t="str">
        <x:v>Box</x:v>
      </x:c>
      <x:c r="K3289" t="str">
        <x:v>In stock</x:v>
      </x:c>
      <x:c r="L3289" t="str">
        <x:v>2026-09-08</x:v>
      </x:c>
      <x:c r="M3289" t="str"/>
      <x:c r="N3289" t="str"/>
      <x:c r="O3289" t="str">
        <x:v>https://www.activesportstrade.co.uk/trade-sports-supplements</x:v>
      </x:c>
      <x:c r="P3289" t="str">
        <x:v>10% OFF wording stripped; exact current stick flavours aligned to Hydration+ family where explicitly listed.</x:v>
      </x:c>
      <x:c r="Q3289" t="str"/>
      <x:c r="R3289" t="str"/>
      <x:c r="S3289" t="str">
        <x:v>Pending genuine supplier/brand image</x:v>
      </x:c>
      <x:c r="T3289" s="54" t="n">
        <x:v>4.49</x:v>
      </x:c>
      <x:c r="U3289" s="47" t="n">
        <x:v>0.2</x:v>
      </x:c>
      <x:c r="V3289" s="54" t="n">
        <x:f>IF(ISNUMBER(T3289),T3289*(1+U3289),"")</x:f>
        <x:v>5.388</x:v>
      </x:c>
      <x:c r="W3289" s="47" t="n">
        <x:v>0.3</x:v>
      </x:c>
      <x:c r="X3289" s="54" t="n">
        <x:f>IF(ISNUMBER(V3289),V3289/(1-W3289),"")</x:f>
        <x:v>7.6971428571428575</x:v>
      </x:c>
      <x:c r="Y3289" s="55" t="n">
        <x:f>IF(ISNUMBER(X3289),ROUNDUP(X3289,0),"")</x:f>
        <x:v>8</x:v>
      </x:c>
      <x:c r="Z3289" t="str">
        <x:v>Source match pending</x:v>
      </x:c>
      <x:c r="AA3289" t="str">
        <x:v>screencapture-www-activesportstrade-co-uk-applied-nutrition-trade-2026-09-10-08_59_59.pdf / page-13</x:v>
      </x:c>
      <x:c r="AB3289" s="36" t="n">
        <x:f>IF(ISNUMBER(Y3289),ROUND(Y3289*0.9,2),"")</x:f>
        <x:v>7.2</x:v>
      </x:c>
      <x:c r="AC3289" s="36" t="n">
        <x:f>IF(ISNUMBER(AB3289),ROUND(AB3289-(AB3289*0.015+0.2)-V3289,2),"")</x:f>
        <x:v>1.5</x:v>
      </x:c>
      <x:c r="AD3289" s="36" t="n">
        <x:f>IF(ISNUMBER(Y3289),ROUND(Y3289*0.8,2),"")</x:f>
        <x:v>6.4</x:v>
      </x:c>
      <x:c r="AE3289" s="36" t="n">
        <x:f>IF(ISNUMBER(AD3289),ROUND(AD3289*0.015+0.2,2),"")</x:f>
        <x:v>0.3</x:v>
      </x:c>
      <x:c r="AF3289" s="36" t="n">
        <x:f>IF(ISNUMBER(AD3289),ROUND(AD3289-AE3289-V3289,2),"")</x:f>
        <x:v>0.71</x:v>
      </x:c>
      <x:c r="AG3289" t="str">
        <x:f>IF(NOT(ISNUMBER(T3289)),"PENDING",IF(AF3289&gt;0,"PASS","FAIL"))</x:f>
        <x:v>PASS</x:v>
      </x:c>
      <x:c r="AH3289" t="str">
        <x:f>IF(NOT(ISNUMBER(T3289)),"Needs supplier cost",IF(K3289&lt;&gt;"In stock","Supplier unavailable",IF(AG3289&lt;&gt;"PASS","BLOCK - GT loss risk","Commercially protected")))</x:f>
        <x:v>Commercially protected</x:v>
      </x:c>
      <x:c r="AI3289" t="str">
        <x:v>2026-09-10 Active Sports trade capture</x:v>
      </x:c>
      <x:c r="AJ3289" t="str">
        <x:v>Management-only economics. Stripe stress test uses 1.5% + £0.20 standard UK online-card fee; pallet/mix-and-match pricing ignored.</x:v>
      </x:c>
    </x:row>
    <x:row r="3290">
      <x:c r="A3290" t="str">
        <x:v>Active Sports Nutrition</x:v>
      </x:c>
      <x:c r="B3290" t="str">
        <x:v>Applied Nutrition</x:v>
      </x:c>
      <x:c r="C3290" t="str">
        <x:v>Hydration Sticks</x:v>
      </x:c>
      <x:c r="D3290" t="str">
        <x:v>Supplements</x:v>
      </x:c>
      <x:c r="E3290" t="str">
        <x:v>Hydration</x:v>
      </x:c>
      <x:c r="F3290" t="str"/>
      <x:c r="G3290" t="str">
        <x:v>7 x 8g</x:v>
      </x:c>
      <x:c r="H3290" t="str">
        <x:v>Lemon &amp; Lime</x:v>
      </x:c>
      <x:c r="I3290" t="str">
        <x:v>7</x:v>
      </x:c>
      <x:c r="J3290" t="str">
        <x:v>Box</x:v>
      </x:c>
      <x:c r="K3290" t="str">
        <x:v>In stock</x:v>
      </x:c>
      <x:c r="L3290" t="str">
        <x:v>2026-09-08</x:v>
      </x:c>
      <x:c r="M3290" t="str"/>
      <x:c r="N3290" t="str"/>
      <x:c r="O3290" t="str">
        <x:v>https://www.activesportstrade.co.uk/trade-sports-supplements</x:v>
      </x:c>
      <x:c r="P3290" t="str">
        <x:v>10% OFF wording stripped; exact current stick flavours aligned to Hydration+ family where explicitly listed.</x:v>
      </x:c>
      <x:c r="Q3290" t="str"/>
      <x:c r="R3290" t="str"/>
      <x:c r="S3290" t="str">
        <x:v>Pending genuine supplier/brand image</x:v>
      </x:c>
      <x:c r="T3290" s="54" t="n">
        <x:v>4.49</x:v>
      </x:c>
      <x:c r="U3290" s="47" t="n">
        <x:v>0.2</x:v>
      </x:c>
      <x:c r="V3290" s="54" t="n">
        <x:f>IF(ISNUMBER(T3290),T3290*(1+U3290),"")</x:f>
        <x:v>5.388</x:v>
      </x:c>
      <x:c r="W3290" s="47" t="n">
        <x:v>0.3</x:v>
      </x:c>
      <x:c r="X3290" s="54" t="n">
        <x:f>IF(ISNUMBER(V3290),V3290/(1-W3290),"")</x:f>
        <x:v>7.6971428571428575</x:v>
      </x:c>
      <x:c r="Y3290" s="55" t="n">
        <x:f>IF(ISNUMBER(X3290),ROUNDUP(X3290,0),"")</x:f>
        <x:v>8</x:v>
      </x:c>
      <x:c r="Z3290" t="str">
        <x:v>Source match pending</x:v>
      </x:c>
      <x:c r="AA3290" t="str">
        <x:v>screencapture-www-activesportstrade-co-uk-applied-nutrition-trade-2026-09-10-08_59_59.pdf / page-13</x:v>
      </x:c>
      <x:c r="AB3290" s="36" t="n">
        <x:f>IF(ISNUMBER(Y3290),ROUND(Y3290*0.9,2),"")</x:f>
        <x:v>7.2</x:v>
      </x:c>
      <x:c r="AC3290" s="36" t="n">
        <x:f>IF(ISNUMBER(AB3290),ROUND(AB3290-(AB3290*0.015+0.2)-V3290,2),"")</x:f>
        <x:v>1.5</x:v>
      </x:c>
      <x:c r="AD3290" s="36" t="n">
        <x:f>IF(ISNUMBER(Y3290),ROUND(Y3290*0.8,2),"")</x:f>
        <x:v>6.4</x:v>
      </x:c>
      <x:c r="AE3290" s="36" t="n">
        <x:f>IF(ISNUMBER(AD3290),ROUND(AD3290*0.015+0.2,2),"")</x:f>
        <x:v>0.3</x:v>
      </x:c>
      <x:c r="AF3290" s="36" t="n">
        <x:f>IF(ISNUMBER(AD3290),ROUND(AD3290-AE3290-V3290,2),"")</x:f>
        <x:v>0.71</x:v>
      </x:c>
      <x:c r="AG3290" t="str">
        <x:f>IF(NOT(ISNUMBER(T3290)),"PENDING",IF(AF3290&gt;0,"PASS","FAIL"))</x:f>
        <x:v>PASS</x:v>
      </x:c>
      <x:c r="AH3290" t="str">
        <x:f>IF(NOT(ISNUMBER(T3290)),"Needs supplier cost",IF(K3290&lt;&gt;"In stock","Supplier unavailable",IF(AG3290&lt;&gt;"PASS","BLOCK - GT loss risk","Commercially protected")))</x:f>
        <x:v>Commercially protected</x:v>
      </x:c>
      <x:c r="AI3290" t="str">
        <x:v>2026-09-10 Active Sports trade capture</x:v>
      </x:c>
      <x:c r="AJ3290" t="str">
        <x:v>Management-only economics. Stripe stress test uses 1.5% + £0.20 standard UK online-card fee; pallet/mix-and-match pricing ignored.</x:v>
      </x:c>
    </x:row>
    <x:row r="3291">
      <x:c r="A3291" t="str">
        <x:v>Active Sports Nutrition</x:v>
      </x:c>
      <x:c r="B3291" t="str">
        <x:v>Applied Nutrition</x:v>
      </x:c>
      <x:c r="C3291" t="str">
        <x:v>Hydration Sticks</x:v>
      </x:c>
      <x:c r="D3291" t="str">
        <x:v>Supplements</x:v>
      </x:c>
      <x:c r="E3291" t="str">
        <x:v>Hydration</x:v>
      </x:c>
      <x:c r="F3291" t="str"/>
      <x:c r="G3291" t="str">
        <x:v>7 x 8g</x:v>
      </x:c>
      <x:c r="H3291" t="str">
        <x:v>Strawberry Raspberry</x:v>
      </x:c>
      <x:c r="I3291" t="str">
        <x:v>7</x:v>
      </x:c>
      <x:c r="J3291" t="str">
        <x:v>Box</x:v>
      </x:c>
      <x:c r="K3291" t="str">
        <x:v>In stock</x:v>
      </x:c>
      <x:c r="L3291" t="str">
        <x:v>2026-09-08</x:v>
      </x:c>
      <x:c r="M3291" t="str"/>
      <x:c r="N3291" t="str"/>
      <x:c r="O3291" t="str">
        <x:v>https://www.activesportstrade.co.uk/trade-sports-supplements</x:v>
      </x:c>
      <x:c r="P3291" t="str">
        <x:v>10% OFF wording stripped; exact current stick flavours aligned to Hydration+ family where explicitly listed.</x:v>
      </x:c>
      <x:c r="Q3291" t="str"/>
      <x:c r="R3291" t="str"/>
      <x:c r="S3291" t="str">
        <x:v>Pending genuine supplier/brand image</x:v>
      </x:c>
      <x:c r="T3291" s="54" t="n">
        <x:v>4.49</x:v>
      </x:c>
      <x:c r="U3291" s="47" t="n">
        <x:v>0.2</x:v>
      </x:c>
      <x:c r="V3291" s="54" t="n">
        <x:f>IF(ISNUMBER(T3291),T3291*(1+U3291),"")</x:f>
        <x:v>5.388</x:v>
      </x:c>
      <x:c r="W3291" s="47" t="n">
        <x:v>0.3</x:v>
      </x:c>
      <x:c r="X3291" s="54" t="n">
        <x:f>IF(ISNUMBER(V3291),V3291/(1-W3291),"")</x:f>
        <x:v>7.6971428571428575</x:v>
      </x:c>
      <x:c r="Y3291" s="55" t="n">
        <x:f>IF(ISNUMBER(X3291),ROUNDUP(X3291,0),"")</x:f>
        <x:v>8</x:v>
      </x:c>
      <x:c r="Z3291" t="str">
        <x:v>Source match pending</x:v>
      </x:c>
      <x:c r="AA3291" t="str">
        <x:v>screencapture-www-activesportstrade-co-uk-applied-nutrition-trade-2026-09-10-08_59_59.pdf / page-13</x:v>
      </x:c>
      <x:c r="AB3291" s="36" t="n">
        <x:f>IF(ISNUMBER(Y3291),ROUND(Y3291*0.9,2),"")</x:f>
        <x:v>7.2</x:v>
      </x:c>
      <x:c r="AC3291" s="36" t="n">
        <x:f>IF(ISNUMBER(AB3291),ROUND(AB3291-(AB3291*0.015+0.2)-V3291,2),"")</x:f>
        <x:v>1.5</x:v>
      </x:c>
      <x:c r="AD3291" s="36" t="n">
        <x:f>IF(ISNUMBER(Y3291),ROUND(Y3291*0.8,2),"")</x:f>
        <x:v>6.4</x:v>
      </x:c>
      <x:c r="AE3291" s="36" t="n">
        <x:f>IF(ISNUMBER(AD3291),ROUND(AD3291*0.015+0.2,2),"")</x:f>
        <x:v>0.3</x:v>
      </x:c>
      <x:c r="AF3291" s="36" t="n">
        <x:f>IF(ISNUMBER(AD3291),ROUND(AD3291-AE3291-V3291,2),"")</x:f>
        <x:v>0.71</x:v>
      </x:c>
      <x:c r="AG3291" t="str">
        <x:f>IF(NOT(ISNUMBER(T3291)),"PENDING",IF(AF3291&gt;0,"PASS","FAIL"))</x:f>
        <x:v>PASS</x:v>
      </x:c>
      <x:c r="AH3291" t="str">
        <x:f>IF(NOT(ISNUMBER(T3291)),"Needs supplier cost",IF(K3291&lt;&gt;"In stock","Supplier unavailable",IF(AG3291&lt;&gt;"PASS","BLOCK - GT loss risk","Commercially protected")))</x:f>
        <x:v>Commercially protected</x:v>
      </x:c>
      <x:c r="AI3291" t="str">
        <x:v>2026-09-10 Active Sports trade capture</x:v>
      </x:c>
      <x:c r="AJ3291" t="str">
        <x:v>Management-only economics. Stripe stress test uses 1.5% + £0.20 standard UK online-card fee; pallet/mix-and-match pricing ignored.</x:v>
      </x:c>
    </x:row>
    <x:row r="3292">
      <x:c r="A3292" t="str">
        <x:v>Active Sports Nutrition</x:v>
      </x:c>
      <x:c r="B3292" t="str">
        <x:v>Applied Nutrition</x:v>
      </x:c>
      <x:c r="C3292" t="str">
        <x:v>Hydration Sticks</x:v>
      </x:c>
      <x:c r="D3292" t="str">
        <x:v>Supplements</x:v>
      </x:c>
      <x:c r="E3292" t="str">
        <x:v>Hydration</x:v>
      </x:c>
      <x:c r="F3292" t="str"/>
      <x:c r="G3292" t="str">
        <x:v>7 x 8g</x:v>
      </x:c>
      <x:c r="H3292" t="str">
        <x:v>Tropical Vibes</x:v>
      </x:c>
      <x:c r="I3292" t="str">
        <x:v>7</x:v>
      </x:c>
      <x:c r="J3292" t="str">
        <x:v>Box</x:v>
      </x:c>
      <x:c r="K3292" t="str">
        <x:v>In stock</x:v>
      </x:c>
      <x:c r="L3292" t="str">
        <x:v>2026-09-08</x:v>
      </x:c>
      <x:c r="M3292" t="str"/>
      <x:c r="N3292" t="str"/>
      <x:c r="O3292" t="str">
        <x:v>https://www.activesportstrade.co.uk/trade-sports-supplements</x:v>
      </x:c>
      <x:c r="P3292" t="str">
        <x:v>10% OFF wording stripped; exact current stick flavours aligned to Hydration+ family where explicitly listed.</x:v>
      </x:c>
      <x:c r="Q3292" t="str"/>
      <x:c r="R3292" t="str"/>
      <x:c r="S3292" t="str">
        <x:v>Pending genuine supplier/brand image</x:v>
      </x:c>
      <x:c r="T3292" s="54" t="n">
        <x:v>4.49</x:v>
      </x:c>
      <x:c r="U3292" s="47" t="n">
        <x:v>0.2</x:v>
      </x:c>
      <x:c r="V3292" s="54" t="n">
        <x:f>IF(ISNUMBER(T3292),T3292*(1+U3292),"")</x:f>
        <x:v>5.388</x:v>
      </x:c>
      <x:c r="W3292" s="47" t="n">
        <x:v>0.3</x:v>
      </x:c>
      <x:c r="X3292" s="54" t="n">
        <x:f>IF(ISNUMBER(V3292),V3292/(1-W3292),"")</x:f>
        <x:v>7.6971428571428575</x:v>
      </x:c>
      <x:c r="Y3292" s="55" t="n">
        <x:f>IF(ISNUMBER(X3292),ROUNDUP(X3292,0),"")</x:f>
        <x:v>8</x:v>
      </x:c>
      <x:c r="Z3292" t="str">
        <x:v>Source match pending</x:v>
      </x:c>
      <x:c r="AA3292" t="str">
        <x:v>screencapture-www-activesportstrade-co-uk-applied-nutrition-trade-2026-09-10-08_59_59.pdf / page-13</x:v>
      </x:c>
      <x:c r="AB3292" s="36" t="n">
        <x:f>IF(ISNUMBER(Y3292),ROUND(Y3292*0.9,2),"")</x:f>
        <x:v>7.2</x:v>
      </x:c>
      <x:c r="AC3292" s="36" t="n">
        <x:f>IF(ISNUMBER(AB3292),ROUND(AB3292-(AB3292*0.015+0.2)-V3292,2),"")</x:f>
        <x:v>1.5</x:v>
      </x:c>
      <x:c r="AD3292" s="36" t="n">
        <x:f>IF(ISNUMBER(Y3292),ROUND(Y3292*0.8,2),"")</x:f>
        <x:v>6.4</x:v>
      </x:c>
      <x:c r="AE3292" s="36" t="n">
        <x:f>IF(ISNUMBER(AD3292),ROUND(AD3292*0.015+0.2,2),"")</x:f>
        <x:v>0.3</x:v>
      </x:c>
      <x:c r="AF3292" s="36" t="n">
        <x:f>IF(ISNUMBER(AD3292),ROUND(AD3292-AE3292-V3292,2),"")</x:f>
        <x:v>0.71</x:v>
      </x:c>
      <x:c r="AG3292" t="str">
        <x:f>IF(NOT(ISNUMBER(T3292)),"PENDING",IF(AF3292&gt;0,"PASS","FAIL"))</x:f>
        <x:v>PASS</x:v>
      </x:c>
      <x:c r="AH3292" t="str">
        <x:f>IF(NOT(ISNUMBER(T3292)),"Needs supplier cost",IF(K3292&lt;&gt;"In stock","Supplier unavailable",IF(AG3292&lt;&gt;"PASS","BLOCK - GT loss risk","Commercially protected")))</x:f>
        <x:v>Commercially protected</x:v>
      </x:c>
      <x:c r="AI3292" t="str">
        <x:v>2026-09-10 Active Sports trade capture</x:v>
      </x:c>
      <x:c r="AJ3292" t="str">
        <x:v>Management-only economics. Stripe stress test uses 1.5% + £0.20 standard UK online-card fee; pallet/mix-and-match pricing ignored.</x:v>
      </x:c>
    </x:row>
    <x:row r="3293">
      <x:c r="A3293" t="str">
        <x:v>Active Sports Nutrition</x:v>
      </x:c>
      <x:c r="B3293" t="str">
        <x:v>Applied Nutrition</x:v>
      </x:c>
      <x:c r="C3293" t="str">
        <x:v>NA11 Hydration Drink</x:v>
      </x:c>
      <x:c r="D3293" t="str">
        <x:v>Food &amp; Drinks</x:v>
      </x:c>
      <x:c r="E3293" t="str">
        <x:v>Hydration Drinks</x:v>
      </x:c>
      <x:c r="F3293" t="str"/>
      <x:c r="G3293" t="str">
        <x:v>12 x 300ml</x:v>
      </x:c>
      <x:c r="H3293" t="str">
        <x:v>Citrus Twist</x:v>
      </x:c>
      <x:c r="I3293" t="str">
        <x:v>12</x:v>
      </x:c>
      <x:c r="J3293" t="str">
        <x:v>Case</x:v>
      </x:c>
      <x:c r="K3293" t="str">
        <x:v>In stock</x:v>
      </x:c>
      <x:c r="L3293" t="str">
        <x:v>2026-09-08</x:v>
      </x:c>
      <x:c r="M3293" t="str"/>
      <x:c r="N3293" t="str"/>
      <x:c r="O3293" t="str">
        <x:v>https://www.activesportstrade.co.uk/hydration-supplements-trade</x:v>
      </x:c>
      <x:c r="P3293" t="str">
        <x:v>SPECIAL OFFER wording stripped; case-only supplier ordering.</x:v>
      </x:c>
      <x:c r="Q3293" t="str"/>
      <x:c r="R3293" t="str"/>
      <x:c r="S3293" t="str">
        <x:v>Pending genuine supplier/brand image</x:v>
      </x:c>
      <x:c r="T3293" s="54"/>
      <x:c r="U3293" s="47" t="n">
        <x:v>0.2</x:v>
      </x:c>
      <x:c r="V3293" s="54" t="str">
        <x:f>IF(ISNUMBER(T3293),T3293*(1+U3293),"")</x:f>
      </x:c>
      <x:c r="W3293" s="47" t="n">
        <x:v>0.3</x:v>
      </x:c>
      <x:c r="X3293" s="54" t="str">
        <x:f>IF(ISNUMBER(V3293),V3293/(1-W3293),"")</x:f>
      </x:c>
      <x:c r="Y3293" s="55" t="str">
        <x:f>IF(ISNUMBER(X3293),ROUNDUP(X3293,0),"")</x:f>
      </x:c>
      <x:c r="Z3293" t="str">
        <x:f>IF(ISNUMBER(T3293),"Cost captured","Awaiting trade cost")</x:f>
        <x:v>Awaiting trade cost</x:v>
      </x:c>
      <x:c r="AB3293" s="36" t="str">
        <x:f>IF(ISNUMBER(Y3293),ROUND(Y3293*0.9,2),"")</x:f>
      </x:c>
      <x:c r="AC3293" s="36" t="str">
        <x:f>IF(ISNUMBER(AB3293),ROUND(AB3293-(AB3293*0.015+0.2)-V3293,2),"")</x:f>
      </x:c>
      <x:c r="AD3293" s="36" t="str">
        <x:f>IF(ISNUMBER(Y3293),ROUND(Y3293*0.8,2),"")</x:f>
      </x:c>
      <x:c r="AE3293" s="36" t="str">
        <x:f>IF(ISNUMBER(AD3293),ROUND(AD3293*0.015+0.2,2),"")</x:f>
      </x:c>
      <x:c r="AF3293" s="36" t="str">
        <x:f>IF(ISNUMBER(AD3293),ROUND(AD3293-AE3293-V3293,2),"")</x:f>
      </x:c>
      <x:c r="AG3293" t="str">
        <x:f>IF(NOT(ISNUMBER(T3293)),"PENDING",IF(AF3293&gt;0,"PASS","FAIL"))</x:f>
        <x:v>PENDING</x:v>
      </x:c>
      <x:c r="AH3293" t="str">
        <x:f>IF(NOT(ISNUMBER(T3293)),"Needs supplier cost",IF(K3293&lt;&gt;"In stock","Supplier unavailable",IF(AG3293&lt;&gt;"PASS","BLOCK - GT loss risk","Commercially protected")))</x:f>
        <x:v>Needs supplier cost</x:v>
      </x:c>
      <x:c r="AI3293" t="str">
        <x:v>2026-09-10 Active Sports trade capture</x:v>
      </x:c>
      <x:c r="AJ3293" t="str">
        <x:v>Management-only economics. Stripe stress test uses 1.5% + £0.20 standard UK online-card fee; pallet/mix-and-match pricing ignored.</x:v>
      </x:c>
    </x:row>
    <x:row r="3294">
      <x:c r="A3294" t="str">
        <x:v>Active Sports Nutrition</x:v>
      </x:c>
      <x:c r="B3294" t="str">
        <x:v>Applied Nutrition</x:v>
      </x:c>
      <x:c r="C3294" t="str">
        <x:v>NA11 Hydration Drink</x:v>
      </x:c>
      <x:c r="D3294" t="str">
        <x:v>Food &amp; Drinks</x:v>
      </x:c>
      <x:c r="E3294" t="str">
        <x:v>Hydration Drinks</x:v>
      </x:c>
      <x:c r="F3294" t="str"/>
      <x:c r="G3294" t="str">
        <x:v>12 x 300ml</x:v>
      </x:c>
      <x:c r="H3294" t="str">
        <x:v>Frozen Berries</x:v>
      </x:c>
      <x:c r="I3294" t="str">
        <x:v>12</x:v>
      </x:c>
      <x:c r="J3294" t="str">
        <x:v>Case</x:v>
      </x:c>
      <x:c r="K3294" t="str">
        <x:v>In stock</x:v>
      </x:c>
      <x:c r="L3294" t="str">
        <x:v>2026-09-08</x:v>
      </x:c>
      <x:c r="M3294" t="str"/>
      <x:c r="N3294" t="str"/>
      <x:c r="O3294" t="str">
        <x:v>https://www.activesportstrade.co.uk/hydration-supplements-trade</x:v>
      </x:c>
      <x:c r="P3294" t="str">
        <x:v>SPECIAL OFFER wording stripped; case-only supplier ordering.</x:v>
      </x:c>
      <x:c r="Q3294" t="str"/>
      <x:c r="R3294" t="str"/>
      <x:c r="S3294" t="str">
        <x:v>Pending genuine supplier/brand image</x:v>
      </x:c>
      <x:c r="T3294" s="54"/>
      <x:c r="U3294" s="47" t="n">
        <x:v>0.2</x:v>
      </x:c>
      <x:c r="V3294" s="54" t="str">
        <x:f>IF(ISNUMBER(T3294),T3294*(1+U3294),"")</x:f>
      </x:c>
      <x:c r="W3294" s="47" t="n">
        <x:v>0.3</x:v>
      </x:c>
      <x:c r="X3294" s="54" t="str">
        <x:f>IF(ISNUMBER(V3294),V3294/(1-W3294),"")</x:f>
      </x:c>
      <x:c r="Y3294" s="55" t="str">
        <x:f>IF(ISNUMBER(X3294),ROUNDUP(X3294,0),"")</x:f>
      </x:c>
      <x:c r="Z3294" t="str">
        <x:f>IF(ISNUMBER(T3294),"Cost captured","Awaiting trade cost")</x:f>
        <x:v>Awaiting trade cost</x:v>
      </x:c>
      <x:c r="AB3294" s="36" t="str">
        <x:f>IF(ISNUMBER(Y3294),ROUND(Y3294*0.9,2),"")</x:f>
      </x:c>
      <x:c r="AC3294" s="36" t="str">
        <x:f>IF(ISNUMBER(AB3294),ROUND(AB3294-(AB3294*0.015+0.2)-V3294,2),"")</x:f>
      </x:c>
      <x:c r="AD3294" s="36" t="str">
        <x:f>IF(ISNUMBER(Y3294),ROUND(Y3294*0.8,2),"")</x:f>
      </x:c>
      <x:c r="AE3294" s="36" t="str">
        <x:f>IF(ISNUMBER(AD3294),ROUND(AD3294*0.015+0.2,2),"")</x:f>
      </x:c>
      <x:c r="AF3294" s="36" t="str">
        <x:f>IF(ISNUMBER(AD3294),ROUND(AD3294-AE3294-V3294,2),"")</x:f>
      </x:c>
      <x:c r="AG3294" t="str">
        <x:f>IF(NOT(ISNUMBER(T3294)),"PENDING",IF(AF3294&gt;0,"PASS","FAIL"))</x:f>
        <x:v>PENDING</x:v>
      </x:c>
      <x:c r="AH3294" t="str">
        <x:f>IF(NOT(ISNUMBER(T3294)),"Needs supplier cost",IF(K3294&lt;&gt;"In stock","Supplier unavailable",IF(AG3294&lt;&gt;"PASS","BLOCK - GT loss risk","Commercially protected")))</x:f>
        <x:v>Needs supplier cost</x:v>
      </x:c>
      <x:c r="AI3294" t="str">
        <x:v>2026-09-10 Active Sports trade capture</x:v>
      </x:c>
      <x:c r="AJ3294" t="str">
        <x:v>Management-only economics. Stripe stress test uses 1.5% + £0.20 standard UK online-card fee; pallet/mix-and-match pricing ignored.</x:v>
      </x:c>
    </x:row>
    <x:row r="3295">
      <x:c r="A3295" t="str">
        <x:v>Active Sports Nutrition</x:v>
      </x:c>
      <x:c r="B3295" t="str">
        <x:v>Applied Nutrition</x:v>
      </x:c>
      <x:c r="C3295" t="str">
        <x:v>NA11 Hydration Drink</x:v>
      </x:c>
      <x:c r="D3295" t="str">
        <x:v>Food &amp; Drinks</x:v>
      </x:c>
      <x:c r="E3295" t="str">
        <x:v>Hydration Drinks</x:v>
      </x:c>
      <x:c r="F3295" t="str"/>
      <x:c r="G3295" t="str">
        <x:v>12 x 300ml</x:v>
      </x:c>
      <x:c r="H3295" t="str">
        <x:v>Lime &amp; Cucumber</x:v>
      </x:c>
      <x:c r="I3295" t="str">
        <x:v>12</x:v>
      </x:c>
      <x:c r="J3295" t="str">
        <x:v>Case</x:v>
      </x:c>
      <x:c r="K3295" t="str">
        <x:v>In stock</x:v>
      </x:c>
      <x:c r="L3295" t="str">
        <x:v>2026-09-08</x:v>
      </x:c>
      <x:c r="M3295" t="str"/>
      <x:c r="N3295" t="str"/>
      <x:c r="O3295" t="str">
        <x:v>https://www.activesportstrade.co.uk/hydration-supplements-trade</x:v>
      </x:c>
      <x:c r="P3295" t="str">
        <x:v>SPECIAL OFFER wording stripped; case-only supplier ordering.</x:v>
      </x:c>
      <x:c r="Q3295" t="str"/>
      <x:c r="R3295" t="str"/>
      <x:c r="S3295" t="str">
        <x:v>Pending genuine supplier/brand image</x:v>
      </x:c>
      <x:c r="T3295" s="54"/>
      <x:c r="U3295" s="47" t="n">
        <x:v>0.2</x:v>
      </x:c>
      <x:c r="V3295" s="54" t="str">
        <x:f>IF(ISNUMBER(T3295),T3295*(1+U3295),"")</x:f>
      </x:c>
      <x:c r="W3295" s="47" t="n">
        <x:v>0.3</x:v>
      </x:c>
      <x:c r="X3295" s="54" t="str">
        <x:f>IF(ISNUMBER(V3295),V3295/(1-W3295),"")</x:f>
      </x:c>
      <x:c r="Y3295" s="55" t="str">
        <x:f>IF(ISNUMBER(X3295),ROUNDUP(X3295,0),"")</x:f>
      </x:c>
      <x:c r="Z3295" t="str">
        <x:f>IF(ISNUMBER(T3295),"Cost captured","Awaiting trade cost")</x:f>
        <x:v>Awaiting trade cost</x:v>
      </x:c>
      <x:c r="AB3295" s="36" t="str">
        <x:f>IF(ISNUMBER(Y3295),ROUND(Y3295*0.9,2),"")</x:f>
      </x:c>
      <x:c r="AC3295" s="36" t="str">
        <x:f>IF(ISNUMBER(AB3295),ROUND(AB3295-(AB3295*0.015+0.2)-V3295,2),"")</x:f>
      </x:c>
      <x:c r="AD3295" s="36" t="str">
        <x:f>IF(ISNUMBER(Y3295),ROUND(Y3295*0.8,2),"")</x:f>
      </x:c>
      <x:c r="AE3295" s="36" t="str">
        <x:f>IF(ISNUMBER(AD3295),ROUND(AD3295*0.015+0.2,2),"")</x:f>
      </x:c>
      <x:c r="AF3295" s="36" t="str">
        <x:f>IF(ISNUMBER(AD3295),ROUND(AD3295-AE3295-V3295,2),"")</x:f>
      </x:c>
      <x:c r="AG3295" t="str">
        <x:f>IF(NOT(ISNUMBER(T3295)),"PENDING",IF(AF3295&gt;0,"PASS","FAIL"))</x:f>
        <x:v>PENDING</x:v>
      </x:c>
      <x:c r="AH3295" t="str">
        <x:f>IF(NOT(ISNUMBER(T3295)),"Needs supplier cost",IF(K3295&lt;&gt;"In stock","Supplier unavailable",IF(AG3295&lt;&gt;"PASS","BLOCK - GT loss risk","Commercially protected")))</x:f>
        <x:v>Needs supplier cost</x:v>
      </x:c>
      <x:c r="AI3295" t="str">
        <x:v>2026-09-10 Active Sports trade capture</x:v>
      </x:c>
      <x:c r="AJ3295" t="str">
        <x:v>Management-only economics. Stripe stress test uses 1.5% + £0.20 standard UK online-card fee; pallet/mix-and-match pricing ignored.</x:v>
      </x:c>
    </x:row>
    <x:row r="3296">
      <x:c r="A3296" t="str">
        <x:v>Active Sports Nutrition</x:v>
      </x:c>
      <x:c r="B3296" t="str">
        <x:v>Applied Nutrition</x:v>
      </x:c>
      <x:c r="C3296" t="str">
        <x:v>NA11 Hydration Drink</x:v>
      </x:c>
      <x:c r="D3296" t="str">
        <x:v>Food &amp; Drinks</x:v>
      </x:c>
      <x:c r="E3296" t="str">
        <x:v>Hydration Drinks</x:v>
      </x:c>
      <x:c r="F3296" t="str"/>
      <x:c r="G3296" t="str">
        <x:v>12 x 300ml</x:v>
      </x:c>
      <x:c r="H3296" t="str">
        <x:v>Orange &amp; Strawberry</x:v>
      </x:c>
      <x:c r="I3296" t="str">
        <x:v>12</x:v>
      </x:c>
      <x:c r="J3296" t="str">
        <x:v>Case</x:v>
      </x:c>
      <x:c r="K3296" t="str">
        <x:v>In stock</x:v>
      </x:c>
      <x:c r="L3296" t="str">
        <x:v>2026-09-08</x:v>
      </x:c>
      <x:c r="M3296" t="str"/>
      <x:c r="N3296" t="str"/>
      <x:c r="O3296" t="str">
        <x:v>https://www.activesportstrade.co.uk/hydration-supplements-trade</x:v>
      </x:c>
      <x:c r="P3296" t="str">
        <x:v>SPECIAL OFFER wording stripped; case-only supplier ordering.</x:v>
      </x:c>
      <x:c r="Q3296" t="str"/>
      <x:c r="R3296" t="str"/>
      <x:c r="S3296" t="str">
        <x:v>Pending genuine supplier/brand image</x:v>
      </x:c>
      <x:c r="T3296" s="54"/>
      <x:c r="U3296" s="47" t="n">
        <x:v>0.2</x:v>
      </x:c>
      <x:c r="V3296" s="54" t="str">
        <x:f>IF(ISNUMBER(T3296),T3296*(1+U3296),"")</x:f>
      </x:c>
      <x:c r="W3296" s="47" t="n">
        <x:v>0.3</x:v>
      </x:c>
      <x:c r="X3296" s="54" t="str">
        <x:f>IF(ISNUMBER(V3296),V3296/(1-W3296),"")</x:f>
      </x:c>
      <x:c r="Y3296" s="55" t="str">
        <x:f>IF(ISNUMBER(X3296),ROUNDUP(X3296,0),"")</x:f>
      </x:c>
      <x:c r="Z3296" t="str">
        <x:f>IF(ISNUMBER(T3296),"Cost captured","Awaiting trade cost")</x:f>
        <x:v>Awaiting trade cost</x:v>
      </x:c>
      <x:c r="AB3296" s="36" t="str">
        <x:f>IF(ISNUMBER(Y3296),ROUND(Y3296*0.9,2),"")</x:f>
      </x:c>
      <x:c r="AC3296" s="36" t="str">
        <x:f>IF(ISNUMBER(AB3296),ROUND(AB3296-(AB3296*0.015+0.2)-V3296,2),"")</x:f>
      </x:c>
      <x:c r="AD3296" s="36" t="str">
        <x:f>IF(ISNUMBER(Y3296),ROUND(Y3296*0.8,2),"")</x:f>
      </x:c>
      <x:c r="AE3296" s="36" t="str">
        <x:f>IF(ISNUMBER(AD3296),ROUND(AD3296*0.015+0.2,2),"")</x:f>
      </x:c>
      <x:c r="AF3296" s="36" t="str">
        <x:f>IF(ISNUMBER(AD3296),ROUND(AD3296-AE3296-V3296,2),"")</x:f>
      </x:c>
      <x:c r="AG3296" t="str">
        <x:f>IF(NOT(ISNUMBER(T3296)),"PENDING",IF(AF3296&gt;0,"PASS","FAIL"))</x:f>
        <x:v>PENDING</x:v>
      </x:c>
      <x:c r="AH3296" t="str">
        <x:f>IF(NOT(ISNUMBER(T3296)),"Needs supplier cost",IF(K3296&lt;&gt;"In stock","Supplier unavailable",IF(AG3296&lt;&gt;"PASS","BLOCK - GT loss risk","Commercially protected")))</x:f>
        <x:v>Needs supplier cost</x:v>
      </x:c>
      <x:c r="AI3296" t="str">
        <x:v>2026-09-10 Active Sports trade capture</x:v>
      </x:c>
      <x:c r="AJ3296" t="str">
        <x:v>Management-only economics. Stripe stress test uses 1.5% + £0.20 standard UK online-card fee; pallet/mix-and-match pricing ignored.</x:v>
      </x:c>
    </x:row>
    <x:row r="3297">
      <x:c r="A3297" t="str">
        <x:v>Active Sports Nutrition</x:v>
      </x:c>
      <x:c r="B3297" t="str">
        <x:v>Applied Nutrition</x:v>
      </x:c>
      <x:c r="C3297" t="str">
        <x:v>Beef XP RTD Drink</x:v>
      </x:c>
      <x:c r="D3297" t="str">
        <x:v>Food &amp; Drinks</x:v>
      </x:c>
      <x:c r="E3297" t="str">
        <x:v>Ready to Drink Protein</x:v>
      </x:c>
      <x:c r="F3297" t="str"/>
      <x:c r="G3297" t="str">
        <x:v>12 x 500ml</x:v>
      </x:c>
      <x:c r="H3297" t="str">
        <x:v>Cherry Slushie</x:v>
      </x:c>
      <x:c r="I3297" t="str">
        <x:v>12</x:v>
      </x:c>
      <x:c r="J3297" t="str">
        <x:v>Case</x:v>
      </x:c>
      <x:c r="K3297" t="str">
        <x:v>In stock</x:v>
      </x:c>
      <x:c r="L3297" t="str">
        <x:v>2026-09-08</x:v>
      </x:c>
      <x:c r="M3297" t="str"/>
      <x:c r="N3297" t="str"/>
      <x:c r="O3297" t="str">
        <x:v>https://www.activesportstrade.co.uk/ready-to-drink-protein-trade</x:v>
      </x:c>
      <x:c r="P3297" t="str">
        <x:v>30g Protein per can descriptor retained in source only; BUY 4 GET 1 FREE stripped.</x:v>
      </x:c>
      <x:c r="Q3297" t="str"/>
      <x:c r="R3297" t="str"/>
      <x:c r="S3297" t="str">
        <x:v>Pending genuine supplier/brand image</x:v>
      </x:c>
      <x:c r="T3297" s="54"/>
      <x:c r="U3297" s="47" t="n">
        <x:v>0.2</x:v>
      </x:c>
      <x:c r="V3297" s="54" t="str">
        <x:f>IF(ISNUMBER(T3297),T3297*(1+U3297),"")</x:f>
      </x:c>
      <x:c r="W3297" s="47" t="n">
        <x:v>0.3</x:v>
      </x:c>
      <x:c r="X3297" s="54" t="str">
        <x:f>IF(ISNUMBER(V3297),V3297/(1-W3297),"")</x:f>
      </x:c>
      <x:c r="Y3297" s="55" t="str">
        <x:f>IF(ISNUMBER(X3297),ROUNDUP(X3297,0),"")</x:f>
      </x:c>
      <x:c r="Z3297" t="str">
        <x:f>IF(ISNUMBER(T3297),"Cost captured","Awaiting trade cost")</x:f>
        <x:v>Awaiting trade cost</x:v>
      </x:c>
      <x:c r="AB3297" s="36" t="str">
        <x:f>IF(ISNUMBER(Y3297),ROUND(Y3297*0.9,2),"")</x:f>
      </x:c>
      <x:c r="AC3297" s="36" t="str">
        <x:f>IF(ISNUMBER(AB3297),ROUND(AB3297-(AB3297*0.015+0.2)-V3297,2),"")</x:f>
      </x:c>
      <x:c r="AD3297" s="36" t="str">
        <x:f>IF(ISNUMBER(Y3297),ROUND(Y3297*0.8,2),"")</x:f>
      </x:c>
      <x:c r="AE3297" s="36" t="str">
        <x:f>IF(ISNUMBER(AD3297),ROUND(AD3297*0.015+0.2,2),"")</x:f>
      </x:c>
      <x:c r="AF3297" s="36" t="str">
        <x:f>IF(ISNUMBER(AD3297),ROUND(AD3297-AE3297-V3297,2),"")</x:f>
      </x:c>
      <x:c r="AG3297" t="str">
        <x:f>IF(NOT(ISNUMBER(T3297)),"PENDING",IF(AF3297&gt;0,"PASS","FAIL"))</x:f>
        <x:v>PENDING</x:v>
      </x:c>
      <x:c r="AH3297" t="str">
        <x:f>IF(NOT(ISNUMBER(T3297)),"Needs supplier cost",IF(K3297&lt;&gt;"In stock","Supplier unavailable",IF(AG3297&lt;&gt;"PASS","BLOCK - GT loss risk","Commercially protected")))</x:f>
        <x:v>Needs supplier cost</x:v>
      </x:c>
      <x:c r="AI3297" t="str">
        <x:v>2026-09-10 Active Sports trade capture</x:v>
      </x:c>
      <x:c r="AJ3297" t="str">
        <x:v>Management-only economics. Stripe stress test uses 1.5% + £0.20 standard UK online-card fee; pallet/mix-and-match pricing ignored.</x:v>
      </x:c>
    </x:row>
    <x:row r="3298">
      <x:c r="A3298" t="str">
        <x:v>Active Sports Nutrition</x:v>
      </x:c>
      <x:c r="B3298" t="str">
        <x:v>Applied Nutrition</x:v>
      </x:c>
      <x:c r="C3298" t="str">
        <x:v>Beef XP RTD Drink</x:v>
      </x:c>
      <x:c r="D3298" t="str">
        <x:v>Food &amp; Drinks</x:v>
      </x:c>
      <x:c r="E3298" t="str">
        <x:v>Ready to Drink Protein</x:v>
      </x:c>
      <x:c r="F3298" t="str"/>
      <x:c r="G3298" t="str">
        <x:v>12 x 500ml</x:v>
      </x:c>
      <x:c r="H3298" t="str">
        <x:v>Millions Cola</x:v>
      </x:c>
      <x:c r="I3298" t="str">
        <x:v>12</x:v>
      </x:c>
      <x:c r="J3298" t="str">
        <x:v>Case</x:v>
      </x:c>
      <x:c r="K3298" t="str">
        <x:v>In stock</x:v>
      </x:c>
      <x:c r="L3298" t="str">
        <x:v>2026-09-08</x:v>
      </x:c>
      <x:c r="M3298" t="str"/>
      <x:c r="N3298" t="str"/>
      <x:c r="O3298" t="str">
        <x:v>https://www.activesportstrade.co.uk/ready-to-drink-protein-trade</x:v>
      </x:c>
      <x:c r="P3298" t="str">
        <x:v>30g Protein per can descriptor retained in source only; BUY 4 GET 1 FREE stripped.</x:v>
      </x:c>
      <x:c r="Q3298" t="str"/>
      <x:c r="R3298" t="str"/>
      <x:c r="S3298" t="str">
        <x:v>Pending genuine supplier/brand image</x:v>
      </x:c>
      <x:c r="T3298" s="54"/>
      <x:c r="U3298" s="47" t="n">
        <x:v>0.2</x:v>
      </x:c>
      <x:c r="V3298" s="54" t="str">
        <x:f>IF(ISNUMBER(T3298),T3298*(1+U3298),"")</x:f>
      </x:c>
      <x:c r="W3298" s="47" t="n">
        <x:v>0.3</x:v>
      </x:c>
      <x:c r="X3298" s="54" t="str">
        <x:f>IF(ISNUMBER(V3298),V3298/(1-W3298),"")</x:f>
      </x:c>
      <x:c r="Y3298" s="55" t="str">
        <x:f>IF(ISNUMBER(X3298),ROUNDUP(X3298,0),"")</x:f>
      </x:c>
      <x:c r="Z3298" t="str">
        <x:f>IF(ISNUMBER(T3298),"Cost captured","Awaiting trade cost")</x:f>
        <x:v>Awaiting trade cost</x:v>
      </x:c>
      <x:c r="AB3298" s="36" t="str">
        <x:f>IF(ISNUMBER(Y3298),ROUND(Y3298*0.9,2),"")</x:f>
      </x:c>
      <x:c r="AC3298" s="36" t="str">
        <x:f>IF(ISNUMBER(AB3298),ROUND(AB3298-(AB3298*0.015+0.2)-V3298,2),"")</x:f>
      </x:c>
      <x:c r="AD3298" s="36" t="str">
        <x:f>IF(ISNUMBER(Y3298),ROUND(Y3298*0.8,2),"")</x:f>
      </x:c>
      <x:c r="AE3298" s="36" t="str">
        <x:f>IF(ISNUMBER(AD3298),ROUND(AD3298*0.015+0.2,2),"")</x:f>
      </x:c>
      <x:c r="AF3298" s="36" t="str">
        <x:f>IF(ISNUMBER(AD3298),ROUND(AD3298-AE3298-V3298,2),"")</x:f>
      </x:c>
      <x:c r="AG3298" t="str">
        <x:f>IF(NOT(ISNUMBER(T3298)),"PENDING",IF(AF3298&gt;0,"PASS","FAIL"))</x:f>
        <x:v>PENDING</x:v>
      </x:c>
      <x:c r="AH3298" t="str">
        <x:f>IF(NOT(ISNUMBER(T3298)),"Needs supplier cost",IF(K3298&lt;&gt;"In stock","Supplier unavailable",IF(AG3298&lt;&gt;"PASS","BLOCK - GT loss risk","Commercially protected")))</x:f>
        <x:v>Needs supplier cost</x:v>
      </x:c>
      <x:c r="AI3298" t="str">
        <x:v>2026-09-10 Active Sports trade capture</x:v>
      </x:c>
      <x:c r="AJ3298" t="str">
        <x:v>Management-only economics. Stripe stress test uses 1.5% + £0.20 standard UK online-card fee; pallet/mix-and-match pricing ignored.</x:v>
      </x:c>
    </x:row>
    <x:row r="3299">
      <x:c r="A3299" t="str">
        <x:v>Active Sports Nutrition</x:v>
      </x:c>
      <x:c r="B3299" t="str">
        <x:v>Applied Nutrition</x:v>
      </x:c>
      <x:c r="C3299" t="str">
        <x:v>Beef XP RTD Drink</x:v>
      </x:c>
      <x:c r="D3299" t="str">
        <x:v>Food &amp; Drinks</x:v>
      </x:c>
      <x:c r="E3299" t="str">
        <x:v>Ready to Drink Protein</x:v>
      </x:c>
      <x:c r="F3299" t="str"/>
      <x:c r="G3299" t="str">
        <x:v>12 x 500ml</x:v>
      </x:c>
      <x:c r="H3299" t="str">
        <x:v>Millions Pineapple</x:v>
      </x:c>
      <x:c r="I3299" t="str">
        <x:v>12</x:v>
      </x:c>
      <x:c r="J3299" t="str">
        <x:v>Case</x:v>
      </x:c>
      <x:c r="K3299" t="str">
        <x:v>In stock</x:v>
      </x:c>
      <x:c r="L3299" t="str">
        <x:v>2026-09-08</x:v>
      </x:c>
      <x:c r="M3299" t="str"/>
      <x:c r="N3299" t="str"/>
      <x:c r="O3299" t="str">
        <x:v>https://www.activesportstrade.co.uk/ready-to-drink-protein-trade</x:v>
      </x:c>
      <x:c r="P3299" t="str">
        <x:v>30g Protein per can descriptor retained in source only; BUY 4 GET 1 FREE stripped.</x:v>
      </x:c>
      <x:c r="Q3299" t="str"/>
      <x:c r="R3299" t="str"/>
      <x:c r="S3299" t="str">
        <x:v>Pending genuine supplier/brand image</x:v>
      </x:c>
      <x:c r="T3299" s="54"/>
      <x:c r="U3299" s="47" t="n">
        <x:v>0.2</x:v>
      </x:c>
      <x:c r="V3299" s="54" t="str">
        <x:f>IF(ISNUMBER(T3299),T3299*(1+U3299),"")</x:f>
      </x:c>
      <x:c r="W3299" s="47" t="n">
        <x:v>0.3</x:v>
      </x:c>
      <x:c r="X3299" s="54" t="str">
        <x:f>IF(ISNUMBER(V3299),V3299/(1-W3299),"")</x:f>
      </x:c>
      <x:c r="Y3299" s="55" t="str">
        <x:f>IF(ISNUMBER(X3299),ROUNDUP(X3299,0),"")</x:f>
      </x:c>
      <x:c r="Z3299" t="str">
        <x:f>IF(ISNUMBER(T3299),"Cost captured","Awaiting trade cost")</x:f>
        <x:v>Awaiting trade cost</x:v>
      </x:c>
      <x:c r="AB3299" s="36" t="str">
        <x:f>IF(ISNUMBER(Y3299),ROUND(Y3299*0.9,2),"")</x:f>
      </x:c>
      <x:c r="AC3299" s="36" t="str">
        <x:f>IF(ISNUMBER(AB3299),ROUND(AB3299-(AB3299*0.015+0.2)-V3299,2),"")</x:f>
      </x:c>
      <x:c r="AD3299" s="36" t="str">
        <x:f>IF(ISNUMBER(Y3299),ROUND(Y3299*0.8,2),"")</x:f>
      </x:c>
      <x:c r="AE3299" s="36" t="str">
        <x:f>IF(ISNUMBER(AD3299),ROUND(AD3299*0.015+0.2,2),"")</x:f>
      </x:c>
      <x:c r="AF3299" s="36" t="str">
        <x:f>IF(ISNUMBER(AD3299),ROUND(AD3299-AE3299-V3299,2),"")</x:f>
      </x:c>
      <x:c r="AG3299" t="str">
        <x:f>IF(NOT(ISNUMBER(T3299)),"PENDING",IF(AF3299&gt;0,"PASS","FAIL"))</x:f>
        <x:v>PENDING</x:v>
      </x:c>
      <x:c r="AH3299" t="str">
        <x:f>IF(NOT(ISNUMBER(T3299)),"Needs supplier cost",IF(K3299&lt;&gt;"In stock","Supplier unavailable",IF(AG3299&lt;&gt;"PASS","BLOCK - GT loss risk","Commercially protected")))</x:f>
        <x:v>Needs supplier cost</x:v>
      </x:c>
      <x:c r="AI3299" t="str">
        <x:v>2026-09-10 Active Sports trade capture</x:v>
      </x:c>
      <x:c r="AJ3299" t="str">
        <x:v>Management-only economics. Stripe stress test uses 1.5% + £0.20 standard UK online-card fee; pallet/mix-and-match pricing ignored.</x:v>
      </x:c>
    </x:row>
    <x:row r="3300">
      <x:c r="A3300" t="str">
        <x:v>Active Sports Nutrition</x:v>
      </x:c>
      <x:c r="B3300" t="str">
        <x:v>Applied Nutrition</x:v>
      </x:c>
      <x:c r="C3300" t="str">
        <x:v>Beef XP RTD Drink</x:v>
      </x:c>
      <x:c r="D3300" t="str">
        <x:v>Food &amp; Drinks</x:v>
      </x:c>
      <x:c r="E3300" t="str">
        <x:v>Ready to Drink Protein</x:v>
      </x:c>
      <x:c r="F3300" t="str"/>
      <x:c r="G3300" t="str">
        <x:v>12 x 500ml</x:v>
      </x:c>
      <x:c r="H3300" t="str">
        <x:v>Mixed Berry</x:v>
      </x:c>
      <x:c r="I3300" t="str">
        <x:v>12</x:v>
      </x:c>
      <x:c r="J3300" t="str">
        <x:v>Case</x:v>
      </x:c>
      <x:c r="K3300" t="str">
        <x:v>In stock</x:v>
      </x:c>
      <x:c r="L3300" t="str">
        <x:v>2026-09-08</x:v>
      </x:c>
      <x:c r="M3300" t="str"/>
      <x:c r="N3300" t="str"/>
      <x:c r="O3300" t="str">
        <x:v>https://www.activesportstrade.co.uk/ready-to-drink-protein-trade</x:v>
      </x:c>
      <x:c r="P3300" t="str">
        <x:v>30g Protein per can descriptor retained in source only; BUY 4 GET 1 FREE stripped.</x:v>
      </x:c>
      <x:c r="Q3300" t="str"/>
      <x:c r="R3300" t="str"/>
      <x:c r="S3300" t="str">
        <x:v>Pending genuine supplier/brand image</x:v>
      </x:c>
      <x:c r="T3300" s="54"/>
      <x:c r="U3300" s="47" t="n">
        <x:v>0.2</x:v>
      </x:c>
      <x:c r="V3300" s="54" t="str">
        <x:f>IF(ISNUMBER(T3300),T3300*(1+U3300),"")</x:f>
      </x:c>
      <x:c r="W3300" s="47" t="n">
        <x:v>0.3</x:v>
      </x:c>
      <x:c r="X3300" s="54" t="str">
        <x:f>IF(ISNUMBER(V3300),V3300/(1-W3300),"")</x:f>
      </x:c>
      <x:c r="Y3300" s="55" t="str">
        <x:f>IF(ISNUMBER(X3300),ROUNDUP(X3300,0),"")</x:f>
      </x:c>
      <x:c r="Z3300" t="str">
        <x:f>IF(ISNUMBER(T3300),"Cost captured","Awaiting trade cost")</x:f>
        <x:v>Awaiting trade cost</x:v>
      </x:c>
      <x:c r="AB3300" s="36" t="str">
        <x:f>IF(ISNUMBER(Y3300),ROUND(Y3300*0.9,2),"")</x:f>
      </x:c>
      <x:c r="AC3300" s="36" t="str">
        <x:f>IF(ISNUMBER(AB3300),ROUND(AB3300-(AB3300*0.015+0.2)-V3300,2),"")</x:f>
      </x:c>
      <x:c r="AD3300" s="36" t="str">
        <x:f>IF(ISNUMBER(Y3300),ROUND(Y3300*0.8,2),"")</x:f>
      </x:c>
      <x:c r="AE3300" s="36" t="str">
        <x:f>IF(ISNUMBER(AD3300),ROUND(AD3300*0.015+0.2,2),"")</x:f>
      </x:c>
      <x:c r="AF3300" s="36" t="str">
        <x:f>IF(ISNUMBER(AD3300),ROUND(AD3300-AE3300-V3300,2),"")</x:f>
      </x:c>
      <x:c r="AG3300" t="str">
        <x:f>IF(NOT(ISNUMBER(T3300)),"PENDING",IF(AF3300&gt;0,"PASS","FAIL"))</x:f>
        <x:v>PENDING</x:v>
      </x:c>
      <x:c r="AH3300" t="str">
        <x:f>IF(NOT(ISNUMBER(T3300)),"Needs supplier cost",IF(K3300&lt;&gt;"In stock","Supplier unavailable",IF(AG3300&lt;&gt;"PASS","BLOCK - GT loss risk","Commercially protected")))</x:f>
        <x:v>Needs supplier cost</x:v>
      </x:c>
      <x:c r="AI3300" t="str">
        <x:v>2026-09-10 Active Sports trade capture</x:v>
      </x:c>
      <x:c r="AJ3300" t="str">
        <x:v>Management-only economics. Stripe stress test uses 1.5% + £0.20 standard UK online-card fee; pallet/mix-and-match pricing ignored.</x:v>
      </x:c>
    </x:row>
    <x:row r="3301">
      <x:c r="A3301" t="str">
        <x:v>Active Sports Nutrition</x:v>
      </x:c>
      <x:c r="B3301" t="str">
        <x:v>Applied Nutrition</x:v>
      </x:c>
      <x:c r="C3301" t="str">
        <x:v>High Protein Shake RTD</x:v>
      </x:c>
      <x:c r="D3301" t="str">
        <x:v>Food &amp; Drinks</x:v>
      </x:c>
      <x:c r="E3301" t="str">
        <x:v>Ready to Drink Protein</x:v>
      </x:c>
      <x:c r="F3301" t="str"/>
      <x:c r="G3301" t="str">
        <x:v>8 x 330ml</x:v>
      </x:c>
      <x:c r="H3301" t="str">
        <x:v>Fudge Brownie</x:v>
      </x:c>
      <x:c r="I3301" t="str">
        <x:v>8</x:v>
      </x:c>
      <x:c r="J3301" t="str">
        <x:v>Case</x:v>
      </x:c>
      <x:c r="K3301" t="str">
        <x:v>Out of stock</x:v>
      </x:c>
      <x:c r="L3301" t="str">
        <x:v>2026-09-08</x:v>
      </x:c>
      <x:c r="M3301" t="str"/>
      <x:c r="N3301" t="str"/>
      <x:c r="O3301" t="str">
        <x:v>https://www.activesportstrade.co.uk/ready-to-drink-protein-trade</x:v>
      </x:c>
      <x:c r="P3301" t="str">
        <x:v>20g protein / VAT FREE / pallet promo / free-item wording stripped.</x:v>
      </x:c>
      <x:c r="Q3301" t="str"/>
      <x:c r="R3301" t="str"/>
      <x:c r="S3301" t="str">
        <x:v>Pending genuine supplier/brand image</x:v>
      </x:c>
      <x:c r="T3301" s="54" t="n">
        <x:v>10.8</x:v>
      </x:c>
      <x:c r="U3301" s="47" t="n">
        <x:v>0</x:v>
      </x:c>
      <x:c r="V3301" s="54" t="n">
        <x:f>IF(ISNUMBER(T3301),T3301*(1+U3301),"")</x:f>
        <x:v>10.8</x:v>
      </x:c>
      <x:c r="W3301" s="47" t="n">
        <x:v>0.3</x:v>
      </x:c>
      <x:c r="X3301" s="54" t="n">
        <x:f>IF(ISNUMBER(V3301),V3301/(1-W3301),"")</x:f>
        <x:v>15.42857142857143</x:v>
      </x:c>
      <x:c r="Y3301" s="55" t="n">
        <x:f>IF(ISNUMBER(X3301),ROUNDUP(X3301,0),"")</x:f>
        <x:v>16</x:v>
      </x:c>
      <x:c r="Z3301" t="str">
        <x:v>Source match pending</x:v>
      </x:c>
      <x:c r="AA3301" t="str">
        <x:v>screencapture-www-activesportstrade-co-uk-applied-nutrition-trade-2026-09-10-08_59_59.pdf / page-12</x:v>
      </x:c>
      <x:c r="AB3301" s="36" t="n">
        <x:f>IF(ISNUMBER(Y3301),ROUND(Y3301*0.9,2),"")</x:f>
        <x:v>14.4</x:v>
      </x:c>
      <x:c r="AC3301" s="36" t="n">
        <x:f>IF(ISNUMBER(AB3301),ROUND(AB3301-(AB3301*0.015+0.2)-V3301,2),"")</x:f>
        <x:v>3.18</x:v>
      </x:c>
      <x:c r="AD3301" s="36" t="n">
        <x:f>IF(ISNUMBER(Y3301),ROUND(Y3301*0.8,2),"")</x:f>
        <x:v>12.8</x:v>
      </x:c>
      <x:c r="AE3301" s="36" t="n">
        <x:f>IF(ISNUMBER(AD3301),ROUND(AD3301*0.015+0.2,2),"")</x:f>
        <x:v>0.39</x:v>
      </x:c>
      <x:c r="AF3301" s="36" t="n">
        <x:f>IF(ISNUMBER(AD3301),ROUND(AD3301-AE3301-V3301,2),"")</x:f>
        <x:v>1.61</x:v>
      </x:c>
      <x:c r="AG3301" t="str">
        <x:f>IF(NOT(ISNUMBER(T3301)),"PENDING",IF(AF3301&gt;0,"PASS","FAIL"))</x:f>
        <x:v>PASS</x:v>
      </x:c>
      <x:c r="AH3301" t="str">
        <x:f>IF(NOT(ISNUMBER(T3301)),"Needs supplier cost",IF(K3301&lt;&gt;"In stock","Supplier unavailable",IF(AG3301&lt;&gt;"PASS","BLOCK - GT loss risk","Commercially protected")))</x:f>
        <x:v>Supplier unavailable</x:v>
      </x:c>
      <x:c r="AI3301" t="str">
        <x:v>2026-09-10 Active Sports trade capture</x:v>
      </x:c>
      <x:c r="AJ3301" t="str">
        <x:v>Management-only economics. Stripe stress test uses 1.5% + £0.20 standard UK online-card fee; pallet/mix-and-match pricing ignored.</x:v>
      </x:c>
    </x:row>
    <x:row r="3302">
      <x:c r="A3302" t="str">
        <x:v>Active Sports Nutrition</x:v>
      </x:c>
      <x:c r="B3302" t="str">
        <x:v>Applied Nutrition</x:v>
      </x:c>
      <x:c r="C3302" t="str">
        <x:v>High Protein Shake RTD</x:v>
      </x:c>
      <x:c r="D3302" t="str">
        <x:v>Food &amp; Drinks</x:v>
      </x:c>
      <x:c r="E3302" t="str">
        <x:v>Ready to Drink Protein</x:v>
      </x:c>
      <x:c r="F3302" t="str"/>
      <x:c r="G3302" t="str">
        <x:v>8 x 330ml</x:v>
      </x:c>
      <x:c r="H3302" t="str">
        <x:v>Strawberries &amp; Cream</x:v>
      </x:c>
      <x:c r="I3302" t="str">
        <x:v>8</x:v>
      </x:c>
      <x:c r="J3302" t="str">
        <x:v>Case</x:v>
      </x:c>
      <x:c r="K3302" t="str">
        <x:v>Out of stock</x:v>
      </x:c>
      <x:c r="L3302" t="str">
        <x:v>2026-09-08</x:v>
      </x:c>
      <x:c r="M3302" t="str"/>
      <x:c r="N3302" t="str"/>
      <x:c r="O3302" t="str">
        <x:v>https://www.activesportstrade.co.uk/ready-to-drink-protein-trade</x:v>
      </x:c>
      <x:c r="P3302" t="str">
        <x:v>20g protein / VAT FREE / pallet promo / free-item wording stripped.</x:v>
      </x:c>
      <x:c r="Q3302" t="str"/>
      <x:c r="R3302" t="str"/>
      <x:c r="S3302" t="str">
        <x:v>Pending genuine supplier/brand image</x:v>
      </x:c>
      <x:c r="T3302" s="54" t="n">
        <x:v>10.8</x:v>
      </x:c>
      <x:c r="U3302" s="47" t="n">
        <x:v>0</x:v>
      </x:c>
      <x:c r="V3302" s="54" t="n">
        <x:f>IF(ISNUMBER(T3302),T3302*(1+U3302),"")</x:f>
        <x:v>10.8</x:v>
      </x:c>
      <x:c r="W3302" s="47" t="n">
        <x:v>0.3</x:v>
      </x:c>
      <x:c r="X3302" s="54" t="n">
        <x:f>IF(ISNUMBER(V3302),V3302/(1-W3302),"")</x:f>
        <x:v>15.42857142857143</x:v>
      </x:c>
      <x:c r="Y3302" s="55" t="n">
        <x:f>IF(ISNUMBER(X3302),ROUNDUP(X3302,0),"")</x:f>
        <x:v>16</x:v>
      </x:c>
      <x:c r="Z3302" t="str">
        <x:v>Source match pending</x:v>
      </x:c>
      <x:c r="AA3302" t="str">
        <x:v>screencapture-www-activesportstrade-co-uk-applied-nutrition-trade-2026-09-10-08_59_59.pdf / page-12</x:v>
      </x:c>
      <x:c r="AB3302" s="36" t="n">
        <x:f>IF(ISNUMBER(Y3302),ROUND(Y3302*0.9,2),"")</x:f>
        <x:v>14.4</x:v>
      </x:c>
      <x:c r="AC3302" s="36" t="n">
        <x:f>IF(ISNUMBER(AB3302),ROUND(AB3302-(AB3302*0.015+0.2)-V3302,2),"")</x:f>
        <x:v>3.18</x:v>
      </x:c>
      <x:c r="AD3302" s="36" t="n">
        <x:f>IF(ISNUMBER(Y3302),ROUND(Y3302*0.8,2),"")</x:f>
        <x:v>12.8</x:v>
      </x:c>
      <x:c r="AE3302" s="36" t="n">
        <x:f>IF(ISNUMBER(AD3302),ROUND(AD3302*0.015+0.2,2),"")</x:f>
        <x:v>0.39</x:v>
      </x:c>
      <x:c r="AF3302" s="36" t="n">
        <x:f>IF(ISNUMBER(AD3302),ROUND(AD3302-AE3302-V3302,2),"")</x:f>
        <x:v>1.61</x:v>
      </x:c>
      <x:c r="AG3302" t="str">
        <x:f>IF(NOT(ISNUMBER(T3302)),"PENDING",IF(AF3302&gt;0,"PASS","FAIL"))</x:f>
        <x:v>PASS</x:v>
      </x:c>
      <x:c r="AH3302" t="str">
        <x:f>IF(NOT(ISNUMBER(T3302)),"Needs supplier cost",IF(K3302&lt;&gt;"In stock","Supplier unavailable",IF(AG3302&lt;&gt;"PASS","BLOCK - GT loss risk","Commercially protected")))</x:f>
        <x:v>Supplier unavailable</x:v>
      </x:c>
      <x:c r="AI3302" t="str">
        <x:v>2026-09-10 Active Sports trade capture</x:v>
      </x:c>
      <x:c r="AJ3302" t="str">
        <x:v>Management-only economics. Stripe stress test uses 1.5% + £0.20 standard UK online-card fee; pallet/mix-and-match pricing ignored.</x:v>
      </x:c>
    </x:row>
    <x:row r="3303">
      <x:c r="A3303" t="str">
        <x:v>Active Sports Nutrition</x:v>
      </x:c>
      <x:c r="B3303" t="str">
        <x:v>Applied Nutrition</x:v>
      </x:c>
      <x:c r="C3303" t="str">
        <x:v>High Protein Shake RTD</x:v>
      </x:c>
      <x:c r="D3303" t="str">
        <x:v>Food &amp; Drinks</x:v>
      </x:c>
      <x:c r="E3303" t="str">
        <x:v>Ready to Drink Protein</x:v>
      </x:c>
      <x:c r="F3303" t="str"/>
      <x:c r="G3303" t="str">
        <x:v>8 x 330ml</x:v>
      </x:c>
      <x:c r="H3303" t="str">
        <x:v>Vanilla Ice Cream</x:v>
      </x:c>
      <x:c r="I3303" t="str">
        <x:v>8</x:v>
      </x:c>
      <x:c r="J3303" t="str">
        <x:v>Case</x:v>
      </x:c>
      <x:c r="K3303" t="str">
        <x:v>Out of stock</x:v>
      </x:c>
      <x:c r="L3303" t="str">
        <x:v>2026-09-08</x:v>
      </x:c>
      <x:c r="M3303" t="str"/>
      <x:c r="N3303" t="str"/>
      <x:c r="O3303" t="str">
        <x:v>https://www.activesportstrade.co.uk/ready-to-drink-protein-trade</x:v>
      </x:c>
      <x:c r="P3303" t="str">
        <x:v>20g protein / VAT FREE / pallet promo / free-item wording stripped.</x:v>
      </x:c>
      <x:c r="Q3303" t="str"/>
      <x:c r="R3303" t="str"/>
      <x:c r="S3303" t="str">
        <x:v>Pending genuine supplier/brand image</x:v>
      </x:c>
      <x:c r="T3303" s="54" t="n">
        <x:v>10.8</x:v>
      </x:c>
      <x:c r="U3303" s="47" t="n">
        <x:v>0</x:v>
      </x:c>
      <x:c r="V3303" s="54" t="n">
        <x:f>IF(ISNUMBER(T3303),T3303*(1+U3303),"")</x:f>
        <x:v>10.8</x:v>
      </x:c>
      <x:c r="W3303" s="47" t="n">
        <x:v>0.3</x:v>
      </x:c>
      <x:c r="X3303" s="54" t="n">
        <x:f>IF(ISNUMBER(V3303),V3303/(1-W3303),"")</x:f>
        <x:v>15.42857142857143</x:v>
      </x:c>
      <x:c r="Y3303" s="55" t="n">
        <x:f>IF(ISNUMBER(X3303),ROUNDUP(X3303,0),"")</x:f>
        <x:v>16</x:v>
      </x:c>
      <x:c r="Z3303" t="str">
        <x:v>Source match pending</x:v>
      </x:c>
      <x:c r="AA3303" t="str">
        <x:v>screencapture-www-activesportstrade-co-uk-applied-nutrition-trade-2026-09-10-08_59_59.pdf / page-12</x:v>
      </x:c>
      <x:c r="AB3303" s="36" t="n">
        <x:f>IF(ISNUMBER(Y3303),ROUND(Y3303*0.9,2),"")</x:f>
        <x:v>14.4</x:v>
      </x:c>
      <x:c r="AC3303" s="36" t="n">
        <x:f>IF(ISNUMBER(AB3303),ROUND(AB3303-(AB3303*0.015+0.2)-V3303,2),"")</x:f>
        <x:v>3.18</x:v>
      </x:c>
      <x:c r="AD3303" s="36" t="n">
        <x:f>IF(ISNUMBER(Y3303),ROUND(Y3303*0.8,2),"")</x:f>
        <x:v>12.8</x:v>
      </x:c>
      <x:c r="AE3303" s="36" t="n">
        <x:f>IF(ISNUMBER(AD3303),ROUND(AD3303*0.015+0.2,2),"")</x:f>
        <x:v>0.39</x:v>
      </x:c>
      <x:c r="AF3303" s="36" t="n">
        <x:f>IF(ISNUMBER(AD3303),ROUND(AD3303-AE3303-V3303,2),"")</x:f>
        <x:v>1.61</x:v>
      </x:c>
      <x:c r="AG3303" t="str">
        <x:f>IF(NOT(ISNUMBER(T3303)),"PENDING",IF(AF3303&gt;0,"PASS","FAIL"))</x:f>
        <x:v>PASS</x:v>
      </x:c>
      <x:c r="AH3303" t="str">
        <x:f>IF(NOT(ISNUMBER(T3303)),"Needs supplier cost",IF(K3303&lt;&gt;"In stock","Supplier unavailable",IF(AG3303&lt;&gt;"PASS","BLOCK - GT loss risk","Commercially protected")))</x:f>
        <x:v>Supplier unavailable</x:v>
      </x:c>
      <x:c r="AI3303" t="str">
        <x:v>2026-09-10 Active Sports trade capture</x:v>
      </x:c>
      <x:c r="AJ3303" t="str">
        <x:v>Management-only economics. Stripe stress test uses 1.5% + £0.20 standard UK online-card fee; pallet/mix-and-match pricing ignored.</x:v>
      </x:c>
    </x:row>
    <x:row r="3304">
      <x:c r="A3304" t="str">
        <x:v>Active Sports Nutrition</x:v>
      </x:c>
      <x:c r="B3304" t="str">
        <x:v>Applied Nutrition</x:v>
      </x:c>
      <x:c r="C3304" t="str">
        <x:v>High Protein Shake RTD</x:v>
      </x:c>
      <x:c r="D3304" t="str">
        <x:v>Food &amp; Drinks</x:v>
      </x:c>
      <x:c r="E3304" t="str">
        <x:v>Ready to Drink Protein</x:v>
      </x:c>
      <x:c r="F3304" t="str"/>
      <x:c r="G3304" t="str">
        <x:v>8 x 330ml</x:v>
      </x:c>
      <x:c r="H3304" t="str">
        <x:v>White Chocolate</x:v>
      </x:c>
      <x:c r="I3304" t="str">
        <x:v>8</x:v>
      </x:c>
      <x:c r="J3304" t="str">
        <x:v>Case</x:v>
      </x:c>
      <x:c r="K3304" t="str">
        <x:v>Out of stock</x:v>
      </x:c>
      <x:c r="L3304" t="str">
        <x:v>2026-09-08</x:v>
      </x:c>
      <x:c r="M3304" t="str"/>
      <x:c r="N3304" t="str"/>
      <x:c r="O3304" t="str">
        <x:v>https://www.activesportstrade.co.uk/ready-to-drink-protein-trade</x:v>
      </x:c>
      <x:c r="P3304" t="str">
        <x:v>20g protein / VAT FREE / pallet promo / free-item wording stripped.</x:v>
      </x:c>
      <x:c r="Q3304" t="str"/>
      <x:c r="R3304" t="str"/>
      <x:c r="S3304" t="str">
        <x:v>Pending genuine supplier/brand image</x:v>
      </x:c>
      <x:c r="T3304" s="54" t="n">
        <x:v>10.8</x:v>
      </x:c>
      <x:c r="U3304" s="47" t="n">
        <x:v>0</x:v>
      </x:c>
      <x:c r="V3304" s="54" t="n">
        <x:f>IF(ISNUMBER(T3304),T3304*(1+U3304),"")</x:f>
        <x:v>10.8</x:v>
      </x:c>
      <x:c r="W3304" s="47" t="n">
        <x:v>0.3</x:v>
      </x:c>
      <x:c r="X3304" s="54" t="n">
        <x:f>IF(ISNUMBER(V3304),V3304/(1-W3304),"")</x:f>
        <x:v>15.42857142857143</x:v>
      </x:c>
      <x:c r="Y3304" s="55" t="n">
        <x:f>IF(ISNUMBER(X3304),ROUNDUP(X3304,0),"")</x:f>
        <x:v>16</x:v>
      </x:c>
      <x:c r="Z3304" t="str">
        <x:v>Source match pending</x:v>
      </x:c>
      <x:c r="AA3304" t="str">
        <x:v>screencapture-www-activesportstrade-co-uk-applied-nutrition-trade-2026-09-10-08_59_59.pdf / page-12</x:v>
      </x:c>
      <x:c r="AB3304" s="36" t="n">
        <x:f>IF(ISNUMBER(Y3304),ROUND(Y3304*0.9,2),"")</x:f>
        <x:v>14.4</x:v>
      </x:c>
      <x:c r="AC3304" s="36" t="n">
        <x:f>IF(ISNUMBER(AB3304),ROUND(AB3304-(AB3304*0.015+0.2)-V3304,2),"")</x:f>
        <x:v>3.18</x:v>
      </x:c>
      <x:c r="AD3304" s="36" t="n">
        <x:f>IF(ISNUMBER(Y3304),ROUND(Y3304*0.8,2),"")</x:f>
        <x:v>12.8</x:v>
      </x:c>
      <x:c r="AE3304" s="36" t="n">
        <x:f>IF(ISNUMBER(AD3304),ROUND(AD3304*0.015+0.2,2),"")</x:f>
        <x:v>0.39</x:v>
      </x:c>
      <x:c r="AF3304" s="36" t="n">
        <x:f>IF(ISNUMBER(AD3304),ROUND(AD3304-AE3304-V3304,2),"")</x:f>
        <x:v>1.61</x:v>
      </x:c>
      <x:c r="AG3304" t="str">
        <x:f>IF(NOT(ISNUMBER(T3304)),"PENDING",IF(AF3304&gt;0,"PASS","FAIL"))</x:f>
        <x:v>PASS</x:v>
      </x:c>
      <x:c r="AH3304" t="str">
        <x:f>IF(NOT(ISNUMBER(T3304)),"Needs supplier cost",IF(K3304&lt;&gt;"In stock","Supplier unavailable",IF(AG3304&lt;&gt;"PASS","BLOCK - GT loss risk","Commercially protected")))</x:f>
        <x:v>Supplier unavailable</x:v>
      </x:c>
      <x:c r="AI3304" t="str">
        <x:v>2026-09-10 Active Sports trade capture</x:v>
      </x:c>
      <x:c r="AJ3304" t="str">
        <x:v>Management-only economics. Stripe stress test uses 1.5% + £0.20 standard UK online-card fee; pallet/mix-and-match pricing ignored.</x:v>
      </x:c>
    </x:row>
    <x:row r="3305">
      <x:c r="A3305" t="str">
        <x:v>Active Sports Nutrition</x:v>
      </x:c>
      <x:c r="B3305" t="str">
        <x:v>Applied Nutrition</x:v>
      </x:c>
      <x:c r="C3305" t="str">
        <x:v>High Protein Shake RTD</x:v>
      </x:c>
      <x:c r="D3305" t="str">
        <x:v>Food &amp; Drinks</x:v>
      </x:c>
      <x:c r="E3305" t="str">
        <x:v>Ready to Drink Protein</x:v>
      </x:c>
      <x:c r="F3305" t="str"/>
      <x:c r="G3305" t="str">
        <x:v>8 x 500ml</x:v>
      </x:c>
      <x:c r="H3305" t="str">
        <x:v>Banana</x:v>
      </x:c>
      <x:c r="I3305" t="str">
        <x:v>8</x:v>
      </x:c>
      <x:c r="J3305" t="str">
        <x:v>Case</x:v>
      </x:c>
      <x:c r="K3305" t="str">
        <x:v>In stock</x:v>
      </x:c>
      <x:c r="L3305" t="str">
        <x:v>2026-09-08</x:v>
      </x:c>
      <x:c r="M3305" t="str"/>
      <x:c r="N3305" t="str"/>
      <x:c r="O3305" t="str">
        <x:v>https://www.activesportstrade.co.uk/ready-to-drink-protein-trade</x:v>
      </x:c>
      <x:c r="P3305" t="str">
        <x:v>42g protein / VAT FREE / pallet promo wording stripped.</x:v>
      </x:c>
      <x:c r="Q3305" t="str"/>
      <x:c r="R3305" t="str"/>
      <x:c r="S3305" t="str">
        <x:v>Pending genuine supplier/brand image</x:v>
      </x:c>
      <x:c r="T3305" s="54" t="n">
        <x:v>13.92</x:v>
      </x:c>
      <x:c r="U3305" s="47" t="n">
        <x:v>0</x:v>
      </x:c>
      <x:c r="V3305" s="54" t="n">
        <x:f>IF(ISNUMBER(T3305),T3305*(1+U3305),"")</x:f>
        <x:v>13.92</x:v>
      </x:c>
      <x:c r="W3305" s="47" t="n">
        <x:v>0.3</x:v>
      </x:c>
      <x:c r="X3305" s="54" t="n">
        <x:f>IF(ISNUMBER(V3305),V3305/(1-W3305),"")</x:f>
        <x:v>19.885714285714286</x:v>
      </x:c>
      <x:c r="Y3305" s="55" t="n">
        <x:f>IF(ISNUMBER(X3305),ROUNDUP(X3305,0),"")</x:f>
        <x:v>20</x:v>
      </x:c>
      <x:c r="Z3305" t="str">
        <x:v>Source match pending</x:v>
      </x:c>
      <x:c r="AA3305" t="str">
        <x:v>screencapture-www-activesportstrade-co-uk-applied-nutrition-trade-2026-09-10-08_59_59.pdf / page-12</x:v>
      </x:c>
      <x:c r="AB3305" s="36" t="n">
        <x:f>IF(ISNUMBER(Y3305),ROUND(Y3305*0.9,2),"")</x:f>
        <x:v>18</x:v>
      </x:c>
      <x:c r="AC3305" s="36" t="n">
        <x:f>IF(ISNUMBER(AB3305),ROUND(AB3305-(AB3305*0.015+0.2)-V3305,2),"")</x:f>
        <x:v>3.61</x:v>
      </x:c>
      <x:c r="AD3305" s="36" t="n">
        <x:f>IF(ISNUMBER(Y3305),ROUND(Y3305*0.8,2),"")</x:f>
        <x:v>16</x:v>
      </x:c>
      <x:c r="AE3305" s="36" t="n">
        <x:f>IF(ISNUMBER(AD3305),ROUND(AD3305*0.015+0.2,2),"")</x:f>
        <x:v>0.44</x:v>
      </x:c>
      <x:c r="AF3305" s="36" t="n">
        <x:f>IF(ISNUMBER(AD3305),ROUND(AD3305-AE3305-V3305,2),"")</x:f>
        <x:v>1.64</x:v>
      </x:c>
      <x:c r="AG3305" t="str">
        <x:f>IF(NOT(ISNUMBER(T3305)),"PENDING",IF(AF3305&gt;0,"PASS","FAIL"))</x:f>
        <x:v>PASS</x:v>
      </x:c>
      <x:c r="AH3305" t="str">
        <x:f>IF(NOT(ISNUMBER(T3305)),"Needs supplier cost",IF(K3305&lt;&gt;"In stock","Supplier unavailable",IF(AG3305&lt;&gt;"PASS","BLOCK - GT loss risk","Commercially protected")))</x:f>
        <x:v>Commercially protected</x:v>
      </x:c>
      <x:c r="AI3305" t="str">
        <x:v>2026-09-10 Active Sports trade capture</x:v>
      </x:c>
      <x:c r="AJ3305" t="str">
        <x:v>Management-only economics. Stripe stress test uses 1.5% + £0.20 standard UK online-card fee; pallet/mix-and-match pricing ignored.</x:v>
      </x:c>
    </x:row>
    <x:row r="3306">
      <x:c r="A3306" t="str">
        <x:v>Active Sports Nutrition</x:v>
      </x:c>
      <x:c r="B3306" t="str">
        <x:v>Applied Nutrition</x:v>
      </x:c>
      <x:c r="C3306" t="str">
        <x:v>High Protein Shake RTD</x:v>
      </x:c>
      <x:c r="D3306" t="str">
        <x:v>Food &amp; Drinks</x:v>
      </x:c>
      <x:c r="E3306" t="str">
        <x:v>Ready to Drink Protein</x:v>
      </x:c>
      <x:c r="F3306" t="str"/>
      <x:c r="G3306" t="str">
        <x:v>8 x 500ml</x:v>
      </x:c>
      <x:c r="H3306" t="str">
        <x:v>Double Chocolate</x:v>
      </x:c>
      <x:c r="I3306" t="str">
        <x:v>8</x:v>
      </x:c>
      <x:c r="J3306" t="str">
        <x:v>Case</x:v>
      </x:c>
      <x:c r="K3306" t="str">
        <x:v>In stock</x:v>
      </x:c>
      <x:c r="L3306" t="str">
        <x:v>2026-09-08</x:v>
      </x:c>
      <x:c r="M3306" t="str"/>
      <x:c r="N3306" t="str"/>
      <x:c r="O3306" t="str">
        <x:v>https://www.activesportstrade.co.uk/ready-to-drink-protein-trade</x:v>
      </x:c>
      <x:c r="P3306" t="str">
        <x:v>42g protein / VAT FREE / pallet promo wording stripped.</x:v>
      </x:c>
      <x:c r="Q3306" t="str"/>
      <x:c r="R3306" t="str"/>
      <x:c r="S3306" t="str">
        <x:v>Pending genuine supplier/brand image</x:v>
      </x:c>
      <x:c r="T3306" s="54" t="n">
        <x:v>13.92</x:v>
      </x:c>
      <x:c r="U3306" s="47" t="n">
        <x:v>0</x:v>
      </x:c>
      <x:c r="V3306" s="54" t="n">
        <x:f>IF(ISNUMBER(T3306),T3306*(1+U3306),"")</x:f>
        <x:v>13.92</x:v>
      </x:c>
      <x:c r="W3306" s="47" t="n">
        <x:v>0.3</x:v>
      </x:c>
      <x:c r="X3306" s="54" t="n">
        <x:f>IF(ISNUMBER(V3306),V3306/(1-W3306),"")</x:f>
        <x:v>19.885714285714286</x:v>
      </x:c>
      <x:c r="Y3306" s="55" t="n">
        <x:f>IF(ISNUMBER(X3306),ROUNDUP(X3306,0),"")</x:f>
        <x:v>20</x:v>
      </x:c>
      <x:c r="Z3306" t="str">
        <x:v>Source match pending</x:v>
      </x:c>
      <x:c r="AA3306" t="str">
        <x:v>screencapture-www-activesportstrade-co-uk-applied-nutrition-trade-2026-09-10-08_59_59.pdf / page-12</x:v>
      </x:c>
      <x:c r="AB3306" s="36" t="n">
        <x:f>IF(ISNUMBER(Y3306),ROUND(Y3306*0.9,2),"")</x:f>
        <x:v>18</x:v>
      </x:c>
      <x:c r="AC3306" s="36" t="n">
        <x:f>IF(ISNUMBER(AB3306),ROUND(AB3306-(AB3306*0.015+0.2)-V3306,2),"")</x:f>
        <x:v>3.61</x:v>
      </x:c>
      <x:c r="AD3306" s="36" t="n">
        <x:f>IF(ISNUMBER(Y3306),ROUND(Y3306*0.8,2),"")</x:f>
        <x:v>16</x:v>
      </x:c>
      <x:c r="AE3306" s="36" t="n">
        <x:f>IF(ISNUMBER(AD3306),ROUND(AD3306*0.015+0.2,2),"")</x:f>
        <x:v>0.44</x:v>
      </x:c>
      <x:c r="AF3306" s="36" t="n">
        <x:f>IF(ISNUMBER(AD3306),ROUND(AD3306-AE3306-V3306,2),"")</x:f>
        <x:v>1.64</x:v>
      </x:c>
      <x:c r="AG3306" t="str">
        <x:f>IF(NOT(ISNUMBER(T3306)),"PENDING",IF(AF3306&gt;0,"PASS","FAIL"))</x:f>
        <x:v>PASS</x:v>
      </x:c>
      <x:c r="AH3306" t="str">
        <x:f>IF(NOT(ISNUMBER(T3306)),"Needs supplier cost",IF(K3306&lt;&gt;"In stock","Supplier unavailable",IF(AG3306&lt;&gt;"PASS","BLOCK - GT loss risk","Commercially protected")))</x:f>
        <x:v>Commercially protected</x:v>
      </x:c>
      <x:c r="AI3306" t="str">
        <x:v>2026-09-10 Active Sports trade capture</x:v>
      </x:c>
      <x:c r="AJ3306" t="str">
        <x:v>Management-only economics. Stripe stress test uses 1.5% + £0.20 standard UK online-card fee; pallet/mix-and-match pricing ignored.</x:v>
      </x:c>
    </x:row>
    <x:row r="3307">
      <x:c r="A3307" t="str">
        <x:v>Active Sports Nutrition</x:v>
      </x:c>
      <x:c r="B3307" t="str">
        <x:v>Applied Nutrition</x:v>
      </x:c>
      <x:c r="C3307" t="str">
        <x:v>High Protein Shake RTD</x:v>
      </x:c>
      <x:c r="D3307" t="str">
        <x:v>Food &amp; Drinks</x:v>
      </x:c>
      <x:c r="E3307" t="str">
        <x:v>Ready to Drink Protein</x:v>
      </x:c>
      <x:c r="F3307" t="str"/>
      <x:c r="G3307" t="str">
        <x:v>8 x 500ml</x:v>
      </x:c>
      <x:c r="H3307" t="str">
        <x:v>Strawberries &amp; Cream</x:v>
      </x:c>
      <x:c r="I3307" t="str">
        <x:v>8</x:v>
      </x:c>
      <x:c r="J3307" t="str">
        <x:v>Case</x:v>
      </x:c>
      <x:c r="K3307" t="str">
        <x:v>Out of stock</x:v>
      </x:c>
      <x:c r="L3307" t="str">
        <x:v>2026-09-08</x:v>
      </x:c>
      <x:c r="M3307" t="str"/>
      <x:c r="N3307" t="str"/>
      <x:c r="O3307" t="str">
        <x:v>https://www.activesportstrade.co.uk/ready-to-drink-protein-trade</x:v>
      </x:c>
      <x:c r="P3307" t="str">
        <x:v>42g protein / VAT FREE / pallet promo wording stripped.</x:v>
      </x:c>
      <x:c r="Q3307" t="str"/>
      <x:c r="R3307" t="str"/>
      <x:c r="S3307" t="str">
        <x:v>Pending genuine supplier/brand image</x:v>
      </x:c>
      <x:c r="T3307" s="54" t="n">
        <x:v>13.92</x:v>
      </x:c>
      <x:c r="U3307" s="47" t="n">
        <x:v>0</x:v>
      </x:c>
      <x:c r="V3307" s="54" t="n">
        <x:f>IF(ISNUMBER(T3307),T3307*(1+U3307),"")</x:f>
        <x:v>13.92</x:v>
      </x:c>
      <x:c r="W3307" s="47" t="n">
        <x:v>0.3</x:v>
      </x:c>
      <x:c r="X3307" s="54" t="n">
        <x:f>IF(ISNUMBER(V3307),V3307/(1-W3307),"")</x:f>
        <x:v>19.885714285714286</x:v>
      </x:c>
      <x:c r="Y3307" s="55" t="n">
        <x:f>IF(ISNUMBER(X3307),ROUNDUP(X3307,0),"")</x:f>
        <x:v>20</x:v>
      </x:c>
      <x:c r="Z3307" t="str">
        <x:v>Source match pending</x:v>
      </x:c>
      <x:c r="AA3307" t="str">
        <x:v>screencapture-www-activesportstrade-co-uk-applied-nutrition-trade-2026-09-10-08_59_59.pdf / page-12</x:v>
      </x:c>
      <x:c r="AB3307" s="36" t="n">
        <x:f>IF(ISNUMBER(Y3307),ROUND(Y3307*0.9,2),"")</x:f>
        <x:v>18</x:v>
      </x:c>
      <x:c r="AC3307" s="36" t="n">
        <x:f>IF(ISNUMBER(AB3307),ROUND(AB3307-(AB3307*0.015+0.2)-V3307,2),"")</x:f>
        <x:v>3.61</x:v>
      </x:c>
      <x:c r="AD3307" s="36" t="n">
        <x:f>IF(ISNUMBER(Y3307),ROUND(Y3307*0.8,2),"")</x:f>
        <x:v>16</x:v>
      </x:c>
      <x:c r="AE3307" s="36" t="n">
        <x:f>IF(ISNUMBER(AD3307),ROUND(AD3307*0.015+0.2,2),"")</x:f>
        <x:v>0.44</x:v>
      </x:c>
      <x:c r="AF3307" s="36" t="n">
        <x:f>IF(ISNUMBER(AD3307),ROUND(AD3307-AE3307-V3307,2),"")</x:f>
        <x:v>1.64</x:v>
      </x:c>
      <x:c r="AG3307" t="str">
        <x:f>IF(NOT(ISNUMBER(T3307)),"PENDING",IF(AF3307&gt;0,"PASS","FAIL"))</x:f>
        <x:v>PASS</x:v>
      </x:c>
      <x:c r="AH3307" t="str">
        <x:f>IF(NOT(ISNUMBER(T3307)),"Needs supplier cost",IF(K3307&lt;&gt;"In stock","Supplier unavailable",IF(AG3307&lt;&gt;"PASS","BLOCK - GT loss risk","Commercially protected")))</x:f>
        <x:v>Supplier unavailable</x:v>
      </x:c>
      <x:c r="AI3307" t="str">
        <x:v>2026-09-10 Active Sports trade capture</x:v>
      </x:c>
      <x:c r="AJ3307" t="str">
        <x:v>Management-only economics. Stripe stress test uses 1.5% + £0.20 standard UK online-card fee; pallet/mix-and-match pricing ignored.</x:v>
      </x:c>
    </x:row>
    <x:row r="3308">
      <x:c r="A3308" t="str">
        <x:v>Active Sports Nutrition</x:v>
      </x:c>
      <x:c r="B3308" t="str">
        <x:v>Applied Nutrition</x:v>
      </x:c>
      <x:c r="C3308" t="str">
        <x:v>High Protein Shake RTD</x:v>
      </x:c>
      <x:c r="D3308" t="str">
        <x:v>Food &amp; Drinks</x:v>
      </x:c>
      <x:c r="E3308" t="str">
        <x:v>Ready to Drink Protein</x:v>
      </x:c>
      <x:c r="F3308" t="str"/>
      <x:c r="G3308" t="str">
        <x:v>8 x 500ml</x:v>
      </x:c>
      <x:c r="H3308" t="str">
        <x:v>Vanilla Ice Cream</x:v>
      </x:c>
      <x:c r="I3308" t="str">
        <x:v>8</x:v>
      </x:c>
      <x:c r="J3308" t="str">
        <x:v>Case</x:v>
      </x:c>
      <x:c r="K3308" t="str">
        <x:v>In stock</x:v>
      </x:c>
      <x:c r="L3308" t="str">
        <x:v>2026-09-08</x:v>
      </x:c>
      <x:c r="M3308" t="str"/>
      <x:c r="N3308" t="str"/>
      <x:c r="O3308" t="str">
        <x:v>https://www.activesportstrade.co.uk/ready-to-drink-protein-trade</x:v>
      </x:c>
      <x:c r="P3308" t="str">
        <x:v>42g protein / VAT FREE / pallet promo wording stripped.</x:v>
      </x:c>
      <x:c r="Q3308" t="str"/>
      <x:c r="R3308" t="str"/>
      <x:c r="S3308" t="str">
        <x:v>Pending genuine supplier/brand image</x:v>
      </x:c>
      <x:c r="T3308" s="54" t="n">
        <x:v>13.92</x:v>
      </x:c>
      <x:c r="U3308" s="47" t="n">
        <x:v>0</x:v>
      </x:c>
      <x:c r="V3308" s="54" t="n">
        <x:f>IF(ISNUMBER(T3308),T3308*(1+U3308),"")</x:f>
        <x:v>13.92</x:v>
      </x:c>
      <x:c r="W3308" s="47" t="n">
        <x:v>0.3</x:v>
      </x:c>
      <x:c r="X3308" s="54" t="n">
        <x:f>IF(ISNUMBER(V3308),V3308/(1-W3308),"")</x:f>
        <x:v>19.885714285714286</x:v>
      </x:c>
      <x:c r="Y3308" s="55" t="n">
        <x:f>IF(ISNUMBER(X3308),ROUNDUP(X3308,0),"")</x:f>
        <x:v>20</x:v>
      </x:c>
      <x:c r="Z3308" t="str">
        <x:v>Source match pending</x:v>
      </x:c>
      <x:c r="AA3308" t="str">
        <x:v>screencapture-www-activesportstrade-co-uk-applied-nutrition-trade-2026-09-10-08_59_59.pdf / page-12</x:v>
      </x:c>
      <x:c r="AB3308" s="36" t="n">
        <x:f>IF(ISNUMBER(Y3308),ROUND(Y3308*0.9,2),"")</x:f>
        <x:v>18</x:v>
      </x:c>
      <x:c r="AC3308" s="36" t="n">
        <x:f>IF(ISNUMBER(AB3308),ROUND(AB3308-(AB3308*0.015+0.2)-V3308,2),"")</x:f>
        <x:v>3.61</x:v>
      </x:c>
      <x:c r="AD3308" s="36" t="n">
        <x:f>IF(ISNUMBER(Y3308),ROUND(Y3308*0.8,2),"")</x:f>
        <x:v>16</x:v>
      </x:c>
      <x:c r="AE3308" s="36" t="n">
        <x:f>IF(ISNUMBER(AD3308),ROUND(AD3308*0.015+0.2,2),"")</x:f>
        <x:v>0.44</x:v>
      </x:c>
      <x:c r="AF3308" s="36" t="n">
        <x:f>IF(ISNUMBER(AD3308),ROUND(AD3308-AE3308-V3308,2),"")</x:f>
        <x:v>1.64</x:v>
      </x:c>
      <x:c r="AG3308" t="str">
        <x:f>IF(NOT(ISNUMBER(T3308)),"PENDING",IF(AF3308&gt;0,"PASS","FAIL"))</x:f>
        <x:v>PASS</x:v>
      </x:c>
      <x:c r="AH3308" t="str">
        <x:f>IF(NOT(ISNUMBER(T3308)),"Needs supplier cost",IF(K3308&lt;&gt;"In stock","Supplier unavailable",IF(AG3308&lt;&gt;"PASS","BLOCK - GT loss risk","Commercially protected")))</x:f>
        <x:v>Commercially protected</x:v>
      </x:c>
      <x:c r="AI3308" t="str">
        <x:v>2026-09-10 Active Sports trade capture</x:v>
      </x:c>
      <x:c r="AJ3308" t="str">
        <x:v>Management-only economics. Stripe stress test uses 1.5% + £0.20 standard UK online-card fee; pallet/mix-and-match pricing ignored.</x:v>
      </x:c>
    </x:row>
    <x:row r="3309">
      <x:c r="A3309" t="str">
        <x:v>Active Sports Nutrition</x:v>
      </x:c>
      <x:c r="B3309" t="str">
        <x:v>Applied Nutrition</x:v>
      </x:c>
      <x:c r="C3309" t="str">
        <x:v>Protein Shots</x:v>
      </x:c>
      <x:c r="D3309" t="str">
        <x:v>Food &amp; Drinks</x:v>
      </x:c>
      <x:c r="E3309" t="str">
        <x:v>Ready to Drink Protein</x:v>
      </x:c>
      <x:c r="F3309" t="str"/>
      <x:c r="G3309" t="str">
        <x:v>12 x 100ml</x:v>
      </x:c>
      <x:c r="H3309" t="str">
        <x:v>Blue Raspberry</x:v>
      </x:c>
      <x:c r="I3309" t="str">
        <x:v>12</x:v>
      </x:c>
      <x:c r="J3309" t="str">
        <x:v>Case</x:v>
      </x:c>
      <x:c r="K3309" t="str">
        <x:v>In stock</x:v>
      </x:c>
      <x:c r="L3309" t="str">
        <x:v>2026-09-08</x:v>
      </x:c>
      <x:c r="M3309" t="str"/>
      <x:c r="N3309" t="str"/>
      <x:c r="O3309" t="str">
        <x:v>https://www.activesportstrade.co.uk/ready-to-drink-protein-trade</x:v>
      </x:c>
      <x:c r="P3309" t="str">
        <x:v>VAT FREE wording stripped; case-only supplier ordering.</x:v>
      </x:c>
      <x:c r="Q3309" t="str"/>
      <x:c r="R3309" t="str"/>
      <x:c r="S3309" t="str">
        <x:v>Pending genuine supplier/brand image</x:v>
      </x:c>
      <x:c r="T3309" s="54" t="n">
        <x:v>20.95</x:v>
      </x:c>
      <x:c r="U3309" s="47" t="n">
        <x:v>0</x:v>
      </x:c>
      <x:c r="V3309" s="54" t="n">
        <x:f>IF(ISNUMBER(T3309),T3309*(1+U3309),"")</x:f>
        <x:v>20.95</x:v>
      </x:c>
      <x:c r="W3309" s="47" t="n">
        <x:v>0.3</x:v>
      </x:c>
      <x:c r="X3309" s="54" t="n">
        <x:f>IF(ISNUMBER(V3309),V3309/(1-W3309),"")</x:f>
        <x:v>29.92857142857143</x:v>
      </x:c>
      <x:c r="Y3309" s="55" t="n">
        <x:f>IF(ISNUMBER(X3309),ROUNDUP(X3309,0),"")</x:f>
        <x:v>30</x:v>
      </x:c>
      <x:c r="Z3309" t="str">
        <x:v>Source match pending</x:v>
      </x:c>
      <x:c r="AA3309" t="str">
        <x:v>screencapture-www-activesportstrade-co-uk-applied-nutrition-trade-2026-09-10-08_59_59.pdf / page-17</x:v>
      </x:c>
      <x:c r="AB3309" s="36" t="n">
        <x:f>IF(ISNUMBER(Y3309),ROUND(Y3309*0.9,2),"")</x:f>
        <x:v>27</x:v>
      </x:c>
      <x:c r="AC3309" s="36" t="n">
        <x:f>IF(ISNUMBER(AB3309),ROUND(AB3309-(AB3309*0.015+0.2)-V3309,2),"")</x:f>
        <x:v>5.45</x:v>
      </x:c>
      <x:c r="AD3309" s="36" t="n">
        <x:f>IF(ISNUMBER(Y3309),ROUND(Y3309*0.8,2),"")</x:f>
        <x:v>24</x:v>
      </x:c>
      <x:c r="AE3309" s="36" t="n">
        <x:f>IF(ISNUMBER(AD3309),ROUND(AD3309*0.015+0.2,2),"")</x:f>
        <x:v>0.56</x:v>
      </x:c>
      <x:c r="AF3309" s="36" t="n">
        <x:f>IF(ISNUMBER(AD3309),ROUND(AD3309-AE3309-V3309,2),"")</x:f>
        <x:v>2.49</x:v>
      </x:c>
      <x:c r="AG3309" t="str">
        <x:f>IF(NOT(ISNUMBER(T3309)),"PENDING",IF(AF3309&gt;0,"PASS","FAIL"))</x:f>
        <x:v>PASS</x:v>
      </x:c>
      <x:c r="AH3309" t="str">
        <x:f>IF(NOT(ISNUMBER(T3309)),"Needs supplier cost",IF(K3309&lt;&gt;"In stock","Supplier unavailable",IF(AG3309&lt;&gt;"PASS","BLOCK - GT loss risk","Commercially protected")))</x:f>
        <x:v>Commercially protected</x:v>
      </x:c>
      <x:c r="AI3309" t="str">
        <x:v>2026-09-10 Active Sports trade capture</x:v>
      </x:c>
      <x:c r="AJ3309" t="str">
        <x:v>Management-only economics. Stripe stress test uses 1.5% + £0.20 standard UK online-card fee; pallet/mix-and-match pricing ignored.</x:v>
      </x:c>
    </x:row>
    <x:row r="3310">
      <x:c r="A3310" t="str">
        <x:v>Active Sports Nutrition</x:v>
      </x:c>
      <x:c r="B3310" t="str">
        <x:v>Applied Nutrition</x:v>
      </x:c>
      <x:c r="C3310" t="str">
        <x:v>Protein Shots</x:v>
      </x:c>
      <x:c r="D3310" t="str">
        <x:v>Food &amp; Drinks</x:v>
      </x:c>
      <x:c r="E3310" t="str">
        <x:v>Ready to Drink Protein</x:v>
      </x:c>
      <x:c r="F3310" t="str"/>
      <x:c r="G3310" t="str">
        <x:v>12 x 100ml</x:v>
      </x:c>
      <x:c r="H3310" t="str">
        <x:v>Lemon &amp; Lime</x:v>
      </x:c>
      <x:c r="I3310" t="str">
        <x:v>12</x:v>
      </x:c>
      <x:c r="J3310" t="str">
        <x:v>Case</x:v>
      </x:c>
      <x:c r="K3310" t="str">
        <x:v>In stock</x:v>
      </x:c>
      <x:c r="L3310" t="str">
        <x:v>2026-09-08</x:v>
      </x:c>
      <x:c r="M3310" t="str"/>
      <x:c r="N3310" t="str"/>
      <x:c r="O3310" t="str">
        <x:v>https://www.activesportstrade.co.uk/ready-to-drink-protein-trade</x:v>
      </x:c>
      <x:c r="P3310" t="str">
        <x:v>VAT FREE wording stripped; case-only supplier ordering.</x:v>
      </x:c>
      <x:c r="Q3310" t="str"/>
      <x:c r="R3310" t="str"/>
      <x:c r="S3310" t="str">
        <x:v>Pending genuine supplier/brand image</x:v>
      </x:c>
      <x:c r="T3310" s="54" t="n">
        <x:v>20.95</x:v>
      </x:c>
      <x:c r="U3310" s="47" t="n">
        <x:v>0</x:v>
      </x:c>
      <x:c r="V3310" s="54" t="n">
        <x:f>IF(ISNUMBER(T3310),T3310*(1+U3310),"")</x:f>
        <x:v>20.95</x:v>
      </x:c>
      <x:c r="W3310" s="47" t="n">
        <x:v>0.3</x:v>
      </x:c>
      <x:c r="X3310" s="54" t="n">
        <x:f>IF(ISNUMBER(V3310),V3310/(1-W3310),"")</x:f>
        <x:v>29.92857142857143</x:v>
      </x:c>
      <x:c r="Y3310" s="55" t="n">
        <x:f>IF(ISNUMBER(X3310),ROUNDUP(X3310,0),"")</x:f>
        <x:v>30</x:v>
      </x:c>
      <x:c r="Z3310" t="str">
        <x:v>Source match pending</x:v>
      </x:c>
      <x:c r="AA3310" t="str">
        <x:v>screencapture-www-activesportstrade-co-uk-applied-nutrition-trade-2026-09-10-08_59_59.pdf / page-17</x:v>
      </x:c>
      <x:c r="AB3310" s="36" t="n">
        <x:f>IF(ISNUMBER(Y3310),ROUND(Y3310*0.9,2),"")</x:f>
        <x:v>27</x:v>
      </x:c>
      <x:c r="AC3310" s="36" t="n">
        <x:f>IF(ISNUMBER(AB3310),ROUND(AB3310-(AB3310*0.015+0.2)-V3310,2),"")</x:f>
        <x:v>5.45</x:v>
      </x:c>
      <x:c r="AD3310" s="36" t="n">
        <x:f>IF(ISNUMBER(Y3310),ROUND(Y3310*0.8,2),"")</x:f>
        <x:v>24</x:v>
      </x:c>
      <x:c r="AE3310" s="36" t="n">
        <x:f>IF(ISNUMBER(AD3310),ROUND(AD3310*0.015+0.2,2),"")</x:f>
        <x:v>0.56</x:v>
      </x:c>
      <x:c r="AF3310" s="36" t="n">
        <x:f>IF(ISNUMBER(AD3310),ROUND(AD3310-AE3310-V3310,2),"")</x:f>
        <x:v>2.49</x:v>
      </x:c>
      <x:c r="AG3310" t="str">
        <x:f>IF(NOT(ISNUMBER(T3310)),"PENDING",IF(AF3310&gt;0,"PASS","FAIL"))</x:f>
        <x:v>PASS</x:v>
      </x:c>
      <x:c r="AH3310" t="str">
        <x:f>IF(NOT(ISNUMBER(T3310)),"Needs supplier cost",IF(K3310&lt;&gt;"In stock","Supplier unavailable",IF(AG3310&lt;&gt;"PASS","BLOCK - GT loss risk","Commercially protected")))</x:f>
        <x:v>Commercially protected</x:v>
      </x:c>
      <x:c r="AI3310" t="str">
        <x:v>2026-09-10 Active Sports trade capture</x:v>
      </x:c>
      <x:c r="AJ3310" t="str">
        <x:v>Management-only economics. Stripe stress test uses 1.5% + £0.20 standard UK online-card fee; pallet/mix-and-match pricing ignored.</x:v>
      </x:c>
    </x:row>
    <x:row r="3311">
      <x:c r="A3311" t="str">
        <x:v>Active Sports Nutrition</x:v>
      </x:c>
      <x:c r="B3311" t="str">
        <x:v>Applied Nutrition</x:v>
      </x:c>
      <x:c r="C3311" t="str">
        <x:v>Protein Shots</x:v>
      </x:c>
      <x:c r="D3311" t="str">
        <x:v>Food &amp; Drinks</x:v>
      </x:c>
      <x:c r="E3311" t="str">
        <x:v>Ready to Drink Protein</x:v>
      </x:c>
      <x:c r="F3311" t="str"/>
      <x:c r="G3311" t="str">
        <x:v>12 x 100ml</x:v>
      </x:c>
      <x:c r="H3311" t="str">
        <x:v>Orange</x:v>
      </x:c>
      <x:c r="I3311" t="str">
        <x:v>12</x:v>
      </x:c>
      <x:c r="J3311" t="str">
        <x:v>Case</x:v>
      </x:c>
      <x:c r="K3311" t="str">
        <x:v>In stock</x:v>
      </x:c>
      <x:c r="L3311" t="str">
        <x:v>2026-09-08</x:v>
      </x:c>
      <x:c r="M3311" t="str"/>
      <x:c r="N3311" t="str"/>
      <x:c r="O3311" t="str">
        <x:v>https://www.activesportstrade.co.uk/ready-to-drink-protein-trade</x:v>
      </x:c>
      <x:c r="P3311" t="str">
        <x:v>VAT FREE wording stripped; case-only supplier ordering.</x:v>
      </x:c>
      <x:c r="Q3311" t="str"/>
      <x:c r="R3311" t="str"/>
      <x:c r="S3311" t="str">
        <x:v>Pending genuine supplier/brand image</x:v>
      </x:c>
      <x:c r="T3311" s="54" t="n">
        <x:v>20.95</x:v>
      </x:c>
      <x:c r="U3311" s="47" t="n">
        <x:v>0</x:v>
      </x:c>
      <x:c r="V3311" s="54" t="n">
        <x:f>IF(ISNUMBER(T3311),T3311*(1+U3311),"")</x:f>
        <x:v>20.95</x:v>
      </x:c>
      <x:c r="W3311" s="47" t="n">
        <x:v>0.3</x:v>
      </x:c>
      <x:c r="X3311" s="54" t="n">
        <x:f>IF(ISNUMBER(V3311),V3311/(1-W3311),"")</x:f>
        <x:v>29.92857142857143</x:v>
      </x:c>
      <x:c r="Y3311" s="55" t="n">
        <x:f>IF(ISNUMBER(X3311),ROUNDUP(X3311,0),"")</x:f>
        <x:v>30</x:v>
      </x:c>
      <x:c r="Z3311" t="str">
        <x:v>Source match pending</x:v>
      </x:c>
      <x:c r="AA3311" t="str">
        <x:v>screencapture-www-activesportstrade-co-uk-applied-nutrition-trade-2026-09-10-08_59_59.pdf / page-17</x:v>
      </x:c>
      <x:c r="AB3311" s="36" t="n">
        <x:f>IF(ISNUMBER(Y3311),ROUND(Y3311*0.9,2),"")</x:f>
        <x:v>27</x:v>
      </x:c>
      <x:c r="AC3311" s="36" t="n">
        <x:f>IF(ISNUMBER(AB3311),ROUND(AB3311-(AB3311*0.015+0.2)-V3311,2),"")</x:f>
        <x:v>5.45</x:v>
      </x:c>
      <x:c r="AD3311" s="36" t="n">
        <x:f>IF(ISNUMBER(Y3311),ROUND(Y3311*0.8,2),"")</x:f>
        <x:v>24</x:v>
      </x:c>
      <x:c r="AE3311" s="36" t="n">
        <x:f>IF(ISNUMBER(AD3311),ROUND(AD3311*0.015+0.2,2),"")</x:f>
        <x:v>0.56</x:v>
      </x:c>
      <x:c r="AF3311" s="36" t="n">
        <x:f>IF(ISNUMBER(AD3311),ROUND(AD3311-AE3311-V3311,2),"")</x:f>
        <x:v>2.49</x:v>
      </x:c>
      <x:c r="AG3311" t="str">
        <x:f>IF(NOT(ISNUMBER(T3311)),"PENDING",IF(AF3311&gt;0,"PASS","FAIL"))</x:f>
        <x:v>PASS</x:v>
      </x:c>
      <x:c r="AH3311" t="str">
        <x:f>IF(NOT(ISNUMBER(T3311)),"Needs supplier cost",IF(K3311&lt;&gt;"In stock","Supplier unavailable",IF(AG3311&lt;&gt;"PASS","BLOCK - GT loss risk","Commercially protected")))</x:f>
        <x:v>Commercially protected</x:v>
      </x:c>
      <x:c r="AI3311" t="str">
        <x:v>2026-09-10 Active Sports trade capture</x:v>
      </x:c>
      <x:c r="AJ3311" t="str">
        <x:v>Management-only economics. Stripe stress test uses 1.5% + £0.20 standard UK online-card fee; pallet/mix-and-match pricing ignored.</x:v>
      </x:c>
    </x:row>
    <x:row r="3312">
      <x:c r="A3312" t="str">
        <x:v>Active Sports Nutrition</x:v>
      </x:c>
      <x:c r="B3312" t="str">
        <x:v>Applied Nutrition</x:v>
      </x:c>
      <x:c r="C3312" t="str">
        <x:v>Sparkling Protein Water</x:v>
      </x:c>
      <x:c r="D3312" t="str">
        <x:v>Food &amp; Drinks</x:v>
      </x:c>
      <x:c r="E3312" t="str">
        <x:v>Ready to Drink Protein</x:v>
      </x:c>
      <x:c r="F3312" t="str"/>
      <x:c r="G3312" t="str">
        <x:v>12 x 330ml</x:v>
      </x:c>
      <x:c r="H3312" t="str">
        <x:v>Apple Burst</x:v>
      </x:c>
      <x:c r="I3312" t="str">
        <x:v>12</x:v>
      </x:c>
      <x:c r="J3312" t="str">
        <x:v>Case</x:v>
      </x:c>
      <x:c r="K3312" t="str">
        <x:v>In stock</x:v>
      </x:c>
      <x:c r="L3312" t="str">
        <x:v>2026-09-08</x:v>
      </x:c>
      <x:c r="M3312" t="str"/>
      <x:c r="N3312" t="str"/>
      <x:c r="O3312" t="str">
        <x:v>https://www.activesportstrade.co.uk/ready-to-drink-protein-trade</x:v>
      </x:c>
      <x:c r="P3312" t="str">
        <x:v>NEW wording stripped from Cherry; case-only supplier ordering.</x:v>
      </x:c>
      <x:c r="Q3312" t="str"/>
      <x:c r="R3312" t="str"/>
      <x:c r="S3312" t="str">
        <x:v>Pending genuine supplier/brand image</x:v>
      </x:c>
      <x:c r="T3312" s="54" t="n">
        <x:v>11.99</x:v>
      </x:c>
      <x:c r="U3312" s="47" t="n">
        <x:v>0.2</x:v>
      </x:c>
      <x:c r="V3312" s="54" t="n">
        <x:f>IF(ISNUMBER(T3312),T3312*(1+U3312),"")</x:f>
        <x:v>14.388</x:v>
      </x:c>
      <x:c r="W3312" s="47" t="n">
        <x:v>0.3</x:v>
      </x:c>
      <x:c r="X3312" s="54" t="n">
        <x:f>IF(ISNUMBER(V3312),V3312/(1-W3312),"")</x:f>
        <x:v>20.554285714285715</x:v>
      </x:c>
      <x:c r="Y3312" s="55" t="n">
        <x:f>IF(ISNUMBER(X3312),ROUNDUP(X3312,0),"")</x:f>
        <x:v>21</x:v>
      </x:c>
      <x:c r="Z3312" t="str">
        <x:v>Source match pending</x:v>
      </x:c>
      <x:c r="AA3312" t="str">
        <x:v>screencapture-www-activesportstrade-co-uk-applied-nutrition-trade-2026-09-10-08_59_59.pdf / page-18</x:v>
      </x:c>
      <x:c r="AB3312" s="36" t="n">
        <x:f>IF(ISNUMBER(Y3312),ROUND(Y3312*0.9,2),"")</x:f>
        <x:v>18.9</x:v>
      </x:c>
      <x:c r="AC3312" s="36" t="n">
        <x:f>IF(ISNUMBER(AB3312),ROUND(AB3312-(AB3312*0.015+0.2)-V3312,2),"")</x:f>
        <x:v>4.03</x:v>
      </x:c>
      <x:c r="AD3312" s="36" t="n">
        <x:f>IF(ISNUMBER(Y3312),ROUND(Y3312*0.8,2),"")</x:f>
        <x:v>16.8</x:v>
      </x:c>
      <x:c r="AE3312" s="36" t="n">
        <x:f>IF(ISNUMBER(AD3312),ROUND(AD3312*0.015+0.2,2),"")</x:f>
        <x:v>0.45</x:v>
      </x:c>
      <x:c r="AF3312" s="36" t="n">
        <x:f>IF(ISNUMBER(AD3312),ROUND(AD3312-AE3312-V3312,2),"")</x:f>
        <x:v>1.96</x:v>
      </x:c>
      <x:c r="AG3312" t="str">
        <x:f>IF(NOT(ISNUMBER(T3312)),"PENDING",IF(AF3312&gt;0,"PASS","FAIL"))</x:f>
        <x:v>PASS</x:v>
      </x:c>
      <x:c r="AH3312" t="str">
        <x:f>IF(NOT(ISNUMBER(T3312)),"Needs supplier cost",IF(K3312&lt;&gt;"In stock","Supplier unavailable",IF(AG3312&lt;&gt;"PASS","BLOCK - GT loss risk","Commercially protected")))</x:f>
        <x:v>Commercially protected</x:v>
      </x:c>
      <x:c r="AI3312" t="str">
        <x:v>2026-09-10 Active Sports trade capture</x:v>
      </x:c>
      <x:c r="AJ3312" t="str">
        <x:v>Management-only economics. Stripe stress test uses 1.5% + £0.20 standard UK online-card fee; pallet/mix-and-match pricing ignored.</x:v>
      </x:c>
    </x:row>
    <x:row r="3313">
      <x:c r="A3313" t="str">
        <x:v>Active Sports Nutrition</x:v>
      </x:c>
      <x:c r="B3313" t="str">
        <x:v>Applied Nutrition</x:v>
      </x:c>
      <x:c r="C3313" t="str">
        <x:v>Sparkling Protein Water</x:v>
      </x:c>
      <x:c r="D3313" t="str">
        <x:v>Food &amp; Drinks</x:v>
      </x:c>
      <x:c r="E3313" t="str">
        <x:v>Ready to Drink Protein</x:v>
      </x:c>
      <x:c r="F3313" t="str"/>
      <x:c r="G3313" t="str">
        <x:v>12 x 330ml</x:v>
      </x:c>
      <x:c r="H3313" t="str">
        <x:v>Cherry</x:v>
      </x:c>
      <x:c r="I3313" t="str">
        <x:v>12</x:v>
      </x:c>
      <x:c r="J3313" t="str">
        <x:v>Case</x:v>
      </x:c>
      <x:c r="K3313" t="str">
        <x:v>In stock</x:v>
      </x:c>
      <x:c r="L3313" t="str">
        <x:v>2026-09-08</x:v>
      </x:c>
      <x:c r="M3313" t="str"/>
      <x:c r="N3313" t="str"/>
      <x:c r="O3313" t="str">
        <x:v>https://www.activesportstrade.co.uk/ready-to-drink-protein-trade</x:v>
      </x:c>
      <x:c r="P3313" t="str">
        <x:v>NEW wording stripped from Cherry; case-only supplier ordering.</x:v>
      </x:c>
      <x:c r="Q3313" t="str"/>
      <x:c r="R3313" t="str"/>
      <x:c r="S3313" t="str">
        <x:v>Pending genuine supplier/brand image</x:v>
      </x:c>
      <x:c r="T3313" s="54" t="n">
        <x:v>11.99</x:v>
      </x:c>
      <x:c r="U3313" s="47" t="n">
        <x:v>0.2</x:v>
      </x:c>
      <x:c r="V3313" s="54" t="n">
        <x:f>IF(ISNUMBER(T3313),T3313*(1+U3313),"")</x:f>
        <x:v>14.388</x:v>
      </x:c>
      <x:c r="W3313" s="47" t="n">
        <x:v>0.3</x:v>
      </x:c>
      <x:c r="X3313" s="54" t="n">
        <x:f>IF(ISNUMBER(V3313),V3313/(1-W3313),"")</x:f>
        <x:v>20.554285714285715</x:v>
      </x:c>
      <x:c r="Y3313" s="55" t="n">
        <x:f>IF(ISNUMBER(X3313),ROUNDUP(X3313,0),"")</x:f>
        <x:v>21</x:v>
      </x:c>
      <x:c r="Z3313" t="str">
        <x:v>Source match pending</x:v>
      </x:c>
      <x:c r="AA3313" t="str">
        <x:v>screencapture-www-activesportstrade-co-uk-applied-nutrition-trade-2026-09-10-08_59_59.pdf / page-18</x:v>
      </x:c>
      <x:c r="AB3313" s="36" t="n">
        <x:f>IF(ISNUMBER(Y3313),ROUND(Y3313*0.9,2),"")</x:f>
        <x:v>18.9</x:v>
      </x:c>
      <x:c r="AC3313" s="36" t="n">
        <x:f>IF(ISNUMBER(AB3313),ROUND(AB3313-(AB3313*0.015+0.2)-V3313,2),"")</x:f>
        <x:v>4.03</x:v>
      </x:c>
      <x:c r="AD3313" s="36" t="n">
        <x:f>IF(ISNUMBER(Y3313),ROUND(Y3313*0.8,2),"")</x:f>
        <x:v>16.8</x:v>
      </x:c>
      <x:c r="AE3313" s="36" t="n">
        <x:f>IF(ISNUMBER(AD3313),ROUND(AD3313*0.015+0.2,2),"")</x:f>
        <x:v>0.45</x:v>
      </x:c>
      <x:c r="AF3313" s="36" t="n">
        <x:f>IF(ISNUMBER(AD3313),ROUND(AD3313-AE3313-V3313,2),"")</x:f>
        <x:v>1.96</x:v>
      </x:c>
      <x:c r="AG3313" t="str">
        <x:f>IF(NOT(ISNUMBER(T3313)),"PENDING",IF(AF3313&gt;0,"PASS","FAIL"))</x:f>
        <x:v>PASS</x:v>
      </x:c>
      <x:c r="AH3313" t="str">
        <x:f>IF(NOT(ISNUMBER(T3313)),"Needs supplier cost",IF(K3313&lt;&gt;"In stock","Supplier unavailable",IF(AG3313&lt;&gt;"PASS","BLOCK - GT loss risk","Commercially protected")))</x:f>
        <x:v>Commercially protected</x:v>
      </x:c>
      <x:c r="AI3313" t="str">
        <x:v>2026-09-10 Active Sports trade capture</x:v>
      </x:c>
      <x:c r="AJ3313" t="str">
        <x:v>Management-only economics. Stripe stress test uses 1.5% + £0.20 standard UK online-card fee; pallet/mix-and-match pricing ignored.</x:v>
      </x:c>
    </x:row>
    <x:row r="3314">
      <x:c r="A3314" t="str">
        <x:v>Active Sports Nutrition</x:v>
      </x:c>
      <x:c r="B3314" t="str">
        <x:v>Applied Nutrition</x:v>
      </x:c>
      <x:c r="C3314" t="str">
        <x:v>Sparkling Protein Water</x:v>
      </x:c>
      <x:c r="D3314" t="str">
        <x:v>Food &amp; Drinks</x:v>
      </x:c>
      <x:c r="E3314" t="str">
        <x:v>Ready to Drink Protein</x:v>
      </x:c>
      <x:c r="F3314" t="str"/>
      <x:c r="G3314" t="str">
        <x:v>12 x 330ml</x:v>
      </x:c>
      <x:c r="H3314" t="str">
        <x:v>Orange Burst</x:v>
      </x:c>
      <x:c r="I3314" t="str">
        <x:v>12</x:v>
      </x:c>
      <x:c r="J3314" t="str">
        <x:v>Case</x:v>
      </x:c>
      <x:c r="K3314" t="str">
        <x:v>In stock</x:v>
      </x:c>
      <x:c r="L3314" t="str">
        <x:v>2026-09-08</x:v>
      </x:c>
      <x:c r="M3314" t="str"/>
      <x:c r="N3314" t="str"/>
      <x:c r="O3314" t="str">
        <x:v>https://www.activesportstrade.co.uk/ready-to-drink-protein-trade</x:v>
      </x:c>
      <x:c r="P3314" t="str">
        <x:v>NEW wording stripped from Cherry; case-only supplier ordering.</x:v>
      </x:c>
      <x:c r="Q3314" t="str"/>
      <x:c r="R3314" t="str"/>
      <x:c r="S3314" t="str">
        <x:v>Pending genuine supplier/brand image</x:v>
      </x:c>
      <x:c r="T3314" s="54" t="n">
        <x:v>11.99</x:v>
      </x:c>
      <x:c r="U3314" s="47" t="n">
        <x:v>0.2</x:v>
      </x:c>
      <x:c r="V3314" s="54" t="n">
        <x:f>IF(ISNUMBER(T3314),T3314*(1+U3314),"")</x:f>
        <x:v>14.388</x:v>
      </x:c>
      <x:c r="W3314" s="47" t="n">
        <x:v>0.3</x:v>
      </x:c>
      <x:c r="X3314" s="54" t="n">
        <x:f>IF(ISNUMBER(V3314),V3314/(1-W3314),"")</x:f>
        <x:v>20.554285714285715</x:v>
      </x:c>
      <x:c r="Y3314" s="55" t="n">
        <x:f>IF(ISNUMBER(X3314),ROUNDUP(X3314,0),"")</x:f>
        <x:v>21</x:v>
      </x:c>
      <x:c r="Z3314" t="str">
        <x:v>Source match pending</x:v>
      </x:c>
      <x:c r="AA3314" t="str">
        <x:v>screencapture-www-activesportstrade-co-uk-applied-nutrition-trade-2026-09-10-08_59_59.pdf / page-18</x:v>
      </x:c>
      <x:c r="AB3314" s="36" t="n">
        <x:f>IF(ISNUMBER(Y3314),ROUND(Y3314*0.9,2),"")</x:f>
        <x:v>18.9</x:v>
      </x:c>
      <x:c r="AC3314" s="36" t="n">
        <x:f>IF(ISNUMBER(AB3314),ROUND(AB3314-(AB3314*0.015+0.2)-V3314,2),"")</x:f>
        <x:v>4.03</x:v>
      </x:c>
      <x:c r="AD3314" s="36" t="n">
        <x:f>IF(ISNUMBER(Y3314),ROUND(Y3314*0.8,2),"")</x:f>
        <x:v>16.8</x:v>
      </x:c>
      <x:c r="AE3314" s="36" t="n">
        <x:f>IF(ISNUMBER(AD3314),ROUND(AD3314*0.015+0.2,2),"")</x:f>
        <x:v>0.45</x:v>
      </x:c>
      <x:c r="AF3314" s="36" t="n">
        <x:f>IF(ISNUMBER(AD3314),ROUND(AD3314-AE3314-V3314,2),"")</x:f>
        <x:v>1.96</x:v>
      </x:c>
      <x:c r="AG3314" t="str">
        <x:f>IF(NOT(ISNUMBER(T3314)),"PENDING",IF(AF3314&gt;0,"PASS","FAIL"))</x:f>
        <x:v>PASS</x:v>
      </x:c>
      <x:c r="AH3314" t="str">
        <x:f>IF(NOT(ISNUMBER(T3314)),"Needs supplier cost",IF(K3314&lt;&gt;"In stock","Supplier unavailable",IF(AG3314&lt;&gt;"PASS","BLOCK - GT loss risk","Commercially protected")))</x:f>
        <x:v>Commercially protected</x:v>
      </x:c>
      <x:c r="AI3314" t="str">
        <x:v>2026-09-10 Active Sports trade capture</x:v>
      </x:c>
      <x:c r="AJ3314" t="str">
        <x:v>Management-only economics. Stripe stress test uses 1.5% + £0.20 standard UK online-card fee; pallet/mix-and-match pricing ignored.</x:v>
      </x:c>
    </x:row>
    <x:row r="3315">
      <x:c r="A3315" t="str">
        <x:v>Active Sports Nutrition</x:v>
      </x:c>
      <x:c r="B3315" t="str">
        <x:v>Applied Nutrition</x:v>
      </x:c>
      <x:c r="C3315" t="str">
        <x:v>Sparkling Protein Water</x:v>
      </x:c>
      <x:c r="D3315" t="str">
        <x:v>Food &amp; Drinks</x:v>
      </x:c>
      <x:c r="E3315" t="str">
        <x:v>Ready to Drink Protein</x:v>
      </x:c>
      <x:c r="F3315" t="str"/>
      <x:c r="G3315" t="str">
        <x:v>12 x 330ml</x:v>
      </x:c>
      <x:c r="H3315" t="str">
        <x:v>Tropical Burst</x:v>
      </x:c>
      <x:c r="I3315" t="str">
        <x:v>12</x:v>
      </x:c>
      <x:c r="J3315" t="str">
        <x:v>Case</x:v>
      </x:c>
      <x:c r="K3315" t="str">
        <x:v>In stock</x:v>
      </x:c>
      <x:c r="L3315" t="str">
        <x:v>2026-09-08</x:v>
      </x:c>
      <x:c r="M3315" t="str"/>
      <x:c r="N3315" t="str"/>
      <x:c r="O3315" t="str">
        <x:v>https://www.activesportstrade.co.uk/ready-to-drink-protein-trade</x:v>
      </x:c>
      <x:c r="P3315" t="str">
        <x:v>NEW wording stripped from Cherry; case-only supplier ordering.</x:v>
      </x:c>
      <x:c r="Q3315" t="str"/>
      <x:c r="R3315" t="str"/>
      <x:c r="S3315" t="str">
        <x:v>Pending genuine supplier/brand image</x:v>
      </x:c>
      <x:c r="T3315" s="54" t="n">
        <x:v>11.99</x:v>
      </x:c>
      <x:c r="U3315" s="47" t="n">
        <x:v>0.2</x:v>
      </x:c>
      <x:c r="V3315" s="54" t="n">
        <x:f>IF(ISNUMBER(T3315),T3315*(1+U3315),"")</x:f>
        <x:v>14.388</x:v>
      </x:c>
      <x:c r="W3315" s="47" t="n">
        <x:v>0.3</x:v>
      </x:c>
      <x:c r="X3315" s="54" t="n">
        <x:f>IF(ISNUMBER(V3315),V3315/(1-W3315),"")</x:f>
        <x:v>20.554285714285715</x:v>
      </x:c>
      <x:c r="Y3315" s="55" t="n">
        <x:f>IF(ISNUMBER(X3315),ROUNDUP(X3315,0),"")</x:f>
        <x:v>21</x:v>
      </x:c>
      <x:c r="Z3315" t="str">
        <x:v>Source match pending</x:v>
      </x:c>
      <x:c r="AA3315" t="str">
        <x:v>screencapture-www-activesportstrade-co-uk-applied-nutrition-trade-2026-09-10-08_59_59.pdf / page-18</x:v>
      </x:c>
      <x:c r="AB3315" s="36" t="n">
        <x:f>IF(ISNUMBER(Y3315),ROUND(Y3315*0.9,2),"")</x:f>
        <x:v>18.9</x:v>
      </x:c>
      <x:c r="AC3315" s="36" t="n">
        <x:f>IF(ISNUMBER(AB3315),ROUND(AB3315-(AB3315*0.015+0.2)-V3315,2),"")</x:f>
        <x:v>4.03</x:v>
      </x:c>
      <x:c r="AD3315" s="36" t="n">
        <x:f>IF(ISNUMBER(Y3315),ROUND(Y3315*0.8,2),"")</x:f>
        <x:v>16.8</x:v>
      </x:c>
      <x:c r="AE3315" s="36" t="n">
        <x:f>IF(ISNUMBER(AD3315),ROUND(AD3315*0.015+0.2,2),"")</x:f>
        <x:v>0.45</x:v>
      </x:c>
      <x:c r="AF3315" s="36" t="n">
        <x:f>IF(ISNUMBER(AD3315),ROUND(AD3315-AE3315-V3315,2),"")</x:f>
        <x:v>1.96</x:v>
      </x:c>
      <x:c r="AG3315" t="str">
        <x:f>IF(NOT(ISNUMBER(T3315)),"PENDING",IF(AF3315&gt;0,"PASS","FAIL"))</x:f>
        <x:v>PASS</x:v>
      </x:c>
      <x:c r="AH3315" t="str">
        <x:f>IF(NOT(ISNUMBER(T3315)),"Needs supplier cost",IF(K3315&lt;&gt;"In stock","Supplier unavailable",IF(AG3315&lt;&gt;"PASS","BLOCK - GT loss risk","Commercially protected")))</x:f>
        <x:v>Commercially protected</x:v>
      </x:c>
      <x:c r="AI3315" t="str">
        <x:v>2026-09-10 Active Sports trade capture</x:v>
      </x:c>
      <x:c r="AJ3315" t="str">
        <x:v>Management-only economics. Stripe stress test uses 1.5% + £0.20 standard UK online-card fee; pallet/mix-and-match pricing ignored.</x:v>
      </x:c>
    </x:row>
    <x:row r="3316">
      <x:c r="A3316" t="str">
        <x:v>Active Sports Nutrition</x:v>
      </x:c>
      <x:c r="B3316" t="str">
        <x:v>Applied Nutrition</x:v>
      </x:c>
      <x:c r="C3316" t="str">
        <x:v>Creatine HCL Caps</x:v>
      </x:c>
      <x:c r="D3316" t="str">
        <x:v>Supplements</x:v>
      </x:c>
      <x:c r="E3316" t="str">
        <x:v>Creatine Pills</x:v>
      </x:c>
      <x:c r="F3316" t="str"/>
      <x:c r="G3316" t="str">
        <x:v>180 caps</x:v>
      </x:c>
      <x:c r="H3316" t="str">
        <x:v>Standard</x:v>
      </x:c>
      <x:c r="I3316" t="str"/>
      <x:c r="J3316" t="str">
        <x:v>Unit</x:v>
      </x:c>
      <x:c r="K3316" t="str">
        <x:v>In stock</x:v>
      </x:c>
      <x:c r="L3316" t="str">
        <x:v>2026-09-08</x:v>
      </x:c>
      <x:c r="M3316" t="str"/>
      <x:c r="N3316" t="str"/>
      <x:c r="O3316" t="str">
        <x:v>https://www.activesportstrade.co.uk/applied-nutrition-trade</x:v>
      </x:c>
      <x:c r="P3316" t="str">
        <x:v>FREE T-SHIRT wording stripped.</x:v>
      </x:c>
      <x:c r="Q3316" t="str"/>
      <x:c r="R3316" t="str"/>
      <x:c r="S3316" t="str">
        <x:v>Pending genuine supplier/brand image</x:v>
      </x:c>
      <x:c r="T3316" s="54" t="n">
        <x:v>9.95</x:v>
      </x:c>
      <x:c r="U3316" s="47" t="n">
        <x:v>0.2</x:v>
      </x:c>
      <x:c r="V3316" s="54" t="n">
        <x:f>IF(ISNUMBER(T3316),T3316*(1+U3316),"")</x:f>
        <x:v>11.94</x:v>
      </x:c>
      <x:c r="W3316" s="47" t="n">
        <x:v>0.3</x:v>
      </x:c>
      <x:c r="X3316" s="54" t="n">
        <x:f>IF(ISNUMBER(V3316),V3316/(1-W3316),"")</x:f>
        <x:v>17.057142857142857</x:v>
      </x:c>
      <x:c r="Y3316" s="55" t="n">
        <x:f>IF(ISNUMBER(X3316),ROUNDUP(X3316,0),"")</x:f>
        <x:v>18</x:v>
      </x:c>
      <x:c r="Z3316" t="str">
        <x:v>Source match pending</x:v>
      </x:c>
      <x:c r="AA3316" t="str">
        <x:v>screencapture-www-activesportstrade-co-uk-applied-nutrition-trade-2026-09-10-08_59_59.pdf / page-08</x:v>
      </x:c>
      <x:c r="AB3316" s="36" t="n">
        <x:f>IF(ISNUMBER(Y3316),ROUND(Y3316*0.9,2),"")</x:f>
        <x:v>16.2</x:v>
      </x:c>
      <x:c r="AC3316" s="36" t="n">
        <x:f>IF(ISNUMBER(AB3316),ROUND(AB3316-(AB3316*0.015+0.2)-V3316,2),"")</x:f>
        <x:v>3.82</x:v>
      </x:c>
      <x:c r="AD3316" s="36" t="n">
        <x:f>IF(ISNUMBER(Y3316),ROUND(Y3316*0.8,2),"")</x:f>
        <x:v>14.4</x:v>
      </x:c>
      <x:c r="AE3316" s="36" t="n">
        <x:f>IF(ISNUMBER(AD3316),ROUND(AD3316*0.015+0.2,2),"")</x:f>
        <x:v>0.42</x:v>
      </x:c>
      <x:c r="AF3316" s="36" t="n">
        <x:f>IF(ISNUMBER(AD3316),ROUND(AD3316-AE3316-V3316,2),"")</x:f>
        <x:v>2.04</x:v>
      </x:c>
      <x:c r="AG3316" t="str">
        <x:f>IF(NOT(ISNUMBER(T3316)),"PENDING",IF(AF3316&gt;0,"PASS","FAIL"))</x:f>
        <x:v>PASS</x:v>
      </x:c>
      <x:c r="AH3316" t="str">
        <x:f>IF(NOT(ISNUMBER(T3316)),"Needs supplier cost",IF(K3316&lt;&gt;"In stock","Supplier unavailable",IF(AG3316&lt;&gt;"PASS","BLOCK - GT loss risk","Commercially protected")))</x:f>
        <x:v>Commercially protected</x:v>
      </x:c>
      <x:c r="AI3316" t="str">
        <x:v>2026-09-10 Active Sports trade capture</x:v>
      </x:c>
      <x:c r="AJ3316" t="str">
        <x:v>Management-only economics. Stripe stress test uses 1.5% + £0.20 standard UK online-card fee; pallet/mix-and-match pricing ignored.</x:v>
      </x:c>
    </x:row>
    <x:row r="3317">
      <x:c r="A3317" t="str">
        <x:v>Active Sports Nutrition</x:v>
      </x:c>
      <x:c r="B3317" t="str">
        <x:v>Applied Nutrition</x:v>
      </x:c>
      <x:c r="C3317" t="str">
        <x:v>Creatine Monohydrate Effervescent Tablets</x:v>
      </x:c>
      <x:c r="D3317" t="str">
        <x:v>Supplements</x:v>
      </x:c>
      <x:c r="E3317" t="str">
        <x:v>Creatine</x:v>
      </x:c>
      <x:c r="F3317" t="str"/>
      <x:c r="G3317" t="str">
        <x:v>6 x 16 tablets</x:v>
      </x:c>
      <x:c r="H3317" t="str">
        <x:v>Mixed Berry</x:v>
      </x:c>
      <x:c r="I3317" t="str">
        <x:v>6</x:v>
      </x:c>
      <x:c r="J3317" t="str">
        <x:v>Box</x:v>
      </x:c>
      <x:c r="K3317" t="str">
        <x:v>In stock</x:v>
      </x:c>
      <x:c r="L3317" t="str">
        <x:v>2026-09-08</x:v>
      </x:c>
      <x:c r="M3317" t="str"/>
      <x:c r="N3317" t="str"/>
      <x:c r="O3317" t="str">
        <x:v>https://www.activesportstrade.co.uk/applied-nutrition-trade</x:v>
      </x:c>
      <x:c r="P3317" t="str"/>
      <x:c r="Q3317" t="str"/>
      <x:c r="R3317" t="str"/>
      <x:c r="S3317" t="str">
        <x:v>Pending genuine supplier/brand image</x:v>
      </x:c>
      <x:c r="T3317" s="54" t="n">
        <x:v>18.69</x:v>
      </x:c>
      <x:c r="U3317" s="47" t="n">
        <x:v>0.2</x:v>
      </x:c>
      <x:c r="V3317" s="54" t="n">
        <x:f>IF(ISNUMBER(T3317),T3317*(1+U3317),"")</x:f>
        <x:v>22.428</x:v>
      </x:c>
      <x:c r="W3317" s="47" t="n">
        <x:v>0.3</x:v>
      </x:c>
      <x:c r="X3317" s="54" t="n">
        <x:f>IF(ISNUMBER(V3317),V3317/(1-W3317),"")</x:f>
        <x:v>32.040000000000006</x:v>
      </x:c>
      <x:c r="Y3317" s="55" t="n">
        <x:f>IF(ISNUMBER(X3317),ROUNDUP(X3317,0),"")</x:f>
        <x:v>33</x:v>
      </x:c>
      <x:c r="Z3317" t="str">
        <x:v>Source match pending</x:v>
      </x:c>
      <x:c r="AA3317" t="str">
        <x:v>screencapture-www-activesportstrade-co-uk-applied-nutrition-trade-2026-09-10-08_59_59.pdf / page-08</x:v>
      </x:c>
      <x:c r="AB3317" s="36" t="n">
        <x:f>IF(ISNUMBER(Y3317),ROUND(Y3317*0.9,2),"")</x:f>
        <x:v>29.7</x:v>
      </x:c>
      <x:c r="AC3317" s="36" t="n">
        <x:f>IF(ISNUMBER(AB3317),ROUND(AB3317-(AB3317*0.015+0.2)-V3317,2),"")</x:f>
        <x:v>6.63</x:v>
      </x:c>
      <x:c r="AD3317" s="36" t="n">
        <x:f>IF(ISNUMBER(Y3317),ROUND(Y3317*0.8,2),"")</x:f>
        <x:v>26.4</x:v>
      </x:c>
      <x:c r="AE3317" s="36" t="n">
        <x:f>IF(ISNUMBER(AD3317),ROUND(AD3317*0.015+0.2,2),"")</x:f>
        <x:v>0.6</x:v>
      </x:c>
      <x:c r="AF3317" s="36" t="n">
        <x:f>IF(ISNUMBER(AD3317),ROUND(AD3317-AE3317-V3317,2),"")</x:f>
        <x:v>3.37</x:v>
      </x:c>
      <x:c r="AG3317" t="str">
        <x:f>IF(NOT(ISNUMBER(T3317)),"PENDING",IF(AF3317&gt;0,"PASS","FAIL"))</x:f>
        <x:v>PASS</x:v>
      </x:c>
      <x:c r="AH3317" t="str">
        <x:f>IF(NOT(ISNUMBER(T3317)),"Needs supplier cost",IF(K3317&lt;&gt;"In stock","Supplier unavailable",IF(AG3317&lt;&gt;"PASS","BLOCK - GT loss risk","Commercially protected")))</x:f>
        <x:v>Commercially protected</x:v>
      </x:c>
      <x:c r="AI3317" t="str">
        <x:v>2026-09-10 Active Sports trade capture</x:v>
      </x:c>
      <x:c r="AJ3317" t="str">
        <x:v>Management-only economics. Stripe stress test uses 1.5% + £0.20 standard UK online-card fee; pallet/mix-and-match pricing ignored.</x:v>
      </x:c>
    </x:row>
    <x:row r="3318">
      <x:c r="A3318" t="str">
        <x:v>Active Sports Nutrition</x:v>
      </x:c>
      <x:c r="B3318" t="str">
        <x:v>Applied Nutrition</x:v>
      </x:c>
      <x:c r="C3318" t="str">
        <x:v>Creatine Monohydrate Effervescent Tablets</x:v>
      </x:c>
      <x:c r="D3318" t="str">
        <x:v>Supplements</x:v>
      </x:c>
      <x:c r="E3318" t="str">
        <x:v>Creatine</x:v>
      </x:c>
      <x:c r="F3318" t="str"/>
      <x:c r="G3318" t="str">
        <x:v>6 x 16 tablets</x:v>
      </x:c>
      <x:c r="H3318" t="str">
        <x:v>Tropical</x:v>
      </x:c>
      <x:c r="I3318" t="str">
        <x:v>6</x:v>
      </x:c>
      <x:c r="J3318" t="str">
        <x:v>Box</x:v>
      </x:c>
      <x:c r="K3318" t="str">
        <x:v>In stock</x:v>
      </x:c>
      <x:c r="L3318" t="str">
        <x:v>2026-09-08</x:v>
      </x:c>
      <x:c r="M3318" t="str"/>
      <x:c r="N3318" t="str"/>
      <x:c r="O3318" t="str">
        <x:v>https://www.activesportstrade.co.uk/applied-nutrition-trade</x:v>
      </x:c>
      <x:c r="P3318" t="str"/>
      <x:c r="Q3318" t="str"/>
      <x:c r="R3318" t="str"/>
      <x:c r="S3318" t="str">
        <x:v>Pending genuine supplier/brand image</x:v>
      </x:c>
      <x:c r="T3318" s="54" t="n">
        <x:v>18.69</x:v>
      </x:c>
      <x:c r="U3318" s="47" t="n">
        <x:v>0.2</x:v>
      </x:c>
      <x:c r="V3318" s="54" t="n">
        <x:f>IF(ISNUMBER(T3318),T3318*(1+U3318),"")</x:f>
        <x:v>22.428</x:v>
      </x:c>
      <x:c r="W3318" s="47" t="n">
        <x:v>0.3</x:v>
      </x:c>
      <x:c r="X3318" s="54" t="n">
        <x:f>IF(ISNUMBER(V3318),V3318/(1-W3318),"")</x:f>
        <x:v>32.040000000000006</x:v>
      </x:c>
      <x:c r="Y3318" s="55" t="n">
        <x:f>IF(ISNUMBER(X3318),ROUNDUP(X3318,0),"")</x:f>
        <x:v>33</x:v>
      </x:c>
      <x:c r="Z3318" t="str">
        <x:v>Source match pending</x:v>
      </x:c>
      <x:c r="AA3318" t="str">
        <x:v>screencapture-www-activesportstrade-co-uk-applied-nutrition-trade-2026-09-10-08_59_59.pdf / page-08</x:v>
      </x:c>
      <x:c r="AB3318" s="36" t="n">
        <x:f>IF(ISNUMBER(Y3318),ROUND(Y3318*0.9,2),"")</x:f>
        <x:v>29.7</x:v>
      </x:c>
      <x:c r="AC3318" s="36" t="n">
        <x:f>IF(ISNUMBER(AB3318),ROUND(AB3318-(AB3318*0.015+0.2)-V3318,2),"")</x:f>
        <x:v>6.63</x:v>
      </x:c>
      <x:c r="AD3318" s="36" t="n">
        <x:f>IF(ISNUMBER(Y3318),ROUND(Y3318*0.8,2),"")</x:f>
        <x:v>26.4</x:v>
      </x:c>
      <x:c r="AE3318" s="36" t="n">
        <x:f>IF(ISNUMBER(AD3318),ROUND(AD3318*0.015+0.2,2),"")</x:f>
        <x:v>0.6</x:v>
      </x:c>
      <x:c r="AF3318" s="36" t="n">
        <x:f>IF(ISNUMBER(AD3318),ROUND(AD3318-AE3318-V3318,2),"")</x:f>
        <x:v>3.37</x:v>
      </x:c>
      <x:c r="AG3318" t="str">
        <x:f>IF(NOT(ISNUMBER(T3318)),"PENDING",IF(AF3318&gt;0,"PASS","FAIL"))</x:f>
        <x:v>PASS</x:v>
      </x:c>
      <x:c r="AH3318" t="str">
        <x:f>IF(NOT(ISNUMBER(T3318)),"Needs supplier cost",IF(K3318&lt;&gt;"In stock","Supplier unavailable",IF(AG3318&lt;&gt;"PASS","BLOCK - GT loss risk","Commercially protected")))</x:f>
        <x:v>Commercially protected</x:v>
      </x:c>
      <x:c r="AI3318" t="str">
        <x:v>2026-09-10 Active Sports trade capture</x:v>
      </x:c>
      <x:c r="AJ3318" t="str">
        <x:v>Management-only economics. Stripe stress test uses 1.5% + £0.20 standard UK online-card fee; pallet/mix-and-match pricing ignored.</x:v>
      </x:c>
    </x:row>
    <x:row r="3319">
      <x:c r="A3319" t="str">
        <x:v>Active Sports Nutrition</x:v>
      </x:c>
      <x:c r="B3319" t="str">
        <x:v>Applied Nutrition</x:v>
      </x:c>
      <x:c r="C3319" t="str">
        <x:v>Critical Greens</x:v>
      </x:c>
      <x:c r="D3319" t="str">
        <x:v>Supplements</x:v>
      </x:c>
      <x:c r="E3319" t="str">
        <x:v>Greens / Micronutrients</x:v>
      </x:c>
      <x:c r="F3319" t="str"/>
      <x:c r="G3319" t="str">
        <x:v>150g / 30 servings</x:v>
      </x:c>
      <x:c r="H3319" t="str">
        <x:v>Apple Burst</x:v>
      </x:c>
      <x:c r="I3319" t="str"/>
      <x:c r="J3319" t="str">
        <x:v>Unit</x:v>
      </x:c>
      <x:c r="K3319" t="str">
        <x:v>In stock</x:v>
      </x:c>
      <x:c r="L3319" t="str">
        <x:v>2026-09-08</x:v>
      </x:c>
      <x:c r="M3319" t="str"/>
      <x:c r="N3319" t="str"/>
      <x:c r="O3319" t="str">
        <x:v>https://www.activesportstrade.co.uk/applied-nutrition-trade</x:v>
      </x:c>
      <x:c r="P3319" t="str">
        <x:v>VAT FREE wording stripped.</x:v>
      </x:c>
      <x:c r="Q3319" t="str"/>
      <x:c r="R3319" t="str"/>
      <x:c r="S3319" t="str">
        <x:v>Pending genuine supplier/brand image</x:v>
      </x:c>
      <x:c r="T3319" s="54" t="n">
        <x:v>8.39</x:v>
      </x:c>
      <x:c r="U3319" s="47" t="n">
        <x:v>0</x:v>
      </x:c>
      <x:c r="V3319" s="54" t="n">
        <x:f>IF(ISNUMBER(T3319),T3319*(1+U3319),"")</x:f>
        <x:v>8.39</x:v>
      </x:c>
      <x:c r="W3319" s="47" t="n">
        <x:v>0.3</x:v>
      </x:c>
      <x:c r="X3319" s="54" t="n">
        <x:f>IF(ISNUMBER(V3319),V3319/(1-W3319),"")</x:f>
        <x:v>11.985714285714288</x:v>
      </x:c>
      <x:c r="Y3319" s="55" t="n">
        <x:f>IF(ISNUMBER(X3319),ROUNDUP(X3319,0),"")</x:f>
        <x:v>12</x:v>
      </x:c>
      <x:c r="Z3319" t="str">
        <x:v>Source match pending</x:v>
      </x:c>
      <x:c r="AA3319" t="str">
        <x:v>screencapture-www-activesportstrade-co-uk-applied-nutrition-trade-2026-09-10-08_59_59.pdf / page-08</x:v>
      </x:c>
      <x:c r="AB3319" s="36" t="n">
        <x:f>IF(ISNUMBER(Y3319),ROUND(Y3319*0.9,2),"")</x:f>
        <x:v>10.8</x:v>
      </x:c>
      <x:c r="AC3319" s="36" t="n">
        <x:f>IF(ISNUMBER(AB3319),ROUND(AB3319-(AB3319*0.015+0.2)-V3319,2),"")</x:f>
        <x:v>2.05</x:v>
      </x:c>
      <x:c r="AD3319" s="36" t="n">
        <x:f>IF(ISNUMBER(Y3319),ROUND(Y3319*0.8,2),"")</x:f>
        <x:v>9.6</x:v>
      </x:c>
      <x:c r="AE3319" s="36" t="n">
        <x:f>IF(ISNUMBER(AD3319),ROUND(AD3319*0.015+0.2,2),"")</x:f>
        <x:v>0.34</x:v>
      </x:c>
      <x:c r="AF3319" s="36" t="n">
        <x:f>IF(ISNUMBER(AD3319),ROUND(AD3319-AE3319-V3319,2),"")</x:f>
        <x:v>0.87</x:v>
      </x:c>
      <x:c r="AG3319" t="str">
        <x:f>IF(NOT(ISNUMBER(T3319)),"PENDING",IF(AF3319&gt;0,"PASS","FAIL"))</x:f>
        <x:v>PASS</x:v>
      </x:c>
      <x:c r="AH3319" t="str">
        <x:f>IF(NOT(ISNUMBER(T3319)),"Needs supplier cost",IF(K3319&lt;&gt;"In stock","Supplier unavailable",IF(AG3319&lt;&gt;"PASS","BLOCK - GT loss risk","Commercially protected")))</x:f>
        <x:v>Commercially protected</x:v>
      </x:c>
      <x:c r="AI3319" t="str">
        <x:v>2026-09-10 Active Sports trade capture</x:v>
      </x:c>
      <x:c r="AJ3319" t="str">
        <x:v>Management-only economics. Stripe stress test uses 1.5% + £0.20 standard UK online-card fee; pallet/mix-and-match pricing ignored.</x:v>
      </x:c>
    </x:row>
    <x:row r="3320">
      <x:c r="A3320" t="str">
        <x:v>Active Sports Nutrition</x:v>
      </x:c>
      <x:c r="B3320" t="str">
        <x:v>Applied Nutrition</x:v>
      </x:c>
      <x:c r="C3320" t="str">
        <x:v>Critical Greens</x:v>
      </x:c>
      <x:c r="D3320" t="str">
        <x:v>Supplements</x:v>
      </x:c>
      <x:c r="E3320" t="str">
        <x:v>Greens / Micronutrients</x:v>
      </x:c>
      <x:c r="F3320" t="str"/>
      <x:c r="G3320" t="str">
        <x:v>150g / 30 servings</x:v>
      </x:c>
      <x:c r="H3320" t="str">
        <x:v>Lemon &amp; Lime</x:v>
      </x:c>
      <x:c r="I3320" t="str"/>
      <x:c r="J3320" t="str">
        <x:v>Unit</x:v>
      </x:c>
      <x:c r="K3320" t="str">
        <x:v>In stock</x:v>
      </x:c>
      <x:c r="L3320" t="str">
        <x:v>2026-09-08</x:v>
      </x:c>
      <x:c r="M3320" t="str"/>
      <x:c r="N3320" t="str"/>
      <x:c r="O3320" t="str">
        <x:v>https://www.activesportstrade.co.uk/applied-nutrition-trade</x:v>
      </x:c>
      <x:c r="P3320" t="str">
        <x:v>VAT FREE wording stripped.</x:v>
      </x:c>
      <x:c r="Q3320" t="str"/>
      <x:c r="R3320" t="str"/>
      <x:c r="S3320" t="str">
        <x:v>Pending genuine supplier/brand image</x:v>
      </x:c>
      <x:c r="T3320" s="54" t="n">
        <x:v>8.39</x:v>
      </x:c>
      <x:c r="U3320" s="47" t="n">
        <x:v>0</x:v>
      </x:c>
      <x:c r="V3320" s="54" t="n">
        <x:f>IF(ISNUMBER(T3320),T3320*(1+U3320),"")</x:f>
        <x:v>8.39</x:v>
      </x:c>
      <x:c r="W3320" s="47" t="n">
        <x:v>0.3</x:v>
      </x:c>
      <x:c r="X3320" s="54" t="n">
        <x:f>IF(ISNUMBER(V3320),V3320/(1-W3320),"")</x:f>
        <x:v>11.985714285714288</x:v>
      </x:c>
      <x:c r="Y3320" s="55" t="n">
        <x:f>IF(ISNUMBER(X3320),ROUNDUP(X3320,0),"")</x:f>
        <x:v>12</x:v>
      </x:c>
      <x:c r="Z3320" t="str">
        <x:v>Source match pending</x:v>
      </x:c>
      <x:c r="AA3320" t="str">
        <x:v>screencapture-www-activesportstrade-co-uk-applied-nutrition-trade-2026-09-10-08_59_59.pdf / page-08</x:v>
      </x:c>
      <x:c r="AB3320" s="36" t="n">
        <x:f>IF(ISNUMBER(Y3320),ROUND(Y3320*0.9,2),"")</x:f>
        <x:v>10.8</x:v>
      </x:c>
      <x:c r="AC3320" s="36" t="n">
        <x:f>IF(ISNUMBER(AB3320),ROUND(AB3320-(AB3320*0.015+0.2)-V3320,2),"")</x:f>
        <x:v>2.05</x:v>
      </x:c>
      <x:c r="AD3320" s="36" t="n">
        <x:f>IF(ISNUMBER(Y3320),ROUND(Y3320*0.8,2),"")</x:f>
        <x:v>9.6</x:v>
      </x:c>
      <x:c r="AE3320" s="36" t="n">
        <x:f>IF(ISNUMBER(AD3320),ROUND(AD3320*0.015+0.2,2),"")</x:f>
        <x:v>0.34</x:v>
      </x:c>
      <x:c r="AF3320" s="36" t="n">
        <x:f>IF(ISNUMBER(AD3320),ROUND(AD3320-AE3320-V3320,2),"")</x:f>
        <x:v>0.87</x:v>
      </x:c>
      <x:c r="AG3320" t="str">
        <x:f>IF(NOT(ISNUMBER(T3320)),"PENDING",IF(AF3320&gt;0,"PASS","FAIL"))</x:f>
        <x:v>PASS</x:v>
      </x:c>
      <x:c r="AH3320" t="str">
        <x:f>IF(NOT(ISNUMBER(T3320)),"Needs supplier cost",IF(K3320&lt;&gt;"In stock","Supplier unavailable",IF(AG3320&lt;&gt;"PASS","BLOCK - GT loss risk","Commercially protected")))</x:f>
        <x:v>Commercially protected</x:v>
      </x:c>
      <x:c r="AI3320" t="str">
        <x:v>2026-09-10 Active Sports trade capture</x:v>
      </x:c>
      <x:c r="AJ3320" t="str">
        <x:v>Management-only economics. Stripe stress test uses 1.5% + £0.20 standard UK online-card fee; pallet/mix-and-match pricing ignored.</x:v>
      </x:c>
    </x:row>
    <x:row r="3321">
      <x:c r="A3321" t="str">
        <x:v>Active Sports Nutrition</x:v>
      </x:c>
      <x:c r="B3321" t="str">
        <x:v>Applied Nutrition</x:v>
      </x:c>
      <x:c r="C3321" t="str">
        <x:v>Critical Greens</x:v>
      </x:c>
      <x:c r="D3321" t="str">
        <x:v>Supplements</x:v>
      </x:c>
      <x:c r="E3321" t="str">
        <x:v>Greens / Micronutrients</x:v>
      </x:c>
      <x:c r="F3321" t="str"/>
      <x:c r="G3321" t="str">
        <x:v>150g / 30 servings</x:v>
      </x:c>
      <x:c r="H3321" t="str">
        <x:v>Unflavoured</x:v>
      </x:c>
      <x:c r="I3321" t="str"/>
      <x:c r="J3321" t="str">
        <x:v>Unit</x:v>
      </x:c>
      <x:c r="K3321" t="str">
        <x:v>In stock</x:v>
      </x:c>
      <x:c r="L3321" t="str">
        <x:v>2026-09-08</x:v>
      </x:c>
      <x:c r="M3321" t="str"/>
      <x:c r="N3321" t="str"/>
      <x:c r="O3321" t="str">
        <x:v>https://www.activesportstrade.co.uk/applied-nutrition-trade</x:v>
      </x:c>
      <x:c r="P3321" t="str">
        <x:v>VAT FREE wording stripped.</x:v>
      </x:c>
      <x:c r="Q3321" t="str"/>
      <x:c r="R3321" t="str"/>
      <x:c r="S3321" t="str">
        <x:v>Pending genuine supplier/brand image</x:v>
      </x:c>
      <x:c r="T3321" s="54" t="n">
        <x:v>8.39</x:v>
      </x:c>
      <x:c r="U3321" s="47" t="n">
        <x:v>0</x:v>
      </x:c>
      <x:c r="V3321" s="54" t="n">
        <x:f>IF(ISNUMBER(T3321),T3321*(1+U3321),"")</x:f>
        <x:v>8.39</x:v>
      </x:c>
      <x:c r="W3321" s="47" t="n">
        <x:v>0.3</x:v>
      </x:c>
      <x:c r="X3321" s="54" t="n">
        <x:f>IF(ISNUMBER(V3321),V3321/(1-W3321),"")</x:f>
        <x:v>11.985714285714288</x:v>
      </x:c>
      <x:c r="Y3321" s="55" t="n">
        <x:f>IF(ISNUMBER(X3321),ROUNDUP(X3321,0),"")</x:f>
        <x:v>12</x:v>
      </x:c>
      <x:c r="Z3321" t="str">
        <x:v>Source match pending</x:v>
      </x:c>
      <x:c r="AA3321" t="str">
        <x:v>screencapture-www-activesportstrade-co-uk-applied-nutrition-trade-2026-09-10-08_59_59.pdf / page-08</x:v>
      </x:c>
      <x:c r="AB3321" s="36" t="n">
        <x:f>IF(ISNUMBER(Y3321),ROUND(Y3321*0.9,2),"")</x:f>
        <x:v>10.8</x:v>
      </x:c>
      <x:c r="AC3321" s="36" t="n">
        <x:f>IF(ISNUMBER(AB3321),ROUND(AB3321-(AB3321*0.015+0.2)-V3321,2),"")</x:f>
        <x:v>2.05</x:v>
      </x:c>
      <x:c r="AD3321" s="36" t="n">
        <x:f>IF(ISNUMBER(Y3321),ROUND(Y3321*0.8,2),"")</x:f>
        <x:v>9.6</x:v>
      </x:c>
      <x:c r="AE3321" s="36" t="n">
        <x:f>IF(ISNUMBER(AD3321),ROUND(AD3321*0.015+0.2,2),"")</x:f>
        <x:v>0.34</x:v>
      </x:c>
      <x:c r="AF3321" s="36" t="n">
        <x:f>IF(ISNUMBER(AD3321),ROUND(AD3321-AE3321-V3321,2),"")</x:f>
        <x:v>0.87</x:v>
      </x:c>
      <x:c r="AG3321" t="str">
        <x:f>IF(NOT(ISNUMBER(T3321)),"PENDING",IF(AF3321&gt;0,"PASS","FAIL"))</x:f>
        <x:v>PASS</x:v>
      </x:c>
      <x:c r="AH3321" t="str">
        <x:f>IF(NOT(ISNUMBER(T3321)),"Needs supplier cost",IF(K3321&lt;&gt;"In stock","Supplier unavailable",IF(AG3321&lt;&gt;"PASS","BLOCK - GT loss risk","Commercially protected")))</x:f>
        <x:v>Commercially protected</x:v>
      </x:c>
      <x:c r="AI3321" t="str">
        <x:v>2026-09-10 Active Sports trade capture</x:v>
      </x:c>
      <x:c r="AJ3321" t="str">
        <x:v>Management-only economics. Stripe stress test uses 1.5% + £0.20 standard UK online-card fee; pallet/mix-and-match pricing ignored.</x:v>
      </x:c>
    </x:row>
    <x:row r="3322">
      <x:c r="A3322" t="str">
        <x:v>Active Sports Nutrition</x:v>
      </x:c>
      <x:c r="B3322" t="str">
        <x:v>Applied Nutrition</x:v>
      </x:c>
      <x:c r="C3322" t="str">
        <x:v>Endurance Hydration Electrolyte Tablets</x:v>
      </x:c>
      <x:c r="D3322" t="str">
        <x:v>Supplements</x:v>
      </x:c>
      <x:c r="E3322" t="str">
        <x:v>Hydration</x:v>
      </x:c>
      <x:c r="F3322" t="str"/>
      <x:c r="G3322" t="str">
        <x:v>6 x 20 tablets</x:v>
      </x:c>
      <x:c r="H3322" t="str">
        <x:v>Berry</x:v>
      </x:c>
      <x:c r="I3322" t="str">
        <x:v>6</x:v>
      </x:c>
      <x:c r="J3322" t="str">
        <x:v>Box</x:v>
      </x:c>
      <x:c r="K3322" t="str">
        <x:v>In stock</x:v>
      </x:c>
      <x:c r="L3322" t="str">
        <x:v>2026-09-08</x:v>
      </x:c>
      <x:c r="M3322" t="str"/>
      <x:c r="N3322" t="str"/>
      <x:c r="O3322" t="str">
        <x:v>https://www.activesportstrade.co.uk/Intra-Workout</x:v>
      </x:c>
      <x:c r="P3322" t="str">
        <x:v>BUY 4 GET 1 FREE wording stripped.</x:v>
      </x:c>
      <x:c r="Q3322" t="str"/>
      <x:c r="R3322" t="str"/>
      <x:c r="S3322" t="str">
        <x:v>Pending genuine supplier/brand image</x:v>
      </x:c>
      <x:c r="T3322" s="54" t="n">
        <x:v>17.93</x:v>
      </x:c>
      <x:c r="U3322" s="47" t="n">
        <x:v>0.2</x:v>
      </x:c>
      <x:c r="V3322" s="54" t="n">
        <x:f>IF(ISNUMBER(T3322),T3322*(1+U3322),"")</x:f>
        <x:v>21.516</x:v>
      </x:c>
      <x:c r="W3322" s="47" t="n">
        <x:v>0.3</x:v>
      </x:c>
      <x:c r="X3322" s="54" t="n">
        <x:f>IF(ISNUMBER(V3322),V3322/(1-W3322),"")</x:f>
        <x:v>30.737142857142857</x:v>
      </x:c>
      <x:c r="Y3322" s="55" t="n">
        <x:f>IF(ISNUMBER(X3322),ROUNDUP(X3322,0),"")</x:f>
        <x:v>31</x:v>
      </x:c>
      <x:c r="Z3322" t="str">
        <x:v>Source match pending</x:v>
      </x:c>
      <x:c r="AA3322" t="str">
        <x:v>screencapture-www-activesportstrade-co-uk-applied-nutrition-trade-2026-09-10-08_59_59.pdf / page-12</x:v>
      </x:c>
      <x:c r="AB3322" s="36" t="n">
        <x:f>IF(ISNUMBER(Y3322),ROUND(Y3322*0.9,2),"")</x:f>
        <x:v>27.9</x:v>
      </x:c>
      <x:c r="AC3322" s="36" t="n">
        <x:f>IF(ISNUMBER(AB3322),ROUND(AB3322-(AB3322*0.015+0.2)-V3322,2),"")</x:f>
        <x:v>5.77</x:v>
      </x:c>
      <x:c r="AD3322" s="36" t="n">
        <x:f>IF(ISNUMBER(Y3322),ROUND(Y3322*0.8,2),"")</x:f>
        <x:v>24.8</x:v>
      </x:c>
      <x:c r="AE3322" s="36" t="n">
        <x:f>IF(ISNUMBER(AD3322),ROUND(AD3322*0.015+0.2,2),"")</x:f>
        <x:v>0.57</x:v>
      </x:c>
      <x:c r="AF3322" s="36" t="n">
        <x:f>IF(ISNUMBER(AD3322),ROUND(AD3322-AE3322-V3322,2),"")</x:f>
        <x:v>2.71</x:v>
      </x:c>
      <x:c r="AG3322" t="str">
        <x:f>IF(NOT(ISNUMBER(T3322)),"PENDING",IF(AF3322&gt;0,"PASS","FAIL"))</x:f>
        <x:v>PASS</x:v>
      </x:c>
      <x:c r="AH3322" t="str">
        <x:f>IF(NOT(ISNUMBER(T3322)),"Needs supplier cost",IF(K3322&lt;&gt;"In stock","Supplier unavailable",IF(AG3322&lt;&gt;"PASS","BLOCK - GT loss risk","Commercially protected")))</x:f>
        <x:v>Commercially protected</x:v>
      </x:c>
      <x:c r="AI3322" t="str">
        <x:v>2026-09-10 Active Sports trade capture</x:v>
      </x:c>
      <x:c r="AJ3322" t="str">
        <x:v>Management-only economics. Stripe stress test uses 1.5% + £0.20 standard UK online-card fee; pallet/mix-and-match pricing ignored.</x:v>
      </x:c>
    </x:row>
    <x:row r="3323">
      <x:c r="A3323" t="str">
        <x:v>Active Sports Nutrition</x:v>
      </x:c>
      <x:c r="B3323" t="str">
        <x:v>Applied Nutrition</x:v>
      </x:c>
      <x:c r="C3323" t="str">
        <x:v>Endurance Hydration Electrolyte Tablets</x:v>
      </x:c>
      <x:c r="D3323" t="str">
        <x:v>Supplements</x:v>
      </x:c>
      <x:c r="E3323" t="str">
        <x:v>Hydration</x:v>
      </x:c>
      <x:c r="F3323" t="str"/>
      <x:c r="G3323" t="str">
        <x:v>6 x 20 tablets</x:v>
      </x:c>
      <x:c r="H3323" t="str">
        <x:v>Lemon &amp; Lime</x:v>
      </x:c>
      <x:c r="I3323" t="str">
        <x:v>6</x:v>
      </x:c>
      <x:c r="J3323" t="str">
        <x:v>Box</x:v>
      </x:c>
      <x:c r="K3323" t="str">
        <x:v>In stock</x:v>
      </x:c>
      <x:c r="L3323" t="str">
        <x:v>2026-09-08</x:v>
      </x:c>
      <x:c r="M3323" t="str"/>
      <x:c r="N3323" t="str"/>
      <x:c r="O3323" t="str">
        <x:v>https://www.activesportstrade.co.uk/Intra-Workout</x:v>
      </x:c>
      <x:c r="P3323" t="str">
        <x:v>BUY 4 GET 1 FREE wording stripped.</x:v>
      </x:c>
      <x:c r="Q3323" t="str"/>
      <x:c r="R3323" t="str"/>
      <x:c r="S3323" t="str">
        <x:v>Pending genuine supplier/brand image</x:v>
      </x:c>
      <x:c r="T3323" s="54" t="n">
        <x:v>17.93</x:v>
      </x:c>
      <x:c r="U3323" s="47" t="n">
        <x:v>0.2</x:v>
      </x:c>
      <x:c r="V3323" s="54" t="n">
        <x:f>IF(ISNUMBER(T3323),T3323*(1+U3323),"")</x:f>
        <x:v>21.516</x:v>
      </x:c>
      <x:c r="W3323" s="47" t="n">
        <x:v>0.3</x:v>
      </x:c>
      <x:c r="X3323" s="54" t="n">
        <x:f>IF(ISNUMBER(V3323),V3323/(1-W3323),"")</x:f>
        <x:v>30.737142857142857</x:v>
      </x:c>
      <x:c r="Y3323" s="55" t="n">
        <x:f>IF(ISNUMBER(X3323),ROUNDUP(X3323,0),"")</x:f>
        <x:v>31</x:v>
      </x:c>
      <x:c r="Z3323" t="str">
        <x:v>Source match pending</x:v>
      </x:c>
      <x:c r="AA3323" t="str">
        <x:v>screencapture-www-activesportstrade-co-uk-applied-nutrition-trade-2026-09-10-08_59_59.pdf / page-12</x:v>
      </x:c>
      <x:c r="AB3323" s="36" t="n">
        <x:f>IF(ISNUMBER(Y3323),ROUND(Y3323*0.9,2),"")</x:f>
        <x:v>27.9</x:v>
      </x:c>
      <x:c r="AC3323" s="36" t="n">
        <x:f>IF(ISNUMBER(AB3323),ROUND(AB3323-(AB3323*0.015+0.2)-V3323,2),"")</x:f>
        <x:v>5.77</x:v>
      </x:c>
      <x:c r="AD3323" s="36" t="n">
        <x:f>IF(ISNUMBER(Y3323),ROUND(Y3323*0.8,2),"")</x:f>
        <x:v>24.8</x:v>
      </x:c>
      <x:c r="AE3323" s="36" t="n">
        <x:f>IF(ISNUMBER(AD3323),ROUND(AD3323*0.015+0.2,2),"")</x:f>
        <x:v>0.57</x:v>
      </x:c>
      <x:c r="AF3323" s="36" t="n">
        <x:f>IF(ISNUMBER(AD3323),ROUND(AD3323-AE3323-V3323,2),"")</x:f>
        <x:v>2.71</x:v>
      </x:c>
      <x:c r="AG3323" t="str">
        <x:f>IF(NOT(ISNUMBER(T3323)),"PENDING",IF(AF3323&gt;0,"PASS","FAIL"))</x:f>
        <x:v>PASS</x:v>
      </x:c>
      <x:c r="AH3323" t="str">
        <x:f>IF(NOT(ISNUMBER(T3323)),"Needs supplier cost",IF(K3323&lt;&gt;"In stock","Supplier unavailable",IF(AG3323&lt;&gt;"PASS","BLOCK - GT loss risk","Commercially protected")))</x:f>
        <x:v>Commercially protected</x:v>
      </x:c>
      <x:c r="AI3323" t="str">
        <x:v>2026-09-10 Active Sports trade capture</x:v>
      </x:c>
      <x:c r="AJ3323" t="str">
        <x:v>Management-only economics. Stripe stress test uses 1.5% + £0.20 standard UK online-card fee; pallet/mix-and-match pricing ignored.</x:v>
      </x:c>
    </x:row>
    <x:row r="3324">
      <x:c r="A3324" t="str">
        <x:v>Active Sports Nutrition</x:v>
      </x:c>
      <x:c r="B3324" t="str">
        <x:v>Applied Nutrition</x:v>
      </x:c>
      <x:c r="C3324" t="str">
        <x:v>Endurance Hydration Electrolyte Tablets</x:v>
      </x:c>
      <x:c r="D3324" t="str">
        <x:v>Supplements</x:v>
      </x:c>
      <x:c r="E3324" t="str">
        <x:v>Hydration</x:v>
      </x:c>
      <x:c r="F3324" t="str"/>
      <x:c r="G3324" t="str">
        <x:v>6 x 20 tablets</x:v>
      </x:c>
      <x:c r="H3324" t="str">
        <x:v>Orange</x:v>
      </x:c>
      <x:c r="I3324" t="str">
        <x:v>6</x:v>
      </x:c>
      <x:c r="J3324" t="str">
        <x:v>Box</x:v>
      </x:c>
      <x:c r="K3324" t="str">
        <x:v>In stock</x:v>
      </x:c>
      <x:c r="L3324" t="str">
        <x:v>2026-09-08</x:v>
      </x:c>
      <x:c r="M3324" t="str"/>
      <x:c r="N3324" t="str"/>
      <x:c r="O3324" t="str">
        <x:v>https://www.activesportstrade.co.uk/Intra-Workout</x:v>
      </x:c>
      <x:c r="P3324" t="str">
        <x:v>BUY 4 GET 1 FREE wording stripped.</x:v>
      </x:c>
      <x:c r="Q3324" t="str"/>
      <x:c r="R3324" t="str"/>
      <x:c r="S3324" t="str">
        <x:v>Pending genuine supplier/brand image</x:v>
      </x:c>
      <x:c r="T3324" s="54" t="n">
        <x:v>17.93</x:v>
      </x:c>
      <x:c r="U3324" s="47" t="n">
        <x:v>0.2</x:v>
      </x:c>
      <x:c r="V3324" s="54" t="n">
        <x:f>IF(ISNUMBER(T3324),T3324*(1+U3324),"")</x:f>
        <x:v>21.516</x:v>
      </x:c>
      <x:c r="W3324" s="47" t="n">
        <x:v>0.3</x:v>
      </x:c>
      <x:c r="X3324" s="54" t="n">
        <x:f>IF(ISNUMBER(V3324),V3324/(1-W3324),"")</x:f>
        <x:v>30.737142857142857</x:v>
      </x:c>
      <x:c r="Y3324" s="55" t="n">
        <x:f>IF(ISNUMBER(X3324),ROUNDUP(X3324,0),"")</x:f>
        <x:v>31</x:v>
      </x:c>
      <x:c r="Z3324" t="str">
        <x:v>Source match pending</x:v>
      </x:c>
      <x:c r="AA3324" t="str">
        <x:v>screencapture-www-activesportstrade-co-uk-applied-nutrition-trade-2026-09-10-08_59_59.pdf / page-12</x:v>
      </x:c>
      <x:c r="AB3324" s="36" t="n">
        <x:f>IF(ISNUMBER(Y3324),ROUND(Y3324*0.9,2),"")</x:f>
        <x:v>27.9</x:v>
      </x:c>
      <x:c r="AC3324" s="36" t="n">
        <x:f>IF(ISNUMBER(AB3324),ROUND(AB3324-(AB3324*0.015+0.2)-V3324,2),"")</x:f>
        <x:v>5.77</x:v>
      </x:c>
      <x:c r="AD3324" s="36" t="n">
        <x:f>IF(ISNUMBER(Y3324),ROUND(Y3324*0.8,2),"")</x:f>
        <x:v>24.8</x:v>
      </x:c>
      <x:c r="AE3324" s="36" t="n">
        <x:f>IF(ISNUMBER(AD3324),ROUND(AD3324*0.015+0.2,2),"")</x:f>
        <x:v>0.57</x:v>
      </x:c>
      <x:c r="AF3324" s="36" t="n">
        <x:f>IF(ISNUMBER(AD3324),ROUND(AD3324-AE3324-V3324,2),"")</x:f>
        <x:v>2.71</x:v>
      </x:c>
      <x:c r="AG3324" t="str">
        <x:f>IF(NOT(ISNUMBER(T3324)),"PENDING",IF(AF3324&gt;0,"PASS","FAIL"))</x:f>
        <x:v>PASS</x:v>
      </x:c>
      <x:c r="AH3324" t="str">
        <x:f>IF(NOT(ISNUMBER(T3324)),"Needs supplier cost",IF(K3324&lt;&gt;"In stock","Supplier unavailable",IF(AG3324&lt;&gt;"PASS","BLOCK - GT loss risk","Commercially protected")))</x:f>
        <x:v>Commercially protected</x:v>
      </x:c>
      <x:c r="AI3324" t="str">
        <x:v>2026-09-10 Active Sports trade capture</x:v>
      </x:c>
      <x:c r="AJ3324" t="str">
        <x:v>Management-only economics. Stripe stress test uses 1.5% + £0.20 standard UK online-card fee; pallet/mix-and-match pricing ignored.</x:v>
      </x:c>
    </x:row>
    <x:row r="3325">
      <x:c r="A3325" t="str">
        <x:v>Active Sports Nutrition</x:v>
      </x:c>
      <x:c r="B3325" t="str">
        <x:v>Applied Nutrition</x:v>
      </x:c>
      <x:c r="C3325" t="str">
        <x:v>Endurance Hydration Electrolyte Tablets</x:v>
      </x:c>
      <x:c r="D3325" t="str">
        <x:v>Supplements</x:v>
      </x:c>
      <x:c r="E3325" t="str">
        <x:v>Hydration</x:v>
      </x:c>
      <x:c r="F3325" t="str"/>
      <x:c r="G3325" t="str">
        <x:v>6 x 20 tablets</x:v>
      </x:c>
      <x:c r="H3325" t="str">
        <x:v>Pink Grapefruit</x:v>
      </x:c>
      <x:c r="I3325" t="str">
        <x:v>6</x:v>
      </x:c>
      <x:c r="J3325" t="str">
        <x:v>Box</x:v>
      </x:c>
      <x:c r="K3325" t="str">
        <x:v>In stock</x:v>
      </x:c>
      <x:c r="L3325" t="str">
        <x:v>2026-09-08</x:v>
      </x:c>
      <x:c r="M3325" t="str"/>
      <x:c r="N3325" t="str"/>
      <x:c r="O3325" t="str">
        <x:v>https://www.activesportstrade.co.uk/Intra-Workout</x:v>
      </x:c>
      <x:c r="P3325" t="str">
        <x:v>BUY 4 GET 1 FREE wording stripped.</x:v>
      </x:c>
      <x:c r="Q3325" t="str"/>
      <x:c r="R3325" t="str"/>
      <x:c r="S3325" t="str">
        <x:v>Pending genuine supplier/brand image</x:v>
      </x:c>
      <x:c r="T3325" s="54" t="n">
        <x:v>17.93</x:v>
      </x:c>
      <x:c r="U3325" s="47" t="n">
        <x:v>0.2</x:v>
      </x:c>
      <x:c r="V3325" s="54" t="n">
        <x:f>IF(ISNUMBER(T3325),T3325*(1+U3325),"")</x:f>
        <x:v>21.516</x:v>
      </x:c>
      <x:c r="W3325" s="47" t="n">
        <x:v>0.3</x:v>
      </x:c>
      <x:c r="X3325" s="54" t="n">
        <x:f>IF(ISNUMBER(V3325),V3325/(1-W3325),"")</x:f>
        <x:v>30.737142857142857</x:v>
      </x:c>
      <x:c r="Y3325" s="55" t="n">
        <x:f>IF(ISNUMBER(X3325),ROUNDUP(X3325,0),"")</x:f>
        <x:v>31</x:v>
      </x:c>
      <x:c r="Z3325" t="str">
        <x:v>Source match pending</x:v>
      </x:c>
      <x:c r="AA3325" t="str">
        <x:v>screencapture-www-activesportstrade-co-uk-applied-nutrition-trade-2026-09-10-08_59_59.pdf / page-12</x:v>
      </x:c>
      <x:c r="AB3325" s="36" t="n">
        <x:f>IF(ISNUMBER(Y3325),ROUND(Y3325*0.9,2),"")</x:f>
        <x:v>27.9</x:v>
      </x:c>
      <x:c r="AC3325" s="36" t="n">
        <x:f>IF(ISNUMBER(AB3325),ROUND(AB3325-(AB3325*0.015+0.2)-V3325,2),"")</x:f>
        <x:v>5.77</x:v>
      </x:c>
      <x:c r="AD3325" s="36" t="n">
        <x:f>IF(ISNUMBER(Y3325),ROUND(Y3325*0.8,2),"")</x:f>
        <x:v>24.8</x:v>
      </x:c>
      <x:c r="AE3325" s="36" t="n">
        <x:f>IF(ISNUMBER(AD3325),ROUND(AD3325*0.015+0.2,2),"")</x:f>
        <x:v>0.57</x:v>
      </x:c>
      <x:c r="AF3325" s="36" t="n">
        <x:f>IF(ISNUMBER(AD3325),ROUND(AD3325-AE3325-V3325,2),"")</x:f>
        <x:v>2.71</x:v>
      </x:c>
      <x:c r="AG3325" t="str">
        <x:f>IF(NOT(ISNUMBER(T3325)),"PENDING",IF(AF3325&gt;0,"PASS","FAIL"))</x:f>
        <x:v>PASS</x:v>
      </x:c>
      <x:c r="AH3325" t="str">
        <x:f>IF(NOT(ISNUMBER(T3325)),"Needs supplier cost",IF(K3325&lt;&gt;"In stock","Supplier unavailable",IF(AG3325&lt;&gt;"PASS","BLOCK - GT loss risk","Commercially protected")))</x:f>
        <x:v>Commercially protected</x:v>
      </x:c>
      <x:c r="AI3325" t="str">
        <x:v>2026-09-10 Active Sports trade capture</x:v>
      </x:c>
      <x:c r="AJ3325" t="str">
        <x:v>Management-only economics. Stripe stress test uses 1.5% + £0.20 standard UK online-card fee; pallet/mix-and-match pricing ignored.</x:v>
      </x:c>
    </x:row>
    <x:row r="3326">
      <x:c r="A3326" t="str">
        <x:v>Active Sports Nutrition</x:v>
      </x:c>
      <x:c r="B3326" t="str">
        <x:v>Applied Nutrition</x:v>
      </x:c>
      <x:c r="C3326" t="str">
        <x:v>Endurance Hydration Electrolyte Tablets</x:v>
      </x:c>
      <x:c r="D3326" t="str">
        <x:v>Supplements</x:v>
      </x:c>
      <x:c r="E3326" t="str">
        <x:v>Hydration</x:v>
      </x:c>
      <x:c r="F3326" t="str"/>
      <x:c r="G3326" t="str">
        <x:v>6 x 20 tablets</x:v>
      </x:c>
      <x:c r="H3326" t="str">
        <x:v>Vimto</x:v>
      </x:c>
      <x:c r="I3326" t="str">
        <x:v>6</x:v>
      </x:c>
      <x:c r="J3326" t="str">
        <x:v>Box</x:v>
      </x:c>
      <x:c r="K3326" t="str">
        <x:v>In stock</x:v>
      </x:c>
      <x:c r="L3326" t="str">
        <x:v>2026-09-08</x:v>
      </x:c>
      <x:c r="M3326" t="str"/>
      <x:c r="N3326" t="str"/>
      <x:c r="O3326" t="str">
        <x:v>https://www.activesportstrade.co.uk/Intra-Workout</x:v>
      </x:c>
      <x:c r="P3326" t="str">
        <x:v>BUY 4 GET 1 FREE wording stripped.</x:v>
      </x:c>
      <x:c r="Q3326" t="str"/>
      <x:c r="R3326" t="str"/>
      <x:c r="S3326" t="str">
        <x:v>Pending genuine supplier/brand image</x:v>
      </x:c>
      <x:c r="T3326" s="54" t="n">
        <x:v>17.93</x:v>
      </x:c>
      <x:c r="U3326" s="47" t="n">
        <x:v>0.2</x:v>
      </x:c>
      <x:c r="V3326" s="54" t="n">
        <x:f>IF(ISNUMBER(T3326),T3326*(1+U3326),"")</x:f>
        <x:v>21.516</x:v>
      </x:c>
      <x:c r="W3326" s="47" t="n">
        <x:v>0.3</x:v>
      </x:c>
      <x:c r="X3326" s="54" t="n">
        <x:f>IF(ISNUMBER(V3326),V3326/(1-W3326),"")</x:f>
        <x:v>30.737142857142857</x:v>
      </x:c>
      <x:c r="Y3326" s="55" t="n">
        <x:f>IF(ISNUMBER(X3326),ROUNDUP(X3326,0),"")</x:f>
        <x:v>31</x:v>
      </x:c>
      <x:c r="Z3326" t="str">
        <x:v>Source match pending</x:v>
      </x:c>
      <x:c r="AA3326" t="str">
        <x:v>screencapture-www-activesportstrade-co-uk-applied-nutrition-trade-2026-09-10-08_59_59.pdf / page-12</x:v>
      </x:c>
      <x:c r="AB3326" s="36" t="n">
        <x:f>IF(ISNUMBER(Y3326),ROUND(Y3326*0.9,2),"")</x:f>
        <x:v>27.9</x:v>
      </x:c>
      <x:c r="AC3326" s="36" t="n">
        <x:f>IF(ISNUMBER(AB3326),ROUND(AB3326-(AB3326*0.015+0.2)-V3326,2),"")</x:f>
        <x:v>5.77</x:v>
      </x:c>
      <x:c r="AD3326" s="36" t="n">
        <x:f>IF(ISNUMBER(Y3326),ROUND(Y3326*0.8,2),"")</x:f>
        <x:v>24.8</x:v>
      </x:c>
      <x:c r="AE3326" s="36" t="n">
        <x:f>IF(ISNUMBER(AD3326),ROUND(AD3326*0.015+0.2,2),"")</x:f>
        <x:v>0.57</x:v>
      </x:c>
      <x:c r="AF3326" s="36" t="n">
        <x:f>IF(ISNUMBER(AD3326),ROUND(AD3326-AE3326-V3326,2),"")</x:f>
        <x:v>2.71</x:v>
      </x:c>
      <x:c r="AG3326" t="str">
        <x:f>IF(NOT(ISNUMBER(T3326)),"PENDING",IF(AF3326&gt;0,"PASS","FAIL"))</x:f>
        <x:v>PASS</x:v>
      </x:c>
      <x:c r="AH3326" t="str">
        <x:f>IF(NOT(ISNUMBER(T3326)),"Needs supplier cost",IF(K3326&lt;&gt;"In stock","Supplier unavailable",IF(AG3326&lt;&gt;"PASS","BLOCK - GT loss risk","Commercially protected")))</x:f>
        <x:v>Commercially protected</x:v>
      </x:c>
      <x:c r="AI3326" t="str">
        <x:v>2026-09-10 Active Sports trade capture</x:v>
      </x:c>
      <x:c r="AJ3326" t="str">
        <x:v>Management-only economics. Stripe stress test uses 1.5% + £0.20 standard UK online-card fee; pallet/mix-and-match pricing ignored.</x:v>
      </x:c>
    </x:row>
    <x:row r="3327">
      <x:c r="A3327" t="str">
        <x:v>Active Sports Nutrition</x:v>
      </x:c>
      <x:c r="B3327" t="str">
        <x:v>Applied Nutrition</x:v>
      </x:c>
      <x:c r="C3327" t="str">
        <x:v>Diet Protein Bar</x:v>
      </x:c>
      <x:c r="D3327" t="str">
        <x:v>Food &amp; Drinks</x:v>
      </x:c>
      <x:c r="E3327" t="str">
        <x:v>Protein Bars</x:v>
      </x:c>
      <x:c r="F3327" t="str"/>
      <x:c r="G3327" t="str">
        <x:v>12 x 45g bars</x:v>
      </x:c>
      <x:c r="H3327" t="str">
        <x:v>Chocolate Caramel Crisp</x:v>
      </x:c>
      <x:c r="I3327" t="str">
        <x:v>12</x:v>
      </x:c>
      <x:c r="J3327" t="str">
        <x:v>Case</x:v>
      </x:c>
      <x:c r="K3327" t="str">
        <x:v>In stock</x:v>
      </x:c>
      <x:c r="L3327" t="str">
        <x:v>2026-09-08</x:v>
      </x:c>
      <x:c r="M3327" t="str"/>
      <x:c r="N3327" t="str"/>
      <x:c r="O3327" t="str">
        <x:v>https://www.activesportstrade.co.uk/Protein-Bars</x:v>
      </x:c>
      <x:c r="P3327" t="str"/>
      <x:c r="Q3327" t="str"/>
      <x:c r="R3327" t="str"/>
      <x:c r="S3327" t="str">
        <x:v>Pending genuine supplier/brand image</x:v>
      </x:c>
      <x:c r="T3327" s="54" t="n">
        <x:v>11.23</x:v>
      </x:c>
      <x:c r="U3327" s="47" t="n">
        <x:v>0.2</x:v>
      </x:c>
      <x:c r="V3327" s="54" t="n">
        <x:f>IF(ISNUMBER(T3327),T3327*(1+U3327),"")</x:f>
        <x:v>13.476</x:v>
      </x:c>
      <x:c r="W3327" s="47" t="n">
        <x:v>0.3</x:v>
      </x:c>
      <x:c r="X3327" s="54" t="n">
        <x:f>IF(ISNUMBER(V3327),V3327/(1-W3327),"")</x:f>
        <x:v>19.251428571428573</x:v>
      </x:c>
      <x:c r="Y3327" s="55" t="n">
        <x:f>IF(ISNUMBER(X3327),ROUNDUP(X3327,0),"")</x:f>
        <x:v>20</x:v>
      </x:c>
      <x:c r="Z3327" t="str">
        <x:v>Source match pending</x:v>
      </x:c>
      <x:c r="AA3327" t="str">
        <x:v>screencapture-www-activesportstrade-co-uk-applied-nutrition-trade-2026-09-10-08_59_59.pdf / page-11</x:v>
      </x:c>
      <x:c r="AB3327" s="36" t="n">
        <x:f>IF(ISNUMBER(Y3327),ROUND(Y3327*0.9,2),"")</x:f>
        <x:v>18</x:v>
      </x:c>
      <x:c r="AC3327" s="36" t="n">
        <x:f>IF(ISNUMBER(AB3327),ROUND(AB3327-(AB3327*0.015+0.2)-V3327,2),"")</x:f>
        <x:v>4.05</x:v>
      </x:c>
      <x:c r="AD3327" s="36" t="n">
        <x:f>IF(ISNUMBER(Y3327),ROUND(Y3327*0.8,2),"")</x:f>
        <x:v>16</x:v>
      </x:c>
      <x:c r="AE3327" s="36" t="n">
        <x:f>IF(ISNUMBER(AD3327),ROUND(AD3327*0.015+0.2,2),"")</x:f>
        <x:v>0.44</x:v>
      </x:c>
      <x:c r="AF3327" s="36" t="n">
        <x:f>IF(ISNUMBER(AD3327),ROUND(AD3327-AE3327-V3327,2),"")</x:f>
        <x:v>2.08</x:v>
      </x:c>
      <x:c r="AG3327" t="str">
        <x:f>IF(NOT(ISNUMBER(T3327)),"PENDING",IF(AF3327&gt;0,"PASS","FAIL"))</x:f>
        <x:v>PASS</x:v>
      </x:c>
      <x:c r="AH3327" t="str">
        <x:f>IF(NOT(ISNUMBER(T3327)),"Needs supplier cost",IF(K3327&lt;&gt;"In stock","Supplier unavailable",IF(AG3327&lt;&gt;"PASS","BLOCK - GT loss risk","Commercially protected")))</x:f>
        <x:v>Commercially protected</x:v>
      </x:c>
      <x:c r="AI3327" t="str">
        <x:v>2026-09-10 Active Sports trade capture</x:v>
      </x:c>
      <x:c r="AJ3327" t="str">
        <x:v>Management-only economics. Stripe stress test uses 1.5% + £0.20 standard UK online-card fee; pallet/mix-and-match pricing ignored.</x:v>
      </x:c>
    </x:row>
    <x:row r="3328">
      <x:c r="A3328" t="str">
        <x:v>Active Sports Nutrition</x:v>
      </x:c>
      <x:c r="B3328" t="str">
        <x:v>Applied Nutrition</x:v>
      </x:c>
      <x:c r="C3328" t="str">
        <x:v>Diet Protein Bar</x:v>
      </x:c>
      <x:c r="D3328" t="str">
        <x:v>Food &amp; Drinks</x:v>
      </x:c>
      <x:c r="E3328" t="str">
        <x:v>Protein Bars</x:v>
      </x:c>
      <x:c r="F3328" t="str"/>
      <x:c r="G3328" t="str">
        <x:v>12 x 45g bars</x:v>
      </x:c>
      <x:c r="H3328" t="str">
        <x:v>Chocolate Salted Caramel</x:v>
      </x:c>
      <x:c r="I3328" t="str">
        <x:v>12</x:v>
      </x:c>
      <x:c r="J3328" t="str">
        <x:v>Case</x:v>
      </x:c>
      <x:c r="K3328" t="str">
        <x:v>In stock</x:v>
      </x:c>
      <x:c r="L3328" t="str">
        <x:v>2026-09-08</x:v>
      </x:c>
      <x:c r="M3328" t="str"/>
      <x:c r="N3328" t="str"/>
      <x:c r="O3328" t="str">
        <x:v>https://www.activesportstrade.co.uk/Protein-Bars</x:v>
      </x:c>
      <x:c r="P3328" t="str"/>
      <x:c r="Q3328" t="str"/>
      <x:c r="R3328" t="str"/>
      <x:c r="S3328" t="str">
        <x:v>Pending genuine supplier/brand image</x:v>
      </x:c>
      <x:c r="T3328" s="54" t="n">
        <x:v>11.23</x:v>
      </x:c>
      <x:c r="U3328" s="47" t="n">
        <x:v>0.2</x:v>
      </x:c>
      <x:c r="V3328" s="54" t="n">
        <x:f>IF(ISNUMBER(T3328),T3328*(1+U3328),"")</x:f>
        <x:v>13.476</x:v>
      </x:c>
      <x:c r="W3328" s="47" t="n">
        <x:v>0.3</x:v>
      </x:c>
      <x:c r="X3328" s="54" t="n">
        <x:f>IF(ISNUMBER(V3328),V3328/(1-W3328),"")</x:f>
        <x:v>19.251428571428573</x:v>
      </x:c>
      <x:c r="Y3328" s="55" t="n">
        <x:f>IF(ISNUMBER(X3328),ROUNDUP(X3328,0),"")</x:f>
        <x:v>20</x:v>
      </x:c>
      <x:c r="Z3328" t="str">
        <x:v>Source match pending</x:v>
      </x:c>
      <x:c r="AA3328" t="str">
        <x:v>screencapture-www-activesportstrade-co-uk-applied-nutrition-trade-2026-09-10-08_59_59.pdf / page-11</x:v>
      </x:c>
      <x:c r="AB3328" s="36" t="n">
        <x:f>IF(ISNUMBER(Y3328),ROUND(Y3328*0.9,2),"")</x:f>
        <x:v>18</x:v>
      </x:c>
      <x:c r="AC3328" s="36" t="n">
        <x:f>IF(ISNUMBER(AB3328),ROUND(AB3328-(AB3328*0.015+0.2)-V3328,2),"")</x:f>
        <x:v>4.05</x:v>
      </x:c>
      <x:c r="AD3328" s="36" t="n">
        <x:f>IF(ISNUMBER(Y3328),ROUND(Y3328*0.8,2),"")</x:f>
        <x:v>16</x:v>
      </x:c>
      <x:c r="AE3328" s="36" t="n">
        <x:f>IF(ISNUMBER(AD3328),ROUND(AD3328*0.015+0.2,2),"")</x:f>
        <x:v>0.44</x:v>
      </x:c>
      <x:c r="AF3328" s="36" t="n">
        <x:f>IF(ISNUMBER(AD3328),ROUND(AD3328-AE3328-V3328,2),"")</x:f>
        <x:v>2.08</x:v>
      </x:c>
      <x:c r="AG3328" t="str">
        <x:f>IF(NOT(ISNUMBER(T3328)),"PENDING",IF(AF3328&gt;0,"PASS","FAIL"))</x:f>
        <x:v>PASS</x:v>
      </x:c>
      <x:c r="AH3328" t="str">
        <x:f>IF(NOT(ISNUMBER(T3328)),"Needs supplier cost",IF(K3328&lt;&gt;"In stock","Supplier unavailable",IF(AG3328&lt;&gt;"PASS","BLOCK - GT loss risk","Commercially protected")))</x:f>
        <x:v>Commercially protected</x:v>
      </x:c>
      <x:c r="AI3328" t="str">
        <x:v>2026-09-10 Active Sports trade capture</x:v>
      </x:c>
      <x:c r="AJ3328" t="str">
        <x:v>Management-only economics. Stripe stress test uses 1.5% + £0.20 standard UK online-card fee; pallet/mix-and-match pricing ignored.</x:v>
      </x:c>
    </x:row>
    <x:row r="3329">
      <x:c r="A3329" t="str">
        <x:v>Active Sports Nutrition</x:v>
      </x:c>
      <x:c r="B3329" t="str">
        <x:v>Applied Nutrition</x:v>
      </x:c>
      <x:c r="C3329" t="str">
        <x:v>Protein Crunch Bar</x:v>
      </x:c>
      <x:c r="D3329" t="str">
        <x:v>Food &amp; Drinks</x:v>
      </x:c>
      <x:c r="E3329" t="str">
        <x:v>Protein Bars</x:v>
      </x:c>
      <x:c r="F3329" t="str"/>
      <x:c r="G3329" t="str">
        <x:v>12 x 62g bars</x:v>
      </x:c>
      <x:c r="H3329" t="str">
        <x:v>Milk Chocolate Caramel</x:v>
      </x:c>
      <x:c r="I3329" t="str">
        <x:v>12</x:v>
      </x:c>
      <x:c r="J3329" t="str">
        <x:v>Case</x:v>
      </x:c>
      <x:c r="K3329" t="str">
        <x:v>In stock</x:v>
      </x:c>
      <x:c r="L3329" t="str">
        <x:v>2026-09-08</x:v>
      </x:c>
      <x:c r="M3329" t="str"/>
      <x:c r="N3329" t="str"/>
      <x:c r="O3329" t="str">
        <x:v>https://www.activesportstrade.co.uk/Protein-Bars</x:v>
      </x:c>
      <x:c r="P3329" t="str">
        <x:v>BUY 5 GET 1 FREE wording stripped.</x:v>
      </x:c>
      <x:c r="Q3329" t="str"/>
      <x:c r="R3329" t="str"/>
      <x:c r="S3329" t="str">
        <x:v>Pending genuine supplier/brand image</x:v>
      </x:c>
      <x:c r="T3329" s="54" t="n">
        <x:v>13.37</x:v>
      </x:c>
      <x:c r="U3329" s="47" t="n">
        <x:v>0.2</x:v>
      </x:c>
      <x:c r="V3329" s="54" t="n">
        <x:f>IF(ISNUMBER(T3329),T3329*(1+U3329),"")</x:f>
        <x:v>16.043999999999997</x:v>
      </x:c>
      <x:c r="W3329" s="47" t="n">
        <x:v>0.3</x:v>
      </x:c>
      <x:c r="X3329" s="54" t="n">
        <x:f>IF(ISNUMBER(V3329),V3329/(1-W3329),"")</x:f>
        <x:v>22.919999999999998</x:v>
      </x:c>
      <x:c r="Y3329" s="55" t="n">
        <x:f>IF(ISNUMBER(X3329),ROUNDUP(X3329,0),"")</x:f>
        <x:v>23</x:v>
      </x:c>
      <x:c r="Z3329" t="str">
        <x:v>Source match pending</x:v>
      </x:c>
      <x:c r="AA3329" t="str">
        <x:v>screencapture-www-activesportstrade-co-uk-applied-nutrition-trade-2026-09-10-08_59_59.pdf / page-17</x:v>
      </x:c>
      <x:c r="AB3329" s="36" t="n">
        <x:f>IF(ISNUMBER(Y3329),ROUND(Y3329*0.9,2),"")</x:f>
        <x:v>20.7</x:v>
      </x:c>
      <x:c r="AC3329" s="36" t="n">
        <x:f>IF(ISNUMBER(AB3329),ROUND(AB3329-(AB3329*0.015+0.2)-V3329,2),"")</x:f>
        <x:v>4.15</x:v>
      </x:c>
      <x:c r="AD3329" s="36" t="n">
        <x:f>IF(ISNUMBER(Y3329),ROUND(Y3329*0.8,2),"")</x:f>
        <x:v>18.4</x:v>
      </x:c>
      <x:c r="AE3329" s="36" t="n">
        <x:f>IF(ISNUMBER(AD3329),ROUND(AD3329*0.015+0.2,2),"")</x:f>
        <x:v>0.48</x:v>
      </x:c>
      <x:c r="AF3329" s="36" t="n">
        <x:f>IF(ISNUMBER(AD3329),ROUND(AD3329-AE3329-V3329,2),"")</x:f>
        <x:v>1.88</x:v>
      </x:c>
      <x:c r="AG3329" t="str">
        <x:f>IF(NOT(ISNUMBER(T3329)),"PENDING",IF(AF3329&gt;0,"PASS","FAIL"))</x:f>
        <x:v>PASS</x:v>
      </x:c>
      <x:c r="AH3329" t="str">
        <x:f>IF(NOT(ISNUMBER(T3329)),"Needs supplier cost",IF(K3329&lt;&gt;"In stock","Supplier unavailable",IF(AG3329&lt;&gt;"PASS","BLOCK - GT loss risk","Commercially protected")))</x:f>
        <x:v>Commercially protected</x:v>
      </x:c>
      <x:c r="AI3329" t="str">
        <x:v>2026-09-10 Active Sports trade capture</x:v>
      </x:c>
      <x:c r="AJ3329" t="str">
        <x:v>Management-only economics. Stripe stress test uses 1.5% + £0.20 standard UK online-card fee; pallet/mix-and-match pricing ignored.</x:v>
      </x:c>
    </x:row>
    <x:row r="3330">
      <x:c r="A3330" t="str">
        <x:v>Active Sports Nutrition</x:v>
      </x:c>
      <x:c r="B3330" t="str">
        <x:v>Applied Nutrition</x:v>
      </x:c>
      <x:c r="C3330" t="str">
        <x:v>Protein Crunch Bar</x:v>
      </x:c>
      <x:c r="D3330" t="str">
        <x:v>Food &amp; Drinks</x:v>
      </x:c>
      <x:c r="E3330" t="str">
        <x:v>Protein Bars</x:v>
      </x:c>
      <x:c r="F3330" t="str"/>
      <x:c r="G3330" t="str">
        <x:v>12 x 62g bars</x:v>
      </x:c>
      <x:c r="H3330" t="str">
        <x:v>Milk Chocolate Peanut</x:v>
      </x:c>
      <x:c r="I3330" t="str">
        <x:v>12</x:v>
      </x:c>
      <x:c r="J3330" t="str">
        <x:v>Case</x:v>
      </x:c>
      <x:c r="K3330" t="str">
        <x:v>In stock</x:v>
      </x:c>
      <x:c r="L3330" t="str">
        <x:v>2026-09-08</x:v>
      </x:c>
      <x:c r="M3330" t="str"/>
      <x:c r="N3330" t="str"/>
      <x:c r="O3330" t="str">
        <x:v>https://www.activesportstrade.co.uk/Protein-Bars</x:v>
      </x:c>
      <x:c r="P3330" t="str">
        <x:v>BUY 5 GET 1 FREE wording stripped.</x:v>
      </x:c>
      <x:c r="Q3330" t="str"/>
      <x:c r="R3330" t="str"/>
      <x:c r="S3330" t="str">
        <x:v>Pending genuine supplier/brand image</x:v>
      </x:c>
      <x:c r="T3330" s="54" t="n">
        <x:v>13.37</x:v>
      </x:c>
      <x:c r="U3330" s="47" t="n">
        <x:v>0.2</x:v>
      </x:c>
      <x:c r="V3330" s="54" t="n">
        <x:f>IF(ISNUMBER(T3330),T3330*(1+U3330),"")</x:f>
        <x:v>16.043999999999997</x:v>
      </x:c>
      <x:c r="W3330" s="47" t="n">
        <x:v>0.3</x:v>
      </x:c>
      <x:c r="X3330" s="54" t="n">
        <x:f>IF(ISNUMBER(V3330),V3330/(1-W3330),"")</x:f>
        <x:v>22.919999999999998</x:v>
      </x:c>
      <x:c r="Y3330" s="55" t="n">
        <x:f>IF(ISNUMBER(X3330),ROUNDUP(X3330,0),"")</x:f>
        <x:v>23</x:v>
      </x:c>
      <x:c r="Z3330" t="str">
        <x:v>Source match pending</x:v>
      </x:c>
      <x:c r="AA3330" t="str">
        <x:v>screencapture-www-activesportstrade-co-uk-applied-nutrition-trade-2026-09-10-08_59_59.pdf / page-17</x:v>
      </x:c>
      <x:c r="AB3330" s="36" t="n">
        <x:f>IF(ISNUMBER(Y3330),ROUND(Y3330*0.9,2),"")</x:f>
        <x:v>20.7</x:v>
      </x:c>
      <x:c r="AC3330" s="36" t="n">
        <x:f>IF(ISNUMBER(AB3330),ROUND(AB3330-(AB3330*0.015+0.2)-V3330,2),"")</x:f>
        <x:v>4.15</x:v>
      </x:c>
      <x:c r="AD3330" s="36" t="n">
        <x:f>IF(ISNUMBER(Y3330),ROUND(Y3330*0.8,2),"")</x:f>
        <x:v>18.4</x:v>
      </x:c>
      <x:c r="AE3330" s="36" t="n">
        <x:f>IF(ISNUMBER(AD3330),ROUND(AD3330*0.015+0.2,2),"")</x:f>
        <x:v>0.48</x:v>
      </x:c>
      <x:c r="AF3330" s="36" t="n">
        <x:f>IF(ISNUMBER(AD3330),ROUND(AD3330-AE3330-V3330,2),"")</x:f>
        <x:v>1.88</x:v>
      </x:c>
      <x:c r="AG3330" t="str">
        <x:f>IF(NOT(ISNUMBER(T3330)),"PENDING",IF(AF3330&gt;0,"PASS","FAIL"))</x:f>
        <x:v>PASS</x:v>
      </x:c>
      <x:c r="AH3330" t="str">
        <x:f>IF(NOT(ISNUMBER(T3330)),"Needs supplier cost",IF(K3330&lt;&gt;"In stock","Supplier unavailable",IF(AG3330&lt;&gt;"PASS","BLOCK - GT loss risk","Commercially protected")))</x:f>
        <x:v>Commercially protected</x:v>
      </x:c>
      <x:c r="AI3330" t="str">
        <x:v>2026-09-10 Active Sports trade capture</x:v>
      </x:c>
      <x:c r="AJ3330" t="str">
        <x:v>Management-only economics. Stripe stress test uses 1.5% + £0.20 standard UK online-card fee; pallet/mix-and-match pricing ignored.</x:v>
      </x:c>
    </x:row>
    <x:row r="3331">
      <x:c r="A3331" t="str">
        <x:v>Active Sports Nutrition</x:v>
      </x:c>
      <x:c r="B3331" t="str">
        <x:v>Applied Nutrition</x:v>
      </x:c>
      <x:c r="C3331" t="str">
        <x:v>Protein Crunch Bar</x:v>
      </x:c>
      <x:c r="D3331" t="str">
        <x:v>Food &amp; Drinks</x:v>
      </x:c>
      <x:c r="E3331" t="str">
        <x:v>Protein Bars</x:v>
      </x:c>
      <x:c r="F3331" t="str"/>
      <x:c r="G3331" t="str">
        <x:v>12 x 62g bars</x:v>
      </x:c>
      <x:c r="H3331" t="str">
        <x:v>White Chocolate Caramel</x:v>
      </x:c>
      <x:c r="I3331" t="str">
        <x:v>12</x:v>
      </x:c>
      <x:c r="J3331" t="str">
        <x:v>Case</x:v>
      </x:c>
      <x:c r="K3331" t="str">
        <x:v>In stock</x:v>
      </x:c>
      <x:c r="L3331" t="str">
        <x:v>2026-09-08</x:v>
      </x:c>
      <x:c r="M3331" t="str"/>
      <x:c r="N3331" t="str"/>
      <x:c r="O3331" t="str">
        <x:v>https://www.activesportstrade.co.uk/Protein-Bars</x:v>
      </x:c>
      <x:c r="P3331" t="str">
        <x:v>BUY 5 GET 1 FREE wording stripped.</x:v>
      </x:c>
      <x:c r="Q3331" t="str"/>
      <x:c r="R3331" t="str"/>
      <x:c r="S3331" t="str">
        <x:v>Pending genuine supplier/brand image</x:v>
      </x:c>
      <x:c r="T3331" s="54" t="n">
        <x:v>13.37</x:v>
      </x:c>
      <x:c r="U3331" s="47" t="n">
        <x:v>0.2</x:v>
      </x:c>
      <x:c r="V3331" s="54" t="n">
        <x:f>IF(ISNUMBER(T3331),T3331*(1+U3331),"")</x:f>
        <x:v>16.043999999999997</x:v>
      </x:c>
      <x:c r="W3331" s="47" t="n">
        <x:v>0.3</x:v>
      </x:c>
      <x:c r="X3331" s="54" t="n">
        <x:f>IF(ISNUMBER(V3331),V3331/(1-W3331),"")</x:f>
        <x:v>22.919999999999998</x:v>
      </x:c>
      <x:c r="Y3331" s="55" t="n">
        <x:f>IF(ISNUMBER(X3331),ROUNDUP(X3331,0),"")</x:f>
        <x:v>23</x:v>
      </x:c>
      <x:c r="Z3331" t="str">
        <x:v>Source match pending</x:v>
      </x:c>
      <x:c r="AA3331" t="str">
        <x:v>screencapture-www-activesportstrade-co-uk-applied-nutrition-trade-2026-09-10-08_59_59.pdf / page-17</x:v>
      </x:c>
      <x:c r="AB3331" s="36" t="n">
        <x:f>IF(ISNUMBER(Y3331),ROUND(Y3331*0.9,2),"")</x:f>
        <x:v>20.7</x:v>
      </x:c>
      <x:c r="AC3331" s="36" t="n">
        <x:f>IF(ISNUMBER(AB3331),ROUND(AB3331-(AB3331*0.015+0.2)-V3331,2),"")</x:f>
        <x:v>4.15</x:v>
      </x:c>
      <x:c r="AD3331" s="36" t="n">
        <x:f>IF(ISNUMBER(Y3331),ROUND(Y3331*0.8,2),"")</x:f>
        <x:v>18.4</x:v>
      </x:c>
      <x:c r="AE3331" s="36" t="n">
        <x:f>IF(ISNUMBER(AD3331),ROUND(AD3331*0.015+0.2,2),"")</x:f>
        <x:v>0.48</x:v>
      </x:c>
      <x:c r="AF3331" s="36" t="n">
        <x:f>IF(ISNUMBER(AD3331),ROUND(AD3331-AE3331-V3331,2),"")</x:f>
        <x:v>1.88</x:v>
      </x:c>
      <x:c r="AG3331" t="str">
        <x:f>IF(NOT(ISNUMBER(T3331)),"PENDING",IF(AF3331&gt;0,"PASS","FAIL"))</x:f>
        <x:v>PASS</x:v>
      </x:c>
      <x:c r="AH3331" t="str">
        <x:f>IF(NOT(ISNUMBER(T3331)),"Needs supplier cost",IF(K3331&lt;&gt;"In stock","Supplier unavailable",IF(AG3331&lt;&gt;"PASS","BLOCK - GT loss risk","Commercially protected")))</x:f>
        <x:v>Commercially protected</x:v>
      </x:c>
      <x:c r="AI3331" t="str">
        <x:v>2026-09-10 Active Sports trade capture</x:v>
      </x:c>
      <x:c r="AJ3331" t="str">
        <x:v>Management-only economics. Stripe stress test uses 1.5% + £0.20 standard UK online-card fee; pallet/mix-and-match pricing ignored.</x:v>
      </x:c>
    </x:row>
    <x:row r="3332">
      <x:c r="A3332" t="str">
        <x:v>Active Sports Nutrition</x:v>
      </x:c>
      <x:c r="B3332" t="str">
        <x:v>Applied Nutrition</x:v>
      </x:c>
      <x:c r="C3332" t="str">
        <x:v>Protein Wafer</x:v>
      </x:c>
      <x:c r="D3332" t="str">
        <x:v>Food &amp; Drinks</x:v>
      </x:c>
      <x:c r="E3332" t="str">
        <x:v>Protein Bars</x:v>
      </x:c>
      <x:c r="F3332" t="str"/>
      <x:c r="G3332" t="str">
        <x:v>12 x 39g bars</x:v>
      </x:c>
      <x:c r="H3332" t="str">
        <x:v>Milk Chocolate Caramel</x:v>
      </x:c>
      <x:c r="I3332" t="str">
        <x:v>12</x:v>
      </x:c>
      <x:c r="J3332" t="str">
        <x:v>Case</x:v>
      </x:c>
      <x:c r="K3332" t="str">
        <x:v>In stock</x:v>
      </x:c>
      <x:c r="L3332" t="str">
        <x:v>2026-09-08</x:v>
      </x:c>
      <x:c r="M3332" t="str"/>
      <x:c r="N3332" t="str"/>
      <x:c r="O3332" t="str">
        <x:v>https://www.activesportstrade.co.uk/Protein-Bars</x:v>
      </x:c>
      <x:c r="P3332" t="str"/>
      <x:c r="Q3332" t="str"/>
      <x:c r="R3332" t="str"/>
      <x:c r="S3332" t="str">
        <x:v>Pending genuine supplier/brand image</x:v>
      </x:c>
      <x:c r="T3332" s="54" t="n">
        <x:v>10.5</x:v>
      </x:c>
      <x:c r="U3332" s="47" t="n">
        <x:v>0.2</x:v>
      </x:c>
      <x:c r="V3332" s="54" t="n">
        <x:f>IF(ISNUMBER(T3332),T3332*(1+U3332),"")</x:f>
        <x:v>12.6</x:v>
      </x:c>
      <x:c r="W3332" s="47" t="n">
        <x:v>0.3</x:v>
      </x:c>
      <x:c r="X3332" s="54" t="n">
        <x:f>IF(ISNUMBER(V3332),V3332/(1-W3332),"")</x:f>
        <x:v>18</x:v>
      </x:c>
      <x:c r="Y3332" s="55" t="n">
        <x:f>IF(ISNUMBER(X3332),ROUNDUP(X3332,0),"")</x:f>
        <x:v>18</x:v>
      </x:c>
      <x:c r="Z3332" t="str">
        <x:v>Source match pending</x:v>
      </x:c>
      <x:c r="AA3332" t="str">
        <x:v>screencapture-www-activesportstrade-co-uk-applied-nutrition-trade-2026-09-10-08_59_59.pdf / page-17</x:v>
      </x:c>
      <x:c r="AB3332" s="36" t="n">
        <x:f>IF(ISNUMBER(Y3332),ROUND(Y3332*0.9,2),"")</x:f>
        <x:v>16.2</x:v>
      </x:c>
      <x:c r="AC3332" s="36" t="n">
        <x:f>IF(ISNUMBER(AB3332),ROUND(AB3332-(AB3332*0.015+0.2)-V3332,2),"")</x:f>
        <x:v>3.16</x:v>
      </x:c>
      <x:c r="AD3332" s="36" t="n">
        <x:f>IF(ISNUMBER(Y3332),ROUND(Y3332*0.8,2),"")</x:f>
        <x:v>14.4</x:v>
      </x:c>
      <x:c r="AE3332" s="36" t="n">
        <x:f>IF(ISNUMBER(AD3332),ROUND(AD3332*0.015+0.2,2),"")</x:f>
        <x:v>0.42</x:v>
      </x:c>
      <x:c r="AF3332" s="36" t="n">
        <x:f>IF(ISNUMBER(AD3332),ROUND(AD3332-AE3332-V3332,2),"")</x:f>
        <x:v>1.38</x:v>
      </x:c>
      <x:c r="AG3332" t="str">
        <x:f>IF(NOT(ISNUMBER(T3332)),"PENDING",IF(AF3332&gt;0,"PASS","FAIL"))</x:f>
        <x:v>PASS</x:v>
      </x:c>
      <x:c r="AH3332" t="str">
        <x:f>IF(NOT(ISNUMBER(T3332)),"Needs supplier cost",IF(K3332&lt;&gt;"In stock","Supplier unavailable",IF(AG3332&lt;&gt;"PASS","BLOCK - GT loss risk","Commercially protected")))</x:f>
        <x:v>Commercially protected</x:v>
      </x:c>
      <x:c r="AI3332" t="str">
        <x:v>2026-09-10 Active Sports trade capture</x:v>
      </x:c>
      <x:c r="AJ3332" t="str">
        <x:v>Management-only economics. Stripe stress test uses 1.5% + £0.20 standard UK online-card fee; pallet/mix-and-match pricing ignored.</x:v>
      </x:c>
    </x:row>
    <x:row r="3333">
      <x:c r="A3333" t="str">
        <x:v>Active Sports Nutrition</x:v>
      </x:c>
      <x:c r="B3333" t="str">
        <x:v>Applied Nutrition</x:v>
      </x:c>
      <x:c r="C3333" t="str">
        <x:v>Protein Wafer</x:v>
      </x:c>
      <x:c r="D3333" t="str">
        <x:v>Food &amp; Drinks</x:v>
      </x:c>
      <x:c r="E3333" t="str">
        <x:v>Protein Bars</x:v>
      </x:c>
      <x:c r="F3333" t="str"/>
      <x:c r="G3333" t="str">
        <x:v>12 x 39g bars</x:v>
      </x:c>
      <x:c r="H3333" t="str">
        <x:v>Milk Chocolate Peanut</x:v>
      </x:c>
      <x:c r="I3333" t="str">
        <x:v>12</x:v>
      </x:c>
      <x:c r="J3333" t="str">
        <x:v>Case</x:v>
      </x:c>
      <x:c r="K3333" t="str">
        <x:v>In stock</x:v>
      </x:c>
      <x:c r="L3333" t="str">
        <x:v>2026-09-08</x:v>
      </x:c>
      <x:c r="M3333" t="str"/>
      <x:c r="N3333" t="str"/>
      <x:c r="O3333" t="str">
        <x:v>https://www.activesportstrade.co.uk/Protein-Bars</x:v>
      </x:c>
      <x:c r="P3333" t="str"/>
      <x:c r="Q3333" t="str"/>
      <x:c r="R3333" t="str"/>
      <x:c r="S3333" t="str">
        <x:v>Pending genuine supplier/brand image</x:v>
      </x:c>
      <x:c r="T3333" s="54" t="n">
        <x:v>10.5</x:v>
      </x:c>
      <x:c r="U3333" s="47" t="n">
        <x:v>0.2</x:v>
      </x:c>
      <x:c r="V3333" s="54" t="n">
        <x:f>IF(ISNUMBER(T3333),T3333*(1+U3333),"")</x:f>
        <x:v>12.6</x:v>
      </x:c>
      <x:c r="W3333" s="47" t="n">
        <x:v>0.3</x:v>
      </x:c>
      <x:c r="X3333" s="54" t="n">
        <x:f>IF(ISNUMBER(V3333),V3333/(1-W3333),"")</x:f>
        <x:v>18</x:v>
      </x:c>
      <x:c r="Y3333" s="55" t="n">
        <x:f>IF(ISNUMBER(X3333),ROUNDUP(X3333,0),"")</x:f>
        <x:v>18</x:v>
      </x:c>
      <x:c r="Z3333" t="str">
        <x:v>Source match pending</x:v>
      </x:c>
      <x:c r="AA3333" t="str">
        <x:v>screencapture-www-activesportstrade-co-uk-applied-nutrition-trade-2026-09-10-08_59_59.pdf / page-17</x:v>
      </x:c>
      <x:c r="AB3333" s="36" t="n">
        <x:f>IF(ISNUMBER(Y3333),ROUND(Y3333*0.9,2),"")</x:f>
        <x:v>16.2</x:v>
      </x:c>
      <x:c r="AC3333" s="36" t="n">
        <x:f>IF(ISNUMBER(AB3333),ROUND(AB3333-(AB3333*0.015+0.2)-V3333,2),"")</x:f>
        <x:v>3.16</x:v>
      </x:c>
      <x:c r="AD3333" s="36" t="n">
        <x:f>IF(ISNUMBER(Y3333),ROUND(Y3333*0.8,2),"")</x:f>
        <x:v>14.4</x:v>
      </x:c>
      <x:c r="AE3333" s="36" t="n">
        <x:f>IF(ISNUMBER(AD3333),ROUND(AD3333*0.015+0.2,2),"")</x:f>
        <x:v>0.42</x:v>
      </x:c>
      <x:c r="AF3333" s="36" t="n">
        <x:f>IF(ISNUMBER(AD3333),ROUND(AD3333-AE3333-V3333,2),"")</x:f>
        <x:v>1.38</x:v>
      </x:c>
      <x:c r="AG3333" t="str">
        <x:f>IF(NOT(ISNUMBER(T3333)),"PENDING",IF(AF3333&gt;0,"PASS","FAIL"))</x:f>
        <x:v>PASS</x:v>
      </x:c>
      <x:c r="AH3333" t="str">
        <x:f>IF(NOT(ISNUMBER(T3333)),"Needs supplier cost",IF(K3333&lt;&gt;"In stock","Supplier unavailable",IF(AG3333&lt;&gt;"PASS","BLOCK - GT loss risk","Commercially protected")))</x:f>
        <x:v>Commercially protected</x:v>
      </x:c>
      <x:c r="AI3333" t="str">
        <x:v>2026-09-10 Active Sports trade capture</x:v>
      </x:c>
      <x:c r="AJ3333" t="str">
        <x:v>Management-only economics. Stripe stress test uses 1.5% + £0.20 standard UK online-card fee; pallet/mix-and-match pricing ignored.</x:v>
      </x:c>
    </x:row>
    <x:row r="3334">
      <x:c r="A3334" t="str">
        <x:v>Active Sports Nutrition</x:v>
      </x:c>
      <x:c r="B3334" t="str">
        <x:v>Applied Nutrition</x:v>
      </x:c>
      <x:c r="C3334" t="str">
        <x:v>Protein Wafer</x:v>
      </x:c>
      <x:c r="D3334" t="str">
        <x:v>Food &amp; Drinks</x:v>
      </x:c>
      <x:c r="E3334" t="str">
        <x:v>Protein Bars</x:v>
      </x:c>
      <x:c r="F3334" t="str"/>
      <x:c r="G3334" t="str">
        <x:v>12 x 39g bars</x:v>
      </x:c>
      <x:c r="H3334" t="str">
        <x:v>Milk Chocolate Pistachio</x:v>
      </x:c>
      <x:c r="I3334" t="str">
        <x:v>12</x:v>
      </x:c>
      <x:c r="J3334" t="str">
        <x:v>Case</x:v>
      </x:c>
      <x:c r="K3334" t="str">
        <x:v>In stock</x:v>
      </x:c>
      <x:c r="L3334" t="str">
        <x:v>2026-09-08</x:v>
      </x:c>
      <x:c r="M3334" t="str"/>
      <x:c r="N3334" t="str"/>
      <x:c r="O3334" t="str">
        <x:v>https://www.activesportstrade.co.uk/Protein-Bars</x:v>
      </x:c>
      <x:c r="P3334" t="str"/>
      <x:c r="Q3334" t="str"/>
      <x:c r="R3334" t="str"/>
      <x:c r="S3334" t="str">
        <x:v>Pending genuine supplier/brand image</x:v>
      </x:c>
      <x:c r="T3334" s="54" t="n">
        <x:v>10.5</x:v>
      </x:c>
      <x:c r="U3334" s="47" t="n">
        <x:v>0.2</x:v>
      </x:c>
      <x:c r="V3334" s="54" t="n">
        <x:f>IF(ISNUMBER(T3334),T3334*(1+U3334),"")</x:f>
        <x:v>12.6</x:v>
      </x:c>
      <x:c r="W3334" s="47" t="n">
        <x:v>0.3</x:v>
      </x:c>
      <x:c r="X3334" s="54" t="n">
        <x:f>IF(ISNUMBER(V3334),V3334/(1-W3334),"")</x:f>
        <x:v>18</x:v>
      </x:c>
      <x:c r="Y3334" s="55" t="n">
        <x:f>IF(ISNUMBER(X3334),ROUNDUP(X3334,0),"")</x:f>
        <x:v>18</x:v>
      </x:c>
      <x:c r="Z3334" t="str">
        <x:v>Source match pending</x:v>
      </x:c>
      <x:c r="AA3334" t="str">
        <x:v>screencapture-www-activesportstrade-co-uk-applied-nutrition-trade-2026-09-10-08_59_59.pdf / page-17</x:v>
      </x:c>
      <x:c r="AB3334" s="36" t="n">
        <x:f>IF(ISNUMBER(Y3334),ROUND(Y3334*0.9,2),"")</x:f>
        <x:v>16.2</x:v>
      </x:c>
      <x:c r="AC3334" s="36" t="n">
        <x:f>IF(ISNUMBER(AB3334),ROUND(AB3334-(AB3334*0.015+0.2)-V3334,2),"")</x:f>
        <x:v>3.16</x:v>
      </x:c>
      <x:c r="AD3334" s="36" t="n">
        <x:f>IF(ISNUMBER(Y3334),ROUND(Y3334*0.8,2),"")</x:f>
        <x:v>14.4</x:v>
      </x:c>
      <x:c r="AE3334" s="36" t="n">
        <x:f>IF(ISNUMBER(AD3334),ROUND(AD3334*0.015+0.2,2),"")</x:f>
        <x:v>0.42</x:v>
      </x:c>
      <x:c r="AF3334" s="36" t="n">
        <x:f>IF(ISNUMBER(AD3334),ROUND(AD3334-AE3334-V3334,2),"")</x:f>
        <x:v>1.38</x:v>
      </x:c>
      <x:c r="AG3334" t="str">
        <x:f>IF(NOT(ISNUMBER(T3334)),"PENDING",IF(AF3334&gt;0,"PASS","FAIL"))</x:f>
        <x:v>PASS</x:v>
      </x:c>
      <x:c r="AH3334" t="str">
        <x:f>IF(NOT(ISNUMBER(T3334)),"Needs supplier cost",IF(K3334&lt;&gt;"In stock","Supplier unavailable",IF(AG3334&lt;&gt;"PASS","BLOCK - GT loss risk","Commercially protected")))</x:f>
        <x:v>Commercially protected</x:v>
      </x:c>
      <x:c r="AI3334" t="str">
        <x:v>2026-09-10 Active Sports trade capture</x:v>
      </x:c>
      <x:c r="AJ3334" t="str">
        <x:v>Management-only economics. Stripe stress test uses 1.5% + £0.20 standard UK online-card fee; pallet/mix-and-match pricing ignored.</x:v>
      </x:c>
    </x:row>
    <x:row r="3335">
      <x:c r="A3335" t="str">
        <x:v>Active Sports Nutrition</x:v>
      </x:c>
      <x:c r="B3335" t="str">
        <x:v>Applied Nutrition</x:v>
      </x:c>
      <x:c r="C3335" t="str">
        <x:v>AAKG Powder</x:v>
      </x:c>
      <x:c r="D3335" t="str">
        <x:v>Supplements</x:v>
      </x:c>
      <x:c r="E3335" t="str">
        <x:v>Amino Acids</x:v>
      </x:c>
      <x:c r="F3335" t="str"/>
      <x:c r="G3335" t="str">
        <x:v>300g</x:v>
      </x:c>
      <x:c r="H3335" t="str">
        <x:v>Standard</x:v>
      </x:c>
      <x:c r="I3335" t="str"/>
      <x:c r="J3335" t="str">
        <x:v>Unit</x:v>
      </x:c>
      <x:c r="K3335" t="str">
        <x:v>In stock</x:v>
      </x:c>
      <x:c r="L3335" t="str">
        <x:v>2026-09-08</x:v>
      </x:c>
      <x:c r="M3335" t="str"/>
      <x:c r="N3335" t="str"/>
      <x:c r="O3335" t="str">
        <x:v>https://www.activesportstrade.co.uk/trade-sports-supplements/applied-nutrition-trade</x:v>
      </x:c>
      <x:c r="P3335" t="str">
        <x:v>BUY 4 GET 1 FREE wording stripped.</x:v>
      </x:c>
      <x:c r="Q3335" t="str"/>
      <x:c r="R3335" t="str"/>
      <x:c r="S3335" t="str">
        <x:v>Pending genuine supplier/brand image</x:v>
      </x:c>
      <x:c r="T3335" s="54" t="n">
        <x:v>9.94</x:v>
      </x:c>
      <x:c r="U3335" s="47" t="n">
        <x:v>0.2</x:v>
      </x:c>
      <x:c r="V3335" s="54" t="n">
        <x:f>IF(ISNUMBER(T3335),T3335*(1+U3335),"")</x:f>
        <x:v>11.927999999999999</x:v>
      </x:c>
      <x:c r="W3335" s="47" t="n">
        <x:v>0.3</x:v>
      </x:c>
      <x:c r="X3335" s="54" t="n">
        <x:f>IF(ISNUMBER(V3335),V3335/(1-W3335),"")</x:f>
        <x:v>17.04</x:v>
      </x:c>
      <x:c r="Y3335" s="55" t="n">
        <x:f>IF(ISNUMBER(X3335),ROUNDUP(X3335,0),"")</x:f>
        <x:v>18</x:v>
      </x:c>
      <x:c r="Z3335" t="str">
        <x:v>Source match pending</x:v>
      </x:c>
      <x:c r="AA3335" t="str">
        <x:v>screencapture-www-activesportstrade-co-uk-applied-nutrition-trade-2026-09-10-08_59_59.pdf / page-01</x:v>
      </x:c>
      <x:c r="AB3335" s="36" t="n">
        <x:f>IF(ISNUMBER(Y3335),ROUND(Y3335*0.9,2),"")</x:f>
        <x:v>16.2</x:v>
      </x:c>
      <x:c r="AC3335" s="36" t="n">
        <x:f>IF(ISNUMBER(AB3335),ROUND(AB3335-(AB3335*0.015+0.2)-V3335,2),"")</x:f>
        <x:v>3.83</x:v>
      </x:c>
      <x:c r="AD3335" s="36" t="n">
        <x:f>IF(ISNUMBER(Y3335),ROUND(Y3335*0.8,2),"")</x:f>
        <x:v>14.4</x:v>
      </x:c>
      <x:c r="AE3335" s="36" t="n">
        <x:f>IF(ISNUMBER(AD3335),ROUND(AD3335*0.015+0.2,2),"")</x:f>
        <x:v>0.42</x:v>
      </x:c>
      <x:c r="AF3335" s="36" t="n">
        <x:f>IF(ISNUMBER(AD3335),ROUND(AD3335-AE3335-V3335,2),"")</x:f>
        <x:v>2.05</x:v>
      </x:c>
      <x:c r="AG3335" t="str">
        <x:f>IF(NOT(ISNUMBER(T3335)),"PENDING",IF(AF3335&gt;0,"PASS","FAIL"))</x:f>
        <x:v>PASS</x:v>
      </x:c>
      <x:c r="AH3335" t="str">
        <x:f>IF(NOT(ISNUMBER(T3335)),"Needs supplier cost",IF(K3335&lt;&gt;"In stock","Supplier unavailable",IF(AG3335&lt;&gt;"PASS","BLOCK - GT loss risk","Commercially protected")))</x:f>
        <x:v>Commercially protected</x:v>
      </x:c>
      <x:c r="AI3335" t="str">
        <x:v>2026-09-10 Active Sports trade capture</x:v>
      </x:c>
      <x:c r="AJ3335" t="str">
        <x:v>Management-only economics. Stripe stress test uses 1.5% + £0.20 standard UK online-card fee; pallet/mix-and-match pricing ignored.</x:v>
      </x:c>
    </x:row>
    <x:row r="3336">
      <x:c r="A3336" t="str">
        <x:v>Active Sports Nutrition</x:v>
      </x:c>
      <x:c r="B3336" t="str">
        <x:v>Applied Nutrition</x:v>
      </x:c>
      <x:c r="C3336" t="str">
        <x:v>Body Fuel Energy Cans</x:v>
      </x:c>
      <x:c r="D3336" t="str">
        <x:v>Food &amp; Drinks</x:v>
      </x:c>
      <x:c r="E3336" t="str">
        <x:v>Energy Drinks</x:v>
      </x:c>
      <x:c r="F3336" t="str"/>
      <x:c r="G3336" t="str">
        <x:v>12 x 330ml cans</x:v>
      </x:c>
      <x:c r="H3336" t="str">
        <x:v>Blue Raspberry</x:v>
      </x:c>
      <x:c r="I3336" t="str">
        <x:v>12</x:v>
      </x:c>
      <x:c r="J3336" t="str">
        <x:v>Case</x:v>
      </x:c>
      <x:c r="K3336" t="str">
        <x:v>In stock</x:v>
      </x:c>
      <x:c r="L3336" t="str">
        <x:v>2026-09-08</x:v>
      </x:c>
      <x:c r="M3336" t="str"/>
      <x:c r="N3336" t="str"/>
      <x:c r="O3336" t="str">
        <x:v>https://www.activesportstrade.co.uk/Ready-to-Drink-Energy</x:v>
      </x:c>
      <x:c r="P3336" t="str">
        <x:v>PALLET PROMO wording stripped; case-only supplier ordering.</x:v>
      </x:c>
      <x:c r="Q3336" t="str"/>
      <x:c r="R3336" t="str"/>
      <x:c r="S3336" t="str">
        <x:v>Pending genuine supplier/brand image</x:v>
      </x:c>
      <x:c r="T3336" s="54" t="n">
        <x:v>7.56</x:v>
      </x:c>
      <x:c r="U3336" s="47" t="n">
        <x:v>0.2</x:v>
      </x:c>
      <x:c r="V3336" s="54" t="n">
        <x:f>IF(ISNUMBER(T3336),T3336*(1+U3336),"")</x:f>
        <x:v>9.072</x:v>
      </x:c>
      <x:c r="W3336" s="47" t="n">
        <x:v>0.3</x:v>
      </x:c>
      <x:c r="X3336" s="54" t="n">
        <x:f>IF(ISNUMBER(V3336),V3336/(1-W3336),"")</x:f>
        <x:v>12.959999999999999</x:v>
      </x:c>
      <x:c r="Y3336" s="55" t="n">
        <x:f>IF(ISNUMBER(X3336),ROUNDUP(X3336,0),"")</x:f>
        <x:v>13</x:v>
      </x:c>
      <x:c r="Z3336" t="str">
        <x:v>Source match pending</x:v>
      </x:c>
      <x:c r="AA3336" t="str">
        <x:v>screencapture-www-activesportstrade-co-uk-applied-nutrition-trade-2026-09-10-08_59_59.pdf / page-04</x:v>
      </x:c>
      <x:c r="AB3336" s="36" t="n">
        <x:f>IF(ISNUMBER(Y3336),ROUND(Y3336*0.9,2),"")</x:f>
        <x:v>11.7</x:v>
      </x:c>
      <x:c r="AC3336" s="36" t="n">
        <x:f>IF(ISNUMBER(AB3336),ROUND(AB3336-(AB3336*0.015+0.2)-V3336,2),"")</x:f>
        <x:v>2.25</x:v>
      </x:c>
      <x:c r="AD3336" s="36" t="n">
        <x:f>IF(ISNUMBER(Y3336),ROUND(Y3336*0.8,2),"")</x:f>
        <x:v>10.4</x:v>
      </x:c>
      <x:c r="AE3336" s="36" t="n">
        <x:f>IF(ISNUMBER(AD3336),ROUND(AD3336*0.015+0.2,2),"")</x:f>
        <x:v>0.36</x:v>
      </x:c>
      <x:c r="AF3336" s="36" t="n">
        <x:f>IF(ISNUMBER(AD3336),ROUND(AD3336-AE3336-V3336,2),"")</x:f>
        <x:v>0.97</x:v>
      </x:c>
      <x:c r="AG3336" t="str">
        <x:f>IF(NOT(ISNUMBER(T3336)),"PENDING",IF(AF3336&gt;0,"PASS","FAIL"))</x:f>
        <x:v>PASS</x:v>
      </x:c>
      <x:c r="AH3336" t="str">
        <x:f>IF(NOT(ISNUMBER(T3336)),"Needs supplier cost",IF(K3336&lt;&gt;"In stock","Supplier unavailable",IF(AG3336&lt;&gt;"PASS","BLOCK - GT loss risk","Commercially protected")))</x:f>
        <x:v>Commercially protected</x:v>
      </x:c>
      <x:c r="AI3336" t="str">
        <x:v>2026-09-10 Active Sports trade capture</x:v>
      </x:c>
      <x:c r="AJ3336" t="str">
        <x:v>Management-only economics. Stripe stress test uses 1.5% + £0.20 standard UK online-card fee; pallet/mix-and-match pricing ignored.</x:v>
      </x:c>
    </x:row>
    <x:row r="3337">
      <x:c r="A3337" t="str">
        <x:v>Active Sports Nutrition</x:v>
      </x:c>
      <x:c r="B3337" t="str">
        <x:v>Applied Nutrition</x:v>
      </x:c>
      <x:c r="C3337" t="str">
        <x:v>Body Fuel Energy Cans</x:v>
      </x:c>
      <x:c r="D3337" t="str">
        <x:v>Food &amp; Drinks</x:v>
      </x:c>
      <x:c r="E3337" t="str">
        <x:v>Energy Drinks</x:v>
      </x:c>
      <x:c r="F3337" t="str"/>
      <x:c r="G3337" t="str">
        <x:v>12 x 330ml cans</x:v>
      </x:c>
      <x:c r="H3337" t="str">
        <x:v>Lemonade</x:v>
      </x:c>
      <x:c r="I3337" t="str">
        <x:v>12</x:v>
      </x:c>
      <x:c r="J3337" t="str">
        <x:v>Case</x:v>
      </x:c>
      <x:c r="K3337" t="str">
        <x:v>In stock</x:v>
      </x:c>
      <x:c r="L3337" t="str">
        <x:v>2026-09-08</x:v>
      </x:c>
      <x:c r="M3337" t="str"/>
      <x:c r="N3337" t="str"/>
      <x:c r="O3337" t="str">
        <x:v>https://www.activesportstrade.co.uk/Ready-to-Drink-Energy</x:v>
      </x:c>
      <x:c r="P3337" t="str">
        <x:v>PALLET PROMO wording stripped; case-only supplier ordering.</x:v>
      </x:c>
      <x:c r="Q3337" t="str"/>
      <x:c r="R3337" t="str"/>
      <x:c r="S3337" t="str">
        <x:v>Pending genuine supplier/brand image</x:v>
      </x:c>
      <x:c r="T3337" s="54" t="n">
        <x:v>7.56</x:v>
      </x:c>
      <x:c r="U3337" s="47" t="n">
        <x:v>0.2</x:v>
      </x:c>
      <x:c r="V3337" s="54" t="n">
        <x:f>IF(ISNUMBER(T3337),T3337*(1+U3337),"")</x:f>
        <x:v>9.072</x:v>
      </x:c>
      <x:c r="W3337" s="47" t="n">
        <x:v>0.3</x:v>
      </x:c>
      <x:c r="X3337" s="54" t="n">
        <x:f>IF(ISNUMBER(V3337),V3337/(1-W3337),"")</x:f>
        <x:v>12.959999999999999</x:v>
      </x:c>
      <x:c r="Y3337" s="55" t="n">
        <x:f>IF(ISNUMBER(X3337),ROUNDUP(X3337,0),"")</x:f>
        <x:v>13</x:v>
      </x:c>
      <x:c r="Z3337" t="str">
        <x:v>Source match pending</x:v>
      </x:c>
      <x:c r="AA3337" t="str">
        <x:v>screencapture-www-activesportstrade-co-uk-applied-nutrition-trade-2026-09-10-08_59_59.pdf / page-04</x:v>
      </x:c>
      <x:c r="AB3337" s="36" t="n">
        <x:f>IF(ISNUMBER(Y3337),ROUND(Y3337*0.9,2),"")</x:f>
        <x:v>11.7</x:v>
      </x:c>
      <x:c r="AC3337" s="36" t="n">
        <x:f>IF(ISNUMBER(AB3337),ROUND(AB3337-(AB3337*0.015+0.2)-V3337,2),"")</x:f>
        <x:v>2.25</x:v>
      </x:c>
      <x:c r="AD3337" s="36" t="n">
        <x:f>IF(ISNUMBER(Y3337),ROUND(Y3337*0.8,2),"")</x:f>
        <x:v>10.4</x:v>
      </x:c>
      <x:c r="AE3337" s="36" t="n">
        <x:f>IF(ISNUMBER(AD3337),ROUND(AD3337*0.015+0.2,2),"")</x:f>
        <x:v>0.36</x:v>
      </x:c>
      <x:c r="AF3337" s="36" t="n">
        <x:f>IF(ISNUMBER(AD3337),ROUND(AD3337-AE3337-V3337,2),"")</x:f>
        <x:v>0.97</x:v>
      </x:c>
      <x:c r="AG3337" t="str">
        <x:f>IF(NOT(ISNUMBER(T3337)),"PENDING",IF(AF3337&gt;0,"PASS","FAIL"))</x:f>
        <x:v>PASS</x:v>
      </x:c>
      <x:c r="AH3337" t="str">
        <x:f>IF(NOT(ISNUMBER(T3337)),"Needs supplier cost",IF(K3337&lt;&gt;"In stock","Supplier unavailable",IF(AG3337&lt;&gt;"PASS","BLOCK - GT loss risk","Commercially protected")))</x:f>
        <x:v>Commercially protected</x:v>
      </x:c>
      <x:c r="AI3337" t="str">
        <x:v>2026-09-10 Active Sports trade capture</x:v>
      </x:c>
      <x:c r="AJ3337" t="str">
        <x:v>Management-only economics. Stripe stress test uses 1.5% + £0.20 standard UK online-card fee; pallet/mix-and-match pricing ignored.</x:v>
      </x:c>
    </x:row>
    <x:row r="3338">
      <x:c r="A3338" t="str">
        <x:v>Active Sports Nutrition</x:v>
      </x:c>
      <x:c r="B3338" t="str">
        <x:v>Applied Nutrition</x:v>
      </x:c>
      <x:c r="C3338" t="str">
        <x:v>Body Fuel Energy Cans</x:v>
      </x:c>
      <x:c r="D3338" t="str">
        <x:v>Food &amp; Drinks</x:v>
      </x:c>
      <x:c r="E3338" t="str">
        <x:v>Energy Drinks</x:v>
      </x:c>
      <x:c r="F3338" t="str"/>
      <x:c r="G3338" t="str">
        <x:v>12 x 330ml cans</x:v>
      </x:c>
      <x:c r="H3338" t="str">
        <x:v>Orange</x:v>
      </x:c>
      <x:c r="I3338" t="str">
        <x:v>12</x:v>
      </x:c>
      <x:c r="J3338" t="str">
        <x:v>Case</x:v>
      </x:c>
      <x:c r="K3338" t="str">
        <x:v>In stock</x:v>
      </x:c>
      <x:c r="L3338" t="str">
        <x:v>2026-09-08</x:v>
      </x:c>
      <x:c r="M3338" t="str"/>
      <x:c r="N3338" t="str"/>
      <x:c r="O3338" t="str">
        <x:v>https://www.activesportstrade.co.uk/Ready-to-Drink-Energy</x:v>
      </x:c>
      <x:c r="P3338" t="str">
        <x:v>PALLET PROMO wording stripped; case-only supplier ordering.</x:v>
      </x:c>
      <x:c r="Q3338" t="str"/>
      <x:c r="R3338" t="str"/>
      <x:c r="S3338" t="str">
        <x:v>Pending genuine supplier/brand image</x:v>
      </x:c>
      <x:c r="T3338" s="54" t="n">
        <x:v>7.56</x:v>
      </x:c>
      <x:c r="U3338" s="47" t="n">
        <x:v>0.2</x:v>
      </x:c>
      <x:c r="V3338" s="54" t="n">
        <x:f>IF(ISNUMBER(T3338),T3338*(1+U3338),"")</x:f>
        <x:v>9.072</x:v>
      </x:c>
      <x:c r="W3338" s="47" t="n">
        <x:v>0.3</x:v>
      </x:c>
      <x:c r="X3338" s="54" t="n">
        <x:f>IF(ISNUMBER(V3338),V3338/(1-W3338),"")</x:f>
        <x:v>12.959999999999999</x:v>
      </x:c>
      <x:c r="Y3338" s="55" t="n">
        <x:f>IF(ISNUMBER(X3338),ROUNDUP(X3338,0),"")</x:f>
        <x:v>13</x:v>
      </x:c>
      <x:c r="Z3338" t="str">
        <x:v>Source match pending</x:v>
      </x:c>
      <x:c r="AA3338" t="str">
        <x:v>screencapture-www-activesportstrade-co-uk-applied-nutrition-trade-2026-09-10-08_59_59.pdf / page-04</x:v>
      </x:c>
      <x:c r="AB3338" s="36" t="n">
        <x:f>IF(ISNUMBER(Y3338),ROUND(Y3338*0.9,2),"")</x:f>
        <x:v>11.7</x:v>
      </x:c>
      <x:c r="AC3338" s="36" t="n">
        <x:f>IF(ISNUMBER(AB3338),ROUND(AB3338-(AB3338*0.015+0.2)-V3338,2),"")</x:f>
        <x:v>2.25</x:v>
      </x:c>
      <x:c r="AD3338" s="36" t="n">
        <x:f>IF(ISNUMBER(Y3338),ROUND(Y3338*0.8,2),"")</x:f>
        <x:v>10.4</x:v>
      </x:c>
      <x:c r="AE3338" s="36" t="n">
        <x:f>IF(ISNUMBER(AD3338),ROUND(AD3338*0.015+0.2,2),"")</x:f>
        <x:v>0.36</x:v>
      </x:c>
      <x:c r="AF3338" s="36" t="n">
        <x:f>IF(ISNUMBER(AD3338),ROUND(AD3338-AE3338-V3338,2),"")</x:f>
        <x:v>0.97</x:v>
      </x:c>
      <x:c r="AG3338" t="str">
        <x:f>IF(NOT(ISNUMBER(T3338)),"PENDING",IF(AF3338&gt;0,"PASS","FAIL"))</x:f>
        <x:v>PASS</x:v>
      </x:c>
      <x:c r="AH3338" t="str">
        <x:f>IF(NOT(ISNUMBER(T3338)),"Needs supplier cost",IF(K3338&lt;&gt;"In stock","Supplier unavailable",IF(AG3338&lt;&gt;"PASS","BLOCK - GT loss risk","Commercially protected")))</x:f>
        <x:v>Commercially protected</x:v>
      </x:c>
      <x:c r="AI3338" t="str">
        <x:v>2026-09-10 Active Sports trade capture</x:v>
      </x:c>
      <x:c r="AJ3338" t="str">
        <x:v>Management-only economics. Stripe stress test uses 1.5% + £0.20 standard UK online-card fee; pallet/mix-and-match pricing ignored.</x:v>
      </x:c>
    </x:row>
    <x:row r="3339">
      <x:c r="A3339" t="str">
        <x:v>Active Sports Nutrition</x:v>
      </x:c>
      <x:c r="B3339" t="str">
        <x:v>Applied Nutrition</x:v>
      </x:c>
      <x:c r="C3339" t="str">
        <x:v>Body Fuel Energy Shots</x:v>
      </x:c>
      <x:c r="D3339" t="str">
        <x:v>Food &amp; Drinks</x:v>
      </x:c>
      <x:c r="E3339" t="str">
        <x:v>Energy Shots</x:v>
      </x:c>
      <x:c r="F3339" t="str"/>
      <x:c r="G3339" t="str">
        <x:v>12 x 60ml shots</x:v>
      </x:c>
      <x:c r="H3339" t="str">
        <x:v>Berry Blast</x:v>
      </x:c>
      <x:c r="I3339" t="str">
        <x:v>12</x:v>
      </x:c>
      <x:c r="J3339" t="str">
        <x:v>Case</x:v>
      </x:c>
      <x:c r="K3339" t="str">
        <x:v>Out of stock</x:v>
      </x:c>
      <x:c r="L3339" t="str">
        <x:v>2026-09-08</x:v>
      </x:c>
      <x:c r="M3339" t="str"/>
      <x:c r="N3339" t="str"/>
      <x:c r="O3339" t="str">
        <x:v>https://www.activesportstrade.co.uk/Ready-to-Drink-Energy</x:v>
      </x:c>
      <x:c r="P3339" t="str">
        <x:v>SPECIAL OFFER wording stripped; expired BB 23/03/26 Orange line excluded from normal current orderable matrix.</x:v>
      </x:c>
      <x:c r="Q3339" t="str"/>
      <x:c r="R3339" t="str"/>
      <x:c r="S3339" t="str">
        <x:v>Pending genuine supplier/brand image</x:v>
      </x:c>
      <x:c r="T3339" s="54" t="n">
        <x:v>2.99</x:v>
      </x:c>
      <x:c r="U3339" s="47" t="n">
        <x:v>0.2</x:v>
      </x:c>
      <x:c r="V3339" s="54" t="n">
        <x:f>IF(ISNUMBER(T3339),T3339*(1+U3339),"")</x:f>
        <x:v>3.588</x:v>
      </x:c>
      <x:c r="W3339" s="47" t="n">
        <x:v>0.3</x:v>
      </x:c>
      <x:c r="X3339" s="54" t="n">
        <x:f>IF(ISNUMBER(V3339),V3339/(1-W3339),"")</x:f>
        <x:v>5.125714285714286</x:v>
      </x:c>
      <x:c r="Y3339" s="55" t="n">
        <x:f>IF(ISNUMBER(X3339),ROUNDUP(X3339,0),"")</x:f>
        <x:v>6</x:v>
      </x:c>
      <x:c r="Z3339" t="str">
        <x:v>Source match pending</x:v>
      </x:c>
      <x:c r="AA3339" t="str">
        <x:v>screencapture-www-activesportstrade-co-uk-applied-nutrition-trade-2026-09-10-08_59_59.pdf / page-05</x:v>
      </x:c>
      <x:c r="AB3339" s="36" t="n">
        <x:f>IF(ISNUMBER(Y3339),ROUND(Y3339*0.9,2),"")</x:f>
        <x:v>5.4</x:v>
      </x:c>
      <x:c r="AC3339" s="36" t="n">
        <x:f>IF(ISNUMBER(AB3339),ROUND(AB3339-(AB3339*0.015+0.2)-V3339,2),"")</x:f>
        <x:v>1.53</x:v>
      </x:c>
      <x:c r="AD3339" s="36" t="n">
        <x:f>IF(ISNUMBER(Y3339),ROUND(Y3339*0.8,2),"")</x:f>
        <x:v>4.8</x:v>
      </x:c>
      <x:c r="AE3339" s="36" t="n">
        <x:f>IF(ISNUMBER(AD3339),ROUND(AD3339*0.015+0.2,2),"")</x:f>
        <x:v>0.27</x:v>
      </x:c>
      <x:c r="AF3339" s="36" t="n">
        <x:f>IF(ISNUMBER(AD3339),ROUND(AD3339-AE3339-V3339,2),"")</x:f>
        <x:v>0.94</x:v>
      </x:c>
      <x:c r="AG3339" t="str">
        <x:f>IF(NOT(ISNUMBER(T3339)),"PENDING",IF(AF3339&gt;0,"PASS","FAIL"))</x:f>
        <x:v>PASS</x:v>
      </x:c>
      <x:c r="AH3339" t="str">
        <x:f>IF(NOT(ISNUMBER(T3339)),"Needs supplier cost",IF(K3339&lt;&gt;"In stock","Supplier unavailable",IF(AG3339&lt;&gt;"PASS","BLOCK - GT loss risk","Commercially protected")))</x:f>
        <x:v>Supplier unavailable</x:v>
      </x:c>
      <x:c r="AI3339" t="str">
        <x:v>2026-09-10 Active Sports trade capture</x:v>
      </x:c>
      <x:c r="AJ3339" t="str">
        <x:v>Management-only economics. Stripe stress test uses 1.5% + £0.20 standard UK online-card fee; pallet/mix-and-match pricing ignored.</x:v>
      </x:c>
    </x:row>
    <x:row r="3340">
      <x:c r="A3340" t="str">
        <x:v>Active Sports Nutrition</x:v>
      </x:c>
      <x:c r="B3340" t="str">
        <x:v>Applied Nutrition</x:v>
      </x:c>
      <x:c r="C3340" t="str">
        <x:v>Body Fuel Energy Shots</x:v>
      </x:c>
      <x:c r="D3340" t="str">
        <x:v>Food &amp; Drinks</x:v>
      </x:c>
      <x:c r="E3340" t="str">
        <x:v>Energy Shots</x:v>
      </x:c>
      <x:c r="F3340" t="str"/>
      <x:c r="G3340" t="str">
        <x:v>12 x 60ml shots</x:v>
      </x:c>
      <x:c r="H3340" t="str">
        <x:v>Blue Raspberry</x:v>
      </x:c>
      <x:c r="I3340" t="str">
        <x:v>12</x:v>
      </x:c>
      <x:c r="J3340" t="str">
        <x:v>Case</x:v>
      </x:c>
      <x:c r="K3340" t="str">
        <x:v>Out of stock</x:v>
      </x:c>
      <x:c r="L3340" t="str">
        <x:v>2026-09-08</x:v>
      </x:c>
      <x:c r="M3340" t="str"/>
      <x:c r="N3340" t="str"/>
      <x:c r="O3340" t="str">
        <x:v>https://www.activesportstrade.co.uk/Ready-to-Drink-Energy</x:v>
      </x:c>
      <x:c r="P3340" t="str">
        <x:v>SPECIAL OFFER wording stripped; expired BB 23/03/26 Orange line excluded from normal current orderable matrix.</x:v>
      </x:c>
      <x:c r="Q3340" t="str"/>
      <x:c r="R3340" t="str"/>
      <x:c r="S3340" t="str">
        <x:v>Pending genuine supplier/brand image</x:v>
      </x:c>
      <x:c r="T3340" s="54" t="n">
        <x:v>2.99</x:v>
      </x:c>
      <x:c r="U3340" s="47" t="n">
        <x:v>0.2</x:v>
      </x:c>
      <x:c r="V3340" s="54" t="n">
        <x:f>IF(ISNUMBER(T3340),T3340*(1+U3340),"")</x:f>
        <x:v>3.588</x:v>
      </x:c>
      <x:c r="W3340" s="47" t="n">
        <x:v>0.3</x:v>
      </x:c>
      <x:c r="X3340" s="54" t="n">
        <x:f>IF(ISNUMBER(V3340),V3340/(1-W3340),"")</x:f>
        <x:v>5.125714285714286</x:v>
      </x:c>
      <x:c r="Y3340" s="55" t="n">
        <x:f>IF(ISNUMBER(X3340),ROUNDUP(X3340,0),"")</x:f>
        <x:v>6</x:v>
      </x:c>
      <x:c r="Z3340" t="str">
        <x:v>Source match pending</x:v>
      </x:c>
      <x:c r="AA3340" t="str">
        <x:v>screencapture-www-activesportstrade-co-uk-applied-nutrition-trade-2026-09-10-08_59_59.pdf / page-05</x:v>
      </x:c>
      <x:c r="AB3340" s="36" t="n">
        <x:f>IF(ISNUMBER(Y3340),ROUND(Y3340*0.9,2),"")</x:f>
        <x:v>5.4</x:v>
      </x:c>
      <x:c r="AC3340" s="36" t="n">
        <x:f>IF(ISNUMBER(AB3340),ROUND(AB3340-(AB3340*0.015+0.2)-V3340,2),"")</x:f>
        <x:v>1.53</x:v>
      </x:c>
      <x:c r="AD3340" s="36" t="n">
        <x:f>IF(ISNUMBER(Y3340),ROUND(Y3340*0.8,2),"")</x:f>
        <x:v>4.8</x:v>
      </x:c>
      <x:c r="AE3340" s="36" t="n">
        <x:f>IF(ISNUMBER(AD3340),ROUND(AD3340*0.015+0.2,2),"")</x:f>
        <x:v>0.27</x:v>
      </x:c>
      <x:c r="AF3340" s="36" t="n">
        <x:f>IF(ISNUMBER(AD3340),ROUND(AD3340-AE3340-V3340,2),"")</x:f>
        <x:v>0.94</x:v>
      </x:c>
      <x:c r="AG3340" t="str">
        <x:f>IF(NOT(ISNUMBER(T3340)),"PENDING",IF(AF3340&gt;0,"PASS","FAIL"))</x:f>
        <x:v>PASS</x:v>
      </x:c>
      <x:c r="AH3340" t="str">
        <x:f>IF(NOT(ISNUMBER(T3340)),"Needs supplier cost",IF(K3340&lt;&gt;"In stock","Supplier unavailable",IF(AG3340&lt;&gt;"PASS","BLOCK - GT loss risk","Commercially protected")))</x:f>
        <x:v>Supplier unavailable</x:v>
      </x:c>
      <x:c r="AI3340" t="str">
        <x:v>2026-09-10 Active Sports trade capture</x:v>
      </x:c>
      <x:c r="AJ3340" t="str">
        <x:v>Management-only economics. Stripe stress test uses 1.5% + £0.20 standard UK online-card fee; pallet/mix-and-match pricing ignored.</x:v>
      </x:c>
    </x:row>
    <x:row r="3341">
      <x:c r="A3341" t="str">
        <x:v>Active Sports Nutrition</x:v>
      </x:c>
      <x:c r="B3341" t="str">
        <x:v>Applied Nutrition</x:v>
      </x:c>
      <x:c r="C3341" t="str">
        <x:v>Endurance Velocity Fuel</x:v>
      </x:c>
      <x:c r="D3341" t="str">
        <x:v>Food &amp; Drinks</x:v>
      </x:c>
      <x:c r="E3341" t="str">
        <x:v>Energy Gels</x:v>
      </x:c>
      <x:c r="F3341" t="str"/>
      <x:c r="G3341" t="str">
        <x:v>20 gels</x:v>
      </x:c>
      <x:c r="H3341" t="str">
        <x:v>Blackcurrant</x:v>
      </x:c>
      <x:c r="I3341" t="str">
        <x:v>20</x:v>
      </x:c>
      <x:c r="J3341" t="str">
        <x:v>Case</x:v>
      </x:c>
      <x:c r="K3341" t="str">
        <x:v>In stock</x:v>
      </x:c>
      <x:c r="L3341" t="str">
        <x:v>2026-09-08</x:v>
      </x:c>
      <x:c r="M3341" t="str"/>
      <x:c r="N3341" t="str"/>
      <x:c r="O3341" t="str">
        <x:v>https://www.activesportstrade.co.uk/Ready-to-Drink-Energy</x:v>
      </x:c>
      <x:c r="P3341" t="str">
        <x:v>VAT FREE / NEW wording stripped.</x:v>
      </x:c>
      <x:c r="Q3341" t="str"/>
      <x:c r="R3341" t="str"/>
      <x:c r="S3341" t="str">
        <x:v>Pending genuine supplier/brand image</x:v>
      </x:c>
      <x:c r="T3341" s="54" t="n">
        <x:v>14.75</x:v>
      </x:c>
      <x:c r="U3341" s="47" t="n">
        <x:v>0</x:v>
      </x:c>
      <x:c r="V3341" s="54" t="n">
        <x:f>IF(ISNUMBER(T3341),T3341*(1+U3341),"")</x:f>
        <x:v>14.75</x:v>
      </x:c>
      <x:c r="W3341" s="47" t="n">
        <x:v>0.3</x:v>
      </x:c>
      <x:c r="X3341" s="54" t="n">
        <x:f>IF(ISNUMBER(V3341),V3341/(1-W3341),"")</x:f>
        <x:v>21.071428571428573</x:v>
      </x:c>
      <x:c r="Y3341" s="55" t="n">
        <x:f>IF(ISNUMBER(X3341),ROUNDUP(X3341,0),"")</x:f>
        <x:v>22</x:v>
      </x:c>
      <x:c r="Z3341" t="str">
        <x:v>Source match pending</x:v>
      </x:c>
      <x:c r="AA3341" t="str">
        <x:v>screencapture-www-activesportstrade-co-uk-applied-nutrition-trade-2026-09-10-08_59_59.pdf / page-12</x:v>
      </x:c>
      <x:c r="AB3341" s="36" t="n">
        <x:f>IF(ISNUMBER(Y3341),ROUND(Y3341*0.9,2),"")</x:f>
        <x:v>19.8</x:v>
      </x:c>
      <x:c r="AC3341" s="36" t="n">
        <x:f>IF(ISNUMBER(AB3341),ROUND(AB3341-(AB3341*0.015+0.2)-V3341,2),"")</x:f>
        <x:v>4.55</x:v>
      </x:c>
      <x:c r="AD3341" s="36" t="n">
        <x:f>IF(ISNUMBER(Y3341),ROUND(Y3341*0.8,2),"")</x:f>
        <x:v>17.6</x:v>
      </x:c>
      <x:c r="AE3341" s="36" t="n">
        <x:f>IF(ISNUMBER(AD3341),ROUND(AD3341*0.015+0.2,2),"")</x:f>
        <x:v>0.46</x:v>
      </x:c>
      <x:c r="AF3341" s="36" t="n">
        <x:f>IF(ISNUMBER(AD3341),ROUND(AD3341-AE3341-V3341,2),"")</x:f>
        <x:v>2.39</x:v>
      </x:c>
      <x:c r="AG3341" t="str">
        <x:f>IF(NOT(ISNUMBER(T3341)),"PENDING",IF(AF3341&gt;0,"PASS","FAIL"))</x:f>
        <x:v>PASS</x:v>
      </x:c>
      <x:c r="AH3341" t="str">
        <x:f>IF(NOT(ISNUMBER(T3341)),"Needs supplier cost",IF(K3341&lt;&gt;"In stock","Supplier unavailable",IF(AG3341&lt;&gt;"PASS","BLOCK - GT loss risk","Commercially protected")))</x:f>
        <x:v>Commercially protected</x:v>
      </x:c>
      <x:c r="AI3341" t="str">
        <x:v>2026-09-10 Active Sports trade capture</x:v>
      </x:c>
      <x:c r="AJ3341" t="str">
        <x:v>Management-only economics. Stripe stress test uses 1.5% + £0.20 standard UK online-card fee; pallet/mix-and-match pricing ignored.</x:v>
      </x:c>
    </x:row>
    <x:row r="3342">
      <x:c r="A3342" t="str">
        <x:v>Active Sports Nutrition</x:v>
      </x:c>
      <x:c r="B3342" t="str">
        <x:v>Applied Nutrition</x:v>
      </x:c>
      <x:c r="C3342" t="str">
        <x:v>Endurance Velocity Fuel</x:v>
      </x:c>
      <x:c r="D3342" t="str">
        <x:v>Food &amp; Drinks</x:v>
      </x:c>
      <x:c r="E3342" t="str">
        <x:v>Energy Gels</x:v>
      </x:c>
      <x:c r="F3342" t="str"/>
      <x:c r="G3342" t="str">
        <x:v>20 gels</x:v>
      </x:c>
      <x:c r="H3342" t="str">
        <x:v>Cola</x:v>
      </x:c>
      <x:c r="I3342" t="str">
        <x:v>20</x:v>
      </x:c>
      <x:c r="J3342" t="str">
        <x:v>Case</x:v>
      </x:c>
      <x:c r="K3342" t="str">
        <x:v>In stock</x:v>
      </x:c>
      <x:c r="L3342" t="str">
        <x:v>2026-09-08</x:v>
      </x:c>
      <x:c r="M3342" t="str"/>
      <x:c r="N3342" t="str"/>
      <x:c r="O3342" t="str">
        <x:v>https://www.activesportstrade.co.uk/Ready-to-Drink-Energy</x:v>
      </x:c>
      <x:c r="P3342" t="str">
        <x:v>VAT FREE / NEW wording stripped.</x:v>
      </x:c>
      <x:c r="Q3342" t="str"/>
      <x:c r="R3342" t="str"/>
      <x:c r="S3342" t="str">
        <x:v>Pending genuine supplier/brand image</x:v>
      </x:c>
      <x:c r="T3342" s="54" t="n">
        <x:v>14.75</x:v>
      </x:c>
      <x:c r="U3342" s="47" t="n">
        <x:v>0</x:v>
      </x:c>
      <x:c r="V3342" s="54" t="n">
        <x:f>IF(ISNUMBER(T3342),T3342*(1+U3342),"")</x:f>
        <x:v>14.75</x:v>
      </x:c>
      <x:c r="W3342" s="47" t="n">
        <x:v>0.3</x:v>
      </x:c>
      <x:c r="X3342" s="54" t="n">
        <x:f>IF(ISNUMBER(V3342),V3342/(1-W3342),"")</x:f>
        <x:v>21.071428571428573</x:v>
      </x:c>
      <x:c r="Y3342" s="55" t="n">
        <x:f>IF(ISNUMBER(X3342),ROUNDUP(X3342,0),"")</x:f>
        <x:v>22</x:v>
      </x:c>
      <x:c r="Z3342" t="str">
        <x:v>Source match pending</x:v>
      </x:c>
      <x:c r="AA3342" t="str">
        <x:v>screencapture-www-activesportstrade-co-uk-applied-nutrition-trade-2026-09-10-08_59_59.pdf / page-12</x:v>
      </x:c>
      <x:c r="AB3342" s="36" t="n">
        <x:f>IF(ISNUMBER(Y3342),ROUND(Y3342*0.9,2),"")</x:f>
        <x:v>19.8</x:v>
      </x:c>
      <x:c r="AC3342" s="36" t="n">
        <x:f>IF(ISNUMBER(AB3342),ROUND(AB3342-(AB3342*0.015+0.2)-V3342,2),"")</x:f>
        <x:v>4.55</x:v>
      </x:c>
      <x:c r="AD3342" s="36" t="n">
        <x:f>IF(ISNUMBER(Y3342),ROUND(Y3342*0.8,2),"")</x:f>
        <x:v>17.6</x:v>
      </x:c>
      <x:c r="AE3342" s="36" t="n">
        <x:f>IF(ISNUMBER(AD3342),ROUND(AD3342*0.015+0.2,2),"")</x:f>
        <x:v>0.46</x:v>
      </x:c>
      <x:c r="AF3342" s="36" t="n">
        <x:f>IF(ISNUMBER(AD3342),ROUND(AD3342-AE3342-V3342,2),"")</x:f>
        <x:v>2.39</x:v>
      </x:c>
      <x:c r="AG3342" t="str">
        <x:f>IF(NOT(ISNUMBER(T3342)),"PENDING",IF(AF3342&gt;0,"PASS","FAIL"))</x:f>
        <x:v>PASS</x:v>
      </x:c>
      <x:c r="AH3342" t="str">
        <x:f>IF(NOT(ISNUMBER(T3342)),"Needs supplier cost",IF(K3342&lt;&gt;"In stock","Supplier unavailable",IF(AG3342&lt;&gt;"PASS","BLOCK - GT loss risk","Commercially protected")))</x:f>
        <x:v>Commercially protected</x:v>
      </x:c>
      <x:c r="AI3342" t="str">
        <x:v>2026-09-10 Active Sports trade capture</x:v>
      </x:c>
      <x:c r="AJ3342" t="str">
        <x:v>Management-only economics. Stripe stress test uses 1.5% + £0.20 standard UK online-card fee; pallet/mix-and-match pricing ignored.</x:v>
      </x:c>
    </x:row>
    <x:row r="3343">
      <x:c r="A3343" t="str">
        <x:v>Active Sports Nutrition</x:v>
      </x:c>
      <x:c r="B3343" t="str">
        <x:v>Applied Nutrition</x:v>
      </x:c>
      <x:c r="C3343" t="str">
        <x:v>Endurance Velocity Fuel</x:v>
      </x:c>
      <x:c r="D3343" t="str">
        <x:v>Food &amp; Drinks</x:v>
      </x:c>
      <x:c r="E3343" t="str">
        <x:v>Energy Gels</x:v>
      </x:c>
      <x:c r="F3343" t="str"/>
      <x:c r="G3343" t="str">
        <x:v>20 gels</x:v>
      </x:c>
      <x:c r="H3343" t="str">
        <x:v>Fruit Burst</x:v>
      </x:c>
      <x:c r="I3343" t="str">
        <x:v>20</x:v>
      </x:c>
      <x:c r="J3343" t="str">
        <x:v>Case</x:v>
      </x:c>
      <x:c r="K3343" t="str">
        <x:v>In stock</x:v>
      </x:c>
      <x:c r="L3343" t="str">
        <x:v>2026-09-08</x:v>
      </x:c>
      <x:c r="M3343" t="str"/>
      <x:c r="N3343" t="str"/>
      <x:c r="O3343" t="str">
        <x:v>https://www.activesportstrade.co.uk/Ready-to-Drink-Energy</x:v>
      </x:c>
      <x:c r="P3343" t="str">
        <x:v>VAT FREE / NEW wording stripped.</x:v>
      </x:c>
      <x:c r="Q3343" t="str"/>
      <x:c r="R3343" t="str"/>
      <x:c r="S3343" t="str">
        <x:v>Pending genuine supplier/brand image</x:v>
      </x:c>
      <x:c r="T3343" s="54" t="n">
        <x:v>14.75</x:v>
      </x:c>
      <x:c r="U3343" s="47" t="n">
        <x:v>0</x:v>
      </x:c>
      <x:c r="V3343" s="54" t="n">
        <x:f>IF(ISNUMBER(T3343),T3343*(1+U3343),"")</x:f>
        <x:v>14.75</x:v>
      </x:c>
      <x:c r="W3343" s="47" t="n">
        <x:v>0.3</x:v>
      </x:c>
      <x:c r="X3343" s="54" t="n">
        <x:f>IF(ISNUMBER(V3343),V3343/(1-W3343),"")</x:f>
        <x:v>21.071428571428573</x:v>
      </x:c>
      <x:c r="Y3343" s="55" t="n">
        <x:f>IF(ISNUMBER(X3343),ROUNDUP(X3343,0),"")</x:f>
        <x:v>22</x:v>
      </x:c>
      <x:c r="Z3343" t="str">
        <x:v>Source match pending</x:v>
      </x:c>
      <x:c r="AA3343" t="str">
        <x:v>screencapture-www-activesportstrade-co-uk-applied-nutrition-trade-2026-09-10-08_59_59.pdf / page-12</x:v>
      </x:c>
      <x:c r="AB3343" s="36" t="n">
        <x:f>IF(ISNUMBER(Y3343),ROUND(Y3343*0.9,2),"")</x:f>
        <x:v>19.8</x:v>
      </x:c>
      <x:c r="AC3343" s="36" t="n">
        <x:f>IF(ISNUMBER(AB3343),ROUND(AB3343-(AB3343*0.015+0.2)-V3343,2),"")</x:f>
        <x:v>4.55</x:v>
      </x:c>
      <x:c r="AD3343" s="36" t="n">
        <x:f>IF(ISNUMBER(Y3343),ROUND(Y3343*0.8,2),"")</x:f>
        <x:v>17.6</x:v>
      </x:c>
      <x:c r="AE3343" s="36" t="n">
        <x:f>IF(ISNUMBER(AD3343),ROUND(AD3343*0.015+0.2,2),"")</x:f>
        <x:v>0.46</x:v>
      </x:c>
      <x:c r="AF3343" s="36" t="n">
        <x:f>IF(ISNUMBER(AD3343),ROUND(AD3343-AE3343-V3343,2),"")</x:f>
        <x:v>2.39</x:v>
      </x:c>
      <x:c r="AG3343" t="str">
        <x:f>IF(NOT(ISNUMBER(T3343)),"PENDING",IF(AF3343&gt;0,"PASS","FAIL"))</x:f>
        <x:v>PASS</x:v>
      </x:c>
      <x:c r="AH3343" t="str">
        <x:f>IF(NOT(ISNUMBER(T3343)),"Needs supplier cost",IF(K3343&lt;&gt;"In stock","Supplier unavailable",IF(AG3343&lt;&gt;"PASS","BLOCK - GT loss risk","Commercially protected")))</x:f>
        <x:v>Commercially protected</x:v>
      </x:c>
      <x:c r="AI3343" t="str">
        <x:v>2026-09-10 Active Sports trade capture</x:v>
      </x:c>
      <x:c r="AJ3343" t="str">
        <x:v>Management-only economics. Stripe stress test uses 1.5% + £0.20 standard UK online-card fee; pallet/mix-and-match pricing ignored.</x:v>
      </x:c>
    </x:row>
    <x:row r="3344">
      <x:c r="A3344" t="str">
        <x:v>Active Sports Nutrition</x:v>
      </x:c>
      <x:c r="B3344" t="str">
        <x:v>Applied Nutrition</x:v>
      </x:c>
      <x:c r="C3344" t="str">
        <x:v>Endurance Velocity Fuel</x:v>
      </x:c>
      <x:c r="D3344" t="str">
        <x:v>Food &amp; Drinks</x:v>
      </x:c>
      <x:c r="E3344" t="str">
        <x:v>Energy Gels</x:v>
      </x:c>
      <x:c r="F3344" t="str"/>
      <x:c r="G3344" t="str">
        <x:v>20 gels</x:v>
      </x:c>
      <x:c r="H3344" t="str">
        <x:v>Lemon &amp; Lime</x:v>
      </x:c>
      <x:c r="I3344" t="str">
        <x:v>20</x:v>
      </x:c>
      <x:c r="J3344" t="str">
        <x:v>Case</x:v>
      </x:c>
      <x:c r="K3344" t="str">
        <x:v>In stock</x:v>
      </x:c>
      <x:c r="L3344" t="str">
        <x:v>2026-09-08</x:v>
      </x:c>
      <x:c r="M3344" t="str"/>
      <x:c r="N3344" t="str"/>
      <x:c r="O3344" t="str">
        <x:v>https://www.activesportstrade.co.uk/Ready-to-Drink-Energy</x:v>
      </x:c>
      <x:c r="P3344" t="str">
        <x:v>VAT FREE / NEW wording stripped.</x:v>
      </x:c>
      <x:c r="Q3344" t="str"/>
      <x:c r="R3344" t="str"/>
      <x:c r="S3344" t="str">
        <x:v>Pending genuine supplier/brand image</x:v>
      </x:c>
      <x:c r="T3344" s="54" t="n">
        <x:v>14.75</x:v>
      </x:c>
      <x:c r="U3344" s="47" t="n">
        <x:v>0</x:v>
      </x:c>
      <x:c r="V3344" s="54" t="n">
        <x:f>IF(ISNUMBER(T3344),T3344*(1+U3344),"")</x:f>
        <x:v>14.75</x:v>
      </x:c>
      <x:c r="W3344" s="47" t="n">
        <x:v>0.3</x:v>
      </x:c>
      <x:c r="X3344" s="54" t="n">
        <x:f>IF(ISNUMBER(V3344),V3344/(1-W3344),"")</x:f>
        <x:v>21.071428571428573</x:v>
      </x:c>
      <x:c r="Y3344" s="55" t="n">
        <x:f>IF(ISNUMBER(X3344),ROUNDUP(X3344,0),"")</x:f>
        <x:v>22</x:v>
      </x:c>
      <x:c r="Z3344" t="str">
        <x:v>Source match pending</x:v>
      </x:c>
      <x:c r="AA3344" t="str">
        <x:v>screencapture-www-activesportstrade-co-uk-applied-nutrition-trade-2026-09-10-08_59_59.pdf / page-12</x:v>
      </x:c>
      <x:c r="AB3344" s="36" t="n">
        <x:f>IF(ISNUMBER(Y3344),ROUND(Y3344*0.9,2),"")</x:f>
        <x:v>19.8</x:v>
      </x:c>
      <x:c r="AC3344" s="36" t="n">
        <x:f>IF(ISNUMBER(AB3344),ROUND(AB3344-(AB3344*0.015+0.2)-V3344,2),"")</x:f>
        <x:v>4.55</x:v>
      </x:c>
      <x:c r="AD3344" s="36" t="n">
        <x:f>IF(ISNUMBER(Y3344),ROUND(Y3344*0.8,2),"")</x:f>
        <x:v>17.6</x:v>
      </x:c>
      <x:c r="AE3344" s="36" t="n">
        <x:f>IF(ISNUMBER(AD3344),ROUND(AD3344*0.015+0.2,2),"")</x:f>
        <x:v>0.46</x:v>
      </x:c>
      <x:c r="AF3344" s="36" t="n">
        <x:f>IF(ISNUMBER(AD3344),ROUND(AD3344-AE3344-V3344,2),"")</x:f>
        <x:v>2.39</x:v>
      </x:c>
      <x:c r="AG3344" t="str">
        <x:f>IF(NOT(ISNUMBER(T3344)),"PENDING",IF(AF3344&gt;0,"PASS","FAIL"))</x:f>
        <x:v>PASS</x:v>
      </x:c>
      <x:c r="AH3344" t="str">
        <x:f>IF(NOT(ISNUMBER(T3344)),"Needs supplier cost",IF(K3344&lt;&gt;"In stock","Supplier unavailable",IF(AG3344&lt;&gt;"PASS","BLOCK - GT loss risk","Commercially protected")))</x:f>
        <x:v>Commercially protected</x:v>
      </x:c>
      <x:c r="AI3344" t="str">
        <x:v>2026-09-10 Active Sports trade capture</x:v>
      </x:c>
      <x:c r="AJ3344" t="str">
        <x:v>Management-only economics. Stripe stress test uses 1.5% + £0.20 standard UK online-card fee; pallet/mix-and-match pricing ignored.</x:v>
      </x:c>
    </x:row>
    <x:row r="3345">
      <x:c r="A3345" t="str">
        <x:v>Active Sports Nutrition</x:v>
      </x:c>
      <x:c r="B3345" t="str">
        <x:v>Applied Nutrition</x:v>
      </x:c>
      <x:c r="C3345" t="str">
        <x:v>Endurance Velocity Fuel</x:v>
      </x:c>
      <x:c r="D3345" t="str">
        <x:v>Food &amp; Drinks</x:v>
      </x:c>
      <x:c r="E3345" t="str">
        <x:v>Energy Gels</x:v>
      </x:c>
      <x:c r="F3345" t="str"/>
      <x:c r="G3345" t="str">
        <x:v>20 gels</x:v>
      </x:c>
      <x:c r="H3345" t="str">
        <x:v>Orange</x:v>
      </x:c>
      <x:c r="I3345" t="str">
        <x:v>20</x:v>
      </x:c>
      <x:c r="J3345" t="str">
        <x:v>Case</x:v>
      </x:c>
      <x:c r="K3345" t="str">
        <x:v>In stock</x:v>
      </x:c>
      <x:c r="L3345" t="str">
        <x:v>2026-09-08</x:v>
      </x:c>
      <x:c r="M3345" t="str"/>
      <x:c r="N3345" t="str"/>
      <x:c r="O3345" t="str">
        <x:v>https://www.activesportstrade.co.uk/Ready-to-Drink-Energy</x:v>
      </x:c>
      <x:c r="P3345" t="str">
        <x:v>VAT FREE / NEW wording stripped.</x:v>
      </x:c>
      <x:c r="Q3345" t="str"/>
      <x:c r="R3345" t="str"/>
      <x:c r="S3345" t="str">
        <x:v>Pending genuine supplier/brand image</x:v>
      </x:c>
      <x:c r="T3345" s="54" t="n">
        <x:v>14.75</x:v>
      </x:c>
      <x:c r="U3345" s="47" t="n">
        <x:v>0</x:v>
      </x:c>
      <x:c r="V3345" s="54" t="n">
        <x:f>IF(ISNUMBER(T3345),T3345*(1+U3345),"")</x:f>
        <x:v>14.75</x:v>
      </x:c>
      <x:c r="W3345" s="47" t="n">
        <x:v>0.3</x:v>
      </x:c>
      <x:c r="X3345" s="54" t="n">
        <x:f>IF(ISNUMBER(V3345),V3345/(1-W3345),"")</x:f>
        <x:v>21.071428571428573</x:v>
      </x:c>
      <x:c r="Y3345" s="55" t="n">
        <x:f>IF(ISNUMBER(X3345),ROUNDUP(X3345,0),"")</x:f>
        <x:v>22</x:v>
      </x:c>
      <x:c r="Z3345" t="str">
        <x:v>Source match pending</x:v>
      </x:c>
      <x:c r="AA3345" t="str">
        <x:v>screencapture-www-activesportstrade-co-uk-applied-nutrition-trade-2026-09-10-08_59_59.pdf / page-12</x:v>
      </x:c>
      <x:c r="AB3345" s="36" t="n">
        <x:f>IF(ISNUMBER(Y3345),ROUND(Y3345*0.9,2),"")</x:f>
        <x:v>19.8</x:v>
      </x:c>
      <x:c r="AC3345" s="36" t="n">
        <x:f>IF(ISNUMBER(AB3345),ROUND(AB3345-(AB3345*0.015+0.2)-V3345,2),"")</x:f>
        <x:v>4.55</x:v>
      </x:c>
      <x:c r="AD3345" s="36" t="n">
        <x:f>IF(ISNUMBER(Y3345),ROUND(Y3345*0.8,2),"")</x:f>
        <x:v>17.6</x:v>
      </x:c>
      <x:c r="AE3345" s="36" t="n">
        <x:f>IF(ISNUMBER(AD3345),ROUND(AD3345*0.015+0.2,2),"")</x:f>
        <x:v>0.46</x:v>
      </x:c>
      <x:c r="AF3345" s="36" t="n">
        <x:f>IF(ISNUMBER(AD3345),ROUND(AD3345-AE3345-V3345,2),"")</x:f>
        <x:v>2.39</x:v>
      </x:c>
      <x:c r="AG3345" t="str">
        <x:f>IF(NOT(ISNUMBER(T3345)),"PENDING",IF(AF3345&gt;0,"PASS","FAIL"))</x:f>
        <x:v>PASS</x:v>
      </x:c>
      <x:c r="AH3345" t="str">
        <x:f>IF(NOT(ISNUMBER(T3345)),"Needs supplier cost",IF(K3345&lt;&gt;"In stock","Supplier unavailable",IF(AG3345&lt;&gt;"PASS","BLOCK - GT loss risk","Commercially protected")))</x:f>
        <x:v>Commercially protected</x:v>
      </x:c>
      <x:c r="AI3345" t="str">
        <x:v>2026-09-10 Active Sports trade capture</x:v>
      </x:c>
      <x:c r="AJ3345" t="str">
        <x:v>Management-only economics. Stripe stress test uses 1.5% + £0.20 standard UK online-card fee; pallet/mix-and-match pricing ignored.</x:v>
      </x:c>
    </x:row>
    <x:row r="3346">
      <x:c r="A3346" t="str">
        <x:v>Active Sports Nutrition</x:v>
      </x:c>
      <x:c r="B3346" t="str">
        <x:v>Applied Nutrition</x:v>
      </x:c>
      <x:c r="C3346" t="str">
        <x:v>Endurance Velocity Fuel</x:v>
      </x:c>
      <x:c r="D3346" t="str">
        <x:v>Food &amp; Drinks</x:v>
      </x:c>
      <x:c r="E3346" t="str">
        <x:v>Energy Gels</x:v>
      </x:c>
      <x:c r="F3346" t="str"/>
      <x:c r="G3346" t="str">
        <x:v>20 gels</x:v>
      </x:c>
      <x:c r="H3346" t="str">
        <x:v>Tropical</x:v>
      </x:c>
      <x:c r="I3346" t="str">
        <x:v>20</x:v>
      </x:c>
      <x:c r="J3346" t="str">
        <x:v>Case</x:v>
      </x:c>
      <x:c r="K3346" t="str">
        <x:v>In stock</x:v>
      </x:c>
      <x:c r="L3346" t="str">
        <x:v>2026-09-08</x:v>
      </x:c>
      <x:c r="M3346" t="str"/>
      <x:c r="N3346" t="str"/>
      <x:c r="O3346" t="str">
        <x:v>https://www.activesportstrade.co.uk/Ready-to-Drink-Energy</x:v>
      </x:c>
      <x:c r="P3346" t="str">
        <x:v>VAT FREE / NEW wording stripped.</x:v>
      </x:c>
      <x:c r="Q3346" t="str"/>
      <x:c r="R3346" t="str"/>
      <x:c r="S3346" t="str">
        <x:v>Pending genuine supplier/brand image</x:v>
      </x:c>
      <x:c r="T3346" s="54" t="n">
        <x:v>14.75</x:v>
      </x:c>
      <x:c r="U3346" s="47" t="n">
        <x:v>0</x:v>
      </x:c>
      <x:c r="V3346" s="54" t="n">
        <x:f>IF(ISNUMBER(T3346),T3346*(1+U3346),"")</x:f>
        <x:v>14.75</x:v>
      </x:c>
      <x:c r="W3346" s="47" t="n">
        <x:v>0.3</x:v>
      </x:c>
      <x:c r="X3346" s="54" t="n">
        <x:f>IF(ISNUMBER(V3346),V3346/(1-W3346),"")</x:f>
        <x:v>21.071428571428573</x:v>
      </x:c>
      <x:c r="Y3346" s="55" t="n">
        <x:f>IF(ISNUMBER(X3346),ROUNDUP(X3346,0),"")</x:f>
        <x:v>22</x:v>
      </x:c>
      <x:c r="Z3346" t="str">
        <x:v>Source match pending</x:v>
      </x:c>
      <x:c r="AA3346" t="str">
        <x:v>screencapture-www-activesportstrade-co-uk-applied-nutrition-trade-2026-09-10-08_59_59.pdf / page-12</x:v>
      </x:c>
      <x:c r="AB3346" s="36" t="n">
        <x:f>IF(ISNUMBER(Y3346),ROUND(Y3346*0.9,2),"")</x:f>
        <x:v>19.8</x:v>
      </x:c>
      <x:c r="AC3346" s="36" t="n">
        <x:f>IF(ISNUMBER(AB3346),ROUND(AB3346-(AB3346*0.015+0.2)-V3346,2),"")</x:f>
        <x:v>4.55</x:v>
      </x:c>
      <x:c r="AD3346" s="36" t="n">
        <x:f>IF(ISNUMBER(Y3346),ROUND(Y3346*0.8,2),"")</x:f>
        <x:v>17.6</x:v>
      </x:c>
      <x:c r="AE3346" s="36" t="n">
        <x:f>IF(ISNUMBER(AD3346),ROUND(AD3346*0.015+0.2,2),"")</x:f>
        <x:v>0.46</x:v>
      </x:c>
      <x:c r="AF3346" s="36" t="n">
        <x:f>IF(ISNUMBER(AD3346),ROUND(AD3346-AE3346-V3346,2),"")</x:f>
        <x:v>2.39</x:v>
      </x:c>
      <x:c r="AG3346" t="str">
        <x:f>IF(NOT(ISNUMBER(T3346)),"PENDING",IF(AF3346&gt;0,"PASS","FAIL"))</x:f>
        <x:v>PASS</x:v>
      </x:c>
      <x:c r="AH3346" t="str">
        <x:f>IF(NOT(ISNUMBER(T3346)),"Needs supplier cost",IF(K3346&lt;&gt;"In stock","Supplier unavailable",IF(AG3346&lt;&gt;"PASS","BLOCK - GT loss risk","Commercially protected")))</x:f>
        <x:v>Commercially protected</x:v>
      </x:c>
      <x:c r="AI3346" t="str">
        <x:v>2026-09-10 Active Sports trade capture</x:v>
      </x:c>
      <x:c r="AJ3346" t="str">
        <x:v>Management-only economics. Stripe stress test uses 1.5% + £0.20 standard UK online-card fee; pallet/mix-and-match pricing ignored.</x:v>
      </x:c>
    </x:row>
    <x:row r="3347">
      <x:c r="A3347" t="str">
        <x:v>Active Sports Nutrition</x:v>
      </x:c>
      <x:c r="B3347" t="str">
        <x:v>Applied Nutrition</x:v>
      </x:c>
      <x:c r="C3347" t="str">
        <x:v>Endurance Velocity Fuel</x:v>
      </x:c>
      <x:c r="D3347" t="str">
        <x:v>Food &amp; Drinks</x:v>
      </x:c>
      <x:c r="E3347" t="str">
        <x:v>Energy Gels</x:v>
      </x:c>
      <x:c r="F3347" t="str"/>
      <x:c r="G3347" t="str">
        <x:v>20 gels</x:v>
      </x:c>
      <x:c r="H3347" t="str">
        <x:v>Vimto</x:v>
      </x:c>
      <x:c r="I3347" t="str">
        <x:v>20</x:v>
      </x:c>
      <x:c r="J3347" t="str">
        <x:v>Case</x:v>
      </x:c>
      <x:c r="K3347" t="str">
        <x:v>In stock</x:v>
      </x:c>
      <x:c r="L3347" t="str">
        <x:v>2026-09-08</x:v>
      </x:c>
      <x:c r="M3347" t="str"/>
      <x:c r="N3347" t="str"/>
      <x:c r="O3347" t="str">
        <x:v>https://www.activesportstrade.co.uk/Ready-to-Drink-Energy</x:v>
      </x:c>
      <x:c r="P3347" t="str">
        <x:v>VAT FREE / NEW wording stripped.</x:v>
      </x:c>
      <x:c r="Q3347" t="str"/>
      <x:c r="R3347" t="str"/>
      <x:c r="S3347" t="str">
        <x:v>Pending genuine supplier/brand image</x:v>
      </x:c>
      <x:c r="T3347" s="54" t="n">
        <x:v>14.75</x:v>
      </x:c>
      <x:c r="U3347" s="47" t="n">
        <x:v>0</x:v>
      </x:c>
      <x:c r="V3347" s="54" t="n">
        <x:f>IF(ISNUMBER(T3347),T3347*(1+U3347),"")</x:f>
        <x:v>14.75</x:v>
      </x:c>
      <x:c r="W3347" s="47" t="n">
        <x:v>0.3</x:v>
      </x:c>
      <x:c r="X3347" s="54" t="n">
        <x:f>IF(ISNUMBER(V3347),V3347/(1-W3347),"")</x:f>
        <x:v>21.071428571428573</x:v>
      </x:c>
      <x:c r="Y3347" s="55" t="n">
        <x:f>IF(ISNUMBER(X3347),ROUNDUP(X3347,0),"")</x:f>
        <x:v>22</x:v>
      </x:c>
      <x:c r="Z3347" t="str">
        <x:v>Source match pending</x:v>
      </x:c>
      <x:c r="AA3347" t="str">
        <x:v>screencapture-www-activesportstrade-co-uk-applied-nutrition-trade-2026-09-10-08_59_59.pdf / page-12</x:v>
      </x:c>
      <x:c r="AB3347" s="36" t="n">
        <x:f>IF(ISNUMBER(Y3347),ROUND(Y3347*0.9,2),"")</x:f>
        <x:v>19.8</x:v>
      </x:c>
      <x:c r="AC3347" s="36" t="n">
        <x:f>IF(ISNUMBER(AB3347),ROUND(AB3347-(AB3347*0.015+0.2)-V3347,2),"")</x:f>
        <x:v>4.55</x:v>
      </x:c>
      <x:c r="AD3347" s="36" t="n">
        <x:f>IF(ISNUMBER(Y3347),ROUND(Y3347*0.8,2),"")</x:f>
        <x:v>17.6</x:v>
      </x:c>
      <x:c r="AE3347" s="36" t="n">
        <x:f>IF(ISNUMBER(AD3347),ROUND(AD3347*0.015+0.2,2),"")</x:f>
        <x:v>0.46</x:v>
      </x:c>
      <x:c r="AF3347" s="36" t="n">
        <x:f>IF(ISNUMBER(AD3347),ROUND(AD3347-AE3347-V3347,2),"")</x:f>
        <x:v>2.39</x:v>
      </x:c>
      <x:c r="AG3347" t="str">
        <x:f>IF(NOT(ISNUMBER(T3347)),"PENDING",IF(AF3347&gt;0,"PASS","FAIL"))</x:f>
        <x:v>PASS</x:v>
      </x:c>
      <x:c r="AH3347" t="str">
        <x:f>IF(NOT(ISNUMBER(T3347)),"Needs supplier cost",IF(K3347&lt;&gt;"In stock","Supplier unavailable",IF(AG3347&lt;&gt;"PASS","BLOCK - GT loss risk","Commercially protected")))</x:f>
        <x:v>Commercially protected</x:v>
      </x:c>
      <x:c r="AI3347" t="str">
        <x:v>2026-09-10 Active Sports trade capture</x:v>
      </x:c>
      <x:c r="AJ3347" t="str">
        <x:v>Management-only economics. Stripe stress test uses 1.5% + £0.20 standard UK online-card fee; pallet/mix-and-match pricing ignored.</x:v>
      </x:c>
    </x:row>
    <x:row r="3348">
      <x:c r="A3348" t="str">
        <x:v>Active Sports Nutrition</x:v>
      </x:c>
      <x:c r="B3348" t="str">
        <x:v>Applied Nutrition</x:v>
      </x:c>
      <x:c r="C3348" t="str">
        <x:v>Endurance Velocity Fuel Sprint + Caffeine</x:v>
      </x:c>
      <x:c r="D3348" t="str">
        <x:v>Food &amp; Drinks</x:v>
      </x:c>
      <x:c r="E3348" t="str">
        <x:v>Energy Gels</x:v>
      </x:c>
      <x:c r="F3348" t="str"/>
      <x:c r="G3348" t="str">
        <x:v>20 gels</x:v>
      </x:c>
      <x:c r="H3348" t="str">
        <x:v>Blackcurrant</x:v>
      </x:c>
      <x:c r="I3348" t="str">
        <x:v>20</x:v>
      </x:c>
      <x:c r="J3348" t="str">
        <x:v>Case</x:v>
      </x:c>
      <x:c r="K3348" t="str">
        <x:v>In stock</x:v>
      </x:c>
      <x:c r="L3348" t="str">
        <x:v>2026-09-08</x:v>
      </x:c>
      <x:c r="M3348" t="str"/>
      <x:c r="N3348" t="str"/>
      <x:c r="O3348" t="str">
        <x:v>https://www.activesportstrade.co.uk/Ready-to-Drink-Energy</x:v>
      </x:c>
      <x:c r="P3348" t="str">
        <x:v>VAT FREE wording stripped.</x:v>
      </x:c>
      <x:c r="Q3348" t="str"/>
      <x:c r="R3348" t="str"/>
      <x:c r="S3348" t="str">
        <x:v>Pending genuine supplier/brand image</x:v>
      </x:c>
      <x:c r="T3348" s="54" t="n">
        <x:v>14.75</x:v>
      </x:c>
      <x:c r="U3348" s="47" t="n">
        <x:v>0</x:v>
      </x:c>
      <x:c r="V3348" s="54" t="n">
        <x:f>IF(ISNUMBER(T3348),T3348*(1+U3348),"")</x:f>
        <x:v>14.75</x:v>
      </x:c>
      <x:c r="W3348" s="47" t="n">
        <x:v>0.3</x:v>
      </x:c>
      <x:c r="X3348" s="54" t="n">
        <x:f>IF(ISNUMBER(V3348),V3348/(1-W3348),"")</x:f>
        <x:v>21.071428571428573</x:v>
      </x:c>
      <x:c r="Y3348" s="55" t="n">
        <x:f>IF(ISNUMBER(X3348),ROUNDUP(X3348,0),"")</x:f>
        <x:v>22</x:v>
      </x:c>
      <x:c r="Z3348" t="str">
        <x:v>Source match pending</x:v>
      </x:c>
      <x:c r="AA3348" t="str">
        <x:v>screencapture-www-activesportstrade-co-uk-applied-nutrition-trade-2026-09-10-08_59_59.pdf / page-12</x:v>
      </x:c>
      <x:c r="AB3348" s="36" t="n">
        <x:f>IF(ISNUMBER(Y3348),ROUND(Y3348*0.9,2),"")</x:f>
        <x:v>19.8</x:v>
      </x:c>
      <x:c r="AC3348" s="36" t="n">
        <x:f>IF(ISNUMBER(AB3348),ROUND(AB3348-(AB3348*0.015+0.2)-V3348,2),"")</x:f>
        <x:v>4.55</x:v>
      </x:c>
      <x:c r="AD3348" s="36" t="n">
        <x:f>IF(ISNUMBER(Y3348),ROUND(Y3348*0.8,2),"")</x:f>
        <x:v>17.6</x:v>
      </x:c>
      <x:c r="AE3348" s="36" t="n">
        <x:f>IF(ISNUMBER(AD3348),ROUND(AD3348*0.015+0.2,2),"")</x:f>
        <x:v>0.46</x:v>
      </x:c>
      <x:c r="AF3348" s="36" t="n">
        <x:f>IF(ISNUMBER(AD3348),ROUND(AD3348-AE3348-V3348,2),"")</x:f>
        <x:v>2.39</x:v>
      </x:c>
      <x:c r="AG3348" t="str">
        <x:f>IF(NOT(ISNUMBER(T3348)),"PENDING",IF(AF3348&gt;0,"PASS","FAIL"))</x:f>
        <x:v>PASS</x:v>
      </x:c>
      <x:c r="AH3348" t="str">
        <x:f>IF(NOT(ISNUMBER(T3348)),"Needs supplier cost",IF(K3348&lt;&gt;"In stock","Supplier unavailable",IF(AG3348&lt;&gt;"PASS","BLOCK - GT loss risk","Commercially protected")))</x:f>
        <x:v>Commercially protected</x:v>
      </x:c>
      <x:c r="AI3348" t="str">
        <x:v>2026-09-10 Active Sports trade capture</x:v>
      </x:c>
      <x:c r="AJ3348" t="str">
        <x:v>Management-only economics. Stripe stress test uses 1.5% + £0.20 standard UK online-card fee; pallet/mix-and-match pricing ignored.</x:v>
      </x:c>
    </x:row>
    <x:row r="3349">
      <x:c r="A3349" t="str">
        <x:v>Active Sports Nutrition</x:v>
      </x:c>
      <x:c r="B3349" t="str">
        <x:v>Applied Nutrition</x:v>
      </x:c>
      <x:c r="C3349" t="str">
        <x:v>Endurance Velocity Fuel Sprint + Caffeine</x:v>
      </x:c>
      <x:c r="D3349" t="str">
        <x:v>Food &amp; Drinks</x:v>
      </x:c>
      <x:c r="E3349" t="str">
        <x:v>Energy Gels</x:v>
      </x:c>
      <x:c r="F3349" t="str"/>
      <x:c r="G3349" t="str">
        <x:v>20 gels</x:v>
      </x:c>
      <x:c r="H3349" t="str">
        <x:v>Cola</x:v>
      </x:c>
      <x:c r="I3349" t="str">
        <x:v>20</x:v>
      </x:c>
      <x:c r="J3349" t="str">
        <x:v>Case</x:v>
      </x:c>
      <x:c r="K3349" t="str">
        <x:v>In stock</x:v>
      </x:c>
      <x:c r="L3349" t="str">
        <x:v>2026-09-08</x:v>
      </x:c>
      <x:c r="M3349" t="str"/>
      <x:c r="N3349" t="str"/>
      <x:c r="O3349" t="str">
        <x:v>https://www.activesportstrade.co.uk/Ready-to-Drink-Energy</x:v>
      </x:c>
      <x:c r="P3349" t="str">
        <x:v>VAT FREE wording stripped.</x:v>
      </x:c>
      <x:c r="Q3349" t="str"/>
      <x:c r="R3349" t="str"/>
      <x:c r="S3349" t="str">
        <x:v>Pending genuine supplier/brand image</x:v>
      </x:c>
      <x:c r="T3349" s="54" t="n">
        <x:v>14.75</x:v>
      </x:c>
      <x:c r="U3349" s="47" t="n">
        <x:v>0</x:v>
      </x:c>
      <x:c r="V3349" s="54" t="n">
        <x:f>IF(ISNUMBER(T3349),T3349*(1+U3349),"")</x:f>
        <x:v>14.75</x:v>
      </x:c>
      <x:c r="W3349" s="47" t="n">
        <x:v>0.3</x:v>
      </x:c>
      <x:c r="X3349" s="54" t="n">
        <x:f>IF(ISNUMBER(V3349),V3349/(1-W3349),"")</x:f>
        <x:v>21.071428571428573</x:v>
      </x:c>
      <x:c r="Y3349" s="55" t="n">
        <x:f>IF(ISNUMBER(X3349),ROUNDUP(X3349,0),"")</x:f>
        <x:v>22</x:v>
      </x:c>
      <x:c r="Z3349" t="str">
        <x:v>Source match pending</x:v>
      </x:c>
      <x:c r="AA3349" t="str">
        <x:v>screencapture-www-activesportstrade-co-uk-applied-nutrition-trade-2026-09-10-08_59_59.pdf / page-12</x:v>
      </x:c>
      <x:c r="AB3349" s="36" t="n">
        <x:f>IF(ISNUMBER(Y3349),ROUND(Y3349*0.9,2),"")</x:f>
        <x:v>19.8</x:v>
      </x:c>
      <x:c r="AC3349" s="36" t="n">
        <x:f>IF(ISNUMBER(AB3349),ROUND(AB3349-(AB3349*0.015+0.2)-V3349,2),"")</x:f>
        <x:v>4.55</x:v>
      </x:c>
      <x:c r="AD3349" s="36" t="n">
        <x:f>IF(ISNUMBER(Y3349),ROUND(Y3349*0.8,2),"")</x:f>
        <x:v>17.6</x:v>
      </x:c>
      <x:c r="AE3349" s="36" t="n">
        <x:f>IF(ISNUMBER(AD3349),ROUND(AD3349*0.015+0.2,2),"")</x:f>
        <x:v>0.46</x:v>
      </x:c>
      <x:c r="AF3349" s="36" t="n">
        <x:f>IF(ISNUMBER(AD3349),ROUND(AD3349-AE3349-V3349,2),"")</x:f>
        <x:v>2.39</x:v>
      </x:c>
      <x:c r="AG3349" t="str">
        <x:f>IF(NOT(ISNUMBER(T3349)),"PENDING",IF(AF3349&gt;0,"PASS","FAIL"))</x:f>
        <x:v>PASS</x:v>
      </x:c>
      <x:c r="AH3349" t="str">
        <x:f>IF(NOT(ISNUMBER(T3349)),"Needs supplier cost",IF(K3349&lt;&gt;"In stock","Supplier unavailable",IF(AG3349&lt;&gt;"PASS","BLOCK - GT loss risk","Commercially protected")))</x:f>
        <x:v>Commercially protected</x:v>
      </x:c>
      <x:c r="AI3349" t="str">
        <x:v>2026-09-10 Active Sports trade capture</x:v>
      </x:c>
      <x:c r="AJ3349" t="str">
        <x:v>Management-only economics. Stripe stress test uses 1.5% + £0.20 standard UK online-card fee; pallet/mix-and-match pricing ignored.</x:v>
      </x:c>
    </x:row>
    <x:row r="3350">
      <x:c r="A3350" t="str">
        <x:v>Active Sports Nutrition</x:v>
      </x:c>
      <x:c r="B3350" t="str">
        <x:v>Applied Nutrition</x:v>
      </x:c>
      <x:c r="C3350" t="str">
        <x:v>Endurance Velocity Fuel Sprint + Caffeine</x:v>
      </x:c>
      <x:c r="D3350" t="str">
        <x:v>Food &amp; Drinks</x:v>
      </x:c>
      <x:c r="E3350" t="str">
        <x:v>Energy Gels</x:v>
      </x:c>
      <x:c r="F3350" t="str"/>
      <x:c r="G3350" t="str">
        <x:v>20 gels</x:v>
      </x:c>
      <x:c r="H3350" t="str">
        <x:v>Fruit Burst</x:v>
      </x:c>
      <x:c r="I3350" t="str">
        <x:v>20</x:v>
      </x:c>
      <x:c r="J3350" t="str">
        <x:v>Case</x:v>
      </x:c>
      <x:c r="K3350" t="str">
        <x:v>In stock</x:v>
      </x:c>
      <x:c r="L3350" t="str">
        <x:v>2026-09-08</x:v>
      </x:c>
      <x:c r="M3350" t="str"/>
      <x:c r="N3350" t="str"/>
      <x:c r="O3350" t="str">
        <x:v>https://www.activesportstrade.co.uk/Ready-to-Drink-Energy</x:v>
      </x:c>
      <x:c r="P3350" t="str">
        <x:v>VAT FREE wording stripped.</x:v>
      </x:c>
      <x:c r="Q3350" t="str"/>
      <x:c r="R3350" t="str"/>
      <x:c r="S3350" t="str">
        <x:v>Pending genuine supplier/brand image</x:v>
      </x:c>
      <x:c r="T3350" s="54" t="n">
        <x:v>14.75</x:v>
      </x:c>
      <x:c r="U3350" s="47" t="n">
        <x:v>0</x:v>
      </x:c>
      <x:c r="V3350" s="54" t="n">
        <x:f>IF(ISNUMBER(T3350),T3350*(1+U3350),"")</x:f>
        <x:v>14.75</x:v>
      </x:c>
      <x:c r="W3350" s="47" t="n">
        <x:v>0.3</x:v>
      </x:c>
      <x:c r="X3350" s="54" t="n">
        <x:f>IF(ISNUMBER(V3350),V3350/(1-W3350),"")</x:f>
        <x:v>21.071428571428573</x:v>
      </x:c>
      <x:c r="Y3350" s="55" t="n">
        <x:f>IF(ISNUMBER(X3350),ROUNDUP(X3350,0),"")</x:f>
        <x:v>22</x:v>
      </x:c>
      <x:c r="Z3350" t="str">
        <x:v>Source match pending</x:v>
      </x:c>
      <x:c r="AA3350" t="str">
        <x:v>screencapture-www-activesportstrade-co-uk-applied-nutrition-trade-2026-09-10-08_59_59.pdf / page-12</x:v>
      </x:c>
      <x:c r="AB3350" s="36" t="n">
        <x:f>IF(ISNUMBER(Y3350),ROUND(Y3350*0.9,2),"")</x:f>
        <x:v>19.8</x:v>
      </x:c>
      <x:c r="AC3350" s="36" t="n">
        <x:f>IF(ISNUMBER(AB3350),ROUND(AB3350-(AB3350*0.015+0.2)-V3350,2),"")</x:f>
        <x:v>4.55</x:v>
      </x:c>
      <x:c r="AD3350" s="36" t="n">
        <x:f>IF(ISNUMBER(Y3350),ROUND(Y3350*0.8,2),"")</x:f>
        <x:v>17.6</x:v>
      </x:c>
      <x:c r="AE3350" s="36" t="n">
        <x:f>IF(ISNUMBER(AD3350),ROUND(AD3350*0.015+0.2,2),"")</x:f>
        <x:v>0.46</x:v>
      </x:c>
      <x:c r="AF3350" s="36" t="n">
        <x:f>IF(ISNUMBER(AD3350),ROUND(AD3350-AE3350-V3350,2),"")</x:f>
        <x:v>2.39</x:v>
      </x:c>
      <x:c r="AG3350" t="str">
        <x:f>IF(NOT(ISNUMBER(T3350)),"PENDING",IF(AF3350&gt;0,"PASS","FAIL"))</x:f>
        <x:v>PASS</x:v>
      </x:c>
      <x:c r="AH3350" t="str">
        <x:f>IF(NOT(ISNUMBER(T3350)),"Needs supplier cost",IF(K3350&lt;&gt;"In stock","Supplier unavailable",IF(AG3350&lt;&gt;"PASS","BLOCK - GT loss risk","Commercially protected")))</x:f>
        <x:v>Commercially protected</x:v>
      </x:c>
      <x:c r="AI3350" t="str">
        <x:v>2026-09-10 Active Sports trade capture</x:v>
      </x:c>
      <x:c r="AJ3350" t="str">
        <x:v>Management-only economics. Stripe stress test uses 1.5% + £0.20 standard UK online-card fee; pallet/mix-and-match pricing ignored.</x:v>
      </x:c>
    </x:row>
    <x:row r="3351">
      <x:c r="A3351" t="str">
        <x:v>Active Sports Nutrition</x:v>
      </x:c>
      <x:c r="B3351" t="str">
        <x:v>Applied Nutrition</x:v>
      </x:c>
      <x:c r="C3351" t="str">
        <x:v>Endurance Velocity Fuel Sprint + Caffeine</x:v>
      </x:c>
      <x:c r="D3351" t="str">
        <x:v>Food &amp; Drinks</x:v>
      </x:c>
      <x:c r="E3351" t="str">
        <x:v>Energy Gels</x:v>
      </x:c>
      <x:c r="F3351" t="str"/>
      <x:c r="G3351" t="str">
        <x:v>20 gels</x:v>
      </x:c>
      <x:c r="H3351" t="str">
        <x:v>Orange</x:v>
      </x:c>
      <x:c r="I3351" t="str">
        <x:v>20</x:v>
      </x:c>
      <x:c r="J3351" t="str">
        <x:v>Case</x:v>
      </x:c>
      <x:c r="K3351" t="str">
        <x:v>In stock</x:v>
      </x:c>
      <x:c r="L3351" t="str">
        <x:v>2026-09-08</x:v>
      </x:c>
      <x:c r="M3351" t="str"/>
      <x:c r="N3351" t="str"/>
      <x:c r="O3351" t="str">
        <x:v>https://www.activesportstrade.co.uk/Ready-to-Drink-Energy</x:v>
      </x:c>
      <x:c r="P3351" t="str">
        <x:v>VAT FREE wording stripped.</x:v>
      </x:c>
      <x:c r="Q3351" t="str"/>
      <x:c r="R3351" t="str"/>
      <x:c r="S3351" t="str">
        <x:v>Pending genuine supplier/brand image</x:v>
      </x:c>
      <x:c r="T3351" s="54" t="n">
        <x:v>14.75</x:v>
      </x:c>
      <x:c r="U3351" s="47" t="n">
        <x:v>0</x:v>
      </x:c>
      <x:c r="V3351" s="54" t="n">
        <x:f>IF(ISNUMBER(T3351),T3351*(1+U3351),"")</x:f>
        <x:v>14.75</x:v>
      </x:c>
      <x:c r="W3351" s="47" t="n">
        <x:v>0.3</x:v>
      </x:c>
      <x:c r="X3351" s="54" t="n">
        <x:f>IF(ISNUMBER(V3351),V3351/(1-W3351),"")</x:f>
        <x:v>21.071428571428573</x:v>
      </x:c>
      <x:c r="Y3351" s="55" t="n">
        <x:f>IF(ISNUMBER(X3351),ROUNDUP(X3351,0),"")</x:f>
        <x:v>22</x:v>
      </x:c>
      <x:c r="Z3351" t="str">
        <x:v>Source match pending</x:v>
      </x:c>
      <x:c r="AA3351" t="str">
        <x:v>screencapture-www-activesportstrade-co-uk-applied-nutrition-trade-2026-09-10-08_59_59.pdf / page-12</x:v>
      </x:c>
      <x:c r="AB3351" s="36" t="n">
        <x:f>IF(ISNUMBER(Y3351),ROUND(Y3351*0.9,2),"")</x:f>
        <x:v>19.8</x:v>
      </x:c>
      <x:c r="AC3351" s="36" t="n">
        <x:f>IF(ISNUMBER(AB3351),ROUND(AB3351-(AB3351*0.015+0.2)-V3351,2),"")</x:f>
        <x:v>4.55</x:v>
      </x:c>
      <x:c r="AD3351" s="36" t="n">
        <x:f>IF(ISNUMBER(Y3351),ROUND(Y3351*0.8,2),"")</x:f>
        <x:v>17.6</x:v>
      </x:c>
      <x:c r="AE3351" s="36" t="n">
        <x:f>IF(ISNUMBER(AD3351),ROUND(AD3351*0.015+0.2,2),"")</x:f>
        <x:v>0.46</x:v>
      </x:c>
      <x:c r="AF3351" s="36" t="n">
        <x:f>IF(ISNUMBER(AD3351),ROUND(AD3351-AE3351-V3351,2),"")</x:f>
        <x:v>2.39</x:v>
      </x:c>
      <x:c r="AG3351" t="str">
        <x:f>IF(NOT(ISNUMBER(T3351)),"PENDING",IF(AF3351&gt;0,"PASS","FAIL"))</x:f>
        <x:v>PASS</x:v>
      </x:c>
      <x:c r="AH3351" t="str">
        <x:f>IF(NOT(ISNUMBER(T3351)),"Needs supplier cost",IF(K3351&lt;&gt;"In stock","Supplier unavailable",IF(AG3351&lt;&gt;"PASS","BLOCK - GT loss risk","Commercially protected")))</x:f>
        <x:v>Commercially protected</x:v>
      </x:c>
      <x:c r="AI3351" t="str">
        <x:v>2026-09-10 Active Sports trade capture</x:v>
      </x:c>
      <x:c r="AJ3351" t="str">
        <x:v>Management-only economics. Stripe stress test uses 1.5% + £0.20 standard UK online-card fee; pallet/mix-and-match pricing ignored.</x:v>
      </x:c>
    </x:row>
    <x:row r="3352">
      <x:c r="A3352" t="str">
        <x:v>Active Sports Nutrition</x:v>
      </x:c>
      <x:c r="B3352" t="str">
        <x:v>Applied Nutrition</x:v>
      </x:c>
      <x:c r="C3352" t="str">
        <x:v>Endurance Velocity Fuel Sprint + Caffeine</x:v>
      </x:c>
      <x:c r="D3352" t="str">
        <x:v>Food &amp; Drinks</x:v>
      </x:c>
      <x:c r="E3352" t="str">
        <x:v>Energy Gels</x:v>
      </x:c>
      <x:c r="F3352" t="str"/>
      <x:c r="G3352" t="str">
        <x:v>20 gels</x:v>
      </x:c>
      <x:c r="H3352" t="str">
        <x:v>Tropical</x:v>
      </x:c>
      <x:c r="I3352" t="str">
        <x:v>20</x:v>
      </x:c>
      <x:c r="J3352" t="str">
        <x:v>Case</x:v>
      </x:c>
      <x:c r="K3352" t="str">
        <x:v>In stock</x:v>
      </x:c>
      <x:c r="L3352" t="str">
        <x:v>2026-09-08</x:v>
      </x:c>
      <x:c r="M3352" t="str"/>
      <x:c r="N3352" t="str"/>
      <x:c r="O3352" t="str">
        <x:v>https://www.activesportstrade.co.uk/Ready-to-Drink-Energy</x:v>
      </x:c>
      <x:c r="P3352" t="str">
        <x:v>VAT FREE wording stripped.</x:v>
      </x:c>
      <x:c r="Q3352" t="str"/>
      <x:c r="R3352" t="str"/>
      <x:c r="S3352" t="str">
        <x:v>Pending genuine supplier/brand image</x:v>
      </x:c>
      <x:c r="T3352" s="54" t="n">
        <x:v>14.75</x:v>
      </x:c>
      <x:c r="U3352" s="47" t="n">
        <x:v>0</x:v>
      </x:c>
      <x:c r="V3352" s="54" t="n">
        <x:f>IF(ISNUMBER(T3352),T3352*(1+U3352),"")</x:f>
        <x:v>14.75</x:v>
      </x:c>
      <x:c r="W3352" s="47" t="n">
        <x:v>0.3</x:v>
      </x:c>
      <x:c r="X3352" s="54" t="n">
        <x:f>IF(ISNUMBER(V3352),V3352/(1-W3352),"")</x:f>
        <x:v>21.071428571428573</x:v>
      </x:c>
      <x:c r="Y3352" s="55" t="n">
        <x:f>IF(ISNUMBER(X3352),ROUNDUP(X3352,0),"")</x:f>
        <x:v>22</x:v>
      </x:c>
      <x:c r="Z3352" t="str">
        <x:v>Source match pending</x:v>
      </x:c>
      <x:c r="AA3352" t="str">
        <x:v>screencapture-www-activesportstrade-co-uk-applied-nutrition-trade-2026-09-10-08_59_59.pdf / page-12</x:v>
      </x:c>
      <x:c r="AB3352" s="36" t="n">
        <x:f>IF(ISNUMBER(Y3352),ROUND(Y3352*0.9,2),"")</x:f>
        <x:v>19.8</x:v>
      </x:c>
      <x:c r="AC3352" s="36" t="n">
        <x:f>IF(ISNUMBER(AB3352),ROUND(AB3352-(AB3352*0.015+0.2)-V3352,2),"")</x:f>
        <x:v>4.55</x:v>
      </x:c>
      <x:c r="AD3352" s="36" t="n">
        <x:f>IF(ISNUMBER(Y3352),ROUND(Y3352*0.8,2),"")</x:f>
        <x:v>17.6</x:v>
      </x:c>
      <x:c r="AE3352" s="36" t="n">
        <x:f>IF(ISNUMBER(AD3352),ROUND(AD3352*0.015+0.2,2),"")</x:f>
        <x:v>0.46</x:v>
      </x:c>
      <x:c r="AF3352" s="36" t="n">
        <x:f>IF(ISNUMBER(AD3352),ROUND(AD3352-AE3352-V3352,2),"")</x:f>
        <x:v>2.39</x:v>
      </x:c>
      <x:c r="AG3352" t="str">
        <x:f>IF(NOT(ISNUMBER(T3352)),"PENDING",IF(AF3352&gt;0,"PASS","FAIL"))</x:f>
        <x:v>PASS</x:v>
      </x:c>
      <x:c r="AH3352" t="str">
        <x:f>IF(NOT(ISNUMBER(T3352)),"Needs supplier cost",IF(K3352&lt;&gt;"In stock","Supplier unavailable",IF(AG3352&lt;&gt;"PASS","BLOCK - GT loss risk","Commercially protected")))</x:f>
        <x:v>Commercially protected</x:v>
      </x:c>
      <x:c r="AI3352" t="str">
        <x:v>2026-09-10 Active Sports trade capture</x:v>
      </x:c>
      <x:c r="AJ3352" t="str">
        <x:v>Management-only economics. Stripe stress test uses 1.5% + £0.20 standard UK online-card fee; pallet/mix-and-match pricing ignored.</x:v>
      </x:c>
    </x:row>
    <x:row r="3353">
      <x:c r="A3353" t="str">
        <x:v>Active Sports Nutrition</x:v>
      </x:c>
      <x:c r="B3353" t="str">
        <x:v>Applied Nutrition</x:v>
      </x:c>
      <x:c r="C3353" t="str">
        <x:v>L-Carnitine Shots</x:v>
      </x:c>
      <x:c r="D3353" t="str">
        <x:v>Food &amp; Drinks</x:v>
      </x:c>
      <x:c r="E3353" t="str">
        <x:v>L-Carnitine Shots</x:v>
      </x:c>
      <x:c r="F3353" t="str"/>
      <x:c r="G3353" t="str">
        <x:v>12 x 60ml shots</x:v>
      </x:c>
      <x:c r="H3353" t="str">
        <x:v>Slush Puppie - Blue Raspberry</x:v>
      </x:c>
      <x:c r="I3353" t="str">
        <x:v>12</x:v>
      </x:c>
      <x:c r="J3353" t="str">
        <x:v>Case</x:v>
      </x:c>
      <x:c r="K3353" t="str">
        <x:v>In stock</x:v>
      </x:c>
      <x:c r="L3353" t="str">
        <x:v>2026-09-08</x:v>
      </x:c>
      <x:c r="M3353" t="str"/>
      <x:c r="N3353" t="str"/>
      <x:c r="O3353" t="str">
        <x:v>https://www.activesportstrade.co.uk/Ready-to-Drink-Energy</x:v>
      </x:c>
      <x:c r="P3353" t="str"/>
      <x:c r="Q3353" t="str"/>
      <x:c r="R3353" t="str"/>
      <x:c r="S3353" t="str">
        <x:v>Pending genuine supplier/brand image</x:v>
      </x:c>
      <x:c r="T3353" s="54" t="n">
        <x:v>12</x:v>
      </x:c>
      <x:c r="U3353" s="47" t="n">
        <x:v>0.2</x:v>
      </x:c>
      <x:c r="V3353" s="54" t="n">
        <x:f>IF(ISNUMBER(T3353),T3353*(1+U3353),"")</x:f>
        <x:v>14.399999999999999</x:v>
      </x:c>
      <x:c r="W3353" s="47" t="n">
        <x:v>0.3</x:v>
      </x:c>
      <x:c r="X3353" s="54" t="n">
        <x:f>IF(ISNUMBER(V3353),V3353/(1-W3353),"")</x:f>
        <x:v>20.57142857142857</x:v>
      </x:c>
      <x:c r="Y3353" s="55" t="n">
        <x:f>IF(ISNUMBER(X3353),ROUNDUP(X3353,0),"")</x:f>
        <x:v>21</x:v>
      </x:c>
      <x:c r="Z3353" t="str">
        <x:v>Source match pending</x:v>
      </x:c>
      <x:c r="AA3353" t="str">
        <x:v>screencapture-www-activesportstrade-co-uk-applied-nutrition-trade-2026-09-10-08_59_59.pdf / page-14</x:v>
      </x:c>
      <x:c r="AB3353" s="36" t="n">
        <x:f>IF(ISNUMBER(Y3353),ROUND(Y3353*0.9,2),"")</x:f>
        <x:v>18.9</x:v>
      </x:c>
      <x:c r="AC3353" s="36" t="n">
        <x:f>IF(ISNUMBER(AB3353),ROUND(AB3353-(AB3353*0.015+0.2)-V3353,2),"")</x:f>
        <x:v>4.02</x:v>
      </x:c>
      <x:c r="AD3353" s="36" t="n">
        <x:f>IF(ISNUMBER(Y3353),ROUND(Y3353*0.8,2),"")</x:f>
        <x:v>16.8</x:v>
      </x:c>
      <x:c r="AE3353" s="36" t="n">
        <x:f>IF(ISNUMBER(AD3353),ROUND(AD3353*0.015+0.2,2),"")</x:f>
        <x:v>0.45</x:v>
      </x:c>
      <x:c r="AF3353" s="36" t="n">
        <x:f>IF(ISNUMBER(AD3353),ROUND(AD3353-AE3353-V3353,2),"")</x:f>
        <x:v>1.95</x:v>
      </x:c>
      <x:c r="AG3353" t="str">
        <x:f>IF(NOT(ISNUMBER(T3353)),"PENDING",IF(AF3353&gt;0,"PASS","FAIL"))</x:f>
        <x:v>PASS</x:v>
      </x:c>
      <x:c r="AH3353" t="str">
        <x:f>IF(NOT(ISNUMBER(T3353)),"Needs supplier cost",IF(K3353&lt;&gt;"In stock","Supplier unavailable",IF(AG3353&lt;&gt;"PASS","BLOCK - GT loss risk","Commercially protected")))</x:f>
        <x:v>Commercially protected</x:v>
      </x:c>
      <x:c r="AI3353" t="str">
        <x:v>2026-09-10 Active Sports trade capture</x:v>
      </x:c>
      <x:c r="AJ3353" t="str">
        <x:v>Management-only economics. Stripe stress test uses 1.5% + £0.20 standard UK online-card fee; pallet/mix-and-match pricing ignored.</x:v>
      </x:c>
    </x:row>
    <x:row r="3354">
      <x:c r="A3354" t="str">
        <x:v>Active Sports Nutrition</x:v>
      </x:c>
      <x:c r="B3354" t="str">
        <x:v>Applied Nutrition</x:v>
      </x:c>
      <x:c r="C3354" t="str">
        <x:v>L-Carnitine Shots</x:v>
      </x:c>
      <x:c r="D3354" t="str">
        <x:v>Food &amp; Drinks</x:v>
      </x:c>
      <x:c r="E3354" t="str">
        <x:v>L-Carnitine Shots</x:v>
      </x:c>
      <x:c r="F3354" t="str"/>
      <x:c r="G3354" t="str">
        <x:v>12 x 60ml shots</x:v>
      </x:c>
      <x:c r="H3354" t="str">
        <x:v>Slush Puppie - Cherry Chill</x:v>
      </x:c>
      <x:c r="I3354" t="str">
        <x:v>12</x:v>
      </x:c>
      <x:c r="J3354" t="str">
        <x:v>Case</x:v>
      </x:c>
      <x:c r="K3354" t="str">
        <x:v>In stock</x:v>
      </x:c>
      <x:c r="L3354" t="str">
        <x:v>2026-09-08</x:v>
      </x:c>
      <x:c r="M3354" t="str"/>
      <x:c r="N3354" t="str"/>
      <x:c r="O3354" t="str">
        <x:v>https://www.activesportstrade.co.uk/Ready-to-Drink-Energy</x:v>
      </x:c>
      <x:c r="P3354" t="str"/>
      <x:c r="Q3354" t="str"/>
      <x:c r="R3354" t="str"/>
      <x:c r="S3354" t="str">
        <x:v>Pending genuine supplier/brand image</x:v>
      </x:c>
      <x:c r="T3354" s="54" t="n">
        <x:v>12</x:v>
      </x:c>
      <x:c r="U3354" s="47" t="n">
        <x:v>0.2</x:v>
      </x:c>
      <x:c r="V3354" s="54" t="n">
        <x:f>IF(ISNUMBER(T3354),T3354*(1+U3354),"")</x:f>
        <x:v>14.399999999999999</x:v>
      </x:c>
      <x:c r="W3354" s="47" t="n">
        <x:v>0.3</x:v>
      </x:c>
      <x:c r="X3354" s="54" t="n">
        <x:f>IF(ISNUMBER(V3354),V3354/(1-W3354),"")</x:f>
        <x:v>20.57142857142857</x:v>
      </x:c>
      <x:c r="Y3354" s="55" t="n">
        <x:f>IF(ISNUMBER(X3354),ROUNDUP(X3354,0),"")</x:f>
        <x:v>21</x:v>
      </x:c>
      <x:c r="Z3354" t="str">
        <x:v>Source match pending</x:v>
      </x:c>
      <x:c r="AA3354" t="str">
        <x:v>screencapture-www-activesportstrade-co-uk-applied-nutrition-trade-2026-09-10-08_59_59.pdf / page-14</x:v>
      </x:c>
      <x:c r="AB3354" s="36" t="n">
        <x:f>IF(ISNUMBER(Y3354),ROUND(Y3354*0.9,2),"")</x:f>
        <x:v>18.9</x:v>
      </x:c>
      <x:c r="AC3354" s="36" t="n">
        <x:f>IF(ISNUMBER(AB3354),ROUND(AB3354-(AB3354*0.015+0.2)-V3354,2),"")</x:f>
        <x:v>4.02</x:v>
      </x:c>
      <x:c r="AD3354" s="36" t="n">
        <x:f>IF(ISNUMBER(Y3354),ROUND(Y3354*0.8,2),"")</x:f>
        <x:v>16.8</x:v>
      </x:c>
      <x:c r="AE3354" s="36" t="n">
        <x:f>IF(ISNUMBER(AD3354),ROUND(AD3354*0.015+0.2,2),"")</x:f>
        <x:v>0.45</x:v>
      </x:c>
      <x:c r="AF3354" s="36" t="n">
        <x:f>IF(ISNUMBER(AD3354),ROUND(AD3354-AE3354-V3354,2),"")</x:f>
        <x:v>1.95</x:v>
      </x:c>
      <x:c r="AG3354" t="str">
        <x:f>IF(NOT(ISNUMBER(T3354)),"PENDING",IF(AF3354&gt;0,"PASS","FAIL"))</x:f>
        <x:v>PASS</x:v>
      </x:c>
      <x:c r="AH3354" t="str">
        <x:f>IF(NOT(ISNUMBER(T3354)),"Needs supplier cost",IF(K3354&lt;&gt;"In stock","Supplier unavailable",IF(AG3354&lt;&gt;"PASS","BLOCK - GT loss risk","Commercially protected")))</x:f>
        <x:v>Commercially protected</x:v>
      </x:c>
      <x:c r="AI3354" t="str">
        <x:v>2026-09-10 Active Sports trade capture</x:v>
      </x:c>
      <x:c r="AJ3354" t="str">
        <x:v>Management-only economics. Stripe stress test uses 1.5% + £0.20 standard UK online-card fee; pallet/mix-and-match pricing ignored.</x:v>
      </x:c>
    </x:row>
    <x:row r="3355">
      <x:c r="A3355" t="str">
        <x:v>Active Sports Nutrition</x:v>
      </x:c>
      <x:c r="B3355" t="str">
        <x:v>Applied Nutrition</x:v>
      </x:c>
      <x:c r="C3355" t="str">
        <x:v>L-Carnitine Shots</x:v>
      </x:c>
      <x:c r="D3355" t="str">
        <x:v>Food &amp; Drinks</x:v>
      </x:c>
      <x:c r="E3355" t="str">
        <x:v>L-Carnitine Shots</x:v>
      </x:c>
      <x:c r="F3355" t="str"/>
      <x:c r="G3355" t="str">
        <x:v>12 x 60ml shots</x:v>
      </x:c>
      <x:c r="H3355" t="str">
        <x:v>Slush Puppie - Twisted Citrus</x:v>
      </x:c>
      <x:c r="I3355" t="str">
        <x:v>12</x:v>
      </x:c>
      <x:c r="J3355" t="str">
        <x:v>Case</x:v>
      </x:c>
      <x:c r="K3355" t="str">
        <x:v>In stock</x:v>
      </x:c>
      <x:c r="L3355" t="str">
        <x:v>2026-09-08</x:v>
      </x:c>
      <x:c r="M3355" t="str"/>
      <x:c r="N3355" t="str"/>
      <x:c r="O3355" t="str">
        <x:v>https://www.activesportstrade.co.uk/Ready-to-Drink-Energy</x:v>
      </x:c>
      <x:c r="P3355" t="str"/>
      <x:c r="Q3355" t="str"/>
      <x:c r="R3355" t="str"/>
      <x:c r="S3355" t="str">
        <x:v>Pending genuine supplier/brand image</x:v>
      </x:c>
      <x:c r="T3355" s="54" t="n">
        <x:v>12</x:v>
      </x:c>
      <x:c r="U3355" s="47" t="n">
        <x:v>0.2</x:v>
      </x:c>
      <x:c r="V3355" s="54" t="n">
        <x:f>IF(ISNUMBER(T3355),T3355*(1+U3355),"")</x:f>
        <x:v>14.399999999999999</x:v>
      </x:c>
      <x:c r="W3355" s="47" t="n">
        <x:v>0.3</x:v>
      </x:c>
      <x:c r="X3355" s="54" t="n">
        <x:f>IF(ISNUMBER(V3355),V3355/(1-W3355),"")</x:f>
        <x:v>20.57142857142857</x:v>
      </x:c>
      <x:c r="Y3355" s="55" t="n">
        <x:f>IF(ISNUMBER(X3355),ROUNDUP(X3355,0),"")</x:f>
        <x:v>21</x:v>
      </x:c>
      <x:c r="Z3355" t="str">
        <x:v>Source match pending</x:v>
      </x:c>
      <x:c r="AA3355" t="str">
        <x:v>screencapture-www-activesportstrade-co-uk-applied-nutrition-trade-2026-09-10-08_59_59.pdf / page-14</x:v>
      </x:c>
      <x:c r="AB3355" s="36" t="n">
        <x:f>IF(ISNUMBER(Y3355),ROUND(Y3355*0.9,2),"")</x:f>
        <x:v>18.9</x:v>
      </x:c>
      <x:c r="AC3355" s="36" t="n">
        <x:f>IF(ISNUMBER(AB3355),ROUND(AB3355-(AB3355*0.015+0.2)-V3355,2),"")</x:f>
        <x:v>4.02</x:v>
      </x:c>
      <x:c r="AD3355" s="36" t="n">
        <x:f>IF(ISNUMBER(Y3355),ROUND(Y3355*0.8,2),"")</x:f>
        <x:v>16.8</x:v>
      </x:c>
      <x:c r="AE3355" s="36" t="n">
        <x:f>IF(ISNUMBER(AD3355),ROUND(AD3355*0.015+0.2,2),"")</x:f>
        <x:v>0.45</x:v>
      </x:c>
      <x:c r="AF3355" s="36" t="n">
        <x:f>IF(ISNUMBER(AD3355),ROUND(AD3355-AE3355-V3355,2),"")</x:f>
        <x:v>1.95</x:v>
      </x:c>
      <x:c r="AG3355" t="str">
        <x:f>IF(NOT(ISNUMBER(T3355)),"PENDING",IF(AF3355&gt;0,"PASS","FAIL"))</x:f>
        <x:v>PASS</x:v>
      </x:c>
      <x:c r="AH3355" t="str">
        <x:f>IF(NOT(ISNUMBER(T3355)),"Needs supplier cost",IF(K3355&lt;&gt;"In stock","Supplier unavailable",IF(AG3355&lt;&gt;"PASS","BLOCK - GT loss risk","Commercially protected")))</x:f>
        <x:v>Commercially protected</x:v>
      </x:c>
      <x:c r="AI3355" t="str">
        <x:v>2026-09-10 Active Sports trade capture</x:v>
      </x:c>
      <x:c r="AJ3355" t="str">
        <x:v>Management-only economics. Stripe stress test uses 1.5% + £0.20 standard UK online-card fee; pallet/mix-and-match pricing ignored.</x:v>
      </x:c>
    </x:row>
    <x:row r="3356">
      <x:c r="A3356" t="str">
        <x:v>Active Sports Nutrition</x:v>
      </x:c>
      <x:c r="B3356" t="str">
        <x:v>C4</x:v>
      </x:c>
      <x:c r="C3356" t="str">
        <x:v>Energy</x:v>
      </x:c>
      <x:c r="D3356" t="str">
        <x:v>Food &amp; Drinks</x:v>
      </x:c>
      <x:c r="E3356" t="str">
        <x:v>Energy Drinks</x:v>
      </x:c>
      <x:c r="F3356" t="str"/>
      <x:c r="G3356" t="str">
        <x:v>12 x 500ml cans</x:v>
      </x:c>
      <x:c r="H3356" t="str">
        <x:v>Cosmic Rainbow</x:v>
      </x:c>
      <x:c r="I3356" t="str">
        <x:v>12</x:v>
      </x:c>
      <x:c r="J3356" t="str">
        <x:v>Case</x:v>
      </x:c>
      <x:c r="K3356" t="str">
        <x:v>In stock</x:v>
      </x:c>
      <x:c r="L3356" t="str">
        <x:v>2026-09-08</x:v>
      </x:c>
      <x:c r="M3356" t="str"/>
      <x:c r="N3356" t="str"/>
      <x:c r="O3356" t="str">
        <x:v>https://www.activesportstrade.co.uk/Ready-to-Drink-Energy</x:v>
      </x:c>
      <x:c r="P3356" t="str">
        <x:v>September special-offer / pallet promo wording stripped; exact current core flavours.</x:v>
      </x:c>
      <x:c r="Q3356" t="str"/>
      <x:c r="R3356" t="str"/>
      <x:c r="S3356" t="str">
        <x:v>Pending genuine supplier/brand image</x:v>
      </x:c>
      <x:c r="T3356" s="54"/>
      <x:c r="U3356" s="47" t="n">
        <x:v>0.2</x:v>
      </x:c>
      <x:c r="V3356" s="54" t="str">
        <x:f>IF(ISNUMBER(T3356),T3356*(1+U3356),"")</x:f>
      </x:c>
      <x:c r="W3356" s="47" t="n">
        <x:v>0.3</x:v>
      </x:c>
      <x:c r="X3356" s="54" t="str">
        <x:f>IF(ISNUMBER(V3356),V3356/(1-W3356),"")</x:f>
      </x:c>
      <x:c r="Y3356" s="55" t="str">
        <x:f>IF(ISNUMBER(X3356),ROUNDUP(X3356,0),"")</x:f>
      </x:c>
      <x:c r="Z3356" t="str">
        <x:f>IF(ISNUMBER(T3356),"Cost captured","Awaiting trade cost")</x:f>
        <x:v>Awaiting trade cost</x:v>
      </x:c>
      <x:c r="AB3356" s="36" t="str">
        <x:f>IF(ISNUMBER(Y3356),ROUND(Y3356*0.9,2),"")</x:f>
      </x:c>
      <x:c r="AC3356" s="36" t="str">
        <x:f>IF(ISNUMBER(AB3356),ROUND(AB3356-(AB3356*0.015+0.2)-V3356,2),"")</x:f>
      </x:c>
      <x:c r="AD3356" s="36" t="str">
        <x:f>IF(ISNUMBER(Y3356),ROUND(Y3356*0.8,2),"")</x:f>
      </x:c>
      <x:c r="AE3356" s="36" t="str">
        <x:f>IF(ISNUMBER(AD3356),ROUND(AD3356*0.015+0.2,2),"")</x:f>
      </x:c>
      <x:c r="AF3356" s="36" t="str">
        <x:f>IF(ISNUMBER(AD3356),ROUND(AD3356-AE3356-V3356,2),"")</x:f>
      </x:c>
      <x:c r="AG3356" t="str">
        <x:f>IF(NOT(ISNUMBER(T3356)),"PENDING",IF(AF3356&gt;0,"PASS","FAIL"))</x:f>
        <x:v>PENDING</x:v>
      </x:c>
      <x:c r="AH3356" t="str">
        <x:f>IF(NOT(ISNUMBER(T3356)),"Needs supplier cost",IF(K3356&lt;&gt;"In stock","Supplier unavailable",IF(AG3356&lt;&gt;"PASS","BLOCK - GT loss risk","Commercially protected")))</x:f>
        <x:v>Needs supplier cost</x:v>
      </x:c>
      <x:c r="AI3356" t="str">
        <x:v>2026-09-10 Active Sports trade capture</x:v>
      </x:c>
      <x:c r="AJ3356" t="str">
        <x:v>Management-only economics. Stripe stress test uses 1.5% + £0.20 standard UK online-card fee; pallet/mix-and-match pricing ignored.</x:v>
      </x:c>
    </x:row>
    <x:row r="3357">
      <x:c r="A3357" t="str">
        <x:v>Active Sports Nutrition</x:v>
      </x:c>
      <x:c r="B3357" t="str">
        <x:v>C4</x:v>
      </x:c>
      <x:c r="C3357" t="str">
        <x:v>Energy</x:v>
      </x:c>
      <x:c r="D3357" t="str">
        <x:v>Food &amp; Drinks</x:v>
      </x:c>
      <x:c r="E3357" t="str">
        <x:v>Energy Drinks</x:v>
      </x:c>
      <x:c r="F3357" t="str"/>
      <x:c r="G3357" t="str">
        <x:v>12 x 500ml cans</x:v>
      </x:c>
      <x:c r="H3357" t="str">
        <x:v>Frozen Bombsicle</x:v>
      </x:c>
      <x:c r="I3357" t="str">
        <x:v>12</x:v>
      </x:c>
      <x:c r="J3357" t="str">
        <x:v>Case</x:v>
      </x:c>
      <x:c r="K3357" t="str">
        <x:v>In stock</x:v>
      </x:c>
      <x:c r="L3357" t="str">
        <x:v>2026-09-08</x:v>
      </x:c>
      <x:c r="M3357" t="str"/>
      <x:c r="N3357" t="str"/>
      <x:c r="O3357" t="str">
        <x:v>https://www.activesportstrade.co.uk/Ready-to-Drink-Energy</x:v>
      </x:c>
      <x:c r="P3357" t="str">
        <x:v>September special-offer / pallet promo wording stripped; exact current core flavours.</x:v>
      </x:c>
      <x:c r="Q3357" t="str"/>
      <x:c r="R3357" t="str"/>
      <x:c r="S3357" t="str">
        <x:v>Pending genuine supplier/brand image</x:v>
      </x:c>
      <x:c r="T3357" s="54"/>
      <x:c r="U3357" s="47" t="n">
        <x:v>0.2</x:v>
      </x:c>
      <x:c r="V3357" s="54" t="str">
        <x:f>IF(ISNUMBER(T3357),T3357*(1+U3357),"")</x:f>
      </x:c>
      <x:c r="W3357" s="47" t="n">
        <x:v>0.3</x:v>
      </x:c>
      <x:c r="X3357" s="54" t="str">
        <x:f>IF(ISNUMBER(V3357),V3357/(1-W3357),"")</x:f>
      </x:c>
      <x:c r="Y3357" s="55" t="str">
        <x:f>IF(ISNUMBER(X3357),ROUNDUP(X3357,0),"")</x:f>
      </x:c>
      <x:c r="Z3357" t="str">
        <x:f>IF(ISNUMBER(T3357),"Cost captured","Awaiting trade cost")</x:f>
        <x:v>Awaiting trade cost</x:v>
      </x:c>
      <x:c r="AB3357" s="36" t="str">
        <x:f>IF(ISNUMBER(Y3357),ROUND(Y3357*0.9,2),"")</x:f>
      </x:c>
      <x:c r="AC3357" s="36" t="str">
        <x:f>IF(ISNUMBER(AB3357),ROUND(AB3357-(AB3357*0.015+0.2)-V3357,2),"")</x:f>
      </x:c>
      <x:c r="AD3357" s="36" t="str">
        <x:f>IF(ISNUMBER(Y3357),ROUND(Y3357*0.8,2),"")</x:f>
      </x:c>
      <x:c r="AE3357" s="36" t="str">
        <x:f>IF(ISNUMBER(AD3357),ROUND(AD3357*0.015+0.2,2),"")</x:f>
      </x:c>
      <x:c r="AF3357" s="36" t="str">
        <x:f>IF(ISNUMBER(AD3357),ROUND(AD3357-AE3357-V3357,2),"")</x:f>
      </x:c>
      <x:c r="AG3357" t="str">
        <x:f>IF(NOT(ISNUMBER(T3357)),"PENDING",IF(AF3357&gt;0,"PASS","FAIL"))</x:f>
        <x:v>PENDING</x:v>
      </x:c>
      <x:c r="AH3357" t="str">
        <x:f>IF(NOT(ISNUMBER(T3357)),"Needs supplier cost",IF(K3357&lt;&gt;"In stock","Supplier unavailable",IF(AG3357&lt;&gt;"PASS","BLOCK - GT loss risk","Commercially protected")))</x:f>
        <x:v>Needs supplier cost</x:v>
      </x:c>
      <x:c r="AI3357" t="str">
        <x:v>2026-09-10 Active Sports trade capture</x:v>
      </x:c>
      <x:c r="AJ3357" t="str">
        <x:v>Management-only economics. Stripe stress test uses 1.5% + £0.20 standard UK online-card fee; pallet/mix-and-match pricing ignored.</x:v>
      </x:c>
    </x:row>
    <x:row r="3358">
      <x:c r="A3358" t="str">
        <x:v>Active Sports Nutrition</x:v>
      </x:c>
      <x:c r="B3358" t="str">
        <x:v>C4</x:v>
      </x:c>
      <x:c r="C3358" t="str">
        <x:v>Energy</x:v>
      </x:c>
      <x:c r="D3358" t="str">
        <x:v>Food &amp; Drinks</x:v>
      </x:c>
      <x:c r="E3358" t="str">
        <x:v>Energy Drinks</x:v>
      </x:c>
      <x:c r="F3358" t="str"/>
      <x:c r="G3358" t="str">
        <x:v>12 x 500ml cans</x:v>
      </x:c>
      <x:c r="H3358" t="str">
        <x:v>Orange Slice</x:v>
      </x:c>
      <x:c r="I3358" t="str">
        <x:v>12</x:v>
      </x:c>
      <x:c r="J3358" t="str">
        <x:v>Case</x:v>
      </x:c>
      <x:c r="K3358" t="str">
        <x:v>In stock</x:v>
      </x:c>
      <x:c r="L3358" t="str">
        <x:v>2026-09-08</x:v>
      </x:c>
      <x:c r="M3358" t="str"/>
      <x:c r="N3358" t="str"/>
      <x:c r="O3358" t="str">
        <x:v>https://www.activesportstrade.co.uk/Ready-to-Drink-Energy</x:v>
      </x:c>
      <x:c r="P3358" t="str">
        <x:v>September special-offer / pallet promo wording stripped; exact current core flavours.</x:v>
      </x:c>
      <x:c r="Q3358" t="str"/>
      <x:c r="R3358" t="str"/>
      <x:c r="S3358" t="str">
        <x:v>Pending genuine supplier/brand image</x:v>
      </x:c>
      <x:c r="T3358" s="54"/>
      <x:c r="U3358" s="47" t="n">
        <x:v>0.2</x:v>
      </x:c>
      <x:c r="V3358" s="54" t="str">
        <x:f>IF(ISNUMBER(T3358),T3358*(1+U3358),"")</x:f>
      </x:c>
      <x:c r="W3358" s="47" t="n">
        <x:v>0.3</x:v>
      </x:c>
      <x:c r="X3358" s="54" t="str">
        <x:f>IF(ISNUMBER(V3358),V3358/(1-W3358),"")</x:f>
      </x:c>
      <x:c r="Y3358" s="55" t="str">
        <x:f>IF(ISNUMBER(X3358),ROUNDUP(X3358,0),"")</x:f>
      </x:c>
      <x:c r="Z3358" t="str">
        <x:f>IF(ISNUMBER(T3358),"Cost captured","Awaiting trade cost")</x:f>
        <x:v>Awaiting trade cost</x:v>
      </x:c>
      <x:c r="AB3358" s="36" t="str">
        <x:f>IF(ISNUMBER(Y3358),ROUND(Y3358*0.9,2),"")</x:f>
      </x:c>
      <x:c r="AC3358" s="36" t="str">
        <x:f>IF(ISNUMBER(AB3358),ROUND(AB3358-(AB3358*0.015+0.2)-V3358,2),"")</x:f>
      </x:c>
      <x:c r="AD3358" s="36" t="str">
        <x:f>IF(ISNUMBER(Y3358),ROUND(Y3358*0.8,2),"")</x:f>
      </x:c>
      <x:c r="AE3358" s="36" t="str">
        <x:f>IF(ISNUMBER(AD3358),ROUND(AD3358*0.015+0.2,2),"")</x:f>
      </x:c>
      <x:c r="AF3358" s="36" t="str">
        <x:f>IF(ISNUMBER(AD3358),ROUND(AD3358-AE3358-V3358,2),"")</x:f>
      </x:c>
      <x:c r="AG3358" t="str">
        <x:f>IF(NOT(ISNUMBER(T3358)),"PENDING",IF(AF3358&gt;0,"PASS","FAIL"))</x:f>
        <x:v>PENDING</x:v>
      </x:c>
      <x:c r="AH3358" t="str">
        <x:f>IF(NOT(ISNUMBER(T3358)),"Needs supplier cost",IF(K3358&lt;&gt;"In stock","Supplier unavailable",IF(AG3358&lt;&gt;"PASS","BLOCK - GT loss risk","Commercially protected")))</x:f>
        <x:v>Needs supplier cost</x:v>
      </x:c>
      <x:c r="AI3358" t="str">
        <x:v>2026-09-10 Active Sports trade capture</x:v>
      </x:c>
      <x:c r="AJ3358" t="str">
        <x:v>Management-only economics. Stripe stress test uses 1.5% + £0.20 standard UK online-card fee; pallet/mix-and-match pricing ignored.</x:v>
      </x:c>
    </x:row>
    <x:row r="3359">
      <x:c r="A3359" t="str">
        <x:v>Active Sports Nutrition</x:v>
      </x:c>
      <x:c r="B3359" t="str">
        <x:v>C4</x:v>
      </x:c>
      <x:c r="C3359" t="str">
        <x:v>Energy</x:v>
      </x:c>
      <x:c r="D3359" t="str">
        <x:v>Food &amp; Drinks</x:v>
      </x:c>
      <x:c r="E3359" t="str">
        <x:v>Energy Drinks</x:v>
      </x:c>
      <x:c r="F3359" t="str"/>
      <x:c r="G3359" t="str">
        <x:v>12 x 500ml cans</x:v>
      </x:c>
      <x:c r="H3359" t="str">
        <x:v>Pineapple Head</x:v>
      </x:c>
      <x:c r="I3359" t="str">
        <x:v>12</x:v>
      </x:c>
      <x:c r="J3359" t="str">
        <x:v>Case</x:v>
      </x:c>
      <x:c r="K3359" t="str">
        <x:v>In stock</x:v>
      </x:c>
      <x:c r="L3359" t="str">
        <x:v>2026-09-08</x:v>
      </x:c>
      <x:c r="M3359" t="str"/>
      <x:c r="N3359" t="str"/>
      <x:c r="O3359" t="str">
        <x:v>https://www.activesportstrade.co.uk/Ready-to-Drink-Energy</x:v>
      </x:c>
      <x:c r="P3359" t="str">
        <x:v>September special-offer / pallet promo wording stripped; exact current core flavours.</x:v>
      </x:c>
      <x:c r="Q3359" t="str"/>
      <x:c r="R3359" t="str"/>
      <x:c r="S3359" t="str">
        <x:v>Pending genuine supplier/brand image</x:v>
      </x:c>
      <x:c r="T3359" s="54"/>
      <x:c r="U3359" s="47" t="n">
        <x:v>0.2</x:v>
      </x:c>
      <x:c r="V3359" s="54" t="str">
        <x:f>IF(ISNUMBER(T3359),T3359*(1+U3359),"")</x:f>
      </x:c>
      <x:c r="W3359" s="47" t="n">
        <x:v>0.3</x:v>
      </x:c>
      <x:c r="X3359" s="54" t="str">
        <x:f>IF(ISNUMBER(V3359),V3359/(1-W3359),"")</x:f>
      </x:c>
      <x:c r="Y3359" s="55" t="str">
        <x:f>IF(ISNUMBER(X3359),ROUNDUP(X3359,0),"")</x:f>
      </x:c>
      <x:c r="Z3359" t="str">
        <x:f>IF(ISNUMBER(T3359),"Cost captured","Awaiting trade cost")</x:f>
        <x:v>Awaiting trade cost</x:v>
      </x:c>
      <x:c r="AB3359" s="36" t="str">
        <x:f>IF(ISNUMBER(Y3359),ROUND(Y3359*0.9,2),"")</x:f>
      </x:c>
      <x:c r="AC3359" s="36" t="str">
        <x:f>IF(ISNUMBER(AB3359),ROUND(AB3359-(AB3359*0.015+0.2)-V3359,2),"")</x:f>
      </x:c>
      <x:c r="AD3359" s="36" t="str">
        <x:f>IF(ISNUMBER(Y3359),ROUND(Y3359*0.8,2),"")</x:f>
      </x:c>
      <x:c r="AE3359" s="36" t="str">
        <x:f>IF(ISNUMBER(AD3359),ROUND(AD3359*0.015+0.2,2),"")</x:f>
      </x:c>
      <x:c r="AF3359" s="36" t="str">
        <x:f>IF(ISNUMBER(AD3359),ROUND(AD3359-AE3359-V3359,2),"")</x:f>
      </x:c>
      <x:c r="AG3359" t="str">
        <x:f>IF(NOT(ISNUMBER(T3359)),"PENDING",IF(AF3359&gt;0,"PASS","FAIL"))</x:f>
        <x:v>PENDING</x:v>
      </x:c>
      <x:c r="AH3359" t="str">
        <x:f>IF(NOT(ISNUMBER(T3359)),"Needs supplier cost",IF(K3359&lt;&gt;"In stock","Supplier unavailable",IF(AG3359&lt;&gt;"PASS","BLOCK - GT loss risk","Commercially protected")))</x:f>
        <x:v>Needs supplier cost</x:v>
      </x:c>
      <x:c r="AI3359" t="str">
        <x:v>2026-09-10 Active Sports trade capture</x:v>
      </x:c>
      <x:c r="AJ3359" t="str">
        <x:v>Management-only economics. Stripe stress test uses 1.5% + £0.20 standard UK online-card fee; pallet/mix-and-match pricing ignored.</x:v>
      </x:c>
    </x:row>
    <x:row r="3360">
      <x:c r="A3360" t="str">
        <x:v>Active Sports Nutrition</x:v>
      </x:c>
      <x:c r="B3360" t="str">
        <x:v>C4</x:v>
      </x:c>
      <x:c r="C3360" t="str">
        <x:v>Energy</x:v>
      </x:c>
      <x:c r="D3360" t="str">
        <x:v>Food &amp; Drinks</x:v>
      </x:c>
      <x:c r="E3360" t="str">
        <x:v>Energy Drinks</x:v>
      </x:c>
      <x:c r="F3360" t="str"/>
      <x:c r="G3360" t="str">
        <x:v>12 x 500ml cans</x:v>
      </x:c>
      <x:c r="H3360" t="str">
        <x:v>Twisted Limeade</x:v>
      </x:c>
      <x:c r="I3360" t="str">
        <x:v>12</x:v>
      </x:c>
      <x:c r="J3360" t="str">
        <x:v>Case</x:v>
      </x:c>
      <x:c r="K3360" t="str">
        <x:v>In stock</x:v>
      </x:c>
      <x:c r="L3360" t="str">
        <x:v>2026-09-08</x:v>
      </x:c>
      <x:c r="M3360" t="str"/>
      <x:c r="N3360" t="str"/>
      <x:c r="O3360" t="str">
        <x:v>https://www.activesportstrade.co.uk/Ready-to-Drink-Energy</x:v>
      </x:c>
      <x:c r="P3360" t="str">
        <x:v>September special-offer / pallet promo wording stripped; exact current core flavours.</x:v>
      </x:c>
      <x:c r="Q3360" t="str"/>
      <x:c r="R3360" t="str"/>
      <x:c r="S3360" t="str">
        <x:v>Pending genuine supplier/brand image</x:v>
      </x:c>
      <x:c r="T3360" s="54"/>
      <x:c r="U3360" s="47" t="n">
        <x:v>0.2</x:v>
      </x:c>
      <x:c r="V3360" s="54" t="str">
        <x:f>IF(ISNUMBER(T3360),T3360*(1+U3360),"")</x:f>
      </x:c>
      <x:c r="W3360" s="47" t="n">
        <x:v>0.3</x:v>
      </x:c>
      <x:c r="X3360" s="54" t="str">
        <x:f>IF(ISNUMBER(V3360),V3360/(1-W3360),"")</x:f>
      </x:c>
      <x:c r="Y3360" s="55" t="str">
        <x:f>IF(ISNUMBER(X3360),ROUNDUP(X3360,0),"")</x:f>
      </x:c>
      <x:c r="Z3360" t="str">
        <x:f>IF(ISNUMBER(T3360),"Cost captured","Awaiting trade cost")</x:f>
        <x:v>Awaiting trade cost</x:v>
      </x:c>
      <x:c r="AB3360" s="36" t="str">
        <x:f>IF(ISNUMBER(Y3360),ROUND(Y3360*0.9,2),"")</x:f>
      </x:c>
      <x:c r="AC3360" s="36" t="str">
        <x:f>IF(ISNUMBER(AB3360),ROUND(AB3360-(AB3360*0.015+0.2)-V3360,2),"")</x:f>
      </x:c>
      <x:c r="AD3360" s="36" t="str">
        <x:f>IF(ISNUMBER(Y3360),ROUND(Y3360*0.8,2),"")</x:f>
      </x:c>
      <x:c r="AE3360" s="36" t="str">
        <x:f>IF(ISNUMBER(AD3360),ROUND(AD3360*0.015+0.2,2),"")</x:f>
      </x:c>
      <x:c r="AF3360" s="36" t="str">
        <x:f>IF(ISNUMBER(AD3360),ROUND(AD3360-AE3360-V3360,2),"")</x:f>
      </x:c>
      <x:c r="AG3360" t="str">
        <x:f>IF(NOT(ISNUMBER(T3360)),"PENDING",IF(AF3360&gt;0,"PASS","FAIL"))</x:f>
        <x:v>PENDING</x:v>
      </x:c>
      <x:c r="AH3360" t="str">
        <x:f>IF(NOT(ISNUMBER(T3360)),"Needs supplier cost",IF(K3360&lt;&gt;"In stock","Supplier unavailable",IF(AG3360&lt;&gt;"PASS","BLOCK - GT loss risk","Commercially protected")))</x:f>
        <x:v>Needs supplier cost</x:v>
      </x:c>
      <x:c r="AI3360" t="str">
        <x:v>2026-09-10 Active Sports trade capture</x:v>
      </x:c>
      <x:c r="AJ3360" t="str">
        <x:v>Management-only economics. Stripe stress test uses 1.5% + £0.20 standard UK online-card fee; pallet/mix-and-match pricing ignored.</x:v>
      </x:c>
    </x:row>
    <x:row r="3361">
      <x:c r="A3361" t="str">
        <x:v>Active Sports Nutrition</x:v>
      </x:c>
      <x:c r="B3361" t="str">
        <x:v>C4</x:v>
      </x:c>
      <x:c r="C3361" t="str">
        <x:v>Smart Energy</x:v>
      </x:c>
      <x:c r="D3361" t="str">
        <x:v>Food &amp; Drinks</x:v>
      </x:c>
      <x:c r="E3361" t="str">
        <x:v>Energy Drinks</x:v>
      </x:c>
      <x:c r="F3361" t="str"/>
      <x:c r="G3361" t="str">
        <x:v>12 x 330ml cans</x:v>
      </x:c>
      <x:c r="H3361" t="str">
        <x:v>Mango</x:v>
      </x:c>
      <x:c r="I3361" t="str">
        <x:v>12</x:v>
      </x:c>
      <x:c r="J3361" t="str">
        <x:v>Case</x:v>
      </x:c>
      <x:c r="K3361" t="str">
        <x:v>In stock</x:v>
      </x:c>
      <x:c r="L3361" t="str">
        <x:v>2026-09-08</x:v>
      </x:c>
      <x:c r="M3361" t="str"/>
      <x:c r="N3361" t="str"/>
      <x:c r="O3361" t="str">
        <x:v>https://www.activesportstrade.co.uk/Ready-to-Drink-Energy</x:v>
      </x:c>
      <x:c r="P3361" t="str">
        <x:v>September special-offer / pallet promo wording stripped.</x:v>
      </x:c>
      <x:c r="Q3361" t="str"/>
      <x:c r="R3361" t="str"/>
      <x:c r="S3361" t="str">
        <x:v>Pending genuine supplier/brand image</x:v>
      </x:c>
      <x:c r="T3361" s="54"/>
      <x:c r="U3361" s="47" t="n">
        <x:v>0.2</x:v>
      </x:c>
      <x:c r="V3361" s="54" t="str">
        <x:f>IF(ISNUMBER(T3361),T3361*(1+U3361),"")</x:f>
      </x:c>
      <x:c r="W3361" s="47" t="n">
        <x:v>0.3</x:v>
      </x:c>
      <x:c r="X3361" s="54" t="str">
        <x:f>IF(ISNUMBER(V3361),V3361/(1-W3361),"")</x:f>
      </x:c>
      <x:c r="Y3361" s="55" t="str">
        <x:f>IF(ISNUMBER(X3361),ROUNDUP(X3361,0),"")</x:f>
      </x:c>
      <x:c r="Z3361" t="str">
        <x:f>IF(ISNUMBER(T3361),"Cost captured","Awaiting trade cost")</x:f>
        <x:v>Awaiting trade cost</x:v>
      </x:c>
      <x:c r="AB3361" s="36" t="str">
        <x:f>IF(ISNUMBER(Y3361),ROUND(Y3361*0.9,2),"")</x:f>
      </x:c>
      <x:c r="AC3361" s="36" t="str">
        <x:f>IF(ISNUMBER(AB3361),ROUND(AB3361-(AB3361*0.015+0.2)-V3361,2),"")</x:f>
      </x:c>
      <x:c r="AD3361" s="36" t="str">
        <x:f>IF(ISNUMBER(Y3361),ROUND(Y3361*0.8,2),"")</x:f>
      </x:c>
      <x:c r="AE3361" s="36" t="str">
        <x:f>IF(ISNUMBER(AD3361),ROUND(AD3361*0.015+0.2,2),"")</x:f>
      </x:c>
      <x:c r="AF3361" s="36" t="str">
        <x:f>IF(ISNUMBER(AD3361),ROUND(AD3361-AE3361-V3361,2),"")</x:f>
      </x:c>
      <x:c r="AG3361" t="str">
        <x:f>IF(NOT(ISNUMBER(T3361)),"PENDING",IF(AF3361&gt;0,"PASS","FAIL"))</x:f>
        <x:v>PENDING</x:v>
      </x:c>
      <x:c r="AH3361" t="str">
        <x:f>IF(NOT(ISNUMBER(T3361)),"Needs supplier cost",IF(K3361&lt;&gt;"In stock","Supplier unavailable",IF(AG3361&lt;&gt;"PASS","BLOCK - GT loss risk","Commercially protected")))</x:f>
        <x:v>Needs supplier cost</x:v>
      </x:c>
      <x:c r="AI3361" t="str">
        <x:v>2026-09-10 Active Sports trade capture</x:v>
      </x:c>
      <x:c r="AJ3361" t="str">
        <x:v>Management-only economics. Stripe stress test uses 1.5% + £0.20 standard UK online-card fee; pallet/mix-and-match pricing ignored.</x:v>
      </x:c>
    </x:row>
    <x:row r="3362">
      <x:c r="A3362" t="str">
        <x:v>Active Sports Nutrition</x:v>
      </x:c>
      <x:c r="B3362" t="str">
        <x:v>C4</x:v>
      </x:c>
      <x:c r="C3362" t="str">
        <x:v>Smart Energy</x:v>
      </x:c>
      <x:c r="D3362" t="str">
        <x:v>Food &amp; Drinks</x:v>
      </x:c>
      <x:c r="E3362" t="str">
        <x:v>Energy Drinks</x:v>
      </x:c>
      <x:c r="F3362" t="str"/>
      <x:c r="G3362" t="str">
        <x:v>12 x 330ml cans</x:v>
      </x:c>
      <x:c r="H3362" t="str">
        <x:v>Red Berry Yuzu</x:v>
      </x:c>
      <x:c r="I3362" t="str">
        <x:v>12</x:v>
      </x:c>
      <x:c r="J3362" t="str">
        <x:v>Case</x:v>
      </x:c>
      <x:c r="K3362" t="str">
        <x:v>In stock</x:v>
      </x:c>
      <x:c r="L3362" t="str">
        <x:v>2026-09-08</x:v>
      </x:c>
      <x:c r="M3362" t="str"/>
      <x:c r="N3362" t="str"/>
      <x:c r="O3362" t="str">
        <x:v>https://www.activesportstrade.co.uk/Ready-to-Drink-Energy</x:v>
      </x:c>
      <x:c r="P3362" t="str">
        <x:v>September special-offer / pallet promo wording stripped.</x:v>
      </x:c>
      <x:c r="Q3362" t="str"/>
      <x:c r="R3362" t="str"/>
      <x:c r="S3362" t="str">
        <x:v>Pending genuine supplier/brand image</x:v>
      </x:c>
      <x:c r="T3362" s="54"/>
      <x:c r="U3362" s="47" t="n">
        <x:v>0.2</x:v>
      </x:c>
      <x:c r="V3362" s="54" t="str">
        <x:f>IF(ISNUMBER(T3362),T3362*(1+U3362),"")</x:f>
      </x:c>
      <x:c r="W3362" s="47" t="n">
        <x:v>0.3</x:v>
      </x:c>
      <x:c r="X3362" s="54" t="str">
        <x:f>IF(ISNUMBER(V3362),V3362/(1-W3362),"")</x:f>
      </x:c>
      <x:c r="Y3362" s="55" t="str">
        <x:f>IF(ISNUMBER(X3362),ROUNDUP(X3362,0),"")</x:f>
      </x:c>
      <x:c r="Z3362" t="str">
        <x:f>IF(ISNUMBER(T3362),"Cost captured","Awaiting trade cost")</x:f>
        <x:v>Awaiting trade cost</x:v>
      </x:c>
      <x:c r="AB3362" s="36" t="str">
        <x:f>IF(ISNUMBER(Y3362),ROUND(Y3362*0.9,2),"")</x:f>
      </x:c>
      <x:c r="AC3362" s="36" t="str">
        <x:f>IF(ISNUMBER(AB3362),ROUND(AB3362-(AB3362*0.015+0.2)-V3362,2),"")</x:f>
      </x:c>
      <x:c r="AD3362" s="36" t="str">
        <x:f>IF(ISNUMBER(Y3362),ROUND(Y3362*0.8,2),"")</x:f>
      </x:c>
      <x:c r="AE3362" s="36" t="str">
        <x:f>IF(ISNUMBER(AD3362),ROUND(AD3362*0.015+0.2,2),"")</x:f>
      </x:c>
      <x:c r="AF3362" s="36" t="str">
        <x:f>IF(ISNUMBER(AD3362),ROUND(AD3362-AE3362-V3362,2),"")</x:f>
      </x:c>
      <x:c r="AG3362" t="str">
        <x:f>IF(NOT(ISNUMBER(T3362)),"PENDING",IF(AF3362&gt;0,"PASS","FAIL"))</x:f>
        <x:v>PENDING</x:v>
      </x:c>
      <x:c r="AH3362" t="str">
        <x:f>IF(NOT(ISNUMBER(T3362)),"Needs supplier cost",IF(K3362&lt;&gt;"In stock","Supplier unavailable",IF(AG3362&lt;&gt;"PASS","BLOCK - GT loss risk","Commercially protected")))</x:f>
        <x:v>Needs supplier cost</x:v>
      </x:c>
      <x:c r="AI3362" t="str">
        <x:v>2026-09-10 Active Sports trade capture</x:v>
      </x:c>
      <x:c r="AJ3362" t="str">
        <x:v>Management-only economics. Stripe stress test uses 1.5% + £0.20 standard UK online-card fee; pallet/mix-and-match pricing ignored.</x:v>
      </x:c>
    </x:row>
    <x:row r="3363">
      <x:c r="A3363" t="str">
        <x:v>Active Sports Nutrition</x:v>
      </x:c>
      <x:c r="B3363" t="str">
        <x:v>C4</x:v>
      </x:c>
      <x:c r="C3363" t="str">
        <x:v>Smart Energy</x:v>
      </x:c>
      <x:c r="D3363" t="str">
        <x:v>Food &amp; Drinks</x:v>
      </x:c>
      <x:c r="E3363" t="str">
        <x:v>Energy Drinks</x:v>
      </x:c>
      <x:c r="F3363" t="str"/>
      <x:c r="G3363" t="str">
        <x:v>12 x 330ml cans</x:v>
      </x:c>
      <x:c r="H3363" t="str">
        <x:v>Watermelon Burst</x:v>
      </x:c>
      <x:c r="I3363" t="str">
        <x:v>12</x:v>
      </x:c>
      <x:c r="J3363" t="str">
        <x:v>Case</x:v>
      </x:c>
      <x:c r="K3363" t="str">
        <x:v>In stock</x:v>
      </x:c>
      <x:c r="L3363" t="str">
        <x:v>2026-09-08</x:v>
      </x:c>
      <x:c r="M3363" t="str"/>
      <x:c r="N3363" t="str"/>
      <x:c r="O3363" t="str">
        <x:v>https://www.activesportstrade.co.uk/Ready-to-Drink-Energy</x:v>
      </x:c>
      <x:c r="P3363" t="str">
        <x:v>September special-offer / pallet promo wording stripped.</x:v>
      </x:c>
      <x:c r="Q3363" t="str"/>
      <x:c r="R3363" t="str"/>
      <x:c r="S3363" t="str">
        <x:v>Pending genuine supplier/brand image</x:v>
      </x:c>
      <x:c r="T3363" s="54"/>
      <x:c r="U3363" s="47" t="n">
        <x:v>0.2</x:v>
      </x:c>
      <x:c r="V3363" s="54" t="str">
        <x:f>IF(ISNUMBER(T3363),T3363*(1+U3363),"")</x:f>
      </x:c>
      <x:c r="W3363" s="47" t="n">
        <x:v>0.3</x:v>
      </x:c>
      <x:c r="X3363" s="54" t="str">
        <x:f>IF(ISNUMBER(V3363),V3363/(1-W3363),"")</x:f>
      </x:c>
      <x:c r="Y3363" s="55" t="str">
        <x:f>IF(ISNUMBER(X3363),ROUNDUP(X3363,0),"")</x:f>
      </x:c>
      <x:c r="Z3363" t="str">
        <x:f>IF(ISNUMBER(T3363),"Cost captured","Awaiting trade cost")</x:f>
        <x:v>Awaiting trade cost</x:v>
      </x:c>
      <x:c r="AB3363" s="36" t="str">
        <x:f>IF(ISNUMBER(Y3363),ROUND(Y3363*0.9,2),"")</x:f>
      </x:c>
      <x:c r="AC3363" s="36" t="str">
        <x:f>IF(ISNUMBER(AB3363),ROUND(AB3363-(AB3363*0.015+0.2)-V3363,2),"")</x:f>
      </x:c>
      <x:c r="AD3363" s="36" t="str">
        <x:f>IF(ISNUMBER(Y3363),ROUND(Y3363*0.8,2),"")</x:f>
      </x:c>
      <x:c r="AE3363" s="36" t="str">
        <x:f>IF(ISNUMBER(AD3363),ROUND(AD3363*0.015+0.2,2),"")</x:f>
      </x:c>
      <x:c r="AF3363" s="36" t="str">
        <x:f>IF(ISNUMBER(AD3363),ROUND(AD3363-AE3363-V3363,2),"")</x:f>
      </x:c>
      <x:c r="AG3363" t="str">
        <x:f>IF(NOT(ISNUMBER(T3363)),"PENDING",IF(AF3363&gt;0,"PASS","FAIL"))</x:f>
        <x:v>PENDING</x:v>
      </x:c>
      <x:c r="AH3363" t="str">
        <x:f>IF(NOT(ISNUMBER(T3363)),"Needs supplier cost",IF(K3363&lt;&gt;"In stock","Supplier unavailable",IF(AG3363&lt;&gt;"PASS","BLOCK - GT loss risk","Commercially protected")))</x:f>
        <x:v>Needs supplier cost</x:v>
      </x:c>
      <x:c r="AI3363" t="str">
        <x:v>2026-09-10 Active Sports trade capture</x:v>
      </x:c>
      <x:c r="AJ3363" t="str">
        <x:v>Management-only economics. Stripe stress test uses 1.5% + £0.20 standard UK online-card fee; pallet/mix-and-match pricing ignored.</x:v>
      </x:c>
    </x:row>
    <x:row r="3364">
      <x:c r="A3364" t="str">
        <x:v>Active Sports Nutrition</x:v>
      </x:c>
      <x:c r="B3364" t="str">
        <x:v>Per4m Nutrition</x:v>
      </x:c>
      <x:c r="C3364" t="str">
        <x:v>EAA Xtra</x:v>
      </x:c>
      <x:c r="D3364" t="str">
        <x:v>Supplements</x:v>
      </x:c>
      <x:c r="E3364" t="str">
        <x:v>EAA / Amino Acids</x:v>
      </x:c>
      <x:c r="F3364" t="str"/>
      <x:c r="G3364" t="str">
        <x:v>420g</x:v>
      </x:c>
      <x:c r="H3364" t="str">
        <x:v>Blackberry</x:v>
      </x:c>
      <x:c r="I3364" t="str"/>
      <x:c r="J3364" t="str">
        <x:v>Unit</x:v>
      </x:c>
      <x:c r="K3364" t="str">
        <x:v>In stock</x:v>
      </x:c>
      <x:c r="L3364" t="str">
        <x:v>2026-09-08</x:v>
      </x:c>
      <x:c r="M3364" t="str"/>
      <x:c r="N3364" t="str"/>
      <x:c r="O3364" t="str">
        <x:v>https://www.activesportstrade.co.uk/BCAAS</x:v>
      </x:c>
      <x:c r="P3364" t="str">
        <x:v>Supplier 'NEW' suffixes stripped. Former Amino Xtra renamed EAA Xtra; current label used.</x:v>
      </x:c>
      <x:c r="Q3364" t="str"/>
      <x:c r="R3364" t="str"/>
      <x:c r="S3364" t="str">
        <x:v>Pending genuine supplier/brand image</x:v>
      </x:c>
      <x:c r="T3364" s="54" t="n">
        <x:v>14.49</x:v>
      </x:c>
      <x:c r="U3364" s="47" t="n">
        <x:v>0.2</x:v>
      </x:c>
      <x:c r="V3364" s="54" t="n">
        <x:f>IF(ISNUMBER(T3364),T3364*(1+U3364),"")</x:f>
        <x:v>17.387999999999998</x:v>
      </x:c>
      <x:c r="W3364" s="47" t="n">
        <x:v>0.3</x:v>
      </x:c>
      <x:c r="X3364" s="54" t="n">
        <x:f>IF(ISNUMBER(V3364),V3364/(1-W3364),"")</x:f>
        <x:v>24.84</x:v>
      </x:c>
      <x:c r="Y3364" s="55" t="n">
        <x:f>IF(ISNUMBER(X3364),ROUNDUP(X3364,0),"")</x:f>
        <x:v>25</x:v>
      </x:c>
      <x:c r="Z3364" t="str">
        <x:v>Source match pending</x:v>
      </x:c>
      <x:c r="AA3364" t="str">
        <x:v>screencapture-www-activesportstrade-co-uk-per4m-nutrition-trade-2026-09-10-09_06_42.pdf / page-03</x:v>
      </x:c>
      <x:c r="AB3364" s="36" t="n">
        <x:f>IF(ISNUMBER(Y3364),ROUND(Y3364*0.9,2),"")</x:f>
        <x:v>22.5</x:v>
      </x:c>
      <x:c r="AC3364" s="36" t="n">
        <x:f>IF(ISNUMBER(AB3364),ROUND(AB3364-(AB3364*0.015+0.2)-V3364,2),"")</x:f>
        <x:v>4.57</x:v>
      </x:c>
      <x:c r="AD3364" s="36" t="n">
        <x:f>IF(ISNUMBER(Y3364),ROUND(Y3364*0.8,2),"")</x:f>
        <x:v>20</x:v>
      </x:c>
      <x:c r="AE3364" s="36" t="n">
        <x:f>IF(ISNUMBER(AD3364),ROUND(AD3364*0.015+0.2,2),"")</x:f>
        <x:v>0.5</x:v>
      </x:c>
      <x:c r="AF3364" s="36" t="n">
        <x:f>IF(ISNUMBER(AD3364),ROUND(AD3364-AE3364-V3364,2),"")</x:f>
        <x:v>2.11</x:v>
      </x:c>
      <x:c r="AG3364" t="str">
        <x:f>IF(NOT(ISNUMBER(T3364)),"PENDING",IF(AF3364&gt;0,"PASS","FAIL"))</x:f>
        <x:v>PASS</x:v>
      </x:c>
      <x:c r="AH3364" t="str">
        <x:f>IF(NOT(ISNUMBER(T3364)),"Needs supplier cost",IF(K3364&lt;&gt;"In stock","Supplier unavailable",IF(AG3364&lt;&gt;"PASS","BLOCK - GT loss risk","Commercially protected")))</x:f>
        <x:v>Commercially protected</x:v>
      </x:c>
      <x:c r="AI3364" t="str">
        <x:v>2026-09-10 Active Sports trade capture</x:v>
      </x:c>
      <x:c r="AJ3364" t="str">
        <x:v>Management-only economics. Stripe stress test uses 1.5% + £0.20 standard UK online-card fee; pallet/mix-and-match pricing ignored.</x:v>
      </x:c>
    </x:row>
    <x:row r="3365">
      <x:c r="A3365" t="str">
        <x:v>Active Sports Nutrition</x:v>
      </x:c>
      <x:c r="B3365" t="str">
        <x:v>Per4m Nutrition</x:v>
      </x:c>
      <x:c r="C3365" t="str">
        <x:v>EAA Xtra</x:v>
      </x:c>
      <x:c r="D3365" t="str">
        <x:v>Supplements</x:v>
      </x:c>
      <x:c r="E3365" t="str">
        <x:v>EAA / Amino Acids</x:v>
      </x:c>
      <x:c r="F3365" t="str"/>
      <x:c r="G3365" t="str">
        <x:v>420g</x:v>
      </x:c>
      <x:c r="H3365" t="str">
        <x:v>Blue Raspberry</x:v>
      </x:c>
      <x:c r="I3365" t="str"/>
      <x:c r="J3365" t="str">
        <x:v>Unit</x:v>
      </x:c>
      <x:c r="K3365" t="str">
        <x:v>In stock</x:v>
      </x:c>
      <x:c r="L3365" t="str">
        <x:v>2026-09-08</x:v>
      </x:c>
      <x:c r="M3365" t="str"/>
      <x:c r="N3365" t="str"/>
      <x:c r="O3365" t="str">
        <x:v>https://www.activesportstrade.co.uk/BCAAS</x:v>
      </x:c>
      <x:c r="P3365" t="str">
        <x:v>Supplier 'NEW' suffixes stripped. Former Amino Xtra renamed EAA Xtra; current label used.</x:v>
      </x:c>
      <x:c r="Q3365" t="str"/>
      <x:c r="R3365" t="str"/>
      <x:c r="S3365" t="str">
        <x:v>Pending genuine supplier/brand image</x:v>
      </x:c>
      <x:c r="T3365" s="54" t="n">
        <x:v>14.49</x:v>
      </x:c>
      <x:c r="U3365" s="47" t="n">
        <x:v>0.2</x:v>
      </x:c>
      <x:c r="V3365" s="54" t="n">
        <x:f>IF(ISNUMBER(T3365),T3365*(1+U3365),"")</x:f>
        <x:v>17.387999999999998</x:v>
      </x:c>
      <x:c r="W3365" s="47" t="n">
        <x:v>0.3</x:v>
      </x:c>
      <x:c r="X3365" s="54" t="n">
        <x:f>IF(ISNUMBER(V3365),V3365/(1-W3365),"")</x:f>
        <x:v>24.84</x:v>
      </x:c>
      <x:c r="Y3365" s="55" t="n">
        <x:f>IF(ISNUMBER(X3365),ROUNDUP(X3365,0),"")</x:f>
        <x:v>25</x:v>
      </x:c>
      <x:c r="Z3365" t="str">
        <x:v>Source match pending</x:v>
      </x:c>
      <x:c r="AA3365" t="str">
        <x:v>screencapture-www-activesportstrade-co-uk-per4m-nutrition-trade-2026-09-10-09_06_42.pdf / page-03</x:v>
      </x:c>
      <x:c r="AB3365" s="36" t="n">
        <x:f>IF(ISNUMBER(Y3365),ROUND(Y3365*0.9,2),"")</x:f>
        <x:v>22.5</x:v>
      </x:c>
      <x:c r="AC3365" s="36" t="n">
        <x:f>IF(ISNUMBER(AB3365),ROUND(AB3365-(AB3365*0.015+0.2)-V3365,2),"")</x:f>
        <x:v>4.57</x:v>
      </x:c>
      <x:c r="AD3365" s="36" t="n">
        <x:f>IF(ISNUMBER(Y3365),ROUND(Y3365*0.8,2),"")</x:f>
        <x:v>20</x:v>
      </x:c>
      <x:c r="AE3365" s="36" t="n">
        <x:f>IF(ISNUMBER(AD3365),ROUND(AD3365*0.015+0.2,2),"")</x:f>
        <x:v>0.5</x:v>
      </x:c>
      <x:c r="AF3365" s="36" t="n">
        <x:f>IF(ISNUMBER(AD3365),ROUND(AD3365-AE3365-V3365,2),"")</x:f>
        <x:v>2.11</x:v>
      </x:c>
      <x:c r="AG3365" t="str">
        <x:f>IF(NOT(ISNUMBER(T3365)),"PENDING",IF(AF3365&gt;0,"PASS","FAIL"))</x:f>
        <x:v>PASS</x:v>
      </x:c>
      <x:c r="AH3365" t="str">
        <x:f>IF(NOT(ISNUMBER(T3365)),"Needs supplier cost",IF(K3365&lt;&gt;"In stock","Supplier unavailable",IF(AG3365&lt;&gt;"PASS","BLOCK - GT loss risk","Commercially protected")))</x:f>
        <x:v>Commercially protected</x:v>
      </x:c>
      <x:c r="AI3365" t="str">
        <x:v>2026-09-10 Active Sports trade capture</x:v>
      </x:c>
      <x:c r="AJ3365" t="str">
        <x:v>Management-only economics. Stripe stress test uses 1.5% + £0.20 standard UK online-card fee; pallet/mix-and-match pricing ignored.</x:v>
      </x:c>
    </x:row>
    <x:row r="3366">
      <x:c r="A3366" t="str">
        <x:v>Active Sports Nutrition</x:v>
      </x:c>
      <x:c r="B3366" t="str">
        <x:v>Per4m Nutrition</x:v>
      </x:c>
      <x:c r="C3366" t="str">
        <x:v>EAA Xtra</x:v>
      </x:c>
      <x:c r="D3366" t="str">
        <x:v>Supplements</x:v>
      </x:c>
      <x:c r="E3366" t="str">
        <x:v>EAA / Amino Acids</x:v>
      </x:c>
      <x:c r="F3366" t="str"/>
      <x:c r="G3366" t="str">
        <x:v>420g</x:v>
      </x:c>
      <x:c r="H3366" t="str">
        <x:v>Cherry Fizz</x:v>
      </x:c>
      <x:c r="I3366" t="str"/>
      <x:c r="J3366" t="str">
        <x:v>Unit</x:v>
      </x:c>
      <x:c r="K3366" t="str">
        <x:v>In stock</x:v>
      </x:c>
      <x:c r="L3366" t="str">
        <x:v>2026-09-08</x:v>
      </x:c>
      <x:c r="M3366" t="str"/>
      <x:c r="N3366" t="str"/>
      <x:c r="O3366" t="str">
        <x:v>https://www.activesportstrade.co.uk/BCAAS</x:v>
      </x:c>
      <x:c r="P3366" t="str">
        <x:v>Supplier 'NEW' suffixes stripped. Former Amino Xtra renamed EAA Xtra; current label used.</x:v>
      </x:c>
      <x:c r="Q3366" t="str"/>
      <x:c r="R3366" t="str"/>
      <x:c r="S3366" t="str">
        <x:v>Pending genuine supplier/brand image</x:v>
      </x:c>
      <x:c r="T3366" s="54" t="n">
        <x:v>14.49</x:v>
      </x:c>
      <x:c r="U3366" s="47" t="n">
        <x:v>0.2</x:v>
      </x:c>
      <x:c r="V3366" s="54" t="n">
        <x:f>IF(ISNUMBER(T3366),T3366*(1+U3366),"")</x:f>
        <x:v>17.387999999999998</x:v>
      </x:c>
      <x:c r="W3366" s="47" t="n">
        <x:v>0.3</x:v>
      </x:c>
      <x:c r="X3366" s="54" t="n">
        <x:f>IF(ISNUMBER(V3366),V3366/(1-W3366),"")</x:f>
        <x:v>24.84</x:v>
      </x:c>
      <x:c r="Y3366" s="55" t="n">
        <x:f>IF(ISNUMBER(X3366),ROUNDUP(X3366,0),"")</x:f>
        <x:v>25</x:v>
      </x:c>
      <x:c r="Z3366" t="str">
        <x:v>Source match pending</x:v>
      </x:c>
      <x:c r="AA3366" t="str">
        <x:v>screencapture-www-activesportstrade-co-uk-per4m-nutrition-trade-2026-09-10-09_06_42.pdf / page-03</x:v>
      </x:c>
      <x:c r="AB3366" s="36" t="n">
        <x:f>IF(ISNUMBER(Y3366),ROUND(Y3366*0.9,2),"")</x:f>
        <x:v>22.5</x:v>
      </x:c>
      <x:c r="AC3366" s="36" t="n">
        <x:f>IF(ISNUMBER(AB3366),ROUND(AB3366-(AB3366*0.015+0.2)-V3366,2),"")</x:f>
        <x:v>4.57</x:v>
      </x:c>
      <x:c r="AD3366" s="36" t="n">
        <x:f>IF(ISNUMBER(Y3366),ROUND(Y3366*0.8,2),"")</x:f>
        <x:v>20</x:v>
      </x:c>
      <x:c r="AE3366" s="36" t="n">
        <x:f>IF(ISNUMBER(AD3366),ROUND(AD3366*0.015+0.2,2),"")</x:f>
        <x:v>0.5</x:v>
      </x:c>
      <x:c r="AF3366" s="36" t="n">
        <x:f>IF(ISNUMBER(AD3366),ROUND(AD3366-AE3366-V3366,2),"")</x:f>
        <x:v>2.11</x:v>
      </x:c>
      <x:c r="AG3366" t="str">
        <x:f>IF(NOT(ISNUMBER(T3366)),"PENDING",IF(AF3366&gt;0,"PASS","FAIL"))</x:f>
        <x:v>PASS</x:v>
      </x:c>
      <x:c r="AH3366" t="str">
        <x:f>IF(NOT(ISNUMBER(T3366)),"Needs supplier cost",IF(K3366&lt;&gt;"In stock","Supplier unavailable",IF(AG3366&lt;&gt;"PASS","BLOCK - GT loss risk","Commercially protected")))</x:f>
        <x:v>Commercially protected</x:v>
      </x:c>
      <x:c r="AI3366" t="str">
        <x:v>2026-09-10 Active Sports trade capture</x:v>
      </x:c>
      <x:c r="AJ3366" t="str">
        <x:v>Management-only economics. Stripe stress test uses 1.5% + £0.20 standard UK online-card fee; pallet/mix-and-match pricing ignored.</x:v>
      </x:c>
    </x:row>
    <x:row r="3367">
      <x:c r="A3367" t="str">
        <x:v>Active Sports Nutrition</x:v>
      </x:c>
      <x:c r="B3367" t="str">
        <x:v>Per4m Nutrition</x:v>
      </x:c>
      <x:c r="C3367" t="str">
        <x:v>EAA Xtra</x:v>
      </x:c>
      <x:c r="D3367" t="str">
        <x:v>Supplements</x:v>
      </x:c>
      <x:c r="E3367" t="str">
        <x:v>EAA / Amino Acids</x:v>
      </x:c>
      <x:c r="F3367" t="str"/>
      <x:c r="G3367" t="str">
        <x:v>420g</x:v>
      </x:c>
      <x:c r="H3367" t="str">
        <x:v>Lemon Lime Squash</x:v>
      </x:c>
      <x:c r="I3367" t="str"/>
      <x:c r="J3367" t="str">
        <x:v>Unit</x:v>
      </x:c>
      <x:c r="K3367" t="str">
        <x:v>In stock</x:v>
      </x:c>
      <x:c r="L3367" t="str">
        <x:v>2026-09-08</x:v>
      </x:c>
      <x:c r="M3367" t="str"/>
      <x:c r="N3367" t="str"/>
      <x:c r="O3367" t="str">
        <x:v>https://www.activesportstrade.co.uk/BCAAS</x:v>
      </x:c>
      <x:c r="P3367" t="str">
        <x:v>Supplier 'NEW' suffixes stripped. Former Amino Xtra renamed EAA Xtra; current label used.</x:v>
      </x:c>
      <x:c r="Q3367" t="str"/>
      <x:c r="R3367" t="str"/>
      <x:c r="S3367" t="str">
        <x:v>Pending genuine supplier/brand image</x:v>
      </x:c>
      <x:c r="T3367" s="54" t="n">
        <x:v>14.49</x:v>
      </x:c>
      <x:c r="U3367" s="47" t="n">
        <x:v>0.2</x:v>
      </x:c>
      <x:c r="V3367" s="54" t="n">
        <x:f>IF(ISNUMBER(T3367),T3367*(1+U3367),"")</x:f>
        <x:v>17.387999999999998</x:v>
      </x:c>
      <x:c r="W3367" s="47" t="n">
        <x:v>0.3</x:v>
      </x:c>
      <x:c r="X3367" s="54" t="n">
        <x:f>IF(ISNUMBER(V3367),V3367/(1-W3367),"")</x:f>
        <x:v>24.84</x:v>
      </x:c>
      <x:c r="Y3367" s="55" t="n">
        <x:f>IF(ISNUMBER(X3367),ROUNDUP(X3367,0),"")</x:f>
        <x:v>25</x:v>
      </x:c>
      <x:c r="Z3367" t="str">
        <x:v>Source match pending</x:v>
      </x:c>
      <x:c r="AA3367" t="str">
        <x:v>screencapture-www-activesportstrade-co-uk-per4m-nutrition-trade-2026-09-10-09_06_42.pdf / page-03</x:v>
      </x:c>
      <x:c r="AB3367" s="36" t="n">
        <x:f>IF(ISNUMBER(Y3367),ROUND(Y3367*0.9,2),"")</x:f>
        <x:v>22.5</x:v>
      </x:c>
      <x:c r="AC3367" s="36" t="n">
        <x:f>IF(ISNUMBER(AB3367),ROUND(AB3367-(AB3367*0.015+0.2)-V3367,2),"")</x:f>
        <x:v>4.57</x:v>
      </x:c>
      <x:c r="AD3367" s="36" t="n">
        <x:f>IF(ISNUMBER(Y3367),ROUND(Y3367*0.8,2),"")</x:f>
        <x:v>20</x:v>
      </x:c>
      <x:c r="AE3367" s="36" t="n">
        <x:f>IF(ISNUMBER(AD3367),ROUND(AD3367*0.015+0.2,2),"")</x:f>
        <x:v>0.5</x:v>
      </x:c>
      <x:c r="AF3367" s="36" t="n">
        <x:f>IF(ISNUMBER(AD3367),ROUND(AD3367-AE3367-V3367,2),"")</x:f>
        <x:v>2.11</x:v>
      </x:c>
      <x:c r="AG3367" t="str">
        <x:f>IF(NOT(ISNUMBER(T3367)),"PENDING",IF(AF3367&gt;0,"PASS","FAIL"))</x:f>
        <x:v>PASS</x:v>
      </x:c>
      <x:c r="AH3367" t="str">
        <x:f>IF(NOT(ISNUMBER(T3367)),"Needs supplier cost",IF(K3367&lt;&gt;"In stock","Supplier unavailable",IF(AG3367&lt;&gt;"PASS","BLOCK - GT loss risk","Commercially protected")))</x:f>
        <x:v>Commercially protected</x:v>
      </x:c>
      <x:c r="AI3367" t="str">
        <x:v>2026-09-10 Active Sports trade capture</x:v>
      </x:c>
      <x:c r="AJ3367" t="str">
        <x:v>Management-only economics. Stripe stress test uses 1.5% + £0.20 standard UK online-card fee; pallet/mix-and-match pricing ignored.</x:v>
      </x:c>
    </x:row>
    <x:row r="3368">
      <x:c r="A3368" t="str">
        <x:v>Active Sports Nutrition</x:v>
      </x:c>
      <x:c r="B3368" t="str">
        <x:v>Per4m Nutrition</x:v>
      </x:c>
      <x:c r="C3368" t="str">
        <x:v>EAA Xtra</x:v>
      </x:c>
      <x:c r="D3368" t="str">
        <x:v>Supplements</x:v>
      </x:c>
      <x:c r="E3368" t="str">
        <x:v>EAA / Amino Acids</x:v>
      </x:c>
      <x:c r="F3368" t="str"/>
      <x:c r="G3368" t="str">
        <x:v>420g</x:v>
      </x:c>
      <x:c r="H3368" t="str">
        <x:v>Mango Margarita</x:v>
      </x:c>
      <x:c r="I3368" t="str"/>
      <x:c r="J3368" t="str">
        <x:v>Unit</x:v>
      </x:c>
      <x:c r="K3368" t="str">
        <x:v>In stock</x:v>
      </x:c>
      <x:c r="L3368" t="str">
        <x:v>2026-09-08</x:v>
      </x:c>
      <x:c r="M3368" t="str"/>
      <x:c r="N3368" t="str"/>
      <x:c r="O3368" t="str">
        <x:v>https://www.activesportstrade.co.uk/BCAAS</x:v>
      </x:c>
      <x:c r="P3368" t="str">
        <x:v>Supplier 'NEW' suffixes stripped. Former Amino Xtra renamed EAA Xtra; current label used.</x:v>
      </x:c>
      <x:c r="Q3368" t="str"/>
      <x:c r="R3368" t="str"/>
      <x:c r="S3368" t="str">
        <x:v>Pending genuine supplier/brand image</x:v>
      </x:c>
      <x:c r="T3368" s="54" t="n">
        <x:v>14.49</x:v>
      </x:c>
      <x:c r="U3368" s="47" t="n">
        <x:v>0.2</x:v>
      </x:c>
      <x:c r="V3368" s="54" t="n">
        <x:f>IF(ISNUMBER(T3368),T3368*(1+U3368),"")</x:f>
        <x:v>17.387999999999998</x:v>
      </x:c>
      <x:c r="W3368" s="47" t="n">
        <x:v>0.3</x:v>
      </x:c>
      <x:c r="X3368" s="54" t="n">
        <x:f>IF(ISNUMBER(V3368),V3368/(1-W3368),"")</x:f>
        <x:v>24.84</x:v>
      </x:c>
      <x:c r="Y3368" s="55" t="n">
        <x:f>IF(ISNUMBER(X3368),ROUNDUP(X3368,0),"")</x:f>
        <x:v>25</x:v>
      </x:c>
      <x:c r="Z3368" t="str">
        <x:v>Source match pending</x:v>
      </x:c>
      <x:c r="AA3368" t="str">
        <x:v>screencapture-www-activesportstrade-co-uk-per4m-nutrition-trade-2026-09-10-09_06_42.pdf / page-03</x:v>
      </x:c>
      <x:c r="AB3368" s="36" t="n">
        <x:f>IF(ISNUMBER(Y3368),ROUND(Y3368*0.9,2),"")</x:f>
        <x:v>22.5</x:v>
      </x:c>
      <x:c r="AC3368" s="36" t="n">
        <x:f>IF(ISNUMBER(AB3368),ROUND(AB3368-(AB3368*0.015+0.2)-V3368,2),"")</x:f>
        <x:v>4.57</x:v>
      </x:c>
      <x:c r="AD3368" s="36" t="n">
        <x:f>IF(ISNUMBER(Y3368),ROUND(Y3368*0.8,2),"")</x:f>
        <x:v>20</x:v>
      </x:c>
      <x:c r="AE3368" s="36" t="n">
        <x:f>IF(ISNUMBER(AD3368),ROUND(AD3368*0.015+0.2,2),"")</x:f>
        <x:v>0.5</x:v>
      </x:c>
      <x:c r="AF3368" s="36" t="n">
        <x:f>IF(ISNUMBER(AD3368),ROUND(AD3368-AE3368-V3368,2),"")</x:f>
        <x:v>2.11</x:v>
      </x:c>
      <x:c r="AG3368" t="str">
        <x:f>IF(NOT(ISNUMBER(T3368)),"PENDING",IF(AF3368&gt;0,"PASS","FAIL"))</x:f>
        <x:v>PASS</x:v>
      </x:c>
      <x:c r="AH3368" t="str">
        <x:f>IF(NOT(ISNUMBER(T3368)),"Needs supplier cost",IF(K3368&lt;&gt;"In stock","Supplier unavailable",IF(AG3368&lt;&gt;"PASS","BLOCK - GT loss risk","Commercially protected")))</x:f>
        <x:v>Commercially protected</x:v>
      </x:c>
      <x:c r="AI3368" t="str">
        <x:v>2026-09-10 Active Sports trade capture</x:v>
      </x:c>
      <x:c r="AJ3368" t="str">
        <x:v>Management-only economics. Stripe stress test uses 1.5% + £0.20 standard UK online-card fee; pallet/mix-and-match pricing ignored.</x:v>
      </x:c>
    </x:row>
    <x:row r="3369">
      <x:c r="A3369" t="str">
        <x:v>Active Sports Nutrition</x:v>
      </x:c>
      <x:c r="B3369" t="str">
        <x:v>Per4m Nutrition</x:v>
      </x:c>
      <x:c r="C3369" t="str">
        <x:v>EAA Xtra</x:v>
      </x:c>
      <x:c r="D3369" t="str">
        <x:v>Supplements</x:v>
      </x:c>
      <x:c r="E3369" t="str">
        <x:v>EAA / Amino Acids</x:v>
      </x:c>
      <x:c r="F3369" t="str"/>
      <x:c r="G3369" t="str">
        <x:v>420g</x:v>
      </x:c>
      <x:c r="H3369" t="str">
        <x:v>Orange Burst</x:v>
      </x:c>
      <x:c r="I3369" t="str"/>
      <x:c r="J3369" t="str">
        <x:v>Unit</x:v>
      </x:c>
      <x:c r="K3369" t="str">
        <x:v>In stock</x:v>
      </x:c>
      <x:c r="L3369" t="str">
        <x:v>2026-09-08</x:v>
      </x:c>
      <x:c r="M3369" t="str"/>
      <x:c r="N3369" t="str"/>
      <x:c r="O3369" t="str">
        <x:v>https://www.activesportstrade.co.uk/BCAAS</x:v>
      </x:c>
      <x:c r="P3369" t="str">
        <x:v>Supplier 'NEW' suffixes stripped. Former Amino Xtra renamed EAA Xtra; current label used.</x:v>
      </x:c>
      <x:c r="Q3369" t="str"/>
      <x:c r="R3369" t="str"/>
      <x:c r="S3369" t="str">
        <x:v>Pending genuine supplier/brand image</x:v>
      </x:c>
      <x:c r="T3369" s="54" t="n">
        <x:v>14.49</x:v>
      </x:c>
      <x:c r="U3369" s="47" t="n">
        <x:v>0.2</x:v>
      </x:c>
      <x:c r="V3369" s="54" t="n">
        <x:f>IF(ISNUMBER(T3369),T3369*(1+U3369),"")</x:f>
        <x:v>17.387999999999998</x:v>
      </x:c>
      <x:c r="W3369" s="47" t="n">
        <x:v>0.3</x:v>
      </x:c>
      <x:c r="X3369" s="54" t="n">
        <x:f>IF(ISNUMBER(V3369),V3369/(1-W3369),"")</x:f>
        <x:v>24.84</x:v>
      </x:c>
      <x:c r="Y3369" s="55" t="n">
        <x:f>IF(ISNUMBER(X3369),ROUNDUP(X3369,0),"")</x:f>
        <x:v>25</x:v>
      </x:c>
      <x:c r="Z3369" t="str">
        <x:v>Source match pending</x:v>
      </x:c>
      <x:c r="AA3369" t="str">
        <x:v>screencapture-www-activesportstrade-co-uk-per4m-nutrition-trade-2026-09-10-09_06_42.pdf / page-03</x:v>
      </x:c>
      <x:c r="AB3369" s="36" t="n">
        <x:f>IF(ISNUMBER(Y3369),ROUND(Y3369*0.9,2),"")</x:f>
        <x:v>22.5</x:v>
      </x:c>
      <x:c r="AC3369" s="36" t="n">
        <x:f>IF(ISNUMBER(AB3369),ROUND(AB3369-(AB3369*0.015+0.2)-V3369,2),"")</x:f>
        <x:v>4.57</x:v>
      </x:c>
      <x:c r="AD3369" s="36" t="n">
        <x:f>IF(ISNUMBER(Y3369),ROUND(Y3369*0.8,2),"")</x:f>
        <x:v>20</x:v>
      </x:c>
      <x:c r="AE3369" s="36" t="n">
        <x:f>IF(ISNUMBER(AD3369),ROUND(AD3369*0.015+0.2,2),"")</x:f>
        <x:v>0.5</x:v>
      </x:c>
      <x:c r="AF3369" s="36" t="n">
        <x:f>IF(ISNUMBER(AD3369),ROUND(AD3369-AE3369-V3369,2),"")</x:f>
        <x:v>2.11</x:v>
      </x:c>
      <x:c r="AG3369" t="str">
        <x:f>IF(NOT(ISNUMBER(T3369)),"PENDING",IF(AF3369&gt;0,"PASS","FAIL"))</x:f>
        <x:v>PASS</x:v>
      </x:c>
      <x:c r="AH3369" t="str">
        <x:f>IF(NOT(ISNUMBER(T3369)),"Needs supplier cost",IF(K3369&lt;&gt;"In stock","Supplier unavailable",IF(AG3369&lt;&gt;"PASS","BLOCK - GT loss risk","Commercially protected")))</x:f>
        <x:v>Commercially protected</x:v>
      </x:c>
      <x:c r="AI3369" t="str">
        <x:v>2026-09-10 Active Sports trade capture</x:v>
      </x:c>
      <x:c r="AJ3369" t="str">
        <x:v>Management-only economics. Stripe stress test uses 1.5% + £0.20 standard UK online-card fee; pallet/mix-and-match pricing ignored.</x:v>
      </x:c>
    </x:row>
    <x:row r="3370">
      <x:c r="A3370" t="str">
        <x:v>Active Sports Nutrition</x:v>
      </x:c>
      <x:c r="B3370" t="str">
        <x:v>Per4m Nutrition</x:v>
      </x:c>
      <x:c r="C3370" t="str">
        <x:v>EAA Xtra</x:v>
      </x:c>
      <x:c r="D3370" t="str">
        <x:v>Supplements</x:v>
      </x:c>
      <x:c r="E3370" t="str">
        <x:v>EAA / Amino Acids</x:v>
      </x:c>
      <x:c r="F3370" t="str"/>
      <x:c r="G3370" t="str">
        <x:v>420g</x:v>
      </x:c>
      <x:c r="H3370" t="str">
        <x:v>Passionfruit</x:v>
      </x:c>
      <x:c r="I3370" t="str"/>
      <x:c r="J3370" t="str">
        <x:v>Unit</x:v>
      </x:c>
      <x:c r="K3370" t="str">
        <x:v>Out of stock</x:v>
      </x:c>
      <x:c r="L3370" t="str">
        <x:v>2026-09-08</x:v>
      </x:c>
      <x:c r="M3370" t="str"/>
      <x:c r="N3370" t="str"/>
      <x:c r="O3370" t="str">
        <x:v>https://www.activesportstrade.co.uk/BCAAS</x:v>
      </x:c>
      <x:c r="P3370" t="str">
        <x:v>Supplier 'NEW' suffixes stripped. Former Amino Xtra renamed EAA Xtra; current label used.</x:v>
      </x:c>
      <x:c r="Q3370" t="str"/>
      <x:c r="R3370" t="str"/>
      <x:c r="S3370" t="str">
        <x:v>Pending genuine supplier/brand image</x:v>
      </x:c>
      <x:c r="T3370" s="54" t="n">
        <x:v>14.49</x:v>
      </x:c>
      <x:c r="U3370" s="47" t="n">
        <x:v>0.2</x:v>
      </x:c>
      <x:c r="V3370" s="54" t="n">
        <x:f>IF(ISNUMBER(T3370),T3370*(1+U3370),"")</x:f>
        <x:v>17.387999999999998</x:v>
      </x:c>
      <x:c r="W3370" s="47" t="n">
        <x:v>0.3</x:v>
      </x:c>
      <x:c r="X3370" s="54" t="n">
        <x:f>IF(ISNUMBER(V3370),V3370/(1-W3370),"")</x:f>
        <x:v>24.84</x:v>
      </x:c>
      <x:c r="Y3370" s="55" t="n">
        <x:f>IF(ISNUMBER(X3370),ROUNDUP(X3370,0),"")</x:f>
        <x:v>25</x:v>
      </x:c>
      <x:c r="Z3370" t="str">
        <x:v>Source match pending</x:v>
      </x:c>
      <x:c r="AA3370" t="str">
        <x:v>screencapture-www-activesportstrade-co-uk-per4m-nutrition-trade-2026-09-10-09_06_42.pdf / page-03</x:v>
      </x:c>
      <x:c r="AB3370" s="36" t="n">
        <x:f>IF(ISNUMBER(Y3370),ROUND(Y3370*0.9,2),"")</x:f>
        <x:v>22.5</x:v>
      </x:c>
      <x:c r="AC3370" s="36" t="n">
        <x:f>IF(ISNUMBER(AB3370),ROUND(AB3370-(AB3370*0.015+0.2)-V3370,2),"")</x:f>
        <x:v>4.57</x:v>
      </x:c>
      <x:c r="AD3370" s="36" t="n">
        <x:f>IF(ISNUMBER(Y3370),ROUND(Y3370*0.8,2),"")</x:f>
        <x:v>20</x:v>
      </x:c>
      <x:c r="AE3370" s="36" t="n">
        <x:f>IF(ISNUMBER(AD3370),ROUND(AD3370*0.015+0.2,2),"")</x:f>
        <x:v>0.5</x:v>
      </x:c>
      <x:c r="AF3370" s="36" t="n">
        <x:f>IF(ISNUMBER(AD3370),ROUND(AD3370-AE3370-V3370,2),"")</x:f>
        <x:v>2.11</x:v>
      </x:c>
      <x:c r="AG3370" t="str">
        <x:f>IF(NOT(ISNUMBER(T3370)),"PENDING",IF(AF3370&gt;0,"PASS","FAIL"))</x:f>
        <x:v>PASS</x:v>
      </x:c>
      <x:c r="AH3370" t="str">
        <x:f>IF(NOT(ISNUMBER(T3370)),"Needs supplier cost",IF(K3370&lt;&gt;"In stock","Supplier unavailable",IF(AG3370&lt;&gt;"PASS","BLOCK - GT loss risk","Commercially protected")))</x:f>
        <x:v>Supplier unavailable</x:v>
      </x:c>
      <x:c r="AI3370" t="str">
        <x:v>2026-09-10 Active Sports trade capture</x:v>
      </x:c>
      <x:c r="AJ3370" t="str">
        <x:v>Management-only economics. Stripe stress test uses 1.5% + £0.20 standard UK online-card fee; pallet/mix-and-match pricing ignored.</x:v>
      </x:c>
    </x:row>
    <x:row r="3371">
      <x:c r="A3371" t="str">
        <x:v>Active Sports Nutrition</x:v>
      </x:c>
      <x:c r="B3371" t="str">
        <x:v>Per4m Nutrition</x:v>
      </x:c>
      <x:c r="C3371" t="str">
        <x:v>EAA Xtra</x:v>
      </x:c>
      <x:c r="D3371" t="str">
        <x:v>Supplements</x:v>
      </x:c>
      <x:c r="E3371" t="str">
        <x:v>EAA / Amino Acids</x:v>
      </x:c>
      <x:c r="F3371" t="str"/>
      <x:c r="G3371" t="str">
        <x:v>420g</x:v>
      </x:c>
      <x:c r="H3371" t="str">
        <x:v>Peach Iced Tea</x:v>
      </x:c>
      <x:c r="I3371" t="str"/>
      <x:c r="J3371" t="str">
        <x:v>Unit</x:v>
      </x:c>
      <x:c r="K3371" t="str">
        <x:v>In stock</x:v>
      </x:c>
      <x:c r="L3371" t="str">
        <x:v>2026-09-08</x:v>
      </x:c>
      <x:c r="M3371" t="str"/>
      <x:c r="N3371" t="str"/>
      <x:c r="O3371" t="str">
        <x:v>https://www.activesportstrade.co.uk/BCAAS</x:v>
      </x:c>
      <x:c r="P3371" t="str">
        <x:v>Supplier 'NEW' suffixes stripped. Former Amino Xtra renamed EAA Xtra; current label used.</x:v>
      </x:c>
      <x:c r="Q3371" t="str"/>
      <x:c r="R3371" t="str"/>
      <x:c r="S3371" t="str">
        <x:v>Pending genuine supplier/brand image</x:v>
      </x:c>
      <x:c r="T3371" s="54" t="n">
        <x:v>14.49</x:v>
      </x:c>
      <x:c r="U3371" s="47" t="n">
        <x:v>0.2</x:v>
      </x:c>
      <x:c r="V3371" s="54" t="n">
        <x:f>IF(ISNUMBER(T3371),T3371*(1+U3371),"")</x:f>
        <x:v>17.387999999999998</x:v>
      </x:c>
      <x:c r="W3371" s="47" t="n">
        <x:v>0.3</x:v>
      </x:c>
      <x:c r="X3371" s="54" t="n">
        <x:f>IF(ISNUMBER(V3371),V3371/(1-W3371),"")</x:f>
        <x:v>24.84</x:v>
      </x:c>
      <x:c r="Y3371" s="55" t="n">
        <x:f>IF(ISNUMBER(X3371),ROUNDUP(X3371,0),"")</x:f>
        <x:v>25</x:v>
      </x:c>
      <x:c r="Z3371" t="str">
        <x:v>Source match pending</x:v>
      </x:c>
      <x:c r="AA3371" t="str">
        <x:v>screencapture-www-activesportstrade-co-uk-per4m-nutrition-trade-2026-09-10-09_06_42.pdf / page-03</x:v>
      </x:c>
      <x:c r="AB3371" s="36" t="n">
        <x:f>IF(ISNUMBER(Y3371),ROUND(Y3371*0.9,2),"")</x:f>
        <x:v>22.5</x:v>
      </x:c>
      <x:c r="AC3371" s="36" t="n">
        <x:f>IF(ISNUMBER(AB3371),ROUND(AB3371-(AB3371*0.015+0.2)-V3371,2),"")</x:f>
        <x:v>4.57</x:v>
      </x:c>
      <x:c r="AD3371" s="36" t="n">
        <x:f>IF(ISNUMBER(Y3371),ROUND(Y3371*0.8,2),"")</x:f>
        <x:v>20</x:v>
      </x:c>
      <x:c r="AE3371" s="36" t="n">
        <x:f>IF(ISNUMBER(AD3371),ROUND(AD3371*0.015+0.2,2),"")</x:f>
        <x:v>0.5</x:v>
      </x:c>
      <x:c r="AF3371" s="36" t="n">
        <x:f>IF(ISNUMBER(AD3371),ROUND(AD3371-AE3371-V3371,2),"")</x:f>
        <x:v>2.11</x:v>
      </x:c>
      <x:c r="AG3371" t="str">
        <x:f>IF(NOT(ISNUMBER(T3371)),"PENDING",IF(AF3371&gt;0,"PASS","FAIL"))</x:f>
        <x:v>PASS</x:v>
      </x:c>
      <x:c r="AH3371" t="str">
        <x:f>IF(NOT(ISNUMBER(T3371)),"Needs supplier cost",IF(K3371&lt;&gt;"In stock","Supplier unavailable",IF(AG3371&lt;&gt;"PASS","BLOCK - GT loss risk","Commercially protected")))</x:f>
        <x:v>Commercially protected</x:v>
      </x:c>
      <x:c r="AI3371" t="str">
        <x:v>2026-09-10 Active Sports trade capture</x:v>
      </x:c>
      <x:c r="AJ3371" t="str">
        <x:v>Management-only economics. Stripe stress test uses 1.5% + £0.20 standard UK online-card fee; pallet/mix-and-match pricing ignored.</x:v>
      </x:c>
    </x:row>
    <x:row r="3372">
      <x:c r="A3372" t="str">
        <x:v>Active Sports Nutrition</x:v>
      </x:c>
      <x:c r="B3372" t="str">
        <x:v>Per4m Nutrition</x:v>
      </x:c>
      <x:c r="C3372" t="str">
        <x:v>EAA Xtra</x:v>
      </x:c>
      <x:c r="D3372" t="str">
        <x:v>Supplements</x:v>
      </x:c>
      <x:c r="E3372" t="str">
        <x:v>EAA / Amino Acids</x:v>
      </x:c>
      <x:c r="F3372" t="str"/>
      <x:c r="G3372" t="str">
        <x:v>420g</x:v>
      </x:c>
      <x:c r="H3372" t="str">
        <x:v>Rainbow Candy</x:v>
      </x:c>
      <x:c r="I3372" t="str"/>
      <x:c r="J3372" t="str">
        <x:v>Unit</x:v>
      </x:c>
      <x:c r="K3372" t="str">
        <x:v>In stock</x:v>
      </x:c>
      <x:c r="L3372" t="str">
        <x:v>2026-09-08</x:v>
      </x:c>
      <x:c r="M3372" t="str"/>
      <x:c r="N3372" t="str"/>
      <x:c r="O3372" t="str">
        <x:v>https://www.activesportstrade.co.uk/BCAAS</x:v>
      </x:c>
      <x:c r="P3372" t="str">
        <x:v>Supplier 'NEW' suffixes stripped. Former Amino Xtra renamed EAA Xtra; current label used.</x:v>
      </x:c>
      <x:c r="Q3372" t="str"/>
      <x:c r="R3372" t="str"/>
      <x:c r="S3372" t="str">
        <x:v>Pending genuine supplier/brand image</x:v>
      </x:c>
      <x:c r="T3372" s="54" t="n">
        <x:v>14.49</x:v>
      </x:c>
      <x:c r="U3372" s="47" t="n">
        <x:v>0.2</x:v>
      </x:c>
      <x:c r="V3372" s="54" t="n">
        <x:f>IF(ISNUMBER(T3372),T3372*(1+U3372),"")</x:f>
        <x:v>17.387999999999998</x:v>
      </x:c>
      <x:c r="W3372" s="47" t="n">
        <x:v>0.3</x:v>
      </x:c>
      <x:c r="X3372" s="54" t="n">
        <x:f>IF(ISNUMBER(V3372),V3372/(1-W3372),"")</x:f>
        <x:v>24.84</x:v>
      </x:c>
      <x:c r="Y3372" s="55" t="n">
        <x:f>IF(ISNUMBER(X3372),ROUNDUP(X3372,0),"")</x:f>
        <x:v>25</x:v>
      </x:c>
      <x:c r="Z3372" t="str">
        <x:v>Source match pending</x:v>
      </x:c>
      <x:c r="AA3372" t="str">
        <x:v>screencapture-www-activesportstrade-co-uk-per4m-nutrition-trade-2026-09-10-09_06_42.pdf / page-03</x:v>
      </x:c>
      <x:c r="AB3372" s="36" t="n">
        <x:f>IF(ISNUMBER(Y3372),ROUND(Y3372*0.9,2),"")</x:f>
        <x:v>22.5</x:v>
      </x:c>
      <x:c r="AC3372" s="36" t="n">
        <x:f>IF(ISNUMBER(AB3372),ROUND(AB3372-(AB3372*0.015+0.2)-V3372,2),"")</x:f>
        <x:v>4.57</x:v>
      </x:c>
      <x:c r="AD3372" s="36" t="n">
        <x:f>IF(ISNUMBER(Y3372),ROUND(Y3372*0.8,2),"")</x:f>
        <x:v>20</x:v>
      </x:c>
      <x:c r="AE3372" s="36" t="n">
        <x:f>IF(ISNUMBER(AD3372),ROUND(AD3372*0.015+0.2,2),"")</x:f>
        <x:v>0.5</x:v>
      </x:c>
      <x:c r="AF3372" s="36" t="n">
        <x:f>IF(ISNUMBER(AD3372),ROUND(AD3372-AE3372-V3372,2),"")</x:f>
        <x:v>2.11</x:v>
      </x:c>
      <x:c r="AG3372" t="str">
        <x:f>IF(NOT(ISNUMBER(T3372)),"PENDING",IF(AF3372&gt;0,"PASS","FAIL"))</x:f>
        <x:v>PASS</x:v>
      </x:c>
      <x:c r="AH3372" t="str">
        <x:f>IF(NOT(ISNUMBER(T3372)),"Needs supplier cost",IF(K3372&lt;&gt;"In stock","Supplier unavailable",IF(AG3372&lt;&gt;"PASS","BLOCK - GT loss risk","Commercially protected")))</x:f>
        <x:v>Commercially protected</x:v>
      </x:c>
      <x:c r="AI3372" t="str">
        <x:v>2026-09-10 Active Sports trade capture</x:v>
      </x:c>
      <x:c r="AJ3372" t="str">
        <x:v>Management-only economics. Stripe stress test uses 1.5% + £0.20 standard UK online-card fee; pallet/mix-and-match pricing ignored.</x:v>
      </x:c>
    </x:row>
    <x:row r="3373">
      <x:c r="A3373" t="str">
        <x:v>Active Sports Nutrition</x:v>
      </x:c>
      <x:c r="B3373" t="str">
        <x:v>Per4m Nutrition</x:v>
      </x:c>
      <x:c r="C3373" t="str">
        <x:v>EAA Xtra</x:v>
      </x:c>
      <x:c r="D3373" t="str">
        <x:v>Supplements</x:v>
      </x:c>
      <x:c r="E3373" t="str">
        <x:v>EAA / Amino Acids</x:v>
      </x:c>
      <x:c r="F3373" t="str"/>
      <x:c r="G3373" t="str">
        <x:v>420g</x:v>
      </x:c>
      <x:c r="H3373" t="str">
        <x:v>Strawberry Lime Twist</x:v>
      </x:c>
      <x:c r="I3373" t="str"/>
      <x:c r="J3373" t="str">
        <x:v>Unit</x:v>
      </x:c>
      <x:c r="K3373" t="str">
        <x:v>In stock</x:v>
      </x:c>
      <x:c r="L3373" t="str">
        <x:v>2026-09-08</x:v>
      </x:c>
      <x:c r="M3373" t="str"/>
      <x:c r="N3373" t="str"/>
      <x:c r="O3373" t="str">
        <x:v>https://www.activesportstrade.co.uk/BCAAS</x:v>
      </x:c>
      <x:c r="P3373" t="str">
        <x:v>Supplier 'NEW' suffixes stripped. Former Amino Xtra renamed EAA Xtra; current label used.</x:v>
      </x:c>
      <x:c r="Q3373" t="str"/>
      <x:c r="R3373" t="str"/>
      <x:c r="S3373" t="str">
        <x:v>Pending genuine supplier/brand image</x:v>
      </x:c>
      <x:c r="T3373" s="54" t="n">
        <x:v>14.49</x:v>
      </x:c>
      <x:c r="U3373" s="47" t="n">
        <x:v>0.2</x:v>
      </x:c>
      <x:c r="V3373" s="54" t="n">
        <x:f>IF(ISNUMBER(T3373),T3373*(1+U3373),"")</x:f>
        <x:v>17.387999999999998</x:v>
      </x:c>
      <x:c r="W3373" s="47" t="n">
        <x:v>0.3</x:v>
      </x:c>
      <x:c r="X3373" s="54" t="n">
        <x:f>IF(ISNUMBER(V3373),V3373/(1-W3373),"")</x:f>
        <x:v>24.84</x:v>
      </x:c>
      <x:c r="Y3373" s="55" t="n">
        <x:f>IF(ISNUMBER(X3373),ROUNDUP(X3373,0),"")</x:f>
        <x:v>25</x:v>
      </x:c>
      <x:c r="Z3373" t="str">
        <x:v>Source match pending</x:v>
      </x:c>
      <x:c r="AA3373" t="str">
        <x:v>screencapture-www-activesportstrade-co-uk-per4m-nutrition-trade-2026-09-10-09_06_42.pdf / page-03</x:v>
      </x:c>
      <x:c r="AB3373" s="36" t="n">
        <x:f>IF(ISNUMBER(Y3373),ROUND(Y3373*0.9,2),"")</x:f>
        <x:v>22.5</x:v>
      </x:c>
      <x:c r="AC3373" s="36" t="n">
        <x:f>IF(ISNUMBER(AB3373),ROUND(AB3373-(AB3373*0.015+0.2)-V3373,2),"")</x:f>
        <x:v>4.57</x:v>
      </x:c>
      <x:c r="AD3373" s="36" t="n">
        <x:f>IF(ISNUMBER(Y3373),ROUND(Y3373*0.8,2),"")</x:f>
        <x:v>20</x:v>
      </x:c>
      <x:c r="AE3373" s="36" t="n">
        <x:f>IF(ISNUMBER(AD3373),ROUND(AD3373*0.015+0.2,2),"")</x:f>
        <x:v>0.5</x:v>
      </x:c>
      <x:c r="AF3373" s="36" t="n">
        <x:f>IF(ISNUMBER(AD3373),ROUND(AD3373-AE3373-V3373,2),"")</x:f>
        <x:v>2.11</x:v>
      </x:c>
      <x:c r="AG3373" t="str">
        <x:f>IF(NOT(ISNUMBER(T3373)),"PENDING",IF(AF3373&gt;0,"PASS","FAIL"))</x:f>
        <x:v>PASS</x:v>
      </x:c>
      <x:c r="AH3373" t="str">
        <x:f>IF(NOT(ISNUMBER(T3373)),"Needs supplier cost",IF(K3373&lt;&gt;"In stock","Supplier unavailable",IF(AG3373&lt;&gt;"PASS","BLOCK - GT loss risk","Commercially protected")))</x:f>
        <x:v>Commercially protected</x:v>
      </x:c>
      <x:c r="AI3373" t="str">
        <x:v>2026-09-10 Active Sports trade capture</x:v>
      </x:c>
      <x:c r="AJ3373" t="str">
        <x:v>Management-only economics. Stripe stress test uses 1.5% + £0.20 standard UK online-card fee; pallet/mix-and-match pricing ignored.</x:v>
      </x:c>
    </x:row>
    <x:row r="3374">
      <x:c r="A3374" t="str">
        <x:v>Active Sports Nutrition</x:v>
      </x:c>
      <x:c r="B3374" t="str">
        <x:v>Per4m Nutrition</x:v>
      </x:c>
      <x:c r="C3374" t="str">
        <x:v>EAA Xtra</x:v>
      </x:c>
      <x:c r="D3374" t="str">
        <x:v>Supplements</x:v>
      </x:c>
      <x:c r="E3374" t="str">
        <x:v>EAA / Amino Acids</x:v>
      </x:c>
      <x:c r="F3374" t="str"/>
      <x:c r="G3374" t="str">
        <x:v>420g</x:v>
      </x:c>
      <x:c r="H3374" t="str">
        <x:v>Tropical Pineapple</x:v>
      </x:c>
      <x:c r="I3374" t="str"/>
      <x:c r="J3374" t="str">
        <x:v>Unit</x:v>
      </x:c>
      <x:c r="K3374" t="str">
        <x:v>In stock</x:v>
      </x:c>
      <x:c r="L3374" t="str">
        <x:v>2026-09-08</x:v>
      </x:c>
      <x:c r="M3374" t="str"/>
      <x:c r="N3374" t="str"/>
      <x:c r="O3374" t="str">
        <x:v>https://www.activesportstrade.co.uk/BCAAS</x:v>
      </x:c>
      <x:c r="P3374" t="str">
        <x:v>Supplier 'NEW' suffixes stripped. Former Amino Xtra renamed EAA Xtra; current label used.</x:v>
      </x:c>
      <x:c r="Q3374" t="str"/>
      <x:c r="R3374" t="str"/>
      <x:c r="S3374" t="str">
        <x:v>Pending genuine supplier/brand image</x:v>
      </x:c>
      <x:c r="T3374" s="54" t="n">
        <x:v>14.49</x:v>
      </x:c>
      <x:c r="U3374" s="47" t="n">
        <x:v>0.2</x:v>
      </x:c>
      <x:c r="V3374" s="54" t="n">
        <x:f>IF(ISNUMBER(T3374),T3374*(1+U3374),"")</x:f>
        <x:v>17.387999999999998</x:v>
      </x:c>
      <x:c r="W3374" s="47" t="n">
        <x:v>0.3</x:v>
      </x:c>
      <x:c r="X3374" s="54" t="n">
        <x:f>IF(ISNUMBER(V3374),V3374/(1-W3374),"")</x:f>
        <x:v>24.84</x:v>
      </x:c>
      <x:c r="Y3374" s="55" t="n">
        <x:f>IF(ISNUMBER(X3374),ROUNDUP(X3374,0),"")</x:f>
        <x:v>25</x:v>
      </x:c>
      <x:c r="Z3374" t="str">
        <x:v>Source match pending</x:v>
      </x:c>
      <x:c r="AA3374" t="str">
        <x:v>screencapture-www-activesportstrade-co-uk-per4m-nutrition-trade-2026-09-10-09_06_42.pdf / page-03</x:v>
      </x:c>
      <x:c r="AB3374" s="36" t="n">
        <x:f>IF(ISNUMBER(Y3374),ROUND(Y3374*0.9,2),"")</x:f>
        <x:v>22.5</x:v>
      </x:c>
      <x:c r="AC3374" s="36" t="n">
        <x:f>IF(ISNUMBER(AB3374),ROUND(AB3374-(AB3374*0.015+0.2)-V3374,2),"")</x:f>
        <x:v>4.57</x:v>
      </x:c>
      <x:c r="AD3374" s="36" t="n">
        <x:f>IF(ISNUMBER(Y3374),ROUND(Y3374*0.8,2),"")</x:f>
        <x:v>20</x:v>
      </x:c>
      <x:c r="AE3374" s="36" t="n">
        <x:f>IF(ISNUMBER(AD3374),ROUND(AD3374*0.015+0.2,2),"")</x:f>
        <x:v>0.5</x:v>
      </x:c>
      <x:c r="AF3374" s="36" t="n">
        <x:f>IF(ISNUMBER(AD3374),ROUND(AD3374-AE3374-V3374,2),"")</x:f>
        <x:v>2.11</x:v>
      </x:c>
      <x:c r="AG3374" t="str">
        <x:f>IF(NOT(ISNUMBER(T3374)),"PENDING",IF(AF3374&gt;0,"PASS","FAIL"))</x:f>
        <x:v>PASS</x:v>
      </x:c>
      <x:c r="AH3374" t="str">
        <x:f>IF(NOT(ISNUMBER(T3374)),"Needs supplier cost",IF(K3374&lt;&gt;"In stock","Supplier unavailable",IF(AG3374&lt;&gt;"PASS","BLOCK - GT loss risk","Commercially protected")))</x:f>
        <x:v>Commercially protected</x:v>
      </x:c>
      <x:c r="AI3374" t="str">
        <x:v>2026-09-10 Active Sports trade capture</x:v>
      </x:c>
      <x:c r="AJ3374" t="str">
        <x:v>Management-only economics. Stripe stress test uses 1.5% + £0.20 standard UK online-card fee; pallet/mix-and-match pricing ignored.</x:v>
      </x:c>
    </x:row>
    <x:row r="3375">
      <x:c r="A3375" t="str">
        <x:v>Active Sports Nutrition</x:v>
      </x:c>
      <x:c r="B3375" t="str">
        <x:v>Trained By JP</x:v>
      </x:c>
      <x:c r="C3375" t="str">
        <x:v>Creatine Monohydrate</x:v>
      </x:c>
      <x:c r="D3375" t="str">
        <x:v>Supplements</x:v>
      </x:c>
      <x:c r="E3375" t="str">
        <x:v>Creatine Powders</x:v>
      </x:c>
      <x:c r="F3375" t="str"/>
      <x:c r="G3375" t="str">
        <x:v>1kg</x:v>
      </x:c>
      <x:c r="H3375" t="str">
        <x:v>Unflavoured</x:v>
      </x:c>
      <x:c r="I3375" t="str"/>
      <x:c r="J3375" t="str">
        <x:v>Unit</x:v>
      </x:c>
      <x:c r="K3375" t="str">
        <x:v>Out of stock</x:v>
      </x:c>
      <x:c r="L3375" t="str">
        <x:v>2026-09-08</x:v>
      </x:c>
      <x:c r="M3375" t="str"/>
      <x:c r="N3375" t="str"/>
      <x:c r="O3375" t="str">
        <x:v>https://www.activesportstrade.co.uk/Creatine-Powders-Trade</x:v>
      </x:c>
      <x:c r="P3375" t="str">
        <x:v>MEGA SPECIAL OFFER wording stripped.</x:v>
      </x:c>
      <x:c r="Q3375" t="str"/>
      <x:c r="R3375" t="str"/>
      <x:c r="S3375" t="str">
        <x:v>Pending genuine supplier/brand image</x:v>
      </x:c>
      <x:c r="T3375" s="54" t="n">
        <x:v>12.99</x:v>
      </x:c>
      <x:c r="U3375" s="47" t="n">
        <x:v>0.2</x:v>
      </x:c>
      <x:c r="V3375" s="54" t="n">
        <x:f>IF(ISNUMBER(T3375),T3375*(1+U3375),"")</x:f>
        <x:v>15.588</x:v>
      </x:c>
      <x:c r="W3375" s="47" t="n">
        <x:v>0.3</x:v>
      </x:c>
      <x:c r="X3375" s="54" t="n">
        <x:f>IF(ISNUMBER(V3375),V3375/(1-W3375),"")</x:f>
        <x:v>22.26857142857143</x:v>
      </x:c>
      <x:c r="Y3375" s="55" t="n">
        <x:f>IF(ISNUMBER(X3375),ROUNDUP(X3375,0),"")</x:f>
        <x:v>23</x:v>
      </x:c>
      <x:c r="Z3375" t="str">
        <x:v>Source match pending</x:v>
      </x:c>
      <x:c r="AA3375" t="str">
        <x:v>screencapture-www-activesportstrade-co-uk-trained-by-jp-trade-2026-09-10-09_10_55.pdf / page-2</x:v>
      </x:c>
      <x:c r="AB3375" s="36" t="n">
        <x:f>IF(ISNUMBER(Y3375),ROUND(Y3375*0.9,2),"")</x:f>
        <x:v>20.7</x:v>
      </x:c>
      <x:c r="AC3375" s="36" t="n">
        <x:f>IF(ISNUMBER(AB3375),ROUND(AB3375-(AB3375*0.015+0.2)-V3375,2),"")</x:f>
        <x:v>4.6</x:v>
      </x:c>
      <x:c r="AD3375" s="36" t="n">
        <x:f>IF(ISNUMBER(Y3375),ROUND(Y3375*0.8,2),"")</x:f>
        <x:v>18.4</x:v>
      </x:c>
      <x:c r="AE3375" s="36" t="n">
        <x:f>IF(ISNUMBER(AD3375),ROUND(AD3375*0.015+0.2,2),"")</x:f>
        <x:v>0.48</x:v>
      </x:c>
      <x:c r="AF3375" s="36" t="n">
        <x:f>IF(ISNUMBER(AD3375),ROUND(AD3375-AE3375-V3375,2),"")</x:f>
        <x:v>2.33</x:v>
      </x:c>
      <x:c r="AG3375" t="str">
        <x:f>IF(NOT(ISNUMBER(T3375)),"PENDING",IF(AF3375&gt;0,"PASS","FAIL"))</x:f>
        <x:v>PASS</x:v>
      </x:c>
      <x:c r="AH3375" t="str">
        <x:f>IF(NOT(ISNUMBER(T3375)),"Needs supplier cost",IF(K3375&lt;&gt;"In stock","Supplier unavailable",IF(AG3375&lt;&gt;"PASS","BLOCK - GT loss risk","Commercially protected")))</x:f>
        <x:v>Supplier unavailable</x:v>
      </x:c>
      <x:c r="AI3375" t="str">
        <x:v>2026-09-10 Active Sports trade capture</x:v>
      </x:c>
      <x:c r="AJ3375" t="str">
        <x:v>Management-only economics. Stripe stress test uses 1.5% + £0.20 standard UK online-card fee; pallet/mix-and-match pricing ignored.</x:v>
      </x:c>
    </x:row>
    <x:row r="3376">
      <x:c r="A3376" t="str">
        <x:v>Active Sports Nutrition</x:v>
      </x:c>
      <x:c r="B3376" t="str">
        <x:v>Trained By JP</x:v>
      </x:c>
      <x:c r="C3376" t="str">
        <x:v>Creatine Monohydrate</x:v>
      </x:c>
      <x:c r="D3376" t="str">
        <x:v>Supplements</x:v>
      </x:c>
      <x:c r="E3376" t="str">
        <x:v>Creatine Powders</x:v>
      </x:c>
      <x:c r="F3376" t="str"/>
      <x:c r="G3376" t="str">
        <x:v>300g</x:v>
      </x:c>
      <x:c r="H3376" t="str">
        <x:v>Blue Slushy</x:v>
      </x:c>
      <x:c r="I3376" t="str"/>
      <x:c r="J3376" t="str">
        <x:v>Unit</x:v>
      </x:c>
      <x:c r="K3376" t="str">
        <x:v>Out of stock</x:v>
      </x:c>
      <x:c r="L3376" t="str">
        <x:v>2026-09-08</x:v>
      </x:c>
      <x:c r="M3376" t="str"/>
      <x:c r="N3376" t="str"/>
      <x:c r="O3376" t="str">
        <x:v>https://www.activesportstrade.co.uk/Creatine-Powders-Trade</x:v>
      </x:c>
      <x:c r="P3376" t="str"/>
      <x:c r="Q3376" t="str"/>
      <x:c r="R3376" t="str"/>
      <x:c r="S3376" t="str">
        <x:v>Pending genuine supplier/brand image</x:v>
      </x:c>
      <x:c r="T3376" s="54" t="n">
        <x:v>10.99</x:v>
      </x:c>
      <x:c r="U3376" s="47" t="n">
        <x:v>0.2</x:v>
      </x:c>
      <x:c r="V3376" s="54" t="n">
        <x:f>IF(ISNUMBER(T3376),T3376*(1+U3376),"")</x:f>
        <x:v>13.188</x:v>
      </x:c>
      <x:c r="W3376" s="47" t="n">
        <x:v>0.3</x:v>
      </x:c>
      <x:c r="X3376" s="54" t="n">
        <x:f>IF(ISNUMBER(V3376),V3376/(1-W3376),"")</x:f>
        <x:v>18.840000000000003</x:v>
      </x:c>
      <x:c r="Y3376" s="55" t="n">
        <x:f>IF(ISNUMBER(X3376),ROUNDUP(X3376,0),"")</x:f>
        <x:v>19</x:v>
      </x:c>
      <x:c r="Z3376" t="str">
        <x:v>Source match pending</x:v>
      </x:c>
      <x:c r="AA3376" t="str">
        <x:v>screencapture-www-activesportstrade-co-uk-trained-by-jp-trade-2026-09-10-09_10_55.pdf / page-2</x:v>
      </x:c>
      <x:c r="AB3376" s="36" t="n">
        <x:f>IF(ISNUMBER(Y3376),ROUND(Y3376*0.9,2),"")</x:f>
        <x:v>17.1</x:v>
      </x:c>
      <x:c r="AC3376" s="36" t="n">
        <x:f>IF(ISNUMBER(AB3376),ROUND(AB3376-(AB3376*0.015+0.2)-V3376,2),"")</x:f>
        <x:v>3.46</x:v>
      </x:c>
      <x:c r="AD3376" s="36" t="n">
        <x:f>IF(ISNUMBER(Y3376),ROUND(Y3376*0.8,2),"")</x:f>
        <x:v>15.2</x:v>
      </x:c>
      <x:c r="AE3376" s="36" t="n">
        <x:f>IF(ISNUMBER(AD3376),ROUND(AD3376*0.015+0.2,2),"")</x:f>
        <x:v>0.43</x:v>
      </x:c>
      <x:c r="AF3376" s="36" t="n">
        <x:f>IF(ISNUMBER(AD3376),ROUND(AD3376-AE3376-V3376,2),"")</x:f>
        <x:v>1.58</x:v>
      </x:c>
      <x:c r="AG3376" t="str">
        <x:f>IF(NOT(ISNUMBER(T3376)),"PENDING",IF(AF3376&gt;0,"PASS","FAIL"))</x:f>
        <x:v>PASS</x:v>
      </x:c>
      <x:c r="AH3376" t="str">
        <x:f>IF(NOT(ISNUMBER(T3376)),"Needs supplier cost",IF(K3376&lt;&gt;"In stock","Supplier unavailable",IF(AG3376&lt;&gt;"PASS","BLOCK - GT loss risk","Commercially protected")))</x:f>
        <x:v>Supplier unavailable</x:v>
      </x:c>
      <x:c r="AI3376" t="str">
        <x:v>2026-09-10 Active Sports trade capture</x:v>
      </x:c>
      <x:c r="AJ3376" t="str">
        <x:v>Management-only economics. Stripe stress test uses 1.5% + £0.20 standard UK online-card fee; pallet/mix-and-match pricing ignored.</x:v>
      </x:c>
    </x:row>
    <x:row r="3377">
      <x:c r="A3377" t="str">
        <x:v>Active Sports Nutrition</x:v>
      </x:c>
      <x:c r="B3377" t="str">
        <x:v>Trained By JP</x:v>
      </x:c>
      <x:c r="C3377" t="str">
        <x:v>Creatine Monohydrate</x:v>
      </x:c>
      <x:c r="D3377" t="str">
        <x:v>Supplements</x:v>
      </x:c>
      <x:c r="E3377" t="str">
        <x:v>Creatine Powders</x:v>
      </x:c>
      <x:c r="F3377" t="str"/>
      <x:c r="G3377" t="str">
        <x:v>300g</x:v>
      </x:c>
      <x:c r="H3377" t="str">
        <x:v>Sour Cherry</x:v>
      </x:c>
      <x:c r="I3377" t="str"/>
      <x:c r="J3377" t="str">
        <x:v>Unit</x:v>
      </x:c>
      <x:c r="K3377" t="str">
        <x:v>Out of stock</x:v>
      </x:c>
      <x:c r="L3377" t="str">
        <x:v>2026-09-08</x:v>
      </x:c>
      <x:c r="M3377" t="str"/>
      <x:c r="N3377" t="str"/>
      <x:c r="O3377" t="str">
        <x:v>https://www.activesportstrade.co.uk/Creatine-Powders-Trade</x:v>
      </x:c>
      <x:c r="P3377" t="str"/>
      <x:c r="Q3377" t="str"/>
      <x:c r="R3377" t="str"/>
      <x:c r="S3377" t="str">
        <x:v>Pending genuine supplier/brand image</x:v>
      </x:c>
      <x:c r="T3377" s="54" t="n">
        <x:v>10.99</x:v>
      </x:c>
      <x:c r="U3377" s="47" t="n">
        <x:v>0.2</x:v>
      </x:c>
      <x:c r="V3377" s="54" t="n">
        <x:f>IF(ISNUMBER(T3377),T3377*(1+U3377),"")</x:f>
        <x:v>13.188</x:v>
      </x:c>
      <x:c r="W3377" s="47" t="n">
        <x:v>0.3</x:v>
      </x:c>
      <x:c r="X3377" s="54" t="n">
        <x:f>IF(ISNUMBER(V3377),V3377/(1-W3377),"")</x:f>
        <x:v>18.840000000000003</x:v>
      </x:c>
      <x:c r="Y3377" s="55" t="n">
        <x:f>IF(ISNUMBER(X3377),ROUNDUP(X3377,0),"")</x:f>
        <x:v>19</x:v>
      </x:c>
      <x:c r="Z3377" t="str">
        <x:v>Source match pending</x:v>
      </x:c>
      <x:c r="AA3377" t="str">
        <x:v>screencapture-www-activesportstrade-co-uk-trained-by-jp-trade-2026-09-10-09_10_55.pdf / page-2</x:v>
      </x:c>
      <x:c r="AB3377" s="36" t="n">
        <x:f>IF(ISNUMBER(Y3377),ROUND(Y3377*0.9,2),"")</x:f>
        <x:v>17.1</x:v>
      </x:c>
      <x:c r="AC3377" s="36" t="n">
        <x:f>IF(ISNUMBER(AB3377),ROUND(AB3377-(AB3377*0.015+0.2)-V3377,2),"")</x:f>
        <x:v>3.46</x:v>
      </x:c>
      <x:c r="AD3377" s="36" t="n">
        <x:f>IF(ISNUMBER(Y3377),ROUND(Y3377*0.8,2),"")</x:f>
        <x:v>15.2</x:v>
      </x:c>
      <x:c r="AE3377" s="36" t="n">
        <x:f>IF(ISNUMBER(AD3377),ROUND(AD3377*0.015+0.2,2),"")</x:f>
        <x:v>0.43</x:v>
      </x:c>
      <x:c r="AF3377" s="36" t="n">
        <x:f>IF(ISNUMBER(AD3377),ROUND(AD3377-AE3377-V3377,2),"")</x:f>
        <x:v>1.58</x:v>
      </x:c>
      <x:c r="AG3377" t="str">
        <x:f>IF(NOT(ISNUMBER(T3377)),"PENDING",IF(AF3377&gt;0,"PASS","FAIL"))</x:f>
        <x:v>PASS</x:v>
      </x:c>
      <x:c r="AH3377" t="str">
        <x:f>IF(NOT(ISNUMBER(T3377)),"Needs supplier cost",IF(K3377&lt;&gt;"In stock","Supplier unavailable",IF(AG3377&lt;&gt;"PASS","BLOCK - GT loss risk","Commercially protected")))</x:f>
        <x:v>Supplier unavailable</x:v>
      </x:c>
      <x:c r="AI3377" t="str">
        <x:v>2026-09-10 Active Sports trade capture</x:v>
      </x:c>
      <x:c r="AJ3377" t="str">
        <x:v>Management-only economics. Stripe stress test uses 1.5% + £0.20 standard UK online-card fee; pallet/mix-and-match pricing ignored.</x:v>
      </x:c>
    </x:row>
    <x:row r="3378">
      <x:c r="A3378" t="str">
        <x:v>Active Sports Nutrition</x:v>
      </x:c>
      <x:c r="B3378" t="str">
        <x:v>Trained By JP</x:v>
      </x:c>
      <x:c r="C3378" t="str">
        <x:v>Creatine Monohydrate</x:v>
      </x:c>
      <x:c r="D3378" t="str">
        <x:v>Supplements</x:v>
      </x:c>
      <x:c r="E3378" t="str">
        <x:v>Creatine Powders</x:v>
      </x:c>
      <x:c r="F3378" t="str"/>
      <x:c r="G3378" t="str">
        <x:v>300g</x:v>
      </x:c>
      <x:c r="H3378" t="str">
        <x:v>Unflavoured</x:v>
      </x:c>
      <x:c r="I3378" t="str"/>
      <x:c r="J3378" t="str">
        <x:v>Unit</x:v>
      </x:c>
      <x:c r="K3378" t="str">
        <x:v>Out of stock</x:v>
      </x:c>
      <x:c r="L3378" t="str">
        <x:v>2026-09-08</x:v>
      </x:c>
      <x:c r="M3378" t="str"/>
      <x:c r="N3378" t="str"/>
      <x:c r="O3378" t="str">
        <x:v>https://www.activesportstrade.co.uk/Creatine-Powders-Trade</x:v>
      </x:c>
      <x:c r="P3378" t="str"/>
      <x:c r="Q3378" t="str"/>
      <x:c r="R3378" t="str"/>
      <x:c r="S3378" t="str">
        <x:v>Pending genuine supplier/brand image</x:v>
      </x:c>
      <x:c r="T3378" s="54" t="n">
        <x:v>10.99</x:v>
      </x:c>
      <x:c r="U3378" s="47" t="n">
        <x:v>0.2</x:v>
      </x:c>
      <x:c r="V3378" s="54" t="n">
        <x:f>IF(ISNUMBER(T3378),T3378*(1+U3378),"")</x:f>
        <x:v>13.188</x:v>
      </x:c>
      <x:c r="W3378" s="47" t="n">
        <x:v>0.3</x:v>
      </x:c>
      <x:c r="X3378" s="54" t="n">
        <x:f>IF(ISNUMBER(V3378),V3378/(1-W3378),"")</x:f>
        <x:v>18.840000000000003</x:v>
      </x:c>
      <x:c r="Y3378" s="55" t="n">
        <x:f>IF(ISNUMBER(X3378),ROUNDUP(X3378,0),"")</x:f>
        <x:v>19</x:v>
      </x:c>
      <x:c r="Z3378" t="str">
        <x:v>Source match pending</x:v>
      </x:c>
      <x:c r="AA3378" t="str">
        <x:v>screencapture-www-activesportstrade-co-uk-trained-by-jp-trade-2026-09-10-09_10_55.pdf / page-2</x:v>
      </x:c>
      <x:c r="AB3378" s="36" t="n">
        <x:f>IF(ISNUMBER(Y3378),ROUND(Y3378*0.9,2),"")</x:f>
        <x:v>17.1</x:v>
      </x:c>
      <x:c r="AC3378" s="36" t="n">
        <x:f>IF(ISNUMBER(AB3378),ROUND(AB3378-(AB3378*0.015+0.2)-V3378,2),"")</x:f>
        <x:v>3.46</x:v>
      </x:c>
      <x:c r="AD3378" s="36" t="n">
        <x:f>IF(ISNUMBER(Y3378),ROUND(Y3378*0.8,2),"")</x:f>
        <x:v>15.2</x:v>
      </x:c>
      <x:c r="AE3378" s="36" t="n">
        <x:f>IF(ISNUMBER(AD3378),ROUND(AD3378*0.015+0.2,2),"")</x:f>
        <x:v>0.43</x:v>
      </x:c>
      <x:c r="AF3378" s="36" t="n">
        <x:f>IF(ISNUMBER(AD3378),ROUND(AD3378-AE3378-V3378,2),"")</x:f>
        <x:v>1.58</x:v>
      </x:c>
      <x:c r="AG3378" t="str">
        <x:f>IF(NOT(ISNUMBER(T3378)),"PENDING",IF(AF3378&gt;0,"PASS","FAIL"))</x:f>
        <x:v>PASS</x:v>
      </x:c>
      <x:c r="AH3378" t="str">
        <x:f>IF(NOT(ISNUMBER(T3378)),"Needs supplier cost",IF(K3378&lt;&gt;"In stock","Supplier unavailable",IF(AG3378&lt;&gt;"PASS","BLOCK - GT loss risk","Commercially protected")))</x:f>
        <x:v>Supplier unavailable</x:v>
      </x:c>
      <x:c r="AI3378" t="str">
        <x:v>2026-09-10 Active Sports trade capture</x:v>
      </x:c>
      <x:c r="AJ3378" t="str">
        <x:v>Management-only economics. Stripe stress test uses 1.5% + £0.20 standard UK online-card fee; pallet/mix-and-match pricing ignored.</x:v>
      </x:c>
    </x:row>
    <x:row r="3379">
      <x:c r="A3379" t="str">
        <x:v>Active Sports Nutrition</x:v>
      </x:c>
      <x:c r="B3379" t="str">
        <x:v>C4</x:v>
      </x:c>
      <x:c r="C3379" t="str">
        <x:v>Creatine Monohydrate</x:v>
      </x:c>
      <x:c r="D3379" t="str">
        <x:v>Supplements</x:v>
      </x:c>
      <x:c r="E3379" t="str">
        <x:v>Creatine Powders</x:v>
      </x:c>
      <x:c r="F3379" t="str"/>
      <x:c r="G3379" t="str">
        <x:v>306g</x:v>
      </x:c>
      <x:c r="H3379" t="str">
        <x:v>Unflavoured</x:v>
      </x:c>
      <x:c r="I3379" t="str"/>
      <x:c r="J3379" t="str">
        <x:v>Unit</x:v>
      </x:c>
      <x:c r="K3379" t="str">
        <x:v>In stock</x:v>
      </x:c>
      <x:c r="L3379" t="str">
        <x:v>2026-09-08</x:v>
      </x:c>
      <x:c r="M3379" t="str"/>
      <x:c r="N3379" t="str"/>
      <x:c r="O3379" t="str">
        <x:v>https://www.activesportstrade.co.uk/Creatine-Powders-Trade</x:v>
      </x:c>
      <x:c r="P3379" t="str">
        <x:v>SEPTEMBER SPECIAL OFFER PRICE wording stripped.</x:v>
      </x:c>
      <x:c r="Q3379" t="str"/>
      <x:c r="R3379" t="str"/>
      <x:c r="S3379" t="str">
        <x:v>Pending genuine supplier/brand image</x:v>
      </x:c>
      <x:c r="T3379" s="54"/>
      <x:c r="U3379" s="47" t="n">
        <x:v>0.2</x:v>
      </x:c>
      <x:c r="V3379" s="54" t="str">
        <x:f>IF(ISNUMBER(T3379),T3379*(1+U3379),"")</x:f>
      </x:c>
      <x:c r="W3379" s="47" t="n">
        <x:v>0.3</x:v>
      </x:c>
      <x:c r="X3379" s="54" t="str">
        <x:f>IF(ISNUMBER(V3379),V3379/(1-W3379),"")</x:f>
      </x:c>
      <x:c r="Y3379" s="55" t="str">
        <x:f>IF(ISNUMBER(X3379),ROUNDUP(X3379,0),"")</x:f>
      </x:c>
      <x:c r="Z3379" t="str">
        <x:f>IF(ISNUMBER(T3379),"Cost captured","Awaiting trade cost")</x:f>
        <x:v>Awaiting trade cost</x:v>
      </x:c>
      <x:c r="AB3379" s="36" t="str">
        <x:f>IF(ISNUMBER(Y3379),ROUND(Y3379*0.9,2),"")</x:f>
      </x:c>
      <x:c r="AC3379" s="36" t="str">
        <x:f>IF(ISNUMBER(AB3379),ROUND(AB3379-(AB3379*0.015+0.2)-V3379,2),"")</x:f>
      </x:c>
      <x:c r="AD3379" s="36" t="str">
        <x:f>IF(ISNUMBER(Y3379),ROUND(Y3379*0.8,2),"")</x:f>
      </x:c>
      <x:c r="AE3379" s="36" t="str">
        <x:f>IF(ISNUMBER(AD3379),ROUND(AD3379*0.015+0.2,2),"")</x:f>
      </x:c>
      <x:c r="AF3379" s="36" t="str">
        <x:f>IF(ISNUMBER(AD3379),ROUND(AD3379-AE3379-V3379,2),"")</x:f>
      </x:c>
      <x:c r="AG3379" t="str">
        <x:f>IF(NOT(ISNUMBER(T3379)),"PENDING",IF(AF3379&gt;0,"PASS","FAIL"))</x:f>
        <x:v>PENDING</x:v>
      </x:c>
      <x:c r="AH3379" t="str">
        <x:f>IF(NOT(ISNUMBER(T3379)),"Needs supplier cost",IF(K3379&lt;&gt;"In stock","Supplier unavailable",IF(AG3379&lt;&gt;"PASS","BLOCK - GT loss risk","Commercially protected")))</x:f>
        <x:v>Needs supplier cost</x:v>
      </x:c>
      <x:c r="AI3379" t="str">
        <x:v>2026-09-10 Active Sports trade capture</x:v>
      </x:c>
      <x:c r="AJ3379" t="str">
        <x:v>Management-only economics. Stripe stress test uses 1.5% + £0.20 standard UK online-card fee; pallet/mix-and-match pricing ignored.</x:v>
      </x:c>
    </x:row>
    <x:row r="3380">
      <x:c r="A3380" t="str">
        <x:v>Active Sports Nutrition</x:v>
      </x:c>
      <x:c r="B3380" t="str">
        <x:v>Rich Piana 5%</x:v>
      </x:c>
      <x:c r="C3380" t="str">
        <x:v>Crea-Ten</x:v>
      </x:c>
      <x:c r="D3380" t="str">
        <x:v>Supplements</x:v>
      </x:c>
      <x:c r="E3380" t="str">
        <x:v>Creatine Powders</x:v>
      </x:c>
      <x:c r="F3380" t="str"/>
      <x:c r="G3380" t="str">
        <x:v>25 servings</x:v>
      </x:c>
      <x:c r="H3380" t="str">
        <x:v>Blue Lemonade</x:v>
      </x:c>
      <x:c r="I3380" t="str"/>
      <x:c r="J3380" t="str">
        <x:v>Unit</x:v>
      </x:c>
      <x:c r="K3380" t="str">
        <x:v>In stock</x:v>
      </x:c>
      <x:c r="L3380" t="str">
        <x:v>2026-09-08</x:v>
      </x:c>
      <x:c r="M3380" t="str"/>
      <x:c r="N3380" t="str"/>
      <x:c r="O3380" t="str">
        <x:v>https://www.activesportstrade.co.uk/Creatine-Powders-Trade</x:v>
      </x:c>
      <x:c r="P3380" t="str"/>
      <x:c r="Q3380" t="str"/>
      <x:c r="R3380" t="str"/>
      <x:c r="S3380" t="str">
        <x:v>Pending genuine supplier/brand image</x:v>
      </x:c>
      <x:c r="T3380" s="54" t="n">
        <x:v>15.99</x:v>
      </x:c>
      <x:c r="U3380" s="47" t="n">
        <x:v>0.2</x:v>
      </x:c>
      <x:c r="V3380" s="54" t="n">
        <x:f>IF(ISNUMBER(T3380),T3380*(1+U3380),"")</x:f>
        <x:v>19.188</x:v>
      </x:c>
      <x:c r="W3380" s="47" t="n">
        <x:v>0.3</x:v>
      </x:c>
      <x:c r="X3380" s="54" t="n">
        <x:f>IF(ISNUMBER(V3380),V3380/(1-W3380),"")</x:f>
        <x:v>27.411428571428573</x:v>
      </x:c>
      <x:c r="Y3380" s="55" t="n">
        <x:f>IF(ISNUMBER(X3380),ROUNDUP(X3380,0),"")</x:f>
        <x:v>28</x:v>
      </x:c>
      <x:c r="Z3380" t="str">
        <x:v>Source match pending</x:v>
      </x:c>
      <x:c r="AA3380" t="str">
        <x:v>screencapture-www-activesportstrade-co-uk-rich-piana-2026-09-09-18_53_05.png / page-001</x:v>
      </x:c>
      <x:c r="AB3380" s="36" t="n">
        <x:f>IF(ISNUMBER(Y3380),ROUND(Y3380*0.9,2),"")</x:f>
        <x:v>25.2</x:v>
      </x:c>
      <x:c r="AC3380" s="36" t="n">
        <x:f>IF(ISNUMBER(AB3380),ROUND(AB3380-(AB3380*0.015+0.2)-V3380,2),"")</x:f>
        <x:v>5.43</x:v>
      </x:c>
      <x:c r="AD3380" s="36" t="n">
        <x:f>IF(ISNUMBER(Y3380),ROUND(Y3380*0.8,2),"")</x:f>
        <x:v>22.4</x:v>
      </x:c>
      <x:c r="AE3380" s="36" t="n">
        <x:f>IF(ISNUMBER(AD3380),ROUND(AD3380*0.015+0.2,2),"")</x:f>
        <x:v>0.54</x:v>
      </x:c>
      <x:c r="AF3380" s="36" t="n">
        <x:f>IF(ISNUMBER(AD3380),ROUND(AD3380-AE3380-V3380,2),"")</x:f>
        <x:v>2.67</x:v>
      </x:c>
      <x:c r="AG3380" t="str">
        <x:f>IF(NOT(ISNUMBER(T3380)),"PENDING",IF(AF3380&gt;0,"PASS","FAIL"))</x:f>
        <x:v>PASS</x:v>
      </x:c>
      <x:c r="AH3380" t="str">
        <x:f>IF(NOT(ISNUMBER(T3380)),"Needs supplier cost",IF(K3380&lt;&gt;"In stock","Supplier unavailable",IF(AG3380&lt;&gt;"PASS","BLOCK - GT loss risk","Commercially protected")))</x:f>
        <x:v>Commercially protected</x:v>
      </x:c>
      <x:c r="AI3380" t="str">
        <x:v>2026-09-10 Active Sports trade capture</x:v>
      </x:c>
      <x:c r="AJ3380" t="str">
        <x:v>Management-only economics. Stripe stress test uses 1.5% + £0.20 standard UK online-card fee; pallet/mix-and-match pricing ignored.</x:v>
      </x:c>
    </x:row>
    <x:row r="3381">
      <x:c r="A3381" t="str">
        <x:v>Active Sports Nutrition</x:v>
      </x:c>
      <x:c r="B3381" t="str">
        <x:v>Rich Piana 5%</x:v>
      </x:c>
      <x:c r="C3381" t="str">
        <x:v>Crea-Ten</x:v>
      </x:c>
      <x:c r="D3381" t="str">
        <x:v>Supplements</x:v>
      </x:c>
      <x:c r="E3381" t="str">
        <x:v>Creatine Powders</x:v>
      </x:c>
      <x:c r="F3381" t="str"/>
      <x:c r="G3381" t="str">
        <x:v>25 servings</x:v>
      </x:c>
      <x:c r="H3381" t="str">
        <x:v>Blue Raspberry</x:v>
      </x:c>
      <x:c r="I3381" t="str"/>
      <x:c r="J3381" t="str">
        <x:v>Unit</x:v>
      </x:c>
      <x:c r="K3381" t="str">
        <x:v>In stock</x:v>
      </x:c>
      <x:c r="L3381" t="str">
        <x:v>2026-09-08</x:v>
      </x:c>
      <x:c r="M3381" t="str"/>
      <x:c r="N3381" t="str"/>
      <x:c r="O3381" t="str">
        <x:v>https://www.activesportstrade.co.uk/Creatine-Powders-Trade</x:v>
      </x:c>
      <x:c r="P3381" t="str"/>
      <x:c r="Q3381" t="str"/>
      <x:c r="R3381" t="str"/>
      <x:c r="S3381" t="str">
        <x:v>Pending genuine supplier/brand image</x:v>
      </x:c>
      <x:c r="T3381" s="54" t="n">
        <x:v>15.99</x:v>
      </x:c>
      <x:c r="U3381" s="47" t="n">
        <x:v>0.2</x:v>
      </x:c>
      <x:c r="V3381" s="54" t="n">
        <x:f>IF(ISNUMBER(T3381),T3381*(1+U3381),"")</x:f>
        <x:v>19.188</x:v>
      </x:c>
      <x:c r="W3381" s="47" t="n">
        <x:v>0.3</x:v>
      </x:c>
      <x:c r="X3381" s="54" t="n">
        <x:f>IF(ISNUMBER(V3381),V3381/(1-W3381),"")</x:f>
        <x:v>27.411428571428573</x:v>
      </x:c>
      <x:c r="Y3381" s="55" t="n">
        <x:f>IF(ISNUMBER(X3381),ROUNDUP(X3381,0),"")</x:f>
        <x:v>28</x:v>
      </x:c>
      <x:c r="Z3381" t="str">
        <x:v>Source match pending</x:v>
      </x:c>
      <x:c r="AA3381" t="str">
        <x:v>screencapture-www-activesportstrade-co-uk-rich-piana-2026-09-09-18_53_05.png / page-001</x:v>
      </x:c>
      <x:c r="AB3381" s="36" t="n">
        <x:f>IF(ISNUMBER(Y3381),ROUND(Y3381*0.9,2),"")</x:f>
        <x:v>25.2</x:v>
      </x:c>
      <x:c r="AC3381" s="36" t="n">
        <x:f>IF(ISNUMBER(AB3381),ROUND(AB3381-(AB3381*0.015+0.2)-V3381,2),"")</x:f>
        <x:v>5.43</x:v>
      </x:c>
      <x:c r="AD3381" s="36" t="n">
        <x:f>IF(ISNUMBER(Y3381),ROUND(Y3381*0.8,2),"")</x:f>
        <x:v>22.4</x:v>
      </x:c>
      <x:c r="AE3381" s="36" t="n">
        <x:f>IF(ISNUMBER(AD3381),ROUND(AD3381*0.015+0.2,2),"")</x:f>
        <x:v>0.54</x:v>
      </x:c>
      <x:c r="AF3381" s="36" t="n">
        <x:f>IF(ISNUMBER(AD3381),ROUND(AD3381-AE3381-V3381,2),"")</x:f>
        <x:v>2.67</x:v>
      </x:c>
      <x:c r="AG3381" t="str">
        <x:f>IF(NOT(ISNUMBER(T3381)),"PENDING",IF(AF3381&gt;0,"PASS","FAIL"))</x:f>
        <x:v>PASS</x:v>
      </x:c>
      <x:c r="AH3381" t="str">
        <x:f>IF(NOT(ISNUMBER(T3381)),"Needs supplier cost",IF(K3381&lt;&gt;"In stock","Supplier unavailable",IF(AG3381&lt;&gt;"PASS","BLOCK - GT loss risk","Commercially protected")))</x:f>
        <x:v>Commercially protected</x:v>
      </x:c>
      <x:c r="AI3381" t="str">
        <x:v>2026-09-10 Active Sports trade capture</x:v>
      </x:c>
      <x:c r="AJ3381" t="str">
        <x:v>Management-only economics. Stripe stress test uses 1.5% + £0.20 standard UK online-card fee; pallet/mix-and-match pricing ignored.</x:v>
      </x:c>
    </x:row>
    <x:row r="3382">
      <x:c r="A3382" t="str">
        <x:v>Active Sports Nutrition</x:v>
      </x:c>
      <x:c r="B3382" t="str">
        <x:v>Rich Piana 5%</x:v>
      </x:c>
      <x:c r="C3382" t="str">
        <x:v>Crea-Ten</x:v>
      </x:c>
      <x:c r="D3382" t="str">
        <x:v>Supplements</x:v>
      </x:c>
      <x:c r="E3382" t="str">
        <x:v>Creatine Powders</x:v>
      </x:c>
      <x:c r="F3382" t="str"/>
      <x:c r="G3382" t="str">
        <x:v>25 servings</x:v>
      </x:c>
      <x:c r="H3382" t="str">
        <x:v>Fruit Punch</x:v>
      </x:c>
      <x:c r="I3382" t="str"/>
      <x:c r="J3382" t="str">
        <x:v>Unit</x:v>
      </x:c>
      <x:c r="K3382" t="str">
        <x:v>In stock</x:v>
      </x:c>
      <x:c r="L3382" t="str">
        <x:v>2026-09-08</x:v>
      </x:c>
      <x:c r="M3382" t="str"/>
      <x:c r="N3382" t="str"/>
      <x:c r="O3382" t="str">
        <x:v>https://www.activesportstrade.co.uk/Creatine-Powders-Trade</x:v>
      </x:c>
      <x:c r="P3382" t="str"/>
      <x:c r="Q3382" t="str"/>
      <x:c r="R3382" t="str"/>
      <x:c r="S3382" t="str">
        <x:v>Pending genuine supplier/brand image</x:v>
      </x:c>
      <x:c r="T3382" s="54" t="n">
        <x:v>15.99</x:v>
      </x:c>
      <x:c r="U3382" s="47" t="n">
        <x:v>0.2</x:v>
      </x:c>
      <x:c r="V3382" s="54" t="n">
        <x:f>IF(ISNUMBER(T3382),T3382*(1+U3382),"")</x:f>
        <x:v>19.188</x:v>
      </x:c>
      <x:c r="W3382" s="47" t="n">
        <x:v>0.3</x:v>
      </x:c>
      <x:c r="X3382" s="54" t="n">
        <x:f>IF(ISNUMBER(V3382),V3382/(1-W3382),"")</x:f>
        <x:v>27.411428571428573</x:v>
      </x:c>
      <x:c r="Y3382" s="55" t="n">
        <x:f>IF(ISNUMBER(X3382),ROUNDUP(X3382,0),"")</x:f>
        <x:v>28</x:v>
      </x:c>
      <x:c r="Z3382" t="str">
        <x:v>Source match pending</x:v>
      </x:c>
      <x:c r="AA3382" t="str">
        <x:v>screencapture-www-activesportstrade-co-uk-rich-piana-2026-09-09-18_53_05.png / page-001</x:v>
      </x:c>
      <x:c r="AB3382" s="36" t="n">
        <x:f>IF(ISNUMBER(Y3382),ROUND(Y3382*0.9,2),"")</x:f>
        <x:v>25.2</x:v>
      </x:c>
      <x:c r="AC3382" s="36" t="n">
        <x:f>IF(ISNUMBER(AB3382),ROUND(AB3382-(AB3382*0.015+0.2)-V3382,2),"")</x:f>
        <x:v>5.43</x:v>
      </x:c>
      <x:c r="AD3382" s="36" t="n">
        <x:f>IF(ISNUMBER(Y3382),ROUND(Y3382*0.8,2),"")</x:f>
        <x:v>22.4</x:v>
      </x:c>
      <x:c r="AE3382" s="36" t="n">
        <x:f>IF(ISNUMBER(AD3382),ROUND(AD3382*0.015+0.2,2),"")</x:f>
        <x:v>0.54</x:v>
      </x:c>
      <x:c r="AF3382" s="36" t="n">
        <x:f>IF(ISNUMBER(AD3382),ROUND(AD3382-AE3382-V3382,2),"")</x:f>
        <x:v>2.67</x:v>
      </x:c>
      <x:c r="AG3382" t="str">
        <x:f>IF(NOT(ISNUMBER(T3382)),"PENDING",IF(AF3382&gt;0,"PASS","FAIL"))</x:f>
        <x:v>PASS</x:v>
      </x:c>
      <x:c r="AH3382" t="str">
        <x:f>IF(NOT(ISNUMBER(T3382)),"Needs supplier cost",IF(K3382&lt;&gt;"In stock","Supplier unavailable",IF(AG3382&lt;&gt;"PASS","BLOCK - GT loss risk","Commercially protected")))</x:f>
        <x:v>Commercially protected</x:v>
      </x:c>
      <x:c r="AI3382" t="str">
        <x:v>2026-09-10 Active Sports trade capture</x:v>
      </x:c>
      <x:c r="AJ3382" t="str">
        <x:v>Management-only economics. Stripe stress test uses 1.5% + £0.20 standard UK online-card fee; pallet/mix-and-match pricing ignored.</x:v>
      </x:c>
    </x:row>
    <x:row r="3383">
      <x:c r="A3383" t="str">
        <x:v>Active Sports Nutrition</x:v>
      </x:c>
      <x:c r="B3383" t="str">
        <x:v>Rich Piana 5%</x:v>
      </x:c>
      <x:c r="C3383" t="str">
        <x:v>Crea-Ten</x:v>
      </x:c>
      <x:c r="D3383" t="str">
        <x:v>Supplements</x:v>
      </x:c>
      <x:c r="E3383" t="str">
        <x:v>Creatine Powders</x:v>
      </x:c>
      <x:c r="F3383" t="str"/>
      <x:c r="G3383" t="str">
        <x:v>25 servings</x:v>
      </x:c>
      <x:c r="H3383" t="str">
        <x:v>Lemon &amp; Lime</x:v>
      </x:c>
      <x:c r="I3383" t="str"/>
      <x:c r="J3383" t="str">
        <x:v>Unit</x:v>
      </x:c>
      <x:c r="K3383" t="str">
        <x:v>Out of stock</x:v>
      </x:c>
      <x:c r="L3383" t="str">
        <x:v>2026-09-08</x:v>
      </x:c>
      <x:c r="M3383" t="str"/>
      <x:c r="N3383" t="str"/>
      <x:c r="O3383" t="str">
        <x:v>https://www.activesportstrade.co.uk/Creatine-Powders-Trade</x:v>
      </x:c>
      <x:c r="P3383" t="str"/>
      <x:c r="Q3383" t="str"/>
      <x:c r="R3383" t="str"/>
      <x:c r="S3383" t="str">
        <x:v>Pending genuine supplier/brand image</x:v>
      </x:c>
      <x:c r="T3383" s="54" t="n">
        <x:v>15.99</x:v>
      </x:c>
      <x:c r="U3383" s="47" t="n">
        <x:v>0.2</x:v>
      </x:c>
      <x:c r="V3383" s="54" t="n">
        <x:f>IF(ISNUMBER(T3383),T3383*(1+U3383),"")</x:f>
        <x:v>19.188</x:v>
      </x:c>
      <x:c r="W3383" s="47" t="n">
        <x:v>0.3</x:v>
      </x:c>
      <x:c r="X3383" s="54" t="n">
        <x:f>IF(ISNUMBER(V3383),V3383/(1-W3383),"")</x:f>
        <x:v>27.411428571428573</x:v>
      </x:c>
      <x:c r="Y3383" s="55" t="n">
        <x:f>IF(ISNUMBER(X3383),ROUNDUP(X3383,0),"")</x:f>
        <x:v>28</x:v>
      </x:c>
      <x:c r="Z3383" t="str">
        <x:v>Source match pending</x:v>
      </x:c>
      <x:c r="AA3383" t="str">
        <x:v>screencapture-www-activesportstrade-co-uk-rich-piana-2026-09-09-18_53_05.png / page-001</x:v>
      </x:c>
      <x:c r="AB3383" s="36" t="n">
        <x:f>IF(ISNUMBER(Y3383),ROUND(Y3383*0.9,2),"")</x:f>
        <x:v>25.2</x:v>
      </x:c>
      <x:c r="AC3383" s="36" t="n">
        <x:f>IF(ISNUMBER(AB3383),ROUND(AB3383-(AB3383*0.015+0.2)-V3383,2),"")</x:f>
        <x:v>5.43</x:v>
      </x:c>
      <x:c r="AD3383" s="36" t="n">
        <x:f>IF(ISNUMBER(Y3383),ROUND(Y3383*0.8,2),"")</x:f>
        <x:v>22.4</x:v>
      </x:c>
      <x:c r="AE3383" s="36" t="n">
        <x:f>IF(ISNUMBER(AD3383),ROUND(AD3383*0.015+0.2,2),"")</x:f>
        <x:v>0.54</x:v>
      </x:c>
      <x:c r="AF3383" s="36" t="n">
        <x:f>IF(ISNUMBER(AD3383),ROUND(AD3383-AE3383-V3383,2),"")</x:f>
        <x:v>2.67</x:v>
      </x:c>
      <x:c r="AG3383" t="str">
        <x:f>IF(NOT(ISNUMBER(T3383)),"PENDING",IF(AF3383&gt;0,"PASS","FAIL"))</x:f>
        <x:v>PASS</x:v>
      </x:c>
      <x:c r="AH3383" t="str">
        <x:f>IF(NOT(ISNUMBER(T3383)),"Needs supplier cost",IF(K3383&lt;&gt;"In stock","Supplier unavailable",IF(AG3383&lt;&gt;"PASS","BLOCK - GT loss risk","Commercially protected")))</x:f>
        <x:v>Supplier unavailable</x:v>
      </x:c>
      <x:c r="AI3383" t="str">
        <x:v>2026-09-10 Active Sports trade capture</x:v>
      </x:c>
      <x:c r="AJ3383" t="str">
        <x:v>Management-only economics. Stripe stress test uses 1.5% + £0.20 standard UK online-card fee; pallet/mix-and-match pricing ignored.</x:v>
      </x:c>
    </x:row>
    <x:row r="3384">
      <x:c r="A3384" t="str">
        <x:v>Active Sports Nutrition</x:v>
      </x:c>
      <x:c r="B3384" t="str">
        <x:v>Rich Piana 5%</x:v>
      </x:c>
      <x:c r="C3384" t="str">
        <x:v>Crea-Ten</x:v>
      </x:c>
      <x:c r="D3384" t="str">
        <x:v>Supplements</x:v>
      </x:c>
      <x:c r="E3384" t="str">
        <x:v>Creatine Powders</x:v>
      </x:c>
      <x:c r="F3384" t="str"/>
      <x:c r="G3384" t="str">
        <x:v>25 servings</x:v>
      </x:c>
      <x:c r="H3384" t="str">
        <x:v>Mango Pineapple</x:v>
      </x:c>
      <x:c r="I3384" t="str"/>
      <x:c r="J3384" t="str">
        <x:v>Unit</x:v>
      </x:c>
      <x:c r="K3384" t="str">
        <x:v>Out of stock</x:v>
      </x:c>
      <x:c r="L3384" t="str">
        <x:v>2026-09-08</x:v>
      </x:c>
      <x:c r="M3384" t="str"/>
      <x:c r="N3384" t="str"/>
      <x:c r="O3384" t="str">
        <x:v>https://www.activesportstrade.co.uk/Creatine-Powders-Trade</x:v>
      </x:c>
      <x:c r="P3384" t="str"/>
      <x:c r="Q3384" t="str"/>
      <x:c r="R3384" t="str"/>
      <x:c r="S3384" t="str">
        <x:v>Pending genuine supplier/brand image</x:v>
      </x:c>
      <x:c r="T3384" s="54" t="n">
        <x:v>15.99</x:v>
      </x:c>
      <x:c r="U3384" s="47" t="n">
        <x:v>0.2</x:v>
      </x:c>
      <x:c r="V3384" s="54" t="n">
        <x:f>IF(ISNUMBER(T3384),T3384*(1+U3384),"")</x:f>
        <x:v>19.188</x:v>
      </x:c>
      <x:c r="W3384" s="47" t="n">
        <x:v>0.3</x:v>
      </x:c>
      <x:c r="X3384" s="54" t="n">
        <x:f>IF(ISNUMBER(V3384),V3384/(1-W3384),"")</x:f>
        <x:v>27.411428571428573</x:v>
      </x:c>
      <x:c r="Y3384" s="55" t="n">
        <x:f>IF(ISNUMBER(X3384),ROUNDUP(X3384,0),"")</x:f>
        <x:v>28</x:v>
      </x:c>
      <x:c r="Z3384" t="str">
        <x:v>Source match pending</x:v>
      </x:c>
      <x:c r="AA3384" t="str">
        <x:v>screencapture-www-activesportstrade-co-uk-rich-piana-2026-09-09-18_53_05.png / page-001</x:v>
      </x:c>
      <x:c r="AB3384" s="36" t="n">
        <x:f>IF(ISNUMBER(Y3384),ROUND(Y3384*0.9,2),"")</x:f>
        <x:v>25.2</x:v>
      </x:c>
      <x:c r="AC3384" s="36" t="n">
        <x:f>IF(ISNUMBER(AB3384),ROUND(AB3384-(AB3384*0.015+0.2)-V3384,2),"")</x:f>
        <x:v>5.43</x:v>
      </x:c>
      <x:c r="AD3384" s="36" t="n">
        <x:f>IF(ISNUMBER(Y3384),ROUND(Y3384*0.8,2),"")</x:f>
        <x:v>22.4</x:v>
      </x:c>
      <x:c r="AE3384" s="36" t="n">
        <x:f>IF(ISNUMBER(AD3384),ROUND(AD3384*0.015+0.2,2),"")</x:f>
        <x:v>0.54</x:v>
      </x:c>
      <x:c r="AF3384" s="36" t="n">
        <x:f>IF(ISNUMBER(AD3384),ROUND(AD3384-AE3384-V3384,2),"")</x:f>
        <x:v>2.67</x:v>
      </x:c>
      <x:c r="AG3384" t="str">
        <x:f>IF(NOT(ISNUMBER(T3384)),"PENDING",IF(AF3384&gt;0,"PASS","FAIL"))</x:f>
        <x:v>PASS</x:v>
      </x:c>
      <x:c r="AH3384" t="str">
        <x:f>IF(NOT(ISNUMBER(T3384)),"Needs supplier cost",IF(K3384&lt;&gt;"In stock","Supplier unavailable",IF(AG3384&lt;&gt;"PASS","BLOCK - GT loss risk","Commercially protected")))</x:f>
        <x:v>Supplier unavailable</x:v>
      </x:c>
      <x:c r="AI3384" t="str">
        <x:v>2026-09-10 Active Sports trade capture</x:v>
      </x:c>
      <x:c r="AJ3384" t="str">
        <x:v>Management-only economics. Stripe stress test uses 1.5% + £0.20 standard UK online-card fee; pallet/mix-and-match pricing ignored.</x:v>
      </x:c>
    </x:row>
    <x:row r="3385">
      <x:c r="A3385" t="str">
        <x:v>Active Sports Nutrition</x:v>
      </x:c>
      <x:c r="B3385" t="str">
        <x:v>Rich Piana 5%</x:v>
      </x:c>
      <x:c r="C3385" t="str">
        <x:v>Crea-Ten</x:v>
      </x:c>
      <x:c r="D3385" t="str">
        <x:v>Supplements</x:v>
      </x:c>
      <x:c r="E3385" t="str">
        <x:v>Creatine Powders</x:v>
      </x:c>
      <x:c r="F3385" t="str"/>
      <x:c r="G3385" t="str">
        <x:v>25 servings</x:v>
      </x:c>
      <x:c r="H3385" t="str">
        <x:v>Push Pop</x:v>
      </x:c>
      <x:c r="I3385" t="str"/>
      <x:c r="J3385" t="str">
        <x:v>Unit</x:v>
      </x:c>
      <x:c r="K3385" t="str">
        <x:v>In stock</x:v>
      </x:c>
      <x:c r="L3385" t="str">
        <x:v>2026-09-08</x:v>
      </x:c>
      <x:c r="M3385" t="str"/>
      <x:c r="N3385" t="str"/>
      <x:c r="O3385" t="str">
        <x:v>https://www.activesportstrade.co.uk/Creatine-Powders-Trade</x:v>
      </x:c>
      <x:c r="P3385" t="str"/>
      <x:c r="Q3385" t="str"/>
      <x:c r="R3385" t="str"/>
      <x:c r="S3385" t="str">
        <x:v>Pending genuine supplier/brand image</x:v>
      </x:c>
      <x:c r="T3385" s="54" t="n">
        <x:v>15.99</x:v>
      </x:c>
      <x:c r="U3385" s="47" t="n">
        <x:v>0.2</x:v>
      </x:c>
      <x:c r="V3385" s="54" t="n">
        <x:f>IF(ISNUMBER(T3385),T3385*(1+U3385),"")</x:f>
        <x:v>19.188</x:v>
      </x:c>
      <x:c r="W3385" s="47" t="n">
        <x:v>0.3</x:v>
      </x:c>
      <x:c r="X3385" s="54" t="n">
        <x:f>IF(ISNUMBER(V3385),V3385/(1-W3385),"")</x:f>
        <x:v>27.411428571428573</x:v>
      </x:c>
      <x:c r="Y3385" s="55" t="n">
        <x:f>IF(ISNUMBER(X3385),ROUNDUP(X3385,0),"")</x:f>
        <x:v>28</x:v>
      </x:c>
      <x:c r="Z3385" t="str">
        <x:v>Source match pending</x:v>
      </x:c>
      <x:c r="AA3385" t="str">
        <x:v>screencapture-www-activesportstrade-co-uk-rich-piana-2026-09-09-18_53_05.png / page-001</x:v>
      </x:c>
      <x:c r="AB3385" s="36" t="n">
        <x:f>IF(ISNUMBER(Y3385),ROUND(Y3385*0.9,2),"")</x:f>
        <x:v>25.2</x:v>
      </x:c>
      <x:c r="AC3385" s="36" t="n">
        <x:f>IF(ISNUMBER(AB3385),ROUND(AB3385-(AB3385*0.015+0.2)-V3385,2),"")</x:f>
        <x:v>5.43</x:v>
      </x:c>
      <x:c r="AD3385" s="36" t="n">
        <x:f>IF(ISNUMBER(Y3385),ROUND(Y3385*0.8,2),"")</x:f>
        <x:v>22.4</x:v>
      </x:c>
      <x:c r="AE3385" s="36" t="n">
        <x:f>IF(ISNUMBER(AD3385),ROUND(AD3385*0.015+0.2,2),"")</x:f>
        <x:v>0.54</x:v>
      </x:c>
      <x:c r="AF3385" s="36" t="n">
        <x:f>IF(ISNUMBER(AD3385),ROUND(AD3385-AE3385-V3385,2),"")</x:f>
        <x:v>2.67</x:v>
      </x:c>
      <x:c r="AG3385" t="str">
        <x:f>IF(NOT(ISNUMBER(T3385)),"PENDING",IF(AF3385&gt;0,"PASS","FAIL"))</x:f>
        <x:v>PASS</x:v>
      </x:c>
      <x:c r="AH3385" t="str">
        <x:f>IF(NOT(ISNUMBER(T3385)),"Needs supplier cost",IF(K3385&lt;&gt;"In stock","Supplier unavailable",IF(AG3385&lt;&gt;"PASS","BLOCK - GT loss risk","Commercially protected")))</x:f>
        <x:v>Commercially protected</x:v>
      </x:c>
      <x:c r="AI3385" t="str">
        <x:v>2026-09-10 Active Sports trade capture</x:v>
      </x:c>
      <x:c r="AJ3385" t="str">
        <x:v>Management-only economics. Stripe stress test uses 1.5% + £0.20 standard UK online-card fee; pallet/mix-and-match pricing ignored.</x:v>
      </x:c>
    </x:row>
    <x:row r="3386">
      <x:c r="A3386" t="str">
        <x:v>Active Sports Nutrition</x:v>
      </x:c>
      <x:c r="B3386" t="str">
        <x:v>Naughty Boy Lifestyle</x:v>
      </x:c>
      <x:c r="C3386" t="str">
        <x:v>Crea-Greens</x:v>
      </x:c>
      <x:c r="D3386" t="str">
        <x:v>Supplements</x:v>
      </x:c>
      <x:c r="E3386" t="str">
        <x:v>Creatine / Greens</x:v>
      </x:c>
      <x:c r="F3386" t="str"/>
      <x:c r="G3386" t="str">
        <x:v>30 servings</x:v>
      </x:c>
      <x:c r="H3386" t="str">
        <x:v>Iced Mango</x:v>
      </x:c>
      <x:c r="I3386" t="str"/>
      <x:c r="J3386" t="str">
        <x:v>Unit</x:v>
      </x:c>
      <x:c r="K3386" t="str">
        <x:v>In stock</x:v>
      </x:c>
      <x:c r="L3386" t="str">
        <x:v>2026-09-08</x:v>
      </x:c>
      <x:c r="M3386" t="str"/>
      <x:c r="N3386" t="str"/>
      <x:c r="O3386" t="str">
        <x:v>https://www.activesportstrade.co.uk/Creatine-Powders-Trade</x:v>
      </x:c>
      <x:c r="P3386" t="str"/>
      <x:c r="Q3386" t="str"/>
      <x:c r="R3386" t="str"/>
      <x:c r="S3386" t="str">
        <x:v>Pending genuine supplier/brand image</x:v>
      </x:c>
      <x:c r="T3386" s="54"/>
      <x:c r="U3386" s="47" t="n">
        <x:v>0.2</x:v>
      </x:c>
      <x:c r="V3386" s="54" t="str">
        <x:f>IF(ISNUMBER(T3386),T3386*(1+U3386),"")</x:f>
      </x:c>
      <x:c r="W3386" s="47" t="n">
        <x:v>0.3</x:v>
      </x:c>
      <x:c r="X3386" s="54" t="str">
        <x:f>IF(ISNUMBER(V3386),V3386/(1-W3386),"")</x:f>
      </x:c>
      <x:c r="Y3386" s="55" t="str">
        <x:f>IF(ISNUMBER(X3386),ROUNDUP(X3386,0),"")</x:f>
      </x:c>
      <x:c r="Z3386" t="str">
        <x:f>IF(ISNUMBER(T3386),"Cost captured","Awaiting trade cost")</x:f>
        <x:v>Awaiting trade cost</x:v>
      </x:c>
      <x:c r="AB3386" s="36" t="str">
        <x:f>IF(ISNUMBER(Y3386),ROUND(Y3386*0.9,2),"")</x:f>
      </x:c>
      <x:c r="AC3386" s="36" t="str">
        <x:f>IF(ISNUMBER(AB3386),ROUND(AB3386-(AB3386*0.015+0.2)-V3386,2),"")</x:f>
      </x:c>
      <x:c r="AD3386" s="36" t="str">
        <x:f>IF(ISNUMBER(Y3386),ROUND(Y3386*0.8,2),"")</x:f>
      </x:c>
      <x:c r="AE3386" s="36" t="str">
        <x:f>IF(ISNUMBER(AD3386),ROUND(AD3386*0.015+0.2,2),"")</x:f>
      </x:c>
      <x:c r="AF3386" s="36" t="str">
        <x:f>IF(ISNUMBER(AD3386),ROUND(AD3386-AE3386-V3386,2),"")</x:f>
      </x:c>
      <x:c r="AG3386" t="str">
        <x:f>IF(NOT(ISNUMBER(T3386)),"PENDING",IF(AF3386&gt;0,"PASS","FAIL"))</x:f>
        <x:v>PENDING</x:v>
      </x:c>
      <x:c r="AH3386" t="str">
        <x:f>IF(NOT(ISNUMBER(T3386)),"Needs supplier cost",IF(K3386&lt;&gt;"In stock","Supplier unavailable",IF(AG3386&lt;&gt;"PASS","BLOCK - GT loss risk","Commercially protected")))</x:f>
        <x:v>Needs supplier cost</x:v>
      </x:c>
      <x:c r="AI3386" t="str">
        <x:v>2026-09-10 Active Sports trade capture</x:v>
      </x:c>
      <x:c r="AJ3386" t="str">
        <x:v>Management-only economics. Stripe stress test uses 1.5% + £0.20 standard UK online-card fee; pallet/mix-and-match pricing ignored.</x:v>
      </x:c>
    </x:row>
    <x:row r="3387">
      <x:c r="A3387" t="str">
        <x:v>Active Sports Nutrition</x:v>
      </x:c>
      <x:c r="B3387" t="str">
        <x:v>Naughty Boy Lifestyle</x:v>
      </x:c>
      <x:c r="C3387" t="str">
        <x:v>Crea-Greens</x:v>
      </x:c>
      <x:c r="D3387" t="str">
        <x:v>Supplements</x:v>
      </x:c>
      <x:c r="E3387" t="str">
        <x:v>Creatine / Greens</x:v>
      </x:c>
      <x:c r="F3387" t="str"/>
      <x:c r="G3387" t="str">
        <x:v>30 servings</x:v>
      </x:c>
      <x:c r="H3387" t="str">
        <x:v>Passion Fruit</x:v>
      </x:c>
      <x:c r="I3387" t="str"/>
      <x:c r="J3387" t="str">
        <x:v>Unit</x:v>
      </x:c>
      <x:c r="K3387" t="str">
        <x:v>In stock</x:v>
      </x:c>
      <x:c r="L3387" t="str">
        <x:v>2026-09-08</x:v>
      </x:c>
      <x:c r="M3387" t="str"/>
      <x:c r="N3387" t="str"/>
      <x:c r="O3387" t="str">
        <x:v>https://www.activesportstrade.co.uk/Creatine-Powders-Trade</x:v>
      </x:c>
      <x:c r="P3387" t="str"/>
      <x:c r="Q3387" t="str"/>
      <x:c r="R3387" t="str"/>
      <x:c r="S3387" t="str">
        <x:v>Pending genuine supplier/brand image</x:v>
      </x:c>
      <x:c r="T3387" s="54"/>
      <x:c r="U3387" s="47" t="n">
        <x:v>0.2</x:v>
      </x:c>
      <x:c r="V3387" s="54" t="str">
        <x:f>IF(ISNUMBER(T3387),T3387*(1+U3387),"")</x:f>
      </x:c>
      <x:c r="W3387" s="47" t="n">
        <x:v>0.3</x:v>
      </x:c>
      <x:c r="X3387" s="54" t="str">
        <x:f>IF(ISNUMBER(V3387),V3387/(1-W3387),"")</x:f>
      </x:c>
      <x:c r="Y3387" s="55" t="str">
        <x:f>IF(ISNUMBER(X3387),ROUNDUP(X3387,0),"")</x:f>
      </x:c>
      <x:c r="Z3387" t="str">
        <x:f>IF(ISNUMBER(T3387),"Cost captured","Awaiting trade cost")</x:f>
        <x:v>Awaiting trade cost</x:v>
      </x:c>
      <x:c r="AB3387" s="36" t="str">
        <x:f>IF(ISNUMBER(Y3387),ROUND(Y3387*0.9,2),"")</x:f>
      </x:c>
      <x:c r="AC3387" s="36" t="str">
        <x:f>IF(ISNUMBER(AB3387),ROUND(AB3387-(AB3387*0.015+0.2)-V3387,2),"")</x:f>
      </x:c>
      <x:c r="AD3387" s="36" t="str">
        <x:f>IF(ISNUMBER(Y3387),ROUND(Y3387*0.8,2),"")</x:f>
      </x:c>
      <x:c r="AE3387" s="36" t="str">
        <x:f>IF(ISNUMBER(AD3387),ROUND(AD3387*0.015+0.2,2),"")</x:f>
      </x:c>
      <x:c r="AF3387" s="36" t="str">
        <x:f>IF(ISNUMBER(AD3387),ROUND(AD3387-AE3387-V3387,2),"")</x:f>
      </x:c>
      <x:c r="AG3387" t="str">
        <x:f>IF(NOT(ISNUMBER(T3387)),"PENDING",IF(AF3387&gt;0,"PASS","FAIL"))</x:f>
        <x:v>PENDING</x:v>
      </x:c>
      <x:c r="AH3387" t="str">
        <x:f>IF(NOT(ISNUMBER(T3387)),"Needs supplier cost",IF(K3387&lt;&gt;"In stock","Supplier unavailable",IF(AG3387&lt;&gt;"PASS","BLOCK - GT loss risk","Commercially protected")))</x:f>
        <x:v>Needs supplier cost</x:v>
      </x:c>
      <x:c r="AI3387" t="str">
        <x:v>2026-09-10 Active Sports trade capture</x:v>
      </x:c>
      <x:c r="AJ3387" t="str">
        <x:v>Management-only economics. Stripe stress test uses 1.5% + £0.20 standard UK online-card fee; pallet/mix-and-match pricing ignored.</x:v>
      </x:c>
    </x:row>
    <x:row r="3388">
      <x:c r="A3388" t="str">
        <x:v>Active Sports Nutrition</x:v>
      </x:c>
      <x:c r="B3388" t="str">
        <x:v>Naughty Boy Lifestyle</x:v>
      </x:c>
      <x:c r="C3388" t="str">
        <x:v>Crea-Greens</x:v>
      </x:c>
      <x:c r="D3388" t="str">
        <x:v>Supplements</x:v>
      </x:c>
      <x:c r="E3388" t="str">
        <x:v>Creatine / Greens</x:v>
      </x:c>
      <x:c r="F3388" t="str"/>
      <x:c r="G3388" t="str">
        <x:v>30 servings</x:v>
      </x:c>
      <x:c r="H3388" t="str">
        <x:v>Summer Fruits</x:v>
      </x:c>
      <x:c r="I3388" t="str"/>
      <x:c r="J3388" t="str">
        <x:v>Unit</x:v>
      </x:c>
      <x:c r="K3388" t="str">
        <x:v>Out of stock</x:v>
      </x:c>
      <x:c r="L3388" t="str">
        <x:v>2026-09-08</x:v>
      </x:c>
      <x:c r="M3388" t="str"/>
      <x:c r="N3388" t="str"/>
      <x:c r="O3388" t="str">
        <x:v>https://www.activesportstrade.co.uk/Creatine-Powders-Trade</x:v>
      </x:c>
      <x:c r="P3388" t="str"/>
      <x:c r="Q3388" t="str"/>
      <x:c r="R3388" t="str"/>
      <x:c r="S3388" t="str">
        <x:v>Pending genuine supplier/brand image</x:v>
      </x:c>
      <x:c r="T3388" s="54"/>
      <x:c r="U3388" s="47" t="n">
        <x:v>0.2</x:v>
      </x:c>
      <x:c r="V3388" s="54" t="str">
        <x:f>IF(ISNUMBER(T3388),T3388*(1+U3388),"")</x:f>
      </x:c>
      <x:c r="W3388" s="47" t="n">
        <x:v>0.3</x:v>
      </x:c>
      <x:c r="X3388" s="54" t="str">
        <x:f>IF(ISNUMBER(V3388),V3388/(1-W3388),"")</x:f>
      </x:c>
      <x:c r="Y3388" s="55" t="str">
        <x:f>IF(ISNUMBER(X3388),ROUNDUP(X3388,0),"")</x:f>
      </x:c>
      <x:c r="Z3388" t="str">
        <x:f>IF(ISNUMBER(T3388),"Cost captured","Awaiting trade cost")</x:f>
        <x:v>Awaiting trade cost</x:v>
      </x:c>
      <x:c r="AB3388" s="36" t="str">
        <x:f>IF(ISNUMBER(Y3388),ROUND(Y3388*0.9,2),"")</x:f>
      </x:c>
      <x:c r="AC3388" s="36" t="str">
        <x:f>IF(ISNUMBER(AB3388),ROUND(AB3388-(AB3388*0.015+0.2)-V3388,2),"")</x:f>
      </x:c>
      <x:c r="AD3388" s="36" t="str">
        <x:f>IF(ISNUMBER(Y3388),ROUND(Y3388*0.8,2),"")</x:f>
      </x:c>
      <x:c r="AE3388" s="36" t="str">
        <x:f>IF(ISNUMBER(AD3388),ROUND(AD3388*0.015+0.2,2),"")</x:f>
      </x:c>
      <x:c r="AF3388" s="36" t="str">
        <x:f>IF(ISNUMBER(AD3388),ROUND(AD3388-AE3388-V3388,2),"")</x:f>
      </x:c>
      <x:c r="AG3388" t="str">
        <x:f>IF(NOT(ISNUMBER(T3388)),"PENDING",IF(AF3388&gt;0,"PASS","FAIL"))</x:f>
        <x:v>PENDING</x:v>
      </x:c>
      <x:c r="AH3388" t="str">
        <x:f>IF(NOT(ISNUMBER(T3388)),"Needs supplier cost",IF(K3388&lt;&gt;"In stock","Supplier unavailable",IF(AG3388&lt;&gt;"PASS","BLOCK - GT loss risk","Commercially protected")))</x:f>
        <x:v>Needs supplier cost</x:v>
      </x:c>
      <x:c r="AI3388" t="str">
        <x:v>2026-09-10 Active Sports trade capture</x:v>
      </x:c>
      <x:c r="AJ3388" t="str">
        <x:v>Management-only economics. Stripe stress test uses 1.5% + £0.20 standard UK online-card fee; pallet/mix-and-match pricing ignored.</x:v>
      </x:c>
    </x:row>
    <x:row r="3389">
      <x:c r="A3389" t="str">
        <x:v>Active Sports Nutrition</x:v>
      </x:c>
      <x:c r="B3389" t="str">
        <x:v>Sci-Mx</x:v>
      </x:c>
      <x:c r="C3389" t="str">
        <x:v>EAA</x:v>
      </x:c>
      <x:c r="D3389" t="str">
        <x:v>Supplements</x:v>
      </x:c>
      <x:c r="E3389" t="str">
        <x:v>EAA / Amino Acids</x:v>
      </x:c>
      <x:c r="F3389" t="str"/>
      <x:c r="G3389" t="str">
        <x:v>250g</x:v>
      </x:c>
      <x:c r="H3389" t="str">
        <x:v>Blackcurrant</x:v>
      </x:c>
      <x:c r="I3389" t="str"/>
      <x:c r="J3389" t="str">
        <x:v>Unit</x:v>
      </x:c>
      <x:c r="K3389" t="str">
        <x:v>In stock</x:v>
      </x:c>
      <x:c r="L3389" t="str">
        <x:v>2026-09-08</x:v>
      </x:c>
      <x:c r="M3389" t="str"/>
      <x:c r="N3389" t="str"/>
      <x:c r="O3389" t="str">
        <x:v>https://www.activesportstrade.co.uk/BCAAS</x:v>
      </x:c>
      <x:c r="P3389" t="str"/>
      <x:c r="Q3389" t="str"/>
      <x:c r="R3389" t="str"/>
      <x:c r="S3389" t="str">
        <x:v>Pending genuine supplier/brand image</x:v>
      </x:c>
      <x:c r="T3389" s="54"/>
      <x:c r="U3389" s="47" t="n">
        <x:v>0.2</x:v>
      </x:c>
      <x:c r="V3389" s="54" t="str">
        <x:f>IF(ISNUMBER(T3389),T3389*(1+U3389),"")</x:f>
      </x:c>
      <x:c r="W3389" s="47" t="n">
        <x:v>0.3</x:v>
      </x:c>
      <x:c r="X3389" s="54" t="str">
        <x:f>IF(ISNUMBER(V3389),V3389/(1-W3389),"")</x:f>
      </x:c>
      <x:c r="Y3389" s="55" t="str">
        <x:f>IF(ISNUMBER(X3389),ROUNDUP(X3389,0),"")</x:f>
      </x:c>
      <x:c r="Z3389" t="str">
        <x:f>IF(ISNUMBER(T3389),"Cost captured","Awaiting trade cost")</x:f>
        <x:v>Awaiting trade cost</x:v>
      </x:c>
      <x:c r="AB3389" s="36" t="str">
        <x:f>IF(ISNUMBER(Y3389),ROUND(Y3389*0.9,2),"")</x:f>
      </x:c>
      <x:c r="AC3389" s="36" t="str">
        <x:f>IF(ISNUMBER(AB3389),ROUND(AB3389-(AB3389*0.015+0.2)-V3389,2),"")</x:f>
      </x:c>
      <x:c r="AD3389" s="36" t="str">
        <x:f>IF(ISNUMBER(Y3389),ROUND(Y3389*0.8,2),"")</x:f>
      </x:c>
      <x:c r="AE3389" s="36" t="str">
        <x:f>IF(ISNUMBER(AD3389),ROUND(AD3389*0.015+0.2,2),"")</x:f>
      </x:c>
      <x:c r="AF3389" s="36" t="str">
        <x:f>IF(ISNUMBER(AD3389),ROUND(AD3389-AE3389-V3389,2),"")</x:f>
      </x:c>
      <x:c r="AG3389" t="str">
        <x:f>IF(NOT(ISNUMBER(T3389)),"PENDING",IF(AF3389&gt;0,"PASS","FAIL"))</x:f>
        <x:v>PENDING</x:v>
      </x:c>
      <x:c r="AH3389" t="str">
        <x:f>IF(NOT(ISNUMBER(T3389)),"Needs supplier cost",IF(K3389&lt;&gt;"In stock","Supplier unavailable",IF(AG3389&lt;&gt;"PASS","BLOCK - GT loss risk","Commercially protected")))</x:f>
        <x:v>Needs supplier cost</x:v>
      </x:c>
      <x:c r="AI3389" t="str">
        <x:v>2026-09-10 Active Sports trade capture</x:v>
      </x:c>
      <x:c r="AJ3389" t="str">
        <x:v>Management-only economics. Stripe stress test uses 1.5% + £0.20 standard UK online-card fee; pallet/mix-and-match pricing ignored.</x:v>
      </x:c>
    </x:row>
    <x:row r="3390">
      <x:c r="A3390" t="str">
        <x:v>Active Sports Nutrition</x:v>
      </x:c>
      <x:c r="B3390" t="str">
        <x:v>Applied Nutrition</x:v>
      </x:c>
      <x:c r="C3390" t="str">
        <x:v>Endurance - Energy + Electrolytes</x:v>
      </x:c>
      <x:c r="D3390" t="str">
        <x:v>Supplements</x:v>
      </x:c>
      <x:c r="E3390" t="str">
        <x:v>Hydration / Carbohydrates</x:v>
      </x:c>
      <x:c r="F3390" t="str"/>
      <x:c r="G3390" t="str">
        <x:v>1.5kg</x:v>
      </x:c>
      <x:c r="H3390" t="str">
        <x:v>Blackcurrant</x:v>
      </x:c>
      <x:c r="I3390" t="str"/>
      <x:c r="J3390" t="str">
        <x:v>Unit</x:v>
      </x:c>
      <x:c r="K3390" t="str">
        <x:v>In stock</x:v>
      </x:c>
      <x:c r="L3390" t="str">
        <x:v>2026-09-08</x:v>
      </x:c>
      <x:c r="M3390" t="str"/>
      <x:c r="N3390" t="str"/>
      <x:c r="O3390" t="str">
        <x:v>https://www.activesportstrade.co.uk/hydration-supplements-trade</x:v>
      </x:c>
      <x:c r="P3390" t="str"/>
      <x:c r="Q3390" t="str"/>
      <x:c r="R3390" t="str"/>
      <x:c r="S3390" t="str">
        <x:v>Pending genuine supplier/brand image</x:v>
      </x:c>
      <x:c r="T3390" s="54" t="n">
        <x:v>12.99</x:v>
      </x:c>
      <x:c r="U3390" s="47" t="n">
        <x:v>0.2</x:v>
      </x:c>
      <x:c r="V3390" s="54" t="n">
        <x:f>IF(ISNUMBER(T3390),T3390*(1+U3390),"")</x:f>
        <x:v>15.588</x:v>
      </x:c>
      <x:c r="W3390" s="47" t="n">
        <x:v>0.3</x:v>
      </x:c>
      <x:c r="X3390" s="54" t="n">
        <x:f>IF(ISNUMBER(V3390),V3390/(1-W3390),"")</x:f>
        <x:v>22.26857142857143</x:v>
      </x:c>
      <x:c r="Y3390" s="55" t="n">
        <x:f>IF(ISNUMBER(X3390),ROUNDUP(X3390,0),"")</x:f>
        <x:v>23</x:v>
      </x:c>
      <x:c r="Z3390" t="str">
        <x:v>Source match pending</x:v>
      </x:c>
      <x:c r="AA3390" t="str">
        <x:v>screencapture-www-activesportstrade-co-uk-applied-nutrition-trade-2026-09-10-08_59_59.pdf / page-11</x:v>
      </x:c>
      <x:c r="AB3390" s="36" t="n">
        <x:f>IF(ISNUMBER(Y3390),ROUND(Y3390*0.9,2),"")</x:f>
        <x:v>20.7</x:v>
      </x:c>
      <x:c r="AC3390" s="36" t="n">
        <x:f>IF(ISNUMBER(AB3390),ROUND(AB3390-(AB3390*0.015+0.2)-V3390,2),"")</x:f>
        <x:v>4.6</x:v>
      </x:c>
      <x:c r="AD3390" s="36" t="n">
        <x:f>IF(ISNUMBER(Y3390),ROUND(Y3390*0.8,2),"")</x:f>
        <x:v>18.4</x:v>
      </x:c>
      <x:c r="AE3390" s="36" t="n">
        <x:f>IF(ISNUMBER(AD3390),ROUND(AD3390*0.015+0.2,2),"")</x:f>
        <x:v>0.48</x:v>
      </x:c>
      <x:c r="AF3390" s="36" t="n">
        <x:f>IF(ISNUMBER(AD3390),ROUND(AD3390-AE3390-V3390,2),"")</x:f>
        <x:v>2.33</x:v>
      </x:c>
      <x:c r="AG3390" t="str">
        <x:f>IF(NOT(ISNUMBER(T3390)),"PENDING",IF(AF3390&gt;0,"PASS","FAIL"))</x:f>
        <x:v>PASS</x:v>
      </x:c>
      <x:c r="AH3390" t="str">
        <x:f>IF(NOT(ISNUMBER(T3390)),"Needs supplier cost",IF(K3390&lt;&gt;"In stock","Supplier unavailable",IF(AG3390&lt;&gt;"PASS","BLOCK - GT loss risk","Commercially protected")))</x:f>
        <x:v>Commercially protected</x:v>
      </x:c>
      <x:c r="AI3390" t="str">
        <x:v>2026-09-10 Active Sports trade capture</x:v>
      </x:c>
      <x:c r="AJ3390" t="str">
        <x:v>Management-only economics. Stripe stress test uses 1.5% + £0.20 standard UK online-card fee; pallet/mix-and-match pricing ignored.</x:v>
      </x:c>
    </x:row>
    <x:row r="3391">
      <x:c r="A3391" t="str">
        <x:v>Active Sports Nutrition</x:v>
      </x:c>
      <x:c r="B3391" t="str">
        <x:v>Applied Nutrition</x:v>
      </x:c>
      <x:c r="C3391" t="str">
        <x:v>Endurance - Energy + Electrolytes</x:v>
      </x:c>
      <x:c r="D3391" t="str">
        <x:v>Supplements</x:v>
      </x:c>
      <x:c r="E3391" t="str">
        <x:v>Hydration / Carbohydrates</x:v>
      </x:c>
      <x:c r="F3391" t="str"/>
      <x:c r="G3391" t="str">
        <x:v>1.5kg</x:v>
      </x:c>
      <x:c r="H3391" t="str">
        <x:v>Lemon &amp; Lime</x:v>
      </x:c>
      <x:c r="I3391" t="str"/>
      <x:c r="J3391" t="str">
        <x:v>Unit</x:v>
      </x:c>
      <x:c r="K3391" t="str">
        <x:v>In stock</x:v>
      </x:c>
      <x:c r="L3391" t="str">
        <x:v>2026-09-08</x:v>
      </x:c>
      <x:c r="M3391" t="str"/>
      <x:c r="N3391" t="str"/>
      <x:c r="O3391" t="str">
        <x:v>https://www.activesportstrade.co.uk/hydration-supplements-trade</x:v>
      </x:c>
      <x:c r="P3391" t="str"/>
      <x:c r="Q3391" t="str"/>
      <x:c r="R3391" t="str"/>
      <x:c r="S3391" t="str">
        <x:v>Pending genuine supplier/brand image</x:v>
      </x:c>
      <x:c r="T3391" s="54" t="n">
        <x:v>12.99</x:v>
      </x:c>
      <x:c r="U3391" s="47" t="n">
        <x:v>0.2</x:v>
      </x:c>
      <x:c r="V3391" s="54" t="n">
        <x:f>IF(ISNUMBER(T3391),T3391*(1+U3391),"")</x:f>
        <x:v>15.588</x:v>
      </x:c>
      <x:c r="W3391" s="47" t="n">
        <x:v>0.3</x:v>
      </x:c>
      <x:c r="X3391" s="54" t="n">
        <x:f>IF(ISNUMBER(V3391),V3391/(1-W3391),"")</x:f>
        <x:v>22.26857142857143</x:v>
      </x:c>
      <x:c r="Y3391" s="55" t="n">
        <x:f>IF(ISNUMBER(X3391),ROUNDUP(X3391,0),"")</x:f>
        <x:v>23</x:v>
      </x:c>
      <x:c r="Z3391" t="str">
        <x:v>Source match pending</x:v>
      </x:c>
      <x:c r="AA3391" t="str">
        <x:v>screencapture-www-activesportstrade-co-uk-applied-nutrition-trade-2026-09-10-08_59_59.pdf / page-11</x:v>
      </x:c>
      <x:c r="AB3391" s="36" t="n">
        <x:f>IF(ISNUMBER(Y3391),ROUND(Y3391*0.9,2),"")</x:f>
        <x:v>20.7</x:v>
      </x:c>
      <x:c r="AC3391" s="36" t="n">
        <x:f>IF(ISNUMBER(AB3391),ROUND(AB3391-(AB3391*0.015+0.2)-V3391,2),"")</x:f>
        <x:v>4.6</x:v>
      </x:c>
      <x:c r="AD3391" s="36" t="n">
        <x:f>IF(ISNUMBER(Y3391),ROUND(Y3391*0.8,2),"")</x:f>
        <x:v>18.4</x:v>
      </x:c>
      <x:c r="AE3391" s="36" t="n">
        <x:f>IF(ISNUMBER(AD3391),ROUND(AD3391*0.015+0.2,2),"")</x:f>
        <x:v>0.48</x:v>
      </x:c>
      <x:c r="AF3391" s="36" t="n">
        <x:f>IF(ISNUMBER(AD3391),ROUND(AD3391-AE3391-V3391,2),"")</x:f>
        <x:v>2.33</x:v>
      </x:c>
      <x:c r="AG3391" t="str">
        <x:f>IF(NOT(ISNUMBER(T3391)),"PENDING",IF(AF3391&gt;0,"PASS","FAIL"))</x:f>
        <x:v>PASS</x:v>
      </x:c>
      <x:c r="AH3391" t="str">
        <x:f>IF(NOT(ISNUMBER(T3391)),"Needs supplier cost",IF(K3391&lt;&gt;"In stock","Supplier unavailable",IF(AG3391&lt;&gt;"PASS","BLOCK - GT loss risk","Commercially protected")))</x:f>
        <x:v>Commercially protected</x:v>
      </x:c>
      <x:c r="AI3391" t="str">
        <x:v>2026-09-10 Active Sports trade capture</x:v>
      </x:c>
      <x:c r="AJ3391" t="str">
        <x:v>Management-only economics. Stripe stress test uses 1.5% + £0.20 standard UK online-card fee; pallet/mix-and-match pricing ignored.</x:v>
      </x:c>
    </x:row>
    <x:row r="3392">
      <x:c r="A3392" t="str">
        <x:v>Active Sports Nutrition</x:v>
      </x:c>
      <x:c r="B3392" t="str">
        <x:v>Applied Nutrition</x:v>
      </x:c>
      <x:c r="C3392" t="str">
        <x:v>Endurance - Energy + Electrolytes</x:v>
      </x:c>
      <x:c r="D3392" t="str">
        <x:v>Supplements</x:v>
      </x:c>
      <x:c r="E3392" t="str">
        <x:v>Hydration / Carbohydrates</x:v>
      </x:c>
      <x:c r="F3392" t="str"/>
      <x:c r="G3392" t="str">
        <x:v>1.5kg</x:v>
      </x:c>
      <x:c r="H3392" t="str">
        <x:v>Orange Burst</x:v>
      </x:c>
      <x:c r="I3392" t="str"/>
      <x:c r="J3392" t="str">
        <x:v>Unit</x:v>
      </x:c>
      <x:c r="K3392" t="str">
        <x:v>In stock</x:v>
      </x:c>
      <x:c r="L3392" t="str">
        <x:v>2026-09-08</x:v>
      </x:c>
      <x:c r="M3392" t="str"/>
      <x:c r="N3392" t="str"/>
      <x:c r="O3392" t="str">
        <x:v>https://www.activesportstrade.co.uk/hydration-supplements-trade</x:v>
      </x:c>
      <x:c r="P3392" t="str"/>
      <x:c r="Q3392" t="str"/>
      <x:c r="R3392" t="str"/>
      <x:c r="S3392" t="str">
        <x:v>Pending genuine supplier/brand image</x:v>
      </x:c>
      <x:c r="T3392" s="54" t="n">
        <x:v>12.99</x:v>
      </x:c>
      <x:c r="U3392" s="47" t="n">
        <x:v>0.2</x:v>
      </x:c>
      <x:c r="V3392" s="54" t="n">
        <x:f>IF(ISNUMBER(T3392),T3392*(1+U3392),"")</x:f>
        <x:v>15.588</x:v>
      </x:c>
      <x:c r="W3392" s="47" t="n">
        <x:v>0.3</x:v>
      </x:c>
      <x:c r="X3392" s="54" t="n">
        <x:f>IF(ISNUMBER(V3392),V3392/(1-W3392),"")</x:f>
        <x:v>22.26857142857143</x:v>
      </x:c>
      <x:c r="Y3392" s="55" t="n">
        <x:f>IF(ISNUMBER(X3392),ROUNDUP(X3392,0),"")</x:f>
        <x:v>23</x:v>
      </x:c>
      <x:c r="Z3392" t="str">
        <x:v>Source match pending</x:v>
      </x:c>
      <x:c r="AA3392" t="str">
        <x:v>screencapture-www-activesportstrade-co-uk-applied-nutrition-trade-2026-09-10-08_59_59.pdf / page-11</x:v>
      </x:c>
      <x:c r="AB3392" s="36" t="n">
        <x:f>IF(ISNUMBER(Y3392),ROUND(Y3392*0.9,2),"")</x:f>
        <x:v>20.7</x:v>
      </x:c>
      <x:c r="AC3392" s="36" t="n">
        <x:f>IF(ISNUMBER(AB3392),ROUND(AB3392-(AB3392*0.015+0.2)-V3392,2),"")</x:f>
        <x:v>4.6</x:v>
      </x:c>
      <x:c r="AD3392" s="36" t="n">
        <x:f>IF(ISNUMBER(Y3392),ROUND(Y3392*0.8,2),"")</x:f>
        <x:v>18.4</x:v>
      </x:c>
      <x:c r="AE3392" s="36" t="n">
        <x:f>IF(ISNUMBER(AD3392),ROUND(AD3392*0.015+0.2,2),"")</x:f>
        <x:v>0.48</x:v>
      </x:c>
      <x:c r="AF3392" s="36" t="n">
        <x:f>IF(ISNUMBER(AD3392),ROUND(AD3392-AE3392-V3392,2),"")</x:f>
        <x:v>2.33</x:v>
      </x:c>
      <x:c r="AG3392" t="str">
        <x:f>IF(NOT(ISNUMBER(T3392)),"PENDING",IF(AF3392&gt;0,"PASS","FAIL"))</x:f>
        <x:v>PASS</x:v>
      </x:c>
      <x:c r="AH3392" t="str">
        <x:f>IF(NOT(ISNUMBER(T3392)),"Needs supplier cost",IF(K3392&lt;&gt;"In stock","Supplier unavailable",IF(AG3392&lt;&gt;"PASS","BLOCK - GT loss risk","Commercially protected")))</x:f>
        <x:v>Commercially protected</x:v>
      </x:c>
      <x:c r="AI3392" t="str">
        <x:v>2026-09-10 Active Sports trade capture</x:v>
      </x:c>
      <x:c r="AJ3392" t="str">
        <x:v>Management-only economics. Stripe stress test uses 1.5% + £0.20 standard UK online-card fee; pallet/mix-and-match pricing ignored.</x:v>
      </x:c>
    </x:row>
    <x:row r="3393">
      <x:c r="A3393" t="str">
        <x:v>Active Sports Nutrition</x:v>
      </x:c>
      <x:c r="B3393" t="str">
        <x:v>Applied Nutrition</x:v>
      </x:c>
      <x:c r="C3393" t="str">
        <x:v>Endurance Energy + Electrolytes + Breathe</x:v>
      </x:c>
      <x:c r="D3393" t="str">
        <x:v>Supplements</x:v>
      </x:c>
      <x:c r="E3393" t="str">
        <x:v>Hydration / Carbohydrates</x:v>
      </x:c>
      <x:c r="F3393" t="str"/>
      <x:c r="G3393" t="str">
        <x:v>1.5kg</x:v>
      </x:c>
      <x:c r="H3393" t="str">
        <x:v>Blackcurrant</x:v>
      </x:c>
      <x:c r="I3393" t="str"/>
      <x:c r="J3393" t="str">
        <x:v>Unit</x:v>
      </x:c>
      <x:c r="K3393" t="str">
        <x:v>In stock</x:v>
      </x:c>
      <x:c r="L3393" t="str">
        <x:v>2026-09-08</x:v>
      </x:c>
      <x:c r="M3393" t="str"/>
      <x:c r="N3393" t="str"/>
      <x:c r="O3393" t="str">
        <x:v>https://www.activesportstrade.co.uk/hydration-supplements-trade</x:v>
      </x:c>
      <x:c r="P3393" t="str"/>
      <x:c r="Q3393" t="str"/>
      <x:c r="R3393" t="str"/>
      <x:c r="S3393" t="str">
        <x:v>Pending genuine supplier/brand image</x:v>
      </x:c>
      <x:c r="T3393" s="54" t="n">
        <x:v>12.99</x:v>
      </x:c>
      <x:c r="U3393" s="47" t="n">
        <x:v>0.2</x:v>
      </x:c>
      <x:c r="V3393" s="54" t="n">
        <x:f>IF(ISNUMBER(T3393),T3393*(1+U3393),"")</x:f>
        <x:v>15.588</x:v>
      </x:c>
      <x:c r="W3393" s="47" t="n">
        <x:v>0.3</x:v>
      </x:c>
      <x:c r="X3393" s="54" t="n">
        <x:f>IF(ISNUMBER(V3393),V3393/(1-W3393),"")</x:f>
        <x:v>22.26857142857143</x:v>
      </x:c>
      <x:c r="Y3393" s="55" t="n">
        <x:f>IF(ISNUMBER(X3393),ROUNDUP(X3393,0),"")</x:f>
        <x:v>23</x:v>
      </x:c>
      <x:c r="Z3393" t="str">
        <x:v>Source match pending</x:v>
      </x:c>
      <x:c r="AA3393" t="str">
        <x:v>screencapture-www-activesportstrade-co-uk-applied-nutrition-trade-2026-09-10-08_59_59.pdf / page-12</x:v>
      </x:c>
      <x:c r="AB3393" s="36" t="n">
        <x:f>IF(ISNUMBER(Y3393),ROUND(Y3393*0.9,2),"")</x:f>
        <x:v>20.7</x:v>
      </x:c>
      <x:c r="AC3393" s="36" t="n">
        <x:f>IF(ISNUMBER(AB3393),ROUND(AB3393-(AB3393*0.015+0.2)-V3393,2),"")</x:f>
        <x:v>4.6</x:v>
      </x:c>
      <x:c r="AD3393" s="36" t="n">
        <x:f>IF(ISNUMBER(Y3393),ROUND(Y3393*0.8,2),"")</x:f>
        <x:v>18.4</x:v>
      </x:c>
      <x:c r="AE3393" s="36" t="n">
        <x:f>IF(ISNUMBER(AD3393),ROUND(AD3393*0.015+0.2,2),"")</x:f>
        <x:v>0.48</x:v>
      </x:c>
      <x:c r="AF3393" s="36" t="n">
        <x:f>IF(ISNUMBER(AD3393),ROUND(AD3393-AE3393-V3393,2),"")</x:f>
        <x:v>2.33</x:v>
      </x:c>
      <x:c r="AG3393" t="str">
        <x:f>IF(NOT(ISNUMBER(T3393)),"PENDING",IF(AF3393&gt;0,"PASS","FAIL"))</x:f>
        <x:v>PASS</x:v>
      </x:c>
      <x:c r="AH3393" t="str">
        <x:f>IF(NOT(ISNUMBER(T3393)),"Needs supplier cost",IF(K3393&lt;&gt;"In stock","Supplier unavailable",IF(AG3393&lt;&gt;"PASS","BLOCK - GT loss risk","Commercially protected")))</x:f>
        <x:v>Commercially protected</x:v>
      </x:c>
      <x:c r="AI3393" t="str">
        <x:v>2026-09-10 Active Sports trade capture</x:v>
      </x:c>
      <x:c r="AJ3393" t="str">
        <x:v>Management-only economics. Stripe stress test uses 1.5% + £0.20 standard UK online-card fee; pallet/mix-and-match pricing ignored.</x:v>
      </x:c>
    </x:row>
    <x:row r="3394">
      <x:c r="A3394" t="str">
        <x:v>Active Sports Nutrition</x:v>
      </x:c>
      <x:c r="B3394" t="str">
        <x:v>Applied Nutrition</x:v>
      </x:c>
      <x:c r="C3394" t="str">
        <x:v>Endurance Energy + Electrolytes + Breathe</x:v>
      </x:c>
      <x:c r="D3394" t="str">
        <x:v>Supplements</x:v>
      </x:c>
      <x:c r="E3394" t="str">
        <x:v>Hydration / Carbohydrates</x:v>
      </x:c>
      <x:c r="F3394" t="str"/>
      <x:c r="G3394" t="str">
        <x:v>1.5kg</x:v>
      </x:c>
      <x:c r="H3394" t="str">
        <x:v>Orange</x:v>
      </x:c>
      <x:c r="I3394" t="str"/>
      <x:c r="J3394" t="str">
        <x:v>Unit</x:v>
      </x:c>
      <x:c r="K3394" t="str">
        <x:v>In stock</x:v>
      </x:c>
      <x:c r="L3394" t="str">
        <x:v>2026-09-08</x:v>
      </x:c>
      <x:c r="M3394" t="str"/>
      <x:c r="N3394" t="str"/>
      <x:c r="O3394" t="str">
        <x:v>https://www.activesportstrade.co.uk/hydration-supplements-trade</x:v>
      </x:c>
      <x:c r="P3394" t="str"/>
      <x:c r="Q3394" t="str"/>
      <x:c r="R3394" t="str"/>
      <x:c r="S3394" t="str">
        <x:v>Pending genuine supplier/brand image</x:v>
      </x:c>
      <x:c r="T3394" s="54" t="n">
        <x:v>12.99</x:v>
      </x:c>
      <x:c r="U3394" s="47" t="n">
        <x:v>0.2</x:v>
      </x:c>
      <x:c r="V3394" s="54" t="n">
        <x:f>IF(ISNUMBER(T3394),T3394*(1+U3394),"")</x:f>
        <x:v>15.588</x:v>
      </x:c>
      <x:c r="W3394" s="47" t="n">
        <x:v>0.3</x:v>
      </x:c>
      <x:c r="X3394" s="54" t="n">
        <x:f>IF(ISNUMBER(V3394),V3394/(1-W3394),"")</x:f>
        <x:v>22.26857142857143</x:v>
      </x:c>
      <x:c r="Y3394" s="55" t="n">
        <x:f>IF(ISNUMBER(X3394),ROUNDUP(X3394,0),"")</x:f>
        <x:v>23</x:v>
      </x:c>
      <x:c r="Z3394" t="str">
        <x:v>Source match pending</x:v>
      </x:c>
      <x:c r="AA3394" t="str">
        <x:v>screencapture-www-activesportstrade-co-uk-applied-nutrition-trade-2026-09-10-08_59_59.pdf / page-12</x:v>
      </x:c>
      <x:c r="AB3394" s="36" t="n">
        <x:f>IF(ISNUMBER(Y3394),ROUND(Y3394*0.9,2),"")</x:f>
        <x:v>20.7</x:v>
      </x:c>
      <x:c r="AC3394" s="36" t="n">
        <x:f>IF(ISNUMBER(AB3394),ROUND(AB3394-(AB3394*0.015+0.2)-V3394,2),"")</x:f>
        <x:v>4.6</x:v>
      </x:c>
      <x:c r="AD3394" s="36" t="n">
        <x:f>IF(ISNUMBER(Y3394),ROUND(Y3394*0.8,2),"")</x:f>
        <x:v>18.4</x:v>
      </x:c>
      <x:c r="AE3394" s="36" t="n">
        <x:f>IF(ISNUMBER(AD3394),ROUND(AD3394*0.015+0.2,2),"")</x:f>
        <x:v>0.48</x:v>
      </x:c>
      <x:c r="AF3394" s="36" t="n">
        <x:f>IF(ISNUMBER(AD3394),ROUND(AD3394-AE3394-V3394,2),"")</x:f>
        <x:v>2.33</x:v>
      </x:c>
      <x:c r="AG3394" t="str">
        <x:f>IF(NOT(ISNUMBER(T3394)),"PENDING",IF(AF3394&gt;0,"PASS","FAIL"))</x:f>
        <x:v>PASS</x:v>
      </x:c>
      <x:c r="AH3394" t="str">
        <x:f>IF(NOT(ISNUMBER(T3394)),"Needs supplier cost",IF(K3394&lt;&gt;"In stock","Supplier unavailable",IF(AG3394&lt;&gt;"PASS","BLOCK - GT loss risk","Commercially protected")))</x:f>
        <x:v>Commercially protected</x:v>
      </x:c>
      <x:c r="AI3394" t="str">
        <x:v>2026-09-10 Active Sports trade capture</x:v>
      </x:c>
      <x:c r="AJ3394" t="str">
        <x:v>Management-only economics. Stripe stress test uses 1.5% + £0.20 standard UK online-card fee; pallet/mix-and-match pricing ignored.</x:v>
      </x:c>
    </x:row>
    <x:row r="3395">
      <x:c r="A3395" t="str">
        <x:v>Active Sports Nutrition</x:v>
      </x:c>
      <x:c r="B3395" t="str">
        <x:v>Optimise Health</x:v>
      </x:c>
      <x:c r="C3395" t="str">
        <x:v>Rebel HydroCharge</x:v>
      </x:c>
      <x:c r="D3395" t="str">
        <x:v>Supplements</x:v>
      </x:c>
      <x:c r="E3395" t="str">
        <x:v>Hydration Gummies</x:v>
      </x:c>
      <x:c r="F3395" t="str"/>
      <x:c r="G3395" t="str">
        <x:v>30 servings</x:v>
      </x:c>
      <x:c r="H3395" t="str">
        <x:v>Watermelon</x:v>
      </x:c>
      <x:c r="I3395" t="str"/>
      <x:c r="J3395" t="str">
        <x:v>Unit</x:v>
      </x:c>
      <x:c r="K3395" t="str">
        <x:v>In stock</x:v>
      </x:c>
      <x:c r="L3395" t="str">
        <x:v>2026-09-08</x:v>
      </x:c>
      <x:c r="M3395" t="str"/>
      <x:c r="N3395" t="str"/>
      <x:c r="O3395" t="str">
        <x:v>https://www.activesportstrade.co.uk/hydration-supplements-trade</x:v>
      </x:c>
      <x:c r="P3395" t="str"/>
      <x:c r="Q3395" t="str"/>
      <x:c r="R3395" t="str"/>
      <x:c r="S3395" t="str">
        <x:v>Pending genuine supplier/brand image</x:v>
      </x:c>
      <x:c r="T3395" s="54" t="n">
        <x:v>17.5</x:v>
      </x:c>
      <x:c r="U3395" s="47" t="n">
        <x:v>0.2</x:v>
      </x:c>
      <x:c r="V3395" s="54" t="n">
        <x:f>IF(ISNUMBER(T3395),T3395*(1+U3395),"")</x:f>
        <x:v>21</x:v>
      </x:c>
      <x:c r="W3395" s="47" t="n">
        <x:v>0.3</x:v>
      </x:c>
      <x:c r="X3395" s="54" t="n">
        <x:f>IF(ISNUMBER(V3395),V3395/(1-W3395),"")</x:f>
        <x:v>30.000000000000004</x:v>
      </x:c>
      <x:c r="Y3395" s="55" t="n">
        <x:f>IF(ISNUMBER(X3395),ROUNDUP(X3395,0),"")</x:f>
        <x:v>31</x:v>
      </x:c>
      <x:c r="Z3395" t="str">
        <x:v>Source match pending</x:v>
      </x:c>
      <x:c r="AA3395" t="str">
        <x:v>screencapture-www-activesportstrade-co-uk-optimise-health-trade-2026-09-09-18_43_43.png / page-001</x:v>
      </x:c>
      <x:c r="AB3395" s="36" t="n">
        <x:f>IF(ISNUMBER(Y3395),ROUND(Y3395*0.9,2),"")</x:f>
        <x:v>27.9</x:v>
      </x:c>
      <x:c r="AC3395" s="36" t="n">
        <x:f>IF(ISNUMBER(AB3395),ROUND(AB3395-(AB3395*0.015+0.2)-V3395,2),"")</x:f>
        <x:v>6.28</x:v>
      </x:c>
      <x:c r="AD3395" s="36" t="n">
        <x:f>IF(ISNUMBER(Y3395),ROUND(Y3395*0.8,2),"")</x:f>
        <x:v>24.8</x:v>
      </x:c>
      <x:c r="AE3395" s="36" t="n">
        <x:f>IF(ISNUMBER(AD3395),ROUND(AD3395*0.015+0.2,2),"")</x:f>
        <x:v>0.57</x:v>
      </x:c>
      <x:c r="AF3395" s="36" t="n">
        <x:f>IF(ISNUMBER(AD3395),ROUND(AD3395-AE3395-V3395,2),"")</x:f>
        <x:v>3.23</x:v>
      </x:c>
      <x:c r="AG3395" t="str">
        <x:f>IF(NOT(ISNUMBER(T3395)),"PENDING",IF(AF3395&gt;0,"PASS","FAIL"))</x:f>
        <x:v>PASS</x:v>
      </x:c>
      <x:c r="AH3395" t="str">
        <x:f>IF(NOT(ISNUMBER(T3395)),"Needs supplier cost",IF(K3395&lt;&gt;"In stock","Supplier unavailable",IF(AG3395&lt;&gt;"PASS","BLOCK - GT loss risk","Commercially protected")))</x:f>
        <x:v>Commercially protected</x:v>
      </x:c>
      <x:c r="AI3395" t="str">
        <x:v>2026-09-10 Active Sports trade capture</x:v>
      </x:c>
      <x:c r="AJ3395" t="str">
        <x:v>Management-only economics. Stripe stress test uses 1.5% + £0.20 standard UK online-card fee; pallet/mix-and-match pricing ignored.</x:v>
      </x:c>
    </x:row>
    <x:row r="3396">
      <x:c r="A3396" t="str">
        <x:v>Active Sports Nutrition</x:v>
      </x:c>
      <x:c r="B3396" t="str">
        <x:v>Refined Nutrition</x:v>
      </x:c>
      <x:c r="C3396" t="str">
        <x:v>Ultra Hydration</x:v>
      </x:c>
      <x:c r="D3396" t="str">
        <x:v>Supplements</x:v>
      </x:c>
      <x:c r="E3396" t="str">
        <x:v>Hydration</x:v>
      </x:c>
      <x:c r="F3396" t="str"/>
      <x:c r="G3396" t="str">
        <x:v>300g</x:v>
      </x:c>
      <x:c r="H3396" t="str">
        <x:v>American Grape</x:v>
      </x:c>
      <x:c r="I3396" t="str"/>
      <x:c r="J3396" t="str">
        <x:v>Unit</x:v>
      </x:c>
      <x:c r="K3396" t="str">
        <x:v>In stock</x:v>
      </x:c>
      <x:c r="L3396" t="str">
        <x:v>2026-09-08</x:v>
      </x:c>
      <x:c r="M3396" t="str"/>
      <x:c r="N3396" t="str"/>
      <x:c r="O3396" t="str">
        <x:v>https://www.activesportstrade.co.uk/hydration-supplements-trade</x:v>
      </x:c>
      <x:c r="P3396" t="str"/>
      <x:c r="Q3396" t="str"/>
      <x:c r="R3396" t="str"/>
      <x:c r="S3396" t="str">
        <x:v>Pending genuine supplier/brand image</x:v>
      </x:c>
      <x:c r="T3396" s="54"/>
      <x:c r="U3396" s="47" t="n">
        <x:v>0.2</x:v>
      </x:c>
      <x:c r="V3396" s="54" t="str">
        <x:f>IF(ISNUMBER(T3396),T3396*(1+U3396),"")</x:f>
      </x:c>
      <x:c r="W3396" s="47" t="n">
        <x:v>0.3</x:v>
      </x:c>
      <x:c r="X3396" s="54" t="str">
        <x:f>IF(ISNUMBER(V3396),V3396/(1-W3396),"")</x:f>
      </x:c>
      <x:c r="Y3396" s="55" t="str">
        <x:f>IF(ISNUMBER(X3396),ROUNDUP(X3396,0),"")</x:f>
      </x:c>
      <x:c r="Z3396" t="str">
        <x:f>IF(ISNUMBER(T3396),"Cost captured","Awaiting trade cost")</x:f>
        <x:v>Awaiting trade cost</x:v>
      </x:c>
      <x:c r="AB3396" s="36" t="str">
        <x:f>IF(ISNUMBER(Y3396),ROUND(Y3396*0.9,2),"")</x:f>
      </x:c>
      <x:c r="AC3396" s="36" t="str">
        <x:f>IF(ISNUMBER(AB3396),ROUND(AB3396-(AB3396*0.015+0.2)-V3396,2),"")</x:f>
      </x:c>
      <x:c r="AD3396" s="36" t="str">
        <x:f>IF(ISNUMBER(Y3396),ROUND(Y3396*0.8,2),"")</x:f>
      </x:c>
      <x:c r="AE3396" s="36" t="str">
        <x:f>IF(ISNUMBER(AD3396),ROUND(AD3396*0.015+0.2,2),"")</x:f>
      </x:c>
      <x:c r="AF3396" s="36" t="str">
        <x:f>IF(ISNUMBER(AD3396),ROUND(AD3396-AE3396-V3396,2),"")</x:f>
      </x:c>
      <x:c r="AG3396" t="str">
        <x:f>IF(NOT(ISNUMBER(T3396)),"PENDING",IF(AF3396&gt;0,"PASS","FAIL"))</x:f>
        <x:v>PENDING</x:v>
      </x:c>
      <x:c r="AH3396" t="str">
        <x:f>IF(NOT(ISNUMBER(T3396)),"Needs supplier cost",IF(K3396&lt;&gt;"In stock","Supplier unavailable",IF(AG3396&lt;&gt;"PASS","BLOCK - GT loss risk","Commercially protected")))</x:f>
        <x:v>Needs supplier cost</x:v>
      </x:c>
      <x:c r="AI3396" t="str">
        <x:v>2026-09-10 Active Sports trade capture</x:v>
      </x:c>
      <x:c r="AJ3396" t="str">
        <x:v>Management-only economics. Stripe stress test uses 1.5% + £0.20 standard UK online-card fee; pallet/mix-and-match pricing ignored.</x:v>
      </x:c>
    </x:row>
    <x:row r="3397">
      <x:c r="A3397" t="str">
        <x:v>Active Sports Nutrition</x:v>
      </x:c>
      <x:c r="B3397" t="str">
        <x:v>Refined Nutrition</x:v>
      </x:c>
      <x:c r="C3397" t="str">
        <x:v>Ultra Hydration</x:v>
      </x:c>
      <x:c r="D3397" t="str">
        <x:v>Supplements</x:v>
      </x:c>
      <x:c r="E3397" t="str">
        <x:v>Hydration</x:v>
      </x:c>
      <x:c r="F3397" t="str"/>
      <x:c r="G3397" t="str">
        <x:v>300g</x:v>
      </x:c>
      <x:c r="H3397" t="str">
        <x:v>Crazy Cola</x:v>
      </x:c>
      <x:c r="I3397" t="str"/>
      <x:c r="J3397" t="str">
        <x:v>Unit</x:v>
      </x:c>
      <x:c r="K3397" t="str">
        <x:v>In stock</x:v>
      </x:c>
      <x:c r="L3397" t="str">
        <x:v>2026-09-08</x:v>
      </x:c>
      <x:c r="M3397" t="str"/>
      <x:c r="N3397" t="str"/>
      <x:c r="O3397" t="str">
        <x:v>https://www.activesportstrade.co.uk/hydration-supplements-trade</x:v>
      </x:c>
      <x:c r="P3397" t="str"/>
      <x:c r="Q3397" t="str"/>
      <x:c r="R3397" t="str"/>
      <x:c r="S3397" t="str">
        <x:v>Pending genuine supplier/brand image</x:v>
      </x:c>
      <x:c r="T3397" s="54"/>
      <x:c r="U3397" s="47" t="n">
        <x:v>0.2</x:v>
      </x:c>
      <x:c r="V3397" s="54" t="str">
        <x:f>IF(ISNUMBER(T3397),T3397*(1+U3397),"")</x:f>
      </x:c>
      <x:c r="W3397" s="47" t="n">
        <x:v>0.3</x:v>
      </x:c>
      <x:c r="X3397" s="54" t="str">
        <x:f>IF(ISNUMBER(V3397),V3397/(1-W3397),"")</x:f>
      </x:c>
      <x:c r="Y3397" s="55" t="str">
        <x:f>IF(ISNUMBER(X3397),ROUNDUP(X3397,0),"")</x:f>
      </x:c>
      <x:c r="Z3397" t="str">
        <x:f>IF(ISNUMBER(T3397),"Cost captured","Awaiting trade cost")</x:f>
        <x:v>Awaiting trade cost</x:v>
      </x:c>
      <x:c r="AB3397" s="36" t="str">
        <x:f>IF(ISNUMBER(Y3397),ROUND(Y3397*0.9,2),"")</x:f>
      </x:c>
      <x:c r="AC3397" s="36" t="str">
        <x:f>IF(ISNUMBER(AB3397),ROUND(AB3397-(AB3397*0.015+0.2)-V3397,2),"")</x:f>
      </x:c>
      <x:c r="AD3397" s="36" t="str">
        <x:f>IF(ISNUMBER(Y3397),ROUND(Y3397*0.8,2),"")</x:f>
      </x:c>
      <x:c r="AE3397" s="36" t="str">
        <x:f>IF(ISNUMBER(AD3397),ROUND(AD3397*0.015+0.2,2),"")</x:f>
      </x:c>
      <x:c r="AF3397" s="36" t="str">
        <x:f>IF(ISNUMBER(AD3397),ROUND(AD3397-AE3397-V3397,2),"")</x:f>
      </x:c>
      <x:c r="AG3397" t="str">
        <x:f>IF(NOT(ISNUMBER(T3397)),"PENDING",IF(AF3397&gt;0,"PASS","FAIL"))</x:f>
        <x:v>PENDING</x:v>
      </x:c>
      <x:c r="AH3397" t="str">
        <x:f>IF(NOT(ISNUMBER(T3397)),"Needs supplier cost",IF(K3397&lt;&gt;"In stock","Supplier unavailable",IF(AG3397&lt;&gt;"PASS","BLOCK - GT loss risk","Commercially protected")))</x:f>
        <x:v>Needs supplier cost</x:v>
      </x:c>
      <x:c r="AI3397" t="str">
        <x:v>2026-09-10 Active Sports trade capture</x:v>
      </x:c>
      <x:c r="AJ3397" t="str">
        <x:v>Management-only economics. Stripe stress test uses 1.5% + £0.20 standard UK online-card fee; pallet/mix-and-match pricing ignored.</x:v>
      </x:c>
    </x:row>
    <x:row r="3398">
      <x:c r="A3398" t="str">
        <x:v>Active Sports Nutrition</x:v>
      </x:c>
      <x:c r="B3398" t="str">
        <x:v>Refined Nutrition</x:v>
      </x:c>
      <x:c r="C3398" t="str">
        <x:v>Ultra Hydration</x:v>
      </x:c>
      <x:c r="D3398" t="str">
        <x:v>Supplements</x:v>
      </x:c>
      <x:c r="E3398" t="str">
        <x:v>Hydration</x:v>
      </x:c>
      <x:c r="F3398" t="str"/>
      <x:c r="G3398" t="str">
        <x:v>300g</x:v>
      </x:c>
      <x:c r="H3398" t="str">
        <x:v>Fantastic Orange</x:v>
      </x:c>
      <x:c r="I3398" t="str"/>
      <x:c r="J3398" t="str">
        <x:v>Unit</x:v>
      </x:c>
      <x:c r="K3398" t="str">
        <x:v>In stock</x:v>
      </x:c>
      <x:c r="L3398" t="str">
        <x:v>2026-09-08</x:v>
      </x:c>
      <x:c r="M3398" t="str"/>
      <x:c r="N3398" t="str"/>
      <x:c r="O3398" t="str">
        <x:v>https://www.activesportstrade.co.uk/hydration-supplements-trade</x:v>
      </x:c>
      <x:c r="P3398" t="str"/>
      <x:c r="Q3398" t="str"/>
      <x:c r="R3398" t="str"/>
      <x:c r="S3398" t="str">
        <x:v>Pending genuine supplier/brand image</x:v>
      </x:c>
      <x:c r="T3398" s="54"/>
      <x:c r="U3398" s="47" t="n">
        <x:v>0.2</x:v>
      </x:c>
      <x:c r="V3398" s="54" t="str">
        <x:f>IF(ISNUMBER(T3398),T3398*(1+U3398),"")</x:f>
      </x:c>
      <x:c r="W3398" s="47" t="n">
        <x:v>0.3</x:v>
      </x:c>
      <x:c r="X3398" s="54" t="str">
        <x:f>IF(ISNUMBER(V3398),V3398/(1-W3398),"")</x:f>
      </x:c>
      <x:c r="Y3398" s="55" t="str">
        <x:f>IF(ISNUMBER(X3398),ROUNDUP(X3398,0),"")</x:f>
      </x:c>
      <x:c r="Z3398" t="str">
        <x:f>IF(ISNUMBER(T3398),"Cost captured","Awaiting trade cost")</x:f>
        <x:v>Awaiting trade cost</x:v>
      </x:c>
      <x:c r="AB3398" s="36" t="str">
        <x:f>IF(ISNUMBER(Y3398),ROUND(Y3398*0.9,2),"")</x:f>
      </x:c>
      <x:c r="AC3398" s="36" t="str">
        <x:f>IF(ISNUMBER(AB3398),ROUND(AB3398-(AB3398*0.015+0.2)-V3398,2),"")</x:f>
      </x:c>
      <x:c r="AD3398" s="36" t="str">
        <x:f>IF(ISNUMBER(Y3398),ROUND(Y3398*0.8,2),"")</x:f>
      </x:c>
      <x:c r="AE3398" s="36" t="str">
        <x:f>IF(ISNUMBER(AD3398),ROUND(AD3398*0.015+0.2,2),"")</x:f>
      </x:c>
      <x:c r="AF3398" s="36" t="str">
        <x:f>IF(ISNUMBER(AD3398),ROUND(AD3398-AE3398-V3398,2),"")</x:f>
      </x:c>
      <x:c r="AG3398" t="str">
        <x:f>IF(NOT(ISNUMBER(T3398)),"PENDING",IF(AF3398&gt;0,"PASS","FAIL"))</x:f>
        <x:v>PENDING</x:v>
      </x:c>
      <x:c r="AH3398" t="str">
        <x:f>IF(NOT(ISNUMBER(T3398)),"Needs supplier cost",IF(K3398&lt;&gt;"In stock","Supplier unavailable",IF(AG3398&lt;&gt;"PASS","BLOCK - GT loss risk","Commercially protected")))</x:f>
        <x:v>Needs supplier cost</x:v>
      </x:c>
      <x:c r="AI3398" t="str">
        <x:v>2026-09-10 Active Sports trade capture</x:v>
      </x:c>
      <x:c r="AJ3398" t="str">
        <x:v>Management-only economics. Stripe stress test uses 1.5% + £0.20 standard UK online-card fee; pallet/mix-and-match pricing ignored.</x:v>
      </x:c>
    </x:row>
    <x:row r="3399">
      <x:c r="A3399" t="str">
        <x:v>Active Sports Nutrition</x:v>
      </x:c>
      <x:c r="B3399" t="str">
        <x:v>Refined Nutrition</x:v>
      </x:c>
      <x:c r="C3399" t="str">
        <x:v>Ultra Hydration</x:v>
      </x:c>
      <x:c r="D3399" t="str">
        <x:v>Supplements</x:v>
      </x:c>
      <x:c r="E3399" t="str">
        <x:v>Hydration</x:v>
      </x:c>
      <x:c r="F3399" t="str"/>
      <x:c r="G3399" t="str">
        <x:v>300g</x:v>
      </x:c>
      <x:c r="H3399" t="str">
        <x:v>Green Apple</x:v>
      </x:c>
      <x:c r="I3399" t="str"/>
      <x:c r="J3399" t="str">
        <x:v>Unit</x:v>
      </x:c>
      <x:c r="K3399" t="str">
        <x:v>In stock</x:v>
      </x:c>
      <x:c r="L3399" t="str">
        <x:v>2026-09-08</x:v>
      </x:c>
      <x:c r="M3399" t="str"/>
      <x:c r="N3399" t="str"/>
      <x:c r="O3399" t="str">
        <x:v>https://www.activesportstrade.co.uk/hydration-supplements-trade</x:v>
      </x:c>
      <x:c r="P3399" t="str"/>
      <x:c r="Q3399" t="str"/>
      <x:c r="R3399" t="str"/>
      <x:c r="S3399" t="str">
        <x:v>Pending genuine supplier/brand image</x:v>
      </x:c>
      <x:c r="T3399" s="54"/>
      <x:c r="U3399" s="47" t="n">
        <x:v>0.2</x:v>
      </x:c>
      <x:c r="V3399" s="54" t="str">
        <x:f>IF(ISNUMBER(T3399),T3399*(1+U3399),"")</x:f>
      </x:c>
      <x:c r="W3399" s="47" t="n">
        <x:v>0.3</x:v>
      </x:c>
      <x:c r="X3399" s="54" t="str">
        <x:f>IF(ISNUMBER(V3399),V3399/(1-W3399),"")</x:f>
      </x:c>
      <x:c r="Y3399" s="55" t="str">
        <x:f>IF(ISNUMBER(X3399),ROUNDUP(X3399,0),"")</x:f>
      </x:c>
      <x:c r="Z3399" t="str">
        <x:f>IF(ISNUMBER(T3399),"Cost captured","Awaiting trade cost")</x:f>
        <x:v>Awaiting trade cost</x:v>
      </x:c>
      <x:c r="AB3399" s="36" t="str">
        <x:f>IF(ISNUMBER(Y3399),ROUND(Y3399*0.9,2),"")</x:f>
      </x:c>
      <x:c r="AC3399" s="36" t="str">
        <x:f>IF(ISNUMBER(AB3399),ROUND(AB3399-(AB3399*0.015+0.2)-V3399,2),"")</x:f>
      </x:c>
      <x:c r="AD3399" s="36" t="str">
        <x:f>IF(ISNUMBER(Y3399),ROUND(Y3399*0.8,2),"")</x:f>
      </x:c>
      <x:c r="AE3399" s="36" t="str">
        <x:f>IF(ISNUMBER(AD3399),ROUND(AD3399*0.015+0.2,2),"")</x:f>
      </x:c>
      <x:c r="AF3399" s="36" t="str">
        <x:f>IF(ISNUMBER(AD3399),ROUND(AD3399-AE3399-V3399,2),"")</x:f>
      </x:c>
      <x:c r="AG3399" t="str">
        <x:f>IF(NOT(ISNUMBER(T3399)),"PENDING",IF(AF3399&gt;0,"PASS","FAIL"))</x:f>
        <x:v>PENDING</x:v>
      </x:c>
      <x:c r="AH3399" t="str">
        <x:f>IF(NOT(ISNUMBER(T3399)),"Needs supplier cost",IF(K3399&lt;&gt;"In stock","Supplier unavailable",IF(AG3399&lt;&gt;"PASS","BLOCK - GT loss risk","Commercially protected")))</x:f>
        <x:v>Needs supplier cost</x:v>
      </x:c>
      <x:c r="AI3399" t="str">
        <x:v>2026-09-10 Active Sports trade capture</x:v>
      </x:c>
      <x:c r="AJ3399" t="str">
        <x:v>Management-only economics. Stripe stress test uses 1.5% + £0.20 standard UK online-card fee; pallet/mix-and-match pricing ignored.</x:v>
      </x:c>
    </x:row>
    <x:row r="3400">
      <x:c r="A3400" t="str">
        <x:v>Active Sports Nutrition</x:v>
      </x:c>
      <x:c r="B3400" t="str">
        <x:v>Refined Nutrition</x:v>
      </x:c>
      <x:c r="C3400" t="str">
        <x:v>Ultra Hydration</x:v>
      </x:c>
      <x:c r="D3400" t="str">
        <x:v>Supplements</x:v>
      </x:c>
      <x:c r="E3400" t="str">
        <x:v>Hydration</x:v>
      </x:c>
      <x:c r="F3400" t="str"/>
      <x:c r="G3400" t="str">
        <x:v>300g</x:v>
      </x:c>
      <x:c r="H3400" t="str">
        <x:v>Icy Blue Raspberry</x:v>
      </x:c>
      <x:c r="I3400" t="str"/>
      <x:c r="J3400" t="str">
        <x:v>Unit</x:v>
      </x:c>
      <x:c r="K3400" t="str">
        <x:v>In stock</x:v>
      </x:c>
      <x:c r="L3400" t="str">
        <x:v>2026-09-08</x:v>
      </x:c>
      <x:c r="M3400" t="str"/>
      <x:c r="N3400" t="str"/>
      <x:c r="O3400" t="str">
        <x:v>https://www.activesportstrade.co.uk/hydration-supplements-trade</x:v>
      </x:c>
      <x:c r="P3400" t="str"/>
      <x:c r="Q3400" t="str"/>
      <x:c r="R3400" t="str"/>
      <x:c r="S3400" t="str">
        <x:v>Pending genuine supplier/brand image</x:v>
      </x:c>
      <x:c r="T3400" s="54"/>
      <x:c r="U3400" s="47" t="n">
        <x:v>0.2</x:v>
      </x:c>
      <x:c r="V3400" s="54" t="str">
        <x:f>IF(ISNUMBER(T3400),T3400*(1+U3400),"")</x:f>
      </x:c>
      <x:c r="W3400" s="47" t="n">
        <x:v>0.3</x:v>
      </x:c>
      <x:c r="X3400" s="54" t="str">
        <x:f>IF(ISNUMBER(V3400),V3400/(1-W3400),"")</x:f>
      </x:c>
      <x:c r="Y3400" s="55" t="str">
        <x:f>IF(ISNUMBER(X3400),ROUNDUP(X3400,0),"")</x:f>
      </x:c>
      <x:c r="Z3400" t="str">
        <x:f>IF(ISNUMBER(T3400),"Cost captured","Awaiting trade cost")</x:f>
        <x:v>Awaiting trade cost</x:v>
      </x:c>
      <x:c r="AB3400" s="36" t="str">
        <x:f>IF(ISNUMBER(Y3400),ROUND(Y3400*0.9,2),"")</x:f>
      </x:c>
      <x:c r="AC3400" s="36" t="str">
        <x:f>IF(ISNUMBER(AB3400),ROUND(AB3400-(AB3400*0.015+0.2)-V3400,2),"")</x:f>
      </x:c>
      <x:c r="AD3400" s="36" t="str">
        <x:f>IF(ISNUMBER(Y3400),ROUND(Y3400*0.8,2),"")</x:f>
      </x:c>
      <x:c r="AE3400" s="36" t="str">
        <x:f>IF(ISNUMBER(AD3400),ROUND(AD3400*0.015+0.2,2),"")</x:f>
      </x:c>
      <x:c r="AF3400" s="36" t="str">
        <x:f>IF(ISNUMBER(AD3400),ROUND(AD3400-AE3400-V3400,2),"")</x:f>
      </x:c>
      <x:c r="AG3400" t="str">
        <x:f>IF(NOT(ISNUMBER(T3400)),"PENDING",IF(AF3400&gt;0,"PASS","FAIL"))</x:f>
        <x:v>PENDING</x:v>
      </x:c>
      <x:c r="AH3400" t="str">
        <x:f>IF(NOT(ISNUMBER(T3400)),"Needs supplier cost",IF(K3400&lt;&gt;"In stock","Supplier unavailable",IF(AG3400&lt;&gt;"PASS","BLOCK - GT loss risk","Commercially protected")))</x:f>
        <x:v>Needs supplier cost</x:v>
      </x:c>
      <x:c r="AI3400" t="str">
        <x:v>2026-09-10 Active Sports trade capture</x:v>
      </x:c>
      <x:c r="AJ3400" t="str">
        <x:v>Management-only economics. Stripe stress test uses 1.5% + £0.20 standard UK online-card fee; pallet/mix-and-match pricing ignored.</x:v>
      </x:c>
    </x:row>
    <x:row r="3401">
      <x:c r="A3401" t="str">
        <x:v>Active Sports Nutrition</x:v>
      </x:c>
      <x:c r="B3401" t="str">
        <x:v>Refined Nutrition</x:v>
      </x:c>
      <x:c r="C3401" t="str">
        <x:v>Ultra Hydration</x:v>
      </x:c>
      <x:c r="D3401" t="str">
        <x:v>Supplements</x:v>
      </x:c>
      <x:c r="E3401" t="str">
        <x:v>Hydration</x:v>
      </x:c>
      <x:c r="F3401" t="str"/>
      <x:c r="G3401" t="str">
        <x:v>300g</x:v>
      </x:c>
      <x:c r="H3401" t="str">
        <x:v>Mango Passionfruit</x:v>
      </x:c>
      <x:c r="I3401" t="str"/>
      <x:c r="J3401" t="str">
        <x:v>Unit</x:v>
      </x:c>
      <x:c r="K3401" t="str">
        <x:v>In stock</x:v>
      </x:c>
      <x:c r="L3401" t="str">
        <x:v>2026-09-08</x:v>
      </x:c>
      <x:c r="M3401" t="str"/>
      <x:c r="N3401" t="str"/>
      <x:c r="O3401" t="str">
        <x:v>https://www.activesportstrade.co.uk/hydration-supplements-trade</x:v>
      </x:c>
      <x:c r="P3401" t="str"/>
      <x:c r="Q3401" t="str"/>
      <x:c r="R3401" t="str"/>
      <x:c r="S3401" t="str">
        <x:v>Pending genuine supplier/brand image</x:v>
      </x:c>
      <x:c r="T3401" s="54"/>
      <x:c r="U3401" s="47" t="n">
        <x:v>0.2</x:v>
      </x:c>
      <x:c r="V3401" s="54" t="str">
        <x:f>IF(ISNUMBER(T3401),T3401*(1+U3401),"")</x:f>
      </x:c>
      <x:c r="W3401" s="47" t="n">
        <x:v>0.3</x:v>
      </x:c>
      <x:c r="X3401" s="54" t="str">
        <x:f>IF(ISNUMBER(V3401),V3401/(1-W3401),"")</x:f>
      </x:c>
      <x:c r="Y3401" s="55" t="str">
        <x:f>IF(ISNUMBER(X3401),ROUNDUP(X3401,0),"")</x:f>
      </x:c>
      <x:c r="Z3401" t="str">
        <x:f>IF(ISNUMBER(T3401),"Cost captured","Awaiting trade cost")</x:f>
        <x:v>Awaiting trade cost</x:v>
      </x:c>
      <x:c r="AB3401" s="36" t="str">
        <x:f>IF(ISNUMBER(Y3401),ROUND(Y3401*0.9,2),"")</x:f>
      </x:c>
      <x:c r="AC3401" s="36" t="str">
        <x:f>IF(ISNUMBER(AB3401),ROUND(AB3401-(AB3401*0.015+0.2)-V3401,2),"")</x:f>
      </x:c>
      <x:c r="AD3401" s="36" t="str">
        <x:f>IF(ISNUMBER(Y3401),ROUND(Y3401*0.8,2),"")</x:f>
      </x:c>
      <x:c r="AE3401" s="36" t="str">
        <x:f>IF(ISNUMBER(AD3401),ROUND(AD3401*0.015+0.2,2),"")</x:f>
      </x:c>
      <x:c r="AF3401" s="36" t="str">
        <x:f>IF(ISNUMBER(AD3401),ROUND(AD3401-AE3401-V3401,2),"")</x:f>
      </x:c>
      <x:c r="AG3401" t="str">
        <x:f>IF(NOT(ISNUMBER(T3401)),"PENDING",IF(AF3401&gt;0,"PASS","FAIL"))</x:f>
        <x:v>PENDING</x:v>
      </x:c>
      <x:c r="AH3401" t="str">
        <x:f>IF(NOT(ISNUMBER(T3401)),"Needs supplier cost",IF(K3401&lt;&gt;"In stock","Supplier unavailable",IF(AG3401&lt;&gt;"PASS","BLOCK - GT loss risk","Commercially protected")))</x:f>
        <x:v>Needs supplier cost</x:v>
      </x:c>
      <x:c r="AI3401" t="str">
        <x:v>2026-09-10 Active Sports trade capture</x:v>
      </x:c>
      <x:c r="AJ3401" t="str">
        <x:v>Management-only economics. Stripe stress test uses 1.5% + £0.20 standard UK online-card fee; pallet/mix-and-match pricing ignored.</x:v>
      </x:c>
    </x:row>
    <x:row r="3402">
      <x:c r="A3402" t="str">
        <x:v>Active Sports Nutrition</x:v>
      </x:c>
      <x:c r="B3402" t="str">
        <x:v>Refined Nutrition</x:v>
      </x:c>
      <x:c r="C3402" t="str">
        <x:v>Ultra Hydration</x:v>
      </x:c>
      <x:c r="D3402" t="str">
        <x:v>Supplements</x:v>
      </x:c>
      <x:c r="E3402" t="str">
        <x:v>Hydration</x:v>
      </x:c>
      <x:c r="F3402" t="str"/>
      <x:c r="G3402" t="str">
        <x:v>300g</x:v>
      </x:c>
      <x:c r="H3402" t="str">
        <x:v>Pineapple</x:v>
      </x:c>
      <x:c r="I3402" t="str"/>
      <x:c r="J3402" t="str">
        <x:v>Unit</x:v>
      </x:c>
      <x:c r="K3402" t="str">
        <x:v>In stock</x:v>
      </x:c>
      <x:c r="L3402" t="str">
        <x:v>2026-09-08</x:v>
      </x:c>
      <x:c r="M3402" t="str"/>
      <x:c r="N3402" t="str"/>
      <x:c r="O3402" t="str">
        <x:v>https://www.activesportstrade.co.uk/hydration-supplements-trade</x:v>
      </x:c>
      <x:c r="P3402" t="str"/>
      <x:c r="Q3402" t="str"/>
      <x:c r="R3402" t="str"/>
      <x:c r="S3402" t="str">
        <x:v>Pending genuine supplier/brand image</x:v>
      </x:c>
      <x:c r="T3402" s="54"/>
      <x:c r="U3402" s="47" t="n">
        <x:v>0.2</x:v>
      </x:c>
      <x:c r="V3402" s="54" t="str">
        <x:f>IF(ISNUMBER(T3402),T3402*(1+U3402),"")</x:f>
      </x:c>
      <x:c r="W3402" s="47" t="n">
        <x:v>0.3</x:v>
      </x:c>
      <x:c r="X3402" s="54" t="str">
        <x:f>IF(ISNUMBER(V3402),V3402/(1-W3402),"")</x:f>
      </x:c>
      <x:c r="Y3402" s="55" t="str">
        <x:f>IF(ISNUMBER(X3402),ROUNDUP(X3402,0),"")</x:f>
      </x:c>
      <x:c r="Z3402" t="str">
        <x:f>IF(ISNUMBER(T3402),"Cost captured","Awaiting trade cost")</x:f>
        <x:v>Awaiting trade cost</x:v>
      </x:c>
      <x:c r="AB3402" s="36" t="str">
        <x:f>IF(ISNUMBER(Y3402),ROUND(Y3402*0.9,2),"")</x:f>
      </x:c>
      <x:c r="AC3402" s="36" t="str">
        <x:f>IF(ISNUMBER(AB3402),ROUND(AB3402-(AB3402*0.015+0.2)-V3402,2),"")</x:f>
      </x:c>
      <x:c r="AD3402" s="36" t="str">
        <x:f>IF(ISNUMBER(Y3402),ROUND(Y3402*0.8,2),"")</x:f>
      </x:c>
      <x:c r="AE3402" s="36" t="str">
        <x:f>IF(ISNUMBER(AD3402),ROUND(AD3402*0.015+0.2,2),"")</x:f>
      </x:c>
      <x:c r="AF3402" s="36" t="str">
        <x:f>IF(ISNUMBER(AD3402),ROUND(AD3402-AE3402-V3402,2),"")</x:f>
      </x:c>
      <x:c r="AG3402" t="str">
        <x:f>IF(NOT(ISNUMBER(T3402)),"PENDING",IF(AF3402&gt;0,"PASS","FAIL"))</x:f>
        <x:v>PENDING</x:v>
      </x:c>
      <x:c r="AH3402" t="str">
        <x:f>IF(NOT(ISNUMBER(T3402)),"Needs supplier cost",IF(K3402&lt;&gt;"In stock","Supplier unavailable",IF(AG3402&lt;&gt;"PASS","BLOCK - GT loss risk","Commercially protected")))</x:f>
        <x:v>Needs supplier cost</x:v>
      </x:c>
      <x:c r="AI3402" t="str">
        <x:v>2026-09-10 Active Sports trade capture</x:v>
      </x:c>
      <x:c r="AJ3402" t="str">
        <x:v>Management-only economics. Stripe stress test uses 1.5% + £0.20 standard UK online-card fee; pallet/mix-and-match pricing ignored.</x:v>
      </x:c>
    </x:row>
    <x:row r="3403">
      <x:c r="A3403" t="str">
        <x:v>Active Sports Nutrition</x:v>
      </x:c>
      <x:c r="B3403" t="str">
        <x:v>Refined Nutrition</x:v>
      </x:c>
      <x:c r="C3403" t="str">
        <x:v>Ultra Hydration</x:v>
      </x:c>
      <x:c r="D3403" t="str">
        <x:v>Supplements</x:v>
      </x:c>
      <x:c r="E3403" t="str">
        <x:v>Hydration</x:v>
      </x:c>
      <x:c r="F3403" t="str"/>
      <x:c r="G3403" t="str">
        <x:v>300g</x:v>
      </x:c>
      <x:c r="H3403" t="str">
        <x:v>Strawberry Watermelon</x:v>
      </x:c>
      <x:c r="I3403" t="str"/>
      <x:c r="J3403" t="str">
        <x:v>Unit</x:v>
      </x:c>
      <x:c r="K3403" t="str">
        <x:v>In stock</x:v>
      </x:c>
      <x:c r="L3403" t="str">
        <x:v>2026-09-08</x:v>
      </x:c>
      <x:c r="M3403" t="str"/>
      <x:c r="N3403" t="str"/>
      <x:c r="O3403" t="str">
        <x:v>https://www.activesportstrade.co.uk/hydration-supplements-trade</x:v>
      </x:c>
      <x:c r="P3403" t="str"/>
      <x:c r="Q3403" t="str"/>
      <x:c r="R3403" t="str"/>
      <x:c r="S3403" t="str">
        <x:v>Pending genuine supplier/brand image</x:v>
      </x:c>
      <x:c r="T3403" s="54"/>
      <x:c r="U3403" s="47" t="n">
        <x:v>0.2</x:v>
      </x:c>
      <x:c r="V3403" s="54" t="str">
        <x:f>IF(ISNUMBER(T3403),T3403*(1+U3403),"")</x:f>
      </x:c>
      <x:c r="W3403" s="47" t="n">
        <x:v>0.3</x:v>
      </x:c>
      <x:c r="X3403" s="54" t="str">
        <x:f>IF(ISNUMBER(V3403),V3403/(1-W3403),"")</x:f>
      </x:c>
      <x:c r="Y3403" s="55" t="str">
        <x:f>IF(ISNUMBER(X3403),ROUNDUP(X3403,0),"")</x:f>
      </x:c>
      <x:c r="Z3403" t="str">
        <x:f>IF(ISNUMBER(T3403),"Cost captured","Awaiting trade cost")</x:f>
        <x:v>Awaiting trade cost</x:v>
      </x:c>
      <x:c r="AB3403" s="36" t="str">
        <x:f>IF(ISNUMBER(Y3403),ROUND(Y3403*0.9,2),"")</x:f>
      </x:c>
      <x:c r="AC3403" s="36" t="str">
        <x:f>IF(ISNUMBER(AB3403),ROUND(AB3403-(AB3403*0.015+0.2)-V3403,2),"")</x:f>
      </x:c>
      <x:c r="AD3403" s="36" t="str">
        <x:f>IF(ISNUMBER(Y3403),ROUND(Y3403*0.8,2),"")</x:f>
      </x:c>
      <x:c r="AE3403" s="36" t="str">
        <x:f>IF(ISNUMBER(AD3403),ROUND(AD3403*0.015+0.2,2),"")</x:f>
      </x:c>
      <x:c r="AF3403" s="36" t="str">
        <x:f>IF(ISNUMBER(AD3403),ROUND(AD3403-AE3403-V3403,2),"")</x:f>
      </x:c>
      <x:c r="AG3403" t="str">
        <x:f>IF(NOT(ISNUMBER(T3403)),"PENDING",IF(AF3403&gt;0,"PASS","FAIL"))</x:f>
        <x:v>PENDING</x:v>
      </x:c>
      <x:c r="AH3403" t="str">
        <x:f>IF(NOT(ISNUMBER(T3403)),"Needs supplier cost",IF(K3403&lt;&gt;"In stock","Supplier unavailable",IF(AG3403&lt;&gt;"PASS","BLOCK - GT loss risk","Commercially protected")))</x:f>
        <x:v>Needs supplier cost</x:v>
      </x:c>
      <x:c r="AI3403" t="str">
        <x:v>2026-09-10 Active Sports trade capture</x:v>
      </x:c>
      <x:c r="AJ3403" t="str">
        <x:v>Management-only economics. Stripe stress test uses 1.5% + £0.20 standard UK online-card fee; pallet/mix-and-match pricing ignored.</x:v>
      </x:c>
    </x:row>
    <x:row r="3404">
      <x:c r="A3404" t="str">
        <x:v>Active Sports Nutrition</x:v>
      </x:c>
      <x:c r="B3404" t="str">
        <x:v>Scitec Nutrition</x:v>
      </x:c>
      <x:c r="C3404" t="str">
        <x:v>Isotec Endurance</x:v>
      </x:c>
      <x:c r="D3404" t="str">
        <x:v>Supplements</x:v>
      </x:c>
      <x:c r="E3404" t="str">
        <x:v>Hydration / Carbohydrates</x:v>
      </x:c>
      <x:c r="F3404" t="str"/>
      <x:c r="G3404" t="str">
        <x:v>1000g</x:v>
      </x:c>
      <x:c r="H3404" t="str">
        <x:v>Lemon Ice Tea</x:v>
      </x:c>
      <x:c r="I3404" t="str"/>
      <x:c r="J3404" t="str">
        <x:v>Unit</x:v>
      </x:c>
      <x:c r="K3404" t="str">
        <x:v>In stock</x:v>
      </x:c>
      <x:c r="L3404" t="str">
        <x:v>2026-09-08</x:v>
      </x:c>
      <x:c r="M3404" t="str"/>
      <x:c r="N3404" t="str"/>
      <x:c r="O3404" t="str">
        <x:v>https://www.activesportstrade.co.uk/hydration-supplements-trade</x:v>
      </x:c>
      <x:c r="P3404" t="str"/>
      <x:c r="Q3404" t="str"/>
      <x:c r="R3404" t="str"/>
      <x:c r="S3404" t="str">
        <x:v>Pending genuine supplier/brand image</x:v>
      </x:c>
      <x:c r="T3404" s="54" t="n">
        <x:v>10.88</x:v>
      </x:c>
      <x:c r="U3404" s="47" t="n">
        <x:v>0.2</x:v>
      </x:c>
      <x:c r="V3404" s="54" t="n">
        <x:f>IF(ISNUMBER(T3404),T3404*(1+U3404),"")</x:f>
        <x:v>13.056000000000001</x:v>
      </x:c>
      <x:c r="W3404" s="47" t="n">
        <x:v>0.3</x:v>
      </x:c>
      <x:c r="X3404" s="54" t="n">
        <x:f>IF(ISNUMBER(V3404),V3404/(1-W3404),"")</x:f>
        <x:v>18.651428571428575</x:v>
      </x:c>
      <x:c r="Y3404" s="55" t="n">
        <x:f>IF(ISNUMBER(X3404),ROUNDUP(X3404,0),"")</x:f>
        <x:v>19</x:v>
      </x:c>
      <x:c r="Z3404" t="str">
        <x:v>Source match pending</x:v>
      </x:c>
      <x:c r="AA3404" t="str">
        <x:v>screencapture-www-activesportstrade-co-uk-scitec-nutrition-trade-2026-09-10-09_07_50.pdf / page-5</x:v>
      </x:c>
      <x:c r="AB3404" s="36" t="n">
        <x:f>IF(ISNUMBER(Y3404),ROUND(Y3404*0.9,2),"")</x:f>
        <x:v>17.1</x:v>
      </x:c>
      <x:c r="AC3404" s="36" t="n">
        <x:f>IF(ISNUMBER(AB3404),ROUND(AB3404-(AB3404*0.015+0.2)-V3404,2),"")</x:f>
        <x:v>3.59</x:v>
      </x:c>
      <x:c r="AD3404" s="36" t="n">
        <x:f>IF(ISNUMBER(Y3404),ROUND(Y3404*0.8,2),"")</x:f>
        <x:v>15.2</x:v>
      </x:c>
      <x:c r="AE3404" s="36" t="n">
        <x:f>IF(ISNUMBER(AD3404),ROUND(AD3404*0.015+0.2,2),"")</x:f>
        <x:v>0.43</x:v>
      </x:c>
      <x:c r="AF3404" s="36" t="n">
        <x:f>IF(ISNUMBER(AD3404),ROUND(AD3404-AE3404-V3404,2),"")</x:f>
        <x:v>1.71</x:v>
      </x:c>
      <x:c r="AG3404" t="str">
        <x:f>IF(NOT(ISNUMBER(T3404)),"PENDING",IF(AF3404&gt;0,"PASS","FAIL"))</x:f>
        <x:v>PASS</x:v>
      </x:c>
      <x:c r="AH3404" t="str">
        <x:f>IF(NOT(ISNUMBER(T3404)),"Needs supplier cost",IF(K3404&lt;&gt;"In stock","Supplier unavailable",IF(AG3404&lt;&gt;"PASS","BLOCK - GT loss risk","Commercially protected")))</x:f>
        <x:v>Commercially protected</x:v>
      </x:c>
      <x:c r="AI3404" t="str">
        <x:v>2026-09-10 Active Sports trade capture</x:v>
      </x:c>
      <x:c r="AJ3404" t="str">
        <x:v>Management-only economics. Stripe stress test uses 1.5% + £0.20 standard UK online-card fee; pallet/mix-and-match pricing ignored.</x:v>
      </x:c>
    </x:row>
    <x:row r="3405">
      <x:c r="A3405" t="str">
        <x:v>Active Sports Nutrition</x:v>
      </x:c>
      <x:c r="B3405" t="str">
        <x:v>Scitec Nutrition</x:v>
      </x:c>
      <x:c r="C3405" t="str">
        <x:v>Isotec Endurance</x:v>
      </x:c>
      <x:c r="D3405" t="str">
        <x:v>Supplements</x:v>
      </x:c>
      <x:c r="E3405" t="str">
        <x:v>Hydration / Carbohydrates</x:v>
      </x:c>
      <x:c r="F3405" t="str"/>
      <x:c r="G3405" t="str">
        <x:v>1000g</x:v>
      </x:c>
      <x:c r="H3405" t="str">
        <x:v>Orange</x:v>
      </x:c>
      <x:c r="I3405" t="str"/>
      <x:c r="J3405" t="str">
        <x:v>Unit</x:v>
      </x:c>
      <x:c r="K3405" t="str">
        <x:v>In stock</x:v>
      </x:c>
      <x:c r="L3405" t="str">
        <x:v>2026-09-08</x:v>
      </x:c>
      <x:c r="M3405" t="str"/>
      <x:c r="N3405" t="str"/>
      <x:c r="O3405" t="str">
        <x:v>https://www.activesportstrade.co.uk/hydration-supplements-trade</x:v>
      </x:c>
      <x:c r="P3405" t="str"/>
      <x:c r="Q3405" t="str"/>
      <x:c r="R3405" t="str"/>
      <x:c r="S3405" t="str">
        <x:v>Pending genuine supplier/brand image</x:v>
      </x:c>
      <x:c r="T3405" s="54" t="n">
        <x:v>10.88</x:v>
      </x:c>
      <x:c r="U3405" s="47" t="n">
        <x:v>0.2</x:v>
      </x:c>
      <x:c r="V3405" s="54" t="n">
        <x:f>IF(ISNUMBER(T3405),T3405*(1+U3405),"")</x:f>
        <x:v>13.056000000000001</x:v>
      </x:c>
      <x:c r="W3405" s="47" t="n">
        <x:v>0.3</x:v>
      </x:c>
      <x:c r="X3405" s="54" t="n">
        <x:f>IF(ISNUMBER(V3405),V3405/(1-W3405),"")</x:f>
        <x:v>18.651428571428575</x:v>
      </x:c>
      <x:c r="Y3405" s="55" t="n">
        <x:f>IF(ISNUMBER(X3405),ROUNDUP(X3405,0),"")</x:f>
        <x:v>19</x:v>
      </x:c>
      <x:c r="Z3405" t="str">
        <x:v>Source match pending</x:v>
      </x:c>
      <x:c r="AA3405" t="str">
        <x:v>screencapture-www-activesportstrade-co-uk-scitec-nutrition-trade-2026-09-10-09_07_50.pdf / page-5</x:v>
      </x:c>
      <x:c r="AB3405" s="36" t="n">
        <x:f>IF(ISNUMBER(Y3405),ROUND(Y3405*0.9,2),"")</x:f>
        <x:v>17.1</x:v>
      </x:c>
      <x:c r="AC3405" s="36" t="n">
        <x:f>IF(ISNUMBER(AB3405),ROUND(AB3405-(AB3405*0.015+0.2)-V3405,2),"")</x:f>
        <x:v>3.59</x:v>
      </x:c>
      <x:c r="AD3405" s="36" t="n">
        <x:f>IF(ISNUMBER(Y3405),ROUND(Y3405*0.8,2),"")</x:f>
        <x:v>15.2</x:v>
      </x:c>
      <x:c r="AE3405" s="36" t="n">
        <x:f>IF(ISNUMBER(AD3405),ROUND(AD3405*0.015+0.2,2),"")</x:f>
        <x:v>0.43</x:v>
      </x:c>
      <x:c r="AF3405" s="36" t="n">
        <x:f>IF(ISNUMBER(AD3405),ROUND(AD3405-AE3405-V3405,2),"")</x:f>
        <x:v>1.71</x:v>
      </x:c>
      <x:c r="AG3405" t="str">
        <x:f>IF(NOT(ISNUMBER(T3405)),"PENDING",IF(AF3405&gt;0,"PASS","FAIL"))</x:f>
        <x:v>PASS</x:v>
      </x:c>
      <x:c r="AH3405" t="str">
        <x:f>IF(NOT(ISNUMBER(T3405)),"Needs supplier cost",IF(K3405&lt;&gt;"In stock","Supplier unavailable",IF(AG3405&lt;&gt;"PASS","BLOCK - GT loss risk","Commercially protected")))</x:f>
        <x:v>Commercially protected</x:v>
      </x:c>
      <x:c r="AI3405" t="str">
        <x:v>2026-09-10 Active Sports trade capture</x:v>
      </x:c>
      <x:c r="AJ3405" t="str">
        <x:v>Management-only economics. Stripe stress test uses 1.5% + £0.20 standard UK online-card fee; pallet/mix-and-match pricing ignored.</x:v>
      </x:c>
    </x:row>
    <x:row r="3406">
      <x:c r="A3406" t="str">
        <x:v>Active Sports Nutrition</x:v>
      </x:c>
      <x:c r="B3406" t="str">
        <x:v>Sport Asylum Nutrition</x:v>
      </x:c>
      <x:c r="C3406" t="str">
        <x:v>HydroMind</x:v>
      </x:c>
      <x:c r="D3406" t="str">
        <x:v>Supplements</x:v>
      </x:c>
      <x:c r="E3406" t="str">
        <x:v>Hydration / Nootropic</x:v>
      </x:c>
      <x:c r="F3406" t="str"/>
      <x:c r="G3406" t="str">
        <x:v>30 servings</x:v>
      </x:c>
      <x:c r="H3406" t="str">
        <x:v>Melon Jelly</x:v>
      </x:c>
      <x:c r="I3406" t="str"/>
      <x:c r="J3406" t="str">
        <x:v>Unit</x:v>
      </x:c>
      <x:c r="K3406" t="str">
        <x:v>In stock</x:v>
      </x:c>
      <x:c r="L3406" t="str">
        <x:v>2026-09-08</x:v>
      </x:c>
      <x:c r="M3406" t="str"/>
      <x:c r="N3406" t="str"/>
      <x:c r="O3406" t="str">
        <x:v>https://www.activesportstrade.co.uk/hydration-supplements-trade</x:v>
      </x:c>
      <x:c r="P3406" t="str">
        <x:v>SPECIAL OFFER wording stripped.</x:v>
      </x:c>
      <x:c r="Q3406" t="str"/>
      <x:c r="R3406" t="str"/>
      <x:c r="S3406" t="str">
        <x:v>Pending genuine supplier/brand image</x:v>
      </x:c>
      <x:c r="T3406" s="54" t="n">
        <x:v>17.99</x:v>
      </x:c>
      <x:c r="U3406" s="47" t="n">
        <x:v>0.2</x:v>
      </x:c>
      <x:c r="V3406" s="54" t="n">
        <x:f>IF(ISNUMBER(T3406),T3406*(1+U3406),"")</x:f>
        <x:v>21.587999999999997</x:v>
      </x:c>
      <x:c r="W3406" s="47" t="n">
        <x:v>0.3</x:v>
      </x:c>
      <x:c r="X3406" s="54" t="n">
        <x:f>IF(ISNUMBER(V3406),V3406/(1-W3406),"")</x:f>
        <x:v>30.84</x:v>
      </x:c>
      <x:c r="Y3406" s="55" t="n">
        <x:f>IF(ISNUMBER(X3406),ROUNDUP(X3406,0),"")</x:f>
        <x:v>31</x:v>
      </x:c>
      <x:c r="Z3406" t="str">
        <x:v>Source match pending</x:v>
      </x:c>
      <x:c r="AA3406" t="str">
        <x:v>screencapture-www-activesportstrade-co-uk-sport-asylum-nutrition-2026-09-09-18_57_27.png / page-001</x:v>
      </x:c>
      <x:c r="AB3406" s="36" t="n">
        <x:f>IF(ISNUMBER(Y3406),ROUND(Y3406*0.9,2),"")</x:f>
        <x:v>27.9</x:v>
      </x:c>
      <x:c r="AC3406" s="36" t="n">
        <x:f>IF(ISNUMBER(AB3406),ROUND(AB3406-(AB3406*0.015+0.2)-V3406,2),"")</x:f>
        <x:v>5.69</x:v>
      </x:c>
      <x:c r="AD3406" s="36" t="n">
        <x:f>IF(ISNUMBER(Y3406),ROUND(Y3406*0.8,2),"")</x:f>
        <x:v>24.8</x:v>
      </x:c>
      <x:c r="AE3406" s="36" t="n">
        <x:f>IF(ISNUMBER(AD3406),ROUND(AD3406*0.015+0.2,2),"")</x:f>
        <x:v>0.57</x:v>
      </x:c>
      <x:c r="AF3406" s="36" t="n">
        <x:f>IF(ISNUMBER(AD3406),ROUND(AD3406-AE3406-V3406,2),"")</x:f>
        <x:v>2.64</x:v>
      </x:c>
      <x:c r="AG3406" t="str">
        <x:f>IF(NOT(ISNUMBER(T3406)),"PENDING",IF(AF3406&gt;0,"PASS","FAIL"))</x:f>
        <x:v>PASS</x:v>
      </x:c>
      <x:c r="AH3406" t="str">
        <x:f>IF(NOT(ISNUMBER(T3406)),"Needs supplier cost",IF(K3406&lt;&gt;"In stock","Supplier unavailable",IF(AG3406&lt;&gt;"PASS","BLOCK - GT loss risk","Commercially protected")))</x:f>
        <x:v>Commercially protected</x:v>
      </x:c>
      <x:c r="AI3406" t="str">
        <x:v>2026-09-10 Active Sports trade capture</x:v>
      </x:c>
      <x:c r="AJ3406" t="str">
        <x:v>Management-only economics. Stripe stress test uses 1.5% + £0.20 standard UK online-card fee; pallet/mix-and-match pricing ignored.</x:v>
      </x:c>
    </x:row>
    <x:row r="3407">
      <x:c r="A3407" t="str">
        <x:v>Active Sports Nutrition</x:v>
      </x:c>
      <x:c r="B3407" t="str">
        <x:v>Sport Asylum Nutrition</x:v>
      </x:c>
      <x:c r="C3407" t="str">
        <x:v>HydroMind</x:v>
      </x:c>
      <x:c r="D3407" t="str">
        <x:v>Supplements</x:v>
      </x:c>
      <x:c r="E3407" t="str">
        <x:v>Hydration / Nootropic</x:v>
      </x:c>
      <x:c r="F3407" t="str"/>
      <x:c r="G3407" t="str">
        <x:v>30 servings</x:v>
      </x:c>
      <x:c r="H3407" t="str">
        <x:v>Red Berry</x:v>
      </x:c>
      <x:c r="I3407" t="str"/>
      <x:c r="J3407" t="str">
        <x:v>Unit</x:v>
      </x:c>
      <x:c r="K3407" t="str">
        <x:v>In stock</x:v>
      </x:c>
      <x:c r="L3407" t="str">
        <x:v>2026-09-08</x:v>
      </x:c>
      <x:c r="M3407" t="str"/>
      <x:c r="N3407" t="str"/>
      <x:c r="O3407" t="str">
        <x:v>https://www.activesportstrade.co.uk/hydration-supplements-trade</x:v>
      </x:c>
      <x:c r="P3407" t="str">
        <x:v>SPECIAL OFFER wording stripped.</x:v>
      </x:c>
      <x:c r="Q3407" t="str"/>
      <x:c r="R3407" t="str"/>
      <x:c r="S3407" t="str">
        <x:v>Pending genuine supplier/brand image</x:v>
      </x:c>
      <x:c r="T3407" s="54" t="n">
        <x:v>17.99</x:v>
      </x:c>
      <x:c r="U3407" s="47" t="n">
        <x:v>0.2</x:v>
      </x:c>
      <x:c r="V3407" s="54" t="n">
        <x:f>IF(ISNUMBER(T3407),T3407*(1+U3407),"")</x:f>
        <x:v>21.587999999999997</x:v>
      </x:c>
      <x:c r="W3407" s="47" t="n">
        <x:v>0.3</x:v>
      </x:c>
      <x:c r="X3407" s="54" t="n">
        <x:f>IF(ISNUMBER(V3407),V3407/(1-W3407),"")</x:f>
        <x:v>30.84</x:v>
      </x:c>
      <x:c r="Y3407" s="55" t="n">
        <x:f>IF(ISNUMBER(X3407),ROUNDUP(X3407,0),"")</x:f>
        <x:v>31</x:v>
      </x:c>
      <x:c r="Z3407" t="str">
        <x:v>Source match pending</x:v>
      </x:c>
      <x:c r="AA3407" t="str">
        <x:v>screencapture-www-activesportstrade-co-uk-sport-asylum-nutrition-2026-09-09-18_57_27.png / page-001</x:v>
      </x:c>
      <x:c r="AB3407" s="36" t="n">
        <x:f>IF(ISNUMBER(Y3407),ROUND(Y3407*0.9,2),"")</x:f>
        <x:v>27.9</x:v>
      </x:c>
      <x:c r="AC3407" s="36" t="n">
        <x:f>IF(ISNUMBER(AB3407),ROUND(AB3407-(AB3407*0.015+0.2)-V3407,2),"")</x:f>
        <x:v>5.69</x:v>
      </x:c>
      <x:c r="AD3407" s="36" t="n">
        <x:f>IF(ISNUMBER(Y3407),ROUND(Y3407*0.8,2),"")</x:f>
        <x:v>24.8</x:v>
      </x:c>
      <x:c r="AE3407" s="36" t="n">
        <x:f>IF(ISNUMBER(AD3407),ROUND(AD3407*0.015+0.2,2),"")</x:f>
        <x:v>0.57</x:v>
      </x:c>
      <x:c r="AF3407" s="36" t="n">
        <x:f>IF(ISNUMBER(AD3407),ROUND(AD3407-AE3407-V3407,2),"")</x:f>
        <x:v>2.64</x:v>
      </x:c>
      <x:c r="AG3407" t="str">
        <x:f>IF(NOT(ISNUMBER(T3407)),"PENDING",IF(AF3407&gt;0,"PASS","FAIL"))</x:f>
        <x:v>PASS</x:v>
      </x:c>
      <x:c r="AH3407" t="str">
        <x:f>IF(NOT(ISNUMBER(T3407)),"Needs supplier cost",IF(K3407&lt;&gt;"In stock","Supplier unavailable",IF(AG3407&lt;&gt;"PASS","BLOCK - GT loss risk","Commercially protected")))</x:f>
        <x:v>Commercially protected</x:v>
      </x:c>
      <x:c r="AI3407" t="str">
        <x:v>2026-09-10 Active Sports trade capture</x:v>
      </x:c>
      <x:c r="AJ3407" t="str">
        <x:v>Management-only economics. Stripe stress test uses 1.5% + £0.20 standard UK online-card fee; pallet/mix-and-match pricing ignored.</x:v>
      </x:c>
    </x:row>
    <x:row r="3408">
      <x:c r="A3408" t="str">
        <x:v>Active Sports Nutrition</x:v>
      </x:c>
      <x:c r="B3408" t="str">
        <x:v>Strom Sports Nutrition</x:v>
      </x:c>
      <x:c r="C3408" t="str">
        <x:v>HydraMAX</x:v>
      </x:c>
      <x:c r="D3408" t="str">
        <x:v>Supplements</x:v>
      </x:c>
      <x:c r="E3408" t="str">
        <x:v>Hydration</x:v>
      </x:c>
      <x:c r="F3408" t="str"/>
      <x:c r="G3408" t="str">
        <x:v>35 servings</x:v>
      </x:c>
      <x:c r="H3408" t="str">
        <x:v>Acai Berry</x:v>
      </x:c>
      <x:c r="I3408" t="str"/>
      <x:c r="J3408" t="str">
        <x:v>Unit</x:v>
      </x:c>
      <x:c r="K3408" t="str">
        <x:v>Out of stock</x:v>
      </x:c>
      <x:c r="L3408" t="str">
        <x:v>2026-09-08</x:v>
      </x:c>
      <x:c r="M3408" t="str"/>
      <x:c r="N3408" t="str"/>
      <x:c r="O3408" t="str">
        <x:v>https://www.activesportstrade.co.uk/hydration-supplements-trade</x:v>
      </x:c>
      <x:c r="P3408" t="str">
        <x:v>Current supplier format is 35 servings; retained separately from older 40-serving rows rather than overwriting identity.</x:v>
      </x:c>
      <x:c r="Q3408" t="str"/>
      <x:c r="R3408" t="str"/>
      <x:c r="S3408" t="str">
        <x:v>Pending genuine supplier/brand image</x:v>
      </x:c>
      <x:c r="T3408" s="54" t="n">
        <x:v>14.99</x:v>
      </x:c>
      <x:c r="U3408" s="47" t="n">
        <x:v>0.2</x:v>
      </x:c>
      <x:c r="V3408" s="54" t="n">
        <x:f>IF(ISNUMBER(T3408),T3408*(1+U3408),"")</x:f>
        <x:v>17.988</x:v>
      </x:c>
      <x:c r="W3408" s="47" t="n">
        <x:v>0.3</x:v>
      </x:c>
      <x:c r="X3408" s="54" t="n">
        <x:f>IF(ISNUMBER(V3408),V3408/(1-W3408),"")</x:f>
        <x:v>25.697142857142858</x:v>
      </x:c>
      <x:c r="Y3408" s="55" t="n">
        <x:f>IF(ISNUMBER(X3408),ROUNDUP(X3408,0),"")</x:f>
        <x:v>26</x:v>
      </x:c>
      <x:c r="Z3408" t="str">
        <x:v>Source match pending</x:v>
      </x:c>
      <x:c r="AA3408" t="str">
        <x:v>screencapture-www-activesportstrade-co-uk-strom-sports-nutrition-trade-2026-09-10-09_08_39.pdf / page-3</x:v>
      </x:c>
      <x:c r="AB3408" s="36" t="n">
        <x:f>IF(ISNUMBER(Y3408),ROUND(Y3408*0.9,2),"")</x:f>
        <x:v>23.4</x:v>
      </x:c>
      <x:c r="AC3408" s="36" t="n">
        <x:f>IF(ISNUMBER(AB3408),ROUND(AB3408-(AB3408*0.015+0.2)-V3408,2),"")</x:f>
        <x:v>4.86</x:v>
      </x:c>
      <x:c r="AD3408" s="36" t="n">
        <x:f>IF(ISNUMBER(Y3408),ROUND(Y3408*0.8,2),"")</x:f>
        <x:v>20.8</x:v>
      </x:c>
      <x:c r="AE3408" s="36" t="n">
        <x:f>IF(ISNUMBER(AD3408),ROUND(AD3408*0.015+0.2,2),"")</x:f>
        <x:v>0.51</x:v>
      </x:c>
      <x:c r="AF3408" s="36" t="n">
        <x:f>IF(ISNUMBER(AD3408),ROUND(AD3408-AE3408-V3408,2),"")</x:f>
        <x:v>2.3</x:v>
      </x:c>
      <x:c r="AG3408" t="str">
        <x:f>IF(NOT(ISNUMBER(T3408)),"PENDING",IF(AF3408&gt;0,"PASS","FAIL"))</x:f>
        <x:v>PASS</x:v>
      </x:c>
      <x:c r="AH3408" t="str">
        <x:f>IF(NOT(ISNUMBER(T3408)),"Needs supplier cost",IF(K3408&lt;&gt;"In stock","Supplier unavailable",IF(AG3408&lt;&gt;"PASS","BLOCK - GT loss risk","Commercially protected")))</x:f>
        <x:v>Supplier unavailable</x:v>
      </x:c>
      <x:c r="AI3408" t="str">
        <x:v>2026-09-10 Active Sports trade capture</x:v>
      </x:c>
      <x:c r="AJ3408" t="str">
        <x:v>Management-only economics. Stripe stress test uses 1.5% + £0.20 standard UK online-card fee; pallet/mix-and-match pricing ignored.</x:v>
      </x:c>
    </x:row>
    <x:row r="3409">
      <x:c r="A3409" t="str">
        <x:v>Active Sports Nutrition</x:v>
      </x:c>
      <x:c r="B3409" t="str">
        <x:v>Strom Sports Nutrition</x:v>
      </x:c>
      <x:c r="C3409" t="str">
        <x:v>HydraMAX</x:v>
      </x:c>
      <x:c r="D3409" t="str">
        <x:v>Supplements</x:v>
      </x:c>
      <x:c r="E3409" t="str">
        <x:v>Hydration</x:v>
      </x:c>
      <x:c r="F3409" t="str"/>
      <x:c r="G3409" t="str">
        <x:v>35 servings</x:v>
      </x:c>
      <x:c r="H3409" t="str">
        <x:v>Berrylicious</x:v>
      </x:c>
      <x:c r="I3409" t="str"/>
      <x:c r="J3409" t="str">
        <x:v>Unit</x:v>
      </x:c>
      <x:c r="K3409" t="str">
        <x:v>Out of stock</x:v>
      </x:c>
      <x:c r="L3409" t="str">
        <x:v>2026-09-08</x:v>
      </x:c>
      <x:c r="M3409" t="str"/>
      <x:c r="N3409" t="str"/>
      <x:c r="O3409" t="str">
        <x:v>https://www.activesportstrade.co.uk/hydration-supplements-trade</x:v>
      </x:c>
      <x:c r="P3409" t="str">
        <x:v>Current supplier format is 35 servings; retained separately from older 40-serving rows rather than overwriting identity.</x:v>
      </x:c>
      <x:c r="Q3409" t="str"/>
      <x:c r="R3409" t="str"/>
      <x:c r="S3409" t="str">
        <x:v>Pending genuine supplier/brand image</x:v>
      </x:c>
      <x:c r="T3409" s="54" t="n">
        <x:v>14.99</x:v>
      </x:c>
      <x:c r="U3409" s="47" t="n">
        <x:v>0.2</x:v>
      </x:c>
      <x:c r="V3409" s="54" t="n">
        <x:f>IF(ISNUMBER(T3409),T3409*(1+U3409),"")</x:f>
        <x:v>17.988</x:v>
      </x:c>
      <x:c r="W3409" s="47" t="n">
        <x:v>0.3</x:v>
      </x:c>
      <x:c r="X3409" s="54" t="n">
        <x:f>IF(ISNUMBER(V3409),V3409/(1-W3409),"")</x:f>
        <x:v>25.697142857142858</x:v>
      </x:c>
      <x:c r="Y3409" s="55" t="n">
        <x:f>IF(ISNUMBER(X3409),ROUNDUP(X3409,0),"")</x:f>
        <x:v>26</x:v>
      </x:c>
      <x:c r="Z3409" t="str">
        <x:v>Source match pending</x:v>
      </x:c>
      <x:c r="AA3409" t="str">
        <x:v>screencapture-www-activesportstrade-co-uk-strom-sports-nutrition-trade-2026-09-10-09_08_39.pdf / page-3</x:v>
      </x:c>
      <x:c r="AB3409" s="36" t="n">
        <x:f>IF(ISNUMBER(Y3409),ROUND(Y3409*0.9,2),"")</x:f>
        <x:v>23.4</x:v>
      </x:c>
      <x:c r="AC3409" s="36" t="n">
        <x:f>IF(ISNUMBER(AB3409),ROUND(AB3409-(AB3409*0.015+0.2)-V3409,2),"")</x:f>
        <x:v>4.86</x:v>
      </x:c>
      <x:c r="AD3409" s="36" t="n">
        <x:f>IF(ISNUMBER(Y3409),ROUND(Y3409*0.8,2),"")</x:f>
        <x:v>20.8</x:v>
      </x:c>
      <x:c r="AE3409" s="36" t="n">
        <x:f>IF(ISNUMBER(AD3409),ROUND(AD3409*0.015+0.2,2),"")</x:f>
        <x:v>0.51</x:v>
      </x:c>
      <x:c r="AF3409" s="36" t="n">
        <x:f>IF(ISNUMBER(AD3409),ROUND(AD3409-AE3409-V3409,2),"")</x:f>
        <x:v>2.3</x:v>
      </x:c>
      <x:c r="AG3409" t="str">
        <x:f>IF(NOT(ISNUMBER(T3409)),"PENDING",IF(AF3409&gt;0,"PASS","FAIL"))</x:f>
        <x:v>PASS</x:v>
      </x:c>
      <x:c r="AH3409" t="str">
        <x:f>IF(NOT(ISNUMBER(T3409)),"Needs supplier cost",IF(K3409&lt;&gt;"In stock","Supplier unavailable",IF(AG3409&lt;&gt;"PASS","BLOCK - GT loss risk","Commercially protected")))</x:f>
        <x:v>Supplier unavailable</x:v>
      </x:c>
      <x:c r="AI3409" t="str">
        <x:v>2026-09-10 Active Sports trade capture</x:v>
      </x:c>
      <x:c r="AJ3409" t="str">
        <x:v>Management-only economics. Stripe stress test uses 1.5% + £0.20 standard UK online-card fee; pallet/mix-and-match pricing ignored.</x:v>
      </x:c>
    </x:row>
    <x:row r="3410">
      <x:c r="A3410" t="str">
        <x:v>Active Sports Nutrition</x:v>
      </x:c>
      <x:c r="B3410" t="str">
        <x:v>Strom Sports Nutrition</x:v>
      </x:c>
      <x:c r="C3410" t="str">
        <x:v>HydraMAX</x:v>
      </x:c>
      <x:c r="D3410" t="str">
        <x:v>Supplements</x:v>
      </x:c>
      <x:c r="E3410" t="str">
        <x:v>Hydration</x:v>
      </x:c>
      <x:c r="F3410" t="str"/>
      <x:c r="G3410" t="str">
        <x:v>35 servings</x:v>
      </x:c>
      <x:c r="H3410" t="str">
        <x:v>Cherry</x:v>
      </x:c>
      <x:c r="I3410" t="str"/>
      <x:c r="J3410" t="str">
        <x:v>Unit</x:v>
      </x:c>
      <x:c r="K3410" t="str">
        <x:v>Out of stock</x:v>
      </x:c>
      <x:c r="L3410" t="str">
        <x:v>2026-09-08</x:v>
      </x:c>
      <x:c r="M3410" t="str"/>
      <x:c r="N3410" t="str"/>
      <x:c r="O3410" t="str">
        <x:v>https://www.activesportstrade.co.uk/hydration-supplements-trade</x:v>
      </x:c>
      <x:c r="P3410" t="str">
        <x:v>Current supplier format is 35 servings; retained separately from older 40-serving rows rather than overwriting identity.</x:v>
      </x:c>
      <x:c r="Q3410" t="str"/>
      <x:c r="R3410" t="str"/>
      <x:c r="S3410" t="str">
        <x:v>Pending genuine supplier/brand image</x:v>
      </x:c>
      <x:c r="T3410" s="54" t="n">
        <x:v>14.99</x:v>
      </x:c>
      <x:c r="U3410" s="47" t="n">
        <x:v>0.2</x:v>
      </x:c>
      <x:c r="V3410" s="54" t="n">
        <x:f>IF(ISNUMBER(T3410),T3410*(1+U3410),"")</x:f>
        <x:v>17.988</x:v>
      </x:c>
      <x:c r="W3410" s="47" t="n">
        <x:v>0.3</x:v>
      </x:c>
      <x:c r="X3410" s="54" t="n">
        <x:f>IF(ISNUMBER(V3410),V3410/(1-W3410),"")</x:f>
        <x:v>25.697142857142858</x:v>
      </x:c>
      <x:c r="Y3410" s="55" t="n">
        <x:f>IF(ISNUMBER(X3410),ROUNDUP(X3410,0),"")</x:f>
        <x:v>26</x:v>
      </x:c>
      <x:c r="Z3410" t="str">
        <x:v>Source match pending</x:v>
      </x:c>
      <x:c r="AA3410" t="str">
        <x:v>screencapture-www-activesportstrade-co-uk-strom-sports-nutrition-trade-2026-09-10-09_08_39.pdf / page-3</x:v>
      </x:c>
      <x:c r="AB3410" s="36" t="n">
        <x:f>IF(ISNUMBER(Y3410),ROUND(Y3410*0.9,2),"")</x:f>
        <x:v>23.4</x:v>
      </x:c>
      <x:c r="AC3410" s="36" t="n">
        <x:f>IF(ISNUMBER(AB3410),ROUND(AB3410-(AB3410*0.015+0.2)-V3410,2),"")</x:f>
        <x:v>4.86</x:v>
      </x:c>
      <x:c r="AD3410" s="36" t="n">
        <x:f>IF(ISNUMBER(Y3410),ROUND(Y3410*0.8,2),"")</x:f>
        <x:v>20.8</x:v>
      </x:c>
      <x:c r="AE3410" s="36" t="n">
        <x:f>IF(ISNUMBER(AD3410),ROUND(AD3410*0.015+0.2,2),"")</x:f>
        <x:v>0.51</x:v>
      </x:c>
      <x:c r="AF3410" s="36" t="n">
        <x:f>IF(ISNUMBER(AD3410),ROUND(AD3410-AE3410-V3410,2),"")</x:f>
        <x:v>2.3</x:v>
      </x:c>
      <x:c r="AG3410" t="str">
        <x:f>IF(NOT(ISNUMBER(T3410)),"PENDING",IF(AF3410&gt;0,"PASS","FAIL"))</x:f>
        <x:v>PASS</x:v>
      </x:c>
      <x:c r="AH3410" t="str">
        <x:f>IF(NOT(ISNUMBER(T3410)),"Needs supplier cost",IF(K3410&lt;&gt;"In stock","Supplier unavailable",IF(AG3410&lt;&gt;"PASS","BLOCK - GT loss risk","Commercially protected")))</x:f>
        <x:v>Supplier unavailable</x:v>
      </x:c>
      <x:c r="AI3410" t="str">
        <x:v>2026-09-10 Active Sports trade capture</x:v>
      </x:c>
      <x:c r="AJ3410" t="str">
        <x:v>Management-only economics. Stripe stress test uses 1.5% + £0.20 standard UK online-card fee; pallet/mix-and-match pricing ignored.</x:v>
      </x:c>
    </x:row>
    <x:row r="3411">
      <x:c r="A3411" t="str">
        <x:v>Active Sports Nutrition</x:v>
      </x:c>
      <x:c r="B3411" t="str">
        <x:v>Strom Sports Nutrition</x:v>
      </x:c>
      <x:c r="C3411" t="str">
        <x:v>HydraMAX</x:v>
      </x:c>
      <x:c r="D3411" t="str">
        <x:v>Supplements</x:v>
      </x:c>
      <x:c r="E3411" t="str">
        <x:v>Hydration</x:v>
      </x:c>
      <x:c r="F3411" t="str"/>
      <x:c r="G3411" t="str">
        <x:v>35 servings</x:v>
      </x:c>
      <x:c r="H3411" t="str">
        <x:v>Cola Float (Vanilla Cola)</x:v>
      </x:c>
      <x:c r="I3411" t="str"/>
      <x:c r="J3411" t="str">
        <x:v>Unit</x:v>
      </x:c>
      <x:c r="K3411" t="str">
        <x:v>In stock</x:v>
      </x:c>
      <x:c r="L3411" t="str">
        <x:v>2026-09-08</x:v>
      </x:c>
      <x:c r="M3411" t="str"/>
      <x:c r="N3411" t="str"/>
      <x:c r="O3411" t="str">
        <x:v>https://www.activesportstrade.co.uk/hydration-supplements-trade</x:v>
      </x:c>
      <x:c r="P3411" t="str">
        <x:v>Current supplier format is 35 servings; retained separately from older 40-serving rows rather than overwriting identity.</x:v>
      </x:c>
      <x:c r="Q3411" t="str"/>
      <x:c r="R3411" t="str"/>
      <x:c r="S3411" t="str">
        <x:v>Pending genuine supplier/brand image</x:v>
      </x:c>
      <x:c r="T3411" s="54" t="n">
        <x:v>14.99</x:v>
      </x:c>
      <x:c r="U3411" s="47" t="n">
        <x:v>0.2</x:v>
      </x:c>
      <x:c r="V3411" s="54" t="n">
        <x:f>IF(ISNUMBER(T3411),T3411*(1+U3411),"")</x:f>
        <x:v>17.988</x:v>
      </x:c>
      <x:c r="W3411" s="47" t="n">
        <x:v>0.3</x:v>
      </x:c>
      <x:c r="X3411" s="54" t="n">
        <x:f>IF(ISNUMBER(V3411),V3411/(1-W3411),"")</x:f>
        <x:v>25.697142857142858</x:v>
      </x:c>
      <x:c r="Y3411" s="55" t="n">
        <x:f>IF(ISNUMBER(X3411),ROUNDUP(X3411,0),"")</x:f>
        <x:v>26</x:v>
      </x:c>
      <x:c r="Z3411" t="str">
        <x:v>Source match pending</x:v>
      </x:c>
      <x:c r="AA3411" t="str">
        <x:v>screencapture-www-activesportstrade-co-uk-strom-sports-nutrition-trade-2026-09-10-09_08_39.pdf / page-3</x:v>
      </x:c>
      <x:c r="AB3411" s="36" t="n">
        <x:f>IF(ISNUMBER(Y3411),ROUND(Y3411*0.9,2),"")</x:f>
        <x:v>23.4</x:v>
      </x:c>
      <x:c r="AC3411" s="36" t="n">
        <x:f>IF(ISNUMBER(AB3411),ROUND(AB3411-(AB3411*0.015+0.2)-V3411,2),"")</x:f>
        <x:v>4.86</x:v>
      </x:c>
      <x:c r="AD3411" s="36" t="n">
        <x:f>IF(ISNUMBER(Y3411),ROUND(Y3411*0.8,2),"")</x:f>
        <x:v>20.8</x:v>
      </x:c>
      <x:c r="AE3411" s="36" t="n">
        <x:f>IF(ISNUMBER(AD3411),ROUND(AD3411*0.015+0.2,2),"")</x:f>
        <x:v>0.51</x:v>
      </x:c>
      <x:c r="AF3411" s="36" t="n">
        <x:f>IF(ISNUMBER(AD3411),ROUND(AD3411-AE3411-V3411,2),"")</x:f>
        <x:v>2.3</x:v>
      </x:c>
      <x:c r="AG3411" t="str">
        <x:f>IF(NOT(ISNUMBER(T3411)),"PENDING",IF(AF3411&gt;0,"PASS","FAIL"))</x:f>
        <x:v>PASS</x:v>
      </x:c>
      <x:c r="AH3411" t="str">
        <x:f>IF(NOT(ISNUMBER(T3411)),"Needs supplier cost",IF(K3411&lt;&gt;"In stock","Supplier unavailable",IF(AG3411&lt;&gt;"PASS","BLOCK - GT loss risk","Commercially protected")))</x:f>
        <x:v>Commercially protected</x:v>
      </x:c>
      <x:c r="AI3411" t="str">
        <x:v>2026-09-10 Active Sports trade capture</x:v>
      </x:c>
      <x:c r="AJ3411" t="str">
        <x:v>Management-only economics. Stripe stress test uses 1.5% + £0.20 standard UK online-card fee; pallet/mix-and-match pricing ignored.</x:v>
      </x:c>
    </x:row>
    <x:row r="3412">
      <x:c r="A3412" t="str">
        <x:v>Active Sports Nutrition</x:v>
      </x:c>
      <x:c r="B3412" t="str">
        <x:v>Strom Sports Nutrition</x:v>
      </x:c>
      <x:c r="C3412" t="str">
        <x:v>HydraMAX</x:v>
      </x:c>
      <x:c r="D3412" t="str">
        <x:v>Supplements</x:v>
      </x:c>
      <x:c r="E3412" t="str">
        <x:v>Hydration</x:v>
      </x:c>
      <x:c r="F3412" t="str"/>
      <x:c r="G3412" t="str">
        <x:v>35 servings</x:v>
      </x:c>
      <x:c r="H3412" t="str">
        <x:v>Lime Citrus</x:v>
      </x:c>
      <x:c r="I3412" t="str"/>
      <x:c r="J3412" t="str">
        <x:v>Unit</x:v>
      </x:c>
      <x:c r="K3412" t="str">
        <x:v>Out of stock</x:v>
      </x:c>
      <x:c r="L3412" t="str">
        <x:v>2026-09-08</x:v>
      </x:c>
      <x:c r="M3412" t="str"/>
      <x:c r="N3412" t="str"/>
      <x:c r="O3412" t="str">
        <x:v>https://www.activesportstrade.co.uk/hydration-supplements-trade</x:v>
      </x:c>
      <x:c r="P3412" t="str">
        <x:v>Current supplier format is 35 servings; retained separately from older 40-serving rows rather than overwriting identity.</x:v>
      </x:c>
      <x:c r="Q3412" t="str"/>
      <x:c r="R3412" t="str"/>
      <x:c r="S3412" t="str">
        <x:v>Pending genuine supplier/brand image</x:v>
      </x:c>
      <x:c r="T3412" s="54" t="n">
        <x:v>14.99</x:v>
      </x:c>
      <x:c r="U3412" s="47" t="n">
        <x:v>0.2</x:v>
      </x:c>
      <x:c r="V3412" s="54" t="n">
        <x:f>IF(ISNUMBER(T3412),T3412*(1+U3412),"")</x:f>
        <x:v>17.988</x:v>
      </x:c>
      <x:c r="W3412" s="47" t="n">
        <x:v>0.3</x:v>
      </x:c>
      <x:c r="X3412" s="54" t="n">
        <x:f>IF(ISNUMBER(V3412),V3412/(1-W3412),"")</x:f>
        <x:v>25.697142857142858</x:v>
      </x:c>
      <x:c r="Y3412" s="55" t="n">
        <x:f>IF(ISNUMBER(X3412),ROUNDUP(X3412,0),"")</x:f>
        <x:v>26</x:v>
      </x:c>
      <x:c r="Z3412" t="str">
        <x:v>Source match pending</x:v>
      </x:c>
      <x:c r="AA3412" t="str">
        <x:v>screencapture-www-activesportstrade-co-uk-strom-sports-nutrition-trade-2026-09-10-09_08_39.pdf / page-3</x:v>
      </x:c>
      <x:c r="AB3412" s="36" t="n">
        <x:f>IF(ISNUMBER(Y3412),ROUND(Y3412*0.9,2),"")</x:f>
        <x:v>23.4</x:v>
      </x:c>
      <x:c r="AC3412" s="36" t="n">
        <x:f>IF(ISNUMBER(AB3412),ROUND(AB3412-(AB3412*0.015+0.2)-V3412,2),"")</x:f>
        <x:v>4.86</x:v>
      </x:c>
      <x:c r="AD3412" s="36" t="n">
        <x:f>IF(ISNUMBER(Y3412),ROUND(Y3412*0.8,2),"")</x:f>
        <x:v>20.8</x:v>
      </x:c>
      <x:c r="AE3412" s="36" t="n">
        <x:f>IF(ISNUMBER(AD3412),ROUND(AD3412*0.015+0.2,2),"")</x:f>
        <x:v>0.51</x:v>
      </x:c>
      <x:c r="AF3412" s="36" t="n">
        <x:f>IF(ISNUMBER(AD3412),ROUND(AD3412-AE3412-V3412,2),"")</x:f>
        <x:v>2.3</x:v>
      </x:c>
      <x:c r="AG3412" t="str">
        <x:f>IF(NOT(ISNUMBER(T3412)),"PENDING",IF(AF3412&gt;0,"PASS","FAIL"))</x:f>
        <x:v>PASS</x:v>
      </x:c>
      <x:c r="AH3412" t="str">
        <x:f>IF(NOT(ISNUMBER(T3412)),"Needs supplier cost",IF(K3412&lt;&gt;"In stock","Supplier unavailable",IF(AG3412&lt;&gt;"PASS","BLOCK - GT loss risk","Commercially protected")))</x:f>
        <x:v>Supplier unavailable</x:v>
      </x:c>
      <x:c r="AI3412" t="str">
        <x:v>2026-09-10 Active Sports trade capture</x:v>
      </x:c>
      <x:c r="AJ3412" t="str">
        <x:v>Management-only economics. Stripe stress test uses 1.5% + £0.20 standard UK online-card fee; pallet/mix-and-match pricing ignored.</x:v>
      </x:c>
    </x:row>
    <x:row r="3413">
      <x:c r="A3413" t="str">
        <x:v>Active Sports Nutrition</x:v>
      </x:c>
      <x:c r="B3413" t="str">
        <x:v>Strom Sports Nutrition</x:v>
      </x:c>
      <x:c r="C3413" t="str">
        <x:v>HydraMAX</x:v>
      </x:c>
      <x:c r="D3413" t="str">
        <x:v>Supplements</x:v>
      </x:c>
      <x:c r="E3413" t="str">
        <x:v>Hydration</x:v>
      </x:c>
      <x:c r="F3413" t="str"/>
      <x:c r="G3413" t="str">
        <x:v>35 servings</x:v>
      </x:c>
      <x:c r="H3413" t="str">
        <x:v>Pina Colada</x:v>
      </x:c>
      <x:c r="I3413" t="str"/>
      <x:c r="J3413" t="str">
        <x:v>Unit</x:v>
      </x:c>
      <x:c r="K3413" t="str">
        <x:v>In stock</x:v>
      </x:c>
      <x:c r="L3413" t="str">
        <x:v>2026-09-08</x:v>
      </x:c>
      <x:c r="M3413" t="str"/>
      <x:c r="N3413" t="str"/>
      <x:c r="O3413" t="str">
        <x:v>https://www.activesportstrade.co.uk/hydration-supplements-trade</x:v>
      </x:c>
      <x:c r="P3413" t="str">
        <x:v>Current supplier format is 35 servings; retained separately from older 40-serving rows rather than overwriting identity.</x:v>
      </x:c>
      <x:c r="Q3413" t="str"/>
      <x:c r="R3413" t="str"/>
      <x:c r="S3413" t="str">
        <x:v>Pending genuine supplier/brand image</x:v>
      </x:c>
      <x:c r="T3413" s="54" t="n">
        <x:v>14.99</x:v>
      </x:c>
      <x:c r="U3413" s="47" t="n">
        <x:v>0.2</x:v>
      </x:c>
      <x:c r="V3413" s="54" t="n">
        <x:f>IF(ISNUMBER(T3413),T3413*(1+U3413),"")</x:f>
        <x:v>17.988</x:v>
      </x:c>
      <x:c r="W3413" s="47" t="n">
        <x:v>0.3</x:v>
      </x:c>
      <x:c r="X3413" s="54" t="n">
        <x:f>IF(ISNUMBER(V3413),V3413/(1-W3413),"")</x:f>
        <x:v>25.697142857142858</x:v>
      </x:c>
      <x:c r="Y3413" s="55" t="n">
        <x:f>IF(ISNUMBER(X3413),ROUNDUP(X3413,0),"")</x:f>
        <x:v>26</x:v>
      </x:c>
      <x:c r="Z3413" t="str">
        <x:v>Source match pending</x:v>
      </x:c>
      <x:c r="AA3413" t="str">
        <x:v>screencapture-www-activesportstrade-co-uk-strom-sports-nutrition-trade-2026-09-10-09_08_39.pdf / page-3</x:v>
      </x:c>
      <x:c r="AB3413" s="36" t="n">
        <x:f>IF(ISNUMBER(Y3413),ROUND(Y3413*0.9,2),"")</x:f>
        <x:v>23.4</x:v>
      </x:c>
      <x:c r="AC3413" s="36" t="n">
        <x:f>IF(ISNUMBER(AB3413),ROUND(AB3413-(AB3413*0.015+0.2)-V3413,2),"")</x:f>
        <x:v>4.86</x:v>
      </x:c>
      <x:c r="AD3413" s="36" t="n">
        <x:f>IF(ISNUMBER(Y3413),ROUND(Y3413*0.8,2),"")</x:f>
        <x:v>20.8</x:v>
      </x:c>
      <x:c r="AE3413" s="36" t="n">
        <x:f>IF(ISNUMBER(AD3413),ROUND(AD3413*0.015+0.2,2),"")</x:f>
        <x:v>0.51</x:v>
      </x:c>
      <x:c r="AF3413" s="36" t="n">
        <x:f>IF(ISNUMBER(AD3413),ROUND(AD3413-AE3413-V3413,2),"")</x:f>
        <x:v>2.3</x:v>
      </x:c>
      <x:c r="AG3413" t="str">
        <x:f>IF(NOT(ISNUMBER(T3413)),"PENDING",IF(AF3413&gt;0,"PASS","FAIL"))</x:f>
        <x:v>PASS</x:v>
      </x:c>
      <x:c r="AH3413" t="str">
        <x:f>IF(NOT(ISNUMBER(T3413)),"Needs supplier cost",IF(K3413&lt;&gt;"In stock","Supplier unavailable",IF(AG3413&lt;&gt;"PASS","BLOCK - GT loss risk","Commercially protected")))</x:f>
        <x:v>Commercially protected</x:v>
      </x:c>
      <x:c r="AI3413" t="str">
        <x:v>2026-09-10 Active Sports trade capture</x:v>
      </x:c>
      <x:c r="AJ3413" t="str">
        <x:v>Management-only economics. Stripe stress test uses 1.5% + £0.20 standard UK online-card fee; pallet/mix-and-match pricing ignored.</x:v>
      </x:c>
    </x:row>
    <x:row r="3414">
      <x:c r="A3414" t="str">
        <x:v>Active Sports Nutrition</x:v>
      </x:c>
      <x:c r="B3414" t="str">
        <x:v>Strom Sports Nutrition</x:v>
      </x:c>
      <x:c r="C3414" t="str">
        <x:v>HydraMAX</x:v>
      </x:c>
      <x:c r="D3414" t="str">
        <x:v>Supplements</x:v>
      </x:c>
      <x:c r="E3414" t="str">
        <x:v>Hydration</x:v>
      </x:c>
      <x:c r="F3414" t="str"/>
      <x:c r="G3414" t="str">
        <x:v>35 servings</x:v>
      </x:c>
      <x:c r="H3414" t="str">
        <x:v>Sour Appletastic</x:v>
      </x:c>
      <x:c r="I3414" t="str"/>
      <x:c r="J3414" t="str">
        <x:v>Unit</x:v>
      </x:c>
      <x:c r="K3414" t="str">
        <x:v>Out of stock</x:v>
      </x:c>
      <x:c r="L3414" t="str">
        <x:v>2026-09-08</x:v>
      </x:c>
      <x:c r="M3414" t="str"/>
      <x:c r="N3414" t="str"/>
      <x:c r="O3414" t="str">
        <x:v>https://www.activesportstrade.co.uk/hydration-supplements-trade</x:v>
      </x:c>
      <x:c r="P3414" t="str">
        <x:v>Current supplier format is 35 servings; retained separately from older 40-serving rows rather than overwriting identity.</x:v>
      </x:c>
      <x:c r="Q3414" t="str"/>
      <x:c r="R3414" t="str"/>
      <x:c r="S3414" t="str">
        <x:v>Pending genuine supplier/brand image</x:v>
      </x:c>
      <x:c r="T3414" s="54" t="n">
        <x:v>14.99</x:v>
      </x:c>
      <x:c r="U3414" s="47" t="n">
        <x:v>0.2</x:v>
      </x:c>
      <x:c r="V3414" s="54" t="n">
        <x:f>IF(ISNUMBER(T3414),T3414*(1+U3414),"")</x:f>
        <x:v>17.988</x:v>
      </x:c>
      <x:c r="W3414" s="47" t="n">
        <x:v>0.3</x:v>
      </x:c>
      <x:c r="X3414" s="54" t="n">
        <x:f>IF(ISNUMBER(V3414),V3414/(1-W3414),"")</x:f>
        <x:v>25.697142857142858</x:v>
      </x:c>
      <x:c r="Y3414" s="55" t="n">
        <x:f>IF(ISNUMBER(X3414),ROUNDUP(X3414,0),"")</x:f>
        <x:v>26</x:v>
      </x:c>
      <x:c r="Z3414" t="str">
        <x:v>Source match pending</x:v>
      </x:c>
      <x:c r="AA3414" t="str">
        <x:v>screencapture-www-activesportstrade-co-uk-strom-sports-nutrition-trade-2026-09-10-09_08_39.pdf / page-3</x:v>
      </x:c>
      <x:c r="AB3414" s="36" t="n">
        <x:f>IF(ISNUMBER(Y3414),ROUND(Y3414*0.9,2),"")</x:f>
        <x:v>23.4</x:v>
      </x:c>
      <x:c r="AC3414" s="36" t="n">
        <x:f>IF(ISNUMBER(AB3414),ROUND(AB3414-(AB3414*0.015+0.2)-V3414,2),"")</x:f>
        <x:v>4.86</x:v>
      </x:c>
      <x:c r="AD3414" s="36" t="n">
        <x:f>IF(ISNUMBER(Y3414),ROUND(Y3414*0.8,2),"")</x:f>
        <x:v>20.8</x:v>
      </x:c>
      <x:c r="AE3414" s="36" t="n">
        <x:f>IF(ISNUMBER(AD3414),ROUND(AD3414*0.015+0.2,2),"")</x:f>
        <x:v>0.51</x:v>
      </x:c>
      <x:c r="AF3414" s="36" t="n">
        <x:f>IF(ISNUMBER(AD3414),ROUND(AD3414-AE3414-V3414,2),"")</x:f>
        <x:v>2.3</x:v>
      </x:c>
      <x:c r="AG3414" t="str">
        <x:f>IF(NOT(ISNUMBER(T3414)),"PENDING",IF(AF3414&gt;0,"PASS","FAIL"))</x:f>
        <x:v>PASS</x:v>
      </x:c>
      <x:c r="AH3414" t="str">
        <x:f>IF(NOT(ISNUMBER(T3414)),"Needs supplier cost",IF(K3414&lt;&gt;"In stock","Supplier unavailable",IF(AG3414&lt;&gt;"PASS","BLOCK - GT loss risk","Commercially protected")))</x:f>
        <x:v>Supplier unavailable</x:v>
      </x:c>
      <x:c r="AI3414" t="str">
        <x:v>2026-09-10 Active Sports trade capture</x:v>
      </x:c>
      <x:c r="AJ3414" t="str">
        <x:v>Management-only economics. Stripe stress test uses 1.5% + £0.20 standard UK online-card fee; pallet/mix-and-match pricing ignored.</x:v>
      </x:c>
    </x:row>
    <x:row r="3415">
      <x:c r="A3415" t="str">
        <x:v>Active Sports Nutrition</x:v>
      </x:c>
      <x:c r="B3415" t="str">
        <x:v>Strom Sports Nutrition</x:v>
      </x:c>
      <x:c r="C3415" t="str">
        <x:v>HydraMAX</x:v>
      </x:c>
      <x:c r="D3415" t="str">
        <x:v>Supplements</x:v>
      </x:c>
      <x:c r="E3415" t="str">
        <x:v>Hydration</x:v>
      </x:c>
      <x:c r="F3415" t="str"/>
      <x:c r="G3415" t="str">
        <x:v>1.08kg / 90 servings</x:v>
      </x:c>
      <x:c r="H3415" t="str">
        <x:v>Acai Berry</x:v>
      </x:c>
      <x:c r="I3415" t="str"/>
      <x:c r="J3415" t="str">
        <x:v>Unit</x:v>
      </x:c>
      <x:c r="K3415" t="str">
        <x:v>Out of stock</x:v>
      </x:c>
      <x:c r="L3415" t="str">
        <x:v>2026-09-08</x:v>
      </x:c>
      <x:c r="M3415" t="str"/>
      <x:c r="N3415" t="str"/>
      <x:c r="O3415" t="str">
        <x:v>https://www.activesportstrade.co.uk/hydration-supplements-trade</x:v>
      </x:c>
      <x:c r="P3415" t="str"/>
      <x:c r="Q3415" t="str"/>
      <x:c r="R3415" t="str"/>
      <x:c r="S3415" t="str">
        <x:v>Pending genuine supplier/brand image</x:v>
      </x:c>
      <x:c r="T3415" s="54" t="n">
        <x:v>24.99</x:v>
      </x:c>
      <x:c r="U3415" s="47" t="n">
        <x:v>0.2</x:v>
      </x:c>
      <x:c r="V3415" s="54" t="n">
        <x:f>IF(ISNUMBER(T3415),T3415*(1+U3415),"")</x:f>
        <x:v>29.987999999999996</x:v>
      </x:c>
      <x:c r="W3415" s="47" t="n">
        <x:v>0.3</x:v>
      </x:c>
      <x:c r="X3415" s="54" t="n">
        <x:f>IF(ISNUMBER(V3415),V3415/(1-W3415),"")</x:f>
        <x:v>42.839999999999996</x:v>
      </x:c>
      <x:c r="Y3415" s="55" t="n">
        <x:f>IF(ISNUMBER(X3415),ROUNDUP(X3415,0),"")</x:f>
        <x:v>43</x:v>
      </x:c>
      <x:c r="Z3415" t="str">
        <x:v>Source match pending</x:v>
      </x:c>
      <x:c r="AA3415" t="str">
        <x:v>screencapture-www-activesportstrade-co-uk-strom-sports-nutrition-trade-2026-09-10-09_08_39.pdf / page-3</x:v>
      </x:c>
      <x:c r="AB3415" s="36" t="n">
        <x:f>IF(ISNUMBER(Y3415),ROUND(Y3415*0.9,2),"")</x:f>
        <x:v>38.7</x:v>
      </x:c>
      <x:c r="AC3415" s="36" t="n">
        <x:f>IF(ISNUMBER(AB3415),ROUND(AB3415-(AB3415*0.015+0.2)-V3415,2),"")</x:f>
        <x:v>7.93</x:v>
      </x:c>
      <x:c r="AD3415" s="36" t="n">
        <x:f>IF(ISNUMBER(Y3415),ROUND(Y3415*0.8,2),"")</x:f>
        <x:v>34.4</x:v>
      </x:c>
      <x:c r="AE3415" s="36" t="n">
        <x:f>IF(ISNUMBER(AD3415),ROUND(AD3415*0.015+0.2,2),"")</x:f>
        <x:v>0.72</x:v>
      </x:c>
      <x:c r="AF3415" s="36" t="n">
        <x:f>IF(ISNUMBER(AD3415),ROUND(AD3415-AE3415-V3415,2),"")</x:f>
        <x:v>3.69</x:v>
      </x:c>
      <x:c r="AG3415" t="str">
        <x:f>IF(NOT(ISNUMBER(T3415)),"PENDING",IF(AF3415&gt;0,"PASS","FAIL"))</x:f>
        <x:v>PASS</x:v>
      </x:c>
      <x:c r="AH3415" t="str">
        <x:f>IF(NOT(ISNUMBER(T3415)),"Needs supplier cost",IF(K3415&lt;&gt;"In stock","Supplier unavailable",IF(AG3415&lt;&gt;"PASS","BLOCK - GT loss risk","Commercially protected")))</x:f>
        <x:v>Supplier unavailable</x:v>
      </x:c>
      <x:c r="AI3415" t="str">
        <x:v>2026-09-10 Active Sports trade capture</x:v>
      </x:c>
      <x:c r="AJ3415" t="str">
        <x:v>Management-only economics. Stripe stress test uses 1.5% + £0.20 standard UK online-card fee; pallet/mix-and-match pricing ignored.</x:v>
      </x:c>
    </x:row>
    <x:row r="3416">
      <x:c r="A3416" t="str">
        <x:v>Active Sports Nutrition</x:v>
      </x:c>
      <x:c r="B3416" t="str">
        <x:v>Strom Sports Nutrition</x:v>
      </x:c>
      <x:c r="C3416" t="str">
        <x:v>HydraMAX</x:v>
      </x:c>
      <x:c r="D3416" t="str">
        <x:v>Supplements</x:v>
      </x:c>
      <x:c r="E3416" t="str">
        <x:v>Hydration</x:v>
      </x:c>
      <x:c r="F3416" t="str"/>
      <x:c r="G3416" t="str">
        <x:v>1.08kg / 90 servings</x:v>
      </x:c>
      <x:c r="H3416" t="str">
        <x:v>Berrylicious</x:v>
      </x:c>
      <x:c r="I3416" t="str"/>
      <x:c r="J3416" t="str">
        <x:v>Unit</x:v>
      </x:c>
      <x:c r="K3416" t="str">
        <x:v>Out of stock</x:v>
      </x:c>
      <x:c r="L3416" t="str">
        <x:v>2026-09-08</x:v>
      </x:c>
      <x:c r="M3416" t="str"/>
      <x:c r="N3416" t="str"/>
      <x:c r="O3416" t="str">
        <x:v>https://www.activesportstrade.co.uk/hydration-supplements-trade</x:v>
      </x:c>
      <x:c r="P3416" t="str"/>
      <x:c r="Q3416" t="str"/>
      <x:c r="R3416" t="str"/>
      <x:c r="S3416" t="str">
        <x:v>Pending genuine supplier/brand image</x:v>
      </x:c>
      <x:c r="T3416" s="54" t="n">
        <x:v>24.99</x:v>
      </x:c>
      <x:c r="U3416" s="47" t="n">
        <x:v>0.2</x:v>
      </x:c>
      <x:c r="V3416" s="54" t="n">
        <x:f>IF(ISNUMBER(T3416),T3416*(1+U3416),"")</x:f>
        <x:v>29.987999999999996</x:v>
      </x:c>
      <x:c r="W3416" s="47" t="n">
        <x:v>0.3</x:v>
      </x:c>
      <x:c r="X3416" s="54" t="n">
        <x:f>IF(ISNUMBER(V3416),V3416/(1-W3416),"")</x:f>
        <x:v>42.839999999999996</x:v>
      </x:c>
      <x:c r="Y3416" s="55" t="n">
        <x:f>IF(ISNUMBER(X3416),ROUNDUP(X3416,0),"")</x:f>
        <x:v>43</x:v>
      </x:c>
      <x:c r="Z3416" t="str">
        <x:v>Source match pending</x:v>
      </x:c>
      <x:c r="AA3416" t="str">
        <x:v>screencapture-www-activesportstrade-co-uk-strom-sports-nutrition-trade-2026-09-10-09_08_39.pdf / page-3</x:v>
      </x:c>
      <x:c r="AB3416" s="36" t="n">
        <x:f>IF(ISNUMBER(Y3416),ROUND(Y3416*0.9,2),"")</x:f>
        <x:v>38.7</x:v>
      </x:c>
      <x:c r="AC3416" s="36" t="n">
        <x:f>IF(ISNUMBER(AB3416),ROUND(AB3416-(AB3416*0.015+0.2)-V3416,2),"")</x:f>
        <x:v>7.93</x:v>
      </x:c>
      <x:c r="AD3416" s="36" t="n">
        <x:f>IF(ISNUMBER(Y3416),ROUND(Y3416*0.8,2),"")</x:f>
        <x:v>34.4</x:v>
      </x:c>
      <x:c r="AE3416" s="36" t="n">
        <x:f>IF(ISNUMBER(AD3416),ROUND(AD3416*0.015+0.2,2),"")</x:f>
        <x:v>0.72</x:v>
      </x:c>
      <x:c r="AF3416" s="36" t="n">
        <x:f>IF(ISNUMBER(AD3416),ROUND(AD3416-AE3416-V3416,2),"")</x:f>
        <x:v>3.69</x:v>
      </x:c>
      <x:c r="AG3416" t="str">
        <x:f>IF(NOT(ISNUMBER(T3416)),"PENDING",IF(AF3416&gt;0,"PASS","FAIL"))</x:f>
        <x:v>PASS</x:v>
      </x:c>
      <x:c r="AH3416" t="str">
        <x:f>IF(NOT(ISNUMBER(T3416)),"Needs supplier cost",IF(K3416&lt;&gt;"In stock","Supplier unavailable",IF(AG3416&lt;&gt;"PASS","BLOCK - GT loss risk","Commercially protected")))</x:f>
        <x:v>Supplier unavailable</x:v>
      </x:c>
      <x:c r="AI3416" t="str">
        <x:v>2026-09-10 Active Sports trade capture</x:v>
      </x:c>
      <x:c r="AJ3416" t="str">
        <x:v>Management-only economics. Stripe stress test uses 1.5% + £0.20 standard UK online-card fee; pallet/mix-and-match pricing ignored.</x:v>
      </x:c>
    </x:row>
    <x:row r="3417">
      <x:c r="A3417" t="str">
        <x:v>Active Sports Nutrition</x:v>
      </x:c>
      <x:c r="B3417" t="str">
        <x:v>Strom Sports Nutrition</x:v>
      </x:c>
      <x:c r="C3417" t="str">
        <x:v>HydraMAX</x:v>
      </x:c>
      <x:c r="D3417" t="str">
        <x:v>Supplements</x:v>
      </x:c>
      <x:c r="E3417" t="str">
        <x:v>Hydration</x:v>
      </x:c>
      <x:c r="F3417" t="str"/>
      <x:c r="G3417" t="str">
        <x:v>1.08kg / 90 servings</x:v>
      </x:c>
      <x:c r="H3417" t="str">
        <x:v>Cherry</x:v>
      </x:c>
      <x:c r="I3417" t="str"/>
      <x:c r="J3417" t="str">
        <x:v>Unit</x:v>
      </x:c>
      <x:c r="K3417" t="str">
        <x:v>Out of stock</x:v>
      </x:c>
      <x:c r="L3417" t="str">
        <x:v>2026-09-08</x:v>
      </x:c>
      <x:c r="M3417" t="str"/>
      <x:c r="N3417" t="str"/>
      <x:c r="O3417" t="str">
        <x:v>https://www.activesportstrade.co.uk/hydration-supplements-trade</x:v>
      </x:c>
      <x:c r="P3417" t="str"/>
      <x:c r="Q3417" t="str"/>
      <x:c r="R3417" t="str"/>
      <x:c r="S3417" t="str">
        <x:v>Pending genuine supplier/brand image</x:v>
      </x:c>
      <x:c r="T3417" s="54" t="n">
        <x:v>24.99</x:v>
      </x:c>
      <x:c r="U3417" s="47" t="n">
        <x:v>0.2</x:v>
      </x:c>
      <x:c r="V3417" s="54" t="n">
        <x:f>IF(ISNUMBER(T3417),T3417*(1+U3417),"")</x:f>
        <x:v>29.987999999999996</x:v>
      </x:c>
      <x:c r="W3417" s="47" t="n">
        <x:v>0.3</x:v>
      </x:c>
      <x:c r="X3417" s="54" t="n">
        <x:f>IF(ISNUMBER(V3417),V3417/(1-W3417),"")</x:f>
        <x:v>42.839999999999996</x:v>
      </x:c>
      <x:c r="Y3417" s="55" t="n">
        <x:f>IF(ISNUMBER(X3417),ROUNDUP(X3417,0),"")</x:f>
        <x:v>43</x:v>
      </x:c>
      <x:c r="Z3417" t="str">
        <x:v>Source match pending</x:v>
      </x:c>
      <x:c r="AA3417" t="str">
        <x:v>screencapture-www-activesportstrade-co-uk-strom-sports-nutrition-trade-2026-09-10-09_08_39.pdf / page-3</x:v>
      </x:c>
      <x:c r="AB3417" s="36" t="n">
        <x:f>IF(ISNUMBER(Y3417),ROUND(Y3417*0.9,2),"")</x:f>
        <x:v>38.7</x:v>
      </x:c>
      <x:c r="AC3417" s="36" t="n">
        <x:f>IF(ISNUMBER(AB3417),ROUND(AB3417-(AB3417*0.015+0.2)-V3417,2),"")</x:f>
        <x:v>7.93</x:v>
      </x:c>
      <x:c r="AD3417" s="36" t="n">
        <x:f>IF(ISNUMBER(Y3417),ROUND(Y3417*0.8,2),"")</x:f>
        <x:v>34.4</x:v>
      </x:c>
      <x:c r="AE3417" s="36" t="n">
        <x:f>IF(ISNUMBER(AD3417),ROUND(AD3417*0.015+0.2,2),"")</x:f>
        <x:v>0.72</x:v>
      </x:c>
      <x:c r="AF3417" s="36" t="n">
        <x:f>IF(ISNUMBER(AD3417),ROUND(AD3417-AE3417-V3417,2),"")</x:f>
        <x:v>3.69</x:v>
      </x:c>
      <x:c r="AG3417" t="str">
        <x:f>IF(NOT(ISNUMBER(T3417)),"PENDING",IF(AF3417&gt;0,"PASS","FAIL"))</x:f>
        <x:v>PASS</x:v>
      </x:c>
      <x:c r="AH3417" t="str">
        <x:f>IF(NOT(ISNUMBER(T3417)),"Needs supplier cost",IF(K3417&lt;&gt;"In stock","Supplier unavailable",IF(AG3417&lt;&gt;"PASS","BLOCK - GT loss risk","Commercially protected")))</x:f>
        <x:v>Supplier unavailable</x:v>
      </x:c>
      <x:c r="AI3417" t="str">
        <x:v>2026-09-10 Active Sports trade capture</x:v>
      </x:c>
      <x:c r="AJ3417" t="str">
        <x:v>Management-only economics. Stripe stress test uses 1.5% + £0.20 standard UK online-card fee; pallet/mix-and-match pricing ignored.</x:v>
      </x:c>
    </x:row>
    <x:row r="3418">
      <x:c r="A3418" t="str">
        <x:v>Active Sports Nutrition</x:v>
      </x:c>
      <x:c r="B3418" t="str">
        <x:v>Strom Sports Nutrition</x:v>
      </x:c>
      <x:c r="C3418" t="str">
        <x:v>HydraMAX</x:v>
      </x:c>
      <x:c r="D3418" t="str">
        <x:v>Supplements</x:v>
      </x:c>
      <x:c r="E3418" t="str">
        <x:v>Hydration</x:v>
      </x:c>
      <x:c r="F3418" t="str"/>
      <x:c r="G3418" t="str">
        <x:v>1.08kg / 90 servings</x:v>
      </x:c>
      <x:c r="H3418" t="str">
        <x:v>Cola Float (Vanilla Cola)</x:v>
      </x:c>
      <x:c r="I3418" t="str"/>
      <x:c r="J3418" t="str">
        <x:v>Unit</x:v>
      </x:c>
      <x:c r="K3418" t="str">
        <x:v>Out of stock</x:v>
      </x:c>
      <x:c r="L3418" t="str">
        <x:v>2026-09-08</x:v>
      </x:c>
      <x:c r="M3418" t="str"/>
      <x:c r="N3418" t="str"/>
      <x:c r="O3418" t="str">
        <x:v>https://www.activesportstrade.co.uk/hydration-supplements-trade</x:v>
      </x:c>
      <x:c r="P3418" t="str"/>
      <x:c r="Q3418" t="str"/>
      <x:c r="R3418" t="str"/>
      <x:c r="S3418" t="str">
        <x:v>Pending genuine supplier/brand image</x:v>
      </x:c>
      <x:c r="T3418" s="54" t="n">
        <x:v>24.99</x:v>
      </x:c>
      <x:c r="U3418" s="47" t="n">
        <x:v>0.2</x:v>
      </x:c>
      <x:c r="V3418" s="54" t="n">
        <x:f>IF(ISNUMBER(T3418),T3418*(1+U3418),"")</x:f>
        <x:v>29.987999999999996</x:v>
      </x:c>
      <x:c r="W3418" s="47" t="n">
        <x:v>0.3</x:v>
      </x:c>
      <x:c r="X3418" s="54" t="n">
        <x:f>IF(ISNUMBER(V3418),V3418/(1-W3418),"")</x:f>
        <x:v>42.839999999999996</x:v>
      </x:c>
      <x:c r="Y3418" s="55" t="n">
        <x:f>IF(ISNUMBER(X3418),ROUNDUP(X3418,0),"")</x:f>
        <x:v>43</x:v>
      </x:c>
      <x:c r="Z3418" t="str">
        <x:v>Source match pending</x:v>
      </x:c>
      <x:c r="AA3418" t="str">
        <x:v>screencapture-www-activesportstrade-co-uk-strom-sports-nutrition-trade-2026-09-10-09_08_39.pdf / page-3</x:v>
      </x:c>
      <x:c r="AB3418" s="36" t="n">
        <x:f>IF(ISNUMBER(Y3418),ROUND(Y3418*0.9,2),"")</x:f>
        <x:v>38.7</x:v>
      </x:c>
      <x:c r="AC3418" s="36" t="n">
        <x:f>IF(ISNUMBER(AB3418),ROUND(AB3418-(AB3418*0.015+0.2)-V3418,2),"")</x:f>
        <x:v>7.93</x:v>
      </x:c>
      <x:c r="AD3418" s="36" t="n">
        <x:f>IF(ISNUMBER(Y3418),ROUND(Y3418*0.8,2),"")</x:f>
        <x:v>34.4</x:v>
      </x:c>
      <x:c r="AE3418" s="36" t="n">
        <x:f>IF(ISNUMBER(AD3418),ROUND(AD3418*0.015+0.2,2),"")</x:f>
        <x:v>0.72</x:v>
      </x:c>
      <x:c r="AF3418" s="36" t="n">
        <x:f>IF(ISNUMBER(AD3418),ROUND(AD3418-AE3418-V3418,2),"")</x:f>
        <x:v>3.69</x:v>
      </x:c>
      <x:c r="AG3418" t="str">
        <x:f>IF(NOT(ISNUMBER(T3418)),"PENDING",IF(AF3418&gt;0,"PASS","FAIL"))</x:f>
        <x:v>PASS</x:v>
      </x:c>
      <x:c r="AH3418" t="str">
        <x:f>IF(NOT(ISNUMBER(T3418)),"Needs supplier cost",IF(K3418&lt;&gt;"In stock","Supplier unavailable",IF(AG3418&lt;&gt;"PASS","BLOCK - GT loss risk","Commercially protected")))</x:f>
        <x:v>Supplier unavailable</x:v>
      </x:c>
      <x:c r="AI3418" t="str">
        <x:v>2026-09-10 Active Sports trade capture</x:v>
      </x:c>
      <x:c r="AJ3418" t="str">
        <x:v>Management-only economics. Stripe stress test uses 1.5% + £0.20 standard UK online-card fee; pallet/mix-and-match pricing ignored.</x:v>
      </x:c>
    </x:row>
    <x:row r="3419">
      <x:c r="A3419" t="str">
        <x:v>Active Sports Nutrition</x:v>
      </x:c>
      <x:c r="B3419" t="str">
        <x:v>Strom Sports Nutrition</x:v>
      </x:c>
      <x:c r="C3419" t="str">
        <x:v>HydraMAX</x:v>
      </x:c>
      <x:c r="D3419" t="str">
        <x:v>Supplements</x:v>
      </x:c>
      <x:c r="E3419" t="str">
        <x:v>Hydration</x:v>
      </x:c>
      <x:c r="F3419" t="str"/>
      <x:c r="G3419" t="str">
        <x:v>1.08kg / 90 servings</x:v>
      </x:c>
      <x:c r="H3419" t="str">
        <x:v>Lime Citrus</x:v>
      </x:c>
      <x:c r="I3419" t="str"/>
      <x:c r="J3419" t="str">
        <x:v>Unit</x:v>
      </x:c>
      <x:c r="K3419" t="str">
        <x:v>Out of stock</x:v>
      </x:c>
      <x:c r="L3419" t="str">
        <x:v>2026-09-08</x:v>
      </x:c>
      <x:c r="M3419" t="str"/>
      <x:c r="N3419" t="str"/>
      <x:c r="O3419" t="str">
        <x:v>https://www.activesportstrade.co.uk/hydration-supplements-trade</x:v>
      </x:c>
      <x:c r="P3419" t="str"/>
      <x:c r="Q3419" t="str"/>
      <x:c r="R3419" t="str"/>
      <x:c r="S3419" t="str">
        <x:v>Pending genuine supplier/brand image</x:v>
      </x:c>
      <x:c r="T3419" s="54" t="n">
        <x:v>24.99</x:v>
      </x:c>
      <x:c r="U3419" s="47" t="n">
        <x:v>0.2</x:v>
      </x:c>
      <x:c r="V3419" s="54" t="n">
        <x:f>IF(ISNUMBER(T3419),T3419*(1+U3419),"")</x:f>
        <x:v>29.987999999999996</x:v>
      </x:c>
      <x:c r="W3419" s="47" t="n">
        <x:v>0.3</x:v>
      </x:c>
      <x:c r="X3419" s="54" t="n">
        <x:f>IF(ISNUMBER(V3419),V3419/(1-W3419),"")</x:f>
        <x:v>42.839999999999996</x:v>
      </x:c>
      <x:c r="Y3419" s="55" t="n">
        <x:f>IF(ISNUMBER(X3419),ROUNDUP(X3419,0),"")</x:f>
        <x:v>43</x:v>
      </x:c>
      <x:c r="Z3419" t="str">
        <x:v>Source match pending</x:v>
      </x:c>
      <x:c r="AA3419" t="str">
        <x:v>screencapture-www-activesportstrade-co-uk-strom-sports-nutrition-trade-2026-09-10-09_08_39.pdf / page-3</x:v>
      </x:c>
      <x:c r="AB3419" s="36" t="n">
        <x:f>IF(ISNUMBER(Y3419),ROUND(Y3419*0.9,2),"")</x:f>
        <x:v>38.7</x:v>
      </x:c>
      <x:c r="AC3419" s="36" t="n">
        <x:f>IF(ISNUMBER(AB3419),ROUND(AB3419-(AB3419*0.015+0.2)-V3419,2),"")</x:f>
        <x:v>7.93</x:v>
      </x:c>
      <x:c r="AD3419" s="36" t="n">
        <x:f>IF(ISNUMBER(Y3419),ROUND(Y3419*0.8,2),"")</x:f>
        <x:v>34.4</x:v>
      </x:c>
      <x:c r="AE3419" s="36" t="n">
        <x:f>IF(ISNUMBER(AD3419),ROUND(AD3419*0.015+0.2,2),"")</x:f>
        <x:v>0.72</x:v>
      </x:c>
      <x:c r="AF3419" s="36" t="n">
        <x:f>IF(ISNUMBER(AD3419),ROUND(AD3419-AE3419-V3419,2),"")</x:f>
        <x:v>3.69</x:v>
      </x:c>
      <x:c r="AG3419" t="str">
        <x:f>IF(NOT(ISNUMBER(T3419)),"PENDING",IF(AF3419&gt;0,"PASS","FAIL"))</x:f>
        <x:v>PASS</x:v>
      </x:c>
      <x:c r="AH3419" t="str">
        <x:f>IF(NOT(ISNUMBER(T3419)),"Needs supplier cost",IF(K3419&lt;&gt;"In stock","Supplier unavailable",IF(AG3419&lt;&gt;"PASS","BLOCK - GT loss risk","Commercially protected")))</x:f>
        <x:v>Supplier unavailable</x:v>
      </x:c>
      <x:c r="AI3419" t="str">
        <x:v>2026-09-10 Active Sports trade capture</x:v>
      </x:c>
      <x:c r="AJ3419" t="str">
        <x:v>Management-only economics. Stripe stress test uses 1.5% + £0.20 standard UK online-card fee; pallet/mix-and-match pricing ignored.</x:v>
      </x:c>
    </x:row>
    <x:row r="3420">
      <x:c r="A3420" t="str">
        <x:v>Active Sports Nutrition</x:v>
      </x:c>
      <x:c r="B3420" t="str">
        <x:v>Strom Sports Nutrition</x:v>
      </x:c>
      <x:c r="C3420" t="str">
        <x:v>HydraMAX</x:v>
      </x:c>
      <x:c r="D3420" t="str">
        <x:v>Supplements</x:v>
      </x:c>
      <x:c r="E3420" t="str">
        <x:v>Hydration</x:v>
      </x:c>
      <x:c r="F3420" t="str"/>
      <x:c r="G3420" t="str">
        <x:v>1.08kg / 90 servings</x:v>
      </x:c>
      <x:c r="H3420" t="str">
        <x:v>Pina Colada</x:v>
      </x:c>
      <x:c r="I3420" t="str"/>
      <x:c r="J3420" t="str">
        <x:v>Unit</x:v>
      </x:c>
      <x:c r="K3420" t="str">
        <x:v>Out of stock</x:v>
      </x:c>
      <x:c r="L3420" t="str">
        <x:v>2026-09-08</x:v>
      </x:c>
      <x:c r="M3420" t="str"/>
      <x:c r="N3420" t="str"/>
      <x:c r="O3420" t="str">
        <x:v>https://www.activesportstrade.co.uk/hydration-supplements-trade</x:v>
      </x:c>
      <x:c r="P3420" t="str"/>
      <x:c r="Q3420" t="str"/>
      <x:c r="R3420" t="str"/>
      <x:c r="S3420" t="str">
        <x:v>Pending genuine supplier/brand image</x:v>
      </x:c>
      <x:c r="T3420" s="54" t="n">
        <x:v>24.99</x:v>
      </x:c>
      <x:c r="U3420" s="47" t="n">
        <x:v>0.2</x:v>
      </x:c>
      <x:c r="V3420" s="54" t="n">
        <x:f>IF(ISNUMBER(T3420),T3420*(1+U3420),"")</x:f>
        <x:v>29.987999999999996</x:v>
      </x:c>
      <x:c r="W3420" s="47" t="n">
        <x:v>0.3</x:v>
      </x:c>
      <x:c r="X3420" s="54" t="n">
        <x:f>IF(ISNUMBER(V3420),V3420/(1-W3420),"")</x:f>
        <x:v>42.839999999999996</x:v>
      </x:c>
      <x:c r="Y3420" s="55" t="n">
        <x:f>IF(ISNUMBER(X3420),ROUNDUP(X3420,0),"")</x:f>
        <x:v>43</x:v>
      </x:c>
      <x:c r="Z3420" t="str">
        <x:v>Source match pending</x:v>
      </x:c>
      <x:c r="AA3420" t="str">
        <x:v>screencapture-www-activesportstrade-co-uk-strom-sports-nutrition-trade-2026-09-10-09_08_39.pdf / page-3</x:v>
      </x:c>
      <x:c r="AB3420" s="36" t="n">
        <x:f>IF(ISNUMBER(Y3420),ROUND(Y3420*0.9,2),"")</x:f>
        <x:v>38.7</x:v>
      </x:c>
      <x:c r="AC3420" s="36" t="n">
        <x:f>IF(ISNUMBER(AB3420),ROUND(AB3420-(AB3420*0.015+0.2)-V3420,2),"")</x:f>
        <x:v>7.93</x:v>
      </x:c>
      <x:c r="AD3420" s="36" t="n">
        <x:f>IF(ISNUMBER(Y3420),ROUND(Y3420*0.8,2),"")</x:f>
        <x:v>34.4</x:v>
      </x:c>
      <x:c r="AE3420" s="36" t="n">
        <x:f>IF(ISNUMBER(AD3420),ROUND(AD3420*0.015+0.2,2),"")</x:f>
        <x:v>0.72</x:v>
      </x:c>
      <x:c r="AF3420" s="36" t="n">
        <x:f>IF(ISNUMBER(AD3420),ROUND(AD3420-AE3420-V3420,2),"")</x:f>
        <x:v>3.69</x:v>
      </x:c>
      <x:c r="AG3420" t="str">
        <x:f>IF(NOT(ISNUMBER(T3420)),"PENDING",IF(AF3420&gt;0,"PASS","FAIL"))</x:f>
        <x:v>PASS</x:v>
      </x:c>
      <x:c r="AH3420" t="str">
        <x:f>IF(NOT(ISNUMBER(T3420)),"Needs supplier cost",IF(K3420&lt;&gt;"In stock","Supplier unavailable",IF(AG3420&lt;&gt;"PASS","BLOCK - GT loss risk","Commercially protected")))</x:f>
        <x:v>Supplier unavailable</x:v>
      </x:c>
      <x:c r="AI3420" t="str">
        <x:v>2026-09-10 Active Sports trade capture</x:v>
      </x:c>
      <x:c r="AJ3420" t="str">
        <x:v>Management-only economics. Stripe stress test uses 1.5% + £0.20 standard UK online-card fee; pallet/mix-and-match pricing ignored.</x:v>
      </x:c>
    </x:row>
    <x:row r="3421">
      <x:c r="A3421" t="str">
        <x:v>Active Sports Nutrition</x:v>
      </x:c>
      <x:c r="B3421" t="str">
        <x:v>Strom Sports Nutrition</x:v>
      </x:c>
      <x:c r="C3421" t="str">
        <x:v>HydraMAX</x:v>
      </x:c>
      <x:c r="D3421" t="str">
        <x:v>Supplements</x:v>
      </x:c>
      <x:c r="E3421" t="str">
        <x:v>Hydration</x:v>
      </x:c>
      <x:c r="F3421" t="str"/>
      <x:c r="G3421" t="str">
        <x:v>1.08kg / 90 servings</x:v>
      </x:c>
      <x:c r="H3421" t="str">
        <x:v>Sour Appletastic</x:v>
      </x:c>
      <x:c r="I3421" t="str"/>
      <x:c r="J3421" t="str">
        <x:v>Unit</x:v>
      </x:c>
      <x:c r="K3421" t="str">
        <x:v>Out of stock</x:v>
      </x:c>
      <x:c r="L3421" t="str">
        <x:v>2026-09-08</x:v>
      </x:c>
      <x:c r="M3421" t="str"/>
      <x:c r="N3421" t="str"/>
      <x:c r="O3421" t="str">
        <x:v>https://www.activesportstrade.co.uk/hydration-supplements-trade</x:v>
      </x:c>
      <x:c r="P3421" t="str"/>
      <x:c r="Q3421" t="str"/>
      <x:c r="R3421" t="str"/>
      <x:c r="S3421" t="str">
        <x:v>Pending genuine supplier/brand image</x:v>
      </x:c>
      <x:c r="T3421" s="54" t="n">
        <x:v>24.99</x:v>
      </x:c>
      <x:c r="U3421" s="47" t="n">
        <x:v>0.2</x:v>
      </x:c>
      <x:c r="V3421" s="54" t="n">
        <x:f>IF(ISNUMBER(T3421),T3421*(1+U3421),"")</x:f>
        <x:v>29.987999999999996</x:v>
      </x:c>
      <x:c r="W3421" s="47" t="n">
        <x:v>0.3</x:v>
      </x:c>
      <x:c r="X3421" s="54" t="n">
        <x:f>IF(ISNUMBER(V3421),V3421/(1-W3421),"")</x:f>
        <x:v>42.839999999999996</x:v>
      </x:c>
      <x:c r="Y3421" s="55" t="n">
        <x:f>IF(ISNUMBER(X3421),ROUNDUP(X3421,0),"")</x:f>
        <x:v>43</x:v>
      </x:c>
      <x:c r="Z3421" t="str">
        <x:v>Source match pending</x:v>
      </x:c>
      <x:c r="AA3421" t="str">
        <x:v>screencapture-www-activesportstrade-co-uk-strom-sports-nutrition-trade-2026-09-10-09_08_39.pdf / page-3</x:v>
      </x:c>
      <x:c r="AB3421" s="36" t="n">
        <x:f>IF(ISNUMBER(Y3421),ROUND(Y3421*0.9,2),"")</x:f>
        <x:v>38.7</x:v>
      </x:c>
      <x:c r="AC3421" s="36" t="n">
        <x:f>IF(ISNUMBER(AB3421),ROUND(AB3421-(AB3421*0.015+0.2)-V3421,2),"")</x:f>
        <x:v>7.93</x:v>
      </x:c>
      <x:c r="AD3421" s="36" t="n">
        <x:f>IF(ISNUMBER(Y3421),ROUND(Y3421*0.8,2),"")</x:f>
        <x:v>34.4</x:v>
      </x:c>
      <x:c r="AE3421" s="36" t="n">
        <x:f>IF(ISNUMBER(AD3421),ROUND(AD3421*0.015+0.2,2),"")</x:f>
        <x:v>0.72</x:v>
      </x:c>
      <x:c r="AF3421" s="36" t="n">
        <x:f>IF(ISNUMBER(AD3421),ROUND(AD3421-AE3421-V3421,2),"")</x:f>
        <x:v>3.69</x:v>
      </x:c>
      <x:c r="AG3421" t="str">
        <x:f>IF(NOT(ISNUMBER(T3421)),"PENDING",IF(AF3421&gt;0,"PASS","FAIL"))</x:f>
        <x:v>PASS</x:v>
      </x:c>
      <x:c r="AH3421" t="str">
        <x:f>IF(NOT(ISNUMBER(T3421)),"Needs supplier cost",IF(K3421&lt;&gt;"In stock","Supplier unavailable",IF(AG3421&lt;&gt;"PASS","BLOCK - GT loss risk","Commercially protected")))</x:f>
        <x:v>Supplier unavailable</x:v>
      </x:c>
      <x:c r="AI3421" t="str">
        <x:v>2026-09-10 Active Sports trade capture</x:v>
      </x:c>
      <x:c r="AJ3421" t="str">
        <x:v>Management-only economics. Stripe stress test uses 1.5% + £0.20 standard UK online-card fee; pallet/mix-and-match pricing ignored.</x:v>
      </x:c>
    </x:row>
    <x:row r="3422">
      <x:c r="A3422" t="str">
        <x:v>Active Sports Nutrition</x:v>
      </x:c>
      <x:c r="B3422" t="str">
        <x:v>Applied Nutrition</x:v>
      </x:c>
      <x:c r="C3422" t="str">
        <x:v>Crunchy Cheese Bites</x:v>
      </x:c>
      <x:c r="D3422" t="str">
        <x:v>Food &amp; Drinks</x:v>
      </x:c>
      <x:c r="E3422" t="str">
        <x:v>High Protein Snacks</x:v>
      </x:c>
      <x:c r="F3422" t="str"/>
      <x:c r="G3422" t="str">
        <x:v>10 x 20g bags</x:v>
      </x:c>
      <x:c r="H3422" t="str">
        <x:v>Chilli</x:v>
      </x:c>
      <x:c r="I3422" t="str">
        <x:v>10</x:v>
      </x:c>
      <x:c r="J3422" t="str">
        <x:v>Case</x:v>
      </x:c>
      <x:c r="K3422" t="str">
        <x:v>In stock</x:v>
      </x:c>
      <x:c r="L3422" t="str">
        <x:v>2026-09-08</x:v>
      </x:c>
      <x:c r="M3422" t="str"/>
      <x:c r="N3422" t="str"/>
      <x:c r="O3422" t="str">
        <x:v>https://www.activesportstrade.co.uk/Protein-Bars</x:v>
      </x:c>
      <x:c r="P3422" t="str"/>
      <x:c r="Q3422" t="str"/>
      <x:c r="R3422" t="str"/>
      <x:c r="S3422" t="str">
        <x:v>Pending genuine supplier/brand image</x:v>
      </x:c>
      <x:c r="T3422" s="54" t="n">
        <x:v>14.5</x:v>
      </x:c>
      <x:c r="U3422" s="47" t="n">
        <x:v>0.2</x:v>
      </x:c>
      <x:c r="V3422" s="54" t="n">
        <x:f>IF(ISNUMBER(T3422),T3422*(1+U3422),"")</x:f>
        <x:v>17.4</x:v>
      </x:c>
      <x:c r="W3422" s="47" t="n">
        <x:v>0.3</x:v>
      </x:c>
      <x:c r="X3422" s="54" t="n">
        <x:f>IF(ISNUMBER(V3422),V3422/(1-W3422),"")</x:f>
        <x:v>24.857142857142858</x:v>
      </x:c>
      <x:c r="Y3422" s="55" t="n">
        <x:f>IF(ISNUMBER(X3422),ROUNDUP(X3422,0),"")</x:f>
        <x:v>25</x:v>
      </x:c>
      <x:c r="Z3422" t="str">
        <x:v>Source match pending</x:v>
      </x:c>
      <x:c r="AA3422" t="str">
        <x:v>screencapture-www-activesportstrade-co-uk-applied-nutrition-trade-2026-09-10-08_59_59.pdf / page-10</x:v>
      </x:c>
      <x:c r="AB3422" s="36" t="n">
        <x:f>IF(ISNUMBER(Y3422),ROUND(Y3422*0.9,2),"")</x:f>
        <x:v>22.5</x:v>
      </x:c>
      <x:c r="AC3422" s="36" t="n">
        <x:f>IF(ISNUMBER(AB3422),ROUND(AB3422-(AB3422*0.015+0.2)-V3422,2),"")</x:f>
        <x:v>4.56</x:v>
      </x:c>
      <x:c r="AD3422" s="36" t="n">
        <x:f>IF(ISNUMBER(Y3422),ROUND(Y3422*0.8,2),"")</x:f>
        <x:v>20</x:v>
      </x:c>
      <x:c r="AE3422" s="36" t="n">
        <x:f>IF(ISNUMBER(AD3422),ROUND(AD3422*0.015+0.2,2),"")</x:f>
        <x:v>0.5</x:v>
      </x:c>
      <x:c r="AF3422" s="36" t="n">
        <x:f>IF(ISNUMBER(AD3422),ROUND(AD3422-AE3422-V3422,2),"")</x:f>
        <x:v>2.1</x:v>
      </x:c>
      <x:c r="AG3422" t="str">
        <x:f>IF(NOT(ISNUMBER(T3422)),"PENDING",IF(AF3422&gt;0,"PASS","FAIL"))</x:f>
        <x:v>PASS</x:v>
      </x:c>
      <x:c r="AH3422" t="str">
        <x:f>IF(NOT(ISNUMBER(T3422)),"Needs supplier cost",IF(K3422&lt;&gt;"In stock","Supplier unavailable",IF(AG3422&lt;&gt;"PASS","BLOCK - GT loss risk","Commercially protected")))</x:f>
        <x:v>Commercially protected</x:v>
      </x:c>
      <x:c r="AI3422" t="str">
        <x:v>2026-09-10 Active Sports trade capture</x:v>
      </x:c>
      <x:c r="AJ3422" t="str">
        <x:v>Management-only economics. Stripe stress test uses 1.5% + £0.20 standard UK online-card fee; pallet/mix-and-match pricing ignored.</x:v>
      </x:c>
    </x:row>
    <x:row r="3423">
      <x:c r="A3423" t="str">
        <x:v>Active Sports Nutrition</x:v>
      </x:c>
      <x:c r="B3423" t="str">
        <x:v>Applied Nutrition</x:v>
      </x:c>
      <x:c r="C3423" t="str">
        <x:v>Crunchy Cheese Bites</x:v>
      </x:c>
      <x:c r="D3423" t="str">
        <x:v>Food &amp; Drinks</x:v>
      </x:c>
      <x:c r="E3423" t="str">
        <x:v>High Protein Snacks</x:v>
      </x:c>
      <x:c r="F3423" t="str"/>
      <x:c r="G3423" t="str">
        <x:v>10 x 20g bags</x:v>
      </x:c>
      <x:c r="H3423" t="str">
        <x:v>Original</x:v>
      </x:c>
      <x:c r="I3423" t="str">
        <x:v>10</x:v>
      </x:c>
      <x:c r="J3423" t="str">
        <x:v>Case</x:v>
      </x:c>
      <x:c r="K3423" t="str">
        <x:v>In stock</x:v>
      </x:c>
      <x:c r="L3423" t="str">
        <x:v>2026-09-08</x:v>
      </x:c>
      <x:c r="M3423" t="str"/>
      <x:c r="N3423" t="str"/>
      <x:c r="O3423" t="str">
        <x:v>https://www.activesportstrade.co.uk/Protein-Bars</x:v>
      </x:c>
      <x:c r="P3423" t="str"/>
      <x:c r="Q3423" t="str"/>
      <x:c r="R3423" t="str"/>
      <x:c r="S3423" t="str">
        <x:v>Pending genuine supplier/brand image</x:v>
      </x:c>
      <x:c r="T3423" s="54" t="n">
        <x:v>14.5</x:v>
      </x:c>
      <x:c r="U3423" s="47" t="n">
        <x:v>0.2</x:v>
      </x:c>
      <x:c r="V3423" s="54" t="n">
        <x:f>IF(ISNUMBER(T3423),T3423*(1+U3423),"")</x:f>
        <x:v>17.4</x:v>
      </x:c>
      <x:c r="W3423" s="47" t="n">
        <x:v>0.3</x:v>
      </x:c>
      <x:c r="X3423" s="54" t="n">
        <x:f>IF(ISNUMBER(V3423),V3423/(1-W3423),"")</x:f>
        <x:v>24.857142857142858</x:v>
      </x:c>
      <x:c r="Y3423" s="55" t="n">
        <x:f>IF(ISNUMBER(X3423),ROUNDUP(X3423,0),"")</x:f>
        <x:v>25</x:v>
      </x:c>
      <x:c r="Z3423" t="str">
        <x:v>Source match pending</x:v>
      </x:c>
      <x:c r="AA3423" t="str">
        <x:v>screencapture-www-activesportstrade-co-uk-applied-nutrition-trade-2026-09-10-08_59_59.pdf / page-10</x:v>
      </x:c>
      <x:c r="AB3423" s="36" t="n">
        <x:f>IF(ISNUMBER(Y3423),ROUND(Y3423*0.9,2),"")</x:f>
        <x:v>22.5</x:v>
      </x:c>
      <x:c r="AC3423" s="36" t="n">
        <x:f>IF(ISNUMBER(AB3423),ROUND(AB3423-(AB3423*0.015+0.2)-V3423,2),"")</x:f>
        <x:v>4.56</x:v>
      </x:c>
      <x:c r="AD3423" s="36" t="n">
        <x:f>IF(ISNUMBER(Y3423),ROUND(Y3423*0.8,2),"")</x:f>
        <x:v>20</x:v>
      </x:c>
      <x:c r="AE3423" s="36" t="n">
        <x:f>IF(ISNUMBER(AD3423),ROUND(AD3423*0.015+0.2,2),"")</x:f>
        <x:v>0.5</x:v>
      </x:c>
      <x:c r="AF3423" s="36" t="n">
        <x:f>IF(ISNUMBER(AD3423),ROUND(AD3423-AE3423-V3423,2),"")</x:f>
        <x:v>2.1</x:v>
      </x:c>
      <x:c r="AG3423" t="str">
        <x:f>IF(NOT(ISNUMBER(T3423)),"PENDING",IF(AF3423&gt;0,"PASS","FAIL"))</x:f>
        <x:v>PASS</x:v>
      </x:c>
      <x:c r="AH3423" t="str">
        <x:f>IF(NOT(ISNUMBER(T3423)),"Needs supplier cost",IF(K3423&lt;&gt;"In stock","Supplier unavailable",IF(AG3423&lt;&gt;"PASS","BLOCK - GT loss risk","Commercially protected")))</x:f>
        <x:v>Commercially protected</x:v>
      </x:c>
      <x:c r="AI3423" t="str">
        <x:v>2026-09-10 Active Sports trade capture</x:v>
      </x:c>
      <x:c r="AJ3423" t="str">
        <x:v>Management-only economics. Stripe stress test uses 1.5% + £0.20 standard UK online-card fee; pallet/mix-and-match pricing ignored.</x:v>
      </x:c>
    </x:row>
    <x:row r="3424">
      <x:c r="A3424" t="str">
        <x:v>Active Sports Nutrition</x:v>
      </x:c>
      <x:c r="B3424" t="str">
        <x:v>Applied Nutrition</x:v>
      </x:c>
      <x:c r="C3424" t="str">
        <x:v>Crunchy Cheese Bites</x:v>
      </x:c>
      <x:c r="D3424" t="str">
        <x:v>Food &amp; Drinks</x:v>
      </x:c>
      <x:c r="E3424" t="str">
        <x:v>High Protein Snacks</x:v>
      </x:c>
      <x:c r="F3424" t="str"/>
      <x:c r="G3424" t="str">
        <x:v>10 x 20g bags</x:v>
      </x:c>
      <x:c r="H3424" t="str">
        <x:v>Truffle</x:v>
      </x:c>
      <x:c r="I3424" t="str">
        <x:v>10</x:v>
      </x:c>
      <x:c r="J3424" t="str">
        <x:v>Case</x:v>
      </x:c>
      <x:c r="K3424" t="str">
        <x:v>In stock</x:v>
      </x:c>
      <x:c r="L3424" t="str">
        <x:v>2026-09-08</x:v>
      </x:c>
      <x:c r="M3424" t="str"/>
      <x:c r="N3424" t="str"/>
      <x:c r="O3424" t="str">
        <x:v>https://www.activesportstrade.co.uk/Protein-Bars</x:v>
      </x:c>
      <x:c r="P3424" t="str"/>
      <x:c r="Q3424" t="str"/>
      <x:c r="R3424" t="str"/>
      <x:c r="S3424" t="str">
        <x:v>Pending genuine supplier/brand image</x:v>
      </x:c>
      <x:c r="T3424" s="54" t="n">
        <x:v>14.5</x:v>
      </x:c>
      <x:c r="U3424" s="47" t="n">
        <x:v>0.2</x:v>
      </x:c>
      <x:c r="V3424" s="54" t="n">
        <x:f>IF(ISNUMBER(T3424),T3424*(1+U3424),"")</x:f>
        <x:v>17.4</x:v>
      </x:c>
      <x:c r="W3424" s="47" t="n">
        <x:v>0.3</x:v>
      </x:c>
      <x:c r="X3424" s="54" t="n">
        <x:f>IF(ISNUMBER(V3424),V3424/(1-W3424),"")</x:f>
        <x:v>24.857142857142858</x:v>
      </x:c>
      <x:c r="Y3424" s="55" t="n">
        <x:f>IF(ISNUMBER(X3424),ROUNDUP(X3424,0),"")</x:f>
        <x:v>25</x:v>
      </x:c>
      <x:c r="Z3424" t="str">
        <x:v>Source match pending</x:v>
      </x:c>
      <x:c r="AA3424" t="str">
        <x:v>screencapture-www-activesportstrade-co-uk-applied-nutrition-trade-2026-09-10-08_59_59.pdf / page-10</x:v>
      </x:c>
      <x:c r="AB3424" s="36" t="n">
        <x:f>IF(ISNUMBER(Y3424),ROUND(Y3424*0.9,2),"")</x:f>
        <x:v>22.5</x:v>
      </x:c>
      <x:c r="AC3424" s="36" t="n">
        <x:f>IF(ISNUMBER(AB3424),ROUND(AB3424-(AB3424*0.015+0.2)-V3424,2),"")</x:f>
        <x:v>4.56</x:v>
      </x:c>
      <x:c r="AD3424" s="36" t="n">
        <x:f>IF(ISNUMBER(Y3424),ROUND(Y3424*0.8,2),"")</x:f>
        <x:v>20</x:v>
      </x:c>
      <x:c r="AE3424" s="36" t="n">
        <x:f>IF(ISNUMBER(AD3424),ROUND(AD3424*0.015+0.2,2),"")</x:f>
        <x:v>0.5</x:v>
      </x:c>
      <x:c r="AF3424" s="36" t="n">
        <x:f>IF(ISNUMBER(AD3424),ROUND(AD3424-AE3424-V3424,2),"")</x:f>
        <x:v>2.1</x:v>
      </x:c>
      <x:c r="AG3424" t="str">
        <x:f>IF(NOT(ISNUMBER(T3424)),"PENDING",IF(AF3424&gt;0,"PASS","FAIL"))</x:f>
        <x:v>PASS</x:v>
      </x:c>
      <x:c r="AH3424" t="str">
        <x:f>IF(NOT(ISNUMBER(T3424)),"Needs supplier cost",IF(K3424&lt;&gt;"In stock","Supplier unavailable",IF(AG3424&lt;&gt;"PASS","BLOCK - GT loss risk","Commercially protected")))</x:f>
        <x:v>Commercially protected</x:v>
      </x:c>
      <x:c r="AI3424" t="str">
        <x:v>2026-09-10 Active Sports trade capture</x:v>
      </x:c>
      <x:c r="AJ3424" t="str">
        <x:v>Management-only economics. Stripe stress test uses 1.5% + £0.20 standard UK online-card fee; pallet/mix-and-match pricing ignored.</x:v>
      </x:c>
    </x:row>
    <x:row r="3425">
      <x:c r="A3425" t="str">
        <x:v>Active Sports Nutrition</x:v>
      </x:c>
      <x:c r="B3425" t="str">
        <x:v>Mountain Joes</x:v>
      </x:c>
      <x:c r="C3425" t="str">
        <x:v>MEGA Flapjacks</x:v>
      </x:c>
      <x:c r="D3425" t="str">
        <x:v>Food &amp; Drinks</x:v>
      </x:c>
      <x:c r="E3425" t="str">
        <x:v>Protein Flapjacks</x:v>
      </x:c>
      <x:c r="F3425" t="str"/>
      <x:c r="G3425" t="str">
        <x:v>12 x 100g</x:v>
      </x:c>
      <x:c r="H3425" t="str">
        <x:v>Banoffee Pie</x:v>
      </x:c>
      <x:c r="I3425" t="str">
        <x:v>12</x:v>
      </x:c>
      <x:c r="J3425" t="str">
        <x:v>Case</x:v>
      </x:c>
      <x:c r="K3425" t="str">
        <x:v>In stock</x:v>
      </x:c>
      <x:c r="L3425" t="str">
        <x:v>2026-09-08</x:v>
      </x:c>
      <x:c r="M3425" t="str"/>
      <x:c r="N3425" t="str"/>
      <x:c r="O3425" t="str">
        <x:v>https://www.activesportstrade.co.uk/Protein-Bars</x:v>
      </x:c>
      <x:c r="P3425" t="str"/>
      <x:c r="Q3425" t="str"/>
      <x:c r="R3425" t="str"/>
      <x:c r="S3425" t="str">
        <x:v>Pending genuine supplier/brand image</x:v>
      </x:c>
      <x:c r="T3425" s="54" t="n">
        <x:v>9.99</x:v>
      </x:c>
      <x:c r="U3425" s="47" t="n">
        <x:v>0.2</x:v>
      </x:c>
      <x:c r="V3425" s="54" t="n">
        <x:f>IF(ISNUMBER(T3425),T3425*(1+U3425),"")</x:f>
        <x:v>11.988</x:v>
      </x:c>
      <x:c r="W3425" s="47" t="n">
        <x:v>0.3</x:v>
      </x:c>
      <x:c r="X3425" s="54" t="n">
        <x:f>IF(ISNUMBER(V3425),V3425/(1-W3425),"")</x:f>
        <x:v>17.125714285714285</x:v>
      </x:c>
      <x:c r="Y3425" s="55" t="n">
        <x:f>IF(ISNUMBER(X3425),ROUNDUP(X3425,0),"")</x:f>
        <x:v>18</x:v>
      </x:c>
      <x:c r="Z3425" t="str">
        <x:v>Source match pending</x:v>
      </x:c>
      <x:c r="AA3425" t="str">
        <x:v>screencapture-www-activesportstrade-co-uk-mountain-joes-trade-2026-09-09-18_39_49.png / page-001</x:v>
      </x:c>
      <x:c r="AB3425" s="36" t="n">
        <x:f>IF(ISNUMBER(Y3425),ROUND(Y3425*0.9,2),"")</x:f>
        <x:v>16.2</x:v>
      </x:c>
      <x:c r="AC3425" s="36" t="n">
        <x:f>IF(ISNUMBER(AB3425),ROUND(AB3425-(AB3425*0.015+0.2)-V3425,2),"")</x:f>
        <x:v>3.77</x:v>
      </x:c>
      <x:c r="AD3425" s="36" t="n">
        <x:f>IF(ISNUMBER(Y3425),ROUND(Y3425*0.8,2),"")</x:f>
        <x:v>14.4</x:v>
      </x:c>
      <x:c r="AE3425" s="36" t="n">
        <x:f>IF(ISNUMBER(AD3425),ROUND(AD3425*0.015+0.2,2),"")</x:f>
        <x:v>0.42</x:v>
      </x:c>
      <x:c r="AF3425" s="36" t="n">
        <x:f>IF(ISNUMBER(AD3425),ROUND(AD3425-AE3425-V3425,2),"")</x:f>
        <x:v>1.99</x:v>
      </x:c>
      <x:c r="AG3425" t="str">
        <x:f>IF(NOT(ISNUMBER(T3425)),"PENDING",IF(AF3425&gt;0,"PASS","FAIL"))</x:f>
        <x:v>PASS</x:v>
      </x:c>
      <x:c r="AH3425" t="str">
        <x:f>IF(NOT(ISNUMBER(T3425)),"Needs supplier cost",IF(K3425&lt;&gt;"In stock","Supplier unavailable",IF(AG3425&lt;&gt;"PASS","BLOCK - GT loss risk","Commercially protected")))</x:f>
        <x:v>Commercially protected</x:v>
      </x:c>
      <x:c r="AI3425" t="str">
        <x:v>2026-09-10 Active Sports trade capture</x:v>
      </x:c>
      <x:c r="AJ3425" t="str">
        <x:v>Management-only economics. Stripe stress test uses 1.5% + £0.20 standard UK online-card fee; pallet/mix-and-match pricing ignored.</x:v>
      </x:c>
    </x:row>
    <x:row r="3426">
      <x:c r="A3426" t="str">
        <x:v>Active Sports Nutrition</x:v>
      </x:c>
      <x:c r="B3426" t="str">
        <x:v>Mountain Joes</x:v>
      </x:c>
      <x:c r="C3426" t="str">
        <x:v>MEGA Flapjacks</x:v>
      </x:c>
      <x:c r="D3426" t="str">
        <x:v>Food &amp; Drinks</x:v>
      </x:c>
      <x:c r="E3426" t="str">
        <x:v>Protein Flapjacks</x:v>
      </x:c>
      <x:c r="F3426" t="str"/>
      <x:c r="G3426" t="str">
        <x:v>12 x 100g</x:v>
      </x:c>
      <x:c r="H3426" t="str">
        <x:v>Cherry Bakewell</x:v>
      </x:c>
      <x:c r="I3426" t="str">
        <x:v>12</x:v>
      </x:c>
      <x:c r="J3426" t="str">
        <x:v>Case</x:v>
      </x:c>
      <x:c r="K3426" t="str">
        <x:v>In stock</x:v>
      </x:c>
      <x:c r="L3426" t="str">
        <x:v>2026-09-08</x:v>
      </x:c>
      <x:c r="M3426" t="str"/>
      <x:c r="N3426" t="str"/>
      <x:c r="O3426" t="str">
        <x:v>https://www.activesportstrade.co.uk/Protein-Bars</x:v>
      </x:c>
      <x:c r="P3426" t="str"/>
      <x:c r="Q3426" t="str"/>
      <x:c r="R3426" t="str"/>
      <x:c r="S3426" t="str">
        <x:v>Pending genuine supplier/brand image</x:v>
      </x:c>
      <x:c r="T3426" s="54" t="n">
        <x:v>9.99</x:v>
      </x:c>
      <x:c r="U3426" s="47" t="n">
        <x:v>0.2</x:v>
      </x:c>
      <x:c r="V3426" s="54" t="n">
        <x:f>IF(ISNUMBER(T3426),T3426*(1+U3426),"")</x:f>
        <x:v>11.988</x:v>
      </x:c>
      <x:c r="W3426" s="47" t="n">
        <x:v>0.3</x:v>
      </x:c>
      <x:c r="X3426" s="54" t="n">
        <x:f>IF(ISNUMBER(V3426),V3426/(1-W3426),"")</x:f>
        <x:v>17.125714285714285</x:v>
      </x:c>
      <x:c r="Y3426" s="55" t="n">
        <x:f>IF(ISNUMBER(X3426),ROUNDUP(X3426,0),"")</x:f>
        <x:v>18</x:v>
      </x:c>
      <x:c r="Z3426" t="str">
        <x:v>Source match pending</x:v>
      </x:c>
      <x:c r="AA3426" t="str">
        <x:v>screencapture-www-activesportstrade-co-uk-mountain-joes-trade-2026-09-09-18_39_49.png / page-001</x:v>
      </x:c>
      <x:c r="AB3426" s="36" t="n">
        <x:f>IF(ISNUMBER(Y3426),ROUND(Y3426*0.9,2),"")</x:f>
        <x:v>16.2</x:v>
      </x:c>
      <x:c r="AC3426" s="36" t="n">
        <x:f>IF(ISNUMBER(AB3426),ROUND(AB3426-(AB3426*0.015+0.2)-V3426,2),"")</x:f>
        <x:v>3.77</x:v>
      </x:c>
      <x:c r="AD3426" s="36" t="n">
        <x:f>IF(ISNUMBER(Y3426),ROUND(Y3426*0.8,2),"")</x:f>
        <x:v>14.4</x:v>
      </x:c>
      <x:c r="AE3426" s="36" t="n">
        <x:f>IF(ISNUMBER(AD3426),ROUND(AD3426*0.015+0.2,2),"")</x:f>
        <x:v>0.42</x:v>
      </x:c>
      <x:c r="AF3426" s="36" t="n">
        <x:f>IF(ISNUMBER(AD3426),ROUND(AD3426-AE3426-V3426,2),"")</x:f>
        <x:v>1.99</x:v>
      </x:c>
      <x:c r="AG3426" t="str">
        <x:f>IF(NOT(ISNUMBER(T3426)),"PENDING",IF(AF3426&gt;0,"PASS","FAIL"))</x:f>
        <x:v>PASS</x:v>
      </x:c>
      <x:c r="AH3426" t="str">
        <x:f>IF(NOT(ISNUMBER(T3426)),"Needs supplier cost",IF(K3426&lt;&gt;"In stock","Supplier unavailable",IF(AG3426&lt;&gt;"PASS","BLOCK - GT loss risk","Commercially protected")))</x:f>
        <x:v>Commercially protected</x:v>
      </x:c>
      <x:c r="AI3426" t="str">
        <x:v>2026-09-10 Active Sports trade capture</x:v>
      </x:c>
      <x:c r="AJ3426" t="str">
        <x:v>Management-only economics. Stripe stress test uses 1.5% + £0.20 standard UK online-card fee; pallet/mix-and-match pricing ignored.</x:v>
      </x:c>
    </x:row>
    <x:row r="3427">
      <x:c r="A3427" t="str">
        <x:v>Active Sports Nutrition</x:v>
      </x:c>
      <x:c r="B3427" t="str">
        <x:v>Mountain Joes</x:v>
      </x:c>
      <x:c r="C3427" t="str">
        <x:v>MEGA Flapjacks</x:v>
      </x:c>
      <x:c r="D3427" t="str">
        <x:v>Food &amp; Drinks</x:v>
      </x:c>
      <x:c r="E3427" t="str">
        <x:v>Protein Flapjacks</x:v>
      </x:c>
      <x:c r="F3427" t="str"/>
      <x:c r="G3427" t="str">
        <x:v>12 x 100g</x:v>
      </x:c>
      <x:c r="H3427" t="str">
        <x:v>Chocolate Caramel</x:v>
      </x:c>
      <x:c r="I3427" t="str">
        <x:v>12</x:v>
      </x:c>
      <x:c r="J3427" t="str">
        <x:v>Case</x:v>
      </x:c>
      <x:c r="K3427" t="str">
        <x:v>In stock</x:v>
      </x:c>
      <x:c r="L3427" t="str">
        <x:v>2026-09-08</x:v>
      </x:c>
      <x:c r="M3427" t="str"/>
      <x:c r="N3427" t="str"/>
      <x:c r="O3427" t="str">
        <x:v>https://www.activesportstrade.co.uk/Protein-Bars</x:v>
      </x:c>
      <x:c r="P3427" t="str"/>
      <x:c r="Q3427" t="str"/>
      <x:c r="R3427" t="str"/>
      <x:c r="S3427" t="str">
        <x:v>Pending genuine supplier/brand image</x:v>
      </x:c>
      <x:c r="T3427" s="54" t="n">
        <x:v>9.99</x:v>
      </x:c>
      <x:c r="U3427" s="47" t="n">
        <x:v>0.2</x:v>
      </x:c>
      <x:c r="V3427" s="54" t="n">
        <x:f>IF(ISNUMBER(T3427),T3427*(1+U3427),"")</x:f>
        <x:v>11.988</x:v>
      </x:c>
      <x:c r="W3427" s="47" t="n">
        <x:v>0.3</x:v>
      </x:c>
      <x:c r="X3427" s="54" t="n">
        <x:f>IF(ISNUMBER(V3427),V3427/(1-W3427),"")</x:f>
        <x:v>17.125714285714285</x:v>
      </x:c>
      <x:c r="Y3427" s="55" t="n">
        <x:f>IF(ISNUMBER(X3427),ROUNDUP(X3427,0),"")</x:f>
        <x:v>18</x:v>
      </x:c>
      <x:c r="Z3427" t="str">
        <x:v>Source match pending</x:v>
      </x:c>
      <x:c r="AA3427" t="str">
        <x:v>screencapture-www-activesportstrade-co-uk-mountain-joes-trade-2026-09-09-18_39_49.png / page-001</x:v>
      </x:c>
      <x:c r="AB3427" s="36" t="n">
        <x:f>IF(ISNUMBER(Y3427),ROUND(Y3427*0.9,2),"")</x:f>
        <x:v>16.2</x:v>
      </x:c>
      <x:c r="AC3427" s="36" t="n">
        <x:f>IF(ISNUMBER(AB3427),ROUND(AB3427-(AB3427*0.015+0.2)-V3427,2),"")</x:f>
        <x:v>3.77</x:v>
      </x:c>
      <x:c r="AD3427" s="36" t="n">
        <x:f>IF(ISNUMBER(Y3427),ROUND(Y3427*0.8,2),"")</x:f>
        <x:v>14.4</x:v>
      </x:c>
      <x:c r="AE3427" s="36" t="n">
        <x:f>IF(ISNUMBER(AD3427),ROUND(AD3427*0.015+0.2,2),"")</x:f>
        <x:v>0.42</x:v>
      </x:c>
      <x:c r="AF3427" s="36" t="n">
        <x:f>IF(ISNUMBER(AD3427),ROUND(AD3427-AE3427-V3427,2),"")</x:f>
        <x:v>1.99</x:v>
      </x:c>
      <x:c r="AG3427" t="str">
        <x:f>IF(NOT(ISNUMBER(T3427)),"PENDING",IF(AF3427&gt;0,"PASS","FAIL"))</x:f>
        <x:v>PASS</x:v>
      </x:c>
      <x:c r="AH3427" t="str">
        <x:f>IF(NOT(ISNUMBER(T3427)),"Needs supplier cost",IF(K3427&lt;&gt;"In stock","Supplier unavailable",IF(AG3427&lt;&gt;"PASS","BLOCK - GT loss risk","Commercially protected")))</x:f>
        <x:v>Commercially protected</x:v>
      </x:c>
      <x:c r="AI3427" t="str">
        <x:v>2026-09-10 Active Sports trade capture</x:v>
      </x:c>
      <x:c r="AJ3427" t="str">
        <x:v>Management-only economics. Stripe stress test uses 1.5% + £0.20 standard UK online-card fee; pallet/mix-and-match pricing ignored.</x:v>
      </x:c>
    </x:row>
    <x:row r="3428">
      <x:c r="A3428" t="str">
        <x:v>Active Sports Nutrition</x:v>
      </x:c>
      <x:c r="B3428" t="str">
        <x:v>Mountain Joes</x:v>
      </x:c>
      <x:c r="C3428" t="str">
        <x:v>MEGA Flapjacks</x:v>
      </x:c>
      <x:c r="D3428" t="str">
        <x:v>Food &amp; Drinks</x:v>
      </x:c>
      <x:c r="E3428" t="str">
        <x:v>Protein Flapjacks</x:v>
      </x:c>
      <x:c r="F3428" t="str"/>
      <x:c r="G3428" t="str">
        <x:v>12 x 100g</x:v>
      </x:c>
      <x:c r="H3428" t="str">
        <x:v>Chocolate Chip Cookie</x:v>
      </x:c>
      <x:c r="I3428" t="str">
        <x:v>12</x:v>
      </x:c>
      <x:c r="J3428" t="str">
        <x:v>Case</x:v>
      </x:c>
      <x:c r="K3428" t="str">
        <x:v>In stock</x:v>
      </x:c>
      <x:c r="L3428" t="str">
        <x:v>2026-09-08</x:v>
      </x:c>
      <x:c r="M3428" t="str"/>
      <x:c r="N3428" t="str"/>
      <x:c r="O3428" t="str">
        <x:v>https://www.activesportstrade.co.uk/Protein-Bars</x:v>
      </x:c>
      <x:c r="P3428" t="str"/>
      <x:c r="Q3428" t="str"/>
      <x:c r="R3428" t="str"/>
      <x:c r="S3428" t="str">
        <x:v>Pending genuine supplier/brand image</x:v>
      </x:c>
      <x:c r="T3428" s="54" t="n">
        <x:v>9.99</x:v>
      </x:c>
      <x:c r="U3428" s="47" t="n">
        <x:v>0.2</x:v>
      </x:c>
      <x:c r="V3428" s="54" t="n">
        <x:f>IF(ISNUMBER(T3428),T3428*(1+U3428),"")</x:f>
        <x:v>11.988</x:v>
      </x:c>
      <x:c r="W3428" s="47" t="n">
        <x:v>0.3</x:v>
      </x:c>
      <x:c r="X3428" s="54" t="n">
        <x:f>IF(ISNUMBER(V3428),V3428/(1-W3428),"")</x:f>
        <x:v>17.125714285714285</x:v>
      </x:c>
      <x:c r="Y3428" s="55" t="n">
        <x:f>IF(ISNUMBER(X3428),ROUNDUP(X3428,0),"")</x:f>
        <x:v>18</x:v>
      </x:c>
      <x:c r="Z3428" t="str">
        <x:v>Source match pending</x:v>
      </x:c>
      <x:c r="AA3428" t="str">
        <x:v>screencapture-www-activesportstrade-co-uk-mountain-joes-trade-2026-09-09-18_39_49.png / page-001</x:v>
      </x:c>
      <x:c r="AB3428" s="36" t="n">
        <x:f>IF(ISNUMBER(Y3428),ROUND(Y3428*0.9,2),"")</x:f>
        <x:v>16.2</x:v>
      </x:c>
      <x:c r="AC3428" s="36" t="n">
        <x:f>IF(ISNUMBER(AB3428),ROUND(AB3428-(AB3428*0.015+0.2)-V3428,2),"")</x:f>
        <x:v>3.77</x:v>
      </x:c>
      <x:c r="AD3428" s="36" t="n">
        <x:f>IF(ISNUMBER(Y3428),ROUND(Y3428*0.8,2),"")</x:f>
        <x:v>14.4</x:v>
      </x:c>
      <x:c r="AE3428" s="36" t="n">
        <x:f>IF(ISNUMBER(AD3428),ROUND(AD3428*0.015+0.2,2),"")</x:f>
        <x:v>0.42</x:v>
      </x:c>
      <x:c r="AF3428" s="36" t="n">
        <x:f>IF(ISNUMBER(AD3428),ROUND(AD3428-AE3428-V3428,2),"")</x:f>
        <x:v>1.99</x:v>
      </x:c>
      <x:c r="AG3428" t="str">
        <x:f>IF(NOT(ISNUMBER(T3428)),"PENDING",IF(AF3428&gt;0,"PASS","FAIL"))</x:f>
        <x:v>PASS</x:v>
      </x:c>
      <x:c r="AH3428" t="str">
        <x:f>IF(NOT(ISNUMBER(T3428)),"Needs supplier cost",IF(K3428&lt;&gt;"In stock","Supplier unavailable",IF(AG3428&lt;&gt;"PASS","BLOCK - GT loss risk","Commercially protected")))</x:f>
        <x:v>Commercially protected</x:v>
      </x:c>
      <x:c r="AI3428" t="str">
        <x:v>2026-09-10 Active Sports trade capture</x:v>
      </x:c>
      <x:c r="AJ3428" t="str">
        <x:v>Management-only economics. Stripe stress test uses 1.5% + £0.20 standard UK online-card fee; pallet/mix-and-match pricing ignored.</x:v>
      </x:c>
    </x:row>
    <x:row r="3429">
      <x:c r="A3429" t="str">
        <x:v>Active Sports Nutrition</x:v>
      </x:c>
      <x:c r="B3429" t="str">
        <x:v>Mountain Joes</x:v>
      </x:c>
      <x:c r="C3429" t="str">
        <x:v>MEGA Flapjacks</x:v>
      </x:c>
      <x:c r="D3429" t="str">
        <x:v>Food &amp; Drinks</x:v>
      </x:c>
      <x:c r="E3429" t="str">
        <x:v>Protein Flapjacks</x:v>
      </x:c>
      <x:c r="F3429" t="str"/>
      <x:c r="G3429" t="str">
        <x:v>12 x 100g</x:v>
      </x:c>
      <x:c r="H3429" t="str">
        <x:v>Chocolate Peanut Butter</x:v>
      </x:c>
      <x:c r="I3429" t="str">
        <x:v>12</x:v>
      </x:c>
      <x:c r="J3429" t="str">
        <x:v>Case</x:v>
      </x:c>
      <x:c r="K3429" t="str">
        <x:v>In stock</x:v>
      </x:c>
      <x:c r="L3429" t="str">
        <x:v>2026-09-08</x:v>
      </x:c>
      <x:c r="M3429" t="str"/>
      <x:c r="N3429" t="str"/>
      <x:c r="O3429" t="str">
        <x:v>https://www.activesportstrade.co.uk/Protein-Bars</x:v>
      </x:c>
      <x:c r="P3429" t="str"/>
      <x:c r="Q3429" t="str"/>
      <x:c r="R3429" t="str"/>
      <x:c r="S3429" t="str">
        <x:v>Pending genuine supplier/brand image</x:v>
      </x:c>
      <x:c r="T3429" s="54" t="n">
        <x:v>9.99</x:v>
      </x:c>
      <x:c r="U3429" s="47" t="n">
        <x:v>0.2</x:v>
      </x:c>
      <x:c r="V3429" s="54" t="n">
        <x:f>IF(ISNUMBER(T3429),T3429*(1+U3429),"")</x:f>
        <x:v>11.988</x:v>
      </x:c>
      <x:c r="W3429" s="47" t="n">
        <x:v>0.3</x:v>
      </x:c>
      <x:c r="X3429" s="54" t="n">
        <x:f>IF(ISNUMBER(V3429),V3429/(1-W3429),"")</x:f>
        <x:v>17.125714285714285</x:v>
      </x:c>
      <x:c r="Y3429" s="55" t="n">
        <x:f>IF(ISNUMBER(X3429),ROUNDUP(X3429,0),"")</x:f>
        <x:v>18</x:v>
      </x:c>
      <x:c r="Z3429" t="str">
        <x:v>Source match pending</x:v>
      </x:c>
      <x:c r="AA3429" t="str">
        <x:v>screencapture-www-activesportstrade-co-uk-mountain-joes-trade-2026-09-09-18_39_49.png / page-001</x:v>
      </x:c>
      <x:c r="AB3429" s="36" t="n">
        <x:f>IF(ISNUMBER(Y3429),ROUND(Y3429*0.9,2),"")</x:f>
        <x:v>16.2</x:v>
      </x:c>
      <x:c r="AC3429" s="36" t="n">
        <x:f>IF(ISNUMBER(AB3429),ROUND(AB3429-(AB3429*0.015+0.2)-V3429,2),"")</x:f>
        <x:v>3.77</x:v>
      </x:c>
      <x:c r="AD3429" s="36" t="n">
        <x:f>IF(ISNUMBER(Y3429),ROUND(Y3429*0.8,2),"")</x:f>
        <x:v>14.4</x:v>
      </x:c>
      <x:c r="AE3429" s="36" t="n">
        <x:f>IF(ISNUMBER(AD3429),ROUND(AD3429*0.015+0.2,2),"")</x:f>
        <x:v>0.42</x:v>
      </x:c>
      <x:c r="AF3429" s="36" t="n">
        <x:f>IF(ISNUMBER(AD3429),ROUND(AD3429-AE3429-V3429,2),"")</x:f>
        <x:v>1.99</x:v>
      </x:c>
      <x:c r="AG3429" t="str">
        <x:f>IF(NOT(ISNUMBER(T3429)),"PENDING",IF(AF3429&gt;0,"PASS","FAIL"))</x:f>
        <x:v>PASS</x:v>
      </x:c>
      <x:c r="AH3429" t="str">
        <x:f>IF(NOT(ISNUMBER(T3429)),"Needs supplier cost",IF(K3429&lt;&gt;"In stock","Supplier unavailable",IF(AG3429&lt;&gt;"PASS","BLOCK - GT loss risk","Commercially protected")))</x:f>
        <x:v>Commercially protected</x:v>
      </x:c>
      <x:c r="AI3429" t="str">
        <x:v>2026-09-10 Active Sports trade capture</x:v>
      </x:c>
      <x:c r="AJ3429" t="str">
        <x:v>Management-only economics. Stripe stress test uses 1.5% + £0.20 standard UK online-card fee; pallet/mix-and-match pricing ignored.</x:v>
      </x:c>
    </x:row>
    <x:row r="3430">
      <x:c r="A3430" t="str">
        <x:v>Active Sports Nutrition</x:v>
      </x:c>
      <x:c r="B3430" t="str">
        <x:v>Mountain Joes</x:v>
      </x:c>
      <x:c r="C3430" t="str">
        <x:v>MEGA Flapjacks</x:v>
      </x:c>
      <x:c r="D3430" t="str">
        <x:v>Food &amp; Drinks</x:v>
      </x:c>
      <x:c r="E3430" t="str">
        <x:v>Protein Flapjacks</x:v>
      </x:c>
      <x:c r="F3430" t="str"/>
      <x:c r="G3430" t="str">
        <x:v>12 x 100g</x:v>
      </x:c>
      <x:c r="H3430" t="str">
        <x:v>Cookies &amp; Cream</x:v>
      </x:c>
      <x:c r="I3430" t="str">
        <x:v>12</x:v>
      </x:c>
      <x:c r="J3430" t="str">
        <x:v>Case</x:v>
      </x:c>
      <x:c r="K3430" t="str">
        <x:v>In stock</x:v>
      </x:c>
      <x:c r="L3430" t="str">
        <x:v>2026-09-08</x:v>
      </x:c>
      <x:c r="M3430" t="str"/>
      <x:c r="N3430" t="str"/>
      <x:c r="O3430" t="str">
        <x:v>https://www.activesportstrade.co.uk/Protein-Bars</x:v>
      </x:c>
      <x:c r="P3430" t="str"/>
      <x:c r="Q3430" t="str"/>
      <x:c r="R3430" t="str"/>
      <x:c r="S3430" t="str">
        <x:v>Pending genuine supplier/brand image</x:v>
      </x:c>
      <x:c r="T3430" s="54" t="n">
        <x:v>9.99</x:v>
      </x:c>
      <x:c r="U3430" s="47" t="n">
        <x:v>0.2</x:v>
      </x:c>
      <x:c r="V3430" s="54" t="n">
        <x:f>IF(ISNUMBER(T3430),T3430*(1+U3430),"")</x:f>
        <x:v>11.988</x:v>
      </x:c>
      <x:c r="W3430" s="47" t="n">
        <x:v>0.3</x:v>
      </x:c>
      <x:c r="X3430" s="54" t="n">
        <x:f>IF(ISNUMBER(V3430),V3430/(1-W3430),"")</x:f>
        <x:v>17.125714285714285</x:v>
      </x:c>
      <x:c r="Y3430" s="55" t="n">
        <x:f>IF(ISNUMBER(X3430),ROUNDUP(X3430,0),"")</x:f>
        <x:v>18</x:v>
      </x:c>
      <x:c r="Z3430" t="str">
        <x:v>Source match pending</x:v>
      </x:c>
      <x:c r="AA3430" t="str">
        <x:v>screencapture-www-activesportstrade-co-uk-mountain-joes-trade-2026-09-09-18_39_49.png / page-001</x:v>
      </x:c>
      <x:c r="AB3430" s="36" t="n">
        <x:f>IF(ISNUMBER(Y3430),ROUND(Y3430*0.9,2),"")</x:f>
        <x:v>16.2</x:v>
      </x:c>
      <x:c r="AC3430" s="36" t="n">
        <x:f>IF(ISNUMBER(AB3430),ROUND(AB3430-(AB3430*0.015+0.2)-V3430,2),"")</x:f>
        <x:v>3.77</x:v>
      </x:c>
      <x:c r="AD3430" s="36" t="n">
        <x:f>IF(ISNUMBER(Y3430),ROUND(Y3430*0.8,2),"")</x:f>
        <x:v>14.4</x:v>
      </x:c>
      <x:c r="AE3430" s="36" t="n">
        <x:f>IF(ISNUMBER(AD3430),ROUND(AD3430*0.015+0.2,2),"")</x:f>
        <x:v>0.42</x:v>
      </x:c>
      <x:c r="AF3430" s="36" t="n">
        <x:f>IF(ISNUMBER(AD3430),ROUND(AD3430-AE3430-V3430,2),"")</x:f>
        <x:v>1.99</x:v>
      </x:c>
      <x:c r="AG3430" t="str">
        <x:f>IF(NOT(ISNUMBER(T3430)),"PENDING",IF(AF3430&gt;0,"PASS","FAIL"))</x:f>
        <x:v>PASS</x:v>
      </x:c>
      <x:c r="AH3430" t="str">
        <x:f>IF(NOT(ISNUMBER(T3430)),"Needs supplier cost",IF(K3430&lt;&gt;"In stock","Supplier unavailable",IF(AG3430&lt;&gt;"PASS","BLOCK - GT loss risk","Commercially protected")))</x:f>
        <x:v>Commercially protected</x:v>
      </x:c>
      <x:c r="AI3430" t="str">
        <x:v>2026-09-10 Active Sports trade capture</x:v>
      </x:c>
      <x:c r="AJ3430" t="str">
        <x:v>Management-only economics. Stripe stress test uses 1.5% + £0.20 standard UK online-card fee; pallet/mix-and-match pricing ignored.</x:v>
      </x:c>
    </x:row>
    <x:row r="3431">
      <x:c r="A3431" t="str">
        <x:v>Active Sports Nutrition</x:v>
      </x:c>
      <x:c r="B3431" t="str">
        <x:v>Mountain Joes</x:v>
      </x:c>
      <x:c r="C3431" t="str">
        <x:v>MEGA Flapjacks</x:v>
      </x:c>
      <x:c r="D3431" t="str">
        <x:v>Food &amp; Drinks</x:v>
      </x:c>
      <x:c r="E3431" t="str">
        <x:v>Protein Flapjacks</x:v>
      </x:c>
      <x:c r="F3431" t="str"/>
      <x:c r="G3431" t="str">
        <x:v>12 x 100g</x:v>
      </x:c>
      <x:c r="H3431" t="str">
        <x:v>Raspberry White Chocolate</x:v>
      </x:c>
      <x:c r="I3431" t="str">
        <x:v>12</x:v>
      </x:c>
      <x:c r="J3431" t="str">
        <x:v>Case</x:v>
      </x:c>
      <x:c r="K3431" t="str">
        <x:v>In stock</x:v>
      </x:c>
      <x:c r="L3431" t="str">
        <x:v>2026-09-08</x:v>
      </x:c>
      <x:c r="M3431" t="str"/>
      <x:c r="N3431" t="str"/>
      <x:c r="O3431" t="str">
        <x:v>https://www.activesportstrade.co.uk/Protein-Bars</x:v>
      </x:c>
      <x:c r="P3431" t="str"/>
      <x:c r="Q3431" t="str"/>
      <x:c r="R3431" t="str"/>
      <x:c r="S3431" t="str">
        <x:v>Pending genuine supplier/brand image</x:v>
      </x:c>
      <x:c r="T3431" s="54" t="n">
        <x:v>9.99</x:v>
      </x:c>
      <x:c r="U3431" s="47" t="n">
        <x:v>0.2</x:v>
      </x:c>
      <x:c r="V3431" s="54" t="n">
        <x:f>IF(ISNUMBER(T3431),T3431*(1+U3431),"")</x:f>
        <x:v>11.988</x:v>
      </x:c>
      <x:c r="W3431" s="47" t="n">
        <x:v>0.3</x:v>
      </x:c>
      <x:c r="X3431" s="54" t="n">
        <x:f>IF(ISNUMBER(V3431),V3431/(1-W3431),"")</x:f>
        <x:v>17.125714285714285</x:v>
      </x:c>
      <x:c r="Y3431" s="55" t="n">
        <x:f>IF(ISNUMBER(X3431),ROUNDUP(X3431,0),"")</x:f>
        <x:v>18</x:v>
      </x:c>
      <x:c r="Z3431" t="str">
        <x:v>Source match pending</x:v>
      </x:c>
      <x:c r="AA3431" t="str">
        <x:v>screencapture-www-activesportstrade-co-uk-mountain-joes-trade-2026-09-09-18_39_49.png / page-001</x:v>
      </x:c>
      <x:c r="AB3431" s="36" t="n">
        <x:f>IF(ISNUMBER(Y3431),ROUND(Y3431*0.9,2),"")</x:f>
        <x:v>16.2</x:v>
      </x:c>
      <x:c r="AC3431" s="36" t="n">
        <x:f>IF(ISNUMBER(AB3431),ROUND(AB3431-(AB3431*0.015+0.2)-V3431,2),"")</x:f>
        <x:v>3.77</x:v>
      </x:c>
      <x:c r="AD3431" s="36" t="n">
        <x:f>IF(ISNUMBER(Y3431),ROUND(Y3431*0.8,2),"")</x:f>
        <x:v>14.4</x:v>
      </x:c>
      <x:c r="AE3431" s="36" t="n">
        <x:f>IF(ISNUMBER(AD3431),ROUND(AD3431*0.015+0.2,2),"")</x:f>
        <x:v>0.42</x:v>
      </x:c>
      <x:c r="AF3431" s="36" t="n">
        <x:f>IF(ISNUMBER(AD3431),ROUND(AD3431-AE3431-V3431,2),"")</x:f>
        <x:v>1.99</x:v>
      </x:c>
      <x:c r="AG3431" t="str">
        <x:f>IF(NOT(ISNUMBER(T3431)),"PENDING",IF(AF3431&gt;0,"PASS","FAIL"))</x:f>
        <x:v>PASS</x:v>
      </x:c>
      <x:c r="AH3431" t="str">
        <x:f>IF(NOT(ISNUMBER(T3431)),"Needs supplier cost",IF(K3431&lt;&gt;"In stock","Supplier unavailable",IF(AG3431&lt;&gt;"PASS","BLOCK - GT loss risk","Commercially protected")))</x:f>
        <x:v>Commercially protected</x:v>
      </x:c>
      <x:c r="AI3431" t="str">
        <x:v>2026-09-10 Active Sports trade capture</x:v>
      </x:c>
      <x:c r="AJ3431" t="str">
        <x:v>Management-only economics. Stripe stress test uses 1.5% + £0.20 standard UK online-card fee; pallet/mix-and-match pricing ignored.</x:v>
      </x:c>
    </x:row>
    <x:row r="3432">
      <x:c r="A3432" t="str">
        <x:v>Active Sports Nutrition</x:v>
      </x:c>
      <x:c r="B3432" t="str">
        <x:v>Mountain Joes</x:v>
      </x:c>
      <x:c r="C3432" t="str">
        <x:v>MEGA Flapjacks</x:v>
      </x:c>
      <x:c r="D3432" t="str">
        <x:v>Food &amp; Drinks</x:v>
      </x:c>
      <x:c r="E3432" t="str">
        <x:v>Protein Flapjacks</x:v>
      </x:c>
      <x:c r="F3432" t="str"/>
      <x:c r="G3432" t="str">
        <x:v>12 x 100g</x:v>
      </x:c>
      <x:c r="H3432" t="str">
        <x:v>White Chocolate Caramel</x:v>
      </x:c>
      <x:c r="I3432" t="str">
        <x:v>12</x:v>
      </x:c>
      <x:c r="J3432" t="str">
        <x:v>Case</x:v>
      </x:c>
      <x:c r="K3432" t="str">
        <x:v>In stock</x:v>
      </x:c>
      <x:c r="L3432" t="str">
        <x:v>2026-09-08</x:v>
      </x:c>
      <x:c r="M3432" t="str"/>
      <x:c r="N3432" t="str"/>
      <x:c r="O3432" t="str">
        <x:v>https://www.activesportstrade.co.uk/Protein-Bars</x:v>
      </x:c>
      <x:c r="P3432" t="str"/>
      <x:c r="Q3432" t="str"/>
      <x:c r="R3432" t="str"/>
      <x:c r="S3432" t="str">
        <x:v>Pending genuine supplier/brand image</x:v>
      </x:c>
      <x:c r="T3432" s="54" t="n">
        <x:v>9.99</x:v>
      </x:c>
      <x:c r="U3432" s="47" t="n">
        <x:v>0.2</x:v>
      </x:c>
      <x:c r="V3432" s="54" t="n">
        <x:f>IF(ISNUMBER(T3432),T3432*(1+U3432),"")</x:f>
        <x:v>11.988</x:v>
      </x:c>
      <x:c r="W3432" s="47" t="n">
        <x:v>0.3</x:v>
      </x:c>
      <x:c r="X3432" s="54" t="n">
        <x:f>IF(ISNUMBER(V3432),V3432/(1-W3432),"")</x:f>
        <x:v>17.125714285714285</x:v>
      </x:c>
      <x:c r="Y3432" s="55" t="n">
        <x:f>IF(ISNUMBER(X3432),ROUNDUP(X3432,0),"")</x:f>
        <x:v>18</x:v>
      </x:c>
      <x:c r="Z3432" t="str">
        <x:v>Source match pending</x:v>
      </x:c>
      <x:c r="AA3432" t="str">
        <x:v>screencapture-www-activesportstrade-co-uk-mountain-joes-trade-2026-09-09-18_39_49.png / page-001</x:v>
      </x:c>
      <x:c r="AB3432" s="36" t="n">
        <x:f>IF(ISNUMBER(Y3432),ROUND(Y3432*0.9,2),"")</x:f>
        <x:v>16.2</x:v>
      </x:c>
      <x:c r="AC3432" s="36" t="n">
        <x:f>IF(ISNUMBER(AB3432),ROUND(AB3432-(AB3432*0.015+0.2)-V3432,2),"")</x:f>
        <x:v>3.77</x:v>
      </x:c>
      <x:c r="AD3432" s="36" t="n">
        <x:f>IF(ISNUMBER(Y3432),ROUND(Y3432*0.8,2),"")</x:f>
        <x:v>14.4</x:v>
      </x:c>
      <x:c r="AE3432" s="36" t="n">
        <x:f>IF(ISNUMBER(AD3432),ROUND(AD3432*0.015+0.2,2),"")</x:f>
        <x:v>0.42</x:v>
      </x:c>
      <x:c r="AF3432" s="36" t="n">
        <x:f>IF(ISNUMBER(AD3432),ROUND(AD3432-AE3432-V3432,2),"")</x:f>
        <x:v>1.99</x:v>
      </x:c>
      <x:c r="AG3432" t="str">
        <x:f>IF(NOT(ISNUMBER(T3432)),"PENDING",IF(AF3432&gt;0,"PASS","FAIL"))</x:f>
        <x:v>PASS</x:v>
      </x:c>
      <x:c r="AH3432" t="str">
        <x:f>IF(NOT(ISNUMBER(T3432)),"Needs supplier cost",IF(K3432&lt;&gt;"In stock","Supplier unavailable",IF(AG3432&lt;&gt;"PASS","BLOCK - GT loss risk","Commercially protected")))</x:f>
        <x:v>Commercially protected</x:v>
      </x:c>
      <x:c r="AI3432" t="str">
        <x:v>2026-09-10 Active Sports trade capture</x:v>
      </x:c>
      <x:c r="AJ3432" t="str">
        <x:v>Management-only economics. Stripe stress test uses 1.5% + £0.20 standard UK online-card fee; pallet/mix-and-match pricing ignored.</x:v>
      </x:c>
    </x:row>
    <x:row r="3433">
      <x:c r="A3433" t="str">
        <x:v>Active Sports Nutrition</x:v>
      </x:c>
      <x:c r="B3433" t="str">
        <x:v>Mountain Joes</x:v>
      </x:c>
      <x:c r="C3433" t="str">
        <x:v>Protein Bars</x:v>
      </x:c>
      <x:c r="D3433" t="str">
        <x:v>Food &amp; Drinks</x:v>
      </x:c>
      <x:c r="E3433" t="str">
        <x:v>Protein Bars</x:v>
      </x:c>
      <x:c r="F3433" t="str"/>
      <x:c r="G3433" t="str">
        <x:v>12 x 35g bars</x:v>
      </x:c>
      <x:c r="H3433" t="str">
        <x:v>Chocolate Caramel Crisp</x:v>
      </x:c>
      <x:c r="I3433" t="str">
        <x:v>12</x:v>
      </x:c>
      <x:c r="J3433" t="str">
        <x:v>Case</x:v>
      </x:c>
      <x:c r="K3433" t="str">
        <x:v>Out of stock</x:v>
      </x:c>
      <x:c r="L3433" t="str">
        <x:v>2026-09-08</x:v>
      </x:c>
      <x:c r="M3433" t="str"/>
      <x:c r="N3433" t="str"/>
      <x:c r="O3433" t="str">
        <x:v>https://www.activesportstrade.co.uk/Protein-Bars</x:v>
      </x:c>
      <x:c r="P3433" t="str"/>
      <x:c r="Q3433" t="str"/>
      <x:c r="R3433" t="str"/>
      <x:c r="S3433" t="str">
        <x:v>Pending genuine supplier/brand image</x:v>
      </x:c>
      <x:c r="T3433" s="54" t="n">
        <x:v>11.24</x:v>
      </x:c>
      <x:c r="U3433" s="47" t="n">
        <x:v>0.2</x:v>
      </x:c>
      <x:c r="V3433" s="54" t="n">
        <x:f>IF(ISNUMBER(T3433),T3433*(1+U3433),"")</x:f>
        <x:v>13.488</x:v>
      </x:c>
      <x:c r="W3433" s="47" t="n">
        <x:v>0.3</x:v>
      </x:c>
      <x:c r="X3433" s="54" t="n">
        <x:f>IF(ISNUMBER(V3433),V3433/(1-W3433),"")</x:f>
        <x:v>19.26857142857143</x:v>
      </x:c>
      <x:c r="Y3433" s="55" t="n">
        <x:f>IF(ISNUMBER(X3433),ROUNDUP(X3433,0),"")</x:f>
        <x:v>20</x:v>
      </x:c>
      <x:c r="Z3433" t="str">
        <x:v>Source match pending</x:v>
      </x:c>
      <x:c r="AA3433" t="str">
        <x:v>screencapture-www-activesportstrade-co-uk-mountain-joes-trade-2026-09-09-18_39_49.png / page-001</x:v>
      </x:c>
      <x:c r="AB3433" s="36" t="n">
        <x:f>IF(ISNUMBER(Y3433),ROUND(Y3433*0.9,2),"")</x:f>
        <x:v>18</x:v>
      </x:c>
      <x:c r="AC3433" s="36" t="n">
        <x:f>IF(ISNUMBER(AB3433),ROUND(AB3433-(AB3433*0.015+0.2)-V3433,2),"")</x:f>
        <x:v>4.04</x:v>
      </x:c>
      <x:c r="AD3433" s="36" t="n">
        <x:f>IF(ISNUMBER(Y3433),ROUND(Y3433*0.8,2),"")</x:f>
        <x:v>16</x:v>
      </x:c>
      <x:c r="AE3433" s="36" t="n">
        <x:f>IF(ISNUMBER(AD3433),ROUND(AD3433*0.015+0.2,2),"")</x:f>
        <x:v>0.44</x:v>
      </x:c>
      <x:c r="AF3433" s="36" t="n">
        <x:f>IF(ISNUMBER(AD3433),ROUND(AD3433-AE3433-V3433,2),"")</x:f>
        <x:v>2.07</x:v>
      </x:c>
      <x:c r="AG3433" t="str">
        <x:f>IF(NOT(ISNUMBER(T3433)),"PENDING",IF(AF3433&gt;0,"PASS","FAIL"))</x:f>
        <x:v>PASS</x:v>
      </x:c>
      <x:c r="AH3433" t="str">
        <x:f>IF(NOT(ISNUMBER(T3433)),"Needs supplier cost",IF(K3433&lt;&gt;"In stock","Supplier unavailable",IF(AG3433&lt;&gt;"PASS","BLOCK - GT loss risk","Commercially protected")))</x:f>
        <x:v>Supplier unavailable</x:v>
      </x:c>
      <x:c r="AI3433" t="str">
        <x:v>2026-09-10 Active Sports trade capture</x:v>
      </x:c>
      <x:c r="AJ3433" t="str">
        <x:v>Management-only economics. Stripe stress test uses 1.5% + £0.20 standard UK online-card fee; pallet/mix-and-match pricing ignored.</x:v>
      </x:c>
    </x:row>
    <x:row r="3434">
      <x:c r="A3434" t="str">
        <x:v>Active Sports Nutrition</x:v>
      </x:c>
      <x:c r="B3434" t="str">
        <x:v>Mountain Joes</x:v>
      </x:c>
      <x:c r="C3434" t="str">
        <x:v>Protein Bars</x:v>
      </x:c>
      <x:c r="D3434" t="str">
        <x:v>Food &amp; Drinks</x:v>
      </x:c>
      <x:c r="E3434" t="str">
        <x:v>Protein Bars</x:v>
      </x:c>
      <x:c r="F3434" t="str"/>
      <x:c r="G3434" t="str">
        <x:v>12 x 35g bars</x:v>
      </x:c>
      <x:c r="H3434" t="str">
        <x:v>White Chocolate Cookie</x:v>
      </x:c>
      <x:c r="I3434" t="str">
        <x:v>12</x:v>
      </x:c>
      <x:c r="J3434" t="str">
        <x:v>Case</x:v>
      </x:c>
      <x:c r="K3434" t="str">
        <x:v>In stock</x:v>
      </x:c>
      <x:c r="L3434" t="str">
        <x:v>2026-09-08</x:v>
      </x:c>
      <x:c r="M3434" t="str"/>
      <x:c r="N3434" t="str"/>
      <x:c r="O3434" t="str">
        <x:v>https://www.activesportstrade.co.uk/Protein-Bars</x:v>
      </x:c>
      <x:c r="P3434" t="str"/>
      <x:c r="Q3434" t="str"/>
      <x:c r="R3434" t="str"/>
      <x:c r="S3434" t="str">
        <x:v>Pending genuine supplier/brand image</x:v>
      </x:c>
      <x:c r="T3434" s="54" t="n">
        <x:v>11.24</x:v>
      </x:c>
      <x:c r="U3434" s="47" t="n">
        <x:v>0.2</x:v>
      </x:c>
      <x:c r="V3434" s="54" t="n">
        <x:f>IF(ISNUMBER(T3434),T3434*(1+U3434),"")</x:f>
        <x:v>13.488</x:v>
      </x:c>
      <x:c r="W3434" s="47" t="n">
        <x:v>0.3</x:v>
      </x:c>
      <x:c r="X3434" s="54" t="n">
        <x:f>IF(ISNUMBER(V3434),V3434/(1-W3434),"")</x:f>
        <x:v>19.26857142857143</x:v>
      </x:c>
      <x:c r="Y3434" s="55" t="n">
        <x:f>IF(ISNUMBER(X3434),ROUNDUP(X3434,0),"")</x:f>
        <x:v>20</x:v>
      </x:c>
      <x:c r="Z3434" t="str">
        <x:v>Source match pending</x:v>
      </x:c>
      <x:c r="AA3434" t="str">
        <x:v>screencapture-www-activesportstrade-co-uk-mountain-joes-trade-2026-09-09-18_39_49.png / page-001</x:v>
      </x:c>
      <x:c r="AB3434" s="36" t="n">
        <x:f>IF(ISNUMBER(Y3434),ROUND(Y3434*0.9,2),"")</x:f>
        <x:v>18</x:v>
      </x:c>
      <x:c r="AC3434" s="36" t="n">
        <x:f>IF(ISNUMBER(AB3434),ROUND(AB3434-(AB3434*0.015+0.2)-V3434,2),"")</x:f>
        <x:v>4.04</x:v>
      </x:c>
      <x:c r="AD3434" s="36" t="n">
        <x:f>IF(ISNUMBER(Y3434),ROUND(Y3434*0.8,2),"")</x:f>
        <x:v>16</x:v>
      </x:c>
      <x:c r="AE3434" s="36" t="n">
        <x:f>IF(ISNUMBER(AD3434),ROUND(AD3434*0.015+0.2,2),"")</x:f>
        <x:v>0.44</x:v>
      </x:c>
      <x:c r="AF3434" s="36" t="n">
        <x:f>IF(ISNUMBER(AD3434),ROUND(AD3434-AE3434-V3434,2),"")</x:f>
        <x:v>2.07</x:v>
      </x:c>
      <x:c r="AG3434" t="str">
        <x:f>IF(NOT(ISNUMBER(T3434)),"PENDING",IF(AF3434&gt;0,"PASS","FAIL"))</x:f>
        <x:v>PASS</x:v>
      </x:c>
      <x:c r="AH3434" t="str">
        <x:f>IF(NOT(ISNUMBER(T3434)),"Needs supplier cost",IF(K3434&lt;&gt;"In stock","Supplier unavailable",IF(AG3434&lt;&gt;"PASS","BLOCK - GT loss risk","Commercially protected")))</x:f>
        <x:v>Commercially protected</x:v>
      </x:c>
      <x:c r="AI3434" t="str">
        <x:v>2026-09-10 Active Sports trade capture</x:v>
      </x:c>
      <x:c r="AJ3434" t="str">
        <x:v>Management-only economics. Stripe stress test uses 1.5% + £0.20 standard UK online-card fee; pallet/mix-and-match pricing ignored.</x:v>
      </x:c>
    </x:row>
    <x:row r="3435">
      <x:c r="A3435" t="str">
        <x:v>Active Sports Nutrition</x:v>
      </x:c>
      <x:c r="B3435" t="str">
        <x:v>Mountain Joes</x:v>
      </x:c>
      <x:c r="C3435" t="str">
        <x:v>Protein Bars</x:v>
      </x:c>
      <x:c r="D3435" t="str">
        <x:v>Food &amp; Drinks</x:v>
      </x:c>
      <x:c r="E3435" t="str">
        <x:v>Protein Bars</x:v>
      </x:c>
      <x:c r="F3435" t="str"/>
      <x:c r="G3435" t="str">
        <x:v>12 x 55g bars</x:v>
      </x:c>
      <x:c r="H3435" t="str">
        <x:v>Caramel Biscuit</x:v>
      </x:c>
      <x:c r="I3435" t="str">
        <x:v>12</x:v>
      </x:c>
      <x:c r="J3435" t="str">
        <x:v>Case</x:v>
      </x:c>
      <x:c r="K3435" t="str">
        <x:v>In stock</x:v>
      </x:c>
      <x:c r="L3435" t="str">
        <x:v>2026-09-08</x:v>
      </x:c>
      <x:c r="M3435" t="str"/>
      <x:c r="N3435" t="str"/>
      <x:c r="O3435" t="str">
        <x:v>https://www.activesportstrade.co.uk/Protein-Bars</x:v>
      </x:c>
      <x:c r="P3435" t="str"/>
      <x:c r="Q3435" t="str"/>
      <x:c r="R3435" t="str"/>
      <x:c r="S3435" t="str">
        <x:v>Pending genuine supplier/brand image</x:v>
      </x:c>
      <x:c r="T3435" s="54" t="n">
        <x:v>13.99</x:v>
      </x:c>
      <x:c r="U3435" s="47" t="n">
        <x:v>0.2</x:v>
      </x:c>
      <x:c r="V3435" s="54" t="n">
        <x:f>IF(ISNUMBER(T3435),T3435*(1+U3435),"")</x:f>
        <x:v>16.788</x:v>
      </x:c>
      <x:c r="W3435" s="47" t="n">
        <x:v>0.3</x:v>
      </x:c>
      <x:c r="X3435" s="54" t="n">
        <x:f>IF(ISNUMBER(V3435),V3435/(1-W3435),"")</x:f>
        <x:v>23.982857142857146</x:v>
      </x:c>
      <x:c r="Y3435" s="55" t="n">
        <x:f>IF(ISNUMBER(X3435),ROUNDUP(X3435,0),"")</x:f>
        <x:v>24</x:v>
      </x:c>
      <x:c r="Z3435" t="str">
        <x:v>Source match pending</x:v>
      </x:c>
      <x:c r="AA3435" t="str">
        <x:v>screencapture-www-activesportstrade-co-uk-mountain-joes-trade-2026-09-09-18_39_49.png / page-001</x:v>
      </x:c>
      <x:c r="AB3435" s="36" t="n">
        <x:f>IF(ISNUMBER(Y3435),ROUND(Y3435*0.9,2),"")</x:f>
        <x:v>21.6</x:v>
      </x:c>
      <x:c r="AC3435" s="36" t="n">
        <x:f>IF(ISNUMBER(AB3435),ROUND(AB3435-(AB3435*0.015+0.2)-V3435,2),"")</x:f>
        <x:v>4.29</x:v>
      </x:c>
      <x:c r="AD3435" s="36" t="n">
        <x:f>IF(ISNUMBER(Y3435),ROUND(Y3435*0.8,2),"")</x:f>
        <x:v>19.2</x:v>
      </x:c>
      <x:c r="AE3435" s="36" t="n">
        <x:f>IF(ISNUMBER(AD3435),ROUND(AD3435*0.015+0.2,2),"")</x:f>
        <x:v>0.49</x:v>
      </x:c>
      <x:c r="AF3435" s="36" t="n">
        <x:f>IF(ISNUMBER(AD3435),ROUND(AD3435-AE3435-V3435,2),"")</x:f>
        <x:v>1.92</x:v>
      </x:c>
      <x:c r="AG3435" t="str">
        <x:f>IF(NOT(ISNUMBER(T3435)),"PENDING",IF(AF3435&gt;0,"PASS","FAIL"))</x:f>
        <x:v>PASS</x:v>
      </x:c>
      <x:c r="AH3435" t="str">
        <x:f>IF(NOT(ISNUMBER(T3435)),"Needs supplier cost",IF(K3435&lt;&gt;"In stock","Supplier unavailable",IF(AG3435&lt;&gt;"PASS","BLOCK - GT loss risk","Commercially protected")))</x:f>
        <x:v>Commercially protected</x:v>
      </x:c>
      <x:c r="AI3435" t="str">
        <x:v>2026-09-10 Active Sports trade capture</x:v>
      </x:c>
      <x:c r="AJ3435" t="str">
        <x:v>Management-only economics. Stripe stress test uses 1.5% + £0.20 standard UK online-card fee; pallet/mix-and-match pricing ignored.</x:v>
      </x:c>
    </x:row>
    <x:row r="3436">
      <x:c r="A3436" t="str">
        <x:v>Active Sports Nutrition</x:v>
      </x:c>
      <x:c r="B3436" t="str">
        <x:v>Mountain Joes</x:v>
      </x:c>
      <x:c r="C3436" t="str">
        <x:v>Protein Bars</x:v>
      </x:c>
      <x:c r="D3436" t="str">
        <x:v>Food &amp; Drinks</x:v>
      </x:c>
      <x:c r="E3436" t="str">
        <x:v>Protein Bars</x:v>
      </x:c>
      <x:c r="F3436" t="str"/>
      <x:c r="G3436" t="str">
        <x:v>12 x 55g bars</x:v>
      </x:c>
      <x:c r="H3436" t="str">
        <x:v>Chocolate Candy Creme</x:v>
      </x:c>
      <x:c r="I3436" t="str">
        <x:v>12</x:v>
      </x:c>
      <x:c r="J3436" t="str">
        <x:v>Case</x:v>
      </x:c>
      <x:c r="K3436" t="str">
        <x:v>In stock</x:v>
      </x:c>
      <x:c r="L3436" t="str">
        <x:v>2026-09-08</x:v>
      </x:c>
      <x:c r="M3436" t="str"/>
      <x:c r="N3436" t="str"/>
      <x:c r="O3436" t="str">
        <x:v>https://www.activesportstrade.co.uk/Protein-Bars</x:v>
      </x:c>
      <x:c r="P3436" t="str"/>
      <x:c r="Q3436" t="str"/>
      <x:c r="R3436" t="str"/>
      <x:c r="S3436" t="str">
        <x:v>Pending genuine supplier/brand image</x:v>
      </x:c>
      <x:c r="T3436" s="54" t="n">
        <x:v>13.99</x:v>
      </x:c>
      <x:c r="U3436" s="47" t="n">
        <x:v>0.2</x:v>
      </x:c>
      <x:c r="V3436" s="54" t="n">
        <x:f>IF(ISNUMBER(T3436),T3436*(1+U3436),"")</x:f>
        <x:v>16.788</x:v>
      </x:c>
      <x:c r="W3436" s="47" t="n">
        <x:v>0.3</x:v>
      </x:c>
      <x:c r="X3436" s="54" t="n">
        <x:f>IF(ISNUMBER(V3436),V3436/(1-W3436),"")</x:f>
        <x:v>23.982857142857146</x:v>
      </x:c>
      <x:c r="Y3436" s="55" t="n">
        <x:f>IF(ISNUMBER(X3436),ROUNDUP(X3436,0),"")</x:f>
        <x:v>24</x:v>
      </x:c>
      <x:c r="Z3436" t="str">
        <x:v>Source match pending</x:v>
      </x:c>
      <x:c r="AA3436" t="str">
        <x:v>screencapture-www-activesportstrade-co-uk-mountain-joes-trade-2026-09-09-18_39_49.png / page-001</x:v>
      </x:c>
      <x:c r="AB3436" s="36" t="n">
        <x:f>IF(ISNUMBER(Y3436),ROUND(Y3436*0.9,2),"")</x:f>
        <x:v>21.6</x:v>
      </x:c>
      <x:c r="AC3436" s="36" t="n">
        <x:f>IF(ISNUMBER(AB3436),ROUND(AB3436-(AB3436*0.015+0.2)-V3436,2),"")</x:f>
        <x:v>4.29</x:v>
      </x:c>
      <x:c r="AD3436" s="36" t="n">
        <x:f>IF(ISNUMBER(Y3436),ROUND(Y3436*0.8,2),"")</x:f>
        <x:v>19.2</x:v>
      </x:c>
      <x:c r="AE3436" s="36" t="n">
        <x:f>IF(ISNUMBER(AD3436),ROUND(AD3436*0.015+0.2,2),"")</x:f>
        <x:v>0.49</x:v>
      </x:c>
      <x:c r="AF3436" s="36" t="n">
        <x:f>IF(ISNUMBER(AD3436),ROUND(AD3436-AE3436-V3436,2),"")</x:f>
        <x:v>1.92</x:v>
      </x:c>
      <x:c r="AG3436" t="str">
        <x:f>IF(NOT(ISNUMBER(T3436)),"PENDING",IF(AF3436&gt;0,"PASS","FAIL"))</x:f>
        <x:v>PASS</x:v>
      </x:c>
      <x:c r="AH3436" t="str">
        <x:f>IF(NOT(ISNUMBER(T3436)),"Needs supplier cost",IF(K3436&lt;&gt;"In stock","Supplier unavailable",IF(AG3436&lt;&gt;"PASS","BLOCK - GT loss risk","Commercially protected")))</x:f>
        <x:v>Commercially protected</x:v>
      </x:c>
      <x:c r="AI3436" t="str">
        <x:v>2026-09-10 Active Sports trade capture</x:v>
      </x:c>
      <x:c r="AJ3436" t="str">
        <x:v>Management-only economics. Stripe stress test uses 1.5% + £0.20 standard UK online-card fee; pallet/mix-and-match pricing ignored.</x:v>
      </x:c>
    </x:row>
    <x:row r="3437">
      <x:c r="A3437" t="str">
        <x:v>Active Sports Nutrition</x:v>
      </x:c>
      <x:c r="B3437" t="str">
        <x:v>Mountain Joes</x:v>
      </x:c>
      <x:c r="C3437" t="str">
        <x:v>Protein Bars</x:v>
      </x:c>
      <x:c r="D3437" t="str">
        <x:v>Food &amp; Drinks</x:v>
      </x:c>
      <x:c r="E3437" t="str">
        <x:v>Protein Bars</x:v>
      </x:c>
      <x:c r="F3437" t="str"/>
      <x:c r="G3437" t="str">
        <x:v>12 x 55g bars</x:v>
      </x:c>
      <x:c r="H3437" t="str">
        <x:v>Chocolate EGG'splosion</x:v>
      </x:c>
      <x:c r="I3437" t="str">
        <x:v>12</x:v>
      </x:c>
      <x:c r="J3437" t="str">
        <x:v>Case</x:v>
      </x:c>
      <x:c r="K3437" t="str">
        <x:v>In stock</x:v>
      </x:c>
      <x:c r="L3437" t="str">
        <x:v>2026-09-08</x:v>
      </x:c>
      <x:c r="M3437" t="str"/>
      <x:c r="N3437" t="str"/>
      <x:c r="O3437" t="str">
        <x:v>https://www.activesportstrade.co.uk/Protein-Bars</x:v>
      </x:c>
      <x:c r="P3437" t="str"/>
      <x:c r="Q3437" t="str"/>
      <x:c r="R3437" t="str"/>
      <x:c r="S3437" t="str">
        <x:v>Pending genuine supplier/brand image</x:v>
      </x:c>
      <x:c r="T3437" s="54" t="n">
        <x:v>13.99</x:v>
      </x:c>
      <x:c r="U3437" s="47" t="n">
        <x:v>0.2</x:v>
      </x:c>
      <x:c r="V3437" s="54" t="n">
        <x:f>IF(ISNUMBER(T3437),T3437*(1+U3437),"")</x:f>
        <x:v>16.788</x:v>
      </x:c>
      <x:c r="W3437" s="47" t="n">
        <x:v>0.3</x:v>
      </x:c>
      <x:c r="X3437" s="54" t="n">
        <x:f>IF(ISNUMBER(V3437),V3437/(1-W3437),"")</x:f>
        <x:v>23.982857142857146</x:v>
      </x:c>
      <x:c r="Y3437" s="55" t="n">
        <x:f>IF(ISNUMBER(X3437),ROUNDUP(X3437,0),"")</x:f>
        <x:v>24</x:v>
      </x:c>
      <x:c r="Z3437" t="str">
        <x:v>Source match pending</x:v>
      </x:c>
      <x:c r="AA3437" t="str">
        <x:v>screencapture-www-activesportstrade-co-uk-mountain-joes-trade-2026-09-09-18_39_49.png / page-001</x:v>
      </x:c>
      <x:c r="AB3437" s="36" t="n">
        <x:f>IF(ISNUMBER(Y3437),ROUND(Y3437*0.9,2),"")</x:f>
        <x:v>21.6</x:v>
      </x:c>
      <x:c r="AC3437" s="36" t="n">
        <x:f>IF(ISNUMBER(AB3437),ROUND(AB3437-(AB3437*0.015+0.2)-V3437,2),"")</x:f>
        <x:v>4.29</x:v>
      </x:c>
      <x:c r="AD3437" s="36" t="n">
        <x:f>IF(ISNUMBER(Y3437),ROUND(Y3437*0.8,2),"")</x:f>
        <x:v>19.2</x:v>
      </x:c>
      <x:c r="AE3437" s="36" t="n">
        <x:f>IF(ISNUMBER(AD3437),ROUND(AD3437*0.015+0.2,2),"")</x:f>
        <x:v>0.49</x:v>
      </x:c>
      <x:c r="AF3437" s="36" t="n">
        <x:f>IF(ISNUMBER(AD3437),ROUND(AD3437-AE3437-V3437,2),"")</x:f>
        <x:v>1.92</x:v>
      </x:c>
      <x:c r="AG3437" t="str">
        <x:f>IF(NOT(ISNUMBER(T3437)),"PENDING",IF(AF3437&gt;0,"PASS","FAIL"))</x:f>
        <x:v>PASS</x:v>
      </x:c>
      <x:c r="AH3437" t="str">
        <x:f>IF(NOT(ISNUMBER(T3437)),"Needs supplier cost",IF(K3437&lt;&gt;"In stock","Supplier unavailable",IF(AG3437&lt;&gt;"PASS","BLOCK - GT loss risk","Commercially protected")))</x:f>
        <x:v>Commercially protected</x:v>
      </x:c>
      <x:c r="AI3437" t="str">
        <x:v>2026-09-10 Active Sports trade capture</x:v>
      </x:c>
      <x:c r="AJ3437" t="str">
        <x:v>Management-only economics. Stripe stress test uses 1.5% + £0.20 standard UK online-card fee; pallet/mix-and-match pricing ignored.</x:v>
      </x:c>
    </x:row>
    <x:row r="3438">
      <x:c r="A3438" t="str">
        <x:v>Active Sports Nutrition</x:v>
      </x:c>
      <x:c r="B3438" t="str">
        <x:v>Mountain Joes</x:v>
      </x:c>
      <x:c r="C3438" t="str">
        <x:v>Protein Bars</x:v>
      </x:c>
      <x:c r="D3438" t="str">
        <x:v>Food &amp; Drinks</x:v>
      </x:c>
      <x:c r="E3438" t="str">
        <x:v>Protein Bars</x:v>
      </x:c>
      <x:c r="F3438" t="str"/>
      <x:c r="G3438" t="str">
        <x:v>12 x 55g bars</x:v>
      </x:c>
      <x:c r="H3438" t="str">
        <x:v>Chocolate Hazelnut</x:v>
      </x:c>
      <x:c r="I3438" t="str">
        <x:v>12</x:v>
      </x:c>
      <x:c r="J3438" t="str">
        <x:v>Case</x:v>
      </x:c>
      <x:c r="K3438" t="str">
        <x:v>In stock</x:v>
      </x:c>
      <x:c r="L3438" t="str">
        <x:v>2026-09-08</x:v>
      </x:c>
      <x:c r="M3438" t="str"/>
      <x:c r="N3438" t="str"/>
      <x:c r="O3438" t="str">
        <x:v>https://www.activesportstrade.co.uk/Protein-Bars</x:v>
      </x:c>
      <x:c r="P3438" t="str"/>
      <x:c r="Q3438" t="str"/>
      <x:c r="R3438" t="str"/>
      <x:c r="S3438" t="str">
        <x:v>Pending genuine supplier/brand image</x:v>
      </x:c>
      <x:c r="T3438" s="54" t="n">
        <x:v>13.99</x:v>
      </x:c>
      <x:c r="U3438" s="47" t="n">
        <x:v>0.2</x:v>
      </x:c>
      <x:c r="V3438" s="54" t="n">
        <x:f>IF(ISNUMBER(T3438),T3438*(1+U3438),"")</x:f>
        <x:v>16.788</x:v>
      </x:c>
      <x:c r="W3438" s="47" t="n">
        <x:v>0.3</x:v>
      </x:c>
      <x:c r="X3438" s="54" t="n">
        <x:f>IF(ISNUMBER(V3438),V3438/(1-W3438),"")</x:f>
        <x:v>23.982857142857146</x:v>
      </x:c>
      <x:c r="Y3438" s="55" t="n">
        <x:f>IF(ISNUMBER(X3438),ROUNDUP(X3438,0),"")</x:f>
        <x:v>24</x:v>
      </x:c>
      <x:c r="Z3438" t="str">
        <x:v>Source match pending</x:v>
      </x:c>
      <x:c r="AA3438" t="str">
        <x:v>screencapture-www-activesportstrade-co-uk-mountain-joes-trade-2026-09-09-18_39_49.png / page-001</x:v>
      </x:c>
      <x:c r="AB3438" s="36" t="n">
        <x:f>IF(ISNUMBER(Y3438),ROUND(Y3438*0.9,2),"")</x:f>
        <x:v>21.6</x:v>
      </x:c>
      <x:c r="AC3438" s="36" t="n">
        <x:f>IF(ISNUMBER(AB3438),ROUND(AB3438-(AB3438*0.015+0.2)-V3438,2),"")</x:f>
        <x:v>4.29</x:v>
      </x:c>
      <x:c r="AD3438" s="36" t="n">
        <x:f>IF(ISNUMBER(Y3438),ROUND(Y3438*0.8,2),"")</x:f>
        <x:v>19.2</x:v>
      </x:c>
      <x:c r="AE3438" s="36" t="n">
        <x:f>IF(ISNUMBER(AD3438),ROUND(AD3438*0.015+0.2,2),"")</x:f>
        <x:v>0.49</x:v>
      </x:c>
      <x:c r="AF3438" s="36" t="n">
        <x:f>IF(ISNUMBER(AD3438),ROUND(AD3438-AE3438-V3438,2),"")</x:f>
        <x:v>1.92</x:v>
      </x:c>
      <x:c r="AG3438" t="str">
        <x:f>IF(NOT(ISNUMBER(T3438)),"PENDING",IF(AF3438&gt;0,"PASS","FAIL"))</x:f>
        <x:v>PASS</x:v>
      </x:c>
      <x:c r="AH3438" t="str">
        <x:f>IF(NOT(ISNUMBER(T3438)),"Needs supplier cost",IF(K3438&lt;&gt;"In stock","Supplier unavailable",IF(AG3438&lt;&gt;"PASS","BLOCK - GT loss risk","Commercially protected")))</x:f>
        <x:v>Commercially protected</x:v>
      </x:c>
      <x:c r="AI3438" t="str">
        <x:v>2026-09-10 Active Sports trade capture</x:v>
      </x:c>
      <x:c r="AJ3438" t="str">
        <x:v>Management-only economics. Stripe stress test uses 1.5% + £0.20 standard UK online-card fee; pallet/mix-and-match pricing ignored.</x:v>
      </x:c>
    </x:row>
    <x:row r="3439">
      <x:c r="A3439" t="str">
        <x:v>Active Sports Nutrition</x:v>
      </x:c>
      <x:c r="B3439" t="str">
        <x:v>Mountain Joes</x:v>
      </x:c>
      <x:c r="C3439" t="str">
        <x:v>Protein Bars</x:v>
      </x:c>
      <x:c r="D3439" t="str">
        <x:v>Food &amp; Drinks</x:v>
      </x:c>
      <x:c r="E3439" t="str">
        <x:v>Protein Bars</x:v>
      </x:c>
      <x:c r="F3439" t="str"/>
      <x:c r="G3439" t="str">
        <x:v>12 x 55g bars</x:v>
      </x:c>
      <x:c r="H3439" t="str">
        <x:v>Chocolate Honeycomb</x:v>
      </x:c>
      <x:c r="I3439" t="str">
        <x:v>12</x:v>
      </x:c>
      <x:c r="J3439" t="str">
        <x:v>Case</x:v>
      </x:c>
      <x:c r="K3439" t="str">
        <x:v>Out of stock</x:v>
      </x:c>
      <x:c r="L3439" t="str">
        <x:v>2026-09-08</x:v>
      </x:c>
      <x:c r="M3439" t="str"/>
      <x:c r="N3439" t="str"/>
      <x:c r="O3439" t="str">
        <x:v>https://www.activesportstrade.co.uk/Protein-Bars</x:v>
      </x:c>
      <x:c r="P3439" t="str"/>
      <x:c r="Q3439" t="str"/>
      <x:c r="R3439" t="str"/>
      <x:c r="S3439" t="str">
        <x:v>Pending genuine supplier/brand image</x:v>
      </x:c>
      <x:c r="T3439" s="54" t="n">
        <x:v>13.99</x:v>
      </x:c>
      <x:c r="U3439" s="47" t="n">
        <x:v>0.2</x:v>
      </x:c>
      <x:c r="V3439" s="54" t="n">
        <x:f>IF(ISNUMBER(T3439),T3439*(1+U3439),"")</x:f>
        <x:v>16.788</x:v>
      </x:c>
      <x:c r="W3439" s="47" t="n">
        <x:v>0.3</x:v>
      </x:c>
      <x:c r="X3439" s="54" t="n">
        <x:f>IF(ISNUMBER(V3439),V3439/(1-W3439),"")</x:f>
        <x:v>23.982857142857146</x:v>
      </x:c>
      <x:c r="Y3439" s="55" t="n">
        <x:f>IF(ISNUMBER(X3439),ROUNDUP(X3439,0),"")</x:f>
        <x:v>24</x:v>
      </x:c>
      <x:c r="Z3439" t="str">
        <x:v>Source match pending</x:v>
      </x:c>
      <x:c r="AA3439" t="str">
        <x:v>screencapture-www-activesportstrade-co-uk-mountain-joes-trade-2026-09-09-18_39_49.png / page-001</x:v>
      </x:c>
      <x:c r="AB3439" s="36" t="n">
        <x:f>IF(ISNUMBER(Y3439),ROUND(Y3439*0.9,2),"")</x:f>
        <x:v>21.6</x:v>
      </x:c>
      <x:c r="AC3439" s="36" t="n">
        <x:f>IF(ISNUMBER(AB3439),ROUND(AB3439-(AB3439*0.015+0.2)-V3439,2),"")</x:f>
        <x:v>4.29</x:v>
      </x:c>
      <x:c r="AD3439" s="36" t="n">
        <x:f>IF(ISNUMBER(Y3439),ROUND(Y3439*0.8,2),"")</x:f>
        <x:v>19.2</x:v>
      </x:c>
      <x:c r="AE3439" s="36" t="n">
        <x:f>IF(ISNUMBER(AD3439),ROUND(AD3439*0.015+0.2,2),"")</x:f>
        <x:v>0.49</x:v>
      </x:c>
      <x:c r="AF3439" s="36" t="n">
        <x:f>IF(ISNUMBER(AD3439),ROUND(AD3439-AE3439-V3439,2),"")</x:f>
        <x:v>1.92</x:v>
      </x:c>
      <x:c r="AG3439" t="str">
        <x:f>IF(NOT(ISNUMBER(T3439)),"PENDING",IF(AF3439&gt;0,"PASS","FAIL"))</x:f>
        <x:v>PASS</x:v>
      </x:c>
      <x:c r="AH3439" t="str">
        <x:f>IF(NOT(ISNUMBER(T3439)),"Needs supplier cost",IF(K3439&lt;&gt;"In stock","Supplier unavailable",IF(AG3439&lt;&gt;"PASS","BLOCK - GT loss risk","Commercially protected")))</x:f>
        <x:v>Supplier unavailable</x:v>
      </x:c>
      <x:c r="AI3439" t="str">
        <x:v>2026-09-10 Active Sports trade capture</x:v>
      </x:c>
      <x:c r="AJ3439" t="str">
        <x:v>Management-only economics. Stripe stress test uses 1.5% + £0.20 standard UK online-card fee; pallet/mix-and-match pricing ignored.</x:v>
      </x:c>
    </x:row>
    <x:row r="3440">
      <x:c r="A3440" t="str">
        <x:v>Active Sports Nutrition</x:v>
      </x:c>
      <x:c r="B3440" t="str">
        <x:v>Mountain Joes</x:v>
      </x:c>
      <x:c r="C3440" t="str">
        <x:v>Protein Bars</x:v>
      </x:c>
      <x:c r="D3440" t="str">
        <x:v>Food &amp; Drinks</x:v>
      </x:c>
      <x:c r="E3440" t="str">
        <x:v>Protein Bars</x:v>
      </x:c>
      <x:c r="F3440" t="str"/>
      <x:c r="G3440" t="str">
        <x:v>12 x 55g bars</x:v>
      </x:c>
      <x:c r="H3440" t="str">
        <x:v>Cookies &amp; Cream</x:v>
      </x:c>
      <x:c r="I3440" t="str">
        <x:v>12</x:v>
      </x:c>
      <x:c r="J3440" t="str">
        <x:v>Case</x:v>
      </x:c>
      <x:c r="K3440" t="str">
        <x:v>In stock</x:v>
      </x:c>
      <x:c r="L3440" t="str">
        <x:v>2026-09-08</x:v>
      </x:c>
      <x:c r="M3440" t="str"/>
      <x:c r="N3440" t="str"/>
      <x:c r="O3440" t="str">
        <x:v>https://www.activesportstrade.co.uk/Protein-Bars</x:v>
      </x:c>
      <x:c r="P3440" t="str"/>
      <x:c r="Q3440" t="str"/>
      <x:c r="R3440" t="str"/>
      <x:c r="S3440" t="str">
        <x:v>Pending genuine supplier/brand image</x:v>
      </x:c>
      <x:c r="T3440" s="54" t="n">
        <x:v>13.99</x:v>
      </x:c>
      <x:c r="U3440" s="47" t="n">
        <x:v>0.2</x:v>
      </x:c>
      <x:c r="V3440" s="54" t="n">
        <x:f>IF(ISNUMBER(T3440),T3440*(1+U3440),"")</x:f>
        <x:v>16.788</x:v>
      </x:c>
      <x:c r="W3440" s="47" t="n">
        <x:v>0.3</x:v>
      </x:c>
      <x:c r="X3440" s="54" t="n">
        <x:f>IF(ISNUMBER(V3440),V3440/(1-W3440),"")</x:f>
        <x:v>23.982857142857146</x:v>
      </x:c>
      <x:c r="Y3440" s="55" t="n">
        <x:f>IF(ISNUMBER(X3440),ROUNDUP(X3440,0),"")</x:f>
        <x:v>24</x:v>
      </x:c>
      <x:c r="Z3440" t="str">
        <x:v>Source match pending</x:v>
      </x:c>
      <x:c r="AA3440" t="str">
        <x:v>screencapture-www-activesportstrade-co-uk-mountain-joes-trade-2026-09-09-18_39_49.png / page-001</x:v>
      </x:c>
      <x:c r="AB3440" s="36" t="n">
        <x:f>IF(ISNUMBER(Y3440),ROUND(Y3440*0.9,2),"")</x:f>
        <x:v>21.6</x:v>
      </x:c>
      <x:c r="AC3440" s="36" t="n">
        <x:f>IF(ISNUMBER(AB3440),ROUND(AB3440-(AB3440*0.015+0.2)-V3440,2),"")</x:f>
        <x:v>4.29</x:v>
      </x:c>
      <x:c r="AD3440" s="36" t="n">
        <x:f>IF(ISNUMBER(Y3440),ROUND(Y3440*0.8,2),"")</x:f>
        <x:v>19.2</x:v>
      </x:c>
      <x:c r="AE3440" s="36" t="n">
        <x:f>IF(ISNUMBER(AD3440),ROUND(AD3440*0.015+0.2,2),"")</x:f>
        <x:v>0.49</x:v>
      </x:c>
      <x:c r="AF3440" s="36" t="n">
        <x:f>IF(ISNUMBER(AD3440),ROUND(AD3440-AE3440-V3440,2),"")</x:f>
        <x:v>1.92</x:v>
      </x:c>
      <x:c r="AG3440" t="str">
        <x:f>IF(NOT(ISNUMBER(T3440)),"PENDING",IF(AF3440&gt;0,"PASS","FAIL"))</x:f>
        <x:v>PASS</x:v>
      </x:c>
      <x:c r="AH3440" t="str">
        <x:f>IF(NOT(ISNUMBER(T3440)),"Needs supplier cost",IF(K3440&lt;&gt;"In stock","Supplier unavailable",IF(AG3440&lt;&gt;"PASS","BLOCK - GT loss risk","Commercially protected")))</x:f>
        <x:v>Commercially protected</x:v>
      </x:c>
      <x:c r="AI3440" t="str">
        <x:v>2026-09-10 Active Sports trade capture</x:v>
      </x:c>
      <x:c r="AJ3440" t="str">
        <x:v>Management-only economics. Stripe stress test uses 1.5% + £0.20 standard UK online-card fee; pallet/mix-and-match pricing ignored.</x:v>
      </x:c>
    </x:row>
    <x:row r="3441">
      <x:c r="A3441" t="str">
        <x:v>Active Sports Nutrition</x:v>
      </x:c>
      <x:c r="B3441" t="str">
        <x:v>Mountain Joes</x:v>
      </x:c>
      <x:c r="C3441" t="str">
        <x:v>Protein Bars</x:v>
      </x:c>
      <x:c r="D3441" t="str">
        <x:v>Food &amp; Drinks</x:v>
      </x:c>
      <x:c r="E3441" t="str">
        <x:v>Protein Bars</x:v>
      </x:c>
      <x:c r="F3441" t="str"/>
      <x:c r="G3441" t="str">
        <x:v>12 x 55g bars</x:v>
      </x:c>
      <x:c r="H3441" t="str">
        <x:v>Dubai Chocolate</x:v>
      </x:c>
      <x:c r="I3441" t="str">
        <x:v>12</x:v>
      </x:c>
      <x:c r="J3441" t="str">
        <x:v>Case</x:v>
      </x:c>
      <x:c r="K3441" t="str">
        <x:v>In stock</x:v>
      </x:c>
      <x:c r="L3441" t="str">
        <x:v>2026-09-08</x:v>
      </x:c>
      <x:c r="M3441" t="str"/>
      <x:c r="N3441" t="str"/>
      <x:c r="O3441" t="str">
        <x:v>https://www.activesportstrade.co.uk/Protein-Bars</x:v>
      </x:c>
      <x:c r="P3441" t="str"/>
      <x:c r="Q3441" t="str"/>
      <x:c r="R3441" t="str"/>
      <x:c r="S3441" t="str">
        <x:v>Pending genuine supplier/brand image</x:v>
      </x:c>
      <x:c r="T3441" s="54" t="n">
        <x:v>13.99</x:v>
      </x:c>
      <x:c r="U3441" s="47" t="n">
        <x:v>0.2</x:v>
      </x:c>
      <x:c r="V3441" s="54" t="n">
        <x:f>IF(ISNUMBER(T3441),T3441*(1+U3441),"")</x:f>
        <x:v>16.788</x:v>
      </x:c>
      <x:c r="W3441" s="47" t="n">
        <x:v>0.3</x:v>
      </x:c>
      <x:c r="X3441" s="54" t="n">
        <x:f>IF(ISNUMBER(V3441),V3441/(1-W3441),"")</x:f>
        <x:v>23.982857142857146</x:v>
      </x:c>
      <x:c r="Y3441" s="55" t="n">
        <x:f>IF(ISNUMBER(X3441),ROUNDUP(X3441,0),"")</x:f>
        <x:v>24</x:v>
      </x:c>
      <x:c r="Z3441" t="str">
        <x:v>Source match pending</x:v>
      </x:c>
      <x:c r="AA3441" t="str">
        <x:v>screencapture-www-activesportstrade-co-uk-mountain-joes-trade-2026-09-09-18_39_49.png / page-001</x:v>
      </x:c>
      <x:c r="AB3441" s="36" t="n">
        <x:f>IF(ISNUMBER(Y3441),ROUND(Y3441*0.9,2),"")</x:f>
        <x:v>21.6</x:v>
      </x:c>
      <x:c r="AC3441" s="36" t="n">
        <x:f>IF(ISNUMBER(AB3441),ROUND(AB3441-(AB3441*0.015+0.2)-V3441,2),"")</x:f>
        <x:v>4.29</x:v>
      </x:c>
      <x:c r="AD3441" s="36" t="n">
        <x:f>IF(ISNUMBER(Y3441),ROUND(Y3441*0.8,2),"")</x:f>
        <x:v>19.2</x:v>
      </x:c>
      <x:c r="AE3441" s="36" t="n">
        <x:f>IF(ISNUMBER(AD3441),ROUND(AD3441*0.015+0.2,2),"")</x:f>
        <x:v>0.49</x:v>
      </x:c>
      <x:c r="AF3441" s="36" t="n">
        <x:f>IF(ISNUMBER(AD3441),ROUND(AD3441-AE3441-V3441,2),"")</x:f>
        <x:v>1.92</x:v>
      </x:c>
      <x:c r="AG3441" t="str">
        <x:f>IF(NOT(ISNUMBER(T3441)),"PENDING",IF(AF3441&gt;0,"PASS","FAIL"))</x:f>
        <x:v>PASS</x:v>
      </x:c>
      <x:c r="AH3441" t="str">
        <x:f>IF(NOT(ISNUMBER(T3441)),"Needs supplier cost",IF(K3441&lt;&gt;"In stock","Supplier unavailable",IF(AG3441&lt;&gt;"PASS","BLOCK - GT loss risk","Commercially protected")))</x:f>
        <x:v>Commercially protected</x:v>
      </x:c>
      <x:c r="AI3441" t="str">
        <x:v>2026-09-10 Active Sports trade capture</x:v>
      </x:c>
      <x:c r="AJ3441" t="str">
        <x:v>Management-only economics. Stripe stress test uses 1.5% + £0.20 standard UK online-card fee; pallet/mix-and-match pricing ignored.</x:v>
      </x:c>
    </x:row>
    <x:row r="3442">
      <x:c r="A3442" t="str">
        <x:v>Active Sports Nutrition</x:v>
      </x:c>
      <x:c r="B3442" t="str">
        <x:v>Mountain Joes</x:v>
      </x:c>
      <x:c r="C3442" t="str">
        <x:v>Protein Bars</x:v>
      </x:c>
      <x:c r="D3442" t="str">
        <x:v>Food &amp; Drinks</x:v>
      </x:c>
      <x:c r="E3442" t="str">
        <x:v>Protein Bars</x:v>
      </x:c>
      <x:c r="F3442" t="str"/>
      <x:c r="G3442" t="str">
        <x:v>12 x 55g bars</x:v>
      </x:c>
      <x:c r="H3442" t="str">
        <x:v>Raspberry Ripple</x:v>
      </x:c>
      <x:c r="I3442" t="str">
        <x:v>12</x:v>
      </x:c>
      <x:c r="J3442" t="str">
        <x:v>Case</x:v>
      </x:c>
      <x:c r="K3442" t="str">
        <x:v>In stock</x:v>
      </x:c>
      <x:c r="L3442" t="str">
        <x:v>2026-09-08</x:v>
      </x:c>
      <x:c r="M3442" t="str"/>
      <x:c r="N3442" t="str"/>
      <x:c r="O3442" t="str">
        <x:v>https://www.activesportstrade.co.uk/Protein-Bars</x:v>
      </x:c>
      <x:c r="P3442" t="str"/>
      <x:c r="Q3442" t="str"/>
      <x:c r="R3442" t="str"/>
      <x:c r="S3442" t="str">
        <x:v>Pending genuine supplier/brand image</x:v>
      </x:c>
      <x:c r="T3442" s="54" t="n">
        <x:v>13.99</x:v>
      </x:c>
      <x:c r="U3442" s="47" t="n">
        <x:v>0.2</x:v>
      </x:c>
      <x:c r="V3442" s="54" t="n">
        <x:f>IF(ISNUMBER(T3442),T3442*(1+U3442),"")</x:f>
        <x:v>16.788</x:v>
      </x:c>
      <x:c r="W3442" s="47" t="n">
        <x:v>0.3</x:v>
      </x:c>
      <x:c r="X3442" s="54" t="n">
        <x:f>IF(ISNUMBER(V3442),V3442/(1-W3442),"")</x:f>
        <x:v>23.982857142857146</x:v>
      </x:c>
      <x:c r="Y3442" s="55" t="n">
        <x:f>IF(ISNUMBER(X3442),ROUNDUP(X3442,0),"")</x:f>
        <x:v>24</x:v>
      </x:c>
      <x:c r="Z3442" t="str">
        <x:v>Source match pending</x:v>
      </x:c>
      <x:c r="AA3442" t="str">
        <x:v>screencapture-www-activesportstrade-co-uk-mountain-joes-trade-2026-09-09-18_39_49.png / page-001</x:v>
      </x:c>
      <x:c r="AB3442" s="36" t="n">
        <x:f>IF(ISNUMBER(Y3442),ROUND(Y3442*0.9,2),"")</x:f>
        <x:v>21.6</x:v>
      </x:c>
      <x:c r="AC3442" s="36" t="n">
        <x:f>IF(ISNUMBER(AB3442),ROUND(AB3442-(AB3442*0.015+0.2)-V3442,2),"")</x:f>
        <x:v>4.29</x:v>
      </x:c>
      <x:c r="AD3442" s="36" t="n">
        <x:f>IF(ISNUMBER(Y3442),ROUND(Y3442*0.8,2),"")</x:f>
        <x:v>19.2</x:v>
      </x:c>
      <x:c r="AE3442" s="36" t="n">
        <x:f>IF(ISNUMBER(AD3442),ROUND(AD3442*0.015+0.2,2),"")</x:f>
        <x:v>0.49</x:v>
      </x:c>
      <x:c r="AF3442" s="36" t="n">
        <x:f>IF(ISNUMBER(AD3442),ROUND(AD3442-AE3442-V3442,2),"")</x:f>
        <x:v>1.92</x:v>
      </x:c>
      <x:c r="AG3442" t="str">
        <x:f>IF(NOT(ISNUMBER(T3442)),"PENDING",IF(AF3442&gt;0,"PASS","FAIL"))</x:f>
        <x:v>PASS</x:v>
      </x:c>
      <x:c r="AH3442" t="str">
        <x:f>IF(NOT(ISNUMBER(T3442)),"Needs supplier cost",IF(K3442&lt;&gt;"In stock","Supplier unavailable",IF(AG3442&lt;&gt;"PASS","BLOCK - GT loss risk","Commercially protected")))</x:f>
        <x:v>Commercially protected</x:v>
      </x:c>
      <x:c r="AI3442" t="str">
        <x:v>2026-09-10 Active Sports trade capture</x:v>
      </x:c>
      <x:c r="AJ3442" t="str">
        <x:v>Management-only economics. Stripe stress test uses 1.5% + £0.20 standard UK online-card fee; pallet/mix-and-match pricing ignored.</x:v>
      </x:c>
    </x:row>
    <x:row r="3443">
      <x:c r="A3443" t="str">
        <x:v>Active Sports Nutrition</x:v>
      </x:c>
      <x:c r="B3443" t="str">
        <x:v>Mountain Joes</x:v>
      </x:c>
      <x:c r="C3443" t="str">
        <x:v>Protein Bars</x:v>
      </x:c>
      <x:c r="D3443" t="str">
        <x:v>Food &amp; Drinks</x:v>
      </x:c>
      <x:c r="E3443" t="str">
        <x:v>Protein Bars</x:v>
      </x:c>
      <x:c r="F3443" t="str"/>
      <x:c r="G3443" t="str">
        <x:v>12 x 55g bars</x:v>
      </x:c>
      <x:c r="H3443" t="str">
        <x:v>White Chocolate Salted Peanut</x:v>
      </x:c>
      <x:c r="I3443" t="str">
        <x:v>12</x:v>
      </x:c>
      <x:c r="J3443" t="str">
        <x:v>Case</x:v>
      </x:c>
      <x:c r="K3443" t="str">
        <x:v>Out of stock</x:v>
      </x:c>
      <x:c r="L3443" t="str">
        <x:v>2026-09-08</x:v>
      </x:c>
      <x:c r="M3443" t="str"/>
      <x:c r="N3443" t="str"/>
      <x:c r="O3443" t="str">
        <x:v>https://www.activesportstrade.co.uk/Protein-Bars</x:v>
      </x:c>
      <x:c r="P3443" t="str"/>
      <x:c r="Q3443" t="str"/>
      <x:c r="R3443" t="str"/>
      <x:c r="S3443" t="str">
        <x:v>Pending genuine supplier/brand image</x:v>
      </x:c>
      <x:c r="T3443" s="54" t="n">
        <x:v>13.99</x:v>
      </x:c>
      <x:c r="U3443" s="47" t="n">
        <x:v>0.2</x:v>
      </x:c>
      <x:c r="V3443" s="54" t="n">
        <x:f>IF(ISNUMBER(T3443),T3443*(1+U3443),"")</x:f>
        <x:v>16.788</x:v>
      </x:c>
      <x:c r="W3443" s="47" t="n">
        <x:v>0.3</x:v>
      </x:c>
      <x:c r="X3443" s="54" t="n">
        <x:f>IF(ISNUMBER(V3443),V3443/(1-W3443),"")</x:f>
        <x:v>23.982857142857146</x:v>
      </x:c>
      <x:c r="Y3443" s="55" t="n">
        <x:f>IF(ISNUMBER(X3443),ROUNDUP(X3443,0),"")</x:f>
        <x:v>24</x:v>
      </x:c>
      <x:c r="Z3443" t="str">
        <x:v>Source match pending</x:v>
      </x:c>
      <x:c r="AA3443" t="str">
        <x:v>screencapture-www-activesportstrade-co-uk-mountain-joes-trade-2026-09-09-18_39_49.png / page-001</x:v>
      </x:c>
      <x:c r="AB3443" s="36" t="n">
        <x:f>IF(ISNUMBER(Y3443),ROUND(Y3443*0.9,2),"")</x:f>
        <x:v>21.6</x:v>
      </x:c>
      <x:c r="AC3443" s="36" t="n">
        <x:f>IF(ISNUMBER(AB3443),ROUND(AB3443-(AB3443*0.015+0.2)-V3443,2),"")</x:f>
        <x:v>4.29</x:v>
      </x:c>
      <x:c r="AD3443" s="36" t="n">
        <x:f>IF(ISNUMBER(Y3443),ROUND(Y3443*0.8,2),"")</x:f>
        <x:v>19.2</x:v>
      </x:c>
      <x:c r="AE3443" s="36" t="n">
        <x:f>IF(ISNUMBER(AD3443),ROUND(AD3443*0.015+0.2,2),"")</x:f>
        <x:v>0.49</x:v>
      </x:c>
      <x:c r="AF3443" s="36" t="n">
        <x:f>IF(ISNUMBER(AD3443),ROUND(AD3443-AE3443-V3443,2),"")</x:f>
        <x:v>1.92</x:v>
      </x:c>
      <x:c r="AG3443" t="str">
        <x:f>IF(NOT(ISNUMBER(T3443)),"PENDING",IF(AF3443&gt;0,"PASS","FAIL"))</x:f>
        <x:v>PASS</x:v>
      </x:c>
      <x:c r="AH3443" t="str">
        <x:f>IF(NOT(ISNUMBER(T3443)),"Needs supplier cost",IF(K3443&lt;&gt;"In stock","Supplier unavailable",IF(AG3443&lt;&gt;"PASS","BLOCK - GT loss risk","Commercially protected")))</x:f>
        <x:v>Supplier unavailable</x:v>
      </x:c>
      <x:c r="AI3443" t="str">
        <x:v>2026-09-10 Active Sports trade capture</x:v>
      </x:c>
      <x:c r="AJ3443" t="str">
        <x:v>Management-only economics. Stripe stress test uses 1.5% + £0.20 standard UK online-card fee; pallet/mix-and-match pricing ignored.</x:v>
      </x:c>
    </x:row>
    <x:row r="3444">
      <x:c r="A3444" t="str">
        <x:v>Active Sports Nutrition</x:v>
      </x:c>
      <x:c r="B3444" t="str">
        <x:v>Mountain Joes</x:v>
      </x:c>
      <x:c r="C3444" t="str">
        <x:v>Protein Brownie</x:v>
      </x:c>
      <x:c r="D3444" t="str">
        <x:v>Food &amp; Drinks</x:v>
      </x:c>
      <x:c r="E3444" t="str">
        <x:v>Protein Brownies</x:v>
      </x:c>
      <x:c r="F3444" t="str"/>
      <x:c r="G3444" t="str">
        <x:v>10 x 60g bars</x:v>
      </x:c>
      <x:c r="H3444" t="str">
        <x:v>Chocolate Caramel</x:v>
      </x:c>
      <x:c r="I3444" t="str">
        <x:v>10</x:v>
      </x:c>
      <x:c r="J3444" t="str">
        <x:v>Case</x:v>
      </x:c>
      <x:c r="K3444" t="str">
        <x:v>In stock</x:v>
      </x:c>
      <x:c r="L3444" t="str">
        <x:v>2026-09-08</x:v>
      </x:c>
      <x:c r="M3444" t="str"/>
      <x:c r="N3444" t="str"/>
      <x:c r="O3444" t="str">
        <x:v>https://www.activesportstrade.co.uk/Protein-Bars</x:v>
      </x:c>
      <x:c r="P3444" t="str">
        <x:v>Separate Chocolate Peanut BB 03/10/26 special-offer duplicate not created as a second canonical variant.</x:v>
      </x:c>
      <x:c r="Q3444" t="str"/>
      <x:c r="R3444" t="str"/>
      <x:c r="S3444" t="str">
        <x:v>Pending genuine supplier/brand image</x:v>
      </x:c>
      <x:c r="T3444" s="54" t="n">
        <x:v>10.99</x:v>
      </x:c>
      <x:c r="U3444" s="47" t="n">
        <x:v>0.2</x:v>
      </x:c>
      <x:c r="V3444" s="54" t="n">
        <x:f>IF(ISNUMBER(T3444),T3444*(1+U3444),"")</x:f>
        <x:v>13.188</x:v>
      </x:c>
      <x:c r="W3444" s="47" t="n">
        <x:v>0.3</x:v>
      </x:c>
      <x:c r="X3444" s="54" t="n">
        <x:f>IF(ISNUMBER(V3444),V3444/(1-W3444),"")</x:f>
        <x:v>18.840000000000003</x:v>
      </x:c>
      <x:c r="Y3444" s="55" t="n">
        <x:f>IF(ISNUMBER(X3444),ROUNDUP(X3444,0),"")</x:f>
        <x:v>19</x:v>
      </x:c>
      <x:c r="Z3444" t="str">
        <x:v>Source match pending</x:v>
      </x:c>
      <x:c r="AA3444" t="str">
        <x:v>screencapture-www-activesportstrade-co-uk-mountain-joes-trade-2026-09-09-18_39_49.png / page-001</x:v>
      </x:c>
      <x:c r="AB3444" s="36" t="n">
        <x:f>IF(ISNUMBER(Y3444),ROUND(Y3444*0.9,2),"")</x:f>
        <x:v>17.1</x:v>
      </x:c>
      <x:c r="AC3444" s="36" t="n">
        <x:f>IF(ISNUMBER(AB3444),ROUND(AB3444-(AB3444*0.015+0.2)-V3444,2),"")</x:f>
        <x:v>3.46</x:v>
      </x:c>
      <x:c r="AD3444" s="36" t="n">
        <x:f>IF(ISNUMBER(Y3444),ROUND(Y3444*0.8,2),"")</x:f>
        <x:v>15.2</x:v>
      </x:c>
      <x:c r="AE3444" s="36" t="n">
        <x:f>IF(ISNUMBER(AD3444),ROUND(AD3444*0.015+0.2,2),"")</x:f>
        <x:v>0.43</x:v>
      </x:c>
      <x:c r="AF3444" s="36" t="n">
        <x:f>IF(ISNUMBER(AD3444),ROUND(AD3444-AE3444-V3444,2),"")</x:f>
        <x:v>1.58</x:v>
      </x:c>
      <x:c r="AG3444" t="str">
        <x:f>IF(NOT(ISNUMBER(T3444)),"PENDING",IF(AF3444&gt;0,"PASS","FAIL"))</x:f>
        <x:v>PASS</x:v>
      </x:c>
      <x:c r="AH3444" t="str">
        <x:f>IF(NOT(ISNUMBER(T3444)),"Needs supplier cost",IF(K3444&lt;&gt;"In stock","Supplier unavailable",IF(AG3444&lt;&gt;"PASS","BLOCK - GT loss risk","Commercially protected")))</x:f>
        <x:v>Commercially protected</x:v>
      </x:c>
      <x:c r="AI3444" t="str">
        <x:v>2026-09-10 Active Sports trade capture</x:v>
      </x:c>
      <x:c r="AJ3444" t="str">
        <x:v>Management-only economics. Stripe stress test uses 1.5% + £0.20 standard UK online-card fee; pallet/mix-and-match pricing ignored.</x:v>
      </x:c>
    </x:row>
    <x:row r="3445">
      <x:c r="A3445" t="str">
        <x:v>Active Sports Nutrition</x:v>
      </x:c>
      <x:c r="B3445" t="str">
        <x:v>Mountain Joes</x:v>
      </x:c>
      <x:c r="C3445" t="str">
        <x:v>Protein Brownie</x:v>
      </x:c>
      <x:c r="D3445" t="str">
        <x:v>Food &amp; Drinks</x:v>
      </x:c>
      <x:c r="E3445" t="str">
        <x:v>Protein Brownies</x:v>
      </x:c>
      <x:c r="F3445" t="str"/>
      <x:c r="G3445" t="str">
        <x:v>10 x 60g bars</x:v>
      </x:c>
      <x:c r="H3445" t="str">
        <x:v>Chocolate Peanut</x:v>
      </x:c>
      <x:c r="I3445" t="str">
        <x:v>10</x:v>
      </x:c>
      <x:c r="J3445" t="str">
        <x:v>Case</x:v>
      </x:c>
      <x:c r="K3445" t="str">
        <x:v>In stock</x:v>
      </x:c>
      <x:c r="L3445" t="str">
        <x:v>2026-09-08</x:v>
      </x:c>
      <x:c r="M3445" t="str"/>
      <x:c r="N3445" t="str"/>
      <x:c r="O3445" t="str">
        <x:v>https://www.activesportstrade.co.uk/Protein-Bars</x:v>
      </x:c>
      <x:c r="P3445" t="str">
        <x:v>Separate Chocolate Peanut BB 03/10/26 special-offer duplicate not created as a second canonical variant.</x:v>
      </x:c>
      <x:c r="Q3445" t="str"/>
      <x:c r="R3445" t="str"/>
      <x:c r="S3445" t="str">
        <x:v>Pending genuine supplier/brand image</x:v>
      </x:c>
      <x:c r="T3445" s="54" t="n">
        <x:v>10.99</x:v>
      </x:c>
      <x:c r="U3445" s="47" t="n">
        <x:v>0.2</x:v>
      </x:c>
      <x:c r="V3445" s="54" t="n">
        <x:f>IF(ISNUMBER(T3445),T3445*(1+U3445),"")</x:f>
        <x:v>13.188</x:v>
      </x:c>
      <x:c r="W3445" s="47" t="n">
        <x:v>0.3</x:v>
      </x:c>
      <x:c r="X3445" s="54" t="n">
        <x:f>IF(ISNUMBER(V3445),V3445/(1-W3445),"")</x:f>
        <x:v>18.840000000000003</x:v>
      </x:c>
      <x:c r="Y3445" s="55" t="n">
        <x:f>IF(ISNUMBER(X3445),ROUNDUP(X3445,0),"")</x:f>
        <x:v>19</x:v>
      </x:c>
      <x:c r="Z3445" t="str">
        <x:v>Source match pending</x:v>
      </x:c>
      <x:c r="AA3445" t="str">
        <x:v>screencapture-www-activesportstrade-co-uk-mountain-joes-trade-2026-09-09-18_39_49.png / page-001</x:v>
      </x:c>
      <x:c r="AB3445" s="36" t="n">
        <x:f>IF(ISNUMBER(Y3445),ROUND(Y3445*0.9,2),"")</x:f>
        <x:v>17.1</x:v>
      </x:c>
      <x:c r="AC3445" s="36" t="n">
        <x:f>IF(ISNUMBER(AB3445),ROUND(AB3445-(AB3445*0.015+0.2)-V3445,2),"")</x:f>
        <x:v>3.46</x:v>
      </x:c>
      <x:c r="AD3445" s="36" t="n">
        <x:f>IF(ISNUMBER(Y3445),ROUND(Y3445*0.8,2),"")</x:f>
        <x:v>15.2</x:v>
      </x:c>
      <x:c r="AE3445" s="36" t="n">
        <x:f>IF(ISNUMBER(AD3445),ROUND(AD3445*0.015+0.2,2),"")</x:f>
        <x:v>0.43</x:v>
      </x:c>
      <x:c r="AF3445" s="36" t="n">
        <x:f>IF(ISNUMBER(AD3445),ROUND(AD3445-AE3445-V3445,2),"")</x:f>
        <x:v>1.58</x:v>
      </x:c>
      <x:c r="AG3445" t="str">
        <x:f>IF(NOT(ISNUMBER(T3445)),"PENDING",IF(AF3445&gt;0,"PASS","FAIL"))</x:f>
        <x:v>PASS</x:v>
      </x:c>
      <x:c r="AH3445" t="str">
        <x:f>IF(NOT(ISNUMBER(T3445)),"Needs supplier cost",IF(K3445&lt;&gt;"In stock","Supplier unavailable",IF(AG3445&lt;&gt;"PASS","BLOCK - GT loss risk","Commercially protected")))</x:f>
        <x:v>Commercially protected</x:v>
      </x:c>
      <x:c r="AI3445" t="str">
        <x:v>2026-09-10 Active Sports trade capture</x:v>
      </x:c>
      <x:c r="AJ3445" t="str">
        <x:v>Management-only economics. Stripe stress test uses 1.5% + £0.20 standard UK online-card fee; pallet/mix-and-match pricing ignored.</x:v>
      </x:c>
    </x:row>
    <x:row r="3446">
      <x:c r="A3446" t="str">
        <x:v>Active Sports Nutrition</x:v>
      </x:c>
      <x:c r="B3446" t="str">
        <x:v>Mountain Joes</x:v>
      </x:c>
      <x:c r="C3446" t="str">
        <x:v>Protein Brownie</x:v>
      </x:c>
      <x:c r="D3446" t="str">
        <x:v>Food &amp; Drinks</x:v>
      </x:c>
      <x:c r="E3446" t="str">
        <x:v>Protein Brownies</x:v>
      </x:c>
      <x:c r="F3446" t="str"/>
      <x:c r="G3446" t="str">
        <x:v>10 x 60g bars</x:v>
      </x:c>
      <x:c r="H3446" t="str">
        <x:v>White Chocolate Blondie</x:v>
      </x:c>
      <x:c r="I3446" t="str">
        <x:v>10</x:v>
      </x:c>
      <x:c r="J3446" t="str">
        <x:v>Case</x:v>
      </x:c>
      <x:c r="K3446" t="str">
        <x:v>In stock</x:v>
      </x:c>
      <x:c r="L3446" t="str">
        <x:v>2026-09-08</x:v>
      </x:c>
      <x:c r="M3446" t="str"/>
      <x:c r="N3446" t="str"/>
      <x:c r="O3446" t="str">
        <x:v>https://www.activesportstrade.co.uk/Protein-Bars</x:v>
      </x:c>
      <x:c r="P3446" t="str">
        <x:v>Separate Chocolate Peanut BB 03/10/26 special-offer duplicate not created as a second canonical variant.</x:v>
      </x:c>
      <x:c r="Q3446" t="str"/>
      <x:c r="R3446" t="str"/>
      <x:c r="S3446" t="str">
        <x:v>Pending genuine supplier/brand image</x:v>
      </x:c>
      <x:c r="T3446" s="54" t="n">
        <x:v>10.99</x:v>
      </x:c>
      <x:c r="U3446" s="47" t="n">
        <x:v>0.2</x:v>
      </x:c>
      <x:c r="V3446" s="54" t="n">
        <x:f>IF(ISNUMBER(T3446),T3446*(1+U3446),"")</x:f>
        <x:v>13.188</x:v>
      </x:c>
      <x:c r="W3446" s="47" t="n">
        <x:v>0.3</x:v>
      </x:c>
      <x:c r="X3446" s="54" t="n">
        <x:f>IF(ISNUMBER(V3446),V3446/(1-W3446),"")</x:f>
        <x:v>18.840000000000003</x:v>
      </x:c>
      <x:c r="Y3446" s="55" t="n">
        <x:f>IF(ISNUMBER(X3446),ROUNDUP(X3446,0),"")</x:f>
        <x:v>19</x:v>
      </x:c>
      <x:c r="Z3446" t="str">
        <x:v>Source match pending</x:v>
      </x:c>
      <x:c r="AA3446" t="str">
        <x:v>screencapture-www-activesportstrade-co-uk-mountain-joes-trade-2026-09-09-18_39_49.png / page-001</x:v>
      </x:c>
      <x:c r="AB3446" s="36" t="n">
        <x:f>IF(ISNUMBER(Y3446),ROUND(Y3446*0.9,2),"")</x:f>
        <x:v>17.1</x:v>
      </x:c>
      <x:c r="AC3446" s="36" t="n">
        <x:f>IF(ISNUMBER(AB3446),ROUND(AB3446-(AB3446*0.015+0.2)-V3446,2),"")</x:f>
        <x:v>3.46</x:v>
      </x:c>
      <x:c r="AD3446" s="36" t="n">
        <x:f>IF(ISNUMBER(Y3446),ROUND(Y3446*0.8,2),"")</x:f>
        <x:v>15.2</x:v>
      </x:c>
      <x:c r="AE3446" s="36" t="n">
        <x:f>IF(ISNUMBER(AD3446),ROUND(AD3446*0.015+0.2,2),"")</x:f>
        <x:v>0.43</x:v>
      </x:c>
      <x:c r="AF3446" s="36" t="n">
        <x:f>IF(ISNUMBER(AD3446),ROUND(AD3446-AE3446-V3446,2),"")</x:f>
        <x:v>1.58</x:v>
      </x:c>
      <x:c r="AG3446" t="str">
        <x:f>IF(NOT(ISNUMBER(T3446)),"PENDING",IF(AF3446&gt;0,"PASS","FAIL"))</x:f>
        <x:v>PASS</x:v>
      </x:c>
      <x:c r="AH3446" t="str">
        <x:f>IF(NOT(ISNUMBER(T3446)),"Needs supplier cost",IF(K3446&lt;&gt;"In stock","Supplier unavailable",IF(AG3446&lt;&gt;"PASS","BLOCK - GT loss risk","Commercially protected")))</x:f>
        <x:v>Commercially protected</x:v>
      </x:c>
      <x:c r="AI3446" t="str">
        <x:v>2026-09-10 Active Sports trade capture</x:v>
      </x:c>
      <x:c r="AJ3446" t="str">
        <x:v>Management-only economics. Stripe stress test uses 1.5% + £0.20 standard UK online-card fee; pallet/mix-and-match pricing ignored.</x:v>
      </x:c>
    </x:row>
    <x:row r="3447">
      <x:c r="A3447" t="str">
        <x:v>Active Sports Nutrition</x:v>
      </x:c>
      <x:c r="B3447" t="str">
        <x:v>Mountain Joes</x:v>
      </x:c>
      <x:c r="C3447" t="str">
        <x:v>Protein Cakes</x:v>
      </x:c>
      <x:c r="D3447" t="str">
        <x:v>Food &amp; Drinks</x:v>
      </x:c>
      <x:c r="E3447" t="str">
        <x:v>Protein Cakes</x:v>
      </x:c>
      <x:c r="F3447" t="str"/>
      <x:c r="G3447" t="str">
        <x:v>10 x 60g bars</x:v>
      </x:c>
      <x:c r="H3447" t="str">
        <x:v>Birthday Cake</x:v>
      </x:c>
      <x:c r="I3447" t="str">
        <x:v>10</x:v>
      </x:c>
      <x:c r="J3447" t="str">
        <x:v>Case</x:v>
      </x:c>
      <x:c r="K3447" t="str">
        <x:v>In stock</x:v>
      </x:c>
      <x:c r="L3447" t="str">
        <x:v>2026-09-08</x:v>
      </x:c>
      <x:c r="M3447" t="str"/>
      <x:c r="N3447" t="str"/>
      <x:c r="O3447" t="str">
        <x:v>https://www.activesportstrade.co.uk/Protein-Bars</x:v>
      </x:c>
      <x:c r="P3447" t="str"/>
      <x:c r="Q3447" t="str"/>
      <x:c r="R3447" t="str"/>
      <x:c r="S3447" t="str">
        <x:v>Pending genuine supplier/brand image</x:v>
      </x:c>
      <x:c r="T3447" s="54" t="n">
        <x:v>11.59</x:v>
      </x:c>
      <x:c r="U3447" s="47" t="n">
        <x:v>0.2</x:v>
      </x:c>
      <x:c r="V3447" s="54" t="n">
        <x:f>IF(ISNUMBER(T3447),T3447*(1+U3447),"")</x:f>
        <x:v>13.908</x:v>
      </x:c>
      <x:c r="W3447" s="47" t="n">
        <x:v>0.3</x:v>
      </x:c>
      <x:c r="X3447" s="54" t="n">
        <x:f>IF(ISNUMBER(V3447),V3447/(1-W3447),"")</x:f>
        <x:v>19.86857142857143</x:v>
      </x:c>
      <x:c r="Y3447" s="55" t="n">
        <x:f>IF(ISNUMBER(X3447),ROUNDUP(X3447,0),"")</x:f>
        <x:v>20</x:v>
      </x:c>
      <x:c r="Z3447" t="str">
        <x:v>Source match pending</x:v>
      </x:c>
      <x:c r="AA3447" t="str">
        <x:v>screencapture-www-activesportstrade-co-uk-mountain-joes-trade-2026-09-09-18_39_49.png / page-001</x:v>
      </x:c>
      <x:c r="AB3447" s="36" t="n">
        <x:f>IF(ISNUMBER(Y3447),ROUND(Y3447*0.9,2),"")</x:f>
        <x:v>18</x:v>
      </x:c>
      <x:c r="AC3447" s="36" t="n">
        <x:f>IF(ISNUMBER(AB3447),ROUND(AB3447-(AB3447*0.015+0.2)-V3447,2),"")</x:f>
        <x:v>3.62</x:v>
      </x:c>
      <x:c r="AD3447" s="36" t="n">
        <x:f>IF(ISNUMBER(Y3447),ROUND(Y3447*0.8,2),"")</x:f>
        <x:v>16</x:v>
      </x:c>
      <x:c r="AE3447" s="36" t="n">
        <x:f>IF(ISNUMBER(AD3447),ROUND(AD3447*0.015+0.2,2),"")</x:f>
        <x:v>0.44</x:v>
      </x:c>
      <x:c r="AF3447" s="36" t="n">
        <x:f>IF(ISNUMBER(AD3447),ROUND(AD3447-AE3447-V3447,2),"")</x:f>
        <x:v>1.65</x:v>
      </x:c>
      <x:c r="AG3447" t="str">
        <x:f>IF(NOT(ISNUMBER(T3447)),"PENDING",IF(AF3447&gt;0,"PASS","FAIL"))</x:f>
        <x:v>PASS</x:v>
      </x:c>
      <x:c r="AH3447" t="str">
        <x:f>IF(NOT(ISNUMBER(T3447)),"Needs supplier cost",IF(K3447&lt;&gt;"In stock","Supplier unavailable",IF(AG3447&lt;&gt;"PASS","BLOCK - GT loss risk","Commercially protected")))</x:f>
        <x:v>Commercially protected</x:v>
      </x:c>
      <x:c r="AI3447" t="str">
        <x:v>2026-09-10 Active Sports trade capture</x:v>
      </x:c>
      <x:c r="AJ3447" t="str">
        <x:v>Management-only economics. Stripe stress test uses 1.5% + £0.20 standard UK online-card fee; pallet/mix-and-match pricing ignored.</x:v>
      </x:c>
    </x:row>
    <x:row r="3448">
      <x:c r="A3448" t="str">
        <x:v>Active Sports Nutrition</x:v>
      </x:c>
      <x:c r="B3448" t="str">
        <x:v>Mountain Joes</x:v>
      </x:c>
      <x:c r="C3448" t="str">
        <x:v>Protein Cakes</x:v>
      </x:c>
      <x:c r="D3448" t="str">
        <x:v>Food &amp; Drinks</x:v>
      </x:c>
      <x:c r="E3448" t="str">
        <x:v>Protein Cakes</x:v>
      </x:c>
      <x:c r="F3448" t="str"/>
      <x:c r="G3448" t="str">
        <x:v>10 x 60g bars</x:v>
      </x:c>
      <x:c r="H3448" t="str">
        <x:v>Carrot Cake</x:v>
      </x:c>
      <x:c r="I3448" t="str">
        <x:v>10</x:v>
      </x:c>
      <x:c r="J3448" t="str">
        <x:v>Case</x:v>
      </x:c>
      <x:c r="K3448" t="str">
        <x:v>Out of stock</x:v>
      </x:c>
      <x:c r="L3448" t="str">
        <x:v>2026-09-08</x:v>
      </x:c>
      <x:c r="M3448" t="str"/>
      <x:c r="N3448" t="str"/>
      <x:c r="O3448" t="str">
        <x:v>https://www.activesportstrade.co.uk/Protein-Bars</x:v>
      </x:c>
      <x:c r="P3448" t="str"/>
      <x:c r="Q3448" t="str"/>
      <x:c r="R3448" t="str"/>
      <x:c r="S3448" t="str">
        <x:v>Pending genuine supplier/brand image</x:v>
      </x:c>
      <x:c r="T3448" s="54" t="n">
        <x:v>11.59</x:v>
      </x:c>
      <x:c r="U3448" s="47" t="n">
        <x:v>0.2</x:v>
      </x:c>
      <x:c r="V3448" s="54" t="n">
        <x:f>IF(ISNUMBER(T3448),T3448*(1+U3448),"")</x:f>
        <x:v>13.908</x:v>
      </x:c>
      <x:c r="W3448" s="47" t="n">
        <x:v>0.3</x:v>
      </x:c>
      <x:c r="X3448" s="54" t="n">
        <x:f>IF(ISNUMBER(V3448),V3448/(1-W3448),"")</x:f>
        <x:v>19.86857142857143</x:v>
      </x:c>
      <x:c r="Y3448" s="55" t="n">
        <x:f>IF(ISNUMBER(X3448),ROUNDUP(X3448,0),"")</x:f>
        <x:v>20</x:v>
      </x:c>
      <x:c r="Z3448" t="str">
        <x:v>Source match pending</x:v>
      </x:c>
      <x:c r="AA3448" t="str">
        <x:v>screencapture-www-activesportstrade-co-uk-mountain-joes-trade-2026-09-09-18_39_49.png / page-001</x:v>
      </x:c>
      <x:c r="AB3448" s="36" t="n">
        <x:f>IF(ISNUMBER(Y3448),ROUND(Y3448*0.9,2),"")</x:f>
        <x:v>18</x:v>
      </x:c>
      <x:c r="AC3448" s="36" t="n">
        <x:f>IF(ISNUMBER(AB3448),ROUND(AB3448-(AB3448*0.015+0.2)-V3448,2),"")</x:f>
        <x:v>3.62</x:v>
      </x:c>
      <x:c r="AD3448" s="36" t="n">
        <x:f>IF(ISNUMBER(Y3448),ROUND(Y3448*0.8,2),"")</x:f>
        <x:v>16</x:v>
      </x:c>
      <x:c r="AE3448" s="36" t="n">
        <x:f>IF(ISNUMBER(AD3448),ROUND(AD3448*0.015+0.2,2),"")</x:f>
        <x:v>0.44</x:v>
      </x:c>
      <x:c r="AF3448" s="36" t="n">
        <x:f>IF(ISNUMBER(AD3448),ROUND(AD3448-AE3448-V3448,2),"")</x:f>
        <x:v>1.65</x:v>
      </x:c>
      <x:c r="AG3448" t="str">
        <x:f>IF(NOT(ISNUMBER(T3448)),"PENDING",IF(AF3448&gt;0,"PASS","FAIL"))</x:f>
        <x:v>PASS</x:v>
      </x:c>
      <x:c r="AH3448" t="str">
        <x:f>IF(NOT(ISNUMBER(T3448)),"Needs supplier cost",IF(K3448&lt;&gt;"In stock","Supplier unavailable",IF(AG3448&lt;&gt;"PASS","BLOCK - GT loss risk","Commercially protected")))</x:f>
        <x:v>Supplier unavailable</x:v>
      </x:c>
      <x:c r="AI3448" t="str">
        <x:v>2026-09-10 Active Sports trade capture</x:v>
      </x:c>
      <x:c r="AJ3448" t="str">
        <x:v>Management-only economics. Stripe stress test uses 1.5% + £0.20 standard UK online-card fee; pallet/mix-and-match pricing ignored.</x:v>
      </x:c>
    </x:row>
    <x:row r="3449">
      <x:c r="A3449" t="str">
        <x:v>Active Sports Nutrition</x:v>
      </x:c>
      <x:c r="B3449" t="str">
        <x:v>Mountain Joes</x:v>
      </x:c>
      <x:c r="C3449" t="str">
        <x:v>Protein Millionaire</x:v>
      </x:c>
      <x:c r="D3449" t="str">
        <x:v>Food &amp; Drinks</x:v>
      </x:c>
      <x:c r="E3449" t="str">
        <x:v>Protein Snacks</x:v>
      </x:c>
      <x:c r="F3449" t="str"/>
      <x:c r="G3449" t="str">
        <x:v>10 x 50g bars</x:v>
      </x:c>
      <x:c r="H3449" t="str">
        <x:v>Chocolate Caramel</x:v>
      </x:c>
      <x:c r="I3449" t="str">
        <x:v>10</x:v>
      </x:c>
      <x:c r="J3449" t="str">
        <x:v>Case</x:v>
      </x:c>
      <x:c r="K3449" t="str">
        <x:v>In stock</x:v>
      </x:c>
      <x:c r="L3449" t="str">
        <x:v>2026-09-08</x:v>
      </x:c>
      <x:c r="M3449" t="str"/>
      <x:c r="N3449" t="str"/>
      <x:c r="O3449" t="str">
        <x:v>https://www.activesportstrade.co.uk/Protein-Bars</x:v>
      </x:c>
      <x:c r="P3449" t="str"/>
      <x:c r="Q3449" t="str"/>
      <x:c r="R3449" t="str"/>
      <x:c r="S3449" t="str">
        <x:v>Pending genuine supplier/brand image</x:v>
      </x:c>
      <x:c r="T3449" s="54" t="n">
        <x:v>10.99</x:v>
      </x:c>
      <x:c r="U3449" s="47" t="n">
        <x:v>0</x:v>
      </x:c>
      <x:c r="V3449" s="54" t="n">
        <x:f>IF(ISNUMBER(T3449),T3449*(1+U3449),"")</x:f>
        <x:v>10.99</x:v>
      </x:c>
      <x:c r="W3449" s="47" t="n">
        <x:v>0.3</x:v>
      </x:c>
      <x:c r="X3449" s="54" t="n">
        <x:f>IF(ISNUMBER(V3449),V3449/(1-W3449),"")</x:f>
        <x:v>15.700000000000001</x:v>
      </x:c>
      <x:c r="Y3449" s="55" t="n">
        <x:f>IF(ISNUMBER(X3449),ROUNDUP(X3449,0),"")</x:f>
        <x:v>16</x:v>
      </x:c>
      <x:c r="Z3449" t="str">
        <x:v>Source match pending</x:v>
      </x:c>
      <x:c r="AA3449" t="str">
        <x:v>screencapture-www-activesportstrade-co-uk-mountain-joes-trade-2026-09-09-18_39_49.png / page-001</x:v>
      </x:c>
      <x:c r="AB3449" s="36" t="n">
        <x:f>IF(ISNUMBER(Y3449),ROUND(Y3449*0.9,2),"")</x:f>
        <x:v>14.4</x:v>
      </x:c>
      <x:c r="AC3449" s="36" t="n">
        <x:f>IF(ISNUMBER(AB3449),ROUND(AB3449-(AB3449*0.015+0.2)-V3449,2),"")</x:f>
        <x:v>2.99</x:v>
      </x:c>
      <x:c r="AD3449" s="36" t="n">
        <x:f>IF(ISNUMBER(Y3449),ROUND(Y3449*0.8,2),"")</x:f>
        <x:v>12.8</x:v>
      </x:c>
      <x:c r="AE3449" s="36" t="n">
        <x:f>IF(ISNUMBER(AD3449),ROUND(AD3449*0.015+0.2,2),"")</x:f>
        <x:v>0.39</x:v>
      </x:c>
      <x:c r="AF3449" s="36" t="n">
        <x:f>IF(ISNUMBER(AD3449),ROUND(AD3449-AE3449-V3449,2),"")</x:f>
        <x:v>1.42</x:v>
      </x:c>
      <x:c r="AG3449" t="str">
        <x:f>IF(NOT(ISNUMBER(T3449)),"PENDING",IF(AF3449&gt;0,"PASS","FAIL"))</x:f>
        <x:v>PASS</x:v>
      </x:c>
      <x:c r="AH3449" t="str">
        <x:f>IF(NOT(ISNUMBER(T3449)),"Needs supplier cost",IF(K3449&lt;&gt;"In stock","Supplier unavailable",IF(AG3449&lt;&gt;"PASS","BLOCK - GT loss risk","Commercially protected")))</x:f>
        <x:v>Commercially protected</x:v>
      </x:c>
      <x:c r="AI3449" t="str">
        <x:v>2026-09-10 Active Sports trade capture</x:v>
      </x:c>
      <x:c r="AJ3449" t="str">
        <x:v>Management-only economics. Stripe stress test uses 1.5% + £0.20 standard UK online-card fee; pallet/mix-and-match pricing ignored.</x:v>
      </x:c>
    </x:row>
    <x:row r="3450">
      <x:c r="A3450" t="str">
        <x:v>Active Sports Nutrition</x:v>
      </x:c>
      <x:c r="B3450" t="str">
        <x:v>Mountain Joes</x:v>
      </x:c>
      <x:c r="C3450" t="str">
        <x:v>Protein Millionaire</x:v>
      </x:c>
      <x:c r="D3450" t="str">
        <x:v>Food &amp; Drinks</x:v>
      </x:c>
      <x:c r="E3450" t="str">
        <x:v>Protein Snacks</x:v>
      </x:c>
      <x:c r="F3450" t="str"/>
      <x:c r="G3450" t="str">
        <x:v>10 x 50g bars</x:v>
      </x:c>
      <x:c r="H3450" t="str">
        <x:v>White Chocolate Caramel</x:v>
      </x:c>
      <x:c r="I3450" t="str">
        <x:v>10</x:v>
      </x:c>
      <x:c r="J3450" t="str">
        <x:v>Case</x:v>
      </x:c>
      <x:c r="K3450" t="str">
        <x:v>In stock</x:v>
      </x:c>
      <x:c r="L3450" t="str">
        <x:v>2026-09-08</x:v>
      </x:c>
      <x:c r="M3450" t="str"/>
      <x:c r="N3450" t="str"/>
      <x:c r="O3450" t="str">
        <x:v>https://www.activesportstrade.co.uk/Protein-Bars</x:v>
      </x:c>
      <x:c r="P3450" t="str"/>
      <x:c r="Q3450" t="str"/>
      <x:c r="R3450" t="str"/>
      <x:c r="S3450" t="str">
        <x:v>Pending genuine supplier/brand image</x:v>
      </x:c>
      <x:c r="T3450" s="54" t="n">
        <x:v>10.99</x:v>
      </x:c>
      <x:c r="U3450" s="47" t="n">
        <x:v>0</x:v>
      </x:c>
      <x:c r="V3450" s="54" t="n">
        <x:f>IF(ISNUMBER(T3450),T3450*(1+U3450),"")</x:f>
        <x:v>10.99</x:v>
      </x:c>
      <x:c r="W3450" s="47" t="n">
        <x:v>0.3</x:v>
      </x:c>
      <x:c r="X3450" s="54" t="n">
        <x:f>IF(ISNUMBER(V3450),V3450/(1-W3450),"")</x:f>
        <x:v>15.700000000000001</x:v>
      </x:c>
      <x:c r="Y3450" s="55" t="n">
        <x:f>IF(ISNUMBER(X3450),ROUNDUP(X3450,0),"")</x:f>
        <x:v>16</x:v>
      </x:c>
      <x:c r="Z3450" t="str">
        <x:v>Source match pending</x:v>
      </x:c>
      <x:c r="AA3450" t="str">
        <x:v>screencapture-www-activesportstrade-co-uk-mountain-joes-trade-2026-09-09-18_39_49.png / page-001</x:v>
      </x:c>
      <x:c r="AB3450" s="36" t="n">
        <x:f>IF(ISNUMBER(Y3450),ROUND(Y3450*0.9,2),"")</x:f>
        <x:v>14.4</x:v>
      </x:c>
      <x:c r="AC3450" s="36" t="n">
        <x:f>IF(ISNUMBER(AB3450),ROUND(AB3450-(AB3450*0.015+0.2)-V3450,2),"")</x:f>
        <x:v>2.99</x:v>
      </x:c>
      <x:c r="AD3450" s="36" t="n">
        <x:f>IF(ISNUMBER(Y3450),ROUND(Y3450*0.8,2),"")</x:f>
        <x:v>12.8</x:v>
      </x:c>
      <x:c r="AE3450" s="36" t="n">
        <x:f>IF(ISNUMBER(AD3450),ROUND(AD3450*0.015+0.2,2),"")</x:f>
        <x:v>0.39</x:v>
      </x:c>
      <x:c r="AF3450" s="36" t="n">
        <x:f>IF(ISNUMBER(AD3450),ROUND(AD3450-AE3450-V3450,2),"")</x:f>
        <x:v>1.42</x:v>
      </x:c>
      <x:c r="AG3450" t="str">
        <x:f>IF(NOT(ISNUMBER(T3450)),"PENDING",IF(AF3450&gt;0,"PASS","FAIL"))</x:f>
        <x:v>PASS</x:v>
      </x:c>
      <x:c r="AH3450" t="str">
        <x:f>IF(NOT(ISNUMBER(T3450)),"Needs supplier cost",IF(K3450&lt;&gt;"In stock","Supplier unavailable",IF(AG3450&lt;&gt;"PASS","BLOCK - GT loss risk","Commercially protected")))</x:f>
        <x:v>Commercially protected</x:v>
      </x:c>
      <x:c r="AI3450" t="str">
        <x:v>2026-09-10 Active Sports trade capture</x:v>
      </x:c>
      <x:c r="AJ3450" t="str">
        <x:v>Management-only economics. Stripe stress test uses 1.5% + £0.20 standard UK online-card fee; pallet/mix-and-match pricing ignored.</x:v>
      </x:c>
    </x:row>
    <x:row r="3451">
      <x:c r="A3451" t="str">
        <x:v>Active Sports Nutrition</x:v>
      </x:c>
      <x:c r="B3451" t="str">
        <x:v>Mountain Joes</x:v>
      </x:c>
      <x:c r="C3451" t="str">
        <x:v>Protein Millionaire</x:v>
      </x:c>
      <x:c r="D3451" t="str">
        <x:v>Food &amp; Drinks</x:v>
      </x:c>
      <x:c r="E3451" t="str">
        <x:v>Protein Snacks</x:v>
      </x:c>
      <x:c r="F3451" t="str"/>
      <x:c r="G3451" t="str">
        <x:v>10 x 50g bars</x:v>
      </x:c>
      <x:c r="H3451" t="str">
        <x:v>White Chocolate Raspberry</x:v>
      </x:c>
      <x:c r="I3451" t="str">
        <x:v>10</x:v>
      </x:c>
      <x:c r="J3451" t="str">
        <x:v>Case</x:v>
      </x:c>
      <x:c r="K3451" t="str">
        <x:v>In stock</x:v>
      </x:c>
      <x:c r="L3451" t="str">
        <x:v>2026-09-08</x:v>
      </x:c>
      <x:c r="M3451" t="str"/>
      <x:c r="N3451" t="str"/>
      <x:c r="O3451" t="str">
        <x:v>https://www.activesportstrade.co.uk/Protein-Bars</x:v>
      </x:c>
      <x:c r="P3451" t="str"/>
      <x:c r="Q3451" t="str"/>
      <x:c r="R3451" t="str"/>
      <x:c r="S3451" t="str">
        <x:v>Pending genuine supplier/brand image</x:v>
      </x:c>
      <x:c r="T3451" s="54" t="n">
        <x:v>10.99</x:v>
      </x:c>
      <x:c r="U3451" s="47" t="n">
        <x:v>0</x:v>
      </x:c>
      <x:c r="V3451" s="54" t="n">
        <x:f>IF(ISNUMBER(T3451),T3451*(1+U3451),"")</x:f>
        <x:v>10.99</x:v>
      </x:c>
      <x:c r="W3451" s="47" t="n">
        <x:v>0.3</x:v>
      </x:c>
      <x:c r="X3451" s="54" t="n">
        <x:f>IF(ISNUMBER(V3451),V3451/(1-W3451),"")</x:f>
        <x:v>15.700000000000001</x:v>
      </x:c>
      <x:c r="Y3451" s="55" t="n">
        <x:f>IF(ISNUMBER(X3451),ROUNDUP(X3451,0),"")</x:f>
        <x:v>16</x:v>
      </x:c>
      <x:c r="Z3451" t="str">
        <x:v>Source match pending</x:v>
      </x:c>
      <x:c r="AA3451" t="str">
        <x:v>screencapture-www-activesportstrade-co-uk-mountain-joes-trade-2026-09-09-18_39_49.png / page-001</x:v>
      </x:c>
      <x:c r="AB3451" s="36" t="n">
        <x:f>IF(ISNUMBER(Y3451),ROUND(Y3451*0.9,2),"")</x:f>
        <x:v>14.4</x:v>
      </x:c>
      <x:c r="AC3451" s="36" t="n">
        <x:f>IF(ISNUMBER(AB3451),ROUND(AB3451-(AB3451*0.015+0.2)-V3451,2),"")</x:f>
        <x:v>2.99</x:v>
      </x:c>
      <x:c r="AD3451" s="36" t="n">
        <x:f>IF(ISNUMBER(Y3451),ROUND(Y3451*0.8,2),"")</x:f>
        <x:v>12.8</x:v>
      </x:c>
      <x:c r="AE3451" s="36" t="n">
        <x:f>IF(ISNUMBER(AD3451),ROUND(AD3451*0.015+0.2,2),"")</x:f>
        <x:v>0.39</x:v>
      </x:c>
      <x:c r="AF3451" s="36" t="n">
        <x:f>IF(ISNUMBER(AD3451),ROUND(AD3451-AE3451-V3451,2),"")</x:f>
        <x:v>1.42</x:v>
      </x:c>
      <x:c r="AG3451" t="str">
        <x:f>IF(NOT(ISNUMBER(T3451)),"PENDING",IF(AF3451&gt;0,"PASS","FAIL"))</x:f>
        <x:v>PASS</x:v>
      </x:c>
      <x:c r="AH3451" t="str">
        <x:f>IF(NOT(ISNUMBER(T3451)),"Needs supplier cost",IF(K3451&lt;&gt;"In stock","Supplier unavailable",IF(AG3451&lt;&gt;"PASS","BLOCK - GT loss risk","Commercially protected")))</x:f>
        <x:v>Commercially protected</x:v>
      </x:c>
      <x:c r="AI3451" t="str">
        <x:v>2026-09-10 Active Sports trade capture</x:v>
      </x:c>
      <x:c r="AJ3451" t="str">
        <x:v>Management-only economics. Stripe stress test uses 1.5% + £0.20 standard UK online-card fee; pallet/mix-and-match pricing ignored.</x:v>
      </x:c>
    </x:row>
    <x:row r="3452">
      <x:c r="A3452" t="str">
        <x:v>Active Sports Nutrition</x:v>
      </x:c>
      <x:c r="B3452" t="str">
        <x:v>Mountain Joes</x:v>
      </x:c>
      <x:c r="C3452" t="str">
        <x:v>Protein Rice Cakes</x:v>
      </x:c>
      <x:c r="D3452" t="str">
        <x:v>Food &amp; Drinks</x:v>
      </x:c>
      <x:c r="E3452" t="str">
        <x:v>Protein Snacks</x:v>
      </x:c>
      <x:c r="F3452" t="str"/>
      <x:c r="G3452" t="str">
        <x:v>12 x 64g packs</x:v>
      </x:c>
      <x:c r="H3452" t="str">
        <x:v>Chocolate</x:v>
      </x:c>
      <x:c r="I3452" t="str">
        <x:v>12</x:v>
      </x:c>
      <x:c r="J3452" t="str">
        <x:v>Case</x:v>
      </x:c>
      <x:c r="K3452" t="str">
        <x:v>In stock</x:v>
      </x:c>
      <x:c r="L3452" t="str">
        <x:v>2026-09-08</x:v>
      </x:c>
      <x:c r="M3452" t="str"/>
      <x:c r="N3452" t="str"/>
      <x:c r="O3452" t="str">
        <x:v>https://www.activesportstrade.co.uk/Protein-Bars</x:v>
      </x:c>
      <x:c r="P3452" t="str"/>
      <x:c r="Q3452" t="str"/>
      <x:c r="R3452" t="str"/>
      <x:c r="S3452" t="str">
        <x:v>Pending genuine supplier/brand image</x:v>
      </x:c>
      <x:c r="T3452" s="54" t="n">
        <x:v>16.49</x:v>
      </x:c>
      <x:c r="U3452" s="47" t="n">
        <x:v>0.2</x:v>
      </x:c>
      <x:c r="V3452" s="54" t="n">
        <x:f>IF(ISNUMBER(T3452),T3452*(1+U3452),"")</x:f>
        <x:v>19.787999999999997</x:v>
      </x:c>
      <x:c r="W3452" s="47" t="n">
        <x:v>0.3</x:v>
      </x:c>
      <x:c r="X3452" s="54" t="n">
        <x:f>IF(ISNUMBER(V3452),V3452/(1-W3452),"")</x:f>
        <x:v>28.268571428571427</x:v>
      </x:c>
      <x:c r="Y3452" s="55" t="n">
        <x:f>IF(ISNUMBER(X3452),ROUNDUP(X3452,0),"")</x:f>
        <x:v>29</x:v>
      </x:c>
      <x:c r="Z3452" t="str">
        <x:v>Source match pending</x:v>
      </x:c>
      <x:c r="AA3452" t="str">
        <x:v>screencapture-www-activesportstrade-co-uk-mountain-joes-trade-2026-09-09-18_39_49.png / page-001</x:v>
      </x:c>
      <x:c r="AB3452" s="36" t="n">
        <x:f>IF(ISNUMBER(Y3452),ROUND(Y3452*0.9,2),"")</x:f>
        <x:v>26.1</x:v>
      </x:c>
      <x:c r="AC3452" s="36" t="n">
        <x:f>IF(ISNUMBER(AB3452),ROUND(AB3452-(AB3452*0.015+0.2)-V3452,2),"")</x:f>
        <x:v>5.72</x:v>
      </x:c>
      <x:c r="AD3452" s="36" t="n">
        <x:f>IF(ISNUMBER(Y3452),ROUND(Y3452*0.8,2),"")</x:f>
        <x:v>23.2</x:v>
      </x:c>
      <x:c r="AE3452" s="36" t="n">
        <x:f>IF(ISNUMBER(AD3452),ROUND(AD3452*0.015+0.2,2),"")</x:f>
        <x:v>0.55</x:v>
      </x:c>
      <x:c r="AF3452" s="36" t="n">
        <x:f>IF(ISNUMBER(AD3452),ROUND(AD3452-AE3452-V3452,2),"")</x:f>
        <x:v>2.86</x:v>
      </x:c>
      <x:c r="AG3452" t="str">
        <x:f>IF(NOT(ISNUMBER(T3452)),"PENDING",IF(AF3452&gt;0,"PASS","FAIL"))</x:f>
        <x:v>PASS</x:v>
      </x:c>
      <x:c r="AH3452" t="str">
        <x:f>IF(NOT(ISNUMBER(T3452)),"Needs supplier cost",IF(K3452&lt;&gt;"In stock","Supplier unavailable",IF(AG3452&lt;&gt;"PASS","BLOCK - GT loss risk","Commercially protected")))</x:f>
        <x:v>Commercially protected</x:v>
      </x:c>
      <x:c r="AI3452" t="str">
        <x:v>2026-09-10 Active Sports trade capture</x:v>
      </x:c>
      <x:c r="AJ3452" t="str">
        <x:v>Management-only economics. Stripe stress test uses 1.5% + £0.20 standard UK online-card fee; pallet/mix-and-match pricing ignored.</x:v>
      </x:c>
    </x:row>
    <x:row r="3453">
      <x:c r="A3453" t="str">
        <x:v>Active Sports Nutrition</x:v>
      </x:c>
      <x:c r="B3453" t="str">
        <x:v>Mountain Joes</x:v>
      </x:c>
      <x:c r="C3453" t="str">
        <x:v>Protein Rice Cakes</x:v>
      </x:c>
      <x:c r="D3453" t="str">
        <x:v>Food &amp; Drinks</x:v>
      </x:c>
      <x:c r="E3453" t="str">
        <x:v>Protein Snacks</x:v>
      </x:c>
      <x:c r="F3453" t="str"/>
      <x:c r="G3453" t="str">
        <x:v>12 x 64g packs</x:v>
      </x:c>
      <x:c r="H3453" t="str">
        <x:v>White Chocolate</x:v>
      </x:c>
      <x:c r="I3453" t="str">
        <x:v>12</x:v>
      </x:c>
      <x:c r="J3453" t="str">
        <x:v>Case</x:v>
      </x:c>
      <x:c r="K3453" t="str">
        <x:v>Out of stock</x:v>
      </x:c>
      <x:c r="L3453" t="str">
        <x:v>2026-09-08</x:v>
      </x:c>
      <x:c r="M3453" t="str"/>
      <x:c r="N3453" t="str"/>
      <x:c r="O3453" t="str">
        <x:v>https://www.activesportstrade.co.uk/Protein-Bars</x:v>
      </x:c>
      <x:c r="P3453" t="str"/>
      <x:c r="Q3453" t="str"/>
      <x:c r="R3453" t="str"/>
      <x:c r="S3453" t="str">
        <x:v>Pending genuine supplier/brand image</x:v>
      </x:c>
      <x:c r="T3453" s="54" t="n">
        <x:v>16.49</x:v>
      </x:c>
      <x:c r="U3453" s="47" t="n">
        <x:v>0.2</x:v>
      </x:c>
      <x:c r="V3453" s="54" t="n">
        <x:f>IF(ISNUMBER(T3453),T3453*(1+U3453),"")</x:f>
        <x:v>19.787999999999997</x:v>
      </x:c>
      <x:c r="W3453" s="47" t="n">
        <x:v>0.3</x:v>
      </x:c>
      <x:c r="X3453" s="54" t="n">
        <x:f>IF(ISNUMBER(V3453),V3453/(1-W3453),"")</x:f>
        <x:v>28.268571428571427</x:v>
      </x:c>
      <x:c r="Y3453" s="55" t="n">
        <x:f>IF(ISNUMBER(X3453),ROUNDUP(X3453,0),"")</x:f>
        <x:v>29</x:v>
      </x:c>
      <x:c r="Z3453" t="str">
        <x:v>Source match pending</x:v>
      </x:c>
      <x:c r="AA3453" t="str">
        <x:v>screencapture-www-activesportstrade-co-uk-mountain-joes-trade-2026-09-09-18_39_49.png / page-001</x:v>
      </x:c>
      <x:c r="AB3453" s="36" t="n">
        <x:f>IF(ISNUMBER(Y3453),ROUND(Y3453*0.9,2),"")</x:f>
        <x:v>26.1</x:v>
      </x:c>
      <x:c r="AC3453" s="36" t="n">
        <x:f>IF(ISNUMBER(AB3453),ROUND(AB3453-(AB3453*0.015+0.2)-V3453,2),"")</x:f>
        <x:v>5.72</x:v>
      </x:c>
      <x:c r="AD3453" s="36" t="n">
        <x:f>IF(ISNUMBER(Y3453),ROUND(Y3453*0.8,2),"")</x:f>
        <x:v>23.2</x:v>
      </x:c>
      <x:c r="AE3453" s="36" t="n">
        <x:f>IF(ISNUMBER(AD3453),ROUND(AD3453*0.015+0.2,2),"")</x:f>
        <x:v>0.55</x:v>
      </x:c>
      <x:c r="AF3453" s="36" t="n">
        <x:f>IF(ISNUMBER(AD3453),ROUND(AD3453-AE3453-V3453,2),"")</x:f>
        <x:v>2.86</x:v>
      </x:c>
      <x:c r="AG3453" t="str">
        <x:f>IF(NOT(ISNUMBER(T3453)),"PENDING",IF(AF3453&gt;0,"PASS","FAIL"))</x:f>
        <x:v>PASS</x:v>
      </x:c>
      <x:c r="AH3453" t="str">
        <x:f>IF(NOT(ISNUMBER(T3453)),"Needs supplier cost",IF(K3453&lt;&gt;"In stock","Supplier unavailable",IF(AG3453&lt;&gt;"PASS","BLOCK - GT loss risk","Commercially protected")))</x:f>
        <x:v>Supplier unavailable</x:v>
      </x:c>
      <x:c r="AI3453" t="str">
        <x:v>2026-09-10 Active Sports trade capture</x:v>
      </x:c>
      <x:c r="AJ3453" t="str">
        <x:v>Management-only economics. Stripe stress test uses 1.5% + £0.20 standard UK online-card fee; pallet/mix-and-match pricing ignored.</x:v>
      </x:c>
    </x:row>
    <x:row r="3454">
      <x:c r="A3454" t="str">
        <x:v>Active Sports Nutrition</x:v>
      </x:c>
      <x:c r="B3454" t="str">
        <x:v>DNA Sports</x:v>
      </x:c>
      <x:c r="C3454" t="str">
        <x:v>VIBE</x:v>
      </x:c>
      <x:c r="D3454" t="str">
        <x:v>Supplements</x:v>
      </x:c>
      <x:c r="E3454" t="str">
        <x:v>Pre Workout</x:v>
      </x:c>
      <x:c r="F3454" t="str"/>
      <x:c r="G3454" t="str">
        <x:v>30 servings</x:v>
      </x:c>
      <x:c r="H3454" t="str">
        <x:v>Apple Rancher</x:v>
      </x:c>
      <x:c r="I3454" t="str"/>
      <x:c r="J3454" t="str">
        <x:v>Unit</x:v>
      </x:c>
      <x:c r="K3454" t="str">
        <x:v>In stock</x:v>
      </x:c>
      <x:c r="L3454" t="str">
        <x:v>2026-09-08</x:v>
      </x:c>
      <x:c r="M3454" t="str"/>
      <x:c r="N3454" t="str"/>
      <x:c r="O3454" t="str">
        <x:v>https://www.activesportstrade.co.uk/dna-sports-trade</x:v>
      </x:c>
      <x:c r="P3454" t="str"/>
      <x:c r="Q3454" t="str"/>
      <x:c r="R3454" t="str"/>
      <x:c r="S3454" t="str">
        <x:v>Pending genuine supplier/brand image</x:v>
      </x:c>
      <x:c r="T3454" s="54"/>
      <x:c r="U3454" s="47" t="n">
        <x:v>0.2</x:v>
      </x:c>
      <x:c r="V3454" s="54" t="str">
        <x:f>IF(ISNUMBER(T3454),T3454*(1+U3454),"")</x:f>
      </x:c>
      <x:c r="W3454" s="47" t="n">
        <x:v>0.3</x:v>
      </x:c>
      <x:c r="X3454" s="54" t="str">
        <x:f>IF(ISNUMBER(V3454),V3454/(1-W3454),"")</x:f>
      </x:c>
      <x:c r="Y3454" s="55" t="str">
        <x:f>IF(ISNUMBER(X3454),ROUNDUP(X3454,0),"")</x:f>
      </x:c>
      <x:c r="Z3454" t="str">
        <x:f>IF(ISNUMBER(T3454),"Cost captured","Awaiting trade cost")</x:f>
        <x:v>Awaiting trade cost</x:v>
      </x:c>
      <x:c r="AB3454" s="36" t="str">
        <x:f>IF(ISNUMBER(Y3454),ROUND(Y3454*0.9,2),"")</x:f>
      </x:c>
      <x:c r="AC3454" s="36" t="str">
        <x:f>IF(ISNUMBER(AB3454),ROUND(AB3454-(AB3454*0.015+0.2)-V3454,2),"")</x:f>
      </x:c>
      <x:c r="AD3454" s="36" t="str">
        <x:f>IF(ISNUMBER(Y3454),ROUND(Y3454*0.8,2),"")</x:f>
      </x:c>
      <x:c r="AE3454" s="36" t="str">
        <x:f>IF(ISNUMBER(AD3454),ROUND(AD3454*0.015+0.2,2),"")</x:f>
      </x:c>
      <x:c r="AF3454" s="36" t="str">
        <x:f>IF(ISNUMBER(AD3454),ROUND(AD3454-AE3454-V3454,2),"")</x:f>
      </x:c>
      <x:c r="AG3454" t="str">
        <x:f>IF(NOT(ISNUMBER(T3454)),"PENDING",IF(AF3454&gt;0,"PASS","FAIL"))</x:f>
        <x:v>PENDING</x:v>
      </x:c>
      <x:c r="AH3454" t="str">
        <x:f>IF(NOT(ISNUMBER(T3454)),"Needs supplier cost",IF(K3454&lt;&gt;"In stock","Supplier unavailable",IF(AG3454&lt;&gt;"PASS","BLOCK - GT loss risk","Commercially protected")))</x:f>
        <x:v>Needs supplier cost</x:v>
      </x:c>
      <x:c r="AI3454" t="str">
        <x:v>2026-09-10 Active Sports trade capture</x:v>
      </x:c>
      <x:c r="AJ3454" t="str">
        <x:v>Management-only economics. Stripe stress test uses 1.5% + £0.20 standard UK online-card fee; pallet/mix-and-match pricing ignored.</x:v>
      </x:c>
    </x:row>
    <x:row r="3455">
      <x:c r="A3455" t="str">
        <x:v>Active Sports Nutrition</x:v>
      </x:c>
      <x:c r="B3455" t="str">
        <x:v>DNA Sports</x:v>
      </x:c>
      <x:c r="C3455" t="str">
        <x:v>VIBE</x:v>
      </x:c>
      <x:c r="D3455" t="str">
        <x:v>Supplements</x:v>
      </x:c>
      <x:c r="E3455" t="str">
        <x:v>Pre Workout</x:v>
      </x:c>
      <x:c r="F3455" t="str"/>
      <x:c r="G3455" t="str">
        <x:v>30 servings</x:v>
      </x:c>
      <x:c r="H3455" t="str">
        <x:v>Blue Ice Blast</x:v>
      </x:c>
      <x:c r="I3455" t="str"/>
      <x:c r="J3455" t="str">
        <x:v>Unit</x:v>
      </x:c>
      <x:c r="K3455" t="str">
        <x:v>In stock</x:v>
      </x:c>
      <x:c r="L3455" t="str">
        <x:v>2026-09-08</x:v>
      </x:c>
      <x:c r="M3455" t="str"/>
      <x:c r="N3455" t="str"/>
      <x:c r="O3455" t="str">
        <x:v>https://www.activesportstrade.co.uk/dna-sports-trade</x:v>
      </x:c>
      <x:c r="P3455" t="str"/>
      <x:c r="Q3455" t="str"/>
      <x:c r="R3455" t="str"/>
      <x:c r="S3455" t="str">
        <x:v>Pending genuine supplier/brand image</x:v>
      </x:c>
      <x:c r="T3455" s="54"/>
      <x:c r="U3455" s="47" t="n">
        <x:v>0.2</x:v>
      </x:c>
      <x:c r="V3455" s="54" t="str">
        <x:f>IF(ISNUMBER(T3455),T3455*(1+U3455),"")</x:f>
      </x:c>
      <x:c r="W3455" s="47" t="n">
        <x:v>0.3</x:v>
      </x:c>
      <x:c r="X3455" s="54" t="str">
        <x:f>IF(ISNUMBER(V3455),V3455/(1-W3455),"")</x:f>
      </x:c>
      <x:c r="Y3455" s="55" t="str">
        <x:f>IF(ISNUMBER(X3455),ROUNDUP(X3455,0),"")</x:f>
      </x:c>
      <x:c r="Z3455" t="str">
        <x:f>IF(ISNUMBER(T3455),"Cost captured","Awaiting trade cost")</x:f>
        <x:v>Awaiting trade cost</x:v>
      </x:c>
      <x:c r="AB3455" s="36" t="str">
        <x:f>IF(ISNUMBER(Y3455),ROUND(Y3455*0.9,2),"")</x:f>
      </x:c>
      <x:c r="AC3455" s="36" t="str">
        <x:f>IF(ISNUMBER(AB3455),ROUND(AB3455-(AB3455*0.015+0.2)-V3455,2),"")</x:f>
      </x:c>
      <x:c r="AD3455" s="36" t="str">
        <x:f>IF(ISNUMBER(Y3455),ROUND(Y3455*0.8,2),"")</x:f>
      </x:c>
      <x:c r="AE3455" s="36" t="str">
        <x:f>IF(ISNUMBER(AD3455),ROUND(AD3455*0.015+0.2,2),"")</x:f>
      </x:c>
      <x:c r="AF3455" s="36" t="str">
        <x:f>IF(ISNUMBER(AD3455),ROUND(AD3455-AE3455-V3455,2),"")</x:f>
      </x:c>
      <x:c r="AG3455" t="str">
        <x:f>IF(NOT(ISNUMBER(T3455)),"PENDING",IF(AF3455&gt;0,"PASS","FAIL"))</x:f>
        <x:v>PENDING</x:v>
      </x:c>
      <x:c r="AH3455" t="str">
        <x:f>IF(NOT(ISNUMBER(T3455)),"Needs supplier cost",IF(K3455&lt;&gt;"In stock","Supplier unavailable",IF(AG3455&lt;&gt;"PASS","BLOCK - GT loss risk","Commercially protected")))</x:f>
        <x:v>Needs supplier cost</x:v>
      </x:c>
      <x:c r="AI3455" t="str">
        <x:v>2026-09-10 Active Sports trade capture</x:v>
      </x:c>
      <x:c r="AJ3455" t="str">
        <x:v>Management-only economics. Stripe stress test uses 1.5% + £0.20 standard UK online-card fee; pallet/mix-and-match pricing ignored.</x:v>
      </x:c>
    </x:row>
    <x:row r="3456">
      <x:c r="A3456" t="str">
        <x:v>Active Sports Nutrition</x:v>
      </x:c>
      <x:c r="B3456" t="str">
        <x:v>DNA Sports</x:v>
      </x:c>
      <x:c r="C3456" t="str">
        <x:v>VIBE</x:v>
      </x:c>
      <x:c r="D3456" t="str">
        <x:v>Supplements</x:v>
      </x:c>
      <x:c r="E3456" t="str">
        <x:v>Pre Workout</x:v>
      </x:c>
      <x:c r="F3456" t="str"/>
      <x:c r="G3456" t="str">
        <x:v>30 servings</x:v>
      </x:c>
      <x:c r="H3456" t="str">
        <x:v>Cherry Cola</x:v>
      </x:c>
      <x:c r="I3456" t="str"/>
      <x:c r="J3456" t="str">
        <x:v>Unit</x:v>
      </x:c>
      <x:c r="K3456" t="str">
        <x:v>Out of stock</x:v>
      </x:c>
      <x:c r="L3456" t="str">
        <x:v>2026-09-08</x:v>
      </x:c>
      <x:c r="M3456" t="str"/>
      <x:c r="N3456" t="str"/>
      <x:c r="O3456" t="str">
        <x:v>https://www.activesportstrade.co.uk/dna-sports-trade</x:v>
      </x:c>
      <x:c r="P3456" t="str"/>
      <x:c r="Q3456" t="str"/>
      <x:c r="R3456" t="str"/>
      <x:c r="S3456" t="str">
        <x:v>Pending genuine supplier/brand image</x:v>
      </x:c>
      <x:c r="T3456" s="54"/>
      <x:c r="U3456" s="47" t="n">
        <x:v>0.2</x:v>
      </x:c>
      <x:c r="V3456" s="54" t="str">
        <x:f>IF(ISNUMBER(T3456),T3456*(1+U3456),"")</x:f>
      </x:c>
      <x:c r="W3456" s="47" t="n">
        <x:v>0.3</x:v>
      </x:c>
      <x:c r="X3456" s="54" t="str">
        <x:f>IF(ISNUMBER(V3456),V3456/(1-W3456),"")</x:f>
      </x:c>
      <x:c r="Y3456" s="55" t="str">
        <x:f>IF(ISNUMBER(X3456),ROUNDUP(X3456,0),"")</x:f>
      </x:c>
      <x:c r="Z3456" t="str">
        <x:f>IF(ISNUMBER(T3456),"Cost captured","Awaiting trade cost")</x:f>
        <x:v>Awaiting trade cost</x:v>
      </x:c>
      <x:c r="AB3456" s="36" t="str">
        <x:f>IF(ISNUMBER(Y3456),ROUND(Y3456*0.9,2),"")</x:f>
      </x:c>
      <x:c r="AC3456" s="36" t="str">
        <x:f>IF(ISNUMBER(AB3456),ROUND(AB3456-(AB3456*0.015+0.2)-V3456,2),"")</x:f>
      </x:c>
      <x:c r="AD3456" s="36" t="str">
        <x:f>IF(ISNUMBER(Y3456),ROUND(Y3456*0.8,2),"")</x:f>
      </x:c>
      <x:c r="AE3456" s="36" t="str">
        <x:f>IF(ISNUMBER(AD3456),ROUND(AD3456*0.015+0.2,2),"")</x:f>
      </x:c>
      <x:c r="AF3456" s="36" t="str">
        <x:f>IF(ISNUMBER(AD3456),ROUND(AD3456-AE3456-V3456,2),"")</x:f>
      </x:c>
      <x:c r="AG3456" t="str">
        <x:f>IF(NOT(ISNUMBER(T3456)),"PENDING",IF(AF3456&gt;0,"PASS","FAIL"))</x:f>
        <x:v>PENDING</x:v>
      </x:c>
      <x:c r="AH3456" t="str">
        <x:f>IF(NOT(ISNUMBER(T3456)),"Needs supplier cost",IF(K3456&lt;&gt;"In stock","Supplier unavailable",IF(AG3456&lt;&gt;"PASS","BLOCK - GT loss risk","Commercially protected")))</x:f>
        <x:v>Needs supplier cost</x:v>
      </x:c>
      <x:c r="AI3456" t="str">
        <x:v>2026-09-10 Active Sports trade capture</x:v>
      </x:c>
      <x:c r="AJ3456" t="str">
        <x:v>Management-only economics. Stripe stress test uses 1.5% + £0.20 standard UK online-card fee; pallet/mix-and-match pricing ignored.</x:v>
      </x:c>
    </x:row>
    <x:row r="3457">
      <x:c r="A3457" t="str">
        <x:v>Active Sports Nutrition</x:v>
      </x:c>
      <x:c r="B3457" t="str">
        <x:v>DNA Sports</x:v>
      </x:c>
      <x:c r="C3457" t="str">
        <x:v>VIBE</x:v>
      </x:c>
      <x:c r="D3457" t="str">
        <x:v>Supplements</x:v>
      </x:c>
      <x:c r="E3457" t="str">
        <x:v>Pre Workout</x:v>
      </x:c>
      <x:c r="F3457" t="str"/>
      <x:c r="G3457" t="str">
        <x:v>30 servings</x:v>
      </x:c>
      <x:c r="H3457" t="str">
        <x:v>Energy Drink</x:v>
      </x:c>
      <x:c r="I3457" t="str"/>
      <x:c r="J3457" t="str">
        <x:v>Unit</x:v>
      </x:c>
      <x:c r="K3457" t="str">
        <x:v>In stock</x:v>
      </x:c>
      <x:c r="L3457" t="str">
        <x:v>2026-09-08</x:v>
      </x:c>
      <x:c r="M3457" t="str"/>
      <x:c r="N3457" t="str"/>
      <x:c r="O3457" t="str">
        <x:v>https://www.activesportstrade.co.uk/dna-sports-trade</x:v>
      </x:c>
      <x:c r="P3457" t="str"/>
      <x:c r="Q3457" t="str"/>
      <x:c r="R3457" t="str"/>
      <x:c r="S3457" t="str">
        <x:v>Pending genuine supplier/brand image</x:v>
      </x:c>
      <x:c r="T3457" s="54"/>
      <x:c r="U3457" s="47" t="n">
        <x:v>0.2</x:v>
      </x:c>
      <x:c r="V3457" s="54" t="str">
        <x:f>IF(ISNUMBER(T3457),T3457*(1+U3457),"")</x:f>
      </x:c>
      <x:c r="W3457" s="47" t="n">
        <x:v>0.3</x:v>
      </x:c>
      <x:c r="X3457" s="54" t="str">
        <x:f>IF(ISNUMBER(V3457),V3457/(1-W3457),"")</x:f>
      </x:c>
      <x:c r="Y3457" s="55" t="str">
        <x:f>IF(ISNUMBER(X3457),ROUNDUP(X3457,0),"")</x:f>
      </x:c>
      <x:c r="Z3457" t="str">
        <x:f>IF(ISNUMBER(T3457),"Cost captured","Awaiting trade cost")</x:f>
        <x:v>Awaiting trade cost</x:v>
      </x:c>
      <x:c r="AB3457" s="36" t="str">
        <x:f>IF(ISNUMBER(Y3457),ROUND(Y3457*0.9,2),"")</x:f>
      </x:c>
      <x:c r="AC3457" s="36" t="str">
        <x:f>IF(ISNUMBER(AB3457),ROUND(AB3457-(AB3457*0.015+0.2)-V3457,2),"")</x:f>
      </x:c>
      <x:c r="AD3457" s="36" t="str">
        <x:f>IF(ISNUMBER(Y3457),ROUND(Y3457*0.8,2),"")</x:f>
      </x:c>
      <x:c r="AE3457" s="36" t="str">
        <x:f>IF(ISNUMBER(AD3457),ROUND(AD3457*0.015+0.2,2),"")</x:f>
      </x:c>
      <x:c r="AF3457" s="36" t="str">
        <x:f>IF(ISNUMBER(AD3457),ROUND(AD3457-AE3457-V3457,2),"")</x:f>
      </x:c>
      <x:c r="AG3457" t="str">
        <x:f>IF(NOT(ISNUMBER(T3457)),"PENDING",IF(AF3457&gt;0,"PASS","FAIL"))</x:f>
        <x:v>PENDING</x:v>
      </x:c>
      <x:c r="AH3457" t="str">
        <x:f>IF(NOT(ISNUMBER(T3457)),"Needs supplier cost",IF(K3457&lt;&gt;"In stock","Supplier unavailable",IF(AG3457&lt;&gt;"PASS","BLOCK - GT loss risk","Commercially protected")))</x:f>
        <x:v>Needs supplier cost</x:v>
      </x:c>
      <x:c r="AI3457" t="str">
        <x:v>2026-09-10 Active Sports trade capture</x:v>
      </x:c>
      <x:c r="AJ3457" t="str">
        <x:v>Management-only economics. Stripe stress test uses 1.5% + £0.20 standard UK online-card fee; pallet/mix-and-match pricing ignored.</x:v>
      </x:c>
    </x:row>
    <x:row r="3458">
      <x:c r="A3458" t="str">
        <x:v>Active Sports Nutrition</x:v>
      </x:c>
      <x:c r="B3458" t="str">
        <x:v>DNA Sports</x:v>
      </x:c>
      <x:c r="C3458" t="str">
        <x:v>VIBE</x:v>
      </x:c>
      <x:c r="D3458" t="str">
        <x:v>Supplements</x:v>
      </x:c>
      <x:c r="E3458" t="str">
        <x:v>Pre Workout</x:v>
      </x:c>
      <x:c r="F3458" t="str"/>
      <x:c r="G3458" t="str">
        <x:v>30 servings</x:v>
      </x:c>
      <x:c r="H3458" t="str">
        <x:v>Grape Soda</x:v>
      </x:c>
      <x:c r="I3458" t="str"/>
      <x:c r="J3458" t="str">
        <x:v>Unit</x:v>
      </x:c>
      <x:c r="K3458" t="str">
        <x:v>Out of stock</x:v>
      </x:c>
      <x:c r="L3458" t="str">
        <x:v>2026-09-08</x:v>
      </x:c>
      <x:c r="M3458" t="str"/>
      <x:c r="N3458" t="str"/>
      <x:c r="O3458" t="str">
        <x:v>https://www.activesportstrade.co.uk/dna-sports-trade</x:v>
      </x:c>
      <x:c r="P3458" t="str"/>
      <x:c r="Q3458" t="str"/>
      <x:c r="R3458" t="str"/>
      <x:c r="S3458" t="str">
        <x:v>Pending genuine supplier/brand image</x:v>
      </x:c>
      <x:c r="T3458" s="54"/>
      <x:c r="U3458" s="47" t="n">
        <x:v>0.2</x:v>
      </x:c>
      <x:c r="V3458" s="54" t="str">
        <x:f>IF(ISNUMBER(T3458),T3458*(1+U3458),"")</x:f>
      </x:c>
      <x:c r="W3458" s="47" t="n">
        <x:v>0.3</x:v>
      </x:c>
      <x:c r="X3458" s="54" t="str">
        <x:f>IF(ISNUMBER(V3458),V3458/(1-W3458),"")</x:f>
      </x:c>
      <x:c r="Y3458" s="55" t="str">
        <x:f>IF(ISNUMBER(X3458),ROUNDUP(X3458,0),"")</x:f>
      </x:c>
      <x:c r="Z3458" t="str">
        <x:f>IF(ISNUMBER(T3458),"Cost captured","Awaiting trade cost")</x:f>
        <x:v>Awaiting trade cost</x:v>
      </x:c>
      <x:c r="AB3458" s="36" t="str">
        <x:f>IF(ISNUMBER(Y3458),ROUND(Y3458*0.9,2),"")</x:f>
      </x:c>
      <x:c r="AC3458" s="36" t="str">
        <x:f>IF(ISNUMBER(AB3458),ROUND(AB3458-(AB3458*0.015+0.2)-V3458,2),"")</x:f>
      </x:c>
      <x:c r="AD3458" s="36" t="str">
        <x:f>IF(ISNUMBER(Y3458),ROUND(Y3458*0.8,2),"")</x:f>
      </x:c>
      <x:c r="AE3458" s="36" t="str">
        <x:f>IF(ISNUMBER(AD3458),ROUND(AD3458*0.015+0.2,2),"")</x:f>
      </x:c>
      <x:c r="AF3458" s="36" t="str">
        <x:f>IF(ISNUMBER(AD3458),ROUND(AD3458-AE3458-V3458,2),"")</x:f>
      </x:c>
      <x:c r="AG3458" t="str">
        <x:f>IF(NOT(ISNUMBER(T3458)),"PENDING",IF(AF3458&gt;0,"PASS","FAIL"))</x:f>
        <x:v>PENDING</x:v>
      </x:c>
      <x:c r="AH3458" t="str">
        <x:f>IF(NOT(ISNUMBER(T3458)),"Needs supplier cost",IF(K3458&lt;&gt;"In stock","Supplier unavailable",IF(AG3458&lt;&gt;"PASS","BLOCK - GT loss risk","Commercially protected")))</x:f>
        <x:v>Needs supplier cost</x:v>
      </x:c>
      <x:c r="AI3458" t="str">
        <x:v>2026-09-10 Active Sports trade capture</x:v>
      </x:c>
      <x:c r="AJ3458" t="str">
        <x:v>Management-only economics. Stripe stress test uses 1.5% + £0.20 standard UK online-card fee; pallet/mix-and-match pricing ignored.</x:v>
      </x:c>
    </x:row>
    <x:row r="3459">
      <x:c r="A3459" t="str">
        <x:v>Active Sports Nutrition</x:v>
      </x:c>
      <x:c r="B3459" t="str">
        <x:v>DNA Sports</x:v>
      </x:c>
      <x:c r="C3459" t="str">
        <x:v>VIBE</x:v>
      </x:c>
      <x:c r="D3459" t="str">
        <x:v>Supplements</x:v>
      </x:c>
      <x:c r="E3459" t="str">
        <x:v>Pre Workout</x:v>
      </x:c>
      <x:c r="F3459" t="str"/>
      <x:c r="G3459" t="str">
        <x:v>30 servings</x:v>
      </x:c>
      <x:c r="H3459" t="str">
        <x:v>Rocket Pop</x:v>
      </x:c>
      <x:c r="I3459" t="str"/>
      <x:c r="J3459" t="str">
        <x:v>Unit</x:v>
      </x:c>
      <x:c r="K3459" t="str">
        <x:v>In stock</x:v>
      </x:c>
      <x:c r="L3459" t="str">
        <x:v>2026-09-08</x:v>
      </x:c>
      <x:c r="M3459" t="str"/>
      <x:c r="N3459" t="str"/>
      <x:c r="O3459" t="str">
        <x:v>https://www.activesportstrade.co.uk/dna-sports-trade</x:v>
      </x:c>
      <x:c r="P3459" t="str"/>
      <x:c r="Q3459" t="str"/>
      <x:c r="R3459" t="str"/>
      <x:c r="S3459" t="str">
        <x:v>Pending genuine supplier/brand image</x:v>
      </x:c>
      <x:c r="T3459" s="54"/>
      <x:c r="U3459" s="47" t="n">
        <x:v>0.2</x:v>
      </x:c>
      <x:c r="V3459" s="54" t="str">
        <x:f>IF(ISNUMBER(T3459),T3459*(1+U3459),"")</x:f>
      </x:c>
      <x:c r="W3459" s="47" t="n">
        <x:v>0.3</x:v>
      </x:c>
      <x:c r="X3459" s="54" t="str">
        <x:f>IF(ISNUMBER(V3459),V3459/(1-W3459),"")</x:f>
      </x:c>
      <x:c r="Y3459" s="55" t="str">
        <x:f>IF(ISNUMBER(X3459),ROUNDUP(X3459,0),"")</x:f>
      </x:c>
      <x:c r="Z3459" t="str">
        <x:f>IF(ISNUMBER(T3459),"Cost captured","Awaiting trade cost")</x:f>
        <x:v>Awaiting trade cost</x:v>
      </x:c>
      <x:c r="AB3459" s="36" t="str">
        <x:f>IF(ISNUMBER(Y3459),ROUND(Y3459*0.9,2),"")</x:f>
      </x:c>
      <x:c r="AC3459" s="36" t="str">
        <x:f>IF(ISNUMBER(AB3459),ROUND(AB3459-(AB3459*0.015+0.2)-V3459,2),"")</x:f>
      </x:c>
      <x:c r="AD3459" s="36" t="str">
        <x:f>IF(ISNUMBER(Y3459),ROUND(Y3459*0.8,2),"")</x:f>
      </x:c>
      <x:c r="AE3459" s="36" t="str">
        <x:f>IF(ISNUMBER(AD3459),ROUND(AD3459*0.015+0.2,2),"")</x:f>
      </x:c>
      <x:c r="AF3459" s="36" t="str">
        <x:f>IF(ISNUMBER(AD3459),ROUND(AD3459-AE3459-V3459,2),"")</x:f>
      </x:c>
      <x:c r="AG3459" t="str">
        <x:f>IF(NOT(ISNUMBER(T3459)),"PENDING",IF(AF3459&gt;0,"PASS","FAIL"))</x:f>
        <x:v>PENDING</x:v>
      </x:c>
      <x:c r="AH3459" t="str">
        <x:f>IF(NOT(ISNUMBER(T3459)),"Needs supplier cost",IF(K3459&lt;&gt;"In stock","Supplier unavailable",IF(AG3459&lt;&gt;"PASS","BLOCK - GT loss risk","Commercially protected")))</x:f>
        <x:v>Needs supplier cost</x:v>
      </x:c>
      <x:c r="AI3459" t="str">
        <x:v>2026-09-10 Active Sports trade capture</x:v>
      </x:c>
      <x:c r="AJ3459" t="str">
        <x:v>Management-only economics. Stripe stress test uses 1.5% + £0.20 standard UK online-card fee; pallet/mix-and-match pricing ignored.</x:v>
      </x:c>
    </x:row>
    <x:row r="3460">
      <x:c r="A3460" t="str">
        <x:v>Active Sports Nutrition</x:v>
      </x:c>
      <x:c r="B3460" t="str">
        <x:v>DNA Sports</x:v>
      </x:c>
      <x:c r="C3460" t="str">
        <x:v>VIBE</x:v>
      </x:c>
      <x:c r="D3460" t="str">
        <x:v>Supplements</x:v>
      </x:c>
      <x:c r="E3460" t="str">
        <x:v>Pre Workout</x:v>
      </x:c>
      <x:c r="F3460" t="str"/>
      <x:c r="G3460" t="str">
        <x:v>30 servings</x:v>
      </x:c>
      <x:c r="H3460" t="str">
        <x:v>Sherbet Surge</x:v>
      </x:c>
      <x:c r="I3460" t="str"/>
      <x:c r="J3460" t="str">
        <x:v>Unit</x:v>
      </x:c>
      <x:c r="K3460" t="str">
        <x:v>In stock</x:v>
      </x:c>
      <x:c r="L3460" t="str">
        <x:v>2026-09-08</x:v>
      </x:c>
      <x:c r="M3460" t="str"/>
      <x:c r="N3460" t="str"/>
      <x:c r="O3460" t="str">
        <x:v>https://www.activesportstrade.co.uk/dna-sports-trade</x:v>
      </x:c>
      <x:c r="P3460" t="str"/>
      <x:c r="Q3460" t="str"/>
      <x:c r="R3460" t="str"/>
      <x:c r="S3460" t="str">
        <x:v>Pending genuine supplier/brand image</x:v>
      </x:c>
      <x:c r="T3460" s="54"/>
      <x:c r="U3460" s="47" t="n">
        <x:v>0.2</x:v>
      </x:c>
      <x:c r="V3460" s="54" t="str">
        <x:f>IF(ISNUMBER(T3460),T3460*(1+U3460),"")</x:f>
      </x:c>
      <x:c r="W3460" s="47" t="n">
        <x:v>0.3</x:v>
      </x:c>
      <x:c r="X3460" s="54" t="str">
        <x:f>IF(ISNUMBER(V3460),V3460/(1-W3460),"")</x:f>
      </x:c>
      <x:c r="Y3460" s="55" t="str">
        <x:f>IF(ISNUMBER(X3460),ROUNDUP(X3460,0),"")</x:f>
      </x:c>
      <x:c r="Z3460" t="str">
        <x:f>IF(ISNUMBER(T3460),"Cost captured","Awaiting trade cost")</x:f>
        <x:v>Awaiting trade cost</x:v>
      </x:c>
      <x:c r="AB3460" s="36" t="str">
        <x:f>IF(ISNUMBER(Y3460),ROUND(Y3460*0.9,2),"")</x:f>
      </x:c>
      <x:c r="AC3460" s="36" t="str">
        <x:f>IF(ISNUMBER(AB3460),ROUND(AB3460-(AB3460*0.015+0.2)-V3460,2),"")</x:f>
      </x:c>
      <x:c r="AD3460" s="36" t="str">
        <x:f>IF(ISNUMBER(Y3460),ROUND(Y3460*0.8,2),"")</x:f>
      </x:c>
      <x:c r="AE3460" s="36" t="str">
        <x:f>IF(ISNUMBER(AD3460),ROUND(AD3460*0.015+0.2,2),"")</x:f>
      </x:c>
      <x:c r="AF3460" s="36" t="str">
        <x:f>IF(ISNUMBER(AD3460),ROUND(AD3460-AE3460-V3460,2),"")</x:f>
      </x:c>
      <x:c r="AG3460" t="str">
        <x:f>IF(NOT(ISNUMBER(T3460)),"PENDING",IF(AF3460&gt;0,"PASS","FAIL"))</x:f>
        <x:v>PENDING</x:v>
      </x:c>
      <x:c r="AH3460" t="str">
        <x:f>IF(NOT(ISNUMBER(T3460)),"Needs supplier cost",IF(K3460&lt;&gt;"In stock","Supplier unavailable",IF(AG3460&lt;&gt;"PASS","BLOCK - GT loss risk","Commercially protected")))</x:f>
        <x:v>Needs supplier cost</x:v>
      </x:c>
      <x:c r="AI3460" t="str">
        <x:v>2026-09-10 Active Sports trade capture</x:v>
      </x:c>
      <x:c r="AJ3460" t="str">
        <x:v>Management-only economics. Stripe stress test uses 1.5% + £0.20 standard UK online-card fee; pallet/mix-and-match pricing ignored.</x:v>
      </x:c>
    </x:row>
    <x:row r="3461">
      <x:c r="A3461" t="str">
        <x:v>Active Sports Nutrition</x:v>
      </x:c>
      <x:c r="B3461" t="str">
        <x:v>DNA Sports</x:v>
      </x:c>
      <x:c r="C3461" t="str">
        <x:v>VIBE</x:v>
      </x:c>
      <x:c r="D3461" t="str">
        <x:v>Supplements</x:v>
      </x:c>
      <x:c r="E3461" t="str">
        <x:v>Pre Workout</x:v>
      </x:c>
      <x:c r="F3461" t="str"/>
      <x:c r="G3461" t="str">
        <x:v>30 servings</x:v>
      </x:c>
      <x:c r="H3461" t="str">
        <x:v>Strawberry Bubblegum</x:v>
      </x:c>
      <x:c r="I3461" t="str"/>
      <x:c r="J3461" t="str">
        <x:v>Unit</x:v>
      </x:c>
      <x:c r="K3461" t="str">
        <x:v>In stock</x:v>
      </x:c>
      <x:c r="L3461" t="str">
        <x:v>2026-09-08</x:v>
      </x:c>
      <x:c r="M3461" t="str"/>
      <x:c r="N3461" t="str"/>
      <x:c r="O3461" t="str">
        <x:v>https://www.activesportstrade.co.uk/dna-sports-trade</x:v>
      </x:c>
      <x:c r="P3461" t="str"/>
      <x:c r="Q3461" t="str"/>
      <x:c r="R3461" t="str"/>
      <x:c r="S3461" t="str">
        <x:v>Pending genuine supplier/brand image</x:v>
      </x:c>
      <x:c r="T3461" s="54"/>
      <x:c r="U3461" s="47" t="n">
        <x:v>0.2</x:v>
      </x:c>
      <x:c r="V3461" s="54" t="str">
        <x:f>IF(ISNUMBER(T3461),T3461*(1+U3461),"")</x:f>
      </x:c>
      <x:c r="W3461" s="47" t="n">
        <x:v>0.3</x:v>
      </x:c>
      <x:c r="X3461" s="54" t="str">
        <x:f>IF(ISNUMBER(V3461),V3461/(1-W3461),"")</x:f>
      </x:c>
      <x:c r="Y3461" s="55" t="str">
        <x:f>IF(ISNUMBER(X3461),ROUNDUP(X3461,0),"")</x:f>
      </x:c>
      <x:c r="Z3461" t="str">
        <x:f>IF(ISNUMBER(T3461),"Cost captured","Awaiting trade cost")</x:f>
        <x:v>Awaiting trade cost</x:v>
      </x:c>
      <x:c r="AB3461" s="36" t="str">
        <x:f>IF(ISNUMBER(Y3461),ROUND(Y3461*0.9,2),"")</x:f>
      </x:c>
      <x:c r="AC3461" s="36" t="str">
        <x:f>IF(ISNUMBER(AB3461),ROUND(AB3461-(AB3461*0.015+0.2)-V3461,2),"")</x:f>
      </x:c>
      <x:c r="AD3461" s="36" t="str">
        <x:f>IF(ISNUMBER(Y3461),ROUND(Y3461*0.8,2),"")</x:f>
      </x:c>
      <x:c r="AE3461" s="36" t="str">
        <x:f>IF(ISNUMBER(AD3461),ROUND(AD3461*0.015+0.2,2),"")</x:f>
      </x:c>
      <x:c r="AF3461" s="36" t="str">
        <x:f>IF(ISNUMBER(AD3461),ROUND(AD3461-AE3461-V3461,2),"")</x:f>
      </x:c>
      <x:c r="AG3461" t="str">
        <x:f>IF(NOT(ISNUMBER(T3461)),"PENDING",IF(AF3461&gt;0,"PASS","FAIL"))</x:f>
        <x:v>PENDING</x:v>
      </x:c>
      <x:c r="AH3461" t="str">
        <x:f>IF(NOT(ISNUMBER(T3461)),"Needs supplier cost",IF(K3461&lt;&gt;"In stock","Supplier unavailable",IF(AG3461&lt;&gt;"PASS","BLOCK - GT loss risk","Commercially protected")))</x:f>
        <x:v>Needs supplier cost</x:v>
      </x:c>
      <x:c r="AI3461" t="str">
        <x:v>2026-09-10 Active Sports trade capture</x:v>
      </x:c>
      <x:c r="AJ3461" t="str">
        <x:v>Management-only economics. Stripe stress test uses 1.5% + £0.20 standard UK online-card fee; pallet/mix-and-match pricing ignored.</x:v>
      </x:c>
    </x:row>
    <x:row r="3462">
      <x:c r="A3462" t="str">
        <x:v>Active Sports Nutrition</x:v>
      </x:c>
      <x:c r="B3462" t="str">
        <x:v>Dorian Yates - DY Nutrition - Shadow Line</x:v>
      </x:c>
      <x:c r="C3462" t="str">
        <x:v>Yates Whey Protein Bar</x:v>
      </x:c>
      <x:c r="D3462" t="str">
        <x:v>Food &amp; Drinks</x:v>
      </x:c>
      <x:c r="E3462" t="str">
        <x:v>Protein Bars</x:v>
      </x:c>
      <x:c r="F3462" t="str"/>
      <x:c r="G3462" t="str">
        <x:v>12 bars</x:v>
      </x:c>
      <x:c r="H3462" t="str">
        <x:v>Chocolate Peanut</x:v>
      </x:c>
      <x:c r="I3462" t="str">
        <x:v>12</x:v>
      </x:c>
      <x:c r="J3462" t="str">
        <x:v>Case</x:v>
      </x:c>
      <x:c r="K3462" t="str">
        <x:v>In stock</x:v>
      </x:c>
      <x:c r="L3462" t="str">
        <x:v>2026-09-08</x:v>
      </x:c>
      <x:c r="M3462" t="str"/>
      <x:c r="N3462" t="str"/>
      <x:c r="O3462" t="str">
        <x:v>https://www.activesportstrade.co.uk/Protein-Bars</x:v>
      </x:c>
      <x:c r="P3462" t="str"/>
      <x:c r="Q3462" t="str"/>
      <x:c r="R3462" t="str"/>
      <x:c r="S3462" t="str">
        <x:v>Pending genuine supplier/brand image</x:v>
      </x:c>
      <x:c r="T3462" s="54"/>
      <x:c r="U3462" s="47" t="n">
        <x:v>0.2</x:v>
      </x:c>
      <x:c r="V3462" s="54" t="str">
        <x:f>IF(ISNUMBER(T3462),T3462*(1+U3462),"")</x:f>
      </x:c>
      <x:c r="W3462" s="47" t="n">
        <x:v>0.3</x:v>
      </x:c>
      <x:c r="X3462" s="54" t="str">
        <x:f>IF(ISNUMBER(V3462),V3462/(1-W3462),"")</x:f>
      </x:c>
      <x:c r="Y3462" s="55" t="str">
        <x:f>IF(ISNUMBER(X3462),ROUNDUP(X3462,0),"")</x:f>
      </x:c>
      <x:c r="Z3462" t="str">
        <x:f>IF(ISNUMBER(T3462),"Cost captured","Awaiting trade cost")</x:f>
        <x:v>Awaiting trade cost</x:v>
      </x:c>
      <x:c r="AB3462" s="36" t="str">
        <x:f>IF(ISNUMBER(Y3462),ROUND(Y3462*0.9,2),"")</x:f>
      </x:c>
      <x:c r="AC3462" s="36" t="str">
        <x:f>IF(ISNUMBER(AB3462),ROUND(AB3462-(AB3462*0.015+0.2)-V3462,2),"")</x:f>
      </x:c>
      <x:c r="AD3462" s="36" t="str">
        <x:f>IF(ISNUMBER(Y3462),ROUND(Y3462*0.8,2),"")</x:f>
      </x:c>
      <x:c r="AE3462" s="36" t="str">
        <x:f>IF(ISNUMBER(AD3462),ROUND(AD3462*0.015+0.2,2),"")</x:f>
      </x:c>
      <x:c r="AF3462" s="36" t="str">
        <x:f>IF(ISNUMBER(AD3462),ROUND(AD3462-AE3462-V3462,2),"")</x:f>
      </x:c>
      <x:c r="AG3462" t="str">
        <x:f>IF(NOT(ISNUMBER(T3462)),"PENDING",IF(AF3462&gt;0,"PASS","FAIL"))</x:f>
        <x:v>PENDING</x:v>
      </x:c>
      <x:c r="AH3462" t="str">
        <x:f>IF(NOT(ISNUMBER(T3462)),"Needs supplier cost",IF(K3462&lt;&gt;"In stock","Supplier unavailable",IF(AG3462&lt;&gt;"PASS","BLOCK - GT loss risk","Commercially protected")))</x:f>
        <x:v>Needs supplier cost</x:v>
      </x:c>
      <x:c r="AI3462" t="str">
        <x:v>2026-09-10 Active Sports trade capture</x:v>
      </x:c>
      <x:c r="AJ3462" t="str">
        <x:v>Management-only economics. Stripe stress test uses 1.5% + £0.20 standard UK online-card fee; pallet/mix-and-match pricing ignored.</x:v>
      </x:c>
    </x:row>
    <x:row r="3463">
      <x:c r="A3463" t="str">
        <x:v>Active Sports Nutrition</x:v>
      </x:c>
      <x:c r="B3463" t="str">
        <x:v>Dorian Yates - DY Nutrition - Shadow Line</x:v>
      </x:c>
      <x:c r="C3463" t="str">
        <x:v>Yates Whey Protein Bar</x:v>
      </x:c>
      <x:c r="D3463" t="str">
        <x:v>Food &amp; Drinks</x:v>
      </x:c>
      <x:c r="E3463" t="str">
        <x:v>Protein Bars</x:v>
      </x:c>
      <x:c r="F3463" t="str"/>
      <x:c r="G3463" t="str">
        <x:v>12 bars</x:v>
      </x:c>
      <x:c r="H3463" t="str">
        <x:v>White Chocolate Blondie</x:v>
      </x:c>
      <x:c r="I3463" t="str">
        <x:v>12</x:v>
      </x:c>
      <x:c r="J3463" t="str">
        <x:v>Case</x:v>
      </x:c>
      <x:c r="K3463" t="str">
        <x:v>In stock</x:v>
      </x:c>
      <x:c r="L3463" t="str">
        <x:v>2026-09-08</x:v>
      </x:c>
      <x:c r="M3463" t="str"/>
      <x:c r="N3463" t="str"/>
      <x:c r="O3463" t="str">
        <x:v>https://www.activesportstrade.co.uk/Protein-Bars</x:v>
      </x:c>
      <x:c r="P3463" t="str"/>
      <x:c r="Q3463" t="str"/>
      <x:c r="R3463" t="str"/>
      <x:c r="S3463" t="str">
        <x:v>Pending genuine supplier/brand image</x:v>
      </x:c>
      <x:c r="T3463" s="54"/>
      <x:c r="U3463" s="47" t="n">
        <x:v>0.2</x:v>
      </x:c>
      <x:c r="V3463" s="54" t="str">
        <x:f>IF(ISNUMBER(T3463),T3463*(1+U3463),"")</x:f>
      </x:c>
      <x:c r="W3463" s="47" t="n">
        <x:v>0.3</x:v>
      </x:c>
      <x:c r="X3463" s="54" t="str">
        <x:f>IF(ISNUMBER(V3463),V3463/(1-W3463),"")</x:f>
      </x:c>
      <x:c r="Y3463" s="55" t="str">
        <x:f>IF(ISNUMBER(X3463),ROUNDUP(X3463,0),"")</x:f>
      </x:c>
      <x:c r="Z3463" t="str">
        <x:f>IF(ISNUMBER(T3463),"Cost captured","Awaiting trade cost")</x:f>
        <x:v>Awaiting trade cost</x:v>
      </x:c>
      <x:c r="AB3463" s="36" t="str">
        <x:f>IF(ISNUMBER(Y3463),ROUND(Y3463*0.9,2),"")</x:f>
      </x:c>
      <x:c r="AC3463" s="36" t="str">
        <x:f>IF(ISNUMBER(AB3463),ROUND(AB3463-(AB3463*0.015+0.2)-V3463,2),"")</x:f>
      </x:c>
      <x:c r="AD3463" s="36" t="str">
        <x:f>IF(ISNUMBER(Y3463),ROUND(Y3463*0.8,2),"")</x:f>
      </x:c>
      <x:c r="AE3463" s="36" t="str">
        <x:f>IF(ISNUMBER(AD3463),ROUND(AD3463*0.015+0.2,2),"")</x:f>
      </x:c>
      <x:c r="AF3463" s="36" t="str">
        <x:f>IF(ISNUMBER(AD3463),ROUND(AD3463-AE3463-V3463,2),"")</x:f>
      </x:c>
      <x:c r="AG3463" t="str">
        <x:f>IF(NOT(ISNUMBER(T3463)),"PENDING",IF(AF3463&gt;0,"PASS","FAIL"))</x:f>
        <x:v>PENDING</x:v>
      </x:c>
      <x:c r="AH3463" t="str">
        <x:f>IF(NOT(ISNUMBER(T3463)),"Needs supplier cost",IF(K3463&lt;&gt;"In stock","Supplier unavailable",IF(AG3463&lt;&gt;"PASS","BLOCK - GT loss risk","Commercially protected")))</x:f>
        <x:v>Needs supplier cost</x:v>
      </x:c>
      <x:c r="AI3463" t="str">
        <x:v>2026-09-10 Active Sports trade capture</x:v>
      </x:c>
      <x:c r="AJ3463" t="str">
        <x:v>Management-only economics. Stripe stress test uses 1.5% + £0.20 standard UK online-card fee; pallet/mix-and-match pricing ignored.</x:v>
      </x:c>
    </x:row>
    <x:row r="3464">
      <x:c r="A3464" t="str">
        <x:v>Active Sports Nutrition</x:v>
      </x:c>
      <x:c r="B3464" t="str">
        <x:v>Quest Nutrition</x:v>
      </x:c>
      <x:c r="C3464" t="str">
        <x:v>Bake Shop Donuts</x:v>
      </x:c>
      <x:c r="D3464" t="str">
        <x:v>Food &amp; Drinks</x:v>
      </x:c>
      <x:c r="E3464" t="str">
        <x:v>Protein Bakery</x:v>
      </x:c>
      <x:c r="F3464" t="str"/>
      <x:c r="G3464" t="str">
        <x:v>9 x 67g</x:v>
      </x:c>
      <x:c r="H3464" t="str">
        <x:v>Chocolate Frosted</x:v>
      </x:c>
      <x:c r="I3464" t="str">
        <x:v>9</x:v>
      </x:c>
      <x:c r="J3464" t="str">
        <x:v>Case</x:v>
      </x:c>
      <x:c r="K3464" t="str">
        <x:v>In stock</x:v>
      </x:c>
      <x:c r="L3464" t="str">
        <x:v>2026-09-08</x:v>
      </x:c>
      <x:c r="M3464" t="str"/>
      <x:c r="N3464" t="str"/>
      <x:c r="O3464" t="str">
        <x:v>https://www.activesportstrade.co.uk/quest-trade</x:v>
      </x:c>
      <x:c r="P3464" t="str"/>
      <x:c r="Q3464" t="str"/>
      <x:c r="R3464" t="str"/>
      <x:c r="S3464" t="str">
        <x:v>Pending genuine supplier/brand image</x:v>
      </x:c>
      <x:c r="T3464" s="54"/>
      <x:c r="U3464" s="47" t="n">
        <x:v>0.2</x:v>
      </x:c>
      <x:c r="V3464" s="54" t="str">
        <x:f>IF(ISNUMBER(T3464),T3464*(1+U3464),"")</x:f>
      </x:c>
      <x:c r="W3464" s="47" t="n">
        <x:v>0.3</x:v>
      </x:c>
      <x:c r="X3464" s="54" t="str">
        <x:f>IF(ISNUMBER(V3464),V3464/(1-W3464),"")</x:f>
      </x:c>
      <x:c r="Y3464" s="55" t="str">
        <x:f>IF(ISNUMBER(X3464),ROUNDUP(X3464,0),"")</x:f>
      </x:c>
      <x:c r="Z3464" t="str">
        <x:f>IF(ISNUMBER(T3464),"Cost captured","Awaiting trade cost")</x:f>
        <x:v>Awaiting trade cost</x:v>
      </x:c>
      <x:c r="AB3464" s="36" t="str">
        <x:f>IF(ISNUMBER(Y3464),ROUND(Y3464*0.9,2),"")</x:f>
      </x:c>
      <x:c r="AC3464" s="36" t="str">
        <x:f>IF(ISNUMBER(AB3464),ROUND(AB3464-(AB3464*0.015+0.2)-V3464,2),"")</x:f>
      </x:c>
      <x:c r="AD3464" s="36" t="str">
        <x:f>IF(ISNUMBER(Y3464),ROUND(Y3464*0.8,2),"")</x:f>
      </x:c>
      <x:c r="AE3464" s="36" t="str">
        <x:f>IF(ISNUMBER(AD3464),ROUND(AD3464*0.015+0.2,2),"")</x:f>
      </x:c>
      <x:c r="AF3464" s="36" t="str">
        <x:f>IF(ISNUMBER(AD3464),ROUND(AD3464-AE3464-V3464,2),"")</x:f>
      </x:c>
      <x:c r="AG3464" t="str">
        <x:f>IF(NOT(ISNUMBER(T3464)),"PENDING",IF(AF3464&gt;0,"PASS","FAIL"))</x:f>
        <x:v>PENDING</x:v>
      </x:c>
      <x:c r="AH3464" t="str">
        <x:f>IF(NOT(ISNUMBER(T3464)),"Needs supplier cost",IF(K3464&lt;&gt;"In stock","Supplier unavailable",IF(AG3464&lt;&gt;"PASS","BLOCK - GT loss risk","Commercially protected")))</x:f>
        <x:v>Needs supplier cost</x:v>
      </x:c>
      <x:c r="AI3464" t="str">
        <x:v>2026-09-10 Active Sports trade capture</x:v>
      </x:c>
      <x:c r="AJ3464" t="str">
        <x:v>Management-only economics. Stripe stress test uses 1.5% + £0.20 standard UK online-card fee; pallet/mix-and-match pricing ignored.</x:v>
      </x:c>
    </x:row>
    <x:row r="3465">
      <x:c r="A3465" t="str">
        <x:v>Active Sports Nutrition</x:v>
      </x:c>
      <x:c r="B3465" t="str">
        <x:v>Quest Nutrition</x:v>
      </x:c>
      <x:c r="C3465" t="str">
        <x:v>Bake Shop Muffins</x:v>
      </x:c>
      <x:c r="D3465" t="str">
        <x:v>Food &amp; Drinks</x:v>
      </x:c>
      <x:c r="E3465" t="str">
        <x:v>Protein Bakery</x:v>
      </x:c>
      <x:c r="F3465" t="str"/>
      <x:c r="G3465" t="str">
        <x:v>8 x 57g</x:v>
      </x:c>
      <x:c r="H3465" t="str">
        <x:v>Blueberry</x:v>
      </x:c>
      <x:c r="I3465" t="str">
        <x:v>8</x:v>
      </x:c>
      <x:c r="J3465" t="str">
        <x:v>Case</x:v>
      </x:c>
      <x:c r="K3465" t="str">
        <x:v>In stock</x:v>
      </x:c>
      <x:c r="L3465" t="str">
        <x:v>2026-09-08</x:v>
      </x:c>
      <x:c r="M3465" t="str"/>
      <x:c r="N3465" t="str"/>
      <x:c r="O3465" t="str">
        <x:v>https://www.activesportstrade.co.uk/quest-trade</x:v>
      </x:c>
      <x:c r="P3465" t="str"/>
      <x:c r="Q3465" t="str"/>
      <x:c r="R3465" t="str"/>
      <x:c r="S3465" t="str">
        <x:v>Pending genuine supplier/brand image</x:v>
      </x:c>
      <x:c r="T3465" s="54"/>
      <x:c r="U3465" s="47" t="n">
        <x:v>0.2</x:v>
      </x:c>
      <x:c r="V3465" s="54" t="str">
        <x:f>IF(ISNUMBER(T3465),T3465*(1+U3465),"")</x:f>
      </x:c>
      <x:c r="W3465" s="47" t="n">
        <x:v>0.3</x:v>
      </x:c>
      <x:c r="X3465" s="54" t="str">
        <x:f>IF(ISNUMBER(V3465),V3465/(1-W3465),"")</x:f>
      </x:c>
      <x:c r="Y3465" s="55" t="str">
        <x:f>IF(ISNUMBER(X3465),ROUNDUP(X3465,0),"")</x:f>
      </x:c>
      <x:c r="Z3465" t="str">
        <x:f>IF(ISNUMBER(T3465),"Cost captured","Awaiting trade cost")</x:f>
        <x:v>Awaiting trade cost</x:v>
      </x:c>
      <x:c r="AB3465" s="36" t="str">
        <x:f>IF(ISNUMBER(Y3465),ROUND(Y3465*0.9,2),"")</x:f>
      </x:c>
      <x:c r="AC3465" s="36" t="str">
        <x:f>IF(ISNUMBER(AB3465),ROUND(AB3465-(AB3465*0.015+0.2)-V3465,2),"")</x:f>
      </x:c>
      <x:c r="AD3465" s="36" t="str">
        <x:f>IF(ISNUMBER(Y3465),ROUND(Y3465*0.8,2),"")</x:f>
      </x:c>
      <x:c r="AE3465" s="36" t="str">
        <x:f>IF(ISNUMBER(AD3465),ROUND(AD3465*0.015+0.2,2),"")</x:f>
      </x:c>
      <x:c r="AF3465" s="36" t="str">
        <x:f>IF(ISNUMBER(AD3465),ROUND(AD3465-AE3465-V3465,2),"")</x:f>
      </x:c>
      <x:c r="AG3465" t="str">
        <x:f>IF(NOT(ISNUMBER(T3465)),"PENDING",IF(AF3465&gt;0,"PASS","FAIL"))</x:f>
        <x:v>PENDING</x:v>
      </x:c>
      <x:c r="AH3465" t="str">
        <x:f>IF(NOT(ISNUMBER(T3465)),"Needs supplier cost",IF(K3465&lt;&gt;"In stock","Supplier unavailable",IF(AG3465&lt;&gt;"PASS","BLOCK - GT loss risk","Commercially protected")))</x:f>
        <x:v>Needs supplier cost</x:v>
      </x:c>
      <x:c r="AI3465" t="str">
        <x:v>2026-09-10 Active Sports trade capture</x:v>
      </x:c>
      <x:c r="AJ3465" t="str">
        <x:v>Management-only economics. Stripe stress test uses 1.5% + £0.20 standard UK online-card fee; pallet/mix-and-match pricing ignored.</x:v>
      </x:c>
    </x:row>
    <x:row r="3466">
      <x:c r="A3466" t="str">
        <x:v>Active Sports Nutrition</x:v>
      </x:c>
      <x:c r="B3466" t="str">
        <x:v>Quest Nutrition</x:v>
      </x:c>
      <x:c r="C3466" t="str">
        <x:v>Bake Shop Muffins</x:v>
      </x:c>
      <x:c r="D3466" t="str">
        <x:v>Food &amp; Drinks</x:v>
      </x:c>
      <x:c r="E3466" t="str">
        <x:v>Protein Bakery</x:v>
      </x:c>
      <x:c r="F3466" t="str"/>
      <x:c r="G3466" t="str">
        <x:v>8 x 57g</x:v>
      </x:c>
      <x:c r="H3466" t="str">
        <x:v>Chocolate Chip</x:v>
      </x:c>
      <x:c r="I3466" t="str">
        <x:v>8</x:v>
      </x:c>
      <x:c r="J3466" t="str">
        <x:v>Case</x:v>
      </x:c>
      <x:c r="K3466" t="str">
        <x:v>Out of stock</x:v>
      </x:c>
      <x:c r="L3466" t="str">
        <x:v>2026-09-08</x:v>
      </x:c>
      <x:c r="M3466" t="str"/>
      <x:c r="N3466" t="str"/>
      <x:c r="O3466" t="str">
        <x:v>https://www.activesportstrade.co.uk/quest-trade</x:v>
      </x:c>
      <x:c r="P3466" t="str"/>
      <x:c r="Q3466" t="str"/>
      <x:c r="R3466" t="str"/>
      <x:c r="S3466" t="str">
        <x:v>Pending genuine supplier/brand image</x:v>
      </x:c>
      <x:c r="T3466" s="54"/>
      <x:c r="U3466" s="47" t="n">
        <x:v>0.2</x:v>
      </x:c>
      <x:c r="V3466" s="54" t="str">
        <x:f>IF(ISNUMBER(T3466),T3466*(1+U3466),"")</x:f>
      </x:c>
      <x:c r="W3466" s="47" t="n">
        <x:v>0.3</x:v>
      </x:c>
      <x:c r="X3466" s="54" t="str">
        <x:f>IF(ISNUMBER(V3466),V3466/(1-W3466),"")</x:f>
      </x:c>
      <x:c r="Y3466" s="55" t="str">
        <x:f>IF(ISNUMBER(X3466),ROUNDUP(X3466,0),"")</x:f>
      </x:c>
      <x:c r="Z3466" t="str">
        <x:f>IF(ISNUMBER(T3466),"Cost captured","Awaiting trade cost")</x:f>
        <x:v>Awaiting trade cost</x:v>
      </x:c>
      <x:c r="AB3466" s="36" t="str">
        <x:f>IF(ISNUMBER(Y3466),ROUND(Y3466*0.9,2),"")</x:f>
      </x:c>
      <x:c r="AC3466" s="36" t="str">
        <x:f>IF(ISNUMBER(AB3466),ROUND(AB3466-(AB3466*0.015+0.2)-V3466,2),"")</x:f>
      </x:c>
      <x:c r="AD3466" s="36" t="str">
        <x:f>IF(ISNUMBER(Y3466),ROUND(Y3466*0.8,2),"")</x:f>
      </x:c>
      <x:c r="AE3466" s="36" t="str">
        <x:f>IF(ISNUMBER(AD3466),ROUND(AD3466*0.015+0.2,2),"")</x:f>
      </x:c>
      <x:c r="AF3466" s="36" t="str">
        <x:f>IF(ISNUMBER(AD3466),ROUND(AD3466-AE3466-V3466,2),"")</x:f>
      </x:c>
      <x:c r="AG3466" t="str">
        <x:f>IF(NOT(ISNUMBER(T3466)),"PENDING",IF(AF3466&gt;0,"PASS","FAIL"))</x:f>
        <x:v>PENDING</x:v>
      </x:c>
      <x:c r="AH3466" t="str">
        <x:f>IF(NOT(ISNUMBER(T3466)),"Needs supplier cost",IF(K3466&lt;&gt;"In stock","Supplier unavailable",IF(AG3466&lt;&gt;"PASS","BLOCK - GT loss risk","Commercially protected")))</x:f>
        <x:v>Needs supplier cost</x:v>
      </x:c>
      <x:c r="AI3466" t="str">
        <x:v>2026-09-10 Active Sports trade capture</x:v>
      </x:c>
      <x:c r="AJ3466" t="str">
        <x:v>Management-only economics. Stripe stress test uses 1.5% + £0.20 standard UK online-card fee; pallet/mix-and-match pricing ignored.</x:v>
      </x:c>
    </x:row>
    <x:row r="3467">
      <x:c r="A3467" t="str">
        <x:v>Active Sports Nutrition</x:v>
      </x:c>
      <x:c r="B3467" t="str">
        <x:v>Quest Nutrition</x:v>
      </x:c>
      <x:c r="C3467" t="str">
        <x:v>Cheese Crackers</x:v>
      </x:c>
      <x:c r="D3467" t="str">
        <x:v>Food &amp; Drinks</x:v>
      </x:c>
      <x:c r="E3467" t="str">
        <x:v>High Protein Snacks</x:v>
      </x:c>
      <x:c r="F3467" t="str"/>
      <x:c r="G3467" t="str">
        <x:v>4 x 30g</x:v>
      </x:c>
      <x:c r="H3467" t="str">
        <x:v>Cheddar Blast</x:v>
      </x:c>
      <x:c r="I3467" t="str">
        <x:v>4</x:v>
      </x:c>
      <x:c r="J3467" t="str">
        <x:v>Case</x:v>
      </x:c>
      <x:c r="K3467" t="str">
        <x:v>Out of stock</x:v>
      </x:c>
      <x:c r="L3467" t="str">
        <x:v>2026-09-08</x:v>
      </x:c>
      <x:c r="M3467" t="str"/>
      <x:c r="N3467" t="str"/>
      <x:c r="O3467" t="str">
        <x:v>https://www.activesportstrade.co.uk/quest-trade</x:v>
      </x:c>
      <x:c r="P3467" t="str"/>
      <x:c r="Q3467" t="str"/>
      <x:c r="R3467" t="str"/>
      <x:c r="S3467" t="str">
        <x:v>Pending genuine supplier/brand image</x:v>
      </x:c>
      <x:c r="T3467" s="54"/>
      <x:c r="U3467" s="47" t="n">
        <x:v>0.2</x:v>
      </x:c>
      <x:c r="V3467" s="54" t="str">
        <x:f>IF(ISNUMBER(T3467),T3467*(1+U3467),"")</x:f>
      </x:c>
      <x:c r="W3467" s="47" t="n">
        <x:v>0.3</x:v>
      </x:c>
      <x:c r="X3467" s="54" t="str">
        <x:f>IF(ISNUMBER(V3467),V3467/(1-W3467),"")</x:f>
      </x:c>
      <x:c r="Y3467" s="55" t="str">
        <x:f>IF(ISNUMBER(X3467),ROUNDUP(X3467,0),"")</x:f>
      </x:c>
      <x:c r="Z3467" t="str">
        <x:f>IF(ISNUMBER(T3467),"Cost captured","Awaiting trade cost")</x:f>
        <x:v>Awaiting trade cost</x:v>
      </x:c>
      <x:c r="AB3467" s="36" t="str">
        <x:f>IF(ISNUMBER(Y3467),ROUND(Y3467*0.9,2),"")</x:f>
      </x:c>
      <x:c r="AC3467" s="36" t="str">
        <x:f>IF(ISNUMBER(AB3467),ROUND(AB3467-(AB3467*0.015+0.2)-V3467,2),"")</x:f>
      </x:c>
      <x:c r="AD3467" s="36" t="str">
        <x:f>IF(ISNUMBER(Y3467),ROUND(Y3467*0.8,2),"")</x:f>
      </x:c>
      <x:c r="AE3467" s="36" t="str">
        <x:f>IF(ISNUMBER(AD3467),ROUND(AD3467*0.015+0.2,2),"")</x:f>
      </x:c>
      <x:c r="AF3467" s="36" t="str">
        <x:f>IF(ISNUMBER(AD3467),ROUND(AD3467-AE3467-V3467,2),"")</x:f>
      </x:c>
      <x:c r="AG3467" t="str">
        <x:f>IF(NOT(ISNUMBER(T3467)),"PENDING",IF(AF3467&gt;0,"PASS","FAIL"))</x:f>
        <x:v>PENDING</x:v>
      </x:c>
      <x:c r="AH3467" t="str">
        <x:f>IF(NOT(ISNUMBER(T3467)),"Needs supplier cost",IF(K3467&lt;&gt;"In stock","Supplier unavailable",IF(AG3467&lt;&gt;"PASS","BLOCK - GT loss risk","Commercially protected")))</x:f>
        <x:v>Needs supplier cost</x:v>
      </x:c>
      <x:c r="AI3467" t="str">
        <x:v>2026-09-10 Active Sports trade capture</x:v>
      </x:c>
      <x:c r="AJ3467" t="str">
        <x:v>Management-only economics. Stripe stress test uses 1.5% + £0.20 standard UK online-card fee; pallet/mix-and-match pricing ignored.</x:v>
      </x:c>
    </x:row>
    <x:row r="3468">
      <x:c r="A3468" t="str">
        <x:v>Active Sports Nutrition</x:v>
      </x:c>
      <x:c r="B3468" t="str">
        <x:v>Quest Nutrition</x:v>
      </x:c>
      <x:c r="C3468" t="str">
        <x:v>Cheese Crackers</x:v>
      </x:c>
      <x:c r="D3468" t="str">
        <x:v>Food &amp; Drinks</x:v>
      </x:c>
      <x:c r="E3468" t="str">
        <x:v>High Protein Snacks</x:v>
      </x:c>
      <x:c r="F3468" t="str"/>
      <x:c r="G3468" t="str">
        <x:v>4 x 30g</x:v>
      </x:c>
      <x:c r="H3468" t="str">
        <x:v>Spicy Cheddar</x:v>
      </x:c>
      <x:c r="I3468" t="str">
        <x:v>4</x:v>
      </x:c>
      <x:c r="J3468" t="str">
        <x:v>Case</x:v>
      </x:c>
      <x:c r="K3468" t="str">
        <x:v>Out of stock</x:v>
      </x:c>
      <x:c r="L3468" t="str">
        <x:v>2026-09-08</x:v>
      </x:c>
      <x:c r="M3468" t="str"/>
      <x:c r="N3468" t="str"/>
      <x:c r="O3468" t="str">
        <x:v>https://www.activesportstrade.co.uk/quest-trade</x:v>
      </x:c>
      <x:c r="P3468" t="str"/>
      <x:c r="Q3468" t="str"/>
      <x:c r="R3468" t="str"/>
      <x:c r="S3468" t="str">
        <x:v>Pending genuine supplier/brand image</x:v>
      </x:c>
      <x:c r="T3468" s="54"/>
      <x:c r="U3468" s="47" t="n">
        <x:v>0.2</x:v>
      </x:c>
      <x:c r="V3468" s="54" t="str">
        <x:f>IF(ISNUMBER(T3468),T3468*(1+U3468),"")</x:f>
      </x:c>
      <x:c r="W3468" s="47" t="n">
        <x:v>0.3</x:v>
      </x:c>
      <x:c r="X3468" s="54" t="str">
        <x:f>IF(ISNUMBER(V3468),V3468/(1-W3468),"")</x:f>
      </x:c>
      <x:c r="Y3468" s="55" t="str">
        <x:f>IF(ISNUMBER(X3468),ROUNDUP(X3468,0),"")</x:f>
      </x:c>
      <x:c r="Z3468" t="str">
        <x:f>IF(ISNUMBER(T3468),"Cost captured","Awaiting trade cost")</x:f>
        <x:v>Awaiting trade cost</x:v>
      </x:c>
      <x:c r="AB3468" s="36" t="str">
        <x:f>IF(ISNUMBER(Y3468),ROUND(Y3468*0.9,2),"")</x:f>
      </x:c>
      <x:c r="AC3468" s="36" t="str">
        <x:f>IF(ISNUMBER(AB3468),ROUND(AB3468-(AB3468*0.015+0.2)-V3468,2),"")</x:f>
      </x:c>
      <x:c r="AD3468" s="36" t="str">
        <x:f>IF(ISNUMBER(Y3468),ROUND(Y3468*0.8,2),"")</x:f>
      </x:c>
      <x:c r="AE3468" s="36" t="str">
        <x:f>IF(ISNUMBER(AD3468),ROUND(AD3468*0.015+0.2,2),"")</x:f>
      </x:c>
      <x:c r="AF3468" s="36" t="str">
        <x:f>IF(ISNUMBER(AD3468),ROUND(AD3468-AE3468-V3468,2),"")</x:f>
      </x:c>
      <x:c r="AG3468" t="str">
        <x:f>IF(NOT(ISNUMBER(T3468)),"PENDING",IF(AF3468&gt;0,"PASS","FAIL"))</x:f>
        <x:v>PENDING</x:v>
      </x:c>
      <x:c r="AH3468" t="str">
        <x:f>IF(NOT(ISNUMBER(T3468)),"Needs supplier cost",IF(K3468&lt;&gt;"In stock","Supplier unavailable",IF(AG3468&lt;&gt;"PASS","BLOCK - GT loss risk","Commercially protected")))</x:f>
        <x:v>Needs supplier cost</x:v>
      </x:c>
      <x:c r="AI3468" t="str">
        <x:v>2026-09-10 Active Sports trade capture</x:v>
      </x:c>
      <x:c r="AJ3468" t="str">
        <x:v>Management-only economics. Stripe stress test uses 1.5% + £0.20 standard UK online-card fee; pallet/mix-and-match pricing ignored.</x:v>
      </x:c>
    </x:row>
    <x:row r="3469">
      <x:c r="A3469" t="str">
        <x:v>Active Sports Nutrition</x:v>
      </x:c>
      <x:c r="B3469" t="str">
        <x:v>Quest Nutrition</x:v>
      </x:c>
      <x:c r="C3469" t="str">
        <x:v>Cheese Crackers</x:v>
      </x:c>
      <x:c r="D3469" t="str">
        <x:v>Food &amp; Drinks</x:v>
      </x:c>
      <x:c r="E3469" t="str">
        <x:v>High Protein Snacks</x:v>
      </x:c>
      <x:c r="F3469" t="str"/>
      <x:c r="G3469" t="str">
        <x:v>4 x 30g</x:v>
      </x:c>
      <x:c r="H3469" t="str">
        <x:v>Zesty Ranch</x:v>
      </x:c>
      <x:c r="I3469" t="str">
        <x:v>4</x:v>
      </x:c>
      <x:c r="J3469" t="str">
        <x:v>Case</x:v>
      </x:c>
      <x:c r="K3469" t="str">
        <x:v>Out of stock</x:v>
      </x:c>
      <x:c r="L3469" t="str">
        <x:v>2026-09-08</x:v>
      </x:c>
      <x:c r="M3469" t="str"/>
      <x:c r="N3469" t="str"/>
      <x:c r="O3469" t="str">
        <x:v>https://www.activesportstrade.co.uk/quest-trade</x:v>
      </x:c>
      <x:c r="P3469" t="str"/>
      <x:c r="Q3469" t="str"/>
      <x:c r="R3469" t="str"/>
      <x:c r="S3469" t="str">
        <x:v>Pending genuine supplier/brand image</x:v>
      </x:c>
      <x:c r="T3469" s="54"/>
      <x:c r="U3469" s="47" t="n">
        <x:v>0.2</x:v>
      </x:c>
      <x:c r="V3469" s="54" t="str">
        <x:f>IF(ISNUMBER(T3469),T3469*(1+U3469),"")</x:f>
      </x:c>
      <x:c r="W3469" s="47" t="n">
        <x:v>0.3</x:v>
      </x:c>
      <x:c r="X3469" s="54" t="str">
        <x:f>IF(ISNUMBER(V3469),V3469/(1-W3469),"")</x:f>
      </x:c>
      <x:c r="Y3469" s="55" t="str">
        <x:f>IF(ISNUMBER(X3469),ROUNDUP(X3469,0),"")</x:f>
      </x:c>
      <x:c r="Z3469" t="str">
        <x:f>IF(ISNUMBER(T3469),"Cost captured","Awaiting trade cost")</x:f>
        <x:v>Awaiting trade cost</x:v>
      </x:c>
      <x:c r="AB3469" s="36" t="str">
        <x:f>IF(ISNUMBER(Y3469),ROUND(Y3469*0.9,2),"")</x:f>
      </x:c>
      <x:c r="AC3469" s="36" t="str">
        <x:f>IF(ISNUMBER(AB3469),ROUND(AB3469-(AB3469*0.015+0.2)-V3469,2),"")</x:f>
      </x:c>
      <x:c r="AD3469" s="36" t="str">
        <x:f>IF(ISNUMBER(Y3469),ROUND(Y3469*0.8,2),"")</x:f>
      </x:c>
      <x:c r="AE3469" s="36" t="str">
        <x:f>IF(ISNUMBER(AD3469),ROUND(AD3469*0.015+0.2,2),"")</x:f>
      </x:c>
      <x:c r="AF3469" s="36" t="str">
        <x:f>IF(ISNUMBER(AD3469),ROUND(AD3469-AE3469-V3469,2),"")</x:f>
      </x:c>
      <x:c r="AG3469" t="str">
        <x:f>IF(NOT(ISNUMBER(T3469)),"PENDING",IF(AF3469&gt;0,"PASS","FAIL"))</x:f>
        <x:v>PENDING</x:v>
      </x:c>
      <x:c r="AH3469" t="str">
        <x:f>IF(NOT(ISNUMBER(T3469)),"Needs supplier cost",IF(K3469&lt;&gt;"In stock","Supplier unavailable",IF(AG3469&lt;&gt;"PASS","BLOCK - GT loss risk","Commercially protected")))</x:f>
        <x:v>Needs supplier cost</x:v>
      </x:c>
      <x:c r="AI3469" t="str">
        <x:v>2026-09-10 Active Sports trade capture</x:v>
      </x:c>
      <x:c r="AJ3469" t="str">
        <x:v>Management-only economics. Stripe stress test uses 1.5% + £0.20 standard UK online-card fee; pallet/mix-and-match pricing ignored.</x:v>
      </x:c>
    </x:row>
    <x:row r="3470">
      <x:c r="A3470" t="str">
        <x:v>Active Sports Nutrition</x:v>
      </x:c>
      <x:c r="B3470" t="str">
        <x:v>Quest Nutrition</x:v>
      </x:c>
      <x:c r="C3470" t="str">
        <x:v>Frosted Cookie</x:v>
      </x:c>
      <x:c r="D3470" t="str">
        <x:v>Food &amp; Drinks</x:v>
      </x:c>
      <x:c r="E3470" t="str">
        <x:v>Protein Cookies</x:v>
      </x:c>
      <x:c r="F3470" t="str"/>
      <x:c r="G3470" t="str">
        <x:v>8 x 25g cookies</x:v>
      </x:c>
      <x:c r="H3470" t="str">
        <x:v>Birthday Cake</x:v>
      </x:c>
      <x:c r="I3470" t="str">
        <x:v>8</x:v>
      </x:c>
      <x:c r="J3470" t="str">
        <x:v>Case</x:v>
      </x:c>
      <x:c r="K3470" t="str">
        <x:v>In stock</x:v>
      </x:c>
      <x:c r="L3470" t="str">
        <x:v>2026-09-08</x:v>
      </x:c>
      <x:c r="M3470" t="str"/>
      <x:c r="N3470" t="str"/>
      <x:c r="O3470" t="str">
        <x:v>https://www.activesportstrade.co.uk/quest-trade</x:v>
      </x:c>
      <x:c r="P3470" t="str"/>
      <x:c r="Q3470" t="str"/>
      <x:c r="R3470" t="str"/>
      <x:c r="S3470" t="str">
        <x:v>Pending genuine supplier/brand image</x:v>
      </x:c>
      <x:c r="T3470" s="54"/>
      <x:c r="U3470" s="47" t="n">
        <x:v>0.2</x:v>
      </x:c>
      <x:c r="V3470" s="54" t="str">
        <x:f>IF(ISNUMBER(T3470),T3470*(1+U3470),"")</x:f>
      </x:c>
      <x:c r="W3470" s="47" t="n">
        <x:v>0.3</x:v>
      </x:c>
      <x:c r="X3470" s="54" t="str">
        <x:f>IF(ISNUMBER(V3470),V3470/(1-W3470),"")</x:f>
      </x:c>
      <x:c r="Y3470" s="55" t="str">
        <x:f>IF(ISNUMBER(X3470),ROUNDUP(X3470,0),"")</x:f>
      </x:c>
      <x:c r="Z3470" t="str">
        <x:f>IF(ISNUMBER(T3470),"Cost captured","Awaiting trade cost")</x:f>
        <x:v>Awaiting trade cost</x:v>
      </x:c>
      <x:c r="AB3470" s="36" t="str">
        <x:f>IF(ISNUMBER(Y3470),ROUND(Y3470*0.9,2),"")</x:f>
      </x:c>
      <x:c r="AC3470" s="36" t="str">
        <x:f>IF(ISNUMBER(AB3470),ROUND(AB3470-(AB3470*0.015+0.2)-V3470,2),"")</x:f>
      </x:c>
      <x:c r="AD3470" s="36" t="str">
        <x:f>IF(ISNUMBER(Y3470),ROUND(Y3470*0.8,2),"")</x:f>
      </x:c>
      <x:c r="AE3470" s="36" t="str">
        <x:f>IF(ISNUMBER(AD3470),ROUND(AD3470*0.015+0.2,2),"")</x:f>
      </x:c>
      <x:c r="AF3470" s="36" t="str">
        <x:f>IF(ISNUMBER(AD3470),ROUND(AD3470-AE3470-V3470,2),"")</x:f>
      </x:c>
      <x:c r="AG3470" t="str">
        <x:f>IF(NOT(ISNUMBER(T3470)),"PENDING",IF(AF3470&gt;0,"PASS","FAIL"))</x:f>
        <x:v>PENDING</x:v>
      </x:c>
      <x:c r="AH3470" t="str">
        <x:f>IF(NOT(ISNUMBER(T3470)),"Needs supplier cost",IF(K3470&lt;&gt;"In stock","Supplier unavailable",IF(AG3470&lt;&gt;"PASS","BLOCK - GT loss risk","Commercially protected")))</x:f>
        <x:v>Needs supplier cost</x:v>
      </x:c>
      <x:c r="AI3470" t="str">
        <x:v>2026-09-10 Active Sports trade capture</x:v>
      </x:c>
      <x:c r="AJ3470" t="str">
        <x:v>Management-only economics. Stripe stress test uses 1.5% + £0.20 standard UK online-card fee; pallet/mix-and-match pricing ignored.</x:v>
      </x:c>
    </x:row>
    <x:row r="3471">
      <x:c r="A3471" t="str">
        <x:v>Active Sports Nutrition</x:v>
      </x:c>
      <x:c r="B3471" t="str">
        <x:v>Quest Nutrition</x:v>
      </x:c>
      <x:c r="C3471" t="str">
        <x:v>Frosted Cookie</x:v>
      </x:c>
      <x:c r="D3471" t="str">
        <x:v>Food &amp; Drinks</x:v>
      </x:c>
      <x:c r="E3471" t="str">
        <x:v>Protein Cookies</x:v>
      </x:c>
      <x:c r="F3471" t="str"/>
      <x:c r="G3471" t="str">
        <x:v>8 x 25g cookies</x:v>
      </x:c>
      <x:c r="H3471" t="str">
        <x:v>Chocolate Cake</x:v>
      </x:c>
      <x:c r="I3471" t="str">
        <x:v>8</x:v>
      </x:c>
      <x:c r="J3471" t="str">
        <x:v>Case</x:v>
      </x:c>
      <x:c r="K3471" t="str">
        <x:v>In stock</x:v>
      </x:c>
      <x:c r="L3471" t="str">
        <x:v>2026-09-08</x:v>
      </x:c>
      <x:c r="M3471" t="str"/>
      <x:c r="N3471" t="str"/>
      <x:c r="O3471" t="str">
        <x:v>https://www.activesportstrade.co.uk/quest-trade</x:v>
      </x:c>
      <x:c r="P3471" t="str"/>
      <x:c r="Q3471" t="str"/>
      <x:c r="R3471" t="str"/>
      <x:c r="S3471" t="str">
        <x:v>Pending genuine supplier/brand image</x:v>
      </x:c>
      <x:c r="T3471" s="54"/>
      <x:c r="U3471" s="47" t="n">
        <x:v>0.2</x:v>
      </x:c>
      <x:c r="V3471" s="54" t="str">
        <x:f>IF(ISNUMBER(T3471),T3471*(1+U3471),"")</x:f>
      </x:c>
      <x:c r="W3471" s="47" t="n">
        <x:v>0.3</x:v>
      </x:c>
      <x:c r="X3471" s="54" t="str">
        <x:f>IF(ISNUMBER(V3471),V3471/(1-W3471),"")</x:f>
      </x:c>
      <x:c r="Y3471" s="55" t="str">
        <x:f>IF(ISNUMBER(X3471),ROUNDUP(X3471,0),"")</x:f>
      </x:c>
      <x:c r="Z3471" t="str">
        <x:f>IF(ISNUMBER(T3471),"Cost captured","Awaiting trade cost")</x:f>
        <x:v>Awaiting trade cost</x:v>
      </x:c>
      <x:c r="AB3471" s="36" t="str">
        <x:f>IF(ISNUMBER(Y3471),ROUND(Y3471*0.9,2),"")</x:f>
      </x:c>
      <x:c r="AC3471" s="36" t="str">
        <x:f>IF(ISNUMBER(AB3471),ROUND(AB3471-(AB3471*0.015+0.2)-V3471,2),"")</x:f>
      </x:c>
      <x:c r="AD3471" s="36" t="str">
        <x:f>IF(ISNUMBER(Y3471),ROUND(Y3471*0.8,2),"")</x:f>
      </x:c>
      <x:c r="AE3471" s="36" t="str">
        <x:f>IF(ISNUMBER(AD3471),ROUND(AD3471*0.015+0.2,2),"")</x:f>
      </x:c>
      <x:c r="AF3471" s="36" t="str">
        <x:f>IF(ISNUMBER(AD3471),ROUND(AD3471-AE3471-V3471,2),"")</x:f>
      </x:c>
      <x:c r="AG3471" t="str">
        <x:f>IF(NOT(ISNUMBER(T3471)),"PENDING",IF(AF3471&gt;0,"PASS","FAIL"))</x:f>
        <x:v>PENDING</x:v>
      </x:c>
      <x:c r="AH3471" t="str">
        <x:f>IF(NOT(ISNUMBER(T3471)),"Needs supplier cost",IF(K3471&lt;&gt;"In stock","Supplier unavailable",IF(AG3471&lt;&gt;"PASS","BLOCK - GT loss risk","Commercially protected")))</x:f>
        <x:v>Needs supplier cost</x:v>
      </x:c>
      <x:c r="AI3471" t="str">
        <x:v>2026-09-10 Active Sports trade capture</x:v>
      </x:c>
      <x:c r="AJ3471" t="str">
        <x:v>Management-only economics. Stripe stress test uses 1.5% + £0.20 standard UK online-card fee; pallet/mix-and-match pricing ignored.</x:v>
      </x:c>
    </x:row>
    <x:row r="3472">
      <x:c r="A3472" t="str">
        <x:v>Active Sports Nutrition</x:v>
      </x:c>
      <x:c r="B3472" t="str">
        <x:v>Quest Nutrition</x:v>
      </x:c>
      <x:c r="C3472" t="str">
        <x:v>Frosted Cookie</x:v>
      </x:c>
      <x:c r="D3472" t="str">
        <x:v>Food &amp; Drinks</x:v>
      </x:c>
      <x:c r="E3472" t="str">
        <x:v>Protein Cookies</x:v>
      </x:c>
      <x:c r="F3472" t="str"/>
      <x:c r="G3472" t="str">
        <x:v>8 x 25g cookies</x:v>
      </x:c>
      <x:c r="H3472" t="str">
        <x:v>Lemon Cake</x:v>
      </x:c>
      <x:c r="I3472" t="str">
        <x:v>8</x:v>
      </x:c>
      <x:c r="J3472" t="str">
        <x:v>Case</x:v>
      </x:c>
      <x:c r="K3472" t="str">
        <x:v>In stock</x:v>
      </x:c>
      <x:c r="L3472" t="str">
        <x:v>2026-09-08</x:v>
      </x:c>
      <x:c r="M3472" t="str"/>
      <x:c r="N3472" t="str"/>
      <x:c r="O3472" t="str">
        <x:v>https://www.activesportstrade.co.uk/quest-trade</x:v>
      </x:c>
      <x:c r="P3472" t="str"/>
      <x:c r="Q3472" t="str"/>
      <x:c r="R3472" t="str"/>
      <x:c r="S3472" t="str">
        <x:v>Pending genuine supplier/brand image</x:v>
      </x:c>
      <x:c r="T3472" s="54"/>
      <x:c r="U3472" s="47" t="n">
        <x:v>0.2</x:v>
      </x:c>
      <x:c r="V3472" s="54" t="str">
        <x:f>IF(ISNUMBER(T3472),T3472*(1+U3472),"")</x:f>
      </x:c>
      <x:c r="W3472" s="47" t="n">
        <x:v>0.3</x:v>
      </x:c>
      <x:c r="X3472" s="54" t="str">
        <x:f>IF(ISNUMBER(V3472),V3472/(1-W3472),"")</x:f>
      </x:c>
      <x:c r="Y3472" s="55" t="str">
        <x:f>IF(ISNUMBER(X3472),ROUNDUP(X3472,0),"")</x:f>
      </x:c>
      <x:c r="Z3472" t="str">
        <x:f>IF(ISNUMBER(T3472),"Cost captured","Awaiting trade cost")</x:f>
        <x:v>Awaiting trade cost</x:v>
      </x:c>
      <x:c r="AB3472" s="36" t="str">
        <x:f>IF(ISNUMBER(Y3472),ROUND(Y3472*0.9,2),"")</x:f>
      </x:c>
      <x:c r="AC3472" s="36" t="str">
        <x:f>IF(ISNUMBER(AB3472),ROUND(AB3472-(AB3472*0.015+0.2)-V3472,2),"")</x:f>
      </x:c>
      <x:c r="AD3472" s="36" t="str">
        <x:f>IF(ISNUMBER(Y3472),ROUND(Y3472*0.8,2),"")</x:f>
      </x:c>
      <x:c r="AE3472" s="36" t="str">
        <x:f>IF(ISNUMBER(AD3472),ROUND(AD3472*0.015+0.2,2),"")</x:f>
      </x:c>
      <x:c r="AF3472" s="36" t="str">
        <x:f>IF(ISNUMBER(AD3472),ROUND(AD3472-AE3472-V3472,2),"")</x:f>
      </x:c>
      <x:c r="AG3472" t="str">
        <x:f>IF(NOT(ISNUMBER(T3472)),"PENDING",IF(AF3472&gt;0,"PASS","FAIL"))</x:f>
        <x:v>PENDING</x:v>
      </x:c>
      <x:c r="AH3472" t="str">
        <x:f>IF(NOT(ISNUMBER(T3472)),"Needs supplier cost",IF(K3472&lt;&gt;"In stock","Supplier unavailable",IF(AG3472&lt;&gt;"PASS","BLOCK - GT loss risk","Commercially protected")))</x:f>
        <x:v>Needs supplier cost</x:v>
      </x:c>
      <x:c r="AI3472" t="str">
        <x:v>2026-09-10 Active Sports trade capture</x:v>
      </x:c>
      <x:c r="AJ3472" t="str">
        <x:v>Management-only economics. Stripe stress test uses 1.5% + £0.20 standard UK online-card fee; pallet/mix-and-match pricing ignored.</x:v>
      </x:c>
    </x:row>
    <x:row r="3473">
      <x:c r="A3473" t="str">
        <x:v>Active Sports Nutrition</x:v>
      </x:c>
      <x:c r="B3473" t="str">
        <x:v>Quest Nutrition</x:v>
      </x:c>
      <x:c r="C3473" t="str">
        <x:v>Frosted Cookie</x:v>
      </x:c>
      <x:c r="D3473" t="str">
        <x:v>Food &amp; Drinks</x:v>
      </x:c>
      <x:c r="E3473" t="str">
        <x:v>Protein Cookies</x:v>
      </x:c>
      <x:c r="F3473" t="str"/>
      <x:c r="G3473" t="str">
        <x:v>8 x 25g cookies</x:v>
      </x:c>
      <x:c r="H3473" t="str">
        <x:v>Peanut Butter</x:v>
      </x:c>
      <x:c r="I3473" t="str">
        <x:v>8</x:v>
      </x:c>
      <x:c r="J3473" t="str">
        <x:v>Case</x:v>
      </x:c>
      <x:c r="K3473" t="str">
        <x:v>Out of stock</x:v>
      </x:c>
      <x:c r="L3473" t="str">
        <x:v>2026-09-08</x:v>
      </x:c>
      <x:c r="M3473" t="str"/>
      <x:c r="N3473" t="str"/>
      <x:c r="O3473" t="str">
        <x:v>https://www.activesportstrade.co.uk/quest-trade</x:v>
      </x:c>
      <x:c r="P3473" t="str"/>
      <x:c r="Q3473" t="str"/>
      <x:c r="R3473" t="str"/>
      <x:c r="S3473" t="str">
        <x:v>Pending genuine supplier/brand image</x:v>
      </x:c>
      <x:c r="T3473" s="54"/>
      <x:c r="U3473" s="47" t="n">
        <x:v>0.2</x:v>
      </x:c>
      <x:c r="V3473" s="54" t="str">
        <x:f>IF(ISNUMBER(T3473),T3473*(1+U3473),"")</x:f>
      </x:c>
      <x:c r="W3473" s="47" t="n">
        <x:v>0.3</x:v>
      </x:c>
      <x:c r="X3473" s="54" t="str">
        <x:f>IF(ISNUMBER(V3473),V3473/(1-W3473),"")</x:f>
      </x:c>
      <x:c r="Y3473" s="55" t="str">
        <x:f>IF(ISNUMBER(X3473),ROUNDUP(X3473,0),"")</x:f>
      </x:c>
      <x:c r="Z3473" t="str">
        <x:f>IF(ISNUMBER(T3473),"Cost captured","Awaiting trade cost")</x:f>
        <x:v>Awaiting trade cost</x:v>
      </x:c>
      <x:c r="AB3473" s="36" t="str">
        <x:f>IF(ISNUMBER(Y3473),ROUND(Y3473*0.9,2),"")</x:f>
      </x:c>
      <x:c r="AC3473" s="36" t="str">
        <x:f>IF(ISNUMBER(AB3473),ROUND(AB3473-(AB3473*0.015+0.2)-V3473,2),"")</x:f>
      </x:c>
      <x:c r="AD3473" s="36" t="str">
        <x:f>IF(ISNUMBER(Y3473),ROUND(Y3473*0.8,2),"")</x:f>
      </x:c>
      <x:c r="AE3473" s="36" t="str">
        <x:f>IF(ISNUMBER(AD3473),ROUND(AD3473*0.015+0.2,2),"")</x:f>
      </x:c>
      <x:c r="AF3473" s="36" t="str">
        <x:f>IF(ISNUMBER(AD3473),ROUND(AD3473-AE3473-V3473,2),"")</x:f>
      </x:c>
      <x:c r="AG3473" t="str">
        <x:f>IF(NOT(ISNUMBER(T3473)),"PENDING",IF(AF3473&gt;0,"PASS","FAIL"))</x:f>
        <x:v>PENDING</x:v>
      </x:c>
      <x:c r="AH3473" t="str">
        <x:f>IF(NOT(ISNUMBER(T3473)),"Needs supplier cost",IF(K3473&lt;&gt;"In stock","Supplier unavailable",IF(AG3473&lt;&gt;"PASS","BLOCK - GT loss risk","Commercially protected")))</x:f>
        <x:v>Needs supplier cost</x:v>
      </x:c>
      <x:c r="AI3473" t="str">
        <x:v>2026-09-10 Active Sports trade capture</x:v>
      </x:c>
      <x:c r="AJ3473" t="str">
        <x:v>Management-only economics. Stripe stress test uses 1.5% + £0.20 standard UK online-card fee; pallet/mix-and-match pricing ignored.</x:v>
      </x:c>
    </x:row>
    <x:row r="3474">
      <x:c r="A3474" t="str">
        <x:v>Active Sports Nutrition</x:v>
      </x:c>
      <x:c r="B3474" t="str">
        <x:v>Quest Nutrition</x:v>
      </x:c>
      <x:c r="C3474" t="str">
        <x:v>Frosted Cookie</x:v>
      </x:c>
      <x:c r="D3474" t="str">
        <x:v>Food &amp; Drinks</x:v>
      </x:c>
      <x:c r="E3474" t="str">
        <x:v>Protein Cookies</x:v>
      </x:c>
      <x:c r="F3474" t="str"/>
      <x:c r="G3474" t="str">
        <x:v>8 x 25g cookies</x:v>
      </x:c>
      <x:c r="H3474" t="str">
        <x:v>Strawberry Shortcake</x:v>
      </x:c>
      <x:c r="I3474" t="str">
        <x:v>8</x:v>
      </x:c>
      <x:c r="J3474" t="str">
        <x:v>Case</x:v>
      </x:c>
      <x:c r="K3474" t="str">
        <x:v>Out of stock</x:v>
      </x:c>
      <x:c r="L3474" t="str">
        <x:v>2026-09-08</x:v>
      </x:c>
      <x:c r="M3474" t="str"/>
      <x:c r="N3474" t="str"/>
      <x:c r="O3474" t="str">
        <x:v>https://www.activesportstrade.co.uk/quest-trade</x:v>
      </x:c>
      <x:c r="P3474" t="str"/>
      <x:c r="Q3474" t="str"/>
      <x:c r="R3474" t="str"/>
      <x:c r="S3474" t="str">
        <x:v>Pending genuine supplier/brand image</x:v>
      </x:c>
      <x:c r="T3474" s="54"/>
      <x:c r="U3474" s="47" t="n">
        <x:v>0.2</x:v>
      </x:c>
      <x:c r="V3474" s="54" t="str">
        <x:f>IF(ISNUMBER(T3474),T3474*(1+U3474),"")</x:f>
      </x:c>
      <x:c r="W3474" s="47" t="n">
        <x:v>0.3</x:v>
      </x:c>
      <x:c r="X3474" s="54" t="str">
        <x:f>IF(ISNUMBER(V3474),V3474/(1-W3474),"")</x:f>
      </x:c>
      <x:c r="Y3474" s="55" t="str">
        <x:f>IF(ISNUMBER(X3474),ROUNDUP(X3474,0),"")</x:f>
      </x:c>
      <x:c r="Z3474" t="str">
        <x:f>IF(ISNUMBER(T3474),"Cost captured","Awaiting trade cost")</x:f>
        <x:v>Awaiting trade cost</x:v>
      </x:c>
      <x:c r="AB3474" s="36" t="str">
        <x:f>IF(ISNUMBER(Y3474),ROUND(Y3474*0.9,2),"")</x:f>
      </x:c>
      <x:c r="AC3474" s="36" t="str">
        <x:f>IF(ISNUMBER(AB3474),ROUND(AB3474-(AB3474*0.015+0.2)-V3474,2),"")</x:f>
      </x:c>
      <x:c r="AD3474" s="36" t="str">
        <x:f>IF(ISNUMBER(Y3474),ROUND(Y3474*0.8,2),"")</x:f>
      </x:c>
      <x:c r="AE3474" s="36" t="str">
        <x:f>IF(ISNUMBER(AD3474),ROUND(AD3474*0.015+0.2,2),"")</x:f>
      </x:c>
      <x:c r="AF3474" s="36" t="str">
        <x:f>IF(ISNUMBER(AD3474),ROUND(AD3474-AE3474-V3474,2),"")</x:f>
      </x:c>
      <x:c r="AG3474" t="str">
        <x:f>IF(NOT(ISNUMBER(T3474)),"PENDING",IF(AF3474&gt;0,"PASS","FAIL"))</x:f>
        <x:v>PENDING</x:v>
      </x:c>
      <x:c r="AH3474" t="str">
        <x:f>IF(NOT(ISNUMBER(T3474)),"Needs supplier cost",IF(K3474&lt;&gt;"In stock","Supplier unavailable",IF(AG3474&lt;&gt;"PASS","BLOCK - GT loss risk","Commercially protected")))</x:f>
        <x:v>Needs supplier cost</x:v>
      </x:c>
      <x:c r="AI3474" t="str">
        <x:v>2026-09-10 Active Sports trade capture</x:v>
      </x:c>
      <x:c r="AJ3474" t="str">
        <x:v>Management-only economics. Stripe stress test uses 1.5% + £0.20 standard UK online-card fee; pallet/mix-and-match pricing ignored.</x:v>
      </x:c>
    </x:row>
    <x:row r="3475">
      <x:c r="A3475" t="str">
        <x:v>Active Sports Nutrition</x:v>
      </x:c>
      <x:c r="B3475" t="str">
        <x:v>Quest Nutrition</x:v>
      </x:c>
      <x:c r="C3475" t="str">
        <x:v>Peanut Butter Cups</x:v>
      </x:c>
      <x:c r="D3475" t="str">
        <x:v>Food &amp; Drinks</x:v>
      </x:c>
      <x:c r="E3475" t="str">
        <x:v>Protein Snacks</x:v>
      </x:c>
      <x:c r="F3475" t="str"/>
      <x:c r="G3475" t="str">
        <x:v>12 x 42g packs</x:v>
      </x:c>
      <x:c r="H3475" t="str">
        <x:v>Peanut Butter</x:v>
      </x:c>
      <x:c r="I3475" t="str">
        <x:v>12</x:v>
      </x:c>
      <x:c r="J3475" t="str">
        <x:v>Case</x:v>
      </x:c>
      <x:c r="K3475" t="str">
        <x:v>In stock</x:v>
      </x:c>
      <x:c r="L3475" t="str">
        <x:v>2026-09-08</x:v>
      </x:c>
      <x:c r="M3475" t="str"/>
      <x:c r="N3475" t="str"/>
      <x:c r="O3475" t="str">
        <x:v>https://www.activesportstrade.co.uk/quest-trade</x:v>
      </x:c>
      <x:c r="P3475" t="str"/>
      <x:c r="Q3475" t="str"/>
      <x:c r="R3475" t="str"/>
      <x:c r="S3475" t="str">
        <x:v>Pending genuine supplier/brand image</x:v>
      </x:c>
      <x:c r="T3475" s="54"/>
      <x:c r="U3475" s="47" t="n">
        <x:v>0.2</x:v>
      </x:c>
      <x:c r="V3475" s="54" t="str">
        <x:f>IF(ISNUMBER(T3475),T3475*(1+U3475),"")</x:f>
      </x:c>
      <x:c r="W3475" s="47" t="n">
        <x:v>0.3</x:v>
      </x:c>
      <x:c r="X3475" s="54" t="str">
        <x:f>IF(ISNUMBER(V3475),V3475/(1-W3475),"")</x:f>
      </x:c>
      <x:c r="Y3475" s="55" t="str">
        <x:f>IF(ISNUMBER(X3475),ROUNDUP(X3475,0),"")</x:f>
      </x:c>
      <x:c r="Z3475" t="str">
        <x:f>IF(ISNUMBER(T3475),"Cost captured","Awaiting trade cost")</x:f>
        <x:v>Awaiting trade cost</x:v>
      </x:c>
      <x:c r="AB3475" s="36" t="str">
        <x:f>IF(ISNUMBER(Y3475),ROUND(Y3475*0.9,2),"")</x:f>
      </x:c>
      <x:c r="AC3475" s="36" t="str">
        <x:f>IF(ISNUMBER(AB3475),ROUND(AB3475-(AB3475*0.015+0.2)-V3475,2),"")</x:f>
      </x:c>
      <x:c r="AD3475" s="36" t="str">
        <x:f>IF(ISNUMBER(Y3475),ROUND(Y3475*0.8,2),"")</x:f>
      </x:c>
      <x:c r="AE3475" s="36" t="str">
        <x:f>IF(ISNUMBER(AD3475),ROUND(AD3475*0.015+0.2,2),"")</x:f>
      </x:c>
      <x:c r="AF3475" s="36" t="str">
        <x:f>IF(ISNUMBER(AD3475),ROUND(AD3475-AE3475-V3475,2),"")</x:f>
      </x:c>
      <x:c r="AG3475" t="str">
        <x:f>IF(NOT(ISNUMBER(T3475)),"PENDING",IF(AF3475&gt;0,"PASS","FAIL"))</x:f>
        <x:v>PENDING</x:v>
      </x:c>
      <x:c r="AH3475" t="str">
        <x:f>IF(NOT(ISNUMBER(T3475)),"Needs supplier cost",IF(K3475&lt;&gt;"In stock","Supplier unavailable",IF(AG3475&lt;&gt;"PASS","BLOCK - GT loss risk","Commercially protected")))</x:f>
        <x:v>Needs supplier cost</x:v>
      </x:c>
      <x:c r="AI3475" t="str">
        <x:v>2026-09-10 Active Sports trade capture</x:v>
      </x:c>
      <x:c r="AJ3475" t="str">
        <x:v>Management-only economics. Stripe stress test uses 1.5% + £0.20 standard UK online-card fee; pallet/mix-and-match pricing ignored.</x:v>
      </x:c>
    </x:row>
    <x:row r="3476">
      <x:c r="A3476" t="str">
        <x:v>Active Sports Nutrition</x:v>
      </x:c>
      <x:c r="B3476" t="str">
        <x:v>Quest Nutrition</x:v>
      </x:c>
      <x:c r="C3476" t="str">
        <x:v>Protein Chips</x:v>
      </x:c>
      <x:c r="D3476" t="str">
        <x:v>Food &amp; Drinks</x:v>
      </x:c>
      <x:c r="E3476" t="str">
        <x:v>Protein Crisps</x:v>
      </x:c>
      <x:c r="F3476" t="str"/>
      <x:c r="G3476" t="str">
        <x:v>8 x 32g bags</x:v>
      </x:c>
      <x:c r="H3476" t="str">
        <x:v>BBQ</x:v>
      </x:c>
      <x:c r="I3476" t="str">
        <x:v>8</x:v>
      </x:c>
      <x:c r="J3476" t="str">
        <x:v>Case</x:v>
      </x:c>
      <x:c r="K3476" t="str">
        <x:v>In stock</x:v>
      </x:c>
      <x:c r="L3476" t="str">
        <x:v>2026-09-08</x:v>
      </x:c>
      <x:c r="M3476" t="str"/>
      <x:c r="N3476" t="str"/>
      <x:c r="O3476" t="str">
        <x:v>https://www.activesportstrade.co.uk/quest-trade</x:v>
      </x:c>
      <x:c r="P3476" t="str"/>
      <x:c r="Q3476" t="str"/>
      <x:c r="R3476" t="str"/>
      <x:c r="S3476" t="str">
        <x:v>Pending genuine supplier/brand image</x:v>
      </x:c>
      <x:c r="T3476" s="54"/>
      <x:c r="U3476" s="47" t="n">
        <x:v>0.2</x:v>
      </x:c>
      <x:c r="V3476" s="54" t="str">
        <x:f>IF(ISNUMBER(T3476),T3476*(1+U3476),"")</x:f>
      </x:c>
      <x:c r="W3476" s="47" t="n">
        <x:v>0.3</x:v>
      </x:c>
      <x:c r="X3476" s="54" t="str">
        <x:f>IF(ISNUMBER(V3476),V3476/(1-W3476),"")</x:f>
      </x:c>
      <x:c r="Y3476" s="55" t="str">
        <x:f>IF(ISNUMBER(X3476),ROUNDUP(X3476,0),"")</x:f>
      </x:c>
      <x:c r="Z3476" t="str">
        <x:f>IF(ISNUMBER(T3476),"Cost captured","Awaiting trade cost")</x:f>
        <x:v>Awaiting trade cost</x:v>
      </x:c>
      <x:c r="AB3476" s="36" t="str">
        <x:f>IF(ISNUMBER(Y3476),ROUND(Y3476*0.9,2),"")</x:f>
      </x:c>
      <x:c r="AC3476" s="36" t="str">
        <x:f>IF(ISNUMBER(AB3476),ROUND(AB3476-(AB3476*0.015+0.2)-V3476,2),"")</x:f>
      </x:c>
      <x:c r="AD3476" s="36" t="str">
        <x:f>IF(ISNUMBER(Y3476),ROUND(Y3476*0.8,2),"")</x:f>
      </x:c>
      <x:c r="AE3476" s="36" t="str">
        <x:f>IF(ISNUMBER(AD3476),ROUND(AD3476*0.015+0.2,2),"")</x:f>
      </x:c>
      <x:c r="AF3476" s="36" t="str">
        <x:f>IF(ISNUMBER(AD3476),ROUND(AD3476-AE3476-V3476,2),"")</x:f>
      </x:c>
      <x:c r="AG3476" t="str">
        <x:f>IF(NOT(ISNUMBER(T3476)),"PENDING",IF(AF3476&gt;0,"PASS","FAIL"))</x:f>
        <x:v>PENDING</x:v>
      </x:c>
      <x:c r="AH3476" t="str">
        <x:f>IF(NOT(ISNUMBER(T3476)),"Needs supplier cost",IF(K3476&lt;&gt;"In stock","Supplier unavailable",IF(AG3476&lt;&gt;"PASS","BLOCK - GT loss risk","Commercially protected")))</x:f>
        <x:v>Needs supplier cost</x:v>
      </x:c>
      <x:c r="AI3476" t="str">
        <x:v>2026-09-10 Active Sports trade capture</x:v>
      </x:c>
      <x:c r="AJ3476" t="str">
        <x:v>Management-only economics. Stripe stress test uses 1.5% + £0.20 standard UK online-card fee; pallet/mix-and-match pricing ignored.</x:v>
      </x:c>
    </x:row>
    <x:row r="3477">
      <x:c r="A3477" t="str">
        <x:v>Active Sports Nutrition</x:v>
      </x:c>
      <x:c r="B3477" t="str">
        <x:v>Quest Nutrition</x:v>
      </x:c>
      <x:c r="C3477" t="str">
        <x:v>Protein Chips</x:v>
      </x:c>
      <x:c r="D3477" t="str">
        <x:v>Food &amp; Drinks</x:v>
      </x:c>
      <x:c r="E3477" t="str">
        <x:v>Protein Crisps</x:v>
      </x:c>
      <x:c r="F3477" t="str"/>
      <x:c r="G3477" t="str">
        <x:v>8 x 32g bags</x:v>
      </x:c>
      <x:c r="H3477" t="str">
        <x:v>Cheddar &amp; Sour Cream</x:v>
      </x:c>
      <x:c r="I3477" t="str">
        <x:v>8</x:v>
      </x:c>
      <x:c r="J3477" t="str">
        <x:v>Case</x:v>
      </x:c>
      <x:c r="K3477" t="str">
        <x:v>In stock</x:v>
      </x:c>
      <x:c r="L3477" t="str">
        <x:v>2026-09-08</x:v>
      </x:c>
      <x:c r="M3477" t="str"/>
      <x:c r="N3477" t="str"/>
      <x:c r="O3477" t="str">
        <x:v>https://www.activesportstrade.co.uk/quest-trade</x:v>
      </x:c>
      <x:c r="P3477" t="str"/>
      <x:c r="Q3477" t="str"/>
      <x:c r="R3477" t="str"/>
      <x:c r="S3477" t="str">
        <x:v>Pending genuine supplier/brand image</x:v>
      </x:c>
      <x:c r="T3477" s="54"/>
      <x:c r="U3477" s="47" t="n">
        <x:v>0.2</x:v>
      </x:c>
      <x:c r="V3477" s="54" t="str">
        <x:f>IF(ISNUMBER(T3477),T3477*(1+U3477),"")</x:f>
      </x:c>
      <x:c r="W3477" s="47" t="n">
        <x:v>0.3</x:v>
      </x:c>
      <x:c r="X3477" s="54" t="str">
        <x:f>IF(ISNUMBER(V3477),V3477/(1-W3477),"")</x:f>
      </x:c>
      <x:c r="Y3477" s="55" t="str">
        <x:f>IF(ISNUMBER(X3477),ROUNDUP(X3477,0),"")</x:f>
      </x:c>
      <x:c r="Z3477" t="str">
        <x:f>IF(ISNUMBER(T3477),"Cost captured","Awaiting trade cost")</x:f>
        <x:v>Awaiting trade cost</x:v>
      </x:c>
      <x:c r="AB3477" s="36" t="str">
        <x:f>IF(ISNUMBER(Y3477),ROUND(Y3477*0.9,2),"")</x:f>
      </x:c>
      <x:c r="AC3477" s="36" t="str">
        <x:f>IF(ISNUMBER(AB3477),ROUND(AB3477-(AB3477*0.015+0.2)-V3477,2),"")</x:f>
      </x:c>
      <x:c r="AD3477" s="36" t="str">
        <x:f>IF(ISNUMBER(Y3477),ROUND(Y3477*0.8,2),"")</x:f>
      </x:c>
      <x:c r="AE3477" s="36" t="str">
        <x:f>IF(ISNUMBER(AD3477),ROUND(AD3477*0.015+0.2,2),"")</x:f>
      </x:c>
      <x:c r="AF3477" s="36" t="str">
        <x:f>IF(ISNUMBER(AD3477),ROUND(AD3477-AE3477-V3477,2),"")</x:f>
      </x:c>
      <x:c r="AG3477" t="str">
        <x:f>IF(NOT(ISNUMBER(T3477)),"PENDING",IF(AF3477&gt;0,"PASS","FAIL"))</x:f>
        <x:v>PENDING</x:v>
      </x:c>
      <x:c r="AH3477" t="str">
        <x:f>IF(NOT(ISNUMBER(T3477)),"Needs supplier cost",IF(K3477&lt;&gt;"In stock","Supplier unavailable",IF(AG3477&lt;&gt;"PASS","BLOCK - GT loss risk","Commercially protected")))</x:f>
        <x:v>Needs supplier cost</x:v>
      </x:c>
      <x:c r="AI3477" t="str">
        <x:v>2026-09-10 Active Sports trade capture</x:v>
      </x:c>
      <x:c r="AJ3477" t="str">
        <x:v>Management-only economics. Stripe stress test uses 1.5% + £0.20 standard UK online-card fee; pallet/mix-and-match pricing ignored.</x:v>
      </x:c>
    </x:row>
    <x:row r="3478">
      <x:c r="A3478" t="str">
        <x:v>Active Sports Nutrition</x:v>
      </x:c>
      <x:c r="B3478" t="str">
        <x:v>Quest Nutrition</x:v>
      </x:c>
      <x:c r="C3478" t="str">
        <x:v>Protein Chips</x:v>
      </x:c>
      <x:c r="D3478" t="str">
        <x:v>Food &amp; Drinks</x:v>
      </x:c>
      <x:c r="E3478" t="str">
        <x:v>Protein Crisps</x:v>
      </x:c>
      <x:c r="F3478" t="str"/>
      <x:c r="G3478" t="str">
        <x:v>8 x 32g bags</x:v>
      </x:c>
      <x:c r="H3478" t="str">
        <x:v>Sour Cream &amp; Onion</x:v>
      </x:c>
      <x:c r="I3478" t="str">
        <x:v>8</x:v>
      </x:c>
      <x:c r="J3478" t="str">
        <x:v>Case</x:v>
      </x:c>
      <x:c r="K3478" t="str">
        <x:v>In stock</x:v>
      </x:c>
      <x:c r="L3478" t="str">
        <x:v>2026-09-08</x:v>
      </x:c>
      <x:c r="M3478" t="str"/>
      <x:c r="N3478" t="str"/>
      <x:c r="O3478" t="str">
        <x:v>https://www.activesportstrade.co.uk/quest-trade</x:v>
      </x:c>
      <x:c r="P3478" t="str"/>
      <x:c r="Q3478" t="str"/>
      <x:c r="R3478" t="str"/>
      <x:c r="S3478" t="str">
        <x:v>Pending genuine supplier/brand image</x:v>
      </x:c>
      <x:c r="T3478" s="54"/>
      <x:c r="U3478" s="47" t="n">
        <x:v>0.2</x:v>
      </x:c>
      <x:c r="V3478" s="54" t="str">
        <x:f>IF(ISNUMBER(T3478),T3478*(1+U3478),"")</x:f>
      </x:c>
      <x:c r="W3478" s="47" t="n">
        <x:v>0.3</x:v>
      </x:c>
      <x:c r="X3478" s="54" t="str">
        <x:f>IF(ISNUMBER(V3478),V3478/(1-W3478),"")</x:f>
      </x:c>
      <x:c r="Y3478" s="55" t="str">
        <x:f>IF(ISNUMBER(X3478),ROUNDUP(X3478,0),"")</x:f>
      </x:c>
      <x:c r="Z3478" t="str">
        <x:f>IF(ISNUMBER(T3478),"Cost captured","Awaiting trade cost")</x:f>
        <x:v>Awaiting trade cost</x:v>
      </x:c>
      <x:c r="AB3478" s="36" t="str">
        <x:f>IF(ISNUMBER(Y3478),ROUND(Y3478*0.9,2),"")</x:f>
      </x:c>
      <x:c r="AC3478" s="36" t="str">
        <x:f>IF(ISNUMBER(AB3478),ROUND(AB3478-(AB3478*0.015+0.2)-V3478,2),"")</x:f>
      </x:c>
      <x:c r="AD3478" s="36" t="str">
        <x:f>IF(ISNUMBER(Y3478),ROUND(Y3478*0.8,2),"")</x:f>
      </x:c>
      <x:c r="AE3478" s="36" t="str">
        <x:f>IF(ISNUMBER(AD3478),ROUND(AD3478*0.015+0.2,2),"")</x:f>
      </x:c>
      <x:c r="AF3478" s="36" t="str">
        <x:f>IF(ISNUMBER(AD3478),ROUND(AD3478-AE3478-V3478,2),"")</x:f>
      </x:c>
      <x:c r="AG3478" t="str">
        <x:f>IF(NOT(ISNUMBER(T3478)),"PENDING",IF(AF3478&gt;0,"PASS","FAIL"))</x:f>
        <x:v>PENDING</x:v>
      </x:c>
      <x:c r="AH3478" t="str">
        <x:f>IF(NOT(ISNUMBER(T3478)),"Needs supplier cost",IF(K3478&lt;&gt;"In stock","Supplier unavailable",IF(AG3478&lt;&gt;"PASS","BLOCK - GT loss risk","Commercially protected")))</x:f>
        <x:v>Needs supplier cost</x:v>
      </x:c>
      <x:c r="AI3478" t="str">
        <x:v>2026-09-10 Active Sports trade capture</x:v>
      </x:c>
      <x:c r="AJ3478" t="str">
        <x:v>Management-only economics. Stripe stress test uses 1.5% + £0.20 standard UK online-card fee; pallet/mix-and-match pricing ignored.</x:v>
      </x:c>
    </x:row>
    <x:row r="3479">
      <x:c r="A3479" t="str">
        <x:v>Active Sports Nutrition</x:v>
      </x:c>
      <x:c r="B3479" t="str">
        <x:v>Quest Nutrition</x:v>
      </x:c>
      <x:c r="C3479" t="str">
        <x:v>Protein Cookie</x:v>
      </x:c>
      <x:c r="D3479" t="str">
        <x:v>Food &amp; Drinks</x:v>
      </x:c>
      <x:c r="E3479" t="str">
        <x:v>Protein Cookies</x:v>
      </x:c>
      <x:c r="F3479" t="str"/>
      <x:c r="G3479" t="str">
        <x:v>12 x 59g cookies</x:v>
      </x:c>
      <x:c r="H3479" t="str">
        <x:v>Chocolate Chip</x:v>
      </x:c>
      <x:c r="I3479" t="str">
        <x:v>12</x:v>
      </x:c>
      <x:c r="J3479" t="str">
        <x:v>Case</x:v>
      </x:c>
      <x:c r="K3479" t="str">
        <x:v>In stock</x:v>
      </x:c>
      <x:c r="L3479" t="str">
        <x:v>2026-09-08</x:v>
      </x:c>
      <x:c r="M3479" t="str"/>
      <x:c r="N3479" t="str"/>
      <x:c r="O3479" t="str">
        <x:v>https://www.activesportstrade.co.uk/quest-trade</x:v>
      </x:c>
      <x:c r="P3479" t="str"/>
      <x:c r="Q3479" t="str"/>
      <x:c r="R3479" t="str"/>
      <x:c r="S3479" t="str">
        <x:v>Pending genuine supplier/brand image</x:v>
      </x:c>
      <x:c r="T3479" s="54"/>
      <x:c r="U3479" s="47" t="n">
        <x:v>0.2</x:v>
      </x:c>
      <x:c r="V3479" s="54" t="str">
        <x:f>IF(ISNUMBER(T3479),T3479*(1+U3479),"")</x:f>
      </x:c>
      <x:c r="W3479" s="47" t="n">
        <x:v>0.3</x:v>
      </x:c>
      <x:c r="X3479" s="54" t="str">
        <x:f>IF(ISNUMBER(V3479),V3479/(1-W3479),"")</x:f>
      </x:c>
      <x:c r="Y3479" s="55" t="str">
        <x:f>IF(ISNUMBER(X3479),ROUNDUP(X3479,0),"")</x:f>
      </x:c>
      <x:c r="Z3479" t="str">
        <x:f>IF(ISNUMBER(T3479),"Cost captured","Awaiting trade cost")</x:f>
        <x:v>Awaiting trade cost</x:v>
      </x:c>
      <x:c r="AB3479" s="36" t="str">
        <x:f>IF(ISNUMBER(Y3479),ROUND(Y3479*0.9,2),"")</x:f>
      </x:c>
      <x:c r="AC3479" s="36" t="str">
        <x:f>IF(ISNUMBER(AB3479),ROUND(AB3479-(AB3479*0.015+0.2)-V3479,2),"")</x:f>
      </x:c>
      <x:c r="AD3479" s="36" t="str">
        <x:f>IF(ISNUMBER(Y3479),ROUND(Y3479*0.8,2),"")</x:f>
      </x:c>
      <x:c r="AE3479" s="36" t="str">
        <x:f>IF(ISNUMBER(AD3479),ROUND(AD3479*0.015+0.2,2),"")</x:f>
      </x:c>
      <x:c r="AF3479" s="36" t="str">
        <x:f>IF(ISNUMBER(AD3479),ROUND(AD3479-AE3479-V3479,2),"")</x:f>
      </x:c>
      <x:c r="AG3479" t="str">
        <x:f>IF(NOT(ISNUMBER(T3479)),"PENDING",IF(AF3479&gt;0,"PASS","FAIL"))</x:f>
        <x:v>PENDING</x:v>
      </x:c>
      <x:c r="AH3479" t="str">
        <x:f>IF(NOT(ISNUMBER(T3479)),"Needs supplier cost",IF(K3479&lt;&gt;"In stock","Supplier unavailable",IF(AG3479&lt;&gt;"PASS","BLOCK - GT loss risk","Commercially protected")))</x:f>
        <x:v>Needs supplier cost</x:v>
      </x:c>
      <x:c r="AI3479" t="str">
        <x:v>2026-09-10 Active Sports trade capture</x:v>
      </x:c>
      <x:c r="AJ3479" t="str">
        <x:v>Management-only economics. Stripe stress test uses 1.5% + £0.20 standard UK online-card fee; pallet/mix-and-match pricing ignored.</x:v>
      </x:c>
    </x:row>
    <x:row r="3480">
      <x:c r="A3480" t="str">
        <x:v>Active Sports Nutrition</x:v>
      </x:c>
      <x:c r="B3480" t="str">
        <x:v>Quest Nutrition</x:v>
      </x:c>
      <x:c r="C3480" t="str">
        <x:v>Protein Cookie</x:v>
      </x:c>
      <x:c r="D3480" t="str">
        <x:v>Food &amp; Drinks</x:v>
      </x:c>
      <x:c r="E3480" t="str">
        <x:v>Protein Cookies</x:v>
      </x:c>
      <x:c r="F3480" t="str"/>
      <x:c r="G3480" t="str">
        <x:v>12 x 59g cookies</x:v>
      </x:c>
      <x:c r="H3480" t="str">
        <x:v>Double Chocolate Chip</x:v>
      </x:c>
      <x:c r="I3480" t="str">
        <x:v>12</x:v>
      </x:c>
      <x:c r="J3480" t="str">
        <x:v>Case</x:v>
      </x:c>
      <x:c r="K3480" t="str">
        <x:v>In stock</x:v>
      </x:c>
      <x:c r="L3480" t="str">
        <x:v>2026-09-08</x:v>
      </x:c>
      <x:c r="M3480" t="str"/>
      <x:c r="N3480" t="str"/>
      <x:c r="O3480" t="str">
        <x:v>https://www.activesportstrade.co.uk/quest-trade</x:v>
      </x:c>
      <x:c r="P3480" t="str"/>
      <x:c r="Q3480" t="str"/>
      <x:c r="R3480" t="str"/>
      <x:c r="S3480" t="str">
        <x:v>Pending genuine supplier/brand image</x:v>
      </x:c>
      <x:c r="T3480" s="54"/>
      <x:c r="U3480" s="47" t="n">
        <x:v>0.2</x:v>
      </x:c>
      <x:c r="V3480" s="54" t="str">
        <x:f>IF(ISNUMBER(T3480),T3480*(1+U3480),"")</x:f>
      </x:c>
      <x:c r="W3480" s="47" t="n">
        <x:v>0.3</x:v>
      </x:c>
      <x:c r="X3480" s="54" t="str">
        <x:f>IF(ISNUMBER(V3480),V3480/(1-W3480),"")</x:f>
      </x:c>
      <x:c r="Y3480" s="55" t="str">
        <x:f>IF(ISNUMBER(X3480),ROUNDUP(X3480,0),"")</x:f>
      </x:c>
      <x:c r="Z3480" t="str">
        <x:f>IF(ISNUMBER(T3480),"Cost captured","Awaiting trade cost")</x:f>
        <x:v>Awaiting trade cost</x:v>
      </x:c>
      <x:c r="AB3480" s="36" t="str">
        <x:f>IF(ISNUMBER(Y3480),ROUND(Y3480*0.9,2),"")</x:f>
      </x:c>
      <x:c r="AC3480" s="36" t="str">
        <x:f>IF(ISNUMBER(AB3480),ROUND(AB3480-(AB3480*0.015+0.2)-V3480,2),"")</x:f>
      </x:c>
      <x:c r="AD3480" s="36" t="str">
        <x:f>IF(ISNUMBER(Y3480),ROUND(Y3480*0.8,2),"")</x:f>
      </x:c>
      <x:c r="AE3480" s="36" t="str">
        <x:f>IF(ISNUMBER(AD3480),ROUND(AD3480*0.015+0.2,2),"")</x:f>
      </x:c>
      <x:c r="AF3480" s="36" t="str">
        <x:f>IF(ISNUMBER(AD3480),ROUND(AD3480-AE3480-V3480,2),"")</x:f>
      </x:c>
      <x:c r="AG3480" t="str">
        <x:f>IF(NOT(ISNUMBER(T3480)),"PENDING",IF(AF3480&gt;0,"PASS","FAIL"))</x:f>
        <x:v>PENDING</x:v>
      </x:c>
      <x:c r="AH3480" t="str">
        <x:f>IF(NOT(ISNUMBER(T3480)),"Needs supplier cost",IF(K3480&lt;&gt;"In stock","Supplier unavailable",IF(AG3480&lt;&gt;"PASS","BLOCK - GT loss risk","Commercially protected")))</x:f>
        <x:v>Needs supplier cost</x:v>
      </x:c>
      <x:c r="AI3480" t="str">
        <x:v>2026-09-10 Active Sports trade capture</x:v>
      </x:c>
      <x:c r="AJ3480" t="str">
        <x:v>Management-only economics. Stripe stress test uses 1.5% + £0.20 standard UK online-card fee; pallet/mix-and-match pricing ignored.</x:v>
      </x:c>
    </x:row>
    <x:row r="3481">
      <x:c r="A3481" t="str">
        <x:v>Active Sports Nutrition</x:v>
      </x:c>
      <x:c r="B3481" t="str">
        <x:v>Quest Nutrition</x:v>
      </x:c>
      <x:c r="C3481" t="str">
        <x:v>Protein Cookie</x:v>
      </x:c>
      <x:c r="D3481" t="str">
        <x:v>Food &amp; Drinks</x:v>
      </x:c>
      <x:c r="E3481" t="str">
        <x:v>Protein Cookies</x:v>
      </x:c>
      <x:c r="F3481" t="str"/>
      <x:c r="G3481" t="str">
        <x:v>12 x 59g cookies</x:v>
      </x:c>
      <x:c r="H3481" t="str">
        <x:v>Peanut Butter</x:v>
      </x:c>
      <x:c r="I3481" t="str">
        <x:v>12</x:v>
      </x:c>
      <x:c r="J3481" t="str">
        <x:v>Case</x:v>
      </x:c>
      <x:c r="K3481" t="str">
        <x:v>In stock</x:v>
      </x:c>
      <x:c r="L3481" t="str">
        <x:v>2026-09-08</x:v>
      </x:c>
      <x:c r="M3481" t="str"/>
      <x:c r="N3481" t="str"/>
      <x:c r="O3481" t="str">
        <x:v>https://www.activesportstrade.co.uk/quest-trade</x:v>
      </x:c>
      <x:c r="P3481" t="str"/>
      <x:c r="Q3481" t="str"/>
      <x:c r="R3481" t="str"/>
      <x:c r="S3481" t="str">
        <x:v>Pending genuine supplier/brand image</x:v>
      </x:c>
      <x:c r="T3481" s="54"/>
      <x:c r="U3481" s="47" t="n">
        <x:v>0.2</x:v>
      </x:c>
      <x:c r="V3481" s="54" t="str">
        <x:f>IF(ISNUMBER(T3481),T3481*(1+U3481),"")</x:f>
      </x:c>
      <x:c r="W3481" s="47" t="n">
        <x:v>0.3</x:v>
      </x:c>
      <x:c r="X3481" s="54" t="str">
        <x:f>IF(ISNUMBER(V3481),V3481/(1-W3481),"")</x:f>
      </x:c>
      <x:c r="Y3481" s="55" t="str">
        <x:f>IF(ISNUMBER(X3481),ROUNDUP(X3481,0),"")</x:f>
      </x:c>
      <x:c r="Z3481" t="str">
        <x:f>IF(ISNUMBER(T3481),"Cost captured","Awaiting trade cost")</x:f>
        <x:v>Awaiting trade cost</x:v>
      </x:c>
      <x:c r="AB3481" s="36" t="str">
        <x:f>IF(ISNUMBER(Y3481),ROUND(Y3481*0.9,2),"")</x:f>
      </x:c>
      <x:c r="AC3481" s="36" t="str">
        <x:f>IF(ISNUMBER(AB3481),ROUND(AB3481-(AB3481*0.015+0.2)-V3481,2),"")</x:f>
      </x:c>
      <x:c r="AD3481" s="36" t="str">
        <x:f>IF(ISNUMBER(Y3481),ROUND(Y3481*0.8,2),"")</x:f>
      </x:c>
      <x:c r="AE3481" s="36" t="str">
        <x:f>IF(ISNUMBER(AD3481),ROUND(AD3481*0.015+0.2,2),"")</x:f>
      </x:c>
      <x:c r="AF3481" s="36" t="str">
        <x:f>IF(ISNUMBER(AD3481),ROUND(AD3481-AE3481-V3481,2),"")</x:f>
      </x:c>
      <x:c r="AG3481" t="str">
        <x:f>IF(NOT(ISNUMBER(T3481)),"PENDING",IF(AF3481&gt;0,"PASS","FAIL"))</x:f>
        <x:v>PENDING</x:v>
      </x:c>
      <x:c r="AH3481" t="str">
        <x:f>IF(NOT(ISNUMBER(T3481)),"Needs supplier cost",IF(K3481&lt;&gt;"In stock","Supplier unavailable",IF(AG3481&lt;&gt;"PASS","BLOCK - GT loss risk","Commercially protected")))</x:f>
        <x:v>Needs supplier cost</x:v>
      </x:c>
      <x:c r="AI3481" t="str">
        <x:v>2026-09-10 Active Sports trade capture</x:v>
      </x:c>
      <x:c r="AJ3481" t="str">
        <x:v>Management-only economics. Stripe stress test uses 1.5% + £0.20 standard UK online-card fee; pallet/mix-and-match pricing ignored.</x:v>
      </x:c>
    </x:row>
    <x:row r="3482">
      <x:c r="A3482" t="str">
        <x:v>Active Sports Nutrition</x:v>
      </x:c>
      <x:c r="B3482" t="str">
        <x:v>Quest Nutrition</x:v>
      </x:c>
      <x:c r="C3482" t="str">
        <x:v>Protein Cookie</x:v>
      </x:c>
      <x:c r="D3482" t="str">
        <x:v>Food &amp; Drinks</x:v>
      </x:c>
      <x:c r="E3482" t="str">
        <x:v>Protein Cookies</x:v>
      </x:c>
      <x:c r="F3482" t="str"/>
      <x:c r="G3482" t="str">
        <x:v>12 x 59g cookies</x:v>
      </x:c>
      <x:c r="H3482" t="str">
        <x:v>Peanut Butter Chocolate Chip</x:v>
      </x:c>
      <x:c r="I3482" t="str">
        <x:v>12</x:v>
      </x:c>
      <x:c r="J3482" t="str">
        <x:v>Case</x:v>
      </x:c>
      <x:c r="K3482" t="str">
        <x:v>In stock</x:v>
      </x:c>
      <x:c r="L3482" t="str">
        <x:v>2026-09-08</x:v>
      </x:c>
      <x:c r="M3482" t="str"/>
      <x:c r="N3482" t="str"/>
      <x:c r="O3482" t="str">
        <x:v>https://www.activesportstrade.co.uk/quest-trade</x:v>
      </x:c>
      <x:c r="P3482" t="str"/>
      <x:c r="Q3482" t="str"/>
      <x:c r="R3482" t="str"/>
      <x:c r="S3482" t="str">
        <x:v>Pending genuine supplier/brand image</x:v>
      </x:c>
      <x:c r="T3482" s="54"/>
      <x:c r="U3482" s="47" t="n">
        <x:v>0.2</x:v>
      </x:c>
      <x:c r="V3482" s="54" t="str">
        <x:f>IF(ISNUMBER(T3482),T3482*(1+U3482),"")</x:f>
      </x:c>
      <x:c r="W3482" s="47" t="n">
        <x:v>0.3</x:v>
      </x:c>
      <x:c r="X3482" s="54" t="str">
        <x:f>IF(ISNUMBER(V3482),V3482/(1-W3482),"")</x:f>
      </x:c>
      <x:c r="Y3482" s="55" t="str">
        <x:f>IF(ISNUMBER(X3482),ROUNDUP(X3482,0),"")</x:f>
      </x:c>
      <x:c r="Z3482" t="str">
        <x:f>IF(ISNUMBER(T3482),"Cost captured","Awaiting trade cost")</x:f>
        <x:v>Awaiting trade cost</x:v>
      </x:c>
      <x:c r="AB3482" s="36" t="str">
        <x:f>IF(ISNUMBER(Y3482),ROUND(Y3482*0.9,2),"")</x:f>
      </x:c>
      <x:c r="AC3482" s="36" t="str">
        <x:f>IF(ISNUMBER(AB3482),ROUND(AB3482-(AB3482*0.015+0.2)-V3482,2),"")</x:f>
      </x:c>
      <x:c r="AD3482" s="36" t="str">
        <x:f>IF(ISNUMBER(Y3482),ROUND(Y3482*0.8,2),"")</x:f>
      </x:c>
      <x:c r="AE3482" s="36" t="str">
        <x:f>IF(ISNUMBER(AD3482),ROUND(AD3482*0.015+0.2,2),"")</x:f>
      </x:c>
      <x:c r="AF3482" s="36" t="str">
        <x:f>IF(ISNUMBER(AD3482),ROUND(AD3482-AE3482-V3482,2),"")</x:f>
      </x:c>
      <x:c r="AG3482" t="str">
        <x:f>IF(NOT(ISNUMBER(T3482)),"PENDING",IF(AF3482&gt;0,"PASS","FAIL"))</x:f>
        <x:v>PENDING</x:v>
      </x:c>
      <x:c r="AH3482" t="str">
        <x:f>IF(NOT(ISNUMBER(T3482)),"Needs supplier cost",IF(K3482&lt;&gt;"In stock","Supplier unavailable",IF(AG3482&lt;&gt;"PASS","BLOCK - GT loss risk","Commercially protected")))</x:f>
        <x:v>Needs supplier cost</x:v>
      </x:c>
      <x:c r="AI3482" t="str">
        <x:v>2026-09-10 Active Sports trade capture</x:v>
      </x:c>
      <x:c r="AJ3482" t="str">
        <x:v>Management-only economics. Stripe stress test uses 1.5% + £0.20 standard UK online-card fee; pallet/mix-and-match pricing ignored.</x:v>
      </x:c>
    </x:row>
    <x:row r="3483">
      <x:c r="A3483" t="str">
        <x:v>Active Sports Nutrition</x:v>
      </x:c>
      <x:c r="B3483" t="str">
        <x:v>Quest Nutrition</x:v>
      </x:c>
      <x:c r="C3483" t="str">
        <x:v>Protein Cookie</x:v>
      </x:c>
      <x:c r="D3483" t="str">
        <x:v>Food &amp; Drinks</x:v>
      </x:c>
      <x:c r="E3483" t="str">
        <x:v>Protein Cookies</x:v>
      </x:c>
      <x:c r="F3483" t="str"/>
      <x:c r="G3483" t="str">
        <x:v>12 x 59g cookies</x:v>
      </x:c>
      <x:c r="H3483" t="str">
        <x:v>Snickerdoodle</x:v>
      </x:c>
      <x:c r="I3483" t="str">
        <x:v>12</x:v>
      </x:c>
      <x:c r="J3483" t="str">
        <x:v>Case</x:v>
      </x:c>
      <x:c r="K3483" t="str">
        <x:v>In stock</x:v>
      </x:c>
      <x:c r="L3483" t="str">
        <x:v>2026-09-08</x:v>
      </x:c>
      <x:c r="M3483" t="str"/>
      <x:c r="N3483" t="str"/>
      <x:c r="O3483" t="str">
        <x:v>https://www.activesportstrade.co.uk/quest-trade</x:v>
      </x:c>
      <x:c r="P3483" t="str"/>
      <x:c r="Q3483" t="str"/>
      <x:c r="R3483" t="str"/>
      <x:c r="S3483" t="str">
        <x:v>Pending genuine supplier/brand image</x:v>
      </x:c>
      <x:c r="T3483" s="54"/>
      <x:c r="U3483" s="47" t="n">
        <x:v>0.2</x:v>
      </x:c>
      <x:c r="V3483" s="54" t="str">
        <x:f>IF(ISNUMBER(T3483),T3483*(1+U3483),"")</x:f>
      </x:c>
      <x:c r="W3483" s="47" t="n">
        <x:v>0.3</x:v>
      </x:c>
      <x:c r="X3483" s="54" t="str">
        <x:f>IF(ISNUMBER(V3483),V3483/(1-W3483),"")</x:f>
      </x:c>
      <x:c r="Y3483" s="55" t="str">
        <x:f>IF(ISNUMBER(X3483),ROUNDUP(X3483,0),"")</x:f>
      </x:c>
      <x:c r="Z3483" t="str">
        <x:f>IF(ISNUMBER(T3483),"Cost captured","Awaiting trade cost")</x:f>
        <x:v>Awaiting trade cost</x:v>
      </x:c>
      <x:c r="AB3483" s="36" t="str">
        <x:f>IF(ISNUMBER(Y3483),ROUND(Y3483*0.9,2),"")</x:f>
      </x:c>
      <x:c r="AC3483" s="36" t="str">
        <x:f>IF(ISNUMBER(AB3483),ROUND(AB3483-(AB3483*0.015+0.2)-V3483,2),"")</x:f>
      </x:c>
      <x:c r="AD3483" s="36" t="str">
        <x:f>IF(ISNUMBER(Y3483),ROUND(Y3483*0.8,2),"")</x:f>
      </x:c>
      <x:c r="AE3483" s="36" t="str">
        <x:f>IF(ISNUMBER(AD3483),ROUND(AD3483*0.015+0.2,2),"")</x:f>
      </x:c>
      <x:c r="AF3483" s="36" t="str">
        <x:f>IF(ISNUMBER(AD3483),ROUND(AD3483-AE3483-V3483,2),"")</x:f>
      </x:c>
      <x:c r="AG3483" t="str">
        <x:f>IF(NOT(ISNUMBER(T3483)),"PENDING",IF(AF3483&gt;0,"PASS","FAIL"))</x:f>
        <x:v>PENDING</x:v>
      </x:c>
      <x:c r="AH3483" t="str">
        <x:f>IF(NOT(ISNUMBER(T3483)),"Needs supplier cost",IF(K3483&lt;&gt;"In stock","Supplier unavailable",IF(AG3483&lt;&gt;"PASS","BLOCK - GT loss risk","Commercially protected")))</x:f>
        <x:v>Needs supplier cost</x:v>
      </x:c>
      <x:c r="AI3483" t="str">
        <x:v>2026-09-10 Active Sports trade capture</x:v>
      </x:c>
      <x:c r="AJ3483" t="str">
        <x:v>Management-only economics. Stripe stress test uses 1.5% + £0.20 standard UK online-card fee; pallet/mix-and-match pricing ignored.</x:v>
      </x:c>
    </x:row>
    <x:row r="3484">
      <x:c r="A3484" t="str">
        <x:v>Active Sports Nutrition</x:v>
      </x:c>
      <x:c r="B3484" t="str">
        <x:v>Quest Nutrition</x:v>
      </x:c>
      <x:c r="C3484" t="str">
        <x:v>Protein Cookie</x:v>
      </x:c>
      <x:c r="D3484" t="str">
        <x:v>Food &amp; Drinks</x:v>
      </x:c>
      <x:c r="E3484" t="str">
        <x:v>Protein Cookies</x:v>
      </x:c>
      <x:c r="F3484" t="str"/>
      <x:c r="G3484" t="str">
        <x:v>12 x 59g cookies</x:v>
      </x:c>
      <x:c r="H3484" t="str">
        <x:v>White Chocolate Macadamia</x:v>
      </x:c>
      <x:c r="I3484" t="str">
        <x:v>12</x:v>
      </x:c>
      <x:c r="J3484" t="str">
        <x:v>Case</x:v>
      </x:c>
      <x:c r="K3484" t="str">
        <x:v>In stock</x:v>
      </x:c>
      <x:c r="L3484" t="str">
        <x:v>2026-09-08</x:v>
      </x:c>
      <x:c r="M3484" t="str"/>
      <x:c r="N3484" t="str"/>
      <x:c r="O3484" t="str">
        <x:v>https://www.activesportstrade.co.uk/quest-trade</x:v>
      </x:c>
      <x:c r="P3484" t="str"/>
      <x:c r="Q3484" t="str"/>
      <x:c r="R3484" t="str"/>
      <x:c r="S3484" t="str">
        <x:v>Pending genuine supplier/brand image</x:v>
      </x:c>
      <x:c r="T3484" s="54"/>
      <x:c r="U3484" s="47" t="n">
        <x:v>0.2</x:v>
      </x:c>
      <x:c r="V3484" s="54" t="str">
        <x:f>IF(ISNUMBER(T3484),T3484*(1+U3484),"")</x:f>
      </x:c>
      <x:c r="W3484" s="47" t="n">
        <x:v>0.3</x:v>
      </x:c>
      <x:c r="X3484" s="54" t="str">
        <x:f>IF(ISNUMBER(V3484),V3484/(1-W3484),"")</x:f>
      </x:c>
      <x:c r="Y3484" s="55" t="str">
        <x:f>IF(ISNUMBER(X3484),ROUNDUP(X3484,0),"")</x:f>
      </x:c>
      <x:c r="Z3484" t="str">
        <x:f>IF(ISNUMBER(T3484),"Cost captured","Awaiting trade cost")</x:f>
        <x:v>Awaiting trade cost</x:v>
      </x:c>
      <x:c r="AB3484" s="36" t="str">
        <x:f>IF(ISNUMBER(Y3484),ROUND(Y3484*0.9,2),"")</x:f>
      </x:c>
      <x:c r="AC3484" s="36" t="str">
        <x:f>IF(ISNUMBER(AB3484),ROUND(AB3484-(AB3484*0.015+0.2)-V3484,2),"")</x:f>
      </x:c>
      <x:c r="AD3484" s="36" t="str">
        <x:f>IF(ISNUMBER(Y3484),ROUND(Y3484*0.8,2),"")</x:f>
      </x:c>
      <x:c r="AE3484" s="36" t="str">
        <x:f>IF(ISNUMBER(AD3484),ROUND(AD3484*0.015+0.2,2),"")</x:f>
      </x:c>
      <x:c r="AF3484" s="36" t="str">
        <x:f>IF(ISNUMBER(AD3484),ROUND(AD3484-AE3484-V3484,2),"")</x:f>
      </x:c>
      <x:c r="AG3484" t="str">
        <x:f>IF(NOT(ISNUMBER(T3484)),"PENDING",IF(AF3484&gt;0,"PASS","FAIL"))</x:f>
        <x:v>PENDING</x:v>
      </x:c>
      <x:c r="AH3484" t="str">
        <x:f>IF(NOT(ISNUMBER(T3484)),"Needs supplier cost",IF(K3484&lt;&gt;"In stock","Supplier unavailable",IF(AG3484&lt;&gt;"PASS","BLOCK - GT loss risk","Commercially protected")))</x:f>
        <x:v>Needs supplier cost</x:v>
      </x:c>
      <x:c r="AI3484" t="str">
        <x:v>2026-09-10 Active Sports trade capture</x:v>
      </x:c>
      <x:c r="AJ3484" t="str">
        <x:v>Management-only economics. Stripe stress test uses 1.5% + £0.20 standard UK online-card fee; pallet/mix-and-match pricing ignored.</x:v>
      </x:c>
    </x:row>
    <x:row r="3485">
      <x:c r="A3485" t="str">
        <x:v>Active Sports Nutrition</x:v>
      </x:c>
      <x:c r="B3485" t="str">
        <x:v>Quest Nutrition</x:v>
      </x:c>
      <x:c r="C3485" t="str">
        <x:v>Quest Bars</x:v>
      </x:c>
      <x:c r="D3485" t="str">
        <x:v>Food &amp; Drinks</x:v>
      </x:c>
      <x:c r="E3485" t="str">
        <x:v>Protein Bars</x:v>
      </x:c>
      <x:c r="F3485" t="str"/>
      <x:c r="G3485" t="str">
        <x:v>12 x 60g bars</x:v>
      </x:c>
      <x:c r="H3485" t="str">
        <x:v>Apple Pie</x:v>
      </x:c>
      <x:c r="I3485" t="str">
        <x:v>12</x:v>
      </x:c>
      <x:c r="J3485" t="str">
        <x:v>Case</x:v>
      </x:c>
      <x:c r="K3485" t="str">
        <x:v>In stock</x:v>
      </x:c>
      <x:c r="L3485" t="str">
        <x:v>2026-09-08</x:v>
      </x:c>
      <x:c r="M3485" t="str"/>
      <x:c r="N3485" t="str"/>
      <x:c r="O3485" t="str">
        <x:v>https://www.activesportstrade.co.uk/quest-trade</x:v>
      </x:c>
      <x:c r="P3485" t="str"/>
      <x:c r="Q3485" t="str"/>
      <x:c r="R3485" t="str"/>
      <x:c r="S3485" t="str">
        <x:v>Pending genuine supplier/brand image</x:v>
      </x:c>
      <x:c r="T3485" s="54"/>
      <x:c r="U3485" s="47" t="n">
        <x:v>0.2</x:v>
      </x:c>
      <x:c r="V3485" s="54" t="str">
        <x:f>IF(ISNUMBER(T3485),T3485*(1+U3485),"")</x:f>
      </x:c>
      <x:c r="W3485" s="47" t="n">
        <x:v>0.3</x:v>
      </x:c>
      <x:c r="X3485" s="54" t="str">
        <x:f>IF(ISNUMBER(V3485),V3485/(1-W3485),"")</x:f>
      </x:c>
      <x:c r="Y3485" s="55" t="str">
        <x:f>IF(ISNUMBER(X3485),ROUNDUP(X3485,0),"")</x:f>
      </x:c>
      <x:c r="Z3485" t="str">
        <x:f>IF(ISNUMBER(T3485),"Cost captured","Awaiting trade cost")</x:f>
        <x:v>Awaiting trade cost</x:v>
      </x:c>
      <x:c r="AB3485" s="36" t="str">
        <x:f>IF(ISNUMBER(Y3485),ROUND(Y3485*0.9,2),"")</x:f>
      </x:c>
      <x:c r="AC3485" s="36" t="str">
        <x:f>IF(ISNUMBER(AB3485),ROUND(AB3485-(AB3485*0.015+0.2)-V3485,2),"")</x:f>
      </x:c>
      <x:c r="AD3485" s="36" t="str">
        <x:f>IF(ISNUMBER(Y3485),ROUND(Y3485*0.8,2),"")</x:f>
      </x:c>
      <x:c r="AE3485" s="36" t="str">
        <x:f>IF(ISNUMBER(AD3485),ROUND(AD3485*0.015+0.2,2),"")</x:f>
      </x:c>
      <x:c r="AF3485" s="36" t="str">
        <x:f>IF(ISNUMBER(AD3485),ROUND(AD3485-AE3485-V3485,2),"")</x:f>
      </x:c>
      <x:c r="AG3485" t="str">
        <x:f>IF(NOT(ISNUMBER(T3485)),"PENDING",IF(AF3485&gt;0,"PASS","FAIL"))</x:f>
        <x:v>PENDING</x:v>
      </x:c>
      <x:c r="AH3485" t="str">
        <x:f>IF(NOT(ISNUMBER(T3485)),"Needs supplier cost",IF(K3485&lt;&gt;"In stock","Supplier unavailable",IF(AG3485&lt;&gt;"PASS","BLOCK - GT loss risk","Commercially protected")))</x:f>
        <x:v>Needs supplier cost</x:v>
      </x:c>
      <x:c r="AI3485" t="str">
        <x:v>2026-09-10 Active Sports trade capture</x:v>
      </x:c>
      <x:c r="AJ3485" t="str">
        <x:v>Management-only economics. Stripe stress test uses 1.5% + £0.20 standard UK online-card fee; pallet/mix-and-match pricing ignored.</x:v>
      </x:c>
    </x:row>
    <x:row r="3486">
      <x:c r="A3486" t="str">
        <x:v>Active Sports Nutrition</x:v>
      </x:c>
      <x:c r="B3486" t="str">
        <x:v>Quest Nutrition</x:v>
      </x:c>
      <x:c r="C3486" t="str">
        <x:v>Quest Bars</x:v>
      </x:c>
      <x:c r="D3486" t="str">
        <x:v>Food &amp; Drinks</x:v>
      </x:c>
      <x:c r="E3486" t="str">
        <x:v>Protein Bars</x:v>
      </x:c>
      <x:c r="F3486" t="str"/>
      <x:c r="G3486" t="str">
        <x:v>12 x 60g bars</x:v>
      </x:c>
      <x:c r="H3486" t="str">
        <x:v>Birthday Cake</x:v>
      </x:c>
      <x:c r="I3486" t="str">
        <x:v>12</x:v>
      </x:c>
      <x:c r="J3486" t="str">
        <x:v>Case</x:v>
      </x:c>
      <x:c r="K3486" t="str">
        <x:v>In stock</x:v>
      </x:c>
      <x:c r="L3486" t="str">
        <x:v>2026-09-08</x:v>
      </x:c>
      <x:c r="M3486" t="str"/>
      <x:c r="N3486" t="str"/>
      <x:c r="O3486" t="str">
        <x:v>https://www.activesportstrade.co.uk/quest-trade</x:v>
      </x:c>
      <x:c r="P3486" t="str"/>
      <x:c r="Q3486" t="str"/>
      <x:c r="R3486" t="str"/>
      <x:c r="S3486" t="str">
        <x:v>Pending genuine supplier/brand image</x:v>
      </x:c>
      <x:c r="T3486" s="54"/>
      <x:c r="U3486" s="47" t="n">
        <x:v>0.2</x:v>
      </x:c>
      <x:c r="V3486" s="54" t="str">
        <x:f>IF(ISNUMBER(T3486),T3486*(1+U3486),"")</x:f>
      </x:c>
      <x:c r="W3486" s="47" t="n">
        <x:v>0.3</x:v>
      </x:c>
      <x:c r="X3486" s="54" t="str">
        <x:f>IF(ISNUMBER(V3486),V3486/(1-W3486),"")</x:f>
      </x:c>
      <x:c r="Y3486" s="55" t="str">
        <x:f>IF(ISNUMBER(X3486),ROUNDUP(X3486,0),"")</x:f>
      </x:c>
      <x:c r="Z3486" t="str">
        <x:f>IF(ISNUMBER(T3486),"Cost captured","Awaiting trade cost")</x:f>
        <x:v>Awaiting trade cost</x:v>
      </x:c>
      <x:c r="AB3486" s="36" t="str">
        <x:f>IF(ISNUMBER(Y3486),ROUND(Y3486*0.9,2),"")</x:f>
      </x:c>
      <x:c r="AC3486" s="36" t="str">
        <x:f>IF(ISNUMBER(AB3486),ROUND(AB3486-(AB3486*0.015+0.2)-V3486,2),"")</x:f>
      </x:c>
      <x:c r="AD3486" s="36" t="str">
        <x:f>IF(ISNUMBER(Y3486),ROUND(Y3486*0.8,2),"")</x:f>
      </x:c>
      <x:c r="AE3486" s="36" t="str">
        <x:f>IF(ISNUMBER(AD3486),ROUND(AD3486*0.015+0.2,2),"")</x:f>
      </x:c>
      <x:c r="AF3486" s="36" t="str">
        <x:f>IF(ISNUMBER(AD3486),ROUND(AD3486-AE3486-V3486,2),"")</x:f>
      </x:c>
      <x:c r="AG3486" t="str">
        <x:f>IF(NOT(ISNUMBER(T3486)),"PENDING",IF(AF3486&gt;0,"PASS","FAIL"))</x:f>
        <x:v>PENDING</x:v>
      </x:c>
      <x:c r="AH3486" t="str">
        <x:f>IF(NOT(ISNUMBER(T3486)),"Needs supplier cost",IF(K3486&lt;&gt;"In stock","Supplier unavailable",IF(AG3486&lt;&gt;"PASS","BLOCK - GT loss risk","Commercially protected")))</x:f>
        <x:v>Needs supplier cost</x:v>
      </x:c>
      <x:c r="AI3486" t="str">
        <x:v>2026-09-10 Active Sports trade capture</x:v>
      </x:c>
      <x:c r="AJ3486" t="str">
        <x:v>Management-only economics. Stripe stress test uses 1.5% + £0.20 standard UK online-card fee; pallet/mix-and-match pricing ignored.</x:v>
      </x:c>
    </x:row>
    <x:row r="3487">
      <x:c r="A3487" t="str">
        <x:v>Active Sports Nutrition</x:v>
      </x:c>
      <x:c r="B3487" t="str">
        <x:v>Quest Nutrition</x:v>
      </x:c>
      <x:c r="C3487" t="str">
        <x:v>Quest Bars</x:v>
      </x:c>
      <x:c r="D3487" t="str">
        <x:v>Food &amp; Drinks</x:v>
      </x:c>
      <x:c r="E3487" t="str">
        <x:v>Protein Bars</x:v>
      </x:c>
      <x:c r="F3487" t="str"/>
      <x:c r="G3487" t="str">
        <x:v>12 x 60g bars</x:v>
      </x:c>
      <x:c r="H3487" t="str">
        <x:v>Blueberry Muffin</x:v>
      </x:c>
      <x:c r="I3487" t="str">
        <x:v>12</x:v>
      </x:c>
      <x:c r="J3487" t="str">
        <x:v>Case</x:v>
      </x:c>
      <x:c r="K3487" t="str">
        <x:v>Out of stock</x:v>
      </x:c>
      <x:c r="L3487" t="str">
        <x:v>2026-09-08</x:v>
      </x:c>
      <x:c r="M3487" t="str"/>
      <x:c r="N3487" t="str"/>
      <x:c r="O3487" t="str">
        <x:v>https://www.activesportstrade.co.uk/quest-trade</x:v>
      </x:c>
      <x:c r="P3487" t="str"/>
      <x:c r="Q3487" t="str"/>
      <x:c r="R3487" t="str"/>
      <x:c r="S3487" t="str">
        <x:v>Pending genuine supplier/brand image</x:v>
      </x:c>
      <x:c r="T3487" s="54"/>
      <x:c r="U3487" s="47" t="n">
        <x:v>0.2</x:v>
      </x:c>
      <x:c r="V3487" s="54" t="str">
        <x:f>IF(ISNUMBER(T3487),T3487*(1+U3487),"")</x:f>
      </x:c>
      <x:c r="W3487" s="47" t="n">
        <x:v>0.3</x:v>
      </x:c>
      <x:c r="X3487" s="54" t="str">
        <x:f>IF(ISNUMBER(V3487),V3487/(1-W3487),"")</x:f>
      </x:c>
      <x:c r="Y3487" s="55" t="str">
        <x:f>IF(ISNUMBER(X3487),ROUNDUP(X3487,0),"")</x:f>
      </x:c>
      <x:c r="Z3487" t="str">
        <x:f>IF(ISNUMBER(T3487),"Cost captured","Awaiting trade cost")</x:f>
        <x:v>Awaiting trade cost</x:v>
      </x:c>
      <x:c r="AB3487" s="36" t="str">
        <x:f>IF(ISNUMBER(Y3487),ROUND(Y3487*0.9,2),"")</x:f>
      </x:c>
      <x:c r="AC3487" s="36" t="str">
        <x:f>IF(ISNUMBER(AB3487),ROUND(AB3487-(AB3487*0.015+0.2)-V3487,2),"")</x:f>
      </x:c>
      <x:c r="AD3487" s="36" t="str">
        <x:f>IF(ISNUMBER(Y3487),ROUND(Y3487*0.8,2),"")</x:f>
      </x:c>
      <x:c r="AE3487" s="36" t="str">
        <x:f>IF(ISNUMBER(AD3487),ROUND(AD3487*0.015+0.2,2),"")</x:f>
      </x:c>
      <x:c r="AF3487" s="36" t="str">
        <x:f>IF(ISNUMBER(AD3487),ROUND(AD3487-AE3487-V3487,2),"")</x:f>
      </x:c>
      <x:c r="AG3487" t="str">
        <x:f>IF(NOT(ISNUMBER(T3487)),"PENDING",IF(AF3487&gt;0,"PASS","FAIL"))</x:f>
        <x:v>PENDING</x:v>
      </x:c>
      <x:c r="AH3487" t="str">
        <x:f>IF(NOT(ISNUMBER(T3487)),"Needs supplier cost",IF(K3487&lt;&gt;"In stock","Supplier unavailable",IF(AG3487&lt;&gt;"PASS","BLOCK - GT loss risk","Commercially protected")))</x:f>
        <x:v>Needs supplier cost</x:v>
      </x:c>
      <x:c r="AI3487" t="str">
        <x:v>2026-09-10 Active Sports trade capture</x:v>
      </x:c>
      <x:c r="AJ3487" t="str">
        <x:v>Management-only economics. Stripe stress test uses 1.5% + £0.20 standard UK online-card fee; pallet/mix-and-match pricing ignored.</x:v>
      </x:c>
    </x:row>
    <x:row r="3488">
      <x:c r="A3488" t="str">
        <x:v>Active Sports Nutrition</x:v>
      </x:c>
      <x:c r="B3488" t="str">
        <x:v>Quest Nutrition</x:v>
      </x:c>
      <x:c r="C3488" t="str">
        <x:v>Quest Bars</x:v>
      </x:c>
      <x:c r="D3488" t="str">
        <x:v>Food &amp; Drinks</x:v>
      </x:c>
      <x:c r="E3488" t="str">
        <x:v>Protein Bars</x:v>
      </x:c>
      <x:c r="F3488" t="str"/>
      <x:c r="G3488" t="str">
        <x:v>12 x 60g bars</x:v>
      </x:c>
      <x:c r="H3488" t="str">
        <x:v>Caramel Chocolate Chunk</x:v>
      </x:c>
      <x:c r="I3488" t="str">
        <x:v>12</x:v>
      </x:c>
      <x:c r="J3488" t="str">
        <x:v>Case</x:v>
      </x:c>
      <x:c r="K3488" t="str">
        <x:v>Out of stock</x:v>
      </x:c>
      <x:c r="L3488" t="str">
        <x:v>2026-09-08</x:v>
      </x:c>
      <x:c r="M3488" t="str"/>
      <x:c r="N3488" t="str"/>
      <x:c r="O3488" t="str">
        <x:v>https://www.activesportstrade.co.uk/quest-trade</x:v>
      </x:c>
      <x:c r="P3488" t="str"/>
      <x:c r="Q3488" t="str"/>
      <x:c r="R3488" t="str"/>
      <x:c r="S3488" t="str">
        <x:v>Pending genuine supplier/brand image</x:v>
      </x:c>
      <x:c r="T3488" s="54"/>
      <x:c r="U3488" s="47" t="n">
        <x:v>0.2</x:v>
      </x:c>
      <x:c r="V3488" s="54" t="str">
        <x:f>IF(ISNUMBER(T3488),T3488*(1+U3488),"")</x:f>
      </x:c>
      <x:c r="W3488" s="47" t="n">
        <x:v>0.3</x:v>
      </x:c>
      <x:c r="X3488" s="54" t="str">
        <x:f>IF(ISNUMBER(V3488),V3488/(1-W3488),"")</x:f>
      </x:c>
      <x:c r="Y3488" s="55" t="str">
        <x:f>IF(ISNUMBER(X3488),ROUNDUP(X3488,0),"")</x:f>
      </x:c>
      <x:c r="Z3488" t="str">
        <x:f>IF(ISNUMBER(T3488),"Cost captured","Awaiting trade cost")</x:f>
        <x:v>Awaiting trade cost</x:v>
      </x:c>
      <x:c r="AB3488" s="36" t="str">
        <x:f>IF(ISNUMBER(Y3488),ROUND(Y3488*0.9,2),"")</x:f>
      </x:c>
      <x:c r="AC3488" s="36" t="str">
        <x:f>IF(ISNUMBER(AB3488),ROUND(AB3488-(AB3488*0.015+0.2)-V3488,2),"")</x:f>
      </x:c>
      <x:c r="AD3488" s="36" t="str">
        <x:f>IF(ISNUMBER(Y3488),ROUND(Y3488*0.8,2),"")</x:f>
      </x:c>
      <x:c r="AE3488" s="36" t="str">
        <x:f>IF(ISNUMBER(AD3488),ROUND(AD3488*0.015+0.2,2),"")</x:f>
      </x:c>
      <x:c r="AF3488" s="36" t="str">
        <x:f>IF(ISNUMBER(AD3488),ROUND(AD3488-AE3488-V3488,2),"")</x:f>
      </x:c>
      <x:c r="AG3488" t="str">
        <x:f>IF(NOT(ISNUMBER(T3488)),"PENDING",IF(AF3488&gt;0,"PASS","FAIL"))</x:f>
        <x:v>PENDING</x:v>
      </x:c>
      <x:c r="AH3488" t="str">
        <x:f>IF(NOT(ISNUMBER(T3488)),"Needs supplier cost",IF(K3488&lt;&gt;"In stock","Supplier unavailable",IF(AG3488&lt;&gt;"PASS","BLOCK - GT loss risk","Commercially protected")))</x:f>
        <x:v>Needs supplier cost</x:v>
      </x:c>
      <x:c r="AI3488" t="str">
        <x:v>2026-09-10 Active Sports trade capture</x:v>
      </x:c>
      <x:c r="AJ3488" t="str">
        <x:v>Management-only economics. Stripe stress test uses 1.5% + £0.20 standard UK online-card fee; pallet/mix-and-match pricing ignored.</x:v>
      </x:c>
    </x:row>
    <x:row r="3489">
      <x:c r="A3489" t="str">
        <x:v>Active Sports Nutrition</x:v>
      </x:c>
      <x:c r="B3489" t="str">
        <x:v>Quest Nutrition</x:v>
      </x:c>
      <x:c r="C3489" t="str">
        <x:v>Quest Bars</x:v>
      </x:c>
      <x:c r="D3489" t="str">
        <x:v>Food &amp; Drinks</x:v>
      </x:c>
      <x:c r="E3489" t="str">
        <x:v>Protein Bars</x:v>
      </x:c>
      <x:c r="F3489" t="str"/>
      <x:c r="G3489" t="str">
        <x:v>12 x 60g bars</x:v>
      </x:c>
      <x:c r="H3489" t="str">
        <x:v>Chocolate Brownie</x:v>
      </x:c>
      <x:c r="I3489" t="str">
        <x:v>12</x:v>
      </x:c>
      <x:c r="J3489" t="str">
        <x:v>Case</x:v>
      </x:c>
      <x:c r="K3489" t="str">
        <x:v>In stock</x:v>
      </x:c>
      <x:c r="L3489" t="str">
        <x:v>2026-09-08</x:v>
      </x:c>
      <x:c r="M3489" t="str"/>
      <x:c r="N3489" t="str"/>
      <x:c r="O3489" t="str">
        <x:v>https://www.activesportstrade.co.uk/quest-trade</x:v>
      </x:c>
      <x:c r="P3489" t="str"/>
      <x:c r="Q3489" t="str"/>
      <x:c r="R3489" t="str"/>
      <x:c r="S3489" t="str">
        <x:v>Pending genuine supplier/brand image</x:v>
      </x:c>
      <x:c r="T3489" s="54"/>
      <x:c r="U3489" s="47" t="n">
        <x:v>0.2</x:v>
      </x:c>
      <x:c r="V3489" s="54" t="str">
        <x:f>IF(ISNUMBER(T3489),T3489*(1+U3489),"")</x:f>
      </x:c>
      <x:c r="W3489" s="47" t="n">
        <x:v>0.3</x:v>
      </x:c>
      <x:c r="X3489" s="54" t="str">
        <x:f>IF(ISNUMBER(V3489),V3489/(1-W3489),"")</x:f>
      </x:c>
      <x:c r="Y3489" s="55" t="str">
        <x:f>IF(ISNUMBER(X3489),ROUNDUP(X3489,0),"")</x:f>
      </x:c>
      <x:c r="Z3489" t="str">
        <x:f>IF(ISNUMBER(T3489),"Cost captured","Awaiting trade cost")</x:f>
        <x:v>Awaiting trade cost</x:v>
      </x:c>
      <x:c r="AB3489" s="36" t="str">
        <x:f>IF(ISNUMBER(Y3489),ROUND(Y3489*0.9,2),"")</x:f>
      </x:c>
      <x:c r="AC3489" s="36" t="str">
        <x:f>IF(ISNUMBER(AB3489),ROUND(AB3489-(AB3489*0.015+0.2)-V3489,2),"")</x:f>
      </x:c>
      <x:c r="AD3489" s="36" t="str">
        <x:f>IF(ISNUMBER(Y3489),ROUND(Y3489*0.8,2),"")</x:f>
      </x:c>
      <x:c r="AE3489" s="36" t="str">
        <x:f>IF(ISNUMBER(AD3489),ROUND(AD3489*0.015+0.2,2),"")</x:f>
      </x:c>
      <x:c r="AF3489" s="36" t="str">
        <x:f>IF(ISNUMBER(AD3489),ROUND(AD3489-AE3489-V3489,2),"")</x:f>
      </x:c>
      <x:c r="AG3489" t="str">
        <x:f>IF(NOT(ISNUMBER(T3489)),"PENDING",IF(AF3489&gt;0,"PASS","FAIL"))</x:f>
        <x:v>PENDING</x:v>
      </x:c>
      <x:c r="AH3489" t="str">
        <x:f>IF(NOT(ISNUMBER(T3489)),"Needs supplier cost",IF(K3489&lt;&gt;"In stock","Supplier unavailable",IF(AG3489&lt;&gt;"PASS","BLOCK - GT loss risk","Commercially protected")))</x:f>
        <x:v>Needs supplier cost</x:v>
      </x:c>
      <x:c r="AI3489" t="str">
        <x:v>2026-09-10 Active Sports trade capture</x:v>
      </x:c>
      <x:c r="AJ3489" t="str">
        <x:v>Management-only economics. Stripe stress test uses 1.5% + £0.20 standard UK online-card fee; pallet/mix-and-match pricing ignored.</x:v>
      </x:c>
    </x:row>
    <x:row r="3490">
      <x:c r="A3490" t="str">
        <x:v>Active Sports Nutrition</x:v>
      </x:c>
      <x:c r="B3490" t="str">
        <x:v>Quest Nutrition</x:v>
      </x:c>
      <x:c r="C3490" t="str">
        <x:v>Quest Bars</x:v>
      </x:c>
      <x:c r="D3490" t="str">
        <x:v>Food &amp; Drinks</x:v>
      </x:c>
      <x:c r="E3490" t="str">
        <x:v>Protein Bars</x:v>
      </x:c>
      <x:c r="F3490" t="str"/>
      <x:c r="G3490" t="str">
        <x:v>12 x 60g bars</x:v>
      </x:c>
      <x:c r="H3490" t="str">
        <x:v>Chocolate Chip Cookie Dough</x:v>
      </x:c>
      <x:c r="I3490" t="str">
        <x:v>12</x:v>
      </x:c>
      <x:c r="J3490" t="str">
        <x:v>Case</x:v>
      </x:c>
      <x:c r="K3490" t="str">
        <x:v>In stock</x:v>
      </x:c>
      <x:c r="L3490" t="str">
        <x:v>2026-09-08</x:v>
      </x:c>
      <x:c r="M3490" t="str"/>
      <x:c r="N3490" t="str"/>
      <x:c r="O3490" t="str">
        <x:v>https://www.activesportstrade.co.uk/quest-trade</x:v>
      </x:c>
      <x:c r="P3490" t="str"/>
      <x:c r="Q3490" t="str"/>
      <x:c r="R3490" t="str"/>
      <x:c r="S3490" t="str">
        <x:v>Pending genuine supplier/brand image</x:v>
      </x:c>
      <x:c r="T3490" s="54"/>
      <x:c r="U3490" s="47" t="n">
        <x:v>0.2</x:v>
      </x:c>
      <x:c r="V3490" s="54" t="str">
        <x:f>IF(ISNUMBER(T3490),T3490*(1+U3490),"")</x:f>
      </x:c>
      <x:c r="W3490" s="47" t="n">
        <x:v>0.3</x:v>
      </x:c>
      <x:c r="X3490" s="54" t="str">
        <x:f>IF(ISNUMBER(V3490),V3490/(1-W3490),"")</x:f>
      </x:c>
      <x:c r="Y3490" s="55" t="str">
        <x:f>IF(ISNUMBER(X3490),ROUNDUP(X3490,0),"")</x:f>
      </x:c>
      <x:c r="Z3490" t="str">
        <x:f>IF(ISNUMBER(T3490),"Cost captured","Awaiting trade cost")</x:f>
        <x:v>Awaiting trade cost</x:v>
      </x:c>
      <x:c r="AB3490" s="36" t="str">
        <x:f>IF(ISNUMBER(Y3490),ROUND(Y3490*0.9,2),"")</x:f>
      </x:c>
      <x:c r="AC3490" s="36" t="str">
        <x:f>IF(ISNUMBER(AB3490),ROUND(AB3490-(AB3490*0.015+0.2)-V3490,2),"")</x:f>
      </x:c>
      <x:c r="AD3490" s="36" t="str">
        <x:f>IF(ISNUMBER(Y3490),ROUND(Y3490*0.8,2),"")</x:f>
      </x:c>
      <x:c r="AE3490" s="36" t="str">
        <x:f>IF(ISNUMBER(AD3490),ROUND(AD3490*0.015+0.2,2),"")</x:f>
      </x:c>
      <x:c r="AF3490" s="36" t="str">
        <x:f>IF(ISNUMBER(AD3490),ROUND(AD3490-AE3490-V3490,2),"")</x:f>
      </x:c>
      <x:c r="AG3490" t="str">
        <x:f>IF(NOT(ISNUMBER(T3490)),"PENDING",IF(AF3490&gt;0,"PASS","FAIL"))</x:f>
        <x:v>PENDING</x:v>
      </x:c>
      <x:c r="AH3490" t="str">
        <x:f>IF(NOT(ISNUMBER(T3490)),"Needs supplier cost",IF(K3490&lt;&gt;"In stock","Supplier unavailable",IF(AG3490&lt;&gt;"PASS","BLOCK - GT loss risk","Commercially protected")))</x:f>
        <x:v>Needs supplier cost</x:v>
      </x:c>
      <x:c r="AI3490" t="str">
        <x:v>2026-09-10 Active Sports trade capture</x:v>
      </x:c>
      <x:c r="AJ3490" t="str">
        <x:v>Management-only economics. Stripe stress test uses 1.5% + £0.20 standard UK online-card fee; pallet/mix-and-match pricing ignored.</x:v>
      </x:c>
    </x:row>
    <x:row r="3491">
      <x:c r="A3491" t="str">
        <x:v>Active Sports Nutrition</x:v>
      </x:c>
      <x:c r="B3491" t="str">
        <x:v>Quest Nutrition</x:v>
      </x:c>
      <x:c r="C3491" t="str">
        <x:v>Quest Bars</x:v>
      </x:c>
      <x:c r="D3491" t="str">
        <x:v>Food &amp; Drinks</x:v>
      </x:c>
      <x:c r="E3491" t="str">
        <x:v>Protein Bars</x:v>
      </x:c>
      <x:c r="F3491" t="str"/>
      <x:c r="G3491" t="str">
        <x:v>12 x 60g bars</x:v>
      </x:c>
      <x:c r="H3491" t="str">
        <x:v>Chocolate Peanut Butter</x:v>
      </x:c>
      <x:c r="I3491" t="str">
        <x:v>12</x:v>
      </x:c>
      <x:c r="J3491" t="str">
        <x:v>Case</x:v>
      </x:c>
      <x:c r="K3491" t="str">
        <x:v>In stock</x:v>
      </x:c>
      <x:c r="L3491" t="str">
        <x:v>2026-09-08</x:v>
      </x:c>
      <x:c r="M3491" t="str"/>
      <x:c r="N3491" t="str"/>
      <x:c r="O3491" t="str">
        <x:v>https://www.activesportstrade.co.uk/quest-trade</x:v>
      </x:c>
      <x:c r="P3491" t="str"/>
      <x:c r="Q3491" t="str"/>
      <x:c r="R3491" t="str"/>
      <x:c r="S3491" t="str">
        <x:v>Pending genuine supplier/brand image</x:v>
      </x:c>
      <x:c r="T3491" s="54"/>
      <x:c r="U3491" s="47" t="n">
        <x:v>0.2</x:v>
      </x:c>
      <x:c r="V3491" s="54" t="str">
        <x:f>IF(ISNUMBER(T3491),T3491*(1+U3491),"")</x:f>
      </x:c>
      <x:c r="W3491" s="47" t="n">
        <x:v>0.3</x:v>
      </x:c>
      <x:c r="X3491" s="54" t="str">
        <x:f>IF(ISNUMBER(V3491),V3491/(1-W3491),"")</x:f>
      </x:c>
      <x:c r="Y3491" s="55" t="str">
        <x:f>IF(ISNUMBER(X3491),ROUNDUP(X3491,0),"")</x:f>
      </x:c>
      <x:c r="Z3491" t="str">
        <x:f>IF(ISNUMBER(T3491),"Cost captured","Awaiting trade cost")</x:f>
        <x:v>Awaiting trade cost</x:v>
      </x:c>
      <x:c r="AB3491" s="36" t="str">
        <x:f>IF(ISNUMBER(Y3491),ROUND(Y3491*0.9,2),"")</x:f>
      </x:c>
      <x:c r="AC3491" s="36" t="str">
        <x:f>IF(ISNUMBER(AB3491),ROUND(AB3491-(AB3491*0.015+0.2)-V3491,2),"")</x:f>
      </x:c>
      <x:c r="AD3491" s="36" t="str">
        <x:f>IF(ISNUMBER(Y3491),ROUND(Y3491*0.8,2),"")</x:f>
      </x:c>
      <x:c r="AE3491" s="36" t="str">
        <x:f>IF(ISNUMBER(AD3491),ROUND(AD3491*0.015+0.2,2),"")</x:f>
      </x:c>
      <x:c r="AF3491" s="36" t="str">
        <x:f>IF(ISNUMBER(AD3491),ROUND(AD3491-AE3491-V3491,2),"")</x:f>
      </x:c>
      <x:c r="AG3491" t="str">
        <x:f>IF(NOT(ISNUMBER(T3491)),"PENDING",IF(AF3491&gt;0,"PASS","FAIL"))</x:f>
        <x:v>PENDING</x:v>
      </x:c>
      <x:c r="AH3491" t="str">
        <x:f>IF(NOT(ISNUMBER(T3491)),"Needs supplier cost",IF(K3491&lt;&gt;"In stock","Supplier unavailable",IF(AG3491&lt;&gt;"PASS","BLOCK - GT loss risk","Commercially protected")))</x:f>
        <x:v>Needs supplier cost</x:v>
      </x:c>
      <x:c r="AI3491" t="str">
        <x:v>2026-09-10 Active Sports trade capture</x:v>
      </x:c>
      <x:c r="AJ3491" t="str">
        <x:v>Management-only economics. Stripe stress test uses 1.5% + £0.20 standard UK online-card fee; pallet/mix-and-match pricing ignored.</x:v>
      </x:c>
    </x:row>
    <x:row r="3492">
      <x:c r="A3492" t="str">
        <x:v>Active Sports Nutrition</x:v>
      </x:c>
      <x:c r="B3492" t="str">
        <x:v>Quest Nutrition</x:v>
      </x:c>
      <x:c r="C3492" t="str">
        <x:v>Quest Bars</x:v>
      </x:c>
      <x:c r="D3492" t="str">
        <x:v>Food &amp; Drinks</x:v>
      </x:c>
      <x:c r="E3492" t="str">
        <x:v>Protein Bars</x:v>
      </x:c>
      <x:c r="F3492" t="str"/>
      <x:c r="G3492" t="str">
        <x:v>12 x 60g bars</x:v>
      </x:c>
      <x:c r="H3492" t="str">
        <x:v>Cookies &amp; Cream</x:v>
      </x:c>
      <x:c r="I3492" t="str">
        <x:v>12</x:v>
      </x:c>
      <x:c r="J3492" t="str">
        <x:v>Case</x:v>
      </x:c>
      <x:c r="K3492" t="str">
        <x:v>In stock</x:v>
      </x:c>
      <x:c r="L3492" t="str">
        <x:v>2026-09-08</x:v>
      </x:c>
      <x:c r="M3492" t="str"/>
      <x:c r="N3492" t="str"/>
      <x:c r="O3492" t="str">
        <x:v>https://www.activesportstrade.co.uk/quest-trade</x:v>
      </x:c>
      <x:c r="P3492" t="str"/>
      <x:c r="Q3492" t="str"/>
      <x:c r="R3492" t="str"/>
      <x:c r="S3492" t="str">
        <x:v>Pending genuine supplier/brand image</x:v>
      </x:c>
      <x:c r="T3492" s="54"/>
      <x:c r="U3492" s="47" t="n">
        <x:v>0.2</x:v>
      </x:c>
      <x:c r="V3492" s="54" t="str">
        <x:f>IF(ISNUMBER(T3492),T3492*(1+U3492),"")</x:f>
      </x:c>
      <x:c r="W3492" s="47" t="n">
        <x:v>0.3</x:v>
      </x:c>
      <x:c r="X3492" s="54" t="str">
        <x:f>IF(ISNUMBER(V3492),V3492/(1-W3492),"")</x:f>
      </x:c>
      <x:c r="Y3492" s="55" t="str">
        <x:f>IF(ISNUMBER(X3492),ROUNDUP(X3492,0),"")</x:f>
      </x:c>
      <x:c r="Z3492" t="str">
        <x:f>IF(ISNUMBER(T3492),"Cost captured","Awaiting trade cost")</x:f>
        <x:v>Awaiting trade cost</x:v>
      </x:c>
      <x:c r="AB3492" s="36" t="str">
        <x:f>IF(ISNUMBER(Y3492),ROUND(Y3492*0.9,2),"")</x:f>
      </x:c>
      <x:c r="AC3492" s="36" t="str">
        <x:f>IF(ISNUMBER(AB3492),ROUND(AB3492-(AB3492*0.015+0.2)-V3492,2),"")</x:f>
      </x:c>
      <x:c r="AD3492" s="36" t="str">
        <x:f>IF(ISNUMBER(Y3492),ROUND(Y3492*0.8,2),"")</x:f>
      </x:c>
      <x:c r="AE3492" s="36" t="str">
        <x:f>IF(ISNUMBER(AD3492),ROUND(AD3492*0.015+0.2,2),"")</x:f>
      </x:c>
      <x:c r="AF3492" s="36" t="str">
        <x:f>IF(ISNUMBER(AD3492),ROUND(AD3492-AE3492-V3492,2),"")</x:f>
      </x:c>
      <x:c r="AG3492" t="str">
        <x:f>IF(NOT(ISNUMBER(T3492)),"PENDING",IF(AF3492&gt;0,"PASS","FAIL"))</x:f>
        <x:v>PENDING</x:v>
      </x:c>
      <x:c r="AH3492" t="str">
        <x:f>IF(NOT(ISNUMBER(T3492)),"Needs supplier cost",IF(K3492&lt;&gt;"In stock","Supplier unavailable",IF(AG3492&lt;&gt;"PASS","BLOCK - GT loss risk","Commercially protected")))</x:f>
        <x:v>Needs supplier cost</x:v>
      </x:c>
      <x:c r="AI3492" t="str">
        <x:v>2026-09-10 Active Sports trade capture</x:v>
      </x:c>
      <x:c r="AJ3492" t="str">
        <x:v>Management-only economics. Stripe stress test uses 1.5% + £0.20 standard UK online-card fee; pallet/mix-and-match pricing ignored.</x:v>
      </x:c>
    </x:row>
    <x:row r="3493">
      <x:c r="A3493" t="str">
        <x:v>Active Sports Nutrition</x:v>
      </x:c>
      <x:c r="B3493" t="str">
        <x:v>Quest Nutrition</x:v>
      </x:c>
      <x:c r="C3493" t="str">
        <x:v>Quest Bars</x:v>
      </x:c>
      <x:c r="D3493" t="str">
        <x:v>Food &amp; Drinks</x:v>
      </x:c>
      <x:c r="E3493" t="str">
        <x:v>Protein Bars</x:v>
      </x:c>
      <x:c r="F3493" t="str"/>
      <x:c r="G3493" t="str">
        <x:v>12 x 60g bars</x:v>
      </x:c>
      <x:c r="H3493" t="str">
        <x:v>DIPPED - Chocolate Chip Cookie Dough</x:v>
      </x:c>
      <x:c r="I3493" t="str">
        <x:v>12</x:v>
      </x:c>
      <x:c r="J3493" t="str">
        <x:v>Case</x:v>
      </x:c>
      <x:c r="K3493" t="str">
        <x:v>Out of stock</x:v>
      </x:c>
      <x:c r="L3493" t="str">
        <x:v>2026-09-08</x:v>
      </x:c>
      <x:c r="M3493" t="str"/>
      <x:c r="N3493" t="str"/>
      <x:c r="O3493" t="str">
        <x:v>https://www.activesportstrade.co.uk/quest-trade</x:v>
      </x:c>
      <x:c r="P3493" t="str"/>
      <x:c r="Q3493" t="str"/>
      <x:c r="R3493" t="str"/>
      <x:c r="S3493" t="str">
        <x:v>Pending genuine supplier/brand image</x:v>
      </x:c>
      <x:c r="T3493" s="54"/>
      <x:c r="U3493" s="47" t="n">
        <x:v>0.2</x:v>
      </x:c>
      <x:c r="V3493" s="54" t="str">
        <x:f>IF(ISNUMBER(T3493),T3493*(1+U3493),"")</x:f>
      </x:c>
      <x:c r="W3493" s="47" t="n">
        <x:v>0.3</x:v>
      </x:c>
      <x:c r="X3493" s="54" t="str">
        <x:f>IF(ISNUMBER(V3493),V3493/(1-W3493),"")</x:f>
      </x:c>
      <x:c r="Y3493" s="55" t="str">
        <x:f>IF(ISNUMBER(X3493),ROUNDUP(X3493,0),"")</x:f>
      </x:c>
      <x:c r="Z3493" t="str">
        <x:f>IF(ISNUMBER(T3493),"Cost captured","Awaiting trade cost")</x:f>
        <x:v>Awaiting trade cost</x:v>
      </x:c>
      <x:c r="AB3493" s="36" t="str">
        <x:f>IF(ISNUMBER(Y3493),ROUND(Y3493*0.9,2),"")</x:f>
      </x:c>
      <x:c r="AC3493" s="36" t="str">
        <x:f>IF(ISNUMBER(AB3493),ROUND(AB3493-(AB3493*0.015+0.2)-V3493,2),"")</x:f>
      </x:c>
      <x:c r="AD3493" s="36" t="str">
        <x:f>IF(ISNUMBER(Y3493),ROUND(Y3493*0.8,2),"")</x:f>
      </x:c>
      <x:c r="AE3493" s="36" t="str">
        <x:f>IF(ISNUMBER(AD3493),ROUND(AD3493*0.015+0.2,2),"")</x:f>
      </x:c>
      <x:c r="AF3493" s="36" t="str">
        <x:f>IF(ISNUMBER(AD3493),ROUND(AD3493-AE3493-V3493,2),"")</x:f>
      </x:c>
      <x:c r="AG3493" t="str">
        <x:f>IF(NOT(ISNUMBER(T3493)),"PENDING",IF(AF3493&gt;0,"PASS","FAIL"))</x:f>
        <x:v>PENDING</x:v>
      </x:c>
      <x:c r="AH3493" t="str">
        <x:f>IF(NOT(ISNUMBER(T3493)),"Needs supplier cost",IF(K3493&lt;&gt;"In stock","Supplier unavailable",IF(AG3493&lt;&gt;"PASS","BLOCK - GT loss risk","Commercially protected")))</x:f>
        <x:v>Needs supplier cost</x:v>
      </x:c>
      <x:c r="AI3493" t="str">
        <x:v>2026-09-10 Active Sports trade capture</x:v>
      </x:c>
      <x:c r="AJ3493" t="str">
        <x:v>Management-only economics. Stripe stress test uses 1.5% + £0.20 standard UK online-card fee; pallet/mix-and-match pricing ignored.</x:v>
      </x:c>
    </x:row>
    <x:row r="3494">
      <x:c r="A3494" t="str">
        <x:v>Active Sports Nutrition</x:v>
      </x:c>
      <x:c r="B3494" t="str">
        <x:v>Quest Nutrition</x:v>
      </x:c>
      <x:c r="C3494" t="str">
        <x:v>Quest Bars</x:v>
      </x:c>
      <x:c r="D3494" t="str">
        <x:v>Food &amp; Drinks</x:v>
      </x:c>
      <x:c r="E3494" t="str">
        <x:v>Protein Bars</x:v>
      </x:c>
      <x:c r="F3494" t="str"/>
      <x:c r="G3494" t="str">
        <x:v>12 x 60g bars</x:v>
      </x:c>
      <x:c r="H3494" t="str">
        <x:v>DIPPED - Cookies &amp; Cream</x:v>
      </x:c>
      <x:c r="I3494" t="str">
        <x:v>12</x:v>
      </x:c>
      <x:c r="J3494" t="str">
        <x:v>Case</x:v>
      </x:c>
      <x:c r="K3494" t="str">
        <x:v>Out of stock</x:v>
      </x:c>
      <x:c r="L3494" t="str">
        <x:v>2026-09-08</x:v>
      </x:c>
      <x:c r="M3494" t="str"/>
      <x:c r="N3494" t="str"/>
      <x:c r="O3494" t="str">
        <x:v>https://www.activesportstrade.co.uk/quest-trade</x:v>
      </x:c>
      <x:c r="P3494" t="str"/>
      <x:c r="Q3494" t="str"/>
      <x:c r="R3494" t="str"/>
      <x:c r="S3494" t="str">
        <x:v>Pending genuine supplier/brand image</x:v>
      </x:c>
      <x:c r="T3494" s="54"/>
      <x:c r="U3494" s="47" t="n">
        <x:v>0.2</x:v>
      </x:c>
      <x:c r="V3494" s="54" t="str">
        <x:f>IF(ISNUMBER(T3494),T3494*(1+U3494),"")</x:f>
      </x:c>
      <x:c r="W3494" s="47" t="n">
        <x:v>0.3</x:v>
      </x:c>
      <x:c r="X3494" s="54" t="str">
        <x:f>IF(ISNUMBER(V3494),V3494/(1-W3494),"")</x:f>
      </x:c>
      <x:c r="Y3494" s="55" t="str">
        <x:f>IF(ISNUMBER(X3494),ROUNDUP(X3494,0),"")</x:f>
      </x:c>
      <x:c r="Z3494" t="str">
        <x:f>IF(ISNUMBER(T3494),"Cost captured","Awaiting trade cost")</x:f>
        <x:v>Awaiting trade cost</x:v>
      </x:c>
      <x:c r="AB3494" s="36" t="str">
        <x:f>IF(ISNUMBER(Y3494),ROUND(Y3494*0.9,2),"")</x:f>
      </x:c>
      <x:c r="AC3494" s="36" t="str">
        <x:f>IF(ISNUMBER(AB3494),ROUND(AB3494-(AB3494*0.015+0.2)-V3494,2),"")</x:f>
      </x:c>
      <x:c r="AD3494" s="36" t="str">
        <x:f>IF(ISNUMBER(Y3494),ROUND(Y3494*0.8,2),"")</x:f>
      </x:c>
      <x:c r="AE3494" s="36" t="str">
        <x:f>IF(ISNUMBER(AD3494),ROUND(AD3494*0.015+0.2,2),"")</x:f>
      </x:c>
      <x:c r="AF3494" s="36" t="str">
        <x:f>IF(ISNUMBER(AD3494),ROUND(AD3494-AE3494-V3494,2),"")</x:f>
      </x:c>
      <x:c r="AG3494" t="str">
        <x:f>IF(NOT(ISNUMBER(T3494)),"PENDING",IF(AF3494&gt;0,"PASS","FAIL"))</x:f>
        <x:v>PENDING</x:v>
      </x:c>
      <x:c r="AH3494" t="str">
        <x:f>IF(NOT(ISNUMBER(T3494)),"Needs supplier cost",IF(K3494&lt;&gt;"In stock","Supplier unavailable",IF(AG3494&lt;&gt;"PASS","BLOCK - GT loss risk","Commercially protected")))</x:f>
        <x:v>Needs supplier cost</x:v>
      </x:c>
      <x:c r="AI3494" t="str">
        <x:v>2026-09-10 Active Sports trade capture</x:v>
      </x:c>
      <x:c r="AJ3494" t="str">
        <x:v>Management-only economics. Stripe stress test uses 1.5% + £0.20 standard UK online-card fee; pallet/mix-and-match pricing ignored.</x:v>
      </x:c>
    </x:row>
    <x:row r="3495">
      <x:c r="A3495" t="str">
        <x:v>Active Sports Nutrition</x:v>
      </x:c>
      <x:c r="B3495" t="str">
        <x:v>Quest Nutrition</x:v>
      </x:c>
      <x:c r="C3495" t="str">
        <x:v>Quest Bars</x:v>
      </x:c>
      <x:c r="D3495" t="str">
        <x:v>Food &amp; Drinks</x:v>
      </x:c>
      <x:c r="E3495" t="str">
        <x:v>Protein Bars</x:v>
      </x:c>
      <x:c r="F3495" t="str"/>
      <x:c r="G3495" t="str">
        <x:v>12 x 60g bars</x:v>
      </x:c>
      <x:c r="H3495" t="str">
        <x:v>Double Chocolate Chunk</x:v>
      </x:c>
      <x:c r="I3495" t="str">
        <x:v>12</x:v>
      </x:c>
      <x:c r="J3495" t="str">
        <x:v>Case</x:v>
      </x:c>
      <x:c r="K3495" t="str">
        <x:v>In stock</x:v>
      </x:c>
      <x:c r="L3495" t="str">
        <x:v>2026-09-08</x:v>
      </x:c>
      <x:c r="M3495" t="str"/>
      <x:c r="N3495" t="str"/>
      <x:c r="O3495" t="str">
        <x:v>https://www.activesportstrade.co.uk/quest-trade</x:v>
      </x:c>
      <x:c r="P3495" t="str"/>
      <x:c r="Q3495" t="str"/>
      <x:c r="R3495" t="str"/>
      <x:c r="S3495" t="str">
        <x:v>Pending genuine supplier/brand image</x:v>
      </x:c>
      <x:c r="T3495" s="54"/>
      <x:c r="U3495" s="47" t="n">
        <x:v>0.2</x:v>
      </x:c>
      <x:c r="V3495" s="54" t="str">
        <x:f>IF(ISNUMBER(T3495),T3495*(1+U3495),"")</x:f>
      </x:c>
      <x:c r="W3495" s="47" t="n">
        <x:v>0.3</x:v>
      </x:c>
      <x:c r="X3495" s="54" t="str">
        <x:f>IF(ISNUMBER(V3495),V3495/(1-W3495),"")</x:f>
      </x:c>
      <x:c r="Y3495" s="55" t="str">
        <x:f>IF(ISNUMBER(X3495),ROUNDUP(X3495,0),"")</x:f>
      </x:c>
      <x:c r="Z3495" t="str">
        <x:f>IF(ISNUMBER(T3495),"Cost captured","Awaiting trade cost")</x:f>
        <x:v>Awaiting trade cost</x:v>
      </x:c>
      <x:c r="AB3495" s="36" t="str">
        <x:f>IF(ISNUMBER(Y3495),ROUND(Y3495*0.9,2),"")</x:f>
      </x:c>
      <x:c r="AC3495" s="36" t="str">
        <x:f>IF(ISNUMBER(AB3495),ROUND(AB3495-(AB3495*0.015+0.2)-V3495,2),"")</x:f>
      </x:c>
      <x:c r="AD3495" s="36" t="str">
        <x:f>IF(ISNUMBER(Y3495),ROUND(Y3495*0.8,2),"")</x:f>
      </x:c>
      <x:c r="AE3495" s="36" t="str">
        <x:f>IF(ISNUMBER(AD3495),ROUND(AD3495*0.015+0.2,2),"")</x:f>
      </x:c>
      <x:c r="AF3495" s="36" t="str">
        <x:f>IF(ISNUMBER(AD3495),ROUND(AD3495-AE3495-V3495,2),"")</x:f>
      </x:c>
      <x:c r="AG3495" t="str">
        <x:f>IF(NOT(ISNUMBER(T3495)),"PENDING",IF(AF3495&gt;0,"PASS","FAIL"))</x:f>
        <x:v>PENDING</x:v>
      </x:c>
      <x:c r="AH3495" t="str">
        <x:f>IF(NOT(ISNUMBER(T3495)),"Needs supplier cost",IF(K3495&lt;&gt;"In stock","Supplier unavailable",IF(AG3495&lt;&gt;"PASS","BLOCK - GT loss risk","Commercially protected")))</x:f>
        <x:v>Needs supplier cost</x:v>
      </x:c>
      <x:c r="AI3495" t="str">
        <x:v>2026-09-10 Active Sports trade capture</x:v>
      </x:c>
      <x:c r="AJ3495" t="str">
        <x:v>Management-only economics. Stripe stress test uses 1.5% + £0.20 standard UK online-card fee; pallet/mix-and-match pricing ignored.</x:v>
      </x:c>
    </x:row>
    <x:row r="3496">
      <x:c r="A3496" t="str">
        <x:v>Active Sports Nutrition</x:v>
      </x:c>
      <x:c r="B3496" t="str">
        <x:v>Quest Nutrition</x:v>
      </x:c>
      <x:c r="C3496" t="str">
        <x:v>Quest Bars</x:v>
      </x:c>
      <x:c r="D3496" t="str">
        <x:v>Food &amp; Drinks</x:v>
      </x:c>
      <x:c r="E3496" t="str">
        <x:v>Protein Bars</x:v>
      </x:c>
      <x:c r="F3496" t="str"/>
      <x:c r="G3496" t="str">
        <x:v>12 x 60g bars</x:v>
      </x:c>
      <x:c r="H3496" t="str">
        <x:v>Lemon Cake</x:v>
      </x:c>
      <x:c r="I3496" t="str">
        <x:v>12</x:v>
      </x:c>
      <x:c r="J3496" t="str">
        <x:v>Case</x:v>
      </x:c>
      <x:c r="K3496" t="str">
        <x:v>Out of stock</x:v>
      </x:c>
      <x:c r="L3496" t="str">
        <x:v>2026-09-08</x:v>
      </x:c>
      <x:c r="M3496" t="str"/>
      <x:c r="N3496" t="str"/>
      <x:c r="O3496" t="str">
        <x:v>https://www.activesportstrade.co.uk/quest-trade</x:v>
      </x:c>
      <x:c r="P3496" t="str"/>
      <x:c r="Q3496" t="str"/>
      <x:c r="R3496" t="str"/>
      <x:c r="S3496" t="str">
        <x:v>Pending genuine supplier/brand image</x:v>
      </x:c>
      <x:c r="T3496" s="54"/>
      <x:c r="U3496" s="47" t="n">
        <x:v>0.2</x:v>
      </x:c>
      <x:c r="V3496" s="54" t="str">
        <x:f>IF(ISNUMBER(T3496),T3496*(1+U3496),"")</x:f>
      </x:c>
      <x:c r="W3496" s="47" t="n">
        <x:v>0.3</x:v>
      </x:c>
      <x:c r="X3496" s="54" t="str">
        <x:f>IF(ISNUMBER(V3496),V3496/(1-W3496),"")</x:f>
      </x:c>
      <x:c r="Y3496" s="55" t="str">
        <x:f>IF(ISNUMBER(X3496),ROUNDUP(X3496,0),"")</x:f>
      </x:c>
      <x:c r="Z3496" t="str">
        <x:f>IF(ISNUMBER(T3496),"Cost captured","Awaiting trade cost")</x:f>
        <x:v>Awaiting trade cost</x:v>
      </x:c>
      <x:c r="AB3496" s="36" t="str">
        <x:f>IF(ISNUMBER(Y3496),ROUND(Y3496*0.9,2),"")</x:f>
      </x:c>
      <x:c r="AC3496" s="36" t="str">
        <x:f>IF(ISNUMBER(AB3496),ROUND(AB3496-(AB3496*0.015+0.2)-V3496,2),"")</x:f>
      </x:c>
      <x:c r="AD3496" s="36" t="str">
        <x:f>IF(ISNUMBER(Y3496),ROUND(Y3496*0.8,2),"")</x:f>
      </x:c>
      <x:c r="AE3496" s="36" t="str">
        <x:f>IF(ISNUMBER(AD3496),ROUND(AD3496*0.015+0.2,2),"")</x:f>
      </x:c>
      <x:c r="AF3496" s="36" t="str">
        <x:f>IF(ISNUMBER(AD3496),ROUND(AD3496-AE3496-V3496,2),"")</x:f>
      </x:c>
      <x:c r="AG3496" t="str">
        <x:f>IF(NOT(ISNUMBER(T3496)),"PENDING",IF(AF3496&gt;0,"PASS","FAIL"))</x:f>
        <x:v>PENDING</x:v>
      </x:c>
      <x:c r="AH3496" t="str">
        <x:f>IF(NOT(ISNUMBER(T3496)),"Needs supplier cost",IF(K3496&lt;&gt;"In stock","Supplier unavailable",IF(AG3496&lt;&gt;"PASS","BLOCK - GT loss risk","Commercially protected")))</x:f>
        <x:v>Needs supplier cost</x:v>
      </x:c>
      <x:c r="AI3496" t="str">
        <x:v>2026-09-10 Active Sports trade capture</x:v>
      </x:c>
      <x:c r="AJ3496" t="str">
        <x:v>Management-only economics. Stripe stress test uses 1.5% + £0.20 standard UK online-card fee; pallet/mix-and-match pricing ignored.</x:v>
      </x:c>
    </x:row>
    <x:row r="3497">
      <x:c r="A3497" t="str">
        <x:v>Active Sports Nutrition</x:v>
      </x:c>
      <x:c r="B3497" t="str">
        <x:v>Quest Nutrition</x:v>
      </x:c>
      <x:c r="C3497" t="str">
        <x:v>Quest Bars</x:v>
      </x:c>
      <x:c r="D3497" t="str">
        <x:v>Food &amp; Drinks</x:v>
      </x:c>
      <x:c r="E3497" t="str">
        <x:v>Protein Bars</x:v>
      </x:c>
      <x:c r="F3497" t="str"/>
      <x:c r="G3497" t="str">
        <x:v>12 x 60g bars</x:v>
      </x:c>
      <x:c r="H3497" t="str">
        <x:v>Mint Chocolate Chunk</x:v>
      </x:c>
      <x:c r="I3497" t="str">
        <x:v>12</x:v>
      </x:c>
      <x:c r="J3497" t="str">
        <x:v>Case</x:v>
      </x:c>
      <x:c r="K3497" t="str">
        <x:v>In stock</x:v>
      </x:c>
      <x:c r="L3497" t="str">
        <x:v>2026-09-08</x:v>
      </x:c>
      <x:c r="M3497" t="str"/>
      <x:c r="N3497" t="str"/>
      <x:c r="O3497" t="str">
        <x:v>https://www.activesportstrade.co.uk/quest-trade</x:v>
      </x:c>
      <x:c r="P3497" t="str"/>
      <x:c r="Q3497" t="str"/>
      <x:c r="R3497" t="str"/>
      <x:c r="S3497" t="str">
        <x:v>Pending genuine supplier/brand image</x:v>
      </x:c>
      <x:c r="T3497" s="54"/>
      <x:c r="U3497" s="47" t="n">
        <x:v>0.2</x:v>
      </x:c>
      <x:c r="V3497" s="54" t="str">
        <x:f>IF(ISNUMBER(T3497),T3497*(1+U3497),"")</x:f>
      </x:c>
      <x:c r="W3497" s="47" t="n">
        <x:v>0.3</x:v>
      </x:c>
      <x:c r="X3497" s="54" t="str">
        <x:f>IF(ISNUMBER(V3497),V3497/(1-W3497),"")</x:f>
      </x:c>
      <x:c r="Y3497" s="55" t="str">
        <x:f>IF(ISNUMBER(X3497),ROUNDUP(X3497,0),"")</x:f>
      </x:c>
      <x:c r="Z3497" t="str">
        <x:f>IF(ISNUMBER(T3497),"Cost captured","Awaiting trade cost")</x:f>
        <x:v>Awaiting trade cost</x:v>
      </x:c>
      <x:c r="AB3497" s="36" t="str">
        <x:f>IF(ISNUMBER(Y3497),ROUND(Y3497*0.9,2),"")</x:f>
      </x:c>
      <x:c r="AC3497" s="36" t="str">
        <x:f>IF(ISNUMBER(AB3497),ROUND(AB3497-(AB3497*0.015+0.2)-V3497,2),"")</x:f>
      </x:c>
      <x:c r="AD3497" s="36" t="str">
        <x:f>IF(ISNUMBER(Y3497),ROUND(Y3497*0.8,2),"")</x:f>
      </x:c>
      <x:c r="AE3497" s="36" t="str">
        <x:f>IF(ISNUMBER(AD3497),ROUND(AD3497*0.015+0.2,2),"")</x:f>
      </x:c>
      <x:c r="AF3497" s="36" t="str">
        <x:f>IF(ISNUMBER(AD3497),ROUND(AD3497-AE3497-V3497,2),"")</x:f>
      </x:c>
      <x:c r="AG3497" t="str">
        <x:f>IF(NOT(ISNUMBER(T3497)),"PENDING",IF(AF3497&gt;0,"PASS","FAIL"))</x:f>
        <x:v>PENDING</x:v>
      </x:c>
      <x:c r="AH3497" t="str">
        <x:f>IF(NOT(ISNUMBER(T3497)),"Needs supplier cost",IF(K3497&lt;&gt;"In stock","Supplier unavailable",IF(AG3497&lt;&gt;"PASS","BLOCK - GT loss risk","Commercially protected")))</x:f>
        <x:v>Needs supplier cost</x:v>
      </x:c>
      <x:c r="AI3497" t="str">
        <x:v>2026-09-10 Active Sports trade capture</x:v>
      </x:c>
      <x:c r="AJ3497" t="str">
        <x:v>Management-only economics. Stripe stress test uses 1.5% + £0.20 standard UK online-card fee; pallet/mix-and-match pricing ignored.</x:v>
      </x:c>
    </x:row>
    <x:row r="3498">
      <x:c r="A3498" t="str">
        <x:v>Active Sports Nutrition</x:v>
      </x:c>
      <x:c r="B3498" t="str">
        <x:v>Quest Nutrition</x:v>
      </x:c>
      <x:c r="C3498" t="str">
        <x:v>Quest Bars</x:v>
      </x:c>
      <x:c r="D3498" t="str">
        <x:v>Food &amp; Drinks</x:v>
      </x:c>
      <x:c r="E3498" t="str">
        <x:v>Protein Bars</x:v>
      </x:c>
      <x:c r="F3498" t="str"/>
      <x:c r="G3498" t="str">
        <x:v>12 x 60g bars</x:v>
      </x:c>
      <x:c r="H3498" t="str">
        <x:v>Oatmeal Chocolate Chip</x:v>
      </x:c>
      <x:c r="I3498" t="str">
        <x:v>12</x:v>
      </x:c>
      <x:c r="J3498" t="str">
        <x:v>Case</x:v>
      </x:c>
      <x:c r="K3498" t="str">
        <x:v>In stock</x:v>
      </x:c>
      <x:c r="L3498" t="str">
        <x:v>2026-09-08</x:v>
      </x:c>
      <x:c r="M3498" t="str"/>
      <x:c r="N3498" t="str"/>
      <x:c r="O3498" t="str">
        <x:v>https://www.activesportstrade.co.uk/quest-trade</x:v>
      </x:c>
      <x:c r="P3498" t="str"/>
      <x:c r="Q3498" t="str"/>
      <x:c r="R3498" t="str"/>
      <x:c r="S3498" t="str">
        <x:v>Pending genuine supplier/brand image</x:v>
      </x:c>
      <x:c r="T3498" s="54"/>
      <x:c r="U3498" s="47" t="n">
        <x:v>0.2</x:v>
      </x:c>
      <x:c r="V3498" s="54" t="str">
        <x:f>IF(ISNUMBER(T3498),T3498*(1+U3498),"")</x:f>
      </x:c>
      <x:c r="W3498" s="47" t="n">
        <x:v>0.3</x:v>
      </x:c>
      <x:c r="X3498" s="54" t="str">
        <x:f>IF(ISNUMBER(V3498),V3498/(1-W3498),"")</x:f>
      </x:c>
      <x:c r="Y3498" s="55" t="str">
        <x:f>IF(ISNUMBER(X3498),ROUNDUP(X3498,0),"")</x:f>
      </x:c>
      <x:c r="Z3498" t="str">
        <x:f>IF(ISNUMBER(T3498),"Cost captured","Awaiting trade cost")</x:f>
        <x:v>Awaiting trade cost</x:v>
      </x:c>
      <x:c r="AB3498" s="36" t="str">
        <x:f>IF(ISNUMBER(Y3498),ROUND(Y3498*0.9,2),"")</x:f>
      </x:c>
      <x:c r="AC3498" s="36" t="str">
        <x:f>IF(ISNUMBER(AB3498),ROUND(AB3498-(AB3498*0.015+0.2)-V3498,2),"")</x:f>
      </x:c>
      <x:c r="AD3498" s="36" t="str">
        <x:f>IF(ISNUMBER(Y3498),ROUND(Y3498*0.8,2),"")</x:f>
      </x:c>
      <x:c r="AE3498" s="36" t="str">
        <x:f>IF(ISNUMBER(AD3498),ROUND(AD3498*0.015+0.2,2),"")</x:f>
      </x:c>
      <x:c r="AF3498" s="36" t="str">
        <x:f>IF(ISNUMBER(AD3498),ROUND(AD3498-AE3498-V3498,2),"")</x:f>
      </x:c>
      <x:c r="AG3498" t="str">
        <x:f>IF(NOT(ISNUMBER(T3498)),"PENDING",IF(AF3498&gt;0,"PASS","FAIL"))</x:f>
        <x:v>PENDING</x:v>
      </x:c>
      <x:c r="AH3498" t="str">
        <x:f>IF(NOT(ISNUMBER(T3498)),"Needs supplier cost",IF(K3498&lt;&gt;"In stock","Supplier unavailable",IF(AG3498&lt;&gt;"PASS","BLOCK - GT loss risk","Commercially protected")))</x:f>
        <x:v>Needs supplier cost</x:v>
      </x:c>
      <x:c r="AI3498" t="str">
        <x:v>2026-09-10 Active Sports trade capture</x:v>
      </x:c>
      <x:c r="AJ3498" t="str">
        <x:v>Management-only economics. Stripe stress test uses 1.5% + £0.20 standard UK online-card fee; pallet/mix-and-match pricing ignored.</x:v>
      </x:c>
    </x:row>
    <x:row r="3499">
      <x:c r="A3499" t="str">
        <x:v>Active Sports Nutrition</x:v>
      </x:c>
      <x:c r="B3499" t="str">
        <x:v>Quest Nutrition</x:v>
      </x:c>
      <x:c r="C3499" t="str">
        <x:v>Quest Bars</x:v>
      </x:c>
      <x:c r="D3499" t="str">
        <x:v>Food &amp; Drinks</x:v>
      </x:c>
      <x:c r="E3499" t="str">
        <x:v>Protein Bars</x:v>
      </x:c>
      <x:c r="F3499" t="str"/>
      <x:c r="G3499" t="str">
        <x:v>12 x 60g bars</x:v>
      </x:c>
      <x:c r="H3499" t="str">
        <x:v>Smores</x:v>
      </x:c>
      <x:c r="I3499" t="str">
        <x:v>12</x:v>
      </x:c>
      <x:c r="J3499" t="str">
        <x:v>Case</x:v>
      </x:c>
      <x:c r="K3499" t="str">
        <x:v>In stock</x:v>
      </x:c>
      <x:c r="L3499" t="str">
        <x:v>2026-09-08</x:v>
      </x:c>
      <x:c r="M3499" t="str"/>
      <x:c r="N3499" t="str"/>
      <x:c r="O3499" t="str">
        <x:v>https://www.activesportstrade.co.uk/quest-trade</x:v>
      </x:c>
      <x:c r="P3499" t="str"/>
      <x:c r="Q3499" t="str"/>
      <x:c r="R3499" t="str"/>
      <x:c r="S3499" t="str">
        <x:v>Pending genuine supplier/brand image</x:v>
      </x:c>
      <x:c r="T3499" s="54"/>
      <x:c r="U3499" s="47" t="n">
        <x:v>0.2</x:v>
      </x:c>
      <x:c r="V3499" s="54" t="str">
        <x:f>IF(ISNUMBER(T3499),T3499*(1+U3499),"")</x:f>
      </x:c>
      <x:c r="W3499" s="47" t="n">
        <x:v>0.3</x:v>
      </x:c>
      <x:c r="X3499" s="54" t="str">
        <x:f>IF(ISNUMBER(V3499),V3499/(1-W3499),"")</x:f>
      </x:c>
      <x:c r="Y3499" s="55" t="str">
        <x:f>IF(ISNUMBER(X3499),ROUNDUP(X3499,0),"")</x:f>
      </x:c>
      <x:c r="Z3499" t="str">
        <x:f>IF(ISNUMBER(T3499),"Cost captured","Awaiting trade cost")</x:f>
        <x:v>Awaiting trade cost</x:v>
      </x:c>
      <x:c r="AB3499" s="36" t="str">
        <x:f>IF(ISNUMBER(Y3499),ROUND(Y3499*0.9,2),"")</x:f>
      </x:c>
      <x:c r="AC3499" s="36" t="str">
        <x:f>IF(ISNUMBER(AB3499),ROUND(AB3499-(AB3499*0.015+0.2)-V3499,2),"")</x:f>
      </x:c>
      <x:c r="AD3499" s="36" t="str">
        <x:f>IF(ISNUMBER(Y3499),ROUND(Y3499*0.8,2),"")</x:f>
      </x:c>
      <x:c r="AE3499" s="36" t="str">
        <x:f>IF(ISNUMBER(AD3499),ROUND(AD3499*0.015+0.2,2),"")</x:f>
      </x:c>
      <x:c r="AF3499" s="36" t="str">
        <x:f>IF(ISNUMBER(AD3499),ROUND(AD3499-AE3499-V3499,2),"")</x:f>
      </x:c>
      <x:c r="AG3499" t="str">
        <x:f>IF(NOT(ISNUMBER(T3499)),"PENDING",IF(AF3499&gt;0,"PASS","FAIL"))</x:f>
        <x:v>PENDING</x:v>
      </x:c>
      <x:c r="AH3499" t="str">
        <x:f>IF(NOT(ISNUMBER(T3499)),"Needs supplier cost",IF(K3499&lt;&gt;"In stock","Supplier unavailable",IF(AG3499&lt;&gt;"PASS","BLOCK - GT loss risk","Commercially protected")))</x:f>
        <x:v>Needs supplier cost</x:v>
      </x:c>
      <x:c r="AI3499" t="str">
        <x:v>2026-09-10 Active Sports trade capture</x:v>
      </x:c>
      <x:c r="AJ3499" t="str">
        <x:v>Management-only economics. Stripe stress test uses 1.5% + £0.20 standard UK online-card fee; pallet/mix-and-match pricing ignored.</x:v>
      </x:c>
    </x:row>
    <x:row r="3500">
      <x:c r="A3500" t="str">
        <x:v>Active Sports Nutrition</x:v>
      </x:c>
      <x:c r="B3500" t="str">
        <x:v>Quest Nutrition</x:v>
      </x:c>
      <x:c r="C3500" t="str">
        <x:v>Quest Bars</x:v>
      </x:c>
      <x:c r="D3500" t="str">
        <x:v>Food &amp; Drinks</x:v>
      </x:c>
      <x:c r="E3500" t="str">
        <x:v>Protein Bars</x:v>
      </x:c>
      <x:c r="F3500" t="str"/>
      <x:c r="G3500" t="str">
        <x:v>12 x 60g bars</x:v>
      </x:c>
      <x:c r="H3500" t="str">
        <x:v>Strawberry Shortcake</x:v>
      </x:c>
      <x:c r="I3500" t="str">
        <x:v>12</x:v>
      </x:c>
      <x:c r="J3500" t="str">
        <x:v>Case</x:v>
      </x:c>
      <x:c r="K3500" t="str">
        <x:v>Out of stock</x:v>
      </x:c>
      <x:c r="L3500" t="str">
        <x:v>2026-09-08</x:v>
      </x:c>
      <x:c r="M3500" t="str"/>
      <x:c r="N3500" t="str"/>
      <x:c r="O3500" t="str">
        <x:v>https://www.activesportstrade.co.uk/quest-trade</x:v>
      </x:c>
      <x:c r="P3500" t="str"/>
      <x:c r="Q3500" t="str"/>
      <x:c r="R3500" t="str"/>
      <x:c r="S3500" t="str">
        <x:v>Pending genuine supplier/brand image</x:v>
      </x:c>
      <x:c r="T3500" s="54"/>
      <x:c r="U3500" s="47" t="n">
        <x:v>0.2</x:v>
      </x:c>
      <x:c r="V3500" s="54" t="str">
        <x:f>IF(ISNUMBER(T3500),T3500*(1+U3500),"")</x:f>
      </x:c>
      <x:c r="W3500" s="47" t="n">
        <x:v>0.3</x:v>
      </x:c>
      <x:c r="X3500" s="54" t="str">
        <x:f>IF(ISNUMBER(V3500),V3500/(1-W3500),"")</x:f>
      </x:c>
      <x:c r="Y3500" s="55" t="str">
        <x:f>IF(ISNUMBER(X3500),ROUNDUP(X3500,0),"")</x:f>
      </x:c>
      <x:c r="Z3500" t="str">
        <x:f>IF(ISNUMBER(T3500),"Cost captured","Awaiting trade cost")</x:f>
        <x:v>Awaiting trade cost</x:v>
      </x:c>
      <x:c r="AB3500" s="36" t="str">
        <x:f>IF(ISNUMBER(Y3500),ROUND(Y3500*0.9,2),"")</x:f>
      </x:c>
      <x:c r="AC3500" s="36" t="str">
        <x:f>IF(ISNUMBER(AB3500),ROUND(AB3500-(AB3500*0.015+0.2)-V3500,2),"")</x:f>
      </x:c>
      <x:c r="AD3500" s="36" t="str">
        <x:f>IF(ISNUMBER(Y3500),ROUND(Y3500*0.8,2),"")</x:f>
      </x:c>
      <x:c r="AE3500" s="36" t="str">
        <x:f>IF(ISNUMBER(AD3500),ROUND(AD3500*0.015+0.2,2),"")</x:f>
      </x:c>
      <x:c r="AF3500" s="36" t="str">
        <x:f>IF(ISNUMBER(AD3500),ROUND(AD3500-AE3500-V3500,2),"")</x:f>
      </x:c>
      <x:c r="AG3500" t="str">
        <x:f>IF(NOT(ISNUMBER(T3500)),"PENDING",IF(AF3500&gt;0,"PASS","FAIL"))</x:f>
        <x:v>PENDING</x:v>
      </x:c>
      <x:c r="AH3500" t="str">
        <x:f>IF(NOT(ISNUMBER(T3500)),"Needs supplier cost",IF(K3500&lt;&gt;"In stock","Supplier unavailable",IF(AG3500&lt;&gt;"PASS","BLOCK - GT loss risk","Commercially protected")))</x:f>
        <x:v>Needs supplier cost</x:v>
      </x:c>
      <x:c r="AI3500" t="str">
        <x:v>2026-09-10 Active Sports trade capture</x:v>
      </x:c>
      <x:c r="AJ3500" t="str">
        <x:v>Management-only economics. Stripe stress test uses 1.5% + £0.20 standard UK online-card fee; pallet/mix-and-match pricing ignored.</x:v>
      </x:c>
    </x:row>
    <x:row r="3501">
      <x:c r="A3501" t="str">
        <x:v>Active Sports Nutrition</x:v>
      </x:c>
      <x:c r="B3501" t="str">
        <x:v>Quest Nutrition</x:v>
      </x:c>
      <x:c r="C3501" t="str">
        <x:v>Quest Bars</x:v>
      </x:c>
      <x:c r="D3501" t="str">
        <x:v>Food &amp; Drinks</x:v>
      </x:c>
      <x:c r="E3501" t="str">
        <x:v>Protein Bars</x:v>
      </x:c>
      <x:c r="F3501" t="str"/>
      <x:c r="G3501" t="str">
        <x:v>12 x 60g bars</x:v>
      </x:c>
      <x:c r="H3501" t="str">
        <x:v>White Chocolate Raspberry</x:v>
      </x:c>
      <x:c r="I3501" t="str">
        <x:v>12</x:v>
      </x:c>
      <x:c r="J3501" t="str">
        <x:v>Case</x:v>
      </x:c>
      <x:c r="K3501" t="str">
        <x:v>In stock</x:v>
      </x:c>
      <x:c r="L3501" t="str">
        <x:v>2026-09-08</x:v>
      </x:c>
      <x:c r="M3501" t="str"/>
      <x:c r="N3501" t="str"/>
      <x:c r="O3501" t="str">
        <x:v>https://www.activesportstrade.co.uk/quest-trade</x:v>
      </x:c>
      <x:c r="P3501" t="str"/>
      <x:c r="Q3501" t="str"/>
      <x:c r="R3501" t="str"/>
      <x:c r="S3501" t="str">
        <x:v>Pending genuine supplier/brand image</x:v>
      </x:c>
      <x:c r="T3501" s="54"/>
      <x:c r="U3501" s="47" t="n">
        <x:v>0.2</x:v>
      </x:c>
      <x:c r="V3501" s="54" t="str">
        <x:f>IF(ISNUMBER(T3501),T3501*(1+U3501),"")</x:f>
      </x:c>
      <x:c r="W3501" s="47" t="n">
        <x:v>0.3</x:v>
      </x:c>
      <x:c r="X3501" s="54" t="str">
        <x:f>IF(ISNUMBER(V3501),V3501/(1-W3501),"")</x:f>
      </x:c>
      <x:c r="Y3501" s="55" t="str">
        <x:f>IF(ISNUMBER(X3501),ROUNDUP(X3501,0),"")</x:f>
      </x:c>
      <x:c r="Z3501" t="str">
        <x:f>IF(ISNUMBER(T3501),"Cost captured","Awaiting trade cost")</x:f>
        <x:v>Awaiting trade cost</x:v>
      </x:c>
      <x:c r="AB3501" s="36" t="str">
        <x:f>IF(ISNUMBER(Y3501),ROUND(Y3501*0.9,2),"")</x:f>
      </x:c>
      <x:c r="AC3501" s="36" t="str">
        <x:f>IF(ISNUMBER(AB3501),ROUND(AB3501-(AB3501*0.015+0.2)-V3501,2),"")</x:f>
      </x:c>
      <x:c r="AD3501" s="36" t="str">
        <x:f>IF(ISNUMBER(Y3501),ROUND(Y3501*0.8,2),"")</x:f>
      </x:c>
      <x:c r="AE3501" s="36" t="str">
        <x:f>IF(ISNUMBER(AD3501),ROUND(AD3501*0.015+0.2,2),"")</x:f>
      </x:c>
      <x:c r="AF3501" s="36" t="str">
        <x:f>IF(ISNUMBER(AD3501),ROUND(AD3501-AE3501-V3501,2),"")</x:f>
      </x:c>
      <x:c r="AG3501" t="str">
        <x:f>IF(NOT(ISNUMBER(T3501)),"PENDING",IF(AF3501&gt;0,"PASS","FAIL"))</x:f>
        <x:v>PENDING</x:v>
      </x:c>
      <x:c r="AH3501" t="str">
        <x:f>IF(NOT(ISNUMBER(T3501)),"Needs supplier cost",IF(K3501&lt;&gt;"In stock","Supplier unavailable",IF(AG3501&lt;&gt;"PASS","BLOCK - GT loss risk","Commercially protected")))</x:f>
        <x:v>Needs supplier cost</x:v>
      </x:c>
      <x:c r="AI3501" t="str">
        <x:v>2026-09-10 Active Sports trade capture</x:v>
      </x:c>
      <x:c r="AJ3501" t="str">
        <x:v>Management-only economics. Stripe stress test uses 1.5% + £0.20 standard UK online-card fee; pallet/mix-and-match pricing ignored.</x:v>
      </x:c>
    </x:row>
    <x:row r="3502">
      <x:c r="A3502" t="str">
        <x:v>Active Sports Nutrition</x:v>
      </x:c>
      <x:c r="B3502" t="str">
        <x:v>Quest Nutrition</x:v>
      </x:c>
      <x:c r="C3502" t="str">
        <x:v>Quest Overload Protein Bar</x:v>
      </x:c>
      <x:c r="D3502" t="str">
        <x:v>Food &amp; Drinks</x:v>
      </x:c>
      <x:c r="E3502" t="str">
        <x:v>Protein Bars</x:v>
      </x:c>
      <x:c r="F3502" t="str"/>
      <x:c r="G3502" t="str">
        <x:v>12 x 58g bars</x:v>
      </x:c>
      <x:c r="H3502" t="str">
        <x:v>Chocolate Explosion</x:v>
      </x:c>
      <x:c r="I3502" t="str">
        <x:v>12</x:v>
      </x:c>
      <x:c r="J3502" t="str">
        <x:v>Case</x:v>
      </x:c>
      <x:c r="K3502" t="str">
        <x:v>Out of stock</x:v>
      </x:c>
      <x:c r="L3502" t="str">
        <x:v>2026-09-08</x:v>
      </x:c>
      <x:c r="M3502" t="str"/>
      <x:c r="N3502" t="str"/>
      <x:c r="O3502" t="str">
        <x:v>https://www.activesportstrade.co.uk/quest-trade</x:v>
      </x:c>
      <x:c r="P3502" t="str"/>
      <x:c r="Q3502" t="str"/>
      <x:c r="R3502" t="str"/>
      <x:c r="S3502" t="str">
        <x:v>Pending genuine supplier/brand image</x:v>
      </x:c>
      <x:c r="T3502" s="54"/>
      <x:c r="U3502" s="47" t="n">
        <x:v>0.2</x:v>
      </x:c>
      <x:c r="V3502" s="54" t="str">
        <x:f>IF(ISNUMBER(T3502),T3502*(1+U3502),"")</x:f>
      </x:c>
      <x:c r="W3502" s="47" t="n">
        <x:v>0.3</x:v>
      </x:c>
      <x:c r="X3502" s="54" t="str">
        <x:f>IF(ISNUMBER(V3502),V3502/(1-W3502),"")</x:f>
      </x:c>
      <x:c r="Y3502" s="55" t="str">
        <x:f>IF(ISNUMBER(X3502),ROUNDUP(X3502,0),"")</x:f>
      </x:c>
      <x:c r="Z3502" t="str">
        <x:f>IF(ISNUMBER(T3502),"Cost captured","Awaiting trade cost")</x:f>
        <x:v>Awaiting trade cost</x:v>
      </x:c>
      <x:c r="AB3502" s="36" t="str">
        <x:f>IF(ISNUMBER(Y3502),ROUND(Y3502*0.9,2),"")</x:f>
      </x:c>
      <x:c r="AC3502" s="36" t="str">
        <x:f>IF(ISNUMBER(AB3502),ROUND(AB3502-(AB3502*0.015+0.2)-V3502,2),"")</x:f>
      </x:c>
      <x:c r="AD3502" s="36" t="str">
        <x:f>IF(ISNUMBER(Y3502),ROUND(Y3502*0.8,2),"")</x:f>
      </x:c>
      <x:c r="AE3502" s="36" t="str">
        <x:f>IF(ISNUMBER(AD3502),ROUND(AD3502*0.015+0.2,2),"")</x:f>
      </x:c>
      <x:c r="AF3502" s="36" t="str">
        <x:f>IF(ISNUMBER(AD3502),ROUND(AD3502-AE3502-V3502,2),"")</x:f>
      </x:c>
      <x:c r="AG3502" t="str">
        <x:f>IF(NOT(ISNUMBER(T3502)),"PENDING",IF(AF3502&gt;0,"PASS","FAIL"))</x:f>
        <x:v>PENDING</x:v>
      </x:c>
      <x:c r="AH3502" t="str">
        <x:f>IF(NOT(ISNUMBER(T3502)),"Needs supplier cost",IF(K3502&lt;&gt;"In stock","Supplier unavailable",IF(AG3502&lt;&gt;"PASS","BLOCK - GT loss risk","Commercially protected")))</x:f>
        <x:v>Needs supplier cost</x:v>
      </x:c>
      <x:c r="AI3502" t="str">
        <x:v>2026-09-10 Active Sports trade capture</x:v>
      </x:c>
      <x:c r="AJ3502" t="str">
        <x:v>Management-only economics. Stripe stress test uses 1.5% + £0.20 standard UK online-card fee; pallet/mix-and-match pricing ignored.</x:v>
      </x:c>
    </x:row>
    <x:row r="3503">
      <x:c r="A3503" t="str">
        <x:v>Active Sports Nutrition</x:v>
      </x:c>
      <x:c r="B3503" t="str">
        <x:v>Quest Nutrition</x:v>
      </x:c>
      <x:c r="C3503" t="str">
        <x:v>Quest Overload Protein Bar</x:v>
      </x:c>
      <x:c r="D3503" t="str">
        <x:v>Food &amp; Drinks</x:v>
      </x:c>
      <x:c r="E3503" t="str">
        <x:v>Protein Bars</x:v>
      </x:c>
      <x:c r="F3503" t="str"/>
      <x:c r="G3503" t="str">
        <x:v>12 x 58g bars</x:v>
      </x:c>
      <x:c r="H3503" t="str">
        <x:v>Cookie Commotion</x:v>
      </x:c>
      <x:c r="I3503" t="str">
        <x:v>12</x:v>
      </x:c>
      <x:c r="J3503" t="str">
        <x:v>Case</x:v>
      </x:c>
      <x:c r="K3503" t="str">
        <x:v>In stock</x:v>
      </x:c>
      <x:c r="L3503" t="str">
        <x:v>2026-09-08</x:v>
      </x:c>
      <x:c r="M3503" t="str"/>
      <x:c r="N3503" t="str"/>
      <x:c r="O3503" t="str">
        <x:v>https://www.activesportstrade.co.uk/quest-trade</x:v>
      </x:c>
      <x:c r="P3503" t="str"/>
      <x:c r="Q3503" t="str"/>
      <x:c r="R3503" t="str"/>
      <x:c r="S3503" t="str">
        <x:v>Pending genuine supplier/brand image</x:v>
      </x:c>
      <x:c r="T3503" s="54"/>
      <x:c r="U3503" s="47" t="n">
        <x:v>0.2</x:v>
      </x:c>
      <x:c r="V3503" s="54" t="str">
        <x:f>IF(ISNUMBER(T3503),T3503*(1+U3503),"")</x:f>
      </x:c>
      <x:c r="W3503" s="47" t="n">
        <x:v>0.3</x:v>
      </x:c>
      <x:c r="X3503" s="54" t="str">
        <x:f>IF(ISNUMBER(V3503),V3503/(1-W3503),"")</x:f>
      </x:c>
      <x:c r="Y3503" s="55" t="str">
        <x:f>IF(ISNUMBER(X3503),ROUNDUP(X3503,0),"")</x:f>
      </x:c>
      <x:c r="Z3503" t="str">
        <x:f>IF(ISNUMBER(T3503),"Cost captured","Awaiting trade cost")</x:f>
        <x:v>Awaiting trade cost</x:v>
      </x:c>
      <x:c r="AB3503" s="36" t="str">
        <x:f>IF(ISNUMBER(Y3503),ROUND(Y3503*0.9,2),"")</x:f>
      </x:c>
      <x:c r="AC3503" s="36" t="str">
        <x:f>IF(ISNUMBER(AB3503),ROUND(AB3503-(AB3503*0.015+0.2)-V3503,2),"")</x:f>
      </x:c>
      <x:c r="AD3503" s="36" t="str">
        <x:f>IF(ISNUMBER(Y3503),ROUND(Y3503*0.8,2),"")</x:f>
      </x:c>
      <x:c r="AE3503" s="36" t="str">
        <x:f>IF(ISNUMBER(AD3503),ROUND(AD3503*0.015+0.2,2),"")</x:f>
      </x:c>
      <x:c r="AF3503" s="36" t="str">
        <x:f>IF(ISNUMBER(AD3503),ROUND(AD3503-AE3503-V3503,2),"")</x:f>
      </x:c>
      <x:c r="AG3503" t="str">
        <x:f>IF(NOT(ISNUMBER(T3503)),"PENDING",IF(AF3503&gt;0,"PASS","FAIL"))</x:f>
        <x:v>PENDING</x:v>
      </x:c>
      <x:c r="AH3503" t="str">
        <x:f>IF(NOT(ISNUMBER(T3503)),"Needs supplier cost",IF(K3503&lt;&gt;"In stock","Supplier unavailable",IF(AG3503&lt;&gt;"PASS","BLOCK - GT loss risk","Commercially protected")))</x:f>
        <x:v>Needs supplier cost</x:v>
      </x:c>
      <x:c r="AI3503" t="str">
        <x:v>2026-09-10 Active Sports trade capture</x:v>
      </x:c>
      <x:c r="AJ3503" t="str">
        <x:v>Management-only economics. Stripe stress test uses 1.5% + £0.20 standard UK online-card fee; pallet/mix-and-match pricing ignored.</x:v>
      </x:c>
    </x:row>
    <x:row r="3504">
      <x:c r="A3504" t="str">
        <x:v>Active Sports Nutrition</x:v>
      </x:c>
      <x:c r="B3504" t="str">
        <x:v>Quest Nutrition</x:v>
      </x:c>
      <x:c r="C3504" t="str">
        <x:v>Quest Overload Protein Bar</x:v>
      </x:c>
      <x:c r="D3504" t="str">
        <x:v>Food &amp; Drinks</x:v>
      </x:c>
      <x:c r="E3504" t="str">
        <x:v>Protein Bars</x:v>
      </x:c>
      <x:c r="F3504" t="str"/>
      <x:c r="G3504" t="str">
        <x:v>12 x 58g bars</x:v>
      </x:c>
      <x:c r="H3504" t="str">
        <x:v>Nutty By Nature</x:v>
      </x:c>
      <x:c r="I3504" t="str">
        <x:v>12</x:v>
      </x:c>
      <x:c r="J3504" t="str">
        <x:v>Case</x:v>
      </x:c>
      <x:c r="K3504" t="str">
        <x:v>Out of stock</x:v>
      </x:c>
      <x:c r="L3504" t="str">
        <x:v>2026-09-08</x:v>
      </x:c>
      <x:c r="M3504" t="str"/>
      <x:c r="N3504" t="str"/>
      <x:c r="O3504" t="str">
        <x:v>https://www.activesportstrade.co.uk/quest-trade</x:v>
      </x:c>
      <x:c r="P3504" t="str"/>
      <x:c r="Q3504" t="str"/>
      <x:c r="R3504" t="str"/>
      <x:c r="S3504" t="str">
        <x:v>Pending genuine supplier/brand image</x:v>
      </x:c>
      <x:c r="T3504" s="54"/>
      <x:c r="U3504" s="47" t="n">
        <x:v>0.2</x:v>
      </x:c>
      <x:c r="V3504" s="54" t="str">
        <x:f>IF(ISNUMBER(T3504),T3504*(1+U3504),"")</x:f>
      </x:c>
      <x:c r="W3504" s="47" t="n">
        <x:v>0.3</x:v>
      </x:c>
      <x:c r="X3504" s="54" t="str">
        <x:f>IF(ISNUMBER(V3504),V3504/(1-W3504),"")</x:f>
      </x:c>
      <x:c r="Y3504" s="55" t="str">
        <x:f>IF(ISNUMBER(X3504),ROUNDUP(X3504,0),"")</x:f>
      </x:c>
      <x:c r="Z3504" t="str">
        <x:f>IF(ISNUMBER(T3504),"Cost captured","Awaiting trade cost")</x:f>
        <x:v>Awaiting trade cost</x:v>
      </x:c>
      <x:c r="AB3504" s="36" t="str">
        <x:f>IF(ISNUMBER(Y3504),ROUND(Y3504*0.9,2),"")</x:f>
      </x:c>
      <x:c r="AC3504" s="36" t="str">
        <x:f>IF(ISNUMBER(AB3504),ROUND(AB3504-(AB3504*0.015+0.2)-V3504,2),"")</x:f>
      </x:c>
      <x:c r="AD3504" s="36" t="str">
        <x:f>IF(ISNUMBER(Y3504),ROUND(Y3504*0.8,2),"")</x:f>
      </x:c>
      <x:c r="AE3504" s="36" t="str">
        <x:f>IF(ISNUMBER(AD3504),ROUND(AD3504*0.015+0.2,2),"")</x:f>
      </x:c>
      <x:c r="AF3504" s="36" t="str">
        <x:f>IF(ISNUMBER(AD3504),ROUND(AD3504-AE3504-V3504,2),"")</x:f>
      </x:c>
      <x:c r="AG3504" t="str">
        <x:f>IF(NOT(ISNUMBER(T3504)),"PENDING",IF(AF3504&gt;0,"PASS","FAIL"))</x:f>
        <x:v>PENDING</x:v>
      </x:c>
      <x:c r="AH3504" t="str">
        <x:f>IF(NOT(ISNUMBER(T3504)),"Needs supplier cost",IF(K3504&lt;&gt;"In stock","Supplier unavailable",IF(AG3504&lt;&gt;"PASS","BLOCK - GT loss risk","Commercially protected")))</x:f>
        <x:v>Needs supplier cost</x:v>
      </x:c>
      <x:c r="AI3504" t="str">
        <x:v>2026-09-10 Active Sports trade capture</x:v>
      </x:c>
      <x:c r="AJ3504" t="str">
        <x:v>Management-only economics. Stripe stress test uses 1.5% + £0.20 standard UK online-card fee; pallet/mix-and-match pricing ignored.</x:v>
      </x:c>
    </x:row>
    <x:row r="3505">
      <x:c r="A3505" t="str">
        <x:v>Active Sports Nutrition</x:v>
      </x:c>
      <x:c r="B3505" t="str">
        <x:v>Quest Nutrition</x:v>
      </x:c>
      <x:c r="C3505" t="str">
        <x:v>Quest Overload Protein Bar</x:v>
      </x:c>
      <x:c r="D3505" t="str">
        <x:v>Food &amp; Drinks</x:v>
      </x:c>
      <x:c r="E3505" t="str">
        <x:v>Protein Bars</x:v>
      </x:c>
      <x:c r="F3505" t="str"/>
      <x:c r="G3505" t="str">
        <x:v>12 x 58g bars</x:v>
      </x:c>
      <x:c r="H3505" t="str">
        <x:v>Sundae Funday</x:v>
      </x:c>
      <x:c r="I3505" t="str">
        <x:v>12</x:v>
      </x:c>
      <x:c r="J3505" t="str">
        <x:v>Case</x:v>
      </x:c>
      <x:c r="K3505" t="str">
        <x:v>Out of stock</x:v>
      </x:c>
      <x:c r="L3505" t="str">
        <x:v>2026-09-08</x:v>
      </x:c>
      <x:c r="M3505" t="str"/>
      <x:c r="N3505" t="str"/>
      <x:c r="O3505" t="str">
        <x:v>https://www.activesportstrade.co.uk/quest-trade</x:v>
      </x:c>
      <x:c r="P3505" t="str"/>
      <x:c r="Q3505" t="str"/>
      <x:c r="R3505" t="str"/>
      <x:c r="S3505" t="str">
        <x:v>Pending genuine supplier/brand image</x:v>
      </x:c>
      <x:c r="T3505" s="54"/>
      <x:c r="U3505" s="47" t="n">
        <x:v>0.2</x:v>
      </x:c>
      <x:c r="V3505" s="54" t="str">
        <x:f>IF(ISNUMBER(T3505),T3505*(1+U3505),"")</x:f>
      </x:c>
      <x:c r="W3505" s="47" t="n">
        <x:v>0.3</x:v>
      </x:c>
      <x:c r="X3505" s="54" t="str">
        <x:f>IF(ISNUMBER(V3505),V3505/(1-W3505),"")</x:f>
      </x:c>
      <x:c r="Y3505" s="55" t="str">
        <x:f>IF(ISNUMBER(X3505),ROUNDUP(X3505,0),"")</x:f>
      </x:c>
      <x:c r="Z3505" t="str">
        <x:f>IF(ISNUMBER(T3505),"Cost captured","Awaiting trade cost")</x:f>
        <x:v>Awaiting trade cost</x:v>
      </x:c>
      <x:c r="AB3505" s="36" t="str">
        <x:f>IF(ISNUMBER(Y3505),ROUND(Y3505*0.9,2),"")</x:f>
      </x:c>
      <x:c r="AC3505" s="36" t="str">
        <x:f>IF(ISNUMBER(AB3505),ROUND(AB3505-(AB3505*0.015+0.2)-V3505,2),"")</x:f>
      </x:c>
      <x:c r="AD3505" s="36" t="str">
        <x:f>IF(ISNUMBER(Y3505),ROUND(Y3505*0.8,2),"")</x:f>
      </x:c>
      <x:c r="AE3505" s="36" t="str">
        <x:f>IF(ISNUMBER(AD3505),ROUND(AD3505*0.015+0.2,2),"")</x:f>
      </x:c>
      <x:c r="AF3505" s="36" t="str">
        <x:f>IF(ISNUMBER(AD3505),ROUND(AD3505-AE3505-V3505,2),"")</x:f>
      </x:c>
      <x:c r="AG3505" t="str">
        <x:f>IF(NOT(ISNUMBER(T3505)),"PENDING",IF(AF3505&gt;0,"PASS","FAIL"))</x:f>
        <x:v>PENDING</x:v>
      </x:c>
      <x:c r="AH3505" t="str">
        <x:f>IF(NOT(ISNUMBER(T3505)),"Needs supplier cost",IF(K3505&lt;&gt;"In stock","Supplier unavailable",IF(AG3505&lt;&gt;"PASS","BLOCK - GT loss risk","Commercially protected")))</x:f>
        <x:v>Needs supplier cost</x:v>
      </x:c>
      <x:c r="AI3505" t="str">
        <x:v>2026-09-10 Active Sports trade capture</x:v>
      </x:c>
      <x:c r="AJ3505" t="str">
        <x:v>Management-only economics. Stripe stress test uses 1.5% + £0.20 standard UK online-card fee; pallet/mix-and-match pricing ignored.</x:v>
      </x:c>
    </x:row>
    <x:row r="3506">
      <x:c r="A3506" t="str">
        <x:v>Active Sports Nutrition</x:v>
      </x:c>
      <x:c r="B3506" t="str">
        <x:v>Quest Nutrition</x:v>
      </x:c>
      <x:c r="C3506" t="str">
        <x:v>Quest Stacks Bars</x:v>
      </x:c>
      <x:c r="D3506" t="str">
        <x:v>Food &amp; Drinks</x:v>
      </x:c>
      <x:c r="E3506" t="str">
        <x:v>Protein Bars</x:v>
      </x:c>
      <x:c r="F3506" t="str"/>
      <x:c r="G3506" t="str">
        <x:v>12 x 67g bars</x:v>
      </x:c>
      <x:c r="H3506" t="str">
        <x:v>Brownie a la Mode</x:v>
      </x:c>
      <x:c r="I3506" t="str">
        <x:v>12</x:v>
      </x:c>
      <x:c r="J3506" t="str">
        <x:v>Case</x:v>
      </x:c>
      <x:c r="K3506" t="str">
        <x:v>In stock</x:v>
      </x:c>
      <x:c r="L3506" t="str">
        <x:v>2026-09-08</x:v>
      </x:c>
      <x:c r="M3506" t="str"/>
      <x:c r="N3506" t="str"/>
      <x:c r="O3506" t="str">
        <x:v>https://www.activesportstrade.co.uk/quest-trade</x:v>
      </x:c>
      <x:c r="P3506" t="str"/>
      <x:c r="Q3506" t="str"/>
      <x:c r="R3506" t="str"/>
      <x:c r="S3506" t="str">
        <x:v>Pending genuine supplier/brand image</x:v>
      </x:c>
      <x:c r="T3506" s="54"/>
      <x:c r="U3506" s="47" t="n">
        <x:v>0.2</x:v>
      </x:c>
      <x:c r="V3506" s="54" t="str">
        <x:f>IF(ISNUMBER(T3506),T3506*(1+U3506),"")</x:f>
      </x:c>
      <x:c r="W3506" s="47" t="n">
        <x:v>0.3</x:v>
      </x:c>
      <x:c r="X3506" s="54" t="str">
        <x:f>IF(ISNUMBER(V3506),V3506/(1-W3506),"")</x:f>
      </x:c>
      <x:c r="Y3506" s="55" t="str">
        <x:f>IF(ISNUMBER(X3506),ROUNDUP(X3506,0),"")</x:f>
      </x:c>
      <x:c r="Z3506" t="str">
        <x:f>IF(ISNUMBER(T3506),"Cost captured","Awaiting trade cost")</x:f>
        <x:v>Awaiting trade cost</x:v>
      </x:c>
      <x:c r="AB3506" s="36" t="str">
        <x:f>IF(ISNUMBER(Y3506),ROUND(Y3506*0.9,2),"")</x:f>
      </x:c>
      <x:c r="AC3506" s="36" t="str">
        <x:f>IF(ISNUMBER(AB3506),ROUND(AB3506-(AB3506*0.015+0.2)-V3506,2),"")</x:f>
      </x:c>
      <x:c r="AD3506" s="36" t="str">
        <x:f>IF(ISNUMBER(Y3506),ROUND(Y3506*0.8,2),"")</x:f>
      </x:c>
      <x:c r="AE3506" s="36" t="str">
        <x:f>IF(ISNUMBER(AD3506),ROUND(AD3506*0.015+0.2,2),"")</x:f>
      </x:c>
      <x:c r="AF3506" s="36" t="str">
        <x:f>IF(ISNUMBER(AD3506),ROUND(AD3506-AE3506-V3506,2),"")</x:f>
      </x:c>
      <x:c r="AG3506" t="str">
        <x:f>IF(NOT(ISNUMBER(T3506)),"PENDING",IF(AF3506&gt;0,"PASS","FAIL"))</x:f>
        <x:v>PENDING</x:v>
      </x:c>
      <x:c r="AH3506" t="str">
        <x:f>IF(NOT(ISNUMBER(T3506)),"Needs supplier cost",IF(K3506&lt;&gt;"In stock","Supplier unavailable",IF(AG3506&lt;&gt;"PASS","BLOCK - GT loss risk","Commercially protected")))</x:f>
        <x:v>Needs supplier cost</x:v>
      </x:c>
      <x:c r="AI3506" t="str">
        <x:v>2026-09-10 Active Sports trade capture</x:v>
      </x:c>
      <x:c r="AJ3506" t="str">
        <x:v>Management-only economics. Stripe stress test uses 1.5% + £0.20 standard UK online-card fee; pallet/mix-and-match pricing ignored.</x:v>
      </x:c>
    </x:row>
    <x:row r="3507">
      <x:c r="A3507" t="str">
        <x:v>Active Sports Nutrition</x:v>
      </x:c>
      <x:c r="B3507" t="str">
        <x:v>Quest Nutrition</x:v>
      </x:c>
      <x:c r="C3507" t="str">
        <x:v>Quest Stacks Bars</x:v>
      </x:c>
      <x:c r="D3507" t="str">
        <x:v>Food &amp; Drinks</x:v>
      </x:c>
      <x:c r="E3507" t="str">
        <x:v>Protein Bars</x:v>
      </x:c>
      <x:c r="F3507" t="str"/>
      <x:c r="G3507" t="str">
        <x:v>12 x 67g bars</x:v>
      </x:c>
      <x:c r="H3507" t="str">
        <x:v>Cinnamon Brown Sugar</x:v>
      </x:c>
      <x:c r="I3507" t="str">
        <x:v>12</x:v>
      </x:c>
      <x:c r="J3507" t="str">
        <x:v>Case</x:v>
      </x:c>
      <x:c r="K3507" t="str">
        <x:v>Out of stock</x:v>
      </x:c>
      <x:c r="L3507" t="str">
        <x:v>2026-09-08</x:v>
      </x:c>
      <x:c r="M3507" t="str"/>
      <x:c r="N3507" t="str"/>
      <x:c r="O3507" t="str">
        <x:v>https://www.activesportstrade.co.uk/quest-trade</x:v>
      </x:c>
      <x:c r="P3507" t="str"/>
      <x:c r="Q3507" t="str"/>
      <x:c r="R3507" t="str"/>
      <x:c r="S3507" t="str">
        <x:v>Pending genuine supplier/brand image</x:v>
      </x:c>
      <x:c r="T3507" s="54"/>
      <x:c r="U3507" s="47" t="n">
        <x:v>0.2</x:v>
      </x:c>
      <x:c r="V3507" s="54" t="str">
        <x:f>IF(ISNUMBER(T3507),T3507*(1+U3507),"")</x:f>
      </x:c>
      <x:c r="W3507" s="47" t="n">
        <x:v>0.3</x:v>
      </x:c>
      <x:c r="X3507" s="54" t="str">
        <x:f>IF(ISNUMBER(V3507),V3507/(1-W3507),"")</x:f>
      </x:c>
      <x:c r="Y3507" s="55" t="str">
        <x:f>IF(ISNUMBER(X3507),ROUNDUP(X3507,0),"")</x:f>
      </x:c>
      <x:c r="Z3507" t="str">
        <x:f>IF(ISNUMBER(T3507),"Cost captured","Awaiting trade cost")</x:f>
        <x:v>Awaiting trade cost</x:v>
      </x:c>
      <x:c r="AB3507" s="36" t="str">
        <x:f>IF(ISNUMBER(Y3507),ROUND(Y3507*0.9,2),"")</x:f>
      </x:c>
      <x:c r="AC3507" s="36" t="str">
        <x:f>IF(ISNUMBER(AB3507),ROUND(AB3507-(AB3507*0.015+0.2)-V3507,2),"")</x:f>
      </x:c>
      <x:c r="AD3507" s="36" t="str">
        <x:f>IF(ISNUMBER(Y3507),ROUND(Y3507*0.8,2),"")</x:f>
      </x:c>
      <x:c r="AE3507" s="36" t="str">
        <x:f>IF(ISNUMBER(AD3507),ROUND(AD3507*0.015+0.2,2),"")</x:f>
      </x:c>
      <x:c r="AF3507" s="36" t="str">
        <x:f>IF(ISNUMBER(AD3507),ROUND(AD3507-AE3507-V3507,2),"")</x:f>
      </x:c>
      <x:c r="AG3507" t="str">
        <x:f>IF(NOT(ISNUMBER(T3507)),"PENDING",IF(AF3507&gt;0,"PASS","FAIL"))</x:f>
        <x:v>PENDING</x:v>
      </x:c>
      <x:c r="AH3507" t="str">
        <x:f>IF(NOT(ISNUMBER(T3507)),"Needs supplier cost",IF(K3507&lt;&gt;"In stock","Supplier unavailable",IF(AG3507&lt;&gt;"PASS","BLOCK - GT loss risk","Commercially protected")))</x:f>
        <x:v>Needs supplier cost</x:v>
      </x:c>
      <x:c r="AI3507" t="str">
        <x:v>2026-09-10 Active Sports trade capture</x:v>
      </x:c>
      <x:c r="AJ3507" t="str">
        <x:v>Management-only economics. Stripe stress test uses 1.5% + £0.20 standard UK online-card fee; pallet/mix-and-match pricing ignored.</x:v>
      </x:c>
    </x:row>
    <x:row r="3508">
      <x:c r="A3508" t="str">
        <x:v>Active Sports Nutrition</x:v>
      </x:c>
      <x:c r="B3508" t="str">
        <x:v>Quest Nutrition</x:v>
      </x:c>
      <x:c r="C3508" t="str">
        <x:v>Quest Stacks Bars</x:v>
      </x:c>
      <x:c r="D3508" t="str">
        <x:v>Food &amp; Drinks</x:v>
      </x:c>
      <x:c r="E3508" t="str">
        <x:v>Protein Bars</x:v>
      </x:c>
      <x:c r="F3508" t="str"/>
      <x:c r="G3508" t="str">
        <x:v>12 x 67g bars</x:v>
      </x:c>
      <x:c r="H3508" t="str">
        <x:v>Salted Caramel</x:v>
      </x:c>
      <x:c r="I3508" t="str">
        <x:v>12</x:v>
      </x:c>
      <x:c r="J3508" t="str">
        <x:v>Case</x:v>
      </x:c>
      <x:c r="K3508" t="str">
        <x:v>In stock</x:v>
      </x:c>
      <x:c r="L3508" t="str">
        <x:v>2026-09-08</x:v>
      </x:c>
      <x:c r="M3508" t="str"/>
      <x:c r="N3508" t="str"/>
      <x:c r="O3508" t="str">
        <x:v>https://www.activesportstrade.co.uk/quest-trade</x:v>
      </x:c>
      <x:c r="P3508" t="str"/>
      <x:c r="Q3508" t="str"/>
      <x:c r="R3508" t="str"/>
      <x:c r="S3508" t="str">
        <x:v>Pending genuine supplier/brand image</x:v>
      </x:c>
      <x:c r="T3508" s="54"/>
      <x:c r="U3508" s="47" t="n">
        <x:v>0.2</x:v>
      </x:c>
      <x:c r="V3508" s="54" t="str">
        <x:f>IF(ISNUMBER(T3508),T3508*(1+U3508),"")</x:f>
      </x:c>
      <x:c r="W3508" s="47" t="n">
        <x:v>0.3</x:v>
      </x:c>
      <x:c r="X3508" s="54" t="str">
        <x:f>IF(ISNUMBER(V3508),V3508/(1-W3508),"")</x:f>
      </x:c>
      <x:c r="Y3508" s="55" t="str">
        <x:f>IF(ISNUMBER(X3508),ROUNDUP(X3508,0),"")</x:f>
      </x:c>
      <x:c r="Z3508" t="str">
        <x:f>IF(ISNUMBER(T3508),"Cost captured","Awaiting trade cost")</x:f>
        <x:v>Awaiting trade cost</x:v>
      </x:c>
      <x:c r="AB3508" s="36" t="str">
        <x:f>IF(ISNUMBER(Y3508),ROUND(Y3508*0.9,2),"")</x:f>
      </x:c>
      <x:c r="AC3508" s="36" t="str">
        <x:f>IF(ISNUMBER(AB3508),ROUND(AB3508-(AB3508*0.015+0.2)-V3508,2),"")</x:f>
      </x:c>
      <x:c r="AD3508" s="36" t="str">
        <x:f>IF(ISNUMBER(Y3508),ROUND(Y3508*0.8,2),"")</x:f>
      </x:c>
      <x:c r="AE3508" s="36" t="str">
        <x:f>IF(ISNUMBER(AD3508),ROUND(AD3508*0.015+0.2,2),"")</x:f>
      </x:c>
      <x:c r="AF3508" s="36" t="str">
        <x:f>IF(ISNUMBER(AD3508),ROUND(AD3508-AE3508-V3508,2),"")</x:f>
      </x:c>
      <x:c r="AG3508" t="str">
        <x:f>IF(NOT(ISNUMBER(T3508)),"PENDING",IF(AF3508&gt;0,"PASS","FAIL"))</x:f>
        <x:v>PENDING</x:v>
      </x:c>
      <x:c r="AH3508" t="str">
        <x:f>IF(NOT(ISNUMBER(T3508)),"Needs supplier cost",IF(K3508&lt;&gt;"In stock","Supplier unavailable",IF(AG3508&lt;&gt;"PASS","BLOCK - GT loss risk","Commercially protected")))</x:f>
        <x:v>Needs supplier cost</x:v>
      </x:c>
      <x:c r="AI3508" t="str">
        <x:v>2026-09-10 Active Sports trade capture</x:v>
      </x:c>
      <x:c r="AJ3508" t="str">
        <x:v>Management-only economics. Stripe stress test uses 1.5% + £0.20 standard UK online-card fee; pallet/mix-and-match pricing ignored.</x:v>
      </x:c>
    </x:row>
    <x:row r="3509">
      <x:c r="A3509" t="str">
        <x:v>Active Sports Nutrition</x:v>
      </x:c>
      <x:c r="B3509" t="str">
        <x:v>Quest Nutrition</x:v>
      </x:c>
      <x:c r="C3509" t="str">
        <x:v>Tortilla Protein Chips</x:v>
      </x:c>
      <x:c r="D3509" t="str">
        <x:v>Food &amp; Drinks</x:v>
      </x:c>
      <x:c r="E3509" t="str">
        <x:v>Protein Crisps</x:v>
      </x:c>
      <x:c r="F3509" t="str"/>
      <x:c r="G3509" t="str">
        <x:v>8 x 32g bags</x:v>
      </x:c>
      <x:c r="H3509" t="str">
        <x:v>Buffalo Ranch</x:v>
      </x:c>
      <x:c r="I3509" t="str">
        <x:v>8</x:v>
      </x:c>
      <x:c r="J3509" t="str">
        <x:v>Case</x:v>
      </x:c>
      <x:c r="K3509" t="str">
        <x:v>In stock</x:v>
      </x:c>
      <x:c r="L3509" t="str">
        <x:v>2026-09-08</x:v>
      </x:c>
      <x:c r="M3509" t="str"/>
      <x:c r="N3509" t="str"/>
      <x:c r="O3509" t="str">
        <x:v>https://www.activesportstrade.co.uk/quest-trade</x:v>
      </x:c>
      <x:c r="P3509" t="str"/>
      <x:c r="Q3509" t="str"/>
      <x:c r="R3509" t="str"/>
      <x:c r="S3509" t="str">
        <x:v>Pending genuine supplier/brand image</x:v>
      </x:c>
      <x:c r="T3509" s="54"/>
      <x:c r="U3509" s="47" t="n">
        <x:v>0.2</x:v>
      </x:c>
      <x:c r="V3509" s="54" t="str">
        <x:f>IF(ISNUMBER(T3509),T3509*(1+U3509),"")</x:f>
      </x:c>
      <x:c r="W3509" s="47" t="n">
        <x:v>0.3</x:v>
      </x:c>
      <x:c r="X3509" s="54" t="str">
        <x:f>IF(ISNUMBER(V3509),V3509/(1-W3509),"")</x:f>
      </x:c>
      <x:c r="Y3509" s="55" t="str">
        <x:f>IF(ISNUMBER(X3509),ROUNDUP(X3509,0),"")</x:f>
      </x:c>
      <x:c r="Z3509" t="str">
        <x:f>IF(ISNUMBER(T3509),"Cost captured","Awaiting trade cost")</x:f>
        <x:v>Awaiting trade cost</x:v>
      </x:c>
      <x:c r="AB3509" s="36" t="str">
        <x:f>IF(ISNUMBER(Y3509),ROUND(Y3509*0.9,2),"")</x:f>
      </x:c>
      <x:c r="AC3509" s="36" t="str">
        <x:f>IF(ISNUMBER(AB3509),ROUND(AB3509-(AB3509*0.015+0.2)-V3509,2),"")</x:f>
      </x:c>
      <x:c r="AD3509" s="36" t="str">
        <x:f>IF(ISNUMBER(Y3509),ROUND(Y3509*0.8,2),"")</x:f>
      </x:c>
      <x:c r="AE3509" s="36" t="str">
        <x:f>IF(ISNUMBER(AD3509),ROUND(AD3509*0.015+0.2,2),"")</x:f>
      </x:c>
      <x:c r="AF3509" s="36" t="str">
        <x:f>IF(ISNUMBER(AD3509),ROUND(AD3509-AE3509-V3509,2),"")</x:f>
      </x:c>
      <x:c r="AG3509" t="str">
        <x:f>IF(NOT(ISNUMBER(T3509)),"PENDING",IF(AF3509&gt;0,"PASS","FAIL"))</x:f>
        <x:v>PENDING</x:v>
      </x:c>
      <x:c r="AH3509" t="str">
        <x:f>IF(NOT(ISNUMBER(T3509)),"Needs supplier cost",IF(K3509&lt;&gt;"In stock","Supplier unavailable",IF(AG3509&lt;&gt;"PASS","BLOCK - GT loss risk","Commercially protected")))</x:f>
        <x:v>Needs supplier cost</x:v>
      </x:c>
      <x:c r="AI3509" t="str">
        <x:v>2026-09-10 Active Sports trade capture</x:v>
      </x:c>
      <x:c r="AJ3509" t="str">
        <x:v>Management-only economics. Stripe stress test uses 1.5% + £0.20 standard UK online-card fee; pallet/mix-and-match pricing ignored.</x:v>
      </x:c>
    </x:row>
    <x:row r="3510">
      <x:c r="A3510" t="str">
        <x:v>Active Sports Nutrition</x:v>
      </x:c>
      <x:c r="B3510" t="str">
        <x:v>Quest Nutrition</x:v>
      </x:c>
      <x:c r="C3510" t="str">
        <x:v>Tortilla Protein Chips</x:v>
      </x:c>
      <x:c r="D3510" t="str">
        <x:v>Food &amp; Drinks</x:v>
      </x:c>
      <x:c r="E3510" t="str">
        <x:v>Protein Crisps</x:v>
      </x:c>
      <x:c r="F3510" t="str"/>
      <x:c r="G3510" t="str">
        <x:v>8 x 32g bags</x:v>
      </x:c>
      <x:c r="H3510" t="str">
        <x:v>Chilli Lime</x:v>
      </x:c>
      <x:c r="I3510" t="str">
        <x:v>8</x:v>
      </x:c>
      <x:c r="J3510" t="str">
        <x:v>Case</x:v>
      </x:c>
      <x:c r="K3510" t="str">
        <x:v>In stock</x:v>
      </x:c>
      <x:c r="L3510" t="str">
        <x:v>2026-09-08</x:v>
      </x:c>
      <x:c r="M3510" t="str"/>
      <x:c r="N3510" t="str"/>
      <x:c r="O3510" t="str">
        <x:v>https://www.activesportstrade.co.uk/quest-trade</x:v>
      </x:c>
      <x:c r="P3510" t="str"/>
      <x:c r="Q3510" t="str"/>
      <x:c r="R3510" t="str"/>
      <x:c r="S3510" t="str">
        <x:v>Pending genuine supplier/brand image</x:v>
      </x:c>
      <x:c r="T3510" s="54"/>
      <x:c r="U3510" s="47" t="n">
        <x:v>0.2</x:v>
      </x:c>
      <x:c r="V3510" s="54" t="str">
        <x:f>IF(ISNUMBER(T3510),T3510*(1+U3510),"")</x:f>
      </x:c>
      <x:c r="W3510" s="47" t="n">
        <x:v>0.3</x:v>
      </x:c>
      <x:c r="X3510" s="54" t="str">
        <x:f>IF(ISNUMBER(V3510),V3510/(1-W3510),"")</x:f>
      </x:c>
      <x:c r="Y3510" s="55" t="str">
        <x:f>IF(ISNUMBER(X3510),ROUNDUP(X3510,0),"")</x:f>
      </x:c>
      <x:c r="Z3510" t="str">
        <x:f>IF(ISNUMBER(T3510),"Cost captured","Awaiting trade cost")</x:f>
        <x:v>Awaiting trade cost</x:v>
      </x:c>
      <x:c r="AB3510" s="36" t="str">
        <x:f>IF(ISNUMBER(Y3510),ROUND(Y3510*0.9,2),"")</x:f>
      </x:c>
      <x:c r="AC3510" s="36" t="str">
        <x:f>IF(ISNUMBER(AB3510),ROUND(AB3510-(AB3510*0.015+0.2)-V3510,2),"")</x:f>
      </x:c>
      <x:c r="AD3510" s="36" t="str">
        <x:f>IF(ISNUMBER(Y3510),ROUND(Y3510*0.8,2),"")</x:f>
      </x:c>
      <x:c r="AE3510" s="36" t="str">
        <x:f>IF(ISNUMBER(AD3510),ROUND(AD3510*0.015+0.2,2),"")</x:f>
      </x:c>
      <x:c r="AF3510" s="36" t="str">
        <x:f>IF(ISNUMBER(AD3510),ROUND(AD3510-AE3510-V3510,2),"")</x:f>
      </x:c>
      <x:c r="AG3510" t="str">
        <x:f>IF(NOT(ISNUMBER(T3510)),"PENDING",IF(AF3510&gt;0,"PASS","FAIL"))</x:f>
        <x:v>PENDING</x:v>
      </x:c>
      <x:c r="AH3510" t="str">
        <x:f>IF(NOT(ISNUMBER(T3510)),"Needs supplier cost",IF(K3510&lt;&gt;"In stock","Supplier unavailable",IF(AG3510&lt;&gt;"PASS","BLOCK - GT loss risk","Commercially protected")))</x:f>
        <x:v>Needs supplier cost</x:v>
      </x:c>
      <x:c r="AI3510" t="str">
        <x:v>2026-09-10 Active Sports trade capture</x:v>
      </x:c>
      <x:c r="AJ3510" t="str">
        <x:v>Management-only economics. Stripe stress test uses 1.5% + £0.20 standard UK online-card fee; pallet/mix-and-match pricing ignored.</x:v>
      </x:c>
    </x:row>
    <x:row r="3511">
      <x:c r="A3511" t="str">
        <x:v>Active Sports Nutrition</x:v>
      </x:c>
      <x:c r="B3511" t="str">
        <x:v>Quest Nutrition</x:v>
      </x:c>
      <x:c r="C3511" t="str">
        <x:v>Tortilla Protein Chips</x:v>
      </x:c>
      <x:c r="D3511" t="str">
        <x:v>Food &amp; Drinks</x:v>
      </x:c>
      <x:c r="E3511" t="str">
        <x:v>Protein Crisps</x:v>
      </x:c>
      <x:c r="F3511" t="str"/>
      <x:c r="G3511" t="str">
        <x:v>8 x 32g bags</x:v>
      </x:c>
      <x:c r="H3511" t="str">
        <x:v>Hot &amp; Spicy</x:v>
      </x:c>
      <x:c r="I3511" t="str">
        <x:v>8</x:v>
      </x:c>
      <x:c r="J3511" t="str">
        <x:v>Case</x:v>
      </x:c>
      <x:c r="K3511" t="str">
        <x:v>Out of stock</x:v>
      </x:c>
      <x:c r="L3511" t="str">
        <x:v>2026-09-08</x:v>
      </x:c>
      <x:c r="M3511" t="str"/>
      <x:c r="N3511" t="str"/>
      <x:c r="O3511" t="str">
        <x:v>https://www.activesportstrade.co.uk/quest-trade</x:v>
      </x:c>
      <x:c r="P3511" t="str"/>
      <x:c r="Q3511" t="str"/>
      <x:c r="R3511" t="str"/>
      <x:c r="S3511" t="str">
        <x:v>Pending genuine supplier/brand image</x:v>
      </x:c>
      <x:c r="T3511" s="54"/>
      <x:c r="U3511" s="47" t="n">
        <x:v>0.2</x:v>
      </x:c>
      <x:c r="V3511" s="54" t="str">
        <x:f>IF(ISNUMBER(T3511),T3511*(1+U3511),"")</x:f>
      </x:c>
      <x:c r="W3511" s="47" t="n">
        <x:v>0.3</x:v>
      </x:c>
      <x:c r="X3511" s="54" t="str">
        <x:f>IF(ISNUMBER(V3511),V3511/(1-W3511),"")</x:f>
      </x:c>
      <x:c r="Y3511" s="55" t="str">
        <x:f>IF(ISNUMBER(X3511),ROUNDUP(X3511,0),"")</x:f>
      </x:c>
      <x:c r="Z3511" t="str">
        <x:f>IF(ISNUMBER(T3511),"Cost captured","Awaiting trade cost")</x:f>
        <x:v>Awaiting trade cost</x:v>
      </x:c>
      <x:c r="AB3511" s="36" t="str">
        <x:f>IF(ISNUMBER(Y3511),ROUND(Y3511*0.9,2),"")</x:f>
      </x:c>
      <x:c r="AC3511" s="36" t="str">
        <x:f>IF(ISNUMBER(AB3511),ROUND(AB3511-(AB3511*0.015+0.2)-V3511,2),"")</x:f>
      </x:c>
      <x:c r="AD3511" s="36" t="str">
        <x:f>IF(ISNUMBER(Y3511),ROUND(Y3511*0.8,2),"")</x:f>
      </x:c>
      <x:c r="AE3511" s="36" t="str">
        <x:f>IF(ISNUMBER(AD3511),ROUND(AD3511*0.015+0.2,2),"")</x:f>
      </x:c>
      <x:c r="AF3511" s="36" t="str">
        <x:f>IF(ISNUMBER(AD3511),ROUND(AD3511-AE3511-V3511,2),"")</x:f>
      </x:c>
      <x:c r="AG3511" t="str">
        <x:f>IF(NOT(ISNUMBER(T3511)),"PENDING",IF(AF3511&gt;0,"PASS","FAIL"))</x:f>
        <x:v>PENDING</x:v>
      </x:c>
      <x:c r="AH3511" t="str">
        <x:f>IF(NOT(ISNUMBER(T3511)),"Needs supplier cost",IF(K3511&lt;&gt;"In stock","Supplier unavailable",IF(AG3511&lt;&gt;"PASS","BLOCK - GT loss risk","Commercially protected")))</x:f>
        <x:v>Needs supplier cost</x:v>
      </x:c>
      <x:c r="AI3511" t="str">
        <x:v>2026-09-10 Active Sports trade capture</x:v>
      </x:c>
      <x:c r="AJ3511" t="str">
        <x:v>Management-only economics. Stripe stress test uses 1.5% + £0.20 standard UK online-card fee; pallet/mix-and-match pricing ignored.</x:v>
      </x:c>
    </x:row>
    <x:row r="3512">
      <x:c r="A3512" t="str">
        <x:v>Active Sports Nutrition</x:v>
      </x:c>
      <x:c r="B3512" t="str">
        <x:v>Quest Nutrition</x:v>
      </x:c>
      <x:c r="C3512" t="str">
        <x:v>Tortilla Protein Chips</x:v>
      </x:c>
      <x:c r="D3512" t="str">
        <x:v>Food &amp; Drinks</x:v>
      </x:c>
      <x:c r="E3512" t="str">
        <x:v>Protein Crisps</x:v>
      </x:c>
      <x:c r="F3512" t="str"/>
      <x:c r="G3512" t="str">
        <x:v>8 x 32g bags</x:v>
      </x:c>
      <x:c r="H3512" t="str">
        <x:v>Loaded Taco</x:v>
      </x:c>
      <x:c r="I3512" t="str">
        <x:v>8</x:v>
      </x:c>
      <x:c r="J3512" t="str">
        <x:v>Case</x:v>
      </x:c>
      <x:c r="K3512" t="str">
        <x:v>In stock</x:v>
      </x:c>
      <x:c r="L3512" t="str">
        <x:v>2026-09-08</x:v>
      </x:c>
      <x:c r="M3512" t="str"/>
      <x:c r="N3512" t="str"/>
      <x:c r="O3512" t="str">
        <x:v>https://www.activesportstrade.co.uk/quest-trade</x:v>
      </x:c>
      <x:c r="P3512" t="str"/>
      <x:c r="Q3512" t="str"/>
      <x:c r="R3512" t="str"/>
      <x:c r="S3512" t="str">
        <x:v>Pending genuine supplier/brand image</x:v>
      </x:c>
      <x:c r="T3512" s="54"/>
      <x:c r="U3512" s="47" t="n">
        <x:v>0.2</x:v>
      </x:c>
      <x:c r="V3512" s="54" t="str">
        <x:f>IF(ISNUMBER(T3512),T3512*(1+U3512),"")</x:f>
      </x:c>
      <x:c r="W3512" s="47" t="n">
        <x:v>0.3</x:v>
      </x:c>
      <x:c r="X3512" s="54" t="str">
        <x:f>IF(ISNUMBER(V3512),V3512/(1-W3512),"")</x:f>
      </x:c>
      <x:c r="Y3512" s="55" t="str">
        <x:f>IF(ISNUMBER(X3512),ROUNDUP(X3512,0),"")</x:f>
      </x:c>
      <x:c r="Z3512" t="str">
        <x:f>IF(ISNUMBER(T3512),"Cost captured","Awaiting trade cost")</x:f>
        <x:v>Awaiting trade cost</x:v>
      </x:c>
      <x:c r="AB3512" s="36" t="str">
        <x:f>IF(ISNUMBER(Y3512),ROUND(Y3512*0.9,2),"")</x:f>
      </x:c>
      <x:c r="AC3512" s="36" t="str">
        <x:f>IF(ISNUMBER(AB3512),ROUND(AB3512-(AB3512*0.015+0.2)-V3512,2),"")</x:f>
      </x:c>
      <x:c r="AD3512" s="36" t="str">
        <x:f>IF(ISNUMBER(Y3512),ROUND(Y3512*0.8,2),"")</x:f>
      </x:c>
      <x:c r="AE3512" s="36" t="str">
        <x:f>IF(ISNUMBER(AD3512),ROUND(AD3512*0.015+0.2,2),"")</x:f>
      </x:c>
      <x:c r="AF3512" s="36" t="str">
        <x:f>IF(ISNUMBER(AD3512),ROUND(AD3512-AE3512-V3512,2),"")</x:f>
      </x:c>
      <x:c r="AG3512" t="str">
        <x:f>IF(NOT(ISNUMBER(T3512)),"PENDING",IF(AF3512&gt;0,"PASS","FAIL"))</x:f>
        <x:v>PENDING</x:v>
      </x:c>
      <x:c r="AH3512" t="str">
        <x:f>IF(NOT(ISNUMBER(T3512)),"Needs supplier cost",IF(K3512&lt;&gt;"In stock","Supplier unavailable",IF(AG3512&lt;&gt;"PASS","BLOCK - GT loss risk","Commercially protected")))</x:f>
        <x:v>Needs supplier cost</x:v>
      </x:c>
      <x:c r="AI3512" t="str">
        <x:v>2026-09-10 Active Sports trade capture</x:v>
      </x:c>
      <x:c r="AJ3512" t="str">
        <x:v>Management-only economics. Stripe stress test uses 1.5% + £0.20 standard UK online-card fee; pallet/mix-and-match pricing ignored.</x:v>
      </x:c>
    </x:row>
    <x:row r="3513">
      <x:c r="A3513" t="str">
        <x:v>Active Sports Nutrition</x:v>
      </x:c>
      <x:c r="B3513" t="str">
        <x:v>Quest Nutrition</x:v>
      </x:c>
      <x:c r="C3513" t="str">
        <x:v>Tortilla Protein Chips</x:v>
      </x:c>
      <x:c r="D3513" t="str">
        <x:v>Food &amp; Drinks</x:v>
      </x:c>
      <x:c r="E3513" t="str">
        <x:v>Protein Crisps</x:v>
      </x:c>
      <x:c r="F3513" t="str"/>
      <x:c r="G3513" t="str">
        <x:v>8 x 32g bags</x:v>
      </x:c>
      <x:c r="H3513" t="str">
        <x:v>Nacho Cheese</x:v>
      </x:c>
      <x:c r="I3513" t="str">
        <x:v>8</x:v>
      </x:c>
      <x:c r="J3513" t="str">
        <x:v>Case</x:v>
      </x:c>
      <x:c r="K3513" t="str">
        <x:v>Out of stock</x:v>
      </x:c>
      <x:c r="L3513" t="str">
        <x:v>2026-09-08</x:v>
      </x:c>
      <x:c r="M3513" t="str"/>
      <x:c r="N3513" t="str"/>
      <x:c r="O3513" t="str">
        <x:v>https://www.activesportstrade.co.uk/quest-trade</x:v>
      </x:c>
      <x:c r="P3513" t="str"/>
      <x:c r="Q3513" t="str"/>
      <x:c r="R3513" t="str"/>
      <x:c r="S3513" t="str">
        <x:v>Pending genuine supplier/brand image</x:v>
      </x:c>
      <x:c r="T3513" s="54"/>
      <x:c r="U3513" s="47" t="n">
        <x:v>0.2</x:v>
      </x:c>
      <x:c r="V3513" s="54" t="str">
        <x:f>IF(ISNUMBER(T3513),T3513*(1+U3513),"")</x:f>
      </x:c>
      <x:c r="W3513" s="47" t="n">
        <x:v>0.3</x:v>
      </x:c>
      <x:c r="X3513" s="54" t="str">
        <x:f>IF(ISNUMBER(V3513),V3513/(1-W3513),"")</x:f>
      </x:c>
      <x:c r="Y3513" s="55" t="str">
        <x:f>IF(ISNUMBER(X3513),ROUNDUP(X3513,0),"")</x:f>
      </x:c>
      <x:c r="Z3513" t="str">
        <x:f>IF(ISNUMBER(T3513),"Cost captured","Awaiting trade cost")</x:f>
        <x:v>Awaiting trade cost</x:v>
      </x:c>
      <x:c r="AB3513" s="36" t="str">
        <x:f>IF(ISNUMBER(Y3513),ROUND(Y3513*0.9,2),"")</x:f>
      </x:c>
      <x:c r="AC3513" s="36" t="str">
        <x:f>IF(ISNUMBER(AB3513),ROUND(AB3513-(AB3513*0.015+0.2)-V3513,2),"")</x:f>
      </x:c>
      <x:c r="AD3513" s="36" t="str">
        <x:f>IF(ISNUMBER(Y3513),ROUND(Y3513*0.8,2),"")</x:f>
      </x:c>
      <x:c r="AE3513" s="36" t="str">
        <x:f>IF(ISNUMBER(AD3513),ROUND(AD3513*0.015+0.2,2),"")</x:f>
      </x:c>
      <x:c r="AF3513" s="36" t="str">
        <x:f>IF(ISNUMBER(AD3513),ROUND(AD3513-AE3513-V3513,2),"")</x:f>
      </x:c>
      <x:c r="AG3513" t="str">
        <x:f>IF(NOT(ISNUMBER(T3513)),"PENDING",IF(AF3513&gt;0,"PASS","FAIL"))</x:f>
        <x:v>PENDING</x:v>
      </x:c>
      <x:c r="AH3513" t="str">
        <x:f>IF(NOT(ISNUMBER(T3513)),"Needs supplier cost",IF(K3513&lt;&gt;"In stock","Supplier unavailable",IF(AG3513&lt;&gt;"PASS","BLOCK - GT loss risk","Commercially protected")))</x:f>
        <x:v>Needs supplier cost</x:v>
      </x:c>
      <x:c r="AI3513" t="str">
        <x:v>2026-09-10 Active Sports trade capture</x:v>
      </x:c>
      <x:c r="AJ3513" t="str">
        <x:v>Management-only economics. Stripe stress test uses 1.5% + £0.20 standard UK online-card fee; pallet/mix-and-match pricing ignored.</x:v>
      </x:c>
    </x:row>
    <x:row r="3514">
      <x:c r="A3514" t="str">
        <x:v>Active Sports Nutrition</x:v>
      </x:c>
      <x:c r="B3514" t="str">
        <x:v>Quest Nutrition</x:v>
      </x:c>
      <x:c r="C3514" t="str">
        <x:v>Tortilla Protein Chips</x:v>
      </x:c>
      <x:c r="D3514" t="str">
        <x:v>Food &amp; Drinks</x:v>
      </x:c>
      <x:c r="E3514" t="str">
        <x:v>Protein Crisps</x:v>
      </x:c>
      <x:c r="F3514" t="str"/>
      <x:c r="G3514" t="str">
        <x:v>8 x 32g bags</x:v>
      </x:c>
      <x:c r="H3514" t="str">
        <x:v>Pizza</x:v>
      </x:c>
      <x:c r="I3514" t="str">
        <x:v>8</x:v>
      </x:c>
      <x:c r="J3514" t="str">
        <x:v>Case</x:v>
      </x:c>
      <x:c r="K3514" t="str">
        <x:v>In stock</x:v>
      </x:c>
      <x:c r="L3514" t="str">
        <x:v>2026-09-08</x:v>
      </x:c>
      <x:c r="M3514" t="str"/>
      <x:c r="N3514" t="str"/>
      <x:c r="O3514" t="str">
        <x:v>https://www.activesportstrade.co.uk/quest-trade</x:v>
      </x:c>
      <x:c r="P3514" t="str"/>
      <x:c r="Q3514" t="str"/>
      <x:c r="R3514" t="str"/>
      <x:c r="S3514" t="str">
        <x:v>Pending genuine supplier/brand image</x:v>
      </x:c>
      <x:c r="T3514" s="54"/>
      <x:c r="U3514" s="47" t="n">
        <x:v>0.2</x:v>
      </x:c>
      <x:c r="V3514" s="54" t="str">
        <x:f>IF(ISNUMBER(T3514),T3514*(1+U3514),"")</x:f>
      </x:c>
      <x:c r="W3514" s="47" t="n">
        <x:v>0.3</x:v>
      </x:c>
      <x:c r="X3514" s="54" t="str">
        <x:f>IF(ISNUMBER(V3514),V3514/(1-W3514),"")</x:f>
      </x:c>
      <x:c r="Y3514" s="55" t="str">
        <x:f>IF(ISNUMBER(X3514),ROUNDUP(X3514,0),"")</x:f>
      </x:c>
      <x:c r="Z3514" t="str">
        <x:f>IF(ISNUMBER(T3514),"Cost captured","Awaiting trade cost")</x:f>
        <x:v>Awaiting trade cost</x:v>
      </x:c>
      <x:c r="AB3514" s="36" t="str">
        <x:f>IF(ISNUMBER(Y3514),ROUND(Y3514*0.9,2),"")</x:f>
      </x:c>
      <x:c r="AC3514" s="36" t="str">
        <x:f>IF(ISNUMBER(AB3514),ROUND(AB3514-(AB3514*0.015+0.2)-V3514,2),"")</x:f>
      </x:c>
      <x:c r="AD3514" s="36" t="str">
        <x:f>IF(ISNUMBER(Y3514),ROUND(Y3514*0.8,2),"")</x:f>
      </x:c>
      <x:c r="AE3514" s="36" t="str">
        <x:f>IF(ISNUMBER(AD3514),ROUND(AD3514*0.015+0.2,2),"")</x:f>
      </x:c>
      <x:c r="AF3514" s="36" t="str">
        <x:f>IF(ISNUMBER(AD3514),ROUND(AD3514-AE3514-V3514,2),"")</x:f>
      </x:c>
      <x:c r="AG3514" t="str">
        <x:f>IF(NOT(ISNUMBER(T3514)),"PENDING",IF(AF3514&gt;0,"PASS","FAIL"))</x:f>
        <x:v>PENDING</x:v>
      </x:c>
      <x:c r="AH3514" t="str">
        <x:f>IF(NOT(ISNUMBER(T3514)),"Needs supplier cost",IF(K3514&lt;&gt;"In stock","Supplier unavailable",IF(AG3514&lt;&gt;"PASS","BLOCK - GT loss risk","Commercially protected")))</x:f>
        <x:v>Needs supplier cost</x:v>
      </x:c>
      <x:c r="AI3514" t="str">
        <x:v>2026-09-10 Active Sports trade capture</x:v>
      </x:c>
      <x:c r="AJ3514" t="str">
        <x:v>Management-only economics. Stripe stress test uses 1.5% + £0.20 standard UK online-card fee; pallet/mix-and-match pricing ignored.</x:v>
      </x:c>
    </x:row>
    <x:row r="3515">
      <x:c r="A3515" t="str">
        <x:v>Active Sports Nutrition</x:v>
      </x:c>
      <x:c r="B3515" t="str">
        <x:v>Quest Nutrition</x:v>
      </x:c>
      <x:c r="C3515" t="str">
        <x:v>Tortilla Protein Chips</x:v>
      </x:c>
      <x:c r="D3515" t="str">
        <x:v>Food &amp; Drinks</x:v>
      </x:c>
      <x:c r="E3515" t="str">
        <x:v>Protein Crisps</x:v>
      </x:c>
      <x:c r="F3515" t="str"/>
      <x:c r="G3515" t="str">
        <x:v>8 x 32g bags</x:v>
      </x:c>
      <x:c r="H3515" t="str">
        <x:v>Ranch</x:v>
      </x:c>
      <x:c r="I3515" t="str">
        <x:v>8</x:v>
      </x:c>
      <x:c r="J3515" t="str">
        <x:v>Case</x:v>
      </x:c>
      <x:c r="K3515" t="str">
        <x:v>In stock</x:v>
      </x:c>
      <x:c r="L3515" t="str">
        <x:v>2026-09-08</x:v>
      </x:c>
      <x:c r="M3515" t="str"/>
      <x:c r="N3515" t="str"/>
      <x:c r="O3515" t="str">
        <x:v>https://www.activesportstrade.co.uk/quest-trade</x:v>
      </x:c>
      <x:c r="P3515" t="str"/>
      <x:c r="Q3515" t="str"/>
      <x:c r="R3515" t="str"/>
      <x:c r="S3515" t="str">
        <x:v>Pending genuine supplier/brand image</x:v>
      </x:c>
      <x:c r="T3515" s="54"/>
      <x:c r="U3515" s="47" t="n">
        <x:v>0.2</x:v>
      </x:c>
      <x:c r="V3515" s="54" t="str">
        <x:f>IF(ISNUMBER(T3515),T3515*(1+U3515),"")</x:f>
      </x:c>
      <x:c r="W3515" s="47" t="n">
        <x:v>0.3</x:v>
      </x:c>
      <x:c r="X3515" s="54" t="str">
        <x:f>IF(ISNUMBER(V3515),V3515/(1-W3515),"")</x:f>
      </x:c>
      <x:c r="Y3515" s="55" t="str">
        <x:f>IF(ISNUMBER(X3515),ROUNDUP(X3515,0),"")</x:f>
      </x:c>
      <x:c r="Z3515" t="str">
        <x:f>IF(ISNUMBER(T3515),"Cost captured","Awaiting trade cost")</x:f>
        <x:v>Awaiting trade cost</x:v>
      </x:c>
      <x:c r="AB3515" s="36" t="str">
        <x:f>IF(ISNUMBER(Y3515),ROUND(Y3515*0.9,2),"")</x:f>
      </x:c>
      <x:c r="AC3515" s="36" t="str">
        <x:f>IF(ISNUMBER(AB3515),ROUND(AB3515-(AB3515*0.015+0.2)-V3515,2),"")</x:f>
      </x:c>
      <x:c r="AD3515" s="36" t="str">
        <x:f>IF(ISNUMBER(Y3515),ROUND(Y3515*0.8,2),"")</x:f>
      </x:c>
      <x:c r="AE3515" s="36" t="str">
        <x:f>IF(ISNUMBER(AD3515),ROUND(AD3515*0.015+0.2,2),"")</x:f>
      </x:c>
      <x:c r="AF3515" s="36" t="str">
        <x:f>IF(ISNUMBER(AD3515),ROUND(AD3515-AE3515-V3515,2),"")</x:f>
      </x:c>
      <x:c r="AG3515" t="str">
        <x:f>IF(NOT(ISNUMBER(T3515)),"PENDING",IF(AF3515&gt;0,"PASS","FAIL"))</x:f>
        <x:v>PENDING</x:v>
      </x:c>
      <x:c r="AH3515" t="str">
        <x:f>IF(NOT(ISNUMBER(T3515)),"Needs supplier cost",IF(K3515&lt;&gt;"In stock","Supplier unavailable",IF(AG3515&lt;&gt;"PASS","BLOCK - GT loss risk","Commercially protected")))</x:f>
        <x:v>Needs supplier cost</x:v>
      </x:c>
      <x:c r="AI3515" t="str">
        <x:v>2026-09-10 Active Sports trade capture</x:v>
      </x:c>
      <x:c r="AJ3515" t="str">
        <x:v>Management-only economics. Stripe stress test uses 1.5% + £0.20 standard UK online-card fee; pallet/mix-and-match pricing ignored.</x:v>
      </x:c>
    </x:row>
    <x:row r="3516">
      <x:c r="A3516" t="str">
        <x:v>Active Sports Nutrition</x:v>
      </x:c>
      <x:c r="B3516" t="str">
        <x:v>Quest Nutrition</x:v>
      </x:c>
      <x:c r="C3516" t="str">
        <x:v>Tortilla Protein Chips</x:v>
      </x:c>
      <x:c r="D3516" t="str">
        <x:v>Food &amp; Drinks</x:v>
      </x:c>
      <x:c r="E3516" t="str">
        <x:v>Protein Crisps</x:v>
      </x:c>
      <x:c r="F3516" t="str"/>
      <x:c r="G3516" t="str">
        <x:v>8 x 32g bags</x:v>
      </x:c>
      <x:c r="H3516" t="str">
        <x:v>Salsa Verde</x:v>
      </x:c>
      <x:c r="I3516" t="str">
        <x:v>8</x:v>
      </x:c>
      <x:c r="J3516" t="str">
        <x:v>Case</x:v>
      </x:c>
      <x:c r="K3516" t="str">
        <x:v>In stock</x:v>
      </x:c>
      <x:c r="L3516" t="str">
        <x:v>2026-09-08</x:v>
      </x:c>
      <x:c r="M3516" t="str"/>
      <x:c r="N3516" t="str"/>
      <x:c r="O3516" t="str">
        <x:v>https://www.activesportstrade.co.uk/quest-trade</x:v>
      </x:c>
      <x:c r="P3516" t="str"/>
      <x:c r="Q3516" t="str"/>
      <x:c r="R3516" t="str"/>
      <x:c r="S3516" t="str">
        <x:v>Pending genuine supplier/brand image</x:v>
      </x:c>
      <x:c r="T3516" s="54"/>
      <x:c r="U3516" s="47" t="n">
        <x:v>0.2</x:v>
      </x:c>
      <x:c r="V3516" s="54" t="str">
        <x:f>IF(ISNUMBER(T3516),T3516*(1+U3516),"")</x:f>
      </x:c>
      <x:c r="W3516" s="47" t="n">
        <x:v>0.3</x:v>
      </x:c>
      <x:c r="X3516" s="54" t="str">
        <x:f>IF(ISNUMBER(V3516),V3516/(1-W3516),"")</x:f>
      </x:c>
      <x:c r="Y3516" s="55" t="str">
        <x:f>IF(ISNUMBER(X3516),ROUNDUP(X3516,0),"")</x:f>
      </x:c>
      <x:c r="Z3516" t="str">
        <x:f>IF(ISNUMBER(T3516),"Cost captured","Awaiting trade cost")</x:f>
        <x:v>Awaiting trade cost</x:v>
      </x:c>
      <x:c r="AB3516" s="36" t="str">
        <x:f>IF(ISNUMBER(Y3516),ROUND(Y3516*0.9,2),"")</x:f>
      </x:c>
      <x:c r="AC3516" s="36" t="str">
        <x:f>IF(ISNUMBER(AB3516),ROUND(AB3516-(AB3516*0.015+0.2)-V3516,2),"")</x:f>
      </x:c>
      <x:c r="AD3516" s="36" t="str">
        <x:f>IF(ISNUMBER(Y3516),ROUND(Y3516*0.8,2),"")</x:f>
      </x:c>
      <x:c r="AE3516" s="36" t="str">
        <x:f>IF(ISNUMBER(AD3516),ROUND(AD3516*0.015+0.2,2),"")</x:f>
      </x:c>
      <x:c r="AF3516" s="36" t="str">
        <x:f>IF(ISNUMBER(AD3516),ROUND(AD3516-AE3516-V3516,2),"")</x:f>
      </x:c>
      <x:c r="AG3516" t="str">
        <x:f>IF(NOT(ISNUMBER(T3516)),"PENDING",IF(AF3516&gt;0,"PASS","FAIL"))</x:f>
        <x:v>PENDING</x:v>
      </x:c>
      <x:c r="AH3516" t="str">
        <x:f>IF(NOT(ISNUMBER(T3516)),"Needs supplier cost",IF(K3516&lt;&gt;"In stock","Supplier unavailable",IF(AG3516&lt;&gt;"PASS","BLOCK - GT loss risk","Commercially protected")))</x:f>
        <x:v>Needs supplier cost</x:v>
      </x:c>
      <x:c r="AI3516" t="str">
        <x:v>2026-09-10 Active Sports trade capture</x:v>
      </x:c>
      <x:c r="AJ3516" t="str">
        <x:v>Management-only economics. Stripe stress test uses 1.5% + £0.20 standard UK online-card fee; pallet/mix-and-match pricing ignored.</x:v>
      </x:c>
    </x:row>
    <x:row r="3517">
      <x:c r="A3517" t="str">
        <x:v>Active Sports Nutrition</x:v>
      </x:c>
      <x:c r="B3517" t="str">
        <x:v>Quest Nutrition</x:v>
      </x:c>
      <x:c r="C3517" t="str">
        <x:v>Tortilla Protein Chips</x:v>
      </x:c>
      <x:c r="D3517" t="str">
        <x:v>Food &amp; Drinks</x:v>
      </x:c>
      <x:c r="E3517" t="str">
        <x:v>Protein Crisps</x:v>
      </x:c>
      <x:c r="F3517" t="str"/>
      <x:c r="G3517" t="str">
        <x:v>8 x 32g bags</x:v>
      </x:c>
      <x:c r="H3517" t="str">
        <x:v>Spicy Sweet Chilli</x:v>
      </x:c>
      <x:c r="I3517" t="str">
        <x:v>8</x:v>
      </x:c>
      <x:c r="J3517" t="str">
        <x:v>Case</x:v>
      </x:c>
      <x:c r="K3517" t="str">
        <x:v>Out of stock</x:v>
      </x:c>
      <x:c r="L3517" t="str">
        <x:v>2026-09-08</x:v>
      </x:c>
      <x:c r="M3517" t="str"/>
      <x:c r="N3517" t="str"/>
      <x:c r="O3517" t="str">
        <x:v>https://www.activesportstrade.co.uk/quest-trade</x:v>
      </x:c>
      <x:c r="P3517" t="str"/>
      <x:c r="Q3517" t="str"/>
      <x:c r="R3517" t="str"/>
      <x:c r="S3517" t="str">
        <x:v>Pending genuine supplier/brand image</x:v>
      </x:c>
      <x:c r="T3517" s="54"/>
      <x:c r="U3517" s="47" t="n">
        <x:v>0.2</x:v>
      </x:c>
      <x:c r="V3517" s="54" t="str">
        <x:f>IF(ISNUMBER(T3517),T3517*(1+U3517),"")</x:f>
      </x:c>
      <x:c r="W3517" s="47" t="n">
        <x:v>0.3</x:v>
      </x:c>
      <x:c r="X3517" s="54" t="str">
        <x:f>IF(ISNUMBER(V3517),V3517/(1-W3517),"")</x:f>
      </x:c>
      <x:c r="Y3517" s="55" t="str">
        <x:f>IF(ISNUMBER(X3517),ROUNDUP(X3517,0),"")</x:f>
      </x:c>
      <x:c r="Z3517" t="str">
        <x:f>IF(ISNUMBER(T3517),"Cost captured","Awaiting trade cost")</x:f>
        <x:v>Awaiting trade cost</x:v>
      </x:c>
      <x:c r="AB3517" s="36" t="str">
        <x:f>IF(ISNUMBER(Y3517),ROUND(Y3517*0.9,2),"")</x:f>
      </x:c>
      <x:c r="AC3517" s="36" t="str">
        <x:f>IF(ISNUMBER(AB3517),ROUND(AB3517-(AB3517*0.015+0.2)-V3517,2),"")</x:f>
      </x:c>
      <x:c r="AD3517" s="36" t="str">
        <x:f>IF(ISNUMBER(Y3517),ROUND(Y3517*0.8,2),"")</x:f>
      </x:c>
      <x:c r="AE3517" s="36" t="str">
        <x:f>IF(ISNUMBER(AD3517),ROUND(AD3517*0.015+0.2,2),"")</x:f>
      </x:c>
      <x:c r="AF3517" s="36" t="str">
        <x:f>IF(ISNUMBER(AD3517),ROUND(AD3517-AE3517-V3517,2),"")</x:f>
      </x:c>
      <x:c r="AG3517" t="str">
        <x:f>IF(NOT(ISNUMBER(T3517)),"PENDING",IF(AF3517&gt;0,"PASS","FAIL"))</x:f>
        <x:v>PENDING</x:v>
      </x:c>
      <x:c r="AH3517" t="str">
        <x:f>IF(NOT(ISNUMBER(T3517)),"Needs supplier cost",IF(K3517&lt;&gt;"In stock","Supplier unavailable",IF(AG3517&lt;&gt;"PASS","BLOCK - GT loss risk","Commercially protected")))</x:f>
        <x:v>Needs supplier cost</x:v>
      </x:c>
      <x:c r="AI3517" t="str">
        <x:v>2026-09-10 Active Sports trade capture</x:v>
      </x:c>
      <x:c r="AJ3517" t="str">
        <x:v>Management-only economics. Stripe stress test uses 1.5% + £0.20 standard UK online-card fee; pallet/mix-and-match pricing ignored.</x:v>
      </x:c>
    </x:row>
    <x:row r="3518">
      <x:c r="A3518" t="str">
        <x:v>Active Sports Nutrition</x:v>
      </x:c>
      <x:c r="B3518" t="str">
        <x:v>Lucozade</x:v>
      </x:c>
      <x:c r="C3518" t="str">
        <x:v>Sport</x:v>
      </x:c>
      <x:c r="D3518" t="str">
        <x:v>Food &amp; Drinks</x:v>
      </x:c>
      <x:c r="E3518" t="str">
        <x:v>Sports Drinks</x:v>
      </x:c>
      <x:c r="F3518" t="str"/>
      <x:c r="G3518" t="str">
        <x:v>12 x 500ml bottles</x:v>
      </x:c>
      <x:c r="H3518" t="str">
        <x:v>Blue Force</x:v>
      </x:c>
      <x:c r="I3518" t="str">
        <x:v>12</x:v>
      </x:c>
      <x:c r="J3518" t="str">
        <x:v>Case</x:v>
      </x:c>
      <x:c r="K3518" t="str">
        <x:v>Out of stock</x:v>
      </x:c>
      <x:c r="L3518" t="str">
        <x:v>2026-09-08</x:v>
      </x:c>
      <x:c r="M3518" t="str"/>
      <x:c r="N3518" t="str"/>
      <x:c r="O3518" t="str">
        <x:v>https://www.activesportstrade.co.uk/trade-convienience</x:v>
      </x:c>
      <x:c r="P3518" t="str">
        <x:v>Current supplier page product title 'Lucozade Sports'; normalised parent to Lucozade Sport. Case-only.</x:v>
      </x:c>
      <x:c r="Q3518" t="str"/>
      <x:c r="R3518" t="str"/>
      <x:c r="S3518" t="str">
        <x:v>Pending genuine supplier/brand image</x:v>
      </x:c>
      <x:c r="T3518" s="54"/>
      <x:c r="U3518" s="47" t="n">
        <x:v>0.2</x:v>
      </x:c>
      <x:c r="V3518" s="54" t="str">
        <x:f>IF(ISNUMBER(T3518),T3518*(1+U3518),"")</x:f>
      </x:c>
      <x:c r="W3518" s="47" t="n">
        <x:v>0.3</x:v>
      </x:c>
      <x:c r="X3518" s="54" t="str">
        <x:f>IF(ISNUMBER(V3518),V3518/(1-W3518),"")</x:f>
      </x:c>
      <x:c r="Y3518" s="55" t="str">
        <x:f>IF(ISNUMBER(X3518),ROUNDUP(X3518,0),"")</x:f>
      </x:c>
      <x:c r="Z3518" t="str">
        <x:f>IF(ISNUMBER(T3518),"Cost captured","Awaiting trade cost")</x:f>
        <x:v>Awaiting trade cost</x:v>
      </x:c>
      <x:c r="AB3518" s="36" t="str">
        <x:f>IF(ISNUMBER(Y3518),ROUND(Y3518*0.9,2),"")</x:f>
      </x:c>
      <x:c r="AC3518" s="36" t="str">
        <x:f>IF(ISNUMBER(AB3518),ROUND(AB3518-(AB3518*0.015+0.2)-V3518,2),"")</x:f>
      </x:c>
      <x:c r="AD3518" s="36" t="str">
        <x:f>IF(ISNUMBER(Y3518),ROUND(Y3518*0.8,2),"")</x:f>
      </x:c>
      <x:c r="AE3518" s="36" t="str">
        <x:f>IF(ISNUMBER(AD3518),ROUND(AD3518*0.015+0.2,2),"")</x:f>
      </x:c>
      <x:c r="AF3518" s="36" t="str">
        <x:f>IF(ISNUMBER(AD3518),ROUND(AD3518-AE3518-V3518,2),"")</x:f>
      </x:c>
      <x:c r="AG3518" t="str">
        <x:f>IF(NOT(ISNUMBER(T3518)),"PENDING",IF(AF3518&gt;0,"PASS","FAIL"))</x:f>
        <x:v>PENDING</x:v>
      </x:c>
      <x:c r="AH3518" t="str">
        <x:f>IF(NOT(ISNUMBER(T3518)),"Needs supplier cost",IF(K3518&lt;&gt;"In stock","Supplier unavailable",IF(AG3518&lt;&gt;"PASS","BLOCK - GT loss risk","Commercially protected")))</x:f>
        <x:v>Needs supplier cost</x:v>
      </x:c>
      <x:c r="AI3518" t="str">
        <x:v>2026-09-10 Active Sports trade capture</x:v>
      </x:c>
      <x:c r="AJ3518" t="str">
        <x:v>Management-only economics. Stripe stress test uses 1.5% + £0.20 standard UK online-card fee; pallet/mix-and-match pricing ignored.</x:v>
      </x:c>
    </x:row>
    <x:row r="3519">
      <x:c r="A3519" t="str">
        <x:v>Active Sports Nutrition</x:v>
      </x:c>
      <x:c r="B3519" t="str">
        <x:v>Lucozade</x:v>
      </x:c>
      <x:c r="C3519" t="str">
        <x:v>Sport</x:v>
      </x:c>
      <x:c r="D3519" t="str">
        <x:v>Food &amp; Drinks</x:v>
      </x:c>
      <x:c r="E3519" t="str">
        <x:v>Sports Drinks</x:v>
      </x:c>
      <x:c r="F3519" t="str"/>
      <x:c r="G3519" t="str">
        <x:v>12 x 500ml bottles</x:v>
      </x:c>
      <x:c r="H3519" t="str">
        <x:v>Fruit Punch</x:v>
      </x:c>
      <x:c r="I3519" t="str">
        <x:v>12</x:v>
      </x:c>
      <x:c r="J3519" t="str">
        <x:v>Case</x:v>
      </x:c>
      <x:c r="K3519" t="str">
        <x:v>Out of stock</x:v>
      </x:c>
      <x:c r="L3519" t="str">
        <x:v>2026-09-08</x:v>
      </x:c>
      <x:c r="M3519" t="str"/>
      <x:c r="N3519" t="str"/>
      <x:c r="O3519" t="str">
        <x:v>https://www.activesportstrade.co.uk/trade-convienience</x:v>
      </x:c>
      <x:c r="P3519" t="str">
        <x:v>Current supplier page product title 'Lucozade Sports'; normalised parent to Lucozade Sport. Case-only.</x:v>
      </x:c>
      <x:c r="Q3519" t="str"/>
      <x:c r="R3519" t="str"/>
      <x:c r="S3519" t="str">
        <x:v>Pending genuine supplier/brand image</x:v>
      </x:c>
      <x:c r="T3519" s="54"/>
      <x:c r="U3519" s="47" t="n">
        <x:v>0.2</x:v>
      </x:c>
      <x:c r="V3519" s="54" t="str">
        <x:f>IF(ISNUMBER(T3519),T3519*(1+U3519),"")</x:f>
      </x:c>
      <x:c r="W3519" s="47" t="n">
        <x:v>0.3</x:v>
      </x:c>
      <x:c r="X3519" s="54" t="str">
        <x:f>IF(ISNUMBER(V3519),V3519/(1-W3519),"")</x:f>
      </x:c>
      <x:c r="Y3519" s="55" t="str">
        <x:f>IF(ISNUMBER(X3519),ROUNDUP(X3519,0),"")</x:f>
      </x:c>
      <x:c r="Z3519" t="str">
        <x:f>IF(ISNUMBER(T3519),"Cost captured","Awaiting trade cost")</x:f>
        <x:v>Awaiting trade cost</x:v>
      </x:c>
      <x:c r="AB3519" s="36" t="str">
        <x:f>IF(ISNUMBER(Y3519),ROUND(Y3519*0.9,2),"")</x:f>
      </x:c>
      <x:c r="AC3519" s="36" t="str">
        <x:f>IF(ISNUMBER(AB3519),ROUND(AB3519-(AB3519*0.015+0.2)-V3519,2),"")</x:f>
      </x:c>
      <x:c r="AD3519" s="36" t="str">
        <x:f>IF(ISNUMBER(Y3519),ROUND(Y3519*0.8,2),"")</x:f>
      </x:c>
      <x:c r="AE3519" s="36" t="str">
        <x:f>IF(ISNUMBER(AD3519),ROUND(AD3519*0.015+0.2,2),"")</x:f>
      </x:c>
      <x:c r="AF3519" s="36" t="str">
        <x:f>IF(ISNUMBER(AD3519),ROUND(AD3519-AE3519-V3519,2),"")</x:f>
      </x:c>
      <x:c r="AG3519" t="str">
        <x:f>IF(NOT(ISNUMBER(T3519)),"PENDING",IF(AF3519&gt;0,"PASS","FAIL"))</x:f>
        <x:v>PENDING</x:v>
      </x:c>
      <x:c r="AH3519" t="str">
        <x:f>IF(NOT(ISNUMBER(T3519)),"Needs supplier cost",IF(K3519&lt;&gt;"In stock","Supplier unavailable",IF(AG3519&lt;&gt;"PASS","BLOCK - GT loss risk","Commercially protected")))</x:f>
        <x:v>Needs supplier cost</x:v>
      </x:c>
      <x:c r="AI3519" t="str">
        <x:v>2026-09-10 Active Sports trade capture</x:v>
      </x:c>
      <x:c r="AJ3519" t="str">
        <x:v>Management-only economics. Stripe stress test uses 1.5% + £0.20 standard UK online-card fee; pallet/mix-and-match pricing ignored.</x:v>
      </x:c>
    </x:row>
    <x:row r="3520">
      <x:c r="A3520" t="str">
        <x:v>Active Sports Nutrition</x:v>
      </x:c>
      <x:c r="B3520" t="str">
        <x:v>Lucozade</x:v>
      </x:c>
      <x:c r="C3520" t="str">
        <x:v>Sport</x:v>
      </x:c>
      <x:c r="D3520" t="str">
        <x:v>Food &amp; Drinks</x:v>
      </x:c>
      <x:c r="E3520" t="str">
        <x:v>Sports Drinks</x:v>
      </x:c>
      <x:c r="F3520" t="str"/>
      <x:c r="G3520" t="str">
        <x:v>12 x 500ml bottles</x:v>
      </x:c>
      <x:c r="H3520" t="str">
        <x:v>Ice Kick - Jude Bellingham Edition</x:v>
      </x:c>
      <x:c r="I3520" t="str">
        <x:v>12</x:v>
      </x:c>
      <x:c r="J3520" t="str">
        <x:v>Case</x:v>
      </x:c>
      <x:c r="K3520" t="str">
        <x:v>Out of stock</x:v>
      </x:c>
      <x:c r="L3520" t="str">
        <x:v>2026-09-08</x:v>
      </x:c>
      <x:c r="M3520" t="str"/>
      <x:c r="N3520" t="str"/>
      <x:c r="O3520" t="str">
        <x:v>https://www.activesportstrade.co.uk/trade-convienience</x:v>
      </x:c>
      <x:c r="P3520" t="str">
        <x:v>Current supplier page product title 'Lucozade Sports'; normalised parent to Lucozade Sport. Case-only.</x:v>
      </x:c>
      <x:c r="Q3520" t="str"/>
      <x:c r="R3520" t="str"/>
      <x:c r="S3520" t="str">
        <x:v>Pending genuine supplier/brand image</x:v>
      </x:c>
      <x:c r="T3520" s="54"/>
      <x:c r="U3520" s="47" t="n">
        <x:v>0.2</x:v>
      </x:c>
      <x:c r="V3520" s="54" t="str">
        <x:f>IF(ISNUMBER(T3520),T3520*(1+U3520),"")</x:f>
      </x:c>
      <x:c r="W3520" s="47" t="n">
        <x:v>0.3</x:v>
      </x:c>
      <x:c r="X3520" s="54" t="str">
        <x:f>IF(ISNUMBER(V3520),V3520/(1-W3520),"")</x:f>
      </x:c>
      <x:c r="Y3520" s="55" t="str">
        <x:f>IF(ISNUMBER(X3520),ROUNDUP(X3520,0),"")</x:f>
      </x:c>
      <x:c r="Z3520" t="str">
        <x:f>IF(ISNUMBER(T3520),"Cost captured","Awaiting trade cost")</x:f>
        <x:v>Awaiting trade cost</x:v>
      </x:c>
      <x:c r="AB3520" s="36" t="str">
        <x:f>IF(ISNUMBER(Y3520),ROUND(Y3520*0.9,2),"")</x:f>
      </x:c>
      <x:c r="AC3520" s="36" t="str">
        <x:f>IF(ISNUMBER(AB3520),ROUND(AB3520-(AB3520*0.015+0.2)-V3520,2),"")</x:f>
      </x:c>
      <x:c r="AD3520" s="36" t="str">
        <x:f>IF(ISNUMBER(Y3520),ROUND(Y3520*0.8,2),"")</x:f>
      </x:c>
      <x:c r="AE3520" s="36" t="str">
        <x:f>IF(ISNUMBER(AD3520),ROUND(AD3520*0.015+0.2,2),"")</x:f>
      </x:c>
      <x:c r="AF3520" s="36" t="str">
        <x:f>IF(ISNUMBER(AD3520),ROUND(AD3520-AE3520-V3520,2),"")</x:f>
      </x:c>
      <x:c r="AG3520" t="str">
        <x:f>IF(NOT(ISNUMBER(T3520)),"PENDING",IF(AF3520&gt;0,"PASS","FAIL"))</x:f>
        <x:v>PENDING</x:v>
      </x:c>
      <x:c r="AH3520" t="str">
        <x:f>IF(NOT(ISNUMBER(T3520)),"Needs supplier cost",IF(K3520&lt;&gt;"In stock","Supplier unavailable",IF(AG3520&lt;&gt;"PASS","BLOCK - GT loss risk","Commercially protected")))</x:f>
        <x:v>Needs supplier cost</x:v>
      </x:c>
      <x:c r="AI3520" t="str">
        <x:v>2026-09-10 Active Sports trade capture</x:v>
      </x:c>
      <x:c r="AJ3520" t="str">
        <x:v>Management-only economics. Stripe stress test uses 1.5% + £0.20 standard UK online-card fee; pallet/mix-and-match pricing ignored.</x:v>
      </x:c>
    </x:row>
    <x:row r="3521">
      <x:c r="A3521" t="str">
        <x:v>Active Sports Nutrition</x:v>
      </x:c>
      <x:c r="B3521" t="str">
        <x:v>Lucozade</x:v>
      </x:c>
      <x:c r="C3521" t="str">
        <x:v>Sport</x:v>
      </x:c>
      <x:c r="D3521" t="str">
        <x:v>Food &amp; Drinks</x:v>
      </x:c>
      <x:c r="E3521" t="str">
        <x:v>Sports Drinks</x:v>
      </x:c>
      <x:c r="F3521" t="str"/>
      <x:c r="G3521" t="str">
        <x:v>12 x 500ml bottles</x:v>
      </x:c>
      <x:c r="H3521" t="str">
        <x:v>Orange</x:v>
      </x:c>
      <x:c r="I3521" t="str">
        <x:v>12</x:v>
      </x:c>
      <x:c r="J3521" t="str">
        <x:v>Case</x:v>
      </x:c>
      <x:c r="K3521" t="str">
        <x:v>Out of stock</x:v>
      </x:c>
      <x:c r="L3521" t="str">
        <x:v>2026-09-08</x:v>
      </x:c>
      <x:c r="M3521" t="str"/>
      <x:c r="N3521" t="str"/>
      <x:c r="O3521" t="str">
        <x:v>https://www.activesportstrade.co.uk/trade-convienience</x:v>
      </x:c>
      <x:c r="P3521" t="str">
        <x:v>Current supplier page product title 'Lucozade Sports'; normalised parent to Lucozade Sport. Case-only.</x:v>
      </x:c>
      <x:c r="Q3521" t="str"/>
      <x:c r="R3521" t="str"/>
      <x:c r="S3521" t="str">
        <x:v>Pending genuine supplier/brand image</x:v>
      </x:c>
      <x:c r="T3521" s="54"/>
      <x:c r="U3521" s="47" t="n">
        <x:v>0.2</x:v>
      </x:c>
      <x:c r="V3521" s="54" t="str">
        <x:f>IF(ISNUMBER(T3521),T3521*(1+U3521),"")</x:f>
      </x:c>
      <x:c r="W3521" s="47" t="n">
        <x:v>0.3</x:v>
      </x:c>
      <x:c r="X3521" s="54" t="str">
        <x:f>IF(ISNUMBER(V3521),V3521/(1-W3521),"")</x:f>
      </x:c>
      <x:c r="Y3521" s="55" t="str">
        <x:f>IF(ISNUMBER(X3521),ROUNDUP(X3521,0),"")</x:f>
      </x:c>
      <x:c r="Z3521" t="str">
        <x:f>IF(ISNUMBER(T3521),"Cost captured","Awaiting trade cost")</x:f>
        <x:v>Awaiting trade cost</x:v>
      </x:c>
      <x:c r="AB3521" s="36" t="str">
        <x:f>IF(ISNUMBER(Y3521),ROUND(Y3521*0.9,2),"")</x:f>
      </x:c>
      <x:c r="AC3521" s="36" t="str">
        <x:f>IF(ISNUMBER(AB3521),ROUND(AB3521-(AB3521*0.015+0.2)-V3521,2),"")</x:f>
      </x:c>
      <x:c r="AD3521" s="36" t="str">
        <x:f>IF(ISNUMBER(Y3521),ROUND(Y3521*0.8,2),"")</x:f>
      </x:c>
      <x:c r="AE3521" s="36" t="str">
        <x:f>IF(ISNUMBER(AD3521),ROUND(AD3521*0.015+0.2,2),"")</x:f>
      </x:c>
      <x:c r="AF3521" s="36" t="str">
        <x:f>IF(ISNUMBER(AD3521),ROUND(AD3521-AE3521-V3521,2),"")</x:f>
      </x:c>
      <x:c r="AG3521" t="str">
        <x:f>IF(NOT(ISNUMBER(T3521)),"PENDING",IF(AF3521&gt;0,"PASS","FAIL"))</x:f>
        <x:v>PENDING</x:v>
      </x:c>
      <x:c r="AH3521" t="str">
        <x:f>IF(NOT(ISNUMBER(T3521)),"Needs supplier cost",IF(K3521&lt;&gt;"In stock","Supplier unavailable",IF(AG3521&lt;&gt;"PASS","BLOCK - GT loss risk","Commercially protected")))</x:f>
        <x:v>Needs supplier cost</x:v>
      </x:c>
      <x:c r="AI3521" t="str">
        <x:v>2026-09-10 Active Sports trade capture</x:v>
      </x:c>
      <x:c r="AJ3521" t="str">
        <x:v>Management-only economics. Stripe stress test uses 1.5% + £0.20 standard UK online-card fee; pallet/mix-and-match pricing ignored.</x:v>
      </x:c>
    </x:row>
    <x:row r="3522">
      <x:c r="A3522" t="str">
        <x:v>Active Sports Nutrition</x:v>
      </x:c>
      <x:c r="B3522" t="str">
        <x:v>Lucozade</x:v>
      </x:c>
      <x:c r="C3522" t="str">
        <x:v>Sport</x:v>
      </x:c>
      <x:c r="D3522" t="str">
        <x:v>Food &amp; Drinks</x:v>
      </x:c>
      <x:c r="E3522" t="str">
        <x:v>Sports Drinks</x:v>
      </x:c>
      <x:c r="F3522" t="str"/>
      <x:c r="G3522" t="str">
        <x:v>12 x 500ml bottles</x:v>
      </x:c>
      <x:c r="H3522" t="str">
        <x:v>Raspberry</x:v>
      </x:c>
      <x:c r="I3522" t="str">
        <x:v>12</x:v>
      </x:c>
      <x:c r="J3522" t="str">
        <x:v>Case</x:v>
      </x:c>
      <x:c r="K3522" t="str">
        <x:v>Out of stock</x:v>
      </x:c>
      <x:c r="L3522" t="str">
        <x:v>2026-09-08</x:v>
      </x:c>
      <x:c r="M3522" t="str"/>
      <x:c r="N3522" t="str"/>
      <x:c r="O3522" t="str">
        <x:v>https://www.activesportstrade.co.uk/trade-convienience</x:v>
      </x:c>
      <x:c r="P3522" t="str">
        <x:v>Current supplier page product title 'Lucozade Sports'; normalised parent to Lucozade Sport. Case-only.</x:v>
      </x:c>
      <x:c r="Q3522" t="str"/>
      <x:c r="R3522" t="str"/>
      <x:c r="S3522" t="str">
        <x:v>Pending genuine supplier/brand image</x:v>
      </x:c>
      <x:c r="T3522" s="54"/>
      <x:c r="U3522" s="47" t="n">
        <x:v>0.2</x:v>
      </x:c>
      <x:c r="V3522" s="54" t="str">
        <x:f>IF(ISNUMBER(T3522),T3522*(1+U3522),"")</x:f>
      </x:c>
      <x:c r="W3522" s="47" t="n">
        <x:v>0.3</x:v>
      </x:c>
      <x:c r="X3522" s="54" t="str">
        <x:f>IF(ISNUMBER(V3522),V3522/(1-W3522),"")</x:f>
      </x:c>
      <x:c r="Y3522" s="55" t="str">
        <x:f>IF(ISNUMBER(X3522),ROUNDUP(X3522,0),"")</x:f>
      </x:c>
      <x:c r="Z3522" t="str">
        <x:f>IF(ISNUMBER(T3522),"Cost captured","Awaiting trade cost")</x:f>
        <x:v>Awaiting trade cost</x:v>
      </x:c>
      <x:c r="AB3522" s="36" t="str">
        <x:f>IF(ISNUMBER(Y3522),ROUND(Y3522*0.9,2),"")</x:f>
      </x:c>
      <x:c r="AC3522" s="36" t="str">
        <x:f>IF(ISNUMBER(AB3522),ROUND(AB3522-(AB3522*0.015+0.2)-V3522,2),"")</x:f>
      </x:c>
      <x:c r="AD3522" s="36" t="str">
        <x:f>IF(ISNUMBER(Y3522),ROUND(Y3522*0.8,2),"")</x:f>
      </x:c>
      <x:c r="AE3522" s="36" t="str">
        <x:f>IF(ISNUMBER(AD3522),ROUND(AD3522*0.015+0.2,2),"")</x:f>
      </x:c>
      <x:c r="AF3522" s="36" t="str">
        <x:f>IF(ISNUMBER(AD3522),ROUND(AD3522-AE3522-V3522,2),"")</x:f>
      </x:c>
      <x:c r="AG3522" t="str">
        <x:f>IF(NOT(ISNUMBER(T3522)),"PENDING",IF(AF3522&gt;0,"PASS","FAIL"))</x:f>
        <x:v>PENDING</x:v>
      </x:c>
      <x:c r="AH3522" t="str">
        <x:f>IF(NOT(ISNUMBER(T3522)),"Needs supplier cost",IF(K3522&lt;&gt;"In stock","Supplier unavailable",IF(AG3522&lt;&gt;"PASS","BLOCK - GT loss risk","Commercially protected")))</x:f>
        <x:v>Needs supplier cost</x:v>
      </x:c>
      <x:c r="AI3522" t="str">
        <x:v>2026-09-10 Active Sports trade capture</x:v>
      </x:c>
      <x:c r="AJ3522" t="str">
        <x:v>Management-only economics. Stripe stress test uses 1.5% + £0.20 standard UK online-card fee; pallet/mix-and-match pricing ignored.</x:v>
      </x:c>
    </x:row>
    <x:row r="3523">
      <x:c r="A3523" t="str">
        <x:v>Active Sports Nutrition</x:v>
      </x:c>
      <x:c r="B3523" t="str">
        <x:v>Lucozade</x:v>
      </x:c>
      <x:c r="C3523" t="str">
        <x:v>Sport Zero Sugar</x:v>
      </x:c>
      <x:c r="D3523" t="str">
        <x:v>Food &amp; Drinks</x:v>
      </x:c>
      <x:c r="E3523" t="str">
        <x:v>Sports Drinks</x:v>
      </x:c>
      <x:c r="F3523" t="str"/>
      <x:c r="G3523" t="str">
        <x:v>12 x 500ml bottles</x:v>
      </x:c>
      <x:c r="H3523" t="str">
        <x:v>Orange &amp; Peach</x:v>
      </x:c>
      <x:c r="I3523" t="str">
        <x:v>12</x:v>
      </x:c>
      <x:c r="J3523" t="str">
        <x:v>Case</x:v>
      </x:c>
      <x:c r="K3523" t="str">
        <x:v>Out of stock</x:v>
      </x:c>
      <x:c r="L3523" t="str">
        <x:v>2026-09-08</x:v>
      </x:c>
      <x:c r="M3523" t="str"/>
      <x:c r="N3523" t="str"/>
      <x:c r="O3523" t="str">
        <x:v>https://www.activesportstrade.co.uk/trade-convienience</x:v>
      </x:c>
      <x:c r="P3523" t="str">
        <x:v>PALLET PROMO wording stripped; case-only.</x:v>
      </x:c>
      <x:c r="Q3523" t="str"/>
      <x:c r="R3523" t="str"/>
      <x:c r="S3523" t="str">
        <x:v>Pending genuine supplier/brand image</x:v>
      </x:c>
      <x:c r="T3523" s="54"/>
      <x:c r="U3523" s="47" t="n">
        <x:v>0.2</x:v>
      </x:c>
      <x:c r="V3523" s="54" t="str">
        <x:f>IF(ISNUMBER(T3523),T3523*(1+U3523),"")</x:f>
      </x:c>
      <x:c r="W3523" s="47" t="n">
        <x:v>0.3</x:v>
      </x:c>
      <x:c r="X3523" s="54" t="str">
        <x:f>IF(ISNUMBER(V3523),V3523/(1-W3523),"")</x:f>
      </x:c>
      <x:c r="Y3523" s="55" t="str">
        <x:f>IF(ISNUMBER(X3523),ROUNDUP(X3523,0),"")</x:f>
      </x:c>
      <x:c r="Z3523" t="str">
        <x:f>IF(ISNUMBER(T3523),"Cost captured","Awaiting trade cost")</x:f>
        <x:v>Awaiting trade cost</x:v>
      </x:c>
      <x:c r="AB3523" s="36" t="str">
        <x:f>IF(ISNUMBER(Y3523),ROUND(Y3523*0.9,2),"")</x:f>
      </x:c>
      <x:c r="AC3523" s="36" t="str">
        <x:f>IF(ISNUMBER(AB3523),ROUND(AB3523-(AB3523*0.015+0.2)-V3523,2),"")</x:f>
      </x:c>
      <x:c r="AD3523" s="36" t="str">
        <x:f>IF(ISNUMBER(Y3523),ROUND(Y3523*0.8,2),"")</x:f>
      </x:c>
      <x:c r="AE3523" s="36" t="str">
        <x:f>IF(ISNUMBER(AD3523),ROUND(AD3523*0.015+0.2,2),"")</x:f>
      </x:c>
      <x:c r="AF3523" s="36" t="str">
        <x:f>IF(ISNUMBER(AD3523),ROUND(AD3523-AE3523-V3523,2),"")</x:f>
      </x:c>
      <x:c r="AG3523" t="str">
        <x:f>IF(NOT(ISNUMBER(T3523)),"PENDING",IF(AF3523&gt;0,"PASS","FAIL"))</x:f>
        <x:v>PENDING</x:v>
      </x:c>
      <x:c r="AH3523" t="str">
        <x:f>IF(NOT(ISNUMBER(T3523)),"Needs supplier cost",IF(K3523&lt;&gt;"In stock","Supplier unavailable",IF(AG3523&lt;&gt;"PASS","BLOCK - GT loss risk","Commercially protected")))</x:f>
        <x:v>Needs supplier cost</x:v>
      </x:c>
      <x:c r="AI3523" t="str">
        <x:v>2026-09-10 Active Sports trade capture</x:v>
      </x:c>
      <x:c r="AJ3523" t="str">
        <x:v>Management-only economics. Stripe stress test uses 1.5% + £0.20 standard UK online-card fee; pallet/mix-and-match pricing ignored.</x:v>
      </x:c>
    </x:row>
    <x:row r="3524">
      <x:c r="A3524" t="str">
        <x:v>Active Sports Nutrition</x:v>
      </x:c>
      <x:c r="B3524" t="str">
        <x:v>Lucozade</x:v>
      </x:c>
      <x:c r="C3524" t="str">
        <x:v>Sport Zero Sugar</x:v>
      </x:c>
      <x:c r="D3524" t="str">
        <x:v>Food &amp; Drinks</x:v>
      </x:c>
      <x:c r="E3524" t="str">
        <x:v>Sports Drinks</x:v>
      </x:c>
      <x:c r="F3524" t="str"/>
      <x:c r="G3524" t="str">
        <x:v>12 x 500ml bottles</x:v>
      </x:c>
      <x:c r="H3524" t="str">
        <x:v>Raspberry &amp; Passionfruit</x:v>
      </x:c>
      <x:c r="I3524" t="str">
        <x:v>12</x:v>
      </x:c>
      <x:c r="J3524" t="str">
        <x:v>Case</x:v>
      </x:c>
      <x:c r="K3524" t="str">
        <x:v>Out of stock</x:v>
      </x:c>
      <x:c r="L3524" t="str">
        <x:v>2026-09-08</x:v>
      </x:c>
      <x:c r="M3524" t="str"/>
      <x:c r="N3524" t="str"/>
      <x:c r="O3524" t="str">
        <x:v>https://www.activesportstrade.co.uk/trade-convienience</x:v>
      </x:c>
      <x:c r="P3524" t="str">
        <x:v>PALLET PROMO wording stripped; case-only.</x:v>
      </x:c>
      <x:c r="Q3524" t="str"/>
      <x:c r="R3524" t="str"/>
      <x:c r="S3524" t="str">
        <x:v>Pending genuine supplier/brand image</x:v>
      </x:c>
      <x:c r="T3524" s="54"/>
      <x:c r="U3524" s="47" t="n">
        <x:v>0.2</x:v>
      </x:c>
      <x:c r="V3524" s="54" t="str">
        <x:f>IF(ISNUMBER(T3524),T3524*(1+U3524),"")</x:f>
      </x:c>
      <x:c r="W3524" s="47" t="n">
        <x:v>0.3</x:v>
      </x:c>
      <x:c r="X3524" s="54" t="str">
        <x:f>IF(ISNUMBER(V3524),V3524/(1-W3524),"")</x:f>
      </x:c>
      <x:c r="Y3524" s="55" t="str">
        <x:f>IF(ISNUMBER(X3524),ROUNDUP(X3524,0),"")</x:f>
      </x:c>
      <x:c r="Z3524" t="str">
        <x:f>IF(ISNUMBER(T3524),"Cost captured","Awaiting trade cost")</x:f>
        <x:v>Awaiting trade cost</x:v>
      </x:c>
      <x:c r="AB3524" s="36" t="str">
        <x:f>IF(ISNUMBER(Y3524),ROUND(Y3524*0.9,2),"")</x:f>
      </x:c>
      <x:c r="AC3524" s="36" t="str">
        <x:f>IF(ISNUMBER(AB3524),ROUND(AB3524-(AB3524*0.015+0.2)-V3524,2),"")</x:f>
      </x:c>
      <x:c r="AD3524" s="36" t="str">
        <x:f>IF(ISNUMBER(Y3524),ROUND(Y3524*0.8,2),"")</x:f>
      </x:c>
      <x:c r="AE3524" s="36" t="str">
        <x:f>IF(ISNUMBER(AD3524),ROUND(AD3524*0.015+0.2,2),"")</x:f>
      </x:c>
      <x:c r="AF3524" s="36" t="str">
        <x:f>IF(ISNUMBER(AD3524),ROUND(AD3524-AE3524-V3524,2),"")</x:f>
      </x:c>
      <x:c r="AG3524" t="str">
        <x:f>IF(NOT(ISNUMBER(T3524)),"PENDING",IF(AF3524&gt;0,"PASS","FAIL"))</x:f>
        <x:v>PENDING</x:v>
      </x:c>
      <x:c r="AH3524" t="str">
        <x:f>IF(NOT(ISNUMBER(T3524)),"Needs supplier cost",IF(K3524&lt;&gt;"In stock","Supplier unavailable",IF(AG3524&lt;&gt;"PASS","BLOCK - GT loss risk","Commercially protected")))</x:f>
        <x:v>Needs supplier cost</x:v>
      </x:c>
      <x:c r="AI3524" t="str">
        <x:v>2026-09-10 Active Sports trade capture</x:v>
      </x:c>
      <x:c r="AJ3524" t="str">
        <x:v>Management-only economics. Stripe stress test uses 1.5% + £0.20 standard UK online-card fee; pallet/mix-and-match pricing ignored.</x:v>
      </x:c>
    </x:row>
    <x:row r="3525">
      <x:c r="A3525" t="str">
        <x:v>Active Sports Nutrition</x:v>
      </x:c>
      <x:c r="B3525" t="str">
        <x:v>M&amp;Ms</x:v>
      </x:c>
      <x:c r="C3525" t="str">
        <x:v>Protein Bars</x:v>
      </x:c>
      <x:c r="D3525" t="str">
        <x:v>Food &amp; Drinks</x:v>
      </x:c>
      <x:c r="E3525" t="str">
        <x:v>Protein Bars</x:v>
      </x:c>
      <x:c r="F3525" t="str"/>
      <x:c r="G3525" t="str">
        <x:v>12 x 51g bars</x:v>
      </x:c>
      <x:c r="H3525" t="str">
        <x:v>Chocolate</x:v>
      </x:c>
      <x:c r="I3525" t="str">
        <x:v>12</x:v>
      </x:c>
      <x:c r="J3525" t="str">
        <x:v>Case</x:v>
      </x:c>
      <x:c r="K3525" t="str">
        <x:v>Out of stock</x:v>
      </x:c>
      <x:c r="L3525" t="str">
        <x:v>2026-09-08</x:v>
      </x:c>
      <x:c r="M3525" t="str"/>
      <x:c r="N3525" t="str"/>
      <x:c r="O3525" t="str">
        <x:v>https://www.activesportstrade.co.uk/trade-convienience</x:v>
      </x:c>
      <x:c r="P3525" t="str"/>
      <x:c r="Q3525" t="str"/>
      <x:c r="R3525" t="str"/>
      <x:c r="S3525" t="str">
        <x:v>Pending genuine supplier/brand image</x:v>
      </x:c>
      <x:c r="T3525" s="54" t="n">
        <x:v>18.77</x:v>
      </x:c>
      <x:c r="U3525" s="47" t="n">
        <x:v>0.2</x:v>
      </x:c>
      <x:c r="V3525" s="54" t="n">
        <x:f>IF(ISNUMBER(T3525),T3525*(1+U3525),"")</x:f>
        <x:v>22.523999999999997</x:v>
      </x:c>
      <x:c r="W3525" s="47" t="n">
        <x:v>0.3</x:v>
      </x:c>
      <x:c r="X3525" s="54" t="n">
        <x:f>IF(ISNUMBER(V3525),V3525/(1-W3525),"")</x:f>
        <x:v>32.177142857142854</x:v>
      </x:c>
      <x:c r="Y3525" s="55" t="n">
        <x:f>IF(ISNUMBER(X3525),ROUNDUP(X3525,0),"")</x:f>
        <x:v>33</x:v>
      </x:c>
      <x:c r="Z3525" t="str">
        <x:v>Source match pending</x:v>
      </x:c>
      <x:c r="AA3525" t="str">
        <x:v>screencapture-www-activesportstrade-co-uk-m-ms-protein-bars-2026-09-09-18_38_28.png / page-001</x:v>
      </x:c>
      <x:c r="AB3525" s="36" t="n">
        <x:f>IF(ISNUMBER(Y3525),ROUND(Y3525*0.9,2),"")</x:f>
        <x:v>29.7</x:v>
      </x:c>
      <x:c r="AC3525" s="36" t="n">
        <x:f>IF(ISNUMBER(AB3525),ROUND(AB3525-(AB3525*0.015+0.2)-V3525,2),"")</x:f>
        <x:v>6.53</x:v>
      </x:c>
      <x:c r="AD3525" s="36" t="n">
        <x:f>IF(ISNUMBER(Y3525),ROUND(Y3525*0.8,2),"")</x:f>
        <x:v>26.4</x:v>
      </x:c>
      <x:c r="AE3525" s="36" t="n">
        <x:f>IF(ISNUMBER(AD3525),ROUND(AD3525*0.015+0.2,2),"")</x:f>
        <x:v>0.6</x:v>
      </x:c>
      <x:c r="AF3525" s="36" t="n">
        <x:f>IF(ISNUMBER(AD3525),ROUND(AD3525-AE3525-V3525,2),"")</x:f>
        <x:v>3.28</x:v>
      </x:c>
      <x:c r="AG3525" t="str">
        <x:f>IF(NOT(ISNUMBER(T3525)),"PENDING",IF(AF3525&gt;0,"PASS","FAIL"))</x:f>
        <x:v>PASS</x:v>
      </x:c>
      <x:c r="AH3525" t="str">
        <x:f>IF(NOT(ISNUMBER(T3525)),"Needs supplier cost",IF(K3525&lt;&gt;"In stock","Supplier unavailable",IF(AG3525&lt;&gt;"PASS","BLOCK - GT loss risk","Commercially protected")))</x:f>
        <x:v>Supplier unavailable</x:v>
      </x:c>
      <x:c r="AI3525" t="str">
        <x:v>2026-09-10 Active Sports trade capture</x:v>
      </x:c>
      <x:c r="AJ3525" t="str">
        <x:v>Management-only economics. Stripe stress test uses 1.5% + £0.20 standard UK online-card fee; pallet/mix-and-match pricing ignored.</x:v>
      </x:c>
    </x:row>
    <x:row r="3526">
      <x:c r="A3526" t="str">
        <x:v>Active Sports Nutrition</x:v>
      </x:c>
      <x:c r="B3526" t="str">
        <x:v>Mars</x:v>
      </x:c>
      <x:c r="C3526" t="str">
        <x:v>Hi Protein Low Sugar Bar</x:v>
      </x:c>
      <x:c r="D3526" t="str">
        <x:v>Food &amp; Drinks</x:v>
      </x:c>
      <x:c r="E3526" t="str">
        <x:v>Protein Bars</x:v>
      </x:c>
      <x:c r="F3526" t="str"/>
      <x:c r="G3526" t="str">
        <x:v>12 x 55g bars</x:v>
      </x:c>
      <x:c r="H3526" t="str">
        <x:v>Orange Smash</x:v>
      </x:c>
      <x:c r="I3526" t="str">
        <x:v>12</x:v>
      </x:c>
      <x:c r="J3526" t="str">
        <x:v>Case</x:v>
      </x:c>
      <x:c r="K3526" t="str">
        <x:v>Out of stock</x:v>
      </x:c>
      <x:c r="L3526" t="str">
        <x:v>2026-09-08</x:v>
      </x:c>
      <x:c r="M3526" t="str"/>
      <x:c r="N3526" t="str"/>
      <x:c r="O3526" t="str">
        <x:v>https://www.activesportstrade.co.uk/trade-convienience</x:v>
      </x:c>
      <x:c r="P3526" t="str">
        <x:v>NEW suffix stripped from Orange Smash.</x:v>
      </x:c>
      <x:c r="Q3526" t="str"/>
      <x:c r="R3526" t="str"/>
      <x:c r="S3526" t="str">
        <x:v>Pending genuine supplier/brand image</x:v>
      </x:c>
      <x:c r="T3526" s="54" t="n">
        <x:v>16.99</x:v>
      </x:c>
      <x:c r="U3526" s="47" t="n">
        <x:v>0.2</x:v>
      </x:c>
      <x:c r="V3526" s="54" t="n">
        <x:f>IF(ISNUMBER(T3526),T3526*(1+U3526),"")</x:f>
        <x:v>20.387999999999998</x:v>
      </x:c>
      <x:c r="W3526" s="47" t="n">
        <x:v>0.3</x:v>
      </x:c>
      <x:c r="X3526" s="54" t="n">
        <x:f>IF(ISNUMBER(V3526),V3526/(1-W3526),"")</x:f>
        <x:v>29.125714285714285</x:v>
      </x:c>
      <x:c r="Y3526" s="55" t="n">
        <x:f>IF(ISNUMBER(X3526),ROUNDUP(X3526,0),"")</x:f>
        <x:v>30</x:v>
      </x:c>
      <x:c r="Z3526" t="str">
        <x:v>Source match pending</x:v>
      </x:c>
      <x:c r="AA3526" t="str">
        <x:v>screencapture-www-activesportstrade-co-uk-mars-protein-trade-2026-09-09-18_38_45.png / page-001</x:v>
      </x:c>
      <x:c r="AB3526" s="36" t="n">
        <x:f>IF(ISNUMBER(Y3526),ROUND(Y3526*0.9,2),"")</x:f>
        <x:v>27</x:v>
      </x:c>
      <x:c r="AC3526" s="36" t="n">
        <x:f>IF(ISNUMBER(AB3526),ROUND(AB3526-(AB3526*0.015+0.2)-V3526,2),"")</x:f>
        <x:v>6.01</x:v>
      </x:c>
      <x:c r="AD3526" s="36" t="n">
        <x:f>IF(ISNUMBER(Y3526),ROUND(Y3526*0.8,2),"")</x:f>
        <x:v>24</x:v>
      </x:c>
      <x:c r="AE3526" s="36" t="n">
        <x:f>IF(ISNUMBER(AD3526),ROUND(AD3526*0.015+0.2,2),"")</x:f>
        <x:v>0.56</x:v>
      </x:c>
      <x:c r="AF3526" s="36" t="n">
        <x:f>IF(ISNUMBER(AD3526),ROUND(AD3526-AE3526-V3526,2),"")</x:f>
        <x:v>3.05</x:v>
      </x:c>
      <x:c r="AG3526" t="str">
        <x:f>IF(NOT(ISNUMBER(T3526)),"PENDING",IF(AF3526&gt;0,"PASS","FAIL"))</x:f>
        <x:v>PASS</x:v>
      </x:c>
      <x:c r="AH3526" t="str">
        <x:f>IF(NOT(ISNUMBER(T3526)),"Needs supplier cost",IF(K3526&lt;&gt;"In stock","Supplier unavailable",IF(AG3526&lt;&gt;"PASS","BLOCK - GT loss risk","Commercially protected")))</x:f>
        <x:v>Supplier unavailable</x:v>
      </x:c>
      <x:c r="AI3526" t="str">
        <x:v>2026-09-10 Active Sports trade capture</x:v>
      </x:c>
      <x:c r="AJ3526" t="str">
        <x:v>Management-only economics. Stripe stress test uses 1.5% + £0.20 standard UK online-card fee; pallet/mix-and-match pricing ignored.</x:v>
      </x:c>
    </x:row>
    <x:row r="3527">
      <x:c r="A3527" t="str">
        <x:v>Active Sports Nutrition</x:v>
      </x:c>
      <x:c r="B3527" t="str">
        <x:v>Mars</x:v>
      </x:c>
      <x:c r="C3527" t="str">
        <x:v>Hi Protein Low Sugar Bar</x:v>
      </x:c>
      <x:c r="D3527" t="str">
        <x:v>Food &amp; Drinks</x:v>
      </x:c>
      <x:c r="E3527" t="str">
        <x:v>Protein Bars</x:v>
      </x:c>
      <x:c r="F3527" t="str"/>
      <x:c r="G3527" t="str">
        <x:v>12 x 55g bars</x:v>
      </x:c>
      <x:c r="H3527" t="str">
        <x:v>Original</x:v>
      </x:c>
      <x:c r="I3527" t="str">
        <x:v>12</x:v>
      </x:c>
      <x:c r="J3527" t="str">
        <x:v>Case</x:v>
      </x:c>
      <x:c r="K3527" t="str">
        <x:v>Out of stock</x:v>
      </x:c>
      <x:c r="L3527" t="str">
        <x:v>2026-09-08</x:v>
      </x:c>
      <x:c r="M3527" t="str"/>
      <x:c r="N3527" t="str"/>
      <x:c r="O3527" t="str">
        <x:v>https://www.activesportstrade.co.uk/trade-convienience</x:v>
      </x:c>
      <x:c r="P3527" t="str">
        <x:v>NEW suffix stripped from Orange Smash.</x:v>
      </x:c>
      <x:c r="Q3527" t="str"/>
      <x:c r="R3527" t="str"/>
      <x:c r="S3527" t="str">
        <x:v>Pending genuine supplier/brand image</x:v>
      </x:c>
      <x:c r="T3527" s="54" t="n">
        <x:v>16.99</x:v>
      </x:c>
      <x:c r="U3527" s="47" t="n">
        <x:v>0.2</x:v>
      </x:c>
      <x:c r="V3527" s="54" t="n">
        <x:f>IF(ISNUMBER(T3527),T3527*(1+U3527),"")</x:f>
        <x:v>20.387999999999998</x:v>
      </x:c>
      <x:c r="W3527" s="47" t="n">
        <x:v>0.3</x:v>
      </x:c>
      <x:c r="X3527" s="54" t="n">
        <x:f>IF(ISNUMBER(V3527),V3527/(1-W3527),"")</x:f>
        <x:v>29.125714285714285</x:v>
      </x:c>
      <x:c r="Y3527" s="55" t="n">
        <x:f>IF(ISNUMBER(X3527),ROUNDUP(X3527,0),"")</x:f>
        <x:v>30</x:v>
      </x:c>
      <x:c r="Z3527" t="str">
        <x:v>Source match pending</x:v>
      </x:c>
      <x:c r="AA3527" t="str">
        <x:v>screencapture-www-activesportstrade-co-uk-mars-protein-trade-2026-09-09-18_38_45.png / page-001</x:v>
      </x:c>
      <x:c r="AB3527" s="36" t="n">
        <x:f>IF(ISNUMBER(Y3527),ROUND(Y3527*0.9,2),"")</x:f>
        <x:v>27</x:v>
      </x:c>
      <x:c r="AC3527" s="36" t="n">
        <x:f>IF(ISNUMBER(AB3527),ROUND(AB3527-(AB3527*0.015+0.2)-V3527,2),"")</x:f>
        <x:v>6.01</x:v>
      </x:c>
      <x:c r="AD3527" s="36" t="n">
        <x:f>IF(ISNUMBER(Y3527),ROUND(Y3527*0.8,2),"")</x:f>
        <x:v>24</x:v>
      </x:c>
      <x:c r="AE3527" s="36" t="n">
        <x:f>IF(ISNUMBER(AD3527),ROUND(AD3527*0.015+0.2,2),"")</x:f>
        <x:v>0.56</x:v>
      </x:c>
      <x:c r="AF3527" s="36" t="n">
        <x:f>IF(ISNUMBER(AD3527),ROUND(AD3527-AE3527-V3527,2),"")</x:f>
        <x:v>3.05</x:v>
      </x:c>
      <x:c r="AG3527" t="str">
        <x:f>IF(NOT(ISNUMBER(T3527)),"PENDING",IF(AF3527&gt;0,"PASS","FAIL"))</x:f>
        <x:v>PASS</x:v>
      </x:c>
      <x:c r="AH3527" t="str">
        <x:f>IF(NOT(ISNUMBER(T3527)),"Needs supplier cost",IF(K3527&lt;&gt;"In stock","Supplier unavailable",IF(AG3527&lt;&gt;"PASS","BLOCK - GT loss risk","Commercially protected")))</x:f>
        <x:v>Supplier unavailable</x:v>
      </x:c>
      <x:c r="AI3527" t="str">
        <x:v>2026-09-10 Active Sports trade capture</x:v>
      </x:c>
      <x:c r="AJ3527" t="str">
        <x:v>Management-only economics. Stripe stress test uses 1.5% + £0.20 standard UK online-card fee; pallet/mix-and-match pricing ignored.</x:v>
      </x:c>
    </x:row>
    <x:row r="3528">
      <x:c r="A3528" t="str">
        <x:v>Active Sports Nutrition</x:v>
      </x:c>
      <x:c r="B3528" t="str">
        <x:v>Mars</x:v>
      </x:c>
      <x:c r="C3528" t="str">
        <x:v>Hi Protein Low Sugar Bar</x:v>
      </x:c>
      <x:c r="D3528" t="str">
        <x:v>Food &amp; Drinks</x:v>
      </x:c>
      <x:c r="E3528" t="str">
        <x:v>Protein Bars</x:v>
      </x:c>
      <x:c r="F3528" t="str"/>
      <x:c r="G3528" t="str">
        <x:v>12 x 55g bars</x:v>
      </x:c>
      <x:c r="H3528" t="str">
        <x:v>Salted Caramel</x:v>
      </x:c>
      <x:c r="I3528" t="str">
        <x:v>12</x:v>
      </x:c>
      <x:c r="J3528" t="str">
        <x:v>Case</x:v>
      </x:c>
      <x:c r="K3528" t="str">
        <x:v>In stock</x:v>
      </x:c>
      <x:c r="L3528" t="str">
        <x:v>2026-09-08</x:v>
      </x:c>
      <x:c r="M3528" t="str"/>
      <x:c r="N3528" t="str"/>
      <x:c r="O3528" t="str">
        <x:v>https://www.activesportstrade.co.uk/trade-convienience</x:v>
      </x:c>
      <x:c r="P3528" t="str">
        <x:v>NEW suffix stripped from Orange Smash.</x:v>
      </x:c>
      <x:c r="Q3528" t="str"/>
      <x:c r="R3528" t="str"/>
      <x:c r="S3528" t="str">
        <x:v>Pending genuine supplier/brand image</x:v>
      </x:c>
      <x:c r="T3528" s="54" t="n">
        <x:v>16.99</x:v>
      </x:c>
      <x:c r="U3528" s="47" t="n">
        <x:v>0.2</x:v>
      </x:c>
      <x:c r="V3528" s="54" t="n">
        <x:f>IF(ISNUMBER(T3528),T3528*(1+U3528),"")</x:f>
        <x:v>20.387999999999998</x:v>
      </x:c>
      <x:c r="W3528" s="47" t="n">
        <x:v>0.3</x:v>
      </x:c>
      <x:c r="X3528" s="54" t="n">
        <x:f>IF(ISNUMBER(V3528),V3528/(1-W3528),"")</x:f>
        <x:v>29.125714285714285</x:v>
      </x:c>
      <x:c r="Y3528" s="55" t="n">
        <x:f>IF(ISNUMBER(X3528),ROUNDUP(X3528,0),"")</x:f>
        <x:v>30</x:v>
      </x:c>
      <x:c r="Z3528" t="str">
        <x:v>Source match pending</x:v>
      </x:c>
      <x:c r="AA3528" t="str">
        <x:v>screencapture-www-activesportstrade-co-uk-mars-protein-trade-2026-09-09-18_38_45.png / page-001</x:v>
      </x:c>
      <x:c r="AB3528" s="36" t="n">
        <x:f>IF(ISNUMBER(Y3528),ROUND(Y3528*0.9,2),"")</x:f>
        <x:v>27</x:v>
      </x:c>
      <x:c r="AC3528" s="36" t="n">
        <x:f>IF(ISNUMBER(AB3528),ROUND(AB3528-(AB3528*0.015+0.2)-V3528,2),"")</x:f>
        <x:v>6.01</x:v>
      </x:c>
      <x:c r="AD3528" s="36" t="n">
        <x:f>IF(ISNUMBER(Y3528),ROUND(Y3528*0.8,2),"")</x:f>
        <x:v>24</x:v>
      </x:c>
      <x:c r="AE3528" s="36" t="n">
        <x:f>IF(ISNUMBER(AD3528),ROUND(AD3528*0.015+0.2,2),"")</x:f>
        <x:v>0.56</x:v>
      </x:c>
      <x:c r="AF3528" s="36" t="n">
        <x:f>IF(ISNUMBER(AD3528),ROUND(AD3528-AE3528-V3528,2),"")</x:f>
        <x:v>3.05</x:v>
      </x:c>
      <x:c r="AG3528" t="str">
        <x:f>IF(NOT(ISNUMBER(T3528)),"PENDING",IF(AF3528&gt;0,"PASS","FAIL"))</x:f>
        <x:v>PASS</x:v>
      </x:c>
      <x:c r="AH3528" t="str">
        <x:f>IF(NOT(ISNUMBER(T3528)),"Needs supplier cost",IF(K3528&lt;&gt;"In stock","Supplier unavailable",IF(AG3528&lt;&gt;"PASS","BLOCK - GT loss risk","Commercially protected")))</x:f>
        <x:v>Commercially protected</x:v>
      </x:c>
      <x:c r="AI3528" t="str">
        <x:v>2026-09-10 Active Sports trade capture</x:v>
      </x:c>
      <x:c r="AJ3528" t="str">
        <x:v>Management-only economics. Stripe stress test uses 1.5% + £0.20 standard UK online-card fee; pallet/mix-and-match pricing ignored.</x:v>
      </x:c>
    </x:row>
    <x:row r="3529">
      <x:c r="A3529" t="str">
        <x:v>Active Sports Nutrition</x:v>
      </x:c>
      <x:c r="B3529" t="str">
        <x:v>Mars</x:v>
      </x:c>
      <x:c r="C3529" t="str">
        <x:v>Hi Protein Low Sugar Bar</x:v>
      </x:c>
      <x:c r="D3529" t="str">
        <x:v>Food &amp; Drinks</x:v>
      </x:c>
      <x:c r="E3529" t="str">
        <x:v>Protein Bars</x:v>
      </x:c>
      <x:c r="F3529" t="str"/>
      <x:c r="G3529" t="str">
        <x:v>12 x 55g bars</x:v>
      </x:c>
      <x:c r="H3529" t="str">
        <x:v>White Chocolate</x:v>
      </x:c>
      <x:c r="I3529" t="str">
        <x:v>12</x:v>
      </x:c>
      <x:c r="J3529" t="str">
        <x:v>Case</x:v>
      </x:c>
      <x:c r="K3529" t="str">
        <x:v>In stock</x:v>
      </x:c>
      <x:c r="L3529" t="str">
        <x:v>2026-09-08</x:v>
      </x:c>
      <x:c r="M3529" t="str"/>
      <x:c r="N3529" t="str"/>
      <x:c r="O3529" t="str">
        <x:v>https://www.activesportstrade.co.uk/trade-convienience</x:v>
      </x:c>
      <x:c r="P3529" t="str">
        <x:v>NEW suffix stripped from Orange Smash.</x:v>
      </x:c>
      <x:c r="Q3529" t="str"/>
      <x:c r="R3529" t="str"/>
      <x:c r="S3529" t="str">
        <x:v>Pending genuine supplier/brand image</x:v>
      </x:c>
      <x:c r="T3529" s="54" t="n">
        <x:v>16.99</x:v>
      </x:c>
      <x:c r="U3529" s="47" t="n">
        <x:v>0.2</x:v>
      </x:c>
      <x:c r="V3529" s="54" t="n">
        <x:f>IF(ISNUMBER(T3529),T3529*(1+U3529),"")</x:f>
        <x:v>20.387999999999998</x:v>
      </x:c>
      <x:c r="W3529" s="47" t="n">
        <x:v>0.3</x:v>
      </x:c>
      <x:c r="X3529" s="54" t="n">
        <x:f>IF(ISNUMBER(V3529),V3529/(1-W3529),"")</x:f>
        <x:v>29.125714285714285</x:v>
      </x:c>
      <x:c r="Y3529" s="55" t="n">
        <x:f>IF(ISNUMBER(X3529),ROUNDUP(X3529,0),"")</x:f>
        <x:v>30</x:v>
      </x:c>
      <x:c r="Z3529" t="str">
        <x:v>Source match pending</x:v>
      </x:c>
      <x:c r="AA3529" t="str">
        <x:v>screencapture-www-activesportstrade-co-uk-mars-protein-trade-2026-09-09-18_38_45.png / page-001</x:v>
      </x:c>
      <x:c r="AB3529" s="36" t="n">
        <x:f>IF(ISNUMBER(Y3529),ROUND(Y3529*0.9,2),"")</x:f>
        <x:v>27</x:v>
      </x:c>
      <x:c r="AC3529" s="36" t="n">
        <x:f>IF(ISNUMBER(AB3529),ROUND(AB3529-(AB3529*0.015+0.2)-V3529,2),"")</x:f>
        <x:v>6.01</x:v>
      </x:c>
      <x:c r="AD3529" s="36" t="n">
        <x:f>IF(ISNUMBER(Y3529),ROUND(Y3529*0.8,2),"")</x:f>
        <x:v>24</x:v>
      </x:c>
      <x:c r="AE3529" s="36" t="n">
        <x:f>IF(ISNUMBER(AD3529),ROUND(AD3529*0.015+0.2,2),"")</x:f>
        <x:v>0.56</x:v>
      </x:c>
      <x:c r="AF3529" s="36" t="n">
        <x:f>IF(ISNUMBER(AD3529),ROUND(AD3529-AE3529-V3529,2),"")</x:f>
        <x:v>3.05</x:v>
      </x:c>
      <x:c r="AG3529" t="str">
        <x:f>IF(NOT(ISNUMBER(T3529)),"PENDING",IF(AF3529&gt;0,"PASS","FAIL"))</x:f>
        <x:v>PASS</x:v>
      </x:c>
      <x:c r="AH3529" t="str">
        <x:f>IF(NOT(ISNUMBER(T3529)),"Needs supplier cost",IF(K3529&lt;&gt;"In stock","Supplier unavailable",IF(AG3529&lt;&gt;"PASS","BLOCK - GT loss risk","Commercially protected")))</x:f>
        <x:v>Commercially protected</x:v>
      </x:c>
      <x:c r="AI3529" t="str">
        <x:v>2026-09-10 Active Sports trade capture</x:v>
      </x:c>
      <x:c r="AJ3529" t="str">
        <x:v>Management-only economics. Stripe stress test uses 1.5% + £0.20 standard UK online-card fee; pallet/mix-and-match pricing ignored.</x:v>
      </x:c>
    </x:row>
    <x:row r="3530">
      <x:c r="A3530" t="str">
        <x:v>Active Sports Nutrition</x:v>
      </x:c>
      <x:c r="B3530" t="str">
        <x:v>Mars</x:v>
      </x:c>
      <x:c r="C3530" t="str">
        <x:v>Protein Cookie</x:v>
      </x:c>
      <x:c r="D3530" t="str">
        <x:v>Food &amp; Drinks</x:v>
      </x:c>
      <x:c r="E3530" t="str">
        <x:v>Protein Cookies</x:v>
      </x:c>
      <x:c r="F3530" t="str"/>
      <x:c r="G3530" t="str">
        <x:v>12 x 60g cookies</x:v>
      </x:c>
      <x:c r="H3530" t="str">
        <x:v>Original</x:v>
      </x:c>
      <x:c r="I3530" t="str">
        <x:v>12</x:v>
      </x:c>
      <x:c r="J3530" t="str">
        <x:v>Case</x:v>
      </x:c>
      <x:c r="K3530" t="str">
        <x:v>Out of stock</x:v>
      </x:c>
      <x:c r="L3530" t="str">
        <x:v>2026-09-08</x:v>
      </x:c>
      <x:c r="M3530" t="str"/>
      <x:c r="N3530" t="str"/>
      <x:c r="O3530" t="str">
        <x:v>https://www.activesportstrade.co.uk/trade-convienience</x:v>
      </x:c>
      <x:c r="P3530" t="str"/>
      <x:c r="Q3530" t="str"/>
      <x:c r="R3530" t="str"/>
      <x:c r="S3530" t="str">
        <x:v>Pending genuine supplier/brand image</x:v>
      </x:c>
      <x:c r="T3530" s="54" t="n">
        <x:v>13.99</x:v>
      </x:c>
      <x:c r="U3530" s="47" t="n">
        <x:v>0.2</x:v>
      </x:c>
      <x:c r="V3530" s="54" t="n">
        <x:f>IF(ISNUMBER(T3530),T3530*(1+U3530),"")</x:f>
        <x:v>16.788</x:v>
      </x:c>
      <x:c r="W3530" s="47" t="n">
        <x:v>0.3</x:v>
      </x:c>
      <x:c r="X3530" s="54" t="n">
        <x:f>IF(ISNUMBER(V3530),V3530/(1-W3530),"")</x:f>
        <x:v>23.982857142857146</x:v>
      </x:c>
      <x:c r="Y3530" s="55" t="n">
        <x:f>IF(ISNUMBER(X3530),ROUNDUP(X3530,0),"")</x:f>
        <x:v>24</x:v>
      </x:c>
      <x:c r="Z3530" t="str">
        <x:v>Source match pending</x:v>
      </x:c>
      <x:c r="AA3530" t="str">
        <x:v>screencapture-www-activesportstrade-co-uk-mars-protein-trade-2026-09-09-18_38_45.png / page-001</x:v>
      </x:c>
      <x:c r="AB3530" s="36" t="n">
        <x:f>IF(ISNUMBER(Y3530),ROUND(Y3530*0.9,2),"")</x:f>
        <x:v>21.6</x:v>
      </x:c>
      <x:c r="AC3530" s="36" t="n">
        <x:f>IF(ISNUMBER(AB3530),ROUND(AB3530-(AB3530*0.015+0.2)-V3530,2),"")</x:f>
        <x:v>4.29</x:v>
      </x:c>
      <x:c r="AD3530" s="36" t="n">
        <x:f>IF(ISNUMBER(Y3530),ROUND(Y3530*0.8,2),"")</x:f>
        <x:v>19.2</x:v>
      </x:c>
      <x:c r="AE3530" s="36" t="n">
        <x:f>IF(ISNUMBER(AD3530),ROUND(AD3530*0.015+0.2,2),"")</x:f>
        <x:v>0.49</x:v>
      </x:c>
      <x:c r="AF3530" s="36" t="n">
        <x:f>IF(ISNUMBER(AD3530),ROUND(AD3530-AE3530-V3530,2),"")</x:f>
        <x:v>1.92</x:v>
      </x:c>
      <x:c r="AG3530" t="str">
        <x:f>IF(NOT(ISNUMBER(T3530)),"PENDING",IF(AF3530&gt;0,"PASS","FAIL"))</x:f>
        <x:v>PASS</x:v>
      </x:c>
      <x:c r="AH3530" t="str">
        <x:f>IF(NOT(ISNUMBER(T3530)),"Needs supplier cost",IF(K3530&lt;&gt;"In stock","Supplier unavailable",IF(AG3530&lt;&gt;"PASS","BLOCK - GT loss risk","Commercially protected")))</x:f>
        <x:v>Supplier unavailable</x:v>
      </x:c>
      <x:c r="AI3530" t="str">
        <x:v>2026-09-10 Active Sports trade capture</x:v>
      </x:c>
      <x:c r="AJ3530" t="str">
        <x:v>Management-only economics. Stripe stress test uses 1.5% + £0.20 standard UK online-card fee; pallet/mix-and-match pricing ignored.</x:v>
      </x:c>
    </x:row>
    <x:row r="3531">
      <x:c r="A3531" t="str">
        <x:v>Active Sports Nutrition</x:v>
      </x:c>
      <x:c r="B3531" t="str">
        <x:v>Mars</x:v>
      </x:c>
      <x:c r="C3531" t="str">
        <x:v>Protein Cookie</x:v>
      </x:c>
      <x:c r="D3531" t="str">
        <x:v>Food &amp; Drinks</x:v>
      </x:c>
      <x:c r="E3531" t="str">
        <x:v>Protein Cookies</x:v>
      </x:c>
      <x:c r="F3531" t="str"/>
      <x:c r="G3531" t="str">
        <x:v>12 x 60g cookies</x:v>
      </x:c>
      <x:c r="H3531" t="str">
        <x:v>Salted Caramel</x:v>
      </x:c>
      <x:c r="I3531" t="str">
        <x:v>12</x:v>
      </x:c>
      <x:c r="J3531" t="str">
        <x:v>Case</x:v>
      </x:c>
      <x:c r="K3531" t="str">
        <x:v>In stock</x:v>
      </x:c>
      <x:c r="L3531" t="str">
        <x:v>2026-09-08</x:v>
      </x:c>
      <x:c r="M3531" t="str"/>
      <x:c r="N3531" t="str"/>
      <x:c r="O3531" t="str">
        <x:v>https://www.activesportstrade.co.uk/trade-convienience</x:v>
      </x:c>
      <x:c r="P3531" t="str"/>
      <x:c r="Q3531" t="str"/>
      <x:c r="R3531" t="str"/>
      <x:c r="S3531" t="str">
        <x:v>Pending genuine supplier/brand image</x:v>
      </x:c>
      <x:c r="T3531" s="54" t="n">
        <x:v>13.99</x:v>
      </x:c>
      <x:c r="U3531" s="47" t="n">
        <x:v>0.2</x:v>
      </x:c>
      <x:c r="V3531" s="54" t="n">
        <x:f>IF(ISNUMBER(T3531),T3531*(1+U3531),"")</x:f>
        <x:v>16.788</x:v>
      </x:c>
      <x:c r="W3531" s="47" t="n">
        <x:v>0.3</x:v>
      </x:c>
      <x:c r="X3531" s="54" t="n">
        <x:f>IF(ISNUMBER(V3531),V3531/(1-W3531),"")</x:f>
        <x:v>23.982857142857146</x:v>
      </x:c>
      <x:c r="Y3531" s="55" t="n">
        <x:f>IF(ISNUMBER(X3531),ROUNDUP(X3531,0),"")</x:f>
        <x:v>24</x:v>
      </x:c>
      <x:c r="Z3531" t="str">
        <x:v>Source match pending</x:v>
      </x:c>
      <x:c r="AA3531" t="str">
        <x:v>screencapture-www-activesportstrade-co-uk-mars-protein-trade-2026-09-09-18_38_45.png / page-001</x:v>
      </x:c>
      <x:c r="AB3531" s="36" t="n">
        <x:f>IF(ISNUMBER(Y3531),ROUND(Y3531*0.9,2),"")</x:f>
        <x:v>21.6</x:v>
      </x:c>
      <x:c r="AC3531" s="36" t="n">
        <x:f>IF(ISNUMBER(AB3531),ROUND(AB3531-(AB3531*0.015+0.2)-V3531,2),"")</x:f>
        <x:v>4.29</x:v>
      </x:c>
      <x:c r="AD3531" s="36" t="n">
        <x:f>IF(ISNUMBER(Y3531),ROUND(Y3531*0.8,2),"")</x:f>
        <x:v>19.2</x:v>
      </x:c>
      <x:c r="AE3531" s="36" t="n">
        <x:f>IF(ISNUMBER(AD3531),ROUND(AD3531*0.015+0.2,2),"")</x:f>
        <x:v>0.49</x:v>
      </x:c>
      <x:c r="AF3531" s="36" t="n">
        <x:f>IF(ISNUMBER(AD3531),ROUND(AD3531-AE3531-V3531,2),"")</x:f>
        <x:v>1.92</x:v>
      </x:c>
      <x:c r="AG3531" t="str">
        <x:f>IF(NOT(ISNUMBER(T3531)),"PENDING",IF(AF3531&gt;0,"PASS","FAIL"))</x:f>
        <x:v>PASS</x:v>
      </x:c>
      <x:c r="AH3531" t="str">
        <x:f>IF(NOT(ISNUMBER(T3531)),"Needs supplier cost",IF(K3531&lt;&gt;"In stock","Supplier unavailable",IF(AG3531&lt;&gt;"PASS","BLOCK - GT loss risk","Commercially protected")))</x:f>
        <x:v>Commercially protected</x:v>
      </x:c>
      <x:c r="AI3531" t="str">
        <x:v>2026-09-10 Active Sports trade capture</x:v>
      </x:c>
      <x:c r="AJ3531" t="str">
        <x:v>Management-only economics. Stripe stress test uses 1.5% + £0.20 standard UK online-card fee; pallet/mix-and-match pricing ignored.</x:v>
      </x:c>
    </x:row>
    <x:row r="3532">
      <x:c r="A3532" t="str">
        <x:v>Active Sports Nutrition</x:v>
      </x:c>
      <x:c r="B3532" t="str">
        <x:v>Snickers</x:v>
      </x:c>
      <x:c r="C3532" t="str">
        <x:v>Hi Protein Bars</x:v>
      </x:c>
      <x:c r="D3532" t="str">
        <x:v>Food &amp; Drinks</x:v>
      </x:c>
      <x:c r="E3532" t="str">
        <x:v>Protein Bars</x:v>
      </x:c>
      <x:c r="F3532" t="str"/>
      <x:c r="G3532" t="str">
        <x:v>12 x 55g bars</x:v>
      </x:c>
      <x:c r="H3532" t="str">
        <x:v>Chocolate Crisp</x:v>
      </x:c>
      <x:c r="I3532" t="str">
        <x:v>12</x:v>
      </x:c>
      <x:c r="J3532" t="str">
        <x:v>Case</x:v>
      </x:c>
      <x:c r="K3532" t="str">
        <x:v>Out of stock</x:v>
      </x:c>
      <x:c r="L3532" t="str">
        <x:v>2026-09-08</x:v>
      </x:c>
      <x:c r="M3532" t="str"/>
      <x:c r="N3532" t="str"/>
      <x:c r="O3532" t="str">
        <x:v>https://www.activesportstrade.co.uk/trade-convienience</x:v>
      </x:c>
      <x:c r="P3532" t="str">
        <x:v>Current Drinks &amp; Bars page used instead of older brand-page stock state.</x:v>
      </x:c>
      <x:c r="Q3532" t="str"/>
      <x:c r="R3532" t="str"/>
      <x:c r="S3532" t="str">
        <x:v>Pending genuine supplier/brand image</x:v>
      </x:c>
      <x:c r="T3532" s="54" t="n">
        <x:v>18.77</x:v>
      </x:c>
      <x:c r="U3532" s="47" t="n">
        <x:v>0.2</x:v>
      </x:c>
      <x:c r="V3532" s="54" t="n">
        <x:f>IF(ISNUMBER(T3532),T3532*(1+U3532),"")</x:f>
        <x:v>22.523999999999997</x:v>
      </x:c>
      <x:c r="W3532" s="47" t="n">
        <x:v>0.3</x:v>
      </x:c>
      <x:c r="X3532" s="54" t="n">
        <x:f>IF(ISNUMBER(V3532),V3532/(1-W3532),"")</x:f>
        <x:v>32.177142857142854</x:v>
      </x:c>
      <x:c r="Y3532" s="55" t="n">
        <x:f>IF(ISNUMBER(X3532),ROUNDUP(X3532,0),"")</x:f>
        <x:v>33</x:v>
      </x:c>
      <x:c r="Z3532" t="str">
        <x:v>Source match pending</x:v>
      </x:c>
      <x:c r="AA3532" t="str">
        <x:v>screencapture-www-activesportstrade-co-uk-snickers-protein-trade-2026-09-09-18_57_01.png / page-001</x:v>
      </x:c>
      <x:c r="AB3532" s="36" t="n">
        <x:f>IF(ISNUMBER(Y3532),ROUND(Y3532*0.9,2),"")</x:f>
        <x:v>29.7</x:v>
      </x:c>
      <x:c r="AC3532" s="36" t="n">
        <x:f>IF(ISNUMBER(AB3532),ROUND(AB3532-(AB3532*0.015+0.2)-V3532,2),"")</x:f>
        <x:v>6.53</x:v>
      </x:c>
      <x:c r="AD3532" s="36" t="n">
        <x:f>IF(ISNUMBER(Y3532),ROUND(Y3532*0.8,2),"")</x:f>
        <x:v>26.4</x:v>
      </x:c>
      <x:c r="AE3532" s="36" t="n">
        <x:f>IF(ISNUMBER(AD3532),ROUND(AD3532*0.015+0.2,2),"")</x:f>
        <x:v>0.6</x:v>
      </x:c>
      <x:c r="AF3532" s="36" t="n">
        <x:f>IF(ISNUMBER(AD3532),ROUND(AD3532-AE3532-V3532,2),"")</x:f>
        <x:v>3.28</x:v>
      </x:c>
      <x:c r="AG3532" t="str">
        <x:f>IF(NOT(ISNUMBER(T3532)),"PENDING",IF(AF3532&gt;0,"PASS","FAIL"))</x:f>
        <x:v>PASS</x:v>
      </x:c>
      <x:c r="AH3532" t="str">
        <x:f>IF(NOT(ISNUMBER(T3532)),"Needs supplier cost",IF(K3532&lt;&gt;"In stock","Supplier unavailable",IF(AG3532&lt;&gt;"PASS","BLOCK - GT loss risk","Commercially protected")))</x:f>
        <x:v>Supplier unavailable</x:v>
      </x:c>
      <x:c r="AI3532" t="str">
        <x:v>2026-09-10 Active Sports trade capture</x:v>
      </x:c>
      <x:c r="AJ3532" t="str">
        <x:v>Management-only economics. Stripe stress test uses 1.5% + £0.20 standard UK online-card fee; pallet/mix-and-match pricing ignored.</x:v>
      </x:c>
    </x:row>
    <x:row r="3533">
      <x:c r="A3533" t="str">
        <x:v>Active Sports Nutrition</x:v>
      </x:c>
      <x:c r="B3533" t="str">
        <x:v>Snickers</x:v>
      </x:c>
      <x:c r="C3533" t="str">
        <x:v>Hi Protein Bars</x:v>
      </x:c>
      <x:c r="D3533" t="str">
        <x:v>Food &amp; Drinks</x:v>
      </x:c>
      <x:c r="E3533" t="str">
        <x:v>Protein Bars</x:v>
      </x:c>
      <x:c r="F3533" t="str"/>
      <x:c r="G3533" t="str">
        <x:v>12 x 55g bars</x:v>
      </x:c>
      <x:c r="H3533" t="str">
        <x:v>Peanut Butter</x:v>
      </x:c>
      <x:c r="I3533" t="str">
        <x:v>12</x:v>
      </x:c>
      <x:c r="J3533" t="str">
        <x:v>Case</x:v>
      </x:c>
      <x:c r="K3533" t="str">
        <x:v>Out of stock</x:v>
      </x:c>
      <x:c r="L3533" t="str">
        <x:v>2026-09-08</x:v>
      </x:c>
      <x:c r="M3533" t="str"/>
      <x:c r="N3533" t="str"/>
      <x:c r="O3533" t="str">
        <x:v>https://www.activesportstrade.co.uk/trade-convienience</x:v>
      </x:c>
      <x:c r="P3533" t="str">
        <x:v>Current Drinks &amp; Bars page used instead of older brand-page stock state.</x:v>
      </x:c>
      <x:c r="Q3533" t="str"/>
      <x:c r="R3533" t="str"/>
      <x:c r="S3533" t="str">
        <x:v>Pending genuine supplier/brand image</x:v>
      </x:c>
      <x:c r="T3533" s="54" t="n">
        <x:v>18.77</x:v>
      </x:c>
      <x:c r="U3533" s="47" t="n">
        <x:v>0.2</x:v>
      </x:c>
      <x:c r="V3533" s="54" t="n">
        <x:f>IF(ISNUMBER(T3533),T3533*(1+U3533),"")</x:f>
        <x:v>22.523999999999997</x:v>
      </x:c>
      <x:c r="W3533" s="47" t="n">
        <x:v>0.3</x:v>
      </x:c>
      <x:c r="X3533" s="54" t="n">
        <x:f>IF(ISNUMBER(V3533),V3533/(1-W3533),"")</x:f>
        <x:v>32.177142857142854</x:v>
      </x:c>
      <x:c r="Y3533" s="55" t="n">
        <x:f>IF(ISNUMBER(X3533),ROUNDUP(X3533,0),"")</x:f>
        <x:v>33</x:v>
      </x:c>
      <x:c r="Z3533" t="str">
        <x:v>Source match pending</x:v>
      </x:c>
      <x:c r="AA3533" t="str">
        <x:v>screencapture-www-activesportstrade-co-uk-snickers-protein-trade-2026-09-09-18_57_01.png / page-001</x:v>
      </x:c>
      <x:c r="AB3533" s="36" t="n">
        <x:f>IF(ISNUMBER(Y3533),ROUND(Y3533*0.9,2),"")</x:f>
        <x:v>29.7</x:v>
      </x:c>
      <x:c r="AC3533" s="36" t="n">
        <x:f>IF(ISNUMBER(AB3533),ROUND(AB3533-(AB3533*0.015+0.2)-V3533,2),"")</x:f>
        <x:v>6.53</x:v>
      </x:c>
      <x:c r="AD3533" s="36" t="n">
        <x:f>IF(ISNUMBER(Y3533),ROUND(Y3533*0.8,2),"")</x:f>
        <x:v>26.4</x:v>
      </x:c>
      <x:c r="AE3533" s="36" t="n">
        <x:f>IF(ISNUMBER(AD3533),ROUND(AD3533*0.015+0.2,2),"")</x:f>
        <x:v>0.6</x:v>
      </x:c>
      <x:c r="AF3533" s="36" t="n">
        <x:f>IF(ISNUMBER(AD3533),ROUND(AD3533-AE3533-V3533,2),"")</x:f>
        <x:v>3.28</x:v>
      </x:c>
      <x:c r="AG3533" t="str">
        <x:f>IF(NOT(ISNUMBER(T3533)),"PENDING",IF(AF3533&gt;0,"PASS","FAIL"))</x:f>
        <x:v>PASS</x:v>
      </x:c>
      <x:c r="AH3533" t="str">
        <x:f>IF(NOT(ISNUMBER(T3533)),"Needs supplier cost",IF(K3533&lt;&gt;"In stock","Supplier unavailable",IF(AG3533&lt;&gt;"PASS","BLOCK - GT loss risk","Commercially protected")))</x:f>
        <x:v>Supplier unavailable</x:v>
      </x:c>
      <x:c r="AI3533" t="str">
        <x:v>2026-09-10 Active Sports trade capture</x:v>
      </x:c>
      <x:c r="AJ3533" t="str">
        <x:v>Management-only economics. Stripe stress test uses 1.5% + £0.20 standard UK online-card fee; pallet/mix-and-match pricing ignored.</x:v>
      </x:c>
    </x:row>
    <x:row r="3534">
      <x:c r="A3534" t="str">
        <x:v>Active Sports Nutrition</x:v>
      </x:c>
      <x:c r="B3534" t="str">
        <x:v>Snickers</x:v>
      </x:c>
      <x:c r="C3534" t="str">
        <x:v>Low Sugar Protein Bar</x:v>
      </x:c>
      <x:c r="D3534" t="str">
        <x:v>Food &amp; Drinks</x:v>
      </x:c>
      <x:c r="E3534" t="str">
        <x:v>Protein Bars</x:v>
      </x:c>
      <x:c r="F3534" t="str"/>
      <x:c r="G3534" t="str">
        <x:v>12 x 57g bars</x:v>
      </x:c>
      <x:c r="H3534" t="str">
        <x:v>Dark Chocolate</x:v>
      </x:c>
      <x:c r="I3534" t="str">
        <x:v>12</x:v>
      </x:c>
      <x:c r="J3534" t="str">
        <x:v>Case</x:v>
      </x:c>
      <x:c r="K3534" t="str">
        <x:v>Out of stock</x:v>
      </x:c>
      <x:c r="L3534" t="str">
        <x:v>2026-09-08</x:v>
      </x:c>
      <x:c r="M3534" t="str"/>
      <x:c r="N3534" t="str"/>
      <x:c r="O3534" t="str">
        <x:v>https://www.activesportstrade.co.uk/trade-convienience</x:v>
      </x:c>
      <x:c r="P3534" t="str"/>
      <x:c r="Q3534" t="str"/>
      <x:c r="R3534" t="str"/>
      <x:c r="S3534" t="str">
        <x:v>Pending genuine supplier/brand image</x:v>
      </x:c>
      <x:c r="T3534" s="54" t="n">
        <x:v>18.77</x:v>
      </x:c>
      <x:c r="U3534" s="47" t="n">
        <x:v>0.2</x:v>
      </x:c>
      <x:c r="V3534" s="54" t="n">
        <x:f>IF(ISNUMBER(T3534),T3534*(1+U3534),"")</x:f>
        <x:v>22.523999999999997</x:v>
      </x:c>
      <x:c r="W3534" s="47" t="n">
        <x:v>0.3</x:v>
      </x:c>
      <x:c r="X3534" s="54" t="n">
        <x:f>IF(ISNUMBER(V3534),V3534/(1-W3534),"")</x:f>
        <x:v>32.177142857142854</x:v>
      </x:c>
      <x:c r="Y3534" s="55" t="n">
        <x:f>IF(ISNUMBER(X3534),ROUNDUP(X3534,0),"")</x:f>
        <x:v>33</x:v>
      </x:c>
      <x:c r="Z3534" t="str">
        <x:v>Source match pending</x:v>
      </x:c>
      <x:c r="AA3534" t="str">
        <x:v>screencapture-www-activesportstrade-co-uk-snickers-protein-trade-2026-09-09-18_57_01.png / page-001</x:v>
      </x:c>
      <x:c r="AB3534" s="36" t="n">
        <x:f>IF(ISNUMBER(Y3534),ROUND(Y3534*0.9,2),"")</x:f>
        <x:v>29.7</x:v>
      </x:c>
      <x:c r="AC3534" s="36" t="n">
        <x:f>IF(ISNUMBER(AB3534),ROUND(AB3534-(AB3534*0.015+0.2)-V3534,2),"")</x:f>
        <x:v>6.53</x:v>
      </x:c>
      <x:c r="AD3534" s="36" t="n">
        <x:f>IF(ISNUMBER(Y3534),ROUND(Y3534*0.8,2),"")</x:f>
        <x:v>26.4</x:v>
      </x:c>
      <x:c r="AE3534" s="36" t="n">
        <x:f>IF(ISNUMBER(AD3534),ROUND(AD3534*0.015+0.2,2),"")</x:f>
        <x:v>0.6</x:v>
      </x:c>
      <x:c r="AF3534" s="36" t="n">
        <x:f>IF(ISNUMBER(AD3534),ROUND(AD3534-AE3534-V3534,2),"")</x:f>
        <x:v>3.28</x:v>
      </x:c>
      <x:c r="AG3534" t="str">
        <x:f>IF(NOT(ISNUMBER(T3534)),"PENDING",IF(AF3534&gt;0,"PASS","FAIL"))</x:f>
        <x:v>PASS</x:v>
      </x:c>
      <x:c r="AH3534" t="str">
        <x:f>IF(NOT(ISNUMBER(T3534)),"Needs supplier cost",IF(K3534&lt;&gt;"In stock","Supplier unavailable",IF(AG3534&lt;&gt;"PASS","BLOCK - GT loss risk","Commercially protected")))</x:f>
        <x:v>Supplier unavailable</x:v>
      </x:c>
      <x:c r="AI3534" t="str">
        <x:v>2026-09-10 Active Sports trade capture</x:v>
      </x:c>
      <x:c r="AJ3534" t="str">
        <x:v>Management-only economics. Stripe stress test uses 1.5% + £0.20 standard UK online-card fee; pallet/mix-and-match pricing ignored.</x:v>
      </x:c>
    </x:row>
    <x:row r="3535">
      <x:c r="A3535" t="str">
        <x:v>Active Sports Nutrition</x:v>
      </x:c>
      <x:c r="B3535" t="str">
        <x:v>Snickers</x:v>
      </x:c>
      <x:c r="C3535" t="str">
        <x:v>Low Sugar Protein Bar</x:v>
      </x:c>
      <x:c r="D3535" t="str">
        <x:v>Food &amp; Drinks</x:v>
      </x:c>
      <x:c r="E3535" t="str">
        <x:v>Protein Bars</x:v>
      </x:c>
      <x:c r="F3535" t="str"/>
      <x:c r="G3535" t="str">
        <x:v>12 x 57g bars</x:v>
      </x:c>
      <x:c r="H3535" t="str">
        <x:v>Hazelnut Milk Chocolate</x:v>
      </x:c>
      <x:c r="I3535" t="str">
        <x:v>12</x:v>
      </x:c>
      <x:c r="J3535" t="str">
        <x:v>Case</x:v>
      </x:c>
      <x:c r="K3535" t="str">
        <x:v>In stock</x:v>
      </x:c>
      <x:c r="L3535" t="str">
        <x:v>2026-09-08</x:v>
      </x:c>
      <x:c r="M3535" t="str"/>
      <x:c r="N3535" t="str"/>
      <x:c r="O3535" t="str">
        <x:v>https://www.activesportstrade.co.uk/trade-convienience</x:v>
      </x:c>
      <x:c r="P3535" t="str"/>
      <x:c r="Q3535" t="str"/>
      <x:c r="R3535" t="str"/>
      <x:c r="S3535" t="str">
        <x:v>Pending genuine supplier/brand image</x:v>
      </x:c>
      <x:c r="T3535" s="54" t="n">
        <x:v>18.77</x:v>
      </x:c>
      <x:c r="U3535" s="47" t="n">
        <x:v>0.2</x:v>
      </x:c>
      <x:c r="V3535" s="54" t="n">
        <x:f>IF(ISNUMBER(T3535),T3535*(1+U3535),"")</x:f>
        <x:v>22.523999999999997</x:v>
      </x:c>
      <x:c r="W3535" s="47" t="n">
        <x:v>0.3</x:v>
      </x:c>
      <x:c r="X3535" s="54" t="n">
        <x:f>IF(ISNUMBER(V3535),V3535/(1-W3535),"")</x:f>
        <x:v>32.177142857142854</x:v>
      </x:c>
      <x:c r="Y3535" s="55" t="n">
        <x:f>IF(ISNUMBER(X3535),ROUNDUP(X3535,0),"")</x:f>
        <x:v>33</x:v>
      </x:c>
      <x:c r="Z3535" t="str">
        <x:v>Source match pending</x:v>
      </x:c>
      <x:c r="AA3535" t="str">
        <x:v>screencapture-www-activesportstrade-co-uk-snickers-protein-trade-2026-09-09-18_57_01.png / page-001</x:v>
      </x:c>
      <x:c r="AB3535" s="36" t="n">
        <x:f>IF(ISNUMBER(Y3535),ROUND(Y3535*0.9,2),"")</x:f>
        <x:v>29.7</x:v>
      </x:c>
      <x:c r="AC3535" s="36" t="n">
        <x:f>IF(ISNUMBER(AB3535),ROUND(AB3535-(AB3535*0.015+0.2)-V3535,2),"")</x:f>
        <x:v>6.53</x:v>
      </x:c>
      <x:c r="AD3535" s="36" t="n">
        <x:f>IF(ISNUMBER(Y3535),ROUND(Y3535*0.8,2),"")</x:f>
        <x:v>26.4</x:v>
      </x:c>
      <x:c r="AE3535" s="36" t="n">
        <x:f>IF(ISNUMBER(AD3535),ROUND(AD3535*0.015+0.2,2),"")</x:f>
        <x:v>0.6</x:v>
      </x:c>
      <x:c r="AF3535" s="36" t="n">
        <x:f>IF(ISNUMBER(AD3535),ROUND(AD3535-AE3535-V3535,2),"")</x:f>
        <x:v>3.28</x:v>
      </x:c>
      <x:c r="AG3535" t="str">
        <x:f>IF(NOT(ISNUMBER(T3535)),"PENDING",IF(AF3535&gt;0,"PASS","FAIL"))</x:f>
        <x:v>PASS</x:v>
      </x:c>
      <x:c r="AH3535" t="str">
        <x:f>IF(NOT(ISNUMBER(T3535)),"Needs supplier cost",IF(K3535&lt;&gt;"In stock","Supplier unavailable",IF(AG3535&lt;&gt;"PASS","BLOCK - GT loss risk","Commercially protected")))</x:f>
        <x:v>Commercially protected</x:v>
      </x:c>
      <x:c r="AI3535" t="str">
        <x:v>2026-09-10 Active Sports trade capture</x:v>
      </x:c>
      <x:c r="AJ3535" t="str">
        <x:v>Management-only economics. Stripe stress test uses 1.5% + £0.20 standard UK online-card fee; pallet/mix-and-match pricing ignored.</x:v>
      </x:c>
    </x:row>
    <x:row r="3536">
      <x:c r="A3536" t="str">
        <x:v>Active Sports Nutrition</x:v>
      </x:c>
      <x:c r="B3536" t="str">
        <x:v>Snickers</x:v>
      </x:c>
      <x:c r="C3536" t="str">
        <x:v>Low Sugar Protein Bar</x:v>
      </x:c>
      <x:c r="D3536" t="str">
        <x:v>Food &amp; Drinks</x:v>
      </x:c>
      <x:c r="E3536" t="str">
        <x:v>Protein Bars</x:v>
      </x:c>
      <x:c r="F3536" t="str"/>
      <x:c r="G3536" t="str">
        <x:v>12 x 57g bars</x:v>
      </x:c>
      <x:c r="H3536" t="str">
        <x:v>Original</x:v>
      </x:c>
      <x:c r="I3536" t="str">
        <x:v>12</x:v>
      </x:c>
      <x:c r="J3536" t="str">
        <x:v>Case</x:v>
      </x:c>
      <x:c r="K3536" t="str">
        <x:v>Out of stock</x:v>
      </x:c>
      <x:c r="L3536" t="str">
        <x:v>2026-09-08</x:v>
      </x:c>
      <x:c r="M3536" t="str"/>
      <x:c r="N3536" t="str"/>
      <x:c r="O3536" t="str">
        <x:v>https://www.activesportstrade.co.uk/trade-convienience</x:v>
      </x:c>
      <x:c r="P3536" t="str"/>
      <x:c r="Q3536" t="str"/>
      <x:c r="R3536" t="str"/>
      <x:c r="S3536" t="str">
        <x:v>Pending genuine supplier/brand image</x:v>
      </x:c>
      <x:c r="T3536" s="54" t="n">
        <x:v>18.77</x:v>
      </x:c>
      <x:c r="U3536" s="47" t="n">
        <x:v>0.2</x:v>
      </x:c>
      <x:c r="V3536" s="54" t="n">
        <x:f>IF(ISNUMBER(T3536),T3536*(1+U3536),"")</x:f>
        <x:v>22.523999999999997</x:v>
      </x:c>
      <x:c r="W3536" s="47" t="n">
        <x:v>0.3</x:v>
      </x:c>
      <x:c r="X3536" s="54" t="n">
        <x:f>IF(ISNUMBER(V3536),V3536/(1-W3536),"")</x:f>
        <x:v>32.177142857142854</x:v>
      </x:c>
      <x:c r="Y3536" s="55" t="n">
        <x:f>IF(ISNUMBER(X3536),ROUNDUP(X3536,0),"")</x:f>
        <x:v>33</x:v>
      </x:c>
      <x:c r="Z3536" t="str">
        <x:v>Source match pending</x:v>
      </x:c>
      <x:c r="AA3536" t="str">
        <x:v>screencapture-www-activesportstrade-co-uk-snickers-protein-trade-2026-09-09-18_57_01.png / page-001</x:v>
      </x:c>
      <x:c r="AB3536" s="36" t="n">
        <x:f>IF(ISNUMBER(Y3536),ROUND(Y3536*0.9,2),"")</x:f>
        <x:v>29.7</x:v>
      </x:c>
      <x:c r="AC3536" s="36" t="n">
        <x:f>IF(ISNUMBER(AB3536),ROUND(AB3536-(AB3536*0.015+0.2)-V3536,2),"")</x:f>
        <x:v>6.53</x:v>
      </x:c>
      <x:c r="AD3536" s="36" t="n">
        <x:f>IF(ISNUMBER(Y3536),ROUND(Y3536*0.8,2),"")</x:f>
        <x:v>26.4</x:v>
      </x:c>
      <x:c r="AE3536" s="36" t="n">
        <x:f>IF(ISNUMBER(AD3536),ROUND(AD3536*0.015+0.2,2),"")</x:f>
        <x:v>0.6</x:v>
      </x:c>
      <x:c r="AF3536" s="36" t="n">
        <x:f>IF(ISNUMBER(AD3536),ROUND(AD3536-AE3536-V3536,2),"")</x:f>
        <x:v>3.28</x:v>
      </x:c>
      <x:c r="AG3536" t="str">
        <x:f>IF(NOT(ISNUMBER(T3536)),"PENDING",IF(AF3536&gt;0,"PASS","FAIL"))</x:f>
        <x:v>PASS</x:v>
      </x:c>
      <x:c r="AH3536" t="str">
        <x:f>IF(NOT(ISNUMBER(T3536)),"Needs supplier cost",IF(K3536&lt;&gt;"In stock","Supplier unavailable",IF(AG3536&lt;&gt;"PASS","BLOCK - GT loss risk","Commercially protected")))</x:f>
        <x:v>Supplier unavailable</x:v>
      </x:c>
      <x:c r="AI3536" t="str">
        <x:v>2026-09-10 Active Sports trade capture</x:v>
      </x:c>
      <x:c r="AJ3536" t="str">
        <x:v>Management-only economics. Stripe stress test uses 1.5% + £0.20 standard UK online-card fee; pallet/mix-and-match pricing ignored.</x:v>
      </x:c>
    </x:row>
    <x:row r="3537">
      <x:c r="A3537" t="str">
        <x:v>Active Sports Nutrition</x:v>
      </x:c>
      <x:c r="B3537" t="str">
        <x:v>Snickers</x:v>
      </x:c>
      <x:c r="C3537" t="str">
        <x:v>Low Sugar Protein Bar</x:v>
      </x:c>
      <x:c r="D3537" t="str">
        <x:v>Food &amp; Drinks</x:v>
      </x:c>
      <x:c r="E3537" t="str">
        <x:v>Protein Bars</x:v>
      </x:c>
      <x:c r="F3537" t="str"/>
      <x:c r="G3537" t="str">
        <x:v>12 x 57g bars</x:v>
      </x:c>
      <x:c r="H3537" t="str">
        <x:v>White</x:v>
      </x:c>
      <x:c r="I3537" t="str">
        <x:v>12</x:v>
      </x:c>
      <x:c r="J3537" t="str">
        <x:v>Case</x:v>
      </x:c>
      <x:c r="K3537" t="str">
        <x:v>In stock</x:v>
      </x:c>
      <x:c r="L3537" t="str">
        <x:v>2026-09-08</x:v>
      </x:c>
      <x:c r="M3537" t="str"/>
      <x:c r="N3537" t="str"/>
      <x:c r="O3537" t="str">
        <x:v>https://www.activesportstrade.co.uk/trade-convienience</x:v>
      </x:c>
      <x:c r="P3537" t="str"/>
      <x:c r="Q3537" t="str"/>
      <x:c r="R3537" t="str"/>
      <x:c r="S3537" t="str">
        <x:v>Pending genuine supplier/brand image</x:v>
      </x:c>
      <x:c r="T3537" s="54" t="n">
        <x:v>18.77</x:v>
      </x:c>
      <x:c r="U3537" s="47" t="n">
        <x:v>0.2</x:v>
      </x:c>
      <x:c r="V3537" s="54" t="n">
        <x:f>IF(ISNUMBER(T3537),T3537*(1+U3537),"")</x:f>
        <x:v>22.523999999999997</x:v>
      </x:c>
      <x:c r="W3537" s="47" t="n">
        <x:v>0.3</x:v>
      </x:c>
      <x:c r="X3537" s="54" t="n">
        <x:f>IF(ISNUMBER(V3537),V3537/(1-W3537),"")</x:f>
        <x:v>32.177142857142854</x:v>
      </x:c>
      <x:c r="Y3537" s="55" t="n">
        <x:f>IF(ISNUMBER(X3537),ROUNDUP(X3537,0),"")</x:f>
        <x:v>33</x:v>
      </x:c>
      <x:c r="Z3537" t="str">
        <x:v>Source match pending</x:v>
      </x:c>
      <x:c r="AA3537" t="str">
        <x:v>screencapture-www-activesportstrade-co-uk-snickers-protein-trade-2026-09-09-18_57_01.png / page-001</x:v>
      </x:c>
      <x:c r="AB3537" s="36" t="n">
        <x:f>IF(ISNUMBER(Y3537),ROUND(Y3537*0.9,2),"")</x:f>
        <x:v>29.7</x:v>
      </x:c>
      <x:c r="AC3537" s="36" t="n">
        <x:f>IF(ISNUMBER(AB3537),ROUND(AB3537-(AB3537*0.015+0.2)-V3537,2),"")</x:f>
        <x:v>6.53</x:v>
      </x:c>
      <x:c r="AD3537" s="36" t="n">
        <x:f>IF(ISNUMBER(Y3537),ROUND(Y3537*0.8,2),"")</x:f>
        <x:v>26.4</x:v>
      </x:c>
      <x:c r="AE3537" s="36" t="n">
        <x:f>IF(ISNUMBER(AD3537),ROUND(AD3537*0.015+0.2,2),"")</x:f>
        <x:v>0.6</x:v>
      </x:c>
      <x:c r="AF3537" s="36" t="n">
        <x:f>IF(ISNUMBER(AD3537),ROUND(AD3537-AE3537-V3537,2),"")</x:f>
        <x:v>3.28</x:v>
      </x:c>
      <x:c r="AG3537" t="str">
        <x:f>IF(NOT(ISNUMBER(T3537)),"PENDING",IF(AF3537&gt;0,"PASS","FAIL"))</x:f>
        <x:v>PASS</x:v>
      </x:c>
      <x:c r="AH3537" t="str">
        <x:f>IF(NOT(ISNUMBER(T3537)),"Needs supplier cost",IF(K3537&lt;&gt;"In stock","Supplier unavailable",IF(AG3537&lt;&gt;"PASS","BLOCK - GT loss risk","Commercially protected")))</x:f>
        <x:v>Commercially protected</x:v>
      </x:c>
      <x:c r="AI3537" t="str">
        <x:v>2026-09-10 Active Sports trade capture</x:v>
      </x:c>
      <x:c r="AJ3537" t="str">
        <x:v>Management-only economics. Stripe stress test uses 1.5% + £0.20 standard UK online-card fee; pallet/mix-and-match pricing ignored.</x:v>
      </x:c>
    </x:row>
    <x:row r="3538">
      <x:c r="A3538" t="str">
        <x:v>Active Sports Nutrition</x:v>
      </x:c>
      <x:c r="B3538" t="str">
        <x:v>Snickers</x:v>
      </x:c>
      <x:c r="C3538" t="str">
        <x:v>Protein Cookie</x:v>
      </x:c>
      <x:c r="D3538" t="str">
        <x:v>Food &amp; Drinks</x:v>
      </x:c>
      <x:c r="E3538" t="str">
        <x:v>Protein Cookies</x:v>
      </x:c>
      <x:c r="F3538" t="str"/>
      <x:c r="G3538" t="str">
        <x:v>12 x 60g cookies</x:v>
      </x:c>
      <x:c r="H3538" t="str">
        <x:v>Original - Chocolate Peanut</x:v>
      </x:c>
      <x:c r="I3538" t="str">
        <x:v>12</x:v>
      </x:c>
      <x:c r="J3538" t="str">
        <x:v>Case</x:v>
      </x:c>
      <x:c r="K3538" t="str">
        <x:v>In stock</x:v>
      </x:c>
      <x:c r="L3538" t="str">
        <x:v>2026-09-08</x:v>
      </x:c>
      <x:c r="M3538" t="str"/>
      <x:c r="N3538" t="str"/>
      <x:c r="O3538" t="str">
        <x:v>https://www.activesportstrade.co.uk/trade-convienience</x:v>
      </x:c>
      <x:c r="P3538" t="str"/>
      <x:c r="Q3538" t="str"/>
      <x:c r="R3538" t="str"/>
      <x:c r="S3538" t="str">
        <x:v>Pending genuine supplier/brand image</x:v>
      </x:c>
      <x:c r="T3538" s="54" t="n">
        <x:v>15.49</x:v>
      </x:c>
      <x:c r="U3538" s="47" t="n">
        <x:v>0.2</x:v>
      </x:c>
      <x:c r="V3538" s="54" t="n">
        <x:f>IF(ISNUMBER(T3538),T3538*(1+U3538),"")</x:f>
        <x:v>18.588</x:v>
      </x:c>
      <x:c r="W3538" s="47" t="n">
        <x:v>0.3</x:v>
      </x:c>
      <x:c r="X3538" s="54" t="n">
        <x:f>IF(ISNUMBER(V3538),V3538/(1-W3538),"")</x:f>
        <x:v>26.55428571428572</x:v>
      </x:c>
      <x:c r="Y3538" s="55" t="n">
        <x:f>IF(ISNUMBER(X3538),ROUNDUP(X3538,0),"")</x:f>
        <x:v>27</x:v>
      </x:c>
      <x:c r="Z3538" t="str">
        <x:v>Source match pending</x:v>
      </x:c>
      <x:c r="AA3538" t="str">
        <x:v>screencapture-www-activesportstrade-co-uk-snickers-protein-trade-2026-09-09-18_57_01.png / page-001</x:v>
      </x:c>
      <x:c r="AB3538" s="36" t="n">
        <x:f>IF(ISNUMBER(Y3538),ROUND(Y3538*0.9,2),"")</x:f>
        <x:v>24.3</x:v>
      </x:c>
      <x:c r="AC3538" s="36" t="n">
        <x:f>IF(ISNUMBER(AB3538),ROUND(AB3538-(AB3538*0.015+0.2)-V3538,2),"")</x:f>
        <x:v>5.15</x:v>
      </x:c>
      <x:c r="AD3538" s="36" t="n">
        <x:f>IF(ISNUMBER(Y3538),ROUND(Y3538*0.8,2),"")</x:f>
        <x:v>21.6</x:v>
      </x:c>
      <x:c r="AE3538" s="36" t="n">
        <x:f>IF(ISNUMBER(AD3538),ROUND(AD3538*0.015+0.2,2),"")</x:f>
        <x:v>0.52</x:v>
      </x:c>
      <x:c r="AF3538" s="36" t="n">
        <x:f>IF(ISNUMBER(AD3538),ROUND(AD3538-AE3538-V3538,2),"")</x:f>
        <x:v>2.49</x:v>
      </x:c>
      <x:c r="AG3538" t="str">
        <x:f>IF(NOT(ISNUMBER(T3538)),"PENDING",IF(AF3538&gt;0,"PASS","FAIL"))</x:f>
        <x:v>PASS</x:v>
      </x:c>
      <x:c r="AH3538" t="str">
        <x:f>IF(NOT(ISNUMBER(T3538)),"Needs supplier cost",IF(K3538&lt;&gt;"In stock","Supplier unavailable",IF(AG3538&lt;&gt;"PASS","BLOCK - GT loss risk","Commercially protected")))</x:f>
        <x:v>Commercially protected</x:v>
      </x:c>
      <x:c r="AI3538" t="str">
        <x:v>2026-09-10 Active Sports trade capture</x:v>
      </x:c>
      <x:c r="AJ3538" t="str">
        <x:v>Management-only economics. Stripe stress test uses 1.5% + £0.20 standard UK online-card fee; pallet/mix-and-match pricing ignored.</x:v>
      </x:c>
    </x:row>
    <x:row r="3539">
      <x:c r="A3539" t="str">
        <x:v>Active Sports Nutrition</x:v>
      </x:c>
      <x:c r="B3539" t="str">
        <x:v>Snickers</x:v>
      </x:c>
      <x:c r="C3539" t="str">
        <x:v>Protein Cookie</x:v>
      </x:c>
      <x:c r="D3539" t="str">
        <x:v>Food &amp; Drinks</x:v>
      </x:c>
      <x:c r="E3539" t="str">
        <x:v>Protein Cookies</x:v>
      </x:c>
      <x:c r="F3539" t="str"/>
      <x:c r="G3539" t="str">
        <x:v>12 x 60g cookies</x:v>
      </x:c>
      <x:c r="H3539" t="str">
        <x:v>White Chocolate</x:v>
      </x:c>
      <x:c r="I3539" t="str">
        <x:v>12</x:v>
      </x:c>
      <x:c r="J3539" t="str">
        <x:v>Case</x:v>
      </x:c>
      <x:c r="K3539" t="str">
        <x:v>In stock</x:v>
      </x:c>
      <x:c r="L3539" t="str">
        <x:v>2026-09-08</x:v>
      </x:c>
      <x:c r="M3539" t="str"/>
      <x:c r="N3539" t="str"/>
      <x:c r="O3539" t="str">
        <x:v>https://www.activesportstrade.co.uk/trade-convienience</x:v>
      </x:c>
      <x:c r="P3539" t="str"/>
      <x:c r="Q3539" t="str"/>
      <x:c r="R3539" t="str"/>
      <x:c r="S3539" t="str">
        <x:v>Pending genuine supplier/brand image</x:v>
      </x:c>
      <x:c r="T3539" s="54" t="n">
        <x:v>15.49</x:v>
      </x:c>
      <x:c r="U3539" s="47" t="n">
        <x:v>0.2</x:v>
      </x:c>
      <x:c r="V3539" s="54" t="n">
        <x:f>IF(ISNUMBER(T3539),T3539*(1+U3539),"")</x:f>
        <x:v>18.588</x:v>
      </x:c>
      <x:c r="W3539" s="47" t="n">
        <x:v>0.3</x:v>
      </x:c>
      <x:c r="X3539" s="54" t="n">
        <x:f>IF(ISNUMBER(V3539),V3539/(1-W3539),"")</x:f>
        <x:v>26.55428571428572</x:v>
      </x:c>
      <x:c r="Y3539" s="55" t="n">
        <x:f>IF(ISNUMBER(X3539),ROUNDUP(X3539,0),"")</x:f>
        <x:v>27</x:v>
      </x:c>
      <x:c r="Z3539" t="str">
        <x:v>Source match pending</x:v>
      </x:c>
      <x:c r="AA3539" t="str">
        <x:v>screencapture-www-activesportstrade-co-uk-snickers-protein-trade-2026-09-09-18_57_01.png / page-001</x:v>
      </x:c>
      <x:c r="AB3539" s="36" t="n">
        <x:f>IF(ISNUMBER(Y3539),ROUND(Y3539*0.9,2),"")</x:f>
        <x:v>24.3</x:v>
      </x:c>
      <x:c r="AC3539" s="36" t="n">
        <x:f>IF(ISNUMBER(AB3539),ROUND(AB3539-(AB3539*0.015+0.2)-V3539,2),"")</x:f>
        <x:v>5.15</x:v>
      </x:c>
      <x:c r="AD3539" s="36" t="n">
        <x:f>IF(ISNUMBER(Y3539),ROUND(Y3539*0.8,2),"")</x:f>
        <x:v>21.6</x:v>
      </x:c>
      <x:c r="AE3539" s="36" t="n">
        <x:f>IF(ISNUMBER(AD3539),ROUND(AD3539*0.015+0.2,2),"")</x:f>
        <x:v>0.52</x:v>
      </x:c>
      <x:c r="AF3539" s="36" t="n">
        <x:f>IF(ISNUMBER(AD3539),ROUND(AD3539-AE3539-V3539,2),"")</x:f>
        <x:v>2.49</x:v>
      </x:c>
      <x:c r="AG3539" t="str">
        <x:f>IF(NOT(ISNUMBER(T3539)),"PENDING",IF(AF3539&gt;0,"PASS","FAIL"))</x:f>
        <x:v>PASS</x:v>
      </x:c>
      <x:c r="AH3539" t="str">
        <x:f>IF(NOT(ISNUMBER(T3539)),"Needs supplier cost",IF(K3539&lt;&gt;"In stock","Supplier unavailable",IF(AG3539&lt;&gt;"PASS","BLOCK - GT loss risk","Commercially protected")))</x:f>
        <x:v>Commercially protected</x:v>
      </x:c>
      <x:c r="AI3539" t="str">
        <x:v>2026-09-10 Active Sports trade capture</x:v>
      </x:c>
      <x:c r="AJ3539" t="str">
        <x:v>Management-only economics. Stripe stress test uses 1.5% + £0.20 standard UK online-card fee; pallet/mix-and-match pricing ignored.</x:v>
      </x:c>
    </x:row>
  </x:sheetData>
  <x:dataValidations count="1">
    <x:dataValidation type="list" sqref="K2:K500">
      <x:formula1>"In stock,Out of stock,Unknown"</x:formula1>
    </x:dataValidation>
  </x:dataValidations>
  <x:pageMargins left="0.7" right="0.7" top="0.75" bottom="0.75" header="0.3" footer="0.3"/>
  <x:tableParts count="1">
    <x:tablePart xmlns:r="http://schemas.openxmlformats.org/officeDocument/2006/relationships" r:id="Rb6f20f194b604e6e"/>
  </x:tableParts>
</x:worksheet>
</file>

<file path=xl/worksheets/sheet2.xml><?xml version="1.0" encoding="utf-8"?>
<x:worksheet xmlns:x="http://schemas.openxmlformats.org/spreadsheetml/2006/main">
  <x:sheetFormatPr defaultRowHeight="15"/>
  <x:cols>
    <x:col min="1" max="1" width="20" hidden="0" customWidth="1"/>
    <x:col min="2" max="2" width="34" hidden="0" customWidth="1"/>
    <x:col min="3" max="3" width="20" hidden="0" customWidth="1"/>
    <x:col min="4" max="4" width="24" hidden="0" customWidth="1"/>
    <x:col min="5" max="5" width="42" hidden="0" customWidth="1"/>
    <x:col min="6" max="6" width="14" hidden="0" customWidth="1"/>
    <x:col min="7" max="7" width="48" hidden="0" customWidth="1"/>
    <x:col min="8" max="8" width="48" hidden="0" customWidth="1"/>
    <x:col min="9" max="9" width="28" hidden="0" customWidth="1"/>
  </x:cols>
  <x:sheetData>
    <x:row r="1">
      <x:c r="A1" s="4" t="str">
        <x:v>Brand</x:v>
      </x:c>
      <x:c r="B1" s="4" t="str">
        <x:v>Parent Product</x:v>
      </x:c>
      <x:c r="C1" s="4" t="str">
        <x:v>Category</x:v>
      </x:c>
      <x:c r="D1" s="4" t="str">
        <x:v>Subcategory</x:v>
      </x:c>
      <x:c r="E1" s="4" t="str">
        <x:v>Sizes / Formats</x:v>
      </x:c>
      <x:c r="F1" s="4" t="str">
        <x:v>Variant Rows</x:v>
      </x:c>
      <x:c r="G1" s="4" t="str">
        <x:v>Source</x:v>
      </x:c>
      <x:c r="H1" s="18" t="str">
        <x:v>Parent Image URL</x:v>
      </x:c>
      <x:c r="I1" s="18" t="str">
        <x:v>Image Status</x:v>
      </x:c>
    </x:row>
    <x:row r="2">
      <x:c r="A2" s="10" t="str">
        <x:v>10X Athletic</x:v>
      </x:c>
      <x:c r="B2" s="10" t="str">
        <x:v>Extreme STIM Pre Workout</x:v>
      </x:c>
      <x:c r="C2" s="10" t="str">
        <x:v>Pre Workouts</x:v>
      </x:c>
      <x:c r="D2" s="10" t="str">
        <x:v>High Stim</x:v>
      </x:c>
      <x:c r="E2" s="10" t="str">
        <x:v>600g</x:v>
      </x:c>
      <x:c r="F2" s="10" t="n">
        <x:v>8</x:v>
      </x:c>
      <x:c r="G2" s="10" t="str">
        <x:v>https://www.activesportstrade.co.uk/trade-pre-workout-supplements</x:v>
      </x:c>
      <x:c r="I2" t="str">
        <x:v>Pending genuine supplier/brand image</x:v>
      </x:c>
    </x:row>
    <x:row r="3">
      <x:c r="A3" s="10" t="str">
        <x:v>10X Athletic</x:v>
      </x:c>
      <x:c r="B3" s="10" t="str">
        <x:v>Protein Bars</x:v>
      </x:c>
      <x:c r="C3" s="10" t="str">
        <x:v>Drinks and Bars</x:v>
      </x:c>
      <x:c r="D3" s="10" t="str">
        <x:v>Bars and Snacks</x:v>
      </x:c>
      <x:c r="E3" s="10" t="str">
        <x:v>12 x 55g bars</x:v>
      </x:c>
      <x:c r="F3" s="10" t="n">
        <x:v>8</x:v>
      </x:c>
      <x:c r="G3" s="10" t="str">
        <x:v>https://www.activesportstrade.co.uk/trade-convienience</x:v>
      </x:c>
      <x:c r="I3" t="str">
        <x:v>Pending genuine supplier/brand image</x:v>
      </x:c>
    </x:row>
    <x:row r="4">
      <x:c r="A4" s="10" t="str">
        <x:v>Applied Nutrition</x:v>
      </x:c>
      <x:c r="B4" s="10" t="str">
        <x:v>100% Micellar Casein</x:v>
      </x:c>
      <x:c r="C4" s="10" t="str">
        <x:v>Supplements</x:v>
      </x:c>
      <x:c r="D4" s="10" t="str">
        <x:v>Casein Protein</x:v>
      </x:c>
      <x:c r="E4" s="10" t="str">
        <x:v>1.8kg, 900g</x:v>
      </x:c>
      <x:c r="F4" s="10" t="n">
        <x:v>7</x:v>
      </x:c>
      <x:c r="G4" s="10" t="str">
        <x:v>https://www.activesportstrade.co.uk/applied-nutrition-trade</x:v>
      </x:c>
      <x:c r="I4" t="str">
        <x:v>Pending genuine supplier/brand image</x:v>
      </x:c>
    </x:row>
    <x:row r="5">
      <x:c r="A5" s="10" t="str">
        <x:v>Applied Nutrition</x:v>
      </x:c>
      <x:c r="B5" s="10" t="str">
        <x:v>ABE Energy + Performance RTD</x:v>
      </x:c>
      <x:c r="C5" s="10" t="str">
        <x:v>Drinks and Bars</x:v>
      </x:c>
      <x:c r="D5" s="10" t="str">
        <x:v>Ready to Drink Energy</x:v>
      </x:c>
      <x:c r="E5" s="10" t="str">
        <x:v>12 x 330ml cans</x:v>
      </x:c>
      <x:c r="F5" s="10" t="n">
        <x:v>10</x:v>
      </x:c>
      <x:c r="G5" s="10" t="str">
        <x:v>https://www.activesportstrade.co.uk/applied-nutrition-trade</x:v>
      </x:c>
      <x:c r="I5" t="str">
        <x:v>Pending genuine supplier/brand image</x:v>
      </x:c>
    </x:row>
    <x:row r="6">
      <x:c r="A6" s="10" t="str">
        <x:v>Applied Nutrition</x:v>
      </x:c>
      <x:c r="B6" s="10" t="str">
        <x:v>ABE Pre Workout</x:v>
      </x:c>
      <x:c r="C6" s="10" t="str">
        <x:v>Pre Workouts</x:v>
      </x:c>
      <x:c r="D6" s="10" t="str">
        <x:v>Pre Workout Powders</x:v>
      </x:c>
      <x:c r="E6" s="10" t="str">
        <x:v>30 servings, 12.5g single serving sachet</x:v>
      </x:c>
      <x:c r="F6" s="10" t="n">
        <x:v>20</x:v>
      </x:c>
      <x:c r="G6" s="10" t="str">
        <x:v>https://www.activesportstrade.co.uk/applied-nutrition-trade</x:v>
      </x:c>
      <x:c r="I6" t="str">
        <x:v>Pending genuine supplier/brand image</x:v>
      </x:c>
    </x:row>
    <x:row r="7">
      <x:c r="A7" s="10" t="str">
        <x:v>Applied Nutrition</x:v>
      </x:c>
      <x:c r="B7" s="10" t="str">
        <x:v>ABE Pump</x:v>
      </x:c>
      <x:c r="C7" s="10" t="str">
        <x:v>Pre Workouts</x:v>
      </x:c>
      <x:c r="D7" s="10" t="str">
        <x:v>Stim FREE</x:v>
      </x:c>
      <x:c r="E7" s="10" t="str">
        <x:v>500g</x:v>
      </x:c>
      <x:c r="F7" s="10" t="n">
        <x:v>5</x:v>
      </x:c>
      <x:c r="G7" s="10" t="str">
        <x:v>https://www.activesportstrade.co.uk/applied-nutrition-trade</x:v>
      </x:c>
      <x:c r="I7" t="str">
        <x:v>Pending genuine supplier/brand image</x:v>
      </x:c>
    </x:row>
    <x:row r="8">
      <x:c r="A8" s="10" t="str">
        <x:v>Applied Nutrition</x:v>
      </x:c>
      <x:c r="B8" s="10" t="str">
        <x:v>ABE Pump Shots</x:v>
      </x:c>
      <x:c r="C8" s="10" t="str">
        <x:v>Pre Workouts</x:v>
      </x:c>
      <x:c r="D8" s="10" t="str">
        <x:v>Shots and Ready To Drink</x:v>
      </x:c>
      <x:c r="E8" s="10" t="str">
        <x:v>12 x 100ml shots</x:v>
      </x:c>
      <x:c r="F8" s="10" t="n">
        <x:v>3</x:v>
      </x:c>
      <x:c r="G8" s="10" t="str">
        <x:v>https://www.activesportstrade.co.uk/applied-nutrition-trade</x:v>
      </x:c>
      <x:c r="I8" t="str">
        <x:v>Pending genuine supplier/brand image</x:v>
      </x:c>
    </x:row>
    <x:row r="9">
      <x:c r="A9" s="10" t="str">
        <x:v>Applied Nutrition</x:v>
      </x:c>
      <x:c r="B9" s="10" t="str">
        <x:v>ABE Shots</x:v>
      </x:c>
      <x:c r="C9" s="10" t="str">
        <x:v>Pre Workouts</x:v>
      </x:c>
      <x:c r="D9" s="10" t="str">
        <x:v>Shots and Ready To Drink</x:v>
      </x:c>
      <x:c r="E9" s="10" t="str">
        <x:v>12 x 60ml shots</x:v>
      </x:c>
      <x:c r="F9" s="10" t="n">
        <x:v>4</x:v>
      </x:c>
      <x:c r="G9" s="10" t="str">
        <x:v>https://www.activesportstrade.co.uk/applied-nutrition-trade</x:v>
      </x:c>
      <x:c r="I9" t="str">
        <x:v>Pending genuine supplier/brand image</x:v>
      </x:c>
    </x:row>
    <x:row r="10">
      <x:c r="A10" s="10" t="str">
        <x:v>Applied Nutrition</x:v>
      </x:c>
      <x:c r="B10" s="10" t="str">
        <x:v>Amino Fuel EAA</x:v>
      </x:c>
      <x:c r="C10" s="10" t="str">
        <x:v>Supplements</x:v>
      </x:c>
      <x:c r="D10" s="10" t="str">
        <x:v>Amino Acids</x:v>
      </x:c>
      <x:c r="E10" s="10" t="str">
        <x:v>30 servings</x:v>
      </x:c>
      <x:c r="F10" s="10" t="n">
        <x:v>8</x:v>
      </x:c>
      <x:c r="G10" s="10" t="str">
        <x:v>https://www.activesportstrade.co.uk/applied-nutrition-trade</x:v>
      </x:c>
      <x:c r="I10" t="str">
        <x:v>Pending genuine supplier/brand image</x:v>
      </x:c>
    </x:row>
    <x:row r="11">
      <x:c r="A11" s="10" t="str">
        <x:v>Applied Nutrition</x:v>
      </x:c>
      <x:c r="B11" s="10" t="str">
        <x:v>BCAA Amino Hydrate</x:v>
      </x:c>
      <x:c r="C11" s="10" t="str">
        <x:v>Supplements</x:v>
      </x:c>
      <x:c r="D11" s="10" t="str">
        <x:v>BCAAS</x:v>
      </x:c>
      <x:c r="E11" s="10" t="str">
        <x:v>32 servings, 1.4kg / 100 servings</x:v>
      </x:c>
      <x:c r="F11" s="10" t="n">
        <x:v>9</x:v>
      </x:c>
      <x:c r="G11" s="10" t="str">
        <x:v>https://www.activesportstrade.co.uk/applied-nutrition-trade</x:v>
      </x:c>
      <x:c r="I11" t="str">
        <x:v>Pending genuine supplier/brand image</x:v>
      </x:c>
    </x:row>
    <x:row r="12">
      <x:c r="A12" s="10" t="str">
        <x:v>Applied Nutrition</x:v>
      </x:c>
      <x:c r="B12" s="10" t="str">
        <x:v>Beef-XP Clear Beef Protein Isolate</x:v>
      </x:c>
      <x:c r="C12" s="10" t="str">
        <x:v>Supplements</x:v>
      </x:c>
      <x:c r="D12" s="10" t="str">
        <x:v>Protein Blends</x:v>
      </x:c>
      <x:c r="E12" s="10" t="str">
        <x:v>1.8kg, 30g single serving sachet</x:v>
      </x:c>
      <x:c r="F12" s="10" t="n">
        <x:v>16</x:v>
      </x:c>
      <x:c r="G12" s="10" t="str">
        <x:v>https://www.activesportstrade.co.uk/applied-nutrition-trade</x:v>
      </x:c>
      <x:c r="I12" t="str">
        <x:v>Pending genuine supplier/brand image</x:v>
      </x:c>
    </x:row>
    <x:row r="13">
      <x:c r="A13" s="10" t="str">
        <x:v>Applied Nutrition</x:v>
      </x:c>
      <x:c r="B13" s="10" t="str">
        <x:v>Beef-XP RTD</x:v>
      </x:c>
      <x:c r="C13" s="10" t="str">
        <x:v>Drinks and Bars</x:v>
      </x:c>
      <x:c r="D13" s="10" t="str">
        <x:v>Ready to Drink Protein</x:v>
      </x:c>
      <x:c r="E13" s="10" t="str">
        <x:v>12 x 500ml cans</x:v>
      </x:c>
      <x:c r="F13" s="10" t="n">
        <x:v>4</x:v>
      </x:c>
      <x:c r="G13" s="10" t="str">
        <x:v>https://www.activesportstrade.co.uk/applied-nutrition-trade</x:v>
      </x:c>
      <x:c r="I13" t="str">
        <x:v>Pending genuine supplier/brand image</x:v>
      </x:c>
    </x:row>
    <x:row r="14">
      <x:c r="A14" s="10" t="str">
        <x:v>Applied Nutrition</x:v>
      </x:c>
      <x:c r="B14" s="10" t="str">
        <x:v>Body Fuel Electrolyte Water</x:v>
      </x:c>
      <x:c r="C14" s="10" t="str">
        <x:v>Drinks and Bars</x:v>
      </x:c>
      <x:c r="D14" s="10" t="str">
        <x:v>Ready to Drink Hydration</x:v>
      </x:c>
      <x:c r="E14" s="10" t="str">
        <x:v>12 x 500ml bottles</x:v>
      </x:c>
      <x:c r="F14" s="10" t="n">
        <x:v>4</x:v>
      </x:c>
      <x:c r="G14" s="10" t="str">
        <x:v>https://www.activesportstrade.co.uk/applied-nutrition-trade</x:v>
      </x:c>
      <x:c r="I14" t="str">
        <x:v>Pending genuine supplier/brand image</x:v>
      </x:c>
    </x:row>
    <x:row r="15">
      <x:c r="A15" s="10" t="str">
        <x:v>Applied Nutrition</x:v>
      </x:c>
      <x:c r="B15" s="10" t="str">
        <x:v>Body Fuel Energy</x:v>
      </x:c>
      <x:c r="C15" s="10" t="str">
        <x:v>Drinks and Bars</x:v>
      </x:c>
      <x:c r="D15" s="10" t="str">
        <x:v>Ready to Drink Energy</x:v>
      </x:c>
      <x:c r="E15" s="10" t="str">
        <x:v>12 x 330ml cans</x:v>
      </x:c>
      <x:c r="F15" s="10" t="n">
        <x:v>3</x:v>
      </x:c>
      <x:c r="G15" s="10" t="str">
        <x:v>https://www.activesportstrade.co.uk/applied-nutrition-trade</x:v>
      </x:c>
      <x:c r="I15" t="str">
        <x:v>Pending genuine supplier/brand image</x:v>
      </x:c>
    </x:row>
    <x:row r="16">
      <x:c r="A16" s="10" t="str">
        <x:v>Applied Nutrition</x:v>
      </x:c>
      <x:c r="B16" s="10" t="str">
        <x:v>Carb-X</x:v>
      </x:c>
      <x:c r="C16" s="10" t="str">
        <x:v>Supplements</x:v>
      </x:c>
      <x:c r="D16" s="10" t="str">
        <x:v>Carbohydrates</x:v>
      </x:c>
      <x:c r="E16" s="10" t="str">
        <x:v>1.2kg</x:v>
      </x:c>
      <x:c r="F16" s="10" t="n">
        <x:v>6</x:v>
      </x:c>
      <x:c r="G16" s="10" t="str">
        <x:v>https://www.activesportstrade.co.uk/applied-nutrition-trade</x:v>
      </x:c>
      <x:c r="I16" t="str">
        <x:v>Pending genuine supplier/brand image</x:v>
      </x:c>
    </x:row>
    <x:row r="17">
      <x:c r="A17" s="10" t="str">
        <x:v>Applied Nutrition</x:v>
      </x:c>
      <x:c r="B17" s="10" t="str">
        <x:v>Clear Whey Protein</x:v>
      </x:c>
      <x:c r="C17" s="10" t="str">
        <x:v>Supplements</x:v>
      </x:c>
      <x:c r="D17" s="10" t="str">
        <x:v>Whey Protein</x:v>
      </x:c>
      <x:c r="E17" s="10" t="str">
        <x:v>875g</x:v>
      </x:c>
      <x:c r="F17" s="10" t="n">
        <x:v>9</x:v>
      </x:c>
      <x:c r="G17" s="10" t="str">
        <x:v>https://www.activesportstrade.co.uk/applied-nutrition-trade</x:v>
      </x:c>
      <x:c r="I17" t="str">
        <x:v>Pending genuine supplier/brand image</x:v>
      </x:c>
    </x:row>
    <x:row r="18">
      <x:c r="A18" s="10" t="str">
        <x:v>Applied Nutrition</x:v>
      </x:c>
      <x:c r="B18" s="10" t="str">
        <x:v>Cream of Rice</x:v>
      </x:c>
      <x:c r="C18" s="10" t="str">
        <x:v>Supplements</x:v>
      </x:c>
      <x:c r="D18" s="10" t="str">
        <x:v>High Protein Foods</x:v>
      </x:c>
      <x:c r="E18" s="10" t="str">
        <x:v>1kg, 2kg</x:v>
      </x:c>
      <x:c r="F18" s="10" t="n">
        <x:v>10</x:v>
      </x:c>
      <x:c r="G18" s="10" t="str">
        <x:v>https://www.activesportstrade.co.uk/applied-nutrition-trade</x:v>
      </x:c>
      <x:c r="I18" t="str">
        <x:v>Pending genuine supplier/brand image</x:v>
      </x:c>
    </x:row>
    <x:row r="19">
      <x:c r="A19" s="10" t="str">
        <x:v>Applied Nutrition</x:v>
      </x:c>
      <x:c r="B19" s="10" t="str">
        <x:v>Creapure Creatine Monohydrate</x:v>
      </x:c>
      <x:c r="C19" s="10" t="str">
        <x:v>Supplements</x:v>
      </x:c>
      <x:c r="D19" s="10" t="str">
        <x:v>Creatine Powders</x:v>
      </x:c>
      <x:c r="E19" s="10" t="str">
        <x:v>250g</x:v>
      </x:c>
      <x:c r="F19" s="10" t="n">
        <x:v>1</x:v>
      </x:c>
      <x:c r="G19" s="10" t="str">
        <x:v>https://www.activesportstrade.co.uk/applied-nutrition-trade</x:v>
      </x:c>
      <x:c r="I19" t="str">
        <x:v>Pending genuine supplier/brand image</x:v>
      </x:c>
    </x:row>
    <x:row r="20">
      <x:c r="A20" s="10" t="str">
        <x:v>Applied Nutrition</x:v>
      </x:c>
      <x:c r="B20" s="10" t="str">
        <x:v>Creatine + HMB</x:v>
      </x:c>
      <x:c r="C20" s="10" t="str">
        <x:v>Supplements</x:v>
      </x:c>
      <x:c r="D20" s="10" t="str">
        <x:v>Creatine Powders</x:v>
      </x:c>
      <x:c r="E20" s="10" t="str">
        <x:v>240g</x:v>
      </x:c>
      <x:c r="F20" s="10" t="n">
        <x:v>1</x:v>
      </x:c>
      <x:c r="G20" s="10" t="str">
        <x:v>https://www.activesportstrade.co.uk/applied-nutrition-trade</x:v>
      </x:c>
      <x:c r="I20" t="str">
        <x:v>Pending genuine supplier/brand image</x:v>
      </x:c>
    </x:row>
    <x:row r="21">
      <x:c r="A21" s="10" t="str">
        <x:v>Applied Nutrition</x:v>
      </x:c>
      <x:c r="B21" s="10" t="str">
        <x:v>Creatine + Hydration</x:v>
      </x:c>
      <x:c r="C21" s="10" t="str">
        <x:v>Supplements</x:v>
      </x:c>
      <x:c r="D21" s="10" t="str">
        <x:v>Creatine Powders</x:v>
      </x:c>
      <x:c r="E21" s="10" t="str">
        <x:v>360g</x:v>
      </x:c>
      <x:c r="F21" s="10" t="n">
        <x:v>6</x:v>
      </x:c>
      <x:c r="G21" s="10" t="str">
        <x:v>https://www.activesportstrade.co.uk/applied-nutrition-trade</x:v>
      </x:c>
      <x:c r="I21" t="str">
        <x:v>Pending genuine supplier/brand image</x:v>
      </x:c>
    </x:row>
    <x:row r="22">
      <x:c r="A22" s="10" t="str">
        <x:v>Applied Nutrition</x:v>
      </x:c>
      <x:c r="B22" s="10" t="str">
        <x:v>Creatine + Peptide</x:v>
      </x:c>
      <x:c r="C22" s="10" t="str">
        <x:v>Supplements</x:v>
      </x:c>
      <x:c r="D22" s="10" t="str">
        <x:v>Creatine Powders</x:v>
      </x:c>
      <x:c r="E22" s="10" t="str">
        <x:v>222g, 444g</x:v>
      </x:c>
      <x:c r="F22" s="10" t="n">
        <x:v>2</x:v>
      </x:c>
      <x:c r="G22" s="10" t="str">
        <x:v>https://www.activesportstrade.co.uk/applied-nutrition-trade</x:v>
      </x:c>
      <x:c r="I22" t="str">
        <x:v>Pending genuine supplier/brand image</x:v>
      </x:c>
    </x:row>
    <x:row r="23">
      <x:c r="A23" s="10" t="str">
        <x:v>Applied Nutrition</x:v>
      </x:c>
      <x:c r="B23" s="10" t="str">
        <x:v>Creatine 3000</x:v>
      </x:c>
      <x:c r="C23" s="10" t="str">
        <x:v>Supplements</x:v>
      </x:c>
      <x:c r="D23" s="10" t="str">
        <x:v>Creatine Pills</x:v>
      </x:c>
      <x:c r="E23" s="10" t="str">
        <x:v>120 caps</x:v>
      </x:c>
      <x:c r="F23" s="10" t="n">
        <x:v>1</x:v>
      </x:c>
      <x:c r="G23" s="10" t="str">
        <x:v>https://www.activesportstrade.co.uk/applied-nutrition-trade</x:v>
      </x:c>
      <x:c r="I23" t="str">
        <x:v>Pending genuine supplier/brand image</x:v>
      </x:c>
    </x:row>
    <x:row r="24">
      <x:c r="A24" s="10" t="str">
        <x:v>Applied Nutrition</x:v>
      </x:c>
      <x:c r="B24" s="10" t="str">
        <x:v>Creatine Gummies</x:v>
      </x:c>
      <x:c r="C24" s="10" t="str">
        <x:v>Supplements</x:v>
      </x:c>
      <x:c r="D24" s="10" t="str">
        <x:v>Creatine Pills</x:v>
      </x:c>
      <x:c r="E24" s="10" t="str">
        <x:v>80 gummies</x:v>
      </x:c>
      <x:c r="F24" s="10" t="n">
        <x:v>4</x:v>
      </x:c>
      <x:c r="G24" s="10" t="str">
        <x:v>https://www.activesportstrade.co.uk/applied-nutrition-trade</x:v>
      </x:c>
      <x:c r="I24" t="str">
        <x:v>Pending genuine supplier/brand image</x:v>
      </x:c>
    </x:row>
    <x:row r="25">
      <x:c r="A25" s="10" t="str">
        <x:v>Applied Nutrition</x:v>
      </x:c>
      <x:c r="B25" s="10" t="str">
        <x:v>Creatine Monohydrate</x:v>
      </x:c>
      <x:c r="C25" s="10" t="str">
        <x:v>Supplements</x:v>
      </x:c>
      <x:c r="D25" s="10" t="str">
        <x:v>Creatine Powders</x:v>
      </x:c>
      <x:c r="E25" s="10" t="str">
        <x:v>250g, 500g, 1kg</x:v>
      </x:c>
      <x:c r="F25" s="10" t="n">
        <x:v>3</x:v>
      </x:c>
      <x:c r="G25" s="10" t="str">
        <x:v>https://www.activesportstrade.co.uk/applied-nutrition-trade</x:v>
      </x:c>
      <x:c r="I25" t="str">
        <x:v>Pending genuine supplier/brand image</x:v>
      </x:c>
    </x:row>
    <x:row r="26">
      <x:c r="A26" s="10" t="str">
        <x:v>Applied Nutrition</x:v>
      </x:c>
      <x:c r="B26" s="10" t="str">
        <x:v>Creatine Monohydrate Flavoured</x:v>
      </x:c>
      <x:c r="C26" s="10" t="str">
        <x:v>Supplements</x:v>
      </x:c>
      <x:c r="D26" s="10" t="str">
        <x:v>Creatine Powders</x:v>
      </x:c>
      <x:c r="E26" s="10" t="str">
        <x:v>250g</x:v>
      </x:c>
      <x:c r="F26" s="10" t="n">
        <x:v>3</x:v>
      </x:c>
      <x:c r="G26" s="10" t="str">
        <x:v>https://www.activesportstrade.co.uk/applied-nutrition-trade</x:v>
      </x:c>
      <x:c r="I26" t="str">
        <x:v>Pending genuine supplier/brand image</x:v>
      </x:c>
    </x:row>
    <x:row r="27">
      <x:c r="A27" s="10" t="str">
        <x:v>Applied Nutrition</x:v>
      </x:c>
      <x:c r="B27" s="10" t="str">
        <x:v>Critical Cookie</x:v>
      </x:c>
      <x:c r="C27" s="10" t="str">
        <x:v>Drinks and Bars</x:v>
      </x:c>
      <x:c r="D27" s="10" t="str">
        <x:v>Bars and Snacks</x:v>
      </x:c>
      <x:c r="E27" s="10" t="str">
        <x:v>Box of 12</x:v>
      </x:c>
      <x:c r="F27" s="10" t="n">
        <x:v>4</x:v>
      </x:c>
      <x:c r="G27" s="10" t="str">
        <x:v>https://www.activesportstrade.co.uk/applied-nutrition-trade</x:v>
      </x:c>
      <x:c r="I27" t="str">
        <x:v>Pending genuine supplier/brand image</x:v>
      </x:c>
    </x:row>
    <x:row r="28">
      <x:c r="A28" s="10" t="str">
        <x:v>Applied Nutrition</x:v>
      </x:c>
      <x:c r="B28" s="10" t="str">
        <x:v>Critical Oats</x:v>
      </x:c>
      <x:c r="C28" s="10" t="str">
        <x:v>Drinks and Bars</x:v>
      </x:c>
      <x:c r="D28" s="10" t="str">
        <x:v>Bars and Snacks</x:v>
      </x:c>
      <x:c r="E28" s="10" t="str">
        <x:v>600g, 3kg, 12 x 60g pots</x:v>
      </x:c>
      <x:c r="F28" s="10" t="n">
        <x:v>11</x:v>
      </x:c>
      <x:c r="G28" s="10" t="str">
        <x:v>https://www.activesportstrade.co.uk/applied-nutrition-trade</x:v>
      </x:c>
      <x:c r="I28" t="str">
        <x:v>Pending genuine supplier/brand image</x:v>
      </x:c>
    </x:row>
    <x:row r="29">
      <x:c r="A29" s="10" t="str">
        <x:v>Applied Nutrition</x:v>
      </x:c>
      <x:c r="B29" s="10" t="str">
        <x:v>Critical Whey</x:v>
      </x:c>
      <x:c r="C29" s="10" t="str">
        <x:v>Supplements</x:v>
      </x:c>
      <x:c r="D29" s="10" t="str">
        <x:v>Whey Protein</x:v>
      </x:c>
      <x:c r="E29" s="10" t="str">
        <x:v>33g single serving sachet, 2kg, 1 x 33g sachet, 825g</x:v>
      </x:c>
      <x:c r="F29" s="10" t="n">
        <x:v>42</x:v>
      </x:c>
      <x:c r="G29" s="10" t="str">
        <x:v>https://www.activesportstrade.co.uk/applied-nutrition-trade</x:v>
      </x:c>
      <x:c r="I29" t="str">
        <x:v>Pending genuine supplier/brand image</x:v>
      </x:c>
    </x:row>
    <x:row r="30">
      <x:c r="A30" s="10" t="str">
        <x:v>Applied Nutrition</x:v>
      </x:c>
      <x:c r="B30" s="10" t="str">
        <x:v>Diet Whey Protein</x:v>
      </x:c>
      <x:c r="C30" s="10" t="str">
        <x:v>Supplements</x:v>
      </x:c>
      <x:c r="D30" s="10" t="str">
        <x:v>Diet Protein Shakes</x:v>
      </x:c>
      <x:c r="E30" s="10" t="str">
        <x:v>1.8kg, 1kg</x:v>
      </x:c>
      <x:c r="F30" s="10" t="n">
        <x:v>8</x:v>
      </x:c>
      <x:c r="G30" s="10" t="str">
        <x:v>https://www.activesportstrade.co.uk/applied-nutrition-trade</x:v>
      </x:c>
      <x:c r="I30" t="str">
        <x:v>Pending genuine supplier/brand image</x:v>
      </x:c>
    </x:row>
    <x:row r="31">
      <x:c r="A31" s="10" t="str">
        <x:v>Applied Nutrition</x:v>
      </x:c>
      <x:c r="B31" s="10" t="str">
        <x:v>Endurance Energy + Electrolytes</x:v>
      </x:c>
      <x:c r="C31" s="10" t="str">
        <x:v>Supplements</x:v>
      </x:c>
      <x:c r="D31" s="10" t="str">
        <x:v>Hydration</x:v>
      </x:c>
      <x:c r="E31" s="10" t="str">
        <x:v>1.5kg</x:v>
      </x:c>
      <x:c r="F31" s="10" t="n">
        <x:v>3</x:v>
      </x:c>
      <x:c r="G31" s="10" t="str">
        <x:v>https://www.activesportstrade.co.uk/applied-nutrition-trade</x:v>
      </x:c>
      <x:c r="I31" t="str">
        <x:v>Pending genuine supplier/brand image</x:v>
      </x:c>
    </x:row>
    <x:row r="32">
      <x:c r="A32" s="10" t="str">
        <x:v>Applied Nutrition</x:v>
      </x:c>
      <x:c r="B32" s="10" t="str">
        <x:v>ISO-XP Whey Protein Isolate</x:v>
      </x:c>
      <x:c r="C32" s="10" t="str">
        <x:v>Supplements</x:v>
      </x:c>
      <x:c r="D32" s="10" t="str">
        <x:v>Whey Protein</x:v>
      </x:c>
      <x:c r="E32" s="10" t="str">
        <x:v>1.8kg, 1kg, 850g</x:v>
      </x:c>
      <x:c r="F32" s="10" t="n">
        <x:v>21</x:v>
      </x:c>
      <x:c r="G32" s="10" t="str">
        <x:v>https://www.activesportstrade.co.uk/applied-nutrition-trade</x:v>
      </x:c>
      <x:c r="I32" t="str">
        <x:v>Pending genuine supplier/brand image</x:v>
      </x:c>
    </x:row>
    <x:row r="33">
      <x:c r="A33" s="10" t="str">
        <x:v>DNA Sports</x:v>
      </x:c>
      <x:c r="B33" s="10" t="str">
        <x:v>Amino 1 EAA Formula</x:v>
      </x:c>
      <x:c r="C33" s="10" t="str">
        <x:v>Supplements</x:v>
      </x:c>
      <x:c r="D33" s="10" t="str">
        <x:v>Amino Acids</x:v>
      </x:c>
      <x:c r="E33" s="10" t="str">
        <x:v>30 servings</x:v>
      </x:c>
      <x:c r="F33" s="10" t="n">
        <x:v>5</x:v>
      </x:c>
      <x:c r="G33" s="10" t="str">
        <x:v>https://www.activesportstrade.co.uk/dna-sports-trade</x:v>
      </x:c>
      <x:c r="I33" t="str">
        <x:v>Pending genuine supplier/brand image</x:v>
      </x:c>
    </x:row>
    <x:row r="34">
      <x:c r="A34" s="10" t="str">
        <x:v>NXT Nutrition</x:v>
      </x:c>
      <x:c r="B34" s="10" t="str">
        <x:v>Amino Fuel</x:v>
      </x:c>
      <x:c r="C34" s="10" t="str">
        <x:v>Supplements</x:v>
      </x:c>
      <x:c r="D34" s="10" t="str">
        <x:v>Amino Acids</x:v>
      </x:c>
      <x:c r="E34" s="10" t="str">
        <x:v>300g</x:v>
      </x:c>
      <x:c r="F34" s="10" t="n">
        <x:v>8</x:v>
      </x:c>
      <x:c r="G34" s="10" t="str">
        <x:v>https://www.activesportstrade.co.uk/nxt-nutrition-trade</x:v>
      </x:c>
      <x:c r="I34" t="str">
        <x:v>Pending genuine supplier/brand image</x:v>
      </x:c>
    </x:row>
    <x:row r="35">
      <x:c r="A35" t="str">
        <x:v>10X Athletic</x:v>
      </x:c>
      <x:c r="B35" t="str">
        <x:v>CRE Micronised Creatine Monohydrate</x:v>
      </x:c>
      <x:c r="C35" t="str">
        <x:v>Supplements</x:v>
      </x:c>
      <x:c r="D35" t="str">
        <x:v>Creatine Powders</x:v>
      </x:c>
      <x:c r="E35" t="str">
        <x:v>300g</x:v>
      </x:c>
      <x:c r="F35" t="n">
        <x:v>1</x:v>
      </x:c>
      <x:c r="G35" t="str">
        <x:v>https://www.activesportstrade.co.uk/Creatine-Powders-Trade</x:v>
      </x:c>
      <x:c r="I35" t="str">
        <x:v>Pending genuine supplier/brand image</x:v>
      </x:c>
    </x:row>
    <x:row r="36">
      <x:c r="A36" t="str">
        <x:v>10X Athletic</x:v>
      </x:c>
      <x:c r="B36" t="str">
        <x:v>EAA</x:v>
      </x:c>
      <x:c r="C36" t="str">
        <x:v>Supplements</x:v>
      </x:c>
      <x:c r="D36" t="str">
        <x:v>Amino Acids</x:v>
      </x:c>
      <x:c r="E36" t="str">
        <x:v>450g</x:v>
      </x:c>
      <x:c r="F36" t="n">
        <x:v>5</x:v>
      </x:c>
      <x:c r="G36" t="str">
        <x:v>https://www.activesportstrade.co.uk/Amino-Acids</x:v>
      </x:c>
      <x:c r="I36" t="str">
        <x:v>Pending genuine supplier/brand image</x:v>
      </x:c>
    </x:row>
    <x:row r="37">
      <x:c r="A37" t="str">
        <x:v>10X Athletic</x:v>
      </x:c>
      <x:c r="B37" t="str">
        <x:v>GLUT+ Micronised L-Glutamine</x:v>
      </x:c>
      <x:c r="C37" t="str">
        <x:v>Supplements</x:v>
      </x:c>
      <x:c r="D37" t="str">
        <x:v>L-Glutamine</x:v>
      </x:c>
      <x:c r="E37" t="str">
        <x:v>300g</x:v>
      </x:c>
      <x:c r="F37" t="n">
        <x:v>1</x:v>
      </x:c>
      <x:c r="G37" t="str">
        <x:v>https://www.activesportstrade.co.uk/Amino-Acids</x:v>
      </x:c>
      <x:c r="I37" t="str">
        <x:v>Pending genuine supplier/brand image</x:v>
      </x:c>
    </x:row>
    <x:row r="38">
      <x:c r="A38" t="str">
        <x:v>10X Athletic</x:v>
      </x:c>
      <x:c r="B38" t="str">
        <x:v>PUMP Non-Stim Pre Workout</x:v>
      </x:c>
      <x:c r="C38" t="str">
        <x:v>Pre Workouts</x:v>
      </x:c>
      <x:c r="D38" t="str">
        <x:v>Stim FREE</x:v>
      </x:c>
      <x:c r="E38" t="str">
        <x:v>600g</x:v>
      </x:c>
      <x:c r="F38" t="n">
        <x:v>8</x:v>
      </x:c>
      <x:c r="G38" t="str">
        <x:v>https://www.activesportstrade.co.uk/stim-free-pre-workouts-trade</x:v>
      </x:c>
      <x:c r="I38" t="str">
        <x:v>Pending genuine supplier/brand image</x:v>
      </x:c>
    </x:row>
    <x:row r="39">
      <x:c r="A39" t="str">
        <x:v>10X Athletic</x:v>
      </x:c>
      <x:c r="B39" t="str">
        <x:v>Grass Fed Whey Protein</x:v>
      </x:c>
      <x:c r="C39" t="str">
        <x:v>Supplements</x:v>
      </x:c>
      <x:c r="D39" t="str">
        <x:v>Whey Protein</x:v>
      </x:c>
      <x:c r="E39" t="str">
        <x:v>750g</x:v>
      </x:c>
      <x:c r="F39" t="n">
        <x:v>7</x:v>
      </x:c>
      <x:c r="G39" t="str">
        <x:v>https://www.activesportstrade.co.uk/Whey-Protein-Supplements-Trade</x:v>
      </x:c>
      <x:c r="I39" t="str">
        <x:v>Pending genuine supplier/brand image</x:v>
      </x:c>
    </x:row>
    <x:row r="40">
      <x:c r="I40" t="str">
        <x:v>Pending genuine supplier/brand image</x:v>
      </x:c>
    </x:row>
    <x:row r="41">
      <x:c r="A41" t="str">
        <x:v>3D Energy</x:v>
      </x:c>
      <x:c r="B41" t="str">
        <x:v>3D Energy Drinks</x:v>
      </x:c>
      <x:c r="C41" t="str">
        <x:v>Drinks and Bars</x:v>
      </x:c>
      <x:c r="D41" t="str">
        <x:v>Ready to Drink Energy</x:v>
      </x:c>
      <x:c r="E41" t="str">
        <x:v>12 x 473ml cans</x:v>
      </x:c>
      <x:c r="F41" t="n">
        <x:v>9</x:v>
      </x:c>
      <x:c r="G41" t="str">
        <x:v>https://www.activesportstrade.co.uk/Ready-to-Drink-Energy</x:v>
      </x:c>
      <x:c r="H41" t="str"/>
      <x:c r="I41" t="str">
        <x:v>Pending genuine supplier/brand image</x:v>
      </x:c>
    </x:row>
    <x:row r="42">
      <x:c r="A42" t="str">
        <x:v>Adapt Nutrition</x:v>
      </x:c>
      <x:c r="B42" t="str">
        <x:v>Createc 1500</x:v>
      </x:c>
      <x:c r="C42" t="str">
        <x:v>Supplements</x:v>
      </x:c>
      <x:c r="D42" t="str">
        <x:v>Creatine Pills</x:v>
      </x:c>
      <x:c r="E42" t="str">
        <x:v>120 caps</x:v>
      </x:c>
      <x:c r="F42" t="n">
        <x:v>1</x:v>
      </x:c>
      <x:c r="G42" t="str">
        <x:v>https://www.activesportstrade.co.uk/trade-sports-supplements</x:v>
      </x:c>
      <x:c r="H42" t="str"/>
      <x:c r="I42" t="str">
        <x:v>Pending genuine supplier/brand image</x:v>
      </x:c>
    </x:row>
    <x:row r="43">
      <x:c r="A43" t="str">
        <x:v>Adapt Nutrition</x:v>
      </x:c>
      <x:c r="B43" t="str">
        <x:v>Intra Amino BCAA &amp; EAA</x:v>
      </x:c>
      <x:c r="C43" t="str">
        <x:v>Supplements</x:v>
      </x:c>
      <x:c r="D43" t="str">
        <x:v>BCAAS</x:v>
      </x:c>
      <x:c r="E43" t="str">
        <x:v>480g</x:v>
      </x:c>
      <x:c r="F43" t="n">
        <x:v>6</x:v>
      </x:c>
      <x:c r="G43" t="str">
        <x:v>https://www.activesportstrade.co.uk/Amino-Acids</x:v>
      </x:c>
      <x:c r="H43" t="str"/>
      <x:c r="I43" t="str">
        <x:v>Pending genuine supplier/brand image</x:v>
      </x:c>
    </x:row>
    <x:row r="44">
      <x:c r="A44" t="str">
        <x:v>Adapt Nutrition</x:v>
      </x:c>
      <x:c r="B44" t="str">
        <x:v>Pre Train X</x:v>
      </x:c>
      <x:c r="C44" t="str">
        <x:v>Pre Workouts</x:v>
      </x:c>
      <x:c r="D44" t="str">
        <x:v>High Stim</x:v>
      </x:c>
      <x:c r="E44" t="str">
        <x:v>350g</x:v>
      </x:c>
      <x:c r="F44" t="n">
        <x:v>2</x:v>
      </x:c>
      <x:c r="G44" t="str">
        <x:v>https://www.activesportstrade.co.uk/trade-pre-workout-supplements</x:v>
      </x:c>
      <x:c r="H44" t="str">
        <x:v>https://www.activesportstrade.co.uk/popups/preview.asp?id=5657</x:v>
      </x:c>
      <x:c r="I44" t="str">
        <x:v>Genuine Active Sports preview located</x:v>
      </x:c>
    </x:row>
    <x:row r="45">
      <x:c r="A45" t="str">
        <x:v>Adapt Nutrition</x:v>
      </x:c>
      <x:c r="B45" t="str">
        <x:v>PUMP</x:v>
      </x:c>
      <x:c r="C45" t="str">
        <x:v>Pre Workouts</x:v>
      </x:c>
      <x:c r="D45" t="str">
        <x:v>Stim FREE</x:v>
      </x:c>
      <x:c r="E45" t="str">
        <x:v>120 caps</x:v>
      </x:c>
      <x:c r="F45" t="n">
        <x:v>1</x:v>
      </x:c>
      <x:c r="G45" t="str">
        <x:v>https://www.activesportstrade.co.uk/Trade-special-offers</x:v>
      </x:c>
      <x:c r="H45" t="str"/>
      <x:c r="I45" t="str">
        <x:v>Pending genuine supplier/brand image</x:v>
      </x:c>
    </x:row>
    <x:row r="46">
      <x:c r="A46" t="str">
        <x:v>Adapt Nutrition</x:v>
      </x:c>
      <x:c r="B46" t="str">
        <x:v>Testo+</x:v>
      </x:c>
      <x:c r="C46" t="str">
        <x:v>Supplements</x:v>
      </x:c>
      <x:c r="D46" t="str">
        <x:v>Testosterone Boosters</x:v>
      </x:c>
      <x:c r="E46" t="str">
        <x:v>120 caps</x:v>
      </x:c>
      <x:c r="F46" t="n">
        <x:v>1</x:v>
      </x:c>
      <x:c r="G46" t="str">
        <x:v>https://www.activesportstrade.co.uk/testosterone-boosters-trade</x:v>
      </x:c>
      <x:c r="H46" t="str"/>
      <x:c r="I46" t="str">
        <x:v>Pending genuine supplier/brand image</x:v>
      </x:c>
    </x:row>
    <x:row r="47">
      <x:c r="A47" t="str">
        <x:v>Advanced Dietics</x:v>
      </x:c>
      <x:c r="B47" t="str">
        <x:v>T6 Incineration</x:v>
      </x:c>
      <x:c r="C47" t="str">
        <x:v>Supplements</x:v>
      </x:c>
      <x:c r="D47" t="str">
        <x:v>Fat Burners</x:v>
      </x:c>
      <x:c r="E47" t="str">
        <x:v>60 caps</x:v>
      </x:c>
      <x:c r="F47" t="n">
        <x:v>1</x:v>
      </x:c>
      <x:c r="G47" t="str">
        <x:v>https://www.activesportstrade.co.uk/Fat-Burners</x:v>
      </x:c>
      <x:c r="H47" t="str"/>
      <x:c r="I47" t="str">
        <x:v>Pending genuine supplier/brand image</x:v>
      </x:c>
    </x:row>
    <x:row r="48">
      <x:c r="A48" t="str">
        <x:v>Advanced Dietics</x:v>
      </x:c>
      <x:c r="B48" t="str">
        <x:v>T6 Pre Workout Advanced</x:v>
      </x:c>
      <x:c r="C48" t="str">
        <x:v>Pre Workouts</x:v>
      </x:c>
      <x:c r="D48" t="str">
        <x:v>High Stim</x:v>
      </x:c>
      <x:c r="E48" t="str">
        <x:v>30 servings</x:v>
      </x:c>
      <x:c r="F48" t="n">
        <x:v>1</x:v>
      </x:c>
      <x:c r="G48" t="str">
        <x:v>https://www.activesportstrade.co.uk/trade-pre-workout-supplements</x:v>
      </x:c>
      <x:c r="H48" t="str"/>
      <x:c r="I48" t="str">
        <x:v>Pending genuine supplier/brand image</x:v>
      </x:c>
    </x:row>
    <x:row r="49">
      <x:c r="A49" t="str">
        <x:v>Alpha Designs</x:v>
      </x:c>
      <x:c r="B49" t="str">
        <x:v>Alpha Bottle Shaker V2</x:v>
      </x:c>
      <x:c r="C49" t="str">
        <x:v>Accessories</x:v>
      </x:c>
      <x:c r="D49" t="str">
        <x:v>Shakers</x:v>
      </x:c>
      <x:c r="E49" t="str">
        <x:v>750ml, 1000ml</x:v>
      </x:c>
      <x:c r="F49" t="n">
        <x:v>10</x:v>
      </x:c>
      <x:c r="G49" t="str">
        <x:v>https://www.activesportstrade.co.uk/Trade-Body-Building-Accessories</x:v>
      </x:c>
      <x:c r="H49" t="str"/>
      <x:c r="I49" t="str">
        <x:v>Pending genuine supplier/brand image</x:v>
      </x:c>
    </x:row>
    <x:row r="50">
      <x:c r="A50" t="str">
        <x:v>Alpha Designs</x:v>
      </x:c>
      <x:c r="B50" t="str">
        <x:v>Alpha Bottle XL Jug</x:v>
      </x:c>
      <x:c r="C50" t="str">
        <x:v>Accessories</x:v>
      </x:c>
      <x:c r="D50" t="str">
        <x:v>Shakers</x:v>
      </x:c>
      <x:c r="E50" t="str">
        <x:v>1600ml</x:v>
      </x:c>
      <x:c r="F50" t="n">
        <x:v>5</x:v>
      </x:c>
      <x:c r="G50" t="str">
        <x:v>https://www.activesportstrade.co.uk/Trade-Body-Building-Accessories</x:v>
      </x:c>
      <x:c r="H50" t="str"/>
      <x:c r="I50" t="str">
        <x:v>Pending genuine supplier/brand image</x:v>
      </x:c>
    </x:row>
    <x:row r="51">
      <x:c r="A51" t="str">
        <x:v>Alpha Designs</x:v>
      </x:c>
      <x:c r="B51" t="str">
        <x:v>Alpha Bottle XXL Jug</x:v>
      </x:c>
      <x:c r="C51" t="str">
        <x:v>Accessories</x:v>
      </x:c>
      <x:c r="D51" t="str">
        <x:v>Shakers</x:v>
      </x:c>
      <x:c r="E51" t="str">
        <x:v>2400ml</x:v>
      </x:c>
      <x:c r="F51" t="n">
        <x:v>5</x:v>
      </x:c>
      <x:c r="G51" t="str">
        <x:v>https://www.activesportstrade.co.uk/Trade-Body-Building-Accessories</x:v>
      </x:c>
      <x:c r="H51" t="str"/>
      <x:c r="I51" t="str">
        <x:v>Pending genuine supplier/brand image</x:v>
      </x:c>
    </x:row>
    <x:row r="52">
      <x:c r="A52" t="str">
        <x:v>Alpha Designs</x:v>
      </x:c>
      <x:c r="B52" t="str">
        <x:v>Alpha Pod</x:v>
      </x:c>
      <x:c r="C52" t="str">
        <x:v>Accessories</x:v>
      </x:c>
      <x:c r="D52" t="str">
        <x:v>Storage</x:v>
      </x:c>
      <x:c r="E52" t="str">
        <x:v>3 pack</x:v>
      </x:c>
      <x:c r="F52" t="n">
        <x:v>1</x:v>
      </x:c>
      <x:c r="G52" t="str">
        <x:v>https://www.activesportstrade.co.uk/Trade-Body-Building-Accessories</x:v>
      </x:c>
      <x:c r="H52" t="str"/>
      <x:c r="I52" t="str">
        <x:v>Pending genuine supplier/brand image</x:v>
      </x:c>
    </x:row>
    <x:row r="53">
      <x:c r="A53" t="str">
        <x:v>Alpha Lion</x:v>
      </x:c>
      <x:c r="B53" t="str">
        <x:v>Super Human Muscle</x:v>
      </x:c>
      <x:c r="C53" t="str">
        <x:v>Supplements</x:v>
      </x:c>
      <x:c r="D53" t="str">
        <x:v>Testosterone Boosters</x:v>
      </x:c>
      <x:c r="E53" t="str">
        <x:v>90 caps</x:v>
      </x:c>
      <x:c r="F53" t="n">
        <x:v>1</x:v>
      </x:c>
      <x:c r="G53" t="str">
        <x:v>https://www.activesportstrade.co.uk/alpha-lion-trade</x:v>
      </x:c>
      <x:c r="H53" t="str"/>
      <x:c r="I53" t="str">
        <x:v>Pending genuine supplier/brand image</x:v>
      </x:c>
    </x:row>
    <x:row r="54">
      <x:c r="A54" t="str">
        <x:v>Alpha Lion</x:v>
      </x:c>
      <x:c r="B54" t="str">
        <x:v>Super Human Post</x:v>
      </x:c>
      <x:c r="C54" t="str">
        <x:v>Supplements</x:v>
      </x:c>
      <x:c r="D54" t="str">
        <x:v>Recovery Shakes</x:v>
      </x:c>
      <x:c r="E54" t="str">
        <x:v>373g</x:v>
      </x:c>
      <x:c r="F54" t="n">
        <x:v>2</x:v>
      </x:c>
      <x:c r="G54" t="str">
        <x:v>https://www.activesportstrade.co.uk/alpha-lion-trade</x:v>
      </x:c>
      <x:c r="H54" t="str"/>
      <x:c r="I54" t="str">
        <x:v>Pending genuine supplier/brand image</x:v>
      </x:c>
    </x:row>
    <x:row r="55">
      <x:c r="A55" t="str">
        <x:v>Alpha Lion</x:v>
      </x:c>
      <x:c r="B55" t="str">
        <x:v>Super Human Pre Workout</x:v>
      </x:c>
      <x:c r="C55" t="str">
        <x:v>Pre Workouts</x:v>
      </x:c>
      <x:c r="D55" t="str">
        <x:v>High Stim</x:v>
      </x:c>
      <x:c r="E55" t="str">
        <x:v>368g</x:v>
      </x:c>
      <x:c r="F55" t="n">
        <x:v>6</x:v>
      </x:c>
      <x:c r="G55" t="str">
        <x:v>https://www.activesportstrade.co.uk/alpha-lion-trade</x:v>
      </x:c>
      <x:c r="H55" t="str"/>
      <x:c r="I55" t="str">
        <x:v>Pending genuine supplier/brand image</x:v>
      </x:c>
    </x:row>
    <x:row r="56">
      <x:c r="A56" t="str">
        <x:v>Alpha Lion</x:v>
      </x:c>
      <x:c r="B56" t="str">
        <x:v>Super Human Test</x:v>
      </x:c>
      <x:c r="C56" t="str">
        <x:v>Supplements</x:v>
      </x:c>
      <x:c r="D56" t="str">
        <x:v>Testosterone Boosters</x:v>
      </x:c>
      <x:c r="E56" t="str">
        <x:v>90 caps</x:v>
      </x:c>
      <x:c r="F56" t="n">
        <x:v>1</x:v>
      </x:c>
      <x:c r="G56" t="str">
        <x:v>https://www.activesportstrade.co.uk/alpha-lion-trade</x:v>
      </x:c>
      <x:c r="H56" t="str"/>
      <x:c r="I56" t="str">
        <x:v>Pending genuine supplier/brand image</x:v>
      </x:c>
    </x:row>
    <x:row r="57">
      <x:c r="A57" t="str">
        <x:v>Animal</x:v>
      </x:c>
      <x:c r="B57" t="str">
        <x:v>Cuts</x:v>
      </x:c>
      <x:c r="C57" t="str">
        <x:v>Supplements</x:v>
      </x:c>
      <x:c r="D57" t="str">
        <x:v>Fat Burners</x:v>
      </x:c>
      <x:c r="E57" t="str">
        <x:v>42 packs</x:v>
      </x:c>
      <x:c r="F57" t="n">
        <x:v>1</x:v>
      </x:c>
      <x:c r="G57" t="str">
        <x:v>https://www.activesportstrade.co.uk/trade-sports-supplements/animal-supplements-trade</x:v>
      </x:c>
      <x:c r="H57" t="str"/>
      <x:c r="I57" t="str">
        <x:v>Pending genuine supplier/brand image</x:v>
      </x:c>
    </x:row>
    <x:row r="58">
      <x:c r="A58" t="str">
        <x:v>Animal</x:v>
      </x:c>
      <x:c r="B58" t="str">
        <x:v>Cuts Powder</x:v>
      </x:c>
      <x:c r="C58" t="str">
        <x:v>Supplements</x:v>
      </x:c>
      <x:c r="D58" t="str">
        <x:v>Fat Burners</x:v>
      </x:c>
      <x:c r="E58" t="str">
        <x:v>248g</x:v>
      </x:c>
      <x:c r="F58" t="n">
        <x:v>3</x:v>
      </x:c>
      <x:c r="G58" t="str">
        <x:v>https://www.activesportstrade.co.uk/pre-workouts-powder-trade</x:v>
      </x:c>
      <x:c r="H58" t="str"/>
      <x:c r="I58" t="str">
        <x:v>Pending genuine supplier/brand image</x:v>
      </x:c>
    </x:row>
    <x:row r="59">
      <x:c r="A59" t="str">
        <x:v>Animal</x:v>
      </x:c>
      <x:c r="B59" t="str">
        <x:v>Daily Greens</x:v>
      </x:c>
      <x:c r="C59" t="str">
        <x:v>Supplements</x:v>
      </x:c>
      <x:c r="D59" t="str">
        <x:v>Health Foods</x:v>
      </x:c>
      <x:c r="E59" t="str">
        <x:v>30 packs</x:v>
      </x:c>
      <x:c r="F59" t="n">
        <x:v>1</x:v>
      </x:c>
      <x:c r="G59" t="str">
        <x:v>https://www.activesportstrade.co.uk/trade-sports-supplements/animal-supplements-trade</x:v>
      </x:c>
      <x:c r="H59" t="str"/>
      <x:c r="I59" t="str">
        <x:v>Pending genuine supplier/brand image</x:v>
      </x:c>
    </x:row>
    <x:row r="60">
      <x:c r="A60" t="str">
        <x:v>Animal</x:v>
      </x:c>
      <x:c r="B60" t="str">
        <x:v>Flex</x:v>
      </x:c>
      <x:c r="C60" t="str">
        <x:v>Supplements</x:v>
      </x:c>
      <x:c r="D60" t="str">
        <x:v>Joint Repair</x:v>
      </x:c>
      <x:c r="E60" t="str">
        <x:v>44 packs</x:v>
      </x:c>
      <x:c r="F60" t="n">
        <x:v>1</x:v>
      </x:c>
      <x:c r="G60" t="str">
        <x:v>https://www.activesportstrade.co.uk/trade-sports-supplements/animal-supplements-trade</x:v>
      </x:c>
      <x:c r="H60" t="str"/>
      <x:c r="I60" t="str">
        <x:v>Pending genuine supplier/brand image</x:v>
      </x:c>
    </x:row>
    <x:row r="61">
      <x:c r="A61" t="str">
        <x:v>Animal</x:v>
      </x:c>
      <x:c r="B61" t="str">
        <x:v>Flex Powder</x:v>
      </x:c>
      <x:c r="C61" t="str">
        <x:v>Supplements</x:v>
      </x:c>
      <x:c r="D61" t="str">
        <x:v>Joint Repair</x:v>
      </x:c>
      <x:c r="E61" t="str">
        <x:v>30 servings</x:v>
      </x:c>
      <x:c r="F61" t="n">
        <x:v>3</x:v>
      </x:c>
      <x:c r="G61" t="str">
        <x:v>https://www.activesportstrade.co.uk/trade-sports-supplements</x:v>
      </x:c>
      <x:c r="H61" t="str"/>
      <x:c r="I61" t="str">
        <x:v>Pending genuine supplier/brand image</x:v>
      </x:c>
    </x:row>
    <x:row r="62">
      <x:c r="A62" t="str">
        <x:v>Animal</x:v>
      </x:c>
      <x:c r="B62" t="str">
        <x:v>Fury Pre Workout</x:v>
      </x:c>
      <x:c r="C62" t="str">
        <x:v>Pre Workouts</x:v>
      </x:c>
      <x:c r="D62" t="str">
        <x:v>High Stim</x:v>
      </x:c>
      <x:c r="E62" t="str">
        <x:v>491-512g</x:v>
      </x:c>
      <x:c r="F62" t="n">
        <x:v>5</x:v>
      </x:c>
      <x:c r="G62" t="str">
        <x:v>https://www.activesportstrade.co.uk/trade-sports-supplements</x:v>
      </x:c>
      <x:c r="H62" t="str"/>
      <x:c r="I62" t="str">
        <x:v>Pending genuine supplier/brand image</x:v>
      </x:c>
    </x:row>
    <x:row r="63">
      <x:c r="A63" t="str">
        <x:v>Animal</x:v>
      </x:c>
      <x:c r="B63" t="str">
        <x:v>Juiced Aminos</x:v>
      </x:c>
      <x:c r="C63" t="str">
        <x:v>Supplements</x:v>
      </x:c>
      <x:c r="D63" t="str">
        <x:v>Amino Acids</x:v>
      </x:c>
      <x:c r="E63" t="str">
        <x:v>385g</x:v>
      </x:c>
      <x:c r="F63" t="n">
        <x:v>4</x:v>
      </x:c>
      <x:c r="G63" t="str">
        <x:v>https://www.activesportstrade.co.uk/trade-sports-supplements</x:v>
      </x:c>
      <x:c r="H63" t="str"/>
      <x:c r="I63" t="str">
        <x:v>Pending genuine supplier/brand image</x:v>
      </x:c>
    </x:row>
    <x:row r="64">
      <x:c r="A64" t="str">
        <x:v>Animal</x:v>
      </x:c>
      <x:c r="B64" t="str">
        <x:v>M-Stak</x:v>
      </x:c>
      <x:c r="C64" t="str">
        <x:v>Supplements</x:v>
      </x:c>
      <x:c r="D64" t="str">
        <x:v>All In Ones</x:v>
      </x:c>
      <x:c r="E64" t="str">
        <x:v>21 packs</x:v>
      </x:c>
      <x:c r="F64" t="n">
        <x:v>1</x:v>
      </x:c>
      <x:c r="G64" t="str">
        <x:v>https://www.activesportstrade.co.uk/trade-sports-supplements</x:v>
      </x:c>
      <x:c r="H64" t="str"/>
      <x:c r="I64" t="str">
        <x:v>Pending genuine supplier/brand image</x:v>
      </x:c>
    </x:row>
    <x:row r="65">
      <x:c r="A65" t="str">
        <x:v>Animal</x:v>
      </x:c>
      <x:c r="B65" t="str">
        <x:v>Nitro EAA</x:v>
      </x:c>
      <x:c r="C65" t="str">
        <x:v>Supplements</x:v>
      </x:c>
      <x:c r="D65" t="str">
        <x:v>Amino Acids</x:v>
      </x:c>
      <x:c r="E65" t="str">
        <x:v>44 packs</x:v>
      </x:c>
      <x:c r="F65" t="n">
        <x:v>1</x:v>
      </x:c>
      <x:c r="G65" t="str">
        <x:v>https://www.activesportstrade.co.uk/trade-sports-supplements</x:v>
      </x:c>
      <x:c r="H65" t="str"/>
      <x:c r="I65" t="str">
        <x:v>Pending genuine supplier/brand image</x:v>
      </x:c>
    </x:row>
    <x:row r="66">
      <x:c r="A66" t="str">
        <x:v>Animal</x:v>
      </x:c>
      <x:c r="B66" t="str">
        <x:v>Omega</x:v>
      </x:c>
      <x:c r="C66" t="str">
        <x:v>Supplements</x:v>
      </x:c>
      <x:c r="D66" t="str">
        <x:v>Omega and EFA</x:v>
      </x:c>
      <x:c r="E66" t="str">
        <x:v>30 packs</x:v>
      </x:c>
      <x:c r="F66" t="n">
        <x:v>1</x:v>
      </x:c>
      <x:c r="G66" t="str">
        <x:v>https://www.activesportstrade.co.uk/trade-sports-supplements</x:v>
      </x:c>
      <x:c r="H66" t="str"/>
      <x:c r="I66" t="str">
        <x:v>Pending genuine supplier/brand image</x:v>
      </x:c>
    </x:row>
    <x:row r="67">
      <x:c r="A67" t="str">
        <x:v>Animal</x:v>
      </x:c>
      <x:c r="B67" t="str">
        <x:v>Pak</x:v>
      </x:c>
      <x:c r="C67" t="str">
        <x:v>Supplements</x:v>
      </x:c>
      <x:c r="D67" t="str">
        <x:v>All In Ones</x:v>
      </x:c>
      <x:c r="E67" t="str">
        <x:v>44 packs</x:v>
      </x:c>
      <x:c r="F67" t="n">
        <x:v>1</x:v>
      </x:c>
      <x:c r="G67" t="str">
        <x:v>https://www.activesportstrade.co.uk/trade-sports-supplements</x:v>
      </x:c>
      <x:c r="H67" t="str"/>
      <x:c r="I67" t="str">
        <x:v>Pending genuine supplier/brand image</x:v>
      </x:c>
    </x:row>
    <x:row r="68">
      <x:c r="A68" t="str">
        <x:v>Animal</x:v>
      </x:c>
      <x:c r="B68" t="str">
        <x:v>Pak Powder</x:v>
      </x:c>
      <x:c r="C68" t="str">
        <x:v>Supplements</x:v>
      </x:c>
      <x:c r="D68" t="str">
        <x:v>All In Ones</x:v>
      </x:c>
      <x:c r="E68" t="str">
        <x:v>44 servings</x:v>
      </x:c>
      <x:c r="F68" t="n">
        <x:v>2</x:v>
      </x:c>
      <x:c r="G68" t="str">
        <x:v>https://www.activesportstrade.co.uk/trade-sports-supplements</x:v>
      </x:c>
      <x:c r="H68" t="str"/>
      <x:c r="I68" t="str">
        <x:v>Pending genuine supplier/brand image</x:v>
      </x:c>
    </x:row>
    <x:row r="69">
      <x:c r="A69" t="str">
        <x:v>Animal</x:v>
      </x:c>
      <x:c r="B69" t="str">
        <x:v>Pre Workout Pump</x:v>
      </x:c>
      <x:c r="C69" t="str">
        <x:v>Pre Workouts</x:v>
      </x:c>
      <x:c r="D69" t="str">
        <x:v>Stim FREE</x:v>
      </x:c>
      <x:c r="E69" t="str">
        <x:v>30 packs</x:v>
      </x:c>
      <x:c r="F69" t="n">
        <x:v>1</x:v>
      </x:c>
      <x:c r="G69" t="str">
        <x:v>https://www.activesportstrade.co.uk/trade-sports-supplements</x:v>
      </x:c>
      <x:c r="H69" t="str"/>
      <x:c r="I69" t="str">
        <x:v>Pending genuine supplier/brand image</x:v>
      </x:c>
    </x:row>
    <x:row r="70">
      <x:c r="A70" t="str">
        <x:v>Animal</x:v>
      </x:c>
      <x:c r="B70" t="str">
        <x:v>Primal Pre Workout</x:v>
      </x:c>
      <x:c r="C70" t="str">
        <x:v>Pre Workouts</x:v>
      </x:c>
      <x:c r="D70" t="str">
        <x:v>High Stim</x:v>
      </x:c>
      <x:c r="E70" t="str">
        <x:v>507g</x:v>
      </x:c>
      <x:c r="F70" t="n">
        <x:v>2</x:v>
      </x:c>
      <x:c r="G70" t="str">
        <x:v>https://www.activesportstrade.co.uk/trade-sports-supplements</x:v>
      </x:c>
      <x:c r="H70" t="str"/>
      <x:c r="I70" t="str">
        <x:v>Pending genuine supplier/brand image</x:v>
      </x:c>
    </x:row>
    <x:row r="71">
      <x:c r="A71" t="str">
        <x:v>Animal</x:v>
      </x:c>
      <x:c r="B71" t="str">
        <x:v>Stak</x:v>
      </x:c>
      <x:c r="C71" t="str">
        <x:v>Supplements</x:v>
      </x:c>
      <x:c r="D71" t="str">
        <x:v>Testosterone Boosters</x:v>
      </x:c>
      <x:c r="E71" t="str">
        <x:v>21 packs</x:v>
      </x:c>
      <x:c r="F71" t="n">
        <x:v>1</x:v>
      </x:c>
      <x:c r="G71" t="str">
        <x:v>https://www.activesportstrade.co.uk/trade-sports-supplements</x:v>
      </x:c>
      <x:c r="H71" t="str"/>
      <x:c r="I71" t="str">
        <x:v>Pending genuine supplier/brand image</x:v>
      </x:c>
    </x:row>
    <x:row r="72">
      <x:c r="A72" t="str">
        <x:v>Animal</x:v>
      </x:c>
      <x:c r="B72" t="str">
        <x:v>Test</x:v>
      </x:c>
      <x:c r="C72" t="str">
        <x:v>Supplements</x:v>
      </x:c>
      <x:c r="D72" t="str">
        <x:v>Testosterone Boosters</x:v>
      </x:c>
      <x:c r="E72" t="str">
        <x:v>21 packs</x:v>
      </x:c>
      <x:c r="F72" t="n">
        <x:v>1</x:v>
      </x:c>
      <x:c r="G72" t="str">
        <x:v>https://www.activesportstrade.co.uk/trade-sports-supplements</x:v>
      </x:c>
      <x:c r="H72" t="str"/>
      <x:c r="I72" t="str">
        <x:v>Pending genuine supplier/brand image</x:v>
      </x:c>
    </x:row>
    <x:row r="73">
      <x:c r="A73" t="str">
        <x:v>Apex Formulas</x:v>
      </x:c>
      <x:c r="B73" t="str">
        <x:v>Apex Hydrate</x:v>
      </x:c>
      <x:c r="C73" t="str">
        <x:v>Supplements</x:v>
      </x:c>
      <x:c r="D73" t="str">
        <x:v>Hydration</x:v>
      </x:c>
      <x:c r="E73" t="str">
        <x:v>30 servings</x:v>
      </x:c>
      <x:c r="F73" t="n">
        <x:v>1</x:v>
      </x:c>
      <x:c r="G73" t="str">
        <x:v>https://www.activesportstrade.co.uk/trade-sports-supplements</x:v>
      </x:c>
      <x:c r="H73" t="str"/>
      <x:c r="I73" t="str">
        <x:v>Pending genuine supplier/brand image</x:v>
      </x:c>
    </x:row>
    <x:row r="74">
      <x:c r="A74" t="str">
        <x:v>Apex Formulas</x:v>
      </x:c>
      <x:c r="B74" t="str">
        <x:v>Apex Pump</x:v>
      </x:c>
      <x:c r="C74" t="str">
        <x:v>Pre Workouts</x:v>
      </x:c>
      <x:c r="D74" t="str">
        <x:v>Stim FREE</x:v>
      </x:c>
      <x:c r="E74" t="str">
        <x:v>25 servings</x:v>
      </x:c>
      <x:c r="F74" t="n">
        <x:v>2</x:v>
      </x:c>
      <x:c r="G74" t="str">
        <x:v>https://www.activesportstrade.co.uk/trade-sports-supplements</x:v>
      </x:c>
      <x:c r="H74" t="str"/>
      <x:c r="I74" t="str">
        <x:v>Pending genuine supplier/brand image</x:v>
      </x:c>
    </x:row>
    <x:row r="75">
      <x:c r="A75" t="str">
        <x:v>Apex Formulas</x:v>
      </x:c>
      <x:c r="B75" t="str">
        <x:v>Cream Of Oats</x:v>
      </x:c>
      <x:c r="C75" t="str">
        <x:v>Supplements</x:v>
      </x:c>
      <x:c r="D75" t="str">
        <x:v>Carbohydrates</x:v>
      </x:c>
      <x:c r="E75" t="str">
        <x:v>2kg</x:v>
      </x:c>
      <x:c r="F75" t="n">
        <x:v>8</x:v>
      </x:c>
      <x:c r="G75" t="str">
        <x:v>https://www.activesportstrade.co.uk/Carb-Powders</x:v>
      </x:c>
      <x:c r="H75" t="str"/>
      <x:c r="I75" t="str">
        <x:v>Pending genuine supplier/brand image</x:v>
      </x:c>
    </x:row>
    <x:row r="76">
      <x:c r="A76" t="str">
        <x:v>Apex Formulas</x:v>
      </x:c>
      <x:c r="B76" t="str">
        <x:v>Duel Creatine</x:v>
      </x:c>
      <x:c r="C76" t="str">
        <x:v>Supplements</x:v>
      </x:c>
      <x:c r="D76" t="str">
        <x:v>Creatine Powders</x:v>
      </x:c>
      <x:c r="E76" t="str">
        <x:v>300g</x:v>
      </x:c>
      <x:c r="F76" t="n">
        <x:v>3</x:v>
      </x:c>
      <x:c r="G76" t="str">
        <x:v>https://www.activesportstrade.co.uk/Creatine-Powders-Trade</x:v>
      </x:c>
      <x:c r="H76" t="str"/>
      <x:c r="I76" t="str">
        <x:v>Pending genuine supplier/brand image</x:v>
      </x:c>
    </x:row>
    <x:row r="77">
      <x:c r="A77" t="str">
        <x:v>Apex Formulas</x:v>
      </x:c>
      <x:c r="B77" t="str">
        <x:v>HMB</x:v>
      </x:c>
      <x:c r="C77" t="str">
        <x:v>Supplements</x:v>
      </x:c>
      <x:c r="D77" t="str">
        <x:v>HMB Supplements</x:v>
      </x:c>
      <x:c r="E77" t="str">
        <x:v>240g</x:v>
      </x:c>
      <x:c r="F77" t="n">
        <x:v>1</x:v>
      </x:c>
      <x:c r="G77" t="str">
        <x:v>https://www.activesportstrade.co.uk/trade-sports-supplements</x:v>
      </x:c>
      <x:c r="H77" t="str"/>
      <x:c r="I77" t="str">
        <x:v>Pending genuine supplier/brand image</x:v>
      </x:c>
    </x:row>
    <x:row r="78">
      <x:c r="A78" t="str">
        <x:v>Apex Formulas</x:v>
      </x:c>
      <x:c r="B78" t="str">
        <x:v>Joint Support</x:v>
      </x:c>
      <x:c r="C78" t="str">
        <x:v>Supplements</x:v>
      </x:c>
      <x:c r="D78" t="str">
        <x:v>Joint Repair</x:v>
      </x:c>
      <x:c r="E78" t="str">
        <x:v>30 servings</x:v>
      </x:c>
      <x:c r="F78" t="n">
        <x:v>1</x:v>
      </x:c>
      <x:c r="G78" t="str">
        <x:v>https://www.activesportstrade.co.uk/trade-sports-supplements</x:v>
      </x:c>
      <x:c r="H78" t="str"/>
      <x:c r="I78" t="str">
        <x:v>Pending genuine supplier/brand image</x:v>
      </x:c>
    </x:row>
    <x:row r="79">
      <x:c r="A79" t="str">
        <x:v>Apex Formulas</x:v>
      </x:c>
      <x:c r="B79" t="str">
        <x:v>Morning Ritual</x:v>
      </x:c>
      <x:c r="C79" t="str">
        <x:v>Supplements</x:v>
      </x:c>
      <x:c r="D79" t="str">
        <x:v>All In Ones</x:v>
      </x:c>
      <x:c r="E79" t="str">
        <x:v>30 servings</x:v>
      </x:c>
      <x:c r="F79" t="n">
        <x:v>3</x:v>
      </x:c>
      <x:c r="G79" t="str">
        <x:v>https://www.activesportstrade.co.uk/trade-sports-supplements</x:v>
      </x:c>
      <x:c r="H79" t="str"/>
      <x:c r="I79" t="str">
        <x:v>Pending genuine supplier/brand image</x:v>
      </x:c>
    </x:row>
    <x:row r="80">
      <x:c r="A80" t="str">
        <x:v>Apex Formulas</x:v>
      </x:c>
      <x:c r="B80" t="str">
        <x:v>Stress Recovery</x:v>
      </x:c>
      <x:c r="C80" t="str">
        <x:v>Supplements</x:v>
      </x:c>
      <x:c r="D80" t="str">
        <x:v>Sleep Aids</x:v>
      </x:c>
      <x:c r="E80" t="str">
        <x:v>30 servings</x:v>
      </x:c>
      <x:c r="F80" t="n">
        <x:v>1</x:v>
      </x:c>
      <x:c r="G80" t="str">
        <x:v>https://www.activesportstrade.co.uk/trade-sports-supplements</x:v>
      </x:c>
      <x:c r="H80" t="str"/>
      <x:c r="I80" t="str">
        <x:v>Pending genuine supplier/brand image</x:v>
      </x:c>
    </x:row>
    <x:row r="81">
      <x:c r="A81" t="str">
        <x:v>Apex Formulas</x:v>
      </x:c>
      <x:c r="B81" t="str">
        <x:v>Vitamin D3 &amp; K2</x:v>
      </x:c>
      <x:c r="C81" t="str">
        <x:v>Supplements</x:v>
      </x:c>
      <x:c r="D81" t="str">
        <x:v>Vitamins</x:v>
      </x:c>
      <x:c r="E81" t="str">
        <x:v>120 caps</x:v>
      </x:c>
      <x:c r="F81" t="n">
        <x:v>1</x:v>
      </x:c>
      <x:c r="G81" t="str">
        <x:v>https://www.activesportstrade.co.uk/trade-sports-supplements</x:v>
      </x:c>
      <x:c r="H81" t="str"/>
      <x:c r="I81" t="str">
        <x:v>Pending genuine supplier/brand image</x:v>
      </x:c>
    </x:row>
    <x:row r="82">
      <x:c r="A82" t="str">
        <x:v>Apocalypse Nutrition</x:v>
      </x:c>
      <x:c r="B82" t="str">
        <x:v>Creatine 3000mg</x:v>
      </x:c>
      <x:c r="C82" t="str">
        <x:v>Supplements</x:v>
      </x:c>
      <x:c r="D82" t="str">
        <x:v>Creatine Pills</x:v>
      </x:c>
      <x:c r="E82" t="str">
        <x:v>120 caps</x:v>
      </x:c>
      <x:c r="F82" t="n">
        <x:v>1</x:v>
      </x:c>
      <x:c r="G82" t="str">
        <x:v>https://www.activesportstrade.co.uk/apocalypse-nutrition</x:v>
      </x:c>
      <x:c r="H82" t="str"/>
      <x:c r="I82" t="str">
        <x:v>Pending genuine supplier/brand image</x:v>
      </x:c>
    </x:row>
    <x:row r="83">
      <x:c r="A83" t="str">
        <x:v>Apocalypse Nutrition</x:v>
      </x:c>
      <x:c r="B83" t="str">
        <x:v>Creatine Juice</x:v>
      </x:c>
      <x:c r="C83" t="str">
        <x:v>Supplements</x:v>
      </x:c>
      <x:c r="D83" t="str">
        <x:v>Creatine Powders</x:v>
      </x:c>
      <x:c r="E83" t="str">
        <x:v>300g / 60 servings</x:v>
      </x:c>
      <x:c r="F83" t="n">
        <x:v>3</x:v>
      </x:c>
      <x:c r="G83" t="str">
        <x:v>https://www.activesportstrade.co.uk/apocalypse-nutrition</x:v>
      </x:c>
      <x:c r="H83" t="str"/>
      <x:c r="I83" t="str">
        <x:v>Pending genuine supplier/brand image</x:v>
      </x:c>
    </x:row>
    <x:row r="84">
      <x:c r="A84" t="str">
        <x:v>Apocalypse Nutrition</x:v>
      </x:c>
      <x:c r="B84" t="str">
        <x:v>Creatine Monohydrate Powder</x:v>
      </x:c>
      <x:c r="C84" t="str">
        <x:v>Supplements</x:v>
      </x:c>
      <x:c r="D84" t="str">
        <x:v>Creatine Powders</x:v>
      </x:c>
      <x:c r="E84" t="str">
        <x:v>300g, 600g</x:v>
      </x:c>
      <x:c r="F84" t="n">
        <x:v>2</x:v>
      </x:c>
      <x:c r="G84" t="str">
        <x:v>https://www.activesportstrade.co.uk/apocalypse-nutrition</x:v>
      </x:c>
      <x:c r="H84" t="str"/>
      <x:c r="I84" t="str">
        <x:v>Pending genuine supplier/brand image</x:v>
      </x:c>
    </x:row>
    <x:row r="85">
      <x:c r="A85" t="str">
        <x:v>Apocalypse Nutrition</x:v>
      </x:c>
      <x:c r="B85" t="str">
        <x:v>D3 + K2</x:v>
      </x:c>
      <x:c r="C85" t="str">
        <x:v>Supplements</x:v>
      </x:c>
      <x:c r="D85" t="str">
        <x:v>Vitamins</x:v>
      </x:c>
      <x:c r="E85" t="str">
        <x:v>60 caps</x:v>
      </x:c>
      <x:c r="F85" t="n">
        <x:v>1</x:v>
      </x:c>
      <x:c r="G85" t="str">
        <x:v>https://www.activesportstrade.co.uk/apocalypse-nutrition</x:v>
      </x:c>
      <x:c r="H85" t="str"/>
      <x:c r="I85" t="str">
        <x:v>Pending genuine supplier/brand image</x:v>
      </x:c>
    </x:row>
    <x:row r="86">
      <x:c r="A86" t="str">
        <x:v>Apocalypse Nutrition</x:v>
      </x:c>
      <x:c r="B86" t="str">
        <x:v>EAA Juice</x:v>
      </x:c>
      <x:c r="C86" t="str">
        <x:v>Supplements</x:v>
      </x:c>
      <x:c r="D86" t="str">
        <x:v>Amino Acids</x:v>
      </x:c>
      <x:c r="E86" t="str">
        <x:v>300g / 30 servings</x:v>
      </x:c>
      <x:c r="F86" t="n">
        <x:v>3</x:v>
      </x:c>
      <x:c r="G86" t="str">
        <x:v>https://www.activesportstrade.co.uk/apocalypse-nutrition</x:v>
      </x:c>
      <x:c r="H86" t="str"/>
      <x:c r="I86" t="str">
        <x:v>Pending genuine supplier/brand image</x:v>
      </x:c>
    </x:row>
    <x:row r="87">
      <x:c r="A87" t="str">
        <x:v>Apocalypse Nutrition</x:v>
      </x:c>
      <x:c r="B87" t="str">
        <x:v>Hydration Juice</x:v>
      </x:c>
      <x:c r="C87" t="str">
        <x:v>Supplements</x:v>
      </x:c>
      <x:c r="D87" t="str">
        <x:v>Hydration</x:v>
      </x:c>
      <x:c r="E87" t="str">
        <x:v>30 servings</x:v>
      </x:c>
      <x:c r="F87" t="n">
        <x:v>3</x:v>
      </x:c>
      <x:c r="G87" t="str">
        <x:v>https://www.activesportstrade.co.uk/apocalypse-nutrition</x:v>
      </x:c>
      <x:c r="H87" t="str"/>
      <x:c r="I87" t="str">
        <x:v>Pending genuine supplier/brand image</x:v>
      </x:c>
    </x:row>
    <x:row r="88">
      <x:c r="A88" t="str">
        <x:v>Apocalypse Nutrition</x:v>
      </x:c>
      <x:c r="B88" t="str">
        <x:v>Magnesium Bisglycinate</x:v>
      </x:c>
      <x:c r="C88" t="str">
        <x:v>Supplements</x:v>
      </x:c>
      <x:c r="D88" t="str">
        <x:v>Vitamins</x:v>
      </x:c>
      <x:c r="E88" t="str">
        <x:v>60 caps</x:v>
      </x:c>
      <x:c r="F88" t="n">
        <x:v>1</x:v>
      </x:c>
      <x:c r="G88" t="str">
        <x:v>https://www.activesportstrade.co.uk/apocalypse-nutrition</x:v>
      </x:c>
      <x:c r="H88" t="str"/>
      <x:c r="I88" t="str">
        <x:v>Pending genuine supplier/brand image</x:v>
      </x:c>
    </x:row>
    <x:row r="89">
      <x:c r="A89" t="str">
        <x:v>Apocalypse Nutrition</x:v>
      </x:c>
      <x:c r="B89" t="str">
        <x:v>OCS</x:v>
      </x:c>
      <x:c r="C89" t="str">
        <x:v>Supplements</x:v>
      </x:c>
      <x:c r="D89" t="str">
        <x:v>OCS Supplements</x:v>
      </x:c>
      <x:c r="E89" t="str">
        <x:v>120 caps</x:v>
      </x:c>
      <x:c r="F89" t="n">
        <x:v>1</x:v>
      </x:c>
      <x:c r="G89" t="str">
        <x:v>https://www.activesportstrade.co.uk/apocalypse-nutrition</x:v>
      </x:c>
      <x:c r="H89" t="str"/>
      <x:c r="I89" t="str">
        <x:v>Pending genuine supplier/brand image</x:v>
      </x:c>
    </x:row>
    <x:row r="90">
      <x:c r="A90" t="str">
        <x:v>Apocalypse Nutrition</x:v>
      </x:c>
      <x:c r="B90" t="str">
        <x:v>Pac-A-Punch</x:v>
      </x:c>
      <x:c r="C90" t="str">
        <x:v>Pre Workouts</x:v>
      </x:c>
      <x:c r="D90" t="str">
        <x:v>High Stim</x:v>
      </x:c>
      <x:c r="E90" t="str">
        <x:v>400g</x:v>
      </x:c>
      <x:c r="F90" t="n">
        <x:v>3</x:v>
      </x:c>
      <x:c r="G90" t="str">
        <x:v>https://www.activesportstrade.co.uk/apocalypse-nutrition</x:v>
      </x:c>
      <x:c r="H90" t="str"/>
      <x:c r="I90" t="str">
        <x:v>Pending genuine supplier/brand image</x:v>
      </x:c>
    </x:row>
    <x:row r="91">
      <x:c r="A91" t="str">
        <x:v>Apocalypse Nutrition</x:v>
      </x:c>
      <x:c r="B91" t="str">
        <x:v>Screw Caps Shaker</x:v>
      </x:c>
      <x:c r="C91" t="str">
        <x:v>Accessories</x:v>
      </x:c>
      <x:c r="D91" t="str">
        <x:v>Shakers</x:v>
      </x:c>
      <x:c r="E91" t="str">
        <x:v>700ml</x:v>
      </x:c>
      <x:c r="F91" t="n">
        <x:v>1</x:v>
      </x:c>
      <x:c r="G91" t="str">
        <x:v>https://www.activesportstrade.co.uk/apocalypse-nutrition</x:v>
      </x:c>
      <x:c r="H91" t="str"/>
      <x:c r="I91" t="str">
        <x:v>Pending genuine supplier/brand image</x:v>
      </x:c>
    </x:row>
    <x:row r="92">
      <x:c r="A92" t="str">
        <x:v>Apocalypse Nutrition</x:v>
      </x:c>
      <x:c r="B92" t="str">
        <x:v>Shilajit</x:v>
      </x:c>
      <x:c r="C92" t="str">
        <x:v>Supplements</x:v>
      </x:c>
      <x:c r="D92" t="str">
        <x:v>Health Foods</x:v>
      </x:c>
      <x:c r="E92" t="str">
        <x:v>60 caps</x:v>
      </x:c>
      <x:c r="F92" t="n">
        <x:v>1</x:v>
      </x:c>
      <x:c r="G92" t="str">
        <x:v>https://www.activesportstrade.co.uk/apocalypse-nutrition</x:v>
      </x:c>
      <x:c r="H92" t="str"/>
      <x:c r="I92" t="str">
        <x:v>Pending genuine supplier/brand image</x:v>
      </x:c>
    </x:row>
    <x:row r="93">
      <x:c r="A93" t="str">
        <x:v>Apocalypse Nutrition</x:v>
      </x:c>
      <x:c r="B93" t="str">
        <x:v>TURK</x:v>
      </x:c>
      <x:c r="C93" t="str">
        <x:v>Supplements</x:v>
      </x:c>
      <x:c r="D93" t="str">
        <x:v>All In Ones</x:v>
      </x:c>
      <x:c r="E93" t="str">
        <x:v>60 caps</x:v>
      </x:c>
      <x:c r="F93" t="n">
        <x:v>1</x:v>
      </x:c>
      <x:c r="G93" t="str">
        <x:v>https://www.activesportstrade.co.uk/apocalypse-nutrition</x:v>
      </x:c>
      <x:c r="H93" t="str"/>
      <x:c r="I93" t="str">
        <x:v>Pending genuine supplier/brand image</x:v>
      </x:c>
    </x:row>
    <x:row r="94">
      <x:c r="A94" t="str">
        <x:v>Apocalypse Nutrition</x:v>
      </x:c>
      <x:c r="B94" t="str">
        <x:v>US Half Gallon Water Jug</x:v>
      </x:c>
      <x:c r="C94" t="str">
        <x:v>Accessories</x:v>
      </x:c>
      <x:c r="D94" t="str">
        <x:v>Shakers</x:v>
      </x:c>
      <x:c r="E94" t="str">
        <x:v>1.89 litres</x:v>
      </x:c>
      <x:c r="F94" t="n">
        <x:v>1</x:v>
      </x:c>
      <x:c r="G94" t="str">
        <x:v>https://www.activesportstrade.co.uk/apocalypse-nutrition</x:v>
      </x:c>
      <x:c r="H94" t="str"/>
      <x:c r="I94" t="str">
        <x:v>Pending genuine supplier/brand image</x:v>
      </x:c>
    </x:row>
    <x:row r="95">
      <x:c r="A95" t="str">
        <x:v>Apocalypse Nutrition</x:v>
      </x:c>
      <x:c r="B95" t="str">
        <x:v>Zinc, Magnesium and Vitamin B6</x:v>
      </x:c>
      <x:c r="C95" t="str">
        <x:v>Supplements</x:v>
      </x:c>
      <x:c r="D95" t="str">
        <x:v>Vitamins</x:v>
      </x:c>
      <x:c r="E95" t="str">
        <x:v>90 caps</x:v>
      </x:c>
      <x:c r="F95" t="n">
        <x:v>1</x:v>
      </x:c>
      <x:c r="G95" t="str">
        <x:v>https://www.activesportstrade.co.uk/apocalypse-nutrition</x:v>
      </x:c>
      <x:c r="H95" t="str"/>
      <x:c r="I95" t="str">
        <x:v>Pending genuine supplier/brand image</x:v>
      </x:c>
    </x:row>
    <x:row r="96">
      <x:c r="A96" t="str">
        <x:v>Apocalypse Nutrition</x:v>
      </x:c>
      <x:c r="B96" t="str">
        <x:v>Zombie Juice V2</x:v>
      </x:c>
      <x:c r="C96" t="str">
        <x:v>Pre Workouts</x:v>
      </x:c>
      <x:c r="D96" t="str">
        <x:v>High Stim</x:v>
      </x:c>
      <x:c r="E96" t="str">
        <x:v>30 servings</x:v>
      </x:c>
      <x:c r="F96" t="n">
        <x:v>4</x:v>
      </x:c>
      <x:c r="G96" t="str">
        <x:v>https://www.activesportstrade.co.uk/apocalypse-nutrition</x:v>
      </x:c>
      <x:c r="H96" t="str"/>
      <x:c r="I96" t="str">
        <x:v>Pending genuine supplier/brand image</x:v>
      </x:c>
    </x:row>
    <x:row r="97">
      <x:c r="A97" t="str">
        <x:v>Barebells</x:v>
      </x:c>
      <x:c r="B97" t="str">
        <x:v>Protein Bars - Spread Editions</x:v>
      </x:c>
      <x:c r="C97" t="str">
        <x:v>Drinks and Bars</x:v>
      </x:c>
      <x:c r="D97" t="str">
        <x:v>Bars and Snacks</x:v>
      </x:c>
      <x:c r="E97" t="str">
        <x:v>12 x 45g bars</x:v>
      </x:c>
      <x:c r="F97" t="n">
        <x:v>1</x:v>
      </x:c>
      <x:c r="G97" t="str">
        <x:v>https://www.activesportstrade.co.uk/trade-sports-supplements</x:v>
      </x:c>
      <x:c r="H97" t="str"/>
      <x:c r="I97" t="str">
        <x:v>Pending genuine supplier/brand image</x:v>
      </x:c>
    </x:row>
    <x:row r="98">
      <x:c r="A98" t="str">
        <x:v>Barebells</x:v>
      </x:c>
      <x:c r="B98" t="str">
        <x:v>Protein Bars</x:v>
      </x:c>
      <x:c r="C98" t="str">
        <x:v>Drinks and Bars</x:v>
      </x:c>
      <x:c r="D98" t="str">
        <x:v>Bars and Snacks</x:v>
      </x:c>
      <x:c r="E98" t="str">
        <x:v>12 x 55g bars</x:v>
      </x:c>
      <x:c r="F98" t="n">
        <x:v>7</x:v>
      </x:c>
      <x:c r="G98" t="str">
        <x:v>https://www.activesportstrade.co.uk/trade-sports-supplements</x:v>
      </x:c>
      <x:c r="H98" t="str"/>
      <x:c r="I98" t="str">
        <x:v>Pending genuine supplier/brand image</x:v>
      </x:c>
    </x:row>
    <x:row r="99">
      <x:c r="A99" t="str">
        <x:v>Barebells</x:v>
      </x:c>
      <x:c r="B99" t="str">
        <x:v>Soft Protein Bar</x:v>
      </x:c>
      <x:c r="C99" t="str">
        <x:v>Drinks and Bars</x:v>
      </x:c>
      <x:c r="D99" t="str">
        <x:v>Bars and Snacks</x:v>
      </x:c>
      <x:c r="E99" t="str">
        <x:v>12 x 55g bars</x:v>
      </x:c>
      <x:c r="F99" t="n">
        <x:v>6</x:v>
      </x:c>
      <x:c r="G99" t="str">
        <x:v>https://www.activesportstrade.co.uk/Protein-Bars</x:v>
      </x:c>
      <x:c r="H99" t="str"/>
      <x:c r="I99" t="str">
        <x:v>Pending genuine supplier/brand image</x:v>
      </x:c>
    </x:row>
    <x:row r="100">
      <x:c r="A100" t="str">
        <x:v>Barebells</x:v>
      </x:c>
      <x:c r="B100" t="str">
        <x:v>Vegan Protein Bars</x:v>
      </x:c>
      <x:c r="C100" t="str">
        <x:v>Drinks and Bars</x:v>
      </x:c>
      <x:c r="D100" t="str">
        <x:v>Bars and Snacks</x:v>
      </x:c>
      <x:c r="E100" t="str">
        <x:v>12 x 55g bars</x:v>
      </x:c>
      <x:c r="F100" t="n">
        <x:v>2</x:v>
      </x:c>
      <x:c r="G100" t="str">
        <x:v>https://www.activesportstrade.co.uk/Protein-Bars</x:v>
      </x:c>
      <x:c r="H100" t="str"/>
      <x:c r="I100" t="str">
        <x:v>Pending genuine supplier/brand image</x:v>
      </x:c>
    </x:row>
    <x:row r="101">
      <x:c r="A101" t="str">
        <x:v>Barebells</x:v>
      </x:c>
      <x:c r="B101" t="str">
        <x:v>Protein Milkshakes RTD</x:v>
      </x:c>
      <x:c r="C101" t="str">
        <x:v>Drinks and Bars</x:v>
      </x:c>
      <x:c r="D101" t="str">
        <x:v>Ready to Drink Protein</x:v>
      </x:c>
      <x:c r="E101" t="str">
        <x:v>8 x 330ml bottles</x:v>
      </x:c>
      <x:c r="F101" t="n">
        <x:v>5</x:v>
      </x:c>
      <x:c r="G101" t="str">
        <x:v>https://www.activesportstrade.co.uk/Protein-Blends-Trade</x:v>
      </x:c>
      <x:c r="H101" t="str"/>
      <x:c r="I101" t="str">
        <x:v>Pending genuine supplier/brand image</x:v>
      </x:c>
    </x:row>
    <x:row r="102">
      <x:c r="A102" t="str">
        <x:v>Beast Pharm</x:v>
      </x:c>
      <x:c r="B102" t="str">
        <x:v>Ashwagandha KSM-66</x:v>
      </x:c>
      <x:c r="C102" t="str">
        <x:v>Supplements</x:v>
      </x:c>
      <x:c r="D102" t="str">
        <x:v>Health Foods</x:v>
      </x:c>
      <x:c r="E102" t="str">
        <x:v>90 caps</x:v>
      </x:c>
      <x:c r="F102" t="n">
        <x:v>1</x:v>
      </x:c>
      <x:c r="G102" t="str">
        <x:v>https://www.activesportstrade.co.uk/beast-pharm-trade</x:v>
      </x:c>
      <x:c r="H102" t="str"/>
      <x:c r="I102" t="str">
        <x:v>Pending genuine supplier/brand image</x:v>
      </x:c>
    </x:row>
    <x:row r="103">
      <x:c r="A103" t="str">
        <x:v>Beast Pharm</x:v>
      </x:c>
      <x:c r="B103" t="str">
        <x:v>Beast Bar</x:v>
      </x:c>
      <x:c r="C103" t="str">
        <x:v>Drinks and Bars</x:v>
      </x:c>
      <x:c r="D103" t="str">
        <x:v>Bars and Snacks</x:v>
      </x:c>
      <x:c r="E103" t="str">
        <x:v>12 x 80g bars</x:v>
      </x:c>
      <x:c r="F103" t="n">
        <x:v>1</x:v>
      </x:c>
      <x:c r="G103" t="str">
        <x:v>https://www.activesportstrade.co.uk/beast-pharm-trade</x:v>
      </x:c>
      <x:c r="H103" t="str"/>
      <x:c r="I103" t="str">
        <x:v>Pending genuine supplier/brand image</x:v>
      </x:c>
    </x:row>
    <x:row r="104">
      <x:c r="A104" t="str">
        <x:v>Beast Pharm</x:v>
      </x:c>
      <x:c r="B104" t="str">
        <x:v>BEAST Biltong</x:v>
      </x:c>
      <x:c r="C104" t="str">
        <x:v>Drinks and Bars</x:v>
      </x:c>
      <x:c r="D104" t="str">
        <x:v>Bars and Snacks</x:v>
      </x:c>
      <x:c r="E104" t="str">
        <x:v>1 x 40g bag</x:v>
      </x:c>
      <x:c r="F104" t="n">
        <x:v>4</x:v>
      </x:c>
      <x:c r="G104" t="str">
        <x:v>https://www.activesportstrade.co.uk/beast-pharm-trade</x:v>
      </x:c>
      <x:c r="H104" t="str"/>
      <x:c r="I104" t="str">
        <x:v>Pending genuine supplier/brand image</x:v>
      </x:c>
    </x:row>
    <x:row r="105">
      <x:c r="A105" t="str">
        <x:v>Beast Pharm</x:v>
      </x:c>
      <x:c r="B105" t="str">
        <x:v>Big D Daily Saturation Formula</x:v>
      </x:c>
      <x:c r="C105" t="str">
        <x:v>Supplements</x:v>
      </x:c>
      <x:c r="D105" t="str">
        <x:v>All In Ones</x:v>
      </x:c>
      <x:c r="E105" t="str">
        <x:v>30 servings</x:v>
      </x:c>
      <x:c r="F105" t="n">
        <x:v>2</x:v>
      </x:c>
      <x:c r="G105" t="str">
        <x:v>https://www.activesportstrade.co.uk/beast-pharm-trade</x:v>
      </x:c>
      <x:c r="H105" t="str"/>
      <x:c r="I105" t="str">
        <x:v>Pending genuine supplier/brand image</x:v>
      </x:c>
    </x:row>
    <x:row r="106">
      <x:c r="A106" t="str">
        <x:v>Beast Pharm</x:v>
      </x:c>
      <x:c r="B106" t="str">
        <x:v>Big Joint</x:v>
      </x:c>
      <x:c r="C106" t="str">
        <x:v>Supplements</x:v>
      </x:c>
      <x:c r="D106" t="str">
        <x:v>Joint Repair</x:v>
      </x:c>
      <x:c r="E106" t="str">
        <x:v>120 caps</x:v>
      </x:c>
      <x:c r="F106" t="n">
        <x:v>1</x:v>
      </x:c>
      <x:c r="G106" t="str">
        <x:v>https://www.activesportstrade.co.uk/beast-pharm-trade</x:v>
      </x:c>
      <x:c r="H106" t="str"/>
      <x:c r="I106" t="str">
        <x:v>Pending genuine supplier/brand image</x:v>
      </x:c>
    </x:row>
    <x:row r="107">
      <x:c r="A107" t="str">
        <x:v>Beast Pharm</x:v>
      </x:c>
      <x:c r="B107" t="str">
        <x:v>Big Love</x:v>
      </x:c>
      <x:c r="C107" t="str">
        <x:v>Supplements</x:v>
      </x:c>
      <x:c r="D107" t="str">
        <x:v>Health Foods</x:v>
      </x:c>
      <x:c r="E107" t="str">
        <x:v>120 caps</x:v>
      </x:c>
      <x:c r="F107" t="n">
        <x:v>2</x:v>
      </x:c>
      <x:c r="G107" t="str">
        <x:v>https://www.activesportstrade.co.uk/beast-pharm-trade</x:v>
      </x:c>
      <x:c r="H107" t="str"/>
      <x:c r="I107" t="str">
        <x:v>Pending genuine supplier/brand image</x:v>
      </x:c>
    </x:row>
    <x:row r="108">
      <x:c r="A108" t="str">
        <x:v>Beast Pharm</x:v>
      </x:c>
      <x:c r="B108" t="str">
        <x:v>Hydrator Jug XXL</x:v>
      </x:c>
      <x:c r="C108" t="str">
        <x:v>Accessories</x:v>
      </x:c>
      <x:c r="D108" t="str">
        <x:v>Shakers</x:v>
      </x:c>
      <x:c r="E108" t="str">
        <x:v>2400ml</x:v>
      </x:c>
      <x:c r="F108" t="n">
        <x:v>2</x:v>
      </x:c>
      <x:c r="G108" t="str">
        <x:v>https://www.activesportstrade.co.uk/beast-pharm-trade</x:v>
      </x:c>
      <x:c r="H108" t="str"/>
      <x:c r="I108" t="str">
        <x:v>Pending genuine supplier/brand image</x:v>
      </x:c>
    </x:row>
    <x:row r="109">
      <x:c r="A109" t="str">
        <x:v>Beast Pharm</x:v>
      </x:c>
      <x:c r="B109" t="str">
        <x:v>Hydro Hydration Formula</x:v>
      </x:c>
      <x:c r="C109" t="str">
        <x:v>Supplements</x:v>
      </x:c>
      <x:c r="D109" t="str">
        <x:v>Hydration</x:v>
      </x:c>
      <x:c r="E109" t="str">
        <x:v>60 servings</x:v>
      </x:c>
      <x:c r="F109" t="n">
        <x:v>5</x:v>
      </x:c>
      <x:c r="G109" t="str">
        <x:v>https://www.activesportstrade.co.uk/beast-pharm-trade</x:v>
      </x:c>
      <x:c r="H109" t="str"/>
      <x:c r="I109" t="str">
        <x:v>Pending genuine supplier/brand image</x:v>
      </x:c>
    </x:row>
    <x:row r="110">
      <x:c r="A110" t="str">
        <x:v>Beast Pharm</x:v>
      </x:c>
      <x:c r="B110" t="str">
        <x:v>Liquid Chalk</x:v>
      </x:c>
      <x:c r="C110" t="str">
        <x:v>Accessories</x:v>
      </x:c>
      <x:c r="D110" t="str">
        <x:v>Straps and Supports</x:v>
      </x:c>
      <x:c r="E110" t="str">
        <x:v>50ml, 250ml</x:v>
      </x:c>
      <x:c r="F110" t="n">
        <x:v>2</x:v>
      </x:c>
      <x:c r="G110" t="str">
        <x:v>https://www.activesportstrade.co.uk/beast-pharm-trade</x:v>
      </x:c>
      <x:c r="H110" t="str"/>
      <x:c r="I110" t="str">
        <x:v>Pending genuine supplier/brand image</x:v>
      </x:c>
    </x:row>
    <x:row r="111">
      <x:c r="A111" t="str">
        <x:v>Beast Pharm</x:v>
      </x:c>
      <x:c r="B111" t="str">
        <x:v>Omega Pro</x:v>
      </x:c>
      <x:c r="C111" t="str">
        <x:v>Supplements</x:v>
      </x:c>
      <x:c r="D111" t="str">
        <x:v>Omega and EFA</x:v>
      </x:c>
      <x:c r="E111" t="str">
        <x:v>90 softgels</x:v>
      </x:c>
      <x:c r="F111" t="n">
        <x:v>1</x:v>
      </x:c>
      <x:c r="G111" t="str">
        <x:v>https://www.activesportstrade.co.uk/beast-pharm-trade</x:v>
      </x:c>
      <x:c r="H111" t="str"/>
      <x:c r="I111" t="str">
        <x:v>Pending genuine supplier/brand image</x:v>
      </x:c>
    </x:row>
    <x:row r="112">
      <x:c r="A112" t="str">
        <x:v>Beast Pharm</x:v>
      </x:c>
      <x:c r="B112" t="str">
        <x:v>PUMP</x:v>
      </x:c>
      <x:c r="C112" t="str">
        <x:v>Pre Workouts</x:v>
      </x:c>
      <x:c r="D112" t="str">
        <x:v>Stim FREE</x:v>
      </x:c>
      <x:c r="E112" t="str">
        <x:v>30 servings</x:v>
      </x:c>
      <x:c r="F112" t="n">
        <x:v>2</x:v>
      </x:c>
      <x:c r="G112" t="str">
        <x:v>https://www.activesportstrade.co.uk/stim-free-pre-workouts-trade</x:v>
      </x:c>
      <x:c r="H112" t="str"/>
      <x:c r="I112" t="str">
        <x:v>Pending genuine supplier/brand image</x:v>
      </x:c>
    </x:row>
    <x:row r="113">
      <x:c r="A113" t="str">
        <x:v>Beast Pharm</x:v>
      </x:c>
      <x:c r="B113" t="str">
        <x:v>Smelling Salts</x:v>
      </x:c>
      <x:c r="C113" t="str">
        <x:v>Accessories</x:v>
      </x:c>
      <x:c r="D113" t="str">
        <x:v>Training Accessories</x:v>
      </x:c>
      <x:c r="E113" t="str">
        <x:v>Strong, Stronger, World's Strongest</x:v>
      </x:c>
      <x:c r="F113" t="n">
        <x:v>3</x:v>
      </x:c>
      <x:c r="G113" t="str">
        <x:v>https://www.activesportstrade.co.uk/beast-pharm-trade</x:v>
      </x:c>
      <x:c r="H113" t="str"/>
      <x:c r="I113" t="str">
        <x:v>Pending genuine supplier/brand image</x:v>
      </x:c>
    </x:row>
    <x:row r="114">
      <x:c r="A114" t="str">
        <x:v>Beast Pharm</x:v>
      </x:c>
      <x:c r="B114" t="str">
        <x:v>STIM Pre Workout</x:v>
      </x:c>
      <x:c r="C114" t="str">
        <x:v>Pre Workouts</x:v>
      </x:c>
      <x:c r="D114" t="str">
        <x:v>High Stim</x:v>
      </x:c>
      <x:c r="E114" t="str">
        <x:v>30 servings</x:v>
      </x:c>
      <x:c r="F114" t="n">
        <x:v>2</x:v>
      </x:c>
      <x:c r="G114" t="str">
        <x:v>https://www.activesportstrade.co.uk/beast-pharm-trade</x:v>
      </x:c>
      <x:c r="H114" t="str"/>
      <x:c r="I114" t="str">
        <x:v>Pending genuine supplier/brand image</x:v>
      </x:c>
    </x:row>
    <x:row r="115">
      <x:c r="A115" t="str">
        <x:v>Beast Pharm</x:v>
      </x:c>
      <x:c r="B115" t="str">
        <x:v>Tacky - All Purpose</x:v>
      </x:c>
      <x:c r="C115" t="str">
        <x:v>Accessories</x:v>
      </x:c>
      <x:c r="D115" t="str">
        <x:v>Training Accessories</x:v>
      </x:c>
      <x:c r="E115" t="str">
        <x:v>120g, 425g</x:v>
      </x:c>
      <x:c r="F115" t="n">
        <x:v>2</x:v>
      </x:c>
      <x:c r="G115" t="str">
        <x:v>https://www.activesportstrade.co.uk/beast-pharm-trade</x:v>
      </x:c>
      <x:c r="H115" t="str"/>
      <x:c r="I115" t="str">
        <x:v>Pending genuine supplier/brand image</x:v>
      </x:c>
    </x:row>
    <x:row r="116">
      <x:c r="A116" t="str">
        <x:v>Beast Pharm</x:v>
      </x:c>
      <x:c r="B116" t="str">
        <x:v>Tacky - World's Strongest</x:v>
      </x:c>
      <x:c r="C116" t="str">
        <x:v>Accessories</x:v>
      </x:c>
      <x:c r="D116" t="str">
        <x:v>Training Accessories</x:v>
      </x:c>
      <x:c r="E116" t="str">
        <x:v>120g, 425g</x:v>
      </x:c>
      <x:c r="F116" t="n">
        <x:v>2</x:v>
      </x:c>
      <x:c r="G116" t="str">
        <x:v>https://www.activesportstrade.co.uk/beast-pharm-trade</x:v>
      </x:c>
      <x:c r="H116" t="str"/>
      <x:c r="I116" t="str">
        <x:v>Pending genuine supplier/brand image</x:v>
      </x:c>
    </x:row>
    <x:row r="117">
      <x:c r="A117" t="str">
        <x:v>Beast Pharm</x:v>
      </x:c>
      <x:c r="B117" t="str">
        <x:v>Tacky Remover</x:v>
      </x:c>
      <x:c r="C117" t="str">
        <x:v>Accessories</x:v>
      </x:c>
      <x:c r="D117" t="str">
        <x:v>Training Accessories</x:v>
      </x:c>
      <x:c r="E117" t="str">
        <x:v>100ml</x:v>
      </x:c>
      <x:c r="F117" t="n">
        <x:v>1</x:v>
      </x:c>
      <x:c r="G117" t="str">
        <x:v>https://www.activesportstrade.co.uk/beast-pharm-trade</x:v>
      </x:c>
      <x:c r="H117" t="str"/>
      <x:c r="I117" t="str">
        <x:v>Pending genuine supplier/brand image</x:v>
      </x:c>
    </x:row>
    <x:row r="118">
      <x:c r="A118" t="str">
        <x:v>Beast Pharm</x:v>
      </x:c>
      <x:c r="B118" t="str">
        <x:v>Whey Protein</x:v>
      </x:c>
      <x:c r="C118" t="str">
        <x:v>Supplements</x:v>
      </x:c>
      <x:c r="D118" t="str">
        <x:v>Protein Blends</x:v>
      </x:c>
      <x:c r="E118" t="str">
        <x:v>67 servings</x:v>
      </x:c>
      <x:c r="F118" t="n">
        <x:v>6</x:v>
      </x:c>
      <x:c r="G118" t="str">
        <x:v>https://www.activesportstrade.co.uk/beast-pharm-trade</x:v>
      </x:c>
      <x:c r="H118" t="str"/>
      <x:c r="I118" t="str">
        <x:v>Pending genuine supplier/brand image</x:v>
      </x:c>
    </x:row>
    <x:row r="119">
      <x:c r="A119" t="str">
        <x:v>Beast Pharm</x:v>
      </x:c>
      <x:c r="B119" t="str">
        <x:v>Recover Post Workout</x:v>
      </x:c>
      <x:c r="C119" t="str">
        <x:v>Supplements</x:v>
      </x:c>
      <x:c r="D119" t="str">
        <x:v>Recovery Shakes</x:v>
      </x:c>
      <x:c r="E119" t="str">
        <x:v>2.4kg</x:v>
      </x:c>
      <x:c r="F119" t="n">
        <x:v>4</x:v>
      </x:c>
      <x:c r="G119" t="str">
        <x:v>https://www.activesportstrade.co.uk/Protein-Blends-Trade</x:v>
      </x:c>
      <x:c r="H119" t="str"/>
      <x:c r="I119" t="str">
        <x:v>Pending genuine supplier/brand image</x:v>
      </x:c>
    </x:row>
    <x:row r="120">
      <x:c r="A120" t="str">
        <x:v>Biotech USA</x:v>
      </x:c>
      <x:c r="B120" t="str">
        <x:v>100% Creatine Monohydrate</x:v>
      </x:c>
      <x:c r="C120" t="str">
        <x:v>Supplements</x:v>
      </x:c>
      <x:c r="D120" t="str">
        <x:v>Creatine Powders</x:v>
      </x:c>
      <x:c r="E120" t="str">
        <x:v>300g</x:v>
      </x:c>
      <x:c r="F120" t="n">
        <x:v>1</x:v>
      </x:c>
      <x:c r="G120" t="str">
        <x:v>https://www.activesportstrade.co.uk/biotech-usa-trade</x:v>
      </x:c>
      <x:c r="H120" t="str"/>
      <x:c r="I120" t="str">
        <x:v>Pending genuine supplier/brand image</x:v>
      </x:c>
    </x:row>
    <x:row r="121">
      <x:c r="A121" t="str">
        <x:v>Biotech USA</x:v>
      </x:c>
      <x:c r="B121" t="str">
        <x:v>100% L-Glutamine</x:v>
      </x:c>
      <x:c r="C121" t="str">
        <x:v>Supplements</x:v>
      </x:c>
      <x:c r="D121" t="str">
        <x:v>Amino Acids</x:v>
      </x:c>
      <x:c r="E121" t="str">
        <x:v>240g, 500g</x:v>
      </x:c>
      <x:c r="F121" t="n">
        <x:v>2</x:v>
      </x:c>
      <x:c r="G121" t="str">
        <x:v>https://www.activesportstrade.co.uk/biotech-usa-trade</x:v>
      </x:c>
      <x:c r="H121" t="str"/>
      <x:c r="I121" t="str">
        <x:v>Pending genuine supplier/brand image</x:v>
      </x:c>
    </x:row>
    <x:row r="122">
      <x:c r="A122" t="str">
        <x:v>Biotech USA</x:v>
      </x:c>
      <x:c r="B122" t="str">
        <x:v>100% Pure Whey</x:v>
      </x:c>
      <x:c r="C122" t="str">
        <x:v>Supplements</x:v>
      </x:c>
      <x:c r="D122" t="str">
        <x:v>Whey Protein</x:v>
      </x:c>
      <x:c r="E122" t="str">
        <x:v>1000g, 2kg</x:v>
      </x:c>
      <x:c r="F122" t="n">
        <x:v>19</x:v>
      </x:c>
      <x:c r="G122" t="str">
        <x:v>https://www.activesportstrade.co.uk/biotech-usa-trade</x:v>
      </x:c>
      <x:c r="H122" t="str"/>
      <x:c r="I122" t="str">
        <x:v>Pending genuine supplier/brand image</x:v>
      </x:c>
    </x:row>
    <x:row r="123">
      <x:c r="A123" t="str">
        <x:v>Biotech USA</x:v>
      </x:c>
      <x:c r="B123" t="str">
        <x:v>AAKG 1000</x:v>
      </x:c>
      <x:c r="C123" t="str">
        <x:v>Supplements</x:v>
      </x:c>
      <x:c r="D123" t="str">
        <x:v>Amino Acids</x:v>
      </x:c>
      <x:c r="E123" t="str">
        <x:v>100 caps</x:v>
      </x:c>
      <x:c r="F123" t="n">
        <x:v>1</x:v>
      </x:c>
      <x:c r="G123" t="str">
        <x:v>https://www.activesportstrade.co.uk/biotech-usa-trade</x:v>
      </x:c>
      <x:c r="H123" t="str"/>
      <x:c r="I123" t="str">
        <x:v>Pending genuine supplier/brand image</x:v>
      </x:c>
    </x:row>
    <x:row r="124">
      <x:c r="A124" t="str">
        <x:v>Biotech USA</x:v>
      </x:c>
      <x:c r="B124" t="str">
        <x:v>ALA</x:v>
      </x:c>
      <x:c r="C124" t="str">
        <x:v>Supplements</x:v>
      </x:c>
      <x:c r="D124" t="str">
        <x:v>Vitamins</x:v>
      </x:c>
      <x:c r="E124" t="str">
        <x:v>50 caps</x:v>
      </x:c>
      <x:c r="F124" t="n">
        <x:v>1</x:v>
      </x:c>
      <x:c r="G124" t="str">
        <x:v>https://www.activesportstrade.co.uk/biotech-usa-trade</x:v>
      </x:c>
      <x:c r="H124" t="str"/>
      <x:c r="I124" t="str">
        <x:v>Pending genuine supplier/brand image</x:v>
      </x:c>
    </x:row>
    <x:row r="125">
      <x:c r="A125" t="str">
        <x:v>Biotech USA</x:v>
      </x:c>
      <x:c r="B125" t="str">
        <x:v>Amino Energy Zero - With Electrolytes</x:v>
      </x:c>
      <x:c r="C125" t="str">
        <x:v>Supplements</x:v>
      </x:c>
      <x:c r="D125" t="str">
        <x:v>Amino Acids</x:v>
      </x:c>
      <x:c r="E125" t="str">
        <x:v>360g</x:v>
      </x:c>
      <x:c r="F125" t="n">
        <x:v>3</x:v>
      </x:c>
      <x:c r="G125" t="str">
        <x:v>https://www.activesportstrade.co.uk/biotech-usa-trade</x:v>
      </x:c>
      <x:c r="H125" t="str"/>
      <x:c r="I125" t="str">
        <x:v>Pending genuine supplier/brand image</x:v>
      </x:c>
    </x:row>
    <x:row r="126">
      <x:c r="A126" t="str">
        <x:v>Biotech USA</x:v>
      </x:c>
      <x:c r="B126" t="str">
        <x:v>Antioxidants</x:v>
      </x:c>
      <x:c r="C126" t="str">
        <x:v>Supplements</x:v>
      </x:c>
      <x:c r="D126" t="str">
        <x:v>Vitamins</x:v>
      </x:c>
      <x:c r="E126" t="str">
        <x:v>60 tabs</x:v>
      </x:c>
      <x:c r="F126" t="n">
        <x:v>1</x:v>
      </x:c>
      <x:c r="G126" t="str">
        <x:v>https://www.activesportstrade.co.uk/biotech-usa-trade</x:v>
      </x:c>
      <x:c r="H126" t="str"/>
      <x:c r="I126" t="str">
        <x:v>Pending genuine supplier/brand image</x:v>
      </x:c>
    </x:row>
    <x:row r="127">
      <x:c r="A127" t="str">
        <x:v>Biotech USA</x:v>
      </x:c>
      <x:c r="B127" t="str">
        <x:v>Arthro Forte - Joint Support</x:v>
      </x:c>
      <x:c r="C127" t="str">
        <x:v>Supplements</x:v>
      </x:c>
      <x:c r="D127" t="str">
        <x:v>Joint Repair</x:v>
      </x:c>
      <x:c r="E127" t="str">
        <x:v>340g, 120 caps</x:v>
      </x:c>
      <x:c r="F127" t="n">
        <x:v>3</x:v>
      </x:c>
      <x:c r="G127" t="str">
        <x:v>https://www.activesportstrade.co.uk/biotech-usa-trade</x:v>
      </x:c>
      <x:c r="H127" t="str"/>
      <x:c r="I127" t="str">
        <x:v>Pending genuine supplier/brand image</x:v>
      </x:c>
    </x:row>
    <x:row r="128">
      <x:c r="A128" t="str">
        <x:v>Biotech USA</x:v>
      </x:c>
      <x:c r="B128" t="str">
        <x:v>Ashwa+</x:v>
      </x:c>
      <x:c r="C128" t="str">
        <x:v>Supplements</x:v>
      </x:c>
      <x:c r="D128" t="str">
        <x:v>Health Foods</x:v>
      </x:c>
      <x:c r="E128" t="str">
        <x:v>30 caps</x:v>
      </x:c>
      <x:c r="F128" t="n">
        <x:v>1</x:v>
      </x:c>
      <x:c r="G128" t="str">
        <x:v>https://www.activesportstrade.co.uk/biotech-usa-trade</x:v>
      </x:c>
      <x:c r="H128" t="str"/>
      <x:c r="I128" t="str">
        <x:v>Pending genuine supplier/brand image</x:v>
      </x:c>
    </x:row>
    <x:row r="129">
      <x:c r="A129" t="str">
        <x:v>Biotech USA</x:v>
      </x:c>
      <x:c r="B129" t="str">
        <x:v>Ashwagandha</x:v>
      </x:c>
      <x:c r="C129" t="str">
        <x:v>Supplements</x:v>
      </x:c>
      <x:c r="D129" t="str">
        <x:v>Health Foods</x:v>
      </x:c>
      <x:c r="E129" t="str">
        <x:v>60 caps</x:v>
      </x:c>
      <x:c r="F129" t="n">
        <x:v>1</x:v>
      </x:c>
      <x:c r="G129" t="str">
        <x:v>https://www.activesportstrade.co.uk/biotech-usa-trade</x:v>
      </x:c>
      <x:c r="H129" t="str"/>
      <x:c r="I129" t="str">
        <x:v>Pending genuine supplier/brand image</x:v>
      </x:c>
    </x:row>
    <x:row r="130">
      <x:c r="A130" t="str">
        <x:v>Biotech USA</x:v>
      </x:c>
      <x:c r="B130" t="str">
        <x:v>B Complex</x:v>
      </x:c>
      <x:c r="C130" t="str">
        <x:v>Supplements</x:v>
      </x:c>
      <x:c r="D130" t="str">
        <x:v>Vitamins</x:v>
      </x:c>
      <x:c r="E130" t="str">
        <x:v>60 caps</x:v>
      </x:c>
      <x:c r="F130" t="n">
        <x:v>1</x:v>
      </x:c>
      <x:c r="G130" t="str">
        <x:v>https://www.activesportstrade.co.uk/biotech-usa-trade</x:v>
      </x:c>
      <x:c r="H130" t="str"/>
      <x:c r="I130" t="str">
        <x:v>Pending genuine supplier/brand image</x:v>
      </x:c>
    </x:row>
    <x:row r="131">
      <x:c r="A131" t="str">
        <x:v>Biotech USA</x:v>
      </x:c>
      <x:c r="B131" t="str">
        <x:v>BCAA Flash Zero</x:v>
      </x:c>
      <x:c r="C131" t="str">
        <x:v>Supplements</x:v>
      </x:c>
      <x:c r="D131" t="str">
        <x:v>BCAAS</x:v>
      </x:c>
      <x:c r="E131" t="str">
        <x:v>180g / 20 servings, 360g / 40 servings</x:v>
      </x:c>
      <x:c r="F131" t="n">
        <x:v>12</x:v>
      </x:c>
      <x:c r="G131" t="str">
        <x:v>https://www.activesportstrade.co.uk/biotech-usa-trade</x:v>
      </x:c>
      <x:c r="H131" t="str"/>
      <x:c r="I131" t="str">
        <x:v>Pending genuine supplier/brand image</x:v>
      </x:c>
    </x:row>
    <x:row r="132">
      <x:c r="A132" t="str">
        <x:v>Biotech USA</x:v>
      </x:c>
      <x:c r="B132" t="str">
        <x:v>Beef Protein</x:v>
      </x:c>
      <x:c r="C132" t="str">
        <x:v>Supplements</x:v>
      </x:c>
      <x:c r="D132" t="str">
        <x:v>Protein Blends</x:v>
      </x:c>
      <x:c r="E132" t="str">
        <x:v>1816g</x:v>
      </x:c>
      <x:c r="F132" t="n">
        <x:v>3</x:v>
      </x:c>
      <x:c r="G132" t="str">
        <x:v>https://www.activesportstrade.co.uk/biotech-usa-trade</x:v>
      </x:c>
      <x:c r="H132" t="str"/>
      <x:c r="I132" t="str">
        <x:v>Pending genuine supplier/brand image</x:v>
      </x:c>
    </x:row>
    <x:row r="133">
      <x:c r="A133" t="str">
        <x:v>Biotech USA</x:v>
      </x:c>
      <x:c r="B133" t="str">
        <x:v>Beta Alanine</x:v>
      </x:c>
      <x:c r="C133" t="str">
        <x:v>Supplements</x:v>
      </x:c>
      <x:c r="D133" t="str">
        <x:v>Amino Acids</x:v>
      </x:c>
      <x:c r="E133" t="str">
        <x:v>300g, 90 caps</x:v>
      </x:c>
      <x:c r="F133" t="n">
        <x:v>2</x:v>
      </x:c>
      <x:c r="G133" t="str">
        <x:v>https://www.activesportstrade.co.uk/biotech-usa-trade</x:v>
      </x:c>
      <x:c r="H133" t="str"/>
      <x:c r="I133" t="str">
        <x:v>Pending genuine supplier/brand image</x:v>
      </x:c>
    </x:row>
    <x:row r="134">
      <x:c r="A134" t="str">
        <x:v>Biotech USA</x:v>
      </x:c>
      <x:c r="B134" t="str">
        <x:v>Biotiq C</x:v>
      </x:c>
      <x:c r="C134" t="str">
        <x:v>Supplements</x:v>
      </x:c>
      <x:c r="D134" t="str">
        <x:v>Vitamins</x:v>
      </x:c>
      <x:c r="E134" t="str">
        <x:v>36 caps</x:v>
      </x:c>
      <x:c r="F134" t="n">
        <x:v>1</x:v>
      </x:c>
      <x:c r="G134" t="str">
        <x:v>https://www.activesportstrade.co.uk/biotech-usa-trade</x:v>
      </x:c>
      <x:c r="H134" t="str"/>
      <x:c r="I134" t="str">
        <x:v>Pending genuine supplier/brand image</x:v>
      </x:c>
    </x:row>
    <x:row r="135">
      <x:c r="A135" t="str">
        <x:v>Biotech USA</x:v>
      </x:c>
      <x:c r="B135" t="str">
        <x:v>Black Blood CAF+ Pre Workout</x:v>
      </x:c>
      <x:c r="C135" t="str">
        <x:v>Pre Workouts</x:v>
      </x:c>
      <x:c r="D135" t="str">
        <x:v>High Stim</x:v>
      </x:c>
      <x:c r="E135" t="str">
        <x:v>330g</x:v>
      </x:c>
      <x:c r="F135" t="n">
        <x:v>3</x:v>
      </x:c>
      <x:c r="G135" t="str">
        <x:v>https://www.activesportstrade.co.uk/biotech-usa-trade</x:v>
      </x:c>
      <x:c r="H135" t="str"/>
      <x:c r="I135" t="str">
        <x:v>Pending genuine supplier/brand image</x:v>
      </x:c>
    </x:row>
    <x:row r="136">
      <x:c r="A136" t="str">
        <x:v>Biotech USA</x:v>
      </x:c>
      <x:c r="B136" t="str">
        <x:v>Black Blood Shot</x:v>
      </x:c>
      <x:c r="C136" t="str">
        <x:v>Pre Workouts</x:v>
      </x:c>
      <x:c r="D136" t="str">
        <x:v>Shots and Ready To Drink</x:v>
      </x:c>
      <x:c r="E136" t="str">
        <x:v>20 x 60ml shots</x:v>
      </x:c>
      <x:c r="F136" t="n">
        <x:v>1</x:v>
      </x:c>
      <x:c r="G136" t="str">
        <x:v>https://www.activesportstrade.co.uk/biotech-usa-trade</x:v>
      </x:c>
      <x:c r="H136" t="str"/>
      <x:c r="I136" t="str">
        <x:v>Pending genuine supplier/brand image</x:v>
      </x:c>
    </x:row>
    <x:row r="137">
      <x:c r="A137" t="str">
        <x:v>Biotech USA</x:v>
      </x:c>
      <x:c r="B137" t="str">
        <x:v>Black Burn Powder</x:v>
      </x:c>
      <x:c r="C137" t="str">
        <x:v>Supplements</x:v>
      </x:c>
      <x:c r="D137" t="str">
        <x:v>Fat Burners</x:v>
      </x:c>
      <x:c r="E137" t="str">
        <x:v>210g</x:v>
      </x:c>
      <x:c r="F137" t="n">
        <x:v>2</x:v>
      </x:c>
      <x:c r="G137" t="str">
        <x:v>https://www.activesportstrade.co.uk/biotech-usa-trade</x:v>
      </x:c>
      <x:c r="H137" t="str"/>
      <x:c r="I137" t="str">
        <x:v>Pending genuine supplier/brand image</x:v>
      </x:c>
    </x:row>
    <x:row r="138">
      <x:c r="A138" t="str">
        <x:v>Biotech USA</x:v>
      </x:c>
      <x:c r="B138" t="str">
        <x:v>Black Test</x:v>
      </x:c>
      <x:c r="C138" t="str">
        <x:v>Supplements</x:v>
      </x:c>
      <x:c r="D138" t="str">
        <x:v>Testosterone Boosters</x:v>
      </x:c>
      <x:c r="E138" t="str">
        <x:v>90 caps</x:v>
      </x:c>
      <x:c r="F138" t="n">
        <x:v>1</x:v>
      </x:c>
      <x:c r="G138" t="str">
        <x:v>https://www.activesportstrade.co.uk/biotech-usa-trade</x:v>
      </x:c>
      <x:c r="H138" t="str"/>
      <x:c r="I138" t="str">
        <x:v>Pending genuine supplier/brand image</x:v>
      </x:c>
    </x:row>
    <x:row r="139">
      <x:c r="A139" t="str">
        <x:v>Biotech USA</x:v>
      </x:c>
      <x:c r="B139" t="str">
        <x:v>Brutal Anadrol</x:v>
      </x:c>
      <x:c r="C139" t="str">
        <x:v>Supplements</x:v>
      </x:c>
      <x:c r="D139" t="str">
        <x:v>All In Ones</x:v>
      </x:c>
      <x:c r="E139" t="str">
        <x:v>90 caps</x:v>
      </x:c>
      <x:c r="F139" t="n">
        <x:v>1</x:v>
      </x:c>
      <x:c r="G139" t="str">
        <x:v>https://www.activesportstrade.co.uk/biotech-usa-trade</x:v>
      </x:c>
      <x:c r="H139" t="str"/>
      <x:c r="I139" t="str">
        <x:v>Pending genuine supplier/brand image</x:v>
      </x:c>
    </x:row>
    <x:row r="140">
      <x:c r="A140" t="str">
        <x:v>Biotech USA</x:v>
      </x:c>
      <x:c r="B140" t="str">
        <x:v>Caffeine + Taurine</x:v>
      </x:c>
      <x:c r="C140" t="str">
        <x:v>Pre Workouts</x:v>
      </x:c>
      <x:c r="D140" t="str">
        <x:v>Pre Workout Pills</x:v>
      </x:c>
      <x:c r="E140" t="str">
        <x:v>60 caps</x:v>
      </x:c>
      <x:c r="F140" t="n">
        <x:v>1</x:v>
      </x:c>
      <x:c r="G140" t="str">
        <x:v>https://www.activesportstrade.co.uk/biotech-usa-trade</x:v>
      </x:c>
      <x:c r="H140" t="str"/>
      <x:c r="I140" t="str">
        <x:v>Pending genuine supplier/brand image</x:v>
      </x:c>
    </x:row>
    <x:row r="141">
      <x:c r="A141" t="str">
        <x:v>Biotech USA</x:v>
      </x:c>
      <x:c r="B141" t="str">
        <x:v>Calcium Zinc Magnesium</x:v>
      </x:c>
      <x:c r="C141" t="str">
        <x:v>Supplements</x:v>
      </x:c>
      <x:c r="D141" t="str">
        <x:v>Vitamins</x:v>
      </x:c>
      <x:c r="E141" t="str">
        <x:v>100 tabs</x:v>
      </x:c>
      <x:c r="F141" t="n">
        <x:v>1</x:v>
      </x:c>
      <x:c r="G141" t="str">
        <x:v>https://www.activesportstrade.co.uk/biotech-usa-trade</x:v>
      </x:c>
      <x:c r="H141" t="str"/>
      <x:c r="I141" t="str">
        <x:v>Pending genuine supplier/brand image</x:v>
      </x:c>
    </x:row>
    <x:row r="142">
      <x:c r="A142" t="str">
        <x:v>Biotech USA</x:v>
      </x:c>
      <x:c r="B142" t="str">
        <x:v>Carbox</x:v>
      </x:c>
      <x:c r="C142" t="str">
        <x:v>Supplements</x:v>
      </x:c>
      <x:c r="D142" t="str">
        <x:v>Carbohydrates</x:v>
      </x:c>
      <x:c r="E142" t="str">
        <x:v>1kg</x:v>
      </x:c>
      <x:c r="F142" t="n">
        <x:v>3</x:v>
      </x:c>
      <x:c r="G142" t="str">
        <x:v>https://www.activesportstrade.co.uk/biotech-usa-trade</x:v>
      </x:c>
      <x:c r="H142" t="str"/>
      <x:c r="I142" t="str">
        <x:v>Pending genuine supplier/brand image</x:v>
      </x:c>
    </x:row>
    <x:row r="143">
      <x:c r="A143" t="str">
        <x:v>Biotech USA</x:v>
      </x:c>
      <x:c r="B143" t="str">
        <x:v>Chondroitin Glucosamine</x:v>
      </x:c>
      <x:c r="C143" t="str">
        <x:v>Supplements</x:v>
      </x:c>
      <x:c r="D143" t="str">
        <x:v>Joint Repair</x:v>
      </x:c>
      <x:c r="E143" t="str">
        <x:v>60 tabs</x:v>
      </x:c>
      <x:c r="F143" t="n">
        <x:v>1</x:v>
      </x:c>
      <x:c r="G143" t="str">
        <x:v>https://www.activesportstrade.co.uk/biotech-usa-trade</x:v>
      </x:c>
      <x:c r="H143" t="str"/>
      <x:c r="I143" t="str">
        <x:v>Pending genuine supplier/brand image</x:v>
      </x:c>
    </x:row>
    <x:row r="144">
      <x:c r="A144" t="str">
        <x:v>Biotech USA</x:v>
      </x:c>
      <x:c r="B144" t="str">
        <x:v>Citrulline Malate</x:v>
      </x:c>
      <x:c r="C144" t="str">
        <x:v>Supplements</x:v>
      </x:c>
      <x:c r="D144" t="str">
        <x:v>Amino Acids</x:v>
      </x:c>
      <x:c r="E144" t="str">
        <x:v>300g, 90 caps</x:v>
      </x:c>
      <x:c r="F144" t="n">
        <x:v>3</x:v>
      </x:c>
      <x:c r="G144" t="str">
        <x:v>https://www.activesportstrade.co.uk/biotech-usa-trade</x:v>
      </x:c>
      <x:c r="H144" t="str"/>
      <x:c r="I144" t="str">
        <x:v>Pending genuine supplier/brand image</x:v>
      </x:c>
    </x:row>
    <x:row r="145">
      <x:c r="A145" t="str">
        <x:v>Biotech USA</x:v>
      </x:c>
      <x:c r="B145" t="str">
        <x:v>Clear Collagen Professional</x:v>
      </x:c>
      <x:c r="C145" t="str">
        <x:v>Supplements</x:v>
      </x:c>
      <x:c r="D145" t="str">
        <x:v>Collagen</x:v>
      </x:c>
      <x:c r="E145" t="str">
        <x:v>350g</x:v>
      </x:c>
      <x:c r="F145" t="n">
        <x:v>2</x:v>
      </x:c>
      <x:c r="G145" t="str">
        <x:v>https://www.activesportstrade.co.uk/biotech-usa-trade</x:v>
      </x:c>
      <x:c r="H145" t="str"/>
      <x:c r="I145" t="str">
        <x:v>Pending genuine supplier/brand image</x:v>
      </x:c>
    </x:row>
    <x:row r="146">
      <x:c r="A146" t="str">
        <x:v>Biotech USA</x:v>
      </x:c>
      <x:c r="B146" t="str">
        <x:v>Collagen &amp; Hyaluronic</x:v>
      </x:c>
      <x:c r="C146" t="str">
        <x:v>Supplements</x:v>
      </x:c>
      <x:c r="D146" t="str">
        <x:v>Collagen</x:v>
      </x:c>
      <x:c r="E146" t="str">
        <x:v>30 caps</x:v>
      </x:c>
      <x:c r="F146" t="n">
        <x:v>1</x:v>
      </x:c>
      <x:c r="G146" t="str">
        <x:v>https://www.activesportstrade.co.uk/biotech-usa-trade</x:v>
      </x:c>
      <x:c r="H146" t="str"/>
      <x:c r="I146" t="str">
        <x:v>Pending genuine supplier/brand image</x:v>
      </x:c>
    </x:row>
    <x:row r="147">
      <x:c r="A147" t="str">
        <x:v>Biotech USA</x:v>
      </x:c>
      <x:c r="B147" t="str">
        <x:v>Collagen</x:v>
      </x:c>
      <x:c r="C147" t="str">
        <x:v>Supplements</x:v>
      </x:c>
      <x:c r="D147" t="str">
        <x:v>Collagen</x:v>
      </x:c>
      <x:c r="E147" t="str">
        <x:v>300g</x:v>
      </x:c>
      <x:c r="F147" t="n">
        <x:v>2</x:v>
      </x:c>
      <x:c r="G147" t="str">
        <x:v>https://www.activesportstrade.co.uk/biotech-usa-trade</x:v>
      </x:c>
      <x:c r="H147" t="str"/>
      <x:c r="I147" t="str">
        <x:v>Pending genuine supplier/brand image</x:v>
      </x:c>
    </x:row>
    <x:row r="148">
      <x:c r="A148" t="str">
        <x:v>Biotech USA</x:v>
      </x:c>
      <x:c r="B148" t="str">
        <x:v>Collagen Liquid</x:v>
      </x:c>
      <x:c r="C148" t="str">
        <x:v>Supplements</x:v>
      </x:c>
      <x:c r="D148" t="str">
        <x:v>Collagen</x:v>
      </x:c>
      <x:c r="E148" t="str">
        <x:v>1000ml</x:v>
      </x:c>
      <x:c r="F148" t="n">
        <x:v>2</x:v>
      </x:c>
      <x:c r="G148" t="str">
        <x:v>https://www.activesportstrade.co.uk/biotech-usa-trade</x:v>
      </x:c>
      <x:c r="H148" t="str"/>
      <x:c r="I148" t="str">
        <x:v>Pending genuine supplier/brand image</x:v>
      </x:c>
    </x:row>
    <x:row r="149">
      <x:c r="A149" t="str">
        <x:v>Biotech USA</x:v>
      </x:c>
      <x:c r="B149" t="str">
        <x:v>Crea Tor</x:v>
      </x:c>
      <x:c r="C149" t="str">
        <x:v>Supplements</x:v>
      </x:c>
      <x:c r="D149" t="str">
        <x:v>Creatine Pills</x:v>
      </x:c>
      <x:c r="E149" t="str">
        <x:v>120 caps</x:v>
      </x:c>
      <x:c r="F149" t="n">
        <x:v>1</x:v>
      </x:c>
      <x:c r="G149" t="str">
        <x:v>https://www.activesportstrade.co.uk/biotech-usa-trade</x:v>
      </x:c>
      <x:c r="H149" t="str"/>
      <x:c r="I149" t="str">
        <x:v>Pending genuine supplier/brand image</x:v>
      </x:c>
    </x:row>
    <x:row r="150">
      <x:c r="A150" t="str">
        <x:v>Biotech USA</x:v>
      </x:c>
      <x:c r="B150" t="str">
        <x:v>EAA Zero</x:v>
      </x:c>
      <x:c r="C150" t="str">
        <x:v>Supplements</x:v>
      </x:c>
      <x:c r="D150" t="str">
        <x:v>Amino Acids</x:v>
      </x:c>
      <x:c r="E150" t="str">
        <x:v>182g, 350g</x:v>
      </x:c>
      <x:c r="F150" t="n">
        <x:v>8</x:v>
      </x:c>
      <x:c r="G150" t="str">
        <x:v>https://www.activesportstrade.co.uk/biotech-usa-trade</x:v>
      </x:c>
      <x:c r="H150" t="str"/>
      <x:c r="I150" t="str">
        <x:v>Pending genuine supplier/brand image</x:v>
      </x:c>
    </x:row>
    <x:row r="151">
      <x:c r="A151" t="str">
        <x:v>Biotech USA</x:v>
      </x:c>
      <x:c r="B151" t="str">
        <x:v>Hyper Mass</x:v>
      </x:c>
      <x:c r="C151" t="str">
        <x:v>Supplements</x:v>
      </x:c>
      <x:c r="D151" t="str">
        <x:v>Mass Gainers</x:v>
      </x:c>
      <x:c r="E151" t="str">
        <x:v>2270g, 4000g, 6.8kg</x:v>
      </x:c>
      <x:c r="F151" t="n">
        <x:v>9</x:v>
      </x:c>
      <x:c r="G151" t="str">
        <x:v>https://www.activesportstrade.co.uk/biotech-usa-trade</x:v>
      </x:c>
      <x:c r="H151" t="str"/>
      <x:c r="I151" t="str">
        <x:v>Pending genuine supplier/brand image</x:v>
      </x:c>
    </x:row>
    <x:row r="152">
      <x:c r="A152" t="str">
        <x:v>Biotech USA</x:v>
      </x:c>
      <x:c r="B152" t="str">
        <x:v>Iso Whey Zero</x:v>
      </x:c>
      <x:c r="C152" t="str">
        <x:v>Supplements</x:v>
      </x:c>
      <x:c r="D152" t="str">
        <x:v>Whey Protein</x:v>
      </x:c>
      <x:c r="E152" t="str">
        <x:v>1.816kg, 908g</x:v>
      </x:c>
      <x:c r="F152" t="n">
        <x:v>32</x:v>
      </x:c>
      <x:c r="G152" t="str">
        <x:v>https://www.activesportstrade.co.uk/biotech-usa-trade</x:v>
      </x:c>
      <x:c r="H152" t="str"/>
      <x:c r="I152" t="str">
        <x:v>Pending genuine supplier/brand image</x:v>
      </x:c>
    </x:row>
    <x:row r="153">
      <x:c r="A153" t="str">
        <x:v>Biotech USA</x:v>
      </x:c>
      <x:c r="B153" t="str">
        <x:v>Micellar Casein</x:v>
      </x:c>
      <x:c r="C153" t="str">
        <x:v>Supplements</x:v>
      </x:c>
      <x:c r="D153" t="str">
        <x:v>Casein Protein</x:v>
      </x:c>
      <x:c r="E153" t="str">
        <x:v>2270g, 908g</x:v>
      </x:c>
      <x:c r="F153" t="n">
        <x:v>6</x:v>
      </x:c>
      <x:c r="G153" t="str">
        <x:v>https://www.activesportstrade.co.uk/biotech-usa-trade</x:v>
      </x:c>
      <x:c r="H153" t="str"/>
      <x:c r="I153" t="str">
        <x:v>Pending genuine supplier/brand image</x:v>
      </x:c>
    </x:row>
    <x:row r="154">
      <x:c r="A154" t="str">
        <x:v>Biotech USA</x:v>
      </x:c>
      <x:c r="B154" t="str">
        <x:v>Daily Pack</x:v>
      </x:c>
      <x:c r="C154" t="str">
        <x:v>Supplements</x:v>
      </x:c>
      <x:c r="D154" t="str">
        <x:v>All In Ones</x:v>
      </x:c>
      <x:c r="E154" t="str">
        <x:v>30 packs</x:v>
      </x:c>
      <x:c r="F154" t="n">
        <x:v>1</x:v>
      </x:c>
      <x:c r="G154" t="str">
        <x:v>https://www.activesportstrade.co.uk/biotech-usa-trade</x:v>
      </x:c>
      <x:c r="H154" t="str"/>
      <x:c r="I154" t="str">
        <x:v>Pending genuine supplier/brand image</x:v>
      </x:c>
    </x:row>
    <x:row r="155">
      <x:c r="A155" t="str">
        <x:v>Biotech USA</x:v>
      </x:c>
      <x:c r="B155" t="str">
        <x:v>FAT-X</x:v>
      </x:c>
      <x:c r="C155" t="str">
        <x:v>Supplements</x:v>
      </x:c>
      <x:c r="D155" t="str">
        <x:v>Fat Burners</x:v>
      </x:c>
      <x:c r="E155" t="str">
        <x:v>60 tabs</x:v>
      </x:c>
      <x:c r="F155" t="n">
        <x:v>1</x:v>
      </x:c>
      <x:c r="G155" t="str">
        <x:v>https://www.activesportstrade.co.uk/biotech-usa-trade</x:v>
      </x:c>
      <x:c r="H155" t="str"/>
      <x:c r="I155" t="str">
        <x:v>Pending genuine supplier/brand image</x:v>
      </x:c>
    </x:row>
    <x:row r="156">
      <x:c r="A156" t="str">
        <x:v>Biotech USA</x:v>
      </x:c>
      <x:c r="B156" t="str">
        <x:v>Fibre Mix</x:v>
      </x:c>
      <x:c r="C156" t="str">
        <x:v>Supplements</x:v>
      </x:c>
      <x:c r="D156" t="str">
        <x:v>Health Foods</x:v>
      </x:c>
      <x:c r="E156" t="str">
        <x:v>225g</x:v>
      </x:c>
      <x:c r="F156" t="n">
        <x:v>1</x:v>
      </x:c>
      <x:c r="G156" t="str">
        <x:v>https://www.activesportstrade.co.uk/biotech-usa-trade</x:v>
      </x:c>
      <x:c r="H156" t="str"/>
      <x:c r="I156" t="str">
        <x:v>Pending genuine supplier/brand image</x:v>
      </x:c>
    </x:row>
    <x:row r="157">
      <x:c r="A157" t="str">
        <x:v>Biotech USA</x:v>
      </x:c>
      <x:c r="B157" t="str">
        <x:v>GH</x:v>
      </x:c>
      <x:c r="C157" t="str">
        <x:v>Supplements</x:v>
      </x:c>
      <x:c r="D157" t="str">
        <x:v>GH Boosters</x:v>
      </x:c>
      <x:c r="E157" t="str">
        <x:v>120 caps</x:v>
      </x:c>
      <x:c r="F157" t="n">
        <x:v>1</x:v>
      </x:c>
      <x:c r="G157" t="str">
        <x:v>https://www.activesportstrade.co.uk/biotech-usa-trade</x:v>
      </x:c>
      <x:c r="H157" t="str"/>
      <x:c r="I157" t="str">
        <x:v>Pending genuine supplier/brand image</x:v>
      </x:c>
    </x:row>
    <x:row r="158">
      <x:c r="A158" t="str">
        <x:v>Biotech USA</x:v>
      </x:c>
      <x:c r="B158" t="str">
        <x:v>Glutamine Zero</x:v>
      </x:c>
      <x:c r="C158" t="str">
        <x:v>Supplements</x:v>
      </x:c>
      <x:c r="D158" t="str">
        <x:v>L-Glutamine</x:v>
      </x:c>
      <x:c r="E158" t="str">
        <x:v>300g / 25 servings</x:v>
      </x:c>
      <x:c r="F158" t="n">
        <x:v>4</x:v>
      </x:c>
      <x:c r="G158" t="str">
        <x:v>https://www.activesportstrade.co.uk/biotech-usa-trade</x:v>
      </x:c>
      <x:c r="H158" t="str"/>
      <x:c r="I158" t="str">
        <x:v>Pending genuine supplier/brand image</x:v>
      </x:c>
    </x:row>
    <x:row r="159">
      <x:c r="A159" t="str">
        <x:v>Biotech USA</x:v>
      </x:c>
      <x:c r="B159" t="str">
        <x:v>H2O Q10</x:v>
      </x:c>
      <x:c r="C159" t="str">
        <x:v>Supplements</x:v>
      </x:c>
      <x:c r="D159" t="str">
        <x:v>Vitamins</x:v>
      </x:c>
      <x:c r="E159" t="str">
        <x:v>60 caps</x:v>
      </x:c>
      <x:c r="F159" t="n">
        <x:v>1</x:v>
      </x:c>
      <x:c r="G159" t="str">
        <x:v>https://www.activesportstrade.co.uk/biotech-usa-trade</x:v>
      </x:c>
      <x:c r="H159" t="str"/>
      <x:c r="I159" t="str">
        <x:v>Pending genuine supplier/brand image</x:v>
      </x:c>
    </x:row>
    <x:row r="160">
      <x:c r="A160" t="str">
        <x:v>Biotech USA</x:v>
      </x:c>
      <x:c r="B160" t="str">
        <x:v>HMB</x:v>
      </x:c>
      <x:c r="C160" t="str">
        <x:v>Supplements</x:v>
      </x:c>
      <x:c r="D160" t="str">
        <x:v>HMB Supplements</x:v>
      </x:c>
      <x:c r="E160" t="str">
        <x:v>150 caps</x:v>
      </x:c>
      <x:c r="F160" t="n">
        <x:v>1</x:v>
      </x:c>
      <x:c r="G160" t="str">
        <x:v>https://www.activesportstrade.co.uk/biotech-usa-trade</x:v>
      </x:c>
      <x:c r="H160" t="str"/>
      <x:c r="I160" t="str">
        <x:v>Pending genuine supplier/brand image</x:v>
      </x:c>
    </x:row>
    <x:row r="161">
      <x:c r="A161" t="str">
        <x:v>Biotech USA</x:v>
      </x:c>
      <x:c r="B161" t="str">
        <x:v>Hyaluronic &amp; Collagen</x:v>
      </x:c>
      <x:c r="C161" t="str">
        <x:v>Supplements</x:v>
      </x:c>
      <x:c r="D161" t="str">
        <x:v>Collagen</x:v>
      </x:c>
      <x:c r="E161" t="str">
        <x:v>120 caps</x:v>
      </x:c>
      <x:c r="F161" t="n">
        <x:v>1</x:v>
      </x:c>
      <x:c r="G161" t="str">
        <x:v>https://www.activesportstrade.co.uk/biotech-usa-trade</x:v>
      </x:c>
      <x:c r="H161" t="str"/>
      <x:c r="I161" t="str">
        <x:v>Pending genuine supplier/brand image</x:v>
      </x:c>
    </x:row>
    <x:row r="162">
      <x:c r="A162" t="str">
        <x:v>Biotech USA</x:v>
      </x:c>
      <x:c r="B162" t="str">
        <x:v>IsoTonic</x:v>
      </x:c>
      <x:c r="C162" t="str">
        <x:v>Supplements</x:v>
      </x:c>
      <x:c r="D162" t="str">
        <x:v>Hydration</x:v>
      </x:c>
      <x:c r="E162" t="str">
        <x:v>600g</x:v>
      </x:c>
      <x:c r="F162" t="n">
        <x:v>2</x:v>
      </x:c>
      <x:c r="G162" t="str">
        <x:v>https://www.activesportstrade.co.uk/biotech-usa-trade</x:v>
      </x:c>
      <x:c r="H162" t="str"/>
      <x:c r="I162" t="str">
        <x:v>Pending genuine supplier/brand image</x:v>
      </x:c>
    </x:row>
    <x:row r="163">
      <x:c r="A163" t="str">
        <x:v>Biotech USA</x:v>
      </x:c>
      <x:c r="B163" t="str">
        <x:v>L-Arginine</x:v>
      </x:c>
      <x:c r="C163" t="str">
        <x:v>Supplements</x:v>
      </x:c>
      <x:c r="D163" t="str">
        <x:v>Amino Acids</x:v>
      </x:c>
      <x:c r="E163" t="str">
        <x:v>300g, 90 caps</x:v>
      </x:c>
      <x:c r="F163" t="n">
        <x:v>2</x:v>
      </x:c>
      <x:c r="G163" t="str">
        <x:v>https://www.activesportstrade.co.uk/biotech-usa-trade</x:v>
      </x:c>
      <x:c r="H163" t="str"/>
      <x:c r="I163" t="str">
        <x:v>Pending genuine supplier/brand image</x:v>
      </x:c>
    </x:row>
    <x:row r="164">
      <x:c r="A164" t="str">
        <x:v>Biotech USA</x:v>
      </x:c>
      <x:c r="B164" t="str">
        <x:v>L-Carnitine 100,000 Liquid</x:v>
      </x:c>
      <x:c r="C164" t="str">
        <x:v>Supplements</x:v>
      </x:c>
      <x:c r="D164" t="str">
        <x:v>L-Carnitine</x:v>
      </x:c>
      <x:c r="E164" t="str">
        <x:v>500ml</x:v>
      </x:c>
      <x:c r="F164" t="n">
        <x:v>2</x:v>
      </x:c>
      <x:c r="G164" t="str">
        <x:v>https://www.activesportstrade.co.uk/biotech-usa-trade</x:v>
      </x:c>
      <x:c r="H164" t="str"/>
      <x:c r="I164" t="str">
        <x:v>Pending genuine supplier/brand image</x:v>
      </x:c>
    </x:row>
    <x:row r="165">
      <x:c r="A165" t="str">
        <x:v>Biotech USA</x:v>
      </x:c>
      <x:c r="B165" t="str">
        <x:v>L-Carnitine 1000mg</x:v>
      </x:c>
      <x:c r="C165" t="str">
        <x:v>Supplements</x:v>
      </x:c>
      <x:c r="D165" t="str">
        <x:v>L-Carnitine</x:v>
      </x:c>
      <x:c r="E165" t="str">
        <x:v>30 tabs, 60 tabs</x:v>
      </x:c>
      <x:c r="F165" t="n">
        <x:v>2</x:v>
      </x:c>
      <x:c r="G165" t="str">
        <x:v>https://www.activesportstrade.co.uk/biotech-usa-trade</x:v>
      </x:c>
      <x:c r="H165" t="str"/>
      <x:c r="I165" t="str">
        <x:v>Pending genuine supplier/brand image</x:v>
      </x:c>
    </x:row>
    <x:row r="166">
      <x:c r="A166" t="str">
        <x:v>Biotech USA</x:v>
      </x:c>
      <x:c r="B166" t="str">
        <x:v>Liquid BCAA</x:v>
      </x:c>
      <x:c r="C166" t="str">
        <x:v>Supplements</x:v>
      </x:c>
      <x:c r="D166" t="str">
        <x:v>BCAAS</x:v>
      </x:c>
      <x:c r="E166" t="str">
        <x:v>1000ml</x:v>
      </x:c>
      <x:c r="F166" t="n">
        <x:v>2</x:v>
      </x:c>
      <x:c r="G166" t="str">
        <x:v>https://www.activesportstrade.co.uk/biotech-usa-trade</x:v>
      </x:c>
      <x:c r="H166" t="str"/>
      <x:c r="I166" t="str">
        <x:v>Pending genuine supplier/brand image</x:v>
      </x:c>
    </x:row>
    <x:row r="167">
      <x:c r="A167" t="str">
        <x:v>Biotech USA</x:v>
      </x:c>
      <x:c r="B167" t="str">
        <x:v>Liver Aid</x:v>
      </x:c>
      <x:c r="C167" t="str">
        <x:v>Supplements</x:v>
      </x:c>
      <x:c r="D167" t="str">
        <x:v>Health Foods</x:v>
      </x:c>
      <x:c r="E167" t="str">
        <x:v>60 tabs</x:v>
      </x:c>
      <x:c r="F167" t="n">
        <x:v>1</x:v>
      </x:c>
      <x:c r="G167" t="str">
        <x:v>https://www.activesportstrade.co.uk/biotech-usa-trade</x:v>
      </x:c>
      <x:c r="H167" t="str"/>
      <x:c r="I167" t="str">
        <x:v>Pending genuine supplier/brand image</x:v>
      </x:c>
    </x:row>
    <x:row r="168">
      <x:c r="A168" t="str">
        <x:v>Biotech USA</x:v>
      </x:c>
      <x:c r="B168" t="str">
        <x:v>Magnesium Bisglycinate</x:v>
      </x:c>
      <x:c r="C168" t="str">
        <x:v>Supplements</x:v>
      </x:c>
      <x:c r="D168" t="str">
        <x:v>Vitamins</x:v>
      </x:c>
      <x:c r="E168" t="str">
        <x:v>90 caps</x:v>
      </x:c>
      <x:c r="F168" t="n">
        <x:v>1</x:v>
      </x:c>
      <x:c r="G168" t="str">
        <x:v>https://www.activesportstrade.co.uk/biotech-usa-trade</x:v>
      </x:c>
      <x:c r="H168" t="str"/>
      <x:c r="I168" t="str">
        <x:v>Pending genuine supplier/brand image</x:v>
      </x:c>
    </x:row>
    <x:row r="169">
      <x:c r="A169" t="str">
        <x:v>Biotech USA</x:v>
      </x:c>
      <x:c r="B169" t="str">
        <x:v>Mega Amino</x:v>
      </x:c>
      <x:c r="C169" t="str">
        <x:v>Supplements</x:v>
      </x:c>
      <x:c r="D169" t="str">
        <x:v>Amino Acids</x:v>
      </x:c>
      <x:c r="E169" t="str">
        <x:v>100 tabs, 300 tabs</x:v>
      </x:c>
      <x:c r="F169" t="n">
        <x:v>2</x:v>
      </x:c>
      <x:c r="G169" t="str">
        <x:v>https://www.activesportstrade.co.uk/biotech-usa-trade</x:v>
      </x:c>
      <x:c r="H169" t="str"/>
      <x:c r="I169" t="str">
        <x:v>Pending genuine supplier/brand image</x:v>
      </x:c>
    </x:row>
    <x:row r="170">
      <x:c r="A170" t="str">
        <x:v>Biotech USA</x:v>
      </x:c>
      <x:c r="B170" t="str">
        <x:v>Mega Creatine (Creapure)</x:v>
      </x:c>
      <x:c r="C170" t="str">
        <x:v>Supplements</x:v>
      </x:c>
      <x:c r="D170" t="str">
        <x:v>Creatine Pills</x:v>
      </x:c>
      <x:c r="E170" t="str">
        <x:v>120 caps</x:v>
      </x:c>
      <x:c r="F170" t="n">
        <x:v>1</x:v>
      </x:c>
      <x:c r="G170" t="str">
        <x:v>https://www.activesportstrade.co.uk/biotech-usa-trade</x:v>
      </x:c>
      <x:c r="H170" t="str"/>
      <x:c r="I170" t="str">
        <x:v>Pending genuine supplier/brand image</x:v>
      </x:c>
    </x:row>
    <x:row r="171">
      <x:c r="A171" t="str">
        <x:v>Biotech USA</x:v>
      </x:c>
      <x:c r="B171" t="str">
        <x:v>Mega Omega</x:v>
      </x:c>
      <x:c r="C171" t="str">
        <x:v>Supplements</x:v>
      </x:c>
      <x:c r="D171" t="str">
        <x:v>Omega and EFA</x:v>
      </x:c>
      <x:c r="E171" t="str">
        <x:v>90 caps, 180 caps</x:v>
      </x:c>
      <x:c r="F171" t="n">
        <x:v>2</x:v>
      </x:c>
      <x:c r="G171" t="str">
        <x:v>https://www.activesportstrade.co.uk/biotech-usa-trade</x:v>
      </x:c>
      <x:c r="H171" t="str"/>
      <x:c r="I171" t="str">
        <x:v>Pending genuine supplier/brand image</x:v>
      </x:c>
    </x:row>
    <x:row r="172">
      <x:c r="A172" t="str">
        <x:v>Biotech USA</x:v>
      </x:c>
      <x:c r="B172" t="str">
        <x:v>MSM Chondroitin Glucosamine</x:v>
      </x:c>
      <x:c r="C172" t="str">
        <x:v>Supplements</x:v>
      </x:c>
      <x:c r="D172" t="str">
        <x:v>Joint Repair</x:v>
      </x:c>
      <x:c r="E172" t="str">
        <x:v>60 tabs</x:v>
      </x:c>
      <x:c r="F172" t="n">
        <x:v>1</x:v>
      </x:c>
      <x:c r="G172" t="str">
        <x:v>https://www.activesportstrade.co.uk/biotech-usa-trade</x:v>
      </x:c>
      <x:c r="H172" t="str"/>
      <x:c r="I172" t="str">
        <x:v>Pending genuine supplier/brand image</x:v>
      </x:c>
    </x:row>
    <x:row r="173">
      <x:c r="A173" t="str">
        <x:v>Biotech USA</x:v>
      </x:c>
      <x:c r="B173" t="str">
        <x:v>Multi Mineral Complex</x:v>
      </x:c>
      <x:c r="C173" t="str">
        <x:v>Supplements</x:v>
      </x:c>
      <x:c r="D173" t="str">
        <x:v>Vitamins</x:v>
      </x:c>
      <x:c r="E173" t="str">
        <x:v>100 tabs</x:v>
      </x:c>
      <x:c r="F173" t="n">
        <x:v>1</x:v>
      </x:c>
      <x:c r="G173" t="str">
        <x:v>https://www.activesportstrade.co.uk/biotech-usa-trade</x:v>
      </x:c>
      <x:c r="H173" t="str"/>
      <x:c r="I173" t="str">
        <x:v>Pending genuine supplier/brand image</x:v>
      </x:c>
    </x:row>
    <x:row r="174">
      <x:c r="A174" t="str">
        <x:v>Biotech USA</x:v>
      </x:c>
      <x:c r="B174" t="str">
        <x:v>Multi Vitamin For Men</x:v>
      </x:c>
      <x:c r="C174" t="str">
        <x:v>Supplements</x:v>
      </x:c>
      <x:c r="D174" t="str">
        <x:v>Vitamins</x:v>
      </x:c>
      <x:c r="E174" t="str">
        <x:v>60 tabs</x:v>
      </x:c>
      <x:c r="F174" t="n">
        <x:v>1</x:v>
      </x:c>
      <x:c r="G174" t="str">
        <x:v>https://www.activesportstrade.co.uk/biotech-usa-trade</x:v>
      </x:c>
      <x:c r="H174" t="str"/>
      <x:c r="I174" t="str">
        <x:v>Pending genuine supplier/brand image</x:v>
      </x:c>
    </x:row>
    <x:row r="175">
      <x:c r="A175" t="str">
        <x:v>Biotech USA</x:v>
      </x:c>
      <x:c r="B175" t="str">
        <x:v>Multi Vitamin For Women</x:v>
      </x:c>
      <x:c r="C175" t="str">
        <x:v>Supplements</x:v>
      </x:c>
      <x:c r="D175" t="str">
        <x:v>Vitamins</x:v>
      </x:c>
      <x:c r="E175" t="str">
        <x:v>60 tabs</x:v>
      </x:c>
      <x:c r="F175" t="n">
        <x:v>1</x:v>
      </x:c>
      <x:c r="G175" t="str">
        <x:v>https://www.activesportstrade.co.uk/biotech-usa-trade</x:v>
      </x:c>
      <x:c r="H175" t="str"/>
      <x:c r="I175" t="str">
        <x:v>Pending genuine supplier/brand image</x:v>
      </x:c>
    </x:row>
    <x:row r="176">
      <x:c r="A176" t="str">
        <x:v>Biotech USA</x:v>
      </x:c>
      <x:c r="B176" t="str">
        <x:v>Muscle Mass</x:v>
      </x:c>
      <x:c r="C176" t="str">
        <x:v>Supplements</x:v>
      </x:c>
      <x:c r="D176" t="str">
        <x:v>Weight Gainers</x:v>
      </x:c>
      <x:c r="E176" t="str">
        <x:v>4kg</x:v>
      </x:c>
      <x:c r="F176" t="n">
        <x:v>3</x:v>
      </x:c>
      <x:c r="G176" t="str">
        <x:v>https://www.activesportstrade.co.uk/biotech-usa-trade</x:v>
      </x:c>
      <x:c r="H176" t="str"/>
      <x:c r="I176" t="str">
        <x:v>Pending genuine supplier/brand image</x:v>
      </x:c>
    </x:row>
    <x:row r="177">
      <x:c r="A177" t="str">
        <x:v>Biotech USA</x:v>
      </x:c>
      <x:c r="B177" t="str">
        <x:v>Night</x:v>
      </x:c>
      <x:c r="C177" t="str">
        <x:v>Supplements</x:v>
      </x:c>
      <x:c r="D177" t="str">
        <x:v>Sleep Aids</x:v>
      </x:c>
      <x:c r="E177" t="str">
        <x:v>60 caps</x:v>
      </x:c>
      <x:c r="F177" t="n">
        <x:v>1</x:v>
      </x:c>
      <x:c r="G177" t="str">
        <x:v>https://www.activesportstrade.co.uk/biotech-usa-trade</x:v>
      </x:c>
      <x:c r="H177" t="str"/>
      <x:c r="I177" t="str">
        <x:v>Pending genuine supplier/brand image</x:v>
      </x:c>
    </x:row>
    <x:row r="178">
      <x:c r="A178" t="str">
        <x:v>Biotech USA</x:v>
      </x:c>
      <x:c r="B178" t="str">
        <x:v>Nitrox Therapy</x:v>
      </x:c>
      <x:c r="C178" t="str">
        <x:v>Supplements</x:v>
      </x:c>
      <x:c r="D178" t="str">
        <x:v>Nitrix Oxide Booster</x:v>
      </x:c>
      <x:c r="E178" t="str">
        <x:v>340g</x:v>
      </x:c>
      <x:c r="F178" t="n">
        <x:v>2</x:v>
      </x:c>
      <x:c r="G178" t="str">
        <x:v>https://www.activesportstrade.co.uk/biotech-usa-trade</x:v>
      </x:c>
      <x:c r="H178" t="str"/>
      <x:c r="I178" t="str">
        <x:v>Pending genuine supplier/brand image</x:v>
      </x:c>
    </x:row>
    <x:row r="179">
      <x:c r="A179" t="str">
        <x:v>Biotech USA</x:v>
      </x:c>
      <x:c r="B179" t="str">
        <x:v>One-A-Day Multi Vitamin</x:v>
      </x:c>
      <x:c r="C179" t="str">
        <x:v>Supplements</x:v>
      </x:c>
      <x:c r="D179" t="str">
        <x:v>Vitamins</x:v>
      </x:c>
      <x:c r="E179" t="str">
        <x:v>100 caps</x:v>
      </x:c>
      <x:c r="F179" t="n">
        <x:v>1</x:v>
      </x:c>
      <x:c r="G179" t="str">
        <x:v>https://www.activesportstrade.co.uk/biotech-usa-trade</x:v>
      </x:c>
      <x:c r="H179" t="str"/>
      <x:c r="I179" t="str">
        <x:v>Pending genuine supplier/brand image</x:v>
      </x:c>
    </x:row>
    <x:row r="180">
      <x:c r="A180" t="str">
        <x:v>Biotech USA</x:v>
      </x:c>
      <x:c r="B180" t="str">
        <x:v>Protein Power</x:v>
      </x:c>
      <x:c r="C180" t="str">
        <x:v>Supplements</x:v>
      </x:c>
      <x:c r="D180" t="str">
        <x:v>Protein Blends</x:v>
      </x:c>
      <x:c r="E180" t="str">
        <x:v>4kg / 133 servings</x:v>
      </x:c>
      <x:c r="F180" t="n">
        <x:v>3</x:v>
      </x:c>
      <x:c r="G180" t="str">
        <x:v>https://www.activesportstrade.co.uk/biotech-usa-trade</x:v>
      </x:c>
      <x:c r="H180" t="str"/>
      <x:c r="I180" t="str">
        <x:v>Pending genuine supplier/brand image</x:v>
      </x:c>
    </x:row>
    <x:row r="181">
      <x:c r="A181" t="str">
        <x:v>Biotech USA</x:v>
      </x:c>
      <x:c r="B181" t="str">
        <x:v>Pump Caffeine Free Pre Workout</x:v>
      </x:c>
      <x:c r="C181" t="str">
        <x:v>Pre Workouts</x:v>
      </x:c>
      <x:c r="D181" t="str">
        <x:v>Stim FREE</x:v>
      </x:c>
      <x:c r="E181" t="str">
        <x:v>330g</x:v>
      </x:c>
      <x:c r="F181" t="n">
        <x:v>2</x:v>
      </x:c>
      <x:c r="G181" t="str">
        <x:v>https://www.activesportstrade.co.uk/biotech-usa-trade</x:v>
      </x:c>
      <x:c r="H181" t="str"/>
      <x:c r="I181" t="str">
        <x:v>Pending genuine supplier/brand image</x:v>
      </x:c>
    </x:row>
    <x:row r="182">
      <x:c r="A182" t="str">
        <x:v>Biotech USA</x:v>
      </x:c>
      <x:c r="B182" t="str">
        <x:v>Q10 Coenzyme 100mg</x:v>
      </x:c>
      <x:c r="C182" t="str">
        <x:v>Supplements</x:v>
      </x:c>
      <x:c r="D182" t="str">
        <x:v>Vitamins</x:v>
      </x:c>
      <x:c r="E182" t="str">
        <x:v>60 caps</x:v>
      </x:c>
      <x:c r="F182" t="n">
        <x:v>1</x:v>
      </x:c>
      <x:c r="G182" t="str">
        <x:v>https://www.activesportstrade.co.uk/biotech-usa-trade</x:v>
      </x:c>
      <x:c r="H182" t="str"/>
      <x:c r="I182" t="str">
        <x:v>Pending genuine supplier/brand image</x:v>
      </x:c>
    </x:row>
    <x:row r="183">
      <x:c r="A183" t="str">
        <x:v>Biotech USA</x:v>
      </x:c>
      <x:c r="B183" t="str">
        <x:v>Thermo Shot</x:v>
      </x:c>
      <x:c r="C183" t="str">
        <x:v>Pre Workouts</x:v>
      </x:c>
      <x:c r="D183" t="str">
        <x:v>Shots and Ready To Drink</x:v>
      </x:c>
      <x:c r="E183" t="str">
        <x:v>20 x 60ml shots</x:v>
      </x:c>
      <x:c r="F183" t="n">
        <x:v>1</x:v>
      </x:c>
      <x:c r="G183" t="str">
        <x:v>https://www.activesportstrade.co.uk/biotech-usa-trade</x:v>
      </x:c>
      <x:c r="H183" t="str"/>
      <x:c r="I183" t="str">
        <x:v>Pending genuine supplier/brand image</x:v>
      </x:c>
    </x:row>
    <x:row r="184">
      <x:c r="A184" t="str">
        <x:v>Biotech USA</x:v>
      </x:c>
      <x:c r="B184" t="str">
        <x:v>Vitabolic - Multi Vitamins</x:v>
      </x:c>
      <x:c r="C184" t="str">
        <x:v>Supplements</x:v>
      </x:c>
      <x:c r="D184" t="str">
        <x:v>Vitamins</x:v>
      </x:c>
      <x:c r="E184" t="str">
        <x:v>30 tabs</x:v>
      </x:c>
      <x:c r="F184" t="n">
        <x:v>1</x:v>
      </x:c>
      <x:c r="G184" t="str">
        <x:v>https://www.activesportstrade.co.uk/biotech-usa-trade</x:v>
      </x:c>
      <x:c r="H184" t="str"/>
      <x:c r="I184" t="str">
        <x:v>Pending genuine supplier/brand image</x:v>
      </x:c>
    </x:row>
    <x:row r="185">
      <x:c r="A185" t="str">
        <x:v>Biotech USA</x:v>
      </x:c>
      <x:c r="B185" t="str">
        <x:v>Vitamin C 1000</x:v>
      </x:c>
      <x:c r="C185" t="str">
        <x:v>Supplements</x:v>
      </x:c>
      <x:c r="D185" t="str">
        <x:v>Vitamins</x:v>
      </x:c>
      <x:c r="E185" t="str">
        <x:v>30 tabs, 100 tabs</x:v>
      </x:c>
      <x:c r="F185" t="n">
        <x:v>2</x:v>
      </x:c>
      <x:c r="G185" t="str">
        <x:v>https://www.activesportstrade.co.uk/biotech-usa-trade</x:v>
      </x:c>
      <x:c r="H185" t="str"/>
      <x:c r="I185" t="str">
        <x:v>Pending genuine supplier/brand image</x:v>
      </x:c>
    </x:row>
    <x:row r="186">
      <x:c r="A186" t="str">
        <x:v>Biotech USA</x:v>
      </x:c>
      <x:c r="B186" t="str">
        <x:v>Vitamin D3</x:v>
      </x:c>
      <x:c r="C186" t="str">
        <x:v>Supplements</x:v>
      </x:c>
      <x:c r="D186" t="str">
        <x:v>Vitamins</x:v>
      </x:c>
      <x:c r="E186" t="str">
        <x:v>60 tabs, 120 tabs</x:v>
      </x:c>
      <x:c r="F186" t="n">
        <x:v>2</x:v>
      </x:c>
      <x:c r="G186" t="str">
        <x:v>https://www.activesportstrade.co.uk/biotech-usa-trade</x:v>
      </x:c>
      <x:c r="H186" t="str"/>
      <x:c r="I186" t="str">
        <x:v>Pending genuine supplier/brand image</x:v>
      </x:c>
    </x:row>
    <x:row r="187">
      <x:c r="A187" t="str">
        <x:v>Biotech USA</x:v>
      </x:c>
      <x:c r="B187" t="str">
        <x:v>Zero Drops</x:v>
      </x:c>
      <x:c r="C187" t="str">
        <x:v>Supplements</x:v>
      </x:c>
      <x:c r="D187" t="str">
        <x:v>Health Foods</x:v>
      </x:c>
      <x:c r="E187" t="str">
        <x:v>50ml</x:v>
      </x:c>
      <x:c r="F187" t="n">
        <x:v>4</x:v>
      </x:c>
      <x:c r="G187" t="str">
        <x:v>https://www.activesportstrade.co.uk/biotech-usa-trade</x:v>
      </x:c>
      <x:c r="H187" t="str"/>
      <x:c r="I187" t="str">
        <x:v>Pending genuine supplier/brand image</x:v>
      </x:c>
    </x:row>
    <x:row r="188">
      <x:c r="A188" t="str">
        <x:v>Biotech USA</x:v>
      </x:c>
      <x:c r="B188" t="str">
        <x:v>ZMB</x:v>
      </x:c>
      <x:c r="C188" t="str">
        <x:v>Supplements</x:v>
      </x:c>
      <x:c r="D188" t="str">
        <x:v>Sleep Aids</x:v>
      </x:c>
      <x:c r="E188" t="str">
        <x:v>60 caps</x:v>
      </x:c>
      <x:c r="F188" t="n">
        <x:v>1</x:v>
      </x:c>
      <x:c r="G188" t="str">
        <x:v>https://www.activesportstrade.co.uk/biotech-usa-trade</x:v>
      </x:c>
      <x:c r="H188" t="str"/>
      <x:c r="I188" t="str">
        <x:v>Pending genuine supplier/brand image</x:v>
      </x:c>
    </x:row>
    <x:row r="189">
      <x:c r="A189" t="str">
        <x:v>Black Magic</x:v>
      </x:c>
      <x:c r="B189" t="str">
        <x:v>BZRK Pre Workout</x:v>
      </x:c>
      <x:c r="C189" t="str">
        <x:v>Pre Workouts</x:v>
      </x:c>
      <x:c r="D189" t="str">
        <x:v>High Stim</x:v>
      </x:c>
      <x:c r="E189" t="str">
        <x:v>25 servings</x:v>
      </x:c>
      <x:c r="F189" t="n">
        <x:v>7</x:v>
      </x:c>
      <x:c r="G189" t="str">
        <x:v>https://www.activesportstrade.co.uk/high-stim-pre-workouts</x:v>
      </x:c>
      <x:c r="H189" t="str"/>
      <x:c r="I189" t="str">
        <x:v>Pending genuine supplier/brand image</x:v>
      </x:c>
    </x:row>
    <x:row r="190">
      <x:c r="A190" t="str">
        <x:v>Black Mamba</x:v>
      </x:c>
      <x:c r="B190" t="str">
        <x:v>Arachidon</x:v>
      </x:c>
      <x:c r="C190" t="str">
        <x:v>Supplements</x:v>
      </x:c>
      <x:c r="D190" t="str">
        <x:v>Testosterone Boosters</x:v>
      </x:c>
      <x:c r="E190" t="str">
        <x:v>60 caps</x:v>
      </x:c>
      <x:c r="F190" t="n">
        <x:v>1</x:v>
      </x:c>
      <x:c r="G190" t="str">
        <x:v>https://www.activesportstrade.co.uk/trade-sports-supplements/black-mamba-trade</x:v>
      </x:c>
      <x:c r="H190" t="str"/>
      <x:c r="I190" t="str">
        <x:v>Pending genuine supplier/brand image</x:v>
      </x:c>
    </x:row>
    <x:row r="191">
      <x:c r="A191" t="str">
        <x:v>Black Mamba</x:v>
      </x:c>
      <x:c r="B191" t="str">
        <x:v>Berberine HCL</x:v>
      </x:c>
      <x:c r="C191" t="str">
        <x:v>Supplements</x:v>
      </x:c>
      <x:c r="D191" t="str">
        <x:v>Health Foods</x:v>
      </x:c>
      <x:c r="E191" t="str">
        <x:v>60 caps</x:v>
      </x:c>
      <x:c r="F191" t="n">
        <x:v>1</x:v>
      </x:c>
      <x:c r="G191" t="str">
        <x:v>https://www.activesportstrade.co.uk/trade-sports-supplements/black-mamba-trade</x:v>
      </x:c>
      <x:c r="H191" t="str"/>
      <x:c r="I191" t="str">
        <x:v>Pending genuine supplier/brand image</x:v>
      </x:c>
    </x:row>
    <x:row r="192">
      <x:c r="A192" t="str">
        <x:v>Black Mamba</x:v>
      </x:c>
      <x:c r="B192" t="str">
        <x:v>Bulbine</x:v>
      </x:c>
      <x:c r="C192" t="str">
        <x:v>Supplements</x:v>
      </x:c>
      <x:c r="D192" t="str">
        <x:v>Testosterone Boosters</x:v>
      </x:c>
      <x:c r="E192" t="str">
        <x:v>60 caps</x:v>
      </x:c>
      <x:c r="F192" t="n">
        <x:v>1</x:v>
      </x:c>
      <x:c r="G192" t="str">
        <x:v>https://www.activesportstrade.co.uk/trade-sports-supplements/black-mamba-trade</x:v>
      </x:c>
      <x:c r="H192" t="str"/>
      <x:c r="I192" t="str">
        <x:v>Pending genuine supplier/brand image</x:v>
      </x:c>
    </x:row>
    <x:row r="193">
      <x:c r="A193" t="str">
        <x:v>Black Mamba</x:v>
      </x:c>
      <x:c r="B193" t="str">
        <x:v>Cistanche</x:v>
      </x:c>
      <x:c r="C193" t="str">
        <x:v>Supplements</x:v>
      </x:c>
      <x:c r="D193" t="str">
        <x:v>Health Foods</x:v>
      </x:c>
      <x:c r="E193" t="str">
        <x:v>60 caps</x:v>
      </x:c>
      <x:c r="F193" t="n">
        <x:v>1</x:v>
      </x:c>
      <x:c r="G193" t="str">
        <x:v>https://www.activesportstrade.co.uk/trade-sports-supplements/black-mamba-trade</x:v>
      </x:c>
      <x:c r="H193" t="str"/>
      <x:c r="I193" t="str">
        <x:v>Pending genuine supplier/brand image</x:v>
      </x:c>
    </x:row>
    <x:row r="194">
      <x:c r="A194" t="str">
        <x:v>Black Mamba</x:v>
      </x:c>
      <x:c r="B194" t="str">
        <x:v>Creatine Monohydrate Capsules</x:v>
      </x:c>
      <x:c r="C194" t="str">
        <x:v>Supplements</x:v>
      </x:c>
      <x:c r="D194" t="str">
        <x:v>Creatine Pills</x:v>
      </x:c>
      <x:c r="E194" t="str">
        <x:v>120 caps</x:v>
      </x:c>
      <x:c r="F194" t="n">
        <x:v>1</x:v>
      </x:c>
      <x:c r="G194" t="str">
        <x:v>https://www.activesportstrade.co.uk/trade-sports-supplements/black-mamba-trade</x:v>
      </x:c>
      <x:c r="H194" t="str"/>
      <x:c r="I194" t="str">
        <x:v>Pending genuine supplier/brand image</x:v>
      </x:c>
    </x:row>
    <x:row r="195">
      <x:c r="A195" t="str">
        <x:v>Black Mamba</x:v>
      </x:c>
      <x:c r="B195" t="str">
        <x:v>Drive - Male Support</x:v>
      </x:c>
      <x:c r="C195" t="str">
        <x:v>Supplements</x:v>
      </x:c>
      <x:c r="D195" t="str">
        <x:v>Testosterone Boosters</x:v>
      </x:c>
      <x:c r="E195" t="str">
        <x:v>150 caps</x:v>
      </x:c>
      <x:c r="F195" t="n">
        <x:v>1</x:v>
      </x:c>
      <x:c r="G195" t="str">
        <x:v>https://www.activesportstrade.co.uk/trade-sports-supplements/black-mamba-trade</x:v>
      </x:c>
      <x:c r="H195" t="str"/>
      <x:c r="I195" t="str">
        <x:v>Pending genuine supplier/brand image</x:v>
      </x:c>
    </x:row>
    <x:row r="196">
      <x:c r="A196" t="str">
        <x:v>Black Mamba</x:v>
      </x:c>
      <x:c r="B196" t="str">
        <x:v>Ecdysterone</x:v>
      </x:c>
      <x:c r="C196" t="str">
        <x:v>Supplements</x:v>
      </x:c>
      <x:c r="D196" t="str">
        <x:v>Testosterone Boosters</x:v>
      </x:c>
      <x:c r="E196" t="str">
        <x:v>60 caps</x:v>
      </x:c>
      <x:c r="F196" t="n">
        <x:v>1</x:v>
      </x:c>
      <x:c r="G196" t="str">
        <x:v>https://www.activesportstrade.co.uk/trade-sports-supplements/black-mamba-trade</x:v>
      </x:c>
      <x:c r="H196" t="str"/>
      <x:c r="I196" t="str">
        <x:v>Pending genuine supplier/brand image</x:v>
      </x:c>
    </x:row>
    <x:row r="197">
      <x:c r="A197" t="str">
        <x:v>Black Mamba</x:v>
      </x:c>
      <x:c r="B197" t="str">
        <x:v>EPI (formerly Myostat)</x:v>
      </x:c>
      <x:c r="C197" t="str">
        <x:v>Supplements</x:v>
      </x:c>
      <x:c r="D197" t="str">
        <x:v>Testosterone Boosters</x:v>
      </x:c>
      <x:c r="E197" t="str">
        <x:v>60 caps</x:v>
      </x:c>
      <x:c r="F197" t="n">
        <x:v>1</x:v>
      </x:c>
      <x:c r="G197" t="str">
        <x:v>https://www.activesportstrade.co.uk/trade-sports-supplements/black-mamba-trade</x:v>
      </x:c>
      <x:c r="H197" t="str"/>
      <x:c r="I197" t="str">
        <x:v>Pending genuine supplier/brand image</x:v>
      </x:c>
    </x:row>
    <x:row r="198">
      <x:c r="A198" t="str">
        <x:v>Black Mamba</x:v>
      </x:c>
      <x:c r="B198" t="str">
        <x:v>Erase - Potent Anti Estrogen</x:v>
      </x:c>
      <x:c r="C198" t="str">
        <x:v>Supplements</x:v>
      </x:c>
      <x:c r="D198" t="str">
        <x:v>PCT Supplements</x:v>
      </x:c>
      <x:c r="E198" t="str">
        <x:v>30 caps</x:v>
      </x:c>
      <x:c r="F198" t="n">
        <x:v>1</x:v>
      </x:c>
      <x:c r="G198" t="str">
        <x:v>https://www.activesportstrade.co.uk/trade-sports-supplements/black-mamba-trade</x:v>
      </x:c>
      <x:c r="H198" t="str"/>
      <x:c r="I198" t="str">
        <x:v>Pending genuine supplier/brand image</x:v>
      </x:c>
    </x:row>
    <x:row r="199">
      <x:c r="A199" t="str">
        <x:v>Black Mamba</x:v>
      </x:c>
      <x:c r="B199" t="str">
        <x:v>Fadogia Agrestis</x:v>
      </x:c>
      <x:c r="C199" t="str">
        <x:v>Supplements</x:v>
      </x:c>
      <x:c r="D199" t="str">
        <x:v>Testosterone Boosters</x:v>
      </x:c>
      <x:c r="E199" t="str">
        <x:v>60 caps</x:v>
      </x:c>
      <x:c r="F199" t="n">
        <x:v>1</x:v>
      </x:c>
      <x:c r="G199" t="str">
        <x:v>https://www.activesportstrade.co.uk/trade-sports-supplements/black-mamba-trade</x:v>
      </x:c>
      <x:c r="H199" t="str"/>
      <x:c r="I199" t="str">
        <x:v>Pending genuine supplier/brand image</x:v>
      </x:c>
    </x:row>
    <x:row r="200">
      <x:c r="A200" t="str">
        <x:v>Black Mamba</x:v>
      </x:c>
      <x:c r="B200" t="str">
        <x:v>Fish Oils</x:v>
      </x:c>
      <x:c r="C200" t="str">
        <x:v>Supplements</x:v>
      </x:c>
      <x:c r="D200" t="str">
        <x:v>Omega and EFA</x:v>
      </x:c>
      <x:c r="E200" t="str">
        <x:v>90 softgels</x:v>
      </x:c>
      <x:c r="F200" t="n">
        <x:v>1</x:v>
      </x:c>
      <x:c r="G200" t="str">
        <x:v>https://www.activesportstrade.co.uk/trade-sports-supplements/black-mamba-trade</x:v>
      </x:c>
      <x:c r="H200" t="str"/>
      <x:c r="I200" t="str">
        <x:v>Pending genuine supplier/brand image</x:v>
      </x:c>
    </x:row>
    <x:row r="201">
      <x:c r="A201" t="str">
        <x:v>Black Mamba</x:v>
      </x:c>
      <x:c r="B201" t="str">
        <x:v>Glutamine</x:v>
      </x:c>
      <x:c r="C201" t="str">
        <x:v>Supplements</x:v>
      </x:c>
      <x:c r="D201" t="str">
        <x:v>L-Glutamine</x:v>
      </x:c>
      <x:c r="E201" t="str">
        <x:v>250g</x:v>
      </x:c>
      <x:c r="F201" t="n">
        <x:v>1</x:v>
      </x:c>
      <x:c r="G201" t="str">
        <x:v>https://www.activesportstrade.co.uk/trade-sports-supplements/black-mamba-trade</x:v>
      </x:c>
      <x:c r="H201" t="str"/>
      <x:c r="I201" t="str">
        <x:v>Pending genuine supplier/brand image</x:v>
      </x:c>
    </x:row>
    <x:row r="202">
      <x:c r="A202" t="str">
        <x:v>Black Mamba</x:v>
      </x:c>
      <x:c r="B202" t="str">
        <x:v>Irish Sea Moss</x:v>
      </x:c>
      <x:c r="C202" t="str">
        <x:v>Supplements</x:v>
      </x:c>
      <x:c r="D202" t="str">
        <x:v>Health Foods</x:v>
      </x:c>
      <x:c r="E202" t="str">
        <x:v>60 caps</x:v>
      </x:c>
      <x:c r="F202" t="n">
        <x:v>1</x:v>
      </x:c>
      <x:c r="G202" t="str">
        <x:v>https://www.activesportstrade.co.uk/trade-sports-supplements/black-mamba-trade</x:v>
      </x:c>
      <x:c r="H202" t="str"/>
      <x:c r="I202" t="str">
        <x:v>Pending genuine supplier/brand image</x:v>
      </x:c>
    </x:row>
    <x:row r="203">
      <x:c r="A203" t="str">
        <x:v>Black Mamba</x:v>
      </x:c>
      <x:c r="B203" t="str">
        <x:v>Konda V2</x:v>
      </x:c>
      <x:c r="C203" t="str">
        <x:v>Supplements</x:v>
      </x:c>
      <x:c r="D203" t="str">
        <x:v>Testosterone Boosters</x:v>
      </x:c>
      <x:c r="E203" t="str">
        <x:v>60 caps</x:v>
      </x:c>
      <x:c r="F203" t="n">
        <x:v>1</x:v>
      </x:c>
      <x:c r="G203" t="str">
        <x:v>https://www.activesportstrade.co.uk/trade-sports-supplements/black-mamba-trade</x:v>
      </x:c>
      <x:c r="H203" t="str"/>
      <x:c r="I203" t="str">
        <x:v>Pending genuine supplier/brand image</x:v>
      </x:c>
    </x:row>
    <x:row r="204">
      <x:c r="A204" t="str">
        <x:v>Black Mamba</x:v>
      </x:c>
      <x:c r="B204" t="str">
        <x:v>KSM-66 Ashwagandha</x:v>
      </x:c>
      <x:c r="C204" t="str">
        <x:v>Supplements</x:v>
      </x:c>
      <x:c r="D204" t="str">
        <x:v>Health Foods</x:v>
      </x:c>
      <x:c r="E204" t="str">
        <x:v>60 caps</x:v>
      </x:c>
      <x:c r="F204" t="n">
        <x:v>1</x:v>
      </x:c>
      <x:c r="G204" t="str">
        <x:v>https://www.activesportstrade.co.uk/trade-sports-supplements/black-mamba-trade</x:v>
      </x:c>
      <x:c r="H204" t="str"/>
      <x:c r="I204" t="str">
        <x:v>Pending genuine supplier/brand image</x:v>
      </x:c>
    </x:row>
    <x:row r="205">
      <x:c r="A205" t="str">
        <x:v>Black Mamba</x:v>
      </x:c>
      <x:c r="B205" t="str">
        <x:v>LAXO</x:v>
      </x:c>
      <x:c r="C205" t="str">
        <x:v>Supplements</x:v>
      </x:c>
      <x:c r="D205" t="str">
        <x:v>Testosterone Boosters</x:v>
      </x:c>
      <x:c r="E205" t="str">
        <x:v>60 caps</x:v>
      </x:c>
      <x:c r="F205" t="n">
        <x:v>1</x:v>
      </x:c>
      <x:c r="G205" t="str">
        <x:v>https://www.activesportstrade.co.uk/trade-sports-supplements/black-mamba-trade</x:v>
      </x:c>
      <x:c r="H205" t="str"/>
      <x:c r="I205" t="str">
        <x:v>Pending genuine supplier/brand image</x:v>
      </x:c>
    </x:row>
    <x:row r="206">
      <x:c r="A206" t="str">
        <x:v>Black Mamba</x:v>
      </x:c>
      <x:c r="B206" t="str">
        <x:v>Lions Mane</x:v>
      </x:c>
      <x:c r="C206" t="str">
        <x:v>Supplements</x:v>
      </x:c>
      <x:c r="D206" t="str">
        <x:v>Health Foods</x:v>
      </x:c>
      <x:c r="E206" t="str">
        <x:v>60 caps</x:v>
      </x:c>
      <x:c r="F206" t="n">
        <x:v>1</x:v>
      </x:c>
      <x:c r="G206" t="str">
        <x:v>https://www.activesportstrade.co.uk/trade-sports-supplements/black-mamba-trade</x:v>
      </x:c>
      <x:c r="H206" t="str"/>
      <x:c r="I206" t="str">
        <x:v>Pending genuine supplier/brand image</x:v>
      </x:c>
    </x:row>
    <x:row r="207">
      <x:c r="A207" t="str">
        <x:v>Black Mamba</x:v>
      </x:c>
      <x:c r="B207" t="str">
        <x:v>Magnesium Bisglycinate</x:v>
      </x:c>
      <x:c r="C207" t="str">
        <x:v>Supplements</x:v>
      </x:c>
      <x:c r="D207" t="str">
        <x:v>Vitamins</x:v>
      </x:c>
      <x:c r="E207" t="str">
        <x:v>60 caps</x:v>
      </x:c>
      <x:c r="F207" t="n">
        <x:v>1</x:v>
      </x:c>
      <x:c r="G207" t="str">
        <x:v>https://www.activesportstrade.co.uk/trade-sports-supplements/black-mamba-trade</x:v>
      </x:c>
      <x:c r="H207" t="str"/>
      <x:c r="I207" t="str">
        <x:v>Pending genuine supplier/brand image</x:v>
      </x:c>
    </x:row>
    <x:row r="208">
      <x:c r="A208" t="str">
        <x:v>Black Mamba</x:v>
      </x:c>
      <x:c r="B208" t="str">
        <x:v>Mamba Muscle</x:v>
      </x:c>
      <x:c r="C208" t="str">
        <x:v>Supplements</x:v>
      </x:c>
      <x:c r="D208" t="str">
        <x:v>Testosterone Boosters</x:v>
      </x:c>
      <x:c r="E208" t="str">
        <x:v>60 caps</x:v>
      </x:c>
      <x:c r="F208" t="n">
        <x:v>1</x:v>
      </x:c>
      <x:c r="G208" t="str">
        <x:v>https://www.activesportstrade.co.uk/trade-sports-supplements/black-mamba-trade</x:v>
      </x:c>
      <x:c r="H208" t="str"/>
      <x:c r="I208" t="str">
        <x:v>Pending genuine supplier/brand image</x:v>
      </x:c>
    </x:row>
    <x:row r="209">
      <x:c r="A209" t="str">
        <x:v>Black Mamba</x:v>
      </x:c>
      <x:c r="B209" t="str">
        <x:v>Milk Thistle</x:v>
      </x:c>
      <x:c r="C209" t="str">
        <x:v>Supplements</x:v>
      </x:c>
      <x:c r="D209" t="str">
        <x:v>PCT Supplements</x:v>
      </x:c>
      <x:c r="E209" t="str">
        <x:v>60 caps</x:v>
      </x:c>
      <x:c r="F209" t="n">
        <x:v>1</x:v>
      </x:c>
      <x:c r="G209" t="str">
        <x:v>https://www.activesportstrade.co.uk/trade-sports-supplements/black-mamba-trade</x:v>
      </x:c>
      <x:c r="H209" t="str"/>
      <x:c r="I209" t="str">
        <x:v>Pending genuine supplier/brand image</x:v>
      </x:c>
    </x:row>
    <x:row r="210">
      <x:c r="A210" t="str">
        <x:v>Black Mamba</x:v>
      </x:c>
      <x:c r="B210" t="str">
        <x:v>Mushiez</x:v>
      </x:c>
      <x:c r="C210" t="str">
        <x:v>Supplements</x:v>
      </x:c>
      <x:c r="D210" t="str">
        <x:v>Health Foods</x:v>
      </x:c>
      <x:c r="E210" t="str">
        <x:v>90 caps</x:v>
      </x:c>
      <x:c r="F210" t="n">
        <x:v>1</x:v>
      </x:c>
      <x:c r="G210" t="str">
        <x:v>https://www.activesportstrade.co.uk/trade-sports-supplements/black-mamba-trade</x:v>
      </x:c>
      <x:c r="H210" t="str"/>
      <x:c r="I210" t="str">
        <x:v>Pending genuine supplier/brand image</x:v>
      </x:c>
    </x:row>
    <x:row r="211">
      <x:c r="A211" t="str">
        <x:v>Black Mamba</x:v>
      </x:c>
      <x:c r="B211" t="str">
        <x:v>NMN</x:v>
      </x:c>
      <x:c r="C211" t="str">
        <x:v>Supplements</x:v>
      </x:c>
      <x:c r="D211" t="str">
        <x:v>Health Foods</x:v>
      </x:c>
      <x:c r="E211" t="str">
        <x:v>60 caps</x:v>
      </x:c>
      <x:c r="F211" t="n">
        <x:v>1</x:v>
      </x:c>
      <x:c r="G211" t="str">
        <x:v>https://www.activesportstrade.co.uk/trade-sports-supplements/black-mamba-trade</x:v>
      </x:c>
      <x:c r="H211" t="str"/>
      <x:c r="I211" t="str">
        <x:v>Pending genuine supplier/brand image</x:v>
      </x:c>
    </x:row>
    <x:row r="212">
      <x:c r="A212" t="str">
        <x:v>Black Mamba</x:v>
      </x:c>
      <x:c r="B212" t="str">
        <x:v>PCT</x:v>
      </x:c>
      <x:c r="C212" t="str">
        <x:v>Supplements</x:v>
      </x:c>
      <x:c r="D212" t="str">
        <x:v>PCT Supplements</x:v>
      </x:c>
      <x:c r="E212" t="str">
        <x:v>60 caps</x:v>
      </x:c>
      <x:c r="F212" t="n">
        <x:v>1</x:v>
      </x:c>
      <x:c r="G212" t="str">
        <x:v>https://www.activesportstrade.co.uk/trade-sports-supplements/black-mamba-trade</x:v>
      </x:c>
      <x:c r="H212" t="str"/>
      <x:c r="I212" t="str">
        <x:v>Pending genuine supplier/brand image</x:v>
      </x:c>
    </x:row>
    <x:row r="213">
      <x:c r="A213" t="str">
        <x:v>Black Mamba</x:v>
      </x:c>
      <x:c r="B213" t="str">
        <x:v>Pure Shilajit Resin</x:v>
      </x:c>
      <x:c r="C213" t="str">
        <x:v>Supplements</x:v>
      </x:c>
      <x:c r="D213" t="str">
        <x:v>Health Foods</x:v>
      </x:c>
      <x:c r="E213" t="str">
        <x:v>50g</x:v>
      </x:c>
      <x:c r="F213" t="n">
        <x:v>1</x:v>
      </x:c>
      <x:c r="G213" t="str">
        <x:v>https://www.activesportstrade.co.uk/trade-sports-supplements/black-mamba-trade</x:v>
      </x:c>
      <x:c r="H213" t="str"/>
      <x:c r="I213" t="str">
        <x:v>Pending genuine supplier/brand image</x:v>
      </x:c>
    </x:row>
    <x:row r="214">
      <x:c r="A214" t="str">
        <x:v>Black Mamba</x:v>
      </x:c>
      <x:c r="B214" t="str">
        <x:v>Pure Shilajit Resin Dry Drops</x:v>
      </x:c>
      <x:c r="C214" t="str">
        <x:v>Supplements</x:v>
      </x:c>
      <x:c r="D214" t="str">
        <x:v>Health Foods</x:v>
      </x:c>
      <x:c r="E214" t="str">
        <x:v>90 drops</x:v>
      </x:c>
      <x:c r="F214" t="n">
        <x:v>1</x:v>
      </x:c>
      <x:c r="G214" t="str">
        <x:v>https://www.activesportstrade.co.uk/trade-sports-supplements/black-mamba-trade</x:v>
      </x:c>
      <x:c r="H214" t="str"/>
      <x:c r="I214" t="str">
        <x:v>Pending genuine supplier/brand image</x:v>
      </x:c>
    </x:row>
    <x:row r="215">
      <x:c r="A215" t="str">
        <x:v>Black Mamba</x:v>
      </x:c>
      <x:c r="B215" t="str">
        <x:v>Renew</x:v>
      </x:c>
      <x:c r="C215" t="str">
        <x:v>Supplements</x:v>
      </x:c>
      <x:c r="D215" t="str">
        <x:v>Health Foods</x:v>
      </x:c>
      <x:c r="E215" t="str">
        <x:v>60 caps</x:v>
      </x:c>
      <x:c r="F215" t="n">
        <x:v>1</x:v>
      </x:c>
      <x:c r="G215" t="str">
        <x:v>https://www.activesportstrade.co.uk/trade-sports-supplements/black-mamba-trade</x:v>
      </x:c>
      <x:c r="H215" t="str"/>
      <x:c r="I215" t="str">
        <x:v>Pending genuine supplier/brand image</x:v>
      </x:c>
    </x:row>
    <x:row r="216">
      <x:c r="A216" t="str">
        <x:v>Black Mamba</x:v>
      </x:c>
      <x:c r="B216" t="str">
        <x:v>Shilajit</x:v>
      </x:c>
      <x:c r="C216" t="str">
        <x:v>Supplements</x:v>
      </x:c>
      <x:c r="D216" t="str">
        <x:v>Health Foods</x:v>
      </x:c>
      <x:c r="E216" t="str">
        <x:v>60 caps</x:v>
      </x:c>
      <x:c r="F216" t="n">
        <x:v>1</x:v>
      </x:c>
      <x:c r="G216" t="str">
        <x:v>https://www.activesportstrade.co.uk/trade-sports-supplements/black-mamba-trade</x:v>
      </x:c>
      <x:c r="H216" t="str"/>
      <x:c r="I216" t="str">
        <x:v>Pending genuine supplier/brand image</x:v>
      </x:c>
    </x:row>
    <x:row r="217">
      <x:c r="A217" t="str">
        <x:v>Black Mamba</x:v>
      </x:c>
      <x:c r="B217" t="str">
        <x:v>Tongkat Ali</x:v>
      </x:c>
      <x:c r="C217" t="str">
        <x:v>Supplements</x:v>
      </x:c>
      <x:c r="D217" t="str">
        <x:v>Testosterone Boosters</x:v>
      </x:c>
      <x:c r="E217" t="str">
        <x:v>60 caps</x:v>
      </x:c>
      <x:c r="F217" t="n">
        <x:v>1</x:v>
      </x:c>
      <x:c r="G217" t="str">
        <x:v>https://www.activesportstrade.co.uk/trade-sports-supplements/black-mamba-trade</x:v>
      </x:c>
      <x:c r="H217" t="str"/>
      <x:c r="I217" t="str">
        <x:v>Pending genuine supplier/brand image</x:v>
      </x:c>
    </x:row>
    <x:row r="218">
      <x:c r="A218" t="str">
        <x:v>Black Mamba</x:v>
      </x:c>
      <x:c r="B218" t="str">
        <x:v>Tribulus</x:v>
      </x:c>
      <x:c r="C218" t="str">
        <x:v>Supplements</x:v>
      </x:c>
      <x:c r="D218" t="str">
        <x:v>Testosterone Boosters</x:v>
      </x:c>
      <x:c r="E218" t="str">
        <x:v>60 caps</x:v>
      </x:c>
      <x:c r="F218" t="n">
        <x:v>1</x:v>
      </x:c>
      <x:c r="G218" t="str">
        <x:v>https://www.activesportstrade.co.uk/trade-sports-supplements/black-mamba-trade</x:v>
      </x:c>
      <x:c r="H218" t="str"/>
      <x:c r="I218" t="str">
        <x:v>Pending genuine supplier/brand image</x:v>
      </x:c>
    </x:row>
    <x:row r="219">
      <x:c r="A219" t="str">
        <x:v>Black Mamba</x:v>
      </x:c>
      <x:c r="B219" t="str">
        <x:v>TUDCA + NAC</x:v>
      </x:c>
      <x:c r="C219" t="str">
        <x:v>Supplements</x:v>
      </x:c>
      <x:c r="D219" t="str">
        <x:v>OCS Supplements</x:v>
      </x:c>
      <x:c r="E219" t="str">
        <x:v>60 caps</x:v>
      </x:c>
      <x:c r="F219" t="n">
        <x:v>1</x:v>
      </x:c>
      <x:c r="G219" t="str">
        <x:v>https://www.activesportstrade.co.uk/trade-sports-supplements/black-mamba-trade</x:v>
      </x:c>
      <x:c r="H219" t="str"/>
      <x:c r="I219" t="str">
        <x:v>Pending genuine supplier/brand image</x:v>
      </x:c>
    </x:row>
    <x:row r="220">
      <x:c r="A220" t="str">
        <x:v>Black Mamba</x:v>
      </x:c>
      <x:c r="B220" t="str">
        <x:v>Turk</x:v>
      </x:c>
      <x:c r="C220" t="str">
        <x:v>Supplements</x:v>
      </x:c>
      <x:c r="D220" t="str">
        <x:v>Testosterone Boosters</x:v>
      </x:c>
      <x:c r="E220" t="str">
        <x:v>60 caps</x:v>
      </x:c>
      <x:c r="F220" t="n">
        <x:v>1</x:v>
      </x:c>
      <x:c r="G220" t="str">
        <x:v>https://www.activesportstrade.co.uk/trade-sports-supplements/black-mamba-trade</x:v>
      </x:c>
      <x:c r="H220" t="str"/>
      <x:c r="I220" t="str">
        <x:v>Pending genuine supplier/brand image</x:v>
      </x:c>
    </x:row>
    <x:row r="221">
      <x:c r="A221" t="str">
        <x:v>Black Mamba</x:v>
      </x:c>
      <x:c r="B221" t="str">
        <x:v>Aminos</x:v>
      </x:c>
      <x:c r="C221" t="str">
        <x:v>Supplements</x:v>
      </x:c>
      <x:c r="D221" t="str">
        <x:v>Amino Acids</x:v>
      </x:c>
      <x:c r="E221" t="str">
        <x:v>390g</x:v>
      </x:c>
      <x:c r="F221" t="n">
        <x:v>2</x:v>
      </x:c>
      <x:c r="G221" t="str">
        <x:v>https://www.activesportstrade.co.uk/trade-sports-supplements/black-mamba-trade</x:v>
      </x:c>
      <x:c r="H221" t="str"/>
      <x:c r="I221" t="str">
        <x:v>Pending genuine supplier/brand image</x:v>
      </x:c>
    </x:row>
    <x:row r="222">
      <x:c r="A222" t="str">
        <x:v>Black Mamba</x:v>
      </x:c>
      <x:c r="B222" t="str">
        <x:v>Creatine Monohydrate - Flavoured</x:v>
      </x:c>
      <x:c r="C222" t="str">
        <x:v>Supplements</x:v>
      </x:c>
      <x:c r="D222" t="str">
        <x:v>Creatine Powders</x:v>
      </x:c>
      <x:c r="E222" t="str">
        <x:v>250g</x:v>
      </x:c>
      <x:c r="F222" t="n">
        <x:v>3</x:v>
      </x:c>
      <x:c r="G222" t="str">
        <x:v>https://www.activesportstrade.co.uk/trade-sports-supplements/black-mamba-trade</x:v>
      </x:c>
      <x:c r="H222" t="str"/>
      <x:c r="I222" t="str">
        <x:v>Pending genuine supplier/brand image</x:v>
      </x:c>
    </x:row>
    <x:row r="223">
      <x:c r="A223" t="str">
        <x:v>Black Mamba</x:v>
      </x:c>
      <x:c r="B223" t="str">
        <x:v>Creatine Monohydrate</x:v>
      </x:c>
      <x:c r="C223" t="str">
        <x:v>Supplements</x:v>
      </x:c>
      <x:c r="D223" t="str">
        <x:v>Creatine Powders</x:v>
      </x:c>
      <x:c r="E223" t="str">
        <x:v>250g</x:v>
      </x:c>
      <x:c r="F223" t="n">
        <x:v>1</x:v>
      </x:c>
      <x:c r="G223" t="str">
        <x:v>https://www.activesportstrade.co.uk/trade-sports-supplements/black-mamba-trade</x:v>
      </x:c>
      <x:c r="H223" t="str"/>
      <x:c r="I223" t="str">
        <x:v>Pending genuine supplier/brand image</x:v>
      </x:c>
    </x:row>
    <x:row r="224">
      <x:c r="A224" t="str">
        <x:v>Black Mamba</x:v>
      </x:c>
      <x:c r="B224" t="str">
        <x:v>Hydrate</x:v>
      </x:c>
      <x:c r="C224" t="str">
        <x:v>Supplements</x:v>
      </x:c>
      <x:c r="D224" t="str">
        <x:v>Hydration</x:v>
      </x:c>
      <x:c r="E224" t="str">
        <x:v>30 servings</x:v>
      </x:c>
      <x:c r="F224" t="n">
        <x:v>3</x:v>
      </x:c>
      <x:c r="G224" t="str">
        <x:v>https://www.activesportstrade.co.uk/trade-sports-supplements/black-mamba-trade</x:v>
      </x:c>
      <x:c r="H224" t="str"/>
      <x:c r="I224" t="str">
        <x:v>Pending genuine supplier/brand image</x:v>
      </x:c>
    </x:row>
    <x:row r="225">
      <x:c r="A225" t="str">
        <x:v>Black Mamba</x:v>
      </x:c>
      <x:c r="B225" t="str">
        <x:v>Strike Pre Workout</x:v>
      </x:c>
      <x:c r="C225" t="str">
        <x:v>Pre Workouts</x:v>
      </x:c>
      <x:c r="D225" t="str">
        <x:v>High Stim</x:v>
      </x:c>
      <x:c r="E225" t="str">
        <x:v>30 servings</x:v>
      </x:c>
      <x:c r="F225" t="n">
        <x:v>3</x:v>
      </x:c>
      <x:c r="G225" t="str">
        <x:v>https://www.activesportstrade.co.uk/trade-sports-supplements/black-mamba-trade</x:v>
      </x:c>
      <x:c r="H225" t="str"/>
      <x:c r="I225" t="str">
        <x:v>Pending genuine supplier/brand image</x:v>
      </x:c>
    </x:row>
    <x:row r="226">
      <x:c r="A226" t="str">
        <x:v>Black Mamba - Reaper Series</x:v>
      </x:c>
      <x:c r="B226" t="str">
        <x:v>ECDY3</x:v>
      </x:c>
      <x:c r="C226" t="str">
        <x:v>Supplements</x:v>
      </x:c>
      <x:c r="D226" t="str">
        <x:v>Testosterone Boosters</x:v>
      </x:c>
      <x:c r="E226" t="str">
        <x:v>90 caps</x:v>
      </x:c>
      <x:c r="F226" t="n">
        <x:v>1</x:v>
      </x:c>
      <x:c r="G226" t="str">
        <x:v>https://www.activesportstrade.co.uk/trade-sports-supplements</x:v>
      </x:c>
      <x:c r="H226" t="str"/>
      <x:c r="I226" t="str">
        <x:v>Pending genuine supplier/brand image</x:v>
      </x:c>
    </x:row>
    <x:row r="227">
      <x:c r="A227" t="str">
        <x:v>Black Mamba - Reaper Series</x:v>
      </x:c>
      <x:c r="B227" t="str">
        <x:v>Sidewinder Pre Workout</x:v>
      </x:c>
      <x:c r="C227" t="str">
        <x:v>Pre Workouts</x:v>
      </x:c>
      <x:c r="D227" t="str">
        <x:v>High Stim</x:v>
      </x:c>
      <x:c r="E227" t="str">
        <x:v>30 servings</x:v>
      </x:c>
      <x:c r="F227" t="n">
        <x:v>3</x:v>
      </x:c>
      <x:c r="G227" t="str">
        <x:v>https://www.activesportstrade.co.uk/trade-pre-workout-supplements</x:v>
      </x:c>
      <x:c r="H227" t="str"/>
      <x:c r="I227" t="str">
        <x:v>Pending genuine supplier/brand image</x:v>
      </x:c>
    </x:row>
    <x:row r="228">
      <x:c r="A228" t="str">
        <x:v>Bounty</x:v>
      </x:c>
      <x:c r="B228" t="str">
        <x:v>Protein Bar</x:v>
      </x:c>
      <x:c r="C228" t="str">
        <x:v>Drinks and Bars</x:v>
      </x:c>
      <x:c r="D228" t="str">
        <x:v>Bars and Snacks</x:v>
      </x:c>
      <x:c r="E228" t="str">
        <x:v>12 x 52g bars</x:v>
      </x:c>
      <x:c r="F228" t="n">
        <x:v>1</x:v>
      </x:c>
      <x:c r="G228" t="str">
        <x:v>https://www.activesportstrade.co.uk/Protein-Bars/bounty-protein-trade</x:v>
      </x:c>
      <x:c r="H228" t="str"/>
      <x:c r="I228" t="str">
        <x:v>Pending genuine supplier/brand image</x:v>
      </x:c>
    </x:row>
    <x:row r="229">
      <x:c r="A229" t="str">
        <x:v>BSN</x:v>
      </x:c>
      <x:c r="B229" t="str">
        <x:v>NO-Xplode</x:v>
      </x:c>
      <x:c r="C229" t="str">
        <x:v>Pre Workouts</x:v>
      </x:c>
      <x:c r="D229" t="str">
        <x:v>High Stim</x:v>
      </x:c>
      <x:c r="E229" t="str">
        <x:v>30 servings, 50 servings</x:v>
      </x:c>
      <x:c r="F229" t="n">
        <x:v>6</x:v>
      </x:c>
      <x:c r="G229" t="str">
        <x:v>https://www.activesportstrade.co.uk/BSN</x:v>
      </x:c>
      <x:c r="H229" t="str"/>
      <x:c r="I229" t="str">
        <x:v>Pending genuine supplier/brand image</x:v>
      </x:c>
    </x:row>
    <x:row r="230">
      <x:c r="A230" t="str">
        <x:v>BSN</x:v>
      </x:c>
      <x:c r="B230" t="str">
        <x:v>Syntha-6</x:v>
      </x:c>
      <x:c r="C230" t="str">
        <x:v>Supplements</x:v>
      </x:c>
      <x:c r="D230" t="str">
        <x:v>Protein Blends</x:v>
      </x:c>
      <x:c r="E230" t="str">
        <x:v>2.26kg</x:v>
      </x:c>
      <x:c r="F230" t="n">
        <x:v>3</x:v>
      </x:c>
      <x:c r="G230" t="str">
        <x:v>https://www.activesportstrade.co.uk/BSN</x:v>
      </x:c>
      <x:c r="H230" t="str"/>
      <x:c r="I230" t="str">
        <x:v>Pending genuine supplier/brand image</x:v>
      </x:c>
    </x:row>
    <x:row r="231">
      <x:c r="A231" t="str">
        <x:v>Buffalo Nutrition</x:v>
      </x:c>
      <x:c r="B231" t="str">
        <x:v>Alpha-XT Xtreme Test</x:v>
      </x:c>
      <x:c r="C231" t="str">
        <x:v>Supplements</x:v>
      </x:c>
      <x:c r="D231" t="str">
        <x:v>PCT Supplements</x:v>
      </x:c>
      <x:c r="E231" t="str">
        <x:v>120 caps</x:v>
      </x:c>
      <x:c r="F231" t="n">
        <x:v>1</x:v>
      </x:c>
      <x:c r="G231" t="str">
        <x:v>https://www.activesportstrade.co.uk/buffalo-nutrition-trade</x:v>
      </x:c>
      <x:c r="H231" t="str"/>
      <x:c r="I231" t="str">
        <x:v>Pending genuine supplier/brand image</x:v>
      </x:c>
    </x:row>
    <x:row r="232">
      <x:c r="A232" t="str">
        <x:v>Buffalo Nutrition</x:v>
      </x:c>
      <x:c r="B232" t="str">
        <x:v>ZM3 ZMA Complex</x:v>
      </x:c>
      <x:c r="C232" t="str">
        <x:v>Supplements</x:v>
      </x:c>
      <x:c r="D232" t="str">
        <x:v>Sleep Aids</x:v>
      </x:c>
      <x:c r="E232" t="str">
        <x:v>90 caps</x:v>
      </x:c>
      <x:c r="F232" t="n">
        <x:v>1</x:v>
      </x:c>
      <x:c r="G232" t="str">
        <x:v>https://www.activesportstrade.co.uk/buffalo-nutrition-trade</x:v>
      </x:c>
      <x:c r="H232" t="str"/>
      <x:c r="I232" t="str">
        <x:v>Pending genuine supplier/brand image</x:v>
      </x:c>
    </x:row>
    <x:row r="233">
      <x:c r="A233" t="str">
        <x:v>C4</x:v>
      </x:c>
      <x:c r="B233" t="str">
        <x:v>Original Pre Workout</x:v>
      </x:c>
      <x:c r="C233" t="str">
        <x:v>Pre Workouts</x:v>
      </x:c>
      <x:c r="D233" t="str">
        <x:v>High Stim</x:v>
      </x:c>
      <x:c r="E233" t="str">
        <x:v>30 servings, 60 servings</x:v>
      </x:c>
      <x:c r="F233" t="n">
        <x:v>25</x:v>
      </x:c>
      <x:c r="G233" t="str">
        <x:v>https://www.activesportstrade.co.uk/trade-pre-workout-supplements</x:v>
      </x:c>
      <x:c r="H233" t="str"/>
      <x:c r="I233" t="str">
        <x:v>Pending genuine supplier/brand image</x:v>
      </x:c>
    </x:row>
    <x:row r="234">
      <x:c r="A234" t="str">
        <x:v>C4</x:v>
      </x:c>
      <x:c r="B234" t="str">
        <x:v>Ripped Pre Workout</x:v>
      </x:c>
      <x:c r="C234" t="str">
        <x:v>Pre Workouts</x:v>
      </x:c>
      <x:c r="D234" t="str">
        <x:v>High Stim</x:v>
      </x:c>
      <x:c r="E234" t="str">
        <x:v>30 servings</x:v>
      </x:c>
      <x:c r="F234" t="n">
        <x:v>3</x:v>
      </x:c>
      <x:c r="G234" t="str">
        <x:v>https://www.activesportstrade.co.uk/high-stim-pre-workouts/cellucor-trade</x:v>
      </x:c>
      <x:c r="H234" t="str"/>
      <x:c r="I234" t="str">
        <x:v>Pending genuine supplier/brand image</x:v>
      </x:c>
    </x:row>
    <x:row r="235">
      <x:c r="A235" t="str">
        <x:v>C4</x:v>
      </x:c>
      <x:c r="B235" t="str">
        <x:v>Energy</x:v>
      </x:c>
      <x:c r="C235" t="str">
        <x:v>Drinks and Bars</x:v>
      </x:c>
      <x:c r="D235" t="str">
        <x:v>Ready to Drink Energy</x:v>
      </x:c>
      <x:c r="E235" t="str">
        <x:v>12 x 500ml cans</x:v>
      </x:c>
      <x:c r="F235" t="n">
        <x:v>9</x:v>
      </x:c>
      <x:c r="G235" t="str">
        <x:v>https://www.activesportstrade.co.uk/ready-to-drink-pre-workout-trade/c4-supplements-trade</x:v>
      </x:c>
      <x:c r="H235" t="str"/>
      <x:c r="I235" t="str">
        <x:v>Pending genuine supplier/brand image</x:v>
      </x:c>
    </x:row>
    <x:row r="236">
      <x:c r="A236" t="str">
        <x:v>C4</x:v>
      </x:c>
      <x:c r="B236" t="str">
        <x:v>Original Pre Workout Shots</x:v>
      </x:c>
      <x:c r="C236" t="str">
        <x:v>Pre Workouts</x:v>
      </x:c>
      <x:c r="D236" t="str">
        <x:v>Shots and Ready To Drink</x:v>
      </x:c>
      <x:c r="E236" t="str">
        <x:v>12 x 60ml shots</x:v>
      </x:c>
      <x:c r="F236" t="n">
        <x:v>3</x:v>
      </x:c>
      <x:c r="G236" t="str">
        <x:v>https://www.activesportstrade.co.uk/ready-to-drink-pre-workout-trade/c4-supplements-trade</x:v>
      </x:c>
      <x:c r="H236" t="str"/>
      <x:c r="I236" t="str">
        <x:v>Pending genuine supplier/brand image</x:v>
      </x:c>
    </x:row>
    <x:row r="237">
      <x:c r="A237" t="str">
        <x:v>C4</x:v>
      </x:c>
      <x:c r="B237" t="str">
        <x:v>Ultimate Pre Workout Shot</x:v>
      </x:c>
      <x:c r="C237" t="str">
        <x:v>Pre Workouts</x:v>
      </x:c>
      <x:c r="D237" t="str">
        <x:v>Shots and Ready To Drink</x:v>
      </x:c>
      <x:c r="E237" t="str">
        <x:v>12 x 60ml shots</x:v>
      </x:c>
      <x:c r="F237" t="n">
        <x:v>2</x:v>
      </x:c>
      <x:c r="G237" t="str">
        <x:v>https://www.activesportstrade.co.uk/ready-to-drink-pre-workout-trade/c4-supplements-trade</x:v>
      </x:c>
      <x:c r="H237" t="str"/>
      <x:c r="I237" t="str">
        <x:v>Pending genuine supplier/brand image</x:v>
      </x:c>
    </x:row>
    <x:row r="238">
      <x:c r="A238" t="str">
        <x:v>C4</x:v>
      </x:c>
      <x:c r="B238" t="str">
        <x:v>Whey Protein</x:v>
      </x:c>
      <x:c r="C238" t="str">
        <x:v>Supplements</x:v>
      </x:c>
      <x:c r="D238" t="str">
        <x:v>Whey Protein</x:v>
      </x:c>
      <x:c r="E238" t="str">
        <x:v>799g / 22 servings, 814g / 22 servings</x:v>
      </x:c>
      <x:c r="F238" t="n">
        <x:v>2</x:v>
      </x:c>
      <x:c r="G238" t="str">
        <x:v>https://www.activesportstrade.co.uk/trade-sports-supplements</x:v>
      </x:c>
      <x:c r="H238" t="str"/>
      <x:c r="I238" t="str">
        <x:v>Pending genuine supplier/brand image</x:v>
      </x:c>
    </x:row>
    <x:row r="239">
      <x:c r="A239" t="str">
        <x:v>CNP Professional</x:v>
      </x:c>
      <x:c r="B239" t="str">
        <x:v>Ashwagandha KSM-66</x:v>
      </x:c>
      <x:c r="C239" t="str">
        <x:v>Supplements</x:v>
      </x:c>
      <x:c r="D239" t="str">
        <x:v>Health Foods</x:v>
      </x:c>
      <x:c r="E239" t="str">
        <x:v>60 caps</x:v>
      </x:c>
      <x:c r="F239" t="n">
        <x:v>1</x:v>
      </x:c>
      <x:c r="G239" t="str">
        <x:v>https://www.activesportstrade.co.uk/trade-sports-supplements</x:v>
      </x:c>
      <x:c r="H239" t="str"/>
      <x:c r="I239" t="str">
        <x:v>Pending genuine supplier/brand image</x:v>
      </x:c>
    </x:row>
    <x:row r="240">
      <x:c r="A240" t="str">
        <x:v>CNP Professional</x:v>
      </x:c>
      <x:c r="B240" t="str">
        <x:v>Cream of Rice</x:v>
      </x:c>
      <x:c r="C240" t="str">
        <x:v>Supplements</x:v>
      </x:c>
      <x:c r="D240" t="str">
        <x:v>Carbohydrates</x:v>
      </x:c>
      <x:c r="E240" t="str">
        <x:v>2kg</x:v>
      </x:c>
      <x:c r="F240" t="n">
        <x:v>6</x:v>
      </x:c>
      <x:c r="G240" t="str">
        <x:v>https://www.activesportstrade.co.uk/trade-sports-supplements</x:v>
      </x:c>
      <x:c r="H240" t="str"/>
      <x:c r="I240" t="str">
        <x:v>Pending genuine supplier/brand image</x:v>
      </x:c>
    </x:row>
    <x:row r="241">
      <x:c r="A241" t="str">
        <x:v>CNP Professional</x:v>
      </x:c>
      <x:c r="B241" t="str">
        <x:v>Cream of Rice with Amylase</x:v>
      </x:c>
      <x:c r="C241" t="str">
        <x:v>Supplements</x:v>
      </x:c>
      <x:c r="D241" t="str">
        <x:v>Carbohydrates</x:v>
      </x:c>
      <x:c r="E241" t="str">
        <x:v>2kg</x:v>
      </x:c>
      <x:c r="F241" t="n">
        <x:v>8</x:v>
      </x:c>
      <x:c r="G241" t="str">
        <x:v>https://www.activesportstrade.co.uk/trade-sports-supplements</x:v>
      </x:c>
      <x:c r="H241" t="str"/>
      <x:c r="I241" t="str">
        <x:v>Pending genuine supplier/brand image</x:v>
      </x:c>
    </x:row>
    <x:row r="242">
      <x:c r="A242" t="str">
        <x:v>CNP Professional</x:v>
      </x:c>
      <x:c r="B242" t="str">
        <x:v>Creatine Ethyl Ester</x:v>
      </x:c>
      <x:c r="C242" t="str">
        <x:v>Supplements</x:v>
      </x:c>
      <x:c r="D242" t="str">
        <x:v>Creatine Pills</x:v>
      </x:c>
      <x:c r="E242" t="str">
        <x:v>240 caps</x:v>
      </x:c>
      <x:c r="F242" t="n">
        <x:v>1</x:v>
      </x:c>
      <x:c r="G242" t="str">
        <x:v>https://www.activesportstrade.co.uk/trade-sports-supplements</x:v>
      </x:c>
      <x:c r="H242" t="str"/>
      <x:c r="I242" t="str">
        <x:v>Pending genuine supplier/brand image</x:v>
      </x:c>
    </x:row>
    <x:row r="243">
      <x:c r="A243" t="str">
        <x:v>CNP Professional</x:v>
      </x:c>
      <x:c r="B243" t="str">
        <x:v>Creatine Monohydrate</x:v>
      </x:c>
      <x:c r="C243" t="str">
        <x:v>Supplements</x:v>
      </x:c>
      <x:c r="D243" t="str">
        <x:v>Creatine Powders</x:v>
      </x:c>
      <x:c r="E243" t="str">
        <x:v>250g, 500g</x:v>
      </x:c>
      <x:c r="F243" t="n">
        <x:v>2</x:v>
      </x:c>
      <x:c r="G243" t="str">
        <x:v>https://www.activesportstrade.co.uk/trade-sports-supplements</x:v>
      </x:c>
      <x:c r="H243" t="str"/>
      <x:c r="I243" t="str">
        <x:v>Pending genuine supplier/brand image</x:v>
      </x:c>
    </x:row>
    <x:row r="244">
      <x:c r="A244" t="str">
        <x:v>CNP Professional</x:v>
      </x:c>
      <x:c r="B244" t="str">
        <x:v>Glutamine Powder</x:v>
      </x:c>
      <x:c r="C244" t="str">
        <x:v>Supplements</x:v>
      </x:c>
      <x:c r="D244" t="str">
        <x:v>L-Glutamine</x:v>
      </x:c>
      <x:c r="E244" t="str">
        <x:v>250g</x:v>
      </x:c>
      <x:c r="F244" t="n">
        <x:v>1</x:v>
      </x:c>
      <x:c r="G244" t="str">
        <x:v>https://www.activesportstrade.co.uk/trade-sports-supplements</x:v>
      </x:c>
      <x:c r="H244" t="str"/>
      <x:c r="I244" t="str">
        <x:v>Pending genuine supplier/brand image</x:v>
      </x:c>
    </x:row>
    <x:row r="245">
      <x:c r="A245" t="str">
        <x:v>CNP Professional</x:v>
      </x:c>
      <x:c r="B245" t="str">
        <x:v>Loaded Beef</x:v>
      </x:c>
      <x:c r="C245" t="str">
        <x:v>Supplements</x:v>
      </x:c>
      <x:c r="D245" t="str">
        <x:v>Protein Blends</x:v>
      </x:c>
      <x:c r="E245" t="str">
        <x:v>1.8kg</x:v>
      </x:c>
      <x:c r="F245" t="n">
        <x:v>6</x:v>
      </x:c>
      <x:c r="G245" t="str">
        <x:v>https://www.activesportstrade.co.uk/trade-sports-supplements</x:v>
      </x:c>
      <x:c r="H245" t="str"/>
      <x:c r="I245" t="str">
        <x:v>Pending genuine supplier/brand image</x:v>
      </x:c>
    </x:row>
    <x:row r="246">
      <x:c r="A246" t="str">
        <x:v>CNP Professional</x:v>
      </x:c>
      <x:c r="B246" t="str">
        <x:v>Loaded EAA</x:v>
      </x:c>
      <x:c r="C246" t="str">
        <x:v>Supplements</x:v>
      </x:c>
      <x:c r="D246" t="str">
        <x:v>Amino Acids</x:v>
      </x:c>
      <x:c r="E246" t="str">
        <x:v>300g</x:v>
      </x:c>
      <x:c r="F246" t="n">
        <x:v>10</x:v>
      </x:c>
      <x:c r="G246" t="str">
        <x:v>https://www.activesportstrade.co.uk/trade-sports-supplements</x:v>
      </x:c>
      <x:c r="H246" t="str"/>
      <x:c r="I246" t="str">
        <x:v>Pending genuine supplier/brand image</x:v>
      </x:c>
    </x:row>
    <x:row r="247">
      <x:c r="A247" t="str">
        <x:v>CNP Professional</x:v>
      </x:c>
      <x:c r="B247" t="str">
        <x:v>Loaded H2O</x:v>
      </x:c>
      <x:c r="C247" t="str">
        <x:v>Supplements</x:v>
      </x:c>
      <x:c r="D247" t="str">
        <x:v>Hydration</x:v>
      </x:c>
      <x:c r="E247" t="str">
        <x:v>300g</x:v>
      </x:c>
      <x:c r="F247" t="n">
        <x:v>5</x:v>
      </x:c>
      <x:c r="G247" t="str">
        <x:v>https://www.activesportstrade.co.uk/trade-sports-supplements</x:v>
      </x:c>
      <x:c r="H247" t="str"/>
      <x:c r="I247" t="str">
        <x:v>Pending genuine supplier/brand image</x:v>
      </x:c>
    </x:row>
    <x:row r="248">
      <x:c r="A248" t="str">
        <x:v>CNP Professional</x:v>
      </x:c>
      <x:c r="B248" t="str">
        <x:v>Loaded Pre</x:v>
      </x:c>
      <x:c r="C248" t="str">
        <x:v>Pre Workouts</x:v>
      </x:c>
      <x:c r="D248" t="str">
        <x:v>High Stim</x:v>
      </x:c>
      <x:c r="E248" t="str">
        <x:v>570g</x:v>
      </x:c>
      <x:c r="F248" t="n">
        <x:v>4</x:v>
      </x:c>
      <x:c r="G248" t="str">
        <x:v>https://www.activesportstrade.co.uk/trade-sports-supplements</x:v>
      </x:c>
      <x:c r="H248" t="str"/>
      <x:c r="I248" t="str">
        <x:v>Pending genuine supplier/brand image</x:v>
      </x:c>
    </x:row>
    <x:row r="249">
      <x:c r="A249" t="str">
        <x:v>CNP Professional</x:v>
      </x:c>
      <x:c r="B249" t="str">
        <x:v>Mass XL</x:v>
      </x:c>
      <x:c r="C249" t="str">
        <x:v>Supplements</x:v>
      </x:c>
      <x:c r="D249" t="str">
        <x:v>Weight Gainers</x:v>
      </x:c>
      <x:c r="E249" t="str">
        <x:v>4.8kg</x:v>
      </x:c>
      <x:c r="F249" t="n">
        <x:v>4</x:v>
      </x:c>
      <x:c r="G249" t="str">
        <x:v>https://www.activesportstrade.co.uk/trade-sports-supplements</x:v>
      </x:c>
      <x:c r="H249" t="str"/>
      <x:c r="I249" t="str">
        <x:v>Pending genuine supplier/brand image</x:v>
      </x:c>
    </x:row>
    <x:row r="250">
      <x:c r="A250" t="str">
        <x:v>CNP Professional</x:v>
      </x:c>
      <x:c r="B250" t="str">
        <x:v>Milk Thistle</x:v>
      </x:c>
      <x:c r="C250" t="str">
        <x:v>Supplements</x:v>
      </x:c>
      <x:c r="D250" t="str">
        <x:v>Health Foods</x:v>
      </x:c>
      <x:c r="E250" t="str">
        <x:v>60 caps</x:v>
      </x:c>
      <x:c r="F250" t="n">
        <x:v>1</x:v>
      </x:c>
      <x:c r="G250" t="str">
        <x:v>https://www.activesportstrade.co.uk/trade-sports-supplements</x:v>
      </x:c>
      <x:c r="H250" t="str"/>
      <x:c r="I250" t="str">
        <x:v>Pending genuine supplier/brand image</x:v>
      </x:c>
    </x:row>
    <x:row r="251">
      <x:c r="A251" t="str">
        <x:v>CNP Professional</x:v>
      </x:c>
      <x:c r="B251" t="str">
        <x:v>Multi Vitamin</x:v>
      </x:c>
      <x:c r="C251" t="str">
        <x:v>Supplements</x:v>
      </x:c>
      <x:c r="D251" t="str">
        <x:v>Vitamins</x:v>
      </x:c>
      <x:c r="E251" t="str">
        <x:v>30 caps</x:v>
      </x:c>
      <x:c r="F251" t="n">
        <x:v>1</x:v>
      </x:c>
      <x:c r="G251" t="str">
        <x:v>https://www.activesportstrade.co.uk/trade-sports-supplements</x:v>
      </x:c>
      <x:c r="H251" t="str"/>
      <x:c r="I251" t="str">
        <x:v>Pending genuine supplier/brand image</x:v>
      </x:c>
    </x:row>
    <x:row r="252">
      <x:c r="A252" t="str">
        <x:v>CNP Professional</x:v>
      </x:c>
      <x:c r="B252" t="str">
        <x:v>Pro Hydrate</x:v>
      </x:c>
      <x:c r="C252" t="str">
        <x:v>Supplements</x:v>
      </x:c>
      <x:c r="D252" t="str">
        <x:v>Hydration</x:v>
      </x:c>
      <x:c r="E252" t="str">
        <x:v>300g</x:v>
      </x:c>
      <x:c r="F252" t="n">
        <x:v>5</x:v>
      </x:c>
      <x:c r="G252" t="str">
        <x:v>https://www.activesportstrade.co.uk/trade-sports-supplements</x:v>
      </x:c>
      <x:c r="H252" t="str"/>
      <x:c r="I252" t="str">
        <x:v>Pending genuine supplier/brand image</x:v>
      </x:c>
    </x:row>
    <x:row r="253">
      <x:c r="A253" t="str">
        <x:v>CNP Professional</x:v>
      </x:c>
      <x:c r="B253" t="str">
        <x:v>Pro Mass</x:v>
      </x:c>
      <x:c r="C253" t="str">
        <x:v>Supplements</x:v>
      </x:c>
      <x:c r="D253" t="str">
        <x:v>Weight Gainers</x:v>
      </x:c>
      <x:c r="E253" t="str">
        <x:v>4.8kg</x:v>
      </x:c>
      <x:c r="F253" t="n">
        <x:v>4</x:v>
      </x:c>
      <x:c r="G253" t="str">
        <x:v>https://www.activesportstrade.co.uk/trade-sports-supplements</x:v>
      </x:c>
      <x:c r="H253" t="str"/>
      <x:c r="I253" t="str">
        <x:v>Pending genuine supplier/brand image</x:v>
      </x:c>
    </x:row>
    <x:row r="254">
      <x:c r="A254" t="str">
        <x:v>CNP Professional</x:v>
      </x:c>
      <x:c r="B254" t="str">
        <x:v>Pro Peptide</x:v>
      </x:c>
      <x:c r="C254" t="str">
        <x:v>Supplements</x:v>
      </x:c>
      <x:c r="D254" t="str">
        <x:v>Protein Blends</x:v>
      </x:c>
      <x:c r="E254" t="str">
        <x:v>2.27kg, 900g</x:v>
      </x:c>
      <x:c r="F254" t="n">
        <x:v>10</x:v>
      </x:c>
      <x:c r="G254" t="str">
        <x:v>https://www.activesportstrade.co.uk/trade-sports-supplements</x:v>
      </x:c>
      <x:c r="H254" t="str"/>
      <x:c r="I254" t="str">
        <x:v>Pending genuine supplier/brand image</x:v>
      </x:c>
    </x:row>
    <x:row r="255">
      <x:c r="A255" t="str">
        <x:v>CNP Professional</x:v>
      </x:c>
      <x:c r="B255" t="str">
        <x:v>Pro Recover</x:v>
      </x:c>
      <x:c r="C255" t="str">
        <x:v>Supplements</x:v>
      </x:c>
      <x:c r="D255" t="str">
        <x:v>Recovery Shakes</x:v>
      </x:c>
      <x:c r="E255" t="str">
        <x:v>5.04kg</x:v>
      </x:c>
      <x:c r="F255" t="n">
        <x:v>3</x:v>
      </x:c>
      <x:c r="G255" t="str">
        <x:v>https://www.activesportstrade.co.uk/trade-sports-supplements</x:v>
      </x:c>
      <x:c r="H255" t="str"/>
      <x:c r="I255" t="str">
        <x:v>Pending genuine supplier/brand image</x:v>
      </x:c>
    </x:row>
    <x:row r="256">
      <x:c r="A256" t="str">
        <x:v>CNP Professional</x:v>
      </x:c>
      <x:c r="B256" t="str">
        <x:v>Pro Test</x:v>
      </x:c>
      <x:c r="C256" t="str">
        <x:v>Supplements</x:v>
      </x:c>
      <x:c r="D256" t="str">
        <x:v>Testosterone Boosters</x:v>
      </x:c>
      <x:c r="E256" t="str">
        <x:v>120 caps</x:v>
      </x:c>
      <x:c r="F256" t="n">
        <x:v>1</x:v>
      </x:c>
      <x:c r="G256" t="str">
        <x:v>https://www.activesportstrade.co.uk/trade-sports-supplements</x:v>
      </x:c>
      <x:c r="H256" t="str"/>
      <x:c r="I256" t="str">
        <x:v>Pending genuine supplier/brand image</x:v>
      </x:c>
    </x:row>
    <x:row r="257">
      <x:c r="A257" t="str">
        <x:v>CNP Professional</x:v>
      </x:c>
      <x:c r="B257" t="str">
        <x:v>Recover</x:v>
      </x:c>
      <x:c r="C257" t="str">
        <x:v>Supplements</x:v>
      </x:c>
      <x:c r="D257" t="str">
        <x:v>Recovery Shakes</x:v>
      </x:c>
      <x:c r="E257" t="str">
        <x:v>5kg</x:v>
      </x:c>
      <x:c r="F257" t="n">
        <x:v>4</x:v>
      </x:c>
      <x:c r="G257" t="str">
        <x:v>https://www.activesportstrade.co.uk/trade-sports-supplements</x:v>
      </x:c>
      <x:c r="H257" t="str"/>
      <x:c r="I257" t="str">
        <x:v>Pending genuine supplier/brand image</x:v>
      </x:c>
    </x:row>
    <x:row r="258">
      <x:c r="A258" t="str">
        <x:v>CNP Professional</x:v>
      </x:c>
      <x:c r="B258" t="str">
        <x:v>Vitamin D3 + K2</x:v>
      </x:c>
      <x:c r="C258" t="str">
        <x:v>Supplements</x:v>
      </x:c>
      <x:c r="D258" t="str">
        <x:v>Vitamins</x:v>
      </x:c>
      <x:c r="E258" t="str">
        <x:v>30 caps</x:v>
      </x:c>
      <x:c r="F258" t="n">
        <x:v>1</x:v>
      </x:c>
      <x:c r="G258" t="str">
        <x:v>https://www.activesportstrade.co.uk/trade-sports-supplements</x:v>
      </x:c>
      <x:c r="H258" t="str"/>
      <x:c r="I258" t="str">
        <x:v>Pending genuine supplier/brand image</x:v>
      </x:c>
    </x:row>
    <x:row r="259">
      <x:c r="A259" t="str">
        <x:v>CNP Professional</x:v>
      </x:c>
      <x:c r="B259" t="str">
        <x:v>Zinc &amp; Magnesium</x:v>
      </x:c>
      <x:c r="C259" t="str">
        <x:v>Supplements</x:v>
      </x:c>
      <x:c r="D259" t="str">
        <x:v>Vitamins</x:v>
      </x:c>
      <x:c r="E259" t="str">
        <x:v>60 caps</x:v>
      </x:c>
      <x:c r="F259" t="n">
        <x:v>1</x:v>
      </x:c>
      <x:c r="G259" t="str">
        <x:v>https://www.activesportstrade.co.uk/trade-sports-supplements</x:v>
      </x:c>
      <x:c r="H259" t="str"/>
      <x:c r="I259" t="str">
        <x:v>Pending genuine supplier/brand image</x:v>
      </x:c>
    </x:row>
    <x:row r="260">
      <x:c r="A260" t="str">
        <x:v>Complete Strength</x:v>
      </x:c>
      <x:c r="B260" t="str">
        <x:v>Complete Amino</x:v>
      </x:c>
      <x:c r="C260" t="str">
        <x:v>Supplements</x:v>
      </x:c>
      <x:c r="D260" t="str">
        <x:v>Amino Acids</x:v>
      </x:c>
      <x:c r="E260" t="str">
        <x:v>375g</x:v>
      </x:c>
      <x:c r="F260" t="n">
        <x:v>3</x:v>
      </x:c>
      <x:c r="G260" t="str">
        <x:v>https://www.activesportstrade.co.uk/complete-strength-trade</x:v>
      </x:c>
      <x:c r="H260" t="str"/>
      <x:c r="I260" t="str">
        <x:v>Pending genuine supplier/brand image</x:v>
      </x:c>
    </x:row>
    <x:row r="261">
      <x:c r="A261" t="str">
        <x:v>Complete Strength</x:v>
      </x:c>
      <x:c r="B261" t="str">
        <x:v>Complete Creatine Monohydrate</x:v>
      </x:c>
      <x:c r="C261" t="str">
        <x:v>Supplements</x:v>
      </x:c>
      <x:c r="D261" t="str">
        <x:v>Creatine Powders</x:v>
      </x:c>
      <x:c r="E261" t="str">
        <x:v>300g</x:v>
      </x:c>
      <x:c r="F261" t="n">
        <x:v>1</x:v>
      </x:c>
      <x:c r="G261" t="str">
        <x:v>https://www.activesportstrade.co.uk/complete-strength-trade</x:v>
      </x:c>
      <x:c r="H261" t="str"/>
      <x:c r="I261" t="str">
        <x:v>Pending genuine supplier/brand image</x:v>
      </x:c>
    </x:row>
    <x:row r="262">
      <x:c r="A262" t="str">
        <x:v>Complete Strength</x:v>
      </x:c>
      <x:c r="B262" t="str">
        <x:v>Complete Glutamine</x:v>
      </x:c>
      <x:c r="C262" t="str">
        <x:v>Supplements</x:v>
      </x:c>
      <x:c r="D262" t="str">
        <x:v>L-Glutamine</x:v>
      </x:c>
      <x:c r="E262" t="str">
        <x:v>300g</x:v>
      </x:c>
      <x:c r="F262" t="n">
        <x:v>1</x:v>
      </x:c>
      <x:c r="G262" t="str">
        <x:v>https://www.activesportstrade.co.uk/complete-strength-trade</x:v>
      </x:c>
      <x:c r="H262" t="str"/>
      <x:c r="I262" t="str">
        <x:v>Pending genuine supplier/brand image</x:v>
      </x:c>
    </x:row>
    <x:row r="263">
      <x:c r="A263" t="str">
        <x:v>Complete Strength</x:v>
      </x:c>
      <x:c r="B263" t="str">
        <x:v>Complete Hydration</x:v>
      </x:c>
      <x:c r="C263" t="str">
        <x:v>Supplements</x:v>
      </x:c>
      <x:c r="D263" t="str">
        <x:v>Hydration</x:v>
      </x:c>
      <x:c r="E263" t="str">
        <x:v>60 servings</x:v>
      </x:c>
      <x:c r="F263" t="n">
        <x:v>2</x:v>
      </x:c>
      <x:c r="G263" t="str">
        <x:v>https://www.activesportstrade.co.uk/complete-strength-trade</x:v>
      </x:c>
      <x:c r="H263" t="str"/>
      <x:c r="I263" t="str">
        <x:v>Pending genuine supplier/brand image</x:v>
      </x:c>
    </x:row>
    <x:row r="264">
      <x:c r="A264" t="str">
        <x:v>Complete Strength</x:v>
      </x:c>
      <x:c r="B264" t="str">
        <x:v>Complete Multi Vit</x:v>
      </x:c>
      <x:c r="C264" t="str">
        <x:v>Supplements</x:v>
      </x:c>
      <x:c r="D264" t="str">
        <x:v>Vitamins</x:v>
      </x:c>
      <x:c r="E264" t="str">
        <x:v>30 caps</x:v>
      </x:c>
      <x:c r="F264" t="n">
        <x:v>1</x:v>
      </x:c>
      <x:c r="G264" t="str">
        <x:v>https://www.activesportstrade.co.uk/complete-strength-trade</x:v>
      </x:c>
      <x:c r="H264" t="str"/>
      <x:c r="I264" t="str">
        <x:v>Pending genuine supplier/brand image</x:v>
      </x:c>
    </x:row>
    <x:row r="265">
      <x:c r="A265" t="str">
        <x:v>Conteh Sports</x:v>
      </x:c>
      <x:c r="B265" t="str">
        <x:v>Ashwagandha +</x:v>
      </x:c>
      <x:c r="C265" t="str">
        <x:v>Supplements</x:v>
      </x:c>
      <x:c r="D265" t="str">
        <x:v>Health Foods</x:v>
      </x:c>
      <x:c r="E265" t="str">
        <x:v>120 caps</x:v>
      </x:c>
      <x:c r="F265" t="n">
        <x:v>1</x:v>
      </x:c>
      <x:c r="G265" t="str">
        <x:v>https://www.activesportstrade.co.uk/conteh-sports-trade</x:v>
      </x:c>
      <x:c r="H265" t="str"/>
      <x:c r="I265" t="str">
        <x:v>Pending genuine supplier/brand image</x:v>
      </x:c>
    </x:row>
    <x:row r="266">
      <x:c r="A266" t="str">
        <x:v>Conteh Sports</x:v>
      </x:c>
      <x:c r="B266" t="str">
        <x:v>Astragalus</x:v>
      </x:c>
      <x:c r="C266" t="str">
        <x:v>Supplements</x:v>
      </x:c>
      <x:c r="D266" t="str">
        <x:v>Health Foods</x:v>
      </x:c>
      <x:c r="E266" t="str">
        <x:v>120 caps</x:v>
      </x:c>
      <x:c r="F266" t="n">
        <x:v>1</x:v>
      </x:c>
      <x:c r="G266" t="str">
        <x:v>https://www.activesportstrade.co.uk/conteh-sports-trade</x:v>
      </x:c>
      <x:c r="H266" t="str"/>
      <x:c r="I266" t="str">
        <x:v>Pending genuine supplier/brand image</x:v>
      </x:c>
    </x:row>
    <x:row r="267">
      <x:c r="A267" t="str">
        <x:v>Conteh Sports</x:v>
      </x:c>
      <x:c r="B267" t="str">
        <x:v>Boron</x:v>
      </x:c>
      <x:c r="C267" t="str">
        <x:v>Supplements</x:v>
      </x:c>
      <x:c r="D267" t="str">
        <x:v>Vitamins</x:v>
      </x:c>
      <x:c r="E267" t="str">
        <x:v>60 caps</x:v>
      </x:c>
      <x:c r="F267" t="n">
        <x:v>1</x:v>
      </x:c>
      <x:c r="G267" t="str">
        <x:v>https://www.activesportstrade.co.uk/conteh-sports-trade</x:v>
      </x:c>
      <x:c r="H267" t="str"/>
      <x:c r="I267" t="str">
        <x:v>Pending genuine supplier/brand image</x:v>
      </x:c>
    </x:row>
    <x:row r="268">
      <x:c r="A268" t="str">
        <x:v>Conteh Sports</x:v>
      </x:c>
      <x:c r="B268" t="str">
        <x:v>Circulatory Complete</x:v>
      </x:c>
      <x:c r="C268" t="str">
        <x:v>Supplements</x:v>
      </x:c>
      <x:c r="D268" t="str">
        <x:v>Health Foods</x:v>
      </x:c>
      <x:c r="E268" t="str">
        <x:v>90 caps</x:v>
      </x:c>
      <x:c r="F268" t="n">
        <x:v>1</x:v>
      </x:c>
      <x:c r="G268" t="str">
        <x:v>https://www.activesportstrade.co.uk/conteh-sports-trade</x:v>
      </x:c>
      <x:c r="H268" t="str"/>
      <x:c r="I268" t="str">
        <x:v>Pending genuine supplier/brand image</x:v>
      </x:c>
    </x:row>
    <x:row r="269">
      <x:c r="A269" t="str">
        <x:v>Conteh Sports</x:v>
      </x:c>
      <x:c r="B269" t="str">
        <x:v>Flax Seed Oil</x:v>
      </x:c>
      <x:c r="C269" t="str">
        <x:v>Supplements</x:v>
      </x:c>
      <x:c r="D269" t="str">
        <x:v>Omega and EFA</x:v>
      </x:c>
      <x:c r="E269" t="str">
        <x:v>60 caps</x:v>
      </x:c>
      <x:c r="F269" t="n">
        <x:v>1</x:v>
      </x:c>
      <x:c r="G269" t="str">
        <x:v>https://www.activesportstrade.co.uk/conteh-sports-trade</x:v>
      </x:c>
      <x:c r="H269" t="str"/>
      <x:c r="I269" t="str">
        <x:v>Pending genuine supplier/brand image</x:v>
      </x:c>
    </x:row>
    <x:row r="270">
      <x:c r="A270" t="str">
        <x:v>Conteh Sports</x:v>
      </x:c>
      <x:c r="B270" t="str">
        <x:v>Glutathione Complete</x:v>
      </x:c>
      <x:c r="C270" t="str">
        <x:v>Supplements</x:v>
      </x:c>
      <x:c r="D270" t="str">
        <x:v>Health Foods</x:v>
      </x:c>
      <x:c r="E270" t="str">
        <x:v>90 caps</x:v>
      </x:c>
      <x:c r="F270" t="n">
        <x:v>1</x:v>
      </x:c>
      <x:c r="G270" t="str">
        <x:v>https://www.activesportstrade.co.uk/conteh-sports-trade</x:v>
      </x:c>
      <x:c r="H270" t="str"/>
      <x:c r="I270" t="str">
        <x:v>Pending genuine supplier/brand image</x:v>
      </x:c>
    </x:row>
    <x:row r="271">
      <x:c r="A271" t="str">
        <x:v>Conteh Sports</x:v>
      </x:c>
      <x:c r="B271" t="str">
        <x:v>Iron+</x:v>
      </x:c>
      <x:c r="C271" t="str">
        <x:v>Supplements</x:v>
      </x:c>
      <x:c r="D271" t="str">
        <x:v>Vitamins</x:v>
      </x:c>
      <x:c r="E271" t="str">
        <x:v>60 caps</x:v>
      </x:c>
      <x:c r="F271" t="n">
        <x:v>1</x:v>
      </x:c>
      <x:c r="G271" t="str">
        <x:v>https://www.activesportstrade.co.uk/conteh-sports-trade</x:v>
      </x:c>
      <x:c r="H271" t="str"/>
      <x:c r="I271" t="str">
        <x:v>Pending genuine supplier/brand image</x:v>
      </x:c>
    </x:row>
    <x:row r="272">
      <x:c r="A272" t="str">
        <x:v>Conteh Sports</x:v>
      </x:c>
      <x:c r="B272" t="str">
        <x:v>Joint Complete</x:v>
      </x:c>
      <x:c r="C272" t="str">
        <x:v>Supplements</x:v>
      </x:c>
      <x:c r="D272" t="str">
        <x:v>Joint Repair</x:v>
      </x:c>
      <x:c r="E272" t="str">
        <x:v>180 caps</x:v>
      </x:c>
      <x:c r="F272" t="n">
        <x:v>1</x:v>
      </x:c>
      <x:c r="G272" t="str">
        <x:v>https://www.activesportstrade.co.uk/conteh-sports-trade</x:v>
      </x:c>
      <x:c r="H272" t="str"/>
      <x:c r="I272" t="str">
        <x:v>Pending genuine supplier/brand image</x:v>
      </x:c>
    </x:row>
    <x:row r="273">
      <x:c r="A273" t="str">
        <x:v>Conteh Sports</x:v>
      </x:c>
      <x:c r="B273" t="str">
        <x:v>L-Glutamine</x:v>
      </x:c>
      <x:c r="C273" t="str">
        <x:v>Supplements</x:v>
      </x:c>
      <x:c r="D273" t="str">
        <x:v>L-Glutamine</x:v>
      </x:c>
      <x:c r="E273" t="str">
        <x:v>500g</x:v>
      </x:c>
      <x:c r="F273" t="n">
        <x:v>1</x:v>
      </x:c>
      <x:c r="G273" t="str">
        <x:v>https://www.activesportstrade.co.uk/conteh-sports-trade</x:v>
      </x:c>
      <x:c r="H273" t="str"/>
      <x:c r="I273" t="str">
        <x:v>Pending genuine supplier/brand image</x:v>
      </x:c>
    </x:row>
    <x:row r="274">
      <x:c r="A274" t="str">
        <x:v>Conteh Sports</x:v>
      </x:c>
      <x:c r="B274" t="str">
        <x:v>Magnesium</x:v>
      </x:c>
      <x:c r="C274" t="str">
        <x:v>Supplements</x:v>
      </x:c>
      <x:c r="D274" t="str">
        <x:v>Vitamins</x:v>
      </x:c>
      <x:c r="E274" t="str">
        <x:v>120 caps</x:v>
      </x:c>
      <x:c r="F274" t="n">
        <x:v>1</x:v>
      </x:c>
      <x:c r="G274" t="str">
        <x:v>https://www.activesportstrade.co.uk/conteh-sports-trade</x:v>
      </x:c>
      <x:c r="H274" t="str"/>
      <x:c r="I274" t="str">
        <x:v>Pending genuine supplier/brand image</x:v>
      </x:c>
    </x:row>
    <x:row r="275">
      <x:c r="A275" t="str">
        <x:v>Conteh Sports</x:v>
      </x:c>
      <x:c r="B275" t="str">
        <x:v>Multi-Vitamin and Mineral Complete</x:v>
      </x:c>
      <x:c r="C275" t="str">
        <x:v>Supplements</x:v>
      </x:c>
      <x:c r="D275" t="str">
        <x:v>Vitamins</x:v>
      </x:c>
      <x:c r="E275" t="str">
        <x:v>180 caps</x:v>
      </x:c>
      <x:c r="F275" t="n">
        <x:v>1</x:v>
      </x:c>
      <x:c r="G275" t="str">
        <x:v>https://www.activesportstrade.co.uk/conteh-sports-trade</x:v>
      </x:c>
      <x:c r="H275" t="str"/>
      <x:c r="I275" t="str">
        <x:v>Pending genuine supplier/brand image</x:v>
      </x:c>
    </x:row>
    <x:row r="276">
      <x:c r="A276" t="str">
        <x:v>Conteh Sports</x:v>
      </x:c>
      <x:c r="B276" t="str">
        <x:v>Myo &amp; D-Chiro Inositol</x:v>
      </x:c>
      <x:c r="C276" t="str">
        <x:v>Supplements</x:v>
      </x:c>
      <x:c r="D276" t="str">
        <x:v>Health Foods</x:v>
      </x:c>
      <x:c r="E276" t="str">
        <x:v>240 caps</x:v>
      </x:c>
      <x:c r="F276" t="n">
        <x:v>1</x:v>
      </x:c>
      <x:c r="G276" t="str">
        <x:v>https://www.activesportstrade.co.uk/conteh-sports-trade</x:v>
      </x:c>
      <x:c r="H276" t="str"/>
      <x:c r="I276" t="str">
        <x:v>Pending genuine supplier/brand image</x:v>
      </x:c>
    </x:row>
    <x:row r="277">
      <x:c r="A277" t="str">
        <x:v>Conteh Sports</x:v>
      </x:c>
      <x:c r="B277" t="str">
        <x:v>Nattokinase</x:v>
      </x:c>
      <x:c r="C277" t="str">
        <x:v>Supplements</x:v>
      </x:c>
      <x:c r="D277" t="str">
        <x:v>Health Foods</x:v>
      </x:c>
      <x:c r="E277" t="str">
        <x:v>60 caps</x:v>
      </x:c>
      <x:c r="F277" t="n">
        <x:v>1</x:v>
      </x:c>
      <x:c r="G277" t="str">
        <x:v>https://www.activesportstrade.co.uk/conteh-sports-trade</x:v>
      </x:c>
      <x:c r="H277" t="str"/>
      <x:c r="I277" t="str">
        <x:v>Pending genuine supplier/brand image</x:v>
      </x:c>
    </x:row>
    <x:row r="278">
      <x:c r="A278" t="str">
        <x:v>Conteh Sports</x:v>
      </x:c>
      <x:c r="B278" t="str">
        <x:v>Omega 3</x:v>
      </x:c>
      <x:c r="C278" t="str">
        <x:v>Supplements</x:v>
      </x:c>
      <x:c r="D278" t="str">
        <x:v>Omega and EFA</x:v>
      </x:c>
      <x:c r="E278" t="str">
        <x:v>90 gel caps</x:v>
      </x:c>
      <x:c r="F278" t="n">
        <x:v>1</x:v>
      </x:c>
      <x:c r="G278" t="str">
        <x:v>https://www.activesportstrade.co.uk/conteh-sports-trade</x:v>
      </x:c>
      <x:c r="H278" t="str"/>
      <x:c r="I278" t="str">
        <x:v>Pending genuine supplier/brand image</x:v>
      </x:c>
    </x:row>
    <x:row r="279">
      <x:c r="A279" t="str">
        <x:v>Conteh Sports</x:v>
      </x:c>
      <x:c r="B279" t="str">
        <x:v>Organ Defence</x:v>
      </x:c>
      <x:c r="C279" t="str">
        <x:v>Supplements</x:v>
      </x:c>
      <x:c r="D279" t="str">
        <x:v>OCS Supplements</x:v>
      </x:c>
      <x:c r="E279" t="str">
        <x:v>90 caps</x:v>
      </x:c>
      <x:c r="F279" t="n">
        <x:v>1</x:v>
      </x:c>
      <x:c r="G279" t="str">
        <x:v>https://www.activesportstrade.co.uk/conteh-sports-trade</x:v>
      </x:c>
      <x:c r="H279" t="str"/>
      <x:c r="I279" t="str">
        <x:v>Pending genuine supplier/brand image</x:v>
      </x:c>
    </x:row>
    <x:row r="280">
      <x:c r="A280" t="str">
        <x:v>Conteh Sports</x:v>
      </x:c>
      <x:c r="B280" t="str">
        <x:v>P-5-P - Pyridoxal-5-Phosphate</x:v>
      </x:c>
      <x:c r="C280" t="str">
        <x:v>Supplements</x:v>
      </x:c>
      <x:c r="D280" t="str">
        <x:v>Vitamins</x:v>
      </x:c>
      <x:c r="E280" t="str">
        <x:v>120 caps</x:v>
      </x:c>
      <x:c r="F280" t="n">
        <x:v>1</x:v>
      </x:c>
      <x:c r="G280" t="str">
        <x:v>https://www.activesportstrade.co.uk/conteh-sports-trade</x:v>
      </x:c>
      <x:c r="H280" t="str"/>
      <x:c r="I280" t="str">
        <x:v>Pending genuine supplier/brand image</x:v>
      </x:c>
    </x:row>
    <x:row r="281">
      <x:c r="A281" t="str">
        <x:v>Conteh Sports</x:v>
      </x:c>
      <x:c r="B281" t="str">
        <x:v>Pre Shred</x:v>
      </x:c>
      <x:c r="C281" t="str">
        <x:v>Supplements</x:v>
      </x:c>
      <x:c r="D281" t="str">
        <x:v>Fat Burners</x:v>
      </x:c>
      <x:c r="E281" t="str">
        <x:v>90 caps</x:v>
      </x:c>
      <x:c r="F281" t="n">
        <x:v>1</x:v>
      </x:c>
      <x:c r="G281" t="str">
        <x:v>https://www.activesportstrade.co.uk/conteh-sports-trade</x:v>
      </x:c>
      <x:c r="H281" t="str"/>
      <x:c r="I281" t="str">
        <x:v>Pending genuine supplier/brand image</x:v>
      </x:c>
    </x:row>
    <x:row r="282">
      <x:c r="A282" t="str">
        <x:v>Conteh Sports</x:v>
      </x:c>
      <x:c r="B282" t="str">
        <x:v>Uridine</x:v>
      </x:c>
      <x:c r="C282" t="str">
        <x:v>Supplements</x:v>
      </x:c>
      <x:c r="D282" t="str">
        <x:v>Health Foods</x:v>
      </x:c>
      <x:c r="E282" t="str">
        <x:v>60 caps</x:v>
      </x:c>
      <x:c r="F282" t="n">
        <x:v>1</x:v>
      </x:c>
      <x:c r="G282" t="str">
        <x:v>https://www.activesportstrade.co.uk/conteh-sports-trade</x:v>
      </x:c>
      <x:c r="H282" t="str"/>
      <x:c r="I282" t="str">
        <x:v>Pending genuine supplier/brand image</x:v>
      </x:c>
    </x:row>
    <x:row r="283">
      <x:c r="A283" t="str">
        <x:v>Conteh Sports</x:v>
      </x:c>
      <x:c r="B283" t="str">
        <x:v>Vitamin D3 + K2</x:v>
      </x:c>
      <x:c r="C283" t="str">
        <x:v>Supplements</x:v>
      </x:c>
      <x:c r="D283" t="str">
        <x:v>Vitamins</x:v>
      </x:c>
      <x:c r="E283" t="str">
        <x:v>120 caps</x:v>
      </x:c>
      <x:c r="F283" t="n">
        <x:v>1</x:v>
      </x:c>
      <x:c r="G283" t="str">
        <x:v>https://www.activesportstrade.co.uk/conteh-sports-trade</x:v>
      </x:c>
      <x:c r="H283" t="str"/>
      <x:c r="I283" t="str">
        <x:v>Pending genuine supplier/brand image</x:v>
      </x:c>
    </x:row>
    <x:row r="284">
      <x:c r="A284" t="str">
        <x:v>Conteh Sports</x:v>
      </x:c>
      <x:c r="B284" t="str">
        <x:v>ZMG</x:v>
      </x:c>
      <x:c r="C284" t="str">
        <x:v>Supplements</x:v>
      </x:c>
      <x:c r="D284" t="str">
        <x:v>Sleep Aids</x:v>
      </x:c>
      <x:c r="E284" t="str">
        <x:v>180 caps</x:v>
      </x:c>
      <x:c r="F284" t="n">
        <x:v>1</x:v>
      </x:c>
      <x:c r="G284" t="str">
        <x:v>https://www.activesportstrade.co.uk/conteh-sports-trade</x:v>
      </x:c>
      <x:c r="H284" t="str"/>
      <x:c r="I284" t="str">
        <x:v>Pending genuine supplier/brand image</x:v>
      </x:c>
    </x:row>
    <x:row r="285">
      <x:c r="A285" t="str">
        <x:v>Conteh Sports</x:v>
      </x:c>
      <x:c r="B285" t="str">
        <x:v>Carb Drive</x:v>
      </x:c>
      <x:c r="C285" t="str">
        <x:v>Supplements</x:v>
      </x:c>
      <x:c r="D285" t="str">
        <x:v>Intra Workout</x:v>
      </x:c>
      <x:c r="E285" t="str">
        <x:v>1.102kg</x:v>
      </x:c>
      <x:c r="F285" t="n">
        <x:v>2</x:v>
      </x:c>
      <x:c r="G285" t="str">
        <x:v>https://www.activesportstrade.co.uk/conteh-sports-trade</x:v>
      </x:c>
      <x:c r="H285" t="str"/>
      <x:c r="I285" t="str">
        <x:v>Pending genuine supplier/brand image</x:v>
      </x:c>
    </x:row>
    <x:row r="286">
      <x:c r="A286" t="str">
        <x:v>Conteh Sports</x:v>
      </x:c>
      <x:c r="B286" t="str">
        <x:v>Conviction Elite Ultra Potent Pre</x:v>
      </x:c>
      <x:c r="C286" t="str">
        <x:v>Pre Workouts</x:v>
      </x:c>
      <x:c r="D286" t="str">
        <x:v>High Stim</x:v>
      </x:c>
      <x:c r="E286" t="str">
        <x:v>375g</x:v>
      </x:c>
      <x:c r="F286" t="n">
        <x:v>6</x:v>
      </x:c>
      <x:c r="G286" t="str">
        <x:v>https://www.activesportstrade.co.uk/conteh-sports-trade</x:v>
      </x:c>
      <x:c r="H286" t="str"/>
      <x:c r="I286" t="str">
        <x:v>Pending genuine supplier/brand image</x:v>
      </x:c>
    </x:row>
    <x:row r="287">
      <x:c r="A287" t="str">
        <x:v>Conteh Sports</x:v>
      </x:c>
      <x:c r="B287" t="str">
        <x:v>Cream of Rice</x:v>
      </x:c>
      <x:c r="C287" t="str">
        <x:v>Supplements</x:v>
      </x:c>
      <x:c r="D287" t="str">
        <x:v>Carbohydrates</x:v>
      </x:c>
      <x:c r="E287" t="str">
        <x:v>2kg</x:v>
      </x:c>
      <x:c r="F287" t="n">
        <x:v>6</x:v>
      </x:c>
      <x:c r="G287" t="str">
        <x:v>https://www.activesportstrade.co.uk/conteh-sports-trade</x:v>
      </x:c>
      <x:c r="H287" t="str"/>
      <x:c r="I287" t="str">
        <x:v>Pending genuine supplier/brand image</x:v>
      </x:c>
    </x:row>
    <x:row r="288">
      <x:c r="A288" t="str">
        <x:v>Conteh Sports</x:v>
      </x:c>
      <x:c r="B288" t="str">
        <x:v>Creatine Monohydrate</x:v>
      </x:c>
      <x:c r="C288" t="str">
        <x:v>Supplements</x:v>
      </x:c>
      <x:c r="D288" t="str">
        <x:v>Creatine Powders</x:v>
      </x:c>
      <x:c r="E288" t="str">
        <x:v>400g, 1kg</x:v>
      </x:c>
      <x:c r="F288" t="n">
        <x:v>2</x:v>
      </x:c>
      <x:c r="G288" t="str">
        <x:v>https://www.activesportstrade.co.uk/conteh-sports-trade</x:v>
      </x:c>
      <x:c r="H288" t="str"/>
      <x:c r="I288" t="str">
        <x:v>Pending genuine supplier/brand image</x:v>
      </x:c>
    </x:row>
    <x:row r="289">
      <x:c r="A289" t="str">
        <x:v>Conteh Sports</x:v>
      </x:c>
      <x:c r="B289" t="str">
        <x:v>Elite Whey Protein</x:v>
      </x:c>
      <x:c r="C289" t="str">
        <x:v>Supplements</x:v>
      </x:c>
      <x:c r="D289" t="str">
        <x:v>Whey Protein</x:v>
      </x:c>
      <x:c r="E289" t="str">
        <x:v>1980g</x:v>
      </x:c>
      <x:c r="F289" t="n">
        <x:v>10</x:v>
      </x:c>
      <x:c r="G289" t="str">
        <x:v>https://www.activesportstrade.co.uk/conteh-sports-trade</x:v>
      </x:c>
      <x:c r="H289" t="str"/>
      <x:c r="I289" t="str">
        <x:v>Pending genuine supplier/brand image</x:v>
      </x:c>
    </x:row>
    <x:row r="290">
      <x:c r="A290" t="str">
        <x:v>Conteh Sports</x:v>
      </x:c>
      <x:c r="B290" t="str">
        <x:v>Essential Gains EAA Formula</x:v>
      </x:c>
      <x:c r="C290" t="str">
        <x:v>Supplements</x:v>
      </x:c>
      <x:c r="D290" t="str">
        <x:v>Amino Acids</x:v>
      </x:c>
      <x:c r="E290" t="str">
        <x:v>465g</x:v>
      </x:c>
      <x:c r="F290" t="n">
        <x:v>6</x:v>
      </x:c>
      <x:c r="G290" t="str">
        <x:v>https://www.activesportstrade.co.uk/conteh-sports-trade</x:v>
      </x:c>
      <x:c r="H290" t="str"/>
      <x:c r="I290" t="str">
        <x:v>Pending genuine supplier/brand image</x:v>
      </x:c>
    </x:row>
    <x:row r="291">
      <x:c r="A291" t="str">
        <x:v>Conteh Sports</x:v>
      </x:c>
      <x:c r="B291" t="str">
        <x:v>Hydra Flow</x:v>
      </x:c>
      <x:c r="C291" t="str">
        <x:v>Supplements</x:v>
      </x:c>
      <x:c r="D291" t="str">
        <x:v>Hydration</x:v>
      </x:c>
      <x:c r="E291" t="str">
        <x:v>300g</x:v>
      </x:c>
      <x:c r="F291" t="n">
        <x:v>18</x:v>
      </x:c>
      <x:c r="G291" t="str">
        <x:v>https://www.activesportstrade.co.uk/conteh-sports-trade</x:v>
      </x:c>
      <x:c r="H291" t="str"/>
      <x:c r="I291" t="str">
        <x:v>Pending genuine supplier/brand image</x:v>
      </x:c>
    </x:row>
    <x:row r="292">
      <x:c r="A292" t="str">
        <x:v>Conteh Sports</x:v>
      </x:c>
      <x:c r="B292" t="str">
        <x:v>Mega Pump Elite</x:v>
      </x:c>
      <x:c r="C292" t="str">
        <x:v>Pre Workouts</x:v>
      </x:c>
      <x:c r="D292" t="str">
        <x:v>Stim FREE</x:v>
      </x:c>
      <x:c r="E292" t="str">
        <x:v>390g</x:v>
      </x:c>
      <x:c r="F292" t="n">
        <x:v>5</x:v>
      </x:c>
      <x:c r="G292" t="str">
        <x:v>https://www.activesportstrade.co.uk/conteh-sports-trade</x:v>
      </x:c>
      <x:c r="H292" t="str"/>
      <x:c r="I292" t="str">
        <x:v>Pending genuine supplier/brand image</x:v>
      </x:c>
    </x:row>
    <x:row r="293">
      <x:c r="A293" t="str">
        <x:v>Conteh Sports</x:v>
      </x:c>
      <x:c r="B293" t="str">
        <x:v>Supreme Sleep</x:v>
      </x:c>
      <x:c r="C293" t="str">
        <x:v>Supplements</x:v>
      </x:c>
      <x:c r="D293" t="str">
        <x:v>Sleep Aids</x:v>
      </x:c>
      <x:c r="E293" t="str">
        <x:v>30 servings</x:v>
      </x:c>
      <x:c r="F293" t="n">
        <x:v>2</x:v>
      </x:c>
      <x:c r="G293" t="str">
        <x:v>https://www.activesportstrade.co.uk/conteh-sports-trade</x:v>
      </x:c>
      <x:c r="H293" t="str"/>
      <x:c r="I293" t="str">
        <x:v>Pending genuine supplier/brand image</x:v>
      </x:c>
    </x:row>
    <x:row r="294">
      <x:c r="A294" t="str">
        <x:v>Conteh Sports</x:v>
      </x:c>
      <x:c r="B294" t="str">
        <x:v>The PUMP</x:v>
      </x:c>
      <x:c r="C294" t="str">
        <x:v>Pre Workouts</x:v>
      </x:c>
      <x:c r="D294" t="str">
        <x:v>Stim FREE</x:v>
      </x:c>
      <x:c r="E294" t="str">
        <x:v>30 servings</x:v>
      </x:c>
      <x:c r="F294" t="n">
        <x:v>3</x:v>
      </x:c>
      <x:c r="G294" t="str">
        <x:v>https://www.activesportstrade.co.uk/conteh-sports-trade</x:v>
      </x:c>
      <x:c r="H294" t="str"/>
      <x:c r="I294" t="str">
        <x:v>Pending genuine supplier/brand image</x:v>
      </x:c>
    </x:row>
    <x:row r="295">
      <x:c r="A295" t="str">
        <x:v>Conteh Sports</x:v>
      </x:c>
      <x:c r="B295" t="str">
        <x:v>The Stim</x:v>
      </x:c>
      <x:c r="C295" t="str">
        <x:v>Pre Workouts</x:v>
      </x:c>
      <x:c r="D295" t="str">
        <x:v>High Stim</x:v>
      </x:c>
      <x:c r="E295" t="str">
        <x:v>30 servings</x:v>
      </x:c>
      <x:c r="F295" t="n">
        <x:v>3</x:v>
      </x:c>
      <x:c r="G295" t="str">
        <x:v>https://www.activesportstrade.co.uk/conteh-sports-trade</x:v>
      </x:c>
      <x:c r="H295" t="str"/>
      <x:c r="I295" t="str">
        <x:v>Pending genuine supplier/brand image</x:v>
      </x:c>
    </x:row>
    <x:row r="296">
      <x:c r="A296" t="str">
        <x:v>DNA Sports</x:v>
      </x:c>
      <x:c r="B296" t="str">
        <x:v>Ashwagandha KSM-66</x:v>
      </x:c>
      <x:c r="C296" t="str">
        <x:v>Supplements</x:v>
      </x:c>
      <x:c r="D296" t="str">
        <x:v>Health Foods</x:v>
      </x:c>
      <x:c r="E296" t="str">
        <x:v>60 caps</x:v>
      </x:c>
      <x:c r="F296" t="n">
        <x:v>1</x:v>
      </x:c>
      <x:c r="G296" t="str">
        <x:v>https://www.activesportstrade.co.uk/dna-sports-trade</x:v>
      </x:c>
      <x:c r="H296" t="str"/>
      <x:c r="I296" t="str">
        <x:v>Pending genuine supplier/brand image</x:v>
      </x:c>
    </x:row>
    <x:row r="297">
      <x:c r="A297" t="str">
        <x:v>DNA Sports</x:v>
      </x:c>
      <x:c r="B297" t="str">
        <x:v>Beta Alanine</x:v>
      </x:c>
      <x:c r="C297" t="str">
        <x:v>Supplements</x:v>
      </x:c>
      <x:c r="D297" t="str">
        <x:v>Amino Acids</x:v>
      </x:c>
      <x:c r="E297" t="str">
        <x:v>192g</x:v>
      </x:c>
      <x:c r="F297" t="n">
        <x:v>1</x:v>
      </x:c>
      <x:c r="G297" t="str">
        <x:v>https://www.activesportstrade.co.uk/dna-sports-trade</x:v>
      </x:c>
      <x:c r="H297" t="str"/>
      <x:c r="I297" t="str">
        <x:v>Pending genuine supplier/brand image</x:v>
      </x:c>
    </x:row>
    <x:row r="298">
      <x:c r="A298" t="str">
        <x:v>DNA Sports</x:v>
      </x:c>
      <x:c r="B298" t="str">
        <x:v>Carb1</x:v>
      </x:c>
      <x:c r="C298" t="str">
        <x:v>Supplements</x:v>
      </x:c>
      <x:c r="D298" t="str">
        <x:v>Carbohydrates</x:v>
      </x:c>
      <x:c r="E298" t="str">
        <x:v>1kg / 40 servings</x:v>
      </x:c>
      <x:c r="F298" t="n">
        <x:v>4</x:v>
      </x:c>
      <x:c r="G298" t="str">
        <x:v>https://www.activesportstrade.co.uk/dna-sports-trade</x:v>
      </x:c>
      <x:c r="H298" t="str"/>
      <x:c r="I298" t="str">
        <x:v>Pending genuine supplier/brand image</x:v>
      </x:c>
    </x:row>
    <x:row r="299">
      <x:c r="A299" t="str">
        <x:v>DNA Sports</x:v>
      </x:c>
      <x:c r="B299" t="str">
        <x:v>Cistanche with BioPerine</x:v>
      </x:c>
      <x:c r="C299" t="str">
        <x:v>Supplements</x:v>
      </x:c>
      <x:c r="D299" t="str">
        <x:v>Testosterone Boosters</x:v>
      </x:c>
      <x:c r="E299" t="str">
        <x:v>60 caps</x:v>
      </x:c>
      <x:c r="F299" t="n">
        <x:v>1</x:v>
      </x:c>
      <x:c r="G299" t="str">
        <x:v>https://www.activesportstrade.co.uk/dna-sports-trade</x:v>
      </x:c>
      <x:c r="H299" t="str"/>
      <x:c r="I299" t="str">
        <x:v>Pending genuine supplier/brand image</x:v>
      </x:c>
    </x:row>
    <x:row r="300">
      <x:c r="A300" t="str">
        <x:v>DNA Sports</x:v>
      </x:c>
      <x:c r="B300" t="str">
        <x:v>Cream of Rice</x:v>
      </x:c>
      <x:c r="C300" t="str">
        <x:v>Supplements</x:v>
      </x:c>
      <x:c r="D300" t="str">
        <x:v>Carbohydrates</x:v>
      </x:c>
      <x:c r="E300" t="str">
        <x:v>2kg</x:v>
      </x:c>
      <x:c r="F300" t="n">
        <x:v>6</x:v>
      </x:c>
      <x:c r="G300" t="str">
        <x:v>https://www.activesportstrade.co.uk/dna-sports-trade</x:v>
      </x:c>
      <x:c r="H300" t="str"/>
      <x:c r="I300" t="str">
        <x:v>Pending genuine supplier/brand image</x:v>
      </x:c>
    </x:row>
    <x:row r="301">
      <x:c r="A301" t="str">
        <x:v>DNA Sports</x:v>
      </x:c>
      <x:c r="B301" t="str">
        <x:v>Creatine Monohydrate</x:v>
      </x:c>
      <x:c r="C301" t="str">
        <x:v>Supplements</x:v>
      </x:c>
      <x:c r="D301" t="str">
        <x:v>Creatine Powders</x:v>
      </x:c>
      <x:c r="E301" t="str">
        <x:v>150g, 300g, 1kg</x:v>
      </x:c>
      <x:c r="F301" t="n">
        <x:v>3</x:v>
      </x:c>
      <x:c r="G301" t="str">
        <x:v>https://www.activesportstrade.co.uk/dna-sports-trade</x:v>
      </x:c>
      <x:c r="H301" t="str"/>
      <x:c r="I301" t="str">
        <x:v>Pending genuine supplier/brand image</x:v>
      </x:c>
    </x:row>
    <x:row r="302">
      <x:c r="A302" t="str">
        <x:v>DNA Sports</x:v>
      </x:c>
      <x:c r="B302" t="str">
        <x:v>Glutamine</x:v>
      </x:c>
      <x:c r="C302" t="str">
        <x:v>Supplements</x:v>
      </x:c>
      <x:c r="D302" t="str">
        <x:v>L-Glutamine</x:v>
      </x:c>
      <x:c r="E302" t="str">
        <x:v>300g</x:v>
      </x:c>
      <x:c r="F302" t="n">
        <x:v>1</x:v>
      </x:c>
      <x:c r="G302" t="str">
        <x:v>https://www.activesportstrade.co.uk/dna-sports-trade</x:v>
      </x:c>
      <x:c r="H302" t="str"/>
      <x:c r="I302" t="str">
        <x:v>Pending genuine supplier/brand image</x:v>
      </x:c>
    </x:row>
    <x:row r="303">
      <x:c r="A303" t="str">
        <x:v>DNA Sports</x:v>
      </x:c>
      <x:c r="B303" t="str">
        <x:v>H8 Pre Workout V3</x:v>
      </x:c>
      <x:c r="C303" t="str">
        <x:v>Pre Workouts</x:v>
      </x:c>
      <x:c r="D303" t="str">
        <x:v>High Stim</x:v>
      </x:c>
      <x:c r="E303" t="str">
        <x:v>25 servings</x:v>
      </x:c>
      <x:c r="F303" t="n">
        <x:v>4</x:v>
      </x:c>
      <x:c r="G303" t="str">
        <x:v>https://www.activesportstrade.co.uk/dna-sports-trade</x:v>
      </x:c>
      <x:c r="H303" t="str"/>
      <x:c r="I303" t="str">
        <x:v>Pending genuine supplier/brand image</x:v>
      </x:c>
    </x:row>
    <x:row r="304">
      <x:c r="A304" t="str">
        <x:v>DNA Sports</x:v>
      </x:c>
      <x:c r="B304" t="str">
        <x:v>Hydra 1</x:v>
      </x:c>
      <x:c r="C304" t="str">
        <x:v>Supplements</x:v>
      </x:c>
      <x:c r="D304" t="str">
        <x:v>Hydration</x:v>
      </x:c>
      <x:c r="E304" t="str">
        <x:v>30 servings</x:v>
      </x:c>
      <x:c r="F304" t="n">
        <x:v>6</x:v>
      </x:c>
      <x:c r="G304" t="str">
        <x:v>https://www.activesportstrade.co.uk/dna-sports-trade</x:v>
      </x:c>
      <x:c r="H304" t="str"/>
      <x:c r="I304" t="str">
        <x:v>Pending genuine supplier/brand image</x:v>
      </x:c>
    </x:row>
    <x:row r="305">
      <x:c r="A305" t="str">
        <x:v>DNA Sports</x:v>
      </x:c>
      <x:c r="B305" t="str">
        <x:v>MagPak</x:v>
      </x:c>
      <x:c r="C305" t="str">
        <x:v>Supplements</x:v>
      </x:c>
      <x:c r="D305" t="str">
        <x:v>Vitamins</x:v>
      </x:c>
      <x:c r="E305" t="str">
        <x:v>120 caps</x:v>
      </x:c>
      <x:c r="F305" t="n">
        <x:v>1</x:v>
      </x:c>
      <x:c r="G305" t="str">
        <x:v>https://www.activesportstrade.co.uk/dna-sports-trade</x:v>
      </x:c>
      <x:c r="H305" t="str"/>
      <x:c r="I305" t="str">
        <x:v>Pending genuine supplier/brand image</x:v>
      </x:c>
    </x:row>
    <x:row r="306">
      <x:c r="A306" t="str">
        <x:v>DNA Sports</x:v>
      </x:c>
      <x:c r="B306" t="str">
        <x:v>MAN UP</x:v>
      </x:c>
      <x:c r="C306" t="str">
        <x:v>Supplements</x:v>
      </x:c>
      <x:c r="D306" t="str">
        <x:v>Testosterone Boosters</x:v>
      </x:c>
      <x:c r="E306" t="str">
        <x:v>120 caps</x:v>
      </x:c>
      <x:c r="F306" t="n">
        <x:v>1</x:v>
      </x:c>
      <x:c r="G306" t="str">
        <x:v>https://www.activesportstrade.co.uk/dna-sports-trade</x:v>
      </x:c>
      <x:c r="H306" t="str"/>
      <x:c r="I306" t="str">
        <x:v>Pending genuine supplier/brand image</x:v>
      </x:c>
    </x:row>
    <x:row r="307">
      <x:c r="A307" t="str">
        <x:v>DNA Sports</x:v>
      </x:c>
      <x:c r="B307" t="str">
        <x:v>OG Swell</x:v>
      </x:c>
      <x:c r="C307" t="str">
        <x:v>Supplements</x:v>
      </x:c>
      <x:c r="D307" t="str">
        <x:v>Intra Workout</x:v>
      </x:c>
      <x:c r="E307" t="str">
        <x:v>30 servings</x:v>
      </x:c>
      <x:c r="F307" t="n">
        <x:v>1</x:v>
      </x:c>
      <x:c r="G307" t="str">
        <x:v>https://www.activesportstrade.co.uk/dna-sports-trade</x:v>
      </x:c>
      <x:c r="H307" t="str"/>
      <x:c r="I307" t="str">
        <x:v>Pending genuine supplier/brand image</x:v>
      </x:c>
    </x:row>
    <x:row r="308">
      <x:c r="A308" t="str">
        <x:v>DNA Sports</x:v>
      </x:c>
      <x:c r="B308" t="str">
        <x:v>Shilajit</x:v>
      </x:c>
      <x:c r="C308" t="str">
        <x:v>Supplements</x:v>
      </x:c>
      <x:c r="D308" t="str">
        <x:v>Health Foods</x:v>
      </x:c>
      <x:c r="E308" t="str">
        <x:v>60 caps</x:v>
      </x:c>
      <x:c r="F308" t="n">
        <x:v>1</x:v>
      </x:c>
      <x:c r="G308" t="str">
        <x:v>https://www.activesportstrade.co.uk/dna-sports-trade</x:v>
      </x:c>
      <x:c r="H308" t="str"/>
      <x:c r="I308" t="str">
        <x:v>Pending genuine supplier/brand image</x:v>
      </x:c>
    </x:row>
    <x:row r="309">
      <x:c r="A309" t="str">
        <x:v>DNA Sports</x:v>
      </x:c>
      <x:c r="B309" t="str">
        <x:v>Super Nova</x:v>
      </x:c>
      <x:c r="C309" t="str">
        <x:v>Supplements</x:v>
      </x:c>
      <x:c r="D309" t="str">
        <x:v>Fat Burners</x:v>
      </x:c>
      <x:c r="E309" t="str">
        <x:v>60 caps</x:v>
      </x:c>
      <x:c r="F309" t="n">
        <x:v>1</x:v>
      </x:c>
      <x:c r="G309" t="str">
        <x:v>https://www.activesportstrade.co.uk/dna-sports-trade</x:v>
      </x:c>
      <x:c r="H309" t="str"/>
      <x:c r="I309" t="str">
        <x:v>Pending genuine supplier/brand image</x:v>
      </x:c>
    </x:row>
    <x:row r="310">
      <x:c r="A310" t="str">
        <x:v>DNA Sports</x:v>
      </x:c>
      <x:c r="B310" t="str">
        <x:v>Thank Pump For That</x:v>
      </x:c>
      <x:c r="C310" t="str">
        <x:v>Pre Workouts</x:v>
      </x:c>
      <x:c r="D310" t="str">
        <x:v>Stim FREE</x:v>
      </x:c>
      <x:c r="E310" t="str">
        <x:v>475g</x:v>
      </x:c>
      <x:c r="F310" t="n">
        <x:v>3</x:v>
      </x:c>
      <x:c r="G310" t="str">
        <x:v>https://www.activesportstrade.co.uk/dna-sports-trade</x:v>
      </x:c>
      <x:c r="H310" t="str"/>
      <x:c r="I310" t="str">
        <x:v>Pending genuine supplier/brand image</x:v>
      </x:c>
    </x:row>
    <x:row r="311">
      <x:c r="A311" t="str">
        <x:v>DNA Sports</x:v>
      </x:c>
      <x:c r="B311" t="str">
        <x:v>VIBE Pre Workout</x:v>
      </x:c>
      <x:c r="C311" t="str">
        <x:v>Pre Workouts</x:v>
      </x:c>
      <x:c r="D311" t="str">
        <x:v>High Stim</x:v>
      </x:c>
      <x:c r="E311" t="str">
        <x:v>30 servings</x:v>
      </x:c>
      <x:c r="F311" t="n">
        <x:v>8</x:v>
      </x:c>
      <x:c r="G311" t="str">
        <x:v>https://www.activesportstrade.co.uk/dna-sports-trade</x:v>
      </x:c>
      <x:c r="H311" t="str"/>
      <x:c r="I311" t="str">
        <x:v>Pending genuine supplier/brand image</x:v>
      </x:c>
    </x:row>
    <x:row r="312">
      <x:c r="A312" t="str">
        <x:v>DNA Sports</x:v>
      </x:c>
      <x:c r="B312" t="str">
        <x:v>Whey Protein</x:v>
      </x:c>
      <x:c r="C312" t="str">
        <x:v>Supplements</x:v>
      </x:c>
      <x:c r="D312" t="str">
        <x:v>Whey Protein</x:v>
      </x:c>
      <x:c r="E312" t="str">
        <x:v>2kg</x:v>
      </x:c>
      <x:c r="F312" t="n">
        <x:v>7</x:v>
      </x:c>
      <x:c r="G312" t="str">
        <x:v>https://www.activesportstrade.co.uk/dna-sports-trade</x:v>
      </x:c>
      <x:c r="H312" t="str"/>
      <x:c r="I312" t="str">
        <x:v>Pending genuine supplier/brand image</x:v>
      </x:c>
    </x:row>
    <x:row r="313">
      <x:c r="A313" t="str">
        <x:v>Dorian Yates - DY Nutrition - Shadow Line</x:v>
      </x:c>
      <x:c r="B313" t="str">
        <x:v>#M6TEEN Explosive Pre Workout Shots</x:v>
      </x:c>
      <x:c r="C313" t="str">
        <x:v>Pre Workouts</x:v>
      </x:c>
      <x:c r="D313" t="str">
        <x:v>Shots and Ready To Drink</x:v>
      </x:c>
      <x:c r="E313" t="str">
        <x:v>12 x 60ml bottles</x:v>
      </x:c>
      <x:c r="F313" t="n">
        <x:v>1</x:v>
      </x:c>
      <x:c r="G313" t="str">
        <x:v>https://www.activesportstrade.co.uk/dorian-yates-dy-nutrition-trade</x:v>
      </x:c>
      <x:c r="H313" t="str"/>
      <x:c r="I313" t="str">
        <x:v>Pending genuine supplier/brand image</x:v>
      </x:c>
    </x:row>
    <x:row r="314">
      <x:c r="A314" t="str">
        <x:v>Dorian Yates - DY Nutrition - Shadow Line</x:v>
      </x:c>
      <x:c r="B314" t="str">
        <x:v>Vitamin C Plus</x:v>
      </x:c>
      <x:c r="C314" t="str">
        <x:v>Supplements</x:v>
      </x:c>
      <x:c r="D314" t="str">
        <x:v>Vitamins</x:v>
      </x:c>
      <x:c r="E314" t="str">
        <x:v>60 tabs</x:v>
      </x:c>
      <x:c r="F314" t="n">
        <x:v>1</x:v>
      </x:c>
      <x:c r="G314" t="str">
        <x:v>https://www.activesportstrade.co.uk/dorian-yates-dy-nutrition-trade</x:v>
      </x:c>
      <x:c r="H314" t="str"/>
      <x:c r="I314" t="str">
        <x:v>Pending genuine supplier/brand image</x:v>
      </x:c>
    </x:row>
    <x:row r="315">
      <x:c r="A315" t="str">
        <x:v>Dorian Yates - DY Nutrition - Shadow Line</x:v>
      </x:c>
      <x:c r="B315" t="str">
        <x:v>Whey Complex Tempro</x:v>
      </x:c>
      <x:c r="C315" t="str">
        <x:v>Supplements</x:v>
      </x:c>
      <x:c r="D315" t="str">
        <x:v>Protein Blends</x:v>
      </x:c>
      <x:c r="E315" t="str">
        <x:v>2.27kg</x:v>
      </x:c>
      <x:c r="F315" t="n">
        <x:v>7</x:v>
      </x:c>
      <x:c r="G315" t="str">
        <x:v>https://www.activesportstrade.co.uk/dorian-yates-dy-nutrition-trade</x:v>
      </x:c>
      <x:c r="H315" t="str"/>
      <x:c r="I315" t="str">
        <x:v>Pending genuine supplier/brand image</x:v>
      </x:c>
    </x:row>
    <x:row r="316">
      <x:c r="A316" t="str">
        <x:v>Dorian Yates - DY Nutrition - Shadow Line</x:v>
      </x:c>
      <x:c r="B316" t="str">
        <x:v>Yates Whey Protein Bar</x:v>
      </x:c>
      <x:c r="C316" t="str">
        <x:v>Drinks and Bars</x:v>
      </x:c>
      <x:c r="D316" t="str">
        <x:v>Bars and Snacks</x:v>
      </x:c>
      <x:c r="E316" t="str">
        <x:v>12 bars</x:v>
      </x:c>
      <x:c r="F316" t="n">
        <x:v>5</x:v>
      </x:c>
      <x:c r="G316" t="str">
        <x:v>https://www.activesportstrade.co.uk/dorian-yates-dy-nutrition-trade</x:v>
      </x:c>
      <x:c r="H316" t="str"/>
      <x:c r="I316" t="str">
        <x:v>Pending genuine supplier/brand image</x:v>
      </x:c>
    </x:row>
    <x:row r="317">
      <x:c r="A317" t="str">
        <x:v>Dorian Yates - DY Nutrition - Shadow Line</x:v>
      </x:c>
      <x:c r="B317" t="str">
        <x:v>ZN MG B6 Complex</x:v>
      </x:c>
      <x:c r="C317" t="str">
        <x:v>Supplements</x:v>
      </x:c>
      <x:c r="D317" t="str">
        <x:v>Sleep Aids</x:v>
      </x:c>
      <x:c r="E317" t="str">
        <x:v>60 caps</x:v>
      </x:c>
      <x:c r="F317" t="n">
        <x:v>1</x:v>
      </x:c>
      <x:c r="G317" t="str">
        <x:v>https://www.activesportstrade.co.uk/dorian-yates-dy-nutrition-trade</x:v>
      </x:c>
      <x:c r="H317" t="str"/>
      <x:c r="I317" t="str">
        <x:v>Pending genuine supplier/brand image</x:v>
      </x:c>
    </x:row>
    <x:row r="318">
      <x:c r="A318" t="str">
        <x:v>Dorian Yates - DY Nutrition - Shadow Line</x:v>
      </x:c>
      <x:c r="B318" t="str">
        <x:v>Shadow Whey Hydrolysate</x:v>
      </x:c>
      <x:c r="C318" t="str">
        <x:v>Supplements</x:v>
      </x:c>
      <x:c r="D318" t="str">
        <x:v>Whey Protein</x:v>
      </x:c>
      <x:c r="E318" t="str">
        <x:v>2.27kg</x:v>
      </x:c>
      <x:c r="F318" t="n">
        <x:v>4</x:v>
      </x:c>
      <x:c r="G318" t="str">
        <x:v>https://www.activesportstrade.co.uk/Whey-Protein-Supplements-Trade/dorian-yates-dy-nutrition-trade</x:v>
      </x:c>
      <x:c r="H318" t="str"/>
      <x:c r="I318" t="str">
        <x:v>Pending genuine supplier/brand image</x:v>
      </x:c>
    </x:row>
    <x:row r="319">
      <x:c r="A319" t="str">
        <x:v>Dorian Yates - DY Nutrition - Shadow Line</x:v>
      </x:c>
      <x:c r="B319" t="str">
        <x:v>Shadowhey Isolate</x:v>
      </x:c>
      <x:c r="C319" t="str">
        <x:v>Supplements</x:v>
      </x:c>
      <x:c r="D319" t="str">
        <x:v>Whey Protein</x:v>
      </x:c>
      <x:c r="E319" t="str">
        <x:v>2kg</x:v>
      </x:c>
      <x:c r="F319" t="n">
        <x:v>7</x:v>
      </x:c>
      <x:c r="G319" t="str">
        <x:v>https://www.activesportstrade.co.uk/Whey-Protein-Supplements-Trade/dorian-yates-dy-nutrition-trade</x:v>
      </x:c>
      <x:c r="H319" t="str"/>
      <x:c r="I319" t="str">
        <x:v>Pending genuine supplier/brand image</x:v>
      </x:c>
    </x:row>
    <x:row r="320">
      <x:c r="A320" t="str">
        <x:v>Dorian Yates - DY Nutrition - Shadow Line</x:v>
      </x:c>
      <x:c r="B320" t="str">
        <x:v>Shadowhey</x:v>
      </x:c>
      <x:c r="C320" t="str">
        <x:v>Supplements</x:v>
      </x:c>
      <x:c r="D320" t="str">
        <x:v>Whey Protein</x:v>
      </x:c>
      <x:c r="E320" t="str">
        <x:v>2kg</x:v>
      </x:c>
      <x:c r="F320" t="n">
        <x:v>9</x:v>
      </x:c>
      <x:c r="G320" t="str">
        <x:v>https://www.activesportstrade.co.uk/Whey-Protein-Supplements-Trade/dorian-yates-dy-nutrition-trade</x:v>
      </x:c>
      <x:c r="H320" t="str"/>
      <x:c r="I320" t="str">
        <x:v>Pending genuine supplier/brand image</x:v>
      </x:c>
    </x:row>
    <x:row r="321">
      <x:c r="A321" t="str">
        <x:v>Dorian Yates - DY Nutrition - Shadow Line</x:v>
      </x:c>
      <x:c r="B321" t="str">
        <x:v>The Glutamine</x:v>
      </x:c>
      <x:c r="C321" t="str">
        <x:v>Supplements</x:v>
      </x:c>
      <x:c r="D321" t="str">
        <x:v>L-Glutamine</x:v>
      </x:c>
      <x:c r="E321" t="str">
        <x:v>300g</x:v>
      </x:c>
      <x:c r="F321" t="n">
        <x:v>1</x:v>
      </x:c>
      <x:c r="G321" t="str">
        <x:v>https://www.activesportstrade.co.uk/L-Glutamine%20Supplements/dorian-yates-dy-nutrition-trade</x:v>
      </x:c>
      <x:c r="H321" t="str"/>
      <x:c r="I321" t="str">
        <x:v>Pending genuine supplier/brand image</x:v>
      </x:c>
    </x:row>
    <x:row r="322">
      <x:c r="A322" t="str">
        <x:v>Dorian Yates - DY Nutrition - Shadow Line</x:v>
      </x:c>
      <x:c r="B322" t="str">
        <x:v>Black Bombs</x:v>
      </x:c>
      <x:c r="C322" t="str">
        <x:v>Supplements</x:v>
      </x:c>
      <x:c r="D322" t="str">
        <x:v>Fat Burners</x:v>
      </x:c>
      <x:c r="E322" t="str">
        <x:v>60 tabs</x:v>
      </x:c>
      <x:c r="F322" t="n">
        <x:v>1</x:v>
      </x:c>
      <x:c r="G322" t="str">
        <x:v>https://www.activesportstrade.co.uk/Diet-Weight-Loss/dorian-yates-dy-nutrition-trade</x:v>
      </x:c>
      <x:c r="H322" t="str"/>
      <x:c r="I322" t="str">
        <x:v>Pending genuine supplier/brand image</x:v>
      </x:c>
    </x:row>
    <x:row r="323">
      <x:c r="A323" t="str">
        <x:v>Dorian Yates - DY Nutrition - Shadow Line</x:v>
      </x:c>
      <x:c r="B323" t="str">
        <x:v>Liquid L-Carnitine L-Tartrate Shots</x:v>
      </x:c>
      <x:c r="C323" t="str">
        <x:v>Supplements</x:v>
      </x:c>
      <x:c r="D323" t="str">
        <x:v>L-Carnitine</x:v>
      </x:c>
      <x:c r="E323" t="str">
        <x:v>20 x 25ml shots</x:v>
      </x:c>
      <x:c r="F323" t="n">
        <x:v>2</x:v>
      </x:c>
      <x:c r="G323" t="str">
        <x:v>https://www.activesportstrade.co.uk/Diet-Weight-Loss/dorian-yates-dy-nutrition-trade</x:v>
      </x:c>
      <x:c r="H323" t="str"/>
      <x:c r="I323" t="str">
        <x:v>Pending genuine supplier/brand image</x:v>
      </x:c>
    </x:row>
    <x:row r="324">
      <x:c r="A324" t="str">
        <x:v>Dorian Yates - DY Nutrition - Shadow Line</x:v>
      </x:c>
      <x:c r="B324" t="str">
        <x:v>Slender</x:v>
      </x:c>
      <x:c r="C324" t="str">
        <x:v>Supplements</x:v>
      </x:c>
      <x:c r="D324" t="str">
        <x:v>Fat Burners</x:v>
      </x:c>
      <x:c r="E324" t="str">
        <x:v>450g</x:v>
      </x:c>
      <x:c r="F324" t="n">
        <x:v>2</x:v>
      </x:c>
      <x:c r="G324" t="str">
        <x:v>https://www.activesportstrade.co.uk/Diet-Weight-Loss/dorian-yates-dy-nutrition-trade</x:v>
      </x:c>
      <x:c r="H324" t="str"/>
      <x:c r="I324" t="str">
        <x:v>Pending genuine supplier/brand image</x:v>
      </x:c>
    </x:row>
    <x:row r="325">
      <x:c r="A325" t="str">
        <x:v>Dorian Yates - DY Nutrition - Shadow Line</x:v>
      </x:c>
      <x:c r="B325" t="str">
        <x:v>Blood and Guts</x:v>
      </x:c>
      <x:c r="C325" t="str">
        <x:v>Pre Workouts</x:v>
      </x:c>
      <x:c r="D325" t="str">
        <x:v>High Stim</x:v>
      </x:c>
      <x:c r="E325" t="str">
        <x:v>380g</x:v>
      </x:c>
      <x:c r="F325" t="n">
        <x:v>8</x:v>
      </x:c>
      <x:c r="G325" t="str">
        <x:v>https://www.activesportstrade.co.uk/pre-workouts-powder-trade/dorian-yates-dy-nutrition-trade</x:v>
      </x:c>
      <x:c r="H325" t="str"/>
      <x:c r="I325" t="str">
        <x:v>Pending genuine supplier/brand image</x:v>
      </x:c>
    </x:row>
    <x:row r="326">
      <x:c r="A326" t="str">
        <x:v>Dorian Yates - DY Nutrition - Shadow Line</x:v>
      </x:c>
      <x:c r="B326" t="str">
        <x:v>NOX Pump Ultimate</x:v>
      </x:c>
      <x:c r="C326" t="str">
        <x:v>Pre Workouts</x:v>
      </x:c>
      <x:c r="D326" t="str">
        <x:v>High Stim</x:v>
      </x:c>
      <x:c r="E326" t="str">
        <x:v>400g</x:v>
      </x:c>
      <x:c r="F326" t="n">
        <x:v>6</x:v>
      </x:c>
      <x:c r="G326" t="str">
        <x:v>https://www.activesportstrade.co.uk/pre-workouts-powder-trade/dorian-yates-dy-nutrition-trade</x:v>
      </x:c>
      <x:c r="H326" t="str"/>
      <x:c r="I326" t="str">
        <x:v>Pending genuine supplier/brand image</x:v>
      </x:c>
    </x:row>
    <x:row r="327">
      <x:c r="A327" t="str">
        <x:v>Dorian Yates - DY Nutrition - Shadow Line</x:v>
      </x:c>
      <x:c r="B327" t="str">
        <x:v>TestoBoost</x:v>
      </x:c>
      <x:c r="C327" t="str">
        <x:v>Supplements</x:v>
      </x:c>
      <x:c r="D327" t="str">
        <x:v>Testosterone Boosters</x:v>
      </x:c>
      <x:c r="E327" t="str">
        <x:v>30 servings</x:v>
      </x:c>
      <x:c r="F327" t="n">
        <x:v>1</x:v>
      </x:c>
      <x:c r="G327" t="str">
        <x:v>https://www.activesportstrade.co.uk/testosterone-boosters-trade/dorian-yates-dy-nutrition-trade</x:v>
      </x:c>
      <x:c r="H327" t="str"/>
      <x:c r="I327" t="str">
        <x:v>Pending genuine supplier/brand image</x:v>
      </x:c>
    </x:row>
    <x:row r="328">
      <x:c r="A328" t="str">
        <x:v>Efectiv Sports Nutrition</x:v>
      </x:c>
      <x:c r="B328" t="str">
        <x:v>Alpha Male Support</x:v>
      </x:c>
      <x:c r="C328" t="str">
        <x:v>Supplements</x:v>
      </x:c>
      <x:c r="D328" t="str">
        <x:v>Testosterone Boosters</x:v>
      </x:c>
      <x:c r="E328" t="str">
        <x:v>120 caps</x:v>
      </x:c>
      <x:c r="F328" t="n">
        <x:v>1</x:v>
      </x:c>
      <x:c r="G328" t="str">
        <x:v>https://www.activesportstrade.co.uk/efectiv-sports-trade</x:v>
      </x:c>
      <x:c r="H328" t="str"/>
      <x:c r="I328" t="str">
        <x:v>Pending genuine supplier/brand image</x:v>
      </x:c>
    </x:row>
    <x:row r="329">
      <x:c r="A329" t="str">
        <x:v>Efectiv Sports Nutrition</x:v>
      </x:c>
      <x:c r="B329" t="str">
        <x:v>Complete Meal</x:v>
      </x:c>
      <x:c r="C329" t="str">
        <x:v>Supplements</x:v>
      </x:c>
      <x:c r="D329" t="str">
        <x:v>Meal Replacements</x:v>
      </x:c>
      <x:c r="E329" t="str">
        <x:v>1kg</x:v>
      </x:c>
      <x:c r="F329" t="n">
        <x:v>2</x:v>
      </x:c>
      <x:c r="G329" t="str">
        <x:v>https://www.activesportstrade.co.uk/efectiv-sports-trade</x:v>
      </x:c>
      <x:c r="H329" t="str"/>
      <x:c r="I329" t="str">
        <x:v>Pending genuine supplier/brand image</x:v>
      </x:c>
    </x:row>
    <x:row r="330">
      <x:c r="A330" t="str">
        <x:v>Efectiv Sports Nutrition</x:v>
      </x:c>
      <x:c r="B330" t="str">
        <x:v>Mag Pro</x:v>
      </x:c>
      <x:c r="C330" t="str">
        <x:v>Supplements</x:v>
      </x:c>
      <x:c r="D330" t="str">
        <x:v>Vitamins</x:v>
      </x:c>
      <x:c r="E330" t="str">
        <x:v>90 caps</x:v>
      </x:c>
      <x:c r="F330" t="n">
        <x:v>1</x:v>
      </x:c>
      <x:c r="G330" t="str">
        <x:v>https://www.activesportstrade.co.uk/efectiv-sports-trade</x:v>
      </x:c>
      <x:c r="H330" t="str"/>
      <x:c r="I330" t="str">
        <x:v>Pending genuine supplier/brand image</x:v>
      </x:c>
    </x:row>
    <x:row r="331">
      <x:c r="A331" t="str">
        <x:v>Efectiv Sports Nutrition</x:v>
      </x:c>
      <x:c r="B331" t="str">
        <x:v>ZM Pro</x:v>
      </x:c>
      <x:c r="C331" t="str">
        <x:v>Supplements</x:v>
      </x:c>
      <x:c r="D331" t="str">
        <x:v>Sleep Aids</x:v>
      </x:c>
      <x:c r="E331" t="str">
        <x:v>120 caps</x:v>
      </x:c>
      <x:c r="F331" t="n">
        <x:v>1</x:v>
      </x:c>
      <x:c r="G331" t="str">
        <x:v>https://www.activesportstrade.co.uk/efectiv-sports-trade</x:v>
      </x:c>
      <x:c r="H331" t="str"/>
      <x:c r="I331" t="str">
        <x:v>Pending genuine supplier/brand image</x:v>
      </x:c>
    </x:row>
    <x:row r="332">
      <x:c r="A332" t="str">
        <x:v>EHP Labs</x:v>
      </x:c>
      <x:c r="B332" t="str">
        <x:v>Acetyl L-Carnitine</x:v>
      </x:c>
      <x:c r="C332" t="str">
        <x:v>Supplements</x:v>
      </x:c>
      <x:c r="D332" t="str">
        <x:v>L-Carnitine</x:v>
      </x:c>
      <x:c r="E332" t="str">
        <x:v>100g</x:v>
      </x:c>
      <x:c r="F332" t="n">
        <x:v>1</x:v>
      </x:c>
      <x:c r="G332" t="str">
        <x:v>https://www.activesportstrade.co.uk/ehp-labs-trade</x:v>
      </x:c>
      <x:c r="H332" t="str"/>
      <x:c r="I332" t="str">
        <x:v>Pending genuine supplier/brand image</x:v>
      </x:c>
    </x:row>
    <x:row r="333">
      <x:c r="A333" t="str">
        <x:v>EHP Labs</x:v>
      </x:c>
      <x:c r="B333" t="str">
        <x:v>Crea-8 Creatine Monohydrate</x:v>
      </x:c>
      <x:c r="C333" t="str">
        <x:v>Supplements</x:v>
      </x:c>
      <x:c r="D333" t="str">
        <x:v>Creatine Powders</x:v>
      </x:c>
      <x:c r="E333" t="str">
        <x:v>500g</x:v>
      </x:c>
      <x:c r="F333" t="n">
        <x:v>1</x:v>
      </x:c>
      <x:c r="G333" t="str">
        <x:v>https://www.activesportstrade.co.uk/ehp-labs-trade</x:v>
      </x:c>
      <x:c r="H333" t="str"/>
      <x:c r="I333" t="str">
        <x:v>Pending genuine supplier/brand image</x:v>
      </x:c>
    </x:row>
    <x:row r="334">
      <x:c r="A334" t="str">
        <x:v>EHP Labs</x:v>
      </x:c>
      <x:c r="B334" t="str">
        <x:v>Creatine Monohydrate</x:v>
      </x:c>
      <x:c r="C334" t="str">
        <x:v>Supplements</x:v>
      </x:c>
      <x:c r="D334" t="str">
        <x:v>Creatine Powders</x:v>
      </x:c>
      <x:c r="E334" t="str">
        <x:v>250g</x:v>
      </x:c>
      <x:c r="F334" t="n">
        <x:v>1</x:v>
      </x:c>
      <x:c r="G334" t="str">
        <x:v>https://www.activesportstrade.co.uk/ehp-labs-trade</x:v>
      </x:c>
      <x:c r="H334" t="str"/>
      <x:c r="I334" t="str">
        <x:v>Pending genuine supplier/brand image</x:v>
      </x:c>
    </x:row>
    <x:row r="335">
      <x:c r="A335" t="str">
        <x:v>EHP Labs</x:v>
      </x:c>
      <x:c r="B335" t="str">
        <x:v>Glutamine</x:v>
      </x:c>
      <x:c r="C335" t="str">
        <x:v>Supplements</x:v>
      </x:c>
      <x:c r="D335" t="str">
        <x:v>L-Glutamine</x:v>
      </x:c>
      <x:c r="E335" t="str">
        <x:v>500g</x:v>
      </x:c>
      <x:c r="F335" t="n">
        <x:v>1</x:v>
      </x:c>
      <x:c r="G335" t="str">
        <x:v>https://www.activesportstrade.co.uk/ehp-labs-trade</x:v>
      </x:c>
      <x:c r="H335" t="str"/>
      <x:c r="I335" t="str">
        <x:v>Pending genuine supplier/brand image</x:v>
      </x:c>
    </x:row>
    <x:row r="336">
      <x:c r="A336" t="str">
        <x:v>EHP Labs</x:v>
      </x:c>
      <x:c r="B336" t="str">
        <x:v>Hydreau</x:v>
      </x:c>
      <x:c r="C336" t="str">
        <x:v>Supplements</x:v>
      </x:c>
      <x:c r="D336" t="str">
        <x:v>Hydration</x:v>
      </x:c>
      <x:c r="E336" t="str">
        <x:v>40 servings</x:v>
      </x:c>
      <x:c r="F336" t="n">
        <x:v>3</x:v>
      </x:c>
      <x:c r="G336" t="str">
        <x:v>https://www.activesportstrade.co.uk/ehp-labs-trade</x:v>
      </x:c>
      <x:c r="H336" t="str"/>
      <x:c r="I336" t="str">
        <x:v>Pending genuine supplier/brand image</x:v>
      </x:c>
    </x:row>
    <x:row r="337">
      <x:c r="A337" t="str">
        <x:v>EHP Labs</x:v>
      </x:c>
      <x:c r="B337" t="str">
        <x:v>Hydreau RTD</x:v>
      </x:c>
      <x:c r="C337" t="str">
        <x:v>Drinks and Bars</x:v>
      </x:c>
      <x:c r="D337" t="str">
        <x:v>Ready to Drink Hydration</x:v>
      </x:c>
      <x:c r="E337" t="str">
        <x:v>12 x 500ml bottles</x:v>
      </x:c>
      <x:c r="F337" t="n">
        <x:v>4</x:v>
      </x:c>
      <x:c r="G337" t="str">
        <x:v>https://www.activesportstrade.co.uk/ehp-labs-trade</x:v>
      </x:c>
      <x:c r="H337" t="str"/>
      <x:c r="I337" t="str">
        <x:v>Pending genuine supplier/brand image</x:v>
      </x:c>
    </x:row>
    <x:row r="338">
      <x:c r="A338" t="str">
        <x:v>EHP Labs</x:v>
      </x:c>
      <x:c r="B338" t="str">
        <x:v>OxyGreens</x:v>
      </x:c>
      <x:c r="C338" t="str">
        <x:v>Supplements</x:v>
      </x:c>
      <x:c r="D338" t="str">
        <x:v>Health Foods</x:v>
      </x:c>
      <x:c r="E338" t="str">
        <x:v>300g</x:v>
      </x:c>
      <x:c r="F338" t="n">
        <x:v>7</x:v>
      </x:c>
      <x:c r="G338" t="str">
        <x:v>https://www.activesportstrade.co.uk/ehp-labs-trade</x:v>
      </x:c>
      <x:c r="H338" t="str"/>
      <x:c r="I338" t="str">
        <x:v>Pending genuine supplier/brand image</x:v>
      </x:c>
    </x:row>
    <x:row r="339">
      <x:c r="A339" t="str">
        <x:v>EHP Labs</x:v>
      </x:c>
      <x:c r="B339" t="str">
        <x:v>OxyShred Creatine Gummies</x:v>
      </x:c>
      <x:c r="C339" t="str">
        <x:v>Supplements</x:v>
      </x:c>
      <x:c r="D339" t="str">
        <x:v>Creatine Powders</x:v>
      </x:c>
      <x:c r="E339" t="str">
        <x:v>90 gummies</x:v>
      </x:c>
      <x:c r="F339" t="n">
        <x:v>1</x:v>
      </x:c>
      <x:c r="G339" t="str">
        <x:v>https://www.activesportstrade.co.uk/ehp-labs-trade</x:v>
      </x:c>
      <x:c r="H339" t="str"/>
      <x:c r="I339" t="str">
        <x:v>Pending genuine supplier/brand image</x:v>
      </x:c>
    </x:row>
    <x:row r="340">
      <x:c r="A340" t="str">
        <x:v>EHP Labs</x:v>
      </x:c>
      <x:c r="B340" t="str">
        <x:v>OxyShred Gummies</x:v>
      </x:c>
      <x:c r="C340" t="str">
        <x:v>Supplements</x:v>
      </x:c>
      <x:c r="D340" t="str">
        <x:v>Fat Burners</x:v>
      </x:c>
      <x:c r="E340" t="str">
        <x:v>80 gummies</x:v>
      </x:c>
      <x:c r="F340" t="n">
        <x:v>1</x:v>
      </x:c>
      <x:c r="G340" t="str">
        <x:v>https://www.activesportstrade.co.uk/ehp-labs-trade</x:v>
      </x:c>
      <x:c r="H340" t="str"/>
      <x:c r="I340" t="str">
        <x:v>Pending genuine supplier/brand image</x:v>
      </x:c>
    </x:row>
    <x:row r="341">
      <x:c r="A341" t="str">
        <x:v>EHP Labs</x:v>
      </x:c>
      <x:c r="B341" t="str">
        <x:v>OxyShred Hardcore</x:v>
      </x:c>
      <x:c r="C341" t="str">
        <x:v>Supplements</x:v>
      </x:c>
      <x:c r="D341" t="str">
        <x:v>Fat Burners</x:v>
      </x:c>
      <x:c r="E341" t="str">
        <x:v>40 servings</x:v>
      </x:c>
      <x:c r="F341" t="n">
        <x:v>7</x:v>
      </x:c>
      <x:c r="G341" t="str">
        <x:v>https://www.activesportstrade.co.uk/ehp-labs-trade</x:v>
      </x:c>
      <x:c r="H341" t="str"/>
      <x:c r="I341" t="str">
        <x:v>Pending genuine supplier/brand image</x:v>
      </x:c>
    </x:row>
    <x:row r="342">
      <x:c r="A342" t="str">
        <x:v>EHP Labs</x:v>
      </x:c>
      <x:c r="B342" t="str">
        <x:v>OxyShred Infinity RTD</x:v>
      </x:c>
      <x:c r="C342" t="str">
        <x:v>Drinks and Bars</x:v>
      </x:c>
      <x:c r="D342" t="str">
        <x:v>Ready to Drink Energy</x:v>
      </x:c>
      <x:c r="E342" t="str">
        <x:v>12 x 355ml cans</x:v>
      </x:c>
      <x:c r="F342" t="n">
        <x:v>3</x:v>
      </x:c>
      <x:c r="G342" t="str">
        <x:v>https://www.activesportstrade.co.uk/ehp-labs-trade</x:v>
      </x:c>
      <x:c r="H342" t="str"/>
      <x:c r="I342" t="str">
        <x:v>Pending genuine supplier/brand image</x:v>
      </x:c>
    </x:row>
    <x:row r="343">
      <x:c r="A343" t="str">
        <x:v>EHP Labs</x:v>
      </x:c>
      <x:c r="B343" t="str">
        <x:v>OxyShred Non-Stim</x:v>
      </x:c>
      <x:c r="C343" t="str">
        <x:v>Supplements</x:v>
      </x:c>
      <x:c r="D343" t="str">
        <x:v>Fat Burners</x:v>
      </x:c>
      <x:c r="E343" t="str">
        <x:v>60 servings</x:v>
      </x:c>
      <x:c r="F343" t="n">
        <x:v>6</x:v>
      </x:c>
      <x:c r="G343" t="str">
        <x:v>https://www.activesportstrade.co.uk/ehp-labs-trade</x:v>
      </x:c>
      <x:c r="H343" t="str"/>
      <x:c r="I343" t="str">
        <x:v>Pending genuine supplier/brand image</x:v>
      </x:c>
    </x:row>
    <x:row r="344">
      <x:c r="A344" t="str">
        <x:v>EHP Labs</x:v>
      </x:c>
      <x:c r="B344" t="str">
        <x:v>OxyShred Ultra Energy RTD</x:v>
      </x:c>
      <x:c r="C344" t="str">
        <x:v>Drinks and Bars</x:v>
      </x:c>
      <x:c r="D344" t="str">
        <x:v>Ready to Drink Energy</x:v>
      </x:c>
      <x:c r="E344" t="str">
        <x:v>12 x 355ml cans</x:v>
      </x:c>
      <x:c r="F344" t="n">
        <x:v>7</x:v>
      </x:c>
      <x:c r="G344" t="str">
        <x:v>https://www.activesportstrade.co.uk/ehp-labs-trade</x:v>
      </x:c>
      <x:c r="H344" t="str"/>
      <x:c r="I344" t="str">
        <x:v>Pending genuine supplier/brand image</x:v>
      </x:c>
    </x:row>
    <x:row r="345">
      <x:c r="A345" t="str">
        <x:v>EHP Labs</x:v>
      </x:c>
      <x:c r="B345" t="str">
        <x:v>OxyShred Ultra</x:v>
      </x:c>
      <x:c r="C345" t="str">
        <x:v>Supplements</x:v>
      </x:c>
      <x:c r="D345" t="str">
        <x:v>Fat Burners</x:v>
      </x:c>
      <x:c r="E345" t="str">
        <x:v>20 servings, 33 servings, 60 servings</x:v>
      </x:c>
      <x:c r="F345" t="n">
        <x:v>16</x:v>
      </x:c>
      <x:c r="G345" t="str">
        <x:v>https://www.activesportstrade.co.uk/ehp-labs-trade</x:v>
      </x:c>
      <x:c r="H345" t="str"/>
      <x:c r="I345" t="str">
        <x:v>Pending genuine supplier/brand image</x:v>
      </x:c>
    </x:row>
    <x:row r="346">
      <x:c r="A346" t="str">
        <x:v>EHP Labs</x:v>
      </x:c>
      <x:c r="B346" t="str">
        <x:v>OxyWhey</x:v>
      </x:c>
      <x:c r="C346" t="str">
        <x:v>Supplements</x:v>
      </x:c>
      <x:c r="D346" t="str">
        <x:v>Whey Protein</x:v>
      </x:c>
      <x:c r="E346" t="str">
        <x:v>15 servings</x:v>
      </x:c>
      <x:c r="F346" t="n">
        <x:v>3</x:v>
      </x:c>
      <x:c r="G346" t="str">
        <x:v>https://www.activesportstrade.co.uk/ehp-labs-trade</x:v>
      </x:c>
      <x:c r="H346" t="str"/>
      <x:c r="I346" t="str">
        <x:v>Pending genuine supplier/brand image</x:v>
      </x:c>
    </x:row>
    <x:row r="347">
      <x:c r="A347" t="str">
        <x:v>Gas Mark 10</x:v>
      </x:c>
      <x:c r="B347" t="str">
        <x:v>Limitless</x:v>
      </x:c>
      <x:c r="C347" t="str">
        <x:v>Supplements</x:v>
      </x:c>
      <x:c r="D347" t="str">
        <x:v>Mood Enhancers</x:v>
      </x:c>
      <x:c r="E347" t="str">
        <x:v>120 caps</x:v>
      </x:c>
      <x:c r="F347" t="n">
        <x:v>1</x:v>
      </x:c>
      <x:c r="G347" t="str">
        <x:v>https://www.activesportstrade.co.uk/trade-pre-workout-supplements</x:v>
      </x:c>
      <x:c r="H347" t="str"/>
      <x:c r="I347" t="str">
        <x:v>Pending genuine supplier/brand image</x:v>
      </x:c>
    </x:row>
    <x:row r="348">
      <x:c r="A348" t="str">
        <x:v>Gas Mark 10</x:v>
      </x:c>
      <x:c r="B348" t="str">
        <x:v>No Games</x:v>
      </x:c>
      <x:c r="C348" t="str">
        <x:v>Pre Workouts</x:v>
      </x:c>
      <x:c r="D348" t="str">
        <x:v>High Stim</x:v>
      </x:c>
      <x:c r="E348" t="str">
        <x:v>330g</x:v>
      </x:c>
      <x:c r="F348" t="n">
        <x:v>6</x:v>
      </x:c>
      <x:c r="G348" t="str">
        <x:v>https://www.activesportstrade.co.uk/trade-pre-workout-supplements</x:v>
      </x:c>
      <x:c r="H348" t="str"/>
      <x:c r="I348" t="str">
        <x:v>Pending genuine supplier/brand image</x:v>
      </x:c>
    </x:row>
    <x:row r="349">
      <x:c r="A349" t="str">
        <x:v>Gas Mark 10</x:v>
      </x:c>
      <x:c r="B349" t="str">
        <x:v>Pitbull Pump</x:v>
      </x:c>
      <x:c r="C349" t="str">
        <x:v>Pre Workouts</x:v>
      </x:c>
      <x:c r="D349" t="str">
        <x:v>Stim FREE</x:v>
      </x:c>
      <x:c r="E349" t="str">
        <x:v>450g</x:v>
      </x:c>
      <x:c r="F349" t="n">
        <x:v>6</x:v>
      </x:c>
      <x:c r="G349" t="str">
        <x:v>https://www.activesportstrade.co.uk/trade-pre-workout-supplements</x:v>
      </x:c>
      <x:c r="H349" t="str"/>
      <x:c r="I349" t="str">
        <x:v>Pending genuine supplier/brand image</x:v>
      </x:c>
    </x:row>
    <x:row r="350">
      <x:c r="A350" t="str">
        <x:v>Gas Mark 10</x:v>
      </x:c>
      <x:c r="B350" t="str">
        <x:v>Locked In Ultimate EAAs</x:v>
      </x:c>
      <x:c r="C350" t="str">
        <x:v>Supplements</x:v>
      </x:c>
      <x:c r="D350" t="str">
        <x:v>Amino Acids</x:v>
      </x:c>
      <x:c r="E350" t="str">
        <x:v>405g</x:v>
      </x:c>
      <x:c r="F350" t="n">
        <x:v>7</x:v>
      </x:c>
      <x:c r="G350" t="str">
        <x:v>https://www.activesportstrade.co.uk/Intra-Workout</x:v>
      </x:c>
      <x:c r="H350" t="str"/>
      <x:c r="I350" t="str">
        <x:v>Pending genuine supplier/brand image</x:v>
      </x:c>
    </x:row>
    <x:row r="351">
      <x:c r="A351" t="str">
        <x:v>Gas Mark 10</x:v>
      </x:c>
      <x:c r="B351" t="str">
        <x:v>Cream of Rice</x:v>
      </x:c>
      <x:c r="C351" t="str">
        <x:v>Supplements</x:v>
      </x:c>
      <x:c r="D351" t="str">
        <x:v>Carbohydrates</x:v>
      </x:c>
      <x:c r="E351" t="str">
        <x:v>2kg</x:v>
      </x:c>
      <x:c r="F351" t="n">
        <x:v>9</x:v>
      </x:c>
      <x:c r="G351" t="str">
        <x:v>https://www.activesportstrade.co.uk/Carb-Powders</x:v>
      </x:c>
      <x:c r="H351" t="str"/>
      <x:c r="I351" t="str">
        <x:v>Pending genuine supplier/brand image</x:v>
      </x:c>
    </x:row>
    <x:row r="352">
      <x:c r="A352" t="str">
        <x:v>Gas Mark 10</x:v>
      </x:c>
      <x:c r="B352" t="str">
        <x:v>Big Dog</x:v>
      </x:c>
      <x:c r="C352" t="str">
        <x:v>Supplements</x:v>
      </x:c>
      <x:c r="D352" t="str">
        <x:v>Carbohydrates</x:v>
      </x:c>
      <x:c r="E352" t="str">
        <x:v>720g</x:v>
      </x:c>
      <x:c r="F352" t="n">
        <x:v>4</x:v>
      </x:c>
      <x:c r="G352" t="str">
        <x:v>https://www.activesportstrade.co.uk/Carb-Powders</x:v>
      </x:c>
      <x:c r="H352" t="str"/>
      <x:c r="I352" t="str">
        <x:v>Pending genuine supplier/brand image</x:v>
      </x:c>
    </x:row>
    <x:row r="353">
      <x:c r="A353" t="str">
        <x:v>Gas Mark 10</x:v>
      </x:c>
      <x:c r="B353" t="str">
        <x:v>Hydro Collagen</x:v>
      </x:c>
      <x:c r="C353" t="str">
        <x:v>Supplements</x:v>
      </x:c>
      <x:c r="D353" t="str">
        <x:v>Joint Repair</x:v>
      </x:c>
      <x:c r="E353" t="str">
        <x:v>315g</x:v>
      </x:c>
      <x:c r="F353" t="n">
        <x:v>3</x:v>
      </x:c>
      <x:c r="G353" t="str">
        <x:v>https://www.activesportstrade.co.uk/Joint-Repair/norec</x:v>
      </x:c>
      <x:c r="H353" t="str"/>
      <x:c r="I353" t="str">
        <x:v>Pending genuine supplier/brand image</x:v>
      </x:c>
    </x:row>
    <x:row r="354">
      <x:c r="A354" t="str">
        <x:v>Gas Mark 10</x:v>
      </x:c>
      <x:c r="B354" t="str">
        <x:v>Longevity Essential Omegas</x:v>
      </x:c>
      <x:c r="C354" t="str">
        <x:v>Supplements</x:v>
      </x:c>
      <x:c r="D354" t="str">
        <x:v>Omega and EFA</x:v>
      </x:c>
      <x:c r="E354" t="str">
        <x:v>90 caps</x:v>
      </x:c>
      <x:c r="F354" t="n">
        <x:v>1</x:v>
      </x:c>
      <x:c r="G354" t="str">
        <x:v>https://www.activesportstrade.co.uk/Joint-Repair/norec</x:v>
      </x:c>
      <x:c r="H354" t="str"/>
      <x:c r="I354" t="str">
        <x:v>Pending genuine supplier/brand image</x:v>
      </x:c>
    </x:row>
    <x:row r="355">
      <x:c r="A355" t="str">
        <x:v>Gas Mark 10</x:v>
      </x:c>
      <x:c r="B355" t="str">
        <x:v>Longevity Joint Support</x:v>
      </x:c>
      <x:c r="C355" t="str">
        <x:v>Supplements</x:v>
      </x:c>
      <x:c r="D355" t="str">
        <x:v>Joint Repair</x:v>
      </x:c>
      <x:c r="E355" t="str">
        <x:v>120 caps</x:v>
      </x:c>
      <x:c r="F355" t="n">
        <x:v>1</x:v>
      </x:c>
      <x:c r="G355" t="str">
        <x:v>https://www.activesportstrade.co.uk/Joint-Repair/norec</x:v>
      </x:c>
      <x:c r="H355" t="str"/>
      <x:c r="I355" t="str">
        <x:v>Pending genuine supplier/brand image</x:v>
      </x:c>
    </x:row>
    <x:row r="356">
      <x:c r="A356" t="str">
        <x:v>Gas Mark 10</x:v>
      </x:c>
      <x:c r="B356" t="str">
        <x:v>Cheat Code</x:v>
      </x:c>
      <x:c r="C356" t="str">
        <x:v>Supplements</x:v>
      </x:c>
      <x:c r="D356" t="str">
        <x:v>Insulin Drivers</x:v>
      </x:c>
      <x:c r="E356" t="str">
        <x:v>150 caps</x:v>
      </x:c>
      <x:c r="F356" t="n">
        <x:v>1</x:v>
      </x:c>
      <x:c r="G356" t="str">
        <x:v>https://www.activesportstrade.co.uk/testosterone-boosters-trade</x:v>
      </x:c>
      <x:c r="H356" t="str"/>
      <x:c r="I356" t="str">
        <x:v>Pending genuine supplier/brand image</x:v>
      </x:c>
    </x:row>
    <x:row r="357">
      <x:c r="A357" t="str">
        <x:v>Gas Mark 10</x:v>
      </x:c>
      <x:c r="B357" t="str">
        <x:v>Longevity Advanced Thyroid</x:v>
      </x:c>
      <x:c r="C357" t="str">
        <x:v>Supplements</x:v>
      </x:c>
      <x:c r="D357" t="str">
        <x:v>Health Foods</x:v>
      </x:c>
      <x:c r="E357" t="str">
        <x:v>60 caps</x:v>
      </x:c>
      <x:c r="F357" t="n">
        <x:v>1</x:v>
      </x:c>
      <x:c r="G357" t="str">
        <x:v>https://www.activesportstrade.co.uk/testosterone-boosters-trade</x:v>
      </x:c>
      <x:c r="H357" t="str"/>
      <x:c r="I357" t="str">
        <x:v>Pending genuine supplier/brand image</x:v>
      </x:c>
    </x:row>
    <x:row r="358">
      <x:c r="A358" t="str">
        <x:v>Gas Mark 10</x:v>
      </x:c>
      <x:c r="B358" t="str">
        <x:v>Longevity Body Armour</x:v>
      </x:c>
      <x:c r="C358" t="str">
        <x:v>Supplements</x:v>
      </x:c>
      <x:c r="D358" t="str">
        <x:v>All In Ones</x:v>
      </x:c>
      <x:c r="E358" t="str">
        <x:v>180 caps</x:v>
      </x:c>
      <x:c r="F358" t="n">
        <x:v>1</x:v>
      </x:c>
      <x:c r="G358" t="str">
        <x:v>https://www.activesportstrade.co.uk/testosterone-boosters-trade</x:v>
      </x:c>
      <x:c r="H358" t="str"/>
      <x:c r="I358" t="str">
        <x:v>Pending genuine supplier/brand image</x:v>
      </x:c>
    </x:row>
    <x:row r="359">
      <x:c r="A359" t="str">
        <x:v>Gas Mark 10</x:v>
      </x:c>
      <x:c r="B359" t="str">
        <x:v>Longevity Heart Support</x:v>
      </x:c>
      <x:c r="C359" t="str">
        <x:v>Supplements</x:v>
      </x:c>
      <x:c r="D359" t="str">
        <x:v>Health Foods</x:v>
      </x:c>
      <x:c r="E359" t="str">
        <x:v>90 caps</x:v>
      </x:c>
      <x:c r="F359" t="n">
        <x:v>1</x:v>
      </x:c>
      <x:c r="G359" t="str">
        <x:v>https://www.activesportstrade.co.uk/testosterone-boosters-trade</x:v>
      </x:c>
      <x:c r="H359" t="str"/>
      <x:c r="I359" t="str">
        <x:v>Pending genuine supplier/brand image</x:v>
      </x:c>
    </x:row>
    <x:row r="360">
      <x:c r="A360" t="str">
        <x:v>Gas Mark 10</x:v>
      </x:c>
      <x:c r="B360" t="str">
        <x:v>No Drama</x:v>
      </x:c>
      <x:c r="C360" t="str">
        <x:v>Supplements</x:v>
      </x:c>
      <x:c r="D360" t="str">
        <x:v>Mood Enhancers</x:v>
      </x:c>
      <x:c r="E360" t="str">
        <x:v>120 caps</x:v>
      </x:c>
      <x:c r="F360" t="n">
        <x:v>1</x:v>
      </x:c>
      <x:c r="G360" t="str">
        <x:v>https://www.activesportstrade.co.uk/testosterone-boosters-trade</x:v>
      </x:c>
      <x:c r="H360" t="str"/>
      <x:c r="I360" t="str">
        <x:v>Pending genuine supplier/brand image</x:v>
      </x:c>
    </x:row>
    <x:row r="361">
      <x:c r="A361" t="str">
        <x:v>Ghost Lifestyle</x:v>
      </x:c>
      <x:c r="B361" t="str">
        <x:v>BCAA V2</x:v>
      </x:c>
      <x:c r="C361" t="str">
        <x:v>Supplements</x:v>
      </x:c>
      <x:c r="D361" t="str">
        <x:v>BCAAS</x:v>
      </x:c>
      <x:c r="E361" t="str">
        <x:v>30 servings</x:v>
      </x:c>
      <x:c r="F361" t="n">
        <x:v>2</x:v>
      </x:c>
      <x:c r="G361" t="str">
        <x:v>https://www.activesportstrade.co.uk/BCAAS/norec</x:v>
      </x:c>
      <x:c r="H361" t="str"/>
      <x:c r="I361" t="str">
        <x:v>Pending genuine supplier/brand image</x:v>
      </x:c>
    </x:row>
    <x:row r="362">
      <x:c r="A362" t="str">
        <x:v>Ghost Lifestyle</x:v>
      </x:c>
      <x:c r="B362" t="str">
        <x:v>Greens</x:v>
      </x:c>
      <x:c r="C362" t="str">
        <x:v>Supplements</x:v>
      </x:c>
      <x:c r="D362" t="str">
        <x:v>Health Foods</x:v>
      </x:c>
      <x:c r="E362" t="str">
        <x:v>30 servings</x:v>
      </x:c>
      <x:c r="F362" t="n">
        <x:v>6</x:v>
      </x:c>
      <x:c r="G362" t="str">
        <x:v>https://www.activesportstrade.co.uk/ghost-lifestyle-trade</x:v>
      </x:c>
      <x:c r="H362" t="str"/>
      <x:c r="I362" t="str">
        <x:v>Pending genuine supplier/brand image</x:v>
      </x:c>
    </x:row>
    <x:row r="363">
      <x:c r="A363" t="str">
        <x:v>Ghost Lifestyle</x:v>
      </x:c>
      <x:c r="B363" t="str">
        <x:v>Hydration</x:v>
      </x:c>
      <x:c r="C363" t="str">
        <x:v>Supplements</x:v>
      </x:c>
      <x:c r="D363" t="str">
        <x:v>Hydration</x:v>
      </x:c>
      <x:c r="E363" t="str">
        <x:v>40 servings</x:v>
      </x:c>
      <x:c r="F363" t="n">
        <x:v>2</x:v>
      </x:c>
      <x:c r="G363" t="str">
        <x:v>https://www.activesportstrade.co.uk/Intra-Workout/ghost-lifestyle-trade</x:v>
      </x:c>
      <x:c r="H363" t="str"/>
      <x:c r="I363" t="str">
        <x:v>Pending genuine supplier/brand image</x:v>
      </x:c>
    </x:row>
    <x:row r="364">
      <x:c r="A364" t="str">
        <x:v>Ghost Lifestyle</x:v>
      </x:c>
      <x:c r="B364" t="str">
        <x:v>Intra</x:v>
      </x:c>
      <x:c r="C364" t="str">
        <x:v>Supplements</x:v>
      </x:c>
      <x:c r="D364" t="str">
        <x:v>Intra Workout</x:v>
      </x:c>
      <x:c r="E364" t="str">
        <x:v>20 servings</x:v>
      </x:c>
      <x:c r="F364" t="n">
        <x:v>7</x:v>
      </x:c>
      <x:c r="G364" t="str">
        <x:v>https://www.activesportstrade.co.uk/Intra-Workout/ghost-lifestyle-trade</x:v>
      </x:c>
      <x:c r="H364" t="str"/>
      <x:c r="I364" t="str">
        <x:v>Pending genuine supplier/brand image</x:v>
      </x:c>
    </x:row>
    <x:row r="365">
      <x:c r="A365" t="str">
        <x:v>Ghost Lifestyle</x:v>
      </x:c>
      <x:c r="B365" t="str">
        <x:v>Joint</x:v>
      </x:c>
      <x:c r="C365" t="str">
        <x:v>Supplements</x:v>
      </x:c>
      <x:c r="D365" t="str">
        <x:v>Joint Repair</x:v>
      </x:c>
      <x:c r="E365" t="str">
        <x:v>30 servings</x:v>
      </x:c>
      <x:c r="F365" t="n">
        <x:v>2</x:v>
      </x:c>
      <x:c r="G365" t="str">
        <x:v>https://www.activesportstrade.co.uk/Joint-Repair</x:v>
      </x:c>
      <x:c r="H365" t="str"/>
      <x:c r="I365" t="str">
        <x:v>Pending genuine supplier/brand image</x:v>
      </x:c>
    </x:row>
    <x:row r="366">
      <x:c r="A366" t="str">
        <x:v>Ghost Lifestyle</x:v>
      </x:c>
      <x:c r="B366" t="str">
        <x:v>Legend Pre Workout V4</x:v>
      </x:c>
      <x:c r="C366" t="str">
        <x:v>Pre Workouts</x:v>
      </x:c>
      <x:c r="D366" t="str">
        <x:v>High Stim</x:v>
      </x:c>
      <x:c r="E366" t="str">
        <x:v>30 servings</x:v>
      </x:c>
      <x:c r="F366" t="n">
        <x:v>9</x:v>
      </x:c>
      <x:c r="G366" t="str">
        <x:v>https://www.activesportstrade.co.uk/ghost-lifestyle-trade</x:v>
      </x:c>
      <x:c r="H366" t="str"/>
      <x:c r="I366" t="str">
        <x:v>Pending genuine supplier/brand image</x:v>
      </x:c>
    </x:row>
    <x:row r="367">
      <x:c r="A367" t="str">
        <x:v>Ghost Lifestyle</x:v>
      </x:c>
      <x:c r="B367" t="str">
        <x:v>Pump V2</x:v>
      </x:c>
      <x:c r="C367" t="str">
        <x:v>Pre Workouts</x:v>
      </x:c>
      <x:c r="D367" t="str">
        <x:v>Stim FREE</x:v>
      </x:c>
      <x:c r="E367" t="str">
        <x:v>40 servings</x:v>
      </x:c>
      <x:c r="F367" t="n">
        <x:v>6</x:v>
      </x:c>
      <x:c r="G367" t="str">
        <x:v>https://www.activesportstrade.co.uk/ghost-lifestyle-trade</x:v>
      </x:c>
      <x:c r="H367" t="str"/>
      <x:c r="I367" t="str">
        <x:v>Pending genuine supplier/brand image</x:v>
      </x:c>
    </x:row>
    <x:row r="368">
      <x:c r="A368" t="str">
        <x:v>Ghost Lifestyle</x:v>
      </x:c>
      <x:c r="B368" t="str">
        <x:v>Size V3</x:v>
      </x:c>
      <x:c r="C368" t="str">
        <x:v>Supplements</x:v>
      </x:c>
      <x:c r="D368" t="str">
        <x:v>Creatine Powders</x:v>
      </x:c>
      <x:c r="E368" t="str">
        <x:v>30 servings</x:v>
      </x:c>
      <x:c r="F368" t="n">
        <x:v>3</x:v>
      </x:c>
      <x:c r="G368" t="str">
        <x:v>https://www.activesportstrade.co.uk/ghost-lifestyle-trade</x:v>
      </x:c>
      <x:c r="H368" t="str"/>
      <x:c r="I368" t="str">
        <x:v>Pending genuine supplier/brand image</x:v>
      </x:c>
    </x:row>
    <x:row r="369">
      <x:c r="A369" t="str">
        <x:v>Ghost Lifestyle</x:v>
      </x:c>
      <x:c r="B369" t="str">
        <x:v>Vegan Protein</x:v>
      </x:c>
      <x:c r="C369" t="str">
        <x:v>Supplements</x:v>
      </x:c>
      <x:c r="D369" t="str">
        <x:v>Vegan Friendly</x:v>
      </x:c>
      <x:c r="E369" t="str">
        <x:v>907g</x:v>
      </x:c>
      <x:c r="F369" t="n">
        <x:v>6</x:v>
      </x:c>
      <x:c r="G369" t="str">
        <x:v>https://www.activesportstrade.co.uk/ghost-lifestyle-trade</x:v>
      </x:c>
      <x:c r="H369" t="str"/>
      <x:c r="I369" t="str">
        <x:v>Pending genuine supplier/brand image</x:v>
      </x:c>
    </x:row>
    <x:row r="370">
      <x:c r="A370" t="str">
        <x:v>Ghost Lifestyle</x:v>
      </x:c>
      <x:c r="B370" t="str">
        <x:v>Whey Protein</x:v>
      </x:c>
      <x:c r="C370" t="str">
        <x:v>Supplements</x:v>
      </x:c>
      <x:c r="D370" t="str">
        <x:v>Whey Protein</x:v>
      </x:c>
      <x:c r="E370" t="str">
        <x:v>907g</x:v>
      </x:c>
      <x:c r="F370" t="n">
        <x:v>10</x:v>
      </x:c>
      <x:c r="G370" t="str">
        <x:v>https://www.activesportstrade.co.uk/ghost-lifestyle-trade</x:v>
      </x:c>
      <x:c r="H370" t="str"/>
      <x:c r="I370" t="str">
        <x:v>Pending genuine supplier/brand image</x:v>
      </x:c>
    </x:row>
    <x:row r="371">
      <x:c r="A371" t="str">
        <x:v>Gorillalpha</x:v>
      </x:c>
      <x:c r="B371" t="str">
        <x:v>Creatine</x:v>
      </x:c>
      <x:c r="C371" t="str">
        <x:v>Supplements</x:v>
      </x:c>
      <x:c r="D371" t="str">
        <x:v>Creatine Powders</x:v>
      </x:c>
      <x:c r="E371" t="str">
        <x:v>400g</x:v>
      </x:c>
      <x:c r="F371" t="n">
        <x:v>1</x:v>
      </x:c>
      <x:c r="G371" t="str">
        <x:v>https://www.activesportstrade.co.uk/gorillalpha-trade</x:v>
      </x:c>
      <x:c r="H371" t="str"/>
      <x:c r="I371" t="str">
        <x:v>Pending genuine supplier/brand image</x:v>
      </x:c>
    </x:row>
    <x:row r="372">
      <x:c r="A372" t="str">
        <x:v>Gorillalpha</x:v>
      </x:c>
      <x:c r="B372" t="str">
        <x:v>Hydration Juice</x:v>
      </x:c>
      <x:c r="C372" t="str">
        <x:v>Supplements</x:v>
      </x:c>
      <x:c r="D372" t="str">
        <x:v>Hydration</x:v>
      </x:c>
      <x:c r="E372" t="str">
        <x:v>300g</x:v>
      </x:c>
      <x:c r="F372" t="n">
        <x:v>9</x:v>
      </x:c>
      <x:c r="G372" t="str">
        <x:v>https://www.activesportstrade.co.uk/gorillalpha-trade</x:v>
      </x:c>
      <x:c r="H372" t="str"/>
      <x:c r="I372" t="str">
        <x:v>Pending genuine supplier/brand image</x:v>
      </x:c>
    </x:row>
    <x:row r="373">
      <x:c r="A373" t="str">
        <x:v>Gorillalpha</x:v>
      </x:c>
      <x:c r="B373" t="str">
        <x:v>Ibiza Juice</x:v>
      </x:c>
      <x:c r="C373" t="str">
        <x:v>Pre Workouts</x:v>
      </x:c>
      <x:c r="D373" t="str">
        <x:v>High Stim</x:v>
      </x:c>
      <x:c r="E373" t="str">
        <x:v>480g</x:v>
      </x:c>
      <x:c r="F373" t="n">
        <x:v>11</x:v>
      </x:c>
      <x:c r="G373" t="str">
        <x:v>https://www.activesportstrade.co.uk/gorillalpha-trade</x:v>
      </x:c>
      <x:c r="H373" t="str"/>
      <x:c r="I373" t="str">
        <x:v>Pending genuine supplier/brand image</x:v>
      </x:c>
    </x:row>
    <x:row r="374">
      <x:c r="A374" t="str">
        <x:v>Gorillalpha</x:v>
      </x:c>
      <x:c r="B374" t="str">
        <x:v>Ibiza Juice OG Ultra Rare LTD Edition</x:v>
      </x:c>
      <x:c r="C374" t="str">
        <x:v>Pre Workouts</x:v>
      </x:c>
      <x:c r="D374" t="str">
        <x:v>High Stim</x:v>
      </x:c>
      <x:c r="E374" t="str">
        <x:v>480g</x:v>
      </x:c>
      <x:c r="F374" t="n">
        <x:v>3</x:v>
      </x:c>
      <x:c r="G374" t="str">
        <x:v>https://www.activesportstrade.co.uk/gorillalpha-trade</x:v>
      </x:c>
      <x:c r="H374" t="str"/>
      <x:c r="I374" t="str">
        <x:v>Pending genuine supplier/brand image</x:v>
      </x:c>
    </x:row>
    <x:row r="375">
      <x:c r="A375" t="str">
        <x:v>Gorillalpha</x:v>
      </x:c>
      <x:c r="B375" t="str">
        <x:v>Ibiza Juice Ultimate Energy Vol 1</x:v>
      </x:c>
      <x:c r="C375" t="str">
        <x:v>Pre Workouts</x:v>
      </x:c>
      <x:c r="D375" t="str">
        <x:v>High Stim</x:v>
      </x:c>
      <x:c r="E375" t="str">
        <x:v>480g</x:v>
      </x:c>
      <x:c r="F375" t="n">
        <x:v>5</x:v>
      </x:c>
      <x:c r="G375" t="str">
        <x:v>https://www.activesportstrade.co.uk/gorillalpha-trade</x:v>
      </x:c>
      <x:c r="H375" t="str"/>
      <x:c r="I375" t="str">
        <x:v>Pending genuine supplier/brand image</x:v>
      </x:c>
    </x:row>
    <x:row r="376">
      <x:c r="A376" t="str">
        <x:v>Gorillalpha</x:v>
      </x:c>
      <x:c r="B376" t="str">
        <x:v>Thriller Juice</x:v>
      </x:c>
      <x:c r="C376" t="str">
        <x:v>Pre Workouts</x:v>
      </x:c>
      <x:c r="D376" t="str">
        <x:v>High Stim</x:v>
      </x:c>
      <x:c r="E376" t="str">
        <x:v>520g</x:v>
      </x:c>
      <x:c r="F376" t="n">
        <x:v>7</x:v>
      </x:c>
      <x:c r="G376" t="str">
        <x:v>https://www.activesportstrade.co.uk/gorillalpha-trade</x:v>
      </x:c>
      <x:c r="H376" t="str"/>
      <x:c r="I376" t="str">
        <x:v>Pending genuine supplier/brand image</x:v>
      </x:c>
    </x:row>
    <x:row r="377">
      <x:c r="A377" t="str">
        <x:v>Gorillalpha</x:v>
      </x:c>
      <x:c r="B377" t="str">
        <x:v>Yeti Juice Pre Workout</x:v>
      </x:c>
      <x:c r="C377" t="str">
        <x:v>Pre Workouts</x:v>
      </x:c>
      <x:c r="D377" t="str">
        <x:v>High Stim</x:v>
      </x:c>
      <x:c r="E377" t="str">
        <x:v>480g</x:v>
      </x:c>
      <x:c r="F377" t="n">
        <x:v>26</x:v>
      </x:c>
      <x:c r="G377" t="str">
        <x:v>https://www.activesportstrade.co.uk/gorillalpha-trade</x:v>
      </x:c>
      <x:c r="H377" t="str"/>
      <x:c r="I377" t="str">
        <x:v>Pending genuine supplier/brand image</x:v>
      </x:c>
    </x:row>
    <x:row r="378">
      <x:c r="A378" t="str">
        <x:v>Grenade</x:v>
      </x:c>
      <x:c r="B378" t="str">
        <x:v>Carb Killa Bar in a Jar Spread</x:v>
      </x:c>
      <x:c r="C378" t="str">
        <x:v>Drinks and Bars</x:v>
      </x:c>
      <x:c r="D378" t="str">
        <x:v>High Protein Foods</x:v>
      </x:c>
      <x:c r="E378" t="str">
        <x:v>360g</x:v>
      </x:c>
      <x:c r="F378" t="n">
        <x:v>4</x:v>
      </x:c>
      <x:c r="G378" t="str">
        <x:v>https://www.activesportstrade.co.uk/trade-convienience</x:v>
      </x:c>
      <x:c r="H378" t="str"/>
      <x:c r="I378" t="str">
        <x:v>Pending genuine supplier/brand image</x:v>
      </x:c>
    </x:row>
    <x:row r="379">
      <x:c r="A379" t="str">
        <x:v>Grenade</x:v>
      </x:c>
      <x:c r="B379" t="str">
        <x:v>Carb Killa Shake RTD</x:v>
      </x:c>
      <x:c r="C379" t="str">
        <x:v>Drinks and Bars</x:v>
      </x:c>
      <x:c r="D379" t="str">
        <x:v>Ready to Drink Protein</x:v>
      </x:c>
      <x:c r="E379" t="str">
        <x:v>8 x 330ml bottles</x:v>
      </x:c>
      <x:c r="F379" t="n">
        <x:v>5</x:v>
      </x:c>
      <x:c r="G379" t="str">
        <x:v>https://www.activesportstrade.co.uk/trade-convienience</x:v>
      </x:c>
      <x:c r="H379" t="str"/>
      <x:c r="I379" t="str">
        <x:v>Pending genuine supplier/brand image</x:v>
      </x:c>
    </x:row>
    <x:row r="380">
      <x:c r="A380" t="str">
        <x:v>Grenade - Carb Killa Bars</x:v>
      </x:c>
      <x:c r="B380" t="str">
        <x:v>Carb Killa Protein Bars</x:v>
      </x:c>
      <x:c r="C380" t="str">
        <x:v>Drinks and Bars</x:v>
      </x:c>
      <x:c r="D380" t="str">
        <x:v>Bars and Snacks</x:v>
      </x:c>
      <x:c r="E380" t="str">
        <x:v>12 bars</x:v>
      </x:c>
      <x:c r="F380" t="n">
        <x:v>14</x:v>
      </x:c>
      <x:c r="G380" t="str">
        <x:v>https://www.activesportstrade.co.uk/trade-convienience</x:v>
      </x:c>
      <x:c r="H380" t="str"/>
      <x:c r="I380" t="str">
        <x:v>Pending genuine supplier/brand image</x:v>
      </x:c>
    </x:row>
    <x:row r="381">
      <x:c r="A381" t="str">
        <x:v>Grenade - Carb Killa Bars</x:v>
      </x:c>
      <x:c r="B381" t="str">
        <x:v>Soft Core Protein Bar</x:v>
      </x:c>
      <x:c r="C381" t="str">
        <x:v>Drinks and Bars</x:v>
      </x:c>
      <x:c r="D381" t="str">
        <x:v>Bars and Snacks</x:v>
      </x:c>
      <x:c r="E381" t="str">
        <x:v>12 x 50g bars</x:v>
      </x:c>
      <x:c r="F381" t="n">
        <x:v>3</x:v>
      </x:c>
      <x:c r="G381" t="str">
        <x:v>https://www.activesportstrade.co.uk/trade-convienience</x:v>
      </x:c>
      <x:c r="H381" t="str"/>
      <x:c r="I381" t="str">
        <x:v>Pending genuine supplier/brand image</x:v>
      </x:c>
    </x:row>
    <x:row r="382">
      <x:c r="A382" t="str">
        <x:v>Grenade - Carb Killa Bars</x:v>
      </x:c>
      <x:c r="B382" t="str">
        <x:v>Soft Core Creme Egg Protein Bar</x:v>
      </x:c>
      <x:c r="C382" t="str">
        <x:v>Drinks and Bars</x:v>
      </x:c>
      <x:c r="D382" t="str">
        <x:v>Bars and Snacks</x:v>
      </x:c>
      <x:c r="E382" t="str">
        <x:v>18 x 45g bars</x:v>
      </x:c>
      <x:c r="F382" t="n">
        <x:v>1</x:v>
      </x:c>
      <x:c r="G382" t="str">
        <x:v>https://www.activesportstrade.co.uk/trade-convienience</x:v>
      </x:c>
      <x:c r="H382" t="str"/>
      <x:c r="I382" t="str">
        <x:v>Pending genuine supplier/brand image</x:v>
      </x:c>
    </x:row>
    <x:row r="383">
      <x:c r="A383" t="str">
        <x:v>HR Labs</x:v>
      </x:c>
      <x:c r="B383" t="str">
        <x:v>Ashwagandha KSM-66</x:v>
      </x:c>
      <x:c r="C383" t="str">
        <x:v>Supplements</x:v>
      </x:c>
      <x:c r="D383" t="str">
        <x:v>Health Foods</x:v>
      </x:c>
      <x:c r="E383" t="str">
        <x:v>120 caps</x:v>
      </x:c>
      <x:c r="F383" t="n">
        <x:v>1</x:v>
      </x:c>
      <x:c r="G383" t="str">
        <x:v>https://www.activesportstrade.co.uk/hr-labs-trade</x:v>
      </x:c>
      <x:c r="H383" t="str"/>
      <x:c r="I383" t="str">
        <x:v>Pending genuine supplier/brand image</x:v>
      </x:c>
    </x:row>
    <x:row r="384">
      <x:c r="A384" t="str">
        <x:v>HR Labs</x:v>
      </x:c>
      <x:c r="B384" t="str">
        <x:v>BASIC</x:v>
      </x:c>
      <x:c r="C384" t="str">
        <x:v>Supplements</x:v>
      </x:c>
      <x:c r="D384" t="str">
        <x:v>Creatine Powders</x:v>
      </x:c>
      <x:c r="E384" t="str">
        <x:v>30 servings</x:v>
      </x:c>
      <x:c r="F384" t="n">
        <x:v>4</x:v>
      </x:c>
      <x:c r="G384" t="str">
        <x:v>https://www.activesportstrade.co.uk/hr-labs-trade</x:v>
      </x:c>
      <x:c r="H384" t="str"/>
      <x:c r="I384" t="str">
        <x:v>Pending genuine supplier/brand image</x:v>
      </x:c>
    </x:row>
    <x:row r="385">
      <x:c r="A385" t="str">
        <x:v>HR Labs</x:v>
      </x:c>
      <x:c r="B385" t="str">
        <x:v>Carb Up</x:v>
      </x:c>
      <x:c r="C385" t="str">
        <x:v>Supplements</x:v>
      </x:c>
      <x:c r="D385" t="str">
        <x:v>Intra Workout</x:v>
      </x:c>
      <x:c r="E385" t="str">
        <x:v>1.02kg</x:v>
      </x:c>
      <x:c r="F385" t="n">
        <x:v>2</x:v>
      </x:c>
      <x:c r="G385" t="str">
        <x:v>https://www.activesportstrade.co.uk/hr-labs-trade</x:v>
      </x:c>
      <x:c r="H385" t="str"/>
      <x:c r="I385" t="str">
        <x:v>Pending genuine supplier/brand image</x:v>
      </x:c>
    </x:row>
    <x:row r="386">
      <x:c r="A386" t="str">
        <x:v>HR Labs</x:v>
      </x:c>
      <x:c r="B386" t="str">
        <x:v>Cream Of Carbs</x:v>
      </x:c>
      <x:c r="C386" t="str">
        <x:v>Supplements</x:v>
      </x:c>
      <x:c r="D386" t="str">
        <x:v>Carbohydrates</x:v>
      </x:c>
      <x:c r="E386" t="str">
        <x:v>2.28kg</x:v>
      </x:c>
      <x:c r="F386" t="n">
        <x:v>4</x:v>
      </x:c>
      <x:c r="G386" t="str">
        <x:v>https://www.activesportstrade.co.uk/hr-labs-trade</x:v>
      </x:c>
      <x:c r="H386" t="str"/>
      <x:c r="I386" t="str">
        <x:v>Pending genuine supplier/brand image</x:v>
      </x:c>
    </x:row>
    <x:row r="387">
      <x:c r="A387" t="str">
        <x:v>HR Labs</x:v>
      </x:c>
      <x:c r="B387" t="str">
        <x:v>Creatine Monohydrate</x:v>
      </x:c>
      <x:c r="C387" t="str">
        <x:v>Supplements</x:v>
      </x:c>
      <x:c r="D387" t="str">
        <x:v>Creatine Powders</x:v>
      </x:c>
      <x:c r="E387" t="str">
        <x:v>250g</x:v>
      </x:c>
      <x:c r="F387" t="n">
        <x:v>1</x:v>
      </x:c>
      <x:c r="G387" t="str">
        <x:v>https://www.activesportstrade.co.uk/hr-labs-trade</x:v>
      </x:c>
      <x:c r="H387" t="str"/>
      <x:c r="I387" t="str">
        <x:v>Pending genuine supplier/brand image</x:v>
      </x:c>
    </x:row>
    <x:row r="388">
      <x:c r="A388" t="str">
        <x:v>HR Labs</x:v>
      </x:c>
      <x:c r="B388" t="str">
        <x:v>Defib Proven Edition</x:v>
      </x:c>
      <x:c r="C388" t="str">
        <x:v>Pre Workouts</x:v>
      </x:c>
      <x:c r="D388" t="str">
        <x:v>High Stim</x:v>
      </x:c>
      <x:c r="E388" t="str">
        <x:v>20 servings</x:v>
      </x:c>
      <x:c r="F388" t="n">
        <x:v>1</x:v>
      </x:c>
      <x:c r="G388" t="str">
        <x:v>https://www.activesportstrade.co.uk/hr-labs-trade</x:v>
      </x:c>
      <x:c r="H388" t="str"/>
      <x:c r="I388" t="str">
        <x:v>Pending genuine supplier/brand image</x:v>
      </x:c>
    </x:row>
    <x:row r="389">
      <x:c r="A389" t="str">
        <x:v>HR Labs</x:v>
      </x:c>
      <x:c r="B389" t="str">
        <x:v>Defib V4 Pre Workout</x:v>
      </x:c>
      <x:c r="C389" t="str">
        <x:v>Pre Workouts</x:v>
      </x:c>
      <x:c r="D389" t="str">
        <x:v>High Stim</x:v>
      </x:c>
      <x:c r="E389" t="str">
        <x:v>420g</x:v>
      </x:c>
      <x:c r="F389" t="n">
        <x:v>8</x:v>
      </x:c>
      <x:c r="G389" t="str">
        <x:v>https://www.activesportstrade.co.uk/hr-labs-trade</x:v>
      </x:c>
      <x:c r="H389" t="str"/>
      <x:c r="I389" t="str">
        <x:v>Pending genuine supplier/brand image</x:v>
      </x:c>
    </x:row>
    <x:row r="390">
      <x:c r="A390" t="str">
        <x:v>HR Labs</x:v>
      </x:c>
      <x:c r="B390" t="str">
        <x:v>Fever 40</x:v>
      </x:c>
      <x:c r="C390" t="str">
        <x:v>Supplements</x:v>
      </x:c>
      <x:c r="D390" t="str">
        <x:v>Fat Burners</x:v>
      </x:c>
      <x:c r="E390" t="str">
        <x:v>75 caps</x:v>
      </x:c>
      <x:c r="F390" t="n">
        <x:v>1</x:v>
      </x:c>
      <x:c r="G390" t="str">
        <x:v>https://www.activesportstrade.co.uk/hr-labs-trade</x:v>
      </x:c>
      <x:c r="H390" t="str"/>
      <x:c r="I390" t="str">
        <x:v>Pending genuine supplier/brand image</x:v>
      </x:c>
    </x:row>
    <x:row r="391">
      <x:c r="A391" t="str">
        <x:v>HR Labs</x:v>
      </x:c>
      <x:c r="B391" t="str">
        <x:v>Hydro EAA</x:v>
      </x:c>
      <x:c r="C391" t="str">
        <x:v>Supplements</x:v>
      </x:c>
      <x:c r="D391" t="str">
        <x:v>Amino Acids</x:v>
      </x:c>
      <x:c r="E391" t="str">
        <x:v>30 servings</x:v>
      </x:c>
      <x:c r="F391" t="n">
        <x:v>4</x:v>
      </x:c>
      <x:c r="G391" t="str">
        <x:v>https://www.activesportstrade.co.uk/hr-labs-trade</x:v>
      </x:c>
      <x:c r="H391" t="str"/>
      <x:c r="I391" t="str">
        <x:v>Pending genuine supplier/brand image</x:v>
      </x:c>
    </x:row>
    <x:row r="392">
      <x:c r="A392" t="str">
        <x:v>HR Labs</x:v>
      </x:c>
      <x:c r="B392" t="str">
        <x:v>L-Glycine</x:v>
      </x:c>
      <x:c r="C392" t="str">
        <x:v>Supplements</x:v>
      </x:c>
      <x:c r="D392" t="str">
        <x:v>Amino Acids</x:v>
      </x:c>
      <x:c r="E392" t="str">
        <x:v>300g</x:v>
      </x:c>
      <x:c r="F392" t="n">
        <x:v>1</x:v>
      </x:c>
      <x:c r="G392" t="str">
        <x:v>https://www.activesportstrade.co.uk/hr-labs-trade</x:v>
      </x:c>
      <x:c r="H392" t="str"/>
      <x:c r="I392" t="str">
        <x:v>Pending genuine supplier/brand image</x:v>
      </x:c>
    </x:row>
    <x:row r="393">
      <x:c r="A393" t="str">
        <x:v>HR Labs</x:v>
      </x:c>
      <x:c r="B393" t="str">
        <x:v>Proven</x:v>
      </x:c>
      <x:c r="C393" t="str">
        <x:v>Pre Workouts</x:v>
      </x:c>
      <x:c r="D393" t="str">
        <x:v>Stim FREE</x:v>
      </x:c>
      <x:c r="E393" t="str">
        <x:v>320g</x:v>
      </x:c>
      <x:c r="F393" t="n">
        <x:v>4</x:v>
      </x:c>
      <x:c r="G393" t="str">
        <x:v>https://www.activesportstrade.co.uk/hr-labs-trade</x:v>
      </x:c>
      <x:c r="H393" t="str"/>
      <x:c r="I393" t="str">
        <x:v>Pending genuine supplier/brand image</x:v>
      </x:c>
    </x:row>
    <x:row r="394">
      <x:c r="A394" t="str">
        <x:v>HR Labs</x:v>
      </x:c>
      <x:c r="B394" t="str">
        <x:v>Rest Up</x:v>
      </x:c>
      <x:c r="C394" t="str">
        <x:v>Supplements</x:v>
      </x:c>
      <x:c r="D394" t="str">
        <x:v>Sleep Aids</x:v>
      </x:c>
      <x:c r="E394" t="str">
        <x:v>100 caps</x:v>
      </x:c>
      <x:c r="F394" t="n">
        <x:v>1</x:v>
      </x:c>
      <x:c r="G394" t="str">
        <x:v>https://www.activesportstrade.co.uk/hr-labs-trade</x:v>
      </x:c>
      <x:c r="H394" t="str"/>
      <x:c r="I394" t="str">
        <x:v>Pending genuine supplier/brand image</x:v>
      </x:c>
    </x:row>
    <x:row r="395">
      <x:c r="A395" t="str">
        <x:v>HR Labs</x:v>
      </x:c>
      <x:c r="B395" t="str">
        <x:v>Ride On</x:v>
      </x:c>
      <x:c r="C395" t="str">
        <x:v>Supplements</x:v>
      </x:c>
      <x:c r="D395" t="str">
        <x:v>Testosterone Boosters</x:v>
      </x:c>
      <x:c r="E395" t="str">
        <x:v>180 caps</x:v>
      </x:c>
      <x:c r="F395" t="n">
        <x:v>1</x:v>
      </x:c>
      <x:c r="G395" t="str">
        <x:v>https://www.activesportstrade.co.uk/hr-labs-trade</x:v>
      </x:c>
      <x:c r="H395" t="str"/>
      <x:c r="I395" t="str">
        <x:v>Pending genuine supplier/brand image</x:v>
      </x:c>
    </x:row>
    <x:row r="396">
      <x:c r="A396" t="str">
        <x:v>HR Labs</x:v>
      </x:c>
      <x:c r="B396" t="str">
        <x:v>Vitamin D3 5000IU</x:v>
      </x:c>
      <x:c r="C396" t="str">
        <x:v>Supplements</x:v>
      </x:c>
      <x:c r="D396" t="str">
        <x:v>Vitamins</x:v>
      </x:c>
      <x:c r="E396" t="str">
        <x:v>120 softgel caps</x:v>
      </x:c>
      <x:c r="F396" t="n">
        <x:v>1</x:v>
      </x:c>
      <x:c r="G396" t="str">
        <x:v>https://www.activesportstrade.co.uk/hr-labs-trade</x:v>
      </x:c>
      <x:c r="H396" t="str"/>
      <x:c r="I396" t="str">
        <x:v>Pending genuine supplier/brand image</x:v>
      </x:c>
    </x:row>
    <x:row r="397">
      <x:c r="A397" t="str">
        <x:v>HR Labs</x:v>
      </x:c>
      <x:c r="B397" t="str">
        <x:v>WATTR</x:v>
      </x:c>
      <x:c r="C397" t="str">
        <x:v>Supplements</x:v>
      </x:c>
      <x:c r="D397" t="str">
        <x:v>Hydration</x:v>
      </x:c>
      <x:c r="E397" t="str">
        <x:v>320g</x:v>
      </x:c>
      <x:c r="F397" t="n">
        <x:v>7</x:v>
      </x:c>
      <x:c r="G397" t="str">
        <x:v>https://www.activesportstrade.co.uk/hr-labs-trade</x:v>
      </x:c>
      <x:c r="H397" t="str"/>
      <x:c r="I397" t="str">
        <x:v>Pending genuine supplier/brand image</x:v>
      </x:c>
    </x:row>
    <x:row r="398">
      <x:c r="A398" t="str">
        <x:v>InnovaPharm</x:v>
      </x:c>
      <x:c r="B398" t="str">
        <x:v>MVPRE 3.0</x:v>
      </x:c>
      <x:c r="C398" t="str">
        <x:v>Pre Workouts</x:v>
      </x:c>
      <x:c r="D398" t="str">
        <x:v>High Stim</x:v>
      </x:c>
      <x:c r="E398" t="str">
        <x:v>437g</x:v>
      </x:c>
      <x:c r="F398" t="n">
        <x:v>7</x:v>
      </x:c>
      <x:c r="G398" t="str">
        <x:v>https://www.activesportstrade.co.uk/trade-pre-workout-supplements/innovapharm-trade</x:v>
      </x:c>
      <x:c r="H398" t="str"/>
      <x:c r="I398" t="str">
        <x:v>Pending genuine supplier/brand image</x:v>
      </x:c>
    </x:row>
    <x:row r="399">
      <x:c r="A399" t="str">
        <x:v>InnovaPharm</x:v>
      </x:c>
      <x:c r="B399" t="str">
        <x:v>MVPRE 365</x:v>
      </x:c>
      <x:c r="C399" t="str">
        <x:v>Pre Workouts</x:v>
      </x:c>
      <x:c r="D399" t="str">
        <x:v>High Stim</x:v>
      </x:c>
      <x:c r="E399" t="str">
        <x:v>40/20 servings</x:v>
      </x:c>
      <x:c r="F399" t="n">
        <x:v>3</x:v>
      </x:c>
      <x:c r="G399" t="str">
        <x:v>https://www.activesportstrade.co.uk/trade-pre-workout-supplements/innovapharm-trade</x:v>
      </x:c>
      <x:c r="H399" t="str"/>
      <x:c r="I399" t="str">
        <x:v>Pending genuine supplier/brand image</x:v>
      </x:c>
    </x:row>
    <x:row r="400">
      <x:c r="A400" t="str">
        <x:v>InnovaPharm</x:v>
      </x:c>
      <x:c r="B400" t="str">
        <x:v>NovaPump</x:v>
      </x:c>
      <x:c r="C400" t="str">
        <x:v>Pre Workouts</x:v>
      </x:c>
      <x:c r="D400" t="str">
        <x:v>Stim FREE</x:v>
      </x:c>
      <x:c r="E400" t="str">
        <x:v>40/20 servings</x:v>
      </x:c>
      <x:c r="F400" t="n">
        <x:v>2</x:v>
      </x:c>
      <x:c r="G400" t="str">
        <x:v>https://www.activesportstrade.co.uk/trade-pre-workout-supplements/innovapharm-trade</x:v>
      </x:c>
      <x:c r="H400" t="str"/>
      <x:c r="I400" t="str">
        <x:v>Pending genuine supplier/brand image</x:v>
      </x:c>
    </x:row>
    <x:row r="401">
      <x:c r="A401" t="str">
        <x:v>InnovaPharm</x:v>
      </x:c>
      <x:c r="B401" t="str">
        <x:v>NovaPump Neuro</x:v>
      </x:c>
      <x:c r="C401" t="str">
        <x:v>Pre Workouts</x:v>
      </x:c>
      <x:c r="D401" t="str">
        <x:v>Stim FREE</x:v>
      </x:c>
      <x:c r="E401" t="str">
        <x:v>40/20 servings</x:v>
      </x:c>
      <x:c r="F401" t="n">
        <x:v>6</x:v>
      </x:c>
      <x:c r="G401" t="str">
        <x:v>https://www.activesportstrade.co.uk/trade-pre-workout-supplements/innovapharm-trade</x:v>
      </x:c>
      <x:c r="H401" t="str"/>
      <x:c r="I401" t="str">
        <x:v>Pending genuine supplier/brand image</x:v>
      </x:c>
    </x:row>
    <x:row r="402">
      <x:c r="A402" t="str">
        <x:v>InnovaPharm</x:v>
      </x:c>
      <x:c r="B402" t="str">
        <x:v>Poppa Pump</x:v>
      </x:c>
      <x:c r="C402" t="str">
        <x:v>Pre Workouts</x:v>
      </x:c>
      <x:c r="D402" t="str">
        <x:v>Stim FREE</x:v>
      </x:c>
      <x:c r="E402" t="str">
        <x:v>150 caps</x:v>
      </x:c>
      <x:c r="F402" t="n">
        <x:v>1</x:v>
      </x:c>
      <x:c r="G402" t="str">
        <x:v>https://www.activesportstrade.co.uk/trade-pre-workout-supplements/innovapharm-trade</x:v>
      </x:c>
      <x:c r="H402" t="str"/>
      <x:c r="I402" t="str">
        <x:v>Pending genuine supplier/brand image</x:v>
      </x:c>
    </x:row>
    <x:row r="403">
      <x:c r="A403" t="str">
        <x:v>InnovaPharm</x:v>
      </x:c>
      <x:c r="B403" t="str">
        <x:v>Recover EAA</x:v>
      </x:c>
      <x:c r="C403" t="str">
        <x:v>Supplements</x:v>
      </x:c>
      <x:c r="D403" t="str">
        <x:v>Amino Acids</x:v>
      </x:c>
      <x:c r="E403" t="str">
        <x:v>555g</x:v>
      </x:c>
      <x:c r="F403" t="n">
        <x:v>8</x:v>
      </x:c>
      <x:c r="G403" t="str">
        <x:v>https://www.activesportstrade.co.uk/BCAAS/innovapharm-trade</x:v>
      </x:c>
      <x:c r="H403" t="str"/>
      <x:c r="I403" t="str">
        <x:v>Pending genuine supplier/brand image</x:v>
      </x:c>
    </x:row>
    <x:row r="404">
      <x:c r="A404" t="str">
        <x:v>Lenny and Larrys</x:v>
      </x:c>
      <x:c r="B404" t="str">
        <x:v>Complete Cookie</x:v>
      </x:c>
      <x:c r="C404" t="str">
        <x:v>Drinks and Bars</x:v>
      </x:c>
      <x:c r="D404" t="str">
        <x:v>Bars and Snacks</x:v>
      </x:c>
      <x:c r="E404" t="str">
        <x:v>12 cookies</x:v>
      </x:c>
      <x:c r="F404" t="n">
        <x:v>3</x:v>
      </x:c>
      <x:c r="G404" t="str">
        <x:v>https://www.activesportstrade.co.uk/trade-convienience</x:v>
      </x:c>
      <x:c r="H404" t="str"/>
      <x:c r="I404" t="str">
        <x:v>Pending genuine supplier/brand image</x:v>
      </x:c>
    </x:row>
    <x:row r="405">
      <x:c r="A405" t="str">
        <x:v>M&amp;Ms Protein</x:v>
      </x:c>
      <x:c r="B405" t="str">
        <x:v>Hi Protein Bar</x:v>
      </x:c>
      <x:c r="C405" t="str">
        <x:v>Drinks and Bars</x:v>
      </x:c>
      <x:c r="D405" t="str">
        <x:v>Bars and Snacks</x:v>
      </x:c>
      <x:c r="E405" t="str">
        <x:v>12 bars</x:v>
      </x:c>
      <x:c r="F405" t="n">
        <x:v>1</x:v>
      </x:c>
      <x:c r="G405" t="str">
        <x:v>https://www.activesportstrade.co.uk/trade-convienience</x:v>
      </x:c>
      <x:c r="H405" t="str"/>
      <x:c r="I405" t="str">
        <x:v>Pending genuine supplier/brand image</x:v>
      </x:c>
    </x:row>
    <x:row r="406">
      <x:c r="A406" t="str">
        <x:v>Mars</x:v>
      </x:c>
      <x:c r="B406" t="str">
        <x:v>Hi Protein Bar</x:v>
      </x:c>
      <x:c r="C406" t="str">
        <x:v>Drinks and Bars</x:v>
      </x:c>
      <x:c r="D406" t="str">
        <x:v>Bars and Snacks</x:v>
      </x:c>
      <x:c r="E406" t="str">
        <x:v>12 bars</x:v>
      </x:c>
      <x:c r="F406" t="n">
        <x:v>1</x:v>
      </x:c>
      <x:c r="G406" t="str">
        <x:v>https://www.activesportstrade.co.uk/trade-convienience</x:v>
      </x:c>
      <x:c r="H406" t="str"/>
      <x:c r="I406" t="str">
        <x:v>Pending genuine supplier/brand image</x:v>
      </x:c>
    </x:row>
    <x:row r="407">
      <x:c r="A407" t="str">
        <x:v>Mars</x:v>
      </x:c>
      <x:c r="B407" t="str">
        <x:v>Hi Protein Powder</x:v>
      </x:c>
      <x:c r="C407" t="str">
        <x:v>Supplements</x:v>
      </x:c>
      <x:c r="D407" t="str">
        <x:v>Whey Protein</x:v>
      </x:c>
      <x:c r="E407" t="str">
        <x:v>875g</x:v>
      </x:c>
      <x:c r="F407" t="n">
        <x:v>1</x:v>
      </x:c>
      <x:c r="G407" t="str">
        <x:v>https://www.activesportstrade.co.uk/trade-sports-supplements</x:v>
      </x:c>
      <x:c r="H407" t="str"/>
      <x:c r="I407" t="str">
        <x:v>Pending genuine supplier/brand image</x:v>
      </x:c>
    </x:row>
    <x:row r="408">
      <x:c r="A408" t="str">
        <x:v>Mars</x:v>
      </x:c>
      <x:c r="B408" t="str">
        <x:v>Hi Protein RTD</x:v>
      </x:c>
      <x:c r="C408" t="str">
        <x:v>Drinks and Bars</x:v>
      </x:c>
      <x:c r="D408" t="str">
        <x:v>Ready to Drink Protein</x:v>
      </x:c>
      <x:c r="E408" t="str">
        <x:v>8 bottles</x:v>
      </x:c>
      <x:c r="F408" t="n">
        <x:v>1</x:v>
      </x:c>
      <x:c r="G408" t="str">
        <x:v>https://www.activesportstrade.co.uk/trade-convienience</x:v>
      </x:c>
      <x:c r="H408" t="str"/>
      <x:c r="I408" t="str">
        <x:v>Pending genuine supplier/brand image</x:v>
      </x:c>
    </x:row>
    <x:row r="409">
      <x:c r="A409" t="str">
        <x:v>Inferno 2 - Fat Burner</x:v>
      </x:c>
      <x:c r="B409" t="str">
        <x:v>Inferno 2</x:v>
      </x:c>
      <x:c r="C409" t="str">
        <x:v>Supplements</x:v>
      </x:c>
      <x:c r="D409" t="str">
        <x:v>Fat Burners</x:v>
      </x:c>
      <x:c r="E409" t="str">
        <x:v>Capsules</x:v>
      </x:c>
      <x:c r="F409" t="n">
        <x:v>1</x:v>
      </x:c>
      <x:c r="G409" t="str">
        <x:v>https://www.activesportstrade.co.uk/trade-sports-supplements</x:v>
      </x:c>
      <x:c r="H409" t="str"/>
      <x:c r="I409" t="str">
        <x:v>Pending genuine supplier/brand image</x:v>
      </x:c>
    </x:row>
    <x:row r="410">
      <x:c r="A410" t="str">
        <x:v>Monster Energy</x:v>
      </x:c>
      <x:c r="B410" t="str">
        <x:v>Aussie Lemonade Edition</x:v>
      </x:c>
      <x:c r="C410" t="str">
        <x:v>Drinks and Bars</x:v>
      </x:c>
      <x:c r="D410" t="str">
        <x:v>Ready to Drink Energy</x:v>
      </x:c>
      <x:c r="E410" t="str">
        <x:v>12 x 500ml cans</x:v>
      </x:c>
      <x:c r="F410" t="n">
        <x:v>1</x:v>
      </x:c>
      <x:c r="G410" t="str">
        <x:v>https://www.activesportstrade.co.uk/monster-energy-trade</x:v>
      </x:c>
      <x:c r="H410" t="str"/>
      <x:c r="I410" t="str">
        <x:v>Pending genuine supplier/brand image</x:v>
      </x:c>
    </x:row>
    <x:row r="411">
      <x:c r="A411" t="str">
        <x:v>Monster Energy</x:v>
      </x:c>
      <x:c r="B411" t="str">
        <x:v>Bad Apple Edition</x:v>
      </x:c>
      <x:c r="C411" t="str">
        <x:v>Drinks and Bars</x:v>
      </x:c>
      <x:c r="D411" t="str">
        <x:v>Ready to Drink Energy</x:v>
      </x:c>
      <x:c r="E411" t="str">
        <x:v>12 x 500ml cans</x:v>
      </x:c>
      <x:c r="F411" t="n">
        <x:v>1</x:v>
      </x:c>
      <x:c r="G411" t="str">
        <x:v>https://www.activesportstrade.co.uk/monster-energy-trade</x:v>
      </x:c>
      <x:c r="H411" t="str"/>
      <x:c r="I411" t="str">
        <x:v>Pending genuine supplier/brand image</x:v>
      </x:c>
    </x:row>
    <x:row r="412">
      <x:c r="A412" t="str">
        <x:v>Monster Energy - Ultra &amp; Sugar Free</x:v>
      </x:c>
      <x:c r="B412" t="str">
        <x:v>Absolute Zero</x:v>
      </x:c>
      <x:c r="C412" t="str">
        <x:v>Drinks and Bars</x:v>
      </x:c>
      <x:c r="D412" t="str">
        <x:v>Ready to Drink Energy</x:v>
      </x:c>
      <x:c r="E412" t="str">
        <x:v>12 x 500ml cans</x:v>
      </x:c>
      <x:c r="F412" t="n">
        <x:v>1</x:v>
      </x:c>
      <x:c r="G412" t="str">
        <x:v>https://www.activesportstrade.co.uk/Ready-to-Drink-Energy/monster-energy-ultra</x:v>
      </x:c>
      <x:c r="H412" t="str"/>
      <x:c r="I412" t="str">
        <x:v>Pending genuine supplier/brand image</x:v>
      </x:c>
    </x:row>
    <x:row r="413">
      <x:c r="A413" t="str">
        <x:v>Monster Energy - Ultra &amp; Sugar Free</x:v>
      </x:c>
      <x:c r="B413" t="str">
        <x:v>Monster Ultra</x:v>
      </x:c>
      <x:c r="C413" t="str">
        <x:v>Drinks and Bars</x:v>
      </x:c>
      <x:c r="D413" t="str">
        <x:v>Ready to Drink Energy</x:v>
      </x:c>
      <x:c r="E413" t="str">
        <x:v>12 x 500ml cans</x:v>
      </x:c>
      <x:c r="F413" t="n">
        <x:v>7</x:v>
      </x:c>
      <x:c r="G413" t="str">
        <x:v>https://www.activesportstrade.co.uk/Ready-to-Drink-Energy/monster-energy-ultra</x:v>
      </x:c>
      <x:c r="H413" t="str"/>
      <x:c r="I413" t="str">
        <x:v>Pending genuine supplier/brand image</x:v>
      </x:c>
    </x:row>
    <x:row r="414">
      <x:c r="A414" t="str">
        <x:v>Monster Energy - Ultra &amp; Sugar Free</x:v>
      </x:c>
      <x:c r="B414" t="str">
        <x:v>Zero Sugar - Lando Norris</x:v>
      </x:c>
      <x:c r="C414" t="str">
        <x:v>Drinks and Bars</x:v>
      </x:c>
      <x:c r="D414" t="str">
        <x:v>Ready to Drink Energy</x:v>
      </x:c>
      <x:c r="E414" t="str">
        <x:v>12 x 500ml cans</x:v>
      </x:c>
      <x:c r="F414" t="n">
        <x:v>1</x:v>
      </x:c>
      <x:c r="G414" t="str">
        <x:v>https://www.activesportstrade.co.uk/trade-sports-supplements/monster-energy-ultra</x:v>
      </x:c>
      <x:c r="H414" t="str"/>
      <x:c r="I414" t="str">
        <x:v>Pending genuine supplier/brand image</x:v>
      </x:c>
    </x:row>
    <x:row r="415">
      <x:c r="A415" t="str">
        <x:v>Monster Energy - Ultra &amp; Sugar Free</x:v>
      </x:c>
      <x:c r="B415" t="str">
        <x:v>Zero Sugar - Lewis Hamilton</x:v>
      </x:c>
      <x:c r="C415" t="str">
        <x:v>Drinks and Bars</x:v>
      </x:c>
      <x:c r="D415" t="str">
        <x:v>Ready to Drink Energy</x:v>
      </x:c>
      <x:c r="E415" t="str">
        <x:v>12 x 500ml cans</x:v>
      </x:c>
      <x:c r="F415" t="n">
        <x:v>1</x:v>
      </x:c>
      <x:c r="G415" t="str">
        <x:v>https://www.activesportstrade.co.uk/trade-sports-supplements/monster-energy-ultra</x:v>
      </x:c>
      <x:c r="H415" t="str"/>
      <x:c r="I415" t="str">
        <x:v>Pending genuine supplier/brand image</x:v>
      </x:c>
    </x:row>
    <x:row r="416">
      <x:c r="A416" t="str">
        <x:v>Monster Energy - Ultra &amp; Sugar Free</x:v>
      </x:c>
      <x:c r="B416" t="str">
        <x:v>Zero Sugar - Original</x:v>
      </x:c>
      <x:c r="C416" t="str">
        <x:v>Drinks and Bars</x:v>
      </x:c>
      <x:c r="D416" t="str">
        <x:v>Ready to Drink Energy</x:v>
      </x:c>
      <x:c r="E416" t="str">
        <x:v>12 x 500ml cans</x:v>
      </x:c>
      <x:c r="F416" t="n">
        <x:v>1</x:v>
      </x:c>
      <x:c r="G416" t="str">
        <x:v>https://www.activesportstrade.co.uk/trade-sports-supplements/monster-energy-ultra</x:v>
      </x:c>
      <x:c r="H416" t="str"/>
      <x:c r="I416" t="str">
        <x:v>Pending genuine supplier/brand image</x:v>
      </x:c>
    </x:row>
    <x:row r="417">
      <x:c r="A417" t="str">
        <x:v>Monster Energy - Ultra &amp; Sugar Free</x:v>
      </x:c>
      <x:c r="B417" t="str">
        <x:v>Zero Sugar - VR 46 Valentino Rossi</x:v>
      </x:c>
      <x:c r="C417" t="str">
        <x:v>Drinks and Bars</x:v>
      </x:c>
      <x:c r="D417" t="str">
        <x:v>Ready to Drink Energy</x:v>
      </x:c>
      <x:c r="E417" t="str">
        <x:v>12 x 500ml cans</x:v>
      </x:c>
      <x:c r="F417" t="n">
        <x:v>1</x:v>
      </x:c>
      <x:c r="G417" t="str">
        <x:v>https://www.activesportstrade.co.uk/trade-sports-supplements/monster-energy-ultra</x:v>
      </x:c>
      <x:c r="H417" t="str"/>
      <x:c r="I417" t="str">
        <x:v>Pending genuine supplier/brand image</x:v>
      </x:c>
    </x:row>
    <x:row r="418">
      <x:c r="A418" t="str">
        <x:v>Muscle King Nutrition</x:v>
      </x:c>
      <x:c r="B418" t="str">
        <x:v>Carbo Fuel RTD</x:v>
      </x:c>
      <x:c r="C418" t="str">
        <x:v>Drinks and Bars</x:v>
      </x:c>
      <x:c r="D418" t="str">
        <x:v>Carbohydrate Drinks</x:v>
      </x:c>
      <x:c r="E418" t="str">
        <x:v>12 x 500ml bottles</x:v>
      </x:c>
      <x:c r="F418" t="n">
        <x:v>7</x:v>
      </x:c>
      <x:c r="G418" t="str">
        <x:v>https://www.activesportstrade.co.uk/trade-sports-supplements/Muscle-King-Nutrition</x:v>
      </x:c>
      <x:c r="H418" t="str"/>
      <x:c r="I418" t="str">
        <x:v>Pending genuine supplier/brand image</x:v>
      </x:c>
    </x:row>
    <x:row r="419">
      <x:c r="A419" t="str">
        <x:v>Muscle King Nutrition</x:v>
      </x:c>
      <x:c r="B419" t="str">
        <x:v>Creatine Monohydrate Powder</x:v>
      </x:c>
      <x:c r="C419" t="str">
        <x:v>Supplements</x:v>
      </x:c>
      <x:c r="D419" t="str">
        <x:v>Creatine Powders</x:v>
      </x:c>
      <x:c r="E419" t="str">
        <x:v>250g, 500g</x:v>
      </x:c>
      <x:c r="F419" t="n">
        <x:v>2</x:v>
      </x:c>
      <x:c r="G419" t="str">
        <x:v>https://www.activesportstrade.co.uk/trade-sports-supplements/Muscle-King-Nutrition</x:v>
      </x:c>
      <x:c r="H419" t="str"/>
      <x:c r="I419" t="str">
        <x:v>Pending genuine supplier/brand image</x:v>
      </x:c>
    </x:row>
    <x:row r="420">
      <x:c r="A420" t="str">
        <x:v>Muscle King Nutrition</x:v>
      </x:c>
      <x:c r="B420" t="str">
        <x:v>PRE Workout</x:v>
      </x:c>
      <x:c r="C420" t="str">
        <x:v>Pre Workouts</x:v>
      </x:c>
      <x:c r="D420" t="str">
        <x:v>High Stim</x:v>
      </x:c>
      <x:c r="E420" t="str">
        <x:v>30 servings</x:v>
      </x:c>
      <x:c r="F420" t="n">
        <x:v>2</x:v>
      </x:c>
      <x:c r="G420" t="str">
        <x:v>https://www.activesportstrade.co.uk/trade-sports-supplements/Muscle-King-Nutrition</x:v>
      </x:c>
      <x:c r="H420" t="str"/>
      <x:c r="I420" t="str">
        <x:v>Pending genuine supplier/brand image</x:v>
      </x:c>
    </x:row>
    <x:row r="421">
      <x:c r="A421" t="str">
        <x:v>Muscle King Nutrition</x:v>
      </x:c>
      <x:c r="B421" t="str">
        <x:v>Protein Flapjacks</x:v>
      </x:c>
      <x:c r="C421" t="str">
        <x:v>Drinks and Bars</x:v>
      </x:c>
      <x:c r="D421" t="str">
        <x:v>Bars and Snacks</x:v>
      </x:c>
      <x:c r="E421" t="str">
        <x:v>12 x 100g bars</x:v>
      </x:c>
      <x:c r="F421" t="n">
        <x:v>12</x:v>
      </x:c>
      <x:c r="G421" t="str">
        <x:v>https://www.activesportstrade.co.uk/trade-sports-supplements/Muscle-King-Nutrition</x:v>
      </x:c>
      <x:c r="H421" t="str"/>
      <x:c r="I421" t="str">
        <x:v>Pending genuine supplier/brand image</x:v>
      </x:c>
    </x:row>
    <x:row r="422">
      <x:c r="A422" t="str">
        <x:v>Muscle King Nutrition</x:v>
      </x:c>
      <x:c r="B422" t="str">
        <x:v>Protein Power Shake</x:v>
      </x:c>
      <x:c r="C422" t="str">
        <x:v>Supplements</x:v>
      </x:c>
      <x:c r="D422" t="str">
        <x:v>Protein Blends</x:v>
      </x:c>
      <x:c r="E422" t="str">
        <x:v>2kg</x:v>
      </x:c>
      <x:c r="F422" t="n">
        <x:v>4</x:v>
      </x:c>
      <x:c r="G422" t="str">
        <x:v>https://www.activesportstrade.co.uk/Protein-Blends-Trade/Muscle-King-Nutrition</x:v>
      </x:c>
      <x:c r="H422" t="str"/>
      <x:c r="I422" t="str">
        <x:v>Pending genuine supplier/brand image</x:v>
      </x:c>
    </x:row>
    <x:row r="423">
      <x:c r="A423" t="str">
        <x:v>Muscle King Nutrition</x:v>
      </x:c>
      <x:c r="B423" t="str">
        <x:v>WIR3D Extreme Energy Shot</x:v>
      </x:c>
      <x:c r="C423" t="str">
        <x:v>Pre Workouts</x:v>
      </x:c>
      <x:c r="D423" t="str">
        <x:v>Shots and Ready To Drink</x:v>
      </x:c>
      <x:c r="E423" t="str">
        <x:v>12 x 65ml shots</x:v>
      </x:c>
      <x:c r="F423" t="n">
        <x:v>2</x:v>
      </x:c>
      <x:c r="G423" t="str">
        <x:v>https://www.activesportstrade.co.uk/trade-sports-supplements/Muscle-King-Nutrition</x:v>
      </x:c>
      <x:c r="H423" t="str"/>
      <x:c r="I423" t="str">
        <x:v>Pending genuine supplier/brand image</x:v>
      </x:c>
    </x:row>
    <x:row r="424">
      <x:c r="A424" t="str">
        <x:v>Muscle King Nutrition</x:v>
      </x:c>
      <x:c r="B424" t="str">
        <x:v>Gym / Fitness Gloves with Wrist Support</x:v>
      </x:c>
      <x:c r="C424" t="str">
        <x:v>Merch &amp; Apparel</x:v>
      </x:c>
      <x:c r="D424" t="str">
        <x:v>Training Gloves</x:v>
      </x:c>
      <x:c r="E424" t="str">
        <x:v>Pair</x:v>
      </x:c>
      <x:c r="F424" t="n">
        <x:v>4</x:v>
      </x:c>
      <x:c r="G424" t="str">
        <x:v>https://www.activesportstrade.co.uk/Straps-and-Supports</x:v>
      </x:c>
      <x:c r="H424" t="str"/>
      <x:c r="I424" t="str">
        <x:v>Pending genuine supplier/brand image</x:v>
      </x:c>
    </x:row>
    <x:row r="425">
      <x:c r="A425" t="str">
        <x:v>Muscle King Nutrition</x:v>
      </x:c>
      <x:c r="B425" t="str">
        <x:v>Knee Sleeves 7mm Neoprene</x:v>
      </x:c>
      <x:c r="C425" t="str">
        <x:v>Merch &amp; Apparel</x:v>
      </x:c>
      <x:c r="D425" t="str">
        <x:v>Straps and Supports</x:v>
      </x:c>
      <x:c r="E425" t="str">
        <x:v>Pair</x:v>
      </x:c>
      <x:c r="F425" t="n">
        <x:v>6</x:v>
      </x:c>
      <x:c r="G425" t="str">
        <x:v>https://www.activesportstrade.co.uk/Straps-and-Supports</x:v>
      </x:c>
      <x:c r="H425" t="str"/>
      <x:c r="I425" t="str">
        <x:v>Pending genuine supplier/brand image</x:v>
      </x:c>
    </x:row>
    <x:row r="426">
      <x:c r="A426" t="str">
        <x:v>Muscle King Nutrition</x:v>
      </x:c>
      <x:c r="B426" t="str">
        <x:v>Knee Wraps</x:v>
      </x:c>
      <x:c r="C426" t="str">
        <x:v>Merch &amp; Apparel</x:v>
      </x:c>
      <x:c r="D426" t="str">
        <x:v>Straps and Supports</x:v>
      </x:c>
      <x:c r="E426" t="str">
        <x:v>Pair</x:v>
      </x:c>
      <x:c r="F426" t="n">
        <x:v>2</x:v>
      </x:c>
      <x:c r="G426" t="str">
        <x:v>https://www.activesportstrade.co.uk/Straps-and-Supports</x:v>
      </x:c>
      <x:c r="H426" t="str"/>
      <x:c r="I426" t="str">
        <x:v>Pending genuine supplier/brand image</x:v>
      </x:c>
    </x:row>
    <x:row r="427">
      <x:c r="A427" t="str">
        <x:v>Muscle King Nutrition</x:v>
      </x:c>
      <x:c r="B427" t="str">
        <x:v>Padded Rubber Grip Lifting Straps</x:v>
      </x:c>
      <x:c r="C427" t="str">
        <x:v>Merch &amp; Apparel</x:v>
      </x:c>
      <x:c r="D427" t="str">
        <x:v>Straps and Supports</x:v>
      </x:c>
      <x:c r="E427" t="str">
        <x:v>Pair</x:v>
      </x:c>
      <x:c r="F427" t="n">
        <x:v>2</x:v>
      </x:c>
      <x:c r="G427" t="str">
        <x:v>https://www.activesportstrade.co.uk/Straps-and-Supports</x:v>
      </x:c>
      <x:c r="H427" t="str"/>
      <x:c r="I427" t="str">
        <x:v>Pending genuine supplier/brand image</x:v>
      </x:c>
    </x:row>
    <x:row r="428">
      <x:c r="A428" t="str">
        <x:v>Muscle King Nutrition</x:v>
      </x:c>
      <x:c r="B428" t="str">
        <x:v>Wrist Wraps / Supports</x:v>
      </x:c>
      <x:c r="C428" t="str">
        <x:v>Merch &amp; Apparel</x:v>
      </x:c>
      <x:c r="D428" t="str">
        <x:v>Straps and Supports</x:v>
      </x:c>
      <x:c r="E428" t="str">
        <x:v>Pair</x:v>
      </x:c>
      <x:c r="F428" t="n">
        <x:v>2</x:v>
      </x:c>
      <x:c r="G428" t="str">
        <x:v>https://www.activesportstrade.co.uk/Straps-and-Supports</x:v>
      </x:c>
      <x:c r="H428" t="str"/>
      <x:c r="I428" t="str">
        <x:v>Pending genuine supplier/brand image</x:v>
      </x:c>
    </x:row>
    <x:row r="429">
      <x:c r="A429" t="str">
        <x:v>Inferno 2 - Fat Burner</x:v>
      </x:c>
      <x:c r="B429" t="str">
        <x:v>Inferno 2</x:v>
      </x:c>
      <x:c r="C429" t="str">
        <x:v>Supplements</x:v>
      </x:c>
      <x:c r="D429" t="str">
        <x:v>Fat Burners</x:v>
      </x:c>
      <x:c r="E429" t="str">
        <x:v>90 caps</x:v>
      </x:c>
      <x:c r="F429" t="n">
        <x:v>1</x:v>
      </x:c>
      <x:c r="G429" t="str">
        <x:v>https://www.activesportstrade.co.uk/Diet-Weight-Loss</x:v>
      </x:c>
      <x:c r="H429" t="str"/>
      <x:c r="I429" t="str">
        <x:v>Pending genuine supplier/brand image</x:v>
      </x:c>
    </x:row>
    <x:row r="430">
      <x:c r="A430" t="str">
        <x:v>Mountain Joes</x:v>
      </x:c>
      <x:c r="B430" t="str">
        <x:v>Shake A Whey</x:v>
      </x:c>
      <x:c r="C430" t="str">
        <x:v>Supplements</x:v>
      </x:c>
      <x:c r="D430" t="str">
        <x:v>Whey Protein</x:v>
      </x:c>
      <x:c r="E430" t="str">
        <x:v>1.8kg</x:v>
      </x:c>
      <x:c r="F430" t="n">
        <x:v>7</x:v>
      </x:c>
      <x:c r="G430" t="str">
        <x:v>https://www.activesportstrade.co.uk/Whey-Protein-Supplements-Trade/mountain-joes-trade</x:v>
      </x:c>
      <x:c r="H430" t="str"/>
      <x:c r="I430" t="str">
        <x:v>Pending genuine supplier/brand image</x:v>
      </x:c>
    </x:row>
    <x:row r="431">
      <x:c r="A431" t="str">
        <x:v>Muscle Moose</x:v>
      </x:c>
      <x:c r="B431" t="str">
        <x:v>Big Protein Flapjack</x:v>
      </x:c>
      <x:c r="C431" t="str">
        <x:v>Drinks and Bars</x:v>
      </x:c>
      <x:c r="D431" t="str">
        <x:v>Bars and Snacks</x:v>
      </x:c>
      <x:c r="E431" t="str">
        <x:v>12 x 100g bars</x:v>
      </x:c>
      <x:c r="F431" t="n">
        <x:v>6</x:v>
      </x:c>
      <x:c r="G431" t="str">
        <x:v>https://www.activesportstrade.co.uk/muscle-moose-trade</x:v>
      </x:c>
      <x:c r="H431" t="str"/>
      <x:c r="I431" t="str">
        <x:v>Pending genuine supplier/brand image</x:v>
      </x:c>
    </x:row>
    <x:row r="432">
      <x:c r="A432" t="str">
        <x:v>Muscle Moose</x:v>
      </x:c>
      <x:c r="B432" t="str">
        <x:v>Moose Juice Energy Shot</x:v>
      </x:c>
      <x:c r="C432" t="str">
        <x:v>Pre Workouts</x:v>
      </x:c>
      <x:c r="D432" t="str">
        <x:v>Shots and Ready To Drink</x:v>
      </x:c>
      <x:c r="E432" t="str">
        <x:v>12 x 60ml shots</x:v>
      </x:c>
      <x:c r="F432" t="n">
        <x:v>2</x:v>
      </x:c>
      <x:c r="G432" t="str">
        <x:v>https://www.activesportstrade.co.uk/ready-to-drink-pre-workout-trade</x:v>
      </x:c>
      <x:c r="H432" t="str"/>
      <x:c r="I432" t="str">
        <x:v>Pending genuine supplier/brand image</x:v>
      </x:c>
    </x:row>
    <x:row r="433">
      <x:c r="A433" t="str">
        <x:v>Muscle Moose</x:v>
      </x:c>
      <x:c r="B433" t="str">
        <x:v>Protein Shake</x:v>
      </x:c>
      <x:c r="C433" t="str">
        <x:v>Supplements</x:v>
      </x:c>
      <x:c r="D433" t="str">
        <x:v>Whey Protein</x:v>
      </x:c>
      <x:c r="E433" t="str">
        <x:v>400g</x:v>
      </x:c>
      <x:c r="F433" t="n">
        <x:v>3</x:v>
      </x:c>
      <x:c r="G433" t="str">
        <x:v>https://www.activesportstrade.co.uk/Whey-Protein-Supplements-Trade/muscle-moose-trade</x:v>
      </x:c>
      <x:c r="H433" t="str"/>
      <x:c r="I433" t="str">
        <x:v>Pending genuine supplier/brand image</x:v>
      </x:c>
    </x:row>
    <x:row r="434">
      <x:c r="A434" t="str">
        <x:v>Muscle Moose</x:v>
      </x:c>
      <x:c r="B434" t="str">
        <x:v>Supreme Protein</x:v>
      </x:c>
      <x:c r="C434" t="str">
        <x:v>Supplements</x:v>
      </x:c>
      <x:c r="D434" t="str">
        <x:v>Whey Protein</x:v>
      </x:c>
      <x:c r="E434" t="str">
        <x:v>1.8kg</x:v>
      </x:c>
      <x:c r="F434" t="n">
        <x:v>3</x:v>
      </x:c>
      <x:c r="G434" t="str">
        <x:v>https://www.activesportstrade.co.uk/Whey-Protein-Supplements-Trade/muscle-moose-trade</x:v>
      </x:c>
      <x:c r="H434" t="str"/>
      <x:c r="I434" t="str">
        <x:v>Pending genuine supplier/brand image</x:v>
      </x:c>
    </x:row>
    <x:row r="435">
      <x:c r="A435" t="str">
        <x:v>Naughty Boy Lifestyle</x:v>
      </x:c>
      <x:c r="B435" t="str">
        <x:v>HydraMind</x:v>
      </x:c>
      <x:c r="C435" t="str">
        <x:v>Supplements</x:v>
      </x:c>
      <x:c r="D435" t="str">
        <x:v>Hydration</x:v>
      </x:c>
      <x:c r="E435" t="str">
        <x:v>30 servings</x:v>
      </x:c>
      <x:c r="F435" t="n">
        <x:v>5</x:v>
      </x:c>
      <x:c r="G435" t="str">
        <x:v>https://www.activesportstrade.co.uk/hydration-supplements-trade</x:v>
      </x:c>
      <x:c r="H435" t="str"/>
      <x:c r="I435" t="str">
        <x:v>Pending genuine supplier/brand image</x:v>
      </x:c>
    </x:row>
    <x:row r="436">
      <x:c r="A436" t="str">
        <x:v>Naughty Boy Lifestyle</x:v>
      </x:c>
      <x:c r="B436" t="str">
        <x:v>Hydration</x:v>
      </x:c>
      <x:c r="C436" t="str">
        <x:v>Supplements</x:v>
      </x:c>
      <x:c r="D436" t="str">
        <x:v>Hydration</x:v>
      </x:c>
      <x:c r="E436" t="str">
        <x:v>15 servings, 30 servings, 510g / 60 servings</x:v>
      </x:c>
      <x:c r="F436" t="n">
        <x:v>22</x:v>
      </x:c>
      <x:c r="G436" t="str">
        <x:v>https://www.activesportstrade.co.uk/hydration-supplements-trade</x:v>
      </x:c>
      <x:c r="H436" t="str"/>
      <x:c r="I436" t="str">
        <x:v>Pending genuine supplier/brand image</x:v>
      </x:c>
    </x:row>
    <x:row r="437">
      <x:c r="A437" t="str">
        <x:v>Naughty Boy Lifestyle</x:v>
      </x:c>
      <x:c r="B437" t="str">
        <x:v>Advanced Whey Protein</x:v>
      </x:c>
      <x:c r="C437" t="str">
        <x:v>Supplements</x:v>
      </x:c>
      <x:c r="D437" t="str">
        <x:v>Whey Protein</x:v>
      </x:c>
      <x:c r="E437" t="str">
        <x:v>900g</x:v>
      </x:c>
      <x:c r="F437" t="n">
        <x:v>27</x:v>
      </x:c>
      <x:c r="G437" t="str">
        <x:v>https://www.activesportstrade.co.uk/Whey-Protein-Supplements-Trade</x:v>
      </x:c>
      <x:c r="H437" t="str"/>
      <x:c r="I437" t="str">
        <x:v>Pending genuine supplier/brand image</x:v>
      </x:c>
    </x:row>
    <x:row r="438">
      <x:c r="A438" t="str">
        <x:v>Naughty Boy Lifestyle</x:v>
      </x:c>
      <x:c r="B438" t="str">
        <x:v>Beef Zero Clear Beef Protein Isolate</x:v>
      </x:c>
      <x:c r="C438" t="str">
        <x:v>Supplements</x:v>
      </x:c>
      <x:c r="D438" t="str">
        <x:v>Protein Blends</x:v>
      </x:c>
      <x:c r="E438" t="str">
        <x:v>1800g</x:v>
      </x:c>
      <x:c r="F438" t="n">
        <x:v>6</x:v>
      </x:c>
      <x:c r="G438" t="str">
        <x:v>https://www.activesportstrade.co.uk/Whey-Protein-Supplements-Trade</x:v>
      </x:c>
      <x:c r="H438" t="str"/>
      <x:c r="I438" t="str">
        <x:v>Pending genuine supplier/brand image</x:v>
      </x:c>
    </x:row>
    <x:row r="439">
      <x:c r="A439" t="str">
        <x:v>Naughty Boy Lifestyle</x:v>
      </x:c>
      <x:c r="B439" t="str">
        <x:v>Esco Bar</x:v>
      </x:c>
      <x:c r="C439" t="str">
        <x:v>Drinks and Bars</x:v>
      </x:c>
      <x:c r="D439" t="str">
        <x:v>Bars and Snacks</x:v>
      </x:c>
      <x:c r="E439" t="str">
        <x:v>12 bars</x:v>
      </x:c>
      <x:c r="F439" t="n">
        <x:v>4</x:v>
      </x:c>
      <x:c r="G439" t="str">
        <x:v>https://www.activesportstrade.co.uk/Protein-Bars</x:v>
      </x:c>
      <x:c r="H439" t="str"/>
      <x:c r="I439" t="str">
        <x:v>Pending genuine supplier/brand image</x:v>
      </x:c>
    </x:row>
    <x:row r="440">
      <x:c r="A440" t="str">
        <x:v>Naughty Boy Lifestyle</x:v>
      </x:c>
      <x:c r="B440" t="str">
        <x:v>Menace Pre Workout Shots</x:v>
      </x:c>
      <x:c r="C440" t="str">
        <x:v>Pre Workouts</x:v>
      </x:c>
      <x:c r="D440" t="str">
        <x:v>Shots and Ready To Drink</x:v>
      </x:c>
      <x:c r="E440" t="str">
        <x:v>12 shots</x:v>
      </x:c>
      <x:c r="F440" t="n">
        <x:v>3</x:v>
      </x:c>
      <x:c r="G440" t="str">
        <x:v>https://www.activesportstrade.co.uk/ready-to-drink-pre-workout-trade</x:v>
      </x:c>
      <x:c r="H440" t="str"/>
      <x:c r="I440" t="str">
        <x:v>Pending genuine supplier/brand image</x:v>
      </x:c>
    </x:row>
    <x:row r="441">
      <x:c r="A441" t="str">
        <x:v>Naughty Boy Lifestyle</x:v>
      </x:c>
      <x:c r="B441" t="str">
        <x:v>Gluco-B</x:v>
      </x:c>
      <x:c r="C441" t="str">
        <x:v>Supplements</x:v>
      </x:c>
      <x:c r="D441" t="str">
        <x:v>Insulin Drivers</x:v>
      </x:c>
      <x:c r="E441" t="str">
        <x:v>60 caps</x:v>
      </x:c>
      <x:c r="F441" t="n">
        <x:v>1</x:v>
      </x:c>
      <x:c r="G441" t="str">
        <x:v>https://www.activesportstrade.co.uk/Diet-Weight-Loss</x:v>
      </x:c>
      <x:c r="H441" t="str"/>
      <x:c r="I441" t="str">
        <x:v>Pending genuine supplier/brand image</x:v>
      </x:c>
    </x:row>
    <x:row r="442">
      <x:c r="A442" t="str">
        <x:v>Naughty Boy Lifestyle</x:v>
      </x:c>
      <x:c r="B442" t="str">
        <x:v>Shred OG</x:v>
      </x:c>
      <x:c r="C442" t="str">
        <x:v>Supplements</x:v>
      </x:c>
      <x:c r="D442" t="str">
        <x:v>Fat Burners</x:v>
      </x:c>
      <x:c r="E442" t="str">
        <x:v>60 caps</x:v>
      </x:c>
      <x:c r="F442" t="n">
        <x:v>1</x:v>
      </x:c>
      <x:c r="G442" t="str">
        <x:v>https://www.activesportstrade.co.uk/Diet-Weight-Loss</x:v>
      </x:c>
      <x:c r="H442" t="str"/>
      <x:c r="I442" t="str">
        <x:v>Pending genuine supplier/brand image</x:v>
      </x:c>
    </x:row>
    <x:row r="443">
      <x:c r="A443" t="str">
        <x:v>Naughty Boy Lifestyle</x:v>
      </x:c>
      <x:c r="B443" t="str">
        <x:v>ENERGY Pre Workout</x:v>
      </x:c>
      <x:c r="C443" t="str">
        <x:v>Pre Workouts</x:v>
      </x:c>
      <x:c r="D443" t="str">
        <x:v>High Stim</x:v>
      </x:c>
      <x:c r="E443" t="str">
        <x:v>30 servings</x:v>
      </x:c>
      <x:c r="F443" t="n">
        <x:v>12</x:v>
      </x:c>
      <x:c r="G443" t="str">
        <x:v>https://www.activesportstrade.co.uk/pre-workouts-powder-trade</x:v>
      </x:c>
      <x:c r="H443" t="str"/>
      <x:c r="I443" t="str">
        <x:v>Pending genuine supplier/brand image</x:v>
      </x:c>
    </x:row>
    <x:row r="444">
      <x:c r="A444" t="str">
        <x:v>Naughty Boy Lifestyle</x:v>
      </x:c>
      <x:c r="B444" t="str">
        <x:v>Menace Pre Workout V1</x:v>
      </x:c>
      <x:c r="C444" t="str">
        <x:v>Pre Workouts</x:v>
      </x:c>
      <x:c r="D444" t="str">
        <x:v>High Stim</x:v>
      </x:c>
      <x:c r="E444" t="str">
        <x:v>30 servings</x:v>
      </x:c>
      <x:c r="F444" t="n">
        <x:v>6</x:v>
      </x:c>
      <x:c r="G444" t="str">
        <x:v>https://www.activesportstrade.co.uk/pre-workouts-powder-trade</x:v>
      </x:c>
      <x:c r="H444" t="str"/>
      <x:c r="I444" t="str">
        <x:v>Pending genuine supplier/brand image</x:v>
      </x:c>
    </x:row>
    <x:row r="445">
      <x:c r="A445" t="str">
        <x:v>Naughty Boy Lifestyle</x:v>
      </x:c>
      <x:c r="B445" t="str">
        <x:v>Menace V2 Pre Workout</x:v>
      </x:c>
      <x:c r="C445" t="str">
        <x:v>Pre Workouts</x:v>
      </x:c>
      <x:c r="D445" t="str">
        <x:v>High Stim</x:v>
      </x:c>
      <x:c r="E445" t="str">
        <x:v>60 / 30 servings</x:v>
      </x:c>
      <x:c r="F445" t="n">
        <x:v>13</x:v>
      </x:c>
      <x:c r="G445" t="str">
        <x:v>https://www.activesportstrade.co.uk/pre-workouts-powder-trade</x:v>
      </x:c>
      <x:c r="H445" t="str"/>
      <x:c r="I445" t="str">
        <x:v>Pending genuine supplier/brand image</x:v>
      </x:c>
    </x:row>
    <x:row r="446">
      <x:c r="A446" t="str">
        <x:v>Naughty Boy Lifestyle</x:v>
      </x:c>
      <x:c r="B446" t="str">
        <x:v>Pump</x:v>
      </x:c>
      <x:c r="C446" t="str">
        <x:v>Pre Workouts</x:v>
      </x:c>
      <x:c r="D446" t="str">
        <x:v>Stim FREE</x:v>
      </x:c>
      <x:c r="E446" t="str">
        <x:v>25 servings</x:v>
      </x:c>
      <x:c r="F446" t="n">
        <x:v>6</x:v>
      </x:c>
      <x:c r="G446" t="str">
        <x:v>https://www.activesportstrade.co.uk/pre-workouts-powder-trade</x:v>
      </x:c>
      <x:c r="H446" t="str"/>
      <x:c r="I446" t="str">
        <x:v>Pending genuine supplier/brand image</x:v>
      </x:c>
    </x:row>
    <x:row r="447">
      <x:c r="A447" t="str">
        <x:v>NXT Nutrition</x:v>
      </x:c>
      <x:c r="B447" t="str">
        <x:v>10 Billion Live Friendly Bacteria</x:v>
      </x:c>
      <x:c r="C447" t="str">
        <x:v>Supplements</x:v>
      </x:c>
      <x:c r="D447" t="str">
        <x:v>Health Foods</x:v>
      </x:c>
      <x:c r="E447" t="str">
        <x:v>30 capsules</x:v>
      </x:c>
      <x:c r="F447" t="n">
        <x:v>1</x:v>
      </x:c>
      <x:c r="G447" t="str">
        <x:v>https://www.activesportstrade.co.uk/nxt-nutrition-trade</x:v>
      </x:c>
      <x:c r="H447" t="str"/>
      <x:c r="I447" t="str">
        <x:v>Pending genuine supplier/brand image</x:v>
      </x:c>
    </x:row>
    <x:row r="448">
      <x:c r="A448" t="str">
        <x:v>NXT Nutrition</x:v>
      </x:c>
      <x:c r="B448" t="str">
        <x:v>BCAA Tablets</x:v>
      </x:c>
      <x:c r="C448" t="str">
        <x:v>Supplements</x:v>
      </x:c>
      <x:c r="D448" t="str">
        <x:v>BCAAS</x:v>
      </x:c>
      <x:c r="E448" t="str">
        <x:v>200 tablets</x:v>
      </x:c>
      <x:c r="F448" t="n">
        <x:v>1</x:v>
      </x:c>
      <x:c r="G448" t="str">
        <x:v>https://www.activesportstrade.co.uk/nxt-nutrition-trade</x:v>
      </x:c>
      <x:c r="H448" t="str"/>
      <x:c r="I448" t="str">
        <x:v>Pending genuine supplier/brand image</x:v>
      </x:c>
    </x:row>
    <x:row r="449">
      <x:c r="A449" t="str">
        <x:v>NXT Nutrition</x:v>
      </x:c>
      <x:c r="B449" t="str">
        <x:v>BCAA, Glutamine &amp; Vitamin D3</x:v>
      </x:c>
      <x:c r="C449" t="str">
        <x:v>Supplements</x:v>
      </x:c>
      <x:c r="D449" t="str">
        <x:v>BCAAS</x:v>
      </x:c>
      <x:c r="E449" t="str">
        <x:v>360g / 30 servings</x:v>
      </x:c>
      <x:c r="F449" t="n">
        <x:v>5</x:v>
      </x:c>
      <x:c r="G449" t="str">
        <x:v>https://www.activesportstrade.co.uk/nxt-nutrition-trade</x:v>
      </x:c>
      <x:c r="H449" t="str"/>
      <x:c r="I449" t="str">
        <x:v>Pending genuine supplier/brand image</x:v>
      </x:c>
    </x:row>
    <x:row r="450">
      <x:c r="A450" t="str">
        <x:v>NXT Nutrition</x:v>
      </x:c>
      <x:c r="B450" t="str">
        <x:v>CRE Hydrate</x:v>
      </x:c>
      <x:c r="C450" t="str">
        <x:v>Supplements</x:v>
      </x:c>
      <x:c r="D450" t="str">
        <x:v>Creatine Powders</x:v>
      </x:c>
      <x:c r="E450" t="str">
        <x:v>360g</x:v>
      </x:c>
      <x:c r="F450" t="n">
        <x:v>7</x:v>
      </x:c>
      <x:c r="G450" t="str">
        <x:v>https://www.activesportstrade.co.uk/Creatine-Powders-Trade/nxt-nutrition-trade</x:v>
      </x:c>
      <x:c r="H450" t="str"/>
      <x:c r="I450" t="str">
        <x:v>Pending genuine supplier/brand image</x:v>
      </x:c>
    </x:row>
    <x:row r="451">
      <x:c r="A451" t="str">
        <x:v>NXT Nutrition</x:v>
      </x:c>
      <x:c r="B451" t="str">
        <x:v>Micronised Creatine</x:v>
      </x:c>
      <x:c r="C451" t="str">
        <x:v>Supplements</x:v>
      </x:c>
      <x:c r="D451" t="str">
        <x:v>Creatine Powders</x:v>
      </x:c>
      <x:c r="E451" t="str">
        <x:v>300g</x:v>
      </x:c>
      <x:c r="F451" t="n">
        <x:v>1</x:v>
      </x:c>
      <x:c r="G451" t="str">
        <x:v>https://www.activesportstrade.co.uk/Creatine-Powders-Trade/nxt-nutrition-trade</x:v>
      </x:c>
      <x:c r="H451" t="str"/>
      <x:c r="I451" t="str">
        <x:v>Pending genuine supplier/brand image</x:v>
      </x:c>
    </x:row>
    <x:row r="452">
      <x:c r="A452" t="str">
        <x:v>NXT Nutrition</x:v>
      </x:c>
      <x:c r="B452" t="str">
        <x:v>Caffeine</x:v>
      </x:c>
      <x:c r="C452" t="str">
        <x:v>Supplements</x:v>
      </x:c>
      <x:c r="D452" t="str">
        <x:v>Energy</x:v>
      </x:c>
      <x:c r="E452" t="str">
        <x:v>60 tablets</x:v>
      </x:c>
      <x:c r="F452" t="n">
        <x:v>1</x:v>
      </x:c>
      <x:c r="G452" t="str">
        <x:v>https://www.activesportstrade.co.uk/trade-pre-workout-supplements/nxt-nutrition-trade</x:v>
      </x:c>
      <x:c r="H452" t="str"/>
      <x:c r="I452" t="str">
        <x:v>Pending genuine supplier/brand image</x:v>
      </x:c>
    </x:row>
    <x:row r="453">
      <x:c r="A453" t="str">
        <x:v>NXT Nutrition</x:v>
      </x:c>
      <x:c r="B453" t="str">
        <x:v>TNT Nuclear Cans</x:v>
      </x:c>
      <x:c r="C453" t="str">
        <x:v>Drinks and Bars</x:v>
      </x:c>
      <x:c r="D453" t="str">
        <x:v>Ready to Drink Energy</x:v>
      </x:c>
      <x:c r="E453" t="str">
        <x:v>12 x 330ml cans</x:v>
      </x:c>
      <x:c r="F453" t="n">
        <x:v>3</x:v>
      </x:c>
      <x:c r="G453" t="str">
        <x:v>https://www.activesportstrade.co.uk/trade-pre-workout-supplements/nxt-nutrition-trade</x:v>
      </x:c>
      <x:c r="H453" t="str"/>
      <x:c r="I453" t="str">
        <x:v>Pending genuine supplier/brand image</x:v>
      </x:c>
    </x:row>
    <x:row r="454">
      <x:c r="A454" t="str">
        <x:v>NXT Nutrition</x:v>
      </x:c>
      <x:c r="B454" t="str">
        <x:v>TNT Nuclear PRE</x:v>
      </x:c>
      <x:c r="C454" t="str">
        <x:v>Pre Workouts</x:v>
      </x:c>
      <x:c r="D454" t="str">
        <x:v>High Stim</x:v>
      </x:c>
      <x:c r="E454" t="str">
        <x:v>420g</x:v>
      </x:c>
      <x:c r="F454" t="n">
        <x:v>11</x:v>
      </x:c>
      <x:c r="G454" t="str">
        <x:v>https://www.activesportstrade.co.uk/trade-pre-workout-supplements/nxt-nutrition-trade</x:v>
      </x:c>
      <x:c r="H454" t="str"/>
      <x:c r="I454" t="str">
        <x:v>Pending genuine supplier/brand image</x:v>
      </x:c>
    </x:row>
    <x:row r="455">
      <x:c r="A455" t="str">
        <x:v>NXT Nutrition</x:v>
      </x:c>
      <x:c r="B455" t="str">
        <x:v>Beef Protein Isolate</x:v>
      </x:c>
      <x:c r="C455" t="str">
        <x:v>Supplements</x:v>
      </x:c>
      <x:c r="D455" t="str">
        <x:v>Protein Blends</x:v>
      </x:c>
      <x:c r="E455" t="str">
        <x:v>1.8kg, 540g</x:v>
      </x:c>
      <x:c r="F455" t="n">
        <x:v>56</x:v>
      </x:c>
      <x:c r="G455" t="str">
        <x:v>https://www.activesportstrade.co.uk/Protein-Blends-Trade</x:v>
      </x:c>
      <x:c r="H455" t="str"/>
      <x:c r="I455" t="str">
        <x:v>Pending genuine supplier/brand image</x:v>
      </x:c>
    </x:row>
    <x:row r="456">
      <x:c r="A456" t="str">
        <x:v>Mutant</x:v>
      </x:c>
      <x:c r="B456" t="str">
        <x:v>GEAAR EAA</x:v>
      </x:c>
      <x:c r="C456" t="str">
        <x:v>Supplements</x:v>
      </x:c>
      <x:c r="D456" t="str">
        <x:v>Amino Acids</x:v>
      </x:c>
      <x:c r="E456" t="str">
        <x:v>378g</x:v>
      </x:c>
      <x:c r="F456" t="n">
        <x:v>6</x:v>
      </x:c>
      <x:c r="G456" t="str">
        <x:v>https://www.activesportstrade.co.uk/BCAAS</x:v>
      </x:c>
      <x:c r="H456" t="str"/>
      <x:c r="I456" t="str">
        <x:v>Pending genuine supplier/brand image</x:v>
      </x:c>
    </x:row>
    <x:row r="457">
      <x:c r="A457" t="str">
        <x:v>Mutant</x:v>
      </x:c>
      <x:c r="B457" t="str">
        <x:v>Hardcore BCAA</x:v>
      </x:c>
      <x:c r="C457" t="str">
        <x:v>Supplements</x:v>
      </x:c>
      <x:c r="D457" t="str">
        <x:v>BCAAS</x:v>
      </x:c>
      <x:c r="E457" t="str">
        <x:v>390g</x:v>
      </x:c>
      <x:c r="F457" t="n">
        <x:v>6</x:v>
      </x:c>
      <x:c r="G457" t="str">
        <x:v>https://www.activesportstrade.co.uk/BCAAS</x:v>
      </x:c>
      <x:c r="H457" t="str"/>
      <x:c r="I457" t="str">
        <x:v>Pending genuine supplier/brand image</x:v>
      </x:c>
    </x:row>
    <x:row r="458">
      <x:c r="A458" t="str">
        <x:v>Mutant</x:v>
      </x:c>
      <x:c r="B458" t="str">
        <x:v>Madness ALL IN</x:v>
      </x:c>
      <x:c r="C458" t="str">
        <x:v>Pre Workouts</x:v>
      </x:c>
      <x:c r="D458" t="str">
        <x:v>High Stim</x:v>
      </x:c>
      <x:c r="E458" t="str">
        <x:v>504g</x:v>
      </x:c>
      <x:c r="F458" t="n">
        <x:v>3</x:v>
      </x:c>
      <x:c r="G458" t="str">
        <x:v>https://www.activesportstrade.co.uk/trade-pre-workout-supplements</x:v>
      </x:c>
      <x:c r="H458" t="str"/>
      <x:c r="I458" t="str">
        <x:v>Pending genuine supplier/brand image</x:v>
      </x:c>
    </x:row>
    <x:row r="459">
      <x:c r="A459" t="str">
        <x:v>Mutant</x:v>
      </x:c>
      <x:c r="B459" t="str">
        <x:v>Madness Pre Workout</x:v>
      </x:c>
      <x:c r="C459" t="str">
        <x:v>Pre Workouts</x:v>
      </x:c>
      <x:c r="D459" t="str">
        <x:v>High Stim</x:v>
      </x:c>
      <x:c r="E459" t="str">
        <x:v>225g</x:v>
      </x:c>
      <x:c r="F459" t="n">
        <x:v>4</x:v>
      </x:c>
      <x:c r="G459" t="str">
        <x:v>https://www.activesportstrade.co.uk/trade-pre-workout-supplements</x:v>
      </x:c>
      <x:c r="H459" t="str"/>
      <x:c r="I459" t="str">
        <x:v>Pending genuine supplier/brand image</x:v>
      </x:c>
    </x:row>
    <x:row r="460">
      <x:c r="A460" t="str">
        <x:v>Project AD</x:v>
      </x:c>
      <x:c r="B460" t="str">
        <x:v>Aminotaur Essential</x:v>
      </x:c>
      <x:c r="C460" t="str">
        <x:v>Supplements</x:v>
      </x:c>
      <x:c r="D460" t="str">
        <x:v>Amino Acids</x:v>
      </x:c>
      <x:c r="E460" t="str">
        <x:v>30 servings</x:v>
      </x:c>
      <x:c r="F460" t="n">
        <x:v>6</x:v>
      </x:c>
      <x:c r="G460" t="str">
        <x:v>https://www.activesportstrade.co.uk/project-ad-trade</x:v>
      </x:c>
      <x:c r="H460" t="str"/>
      <x:c r="I460" t="str">
        <x:v>Pending genuine supplier/brand image</x:v>
      </x:c>
    </x:row>
    <x:row r="461">
      <x:c r="A461" t="str">
        <x:v>Project AD</x:v>
      </x:c>
      <x:c r="B461" t="str">
        <x:v>Estro Pro +</x:v>
      </x:c>
      <x:c r="C461" t="str">
        <x:v>Supplements</x:v>
      </x:c>
      <x:c r="D461" t="str">
        <x:v>Testosterone Boosters</x:v>
      </x:c>
      <x:c r="E461" t="str">
        <x:v>90 caps</x:v>
      </x:c>
      <x:c r="F461" t="n">
        <x:v>1</x:v>
      </x:c>
      <x:c r="G461" t="str">
        <x:v>https://www.activesportstrade.co.uk/project-ad-trade</x:v>
      </x:c>
      <x:c r="H461" t="str"/>
      <x:c r="I461" t="str">
        <x:v>Pending genuine supplier/brand image</x:v>
      </x:c>
    </x:row>
    <x:row r="462">
      <x:c r="A462" t="str">
        <x:v>Project AD</x:v>
      </x:c>
      <x:c r="B462" t="str">
        <x:v>Fiber +</x:v>
      </x:c>
      <x:c r="C462" t="str">
        <x:v>Supplements</x:v>
      </x:c>
      <x:c r="D462" t="str">
        <x:v>Health Foods</x:v>
      </x:c>
      <x:c r="E462" t="str">
        <x:v>30 servings</x:v>
      </x:c>
      <x:c r="F462" t="n">
        <x:v>3</x:v>
      </x:c>
      <x:c r="G462" t="str">
        <x:v>https://www.activesportstrade.co.uk/project-ad-trade</x:v>
      </x:c>
      <x:c r="H462" t="str"/>
      <x:c r="I462" t="str">
        <x:v>Pending genuine supplier/brand image</x:v>
      </x:c>
    </x:row>
    <x:row r="463">
      <x:c r="A463" t="str">
        <x:v>Project AD</x:v>
      </x:c>
      <x:c r="B463" t="str">
        <x:v>Good Mornin Gut Performance</x:v>
      </x:c>
      <x:c r="C463" t="str">
        <x:v>Supplements</x:v>
      </x:c>
      <x:c r="D463" t="str">
        <x:v>Health Foods</x:v>
      </x:c>
      <x:c r="E463" t="str">
        <x:v>24 servings</x:v>
      </x:c>
      <x:c r="F463" t="n">
        <x:v>2</x:v>
      </x:c>
      <x:c r="G463" t="str">
        <x:v>https://www.activesportstrade.co.uk/project-ad-trade</x:v>
      </x:c>
      <x:c r="H463" t="str"/>
      <x:c r="I463" t="str">
        <x:v>Pending genuine supplier/brand image</x:v>
      </x:c>
    </x:row>
    <x:row r="464">
      <x:c r="A464" t="str">
        <x:v>Project AD</x:v>
      </x:c>
      <x:c r="B464" t="str">
        <x:v>Matador</x:v>
      </x:c>
      <x:c r="C464" t="str">
        <x:v>Supplements</x:v>
      </x:c>
      <x:c r="D464" t="str">
        <x:v>Insulin Drivers</x:v>
      </x:c>
      <x:c r="E464" t="str">
        <x:v>60 caps</x:v>
      </x:c>
      <x:c r="F464" t="n">
        <x:v>1</x:v>
      </x:c>
      <x:c r="G464" t="str">
        <x:v>https://www.activesportstrade.co.uk/project-ad-trade</x:v>
      </x:c>
      <x:c r="H464" t="str"/>
      <x:c r="I464" t="str">
        <x:v>Pending genuine supplier/brand image</x:v>
      </x:c>
    </x:row>
    <x:row r="465">
      <x:c r="A465" t="str">
        <x:v>Project AD</x:v>
      </x:c>
      <x:c r="B465" t="str">
        <x:v>Ravenous</x:v>
      </x:c>
      <x:c r="C465" t="str">
        <x:v>Supplements</x:v>
      </x:c>
      <x:c r="D465" t="str">
        <x:v>Digestive Support</x:v>
      </x:c>
      <x:c r="E465" t="str">
        <x:v>120 caps</x:v>
      </x:c>
      <x:c r="F465" t="n">
        <x:v>1</x:v>
      </x:c>
      <x:c r="G465" t="str">
        <x:v>https://www.activesportstrade.co.uk/project-ad-trade</x:v>
      </x:c>
      <x:c r="H465" t="str"/>
      <x:c r="I465" t="str">
        <x:v>Pending genuine supplier/brand image</x:v>
      </x:c>
    </x:row>
    <x:row r="466">
      <x:c r="A466" t="str">
        <x:v>Project AD</x:v>
      </x:c>
      <x:c r="B466" t="str">
        <x:v>Shredabull</x:v>
      </x:c>
      <x:c r="C466" t="str">
        <x:v>Supplements</x:v>
      </x:c>
      <x:c r="D466" t="str">
        <x:v>Fat Burners</x:v>
      </x:c>
      <x:c r="E466" t="str">
        <x:v>50 caps</x:v>
      </x:c>
      <x:c r="F466" t="n">
        <x:v>1</x:v>
      </x:c>
      <x:c r="G466" t="str">
        <x:v>https://www.activesportstrade.co.uk/project-ad-trade</x:v>
      </x:c>
      <x:c r="H466" t="str"/>
      <x:c r="I466" t="str">
        <x:v>Pending genuine supplier/brand image</x:v>
      </x:c>
    </x:row>
    <x:row r="467">
      <x:c r="A467" t="str">
        <x:v>Project AD</x:v>
      </x:c>
      <x:c r="B467" t="str">
        <x:v>Tauro Test</x:v>
      </x:c>
      <x:c r="C467" t="str">
        <x:v>Supplements</x:v>
      </x:c>
      <x:c r="D467" t="str">
        <x:v>Testosterone Boosters</x:v>
      </x:c>
      <x:c r="E467" t="str">
        <x:v>180 caps</x:v>
      </x:c>
      <x:c r="F467" t="n">
        <x:v>1</x:v>
      </x:c>
      <x:c r="G467" t="str">
        <x:v>https://www.activesportstrade.co.uk/project-ad-trade</x:v>
      </x:c>
      <x:c r="H467" t="str"/>
      <x:c r="I467" t="str">
        <x:v>Pending genuine supplier/brand image</x:v>
      </x:c>
    </x:row>
    <x:row r="468">
      <x:c r="A468" t="str">
        <x:v>Project AD</x:v>
      </x:c>
      <x:c r="B468" t="str">
        <x:v>Thyroid</x:v>
      </x:c>
      <x:c r="C468" t="str">
        <x:v>Supplements</x:v>
      </x:c>
      <x:c r="D468" t="str">
        <x:v>Health Foods</x:v>
      </x:c>
      <x:c r="E468" t="str">
        <x:v>150 caps</x:v>
      </x:c>
      <x:c r="F468" t="n">
        <x:v>1</x:v>
      </x:c>
      <x:c r="G468" t="str">
        <x:v>https://www.activesportstrade.co.uk/project-ad-trade</x:v>
      </x:c>
      <x:c r="H468" t="str"/>
      <x:c r="I468" t="str">
        <x:v>Pending genuine supplier/brand image</x:v>
      </x:c>
    </x:row>
    <x:row r="469">
      <x:c r="A469" t="str">
        <x:v>Powerade</x:v>
      </x:c>
      <x:c r="B469" t="str">
        <x:v>Powerade</x:v>
      </x:c>
      <x:c r="C469" t="str">
        <x:v>Drinks and Bars</x:v>
      </x:c>
      <x:c r="D469" t="str">
        <x:v>Ready to Drink Hydration</x:v>
      </x:c>
      <x:c r="E469" t="str">
        <x:v>12 x 500ml bottles</x:v>
      </x:c>
      <x:c r="F469" t="n">
        <x:v>2</x:v>
      </x:c>
      <x:c r="G469" t="str">
        <x:v>https://www.activesportstrade.co.uk/powerade-trade</x:v>
      </x:c>
      <x:c r="H469" t="str"/>
      <x:c r="I469" t="str">
        <x:v>Pending genuine supplier/brand image</x:v>
      </x:c>
    </x:row>
    <x:row r="470">
      <x:c r="A470" t="str">
        <x:v>Powerade</x:v>
      </x:c>
      <x:c r="B470" t="str">
        <x:v>Powerade Limited Edition FIFA</x:v>
      </x:c>
      <x:c r="C470" t="str">
        <x:v>Drinks and Bars</x:v>
      </x:c>
      <x:c r="D470" t="str">
        <x:v>Ready to Drink Hydration</x:v>
      </x:c>
      <x:c r="E470" t="str">
        <x:v>12 x 500ml bottles</x:v>
      </x:c>
      <x:c r="F470" t="n">
        <x:v>2</x:v>
      </x:c>
      <x:c r="G470" t="str">
        <x:v>https://www.activesportstrade.co.uk/powerade-trade</x:v>
      </x:c>
      <x:c r="H470" t="str"/>
      <x:c r="I470" t="str">
        <x:v>Pending genuine supplier/brand image</x:v>
      </x:c>
    </x:row>
    <x:row r="471">
      <x:c r="A471" t="str">
        <x:v>NOCCO</x:v>
      </x:c>
      <x:c r="B471" t="str">
        <x:v>Electrolyte</x:v>
      </x:c>
      <x:c r="C471" t="str">
        <x:v>Drinks and Bars</x:v>
      </x:c>
      <x:c r="D471" t="str">
        <x:v>Ready to Drink Hydration</x:v>
      </x:c>
      <x:c r="E471" t="str">
        <x:v>12 x 355ml cans</x:v>
      </x:c>
      <x:c r="F471" t="n">
        <x:v>2</x:v>
      </x:c>
      <x:c r="G471" t="str">
        <x:v>https://www.activesportstrade.co.uk/hydration-supplements-trade</x:v>
      </x:c>
      <x:c r="H471" t="str"/>
      <x:c r="I471" t="str">
        <x:v>Pending genuine supplier/brand image</x:v>
      </x:c>
    </x:row>
    <x:row r="472">
      <x:c r="A472" t="str">
        <x:v>NXT Nutrition</x:v>
      </x:c>
      <x:c r="B472" t="str">
        <x:v>TNT Nuclear Shots</x:v>
      </x:c>
      <x:c r="C472" t="str">
        <x:v>Pre Workouts</x:v>
      </x:c>
      <x:c r="D472" t="str">
        <x:v>Shots and Ready To Drink</x:v>
      </x:c>
      <x:c r="E472" t="str">
        <x:v>12 x 60ml shots, 12 x 60ml</x:v>
      </x:c>
      <x:c r="F472" t="n">
        <x:v>14</x:v>
      </x:c>
      <x:c r="G472" t="str">
        <x:v>https://www.activesportstrade.co.uk/Ready-to-Drink-Energy/nxt-nutrition-trade/norec</x:v>
      </x:c>
      <x:c r="H472" t="str"/>
      <x:c r="I472" t="str">
        <x:v>Pending genuine supplier/brand image</x:v>
      </x:c>
    </x:row>
    <x:row r="473">
      <x:c r="A473" t="str">
        <x:v>QNT</x:v>
      </x:c>
      <x:c r="B473" t="str">
        <x:v>BCAA 8000 RTD</x:v>
      </x:c>
      <x:c r="C473" t="str">
        <x:v>Drinks and Bars</x:v>
      </x:c>
      <x:c r="D473" t="str">
        <x:v>Ready to Drink Amino Acids</x:v>
      </x:c>
      <x:c r="E473" t="str">
        <x:v>12 x 700ml bottles</x:v>
      </x:c>
      <x:c r="F473" t="n">
        <x:v>3</x:v>
      </x:c>
      <x:c r="G473" t="str">
        <x:v>https://www.activesportstrade.co.uk/Intra-Workout</x:v>
      </x:c>
      <x:c r="H473" t="str"/>
      <x:c r="I473" t="str">
        <x:v>Pending genuine supplier/brand image</x:v>
      </x:c>
    </x:row>
    <x:row r="474">
      <x:c r="A474" t="str">
        <x:v>QNT</x:v>
      </x:c>
      <x:c r="B474" t="str">
        <x:v>H2O L-Carnitine Immunity Water</x:v>
      </x:c>
      <x:c r="C474" t="str">
        <x:v>Drinks and Bars</x:v>
      </x:c>
      <x:c r="D474" t="str">
        <x:v>Ready to Drink Hydration</x:v>
      </x:c>
      <x:c r="E474" t="str">
        <x:v>12 x 500ml bottles</x:v>
      </x:c>
      <x:c r="F474" t="n">
        <x:v>2</x:v>
      </x:c>
      <x:c r="G474" t="str">
        <x:v>https://www.activesportstrade.co.uk/Diet-Weight-Loss</x:v>
      </x:c>
      <x:c r="H474" t="str"/>
      <x:c r="I474" t="str">
        <x:v>Pending genuine supplier/brand image</x:v>
      </x:c>
    </x:row>
    <x:row r="475">
      <x:c r="A475" t="str">
        <x:v>QNT</x:v>
      </x:c>
      <x:c r="B475" t="str">
        <x:v>L-Carnitine 2000 Fat Burn Drink RTD</x:v>
      </x:c>
      <x:c r="C475" t="str">
        <x:v>Drinks and Bars</x:v>
      </x:c>
      <x:c r="D475" t="str">
        <x:v>Ready to Drink Energy</x:v>
      </x:c>
      <x:c r="E475" t="str">
        <x:v>12 x 700ml bottles</x:v>
      </x:c>
      <x:c r="F475" t="n">
        <x:v>4</x:v>
      </x:c>
      <x:c r="G475" t="str">
        <x:v>https://www.activesportstrade.co.uk/Diet-Weight-Loss</x:v>
      </x:c>
      <x:c r="H475" t="str"/>
      <x:c r="I475" t="str">
        <x:v>Pending genuine supplier/brand image</x:v>
      </x:c>
    </x:row>
    <x:row r="476">
      <x:c r="A476" t="str">
        <x:v>QNT</x:v>
      </x:c>
      <x:c r="B476" t="str">
        <x:v>Thermo Booster RTD</x:v>
      </x:c>
      <x:c r="C476" t="str">
        <x:v>Drinks and Bars</x:v>
      </x:c>
      <x:c r="D476" t="str">
        <x:v>Ready to Drink Energy</x:v>
      </x:c>
      <x:c r="E476" t="str">
        <x:v>12 x 700ml bottles</x:v>
      </x:c>
      <x:c r="F476" t="n">
        <x:v>1</x:v>
      </x:c>
      <x:c r="G476" t="str">
        <x:v>https://www.activesportstrade.co.uk/Diet-Weight-Loss</x:v>
      </x:c>
      <x:c r="H476" t="str"/>
      <x:c r="I476" t="str">
        <x:v>Pending genuine supplier/brand image</x:v>
      </x:c>
    </x:row>
    <x:row r="477">
      <x:c r="A477" t="str">
        <x:v>Reflex Nutrition</x:v>
      </x:c>
      <x:c r="B477" t="str">
        <x:v>100% Whey</x:v>
      </x:c>
      <x:c r="C477" t="str">
        <x:v>Supplements</x:v>
      </x:c>
      <x:c r="D477" t="str">
        <x:v>Whey Protein</x:v>
      </x:c>
      <x:c r="E477" t="str">
        <x:v>2kg, 720g</x:v>
      </x:c>
      <x:c r="F477" t="n">
        <x:v>8</x:v>
      </x:c>
      <x:c r="G477" t="str">
        <x:v>https://www.activesportstrade.co.uk/reflex-nutrition-trade</x:v>
      </x:c>
      <x:c r="H477" t="str"/>
      <x:c r="I477" t="str">
        <x:v>Pending genuine supplier/brand image</x:v>
      </x:c>
    </x:row>
    <x:row r="478">
      <x:c r="A478" t="str">
        <x:v>Reflex Nutrition</x:v>
      </x:c>
      <x:c r="B478" t="str">
        <x:v>Clear Whey Isolate</x:v>
      </x:c>
      <x:c r="C478" t="str">
        <x:v>Supplements</x:v>
      </x:c>
      <x:c r="D478" t="str">
        <x:v>Whey Protein</x:v>
      </x:c>
      <x:c r="E478" t="str">
        <x:v>510g</x:v>
      </x:c>
      <x:c r="F478" t="n">
        <x:v>9</x:v>
      </x:c>
      <x:c r="G478" t="str">
        <x:v>https://www.activesportstrade.co.uk/reflex-nutrition-trade</x:v>
      </x:c>
      <x:c r="H478" t="str"/>
      <x:c r="I478" t="str">
        <x:v>Pending genuine supplier/brand image</x:v>
      </x:c>
    </x:row>
    <x:row r="479">
      <x:c r="A479" t="str">
        <x:v>Reflex Nutrition</x:v>
      </x:c>
      <x:c r="B479" t="str">
        <x:v>Creapure Creatine</x:v>
      </x:c>
      <x:c r="C479" t="str">
        <x:v>Supplements</x:v>
      </x:c>
      <x:c r="D479" t="str">
        <x:v>Creatine Powders</x:v>
      </x:c>
      <x:c r="E479" t="str">
        <x:v>250g, 500g</x:v>
      </x:c>
      <x:c r="F479" t="n">
        <x:v>2</x:v>
      </x:c>
      <x:c r="G479" t="str">
        <x:v>https://www.activesportstrade.co.uk/reflex-nutrition-trade</x:v>
      </x:c>
      <x:c r="H479" t="str"/>
      <x:c r="I479" t="str">
        <x:v>Pending genuine supplier/brand image</x:v>
      </x:c>
    </x:row>
    <x:row r="480">
      <x:c r="A480" t="str">
        <x:v>Reflex Nutrition</x:v>
      </x:c>
      <x:c r="B480" t="str">
        <x:v>Creapure Creatine Capsules</x:v>
      </x:c>
      <x:c r="C480" t="str">
        <x:v>Supplements</x:v>
      </x:c>
      <x:c r="D480" t="str">
        <x:v>Creatine Pills</x:v>
      </x:c>
      <x:c r="E480" t="str">
        <x:v>90 capsules</x:v>
      </x:c>
      <x:c r="F480" t="n">
        <x:v>1</x:v>
      </x:c>
      <x:c r="G480" t="str">
        <x:v>https://www.activesportstrade.co.uk/reflex-nutrition-trade</x:v>
      </x:c>
      <x:c r="H480" t="str"/>
      <x:c r="I480" t="str">
        <x:v>Pending genuine supplier/brand image</x:v>
      </x:c>
    </x:row>
    <x:row r="481">
      <x:c r="A481" t="str">
        <x:v>Reflex Nutrition</x:v>
      </x:c>
      <x:c r="B481" t="str">
        <x:v>Creatine Monohydrate</x:v>
      </x:c>
      <x:c r="C481" t="str">
        <x:v>Supplements</x:v>
      </x:c>
      <x:c r="D481" t="str">
        <x:v>Creatine Powders</x:v>
      </x:c>
      <x:c r="E481" t="str">
        <x:v>450g</x:v>
      </x:c>
      <x:c r="F481" t="n">
        <x:v>1</x:v>
      </x:c>
      <x:c r="G481" t="str">
        <x:v>https://www.activesportstrade.co.uk/reflex-nutrition-trade</x:v>
      </x:c>
      <x:c r="H481" t="str"/>
      <x:c r="I481" t="str">
        <x:v>Pending genuine supplier/brand image</x:v>
      </x:c>
    </x:row>
    <x:row r="482">
      <x:c r="A482" t="str">
        <x:v>Reflex Nutrition</x:v>
      </x:c>
      <x:c r="B482" t="str">
        <x:v>Growth Matrix</x:v>
      </x:c>
      <x:c r="C482" t="str">
        <x:v>Supplements</x:v>
      </x:c>
      <x:c r="D482" t="str">
        <x:v>Recovery Shakes</x:v>
      </x:c>
      <x:c r="E482" t="str">
        <x:v>1.89kg</x:v>
      </x:c>
      <x:c r="F482" t="n">
        <x:v>6</x:v>
      </x:c>
      <x:c r="G482" t="str">
        <x:v>https://www.activesportstrade.co.uk/reflex-nutrition-trade</x:v>
      </x:c>
      <x:c r="H482" t="str"/>
      <x:c r="I482" t="str">
        <x:v>Pending genuine supplier/brand image</x:v>
      </x:c>
    </x:row>
    <x:row r="483">
      <x:c r="A483" t="str">
        <x:v>Reflex Nutrition</x:v>
      </x:c>
      <x:c r="B483" t="str">
        <x:v>High Protein Twin Bar</x:v>
      </x:c>
      <x:c r="C483" t="str">
        <x:v>Drinks and Bars</x:v>
      </x:c>
      <x:c r="D483" t="str">
        <x:v>Bars and Snacks</x:v>
      </x:c>
      <x:c r="E483" t="str">
        <x:v>12 x 60g bars</x:v>
      </x:c>
      <x:c r="F483" t="n">
        <x:v>4</x:v>
      </x:c>
      <x:c r="G483" t="str">
        <x:v>https://www.activesportstrade.co.uk/reflex-nutrition-trade</x:v>
      </x:c>
      <x:c r="H483" t="str"/>
      <x:c r="I483" t="str">
        <x:v>Pending genuine supplier/brand image</x:v>
      </x:c>
    </x:row>
    <x:row r="484">
      <x:c r="A484" t="str">
        <x:v>Reflex Nutrition</x:v>
      </x:c>
      <x:c r="B484" t="str">
        <x:v>Instant Mass Heavyweight</x:v>
      </x:c>
      <x:c r="C484" t="str">
        <x:v>Supplements</x:v>
      </x:c>
      <x:c r="D484" t="str">
        <x:v>Weight Gainers</x:v>
      </x:c>
      <x:c r="E484" t="str">
        <x:v>2kg, 5.4kg</x:v>
      </x:c>
      <x:c r="F484" t="n">
        <x:v>12</x:v>
      </x:c>
      <x:c r="G484" t="str">
        <x:v>https://www.activesportstrade.co.uk/reflex-nutrition-trade</x:v>
      </x:c>
      <x:c r="H484" t="str"/>
      <x:c r="I484" t="str">
        <x:v>Pending genuine supplier/brand image</x:v>
      </x:c>
    </x:row>
    <x:row r="485">
      <x:c r="A485" t="str">
        <x:v>Reflex Nutrition</x:v>
      </x:c>
      <x:c r="B485" t="str">
        <x:v>Instant Whey Pro</x:v>
      </x:c>
      <x:c r="C485" t="str">
        <x:v>Supplements</x:v>
      </x:c>
      <x:c r="D485" t="str">
        <x:v>Whey Protein</x:v>
      </x:c>
      <x:c r="E485" t="str">
        <x:v>900g</x:v>
      </x:c>
      <x:c r="F485" t="n">
        <x:v>5</x:v>
      </x:c>
      <x:c r="G485" t="str">
        <x:v>https://www.activesportstrade.co.uk/reflex-nutrition-trade</x:v>
      </x:c>
      <x:c r="H485" t="str"/>
      <x:c r="I485" t="str">
        <x:v>Pending genuine supplier/brand image</x:v>
      </x:c>
    </x:row>
    <x:row r="486">
      <x:c r="A486" t="str">
        <x:v>Reflex Nutrition</x:v>
      </x:c>
      <x:c r="B486" t="str">
        <x:v>Isolate Pro</x:v>
      </x:c>
      <x:c r="C486" t="str">
        <x:v>Supplements</x:v>
      </x:c>
      <x:c r="D486" t="str">
        <x:v>Whey Protein</x:v>
      </x:c>
      <x:c r="E486" t="str">
        <x:v>1.8kg</x:v>
      </x:c>
      <x:c r="F486" t="n">
        <x:v>4</x:v>
      </x:c>
      <x:c r="G486" t="str">
        <x:v>https://www.activesportstrade.co.uk/reflex-nutrition-trade</x:v>
      </x:c>
      <x:c r="H486" t="str"/>
      <x:c r="I486" t="str">
        <x:v>Pending genuine supplier/brand image</x:v>
      </x:c>
    </x:row>
    <x:row r="487">
      <x:c r="A487" t="str">
        <x:v>Reflex Nutrition</x:v>
      </x:c>
      <x:c r="B487" t="str">
        <x:v>L-Glutamine</x:v>
      </x:c>
      <x:c r="C487" t="str">
        <x:v>Supplements</x:v>
      </x:c>
      <x:c r="D487" t="str">
        <x:v>L-Glutamine</x:v>
      </x:c>
      <x:c r="E487" t="str">
        <x:v>250g, 500g</x:v>
      </x:c>
      <x:c r="F487" t="n">
        <x:v>2</x:v>
      </x:c>
      <x:c r="G487" t="str">
        <x:v>https://www.activesportstrade.co.uk/reflex-nutrition-trade</x:v>
      </x:c>
      <x:c r="H487" t="str"/>
      <x:c r="I487" t="str">
        <x:v>Pending genuine supplier/brand image</x:v>
      </x:c>
    </x:row>
    <x:row r="488">
      <x:c r="A488" t="str">
        <x:v>Reflex Nutrition</x:v>
      </x:c>
      <x:c r="B488" t="str">
        <x:v>Magnesium Bisglycinate</x:v>
      </x:c>
      <x:c r="C488" t="str">
        <x:v>Supplements</x:v>
      </x:c>
      <x:c r="D488" t="str">
        <x:v>Health Foods</x:v>
      </x:c>
      <x:c r="E488" t="str">
        <x:v>90 caps</x:v>
      </x:c>
      <x:c r="F488" t="n">
        <x:v>1</x:v>
      </x:c>
      <x:c r="G488" t="str">
        <x:v>https://www.activesportstrade.co.uk/reflex-nutrition-trade</x:v>
      </x:c>
      <x:c r="H488" t="str"/>
      <x:c r="I488" t="str">
        <x:v>Pending genuine supplier/brand image</x:v>
      </x:c>
    </x:row>
    <x:row r="489">
      <x:c r="A489" t="str">
        <x:v>Reflex Nutrition</x:v>
      </x:c>
      <x:c r="B489" t="str">
        <x:v>Nexgen Pro Multi Vitamin</x:v>
      </x:c>
      <x:c r="C489" t="str">
        <x:v>Supplements</x:v>
      </x:c>
      <x:c r="D489" t="str">
        <x:v>Vitamins</x:v>
      </x:c>
      <x:c r="E489" t="str">
        <x:v>90 caps</x:v>
      </x:c>
      <x:c r="F489" t="n">
        <x:v>1</x:v>
      </x:c>
      <x:c r="G489" t="str">
        <x:v>https://www.activesportstrade.co.uk/reflex-nutrition-trade</x:v>
      </x:c>
      <x:c r="H489" t="str"/>
      <x:c r="I489" t="str">
        <x:v>Pending genuine supplier/brand image</x:v>
      </x:c>
    </x:row>
    <x:row r="490">
      <x:c r="A490" t="str">
        <x:v>Reflex Nutrition</x:v>
      </x:c>
      <x:c r="B490" t="str">
        <x:v>Omega 3</x:v>
      </x:c>
      <x:c r="C490" t="str">
        <x:v>Supplements</x:v>
      </x:c>
      <x:c r="D490" t="str">
        <x:v>Omega and EFA</x:v>
      </x:c>
      <x:c r="E490" t="str">
        <x:v>90 caps</x:v>
      </x:c>
      <x:c r="F490" t="n">
        <x:v>1</x:v>
      </x:c>
      <x:c r="G490" t="str">
        <x:v>https://www.activesportstrade.co.uk/reflex-nutrition-trade</x:v>
      </x:c>
      <x:c r="H490" t="str"/>
      <x:c r="I490" t="str">
        <x:v>Pending genuine supplier/brand image</x:v>
      </x:c>
    </x:row>
    <x:row r="491">
      <x:c r="A491" t="str">
        <x:v>Reflex Nutrition</x:v>
      </x:c>
      <x:c r="B491" t="str">
        <x:v>One Stop Xtreme</x:v>
      </x:c>
      <x:c r="C491" t="str">
        <x:v>Supplements</x:v>
      </x:c>
      <x:c r="D491" t="str">
        <x:v>All In Ones</x:v>
      </x:c>
      <x:c r="E491" t="str">
        <x:v>2.03kg</x:v>
      </x:c>
      <x:c r="F491" t="n">
        <x:v>3</x:v>
      </x:c>
      <x:c r="G491" t="str">
        <x:v>https://www.activesportstrade.co.uk/reflex-nutrition-trade</x:v>
      </x:c>
      <x:c r="H491" t="str"/>
      <x:c r="I491" t="str">
        <x:v>Pending genuine supplier/brand image</x:v>
      </x:c>
    </x:row>
    <x:row r="492">
      <x:c r="A492" t="str">
        <x:v>Reflex Nutrition</x:v>
      </x:c>
      <x:c r="B492" t="str">
        <x:v>Super Greens &amp; Gut Support</x:v>
      </x:c>
      <x:c r="C492" t="str">
        <x:v>Supplements</x:v>
      </x:c>
      <x:c r="D492" t="str">
        <x:v>Health Foods</x:v>
      </x:c>
      <x:c r="E492" t="str">
        <x:v>90 caps</x:v>
      </x:c>
      <x:c r="F492" t="n">
        <x:v>1</x:v>
      </x:c>
      <x:c r="G492" t="str">
        <x:v>https://www.activesportstrade.co.uk/reflex-nutrition-trade</x:v>
      </x:c>
      <x:c r="H492" t="str"/>
      <x:c r="I492" t="str">
        <x:v>Pending genuine supplier/brand image</x:v>
      </x:c>
    </x:row>
    <x:row r="493">
      <x:c r="A493" t="str">
        <x:v>Reflex Nutrition</x:v>
      </x:c>
      <x:c r="B493" t="str">
        <x:v>The Muscle Bomb</x:v>
      </x:c>
      <x:c r="C493" t="str">
        <x:v>Pre Workouts</x:v>
      </x:c>
      <x:c r="D493" t="str">
        <x:v>High Stim</x:v>
      </x:c>
      <x:c r="E493" t="str">
        <x:v>400g</x:v>
      </x:c>
      <x:c r="F493" t="n">
        <x:v>6</x:v>
      </x:c>
      <x:c r="G493" t="str">
        <x:v>https://www.activesportstrade.co.uk/reflex-nutrition-trade</x:v>
      </x:c>
      <x:c r="H493" t="str"/>
      <x:c r="I493" t="str">
        <x:v>Pending genuine supplier/brand image</x:v>
      </x:c>
    </x:row>
    <x:row r="494">
      <x:c r="A494" t="str">
        <x:v>Reflex Nutrition</x:v>
      </x:c>
      <x:c r="B494" t="str">
        <x:v>Zinc Matrix</x:v>
      </x:c>
      <x:c r="C494" t="str">
        <x:v>Supplements</x:v>
      </x:c>
      <x:c r="D494" t="str">
        <x:v>Testosterone Boosters</x:v>
      </x:c>
      <x:c r="E494" t="str">
        <x:v>100 caps</x:v>
      </x:c>
      <x:c r="F494" t="n">
        <x:v>1</x:v>
      </x:c>
      <x:c r="G494" t="str">
        <x:v>https://www.activesportstrade.co.uk/reflex-nutrition-trade</x:v>
      </x:c>
      <x:c r="H494" t="str"/>
      <x:c r="I494" t="str">
        <x:v>Pending genuine supplier/brand image</x:v>
      </x:c>
    </x:row>
    <x:row r="495">
      <x:c r="A495" t="str">
        <x:v>Redcon1</x:v>
      </x:c>
      <x:c r="B495" t="str">
        <x:v>Total War Pre Workout</x:v>
      </x:c>
      <x:c r="C495" t="str">
        <x:v>Pre Workouts</x:v>
      </x:c>
      <x:c r="D495" t="str">
        <x:v>High Stim</x:v>
      </x:c>
      <x:c r="E495" t="str">
        <x:v>30 servings</x:v>
      </x:c>
      <x:c r="F495" t="n">
        <x:v>12</x:v>
      </x:c>
      <x:c r="G495" t="str">
        <x:v>https://www.activesportstrade.co.uk/trade-pre-workout-supplements</x:v>
      </x:c>
      <x:c r="H495" t="str"/>
      <x:c r="I495" t="str">
        <x:v>Pending genuine supplier/brand image</x:v>
      </x:c>
    </x:row>
    <x:row r="496">
      <x:c r="A496" t="str">
        <x:v>QNT</x:v>
      </x:c>
      <x:c r="B496" t="str">
        <x:v>Carbo Load RTD</x:v>
      </x:c>
      <x:c r="C496" t="str">
        <x:v>Drinks and Bars</x:v>
      </x:c>
      <x:c r="D496" t="str">
        <x:v>Ready to Drink Carbs</x:v>
      </x:c>
      <x:c r="E496" t="str">
        <x:v>12 x 700ml bottles</x:v>
      </x:c>
      <x:c r="F496" t="n">
        <x:v>2</x:v>
      </x:c>
      <x:c r="G496" t="str">
        <x:v>https://www.activesportstrade.co.uk/trade-sports-supplements/qnt-trade</x:v>
      </x:c>
      <x:c r="H496" t="str"/>
      <x:c r="I496" t="str">
        <x:v>Pending genuine supplier/brand image</x:v>
      </x:c>
    </x:row>
    <x:row r="497">
      <x:c r="A497" t="str">
        <x:v>Scitec Nutrition</x:v>
      </x:c>
      <x:c r="B497" t="str">
        <x:v>100% Casein Complex</x:v>
      </x:c>
      <x:c r="C497" t="str">
        <x:v>Supplements</x:v>
      </x:c>
      <x:c r="D497" t="str">
        <x:v>Casein Protein</x:v>
      </x:c>
      <x:c r="E497" t="str">
        <x:v>2350g, 920g</x:v>
      </x:c>
      <x:c r="F497" t="n">
        <x:v>4</x:v>
      </x:c>
      <x:c r="G497" t="str">
        <x:v>https://www.activesportstrade.co.uk/scitec-nutrition-trade</x:v>
      </x:c>
      <x:c r="H497" t="str"/>
      <x:c r="I497" t="str">
        <x:v>Pending genuine supplier/brand image</x:v>
      </x:c>
    </x:row>
    <x:row r="498">
      <x:c r="A498" t="str">
        <x:v>Scitec Nutrition</x:v>
      </x:c>
      <x:c r="B498" t="str">
        <x:v>100% Creatine Monohydrate</x:v>
      </x:c>
      <x:c r="C498" t="str">
        <x:v>Supplements</x:v>
      </x:c>
      <x:c r="D498" t="str">
        <x:v>Creatine Powders</x:v>
      </x:c>
      <x:c r="E498" t="str">
        <x:v>300g, 500g</x:v>
      </x:c>
      <x:c r="F498" t="n">
        <x:v>2</x:v>
      </x:c>
      <x:c r="G498" t="str">
        <x:v>https://www.activesportstrade.co.uk/scitec-nutrition-trade</x:v>
      </x:c>
      <x:c r="H498" t="str"/>
      <x:c r="I498" t="str">
        <x:v>Pending genuine supplier/brand image</x:v>
      </x:c>
    </x:row>
    <x:row r="499">
      <x:c r="A499" t="str">
        <x:v>Scitec Nutrition</x:v>
      </x:c>
      <x:c r="B499" t="str">
        <x:v>100% Whey Isolate</x:v>
      </x:c>
      <x:c r="C499" t="str">
        <x:v>Supplements</x:v>
      </x:c>
      <x:c r="D499" t="str">
        <x:v>Whey Protein</x:v>
      </x:c>
      <x:c r="E499" t="str">
        <x:v>1816g, 700g</x:v>
      </x:c>
      <x:c r="F499" t="n">
        <x:v>19</x:v>
      </x:c>
      <x:c r="G499" t="str">
        <x:v>https://www.activesportstrade.co.uk/scitec-nutrition-trade</x:v>
      </x:c>
      <x:c r="H499" t="str"/>
      <x:c r="I499" t="str">
        <x:v>Pending genuine supplier/brand image</x:v>
      </x:c>
    </x:row>
    <x:row r="500">
      <x:c r="A500" t="str">
        <x:v>Scitec Nutrition</x:v>
      </x:c>
      <x:c r="B500" t="str">
        <x:v>Caffeine</x:v>
      </x:c>
      <x:c r="C500" t="str">
        <x:v>Supplements</x:v>
      </x:c>
      <x:c r="D500" t="str">
        <x:v>Energy</x:v>
      </x:c>
      <x:c r="E500" t="str">
        <x:v>100 caps</x:v>
      </x:c>
      <x:c r="F500" t="n">
        <x:v>1</x:v>
      </x:c>
      <x:c r="G500" t="str">
        <x:v>https://www.activesportstrade.co.uk/scitec-nutrition-trade</x:v>
      </x:c>
      <x:c r="H500" t="str"/>
      <x:c r="I500" t="str">
        <x:v>Pending genuine supplier/brand image</x:v>
      </x:c>
    </x:row>
    <x:row r="501">
      <x:c r="A501" t="str">
        <x:v>Scitec Nutrition</x:v>
      </x:c>
      <x:c r="B501" t="str">
        <x:v>Calcium Magnesium</x:v>
      </x:c>
      <x:c r="C501" t="str">
        <x:v>Supplements</x:v>
      </x:c>
      <x:c r="D501" t="str">
        <x:v>Vitamins</x:v>
      </x:c>
      <x:c r="E501" t="str">
        <x:v>90 tabs</x:v>
      </x:c>
      <x:c r="F501" t="n">
        <x:v>1</x:v>
      </x:c>
      <x:c r="G501" t="str">
        <x:v>https://www.activesportstrade.co.uk/scitec-nutrition-trade</x:v>
      </x:c>
      <x:c r="H501" t="str"/>
      <x:c r="I501" t="str">
        <x:v>Pending genuine supplier/brand image</x:v>
      </x:c>
    </x:row>
    <x:row r="502">
      <x:c r="A502" t="str">
        <x:v>Scitec Nutrition</x:v>
      </x:c>
      <x:c r="B502" t="str">
        <x:v>Citrulline Malate</x:v>
      </x:c>
      <x:c r="C502" t="str">
        <x:v>Supplements</x:v>
      </x:c>
      <x:c r="D502" t="str">
        <x:v>Amino Acids</x:v>
      </x:c>
      <x:c r="E502" t="str">
        <x:v>90 caps</x:v>
      </x:c>
      <x:c r="F502" t="n">
        <x:v>1</x:v>
      </x:c>
      <x:c r="G502" t="str">
        <x:v>https://www.activesportstrade.co.uk/scitec-nutrition-trade</x:v>
      </x:c>
      <x:c r="H502" t="str"/>
      <x:c r="I502" t="str">
        <x:v>Pending genuine supplier/brand image</x:v>
      </x:c>
    </x:row>
    <x:row r="503">
      <x:c r="A503" t="str">
        <x:v>Scitec Nutrition</x:v>
      </x:c>
      <x:c r="B503" t="str">
        <x:v>CO-Q10 150mg Daily Dose</x:v>
      </x:c>
      <x:c r="C503" t="str">
        <x:v>Supplements</x:v>
      </x:c>
      <x:c r="D503" t="str">
        <x:v>Health Foods</x:v>
      </x:c>
      <x:c r="E503" t="str">
        <x:v>100 caps</x:v>
      </x:c>
      <x:c r="F503" t="n">
        <x:v>1</x:v>
      </x:c>
      <x:c r="G503" t="str">
        <x:v>https://www.activesportstrade.co.uk/scitec-nutrition-trade</x:v>
      </x:c>
      <x:c r="H503" t="str"/>
      <x:c r="I503" t="str">
        <x:v>Pending genuine supplier/brand image</x:v>
      </x:c>
    </x:row>
    <x:row r="504">
      <x:c r="A504" t="str">
        <x:v>Scitec Nutrition</x:v>
      </x:c>
      <x:c r="B504" t="str">
        <x:v>Crea Caps - Creatine Monohydrate</x:v>
      </x:c>
      <x:c r="C504" t="str">
        <x:v>Supplements</x:v>
      </x:c>
      <x:c r="D504" t="str">
        <x:v>Creatine Pills</x:v>
      </x:c>
      <x:c r="E504" t="str">
        <x:v>250 caps</x:v>
      </x:c>
      <x:c r="F504" t="n">
        <x:v>1</x:v>
      </x:c>
      <x:c r="G504" t="str">
        <x:v>https://www.activesportstrade.co.uk/scitec-nutrition-trade</x:v>
      </x:c>
      <x:c r="H504" t="str"/>
      <x:c r="I504" t="str">
        <x:v>Pending genuine supplier/brand image</x:v>
      </x:c>
    </x:row>
    <x:row r="505">
      <x:c r="A505" t="str">
        <x:v>Scitec Nutrition</x:v>
      </x:c>
      <x:c r="B505" t="str">
        <x:v>DAA Pro</x:v>
      </x:c>
      <x:c r="C505" t="str">
        <x:v>Supplements</x:v>
      </x:c>
      <x:c r="D505" t="str">
        <x:v>Testosterone Boosters</x:v>
      </x:c>
      <x:c r="E505" t="str">
        <x:v>100 caps</x:v>
      </x:c>
      <x:c r="F505" t="n">
        <x:v>1</x:v>
      </x:c>
      <x:c r="G505" t="str">
        <x:v>https://www.activesportstrade.co.uk/scitec-nutrition-trade</x:v>
      </x:c>
      <x:c r="H505" t="str"/>
      <x:c r="I505" t="str">
        <x:v>Pending genuine supplier/brand image</x:v>
      </x:c>
    </x:row>
    <x:row r="506">
      <x:c r="A506" t="str">
        <x:v>Scitec Nutrition</x:v>
      </x:c>
      <x:c r="B506" t="str">
        <x:v>Daily Vita-min</x:v>
      </x:c>
      <x:c r="C506" t="str">
        <x:v>Supplements</x:v>
      </x:c>
      <x:c r="D506" t="str">
        <x:v>Vitamins</x:v>
      </x:c>
      <x:c r="E506" t="str">
        <x:v>90 caps</x:v>
      </x:c>
      <x:c r="F506" t="n">
        <x:v>1</x:v>
      </x:c>
      <x:c r="G506" t="str">
        <x:v>https://www.activesportstrade.co.uk/scitec-nutrition-trade</x:v>
      </x:c>
      <x:c r="H506" t="str"/>
      <x:c r="I506" t="str">
        <x:v>Pending genuine supplier/brand image</x:v>
      </x:c>
    </x:row>
    <x:row r="507">
      <x:c r="A507" t="str">
        <x:v>Scitec Nutrition</x:v>
      </x:c>
      <x:c r="B507" t="str">
        <x:v>GH Surge</x:v>
      </x:c>
      <x:c r="C507" t="str">
        <x:v>Supplements</x:v>
      </x:c>
      <x:c r="D507" t="str">
        <x:v>Amino Acids</x:v>
      </x:c>
      <x:c r="E507" t="str">
        <x:v>90 caps</x:v>
      </x:c>
      <x:c r="F507" t="n">
        <x:v>1</x:v>
      </x:c>
      <x:c r="G507" t="str">
        <x:v>https://www.activesportstrade.co.uk/scitec-nutrition-trade</x:v>
      </x:c>
      <x:c r="H507" t="str"/>
      <x:c r="I507" t="str">
        <x:v>Pending genuine supplier/brand image</x:v>
      </x:c>
    </x:row>
    <x:row r="508">
      <x:c r="A508" t="str">
        <x:v>Scitec Nutrition</x:v>
      </x:c>
      <x:c r="B508" t="str">
        <x:v>Greens &amp; Fruits</x:v>
      </x:c>
      <x:c r="C508" t="str">
        <x:v>Supplements</x:v>
      </x:c>
      <x:c r="D508" t="str">
        <x:v>Health Foods</x:v>
      </x:c>
      <x:c r="E508" t="str">
        <x:v>600g</x:v>
      </x:c>
      <x:c r="F508" t="n">
        <x:v>1</x:v>
      </x:c>
      <x:c r="G508" t="str">
        <x:v>https://www.activesportstrade.co.uk/scitec-nutrition-trade</x:v>
      </x:c>
      <x:c r="H508" t="str"/>
      <x:c r="I508" t="str">
        <x:v>Pending genuine supplier/brand image</x:v>
      </x:c>
    </x:row>
    <x:row r="509">
      <x:c r="A509" t="str">
        <x:v>Scitec Nutrition</x:v>
      </x:c>
      <x:c r="B509" t="str">
        <x:v>Monster Pak - Mega Vitamin and Mineral Pak</x:v>
      </x:c>
      <x:c r="C509" t="str">
        <x:v>Supplements</x:v>
      </x:c>
      <x:c r="D509" t="str">
        <x:v>Vitamins</x:v>
      </x:c>
      <x:c r="E509" t="str">
        <x:v>40 packs</x:v>
      </x:c>
      <x:c r="F509" t="n">
        <x:v>1</x:v>
      </x:c>
      <x:c r="G509" t="str">
        <x:v>https://www.activesportstrade.co.uk/scitec-nutrition-trade</x:v>
      </x:c>
      <x:c r="H509" t="str"/>
      <x:c r="I509" t="str">
        <x:v>Pending genuine supplier/brand image</x:v>
      </x:c>
    </x:row>
    <x:row r="510">
      <x:c r="A510" t="str">
        <x:v>Scitec Nutrition</x:v>
      </x:c>
      <x:c r="B510" t="str">
        <x:v>Multi Pro Plus</x:v>
      </x:c>
      <x:c r="C510" t="str">
        <x:v>Supplements</x:v>
      </x:c>
      <x:c r="D510" t="str">
        <x:v>Vitamins</x:v>
      </x:c>
      <x:c r="E510" t="str">
        <x:v>30 packets</x:v>
      </x:c>
      <x:c r="F510" t="n">
        <x:v>1</x:v>
      </x:c>
      <x:c r="G510" t="str">
        <x:v>https://www.activesportstrade.co.uk/scitec-nutrition-trade</x:v>
      </x:c>
      <x:c r="H510" t="str"/>
      <x:c r="I510" t="str">
        <x:v>Pending genuine supplier/brand image</x:v>
      </x:c>
    </x:row>
    <x:row r="511">
      <x:c r="A511" t="str">
        <x:v>Scitec Nutrition</x:v>
      </x:c>
      <x:c r="B511" t="str">
        <x:v>NAC</x:v>
      </x:c>
      <x:c r="C511" t="str">
        <x:v>Supplements</x:v>
      </x:c>
      <x:c r="D511" t="str">
        <x:v>Health Foods</x:v>
      </x:c>
      <x:c r="E511" t="str">
        <x:v>60 tabs</x:v>
      </x:c>
      <x:c r="F511" t="n">
        <x:v>1</x:v>
      </x:c>
      <x:c r="G511" t="str">
        <x:v>https://www.activesportstrade.co.uk/scitec-nutrition-trade</x:v>
      </x:c>
      <x:c r="H511" t="str"/>
      <x:c r="I511" t="str">
        <x:v>Pending genuine supplier/brand image</x:v>
      </x:c>
    </x:row>
    <x:row r="512">
      <x:c r="A512" t="str">
        <x:v>Scitec Nutrition</x:v>
      </x:c>
      <x:c r="B512" t="str">
        <x:v>Omega 3</x:v>
      </x:c>
      <x:c r="C512" t="str">
        <x:v>Supplements</x:v>
      </x:c>
      <x:c r="D512" t="str">
        <x:v>Omega and EFA</x:v>
      </x:c>
      <x:c r="E512" t="str">
        <x:v>100 caps</x:v>
      </x:c>
      <x:c r="F512" t="n">
        <x:v>1</x:v>
      </x:c>
      <x:c r="G512" t="str">
        <x:v>https://www.activesportstrade.co.uk/scitec-nutrition-trade</x:v>
      </x:c>
      <x:c r="H512" t="str"/>
      <x:c r="I512" t="str">
        <x:v>Pending genuine supplier/brand image</x:v>
      </x:c>
    </x:row>
    <x:row r="513">
      <x:c r="A513" t="str">
        <x:v>Scitec Nutrition</x:v>
      </x:c>
      <x:c r="B513" t="str">
        <x:v>Vitamin E</x:v>
      </x:c>
      <x:c r="C513" t="str">
        <x:v>Supplements</x:v>
      </x:c>
      <x:c r="D513" t="str">
        <x:v>Vitamins</x:v>
      </x:c>
      <x:c r="E513" t="str">
        <x:v>100 caps</x:v>
      </x:c>
      <x:c r="F513" t="n">
        <x:v>1</x:v>
      </x:c>
      <x:c r="G513" t="str">
        <x:v>https://www.activesportstrade.co.uk/scitec-nutrition-trade</x:v>
      </x:c>
      <x:c r="H513" t="str"/>
      <x:c r="I513" t="str">
        <x:v>Pending genuine supplier/brand image</x:v>
      </x:c>
    </x:row>
    <x:row r="514">
      <x:c r="A514" t="str">
        <x:v>Scitec Nutrition</x:v>
      </x:c>
      <x:c r="B514" t="str">
        <x:v>Water Cut</x:v>
      </x:c>
      <x:c r="C514" t="str">
        <x:v>Supplements</x:v>
      </x:c>
      <x:c r="D514" t="str">
        <x:v>Water Management</x:v>
      </x:c>
      <x:c r="E514" t="str">
        <x:v>100 caps</x:v>
      </x:c>
      <x:c r="F514" t="n">
        <x:v>1</x:v>
      </x:c>
      <x:c r="G514" t="str">
        <x:v>https://www.activesportstrade.co.uk/scitec-nutrition-trade</x:v>
      </x:c>
      <x:c r="H514" t="str"/>
      <x:c r="I514" t="str">
        <x:v>Pending genuine supplier/brand image</x:v>
      </x:c>
    </x:row>
    <x:row r="515">
      <x:c r="A515" t="str">
        <x:v>Scitec Nutrition</x:v>
      </x:c>
      <x:c r="B515" t="str">
        <x:v>Zinc</x:v>
      </x:c>
      <x:c r="C515" t="str">
        <x:v>Supplements</x:v>
      </x:c>
      <x:c r="D515" t="str">
        <x:v>Vitamins</x:v>
      </x:c>
      <x:c r="E515" t="str">
        <x:v>100 tablets</x:v>
      </x:c>
      <x:c r="F515" t="n">
        <x:v>1</x:v>
      </x:c>
      <x:c r="G515" t="str">
        <x:v>https://www.activesportstrade.co.uk/scitec-nutrition-trade</x:v>
      </x:c>
      <x:c r="H515" t="str"/>
      <x:c r="I515" t="str">
        <x:v>Pending genuine supplier/brand image</x:v>
      </x:c>
    </x:row>
    <x:row r="516">
      <x:c r="A516" t="str">
        <x:v>Scitec Nutrition</x:v>
      </x:c>
      <x:c r="B516" t="str">
        <x:v>ZMB</x:v>
      </x:c>
      <x:c r="C516" t="str">
        <x:v>Supplements</x:v>
      </x:c>
      <x:c r="D516" t="str">
        <x:v>Vitamins</x:v>
      </x:c>
      <x:c r="E516" t="str">
        <x:v>60 caps</x:v>
      </x:c>
      <x:c r="F516" t="n">
        <x:v>1</x:v>
      </x:c>
      <x:c r="G516" t="str">
        <x:v>https://www.activesportstrade.co.uk/scitec-nutrition-trade</x:v>
      </x:c>
      <x:c r="H516" t="str"/>
      <x:c r="I516" t="str">
        <x:v>Pending genuine supplier/brand image</x:v>
      </x:c>
    </x:row>
    <x:row r="517">
      <x:c r="A517" t="str">
        <x:v>Scitec Nutrition</x:v>
      </x:c>
      <x:c r="B517" t="str">
        <x:v>Collagen Liquid</x:v>
      </x:c>
      <x:c r="C517" t="str">
        <x:v>Supplements</x:v>
      </x:c>
      <x:c r="D517" t="str">
        <x:v>Joint Repair</x:v>
      </x:c>
      <x:c r="E517" t="str">
        <x:v>1000ml</x:v>
      </x:c>
      <x:c r="F517" t="n">
        <x:v>1</x:v>
      </x:c>
      <x:c r="G517" t="str">
        <x:v>https://www.activesportstrade.co.uk/scitec-nutrition-trade</x:v>
      </x:c>
      <x:c r="H517" t="str"/>
      <x:c r="I517" t="str">
        <x:v>Pending genuine supplier/brand image</x:v>
      </x:c>
    </x:row>
    <x:row r="518">
      <x:c r="A518" t="str">
        <x:v>Scitec Nutrition</x:v>
      </x:c>
      <x:c r="B518" t="str">
        <x:v>Collagen Xpress</x:v>
      </x:c>
      <x:c r="C518" t="str">
        <x:v>Supplements</x:v>
      </x:c>
      <x:c r="D518" t="str">
        <x:v>Joint Repair</x:v>
      </x:c>
      <x:c r="E518" t="str">
        <x:v>475g</x:v>
      </x:c>
      <x:c r="F518" t="n">
        <x:v>2</x:v>
      </x:c>
      <x:c r="G518" t="str">
        <x:v>https://www.activesportstrade.co.uk/scitec-nutrition-trade</x:v>
      </x:c>
      <x:c r="H518" t="str"/>
      <x:c r="I518" t="str">
        <x:v>Pending genuine supplier/brand image</x:v>
      </x:c>
    </x:row>
    <x:row r="519">
      <x:c r="A519" t="str">
        <x:v>Scitec Nutrition</x:v>
      </x:c>
      <x:c r="B519" t="str">
        <x:v>EAA + Glutamine</x:v>
      </x:c>
      <x:c r="C519" t="str">
        <x:v>Supplements</x:v>
      </x:c>
      <x:c r="D519" t="str">
        <x:v>Amino Acids</x:v>
      </x:c>
      <x:c r="E519" t="str">
        <x:v>33 servings</x:v>
      </x:c>
      <x:c r="F519" t="n">
        <x:v>4</x:v>
      </x:c>
      <x:c r="G519" t="str">
        <x:v>https://www.activesportstrade.co.uk/scitec-nutrition-trade</x:v>
      </x:c>
      <x:c r="H519" t="str"/>
      <x:c r="I519" t="str">
        <x:v>Pending genuine supplier/brand image</x:v>
      </x:c>
    </x:row>
    <x:row r="520">
      <x:c r="A520" t="str">
        <x:v>Scitec Nutrition</x:v>
      </x:c>
      <x:c r="B520" t="str">
        <x:v>EAA Xpress</x:v>
      </x:c>
      <x:c r="C520" t="str">
        <x:v>Supplements</x:v>
      </x:c>
      <x:c r="D520" t="str">
        <x:v>Amino Acids</x:v>
      </x:c>
      <x:c r="E520" t="str">
        <x:v>400g</x:v>
      </x:c>
      <x:c r="F520" t="n">
        <x:v>4</x:v>
      </x:c>
      <x:c r="G520" t="str">
        <x:v>https://www.activesportstrade.co.uk/scitec-nutrition-trade</x:v>
      </x:c>
      <x:c r="H520" t="str"/>
      <x:c r="I520" t="str">
        <x:v>Pending genuine supplier/brand image</x:v>
      </x:c>
    </x:row>
    <x:row r="521">
      <x:c r="A521" t="str">
        <x:v>Scitec Nutrition</x:v>
      </x:c>
      <x:c r="B521" t="str">
        <x:v>Vitargo</x:v>
      </x:c>
      <x:c r="C521" t="str">
        <x:v>Supplements</x:v>
      </x:c>
      <x:c r="D521" t="str">
        <x:v>Carbohydrates</x:v>
      </x:c>
      <x:c r="E521" t="str">
        <x:v>900g</x:v>
      </x:c>
      <x:c r="F521" t="n">
        <x:v>2</x:v>
      </x:c>
      <x:c r="G521" t="str">
        <x:v>https://www.activesportstrade.co.uk/scitec-nutrition-trade</x:v>
      </x:c>
      <x:c r="H521" t="str"/>
      <x:c r="I521" t="str">
        <x:v>Pending genuine supplier/brand image</x:v>
      </x:c>
    </x:row>
    <x:row r="522">
      <x:c r="A522" t="str">
        <x:v>Strom Sports Nutrition</x:v>
      </x:c>
      <x:c r="B522" t="str">
        <x:v>Abg10+ - Aged Black Garlic</x:v>
      </x:c>
      <x:c r="C522" t="str">
        <x:v>Supplements</x:v>
      </x:c>
      <x:c r="D522" t="str">
        <x:v>Health Foods</x:v>
      </x:c>
      <x:c r="E522" t="str">
        <x:v>120 caps</x:v>
      </x:c>
      <x:c r="F522" t="n">
        <x:v>1</x:v>
      </x:c>
      <x:c r="G522" t="str">
        <x:v>https://www.activesportstrade.co.uk/strom-sports-nutrition-trade</x:v>
      </x:c>
      <x:c r="H522" t="str"/>
      <x:c r="I522" t="str">
        <x:v>Pending genuine supplier/brand image</x:v>
      </x:c>
    </x:row>
    <x:row r="523">
      <x:c r="A523" t="str">
        <x:v>Strom Sports Nutrition</x:v>
      </x:c>
      <x:c r="B523" t="str">
        <x:v>Artichoke Extract</x:v>
      </x:c>
      <x:c r="C523" t="str">
        <x:v>Supplements</x:v>
      </x:c>
      <x:c r="D523" t="str">
        <x:v>Health Foods</x:v>
      </x:c>
      <x:c r="E523" t="str">
        <x:v>120 caps</x:v>
      </x:c>
      <x:c r="F523" t="n">
        <x:v>1</x:v>
      </x:c>
      <x:c r="G523" t="str">
        <x:v>https://www.activesportstrade.co.uk/strom-sports-nutrition-trade</x:v>
      </x:c>
      <x:c r="H523" t="str"/>
      <x:c r="I523" t="str">
        <x:v>Pending genuine supplier/brand image</x:v>
      </x:c>
    </x:row>
    <x:row r="524">
      <x:c r="A524" t="str">
        <x:v>Strom Sports Nutrition</x:v>
      </x:c>
      <x:c r="B524" t="str">
        <x:v>Ashwagandha KSM66</x:v>
      </x:c>
      <x:c r="C524" t="str">
        <x:v>Supplements</x:v>
      </x:c>
      <x:c r="D524" t="str">
        <x:v>Health Foods</x:v>
      </x:c>
      <x:c r="E524" t="str">
        <x:v>120 caps</x:v>
      </x:c>
      <x:c r="F524" t="n">
        <x:v>1</x:v>
      </x:c>
      <x:c r="G524" t="str">
        <x:v>https://www.activesportstrade.co.uk/strom-sports-nutrition-trade</x:v>
      </x:c>
      <x:c r="H524" t="str"/>
      <x:c r="I524" t="str">
        <x:v>Pending genuine supplier/brand image</x:v>
      </x:c>
    </x:row>
    <x:row r="525">
      <x:c r="A525" t="str">
        <x:v>Strom Sports Nutrition</x:v>
      </x:c>
      <x:c r="B525" t="str">
        <x:v>Bilberry Anthocyanins</x:v>
      </x:c>
      <x:c r="C525" t="str">
        <x:v>Supplements</x:v>
      </x:c>
      <x:c r="D525" t="str">
        <x:v>Health Foods</x:v>
      </x:c>
      <x:c r="E525" t="str">
        <x:v>60 caps</x:v>
      </x:c>
      <x:c r="F525" t="n">
        <x:v>1</x:v>
      </x:c>
      <x:c r="G525" t="str">
        <x:v>https://www.activesportstrade.co.uk/strom-sports-nutrition-trade</x:v>
      </x:c>
      <x:c r="H525" t="str"/>
      <x:c r="I525" t="str">
        <x:v>Pending genuine supplier/brand image</x:v>
      </x:c>
    </x:row>
    <x:row r="526">
      <x:c r="A526" t="str">
        <x:v>Strom Sports Nutrition</x:v>
      </x:c>
      <x:c r="B526" t="str">
        <x:v>Cocrystal Curcumin</x:v>
      </x:c>
      <x:c r="C526" t="str">
        <x:v>Supplements</x:v>
      </x:c>
      <x:c r="D526" t="str">
        <x:v>Health Foods</x:v>
      </x:c>
      <x:c r="E526" t="str">
        <x:v>60 caps</x:v>
      </x:c>
      <x:c r="F526" t="n">
        <x:v>1</x:v>
      </x:c>
      <x:c r="G526" t="str">
        <x:v>https://www.activesportstrade.co.uk/strom-sports-nutrition-trade</x:v>
      </x:c>
      <x:c r="H526" t="str"/>
      <x:c r="I526" t="str">
        <x:v>Pending genuine supplier/brand image</x:v>
      </x:c>
    </x:row>
    <x:row r="527">
      <x:c r="A527" t="str">
        <x:v>Strom Sports Nutrition</x:v>
      </x:c>
      <x:c r="B527" t="str">
        <x:v>CarbMAX</x:v>
      </x:c>
      <x:c r="C527" t="str">
        <x:v>Supplements</x:v>
      </x:c>
      <x:c r="D527" t="str">
        <x:v>Intra Workout</x:v>
      </x:c>
      <x:c r="E527" t="str">
        <x:v>1.5kg / 50 servings</x:v>
      </x:c>
      <x:c r="F527" t="n">
        <x:v>4</x:v>
      </x:c>
      <x:c r="G527" t="str">
        <x:v>https://www.activesportstrade.co.uk/strom-sports-nutrition-trade</x:v>
      </x:c>
      <x:c r="H527" t="str"/>
      <x:c r="I527" t="str">
        <x:v>Pending genuine supplier/brand image</x:v>
      </x:c>
    </x:row>
    <x:row r="528">
      <x:c r="A528" t="str">
        <x:v>Strom Sports Nutrition</x:v>
      </x:c>
      <x:c r="B528" t="str">
        <x:v>Cream Of Rice</x:v>
      </x:c>
      <x:c r="C528" t="str">
        <x:v>Supplements</x:v>
      </x:c>
      <x:c r="D528" t="str">
        <x:v>Carbohydrates</x:v>
      </x:c>
      <x:c r="E528" t="str">
        <x:v>2kg</x:v>
      </x:c>
      <x:c r="F528" t="n">
        <x:v>9</x:v>
      </x:c>
      <x:c r="G528" t="str">
        <x:v>https://www.activesportstrade.co.uk/Protein-Meal-Replacements/norec</x:v>
      </x:c>
      <x:c r="H528" t="str"/>
      <x:c r="I528" t="str">
        <x:v>Pending genuine supplier/brand image</x:v>
      </x:c>
    </x:row>
    <x:row r="529">
      <x:c r="A529" t="str">
        <x:v>Strom Sports Nutrition</x:v>
      </x:c>
      <x:c r="B529" t="str">
        <x:v>Max Meal</x:v>
      </x:c>
      <x:c r="C529" t="str">
        <x:v>Supplements</x:v>
      </x:c>
      <x:c r="D529" t="str">
        <x:v>Meal Replacements</x:v>
      </x:c>
      <x:c r="E529" t="str">
        <x:v>20 servings</x:v>
      </x:c>
      <x:c r="F529" t="n">
        <x:v>3</x:v>
      </x:c>
      <x:c r="G529" t="str">
        <x:v>https://www.activesportstrade.co.uk/Protein-Meal-Replacements/norec</x:v>
      </x:c>
      <x:c r="H529" t="str"/>
      <x:c r="I529" t="str">
        <x:v>Pending genuine supplier/brand image</x:v>
      </x:c>
    </x:row>
    <x:row r="530">
      <x:c r="A530" t="str">
        <x:v>Strom Sports Nutrition</x:v>
      </x:c>
      <x:c r="B530" t="str">
        <x:v>VelosiWHEY</x:v>
      </x:c>
      <x:c r="C530" t="str">
        <x:v>Supplements</x:v>
      </x:c>
      <x:c r="D530" t="str">
        <x:v>Whey Protein</x:v>
      </x:c>
      <x:c r="E530" t="str">
        <x:v>1.2kg</x:v>
      </x:c>
      <x:c r="F530" t="n">
        <x:v>7</x:v>
      </x:c>
      <x:c r="G530" t="str">
        <x:v>https://www.activesportstrade.co.uk/Whey-Protein-Supplements-Trade</x:v>
      </x:c>
      <x:c r="H530" t="str"/>
      <x:c r="I530" t="str">
        <x:v>Pending genuine supplier/brand image</x:v>
      </x:c>
    </x:row>
    <x:row r="531">
      <x:c r="A531" t="str">
        <x:v>Strom Sports Nutrition</x:v>
      </x:c>
      <x:c r="B531" t="str">
        <x:v>FocusMAX Cans</x:v>
      </x:c>
      <x:c r="C531" t="str">
        <x:v>Drinks and Bars</x:v>
      </x:c>
      <x:c r="D531" t="str">
        <x:v>Ready to Drink Energy</x:v>
      </x:c>
      <x:c r="E531" t="str">
        <x:v>12 x 330ml cans</x:v>
      </x:c>
      <x:c r="F531" t="n">
        <x:v>3</x:v>
      </x:c>
      <x:c r="G531" t="str">
        <x:v>https://www.activesportstrade.co.uk/ready-to-drink-pre-workout-trade</x:v>
      </x:c>
      <x:c r="H531" t="str"/>
      <x:c r="I531" t="str">
        <x:v>Pending genuine supplier/brand image</x:v>
      </x:c>
    </x:row>
    <x:row r="532">
      <x:c r="A532" t="str">
        <x:v>Strom Sports Nutrition</x:v>
      </x:c>
      <x:c r="B532" t="str">
        <x:v>StimuMAX Black Edition</x:v>
      </x:c>
      <x:c r="C532" t="str">
        <x:v>Pre Workouts</x:v>
      </x:c>
      <x:c r="D532" t="str">
        <x:v>High Stim</x:v>
      </x:c>
      <x:c r="E532" t="str">
        <x:v>30 servings</x:v>
      </x:c>
      <x:c r="F532" t="n">
        <x:v>3</x:v>
      </x:c>
      <x:c r="G532" t="str">
        <x:v>https://www.activesportstrade.co.uk/high-stim-pre-workouts/strom-sports-nutrition-trade</x:v>
      </x:c>
      <x:c r="H532" t="str"/>
      <x:c r="I532" t="str">
        <x:v>Pending genuine supplier/brand image</x:v>
      </x:c>
    </x:row>
    <x:row r="533">
      <x:c r="A533" t="str">
        <x:v>Strom Sports Nutrition</x:v>
      </x:c>
      <x:c r="B533" t="str">
        <x:v>GlycoMAX</x:v>
      </x:c>
      <x:c r="C533" t="str">
        <x:v>Supplements</x:v>
      </x:c>
      <x:c r="D533" t="str">
        <x:v>Insulin Drivers</x:v>
      </x:c>
      <x:c r="E533" t="str">
        <x:v>300 caps</x:v>
      </x:c>
      <x:c r="F533" t="n">
        <x:v>1</x:v>
      </x:c>
      <x:c r="G533" t="str">
        <x:v>https://www.activesportstrade.co.uk/testosterone-boosters-trade/strom-sports-nutrition-trade</x:v>
      </x:c>
      <x:c r="H533" t="str"/>
      <x:c r="I533" t="str">
        <x:v>Pending genuine supplier/brand image</x:v>
      </x:c>
    </x:row>
    <x:row r="534">
      <x:c r="A534" t="str">
        <x:v>Strom Sports Nutrition</x:v>
      </x:c>
      <x:c r="B534" t="str">
        <x:v>Support Max (OCS Supplement)</x:v>
      </x:c>
      <x:c r="C534" t="str">
        <x:v>Supplements</x:v>
      </x:c>
      <x:c r="D534" t="str">
        <x:v>Health Foods</x:v>
      </x:c>
      <x:c r="E534" t="str">
        <x:v>120 caps</x:v>
      </x:c>
      <x:c r="F534" t="n">
        <x:v>1</x:v>
      </x:c>
      <x:c r="G534" t="str">
        <x:v>https://www.activesportstrade.co.uk/testosterone-boosters-trade/strom-sports-nutrition-trade</x:v>
      </x:c>
      <x:c r="H534" t="str"/>
      <x:c r="I534" t="str">
        <x:v>Pending genuine supplier/brand image</x:v>
      </x:c>
    </x:row>
    <x:row r="535">
      <x:c r="A535" t="str">
        <x:v>Strom Sports Nutrition</x:v>
      </x:c>
      <x:c r="B535" t="str">
        <x:v>HydraMAX</x:v>
      </x:c>
      <x:c r="C535" t="str">
        <x:v>Supplements</x:v>
      </x:c>
      <x:c r="D535" t="str">
        <x:v>Hydration</x:v>
      </x:c>
      <x:c r="E535" t="str">
        <x:v>40 servings, 35 servings, 1.08kg / 90 servings</x:v>
      </x:c>
      <x:c r="F535" t="n">
        <x:v>19</x:v>
      </x:c>
      <x:c r="G535" t="str">
        <x:v>https://www.activesportstrade.co.uk/strom-sports-nutrition-trade</x:v>
      </x:c>
      <x:c r="H535" t="str"/>
      <x:c r="I535" t="str">
        <x:v>Pending genuine supplier/brand image</x:v>
      </x:c>
    </x:row>
    <x:row r="536">
      <x:c r="A536" t="str">
        <x:v>Strom Sports Nutrition</x:v>
      </x:c>
      <x:c r="B536" t="str">
        <x:v>IntraMAX</x:v>
      </x:c>
      <x:c r="C536" t="str">
        <x:v>Supplements</x:v>
      </x:c>
      <x:c r="D536" t="str">
        <x:v>Intra Workout</x:v>
      </x:c>
      <x:c r="E536" t="str">
        <x:v>40 servings</x:v>
      </x:c>
      <x:c r="F536" t="n">
        <x:v>5</x:v>
      </x:c>
      <x:c r="G536" t="str">
        <x:v>https://www.activesportstrade.co.uk/strom-sports-nutrition-trade</x:v>
      </x:c>
      <x:c r="H536" t="str"/>
      <x:c r="I536" t="str">
        <x:v>Pending genuine supplier/brand image</x:v>
      </x:c>
    </x:row>
    <x:row r="537">
      <x:c r="A537" t="str">
        <x:v>Strom Sports Nutrition</x:v>
      </x:c>
      <x:c r="B537" t="str">
        <x:v>NitroMAX</x:v>
      </x:c>
      <x:c r="C537" t="str">
        <x:v>Pre Workouts</x:v>
      </x:c>
      <x:c r="D537" t="str">
        <x:v>Stim FREE</x:v>
      </x:c>
      <x:c r="E537" t="str">
        <x:v>40 servings</x:v>
      </x:c>
      <x:c r="F537" t="n">
        <x:v>3</x:v>
      </x:c>
      <x:c r="G537" t="str">
        <x:v>https://www.activesportstrade.co.uk/strom-sports-nutrition-trade</x:v>
      </x:c>
      <x:c r="H537" t="str"/>
      <x:c r="I537" t="str">
        <x:v>Pending genuine supplier/brand image</x:v>
      </x:c>
    </x:row>
    <x:row r="538">
      <x:c r="A538" t="str">
        <x:v>Strom Sports Nutrition</x:v>
      </x:c>
      <x:c r="B538" t="str">
        <x:v>StimuMAX</x:v>
      </x:c>
      <x:c r="C538" t="str">
        <x:v>Pre Workouts</x:v>
      </x:c>
      <x:c r="D538" t="str">
        <x:v>High Stim</x:v>
      </x:c>
      <x:c r="E538" t="str">
        <x:v>40 servings</x:v>
      </x:c>
      <x:c r="F538" t="n">
        <x:v>4</x:v>
      </x:c>
      <x:c r="G538" t="str">
        <x:v>https://www.activesportstrade.co.uk/strom-sports-nutrition-trade</x:v>
      </x:c>
      <x:c r="H538" t="str"/>
      <x:c r="I538" t="str">
        <x:v>Pending genuine supplier/brand image</x:v>
      </x:c>
    </x:row>
    <x:row r="539">
      <x:c r="A539" t="str">
        <x:v>Strom Sports Nutrition</x:v>
      </x:c>
      <x:c r="B539" t="str">
        <x:v>Creatine Monohydrate</x:v>
      </x:c>
      <x:c r="C539" t="str">
        <x:v>Supplements</x:v>
      </x:c>
      <x:c r="D539" t="str">
        <x:v>Creatine Powders</x:v>
      </x:c>
      <x:c r="E539" t="str">
        <x:v>500g</x:v>
      </x:c>
      <x:c r="F539" t="n">
        <x:v>1</x:v>
      </x:c>
      <x:c r="G539" t="str">
        <x:v>https://www.activesportstrade.co.uk/strom-sports-nutrition-trade</x:v>
      </x:c>
      <x:c r="H539" t="str"/>
      <x:c r="I539" t="str">
        <x:v>Pending genuine supplier/brand image</x:v>
      </x:c>
    </x:row>
    <x:row r="540">
      <x:c r="A540" t="str">
        <x:v>Strom Sports Nutrition</x:v>
      </x:c>
      <x:c r="B540" t="str">
        <x:v>Glutamine</x:v>
      </x:c>
      <x:c r="C540" t="str">
        <x:v>Supplements</x:v>
      </x:c>
      <x:c r="D540" t="str">
        <x:v>L-Glutamine</x:v>
      </x:c>
      <x:c r="E540" t="str">
        <x:v>500g</x:v>
      </x:c>
      <x:c r="F540" t="n">
        <x:v>1</x:v>
      </x:c>
      <x:c r="G540" t="str">
        <x:v>https://www.activesportstrade.co.uk/strom-sports-nutrition-trade</x:v>
      </x:c>
      <x:c r="H540" t="str"/>
      <x:c r="I540" t="str">
        <x:v>Pending genuine supplier/brand image</x:v>
      </x:c>
    </x:row>
    <x:row r="541">
      <x:c r="A541" t="str">
        <x:v>Strom Sports Nutrition</x:v>
      </x:c>
      <x:c r="B541" t="str">
        <x:v>EssentialMAX</x:v>
      </x:c>
      <x:c r="C541" t="str">
        <x:v>Supplements</x:v>
      </x:c>
      <x:c r="D541" t="str">
        <x:v>Amino Acids</x:v>
      </x:c>
      <x:c r="E541" t="str">
        <x:v>40 servings</x:v>
      </x:c>
      <x:c r="F541" t="n">
        <x:v>4</x:v>
      </x:c>
      <x:c r="G541" t="str">
        <x:v>https://www.activesportstrade.co.uk/strom-sports-nutrition-trade</x:v>
      </x:c>
      <x:c r="H541" t="str"/>
      <x:c r="I541" t="str">
        <x:v>Pending genuine supplier/brand image</x:v>
      </x:c>
    </x:row>
    <x:row r="542">
      <x:c r="A542" t="str">
        <x:v>Strom Sports Nutrition</x:v>
      </x:c>
      <x:c r="B542" t="str">
        <x:v>VasculMAX</x:v>
      </x:c>
      <x:c r="C542" t="str">
        <x:v>Pre Workouts</x:v>
      </x:c>
      <x:c r="D542" t="str">
        <x:v>Stim FREE</x:v>
      </x:c>
      <x:c r="E542" t="str">
        <x:v>40 servings</x:v>
      </x:c>
      <x:c r="F542" t="n">
        <x:v>3</x:v>
      </x:c>
      <x:c r="G542" t="str">
        <x:v>https://www.activesportstrade.co.uk/strom-sports-nutrition-trade</x:v>
      </x:c>
      <x:c r="H542" t="str"/>
      <x:c r="I542" t="str">
        <x:v>Pending genuine supplier/brand image</x:v>
      </x:c>
    </x:row>
    <x:row r="543">
      <x:c r="A543" t="str">
        <x:v>Trained By JP</x:v>
      </x:c>
      <x:c r="B543" t="str">
        <x:v>Cream of Rice</x:v>
      </x:c>
      <x:c r="C543" t="str">
        <x:v>Supplements</x:v>
      </x:c>
      <x:c r="D543" t="str">
        <x:v>Carbohydrates</x:v>
      </x:c>
      <x:c r="E543" t="str">
        <x:v>2kg</x:v>
      </x:c>
      <x:c r="F543" t="n">
        <x:v>30</x:v>
      </x:c>
      <x:c r="G543" t="str">
        <x:v>https://www.activesportstrade.co.uk/trained-by-jp-trade</x:v>
      </x:c>
      <x:c r="H543" t="str"/>
      <x:c r="I543" t="str">
        <x:v>Pending genuine supplier/brand image</x:v>
      </x:c>
    </x:row>
    <x:row r="544">
      <x:c r="A544" t="str">
        <x:v>Trained By JP</x:v>
      </x:c>
      <x:c r="B544" t="str">
        <x:v>Creatine Monohydrate</x:v>
      </x:c>
      <x:c r="C544" t="str">
        <x:v>Supplements</x:v>
      </x:c>
      <x:c r="D544" t="str">
        <x:v>Creatine Powders</x:v>
      </x:c>
      <x:c r="E544" t="str">
        <x:v>500g, 1kg, 300g</x:v>
      </x:c>
      <x:c r="F544" t="n">
        <x:v>5</x:v>
      </x:c>
      <x:c r="G544" t="str">
        <x:v>https://www.activesportstrade.co.uk/trained-by-jp-trade</x:v>
      </x:c>
      <x:c r="H544" t="str"/>
      <x:c r="I544" t="str">
        <x:v>Pending genuine supplier/brand image</x:v>
      </x:c>
    </x:row>
    <x:row r="545">
      <x:c r="A545" t="str">
        <x:v>Trained By JP</x:v>
      </x:c>
      <x:c r="B545" t="str">
        <x:v>EAA</x:v>
      </x:c>
      <x:c r="C545" t="str">
        <x:v>Supplements</x:v>
      </x:c>
      <x:c r="D545" t="str">
        <x:v>Amino Acids</x:v>
      </x:c>
      <x:c r="E545" t="str">
        <x:v>30 servings</x:v>
      </x:c>
      <x:c r="F545" t="n">
        <x:v>6</x:v>
      </x:c>
      <x:c r="G545" t="str">
        <x:v>https://www.activesportstrade.co.uk/trained-by-jp-trade</x:v>
      </x:c>
      <x:c r="H545" t="str"/>
      <x:c r="I545" t="str">
        <x:v>Pending genuine supplier/brand image</x:v>
      </x:c>
    </x:row>
    <x:row r="546">
      <x:c r="A546" t="str">
        <x:v>Trained By JP</x:v>
      </x:c>
      <x:c r="B546" t="str">
        <x:v>Hydration</x:v>
      </x:c>
      <x:c r="C546" t="str">
        <x:v>Supplements</x:v>
      </x:c>
      <x:c r="D546" t="str">
        <x:v>Hydration</x:v>
      </x:c>
      <x:c r="E546" t="str">
        <x:v>30 servings</x:v>
      </x:c>
      <x:c r="F546" t="n">
        <x:v>9</x:v>
      </x:c>
      <x:c r="G546" t="str">
        <x:v>https://www.activesportstrade.co.uk/trained-by-jp-trade</x:v>
      </x:c>
      <x:c r="H546" t="str"/>
      <x:c r="I546" t="str">
        <x:v>Pending genuine supplier/brand image</x:v>
      </x:c>
    </x:row>
    <x:row r="547">
      <x:c r="A547" t="str">
        <x:v>Trained By JP</x:v>
      </x:c>
      <x:c r="B547" t="str">
        <x:v>Pre Workout</x:v>
      </x:c>
      <x:c r="C547" t="str">
        <x:v>Pre Workouts</x:v>
      </x:c>
      <x:c r="D547" t="str">
        <x:v>High Stim</x:v>
      </x:c>
      <x:c r="E547" t="str">
        <x:v>30 servings</x:v>
      </x:c>
      <x:c r="F547" t="n">
        <x:v>5</x:v>
      </x:c>
      <x:c r="G547" t="str">
        <x:v>https://www.activesportstrade.co.uk/trained-by-jp-trade</x:v>
      </x:c>
      <x:c r="H547" t="str"/>
      <x:c r="I547" t="str">
        <x:v>Pending genuine supplier/brand image</x:v>
      </x:c>
    </x:row>
    <x:row r="548">
      <x:c r="A548" t="str">
        <x:v>Trained By JP</x:v>
      </x:c>
      <x:c r="B548" t="str">
        <x:v>Pump</x:v>
      </x:c>
      <x:c r="C548" t="str">
        <x:v>Pre Workouts</x:v>
      </x:c>
      <x:c r="D548" t="str">
        <x:v>Stim FREE</x:v>
      </x:c>
      <x:c r="E548" t="str">
        <x:v>30 servings</x:v>
      </x:c>
      <x:c r="F548" t="n">
        <x:v>4</x:v>
      </x:c>
      <x:c r="G548" t="str">
        <x:v>https://www.activesportstrade.co.uk/trained-by-jp-trade</x:v>
      </x:c>
      <x:c r="H548" t="str"/>
      <x:c r="I548" t="str">
        <x:v>Pending genuine supplier/brand image</x:v>
      </x:c>
    </x:row>
    <x:row r="549">
      <x:c r="A549" t="str">
        <x:v>Trained By JP</x:v>
      </x:c>
      <x:c r="B549" t="str">
        <x:v>Whey Protein</x:v>
      </x:c>
      <x:c r="C549" t="str">
        <x:v>Supplements</x:v>
      </x:c>
      <x:c r="D549" t="str">
        <x:v>Whey Protein</x:v>
      </x:c>
      <x:c r="E549" t="str">
        <x:v>2kg, 900g</x:v>
      </x:c>
      <x:c r="F549" t="n">
        <x:v>13</x:v>
      </x:c>
      <x:c r="G549" t="str">
        <x:v>https://www.activesportstrade.co.uk/trained-by-jp-trade</x:v>
      </x:c>
      <x:c r="H549" t="str"/>
      <x:c r="I549" t="str">
        <x:v>Pending genuine supplier/brand image</x:v>
      </x:c>
    </x:row>
    <x:row r="550">
      <x:c r="A550" t="str">
        <x:v>Per4m</x:v>
      </x:c>
      <x:c r="B550" t="str">
        <x:v>Advanced Whey Protein</x:v>
      </x:c>
      <x:c r="C550" t="str">
        <x:v>Supplements</x:v>
      </x:c>
      <x:c r="D550" t="str">
        <x:v>Whey Protein</x:v>
      </x:c>
      <x:c r="E550" t="str">
        <x:v>2.01kg, 900g</x:v>
      </x:c>
      <x:c r="F550" t="n">
        <x:v>21</x:v>
      </x:c>
      <x:c r="G550" t="str">
        <x:v>https://www.activesportstrade.co.uk/per4m-trade</x:v>
      </x:c>
      <x:c r="H550" t="str"/>
      <x:c r="I550" t="str">
        <x:v>Pending genuine supplier/brand image</x:v>
      </x:c>
    </x:row>
    <x:row r="551">
      <x:c r="A551" t="str">
        <x:v>Per4m</x:v>
      </x:c>
      <x:c r="B551" t="str">
        <x:v>Cream of Rice</x:v>
      </x:c>
      <x:c r="C551" t="str">
        <x:v>Supplements</x:v>
      </x:c>
      <x:c r="D551" t="str">
        <x:v>Carbohydrates</x:v>
      </x:c>
      <x:c r="E551" t="str">
        <x:v>2kg</x:v>
      </x:c>
      <x:c r="F551" t="n">
        <x:v>10</x:v>
      </x:c>
      <x:c r="G551" t="str">
        <x:v>https://www.activesportstrade.co.uk/per4m-trade</x:v>
      </x:c>
      <x:c r="H551" t="str"/>
      <x:c r="I551" t="str">
        <x:v>Pending genuine supplier/brand image</x:v>
      </x:c>
    </x:row>
    <x:row r="552">
      <x:c r="A552" t="str">
        <x:v>Per4m</x:v>
      </x:c>
      <x:c r="B552" t="str">
        <x:v>Pre Workout</x:v>
      </x:c>
      <x:c r="C552" t="str">
        <x:v>Pre Workouts</x:v>
      </x:c>
      <x:c r="D552" t="str">
        <x:v>High Stim</x:v>
      </x:c>
      <x:c r="E552" t="str">
        <x:v>30 servings</x:v>
      </x:c>
      <x:c r="F552" t="n">
        <x:v>5</x:v>
      </x:c>
      <x:c r="G552" t="str">
        <x:v>https://www.activesportstrade.co.uk/per4m-trade</x:v>
      </x:c>
      <x:c r="H552" t="str"/>
      <x:c r="I552" t="str">
        <x:v>Pending genuine supplier/brand image</x:v>
      </x:c>
    </x:row>
    <x:row r="553">
      <x:c r="A553" t="str">
        <x:v>Trained By JP</x:v>
      </x:c>
      <x:c r="B553" t="str">
        <x:v>Ashwagandha</x:v>
      </x:c>
      <x:c r="C553" t="str">
        <x:v>Supplements</x:v>
      </x:c>
      <x:c r="D553" t="str">
        <x:v>Health Foods</x:v>
      </x:c>
      <x:c r="E553" t="str">
        <x:v>60 caps</x:v>
      </x:c>
      <x:c r="F553" t="n">
        <x:v>1</x:v>
      </x:c>
      <x:c r="G553" t="str">
        <x:v>https://www.activesportstrade.co.uk/trained-by-jp-trade</x:v>
      </x:c>
      <x:c r="H553" t="str"/>
      <x:c r="I553" t="str">
        <x:v>Pending genuine supplier/brand image</x:v>
      </x:c>
    </x:row>
    <x:row r="554">
      <x:c r="A554" t="str">
        <x:v>Trained By JP</x:v>
      </x:c>
      <x:c r="B554" t="str">
        <x:v>Berberine</x:v>
      </x:c>
      <x:c r="C554" t="str">
        <x:v>Supplements</x:v>
      </x:c>
      <x:c r="D554" t="str">
        <x:v>Insulin Drivers</x:v>
      </x:c>
      <x:c r="E554" t="str">
        <x:v>60 caps</x:v>
      </x:c>
      <x:c r="F554" t="n">
        <x:v>1</x:v>
      </x:c>
      <x:c r="G554" t="str">
        <x:v>https://www.activesportstrade.co.uk/trained-by-jp-trade</x:v>
      </x:c>
      <x:c r="H554" t="str"/>
      <x:c r="I554" t="str">
        <x:v>Pending genuine supplier/brand image</x:v>
      </x:c>
    </x:row>
    <x:row r="555">
      <x:c r="A555" t="str">
        <x:v>Trained By JP</x:v>
      </x:c>
      <x:c r="B555" t="str">
        <x:v>Clear ISO</x:v>
      </x:c>
      <x:c r="C555" t="str">
        <x:v>Supplements</x:v>
      </x:c>
      <x:c r="D555" t="str">
        <x:v>Whey Protein</x:v>
      </x:c>
      <x:c r="E555" t="str">
        <x:v>900g</x:v>
      </x:c>
      <x:c r="F555" t="n">
        <x:v>4</x:v>
      </x:c>
      <x:c r="G555" t="str">
        <x:v>https://www.activesportstrade.co.uk/trained-by-jp-trade</x:v>
      </x:c>
      <x:c r="H555" t="str"/>
      <x:c r="I555" t="str">
        <x:v>Pending genuine supplier/brand image</x:v>
      </x:c>
    </x:row>
    <x:row r="556">
      <x:c r="A556" t="str">
        <x:v>Trained By JP</x:v>
      </x:c>
      <x:c r="B556" t="str">
        <x:v>Collagen</x:v>
      </x:c>
      <x:c r="C556" t="str">
        <x:v>Supplements</x:v>
      </x:c>
      <x:c r="D556" t="str">
        <x:v>Collagen</x:v>
      </x:c>
      <x:c r="E556" t="str">
        <x:v>300g</x:v>
      </x:c>
      <x:c r="F556" t="n">
        <x:v>2</x:v>
      </x:c>
      <x:c r="G556" t="str">
        <x:v>https://www.activesportstrade.co.uk/trained-by-jp-trade</x:v>
      </x:c>
      <x:c r="H556" t="str"/>
      <x:c r="I556" t="str">
        <x:v>Pending genuine supplier/brand image</x:v>
      </x:c>
    </x:row>
    <x:row r="557">
      <x:c r="A557" t="str">
        <x:v>Trained By JP</x:v>
      </x:c>
      <x:c r="B557" t="str">
        <x:v>Heart Care</x:v>
      </x:c>
      <x:c r="C557" t="str">
        <x:v>Supplements</x:v>
      </x:c>
      <x:c r="D557" t="str">
        <x:v>Health Foods</x:v>
      </x:c>
      <x:c r="E557" t="str">
        <x:v>90 caps</x:v>
      </x:c>
      <x:c r="F557" t="n">
        <x:v>2</x:v>
      </x:c>
      <x:c r="G557" t="str">
        <x:v>https://www.activesportstrade.co.uk/trained-by-jp-trade</x:v>
      </x:c>
      <x:c r="H557" t="str"/>
      <x:c r="I557" t="str">
        <x:v>Pending genuine supplier/brand image</x:v>
      </x:c>
    </x:row>
    <x:row r="558">
      <x:c r="A558" t="str">
        <x:v>Trained By JP</x:v>
      </x:c>
      <x:c r="B558" t="str">
        <x:v>In Sure</x:v>
      </x:c>
      <x:c r="C558" t="str">
        <x:v>Supplements</x:v>
      </x:c>
      <x:c r="D558" t="str">
        <x:v>Insulin Drivers</x:v>
      </x:c>
      <x:c r="E558" t="str">
        <x:v>180 caps</x:v>
      </x:c>
      <x:c r="F558" t="n">
        <x:v>2</x:v>
      </x:c>
      <x:c r="G558" t="str">
        <x:v>https://www.activesportstrade.co.uk/trained-by-jp-trade</x:v>
      </x:c>
      <x:c r="H558" t="str"/>
      <x:c r="I558" t="str">
        <x:v>Pending genuine supplier/brand image</x:v>
      </x:c>
    </x:row>
    <x:row r="559">
      <x:c r="A559" t="str">
        <x:v>Trained By JP</x:v>
      </x:c>
      <x:c r="B559" t="str">
        <x:v>Iron</x:v>
      </x:c>
      <x:c r="C559" t="str">
        <x:v>Supplements</x:v>
      </x:c>
      <x:c r="D559" t="str">
        <x:v>Vitamins</x:v>
      </x:c>
      <x:c r="E559" t="str">
        <x:v>60 caps</x:v>
      </x:c>
      <x:c r="F559" t="n">
        <x:v>2</x:v>
      </x:c>
      <x:c r="G559" t="str">
        <x:v>https://www.activesportstrade.co.uk/trained-by-jp-trade</x:v>
      </x:c>
      <x:c r="H559" t="str"/>
      <x:c r="I559" t="str">
        <x:v>Pending genuine supplier/brand image</x:v>
      </x:c>
    </x:row>
    <x:row r="560">
      <x:c r="A560" t="str">
        <x:v>Trained By JP</x:v>
      </x:c>
      <x:c r="B560" t="str">
        <x:v>IsoPro 100% Whey Protein Isolate</x:v>
      </x:c>
      <x:c r="C560" t="str">
        <x:v>Supplements</x:v>
      </x:c>
      <x:c r="D560" t="str">
        <x:v>Whey Protein</x:v>
      </x:c>
      <x:c r="E560" t="str">
        <x:v>1.8kg, 1kg</x:v>
      </x:c>
      <x:c r="F560" t="n">
        <x:v>25</x:v>
      </x:c>
      <x:c r="G560" t="str">
        <x:v>https://www.activesportstrade.co.uk/trained-by-jp-trade</x:v>
      </x:c>
      <x:c r="H560" t="str"/>
      <x:c r="I560" t="str">
        <x:v>Pending genuine supplier/brand image</x:v>
      </x:c>
    </x:row>
    <x:row r="561">
      <x:c r="A561" t="str">
        <x:v>Trained By JP</x:v>
      </x:c>
      <x:c r="B561" t="str">
        <x:v>Peak Hydration</x:v>
      </x:c>
      <x:c r="C561" t="str">
        <x:v>Supplements</x:v>
      </x:c>
      <x:c r="D561" t="str">
        <x:v>Hydration</x:v>
      </x:c>
      <x:c r="E561" t="str">
        <x:v>180 caps</x:v>
      </x:c>
      <x:c r="F561" t="n">
        <x:v>1</x:v>
      </x:c>
      <x:c r="G561" t="str">
        <x:v>https://www.activesportstrade.co.uk/hydration-supplements-trade</x:v>
      </x:c>
      <x:c r="H561" t="str"/>
      <x:c r="I561" t="str">
        <x:v>Pending genuine supplier/brand image</x:v>
      </x:c>
    </x:row>
    <x:row r="562">
      <x:c r="A562" t="str">
        <x:v>Trained By JP</x:v>
      </x:c>
      <x:c r="B562" t="str">
        <x:v>EAA + Hydration</x:v>
      </x:c>
      <x:c r="C562" t="str">
        <x:v>Supplements</x:v>
      </x:c>
      <x:c r="D562" t="str">
        <x:v>Amino Acids</x:v>
      </x:c>
      <x:c r="E562" t="str">
        <x:v>300g / 30 servings</x:v>
      </x:c>
      <x:c r="F562" t="n">
        <x:v>5</x:v>
      </x:c>
      <x:c r="G562" t="str">
        <x:v>https://www.activesportstrade.co.uk/Amino-Acids</x:v>
      </x:c>
      <x:c r="H562" t="str"/>
      <x:c r="I562" t="str">
        <x:v>Pending genuine supplier/brand image</x:v>
      </x:c>
    </x:row>
    <x:row r="563">
      <x:c r="A563" t="str">
        <x:v>Trained By JP</x:v>
      </x:c>
      <x:c r="B563" t="str">
        <x:v>Vegan Protein</x:v>
      </x:c>
      <x:c r="C563" t="str">
        <x:v>Supplements</x:v>
      </x:c>
      <x:c r="D563" t="str">
        <x:v>Protein Blends</x:v>
      </x:c>
      <x:c r="E563" t="str">
        <x:v>2kg</x:v>
      </x:c>
      <x:c r="F563" t="n">
        <x:v>5</x:v>
      </x:c>
      <x:c r="G563" t="str">
        <x:v>https://www.activesportstrade.co.uk/Protein-Blends-Trade</x:v>
      </x:c>
      <x:c r="H563" t="str"/>
      <x:c r="I563" t="str">
        <x:v>Pending genuine supplier/brand image</x:v>
      </x:c>
    </x:row>
    <x:row r="564">
      <x:c r="A564" t="str">
        <x:v>Trained By JP</x:v>
      </x:c>
      <x:c r="B564" t="str">
        <x:v>MPS Max</x:v>
      </x:c>
      <x:c r="C564" t="str">
        <x:v>Supplements</x:v>
      </x:c>
      <x:c r="D564" t="str">
        <x:v>Intra Workout</x:v>
      </x:c>
      <x:c r="E564" t="str">
        <x:v>20 servings</x:v>
      </x:c>
      <x:c r="F564" t="n">
        <x:v>4</x:v>
      </x:c>
      <x:c r="G564" t="str">
        <x:v>https://www.activesportstrade.co.uk/Intra-Workout</x:v>
      </x:c>
      <x:c r="H564" t="str"/>
      <x:c r="I564" t="str">
        <x:v>Pending genuine supplier/brand image</x:v>
      </x:c>
    </x:row>
    <x:row r="565">
      <x:c r="A565" t="str">
        <x:v>Trained By JP</x:v>
      </x:c>
      <x:c r="B565" t="str">
        <x:v>Performance Fuel</x:v>
      </x:c>
      <x:c r="C565" t="str">
        <x:v>Supplements</x:v>
      </x:c>
      <x:c r="D565" t="str">
        <x:v>Intra Workout</x:v>
      </x:c>
      <x:c r="E565" t="str">
        <x:v>1kg / 40 servings</x:v>
      </x:c>
      <x:c r="F565" t="n">
        <x:v>3</x:v>
      </x:c>
      <x:c r="G565" t="str">
        <x:v>https://www.activesportstrade.co.uk/Intra-Workout</x:v>
      </x:c>
      <x:c r="H565" t="str"/>
      <x:c r="I565" t="str">
        <x:v>Pending genuine supplier/brand image</x:v>
      </x:c>
    </x:row>
    <x:row r="566">
      <x:c r="A566" t="str">
        <x:v>Trained By JP</x:v>
      </x:c>
      <x:c r="B566" t="str">
        <x:v>Sustain</x:v>
      </x:c>
      <x:c r="C566" t="str">
        <x:v>Supplements</x:v>
      </x:c>
      <x:c r="D566" t="str">
        <x:v>Carbohydrates</x:v>
      </x:c>
      <x:c r="E566" t="str">
        <x:v>50 servings</x:v>
      </x:c>
      <x:c r="F566" t="n">
        <x:v>2</x:v>
      </x:c>
      <x:c r="G566" t="str">
        <x:v>https://www.activesportstrade.co.uk/Intra-Workout</x:v>
      </x:c>
      <x:c r="H566" t="str"/>
      <x:c r="I566" t="str">
        <x:v>Pending genuine supplier/brand image</x:v>
      </x:c>
    </x:row>
    <x:row r="567">
      <x:c r="A567" t="str">
        <x:v>Strom Sports Nutrition</x:v>
      </x:c>
      <x:c r="B567" t="str">
        <x:v>HydraMAX Cans</x:v>
      </x:c>
      <x:c r="C567" t="str">
        <x:v>Drinks and Bars</x:v>
      </x:c>
      <x:c r="D567" t="str">
        <x:v>Ready to Drink Hydration</x:v>
      </x:c>
      <x:c r="E567" t="str">
        <x:v>12 x 500ml cans</x:v>
      </x:c>
      <x:c r="F567" t="n">
        <x:v>5</x:v>
      </x:c>
      <x:c r="G567" t="str">
        <x:v>https://www.activesportstrade.co.uk/hydration-supplements-trade/norec</x:v>
      </x:c>
      <x:c r="H567" t="str"/>
      <x:c r="I567" t="str">
        <x:v>Pending genuine supplier/brand image</x:v>
      </x:c>
    </x:row>
    <x:row r="568">
      <x:c r="A568" t="str">
        <x:v>Strom Sports Nutrition</x:v>
      </x:c>
      <x:c r="B568" t="str">
        <x:v>NiPRO Hydrolysed Protein Isolate</x:v>
      </x:c>
      <x:c r="C568" t="str">
        <x:v>Supplements</x:v>
      </x:c>
      <x:c r="D568" t="str">
        <x:v>Protein Blends</x:v>
      </x:c>
      <x:c r="E568" t="str">
        <x:v>40 servings</x:v>
      </x:c>
      <x:c r="F568" t="n">
        <x:v>2</x:v>
      </x:c>
      <x:c r="G568" t="str">
        <x:v>https://www.activesportstrade.co.uk/Protein-Blends-Trade</x:v>
      </x:c>
      <x:c r="H568" t="str"/>
      <x:c r="I568" t="str">
        <x:v>Pending genuine supplier/brand image</x:v>
      </x:c>
    </x:row>
    <x:row r="569">
      <x:c r="A569" t="str">
        <x:v>Supplement Needs</x:v>
      </x:c>
      <x:c r="B569" t="str">
        <x:v>Electrolyte +</x:v>
      </x:c>
      <x:c r="C569" t="str">
        <x:v>Supplements</x:v>
      </x:c>
      <x:c r="D569" t="str">
        <x:v>Hydration</x:v>
      </x:c>
      <x:c r="E569" t="str">
        <x:v>30 servings</x:v>
      </x:c>
      <x:c r="F569" t="n">
        <x:v>4</x:v>
      </x:c>
      <x:c r="G569" t="str">
        <x:v>https://www.activesportstrade.co.uk/hydration-supplements-trade</x:v>
      </x:c>
      <x:c r="H569" t="str"/>
      <x:c r="I569" t="str">
        <x:v>Pending genuine supplier/brand image</x:v>
      </x:c>
    </x:row>
    <x:row r="570">
      <x:c r="A570" t="str">
        <x:v>Supplement Needs</x:v>
      </x:c>
      <x:c r="B570" t="str">
        <x:v>Intra EAA +</x:v>
      </x:c>
      <x:c r="C570" t="str">
        <x:v>Supplements</x:v>
      </x:c>
      <x:c r="D570" t="str">
        <x:v>Amino Acids</x:v>
      </x:c>
      <x:c r="E570" t="str">
        <x:v>30 servings</x:v>
      </x:c>
      <x:c r="F570" t="n">
        <x:v>4</x:v>
      </x:c>
      <x:c r="G570" t="str">
        <x:v>https://www.activesportstrade.co.uk/BCAAS</x:v>
      </x:c>
      <x:c r="H570" t="str"/>
      <x:c r="I570" t="str">
        <x:v>Pending genuine supplier/brand image</x:v>
      </x:c>
    </x:row>
    <x:row r="571">
      <x:c r="A571" t="str">
        <x:v>Supplement Needs</x:v>
      </x:c>
      <x:c r="B571" t="str">
        <x:v>Cream of Rice</x:v>
      </x:c>
      <x:c r="C571" t="str">
        <x:v>Supplements</x:v>
      </x:c>
      <x:c r="D571" t="str">
        <x:v>Carbohydrates</x:v>
      </x:c>
      <x:c r="E571" t="str">
        <x:v>2kg</x:v>
      </x:c>
      <x:c r="F571" t="n">
        <x:v>3</x:v>
      </x:c>
      <x:c r="G571" t="str">
        <x:v>https://www.activesportstrade.co.uk/Carb-Powders</x:v>
      </x:c>
      <x:c r="H571" t="str"/>
      <x:c r="I571" t="str">
        <x:v>Pending genuine supplier/brand image</x:v>
      </x:c>
    </x:row>
    <x:row r="572">
      <x:c r="A572" t="str">
        <x:v>Supplement Needs</x:v>
      </x:c>
      <x:c r="B572" t="str">
        <x:v>Intra Carb</x:v>
      </x:c>
      <x:c r="C572" t="str">
        <x:v>Supplements</x:v>
      </x:c>
      <x:c r="D572" t="str">
        <x:v>Carbohydrates</x:v>
      </x:c>
      <x:c r="E572" t="str">
        <x:v>924g / 30 servings</x:v>
      </x:c>
      <x:c r="F572" t="n">
        <x:v>1</x:v>
      </x:c>
      <x:c r="G572" t="str">
        <x:v>https://www.activesportstrade.co.uk/Carb-Powders</x:v>
      </x:c>
      <x:c r="H572" t="str"/>
      <x:c r="I572" t="str">
        <x:v>Pending genuine supplier/brand image</x:v>
      </x:c>
    </x:row>
    <x:row r="573">
      <x:c r="A573" t="str">
        <x:v>Supplement Needs</x:v>
      </x:c>
      <x:c r="B573" t="str">
        <x:v>Prot3in Fusion</x:v>
      </x:c>
      <x:c r="C573" t="str">
        <x:v>Supplements</x:v>
      </x:c>
      <x:c r="D573" t="str">
        <x:v>Protein Blends</x:v>
      </x:c>
      <x:c r="E573" t="str">
        <x:v>1kg</x:v>
      </x:c>
      <x:c r="F573" t="n">
        <x:v>3</x:v>
      </x:c>
      <x:c r="G573" t="str">
        <x:v>https://www.activesportstrade.co.uk/Protein-Blends-Trade</x:v>
      </x:c>
      <x:c r="H573" t="str"/>
      <x:c r="I573" t="str">
        <x:v>Pending genuine supplier/brand image</x:v>
      </x:c>
    </x:row>
    <x:row r="574">
      <x:c r="A574" t="str">
        <x:v>Supplement Needs</x:v>
      </x:c>
      <x:c r="B574" t="str">
        <x:v>Vegan Iso+</x:v>
      </x:c>
      <x:c r="C574" t="str">
        <x:v>Supplements</x:v>
      </x:c>
      <x:c r="D574" t="str">
        <x:v>Protein Blends</x:v>
      </x:c>
      <x:c r="E574" t="str">
        <x:v>1kg</x:v>
      </x:c>
      <x:c r="F574" t="n">
        <x:v>3</x:v>
      </x:c>
      <x:c r="G574" t="str">
        <x:v>https://www.activesportstrade.co.uk/Protein-Blends-Trade</x:v>
      </x:c>
      <x:c r="H574" t="str"/>
      <x:c r="I574" t="str">
        <x:v>Pending genuine supplier/brand image</x:v>
      </x:c>
    </x:row>
    <x:row r="575">
      <x:c r="A575" t="str">
        <x:v>Olimp</x:v>
      </x:c>
      <x:c r="B575" t="str">
        <x:v>AAKG 1250 Mega Caps</x:v>
      </x:c>
      <x:c r="C575" t="str">
        <x:v>Supplements</x:v>
      </x:c>
      <x:c r="D575" t="str">
        <x:v>Amino Acids</x:v>
      </x:c>
      <x:c r="E575" t="str">
        <x:v>120 caps, 300 caps</x:v>
      </x:c>
      <x:c r="F575" t="n">
        <x:v>2</x:v>
      </x:c>
      <x:c r="G575" t="str">
        <x:v>https://www.activesportstrade.co.uk/olimp-trade</x:v>
      </x:c>
      <x:c r="H575" t="str"/>
      <x:c r="I575" t="str">
        <x:v>Pending genuine supplier/brand image</x:v>
      </x:c>
    </x:row>
    <x:row r="576">
      <x:c r="A576" t="str">
        <x:v>Olimp</x:v>
      </x:c>
      <x:c r="B576" t="str">
        <x:v>AAKG 7500 Extreme Shot</x:v>
      </x:c>
      <x:c r="C576" t="str">
        <x:v>Pre Workouts</x:v>
      </x:c>
      <x:c r="D576" t="str">
        <x:v>Shots and Ready To Drink</x:v>
      </x:c>
      <x:c r="E576" t="str">
        <x:v>9 x 25ml vials</x:v>
      </x:c>
      <x:c r="F576" t="n">
        <x:v>2</x:v>
      </x:c>
      <x:c r="G576" t="str">
        <x:v>https://www.activesportstrade.co.uk/olimp-trade</x:v>
      </x:c>
      <x:c r="H576" t="str"/>
      <x:c r="I576" t="str">
        <x:v>Pending genuine supplier/brand image</x:v>
      </x:c>
    </x:row>
    <x:row r="577">
      <x:c r="A577" t="str">
        <x:v>Olimp</x:v>
      </x:c>
      <x:c r="B577" t="str">
        <x:v>L-Carnitine + Caffeine Extreme Shots</x:v>
      </x:c>
      <x:c r="C577" t="str">
        <x:v>Supplements</x:v>
      </x:c>
      <x:c r="D577" t="str">
        <x:v>L-Carnitine</x:v>
      </x:c>
      <x:c r="E577" t="str">
        <x:v>10 x 25ml shots</x:v>
      </x:c>
      <x:c r="F577" t="n">
        <x:v>2</x:v>
      </x:c>
      <x:c r="G577" t="str">
        <x:v>https://www.activesportstrade.co.uk/olimp-trade</x:v>
      </x:c>
      <x:c r="H577" t="str"/>
      <x:c r="I577" t="str">
        <x:v>Pending genuine supplier/brand image</x:v>
      </x:c>
    </x:row>
    <x:row r="578">
      <x:c r="A578" t="str">
        <x:v>Olimp</x:v>
      </x:c>
      <x:c r="B578" t="str">
        <x:v>L-Carnitine 1500 Extreme Mega Caps</x:v>
      </x:c>
      <x:c r="C578" t="str">
        <x:v>Supplements</x:v>
      </x:c>
      <x:c r="D578" t="str">
        <x:v>L-Carnitine</x:v>
      </x:c>
      <x:c r="E578" t="str">
        <x:v>120 caps</x:v>
      </x:c>
      <x:c r="F578" t="n">
        <x:v>1</x:v>
      </x:c>
      <x:c r="G578" t="str">
        <x:v>https://www.activesportstrade.co.uk/olimp-trade</x:v>
      </x:c>
      <x:c r="H578" t="str"/>
      <x:c r="I578" t="str">
        <x:v>Pending genuine supplier/brand image</x:v>
      </x:c>
    </x:row>
    <x:row r="579">
      <x:c r="A579" t="str">
        <x:v>Olimp</x:v>
      </x:c>
      <x:c r="B579" t="str">
        <x:v>L-Carnitine 3000 Extreme Shots</x:v>
      </x:c>
      <x:c r="C579" t="str">
        <x:v>Supplements</x:v>
      </x:c>
      <x:c r="D579" t="str">
        <x:v>L-Carnitine</x:v>
      </x:c>
      <x:c r="E579" t="str">
        <x:v>9 x 25ml shots</x:v>
      </x:c>
      <x:c r="F579" t="n">
        <x:v>2</x:v>
      </x:c>
      <x:c r="G579" t="str">
        <x:v>https://www.activesportstrade.co.uk/olimp-trade</x:v>
      </x:c>
      <x:c r="H579" t="str"/>
      <x:c r="I579" t="str">
        <x:v>Pending genuine supplier/brand image</x:v>
      </x:c>
    </x:row>
    <x:row r="580">
      <x:c r="A580" t="str">
        <x:v>Olimp</x:v>
      </x:c>
      <x:c r="B580" t="str">
        <x:v>Creatine Monohydrate Powder</x:v>
      </x:c>
      <x:c r="C580" t="str">
        <x:v>Supplements</x:v>
      </x:c>
      <x:c r="D580" t="str">
        <x:v>Creatine Powders</x:v>
      </x:c>
      <x:c r="E580" t="str">
        <x:v>250g, 550g</x:v>
      </x:c>
      <x:c r="F580" t="n">
        <x:v>2</x:v>
      </x:c>
      <x:c r="G580" t="str">
        <x:v>https://www.activesportstrade.co.uk/Creatine-Powders-Trade</x:v>
      </x:c>
      <x:c r="H580" t="str"/>
      <x:c r="I580" t="str">
        <x:v>Pending genuine supplier/brand image</x:v>
      </x:c>
    </x:row>
    <x:row r="581">
      <x:c r="A581" t="str">
        <x:v>Olimp</x:v>
      </x:c>
      <x:c r="B581" t="str">
        <x:v>Creatine Monohydrate Xplode Powder</x:v>
      </x:c>
      <x:c r="C581" t="str">
        <x:v>Supplements</x:v>
      </x:c>
      <x:c r="D581" t="str">
        <x:v>Creatine Powders</x:v>
      </x:c>
      <x:c r="E581" t="str">
        <x:v>500g bag</x:v>
      </x:c>
      <x:c r="F581" t="n">
        <x:v>2</x:v>
      </x:c>
      <x:c r="G581" t="str">
        <x:v>https://www.activesportstrade.co.uk/Creatine-Powders-Trade</x:v>
      </x:c>
      <x:c r="H581" t="str"/>
      <x:c r="I581" t="str">
        <x:v>Pending genuine supplier/brand image</x:v>
      </x:c>
    </x:row>
    <x:row r="582">
      <x:c r="A582" t="str">
        <x:v>Olimp</x:v>
      </x:c>
      <x:c r="B582" t="str">
        <x:v>Carbo Nox</x:v>
      </x:c>
      <x:c r="C582" t="str">
        <x:v>Supplements</x:v>
      </x:c>
      <x:c r="D582" t="str">
        <x:v>Carbohydrates</x:v>
      </x:c>
      <x:c r="E582" t="str">
        <x:v>3.5kg</x:v>
      </x:c>
      <x:c r="F582" t="n">
        <x:v>8</x:v>
      </x:c>
      <x:c r="G582" t="str">
        <x:v>https://www.activesportstrade.co.uk/Carb-Powders</x:v>
      </x:c>
      <x:c r="H582" t="str"/>
      <x:c r="I582" t="str">
        <x:v>Pending genuine supplier/brand image</x:v>
      </x:c>
    </x:row>
    <x:row r="583">
      <x:c r="A583" t="str">
        <x:v>Olimp</x:v>
      </x:c>
      <x:c r="B583" t="str">
        <x:v>Cream of Rice</x:v>
      </x:c>
      <x:c r="C583" t="str">
        <x:v>Supplements</x:v>
      </x:c>
      <x:c r="D583" t="str">
        <x:v>Carbohydrates</x:v>
      </x:c>
      <x:c r="E583" t="str">
        <x:v>1kg</x:v>
      </x:c>
      <x:c r="F583" t="n">
        <x:v>2</x:v>
      </x:c>
      <x:c r="G583" t="str">
        <x:v>https://www.activesportstrade.co.uk/Carb-Powders</x:v>
      </x:c>
      <x:c r="H583" t="str"/>
      <x:c r="I583" t="str">
        <x:v>Pending genuine supplier/brand image</x:v>
      </x:c>
    </x:row>
    <x:row r="584">
      <x:c r="A584" t="str">
        <x:v>Olimp</x:v>
      </x:c>
      <x:c r="B584" t="str">
        <x:v>Dextrex Juice</x:v>
      </x:c>
      <x:c r="C584" t="str">
        <x:v>Supplements</x:v>
      </x:c>
      <x:c r="D584" t="str">
        <x:v>Carbohydrates</x:v>
      </x:c>
      <x:c r="E584" t="str">
        <x:v>1kg</x:v>
      </x:c>
      <x:c r="F584" t="n">
        <x:v>2</x:v>
      </x:c>
      <x:c r="G584" t="str">
        <x:v>https://www.activesportstrade.co.uk/Carb-Powders</x:v>
      </x:c>
      <x:c r="H584" t="str"/>
      <x:c r="I584" t="str">
        <x:v>Pending genuine supplier/brand image</x:v>
      </x:c>
    </x:row>
    <x:row r="585">
      <x:c r="A585" t="str">
        <x:v>Olimp</x:v>
      </x:c>
      <x:c r="B585" t="str">
        <x:v>Iso Plus - Isotonic and Electrolyte + L-Carnitine</x:v>
      </x:c>
      <x:c r="C585" t="str">
        <x:v>Supplements</x:v>
      </x:c>
      <x:c r="D585" t="str">
        <x:v>Hydration</x:v>
      </x:c>
      <x:c r="E585" t="str">
        <x:v>1505g</x:v>
      </x:c>
      <x:c r="F585" t="n">
        <x:v>4</x:v>
      </x:c>
      <x:c r="G585" t="str">
        <x:v>https://www.activesportstrade.co.uk/Carb-Powders</x:v>
      </x:c>
      <x:c r="H585" t="str"/>
      <x:c r="I585" t="str">
        <x:v>Pending genuine supplier/brand image</x:v>
      </x:c>
    </x:row>
    <x:row r="586">
      <x:c r="A586" t="str">
        <x:v>Olimp</x:v>
      </x:c>
      <x:c r="B586" t="str">
        <x:v>Clear Whey Isolate</x:v>
      </x:c>
      <x:c r="C586" t="str">
        <x:v>Supplements</x:v>
      </x:c>
      <x:c r="D586" t="str">
        <x:v>Whey Protein</x:v>
      </x:c>
      <x:c r="E586" t="str">
        <x:v>350g</x:v>
      </x:c>
      <x:c r="F586" t="n">
        <x:v>2</x:v>
      </x:c>
      <x:c r="G586" t="str">
        <x:v>https://www.activesportstrade.co.uk/Whey-Protein-Supplements-Trade</x:v>
      </x:c>
      <x:c r="H586" t="str"/>
      <x:c r="I586" t="str">
        <x:v>Pending genuine supplier/brand image</x:v>
      </x:c>
    </x:row>
    <x:row r="587">
      <x:c r="A587" t="str">
        <x:v>Olimp</x:v>
      </x:c>
      <x:c r="B587" t="str">
        <x:v>Pro Whey Shake</x:v>
      </x:c>
      <x:c r="C587" t="str">
        <x:v>Supplements</x:v>
      </x:c>
      <x:c r="D587" t="str">
        <x:v>Whey Protein</x:v>
      </x:c>
      <x:c r="E587" t="str">
        <x:v>700g</x:v>
      </x:c>
      <x:c r="F587" t="n">
        <x:v>4</x:v>
      </x:c>
      <x:c r="G587" t="str">
        <x:v>https://www.activesportstrade.co.uk/Whey-Protein-Supplements-Trade</x:v>
      </x:c>
      <x:c r="H587" t="str"/>
      <x:c r="I587" t="str">
        <x:v>Pending genuine supplier/brand image</x:v>
      </x:c>
    </x:row>
    <x:row r="588">
      <x:c r="A588" t="str">
        <x:v>Olimp</x:v>
      </x:c>
      <x:c r="B588" t="str">
        <x:v>Pure Whey Isolate 95</x:v>
      </x:c>
      <x:c r="C588" t="str">
        <x:v>Supplements</x:v>
      </x:c>
      <x:c r="D588" t="str">
        <x:v>Whey Protein</x:v>
      </x:c>
      <x:c r="E588" t="str">
        <x:v>600g</x:v>
      </x:c>
      <x:c r="F588" t="n">
        <x:v>3</x:v>
      </x:c>
      <x:c r="G588" t="str">
        <x:v>https://www.activesportstrade.co.uk/Whey-Protein-Supplements-Trade</x:v>
      </x:c>
      <x:c r="H588" t="str"/>
      <x:c r="I588" t="str">
        <x:v>Pending genuine supplier/brand image</x:v>
      </x:c>
    </x:row>
    <x:row r="589">
      <x:c r="A589" t="str">
        <x:v>Olimp</x:v>
      </x:c>
      <x:c r="B589" t="str">
        <x:v>Whey Protein Xplode</x:v>
      </x:c>
      <x:c r="C589" t="str">
        <x:v>Supplements</x:v>
      </x:c>
      <x:c r="D589" t="str">
        <x:v>Whey Protein</x:v>
      </x:c>
      <x:c r="E589" t="str">
        <x:v>700g, 2.25kg</x:v>
      </x:c>
      <x:c r="F589" t="n">
        <x:v>6</x:v>
      </x:c>
      <x:c r="G589" t="str">
        <x:v>https://www.activesportstrade.co.uk/trade-sports-supplements/olimp-trade</x:v>
      </x:c>
      <x:c r="H589" t="str"/>
      <x:c r="I589" t="str">
        <x:v>Pending genuine supplier/brand image</x:v>
      </x:c>
    </x:row>
    <x:row r="590">
      <x:c r="A590" t="str">
        <x:v>Olimp</x:v>
      </x:c>
      <x:c r="B590" t="str">
        <x:v>Anabolic Amino 5500 Mega Caps</x:v>
      </x:c>
      <x:c r="C590" t="str">
        <x:v>Supplements</x:v>
      </x:c>
      <x:c r="D590" t="str">
        <x:v>Amino Acids</x:v>
      </x:c>
      <x:c r="E590" t="str">
        <x:v>180 caps, 400 caps</x:v>
      </x:c>
      <x:c r="F590" t="n">
        <x:v>2</x:v>
      </x:c>
      <x:c r="G590" t="str">
        <x:v>https://www.activesportstrade.co.uk/Amino-Acids</x:v>
      </x:c>
      <x:c r="H590" t="str"/>
      <x:c r="I590" t="str">
        <x:v>Pending genuine supplier/brand image</x:v>
      </x:c>
    </x:row>
    <x:row r="591">
      <x:c r="A591" t="str">
        <x:v>Olimp</x:v>
      </x:c>
      <x:c r="B591" t="str">
        <x:v>Anabolic Amino 9000 Mega Tabs</x:v>
      </x:c>
      <x:c r="C591" t="str">
        <x:v>Supplements</x:v>
      </x:c>
      <x:c r="D591" t="str">
        <x:v>Amino Acids</x:v>
      </x:c>
      <x:c r="E591" t="str">
        <x:v>150 tabs, 300 tabs</x:v>
      </x:c>
      <x:c r="F591" t="n">
        <x:v>2</x:v>
      </x:c>
      <x:c r="G591" t="str">
        <x:v>https://www.activesportstrade.co.uk/Amino-Acids</x:v>
      </x:c>
      <x:c r="H591" t="str"/>
      <x:c r="I591" t="str">
        <x:v>Pending genuine supplier/brand image</x:v>
      </x:c>
    </x:row>
    <x:row r="592">
      <x:c r="A592" t="str">
        <x:v>Olimp</x:v>
      </x:c>
      <x:c r="B592" t="str">
        <x:v>BCAA 1100 Mega Caps</x:v>
      </x:c>
      <x:c r="C592" t="str">
        <x:v>Supplements</x:v>
      </x:c>
      <x:c r="D592" t="str">
        <x:v>Amino Acids</x:v>
      </x:c>
      <x:c r="E592" t="str">
        <x:v>120 caps, 300 caps</x:v>
      </x:c>
      <x:c r="F592" t="n">
        <x:v>2</x:v>
      </x:c>
      <x:c r="G592" t="str">
        <x:v>https://www.activesportstrade.co.uk/Amino-Acids</x:v>
      </x:c>
      <x:c r="H592" t="str"/>
      <x:c r="I592" t="str">
        <x:v>Pending genuine supplier/brand image</x:v>
      </x:c>
    </x:row>
    <x:row r="593">
      <x:c r="A593" t="str">
        <x:v>Olimp</x:v>
      </x:c>
      <x:c r="B593" t="str">
        <x:v>Collagen Bar</x:v>
      </x:c>
      <x:c r="C593" t="str">
        <x:v>Drinks and Bars</x:v>
      </x:c>
      <x:c r="D593" t="str">
        <x:v>Bars and Snacks</x:v>
      </x:c>
      <x:c r="E593" t="str">
        <x:v>25 x 44g bars</x:v>
      </x:c>
      <x:c r="F593" t="n">
        <x:v>1</x:v>
      </x:c>
      <x:c r="G593" t="str">
        <x:v>https://www.activesportstrade.co.uk/Protein-Bars</x:v>
      </x:c>
      <x:c r="H593" t="str"/>
      <x:c r="I593" t="str">
        <x:v>Pending genuine supplier/brand image</x:v>
      </x:c>
    </x:row>
    <x:row r="594">
      <x:c r="A594" t="str">
        <x:v>Olimp</x:v>
      </x:c>
      <x:c r="B594" t="str">
        <x:v>Energy + Bars</x:v>
      </x:c>
      <x:c r="C594" t="str">
        <x:v>Drinks and Bars</x:v>
      </x:c>
      <x:c r="D594" t="str">
        <x:v>Bars and Snacks</x:v>
      </x:c>
      <x:c r="E594" t="str">
        <x:v>20 x 45g bars</x:v>
      </x:c>
      <x:c r="F594" t="n">
        <x:v>1</x:v>
      </x:c>
      <x:c r="G594" t="str">
        <x:v>https://www.activesportstrade.co.uk/Protein-Bars</x:v>
      </x:c>
      <x:c r="H594" t="str"/>
      <x:c r="I594" t="str">
        <x:v>Pending genuine supplier/brand image</x:v>
      </x:c>
    </x:row>
    <x:row r="595">
      <x:c r="A595" t="str">
        <x:v>Olimp</x:v>
      </x:c>
      <x:c r="B595" t="str">
        <x:v>Im Pro Protein Bar</x:v>
      </x:c>
      <x:c r="C595" t="str">
        <x:v>Drinks and Bars</x:v>
      </x:c>
      <x:c r="D595" t="str">
        <x:v>Bars and Snacks</x:v>
      </x:c>
      <x:c r="E595" t="str">
        <x:v>15 x 40g bars</x:v>
      </x:c>
      <x:c r="F595" t="n">
        <x:v>2</x:v>
      </x:c>
      <x:c r="G595" t="str">
        <x:v>https://www.activesportstrade.co.uk/Protein-Bars</x:v>
      </x:c>
      <x:c r="H595" t="str"/>
      <x:c r="I595" t="str">
        <x:v>Pending genuine supplier/brand image</x:v>
      </x:c>
    </x:row>
    <x:row r="596">
      <x:c r="A596" t="str">
        <x:v>Olimp</x:v>
      </x:c>
      <x:c r="B596" t="str">
        <x:v>Im Veggie Protein Bar</x:v>
      </x:c>
      <x:c r="C596" t="str">
        <x:v>Drinks and Bars</x:v>
      </x:c>
      <x:c r="D596" t="str">
        <x:v>Bars and Snacks</x:v>
      </x:c>
      <x:c r="E596" t="str">
        <x:v>25 x 50g bars</x:v>
      </x:c>
      <x:c r="F596" t="n">
        <x:v>2</x:v>
      </x:c>
      <x:c r="G596" t="str">
        <x:v>https://www.activesportstrade.co.uk/Protein-Bars</x:v>
      </x:c>
      <x:c r="H596" t="str"/>
      <x:c r="I596" t="str">
        <x:v>Pending genuine supplier/brand image</x:v>
      </x:c>
    </x:row>
    <x:row r="597">
      <x:c r="A597" t="str">
        <x:v>Olimp</x:v>
      </x:c>
      <x:c r="B597" t="str">
        <x:v>Protein Crisp Bars</x:v>
      </x:c>
      <x:c r="C597" t="str">
        <x:v>Drinks and Bars</x:v>
      </x:c>
      <x:c r="D597" t="str">
        <x:v>Bars and Snacks</x:v>
      </x:c>
      <x:c r="E597" t="str">
        <x:v>20 x 40g bars</x:v>
      </x:c>
      <x:c r="F597" t="n">
        <x:v>1</x:v>
      </x:c>
      <x:c r="G597" t="str">
        <x:v>https://www.activesportstrade.co.uk/Protein-Bars</x:v>
      </x:c>
      <x:c r="H597" t="str"/>
      <x:c r="I597" t="str">
        <x:v>Pending genuine supplier/brand image</x:v>
      </x:c>
    </x:row>
    <x:row r="598">
      <x:c r="A598" t="str">
        <x:v>Olimp</x:v>
      </x:c>
      <x:c r="B598" t="str">
        <x:v>R-Weiler Focus</x:v>
      </x:c>
      <x:c r="C598" t="str">
        <x:v>Pre Workouts</x:v>
      </x:c>
      <x:c r="D598" t="str">
        <x:v>High Stim</x:v>
      </x:c>
      <x:c r="E598" t="str">
        <x:v>300g</x:v>
      </x:c>
      <x:c r="F598" t="n">
        <x:v>2</x:v>
      </x:c>
      <x:c r="G598" t="str">
        <x:v>https://www.activesportstrade.co.uk/trade-pre-workout-supplements</x:v>
      </x:c>
      <x:c r="H598" t="str"/>
      <x:c r="I598" t="str">
        <x:v>Pending genuine supplier/brand image</x:v>
      </x:c>
    </x:row>
    <x:row r="599">
      <x:c r="A599" t="str">
        <x:v>Olimp</x:v>
      </x:c>
      <x:c r="B599" t="str">
        <x:v>R-Weiler Focus &amp; Energy Drink Zero</x:v>
      </x:c>
      <x:c r="C599" t="str">
        <x:v>Drinks and Bars</x:v>
      </x:c>
      <x:c r="D599" t="str">
        <x:v>Ready to Drink Energy</x:v>
      </x:c>
      <x:c r="E599" t="str">
        <x:v>24 x 330ml cans</x:v>
      </x:c>
      <x:c r="F599" t="n">
        <x:v>1</x:v>
      </x:c>
      <x:c r="G599" t="str">
        <x:v>https://www.activesportstrade.co.uk/trade-pre-workout-supplements</x:v>
      </x:c>
      <x:c r="H599" t="str"/>
      <x:c r="I599" t="str">
        <x:v>Pending genuine supplier/brand image</x:v>
      </x:c>
    </x:row>
    <x:row r="600">
      <x:c r="A600" t="str">
        <x:v>Olimp</x:v>
      </x:c>
      <x:c r="B600" t="str">
        <x:v>BCAA 20:1:1 Xplode</x:v>
      </x:c>
      <x:c r="C600" t="str">
        <x:v>Supplements</x:v>
      </x:c>
      <x:c r="D600" t="str">
        <x:v>BCAAs</x:v>
      </x:c>
      <x:c r="E600" t="str">
        <x:v>500g, 200g</x:v>
      </x:c>
      <x:c r="F600" t="n">
        <x:v>4</x:v>
      </x:c>
      <x:c r="G600" t="str">
        <x:v>https://www.activesportstrade.co.uk/olimp-trade</x:v>
      </x:c>
      <x:c r="H600" t="str"/>
      <x:c r="I600" t="str">
        <x:v>Pending genuine supplier/brand image</x:v>
      </x:c>
    </x:row>
    <x:row r="601">
      <x:c r="A601" t="str">
        <x:v>Olimp</x:v>
      </x:c>
      <x:c r="B601" t="str">
        <x:v>BCAA Xplode</x:v>
      </x:c>
      <x:c r="C601" t="str">
        <x:v>Supplements</x:v>
      </x:c>
      <x:c r="D601" t="str">
        <x:v>BCAAs</x:v>
      </x:c>
      <x:c r="E601" t="str">
        <x:v>1kg / 100 servings, 280g / 28 servings, 500g / 50 servings</x:v>
      </x:c>
      <x:c r="F601" t="n">
        <x:v>19</x:v>
      </x:c>
      <x:c r="G601" t="str">
        <x:v>https://www.activesportstrade.co.uk/olimp-trade</x:v>
      </x:c>
      <x:c r="H601" t="str"/>
      <x:c r="I601" t="str">
        <x:v>Pending genuine supplier/brand image</x:v>
      </x:c>
    </x:row>
    <x:row r="602">
      <x:c r="A602" t="str">
        <x:v>Olimp</x:v>
      </x:c>
      <x:c r="B602" t="str">
        <x:v>Chela Mag B6 Forte</x:v>
      </x:c>
      <x:c r="C602" t="str">
        <x:v>Supplements</x:v>
      </x:c>
      <x:c r="D602" t="str">
        <x:v>Vitamins and Minerals</x:v>
      </x:c>
      <x:c r="E602" t="str">
        <x:v>60 caps</x:v>
      </x:c>
      <x:c r="F602" t="n">
        <x:v>1</x:v>
      </x:c>
      <x:c r="G602" t="str">
        <x:v>https://www.activesportstrade.co.uk/olimp-trade</x:v>
      </x:c>
      <x:c r="H602" t="str"/>
      <x:c r="I602" t="str">
        <x:v>Pending genuine supplier/brand image</x:v>
      </x:c>
    </x:row>
    <x:row r="603">
      <x:c r="A603" t="str">
        <x:v>Olimp</x:v>
      </x:c>
      <x:c r="B603" t="str">
        <x:v>Chela MZB Sports Formula</x:v>
      </x:c>
      <x:c r="C603" t="str">
        <x:v>Supplements</x:v>
      </x:c>
      <x:c r="D603" t="str">
        <x:v>Vitamins and Minerals</x:v>
      </x:c>
      <x:c r="E603" t="str">
        <x:v>60 caps</x:v>
      </x:c>
      <x:c r="F603" t="n">
        <x:v>1</x:v>
      </x:c>
      <x:c r="G603" t="str">
        <x:v>https://www.activesportstrade.co.uk/olimp-trade</x:v>
      </x:c>
      <x:c r="H603" t="str"/>
      <x:c r="I603" t="str">
        <x:v>Pending genuine supplier/brand image</x:v>
      </x:c>
    </x:row>
    <x:row r="604">
      <x:c r="A604" t="str">
        <x:v>Olimp</x:v>
      </x:c>
      <x:c r="B604" t="str">
        <x:v>Chela-Mag Cramp Shots</x:v>
      </x:c>
      <x:c r="C604" t="str">
        <x:v>Supplements</x:v>
      </x:c>
      <x:c r="D604" t="str">
        <x:v>Hydration</x:v>
      </x:c>
      <x:c r="E604" t="str">
        <x:v>9 x 25ml shots</x:v>
      </x:c>
      <x:c r="F604" t="n">
        <x:v>1</x:v>
      </x:c>
      <x:c r="G604" t="str">
        <x:v>https://www.activesportstrade.co.uk/olimp-trade</x:v>
      </x:c>
      <x:c r="H604" t="str"/>
      <x:c r="I604" t="str">
        <x:v>Pending genuine supplier/brand image</x:v>
      </x:c>
    </x:row>
    <x:row r="605">
      <x:c r="A605" t="str">
        <x:v>Olimp</x:v>
      </x:c>
      <x:c r="B605" t="str">
        <x:v>Collaregen - Joint Formula</x:v>
      </x:c>
      <x:c r="C605" t="str">
        <x:v>Supplements</x:v>
      </x:c>
      <x:c r="D605" t="str">
        <x:v>Joint Repair</x:v>
      </x:c>
      <x:c r="E605" t="str">
        <x:v>72 servings</x:v>
      </x:c>
      <x:c r="F605" t="n">
        <x:v>2</x:v>
      </x:c>
      <x:c r="G605" t="str">
        <x:v>https://www.activesportstrade.co.uk/olimp-trade</x:v>
      </x:c>
      <x:c r="H605" t="str"/>
      <x:c r="I605" t="str">
        <x:v>Pending genuine supplier/brand image</x:v>
      </x:c>
    </x:row>
    <x:row r="606">
      <x:c r="A606" t="str">
        <x:v>Olimp</x:v>
      </x:c>
      <x:c r="B606" t="str">
        <x:v>Colonbiotic 7GG Sports Edition</x:v>
      </x:c>
      <x:c r="C606" t="str">
        <x:v>Supplements</x:v>
      </x:c>
      <x:c r="D606" t="str">
        <x:v>Health Foods</x:v>
      </x:c>
      <x:c r="E606" t="str">
        <x:v>30 caps</x:v>
      </x:c>
      <x:c r="F606" t="n">
        <x:v>1</x:v>
      </x:c>
      <x:c r="G606" t="str">
        <x:v>https://www.activesportstrade.co.uk/olimp-trade</x:v>
      </x:c>
      <x:c r="H606" t="str"/>
      <x:c r="I606" t="str">
        <x:v>Pending genuine supplier/brand image</x:v>
      </x:c>
    </x:row>
    <x:row r="607">
      <x:c r="A607" t="str">
        <x:v>Olimp</x:v>
      </x:c>
      <x:c r="B607" t="str">
        <x:v>Glutamine 1400 Mega Caps</x:v>
      </x:c>
      <x:c r="C607" t="str">
        <x:v>Supplements</x:v>
      </x:c>
      <x:c r="D607" t="str">
        <x:v>L-Glutamine</x:v>
      </x:c>
      <x:c r="E607" t="str">
        <x:v>120 caps, 300 caps</x:v>
      </x:c>
      <x:c r="F607" t="n">
        <x:v>2</x:v>
      </x:c>
      <x:c r="G607" t="str">
        <x:v>https://www.activesportstrade.co.uk/olimp-trade</x:v>
      </x:c>
      <x:c r="H607" t="str"/>
      <x:c r="I607" t="str">
        <x:v>Pending genuine supplier/brand image</x:v>
      </x:c>
    </x:row>
    <x:row r="608">
      <x:c r="A608" t="str">
        <x:v>Olimp</x:v>
      </x:c>
      <x:c r="B608" t="str">
        <x:v>Glutamine Xplode</x:v>
      </x:c>
      <x:c r="C608" t="str">
        <x:v>Supplements</x:v>
      </x:c>
      <x:c r="D608" t="str">
        <x:v>L-Glutamine</x:v>
      </x:c>
      <x:c r="E608" t="str">
        <x:v>50 servings</x:v>
      </x:c>
      <x:c r="F608" t="n">
        <x:v>3</x:v>
      </x:c>
      <x:c r="G608" t="str">
        <x:v>https://www.activesportstrade.co.uk/olimp-trade</x:v>
      </x:c>
      <x:c r="H608" t="str"/>
      <x:c r="I608" t="str">
        <x:v>Pending genuine supplier/brand image</x:v>
      </x:c>
    </x:row>
    <x:row r="609">
      <x:c r="A609" t="str">
        <x:v>Olimp</x:v>
      </x:c>
      <x:c r="B609" t="str">
        <x:v>Gold Beef Pro Amino Mega Tabs</x:v>
      </x:c>
      <x:c r="C609" t="str">
        <x:v>Supplements</x:v>
      </x:c>
      <x:c r="D609" t="str">
        <x:v>Amino Acids</x:v>
      </x:c>
      <x:c r="E609" t="str">
        <x:v>300 tabs</x:v>
      </x:c>
      <x:c r="F609" t="n">
        <x:v>1</x:v>
      </x:c>
      <x:c r="G609" t="str">
        <x:v>https://www.activesportstrade.co.uk/olimp-trade</x:v>
      </x:c>
      <x:c r="H609" t="str"/>
      <x:c r="I609" t="str">
        <x:v>Pending genuine supplier/brand image</x:v>
      </x:c>
    </x:row>
    <x:row r="610">
      <x:c r="A610" t="str">
        <x:v>Olimp</x:v>
      </x:c>
      <x:c r="B610" t="str">
        <x:v>Protein Shots</x:v>
      </x:c>
      <x:c r="C610" t="str">
        <x:v>Drinks and Bars</x:v>
      </x:c>
      <x:c r="D610" t="str">
        <x:v>Ready to Drink Protein</x:v>
      </x:c>
      <x:c r="E610" t="str">
        <x:v>9 x 60ml shots</x:v>
      </x:c>
      <x:c r="F610" t="n">
        <x:v>1</x:v>
      </x:c>
      <x:c r="G610" t="str">
        <x:v>https://www.activesportstrade.co.uk/olimp-trade</x:v>
      </x:c>
      <x:c r="H610" t="str"/>
      <x:c r="I610" t="str">
        <x:v>Pending genuine supplier/brand image</x:v>
      </x:c>
    </x:row>
    <x:row r="611">
      <x:c r="A611" t="str">
        <x:v>Olimp</x:v>
      </x:c>
      <x:c r="B611" t="str">
        <x:v>Protein Snack</x:v>
      </x:c>
      <x:c r="C611" t="str">
        <x:v>Drinks and Bars</x:v>
      </x:c>
      <x:c r="D611" t="str">
        <x:v>Bars and Snacks</x:v>
      </x:c>
      <x:c r="E611" t="str">
        <x:v>12 x 60g bars</x:v>
      </x:c>
      <x:c r="F611" t="n">
        <x:v>4</x:v>
      </x:c>
      <x:c r="G611" t="str">
        <x:v>https://www.activesportstrade.co.uk/olimp-trade</x:v>
      </x:c>
      <x:c r="H611" t="str"/>
      <x:c r="I611" t="str">
        <x:v>Pending genuine supplier/brand image</x:v>
      </x:c>
    </x:row>
    <x:row r="612">
      <x:c r="A612" t="str">
        <x:v>Olimp</x:v>
      </x:c>
      <x:c r="B612" t="str">
        <x:v>Pump Xplode</x:v>
      </x:c>
      <x:c r="C612" t="str">
        <x:v>Pre Workouts</x:v>
      </x:c>
      <x:c r="D612" t="str">
        <x:v>Stim FREE</x:v>
      </x:c>
      <x:c r="E612" t="str">
        <x:v>300g</x:v>
      </x:c>
      <x:c r="F612" t="n">
        <x:v>2</x:v>
      </x:c>
      <x:c r="G612" t="str">
        <x:v>https://www.activesportstrade.co.uk/olimp-trade</x:v>
      </x:c>
      <x:c r="H612" t="str"/>
      <x:c r="I612" t="str">
        <x:v>Pending genuine supplier/brand image</x:v>
      </x:c>
    </x:row>
    <x:row r="613">
      <x:c r="A613" t="str">
        <x:v>Olimp</x:v>
      </x:c>
      <x:c r="B613" t="str">
        <x:v>Pump Xplode Shots</x:v>
      </x:c>
      <x:c r="C613" t="str">
        <x:v>Pre Workouts</x:v>
      </x:c>
      <x:c r="D613" t="str">
        <x:v>Shots and Ready To Drink</x:v>
      </x:c>
      <x:c r="E613" t="str">
        <x:v>9 shots</x:v>
      </x:c>
      <x:c r="F613" t="n">
        <x:v>2</x:v>
      </x:c>
      <x:c r="G613" t="str">
        <x:v>https://www.activesportstrade.co.uk/olimp-trade</x:v>
      </x:c>
      <x:c r="H613" t="str"/>
      <x:c r="I613" t="str">
        <x:v>Pending genuine supplier/brand image</x:v>
      </x:c>
    </x:row>
    <x:row r="614">
      <x:c r="A614" t="str">
        <x:v>Olimp</x:v>
      </x:c>
      <x:c r="B614" t="str">
        <x:v>Rocky Athletes Creatine</x:v>
      </x:c>
      <x:c r="C614" t="str">
        <x:v>Supplements</x:v>
      </x:c>
      <x:c r="D614" t="str">
        <x:v>Creatine Powders</x:v>
      </x:c>
      <x:c r="E614" t="str">
        <x:v>500g</x:v>
      </x:c>
      <x:c r="F614" t="n">
        <x:v>4</x:v>
      </x:c>
      <x:c r="G614" t="str">
        <x:v>https://www.activesportstrade.co.uk/olimp-trade</x:v>
      </x:c>
      <x:c r="H614" t="str"/>
      <x:c r="I614" t="str">
        <x:v>Pending genuine supplier/brand image</x:v>
      </x:c>
    </x:row>
    <x:row r="615">
      <x:c r="A615" t="str">
        <x:v>Olimp</x:v>
      </x:c>
      <x:c r="B615" t="str">
        <x:v>Rocky Athletes Glutamine</x:v>
      </x:c>
      <x:c r="C615" t="str">
        <x:v>Supplements</x:v>
      </x:c>
      <x:c r="D615" t="str">
        <x:v>L-Glutamine</x:v>
      </x:c>
      <x:c r="E615" t="str">
        <x:v>250g</x:v>
      </x:c>
      <x:c r="F615" t="n">
        <x:v>1</x:v>
      </x:c>
      <x:c r="G615" t="str">
        <x:v>https://www.activesportstrade.co.uk/olimp-trade</x:v>
      </x:c>
      <x:c r="H615" t="str"/>
      <x:c r="I615" t="str">
        <x:v>Pending genuine supplier/brand image</x:v>
      </x:c>
    </x:row>
    <x:row r="616">
      <x:c r="A616" t="str">
        <x:v>Olimp</x:v>
      </x:c>
      <x:c r="B616" t="str">
        <x:v>Tribusteron 90</x:v>
      </x:c>
      <x:c r="C616" t="str">
        <x:v>Supplements</x:v>
      </x:c>
      <x:c r="D616" t="str">
        <x:v>Testosterone Support</x:v>
      </x:c>
      <x:c r="E616" t="str">
        <x:v>120 caps</x:v>
      </x:c>
      <x:c r="F616" t="n">
        <x:v>1</x:v>
      </x:c>
      <x:c r="G616" t="str">
        <x:v>https://www.activesportstrade.co.uk/olimp-trade</x:v>
      </x:c>
      <x:c r="H616" t="str"/>
      <x:c r="I616" t="str">
        <x:v>Pending genuine supplier/brand image</x:v>
      </x:c>
    </x:row>
    <x:row r="617">
      <x:c r="A617" t="str">
        <x:v>Olimp</x:v>
      </x:c>
      <x:c r="B617" t="str">
        <x:v>Veggie Protein Complex</x:v>
      </x:c>
      <x:c r="C617" t="str">
        <x:v>Supplements</x:v>
      </x:c>
      <x:c r="D617" t="str">
        <x:v>Protein Blends</x:v>
      </x:c>
      <x:c r="E617" t="str">
        <x:v>500g</x:v>
      </x:c>
      <x:c r="F617" t="n">
        <x:v>2</x:v>
      </x:c>
      <x:c r="G617" t="str">
        <x:v>https://www.activesportstrade.co.uk/olimp-trade</x:v>
      </x:c>
      <x:c r="H617" t="str"/>
      <x:c r="I617" t="str">
        <x:v>Pending genuine supplier/brand image</x:v>
      </x:c>
    </x:row>
    <x:row r="618">
      <x:c r="A618" t="str">
        <x:v>Olimp</x:v>
      </x:c>
      <x:c r="B618" t="str">
        <x:v>Vita Min One</x:v>
      </x:c>
      <x:c r="C618" t="str">
        <x:v>Supplements</x:v>
      </x:c>
      <x:c r="D618" t="str">
        <x:v>Vitamins and Minerals</x:v>
      </x:c>
      <x:c r="E618" t="str">
        <x:v>60 caps</x:v>
      </x:c>
      <x:c r="F618" t="n">
        <x:v>1</x:v>
      </x:c>
      <x:c r="G618" t="str">
        <x:v>https://www.activesportstrade.co.uk/olimp-trade</x:v>
      </x:c>
      <x:c r="H618" t="str"/>
      <x:c r="I618" t="str">
        <x:v>Pending genuine supplier/brand image</x:v>
      </x:c>
    </x:row>
    <x:row r="619">
      <x:c r="A619" t="str">
        <x:v>Olimp</x:v>
      </x:c>
      <x:c r="B619" t="str">
        <x:v>Vita-Min Multiple Sport Tabs</x:v>
      </x:c>
      <x:c r="C619" t="str">
        <x:v>Supplements</x:v>
      </x:c>
      <x:c r="D619" t="str">
        <x:v>Vitamins and Minerals</x:v>
      </x:c>
      <x:c r="E619" t="str">
        <x:v>20 effervescent tabs</x:v>
      </x:c>
      <x:c r="F619" t="n">
        <x:v>1</x:v>
      </x:c>
      <x:c r="G619" t="str">
        <x:v>https://www.activesportstrade.co.uk/olimp-trade</x:v>
      </x:c>
      <x:c r="H619" t="str"/>
      <x:c r="I619" t="str">
        <x:v>Pending genuine supplier/brand image</x:v>
      </x:c>
    </x:row>
    <x:row r="620">
      <x:c r="A620" t="str">
        <x:v>Olimp</x:v>
      </x:c>
      <x:c r="B620" t="str">
        <x:v>Vita-min Multiple Sports 40+</x:v>
      </x:c>
      <x:c r="C620" t="str">
        <x:v>Supplements</x:v>
      </x:c>
      <x:c r="D620" t="str">
        <x:v>Vitamins and Minerals</x:v>
      </x:c>
      <x:c r="E620" t="str">
        <x:v>60 Mega Caps</x:v>
      </x:c>
      <x:c r="F620" t="n">
        <x:v>1</x:v>
      </x:c>
      <x:c r="G620" t="str">
        <x:v>https://www.activesportstrade.co.uk/olimp-trade</x:v>
      </x:c>
      <x:c r="H620" t="str"/>
      <x:c r="I620" t="str">
        <x:v>Pending genuine supplier/brand image</x:v>
      </x:c>
    </x:row>
    <x:row r="621">
      <x:c r="A621" t="str">
        <x:v>Olimp</x:v>
      </x:c>
      <x:c r="B621" t="str">
        <x:v>Vita-min Multiple Sports Shots</x:v>
      </x:c>
      <x:c r="C621" t="str">
        <x:v>Supplements</x:v>
      </x:c>
      <x:c r="D621" t="str">
        <x:v>Vitamins and Minerals</x:v>
      </x:c>
      <x:c r="E621" t="str">
        <x:v>9 x 25ml shots</x:v>
      </x:c>
      <x:c r="F621" t="n">
        <x:v>1</x:v>
      </x:c>
      <x:c r="G621" t="str">
        <x:v>https://www.activesportstrade.co.uk/olimp-trade</x:v>
      </x:c>
      <x:c r="H621" t="str"/>
      <x:c r="I621" t="str">
        <x:v>Pending genuine supplier/brand image</x:v>
      </x:c>
    </x:row>
    <x:row r="622">
      <x:c r="A622" t="str">
        <x:v>Olimp</x:v>
      </x:c>
      <x:c r="B622" t="str">
        <x:v>Vita-min Multiple Sports</x:v>
      </x:c>
      <x:c r="C622" t="str">
        <x:v>Supplements</x:v>
      </x:c>
      <x:c r="D622" t="str">
        <x:v>Vitamins and Minerals</x:v>
      </x:c>
      <x:c r="E622" t="str">
        <x:v>60 Mega Caps</x:v>
      </x:c>
      <x:c r="F622" t="n">
        <x:v>1</x:v>
      </x:c>
      <x:c r="G622" t="str">
        <x:v>https://www.activesportstrade.co.uk/olimp-trade</x:v>
      </x:c>
      <x:c r="H622" t="str"/>
      <x:c r="I622" t="str">
        <x:v>Pending genuine supplier/brand image</x:v>
      </x:c>
    </x:row>
    <x:row r="623">
      <x:c r="A623" t="str">
        <x:v>Olimp</x:v>
      </x:c>
      <x:c r="B623" t="str">
        <x:v>Whey Protein Complex 100%</x:v>
      </x:c>
      <x:c r="C623" t="str">
        <x:v>Supplements</x:v>
      </x:c>
      <x:c r="D623" t="str">
        <x:v>Whey Protein</x:v>
      </x:c>
      <x:c r="E623" t="str">
        <x:v>1.8kg, 2.27kg, 700g</x:v>
      </x:c>
      <x:c r="F623" t="n">
        <x:v>28</x:v>
      </x:c>
      <x:c r="G623" t="str">
        <x:v>https://www.activesportstrade.co.uk/olimp-trade</x:v>
      </x:c>
      <x:c r="H623" t="str"/>
      <x:c r="I623" t="str">
        <x:v>Pending genuine supplier/brand image</x:v>
      </x:c>
    </x:row>
    <x:row r="624">
      <x:c r="A624" t="str">
        <x:v>Olimp</x:v>
      </x:c>
      <x:c r="B624" t="str">
        <x:v>Whey Protein Complex 100% Sachets</x:v>
      </x:c>
      <x:c r="C624" t="str">
        <x:v>Supplements</x:v>
      </x:c>
      <x:c r="D624" t="str">
        <x:v>Whey Protein</x:v>
      </x:c>
      <x:c r="E624" t="str">
        <x:v>20 x 35g sachets</x:v>
      </x:c>
      <x:c r="F624" t="n">
        <x:v>6</x:v>
      </x:c>
      <x:c r="G624" t="str">
        <x:v>https://www.activesportstrade.co.uk/olimp-trade</x:v>
      </x:c>
      <x:c r="H624" t="str"/>
      <x:c r="I624" t="str">
        <x:v>Pending genuine supplier/brand image</x:v>
      </x:c>
    </x:row>
    <x:row r="625">
      <x:c r="A625" t="str">
        <x:v>Olimp</x:v>
      </x:c>
      <x:c r="B625" t="str">
        <x:v>Gold Vit D3 + K2 Sport Edition</x:v>
      </x:c>
      <x:c r="C625" t="str">
        <x:v>Supplements</x:v>
      </x:c>
      <x:c r="D625" t="str">
        <x:v>Vitamins and Minerals</x:v>
      </x:c>
      <x:c r="E625" t="str">
        <x:v>60 caps</x:v>
      </x:c>
      <x:c r="F625" t="n">
        <x:v>1</x:v>
      </x:c>
      <x:c r="G625" t="str">
        <x:v>https://www.activesportstrade.co.uk/trade-sports-supplements/olimp-trade</x:v>
      </x:c>
      <x:c r="H625" t="str"/>
      <x:c r="I625" t="str">
        <x:v>Pending genuine supplier/brand image</x:v>
      </x:c>
    </x:row>
    <x:row r="626">
      <x:c r="A626" t="str">
        <x:v>Olimp</x:v>
      </x:c>
      <x:c r="B626" t="str">
        <x:v>Gold VITA-MIN Anti OX Super Sport</x:v>
      </x:c>
      <x:c r="C626" t="str">
        <x:v>Supplements</x:v>
      </x:c>
      <x:c r="D626" t="str">
        <x:v>Vitamins and Minerals</x:v>
      </x:c>
      <x:c r="E626" t="str">
        <x:v>60 Mega Caps</x:v>
      </x:c>
      <x:c r="F626" t="n">
        <x:v>1</x:v>
      </x:c>
      <x:c r="G626" t="str">
        <x:v>https://www.activesportstrade.co.uk/trade-sports-supplements/olimp-trade</x:v>
      </x:c>
      <x:c r="H626" t="str"/>
      <x:c r="I626" t="str">
        <x:v>Pending genuine supplier/brand image</x:v>
      </x:c>
    </x:row>
    <x:row r="627">
      <x:c r="A627" t="str">
        <x:v>Olimp</x:v>
      </x:c>
      <x:c r="B627" t="str">
        <x:v>HMB Mega Caps</x:v>
      </x:c>
      <x:c r="C627" t="str">
        <x:v>Supplements</x:v>
      </x:c>
      <x:c r="D627" t="str">
        <x:v>HMB Supplements</x:v>
      </x:c>
      <x:c r="E627" t="str">
        <x:v>120 caps, 300 caps</x:v>
      </x:c>
      <x:c r="F627" t="n">
        <x:v>2</x:v>
      </x:c>
      <x:c r="G627" t="str">
        <x:v>https://www.activesportstrade.co.uk/trade-sports-supplements/olimp-trade</x:v>
      </x:c>
      <x:c r="H627" t="str"/>
      <x:c r="I627" t="str">
        <x:v>Pending genuine supplier/brand image</x:v>
      </x:c>
    </x:row>
    <x:row r="628">
      <x:c r="A628" t="str">
        <x:v>Olimp</x:v>
      </x:c>
      <x:c r="B628" t="str">
        <x:v>Argi Power 1500 Mega Caps</x:v>
      </x:c>
      <x:c r="C628" t="str">
        <x:v>Supplements</x:v>
      </x:c>
      <x:c r="D628" t="str">
        <x:v>Amino Acids</x:v>
      </x:c>
      <x:c r="E628" t="str">
        <x:v>120 caps</x:v>
      </x:c>
      <x:c r="F628" t="n">
        <x:v>1</x:v>
      </x:c>
      <x:c r="G628" t="str">
        <x:v>https://www.activesportstrade.co.uk/olimp-trade</x:v>
      </x:c>
      <x:c r="H628" t="str"/>
      <x:c r="I628" t="str">
        <x:v>Pending genuine supplier/brand image</x:v>
      </x:c>
    </x:row>
    <x:row r="629">
      <x:c r="A629" t="str">
        <x:v>Olimp</x:v>
      </x:c>
      <x:c r="B629" t="str">
        <x:v>Arthroblock Forte Joint Support</x:v>
      </x:c>
      <x:c r="C629" t="str">
        <x:v>Supplements</x:v>
      </x:c>
      <x:c r="D629" t="str">
        <x:v>Joint Repair</x:v>
      </x:c>
      <x:c r="E629" t="str">
        <x:v>60 caps</x:v>
      </x:c>
      <x:c r="F629" t="n">
        <x:v>1</x:v>
      </x:c>
      <x:c r="G629" t="str">
        <x:v>https://www.activesportstrade.co.uk/olimp-trade</x:v>
      </x:c>
      <x:c r="H629" t="str"/>
      <x:c r="I629" t="str">
        <x:v>Pending genuine supplier/brand image</x:v>
      </x:c>
    </x:row>
    <x:row r="630">
      <x:c r="A630" t="str">
        <x:v>Olimp</x:v>
      </x:c>
      <x:c r="B630" t="str">
        <x:v>Ashwagandha 600 Sports</x:v>
      </x:c>
      <x:c r="C630" t="str">
        <x:v>Supplements</x:v>
      </x:c>
      <x:c r="D630" t="str">
        <x:v>Health Foods</x:v>
      </x:c>
      <x:c r="E630" t="str">
        <x:v>130 caps, 60 caps</x:v>
      </x:c>
      <x:c r="F630" t="n">
        <x:v>2</x:v>
      </x:c>
      <x:c r="G630" t="str">
        <x:v>https://www.activesportstrade.co.uk/olimp-trade</x:v>
      </x:c>
      <x:c r="H630" t="str"/>
      <x:c r="I630" t="str">
        <x:v>Pending genuine supplier/brand image</x:v>
      </x:c>
    </x:row>
    <x:row r="631">
      <x:c r="A631" t="str">
        <x:v>Olimp</x:v>
      </x:c>
      <x:c r="B631" t="str">
        <x:v>Flex Xplode</x:v>
      </x:c>
      <x:c r="C631" t="str">
        <x:v>Supplements</x:v>
      </x:c>
      <x:c r="D631" t="str">
        <x:v>Joint Repair</x:v>
      </x:c>
      <x:c r="E631" t="str">
        <x:v>360g / 25 servings, 504g / 35 servings</x:v>
      </x:c>
      <x:c r="F631" t="n">
        <x:v>4</x:v>
      </x:c>
      <x:c r="G631" t="str">
        <x:v>https://www.activesportstrade.co.uk/olimp-trade</x:v>
      </x:c>
      <x:c r="H631" t="str"/>
      <x:c r="I631" t="str">
        <x:v>Pending genuine supplier/brand image</x:v>
      </x:c>
    </x:row>
    <x:row r="632">
      <x:c r="A632" t="str">
        <x:v>Olimp</x:v>
      </x:c>
      <x:c r="B632" t="str">
        <x:v>Fortest</x:v>
      </x:c>
      <x:c r="C632" t="str">
        <x:v>Supplements</x:v>
      </x:c>
      <x:c r="D632" t="str">
        <x:v>Testosterone Support</x:v>
      </x:c>
      <x:c r="E632" t="str">
        <x:v>120 caps</x:v>
      </x:c>
      <x:c r="F632" t="n">
        <x:v>1</x:v>
      </x:c>
      <x:c r="G632" t="str">
        <x:v>https://www.activesportstrade.co.uk/olimp-trade</x:v>
      </x:c>
      <x:c r="H632" t="str"/>
      <x:c r="I632" t="str">
        <x:v>Pending genuine supplier/brand image</x:v>
      </x:c>
    </x:row>
    <x:row r="633">
      <x:c r="A633" t="str">
        <x:v>Olimp</x:v>
      </x:c>
      <x:c r="B633" t="str">
        <x:v>Gain Bolic 6000</x:v>
      </x:c>
      <x:c r="C633" t="str">
        <x:v>Supplements</x:v>
      </x:c>
      <x:c r="D633" t="str">
        <x:v>Mass Gainers</x:v>
      </x:c>
      <x:c r="E633" t="str">
        <x:v>1kg, 3.5kg</x:v>
      </x:c>
      <x:c r="F633" t="n">
        <x:v>8</x:v>
      </x:c>
      <x:c r="G633" t="str">
        <x:v>https://www.activesportstrade.co.uk/olimp-trade</x:v>
      </x:c>
      <x:c r="H633" t="str"/>
      <x:c r="I633" t="str">
        <x:v>Pending genuine supplier/brand image</x:v>
      </x:c>
    </x:row>
    <x:row r="634">
      <x:c r="A634" t="str">
        <x:v>Olimp</x:v>
      </x:c>
      <x:c r="B634" t="str">
        <x:v>HMB Xplode Powder</x:v>
      </x:c>
      <x:c r="C634" t="str">
        <x:v>Supplements</x:v>
      </x:c>
      <x:c r="D634" t="str">
        <x:v>HMB Supplements</x:v>
      </x:c>
      <x:c r="E634" t="str">
        <x:v>250g</x:v>
      </x:c>
      <x:c r="F634" t="n">
        <x:v>2</x:v>
      </x:c>
      <x:c r="G634" t="str">
        <x:v>https://www.activesportstrade.co.uk/olimp-trade</x:v>
      </x:c>
      <x:c r="H634" t="str"/>
      <x:c r="I634" t="str">
        <x:v>Pending genuine supplier/brand image</x:v>
      </x:c>
    </x:row>
    <x:row r="635">
      <x:c r="A635" t="str">
        <x:v>Olimp</x:v>
      </x:c>
      <x:c r="B635" t="str">
        <x:v>HMBolon NX</x:v>
      </x:c>
      <x:c r="C635" t="str">
        <x:v>Supplements</x:v>
      </x:c>
      <x:c r="D635" t="str">
        <x:v>HMB Supplements</x:v>
      </x:c>
      <x:c r="E635" t="str">
        <x:v>300 Mega Caps</x:v>
      </x:c>
      <x:c r="F635" t="n">
        <x:v>1</x:v>
      </x:c>
      <x:c r="G635" t="str">
        <x:v>https://www.activesportstrade.co.uk/olimp-trade</x:v>
      </x:c>
      <x:c r="H635" t="str"/>
      <x:c r="I635" t="str">
        <x:v>Pending genuine supplier/brand image</x:v>
      </x:c>
    </x:row>
    <x:row r="636">
      <x:c r="A636" t="str">
        <x:v>Olimp</x:v>
      </x:c>
      <x:c r="B636" t="str">
        <x:v>Redweiler / R-Weiler Pre Workout</x:v>
      </x:c>
      <x:c r="C636" t="str">
        <x:v>Pre Workouts</x:v>
      </x:c>
      <x:c r="D636" t="str">
        <x:v>High Stim</x:v>
      </x:c>
      <x:c r="E636" t="str">
        <x:v>480g / 80 servings</x:v>
      </x:c>
      <x:c r="F636" t="n">
        <x:v>3</x:v>
      </x:c>
      <x:c r="G636" t="str">
        <x:v>https://www.activesportstrade.co.uk/olimp-trade</x:v>
      </x:c>
      <x:c r="H636" t="str"/>
      <x:c r="I636" t="str">
        <x:v>Pending genuine supplier/brand image</x:v>
      </x:c>
    </x:row>
    <x:row r="637">
      <x:c r="A637" t="str">
        <x:v>Olimp</x:v>
      </x:c>
      <x:c r="B637" t="str">
        <x:v>R-Weiler Shots</x:v>
      </x:c>
      <x:c r="C637" t="str">
        <x:v>Pre Workouts</x:v>
      </x:c>
      <x:c r="D637" t="str">
        <x:v>Shots and Ready To Drink</x:v>
      </x:c>
      <x:c r="E637" t="str">
        <x:v>9 x 60ml shots</x:v>
      </x:c>
      <x:c r="F637" t="n">
        <x:v>2</x:v>
      </x:c>
      <x:c r="G637" t="str">
        <x:v>https://www.activesportstrade.co.uk/olimp-trade</x:v>
      </x:c>
      <x:c r="H637" t="str"/>
      <x:c r="I637" t="str">
        <x:v>Pending genuine supplier/brand image</x:v>
      </x:c>
    </x:row>
    <x:row r="638">
      <x:c r="A638" t="str">
        <x:v>Olimp</x:v>
      </x:c>
      <x:c r="B638" t="str">
        <x:v>T-100 Hardcore</x:v>
      </x:c>
      <x:c r="C638" t="str">
        <x:v>Supplements</x:v>
      </x:c>
      <x:c r="D638" t="str">
        <x:v>Testosterone Support</x:v>
      </x:c>
      <x:c r="E638" t="str">
        <x:v>120 caps</x:v>
      </x:c>
      <x:c r="F638" t="n">
        <x:v>1</x:v>
      </x:c>
      <x:c r="G638" t="str">
        <x:v>https://www.activesportstrade.co.uk/olimp-trade</x:v>
      </x:c>
      <x:c r="H638" t="str"/>
      <x:c r="I638" t="str">
        <x:v>Pending genuine supplier/brand image</x:v>
      </x:c>
    </x:row>
    <x:row r="639">
      <x:c r="A639" t="str">
        <x:v>Olimp</x:v>
      </x:c>
      <x:c r="B639" t="str">
        <x:v>T-100</x:v>
      </x:c>
      <x:c r="C639" t="str">
        <x:v>Supplements</x:v>
      </x:c>
      <x:c r="D639" t="str">
        <x:v>Testosterone Support</x:v>
      </x:c>
      <x:c r="E639" t="str">
        <x:v>120 caps</x:v>
      </x:c>
      <x:c r="F639" t="n">
        <x:v>1</x:v>
      </x:c>
      <x:c r="G639" t="str">
        <x:v>https://www.activesportstrade.co.uk/olimp-trade</x:v>
      </x:c>
      <x:c r="H639" t="str"/>
      <x:c r="I639" t="str">
        <x:v>Pending genuine supplier/brand image</x:v>
      </x:c>
    </x:row>
    <x:row r="640">
      <x:c r="A640" t="str">
        <x:v>Olimp</x:v>
      </x:c>
      <x:c r="B640" t="str">
        <x:v>Taurine Mega Caps</x:v>
      </x:c>
      <x:c r="C640" t="str">
        <x:v>Supplements</x:v>
      </x:c>
      <x:c r="D640" t="str">
        <x:v>Amino Acids</x:v>
      </x:c>
      <x:c r="E640" t="str">
        <x:v>120 caps</x:v>
      </x:c>
      <x:c r="F640" t="n">
        <x:v>1</x:v>
      </x:c>
      <x:c r="G640" t="str">
        <x:v>https://www.activesportstrade.co.uk/olimp-trade</x:v>
      </x:c>
      <x:c r="H640" t="str"/>
      <x:c r="I640" t="str">
        <x:v>Pending genuine supplier/brand image</x:v>
      </x:c>
    </x:row>
    <x:row r="641">
      <x:c r="A641" t="str">
        <x:v>Olimp</x:v>
      </x:c>
      <x:c r="B641" t="str">
        <x:v>TCM 1100 Tri Creatine Malate</x:v>
      </x:c>
      <x:c r="C641" t="str">
        <x:v>Supplements</x:v>
      </x:c>
      <x:c r="D641" t="str">
        <x:v>Creatine Capsules</x:v>
      </x:c>
      <x:c r="E641" t="str">
        <x:v>120 Mega Caps</x:v>
      </x:c>
      <x:c r="F641" t="n">
        <x:v>1</x:v>
      </x:c>
      <x:c r="G641" t="str">
        <x:v>https://www.activesportstrade.co.uk/olimp-trade</x:v>
      </x:c>
      <x:c r="H641" t="str"/>
      <x:c r="I641" t="str">
        <x:v>Pending genuine supplier/brand image</x:v>
      </x:c>
    </x:row>
    <x:row r="642">
      <x:c r="A642" t="str">
        <x:v>Olimp</x:v>
      </x:c>
      <x:c r="B642" t="str">
        <x:v>Testoxeed</x:v>
      </x:c>
      <x:c r="C642" t="str">
        <x:v>Supplements</x:v>
      </x:c>
      <x:c r="D642" t="str">
        <x:v>Testosterone Support</x:v>
      </x:c>
      <x:c r="E642" t="str">
        <x:v>120 caps</x:v>
      </x:c>
      <x:c r="F642" t="n">
        <x:v>1</x:v>
      </x:c>
      <x:c r="G642" t="str">
        <x:v>https://www.activesportstrade.co.uk/olimp-trade</x:v>
      </x:c>
      <x:c r="H642" t="str"/>
      <x:c r="I642" t="str">
        <x:v>Pending genuine supplier/brand image</x:v>
      </x:c>
    </x:row>
    <x:row r="643">
      <x:c r="A643" t="str">
        <x:v>Olimp</x:v>
      </x:c>
      <x:c r="B643" t="str">
        <x:v>AAKG Xplode Powder</x:v>
      </x:c>
      <x:c r="C643" t="str">
        <x:v>Pre Workouts</x:v>
      </x:c>
      <x:c r="D643" t="str">
        <x:v>Stim FREE</x:v>
      </x:c>
      <x:c r="E643" t="str">
        <x:v>60 servings</x:v>
      </x:c>
      <x:c r="F643" t="n">
        <x:v>1</x:v>
      </x:c>
      <x:c r="G643" t="str">
        <x:v>https://www.activesportstrade.co.uk/trade-sports-supplements/olimp-trade</x:v>
      </x:c>
      <x:c r="H643" t="str"/>
      <x:c r="I643" t="str">
        <x:v>Pending genuine supplier/brand image</x:v>
      </x:c>
    </x:row>
    <x:row r="644">
      <x:c r="A644" t="str">
        <x:v>Olimp</x:v>
      </x:c>
      <x:c r="B644" t="str">
        <x:v>Alkagen</x:v>
      </x:c>
      <x:c r="C644" t="str">
        <x:v>Supplements</x:v>
      </x:c>
      <x:c r="D644" t="str">
        <x:v>Recovery Support</x:v>
      </x:c>
      <x:c r="E644" t="str">
        <x:v>120 caps</x:v>
      </x:c>
      <x:c r="F644" t="n">
        <x:v>1</x:v>
      </x:c>
      <x:c r="G644" t="str">
        <x:v>https://www.activesportstrade.co.uk/trade-sports-supplements/olimp-trade</x:v>
      </x:c>
      <x:c r="H644" t="str"/>
      <x:c r="I644" t="str">
        <x:v>Pending genuine supplier/brand image</x:v>
      </x:c>
    </x:row>
    <x:row r="645">
      <x:c r="A645" t="str">
        <x:v>Olimp</x:v>
      </x:c>
      <x:c r="B645" t="str">
        <x:v>Amino EAA Xplode</x:v>
      </x:c>
      <x:c r="C645" t="str">
        <x:v>Supplements</x:v>
      </x:c>
      <x:c r="D645" t="str">
        <x:v>Amino Acids</x:v>
      </x:c>
      <x:c r="E645" t="str">
        <x:v>520g</x:v>
      </x:c>
      <x:c r="F645" t="n">
        <x:v>4</x:v>
      </x:c>
      <x:c r="G645" t="str">
        <x:v>https://www.activesportstrade.co.uk/trade-sports-supplements/olimp-trade</x:v>
      </x:c>
      <x:c r="H645" t="str"/>
      <x:c r="I645" t="str">
        <x:v>Pending genuine supplier/brand image</x:v>
      </x:c>
    </x:row>
    <x:row r="646">
      <x:c r="A646" t="str">
        <x:v>Olimp</x:v>
      </x:c>
      <x:c r="B646" t="str">
        <x:v>Amino Target Xplode</x:v>
      </x:c>
      <x:c r="C646" t="str">
        <x:v>Supplements</x:v>
      </x:c>
      <x:c r="D646" t="str">
        <x:v>Amino Acids</x:v>
      </x:c>
      <x:c r="E646" t="str">
        <x:v>275g</x:v>
      </x:c>
      <x:c r="F646" t="n">
        <x:v>1</x:v>
      </x:c>
      <x:c r="G646" t="str">
        <x:v>https://www.activesportstrade.co.uk/trade-sports-supplements/olimp-trade</x:v>
      </x:c>
      <x:c r="H646" t="str"/>
      <x:c r="I646" t="str">
        <x:v>Pending genuine supplier/brand image</x:v>
      </x:c>
    </x:row>
    <x:row r="647">
      <x:c r="A647" t="str">
        <x:v>Olimp</x:v>
      </x:c>
      <x:c r="B647" t="str">
        <x:v>Beta Alanine Carno Rush Mega Tabs</x:v>
      </x:c>
      <x:c r="C647" t="str">
        <x:v>Supplements</x:v>
      </x:c>
      <x:c r="D647" t="str">
        <x:v>Beta Alanine</x:v>
      </x:c>
      <x:c r="E647" t="str">
        <x:v>80 tabs</x:v>
      </x:c>
      <x:c r="F647" t="n">
        <x:v>1</x:v>
      </x:c>
      <x:c r="G647" t="str">
        <x:v>https://www.activesportstrade.co.uk/trade-sports-supplements/olimp-trade</x:v>
      </x:c>
      <x:c r="H647" t="str"/>
      <x:c r="I647" t="str">
        <x:v>Pending genuine supplier/brand image</x:v>
      </x:c>
    </x:row>
    <x:row r="648">
      <x:c r="A648" t="str">
        <x:v>Olimp</x:v>
      </x:c>
      <x:c r="B648" t="str">
        <x:v>Beta Alanine Xplode</x:v>
      </x:c>
      <x:c r="C648" t="str">
        <x:v>Supplements</x:v>
      </x:c>
      <x:c r="D648" t="str">
        <x:v>Beta Alanine</x:v>
      </x:c>
      <x:c r="E648" t="str">
        <x:v>250g</x:v>
      </x:c>
      <x:c r="F648" t="n">
        <x:v>1</x:v>
      </x:c>
      <x:c r="G648" t="str">
        <x:v>https://www.activesportstrade.co.uk/trade-sports-supplements/olimp-trade</x:v>
      </x:c>
      <x:c r="H648" t="str"/>
      <x:c r="I648" t="str">
        <x:v>Pending genuine supplier/brand image</x:v>
      </x:c>
    </x:row>
    <x:row r="649">
      <x:c r="A649" t="str">
        <x:v>Olimp</x:v>
      </x:c>
      <x:c r="B649" t="str">
        <x:v>Beta Solar Sports Edition</x:v>
      </x:c>
      <x:c r="C649" t="str">
        <x:v>Supplements</x:v>
      </x:c>
      <x:c r="D649" t="str">
        <x:v>Vitamins and Minerals</x:v>
      </x:c>
      <x:c r="E649" t="str">
        <x:v>30 caps</x:v>
      </x:c>
      <x:c r="F649" t="n">
        <x:v>1</x:v>
      </x:c>
      <x:c r="G649" t="str">
        <x:v>https://www.activesportstrade.co.uk/trade-sports-supplements/olimp-trade</x:v>
      </x:c>
      <x:c r="H649" t="str"/>
      <x:c r="I649" t="str">
        <x:v>Pending genuine supplier/brand image</x:v>
      </x:c>
    </x:row>
    <x:row r="650">
      <x:c r="A650" t="str">
        <x:v>Olimp</x:v>
      </x:c>
      <x:c r="B650" t="str">
        <x:v>Blackweiler Shred Pre Workout</x:v>
      </x:c>
      <x:c r="C650" t="str">
        <x:v>Pre Workouts</x:v>
      </x:c>
      <x:c r="D650" t="str">
        <x:v>High Stim</x:v>
      </x:c>
      <x:c r="E650" t="str">
        <x:v>480g</x:v>
      </x:c>
      <x:c r="F650" t="n">
        <x:v>4</x:v>
      </x:c>
      <x:c r="G650" t="str">
        <x:v>https://www.activesportstrade.co.uk/trade-sports-supplements/olimp-trade</x:v>
      </x:c>
      <x:c r="H650" t="str"/>
      <x:c r="I650" t="str">
        <x:v>Pending genuine supplier/brand image</x:v>
      </x:c>
    </x:row>
    <x:row r="651">
      <x:c r="A651" t="str">
        <x:v>Olimp</x:v>
      </x:c>
      <x:c r="B651" t="str">
        <x:v>Blackweiler Shred Shots</x:v>
      </x:c>
      <x:c r="C651" t="str">
        <x:v>Pre Workouts</x:v>
      </x:c>
      <x:c r="D651" t="str">
        <x:v>Shots and Ready To Drink</x:v>
      </x:c>
      <x:c r="E651" t="str">
        <x:v>9 shots</x:v>
      </x:c>
      <x:c r="F651" t="n">
        <x:v>2</x:v>
      </x:c>
      <x:c r="G651" t="str">
        <x:v>https://www.activesportstrade.co.uk/olimp-trade</x:v>
      </x:c>
      <x:c r="H651" t="str"/>
      <x:c r="I651" t="str">
        <x:v>Pending genuine supplier/brand image</x:v>
      </x:c>
    </x:row>
    <x:row r="652">
      <x:c r="A652" t="str">
        <x:v>Olimp</x:v>
      </x:c>
      <x:c r="B652" t="str">
        <x:v>Creatine 1000 Mega Caps</x:v>
      </x:c>
      <x:c r="C652" t="str">
        <x:v>Supplements</x:v>
      </x:c>
      <x:c r="D652" t="str">
        <x:v>Creatine Capsules</x:v>
      </x:c>
      <x:c r="E652" t="str">
        <x:v>180 caps</x:v>
      </x:c>
      <x:c r="F652" t="n">
        <x:v>1</x:v>
      </x:c>
      <x:c r="G652" t="str">
        <x:v>https://www.activesportstrade.co.uk/trade-sports-supplements/olimp-trade</x:v>
      </x:c>
      <x:c r="H652" t="str"/>
      <x:c r="I652" t="str">
        <x:v>Pending genuine supplier/brand image</x:v>
      </x:c>
    </x:row>
    <x:row r="653">
      <x:c r="A653" t="str">
        <x:v>Olimp</x:v>
      </x:c>
      <x:c r="B653" t="str">
        <x:v>Creatine 1250 Mega Caps</x:v>
      </x:c>
      <x:c r="C653" t="str">
        <x:v>Supplements</x:v>
      </x:c>
      <x:c r="D653" t="str">
        <x:v>Creatine Capsules</x:v>
      </x:c>
      <x:c r="E653" t="str">
        <x:v>120 caps, 400 caps</x:v>
      </x:c>
      <x:c r="F653" t="n">
        <x:v>2</x:v>
      </x:c>
      <x:c r="G653" t="str">
        <x:v>https://www.activesportstrade.co.uk/trade-sports-supplements/olimp-trade</x:v>
      </x:c>
      <x:c r="H653" t="str"/>
      <x:c r="I653" t="str">
        <x:v>Pending genuine supplier/brand image</x:v>
      </x:c>
    </x:row>
    <x:row r="654">
      <x:c r="A654" t="str">
        <x:v>Olimp</x:v>
      </x:c>
      <x:c r="B654" t="str">
        <x:v>Creatine Xplode</x:v>
      </x:c>
      <x:c r="C654" t="str">
        <x:v>Supplements</x:v>
      </x:c>
      <x:c r="D654" t="str">
        <x:v>Creatine Powders</x:v>
      </x:c>
      <x:c r="E654" t="str">
        <x:v>500g tub</x:v>
      </x:c>
      <x:c r="F654" t="n">
        <x:v>3</x:v>
      </x:c>
      <x:c r="G654" t="str">
        <x:v>https://www.activesportstrade.co.uk/trade-sports-supplements/olimp-trade</x:v>
      </x:c>
      <x:c r="H654" t="str"/>
      <x:c r="I654" t="str">
        <x:v>Pending genuine supplier/brand image</x:v>
      </x:c>
    </x:row>
    <x:row r="655">
      <x:c r="A655" t="str">
        <x:v>Olimp</x:v>
      </x:c>
      <x:c r="B655" t="str">
        <x:v>DAA Xtreme Prolact Block</x:v>
      </x:c>
      <x:c r="C655" t="str">
        <x:v>Supplements</x:v>
      </x:c>
      <x:c r="D655" t="str">
        <x:v>Testosterone Support</x:v>
      </x:c>
      <x:c r="E655" t="str">
        <x:v>60 tabs</x:v>
      </x:c>
      <x:c r="F655" t="n">
        <x:v>1</x:v>
      </x:c>
      <x:c r="G655" t="str">
        <x:v>https://www.activesportstrade.co.uk/trade-sports-supplements/olimp-trade</x:v>
      </x:c>
      <x:c r="H655" t="str"/>
      <x:c r="I655" t="str">
        <x:v>Pending genuine supplier/brand image</x:v>
      </x:c>
    </x:row>
    <x:row r="656">
      <x:c r="A656" t="str">
        <x:v>Olimp</x:v>
      </x:c>
      <x:c r="B656" t="str">
        <x:v>Detoxeed Pro</x:v>
      </x:c>
      <x:c r="C656" t="str">
        <x:v>Supplements</x:v>
      </x:c>
      <x:c r="D656" t="str">
        <x:v>Health Foods</x:v>
      </x:c>
      <x:c r="E656" t="str">
        <x:v>60 caps</x:v>
      </x:c>
      <x:c r="F656" t="n">
        <x:v>1</x:v>
      </x:c>
      <x:c r="G656" t="str">
        <x:v>https://www.activesportstrade.co.uk/trade-sports-supplements/olimp-trade</x:v>
      </x:c>
      <x:c r="H656" t="str"/>
      <x:c r="I656" t="str">
        <x:v>Pending genuine supplier/brand image</x:v>
      </x:c>
    </x:row>
    <x:row r="657">
      <x:c r="A657" t="str">
        <x:v>Olimp</x:v>
      </x:c>
      <x:c r="B657" t="str">
        <x:v>Endugen</x:v>
      </x:c>
      <x:c r="C657" t="str">
        <x:v>Supplements</x:v>
      </x:c>
      <x:c r="D657" t="str">
        <x:v>Recovery Support</x:v>
      </x:c>
      <x:c r="E657" t="str">
        <x:v>60 caps</x:v>
      </x:c>
      <x:c r="F657" t="n">
        <x:v>1</x:v>
      </x:c>
      <x:c r="G657" t="str">
        <x:v>https://www.activesportstrade.co.uk/trade-sports-supplements/olimp-trade</x:v>
      </x:c>
      <x:c r="H657" t="str"/>
      <x:c r="I657" t="str">
        <x:v>Pending genuine supplier/brand image</x:v>
      </x:c>
    </x:row>
    <x:row r="658">
      <x:c r="A658" t="str">
        <x:v>Olimp</x:v>
      </x:c>
      <x:c r="B658" t="str">
        <x:v>Extreme Speed Shots</x:v>
      </x:c>
      <x:c r="C658" t="str">
        <x:v>Drinks and Bars</x:v>
      </x:c>
      <x:c r="D658" t="str">
        <x:v>Ready to Drink Energy</x:v>
      </x:c>
      <x:c r="E658" t="str">
        <x:v>9 x 25ml shots</x:v>
      </x:c>
      <x:c r="F658" t="n">
        <x:v>1</x:v>
      </x:c>
      <x:c r="G658" t="str">
        <x:v>https://www.activesportstrade.co.uk/trade-sports-supplements/olimp-trade</x:v>
      </x:c>
      <x:c r="H658" t="str"/>
      <x:c r="I658" t="str">
        <x:v>Pending genuine supplier/brand image</x:v>
      </x:c>
    </x:row>
    <x:row r="659">
      <x:c r="A659" t="str">
        <x:v>Olimp</x:v>
      </x:c>
      <x:c r="B659" t="str">
        <x:v>L-Carnitine Xplode Powder</x:v>
      </x:c>
      <x:c r="C659" t="str">
        <x:v>Supplements</x:v>
      </x:c>
      <x:c r="D659" t="str">
        <x:v>L-Carnitine</x:v>
      </x:c>
      <x:c r="E659" t="str">
        <x:v>300g / 100 servings</x:v>
      </x:c>
      <x:c r="F659" t="n">
        <x:v>2</x:v>
      </x:c>
      <x:c r="G659" t="str">
        <x:v>https://www.activesportstrade.co.uk/trade-sports-supplements/olimp-trade</x:v>
      </x:c>
      <x:c r="H659" t="str"/>
      <x:c r="I659" t="str">
        <x:v>Pending genuine supplier/brand image</x:v>
      </x:c>
    </x:row>
    <x:row r="660">
      <x:c r="A660" t="str">
        <x:v>Olimp</x:v>
      </x:c>
      <x:c r="B660" t="str">
        <x:v>L-Glutamine Powder</x:v>
      </x:c>
      <x:c r="C660" t="str">
        <x:v>Supplements</x:v>
      </x:c>
      <x:c r="D660" t="str">
        <x:v>L-Glutamine</x:v>
      </x:c>
      <x:c r="E660" t="str">
        <x:v>250g</x:v>
      </x:c>
      <x:c r="F660" t="n">
        <x:v>1</x:v>
      </x:c>
      <x:c r="G660" t="str">
        <x:v>https://www.activesportstrade.co.uk/trade-sports-supplements/olimp-trade</x:v>
      </x:c>
      <x:c r="H660" t="str"/>
      <x:c r="I660" t="str">
        <x:v>Pending genuine supplier/brand image</x:v>
      </x:c>
    </x:row>
    <x:row r="661">
      <x:c r="A661" t="str">
        <x:v>Olimp</x:v>
      </x:c>
      <x:c r="B661" t="str">
        <x:v>Lions Mane Mushroom</x:v>
      </x:c>
      <x:c r="C661" t="str">
        <x:v>Supplements</x:v>
      </x:c>
      <x:c r="D661" t="str">
        <x:v>Health Foods</x:v>
      </x:c>
      <x:c r="E661" t="str">
        <x:v>60 caps</x:v>
      </x:c>
      <x:c r="F661" t="n">
        <x:v>1</x:v>
      </x:c>
      <x:c r="G661" t="str">
        <x:v>https://www.activesportstrade.co.uk/trade-sports-supplements/olimp-trade</x:v>
      </x:c>
      <x:c r="H661" t="str"/>
      <x:c r="I661" t="str">
        <x:v>Pending genuine supplier/brand image</x:v>
      </x:c>
    </x:row>
    <x:row r="662">
      <x:c r="A662" t="str">
        <x:v>Olimp</x:v>
      </x:c>
      <x:c r="B662" t="str">
        <x:v>LipoRazor</x:v>
      </x:c>
      <x:c r="C662" t="str">
        <x:v>Supplements</x:v>
      </x:c>
      <x:c r="D662" t="str">
        <x:v>Weight Management</x:v>
      </x:c>
      <x:c r="E662" t="str">
        <x:v>90 caps</x:v>
      </x:c>
      <x:c r="F662" t="n">
        <x:v>1</x:v>
      </x:c>
      <x:c r="G662" t="str">
        <x:v>https://www.activesportstrade.co.uk/trade-sports-supplements/olimp-trade</x:v>
      </x:c>
      <x:c r="H662" t="str"/>
      <x:c r="I662" t="str">
        <x:v>Pending genuine supplier/brand image</x:v>
      </x:c>
    </x:row>
    <x:row r="663">
      <x:c r="A663" t="str">
        <x:v>Olimp</x:v>
      </x:c>
      <x:c r="B663" t="str">
        <x:v>MCT Oil</x:v>
      </x:c>
      <x:c r="C663" t="str">
        <x:v>Supplements</x:v>
      </x:c>
      <x:c r="D663" t="str">
        <x:v>Health Foods</x:v>
      </x:c>
      <x:c r="E663" t="str">
        <x:v>400ml</x:v>
      </x:c>
      <x:c r="F663" t="n">
        <x:v>1</x:v>
      </x:c>
      <x:c r="G663" t="str">
        <x:v>https://www.activesportstrade.co.uk/trade-sports-supplements/olimp-trade</x:v>
      </x:c>
      <x:c r="H663" t="str"/>
      <x:c r="I663" t="str">
        <x:v>Pending genuine supplier/brand image</x:v>
      </x:c>
    </x:row>
    <x:row r="664">
      <x:c r="A664" t="str">
        <x:v>Olimp</x:v>
      </x:c>
      <x:c r="B664" t="str">
        <x:v>Platinum Ginseng Sports Edition</x:v>
      </x:c>
      <x:c r="C664" t="str">
        <x:v>Supplements</x:v>
      </x:c>
      <x:c r="D664" t="str">
        <x:v>Health Foods</x:v>
      </x:c>
      <x:c r="E664" t="str">
        <x:v>60 caps</x:v>
      </x:c>
      <x:c r="F664" t="n">
        <x:v>1</x:v>
      </x:c>
      <x:c r="G664" t="str">
        <x:v>https://www.activesportstrade.co.uk/trade-pre-workout-supplements</x:v>
      </x:c>
      <x:c r="H664" t="str"/>
      <x:c r="I664" t="str">
        <x:v>Pending genuine supplier/brand image</x:v>
      </x:c>
    </x:row>
    <x:row r="665">
      <x:c r="A665" t="str">
        <x:v>Olimp</x:v>
      </x:c>
      <x:c r="B665" t="str">
        <x:v>Collagen Sports Edition Shots</x:v>
      </x:c>
      <x:c r="C665" t="str">
        <x:v>Supplements</x:v>
      </x:c>
      <x:c r="D665" t="str">
        <x:v>Collagen</x:v>
      </x:c>
      <x:c r="E665" t="str">
        <x:v>9 x 25ml shots</x:v>
      </x:c>
      <x:c r="F665" t="n">
        <x:v>1</x:v>
      </x:c>
      <x:c r="G665" t="str">
        <x:v>https://www.activesportstrade.co.uk/trade-convienience</x:v>
      </x:c>
      <x:c r="H665" t="str"/>
      <x:c r="I665" t="str">
        <x:v>Pending genuine supplier/brand image</x:v>
      </x:c>
    </x:row>
    <x:row r="666">
      <x:c r="A666" t="str">
        <x:v>Olimp</x:v>
      </x:c>
      <x:c r="B666" t="str">
        <x:v>ZMA</x:v>
      </x:c>
      <x:c r="C666" t="str">
        <x:v>Supplements</x:v>
      </x:c>
      <x:c r="D666" t="str">
        <x:v>Vitamins and Minerals</x:v>
      </x:c>
      <x:c r="E666" t="str">
        <x:v>120 caps</x:v>
      </x:c>
      <x:c r="F666" t="n">
        <x:v>1</x:v>
      </x:c>
      <x:c r="G666" t="str">
        <x:v>https://www.activesportstrade.co.uk/trade-sports-supplements/olimp-trade</x:v>
      </x:c>
      <x:c r="H666" t="str"/>
      <x:c r="I666" t="str">
        <x:v>Pending genuine supplier/brand image</x:v>
      </x:c>
    </x:row>
    <x:row r="667">
      <x:c r="A667" t="str">
        <x:v>Olimp</x:v>
      </x:c>
      <x:c r="B667" t="str">
        <x:v>ANTI-OX Power Blend</x:v>
      </x:c>
      <x:c r="C667" t="str">
        <x:v>Supplements</x:v>
      </x:c>
      <x:c r="D667" t="str">
        <x:v>Antioxidants</x:v>
      </x:c>
      <x:c r="E667" t="str">
        <x:v>60 caps</x:v>
      </x:c>
      <x:c r="F667" t="n">
        <x:v>1</x:v>
      </x:c>
      <x:c r="G667" t="str">
        <x:v>https://www.activesportstrade.co.uk/olimp-trade</x:v>
      </x:c>
      <x:c r="H667" t="str"/>
      <x:c r="I667" t="str">
        <x:v>Pending genuine supplier/brand image</x:v>
      </x:c>
    </x:row>
    <x:row r="668">
      <x:c r="A668" t="str">
        <x:v>Olimp</x:v>
      </x:c>
      <x:c r="B668" t="str">
        <x:v>Chela-Min Sports Formula</x:v>
      </x:c>
      <x:c r="C668" t="str">
        <x:v>Supplements</x:v>
      </x:c>
      <x:c r="D668" t="str">
        <x:v>Vitamins and Minerals</x:v>
      </x:c>
      <x:c r="E668" t="str">
        <x:v>60 Mega Caps</x:v>
      </x:c>
      <x:c r="F668" t="n">
        <x:v>1</x:v>
      </x:c>
      <x:c r="G668" t="str">
        <x:v>https://www.activesportstrade.co.uk/trade-sports-supplements/olimp-trade</x:v>
      </x:c>
      <x:c r="H668" t="str"/>
      <x:c r="I668" t="str">
        <x:v>Pending genuine supplier/brand image</x:v>
      </x:c>
    </x:row>
    <x:row r="669">
      <x:c r="A669" t="str">
        <x:v>Olimp</x:v>
      </x:c>
      <x:c r="B669" t="str">
        <x:v>Citrulline Malate</x:v>
      </x:c>
      <x:c r="C669" t="str">
        <x:v>Pre Workouts</x:v>
      </x:c>
      <x:c r="D669" t="str">
        <x:v>Pump / Citrulline</x:v>
      </x:c>
      <x:c r="E669" t="str">
        <x:v>200g</x:v>
      </x:c>
      <x:c r="F669" t="n">
        <x:v>2</x:v>
      </x:c>
      <x:c r="G669" t="str">
        <x:v>https://www.activesportstrade.co.uk/trade-pre-workout-supplements</x:v>
      </x:c>
      <x:c r="H669" t="str"/>
      <x:c r="I669" t="str">
        <x:v>Pending genuine supplier/brand image</x:v>
      </x:c>
    </x:row>
    <x:row r="670">
      <x:c r="A670" t="str">
        <x:v>Olimp</x:v>
      </x:c>
      <x:c r="B670" t="str">
        <x:v>CLA with Green Tea plus L-Carnitine</x:v>
      </x:c>
      <x:c r="C670" t="str">
        <x:v>Supplements</x:v>
      </x:c>
      <x:c r="D670" t="str">
        <x:v>Weight Management</x:v>
      </x:c>
      <x:c r="E670" t="str">
        <x:v>60 caps</x:v>
      </x:c>
      <x:c r="F670" t="n">
        <x:v>1</x:v>
      </x:c>
      <x:c r="G670" t="str">
        <x:v>https://www.activesportstrade.co.uk/Fat-Burners</x:v>
      </x:c>
      <x:c r="H670" t="str"/>
      <x:c r="I670" t="str">
        <x:v>Pending genuine supplier/brand image</x:v>
      </x:c>
    </x:row>
    <x:row r="671">
      <x:c r="A671" t="str">
        <x:v>Olimp</x:v>
      </x:c>
      <x:c r="B671" t="str">
        <x:v>Gold Vit C 1000</x:v>
      </x:c>
      <x:c r="C671" t="str">
        <x:v>Supplements</x:v>
      </x:c>
      <x:c r="D671" t="str">
        <x:v>Vitamins and Minerals</x:v>
      </x:c>
      <x:c r="E671" t="str">
        <x:v>60 caps</x:v>
      </x:c>
      <x:c r="F671" t="n">
        <x:v>1</x:v>
      </x:c>
      <x:c r="G671" t="str">
        <x:v>https://www.activesportstrade.co.uk/trade-sports-supplements/olimp-trade</x:v>
      </x:c>
      <x:c r="H671" t="str"/>
      <x:c r="I671" t="str">
        <x:v>Pending genuine supplier/brand image</x:v>
      </x:c>
    </x:row>
    <x:row r="672">
      <x:c r="A672" t="str">
        <x:v>Olimp</x:v>
      </x:c>
      <x:c r="B672" t="str">
        <x:v>Kolagen Activ Plus</x:v>
      </x:c>
      <x:c r="C672" t="str">
        <x:v>Supplements</x:v>
      </x:c>
      <x:c r="D672" t="str">
        <x:v>Collagen</x:v>
      </x:c>
      <x:c r="E672" t="str">
        <x:v>80 chewable tablets</x:v>
      </x:c>
      <x:c r="F672" t="n">
        <x:v>1</x:v>
      </x:c>
      <x:c r="G672" t="str">
        <x:v>https://www.activesportstrade.co.uk/Joint-Repair/norec</x:v>
      </x:c>
      <x:c r="H672" t="str"/>
      <x:c r="I672" t="str">
        <x:v>Pending genuine supplier/brand image</x:v>
      </x:c>
    </x:row>
    <x:row r="673">
      <x:c r="A673" t="str">
        <x:v>Olimp</x:v>
      </x:c>
      <x:c r="B673" t="str">
        <x:v>Kre-Alkalyn 2500 Mega Caps</x:v>
      </x:c>
      <x:c r="C673" t="str">
        <x:v>Supplements</x:v>
      </x:c>
      <x:c r="D673" t="str">
        <x:v>Creatine Capsules</x:v>
      </x:c>
      <x:c r="E673" t="str">
        <x:v>120 caps</x:v>
      </x:c>
      <x:c r="F673" t="n">
        <x:v>1</x:v>
      </x:c>
      <x:c r="G673" t="str">
        <x:v>https://www.activesportstrade.co.uk/trade-pre-workout-supplements</x:v>
      </x:c>
      <x:c r="H673" t="str"/>
      <x:c r="I673" t="str">
        <x:v>Pending genuine supplier/brand image</x:v>
      </x:c>
    </x:row>
    <x:row r="674">
      <x:c r="A674" t="str">
        <x:v>Olimp</x:v>
      </x:c>
      <x:c r="B674" t="str">
        <x:v>Thermo Speed Extreme 2.0</x:v>
      </x:c>
      <x:c r="C674" t="str">
        <x:v>Supplements</x:v>
      </x:c>
      <x:c r="D674" t="str">
        <x:v>Weight Management</x:v>
      </x:c>
      <x:c r="E674" t="str">
        <x:v>120 Mega Caps</x:v>
      </x:c>
      <x:c r="F674" t="n">
        <x:v>1</x:v>
      </x:c>
      <x:c r="G674" t="str">
        <x:v>https://www.activesportstrade.co.uk/Fat-Burners</x:v>
      </x:c>
      <x:c r="H674" t="str"/>
      <x:c r="I674" t="str">
        <x:v>Pending genuine supplier/brand image</x:v>
      </x:c>
    </x:row>
    <x:row r="675">
      <x:c r="A675" t="str">
        <x:v>Olimp</x:v>
      </x:c>
      <x:c r="B675" t="str">
        <x:v>Thermo Speed Hardcore Mega Caps</x:v>
      </x:c>
      <x:c r="C675" t="str">
        <x:v>Supplements</x:v>
      </x:c>
      <x:c r="D675" t="str">
        <x:v>Weight Management</x:v>
      </x:c>
      <x:c r="E675" t="str">
        <x:v>120 caps</x:v>
      </x:c>
      <x:c r="F675" t="n">
        <x:v>1</x:v>
      </x:c>
      <x:c r="G675" t="str">
        <x:v>https://www.activesportstrade.co.uk/Fat-Burners</x:v>
      </x:c>
      <x:c r="H675" t="str"/>
      <x:c r="I675" t="str">
        <x:v>Pending genuine supplier/brand image</x:v>
      </x:c>
    </x:row>
    <x:row r="676">
      <x:c r="A676" t="str">
        <x:v>Olimp</x:v>
      </x:c>
      <x:c r="B676" t="str">
        <x:v>Thermo Stim Hardcore</x:v>
      </x:c>
      <x:c r="C676" t="str">
        <x:v>Supplements</x:v>
      </x:c>
      <x:c r="D676" t="str">
        <x:v>Weight Management</x:v>
      </x:c>
      <x:c r="E676" t="str">
        <x:v>60 Mega Caps</x:v>
      </x:c>
      <x:c r="F676" t="n">
        <x:v>1</x:v>
      </x:c>
      <x:c r="G676" t="str">
        <x:v>https://www.activesportstrade.co.uk/Fat-Burners</x:v>
      </x:c>
      <x:c r="H676" t="str"/>
      <x:c r="I676" t="str">
        <x:v>Pending genuine supplier/brand image</x:v>
      </x:c>
    </x:row>
    <x:row r="677">
      <x:c r="A677" t="str">
        <x:v>Olimp</x:v>
      </x:c>
      <x:c r="B677" t="str">
        <x:v>Tribusteron 60</x:v>
      </x:c>
      <x:c r="C677" t="str">
        <x:v>Supplements</x:v>
      </x:c>
      <x:c r="D677" t="str">
        <x:v>Testosterone Support</x:v>
      </x:c>
      <x:c r="E677" t="str">
        <x:v>120 caps</x:v>
      </x:c>
      <x:c r="F677" t="n">
        <x:v>1</x:v>
      </x:c>
      <x:c r="G677" t="str">
        <x:v>https://www.activesportstrade.co.uk/testosterone-boosters-trade</x:v>
      </x:c>
      <x:c r="H677" t="str"/>
      <x:c r="I677" t="str">
        <x:v>Pending genuine supplier/brand image</x:v>
      </x:c>
    </x:row>
    <x:row r="678">
      <x:c r="A678" t="str">
        <x:v>Olimp</x:v>
      </x:c>
      <x:c r="B678" t="str">
        <x:v>Caffeine Kick</x:v>
      </x:c>
      <x:c r="C678" t="str">
        <x:v>Pre Workouts</x:v>
      </x:c>
      <x:c r="D678" t="str">
        <x:v>Stimulants</x:v>
      </x:c>
      <x:c r="E678" t="str">
        <x:v>60 caps</x:v>
      </x:c>
      <x:c r="F678" t="n">
        <x:v>1</x:v>
      </x:c>
      <x:c r="G678" t="str">
        <x:v>https://www.activesportstrade.co.uk/trade-pre-workout-supplements</x:v>
      </x:c>
      <x:c r="H678" t="str"/>
      <x:c r="I678" t="str">
        <x:v>Pending genuine supplier/brand image</x:v>
      </x:c>
    </x:row>
    <x:row r="679">
      <x:c r="A679" t="str">
        <x:v>Olimp</x:v>
      </x:c>
      <x:c r="B679" t="str">
        <x:v>Knockout 2.0 Pre Workout</x:v>
      </x:c>
      <x:c r="C679" t="str">
        <x:v>Pre Workouts</x:v>
      </x:c>
      <x:c r="D679" t="str">
        <x:v>High Stim</x:v>
      </x:c>
      <x:c r="E679" t="str">
        <x:v>50 servings</x:v>
      </x:c>
      <x:c r="F679" t="n">
        <x:v>4</x:v>
      </x:c>
      <x:c r="G679" t="str">
        <x:v>https://www.activesportstrade.co.uk/trade-pre-workout-supplements</x:v>
      </x:c>
      <x:c r="H679" t="str"/>
      <x:c r="I679" t="str">
        <x:v>Pending genuine supplier/brand image</x:v>
      </x:c>
    </x:row>
    <x:row r="680">
      <x:c r="A680" t="str">
        <x:v>Olimp</x:v>
      </x:c>
      <x:c r="B680" t="str">
        <x:v>Carni Tea Xplode Zero</x:v>
      </x:c>
      <x:c r="C680" t="str">
        <x:v>Drinks and Bars</x:v>
      </x:c>
      <x:c r="D680" t="str">
        <x:v>Ready to Drink Energy</x:v>
      </x:c>
      <x:c r="E680" t="str">
        <x:v>24 x 330ml cans</x:v>
      </x:c>
      <x:c r="F680" t="n">
        <x:v>1</x:v>
      </x:c>
      <x:c r="G680" t="str">
        <x:v>https://www.activesportstrade.co.uk/Diet-Weight-Loss</x:v>
      </x:c>
      <x:c r="H680" t="str"/>
      <x:c r="I680" t="str">
        <x:v>Pending genuine supplier/brand image</x:v>
      </x:c>
    </x:row>
    <x:row r="681">
      <x:c r="A681" t="str">
        <x:v>Olimp</x:v>
      </x:c>
      <x:c r="B681" t="str">
        <x:v>Gold Omega 3 Sport Edition</x:v>
      </x:c>
      <x:c r="C681" t="str">
        <x:v>Supplements</x:v>
      </x:c>
      <x:c r="D681" t="str">
        <x:v>Essential Fats</x:v>
      </x:c>
      <x:c r="E681" t="str">
        <x:v>120 caps</x:v>
      </x:c>
      <x:c r="F681" t="n">
        <x:v>1</x:v>
      </x:c>
      <x:c r="G681" t="str">
        <x:v>https://www.activesportstrade.co.uk/Joint-Repair/norec</x:v>
      </x:c>
      <x:c r="H681" t="str"/>
      <x:c r="I681" t="str">
        <x:v>Pending genuine supplier/brand image</x:v>
      </x:c>
    </x:row>
    <x:row r="682">
      <x:c r="A682" t="str">
        <x:v>Olimp</x:v>
      </x:c>
      <x:c r="B682" t="str">
        <x:v>Gold Omega 3 D3 + K2 Sports Edition</x:v>
      </x:c>
      <x:c r="C682" t="str">
        <x:v>Supplements</x:v>
      </x:c>
      <x:c r="D682" t="str">
        <x:v>Essential Fats</x:v>
      </x:c>
      <x:c r="E682" t="str">
        <x:v>60 caps</x:v>
      </x:c>
      <x:c r="F682" t="n">
        <x:v>1</x:v>
      </x:c>
      <x:c r="G682" t="str">
        <x:v>https://www.activesportstrade.co.uk/Joint-Repair/norec</x:v>
      </x:c>
      <x:c r="H682" t="str"/>
      <x:c r="I682" t="str">
        <x:v>Pending genuine supplier/brand image</x:v>
      </x:c>
    </x:row>
    <x:row r="683">
      <x:c r="A683" t="str">
        <x:v>Olimp</x:v>
      </x:c>
      <x:c r="B683" t="str">
        <x:v>Gold Beef Protein</x:v>
      </x:c>
      <x:c r="C683" t="str">
        <x:v>Supplements</x:v>
      </x:c>
      <x:c r="D683" t="str">
        <x:v>Protein Blends</x:v>
      </x:c>
      <x:c r="E683" t="str">
        <x:v>700g</x:v>
      </x:c>
      <x:c r="F683" t="n">
        <x:v>3</x:v>
      </x:c>
      <x:c r="G683" t="str">
        <x:v>https://www.activesportstrade.co.uk/Protein-Blends-Trade</x:v>
      </x:c>
      <x:c r="H683" t="str"/>
      <x:c r="I683" t="str">
        <x:v>Pending genuine supplier/brand image</x:v>
      </x:c>
    </x:row>
    <x:row r="684">
      <x:c r="A684" t="str">
        <x:v>Olimp</x:v>
      </x:c>
      <x:c r="B684" t="str">
        <x:v>Gloves - Profi</x:v>
      </x:c>
      <x:c r="C684" t="str">
        <x:v>Merch &amp; Apparel</x:v>
      </x:c>
      <x:c r="D684" t="str">
        <x:v>Training Accessories</x:v>
      </x:c>
      <x:c r="E684" t="str">
        <x:v>Size</x:v>
      </x:c>
      <x:c r="F684" t="n">
        <x:v>5</x:v>
      </x:c>
      <x:c r="G684" t="str">
        <x:v>https://www.activesportstrade.co.uk/Trade-Body-Building-Accessories</x:v>
      </x:c>
      <x:c r="H684" t="str"/>
      <x:c r="I684" t="str">
        <x:v>Pending genuine supplier/brand image</x:v>
      </x:c>
    </x:row>
    <x:row r="685">
      <x:c r="A685" t="str">
        <x:v>Olimp</x:v>
      </x:c>
      <x:c r="B685" t="str">
        <x:v>Profi Training Belt 6 Inch</x:v>
      </x:c>
      <x:c r="C685" t="str">
        <x:v>Merch &amp; Apparel</x:v>
      </x:c>
      <x:c r="D685" t="str">
        <x:v>Training Accessories</x:v>
      </x:c>
      <x:c r="E685" t="str">
        <x:v>Size</x:v>
      </x:c>
      <x:c r="F685" t="n">
        <x:v>3</x:v>
      </x:c>
      <x:c r="G685" t="str">
        <x:v>https://www.activesportstrade.co.uk/Trade-Body-Building-Accessories</x:v>
      </x:c>
      <x:c r="H685" t="str"/>
      <x:c r="I685" t="str">
        <x:v>Pending genuine supplier/brand image</x:v>
      </x:c>
    </x:row>
    <x:row r="686">
      <x:c r="A686" t="str">
        <x:v>Olimp</x:v>
      </x:c>
      <x:c r="B686" t="str">
        <x:v>Universal Competition Training Belt 4</x:v>
      </x:c>
      <x:c r="C686" t="str">
        <x:v>Merch &amp; Apparel</x:v>
      </x:c>
      <x:c r="D686" t="str">
        <x:v>Training Accessories</x:v>
      </x:c>
      <x:c r="E686" t="str">
        <x:v>Size</x:v>
      </x:c>
      <x:c r="F686" t="n">
        <x:v>2</x:v>
      </x:c>
      <x:c r="G686" t="str">
        <x:v>https://www.activesportstrade.co.uk/Trade-Body-Building-Accessories</x:v>
      </x:c>
      <x:c r="H686" t="str"/>
      <x:c r="I686" t="str">
        <x:v>Pending genuine supplier/brand image</x:v>
      </x:c>
    </x:row>
    <x:row r="687">
      <x:c r="A687" t="str">
        <x:v>Supplement Needs</x:v>
      </x:c>
      <x:c r="B687" t="str">
        <x:v>100% Creatine Monohydrate</x:v>
      </x:c>
      <x:c r="C687" t="str">
        <x:v>Supplements</x:v>
      </x:c>
      <x:c r="D687" t="str">
        <x:v>Creatine Powders</x:v>
      </x:c>
      <x:c r="E687" t="str">
        <x:v>500g</x:v>
      </x:c>
      <x:c r="F687" t="n">
        <x:v>1</x:v>
      </x:c>
      <x:c r="G687" t="str">
        <x:v>https://www.activesportstrade.co.uk/supplement-needs-trade</x:v>
      </x:c>
      <x:c r="H687" t="str"/>
      <x:c r="I687" t="str">
        <x:v>Pending genuine supplier/brand image</x:v>
      </x:c>
    </x:row>
    <x:row r="688">
      <x:c r="A688" t="str">
        <x:v>Supplement Needs</x:v>
      </x:c>
      <x:c r="B688" t="str">
        <x:v>100% Glutamine Powder</x:v>
      </x:c>
      <x:c r="C688" t="str">
        <x:v>Supplements</x:v>
      </x:c>
      <x:c r="D688" t="str">
        <x:v>L-Glutamine</x:v>
      </x:c>
      <x:c r="E688" t="str">
        <x:v>500g</x:v>
      </x:c>
      <x:c r="F688" t="n">
        <x:v>1</x:v>
      </x:c>
      <x:c r="G688" t="str">
        <x:v>https://www.activesportstrade.co.uk/supplement-needs-trade</x:v>
      </x:c>
      <x:c r="H688" t="str"/>
      <x:c r="I688" t="str">
        <x:v>Pending genuine supplier/brand image</x:v>
      </x:c>
    </x:row>
    <x:row r="689">
      <x:c r="A689" t="str">
        <x:v>Supplement Needs</x:v>
      </x:c>
      <x:c r="B689" t="str">
        <x:v>AM Priming Stack</x:v>
      </x:c>
      <x:c r="C689" t="str">
        <x:v>Supplements</x:v>
      </x:c>
      <x:c r="D689" t="str">
        <x:v>Health Foods</x:v>
      </x:c>
      <x:c r="E689" t="str">
        <x:v>120 caps</x:v>
      </x:c>
      <x:c r="F689" t="n">
        <x:v>1</x:v>
      </x:c>
      <x:c r="G689" t="str">
        <x:v>https://www.activesportstrade.co.uk/supplement-needs-trade</x:v>
      </x:c>
      <x:c r="H689" t="str"/>
      <x:c r="I689" t="str">
        <x:v>Pending genuine supplier/brand image</x:v>
      </x:c>
    </x:row>
    <x:row r="690">
      <x:c r="A690" t="str">
        <x:v>Supplement Needs</x:v>
      </x:c>
      <x:c r="B690" t="str">
        <x:v>Ashwagandha KSM-66</x:v>
      </x:c>
      <x:c r="C690" t="str">
        <x:v>Supplements</x:v>
      </x:c>
      <x:c r="D690" t="str">
        <x:v>Health Foods</x:v>
      </x:c>
      <x:c r="E690" t="str">
        <x:v>60 caps</x:v>
      </x:c>
      <x:c r="F690" t="n">
        <x:v>1</x:v>
      </x:c>
      <x:c r="G690" t="str">
        <x:v>https://www.activesportstrade.co.uk/supplement-needs-trade</x:v>
      </x:c>
      <x:c r="H690" t="str"/>
      <x:c r="I690" t="str">
        <x:v>Pending genuine supplier/brand image</x:v>
      </x:c>
    </x:row>
    <x:row r="691">
      <x:c r="A691" t="str">
        <x:v>Supplement Needs</x:v>
      </x:c>
      <x:c r="B691" t="str">
        <x:v>Beauty Essence</x:v>
      </x:c>
      <x:c r="C691" t="str">
        <x:v>Supplements</x:v>
      </x:c>
      <x:c r="D691" t="str">
        <x:v>Health Foods</x:v>
      </x:c>
      <x:c r="E691" t="str">
        <x:v>150ml</x:v>
      </x:c>
      <x:c r="F691" t="n">
        <x:v>1</x:v>
      </x:c>
      <x:c r="G691" t="str">
        <x:v>https://www.activesportstrade.co.uk/supplement-needs-trade</x:v>
      </x:c>
      <x:c r="H691" t="str"/>
      <x:c r="I691" t="str">
        <x:v>Pending genuine supplier/brand image</x:v>
      </x:c>
    </x:row>
    <x:row r="692">
      <x:c r="A692" t="str">
        <x:v>Supplement Needs</x:v>
      </x:c>
      <x:c r="B692" t="str">
        <x:v>Berberine HCL</x:v>
      </x:c>
      <x:c r="C692" t="str">
        <x:v>Supplements</x:v>
      </x:c>
      <x:c r="D692" t="str">
        <x:v>Health Foods</x:v>
      </x:c>
      <x:c r="E692" t="str">
        <x:v>60 caps</x:v>
      </x:c>
      <x:c r="F692" t="n">
        <x:v>1</x:v>
      </x:c>
      <x:c r="G692" t="str">
        <x:v>https://www.activesportstrade.co.uk/supplement-needs-trade</x:v>
      </x:c>
      <x:c r="H692" t="str"/>
      <x:c r="I692" t="str">
        <x:v>Pending genuine supplier/brand image</x:v>
      </x:c>
    </x:row>
    <x:row r="693">
      <x:c r="A693" t="str">
        <x:v>Supplement Needs</x:v>
      </x:c>
      <x:c r="B693" t="str">
        <x:v>Curcumin with Black Pepper Extract</x:v>
      </x:c>
      <x:c r="C693" t="str">
        <x:v>Supplements</x:v>
      </x:c>
      <x:c r="D693" t="str">
        <x:v>Health Foods</x:v>
      </x:c>
      <x:c r="E693" t="str">
        <x:v>120 caps, 240 caps</x:v>
      </x:c>
      <x:c r="F693" t="n">
        <x:v>2</x:v>
      </x:c>
      <x:c r="G693" t="str">
        <x:v>https://www.activesportstrade.co.uk/supplement-needs-trade</x:v>
      </x:c>
      <x:c r="H693" t="str"/>
      <x:c r="I693" t="str">
        <x:v>Pending genuine supplier/brand image</x:v>
      </x:c>
    </x:row>
    <x:row r="694">
      <x:c r="A694" t="str">
        <x:v>Supplement Needs</x:v>
      </x:c>
      <x:c r="B694" t="str">
        <x:v>Digestive Stack</x:v>
      </x:c>
      <x:c r="C694" t="str">
        <x:v>Supplements</x:v>
      </x:c>
      <x:c r="D694" t="str">
        <x:v>Digestive Health</x:v>
      </x:c>
      <x:c r="E694" t="str">
        <x:v>120 caps</x:v>
      </x:c>
      <x:c r="F694" t="n">
        <x:v>1</x:v>
      </x:c>
      <x:c r="G694" t="str">
        <x:v>https://www.activesportstrade.co.uk/supplement-needs-trade</x:v>
      </x:c>
      <x:c r="H694" t="str"/>
      <x:c r="I694" t="str">
        <x:v>Pending genuine supplier/brand image</x:v>
      </x:c>
    </x:row>
    <x:row r="695">
      <x:c r="A695" t="str">
        <x:v>Supplement Needs</x:v>
      </x:c>
      <x:c r="B695" t="str">
        <x:v>Fertility+</x:v>
      </x:c>
      <x:c r="C695" t="str">
        <x:v>Supplements</x:v>
      </x:c>
      <x:c r="D695" t="str">
        <x:v>Health Foods</x:v>
      </x:c>
      <x:c r="E695" t="str">
        <x:v>90 caps</x:v>
      </x:c>
      <x:c r="F695" t="n">
        <x:v>1</x:v>
      </x:c>
      <x:c r="G695" t="str">
        <x:v>https://www.activesportstrade.co.uk/supplement-needs-trade</x:v>
      </x:c>
      <x:c r="H695" t="str"/>
      <x:c r="I695" t="str">
        <x:v>Pending genuine supplier/brand image</x:v>
      </x:c>
    </x:row>
    <x:row r="696">
      <x:c r="A696" t="str">
        <x:v>Supplement Needs</x:v>
      </x:c>
      <x:c r="B696" t="str">
        <x:v>Focus +</x:v>
      </x:c>
      <x:c r="C696" t="str">
        <x:v>Supplements</x:v>
      </x:c>
      <x:c r="D696" t="str">
        <x:v>Nootropics</x:v>
      </x:c>
      <x:c r="E696" t="str">
        <x:v>30 servings</x:v>
      </x:c>
      <x:c r="F696" t="n">
        <x:v>2</x:v>
      </x:c>
      <x:c r="G696" t="str">
        <x:v>https://www.activesportstrade.co.uk/supplement-needs-trade</x:v>
      </x:c>
      <x:c r="H696" t="str"/>
      <x:c r="I696" t="str">
        <x:v>Pending genuine supplier/brand image</x:v>
      </x:c>
    </x:row>
    <x:row r="697">
      <x:c r="A697" t="str">
        <x:v>Supplement Needs</x:v>
      </x:c>
      <x:c r="B697" t="str">
        <x:v>Glucosamine &amp; Chondroitin</x:v>
      </x:c>
      <x:c r="C697" t="str">
        <x:v>Supplements</x:v>
      </x:c>
      <x:c r="D697" t="str">
        <x:v>Joint Support</x:v>
      </x:c>
      <x:c r="E697" t="str">
        <x:v>90 caps</x:v>
      </x:c>
      <x:c r="F697" t="n">
        <x:v>1</x:v>
      </x:c>
      <x:c r="G697" t="str">
        <x:v>https://www.activesportstrade.co.uk/supplement-needs-trade</x:v>
      </x:c>
      <x:c r="H697" t="str"/>
      <x:c r="I697" t="str">
        <x:v>Pending genuine supplier/brand image</x:v>
      </x:c>
    </x:row>
    <x:row r="698">
      <x:c r="A698" t="str">
        <x:v>Supplement Needs</x:v>
      </x:c>
      <x:c r="B698" t="str">
        <x:v>GlucOX</x:v>
      </x:c>
      <x:c r="C698" t="str">
        <x:v>Supplements</x:v>
      </x:c>
      <x:c r="D698" t="str">
        <x:v>Health Foods</x:v>
      </x:c>
      <x:c r="E698" t="str">
        <x:v>180 caps</x:v>
      </x:c>
      <x:c r="F698" t="n">
        <x:v>1</x:v>
      </x:c>
      <x:c r="G698" t="str">
        <x:v>https://www.activesportstrade.co.uk/supplement-needs-trade</x:v>
      </x:c>
      <x:c r="H698" t="str"/>
      <x:c r="I698" t="str">
        <x:v>Pending genuine supplier/brand image</x:v>
      </x:c>
    </x:row>
    <x:row r="699">
      <x:c r="A699" t="str">
        <x:v>Supplement Needs</x:v>
      </x:c>
      <x:c r="B699" t="str">
        <x:v>Greens</x:v>
      </x:c>
      <x:c r="C699" t="str">
        <x:v>Supplements</x:v>
      </x:c>
      <x:c r="D699" t="str">
        <x:v>Greens</x:v>
      </x:c>
      <x:c r="E699" t="str">
        <x:v>330g</x:v>
      </x:c>
      <x:c r="F699" t="n">
        <x:v>2</x:v>
      </x:c>
      <x:c r="G699" t="str">
        <x:v>https://www.activesportstrade.co.uk/supplement-needs-trade</x:v>
      </x:c>
      <x:c r="H699" t="str"/>
      <x:c r="I699" t="str">
        <x:v>Pending genuine supplier/brand image</x:v>
      </x:c>
    </x:row>
    <x:row r="700">
      <x:c r="A700" t="str">
        <x:v>Supplement Needs</x:v>
      </x:c>
      <x:c r="B700" t="str">
        <x:v>Gut Guard+</x:v>
      </x:c>
      <x:c r="C700" t="str">
        <x:v>Supplements</x:v>
      </x:c>
      <x:c r="D700" t="str">
        <x:v>Digestive Health</x:v>
      </x:c>
      <x:c r="E700" t="str">
        <x:v>240 caps</x:v>
      </x:c>
      <x:c r="F700" t="n">
        <x:v>1</x:v>
      </x:c>
      <x:c r="G700" t="str">
        <x:v>https://www.activesportstrade.co.uk/supplement-needs-trade</x:v>
      </x:c>
      <x:c r="H700" t="str"/>
      <x:c r="I700" t="str">
        <x:v>Pending genuine supplier/brand image</x:v>
      </x:c>
    </x:row>
    <x:row r="701">
      <x:c r="A701" t="str">
        <x:v>Supplement Needs</x:v>
      </x:c>
      <x:c r="B701" t="str">
        <x:v>H2OUT Caps</x:v>
      </x:c>
      <x:c r="C701" t="str">
        <x:v>Supplements</x:v>
      </x:c>
      <x:c r="D701" t="str">
        <x:v>Water Balance</x:v>
      </x:c>
      <x:c r="E701" t="str">
        <x:v>150 caps</x:v>
      </x:c>
      <x:c r="F701" t="n">
        <x:v>1</x:v>
      </x:c>
      <x:c r="G701" t="str">
        <x:v>https://www.activesportstrade.co.uk/supplement-needs-trade</x:v>
      </x:c>
      <x:c r="H701" t="str"/>
      <x:c r="I701" t="str">
        <x:v>Pending genuine supplier/brand image</x:v>
      </x:c>
    </x:row>
    <x:row r="702">
      <x:c r="A702" t="str">
        <x:v>Supplement Needs</x:v>
      </x:c>
      <x:c r="B702" t="str">
        <x:v>Heart Stack</x:v>
      </x:c>
      <x:c r="C702" t="str">
        <x:v>Supplements</x:v>
      </x:c>
      <x:c r="D702" t="str">
        <x:v>Heart Health</x:v>
      </x:c>
      <x:c r="E702" t="str">
        <x:v>180 caps</x:v>
      </x:c>
      <x:c r="F702" t="n">
        <x:v>1</x:v>
      </x:c>
      <x:c r="G702" t="str">
        <x:v>https://www.activesportstrade.co.uk/supplement-needs-trade</x:v>
      </x:c>
      <x:c r="H702" t="str"/>
      <x:c r="I702" t="str">
        <x:v>Pending genuine supplier/brand image</x:v>
      </x:c>
    </x:row>
    <x:row r="703">
      <x:c r="A703" t="str">
        <x:v>Supplement Needs</x:v>
      </x:c>
      <x:c r="B703" t="str">
        <x:v>High Strength Omega 3</x:v>
      </x:c>
      <x:c r="C703" t="str">
        <x:v>Supplements</x:v>
      </x:c>
      <x:c r="D703" t="str">
        <x:v>Essential Fats</x:v>
      </x:c>
      <x:c r="E703" t="str">
        <x:v>90 softgels</x:v>
      </x:c>
      <x:c r="F703" t="n">
        <x:v>1</x:v>
      </x:c>
      <x:c r="G703" t="str">
        <x:v>https://www.activesportstrade.co.uk/supplement-needs-trade</x:v>
      </x:c>
      <x:c r="H703" t="str"/>
      <x:c r="I703" t="str">
        <x:v>Pending genuine supplier/brand image</x:v>
      </x:c>
    </x:row>
    <x:row r="704">
      <x:c r="A704" t="str">
        <x:v>Supplement Needs</x:v>
      </x:c>
      <x:c r="B704" t="str">
        <x:v>ImmunoPro+</x:v>
      </x:c>
      <x:c r="C704" t="str">
        <x:v>Supplements</x:v>
      </x:c>
      <x:c r="D704" t="str">
        <x:v>Health Foods</x:v>
      </x:c>
      <x:c r="E704" t="str">
        <x:v>270 caps</x:v>
      </x:c>
      <x:c r="F704" t="n">
        <x:v>1</x:v>
      </x:c>
      <x:c r="G704" t="str">
        <x:v>https://www.activesportstrade.co.uk/supplement-needs-trade</x:v>
      </x:c>
      <x:c r="H704" t="str"/>
      <x:c r="I704" t="str">
        <x:v>Pending genuine supplier/brand image</x:v>
      </x:c>
    </x:row>
    <x:row r="705">
      <x:c r="A705" t="str">
        <x:v>Supplement Needs</x:v>
      </x:c>
      <x:c r="B705" t="str">
        <x:v>Joint Stack Caps</x:v>
      </x:c>
      <x:c r="C705" t="str">
        <x:v>Supplements</x:v>
      </x:c>
      <x:c r="D705" t="str">
        <x:v>Joint Support</x:v>
      </x:c>
      <x:c r="E705" t="str">
        <x:v>252 caps</x:v>
      </x:c>
      <x:c r="F705" t="n">
        <x:v>1</x:v>
      </x:c>
      <x:c r="G705" t="str">
        <x:v>https://www.activesportstrade.co.uk/supplement-needs-trade</x:v>
      </x:c>
      <x:c r="H705" t="str"/>
      <x:c r="I705" t="str">
        <x:v>Pending genuine supplier/brand image</x:v>
      </x:c>
    </x:row>
    <x:row r="706">
      <x:c r="A706" t="str">
        <x:v>Supplement Needs</x:v>
      </x:c>
      <x:c r="B706" t="str">
        <x:v>Kidney &amp; Blood Pressure Stack</x:v>
      </x:c>
      <x:c r="C706" t="str">
        <x:v>Supplements</x:v>
      </x:c>
      <x:c r="D706" t="str">
        <x:v>Health Foods</x:v>
      </x:c>
      <x:c r="E706" t="str">
        <x:v>30 servings, 240 caps</x:v>
      </x:c>
      <x:c r="F706" t="n">
        <x:v>2</x:v>
      </x:c>
      <x:c r="G706" t="str">
        <x:v>https://www.activesportstrade.co.uk/supplement-needs-trade</x:v>
      </x:c>
      <x:c r="H706" t="str"/>
      <x:c r="I706" t="str">
        <x:v>Pending genuine supplier/brand image</x:v>
      </x:c>
    </x:row>
    <x:row r="707">
      <x:c r="A707" t="str">
        <x:v>Supplement Needs</x:v>
      </x:c>
      <x:c r="B707" t="str">
        <x:v>Lipid +</x:v>
      </x:c>
      <x:c r="C707" t="str">
        <x:v>Supplements</x:v>
      </x:c>
      <x:c r="D707" t="str">
        <x:v>Heart Health</x:v>
      </x:c>
      <x:c r="E707" t="str">
        <x:v>90 caps</x:v>
      </x:c>
      <x:c r="F707" t="n">
        <x:v>1</x:v>
      </x:c>
      <x:c r="G707" t="str">
        <x:v>https://www.activesportstrade.co.uk/supplement-needs-trade</x:v>
      </x:c>
      <x:c r="H707" t="str"/>
      <x:c r="I707" t="str">
        <x:v>Pending genuine supplier/brand image</x:v>
      </x:c>
    </x:row>
    <x:row r="708">
      <x:c r="A708" t="str">
        <x:v>Supplement Needs</x:v>
      </x:c>
      <x:c r="B708" t="str">
        <x:v>Lipid Pro+</x:v>
      </x:c>
      <x:c r="C708" t="str">
        <x:v>Supplements</x:v>
      </x:c>
      <x:c r="D708" t="str">
        <x:v>Heart Health</x:v>
      </x:c>
      <x:c r="E708" t="str">
        <x:v>150 caps</x:v>
      </x:c>
      <x:c r="F708" t="n">
        <x:v>2</x:v>
      </x:c>
      <x:c r="G708" t="str">
        <x:v>https://www.activesportstrade.co.uk/supplement-needs-trade</x:v>
      </x:c>
      <x:c r="H708" t="str"/>
      <x:c r="I708" t="str">
        <x:v>Pending genuine supplier/brand image</x:v>
      </x:c>
    </x:row>
    <x:row r="709">
      <x:c r="A709" t="str">
        <x:v>Supplement Needs</x:v>
      </x:c>
      <x:c r="B709" t="str">
        <x:v>Liposomal CoQ10</x:v>
      </x:c>
      <x:c r="C709" t="str">
        <x:v>Supplements</x:v>
      </x:c>
      <x:c r="D709" t="str">
        <x:v>Health Foods</x:v>
      </x:c>
      <x:c r="E709" t="str">
        <x:v>150ml</x:v>
      </x:c>
      <x:c r="F709" t="n">
        <x:v>2</x:v>
      </x:c>
      <x:c r="G709" t="str">
        <x:v>https://www.activesportstrade.co.uk/supplement-needs-trade</x:v>
      </x:c>
      <x:c r="H709" t="str"/>
      <x:c r="I709" t="str">
        <x:v>Pending genuine supplier/brand image</x:v>
      </x:c>
    </x:row>
    <x:row r="710">
      <x:c r="A710" t="str">
        <x:v>Supplement Needs</x:v>
      </x:c>
      <x:c r="B710" t="str">
        <x:v>Magnesium Bisglycinate</x:v>
      </x:c>
      <x:c r="C710" t="str">
        <x:v>Supplements</x:v>
      </x:c>
      <x:c r="D710" t="str">
        <x:v>Vitamins and Minerals</x:v>
      </x:c>
      <x:c r="E710" t="str">
        <x:v>120 caps</x:v>
      </x:c>
      <x:c r="F710" t="n">
        <x:v>2</x:v>
      </x:c>
      <x:c r="G710" t="str">
        <x:v>https://www.activesportstrade.co.uk/supplement-needs-trade</x:v>
      </x:c>
      <x:c r="H710" t="str"/>
      <x:c r="I710" t="str">
        <x:v>Pending genuine supplier/brand image</x:v>
      </x:c>
    </x:row>
    <x:row r="711">
      <x:c r="A711" t="str">
        <x:v>Supplement Needs</x:v>
      </x:c>
      <x:c r="B711" t="str">
        <x:v>Multi Vitamin &amp; Mineral Pro</x:v>
      </x:c>
      <x:c r="C711" t="str">
        <x:v>Supplements</x:v>
      </x:c>
      <x:c r="D711" t="str">
        <x:v>Vitamins and Minerals</x:v>
      </x:c>
      <x:c r="E711" t="str">
        <x:v>30 caps, 60 caps</x:v>
      </x:c>
      <x:c r="F711" t="n">
        <x:v>4</x:v>
      </x:c>
      <x:c r="G711" t="str">
        <x:v>https://www.activesportstrade.co.uk/supplement-needs-trade</x:v>
      </x:c>
      <x:c r="H711" t="str"/>
      <x:c r="I711" t="str">
        <x:v>Pending genuine supplier/brand image</x:v>
      </x:c>
    </x:row>
    <x:row r="712">
      <x:c r="A712" t="str">
        <x:v>Supplement Needs</x:v>
      </x:c>
      <x:c r="B712" t="str">
        <x:v>Omega Femme</x:v>
      </x:c>
      <x:c r="C712" t="str">
        <x:v>Supplements</x:v>
      </x:c>
      <x:c r="D712" t="str">
        <x:v>Essential Fats</x:v>
      </x:c>
      <x:c r="E712" t="str">
        <x:v>120 caps</x:v>
      </x:c>
      <x:c r="F712" t="n">
        <x:v>2</x:v>
      </x:c>
      <x:c r="G712" t="str">
        <x:v>https://www.activesportstrade.co.uk/supplement-needs-trade</x:v>
      </x:c>
      <x:c r="H712" t="str"/>
      <x:c r="I712" t="str">
        <x:v>Pending genuine supplier/brand image</x:v>
      </x:c>
    </x:row>
    <x:row r="713">
      <x:c r="A713" t="str">
        <x:v>Supplement Needs</x:v>
      </x:c>
      <x:c r="B713" t="str">
        <x:v>Omega Pro+</x:v>
      </x:c>
      <x:c r="C713" t="str">
        <x:v>Supplements</x:v>
      </x:c>
      <x:c r="D713" t="str">
        <x:v>Essential Fats</x:v>
      </x:c>
      <x:c r="E713" t="str">
        <x:v>180 chews</x:v>
      </x:c>
      <x:c r="F713" t="n">
        <x:v>2</x:v>
      </x:c>
      <x:c r="G713" t="str">
        <x:v>https://www.activesportstrade.co.uk/supplement-needs-trade</x:v>
      </x:c>
      <x:c r="H713" t="str"/>
      <x:c r="I713" t="str">
        <x:v>Pending genuine supplier/brand image</x:v>
      </x:c>
    </x:row>
    <x:row r="714">
      <x:c r="A714" t="str">
        <x:v>Supplement Needs</x:v>
      </x:c>
      <x:c r="B714" t="str">
        <x:v>PCOS+</x:v>
      </x:c>
      <x:c r="C714" t="str">
        <x:v>Supplements</x:v>
      </x:c>
      <x:c r="D714" t="str">
        <x:v>Health Foods</x:v>
      </x:c>
      <x:c r="E714" t="str">
        <x:v>240 caps</x:v>
      </x:c>
      <x:c r="F714" t="n">
        <x:v>2</x:v>
      </x:c>
      <x:c r="G714" t="str">
        <x:v>https://www.activesportstrade.co.uk/supplement-needs-trade</x:v>
      </x:c>
      <x:c r="H714" t="str"/>
      <x:c r="I714" t="str">
        <x:v>Pending genuine supplier/brand image</x:v>
      </x:c>
    </x:row>
    <x:row r="715">
      <x:c r="A715" t="str">
        <x:v>Supplement Needs</x:v>
      </x:c>
      <x:c r="B715" t="str">
        <x:v>PM Priming Stack</x:v>
      </x:c>
      <x:c r="C715" t="str">
        <x:v>Supplements</x:v>
      </x:c>
      <x:c r="D715" t="str">
        <x:v>Health Foods</x:v>
      </x:c>
      <x:c r="E715" t="str">
        <x:v>30 servings</x:v>
      </x:c>
      <x:c r="F715" t="n">
        <x:v>1</x:v>
      </x:c>
      <x:c r="G715" t="str">
        <x:v>https://www.activesportstrade.co.uk/supplement-needs-trade</x:v>
      </x:c>
      <x:c r="H715" t="str"/>
      <x:c r="I715" t="str">
        <x:v>Pending genuine supplier/brand image</x:v>
      </x:c>
    </x:row>
    <x:row r="716">
      <x:c r="A716" t="str">
        <x:v>Supplement Needs</x:v>
      </x:c>
      <x:c r="B716" t="str">
        <x:v>PMS+</x:v>
      </x:c>
      <x:c r="C716" t="str">
        <x:v>Supplements</x:v>
      </x:c>
      <x:c r="D716" t="str">
        <x:v>Health Foods</x:v>
      </x:c>
      <x:c r="E716" t="str">
        <x:v>150 caps</x:v>
      </x:c>
      <x:c r="F716" t="n">
        <x:v>2</x:v>
      </x:c>
      <x:c r="G716" t="str">
        <x:v>https://www.activesportstrade.co.uk/supplement-needs-trade</x:v>
      </x:c>
      <x:c r="H716" t="str"/>
      <x:c r="I716" t="str">
        <x:v>Pending genuine supplier/brand image</x:v>
      </x:c>
    </x:row>
    <x:row r="717">
      <x:c r="A717" t="str">
        <x:v>Supplement Needs</x:v>
      </x:c>
      <x:c r="B717" t="str">
        <x:v>PQQ</x:v>
      </x:c>
      <x:c r="C717" t="str">
        <x:v>Supplements</x:v>
      </x:c>
      <x:c r="D717" t="str">
        <x:v>Health Foods</x:v>
      </x:c>
      <x:c r="E717" t="str">
        <x:v>60 tabs</x:v>
      </x:c>
      <x:c r="F717" t="n">
        <x:v>2</x:v>
      </x:c>
      <x:c r="G717" t="str">
        <x:v>https://www.activesportstrade.co.uk/supplement-needs-trade</x:v>
      </x:c>
      <x:c r="H717" t="str"/>
      <x:c r="I717" t="str">
        <x:v>Pending genuine supplier/brand image</x:v>
      </x:c>
    </x:row>
    <x:row r="718">
      <x:c r="A718" t="str">
        <x:v>Supplement Needs</x:v>
      </x:c>
      <x:c r="B718" t="str">
        <x:v>PRE Pump +</x:v>
      </x:c>
      <x:c r="C718" t="str">
        <x:v>Pre Workouts</x:v>
      </x:c>
      <x:c r="D718" t="str">
        <x:v>Pre Workout</x:v>
      </x:c>
      <x:c r="E718" t="str">
        <x:v>30 servings</x:v>
      </x:c>
      <x:c r="F718" t="n">
        <x:v>3</x:v>
      </x:c>
      <x:c r="G718" t="str">
        <x:v>https://www.activesportstrade.co.uk/supplement-needs-trade</x:v>
      </x:c>
      <x:c r="H718" t="str"/>
      <x:c r="I718" t="str">
        <x:v>Pending genuine supplier/brand image</x:v>
      </x:c>
    </x:row>
    <x:row r="719">
      <x:c r="A719" t="str">
        <x:v>Supplement Needs</x:v>
      </x:c>
      <x:c r="B719" t="str">
        <x:v>Pre Stim +</x:v>
      </x:c>
      <x:c r="C719" t="str">
        <x:v>Pre Workouts</x:v>
      </x:c>
      <x:c r="D719" t="str">
        <x:v>Pre Workout</x:v>
      </x:c>
      <x:c r="E719" t="str">
        <x:v>30 servings</x:v>
      </x:c>
      <x:c r="F719" t="n">
        <x:v>3</x:v>
      </x:c>
      <x:c r="G719" t="str">
        <x:v>https://www.activesportstrade.co.uk/supplement-needs-trade</x:v>
      </x:c>
      <x:c r="H719" t="str"/>
      <x:c r="I719" t="str">
        <x:v>Pending genuine supplier/brand image</x:v>
      </x:c>
    </x:row>
    <x:row r="720">
      <x:c r="A720" t="str">
        <x:v>Supplement Needs</x:v>
      </x:c>
      <x:c r="B720" t="str">
        <x:v>Thyroid Stack</x:v>
      </x:c>
      <x:c r="C720" t="str">
        <x:v>Supplements</x:v>
      </x:c>
      <x:c r="D720" t="str">
        <x:v>Health Foods</x:v>
      </x:c>
      <x:c r="E720" t="str">
        <x:v>90 caps</x:v>
      </x:c>
      <x:c r="F720" t="n">
        <x:v>2</x:v>
      </x:c>
      <x:c r="G720" t="str">
        <x:v>https://www.activesportstrade.co.uk/supplement-needs-trade</x:v>
      </x:c>
      <x:c r="H720" t="str"/>
      <x:c r="I720" t="str">
        <x:v>Pending genuine supplier/brand image</x:v>
      </x:c>
    </x:row>
    <x:row r="721">
      <x:c r="A721" t="str">
        <x:v>Supplement Needs</x:v>
      </x:c>
      <x:c r="B721" t="str">
        <x:v>Tudca + NAC</x:v>
      </x:c>
      <x:c r="C721" t="str">
        <x:v>Supplements</x:v>
      </x:c>
      <x:c r="D721" t="str">
        <x:v>Liver Support</x:v>
      </x:c>
      <x:c r="E721" t="str">
        <x:v>90 caps</x:v>
      </x:c>
      <x:c r="F721" t="n">
        <x:v>2</x:v>
      </x:c>
      <x:c r="G721" t="str">
        <x:v>https://www.activesportstrade.co.uk/supplement-needs-trade</x:v>
      </x:c>
      <x:c r="H721" t="str"/>
      <x:c r="I721" t="str">
        <x:v>Pending genuine supplier/brand image</x:v>
      </x:c>
    </x:row>
    <x:row r="722">
      <x:c r="A722" t="str">
        <x:v>Supplement Needs</x:v>
      </x:c>
      <x:c r="B722" t="str">
        <x:v>Vitamin B Complex</x:v>
      </x:c>
      <x:c r="C722" t="str">
        <x:v>Supplements</x:v>
      </x:c>
      <x:c r="D722" t="str">
        <x:v>Vitamins and Minerals</x:v>
      </x:c>
      <x:c r="E722" t="str">
        <x:v>120 tabs</x:v>
      </x:c>
      <x:c r="F722" t="n">
        <x:v>2</x:v>
      </x:c>
      <x:c r="G722" t="str">
        <x:v>https://www.activesportstrade.co.uk/supplement-needs-trade</x:v>
      </x:c>
      <x:c r="H722" t="str"/>
      <x:c r="I722" t="str">
        <x:v>Pending genuine supplier/brand image</x:v>
      </x:c>
    </x:row>
    <x:row r="723">
      <x:c r="A723" t="str">
        <x:v>Supplement Needs</x:v>
      </x:c>
      <x:c r="B723" t="str">
        <x:v>Vitamin C</x:v>
      </x:c>
      <x:c r="C723" t="str">
        <x:v>Supplements</x:v>
      </x:c>
      <x:c r="D723" t="str">
        <x:v>Vitamins and Minerals</x:v>
      </x:c>
      <x:c r="E723" t="str">
        <x:v>300g</x:v>
      </x:c>
      <x:c r="F723" t="n">
        <x:v>1</x:v>
      </x:c>
      <x:c r="G723" t="str">
        <x:v>https://www.activesportstrade.co.uk/supplement-needs-trade</x:v>
      </x:c>
      <x:c r="H723" t="str"/>
      <x:c r="I723" t="str">
        <x:v>Pending genuine supplier/brand image</x:v>
      </x:c>
    </x:row>
    <x:row r="724">
      <x:c r="A724" t="str">
        <x:v>Supplement Needs</x:v>
      </x:c>
      <x:c r="B724" t="str">
        <x:v>Vitamin D3 + K2</x:v>
      </x:c>
      <x:c r="C724" t="str">
        <x:v>Supplements</x:v>
      </x:c>
      <x:c r="D724" t="str">
        <x:v>Vitamins and Minerals</x:v>
      </x:c>
      <x:c r="E724" t="str">
        <x:v>120 tablets</x:v>
      </x:c>
      <x:c r="F724" t="n">
        <x:v>2</x:v>
      </x:c>
      <x:c r="G724" t="str">
        <x:v>https://www.activesportstrade.co.uk/supplement-needs-trade</x:v>
      </x:c>
      <x:c r="H724" t="str"/>
      <x:c r="I724" t="str">
        <x:v>Pending genuine supplier/brand image</x:v>
      </x:c>
    </x:row>
    <x:row r="725">
      <x:c r="A725" t="str">
        <x:v>Supplement Needs</x:v>
      </x:c>
      <x:c r="B725" t="str">
        <x:v>Vitamin D3</x:v>
      </x:c>
      <x:c r="C725" t="str">
        <x:v>Supplements</x:v>
      </x:c>
      <x:c r="D725" t="str">
        <x:v>Vitamins and Minerals</x:v>
      </x:c>
      <x:c r="E725" t="str">
        <x:v>120 tablets</x:v>
      </x:c>
      <x:c r="F725" t="n">
        <x:v>2</x:v>
      </x:c>
      <x:c r="G725" t="str">
        <x:v>https://www.activesportstrade.co.uk/supplement-needs-trade</x:v>
      </x:c>
      <x:c r="H725" t="str"/>
      <x:c r="I725" t="str">
        <x:v>Pending genuine supplier/brand image</x:v>
      </x:c>
    </x:row>
    <x:row r="726">
      <x:c r="A726" t="str">
        <x:v>Supplement Needs</x:v>
      </x:c>
      <x:c r="B726" t="str">
        <x:v>Vitamin K2</x:v>
      </x:c>
      <x:c r="C726" t="str">
        <x:v>Supplements</x:v>
      </x:c>
      <x:c r="D726" t="str">
        <x:v>Vitamins and Minerals</x:v>
      </x:c>
      <x:c r="E726" t="str">
        <x:v>120 tabs</x:v>
      </x:c>
      <x:c r="F726" t="n">
        <x:v>2</x:v>
      </x:c>
      <x:c r="G726" t="str">
        <x:v>https://www.activesportstrade.co.uk/supplement-needs-trade</x:v>
      </x:c>
      <x:c r="H726" t="str"/>
      <x:c r="I726" t="str">
        <x:v>Pending genuine supplier/brand image</x:v>
      </x:c>
    </x:row>
    <x:row r="727">
      <x:c r="A727" t="str">
        <x:v>Per4m Nutrition</x:v>
      </x:c>
      <x:c r="B727" t="str">
        <x:v>Advanced Curcumin</x:v>
      </x:c>
      <x:c r="C727" t="str">
        <x:v>Supplements</x:v>
      </x:c>
      <x:c r="D727" t="str">
        <x:v>Joint Support</x:v>
      </x:c>
      <x:c r="E727" t="str">
        <x:v>60 caps</x:v>
      </x:c>
      <x:c r="F727" t="n">
        <x:v>1</x:v>
      </x:c>
      <x:c r="G727" t="str">
        <x:v>https://www.activesportstrade.co.uk/per4m-nutrition-trade</x:v>
      </x:c>
      <x:c r="H727" t="str"/>
      <x:c r="I727" t="str">
        <x:v>Pending genuine supplier/brand image</x:v>
      </x:c>
    </x:row>
    <x:row r="728">
      <x:c r="A728" t="str">
        <x:v>Per4m Nutrition</x:v>
      </x:c>
      <x:c r="B728" t="str">
        <x:v>Advanced Gut Health</x:v>
      </x:c>
      <x:c r="C728" t="str">
        <x:v>Supplements</x:v>
      </x:c>
      <x:c r="D728" t="str">
        <x:v>Digestive Health</x:v>
      </x:c>
      <x:c r="E728" t="str">
        <x:v>30 caps</x:v>
      </x:c>
      <x:c r="F728" t="n">
        <x:v>1</x:v>
      </x:c>
      <x:c r="G728" t="str">
        <x:v>https://www.activesportstrade.co.uk/per4m-nutrition-trade</x:v>
      </x:c>
      <x:c r="H728" t="str"/>
      <x:c r="I728" t="str">
        <x:v>Pending genuine supplier/brand image</x:v>
      </x:c>
    </x:row>
    <x:row r="729">
      <x:c r="A729" t="str">
        <x:v>Per4m Nutrition</x:v>
      </x:c>
      <x:c r="B729" t="str">
        <x:v>Advanced Magnesium Bisglycinate</x:v>
      </x:c>
      <x:c r="C729" t="str">
        <x:v>Supplements</x:v>
      </x:c>
      <x:c r="D729" t="str">
        <x:v>Vitamins and Minerals</x:v>
      </x:c>
      <x:c r="E729" t="str">
        <x:v>120 caps</x:v>
      </x:c>
      <x:c r="F729" t="n">
        <x:v>1</x:v>
      </x:c>
      <x:c r="G729" t="str">
        <x:v>https://www.activesportstrade.co.uk/per4m-nutrition-trade</x:v>
      </x:c>
      <x:c r="H729" t="str"/>
      <x:c r="I729" t="str">
        <x:v>Pending genuine supplier/brand image</x:v>
      </x:c>
    </x:row>
    <x:row r="730">
      <x:c r="A730" t="str">
        <x:v>Per4m Nutrition</x:v>
      </x:c>
      <x:c r="B730" t="str">
        <x:v>Advanced Omega-3</x:v>
      </x:c>
      <x:c r="C730" t="str">
        <x:v>Supplements</x:v>
      </x:c>
      <x:c r="D730" t="str">
        <x:v>Essential Fats</x:v>
      </x:c>
      <x:c r="E730" t="str">
        <x:v>90 softgels</x:v>
      </x:c>
      <x:c r="F730" t="n">
        <x:v>1</x:v>
      </x:c>
      <x:c r="G730" t="str">
        <x:v>https://www.activesportstrade.co.uk/per4m-nutrition-trade</x:v>
      </x:c>
      <x:c r="H730" t="str"/>
      <x:c r="I730" t="str">
        <x:v>Pending genuine supplier/brand image</x:v>
      </x:c>
    </x:row>
    <x:row r="731">
      <x:c r="A731" t="str">
        <x:v>Per4m Nutrition</x:v>
      </x:c>
      <x:c r="B731" t="str">
        <x:v>Sleep</x:v>
      </x:c>
      <x:c r="C731" t="str">
        <x:v>Supplements</x:v>
      </x:c>
      <x:c r="D731" t="str">
        <x:v>Sleep Support</x:v>
      </x:c>
      <x:c r="E731" t="str">
        <x:v>120 caps</x:v>
      </x:c>
      <x:c r="F731" t="n">
        <x:v>1</x:v>
      </x:c>
      <x:c r="G731" t="str">
        <x:v>https://www.activesportstrade.co.uk/per4m-nutrition-trade</x:v>
      </x:c>
      <x:c r="H731" t="str"/>
      <x:c r="I731" t="str">
        <x:v>Pending genuine supplier/brand image</x:v>
      </x:c>
    </x:row>
    <x:row r="732">
      <x:c r="A732" t="str">
        <x:v>Per4m Nutrition</x:v>
      </x:c>
      <x:c r="B732" t="str">
        <x:v>Relax - Stress Support</x:v>
      </x:c>
      <x:c r="C732" t="str">
        <x:v>Supplements</x:v>
      </x:c>
      <x:c r="D732" t="str">
        <x:v>Stress Support</x:v>
      </x:c>
      <x:c r="E732" t="str">
        <x:v>357g</x:v>
      </x:c>
      <x:c r="F732" t="n">
        <x:v>1</x:v>
      </x:c>
      <x:c r="G732" t="str">
        <x:v>https://www.activesportstrade.co.uk/per4m-nutrition-trade</x:v>
      </x:c>
      <x:c r="H732" t="str"/>
      <x:c r="I732" t="str">
        <x:v>Pending genuine supplier/brand image</x:v>
      </x:c>
    </x:row>
    <x:row r="733">
      <x:c r="A733" t="str">
        <x:v>Per4m Nutrition</x:v>
      </x:c>
      <x:c r="B733" t="str">
        <x:v>Advanced Protein</x:v>
      </x:c>
      <x:c r="C733" t="str">
        <x:v>Supplements</x:v>
      </x:c>
      <x:c r="D733" t="str">
        <x:v>Protein Blends</x:v>
      </x:c>
      <x:c r="E733" t="str">
        <x:v>1.8kg, 800g</x:v>
      </x:c>
      <x:c r="F733" t="n">
        <x:v>24</x:v>
      </x:c>
      <x:c r="G733" t="str">
        <x:v>https://www.activesportstrade.co.uk/per4m-nutrition-trade</x:v>
      </x:c>
      <x:c r="H733" t="str"/>
      <x:c r="I733" t="str">
        <x:v>Pending genuine supplier/brand image</x:v>
      </x:c>
    </x:row>
    <x:row r="734">
      <x:c r="A734" t="str">
        <x:v>Per4m Nutrition</x:v>
      </x:c>
      <x:c r="B734" t="str">
        <x:v>Amino Burn</x:v>
      </x:c>
      <x:c r="C734" t="str">
        <x:v>Supplements</x:v>
      </x:c>
      <x:c r="D734" t="str">
        <x:v>Amino Acids</x:v>
      </x:c>
      <x:c r="E734" t="str">
        <x:v>240g</x:v>
      </x:c>
      <x:c r="F734" t="n">
        <x:v>3</x:v>
      </x:c>
      <x:c r="G734" t="str">
        <x:v>https://www.activesportstrade.co.uk/per4m-nutrition-trade</x:v>
      </x:c>
      <x:c r="H734" t="str"/>
      <x:c r="I734" t="str">
        <x:v>Pending genuine supplier/brand image</x:v>
      </x:c>
    </x:row>
    <x:row r="735">
      <x:c r="A735" t="str">
        <x:v>Per4m Nutrition</x:v>
      </x:c>
      <x:c r="B735" t="str">
        <x:v>Collagen Multi-Blend</x:v>
      </x:c>
      <x:c r="C735" t="str">
        <x:v>Supplements</x:v>
      </x:c>
      <x:c r="D735" t="str">
        <x:v>Collagen</x:v>
      </x:c>
      <x:c r="E735" t="str">
        <x:v>360g</x:v>
      </x:c>
      <x:c r="F735" t="n">
        <x:v>4</x:v>
      </x:c>
      <x:c r="G735" t="str">
        <x:v>https://www.activesportstrade.co.uk/per4m-nutrition-trade</x:v>
      </x:c>
      <x:c r="H735" t="str"/>
      <x:c r="I735" t="str">
        <x:v>Pending genuine supplier/brand image</x:v>
      </x:c>
    </x:row>
    <x:row r="736">
      <x:c r="A736" t="str">
        <x:v>Per4m Nutrition</x:v>
      </x:c>
      <x:c r="B736" t="str">
        <x:v>Cream of Rice</x:v>
      </x:c>
      <x:c r="C736" t="str">
        <x:v>Food &amp; Drinks</x:v>
      </x:c>
      <x:c r="D736" t="str">
        <x:v>Carbohydrate Foods</x:v>
      </x:c>
      <x:c r="E736" t="str">
        <x:v>450g</x:v>
      </x:c>
      <x:c r="F736" t="n">
        <x:v>16</x:v>
      </x:c>
      <x:c r="G736" t="str">
        <x:v>https://www.activesportstrade.co.uk/per4m-nutrition-trade</x:v>
      </x:c>
      <x:c r="H736" t="str"/>
      <x:c r="I736" t="str">
        <x:v>Pending genuine supplier/brand image</x:v>
      </x:c>
    </x:row>
    <x:row r="737">
      <x:c r="A737" t="str">
        <x:v>Per4m Nutrition</x:v>
      </x:c>
      <x:c r="B737" t="str">
        <x:v>Creatine 100% Pure Micronised</x:v>
      </x:c>
      <x:c r="C737" t="str">
        <x:v>Supplements</x:v>
      </x:c>
      <x:c r="D737" t="str">
        <x:v>Creatine Powders</x:v>
      </x:c>
      <x:c r="E737" t="str">
        <x:v>400g</x:v>
      </x:c>
      <x:c r="F737" t="n">
        <x:v>1</x:v>
      </x:c>
      <x:c r="G737" t="str">
        <x:v>https://www.activesportstrade.co.uk/per4m-nutrition-trade</x:v>
      </x:c>
      <x:c r="H737" t="str"/>
      <x:c r="I737" t="str">
        <x:v>Pending genuine supplier/brand image</x:v>
      </x:c>
    </x:row>
    <x:row r="738">
      <x:c r="A738" t="str">
        <x:v>Per4m Nutrition</x:v>
      </x:c>
      <x:c r="B738" t="str">
        <x:v>Creatine Capsules</x:v>
      </x:c>
      <x:c r="C738" t="str">
        <x:v>Supplements</x:v>
      </x:c>
      <x:c r="D738" t="str">
        <x:v>Creatine Capsules</x:v>
      </x:c>
      <x:c r="E738" t="str">
        <x:v>90 caps</x:v>
      </x:c>
      <x:c r="F738" t="n">
        <x:v>1</x:v>
      </x:c>
      <x:c r="G738" t="str">
        <x:v>https://www.activesportstrade.co.uk/per4m-nutrition-trade</x:v>
      </x:c>
      <x:c r="H738" t="str"/>
      <x:c r="I738" t="str">
        <x:v>Pending genuine supplier/brand image</x:v>
      </x:c>
    </x:row>
    <x:row r="739">
      <x:c r="A739" t="str">
        <x:v>Per4m Nutrition</x:v>
      </x:c>
      <x:c r="B739" t="str">
        <x:v>Creatine Gummies</x:v>
      </x:c>
      <x:c r="C739" t="str">
        <x:v>Supplements</x:v>
      </x:c>
      <x:c r="D739" t="str">
        <x:v>Creatine</x:v>
      </x:c>
      <x:c r="E739" t="str">
        <x:v>25 servings</x:v>
      </x:c>
      <x:c r="F739" t="n">
        <x:v>3</x:v>
      </x:c>
      <x:c r="G739" t="str">
        <x:v>https://www.activesportstrade.co.uk/per4m-nutrition-trade</x:v>
      </x:c>
      <x:c r="H739" t="str"/>
      <x:c r="I739" t="str">
        <x:v>Pending genuine supplier/brand image</x:v>
      </x:c>
    </x:row>
    <x:row r="740">
      <x:c r="A740" t="str">
        <x:v>Per4m Nutrition</x:v>
      </x:c>
      <x:c r="B740" t="str">
        <x:v>Energy Pre Workout</x:v>
      </x:c>
      <x:c r="C740" t="str">
        <x:v>Pre Workouts</x:v>
      </x:c>
      <x:c r="D740" t="str">
        <x:v>Pre Workout</x:v>
      </x:c>
      <x:c r="E740" t="str">
        <x:v>60 servings</x:v>
      </x:c>
      <x:c r="F740" t="n">
        <x:v>11</x:v>
      </x:c>
      <x:c r="G740" t="str">
        <x:v>https://www.activesportstrade.co.uk/per4m-nutrition-trade</x:v>
      </x:c>
      <x:c r="H740" t="str"/>
      <x:c r="I740" t="str">
        <x:v>Pending genuine supplier/brand image</x:v>
      </x:c>
    </x:row>
    <x:row r="741">
      <x:c r="A741" t="str">
        <x:v>Per4m Nutrition</x:v>
      </x:c>
      <x:c r="B741" t="str">
        <x:v>Energy Pre Workout Shots</x:v>
      </x:c>
      <x:c r="C741" t="str">
        <x:v>Pre Workouts</x:v>
      </x:c>
      <x:c r="D741" t="str">
        <x:v>Shots and Ready To Drink</x:v>
      </x:c>
      <x:c r="E741" t="str">
        <x:v>12 x 100ml</x:v>
      </x:c>
      <x:c r="F741" t="n">
        <x:v>4</x:v>
      </x:c>
      <x:c r="G741" t="str">
        <x:v>https://www.activesportstrade.co.uk/per4m-nutrition-trade</x:v>
      </x:c>
      <x:c r="H741" t="str"/>
      <x:c r="I741" t="str">
        <x:v>Pending genuine supplier/brand image</x:v>
      </x:c>
    </x:row>
    <x:row r="742">
      <x:c r="A742" t="str">
        <x:v>Per4m Nutrition</x:v>
      </x:c>
      <x:c r="B742" t="str">
        <x:v>Flavour Powder</x:v>
      </x:c>
      <x:c r="C742" t="str">
        <x:v>Food &amp; Drinks</x:v>
      </x:c>
      <x:c r="D742" t="str">
        <x:v>Flavouring</x:v>
      </x:c>
      <x:c r="E742" t="str">
        <x:v>150g</x:v>
      </x:c>
      <x:c r="F742" t="n">
        <x:v>6</x:v>
      </x:c>
      <x:c r="G742" t="str">
        <x:v>https://www.activesportstrade.co.uk/per4m-nutrition-trade</x:v>
      </x:c>
      <x:c r="H742" t="str"/>
      <x:c r="I742" t="str">
        <x:v>Pending genuine supplier/brand image</x:v>
      </x:c>
    </x:row>
    <x:row r="743">
      <x:c r="A743" t="str">
        <x:v>Per4m Nutrition</x:v>
      </x:c>
      <x:c r="B743" t="str">
        <x:v>Glutamine</x:v>
      </x:c>
      <x:c r="C743" t="str">
        <x:v>Supplements</x:v>
      </x:c>
      <x:c r="D743" t="str">
        <x:v>L-Glutamine</x:v>
      </x:c>
      <x:c r="E743" t="str">
        <x:v>400g</x:v>
      </x:c>
      <x:c r="F743" t="n">
        <x:v>1</x:v>
      </x:c>
      <x:c r="G743" t="str">
        <x:v>https://www.activesportstrade.co.uk/per4m-nutrition-trade</x:v>
      </x:c>
      <x:c r="H743" t="str"/>
      <x:c r="I743" t="str">
        <x:v>Pending genuine supplier/brand image</x:v>
      </x:c>
    </x:row>
    <x:row r="744">
      <x:c r="A744" t="str">
        <x:v>Per4m Nutrition</x:v>
      </x:c>
      <x:c r="B744" t="str">
        <x:v>Greens</x:v>
      </x:c>
      <x:c r="C744" t="str">
        <x:v>Supplements</x:v>
      </x:c>
      <x:c r="D744" t="str">
        <x:v>Greens</x:v>
      </x:c>
      <x:c r="E744" t="str">
        <x:v>30 servings</x:v>
      </x:c>
      <x:c r="F744" t="n">
        <x:v>4</x:v>
      </x:c>
      <x:c r="G744" t="str">
        <x:v>https://www.activesportstrade.co.uk/per4m-nutrition-trade</x:v>
      </x:c>
      <x:c r="H744" t="str"/>
      <x:c r="I744" t="str">
        <x:v>Pending genuine supplier/brand image</x:v>
      </x:c>
    </x:row>
    <x:row r="745">
      <x:c r="A745" t="str">
        <x:v>Per4m Nutrition</x:v>
      </x:c>
      <x:c r="B745" t="str">
        <x:v>Plant Protein</x:v>
      </x:c>
      <x:c r="C745" t="str">
        <x:v>Supplements</x:v>
      </x:c>
      <x:c r="D745" t="str">
        <x:v>Vegan Protein</x:v>
      </x:c>
      <x:c r="E745" t="str">
        <x:v>900g, 2kg</x:v>
      </x:c>
      <x:c r="F745" t="n">
        <x:v>17</x:v>
      </x:c>
      <x:c r="G745" t="str">
        <x:v>https://www.activesportstrade.co.uk/per4m-nutrition-trade</x:v>
      </x:c>
      <x:c r="H745" t="str"/>
      <x:c r="I745" t="str">
        <x:v>Pending genuine supplier/brand image</x:v>
      </x:c>
    </x:row>
    <x:row r="746">
      <x:c r="A746" t="str">
        <x:v>Per4m Nutrition</x:v>
      </x:c>
      <x:c r="B746" t="str">
        <x:v>PRE</x:v>
      </x:c>
      <x:c r="C746" t="str">
        <x:v>Pre Workouts</x:v>
      </x:c>
      <x:c r="D746" t="str">
        <x:v>Pre Workout</x:v>
      </x:c>
      <x:c r="E746" t="str">
        <x:v>570g</x:v>
      </x:c>
      <x:c r="F746" t="n">
        <x:v>14</x:v>
      </x:c>
      <x:c r="G746" t="str">
        <x:v>https://www.activesportstrade.co.uk/per4m-nutrition-trade</x:v>
      </x:c>
      <x:c r="H746" t="str"/>
      <x:c r="I746" t="str">
        <x:v>Pending genuine supplier/brand image</x:v>
      </x:c>
    </x:row>
    <x:row r="747">
      <x:c r="A747" t="str">
        <x:v>Per4m Nutrition</x:v>
      </x:c>
      <x:c r="B747" t="str">
        <x:v>Protein Bar</x:v>
      </x:c>
      <x:c r="C747" t="str">
        <x:v>Food &amp; Drinks</x:v>
      </x:c>
      <x:c r="D747" t="str">
        <x:v>Bars and Snacks</x:v>
      </x:c>
      <x:c r="E747" t="str">
        <x:v>12 x 62g</x:v>
      </x:c>
      <x:c r="F747" t="n">
        <x:v>13</x:v>
      </x:c>
      <x:c r="G747" t="str">
        <x:v>https://www.activesportstrade.co.uk/per4m-nutrition-trade</x:v>
      </x:c>
      <x:c r="H747" t="str"/>
      <x:c r="I747" t="str">
        <x:v>Pending genuine supplier/brand image</x:v>
      </x:c>
    </x:row>
    <x:row r="748">
      <x:c r="A748" t="str">
        <x:v>Per4m Nutrition</x:v>
      </x:c>
      <x:c r="B748" t="str">
        <x:v>Protein Crunchies</x:v>
      </x:c>
      <x:c r="C748" t="str">
        <x:v>Food &amp; Drinks</x:v>
      </x:c>
      <x:c r="D748" t="str">
        <x:v>Bars and Snacks</x:v>
      </x:c>
      <x:c r="E748" t="str">
        <x:v>200g</x:v>
      </x:c>
      <x:c r="F748" t="n">
        <x:v>1</x:v>
      </x:c>
      <x:c r="G748" t="str">
        <x:v>https://www.activesportstrade.co.uk/per4m-nutrition-trade</x:v>
      </x:c>
      <x:c r="H748" t="str"/>
      <x:c r="I748" t="str">
        <x:v>Pending genuine supplier/brand image</x:v>
      </x:c>
    </x:row>
    <x:row r="749">
      <x:c r="A749" t="str">
        <x:v>Per4m Nutrition</x:v>
      </x:c>
      <x:c r="B749" t="str">
        <x:v>Protein Pancakes</x:v>
      </x:c>
      <x:c r="C749" t="str">
        <x:v>Food &amp; Drinks</x:v>
      </x:c>
      <x:c r="D749" t="str">
        <x:v>Breakfast Foods</x:v>
      </x:c>
      <x:c r="E749" t="str">
        <x:v>1.2kg</x:v>
      </x:c>
      <x:c r="F749" t="n">
        <x:v>4</x:v>
      </x:c>
      <x:c r="G749" t="str">
        <x:v>https://www.activesportstrade.co.uk/per4m-nutrition-trade</x:v>
      </x:c>
      <x:c r="H749" t="str"/>
      <x:c r="I749" t="str">
        <x:v>Pending genuine supplier/brand image</x:v>
      </x:c>
    </x:row>
    <x:row r="750">
      <x:c r="A750" t="str">
        <x:v>Per4m Nutrition</x:v>
      </x:c>
      <x:c r="B750" t="str">
        <x:v>Protein Rice Cakes</x:v>
      </x:c>
      <x:c r="C750" t="str">
        <x:v>Food &amp; Drinks</x:v>
      </x:c>
      <x:c r="D750" t="str">
        <x:v>Bars and Snacks</x:v>
      </x:c>
      <x:c r="E750" t="str">
        <x:v>12 x 64g</x:v>
      </x:c>
      <x:c r="F750" t="n">
        <x:v>2</x:v>
      </x:c>
      <x:c r="G750" t="str">
        <x:v>https://www.activesportstrade.co.uk/per4m-nutrition-trade</x:v>
      </x:c>
      <x:c r="H750" t="str"/>
      <x:c r="I750" t="str">
        <x:v>Pending genuine supplier/brand image</x:v>
      </x:c>
    </x:row>
    <x:row r="751">
      <x:c r="A751" t="str">
        <x:v>Per4m Nutrition</x:v>
      </x:c>
      <x:c r="B751" t="str">
        <x:v>Pump</x:v>
      </x:c>
      <x:c r="C751" t="str">
        <x:v>Pre Workouts</x:v>
      </x:c>
      <x:c r="D751" t="str">
        <x:v>Stim FREE</x:v>
      </x:c>
      <x:c r="E751" t="str">
        <x:v>495g</x:v>
      </x:c>
      <x:c r="F751" t="n">
        <x:v>6</x:v>
      </x:c>
      <x:c r="G751" t="str">
        <x:v>https://www.activesportstrade.co.uk/per4m-nutrition-trade</x:v>
      </x:c>
      <x:c r="H751" t="str"/>
      <x:c r="I751" t="str">
        <x:v>Pending genuine supplier/brand image</x:v>
      </x:c>
    </x:row>
    <x:row r="752">
      <x:c r="A752" t="str">
        <x:v>NXT Nutrition</x:v>
      </x:c>
      <x:c r="B752" t="str">
        <x:v>BCAA</x:v>
      </x:c>
      <x:c r="C752" t="str">
        <x:v>Supplements</x:v>
      </x:c>
      <x:c r="D752" t="str">
        <x:v>BCAAs</x:v>
      </x:c>
      <x:c r="E752" t="str">
        <x:v>200 tablets</x:v>
      </x:c>
      <x:c r="F752" t="n">
        <x:v>1</x:v>
      </x:c>
      <x:c r="G752" t="str">
        <x:v>https://www.activesportstrade.co.uk/nxt-nutrition-trade</x:v>
      </x:c>
      <x:c r="H752" t="str"/>
      <x:c r="I752" t="str">
        <x:v>Pending genuine supplier/brand image</x:v>
      </x:c>
    </x:row>
    <x:row r="753">
      <x:c r="A753" t="str">
        <x:v>NXT Nutrition</x:v>
      </x:c>
      <x:c r="B753" t="str">
        <x:v>BCAA, Glutamine &amp; Vit D</x:v>
      </x:c>
      <x:c r="C753" t="str">
        <x:v>Supplements</x:v>
      </x:c>
      <x:c r="D753" t="str">
        <x:v>BCAAs</x:v>
      </x:c>
      <x:c r="E753" t="str">
        <x:v>360g / 30 servings</x:v>
      </x:c>
      <x:c r="F753" t="n">
        <x:v>8</x:v>
      </x:c>
      <x:c r="G753" t="str">
        <x:v>https://www.activesportstrade.co.uk/nxt-nutrition-trade</x:v>
      </x:c>
      <x:c r="H753" t="str"/>
      <x:c r="I753" t="str">
        <x:v>Pending genuine supplier/brand image</x:v>
      </x:c>
    </x:row>
    <x:row r="754">
      <x:c r="A754" t="str">
        <x:v>NXT Nutrition</x:v>
      </x:c>
      <x:c r="B754" t="str">
        <x:v>Beef Mass Gain</x:v>
      </x:c>
      <x:c r="C754" t="str">
        <x:v>Supplements</x:v>
      </x:c>
      <x:c r="D754" t="str">
        <x:v>Weight Gainers</x:v>
      </x:c>
      <x:c r="E754" t="str">
        <x:v>3.15kg</x:v>
      </x:c>
      <x:c r="F754" t="n">
        <x:v>6</x:v>
      </x:c>
      <x:c r="G754" t="str">
        <x:v>https://www.activesportstrade.co.uk/nxt-nutrition-trade</x:v>
      </x:c>
      <x:c r="H754" t="str"/>
      <x:c r="I754" t="str">
        <x:v>Pending genuine supplier/brand image</x:v>
      </x:c>
    </x:row>
    <x:row r="755">
      <x:c r="A755" t="str">
        <x:v>NXT Nutrition</x:v>
      </x:c>
      <x:c r="B755" t="str">
        <x:v>Cream of Rice</x:v>
      </x:c>
      <x:c r="C755" t="str">
        <x:v>Food &amp; Drinks</x:v>
      </x:c>
      <x:c r="D755" t="str">
        <x:v>Carbohydrate Foods</x:v>
      </x:c>
      <x:c r="E755" t="str">
        <x:v>2kg</x:v>
      </x:c>
      <x:c r="F755" t="n">
        <x:v>6</x:v>
      </x:c>
      <x:c r="G755" t="str">
        <x:v>https://www.activesportstrade.co.uk/nxt-nutrition-trade</x:v>
      </x:c>
      <x:c r="H755" t="str"/>
      <x:c r="I755" t="str">
        <x:v>Pending genuine supplier/brand image</x:v>
      </x:c>
    </x:row>
    <x:row r="756">
      <x:c r="A756" t="str">
        <x:v>NXT Nutrition</x:v>
      </x:c>
      <x:c r="B756" t="str">
        <x:v>Creatine Monohydrate</x:v>
      </x:c>
      <x:c r="C756" t="str">
        <x:v>Supplements</x:v>
      </x:c>
      <x:c r="D756" t="str">
        <x:v>Creatine Tablets</x:v>
      </x:c>
      <x:c r="E756" t="str">
        <x:v>200 tablets</x:v>
      </x:c>
      <x:c r="F756" t="n">
        <x:v>1</x:v>
      </x:c>
      <x:c r="G756" t="str">
        <x:v>https://www.activesportstrade.co.uk/nxt-nutrition-trade</x:v>
      </x:c>
      <x:c r="H756" t="str"/>
      <x:c r="I756" t="str">
        <x:v>Pending genuine supplier/brand image</x:v>
      </x:c>
    </x:row>
    <x:row r="757">
      <x:c r="A757" t="str">
        <x:v>NXT Nutrition</x:v>
      </x:c>
      <x:c r="B757" t="str">
        <x:v>EAA</x:v>
      </x:c>
      <x:c r="C757" t="str">
        <x:v>Supplements</x:v>
      </x:c>
      <x:c r="D757" t="str">
        <x:v>EAAs</x:v>
      </x:c>
      <x:c r="E757" t="str">
        <x:v>360g</x:v>
      </x:c>
      <x:c r="F757" t="n">
        <x:v>4</x:v>
      </x:c>
      <x:c r="G757" t="str">
        <x:v>https://www.activesportstrade.co.uk/nxt-nutrition-trade</x:v>
      </x:c>
      <x:c r="H757" t="str"/>
      <x:c r="I757" t="str">
        <x:v>Pending genuine supplier/brand image</x:v>
      </x:c>
    </x:row>
    <x:row r="758">
      <x:c r="A758" t="str">
        <x:v>NXT Nutrition</x:v>
      </x:c>
      <x:c r="B758" t="str">
        <x:v>Glutamine</x:v>
      </x:c>
      <x:c r="C758" t="str">
        <x:v>Supplements</x:v>
      </x:c>
      <x:c r="D758" t="str">
        <x:v>L-Glutamine</x:v>
      </x:c>
      <x:c r="E758" t="str">
        <x:v>300g</x:v>
      </x:c>
      <x:c r="F758" t="n">
        <x:v>1</x:v>
      </x:c>
      <x:c r="G758" t="str">
        <x:v>https://www.activesportstrade.co.uk/nxt-nutrition-trade</x:v>
      </x:c>
      <x:c r="H758" t="str"/>
      <x:c r="I758" t="str">
        <x:v>Pending genuine supplier/brand image</x:v>
      </x:c>
    </x:row>
    <x:row r="759">
      <x:c r="A759" t="str">
        <x:v>NXT Nutrition</x:v>
      </x:c>
      <x:c r="B759" t="str">
        <x:v>KN Protein Water Isolate Drink RTD</x:v>
      </x:c>
      <x:c r="C759" t="str">
        <x:v>Food &amp; Drinks</x:v>
      </x:c>
      <x:c r="D759" t="str">
        <x:v>Ready to Drink Protein</x:v>
      </x:c>
      <x:c r="E759" t="str">
        <x:v>12 x 500ml bottles</x:v>
      </x:c>
      <x:c r="F759" t="n">
        <x:v>12</x:v>
      </x:c>
      <x:c r="G759" t="str">
        <x:v>https://www.activesportstrade.co.uk/nxt-nutrition-trade</x:v>
      </x:c>
      <x:c r="H759" t="str"/>
      <x:c r="I759" t="str">
        <x:v>Pending genuine supplier/brand image</x:v>
      </x:c>
    </x:row>
    <x:row r="760">
      <x:c r="A760" t="str">
        <x:v>NXT Nutrition</x:v>
      </x:c>
      <x:c r="B760" t="str">
        <x:v>L-Glutamine</x:v>
      </x:c>
      <x:c r="C760" t="str">
        <x:v>Supplements</x:v>
      </x:c>
      <x:c r="D760" t="str">
        <x:v>L-Glutamine</x:v>
      </x:c>
      <x:c r="E760" t="str">
        <x:v>200 tablets</x:v>
      </x:c>
      <x:c r="F760" t="n">
        <x:v>1</x:v>
      </x:c>
      <x:c r="G760" t="str">
        <x:v>https://www.activesportstrade.co.uk/nxt-nutrition-trade</x:v>
      </x:c>
      <x:c r="H760" t="str"/>
      <x:c r="I760" t="str">
        <x:v>Pending genuine supplier/brand image</x:v>
      </x:c>
    </x:row>
    <x:row r="761">
      <x:c r="A761" t="str">
        <x:v>NXT Nutrition</x:v>
      </x:c>
      <x:c r="B761" t="str">
        <x:v>Lions Mane</x:v>
      </x:c>
      <x:c r="C761" t="str">
        <x:v>Supplements</x:v>
      </x:c>
      <x:c r="D761" t="str">
        <x:v>Nootropics</x:v>
      </x:c>
      <x:c r="E761" t="str">
        <x:v>60 caps</x:v>
      </x:c>
      <x:c r="F761" t="n">
        <x:v>1</x:v>
      </x:c>
      <x:c r="G761" t="str">
        <x:v>https://www.activesportstrade.co.uk/nxt-nutrition-trade</x:v>
      </x:c>
      <x:c r="H761" t="str"/>
      <x:c r="I761" t="str">
        <x:v>Pending genuine supplier/brand image</x:v>
      </x:c>
    </x:row>
    <x:row r="762">
      <x:c r="A762" t="str">
        <x:v>NXT Nutrition</x:v>
      </x:c>
      <x:c r="B762" t="str">
        <x:v>Pure Whey Deluxe</x:v>
      </x:c>
      <x:c r="C762" t="str">
        <x:v>Supplements</x:v>
      </x:c>
      <x:c r="D762" t="str">
        <x:v>Whey Protein</x:v>
      </x:c>
      <x:c r="E762" t="str">
        <x:v>2.1kg</x:v>
      </x:c>
      <x:c r="F762" t="n">
        <x:v>17</x:v>
      </x:c>
      <x:c r="G762" t="str">
        <x:v>https://www.activesportstrade.co.uk/nxt-nutrition-trade</x:v>
      </x:c>
      <x:c r="H762" t="str"/>
      <x:c r="I762" t="str">
        <x:v>Pending genuine supplier/brand image</x:v>
      </x:c>
    </x:row>
    <x:row r="763">
      <x:c r="A763" t="str">
        <x:v>NXT Nutrition</x:v>
      </x:c>
      <x:c r="B763" t="str">
        <x:v>Pure Whey ISO Juice</x:v>
      </x:c>
      <x:c r="C763" t="str">
        <x:v>Supplements</x:v>
      </x:c>
      <x:c r="D763" t="str">
        <x:v>Clear Whey Isolate</x:v>
      </x:c>
      <x:c r="E763" t="str">
        <x:v>900g</x:v>
      </x:c>
      <x:c r="F763" t="n">
        <x:v>6</x:v>
      </x:c>
      <x:c r="G763" t="str">
        <x:v>https://www.activesportstrade.co.uk/nxt-nutrition-trade</x:v>
      </x:c>
      <x:c r="H763" t="str"/>
      <x:c r="I763" t="str">
        <x:v>Pending genuine supplier/brand image</x:v>
      </x:c>
    </x:row>
    <x:row r="764">
      <x:c r="A764" t="str">
        <x:v>NXT Nutrition</x:v>
      </x:c>
      <x:c r="B764" t="str">
        <x:v>Pure Whey Mass</x:v>
      </x:c>
      <x:c r="C764" t="str">
        <x:v>Supplements</x:v>
      </x:c>
      <x:c r="D764" t="str">
        <x:v>Weight Gainers</x:v>
      </x:c>
      <x:c r="E764" t="str">
        <x:v>3.18kg</x:v>
      </x:c>
      <x:c r="F764" t="n">
        <x:v>6</x:v>
      </x:c>
      <x:c r="G764" t="str">
        <x:v>https://www.activesportstrade.co.uk/nxt-nutrition-trade</x:v>
      </x:c>
      <x:c r="H764" t="str"/>
      <x:c r="I764" t="str">
        <x:v>Pending genuine supplier/brand image</x:v>
      </x:c>
    </x:row>
    <x:row r="765">
      <x:c r="A765" t="str">
        <x:v>NXT Nutrition</x:v>
      </x:c>
      <x:c r="B765" t="str">
        <x:v>TNT Nuclear CANS</x:v>
      </x:c>
      <x:c r="C765" t="str">
        <x:v>Food &amp; Drinks</x:v>
      </x:c>
      <x:c r="D765" t="str">
        <x:v>Ready to Drink Energy</x:v>
      </x:c>
      <x:c r="E765" t="str">
        <x:v>12 x 330ml cans</x:v>
      </x:c>
      <x:c r="F765" t="n">
        <x:v>3</x:v>
      </x:c>
      <x:c r="G765" t="str">
        <x:v>https://www.activesportstrade.co.uk/nxt-nutrition-trade</x:v>
      </x:c>
      <x:c r="H765" t="str"/>
      <x:c r="I765" t="str">
        <x:v>Pending genuine supplier/brand image</x:v>
      </x:c>
    </x:row>
    <x:row r="766">
      <x:c r="A766" t="str">
        <x:v>NXT Nutrition</x:v>
      </x:c>
      <x:c r="B766" t="str">
        <x:v>TNT Nuclear Pump</x:v>
      </x:c>
      <x:c r="C766" t="str">
        <x:v>Pre Workouts</x:v>
      </x:c>
      <x:c r="D766" t="str">
        <x:v>Stim FREE</x:v>
      </x:c>
      <x:c r="E766" t="str">
        <x:v>500g</x:v>
      </x:c>
      <x:c r="F766" t="n">
        <x:v>6</x:v>
      </x:c>
      <x:c r="G766" t="str">
        <x:v>https://www.activesportstrade.co.uk/nxt-nutrition-trade</x:v>
      </x:c>
      <x:c r="H766" t="str"/>
      <x:c r="I766" t="str">
        <x:v>Pending genuine supplier/brand image</x:v>
      </x:c>
    </x:row>
    <x:row r="767">
      <x:c r="A767" t="str">
        <x:v>NXT Nutrition</x:v>
      </x:c>
      <x:c r="B767" t="str">
        <x:v>Turmeric Curcumin</x:v>
      </x:c>
      <x:c r="C767" t="str">
        <x:v>Supplements</x:v>
      </x:c>
      <x:c r="D767" t="str">
        <x:v>Joint Support</x:v>
      </x:c>
      <x:c r="E767" t="str">
        <x:v>30 caps</x:v>
      </x:c>
      <x:c r="F767" t="n">
        <x:v>1</x:v>
      </x:c>
      <x:c r="G767" t="str">
        <x:v>https://www.activesportstrade.co.uk/nxt-nutrition-trade</x:v>
      </x:c>
      <x:c r="H767" t="str"/>
      <x:c r="I767" t="str">
        <x:v>Pending genuine supplier/brand image</x:v>
      </x:c>
    </x:row>
    <x:row r="768">
      <x:c r="A768" t="str">
        <x:v>NXT Nutrition</x:v>
      </x:c>
      <x:c r="B768" t="str">
        <x:v>Vitamin B Complex</x:v>
      </x:c>
      <x:c r="C768" t="str">
        <x:v>Supplements</x:v>
      </x:c>
      <x:c r="D768" t="str">
        <x:v>Vitamins and Minerals</x:v>
      </x:c>
      <x:c r="E768" t="str">
        <x:v>60 tablets</x:v>
      </x:c>
      <x:c r="F768" t="n">
        <x:v>1</x:v>
      </x:c>
      <x:c r="G768" t="str">
        <x:v>https://www.activesportstrade.co.uk/nxt-nutrition-trade</x:v>
      </x:c>
      <x:c r="H768" t="str"/>
      <x:c r="I768" t="str">
        <x:v>Pending genuine supplier/brand image</x:v>
      </x:c>
    </x:row>
    <x:row r="769">
      <x:c r="A769" t="str">
        <x:v>NXT Nutrition</x:v>
      </x:c>
      <x:c r="B769" t="str">
        <x:v>Vitamin D3 &amp; K2</x:v>
      </x:c>
      <x:c r="C769" t="str">
        <x:v>Supplements</x:v>
      </x:c>
      <x:c r="D769" t="str">
        <x:v>Vitamins and Minerals</x:v>
      </x:c>
      <x:c r="E769" t="str">
        <x:v>30 tablets</x:v>
      </x:c>
      <x:c r="F769" t="n">
        <x:v>1</x:v>
      </x:c>
      <x:c r="G769" t="str">
        <x:v>https://www.activesportstrade.co.uk/nxt-nutrition-trade</x:v>
      </x:c>
      <x:c r="H769" t="str"/>
      <x:c r="I769" t="str">
        <x:v>Pending genuine supplier/brand image</x:v>
      </x:c>
    </x:row>
    <x:row r="770">
      <x:c r="A770" t="str">
        <x:v>Optimum Nutrition</x:v>
      </x:c>
      <x:c r="B770" t="str">
        <x:v>Gold Standard 100% Casein</x:v>
      </x:c>
      <x:c r="C770" t="str">
        <x:v>Supplements</x:v>
      </x:c>
      <x:c r="D770" t="str">
        <x:v>Casein Protein</x:v>
      </x:c>
      <x:c r="E770" t="str">
        <x:v>924g, 1.8kg</x:v>
      </x:c>
      <x:c r="F770" t="n">
        <x:v>7</x:v>
      </x:c>
      <x:c r="G770" t="str">
        <x:v>https://www.activesportstrade.co.uk/trade-sports-supplements/Optimum-Nutrition</x:v>
      </x:c>
      <x:c r="H770" t="str"/>
      <x:c r="I770" t="str">
        <x:v>Pending genuine supplier/brand image</x:v>
      </x:c>
    </x:row>
    <x:row r="771">
      <x:c r="A771" t="str">
        <x:v>Optimum Nutrition</x:v>
      </x:c>
      <x:c r="B771" t="str">
        <x:v>Gold Standard 100% Whey</x:v>
      </x:c>
      <x:c r="C771" t="str">
        <x:v>Supplements</x:v>
      </x:c>
      <x:c r="D771" t="str">
        <x:v>Whey Protein</x:v>
      </x:c>
      <x:c r="E771" t="str">
        <x:v>2.27kg, 912g</x:v>
      </x:c>
      <x:c r="F771" t="n">
        <x:v>24</x:v>
      </x:c>
      <x:c r="G771" t="str">
        <x:v>https://www.activesportstrade.co.uk/trade-sports-supplements/Optimum-Nutrition</x:v>
      </x:c>
      <x:c r="H771" t="str"/>
      <x:c r="I771" t="str">
        <x:v>Pending genuine supplier/brand image</x:v>
      </x:c>
    </x:row>
    <x:row r="772">
      <x:c r="A772" t="str">
        <x:v>Optimum Nutrition</x:v>
      </x:c>
      <x:c r="B772" t="str">
        <x:v>Gold Standard 100% Whey Sachets</x:v>
      </x:c>
      <x:c r="C772" t="str">
        <x:v>Supplements</x:v>
      </x:c>
      <x:c r="D772" t="str">
        <x:v>Whey Protein</x:v>
      </x:c>
      <x:c r="E772" t="str">
        <x:v>24 x 30g sachets</x:v>
      </x:c>
      <x:c r="F772" t="n">
        <x:v>3</x:v>
      </x:c>
      <x:c r="G772" t="str">
        <x:v>https://www.activesportstrade.co.uk/trade-sports-supplements/Optimum-Nutrition</x:v>
      </x:c>
      <x:c r="H772" t="str"/>
      <x:c r="I772" t="str">
        <x:v>Pending genuine supplier/brand image</x:v>
      </x:c>
    </x:row>
    <x:row r="773">
      <x:c r="A773" t="str">
        <x:v>Optimum Nutrition</x:v>
      </x:c>
      <x:c r="B773" t="str">
        <x:v>Micronized Creatine Powder</x:v>
      </x:c>
      <x:c r="C773" t="str">
        <x:v>Supplements</x:v>
      </x:c>
      <x:c r="D773" t="str">
        <x:v>Creatine Powders</x:v>
      </x:c>
      <x:c r="E773" t="str">
        <x:v>247.5g, 317g, 634g</x:v>
      </x:c>
      <x:c r="F773" t="n">
        <x:v>5</x:v>
      </x:c>
      <x:c r="G773" t="str">
        <x:v>https://www.activesportstrade.co.uk/trade-sports-supplements/Optimum-Nutrition</x:v>
      </x:c>
      <x:c r="H773" t="str"/>
      <x:c r="I773" t="str">
        <x:v>Pending genuine supplier/brand image</x:v>
      </x:c>
    </x:row>
    <x:row r="774">
      <x:c r="A774" t="str">
        <x:v>Optimum Nutrition</x:v>
      </x:c>
      <x:c r="B774" t="str">
        <x:v>Opti-Men</x:v>
      </x:c>
      <x:c r="C774" t="str">
        <x:v>Supplements</x:v>
      </x:c>
      <x:c r="D774" t="str">
        <x:v>Vitamins and Minerals</x:v>
      </x:c>
      <x:c r="E774" t="str">
        <x:v>180 tablets, 90 tablets</x:v>
      </x:c>
      <x:c r="F774" t="n">
        <x:v>2</x:v>
      </x:c>
      <x:c r="G774" t="str">
        <x:v>https://www.activesportstrade.co.uk/trade-sports-supplements/Optimum-Nutrition</x:v>
      </x:c>
      <x:c r="H774" t="str"/>
      <x:c r="I774" t="str">
        <x:v>Pending genuine supplier/brand image</x:v>
      </x:c>
    </x:row>
    <x:row r="775">
      <x:c r="A775" t="str">
        <x:v>Optimum Nutrition</x:v>
      </x:c>
      <x:c r="B775" t="str">
        <x:v>Opti-Women</x:v>
      </x:c>
      <x:c r="C775" t="str">
        <x:v>Supplements</x:v>
      </x:c>
      <x:c r="D775" t="str">
        <x:v>Vitamins and Minerals</x:v>
      </x:c>
      <x:c r="E775" t="str">
        <x:v>120 capsules, 60 capsules</x:v>
      </x:c>
      <x:c r="F775" t="n">
        <x:v>2</x:v>
      </x:c>
      <x:c r="G775" t="str">
        <x:v>https://www.activesportstrade.co.uk/trade-sports-supplements/Optimum-Nutrition</x:v>
      </x:c>
      <x:c r="H775" t="str"/>
      <x:c r="I775" t="str">
        <x:v>Pending genuine supplier/brand image</x:v>
      </x:c>
    </x:row>
    <x:row r="776">
      <x:c r="A776" t="str">
        <x:v>Optimum Nutrition</x:v>
      </x:c>
      <x:c r="B776" t="str">
        <x:v>Serious Mass</x:v>
      </x:c>
      <x:c r="C776" t="str">
        <x:v>Supplements</x:v>
      </x:c>
      <x:c r="D776" t="str">
        <x:v>Weight Gainers</x:v>
      </x:c>
      <x:c r="E776" t="str">
        <x:v>2.7kg, 5.54kg</x:v>
      </x:c>
      <x:c r="F776" t="n">
        <x:v>13</x:v>
      </x:c>
      <x:c r="G776" t="str">
        <x:v>https://www.activesportstrade.co.uk/trade-sports-supplements/Optimum-Nutrition</x:v>
      </x:c>
      <x:c r="H776" t="str"/>
      <x:c r="I776" t="str">
        <x:v>Pending genuine supplier/brand image</x:v>
      </x:c>
    </x:row>
    <x:row r="777">
      <x:c r="A777" t="str">
        <x:v>Optimum Nutrition</x:v>
      </x:c>
      <x:c r="B777" t="str">
        <x:v>Shaker Large</x:v>
      </x:c>
      <x:c r="C777" t="str">
        <x:v>Merch &amp; Apparel</x:v>
      </x:c>
      <x:c r="D777" t="str">
        <x:v>Shakers</x:v>
      </x:c>
      <x:c r="E777" t="str">
        <x:v>1000ml</x:v>
      </x:c>
      <x:c r="F777" t="n">
        <x:v>1</x:v>
      </x:c>
      <x:c r="G777" t="str">
        <x:v>https://www.activesportstrade.co.uk/trade-sports-supplements/Optimum-Nutrition</x:v>
      </x:c>
      <x:c r="H777" t="str"/>
      <x:c r="I777" t="str">
        <x:v>Pending genuine supplier/brand image</x:v>
      </x:c>
    </x:row>
    <x:row r="778">
      <x:c r="A778" t="str">
        <x:v>Optimum Nutrition</x:v>
      </x:c>
      <x:c r="B778" t="str">
        <x:v>Water Jug</x:v>
      </x:c>
      <x:c r="C778" t="str">
        <x:v>Merch &amp; Apparel</x:v>
      </x:c>
      <x:c r="D778" t="str">
        <x:v>Shakers</x:v>
      </x:c>
      <x:c r="E778" t="str">
        <x:v>2.2ltr</x:v>
      </x:c>
      <x:c r="F778" t="n">
        <x:v>1</x:v>
      </x:c>
      <x:c r="G778" t="str">
        <x:v>https://www.activesportstrade.co.uk/trade-sports-supplements/Optimum-Nutrition</x:v>
      </x:c>
      <x:c r="H778" t="str"/>
      <x:c r="I778" t="str">
        <x:v>Pending genuine supplier/brand image</x:v>
      </x:c>
    </x:row>
    <x:row r="779">
      <x:c r="A779" t="str">
        <x:v>Scitec Nutrition</x:v>
      </x:c>
      <x:c r="B779" t="str">
        <x:v>BCAA Xpress</x:v>
      </x:c>
      <x:c r="C779" t="str">
        <x:v>Supplements</x:v>
      </x:c>
      <x:c r="D779" t="str">
        <x:v>BCAAs</x:v>
      </x:c>
      <x:c r="E779" t="str">
        <x:v>280g / 40 servings, 700g / 100 servings</x:v>
      </x:c>
      <x:c r="F779" t="n">
        <x:v>11</x:v>
      </x:c>
      <x:c r="G779" t="str">
        <x:v>https://www.activesportstrade.co.uk/scitec-nutrition-trade</x:v>
      </x:c>
      <x:c r="H779" t="str"/>
      <x:c r="I779" t="str">
        <x:v>Pending genuine supplier/brand image</x:v>
      </x:c>
    </x:row>
    <x:row r="780">
      <x:c r="A780" t="str">
        <x:v>Scitec Nutrition</x:v>
      </x:c>
      <x:c r="B780" t="str">
        <x:v>Beta Alanine</x:v>
      </x:c>
      <x:c r="C780" t="str">
        <x:v>Supplements</x:v>
      </x:c>
      <x:c r="D780" t="str">
        <x:v>Amino Acids</x:v>
      </x:c>
      <x:c r="E780" t="str">
        <x:v>150 caps</x:v>
      </x:c>
      <x:c r="F780" t="n">
        <x:v>1</x:v>
      </x:c>
      <x:c r="G780" t="str">
        <x:v>https://www.activesportstrade.co.uk/scitec-nutrition-trade</x:v>
      </x:c>
      <x:c r="H780" t="str"/>
      <x:c r="I780" t="str">
        <x:v>Pending genuine supplier/brand image</x:v>
      </x:c>
    </x:row>
    <x:row r="781">
      <x:c r="A781" t="str">
        <x:v>Scitec Nutrition</x:v>
      </x:c>
      <x:c r="B781" t="str">
        <x:v>CO-Q10</x:v>
      </x:c>
      <x:c r="C781" t="str">
        <x:v>Supplements</x:v>
      </x:c>
      <x:c r="D781" t="str">
        <x:v>Health Foods</x:v>
      </x:c>
      <x:c r="E781" t="str">
        <x:v>100 capsules / 150mg</x:v>
      </x:c>
      <x:c r="F781" t="n">
        <x:v>1</x:v>
      </x:c>
      <x:c r="G781" t="str">
        <x:v>https://www.activesportstrade.co.uk/scitec-nutrition-trade</x:v>
      </x:c>
      <x:c r="H781" t="str"/>
      <x:c r="I781" t="str">
        <x:v>Pending genuine supplier/brand image</x:v>
      </x:c>
    </x:row>
    <x:row r="782">
      <x:c r="A782" t="str">
        <x:v>Scitec Nutrition</x:v>
      </x:c>
      <x:c r="B782" t="str">
        <x:v>Crea Caps</x:v>
      </x:c>
      <x:c r="C782" t="str">
        <x:v>Supplements</x:v>
      </x:c>
      <x:c r="D782" t="str">
        <x:v>Creatine Capsules</x:v>
      </x:c>
      <x:c r="E782" t="str">
        <x:v>250 caps</x:v>
      </x:c>
      <x:c r="F782" t="n">
        <x:v>1</x:v>
      </x:c>
      <x:c r="G782" t="str">
        <x:v>https://www.activesportstrade.co.uk/scitec-nutrition-trade</x:v>
      </x:c>
      <x:c r="H782" t="str"/>
      <x:c r="I782" t="str">
        <x:v>Pending genuine supplier/brand image</x:v>
      </x:c>
    </x:row>
    <x:row r="783">
      <x:c r="A783" t="str">
        <x:v>Scitec Nutrition</x:v>
      </x:c>
      <x:c r="B783" t="str">
        <x:v>Magnesium Bisglycinate</x:v>
      </x:c>
      <x:c r="C783" t="str">
        <x:v>Supplements</x:v>
      </x:c>
      <x:c r="D783" t="str">
        <x:v>Vitamins and Minerals</x:v>
      </x:c>
      <x:c r="E783" t="str">
        <x:v>90 caps</x:v>
      </x:c>
      <x:c r="F783" t="n">
        <x:v>1</x:v>
      </x:c>
      <x:c r="G783" t="str">
        <x:v>https://www.activesportstrade.co.uk/scitec-nutrition-trade</x:v>
      </x:c>
      <x:c r="H783" t="str"/>
      <x:c r="I783" t="str">
        <x:v>Pending genuine supplier/brand image</x:v>
      </x:c>
    </x:row>
    <x:row r="784">
      <x:c r="A784" t="str">
        <x:v>Scitec Nutrition</x:v>
      </x:c>
      <x:c r="B784" t="str">
        <x:v>Mega Arginine</x:v>
      </x:c>
      <x:c r="C784" t="str">
        <x:v>Supplements</x:v>
      </x:c>
      <x:c r="D784" t="str">
        <x:v>Amino Acids</x:v>
      </x:c>
      <x:c r="E784" t="str">
        <x:v>120 caps</x:v>
      </x:c>
      <x:c r="F784" t="n">
        <x:v>1</x:v>
      </x:c>
      <x:c r="G784" t="str">
        <x:v>https://www.activesportstrade.co.uk/scitec-nutrition-trade</x:v>
      </x:c>
      <x:c r="H784" t="str"/>
      <x:c r="I784" t="str">
        <x:v>Pending genuine supplier/brand image</x:v>
      </x:c>
    </x:row>
    <x:row r="785">
      <x:c r="A785" t="str">
        <x:v>Scitec Nutrition</x:v>
      </x:c>
      <x:c r="B785" t="str">
        <x:v>Mega Creatine Monohydrate 1320 Creapure</x:v>
      </x:c>
      <x:c r="C785" t="str">
        <x:v>Supplements</x:v>
      </x:c>
      <x:c r="D785" t="str">
        <x:v>Creatine Capsules</x:v>
      </x:c>
      <x:c r="E785" t="str">
        <x:v>120 caps</x:v>
      </x:c>
      <x:c r="F785" t="n">
        <x:v>1</x:v>
      </x:c>
      <x:c r="G785" t="str">
        <x:v>https://www.activesportstrade.co.uk/scitec-nutrition-trade</x:v>
      </x:c>
      <x:c r="H785" t="str"/>
      <x:c r="I785" t="str">
        <x:v>Pending genuine supplier/brand image</x:v>
      </x:c>
    </x:row>
    <x:row r="786">
      <x:c r="A786" t="str">
        <x:v>Scitec Nutrition</x:v>
      </x:c>
      <x:c r="B786" t="str">
        <x:v>Monster Pak</x:v>
      </x:c>
      <x:c r="C786" t="str">
        <x:v>Supplements</x:v>
      </x:c>
      <x:c r="D786" t="str">
        <x:v>Vitamins and Minerals</x:v>
      </x:c>
      <x:c r="E786" t="str">
        <x:v>40 packs</x:v>
      </x:c>
      <x:c r="F786" t="n">
        <x:v>1</x:v>
      </x:c>
      <x:c r="G786" t="str">
        <x:v>https://www.activesportstrade.co.uk/scitec-nutrition-trade</x:v>
      </x:c>
      <x:c r="H786" t="str"/>
      <x:c r="I786" t="str">
        <x:v>Pending genuine supplier/brand image</x:v>
      </x:c>
    </x:row>
    <x:row r="787">
      <x:c r="A787" t="str">
        <x:v>Scitec Nutrition</x:v>
      </x:c>
      <x:c r="B787" t="str">
        <x:v>Radical Whey</x:v>
      </x:c>
      <x:c r="C787" t="str">
        <x:v>Supplements</x:v>
      </x:c>
      <x:c r="D787" t="str">
        <x:v>Whey Protein</x:v>
      </x:c>
      <x:c r="E787" t="str">
        <x:v>1000g, 2000g</x:v>
      </x:c>
      <x:c r="F787" t="n">
        <x:v>10</x:v>
      </x:c>
      <x:c r="G787" t="str">
        <x:v>https://www.activesportstrade.co.uk/scitec-nutrition-trade</x:v>
      </x:c>
      <x:c r="H787" t="str"/>
      <x:c r="I787" t="str">
        <x:v>Pending genuine supplier/brand image</x:v>
      </x:c>
    </x:row>
    <x:row r="788">
      <x:c r="A788" t="str">
        <x:v>Scitec Nutrition</x:v>
      </x:c>
      <x:c r="B788" t="str">
        <x:v>Shaker</x:v>
      </x:c>
      <x:c r="C788" t="str">
        <x:v>Merch &amp; Apparel</x:v>
      </x:c>
      <x:c r="D788" t="str">
        <x:v>Shakers</x:v>
      </x:c>
      <x:c r="E788" t="str">
        <x:v>700ml</x:v>
      </x:c>
      <x:c r="F788" t="n">
        <x:v>4</x:v>
      </x:c>
      <x:c r="G788" t="str">
        <x:v>https://www.activesportstrade.co.uk/scitec-nutrition-trade</x:v>
      </x:c>
      <x:c r="H788" t="str"/>
      <x:c r="I788" t="str">
        <x:v>Pending genuine supplier/brand image</x:v>
      </x:c>
    </x:row>
    <x:row r="789">
      <x:c r="A789" t="str">
        <x:v>Scitec Nutrition</x:v>
      </x:c>
      <x:c r="B789" t="str">
        <x:v>Shilajit</x:v>
      </x:c>
      <x:c r="C789" t="str">
        <x:v>Supplements</x:v>
      </x:c>
      <x:c r="D789" t="str">
        <x:v>Health Foods</x:v>
      </x:c>
      <x:c r="E789" t="str">
        <x:v>60 caps</x:v>
      </x:c>
      <x:c r="F789" t="n">
        <x:v>1</x:v>
      </x:c>
      <x:c r="G789" t="str">
        <x:v>https://www.activesportstrade.co.uk/scitec-nutrition-trade</x:v>
      </x:c>
      <x:c r="H789" t="str"/>
      <x:c r="I789" t="str">
        <x:v>Pending genuine supplier/brand image</x:v>
      </x:c>
    </x:row>
    <x:row r="790">
      <x:c r="A790" t="str">
        <x:v>Scitec Nutrition</x:v>
      </x:c>
      <x:c r="B790" t="str">
        <x:v>SuperCarb Xpress</x:v>
      </x:c>
      <x:c r="C790" t="str">
        <x:v>Supplements</x:v>
      </x:c>
      <x:c r="D790" t="str">
        <x:v>Carbohydrates</x:v>
      </x:c>
      <x:c r="E790" t="str">
        <x:v>1000g</x:v>
      </x:c>
      <x:c r="F790" t="n">
        <x:v>2</x:v>
      </x:c>
      <x:c r="G790" t="str">
        <x:v>https://www.activesportstrade.co.uk/scitec-nutrition-trade</x:v>
      </x:c>
      <x:c r="H790" t="str"/>
      <x:c r="I790" t="str">
        <x:v>Pending genuine supplier/brand image</x:v>
      </x:c>
    </x:row>
    <x:row r="791">
      <x:c r="A791" t="str">
        <x:v>Per4m Nutrition</x:v>
      </x:c>
      <x:c r="B791" t="str">
        <x:v>Egg White Protein</x:v>
      </x:c>
      <x:c r="C791" t="str">
        <x:v>Supplements</x:v>
      </x:c>
      <x:c r="D791" t="str">
        <x:v>Egg White Protein</x:v>
      </x:c>
      <x:c r="E791" t="str">
        <x:v>1.8kg, 900g</x:v>
      </x:c>
      <x:c r="F791" t="n">
        <x:v>10</x:v>
      </x:c>
      <x:c r="G791" t="str">
        <x:v>https://www.activesportstrade.co.uk/per4m-nutrition-trade</x:v>
      </x:c>
      <x:c r="H791" t="str"/>
      <x:c r="I791" t="str">
        <x:v>Pending genuine supplier/brand image</x:v>
      </x:c>
    </x:row>
    <x:row r="792">
      <x:c r="A792" t="str">
        <x:v>Per4m Nutrition</x:v>
      </x:c>
      <x:c r="B792" t="str">
        <x:v>Isolate Zero 100% Whey Protein Isolate</x:v>
      </x:c>
      <x:c r="C792" t="str">
        <x:v>Supplements</x:v>
      </x:c>
      <x:c r="D792" t="str">
        <x:v>Whey Isolate</x:v>
      </x:c>
      <x:c r="E792" t="str">
        <x:v>900g, 2kg</x:v>
      </x:c>
      <x:c r="F792" t="n">
        <x:v>33</x:v>
      </x:c>
      <x:c r="G792" t="str">
        <x:v>https://www.activesportstrade.co.uk/per4m-nutrition-trade</x:v>
      </x:c>
      <x:c r="H792" t="str"/>
      <x:c r="I792" t="str">
        <x:v>Pending genuine supplier/brand image</x:v>
      </x:c>
    </x:row>
    <x:row r="793">
      <x:c r="A793" t="str">
        <x:v>Per4m Nutrition</x:v>
      </x:c>
      <x:c r="B793" t="str">
        <x:v>Hydrate</x:v>
      </x:c>
      <x:c r="C793" t="str">
        <x:v>Supplements</x:v>
      </x:c>
      <x:c r="D793" t="str">
        <x:v>Hydration</x:v>
      </x:c>
      <x:c r="E793" t="str">
        <x:v>30 servings</x:v>
      </x:c>
      <x:c r="F793" t="n">
        <x:v>18</x:v>
      </x:c>
      <x:c r="G793" t="str">
        <x:v>https://www.activesportstrade.co.uk/hydration-supplements-trade</x:v>
      </x:c>
      <x:c r="H793" t="str"/>
      <x:c r="I793" t="str">
        <x:v>Pending genuine supplier/brand image</x:v>
      </x:c>
    </x:row>
    <x:row r="794">
      <x:c r="A794" t="str">
        <x:v>Per4m Nutrition</x:v>
      </x:c>
      <x:c r="B794" t="str">
        <x:v>Hydrate Advanced Electrolyte Shot</x:v>
      </x:c>
      <x:c r="C794" t="str">
        <x:v>Food &amp; Drinks</x:v>
      </x:c>
      <x:c r="D794" t="str">
        <x:v>Hydration Shots</x:v>
      </x:c>
      <x:c r="E794" t="str">
        <x:v>12 x 100ml</x:v>
      </x:c>
      <x:c r="F794" t="n">
        <x:v>3</x:v>
      </x:c>
      <x:c r="G794" t="str">
        <x:v>https://www.activesportstrade.co.uk/hydration-supplements-trade</x:v>
      </x:c>
      <x:c r="H794" t="str"/>
      <x:c r="I794" t="str">
        <x:v>Pending genuine supplier/brand image</x:v>
      </x:c>
    </x:row>
    <x:row r="795">
      <x:c r="A795" t="str">
        <x:v>Per4m Nutrition</x:v>
      </x:c>
      <x:c r="B795" t="str">
        <x:v>Whey Hydrate Clear Whey + Electrolytes</x:v>
      </x:c>
      <x:c r="C795" t="str">
        <x:v>Supplements</x:v>
      </x:c>
      <x:c r="D795" t="str">
        <x:v>Clear Whey / Hydration</x:v>
      </x:c>
      <x:c r="E795" t="str">
        <x:v>1.8kg, 900g</x:v>
      </x:c>
      <x:c r="F795" t="n">
        <x:v>14</x:v>
      </x:c>
      <x:c r="G795" t="str">
        <x:v>https://www.activesportstrade.co.uk/hydration-supplements-trade</x:v>
      </x:c>
      <x:c r="H795" t="str"/>
      <x:c r="I795" t="str">
        <x:v>Pending genuine supplier/brand image</x:v>
      </x:c>
    </x:row>
    <x:row r="796">
      <x:c r="A796" t="str">
        <x:v>Per4m Nutrition</x:v>
      </x:c>
      <x:c r="B796" t="str">
        <x:v>Whey Hydrate Sachet</x:v>
      </x:c>
      <x:c r="C796" t="str">
        <x:v>Supplements</x:v>
      </x:c>
      <x:c r="D796" t="str">
        <x:v>Clear Whey / Hydration</x:v>
      </x:c>
      <x:c r="E796" t="str">
        <x:v>1 x 30g sachet</x:v>
      </x:c>
      <x:c r="F796" t="n">
        <x:v>7</x:v>
      </x:c>
      <x:c r="G796" t="str">
        <x:v>https://www.activesportstrade.co.uk/Whey-Protein-Supplements-Trade/per4m-nutrition-trade</x:v>
      </x:c>
      <x:c r="H796" t="str"/>
      <x:c r="I796" t="str">
        <x:v>Pending genuine supplier/brand image</x:v>
      </x:c>
    </x:row>
    <x:row r="797">
      <x:c r="A797" t="str">
        <x:v>Per4m Nutrition</x:v>
      </x:c>
      <x:c r="B797" t="str">
        <x:v>Whey Protein Sachet</x:v>
      </x:c>
      <x:c r="C797" t="str">
        <x:v>Supplements</x:v>
      </x:c>
      <x:c r="D797" t="str">
        <x:v>Whey Protein</x:v>
      </x:c>
      <x:c r="E797" t="str">
        <x:v>1 x 30g sachet</x:v>
      </x:c>
      <x:c r="F797" t="n">
        <x:v>39</x:v>
      </x:c>
      <x:c r="G797" t="str">
        <x:v>https://www.activesportstrade.co.uk/per4m-nutrition-trade</x:v>
      </x:c>
      <x:c r="H797" t="str"/>
      <x:c r="I797" t="str">
        <x:v>Pending genuine supplier/brand image</x:v>
      </x:c>
    </x:row>
    <x:row r="798">
      <x:c r="A798" t="str">
        <x:v>Per4m Nutrition</x:v>
      </x:c>
      <x:c r="B798" t="str">
        <x:v>Whey Protein</x:v>
      </x:c>
      <x:c r="C798" t="str">
        <x:v>Supplements</x:v>
      </x:c>
      <x:c r="D798" t="str">
        <x:v>Whey Protein</x:v>
      </x:c>
      <x:c r="E798" t="str">
        <x:v>2kg, 900g</x:v>
      </x:c>
      <x:c r="F798" t="n">
        <x:v>77</x:v>
      </x:c>
      <x:c r="G798" t="str">
        <x:v>https://www.activesportstrade.co.uk/Whey-Protein-Supplements-Trade/per4m-nutrition-trade</x:v>
      </x:c>
      <x:c r="H798" t="str"/>
      <x:c r="I798" t="str">
        <x:v>Pending genuine supplier/brand image</x:v>
      </x:c>
    </x:row>
    <x:row r="799">
      <x:c r="A799" t="str">
        <x:v>Per4m Nutrition</x:v>
      </x:c>
      <x:c r="B799" t="str">
        <x:v>Creatine Monohydrate</x:v>
      </x:c>
      <x:c r="C799" t="str">
        <x:v>Supplements</x:v>
      </x:c>
      <x:c r="D799" t="str">
        <x:v>Creatine Powders</x:v>
      </x:c>
      <x:c r="E799" t="str">
        <x:v>400g</x:v>
      </x:c>
      <x:c r="F799" t="n">
        <x:v>9</x:v>
      </x:c>
      <x:c r="G799" t="str">
        <x:v>https://www.activesportstrade.co.uk/per4m-nutrition-trade</x:v>
      </x:c>
      <x:c r="H799" t="str"/>
      <x:c r="I799" t="str">
        <x:v>Pending genuine supplier/brand image</x:v>
      </x:c>
    </x:row>
    <x:row r="800">
      <x:c r="A800" t="str">
        <x:v>Per4m Nutrition</x:v>
      </x:c>
      <x:c r="B800" t="str">
        <x:v>Creatine Sherbet</x:v>
      </x:c>
      <x:c r="C800" t="str">
        <x:v>Supplements</x:v>
      </x:c>
      <x:c r="D800" t="str">
        <x:v>Creatine Powders</x:v>
      </x:c>
      <x:c r="E800" t="str">
        <x:v>310g</x:v>
      </x:c>
      <x:c r="F800" t="n">
        <x:v>5</x:v>
      </x:c>
      <x:c r="G800" t="str">
        <x:v>https://www.activesportstrade.co.uk/per4m-nutrition-trade</x:v>
      </x:c>
      <x:c r="H800" t="str"/>
      <x:c r="I800" t="str">
        <x:v>Pending genuine supplier/brand image</x:v>
      </x:c>
    </x:row>
    <x:row r="801">
      <x:c r="A801" t="str">
        <x:v>Per4m Nutrition</x:v>
      </x:c>
      <x:c r="B801" t="str">
        <x:v>Whey Protein Limited Edition Sachet Display</x:v>
      </x:c>
      <x:c r="C801" t="str">
        <x:v>Supplements</x:v>
      </x:c>
      <x:c r="D801" t="str">
        <x:v>Whey Protein</x:v>
      </x:c>
      <x:c r="E801" t="str">
        <x:v>100 x 30g sachets</x:v>
      </x:c>
      <x:c r="F801" t="n">
        <x:v>1</x:v>
      </x:c>
      <x:c r="G801" t="str">
        <x:v>https://www.activesportstrade.co.uk/Whey-Protein-Supplements-Trade/per4m-nutrition-trade</x:v>
      </x:c>
      <x:c r="H801" t="str"/>
      <x:c r="I801" t="str">
        <x:v>Pending genuine supplier/brand image</x:v>
      </x:c>
    </x:row>
    <x:row r="802">
      <x:c r="A802" t="str">
        <x:v>Applied Nutrition</x:v>
      </x:c>
      <x:c r="B802" t="str">
        <x:v>Carb X</x:v>
      </x:c>
      <x:c r="C802" t="str">
        <x:v>Supplements</x:v>
      </x:c>
      <x:c r="D802" t="str">
        <x:v>Carbohydrates</x:v>
      </x:c>
      <x:c r="E802" t="str">
        <x:v>1.2kg</x:v>
      </x:c>
      <x:c r="F802" t="n">
        <x:v>6</x:v>
      </x:c>
      <x:c r="G802" t="str">
        <x:v>https://www.activesportstrade.co.uk/Carb-Powders</x:v>
      </x:c>
      <x:c r="H802" t="str"/>
      <x:c r="I802" t="str">
        <x:v>Pending genuine supplier/brand image</x:v>
      </x:c>
    </x:row>
    <x:row r="803">
      <x:c r="A803" t="str">
        <x:v>Applied Nutrition</x:v>
      </x:c>
      <x:c r="B803" t="str">
        <x:v>Endurance Elite Performance Energy Gels</x:v>
      </x:c>
      <x:c r="C803" t="str">
        <x:v>Food &amp; Drinks</x:v>
      </x:c>
      <x:c r="D803" t="str">
        <x:v>Energy Gels</x:v>
      </x:c>
      <x:c r="E803" t="str">
        <x:v>20 gels</x:v>
      </x:c>
      <x:c r="F803" t="n">
        <x:v>3</x:v>
      </x:c>
      <x:c r="G803" t="str">
        <x:v>https://www.activesportstrade.co.uk/Carb-Powders</x:v>
      </x:c>
      <x:c r="H803" t="str"/>
      <x:c r="I803" t="str">
        <x:v>Pending genuine supplier/brand image</x:v>
      </x:c>
    </x:row>
    <x:row r="804">
      <x:c r="A804" t="str">
        <x:v>UFIT</x:v>
      </x:c>
      <x:c r="B804" t="str">
        <x:v>25g Protein Drink RTD</x:v>
      </x:c>
      <x:c r="C804" t="str">
        <x:v>Food &amp; Drinks</x:v>
      </x:c>
      <x:c r="D804" t="str">
        <x:v>Ready to Drink Protein</x:v>
      </x:c>
      <x:c r="E804" t="str">
        <x:v>10 x 330ml</x:v>
      </x:c>
      <x:c r="F804" t="n">
        <x:v>8</x:v>
      </x:c>
      <x:c r="G804" t="str">
        <x:v>https://www.activesportstrade.co.uk/ready-to-drink-protein-trade</x:v>
      </x:c>
      <x:c r="H804" t="str"/>
      <x:c r="I804" t="str">
        <x:v>Pending genuine supplier/brand image</x:v>
      </x:c>
    </x:row>
    <x:row r="805">
      <x:c r="A805" t="str">
        <x:v>UFIT</x:v>
      </x:c>
      <x:c r="B805" t="str">
        <x:v>50g Protein Drink RTD</x:v>
      </x:c>
      <x:c r="C805" t="str">
        <x:v>Food &amp; Drinks</x:v>
      </x:c>
      <x:c r="D805" t="str">
        <x:v>Ready to Drink Protein</x:v>
      </x:c>
      <x:c r="E805" t="str">
        <x:v>8 x 500ml</x:v>
      </x:c>
      <x:c r="F805" t="n">
        <x:v>6</x:v>
      </x:c>
      <x:c r="G805" t="str">
        <x:v>https://www.activesportstrade.co.uk/ready-to-drink-protein-trade</x:v>
      </x:c>
      <x:c r="H805" t="str"/>
      <x:c r="I805" t="str">
        <x:v>Pending genuine supplier/brand image</x:v>
      </x:c>
    </x:row>
    <x:row r="806">
      <x:c r="A806" t="str">
        <x:v>WOW</x:v>
      </x:c>
      <x:c r="B806" t="str">
        <x:v>Protein 20g RTD</x:v>
      </x:c>
      <x:c r="C806" t="str">
        <x:v>Food &amp; Drinks</x:v>
      </x:c>
      <x:c r="D806" t="str">
        <x:v>Ready to Drink Protein</x:v>
      </x:c>
      <x:c r="E806" t="str">
        <x:v>12 x 500ml</x:v>
      </x:c>
      <x:c r="F806" t="n">
        <x:v>3</x:v>
      </x:c>
      <x:c r="G806" t="str">
        <x:v>https://www.activesportstrade.co.uk/ready-to-drink-protein-trade</x:v>
      </x:c>
      <x:c r="H806" t="str"/>
      <x:c r="I806" t="str">
        <x:v>Pending genuine supplier/brand image</x:v>
      </x:c>
    </x:row>
    <x:row r="807">
      <x:c r="A807" t="str">
        <x:v>USN</x:v>
      </x:c>
      <x:c r="B807" t="str">
        <x:v>Trust Crunch Bars</x:v>
      </x:c>
      <x:c r="C807" t="str">
        <x:v>Food &amp; Drinks</x:v>
      </x:c>
      <x:c r="D807" t="str">
        <x:v>Bars and Snacks</x:v>
      </x:c>
      <x:c r="E807" t="str">
        <x:v>12 x 60g</x:v>
      </x:c>
      <x:c r="F807" t="n">
        <x:v>6</x:v>
      </x:c>
      <x:c r="G807" t="str">
        <x:v>https://www.activesportstrade.co.uk/Protein-Bars</x:v>
      </x:c>
      <x:c r="H807" t="str"/>
      <x:c r="I807" t="str">
        <x:v>Pending genuine supplier/brand image</x:v>
      </x:c>
    </x:row>
    <x:row r="808">
      <x:c r="A808" t="str">
        <x:v>Refined Nutrition</x:v>
      </x:c>
      <x:c r="B808" t="str">
        <x:v>Cream Of Rice</x:v>
      </x:c>
      <x:c r="C808" t="str">
        <x:v>Food &amp; Drinks</x:v>
      </x:c>
      <x:c r="D808" t="str">
        <x:v>High Protein Foods</x:v>
      </x:c>
      <x:c r="E808" t="str">
        <x:v>2.5kg</x:v>
      </x:c>
      <x:c r="F808" t="n">
        <x:v>5</x:v>
      </x:c>
      <x:c r="G808" t="str">
        <x:v>https://www.activesportstrade.co.uk/refined-nutrition-trade</x:v>
      </x:c>
      <x:c r="H808" t="str"/>
      <x:c r="I808" t="str">
        <x:v>Pending genuine supplier/brand image</x:v>
      </x:c>
    </x:row>
    <x:row r="809">
      <x:c r="A809" t="str">
        <x:v>Refined Nutrition</x:v>
      </x:c>
      <x:c r="B809" t="str">
        <x:v>Creatine 5000</x:v>
      </x:c>
      <x:c r="C809" t="str">
        <x:v>Supplements</x:v>
      </x:c>
      <x:c r="D809" t="str">
        <x:v>Creatine Pills</x:v>
      </x:c>
      <x:c r="E809" t="str">
        <x:v>100 tablets</x:v>
      </x:c>
      <x:c r="F809" t="n">
        <x:v>1</x:v>
      </x:c>
      <x:c r="G809" t="str">
        <x:v>https://www.activesportstrade.co.uk/refined-nutrition-trade</x:v>
      </x:c>
      <x:c r="H809" t="str"/>
      <x:c r="I809" t="str">
        <x:v>Pending genuine supplier/brand image</x:v>
      </x:c>
    </x:row>
    <x:row r="810">
      <x:c r="A810" t="str">
        <x:v>Refined Nutrition</x:v>
      </x:c>
      <x:c r="B810" t="str">
        <x:v>Creatine Complex</x:v>
      </x:c>
      <x:c r="C810" t="str">
        <x:v>Supplements</x:v>
      </x:c>
      <x:c r="D810" t="str">
        <x:v>Creatine Powders</x:v>
      </x:c>
      <x:c r="E810" t="str">
        <x:v>300g</x:v>
      </x:c>
      <x:c r="F810" t="n">
        <x:v>5</x:v>
      </x:c>
      <x:c r="G810" t="str">
        <x:v>https://www.activesportstrade.co.uk/refined-nutrition-trade</x:v>
      </x:c>
      <x:c r="H810" t="str"/>
      <x:c r="I810" t="str">
        <x:v>Pending genuine supplier/brand image</x:v>
      </x:c>
    </x:row>
    <x:row r="811">
      <x:c r="A811" t="str">
        <x:v>Refined Nutrition</x:v>
      </x:c>
      <x:c r="B811" t="str">
        <x:v>Force Extreme Pre Workout</x:v>
      </x:c>
      <x:c r="C811" t="str">
        <x:v>Supplements</x:v>
      </x:c>
      <x:c r="D811" t="str">
        <x:v>Pre Workout</x:v>
      </x:c>
      <x:c r="E811" t="str">
        <x:v>30 servings</x:v>
      </x:c>
      <x:c r="F811" t="n">
        <x:v>3</x:v>
      </x:c>
      <x:c r="G811" t="str">
        <x:v>https://www.activesportstrade.co.uk/refined-nutrition-trade</x:v>
      </x:c>
      <x:c r="H811" t="str"/>
      <x:c r="I811" t="str">
        <x:v>Pending genuine supplier/brand image</x:v>
      </x:c>
    </x:row>
    <x:row r="812">
      <x:c r="A812" t="str">
        <x:v>Refined Nutrition</x:v>
      </x:c>
      <x:c r="B812" t="str">
        <x:v>PUMP Non-Stim Pre Workout</x:v>
      </x:c>
      <x:c r="C812" t="str">
        <x:v>Supplements</x:v>
      </x:c>
      <x:c r="D812" t="str">
        <x:v>Pre Workout</x:v>
      </x:c>
      <x:c r="E812" t="str">
        <x:v>500g</x:v>
      </x:c>
      <x:c r="F812" t="n">
        <x:v>3</x:v>
      </x:c>
      <x:c r="G812" t="str">
        <x:v>https://www.activesportstrade.co.uk/refined-nutrition-trade</x:v>
      </x:c>
      <x:c r="H812" t="str"/>
      <x:c r="I812" t="str">
        <x:v>Pending genuine supplier/brand image</x:v>
      </x:c>
    </x:row>
    <x:row r="813">
      <x:c r="A813" t="str">
        <x:v>Refined Nutrition</x:v>
      </x:c>
      <x:c r="B813" t="str">
        <x:v>Ultra Beef Protein</x:v>
      </x:c>
      <x:c r="C813" t="str">
        <x:v>Supplements</x:v>
      </x:c>
      <x:c r="D813" t="str">
        <x:v>Beef Protein</x:v>
      </x:c>
      <x:c r="E813" t="str">
        <x:v>2.04kg</x:v>
      </x:c>
      <x:c r="F813" t="n">
        <x:v>8</x:v>
      </x:c>
      <x:c r="G813" t="str">
        <x:v>https://www.activesportstrade.co.uk/refined-nutrition-trade</x:v>
      </x:c>
      <x:c r="H813" t="str"/>
      <x:c r="I813" t="str">
        <x:v>Pending genuine supplier/brand image</x:v>
      </x:c>
    </x:row>
    <x:row r="814">
      <x:c r="A814" t="str">
        <x:v>Refined Nutrition</x:v>
      </x:c>
      <x:c r="B814" t="str">
        <x:v>Ultra Collagen</x:v>
      </x:c>
      <x:c r="C814" t="str">
        <x:v>Supplements</x:v>
      </x:c>
      <x:c r="D814" t="str">
        <x:v>Collagen</x:v>
      </x:c>
      <x:c r="E814" t="str">
        <x:v>250g</x:v>
      </x:c>
      <x:c r="F814" t="n">
        <x:v>1</x:v>
      </x:c>
      <x:c r="G814" t="str">
        <x:v>https://www.activesportstrade.co.uk/refined-nutrition-trade</x:v>
      </x:c>
      <x:c r="H814" t="str"/>
      <x:c r="I814" t="str">
        <x:v>Pending genuine supplier/brand image</x:v>
      </x:c>
    </x:row>
    <x:row r="815">
      <x:c r="A815" t="str">
        <x:v>Refined Nutrition</x:v>
      </x:c>
      <x:c r="B815" t="str">
        <x:v>Ultra Creatine</x:v>
      </x:c>
      <x:c r="C815" t="str">
        <x:v>Supplements</x:v>
      </x:c>
      <x:c r="D815" t="str">
        <x:v>Creatine Powders</x:v>
      </x:c>
      <x:c r="E815" t="str">
        <x:v>1kg, 250g, 300g, 500g</x:v>
      </x:c>
      <x:c r="F815" t="n">
        <x:v>4</x:v>
      </x:c>
      <x:c r="G815" t="str">
        <x:v>https://www.activesportstrade.co.uk/refined-nutrition-trade</x:v>
      </x:c>
      <x:c r="H815" t="str"/>
      <x:c r="I815" t="str">
        <x:v>Pending genuine supplier/brand image</x:v>
      </x:c>
    </x:row>
    <x:row r="816">
      <x:c r="A816" t="str">
        <x:v>Refined Nutrition</x:v>
      </x:c>
      <x:c r="B816" t="str">
        <x:v>Ultra EAA</x:v>
      </x:c>
      <x:c r="C816" t="str">
        <x:v>Supplements</x:v>
      </x:c>
      <x:c r="D816" t="str">
        <x:v>EAA</x:v>
      </x:c>
      <x:c r="E816" t="str">
        <x:v>300g</x:v>
      </x:c>
      <x:c r="F816" t="n">
        <x:v>8</x:v>
      </x:c>
      <x:c r="G816" t="str">
        <x:v>https://www.activesportstrade.co.uk/refined-nutrition-trade</x:v>
      </x:c>
      <x:c r="H816" t="str"/>
      <x:c r="I816" t="str">
        <x:v>Pending genuine supplier/brand image</x:v>
      </x:c>
    </x:row>
    <x:row r="817">
      <x:c r="A817" t="str">
        <x:v>Refined Nutrition</x:v>
      </x:c>
      <x:c r="B817" t="str">
        <x:v>Ultra L-Carnitine</x:v>
      </x:c>
      <x:c r="C817" t="str">
        <x:v>Supplements</x:v>
      </x:c>
      <x:c r="D817" t="str">
        <x:v>L-Carnitine</x:v>
      </x:c>
      <x:c r="E817" t="str">
        <x:v>500ml</x:v>
      </x:c>
      <x:c r="F817" t="n">
        <x:v>6</x:v>
      </x:c>
      <x:c r="G817" t="str">
        <x:v>https://www.activesportstrade.co.uk/refined-nutrition-trade</x:v>
      </x:c>
      <x:c r="H817" t="str"/>
      <x:c r="I817" t="str">
        <x:v>Pending genuine supplier/brand image</x:v>
      </x:c>
    </x:row>
    <x:row r="818">
      <x:c r="A818" t="str">
        <x:v>Refined Nutrition</x:v>
      </x:c>
      <x:c r="B818" t="str">
        <x:v>Ultra Meal</x:v>
      </x:c>
      <x:c r="C818" t="str">
        <x:v>Supplements</x:v>
      </x:c>
      <x:c r="D818" t="str">
        <x:v>Meal Replacement</x:v>
      </x:c>
      <x:c r="E818" t="str">
        <x:v>2kg</x:v>
      </x:c>
      <x:c r="F818" t="n">
        <x:v>4</x:v>
      </x:c>
      <x:c r="G818" t="str">
        <x:v>https://www.activesportstrade.co.uk/refined-nutrition-trade</x:v>
      </x:c>
      <x:c r="H818" t="str"/>
      <x:c r="I818" t="str">
        <x:v>Pending genuine supplier/brand image</x:v>
      </x:c>
    </x:row>
    <x:row r="819">
      <x:c r="A819" t="str">
        <x:v>Refined Nutrition</x:v>
      </x:c>
      <x:c r="B819" t="str">
        <x:v>Ultra Whey</x:v>
      </x:c>
      <x:c r="C819" t="str">
        <x:v>Supplements</x:v>
      </x:c>
      <x:c r="D819" t="str">
        <x:v>Whey Protein</x:v>
      </x:c>
      <x:c r="E819" t="str">
        <x:v>2kg</x:v>
      </x:c>
      <x:c r="F819" t="n">
        <x:v>13</x:v>
      </x:c>
      <x:c r="G819" t="str">
        <x:v>https://www.activesportstrade.co.uk/refined-nutrition-trade</x:v>
      </x:c>
      <x:c r="H819" t="str"/>
      <x:c r="I819" t="str">
        <x:v>Pending genuine supplier/brand image</x:v>
      </x:c>
    </x:row>
    <x:row r="820">
      <x:c r="A820" t="str">
        <x:v>Refined Nutrition</x:v>
      </x:c>
      <x:c r="B820" t="str">
        <x:v>Cuts</x:v>
      </x:c>
      <x:c r="C820" t="str">
        <x:v>Supplements</x:v>
      </x:c>
      <x:c r="D820" t="str">
        <x:v>Diet Products</x:v>
      </x:c>
      <x:c r="E820" t="str">
        <x:v>90 caps</x:v>
      </x:c>
      <x:c r="F820" t="n">
        <x:v>1</x:v>
      </x:c>
      <x:c r="G820" t="str">
        <x:v>https://www.activesportstrade.co.uk/refined-nutrition-trade</x:v>
      </x:c>
      <x:c r="H820" t="str"/>
      <x:c r="I820" t="str">
        <x:v>Pending genuine supplier/brand image</x:v>
      </x:c>
    </x:row>
    <x:row r="821">
      <x:c r="A821" t="str">
        <x:v>Refined Nutrition</x:v>
      </x:c>
      <x:c r="B821" t="str">
        <x:v>Test Drive</x:v>
      </x:c>
      <x:c r="C821" t="str">
        <x:v>Supplements</x:v>
      </x:c>
      <x:c r="D821" t="str">
        <x:v>Hormone Support</x:v>
      </x:c>
      <x:c r="E821" t="str">
        <x:v>120 caps</x:v>
      </x:c>
      <x:c r="F821" t="n">
        <x:v>1</x:v>
      </x:c>
      <x:c r="G821" t="str">
        <x:v>https://www.activesportstrade.co.uk/refined-nutrition-trade</x:v>
      </x:c>
      <x:c r="H821" t="str"/>
      <x:c r="I821" t="str">
        <x:v>Pending genuine supplier/brand image</x:v>
      </x:c>
    </x:row>
    <x:row r="822">
      <x:c r="A822" t="str">
        <x:v>Refined Nutrition</x:v>
      </x:c>
      <x:c r="B822" t="str">
        <x:v>Tribulus</x:v>
      </x:c>
      <x:c r="C822" t="str">
        <x:v>Supplements</x:v>
      </x:c>
      <x:c r="D822" t="str">
        <x:v>Hormone Support</x:v>
      </x:c>
      <x:c r="E822" t="str">
        <x:v>60 caps</x:v>
      </x:c>
      <x:c r="F822" t="n">
        <x:v>1</x:v>
      </x:c>
      <x:c r="G822" t="str">
        <x:v>https://www.activesportstrade.co.uk/refined-nutrition-trade</x:v>
      </x:c>
      <x:c r="H822" t="str"/>
      <x:c r="I822" t="str">
        <x:v>Pending genuine supplier/brand image</x:v>
      </x:c>
    </x:row>
    <x:row r="823">
      <x:c r="A823" t="str">
        <x:v>Refined Nutrition</x:v>
      </x:c>
      <x:c r="B823" t="str">
        <x:v>Ultra 3-in-1 Zinc</x:v>
      </x:c>
      <x:c r="C823" t="str">
        <x:v>Supplements</x:v>
      </x:c>
      <x:c r="D823" t="str">
        <x:v>Vitamins &amp; Minerals</x:v>
      </x:c>
      <x:c r="E823" t="str">
        <x:v>365 tablets</x:v>
      </x:c>
      <x:c r="F823" t="n">
        <x:v>1</x:v>
      </x:c>
      <x:c r="G823" t="str">
        <x:v>https://www.activesportstrade.co.uk/refined-nutrition-trade</x:v>
      </x:c>
      <x:c r="H823" t="str"/>
      <x:c r="I823" t="str">
        <x:v>Pending genuine supplier/brand image</x:v>
      </x:c>
    </x:row>
    <x:row r="824">
      <x:c r="A824" t="str">
        <x:v>Refined Nutrition</x:v>
      </x:c>
      <x:c r="B824" t="str">
        <x:v>Ultra Magnesium Glycinate 3-in-1</x:v>
      </x:c>
      <x:c r="C824" t="str">
        <x:v>Supplements</x:v>
      </x:c>
      <x:c r="D824" t="str">
        <x:v>Vitamins &amp; Minerals</x:v>
      </x:c>
      <x:c r="E824" t="str">
        <x:v>90 caps</x:v>
      </x:c>
      <x:c r="F824" t="n">
        <x:v>1</x:v>
      </x:c>
      <x:c r="G824" t="str">
        <x:v>https://www.activesportstrade.co.uk/refined-nutrition-trade</x:v>
      </x:c>
      <x:c r="H824" t="str"/>
      <x:c r="I824" t="str">
        <x:v>Pending genuine supplier/brand image</x:v>
      </x:c>
    </x:row>
    <x:row r="825">
      <x:c r="A825" t="str">
        <x:v>Refined Nutrition</x:v>
      </x:c>
      <x:c r="B825" t="str">
        <x:v>Ultra Omega</x:v>
      </x:c>
      <x:c r="C825" t="str">
        <x:v>Supplements</x:v>
      </x:c>
      <x:c r="D825" t="str">
        <x:v>Omega and EFA</x:v>
      </x:c>
      <x:c r="E825" t="str">
        <x:v>60 caps</x:v>
      </x:c>
      <x:c r="F825" t="n">
        <x:v>1</x:v>
      </x:c>
      <x:c r="G825" t="str">
        <x:v>https://www.activesportstrade.co.uk/refined-nutrition-trade</x:v>
      </x:c>
      <x:c r="H825" t="str"/>
      <x:c r="I825" t="str">
        <x:v>Pending genuine supplier/brand image</x:v>
      </x:c>
    </x:row>
    <x:row r="826">
      <x:c r="A826" t="str">
        <x:v>Refined Nutrition</x:v>
      </x:c>
      <x:c r="B826" t="str">
        <x:v>Ultra Pack</x:v>
      </x:c>
      <x:c r="C826" t="str">
        <x:v>Supplements</x:v>
      </x:c>
      <x:c r="D826" t="str">
        <x:v>Vitamins &amp; Minerals</x:v>
      </x:c>
      <x:c r="E826" t="str">
        <x:v>30 packs</x:v>
      </x:c>
      <x:c r="F826" t="n">
        <x:v>1</x:v>
      </x:c>
      <x:c r="G826" t="str">
        <x:v>https://www.activesportstrade.co.uk/refined-nutrition-trade</x:v>
      </x:c>
      <x:c r="H826" t="str"/>
      <x:c r="I826" t="str">
        <x:v>Pending genuine supplier/brand image</x:v>
      </x:c>
    </x:row>
    <x:row r="827">
      <x:c r="A827" t="str">
        <x:v>Refined Nutrition</x:v>
      </x:c>
      <x:c r="B827" t="str">
        <x:v>Ultra Sea Moss</x:v>
      </x:c>
      <x:c r="C827" t="str">
        <x:v>Supplements</x:v>
      </x:c>
      <x:c r="D827" t="str">
        <x:v>Health Supplements</x:v>
      </x:c>
      <x:c r="E827" t="str">
        <x:v>90 tablets</x:v>
      </x:c>
      <x:c r="F827" t="n">
        <x:v>1</x:v>
      </x:c>
      <x:c r="G827" t="str">
        <x:v>https://www.activesportstrade.co.uk/refined-nutrition-trade</x:v>
      </x:c>
      <x:c r="H827" t="str"/>
      <x:c r="I827" t="str">
        <x:v>Pending genuine supplier/brand image</x:v>
      </x:c>
    </x:row>
    <x:row r="828">
      <x:c r="A828" t="str">
        <x:v>Refined Nutrition</x:v>
      </x:c>
      <x:c r="B828" t="str">
        <x:v>Ultra Shilajit</x:v>
      </x:c>
      <x:c r="C828" t="str">
        <x:v>Supplements</x:v>
      </x:c>
      <x:c r="D828" t="str">
        <x:v>Health Supplements</x:v>
      </x:c>
      <x:c r="E828" t="str">
        <x:v>60 caps</x:v>
      </x:c>
      <x:c r="F828" t="n">
        <x:v>1</x:v>
      </x:c>
      <x:c r="G828" t="str">
        <x:v>https://www.activesportstrade.co.uk/refined-nutrition-trade</x:v>
      </x:c>
      <x:c r="H828" t="str"/>
      <x:c r="I828" t="str">
        <x:v>Pending genuine supplier/brand image</x:v>
      </x:c>
    </x:row>
    <x:row r="829">
      <x:c r="A829" t="str">
        <x:v>Refined Nutrition</x:v>
      </x:c>
      <x:c r="B829" t="str">
        <x:v>Ultra Turmeric</x:v>
      </x:c>
      <x:c r="C829" t="str">
        <x:v>Supplements</x:v>
      </x:c>
      <x:c r="D829" t="str">
        <x:v>Health Supplements</x:v>
      </x:c>
      <x:c r="E829" t="str">
        <x:v>240 tablets</x:v>
      </x:c>
      <x:c r="F829" t="n">
        <x:v>1</x:v>
      </x:c>
      <x:c r="G829" t="str">
        <x:v>https://www.activesportstrade.co.uk/refined-nutrition-trade</x:v>
      </x:c>
      <x:c r="H829" t="str"/>
      <x:c r="I829" t="str">
        <x:v>Pending genuine supplier/brand image</x:v>
      </x:c>
    </x:row>
    <x:row r="830">
      <x:c r="A830" t="str">
        <x:v>Refined Nutrition</x:v>
      </x:c>
      <x:c r="B830" t="str">
        <x:v>Ultra Vitamin B12</x:v>
      </x:c>
      <x:c r="C830" t="str">
        <x:v>Supplements</x:v>
      </x:c>
      <x:c r="D830" t="str">
        <x:v>Vitamins &amp; Minerals</x:v>
      </x:c>
      <x:c r="E830" t="str">
        <x:v>365 tablets</x:v>
      </x:c>
      <x:c r="F830" t="n">
        <x:v>1</x:v>
      </x:c>
      <x:c r="G830" t="str">
        <x:v>https://www.activesportstrade.co.uk/refined-nutrition-trade</x:v>
      </x:c>
      <x:c r="H830" t="str"/>
      <x:c r="I830" t="str">
        <x:v>Pending genuine supplier/brand image</x:v>
      </x:c>
    </x:row>
    <x:row r="831">
      <x:c r="A831" t="str">
        <x:v>Refined Nutrition</x:v>
      </x:c>
      <x:c r="B831" t="str">
        <x:v>Ultra Vitamin C</x:v>
      </x:c>
      <x:c r="C831" t="str">
        <x:v>Supplements</x:v>
      </x:c>
      <x:c r="D831" t="str">
        <x:v>Vitamins &amp; Minerals</x:v>
      </x:c>
      <x:c r="E831" t="str">
        <x:v>90 tablets</x:v>
      </x:c>
      <x:c r="F831" t="n">
        <x:v>1</x:v>
      </x:c>
      <x:c r="G831" t="str">
        <x:v>https://www.activesportstrade.co.uk/refined-nutrition-trade</x:v>
      </x:c>
      <x:c r="H831" t="str"/>
      <x:c r="I831" t="str">
        <x:v>Pending genuine supplier/brand image</x:v>
      </x:c>
    </x:row>
    <x:row r="832">
      <x:c r="A832" t="str">
        <x:v>Refined Nutrition</x:v>
      </x:c>
      <x:c r="B832" t="str">
        <x:v>Ultra Vitamin D3 + K2</x:v>
      </x:c>
      <x:c r="C832" t="str">
        <x:v>Supplements</x:v>
      </x:c>
      <x:c r="D832" t="str">
        <x:v>Vitamins &amp; Minerals</x:v>
      </x:c>
      <x:c r="E832" t="str">
        <x:v>365 tablets</x:v>
      </x:c>
      <x:c r="F832" t="n">
        <x:v>1</x:v>
      </x:c>
      <x:c r="G832" t="str">
        <x:v>https://www.activesportstrade.co.uk/refined-nutrition-trade</x:v>
      </x:c>
      <x:c r="H832" t="str"/>
      <x:c r="I832" t="str">
        <x:v>Pending genuine supplier/brand image</x:v>
      </x:c>
    </x:row>
    <x:row r="833">
      <x:c r="A833" t="str">
        <x:v>Refined Nutrition</x:v>
      </x:c>
      <x:c r="B833" t="str">
        <x:v>Ultra Vitamin D3</x:v>
      </x:c>
      <x:c r="C833" t="str">
        <x:v>Supplements</x:v>
      </x:c>
      <x:c r="D833" t="str">
        <x:v>Vitamins &amp; Minerals</x:v>
      </x:c>
      <x:c r="E833" t="str">
        <x:v>365 tablets</x:v>
      </x:c>
      <x:c r="F833" t="n">
        <x:v>1</x:v>
      </x:c>
      <x:c r="G833" t="str">
        <x:v>https://www.activesportstrade.co.uk/refined-nutrition-trade</x:v>
      </x:c>
      <x:c r="H833" t="str"/>
      <x:c r="I833" t="str">
        <x:v>Pending genuine supplier/brand image</x:v>
      </x:c>
    </x:row>
    <x:row r="834">
      <x:c r="A834" t="str">
        <x:v>Refined Nutrition</x:v>
      </x:c>
      <x:c r="B834" t="str">
        <x:v>Ultra Woman Multi Vitamin</x:v>
      </x:c>
      <x:c r="C834" t="str">
        <x:v>Supplements</x:v>
      </x:c>
      <x:c r="D834" t="str">
        <x:v>Vitamins &amp; Minerals</x:v>
      </x:c>
      <x:c r="E834" t="str">
        <x:v>60 tablets</x:v>
      </x:c>
      <x:c r="F834" t="n">
        <x:v>1</x:v>
      </x:c>
      <x:c r="G834" t="str">
        <x:v>https://www.activesportstrade.co.uk/refined-nutrition-trade</x:v>
      </x:c>
      <x:c r="H834" t="str"/>
      <x:c r="I834" t="str">
        <x:v>Pending genuine supplier/brand image</x:v>
      </x:c>
    </x:row>
    <x:row r="835">
      <x:c r="A835" t="str">
        <x:v>Refined Nutrition</x:v>
      </x:c>
      <x:c r="B835" t="str">
        <x:v>Ultra ZMA</x:v>
      </x:c>
      <x:c r="C835" t="str">
        <x:v>Supplements</x:v>
      </x:c>
      <x:c r="D835" t="str">
        <x:v>ZMA</x:v>
      </x:c>
      <x:c r="E835" t="str">
        <x:v>90 caps</x:v>
      </x:c>
      <x:c r="F835" t="n">
        <x:v>1</x:v>
      </x:c>
      <x:c r="G835" t="str">
        <x:v>https://www.activesportstrade.co.uk/refined-nutrition-trade</x:v>
      </x:c>
      <x:c r="H835" t="str"/>
      <x:c r="I835" t="str">
        <x:v>Pending genuine supplier/brand image</x:v>
      </x:c>
    </x:row>
    <x:row r="836">
      <x:c r="A836" t="str">
        <x:v>Applied Nutrition</x:v>
      </x:c>
      <x:c r="B836" t="str">
        <x:v>ABE Pre Workout Energy Gels</x:v>
      </x:c>
      <x:c r="C836" t="str">
        <x:v>Food &amp; Drinks</x:v>
      </x:c>
      <x:c r="D836" t="str">
        <x:v>Energy Gels</x:v>
      </x:c>
      <x:c r="E836" t="str">
        <x:v>20 gels</x:v>
      </x:c>
      <x:c r="F836" t="n">
        <x:v>6</x:v>
      </x:c>
      <x:c r="G836" t="str">
        <x:v>https://www.activesportstrade.co.uk/applied-nutrition-trade</x:v>
      </x:c>
      <x:c r="H836" t="str"/>
      <x:c r="I836" t="str">
        <x:v>Pending genuine supplier/brand image</x:v>
      </x:c>
    </x:row>
    <x:row r="837">
      <x:c r="A837" t="str">
        <x:v>Applied Nutrition</x:v>
      </x:c>
      <x:c r="B837" t="str">
        <x:v>Critical Plant Protein</x:v>
      </x:c>
      <x:c r="C837" t="str">
        <x:v>Supplements</x:v>
      </x:c>
      <x:c r="D837" t="str">
        <x:v>Vegan Protein</x:v>
      </x:c>
      <x:c r="E837" t="str">
        <x:v>1.8kg, 450g</x:v>
      </x:c>
      <x:c r="F837" t="n">
        <x:v>6</x:v>
      </x:c>
      <x:c r="G837" t="str">
        <x:v>https://www.activesportstrade.co.uk/applied-nutrition-trade</x:v>
      </x:c>
      <x:c r="H837" t="str"/>
      <x:c r="I837" t="str">
        <x:v>Pending genuine supplier/brand image</x:v>
      </x:c>
    </x:row>
    <x:row r="838">
      <x:c r="A838" t="str">
        <x:v>Applied Nutrition</x:v>
      </x:c>
      <x:c r="B838" t="str">
        <x:v>ABE Pre Workout Sachet</x:v>
      </x:c>
      <x:c r="C838" t="str">
        <x:v>Supplements</x:v>
      </x:c>
      <x:c r="D838" t="str">
        <x:v>Pre Workout</x:v>
      </x:c>
      <x:c r="E838" t="str">
        <x:v>1 x 12.5g sachet</x:v>
      </x:c>
      <x:c r="F838" t="n">
        <x:v>5</x:v>
      </x:c>
      <x:c r="G838" t="str">
        <x:v>https://www.activesportstrade.co.uk/trade-convienience/applied-nutrition-trade</x:v>
      </x:c>
      <x:c r="H838" t="str"/>
      <x:c r="I838" t="str">
        <x:v>Pending genuine supplier/brand image</x:v>
      </x:c>
    </x:row>
    <x:row r="839">
      <x:c r="A839" t="str">
        <x:v>Applied Nutrition</x:v>
      </x:c>
      <x:c r="B839" t="str">
        <x:v>ABE Energy + Performance Can RTD</x:v>
      </x:c>
      <x:c r="C839" t="str">
        <x:v>Food &amp; Drinks</x:v>
      </x:c>
      <x:c r="D839" t="str">
        <x:v>Energy Drinks</x:v>
      </x:c>
      <x:c r="E839" t="str">
        <x:v>12 x 330ml</x:v>
      </x:c>
      <x:c r="F839" t="n">
        <x:v>10</x:v>
      </x:c>
      <x:c r="G839" t="str">
        <x:v>https://www.activesportstrade.co.uk/trade-convienience/applied-nutrition-trade</x:v>
      </x:c>
      <x:c r="H839" t="str"/>
      <x:c r="I839" t="str">
        <x:v>Pending genuine supplier/brand image</x:v>
      </x:c>
    </x:row>
    <x:row r="840">
      <x:c r="A840" t="str">
        <x:v>USN</x:v>
      </x:c>
      <x:c r="B840" t="str">
        <x:v>Diet Fuel Ultra Lean</x:v>
      </x:c>
      <x:c r="C840" t="str">
        <x:v>Supplements</x:v>
      </x:c>
      <x:c r="D840" t="str">
        <x:v>Meal Replacement</x:v>
      </x:c>
      <x:c r="E840" t="str">
        <x:v>1kg, 2kg</x:v>
      </x:c>
      <x:c r="F840" t="n">
        <x:v>7</x:v>
      </x:c>
      <x:c r="G840" t="str">
        <x:v>https://www.activesportstrade.co.uk/usn-trade</x:v>
      </x:c>
      <x:c r="H840" t="str"/>
      <x:c r="I840" t="str">
        <x:v>Pending genuine supplier/brand image</x:v>
      </x:c>
    </x:row>
    <x:row r="841">
      <x:c r="A841" t="str">
        <x:v>USN</x:v>
      </x:c>
      <x:c r="B841" t="str">
        <x:v>Hyperbolic Mass GH</x:v>
      </x:c>
      <x:c r="C841" t="str">
        <x:v>Supplements</x:v>
      </x:c>
      <x:c r="D841" t="str">
        <x:v>Mass Gainer</x:v>
      </x:c>
      <x:c r="E841" t="str">
        <x:v>2kg</x:v>
      </x:c>
      <x:c r="F841" t="n">
        <x:v>3</x:v>
      </x:c>
      <x:c r="G841" t="str">
        <x:v>https://www.activesportstrade.co.uk/usn-trade</x:v>
      </x:c>
      <x:c r="H841" t="str"/>
      <x:c r="I841" t="str">
        <x:v>Pending genuine supplier/brand image</x:v>
      </x:c>
    </x:row>
    <x:row r="842">
      <x:c r="A842" t="str">
        <x:v>USN</x:v>
      </x:c>
      <x:c r="B842" t="str">
        <x:v>Muscle Fuel Anabolic</x:v>
      </x:c>
      <x:c r="C842" t="str">
        <x:v>Supplements</x:v>
      </x:c>
      <x:c r="D842" t="str">
        <x:v>All in One / Mass</x:v>
      </x:c>
      <x:c r="E842" t="str">
        <x:v>2kg, 4kg</x:v>
      </x:c>
      <x:c r="F842" t="n">
        <x:v>14</x:v>
      </x:c>
      <x:c r="G842" t="str">
        <x:v>https://www.activesportstrade.co.uk/usn-trade</x:v>
      </x:c>
      <x:c r="H842" t="str"/>
      <x:c r="I842" t="str">
        <x:v>Pending genuine supplier/brand image</x:v>
      </x:c>
    </x:row>
    <x:row r="843">
      <x:c r="A843" t="str">
        <x:v>USN</x:v>
      </x:c>
      <x:c r="B843" t="str">
        <x:v>Protein Fuel 40 RTD</x:v>
      </x:c>
      <x:c r="C843" t="str">
        <x:v>Food &amp; Drinks</x:v>
      </x:c>
      <x:c r="D843" t="str">
        <x:v>Ready to Drink Protein</x:v>
      </x:c>
      <x:c r="E843" t="str">
        <x:v>6 x 500ml</x:v>
      </x:c>
      <x:c r="F843" t="n">
        <x:v>4</x:v>
      </x:c>
      <x:c r="G843" t="str">
        <x:v>https://www.activesportstrade.co.uk/trade-convienience</x:v>
      </x:c>
      <x:c r="H843" t="str"/>
      <x:c r="I843" t="str">
        <x:v>Pending genuine supplier/brand image</x:v>
      </x:c>
    </x:row>
    <x:row r="844">
      <x:c r="A844" t="str">
        <x:v>USN</x:v>
      </x:c>
      <x:c r="B844" t="str">
        <x:v>Shaker</x:v>
      </x:c>
      <x:c r="C844" t="str">
        <x:v>Merch &amp; Apparel</x:v>
      </x:c>
      <x:c r="D844" t="str">
        <x:v>Accessories</x:v>
      </x:c>
      <x:c r="E844" t="str">
        <x:v>500ml</x:v>
      </x:c>
      <x:c r="F844" t="n">
        <x:v>1</x:v>
      </x:c>
      <x:c r="G844" t="str">
        <x:v>https://www.activesportstrade.co.uk/usn-trade</x:v>
      </x:c>
      <x:c r="H844" t="str"/>
      <x:c r="I844" t="str">
        <x:v>Pending genuine supplier/brand image</x:v>
      </x:c>
    </x:row>
    <x:row r="845">
      <x:c r="A845" t="str">
        <x:v>Applied Nutrition</x:v>
      </x:c>
      <x:c r="B845" t="str">
        <x:v>ISO-XP 100% Whey Protein Isolate</x:v>
      </x:c>
      <x:c r="C845" t="str">
        <x:v>Supplements</x:v>
      </x:c>
      <x:c r="D845" t="str">
        <x:v>Whey Isolate</x:v>
      </x:c>
      <x:c r="E845" t="str">
        <x:v>1.8kg, 1kg, 850g</x:v>
      </x:c>
      <x:c r="F845" t="n">
        <x:v>18</x:v>
      </x:c>
      <x:c r="G845" t="str">
        <x:v>https://www.activesportstrade.co.uk/applied-nutrition-trade</x:v>
      </x:c>
      <x:c r="H845" t="str"/>
      <x:c r="I845" t="str">
        <x:v>Pending genuine supplier/brand image</x:v>
      </x:c>
    </x:row>
    <x:row r="846">
      <x:c r="A846" t="str">
        <x:v>Applied Nutrition</x:v>
      </x:c>
      <x:c r="B846" t="str">
        <x:v>Coleen Rooney Debloat</x:v>
      </x:c>
      <x:c r="C846" t="str">
        <x:v>Supplements</x:v>
      </x:c>
      <x:c r="D846" t="str">
        <x:v>Digestive Support</x:v>
      </x:c>
      <x:c r="E846" t="str">
        <x:v>14 x 9.1g sticks</x:v>
      </x:c>
      <x:c r="F846" t="n">
        <x:v>1</x:v>
      </x:c>
      <x:c r="G846" t="str">
        <x:v>https://www.activesportstrade.co.uk/applied-nutrition-trade</x:v>
      </x:c>
      <x:c r="H846" t="str"/>
      <x:c r="I846" t="str">
        <x:v>Pending genuine supplier/brand image</x:v>
      </x:c>
    </x:row>
    <x:row r="847">
      <x:c r="A847" t="str">
        <x:v>Applied Nutrition</x:v>
      </x:c>
      <x:c r="B847" t="str">
        <x:v>Coleen Rooney Hydration</x:v>
      </x:c>
      <x:c r="C847" t="str">
        <x:v>Supplements</x:v>
      </x:c>
      <x:c r="D847" t="str">
        <x:v>Hydration</x:v>
      </x:c>
      <x:c r="E847" t="str">
        <x:v>14 x 7g sticks</x:v>
      </x:c>
      <x:c r="F847" t="n">
        <x:v>2</x:v>
      </x:c>
      <x:c r="G847" t="str">
        <x:v>https://www.activesportstrade.co.uk/applied-nutrition-trade</x:v>
      </x:c>
      <x:c r="H847" t="str"/>
      <x:c r="I847" t="str">
        <x:v>Pending genuine supplier/brand image</x:v>
      </x:c>
    </x:row>
    <x:row r="848">
      <x:c r="A848" t="str">
        <x:v>Applied Nutrition</x:v>
      </x:c>
      <x:c r="B848" t="str">
        <x:v>Coleen Rooney Immunity</x:v>
      </x:c>
      <x:c r="C848" t="str">
        <x:v>Supplements</x:v>
      </x:c>
      <x:c r="D848" t="str">
        <x:v>Immune Support</x:v>
      </x:c>
      <x:c r="E848" t="str">
        <x:v>14 x 5g sticks</x:v>
      </x:c>
      <x:c r="F848" t="n">
        <x:v>1</x:v>
      </x:c>
      <x:c r="G848" t="str">
        <x:v>https://www.activesportstrade.co.uk/applied-nutrition-trade</x:v>
      </x:c>
      <x:c r="H848" t="str"/>
      <x:c r="I848" t="str">
        <x:v>Pending genuine supplier/brand image</x:v>
      </x:c>
    </x:row>
    <x:row r="849">
      <x:c r="A849" t="str">
        <x:v>Supplement Needs</x:v>
      </x:c>
      <x:c r="B849" t="str">
        <x:v>Joint Stack</x:v>
      </x:c>
      <x:c r="C849" t="str">
        <x:v>Supplements</x:v>
      </x:c>
      <x:c r="D849" t="str">
        <x:v>Joint Support</x:v>
      </x:c>
      <x:c r="E849" t="str">
        <x:v>252 caps</x:v>
      </x:c>
      <x:c r="F849" t="n">
        <x:v>1</x:v>
      </x:c>
      <x:c r="G849" t="str">
        <x:v>https://www.activesportstrade.co.uk/supplement-needs-trade</x:v>
      </x:c>
      <x:c r="H849" t="str"/>
      <x:c r="I849" t="str">
        <x:v>Pending genuine supplier/brand image</x:v>
      </x:c>
    </x:row>
    <x:row r="850">
      <x:c r="A850" t="str">
        <x:v>Supplement Needs</x:v>
      </x:c>
      <x:c r="B850" t="str">
        <x:v>Kidney &amp; Blood Pressure Stack Powder</x:v>
      </x:c>
      <x:c r="C850" t="str">
        <x:v>Supplements</x:v>
      </x:c>
      <x:c r="D850" t="str">
        <x:v>Health Support</x:v>
      </x:c>
      <x:c r="E850" t="str">
        <x:v>30 servings</x:v>
      </x:c>
      <x:c r="F850" t="n">
        <x:v>1</x:v>
      </x:c>
      <x:c r="G850" t="str">
        <x:v>https://www.activesportstrade.co.uk/supplement-needs-trade</x:v>
      </x:c>
      <x:c r="H850" t="str"/>
      <x:c r="I850" t="str">
        <x:v>Pending genuine supplier/brand image</x:v>
      </x:c>
    </x:row>
    <x:row r="851">
      <x:c r="A851" t="str">
        <x:v>Supplement Needs</x:v>
      </x:c>
      <x:c r="B851" t="str">
        <x:v>Kidney &amp; Blood Pressure Stack Capsules</x:v>
      </x:c>
      <x:c r="C851" t="str">
        <x:v>Supplements</x:v>
      </x:c>
      <x:c r="D851" t="str">
        <x:v>Health Support</x:v>
      </x:c>
      <x:c r="E851" t="str">
        <x:v>240 caps</x:v>
      </x:c>
      <x:c r="F851" t="n">
        <x:v>1</x:v>
      </x:c>
      <x:c r="G851" t="str">
        <x:v>https://www.activesportstrade.co.uk/supplement-needs-trade</x:v>
      </x:c>
      <x:c r="H851" t="str"/>
      <x:c r="I851" t="str">
        <x:v>Pending genuine supplier/brand image</x:v>
      </x:c>
    </x:row>
    <x:row r="852">
      <x:c r="A852" t="str">
        <x:v>Supplement Needs</x:v>
      </x:c>
      <x:c r="B852" t="str">
        <x:v>Lipid+</x:v>
      </x:c>
      <x:c r="C852" t="str">
        <x:v>Supplements</x:v>
      </x:c>
      <x:c r="D852" t="str">
        <x:v>Health Support</x:v>
      </x:c>
      <x:c r="E852" t="str">
        <x:v>90 caps</x:v>
      </x:c>
      <x:c r="F852" t="n">
        <x:v>1</x:v>
      </x:c>
      <x:c r="G852" t="str">
        <x:v>https://www.activesportstrade.co.uk/supplement-needs-trade</x:v>
      </x:c>
      <x:c r="H852" t="str"/>
      <x:c r="I852" t="str">
        <x:v>Pending genuine supplier/brand image</x:v>
      </x:c>
    </x:row>
    <x:row r="853">
      <x:c r="A853" t="str">
        <x:v>Supplement Needs</x:v>
      </x:c>
      <x:c r="B853" t="str">
        <x:v>Probiotics 50 Billion CFU</x:v>
      </x:c>
      <x:c r="C853" t="str">
        <x:v>Supplements</x:v>
      </x:c>
      <x:c r="D853" t="str">
        <x:v>Digestive Support</x:v>
      </x:c>
      <x:c r="E853" t="str">
        <x:v>60 caps</x:v>
      </x:c>
      <x:c r="F853" t="n">
        <x:v>1</x:v>
      </x:c>
      <x:c r="G853" t="str">
        <x:v>https://www.activesportstrade.co.uk/supplement-needs-trade</x:v>
      </x:c>
      <x:c r="H853" t="str"/>
      <x:c r="I853" t="str">
        <x:v>Pending genuine supplier/brand image</x:v>
      </x:c>
    </x:row>
    <x:row r="854">
      <x:c r="A854" t="str">
        <x:v>Supplement Needs</x:v>
      </x:c>
      <x:c r="B854" t="str">
        <x:v>PurCaf &amp; Theanine</x:v>
      </x:c>
      <x:c r="C854" t="str">
        <x:v>Supplements</x:v>
      </x:c>
      <x:c r="D854" t="str">
        <x:v>Focus / Energy</x:v>
      </x:c>
      <x:c r="E854" t="str">
        <x:v>60 caps</x:v>
      </x:c>
      <x:c r="F854" t="n">
        <x:v>1</x:v>
      </x:c>
      <x:c r="G854" t="str">
        <x:v>https://www.activesportstrade.co.uk/supplement-needs-trade</x:v>
      </x:c>
      <x:c r="H854" t="str"/>
      <x:c r="I854" t="str">
        <x:v>Pending genuine supplier/brand image</x:v>
      </x:c>
    </x:row>
    <x:row r="855">
      <x:c r="A855" t="str">
        <x:v>Supplement Needs</x:v>
      </x:c>
      <x:c r="B855" t="str">
        <x:v>SerraNatto+</x:v>
      </x:c>
      <x:c r="C855" t="str">
        <x:v>Supplements</x:v>
      </x:c>
      <x:c r="D855" t="str">
        <x:v>Health Support</x:v>
      </x:c>
      <x:c r="E855" t="str">
        <x:v>60 caps</x:v>
      </x:c>
      <x:c r="F855" t="n">
        <x:v>1</x:v>
      </x:c>
      <x:c r="G855" t="str">
        <x:v>https://www.activesportstrade.co.uk/supplement-needs-trade</x:v>
      </x:c>
      <x:c r="H855" t="str"/>
      <x:c r="I855" t="str">
        <x:v>Pending genuine supplier/brand image</x:v>
      </x:c>
    </x:row>
    <x:row r="856">
      <x:c r="A856" t="str">
        <x:v>Supplement Needs</x:v>
      </x:c>
      <x:c r="B856" t="str">
        <x:v>Sleep Stack</x:v>
      </x:c>
      <x:c r="C856" t="str">
        <x:v>Supplements</x:v>
      </x:c>
      <x:c r="D856" t="str">
        <x:v>Sleep Support</x:v>
      </x:c>
      <x:c r="E856" t="str">
        <x:v>120 caps, 60 caps</x:v>
      </x:c>
      <x:c r="F856" t="n">
        <x:v>2</x:v>
      </x:c>
      <x:c r="G856" t="str">
        <x:v>https://www.activesportstrade.co.uk/supplement-needs-trade</x:v>
      </x:c>
      <x:c r="H856" t="str"/>
      <x:c r="I856" t="str">
        <x:v>Pending genuine supplier/brand image</x:v>
      </x:c>
    </x:row>
    <x:row r="857">
      <x:c r="A857" t="str">
        <x:v>Supplement Needs</x:v>
      </x:c>
      <x:c r="B857" t="str">
        <x:v>Vitamin C Powder</x:v>
      </x:c>
      <x:c r="C857" t="str">
        <x:v>Supplements</x:v>
      </x:c>
      <x:c r="D857" t="str">
        <x:v>Vitamins &amp; Minerals</x:v>
      </x:c>
      <x:c r="E857" t="str">
        <x:v>300g</x:v>
      </x:c>
      <x:c r="F857" t="n">
        <x:v>1</x:v>
      </x:c>
      <x:c r="G857" t="str">
        <x:v>https://www.activesportstrade.co.uk/supplement-needs-trade</x:v>
      </x:c>
      <x:c r="H857" t="str"/>
      <x:c r="I857" t="str">
        <x:v>Pending genuine supplier/brand image</x:v>
      </x:c>
    </x:row>
    <x:row r="858">
      <x:c r="A858" t="str">
        <x:v>Supplement Needs</x:v>
      </x:c>
      <x:c r="B858" t="str">
        <x:v>PRE Pump+</x:v>
      </x:c>
      <x:c r="C858" t="str">
        <x:v>Supplements</x:v>
      </x:c>
      <x:c r="D858" t="str">
        <x:v>Pre Workout</x:v>
      </x:c>
      <x:c r="E858" t="str">
        <x:v>30 servings</x:v>
      </x:c>
      <x:c r="F858" t="n">
        <x:v>3</x:v>
      </x:c>
      <x:c r="G858" t="str">
        <x:v>https://www.activesportstrade.co.uk/supplement-needs-trade</x:v>
      </x:c>
      <x:c r="H858" t="str"/>
      <x:c r="I858" t="str">
        <x:v>Pending genuine supplier/brand image</x:v>
      </x:c>
    </x:row>
    <x:row r="859">
      <x:c r="A859" t="str">
        <x:v>Supplement Needs</x:v>
      </x:c>
      <x:c r="B859" t="str">
        <x:v>Pre Stim+</x:v>
      </x:c>
      <x:c r="C859" t="str">
        <x:v>Supplements</x:v>
      </x:c>
      <x:c r="D859" t="str">
        <x:v>Pre Workout</x:v>
      </x:c>
      <x:c r="E859" t="str">
        <x:v>30 servings</x:v>
      </x:c>
      <x:c r="F859" t="n">
        <x:v>3</x:v>
      </x:c>
      <x:c r="G859" t="str">
        <x:v>https://www.activesportstrade.co.uk/supplement-needs-trade</x:v>
      </x:c>
      <x:c r="H859" t="str"/>
      <x:c r="I859" t="str">
        <x:v>Pending genuine supplier/brand image</x:v>
      </x:c>
    </x:row>
    <x:row r="860">
      <x:c r="A860" t="str">
        <x:v>Supplement Needs</x:v>
      </x:c>
      <x:c r="B860" t="str">
        <x:v>Pre Stim PRO</x:v>
      </x:c>
      <x:c r="C860" t="str">
        <x:v>Supplements</x:v>
      </x:c>
      <x:c r="D860" t="str">
        <x:v>Pre Workout</x:v>
      </x:c>
      <x:c r="E860" t="str">
        <x:v>30 servings</x:v>
      </x:c>
      <x:c r="F860" t="n">
        <x:v>3</x:v>
      </x:c>
      <x:c r="G860" t="str">
        <x:v>https://www.activesportstrade.co.uk/supplement-needs-trade</x:v>
      </x:c>
      <x:c r="H860" t="str"/>
      <x:c r="I860" t="str">
        <x:v>Pending genuine supplier/brand image</x:v>
      </x:c>
    </x:row>
    <x:row r="861">
      <x:c r="A861" t="str">
        <x:v>Trained By JP</x:v>
      </x:c>
      <x:c r="B861" t="str">
        <x:v>Performance Isolate</x:v>
      </x:c>
      <x:c r="C861" t="str">
        <x:v>Supplements</x:v>
      </x:c>
      <x:c r="D861" t="str">
        <x:v>Protein Blend</x:v>
      </x:c>
      <x:c r="E861" t="str">
        <x:v>1kg, 2kg</x:v>
      </x:c>
      <x:c r="F861" t="n">
        <x:v>41</x:v>
      </x:c>
      <x:c r="G861" t="str">
        <x:v>https://www.activesportstrade.co.uk/trained-by-jp-trade</x:v>
      </x:c>
      <x:c r="H861" t="str"/>
      <x:c r="I861" t="str">
        <x:v>Pending genuine supplier/brand image</x:v>
      </x:c>
    </x:row>
    <x:row r="862">
      <x:c r="A862" t="str">
        <x:v>Trained By JP</x:v>
      </x:c>
      <x:c r="B862" t="str">
        <x:v>Join In</x:v>
      </x:c>
      <x:c r="C862" t="str">
        <x:v>Supplements</x:v>
      </x:c>
      <x:c r="D862" t="str">
        <x:v>Joint Support</x:v>
      </x:c>
      <x:c r="E862" t="str">
        <x:v>30 servings</x:v>
      </x:c>
      <x:c r="F862" t="n">
        <x:v>3</x:v>
      </x:c>
      <x:c r="G862" t="str">
        <x:v>https://www.activesportstrade.co.uk/trained-by-jp-trade</x:v>
      </x:c>
      <x:c r="H862" t="str"/>
      <x:c r="I862" t="str">
        <x:v>Pending genuine supplier/brand image</x:v>
      </x:c>
    </x:row>
    <x:row r="863">
      <x:c r="A863" t="str">
        <x:v>Trained By JP</x:v>
      </x:c>
      <x:c r="B863" t="str">
        <x:v>Estro Control</x:v>
      </x:c>
      <x:c r="C863" t="str">
        <x:v>Supplements</x:v>
      </x:c>
      <x:c r="D863" t="str">
        <x:v>Hormone Support</x:v>
      </x:c>
      <x:c r="E863" t="str">
        <x:v>60 caps</x:v>
      </x:c>
      <x:c r="F863" t="n">
        <x:v>1</x:v>
      </x:c>
      <x:c r="G863" t="str">
        <x:v>https://www.activesportstrade.co.uk/trained-by-jp-trade</x:v>
      </x:c>
      <x:c r="H863" t="str"/>
      <x:c r="I863" t="str">
        <x:v>Pending genuine supplier/brand image</x:v>
      </x:c>
    </x:row>
    <x:row r="864">
      <x:c r="A864" t="str">
        <x:v>Trained By JP</x:v>
      </x:c>
      <x:c r="B864" t="str">
        <x:v>Glutamine</x:v>
      </x:c>
      <x:c r="C864" t="str">
        <x:v>Supplements</x:v>
      </x:c>
      <x:c r="D864" t="str">
        <x:v>Glutamine</x:v>
      </x:c>
      <x:c r="E864" t="str">
        <x:v>1kg, 500g</x:v>
      </x:c>
      <x:c r="F864" t="n">
        <x:v>2</x:v>
      </x:c>
      <x:c r="G864" t="str">
        <x:v>https://www.activesportstrade.co.uk/trained-by-jp-trade</x:v>
      </x:c>
      <x:c r="H864" t="str"/>
      <x:c r="I864" t="str">
        <x:v>Pending genuine supplier/brand image</x:v>
      </x:c>
    </x:row>
    <x:row r="865">
      <x:c r="A865" t="str">
        <x:v>Trained By JP</x:v>
      </x:c>
      <x:c r="B865" t="str">
        <x:v>Love Heart</x:v>
      </x:c>
      <x:c r="C865" t="str">
        <x:v>Supplements</x:v>
      </x:c>
      <x:c r="D865" t="str">
        <x:v>Health Support</x:v>
      </x:c>
      <x:c r="E865" t="str">
        <x:v>60 caps</x:v>
      </x:c>
      <x:c r="F865" t="n">
        <x:v>1</x:v>
      </x:c>
      <x:c r="G865" t="str">
        <x:v>https://www.activesportstrade.co.uk/trained-by-jp-trade</x:v>
      </x:c>
      <x:c r="H865" t="str"/>
      <x:c r="I865" t="str">
        <x:v>Pending genuine supplier/brand image</x:v>
      </x:c>
    </x:row>
    <x:row r="866">
      <x:c r="A866" t="str">
        <x:v>Trained By JP</x:v>
      </x:c>
      <x:c r="B866" t="str">
        <x:v>Magnesium</x:v>
      </x:c>
      <x:c r="C866" t="str">
        <x:v>Supplements</x:v>
      </x:c>
      <x:c r="D866" t="str">
        <x:v>Vitamins &amp; Minerals</x:v>
      </x:c>
      <x:c r="E866" t="str">
        <x:v>120 caps</x:v>
      </x:c>
      <x:c r="F866" t="n">
        <x:v>1</x:v>
      </x:c>
      <x:c r="G866" t="str">
        <x:v>https://www.activesportstrade.co.uk/trained-by-jp-trade</x:v>
      </x:c>
      <x:c r="H866" t="str"/>
      <x:c r="I866" t="str">
        <x:v>Pending genuine supplier/brand image</x:v>
      </x:c>
    </x:row>
    <x:row r="867">
      <x:c r="A867" t="str">
        <x:v>Trained By JP</x:v>
      </x:c>
      <x:c r="B867" t="str">
        <x:v>Omega 3-6-9</x:v>
      </x:c>
      <x:c r="C867" t="str">
        <x:v>Supplements</x:v>
      </x:c>
      <x:c r="D867" t="str">
        <x:v>Omega and EFA</x:v>
      </x:c>
      <x:c r="E867" t="str">
        <x:v>180 caps</x:v>
      </x:c>
      <x:c r="F867" t="n">
        <x:v>1</x:v>
      </x:c>
      <x:c r="G867" t="str">
        <x:v>https://www.activesportstrade.co.uk/trained-by-jp-trade</x:v>
      </x:c>
      <x:c r="H867" t="str"/>
      <x:c r="I867" t="str">
        <x:v>Pending genuine supplier/brand image</x:v>
      </x:c>
    </x:row>
    <x:row r="868">
      <x:c r="A868" t="str">
        <x:v>Trained By JP</x:v>
      </x:c>
      <x:c r="B868" t="str">
        <x:v>Osteo Pro</x:v>
      </x:c>
      <x:c r="C868" t="str">
        <x:v>Supplements</x:v>
      </x:c>
      <x:c r="D868" t="str">
        <x:v>Joint Support</x:v>
      </x:c>
      <x:c r="E868" t="str">
        <x:v>120 caps</x:v>
      </x:c>
      <x:c r="F868" t="n">
        <x:v>1</x:v>
      </x:c>
      <x:c r="G868" t="str">
        <x:v>https://www.activesportstrade.co.uk/trained-by-jp-trade</x:v>
      </x:c>
      <x:c r="H868" t="str"/>
      <x:c r="I868" t="str">
        <x:v>Pending genuine supplier/brand image</x:v>
      </x:c>
    </x:row>
    <x:row r="869">
      <x:c r="A869" t="str">
        <x:v>Trained By JP</x:v>
      </x:c>
      <x:c r="B869" t="str">
        <x:v>Oats So Creamy</x:v>
      </x:c>
      <x:c r="C869" t="str">
        <x:v>Food &amp; Drinks</x:v>
      </x:c>
      <x:c r="D869" t="str">
        <x:v>Oats / Breakfast</x:v>
      </x:c>
      <x:c r="E869" t="str">
        <x:v>2kg</x:v>
      </x:c>
      <x:c r="F869" t="n">
        <x:v>5</x:v>
      </x:c>
      <x:c r="G869" t="str">
        <x:v>https://www.activesportstrade.co.uk/Carb-Powders</x:v>
      </x:c>
      <x:c r="H869" t="str"/>
      <x:c r="I869" t="str">
        <x:v>Pending genuine supplier/brand image</x:v>
      </x:c>
    </x:row>
    <x:row r="870">
      <x:c r="A870" t="str">
        <x:v>Trained By JP</x:v>
      </x:c>
      <x:c r="B870" t="str">
        <x:v>Performance Protein</x:v>
      </x:c>
      <x:c r="C870" t="str">
        <x:v>Supplements</x:v>
      </x:c>
      <x:c r="D870" t="str">
        <x:v>Whey Protein Blend</x:v>
      </x:c>
      <x:c r="E870" t="str">
        <x:v>2kg, 1kg</x:v>
      </x:c>
      <x:c r="F870" t="n">
        <x:v>58</x:v>
      </x:c>
      <x:c r="G870" t="str">
        <x:v>https://www.activesportstrade.co.uk/trained-by-jp-trade</x:v>
      </x:c>
      <x:c r="H870" t="str"/>
      <x:c r="I870" t="str">
        <x:v>Pending genuine supplier/brand image</x:v>
      </x:c>
    </x:row>
    <x:row r="871">
      <x:c r="A871" t="str">
        <x:v>Trained By JP</x:v>
      </x:c>
      <x:c r="B871" t="str">
        <x:v>Natural Progress</x:v>
      </x:c>
      <x:c r="C871" t="str">
        <x:v>Supplements</x:v>
      </x:c>
      <x:c r="D871" t="str">
        <x:v>Hormone Support</x:v>
      </x:c>
      <x:c r="E871" t="str">
        <x:v>60 caps</x:v>
      </x:c>
      <x:c r="F871" t="n">
        <x:v>1</x:v>
      </x:c>
      <x:c r="G871" t="str">
        <x:v>https://www.activesportstrade.co.uk/trained-by-jp-trade</x:v>
      </x:c>
      <x:c r="H871" t="str"/>
      <x:c r="I871" t="str">
        <x:v>Pending genuine supplier/brand image</x:v>
      </x:c>
    </x:row>
    <x:row r="872">
      <x:c r="A872" t="str">
        <x:v>Trained By JP</x:v>
      </x:c>
      <x:c r="B872" t="str">
        <x:v>NMN</x:v>
      </x:c>
      <x:c r="C872" t="str">
        <x:v>Supplements</x:v>
      </x:c>
      <x:c r="D872" t="str">
        <x:v>Health Support</x:v>
      </x:c>
      <x:c r="E872" t="str">
        <x:v>60 caps</x:v>
      </x:c>
      <x:c r="F872" t="n">
        <x:v>1</x:v>
      </x:c>
      <x:c r="G872" t="str">
        <x:v>https://www.activesportstrade.co.uk/trained-by-jp-trade</x:v>
      </x:c>
      <x:c r="H872" t="str"/>
      <x:c r="I872" t="str">
        <x:v>Pending genuine supplier/brand image</x:v>
      </x:c>
    </x:row>
    <x:row r="873">
      <x:c r="A873" t="str">
        <x:v>Trained By JP</x:v>
      </x:c>
      <x:c r="B873" t="str">
        <x:v>Oh Mega Pharma Pro</x:v>
      </x:c>
      <x:c r="C873" t="str">
        <x:v>Supplements</x:v>
      </x:c>
      <x:c r="D873" t="str">
        <x:v>Omega and EFA</x:v>
      </x:c>
      <x:c r="E873" t="str">
        <x:v>180 softgels</x:v>
      </x:c>
      <x:c r="F873" t="n">
        <x:v>1</x:v>
      </x:c>
      <x:c r="G873" t="str">
        <x:v>https://www.activesportstrade.co.uk/trained-by-jp-trade</x:v>
      </x:c>
      <x:c r="H873" t="str"/>
      <x:c r="I873" t="str">
        <x:v>Pending genuine supplier/brand image</x:v>
      </x:c>
    </x:row>
    <x:row r="874">
      <x:c r="A874" t="str">
        <x:v>Trained By JP</x:v>
      </x:c>
      <x:c r="B874" t="str">
        <x:v>OH-Mega V</x:v>
      </x:c>
      <x:c r="C874" t="str">
        <x:v>Supplements</x:v>
      </x:c>
      <x:c r="D874" t="str">
        <x:v>Omega and EFA</x:v>
      </x:c>
      <x:c r="E874" t="str">
        <x:v>180 softgels</x:v>
      </x:c>
      <x:c r="F874" t="n">
        <x:v>1</x:v>
      </x:c>
      <x:c r="G874" t="str">
        <x:v>https://www.activesportstrade.co.uk/trained-by-jp-trade</x:v>
      </x:c>
      <x:c r="H874" t="str"/>
      <x:c r="I874" t="str">
        <x:v>Pending genuine supplier/brand image</x:v>
      </x:c>
    </x:row>
    <x:row r="875">
      <x:c r="A875" t="str">
        <x:v>Trained By JP</x:v>
      </x:c>
      <x:c r="B875" t="str">
        <x:v>Vital Support</x:v>
      </x:c>
      <x:c r="C875" t="str">
        <x:v>Supplements</x:v>
      </x:c>
      <x:c r="D875" t="str">
        <x:v>Health Support</x:v>
      </x:c>
      <x:c r="E875" t="str">
        <x:v>240 caps</x:v>
      </x:c>
      <x:c r="F875" t="n">
        <x:v>1</x:v>
      </x:c>
      <x:c r="G875" t="str">
        <x:v>https://www.activesportstrade.co.uk/trained-by-jp-trade</x:v>
      </x:c>
      <x:c r="H875" t="str"/>
      <x:c r="I875" t="str">
        <x:v>Pending genuine supplier/brand image</x:v>
      </x:c>
    </x:row>
    <x:row r="876">
      <x:c r="A876" t="str">
        <x:v>Trained By JP</x:v>
      </x:c>
      <x:c r="B876" t="str">
        <x:v>Vit-C</x:v>
      </x:c>
      <x:c r="C876" t="str">
        <x:v>Supplements</x:v>
      </x:c>
      <x:c r="D876" t="str">
        <x:v>Vitamins &amp; Minerals</x:v>
      </x:c>
      <x:c r="E876" t="str">
        <x:v>120 caps</x:v>
      </x:c>
      <x:c r="F876" t="n">
        <x:v>1</x:v>
      </x:c>
      <x:c r="G876" t="str">
        <x:v>https://www.activesportstrade.co.uk/trained-by-jp-trade</x:v>
      </x:c>
      <x:c r="H876" t="str"/>
      <x:c r="I876" t="str">
        <x:v>Pending genuine supplier/brand image</x:v>
      </x:c>
    </x:row>
    <x:row r="877">
      <x:c r="A877" t="str">
        <x:v>Trained By JP</x:v>
      </x:c>
      <x:c r="B877" t="str">
        <x:v>Zinc Magnesium &amp; B6</x:v>
      </x:c>
      <x:c r="C877" t="str">
        <x:v>Supplements</x:v>
      </x:c>
      <x:c r="D877" t="str">
        <x:v>ZMA / Minerals</x:v>
      </x:c>
      <x:c r="E877" t="str">
        <x:v>90 caps</x:v>
      </x:c>
      <x:c r="F877" t="n">
        <x:v>1</x:v>
      </x:c>
      <x:c r="G877" t="str">
        <x:v>https://www.activesportstrade.co.uk/trained-by-jp-trade</x:v>
      </x:c>
      <x:c r="H877" t="str"/>
      <x:c r="I877" t="str">
        <x:v>Pending genuine supplier/brand image</x:v>
      </x:c>
    </x:row>
    <x:row r="878">
      <x:c r="A878" t="str">
        <x:v>Trained By JP</x:v>
      </x:c>
      <x:c r="B878" t="str">
        <x:v>Veggie Might PRO</x:v>
      </x:c>
      <x:c r="C878" t="str">
        <x:v>Supplements</x:v>
      </x:c>
      <x:c r="D878" t="str">
        <x:v>Greens / Micronutrients</x:v>
      </x:c>
      <x:c r="E878" t="str">
        <x:v>30 servings</x:v>
      </x:c>
      <x:c r="F878" t="n">
        <x:v>2</x:v>
      </x:c>
      <x:c r="G878" t="str">
        <x:v>https://www.activesportstrade.co.uk/trained-by-jp-trade</x:v>
      </x:c>
      <x:c r="H878" t="str"/>
      <x:c r="I878" t="str">
        <x:v>Pending genuine supplier/brand image</x:v>
      </x:c>
    </x:row>
    <x:row r="879">
      <x:c r="A879" t="str">
        <x:v>Applied Nutrition</x:v>
      </x:c>
      <x:c r="B879" t="str">
        <x:v>Hydration +</x:v>
      </x:c>
      <x:c r="C879" t="str">
        <x:v>Supplements</x:v>
      </x:c>
      <x:c r="D879" t="str">
        <x:v>Hydration</x:v>
      </x:c>
      <x:c r="E879" t="str">
        <x:v>240g</x:v>
      </x:c>
      <x:c r="F879" t="n">
        <x:v>4</x:v>
      </x:c>
      <x:c r="G879" t="str">
        <x:v>https://www.activesportstrade.co.uk/trade-sports-supplements</x:v>
      </x:c>
      <x:c r="H879" t="str"/>
      <x:c r="I879" t="str">
        <x:v>Pending genuine supplier/brand image</x:v>
      </x:c>
    </x:row>
    <x:row r="880">
      <x:c r="A880" t="str">
        <x:v>Applied Nutrition</x:v>
      </x:c>
      <x:c r="B880" t="str">
        <x:v>Hydration Sticks</x:v>
      </x:c>
      <x:c r="C880" t="str">
        <x:v>Supplements</x:v>
      </x:c>
      <x:c r="D880" t="str">
        <x:v>Hydration</x:v>
      </x:c>
      <x:c r="E880" t="str">
        <x:v>7 x 8g</x:v>
      </x:c>
      <x:c r="F880" t="n">
        <x:v>4</x:v>
      </x:c>
      <x:c r="G880" t="str">
        <x:v>https://www.activesportstrade.co.uk/trade-sports-supplements</x:v>
      </x:c>
      <x:c r="H880" t="str"/>
      <x:c r="I880" t="str">
        <x:v>Pending genuine supplier/brand image</x:v>
      </x:c>
    </x:row>
    <x:row r="881">
      <x:c r="A881" t="str">
        <x:v>Applied Nutrition</x:v>
      </x:c>
      <x:c r="B881" t="str">
        <x:v>NA11 Hydration Drink</x:v>
      </x:c>
      <x:c r="C881" t="str">
        <x:v>Food &amp; Drinks</x:v>
      </x:c>
      <x:c r="D881" t="str">
        <x:v>Hydration Drinks</x:v>
      </x:c>
      <x:c r="E881" t="str">
        <x:v>12 x 300ml</x:v>
      </x:c>
      <x:c r="F881" t="n">
        <x:v>4</x:v>
      </x:c>
      <x:c r="G881" t="str">
        <x:v>https://www.activesportstrade.co.uk/hydration-supplements-trade</x:v>
      </x:c>
      <x:c r="H881" t="str"/>
      <x:c r="I881" t="str">
        <x:v>Pending genuine supplier/brand image</x:v>
      </x:c>
    </x:row>
    <x:row r="882">
      <x:c r="A882" t="str">
        <x:v>Applied Nutrition</x:v>
      </x:c>
      <x:c r="B882" t="str">
        <x:v>Beef XP RTD Drink</x:v>
      </x:c>
      <x:c r="C882" t="str">
        <x:v>Food &amp; Drinks</x:v>
      </x:c>
      <x:c r="D882" t="str">
        <x:v>Ready to Drink Protein</x:v>
      </x:c>
      <x:c r="E882" t="str">
        <x:v>12 x 500ml</x:v>
      </x:c>
      <x:c r="F882" t="n">
        <x:v>4</x:v>
      </x:c>
      <x:c r="G882" t="str">
        <x:v>https://www.activesportstrade.co.uk/ready-to-drink-protein-trade</x:v>
      </x:c>
      <x:c r="H882" t="str"/>
      <x:c r="I882" t="str">
        <x:v>Pending genuine supplier/brand image</x:v>
      </x:c>
    </x:row>
    <x:row r="883">
      <x:c r="A883" t="str">
        <x:v>Applied Nutrition</x:v>
      </x:c>
      <x:c r="B883" t="str">
        <x:v>High Protein Shake RTD</x:v>
      </x:c>
      <x:c r="C883" t="str">
        <x:v>Food &amp; Drinks</x:v>
      </x:c>
      <x:c r="D883" t="str">
        <x:v>Ready to Drink Protein</x:v>
      </x:c>
      <x:c r="E883" t="str">
        <x:v>8 x 330ml, 8 x 500ml</x:v>
      </x:c>
      <x:c r="F883" t="n">
        <x:v>8</x:v>
      </x:c>
      <x:c r="G883" t="str">
        <x:v>https://www.activesportstrade.co.uk/ready-to-drink-protein-trade</x:v>
      </x:c>
      <x:c r="H883" t="str"/>
      <x:c r="I883" t="str">
        <x:v>Pending genuine supplier/brand image</x:v>
      </x:c>
    </x:row>
    <x:row r="884">
      <x:c r="A884" t="str">
        <x:v>Applied Nutrition</x:v>
      </x:c>
      <x:c r="B884" t="str">
        <x:v>Protein Shots</x:v>
      </x:c>
      <x:c r="C884" t="str">
        <x:v>Food &amp; Drinks</x:v>
      </x:c>
      <x:c r="D884" t="str">
        <x:v>Ready to Drink Protein</x:v>
      </x:c>
      <x:c r="E884" t="str">
        <x:v>12 x 100ml</x:v>
      </x:c>
      <x:c r="F884" t="n">
        <x:v>3</x:v>
      </x:c>
      <x:c r="G884" t="str">
        <x:v>https://www.activesportstrade.co.uk/ready-to-drink-protein-trade</x:v>
      </x:c>
      <x:c r="H884" t="str"/>
      <x:c r="I884" t="str">
        <x:v>Pending genuine supplier/brand image</x:v>
      </x:c>
    </x:row>
    <x:row r="885">
      <x:c r="A885" t="str">
        <x:v>Applied Nutrition</x:v>
      </x:c>
      <x:c r="B885" t="str">
        <x:v>Sparkling Protein Water</x:v>
      </x:c>
      <x:c r="C885" t="str">
        <x:v>Food &amp; Drinks</x:v>
      </x:c>
      <x:c r="D885" t="str">
        <x:v>Ready to Drink Protein</x:v>
      </x:c>
      <x:c r="E885" t="str">
        <x:v>12 x 330ml</x:v>
      </x:c>
      <x:c r="F885" t="n">
        <x:v>4</x:v>
      </x:c>
      <x:c r="G885" t="str">
        <x:v>https://www.activesportstrade.co.uk/ready-to-drink-protein-trade</x:v>
      </x:c>
      <x:c r="H885" t="str"/>
      <x:c r="I885" t="str">
        <x:v>Pending genuine supplier/brand image</x:v>
      </x:c>
    </x:row>
    <x:row r="886">
      <x:c r="A886" t="str">
        <x:v>Applied Nutrition</x:v>
      </x:c>
      <x:c r="B886" t="str">
        <x:v>Creatine HCL Caps</x:v>
      </x:c>
      <x:c r="C886" t="str">
        <x:v>Supplements</x:v>
      </x:c>
      <x:c r="D886" t="str">
        <x:v>Creatine Pills</x:v>
      </x:c>
      <x:c r="E886" t="str">
        <x:v>180 caps</x:v>
      </x:c>
      <x:c r="F886" t="n">
        <x:v>1</x:v>
      </x:c>
      <x:c r="G886" t="str">
        <x:v>https://www.activesportstrade.co.uk/applied-nutrition-trade</x:v>
      </x:c>
      <x:c r="H886" t="str"/>
      <x:c r="I886" t="str">
        <x:v>Pending genuine supplier/brand image</x:v>
      </x:c>
    </x:row>
    <x:row r="887">
      <x:c r="A887" t="str">
        <x:v>Applied Nutrition</x:v>
      </x:c>
      <x:c r="B887" t="str">
        <x:v>Creatine Monohydrate Effervescent Tablets</x:v>
      </x:c>
      <x:c r="C887" t="str">
        <x:v>Supplements</x:v>
      </x:c>
      <x:c r="D887" t="str">
        <x:v>Creatine</x:v>
      </x:c>
      <x:c r="E887" t="str">
        <x:v>6 x 16 tablets</x:v>
      </x:c>
      <x:c r="F887" t="n">
        <x:v>2</x:v>
      </x:c>
      <x:c r="G887" t="str">
        <x:v>https://www.activesportstrade.co.uk/applied-nutrition-trade</x:v>
      </x:c>
      <x:c r="H887" t="str"/>
      <x:c r="I887" t="str">
        <x:v>Pending genuine supplier/brand image</x:v>
      </x:c>
    </x:row>
    <x:row r="888">
      <x:c r="A888" t="str">
        <x:v>Applied Nutrition</x:v>
      </x:c>
      <x:c r="B888" t="str">
        <x:v>Critical Greens</x:v>
      </x:c>
      <x:c r="C888" t="str">
        <x:v>Supplements</x:v>
      </x:c>
      <x:c r="D888" t="str">
        <x:v>Greens / Micronutrients</x:v>
      </x:c>
      <x:c r="E888" t="str">
        <x:v>150g / 30 servings</x:v>
      </x:c>
      <x:c r="F888" t="n">
        <x:v>3</x:v>
      </x:c>
      <x:c r="G888" t="str">
        <x:v>https://www.activesportstrade.co.uk/applied-nutrition-trade</x:v>
      </x:c>
      <x:c r="H888" t="str"/>
      <x:c r="I888" t="str">
        <x:v>Pending genuine supplier/brand image</x:v>
      </x:c>
    </x:row>
    <x:row r="889">
      <x:c r="A889" t="str">
        <x:v>Applied Nutrition</x:v>
      </x:c>
      <x:c r="B889" t="str">
        <x:v>Endurance Hydration Electrolyte Tablets</x:v>
      </x:c>
      <x:c r="C889" t="str">
        <x:v>Supplements</x:v>
      </x:c>
      <x:c r="D889" t="str">
        <x:v>Hydration</x:v>
      </x:c>
      <x:c r="E889" t="str">
        <x:v>6 x 20 tablets</x:v>
      </x:c>
      <x:c r="F889" t="n">
        <x:v>5</x:v>
      </x:c>
      <x:c r="G889" t="str">
        <x:v>https://www.activesportstrade.co.uk/Intra-Workout</x:v>
      </x:c>
      <x:c r="H889" t="str"/>
      <x:c r="I889" t="str">
        <x:v>Pending genuine supplier/brand image</x:v>
      </x:c>
    </x:row>
    <x:row r="890">
      <x:c r="A890" t="str">
        <x:v>Applied Nutrition</x:v>
      </x:c>
      <x:c r="B890" t="str">
        <x:v>Diet Protein Bar</x:v>
      </x:c>
      <x:c r="C890" t="str">
        <x:v>Food &amp; Drinks</x:v>
      </x:c>
      <x:c r="D890" t="str">
        <x:v>Protein Bars</x:v>
      </x:c>
      <x:c r="E890" t="str">
        <x:v>12 x 45g bars</x:v>
      </x:c>
      <x:c r="F890" t="n">
        <x:v>2</x:v>
      </x:c>
      <x:c r="G890" t="str">
        <x:v>https://www.activesportstrade.co.uk/Protein-Bars</x:v>
      </x:c>
      <x:c r="H890" t="str"/>
      <x:c r="I890" t="str">
        <x:v>Pending genuine supplier/brand image</x:v>
      </x:c>
    </x:row>
    <x:row r="891">
      <x:c r="A891" t="str">
        <x:v>Applied Nutrition</x:v>
      </x:c>
      <x:c r="B891" t="str">
        <x:v>Protein Crunch Bar</x:v>
      </x:c>
      <x:c r="C891" t="str">
        <x:v>Food &amp; Drinks</x:v>
      </x:c>
      <x:c r="D891" t="str">
        <x:v>Protein Bars</x:v>
      </x:c>
      <x:c r="E891" t="str">
        <x:v>12 x 62g bars</x:v>
      </x:c>
      <x:c r="F891" t="n">
        <x:v>3</x:v>
      </x:c>
      <x:c r="G891" t="str">
        <x:v>https://www.activesportstrade.co.uk/Protein-Bars</x:v>
      </x:c>
      <x:c r="H891" t="str"/>
      <x:c r="I891" t="str">
        <x:v>Pending genuine supplier/brand image</x:v>
      </x:c>
    </x:row>
    <x:row r="892">
      <x:c r="A892" t="str">
        <x:v>Applied Nutrition</x:v>
      </x:c>
      <x:c r="B892" t="str">
        <x:v>Protein Wafer</x:v>
      </x:c>
      <x:c r="C892" t="str">
        <x:v>Food &amp; Drinks</x:v>
      </x:c>
      <x:c r="D892" t="str">
        <x:v>Protein Bars</x:v>
      </x:c>
      <x:c r="E892" t="str">
        <x:v>12 x 39g bars</x:v>
      </x:c>
      <x:c r="F892" t="n">
        <x:v>3</x:v>
      </x:c>
      <x:c r="G892" t="str">
        <x:v>https://www.activesportstrade.co.uk/Protein-Bars</x:v>
      </x:c>
      <x:c r="H892" t="str"/>
      <x:c r="I892" t="str">
        <x:v>Pending genuine supplier/brand image</x:v>
      </x:c>
    </x:row>
    <x:row r="893">
      <x:c r="A893" t="str">
        <x:v>Applied Nutrition</x:v>
      </x:c>
      <x:c r="B893" t="str">
        <x:v>AAKG Powder</x:v>
      </x:c>
      <x:c r="C893" t="str">
        <x:v>Supplements</x:v>
      </x:c>
      <x:c r="D893" t="str">
        <x:v>Amino Acids</x:v>
      </x:c>
      <x:c r="E893" t="str">
        <x:v>300g</x:v>
      </x:c>
      <x:c r="F893" t="n">
        <x:v>1</x:v>
      </x:c>
      <x:c r="G893" t="str">
        <x:v>https://www.activesportstrade.co.uk/trade-sports-supplements/applied-nutrition-trade</x:v>
      </x:c>
      <x:c r="H893" t="str"/>
      <x:c r="I893" t="str">
        <x:v>Pending genuine supplier/brand image</x:v>
      </x:c>
    </x:row>
    <x:row r="894">
      <x:c r="A894" t="str">
        <x:v>Applied Nutrition</x:v>
      </x:c>
      <x:c r="B894" t="str">
        <x:v>Body Fuel Energy Cans</x:v>
      </x:c>
      <x:c r="C894" t="str">
        <x:v>Food &amp; Drinks</x:v>
      </x:c>
      <x:c r="D894" t="str">
        <x:v>Energy Drinks</x:v>
      </x:c>
      <x:c r="E894" t="str">
        <x:v>12 x 330ml cans</x:v>
      </x:c>
      <x:c r="F894" t="n">
        <x:v>3</x:v>
      </x:c>
      <x:c r="G894" t="str">
        <x:v>https://www.activesportstrade.co.uk/Ready-to-Drink-Energy</x:v>
      </x:c>
      <x:c r="H894" t="str"/>
      <x:c r="I894" t="str">
        <x:v>Pending genuine supplier/brand image</x:v>
      </x:c>
    </x:row>
    <x:row r="895">
      <x:c r="A895" t="str">
        <x:v>Applied Nutrition</x:v>
      </x:c>
      <x:c r="B895" t="str">
        <x:v>Body Fuel Energy Shots</x:v>
      </x:c>
      <x:c r="C895" t="str">
        <x:v>Food &amp; Drinks</x:v>
      </x:c>
      <x:c r="D895" t="str">
        <x:v>Energy Shots</x:v>
      </x:c>
      <x:c r="E895" t="str">
        <x:v>12 x 60ml shots</x:v>
      </x:c>
      <x:c r="F895" t="n">
        <x:v>2</x:v>
      </x:c>
      <x:c r="G895" t="str">
        <x:v>https://www.activesportstrade.co.uk/Ready-to-Drink-Energy</x:v>
      </x:c>
      <x:c r="H895" t="str"/>
      <x:c r="I895" t="str">
        <x:v>Pending genuine supplier/brand image</x:v>
      </x:c>
    </x:row>
    <x:row r="896">
      <x:c r="A896" t="str">
        <x:v>Applied Nutrition</x:v>
      </x:c>
      <x:c r="B896" t="str">
        <x:v>Endurance Velocity Fuel</x:v>
      </x:c>
      <x:c r="C896" t="str">
        <x:v>Food &amp; Drinks</x:v>
      </x:c>
      <x:c r="D896" t="str">
        <x:v>Energy Gels</x:v>
      </x:c>
      <x:c r="E896" t="str">
        <x:v>20 gels</x:v>
      </x:c>
      <x:c r="F896" t="n">
        <x:v>7</x:v>
      </x:c>
      <x:c r="G896" t="str">
        <x:v>https://www.activesportstrade.co.uk/Ready-to-Drink-Energy</x:v>
      </x:c>
      <x:c r="H896" t="str"/>
      <x:c r="I896" t="str">
        <x:v>Pending genuine supplier/brand image</x:v>
      </x:c>
    </x:row>
    <x:row r="897">
      <x:c r="A897" t="str">
        <x:v>Applied Nutrition</x:v>
      </x:c>
      <x:c r="B897" t="str">
        <x:v>Endurance Velocity Fuel Sprint + Caffeine</x:v>
      </x:c>
      <x:c r="C897" t="str">
        <x:v>Food &amp; Drinks</x:v>
      </x:c>
      <x:c r="D897" t="str">
        <x:v>Energy Gels</x:v>
      </x:c>
      <x:c r="E897" t="str">
        <x:v>20 gels</x:v>
      </x:c>
      <x:c r="F897" t="n">
        <x:v>5</x:v>
      </x:c>
      <x:c r="G897" t="str">
        <x:v>https://www.activesportstrade.co.uk/Ready-to-Drink-Energy</x:v>
      </x:c>
      <x:c r="H897" t="str"/>
      <x:c r="I897" t="str">
        <x:v>Pending genuine supplier/brand image</x:v>
      </x:c>
    </x:row>
    <x:row r="898">
      <x:c r="A898" t="str">
        <x:v>Applied Nutrition</x:v>
      </x:c>
      <x:c r="B898" t="str">
        <x:v>L-Carnitine Shots</x:v>
      </x:c>
      <x:c r="C898" t="str">
        <x:v>Food &amp; Drinks</x:v>
      </x:c>
      <x:c r="D898" t="str">
        <x:v>L-Carnitine Shots</x:v>
      </x:c>
      <x:c r="E898" t="str">
        <x:v>12 x 60ml shots</x:v>
      </x:c>
      <x:c r="F898" t="n">
        <x:v>3</x:v>
      </x:c>
      <x:c r="G898" t="str">
        <x:v>https://www.activesportstrade.co.uk/Ready-to-Drink-Energy</x:v>
      </x:c>
      <x:c r="H898" t="str"/>
      <x:c r="I898" t="str">
        <x:v>Pending genuine supplier/brand image</x:v>
      </x:c>
    </x:row>
    <x:row r="899">
      <x:c r="A899" t="str">
        <x:v>C4</x:v>
      </x:c>
      <x:c r="B899" t="str">
        <x:v>Smart Energy</x:v>
      </x:c>
      <x:c r="C899" t="str">
        <x:v>Food &amp; Drinks</x:v>
      </x:c>
      <x:c r="D899" t="str">
        <x:v>Energy Drinks</x:v>
      </x:c>
      <x:c r="E899" t="str">
        <x:v>12 x 330ml cans</x:v>
      </x:c>
      <x:c r="F899" t="n">
        <x:v>3</x:v>
      </x:c>
      <x:c r="G899" t="str">
        <x:v>https://www.activesportstrade.co.uk/Ready-to-Drink-Energy</x:v>
      </x:c>
      <x:c r="H899" t="str"/>
      <x:c r="I899" t="str">
        <x:v>Pending genuine supplier/brand image</x:v>
      </x:c>
    </x:row>
    <x:row r="900">
      <x:c r="A900" t="str">
        <x:v>Per4m Nutrition</x:v>
      </x:c>
      <x:c r="B900" t="str">
        <x:v>EAA Xtra</x:v>
      </x:c>
      <x:c r="C900" t="str">
        <x:v>Supplements</x:v>
      </x:c>
      <x:c r="D900" t="str">
        <x:v>EAA / Amino Acids</x:v>
      </x:c>
      <x:c r="E900" t="str">
        <x:v>420g</x:v>
      </x:c>
      <x:c r="F900" t="n">
        <x:v>11</x:v>
      </x:c>
      <x:c r="G900" t="str">
        <x:v>https://www.activesportstrade.co.uk/BCAAS</x:v>
      </x:c>
      <x:c r="H900" t="str"/>
      <x:c r="I900" t="str">
        <x:v>Pending genuine supplier/brand image</x:v>
      </x:c>
    </x:row>
    <x:row r="901">
      <x:c r="A901" t="str">
        <x:v>C4</x:v>
      </x:c>
      <x:c r="B901" t="str">
        <x:v>Creatine Monohydrate</x:v>
      </x:c>
      <x:c r="C901" t="str">
        <x:v>Supplements</x:v>
      </x:c>
      <x:c r="D901" t="str">
        <x:v>Creatine Powders</x:v>
      </x:c>
      <x:c r="E901" t="str">
        <x:v>306g</x:v>
      </x:c>
      <x:c r="F901" t="n">
        <x:v>1</x:v>
      </x:c>
      <x:c r="G901" t="str">
        <x:v>https://www.activesportstrade.co.uk/Creatine-Powders-Trade</x:v>
      </x:c>
      <x:c r="H901" t="str"/>
      <x:c r="I901" t="str">
        <x:v>Pending genuine supplier/brand image</x:v>
      </x:c>
    </x:row>
    <x:row r="902">
      <x:c r="A902" t="str">
        <x:v>Rich Piana 5%</x:v>
      </x:c>
      <x:c r="B902" t="str">
        <x:v>Crea-Ten</x:v>
      </x:c>
      <x:c r="C902" t="str">
        <x:v>Supplements</x:v>
      </x:c>
      <x:c r="D902" t="str">
        <x:v>Creatine Powders</x:v>
      </x:c>
      <x:c r="E902" t="str">
        <x:v>25 servings</x:v>
      </x:c>
      <x:c r="F902" t="n">
        <x:v>6</x:v>
      </x:c>
      <x:c r="G902" t="str">
        <x:v>https://www.activesportstrade.co.uk/Creatine-Powders-Trade</x:v>
      </x:c>
      <x:c r="H902" t="str"/>
      <x:c r="I902" t="str">
        <x:v>Pending genuine supplier/brand image</x:v>
      </x:c>
    </x:row>
    <x:row r="903">
      <x:c r="A903" t="str">
        <x:v>Naughty Boy Lifestyle</x:v>
      </x:c>
      <x:c r="B903" t="str">
        <x:v>Crea-Greens</x:v>
      </x:c>
      <x:c r="C903" t="str">
        <x:v>Supplements</x:v>
      </x:c>
      <x:c r="D903" t="str">
        <x:v>Creatine / Greens</x:v>
      </x:c>
      <x:c r="E903" t="str">
        <x:v>30 servings</x:v>
      </x:c>
      <x:c r="F903" t="n">
        <x:v>3</x:v>
      </x:c>
      <x:c r="G903" t="str">
        <x:v>https://www.activesportstrade.co.uk/Creatine-Powders-Trade</x:v>
      </x:c>
      <x:c r="H903" t="str"/>
      <x:c r="I903" t="str">
        <x:v>Pending genuine supplier/brand image</x:v>
      </x:c>
    </x:row>
    <x:row r="904">
      <x:c r="A904" t="str">
        <x:v>Sci-Mx</x:v>
      </x:c>
      <x:c r="B904" t="str">
        <x:v>EAA</x:v>
      </x:c>
      <x:c r="C904" t="str">
        <x:v>Supplements</x:v>
      </x:c>
      <x:c r="D904" t="str">
        <x:v>EAA / Amino Acids</x:v>
      </x:c>
      <x:c r="E904" t="str">
        <x:v>250g</x:v>
      </x:c>
      <x:c r="F904" t="n">
        <x:v>1</x:v>
      </x:c>
      <x:c r="G904" t="str">
        <x:v>https://www.activesportstrade.co.uk/BCAAS</x:v>
      </x:c>
      <x:c r="H904" t="str"/>
      <x:c r="I904" t="str">
        <x:v>Pending genuine supplier/brand image</x:v>
      </x:c>
    </x:row>
    <x:row r="905">
      <x:c r="A905" t="str">
        <x:v>Applied Nutrition</x:v>
      </x:c>
      <x:c r="B905" t="str">
        <x:v>Endurance - Energy + Electrolytes</x:v>
      </x:c>
      <x:c r="C905" t="str">
        <x:v>Supplements</x:v>
      </x:c>
      <x:c r="D905" t="str">
        <x:v>Hydration / Carbohydrates</x:v>
      </x:c>
      <x:c r="E905" t="str">
        <x:v>1.5kg</x:v>
      </x:c>
      <x:c r="F905" t="n">
        <x:v>3</x:v>
      </x:c>
      <x:c r="G905" t="str">
        <x:v>https://www.activesportstrade.co.uk/hydration-supplements-trade</x:v>
      </x:c>
      <x:c r="H905" t="str"/>
      <x:c r="I905" t="str">
        <x:v>Pending genuine supplier/brand image</x:v>
      </x:c>
    </x:row>
    <x:row r="906">
      <x:c r="A906" t="str">
        <x:v>Applied Nutrition</x:v>
      </x:c>
      <x:c r="B906" t="str">
        <x:v>Endurance Energy + Electrolytes + Breathe</x:v>
      </x:c>
      <x:c r="C906" t="str">
        <x:v>Supplements</x:v>
      </x:c>
      <x:c r="D906" t="str">
        <x:v>Hydration / Carbohydrates</x:v>
      </x:c>
      <x:c r="E906" t="str">
        <x:v>1.5kg</x:v>
      </x:c>
      <x:c r="F906" t="n">
        <x:v>2</x:v>
      </x:c>
      <x:c r="G906" t="str">
        <x:v>https://www.activesportstrade.co.uk/hydration-supplements-trade</x:v>
      </x:c>
      <x:c r="H906" t="str"/>
      <x:c r="I906" t="str">
        <x:v>Pending genuine supplier/brand image</x:v>
      </x:c>
    </x:row>
    <x:row r="907">
      <x:c r="A907" t="str">
        <x:v>Optimise Health</x:v>
      </x:c>
      <x:c r="B907" t="str">
        <x:v>Rebel HydroCharge</x:v>
      </x:c>
      <x:c r="C907" t="str">
        <x:v>Supplements</x:v>
      </x:c>
      <x:c r="D907" t="str">
        <x:v>Hydration Gummies</x:v>
      </x:c>
      <x:c r="E907" t="str">
        <x:v>30 servings</x:v>
      </x:c>
      <x:c r="F907" t="n">
        <x:v>1</x:v>
      </x:c>
      <x:c r="G907" t="str">
        <x:v>https://www.activesportstrade.co.uk/hydration-supplements-trade</x:v>
      </x:c>
      <x:c r="H907" t="str"/>
      <x:c r="I907" t="str">
        <x:v>Pending genuine supplier/brand image</x:v>
      </x:c>
    </x:row>
    <x:row r="908">
      <x:c r="A908" t="str">
        <x:v>Refined Nutrition</x:v>
      </x:c>
      <x:c r="B908" t="str">
        <x:v>Ultra Hydration</x:v>
      </x:c>
      <x:c r="C908" t="str">
        <x:v>Supplements</x:v>
      </x:c>
      <x:c r="D908" t="str">
        <x:v>Hydration</x:v>
      </x:c>
      <x:c r="E908" t="str">
        <x:v>300g</x:v>
      </x:c>
      <x:c r="F908" t="n">
        <x:v>8</x:v>
      </x:c>
      <x:c r="G908" t="str">
        <x:v>https://www.activesportstrade.co.uk/hydration-supplements-trade</x:v>
      </x:c>
      <x:c r="H908" t="str"/>
      <x:c r="I908" t="str">
        <x:v>Pending genuine supplier/brand image</x:v>
      </x:c>
    </x:row>
    <x:row r="909">
      <x:c r="A909" t="str">
        <x:v>Scitec Nutrition</x:v>
      </x:c>
      <x:c r="B909" t="str">
        <x:v>Isotec Endurance</x:v>
      </x:c>
      <x:c r="C909" t="str">
        <x:v>Supplements</x:v>
      </x:c>
      <x:c r="D909" t="str">
        <x:v>Hydration / Carbohydrates</x:v>
      </x:c>
      <x:c r="E909" t="str">
        <x:v>1000g</x:v>
      </x:c>
      <x:c r="F909" t="n">
        <x:v>2</x:v>
      </x:c>
      <x:c r="G909" t="str">
        <x:v>https://www.activesportstrade.co.uk/hydration-supplements-trade</x:v>
      </x:c>
      <x:c r="H909" t="str"/>
      <x:c r="I909" t="str">
        <x:v>Pending genuine supplier/brand image</x:v>
      </x:c>
    </x:row>
    <x:row r="910">
      <x:c r="A910" t="str">
        <x:v>Sport Asylum Nutrition</x:v>
      </x:c>
      <x:c r="B910" t="str">
        <x:v>HydroMind</x:v>
      </x:c>
      <x:c r="C910" t="str">
        <x:v>Supplements</x:v>
      </x:c>
      <x:c r="D910" t="str">
        <x:v>Hydration / Nootropic</x:v>
      </x:c>
      <x:c r="E910" t="str">
        <x:v>30 servings</x:v>
      </x:c>
      <x:c r="F910" t="n">
        <x:v>2</x:v>
      </x:c>
      <x:c r="G910" t="str">
        <x:v>https://www.activesportstrade.co.uk/hydration-supplements-trade</x:v>
      </x:c>
      <x:c r="H910" t="str"/>
      <x:c r="I910" t="str">
        <x:v>Pending genuine supplier/brand image</x:v>
      </x:c>
    </x:row>
    <x:row r="911">
      <x:c r="A911" t="str">
        <x:v>Applied Nutrition</x:v>
      </x:c>
      <x:c r="B911" t="str">
        <x:v>Crunchy Cheese Bites</x:v>
      </x:c>
      <x:c r="C911" t="str">
        <x:v>Food &amp; Drinks</x:v>
      </x:c>
      <x:c r="D911" t="str">
        <x:v>High Protein Snacks</x:v>
      </x:c>
      <x:c r="E911" t="str">
        <x:v>10 x 20g bags</x:v>
      </x:c>
      <x:c r="F911" t="n">
        <x:v>3</x:v>
      </x:c>
      <x:c r="G911" t="str">
        <x:v>https://www.activesportstrade.co.uk/Protein-Bars</x:v>
      </x:c>
      <x:c r="H911" t="str"/>
      <x:c r="I911" t="str">
        <x:v>Pending genuine supplier/brand image</x:v>
      </x:c>
    </x:row>
    <x:row r="912">
      <x:c r="A912" t="str">
        <x:v>Mountain Joes</x:v>
      </x:c>
      <x:c r="B912" t="str">
        <x:v>MEGA Flapjacks</x:v>
      </x:c>
      <x:c r="C912" t="str">
        <x:v>Food &amp; Drinks</x:v>
      </x:c>
      <x:c r="D912" t="str">
        <x:v>Protein Flapjacks</x:v>
      </x:c>
      <x:c r="E912" t="str">
        <x:v>12 x 100g</x:v>
      </x:c>
      <x:c r="F912" t="n">
        <x:v>8</x:v>
      </x:c>
      <x:c r="G912" t="str">
        <x:v>https://www.activesportstrade.co.uk/Protein-Bars</x:v>
      </x:c>
      <x:c r="H912" t="str"/>
      <x:c r="I912" t="str">
        <x:v>Pending genuine supplier/brand image</x:v>
      </x:c>
    </x:row>
    <x:row r="913">
      <x:c r="A913" t="str">
        <x:v>Mountain Joes</x:v>
      </x:c>
      <x:c r="B913" t="str">
        <x:v>Protein Bars</x:v>
      </x:c>
      <x:c r="C913" t="str">
        <x:v>Food &amp; Drinks</x:v>
      </x:c>
      <x:c r="D913" t="str">
        <x:v>Protein Bars</x:v>
      </x:c>
      <x:c r="E913" t="str">
        <x:v>12 x 35g bars, 12 x 55g bars</x:v>
      </x:c>
      <x:c r="F913" t="n">
        <x:v>11</x:v>
      </x:c>
      <x:c r="G913" t="str">
        <x:v>https://www.activesportstrade.co.uk/Protein-Bars</x:v>
      </x:c>
      <x:c r="H913" t="str"/>
      <x:c r="I913" t="str">
        <x:v>Pending genuine supplier/brand image</x:v>
      </x:c>
    </x:row>
    <x:row r="914">
      <x:c r="A914" t="str">
        <x:v>Mountain Joes</x:v>
      </x:c>
      <x:c r="B914" t="str">
        <x:v>Protein Brownie</x:v>
      </x:c>
      <x:c r="C914" t="str">
        <x:v>Food &amp; Drinks</x:v>
      </x:c>
      <x:c r="D914" t="str">
        <x:v>Protein Brownies</x:v>
      </x:c>
      <x:c r="E914" t="str">
        <x:v>10 x 60g bars</x:v>
      </x:c>
      <x:c r="F914" t="n">
        <x:v>3</x:v>
      </x:c>
      <x:c r="G914" t="str">
        <x:v>https://www.activesportstrade.co.uk/Protein-Bars</x:v>
      </x:c>
      <x:c r="H914" t="str"/>
      <x:c r="I914" t="str">
        <x:v>Pending genuine supplier/brand image</x:v>
      </x:c>
    </x:row>
    <x:row r="915">
      <x:c r="A915" t="str">
        <x:v>Mountain Joes</x:v>
      </x:c>
      <x:c r="B915" t="str">
        <x:v>Protein Cakes</x:v>
      </x:c>
      <x:c r="C915" t="str">
        <x:v>Food &amp; Drinks</x:v>
      </x:c>
      <x:c r="D915" t="str">
        <x:v>Protein Cakes</x:v>
      </x:c>
      <x:c r="E915" t="str">
        <x:v>10 x 60g bars</x:v>
      </x:c>
      <x:c r="F915" t="n">
        <x:v>2</x:v>
      </x:c>
      <x:c r="G915" t="str">
        <x:v>https://www.activesportstrade.co.uk/Protein-Bars</x:v>
      </x:c>
      <x:c r="H915" t="str"/>
      <x:c r="I915" t="str">
        <x:v>Pending genuine supplier/brand image</x:v>
      </x:c>
    </x:row>
    <x:row r="916">
      <x:c r="A916" t="str">
        <x:v>Mountain Joes</x:v>
      </x:c>
      <x:c r="B916" t="str">
        <x:v>Protein Millionaire</x:v>
      </x:c>
      <x:c r="C916" t="str">
        <x:v>Food &amp; Drinks</x:v>
      </x:c>
      <x:c r="D916" t="str">
        <x:v>Protein Snacks</x:v>
      </x:c>
      <x:c r="E916" t="str">
        <x:v>10 x 50g bars</x:v>
      </x:c>
      <x:c r="F916" t="n">
        <x:v>3</x:v>
      </x:c>
      <x:c r="G916" t="str">
        <x:v>https://www.activesportstrade.co.uk/Protein-Bars</x:v>
      </x:c>
      <x:c r="H916" t="str"/>
      <x:c r="I916" t="str">
        <x:v>Pending genuine supplier/brand image</x:v>
      </x:c>
    </x:row>
    <x:row r="917">
      <x:c r="A917" t="str">
        <x:v>Mountain Joes</x:v>
      </x:c>
      <x:c r="B917" t="str">
        <x:v>Protein Rice Cakes</x:v>
      </x:c>
      <x:c r="C917" t="str">
        <x:v>Food &amp; Drinks</x:v>
      </x:c>
      <x:c r="D917" t="str">
        <x:v>Protein Snacks</x:v>
      </x:c>
      <x:c r="E917" t="str">
        <x:v>12 x 64g packs</x:v>
      </x:c>
      <x:c r="F917" t="n">
        <x:v>2</x:v>
      </x:c>
      <x:c r="G917" t="str">
        <x:v>https://www.activesportstrade.co.uk/Protein-Bars</x:v>
      </x:c>
      <x:c r="H917" t="str"/>
      <x:c r="I917" t="str">
        <x:v>Pending genuine supplier/brand image</x:v>
      </x:c>
    </x:row>
    <x:row r="918">
      <x:c r="A918" t="str">
        <x:v>DNA Sports</x:v>
      </x:c>
      <x:c r="B918" t="str">
        <x:v>VIBE</x:v>
      </x:c>
      <x:c r="C918" t="str">
        <x:v>Supplements</x:v>
      </x:c>
      <x:c r="D918" t="str">
        <x:v>Pre Workout</x:v>
      </x:c>
      <x:c r="E918" t="str">
        <x:v>30 servings</x:v>
      </x:c>
      <x:c r="F918" t="n">
        <x:v>8</x:v>
      </x:c>
      <x:c r="G918" t="str">
        <x:v>https://www.activesportstrade.co.uk/dna-sports-trade</x:v>
      </x:c>
      <x:c r="H918" t="str"/>
      <x:c r="I918" t="str">
        <x:v>Pending genuine supplier/brand image</x:v>
      </x:c>
    </x:row>
    <x:row r="919">
      <x:c r="A919" t="str">
        <x:v>Quest Nutrition</x:v>
      </x:c>
      <x:c r="B919" t="str">
        <x:v>Bake Shop Donuts</x:v>
      </x:c>
      <x:c r="C919" t="str">
        <x:v>Food &amp; Drinks</x:v>
      </x:c>
      <x:c r="D919" t="str">
        <x:v>Protein Bakery</x:v>
      </x:c>
      <x:c r="E919" t="str">
        <x:v>9 x 67g</x:v>
      </x:c>
      <x:c r="F919" t="n">
        <x:v>1</x:v>
      </x:c>
      <x:c r="G919" t="str">
        <x:v>https://www.activesportstrade.co.uk/quest-trade</x:v>
      </x:c>
      <x:c r="H919" t="str"/>
      <x:c r="I919" t="str">
        <x:v>Pending genuine supplier/brand image</x:v>
      </x:c>
    </x:row>
    <x:row r="920">
      <x:c r="A920" t="str">
        <x:v>Quest Nutrition</x:v>
      </x:c>
      <x:c r="B920" t="str">
        <x:v>Bake Shop Muffins</x:v>
      </x:c>
      <x:c r="C920" t="str">
        <x:v>Food &amp; Drinks</x:v>
      </x:c>
      <x:c r="D920" t="str">
        <x:v>Protein Bakery</x:v>
      </x:c>
      <x:c r="E920" t="str">
        <x:v>8 x 57g</x:v>
      </x:c>
      <x:c r="F920" t="n">
        <x:v>2</x:v>
      </x:c>
      <x:c r="G920" t="str">
        <x:v>https://www.activesportstrade.co.uk/quest-trade</x:v>
      </x:c>
      <x:c r="H920" t="str"/>
      <x:c r="I920" t="str">
        <x:v>Pending genuine supplier/brand image</x:v>
      </x:c>
    </x:row>
    <x:row r="921">
      <x:c r="A921" t="str">
        <x:v>Quest Nutrition</x:v>
      </x:c>
      <x:c r="B921" t="str">
        <x:v>Cheese Crackers</x:v>
      </x:c>
      <x:c r="C921" t="str">
        <x:v>Food &amp; Drinks</x:v>
      </x:c>
      <x:c r="D921" t="str">
        <x:v>High Protein Snacks</x:v>
      </x:c>
      <x:c r="E921" t="str">
        <x:v>4 x 30g</x:v>
      </x:c>
      <x:c r="F921" t="n">
        <x:v>3</x:v>
      </x:c>
      <x:c r="G921" t="str">
        <x:v>https://www.activesportstrade.co.uk/quest-trade</x:v>
      </x:c>
      <x:c r="H921" t="str"/>
      <x:c r="I921" t="str">
        <x:v>Pending genuine supplier/brand image</x:v>
      </x:c>
    </x:row>
    <x:row r="922">
      <x:c r="A922" t="str">
        <x:v>Quest Nutrition</x:v>
      </x:c>
      <x:c r="B922" t="str">
        <x:v>Frosted Cookie</x:v>
      </x:c>
      <x:c r="C922" t="str">
        <x:v>Food &amp; Drinks</x:v>
      </x:c>
      <x:c r="D922" t="str">
        <x:v>Protein Cookies</x:v>
      </x:c>
      <x:c r="E922" t="str">
        <x:v>8 x 25g cookies</x:v>
      </x:c>
      <x:c r="F922" t="n">
        <x:v>5</x:v>
      </x:c>
      <x:c r="G922" t="str">
        <x:v>https://www.activesportstrade.co.uk/quest-trade</x:v>
      </x:c>
      <x:c r="H922" t="str"/>
      <x:c r="I922" t="str">
        <x:v>Pending genuine supplier/brand image</x:v>
      </x:c>
    </x:row>
    <x:row r="923">
      <x:c r="A923" t="str">
        <x:v>Quest Nutrition</x:v>
      </x:c>
      <x:c r="B923" t="str">
        <x:v>Peanut Butter Cups</x:v>
      </x:c>
      <x:c r="C923" t="str">
        <x:v>Food &amp; Drinks</x:v>
      </x:c>
      <x:c r="D923" t="str">
        <x:v>Protein Snacks</x:v>
      </x:c>
      <x:c r="E923" t="str">
        <x:v>12 x 42g packs</x:v>
      </x:c>
      <x:c r="F923" t="n">
        <x:v>1</x:v>
      </x:c>
      <x:c r="G923" t="str">
        <x:v>https://www.activesportstrade.co.uk/quest-trade</x:v>
      </x:c>
      <x:c r="H923" t="str"/>
      <x:c r="I923" t="str">
        <x:v>Pending genuine supplier/brand image</x:v>
      </x:c>
    </x:row>
    <x:row r="924">
      <x:c r="A924" t="str">
        <x:v>Quest Nutrition</x:v>
      </x:c>
      <x:c r="B924" t="str">
        <x:v>Protein Chips</x:v>
      </x:c>
      <x:c r="C924" t="str">
        <x:v>Food &amp; Drinks</x:v>
      </x:c>
      <x:c r="D924" t="str">
        <x:v>Protein Crisps</x:v>
      </x:c>
      <x:c r="E924" t="str">
        <x:v>8 x 32g bags</x:v>
      </x:c>
      <x:c r="F924" t="n">
        <x:v>3</x:v>
      </x:c>
      <x:c r="G924" t="str">
        <x:v>https://www.activesportstrade.co.uk/quest-trade</x:v>
      </x:c>
      <x:c r="H924" t="str"/>
      <x:c r="I924" t="str">
        <x:v>Pending genuine supplier/brand image</x:v>
      </x:c>
    </x:row>
    <x:row r="925">
      <x:c r="A925" t="str">
        <x:v>Quest Nutrition</x:v>
      </x:c>
      <x:c r="B925" t="str">
        <x:v>Protein Cookie</x:v>
      </x:c>
      <x:c r="C925" t="str">
        <x:v>Food &amp; Drinks</x:v>
      </x:c>
      <x:c r="D925" t="str">
        <x:v>Protein Cookies</x:v>
      </x:c>
      <x:c r="E925" t="str">
        <x:v>12 x 59g cookies</x:v>
      </x:c>
      <x:c r="F925" t="n">
        <x:v>6</x:v>
      </x:c>
      <x:c r="G925" t="str">
        <x:v>https://www.activesportstrade.co.uk/quest-trade</x:v>
      </x:c>
      <x:c r="H925" t="str"/>
      <x:c r="I925" t="str">
        <x:v>Pending genuine supplier/brand image</x:v>
      </x:c>
    </x:row>
    <x:row r="926">
      <x:c r="A926" t="str">
        <x:v>Quest Nutrition</x:v>
      </x:c>
      <x:c r="B926" t="str">
        <x:v>Quest Bars</x:v>
      </x:c>
      <x:c r="C926" t="str">
        <x:v>Food &amp; Drinks</x:v>
      </x:c>
      <x:c r="D926" t="str">
        <x:v>Protein Bars</x:v>
      </x:c>
      <x:c r="E926" t="str">
        <x:v>12 x 60g bars</x:v>
      </x:c>
      <x:c r="F926" t="n">
        <x:v>17</x:v>
      </x:c>
      <x:c r="G926" t="str">
        <x:v>https://www.activesportstrade.co.uk/quest-trade</x:v>
      </x:c>
      <x:c r="H926" t="str"/>
      <x:c r="I926" t="str">
        <x:v>Pending genuine supplier/brand image</x:v>
      </x:c>
    </x:row>
    <x:row r="927">
      <x:c r="A927" t="str">
        <x:v>Quest Nutrition</x:v>
      </x:c>
      <x:c r="B927" t="str">
        <x:v>Quest Overload Protein Bar</x:v>
      </x:c>
      <x:c r="C927" t="str">
        <x:v>Food &amp; Drinks</x:v>
      </x:c>
      <x:c r="D927" t="str">
        <x:v>Protein Bars</x:v>
      </x:c>
      <x:c r="E927" t="str">
        <x:v>12 x 58g bars</x:v>
      </x:c>
      <x:c r="F927" t="n">
        <x:v>4</x:v>
      </x:c>
      <x:c r="G927" t="str">
        <x:v>https://www.activesportstrade.co.uk/quest-trade</x:v>
      </x:c>
      <x:c r="H927" t="str"/>
      <x:c r="I927" t="str">
        <x:v>Pending genuine supplier/brand image</x:v>
      </x:c>
    </x:row>
    <x:row r="928">
      <x:c r="A928" t="str">
        <x:v>Quest Nutrition</x:v>
      </x:c>
      <x:c r="B928" t="str">
        <x:v>Quest Stacks Bars</x:v>
      </x:c>
      <x:c r="C928" t="str">
        <x:v>Food &amp; Drinks</x:v>
      </x:c>
      <x:c r="D928" t="str">
        <x:v>Protein Bars</x:v>
      </x:c>
      <x:c r="E928" t="str">
        <x:v>12 x 67g bars</x:v>
      </x:c>
      <x:c r="F928" t="n">
        <x:v>3</x:v>
      </x:c>
      <x:c r="G928" t="str">
        <x:v>https://www.activesportstrade.co.uk/quest-trade</x:v>
      </x:c>
      <x:c r="H928" t="str"/>
      <x:c r="I928" t="str">
        <x:v>Pending genuine supplier/brand image</x:v>
      </x:c>
    </x:row>
    <x:row r="929">
      <x:c r="A929" t="str">
        <x:v>Quest Nutrition</x:v>
      </x:c>
      <x:c r="B929" t="str">
        <x:v>Tortilla Protein Chips</x:v>
      </x:c>
      <x:c r="C929" t="str">
        <x:v>Food &amp; Drinks</x:v>
      </x:c>
      <x:c r="D929" t="str">
        <x:v>Protein Crisps</x:v>
      </x:c>
      <x:c r="E929" t="str">
        <x:v>8 x 32g bags</x:v>
      </x:c>
      <x:c r="F929" t="n">
        <x:v>9</x:v>
      </x:c>
      <x:c r="G929" t="str">
        <x:v>https://www.activesportstrade.co.uk/quest-trade</x:v>
      </x:c>
      <x:c r="H929" t="str"/>
      <x:c r="I929" t="str">
        <x:v>Pending genuine supplier/brand image</x:v>
      </x:c>
    </x:row>
    <x:row r="930">
      <x:c r="A930" t="str">
        <x:v>Lucozade</x:v>
      </x:c>
      <x:c r="B930" t="str">
        <x:v>Sport</x:v>
      </x:c>
      <x:c r="C930" t="str">
        <x:v>Food &amp; Drinks</x:v>
      </x:c>
      <x:c r="D930" t="str">
        <x:v>Sports Drinks</x:v>
      </x:c>
      <x:c r="E930" t="str">
        <x:v>12 x 500ml bottles</x:v>
      </x:c>
      <x:c r="F930" t="n">
        <x:v>5</x:v>
      </x:c>
      <x:c r="G930" t="str">
        <x:v>https://www.activesportstrade.co.uk/trade-convienience</x:v>
      </x:c>
      <x:c r="H930" t="str"/>
      <x:c r="I930" t="str">
        <x:v>Pending genuine supplier/brand image</x:v>
      </x:c>
    </x:row>
    <x:row r="931">
      <x:c r="A931" t="str">
        <x:v>Lucozade</x:v>
      </x:c>
      <x:c r="B931" t="str">
        <x:v>Sport Zero Sugar</x:v>
      </x:c>
      <x:c r="C931" t="str">
        <x:v>Food &amp; Drinks</x:v>
      </x:c>
      <x:c r="D931" t="str">
        <x:v>Sports Drinks</x:v>
      </x:c>
      <x:c r="E931" t="str">
        <x:v>12 x 500ml bottles</x:v>
      </x:c>
      <x:c r="F931" t="n">
        <x:v>2</x:v>
      </x:c>
      <x:c r="G931" t="str">
        <x:v>https://www.activesportstrade.co.uk/trade-convienience</x:v>
      </x:c>
      <x:c r="H931" t="str"/>
      <x:c r="I931" t="str">
        <x:v>Pending genuine supplier/brand image</x:v>
      </x:c>
    </x:row>
    <x:row r="932">
      <x:c r="A932" t="str">
        <x:v>M&amp;Ms</x:v>
      </x:c>
      <x:c r="B932" t="str">
        <x:v>Protein Bars</x:v>
      </x:c>
      <x:c r="C932" t="str">
        <x:v>Food &amp; Drinks</x:v>
      </x:c>
      <x:c r="D932" t="str">
        <x:v>Protein Bars</x:v>
      </x:c>
      <x:c r="E932" t="str">
        <x:v>12 x 51g bars</x:v>
      </x:c>
      <x:c r="F932" t="n">
        <x:v>1</x:v>
      </x:c>
      <x:c r="G932" t="str">
        <x:v>https://www.activesportstrade.co.uk/trade-convienience</x:v>
      </x:c>
      <x:c r="H932" t="str"/>
      <x:c r="I932" t="str">
        <x:v>Pending genuine supplier/brand image</x:v>
      </x:c>
    </x:row>
    <x:row r="933">
      <x:c r="A933" t="str">
        <x:v>Mars</x:v>
      </x:c>
      <x:c r="B933" t="str">
        <x:v>Hi Protein Low Sugar Bar</x:v>
      </x:c>
      <x:c r="C933" t="str">
        <x:v>Food &amp; Drinks</x:v>
      </x:c>
      <x:c r="D933" t="str">
        <x:v>Protein Bars</x:v>
      </x:c>
      <x:c r="E933" t="str">
        <x:v>12 x 55g bars</x:v>
      </x:c>
      <x:c r="F933" t="n">
        <x:v>4</x:v>
      </x:c>
      <x:c r="G933" t="str">
        <x:v>https://www.activesportstrade.co.uk/trade-convienience</x:v>
      </x:c>
      <x:c r="H933" t="str"/>
      <x:c r="I933" t="str">
        <x:v>Pending genuine supplier/brand image</x:v>
      </x:c>
    </x:row>
    <x:row r="934">
      <x:c r="A934" t="str">
        <x:v>Mars</x:v>
      </x:c>
      <x:c r="B934" t="str">
        <x:v>Protein Cookie</x:v>
      </x:c>
      <x:c r="C934" t="str">
        <x:v>Food &amp; Drinks</x:v>
      </x:c>
      <x:c r="D934" t="str">
        <x:v>Protein Cookies</x:v>
      </x:c>
      <x:c r="E934" t="str">
        <x:v>12 x 60g cookies</x:v>
      </x:c>
      <x:c r="F934" t="n">
        <x:v>2</x:v>
      </x:c>
      <x:c r="G934" t="str">
        <x:v>https://www.activesportstrade.co.uk/trade-convienience</x:v>
      </x:c>
      <x:c r="H934" t="str"/>
      <x:c r="I934" t="str">
        <x:v>Pending genuine supplier/brand image</x:v>
      </x:c>
    </x:row>
    <x:row r="935">
      <x:c r="A935" t="str">
        <x:v>Snickers</x:v>
      </x:c>
      <x:c r="B935" t="str">
        <x:v>Hi Protein Bars</x:v>
      </x:c>
      <x:c r="C935" t="str">
        <x:v>Food &amp; Drinks</x:v>
      </x:c>
      <x:c r="D935" t="str">
        <x:v>Protein Bars</x:v>
      </x:c>
      <x:c r="E935" t="str">
        <x:v>12 x 55g bars</x:v>
      </x:c>
      <x:c r="F935" t="n">
        <x:v>2</x:v>
      </x:c>
      <x:c r="G935" t="str">
        <x:v>https://www.activesportstrade.co.uk/trade-convienience</x:v>
      </x:c>
      <x:c r="H935" t="str"/>
      <x:c r="I935" t="str">
        <x:v>Pending genuine supplier/brand image</x:v>
      </x:c>
    </x:row>
    <x:row r="936">
      <x:c r="A936" t="str">
        <x:v>Snickers</x:v>
      </x:c>
      <x:c r="B936" t="str">
        <x:v>Low Sugar Protein Bar</x:v>
      </x:c>
      <x:c r="C936" t="str">
        <x:v>Food &amp; Drinks</x:v>
      </x:c>
      <x:c r="D936" t="str">
        <x:v>Protein Bars</x:v>
      </x:c>
      <x:c r="E936" t="str">
        <x:v>12 x 57g bars</x:v>
      </x:c>
      <x:c r="F936" t="n">
        <x:v>4</x:v>
      </x:c>
      <x:c r="G936" t="str">
        <x:v>https://www.activesportstrade.co.uk/trade-convienience</x:v>
      </x:c>
      <x:c r="H936" t="str"/>
      <x:c r="I936" t="str">
        <x:v>Pending genuine supplier/brand image</x:v>
      </x:c>
    </x:row>
    <x:row r="937">
      <x:c r="A937" t="str">
        <x:v>Snickers</x:v>
      </x:c>
      <x:c r="B937" t="str">
        <x:v>Protein Cookie</x:v>
      </x:c>
      <x:c r="C937" t="str">
        <x:v>Food &amp; Drinks</x:v>
      </x:c>
      <x:c r="D937" t="str">
        <x:v>Protein Cookies</x:v>
      </x:c>
      <x:c r="E937" t="str">
        <x:v>12 x 60g cookies</x:v>
      </x:c>
      <x:c r="F937" t="n">
        <x:v>2</x:v>
      </x:c>
      <x:c r="G937" t="str">
        <x:v>https://www.activesportstrade.co.uk/trade-convienience</x:v>
      </x:c>
      <x:c r="H937" t="str"/>
      <x:c r="I937" t="str">
        <x:v>Pending genuine supplier/brand image</x:v>
      </x:c>
    </x:row>
  </x:sheetData>
  <x:pageMargins left="0.7" right="0.7" top="0.75" bottom="0.75" header="0.3" footer="0.3"/>
  <x:tableParts count="1">
    <x:tablePart xmlns:r="http://schemas.openxmlformats.org/officeDocument/2006/relationships" r:id="Rf3508a3d21094712"/>
  </x:tableParts>
</x:worksheet>
</file>

<file path=xl/worksheets/sheet3.xml><?xml version="1.0" encoding="utf-8"?>
<x:worksheet xmlns:x="http://schemas.openxmlformats.org/spreadsheetml/2006/main">
  <x:sheetFormatPr defaultRowHeight="15"/>
  <x:cols>
    <x:col min="1" max="1" width="24" hidden="0" customWidth="1"/>
    <x:col min="2" max="2" width="70" hidden="0" customWidth="1"/>
  </x:cols>
  <x:sheetData>
    <x:row r="1" ht="15" hidden="0" customHeight="1">
      <x:c r="A1" s="4" t="str">
        <x:v>Rule</x:v>
      </x:c>
      <x:c r="B1" s="4" t="str">
        <x:v>R12 behaviour</x:v>
      </x:c>
    </x:row>
    <x:row r="2" ht="15" hidden="0" customHeight="1">
      <x:c r="A2" t="str">
        <x:v>Catalogue card</x:v>
      </x:c>
      <x:c r="B2" t="str">
        <x:v>One card per real parent product, not one card per flavour/size.</x:v>
      </x:c>
    </x:row>
    <x:row r="3" ht="15" hidden="0" customHeight="1">
      <x:c r="A3" t="str">
        <x:v>Variant matrix</x:v>
      </x:c>
      <x:c r="B3" t="str">
        <x:v>Only genuine size/flavour combinations from supplier data are selectable. Never cross-product flavours across sizes.</x:v>
      </x:c>
    </x:row>
    <x:row r="4" ht="15" hidden="0" customHeight="1">
      <x:c r="A4" t="str">
        <x:v>Local stock ranking</x:v>
      </x:c>
      <x:c r="B4" t="str">
        <x:v>In Gym Now always ranks above supplier-order stock in every category and search.</x:v>
      </x:c>
    </x:row>
    <x:row r="5" ht="15" hidden="0" customHeight="1">
      <x:c r="A5" t="str">
        <x:v>Supplier ordering</x:v>
      </x:c>
      <x:c r="B5" t="str">
        <x:v>Active Sports may be member-orderable; drinks/RTDs/bars use the supplier's case/box unit rather than loose singles.</x:v>
      </x:c>
    </x:row>
    <x:row r="6" ht="15" hidden="0" customHeight="1">
      <x:c r="A6" t="str">
        <x:v>Price</x:v>
      </x:c>
      <x:c r="B6" t="str">
        <x:v>Supplier trade price intentionally excluded. Madhouse retail price is resolved only after exact variant selection.</x:v>
      </x:c>
    </x:row>
    <x:row r="7" ht="15" hidden="0" customHeight="1">
      <x:c r="A7" t="str">
        <x:v>Promotions/freebies</x:v>
      </x:c>
      <x:c r="B7" t="str">
        <x:v>Supplier promo/free-gift wording does not become the customer-facing product title. List only the main purchasable item. If Active Sports supplies an extra item free, Madhouse still orders/receives it and the customer receives it, but the free item is not advertised in R12; it remains a surprise.</x:v>
      </x:c>
    </x:row>
    <x:row r="8" ht="15" hidden="0" customHeight="1">
      <x:c r="A8" t="str">
        <x:v>Stock state</x:v>
      </x:c>
      <x:c r="B8" t="str">
        <x:v>Variant-level supplier stock is stored with check date/source. Out-of-stock exact variants are not offered for supplier order. If EVERY flavour/variant of a parent product is out of stock at the current supplier check, do not list that parent product in the Member Shop at all. It can be added/re-enabled if a later website check shows at least one orderable variant.</x:v>
      </x:c>
    </x:row>
    <x:row r="9" ht="15" hidden="0" customHeight="1">
      <x:c r="A9" t="str">
        <x:v>Receiving</x:v>
      </x:c>
      <x:c r="B9" t="str">
        <x:v>Paid member-order quantities are committed demand and are allocated on receiving before excess stock becomes available-to-sell.</x:v>
      </x:c>
    </x:row>
    <x:row r="10" ht="26.399999618530273" hidden="0" customHeight="1">
      <x:c r="A10" s="45" t="str">
        <x:v>Active Sports payable trade cost</x:v>
      </x:c>
      <x:c r="B10" s="10" t="str">
        <x:v>Use ONLY the current bold price shown beside the product on the logged-in Active Sports Trade site. That bold figure is the price Madhouse will actually pay before VAT and is the authoritative ex-VAT supplier cost snapshot.</x:v>
      </x:c>
    </x:row>
    <x:row r="11" ht="26.399999618530273" hidden="0" customHeight="1">
      <x:c r="A11" s="45" t="str">
        <x:v>Ignore struck/secondary prices</x:v>
      </x:c>
      <x:c r="B11" s="10" t="str">
        <x:v>Ignore SRRP/RRP entirely. Ignore 'Trade Normal' / normal trade price because that is before Keenan's account discount. Do not use those values in cost, margin or retail calculations.</x:v>
      </x:c>
    </x:row>
    <x:row r="12" ht="15" hidden="0" customHeight="1">
      <x:c r="A12" s="45" t="str">
        <x:v>VAT treatment</x:v>
      </x:c>
      <x:c r="B12" s="10" t="str">
        <x:v>Default Active Sports treatment is +20% VAT unless the specific SKU/order unit is explicitly marked VAT FREE or otherwise carries a different supplier VAT treatment. Madhouse Products &amp; Services is not VAT registered, so charged VAT is unrecoverable and forms part of actual cost.</x:v>
      </x:c>
    </x:row>
    <x:row r="13" ht="26.399999618530273" hidden="0" customHeight="1">
      <x:c r="A13" s="45" t="str">
        <x:v>Target margin</x:v>
      </x:c>
      <x:c r="B13" s="10" t="str">
        <x:v>Keenan's Active Sports target is 30% gross margin (not 30% markup): unrounded retail = actual VAT-inclusive cost ÷ 0.70.</x:v>
      </x:c>
    </x:row>
    <x:row r="14" ht="26.399999618530273" hidden="0" customHeight="1">
      <x:c r="A14" s="45" t="str">
        <x:v>Retail rounding</x:v>
      </x:c>
      <x:c r="B14" s="10" t="str">
        <x:v>Always round the calculated retail UP to the next whole pound so the achieved gross margin is never reduced below the 30% target by rounding.</x:v>
      </x:c>
    </x:row>
    <x:row r="15" ht="15" hidden="0" customHeight="1">
      <x:c r="A15" s="45" t="str">
        <x:v>Price refresh behaviour</x:v>
      </x:c>
      <x:c r="B15" s="10" t="str">
        <x:v>The workbook/app should use the current bold supplier price snapshot, including specials. When Active Sports changes a price, update the current supplier cost snapshot on the next website check; retain audit/history separately rather than continuing to price from an old normal cost.</x:v>
      </x:c>
    </x:row>
    <x:row r="16">
      <x:c r="A16" t="str">
        <x:v>Customer visibility</x:v>
      </x:c>
      <x:c r="B16" t="str">
        <x:v>Supplier cost, VAT, margin and previous cost snapshots are management-only. Customers see only the final selling price.</x:v>
      </x:c>
    </x:row>
    <x:row r="17">
      <x:c r="A17" s="50" t="str">
        <x:v>Special-offer presentation</x:v>
      </x:c>
      <x:c r="B17" s="10" t="str">
        <x:v>For products captured from Active Sports Special Offers, customer-facing catalogue data should describe only the main item. Ignore free-gift/bundle-gift wording in titles and customer copy; the current bold payable price still drives cost and retail.</x:v>
      </x:c>
    </x:row>
    <x:row r="18">
      <x:c r="A18" s="50" t="str">
        <x:v>Special-offer imagery</x:v>
      </x:c>
      <x:c r="B18" s="10" t="str">
        <x:v>Prefer an image showing only the main purchasable item. Do not use promotional artwork dominated by the free gift where a clean main-product image can be sourced.</x:v>
      </x:c>
    </x:row>
    <x:row r="19">
      <x:c r="A19" t="str">
        <x:v>VAT treatment by SKU/order unit</x:v>
      </x:c>
      <x:c r="B19" t="str">
        <x:v>Do NOT assume every Active Sports line is +20% VAT. Store supplier VAT treatment on each SKU/order unit. If the logged-in listing explicitly says VAT FREE, use 0% and actual cost equals the bold supplier price. Otherwise use the supplier's applicable VAT rate (normally 20%). The supplier listing/invoice is authoritative.</x:v>
      </x:c>
    </x:row>
    <x:row r="20">
      <x:c r="A20" t="str">
        <x:v>Supplier order unit is customer order unit</x:v>
      </x:c>
      <x:c r="B20" t="str">
        <x:v>For Member Supplier Orders, if Active Sports sells a product as a case/box (for example 12 cans, 8 RTDs or 12 bars), the customer orders and pays for the complete case/box. Never divide a case cost into a loose-single supplier-order price. Local gym stock may still be sold individually as a separate sales unit.</x:v>
      </x:c>
    </x:row>
    <x:row r="21">
      <x:c r="A21" t="str">
        <x:v>30% margin is minimum normal-price floor</x:v>
      </x:c>
      <x:c r="B21" t="str">
        <x:v>30% gross margin on true Madhouse cost is the minimum normal-price floor, not an instruction to give away all margin. Management pricing should consider existing single-unit retail value, sensible bulk saving, payment-fee savings and commercial headroom before setting the final bulk price.</x:v>
      </x:c>
    </x:row>
    <x:row r="22">
      <x:c r="A22" t="str">
        <x:v>Smart bulk pricing</x:v>
      </x:c>
      <x:c r="B22" t="str">
        <x:v>Management-only bulk recommendations should compare true supplier cost, normal singles-equivalent value, payment fees for likely individual transactions versus one bulk transaction, customer saving, gross profit and net contribution. A bulk deal may share transaction/handling savings with the customer while protecting or improving Madhouse profit.</x:v>
      </x:c>
    </x:row>
    <x:row r="23">
      <x:c r="A23" t="str">
        <x:v>Golden Ticket stress test</x:v>
      </x:c>
      <x:c r="B23" t="str">
        <x:v>Every sellable item/price must pass a management-only Golden Ticket stress test before launch and whenever cost, VAT, retail, bulk price or promotion rules change. After the legitimate Golden Ticket/offer rules and relevant payment fees, Madhouse net contribution must remain strictly positive (&gt; £0.00). £0.01 profit passes; £0.00 or a loss fails and the price/eligibility must be changed before sale.</x:v>
      </x:c>
    </x:row>
    <x:row r="24">
      <x:c r="A24" t="str">
        <x:v>Promotion headroom</x:v>
      </x:c>
      <x:c r="B24" t="str">
        <x:v>Products &amp; Pricing must show management the effect of normal price, bulk price, ordinary offers and Golden Ticket pricing. Customer-facing shop must never expose supplier cost, VAT inputs, payment fees, margins, stress-test values or profit.</x:v>
      </x:c>
    </x:row>
    <x:row r="25">
      <x:c r="A25" s="10" t="str">
        <x:v>25</x:v>
      </x:c>
      <x:c r="B25" s="10" t="str">
        <x:v>Stripe online-card stress test</x:v>
      </x:c>
      <x:c r="C25" s="10" t="str">
        <x:v>Use current standard UK online-card assumption of 1.5% + £0.20 per successful transaction for management stress-testing. This is not customer-facing and should be configurable in-app.</x:v>
      </x:c>
    </x:row>
    <x:row r="26">
      <x:c r="A26" s="10" t="str">
        <x:v>26</x:v>
      </x:c>
      <x:c r="B26" s="10" t="str">
        <x:v>Golden Ticket no-loss gate</x:v>
      </x:c>
      <x:c r="C26" s="10" t="str">
        <x:v>Every SKU/order unit must remain above £0 profit after a 20% Golden Ticket discount and assumed Stripe fee. If &lt;= £0, block that selling price/promotion combination. Minimum acceptable result is £0.01 profit.</x:v>
      </x:c>
    </x:row>
    <x:row r="27">
      <x:c r="A27" s="10" t="str">
        <x:v>27</x:v>
      </x:c>
      <x:c r="B27" s="10" t="str">
        <x:v>10% offer headroom</x:v>
      </x:c>
      <x:c r="C27" s="10" t="str">
        <x:v>Show management the post-Stripe profit at 10% off so ordinary offers can be assessed without guessing. Promotions must still respect the no-loss gate.</x:v>
      </x:c>
    </x:row>
    <x:row r="28">
      <x:c r="A28" s="10" t="str">
        <x:v>28</x:v>
      </x:c>
      <x:c r="B28" s="10" t="str">
        <x:v>Bulk pricing</x:v>
      </x:c>
      <x:c r="C28" s="10" t="str">
        <x:v>Bulk/case customer pricing is a management decision built from real case cost, payment-fee savings and target margin. Never expose a supplier case cost as a customer price or allow case ordering to undercut single-unit economics accidentally.</x:v>
      </x:c>
    </x:row>
    <x:row r="29">
      <x:c r="A29" s="10" t="str">
        <x:v>29</x:v>
      </x:c>
      <x:c r="B29" s="10" t="str">
        <x:v>Pallet pricing</x:v>
      </x:c>
      <x:c r="C29" s="10" t="str">
        <x:v>Ignore Active Sports pallet/mix-and-match prices and minimum-80-case terms. Use the main current bold price for the normal Madhouse purchasing pattern.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28" hidden="0" customWidth="1"/>
    <x:col min="5" max="5" width="24" hidden="0" customWidth="1"/>
    <x:col min="6" max="6" width="44" hidden="0" customWidth="1"/>
  </x:cols>
  <x:sheetData>
    <x:row r="1">
      <x:c r="A1" s="3" t="str">
        <x:v>Brand</x:v>
      </x:c>
      <x:c r="B1" s="3" t="str">
        <x:v>Extraction Status</x:v>
      </x:c>
    </x:row>
    <x:row r="2">
      <x:c r="A2" t="str">
        <x:v>10X Athletic</x:v>
      </x:c>
      <x:c r="B2" t="str">
        <x:v>Public catalogue extracted</x:v>
      </x:c>
    </x:row>
    <x:row r="3">
      <x:c r="A3" t="str">
        <x:v>3D Energy</x:v>
      </x:c>
      <x:c r="B3" t="str">
        <x:v>Public catalogue extracted</x:v>
      </x:c>
    </x:row>
    <x:row r="4">
      <x:c r="A4" t="str">
        <x:v>Adapt Nutrition</x:v>
      </x:c>
      <x:c r="B4" t="str">
        <x:v>Public catalogue extracted</x:v>
      </x:c>
    </x:row>
    <x:row r="5">
      <x:c r="A5" t="str">
        <x:v>Advanced Dietics</x:v>
      </x:c>
      <x:c r="B5" t="str">
        <x:v>Public catalogue extracted</x:v>
      </x:c>
    </x:row>
    <x:row r="6">
      <x:c r="A6" t="str">
        <x:v>Alpha Designs</x:v>
      </x:c>
      <x:c r="B6" t="str">
        <x:v>Public catalogue extracted</x:v>
      </x:c>
    </x:row>
    <x:row r="7">
      <x:c r="A7" t="str">
        <x:v>Alpha Lion</x:v>
      </x:c>
      <x:c r="B7" t="str">
        <x:v>Public catalogue extracted</x:v>
      </x:c>
    </x:row>
    <x:row r="8">
      <x:c r="A8" t="str">
        <x:v>Animal</x:v>
      </x:c>
      <x:c r="B8" t="str">
        <x:v>Public catalogue extracted</x:v>
      </x:c>
    </x:row>
    <x:row r="9">
      <x:c r="A9" t="str">
        <x:v>Apex Formulas</x:v>
      </x:c>
      <x:c r="B9" t="str">
        <x:v>Public catalogue extracted</x:v>
      </x:c>
    </x:row>
    <x:row r="10">
      <x:c r="A10" t="str">
        <x:v>Apocalypse Nutrition</x:v>
      </x:c>
      <x:c r="B10" t="str">
        <x:v>Public catalogue extracted</x:v>
      </x:c>
    </x:row>
    <x:row r="11">
      <x:c r="A11" t="str">
        <x:v>Applied Nutrition</x:v>
      </x:c>
      <x:c r="B11" t="str">
        <x:v>High-priority extraction underway</x:v>
      </x:c>
    </x:row>
    <x:row r="12">
      <x:c r="A12" t="str">
        <x:v>Barebells</x:v>
      </x:c>
      <x:c r="B12" t="str">
        <x:v>Public catalogue extracted</x:v>
      </x:c>
    </x:row>
    <x:row r="13">
      <x:c r="A13" t="str">
        <x:v>Beast Pharm</x:v>
      </x:c>
      <x:c r="B13" t="str">
        <x:v>Public catalogue extracted</x:v>
      </x:c>
    </x:row>
    <x:row r="14">
      <x:c r="A14" t="str">
        <x:v>Biotech USA</x:v>
      </x:c>
      <x:c r="B14" t="str">
        <x:v>Public brand-page extraction substantially complete — QA/reconciliation remaining</x:v>
      </x:c>
    </x:row>
    <x:row r="15">
      <x:c r="A15" t="str">
        <x:v>Black Magic</x:v>
      </x:c>
      <x:c r="B15" t="str">
        <x:v>Public catalogue extracted</x:v>
      </x:c>
    </x:row>
    <x:row r="16">
      <x:c r="A16" t="str">
        <x:v>Black Mamba</x:v>
      </x:c>
      <x:c r="B16" t="str">
        <x:v>Public catalogue extracted</x:v>
      </x:c>
    </x:row>
    <x:row r="17">
      <x:c r="A17" t="str">
        <x:v>Black Mamba - Reaper Series</x:v>
      </x:c>
      <x:c r="B17" t="str">
        <x:v>Public catalogue extracted</x:v>
      </x:c>
    </x:row>
    <x:row r="18">
      <x:c r="A18" t="str">
        <x:v>Bounty</x:v>
      </x:c>
      <x:c r="B18" t="str">
        <x:v>Public catalogue extracted</x:v>
      </x:c>
    </x:row>
    <x:row r="19">
      <x:c r="A19" t="str">
        <x:v>BSN</x:v>
      </x:c>
      <x:c r="B19" t="str">
        <x:v>Public catalogue extracted</x:v>
      </x:c>
    </x:row>
    <x:row r="20">
      <x:c r="A20" t="str">
        <x:v>Buffalo Nutrition</x:v>
      </x:c>
      <x:c r="B20" t="str">
        <x:v>Public catalogue extracted</x:v>
      </x:c>
    </x:row>
    <x:row r="21">
      <x:c r="A21" t="str">
        <x:v>C4</x:v>
      </x:c>
      <x:c r="B21" t="str">
        <x:v>Public catalogue extracted</x:v>
      </x:c>
    </x:row>
    <x:row r="22">
      <x:c r="A22" t="str">
        <x:v>CNP Professional</x:v>
      </x:c>
      <x:c r="B22" t="str">
        <x:v>Extraction underway — current main catalogue slice complete</x:v>
      </x:c>
    </x:row>
    <x:row r="23">
      <x:c r="A23" t="str">
        <x:v>Coca-Cola</x:v>
      </x:c>
      <x:c r="B23" t="str">
        <x:v>Queued</x:v>
      </x:c>
    </x:row>
    <x:row r="24">
      <x:c r="A24" t="str">
        <x:v>Complete Strength</x:v>
      </x:c>
      <x:c r="B24" t="str">
        <x:v>Public catalogue extracted</x:v>
      </x:c>
    </x:row>
    <x:row r="25">
      <x:c r="A25" t="str">
        <x:v>Conteh Sports</x:v>
      </x:c>
      <x:c r="B25" t="str">
        <x:v>Public catalogue extracted</x:v>
      </x:c>
    </x:row>
    <x:row r="26">
      <x:c r="A26" t="str">
        <x:v>DNA Sports</x:v>
      </x:c>
      <x:c r="B26" t="str">
        <x:v>Public catalogue extracted / reconciled</x:v>
      </x:c>
    </x:row>
    <x:row r="27">
      <x:c r="A27" t="str">
        <x:v>Dorian Yates - DY Nutrition - Shadow Line</x:v>
      </x:c>
      <x:c r="B27" t="str">
        <x:v>Public catalogue extracted across brand + category pages</x:v>
      </x:c>
    </x:row>
    <x:row r="28">
      <x:c r="A28" t="str">
        <x:v>Efectiv Sports Nutrition</x:v>
      </x:c>
      <x:c r="B28" t="str">
        <x:v>Public catalogue extracted</x:v>
      </x:c>
    </x:row>
    <x:row r="29">
      <x:c r="A29" t="str">
        <x:v>EHP Labs</x:v>
      </x:c>
      <x:c r="B29" t="str">
        <x:v>Public catalogue extracted</x:v>
      </x:c>
    </x:row>
    <x:row r="30">
      <x:c r="A30" t="str">
        <x:v>Fanta</x:v>
      </x:c>
      <x:c r="B30" t="str">
        <x:v>Queued</x:v>
      </x:c>
    </x:row>
    <x:row r="31">
      <x:c r="A31" t="str">
        <x:v>Gas Mark 10</x:v>
      </x:c>
      <x:c r="B31" t="str">
        <x:v>Extraction underway — verified current category slice added</x:v>
      </x:c>
    </x:row>
    <x:row r="32">
      <x:c r="A32" t="str">
        <x:v>Ghost Lifestyle</x:v>
      </x:c>
      <x:c r="B32" t="str">
        <x:v>Public catalogue extracted / reconciled</x:v>
      </x:c>
    </x:row>
    <x:row r="33">
      <x:c r="A33" t="str">
        <x:v>Gorillalpha</x:v>
      </x:c>
      <x:c r="B33" t="str">
        <x:v>Current visible public brand page extracted — supplier count discrepancy noted</x:v>
      </x:c>
    </x:row>
    <x:row r="34">
      <x:c r="A34" t="str">
        <x:v>Grenade</x:v>
      </x:c>
      <x:c r="B34" t="str">
        <x:v>Public current convenience range extracted</x:v>
      </x:c>
    </x:row>
    <x:row r="35">
      <x:c r="A35" t="str">
        <x:v>Grenade - Carb Killa Bars</x:v>
      </x:c>
      <x:c r="B35" t="str">
        <x:v>Public current convenience range extracted</x:v>
      </x:c>
    </x:row>
    <x:row r="36">
      <x:c r="A36" t="str">
        <x:v>HR Labs</x:v>
      </x:c>
      <x:c r="B36" t="str">
        <x:v>Public catalogue extracted</x:v>
      </x:c>
    </x:row>
    <x:row r="37">
      <x:c r="A37" t="str">
        <x:v>Ice Valley</x:v>
      </x:c>
      <x:c r="B37" t="str">
        <x:v>Queued</x:v>
      </x:c>
    </x:row>
    <x:row r="38">
      <x:c r="A38" t="str">
        <x:v>Inferno 2 - Fat Burner</x:v>
      </x:c>
      <x:c r="B38" t="str">
        <x:v>Current exact format/stock verified — earlier placeholder needs dedupe before import</x:v>
      </x:c>
    </x:row>
    <x:row r="39">
      <x:c r="A39" t="str">
        <x:v>InnovaPharm</x:v>
      </x:c>
      <x:c r="B39" t="str">
        <x:v>Verified current pre-workout/EAA slice added — broader range reconciliation remaining</x:v>
      </x:c>
    </x:row>
    <x:row r="40">
      <x:c r="A40" s="41" t="str">
        <x:v>GSN / Madhouse local-stock readiness</x:v>
      </x:c>
      <x:c r="B40" s="41" t="str"/>
      <x:c r="C40" s="41" t="str"/>
      <x:c r="D40" s="41" t="str"/>
      <x:c r="E40" s="41" t="str"/>
      <x:c r="F40" s="41" t="str"/>
    </x:row>
    <x:row r="41">
      <x:c r="A41" s="42" t="str">
        <x:v>Range</x:v>
      </x:c>
      <x:c r="B41" s="42" t="str">
        <x:v>Current official variants</x:v>
      </x:c>
      <x:c r="C41" s="42" t="str">
        <x:v>Staged current variants</x:v>
      </x:c>
      <x:c r="D41" s="42" t="str">
        <x:v>Retail rule</x:v>
      </x:c>
      <x:c r="E41" s="42" t="str">
        <x:v>Stock source</x:v>
      </x:c>
      <x:c r="F41" s="42" t="str">
        <x:v>Status</x:v>
      </x:c>
    </x:row>
    <x:row r="42">
      <x:c r="A42" s="10" t="str">
        <x:v>Pot O Gold</x:v>
      </x:c>
      <x:c r="B42" s="10" t="n">
        <x:v>26</x:v>
      </x:c>
      <x:c r="C42" s="10" t="n">
        <x:v>26</x:v>
      </x:c>
      <x:c r="D42" s="10" t="str">
        <x:v>£4 each; 10 for £32 mix &amp; match</x:v>
      </x:c>
      <x:c r="E42" s="10" t="str">
        <x:v>Madhouse physical count</x:v>
      </x:c>
      <x:c r="F42" s="10" t="str">
        <x:v>Current range reconciled</x:v>
      </x:c>
    </x:row>
    <x:row r="43">
      <x:c r="A43" s="10" t="str">
        <x:v>High Protein Wraps</x:v>
      </x:c>
      <x:c r="B43" s="10" t="n">
        <x:v>7</x:v>
      </x:c>
      <x:c r="C43" s="10" t="n">
        <x:v>7</x:v>
      </x:c>
      <x:c r="D43" s="10" t="str">
        <x:v>Madhouse retail TBC</x:v>
      </x:c>
      <x:c r="E43" s="10" t="str">
        <x:v>Madhouse physical count</x:v>
      </x:c>
      <x:c r="F43" s="10" t="str">
        <x:v>Current range reconciled</x:v>
      </x:c>
    </x:row>
    <x:row r="44">
      <x:c r="A44" s="10" t="str">
        <x:v>Signature Meals</x:v>
      </x:c>
      <x:c r="B44" s="10" t="n">
        <x:v>5</x:v>
      </x:c>
      <x:c r="C44" s="10" t="n">
        <x:v>5</x:v>
      </x:c>
      <x:c r="D44" s="10" t="str">
        <x:v>Madhouse retail TBC</x:v>
      </x:c>
      <x:c r="E44" s="10" t="str">
        <x:v>Madhouse physical count</x:v>
      </x:c>
      <x:c r="F44" s="10" t="str">
        <x:v>Current range reconciled</x:v>
      </x:c>
    </x:row>
    <x:row r="45">
      <x:c r="A45" s="10" t="str">
        <x:v>Historical/bundle-only refs</x:v>
      </x:c>
      <x:c r="B45" s="10" t="n">
        <x:v>1</x:v>
      </x:c>
      <x:c r="C45" s="10" t="n">
        <x:v>1</x:v>
      </x:c>
      <x:c r="D45" s="10" t="str">
        <x:v>Do not sell by default</x:v>
      </x:c>
      <x:c r="E45" s="10" t="str">
        <x:v>Physical confirmation required</x:v>
      </x:c>
      <x:c r="F45" s="10" t="str">
        <x:v>Chicken Tikka Dhal held as non-current reference</x:v>
      </x:c>
    </x:row>
    <x:row r="46">
      <x:c r="A46" s="10" t="str">
        <x:v>Total current GSN sellable identities</x:v>
      </x:c>
      <x:c r="B46" s="10" t="n">
        <x:v>38</x:v>
      </x:c>
      <x:c r="C46" s="10" t="n">
        <x:v>38</x:v>
      </x:c>
      <x:c r="D46" s="10" t="str"/>
      <x:c r="E46" s="10" t="str">
        <x:v>Madhouse physical count</x:v>
      </x:c>
      <x:c r="F46" s="10" t="str">
        <x:v>Catalogue identities reconciled</x:v>
      </x:c>
    </x:row>
    <x:row r="47">
      <x:c r="A47" s="10" t="str">
        <x:v>Full nutrition completed</x:v>
      </x:c>
      <x:c r="B47" s="10" t="n">
        <x:v>14</x:v>
      </x:c>
      <x:c r="C47" s="10" t="n">
        <x:v>14</x:v>
      </x:c>
      <x:c r="D47" s="10" t="str">
        <x:v>Official GSN only</x:v>
      </x:c>
      <x:c r="E47" s="10" t="str"/>
      <x:c r="F47" s="10" t="str">
        <x:v>Further nutrition remains optional enrichment, not identity blocking</x:v>
      </x:c>
    </x:row>
    <x:row r="48">
      <x:c r="A48" s="10" t="str">
        <x:v>Official image mappings</x:v>
      </x:c>
      <x:c r="B48" s="10" t="n">
        <x:v>18</x:v>
      </x:c>
      <x:c r="C48" s="10" t="n">
        <x:v>18</x:v>
      </x:c>
      <x:c r="D48" s="10" t="str">
        <x:v>Official GSN only</x:v>
      </x:c>
      <x:c r="E48" s="10" t="str"/>
      <x:c r="F48" s="10" t="str">
        <x:v>No marketplace/generated imagery</x:v>
      </x:c>
    </x:row>
    <x:row r="49">
      <x:c r="A49" t="str">
        <x:v>Mountain Joes</x:v>
      </x:c>
      <x:c r="B49" t="str">
        <x:v>Verified whey family added — broader range extraction remaining</x:v>
      </x:c>
    </x:row>
    <x:row r="50">
      <x:c r="A50" t="str">
        <x:v>Murdered Out</x:v>
      </x:c>
      <x:c r="B50" t="str">
        <x:v>Queued</x:v>
      </x:c>
    </x:row>
    <x:row r="51">
      <x:c r="A51" t="str">
        <x:v>Muscle King Nutrition</x:v>
      </x:c>
      <x:c r="B51" t="str">
        <x:v>Current supplements + accessories range extracted; broader historical count reconciliation remaining</x:v>
      </x:c>
    </x:row>
    <x:row r="52">
      <x:c r="A52" t="str">
        <x:v>Muscle Moose</x:v>
      </x:c>
      <x:c r="B52" t="str">
        <x:v>Current public range substantially extracted — pre-workout Zero Itch reconciliation remaining</x:v>
      </x:c>
    </x:row>
    <x:row r="53">
      <x:c r="A53" t="str">
        <x:v>Mutant</x:v>
      </x:c>
      <x:c r="B53" t="str">
        <x:v>Extraction underway — fresh BCAA/pre-workout slice added</x:v>
      </x:c>
    </x:row>
    <x:row r="54">
      <x:c r="A54" t="str">
        <x:v>Naughty Boy Lifestyle</x:v>
      </x:c>
      <x:c r="B54" t="str">
        <x:v>Extraction underway — hydration/whey/bars/diet/pre-workout slices added</x:v>
      </x:c>
    </x:row>
    <x:row r="55">
      <x:c r="A55" t="str">
        <x:v>NOCCO</x:v>
      </x:c>
      <x:c r="B55" t="str">
        <x:v>Verified Electrolyte RTD family added — broader NOCCO range pending</x:v>
      </x:c>
    </x:row>
    <x:row r="56">
      <x:c r="A56" t="str">
        <x:v>NXT Nutrition</x:v>
      </x:c>
      <x:c r="B56" t="str">
        <x:v>Initial live rows extracted</x:v>
      </x:c>
    </x:row>
    <x:row r="57">
      <x:c r="A57" t="str">
        <x:v>Olimp</x:v>
      </x:c>
      <x:c r="B57" t="str">
        <x:v>Extraction underway — shots added to prior NXT slices</x:v>
      </x:c>
    </x:row>
    <x:row r="58">
      <x:c r="A58" t="str">
        <x:v>Optimise Health</x:v>
      </x:c>
      <x:c r="B58" t="str">
        <x:v>Queued</x:v>
      </x:c>
    </x:row>
    <x:row r="59">
      <x:c r="A59" t="str">
        <x:v>Optimum Nutrition</x:v>
      </x:c>
      <x:c r="B59" t="str">
        <x:v>Queued</x:v>
      </x:c>
    </x:row>
    <x:row r="60">
      <x:c r="A60" t="str">
        <x:v>Outangled</x:v>
      </x:c>
      <x:c r="B60" t="str">
        <x:v>Queued</x:v>
      </x:c>
    </x:row>
    <x:row r="61">
      <x:c r="A61" t="str">
        <x:v>Per4m Nutrition</x:v>
      </x:c>
      <x:c r="B61" t="str">
        <x:v>Public current brand page extracted</x:v>
      </x:c>
    </x:row>
    <x:row r="62">
      <x:c r="A62" t="str">
        <x:v>Powerade</x:v>
      </x:c>
      <x:c r="B62" t="str">
        <x:v>Public current brand page extracted</x:v>
      </x:c>
    </x:row>
    <x:row r="63">
      <x:c r="A63" t="str">
        <x:v>Project AD</x:v>
      </x:c>
      <x:c r="B63" t="str">
        <x:v>Queued</x:v>
      </x:c>
    </x:row>
    <x:row r="64">
      <x:c r="A64" t="str">
        <x:v>Psycho Pharma</x:v>
      </x:c>
      <x:c r="B64" t="str">
        <x:v>Extraction underway — verified RTD slice expanded</x:v>
      </x:c>
    </x:row>
    <x:row r="65">
      <x:c r="A65" t="str">
        <x:v>QNT</x:v>
      </x:c>
      <x:c r="B65" t="str">
        <x:v>Queued</x:v>
      </x:c>
    </x:row>
    <x:row r="66">
      <x:c r="A66" t="str">
        <x:v>Quest Nutrition</x:v>
      </x:c>
      <x:c r="B66" t="str">
        <x:v>Queued</x:v>
      </x:c>
    </x:row>
    <x:row r="67">
      <x:c r="A67" t="str">
        <x:v>Red Bull</x:v>
      </x:c>
      <x:c r="B67" t="str">
        <x:v>Current public pre-workout range extracted</x:v>
      </x:c>
    </x:row>
    <x:row r="68">
      <x:c r="A68" t="str">
        <x:v>Redcon1</x:v>
      </x:c>
      <x:c r="B68" t="str">
        <x:v>Queued</x:v>
      </x:c>
    </x:row>
    <x:row r="69">
      <x:c r="A69" t="str">
        <x:v>Refined Nutrition</x:v>
      </x:c>
      <x:c r="B69" t="str">
        <x:v>Current live public brand page extracted / reconciled</x:v>
      </x:c>
    </x:row>
    <x:row r="70">
      <x:c r="A70" t="str">
        <x:v>Reflex Nutrition</x:v>
      </x:c>
      <x:c r="B70" t="str">
        <x:v>Queued</x:v>
      </x:c>
    </x:row>
    <x:row r="71">
      <x:c r="A71" t="str">
        <x:v>Reign</x:v>
      </x:c>
      <x:c r="B71" t="str">
        <x:v>Queued</x:v>
      </x:c>
    </x:row>
    <x:row r="72">
      <x:c r="A72" t="str">
        <x:v>Relentless Energy Drinks</x:v>
      </x:c>
      <x:c r="B72" t="str">
        <x:v>Queued</x:v>
      </x:c>
    </x:row>
    <x:row r="73">
      <x:c r="A73" t="str">
        <x:v>Rich Piana 5%</x:v>
      </x:c>
      <x:c r="B73" t="str">
        <x:v>Queued</x:v>
      </x:c>
    </x:row>
    <x:row r="74">
      <x:c r="A74" t="str">
        <x:v>RYSE</x:v>
      </x:c>
      <x:c r="B74" t="str">
        <x:v>Queued</x:v>
      </x:c>
    </x:row>
    <x:row r="75">
      <x:c r="A75" t="str">
        <x:v>Sci-Mx</x:v>
      </x:c>
      <x:c r="B75" t="str">
        <x:v>Queued</x:v>
      </x:c>
    </x:row>
    <x:row r="76">
      <x:c r="A76" t="str">
        <x:v>Scitec Nutrition</x:v>
      </x:c>
      <x:c r="B76" t="str">
        <x:v>Queued</x:v>
      </x:c>
    </x:row>
    <x:row r="77">
      <x:c r="A77" t="str">
        <x:v>SN</x:v>
      </x:c>
      <x:c r="B77" t="str">
        <x:v>Queued</x:v>
      </x:c>
    </x:row>
    <x:row r="78">
      <x:c r="A78" t="str">
        <x:v>Snickers</x:v>
      </x:c>
      <x:c r="B78" t="str">
        <x:v>Queued</x:v>
      </x:c>
    </x:row>
    <x:row r="79">
      <x:c r="A79" t="str">
        <x:v>Sport Asylum Nutrition</x:v>
      </x:c>
      <x:c r="B79" t="str">
        <x:v>Queued</x:v>
      </x:c>
    </x:row>
    <x:row r="80">
      <x:c r="A80" t="str">
        <x:v>Strom Sports Nutrition</x:v>
      </x:c>
      <x:c r="B80" t="str">
        <x:v>Queued</x:v>
      </x:c>
    </x:row>
    <x:row r="81">
      <x:c r="A81" t="str">
        <x:v>Supplement Needs</x:v>
      </x:c>
      <x:c r="B81" t="str">
        <x:v>Queued</x:v>
      </x:c>
    </x:row>
    <x:row r="82">
      <x:c r="A82" t="str">
        <x:v>Trained By JP</x:v>
      </x:c>
      <x:c r="B82" t="str">
        <x:v>Queued</x:v>
      </x:c>
    </x:row>
    <x:row r="83">
      <x:c r="A83" t="str">
        <x:v>UFIT</x:v>
      </x:c>
      <x:c r="B83" t="str">
        <x:v>Queued</x:v>
      </x:c>
    </x:row>
    <x:row r="84">
      <x:c r="A84" t="str">
        <x:v>USN</x:v>
      </x:c>
      <x:c r="B84" t="str">
        <x:v>Queued</x:v>
      </x:c>
    </x:row>
    <x:row r="85">
      <x:c r="A85" t="str">
        <x:v>Vitamin Well</x:v>
      </x:c>
      <x:c r="B85" t="str">
        <x:v>Queued</x:v>
      </x:c>
    </x:row>
    <x:row r="86">
      <x:c r="A86" t="str">
        <x:v>Warrior</x:v>
      </x:c>
      <x:c r="B86" t="str">
        <x:v>Queued</x:v>
      </x:c>
    </x:row>
    <x:row r="87">
      <x:c r="A87" t="str">
        <x:v>WOW</x:v>
      </x:c>
      <x:c r="B87" t="str">
        <x:v>Queued</x:v>
      </x:c>
    </x:row>
    <x:row r="88">
      <x:c r="A88" t="str">
        <x:v>XTEND</x:v>
      </x:c>
      <x:c r="B88" t="str">
        <x:v>Queued</x:v>
      </x:c>
    </x:row>
  </x:sheetData>
  <x:pageMargins left="0.7" right="0.7" top="0.75" bottom="0.75" header="0.3" footer="0.3"/>
  <x:tableParts count="1">
    <x:tablePart xmlns:r="http://schemas.openxmlformats.org/officeDocument/2006/relationships" r:id="R04a37ddc0e3442ee"/>
  </x:tableParts>
</x:worksheet>
</file>

<file path=xl/worksheets/sheet5.xml><?xml version="1.0" encoding="utf-8"?>
<x:worksheet xmlns:x="http://schemas.openxmlformats.org/spreadsheetml/2006/main">
  <x:sheetFormatPr defaultRowHeight="15"/>
  <x:cols>
    <x:col min="1" max="1" width="22" hidden="0" customWidth="1"/>
    <x:col min="2" max="2" width="90" hidden="0" customWidth="1"/>
    <x:col min="3" max="3" width="16" hidden="0" customWidth="1"/>
  </x:cols>
  <x:sheetData>
    <x:row r="1">
      <x:c r="A1" s="4" t="str">
        <x:v>Brand</x:v>
      </x:c>
      <x:c r="B1" s="4" t="str">
        <x:v>Note</x:v>
      </x:c>
      <x:c r="C1" s="4" t="str">
        <x:v>Date</x:v>
      </x:c>
    </x:row>
    <x:row r="2">
      <x:c r="A2" t="str">
        <x:v>10X Athletic</x:v>
      </x:c>
      <x:c r="B2" t="str">
        <x:v>Completed public-site extraction of visible 10X product lines found across Supplements, Creatine, Amino Acids, Pre Workouts, Whey Protein and Bars. Promotional/free-gift wording excluded. Where duplicate pages disagreed on current stock, the fresher category page was used.</x:v>
      </x:c>
      <x:c r="C2" t="str">
        <x:v>2026-09-08</x:v>
      </x:c>
    </x:row>
    <x:row r="3">
      <x:c r="A3" t="str">
        <x:v>3D Energy</x:v>
      </x:c>
      <x:c r="B3" t="str">
        <x:v>Extracted one public parent product with 9 flavour variants. Case-only member ordering. Current supplier stock preserved per flavour.</x:v>
      </x:c>
      <x:c r="C3" t="str">
        <x:v>2026-09-08</x:v>
      </x:c>
    </x:row>
    <x:row r="4">
      <x:c r="A4" t="str">
        <x:v>Adapt Nutrition</x:v>
      </x:c>
      <x:c r="B4" t="str">
        <x:v>Extracted 5 public parent products. Intra Amino had inconsistent flavour subsets across Active Sports category pages; all directly observed variants were retained rather than inventing combinations. Pre Train X has a genuine Active Sports preview image URL recorded.</x:v>
      </x:c>
      <x:c r="C4" t="str">
        <x:v>2026-09-08</x:v>
      </x:c>
    </x:row>
    <x:row r="5">
      <x:c r="A5" t="str">
        <x:v>Advanced Dietics</x:v>
      </x:c>
      <x:c r="B5" t="str">
        <x:v>Extracted T6 Incineration and T6 Pre Workout Advanced from their current category listings.</x:v>
      </x:c>
      <x:c r="C5" t="str">
        <x:v>2026-09-08</x:v>
      </x:c>
    </x:row>
    <x:row r="6">
      <x:c r="A6" t="str">
        <x:v>Alpha Designs</x:v>
      </x:c>
      <x:c r="B6" t="str">
        <x:v>Extracted shaker/jug range plus Alpha Pod. 750ml and 1000ml are grouped under one parent with size selection; colours are exact selectable variants.</x:v>
      </x:c>
      <x:c r="C6" t="str">
        <x:v>2026-09-08</x:v>
      </x:c>
    </x:row>
    <x:row r="7">
      <x:c r="A7" t="str">
        <x:v>Alpha Lion</x:v>
      </x:c>
      <x:c r="B7" t="str">
        <x:v>Extracted all 4 products visible on the current public brand page. Promo campaign wording removed from canonical titles.</x:v>
      </x:c>
      <x:c r="C7" t="str">
        <x:v>2026-09-08</x:v>
      </x:c>
    </x:row>
    <x:row r="8">
      <x:c r="A8" t="str">
        <x:v>Animal</x:v>
      </x:c>
      <x:c r="B8" t="str">
        <x:v>Extracted the 16-product public range. Where current category stock was fresher than the older brand page, the fresher stock state was retained.</x:v>
      </x:c>
      <x:c r="C8" t="str">
        <x:v>2026-09-08</x:v>
      </x:c>
    </x:row>
    <x:row r="9">
      <x:c r="A9" t="str">
        <x:v>Apex Formulas</x:v>
      </x:c>
      <x:c r="B9" t="str">
        <x:v>Extracted the 9-product public range, including exact flavour stock for Cream Of Oats, Duel Creatine and Morning Ritual.</x:v>
      </x:c>
      <x:c r="C9" t="str">
        <x:v>2026-09-08</x:v>
      </x:c>
    </x:row>
    <x:row r="10">
      <x:c r="A10" t="str">
        <x:v>Apocalypse Nutrition</x:v>
      </x:c>
      <x:c r="B10" t="str">
        <x:v>Extracted the 16-product public range. Zombie Juice has conflicting historic category pages; the fresher brand-page state is used and the discrepancy is explicitly noted.</x:v>
      </x:c>
      <x:c r="C10" t="str">
        <x:v>2026-09-08</x:v>
      </x:c>
    </x:row>
    <x:row r="11">
      <x:c r="A11" t="str">
        <x:v>Barebells</x:v>
      </x:c>
      <x:c r="B11" t="str">
        <x:v>Reconciled supplier category counts: Supplements shows 4 while Drinks/Bars exposes an additional Soft Protein Bar line. Five parent products retained from current visible catalogue.</x:v>
      </x:c>
      <x:c r="C11" t="str">
        <x:v>2026-09-08</x:v>
      </x:c>
    </x:row>
    <x:row r="12">
      <x:c r="A12" t="str">
        <x:v>Beast Pharm</x:v>
      </x:c>
      <x:c r="B12" t="str">
        <x:v>Public brand/category extraction completed. Big Love exposes suspicious Clear/Smoke options on the supplier page; retained as a flagged source anomaly rather than silently correcting supplier data. Recover is visible via Protein Blends and retained.</x:v>
      </x:c>
      <x:c r="C12" t="str">
        <x:v>2026-09-08</x:v>
      </x:c>
    </x:row>
    <x:row r="13">
      <x:c r="A13" t="str">
        <x:v>Biotech USA</x:v>
      </x:c>
      <x:c r="B13" t="str">
        <x:v>Large brand: supplier filter reports 85 products. Queued as a dedicated extraction slice to reduce size/flavour grouping errors.</x:v>
      </x:c>
      <x:c r="C13" t="str">
        <x:v>2026-09-08</x:v>
      </x:c>
    </x:row>
    <x:row r="14">
      <x:c r="A14" t="str">
        <x:v>Biotech USA</x:v>
      </x:c>
      <x:c r="B14" t="str">
        <x:v>Dedicated slice 1 added: A–E catalogue plus major protein/mass-gainer families. Exact size/flavour matrices preserved; promotional duplicate listings consolidated rather than creating extra products.</x:v>
      </x:c>
      <x:c r="C14" t="str">
        <x:v>2026-09-08</x:v>
      </x:c>
    </x:row>
    <x:row r="15">
      <x:c r="A15" t="str">
        <x:v>Biotech USA QA</x:v>
      </x:c>
      <x:c r="B15" t="str">
        <x:v>Supplier brand/category pages disagree on Beef Protein Chocolate Coconut stock. Brand page currently says In stock while a current category result says Out of stock; retained brand-page state but flagged the discrepancy for refresh/verification before production import.</x:v>
      </x:c>
      <x:c r="C15" t="str">
        <x:v>2026-09-08</x:v>
      </x:c>
    </x:row>
    <x:row r="16">
      <x:c r="A16" t="str">
        <x:v>Biotech USA</x:v>
      </x:c>
      <x:c r="B16" t="str">
        <x:v>Dedicated slice 2 added the remaining visible current brand-page families from Daily Pack through ZMB. Regular Nitrox Therapy stock kept separate from its dated special-offer listing rather than allowing BBE/promo stock to make the canonical product generally orderable.</x:v>
      </x:c>
      <x:c r="C16" t="str">
        <x:v>2026-09-08</x:v>
      </x:c>
    </x:row>
    <x:row r="17">
      <x:c r="A17" t="str">
        <x:v>Biotech USA QA correction</x:v>
      </x:c>
      <x:c r="B17" t="str">
        <x:v>Fresh page refresh changed several states versus the prior crawl (e.g. Beef Protein Chocolate Coconut, Black Test, Caffeine + Taurine, Carbox, Citrulline Malate). These earlier slice-1 rows need a reconciliation pass before production import; workbook notes preserve this rather than pretending the supplier feed is stable.</x:v>
      </x:c>
      <x:c r="C17" t="str">
        <x:v>2026-09-08</x:v>
      </x:c>
    </x:row>
    <x:row r="18">
      <x:c r="A18" t="str">
        <x:v>Black Magic</x:v>
      </x:c>
      <x:c r="B18" t="str">
        <x:v>One current product family. Current high-stim page shows every BZRK flavour out of stock; older brand crawl disagrees, so current category state retained.</x:v>
      </x:c>
      <x:c r="C18" t="str">
        <x:v>2026-09-08</x:v>
      </x:c>
    </x:row>
    <x:row r="19">
      <x:c r="A19" t="str">
        <x:v>Black Mamba</x:v>
      </x:c>
      <x:c r="B19" t="str">
        <x:v>Current supplier-filter extraction completed from 36-product catalogue. Promo/freebie wording stripped; stock uses the fresher current filtered page where conflicts exist.</x:v>
      </x:c>
      <x:c r="C19" t="str">
        <x:v>2026-09-08</x:v>
      </x:c>
    </x:row>
    <x:row r="20">
      <x:c r="A20" t="str">
        <x:v>Black Mamba - Reaper Series</x:v>
      </x:c>
      <x:c r="B20" t="str">
        <x:v>ECDY3 and Sidewinder extracted. Sidewinder exact three-flavour matrix captured; supplier product code 000000000000777 retained as supplier reference.</x:v>
      </x:c>
      <x:c r="C20" t="str">
        <x:v>2026-09-08</x:v>
      </x:c>
    </x:row>
    <x:row r="21">
      <x:c r="A21" t="str">
        <x:v>Bounty</x:v>
      </x:c>
      <x:c r="B21" t="str">
        <x:v>Single current case product captured as 12 x 52g Protein Bars; case-only member order.</x:v>
      </x:c>
      <x:c r="C21" t="str">
        <x:v>2026-09-08</x:v>
      </x:c>
    </x:row>
    <x:row r="22">
      <x:c r="A22" t="str">
        <x:v>BSN</x:v>
      </x:c>
      <x:c r="B22" t="str">
        <x:v>NO-Xplode 30/50 serving size matrix and Syntha-6 captured. Current BSN page used where older pre-workout page disagrees on stock.</x:v>
      </x:c>
      <x:c r="C22" t="str">
        <x:v>2026-09-08</x:v>
      </x:c>
    </x:row>
    <x:row r="23">
      <x:c r="A23" t="str">
        <x:v>Buffalo Nutrition</x:v>
      </x:c>
      <x:c r="B23" t="str">
        <x:v>Two current products captured: Alpha-XT and ZM3.</x:v>
      </x:c>
      <x:c r="C23" t="str">
        <x:v>2026-09-08</x:v>
      </x:c>
    </x:row>
    <x:row r="24">
      <x:c r="A24" t="str">
        <x:v>C4</x:v>
      </x:c>
      <x:c r="B24" t="str">
        <x:v>Current September pre-workout state captured, plus Energy cans, shots and Whey. Dated C4 Ultimate shot stock is preserved for audit but deliberately not made normal member-orderable.</x:v>
      </x:c>
      <x:c r="C24" t="str">
        <x:v>2026-09-08</x:v>
      </x:c>
    </x:row>
    <x:row r="25">
      <x:c r="A25" t="str">
        <x:v>CNP Professional</x:v>
      </x:c>
      <x:c r="B25" t="str">
        <x:v>Current main catalogue slice added. Promo/free-gift wording removed. New/current and explicitly legacy/original-packaging lines are distinguished only where supplier treats them as materially separate.</x:v>
      </x:c>
      <x:c r="C25" t="str">
        <x:v>2026-09-08</x:v>
      </x:c>
    </x:row>
    <x:row r="26">
      <x:c r="A26" t="str">
        <x:v>CNP data freshness</x:v>
      </x:c>
      <x:c r="B26" t="str">
        <x:v>Supplier search currently exposes both older CNP brand-page data and fresher general catalogue data with conflicting stock/packaging. Fresher current catalogue used for this slice; reconciliation continues.</x:v>
      </x:c>
      <x:c r="C26" t="str">
        <x:v>2026-09-08</x:v>
      </x:c>
    </x:row>
    <x:row r="27">
      <x:c r="A27" t="str">
        <x:v>Complete Strength</x:v>
      </x:c>
      <x:c r="B27" t="str">
        <x:v>Current public page now exposes five canonical products; older catalogue count showed seven. Current visible products extracted and older missing lines not invented.</x:v>
      </x:c>
      <x:c r="C27" t="str">
        <x:v>2026-09-08</x:v>
      </x:c>
    </x:row>
    <x:row r="28">
      <x:c r="A28" t="str">
        <x:v>Conteh Sports</x:v>
      </x:c>
      <x:c r="B28" t="str">
        <x:v>Current public brand page extracted across supplements and pre-workouts, preserving exact size/flavour stock. Promo/discount text removed from canonical titles.</x:v>
      </x:c>
      <x:c r="C28" t="str">
        <x:v>2026-09-08</x:v>
      </x:c>
    </x:row>
    <x:row r="29">
      <x:c r="A29" t="str">
        <x:v>Conteh Sports QA</x:v>
      </x:c>
      <x:c r="B29" t="str">
        <x:v>Hydra Flow stock disagrees between current supplier pages (brand page vs hydration/intra category) and Carb Drive is displayed as '1.102g', which appears anomalous. Both are explicitly flagged for supplier verification before production import.</x:v>
      </x:c>
      <x:c r="C29" t="str">
        <x:v>2026-09-08</x:v>
      </x:c>
    </x:row>
    <x:row r="30">
      <x:c r="A30" t="str">
        <x:v>DNA Sports</x:v>
      </x:c>
      <x:c r="B30" t="str">
        <x:v>Current live brand page reconciled. Existing Amino 1 rows were not duplicated; current page now shows Strawberry Pineapple in stock, so a later stock-refresh reconciliation should update the older initial snapshot rather than append a duplicate.</x:v>
      </x:c>
      <x:c r="C30" t="str">
        <x:v>2026-09-08</x:v>
      </x:c>
    </x:row>
    <x:row r="31">
      <x:c r="A31" t="str">
        <x:v>DNA Sports</x:v>
      </x:c>
      <x:c r="B31" t="str">
        <x:v>BB 11/26 Shilajit promotional stock preserved as dated clearance and not treated as normal member-orderable supplier stock.</x:v>
      </x:c>
      <x:c r="C31" t="str">
        <x:v>2026-09-08</x:v>
      </x:c>
    </x:row>
    <x:row r="32">
      <x:c r="A32" t="str">
        <x:v>Dorian Yates - DY Nutrition - Shadow Line</x:v>
      </x:c>
      <x:c r="B32" t="str">
        <x:v>Brand page plus whey, pre-workout, diet and testosterone category pages reconciled. Current/fresher brand page used for Tempro, bars and ZN MG B6 where older category crawls disagreed.</x:v>
      </x:c>
      <x:c r="C32" t="str">
        <x:v>2026-09-08</x:v>
      </x:c>
    </x:row>
    <x:row r="33">
      <x:c r="A33" t="str">
        <x:v>Efectiv Sports Nutrition</x:v>
      </x:c>
      <x:c r="B33" t="str">
        <x:v>Current small public range captured: Alpha Male Support, Complete Meal, Mag Pro and ZM Pro.</x:v>
      </x:c>
      <x:c r="C33" t="str">
        <x:v>2026-09-08</x:v>
      </x:c>
    </x:row>
    <x:row r="34">
      <x:c r="A34" t="str">
        <x:v>EHP Labs</x:v>
      </x:c>
      <x:c r="B34" t="str">
        <x:v>Current live brand page extracted. OxyShred Ultra grouped as one parent across 20/33/60-serving exact size matrices; Hydreau powder and RTD kept separate; supplier promo/freebie wording stripped.</x:v>
      </x:c>
      <x:c r="C34" t="str">
        <x:v>2026-09-08</x:v>
      </x:c>
    </x:row>
    <x:row r="35">
      <x:c r="A35" t="str">
        <x:v>EHP Labs dated stock</x:v>
      </x:c>
      <x:c r="B35" t="str">
        <x:v>Glutamine BBE 07/26 and dated OxyGreens special-offer stock are not allowed to make the normal canonical product supplier-orderable. Standard current listing controls normal availability.</x:v>
      </x:c>
      <x:c r="C35" t="str">
        <x:v>2026-09-08</x:v>
      </x:c>
    </x:row>
    <x:row r="36">
      <x:c r="A36" t="str">
        <x:v>EHP Labs freshness</x:v>
      </x:c>
      <x:c r="B36" t="str">
        <x:v>Fresh brand page retained where category pages disagree, including OxyShred Ultra Pink Grapefruit and Hydreau powder availability.</x:v>
      </x:c>
      <x:c r="C36" t="str">
        <x:v>2026-09-08</x:v>
      </x:c>
    </x:row>
    <x:row r="37">
      <x:c r="A37" t="str">
        <x:v>Gas Mark 10</x:v>
      </x:c>
      <x:c r="B37" t="str">
        <x:v>Verified current category slice added: pre-workouts, EAAs, carbohydrate products, Hydro Collagen and selected Longevity/support products. This is not yet claimed complete.</x:v>
      </x:c>
      <x:c r="C37" t="str">
        <x:v>2026-09-08</x:v>
      </x:c>
    </x:row>
    <x:row r="38">
      <x:c r="A38" t="str">
        <x:v>Gas Mark 10 taxonomy</x:v>
      </x:c>
      <x:c r="B38" t="str">
        <x:v>Limitless/No Drama treated as mood/focus support, Cheat Code as insulin-driver/GDA support, and member-facing catalogue remains product/variant only with no supplier trade pricing.</x:v>
      </x:c>
      <x:c r="C38" t="str">
        <x:v>2026-09-08</x:v>
      </x:c>
    </x:row>
    <x:row r="39">
      <x:c r="A39" t="str">
        <x:v>Ghost Lifestyle</x:v>
      </x:c>
      <x:c r="B39" t="str">
        <x:v>Current brand range captured, with fresher BCAA/intra/category pages overriding older stock where conflicts exist. One parent card per product; exact flavour availability retained.</x:v>
      </x:c>
      <x:c r="C39" t="str">
        <x:v>2026-09-08</x:v>
      </x:c>
    </x:row>
    <x:row r="40">
      <x:c r="A40" t="str">
        <x:v>Gorillalpha</x:v>
      </x:c>
      <x:c r="B40" t="str">
        <x:v>Current public brand page exposes 7 visible product lines while older Active Sports filters reported 8. All 7 visible lines captured; missing historic eighth line not invented.</x:v>
      </x:c>
      <x:c r="C40" t="str">
        <x:v>2026-09-08</x:v>
      </x:c>
    </x:row>
    <x:row r="41">
      <x:c r="A41" t="str">
        <x:v>Gorillalpha freshness</x:v>
      </x:c>
      <x:c r="B41" t="str">
        <x:v>Fresh brand page changes several states versus older search snippets, including Creatine now out of stock and several Hydration/Yeti flavours changing state. Fresh page retained.</x:v>
      </x:c>
      <x:c r="C41" t="str">
        <x:v>2026-09-08</x:v>
      </x:c>
    </x:row>
    <x:row r="42">
      <x:c r="A42" t="str">
        <x:v>Grenade</x:v>
      </x:c>
      <x:c r="B42" t="str">
        <x:v>Current convenience catalogue captured for Carb Killa spread and RTD shakes; RTD supplier ordering is case-only. Pallet/VAT/promo wording removed.</x:v>
      </x:c>
      <x:c r="C42" t="str">
        <x:v>2026-09-08</x:v>
      </x:c>
    </x:row>
    <x:row r="43">
      <x:c r="A43" t="str">
        <x:v>Grenade - Carb Killa Bars</x:v>
      </x:c>
      <x:c r="B43" t="str">
        <x:v>Standard 12-bar range plus current Soft Core 12 x 50g and separate Creme Egg 18 x 45g line captured. Current page has White Chocolate Salted Peanut out of stock.</x:v>
      </x:c>
      <x:c r="C43" t="str">
        <x:v>2026-09-08</x:v>
      </x:c>
    </x:row>
    <x:row r="44">
      <x:c r="A44" t="str">
        <x:v>HR Labs</x:v>
      </x:c>
      <x:c r="B44" t="str">
        <x:v>Fresh full public brand page captured across 15 current product lines. Promo wording removed; Hydro EAA uses fresher brand-page stock where older BCAA category disagrees.</x:v>
      </x:c>
      <x:c r="C44" t="str">
        <x:v>2026-09-08</x:v>
      </x:c>
    </x:row>
    <x:row r="45">
      <x:c r="A45" t="str">
        <x:v>InnovaPharm</x:v>
      </x:c>
      <x:c r="B45" t="str">
        <x:v>Fresh current pre-workout page captured MVPRE 3.0, MVPRE 365, NovaPump and NovaPump Neuro. Current stock supersedes older crawls where conflicts exist.</x:v>
      </x:c>
      <x:c r="C45" t="str">
        <x:v>2026-09-08</x:v>
      </x:c>
    </x:row>
    <x:row r="46">
      <x:c r="A46" t="str">
        <x:v>InnovaPharm</x:v>
      </x:c>
      <x:c r="B46" t="str">
        <x:v>MVPRE 3.0 exact supplier product code 0000000000000075 retained. Poppa Pump BB 12/25 recorded as dated clearance, not normal member-orderable stock.</x:v>
      </x:c>
      <x:c r="C46" t="str">
        <x:v>2026-09-08</x:v>
      </x:c>
    </x:row>
    <x:row r="47">
      <x:c r="A47" t="str">
        <x:v>InnovaPharm</x:v>
      </x:c>
      <x:c r="B47" t="str">
        <x:v>Recover EAA current visible flavour matrix captured. Broader supplier count indicates additional InnovaPharm products still need reconciliation.</x:v>
      </x:c>
      <x:c r="C47" t="str">
        <x:v>2026-09-08</x:v>
      </x:c>
    </x:row>
    <x:row r="48">
      <x:c r="A48" t="str">
        <x:v>Small convenience brands</x:v>
      </x:c>
      <x:c r="B48" t="str">
        <x:v>Lenny &amp; Larry's, M&amp;Ms Protein and Mars current catalogue identities added conservatively. Where fresh exact option/stock detail was not exposed, availability is Unknown rather than invented.</x:v>
      </x:c>
      <x:c r="C48" t="str">
        <x:v>2026-09-08</x:v>
      </x:c>
    </x:row>
    <x:row r="49">
      <x:c r="A49" t="str">
        <x:v>Inferno 2</x:v>
      </x:c>
      <x:c r="B49" t="str">
        <x:v>Current Active Sports filter confirms one line but not enough fresh pack/stock detail was exposed. Identity captured and explicitly held for reconciliation before production import.</x:v>
      </x:c>
      <x:c r="C49" t="str">
        <x:v>2026-09-08</x:v>
      </x:c>
    </x:row>
    <x:row r="50">
      <x:c r="A50" t="str">
        <x:v>Monster Energy</x:v>
      </x:c>
      <x:c r="B50" t="str">
        <x:v>Current brand page started with Aussie Lemonade and Bad Apple; broader 14-line Monster range still requires continuation before marking complete.</x:v>
      </x:c>
      <x:c r="C50" t="str">
        <x:v>2026-09-08</x:v>
      </x:c>
    </x:row>
    <x:row r="51">
      <x:c r="A51" t="str">
        <x:v>Monster Energy - Ultra &amp; Sugar Free</x:v>
      </x:c>
      <x:c r="B51" t="str">
        <x:v>Current Ultra range captured with case-only ordering. Recent RTD page marks Ultra Fiesta out of stock, overriding older crawl showing it in stock.</x:v>
      </x:c>
      <x:c r="C51" t="str">
        <x:v>2026-09-08</x:v>
      </x:c>
    </x:row>
    <x:row r="52">
      <x:c r="A52" t="str">
        <x:v>Muscle King Nutrition</x:v>
      </x:c>
      <x:c r="B52" t="str">
        <x:v>Current supplement range captured with exact normal vs dated-clearance distinction. Carbo Fuel current normal flavours are separate from BBE 06/26 and 08/26 promo stock.</x:v>
      </x:c>
      <x:c r="C52" t="str">
        <x:v>2026-09-08</x:v>
      </x:c>
    </x:row>
    <x:row r="53">
      <x:c r="A53" t="str">
        <x:v>Muscle King Nutrition</x:v>
      </x:c>
      <x:c r="B53" t="str">
        <x:v>Exact supplier product code 05060387682218 captured for 500g Creatine Monohydrate. Supplier BUY 10 GET 1 FREE wording stripped.</x:v>
      </x:c>
      <x:c r="C53" t="str">
        <x:v>2026-09-08</x:v>
      </x:c>
    </x:row>
    <x:row r="54">
      <x:c r="A54" t="str">
        <x:v>Muscle King Nutrition accessories</x:v>
      </x:c>
      <x:c r="B54" t="str">
        <x:v>Current gloves, knee sleeves, knee wraps, lifting straps and wrist wraps captured under Merch &amp; Apparel / supports rather than Supplements.</x:v>
      </x:c>
      <x:c r="C54" t="str">
        <x:v>2026-09-08</x:v>
      </x:c>
    </x:row>
    <x:row r="55">
      <x:c r="A55" t="str">
        <x:v>Inferno 2</x:v>
      </x:c>
      <x:c r="B55" t="str">
        <x:v>Fresh Diet &amp; Weight Loss page confirms exact 90 caps and In stock. Earlier placeholder row remains in workbook for audit and must be deduplicated/reconciled before production CSV.</x:v>
      </x:c>
      <x:c r="C55" t="str">
        <x:v>2026-09-08</x:v>
      </x:c>
    </x:row>
    <x:row r="56">
      <x:c r="A56" t="str">
        <x:v>Mountain Joes</x:v>
      </x:c>
      <x:c r="B56" t="str">
        <x:v>Shake A Whey 1.8kg seven-flavour matrix captured from current whey page. Broader historic supplier count still needs extraction.</x:v>
      </x:c>
      <x:c r="C56" t="str">
        <x:v>2026-09-08</x:v>
      </x:c>
    </x:row>
    <x:row r="57">
      <x:c r="A57" t="str">
        <x:v>Muscle Moose</x:v>
      </x:c>
      <x:c r="B57" t="str">
        <x:v>Fresh brand/RTD pages override older stock snapshots for flapjacks and Moose Juice. Whey families retained from supplier whey page; Zero Itch still pending exact reconciliation.</x:v>
      </x:c>
      <x:c r="C57" t="str">
        <x:v>2026-09-08</x:v>
      </x:c>
    </x:row>
    <x:row r="58">
      <x:c r="A58" t="str">
        <x:v>Naughty Boy Lifestyle</x:v>
      </x:c>
      <x:c r="B58" t="str">
        <x:v>Fresh hydration slice captured across 15/30/60-serving sizes without manufacturing cross-size flavours. HydraMind remains a separate parent.</x:v>
      </x:c>
      <x:c r="C58" t="str">
        <x:v>2026-09-08</x:v>
      </x:c>
    </x:row>
    <x:row r="59">
      <x:c r="A59" t="str">
        <x:v>Naughty Boy Lifestyle</x:v>
      </x:c>
      <x:c r="B59" t="str">
        <x:v>Advanced Whey 900g current 27-flavour matrix captured. BBE 03/27 promotional duplicate flavours are not used to distort the normal canonical product.</x:v>
      </x:c>
      <x:c r="C59" t="str">
        <x:v>2026-09-08</x:v>
      </x:c>
    </x:row>
    <x:row r="60">
      <x:c r="A60" t="str">
        <x:v>Naughty Boy Lifestyle</x:v>
      </x:c>
      <x:c r="B60" t="str">
        <x:v>Menace shots currently exposed only as BBE 05/26 promotional stock, so retained as dated clearance rather than normal supplier-orderable inventory.</x:v>
      </x:c>
      <x:c r="C60" t="str">
        <x:v>2026-09-08</x:v>
      </x:c>
    </x:row>
    <x:row r="61">
      <x:c r="A61" t="str">
        <x:v>Naughty Boy Lifestyle</x:v>
      </x:c>
      <x:c r="B61" t="str">
        <x:v>Current pre-workout page added ENERGY, Menace V2 and Pump exact flavour matrices. Menace V1 is explicitly BBE 11/26 promotional stock and therefore clearance-only.</x:v>
      </x:c>
      <x:c r="C61" t="str">
        <x:v>2026-09-08</x:v>
      </x:c>
    </x:row>
    <x:row r="62">
      <x:c r="A62" t="str">
        <x:v>NXT Nutrition</x:v>
      </x:c>
      <x:c r="B62" t="str">
        <x:v>Current brand page plus creatine/pre-workout pages added. Existing Amino Fuel rows were not duplicated.</x:v>
      </x:c>
      <x:c r="C62" t="str">
        <x:v>2026-09-08</x:v>
      </x:c>
    </x:row>
    <x:row r="63">
      <x:c r="A63" t="str">
        <x:v>NXT Nutrition Beef Protein Isolate</x:v>
      </x:c>
      <x:c r="B63" t="str">
        <x:v>Fresh Protein Blends page used over older whey crawl; Blue Coconut and Cherry Cola are currently out of stock in the fresher evidence.</x:v>
      </x:c>
      <x:c r="C63" t="str">
        <x:v>2026-09-08</x:v>
      </x:c>
    </x:row>
    <x:row r="64">
      <x:c r="A64" t="str">
        <x:v>NXT Nutrition promos</x:v>
      </x:c>
      <x:c r="B64" t="str">
        <x:v>TNT Nuclear cans remain case-only; BUY 5 GET 1 FREE and FREE CAFFEINE CAPS supplier promotion wording stripped from canonical catalogue.</x:v>
      </x:c>
      <x:c r="C64" t="str">
        <x:v>2026-09-08</x:v>
      </x:c>
    </x:row>
    <x:row r="65">
      <x:c r="A65" t="str">
        <x:v>Mutant</x:v>
      </x:c>
      <x:c r="B65" t="str">
        <x:v>Fresh current BCAA page captured GEAAR EAA and Hardcore BCAA; current pre-workout page captured Madness ALL IN and Madness 225g.</x:v>
      </x:c>
      <x:c r="C65" t="str">
        <x:v>2026-09-08</x:v>
      </x:c>
    </x:row>
    <x:row r="66">
      <x:c r="A66" t="str">
        <x:v>Mutant coverage</x:v>
      </x:c>
      <x:c r="B66" t="str">
        <x:v>This is a verified slice only. Supplier's broader Mutant range remains to be reconciled before marking the brand complete.</x:v>
      </x:c>
      <x:c r="C66" t="str">
        <x:v>2026-09-08</x:v>
      </x:c>
    </x:row>
    <x:row r="67">
      <x:c r="A67" t="str">
        <x:v>Project AD</x:v>
      </x:c>
      <x:c r="B67" t="str">
        <x:v>Current live brand page captured all nine visible parent products and exact variants/stock. No supplier pricing imported.</x:v>
      </x:c>
      <x:c r="C67" t="str">
        <x:v>2026-09-08</x:v>
      </x:c>
    </x:row>
    <x:row r="68">
      <x:c r="A68" t="str">
        <x:v>Powerade</x:v>
      </x:c>
      <x:c r="B68" t="str">
        <x:v>Current two-parent range captured. Supplier pallet promo prices and 80-case commercial minimum are deliberately excluded from member catalogue data.</x:v>
      </x:c>
      <x:c r="C68" t="str">
        <x:v>2026-09-08</x:v>
      </x:c>
    </x:row>
    <x:row r="69">
      <x:c r="A69" t="str">
        <x:v>NOCCO</x:v>
      </x:c>
      <x:c r="B69" t="str">
        <x:v>Current Electrolyte 12 x 355ml exact variants captured from fresh hydration page: Blood Orange in, Lemon Lime out. Broader NOCCO range remains pending.</x:v>
      </x:c>
      <x:c r="C69" t="str">
        <x:v>2026-09-08</x:v>
      </x:c>
    </x:row>
    <x:row r="70">
      <x:c r="A70" t="str">
        <x:v>NXT Nutrition</x:v>
      </x:c>
      <x:c r="B70" t="str">
        <x:v>TNT Nuclear Shots 12 x 60ml seven-flavour matrix added from current Ready-to-Drink Energy page; case-only member order.</x:v>
      </x:c>
      <x:c r="C70" t="str">
        <x:v>2026-09-08</x:v>
      </x:c>
    </x:row>
    <x:row r="71">
      <x:c r="A71" t="str">
        <x:v>QNT</x:v>
      </x:c>
      <x:c r="B71" t="str">
        <x:v>Current BCAA 8000, H2O L-Carnitine, L-Carnitine 2000 and Thermo Booster RTD families captured. Pallet promo trade prices excluded.</x:v>
      </x:c>
      <x:c r="C71" t="str">
        <x:v>2026-09-08</x:v>
      </x:c>
    </x:row>
    <x:row r="72">
      <x:c r="A72" t="str">
        <x:v>QNT freshness</x:v>
      </x:c>
      <x:c r="B72" t="str">
        <x:v>Diet page currently shows H2O Raspberry and L-Carnitine 2000 Peach Tea out of stock; these fresher states retained despite other category crawls disagreeing.</x:v>
      </x:c>
      <x:c r="C72" t="str">
        <x:v>2026-09-08</x:v>
      </x:c>
    </x:row>
    <x:row r="73">
      <x:c r="A73" t="str">
        <x:v>Reflex Nutrition</x:v>
      </x:c>
      <x:c r="B73" t="str">
        <x:v>Fresh live brand page extracted across 22 canonical parents / size families. Current stock supersedes older category crawls where conflicts exist.</x:v>
      </x:c>
      <x:c r="C73" t="str">
        <x:v>2026-09-08</x:v>
      </x:c>
    </x:row>
    <x:row r="74">
      <x:c r="A74" t="str">
        <x:v>Reflex Nutrition clearance</x:v>
      </x:c>
      <x:c r="B74" t="str">
        <x:v>High Protein Twin Bars are currently exposed as BBE 11/26 stock; recorded as dated clearance and not normal member-orderable. Dated Instant Mass duplicate promo rows do not override normal listings.</x:v>
      </x:c>
      <x:c r="C74" t="str">
        <x:v>2026-09-08</x:v>
      </x:c>
    </x:row>
    <x:row r="75">
      <x:c r="A75" t="str">
        <x:v>Reflex Nutrition exact variants</x:v>
      </x:c>
      <x:c r="B75" t="str">
        <x:v>The Muscle Bomb includes a genuine Caffeine Free - Sherbet Lemon option alongside standard Sherbet Lemon; both retained as exact supplier variants, not collapsed.</x:v>
      </x:c>
      <x:c r="C75" t="str">
        <x:v>2026-09-08</x:v>
      </x:c>
    </x:row>
    <x:row r="76">
      <x:c r="A76" t="str">
        <x:v>Redcon1</x:v>
      </x:c>
      <x:c r="B76" t="str">
        <x:v>Total War current 12-flavour matrix captured from today's pre-workout page. Fresh stock differs materially from older brand crawl, so today's page controls availability.</x:v>
      </x:c>
      <x:c r="C76" t="str">
        <x:v>2026-09-08</x:v>
      </x:c>
    </x:row>
    <x:row r="77">
      <x:c r="A77" t="str">
        <x:v>QNT</x:v>
      </x:c>
      <x:c r="B77" t="str">
        <x:v>Carbo Load RTD 12 x 700ml Lemon Lime and Super Fruit added from current QNT supplements page. Supplier pallet pricing excluded.</x:v>
      </x:c>
      <x:c r="C77" t="str">
        <x:v>2026-09-08</x:v>
      </x:c>
    </x:row>
    <x:row r="78">
      <x:c r="A78" t="str">
        <x:v>Supplier pricing</x:v>
      </x:c>
      <x:c r="B78" t="str">
        <x:v>This batch deliberately imports no Active Sports trade price, VAT, pallet mix-and-match price or commercial minimum-order price.</x:v>
      </x:c>
      <x:c r="C78" t="str">
        <x:v>2026-09-08</x:v>
      </x:c>
    </x:row>
    <x:row r="79">
      <x:c r="A79" t="str">
        <x:v>Scitec Nutrition</x:v>
      </x:c>
      <x:c r="B79" t="str">
        <x:v>Fresh live brand page captured current casein, whey isolate, creatine, amino, collagen, vitamin/mineral and support lines. No supplier pricing imported.</x:v>
      </x:c>
      <x:c r="C79" t="str">
        <x:v>2026-09-08</x:v>
      </x:c>
    </x:row>
    <x:row r="80">
      <x:c r="A80" t="str">
        <x:v>Scitec Nutrition clearance</x:v>
      </x:c>
      <x:c r="B80" t="str">
        <x:v>Dated EAA Xpress SPECIAL OFFER variants are not allowed to make the normal out-of-stock canonical product orderable. Fresh standard listing controls availability.</x:v>
      </x:c>
      <x:c r="C80" t="str">
        <x:v>2026-09-08</x:v>
      </x:c>
    </x:row>
    <x:row r="81">
      <x:c r="A81" t="str">
        <x:v>Scitec Nutrition data quality</x:v>
      </x:c>
      <x:c r="B81" t="str">
        <x:v>Fresh 100% Whey Isolate page exposes one unnamed in-stock option. It was deliberately omitted rather than inventing a flavour.</x:v>
      </x:c>
      <x:c r="C81" t="str">
        <x:v>2026-09-08</x:v>
      </x:c>
    </x:row>
    <x:row r="82">
      <x:c r="A82" t="str">
        <x:v>Strom Sports Nutrition</x:v>
      </x:c>
      <x:c r="B82" t="str">
        <x:v>Fresh/current slice added across RAW health products, CarbMAX, Cream of Rice, Max Meal, VelosiWHEY, FocusMAX RTD and StimuMAX.</x:v>
      </x:c>
      <x:c r="C82" t="str">
        <x:v>2026-09-08</x:v>
      </x:c>
    </x:row>
    <x:row r="83">
      <x:c r="A83" t="str">
        <x:v>Strom freshness</x:v>
      </x:c>
      <x:c r="B83" t="str">
        <x:v>Fresh general whey page has Custard Cream VelosiWHEY in stock, overriding older Strom-specific crawl. More recent high-stim page marks StimuMAX Green Apple out.</x:v>
      </x:c>
      <x:c r="C83" t="str">
        <x:v>2026-09-08</x:v>
      </x:c>
    </x:row>
    <x:row r="84">
      <x:c r="A84" t="str">
        <x:v>Strom coverage</x:v>
      </x:c>
      <x:c r="B84" t="str">
        <x:v>This is not yet a complete Strom extraction; additional current product families remain to be reconciled before production import.</x:v>
      </x:c>
      <x:c r="C84" t="str">
        <x:v>2026-09-08</x:v>
      </x:c>
    </x:row>
    <x:row r="85">
      <x:c r="A85" t="str">
        <x:v>Strom Sports Nutrition</x:v>
      </x:c>
      <x:c r="B85" t="str">
        <x:v>Continuation added HydraMAX, IntraMAX, NitroMAX, standard StimuMAX, Creatine, Glutamine, EssentialMAX and VasculMAX exact variants.</x:v>
      </x:c>
      <x:c r="C85" t="str">
        <x:v>2026-09-08</x:v>
      </x:c>
    </x:row>
    <x:row r="86">
      <x:c r="A86" t="str">
        <x:v>Strom identity</x:v>
      </x:c>
      <x:c r="B86" t="str">
        <x:v>Standard StimuMAX and StimuMAX Black Edition remain separate parents; similar names are not collapsed.</x:v>
      </x:c>
      <x:c r="C86" t="str">
        <x:v>2026-09-08</x:v>
      </x:c>
    </x:row>
    <x:row r="87">
      <x:c r="A87" t="str">
        <x:v>Trained By JP</x:v>
      </x:c>
      <x:c r="B87" t="str">
        <x:v>Current high-value public slice added across Cream of Rice, creatine, EAA, hydration, pre-workout, pump and whey sizes.</x:v>
      </x:c>
      <x:c r="C87" t="str">
        <x:v>2026-09-08</x:v>
      </x:c>
    </x:row>
    <x:row r="88">
      <x:c r="A88" t="str">
        <x:v>Trained By JP matrices</x:v>
      </x:c>
      <x:c r="B88" t="str">
        <x:v>900g and 2kg whey flavour matrices remain exact by size; no Cartesian flavour generation.</x:v>
      </x:c>
      <x:c r="C88" t="str">
        <x:v>2026-09-08</x:v>
      </x:c>
    </x:row>
    <x:row r="89">
      <x:c r="A89" t="str">
        <x:v>Per4m</x:v>
      </x:c>
      <x:c r="B89" t="str">
        <x:v>Current high-value slice added across Advanced Whey 900g/2.01kg, Cream of Rice 2kg and pre-workout.</x:v>
      </x:c>
      <x:c r="C89" t="str">
        <x:v>2026-09-08</x:v>
      </x:c>
    </x:row>
    <x:row r="90">
      <x:c r="A90" t="str">
        <x:v>Per4m coverage</x:v>
      </x:c>
      <x:c r="B90" t="str">
        <x:v>Per4m remains broader than this slice; do not mark complete until remaining current public catalogue is reconciled.</x:v>
      </x:c>
      <x:c r="C90" t="str">
        <x:v>2026-09-08</x:v>
      </x:c>
    </x:row>
    <x:row r="91">
      <x:c r="A91" t="str">
        <x:v>Trained By JP</x:v>
      </x:c>
      <x:c r="B91" t="str">
        <x:v>Fresh brand/category continuation added Ashwagandha, Berberine, Clear ISO, Collagen, Heart Care, In Sure, Iron, IsoPro, Peak Hydration, EAA 1kg, EAA + Hydration, Vegan Protein and intra-workout products.</x:v>
      </x:c>
      <x:c r="C91" t="str">
        <x:v>2026-09-08</x:v>
      </x:c>
    </x:row>
    <x:row r="92">
      <x:c r="A92" t="str">
        <x:v>Trained By JP Peak Hydration</x:v>
      </x:c>
      <x:c r="B92" t="str">
        <x:v>Fresh hydration page currently shows Peak Hydration 180 caps out of stock; older norec crawl showed in stock. Fresher state retained.</x:v>
      </x:c>
      <x:c r="C92" t="str">
        <x:v>2026-09-08</x:v>
      </x:c>
    </x:row>
    <x:row r="93">
      <x:c r="A93" t="str">
        <x:v>Trained By JP EAA identity</x:v>
      </x:c>
      <x:c r="B93" t="str">
        <x:v>Existing EAA parent extended with genuine 1kg/66-serving matrix; parent remains one card across its real sizes rather than creating duplicate parent cards.</x:v>
      </x:c>
      <x:c r="C93" t="str">
        <x:v>2026-09-08</x:v>
      </x:c>
    </x:row>
    <x:row r="94">
      <x:c r="A94" t="str">
        <x:v>Trained By JP promotions</x:v>
      </x:c>
      <x:c r="B94" t="str">
        <x:v>Performance Fuel SPECIAL OFFER 10% OFF and Sustain +10 servings FREE wording stripped from canonical names; underlying exact products retained.</x:v>
      </x:c>
      <x:c r="C94" t="str">
        <x:v>2026-09-08</x:v>
      </x:c>
    </x:row>
    <x:row r="95">
      <x:c r="A95" t="str">
        <x:v>Strom Sports Nutrition</x:v>
      </x:c>
      <x:c r="B95" t="str">
        <x:v>HydraMAX cans and NiPRO Hydrolysed Protein Isolate added from current category pages; HydraMAX is case-only.</x:v>
      </x:c>
      <x:c r="C95" t="str">
        <x:v>2026-09-08</x:v>
      </x:c>
    </x:row>
    <x:row r="96">
      <x:c r="A96" t="str">
        <x:v>Supplement Needs</x:v>
      </x:c>
      <x:c r="B96" t="str">
        <x:v>Fresh exact slice added across Electrolyte+, Intra EAA+, Cream of Rice, Intra Carb, Prot3in Fusion and Vegan Iso+.</x:v>
      </x:c>
      <x:c r="C96" t="str">
        <x:v>2026-09-08</x:v>
      </x:c>
    </x:row>
    <x:row r="97">
      <x:c r="A97" t="str">
        <x:v>Supplement Needs freshness</x:v>
      </x:c>
      <x:c r="B97" t="str">
        <x:v>Fresh hydration page marks Electrolyte+ Blackcurrant Burst out of stock, overriding older norec crawl.</x:v>
      </x:c>
      <x:c r="C97" t="str">
        <x:v>2026-09-08</x:v>
      </x:c>
    </x:row>
    <x:row r="98">
      <x:c r="A98" t="str">
        <x:v>Olimp</x:v>
      </x:c>
      <x:c r="B98" t="str">
        <x:v>First substantial Olimp extraction added from fresh brand, creatine, carbohydrate, whey, amino, bar and pre-workout pages.</x:v>
      </x:c>
      <x:c r="C98" t="str">
        <x:v>2026-09-08</x:v>
      </x:c>
    </x:row>
    <x:row r="99">
      <x:c r="A99" t="str">
        <x:v>Olimp freshness</x:v>
      </x:c>
      <x:c r="B99" t="str">
        <x:v>Fresh general whey page controls Pro Whey Shake stock where older Olimp-specific crawl disagrees.</x:v>
      </x:c>
      <x:c r="C99" t="str">
        <x:v>2026-09-08</x:v>
      </x:c>
    </x:row>
    <x:row r="100">
      <x:c r="A100" t="str">
        <x:v>Olimp clearance</x:v>
      </x:c>
      <x:c r="B100" t="str">
        <x:v>Dated Im Pro / Im Veggie bar variants are stored as Unavailable - dated clearance and must not become normal member-orderable stock.</x:v>
      </x:c>
      <x:c r="C100" t="str">
        <x:v>2026-09-08</x:v>
      </x:c>
    </x:row>
    <x:row r="101">
      <x:c r="A101" t="str">
        <x:v>Olimp commercial noise</x:v>
      </x:c>
      <x:c r="B101" t="str">
        <x:v>SPECIAL OFFER and PALLET PROMO wording/prices/minimum-order boilerplate stripped from canonical product data.</x:v>
      </x:c>
      <x:c r="C101" t="str">
        <x:v>2026-09-08</x:v>
      </x:c>
    </x:row>
    <x:row r="102">
      <x:c r="A102" t="str">
        <x:v>Olimp case ordering</x:v>
      </x:c>
      <x:c r="B102" t="str">
        <x:v>Supplier multipacks of shots, bars and RTD cans are recorded case-only for member supplier orders.</x:v>
      </x:c>
      <x:c r="C102" t="str">
        <x:v>2026-09-08</x:v>
      </x:c>
    </x:row>
    <x:row r="103">
      <x:c r="A103" t="str">
        <x:v>Olimp coverage</x:v>
      </x:c>
      <x:c r="B103" t="str">
        <x:v>Olimp is a large catalogue and remains incomplete; continue current-page reconciliation before marking brand complete.</x:v>
      </x:c>
      <x:c r="C103" t="str">
        <x:v>2026-09-08</x:v>
      </x:c>
    </x:row>
    <x:row r="104">
      <x:c r="A104" t="str">
        <x:v>Olimp</x:v>
      </x:c>
      <x:c r="B104" t="str">
        <x:v>Continuation added BCAA 20:1:1 Xplode, BCAA Xplode, Chela products, Collaregen, Colonbiotic, glutamine, Gold Beef Pro Amino, Protein Shots/Snack, Pump Xplode, Rocky Athletes, Tribusteron, Veggie Protein, Vita-Min lines and Whey Protein Complex sizes.</x:v>
      </x:c>
      <x:c r="C104" t="str">
        <x:v>2026-09-08</x:v>
      </x:c>
    </x:row>
    <x:row r="105">
      <x:c r="A105" t="str">
        <x:v>Olimp exact matrices</x:v>
      </x:c>
      <x:c r="B105" t="str">
        <x:v>Whey Protein Complex 700g, 1.8kg, 2.27kg and sachets retain their own exact flavour/stock matrices; no Cartesian flavour generation.</x:v>
      </x:c>
      <x:c r="C105" t="str">
        <x:v>2026-09-08</x:v>
      </x:c>
    </x:row>
    <x:row r="106">
      <x:c r="A106" t="str">
        <x:v>Olimp promo cleanup</x:v>
      </x:c>
      <x:c r="B106" t="str">
        <x:v>SPECIAL OFFER, NEW and PALLET PROMO commercial noise stripped while preserving underlying canonical products/variants.</x:v>
      </x:c>
      <x:c r="C106" t="str">
        <x:v>2026-09-08</x:v>
      </x:c>
    </x:row>
    <x:row r="107">
      <x:c r="A107" t="str">
        <x:v>Olimp case ordering</x:v>
      </x:c>
      <x:c r="B107" t="str">
        <x:v>Shots, sachet boxes and bar multipacks are stored as case-only member supplier ordering units.</x:v>
      </x:c>
      <x:c r="C107" t="str">
        <x:v>2026-09-08</x:v>
      </x:c>
    </x:row>
    <x:row r="108">
      <x:c r="A108" t="str">
        <x:v>Olimp dated clearance</x:v>
      </x:c>
      <x:c r="B108" t="str">
        <x:v>Current convenience page still shows dated BB bars; previously recorded dated-clearance variants remain blocked from normal member ordering even when supplier page shows stock.</x:v>
      </x:c>
      <x:c r="C108" t="str">
        <x:v>2026-09-08</x:v>
      </x:c>
    </x:row>
    <x:row r="109">
      <x:c r="A109" t="str">
        <x:v>Olimp vitamins/HMB</x:v>
      </x:c>
      <x:c r="B109" t="str">
        <x:v>Current supplement page added Gold Vit D3+K2, Gold VITA-MIN Anti-OX and HMB Mega Caps sizes.</x:v>
      </x:c>
      <x:c r="C109" t="str">
        <x:v>2026-09-08</x:v>
      </x:c>
    </x:row>
    <x:row r="110">
      <x:c r="A110" t="str">
        <x:v>Pricing direction</x:v>
      </x:c>
      <x:c r="B110" t="str">
        <x:v>Future Madhouse retail pricing will be derived from internal supplier cost plus configurable margin, then rounded to deliberate retail price points such as whole-pound or .99 endings; supplier cost remains internal and discounts/offers consume part of that margin.</x:v>
      </x:c>
      <x:c r="C110" t="str">
        <x:v>2026-09-08</x:v>
      </x:c>
    </x:row>
    <x:row r="111">
      <x:c r="A111" t="str">
        <x:v>Olimp</x:v>
      </x:c>
      <x:c r="B111" t="str">
        <x:v>Continuation added Argi Power, Arthroblock Forte, Ashwagandha 600 sizes, BCAA 20:1:1 200g, Flex Xplode sizes, Fortest, Gain Bolic sizes, HMB Xplode/HMBolon, Redweiler, R-Weiler Shots, T-100 lines, Taurine, TCM and Testoxeed.</x:v>
      </x:c>
      <x:c r="C111" t="str">
        <x:v>2026-09-08</x:v>
      </x:c>
    </x:row>
    <x:row r="112">
      <x:c r="A112" t="str">
        <x:v>Olimp exact size matrices</x:v>
      </x:c>
      <x:c r="B112" t="str">
        <x:v>BCAA 20:1:1 200g remains an additional real size under the existing parent; Flex Xplode 360g/504g and Gain Bolic 1kg/3.5kg preserve separate exact stock matrices.</x:v>
      </x:c>
      <x:c r="C112" t="str">
        <x:v>2026-09-08</x:v>
      </x:c>
    </x:row>
    <x:row r="113">
      <x:c r="A113" t="str">
        <x:v>Olimp T-100 distinction</x:v>
      </x:c>
      <x:c r="B113" t="str">
        <x:v>T-100 Hardcore (Blue Box) and T-100 (Pink Box) remain separate supplier products and are not collapsed.</x:v>
      </x:c>
      <x:c r="C113" t="str">
        <x:v>2026-09-08</x:v>
      </x:c>
    </x:row>
    <x:row r="114">
      <x:c r="A114" t="str">
        <x:v>Olimp Redweiler</x:v>
      </x:c>
      <x:c r="B114" t="str">
        <x:v>480g / 80-serving Redweiler flavour matrix captured from fresh brand page; current Lime Crime Mint is out of stock.</x:v>
      </x:c>
      <x:c r="C114" t="str">
        <x:v>2026-09-08</x:v>
      </x:c>
    </x:row>
    <x:row r="115">
      <x:c r="A115" t="str">
        <x:v>Olimp case ordering</x:v>
      </x:c>
      <x:c r="B115" t="str">
        <x:v>R-Weiler 9 x 60ml shots are case-only; pallet promotional pricing/minimum-order data is excluded.</x:v>
      </x:c>
      <x:c r="C115" t="str">
        <x:v>2026-09-08</x:v>
      </x:c>
    </x:row>
    <x:row r="116">
      <x:c r="A116" t="str">
        <x:v>GSN next work</x:v>
      </x:c>
      <x:c r="B116" t="str">
        <x:v>Next local-stock enrichment should use the GSN meals/wraps website for exact current products, genuine images and nutritional information. Madhouse sells individual meals at £4 and 10 meals for £32; cost price not yet supplied.</x:v>
      </x:c>
      <x:c r="C116" t="str">
        <x:v>2026-09-08</x:v>
      </x:c>
    </x:row>
    <x:row r="117">
      <x:c r="A117" t="str">
        <x:v>GSN scope</x:v>
      </x:c>
      <x:c r="B117" t="str">
        <x:v>Madhouse also stocks Pots of Gold, wraps and related GSN lines. Treat GSN as local Madhouse stock/replenishment data, not Active Sports member supplier-orderable catalogue.</x:v>
      </x:c>
      <x:c r="C117" t="str">
        <x:v>2026-09-08</x:v>
      </x:c>
    </x:row>
    <x:row r="118">
      <x:c r="A118" t="str">
        <x:v>Olimp</x:v>
      </x:c>
      <x:c r="B118" t="str">
        <x:v>Further current extraction added AAKG Xplode, Alkagen, Amino EAA Xplode, Amino Target Xplode, BCAA Xplode 280g/500g, Beta Alanine lines, Beta Solar, Blackweiler Shred, creatine capsules/Xplode, DAA, Detoxeed, Endugen, Extreme Speed, L-Carnitine Xplode, L-Glutamine, Lions Mane, LipoRazor, MCT Oil, Platinum Ginseng, Collagen shots and ZMA.</x:v>
      </x:c>
      <x:c r="C118" t="str">
        <x:v>2026-09-08</x:v>
      </x:c>
    </x:row>
    <x:row r="119">
      <x:c r="A119" t="str">
        <x:v>Olimp stock refresh</x:v>
      </x:c>
      <x:c r="B119" t="str">
        <x:v>Dextrex Juice 1kg Lemon refreshed from Out of stock to In stock using the current Olimp brand page.</x:v>
      </x:c>
      <x:c r="C119" t="str">
        <x:v>2026-09-08</x:v>
      </x:c>
    </x:row>
    <x:row r="120">
      <x:c r="A120" t="str">
        <x:v>Olimp BCAA Xplode</x:v>
      </x:c>
      <x:c r="B120" t="str">
        <x:v>280g/28-serving and 500g/50-serving matrices captured separately; supplier NEW wording stripped from Mango.</x:v>
      </x:c>
      <x:c r="C120" t="str">
        <x:v>2026-09-08</x:v>
      </x:c>
    </x:row>
    <x:row r="121">
      <x:c r="A121" t="str">
        <x:v>Olimp creatine distinction</x:v>
      </x:c>
      <x:c r="B121" t="str">
        <x:v>Creatine Xplode 500g Tub remains distinct from Creatine Monohydrate Xplode 500g Bag because they are different supplier products/formulations.</x:v>
      </x:c>
      <x:c r="C121" t="str">
        <x:v>2026-09-08</x:v>
      </x:c>
    </x:row>
    <x:row r="122">
      <x:c r="A122" t="str">
        <x:v>Olimp case ordering</x:v>
      </x:c>
      <x:c r="B122" t="str">
        <x:v>Blackweiler Shred Shots, Extreme Speed Shots and Collagen Sports Edition Shots are recorded as case-only supplier orders.</x:v>
      </x:c>
      <x:c r="C122" t="str">
        <x:v>2026-09-08</x:v>
      </x:c>
    </x:row>
    <x:row r="123">
      <x:c r="A123" t="str">
        <x:v>Olimp commercial noise</x:v>
      </x:c>
      <x:c r="B123" t="str">
        <x:v>SPECIAL OFFER and PALLET PROMO data continues to be excluded from canonical/member-safe catalogue data.</x:v>
      </x:c>
      <x:c r="C123" t="str">
        <x:v>2026-09-08</x:v>
      </x:c>
    </x:row>
    <x:row r="124">
      <x:c r="A124" t="str">
        <x:v>GSN queued</x:v>
      </x:c>
      <x:c r="B124" t="str">
        <x:v>After the Active Sports input pass, build a separate GSN local-stock catalogue from GSN's own website with genuine imagery and nutrition facts. Known Madhouse retail: £4 per meal or 10 meals for £32; cost price pending.</x:v>
      </x:c>
      <x:c r="C124" t="str">
        <x:v>2026-09-08</x:v>
      </x:c>
    </x:row>
    <x:row r="125">
      <x:c r="A125" t="str">
        <x:v>GSN assortment</x:v>
      </x:c>
      <x:c r="B125" t="str">
        <x:v>Include meals, wraps, Pots of Gold and other GSN lines stocked by Madhouse. GSN remains local/replenishment catalogue rather than Active Sports special-order catalogue.</x:v>
      </x:c>
      <x:c r="C125" t="str">
        <x:v>2026-09-08</x:v>
      </x:c>
    </x:row>
    <x:row r="126">
      <x:c r="A126" t="str">
        <x:v>Olimp</x:v>
      </x:c>
      <x:c r="B126" t="str">
        <x:v>Further current extraction added ANTI-OX Power Blend, Chela-Min Sports Formula, Citrulline Malate, CLA + Green Tea + L-Carnitine, Gold Vit C 1000, Kolagen Activ Plus, Kre-Alkalyn 2500, Thermo Speed lines, Tribusteron 60, Caffeine Kick, Knockout 2.0, Carni Tea Xplode Zero and Gold Omega lines.</x:v>
      </x:c>
      <x:c r="C126" t="str">
        <x:v>2026-09-08</x:v>
      </x:c>
    </x:row>
    <x:row r="127">
      <x:c r="A127" t="str">
        <x:v>Olimp pre-workout</x:v>
      </x:c>
      <x:c r="B127" t="str">
        <x:v>Knockout 2.0 exact 50-serving flavour matrix captured: Bubble Blow, Citrus Punch, Cola Blast and Pear Attack, all currently in stock.</x:v>
      </x:c>
      <x:c r="C127" t="str">
        <x:v>2026-09-08</x:v>
      </x:c>
    </x:row>
    <x:row r="128">
      <x:c r="A128" t="str">
        <x:v>Olimp citrulline</x:v>
      </x:c>
      <x:c r="B128" t="str">
        <x:v>Citrulline Malate 200g exact current flavours captured as Cooling Sour Lemonade and Sour Jellies, both in stock.</x:v>
      </x:c>
      <x:c r="C128" t="str">
        <x:v>2026-09-08</x:v>
      </x:c>
    </x:row>
    <x:row r="129">
      <x:c r="A129" t="str">
        <x:v>Olimp fat-burner lines</x:v>
      </x:c>
      <x:c r="B129" t="str">
        <x:v>Thermo Speed Extreme 2.0, Thermo Speed Hardcore and Thermo Stim Hardcore are currently listed in stock on Active Sports fat-burner pages.</x:v>
      </x:c>
      <x:c r="C129" t="str">
        <x:v>2026-09-08</x:v>
      </x:c>
    </x:row>
    <x:row r="130">
      <x:c r="A130" t="str">
        <x:v>Olimp joint/omega</x:v>
      </x:c>
      <x:c r="B130" t="str">
        <x:v>Gold Omega 3 Sport Edition, Gold Omega 3 D3 + K2 Sports Edition and Kolagen Activ Plus added from current joint-support listing.</x:v>
      </x:c>
      <x:c r="C130" t="str">
        <x:v>2026-09-08</x:v>
      </x:c>
    </x:row>
    <x:row r="131">
      <x:c r="A131" t="str">
        <x:v>Olimp case ordering</x:v>
      </x:c>
      <x:c r="B131" t="str">
        <x:v>Carni Tea Xplode Zero 24 x 330ml Cherry recorded case-only; pallet-promo terms stripped.</x:v>
      </x:c>
      <x:c r="C131" t="str">
        <x:v>2026-09-08</x:v>
      </x:c>
    </x:row>
    <x:row r="132">
      <x:c r="A132" t="str">
        <x:v>Olimp commercial noise</x:v>
      </x:c>
      <x:c r="B132" t="str">
        <x:v>SPECIAL OFFER remains stripped from Chela-Min and Tribusteron 60 canonical titles.</x:v>
      </x:c>
      <x:c r="C132" t="str">
        <x:v>2026-09-08</x:v>
      </x:c>
    </x:row>
    <x:row r="133">
      <x:c r="A133" t="str">
        <x:v>GSN next</x:v>
      </x:c>
      <x:c r="B133" t="str">
        <x:v>GSN enrichment remains queued after current Active Sports catalogue input: current meals/wraps/Pots of Gold, genuine images, nutrition and Madhouse retail, with local stock quantities entered only at go-live physical count.</x:v>
      </x:c>
      <x:c r="C133" t="str">
        <x:v>2026-09-08</x:v>
      </x:c>
    </x:row>
    <x:row r="134">
      <x:c r="A134" t="str">
        <x:v>Olimp</x:v>
      </x:c>
      <x:c r="B134" t="str">
        <x:v>Fresh reconciliation batch added Gold Beef Protein 700g and expanded exact Whey Protein Complex 700g/1.8kg matrices plus BCAA Xplode Strawberry 1kg and corrected Blackweiler Shot flavours.</x:v>
      </x:c>
      <x:c r="C134" t="str">
        <x:v>2026-09-08</x:v>
      </x:c>
    </x:row>
    <x:row r="135">
      <x:c r="A135" t="str">
        <x:v>Olimp Gold Beef Protein</x:v>
      </x:c>
      <x:c r="B135" t="str">
        <x:v>700g exact current flavours: Blueberry, Cookies and Cream and Strawberry; all currently out of stock.</x:v>
      </x:c>
      <x:c r="C135" t="str">
        <x:v>2026-09-08</x:v>
      </x:c>
    </x:row>
    <x:row r="136">
      <x:c r="A136" t="str">
        <x:v>Olimp WPC 1.8kg</x:v>
      </x:c>
      <x:c r="B136" t="str">
        <x:v>Fresh whey-category data adds Blueberry, Ice Coffee, Lemon Cheesecake, Peanut Butter and Salty Caramel alongside existing exact flavours; stocks refreshed where exact rows already existed.</x:v>
      </x:c>
      <x:c r="C136" t="str">
        <x:v>2026-09-08</x:v>
      </x:c>
    </x:row>
    <x:row r="137">
      <x:c r="A137" t="str">
        <x:v>Olimp WPC 700g</x:v>
      </x:c>
      <x:c r="B137" t="str">
        <x:v>Fresh whey-category data extends the matrix with Banana, Cherry Yoghurt, Chocolate Caramel, Chocolate Cherry, Cookies and Cream and Lemon Cheesecake; current stocks retained exact by flavour.</x:v>
      </x:c>
      <x:c r="C137" t="str">
        <x:v>2026-09-08</x:v>
      </x:c>
    </x:row>
    <x:row r="138">
      <x:c r="A138" t="str">
        <x:v>Olimp BCAA Xplode 1kg</x:v>
      </x:c>
      <x:c r="B138" t="str">
        <x:v>Strawberry surfaced as a genuine exact flavour and is currently out of stock.</x:v>
      </x:c>
      <x:c r="C138" t="str">
        <x:v>2026-09-08</x:v>
      </x:c>
    </x:row>
    <x:row r="139">
      <x:c r="A139" t="str">
        <x:v>Olimp Blackweiler correction</x:v>
      </x:c>
      <x:c r="B139" t="str">
        <x:v>Fresh ready-to-drink pre-workout page shows Citrus Punch and Lemon Apple, both in stock. Earlier Cherry transcription removed/corrected.</x:v>
      </x:c>
      <x:c r="C139" t="str">
        <x:v>2026-09-08</x:v>
      </x:c>
    </x:row>
    <x:row r="140">
      <x:c r="A140" t="str">
        <x:v>Olimp Knockout refresh</x:v>
      </x:c>
      <x:c r="B140" t="str">
        <x:v>Fresh Olimp pre-workout page shows Bubble Blow and Cola Blast out of stock; Citrus Punch and Pear Attack in stock.</x:v>
      </x:c>
      <x:c r="C140" t="str">
        <x:v>2026-09-08</x:v>
      </x:c>
    </x:row>
    <x:row r="141">
      <x:c r="A141" t="str">
        <x:v>Olimp Gold Vit C correction</x:v>
      </x:c>
      <x:c r="B141" t="str">
        <x:v>Current Active Sports Olimp listing confirms Gold Vit C 1000 Sports Edition as 60 caps, correcting earlier 30-cap transcription.</x:v>
      </x:c>
      <x:c r="C141" t="str">
        <x:v>2026-09-08</x:v>
      </x:c>
    </x:row>
    <x:row r="142">
      <x:c r="A142" t="str">
        <x:v>Reconciliation rule</x:v>
      </x:c>
      <x:c r="B142" t="str">
        <x:v>Where fresh category/brand pages conflict with older crawls, prefer the fresher/current page and record corrections rather than duplicating exact variants.</x:v>
      </x:c>
      <x:c r="C142" t="str">
        <x:v>2026-09-08</x:v>
      </x:c>
    </x:row>
    <x:row r="143">
      <x:c r="A143" t="str">
        <x:v>Olimp</x:v>
      </x:c>
      <x:c r="B143" t="str">
        <x:v>Fresh reconciliation added Blackweiler Shred 480g Pineapple/Strawberry/Watermelon and WPC 2.27kg Banana/Salty Caramel; multiple existing protein stock states refreshed.</x:v>
      </x:c>
      <x:c r="C143" t="str">
        <x:v>2026-09-08</x:v>
      </x:c>
    </x:row>
    <x:row r="144">
      <x:c r="A144" t="str">
        <x:v>Olimp Blackweiler</x:v>
      </x:c>
      <x:c r="B144" t="str">
        <x:v>Current general Olimp listing exposes Pineapple, Strawberry and Watermelon in stock. Existing Exotic Orange retained because Active Sports also surfaces it on another current category listing.</x:v>
      </x:c>
      <x:c r="C144" t="str">
        <x:v>2026-09-08</x:v>
      </x:c>
    </x:row>
    <x:row r="145">
      <x:c r="A145" t="str">
        <x:v>Olimp WPC 2.27kg</x:v>
      </x:c>
      <x:c r="B145" t="str">
        <x:v>Current general page confirms Banana and Salty Caramel in stock and refreshes Chocolate out, Cookies &amp; Cream in, Strawberry in, Vanilla Ice Cream out.</x:v>
      </x:c>
      <x:c r="C145" t="str">
        <x:v>2026-09-08</x:v>
      </x:c>
    </x:row>
    <x:row r="146">
      <x:c r="A146" t="str">
        <x:v>Olimp Cream of Rice</x:v>
      </x:c>
      <x:c r="B146" t="str">
        <x:v>Vanilla Dessert refreshed to In stock from the fresher current brand page; Creamy Chocolate remains out of stock.</x:v>
      </x:c>
      <x:c r="C146" t="str">
        <x:v>2026-09-08</x:v>
      </x:c>
    </x:row>
    <x:row r="147">
      <x:c r="A147" t="str">
        <x:v>Olimp Pro Whey Shake</x:v>
      </x:c>
      <x:c r="B147" t="str">
        <x:v>Existing 700g matrix refreshed: Chocolate and Cookies &amp; Cream out; Strawberry and Vanilla in.</x:v>
      </x:c>
      <x:c r="C147" t="str">
        <x:v>2026-09-08</x:v>
      </x:c>
    </x:row>
    <x:row r="148">
      <x:c r="A148" t="str">
        <x:v>Olimp Whey Protein Xplode</x:v>
      </x:c>
      <x:c r="B148" t="str">
        <x:v>700g three Dream flavours remain in stock; 2.25kg three Dream flavours remain out of stock on current listing.</x:v>
      </x:c>
      <x:c r="C148" t="str">
        <x:v>2026-09-08</x:v>
      </x:c>
    </x:row>
    <x:row r="149">
      <x:c r="A149" t="str">
        <x:v>Olimp Pure Whey Isolate</x:v>
      </x:c>
      <x:c r="B149" t="str">
        <x:v>600g Chocolate, Strawberry and Vanilla confirmed in stock on current listing.</x:v>
      </x:c>
      <x:c r="C149" t="str">
        <x:v>2026-09-08</x:v>
      </x:c>
    </x:row>
    <x:row r="150">
      <x:c r="A150" t="str">
        <x:v>Reconciliation</x:v>
      </x:c>
      <x:c r="B150" t="str">
        <x:v>This batch prioritised current stock reconciliation and matrix completion over inflating parent counts with uncertain/duplicate products.</x:v>
      </x:c>
      <x:c r="C150" t="str">
        <x:v>2026-09-08</x:v>
      </x:c>
    </x:row>
    <x:row r="151">
      <x:c r="A151" t="str">
        <x:v>Olimp</x:v>
      </x:c>
      <x:c r="B151" t="str">
        <x:v>Current BCAA/accessories pass added BCAA 20:1:1 500g and genuine Olimp Profi gloves/training-belt variants.</x:v>
      </x:c>
      <x:c r="C151" t="str">
        <x:v>2026-09-08</x:v>
      </x:c>
    </x:row>
    <x:row r="152">
      <x:c r="A152" t="str">
        <x:v>Olimp BCAA 20:1:1</x:v>
      </x:c>
      <x:c r="B152" t="str">
        <x:v>Current BCAA page confirms both 200g and 500g sizes, each with Cola and Pear currently in stock.</x:v>
      </x:c>
      <x:c r="C152" t="str">
        <x:v>2026-09-08</x:v>
      </x:c>
    </x:row>
    <x:row r="153">
      <x:c r="A153" t="str">
        <x:v>Olimp accessories</x:v>
      </x:c>
      <x:c r="B153" t="str">
        <x:v>Profi Gloves exact sizes S/M/L/XL/XXL currently out; Profi Training Belt 6 Inch S/M out and XL in; Universal Competition Belt 4 M/XL out.</x:v>
      </x:c>
      <x:c r="C153" t="str">
        <x:v>2026-09-08</x:v>
      </x:c>
    </x:row>
    <x:row r="154">
      <x:c r="A154" t="str">
        <x:v>Catalogue taxonomy</x:v>
      </x:c>
      <x:c r="B154" t="str">
        <x:v>Olimp belts/gloves are recorded under Merch &amp; Apparel &gt; Training Accessories rather than Supplements.</x:v>
      </x:c>
      <x:c r="C154" t="str">
        <x:v>2026-09-08</x:v>
      </x:c>
    </x:row>
    <x:row r="155">
      <x:c r="A155" t="str">
        <x:v>Olimp Cream of Rice</x:v>
      </x:c>
      <x:c r="B155" t="str">
        <x:v>Reconciled again using the current supplier category page: Creamy Chocolate and Vanilla Dessert are both currently out of stock.</x:v>
      </x:c>
      <x:c r="C155" t="str">
        <x:v>2026-09-08</x:v>
      </x:c>
    </x:row>
    <x:row r="156">
      <x:c r="A156" t="str">
        <x:v>Dated clearance</x:v>
      </x:c>
      <x:c r="B156" t="str">
        <x:v>Olimp Im Pro/Im Veggie BB-dated lines remain unavailable/non-orderable even where the supplier page reports stock, preserving the dated-clearance safety rule.</x:v>
      </x:c>
      <x:c r="C156" t="str">
        <x:v>2026-09-08</x:v>
      </x:c>
    </x:row>
    <x:row r="157">
      <x:c r="A157" t="str">
        <x:v>Supplier freshness</x:v>
      </x:c>
      <x:c r="B157" t="str">
        <x:v>Supplier stock is volatile. Current page evidence supersedes older crawl states, while dated-clearance safety rules override nominal supplier stock.</x:v>
      </x:c>
      <x:c r="C157" t="str">
        <x:v>2026-09-08</x:v>
      </x:c>
    </x:row>
    <x:row r="158">
      <x:c r="A158" t="str">
        <x:v>Images/enrichment</x:v>
      </x:c>
      <x:c r="B158" t="str">
        <x:v>Genuine Active Sports product imagery and verified metadata remain eligible to enrich the same canonical variants later; no duplicate local-stock product is required.</x:v>
      </x:c>
      <x:c r="C158" t="str">
        <x:v>2026-09-08</x:v>
      </x:c>
    </x:row>
    <x:row r="159">
      <x:c r="A159" t="str">
        <x:v>Supplement Needs</x:v>
      </x:c>
      <x:c r="B159" t="str">
        <x:v>Major continuation from the current Active Sports Supplement Needs brand page; existing previously captured exact rows were skipped automatically.</x:v>
      </x:c>
      <x:c r="C159" t="str">
        <x:v>2026-09-08</x:v>
      </x:c>
    </x:row>
    <x:row r="160">
      <x:c r="A160" t="str">
        <x:v>Supplement Needs health</x:v>
      </x:c>
      <x:c r="B160" t="str">
        <x:v>Added creatine/glutamine plus broad health range including AM/PM Priming, Ashwagandha, Berberine, Curcumin, Digestive Stack, Gut Guard, ImmunoPro, Magnesium, vitamins and omegas.</x:v>
      </x:c>
      <x:c r="C160" t="str">
        <x:v>2026-09-08</x:v>
      </x:c>
    </x:row>
    <x:row r="161">
      <x:c r="A161" t="str">
        <x:v>Supplement Needs performance</x:v>
      </x:c>
      <x:c r="B161" t="str">
        <x:v>Added Focus+, PRE Pump+ and Pre Stim+ exact current flavour matrices.</x:v>
      </x:c>
      <x:c r="C161" t="str">
        <x:v>2026-09-08</x:v>
      </x:c>
    </x:row>
    <x:row r="162">
      <x:c r="A162" t="str">
        <x:v>Supplement Needs women's health</x:v>
      </x:c>
      <x:c r="B162" t="str">
        <x:v>Added Beauty Essence, Fertility+, Omega Femme, PCOS+ and PMS+ exactly as currently listed by Active Sports.</x:v>
      </x:c>
      <x:c r="C162" t="str">
        <x:v>2026-09-08</x:v>
      </x:c>
    </x:row>
    <x:row r="163">
      <x:c r="A163" t="str">
        <x:v>Supplement Needs cardio/organ support</x:v>
      </x:c>
      <x:c r="B163" t="str">
        <x:v>Added Heart Stack, Kidney &amp; Blood Pressure Stack, Lipid+, Lipid Pro+, High Strength Omega 3 and related current lines.</x:v>
      </x:c>
      <x:c r="C163" t="str">
        <x:v>2026-09-08</x:v>
      </x:c>
    </x:row>
    <x:row r="164">
      <x:c r="A164" t="str">
        <x:v>Canonical naming</x:v>
      </x:c>
      <x:c r="B164" t="str">
        <x:v>Supplier 'Formerly C-V Stack' / 'Formerly Astrag-Flow' wording is retained as notes rather than polluting canonical product names.</x:v>
      </x:c>
      <x:c r="C164" t="str">
        <x:v>2026-09-08</x:v>
      </x:c>
    </x:row>
    <x:row r="165">
      <x:c r="A165" t="str">
        <x:v>Pricing</x:v>
      </x:c>
      <x:c r="B165" t="str">
        <x:v>No trade prices captured; Active Sports continues to require login for pricing.</x:v>
      </x:c>
      <x:c r="C165" t="str">
        <x:v>2026-09-08</x:v>
      </x:c>
    </x:row>
    <x:row r="166">
      <x:c r="A166" t="str">
        <x:v>Catalogue safety</x:v>
      </x:c>
      <x:c r="B166" t="str">
        <x:v>Exact size/flavour stock retained; no inferred variants or flavour-size Cartesian combinations created.</x:v>
      </x:c>
      <x:c r="C166" t="str">
        <x:v>2026-09-08</x:v>
      </x:c>
    </x:row>
    <x:row r="167">
      <x:c r="A167" t="str">
        <x:v>Per4m Nutrition</x:v>
      </x:c>
      <x:c r="B167" t="str">
        <x:v>Major current-brand continuation added Advanced health lines, Advanced Protein, Amino Burn, Collagen, 450g Cream of Rice, creatine lines, Energy, PRE, Pump, Plant Protein, snacks and support products.</x:v>
      </x:c>
      <x:c r="C167" t="str">
        <x:v>2026-09-08</x:v>
      </x:c>
    </x:row>
    <x:row r="168">
      <x:c r="A168" t="str">
        <x:v>Per4m Advanced Protein</x:v>
      </x:c>
      <x:c r="B168" t="str">
        <x:v>1.8kg and 800g exact matrices captured from the current brand page; all 12 currently listed flavours are in stock in both sizes.</x:v>
      </x:c>
      <x:c r="C168" t="str">
        <x:v>2026-09-08</x:v>
      </x:c>
    </x:row>
    <x:row r="169">
      <x:c r="A169" t="str">
        <x:v>Per4m Cream of Rice</x:v>
      </x:c>
      <x:c r="B169" t="str">
        <x:v>450g matrix added separately from the previously captured 2kg product; exact current stock retained by flavour.</x:v>
      </x:c>
      <x:c r="C169" t="str">
        <x:v>2026-09-08</x:v>
      </x:c>
    </x:row>
    <x:row r="170">
      <x:c r="A170" t="str">
        <x:v>Per4m pre-workouts</x:v>
      </x:c>
      <x:c r="B170" t="str">
        <x:v>Energy 60 servings, Energy Shots, PRE 570g and Pump 495g exact current flavour matrices captured; supplier freebies/promo wording stripped.</x:v>
      </x:c>
      <x:c r="C170" t="str">
        <x:v>2026-09-08</x:v>
      </x:c>
    </x:row>
    <x:row r="171">
      <x:c r="A171" t="str">
        <x:v>Per4m snacks</x:v>
      </x:c>
      <x:c r="B171" t="str">
        <x:v>Protein Bar 12x62g, Protein Crunchies 200g, Protein Pancakes 1.2kg and Protein Rice Cakes 12x64g added as genuine supplier products.</x:v>
      </x:c>
      <x:c r="C171" t="str">
        <x:v>2026-09-08</x:v>
      </x:c>
    </x:row>
    <x:row r="172">
      <x:c r="A172" t="str">
        <x:v>Per4m case units</x:v>
      </x:c>
      <x:c r="B172" t="str">
        <x:v>Energy shots, Protein Bars and Protein Rice Cakes are recorded case-only for supplier ordering.</x:v>
      </x:c>
      <x:c r="C172" t="str">
        <x:v>2026-09-08</x:v>
      </x:c>
    </x:row>
    <x:row r="173">
      <x:c r="A173" t="str">
        <x:v>Per4m enrichment readiness</x:v>
      </x:c>
      <x:c r="B173" t="str">
        <x:v>Current supplier descriptions exist on Active Sports and can later feed the enrichment import; no descriptions copied into the narrow 19-column catalogue beyond canonical title/notes.</x:v>
      </x:c>
      <x:c r="C173" t="str">
        <x:v>2026-09-08</x:v>
      </x:c>
    </x:row>
    <x:row r="174">
      <x:c r="A174" t="str">
        <x:v>Pricing</x:v>
      </x:c>
      <x:c r="B174" t="str">
        <x:v>No Active Sports trade prices captured; login-gated supplier pricing remains excluded.</x:v>
      </x:c>
      <x:c r="C174" t="str">
        <x:v>2026-09-08</x:v>
      </x:c>
    </x:row>
    <x:row r="175">
      <x:c r="A175" t="str">
        <x:v>Data quality</x:v>
      </x:c>
      <x:c r="B175" t="str">
        <x:v>Existing exact Per4m rows were skipped automatically; no flavour-size Cartesian combinations were generated.</x:v>
      </x:c>
      <x:c r="C175" t="str">
        <x:v>2026-09-08</x:v>
      </x:c>
    </x:row>
    <x:row r="176">
      <x:c r="A176" t="str">
        <x:v>NXT Nutrition</x:v>
      </x:c>
      <x:c r="B176" t="str">
        <x:v>Major current brand-page reconciliation/continuation completed from the supplier's dedicated NXT page; existing workbook rows were skipped automatically.</x:v>
      </x:c>
      <x:c r="C176" t="str">
        <x:v>2026-09-08</x:v>
      </x:c>
    </x:row>
    <x:row r="177">
      <x:c r="A177" t="str">
        <x:v>NXT Beef Protein</x:v>
      </x:c>
      <x:c r="B177" t="str">
        <x:v>Exact 1.8kg and 540g flavour matrices captured with stock at variant level; no inferred size/flavour Cartesian combinations.</x:v>
      </x:c>
      <x:c r="C177" t="str">
        <x:v>2026-09-08</x:v>
      </x:c>
    </x:row>
    <x:row r="178">
      <x:c r="A178" t="str">
        <x:v>NXT Pure Whey</x:v>
      </x:c>
      <x:c r="B178" t="str">
        <x:v>Pure Whey Deluxe 2.1kg, ISO Juice 900g and Pure Whey Mass 3.18kg current flavour/stock matrices captured.</x:v>
      </x:c>
      <x:c r="C178" t="str">
        <x:v>2026-09-08</x:v>
      </x:c>
    </x:row>
    <x:row r="179">
      <x:c r="A179" t="str">
        <x:v>NXT performance</x:v>
      </x:c>
      <x:c r="B179" t="str">
        <x:v>Amino Fuel, BCAA/Glutamine/Vit D, CRE Hydrate, EAA, TNT Nuclear PRE and TNT Nuclear Pump exact variants captured.</x:v>
      </x:c>
      <x:c r="C179" t="str">
        <x:v>2026-09-08</x:v>
      </x:c>
    </x:row>
    <x:row r="180">
      <x:c r="A180" t="str">
        <x:v>NXT RTD</x:v>
      </x:c>
      <x:c r="B180" t="str">
        <x:v>KN Protein Water 12x500ml, TNT Nuclear cans 12x330ml and TNT Nuclear shots 12x60ml recorded as case-only supplier-order lines.</x:v>
      </x:c>
      <x:c r="C180" t="str">
        <x:v>2026-09-08</x:v>
      </x:c>
    </x:row>
    <x:row r="181">
      <x:c r="A181" t="str">
        <x:v>NXT commercial noise</x:v>
      </x:c>
      <x:c r="B181" t="str">
        <x:v>SPECIAL OFFER, free-product and BUY X GET Y supplier language stripped from canonical product naming/notes.</x:v>
      </x:c>
      <x:c r="C181" t="str">
        <x:v>2026-09-08</x:v>
      </x:c>
    </x:row>
    <x:row r="182">
      <x:c r="A182" t="str">
        <x:v>NXT health</x:v>
      </x:c>
      <x:c r="B182" t="str">
        <x:v>Live Friendly Bacteria, Caffeine, Lions Mane, Turmeric Curcumin, Vitamin B Complex and Vitamin D3 &amp; K2 included from current brand page.</x:v>
      </x:c>
      <x:c r="C182" t="str">
        <x:v>2026-09-08</x:v>
      </x:c>
    </x:row>
    <x:row r="183">
      <x:c r="A183" t="str">
        <x:v>Pricing</x:v>
      </x:c>
      <x:c r="B183" t="str">
        <x:v>No supplier trade prices captured; Active Sports remains login-gated for pricing.</x:v>
      </x:c>
      <x:c r="C183" t="str">
        <x:v>2026-09-08</x:v>
      </x:c>
    </x:row>
    <x:row r="184">
      <x:c r="A184" t="str">
        <x:v>Enrichment readiness</x:v>
      </x:c>
      <x:c r="B184" t="str">
        <x:v>Supplier descriptions on the public NXT page can later feed product enrichment; this pass prioritises canonical exact catalogue breadth.</x:v>
      </x:c>
      <x:c r="C184" t="str">
        <x:v>2026-09-08</x:v>
      </x:c>
    </x:row>
    <x:row r="185">
      <x:c r="A185" t="str">
        <x:v>Optimum Nutrition</x:v>
      </x:c>
      <x:c r="B185" t="str">
        <x:v>Current available Active Sports brand listing extracted/reconciled for Casein, Gold Standard Whey, creatine, Opti-Men/Opti-Women, Serious Mass and accessories.</x:v>
      </x:c>
      <x:c r="C185" t="str">
        <x:v>2026-09-08</x:v>
      </x:c>
    </x:row>
    <x:row r="186">
      <x:c r="A186" t="str">
        <x:v>Optimum Whey</x:v>
      </x:c>
      <x:c r="B186" t="str">
        <x:v>Gold Standard Whey 2.27kg and 912g exact flavour matrices captured; supplier Black Friday/Special Offer duplicate listings were not duplicated.</x:v>
      </x:c>
      <x:c r="C186" t="str">
        <x:v>2026-09-08</x:v>
      </x:c>
    </x:row>
    <x:row r="187">
      <x:c r="A187" t="str">
        <x:v>Optimum Casein</x:v>
      </x:c>
      <x:c r="B187" t="str">
        <x:v>924g and 1.8kg exact variants captured. Historic BBE-dated rows are forced to Unavailable - dated clearance even where supplier listing once showed stock.</x:v>
      </x:c>
      <x:c r="C187" t="str">
        <x:v>2026-09-08</x:v>
      </x:c>
    </x:row>
    <x:row r="188">
      <x:c r="A188" t="str">
        <x:v>Optimum Sachets</x:v>
      </x:c>
      <x:c r="B188" t="str">
        <x:v>Gold Standard Whey Sachets 24x30g recorded case-only; expired BBE flavour blocked as dated clearance.</x:v>
      </x:c>
      <x:c r="C188" t="str">
        <x:v>2026-09-08</x:v>
      </x:c>
    </x:row>
    <x:row r="189">
      <x:c r="A189" t="str">
        <x:v>Optimum Creatine</x:v>
      </x:c>
      <x:c r="B189" t="str">
        <x:v>Micronized Creatine 247.5g flavoured matrix plus 317g and 634g unflavoured sizes captured.</x:v>
      </x:c>
      <x:c r="C189" t="str">
        <x:v>2026-09-08</x:v>
      </x:c>
    </x:row>
    <x:row r="190">
      <x:c r="A190" t="str">
        <x:v>Optimum Serious Mass</x:v>
      </x:c>
      <x:c r="B190" t="str">
        <x:v>2.7kg and 5.54kg exact current flavour matrices captured with supplier stock state.</x:v>
      </x:c>
      <x:c r="C190" t="str">
        <x:v>2026-09-08</x:v>
      </x:c>
    </x:row>
    <x:row r="191">
      <x:c r="A191" t="str">
        <x:v>Optimum accessories</x:v>
      </x:c>
      <x:c r="B191" t="str">
        <x:v>1000ml Shaker and 2.2ltr Water Jug recorded under Merch &amp; Apparel &gt; Shakers.</x:v>
      </x:c>
      <x:c r="C191" t="str">
        <x:v>2026-09-08</x:v>
      </x:c>
    </x:row>
    <x:row r="192">
      <x:c r="A192" t="str">
        <x:v>Freshness caveat</x:v>
      </x:c>
      <x:c r="B192" t="str">
        <x:v>The accessible Optimum Nutrition supplier page is older than the freshest brand pages used elsewhere; these rows should be reconciled again before production import if Active Sports exposes a newer crawl/export.</x:v>
      </x:c>
      <x:c r="C192" t="str">
        <x:v>2026-09-08</x:v>
      </x:c>
    </x:row>
    <x:row r="193">
      <x:c r="A193" t="str">
        <x:v>Pricing</x:v>
      </x:c>
      <x:c r="B193" t="str">
        <x:v>No supplier trade pricing captured; login-gated prices remain excluded.</x:v>
      </x:c>
      <x:c r="C193" t="str">
        <x:v>2026-09-08</x:v>
      </x:c>
    </x:row>
    <x:row r="194">
      <x:c r="A194" t="str">
        <x:v>Scitec Nutrition</x:v>
      </x:c>
      <x:c r="B194" t="str">
        <x:v>Fresh current Active Sports brand-page reconciliation added missing casein, whey isolate, BCAA, amino, collagen, health, vitamin, carbohydrate and accessory variants.</x:v>
      </x:c>
      <x:c r="C194" t="str">
        <x:v>2026-09-08</x:v>
      </x:c>
    </x:row>
    <x:row r="195">
      <x:c r="A195" t="str">
        <x:v>Scitec dated offers</x:v>
      </x:c>
      <x:c r="B195" t="str">
        <x:v>Expired BCAA/EAA SPECIAL OFFER rows were deliberately excluded/blocked rather than treated as currently orderable stock.</x:v>
      </x:c>
      <x:c r="C195" t="str">
        <x:v>2026-09-08</x:v>
      </x:c>
    </x:row>
    <x:row r="196">
      <x:c r="A196" t="str">
        <x:v>Scitec Radical Whey</x:v>
      </x:c>
      <x:c r="B196" t="str">
        <x:v>1000g and 2000g exact flavour matrices captured; supplier SPECIAL OFFER wording stripped.</x:v>
      </x:c>
      <x:c r="C196" t="str">
        <x:v>2026-09-08</x:v>
      </x:c>
    </x:row>
    <x:row r="197">
      <x:c r="A197" t="str">
        <x:v>Scitec health/accessories</x:v>
      </x:c>
      <x:c r="B197" t="str">
        <x:v>Added current capsule/tablet health lines and exact 700ml shaker colour variants.</x:v>
      </x:c>
      <x:c r="C197" t="str">
        <x:v>2026-09-08</x:v>
      </x:c>
    </x:row>
    <x:row r="198">
      <x:c r="A198" t="str">
        <x:v>Supplement Needs hydration</x:v>
      </x:c>
      <x:c r="B198" t="str">
        <x:v>Electrolyte + current stock refreshed from today's hydration category page; Blackcurrant Burst currently Out, other captured flavours In.</x:v>
      </x:c>
      <x:c r="C198" t="str">
        <x:v>2026-09-08</x:v>
      </x:c>
    </x:row>
    <x:row r="199">
      <x:c r="A199" t="str">
        <x:v>Supplement Needs intra</x:v>
      </x:c>
      <x:c r="B199" t="str">
        <x:v>Intra Carb and Intra EAA+ exact current variants added.</x:v>
      </x:c>
      <x:c r="C199" t="str">
        <x:v>2026-09-08</x:v>
      </x:c>
    </x:row>
    <x:row r="200">
      <x:c r="A200" t="str">
        <x:v>Supplement Needs vegan</x:v>
      </x:c>
      <x:c r="B200" t="str">
        <x:v>Vegan Iso+ 1kg Chocolate Hazelnut Crisp, Golden Wheaties and Pancake Stack added, all currently In stock.</x:v>
      </x:c>
      <x:c r="C200" t="str">
        <x:v>2026-09-08</x:v>
      </x:c>
    </x:row>
    <x:row r="201">
      <x:c r="A201" t="str">
        <x:v>Pricing</x:v>
      </x:c>
      <x:c r="B201" t="str">
        <x:v>No login-gated Active Sports trade prices captured.</x:v>
      </x:c>
      <x:c r="C201" t="str">
        <x:v>2026-09-08</x:v>
      </x:c>
    </x:row>
    <x:row r="202">
      <x:c r="A202" t="str">
        <x:v>Catalogue safety</x:v>
      </x:c>
      <x:c r="B202" t="str">
        <x:v>Existing exact rows skipped automatically; no inferred size/flavour Cartesian combinations.</x:v>
      </x:c>
      <x:c r="C202" t="str">
        <x:v>2026-09-08</x:v>
      </x:c>
    </x:row>
    <x:row r="203">
      <x:c r="A203" t="str">
        <x:v>Reflex Nutrition</x:v>
      </x:c>
      <x:c r="B203" t="str">
        <x:v>Current main brand-page reconciliation added/refreshed Whey, Clear Whey, creatine, Growth Matrix, Instant Mass, Instant Whey Pro, Isolate Pro, Muscle Bomb and Zinc Matrix variants.</x:v>
      </x:c>
      <x:c r="C203" t="str">
        <x:v>2026-09-08</x:v>
      </x:c>
    </x:row>
    <x:row r="204">
      <x:c r="A204" t="str">
        <x:v>Reflex dated rows</x:v>
      </x:c>
      <x:c r="B204" t="str">
        <x:v>Separate historic BBE promotional rows were not duplicated into canonical product availability.</x:v>
      </x:c>
      <x:c r="C204" t="str">
        <x:v>2026-09-08</x:v>
      </x:c>
    </x:row>
    <x:row r="205">
      <x:c r="A205" t="str">
        <x:v>Reflex convenience</x:v>
      </x:c>
      <x:c r="B205" t="str">
        <x:v>High Protein Twin Bar 12x60g exact case flavours captured from the dedicated bars page and recorded case-only.</x:v>
      </x:c>
      <x:c r="C205" t="str">
        <x:v>2026-09-08</x:v>
      </x:c>
    </x:row>
    <x:row r="206">
      <x:c r="A206" t="str">
        <x:v>Redcon1</x:v>
      </x:c>
      <x:c r="B206" t="str">
        <x:v>Total War current 30-serving exact flavour matrix captured with supplier availability by flavour.</x:v>
      </x:c>
      <x:c r="C206" t="str">
        <x:v>2026-09-08</x:v>
      </x:c>
    </x:row>
    <x:row r="207">
      <x:c r="A207" t="str">
        <x:v>Trained By JP EAA</x:v>
      </x:c>
      <x:c r="B207" t="str">
        <x:v>Current BCAA/EAA category page added the 1kg/66-serving EAA matrix and EAA + Hydration variants.</x:v>
      </x:c>
      <x:c r="C207" t="str">
        <x:v>2026-09-08</x:v>
      </x:c>
    </x:row>
    <x:row r="208">
      <x:c r="A208" t="str">
        <x:v>Trained By JP Hydration</x:v>
      </x:c>
      <x:c r="B208" t="str">
        <x:v>Current hydration page added Hydration 30 servings and Peak Hydration 180 caps.</x:v>
      </x:c>
      <x:c r="C208" t="str">
        <x:v>2026-09-08</x:v>
      </x:c>
    </x:row>
    <x:row r="209">
      <x:c r="A209" t="str">
        <x:v>Supplier promo cleanup</x:v>
      </x:c>
      <x:c r="B209" t="str">
        <x:v>SPECIAL OFFER and other commercial wording stripped from canonical names; genuine exact variant descriptors retained.</x:v>
      </x:c>
      <x:c r="C209" t="str">
        <x:v>2026-09-08</x:v>
      </x:c>
    </x:row>
    <x:row r="210">
      <x:c r="A210" t="str">
        <x:v>Pricing</x:v>
      </x:c>
      <x:c r="B210" t="str">
        <x:v>No login-gated Active Sports trade pricing captured.</x:v>
      </x:c>
      <x:c r="C210" t="str">
        <x:v>2026-09-08</x:v>
      </x:c>
    </x:row>
    <x:row r="211">
      <x:c r="A211" t="str">
        <x:v>Data quality</x:v>
      </x:c>
      <x:c r="B211" t="str">
        <x:v>Existing exact rows skipped automatically; no inferred size/flavour Cartesian combinations.</x:v>
      </x:c>
      <x:c r="C211" t="str">
        <x:v>2026-09-08</x:v>
      </x:c>
    </x:row>
    <x:row r="212">
      <x:c r="A212" t="str">
        <x:v>Per4m continuation</x:v>
      </x:c>
      <x:c r="B212" t="str">
        <x:v>Current supplier pages used to continue exact variant extraction for Egg White Protein, Isolate Zero, Hydrate and Whey Hydrate.</x:v>
      </x:c>
      <x:c r="C212" t="str">
        <x:v>2026-09-08</x:v>
      </x:c>
    </x:row>
    <x:row r="213">
      <x:c r="A213" t="str">
        <x:v>Per4m Egg White</x:v>
      </x:c>
      <x:c r="B213" t="str">
        <x:v>1.8kg and 900g exact five-flavour matrices reconciled against current page.</x:v>
      </x:c>
      <x:c r="C213" t="str">
        <x:v>2026-09-08</x:v>
      </x:c>
    </x:row>
    <x:row r="214">
      <x:c r="A214" t="str">
        <x:v>Per4m Isolate Zero</x:v>
      </x:c>
      <x:c r="B214" t="str">
        <x:v>900g and 2kg current exact flavour/stock variants added where missing; no size/flavour Cartesian inference.</x:v>
      </x:c>
      <x:c r="C214" t="str">
        <x:v>2026-09-08</x:v>
      </x:c>
    </x:row>
    <x:row r="215">
      <x:c r="A215" t="str">
        <x:v>Per4m Hydrate</x:v>
      </x:c>
      <x:c r="B215" t="str">
        <x:v>30-serving exact matrix uses today's hydration page, superseding older promotional-page stock where different.</x:v>
      </x:c>
      <x:c r="C215" t="str">
        <x:v>2026-09-08</x:v>
      </x:c>
    </x:row>
    <x:row r="216">
      <x:c r="A216" t="str">
        <x:v>Per4m Hydrate shots</x:v>
      </x:c>
      <x:c r="B216" t="str">
        <x:v>12x100ml exact flavours recorded case-only for member supplier ordering.</x:v>
      </x:c>
      <x:c r="C216" t="str">
        <x:v>2026-09-08</x:v>
      </x:c>
    </x:row>
    <x:row r="217">
      <x:c r="A217" t="str">
        <x:v>Per4m Whey Hydrate</x:v>
      </x:c>
      <x:c r="B217" t="str">
        <x:v>1.8kg current exact flavour/stock matrix added/reconciled.</x:v>
      </x:c>
      <x:c r="C217" t="str">
        <x:v>2026-09-08</x:v>
      </x:c>
    </x:row>
    <x:row r="218">
      <x:c r="A218" t="str">
        <x:v>Promo cleanup</x:v>
      </x:c>
      <x:c r="B218" t="str">
        <x:v>NEW, FREE SHAKER and FREE CREATINE wording removed from canonical product/variant identity.</x:v>
      </x:c>
      <x:c r="C218" t="str">
        <x:v>2026-09-08</x:v>
      </x:c>
    </x:row>
    <x:row r="219">
      <x:c r="A219" t="str">
        <x:v>Pricing</x:v>
      </x:c>
      <x:c r="B219" t="str">
        <x:v>No login-gated Active Sports trade prices captured.</x:v>
      </x:c>
      <x:c r="C219" t="str">
        <x:v>2026-09-08</x:v>
      </x:c>
    </x:row>
    <x:row r="220">
      <x:c r="A220" t="str">
        <x:v>Data quality</x:v>
      </x:c>
      <x:c r="B220" t="str">
        <x:v>Existing exact rows skipped automatically; formula-error scan retained.</x:v>
      </x:c>
      <x:c r="C220" t="str">
        <x:v>2026-09-08</x:v>
      </x:c>
    </x:row>
    <x:row r="221">
      <x:c r="A221" t="str">
        <x:v>Per4m continuation</x:v>
      </x:c>
      <x:c r="B221" t="str">
        <x:v>Large current whey/plant continuation completed from today's Active Sports Per4m and whey-category pages.</x:v>
      </x:c>
      <x:c r="C221" t="str">
        <x:v>2026-09-08</x:v>
      </x:c>
    </x:row>
    <x:row r="222">
      <x:c r="A222" t="str">
        <x:v>Per4m Plant Protein</x:v>
      </x:c>
      <x:c r="B222" t="str">
        <x:v>2kg exact nine-flavour matrix added/reconciled using freshest current stock; Sticky Toffee Pudding currently Out.</x:v>
      </x:c>
      <x:c r="C222" t="str">
        <x:v>2026-09-08</x:v>
      </x:c>
    </x:row>
    <x:row r="223">
      <x:c r="A223" t="str">
        <x:v>Per4m Whey Hydrate</x:v>
      </x:c>
      <x:c r="B223" t="str">
        <x:v>900g exact matrix plus individual 30g sachets added/reconciled.</x:v>
      </x:c>
      <x:c r="C223" t="str">
        <x:v>2026-09-08</x:v>
      </x:c>
    </x:row>
    <x:row r="224">
      <x:c r="A224" t="str">
        <x:v>Per4m Whey sachets</x:v>
      </x:c>
      <x:c r="B224" t="str">
        <x:v>Current standard and limited-edition individual sachet flavours captured; commercial LIMITED EDITION/NEW PRICE wording stripped.</x:v>
      </x:c>
      <x:c r="C224" t="str">
        <x:v>2026-09-08</x:v>
      </x:c>
    </x:row>
    <x:row r="225">
      <x:c r="A225" t="str">
        <x:v>Per4m Whey 2kg</x:v>
      </x:c>
      <x:c r="B225" t="str">
        <x:v>Large current exact 2kg flavour matrix captured with variant-level stock; no inferred combinations.</x:v>
      </x:c>
      <x:c r="C225" t="str">
        <x:v>2026-09-08</x:v>
      </x:c>
    </x:row>
    <x:row r="226">
      <x:c r="A226" t="str">
        <x:v>Per4m Isolate Zero</x:v>
      </x:c>
      <x:c r="B226" t="str">
        <x:v>900g matrix completed with remaining current flavours/stock states.</x:v>
      </x:c>
      <x:c r="C226" t="str">
        <x:v>2026-09-08</x:v>
      </x:c>
    </x:row>
    <x:row r="227">
      <x:c r="A227" t="str">
        <x:v>Naming</x:v>
      </x:c>
      <x:c r="B227" t="str">
        <x:v>NEW/NEW PRICE wording stripped while genuine flavour identity retained.</x:v>
      </x:c>
      <x:c r="C227" t="str">
        <x:v>2026-09-08</x:v>
      </x:c>
    </x:row>
    <x:row r="228">
      <x:c r="A228" t="str">
        <x:v>Pricing</x:v>
      </x:c>
      <x:c r="B228" t="str">
        <x:v>No login-gated trade prices captured.</x:v>
      </x:c>
      <x:c r="C228" t="str">
        <x:v>2026-09-08</x:v>
      </x:c>
    </x:row>
    <x:row r="229">
      <x:c r="A229" t="str">
        <x:v>Quality</x:v>
      </x:c>
      <x:c r="B229" t="str">
        <x:v>Existing exact rows skipped automatically; formula error scan clean.</x:v>
      </x:c>
      <x:c r="C229" t="str">
        <x:v>2026-09-08</x:v>
      </x:c>
    </x:row>
    <x:row r="230">
      <x:c r="A230" t="str">
        <x:v>Per4m continuation</x:v>
      </x:c>
      <x:c r="B230" t="str">
        <x:v>Today's Per4m pages used to capture remaining flavoured creatine and continue the large Whey 900g/sachet matrices.</x:v>
      </x:c>
      <x:c r="C230" t="str">
        <x:v>2026-09-08</x:v>
      </x:c>
    </x:row>
    <x:row r="231">
      <x:c r="A231" t="str">
        <x:v>Per4m flavoured creatine</x:v>
      </x:c>
      <x:c r="B231" t="str">
        <x:v>400g exact current matrix captured: Berry Blast, Blackberry, Blue Raspberry, Cherry Fizz, Fizzy Bubblegum Bottles, Passionfruit, Peach Sweets, Rainbow Candy In; Strawberry Lime Out.</x:v>
      </x:c>
      <x:c r="C231" t="str">
        <x:v>2026-09-08</x:v>
      </x:c>
    </x:row>
    <x:row r="232">
      <x:c r="A232" t="str">
        <x:v>Per4m Creatine Sherbet</x:v>
      </x:c>
      <x:c r="B232" t="str">
        <x:v>310g Cherry Fizz currently Out of stock captured as exact listed variant.</x:v>
      </x:c>
      <x:c r="C232" t="str">
        <x:v>2026-09-08</x:v>
      </x:c>
    </x:row>
    <x:row r="233">
      <x:c r="A233" t="str">
        <x:v>Per4m Whey 900g</x:v>
      </x:c>
      <x:c r="B233" t="str">
        <x:v>Current exact 900g matrix substantially completed/reconciled with flavour-level availability.</x:v>
      </x:c>
      <x:c r="C233" t="str">
        <x:v>2026-09-08</x:v>
      </x:c>
    </x:row>
    <x:row r="234">
      <x:c r="A234" t="str">
        <x:v>Per4m sachets</x:v>
      </x:c>
      <x:c r="B234" t="str">
        <x:v>Standard 30g sachet matrix completed further from today's whey page.</x:v>
      </x:c>
      <x:c r="C234" t="str">
        <x:v>2026-09-08</x:v>
      </x:c>
    </x:row>
    <x:row r="235">
      <x:c r="A235" t="str">
        <x:v>Per4m display</x:v>
      </x:c>
      <x:c r="B235" t="str">
        <x:v>100x30g limited-edition pre-built display recorded as one fixed display/case product rather than inventing 100 separate variants.</x:v>
      </x:c>
      <x:c r="C235" t="str">
        <x:v>2026-09-08</x:v>
      </x:c>
    </x:row>
    <x:row r="236">
      <x:c r="A236" t="str">
        <x:v>Promo cleanup</x:v>
      </x:c>
      <x:c r="B236" t="str">
        <x:v>SPECIAL OFFER, BUY 4 GET 1 FREE, NEW PRICE and NEW commercial wording excluded from canonical identity.</x:v>
      </x:c>
      <x:c r="C236" t="str">
        <x:v>2026-09-08</x:v>
      </x:c>
    </x:row>
    <x:row r="237">
      <x:c r="A237" t="str">
        <x:v>Pricing</x:v>
      </x:c>
      <x:c r="B237" t="str">
        <x:v>No login-gated supplier prices captured.</x:v>
      </x:c>
      <x:c r="C237" t="str">
        <x:v>2026-09-08</x:v>
      </x:c>
    </x:row>
    <x:row r="238">
      <x:c r="A238" t="str">
        <x:v>Quality</x:v>
      </x:c>
      <x:c r="B238" t="str">
        <x:v>Existing exact keys skipped; formula error scan clean.</x:v>
      </x:c>
      <x:c r="C238" t="str">
        <x:v>2026-09-08</x:v>
      </x:c>
    </x:row>
    <x:row r="239">
      <x:c r="A239" t="str">
        <x:v>Applied Nutrition continuation</x:v>
      </x:c>
      <x:c r="B239" t="str">
        <x:v>Current Active Sports carb/diet/whey category pages used to fill exact Applied Nutrition gaps.</x:v>
      </x:c>
      <x:c r="C239" t="str">
        <x:v>2026-09-08</x:v>
      </x:c>
    </x:row>
    <x:row r="240">
      <x:c r="A240" t="str">
        <x:v>Applied Carb X</x:v>
      </x:c>
      <x:c r="B240" t="str">
        <x:v>1.2kg current exact flavour matrix captured; supplier free-item and NEW wording stripped.</x:v>
      </x:c>
      <x:c r="C240" t="str">
        <x:v>2026-09-08</x:v>
      </x:c>
    </x:row>
    <x:row r="241">
      <x:c r="A241" t="str">
        <x:v>Applied Cream of Rice</x:v>
      </x:c>
      <x:c r="B241" t="str">
        <x:v>1kg and 2kg exact flavour matrices captured with separate live stock states.</x:v>
      </x:c>
      <x:c r="C241" t="str">
        <x:v>2026-09-08</x:v>
      </x:c>
    </x:row>
    <x:row r="242">
      <x:c r="A242" t="str">
        <x:v>Applied Critical Oats</x:v>
      </x:c>
      <x:c r="B242" t="str">
        <x:v>600g exact four-flavour matrix captured.</x:v>
      </x:c>
      <x:c r="C242" t="str">
        <x:v>2026-09-08</x:v>
      </x:c>
    </x:row>
    <x:row r="243">
      <x:c r="A243" t="str">
        <x:v>Applied Endurance</x:v>
      </x:c>
      <x:c r="B243" t="str">
        <x:v>1.5kg Energy + Electrolytes and 20-gel Elite Performance variants captured.</x:v>
      </x:c>
      <x:c r="C243" t="str">
        <x:v>2026-09-08</x:v>
      </x:c>
    </x:row>
    <x:row r="244">
      <x:c r="A244" t="str">
        <x:v>Applied Diet Whey</x:v>
      </x:c>
      <x:c r="B244" t="str">
        <x:v>1kg current Banana Milkshake, Chocolate Dessert and Strawberry Milkshake variants captured.</x:v>
      </x:c>
      <x:c r="C244" t="str">
        <x:v>2026-09-08</x:v>
      </x:c>
    </x:row>
    <x:row r="245">
      <x:c r="A245" t="str">
        <x:v>Applied Clear Whey</x:v>
      </x:c>
      <x:c r="B245" t="str">
        <x:v>Current visible 875g exact variants added/reconciled; more remain for later page reconciliation.</x:v>
      </x:c>
      <x:c r="C245" t="str">
        <x:v>2026-09-08</x:v>
      </x:c>
    </x:row>
    <x:row r="246">
      <x:c r="A246" t="str">
        <x:v>UFIT/WOW</x:v>
      </x:c>
      <x:c r="B246" t="str">
        <x:v>Current ready-to-drink case variants reconciled; supplier pallet/VAT/promotional wording stripped.</x:v>
      </x:c>
      <x:c r="C246" t="str">
        <x:v>2026-09-08</x:v>
      </x:c>
    </x:row>
    <x:row r="247">
      <x:c r="A247" t="str">
        <x:v>USN</x:v>
      </x:c>
      <x:c r="B247" t="str">
        <x:v>Trust Crunch 12x60g exact flavour stock captured from today's protein-bars page.</x:v>
      </x:c>
      <x:c r="C247" t="str">
        <x:v>2026-09-08</x:v>
      </x:c>
    </x:row>
    <x:row r="248">
      <x:c r="A248" t="str">
        <x:v>Quality</x:v>
      </x:c>
      <x:c r="B248" t="str">
        <x:v>No login-gated supplier pricing captured; exact rows skipped; no inferred variant combinations.</x:v>
      </x:c>
      <x:c r="C248" t="str">
        <x:v>2026-09-08</x:v>
      </x:c>
    </x:row>
    <x:row r="249">
      <x:c r="A249" t="str">
        <x:v>Refined Nutrition expansion</x:v>
      </x:c>
      <x:c r="B249" t="str">
        <x:v>Current Active Sports Refined Nutrition brand page crawled today and used for a broad exact-product reconciliation.</x:v>
      </x:c>
      <x:c r="C249" t="str">
        <x:v>2026-09-08</x:v>
      </x:c>
    </x:row>
    <x:row r="250">
      <x:c r="A250" t="str">
        <x:v>Refined core powders</x:v>
      </x:c>
      <x:c r="B250" t="str">
        <x:v>Cream of Rice, Creatine Complex, Force, Pump, Ultra Beef, Ultra EAA, Ultra L-Carnitine, Ultra Meal and Ultra Whey captured/reconciled exact variant-by-variant.</x:v>
      </x:c>
      <x:c r="C250" t="str">
        <x:v>2026-09-08</x:v>
      </x:c>
    </x:row>
    <x:row r="251">
      <x:c r="A251" t="str">
        <x:v>Refined health lines</x:v>
      </x:c>
      <x:c r="B251" t="str">
        <x:v>Current single-SKU health/vitamin products captured with live supplier availability.</x:v>
      </x:c>
      <x:c r="C251" t="str">
        <x:v>2026-09-08</x:v>
      </x:c>
    </x:row>
    <x:row r="252">
      <x:c r="A252" t="str">
        <x:v>Refined duplicate handling</x:v>
      </x:c>
      <x:c r="B252" t="str">
        <x:v>Duplicate supplier Caramel Biscuit Ultra Whey line collapsed to one canonical exact variant.</x:v>
      </x:c>
      <x:c r="C252" t="str">
        <x:v>2026-09-08</x:v>
      </x:c>
    </x:row>
    <x:row r="253">
      <x:c r="A253" t="str">
        <x:v>Applied continuation</x:v>
      </x:c>
      <x:c r="B253" t="str">
        <x:v>Current Applied Nutrition brand/convenience pages used for Casein, ABE gels/pump/sachets/cans, Creatine + Hydration, Creatine Monohydrate and Critical Plant Protein gaps.</x:v>
      </x:c>
      <x:c r="C253" t="str">
        <x:v>2026-09-08</x:v>
      </x:c>
    </x:row>
    <x:row r="254">
      <x:c r="A254" t="str">
        <x:v>Applied RTD cases</x:v>
      </x:c>
      <x:c r="B254" t="str">
        <x:v>ABE 12x330ml cans preserved as case-only supplier-orderable variants.</x:v>
      </x:c>
      <x:c r="C254" t="str">
        <x:v>2026-09-08</x:v>
      </x:c>
    </x:row>
    <x:row r="255">
      <x:c r="A255" t="str">
        <x:v>Applied promo cleanup</x:v>
      </x:c>
      <x:c r="B255" t="str">
        <x:v>FREE AMINO FUEL, FREE T-SHIRT/SHAKER, FREE LIFESTYLE WATER BOTTLE, PALLET PROMO and NEW wording stripped from canonical identity.</x:v>
      </x:c>
      <x:c r="C255" t="str">
        <x:v>2026-09-08</x:v>
      </x:c>
    </x:row>
    <x:row r="256">
      <x:c r="A256" t="str">
        <x:v>Supplier prices</x:v>
      </x:c>
      <x:c r="B256" t="str">
        <x:v>No login-gated trade prices captured.</x:v>
      </x:c>
      <x:c r="C256" t="str">
        <x:v>2026-09-08</x:v>
      </x:c>
    </x:row>
    <x:row r="257">
      <x:c r="A257" t="str">
        <x:v>Variant integrity</x:v>
      </x:c>
      <x:c r="B257" t="str">
        <x:v>No size/flavour Cartesian combinations invented; only exact listed variants recorded.</x:v>
      </x:c>
      <x:c r="C257" t="str">
        <x:v>2026-09-08</x:v>
      </x:c>
    </x:row>
    <x:row r="258">
      <x:c r="A258" t="str">
        <x:v>Availability</x:v>
      </x:c>
      <x:c r="B258" t="str">
        <x:v>Supplier page stock retained at exact variant/SKU family level.</x:v>
      </x:c>
      <x:c r="C258" t="str">
        <x:v>2026-09-08</x:v>
      </x:c>
    </x:row>
    <x:row r="259">
      <x:c r="A259" t="str">
        <x:v>Quality</x:v>
      </x:c>
      <x:c r="B259" t="str">
        <x:v>Existing exact-key rows skipped automatically; formula-error scan clean.</x:v>
      </x:c>
      <x:c r="C259" t="str">
        <x:v>2026-09-08</x:v>
      </x:c>
    </x:row>
    <x:row r="260">
      <x:c r="A260" t="str">
        <x:v>USN continuation</x:v>
      </x:c>
      <x:c r="B260" t="str">
        <x:v>Fresh USN brand page used for Diet Fuel, Hyperbolic Mass, Muscle Fuel Anabolic, Protein Fuel RTD and Shaker reconciliation.</x:v>
      </x:c>
      <x:c r="C260" t="str">
        <x:v>2026-09-08</x:v>
      </x:c>
    </x:row>
    <x:row r="261">
      <x:c r="A261" t="str">
        <x:v>USN freshness</x:v>
      </x:c>
      <x:c r="B261" t="str">
        <x:v>USN brand page crawl is newer than older category pages; current brand-page stock preferred where conflicting.</x:v>
      </x:c>
      <x:c r="C261" t="str">
        <x:v>2026-09-08</x:v>
      </x:c>
    </x:row>
    <x:row r="262">
      <x:c r="A262" t="str">
        <x:v>USN Protein Fuel</x:v>
      </x:c>
      <x:c r="B262" t="str">
        <x:v>6x500ml BB 23/10/26 cases are still future-dated as of extraction date; dated suffix removed from canonical flavour but noted as supplier condition.</x:v>
      </x:c>
      <x:c r="C262" t="str">
        <x:v>2026-09-08</x:v>
      </x:c>
    </x:row>
    <x:row r="263">
      <x:c r="A263" t="str">
        <x:v>USN case ordering</x:v>
      </x:c>
      <x:c r="B263" t="str">
        <x:v>Protein Fuel RTD remains case-only for supplier member ordering.</x:v>
      </x:c>
      <x:c r="C263" t="str">
        <x:v>2026-09-08</x:v>
      </x:c>
    </x:row>
    <x:row r="264">
      <x:c r="A264" t="str">
        <x:v>Applied Critical Whey</x:v>
      </x:c>
      <x:c r="B264" t="str">
        <x:v>Current 33g sachet, 825g and 2kg exact matrices added/reconciled from current Active Sports pages.</x:v>
      </x:c>
      <x:c r="C264" t="str">
        <x:v>2026-09-08</x:v>
      </x:c>
    </x:row>
    <x:row r="265">
      <x:c r="A265" t="str">
        <x:v>Applied dated clearance</x:v>
      </x:c>
      <x:c r="B265" t="str">
        <x:v>Critical Whey 2kg Drumstick Raspberry Milk BB 04-2026 excluded from normal current matrix because date has passed; do not present as ordinary orderable stock.</x:v>
      </x:c>
      <x:c r="C265" t="str">
        <x:v>2026-09-08</x:v>
      </x:c>
    </x:row>
    <x:row r="266">
      <x:c r="A266" t="str">
        <x:v>Applied Diet Whey</x:v>
      </x:c>
      <x:c r="B266" t="str">
        <x:v>1.8kg exact matrix added and missing 1kg Vanilla Cream completed.</x:v>
      </x:c>
      <x:c r="C266" t="str">
        <x:v>2026-09-08</x:v>
      </x:c>
    </x:row>
    <x:row r="267">
      <x:c r="A267" t="str">
        <x:v>Promo cleanup</x:v>
      </x:c>
      <x:c r="B267" t="str">
        <x:v>SPECIAL OFFER and supplier free-item wording stripped from canonical product identity.</x:v>
      </x:c>
      <x:c r="C267" t="str">
        <x:v>2026-09-08</x:v>
      </x:c>
    </x:row>
    <x:row r="268">
      <x:c r="A268" t="str">
        <x:v>Pricing</x:v>
      </x:c>
      <x:c r="B268" t="str">
        <x:v>No login-gated trade prices captured.</x:v>
      </x:c>
      <x:c r="C268" t="str">
        <x:v>2026-09-08</x:v>
      </x:c>
    </x:row>
    <x:row r="269">
      <x:c r="A269" t="str">
        <x:v>Quality</x:v>
      </x:c>
      <x:c r="B269" t="str">
        <x:v>Existing exact keys skipped; no inferred combinations; formula error scan clean.</x:v>
      </x:c>
      <x:c r="C269" t="str">
        <x:v>2026-09-08</x:v>
      </x:c>
    </x:row>
    <x:row r="270">
      <x:c r="A270" t="str">
        <x:v>Applied continuation</x:v>
      </x:c>
      <x:c r="B270" t="str">
        <x:v>Current Active Sports Applied Nutrition and whey pages used for Clear Whey completion, Beef-XP, ISO-XP and Coleen Rooney range.</x:v>
      </x:c>
      <x:c r="C270" t="str">
        <x:v>2026-09-08</x:v>
      </x:c>
    </x:row>
    <x:row r="271">
      <x:c r="A271" t="str">
        <x:v>Applied Clear Whey</x:v>
      </x:c>
      <x:c r="B271" t="str">
        <x:v>875g current matrix completed with Strawberry &amp; Lime, Strawberry &amp; Raspberry, Twirler Ice Cream and Watermelon states.</x:v>
      </x:c>
      <x:c r="C271" t="str">
        <x:v>2026-09-08</x:v>
      </x:c>
    </x:row>
    <x:row r="272">
      <x:c r="A272" t="str">
        <x:v>Applied Beef-XP</x:v>
      </x:c>
      <x:c r="B272" t="str">
        <x:v>1.8kg exact 11-flavour clear beef protein matrix captured; supplier freebies stripped.</x:v>
      </x:c>
      <x:c r="C272" t="str">
        <x:v>2026-09-08</x:v>
      </x:c>
    </x:row>
    <x:row r="273">
      <x:c r="A273" t="str">
        <x:v>Applied ISO-XP</x:v>
      </x:c>
      <x:c r="B273" t="str">
        <x:v>Current 1.8kg and 1kg matrices captured; 850g current visible variants started for later reconciliation.</x:v>
      </x:c>
      <x:c r="C273" t="str">
        <x:v>2026-09-08</x:v>
      </x:c>
    </x:row>
    <x:row r="274">
      <x:c r="A274" t="str">
        <x:v>Applied Coleen Rooney</x:v>
      </x:c>
      <x:c r="B274" t="str">
        <x:v>Debloat, Hydration and Immunity stick-box lines captured from current supplier listing.</x:v>
      </x:c>
      <x:c r="C274" t="str">
        <x:v>2026-09-08</x:v>
      </x:c>
    </x:row>
    <x:row r="275">
      <x:c r="A275" t="str">
        <x:v>Supplement Needs continuation</x:v>
      </x:c>
      <x:c r="B275" t="str">
        <x:v>Current supplier page used to fill remaining health/performance lines and PRE Pump+/Pre Stim+/Pre Stim PRO/Prot3in Fusion.</x:v>
      </x:c>
      <x:c r="C275" t="str">
        <x:v>2026-09-08</x:v>
      </x:c>
    </x:row>
    <x:row r="276">
      <x:c r="A276" t="str">
        <x:v>Supplement Needs naming</x:v>
      </x:c>
      <x:c r="B276" t="str">
        <x:v>Former-name marketing retained only where useful in source notes, not duplicated as separate canonical products.</x:v>
      </x:c>
      <x:c r="C276" t="str">
        <x:v>2026-09-08</x:v>
      </x:c>
    </x:row>
    <x:row r="277">
      <x:c r="A277" t="str">
        <x:v>Stock</x:v>
      </x:c>
      <x:c r="B277" t="str">
        <x:v>Exact current supplier stock states retained where variant-level options exist.</x:v>
      </x:c>
      <x:c r="C277" t="str">
        <x:v>2026-09-08</x:v>
      </x:c>
    </x:row>
    <x:row r="278">
      <x:c r="A278" t="str">
        <x:v>Pricing</x:v>
      </x:c>
      <x:c r="B278" t="str">
        <x:v>No login-gated supplier prices captured.</x:v>
      </x:c>
      <x:c r="C278" t="str">
        <x:v>2026-09-08</x:v>
      </x:c>
    </x:row>
    <x:row r="279">
      <x:c r="A279" t="str">
        <x:v>Variant integrity</x:v>
      </x:c>
      <x:c r="B279" t="str">
        <x:v>No inferred flavour/size combinations created.</x:v>
      </x:c>
      <x:c r="C279" t="str">
        <x:v>2026-09-08</x:v>
      </x:c>
    </x:row>
    <x:row r="280">
      <x:c r="A280" t="str">
        <x:v>Quality</x:v>
      </x:c>
      <x:c r="B280" t="str">
        <x:v>Existing exact keys skipped; formula error scan clean.</x:v>
      </x:c>
      <x:c r="C280" t="str">
        <x:v>2026-09-08</x:v>
      </x:c>
    </x:row>
    <x:row r="281">
      <x:c r="A281" t="str">
        <x:v>Trained By JP reconciliation</x:v>
      </x:c>
      <x:c r="B281" t="str">
        <x:v>Fresh Active Sports TBJP brand/whey pages used to close major remaining exact matrices.</x:v>
      </x:c>
      <x:c r="C281" t="str">
        <x:v>2026-09-08</x:v>
      </x:c>
    </x:row>
    <x:row r="282">
      <x:c r="A282" t="str">
        <x:v>TBJP IsoPro 1kg</x:v>
      </x:c>
      <x:c r="B282" t="str">
        <x:v>Full current 13-flavour matrix captured/reconciled with exact stock states.</x:v>
      </x:c>
      <x:c r="C282" t="str">
        <x:v>2026-09-08</x:v>
      </x:c>
    </x:row>
    <x:row r="283">
      <x:c r="A283" t="str">
        <x:v>TBJP Performance Isolate</x:v>
      </x:c>
      <x:c r="B283" t="str">
        <x:v>Current 1kg and 2kg exact flavour matrices captured/reconciled; no cross-size flavour inference.</x:v>
      </x:c>
      <x:c r="C283" t="str">
        <x:v>2026-09-08</x:v>
      </x:c>
    </x:row>
    <x:row r="284">
      <x:c r="A284" t="str">
        <x:v>TBJP Vegan Protein</x:v>
      </x:c>
      <x:c r="B284" t="str">
        <x:v>2kg exact five-flavour current matrix captured.</x:v>
      </x:c>
      <x:c r="C284" t="str">
        <x:v>2026-09-08</x:v>
      </x:c>
    </x:row>
    <x:row r="285">
      <x:c r="A285" t="str">
        <x:v>TBJP EAA + Hydration</x:v>
      </x:c>
      <x:c r="B285" t="str">
        <x:v>300g/30-serving current five-flavour matrix completed.</x:v>
      </x:c>
      <x:c r="C285" t="str">
        <x:v>2026-09-08</x:v>
      </x:c>
    </x:row>
    <x:row r="286">
      <x:c r="A286" t="str">
        <x:v>TBJP Join In</x:v>
      </x:c>
      <x:c r="B286" t="str">
        <x:v>Current Cherry, Fruit Punch and Raspberry variants captured; NEW FORMULA wording stripped.</x:v>
      </x:c>
      <x:c r="C286" t="str">
        <x:v>2026-09-08</x:v>
      </x:c>
    </x:row>
    <x:row r="287">
      <x:c r="A287" t="str">
        <x:v>TBJP health lines</x:v>
      </x:c>
      <x:c r="B287" t="str">
        <x:v>Estro Control, Glutamine sizes, Love Heart, Magnesium, Omega 3-6-9 and Osteo Pro captured/reconciled.</x:v>
      </x:c>
      <x:c r="C287" t="str">
        <x:v>2026-09-08</x:v>
      </x:c>
    </x:row>
    <x:row r="288">
      <x:c r="A288" t="str">
        <x:v>Supplier spelling</x:v>
      </x:c>
      <x:c r="B288" t="str">
        <x:v>Performance Isolate 1kg supplier currently shows 'Mlated Chocolate'; preserved as source-listed pending identity reconciliation.</x:v>
      </x:c>
      <x:c r="C288" t="str">
        <x:v>2026-09-08</x:v>
      </x:c>
    </x:row>
    <x:row r="289">
      <x:c r="A289" t="str">
        <x:v>Pricing</x:v>
      </x:c>
      <x:c r="B289" t="str">
        <x:v>No login-gated supplier pricing captured.</x:v>
      </x:c>
      <x:c r="C289" t="str">
        <x:v>2026-09-08</x:v>
      </x:c>
    </x:row>
    <x:row r="290">
      <x:c r="A290" t="str">
        <x:v>Quality</x:v>
      </x:c>
      <x:c r="B290" t="str">
        <x:v>Existing exact keys skipped; formula-error scan clean.</x:v>
      </x:c>
      <x:c r="C290" t="str">
        <x:v>2026-09-08</x:v>
      </x:c>
    </x:row>
    <x:row r="291">
      <x:c r="A291" t="str">
        <x:v>TBJP closure continuation</x:v>
      </x:c>
      <x:c r="B291" t="str">
        <x:v>Fresh TBJP/Carb/Whey pages used to close more major current catalogue gaps.</x:v>
      </x:c>
      <x:c r="C291" t="str">
        <x:v>2026-09-08</x:v>
      </x:c>
    </x:row>
    <x:row r="292">
      <x:c r="A292" t="str">
        <x:v>TBJP Clear ISO</x:v>
      </x:c>
      <x:c r="B292" t="str">
        <x:v>900g four-flavour current matrix captured; all currently Out of stock.</x:v>
      </x:c>
      <x:c r="C292" t="str">
        <x:v>2026-09-08</x:v>
      </x:c>
    </x:row>
    <x:row r="293">
      <x:c r="A293" t="str">
        <x:v>TBJP Cream of Rice</x:v>
      </x:c>
      <x:c r="B293" t="str">
        <x:v>2kg visible 21-flavour matrix captured/reconciled from today's Carb Powders page.</x:v>
      </x:c>
      <x:c r="C293" t="str">
        <x:v>2026-09-08</x:v>
      </x:c>
    </x:row>
    <x:row r="294">
      <x:c r="A294" t="str">
        <x:v>TBJP Oats So Creamy</x:v>
      </x:c>
      <x:c r="B294" t="str">
        <x:v>2kg five-flavour current matrix captured.</x:v>
      </x:c>
      <x:c r="C294" t="str">
        <x:v>2026-09-08</x:v>
      </x:c>
    </x:row>
    <x:row r="295">
      <x:c r="A295" t="str">
        <x:v>TBJP Performance Fuel</x:v>
      </x:c>
      <x:c r="B295" t="str">
        <x:v>1kg/40-serving three-flavour current matrix captured; 10% promo wording stripped.</x:v>
      </x:c>
      <x:c r="C295" t="str">
        <x:v>2026-09-08</x:v>
      </x:c>
    </x:row>
    <x:row r="296">
      <x:c r="A296" t="str">
        <x:v>TBJP Performance Protein</x:v>
      </x:c>
      <x:c r="B296" t="str">
        <x:v>2kg current visible 29-flavour matrix captured/reconciled.</x:v>
      </x:c>
      <x:c r="C296" t="str">
        <x:v>2026-09-08</x:v>
      </x:c>
    </x:row>
    <x:row r="297">
      <x:c r="A297" t="str">
        <x:v>TBJP health/support</x:v>
      </x:c>
      <x:c r="B297" t="str">
        <x:v>Heart Care, In Sure, Iron, Natural Progress, NMN, omega lines, Vital Support, Vit-C and Zinc/Mag/B6 captured.</x:v>
      </x:c>
      <x:c r="C297" t="str">
        <x:v>2026-09-08</x:v>
      </x:c>
    </x:row>
    <x:row r="298">
      <x:c r="A298" t="str">
        <x:v>TBJP Veggie Might PRO</x:v>
      </x:c>
      <x:c r="B298" t="str">
        <x:v>Chocolate and Mango Blast 30-serving variants captured.</x:v>
      </x:c>
      <x:c r="C298" t="str">
        <x:v>2026-09-08</x:v>
      </x:c>
    </x:row>
    <x:row r="299">
      <x:c r="A299" t="str">
        <x:v>Stock freshness</x:v>
      </x:c>
      <x:c r="B299" t="str">
        <x:v>Supplement Needs Electrolyte+ Blackcurrant Burst updated to Out of stock from today's hydration page.</x:v>
      </x:c>
      <x:c r="C299" t="str">
        <x:v>2026-09-08</x:v>
      </x:c>
    </x:row>
    <x:row r="300">
      <x:c r="A300" t="str">
        <x:v>Pricing</x:v>
      </x:c>
      <x:c r="B300" t="str">
        <x:v>No login-gated supplier pricing captured.</x:v>
      </x:c>
      <x:c r="C300" t="str">
        <x:v>2026-09-08</x:v>
      </x:c>
    </x:row>
    <x:row r="301">
      <x:c r="A301" t="str">
        <x:v>Quality</x:v>
      </x:c>
      <x:c r="B301" t="str">
        <x:v>No inferred variant combinations; exact-key duplicate skip; formula-error scan clean.</x:v>
      </x:c>
      <x:c r="C301" t="str">
        <x:v>2026-09-08</x:v>
      </x:c>
    </x:row>
    <x:row r="302">
      <x:c r="A302" t="str">
        <x:v>TBJP Performance Protein 1kg</x:v>
      </x:c>
      <x:c r="B302" t="str">
        <x:v>Fresh whey page used to capture/reconcile full current visible 1kg matrix independently from 2kg.</x:v>
      </x:c>
      <x:c r="C302" t="str">
        <x:v>2026-09-08</x:v>
      </x:c>
    </x:row>
    <x:row r="303">
      <x:c r="A303" t="str">
        <x:v>TBJP intra closure</x:v>
      </x:c>
      <x:c r="B303" t="str">
        <x:v>MPS Max four flavours and Sustain two flavours captured from current Intra Workout page.</x:v>
      </x:c>
      <x:c r="C303" t="str">
        <x:v>2026-09-08</x:v>
      </x:c>
    </x:row>
    <x:row r="304">
      <x:c r="A304" t="str">
        <x:v>TBJP Sustain cleanup</x:v>
      </x:c>
      <x:c r="B304" t="str">
        <x:v>+10 servings FREE supplier promotion stripped; canonical product kept at base 50-serving identity.</x:v>
      </x:c>
      <x:c r="C304" t="str">
        <x:v>2026-09-08</x:v>
      </x:c>
    </x:row>
    <x:row r="305">
      <x:c r="A305" t="str">
        <x:v>Per4m Creatine Sherbet</x:v>
      </x:c>
      <x:c r="B305" t="str">
        <x:v>Current 310g matrix completed with Fizzy Bubblegum Bottles, Original, Peach Sweets and Rainbow Candy alongside existing Cherry Fizz.</x:v>
      </x:c>
      <x:c r="C305" t="str">
        <x:v>2026-09-08</x:v>
      </x:c>
    </x:row>
    <x:row r="306">
      <x:c r="A306" t="str">
        <x:v>Applied Hydration+</x:v>
      </x:c>
      <x:c r="B306" t="str">
        <x:v>240g four-flavour current matrix captured; expired BBE 07/26 promo duplicate excluded from normal current variants.</x:v>
      </x:c>
      <x:c r="C306" t="str">
        <x:v>2026-09-08</x:v>
      </x:c>
    </x:row>
    <x:row r="307">
      <x:c r="A307" t="str">
        <x:v>Applied Hydration Sticks</x:v>
      </x:c>
      <x:c r="B307" t="str">
        <x:v>7x8g current hydration-stick family captured as box supplier-order unit.</x:v>
      </x:c>
      <x:c r="C307" t="str">
        <x:v>2026-09-08</x:v>
      </x:c>
    </x:row>
    <x:row r="308">
      <x:c r="A308" t="str">
        <x:v>Pricing</x:v>
      </x:c>
      <x:c r="B308" t="str">
        <x:v>No login-gated supplier pricing captured.</x:v>
      </x:c>
      <x:c r="C308" t="str">
        <x:v>2026-09-08</x:v>
      </x:c>
    </x:row>
    <x:row r="309">
      <x:c r="A309" t="str">
        <x:v>Variant integrity</x:v>
      </x:c>
      <x:c r="B309" t="str">
        <x:v>No size/flavour Cartesian generation; exact current listed variants only.</x:v>
      </x:c>
      <x:c r="C309" t="str">
        <x:v>2026-09-08</x:v>
      </x:c>
    </x:row>
    <x:row r="310">
      <x:c r="A310" t="str">
        <x:v>Quality</x:v>
      </x:c>
      <x:c r="B310" t="str">
        <x:v>Exact-key duplicate skip; formula-error scan clean.</x:v>
      </x:c>
      <x:c r="C310" t="str">
        <x:v>2026-09-08</x:v>
      </x:c>
    </x:row>
    <x:row r="311">
      <x:c r="A311" t="str">
        <x:v>Applied RTD closure</x:v>
      </x:c>
      <x:c r="B311" t="str">
        <x:v>Fresh ready-to-drink page used to add NA11, Beef XP RTD, High Protein Shake RTD, Protein Shots and Sparkling Protein Water families.</x:v>
      </x:c>
      <x:c r="C311" t="str">
        <x:v>2026-09-08</x:v>
      </x:c>
    </x:row>
    <x:row r="312">
      <x:c r="A312" t="str">
        <x:v>Applied RTD case rules</x:v>
      </x:c>
      <x:c r="B312" t="str">
        <x:v>Supplier bottled/canned/shots families preserved as exact case-only order units.</x:v>
      </x:c>
      <x:c r="C312" t="str">
        <x:v>2026-09-08</x:v>
      </x:c>
    </x:row>
    <x:row r="313">
      <x:c r="A313" t="str">
        <x:v>Applied NA11</x:v>
      </x:c>
      <x:c r="B313" t="str">
        <x:v>12x300ml Citrus Twist, Frozen Berries, Lime &amp; Cucumber and Orange &amp; Strawberry captured from today's hydration page.</x:v>
      </x:c>
      <x:c r="C313" t="str">
        <x:v>2026-09-08</x:v>
      </x:c>
    </x:row>
    <x:row r="314">
      <x:c r="A314" t="str">
        <x:v>Applied Beef XP RTD</x:v>
      </x:c>
      <x:c r="B314" t="str">
        <x:v>12x500ml four-flavour current matrix captured.</x:v>
      </x:c>
      <x:c r="C314" t="str">
        <x:v>2026-09-08</x:v>
      </x:c>
    </x:row>
    <x:row r="315">
      <x:c r="A315" t="str">
        <x:v>Applied High Protein Shake</x:v>
      </x:c>
      <x:c r="B315" t="str">
        <x:v>8x330ml and 8x500ml current matrices captured independently with exact stock states.</x:v>
      </x:c>
      <x:c r="C315" t="str">
        <x:v>2026-09-08</x:v>
      </x:c>
    </x:row>
    <x:row r="316">
      <x:c r="A316" t="str">
        <x:v>Applied Protein Shots</x:v>
      </x:c>
      <x:c r="B316" t="str">
        <x:v>12x100ml Blue Raspberry, Lemon &amp; Lime and Orange captured.</x:v>
      </x:c>
      <x:c r="C316" t="str">
        <x:v>2026-09-08</x:v>
      </x:c>
    </x:row>
    <x:row r="317">
      <x:c r="A317" t="str">
        <x:v>Applied Sparkling Protein Water</x:v>
      </x:c>
      <x:c r="B317" t="str">
        <x:v>12x330ml Apple Burst, Cherry, Orange Burst and Tropical Burst captured.</x:v>
      </x:c>
      <x:c r="C317" t="str">
        <x:v>2026-09-08</x:v>
      </x:c>
    </x:row>
    <x:row r="318">
      <x:c r="A318" t="str">
        <x:v>Applied creatine gaps</x:v>
      </x:c>
      <x:c r="B318" t="str">
        <x:v>Creatine HCL Caps 180 and Creatine Monohydrate Effervescent 6x16 tablets added.</x:v>
      </x:c>
      <x:c r="C318" t="str">
        <x:v>2026-09-08</x:v>
      </x:c>
    </x:row>
    <x:row r="319">
      <x:c r="A319" t="str">
        <x:v>Applied health/intra gaps</x:v>
      </x:c>
      <x:c r="B319" t="str">
        <x:v>Critical Greens and Endurance Hydration Electrolyte Tablets added from current pages.</x:v>
      </x:c>
      <x:c r="C319" t="str">
        <x:v>2026-09-08</x:v>
      </x:c>
    </x:row>
    <x:row r="320">
      <x:c r="A320" t="str">
        <x:v>Applied bars closure</x:v>
      </x:c>
      <x:c r="B320" t="str">
        <x:v>Diet Protein Bar, Protein Crunch Bar and Protein Wafer exact current case matrices added.</x:v>
      </x:c>
      <x:c r="C320" t="str">
        <x:v>2026-09-08</x:v>
      </x:c>
    </x:row>
    <x:row r="321">
      <x:c r="A321" t="str">
        <x:v>Applied AAKG</x:v>
      </x:c>
      <x:c r="B321" t="str">
        <x:v>AAKG Powder 300g current listing added.</x:v>
      </x:c>
      <x:c r="C321" t="str">
        <x:v>2026-09-08</x:v>
      </x:c>
    </x:row>
    <x:row r="322">
      <x:c r="A322" t="str">
        <x:v>Pricing</x:v>
      </x:c>
      <x:c r="B322" t="str">
        <x:v>No login-gated supplier prices captured.</x:v>
      </x:c>
      <x:c r="C322" t="str">
        <x:v>2026-09-08</x:v>
      </x:c>
    </x:row>
    <x:row r="323">
      <x:c r="A323" t="str">
        <x:v>Quality</x:v>
      </x:c>
      <x:c r="B323" t="str">
        <x:v>No inferred variants; promo wording stripped; formula-error scan clean.</x:v>
      </x:c>
      <x:c r="C323" t="str">
        <x:v>2026-09-08</x:v>
      </x:c>
    </x:row>
    <x:row r="324">
      <x:c r="A324" t="str">
        <x:v>RTD energy sweep</x:v>
      </x:c>
      <x:c r="B324" t="str">
        <x:v>Fresh Ready-to-Drink Energy page used to close current Applied Nutrition/C4 gaps.</x:v>
      </x:c>
      <x:c r="C324" t="str">
        <x:v>2026-09-08</x:v>
      </x:c>
    </x:row>
    <x:row r="325">
      <x:c r="A325" t="str">
        <x:v>Applied Body Fuel cans</x:v>
      </x:c>
      <x:c r="B325" t="str">
        <x:v>12x330ml Blue Raspberry, Lemonade and Orange captured; case-only.</x:v>
      </x:c>
      <x:c r="C325" t="str">
        <x:v>2026-09-08</x:v>
      </x:c>
    </x:row>
    <x:row r="326">
      <x:c r="A326" t="str">
        <x:v>Applied Body Fuel shots</x:v>
      </x:c>
      <x:c r="B326" t="str">
        <x:v>Berry Blast and Blue Raspberry retained as current normal variants; expired BB 23/03/26 Orange excluded from normal orderable matrix.</x:v>
      </x:c>
      <x:c r="C326" t="str">
        <x:v>2026-09-08</x:v>
      </x:c>
    </x:row>
    <x:row r="327">
      <x:c r="A327" t="str">
        <x:v>Applied Velocity gels</x:v>
      </x:c>
      <x:c r="B327" t="str">
        <x:v>Caffeine-free 20-gel seven-flavour matrix captured; NEW wording stripped from Vimto.</x:v>
      </x:c>
      <x:c r="C327" t="str">
        <x:v>2026-09-08</x:v>
      </x:c>
    </x:row>
    <x:row r="328">
      <x:c r="A328" t="str">
        <x:v>Applied Velocity Sprint</x:v>
      </x:c>
      <x:c r="B328" t="str">
        <x:v>Caffeinated 20-gel five-flavour matrix captured.</x:v>
      </x:c>
      <x:c r="C328" t="str">
        <x:v>2026-09-08</x:v>
      </x:c>
    </x:row>
    <x:row r="329">
      <x:c r="A329" t="str">
        <x:v>Applied L-Carnitine shots</x:v>
      </x:c>
      <x:c r="B329" t="str">
        <x:v>Three Slush Puppie 12x60ml variants captured; case-only.</x:v>
      </x:c>
      <x:c r="C329" t="str">
        <x:v>2026-09-08</x:v>
      </x:c>
    </x:row>
    <x:row r="330">
      <x:c r="A330" t="str">
        <x:v>C4 Energy core flavours</x:v>
      </x:c>
      <x:c r="B330" t="str">
        <x:v>Five current 12x500ml core flavours added alongside existing Millions/Twister variants.</x:v>
      </x:c>
      <x:c r="C330" t="str">
        <x:v>2026-09-08</x:v>
      </x:c>
    </x:row>
    <x:row r="331">
      <x:c r="A331" t="str">
        <x:v>C4 Smart Energy</x:v>
      </x:c>
      <x:c r="B331" t="str">
        <x:v>12x330ml Mango, Red Berry Yuzu and Watermelon Burst captured.</x:v>
      </x:c>
      <x:c r="C331" t="str">
        <x:v>2026-09-08</x:v>
      </x:c>
    </x:row>
    <x:row r="332">
      <x:c r="A332" t="str">
        <x:v>Pricing</x:v>
      </x:c>
      <x:c r="B332" t="str">
        <x:v>No login-gated supplier prices captured.</x:v>
      </x:c>
      <x:c r="C332" t="str">
        <x:v>2026-09-08</x:v>
      </x:c>
    </x:row>
    <x:row r="333">
      <x:c r="A333" t="str">
        <x:v>Variant integrity</x:v>
      </x:c>
      <x:c r="B333" t="str">
        <x:v>No inferred combinations; dated/promo suffixes stripped per catalogue rules.</x:v>
      </x:c>
      <x:c r="C333" t="str">
        <x:v>2026-09-08</x:v>
      </x:c>
    </x:row>
    <x:row r="334">
      <x:c r="A334" t="str">
        <x:v>Quality</x:v>
      </x:c>
      <x:c r="B334" t="str">
        <x:v>Exact-key duplicate skip; formula-error scan clean.</x:v>
      </x:c>
      <x:c r="C334" t="str">
        <x:v>2026-09-08</x:v>
      </x:c>
    </x:row>
    <x:row r="335">
      <x:c r="A335" t="str">
        <x:v>Per4m EAA Xtra</x:v>
      </x:c>
      <x:c r="B335" t="str">
        <x:v>Current 420g 11-flavour matrix captured from today's BCAA page; NEW suffix stripped.</x:v>
      </x:c>
      <x:c r="C335" t="str">
        <x:v>2026-09-08</x:v>
      </x:c>
    </x:row>
    <x:row r="336">
      <x:c r="A336" t="str">
        <x:v>TBJP creatine closure</x:v>
      </x:c>
      <x:c r="B336" t="str">
        <x:v>Added missing 1kg unflavoured and 300g Blue Slushy/Sour Cherry/Unflavoured exact current variants.</x:v>
      </x:c>
      <x:c r="C336" t="str">
        <x:v>2026-09-08</x:v>
      </x:c>
    </x:row>
    <x:row r="337">
      <x:c r="A337" t="str">
        <x:v>C4 creatine</x:v>
      </x:c>
      <x:c r="B337" t="str">
        <x:v>306g current unflavoured Cellucor creatine listing added; September promo wording stripped.</x:v>
      </x:c>
      <x:c r="C337" t="str">
        <x:v>2026-09-08</x:v>
      </x:c>
    </x:row>
    <x:row r="338">
      <x:c r="A338" t="str">
        <x:v>Rich Piana Crea-Ten</x:v>
      </x:c>
      <x:c r="B338" t="str">
        <x:v>25-serving six-flavour current matrix captured.</x:v>
      </x:c>
      <x:c r="C338" t="str">
        <x:v>2026-09-08</x:v>
      </x:c>
    </x:row>
    <x:row r="339">
      <x:c r="A339" t="str">
        <x:v>Naughty Boy Crea-Greens</x:v>
      </x:c>
      <x:c r="B339" t="str">
        <x:v>30-serving Iced Mango, Passion Fruit and Summer Fruits current matrix captured.</x:v>
      </x:c>
      <x:c r="C339" t="str">
        <x:v>2026-09-08</x:v>
      </x:c>
    </x:row>
    <x:row r="340">
      <x:c r="A340" t="str">
        <x:v>Sci-Mx EAA</x:v>
      </x:c>
      <x:c r="B340" t="str">
        <x:v>250g Blackcurrant current listing captured.</x:v>
      </x:c>
      <x:c r="C340" t="str">
        <x:v>2026-09-08</x:v>
      </x:c>
    </x:row>
    <x:row r="341">
      <x:c r="A341" t="str">
        <x:v>DNA Sports creatine refresh</x:v>
      </x:c>
      <x:c r="B341" t="str">
        <x:v>Existing 1kg unflavoured row refreshed from In stock to Out of stock using today's creatine page.</x:v>
      </x:c>
      <x:c r="C341" t="str">
        <x:v>2026-09-08</x:v>
      </x:c>
    </x:row>
    <x:row r="342">
      <x:c r="A342" t="str">
        <x:v>Pricing</x:v>
      </x:c>
      <x:c r="B342" t="str">
        <x:v>No login-gated supplier prices captured.</x:v>
      </x:c>
      <x:c r="C342" t="str">
        <x:v>2026-09-08</x:v>
      </x:c>
    </x:row>
    <x:row r="343">
      <x:c r="A343" t="str">
        <x:v>Variant integrity</x:v>
      </x:c>
      <x:c r="B343" t="str">
        <x:v>No inferred combinations; exact listed variants only.</x:v>
      </x:c>
      <x:c r="C343" t="str">
        <x:v>2026-09-08</x:v>
      </x:c>
    </x:row>
    <x:row r="344">
      <x:c r="A344" t="str">
        <x:v>Promotions</x:v>
      </x:c>
      <x:c r="B344" t="str">
        <x:v>Supplier NEW / special-offer wording not encoded into canonical product identity.</x:v>
      </x:c>
      <x:c r="C344" t="str">
        <x:v>2026-09-08</x:v>
      </x:c>
    </x:row>
    <x:row r="345">
      <x:c r="A345" t="str">
        <x:v>Quality</x:v>
      </x:c>
      <x:c r="B345" t="str">
        <x:v>Exact-key duplicate skip; formula-error scan clean.</x:v>
      </x:c>
      <x:c r="C345" t="str">
        <x:v>2026-09-08</x:v>
      </x:c>
    </x:row>
    <x:row r="346">
      <x:c r="A346" t="str">
        <x:v>Hydration category reconciliation</x:v>
      </x:c>
      <x:c r="B346" t="str">
        <x:v>Fresh current hydration page swept against workbook to identify remaining exact products and stock changes.</x:v>
      </x:c>
      <x:c r="C346" t="str">
        <x:v>2026-09-08</x:v>
      </x:c>
    </x:row>
    <x:row r="347">
      <x:c r="A347" t="str">
        <x:v>Applied Endurance powders</x:v>
      </x:c>
      <x:c r="B347" t="str">
        <x:v>Energy + Electrolytes 1.5kg (3 flavours) and Breathe 1.5kg (2 flavours) added.</x:v>
      </x:c>
      <x:c r="C347" t="str">
        <x:v>2026-09-08</x:v>
      </x:c>
    </x:row>
    <x:row r="348">
      <x:c r="A348" t="str">
        <x:v>Optimise Health</x:v>
      </x:c>
      <x:c r="B348" t="str">
        <x:v>Rebel HydroCharge hydration gummies, Watermelon, added from current page.</x:v>
      </x:c>
      <x:c r="C348" t="str">
        <x:v>2026-09-08</x:v>
      </x:c>
    </x:row>
    <x:row r="349">
      <x:c r="A349" t="str">
        <x:v>Refined Nutrition</x:v>
      </x:c>
      <x:c r="B349" t="str">
        <x:v>Ultra Hydration 300g eight-flavour current matrix added.</x:v>
      </x:c>
      <x:c r="C349" t="str">
        <x:v>2026-09-08</x:v>
      </x:c>
    </x:row>
    <x:row r="350">
      <x:c r="A350" t="str">
        <x:v>Scitec</x:v>
      </x:c>
      <x:c r="B350" t="str">
        <x:v>Isotec Endurance 1000g Lemon Ice Tea and Orange added.</x:v>
      </x:c>
      <x:c r="C350" t="str">
        <x:v>2026-09-08</x:v>
      </x:c>
    </x:row>
    <x:row r="351">
      <x:c r="A351" t="str">
        <x:v>Sport Asylum</x:v>
      </x:c>
      <x:c r="B351" t="str">
        <x:v>HydroMind 30 servings Melon Jelly and Red Berry added; promo wording stripped.</x:v>
      </x:c>
      <x:c r="C351" t="str">
        <x:v>2026-09-08</x:v>
      </x:c>
    </x:row>
    <x:row r="352">
      <x:c r="A352" t="str">
        <x:v>Strom HydraMAX</x:v>
      </x:c>
      <x:c r="B352" t="str">
        <x:v>Current 35-serving seven-flavour matrix added separately from older 40-serving identity.</x:v>
      </x:c>
      <x:c r="C352" t="str">
        <x:v>2026-09-08</x:v>
      </x:c>
    </x:row>
    <x:row r="353">
      <x:c r="A353" t="str">
        <x:v>Strom HydraMAX 90</x:v>
      </x:c>
      <x:c r="B353" t="str">
        <x:v>Current 1.08kg / 90-serving seven-flavour matrix added; all current supplier states Out.</x:v>
      </x:c>
      <x:c r="C353" t="str">
        <x:v>2026-09-08</x:v>
      </x:c>
    </x:row>
    <x:row r="354">
      <x:c r="A354" t="str">
        <x:v>Stock refresh</x:v>
      </x:c>
      <x:c r="B354" t="str">
        <x:v>CNP Loaded H2O Peach Rings: Out → In.</x:v>
      </x:c>
      <x:c r="C354" t="str">
        <x:v>2026-09-08</x:v>
      </x:c>
    </x:row>
    <x:row r="355">
      <x:c r="A355" t="str">
        <x:v>Stock refresh</x:v>
      </x:c>
      <x:c r="B355" t="str">
        <x:v>Conteh Hydra Flow Cherry: In → Out.</x:v>
      </x:c>
      <x:c r="C355" t="str">
        <x:v>2026-09-08</x:v>
      </x:c>
    </x:row>
    <x:row r="356">
      <x:c r="A356" t="str">
        <x:v>Stock refresh</x:v>
      </x:c>
      <x:c r="B356" t="str">
        <x:v>Per4m Hydrate Cola Bottles: In → Out; Pineapple Rings: Out → In.</x:v>
      </x:c>
      <x:c r="C356" t="str">
        <x:v>2026-09-08</x:v>
      </x:c>
    </x:row>
    <x:row r="357">
      <x:c r="A357" t="str">
        <x:v>Stock refresh</x:v>
      </x:c>
      <x:c r="B357" t="str">
        <x:v>Strom HydraMAX Cans Pineapple Coconut: In → Out.</x:v>
      </x:c>
      <x:c r="C357" t="str">
        <x:v>2026-09-08</x:v>
      </x:c>
    </x:row>
    <x:row r="358">
      <x:c r="A358" t="str">
        <x:v>Pricing</x:v>
      </x:c>
      <x:c r="B358" t="str">
        <x:v>No login-gated supplier prices captured.</x:v>
      </x:c>
      <x:c r="C358" t="str">
        <x:v>2026-09-08</x:v>
      </x:c>
    </x:row>
    <x:row r="359">
      <x:c r="A359" t="str">
        <x:v>Quality</x:v>
      </x:c>
      <x:c r="B359" t="str">
        <x:v>Exact-key duplicate skip; no inferred combinations; formula-error scan clean.</x:v>
      </x:c>
      <x:c r="C359" t="str">
        <x:v>2026-09-08</x:v>
      </x:c>
    </x:row>
    <x:row r="360">
      <x:c r="A360" t="str">
        <x:v>Bars/snacks reconciliation</x:v>
      </x:c>
      <x:c r="B360" t="str">
        <x:v>Fresh Bars and Snacks page swept against workbook for meaningful current gaps.</x:v>
      </x:c>
      <x:c r="C360" t="str">
        <x:v>2026-09-08</x:v>
      </x:c>
    </x:row>
    <x:row r="361">
      <x:c r="A361" t="str">
        <x:v>Applied Crunchy Cheese Bites</x:v>
      </x:c>
      <x:c r="B361" t="str">
        <x:v>10x20g Chilli, Original and Truffle added; all current In stock.</x:v>
      </x:c>
      <x:c r="C361" t="str">
        <x:v>2026-09-08</x:v>
      </x:c>
    </x:row>
    <x:row r="362">
      <x:c r="A362" t="str">
        <x:v>Mountain Joes MEGA Flapjacks</x:v>
      </x:c>
      <x:c r="B362" t="str">
        <x:v>Eight current 12x100g flavours added.</x:v>
      </x:c>
      <x:c r="C362" t="str">
        <x:v>2026-09-08</x:v>
      </x:c>
    </x:row>
    <x:row r="363">
      <x:c r="A363" t="str">
        <x:v>Mountain Joes Protein Bars</x:v>
      </x:c>
      <x:c r="B363" t="str">
        <x:v>Both 12x35g and current 12x55g matrices captured independently.</x:v>
      </x:c>
      <x:c r="C363" t="str">
        <x:v>2026-09-08</x:v>
      </x:c>
    </x:row>
    <x:row r="364">
      <x:c r="A364" t="str">
        <x:v>Mountain Joes Brownies</x:v>
      </x:c>
      <x:c r="B364" t="str">
        <x:v>Three normal current variants captured; dated BB 03/10/26 Chocolate Peanut duplicate not added separately.</x:v>
      </x:c>
      <x:c r="C364" t="str">
        <x:v>2026-09-08</x:v>
      </x:c>
    </x:row>
    <x:row r="365">
      <x:c r="A365" t="str">
        <x:v>Mountain Joes Cakes</x:v>
      </x:c>
      <x:c r="B365" t="str">
        <x:v>Birthday Cake In; Carrot Cake Out.</x:v>
      </x:c>
      <x:c r="C365" t="str">
        <x:v>2026-09-08</x:v>
      </x:c>
    </x:row>
    <x:row r="366">
      <x:c r="A366" t="str">
        <x:v>Mountain Joes Millionaire</x:v>
      </x:c>
      <x:c r="B366" t="str">
        <x:v>Three current 10x50g variants added.</x:v>
      </x:c>
      <x:c r="C366" t="str">
        <x:v>2026-09-08</x:v>
      </x:c>
    </x:row>
    <x:row r="367">
      <x:c r="A367" t="str">
        <x:v>Mountain Joes Rice Cakes</x:v>
      </x:c>
      <x:c r="B367" t="str">
        <x:v>Chocolate In; White Chocolate Out.</x:v>
      </x:c>
      <x:c r="C367" t="str">
        <x:v>2026-09-08</x:v>
      </x:c>
    </x:row>
    <x:row r="368">
      <x:c r="A368" t="str">
        <x:v>DNA Sports VIBE</x:v>
      </x:c>
      <x:c r="B368" t="str">
        <x:v>Current eight-flavour 30-serving matrix captured.</x:v>
      </x:c>
      <x:c r="C368" t="str">
        <x:v>2026-09-08</x:v>
      </x:c>
    </x:row>
    <x:row r="369">
      <x:c r="A369" t="str">
        <x:v>DNA whey refresh</x:v>
      </x:c>
      <x:c r="B369" t="str">
        <x:v>Vanilla Ice Cream 2kg refreshed to Out of stock from current DNA brand page.</x:v>
      </x:c>
      <x:c r="C369" t="str">
        <x:v>2026-09-08</x:v>
      </x:c>
    </x:row>
    <x:row r="370">
      <x:c r="A370" t="str">
        <x:v>DY bar reconciliation</x:v>
      </x:c>
      <x:c r="B370" t="str">
        <x:v>Current Chocolate Peanut and White Chocolate Blondie variants added without deleting older canonical rows.</x:v>
      </x:c>
      <x:c r="C370" t="str">
        <x:v>2026-09-08</x:v>
      </x:c>
    </x:row>
    <x:row r="371">
      <x:c r="A371" t="str">
        <x:v>Pricing</x:v>
      </x:c>
      <x:c r="B371" t="str">
        <x:v>No login-gated supplier prices captured.</x:v>
      </x:c>
      <x:c r="C371" t="str">
        <x:v>2026-09-08</x:v>
      </x:c>
    </x:row>
    <x:row r="372">
      <x:c r="A372" t="str">
        <x:v>Quality</x:v>
      </x:c>
      <x:c r="B372" t="str">
        <x:v>No inferred combinations; exact-key duplicate skip; formula-error scan clean.</x:v>
      </x:c>
      <x:c r="C372" t="str">
        <x:v>2026-09-08</x:v>
      </x:c>
    </x:row>
    <x:row r="373">
      <x:c r="A373" t="str">
        <x:v>Final broad Active Sports reconciliation</x:v>
      </x:c>
      <x:c r="B373" t="str">
        <x:v>Quest current brand page plus current Drinks &amp; Bars page swept for meaningful remaining gaps.</x:v>
      </x:c>
      <x:c r="C373" t="str">
        <x:v>2026-09-08</x:v>
      </x:c>
    </x:row>
    <x:row r="374">
      <x:c r="A374" t="str">
        <x:v>Quest Bake Shop</x:v>
      </x:c>
      <x:c r="B374" t="str">
        <x:v>Donuts and Muffins added with exact current supplier stock states.</x:v>
      </x:c>
      <x:c r="C374" t="str">
        <x:v>2026-09-08</x:v>
      </x:c>
    </x:row>
    <x:row r="375">
      <x:c r="A375" t="str">
        <x:v>Quest savoury</x:v>
      </x:c>
      <x:c r="B375" t="str">
        <x:v>Cheese Crackers, Protein Chips and Tortilla Protein Chips exact matrices added.</x:v>
      </x:c>
      <x:c r="C375" t="str">
        <x:v>2026-09-08</x:v>
      </x:c>
    </x:row>
    <x:row r="376">
      <x:c r="A376" t="str">
        <x:v>Quest cookies</x:v>
      </x:c>
      <x:c r="B376" t="str">
        <x:v>Frosted Cookie and Protein Cookie exact matrices added.</x:v>
      </x:c>
      <x:c r="C376" t="str">
        <x:v>2026-09-08</x:v>
      </x:c>
    </x:row>
    <x:row r="377">
      <x:c r="A377" t="str">
        <x:v>Quest cups</x:v>
      </x:c>
      <x:c r="B377" t="str">
        <x:v>Peanut Butter Cups added.</x:v>
      </x:c>
      <x:c r="C377" t="str">
        <x:v>2026-09-08</x:v>
      </x:c>
    </x:row>
    <x:row r="378">
      <x:c r="A378" t="str">
        <x:v>Quest Bars</x:v>
      </x:c>
      <x:c r="B378" t="str">
        <x:v>17 current exact 60g variants captured; no inferred combinations.</x:v>
      </x:c>
      <x:c r="C378" t="str">
        <x:v>2026-09-08</x:v>
      </x:c>
    </x:row>
    <x:row r="379">
      <x:c r="A379" t="str">
        <x:v>Quest Overload</x:v>
      </x:c>
      <x:c r="B379" t="str">
        <x:v>Four current exact variants captured.</x:v>
      </x:c>
      <x:c r="C379" t="str">
        <x:v>2026-09-08</x:v>
      </x:c>
    </x:row>
    <x:row r="380">
      <x:c r="A380" t="str">
        <x:v>Quest Stacks</x:v>
      </x:c>
      <x:c r="B380" t="str">
        <x:v>Three current exact variants captured.</x:v>
      </x:c>
      <x:c r="C380" t="str">
        <x:v>2026-09-08</x:v>
      </x:c>
    </x:row>
    <x:row r="381">
      <x:c r="A381" t="str">
        <x:v>Lucozade Sport</x:v>
      </x:c>
      <x:c r="B381" t="str">
        <x:v>Five current 12x500ml variants captured; all current supplier states Out.</x:v>
      </x:c>
      <x:c r="C381" t="str">
        <x:v>2026-09-08</x:v>
      </x:c>
    </x:row>
    <x:row r="382">
      <x:c r="A382" t="str">
        <x:v>Lucozade Zero</x:v>
      </x:c>
      <x:c r="B382" t="str">
        <x:v>Two current 12x500ml variants captured; pallet wording stripped.</x:v>
      </x:c>
      <x:c r="C382" t="str">
        <x:v>2026-09-08</x:v>
      </x:c>
    </x:row>
    <x:row r="383">
      <x:c r="A383" t="str">
        <x:v>M&amp;Ms</x:v>
      </x:c>
      <x:c r="B383" t="str">
        <x:v>Protein Bars Chocolate current Out variant added.</x:v>
      </x:c>
      <x:c r="C383" t="str">
        <x:v>2026-09-08</x:v>
      </x:c>
    </x:row>
    <x:row r="384">
      <x:c r="A384" t="str">
        <x:v>Mars</x:v>
      </x:c>
      <x:c r="B384" t="str">
        <x:v>Hi Protein Low Sugar Bar four-current-variant matrix and Protein Cookie two-variant matrix added.</x:v>
      </x:c>
      <x:c r="C384" t="str">
        <x:v>2026-09-08</x:v>
      </x:c>
    </x:row>
    <x:row r="385">
      <x:c r="A385" t="str">
        <x:v>Snickers</x:v>
      </x:c>
      <x:c r="B385" t="str">
        <x:v>Hi Protein, Low Sugar and Protein Cookie current exact matrices added using today's Drinks &amp; Bars page.</x:v>
      </x:c>
      <x:c r="C385" t="str">
        <x:v>2026-09-08</x:v>
      </x:c>
    </x:row>
    <x:row r="386">
      <x:c r="A386" t="str">
        <x:v>Supplier order unit</x:v>
      </x:c>
      <x:c r="B386" t="str">
        <x:v>Convenience products retained as case/box supplier-order units rather than loose-member special order.</x:v>
      </x:c>
      <x:c r="C386" t="str">
        <x:v>2026-09-08</x:v>
      </x:c>
    </x:row>
    <x:row r="387">
      <x:c r="A387" t="str">
        <x:v>Pricing</x:v>
      </x:c>
      <x:c r="B387" t="str">
        <x:v>No login-gated supplier prices captured.</x:v>
      </x:c>
      <x:c r="C387" t="str">
        <x:v>2026-09-08</x:v>
      </x:c>
    </x:row>
    <x:row r="388">
      <x:c r="A388" t="str">
        <x:v>Quality</x:v>
      </x:c>
      <x:c r="B388" t="str">
        <x:v>Exact-key duplicate skip; promotional wording stripped; formula-error scan clean.</x:v>
      </x:c>
      <x:c r="C388" t="str">
        <x:v>2026-09-08</x:v>
      </x:c>
    </x:row>
    <x:row r="389">
      <x:c r="A389" t="str">
        <x:v>GSN enrichment continuation</x:v>
      </x:c>
      <x:c r="B389" t="str">
        <x:v>Current official GSN product/category/bundle pages used; no marketplace imagery or inferred nutrition.</x:v>
      </x:c>
      <x:c r="C389" t="str">
        <x:v>2026-09-08</x:v>
      </x:c>
    </x:row>
    <x:row r="390">
      <x:c r="A390" t="str">
        <x:v>English Breakfast Wrap</x:v>
      </x:c>
      <x:c r="B390" t="str">
        <x:v>Full per-serving nutrition + ingredient/allergen summary verified from official product page.</x:v>
      </x:c>
      <x:c r="C390" t="str">
        <x:v>2026-09-08</x:v>
      </x:c>
    </x:row>
    <x:row r="391">
      <x:c r="A391" t="str">
        <x:v>Tender Chicken Tikka Wrap</x:v>
      </x:c>
      <x:c r="B391" t="str">
        <x:v>Full per-serving nutrition + ingredient/allergen summary verified from official product page.</x:v>
      </x:c>
      <x:c r="C391" t="str">
        <x:v>2026-09-08</x:v>
      </x:c>
    </x:row>
    <x:row r="392">
      <x:c r="A392" t="str">
        <x:v>Sticky BBQ Chicken Wrap</x:v>
      </x:c>
      <x:c r="B392" t="str">
        <x:v>Full per-serving nutrition + ingredient/allergen summary verified from official product page.</x:v>
      </x:c>
      <x:c r="C392" t="str">
        <x:v>2026-09-08</x:v>
      </x:c>
    </x:row>
    <x:row r="393">
      <x:c r="A393" t="str">
        <x:v>Signature product URLs</x:v>
      </x:c>
      <x:c r="B393" t="str">
        <x:v>Exact official URLs recorded for Firecracker Salmon, Sri Lankan Pork, Slow Cooked Beef Ragu, Hearty Lamb Hotpot and Panang Chicken Curry.</x:v>
      </x:c>
      <x:c r="C393" t="str">
        <x:v>2026-09-08</x:v>
      </x:c>
    </x:row>
    <x:row r="394">
      <x:c r="A394" t="str">
        <x:v>Chicken Tikka Dhal</x:v>
      </x:c>
      <x:c r="B394" t="str">
        <x:v>Current official Signature bundle exposes 448 kcal / 33.9g protein; temporarily unavailable on GSN. Added as local-stock catalogue identity with Madhouse count/price pending.</x:v>
      </x:c>
      <x:c r="C394" t="str">
        <x:v>2026-09-08</x:v>
      </x:c>
    </x:row>
    <x:row r="395">
      <x:c r="A395" t="str">
        <x:v>Madhouse stock</x:v>
      </x:c>
      <x:c r="B395" t="str">
        <x:v>No GSN website stock figures imported as Madhouse stock; local physical count remains blank by design.</x:v>
      </x:c>
      <x:c r="C395" t="str">
        <x:v>2026-09-08</x:v>
      </x:c>
    </x:row>
    <x:row r="396">
      <x:c r="A396" t="str">
        <x:v>GSN images</x:v>
      </x:c>
      <x:c r="B396" t="str">
        <x:v>Official page image presence confirmed, but direct canonical image URLs not yet verified; image URL cells remain blank rather than guessed.</x:v>
      </x:c>
      <x:c r="C396" t="str">
        <x:v>2026-09-08</x:v>
      </x:c>
    </x:row>
    <x:row r="397">
      <x:c r="A397" t="str">
        <x:v>GSN image enrichment</x:v>
      </x:c>
      <x:c r="B397" t="str">
        <x:v>Verified genuine official GSN image URLs added; no marketplace/stock/watermarked imagery used.</x:v>
      </x:c>
      <x:c r="C397" t="str">
        <x:v>2026-09-08</x:v>
      </x:c>
    </x:row>
    <x:row r="398">
      <x:c r="A398" t="str">
        <x:v>Greek Souvlaki Chicken Wrap</x:v>
      </x:c>
      <x:c r="B398" t="str">
        <x:v>Exact official product page and official product image now recorded.</x:v>
      </x:c>
      <x:c r="C398" t="str">
        <x:v>2026-09-08</x:v>
      </x:c>
    </x:row>
    <x:row r="399">
      <x:c r="A399" t="str">
        <x:v>Aromatic Salt &amp; Pepper Wrap</x:v>
      </x:c>
      <x:c r="B399" t="str">
        <x:v>Exact official product page and official product image now recorded.</x:v>
      </x:c>
      <x:c r="C399" t="str">
        <x:v>2026-09-08</x:v>
      </x:c>
    </x:row>
    <x:row r="400">
      <x:c r="A400" t="str">
        <x:v>Firecracker Salmon</x:v>
      </x:c>
      <x:c r="B400" t="str">
        <x:v>Exact official page/image plus full per-serving kcal, protein, carbs, sugars, fat, saturates, fibre and salt added.</x:v>
      </x:c>
      <x:c r="C400" t="str">
        <x:v>2026-09-08</x:v>
      </x:c>
    </x:row>
    <x:row r="401">
      <x:c r="A401" t="str">
        <x:v>Sri Lankan Pork Curry</x:v>
      </x:c>
      <x:c r="B401" t="str">
        <x:v>Exact official product page and genuine official image added.</x:v>
      </x:c>
      <x:c r="C401" t="str">
        <x:v>2026-09-08</x:v>
      </x:c>
    </x:row>
    <x:row r="402">
      <x:c r="A402" t="str">
        <x:v>Slow Cooked Beef Ragu</x:v>
      </x:c>
      <x:c r="B402" t="str">
        <x:v>Exact official product page and genuine official image added.</x:v>
      </x:c>
      <x:c r="C402" t="str">
        <x:v>2026-09-08</x:v>
      </x:c>
    </x:row>
    <x:row r="403">
      <x:c r="A403" t="str">
        <x:v>Hearty Lamb Hotpot</x:v>
      </x:c>
      <x:c r="B403" t="str">
        <x:v>Exact official product page and genuine official image added.</x:v>
      </x:c>
      <x:c r="C403" t="str">
        <x:v>2026-09-08</x:v>
      </x:c>
    </x:row>
    <x:row r="404">
      <x:c r="A404" t="str">
        <x:v>Panang Chicken Curry</x:v>
      </x:c>
      <x:c r="B404" t="str">
        <x:v>Exact official product page and genuine official image added.</x:v>
      </x:c>
      <x:c r="C404" t="str">
        <x:v>2026-09-08</x:v>
      </x:c>
    </x:row>
    <x:row r="405">
      <x:c r="A405" t="str">
        <x:v>Madhouse stock</x:v>
      </x:c>
      <x:c r="B405" t="str">
        <x:v>Local physical stock counts remain intentionally blank pending gym stocktake.</x:v>
      </x:c>
      <x:c r="C405" t="str">
        <x:v>2026-09-08</x:v>
      </x:c>
    </x:row>
    <x:row r="406">
      <x:c r="A406" t="str">
        <x:v>GSN wrap image closure</x:v>
      </x:c>
      <x:c r="B406" t="str">
        <x:v>Five remaining wrap identities now have exact official GSN product pages and genuine official product images.</x:v>
      </x:c>
      <x:c r="C406" t="str">
        <x:v>2026-09-08</x:v>
      </x:c>
    </x:row>
    <x:row r="407">
      <x:c r="A407" t="str">
        <x:v>Sizzling Chicken Fajita Wrap</x:v>
      </x:c>
      <x:c r="B407" t="str">
        <x:v>Exact official page/image recorded.</x:v>
      </x:c>
      <x:c r="C407" t="str">
        <x:v>2026-09-08</x:v>
      </x:c>
    </x:row>
    <x:row r="408">
      <x:c r="A408" t="str">
        <x:v>Korean Sweet Chilli Wrap</x:v>
      </x:c>
      <x:c r="B408" t="str">
        <x:v>Exact official page/image recorded.</x:v>
      </x:c>
      <x:c r="C408" t="str">
        <x:v>2026-09-08</x:v>
      </x:c>
    </x:row>
    <x:row r="409">
      <x:c r="A409" t="str">
        <x:v>English Breakfast / Tikka / BBQ wraps</x:v>
      </x:c>
      <x:c r="B409" t="str">
        <x:v>Official image URLs added to already-enriched exact product pages.</x:v>
      </x:c>
      <x:c r="C409" t="str">
        <x:v>2026-09-08</x:v>
      </x:c>
    </x:row>
    <x:row r="410">
      <x:c r="A410" t="str">
        <x:v>Pot O Gold image enrichment</x:v>
      </x:c>
      <x:c r="B410" t="str">
        <x:v>Verified official pages/images added for Roast Dinner, Tikka Masala, Thai Garlic, Egg Fried Rice, Chicken Curry, and Pesto Pasta.</x:v>
      </x:c>
      <x:c r="C410" t="str">
        <x:v>2026-09-08</x:v>
      </x:c>
    </x:row>
    <x:row r="411">
      <x:c r="A411" t="str">
        <x:v>Image policy</x:v>
      </x:c>
      <x:c r="B411" t="str">
        <x:v>Only mygsn.co.uk official product assets retained; no generated, marketplace or stock imagery.</x:v>
      </x:c>
      <x:c r="C411" t="str">
        <x:v>2026-09-08</x:v>
      </x:c>
    </x:row>
    <x:row r="412">
      <x:c r="A412" t="str">
        <x:v>Madhouse pricing</x:v>
      </x:c>
      <x:c r="B412" t="str">
        <x:v>£4 / 10 for £32 remains only on Pot O Gold range per supplied Madhouse pricing.</x:v>
      </x:c>
      <x:c r="C412" t="str">
        <x:v>2026-09-08</x:v>
      </x:c>
    </x:row>
    <x:row r="413">
      <x:c r="A413" t="str">
        <x:v>Madhouse stock</x:v>
      </x:c>
      <x:c r="B413" t="str">
        <x:v>All local quantities remain blank pending physical gym stock count.</x:v>
      </x:c>
      <x:c r="C413" t="str">
        <x:v>2026-09-08</x:v>
      </x:c>
    </x:row>
    <x:row r="414">
      <x:c r="A414" t="str">
        <x:v>Supplier ordering</x:v>
      </x:c>
      <x:c r="B414" t="str">
        <x:v>GSN products remain local-stock/replenishment products, not Active Sports member supplier-orderable items.</x:v>
      </x:c>
      <x:c r="C414" t="str">
        <x:v>2026-09-08</x:v>
      </x:c>
    </x:row>
    <x:row r="415">
      <x:c r="A415" t="str">
        <x:v>GSN Pot O Gold full nutrition</x:v>
      </x:c>
      <x:c r="B415" t="str">
        <x:v>Chicken Macaroni Cheese &amp; Greens full per-serving nutrition/ingredients/allergens verified.</x:v>
      </x:c>
      <x:c r="C415" t="str">
        <x:v>2026-09-08</x:v>
      </x:c>
    </x:row>
    <x:row r="416">
      <x:c r="A416" t="str">
        <x:v>GSN Pot O Gold full nutrition</x:v>
      </x:c>
      <x:c r="B416" t="str">
        <x:v>Chicken Arrabbiata Pasta with Red Pepper full per-serving nutrition/ingredients/allergens verified.</x:v>
      </x:c>
      <x:c r="C416" t="str">
        <x:v>2026-09-08</x:v>
      </x:c>
    </x:row>
    <x:row r="417">
      <x:c r="A417" t="str">
        <x:v>GSN Pot O Gold full nutrition</x:v>
      </x:c>
      <x:c r="B417" t="str">
        <x:v>Vegan Four Bean Chilli full per-serving nutrition/ingredients/allergens verified.</x:v>
      </x:c>
      <x:c r="C417" t="str">
        <x:v>2026-09-08</x:v>
      </x:c>
    </x:row>
    <x:row r="418">
      <x:c r="A418" t="str">
        <x:v>GSN Pot O Gold full nutrition</x:v>
      </x:c>
      <x:c r="B418" t="str">
        <x:v>Mild &amp; Creamy Chicken Korma full per-serving nutrition/ingredients/allergens verified.</x:v>
      </x:c>
      <x:c r="C418" t="str">
        <x:v>2026-09-08</x:v>
      </x:c>
    </x:row>
    <x:row r="419">
      <x:c r="A419" t="str">
        <x:v>GSN Pot O Gold full nutrition</x:v>
      </x:c>
      <x:c r="B419" t="str">
        <x:v>Golden Butter Chicken Curry full per-serving nutrition/ingredients/allergens verified.</x:v>
      </x:c>
      <x:c r="C419" t="str">
        <x:v>2026-09-08</x:v>
      </x:c>
    </x:row>
    <x:row r="420">
      <x:c r="A420" t="str">
        <x:v>GSN exact pages</x:v>
      </x:c>
      <x:c r="B420" t="str">
        <x:v>Exact official pages verified for Chicken Chow Mein, Firecracker Chicken, Breaded Chicken Katsu, Greek Souvlaki Chicken and Oriental Sweet &amp; Sour Chicken.</x:v>
      </x:c>
      <x:c r="C420" t="str">
        <x:v>2026-09-08</x:v>
      </x:c>
    </x:row>
    <x:row r="421">
      <x:c r="A421" t="str">
        <x:v>Nutrition policy</x:v>
      </x:c>
      <x:c r="B421" t="str">
        <x:v>No nutrition values inferred from names, similar meals or third-party sources.</x:v>
      </x:c>
      <x:c r="C421" t="str">
        <x:v>2026-09-08</x:v>
      </x:c>
    </x:row>
    <x:row r="422">
      <x:c r="A422" t="str">
        <x:v>Pricing policy</x:v>
      </x:c>
      <x:c r="B422" t="str">
        <x:v>Madhouse Pot O Gold remains £4 each / 10 for £32; GSN website retail prices are not imported as Madhouse pricing.</x:v>
      </x:c>
      <x:c r="C422" t="str">
        <x:v>2026-09-08</x:v>
      </x:c>
    </x:row>
    <x:row r="423">
      <x:c r="A423" t="str">
        <x:v>Stock policy</x:v>
      </x:c>
      <x:c r="B423" t="str">
        <x:v>GSN web stock remains ignored for Madhouse local stock; physical gym count still blank.</x:v>
      </x:c>
      <x:c r="C423" t="str">
        <x:v>2026-09-08</x:v>
      </x:c>
    </x:row>
    <x:row r="424">
      <x:c r="A424" t="str">
        <x:v>Source policy</x:v>
      </x:c>
      <x:c r="B424" t="str">
        <x:v>Only current official mygsn.co.uk product pages used for this enrichment pass.</x:v>
      </x:c>
      <x:c r="C424" t="str">
        <x:v>2026-09-08</x:v>
      </x:c>
    </x:row>
    <x:row r="425">
      <x:c r="A425" t="str">
        <x:v>GSN Pot O Gold full nutrition</x:v>
      </x:c>
      <x:c r="B425" t="str">
        <x:v>Chipotle Roast Chicken Rice &amp; Beans full panel plus ingredients/allergens verified.</x:v>
      </x:c>
      <x:c r="C425" t="str">
        <x:v>2026-09-08</x:v>
      </x:c>
    </x:row>
    <x:row r="426">
      <x:c r="A426" t="str">
        <x:v>GSN Pot O Gold full nutrition</x:v>
      </x:c>
      <x:c r="B426" t="str">
        <x:v>Salt &amp; Pepper Chicken Noodles full panel plus ingredients/allergens verified.</x:v>
      </x:c>
      <x:c r="C426" t="str">
        <x:v>2026-09-08</x:v>
      </x:c>
    </x:row>
    <x:row r="427">
      <x:c r="A427" t="str">
        <x:v>GSN Pot O Gold full nutrition</x:v>
      </x:c>
      <x:c r="B427" t="str">
        <x:v>Smooth Satay Chicken Curry full panel plus ingredients/allergens verified.</x:v>
      </x:c>
      <x:c r="C427" t="str">
        <x:v>2026-09-08</x:v>
      </x:c>
    </x:row>
    <x:row r="428">
      <x:c r="A428" t="str">
        <x:v>GSN Pot O Gold full nutrition</x:v>
      </x:c>
      <x:c r="B428" t="str">
        <x:v>Rich &amp; Hearty Pasta Bolognese full panel plus ingredients/allergens verified.</x:v>
      </x:c>
      <x:c r="C428" t="str">
        <x:v>2026-09-08</x:v>
      </x:c>
    </x:row>
    <x:row r="429">
      <x:c r="A429" t="str">
        <x:v>Madhouse pricing</x:v>
      </x:c>
      <x:c r="B429" t="str">
        <x:v>The official GSN web price is deliberately not used; Madhouse Pot O Gold remains £4 each / 10 for £32.</x:v>
      </x:c>
      <x:c r="C429" t="str">
        <x:v>2026-09-08</x:v>
      </x:c>
    </x:row>
    <x:row r="430">
      <x:c r="A430" t="str">
        <x:v>Madhouse stock</x:v>
      </x:c>
      <x:c r="B430" t="str">
        <x:v>Official GSN website inventory is deliberately ignored for local stock. Gym physical count still pending.</x:v>
      </x:c>
      <x:c r="C430" t="str">
        <x:v>2026-09-08</x:v>
      </x:c>
    </x:row>
    <x:row r="431">
      <x:c r="A431" t="str">
        <x:v>Allergen handling</x:v>
      </x:c>
      <x:c r="B431" t="str">
        <x:v>Only allergens evidenced by the official ingredient declaration are summarised; no inferred allergens added.</x:v>
      </x:c>
      <x:c r="C431" t="str">
        <x:v>2026-09-08</x:v>
      </x:c>
    </x:row>
    <x:row r="432">
      <x:c r="A432" t="str">
        <x:v>Source policy</x:v>
      </x:c>
      <x:c r="B432" t="str">
        <x:v>Current official mygsn.co.uk exact product pages only.</x:v>
      </x:c>
      <x:c r="C432" t="str">
        <x:v>2026-09-08</x:v>
      </x:c>
    </x:row>
    <x:row r="433">
      <x:c r="A433" t="str">
        <x:v>GSN full nutrition</x:v>
      </x:c>
      <x:c r="B433" t="str">
        <x:v>Pesto Pasta with HECK! full per-serving nutrition plus allergens verified from current official GSN page.</x:v>
      </x:c>
      <x:c r="C433" t="str">
        <x:v>2026-09-08</x:v>
      </x:c>
    </x:row>
    <x:row r="434">
      <x:c r="A434" t="str">
        <x:v>GSN full nutrition</x:v>
      </x:c>
      <x:c r="B434" t="str">
        <x:v>Tender Chicken Tikka Masala full per-serving nutrition plus allergens verified from current official GSN page.</x:v>
      </x:c>
      <x:c r="C434" t="str">
        <x:v>2026-09-08</x:v>
      </x:c>
    </x:row>
    <x:row r="435">
      <x:c r="A435" t="str">
        <x:v>GSN full nutrition</x:v>
      </x:c>
      <x:c r="B435" t="str">
        <x:v>Thai Garlic &amp; Black Pepper Chicken full per-serving nutrition plus allergens verified from current official GSN page.</x:v>
      </x:c>
      <x:c r="C435" t="str">
        <x:v>2026-09-08</x:v>
      </x:c>
    </x:row>
    <x:row r="436">
      <x:c r="A436" t="str">
        <x:v>GSN full nutrition</x:v>
      </x:c>
      <x:c r="B436" t="str">
        <x:v>Chicken Curry with Special Fried Rice full per-serving nutrition plus allergens verified from current official GSN page.</x:v>
      </x:c>
      <x:c r="C436" t="str">
        <x:v>2026-09-08</x:v>
      </x:c>
    </x:row>
    <x:row r="437">
      <x:c r="A437" t="str">
        <x:v>Current Pot O Gold reconciliation</x:v>
      </x:c>
      <x:c r="B437" t="str">
        <x:v>Official GSN category currently lists 26 Pot O Gold products; workbook stages all 26 as current Madhouse local-stock identities.</x:v>
      </x:c>
      <x:c r="C437" t="str">
        <x:v>2026-09-08</x:v>
      </x:c>
    </x:row>
    <x:row r="438">
      <x:c r="A438" t="str">
        <x:v>Current Wrap reconciliation</x:v>
      </x:c>
      <x:c r="B438" t="str">
        <x:v>Official GSN category currently lists exactly 7 High Protein Wraps; workbook stages all 7.</x:v>
      </x:c>
      <x:c r="C438" t="str">
        <x:v>2026-09-08</x:v>
      </x:c>
    </x:row>
    <x:row r="439">
      <x:c r="A439" t="str">
        <x:v>Current Signature reconciliation</x:v>
      </x:c>
      <x:c r="B439" t="str">
        <x:v>Official GSN category currently lists exactly 5 Signature Meals; workbook stages those 5 as current.</x:v>
      </x:c>
      <x:c r="C439" t="str">
        <x:v>2026-09-08</x:v>
      </x:c>
    </x:row>
    <x:row r="440">
      <x:c r="A440" t="str">
        <x:v>Chicken Tikka Dhal correction</x:v>
      </x:c>
      <x:c r="B440" t="str">
        <x:v>Previously surfaced from a bundle page but absent from current official Signature category; changed to historical/bundle-only reference, not assumed Madhouse stock.</x:v>
      </x:c>
      <x:c r="C440" t="str">
        <x:v>2026-09-08</x:v>
      </x:c>
    </x:row>
    <x:row r="441">
      <x:c r="A441" t="str">
        <x:v>Deal readiness</x:v>
      </x:c>
      <x:c r="B441" t="str">
        <x:v>Pot O Gold £4 each / 10 for £32 remains mix-and-match pricing only; exact meal quantities must remain attached to each variant for stock decrement.</x:v>
      </x:c>
      <x:c r="C441" t="str">
        <x:v>2026-09-08</x:v>
      </x:c>
    </x:row>
    <x:row r="442">
      <x:c r="A442" t="str">
        <x:v>Catalogue completion</x:v>
      </x:c>
      <x:c r="B442" t="str">
        <x:v>Current official GSN sellable identities reconciled: 26 Pot O Gold + 7 wraps + 5 Signature = 38 current products. Local quantities remain pending physical stocktake.</x:v>
      </x:c>
      <x:c r="C442" t="str">
        <x:v>2026-09-08</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0" hidden="0" customWidth="1"/>
    <x:col min="3" max="3" width="20" hidden="0" customWidth="1"/>
    <x:col min="4" max="4" width="36" hidden="0" customWidth="1"/>
    <x:col min="5" max="5" width="16" hidden="0" customWidth="1"/>
    <x:col min="6" max="6" width="16" hidden="0" customWidth="1"/>
    <x:col min="7" max="7" width="16" hidden="0" customWidth="1"/>
    <x:col min="8" max="8" width="12" hidden="0" customWidth="1"/>
    <x:col min="9" max="9" width="12" hidden="0" customWidth="1"/>
    <x:col min="10" max="10" width="14" hidden="0" customWidth="1"/>
    <x:col min="11" max="11" width="16" hidden="0" customWidth="1"/>
    <x:col min="12" max="12" width="12" hidden="0" customWidth="1"/>
    <x:col min="13" max="13" width="16" hidden="0" customWidth="1"/>
    <x:col min="14" max="14" width="38" hidden="0" customWidth="1"/>
    <x:col min="15" max="15" width="38" hidden="0" customWidth="1"/>
    <x:col min="16" max="16" width="22" hidden="0" customWidth="1"/>
    <x:col min="17" max="17" width="20" hidden="0" customWidth="1"/>
    <x:col min="18" max="18" width="46" hidden="0" customWidth="1"/>
  </x:cols>
  <x:sheetData>
    <x:row r="1">
      <x:c r="A1" s="21" t="str">
        <x:v>Source</x:v>
      </x:c>
      <x:c r="B1" s="21" t="str">
        <x:v>Brand</x:v>
      </x:c>
      <x:c r="C1" s="21" t="str">
        <x:v>Range</x:v>
      </x:c>
      <x:c r="D1" s="21" t="str">
        <x:v>Product / Variant</x:v>
      </x:c>
      <x:c r="E1" s="21" t="str">
        <x:v>Category</x:v>
      </x:c>
      <x:c r="F1" s="21" t="str">
        <x:v>Format</x:v>
      </x:c>
      <x:c r="G1" s="21" t="str">
        <x:v>Local Stock</x:v>
      </x:c>
      <x:c r="H1" s="21" t="str">
        <x:v>Stock Count</x:v>
      </x:c>
      <x:c r="I1" s="21" t="str">
        <x:v>Retail Price</x:v>
      </x:c>
      <x:c r="J1" s="21" t="str">
        <x:v>Deal Eligible</x:v>
      </x:c>
      <x:c r="K1" s="21" t="str">
        <x:v>Supplier Orderable</x:v>
      </x:c>
      <x:c r="L1" s="21" t="str">
        <x:v>Kcal / Serving</x:v>
      </x:c>
      <x:c r="M1" s="21" t="str">
        <x:v>Protein g / Serving</x:v>
      </x:c>
      <x:c r="N1" s="21" t="str">
        <x:v>Official Source URL</x:v>
      </x:c>
      <x:c r="O1" s="21" t="str">
        <x:v>Image URL</x:v>
      </x:c>
      <x:c r="P1" s="21" t="str">
        <x:v>Image Status</x:v>
      </x:c>
      <x:c r="Q1" s="21" t="str">
        <x:v>Nutrition Status</x:v>
      </x:c>
      <x:c r="R1" s="21" t="str">
        <x:v>Notes</x:v>
      </x:c>
    </x:row>
    <x:row r="2">
      <x:c r="A2" s="10" t="str">
        <x:v>Madhouse local stock</x:v>
      </x:c>
      <x:c r="B2" s="10" t="str">
        <x:v>GSN</x:v>
      </x:c>
      <x:c r="C2" s="10" t="str">
        <x:v>Pot O Gold</x:v>
      </x:c>
      <x:c r="D2" s="10" t="str">
        <x:v>Chicken Chow Mein with Stir Fry Vegetables</x:v>
      </x:c>
      <x:c r="E2" s="10" t="str">
        <x:v>Food &amp; Drinks</x:v>
      </x:c>
      <x:c r="F2" s="10" t="str">
        <x:v>1 frozen meal</x:v>
      </x:c>
      <x:c r="G2" s="10" t="str">
        <x:v>Stocked in gym</x:v>
      </x:c>
      <x:c r="H2" s="10" t="str"/>
      <x:c r="I2" s="22" t="n">
        <x:v>4</x:v>
      </x:c>
      <x:c r="J2" s="10" t="str">
        <x:v>Yes</x:v>
      </x:c>
      <x:c r="K2" s="10" t="str">
        <x:v>No</x:v>
      </x:c>
      <x:c r="L2" s="10" t="n">
        <x:v>372</x:v>
      </x:c>
      <x:c r="M2" s="10" t="n">
        <x:v>32.8</x:v>
      </x:c>
      <x:c r="N2" s="10" t="str">
        <x:v>https://www.mygsn.co.uk/product/chicken-chow-mein-with-stir-fry-vegetables/</x:v>
      </x:c>
      <x:c r="O2" s="10" t="str"/>
      <x:c r="P2" s="10" t="str">
        <x:v>Pending genuine official image</x:v>
      </x:c>
      <x:c r="Q2" s="10" t="str">
        <x:v>Partial verified</x:v>
      </x:c>
      <x:c r="R2" s="10" t="str">
        <x:v>Madhouse retail £4.00. Eligible for mix-and-match 10 meals for £32. Local stock count to follow.</x:v>
      </x:c>
    </x:row>
    <x:row r="3">
      <x:c r="A3" s="10" t="str">
        <x:v>Madhouse local stock</x:v>
      </x:c>
      <x:c r="B3" s="10" t="str">
        <x:v>GSN</x:v>
      </x:c>
      <x:c r="C3" s="10" t="str">
        <x:v>Pot O Gold</x:v>
      </x:c>
      <x:c r="D3" s="10" t="str">
        <x:v>BBQ Chicken &amp; Mexican Rice</x:v>
      </x:c>
      <x:c r="E3" s="10" t="str">
        <x:v>Food &amp; Drinks</x:v>
      </x:c>
      <x:c r="F3" s="10" t="str">
        <x:v>1 frozen meal</x:v>
      </x:c>
      <x:c r="G3" s="10" t="str">
        <x:v>Stocked in gym</x:v>
      </x:c>
      <x:c r="H3" s="10" t="str"/>
      <x:c r="I3" s="22" t="n">
        <x:v>4</x:v>
      </x:c>
      <x:c r="J3" s="10" t="str">
        <x:v>Yes</x:v>
      </x:c>
      <x:c r="K3" s="10" t="str">
        <x:v>No</x:v>
      </x:c>
      <x:c r="L3" s="10" t="n">
        <x:v>309</x:v>
      </x:c>
      <x:c r="M3" s="10" t="n">
        <x:v>33.5</x:v>
      </x:c>
      <x:c r="N3" s="10" t="str">
        <x:v>https://www.mygsn.co.uk/product-category/pot-of-gold-meals/</x:v>
      </x:c>
      <x:c r="O3" s="10" t="str"/>
      <x:c r="P3" s="10" t="str">
        <x:v>Pending genuine official image</x:v>
      </x:c>
      <x:c r="Q3" s="10" t="str">
        <x:v>Partial verified</x:v>
      </x:c>
      <x:c r="R3" s="10" t="str">
        <x:v>Madhouse retail £4.00. Eligible for mix-and-match 10 meals for £32. Local stock count to follow.</x:v>
      </x:c>
    </x:row>
    <x:row r="4">
      <x:c r="A4" s="10" t="str">
        <x:v>Madhouse local stock</x:v>
      </x:c>
      <x:c r="B4" s="10" t="str">
        <x:v>GSN</x:v>
      </x:c>
      <x:c r="C4" s="10" t="str">
        <x:v>Pot O Gold</x:v>
      </x:c>
      <x:c r="D4" s="10" t="str">
        <x:v>Chicken Arrabbiata Pasta with Red Pepper</x:v>
      </x:c>
      <x:c r="E4" s="10" t="str">
        <x:v>Food &amp; Drinks</x:v>
      </x:c>
      <x:c r="F4" s="10" t="str">
        <x:v>1 frozen meal</x:v>
      </x:c>
      <x:c r="G4" s="10" t="str">
        <x:v>Stocked in gym</x:v>
      </x:c>
      <x:c r="H4" s="10" t="str"/>
      <x:c r="I4" s="22" t="n">
        <x:v>4</x:v>
      </x:c>
      <x:c r="J4" s="10" t="str">
        <x:v>Yes</x:v>
      </x:c>
      <x:c r="K4" s="10" t="str">
        <x:v>No</x:v>
      </x:c>
      <x:c r="L4" s="10" t="n">
        <x:v>462</x:v>
      </x:c>
      <x:c r="M4" s="10" t="n">
        <x:v>31.2</x:v>
      </x:c>
      <x:c r="N4" s="10" t="str">
        <x:v>https://www.mygsn.co.uk/product/chicken-arrabbiata-pasta-with-red-pepper/</x:v>
      </x:c>
      <x:c r="O4" s="10" t="str"/>
      <x:c r="P4" s="10" t="str">
        <x:v>Pending genuine official image</x:v>
      </x:c>
      <x:c r="Q4" s="10" t="str">
        <x:v>Full nutrition verified</x:v>
      </x:c>
      <x:c r="R4" s="10" t="str">
        <x:v>Madhouse retail £4.00. Eligible for mix-and-match 10 meals for £32. Local stock count to follow.</x:v>
      </x:c>
    </x:row>
    <x:row r="5">
      <x:c r="A5" s="10" t="str">
        <x:v>Madhouse local stock</x:v>
      </x:c>
      <x:c r="B5" s="10" t="str">
        <x:v>GSN</x:v>
      </x:c>
      <x:c r="C5" s="10" t="str">
        <x:v>Pot O Gold</x:v>
      </x:c>
      <x:c r="D5" s="10" t="str">
        <x:v>Chicken Macaroni Cheese &amp; Greens</x:v>
      </x:c>
      <x:c r="E5" s="10" t="str">
        <x:v>Food &amp; Drinks</x:v>
      </x:c>
      <x:c r="F5" s="10" t="str">
        <x:v>1 frozen meal</x:v>
      </x:c>
      <x:c r="G5" s="10" t="str">
        <x:v>Stocked in gym</x:v>
      </x:c>
      <x:c r="H5" s="10" t="str"/>
      <x:c r="I5" s="22" t="n">
        <x:v>4</x:v>
      </x:c>
      <x:c r="J5" s="10" t="str">
        <x:v>Yes</x:v>
      </x:c>
      <x:c r="K5" s="10" t="str">
        <x:v>No</x:v>
      </x:c>
      <x:c r="L5" s="10" t="n">
        <x:v>370</x:v>
      </x:c>
      <x:c r="M5" s="10" t="n">
        <x:v>40</x:v>
      </x:c>
      <x:c r="N5" s="10" t="str">
        <x:v>https://www.mygsn.co.uk/product/chicken-macaroni-cheese-greens/</x:v>
      </x:c>
      <x:c r="O5" s="10" t="str"/>
      <x:c r="P5" s="10" t="str">
        <x:v>Pending genuine official image</x:v>
      </x:c>
      <x:c r="Q5" s="10" t="str">
        <x:v>Full nutrition verified</x:v>
      </x:c>
      <x:c r="R5" s="10" t="str">
        <x:v>Madhouse retail £4.00. Eligible for mix-and-match 10 meals for £32. Local stock count to follow.</x:v>
      </x:c>
    </x:row>
    <x:row r="6">
      <x:c r="A6" s="10" t="str">
        <x:v>Madhouse local stock</x:v>
      </x:c>
      <x:c r="B6" s="10" t="str">
        <x:v>GSN</x:v>
      </x:c>
      <x:c r="C6" s="10" t="str">
        <x:v>Pot O Gold</x:v>
      </x:c>
      <x:c r="D6" s="10" t="str">
        <x:v>Pesto Pasta with HECK! Seasoned Chicken</x:v>
      </x:c>
      <x:c r="E6" s="10" t="str">
        <x:v>Food &amp; Drinks</x:v>
      </x:c>
      <x:c r="F6" s="10" t="str">
        <x:v>1 frozen meal</x:v>
      </x:c>
      <x:c r="G6" s="10" t="str">
        <x:v>Stocked in gym</x:v>
      </x:c>
      <x:c r="H6" s="10" t="str"/>
      <x:c r="I6" s="22" t="n">
        <x:v>4</x:v>
      </x:c>
      <x:c r="J6" s="10" t="str">
        <x:v>Yes</x:v>
      </x:c>
      <x:c r="K6" s="10" t="str">
        <x:v>No</x:v>
      </x:c>
      <x:c r="L6" s="10" t="n">
        <x:v>420</x:v>
      </x:c>
      <x:c r="M6" s="10" t="n">
        <x:v>33.3</x:v>
      </x:c>
      <x:c r="N6" s="10" t="str">
        <x:v>https://www.mygsn.co.uk/product/chicken-pesto-pasta/</x:v>
      </x:c>
      <x:c r="O6" s="10" t="str">
        <x:v>https://www.mygsn.co.uk/wp-content/uploads/2024/06/pesto-pasta-flat-lay-cut-out-copy-WEB.jpg</x:v>
      </x:c>
      <x:c r="P6" s="10" t="str">
        <x:v>Verified official GSN image</x:v>
      </x:c>
      <x:c r="Q6" s="10" t="str">
        <x:v>Full nutrition verified</x:v>
      </x:c>
      <x:c r="R6" s="10" t="str">
        <x:v>Madhouse retail £4.00. Eligible for mix-and-match 10 meals for £32. Local stock count to follow.</x:v>
      </x:c>
    </x:row>
    <x:row r="7">
      <x:c r="A7" s="10" t="str">
        <x:v>Madhouse local stock</x:v>
      </x:c>
      <x:c r="B7" s="10" t="str">
        <x:v>GSN</x:v>
      </x:c>
      <x:c r="C7" s="10" t="str">
        <x:v>Pot O Gold</x:v>
      </x:c>
      <x:c r="D7" s="10" t="str">
        <x:v>Tender Chicken Tikka Masala</x:v>
      </x:c>
      <x:c r="E7" s="10" t="str">
        <x:v>Food &amp; Drinks</x:v>
      </x:c>
      <x:c r="F7" s="10" t="str">
        <x:v>1 frozen meal</x:v>
      </x:c>
      <x:c r="G7" s="10" t="str">
        <x:v>Stocked in gym</x:v>
      </x:c>
      <x:c r="H7" s="10" t="str"/>
      <x:c r="I7" s="22" t="n">
        <x:v>4</x:v>
      </x:c>
      <x:c r="J7" s="10" t="str">
        <x:v>Yes</x:v>
      </x:c>
      <x:c r="K7" s="10" t="str">
        <x:v>No</x:v>
      </x:c>
      <x:c r="L7" s="10" t="n">
        <x:v>371</x:v>
      </x:c>
      <x:c r="M7" s="10" t="n">
        <x:v>28</x:v>
      </x:c>
      <x:c r="N7" s="10" t="str">
        <x:v>https://www.mygsn.co.uk/product/tender-chicken-tikka-masala/</x:v>
      </x:c>
      <x:c r="O7" s="10" t="str">
        <x:v>https://www.mygsn.co.uk/wp-content/uploads/2024/06/tikka-masala-flat-lay-cut-out-copy-WEB.jpg</x:v>
      </x:c>
      <x:c r="P7" s="10" t="str">
        <x:v>Verified official GSN image</x:v>
      </x:c>
      <x:c r="Q7" s="10" t="str">
        <x:v>Full nutrition verified</x:v>
      </x:c>
      <x:c r="R7" s="10" t="str">
        <x:v>Madhouse retail £4.00. Eligible for mix-and-match 10 meals for £32. Local stock count to follow.</x:v>
      </x:c>
    </x:row>
    <x:row r="8">
      <x:c r="A8" s="10" t="str">
        <x:v>Madhouse local stock</x:v>
      </x:c>
      <x:c r="B8" s="10" t="str">
        <x:v>GSN</x:v>
      </x:c>
      <x:c r="C8" s="10" t="str">
        <x:v>Pot O Gold</x:v>
      </x:c>
      <x:c r="D8" s="10" t="str">
        <x:v>Creamy Peppercorn Chicken Pasta</x:v>
      </x:c>
      <x:c r="E8" s="10" t="str">
        <x:v>Food &amp; Drinks</x:v>
      </x:c>
      <x:c r="F8" s="10" t="str">
        <x:v>1 frozen meal</x:v>
      </x:c>
      <x:c r="G8" s="10" t="str">
        <x:v>Stocked in gym</x:v>
      </x:c>
      <x:c r="H8" s="10" t="str"/>
      <x:c r="I8" s="22" t="n">
        <x:v>4</x:v>
      </x:c>
      <x:c r="J8" s="10" t="str">
        <x:v>Yes</x:v>
      </x:c>
      <x:c r="K8" s="10" t="str">
        <x:v>No</x:v>
      </x:c>
      <x:c r="L8" s="10" t="n">
        <x:v>445</x:v>
      </x:c>
      <x:c r="M8" s="10" t="n">
        <x:v>36.4</x:v>
      </x:c>
      <x:c r="N8" s="10" t="str">
        <x:v>https://www.mygsn.co.uk/product-category/pot-of-gold-meals/</x:v>
      </x:c>
      <x:c r="O8" s="10" t="str"/>
      <x:c r="P8" s="10" t="str">
        <x:v>Pending genuine official image</x:v>
      </x:c>
      <x:c r="Q8" s="10" t="str">
        <x:v>Partial verified</x:v>
      </x:c>
      <x:c r="R8" s="10" t="str">
        <x:v>Madhouse retail £4.00. Eligible for mix-and-match 10 meals for £32. Local stock count to follow.</x:v>
      </x:c>
    </x:row>
    <x:row r="9">
      <x:c r="A9" s="10" t="str">
        <x:v>Madhouse local stock</x:v>
      </x:c>
      <x:c r="B9" s="10" t="str">
        <x:v>GSN</x:v>
      </x:c>
      <x:c r="C9" s="10" t="str">
        <x:v>Pot O Gold</x:v>
      </x:c>
      <x:c r="D9" s="10" t="str">
        <x:v>Vegetarian Tempeh Tikka</x:v>
      </x:c>
      <x:c r="E9" s="10" t="str">
        <x:v>Food &amp; Drinks</x:v>
      </x:c>
      <x:c r="F9" s="10" t="str">
        <x:v>1 frozen meal</x:v>
      </x:c>
      <x:c r="G9" s="10" t="str">
        <x:v>Stocked in gym</x:v>
      </x:c>
      <x:c r="H9" s="10" t="str"/>
      <x:c r="I9" s="22" t="n">
        <x:v>4</x:v>
      </x:c>
      <x:c r="J9" s="10" t="str">
        <x:v>Yes</x:v>
      </x:c>
      <x:c r="K9" s="10" t="str">
        <x:v>No</x:v>
      </x:c>
      <x:c r="L9" s="10" t="n">
        <x:v>469</x:v>
      </x:c>
      <x:c r="M9" s="10" t="n">
        <x:v>28.4</x:v>
      </x:c>
      <x:c r="N9" s="10" t="str">
        <x:v>https://www.mygsn.co.uk/product-category/pot-of-gold-meals/</x:v>
      </x:c>
      <x:c r="O9" s="10" t="str"/>
      <x:c r="P9" s="10" t="str">
        <x:v>Pending genuine official image</x:v>
      </x:c>
      <x:c r="Q9" s="10" t="str">
        <x:v>Partial verified</x:v>
      </x:c>
      <x:c r="R9" s="10" t="str">
        <x:v>Madhouse retail £4.00. Eligible for mix-and-match 10 meals for £32. Local stock count to follow.</x:v>
      </x:c>
    </x:row>
    <x:row r="10">
      <x:c r="A10" s="10" t="str">
        <x:v>Madhouse local stock</x:v>
      </x:c>
      <x:c r="B10" s="10" t="str">
        <x:v>GSN</x:v>
      </x:c>
      <x:c r="C10" s="10" t="str">
        <x:v>Pot O Gold</x:v>
      </x:c>
      <x:c r="D10" s="10" t="str">
        <x:v>Oriental Sweet &amp; Sour Chicken</x:v>
      </x:c>
      <x:c r="E10" s="10" t="str">
        <x:v>Food &amp; Drinks</x:v>
      </x:c>
      <x:c r="F10" s="10" t="str">
        <x:v>1 frozen meal</x:v>
      </x:c>
      <x:c r="G10" s="10" t="str">
        <x:v>Stocked in gym</x:v>
      </x:c>
      <x:c r="H10" s="10" t="str"/>
      <x:c r="I10" s="22" t="n">
        <x:v>4</x:v>
      </x:c>
      <x:c r="J10" s="10" t="str">
        <x:v>Yes</x:v>
      </x:c>
      <x:c r="K10" s="10" t="str">
        <x:v>No</x:v>
      </x:c>
      <x:c r="L10" s="10" t="n">
        <x:v>602</x:v>
      </x:c>
      <x:c r="M10" s="10" t="n">
        <x:v>32</x:v>
      </x:c>
      <x:c r="N10" s="10" t="str">
        <x:v>https://www.mygsn.co.uk/product/pot-o-gold-oriental-sweet-sour-chicken/</x:v>
      </x:c>
      <x:c r="O10" s="10" t="str"/>
      <x:c r="P10" s="10" t="str">
        <x:v>Pending genuine official image</x:v>
      </x:c>
      <x:c r="Q10" s="10" t="str">
        <x:v>Partial verified</x:v>
      </x:c>
      <x:c r="R10" s="10" t="str">
        <x:v>Madhouse retail £4.00. Eligible for mix-and-match 10 meals for £32. Local stock count to follow.</x:v>
      </x:c>
    </x:row>
    <x:row r="11">
      <x:c r="A11" s="10" t="str">
        <x:v>Madhouse local stock</x:v>
      </x:c>
      <x:c r="B11" s="10" t="str">
        <x:v>GSN</x:v>
      </x:c>
      <x:c r="C11" s="10" t="str">
        <x:v>Pot O Gold</x:v>
      </x:c>
      <x:c r="D11" s="10" t="str">
        <x:v>Vegan Four Bean Chilli</x:v>
      </x:c>
      <x:c r="E11" s="10" t="str">
        <x:v>Food &amp; Drinks</x:v>
      </x:c>
      <x:c r="F11" s="10" t="str">
        <x:v>1 frozen meal</x:v>
      </x:c>
      <x:c r="G11" s="10" t="str">
        <x:v>Stocked in gym</x:v>
      </x:c>
      <x:c r="H11" s="10" t="str"/>
      <x:c r="I11" s="22" t="n">
        <x:v>4</x:v>
      </x:c>
      <x:c r="J11" s="10" t="str">
        <x:v>Yes</x:v>
      </x:c>
      <x:c r="K11" s="10" t="str">
        <x:v>No</x:v>
      </x:c>
      <x:c r="L11" s="10" t="n">
        <x:v>371</x:v>
      </x:c>
      <x:c r="M11" s="10" t="n">
        <x:v>18.9</x:v>
      </x:c>
      <x:c r="N11" s="10" t="str">
        <x:v>https://www.mygsn.co.uk/product/vegan-four-bean-chilli/</x:v>
      </x:c>
      <x:c r="O11" s="10" t="str"/>
      <x:c r="P11" s="10" t="str">
        <x:v>Pending genuine official image</x:v>
      </x:c>
      <x:c r="Q11" s="10" t="str">
        <x:v>Full nutrition verified</x:v>
      </x:c>
      <x:c r="R11" s="10" t="str">
        <x:v>Madhouse retail £4.00. Eligible for mix-and-match 10 meals for £32. Local stock count to follow.</x:v>
      </x:c>
    </x:row>
    <x:row r="12">
      <x:c r="A12" s="10" t="str">
        <x:v>Madhouse local stock</x:v>
      </x:c>
      <x:c r="B12" s="10" t="str">
        <x:v>GSN</x:v>
      </x:c>
      <x:c r="C12" s="10" t="str">
        <x:v>Pot O Gold</x:v>
      </x:c>
      <x:c r="D12" s="10" t="str">
        <x:v>Roast Chicken Dinner</x:v>
      </x:c>
      <x:c r="E12" s="10" t="str">
        <x:v>Food &amp; Drinks</x:v>
      </x:c>
      <x:c r="F12" s="10" t="str">
        <x:v>1 frozen meal</x:v>
      </x:c>
      <x:c r="G12" s="10" t="str">
        <x:v>Stocked in gym</x:v>
      </x:c>
      <x:c r="H12" s="10" t="str"/>
      <x:c r="I12" s="22" t="n">
        <x:v>4</x:v>
      </x:c>
      <x:c r="J12" s="10" t="str">
        <x:v>Yes</x:v>
      </x:c>
      <x:c r="K12" s="10" t="str">
        <x:v>No</x:v>
      </x:c>
      <x:c r="L12" s="10" t="n">
        <x:v>260</x:v>
      </x:c>
      <x:c r="M12" s="10" t="n">
        <x:v>30.8</x:v>
      </x:c>
      <x:c r="N12" s="10" t="str">
        <x:v>https://www.mygsn.co.uk/product/roast-chicken-dinner/</x:v>
      </x:c>
      <x:c r="O12" s="10" t="str">
        <x:v>https://www.mygsn.co.uk/wp-content/uploads/2024/06/roast-dinner-flat-lay-cut-out-copy-WEB.jpg</x:v>
      </x:c>
      <x:c r="P12" s="10" t="str">
        <x:v>Verified official GSN image</x:v>
      </x:c>
      <x:c r="Q12" s="10" t="str">
        <x:v>Partial verified</x:v>
      </x:c>
      <x:c r="R12" s="10" t="str">
        <x:v>Madhouse retail £4.00. Eligible for mix-and-match 10 meals for £32. Local stock count to follow.</x:v>
      </x:c>
    </x:row>
    <x:row r="13">
      <x:c r="A13" s="10" t="str">
        <x:v>Madhouse local stock</x:v>
      </x:c>
      <x:c r="B13" s="10" t="str">
        <x:v>GSN</x:v>
      </x:c>
      <x:c r="C13" s="10" t="str">
        <x:v>Pot O Gold</x:v>
      </x:c>
      <x:c r="D13" s="10" t="str">
        <x:v>Thai Garlic &amp; Black Pepper Chicken</x:v>
      </x:c>
      <x:c r="E13" s="10" t="str">
        <x:v>Food &amp; Drinks</x:v>
      </x:c>
      <x:c r="F13" s="10" t="str">
        <x:v>1 frozen meal</x:v>
      </x:c>
      <x:c r="G13" s="10" t="str">
        <x:v>Stocked in gym</x:v>
      </x:c>
      <x:c r="H13" s="10" t="str"/>
      <x:c r="I13" s="22" t="n">
        <x:v>4</x:v>
      </x:c>
      <x:c r="J13" s="10" t="str">
        <x:v>Yes</x:v>
      </x:c>
      <x:c r="K13" s="10" t="str">
        <x:v>No</x:v>
      </x:c>
      <x:c r="L13" s="10" t="n">
        <x:v>360</x:v>
      </x:c>
      <x:c r="M13" s="10" t="n">
        <x:v>29.6</x:v>
      </x:c>
      <x:c r="N13" s="10" t="str">
        <x:v>https://www.mygsn.co.uk/product/thai-garlic-black-pepper-chicken/</x:v>
      </x:c>
      <x:c r="O13" s="10" t="str">
        <x:v>https://www.mygsn.co.uk/wp-content/uploads/2024/06/thai-garlic-flat-lay-cut-out-copy-WEB.jpg</x:v>
      </x:c>
      <x:c r="P13" s="10" t="str">
        <x:v>Verified official GSN image</x:v>
      </x:c>
      <x:c r="Q13" s="10" t="str">
        <x:v>Full nutrition verified</x:v>
      </x:c>
      <x:c r="R13" s="10" t="str">
        <x:v>Madhouse retail £4.00. Eligible for mix-and-match 10 meals for £32. Local stock count to follow.</x:v>
      </x:c>
    </x:row>
    <x:row r="14">
      <x:c r="A14" s="10" t="str">
        <x:v>Madhouse local stock</x:v>
      </x:c>
      <x:c r="B14" s="10" t="str">
        <x:v>GSN</x:v>
      </x:c>
      <x:c r="C14" s="10" t="str">
        <x:v>Pot O Gold</x:v>
      </x:c>
      <x:c r="D14" s="10" t="str">
        <x:v>Crispy Chicken &amp; Egg Fried Rice</x:v>
      </x:c>
      <x:c r="E14" s="10" t="str">
        <x:v>Food &amp; Drinks</x:v>
      </x:c>
      <x:c r="F14" s="10" t="str">
        <x:v>1 frozen meal</x:v>
      </x:c>
      <x:c r="G14" s="10" t="str">
        <x:v>Stocked in gym</x:v>
      </x:c>
      <x:c r="H14" s="10" t="str"/>
      <x:c r="I14" s="22" t="n">
        <x:v>4</x:v>
      </x:c>
      <x:c r="J14" s="10" t="str">
        <x:v>Yes</x:v>
      </x:c>
      <x:c r="K14" s="10" t="str">
        <x:v>No</x:v>
      </x:c>
      <x:c r="L14" s="10" t="n">
        <x:v>469</x:v>
      </x:c>
      <x:c r="M14" s="10" t="n">
        <x:v>32.6</x:v>
      </x:c>
      <x:c r="N14" s="10" t="str">
        <x:v>https://www.mygsn.co.uk/product/crispy-chicken-egg-fried-rice/</x:v>
      </x:c>
      <x:c r="O14" s="10" t="str">
        <x:v>https://www.mygsn.co.uk/wp-content/uploads/2024/06/egg-fried-rice-flat-lay-cut-out-copy-WEB.jpg</x:v>
      </x:c>
      <x:c r="P14" s="10" t="str">
        <x:v>Verified official GSN image</x:v>
      </x:c>
      <x:c r="Q14" s="10" t="str">
        <x:v>Partial verified</x:v>
      </x:c>
      <x:c r="R14" s="10" t="str">
        <x:v>Madhouse retail £4.00. Eligible for mix-and-match 10 meals for £32. Local stock count to follow.</x:v>
      </x:c>
    </x:row>
    <x:row r="15">
      <x:c r="A15" s="10" t="str">
        <x:v>Madhouse local stock</x:v>
      </x:c>
      <x:c r="B15" s="10" t="str">
        <x:v>GSN</x:v>
      </x:c>
      <x:c r="C15" s="10" t="str">
        <x:v>Pot O Gold</x:v>
      </x:c>
      <x:c r="D15" s="10" t="str">
        <x:v>Chipotle Roast Chicken Rice &amp; Beans</x:v>
      </x:c>
      <x:c r="E15" s="10" t="str">
        <x:v>Food &amp; Drinks</x:v>
      </x:c>
      <x:c r="F15" s="10" t="str">
        <x:v>1 frozen meal</x:v>
      </x:c>
      <x:c r="G15" s="10" t="str">
        <x:v>Stocked in gym</x:v>
      </x:c>
      <x:c r="H15" s="10" t="str"/>
      <x:c r="I15" s="22" t="n">
        <x:v>4</x:v>
      </x:c>
      <x:c r="J15" s="10" t="str">
        <x:v>Yes</x:v>
      </x:c>
      <x:c r="K15" s="10" t="str">
        <x:v>No</x:v>
      </x:c>
      <x:c r="L15" s="10" t="n">
        <x:v>406</x:v>
      </x:c>
      <x:c r="M15" s="10" t="n">
        <x:v>33.8</x:v>
      </x:c>
      <x:c r="N15" s="10" t="str">
        <x:v>https://www.mygsn.co.uk/product/chipotle-roast-chicken-rice-beans/</x:v>
      </x:c>
      <x:c r="O15" s="10" t="str"/>
      <x:c r="P15" s="10" t="str">
        <x:v>Pending genuine official image</x:v>
      </x:c>
      <x:c r="Q15" s="10" t="str">
        <x:v>Full nutrition verified</x:v>
      </x:c>
      <x:c r="R15" s="10" t="str">
        <x:v>Madhouse retail £4.00. Eligible for mix-and-match 10 meals for £32. Local stock count to follow.</x:v>
      </x:c>
    </x:row>
    <x:row r="16">
      <x:c r="A16" s="10" t="str">
        <x:v>Madhouse local stock</x:v>
      </x:c>
      <x:c r="B16" s="10" t="str">
        <x:v>GSN</x:v>
      </x:c>
      <x:c r="C16" s="10" t="str">
        <x:v>Pot O Gold</x:v>
      </x:c>
      <x:c r="D16" s="10" t="str">
        <x:v>Golden Butter Chicken Curry</x:v>
      </x:c>
      <x:c r="E16" s="10" t="str">
        <x:v>Food &amp; Drinks</x:v>
      </x:c>
      <x:c r="F16" s="10" t="str">
        <x:v>1 frozen meal</x:v>
      </x:c>
      <x:c r="G16" s="10" t="str">
        <x:v>Stocked in gym</x:v>
      </x:c>
      <x:c r="H16" s="10" t="str"/>
      <x:c r="I16" s="22" t="n">
        <x:v>4</x:v>
      </x:c>
      <x:c r="J16" s="10" t="str">
        <x:v>Yes</x:v>
      </x:c>
      <x:c r="K16" s="10" t="str">
        <x:v>No</x:v>
      </x:c>
      <x:c r="L16" s="10" t="n">
        <x:v>493</x:v>
      </x:c>
      <x:c r="M16" s="10" t="n">
        <x:v>33.3</x:v>
      </x:c>
      <x:c r="N16" s="10" t="str">
        <x:v>https://www.mygsn.co.uk/product/golden-butter-chicken-curry/</x:v>
      </x:c>
      <x:c r="O16" s="10" t="str"/>
      <x:c r="P16" s="10" t="str">
        <x:v>Pending genuine official image</x:v>
      </x:c>
      <x:c r="Q16" s="10" t="str">
        <x:v>Full nutrition verified</x:v>
      </x:c>
      <x:c r="R16" s="10" t="str">
        <x:v>Madhouse retail £4.00. Eligible for mix-and-match 10 meals for £32. Local stock count to follow.</x:v>
      </x:c>
    </x:row>
    <x:row r="17">
      <x:c r="A17" s="10" t="str">
        <x:v>Madhouse local stock</x:v>
      </x:c>
      <x:c r="B17" s="10" t="str">
        <x:v>GSN</x:v>
      </x:c>
      <x:c r="C17" s="10" t="str">
        <x:v>Pot O Gold</x:v>
      </x:c>
      <x:c r="D17" s="10" t="str">
        <x:v>Greek Souvlaki Chicken with Rice</x:v>
      </x:c>
      <x:c r="E17" s="10" t="str">
        <x:v>Food &amp; Drinks</x:v>
      </x:c>
      <x:c r="F17" s="10" t="str">
        <x:v>1 frozen meal</x:v>
      </x:c>
      <x:c r="G17" s="10" t="str">
        <x:v>Stocked in gym</x:v>
      </x:c>
      <x:c r="H17" s="10" t="str"/>
      <x:c r="I17" s="22" t="n">
        <x:v>4</x:v>
      </x:c>
      <x:c r="J17" s="10" t="str">
        <x:v>Yes</x:v>
      </x:c>
      <x:c r="K17" s="10" t="str">
        <x:v>No</x:v>
      </x:c>
      <x:c r="L17" s="10" t="n">
        <x:v>494</x:v>
      </x:c>
      <x:c r="M17" s="10" t="n">
        <x:v>33.6</x:v>
      </x:c>
      <x:c r="N17" s="10" t="str">
        <x:v>https://www.mygsn.co.uk/product/greek-souvlaki-chicken-with-rice/</x:v>
      </x:c>
      <x:c r="O17" s="10" t="str"/>
      <x:c r="P17" s="10" t="str">
        <x:v>Pending genuine official image</x:v>
      </x:c>
      <x:c r="Q17" s="10" t="str">
        <x:v>Partial verified</x:v>
      </x:c>
      <x:c r="R17" s="10" t="str">
        <x:v>Madhouse retail £4.00. Eligible for mix-and-match 10 meals for £32. Local stock count to follow.</x:v>
      </x:c>
    </x:row>
    <x:row r="18">
      <x:c r="A18" s="10" t="str">
        <x:v>Madhouse local stock</x:v>
      </x:c>
      <x:c r="B18" s="10" t="str">
        <x:v>GSN</x:v>
      </x:c>
      <x:c r="C18" s="10" t="str">
        <x:v>Pot O Gold</x:v>
      </x:c>
      <x:c r="D18" s="10" t="str">
        <x:v>Firecracker Chicken &amp; Spicy Rice</x:v>
      </x:c>
      <x:c r="E18" s="10" t="str">
        <x:v>Food &amp; Drinks</x:v>
      </x:c>
      <x:c r="F18" s="10" t="str">
        <x:v>1 frozen meal</x:v>
      </x:c>
      <x:c r="G18" s="10" t="str">
        <x:v>Stocked in gym</x:v>
      </x:c>
      <x:c r="H18" s="10" t="str"/>
      <x:c r="I18" s="22" t="n">
        <x:v>4</x:v>
      </x:c>
      <x:c r="J18" s="10" t="str">
        <x:v>Yes</x:v>
      </x:c>
      <x:c r="K18" s="10" t="str">
        <x:v>No</x:v>
      </x:c>
      <x:c r="L18" s="10" t="n">
        <x:v>428</x:v>
      </x:c>
      <x:c r="M18" s="10" t="n">
        <x:v>30</x:v>
      </x:c>
      <x:c r="N18" s="10" t="str">
        <x:v>https://www.mygsn.co.uk/product/fire-cracker-chicken-spicy-rice/</x:v>
      </x:c>
      <x:c r="O18" s="10" t="str"/>
      <x:c r="P18" s="10" t="str">
        <x:v>Pending genuine official image</x:v>
      </x:c>
      <x:c r="Q18" s="10" t="str">
        <x:v>Partial verified</x:v>
      </x:c>
      <x:c r="R18" s="10" t="str">
        <x:v>Madhouse retail £4.00. Eligible for mix-and-match 10 meals for £32. Local stock count to follow.</x:v>
      </x:c>
    </x:row>
    <x:row r="19">
      <x:c r="A19" s="10" t="str">
        <x:v>Madhouse local stock</x:v>
      </x:c>
      <x:c r="B19" s="10" t="str">
        <x:v>GSN</x:v>
      </x:c>
      <x:c r="C19" s="10" t="str">
        <x:v>Pot O Gold</x:v>
      </x:c>
      <x:c r="D19" s="10" t="str">
        <x:v>Breaded Chicken Katsu Curry</x:v>
      </x:c>
      <x:c r="E19" s="10" t="str">
        <x:v>Food &amp; Drinks</x:v>
      </x:c>
      <x:c r="F19" s="10" t="str">
        <x:v>1 frozen meal</x:v>
      </x:c>
      <x:c r="G19" s="10" t="str">
        <x:v>Stocked in gym</x:v>
      </x:c>
      <x:c r="H19" s="10" t="str"/>
      <x:c r="I19" s="22" t="n">
        <x:v>4</x:v>
      </x:c>
      <x:c r="J19" s="10" t="str">
        <x:v>Yes</x:v>
      </x:c>
      <x:c r="K19" s="10" t="str">
        <x:v>No</x:v>
      </x:c>
      <x:c r="L19" s="10" t="n">
        <x:v>568</x:v>
      </x:c>
      <x:c r="M19" s="10" t="n">
        <x:v>29</x:v>
      </x:c>
      <x:c r="N19" s="10" t="str">
        <x:v>https://www.mygsn.co.uk/product/pot-o-gold-breaded-chicken-katsu-curry/</x:v>
      </x:c>
      <x:c r="O19" s="10" t="str"/>
      <x:c r="P19" s="10" t="str">
        <x:v>Pending genuine official image</x:v>
      </x:c>
      <x:c r="Q19" s="10" t="str">
        <x:v>Partial verified</x:v>
      </x:c>
      <x:c r="R19" s="10" t="str">
        <x:v>Madhouse retail £4.00. Eligible for mix-and-match 10 meals for £32. Local stock count to follow.</x:v>
      </x:c>
    </x:row>
    <x:row r="20">
      <x:c r="A20" s="10" t="str">
        <x:v>Madhouse local stock</x:v>
      </x:c>
      <x:c r="B20" s="10" t="str">
        <x:v>GSN</x:v>
      </x:c>
      <x:c r="C20" s="10" t="str">
        <x:v>Pot O Gold</x:v>
      </x:c>
      <x:c r="D20" s="10" t="str">
        <x:v>Mild &amp; Creamy Chicken Korma</x:v>
      </x:c>
      <x:c r="E20" s="10" t="str">
        <x:v>Food &amp; Drinks</x:v>
      </x:c>
      <x:c r="F20" s="10" t="str">
        <x:v>1 frozen meal</x:v>
      </x:c>
      <x:c r="G20" s="10" t="str">
        <x:v>Stocked in gym</x:v>
      </x:c>
      <x:c r="H20" s="10" t="str"/>
      <x:c r="I20" s="22" t="n">
        <x:v>4</x:v>
      </x:c>
      <x:c r="J20" s="10" t="str">
        <x:v>Yes</x:v>
      </x:c>
      <x:c r="K20" s="10" t="str">
        <x:v>No</x:v>
      </x:c>
      <x:c r="L20" s="10" t="n">
        <x:v>385</x:v>
      </x:c>
      <x:c r="M20" s="10" t="n">
        <x:v>33.3</x:v>
      </x:c>
      <x:c r="N20" s="10" t="str">
        <x:v>https://www.mygsn.co.uk/product/pot-o-gold-chicken-korma/</x:v>
      </x:c>
      <x:c r="O20" s="10" t="str"/>
      <x:c r="P20" s="10" t="str">
        <x:v>Pending genuine official image</x:v>
      </x:c>
      <x:c r="Q20" s="10" t="str">
        <x:v>Full nutrition verified</x:v>
      </x:c>
      <x:c r="R20" s="10" t="str">
        <x:v>Madhouse retail £4.00. Eligible for mix-and-match 10 meals for £32. Local stock count to follow.</x:v>
      </x:c>
    </x:row>
    <x:row r="21">
      <x:c r="A21" s="10" t="str">
        <x:v>Madhouse local stock</x:v>
      </x:c>
      <x:c r="B21" s="10" t="str">
        <x:v>GSN</x:v>
      </x:c>
      <x:c r="C21" s="10" t="str">
        <x:v>Pot O Gold</x:v>
      </x:c>
      <x:c r="D21" s="10" t="str">
        <x:v>Salt &amp; Pepper Chicken Noodles</x:v>
      </x:c>
      <x:c r="E21" s="10" t="str">
        <x:v>Food &amp; Drinks</x:v>
      </x:c>
      <x:c r="F21" s="10" t="str">
        <x:v>1 frozen meal</x:v>
      </x:c>
      <x:c r="G21" s="10" t="str">
        <x:v>Stocked in gym</x:v>
      </x:c>
      <x:c r="H21" s="10" t="str"/>
      <x:c r="I21" s="22" t="n">
        <x:v>4</x:v>
      </x:c>
      <x:c r="J21" s="10" t="str">
        <x:v>Yes</x:v>
      </x:c>
      <x:c r="K21" s="10" t="str">
        <x:v>No</x:v>
      </x:c>
      <x:c r="L21" s="10" t="n">
        <x:v>439</x:v>
      </x:c>
      <x:c r="M21" s="10" t="n">
        <x:v>28</x:v>
      </x:c>
      <x:c r="N21" s="10" t="str">
        <x:v>https://www.mygsn.co.uk/product/pot-o-gold-salt-pepper-chicken-noodles/</x:v>
      </x:c>
      <x:c r="O21" s="10" t="str"/>
      <x:c r="P21" s="10" t="str">
        <x:v>Pending genuine official image</x:v>
      </x:c>
      <x:c r="Q21" s="10" t="str">
        <x:v>Full nutrition verified</x:v>
      </x:c>
      <x:c r="R21" s="10" t="str">
        <x:v>Madhouse retail £4.00. Eligible for mix-and-match 10 meals for £32. Local stock count to follow.</x:v>
      </x:c>
    </x:row>
    <x:row r="22">
      <x:c r="A22" s="10" t="str">
        <x:v>Madhouse local stock</x:v>
      </x:c>
      <x:c r="B22" s="10" t="str">
        <x:v>GSN</x:v>
      </x:c>
      <x:c r="C22" s="10" t="str">
        <x:v>Pot O Gold</x:v>
      </x:c>
      <x:c r="D22" s="10" t="str">
        <x:v>Chicken Curry with Special Fried Rice</x:v>
      </x:c>
      <x:c r="E22" s="10" t="str">
        <x:v>Food &amp; Drinks</x:v>
      </x:c>
      <x:c r="F22" s="10" t="str">
        <x:v>1 frozen meal</x:v>
      </x:c>
      <x:c r="G22" s="10" t="str">
        <x:v>Stocked in gym</x:v>
      </x:c>
      <x:c r="H22" s="10" t="str"/>
      <x:c r="I22" s="22" t="n">
        <x:v>4</x:v>
      </x:c>
      <x:c r="J22" s="10" t="str">
        <x:v>Yes</x:v>
      </x:c>
      <x:c r="K22" s="10" t="str">
        <x:v>No</x:v>
      </x:c>
      <x:c r="L22" s="10" t="n">
        <x:v>445</x:v>
      </x:c>
      <x:c r="M22" s="10" t="n">
        <x:v>46</x:v>
      </x:c>
      <x:c r="N22" s="10" t="str">
        <x:v>https://www.mygsn.co.uk/product/pot-o-gold-chicken-curry-with-special-fried-rice/</x:v>
      </x:c>
      <x:c r="O22" s="10" t="str">
        <x:v>https://www.mygsn.co.uk/wp-content/uploads/2024/06/chicken-curry-flat-lay-cut-out-copy-WEB.jpg</x:v>
      </x:c>
      <x:c r="P22" s="10" t="str">
        <x:v>Verified official GSN image</x:v>
      </x:c>
      <x:c r="Q22" s="10" t="str">
        <x:v>Full nutrition verified</x:v>
      </x:c>
      <x:c r="R22" s="10" t="str">
        <x:v>Madhouse retail £4.00. Eligible for mix-and-match 10 meals for £32. Local stock count to follow.</x:v>
      </x:c>
    </x:row>
    <x:row r="23">
      <x:c r="A23" s="10" t="str">
        <x:v>Madhouse local stock</x:v>
      </x:c>
      <x:c r="B23" s="10" t="str">
        <x:v>GSN</x:v>
      </x:c>
      <x:c r="C23" s="10" t="str">
        <x:v>Pot O Gold</x:v>
      </x:c>
      <x:c r="D23" s="10" t="str">
        <x:v>Smooth Satay Chicken Curry</x:v>
      </x:c>
      <x:c r="E23" s="10" t="str">
        <x:v>Food &amp; Drinks</x:v>
      </x:c>
      <x:c r="F23" s="10" t="str">
        <x:v>1 frozen meal</x:v>
      </x:c>
      <x:c r="G23" s="10" t="str">
        <x:v>Stocked in gym</x:v>
      </x:c>
      <x:c r="H23" s="10" t="str"/>
      <x:c r="I23" s="22" t="n">
        <x:v>4</x:v>
      </x:c>
      <x:c r="J23" s="10" t="str">
        <x:v>Yes</x:v>
      </x:c>
      <x:c r="K23" s="10" t="str">
        <x:v>No</x:v>
      </x:c>
      <x:c r="L23" s="10" t="n">
        <x:v>464</x:v>
      </x:c>
      <x:c r="M23" s="10" t="n">
        <x:v>40</x:v>
      </x:c>
      <x:c r="N23" s="10" t="str">
        <x:v>https://www.mygsn.co.uk/product/smooth-satay-chicken-curry/</x:v>
      </x:c>
      <x:c r="O23" s="10" t="str"/>
      <x:c r="P23" s="10" t="str">
        <x:v>Pending genuine official image</x:v>
      </x:c>
      <x:c r="Q23" s="10" t="str">
        <x:v>Full nutrition verified</x:v>
      </x:c>
      <x:c r="R23" s="10" t="str">
        <x:v>Madhouse retail £4.00. Eligible for mix-and-match 10 meals for £32. Local stock count to follow.</x:v>
      </x:c>
    </x:row>
    <x:row r="24">
      <x:c r="A24" s="10" t="str">
        <x:v>Madhouse local stock</x:v>
      </x:c>
      <x:c r="B24" s="10" t="str">
        <x:v>GSN</x:v>
      </x:c>
      <x:c r="C24" s="10" t="str">
        <x:v>Pot O Gold</x:v>
      </x:c>
      <x:c r="D24" s="10" t="str">
        <x:v>Crispy Spiced Buffalo Chicken</x:v>
      </x:c>
      <x:c r="E24" s="10" t="str">
        <x:v>Food &amp; Drinks</x:v>
      </x:c>
      <x:c r="F24" s="10" t="str">
        <x:v>1 frozen meal</x:v>
      </x:c>
      <x:c r="G24" s="10" t="str">
        <x:v>Stocked in gym</x:v>
      </x:c>
      <x:c r="H24" s="10" t="str"/>
      <x:c r="I24" s="22" t="n">
        <x:v>4</x:v>
      </x:c>
      <x:c r="J24" s="10" t="str">
        <x:v>Yes</x:v>
      </x:c>
      <x:c r="K24" s="10" t="str">
        <x:v>No</x:v>
      </x:c>
      <x:c r="L24" s="10" t="n">
        <x:v>466</x:v>
      </x:c>
      <x:c r="M24" s="10" t="n">
        <x:v>29</x:v>
      </x:c>
      <x:c r="N24" s="10" t="str">
        <x:v>https://www.mygsn.co.uk/product-category/pot-of-gold-meals/</x:v>
      </x:c>
      <x:c r="O24" s="10" t="str"/>
      <x:c r="P24" s="10" t="str">
        <x:v>Pending genuine official image</x:v>
      </x:c>
      <x:c r="Q24" s="10" t="str">
        <x:v>Partial verified</x:v>
      </x:c>
      <x:c r="R24" s="10" t="str">
        <x:v>Madhouse retail £4.00. Eligible for mix-and-match 10 meals for £32. Local stock count to follow.</x:v>
      </x:c>
    </x:row>
    <x:row r="25">
      <x:c r="A25" s="10" t="str">
        <x:v>Madhouse local stock</x:v>
      </x:c>
      <x:c r="B25" s="10" t="str">
        <x:v>GSN</x:v>
      </x:c>
      <x:c r="C25" s="10" t="str">
        <x:v>Pot O Gold</x:v>
      </x:c>
      <x:c r="D25" s="10" t="str">
        <x:v>Morning Classic English Breakfast</x:v>
      </x:c>
      <x:c r="E25" s="10" t="str">
        <x:v>Food &amp; Drinks</x:v>
      </x:c>
      <x:c r="F25" s="10" t="str">
        <x:v>1 frozen meal</x:v>
      </x:c>
      <x:c r="G25" s="10" t="str">
        <x:v>Stocked in gym</x:v>
      </x:c>
      <x:c r="H25" s="10" t="str"/>
      <x:c r="I25" s="22" t="n">
        <x:v>4</x:v>
      </x:c>
      <x:c r="J25" s="10" t="str">
        <x:v>Yes</x:v>
      </x:c>
      <x:c r="K25" s="10" t="str">
        <x:v>No</x:v>
      </x:c>
      <x:c r="L25" s="10" t="n">
        <x:v>362</x:v>
      </x:c>
      <x:c r="M25" s="10" t="n">
        <x:v>28</x:v>
      </x:c>
      <x:c r="N25" s="10" t="str">
        <x:v>https://www.mygsn.co.uk/product-category/pot-of-gold-meals/</x:v>
      </x:c>
      <x:c r="O25" s="10" t="str"/>
      <x:c r="P25" s="10" t="str">
        <x:v>Pending genuine official image</x:v>
      </x:c>
      <x:c r="Q25" s="10" t="str">
        <x:v>Partial verified</x:v>
      </x:c>
      <x:c r="R25" s="10" t="str">
        <x:v>Madhouse retail £4.00. Eligible for mix-and-match 10 meals for £32. Local stock count to follow.</x:v>
      </x:c>
    </x:row>
    <x:row r="26">
      <x:c r="A26" s="10" t="str">
        <x:v>Madhouse local stock</x:v>
      </x:c>
      <x:c r="B26" s="10" t="str">
        <x:v>GSN</x:v>
      </x:c>
      <x:c r="C26" s="10" t="str">
        <x:v>Pot O Gold</x:v>
      </x:c>
      <x:c r="D26" s="10" t="str">
        <x:v>Rich &amp; Hearty Pasta Bolognese</x:v>
      </x:c>
      <x:c r="E26" s="10" t="str">
        <x:v>Food &amp; Drinks</x:v>
      </x:c>
      <x:c r="F26" s="10" t="str">
        <x:v>1 frozen meal</x:v>
      </x:c>
      <x:c r="G26" s="10" t="str">
        <x:v>Stocked in gym</x:v>
      </x:c>
      <x:c r="H26" s="10" t="str"/>
      <x:c r="I26" s="22" t="n">
        <x:v>4</x:v>
      </x:c>
      <x:c r="J26" s="10" t="str">
        <x:v>Yes</x:v>
      </x:c>
      <x:c r="K26" s="10" t="str">
        <x:v>No</x:v>
      </x:c>
      <x:c r="L26" s="10" t="n">
        <x:v>461</x:v>
      </x:c>
      <x:c r="M26" s="10" t="n">
        <x:v>40</x:v>
      </x:c>
      <x:c r="N26" s="10" t="str">
        <x:v>https://www.mygsn.co.uk/product/pot-o-gold-pasta-bolognese/</x:v>
      </x:c>
      <x:c r="O26" s="10" t="str"/>
      <x:c r="P26" s="10" t="str">
        <x:v>Pending genuine official image</x:v>
      </x:c>
      <x:c r="Q26" s="10" t="str">
        <x:v>Full nutrition verified</x:v>
      </x:c>
      <x:c r="R26" s="10" t="str">
        <x:v>Madhouse retail £4.00. Eligible for mix-and-match 10 meals for £32. Local stock count to follow.</x:v>
      </x:c>
    </x:row>
    <x:row r="27">
      <x:c r="A27" s="10" t="str">
        <x:v>Madhouse local stock</x:v>
      </x:c>
      <x:c r="B27" s="10" t="str">
        <x:v>GSN</x:v>
      </x:c>
      <x:c r="C27" s="10" t="str">
        <x:v>Pot O Gold</x:v>
      </x:c>
      <x:c r="D27" s="10" t="str">
        <x:v>Chicken Black Bean &amp; Special Fried Rice</x:v>
      </x:c>
      <x:c r="E27" s="10" t="str">
        <x:v>Food &amp; Drinks</x:v>
      </x:c>
      <x:c r="F27" s="10" t="str">
        <x:v>1 frozen meal</x:v>
      </x:c>
      <x:c r="G27" s="10" t="str">
        <x:v>Stocked in gym</x:v>
      </x:c>
      <x:c r="H27" s="10" t="str"/>
      <x:c r="I27" s="22" t="n">
        <x:v>4</x:v>
      </x:c>
      <x:c r="J27" s="10" t="str">
        <x:v>Yes</x:v>
      </x:c>
      <x:c r="K27" s="10" t="str">
        <x:v>No</x:v>
      </x:c>
      <x:c r="L27" s="10" t="n">
        <x:v>370</x:v>
      </x:c>
      <x:c r="M27" s="10" t="n">
        <x:v>38</x:v>
      </x:c>
      <x:c r="N27" s="10" t="str">
        <x:v>https://www.mygsn.co.uk/product-category/pot-of-gold-meals/</x:v>
      </x:c>
      <x:c r="O27" s="10" t="str"/>
      <x:c r="P27" s="10" t="str">
        <x:v>Pending genuine official image</x:v>
      </x:c>
      <x:c r="Q27" s="10" t="str">
        <x:v>Partial verified</x:v>
      </x:c>
      <x:c r="R27" s="10" t="str">
        <x:v>Madhouse retail £4.00. Eligible for mix-and-match 10 meals for £32. Local stock count to follow.</x:v>
      </x:c>
    </x:row>
    <x:row r="28">
      <x:c r="A28" s="10" t="str">
        <x:v>Madhouse local stock</x:v>
      </x:c>
      <x:c r="B28" s="10" t="str">
        <x:v>GSN</x:v>
      </x:c>
      <x:c r="C28" s="10" t="str">
        <x:v>High Protein Wraps</x:v>
      </x:c>
      <x:c r="D28" s="10" t="str">
        <x:v>Sizzling Chicken Fajita Wrap</x:v>
      </x:c>
      <x:c r="E28" s="10" t="str">
        <x:v>Food &amp; Drinks</x:v>
      </x:c>
      <x:c r="F28" s="10" t="str">
        <x:v>1 frozen wrap</x:v>
      </x:c>
      <x:c r="G28" s="10" t="str">
        <x:v>Stocked in gym</x:v>
      </x:c>
      <x:c r="H28" s="10" t="str"/>
      <x:c r="I28" s="22"/>
      <x:c r="J28" s="10" t="str">
        <x:v>No - price TBC</x:v>
      </x:c>
      <x:c r="K28" s="10" t="str">
        <x:v>No</x:v>
      </x:c>
      <x:c r="L28" s="10" t="n">
        <x:v>332</x:v>
      </x:c>
      <x:c r="M28" s="10" t="n">
        <x:v>21</x:v>
      </x:c>
      <x:c r="N28" s="10" t="str">
        <x:v>https://www.mygsn.co.uk/product/gsn-sizzling-chicken-fajita-high-protein-wrap/</x:v>
      </x:c>
      <x:c r="O28" s="10" t="str">
        <x:v>https://www.mygsn.co.uk/wp-content/uploads/2024/07/fajita-wrap-product-image.jpg</x:v>
      </x:c>
      <x:c r="P28" s="10" t="str">
        <x:v>Verified official GSN image</x:v>
      </x:c>
      <x:c r="Q28" s="10" t="str">
        <x:v>Partial verified</x:v>
      </x:c>
      <x:c r="R28" s="10" t="str">
        <x:v>Local stock count to follow. Madhouse retail price not supplied yet; not placed into £4/10-for-£32 deal.</x:v>
      </x:c>
    </x:row>
    <x:row r="29">
      <x:c r="A29" s="10" t="str">
        <x:v>Madhouse local stock</x:v>
      </x:c>
      <x:c r="B29" s="10" t="str">
        <x:v>GSN</x:v>
      </x:c>
      <x:c r="C29" s="10" t="str">
        <x:v>High Protein Wraps</x:v>
      </x:c>
      <x:c r="D29" s="10" t="str">
        <x:v>Sticky BBQ Chicken Wrap</x:v>
      </x:c>
      <x:c r="E29" s="10" t="str">
        <x:v>Food &amp; Drinks</x:v>
      </x:c>
      <x:c r="F29" s="10" t="str">
        <x:v>1 frozen wrap</x:v>
      </x:c>
      <x:c r="G29" s="10" t="str">
        <x:v>Stocked in gym</x:v>
      </x:c>
      <x:c r="H29" s="10" t="str"/>
      <x:c r="I29" s="22"/>
      <x:c r="J29" s="10" t="str">
        <x:v>No - price TBC</x:v>
      </x:c>
      <x:c r="K29" s="10" t="str">
        <x:v>No</x:v>
      </x:c>
      <x:c r="L29" s="10" t="n">
        <x:v>336</x:v>
      </x:c>
      <x:c r="M29" s="10" t="n">
        <x:v>20.26</x:v>
      </x:c>
      <x:c r="N29" s="10" t="str">
        <x:v>https://www.mygsn.co.uk/product/gsn-sticky-bbq-chicken-high-protein-wrap/</x:v>
      </x:c>
      <x:c r="O29" s="10" t="str">
        <x:v>https://www.mygsn.co.uk/wp-content/uploads/2024/07/sticky-bbq-wrap-product-image.jpg</x:v>
      </x:c>
      <x:c r="P29" s="10" t="str">
        <x:v>Verified official GSN image</x:v>
      </x:c>
      <x:c r="Q29" s="10" t="str">
        <x:v>Partial verified</x:v>
      </x:c>
      <x:c r="R29" s="10" t="str">
        <x:v>Local stock count to follow. Madhouse retail price not supplied yet; not placed into £4/10-for-£32 deal.</x:v>
      </x:c>
    </x:row>
    <x:row r="30">
      <x:c r="A30" s="10" t="str">
        <x:v>Madhouse local stock</x:v>
      </x:c>
      <x:c r="B30" s="10" t="str">
        <x:v>GSN</x:v>
      </x:c>
      <x:c r="C30" s="10" t="str">
        <x:v>High Protein Wraps</x:v>
      </x:c>
      <x:c r="D30" s="10" t="str">
        <x:v>Aromatic Salt &amp; Pepper Wrap</x:v>
      </x:c>
      <x:c r="E30" s="10" t="str">
        <x:v>Food &amp; Drinks</x:v>
      </x:c>
      <x:c r="F30" s="10" t="str">
        <x:v>1 frozen wrap</x:v>
      </x:c>
      <x:c r="G30" s="10" t="str">
        <x:v>Stocked in gym</x:v>
      </x:c>
      <x:c r="H30" s="10" t="str"/>
      <x:c r="I30" s="22"/>
      <x:c r="J30" s="10" t="str">
        <x:v>No - price TBC</x:v>
      </x:c>
      <x:c r="K30" s="10" t="str">
        <x:v>No</x:v>
      </x:c>
      <x:c r="L30" s="10" t="n">
        <x:v>309</x:v>
      </x:c>
      <x:c r="M30" s="10" t="n">
        <x:v>21.9</x:v>
      </x:c>
      <x:c r="N30" s="10" t="str">
        <x:v>https://www.mygsn.co.uk/product/gsn-aromatic-salt-pepper-chicken-high-protein-wrap/</x:v>
      </x:c>
      <x:c r="O30" s="10" t="str">
        <x:v>https://www.mygsn.co.uk/wp-content/uploads/2024/07/salt-and-pepper-wrap-product-image.jpg</x:v>
      </x:c>
      <x:c r="P30" s="10" t="str">
        <x:v>Verified official GSN image</x:v>
      </x:c>
      <x:c r="Q30" s="10" t="str">
        <x:v>Partial verified</x:v>
      </x:c>
      <x:c r="R30" s="10" t="str">
        <x:v>Local stock count to follow. Madhouse retail price not supplied yet; not placed into £4/10-for-£32 deal.</x:v>
      </x:c>
    </x:row>
    <x:row r="31">
      <x:c r="A31" s="10" t="str">
        <x:v>Madhouse local stock</x:v>
      </x:c>
      <x:c r="B31" s="10" t="str">
        <x:v>GSN</x:v>
      </x:c>
      <x:c r="C31" s="10" t="str">
        <x:v>High Protein Wraps</x:v>
      </x:c>
      <x:c r="D31" s="10" t="str">
        <x:v>English Breakfast Wrap</x:v>
      </x:c>
      <x:c r="E31" s="10" t="str">
        <x:v>Food &amp; Drinks</x:v>
      </x:c>
      <x:c r="F31" s="10" t="str">
        <x:v>1 frozen wrap</x:v>
      </x:c>
      <x:c r="G31" s="10" t="str">
        <x:v>Stocked in gym</x:v>
      </x:c>
      <x:c r="H31" s="10" t="str"/>
      <x:c r="I31" s="22"/>
      <x:c r="J31" s="10" t="str">
        <x:v>No - price TBC</x:v>
      </x:c>
      <x:c r="K31" s="10" t="str">
        <x:v>No</x:v>
      </x:c>
      <x:c r="L31" s="10" t="n">
        <x:v>363</x:v>
      </x:c>
      <x:c r="M31" s="10" t="n">
        <x:v>20.52</x:v>
      </x:c>
      <x:c r="N31" s="10" t="str">
        <x:v>https://www.mygsn.co.uk/product/gsn-classic-english-breakfast-high-protein-wrap/</x:v>
      </x:c>
      <x:c r="O31" s="10" t="str">
        <x:v>https://www.mygsn.co.uk/wp-content/uploads/2024/07/breakfast-wrap-product-image.jpg</x:v>
      </x:c>
      <x:c r="P31" s="10" t="str">
        <x:v>Verified official GSN image</x:v>
      </x:c>
      <x:c r="Q31" s="10" t="str">
        <x:v>Partial verified</x:v>
      </x:c>
      <x:c r="R31" s="10" t="str">
        <x:v>Local stock count to follow. Madhouse retail price not supplied yet; not placed into £4/10-for-£32 deal.</x:v>
      </x:c>
    </x:row>
    <x:row r="32">
      <x:c r="A32" s="10" t="str">
        <x:v>Madhouse local stock</x:v>
      </x:c>
      <x:c r="B32" s="10" t="str">
        <x:v>GSN</x:v>
      </x:c>
      <x:c r="C32" s="10" t="str">
        <x:v>High Protein Wraps</x:v>
      </x:c>
      <x:c r="D32" s="10" t="str">
        <x:v>Greek Souvlaki Chicken Wrap</x:v>
      </x:c>
      <x:c r="E32" s="10" t="str">
        <x:v>Food &amp; Drinks</x:v>
      </x:c>
      <x:c r="F32" s="10" t="str">
        <x:v>1 frozen wrap</x:v>
      </x:c>
      <x:c r="G32" s="10" t="str">
        <x:v>Stocked in gym</x:v>
      </x:c>
      <x:c r="H32" s="10" t="str"/>
      <x:c r="I32" s="22"/>
      <x:c r="J32" s="10" t="str">
        <x:v>No - price TBC</x:v>
      </x:c>
      <x:c r="K32" s="10" t="str">
        <x:v>No</x:v>
      </x:c>
      <x:c r="L32" s="10" t="n">
        <x:v>363</x:v>
      </x:c>
      <x:c r="M32" s="10" t="n">
        <x:v>20</x:v>
      </x:c>
      <x:c r="N32" s="10" t="str">
        <x:v>https://www.mygsn.co.uk/product/greek-souvlaki-wrap/</x:v>
      </x:c>
      <x:c r="O32" s="10" t="str">
        <x:v>https://www.mygsn.co.uk/wp-content/uploads/2025/01/Greek-Wrap-Web.jpg</x:v>
      </x:c>
      <x:c r="P32" s="10" t="str">
        <x:v>Verified official GSN image</x:v>
      </x:c>
      <x:c r="Q32" s="10" t="str">
        <x:v>Partial verified</x:v>
      </x:c>
      <x:c r="R32" s="10" t="str">
        <x:v>Local stock count to follow. Madhouse retail price not supplied yet; not placed into £4/10-for-£32 deal.</x:v>
      </x:c>
    </x:row>
    <x:row r="33">
      <x:c r="A33" s="10" t="str">
        <x:v>Madhouse local stock</x:v>
      </x:c>
      <x:c r="B33" s="10" t="str">
        <x:v>GSN</x:v>
      </x:c>
      <x:c r="C33" s="10" t="str">
        <x:v>High Protein Wraps</x:v>
      </x:c>
      <x:c r="D33" s="10" t="str">
        <x:v>Korean Sweet Chilli Wrap</x:v>
      </x:c>
      <x:c r="E33" s="10" t="str">
        <x:v>Food &amp; Drinks</x:v>
      </x:c>
      <x:c r="F33" s="10" t="str">
        <x:v>1 frozen wrap</x:v>
      </x:c>
      <x:c r="G33" s="10" t="str">
        <x:v>Stocked in gym</x:v>
      </x:c>
      <x:c r="H33" s="10" t="str"/>
      <x:c r="I33" s="22"/>
      <x:c r="J33" s="10" t="str">
        <x:v>No - price TBC</x:v>
      </x:c>
      <x:c r="K33" s="10" t="str">
        <x:v>No</x:v>
      </x:c>
      <x:c r="L33" s="10" t="n">
        <x:v>342</x:v>
      </x:c>
      <x:c r="M33" s="10" t="n">
        <x:v>20.2</x:v>
      </x:c>
      <x:c r="N33" s="10" t="str">
        <x:v>https://www.mygsn.co.uk/product/korean-sweet-chilli-wrap/</x:v>
      </x:c>
      <x:c r="O33" s="10" t="str">
        <x:v>https://www.mygsn.co.uk/wp-content/uploads/2025/01/Korean-Wrap-Web.jpg</x:v>
      </x:c>
      <x:c r="P33" s="10" t="str">
        <x:v>Verified official GSN image</x:v>
      </x:c>
      <x:c r="Q33" s="10" t="str">
        <x:v>Partial verified</x:v>
      </x:c>
      <x:c r="R33" s="10" t="str">
        <x:v>Local stock count to follow. Madhouse retail price not supplied yet; not placed into £4/10-for-£32 deal.</x:v>
      </x:c>
    </x:row>
    <x:row r="34">
      <x:c r="A34" s="10" t="str">
        <x:v>Madhouse local stock</x:v>
      </x:c>
      <x:c r="B34" s="10" t="str">
        <x:v>GSN</x:v>
      </x:c>
      <x:c r="C34" s="10" t="str">
        <x:v>High Protein Wraps</x:v>
      </x:c>
      <x:c r="D34" s="10" t="str">
        <x:v>Tender Chicken Tikka Wrap</x:v>
      </x:c>
      <x:c r="E34" s="10" t="str">
        <x:v>Food &amp; Drinks</x:v>
      </x:c>
      <x:c r="F34" s="10" t="str">
        <x:v>1 frozen wrap</x:v>
      </x:c>
      <x:c r="G34" s="10" t="str">
        <x:v>Stocked in gym</x:v>
      </x:c>
      <x:c r="H34" s="10" t="str"/>
      <x:c r="I34" s="22"/>
      <x:c r="J34" s="10" t="str">
        <x:v>No - price TBC</x:v>
      </x:c>
      <x:c r="K34" s="10" t="str">
        <x:v>No</x:v>
      </x:c>
      <x:c r="L34" s="10" t="n">
        <x:v>362</x:v>
      </x:c>
      <x:c r="M34" s="10" t="n">
        <x:v>20.4</x:v>
      </x:c>
      <x:c r="N34" s="10" t="str">
        <x:v>https://www.mygsn.co.uk/product/gsn-chicken-tikka-high-protein-wrap/</x:v>
      </x:c>
      <x:c r="O34" s="10" t="str">
        <x:v>https://www.mygsn.co.uk/wp-content/uploads/2024/07/chicken-tikka-wrap-product-image.jpg</x:v>
      </x:c>
      <x:c r="P34" s="10" t="str">
        <x:v>Verified official GSN image</x:v>
      </x:c>
      <x:c r="Q34" s="10" t="str">
        <x:v>Partial verified</x:v>
      </x:c>
      <x:c r="R34" s="10" t="str">
        <x:v>Local stock count to follow. Madhouse retail price not supplied yet; not placed into £4/10-for-£32 deal.</x:v>
      </x:c>
    </x:row>
    <x:row r="35">
      <x:c r="A35" s="10" t="str">
        <x:v>Madhouse local stock</x:v>
      </x:c>
      <x:c r="B35" s="10" t="str">
        <x:v>GSN</x:v>
      </x:c>
      <x:c r="C35" s="10" t="str">
        <x:v>Signature Meals</x:v>
      </x:c>
      <x:c r="D35" s="10" t="str">
        <x:v>Firecracker Salmon &amp; Jasmine Rice</x:v>
      </x:c>
      <x:c r="E35" s="10" t="str">
        <x:v>Food &amp; Drinks</x:v>
      </x:c>
      <x:c r="F35" s="10" t="str">
        <x:v>1 frozen meal</x:v>
      </x:c>
      <x:c r="G35" s="10" t="str">
        <x:v>Stocked in gym</x:v>
      </x:c>
      <x:c r="H35" s="10" t="str"/>
      <x:c r="I35" s="22"/>
      <x:c r="J35" s="10" t="str">
        <x:v>No - price TBC</x:v>
      </x:c>
      <x:c r="K35" s="10" t="str">
        <x:v>No</x:v>
      </x:c>
      <x:c r="L35" s="10" t="n">
        <x:v>359</x:v>
      </x:c>
      <x:c r="M35" s="10" t="n">
        <x:v>30.2</x:v>
      </x:c>
      <x:c r="N35" s="10" t="str">
        <x:v>https://www.mygsn.co.uk/product/firecracker-salmon-jasmine-rice/</x:v>
      </x:c>
      <x:c r="O35" s="10" t="str">
        <x:v>https://www.mygsn.co.uk/wp-content/uploads/2025/11/FIRECRACKER-SALMON-BOWL_S2-1.jpg</x:v>
      </x:c>
      <x:c r="P35" s="10" t="str">
        <x:v>Verified official GSN image</x:v>
      </x:c>
      <x:c r="Q35" s="10" t="str">
        <x:v>Full nutrition verified</x:v>
      </x:c>
      <x:c r="R35" s="10" t="str">
        <x:v>Local stock count to follow. Madhouse retail price not supplied yet; not placed into £4/10-for-£32 deal.</x:v>
      </x:c>
    </x:row>
    <x:row r="36">
      <x:c r="A36" s="10" t="str">
        <x:v>Madhouse local stock</x:v>
      </x:c>
      <x:c r="B36" s="10" t="str">
        <x:v>GSN</x:v>
      </x:c>
      <x:c r="C36" s="10" t="str">
        <x:v>Signature Meals</x:v>
      </x:c>
      <x:c r="D36" s="10" t="str">
        <x:v>Sri Lankan Pork Curry</x:v>
      </x:c>
      <x:c r="E36" s="10" t="str">
        <x:v>Food &amp; Drinks</x:v>
      </x:c>
      <x:c r="F36" s="10" t="str">
        <x:v>1 frozen meal</x:v>
      </x:c>
      <x:c r="G36" s="10" t="str">
        <x:v>Stocked in gym</x:v>
      </x:c>
      <x:c r="H36" s="10" t="str"/>
      <x:c r="I36" s="22"/>
      <x:c r="J36" s="10" t="str">
        <x:v>No - price TBC</x:v>
      </x:c>
      <x:c r="K36" s="10" t="str">
        <x:v>No</x:v>
      </x:c>
      <x:c r="L36" s="10" t="n">
        <x:v>510</x:v>
      </x:c>
      <x:c r="M36" s="10" t="n">
        <x:v>43.1</x:v>
      </x:c>
      <x:c r="N36" s="10" t="str">
        <x:v>https://www.mygsn.co.uk/product/sri-lankan-pork-curry/</x:v>
      </x:c>
      <x:c r="O36" s="10" t="str">
        <x:v>https://www.mygsn.co.uk/wp-content/uploads/2025/08/SRI-LANKAN-PORK-CURRY-BOWL_S2.jpg</x:v>
      </x:c>
      <x:c r="P36" s="10" t="str">
        <x:v>Verified official GSN image</x:v>
      </x:c>
      <x:c r="Q36" s="10" t="str">
        <x:v>Partial verified</x:v>
      </x:c>
      <x:c r="R36" s="10" t="str">
        <x:v>Local stock count to follow. Madhouse retail price not supplied yet; not placed into £4/10-for-£32 deal.</x:v>
      </x:c>
    </x:row>
    <x:row r="37">
      <x:c r="A37" s="10" t="str">
        <x:v>Madhouse local stock</x:v>
      </x:c>
      <x:c r="B37" s="10" t="str">
        <x:v>GSN</x:v>
      </x:c>
      <x:c r="C37" s="10" t="str">
        <x:v>Signature Meals</x:v>
      </x:c>
      <x:c r="D37" s="10" t="str">
        <x:v>Slow Cooked Beef Ragu</x:v>
      </x:c>
      <x:c r="E37" s="10" t="str">
        <x:v>Food &amp; Drinks</x:v>
      </x:c>
      <x:c r="F37" s="10" t="str">
        <x:v>1 frozen meal</x:v>
      </x:c>
      <x:c r="G37" s="10" t="str">
        <x:v>Stocked in gym</x:v>
      </x:c>
      <x:c r="H37" s="10" t="str"/>
      <x:c r="I37" s="22"/>
      <x:c r="J37" s="10" t="str">
        <x:v>No - price TBC</x:v>
      </x:c>
      <x:c r="K37" s="10" t="str">
        <x:v>No</x:v>
      </x:c>
      <x:c r="L37" s="10" t="n">
        <x:v>468</x:v>
      </x:c>
      <x:c r="M37" s="10" t="n">
        <x:v>28.1</x:v>
      </x:c>
      <x:c r="N37" s="10" t="str">
        <x:v>https://www.mygsn.co.uk/product/slow-cooked-beef-ragu/</x:v>
      </x:c>
      <x:c r="O37" s="10" t="str">
        <x:v>https://www.mygsn.co.uk/wp-content/uploads/2024/10/meatball-ragu-flat-lay-cut-out-copy-WEB.jpg</x:v>
      </x:c>
      <x:c r="P37" s="10" t="str">
        <x:v>Verified official GSN image</x:v>
      </x:c>
      <x:c r="Q37" s="10" t="str">
        <x:v>Partial verified</x:v>
      </x:c>
      <x:c r="R37" s="10" t="str">
        <x:v>Local stock count to follow. Madhouse retail price not supplied yet; not placed into £4/10-for-£32 deal.</x:v>
      </x:c>
    </x:row>
    <x:row r="38">
      <x:c r="A38" s="10" t="str">
        <x:v>Madhouse local stock</x:v>
      </x:c>
      <x:c r="B38" s="10" t="str">
        <x:v>GSN</x:v>
      </x:c>
      <x:c r="C38" s="10" t="str">
        <x:v>Signature Meals</x:v>
      </x:c>
      <x:c r="D38" s="10" t="str">
        <x:v>Hearty Lamb Hotpot</x:v>
      </x:c>
      <x:c r="E38" s="10" t="str">
        <x:v>Food &amp; Drinks</x:v>
      </x:c>
      <x:c r="F38" s="10" t="str">
        <x:v>1 frozen meal</x:v>
      </x:c>
      <x:c r="G38" s="10" t="str">
        <x:v>Stocked in gym</x:v>
      </x:c>
      <x:c r="H38" s="10" t="str"/>
      <x:c r="I38" s="22"/>
      <x:c r="J38" s="10" t="str">
        <x:v>No - price TBC</x:v>
      </x:c>
      <x:c r="K38" s="10" t="str">
        <x:v>No</x:v>
      </x:c>
      <x:c r="L38" s="10" t="n">
        <x:v>464</x:v>
      </x:c>
      <x:c r="M38" s="10" t="n">
        <x:v>30</x:v>
      </x:c>
      <x:c r="N38" s="10" t="str">
        <x:v>https://www.mygsn.co.uk/product/hearty-lamb-hotpot/</x:v>
      </x:c>
      <x:c r="O38" s="10" t="str">
        <x:v>https://www.mygsn.co.uk/wp-content/uploads/2024/10/hot-pot-flat-lay-cut-out-copy-WEB.jpg</x:v>
      </x:c>
      <x:c r="P38" s="10" t="str">
        <x:v>Verified official GSN image</x:v>
      </x:c>
      <x:c r="Q38" s="10" t="str">
        <x:v>Partial verified</x:v>
      </x:c>
      <x:c r="R38" s="10" t="str">
        <x:v>Local stock count to follow. Madhouse retail price not supplied yet; not placed into £4/10-for-£32 deal.</x:v>
      </x:c>
    </x:row>
    <x:row r="39">
      <x:c r="A39" s="10" t="str">
        <x:v>Madhouse local stock</x:v>
      </x:c>
      <x:c r="B39" s="10" t="str">
        <x:v>GSN</x:v>
      </x:c>
      <x:c r="C39" s="10" t="str">
        <x:v>Signature Meals</x:v>
      </x:c>
      <x:c r="D39" s="10" t="str">
        <x:v>Panang Chicken Curry</x:v>
      </x:c>
      <x:c r="E39" s="10" t="str">
        <x:v>Food &amp; Drinks</x:v>
      </x:c>
      <x:c r="F39" s="10" t="str">
        <x:v>1 frozen meal</x:v>
      </x:c>
      <x:c r="G39" s="10" t="str">
        <x:v>Stocked in gym</x:v>
      </x:c>
      <x:c r="H39" s="10" t="str"/>
      <x:c r="I39" s="22"/>
      <x:c r="J39" s="10" t="str">
        <x:v>No - price TBC</x:v>
      </x:c>
      <x:c r="K39" s="10" t="str">
        <x:v>No</x:v>
      </x:c>
      <x:c r="L39" s="10" t="n">
        <x:v>720</x:v>
      </x:c>
      <x:c r="M39" s="10" t="n">
        <x:v>58.5</x:v>
      </x:c>
      <x:c r="N39" s="10" t="str">
        <x:v>https://www.mygsn.co.uk/product/panang-chicken-curry/</x:v>
      </x:c>
      <x:c r="O39" s="10" t="str">
        <x:v>https://www.mygsn.co.uk/wp-content/uploads/2024/10/paneng-flat-lay-cut-out-copy-WEB.jpg</x:v>
      </x:c>
      <x:c r="P39" s="10" t="str">
        <x:v>Verified official GSN image</x:v>
      </x:c>
      <x:c r="Q39" s="10" t="str">
        <x:v>Partial verified</x:v>
      </x:c>
      <x:c r="R39" s="10" t="str">
        <x:v>Local stock count to follow. Madhouse retail price not supplied yet; not placed into £4/10-for-£32 deal.</x:v>
      </x:c>
    </x:row>
    <x:row r="40">
      <x:c r="A40" t="str">
        <x:v>Madhouse local stock</x:v>
      </x:c>
      <x:c r="B40" t="str">
        <x:v>GSN</x:v>
      </x:c>
      <x:c r="C40" t="str">
        <x:v>Signature Meals</x:v>
      </x:c>
      <x:c r="D40" t="str">
        <x:v>Chicken Tikka Dhal</x:v>
      </x:c>
      <x:c r="E40" t="str">
        <x:v>Food &amp; Drinks</x:v>
      </x:c>
      <x:c r="F40" t="str">
        <x:v>1 frozen meal</x:v>
      </x:c>
      <x:c r="G40" t="str">
        <x:v>Do not assume current Madhouse stock</x:v>
      </x:c>
      <x:c r="H40" t="str"/>
      <x:c r="I40" s="36"/>
      <x:c r="J40" t="str">
        <x:v>No - not current range</x:v>
      </x:c>
      <x:c r="K40" t="str">
        <x:v>No</x:v>
      </x:c>
      <x:c r="L40" t="n">
        <x:v>448</x:v>
      </x:c>
      <x:c r="M40" t="n">
        <x:v>33.9</x:v>
      </x:c>
      <x:c r="N40" t="str">
        <x:v>https://www.mygsn.co.uk/product/4-x-signature-meals/</x:v>
      </x:c>
      <x:c r="O40" t="str"/>
      <x:c r="P40" t="str">
        <x:v>No current category image</x:v>
      </x:c>
      <x:c r="Q40" t="str">
        <x:v>Historical/bundle-only reference</x:v>
      </x:c>
      <x:c r="R40" t="str">
        <x:v>Not listed in current official 5-meal Signature range as of 2026-09-08. Keep as reference only; do not import as current local stock unless Madhouse confirms it physically exists.</x:v>
      </x:c>
    </x:row>
  </x:sheetData>
  <x:pageMargins left="0.7" right="0.7" top="0.75" bottom="0.75" header="0.3" footer="0.3"/>
  <x:tableParts count="1">
    <x:tablePart xmlns:r="http://schemas.openxmlformats.org/officeDocument/2006/relationships" r:id="R6a4b000351bd47c5"/>
  </x:tableParts>
</x:worksheet>
</file>

<file path=xl/worksheets/sheet7.xml><?xml version="1.0" encoding="utf-8"?>
<x:worksheet xmlns:x="http://schemas.openxmlformats.org/spreadsheetml/2006/main">
  <x:sheetFormatPr defaultRowHeight="15"/>
  <x:cols>
    <x:col min="1" max="1" width="10" hidden="0" customWidth="1"/>
    <x:col min="2" max="2" width="20" hidden="0" customWidth="1"/>
    <x:col min="3" max="3" width="36" hidden="0" customWidth="1"/>
    <x:col min="4" max="4" width="16" hidden="0" customWidth="1"/>
    <x:col min="5" max="5" width="10" hidden="0" customWidth="1"/>
    <x:col min="6" max="6" width="12" hidden="0" customWidth="1"/>
    <x:col min="7" max="7" width="10" hidden="0" customWidth="1"/>
    <x:col min="8" max="8" width="10" hidden="0" customWidth="1"/>
    <x:col min="9" max="9" width="10" hidden="0" customWidth="1"/>
    <x:col min="10" max="10" width="12" hidden="0" customWidth="1"/>
    <x:col min="11" max="11" width="10" hidden="0" customWidth="1"/>
    <x:col min="12" max="12" width="10" hidden="0" customWidth="1"/>
    <x:col min="13" max="13" width="14" hidden="0" customWidth="1"/>
    <x:col min="14" max="14" width="44" hidden="0" customWidth="1"/>
    <x:col min="15" max="15" width="34" hidden="0" customWidth="1"/>
    <x:col min="16" max="16" width="44" hidden="0" customWidth="1"/>
    <x:col min="17" max="17" width="44" hidden="0" customWidth="1"/>
    <x:col min="18" max="18" width="38" hidden="0" customWidth="1"/>
  </x:cols>
  <x:sheetData>
    <x:row r="1">
      <x:c r="A1" s="25" t="str">
        <x:v>Brand</x:v>
      </x:c>
      <x:c r="B1" s="25" t="str">
        <x:v>Range</x:v>
      </x:c>
      <x:c r="C1" s="25" t="str">
        <x:v>Product / Variant</x:v>
      </x:c>
      <x:c r="D1" s="25" t="str">
        <x:v>Nutrition Basis</x:v>
      </x:c>
      <x:c r="E1" s="25" t="str">
        <x:v>Kcal</x:v>
      </x:c>
      <x:c r="F1" s="25" t="str">
        <x:v>Protein g</x:v>
      </x:c>
      <x:c r="G1" s="25" t="str">
        <x:v>Carbs g</x:v>
      </x:c>
      <x:c r="H1" s="25" t="str">
        <x:v>Sugars g</x:v>
      </x:c>
      <x:c r="I1" s="25" t="str">
        <x:v>Fat g</x:v>
      </x:c>
      <x:c r="J1" s="25" t="str">
        <x:v>Saturates g</x:v>
      </x:c>
      <x:c r="K1" s="25" t="str">
        <x:v>Fibre g</x:v>
      </x:c>
      <x:c r="L1" s="25" t="str">
        <x:v>Salt g</x:v>
      </x:c>
      <x:c r="M1" s="25" t="str">
        <x:v>Serving Size</x:v>
      </x:c>
      <x:c r="N1" s="25" t="str">
        <x:v>Ingredients</x:v>
      </x:c>
      <x:c r="O1" s="25" t="str">
        <x:v>Allergens</x:v>
      </x:c>
      <x:c r="P1" s="25" t="str">
        <x:v>Official Product URL</x:v>
      </x:c>
      <x:c r="Q1" s="25" t="str">
        <x:v>Official Image URL</x:v>
      </x:c>
      <x:c r="R1" s="25" t="str">
        <x:v>Verification</x:v>
      </x:c>
    </x:row>
    <x:row r="2">
      <x:c r="A2" s="10" t="str">
        <x:v>GSN</x:v>
      </x:c>
      <x:c r="B2" s="10" t="str">
        <x:v>Pot O Gold</x:v>
      </x:c>
      <x:c r="C2" s="10" t="str">
        <x:v>Chicken Chow Mein with Stir Fry Vegetables</x:v>
      </x:c>
      <x:c r="D2" s="10" t="str">
        <x:v>Per serving</x:v>
      </x:c>
      <x:c r="E2" s="10" t="n">
        <x:v>372</x:v>
      </x:c>
      <x:c r="F2" s="10" t="n">
        <x:v>32.8</x:v>
      </x:c>
      <x:c r="G2" s="10" t="str"/>
      <x:c r="H2" s="10" t="str"/>
      <x:c r="I2" s="10" t="str"/>
      <x:c r="J2" s="10" t="str"/>
      <x:c r="K2" s="10" t="str"/>
      <x:c r="L2" s="10" t="str"/>
      <x:c r="M2" s="10" t="str">
        <x:v>1 meal</x:v>
      </x:c>
      <x:c r="N2" s="10" t="str"/>
      <x:c r="O2" s="10" t="str"/>
      <x:c r="P2" s="10" t="str">
        <x:v>https://www.mygsn.co.uk/product/chicken-chow-mein-with-stir-fry-vegetables/</x:v>
      </x:c>
      <x:c r="Q2" s="10" t="str"/>
      <x:c r="R2" s="10" t="str">
        <x:v>Exact current official GSN product page verified; existing kcal/protein retained; remaining full nutrition/image enrichment pending.</x:v>
      </x:c>
    </x:row>
    <x:row r="3">
      <x:c r="A3" s="10" t="str">
        <x:v>GSN</x:v>
      </x:c>
      <x:c r="B3" s="10" t="str">
        <x:v>Pot O Gold</x:v>
      </x:c>
      <x:c r="C3" s="10" t="str">
        <x:v>BBQ Chicken &amp; Mexican Rice</x:v>
      </x:c>
      <x:c r="D3" s="10" t="str">
        <x:v>Per serving</x:v>
      </x:c>
      <x:c r="E3" s="10" t="n">
        <x:v>309</x:v>
      </x:c>
      <x:c r="F3" s="10" t="n">
        <x:v>33.5</x:v>
      </x:c>
      <x:c r="G3" s="10" t="str"/>
      <x:c r="H3" s="10" t="str"/>
      <x:c r="I3" s="10" t="str"/>
      <x:c r="J3" s="10" t="str"/>
      <x:c r="K3" s="10" t="str"/>
      <x:c r="L3" s="10" t="str"/>
      <x:c r="M3" s="10" t="str">
        <x:v>1 meal</x:v>
      </x:c>
      <x:c r="N3" s="10" t="str"/>
      <x:c r="O3" s="10" t="str"/>
      <x:c r="P3" s="10" t="str">
        <x:v>https://www.mygsn.co.uk/product-category/pot-of-gold-meals/</x:v>
      </x:c>
      <x:c r="Q3" s="10" t="str"/>
      <x:c r="R3" s="10" t="str">
        <x:v>Official GSN kcal/protein verified; full panel/image pending extraction</x:v>
      </x:c>
    </x:row>
    <x:row r="4">
      <x:c r="A4" s="10" t="str">
        <x:v>GSN</x:v>
      </x:c>
      <x:c r="B4" s="10" t="str">
        <x:v>Pot O Gold</x:v>
      </x:c>
      <x:c r="C4" s="10" t="str">
        <x:v>Chicken Arrabbiata Pasta with Red Pepper</x:v>
      </x:c>
      <x:c r="D4" s="10" t="str">
        <x:v>Per serving</x:v>
      </x:c>
      <x:c r="E4" s="10" t="n">
        <x:v>462</x:v>
      </x:c>
      <x:c r="F4" s="10" t="n">
        <x:v>31.2</x:v>
      </x:c>
      <x:c r="G4" s="10" t="n">
        <x:v>61.5</x:v>
      </x:c>
      <x:c r="H4" s="10" t="n">
        <x:v>8.5</x:v>
      </x:c>
      <x:c r="I4" s="10" t="n">
        <x:v>11.3</x:v>
      </x:c>
      <x:c r="J4" s="10" t="n">
        <x:v>2.7</x:v>
      </x:c>
      <x:c r="K4" s="10" t="n">
        <x:v>6.6</x:v>
      </x:c>
      <x:c r="L4" s="10" t="n">
        <x:v>1.63</x:v>
      </x:c>
      <x:c r="M4" s="10" t="str">
        <x:v>1 meal</x:v>
      </x:c>
      <x:c r="N4" s="10" t="str">
        <x:v>Chicken breast (27%), water, whole durum WHEAT pasta, red pepper, kale, tomato puree, cherry tomatoes, onion, olive pomace oil, sundried tomato puree, garlic puree, sea salt, Grana Padano cheese (MILK, lysozyme (EGG)), sugar, red wine vinegar (SULPHITES), red chilli puree, basil, black pepper, chilli flakes, oregano.</x:v>
      </x:c>
      <x:c r="O4" s="10" t="str">
        <x:v>Contains WHEAT, MILK, EGG and SULPHITES. Produced in a factory that handles nuts, peanuts and sesame.</x:v>
      </x:c>
      <x:c r="P4" s="10" t="str">
        <x:v>https://www.mygsn.co.uk/product/chicken-arrabbiata-pasta-with-red-pepper/</x:v>
      </x:c>
      <x:c r="Q4" s="10" t="str"/>
      <x:c r="R4" s="10" t="str">
        <x:v>Full per-serving nutrition plus ingredients/allergen summary verified from current official GSN product page.</x:v>
      </x:c>
    </x:row>
    <x:row r="5">
      <x:c r="A5" s="10" t="str">
        <x:v>GSN</x:v>
      </x:c>
      <x:c r="B5" s="10" t="str">
        <x:v>Pot O Gold</x:v>
      </x:c>
      <x:c r="C5" s="10" t="str">
        <x:v>Chicken Macaroni Cheese &amp; Greens</x:v>
      </x:c>
      <x:c r="D5" s="10" t="str">
        <x:v>Per serving</x:v>
      </x:c>
      <x:c r="E5" s="10" t="n">
        <x:v>370</x:v>
      </x:c>
      <x:c r="F5" s="10" t="n">
        <x:v>40</x:v>
      </x:c>
      <x:c r="G5" s="10" t="n">
        <x:v>36</x:v>
      </x:c>
      <x:c r="H5" s="10" t="n">
        <x:v>2.9</x:v>
      </x:c>
      <x:c r="I5" s="10" t="n">
        <x:v>8.4</x:v>
      </x:c>
      <x:c r="J5" s="10" t="n">
        <x:v>4.6</x:v>
      </x:c>
      <x:c r="K5" s="10" t="n">
        <x:v>1.6</x:v>
      </x:c>
      <x:c r="L5" s="10" t="n">
        <x:v>0.81</x:v>
      </x:c>
      <x:c r="M5" s="10" t="str">
        <x:v>1 meal</x:v>
      </x:c>
      <x:c r="N5" s="10" t="str">
        <x:v>Cooked pasta (durum WHEAT), cheese sauce containing MILK and BARLEY, shredded chicken (25%), cheese (MILK), broccoli, peas, parsley.</x:v>
      </x:c>
      <x:c r="O5" s="10" t="str">
        <x:v>Contains WHEAT, MILK and BARLEY. Produced in a factory that handles nuts, peanuts and sesame.</x:v>
      </x:c>
      <x:c r="P5" s="10" t="str">
        <x:v>https://www.mygsn.co.uk/product/chicken-macaroni-cheese-greens/</x:v>
      </x:c>
      <x:c r="Q5" s="10" t="str"/>
      <x:c r="R5" s="10" t="str">
        <x:v>Full per-serving nutrition plus ingredients/allergen summary verified from current official GSN product page.</x:v>
      </x:c>
    </x:row>
    <x:row r="6">
      <x:c r="A6" s="10" t="str">
        <x:v>GSN</x:v>
      </x:c>
      <x:c r="B6" s="10" t="str">
        <x:v>Pot O Gold</x:v>
      </x:c>
      <x:c r="C6" s="10" t="str">
        <x:v>Pesto Pasta with HECK! Seasoned Chicken</x:v>
      </x:c>
      <x:c r="D6" s="10" t="str">
        <x:v>Per serving</x:v>
      </x:c>
      <x:c r="E6" s="10" t="n">
        <x:v>420</x:v>
      </x:c>
      <x:c r="F6" s="10" t="n">
        <x:v>33.3</x:v>
      </x:c>
      <x:c r="G6" s="10" t="n">
        <x:v>50.7</x:v>
      </x:c>
      <x:c r="H6" s="10" t="n">
        <x:v>5.8</x:v>
      </x:c>
      <x:c r="I6" s="10" t="n">
        <x:v>3.9</x:v>
      </x:c>
      <x:c r="J6" s="10" t="n">
        <x:v>3.1</x:v>
      </x:c>
      <x:c r="K6" s="10" t="n">
        <x:v>5.2</x:v>
      </x:c>
      <x:c r="L6" s="10" t="n">
        <x:v>0.93</x:v>
      </x:c>
      <x:c r="M6" s="10" t="str">
        <x:v>1 meal</x:v>
      </x:c>
      <x:c r="N6" s="10" t="str">
        <x:v>Pasta (durum WHEAT), pesto containing SOYA, CASHEW NUTS and MILK-derived lactic acid, HECK! seasoned chicken mince containing SULPHITE, stir-fried vegetables, tomato and mozzarella (MILK).</x:v>
      </x:c>
      <x:c r="O6" s="10" t="str">
        <x:v>Contains WHEAT, SOYA, CASHEW NUTS, MILK and SULPHITES. Produced in a factory that handles nuts, peanuts and sesame.</x:v>
      </x:c>
      <x:c r="P6" s="10" t="str">
        <x:v>https://www.mygsn.co.uk/product/chicken-pesto-pasta/</x:v>
      </x:c>
      <x:c r="Q6" s="10" t="str">
        <x:v>https://www.mygsn.co.uk/wp-content/uploads/2024/06/pesto-pasta-flat-lay-cut-out-copy-WEB.jpg</x:v>
      </x:c>
      <x:c r="R6" s="10" t="str">
        <x:v>Full per-serving nutrition plus ingredients/allergen summary verified from current official GSN product page.</x:v>
      </x:c>
    </x:row>
    <x:row r="7">
      <x:c r="A7" s="10" t="str">
        <x:v>GSN</x:v>
      </x:c>
      <x:c r="B7" s="10" t="str">
        <x:v>Pot O Gold</x:v>
      </x:c>
      <x:c r="C7" s="10" t="str">
        <x:v>Tender Chicken Tikka Masala</x:v>
      </x:c>
      <x:c r="D7" s="10" t="str">
        <x:v>Per serving</x:v>
      </x:c>
      <x:c r="E7" s="10" t="n">
        <x:v>371</x:v>
      </x:c>
      <x:c r="F7" s="10" t="n">
        <x:v>28</x:v>
      </x:c>
      <x:c r="G7" s="10" t="n">
        <x:v>46</x:v>
      </x:c>
      <x:c r="H7" s="10" t="n">
        <x:v>12</x:v>
      </x:c>
      <x:c r="I7" s="10" t="n">
        <x:v>8.4</x:v>
      </x:c>
      <x:c r="J7" s="10" t="n">
        <x:v>2</x:v>
      </x:c>
      <x:c r="K7" s="10" t="n">
        <x:v>2.7</x:v>
      </x:c>
      <x:c r="L7" s="10" t="n">
        <x:v>1.1</x:v>
      </x:c>
      <x:c r="M7" s="10" t="str">
        <x:v>1 meal</x:v>
      </x:c>
      <x:c r="N7" s="10" t="str">
        <x:v>Cooked chicken breast (31%), chopped tomatoes, water, single cream (MILK), onions, full-fat yogurt (MILK), sugar, rapeseed oil, tomato puree, cornflour, ginger, coriander, garlic, garam masala, turmeric, salt, cumin, ground coriander, cooked rice (29%) and red peppers (9%).</x:v>
      </x:c>
      <x:c r="O7" s="10" t="str">
        <x:v>Contains MILK. Produced in a factory that handles nuts, peanuts and sesame.</x:v>
      </x:c>
      <x:c r="P7" s="10" t="str">
        <x:v>https://www.mygsn.co.uk/product/tender-chicken-tikka-masala/</x:v>
      </x:c>
      <x:c r="Q7" s="10" t="str">
        <x:v>https://www.mygsn.co.uk/wp-content/uploads/2024/06/tikka-masala-flat-lay-cut-out-copy-WEB.jpg</x:v>
      </x:c>
      <x:c r="R7" s="10" t="str">
        <x:v>Full per-serving nutrition plus ingredients/allergen summary verified from current official GSN product page.</x:v>
      </x:c>
    </x:row>
    <x:row r="8">
      <x:c r="A8" s="10" t="str">
        <x:v>GSN</x:v>
      </x:c>
      <x:c r="B8" s="10" t="str">
        <x:v>Pot O Gold</x:v>
      </x:c>
      <x:c r="C8" s="10" t="str">
        <x:v>Creamy Peppercorn Chicken Pasta</x:v>
      </x:c>
      <x:c r="D8" s="10" t="str">
        <x:v>Per serving</x:v>
      </x:c>
      <x:c r="E8" s="10" t="n">
        <x:v>445</x:v>
      </x:c>
      <x:c r="F8" s="10" t="n">
        <x:v>36.4</x:v>
      </x:c>
      <x:c r="G8" s="10" t="str"/>
      <x:c r="H8" s="10" t="str"/>
      <x:c r="I8" s="10" t="str"/>
      <x:c r="J8" s="10" t="str"/>
      <x:c r="K8" s="10" t="str"/>
      <x:c r="L8" s="10" t="str"/>
      <x:c r="M8" s="10" t="str">
        <x:v>1 meal</x:v>
      </x:c>
      <x:c r="N8" s="10" t="str"/>
      <x:c r="O8" s="10" t="str"/>
      <x:c r="P8" s="10" t="str">
        <x:v>https://www.mygsn.co.uk/product-category/pot-of-gold-meals/</x:v>
      </x:c>
      <x:c r="Q8" s="10" t="str"/>
      <x:c r="R8" s="10" t="str">
        <x:v>Official GSN kcal/protein verified; full panel/image pending extraction</x:v>
      </x:c>
    </x:row>
    <x:row r="9">
      <x:c r="A9" s="10" t="str">
        <x:v>GSN</x:v>
      </x:c>
      <x:c r="B9" s="10" t="str">
        <x:v>Pot O Gold</x:v>
      </x:c>
      <x:c r="C9" s="10" t="str">
        <x:v>Vegetarian Tempeh Tikka</x:v>
      </x:c>
      <x:c r="D9" s="10" t="str">
        <x:v>Per serving</x:v>
      </x:c>
      <x:c r="E9" s="10" t="n">
        <x:v>469</x:v>
      </x:c>
      <x:c r="F9" s="10" t="n">
        <x:v>28.4</x:v>
      </x:c>
      <x:c r="G9" s="10" t="str"/>
      <x:c r="H9" s="10" t="str"/>
      <x:c r="I9" s="10" t="str"/>
      <x:c r="J9" s="10" t="str"/>
      <x:c r="K9" s="10" t="str"/>
      <x:c r="L9" s="10" t="str"/>
      <x:c r="M9" s="10" t="str">
        <x:v>1 meal</x:v>
      </x:c>
      <x:c r="N9" s="10" t="str"/>
      <x:c r="O9" s="10" t="str"/>
      <x:c r="P9" s="10" t="str">
        <x:v>https://www.mygsn.co.uk/product-category/pot-of-gold-meals/</x:v>
      </x:c>
      <x:c r="Q9" s="10" t="str"/>
      <x:c r="R9" s="10" t="str">
        <x:v>Official GSN kcal/protein verified; full panel/image pending extraction</x:v>
      </x:c>
    </x:row>
    <x:row r="10">
      <x:c r="A10" s="10" t="str">
        <x:v>GSN</x:v>
      </x:c>
      <x:c r="B10" s="10" t="str">
        <x:v>Pot O Gold</x:v>
      </x:c>
      <x:c r="C10" s="10" t="str">
        <x:v>Oriental Sweet &amp; Sour Chicken</x:v>
      </x:c>
      <x:c r="D10" s="10" t="str">
        <x:v>Per serving</x:v>
      </x:c>
      <x:c r="E10" s="10" t="n">
        <x:v>602</x:v>
      </x:c>
      <x:c r="F10" s="10" t="n">
        <x:v>32</x:v>
      </x:c>
      <x:c r="G10" s="10" t="str"/>
      <x:c r="H10" s="10" t="str"/>
      <x:c r="I10" s="10" t="str"/>
      <x:c r="J10" s="10" t="str"/>
      <x:c r="K10" s="10" t="str"/>
      <x:c r="L10" s="10" t="str"/>
      <x:c r="M10" s="10" t="str">
        <x:v>1 meal</x:v>
      </x:c>
      <x:c r="N10" s="10" t="str"/>
      <x:c r="O10" s="10" t="str"/>
      <x:c r="P10" s="10" t="str">
        <x:v>https://www.mygsn.co.uk/product/pot-o-gold-oriental-sweet-sour-chicken/</x:v>
      </x:c>
      <x:c r="Q10" s="10" t="str"/>
      <x:c r="R10" s="10" t="str">
        <x:v>Exact current official GSN product page verified; existing kcal/protein retained; remaining full nutrition/image enrichment pending.</x:v>
      </x:c>
    </x:row>
    <x:row r="11">
      <x:c r="A11" s="10" t="str">
        <x:v>GSN</x:v>
      </x:c>
      <x:c r="B11" s="10" t="str">
        <x:v>Pot O Gold</x:v>
      </x:c>
      <x:c r="C11" s="10" t="str">
        <x:v>Vegan Four Bean Chilli</x:v>
      </x:c>
      <x:c r="D11" s="10" t="str">
        <x:v>Per serving</x:v>
      </x:c>
      <x:c r="E11" s="10" t="n">
        <x:v>371</x:v>
      </x:c>
      <x:c r="F11" s="10" t="n">
        <x:v>18.9</x:v>
      </x:c>
      <x:c r="G11" s="10" t="n">
        <x:v>45.6</x:v>
      </x:c>
      <x:c r="H11" s="10" t="n">
        <x:v>7</x:v>
      </x:c>
      <x:c r="I11" s="10" t="n">
        <x:v>5.25</x:v>
      </x:c>
      <x:c r="J11" s="10" t="n">
        <x:v>0.35</x:v>
      </x:c>
      <x:c r="K11" s="10" t="n">
        <x:v>14.35</x:v>
      </x:c>
      <x:c r="L11" s="10" t="n">
        <x:v>0.94</x:v>
      </x:c>
      <x:c r="M11" s="10" t="str">
        <x:v>1 meal</x:v>
      </x:c>
      <x:c r="N11" s="10" t="str">
        <x:v>Cooked long grain rice, tomatoes, chickpeas (9%), red kidney beans (9%), butter beans (8%), black eyed beans (8%), haricot beans (8%), water, onions, pea protein, rapeseed oil, tomato puree, green jalapenos, garlic puree, salt, lime juice, potassium metabisulphite, sugar, cayenne pepper, paprika, cumin, oregano, thyme, red peppers (3%).</x:v>
      </x:c>
      <x:c r="O11" s="10" t="str">
        <x:v>Official page declares allergen emphasis within ingredients; produced in a factory that handles nuts, peanuts and sesame.</x:v>
      </x:c>
      <x:c r="P11" s="10" t="str">
        <x:v>https://www.mygsn.co.uk/product/vegan-four-bean-chilli/</x:v>
      </x:c>
      <x:c r="Q11" s="10" t="str"/>
      <x:c r="R11" s="10" t="str">
        <x:v>Full per-serving nutrition plus ingredients/allergen summary verified from current official GSN product page.</x:v>
      </x:c>
    </x:row>
    <x:row r="12">
      <x:c r="A12" s="10" t="str">
        <x:v>GSN</x:v>
      </x:c>
      <x:c r="B12" s="10" t="str">
        <x:v>Pot O Gold</x:v>
      </x:c>
      <x:c r="C12" s="10" t="str">
        <x:v>Roast Chicken Dinner</x:v>
      </x:c>
      <x:c r="D12" s="10" t="str">
        <x:v>Per serving</x:v>
      </x:c>
      <x:c r="E12" s="10" t="n">
        <x:v>260</x:v>
      </x:c>
      <x:c r="F12" s="10" t="n">
        <x:v>30.8</x:v>
      </x:c>
      <x:c r="G12" s="10" t="str"/>
      <x:c r="H12" s="10" t="str"/>
      <x:c r="I12" s="10" t="str"/>
      <x:c r="J12" s="10" t="str"/>
      <x:c r="K12" s="10" t="str"/>
      <x:c r="L12" s="10" t="str"/>
      <x:c r="M12" s="10" t="str">
        <x:v>1 meal</x:v>
      </x:c>
      <x:c r="N12" s="10" t="str"/>
      <x:c r="O12" s="10" t="str"/>
      <x:c r="P12" s="10" t="str">
        <x:v>https://www.mygsn.co.uk/product/roast-chicken-dinner/</x:v>
      </x:c>
      <x:c r="Q12" s="10" t="str">
        <x:v>https://www.mygsn.co.uk/wp-content/uploads/2024/06/roast-dinner-flat-lay-cut-out-copy-WEB.jpg</x:v>
      </x:c>
      <x:c r="R12" s="10" t="str">
        <x:v>Exact current official GSN product page and genuine official product image verified; nutrition fields retained from verified GSN data.</x:v>
      </x:c>
    </x:row>
    <x:row r="13">
      <x:c r="A13" s="10" t="str">
        <x:v>GSN</x:v>
      </x:c>
      <x:c r="B13" s="10" t="str">
        <x:v>Pot O Gold</x:v>
      </x:c>
      <x:c r="C13" s="10" t="str">
        <x:v>Thai Garlic &amp; Black Pepper Chicken</x:v>
      </x:c>
      <x:c r="D13" s="10" t="str">
        <x:v>Per serving</x:v>
      </x:c>
      <x:c r="E13" s="10" t="n">
        <x:v>360</x:v>
      </x:c>
      <x:c r="F13" s="10" t="n">
        <x:v>29.6</x:v>
      </x:c>
      <x:c r="G13" s="10" t="n">
        <x:v>54</x:v>
      </x:c>
      <x:c r="H13" s="10" t="n">
        <x:v>15.5</x:v>
      </x:c>
      <x:c r="I13" s="10" t="n">
        <x:v>2.6</x:v>
      </x:c>
      <x:c r="J13" s="10" t="n">
        <x:v>0.4</x:v>
      </x:c>
      <x:c r="K13" s="10" t="n">
        <x:v>2.1</x:v>
      </x:c>
      <x:c r="L13" s="10" t="n">
        <x:v>1.4</x:v>
      </x:c>
      <x:c r="M13" s="10" t="str">
        <x:v>1 meal</x:v>
      </x:c>
      <x:c r="N13" s="10" t="str">
        <x:v>Rice (31%), chicken (28%), water, red pepper (10%), spring onion (5%), muscovado sugar, garlic, SOY sauce, modified maize starch, fish sauce containing ANCHOVY (FISH), roasted BARLEY malt extract, black pepper and chilli flakes.</x:v>
      </x:c>
      <x:c r="O13" s="10" t="str">
        <x:v>Contains SOY/SOYA, FISH and BARLEY. Produced in a factory that handles nuts, peanuts and sesame.</x:v>
      </x:c>
      <x:c r="P13" s="10" t="str">
        <x:v>https://www.mygsn.co.uk/product/thai-garlic-black-pepper-chicken/</x:v>
      </x:c>
      <x:c r="Q13" s="10" t="str">
        <x:v>https://www.mygsn.co.uk/wp-content/uploads/2024/06/thai-garlic-flat-lay-cut-out-copy-WEB.jpg</x:v>
      </x:c>
      <x:c r="R13" s="10" t="str">
        <x:v>Full per-serving nutrition plus ingredients/allergen summary verified from current official GSN product page.</x:v>
      </x:c>
    </x:row>
    <x:row r="14">
      <x:c r="A14" s="10" t="str">
        <x:v>GSN</x:v>
      </x:c>
      <x:c r="B14" s="10" t="str">
        <x:v>Pot O Gold</x:v>
      </x:c>
      <x:c r="C14" s="10" t="str">
        <x:v>Crispy Chicken &amp; Egg Fried Rice</x:v>
      </x:c>
      <x:c r="D14" s="10" t="str">
        <x:v>Per serving</x:v>
      </x:c>
      <x:c r="E14" s="10" t="n">
        <x:v>469</x:v>
      </x:c>
      <x:c r="F14" s="10" t="n">
        <x:v>32.6</x:v>
      </x:c>
      <x:c r="G14" s="10" t="str"/>
      <x:c r="H14" s="10" t="str"/>
      <x:c r="I14" s="10" t="str"/>
      <x:c r="J14" s="10" t="str"/>
      <x:c r="K14" s="10" t="str"/>
      <x:c r="L14" s="10" t="str"/>
      <x:c r="M14" s="10" t="str">
        <x:v>1 meal</x:v>
      </x:c>
      <x:c r="N14" s="10" t="str"/>
      <x:c r="O14" s="10" t="str"/>
      <x:c r="P14" s="10" t="str">
        <x:v>https://www.mygsn.co.uk/product/crispy-chicken-egg-fried-rice/</x:v>
      </x:c>
      <x:c r="Q14" s="10" t="str">
        <x:v>https://www.mygsn.co.uk/wp-content/uploads/2024/06/egg-fried-rice-flat-lay-cut-out-copy-WEB.jpg</x:v>
      </x:c>
      <x:c r="R14" s="10" t="str">
        <x:v>Exact current official GSN product page and genuine official product image verified; nutrition fields retained from verified GSN data.</x:v>
      </x:c>
    </x:row>
    <x:row r="15">
      <x:c r="A15" s="10" t="str">
        <x:v>GSN</x:v>
      </x:c>
      <x:c r="B15" s="10" t="str">
        <x:v>Pot O Gold</x:v>
      </x:c>
      <x:c r="C15" s="10" t="str">
        <x:v>Chipotle Roast Chicken Rice &amp; Beans</x:v>
      </x:c>
      <x:c r="D15" s="10" t="str">
        <x:v>Per serving</x:v>
      </x:c>
      <x:c r="E15" s="10" t="n">
        <x:v>406</x:v>
      </x:c>
      <x:c r="F15" s="10" t="n">
        <x:v>33.8</x:v>
      </x:c>
      <x:c r="G15" s="10" t="n">
        <x:v>49.9</x:v>
      </x:c>
      <x:c r="H15" s="10" t="n">
        <x:v>8.7</x:v>
      </x:c>
      <x:c r="I15" s="10" t="n">
        <x:v>9.1</x:v>
      </x:c>
      <x:c r="J15" s="10" t="n">
        <x:v>4.6</x:v>
      </x:c>
      <x:c r="K15" s="10" t="n">
        <x:v>5.4</x:v>
      </x:c>
      <x:c r="L15" s="10" t="n">
        <x:v>1.38</x:v>
      </x:c>
      <x:c r="M15" s="10" t="str">
        <x:v>1 meal</x:v>
      </x:c>
      <x:c r="N15" s="10" t="str">
        <x:v>Rice with red kidney beans and fajita seasoning; roast chicken (28%); chipotle sauce (22%) containing cream (MILK), red peppers, garlic, paprika, honey, lemon juice and vinegar (BARLEY); peppers, onions and sweetcorn.</x:v>
      </x:c>
      <x:c r="O15" s="10" t="str">
        <x:v>Contains MILK and BARLEY. Produced in a factory that handles nuts, peanuts and sesame.</x:v>
      </x:c>
      <x:c r="P15" s="10" t="str">
        <x:v>https://www.mygsn.co.uk/product/chipotle-roast-chicken-rice-beans/</x:v>
      </x:c>
      <x:c r="Q15" s="10" t="str"/>
      <x:c r="R15" s="10" t="str">
        <x:v>Full per-serving nutrition plus ingredients/allergen summary verified from current official GSN product page.</x:v>
      </x:c>
    </x:row>
    <x:row r="16">
      <x:c r="A16" s="10" t="str">
        <x:v>GSN</x:v>
      </x:c>
      <x:c r="B16" s="10" t="str">
        <x:v>Pot O Gold</x:v>
      </x:c>
      <x:c r="C16" s="10" t="str">
        <x:v>Golden Butter Chicken Curry</x:v>
      </x:c>
      <x:c r="D16" s="10" t="str">
        <x:v>Per serving</x:v>
      </x:c>
      <x:c r="E16" s="10" t="n">
        <x:v>493</x:v>
      </x:c>
      <x:c r="F16" s="10" t="n">
        <x:v>33.3</x:v>
      </x:c>
      <x:c r="G16" s="10" t="n">
        <x:v>52.4</x:v>
      </x:c>
      <x:c r="H16" s="10" t="n">
        <x:v>5.5</x:v>
      </x:c>
      <x:c r="I16" s="10" t="n">
        <x:v>16.9</x:v>
      </x:c>
      <x:c r="J16" s="10" t="n">
        <x:v>5.6</x:v>
      </x:c>
      <x:c r="K16" s="10" t="n">
        <x:v>4.2</x:v>
      </x:c>
      <x:c r="L16" s="10" t="n">
        <x:v>1.6</x:v>
      </x:c>
      <x:c r="M16" s="10" t="str">
        <x:v>1 meal</x:v>
      </x:c>
      <x:c r="N16" s="10" t="str">
        <x:v>Pilau rice, roast chicken pieces (28%), butter sauce with tomato, cream (MILK), onion, butter (MILK), spices, ginger, garlic, ghee (MILK) and green chilli; spinach (4%); green peas (4%).</x:v>
      </x:c>
      <x:c r="O16" s="10" t="str">
        <x:v>Contains MILK. Produced in a factory that handles nuts, peanuts and sesame.</x:v>
      </x:c>
      <x:c r="P16" s="10" t="str">
        <x:v>https://www.mygsn.co.uk/product/golden-butter-chicken-curry/</x:v>
      </x:c>
      <x:c r="Q16" s="10" t="str"/>
      <x:c r="R16" s="10" t="str">
        <x:v>Full per-serving nutrition plus ingredients/allergen summary verified from current official GSN product page.</x:v>
      </x:c>
    </x:row>
    <x:row r="17">
      <x:c r="A17" s="10" t="str">
        <x:v>GSN</x:v>
      </x:c>
      <x:c r="B17" s="10" t="str">
        <x:v>Pot O Gold</x:v>
      </x:c>
      <x:c r="C17" s="10" t="str">
        <x:v>Greek Souvlaki Chicken with Rice</x:v>
      </x:c>
      <x:c r="D17" s="10" t="str">
        <x:v>Per serving</x:v>
      </x:c>
      <x:c r="E17" s="10" t="n">
        <x:v>494</x:v>
      </x:c>
      <x:c r="F17" s="10" t="n">
        <x:v>33.6</x:v>
      </x:c>
      <x:c r="G17" s="10" t="str"/>
      <x:c r="H17" s="10" t="str"/>
      <x:c r="I17" s="10" t="str"/>
      <x:c r="J17" s="10" t="str"/>
      <x:c r="K17" s="10" t="str"/>
      <x:c r="L17" s="10" t="str"/>
      <x:c r="M17" s="10" t="str">
        <x:v>1 meal</x:v>
      </x:c>
      <x:c r="N17" s="10" t="str"/>
      <x:c r="O17" s="10" t="str"/>
      <x:c r="P17" s="10" t="str">
        <x:v>https://www.mygsn.co.uk/product/greek-souvlaki-chicken-with-rice/</x:v>
      </x:c>
      <x:c r="Q17" s="10" t="str"/>
      <x:c r="R17" s="10" t="str">
        <x:v>Exact current official GSN product page verified; existing kcal/protein retained; remaining full nutrition/image enrichment pending.</x:v>
      </x:c>
    </x:row>
    <x:row r="18">
      <x:c r="A18" s="10" t="str">
        <x:v>GSN</x:v>
      </x:c>
      <x:c r="B18" s="10" t="str">
        <x:v>Pot O Gold</x:v>
      </x:c>
      <x:c r="C18" s="10" t="str">
        <x:v>Firecracker Chicken &amp; Spicy Rice</x:v>
      </x:c>
      <x:c r="D18" s="10" t="str">
        <x:v>Per serving</x:v>
      </x:c>
      <x:c r="E18" s="10" t="n">
        <x:v>428</x:v>
      </x:c>
      <x:c r="F18" s="10" t="n">
        <x:v>30</x:v>
      </x:c>
      <x:c r="G18" s="10" t="str"/>
      <x:c r="H18" s="10" t="str"/>
      <x:c r="I18" s="10" t="str"/>
      <x:c r="J18" s="10" t="str"/>
      <x:c r="K18" s="10" t="str"/>
      <x:c r="L18" s="10" t="str"/>
      <x:c r="M18" s="10" t="str">
        <x:v>1 meal</x:v>
      </x:c>
      <x:c r="N18" s="10" t="str"/>
      <x:c r="O18" s="10" t="str"/>
      <x:c r="P18" s="10" t="str">
        <x:v>https://www.mygsn.co.uk/product/fire-cracker-chicken-spicy-rice/</x:v>
      </x:c>
      <x:c r="Q18" s="10" t="str"/>
      <x:c r="R18" s="10" t="str">
        <x:v>Exact current official GSN product page verified; existing kcal/protein retained; remaining full nutrition/image enrichment pending.</x:v>
      </x:c>
    </x:row>
    <x:row r="19">
      <x:c r="A19" s="10" t="str">
        <x:v>GSN</x:v>
      </x:c>
      <x:c r="B19" s="10" t="str">
        <x:v>Pot O Gold</x:v>
      </x:c>
      <x:c r="C19" s="10" t="str">
        <x:v>Breaded Chicken Katsu Curry</x:v>
      </x:c>
      <x:c r="D19" s="10" t="str">
        <x:v>Per serving</x:v>
      </x:c>
      <x:c r="E19" s="10" t="n">
        <x:v>568</x:v>
      </x:c>
      <x:c r="F19" s="10" t="n">
        <x:v>29</x:v>
      </x:c>
      <x:c r="G19" s="10" t="str"/>
      <x:c r="H19" s="10" t="str"/>
      <x:c r="I19" s="10" t="str"/>
      <x:c r="J19" s="10" t="str"/>
      <x:c r="K19" s="10" t="str"/>
      <x:c r="L19" s="10" t="str"/>
      <x:c r="M19" s="10" t="str">
        <x:v>1 meal</x:v>
      </x:c>
      <x:c r="N19" s="10" t="str"/>
      <x:c r="O19" s="10" t="str"/>
      <x:c r="P19" s="10" t="str">
        <x:v>https://www.mygsn.co.uk/product/pot-o-gold-breaded-chicken-katsu-curry/</x:v>
      </x:c>
      <x:c r="Q19" s="10" t="str"/>
      <x:c r="R19" s="10" t="str">
        <x:v>Exact current official GSN product page verified; existing kcal/protein retained; remaining full nutrition/image enrichment pending.</x:v>
      </x:c>
    </x:row>
    <x:row r="20">
      <x:c r="A20" s="10" t="str">
        <x:v>GSN</x:v>
      </x:c>
      <x:c r="B20" s="10" t="str">
        <x:v>Pot O Gold</x:v>
      </x:c>
      <x:c r="C20" s="10" t="str">
        <x:v>Mild &amp; Creamy Chicken Korma</x:v>
      </x:c>
      <x:c r="D20" s="10" t="str">
        <x:v>Per serving</x:v>
      </x:c>
      <x:c r="E20" s="10" t="n">
        <x:v>385</x:v>
      </x:c>
      <x:c r="F20" s="10" t="n">
        <x:v>33.3</x:v>
      </x:c>
      <x:c r="G20" s="10" t="n">
        <x:v>33.3</x:v>
      </x:c>
      <x:c r="H20" s="10" t="n">
        <x:v>7.7</x:v>
      </x:c>
      <x:c r="I20" s="10" t="n">
        <x:v>13.3</x:v>
      </x:c>
      <x:c r="J20" s="10" t="n">
        <x:v>5.3</x:v>
      </x:c>
      <x:c r="K20" s="10" t="n">
        <x:v>3.9</x:v>
      </x:c>
      <x:c r="L20" s="10" t="n">
        <x:v>1.1</x:v>
      </x:c>
      <x:c r="M20" s="10" t="str">
        <x:v>1 meal</x:v>
      </x:c>
      <x:c r="N20" s="10" t="str">
        <x:v>Korma sauce with onion puree, single cream (MILK), peas, coconut milk/cream (SULPHUR DIOXIDE), tomato, rapeseed oil, sugar, ginger, garlic and spices; steamed chicken (28%); turmeric/coriander rice (28%); red pepper (4.3%).</x:v>
      </x:c>
      <x:c r="O20" s="10" t="str">
        <x:v>Contains MILK and SULPHUR DIOXIDE. Produced in a factory that handles nuts, peanuts and sesame.</x:v>
      </x:c>
      <x:c r="P20" s="10" t="str">
        <x:v>https://www.mygsn.co.uk/product/pot-o-gold-chicken-korma/</x:v>
      </x:c>
      <x:c r="Q20" s="10" t="str"/>
      <x:c r="R20" s="10" t="str">
        <x:v>Full per-serving nutrition plus ingredients/allergen summary verified from current official GSN product page.</x:v>
      </x:c>
    </x:row>
    <x:row r="21">
      <x:c r="A21" s="10" t="str">
        <x:v>GSN</x:v>
      </x:c>
      <x:c r="B21" s="10" t="str">
        <x:v>Pot O Gold</x:v>
      </x:c>
      <x:c r="C21" s="10" t="str">
        <x:v>Salt &amp; Pepper Chicken Noodles</x:v>
      </x:c>
      <x:c r="D21" s="10" t="str">
        <x:v>Per serving</x:v>
      </x:c>
      <x:c r="E21" s="10" t="n">
        <x:v>439</x:v>
      </x:c>
      <x:c r="F21" s="10" t="n">
        <x:v>28</x:v>
      </x:c>
      <x:c r="G21" s="10" t="n">
        <x:v>78</x:v>
      </x:c>
      <x:c r="H21" s="10" t="n">
        <x:v>13</x:v>
      </x:c>
      <x:c r="I21" s="10" t="n">
        <x:v>4.5</x:v>
      </x:c>
      <x:c r="J21" s="10" t="n">
        <x:v>0.21</x:v>
      </x:c>
      <x:c r="K21" s="10" t="n">
        <x:v>1.04</x:v>
      </x:c>
      <x:c r="L21" s="10" t="n">
        <x:v>1.78</x:v>
      </x:c>
      <x:c r="M21" s="10" t="str">
        <x:v>1 meal</x:v>
      </x:c>
      <x:c r="N21" s="10" t="str">
        <x:v>Noodles (WHEAT flour, EGG, salt), breaded chicken (30%) containing WHEAT and SOY, sweet chilli sauce containing BARLEY malt vinegar and SOY sauce, mixed peppers, salt-and-pepper seasoning and spices.</x:v>
      </x:c>
      <x:c r="O21" s="10" t="str">
        <x:v>Contains WHEAT, EGG, SOY/SOYA and BARLEY. Produced in a factory that handles nuts, peanuts and sesame.</x:v>
      </x:c>
      <x:c r="P21" s="10" t="str">
        <x:v>https://www.mygsn.co.uk/product/pot-o-gold-salt-pepper-chicken-noodles/</x:v>
      </x:c>
      <x:c r="Q21" s="10" t="str"/>
      <x:c r="R21" s="10" t="str">
        <x:v>Full per-serving nutrition plus ingredients/allergen summary verified from current official GSN product page.</x:v>
      </x:c>
    </x:row>
    <x:row r="22">
      <x:c r="A22" s="10" t="str">
        <x:v>GSN</x:v>
      </x:c>
      <x:c r="B22" s="10" t="str">
        <x:v>Pot O Gold</x:v>
      </x:c>
      <x:c r="C22" s="10" t="str">
        <x:v>Chicken Curry with Special Fried Rice</x:v>
      </x:c>
      <x:c r="D22" s="10" t="str">
        <x:v>Per serving</x:v>
      </x:c>
      <x:c r="E22" s="10" t="n">
        <x:v>445</x:v>
      </x:c>
      <x:c r="F22" s="10" t="n">
        <x:v>46</x:v>
      </x:c>
      <x:c r="G22" s="10" t="n">
        <x:v>42</x:v>
      </x:c>
      <x:c r="H22" s="10" t="n">
        <x:v>3.5</x:v>
      </x:c>
      <x:c r="I22" s="10" t="n">
        <x:v>10.9</x:v>
      </x:c>
      <x:c r="J22" s="10" t="n">
        <x:v>1.1</x:v>
      </x:c>
      <x:c r="K22" s="10" t="n">
        <x:v>1.8</x:v>
      </x:c>
      <x:c r="L22" s="10" t="n">
        <x:v>1.5</x:v>
      </x:c>
      <x:c r="M22" s="10" t="str">
        <x:v>1 meal</x:v>
      </x:c>
      <x:c r="N22" s="10" t="str">
        <x:v>Special fried rice with rice, carrots, peas, char siu pork, EGG, pork shoulder and SOY sauce containing WHEAT; steamed chicken breast (40%); curry sauce containing MUSTARD, SOY and WHEAT.</x:v>
      </x:c>
      <x:c r="O22" s="10" t="str">
        <x:v>Contains SOY/SOYA, WHEAT, EGG and MUSTARD. Produced in a factory that handles nuts, peanuts and sesame.</x:v>
      </x:c>
      <x:c r="P22" s="10" t="str">
        <x:v>https://www.mygsn.co.uk/product/pot-o-gold-chicken-curry-with-special-fried-rice/</x:v>
      </x:c>
      <x:c r="Q22" s="10" t="str">
        <x:v>https://www.mygsn.co.uk/wp-content/uploads/2024/06/chicken-curry-flat-lay-cut-out-copy-WEB.jpg</x:v>
      </x:c>
      <x:c r="R22" s="10" t="str">
        <x:v>Full per-serving nutrition plus ingredients/allergen summary verified from current official GSN product page.</x:v>
      </x:c>
    </x:row>
    <x:row r="23">
      <x:c r="A23" s="10" t="str">
        <x:v>GSN</x:v>
      </x:c>
      <x:c r="B23" s="10" t="str">
        <x:v>Pot O Gold</x:v>
      </x:c>
      <x:c r="C23" s="10" t="str">
        <x:v>Smooth Satay Chicken Curry</x:v>
      </x:c>
      <x:c r="D23" s="10" t="str">
        <x:v>Per serving</x:v>
      </x:c>
      <x:c r="E23" s="10" t="n">
        <x:v>464</x:v>
      </x:c>
      <x:c r="F23" s="10" t="n">
        <x:v>40</x:v>
      </x:c>
      <x:c r="G23" s="10" t="n">
        <x:v>46.9</x:v>
      </x:c>
      <x:c r="H23" s="10" t="n">
        <x:v>5.9</x:v>
      </x:c>
      <x:c r="I23" s="10" t="n">
        <x:v>14.5</x:v>
      </x:c>
      <x:c r="J23" s="10" t="n">
        <x:v>3</x:v>
      </x:c>
      <x:c r="K23" s="10" t="n">
        <x:v>3</x:v>
      </x:c>
      <x:c r="L23" s="10" t="n">
        <x:v>1.5</x:v>
      </x:c>
      <x:c r="M23" s="10" t="str">
        <x:v>1 meal</x:v>
      </x:c>
      <x:c r="N23" s="10" t="str">
        <x:v>Cooked rice (34%), steam-cooked chicken breast (31%), satay sauce (21%) with coconut milk, PEANUT butter, SOY sauce (contains WHEAT), molasses, ginger, garlic, curry powder (contains MUSTARD), green beans, red peppers and coriander.</x:v>
      </x:c>
      <x:c r="O23" s="10" t="str">
        <x:v>Contains PEANUTS, SOY/SOYA, WHEAT and MUSTARD. Produced in a factory that handles nuts, peanuts and sesame.</x:v>
      </x:c>
      <x:c r="P23" s="10" t="str">
        <x:v>https://www.mygsn.co.uk/product/smooth-satay-chicken-curry/</x:v>
      </x:c>
      <x:c r="Q23" s="10" t="str"/>
      <x:c r="R23" s="10" t="str">
        <x:v>Full per-serving nutrition plus ingredients/allergen summary verified from current official GSN product page.</x:v>
      </x:c>
    </x:row>
    <x:row r="24">
      <x:c r="A24" s="10" t="str">
        <x:v>GSN</x:v>
      </x:c>
      <x:c r="B24" s="10" t="str">
        <x:v>Pot O Gold</x:v>
      </x:c>
      <x:c r="C24" s="10" t="str">
        <x:v>Crispy Spiced Buffalo Chicken</x:v>
      </x:c>
      <x:c r="D24" s="10" t="str">
        <x:v>Per serving</x:v>
      </x:c>
      <x:c r="E24" s="10" t="n">
        <x:v>466</x:v>
      </x:c>
      <x:c r="F24" s="10" t="n">
        <x:v>29</x:v>
      </x:c>
      <x:c r="G24" s="10" t="str"/>
      <x:c r="H24" s="10" t="str"/>
      <x:c r="I24" s="10" t="str"/>
      <x:c r="J24" s="10" t="str"/>
      <x:c r="K24" s="10" t="str"/>
      <x:c r="L24" s="10" t="str"/>
      <x:c r="M24" s="10" t="str">
        <x:v>1 meal</x:v>
      </x:c>
      <x:c r="N24" s="10" t="str"/>
      <x:c r="O24" s="10" t="str"/>
      <x:c r="P24" s="10" t="str">
        <x:v>https://www.mygsn.co.uk/product-category/pot-of-gold-meals/</x:v>
      </x:c>
      <x:c r="Q24" s="10" t="str"/>
      <x:c r="R24" s="10" t="str">
        <x:v>Official GSN kcal/protein verified; full panel/image pending extraction</x:v>
      </x:c>
    </x:row>
    <x:row r="25">
      <x:c r="A25" s="10" t="str">
        <x:v>GSN</x:v>
      </x:c>
      <x:c r="B25" s="10" t="str">
        <x:v>Pot O Gold</x:v>
      </x:c>
      <x:c r="C25" s="10" t="str">
        <x:v>Morning Classic English Breakfast</x:v>
      </x:c>
      <x:c r="D25" s="10" t="str">
        <x:v>Per serving</x:v>
      </x:c>
      <x:c r="E25" s="10" t="n">
        <x:v>362</x:v>
      </x:c>
      <x:c r="F25" s="10" t="n">
        <x:v>28</x:v>
      </x:c>
      <x:c r="G25" s="10" t="str"/>
      <x:c r="H25" s="10" t="str"/>
      <x:c r="I25" s="10" t="str"/>
      <x:c r="J25" s="10" t="str"/>
      <x:c r="K25" s="10" t="str"/>
      <x:c r="L25" s="10" t="str"/>
      <x:c r="M25" s="10" t="str">
        <x:v>1 meal</x:v>
      </x:c>
      <x:c r="N25" s="10" t="str"/>
      <x:c r="O25" s="10" t="str"/>
      <x:c r="P25" s="10" t="str">
        <x:v>https://www.mygsn.co.uk/product-category/pot-of-gold-meals/</x:v>
      </x:c>
      <x:c r="Q25" s="10" t="str"/>
      <x:c r="R25" s="10" t="str">
        <x:v>Official GSN kcal/protein verified; full panel/image pending extraction</x:v>
      </x:c>
    </x:row>
    <x:row r="26">
      <x:c r="A26" s="10" t="str">
        <x:v>GSN</x:v>
      </x:c>
      <x:c r="B26" s="10" t="str">
        <x:v>Pot O Gold</x:v>
      </x:c>
      <x:c r="C26" s="10" t="str">
        <x:v>Rich &amp; Hearty Pasta Bolognese</x:v>
      </x:c>
      <x:c r="D26" s="10" t="str">
        <x:v>Per serving</x:v>
      </x:c>
      <x:c r="E26" s="10" t="n">
        <x:v>461</x:v>
      </x:c>
      <x:c r="F26" s="10" t="n">
        <x:v>40</x:v>
      </x:c>
      <x:c r="G26" s="10" t="n">
        <x:v>59.1</x:v>
      </x:c>
      <x:c r="H26" s="10" t="n">
        <x:v>5.2</x:v>
      </x:c>
      <x:c r="I26" s="10" t="n">
        <x:v>15.5</x:v>
      </x:c>
      <x:c r="J26" s="10" t="n">
        <x:v>4.9</x:v>
      </x:c>
      <x:c r="K26" s="10" t="n">
        <x:v>5.2</x:v>
      </x:c>
      <x:c r="L26" s="10" t="n">
        <x:v>1.7</x:v>
      </x:c>
      <x:c r="M26" s="10" t="str">
        <x:v>1 meal</x:v>
      </x:c>
      <x:c r="N26" s="10" t="str">
        <x:v>Bolognese sauce (63%) with cooked minced beef, chopped tomatoes, chorizo pork, SOYA protein, tomato puree, onion, Worcestershire sauce containing BARLEY and ANCHOVIES (FISH), herbs and seasoning; cooked fusilli pasta (37%) made from durum WHEAT semolina.</x:v>
      </x:c>
      <x:c r="O26" s="10" t="str">
        <x:v>Contains SOYA, BARLEY, FISH and WHEAT. Produced in a factory that handles nuts, peanuts and sesame.</x:v>
      </x:c>
      <x:c r="P26" s="10" t="str">
        <x:v>https://www.mygsn.co.uk/product/pot-o-gold-pasta-bolognese/</x:v>
      </x:c>
      <x:c r="Q26" s="10" t="str"/>
      <x:c r="R26" s="10" t="str">
        <x:v>Full per-serving nutrition plus ingredients/allergen summary verified from current official GSN product page.</x:v>
      </x:c>
    </x:row>
    <x:row r="27">
      <x:c r="A27" s="10" t="str">
        <x:v>GSN</x:v>
      </x:c>
      <x:c r="B27" s="10" t="str">
        <x:v>Pot O Gold</x:v>
      </x:c>
      <x:c r="C27" s="10" t="str">
        <x:v>Chicken Black Bean &amp; Special Fried Rice</x:v>
      </x:c>
      <x:c r="D27" s="10" t="str">
        <x:v>Per serving</x:v>
      </x:c>
      <x:c r="E27" s="10" t="n">
        <x:v>370</x:v>
      </x:c>
      <x:c r="F27" s="10" t="n">
        <x:v>38</x:v>
      </x:c>
      <x:c r="G27" s="10" t="str"/>
      <x:c r="H27" s="10" t="str"/>
      <x:c r="I27" s="10" t="str"/>
      <x:c r="J27" s="10" t="str"/>
      <x:c r="K27" s="10" t="str"/>
      <x:c r="L27" s="10" t="str"/>
      <x:c r="M27" s="10" t="str">
        <x:v>1 meal</x:v>
      </x:c>
      <x:c r="N27" s="10" t="str"/>
      <x:c r="O27" s="10" t="str"/>
      <x:c r="P27" s="10" t="str">
        <x:v>https://www.mygsn.co.uk/product-category/pot-of-gold-meals/</x:v>
      </x:c>
      <x:c r="Q27" s="10" t="str"/>
      <x:c r="R27" s="10" t="str">
        <x:v>Official GSN kcal/protein verified; full panel/image pending extraction</x:v>
      </x:c>
    </x:row>
    <x:row r="28">
      <x:c r="A28" s="10" t="str">
        <x:v>GSN</x:v>
      </x:c>
      <x:c r="B28" s="10" t="str">
        <x:v>High Protein Wraps</x:v>
      </x:c>
      <x:c r="C28" s="10" t="str">
        <x:v>Sizzling Chicken Fajita Wrap</x:v>
      </x:c>
      <x:c r="D28" s="10" t="str">
        <x:v>Per serving</x:v>
      </x:c>
      <x:c r="E28" s="10" t="n">
        <x:v>332</x:v>
      </x:c>
      <x:c r="F28" s="10" t="n">
        <x:v>21</x:v>
      </x:c>
      <x:c r="G28" s="10" t="str"/>
      <x:c r="H28" s="10" t="str"/>
      <x:c r="I28" s="10" t="str"/>
      <x:c r="J28" s="10" t="str"/>
      <x:c r="K28" s="10" t="str"/>
      <x:c r="L28" s="10" t="str"/>
      <x:c r="M28" s="10" t="str">
        <x:v>1 wrap</x:v>
      </x:c>
      <x:c r="N28" s="10" t="str"/>
      <x:c r="O28" s="10" t="str"/>
      <x:c r="P28" s="10" t="str">
        <x:v>https://www.mygsn.co.uk/product/gsn-sizzling-chicken-fajita-high-protein-wrap/</x:v>
      </x:c>
      <x:c r="Q28" s="10" t="str">
        <x:v>https://www.mygsn.co.uk/wp-content/uploads/2024/07/fajita-wrap-product-image.jpg</x:v>
      </x:c>
      <x:c r="R28" s="10" t="str">
        <x:v>Exact current official GSN product page and genuine official product image verified; nutrition fields retained from verified GSN data.</x:v>
      </x:c>
    </x:row>
    <x:row r="29">
      <x:c r="A29" s="10" t="str">
        <x:v>GSN</x:v>
      </x:c>
      <x:c r="B29" s="10" t="str">
        <x:v>High Protein Wraps</x:v>
      </x:c>
      <x:c r="C29" s="10" t="str">
        <x:v>Sticky BBQ Chicken Wrap</x:v>
      </x:c>
      <x:c r="D29" s="10" t="str">
        <x:v>Per serving</x:v>
      </x:c>
      <x:c r="E29" s="10" t="n">
        <x:v>336</x:v>
      </x:c>
      <x:c r="F29" s="10" t="n">
        <x:v>20.26</x:v>
      </x:c>
      <x:c r="G29" s="10" t="n">
        <x:v>48.69</x:v>
      </x:c>
      <x:c r="H29" s="10" t="n">
        <x:v>5.74</x:v>
      </x:c>
      <x:c r="I29" s="10" t="n">
        <x:v>8.2</x:v>
      </x:c>
      <x:c r="J29" s="10" t="n">
        <x:v>2.22</x:v>
      </x:c>
      <x:c r="K29" s="10" t="n">
        <x:v>1.91</x:v>
      </x:c>
      <x:c r="L29" s="10" t="n">
        <x:v>0.63</x:v>
      </x:c>
      <x:c r="M29" s="10" t="str">
        <x:v>1 wrap</x:v>
      </x:c>
      <x:c r="N29" s="10" t="str">
        <x:v>Panko chicken; tortilla wrap; BBQ filling with red onions, mixed peppers and BBQ seasoning. See official GSN product page for the complete manufacturer ingredient declaration.</x:v>
      </x:c>
      <x:c r="O29" s="10" t="str">
        <x:v>Contains WHEAT, SOY/SOYA, BARLEY and SULPHUR DIOXIDE. Produced in a factory that handles nuts, peanuts and sesame.</x:v>
      </x:c>
      <x:c r="P29" s="10" t="str">
        <x:v>https://www.mygsn.co.uk/product/gsn-sticky-bbq-chicken-high-protein-wrap/</x:v>
      </x:c>
      <x:c r="Q29" s="10" t="str">
        <x:v>https://www.mygsn.co.uk/wp-content/uploads/2024/07/sticky-bbq-wrap-product-image.jpg</x:v>
      </x:c>
      <x:c r="R29" s="10" t="str">
        <x:v>Exact current official GSN product page and genuine official product image verified; nutrition fields retained from verified GSN data.</x:v>
      </x:c>
    </x:row>
    <x:row r="30">
      <x:c r="A30" s="10" t="str">
        <x:v>GSN</x:v>
      </x:c>
      <x:c r="B30" s="10" t="str">
        <x:v>High Protein Wraps</x:v>
      </x:c>
      <x:c r="C30" s="10" t="str">
        <x:v>Aromatic Salt &amp; Pepper Wrap</x:v>
      </x:c>
      <x:c r="D30" s="10" t="str">
        <x:v>Per serving</x:v>
      </x:c>
      <x:c r="E30" s="10" t="n">
        <x:v>309</x:v>
      </x:c>
      <x:c r="F30" s="10" t="n">
        <x:v>21.9</x:v>
      </x:c>
      <x:c r="G30" s="10" t="str"/>
      <x:c r="H30" s="10" t="str"/>
      <x:c r="I30" s="10" t="str"/>
      <x:c r="J30" s="10" t="str"/>
      <x:c r="K30" s="10" t="str"/>
      <x:c r="L30" s="10" t="str"/>
      <x:c r="M30" s="10" t="str">
        <x:v>1 wrap</x:v>
      </x:c>
      <x:c r="N30" s="10" t="str"/>
      <x:c r="O30" s="10" t="str"/>
      <x:c r="P30" s="10" t="str">
        <x:v>https://www.mygsn.co.uk/product/gsn-aromatic-salt-pepper-chicken-high-protein-wrap/</x:v>
      </x:c>
      <x:c r="Q30" s="10" t="str">
        <x:v>https://www.mygsn.co.uk/wp-content/uploads/2024/07/salt-and-pepper-wrap-product-image.jpg</x:v>
      </x:c>
      <x:c r="R30" s="10" t="str">
        <x:v>Exact current official GSN product page and genuine official product image verified; current kcal/protein already verified.</x:v>
      </x:c>
    </x:row>
    <x:row r="31">
      <x:c r="A31" s="10" t="str">
        <x:v>GSN</x:v>
      </x:c>
      <x:c r="B31" s="10" t="str">
        <x:v>High Protein Wraps</x:v>
      </x:c>
      <x:c r="C31" s="10" t="str">
        <x:v>English Breakfast Wrap</x:v>
      </x:c>
      <x:c r="D31" s="10" t="str">
        <x:v>Per serving</x:v>
      </x:c>
      <x:c r="E31" s="10" t="n">
        <x:v>363</x:v>
      </x:c>
      <x:c r="F31" s="10" t="n">
        <x:v>20.52</x:v>
      </x:c>
      <x:c r="G31" s="10" t="n">
        <x:v>32.86</x:v>
      </x:c>
      <x:c r="H31" s="10" t="n">
        <x:v>6.08</x:v>
      </x:c>
      <x:c r="I31" s="10" t="n">
        <x:v>14.32</x:v>
      </x:c>
      <x:c r="J31" s="10" t="n">
        <x:v>4.71</x:v>
      </x:c>
      <x:c r="K31" s="10" t="n">
        <x:v>2.92</x:v>
      </x:c>
      <x:c r="L31" s="10" t="n">
        <x:v>1.38</x:v>
      </x:c>
      <x:c r="M31" s="10" t="str">
        <x:v>1 wrap</x:v>
      </x:c>
      <x:c r="N31" s="10" t="str">
        <x:v>Tortilla (fortified wheat flour, water, rapeseed oil and other declared ingredients); egg omelette; beans; halal turkey rashers. See official GSN product page for the complete manufacturer ingredient declaration.</x:v>
      </x:c>
      <x:c r="O31" s="10" t="str">
        <x:v>Contains WHEAT, EGG and MILK. Produced in a factory that handles nuts, peanuts and sesame.</x:v>
      </x:c>
      <x:c r="P31" s="10" t="str">
        <x:v>https://www.mygsn.co.uk/product/gsn-classic-english-breakfast-high-protein-wrap/</x:v>
      </x:c>
      <x:c r="Q31" s="10" t="str">
        <x:v>https://www.mygsn.co.uk/wp-content/uploads/2024/07/breakfast-wrap-product-image.jpg</x:v>
      </x:c>
      <x:c r="R31" s="10" t="str">
        <x:v>Exact current official GSN product page and genuine official product image verified; nutrition fields retained from verified GSN data.</x:v>
      </x:c>
    </x:row>
    <x:row r="32">
      <x:c r="A32" s="10" t="str">
        <x:v>GSN</x:v>
      </x:c>
      <x:c r="B32" s="10" t="str">
        <x:v>High Protein Wraps</x:v>
      </x:c>
      <x:c r="C32" s="10" t="str">
        <x:v>Greek Souvlaki Chicken Wrap</x:v>
      </x:c>
      <x:c r="D32" s="10" t="str">
        <x:v>Per serving</x:v>
      </x:c>
      <x:c r="E32" s="10" t="n">
        <x:v>363</x:v>
      </x:c>
      <x:c r="F32" s="10" t="n">
        <x:v>20</x:v>
      </x:c>
      <x:c r="G32" s="10" t="str"/>
      <x:c r="H32" s="10" t="str"/>
      <x:c r="I32" s="10" t="str"/>
      <x:c r="J32" s="10" t="str"/>
      <x:c r="K32" s="10" t="str"/>
      <x:c r="L32" s="10" t="str"/>
      <x:c r="M32" s="10" t="str">
        <x:v>1 wrap</x:v>
      </x:c>
      <x:c r="N32" s="10" t="str"/>
      <x:c r="O32" s="10" t="str"/>
      <x:c r="P32" s="10" t="str">
        <x:v>https://www.mygsn.co.uk/product/greek-souvlaki-wrap/</x:v>
      </x:c>
      <x:c r="Q32" s="10" t="str">
        <x:v>https://www.mygsn.co.uk/wp-content/uploads/2025/01/Greek-Wrap-Web.jpg</x:v>
      </x:c>
      <x:c r="R32" s="10" t="str">
        <x:v>Exact current official GSN product page and genuine official product image verified; current kcal/protein already verified.</x:v>
      </x:c>
    </x:row>
    <x:row r="33">
      <x:c r="A33" s="10" t="str">
        <x:v>GSN</x:v>
      </x:c>
      <x:c r="B33" s="10" t="str">
        <x:v>High Protein Wraps</x:v>
      </x:c>
      <x:c r="C33" s="10" t="str">
        <x:v>Korean Sweet Chilli Wrap</x:v>
      </x:c>
      <x:c r="D33" s="10" t="str">
        <x:v>Per serving</x:v>
      </x:c>
      <x:c r="E33" s="10" t="n">
        <x:v>342</x:v>
      </x:c>
      <x:c r="F33" s="10" t="n">
        <x:v>20.2</x:v>
      </x:c>
      <x:c r="G33" s="10" t="str"/>
      <x:c r="H33" s="10" t="str"/>
      <x:c r="I33" s="10" t="str"/>
      <x:c r="J33" s="10" t="str"/>
      <x:c r="K33" s="10" t="str"/>
      <x:c r="L33" s="10" t="str"/>
      <x:c r="M33" s="10" t="str">
        <x:v>1 wrap</x:v>
      </x:c>
      <x:c r="N33" s="10" t="str"/>
      <x:c r="O33" s="10" t="str"/>
      <x:c r="P33" s="10" t="str">
        <x:v>https://www.mygsn.co.uk/product/korean-sweet-chilli-wrap/</x:v>
      </x:c>
      <x:c r="Q33" s="10" t="str">
        <x:v>https://www.mygsn.co.uk/wp-content/uploads/2025/01/Korean-Wrap-Web.jpg</x:v>
      </x:c>
      <x:c r="R33" s="10" t="str">
        <x:v>Exact current official GSN product page and genuine official product image verified; nutrition fields retained from verified GSN data.</x:v>
      </x:c>
    </x:row>
    <x:row r="34">
      <x:c r="A34" s="10" t="str">
        <x:v>GSN</x:v>
      </x:c>
      <x:c r="B34" s="10" t="str">
        <x:v>High Protein Wraps</x:v>
      </x:c>
      <x:c r="C34" s="10" t="str">
        <x:v>Tender Chicken Tikka Wrap</x:v>
      </x:c>
      <x:c r="D34" s="10" t="str">
        <x:v>Per serving</x:v>
      </x:c>
      <x:c r="E34" s="10" t="n">
        <x:v>362</x:v>
      </x:c>
      <x:c r="F34" s="10" t="n">
        <x:v>20.4</x:v>
      </x:c>
      <x:c r="G34" s="10" t="n">
        <x:v>37.2</x:v>
      </x:c>
      <x:c r="H34" s="10" t="n">
        <x:v>8.23</x:v>
      </x:c>
      <x:c r="I34" s="10" t="n">
        <x:v>9.4</x:v>
      </x:c>
      <x:c r="J34" s="10" t="n">
        <x:v>4.1</x:v>
      </x:c>
      <x:c r="K34" s="10" t="n">
        <x:v>2.7</x:v>
      </x:c>
      <x:c r="L34" s="10" t="n">
        <x:v>1.07</x:v>
      </x:c>
      <x:c r="M34" s="10" t="str">
        <x:v>1 wrap</x:v>
      </x:c>
      <x:c r="N34" s="10" t="str">
        <x:v>Chicken tikka filling with chicken, mixed peppers, red onion, soya, onion, tomato and spices; tortilla; cheese. See official GSN product page for the complete manufacturer ingredient declaration.</x:v>
      </x:c>
      <x:c r="O34" s="10" t="str">
        <x:v>Contains SOYA, WHEAT and MILK. Produced in a factory that handles nuts, peanuts and sesame.</x:v>
      </x:c>
      <x:c r="P34" s="10" t="str">
        <x:v>https://www.mygsn.co.uk/product/gsn-chicken-tikka-high-protein-wrap/</x:v>
      </x:c>
      <x:c r="Q34" s="10" t="str">
        <x:v>https://www.mygsn.co.uk/wp-content/uploads/2024/07/chicken-tikka-wrap-product-image.jpg</x:v>
      </x:c>
      <x:c r="R34" s="10" t="str">
        <x:v>Exact current official GSN product page and genuine official product image verified; nutrition fields retained from verified GSN data.</x:v>
      </x:c>
    </x:row>
    <x:row r="35">
      <x:c r="A35" s="10" t="str">
        <x:v>GSN</x:v>
      </x:c>
      <x:c r="B35" s="10" t="str">
        <x:v>Signature Meals</x:v>
      </x:c>
      <x:c r="C35" s="10" t="str">
        <x:v>Firecracker Salmon &amp; Jasmine Rice</x:v>
      </x:c>
      <x:c r="D35" s="10" t="str">
        <x:v>Per serving</x:v>
      </x:c>
      <x:c r="E35" s="10" t="n">
        <x:v>359</x:v>
      </x:c>
      <x:c r="F35" s="10" t="n">
        <x:v>30.2</x:v>
      </x:c>
      <x:c r="G35" s="10" t="n">
        <x:v>44.4</x:v>
      </x:c>
      <x:c r="H35" s="10" t="n">
        <x:v>2.1</x:v>
      </x:c>
      <x:c r="I35" s="10" t="n">
        <x:v>5.4</x:v>
      </x:c>
      <x:c r="J35" s="10" t="n">
        <x:v>0.3</x:v>
      </x:c>
      <x:c r="K35" s="10" t="n">
        <x:v>2.1</x:v>
      </x:c>
      <x:c r="L35" s="10" t="n">
        <x:v>1.48</x:v>
      </x:c>
      <x:c r="M35" s="10" t="str">
        <x:v>1 meal</x:v>
      </x:c>
      <x:c r="N35" s="10" t="str"/>
      <x:c r="O35" s="10" t="str"/>
      <x:c r="P35" s="10" t="str">
        <x:v>https://www.mygsn.co.uk/product/firecracker-salmon-jasmine-rice/</x:v>
      </x:c>
      <x:c r="Q35" s="10" t="str">
        <x:v>https://www.mygsn.co.uk/wp-content/uploads/2025/11/FIRECRACKER-SALMON-BOWL_S2-1.jpg</x:v>
      </x:c>
      <x:c r="R35" s="10" t="str">
        <x:v>Full per-serving nutrition and genuine official product image verified from current official GSN product page.</x:v>
      </x:c>
    </x:row>
    <x:row r="36">
      <x:c r="A36" s="10" t="str">
        <x:v>GSN</x:v>
      </x:c>
      <x:c r="B36" s="10" t="str">
        <x:v>Signature Meals</x:v>
      </x:c>
      <x:c r="C36" s="10" t="str">
        <x:v>Sri Lankan Pork Curry</x:v>
      </x:c>
      <x:c r="D36" s="10" t="str">
        <x:v>Per serving</x:v>
      </x:c>
      <x:c r="E36" s="10" t="n">
        <x:v>510</x:v>
      </x:c>
      <x:c r="F36" s="10" t="n">
        <x:v>43.1</x:v>
      </x:c>
      <x:c r="G36" s="10" t="str"/>
      <x:c r="H36" s="10" t="str"/>
      <x:c r="I36" s="10" t="str"/>
      <x:c r="J36" s="10" t="str"/>
      <x:c r="K36" s="10" t="str"/>
      <x:c r="L36" s="10" t="str"/>
      <x:c r="M36" s="10" t="str">
        <x:v>1 meal</x:v>
      </x:c>
      <x:c r="N36" s="10" t="str"/>
      <x:c r="O36" s="10" t="str"/>
      <x:c r="P36" s="10" t="str">
        <x:v>https://www.mygsn.co.uk/product/sri-lankan-pork-curry/</x:v>
      </x:c>
      <x:c r="Q36" s="10" t="str">
        <x:v>https://www.mygsn.co.uk/wp-content/uploads/2025/08/SRI-LANKAN-PORK-CURRY-BOWL_S2.jpg</x:v>
      </x:c>
      <x:c r="R36" s="10" t="str">
        <x:v>Exact current official GSN product page and genuine official product image verified; current kcal/protein already verified.</x:v>
      </x:c>
    </x:row>
    <x:row r="37">
      <x:c r="A37" s="10" t="str">
        <x:v>GSN</x:v>
      </x:c>
      <x:c r="B37" s="10" t="str">
        <x:v>Signature Meals</x:v>
      </x:c>
      <x:c r="C37" s="10" t="str">
        <x:v>Slow Cooked Beef Ragu</x:v>
      </x:c>
      <x:c r="D37" s="10" t="str">
        <x:v>Per serving</x:v>
      </x:c>
      <x:c r="E37" s="10" t="n">
        <x:v>468</x:v>
      </x:c>
      <x:c r="F37" s="10" t="n">
        <x:v>28.1</x:v>
      </x:c>
      <x:c r="G37" s="10" t="str"/>
      <x:c r="H37" s="10" t="str"/>
      <x:c r="I37" s="10" t="str"/>
      <x:c r="J37" s="10" t="str"/>
      <x:c r="K37" s="10" t="str"/>
      <x:c r="L37" s="10" t="str"/>
      <x:c r="M37" s="10" t="str">
        <x:v>1 meal</x:v>
      </x:c>
      <x:c r="N37" s="10" t="str"/>
      <x:c r="O37" s="10" t="str"/>
      <x:c r="P37" s="10" t="str">
        <x:v>https://www.mygsn.co.uk/product/slow-cooked-beef-ragu/</x:v>
      </x:c>
      <x:c r="Q37" s="10" t="str">
        <x:v>https://www.mygsn.co.uk/wp-content/uploads/2024/10/meatball-ragu-flat-lay-cut-out-copy-WEB.jpg</x:v>
      </x:c>
      <x:c r="R37" s="10" t="str">
        <x:v>Exact current official GSN product page and genuine official product image verified; current kcal/protein already verified.</x:v>
      </x:c>
    </x:row>
    <x:row r="38">
      <x:c r="A38" s="10" t="str">
        <x:v>GSN</x:v>
      </x:c>
      <x:c r="B38" s="10" t="str">
        <x:v>Signature Meals</x:v>
      </x:c>
      <x:c r="C38" s="10" t="str">
        <x:v>Hearty Lamb Hotpot</x:v>
      </x:c>
      <x:c r="D38" s="10" t="str">
        <x:v>Per serving</x:v>
      </x:c>
      <x:c r="E38" s="10" t="n">
        <x:v>464</x:v>
      </x:c>
      <x:c r="F38" s="10" t="n">
        <x:v>30</x:v>
      </x:c>
      <x:c r="G38" s="10" t="str"/>
      <x:c r="H38" s="10" t="str"/>
      <x:c r="I38" s="10" t="str"/>
      <x:c r="J38" s="10" t="str"/>
      <x:c r="K38" s="10" t="str"/>
      <x:c r="L38" s="10" t="str"/>
      <x:c r="M38" s="10" t="str">
        <x:v>1 meal</x:v>
      </x:c>
      <x:c r="N38" s="10" t="str"/>
      <x:c r="O38" s="10" t="str"/>
      <x:c r="P38" s="10" t="str">
        <x:v>https://www.mygsn.co.uk/product/hearty-lamb-hotpot/</x:v>
      </x:c>
      <x:c r="Q38" s="10" t="str">
        <x:v>https://www.mygsn.co.uk/wp-content/uploads/2024/10/hot-pot-flat-lay-cut-out-copy-WEB.jpg</x:v>
      </x:c>
      <x:c r="R38" s="10" t="str">
        <x:v>Exact current official GSN product page and genuine official product image verified; current kcal/protein already verified.</x:v>
      </x:c>
    </x:row>
    <x:row r="39">
      <x:c r="A39" s="10" t="str">
        <x:v>GSN</x:v>
      </x:c>
      <x:c r="B39" s="10" t="str">
        <x:v>Signature Meals</x:v>
      </x:c>
      <x:c r="C39" s="10" t="str">
        <x:v>Panang Chicken Curry</x:v>
      </x:c>
      <x:c r="D39" s="10" t="str">
        <x:v>Per serving</x:v>
      </x:c>
      <x:c r="E39" s="10" t="n">
        <x:v>720</x:v>
      </x:c>
      <x:c r="F39" s="10" t="n">
        <x:v>58.5</x:v>
      </x:c>
      <x:c r="G39" s="10" t="str"/>
      <x:c r="H39" s="10" t="str"/>
      <x:c r="I39" s="10" t="str"/>
      <x:c r="J39" s="10" t="str"/>
      <x:c r="K39" s="10" t="str"/>
      <x:c r="L39" s="10" t="str"/>
      <x:c r="M39" s="10" t="str">
        <x:v>1 meal</x:v>
      </x:c>
      <x:c r="N39" s="10" t="str"/>
      <x:c r="O39" s="10" t="str"/>
      <x:c r="P39" s="10" t="str">
        <x:v>https://www.mygsn.co.uk/product/panang-chicken-curry/</x:v>
      </x:c>
      <x:c r="Q39" s="10" t="str">
        <x:v>https://www.mygsn.co.uk/wp-content/uploads/2024/10/paneng-flat-lay-cut-out-copy-WEB.jpg</x:v>
      </x:c>
      <x:c r="R39" s="10" t="str">
        <x:v>Exact current official GSN product page and genuine official product image verified; current kcal/protein already verified.</x:v>
      </x:c>
    </x:row>
    <x:row r="40">
      <x:c r="A40" t="str">
        <x:v>GSN</x:v>
      </x:c>
      <x:c r="B40" t="str">
        <x:v>Signature Meals</x:v>
      </x:c>
      <x:c r="C40" t="str">
        <x:v>Chicken Tikka Dhal</x:v>
      </x:c>
      <x:c r="D40" t="str">
        <x:v>Per serving</x:v>
      </x:c>
      <x:c r="E40" t="n">
        <x:v>448</x:v>
      </x:c>
      <x:c r="F40" t="n">
        <x:v>33.9</x:v>
      </x:c>
      <x:c r="G40" t="str"/>
      <x:c r="H40" t="str"/>
      <x:c r="I40" t="str"/>
      <x:c r="J40" t="str"/>
      <x:c r="K40" t="str"/>
      <x:c r="L40" t="str"/>
      <x:c r="M40" t="str">
        <x:v>1 meal</x:v>
      </x:c>
      <x:c r="N40" t="str"/>
      <x:c r="O40" t="str"/>
      <x:c r="P40" t="str">
        <x:v>https://www.mygsn.co.uk/product/4-x-signature-meals/</x:v>
      </x:c>
      <x:c r="Q40" t="str"/>
      <x:c r="R40" t="str">
        <x:v>Historical/bundle-only reference. Not in current official Signature category as of 2026-09-08; do not treat as current local-stock product without Madhouse confirmation.</x:v>
      </x:c>
    </x:row>
  </x:sheetData>
  <x:pageMargins left="0.7" right="0.7" top="0.75" bottom="0.75" header="0.3" footer="0.3"/>
  <x:tableParts count="1">
    <x:tablePart xmlns:r="http://schemas.openxmlformats.org/officeDocument/2006/relationships" r:id="Rcf28dcd186524d53"/>
  </x:tableParts>
</x:worksheet>
</file>

<file path=xl/worksheets/sheet8.xml><?xml version="1.0" encoding="utf-8"?>
<x:worksheet xmlns:x="http://schemas.openxmlformats.org/spreadsheetml/2006/main">
  <x:sheetFormatPr defaultRowHeight="15"/>
  <x:cols>
    <x:col min="1" max="1" width="18" hidden="0" customWidth="1"/>
    <x:col min="2" max="2" width="34" hidden="0" customWidth="1"/>
    <x:col min="3" max="3" width="22" hidden="0" customWidth="1"/>
    <x:col min="4" max="4" width="12" hidden="0" customWidth="1"/>
    <x:col min="5" max="5" width="16" hidden="0" customWidth="1"/>
    <x:col min="6" max="6" width="14" hidden="0" customWidth="1"/>
    <x:col min="7" max="7" width="18" hidden="0" customWidth="1"/>
    <x:col min="8" max="8" width="18" hidden="0" customWidth="1"/>
    <x:col min="9" max="9" width="46" hidden="0" customWidth="1"/>
    <x:col min="10" max="10" width="50" hidden="0" customWidth="1"/>
    <x:col min="11" max="11" width="50" hidden="0" customWidth="1"/>
    <x:col min="12" max="12" width="20" hidden="0" customWidth="1"/>
  </x:cols>
  <x:sheetData>
    <x:row r="1">
      <x:c r="A1" s="28" t="str">
        <x:v>Deal ID</x:v>
      </x:c>
      <x:c r="B1" s="28" t="str">
        <x:v>Deal Name</x:v>
      </x:c>
      <x:c r="C1" s="28" t="str">
        <x:v>Eligible Range</x:v>
      </x:c>
      <x:c r="D1" s="28" t="str">
        <x:v>Trigger Qty</x:v>
      </x:c>
      <x:c r="E1" s="28" t="str">
        <x:v>Normal Unit Price</x:v>
      </x:c>
      <x:c r="F1" s="28" t="str">
        <x:v>Deal Price</x:v>
      </x:c>
      <x:c r="G1" s="28" t="str">
        <x:v>Discount vs Normal</x:v>
      </x:c>
      <x:c r="H1" s="28" t="str">
        <x:v>Mix &amp; Match</x:v>
      </x:c>
      <x:c r="I1" s="28" t="str">
        <x:v>Basket Behaviour</x:v>
      </x:c>
      <x:c r="J1" s="28" t="str">
        <x:v>Deal Page Behaviour</x:v>
      </x:c>
      <x:c r="K1" s="28" t="str">
        <x:v>Stock Behaviour</x:v>
      </x:c>
      <x:c r="L1" s="28" t="str">
        <x:v>Status</x:v>
      </x:c>
    </x:row>
    <x:row r="2">
      <x:c r="A2" s="10" t="str">
        <x:v>GSN-POT10-32</x:v>
      </x:c>
      <x:c r="B2" s="10" t="str">
        <x:v>GSN 10 Meals for £32</x:v>
      </x:c>
      <x:c r="C2" s="10" t="str">
        <x:v>GSN / Pot O Gold</x:v>
      </x:c>
      <x:c r="D2" s="10" t="n">
        <x:v>10</x:v>
      </x:c>
      <x:c r="E2" s="22" t="n">
        <x:v>4</x:v>
      </x:c>
      <x:c r="F2" s="22" t="n">
        <x:v>32</x:v>
      </x:c>
      <x:c r="G2" s="22" t="n">
        <x:v>8</x:v>
      </x:c>
      <x:c r="H2" s="10" t="str">
        <x:v>Yes</x:v>
      </x:c>
      <x:c r="I2" s="10" t="str">
        <x:v>Automatically apply £32 for each complete group of 10 eligible Pot O Gold meals; preserve each selected variant/quantity.</x:v>
      </x:c>
      <x:c r="J2" s="10" t="str">
        <x:v>Operator/member deal builder must show eligible Pot O Gold variants and allow quantity per flavour/meal; selection total must equal 10 before adding the deal to basket.</x:v>
      </x:c>
      <x:c r="K2" s="10" t="str">
        <x:v>Each selected variant decrements its own local physical stock quantity; deal is pricing only, never a fake bundle SKU and never pooled stock.</x:v>
      </x:c>
      <x:c r="L2" s="10" t="str">
        <x:v>Ready for app wiring</x:v>
      </x:c>
    </x:row>
    <x:row r="3">
      <x:c r="A3" s="10"/>
      <x:c r="B3" s="10"/>
      <x:c r="C3" s="10"/>
      <x:c r="D3" s="10"/>
      <x:c r="E3" s="10"/>
      <x:c r="F3" s="10"/>
      <x:c r="G3" s="10"/>
      <x:c r="H3" s="10"/>
      <x:c r="I3" s="10"/>
      <x:c r="J3" s="10"/>
      <x:c r="K3" s="10"/>
      <x:c r="L3" s="10"/>
    </x:row>
    <x:row r="4">
      <x:c r="A4" s="31" t="str">
        <x:v>Deal Selection Contract</x:v>
      </x:c>
      <x:c r="B4" s="31" t="str"/>
      <x:c r="C4" s="31" t="str"/>
      <x:c r="D4" s="31" t="str"/>
      <x:c r="E4" s="31" t="str"/>
      <x:c r="F4" s="31" t="str"/>
      <x:c r="G4" s="10"/>
      <x:c r="H4" s="34" t="str">
        <x:v>Pricing examples</x:v>
      </x:c>
      <x:c r="I4" s="34" t="str"/>
      <x:c r="J4" s="34" t="str"/>
      <x:c r="K4" s="34" t="str"/>
      <x:c r="L4" s="34" t="str"/>
    </x:row>
    <x:row r="5">
      <x:c r="A5" s="31" t="str">
        <x:v>Deal ID</x:v>
      </x:c>
      <x:c r="B5" s="31" t="str">
        <x:v>Product / Variant</x:v>
      </x:c>
      <x:c r="C5" s="31" t="str">
        <x:v>Qty Taken</x:v>
      </x:c>
      <x:c r="D5" s="31" t="str">
        <x:v>Eligible?</x:v>
      </x:c>
      <x:c r="E5" s="31" t="str">
        <x:v>Stock Count</x:v>
      </x:c>
      <x:c r="F5" s="31" t="str">
        <x:v>Notes</x:v>
      </x:c>
      <x:c r="G5" s="10"/>
      <x:c r="H5" s="34" t="str">
        <x:v>Eligible Pot Qty</x:v>
      </x:c>
      <x:c r="I5" s="34" t="str">
        <x:v>Normal Total</x:v>
      </x:c>
      <x:c r="J5" s="34" t="str">
        <x:v>Deal Groups</x:v>
      </x:c>
      <x:c r="K5" s="34" t="str">
        <x:v>Deal Discount</x:v>
      </x:c>
      <x:c r="L5" s="34" t="str">
        <x:v>Basket Total</x:v>
      </x:c>
    </x:row>
    <x:row r="6">
      <x:c r="A6" s="10" t="str">
        <x:v>GSN-POT10-32</x:v>
      </x:c>
      <x:c r="B6" s="10" t="str">
        <x:v>Chicken Chow Mein with Stir Fry Vegetables</x:v>
      </x:c>
      <x:c r="C6" s="10" t="str"/>
      <x:c r="D6" s="10" t="str">
        <x:v>Yes</x:v>
      </x:c>
      <x:c r="E6" s="10" t="str"/>
      <x:c r="F6" s="10" t="str">
        <x:v>Qty is exact variant quantity inside the 10-meal deal.</x:v>
      </x:c>
      <x:c r="G6" s="10"/>
      <x:c r="H6" s="10" t="n">
        <x:v>1</x:v>
      </x:c>
      <x:c r="I6" s="35" t="n">
        <x:v>4</x:v>
      </x:c>
      <x:c r="J6" s="22" t="n">
        <x:v>0</x:v>
      </x:c>
      <x:c r="K6" s="35" t="n">
        <x:v>0</x:v>
      </x:c>
      <x:c r="L6" s="22" t="n">
        <x:v>4</x:v>
      </x:c>
    </x:row>
    <x:row r="7">
      <x:c r="A7" s="10" t="str">
        <x:v>GSN-POT10-32</x:v>
      </x:c>
      <x:c r="B7" s="10" t="str">
        <x:v>BBQ Chicken &amp; Mexican Rice</x:v>
      </x:c>
      <x:c r="C7" s="10" t="str"/>
      <x:c r="D7" s="10" t="str">
        <x:v>Yes</x:v>
      </x:c>
      <x:c r="E7" s="10" t="str"/>
      <x:c r="F7" s="10" t="str">
        <x:v>Qty is exact variant quantity inside the 10-meal deal.</x:v>
      </x:c>
      <x:c r="G7" s="10"/>
      <x:c r="H7" s="10" t="n">
        <x:v>9</x:v>
      </x:c>
      <x:c r="I7" s="35" t="n">
        <x:v>36</x:v>
      </x:c>
      <x:c r="J7" s="22" t="n">
        <x:v>0</x:v>
      </x:c>
      <x:c r="K7" s="35" t="n">
        <x:v>0</x:v>
      </x:c>
      <x:c r="L7" s="22" t="n">
        <x:v>36</x:v>
      </x:c>
    </x:row>
    <x:row r="8">
      <x:c r="A8" s="10" t="str">
        <x:v>GSN-POT10-32</x:v>
      </x:c>
      <x:c r="B8" s="10" t="str">
        <x:v>Chicken Arrabbiata Pasta with Red Pepper</x:v>
      </x:c>
      <x:c r="C8" s="10" t="str"/>
      <x:c r="D8" s="10" t="str">
        <x:v>Yes</x:v>
      </x:c>
      <x:c r="E8" s="10" t="str"/>
      <x:c r="F8" s="10" t="str">
        <x:v>Qty is exact variant quantity inside the 10-meal deal.</x:v>
      </x:c>
      <x:c r="G8" s="10"/>
      <x:c r="H8" s="10" t="n">
        <x:v>10</x:v>
      </x:c>
      <x:c r="I8" s="35" t="n">
        <x:v>40</x:v>
      </x:c>
      <x:c r="J8" s="22" t="n">
        <x:v>1</x:v>
      </x:c>
      <x:c r="K8" s="35" t="n">
        <x:v>8</x:v>
      </x:c>
      <x:c r="L8" s="22" t="n">
        <x:v>32</x:v>
      </x:c>
    </x:row>
    <x:row r="9">
      <x:c r="A9" s="10" t="str">
        <x:v>GSN-POT10-32</x:v>
      </x:c>
      <x:c r="B9" s="10" t="str">
        <x:v>Chicken Macaroni Cheese &amp; Greens</x:v>
      </x:c>
      <x:c r="C9" s="10" t="str"/>
      <x:c r="D9" s="10" t="str">
        <x:v>Yes</x:v>
      </x:c>
      <x:c r="E9" s="10" t="str"/>
      <x:c r="F9" s="10" t="str">
        <x:v>Qty is exact variant quantity inside the 10-meal deal.</x:v>
      </x:c>
      <x:c r="G9" s="10"/>
      <x:c r="H9" s="10" t="n">
        <x:v>11</x:v>
      </x:c>
      <x:c r="I9" s="35" t="n">
        <x:v>44</x:v>
      </x:c>
      <x:c r="J9" s="22" t="n">
        <x:v>1</x:v>
      </x:c>
      <x:c r="K9" s="35" t="n">
        <x:v>8</x:v>
      </x:c>
      <x:c r="L9" s="22" t="n">
        <x:v>36</x:v>
      </x:c>
    </x:row>
    <x:row r="10">
      <x:c r="A10" s="10" t="str">
        <x:v>GSN-POT10-32</x:v>
      </x:c>
      <x:c r="B10" s="10" t="str">
        <x:v>Pesto Pasta with HECK! Seasoned Chicken</x:v>
      </x:c>
      <x:c r="C10" s="10" t="str"/>
      <x:c r="D10" s="10" t="str">
        <x:v>Yes</x:v>
      </x:c>
      <x:c r="E10" s="10" t="str"/>
      <x:c r="F10" s="10" t="str">
        <x:v>Qty is exact variant quantity inside the 10-meal deal.</x:v>
      </x:c>
      <x:c r="G10" s="10"/>
      <x:c r="H10" s="10" t="n">
        <x:v>19</x:v>
      </x:c>
      <x:c r="I10" s="35" t="n">
        <x:v>76</x:v>
      </x:c>
      <x:c r="J10" s="22" t="n">
        <x:v>1</x:v>
      </x:c>
      <x:c r="K10" s="35" t="n">
        <x:v>8</x:v>
      </x:c>
      <x:c r="L10" s="22" t="n">
        <x:v>68</x:v>
      </x:c>
    </x:row>
    <x:row r="11">
      <x:c r="A11" s="10" t="str">
        <x:v>GSN-POT10-32</x:v>
      </x:c>
      <x:c r="B11" s="10" t="str">
        <x:v>Tender Chicken Tikka Masala</x:v>
      </x:c>
      <x:c r="C11" s="10" t="str"/>
      <x:c r="D11" s="10" t="str">
        <x:v>Yes</x:v>
      </x:c>
      <x:c r="E11" s="10" t="str"/>
      <x:c r="F11" s="10" t="str">
        <x:v>Qty is exact variant quantity inside the 10-meal deal.</x:v>
      </x:c>
      <x:c r="G11" s="10"/>
      <x:c r="H11" s="10" t="n">
        <x:v>20</x:v>
      </x:c>
      <x:c r="I11" s="35" t="n">
        <x:v>80</x:v>
      </x:c>
      <x:c r="J11" s="22" t="n">
        <x:v>2</x:v>
      </x:c>
      <x:c r="K11" s="35" t="n">
        <x:v>16</x:v>
      </x:c>
      <x:c r="L11" s="22" t="n">
        <x:v>64</x:v>
      </x:c>
    </x:row>
    <x:row r="12">
      <x:c r="A12" s="10" t="str">
        <x:v>GSN-POT10-32</x:v>
      </x:c>
      <x:c r="B12" s="10" t="str">
        <x:v>Creamy Peppercorn Chicken Pasta</x:v>
      </x:c>
      <x:c r="C12" s="10" t="str"/>
      <x:c r="D12" s="10" t="str">
        <x:v>Yes</x:v>
      </x:c>
      <x:c r="E12" s="10" t="str"/>
      <x:c r="F12" s="10" t="str">
        <x:v>Qty is exact variant quantity inside the 10-meal deal.</x:v>
      </x:c>
      <x:c r="G12" s="10"/>
      <x:c r="H12" s="10" t="n">
        <x:v>21</x:v>
      </x:c>
      <x:c r="I12" s="35" t="n">
        <x:v>84</x:v>
      </x:c>
      <x:c r="J12" s="22" t="n">
        <x:v>2</x:v>
      </x:c>
      <x:c r="K12" s="35" t="n">
        <x:v>16</x:v>
      </x:c>
      <x:c r="L12" s="22" t="n">
        <x:v>68</x:v>
      </x:c>
    </x:row>
    <x:row r="13">
      <x:c r="A13" s="10" t="str">
        <x:v>GSN-POT10-32</x:v>
      </x:c>
      <x:c r="B13" s="10" t="str">
        <x:v>Vegetarian Tempeh Tikka</x:v>
      </x:c>
      <x:c r="C13" s="10" t="str"/>
      <x:c r="D13" s="10" t="str">
        <x:v>Yes</x:v>
      </x:c>
      <x:c r="E13" s="10" t="str"/>
      <x:c r="F13" s="10" t="str">
        <x:v>Qty is exact variant quantity inside the 10-meal deal.</x:v>
      </x:c>
      <x:c r="G13" s="10"/>
      <x:c r="H13" s="10" t="n">
        <x:v>30</x:v>
      </x:c>
      <x:c r="I13" s="35" t="n">
        <x:v>120</x:v>
      </x:c>
      <x:c r="J13" s="22" t="n">
        <x:v>3</x:v>
      </x:c>
      <x:c r="K13" s="35" t="n">
        <x:v>24</x:v>
      </x:c>
      <x:c r="L13" s="22" t="n">
        <x:v>96</x:v>
      </x:c>
    </x:row>
    <x:row r="14">
      <x:c r="A14" s="10" t="str">
        <x:v>GSN-POT10-32</x:v>
      </x:c>
      <x:c r="B14" s="10" t="str">
        <x:v>Oriental Sweet &amp; Sour Chicken</x:v>
      </x:c>
      <x:c r="C14" s="10" t="str"/>
      <x:c r="D14" s="10" t="str">
        <x:v>Yes</x:v>
      </x:c>
      <x:c r="E14" s="10" t="str"/>
      <x:c r="F14" s="10" t="str">
        <x:v>Qty is exact variant quantity inside the 10-meal deal.</x:v>
      </x:c>
      <x:c r="G14" s="10"/>
      <x:c r="H14" s="10"/>
      <x:c r="I14" s="10"/>
      <x:c r="J14" s="10"/>
      <x:c r="K14" s="10"/>
      <x:c r="L14" s="10"/>
    </x:row>
    <x:row r="15">
      <x:c r="A15" s="10" t="str">
        <x:v>GSN-POT10-32</x:v>
      </x:c>
      <x:c r="B15" s="10" t="str">
        <x:v>Vegan Four Bean Chilli</x:v>
      </x:c>
      <x:c r="C15" s="10" t="str"/>
      <x:c r="D15" s="10" t="str">
        <x:v>Yes</x:v>
      </x:c>
      <x:c r="E15" s="10" t="str"/>
      <x:c r="F15" s="10" t="str">
        <x:v>Qty is exact variant quantity inside the 10-meal deal.</x:v>
      </x:c>
      <x:c r="G15" s="10"/>
      <x:c r="H15" s="10"/>
      <x:c r="I15" s="10"/>
      <x:c r="J15" s="10"/>
      <x:c r="K15" s="10"/>
      <x:c r="L15" s="10"/>
    </x:row>
    <x:row r="16">
      <x:c r="A16" s="10" t="str">
        <x:v>GSN-POT10-32</x:v>
      </x:c>
      <x:c r="B16" s="10" t="str">
        <x:v>Roast Chicken Dinner</x:v>
      </x:c>
      <x:c r="C16" s="10" t="str"/>
      <x:c r="D16" s="10" t="str">
        <x:v>Yes</x:v>
      </x:c>
      <x:c r="E16" s="10" t="str"/>
      <x:c r="F16" s="10" t="str">
        <x:v>Qty is exact variant quantity inside the 10-meal deal.</x:v>
      </x:c>
      <x:c r="G16" s="10"/>
      <x:c r="H16" s="10"/>
      <x:c r="I16" s="10"/>
      <x:c r="J16" s="10"/>
      <x:c r="K16" s="10"/>
      <x:c r="L16" s="10"/>
    </x:row>
    <x:row r="17">
      <x:c r="A17" s="10" t="str">
        <x:v>GSN-POT10-32</x:v>
      </x:c>
      <x:c r="B17" s="10" t="str">
        <x:v>Thai Garlic &amp; Black Pepper Chicken</x:v>
      </x:c>
      <x:c r="C17" s="10" t="str"/>
      <x:c r="D17" s="10" t="str">
        <x:v>Yes</x:v>
      </x:c>
      <x:c r="E17" s="10" t="str"/>
      <x:c r="F17" s="10" t="str">
        <x:v>Qty is exact variant quantity inside the 10-meal deal.</x:v>
      </x:c>
      <x:c r="G17" s="10"/>
      <x:c r="H17" s="10"/>
      <x:c r="I17" s="10"/>
      <x:c r="J17" s="10"/>
      <x:c r="K17" s="10"/>
      <x:c r="L17" s="10"/>
    </x:row>
    <x:row r="18">
      <x:c r="A18" s="10" t="str">
        <x:v>GSN-POT10-32</x:v>
      </x:c>
      <x:c r="B18" s="10" t="str">
        <x:v>Crispy Chicken &amp; Egg Fried Rice</x:v>
      </x:c>
      <x:c r="C18" s="10" t="str"/>
      <x:c r="D18" s="10" t="str">
        <x:v>Yes</x:v>
      </x:c>
      <x:c r="E18" s="10" t="str"/>
      <x:c r="F18" s="10" t="str">
        <x:v>Qty is exact variant quantity inside the 10-meal deal.</x:v>
      </x:c>
      <x:c r="G18" s="10"/>
      <x:c r="H18" s="10"/>
      <x:c r="I18" s="10"/>
      <x:c r="J18" s="10"/>
      <x:c r="K18" s="10"/>
      <x:c r="L18" s="10"/>
    </x:row>
    <x:row r="19">
      <x:c r="A19" s="10" t="str">
        <x:v>GSN-POT10-32</x:v>
      </x:c>
      <x:c r="B19" s="10" t="str">
        <x:v>Chipotle Roast Chicken Rice &amp; Beans</x:v>
      </x:c>
      <x:c r="C19" s="10" t="str"/>
      <x:c r="D19" s="10" t="str">
        <x:v>Yes</x:v>
      </x:c>
      <x:c r="E19" s="10" t="str"/>
      <x:c r="F19" s="10" t="str">
        <x:v>Qty is exact variant quantity inside the 10-meal deal.</x:v>
      </x:c>
      <x:c r="G19" s="10"/>
      <x:c r="H19" s="10"/>
      <x:c r="I19" s="10"/>
      <x:c r="J19" s="10"/>
      <x:c r="K19" s="10"/>
      <x:c r="L19" s="10"/>
    </x:row>
    <x:row r="20">
      <x:c r="A20" s="10" t="str">
        <x:v>GSN-POT10-32</x:v>
      </x:c>
      <x:c r="B20" s="10" t="str">
        <x:v>Golden Butter Chicken Curry</x:v>
      </x:c>
      <x:c r="C20" s="10" t="str"/>
      <x:c r="D20" s="10" t="str">
        <x:v>Yes</x:v>
      </x:c>
      <x:c r="E20" s="10" t="str"/>
      <x:c r="F20" s="10" t="str">
        <x:v>Qty is exact variant quantity inside the 10-meal deal.</x:v>
      </x:c>
      <x:c r="G20" s="10"/>
      <x:c r="H20" s="10"/>
      <x:c r="I20" s="10"/>
      <x:c r="J20" s="10"/>
      <x:c r="K20" s="10"/>
      <x:c r="L20" s="10"/>
    </x:row>
    <x:row r="21">
      <x:c r="A21" s="10" t="str">
        <x:v>GSN-POT10-32</x:v>
      </x:c>
      <x:c r="B21" s="10" t="str">
        <x:v>Greek Souvlaki Chicken with Rice</x:v>
      </x:c>
      <x:c r="C21" s="10" t="str"/>
      <x:c r="D21" s="10" t="str">
        <x:v>Yes</x:v>
      </x:c>
      <x:c r="E21" s="10" t="str"/>
      <x:c r="F21" s="10" t="str">
        <x:v>Qty is exact variant quantity inside the 10-meal deal.</x:v>
      </x:c>
      <x:c r="G21" s="10"/>
      <x:c r="H21" s="10"/>
      <x:c r="I21" s="10"/>
      <x:c r="J21" s="10"/>
      <x:c r="K21" s="10"/>
      <x:c r="L21" s="10"/>
    </x:row>
    <x:row r="22">
      <x:c r="A22" s="10" t="str">
        <x:v>GSN-POT10-32</x:v>
      </x:c>
      <x:c r="B22" s="10" t="str">
        <x:v>Firecracker Chicken &amp; Spicy Rice</x:v>
      </x:c>
      <x:c r="C22" s="10" t="str"/>
      <x:c r="D22" s="10" t="str">
        <x:v>Yes</x:v>
      </x:c>
      <x:c r="E22" s="10" t="str"/>
      <x:c r="F22" s="10" t="str">
        <x:v>Qty is exact variant quantity inside the 10-meal deal.</x:v>
      </x:c>
      <x:c r="G22" s="10"/>
      <x:c r="H22" s="10"/>
      <x:c r="I22" s="10"/>
      <x:c r="J22" s="10"/>
      <x:c r="K22" s="10"/>
      <x:c r="L22" s="10"/>
    </x:row>
    <x:row r="23">
      <x:c r="A23" s="10" t="str">
        <x:v>GSN-POT10-32</x:v>
      </x:c>
      <x:c r="B23" s="10" t="str">
        <x:v>Breaded Chicken Katsu Curry</x:v>
      </x:c>
      <x:c r="C23" s="10" t="str"/>
      <x:c r="D23" s="10" t="str">
        <x:v>Yes</x:v>
      </x:c>
      <x:c r="E23" s="10" t="str"/>
      <x:c r="F23" s="10" t="str">
        <x:v>Qty is exact variant quantity inside the 10-meal deal.</x:v>
      </x:c>
      <x:c r="G23" s="10"/>
      <x:c r="H23" s="10"/>
      <x:c r="I23" s="10"/>
      <x:c r="J23" s="10"/>
      <x:c r="K23" s="10"/>
      <x:c r="L23" s="10"/>
    </x:row>
    <x:row r="24">
      <x:c r="A24" s="10" t="str">
        <x:v>GSN-POT10-32</x:v>
      </x:c>
      <x:c r="B24" s="10" t="str">
        <x:v>Mild &amp; Creamy Chicken Korma</x:v>
      </x:c>
      <x:c r="C24" s="10" t="str"/>
      <x:c r="D24" s="10" t="str">
        <x:v>Yes</x:v>
      </x:c>
      <x:c r="E24" s="10" t="str"/>
      <x:c r="F24" s="10" t="str">
        <x:v>Qty is exact variant quantity inside the 10-meal deal.</x:v>
      </x:c>
      <x:c r="G24" s="10"/>
      <x:c r="H24" s="10"/>
      <x:c r="I24" s="10"/>
      <x:c r="J24" s="10"/>
      <x:c r="K24" s="10"/>
      <x:c r="L24" s="10"/>
    </x:row>
    <x:row r="25">
      <x:c r="A25" s="10" t="str">
        <x:v>GSN-POT10-32</x:v>
      </x:c>
      <x:c r="B25" s="10" t="str">
        <x:v>Salt &amp; Pepper Chicken Noodles</x:v>
      </x:c>
      <x:c r="C25" s="10" t="str"/>
      <x:c r="D25" s="10" t="str">
        <x:v>Yes</x:v>
      </x:c>
      <x:c r="E25" s="10" t="str"/>
      <x:c r="F25" s="10" t="str">
        <x:v>Qty is exact variant quantity inside the 10-meal deal.</x:v>
      </x:c>
      <x:c r="G25" s="10"/>
      <x:c r="H25" s="10"/>
      <x:c r="I25" s="10"/>
      <x:c r="J25" s="10"/>
      <x:c r="K25" s="10"/>
      <x:c r="L25" s="10"/>
    </x:row>
    <x:row r="26">
      <x:c r="A26" s="10" t="str">
        <x:v>GSN-POT10-32</x:v>
      </x:c>
      <x:c r="B26" s="10" t="str">
        <x:v>Chicken Curry with Special Fried Rice</x:v>
      </x:c>
      <x:c r="C26" s="10" t="str"/>
      <x:c r="D26" s="10" t="str">
        <x:v>Yes</x:v>
      </x:c>
      <x:c r="E26" s="10" t="str"/>
      <x:c r="F26" s="10" t="str">
        <x:v>Qty is exact variant quantity inside the 10-meal deal.</x:v>
      </x:c>
      <x:c r="G26" s="10"/>
      <x:c r="H26" s="10"/>
      <x:c r="I26" s="10"/>
      <x:c r="J26" s="10"/>
      <x:c r="K26" s="10"/>
      <x:c r="L26" s="10"/>
    </x:row>
    <x:row r="27">
      <x:c r="A27" s="10" t="str">
        <x:v>GSN-POT10-32</x:v>
      </x:c>
      <x:c r="B27" s="10" t="str">
        <x:v>Smooth Satay Chicken Curry</x:v>
      </x:c>
      <x:c r="C27" s="10" t="str"/>
      <x:c r="D27" s="10" t="str">
        <x:v>Yes</x:v>
      </x:c>
      <x:c r="E27" s="10" t="str"/>
      <x:c r="F27" s="10" t="str">
        <x:v>Qty is exact variant quantity inside the 10-meal deal.</x:v>
      </x:c>
      <x:c r="G27" s="10"/>
      <x:c r="H27" s="10"/>
      <x:c r="I27" s="10"/>
      <x:c r="J27" s="10"/>
      <x:c r="K27" s="10"/>
      <x:c r="L27" s="10"/>
    </x:row>
    <x:row r="28">
      <x:c r="A28" s="10" t="str">
        <x:v>GSN-POT10-32</x:v>
      </x:c>
      <x:c r="B28" s="10" t="str">
        <x:v>Crispy Spiced Buffalo Chicken</x:v>
      </x:c>
      <x:c r="C28" s="10" t="str"/>
      <x:c r="D28" s="10" t="str">
        <x:v>Yes</x:v>
      </x:c>
      <x:c r="E28" s="10" t="str"/>
      <x:c r="F28" s="10" t="str">
        <x:v>Qty is exact variant quantity inside the 10-meal deal.</x:v>
      </x:c>
      <x:c r="G28" s="10"/>
      <x:c r="H28" s="10"/>
      <x:c r="I28" s="10"/>
      <x:c r="J28" s="10"/>
      <x:c r="K28" s="10"/>
      <x:c r="L28" s="10"/>
    </x:row>
    <x:row r="29">
      <x:c r="A29" s="10" t="str">
        <x:v>GSN-POT10-32</x:v>
      </x:c>
      <x:c r="B29" s="10" t="str">
        <x:v>Morning Classic English Breakfast</x:v>
      </x:c>
      <x:c r="C29" s="10" t="str"/>
      <x:c r="D29" s="10" t="str">
        <x:v>Yes</x:v>
      </x:c>
      <x:c r="E29" s="10" t="str"/>
      <x:c r="F29" s="10" t="str">
        <x:v>Qty is exact variant quantity inside the 10-meal deal.</x:v>
      </x:c>
      <x:c r="G29" s="10"/>
      <x:c r="H29" s="10"/>
      <x:c r="I29" s="10"/>
      <x:c r="J29" s="10"/>
      <x:c r="K29" s="10"/>
      <x:c r="L29" s="10"/>
    </x:row>
    <x:row r="30">
      <x:c r="A30" s="10" t="str">
        <x:v>GSN-POT10-32</x:v>
      </x:c>
      <x:c r="B30" s="10" t="str">
        <x:v>Rich &amp; Hearty Pasta Bolognese</x:v>
      </x:c>
      <x:c r="C30" s="10" t="str"/>
      <x:c r="D30" s="10" t="str">
        <x:v>Yes</x:v>
      </x:c>
      <x:c r="E30" s="10" t="str"/>
      <x:c r="F30" s="10" t="str">
        <x:v>Qty is exact variant quantity inside the 10-meal deal.</x:v>
      </x:c>
      <x:c r="G30" s="10"/>
      <x:c r="H30" s="10"/>
      <x:c r="I30" s="10"/>
      <x:c r="J30" s="10"/>
      <x:c r="K30" s="10"/>
      <x:c r="L30" s="10"/>
    </x:row>
    <x:row r="31">
      <x:c r="A31" s="10" t="str">
        <x:v>GSN-POT10-32</x:v>
      </x:c>
      <x:c r="B31" s="10" t="str">
        <x:v>Chicken Black Bean &amp; Special Fried Rice</x:v>
      </x:c>
      <x:c r="C31" s="10" t="str"/>
      <x:c r="D31" s="10" t="str">
        <x:v>Yes</x:v>
      </x:c>
      <x:c r="E31" s="10" t="str"/>
      <x:c r="F31" s="10" t="str">
        <x:v>Qty is exact variant quantity inside the 10-meal deal.</x:v>
      </x:c>
      <x:c r="G31" s="10"/>
      <x:c r="H31" s="10"/>
      <x:c r="I31" s="10"/>
      <x:c r="J31" s="10"/>
      <x:c r="K31" s="10"/>
      <x:c r="L31" s="10"/>
    </x:row>
    <x:row r="32">
      <x:c r="A32" s="10"/>
      <x:c r="B32" s="10"/>
      <x:c r="C32" s="10"/>
      <x:c r="D32" s="10"/>
      <x:c r="E32" s="10"/>
      <x:c r="F32" s="10"/>
      <x:c r="G32" s="10"/>
      <x:c r="H32" s="10"/>
      <x:c r="I32" s="10"/>
      <x:c r="J32" s="10"/>
      <x:c r="K32" s="10"/>
      <x:c r="L32" s="10"/>
    </x:row>
    <x:row r="33">
      <x:c r="A33" s="10"/>
      <x:c r="B33" s="10"/>
      <x:c r="C33" s="10"/>
      <x:c r="D33" s="10"/>
      <x:c r="E33" s="10"/>
      <x:c r="F33" s="10"/>
      <x:c r="G33" s="10"/>
      <x:c r="H33" s="10"/>
      <x:c r="I33" s="10"/>
      <x:c r="J33" s="10"/>
      <x:c r="K33" s="10"/>
      <x:c r="L33" s="10"/>
    </x:row>
    <x:row r="34">
      <x:c r="A34" s="10"/>
      <x:c r="B34" s="10"/>
      <x:c r="C34" s="10"/>
      <x:c r="D34" s="10"/>
      <x:c r="E34" s="10"/>
      <x:c r="F34" s="10"/>
      <x:c r="G34" s="10"/>
      <x:c r="H34" s="10"/>
      <x:c r="I34" s="10"/>
      <x:c r="J34" s="10"/>
      <x:c r="K34" s="10"/>
      <x:c r="L34" s="10"/>
    </x:row>
    <x:row r="35">
      <x:c r="A35" s="10"/>
      <x:c r="B35" s="10"/>
      <x:c r="C35" s="10"/>
      <x:c r="D35" s="10"/>
      <x:c r="E35" s="10"/>
      <x:c r="F35" s="10"/>
      <x:c r="G35" s="10"/>
      <x:c r="H35" s="10"/>
      <x:c r="I35" s="10"/>
      <x:c r="J35" s="10"/>
      <x:c r="K35" s="10"/>
      <x:c r="L35" s="10"/>
    </x:row>
    <x:row r="36">
      <x:c r="A36" s="10"/>
      <x:c r="B36" s="10"/>
      <x:c r="C36" s="10"/>
      <x:c r="D36" s="10"/>
      <x:c r="E36" s="10"/>
      <x:c r="F36" s="10"/>
      <x:c r="G36" s="10"/>
      <x:c r="H36" s="10"/>
      <x:c r="I36" s="10"/>
      <x:c r="J36" s="10"/>
      <x:c r="K36" s="10"/>
      <x:c r="L36" s="10"/>
    </x:row>
    <x:row r="37">
      <x:c r="A37" s="10"/>
      <x:c r="B37" s="10"/>
      <x:c r="C37" s="10"/>
      <x:c r="D37" s="10"/>
      <x:c r="E37" s="10"/>
      <x:c r="F37" s="10"/>
      <x:c r="G37" s="10"/>
      <x:c r="H37" s="10"/>
      <x:c r="I37" s="10"/>
      <x:c r="J37" s="10"/>
      <x:c r="K37" s="10"/>
      <x:c r="L37" s="10"/>
    </x:row>
    <x:row r="38">
      <x:c r="A38" s="10"/>
      <x:c r="B38" s="10"/>
      <x:c r="C38" s="10"/>
      <x:c r="D38" s="10"/>
      <x:c r="E38" s="10"/>
      <x:c r="F38" s="10"/>
      <x:c r="G38" s="10"/>
      <x:c r="H38" s="10"/>
      <x:c r="I38" s="10"/>
      <x:c r="J38" s="10"/>
      <x:c r="K38" s="10"/>
      <x:c r="L38" s="10"/>
    </x:row>
    <x:row r="39">
      <x:c r="A39" s="10"/>
      <x:c r="B39" s="10"/>
      <x:c r="C39" s="10"/>
      <x:c r="D39" s="10"/>
      <x:c r="E39" s="10"/>
      <x:c r="F39" s="10"/>
      <x:c r="G39" s="10"/>
      <x:c r="H39" s="10"/>
      <x:c r="I39" s="10"/>
      <x:c r="J39" s="10"/>
      <x:c r="K39" s="10"/>
      <x:c r="L39" s="10"/>
    </x:row>
    <x:row r="40">
      <x:c r="A40" s="10"/>
      <x:c r="B40" s="10"/>
      <x:c r="C40" s="10"/>
      <x:c r="D40" s="10"/>
      <x:c r="E40" s="10"/>
      <x:c r="F40" s="10"/>
      <x:c r="G40" s="10"/>
      <x:c r="H40" s="10"/>
      <x:c r="I40" s="10"/>
      <x:c r="J40" s="10"/>
      <x:c r="K40" s="10"/>
      <x:c r="L40" s="10"/>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20" hidden="0" customWidth="1"/>
    <x:col min="3" max="3" width="12" hidden="0" customWidth="1"/>
    <x:col min="4" max="4" width="40" hidden="0" customWidth="1"/>
    <x:col min="5" max="5" width="14" hidden="0" customWidth="1"/>
    <x:col min="6" max="6" width="55" hidden="0" customWidth="1"/>
  </x:cols>
  <x:sheetData>
    <x:row r="1" ht="26.399999618530273" hidden="0" customHeight="1">
      <x:c r="A1" s="45" t="str">
        <x:v>Capture Date</x:v>
      </x:c>
      <x:c r="B1" s="45" t="str">
        <x:v>Section</x:v>
      </x:c>
      <x:c r="C1" s="45" t="str">
        <x:v>Capture</x:v>
      </x:c>
      <x:c r="D1" s="45" t="str">
        <x:v>Source</x:v>
      </x:c>
      <x:c r="E1" s="45" t="str">
        <x:v>Status</x:v>
      </x:c>
      <x:c r="F1" s="45" t="str">
        <x:v>Notes</x:v>
      </x:c>
    </x:row>
    <x:row r="2" ht="118.80000305175781" hidden="0" customHeight="1">
      <x:c r="A2" s="10" t="str">
        <x:v>2026-09-09</x:v>
      </x:c>
      <x:c r="B2" s="10" t="str">
        <x:v>Special Offers</x:v>
      </x:c>
      <x:c r="C2" s="10" t="str">
        <x:v>1 of 5</x:v>
      </x:c>
      <x:c r="D2" s="10" t="str">
        <x:v>Active Sports Trade / Trade / special-offers</x:v>
      </x:c>
      <x:c r="E2" s="10" t="str">
        <x:v>Received</x:v>
      </x:c>
      <x:c r="F2" s="10" t="str">
        <x:v>Full-page Special Offers capture; use bold payable price. List only main item; free gifts are supplier-only surprises.</x:v>
      </x:c>
    </x:row>
    <x:row r="3" ht="92.4000015258789" hidden="0" customHeight="1">
      <x:c r="A3" s="10" t="str">
        <x:v>2026-09-09</x:v>
      </x:c>
      <x:c r="B3" s="10" t="str">
        <x:v>Special Offers</x:v>
      </x:c>
      <x:c r="C3" s="10" t="str">
        <x:v>2 of 5</x:v>
      </x:c>
      <x:c r="D3" s="10" t="str">
        <x:v>Active Sports Trade / Trade / special-offers</x:v>
      </x:c>
      <x:c r="E3" s="10" t="str">
        <x:v>Received</x:v>
      </x:c>
      <x:c r="F3" s="10" t="str">
        <x:v>Full-page Special Offers capture; variant stock visible; hide parent entirely if every variant is out of stock.</x:v>
      </x:c>
    </x:row>
    <x:row r="4" ht="92.4000015258789" hidden="0" customHeight="1">
      <x:c r="A4" s="10" t="str">
        <x:v>2026-09-09</x:v>
      </x:c>
      <x:c r="B4" s="10" t="str">
        <x:v>Special Offers</x:v>
      </x:c>
      <x:c r="C4" s="10" t="str">
        <x:v>3 of 5</x:v>
      </x:c>
      <x:c r="D4" s="10" t="str">
        <x:v>Active Sports Trade / Trade / special-offers</x:v>
      </x:c>
      <x:c r="E4" s="10" t="str">
        <x:v>Received</x:v>
      </x:c>
      <x:c r="F4" s="10" t="str">
        <x:v>Full-page Special Offers capture; use main-product catalogue title/image where possible, not free-gift promo artwork.</x:v>
      </x:c>
    </x:row>
    <x:row r="5" ht="92.4000015258789" hidden="0" customHeight="1">
      <x:c r="A5" s="10" t="str">
        <x:v>2026-09-09</x:v>
      </x:c>
      <x:c r="B5" s="10" t="str">
        <x:v>Special Offers</x:v>
      </x:c>
      <x:c r="C5" s="10" t="str">
        <x:v>4 of 5</x:v>
      </x:c>
      <x:c r="D5" s="10" t="str">
        <x:v>Active Sports Trade / Trade / special-offers</x:v>
      </x:c>
      <x:c r="E5" s="10" t="str">
        <x:v>Received</x:v>
      </x:c>
      <x:c r="F5" s="10" t="str">
        <x:v>Full-page Special Offers capture; current bold payable price drives cost even when promotional.</x:v>
      </x:c>
    </x:row>
    <x:row r="6" ht="79.19999694824219" hidden="0" customHeight="1">
      <x:c r="A6" s="10" t="str">
        <x:v>2026-09-09</x:v>
      </x:c>
      <x:c r="B6" s="10" t="str">
        <x:v>Special Offers</x:v>
      </x:c>
      <x:c r="C6" s="10" t="str">
        <x:v>5 of 5</x:v>
      </x:c>
      <x:c r="D6" s="10" t="str">
        <x:v>Active Sports Trade / Trade / special-offers</x:v>
      </x:c>
      <x:c r="E6" s="10" t="str">
        <x:v>Received</x:v>
      </x:c>
      <x:c r="F6" s="10" t="str">
        <x:v>Full-page Special Offers capture; end of page/footer visible; customer catalogue should not advertise supplier freebies.</x:v>
      </x:c>
    </x:row>
    <x:row r="7">
      <x:c r="A7" s="10" t="str">
        <x:v>2026-09-09</x:v>
      </x:c>
      <x:c r="B7" s="10" t="str">
        <x:v>Brand</x:v>
      </x:c>
      <x:c r="C7" s="10" t="str">
        <x:v>3D Energy</x:v>
      </x:c>
      <x:c r="D7" s="10" t="str">
        <x:v>Active Sports Trade / 3D Energy</x:v>
      </x:c>
      <x:c r="E7" s="10" t="str">
        <x:v>Received</x:v>
      </x:c>
      <x:c r="F7" s="10" t="str">
        <x:v>Full-page brand capture; bold price is authoritative ex-VAT cost; variant stock visible.</x:v>
      </x:c>
    </x:row>
    <x:row r="8">
      <x:c r="A8" s="10" t="str">
        <x:v>2026-09-09</x:v>
      </x:c>
      <x:c r="B8" s="10" t="str">
        <x:v>Brand</x:v>
      </x:c>
      <x:c r="C8" s="10" t="str">
        <x:v>10X Athletic</x:v>
      </x:c>
      <x:c r="D8" s="10" t="str">
        <x:v>Active Sports Trade / 10X Athletic</x:v>
      </x:c>
      <x:c r="E8" s="10" t="str">
        <x:v>Received</x:v>
      </x:c>
      <x:c r="F8" s="10" t="str">
        <x:v>Full-page brand capture; product/variant stock and bold payable trade prices visible.</x:v>
      </x:c>
    </x:row>
    <x:row r="9">
      <x:c r="A9" s="10" t="str">
        <x:v>2026-09-09</x:v>
      </x:c>
      <x:c r="B9" s="10" t="str">
        <x:v>Brand</x:v>
      </x:c>
      <x:c r="C9" s="10" t="str">
        <x:v>Adapt Nutrition</x:v>
      </x:c>
      <x:c r="D9" s="10" t="str">
        <x:v>Active Sports Trade / Adapt Nutrition</x:v>
      </x:c>
      <x:c r="E9" s="10" t="str">
        <x:v>Received</x:v>
      </x:c>
      <x:c r="F9" s="10" t="str">
        <x:v>Full-page brand capture received.</x:v>
      </x:c>
    </x:row>
    <x:row r="10">
      <x:c r="A10" s="10" t="str">
        <x:v>2026-09-09</x:v>
      </x:c>
      <x:c r="B10" s="10" t="str">
        <x:v>Brand</x:v>
      </x:c>
      <x:c r="C10" s="10" t="str">
        <x:v>Advanced Dietics</x:v>
      </x:c>
      <x:c r="D10" s="10" t="str">
        <x:v>Active Sports Trade / Advanced Dietics</x:v>
      </x:c>
      <x:c r="E10" s="10" t="str">
        <x:v>Received</x:v>
      </x:c>
      <x:c r="F10" s="10" t="str">
        <x:v>Full-page brand capture received.</x:v>
      </x:c>
    </x:row>
    <x:row r="11">
      <x:c r="A11" s="10" t="str">
        <x:v>2026-09-09</x:v>
      </x:c>
      <x:c r="B11" s="10" t="str">
        <x:v>Brand</x:v>
      </x:c>
      <x:c r="C11" s="10" t="str">
        <x:v>Alpha Designs</x:v>
      </x:c>
      <x:c r="D11" s="10" t="str">
        <x:v>Active Sports Trade / Alpha Designs</x:v>
      </x:c>
      <x:c r="E11" s="10" t="str">
        <x:v>Received</x:v>
      </x:c>
      <x:c r="F11" s="10" t="str">
        <x:v>Full-page brand capture received.</x:v>
      </x:c>
    </x:row>
    <x:row r="12">
      <x:c r="A12" s="10" t="str">
        <x:v>2026-09-09</x:v>
      </x:c>
      <x:c r="B12" s="10" t="str">
        <x:v>Brand</x:v>
      </x:c>
      <x:c r="C12" s="10" t="str">
        <x:v>Animal</x:v>
      </x:c>
      <x:c r="D12" s="10" t="str">
        <x:v>Active Sports Trade / Animal</x:v>
      </x:c>
      <x:c r="E12" s="10" t="str">
        <x:v>Received</x:v>
      </x:c>
      <x:c r="F12" s="10" t="str">
        <x:v>Full-page brand capture received.</x:v>
      </x:c>
    </x:row>
    <x:row r="13">
      <x:c r="A13" s="10" t="str">
        <x:v>2026-09-09</x:v>
      </x:c>
      <x:c r="B13" s="10" t="str">
        <x:v>Brand</x:v>
      </x:c>
      <x:c r="C13" s="10" t="str">
        <x:v>Apex Formulas</x:v>
      </x:c>
      <x:c r="D13" s="10" t="str">
        <x:v>Active Sports Trade / Apex Formulas</x:v>
      </x:c>
      <x:c r="E13" s="10" t="str">
        <x:v>Received</x:v>
      </x:c>
      <x:c r="F13" s="10" t="str">
        <x:v>Full-page brand capture received.</x:v>
      </x:c>
    </x:row>
    <x:row r="14">
      <x:c r="A14" s="10" t="str">
        <x:v>2026-09-09</x:v>
      </x:c>
      <x:c r="B14" s="10" t="str">
        <x:v>Brand</x:v>
      </x:c>
      <x:c r="C14" s="10" t="str">
        <x:v>Apocalypse Nutrition</x:v>
      </x:c>
      <x:c r="D14" s="10" t="str">
        <x:v>Active Sports Trade / Apocalypse Nutrition</x:v>
      </x:c>
      <x:c r="E14" s="10" t="str">
        <x:v>Received</x:v>
      </x:c>
      <x:c r="F14" s="10" t="str">
        <x:v>Full-page brand capture received.</x:v>
      </x:c>
    </x:row>
    <x:row r="15">
      <x:c r="A15" s="10" t="str">
        <x:v>2026-09-09</x:v>
      </x:c>
      <x:c r="B15" s="10" t="str">
        <x:v>Brand</x:v>
      </x:c>
      <x:c r="C15" s="10" t="str">
        <x:v>Applied Nutrition</x:v>
      </x:c>
      <x:c r="D15" s="10" t="str">
        <x:v>Active Sports Trade / Applied Nutrition (3 captures)</x:v>
      </x:c>
      <x:c r="E15" s="10" t="str">
        <x:v>Received</x:v>
      </x:c>
      <x:c r="F15" s="10" t="str">
        <x:v>Three full-page captures received; continue to treat exact variant stock independently.</x:v>
      </x:c>
    </x:row>
    <x:row r="16">
      <x:c r="A16" s="10" t="str">
        <x:v>2026-09-09</x:v>
      </x:c>
      <x:c r="B16" s="10" t="str">
        <x:v>Brand</x:v>
      </x:c>
      <x:c r="C16" s="10" t="str">
        <x:v>Barebells</x:v>
      </x:c>
      <x:c r="D16" s="10" t="str">
        <x:v>Active Sports Trade / Barebells</x:v>
      </x:c>
      <x:c r="E16" s="10" t="str">
        <x:v>Received</x:v>
      </x:c>
      <x:c r="F16" s="10" t="str">
        <x:v>Full-page brand capture received.</x:v>
      </x:c>
    </x:row>
    <x:row r="17">
      <x:c r="A17" s="10" t="str">
        <x:v>2026-09-09</x:v>
      </x:c>
      <x:c r="B17" s="10" t="str">
        <x:v>Brand</x:v>
      </x:c>
      <x:c r="C17" s="10" t="str">
        <x:v>Beast Pharm</x:v>
      </x:c>
      <x:c r="D17" s="10" t="str">
        <x:v>Active Sports Trade / Beast Pharm</x:v>
      </x:c>
      <x:c r="E17" s="10" t="str">
        <x:v>Received</x:v>
      </x:c>
      <x:c r="F17" s="10" t="str">
        <x:v>Full-page brand capture received.</x:v>
      </x:c>
    </x:row>
    <x:row r="18">
      <x:c r="A18" s="10" t="str">
        <x:v>2026-09-09</x:v>
      </x:c>
      <x:c r="B18" s="10" t="str">
        <x:v>Brand</x:v>
      </x:c>
      <x:c r="C18" s="10" t="str">
        <x:v>BioTech USA</x:v>
      </x:c>
      <x:c r="D18" s="10" t="str">
        <x:v>Active Sports Trade / BioTech USA (2 captures)</x:v>
      </x:c>
      <x:c r="E18" s="10" t="str">
        <x:v>Received</x:v>
      </x:c>
      <x:c r="F18" s="10" t="str">
        <x:v>Two full-page captures received.</x:v>
      </x:c>
    </x:row>
    <x:row r="19">
      <x:c r="A19" s="10" t="str">
        <x:v>2026-09-09</x:v>
      </x:c>
      <x:c r="B19" s="10" t="str">
        <x:v>Brand</x:v>
      </x:c>
      <x:c r="C19" s="10" t="str">
        <x:v>Black Magic</x:v>
      </x:c>
      <x:c r="D19" s="10" t="str">
        <x:v>Active Sports Trade / Black Magic</x:v>
      </x:c>
      <x:c r="E19" s="10" t="str">
        <x:v>Received</x:v>
      </x:c>
      <x:c r="F19" s="10" t="str">
        <x:v>Full-page brand capture received.</x:v>
      </x:c>
    </x:row>
    <x:row r="20">
      <x:c r="A20" s="10" t="str">
        <x:v>2026-09-09</x:v>
      </x:c>
      <x:c r="B20" s="10" t="str">
        <x:v>Brand</x:v>
      </x:c>
      <x:c r="C20" s="10" t="str">
        <x:v>Black Mamba</x:v>
      </x:c>
      <x:c r="D20" s="10" t="str">
        <x:v>Active Sports Trade / Black Mamba</x:v>
      </x:c>
      <x:c r="E20" s="10" t="str">
        <x:v>Received</x:v>
      </x:c>
      <x:c r="F20" s="10" t="str">
        <x:v>Full-page brand capture received.</x:v>
      </x:c>
    </x:row>
    <x:row r="21">
      <x:c r="A21" s="10" t="str">
        <x:v>2026-09-09</x:v>
      </x:c>
      <x:c r="B21" s="10" t="str">
        <x:v>Brand</x:v>
      </x:c>
      <x:c r="C21" s="10" t="str">
        <x:v>Black Mamba - Reaper Series</x:v>
      </x:c>
      <x:c r="D21" s="10" t="str">
        <x:v>Active Sports Trade / Black Mamba Reaper Series</x:v>
      </x:c>
      <x:c r="E21" s="10" t="str">
        <x:v>Received</x:v>
      </x:c>
      <x:c r="F21" s="10" t="str">
        <x:v>Full-page brand capture received.</x:v>
      </x:c>
    </x:row>
    <x:row r="22">
      <x:c r="A22" s="10" t="str">
        <x:v>2026-09-09</x:v>
      </x:c>
      <x:c r="B22" s="10" t="str">
        <x:v>Brand</x:v>
      </x:c>
      <x:c r="C22" s="10" t="str">
        <x:v>Bounty</x:v>
      </x:c>
      <x:c r="D22" s="10" t="str">
        <x:v>Active Sports Trade / Bounty</x:v>
      </x:c>
      <x:c r="E22" s="10" t="str">
        <x:v>Received</x:v>
      </x:c>
      <x:c r="F22" s="10" t="str">
        <x:v>Full-page brand capture received.</x:v>
      </x:c>
    </x:row>
    <x:row r="23">
      <x:c r="A23" s="10" t="str">
        <x:v>2026-09-09</x:v>
      </x:c>
      <x:c r="B23" s="10" t="str">
        <x:v>Brand</x:v>
      </x:c>
      <x:c r="C23" s="10" t="str">
        <x:v>BSN</x:v>
      </x:c>
      <x:c r="D23" s="10" t="str">
        <x:v>Active Sports Trade / BSN</x:v>
      </x:c>
      <x:c r="E23" s="10" t="str">
        <x:v>Received</x:v>
      </x:c>
      <x:c r="F23" s="10" t="str">
        <x:v>Full-page brand capture received.</x:v>
      </x:c>
    </x:row>
    <x:row r="24">
      <x:c r="A24" s="10" t="str">
        <x:v>2026-09-09</x:v>
      </x:c>
      <x:c r="B24" s="10" t="str">
        <x:v>Brand</x:v>
      </x:c>
      <x:c r="C24" s="10" t="str">
        <x:v>Buffalo Nutrition</x:v>
      </x:c>
      <x:c r="D24" s="10" t="str">
        <x:v>Active Sports Trade / Buffalo Nutrition</x:v>
      </x:c>
      <x:c r="E24" s="10" t="str">
        <x:v>Received</x:v>
      </x:c>
      <x:c r="F24" s="10" t="str">
        <x:v>Full-page brand capture received.</x:v>
      </x:c>
    </x:row>
    <x:row r="25">
      <x:c r="A25" s="10" t="str">
        <x:v>2026-09-09</x:v>
      </x:c>
      <x:c r="B25" s="10" t="str">
        <x:v>Brand</x:v>
      </x:c>
      <x:c r="C25" s="10" t="str">
        <x:v>C4</x:v>
      </x:c>
      <x:c r="D25" s="10" t="str">
        <x:v>Active Sports Trade / C4</x:v>
      </x:c>
      <x:c r="E25" s="10" t="str">
        <x:v>Received</x:v>
      </x:c>
      <x:c r="F25" s="10" t="str">
        <x:v>Full-page brand capture received.</x:v>
      </x:c>
    </x:row>
    <x:row r="26">
      <x:c r="A26" s="10" t="str">
        <x:v>2026-09-09</x:v>
      </x:c>
      <x:c r="B26" s="10" t="str">
        <x:v>Brand</x:v>
      </x:c>
      <x:c r="C26" s="10" t="str">
        <x:v>CNP Professional</x:v>
      </x:c>
      <x:c r="D26" s="10" t="str">
        <x:v>Active Sports Trade / CNP Professional</x:v>
      </x:c>
      <x:c r="E26" s="10" t="str">
        <x:v>Received</x:v>
      </x:c>
      <x:c r="F26" s="10" t="str">
        <x:v>Full-page brand capture received.</x:v>
      </x:c>
    </x:row>
    <x:row r="27">
      <x:c r="A27" s="10" t="str">
        <x:v>2026-09-09</x:v>
      </x:c>
      <x:c r="B27" s="10" t="str">
        <x:v>Brand</x:v>
      </x:c>
      <x:c r="C27" s="10" t="str">
        <x:v>Complete Strength</x:v>
      </x:c>
      <x:c r="D27" s="10" t="str">
        <x:v>Active Sports Trade / Complete Strength</x:v>
      </x:c>
      <x:c r="E27" s="10" t="str">
        <x:v>Received</x:v>
      </x:c>
      <x:c r="F27" s="10" t="str">
        <x:v>Full-page brand capture received.</x:v>
      </x:c>
    </x:row>
    <x:row r="28">
      <x:c r="A28" s="10" t="str">
        <x:v>2026-09-09</x:v>
      </x:c>
      <x:c r="B28" s="10" t="str">
        <x:v>Brand</x:v>
      </x:c>
      <x:c r="C28" s="10" t="str">
        <x:v>Conteh Sports</x:v>
      </x:c>
      <x:c r="D28" s="10" t="str">
        <x:v>Active Sports Trade / Conteh Sports</x:v>
      </x:c>
      <x:c r="E28" s="10" t="str">
        <x:v>Received</x:v>
      </x:c>
      <x:c r="F28" s="10" t="str">
        <x:v>Full-page brand capture received.</x:v>
      </x:c>
    </x:row>
    <x:row r="29">
      <x:c r="A29" s="10" t="str">
        <x:v>2026-09-09</x:v>
      </x:c>
      <x:c r="B29" s="10" t="str">
        <x:v>Brand</x:v>
      </x:c>
      <x:c r="C29" s="10" t="str">
        <x:v>DNA Sports</x:v>
      </x:c>
      <x:c r="D29" s="10" t="str">
        <x:v>Active Sports Trade / DNA Sports</x:v>
      </x:c>
      <x:c r="E29" s="10" t="str">
        <x:v>Received</x:v>
      </x:c>
      <x:c r="F29" s="10" t="str">
        <x:v>Full-page brand capture received; current bold price is authoritative ex-VAT cost; apply all-variants-OOS exclusion rule.</x:v>
      </x:c>
    </x:row>
    <x:row r="30">
      <x:c r="A30" s="10" t="str">
        <x:v>2026-09-09</x:v>
      </x:c>
      <x:c r="B30" s="10" t="str">
        <x:v>Brand</x:v>
      </x:c>
      <x:c r="C30" s="10" t="str">
        <x:v>DY Nutrition / Dorian Yates</x:v>
      </x:c>
      <x:c r="D30" s="10" t="str">
        <x:v>Active Sports Trade / DY Nutrition</x:v>
      </x:c>
      <x:c r="E30" s="10" t="str">
        <x:v>Received</x:v>
      </x:c>
      <x:c r="F30" s="10" t="str">
        <x:v>Full-page brand capture received; exact variant stock visible.</x:v>
      </x:c>
    </x:row>
    <x:row r="31">
      <x:c r="A31" s="10" t="str">
        <x:v>2026-09-09</x:v>
      </x:c>
      <x:c r="B31" s="10" t="str">
        <x:v>Brand</x:v>
      </x:c>
      <x:c r="C31" s="10" t="str">
        <x:v>Efectiv Sports Nutrition</x:v>
      </x:c>
      <x:c r="D31" s="10" t="str">
        <x:v>Active Sports Trade / Efectiv Sports Nutrition</x:v>
      </x:c>
      <x:c r="E31" s="10" t="str">
        <x:v>Received</x:v>
      </x:c>
      <x:c r="F31" s="10" t="str">
        <x:v>Full-page brand capture received.</x:v>
      </x:c>
    </x:row>
    <x:row r="32">
      <x:c r="A32" s="10" t="str">
        <x:v>2026-09-09</x:v>
      </x:c>
      <x:c r="B32" s="10" t="str">
        <x:v>Brand</x:v>
      </x:c>
      <x:c r="C32" s="10" t="str">
        <x:v>EHP Labs</x:v>
      </x:c>
      <x:c r="D32" s="10" t="str">
        <x:v>Active Sports Trade / EHP Labs</x:v>
      </x:c>
      <x:c r="E32" s="10" t="str">
        <x:v>Received</x:v>
      </x:c>
      <x:c r="F32" s="10" t="str">
        <x:v>Full-page brand capture received; promo/free-item wording should not be surfaced to customer.</x:v>
      </x:c>
    </x:row>
    <x:row r="33">
      <x:c r="A33" s="10" t="str">
        <x:v>2026-09-09</x:v>
      </x:c>
      <x:c r="B33" s="10" t="str">
        <x:v>Brand</x:v>
      </x:c>
      <x:c r="C33" s="10" t="str">
        <x:v>Gas Mark 10</x:v>
      </x:c>
      <x:c r="D33" s="10" t="str">
        <x:v>Active Sports Trade / Gas Mark 10</x:v>
      </x:c>
      <x:c r="E33" s="10" t="str">
        <x:v>Received</x:v>
      </x:c>
      <x:c r="F33" s="10" t="str">
        <x:v>Full-page brand capture received.</x:v>
      </x:c>
    </x:row>
    <x:row r="34">
      <x:c r="A34" s="10" t="str">
        <x:v>2026-09-09</x:v>
      </x:c>
      <x:c r="B34" s="10" t="str">
        <x:v>Brand</x:v>
      </x:c>
      <x:c r="C34" s="10" t="str">
        <x:v>Ghost Lifestyle</x:v>
      </x:c>
      <x:c r="D34" s="10" t="str">
        <x:v>Active Sports Trade / Ghost Lifestyle</x:v>
      </x:c>
      <x:c r="E34" s="10" t="str">
        <x:v>Received</x:v>
      </x:c>
      <x:c r="F34" s="10" t="str">
        <x:v>Full-page brand capture received.</x:v>
      </x:c>
    </x:row>
    <x:row r="35">
      <x:c r="A35" s="10" t="str">
        <x:v>2026-09-09</x:v>
      </x:c>
      <x:c r="B35" s="10" t="str">
        <x:v>Brand</x:v>
      </x:c>
      <x:c r="C35" s="10" t="str">
        <x:v>Gorillalpha</x:v>
      </x:c>
      <x:c r="D35" s="10" t="str">
        <x:v>Active Sports Trade / Gorillalpha</x:v>
      </x:c>
      <x:c r="E35" s="10" t="str">
        <x:v>Received</x:v>
      </x:c>
      <x:c r="F35" s="10" t="str">
        <x:v>Full-page brand capture received; exact variant stock visible.</x:v>
      </x:c>
    </x:row>
    <x:row r="36">
      <x:c r="A36" s="10" t="str">
        <x:v>2026-09-09</x:v>
      </x:c>
      <x:c r="B36" s="10" t="str">
        <x:v>Brand</x:v>
      </x:c>
      <x:c r="C36" s="10" t="str">
        <x:v>Grenade</x:v>
      </x:c>
      <x:c r="D36" s="10" t="str">
        <x:v>Active Sports Trade / Grenade</x:v>
      </x:c>
      <x:c r="E36" s="10" t="str">
        <x:v>Received</x:v>
      </x:c>
      <x:c r="F36" s="10" t="str">
        <x:v>Full-page brand capture received; special/free-item wording treated as supplier-only.</x:v>
      </x:c>
    </x:row>
    <x:row r="37">
      <x:c r="A37" s="10" t="str">
        <x:v>2026-09-09</x:v>
      </x:c>
      <x:c r="B37" s="10" t="str">
        <x:v>Brand</x:v>
      </x:c>
      <x:c r="C37" s="10" t="str">
        <x:v>HR Labs</x:v>
      </x:c>
      <x:c r="D37" s="10" t="str">
        <x:v>Active Sports Trade / HR Labs</x:v>
      </x:c>
      <x:c r="E37" s="10" t="str">
        <x:v>Received</x:v>
      </x:c>
      <x:c r="F37" s="10" t="str">
        <x:v>Full-page brand capture received; BOGOF/free-item wording not shown to customer.</x:v>
      </x:c>
    </x:row>
    <x:row r="38">
      <x:c r="A38" s="10" t="str">
        <x:v>2026-09-09</x:v>
      </x:c>
      <x:c r="B38" s="10" t="str">
        <x:v>Brand</x:v>
      </x:c>
      <x:c r="C38" s="10" t="str">
        <x:v>Ice Valley</x:v>
      </x:c>
      <x:c r="D38" s="10" t="str">
        <x:v>Active Sports Trade / Ice Valley</x:v>
      </x:c>
      <x:c r="E38" s="10" t="str">
        <x:v>Received</x:v>
      </x:c>
      <x:c r="F38" s="10" t="str">
        <x:v>Full-page brand capture received; supplier order unit/pack wording retained where relevant.</x:v>
      </x:c>
    </x:row>
    <x:row r="39">
      <x:c r="A39" s="10" t="str">
        <x:v>2026-09-09</x:v>
      </x:c>
      <x:c r="B39" s="10" t="str">
        <x:v>Brand</x:v>
      </x:c>
      <x:c r="C39" s="10" t="str">
        <x:v>Inferno 2</x:v>
      </x:c>
      <x:c r="D39" s="10" t="str">
        <x:v>Active Sports Trade / Inferno 2</x:v>
      </x:c>
      <x:c r="E39" s="10" t="str">
        <x:v>Received</x:v>
      </x:c>
      <x:c r="F39" s="10" t="str">
        <x:v>Full-page brand capture received.</x:v>
      </x:c>
    </x:row>
    <x:row r="40">
      <x:c r="A40" s="10" t="str">
        <x:v>2026-09-09</x:v>
      </x:c>
      <x:c r="B40" s="10" t="str">
        <x:v>Brand</x:v>
      </x:c>
      <x:c r="C40" s="10" t="str">
        <x:v>InnovaPharm</x:v>
      </x:c>
      <x:c r="D40" s="10" t="str">
        <x:v>Active Sports Trade / InnovaPharm</x:v>
      </x:c>
      <x:c r="E40" s="10" t="str">
        <x:v>Received</x:v>
      </x:c>
      <x:c r="F40" s="10" t="str">
        <x:v>Full-page brand capture received; section complete through end of I.</x:v>
      </x:c>
    </x:row>
    <x:row r="41">
      <x:c r="A41" t="str">
        <x:v>2026-09-10</x:v>
      </x:c>
      <x:c r="B41" t="str">
        <x:v>Brand</x:v>
      </x:c>
      <x:c r="C41" t="str">
        <x:v>SN Supplements</x:v>
      </x:c>
      <x:c r="D41" t="str">
        <x:v>Active Sports Trade / SN Supplements</x:v>
      </x:c>
      <x:c r="E41" t="str">
        <x:v>Received</x:v>
      </x:c>
      <x:c r="F41" t="str">
        <x:v>Full-page brand capture received; current bold payable price and exact variant stock visible.</x:v>
      </x:c>
    </x:row>
    <x:row r="42">
      <x:c r="A42" t="str">
        <x:v>2026-09-10</x:v>
      </x:c>
      <x:c r="B42" t="str">
        <x:v>Brand</x:v>
      </x:c>
      <x:c r="C42" t="str">
        <x:v>Snickers</x:v>
      </x:c>
      <x:c r="D42" t="str">
        <x:v>Active Sports Trade / Snickers</x:v>
      </x:c>
      <x:c r="E42" t="str">
        <x:v>Received</x:v>
      </x:c>
      <x:c r="F42" t="str">
        <x:v>Full-page brand capture received; case/box order units retained and exact flavour stock respected.</x:v>
      </x:c>
    </x:row>
    <x:row r="43">
      <x:c r="A43" t="str">
        <x:v>2026-09-10</x:v>
      </x:c>
      <x:c r="B43" t="str">
        <x:v>Brand</x:v>
      </x:c>
      <x:c r="C43" t="str">
        <x:v>Sport Asylum Nutrition</x:v>
      </x:c>
      <x:c r="D43" t="str">
        <x:v>Active Sports Trade / Sport Asylum Nutrition</x:v>
      </x:c>
      <x:c r="E43" t="str">
        <x:v>Received</x:v>
      </x:c>
      <x:c r="F43" t="str">
        <x:v>Full-page brand capture received; special-offer/free-item wording remains supplier-only and exact variant stock is authoritative.</x:v>
      </x:c>
    </x:row>
    <x:row r="44">
      <x:c r="A44" t="str">
        <x:v>2026-09-10</x:v>
      </x:c>
      <x:c r="B44" t="str">
        <x:v>Brand</x:v>
      </x:c>
      <x:c r="C44" t="str">
        <x:v>Strom Sports Nutrition</x:v>
      </x:c>
      <x:c r="D44" t="str">
        <x:v>Active Sports Trade / Strom Sports Nutrition</x:v>
      </x:c>
      <x:c r="E44" t="str">
        <x:v>Received</x:v>
      </x:c>
      <x:c r="F44" t="str">
        <x:v>Full-page brand capture received; current bold payable price and variant stock visible.</x:v>
      </x:c>
    </x:row>
    <x:row r="45">
      <x:c r="A45" t="str">
        <x:v>2026-09-10</x:v>
      </x:c>
      <x:c r="B45" t="str">
        <x:v>Brand</x:v>
      </x:c>
      <x:c r="C45" t="str">
        <x:v>Supplement Needs</x:v>
      </x:c>
      <x:c r="D45" t="str">
        <x:v>Active Sports Trade / Supplement Needs</x:v>
      </x:c>
      <x:c r="E45" t="str">
        <x:v>Received</x:v>
      </x:c>
      <x:c r="F45" t="str">
        <x:v>Full-page brand capture received; current bold payable price and exact variant stock visible.</x:v>
      </x:c>
    </x:row>
    <x:row r="46">
      <x:c r="A46" t="str">
        <x:v>2026-09-10</x:v>
      </x:c>
      <x:c r="B46" t="str">
        <x:v>Brand</x:v>
      </x:c>
      <x:c r="C46" t="str">
        <x:v>Trained By JP</x:v>
      </x:c>
      <x:c r="D46" t="str">
        <x:v>Active Sports Trade / Trained By JP</x:v>
      </x:c>
      <x:c r="E46" t="str">
        <x:v>Received</x:v>
      </x:c>
      <x:c r="F46" t="str">
        <x:v>Full-page brand capture received; current bold payable price and exact variant stock visible.</x:v>
      </x:c>
    </x:row>
    <x:row r="47">
      <x:c r="A47" t="str">
        <x:v>2026-09-10</x:v>
      </x:c>
      <x:c r="B47" t="str">
        <x:v>Brand</x:v>
      </x:c>
      <x:c r="C47" t="str">
        <x:v>UFIT</x:v>
      </x:c>
      <x:c r="D47" t="str">
        <x:v>Active Sports Trade / UFIT</x:v>
      </x:c>
      <x:c r="E47" t="str">
        <x:v>Received</x:v>
      </x:c>
      <x:c r="F47" t="str">
        <x:v>Full-page brand capture received. 50g Protein Drink RTD is 8 x 500ml, bold £14.41, explicitly VAT FREE; VAT must be stored per SKU/order unit rather than assumed by category.</x:v>
      </x:c>
    </x:row>
    <x:row r="48">
      <x:c r="A48" t="str">
        <x:v>2026-09-10</x:v>
      </x:c>
      <x:c r="B48" t="str">
        <x:v>Brand</x:v>
      </x:c>
      <x:c r="C48" t="str">
        <x:v>USN</x:v>
      </x:c>
      <x:c r="D48" t="str">
        <x:v>Active Sports Trade / USN</x:v>
      </x:c>
      <x:c r="E48" t="str">
        <x:v>Received</x:v>
      </x:c>
      <x:c r="F48" t="str">
        <x:v>Full-page brand capture received; includes RTD case line and BBE-labelled variants; future/current BBE stock can remain orderable, expired BBE cannot.</x:v>
      </x:c>
    </x:row>
    <x:row r="49">
      <x:c r="A49" t="str">
        <x:v>2026-09-10</x:v>
      </x:c>
      <x:c r="B49" t="str">
        <x:v>Brand</x:v>
      </x:c>
      <x:c r="C49" t="str">
        <x:v>Vitamin Well</x:v>
      </x:c>
      <x:c r="D49" t="str">
        <x:v>Active Sports Trade / Vitamin Well</x:v>
      </x:c>
      <x:c r="E49" t="str">
        <x:v>Received</x:v>
      </x:c>
      <x:c r="F49" t="str">
        <x:v>Full-page brand capture received; exact variant stock and BBE dates visible.</x:v>
      </x:c>
    </x:row>
    <x:row r="50">
      <x:c r="A50" t="str">
        <x:v>2026-09-10</x:v>
      </x:c>
      <x:c r="B50" t="str">
        <x:v>Brand</x:v>
      </x:c>
      <x:c r="C50" t="str">
        <x:v>WOW Hydrate</x:v>
      </x:c>
      <x:c r="D50" t="str">
        <x:v>Active Sports Trade / WOW Hydrate</x:v>
      </x:c>
      <x:c r="E50" t="str">
        <x:v>Received</x:v>
      </x:c>
      <x:c r="F50" t="str">
        <x:v>Full-page brand capture received; case order units and pallet-promo supplier notes retained management-side only.</x:v>
      </x:c>
    </x:row>
    <x:row r="51">
      <x:c r="A51" t="str">
        <x:v>2026-09-10</x:v>
      </x:c>
      <x:c r="B51" t="str">
        <x:v>Brand</x:v>
      </x:c>
      <x:c r="C51" t="str">
        <x:v>XTEND</x:v>
      </x:c>
      <x:c r="D51" t="str">
        <x:v>Active Sports Trade / XTEND</x:v>
      </x:c>
      <x:c r="E51" t="str">
        <x:v>Received</x:v>
      </x:c>
      <x:c r="F51" t="str">
        <x:v>Full-page brand capture received; exact flavour stock visible.</x:v>
      </x:c>
    </x:row>
    <x:row r="52">
      <x:c r="A52" t="str">
        <x:v>2026-09-10</x:v>
      </x:c>
      <x:c r="B52" t="str">
        <x:v>Continuation</x:v>
      </x:c>
      <x:c r="C52" t="str">
        <x:v>Scitec Nutrition</x:v>
      </x:c>
      <x:c r="D52" t="str">
        <x:v>Active Sports Trade / Scitec Nutrition continuation</x:v>
      </x:c>
      <x:c r="E52" t="str">
        <x:v>Received</x:v>
      </x:c>
      <x:c r="F52" t="str">
        <x:v>Footer/end continuation received; confirms end of Scitec capture.</x:v>
      </x:c>
    </x:row>
    <x:row r="53">
      <x:c r="A53" s="10" t="str">
        <x:v>2026-09-10</x:v>
      </x:c>
      <x:c r="B53" s="10" t="str">
        <x:v>PDF recapture</x:v>
      </x:c>
      <x:c r="C53" s="10" t="str">
        <x:v>BioTech USA</x:v>
      </x:c>
      <x:c r="D53" s="10" t="str">
        <x:v>Active Sports Trade / BioTech USA</x:v>
      </x:c>
      <x:c r="E53" s="10" t="str">
        <x:v>11-page readable PDF</x:v>
      </x:c>
      <x:c r="F53" s="10" t="str">
        <x:v>Clean pricing/stock recapture received.</x:v>
      </x:c>
    </x:row>
    <x:row r="54">
      <x:c r="A54" s="10" t="str">
        <x:v>2026-09-10</x:v>
      </x:c>
      <x:c r="B54" s="10" t="str">
        <x:v>PDF recapture</x:v>
      </x:c>
      <x:c r="C54" s="10" t="str">
        <x:v>Olimp</x:v>
      </x:c>
      <x:c r="D54" s="10" t="str">
        <x:v>Active Sports Trade / Olimp</x:v>
      </x:c>
      <x:c r="E54" s="10" t="str">
        <x:v>15-page readable PDF</x:v>
      </x:c>
      <x:c r="F54" s="10" t="str">
        <x:v>Clean pricing/stock recapture received.</x:v>
      </x:c>
    </x:row>
    <x:row r="55">
      <x:c r="A55" s="10" t="str">
        <x:v>2026-09-10</x:v>
      </x:c>
      <x:c r="B55" s="10" t="str">
        <x:v>PDF recapture</x:v>
      </x:c>
      <x:c r="C55" s="10" t="str">
        <x:v>PER4M Nutrition</x:v>
      </x:c>
      <x:c r="D55" s="10" t="str">
        <x:v>Active Sports Trade / PER4M</x:v>
      </x:c>
      <x:c r="E55" s="10" t="str">
        <x:v>11-page readable PDF</x:v>
      </x:c>
      <x:c r="F55" s="10" t="str">
        <x:v>Clean pricing/stock recapture received.</x:v>
      </x:c>
    </x:row>
    <x:row r="56">
      <x:c r="A56" s="10" t="str">
        <x:v>2026-09-10</x:v>
      </x:c>
      <x:c r="B56" s="10" t="str">
        <x:v>PDF recapture</x:v>
      </x:c>
      <x:c r="C56" s="10" t="str">
        <x:v>Scitec Nutrition</x:v>
      </x:c>
      <x:c r="D56" s="10" t="str">
        <x:v>Active Sports Trade / Scitec</x:v>
      </x:c>
      <x:c r="E56" s="10" t="str">
        <x:v>9-page readable PDF</x:v>
      </x:c>
      <x:c r="F56" s="10" t="str">
        <x:v>Clean pricing/stock recapture received.</x:v>
      </x:c>
    </x:row>
    <x:row r="57">
      <x:c r="A57" s="10" t="str">
        <x:v>2026-09-10</x:v>
      </x:c>
      <x:c r="B57" s="10" t="str">
        <x:v>PDF recapture</x:v>
      </x:c>
      <x:c r="C57" s="10" t="str">
        <x:v>Strom Sports Nutrition</x:v>
      </x:c>
      <x:c r="D57" s="10" t="str">
        <x:v>Active Sports Trade / Strom</x:v>
      </x:c>
      <x:c r="E57" s="10" t="str">
        <x:v>7-page readable PDF</x:v>
      </x:c>
      <x:c r="F57" s="10" t="str">
        <x:v>Clean pricing/stock recapture received.</x:v>
      </x:c>
    </x:row>
    <x:row r="58">
      <x:c r="A58" s="10" t="str">
        <x:v>2026-09-10</x:v>
      </x:c>
      <x:c r="B58" s="10" t="str">
        <x:v>PDF recapture</x:v>
      </x:c>
      <x:c r="C58" s="10" t="str">
        <x:v>Supplement Needs</x:v>
      </x:c>
      <x:c r="D58" s="10" t="str">
        <x:v>Active Sports Trade / Supplement Needs</x:v>
      </x:c>
      <x:c r="E58" s="10" t="str">
        <x:v>7-page readable PDF</x:v>
      </x:c>
      <x:c r="F58" s="10" t="str">
        <x:v>Clean pricing/stock recapture received.</x:v>
      </x:c>
    </x:row>
    <x:row r="59">
      <x:c r="A59" s="10" t="str">
        <x:v>2026-09-10</x:v>
      </x:c>
      <x:c r="B59" s="10" t="str">
        <x:v>PDF recapture</x:v>
      </x:c>
      <x:c r="C59" s="10" t="str">
        <x:v>Trained By JP</x:v>
      </x:c>
      <x:c r="D59" s="10" t="str">
        <x:v>Active Sports Trade / Trained By JP</x:v>
      </x:c>
      <x:c r="E59" s="10" t="str">
        <x:v>9-page readable PDF</x:v>
      </x:c>
      <x:c r="F59" s="10" t="str">
        <x:v>Clean pricing/stock recapture received.</x:v>
      </x:c>
    </x:row>
    <x:row r="60">
      <x:c r="A60" s="10" t="str">
        <x:v>2026-09-10</x:v>
      </x:c>
      <x:c r="B60" s="10" t="str">
        <x:v>PDF recapture</x:v>
      </x:c>
      <x:c r="C60" s="10" t="str">
        <x:v>Special Offers</x:v>
      </x:c>
      <x:c r="D60" s="10" t="str">
        <x:v>Active Sports Trade / Special Offers</x:v>
      </x:c>
      <x:c r="E60" s="10" t="str">
        <x:v>25-page readable PDF</x:v>
      </x:c>
      <x:c r="F60" s="10" t="str">
        <x:v>Use as duplicate/current-price cross-check; do not create duplicate products.</x:v>
      </x:c>
    </x:row>
    <x:row r="61">
      <x:c r="A61" s="10" t="str">
        <x:v>2026-09-10</x:v>
      </x:c>
      <x:c r="B61" s="10" t="str">
        <x:v>PDF recapture</x:v>
      </x:c>
      <x:c r="C61" s="10" t="str">
        <x:v>Big Drinks Promo</x:v>
      </x:c>
      <x:c r="D61" s="10" t="str">
        <x:v>Active Sports Trade / Big Drinks Promo</x:v>
      </x:c>
      <x:c r="E61" s="10" t="str">
        <x:v>8-page readable PDF</x:v>
      </x:c>
      <x:c r="F61" s="10" t="str">
        <x:v>Pallet pricing ignored; useful for identity/availability cross-check only.</x:v>
      </x:c>
    </x:row>
  </x:sheetData>
  <x:pageMargins left="0.7" right="0.7" top="0.75" bottom="0.75" header="0.3" footer="0.3"/>
</x:worksheet>
</file>